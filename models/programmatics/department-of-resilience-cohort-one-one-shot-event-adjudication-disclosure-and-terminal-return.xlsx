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c10db9dac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1949c5c1214bc0"/>
    <x:sheet xmlns:r="http://schemas.openxmlformats.org/officeDocument/2006/relationships" name="Terminal Compact" sheetId="2" r:id="R8e45739c1f284b38"/>
    <x:sheet xmlns:r="http://schemas.openxmlformats.org/officeDocument/2006/relationships" name="Event Ledger" sheetId="3" r:id="R738fd23b484e49ab"/>
    <x:sheet xmlns:r="http://schemas.openxmlformats.org/officeDocument/2006/relationships" name="Start Controls" sheetId="4" r:id="R622dff67a8fb47bf"/>
    <x:sheet xmlns:r="http://schemas.openxmlformats.org/officeDocument/2006/relationships" name="Raw Custody" sheetId="5" r:id="R964731c3d03848c2"/>
    <x:sheet xmlns:r="http://schemas.openxmlformats.org/officeDocument/2006/relationships" name="Observation Gates" sheetId="6" r:id="R359b00c9661f4ed5"/>
    <x:sheet xmlns:r="http://schemas.openxmlformats.org/officeDocument/2006/relationships" name="Invalidity Dockets" sheetId="7" r:id="R3a927f92310241b0"/>
    <x:sheet xmlns:r="http://schemas.openxmlformats.org/officeDocument/2006/relationships" name="Role Judgments" sheetId="8" r:id="Re5b69320a6e14fdb"/>
    <x:sheet xmlns:r="http://schemas.openxmlformats.org/officeDocument/2006/relationships" name="Root Dossiers" sheetId="9" r:id="R3455f69910dd438b"/>
    <x:sheet xmlns:r="http://schemas.openxmlformats.org/officeDocument/2006/relationships" name="Disclosure Packets" sheetId="10" r:id="Rb5808b381867444b"/>
    <x:sheet xmlns:r="http://schemas.openxmlformats.org/officeDocument/2006/relationships" name="Embargo Clock" sheetId="11" r:id="R97087b4685544aab"/>
    <x:sheet xmlns:r="http://schemas.openxmlformats.org/officeDocument/2006/relationships" name="Authority Matrix" sheetId="12" r:id="Rd57d7ac8c85441ab"/>
    <x:sheet xmlns:r="http://schemas.openxmlformats.org/officeDocument/2006/relationships" name="Disposition Grammar" sheetId="13" r:id="R41a5631e074a4db7"/>
    <x:sheet xmlns:r="http://schemas.openxmlformats.org/officeDocument/2006/relationships" name="Fiscal Closure" sheetId="14" r:id="R51b97692031b4af4"/>
    <x:sheet xmlns:r="http://schemas.openxmlformats.org/officeDocument/2006/relationships" name="Inputs" sheetId="15" r:id="R1791227b06ee47b1"/>
    <x:sheet xmlns:r="http://schemas.openxmlformats.org/officeDocument/2006/relationships" name="Mutations" sheetId="16" r:id="Rfc9474c9f7c44d14"/>
    <x:sheet xmlns:r="http://schemas.openxmlformats.org/officeDocument/2006/relationships" name="Audit" sheetId="17" r:id="R17e42a5b22b44aa3"/>
    <x:sheet xmlns:r="http://schemas.openxmlformats.org/officeDocument/2006/relationships" name="ReadMe" sheetId="18" r:id="Rb3915d2e43c1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##"/>
    <x:numFmt numFmtId="202" formatCode="0.0%"/>
    <x:numFmt numFmtId="203" formatCode="#,##0.00"/>
  </x:numFmts>
  <x:fonts count="7">
    <x:font>
      <x:sz val="11"/>
      <x:name val="Carlito"/>
    </x:font>
    <x:font>
      <x:b/>
      <x:sz val="14"/>
      <x:color rgb="FF17365D"/>
      <x:name val="Arial"/>
    </x:font>
    <x:font>
      <x:sz val="10"/>
      <x:color rgb="FF0070C0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A"/>
      </x:patternFill>
    </x:fill>
  </x:fills>
  <x:borders count="2">
    <x:border/>
    <x:border>
      <x:bottom style="thin">
        <x:color rgb="FF8DB3E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56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becd51c804db2" /><Relationship Type="http://schemas.openxmlformats.org/officeDocument/2006/relationships/theme" Target="/xl/theme/theme1.xml" Id="Rab6ecda0f7604b99" /><Relationship Type="http://schemas.openxmlformats.org/officeDocument/2006/relationships/sharedStrings" Target="/xl/sharedStrings.xml" Id="Rdaef4fdf8f224f88" /><Relationship Type="http://schemas.openxmlformats.org/officeDocument/2006/relationships/worksheet" Target="/xl/worksheets/sheet1.xml" Id="R051949c5c1214bc0" /><Relationship Type="http://schemas.openxmlformats.org/officeDocument/2006/relationships/worksheet" Target="/xl/worksheets/sheet2.xml" Id="R8e45739c1f284b38" /><Relationship Type="http://schemas.openxmlformats.org/officeDocument/2006/relationships/worksheet" Target="/xl/worksheets/sheet3.xml" Id="R738fd23b484e49ab" /><Relationship Type="http://schemas.openxmlformats.org/officeDocument/2006/relationships/worksheet" Target="/xl/worksheets/sheet4.xml" Id="R622dff67a8fb47bf" /><Relationship Type="http://schemas.openxmlformats.org/officeDocument/2006/relationships/worksheet" Target="/xl/worksheets/sheet5.xml" Id="R964731c3d03848c2" /><Relationship Type="http://schemas.openxmlformats.org/officeDocument/2006/relationships/worksheet" Target="/xl/worksheets/sheet6.xml" Id="R359b00c9661f4ed5" /><Relationship Type="http://schemas.openxmlformats.org/officeDocument/2006/relationships/worksheet" Target="/xl/worksheets/sheet7.xml" Id="R3a927f92310241b0" /><Relationship Type="http://schemas.openxmlformats.org/officeDocument/2006/relationships/worksheet" Target="/xl/worksheets/sheet8.xml" Id="Re5b69320a6e14fdb" /><Relationship Type="http://schemas.openxmlformats.org/officeDocument/2006/relationships/worksheet" Target="/xl/worksheets/sheet9.xml" Id="R3455f69910dd438b" /><Relationship Type="http://schemas.openxmlformats.org/officeDocument/2006/relationships/worksheet" Target="/xl/worksheets/sheet10.xml" Id="Rb5808b381867444b" /><Relationship Type="http://schemas.openxmlformats.org/officeDocument/2006/relationships/worksheet" Target="/xl/worksheets/sheet11.xml" Id="R97087b4685544aab" /><Relationship Type="http://schemas.openxmlformats.org/officeDocument/2006/relationships/worksheet" Target="/xl/worksheets/sheet12.xml" Id="Rd57d7ac8c85441ab" /><Relationship Type="http://schemas.openxmlformats.org/officeDocument/2006/relationships/worksheet" Target="/xl/worksheets/sheet13.xml" Id="R41a5631e074a4db7" /><Relationship Type="http://schemas.openxmlformats.org/officeDocument/2006/relationships/worksheet" Target="/xl/worksheets/sheet14.xml" Id="R51b97692031b4af4" /><Relationship Type="http://schemas.openxmlformats.org/officeDocument/2006/relationships/worksheet" Target="/xl/worksheets/sheet15.xml" Id="R1791227b06ee47b1" /><Relationship Type="http://schemas.openxmlformats.org/officeDocument/2006/relationships/worksheet" Target="/xl/worksheets/sheet16.xml" Id="Rfc9474c9f7c44d14" /><Relationship Type="http://schemas.openxmlformats.org/officeDocument/2006/relationships/worksheet" Target="/xl/worksheets/sheet17.xml" Id="R17e42a5b22b44aa3" /><Relationship Type="http://schemas.openxmlformats.org/officeDocument/2006/relationships/worksheet" Target="/xl/worksheets/sheet18.xml" Id="Rb3915d2e43c144d5" /></Relationships>
</file>

<file path=xl/tables/table1.xml><?xml version="1.0" encoding="utf-8"?>
<x:table xmlns:x="http://schemas.openxmlformats.org/spreadsheetml/2006/main" id="2" name="TerminalAlternativesTable" displayName="TerminalAlternativesTable" ref="A6:D11" headerRowCount="1" totalsRowCount="0" totalsRowShown="0">
  <x:tableColumns count="4">
    <x:tableColumn id="1" name="Option"/>
    <x:tableColumn id="2" name="Architecture"/>
    <x:tableColumn id="3" name="Disposition"/>
    <x:tableColumn id="4" name="Controlling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erminalArticlesTable" displayName="TerminalArticlesTable" ref="A17:C37" headerRowCount="1" totalsRowCount="0" totalsRowShown="0">
  <x:tableColumns count="3">
    <x:tableColumn id="1" name="Article"/>
    <x:tableColumn id="2" name="Control"/>
    <x:tableColumn id="3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EventLedgerTable" displayName="EventLedgerTable" ref="A6:AE150" headerRowCount="1" totalsRowCount="0" totalsRowShown="0">
  <x:tableColumns count="31">
    <x:tableColumn id="1" name="Event"/>
    <x:tableColumn id="2" name="Opportunity"/>
    <x:tableColumn id="3" name="Serial"/>
    <x:tableColumn id="4" name="Order"/>
    <x:tableColumn id="5" name="Form"/>
    <x:tableColumn id="6" name="Builder"/>
    <x:tableColumn id="7" name="Role"/>
    <x:tableColumn id="8" name="Epoch"/>
    <x:tableColumn id="9" name="Window"/>
    <x:tableColumn id="10" name="Site"/>
    <x:tableColumn id="11" name="Fixture"/>
    <x:tableColumn id="12" name="Start week"/>
    <x:tableColumn id="13" name="Acceptance bearing"/>
    <x:tableColumn id="14" name="EOW issued"/>
    <x:tableColumn id="15" name="Start controls"/>
    <x:tableColumn id="16" name="Start controls closed"/>
    <x:tableColumn id="17" name="Physical start"/>
    <x:tableColumn id="18" name="Raw objects"/>
    <x:tableColumn id="19" name="Raw packets sealed"/>
    <x:tableColumn id="20" name="Observation gates"/>
    <x:tableColumn id="21" name="Observation gates accepted"/>
    <x:tableColumn id="22" name="Invalidity state"/>
    <x:tableColumn id="23" name="Observation accepted"/>
    <x:tableColumn id="24" name="Role judgment issued"/>
    <x:tableColumn id="25" name="Disclosure objects"/>
    <x:tableColumn id="26" name="Disclosure complete"/>
    <x:tableColumn id="27" name="Result released"/>
    <x:tableColumn id="28" name="State"/>
    <x:tableColumn id="29" name="Record multiplicity"/>
    <x:tableColumn id="30" name="Epoch-window count"/>
    <x:tableColumn id="31" name="Site-window 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rtControlsTable" displayName="StartControlsTable" ref="A6:S1446" headerRowCount="1" totalsRowCount="0" totalsRowShown="0">
  <x:tableColumns count="19">
    <x:tableColumn id="1" name="Control record"/>
    <x:tableColumn id="2" name="Event"/>
    <x:tableColumn id="3" name="Opportunity"/>
    <x:tableColumn id="4" name="Serial"/>
    <x:tableColumn id="5" name="Order"/>
    <x:tableColumn id="6" name="Form"/>
    <x:tableColumn id="7" name="Builder"/>
    <x:tableColumn id="8" name="Role"/>
    <x:tableColumn id="9" name="Epoch"/>
    <x:tableColumn id="10" name="Window"/>
    <x:tableColumn id="11" name="Site"/>
    <x:tableColumn id="12" name="Control"/>
    <x:tableColumn id="13" name="Object"/>
    <x:tableColumn id="14" name="Closure rule"/>
    <x:tableColumn id="15" name="Authority"/>
    <x:tableColumn id="16" name="Closed"/>
    <x:tableColumn id="17" name="Outcome metrics"/>
    <x:tableColumn id="18" name="State"/>
    <x:tableColumn id="19" name="Record multiplic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CustodyTable" displayName="RawCustodyTable" ref="A6:Q1158" headerRowCount="1" totalsRowCount="0" totalsRowShown="0">
  <x:tableColumns count="17">
    <x:tableColumn id="1" name="Packet record"/>
    <x:tableColumn id="2" name="Event"/>
    <x:tableColumn id="3" name="Serial"/>
    <x:tableColumn id="4" name="Order"/>
    <x:tableColumn id="5" name="Form"/>
    <x:tableColumn id="6" name="Builder"/>
    <x:tableColumn id="7" name="Role"/>
    <x:tableColumn id="8" name="Object"/>
    <x:tableColumn id="9" name="Record"/>
    <x:tableColumn id="10" name="Origin authority"/>
    <x:tableColumn id="11" name="Public custodian"/>
    <x:tableColumn id="12" name="Origin hash"/>
    <x:tableColumn id="13" name="Replica quorum"/>
    <x:tableColumn id="14" name="Outcome metrics"/>
    <x:tableColumn id="15" name="Released"/>
    <x:tableColumn id="16" name="State"/>
    <x:tableColumn id="17" name="Record multiplic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bservationGatesTable" displayName="ObservationGatesTable" ref="A6:O1734" headerRowCount="1" totalsRowCount="0" totalsRowShown="0">
  <x:tableColumns count="15">
    <x:tableColumn id="1" name="Gate record"/>
    <x:tableColumn id="2" name="Event"/>
    <x:tableColumn id="3" name="Serial"/>
    <x:tableColumn id="4" name="Order"/>
    <x:tableColumn id="5" name="Form"/>
    <x:tableColumn id="6" name="Builder"/>
    <x:tableColumn id="7" name="Role"/>
    <x:tableColumn id="8" name="Gate"/>
    <x:tableColumn id="9" name="Object"/>
    <x:tableColumn id="10" name="Acceptance rule"/>
    <x:tableColumn id="11" name="Authority"/>
    <x:tableColumn id="12" name="Accepted"/>
    <x:tableColumn id="13" name="Favorable metrics"/>
    <x:tableColumn id="14" name="State"/>
    <x:tableColumn id="15" name="Record multiplic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alidityDocketsTable" displayName="InvalidityDocketsTable" ref="A6:O1302" headerRowCount="1" totalsRowCount="0" totalsRowShown="0">
  <x:tableColumns count="15">
    <x:tableColumn id="1" name="Test record"/>
    <x:tableColumn id="2" name="Event"/>
    <x:tableColumn id="3" name="Serial"/>
    <x:tableColumn id="4" name="Order"/>
    <x:tableColumn id="5" name="Form"/>
    <x:tableColumn id="6" name="Builder"/>
    <x:tableColumn id="7" name="Role"/>
    <x:tableColumn id="8" name="Test"/>
    <x:tableColumn id="9" name="Object"/>
    <x:tableColumn id="10" name="Burden"/>
    <x:tableColumn id="11" name="Authority"/>
    <x:tableColumn id="12" name="Satisfied"/>
    <x:tableColumn id="13" name="Candidate exculpation"/>
    <x:tableColumn id="14" name="State"/>
    <x:tableColumn id="15" name="Record multiplic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leJudgmentsTable" displayName="RoleJudgmentsTable" ref="A6:O150" headerRowCount="1" totalsRowCount="0" totalsRowShown="0">
  <x:tableColumns count="15">
    <x:tableColumn id="1" name="Result record"/>
    <x:tableColumn id="2" name="Event"/>
    <x:tableColumn id="3" name="Serial"/>
    <x:tableColumn id="4" name="Order"/>
    <x:tableColumn id="5" name="Form"/>
    <x:tableColumn id="6" name="Builder"/>
    <x:tableColumn id="7" name="Role"/>
    <x:tableColumn id="8" name="Acceptance bearing"/>
    <x:tableColumn id="9" name="Judgment rule"/>
    <x:tableColumn id="10" name="Observation accepted"/>
    <x:tableColumn id="11" name="Facility invalidity"/>
    <x:tableColumn id="12" name="Judgment issued"/>
    <x:tableColumn id="13" name="Condition satisfied"/>
    <x:tableColumn id="14" name="Favorable metrics"/>
    <x:tableColumn id="15" name="Dispos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otDossiersTable" displayName="RootDossiersTable" ref="A6:N54" headerRowCount="1" totalsRowCount="0" totalsRowShown="0">
  <x:tableColumns count="14">
    <x:tableColumn id="1" name="Dossier"/>
    <x:tableColumn id="2" name="Order"/>
    <x:tableColumn id="3" name="Form"/>
    <x:tableColumn id="4" name="Builder"/>
    <x:tableColumn id="5" name="INT serial"/>
    <x:tableColumn id="6" name="BRK serial"/>
    <x:tableColumn id="7" name="RCN serial"/>
    <x:tableColumn id="8" name="BRK judgment"/>
    <x:tableColumn id="9" name="RCN judgment"/>
    <x:tableColumn id="10" name="BRK condition"/>
    <x:tableColumn id="11" name="RCN condition"/>
    <x:tableColumn id="12" name="Dossier closed"/>
    <x:tableColumn id="13" name="State"/>
    <x:tableColumn id="14" name="Record multiplic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sclosurePacketsTable" displayName="DisclosurePacketsTable" ref="A6:Q2310" headerRowCount="1" totalsRowCount="0" totalsRowShown="0">
  <x:tableColumns count="17">
    <x:tableColumn id="1" name="Object record"/>
    <x:tableColumn id="2" name="Packet"/>
    <x:tableColumn id="3" name="Event"/>
    <x:tableColumn id="4" name="Serial"/>
    <x:tableColumn id="5" name="Order"/>
    <x:tableColumn id="6" name="Form"/>
    <x:tableColumn id="7" name="Builder"/>
    <x:tableColumn id="8" name="Role"/>
    <x:tableColumn id="9" name="Object"/>
    <x:tableColumn id="10" name="Record"/>
    <x:tableColumn id="11" name="Release authority"/>
    <x:tableColumn id="12" name="Pre-release access"/>
    <x:tableColumn id="13" name="Complete"/>
    <x:tableColumn id="14" name="Outcome metrics"/>
    <x:tableColumn id="15" name="Released"/>
    <x:tableColumn id="16" name="State"/>
    <x:tableColumn id="17" name="Record multiplic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EmbargoClockTable" displayName="EmbargoClockTable" ref="A6:G15" headerRowCount="1" totalsRowCount="0" totalsRowShown="0">
  <x:tableColumns count="7">
    <x:tableColumn id="1" name="Stage"/>
    <x:tableColumn id="2" name="Milestone"/>
    <x:tableColumn id="3" name="Relative time"/>
    <x:tableColumn id="4" name="Days after event close"/>
    <x:tableColumn id="5" name="Required object"/>
    <x:tableColumn id="6" name="Authority"/>
    <x:tableColumn id="7" name="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ReleaseCustodiansTable" displayName="ReleaseCustodiansTable" ref="A21:E27" headerRowCount="1" totalsRowCount="0" totalsRowShown="0">
  <x:tableColumns count="5">
    <x:tableColumn id="1" name="Share"/>
    <x:tableColumn id="2" name="Custodian"/>
    <x:tableColumn id="3" name="Share issued"/>
    <x:tableColumn id="4" name="Release authorization"/>
    <x:tableColumn id="5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AuthorityRolesTable" displayName="AuthorityRolesTable" ref="A6:E22" headerRowCount="1" totalsRowCount="0" totalsRowShown="0">
  <x:tableColumns count="5">
    <x:tableColumn id="1" name="Role"/>
    <x:tableColumn id="2" name="Authority"/>
    <x:tableColumn id="3" name="Sole control"/>
    <x:tableColumn id="4" name="Sees sealed record"/>
    <x:tableColumn id="5" name="Prohibited convers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ControlEdgesTable" displayName="ControlEdgesTable" ref="A28:F58" headerRowCount="1" totalsRowCount="0" totalsRowShown="0">
  <x:tableColumns count="6">
    <x:tableColumn id="1" name="Edge"/>
    <x:tableColumn id="2" name="Authority A"/>
    <x:tableColumn id="3" name="Authority B"/>
    <x:tableColumn id="4" name="Rule"/>
    <x:tableColumn id="5" name="Common control present"/>
    <x:tableColumn id="6" name="St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6" name="DispositionGrammarTable" displayName="DispositionGrammarTable" ref="A6:F24" headerRowCount="1" totalsRowCount="0" totalsRowShown="0">
  <x:tableColumns count="6">
    <x:tableColumn id="1" name="Case"/>
    <x:tableColumn id="2" name="Trigger"/>
    <x:tableColumn id="3" name="Disposition"/>
    <x:tableColumn id="4" name="New opportunity"/>
    <x:tableColumn id="5" name="Judgment route"/>
    <x:tableColumn id="6" name="Disclosure treatmen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7" name="FiscalFunctionsTable" displayName="FiscalFunctionsTable" ref="A6:F22" headerRowCount="1" totalsRowCount="0" totalsRowShown="0">
  <x:tableColumns count="6">
    <x:tableColumn id="1" name="Jurisdiction"/>
    <x:tableColumn id="2" name="Function"/>
    <x:tableColumn id="3" name="Planning share"/>
    <x:tableColumn id="4" name="Planning exposure (USD M)"/>
    <x:tableColumn id="5" name="Actual obligation (USD M)"/>
    <x:tableColumn id="6" name="Boundar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" name="TerminalInputsTable" displayName="TerminalInputsTable" ref="A6:D52" headerRowCount="1" totalsRowCount="0" totalsRowShown="0">
  <x:tableColumns count="4">
    <x:tableColumn id="1" name="Control"/>
    <x:tableColumn id="2" name="Value"/>
    <x:tableColumn id="3" name="Unit"/>
    <x:tableColumn id="4" name="Internal basi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9" name="TerminalMutationTable" displayName="TerminalMutationTable" ref="A6:G52" headerRowCount="1" totalsRowCount="0" totalsRowShown="0">
  <x:tableColumns count="7">
    <x:tableColumn id="1" name="Mutation"/>
    <x:tableColumn id="2" name="Inpu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erminalAuditTable" displayName="TerminalAuditTable" ref="A6:F101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erminalReadMeTable" displayName="TerminalReadMeTable" ref="A6:B25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30b879ba8a4e84" /><Relationship Type="http://schemas.openxmlformats.org/officeDocument/2006/relationships/table" Target="/xl/tables/table2.xml" Id="R25a577faa6b941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308c5374074f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493d4a5b8d4e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e2a3ce820a74c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ede54a15a4849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396913b586648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06bddcbfd6942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77d2faf37b42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22a0d973e7a4a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8e3779b477143e7" /><Relationship Type="http://schemas.openxmlformats.org/officeDocument/2006/relationships/table" Target="/xl/tables/table12.xml" Id="R50e37f67204f47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de213d3601eb4278" /><Relationship Type="http://schemas.openxmlformats.org/officeDocument/2006/relationships/table" Target="/xl/tables/table14.xml" Id="R4899877724ff4b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0561f18bb43444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8e657da4bc5749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946c8922b13f4bb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5915e74056d1408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0cbcd0c58d054fe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0.xml" Id="R08e90d6364cf4d1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5" hidden="0" customWidth="1"/>
    <x:col min="8" max="8" width="22" hidden="0" customWidth="1"/>
    <x:col min="9" max="9" width="8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>
      <x:c r="A2" s="31" t="str">
        <x:v>Cohort-one one-shot event adjudication, disclosure and terminal return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A6" s="10" t="str">
        <x:v>Decision</x:v>
      </x:c>
      <x:c r="B6" s="10" t="str">
        <x:v>EXR-TC</x:v>
      </x:c>
      <x:c r="C6" s="10" t="str">
        <x:v>Verdict</x:v>
      </x:c>
      <x:c r="D6" s="10" t="str">
        <x:v>RETURN</x:v>
      </x:c>
      <x:c r="E6" s="10" t="str">
        <x:v>Branch</x:v>
      </x:c>
      <x:c r="F6" s="10" t="str">
        <x:v>EXR-5</x:v>
      </x:c>
      <x:c r="G6" s="9"/>
      <x:c r="H6" s="9"/>
      <x:c r="I6" s="9"/>
      <x:c r="J6" s="9"/>
      <x:c r="K6" s="9"/>
      <x:c r="L6" s="9"/>
      <x:c r="M6" s="9"/>
      <x:c r="N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</x:row>
    <x:row r="8">
      <x:c r="A8" s="9" t="str">
        <x:v>Serial event opportunities</x:v>
      </x:c>
      <x:c r="B8" s="9" t="n">
        <x:f>COUNTA('Event Ledger'!A7:A150)</x:f>
        <x:v>144</x:v>
      </x:c>
      <x:c r="C8" s="9"/>
      <x:c r="D8" s="9"/>
      <x:c r="E8" s="9"/>
      <x:c r="F8" s="9"/>
      <x:c r="G8" s="9"/>
      <x:c r="H8" s="36" t="str">
        <x:v>Terminal judgment</x:v>
      </x:c>
      <x:c r="I8" s="36" t="str">
        <x:v>Rule</x:v>
      </x:c>
      <x:c r="J8" s="9"/>
      <x:c r="K8" s="9"/>
      <x:c r="L8" s="9"/>
      <x:c r="M8" s="9"/>
      <x:c r="N8" s="9"/>
    </x:row>
    <x:row r="9">
      <x:c r="A9" s="9" t="str">
        <x:v>Start-control records</x:v>
      </x:c>
      <x:c r="B9" s="9" t="n">
        <x:f>COUNTA('Start Controls'!A7:A1446)</x:f>
        <x:v>1440</x:v>
      </x:c>
      <x:c r="C9" s="9"/>
      <x:c r="D9" s="9"/>
      <x:c r="E9" s="9"/>
      <x:c r="F9" s="9"/>
      <x:c r="G9" s="9"/>
      <x:c r="H9" s="9" t="str">
        <x:v>Start</x:v>
      </x:c>
      <x:c r="I9" s="17" t="str">
        <x:v>physical decisive operation survives missing paperwork</x:v>
      </x:c>
      <x:c r="J9" s="9"/>
      <x:c r="K9" s="9"/>
      <x:c r="L9" s="9"/>
      <x:c r="M9" s="9"/>
      <x:c r="N9" s="9"/>
    </x:row>
    <x:row r="10">
      <x:c r="A10" s="9" t="str">
        <x:v>Raw custody records</x:v>
      </x:c>
      <x:c r="B10" s="9" t="n">
        <x:f>COUNTA('Raw Custody'!A7:A1158)</x:f>
        <x:v>1152</x:v>
      </x:c>
      <x:c r="C10" s="9"/>
      <x:c r="D10" s="9"/>
      <x:c r="E10" s="9"/>
      <x:c r="F10" s="9"/>
      <x:c r="G10" s="9"/>
      <x:c r="H10" s="9" t="str">
        <x:v>Safety</x:v>
      </x:c>
      <x:c r="I10" s="17" t="str">
        <x:v>unconditional stop creates no favorable credit</x:v>
      </x:c>
      <x:c r="J10" s="9"/>
      <x:c r="K10" s="9"/>
      <x:c r="L10" s="9"/>
      <x:c r="M10" s="9"/>
      <x:c r="N10" s="9"/>
    </x:row>
    <x:row r="11">
      <x:c r="A11" s="9" t="str">
        <x:v>Observation-gate records</x:v>
      </x:c>
      <x:c r="B11" s="9" t="n">
        <x:f>COUNTA('Observation Gates'!A7:A1734)</x:f>
        <x:v>1728</x:v>
      </x:c>
      <x:c r="C11" s="9"/>
      <x:c r="D11" s="9"/>
      <x:c r="E11" s="9"/>
      <x:c r="F11" s="9"/>
      <x:c r="G11" s="9"/>
      <x:c r="H11" s="9" t="str">
        <x:v>Observation</x:v>
      </x:c>
      <x:c r="I11" s="17" t="str">
        <x:v>acceptance judges provenance and completeness, not performance</x:v>
      </x:c>
      <x:c r="J11" s="9"/>
      <x:c r="K11" s="9"/>
      <x:c r="L11" s="9"/>
      <x:c r="M11" s="9"/>
      <x:c r="N11" s="9"/>
    </x:row>
    <x:row r="12">
      <x:c r="A12" s="9" t="str">
        <x:v>Invalidity-test records</x:v>
      </x:c>
      <x:c r="B12" s="9" t="n">
        <x:f>COUNTA('Invalidity Dockets'!A7:A1302)</x:f>
        <x:v>1296</x:v>
      </x:c>
      <x:c r="C12" s="9"/>
      <x:c r="D12" s="9"/>
      <x:c r="E12" s="9"/>
      <x:c r="F12" s="9"/>
      <x:c r="G12" s="9"/>
      <x:c r="H12" s="9" t="str">
        <x:v>Invalidity</x:v>
      </x:c>
      <x:c r="I12" s="17" t="str">
        <x:v>facility cause, temporal priority and candidate non-causation must be proven</x:v>
      </x:c>
      <x:c r="J12" s="9"/>
      <x:c r="K12" s="9"/>
      <x:c r="L12" s="9"/>
      <x:c r="M12" s="9"/>
      <x:c r="N12" s="9"/>
    </x:row>
    <x:row r="13">
      <x:c r="A13" s="9" t="str">
        <x:v>Role-judgment records</x:v>
      </x:c>
      <x:c r="B13" s="9" t="n">
        <x:f>COUNTA('Role Judgments'!A7:A150)</x:f>
        <x:v>144</x:v>
      </x:c>
      <x:c r="C13" s="9"/>
      <x:c r="D13" s="9"/>
      <x:c r="E13" s="9"/>
      <x:c r="F13" s="9"/>
      <x:c r="G13" s="9"/>
      <x:c r="H13" s="9" t="str">
        <x:v>Contradiction</x:v>
      </x:c>
      <x:c r="I13" s="17" t="str">
        <x:v>primary and witness disagreement remains visible</x:v>
      </x:c>
      <x:c r="J13" s="9"/>
      <x:c r="K13" s="9"/>
      <x:c r="L13" s="9"/>
      <x:c r="M13" s="9"/>
      <x:c r="N13" s="9"/>
    </x:row>
    <x:row r="14">
      <x:c r="A14" s="9" t="str">
        <x:v>Root dossiers</x:v>
      </x:c>
      <x:c r="B14" s="9" t="n">
        <x:f>COUNTA('Root Dossiers'!A7:A54)</x:f>
        <x:v>48</x:v>
      </x:c>
      <x:c r="C14" s="9"/>
      <x:c r="D14" s="9"/>
      <x:c r="E14" s="9"/>
      <x:c r="F14" s="9"/>
      <x:c r="G14" s="9"/>
      <x:c r="H14" s="9" t="str">
        <x:v>INT</x:v>
      </x:c>
      <x:c r="I14" s="17" t="str">
        <x:v>context only; no acceptance weight</x:v>
      </x:c>
      <x:c r="J14" s="9"/>
      <x:c r="K14" s="9"/>
      <x:c r="L14" s="9"/>
      <x:c r="M14" s="9"/>
      <x:c r="N14" s="9"/>
    </x:row>
    <x:row r="15">
      <x:c r="A15" s="9" t="str">
        <x:v>Disclosure objects</x:v>
      </x:c>
      <x:c r="B15" s="9" t="n">
        <x:f>COUNTA('Disclosure Packets'!A7:A2310)</x:f>
        <x:v>2304</x:v>
      </x:c>
      <x:c r="C15" s="9"/>
      <x:c r="D15" s="9"/>
      <x:c r="E15" s="9"/>
      <x:c r="F15" s="9"/>
      <x:c r="G15" s="9"/>
      <x:c r="H15" s="9" t="str">
        <x:v>BRK</x:v>
      </x:c>
      <x:c r="I15" s="17" t="str">
        <x:v>first decisive exposure consumes the role</x:v>
      </x:c>
      <x:c r="J15" s="9"/>
      <x:c r="K15" s="9"/>
      <x:c r="L15" s="9"/>
      <x:c r="M15" s="9"/>
      <x:c r="N15" s="9"/>
    </x:row>
    <x:row r="16">
      <x:c r="A16" s="9" t="str">
        <x:v>Prohibited control edges</x:v>
      </x:c>
      <x:c r="B16" s="9" t="n">
        <x:f>COUNTA('Authority Matrix'!A29:A58)</x:f>
        <x:v>30</x:v>
      </x:c>
      <x:c r="C16" s="9"/>
      <x:c r="D16" s="9"/>
      <x:c r="E16" s="9"/>
      <x:c r="F16" s="9"/>
      <x:c r="G16" s="9"/>
      <x:c r="H16" s="9" t="str">
        <x:v>RCN</x:v>
      </x:c>
      <x:c r="I16" s="17" t="str">
        <x:v>virgin denied-origin ancestry plus own event</x:v>
      </x:c>
      <x:c r="J16" s="9"/>
      <x:c r="K16" s="9"/>
      <x:c r="L16" s="9"/>
      <x:c r="M16" s="9"/>
      <x:c r="N16" s="9"/>
    </x:row>
    <x:row r="17">
      <x:c r="A17" s="9" t="str">
        <x:v>Disposition cases</x:v>
      </x:c>
      <x:c r="B17" s="9" t="n">
        <x:f>COUNTA('Disposition Grammar'!A7:A24)</x:f>
        <x:v>18</x:v>
      </x:c>
      <x:c r="C17" s="9"/>
      <x:c r="D17" s="9"/>
      <x:c r="E17" s="9"/>
      <x:c r="F17" s="9"/>
      <x:c r="G17" s="9"/>
      <x:c r="H17" s="9" t="str">
        <x:v>Root</x:v>
      </x:c>
      <x:c r="I17" s="17" t="str">
        <x:v>both BRK and RCN judgments required; no ranking</x:v>
      </x:c>
      <x:c r="J17" s="9"/>
      <x:c r="K17" s="9"/>
      <x:c r="L17" s="9"/>
      <x:c r="M17" s="9"/>
      <x:c r="N17" s="9"/>
    </x:row>
    <x:row r="18">
      <x:c r="A18" s="9" t="str">
        <x:v>Planning exposure governed (USD M)</x:v>
      </x:c>
      <x:c r="B18" s="12" t="n">
        <x:f>SUM(Inputs!B34:B37)</x:f>
        <x:v>25039.999999999996</x:v>
      </x:c>
      <x:c r="C18" s="9"/>
      <x:c r="D18" s="9"/>
      <x:c r="E18" s="9"/>
      <x:c r="F18" s="9"/>
      <x:c r="G18" s="9"/>
      <x:c r="H18" s="9" t="str">
        <x:v>Embargo</x:v>
      </x:c>
      <x:c r="I18" s="17" t="str">
        <x:v>all 144 terminal dockets precede comparative release</x:v>
      </x:c>
      <x:c r="J18" s="9"/>
      <x:c r="K18" s="9"/>
      <x:c r="L18" s="9"/>
      <x:c r="M18" s="9"/>
      <x:c r="N18" s="9"/>
    </x:row>
    <x:row r="19">
      <x:c r="A19" s="9" t="str">
        <x:v>Issued EOWs</x:v>
      </x:c>
      <x:c r="B19" s="9" t="n">
        <x:f>Inputs!B38</x:f>
        <x:v>0</x:v>
      </x:c>
      <x:c r="C19" s="9"/>
      <x:c r="D19" s="9"/>
      <x:c r="E19" s="9"/>
      <x:c r="F19" s="9"/>
      <x:c r="G19" s="9"/>
      <x:c r="H19" s="9" t="str">
        <x:v>Disclosure</x:v>
      </x:c>
      <x:c r="I19" s="17" t="str">
        <x:v>sixteen objects per event; four-of-six release</x:v>
      </x:c>
      <x:c r="J19" s="9"/>
      <x:c r="K19" s="9"/>
      <x:c r="L19" s="9"/>
      <x:c r="M19" s="9"/>
      <x:c r="N19" s="9"/>
    </x:row>
    <x:row r="20">
      <x:c r="A20" s="9" t="str">
        <x:v>Detected starts</x:v>
      </x:c>
      <x:c r="B20" s="9" t="n">
        <x:f>Inputs!B39</x:f>
        <x:v>0</x:v>
      </x:c>
      <x:c r="C20" s="9"/>
      <x:c r="D20" s="9"/>
      <x:c r="E20" s="9"/>
      <x:c r="F20" s="9"/>
      <x:c r="G20" s="9"/>
      <x:c r="H20" s="9" t="str">
        <x:v>Return</x:v>
      </x:c>
      <x:c r="I20" s="17" t="str">
        <x:v>five typed constitutions form one executable but unexecuted campaign</x:v>
      </x:c>
      <x:c r="J20" s="9"/>
      <x:c r="K20" s="9"/>
      <x:c r="L20" s="9"/>
      <x:c r="M20" s="9"/>
      <x:c r="N20" s="9"/>
    </x:row>
    <x:row r="21">
      <x:c r="A21" s="9" t="str">
        <x:v>Sealed raw packets</x:v>
      </x:c>
      <x:c r="B21" s="9" t="n">
        <x:f>Inputs!B40</x:f>
        <x:v>0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>
      <x:c r="A22" s="9" t="str">
        <x:v>Accepted observations</x:v>
      </x:c>
      <x:c r="B22" s="9" t="n">
        <x:f>Inputs!B41</x:f>
        <x:v>0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>
      <x:c r="A23" s="9" t="str">
        <x:v>Facility invalidity decisions</x:v>
      </x:c>
      <x:c r="B23" s="9" t="n">
        <x:f>Inputs!B42</x:f>
        <x:v>0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</x:row>
    <x:row r="24">
      <x:c r="A24" s="9" t="str">
        <x:v>Issued role judgments</x:v>
      </x:c>
      <x:c r="B24" s="9" t="n">
        <x:f>Inputs!B43</x:f>
        <x:v>0</x:v>
      </x:c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</x:row>
    <x:row r="25">
      <x:c r="A25" s="9" t="str">
        <x:v>Closed root dossiers</x:v>
      </x:c>
      <x:c r="B25" s="9" t="n">
        <x:f>Inputs!B44</x:f>
        <x:v>0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</x:row>
    <x:row r="26">
      <x:c r="A26" s="9" t="str">
        <x:v>Released result packets</x:v>
      </x:c>
      <x:c r="B26" s="9" t="n">
        <x:f>Inputs!B45</x:f>
        <x:v>0</x:v>
      </x:c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</x:row>
    <x:row r="27">
      <x:c r="A27" s="9" t="str">
        <x:v>Selection decisions</x:v>
      </x:c>
      <x:c r="B27" s="9" t="n">
        <x:f>Inputs!B46</x:f>
        <x:v>0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</x:row>
    <x:row r="28">
      <x:c r="A28" s="9" t="str">
        <x:v>Production releases</x:v>
      </x:c>
      <x:c r="B28" s="9" t="n">
        <x:f>Inputs!B47</x:f>
        <x:v>0</x:v>
      </x:c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</x:row>
    <x:row r="29">
      <x:c r="A29" s="9" t="str">
        <x:v>Rendering issues</x:v>
      </x:c>
      <x:c r="B29" s="9" t="n">
        <x:f>Inputs!B50</x:f>
        <x:v>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88" hidden="0" customWidth="1"/>
    <x:col min="4" max="4" width="7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</x:row>
    <x:row r="2">
      <x:c r="A2" s="31" t="str">
        <x:v>One-shot event, observation, adjudication and disclosure compact</x:v>
      </x:c>
      <x:c r="B2" s="10"/>
      <x:c r="C2" s="10"/>
      <x:c r="D2" s="10"/>
      <x:c r="E2" s="10"/>
      <x:c r="F2" s="10"/>
      <x:c r="G2" s="10"/>
      <x:c r="H2" s="10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9"/>
      <x:c r="B5" s="9"/>
      <x:c r="C5" s="9"/>
      <x:c r="D5" s="9"/>
      <x:c r="E5" s="9"/>
      <x:c r="F5" s="9"/>
      <x:c r="G5" s="9"/>
      <x:c r="H5" s="9"/>
    </x:row>
    <x:row r="6" ht="34" customHeight="1">
      <x:c r="A6" s="35" t="str">
        <x:v>Option</x:v>
      </x:c>
      <x:c r="B6" s="35" t="str">
        <x:v>Architecture</x:v>
      </x:c>
      <x:c r="C6" s="35" t="str">
        <x:v>Disposition</x:v>
      </x:c>
      <x:c r="D6" s="35" t="str">
        <x:v>Controlling reason</x:v>
      </x:c>
      <x:c r="E6" s="9"/>
      <x:c r="F6" s="9"/>
      <x:c r="G6" s="9"/>
      <x:c r="H6" s="9"/>
    </x:row>
    <x:row r="7">
      <x:c r="A7" s="9" t="str">
        <x:v>A</x:v>
      </x:c>
      <x:c r="B7" s="17" t="str">
        <x:v>Unified campaign command</x:v>
      </x:c>
      <x:c r="C7" s="17" t="str">
        <x:v>Fails</x:v>
      </x:c>
      <x:c r="D7" s="17" t="str">
        <x:v>one authority can start, invalidate, judge and release</x:v>
      </x:c>
      <x:c r="E7" s="9"/>
      <x:c r="F7" s="9"/>
      <x:c r="G7" s="9"/>
      <x:c r="H7" s="9"/>
    </x:row>
    <x:row r="8">
      <x:c r="A8" s="9" t="str">
        <x:v>B</x:v>
      </x:c>
      <x:c r="B8" s="17" t="str">
        <x:v>Builder-certified event</x:v>
      </x:c>
      <x:c r="C8" s="17" t="str">
        <x:v>Fails</x:v>
      </x:c>
      <x:c r="D8" s="17" t="str">
        <x:v>candidate control reaches start fact, measurement and causal excuse</x:v>
      </x:c>
      <x:c r="E8" s="9"/>
      <x:c r="F8" s="9"/>
      <x:c r="G8" s="9"/>
      <x:c r="H8" s="9"/>
    </x:row>
    <x:row r="9">
      <x:c r="A9" s="9" t="str">
        <x:v>C</x:v>
      </x:c>
      <x:c r="B9" s="17" t="str">
        <x:v>Site-by-site disclosure</x:v>
      </x:c>
      <x:c r="C9" s="17" t="str">
        <x:v>Fails</x:v>
      </x:c>
      <x:c r="D9" s="17" t="str">
        <x:v>calendar order and favorable early results can change later conduct</x:v>
      </x:c>
      <x:c r="E9" s="9"/>
      <x:c r="F9" s="9"/>
      <x:c r="G9" s="9"/>
      <x:c r="H9" s="9"/>
    </x:row>
    <x:row r="10">
      <x:c r="A10" s="9" t="str">
        <x:v>D</x:v>
      </x:c>
      <x:c r="B10" s="17" t="str">
        <x:v>Separated one-shot compact</x:v>
      </x:c>
      <x:c r="C10" s="17" t="str">
        <x:v>Selected</x:v>
      </x:c>
      <x:c r="D10" s="17" t="str">
        <x:v>physical start, independent custody, blind adjudication and cohort release remain distinct</x:v>
      </x:c>
      <x:c r="E10" s="9"/>
      <x:c r="F10" s="9"/>
      <x:c r="G10" s="9"/>
      <x:c r="H10" s="9"/>
    </x:row>
    <x:row r="11">
      <x:c r="A11" s="9" t="str">
        <x:v>E</x:v>
      </x:c>
      <x:c r="B11" s="17" t="str">
        <x:v>Algorithmic automatic verdict</x:v>
      </x:c>
      <x:c r="C11" s="17" t="str">
        <x:v>Fails</x:v>
      </x:c>
      <x:c r="D11" s="17" t="str">
        <x:v>a common rule engine would own measurement, causality and final judgment</x:v>
      </x:c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10" t="str">
        <x:v>Controlling articles</x:v>
      </x:c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 ht="34" customHeight="1">
      <x:c r="A17" s="35" t="str">
        <x:v>Article</x:v>
      </x:c>
      <x:c r="B17" s="35" t="str">
        <x:v>Control</x:v>
      </x:c>
      <x:c r="C17" s="35" t="str">
        <x:v>Rule</x:v>
      </x:c>
      <x:c r="D17" s="9"/>
      <x:c r="E17" s="9"/>
      <x:c r="F17" s="9"/>
      <x:c r="G17" s="9"/>
      <x:c r="H17" s="9"/>
    </x:row>
    <x:row r="18">
      <x:c r="A18" s="9" t="str">
        <x:v>TC01</x:v>
      </x:c>
      <x:c r="B18" s="17" t="str">
        <x:v>Physical start</x:v>
      </x:c>
      <x:c r="C18" s="17" t="str">
        <x:v>event start is the earliest decisive operation seen by two unlike traces or an earlier authenticated start command</x:v>
      </x:c>
      <x:c r="D18" s="9"/>
      <x:c r="E18" s="9"/>
      <x:c r="F18" s="9"/>
      <x:c r="G18" s="9"/>
      <x:c r="H18" s="9"/>
    </x:row>
    <x:row r="19">
      <x:c r="A19" s="9" t="str">
        <x:v>TC02</x:v>
      </x:c>
      <x:c r="B19" s="17" t="str">
        <x:v>Paper cannot erase exposure</x:v>
      </x:c>
      <x:c r="C19" s="17" t="str">
        <x:v>missing authority after decisive operation creates a breach docket, not a no-event fiction</x:v>
      </x:c>
      <x:c r="D19" s="9"/>
      <x:c r="E19" s="9"/>
      <x:c r="F19" s="9"/>
      <x:c r="G19" s="9"/>
      <x:c r="H19" s="9"/>
    </x:row>
    <x:row r="20">
      <x:c r="A20" s="9" t="str">
        <x:v>TC03</x:v>
      </x:c>
      <x:c r="B20" s="17" t="str">
        <x:v>One opportunity</x:v>
      </x:c>
      <x:c r="C20" s="17" t="str">
        <x:v>one valid candidate-caused start consumes BRK identity and creates no automatic retry</x:v>
      </x:c>
      <x:c r="D20" s="9"/>
      <x:c r="E20" s="9"/>
      <x:c r="F20" s="9"/>
      <x:c r="G20" s="9"/>
      <x:c r="H20" s="9"/>
    </x:row>
    <x:row r="21">
      <x:c r="A21" s="9" t="str">
        <x:v>TC04</x:v>
      </x:c>
      <x:c r="B21" s="17" t="str">
        <x:v>Safety supremacy</x:v>
      </x:c>
      <x:c r="C21" s="17" t="str">
        <x:v>any safety authority may stop; intervention cannot earn favorable credit or erase candidate-caused behavior</x:v>
      </x:c>
      <x:c r="D21" s="9"/>
      <x:c r="E21" s="9"/>
      <x:c r="F21" s="9"/>
      <x:c r="G21" s="9"/>
      <x:c r="H21" s="9"/>
    </x:row>
    <x:row r="22">
      <x:c r="A22" s="9" t="str">
        <x:v>TC05</x:v>
      </x:c>
      <x:c r="B22" s="17" t="str">
        <x:v>Separated raw originals</x:v>
      </x:c>
      <x:c r="C22" s="17" t="str">
        <x:v>primary, witness, clock, environment, command, receiver, interface and residual records retain distinct origins</x:v>
      </x:c>
      <x:c r="D22" s="9"/>
      <x:c r="E22" s="9"/>
      <x:c r="F22" s="9"/>
      <x:c r="G22" s="9"/>
      <x:c r="H22" s="9"/>
    </x:row>
    <x:row r="23">
      <x:c r="A23" s="9" t="str">
        <x:v>TC06</x:v>
      </x:c>
      <x:c r="B23" s="17" t="str">
        <x:v>Observation acceptance</x:v>
      </x:c>
      <x:c r="C23" s="17" t="str">
        <x:v>record integrity, completeness, uncertainty and provenance are judged separately from performance</x:v>
      </x:c>
      <x:c r="D23" s="9"/>
      <x:c r="E23" s="9"/>
      <x:c r="F23" s="9"/>
      <x:c r="G23" s="9"/>
      <x:c r="H23" s="9"/>
    </x:row>
    <x:row r="24">
      <x:c r="A24" s="9" t="str">
        <x:v>TC07</x:v>
      </x:c>
      <x:c r="B24" s="17" t="str">
        <x:v>Contradiction survives</x:v>
      </x:c>
      <x:c r="C24" s="17" t="str">
        <x:v>unlike measurement disagreement is published and cannot be averaged into agreement</x:v>
      </x:c>
      <x:c r="D24" s="9"/>
      <x:c r="E24" s="9"/>
      <x:c r="F24" s="9"/>
      <x:c r="G24" s="9"/>
      <x:c r="H24" s="9"/>
    </x:row>
    <x:row r="25">
      <x:c r="A25" s="9" t="str">
        <x:v>TC08</x:v>
      </x:c>
      <x:c r="B25" s="17" t="str">
        <x:v>Invalidity burden</x:v>
      </x:c>
      <x:c r="C25" s="17" t="str">
        <x:v>the party seeking facility invalidity must prove exogenous cause, temporal priority and candidate non-causation</x:v>
      </x:c>
      <x:c r="D25" s="9"/>
      <x:c r="E25" s="9"/>
      <x:c r="F25" s="9"/>
      <x:c r="G25" s="9"/>
      <x:c r="H25" s="9"/>
    </x:row>
    <x:row r="26">
      <x:c r="A26" s="9" t="str">
        <x:v>TC09</x:v>
      </x:c>
      <x:c r="B26" s="17" t="str">
        <x:v>Ambiguity cannot favor candidate</x:v>
      </x:c>
      <x:c r="C26" s="17" t="str">
        <x:v>unproven invalidity preserves the valid record and supplies no favorable inference</x:v>
      </x:c>
      <x:c r="D26" s="9"/>
      <x:c r="E26" s="9"/>
      <x:c r="F26" s="9"/>
      <x:c r="G26" s="9"/>
      <x:c r="H26" s="9"/>
    </x:row>
    <x:row r="27">
      <x:c r="A27" s="9" t="str">
        <x:v>TC10</x:v>
      </x:c>
      <x:c r="B27" s="17" t="str">
        <x:v>INT boundary</x:v>
      </x:c>
      <x:c r="C27" s="17" t="str">
        <x:v>integration articles remain context only and never receive acceptance weight</x:v>
      </x:c>
      <x:c r="D27" s="9"/>
      <x:c r="E27" s="9"/>
      <x:c r="F27" s="9"/>
      <x:c r="G27" s="9"/>
      <x:c r="H27" s="9"/>
    </x:row>
    <x:row r="28">
      <x:c r="A28" s="9" t="str">
        <x:v>TC11</x:v>
      </x:c>
      <x:c r="B28" s="17" t="str">
        <x:v>BRK finality</x:v>
      </x:c>
      <x:c r="C28" s="17" t="str">
        <x:v>first decisive BRK exposure consumes the role even if the article survives or safety intervention succeeds</x:v>
      </x:c>
      <x:c r="D28" s="9"/>
      <x:c r="E28" s="9"/>
      <x:c r="F28" s="9"/>
      <x:c r="G28" s="9"/>
      <x:c r="H28" s="9"/>
    </x:row>
    <x:row r="29">
      <x:c r="A29" s="9" t="str">
        <x:v>TC12</x:v>
      </x:c>
      <x:c r="B29" s="17" t="str">
        <x:v>RCN independence</x:v>
      </x:c>
      <x:c r="C29" s="17" t="str">
        <x:v>a virgin clean-team article must preserve denied origin keys, staff and coaching through its own valid event</x:v>
      </x:c>
      <x:c r="D29" s="9"/>
      <x:c r="E29" s="9"/>
      <x:c r="F29" s="9"/>
      <x:c r="G29" s="9"/>
      <x:c r="H29" s="9"/>
    </x:row>
    <x:row r="30">
      <x:c r="A30" s="9" t="str">
        <x:v>TC13</x:v>
      </x:c>
      <x:c r="B30" s="17" t="str">
        <x:v>Root conjunction</x:v>
      </x:c>
      <x:c r="C30" s="17" t="str">
        <x:v>one root dossier requires final BRK and RCN judgments; INT cannot compensate for either</x:v>
      </x:c>
      <x:c r="D30" s="9"/>
      <x:c r="E30" s="9"/>
      <x:c r="F30" s="9"/>
      <x:c r="G30" s="9"/>
      <x:c r="H30" s="9"/>
    </x:row>
    <x:row r="31">
      <x:c r="A31" s="9" t="str">
        <x:v>TC14</x:v>
      </x:c>
      <x:c r="B31" s="17" t="str">
        <x:v>No selection</x:v>
      </x:c>
      <x:c r="C31" s="17" t="str">
        <x:v>a closed root dossier creates evidence eligibility, not rank, production or readiness</x:v>
      </x:c>
      <x:c r="D31" s="9"/>
      <x:c r="E31" s="9"/>
      <x:c r="F31" s="9"/>
      <x:c r="G31" s="9"/>
      <x:c r="H31" s="9"/>
    </x:row>
    <x:row r="32">
      <x:c r="A32" s="9" t="str">
        <x:v>TC15</x:v>
      </x:c>
      <x:c r="B32" s="17" t="str">
        <x:v>Cohort embargo</x:v>
      </x:c>
      <x:c r="C32" s="17" t="str">
        <x:v>candidate identity, performance and comparative direction remain sealed until all 144 serial dockets are terminal</x:v>
      </x:c>
      <x:c r="D32" s="9"/>
      <x:c r="E32" s="9"/>
      <x:c r="F32" s="9"/>
      <x:c r="G32" s="9"/>
      <x:c r="H32" s="9"/>
    </x:row>
    <x:row r="33">
      <x:c r="A33" s="9" t="str">
        <x:v>TC16</x:v>
      </x:c>
      <x:c r="B33" s="17" t="str">
        <x:v>Safety exception</x:v>
      </x:c>
      <x:c r="C33" s="17" t="str">
        <x:v>only a source-blind symmetric safety burden may leave embargo before campaign release</x:v>
      </x:c>
      <x:c r="D33" s="9"/>
      <x:c r="E33" s="9"/>
      <x:c r="F33" s="9"/>
      <x:c r="G33" s="9"/>
      <x:c r="H33" s="9"/>
    </x:row>
    <x:row r="34">
      <x:c r="A34" s="9" t="str">
        <x:v>TC17</x:v>
      </x:c>
      <x:c r="B34" s="17" t="str">
        <x:v>Complete disclosure</x:v>
      </x:c>
      <x:c r="C34" s="17" t="str">
        <x:v>sixteen objects per event release together; adverse, invalid and dissenting records remain visible</x:v>
      </x:c>
      <x:c r="D34" s="9"/>
      <x:c r="E34" s="9"/>
      <x:c r="F34" s="9"/>
      <x:c r="G34" s="9"/>
      <x:c r="H34" s="9"/>
    </x:row>
    <x:row r="35">
      <x:c r="A35" s="9" t="str">
        <x:v>TC18</x:v>
      </x:c>
      <x:c r="B35" s="17" t="str">
        <x:v>Four-of-six release</x:v>
      </x:c>
      <x:c r="C35" s="17" t="str">
        <x:v>four independent public custodians must authorize cohort release after the last terminal docket</x:v>
      </x:c>
      <x:c r="D35" s="9"/>
      <x:c r="E35" s="9"/>
      <x:c r="F35" s="9"/>
      <x:c r="G35" s="9"/>
      <x:c r="H35" s="9"/>
    </x:row>
    <x:row r="36">
      <x:c r="A36" s="9" t="str">
        <x:v>TC19</x:v>
      </x:c>
      <x:c r="B36" s="17" t="str">
        <x:v>No finance conversion</x:v>
      </x:c>
      <x:c r="C36" s="17" t="str">
        <x:v>event, observation, judgment or release cannot change earned construction payment or create outcome fee</x:v>
      </x:c>
      <x:c r="D36" s="9"/>
      <x:c r="E36" s="9"/>
      <x:c r="F36" s="9"/>
      <x:c r="G36" s="9"/>
      <x:c r="H36" s="9"/>
    </x:row>
    <x:row r="37">
      <x:c r="A37" s="9" t="str">
        <x:v>TC20</x:v>
      </x:c>
      <x:c r="B37" s="17" t="str">
        <x:v>Terminal return</x:v>
      </x:c>
      <x:c r="C37" s="17" t="str">
        <x:v>EDR-1, CTL-1, MIT-1, EOW-1 and this compact return as one executable but unexecuted campaign</x:v>
      </x:c>
      <x:c r="D37" s="9"/>
      <x:c r="E37" s="9"/>
      <x:c r="F37" s="9"/>
      <x:c r="G37" s="9"/>
      <x:c r="H37" s="9"/>
    </x:row>
  </x:sheetData>
  <x:conditionalFormatting sqref="C7:C11">
    <x:cfRule type="containsText" dxfId="0" priority="1" operator="containsText" text="OPEN"/>
    <x:cfRule type="containsText" dxfId="1" priority="2" operator="containsText" text="BLOCKED"/>
    <x:cfRule type="containsText" dxfId="2" priority="3" operator="containsText" text="UNSTARTED"/>
    <x:cfRule type="containsText" dxfId="3" priority="4" operator="containsText" text="UNSEALED"/>
    <x:cfRule type="containsText" dxfId="4" priority="5" operator="containsText" text="UNACCEPTED"/>
    <x:cfRule type="containsText" dxfId="5" priority="6" operator="containsText" text="UNFILED"/>
    <x:cfRule type="containsText" dxfId="6" priority="7" operator="containsText" text="UNJUDGED"/>
    <x:cfRule type="containsText" dxfId="7" priority="8" operator="containsText" text="UNRELEASED"/>
    <x:cfRule type="containsText" dxfId="8" priority="9" operator="containsText" text="HELD"/>
    <x:cfRule type="containsText" dxfId="9" priority="10" operator="containsText" text="PENDING"/>
    <x:cfRule type="containsText" dxfId="10" priority="11" operator="containsText" text="SOURCE-EMPTY"/>
    <x:cfRule type="containsText" dxfId="11" priority="12" operator="containsText" text="FAIL"/>
    <x:cfRule type="containsText" dxfId="12" priority="13" operator="containsText" text="TERMINATE"/>
    <x:cfRule type="containsText" dxfId="13" priority="14" operator="containsText" text="PROHIBITED"/>
    <x:cfRule type="containsText" dxfId="14" priority="15" operator="containsText" text="BREACH"/>
    <x:cfRule type="containsText" dxfId="15" priority="16" operator="containsText" text="QUARANTINE"/>
  </x:conditionalFormatting>
  <x:pageMargins left="0.7" right="0.7" top="0.75" bottom="0.75" header="0.3" footer="0.3"/>
  <x:tableParts count="2">
    <x:tablePart xmlns:r="http://schemas.openxmlformats.org/officeDocument/2006/relationships" r:id="R4d30b879ba8a4e84"/>
    <x:tablePart xmlns:r="http://schemas.openxmlformats.org/officeDocument/2006/relationships" r:id="R25a577faa6b94109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48" hidden="0" customWidth="1"/>
    <x:col min="2" max="2" width="48" hidden="0" customWidth="1"/>
    <x:col min="3" max="3" width="42" hidden="0" customWidth="1"/>
    <x:col min="4" max="4" width="24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20" hidden="0" customWidth="1"/>
    <x:col min="11" max="11" width="34" hidden="0" customWidth="1"/>
    <x:col min="12" max="12" width="14" hidden="0" customWidth="1"/>
    <x:col min="13" max="13" width="18" hidden="0" customWidth="1"/>
    <x:col min="14" max="14" width="14" hidden="0" customWidth="1"/>
    <x:col min="15" max="15" width="16" hidden="0" customWidth="1"/>
    <x:col min="16" max="16" width="20" hidden="0" customWidth="1"/>
    <x:col min="17" max="17" width="16" hidden="0" customWidth="1"/>
    <x:col min="18" max="18" width="14" hidden="0" customWidth="1"/>
    <x:col min="19" max="19" width="18" hidden="0" customWidth="1"/>
    <x:col min="20" max="20" width="18" hidden="0" customWidth="1"/>
    <x:col min="21" max="21" width="21" hidden="0" customWidth="1"/>
    <x:col min="22" max="22" width="18" hidden="0" customWidth="1"/>
    <x:col min="23" max="23" width="21" hidden="0" customWidth="1"/>
    <x:col min="24" max="24" width="21" hidden="0" customWidth="1"/>
    <x:col min="25" max="25" width="19" hidden="0" customWidth="1"/>
    <x:col min="26" max="26" width="21" hidden="0" customWidth="1"/>
    <x:col min="27" max="27" width="17" hidden="0" customWidth="1"/>
    <x:col min="28" max="28" width="30" hidden="0" customWidth="1"/>
    <x:col min="29" max="29" width="20" hidden="0" customWidth="1"/>
    <x:col min="30" max="30" width="21" hidden="0" customWidth="1"/>
    <x:col min="31" max="31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31" t="str">
        <x:v>One-shot event-to-disclosure ledger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</x:row>
    <x:row r="6" ht="34" customHeight="1">
      <x:c r="A6" s="35" t="str">
        <x:v>Event</x:v>
      </x:c>
      <x:c r="B6" s="35" t="str">
        <x:v>Opportunity</x:v>
      </x:c>
      <x:c r="C6" s="35" t="str">
        <x:v>Serial</x:v>
      </x:c>
      <x:c r="D6" s="35" t="str">
        <x:v>Order</x:v>
      </x:c>
      <x:c r="E6" s="35" t="str">
        <x:v>Form</x:v>
      </x:c>
      <x:c r="F6" s="35" t="str">
        <x:v>Builder</x:v>
      </x:c>
      <x:c r="G6" s="35" t="str">
        <x:v>Role</x:v>
      </x:c>
      <x:c r="H6" s="35" t="str">
        <x:v>Epoch</x:v>
      </x:c>
      <x:c r="I6" s="35" t="str">
        <x:v>Window</x:v>
      </x:c>
      <x:c r="J6" s="35" t="str">
        <x:v>Site</x:v>
      </x:c>
      <x:c r="K6" s="35" t="str">
        <x:v>Fixture</x:v>
      </x:c>
      <x:c r="L6" s="35" t="str">
        <x:v>Start week</x:v>
      </x:c>
      <x:c r="M6" s="35" t="str">
        <x:v>Acceptance bearing</x:v>
      </x:c>
      <x:c r="N6" s="35" t="str">
        <x:v>EOW issued</x:v>
      </x:c>
      <x:c r="O6" s="35" t="str">
        <x:v>Start controls</x:v>
      </x:c>
      <x:c r="P6" s="35" t="str">
        <x:v>Start controls closed</x:v>
      </x:c>
      <x:c r="Q6" s="35" t="str">
        <x:v>Physical start</x:v>
      </x:c>
      <x:c r="R6" s="35" t="str">
        <x:v>Raw objects</x:v>
      </x:c>
      <x:c r="S6" s="35" t="str">
        <x:v>Raw packets sealed</x:v>
      </x:c>
      <x:c r="T6" s="35" t="str">
        <x:v>Observation gates</x:v>
      </x:c>
      <x:c r="U6" s="35" t="str">
        <x:v>Observation gates accepted</x:v>
      </x:c>
      <x:c r="V6" s="35" t="str">
        <x:v>Invalidity state</x:v>
      </x:c>
      <x:c r="W6" s="35" t="str">
        <x:v>Observation accepted</x:v>
      </x:c>
      <x:c r="X6" s="35" t="str">
        <x:v>Role judgment issued</x:v>
      </x:c>
      <x:c r="Y6" s="35" t="str">
        <x:v>Disclosure objects</x:v>
      </x:c>
      <x:c r="Z6" s="35" t="str">
        <x:v>Disclosure complete</x:v>
      </x:c>
      <x:c r="AA6" s="35" t="str">
        <x:v>Result released</x:v>
      </x:c>
      <x:c r="AB6" s="35" t="str">
        <x:v>State</x:v>
      </x:c>
      <x:c r="AC6" s="35" t="str">
        <x:v>Record multiplicity</x:v>
      </x:c>
      <x:c r="AD6" s="35" t="str">
        <x:v>Epoch-window count</x:v>
      </x:c>
      <x:c r="AE6" s="35" t="str">
        <x:v>Site-window count</x:v>
      </x:c>
    </x:row>
    <x:row r="7">
      <x:c r="A7" s="9" t="str">
        <x:v>EV-AR-CT-C-B-TECH-1-B2-RCN-G0</x:v>
      </x:c>
      <x:c r="B7" s="9" t="str">
        <x:v>EOW-AR-CT-C-B-TECH-1-B2-RCN-G0</x:v>
      </x:c>
      <x:c r="C7" s="9" t="str">
        <x:v>AR-CT-C-B-TECH-1-B2-RCN-G0</x:v>
      </x:c>
      <x:c r="D7" s="9" t="str">
        <x:v>CT-C-B-TECH-1</x:v>
      </x:c>
      <x:c r="E7" s="9" t="str">
        <x:v>CT-C-B</x:v>
      </x:c>
      <x:c r="F7" s="9" t="str">
        <x:v>B2</x:v>
      </x:c>
      <x:c r="G7" s="9" t="str">
        <x:v>RCN</x:v>
      </x:c>
      <x:c r="H7" s="9" t="n">
        <x:v>1</x:v>
      </x:c>
      <x:c r="I7" s="9" t="n">
        <x:v>1</x:v>
      </x:c>
      <x:c r="J7" s="9" t="str">
        <x:v>CT-C-B-N2</x:v>
      </x:c>
      <x:c r="K7" s="9" t="str">
        <x:v>FX-CT-C-B-TECH-1-F2</x:v>
      </x:c>
      <x:c r="L7" s="9" t="n">
        <x:v>104</x:v>
      </x:c>
      <x:c r="M7" s="9" t="n">
        <x:v>1</x:v>
      </x:c>
      <x:c r="N7" s="9" t="n">
        <x:v>0</x:v>
      </x:c>
      <x:c r="O7" s="9" t="n">
        <x:v>10</x:v>
      </x:c>
      <x:c r="P7" s="9" t="n">
        <x:f>SUMIFS('Start Controls'!$P$7:$P$1446,'Start Controls'!$B$7:$B$1446,A7)</x:f>
        <x:v>0</x:v>
      </x:c>
      <x:c r="Q7" s="9" t="n">
        <x:v>0</x:v>
      </x:c>
      <x:c r="R7" s="9" t="n">
        <x:v>8</x:v>
      </x:c>
      <x:c r="S7" s="9" t="n">
        <x:f>SUMIFS('Raw Custody'!$M$7:$M$1158,'Raw Custody'!$B$7:$B$1158,A7)</x:f>
        <x:v>0</x:v>
      </x:c>
      <x:c r="T7" s="9" t="n">
        <x:v>12</x:v>
      </x:c>
      <x:c r="U7" s="9" t="n">
        <x:f>SUMIFS('Observation Gates'!$L$7:$L$1734,'Observation Gates'!$B$7:$B$1734,A7)</x:f>
        <x:v>0</x:v>
      </x:c>
      <x:c r="V7" s="9" t="str">
        <x:v>UNFILED</x:v>
      </x:c>
      <x:c r="W7" s="9" t="n">
        <x:v>0</x:v>
      </x:c>
      <x:c r="X7" s="9" t="n">
        <x:v>0</x:v>
      </x:c>
      <x:c r="Y7" s="9" t="n">
        <x:v>16</x:v>
      </x:c>
      <x:c r="Z7" s="9" t="n">
        <x:f>SUMIFS('Disclosure Packets'!$M$7:$M$2310,'Disclosure Packets'!$C$7:$C$2310,A7)</x:f>
        <x:v>0</x:v>
      </x:c>
      <x:c r="AA7" s="9" t="n">
        <x:v>0</x:v>
      </x:c>
      <x:c r="AB7" s="9" t="str">
        <x:f>IF(N7=0,"PLANNED / BLOCKED",IF(P7&lt;O7,"EOW / START BLOCKED",IF(Q7=0,"ARMED / UNSTARTED",IF(S7&lt;R7,"STARTED / RAW UNSEALED",IF(U7&lt;T7,"SEALED / OBSERVATION OPEN",IF(X7=0,"OBSERVED / UNJUDGED",IF(Z7&lt;Y7,"JUDGED / DISCLOSURE HELD",IF(AA7=0,"COMPLETE / EMBARGOED","PUBLIC / TERMINAL"))))))))</x:f>
        <x:v>PLANNED / BLOCKED</x:v>
      </x:c>
      <x:c r="AC7" s="9" t="n">
        <x:f>COUNTIFS($A$7:$A$150,A7)</x:f>
        <x:v>1</x:v>
      </x:c>
      <x:c r="AD7" s="9" t="n">
        <x:f>COUNTIFS($H$7:$H$150,H7,$I$7:$I$150,I7)</x:f>
        <x:v>6</x:v>
      </x:c>
      <x:c r="AE7" s="9" t="n">
        <x:f>COUNTIFS($H$7:$H$150,H7,$I$7:$I$150,I7,$J$7:$J$150,J7)</x:f>
        <x:v>1</x:v>
      </x:c>
    </x:row>
    <x:row r="8">
      <x:c r="A8" s="9" t="str">
        <x:v>EV-AR-CT-C-B-TECH-3-B2-BRK-G0</x:v>
      </x:c>
      <x:c r="B8" s="9" t="str">
        <x:v>EOW-AR-CT-C-B-TECH-3-B2-BRK-G0</x:v>
      </x:c>
      <x:c r="C8" s="9" t="str">
        <x:v>AR-CT-C-B-TECH-3-B2-BRK-G0</x:v>
      </x:c>
      <x:c r="D8" s="9" t="str">
        <x:v>CT-C-B-TECH-3</x:v>
      </x:c>
      <x:c r="E8" s="9" t="str">
        <x:v>CT-C-B</x:v>
      </x:c>
      <x:c r="F8" s="9" t="str">
        <x:v>B2</x:v>
      </x:c>
      <x:c r="G8" s="9" t="str">
        <x:v>BRK</x:v>
      </x:c>
      <x:c r="H8" s="9" t="n">
        <x:v>1</x:v>
      </x:c>
      <x:c r="I8" s="9" t="n">
        <x:v>1</x:v>
      </x:c>
      <x:c r="J8" s="9" t="str">
        <x:v>CT-C-B-N3</x:v>
      </x:c>
      <x:c r="K8" s="9" t="str">
        <x:v>FX-CT-C-B-TECH-3-F1</x:v>
      </x:c>
      <x:c r="L8" s="9" t="n">
        <x:v>104</x:v>
      </x:c>
      <x:c r="M8" s="9" t="n">
        <x:v>1</x:v>
      </x:c>
      <x:c r="N8" s="9" t="n">
        <x:v>0</x:v>
      </x:c>
      <x:c r="O8" s="9" t="n">
        <x:v>10</x:v>
      </x:c>
      <x:c r="P8" s="9" t="n">
        <x:f>SUMIFS('Start Controls'!$P$7:$P$1446,'Start Controls'!$B$7:$B$1446,A8)</x:f>
        <x:v>0</x:v>
      </x:c>
      <x:c r="Q8" s="9" t="n">
        <x:v>0</x:v>
      </x:c>
      <x:c r="R8" s="9" t="n">
        <x:v>8</x:v>
      </x:c>
      <x:c r="S8" s="9" t="n">
        <x:f>SUMIFS('Raw Custody'!$M$7:$M$1158,'Raw Custody'!$B$7:$B$1158,A8)</x:f>
        <x:v>0</x:v>
      </x:c>
      <x:c r="T8" s="9" t="n">
        <x:v>12</x:v>
      </x:c>
      <x:c r="U8" s="9" t="n">
        <x:f>SUMIFS('Observation Gates'!$L$7:$L$1734,'Observation Gates'!$B$7:$B$1734,A8)</x:f>
        <x:v>0</x:v>
      </x:c>
      <x:c r="V8" s="9" t="str">
        <x:v>UNFILED</x:v>
      </x:c>
      <x:c r="W8" s="9" t="n">
        <x:v>0</x:v>
      </x:c>
      <x:c r="X8" s="9" t="n">
        <x:v>0</x:v>
      </x:c>
      <x:c r="Y8" s="9" t="n">
        <x:v>16</x:v>
      </x:c>
      <x:c r="Z8" s="9" t="n">
        <x:f>SUMIFS('Disclosure Packets'!$M$7:$M$2310,'Disclosure Packets'!$C$7:$C$2310,A8)</x:f>
        <x:v>0</x:v>
      </x:c>
      <x:c r="AA8" s="9" t="n">
        <x:v>0</x:v>
      </x:c>
      <x:c r="AB8" s="9" t="str">
        <x:f>IF(N8=0,"PLANNED / BLOCKED",IF(P8&lt;O8,"EOW / START BLOCKED",IF(Q8=0,"ARMED / UNSTARTED",IF(S8&lt;R8,"STARTED / RAW UNSEALED",IF(U8&lt;T8,"SEALED / OBSERVATION OPEN",IF(X8=0,"OBSERVED / UNJUDGED",IF(Z8&lt;Y8,"JUDGED / DISCLOSURE HELD",IF(AA8=0,"COMPLETE / EMBARGOED","PUBLIC / TERMINAL"))))))))</x:f>
        <x:v>PLANNED / BLOCKED</x:v>
      </x:c>
      <x:c r="AC8" s="9" t="n">
        <x:f>COUNTIFS($A$7:$A$150,A8)</x:f>
        <x:v>1</x:v>
      </x:c>
      <x:c r="AD8" s="9" t="n">
        <x:f>COUNTIFS($H$7:$H$150,H8,$I$7:$I$150,I8)</x:f>
        <x:v>6</x:v>
      </x:c>
      <x:c r="AE8" s="9" t="n">
        <x:f>COUNTIFS($H$7:$H$150,H8,$I$7:$I$150,I8,$J$7:$J$150,J8)</x:f>
        <x:v>1</x:v>
      </x:c>
    </x:row>
    <x:row r="9">
      <x:c r="A9" s="9" t="str">
        <x:v>EV-AR-HC-A-C-TECH-1-B1-RCN-G0</x:v>
      </x:c>
      <x:c r="B9" s="9" t="str">
        <x:v>EOW-AR-HC-A-C-TECH-1-B1-RCN-G0</x:v>
      </x:c>
      <x:c r="C9" s="9" t="str">
        <x:v>AR-HC-A-C-TECH-1-B1-RCN-G0</x:v>
      </x:c>
      <x:c r="D9" s="9" t="str">
        <x:v>HC-A-C-TECH-1</x:v>
      </x:c>
      <x:c r="E9" s="9" t="str">
        <x:v>HC-A-C</x:v>
      </x:c>
      <x:c r="F9" s="9" t="str">
        <x:v>B1</x:v>
      </x:c>
      <x:c r="G9" s="9" t="str">
        <x:v>RCN</x:v>
      </x:c>
      <x:c r="H9" s="9" t="n">
        <x:v>1</x:v>
      </x:c>
      <x:c r="I9" s="9" t="n">
        <x:v>1</x:v>
      </x:c>
      <x:c r="J9" s="9" t="str">
        <x:v>HC-A-C-N1</x:v>
      </x:c>
      <x:c r="K9" s="9" t="str">
        <x:v>FX-HC-A-C-TECH-1-F1</x:v>
      </x:c>
      <x:c r="L9" s="9" t="n">
        <x:v>104</x:v>
      </x:c>
      <x:c r="M9" s="9" t="n">
        <x:v>1</x:v>
      </x:c>
      <x:c r="N9" s="9" t="n">
        <x:v>0</x:v>
      </x:c>
      <x:c r="O9" s="9" t="n">
        <x:v>10</x:v>
      </x:c>
      <x:c r="P9" s="9" t="n">
        <x:f>SUMIFS('Start Controls'!$P$7:$P$1446,'Start Controls'!$B$7:$B$1446,A9)</x:f>
        <x:v>0</x:v>
      </x:c>
      <x:c r="Q9" s="9" t="n">
        <x:v>0</x:v>
      </x:c>
      <x:c r="R9" s="9" t="n">
        <x:v>8</x:v>
      </x:c>
      <x:c r="S9" s="9" t="n">
        <x:f>SUMIFS('Raw Custody'!$M$7:$M$1158,'Raw Custody'!$B$7:$B$1158,A9)</x:f>
        <x:v>0</x:v>
      </x:c>
      <x:c r="T9" s="9" t="n">
        <x:v>12</x:v>
      </x:c>
      <x:c r="U9" s="9" t="n">
        <x:f>SUMIFS('Observation Gates'!$L$7:$L$1734,'Observation Gates'!$B$7:$B$1734,A9)</x:f>
        <x:v>0</x:v>
      </x:c>
      <x:c r="V9" s="9" t="str">
        <x:v>UNFILED</x:v>
      </x:c>
      <x:c r="W9" s="9" t="n">
        <x:v>0</x:v>
      </x:c>
      <x:c r="X9" s="9" t="n">
        <x:v>0</x:v>
      </x:c>
      <x:c r="Y9" s="9" t="n">
        <x:v>16</x:v>
      </x:c>
      <x:c r="Z9" s="9" t="n">
        <x:f>SUMIFS('Disclosure Packets'!$M$7:$M$2310,'Disclosure Packets'!$C$7:$C$2310,A9)</x:f>
        <x:v>0</x:v>
      </x:c>
      <x:c r="AA9" s="9" t="n">
        <x:v>0</x:v>
      </x:c>
      <x:c r="AB9" s="9" t="str">
        <x:f>IF(N9=0,"PLANNED / BLOCKED",IF(P9&lt;O9,"EOW / START BLOCKED",IF(Q9=0,"ARMED / UNSTARTED",IF(S9&lt;R9,"STARTED / RAW UNSEALED",IF(U9&lt;T9,"SEALED / OBSERVATION OPEN",IF(X9=0,"OBSERVED / UNJUDGED",IF(Z9&lt;Y9,"JUDGED / DISCLOSURE HELD",IF(AA9=0,"COMPLETE / EMBARGOED","PUBLIC / TERMINAL"))))))))</x:f>
        <x:v>PLANNED / BLOCKED</x:v>
      </x:c>
      <x:c r="AC9" s="9" t="n">
        <x:f>COUNTIFS($A$7:$A$150,A9)</x:f>
        <x:v>1</x:v>
      </x:c>
      <x:c r="AD9" s="9" t="n">
        <x:f>COUNTIFS($H$7:$H$150,H9,$I$7:$I$150,I9)</x:f>
        <x:v>6</x:v>
      </x:c>
      <x:c r="AE9" s="9" t="n">
        <x:f>COUNTIFS($H$7:$H$150,H9,$I$7:$I$150,I9,$J$7:$J$150,J9)</x:f>
        <x:v>1</x:v>
      </x:c>
    </x:row>
    <x:row r="10">
      <x:c r="A10" s="9" t="str">
        <x:v>EV-AR-HU-A-B-TECH-4-B2-RCN-G0</x:v>
      </x:c>
      <x:c r="B10" s="9" t="str">
        <x:v>EOW-AR-HU-A-B-TECH-4-B2-RCN-G0</x:v>
      </x:c>
      <x:c r="C10" s="9" t="str">
        <x:v>AR-HU-A-B-TECH-4-B2-RCN-G0</x:v>
      </x:c>
      <x:c r="D10" s="9" t="str">
        <x:v>HU-A-B-TECH-4</x:v>
      </x:c>
      <x:c r="E10" s="9" t="str">
        <x:v>HU-A-B</x:v>
      </x:c>
      <x:c r="F10" s="9" t="str">
        <x:v>B2</x:v>
      </x:c>
      <x:c r="G10" s="9" t="str">
        <x:v>RCN</x:v>
      </x:c>
      <x:c r="H10" s="9" t="n">
        <x:v>1</x:v>
      </x:c>
      <x:c r="I10" s="9" t="n">
        <x:v>1</x:v>
      </x:c>
      <x:c r="J10" s="9" t="str">
        <x:v>HU-A-B-N1</x:v>
      </x:c>
      <x:c r="K10" s="9" t="str">
        <x:v>FX-HU-A-B-TECH-4-F1</x:v>
      </x:c>
      <x:c r="L10" s="9" t="n">
        <x:v>104</x:v>
      </x:c>
      <x:c r="M10" s="9" t="n">
        <x:v>1</x:v>
      </x:c>
      <x:c r="N10" s="9" t="n">
        <x:v>0</x:v>
      </x:c>
      <x:c r="O10" s="9" t="n">
        <x:v>10</x:v>
      </x:c>
      <x:c r="P10" s="9" t="n">
        <x:f>SUMIFS('Start Controls'!$P$7:$P$1446,'Start Controls'!$B$7:$B$1446,A10)</x:f>
        <x:v>0</x:v>
      </x:c>
      <x:c r="Q10" s="9" t="n">
        <x:v>0</x:v>
      </x:c>
      <x:c r="R10" s="9" t="n">
        <x:v>8</x:v>
      </x:c>
      <x:c r="S10" s="9" t="n">
        <x:f>SUMIFS('Raw Custody'!$M$7:$M$1158,'Raw Custody'!$B$7:$B$1158,A10)</x:f>
        <x:v>0</x:v>
      </x:c>
      <x:c r="T10" s="9" t="n">
        <x:v>12</x:v>
      </x:c>
      <x:c r="U10" s="9" t="n">
        <x:f>SUMIFS('Observation Gates'!$L$7:$L$1734,'Observation Gates'!$B$7:$B$1734,A10)</x:f>
        <x:v>0</x:v>
      </x:c>
      <x:c r="V10" s="9" t="str">
        <x:v>UNFILED</x:v>
      </x:c>
      <x:c r="W10" s="9" t="n">
        <x:v>0</x:v>
      </x:c>
      <x:c r="X10" s="9" t="n">
        <x:v>0</x:v>
      </x:c>
      <x:c r="Y10" s="9" t="n">
        <x:v>16</x:v>
      </x:c>
      <x:c r="Z10" s="9" t="n">
        <x:f>SUMIFS('Disclosure Packets'!$M$7:$M$2310,'Disclosure Packets'!$C$7:$C$2310,A10)</x:f>
        <x:v>0</x:v>
      </x:c>
      <x:c r="AA10" s="9" t="n">
        <x:v>0</x:v>
      </x:c>
      <x:c r="AB10" s="9" t="str">
        <x:f>IF(N10=0,"PLANNED / BLOCKED",IF(P10&lt;O10,"EOW / START BLOCKED",IF(Q10=0,"ARMED / UNSTARTED",IF(S10&lt;R10,"STARTED / RAW UNSEALED",IF(U10&lt;T10,"SEALED / OBSERVATION OPEN",IF(X10=0,"OBSERVED / UNJUDGED",IF(Z10&lt;Y10,"JUDGED / DISCLOSURE HELD",IF(AA10=0,"COMPLETE / EMBARGOED","PUBLIC / TERMINAL"))))))))</x:f>
        <x:v>PLANNED / BLOCKED</x:v>
      </x:c>
      <x:c r="AC10" s="9" t="n">
        <x:f>COUNTIFS($A$7:$A$150,A10)</x:f>
        <x:v>1</x:v>
      </x:c>
      <x:c r="AD10" s="9" t="n">
        <x:f>COUNTIFS($H$7:$H$150,H10,$I$7:$I$150,I10)</x:f>
        <x:v>6</x:v>
      </x:c>
      <x:c r="AE10" s="9" t="n">
        <x:f>COUNTIFS($H$7:$H$150,H10,$I$7:$I$150,I10,$J$7:$J$150,J10)</x:f>
        <x:v>1</x:v>
      </x:c>
    </x:row>
    <x:row r="11">
      <x:c r="A11" s="9" t="str">
        <x:v>EV-AR-HU-A-B-TECH-2-B2-INT-G0</x:v>
      </x:c>
      <x:c r="B11" s="9" t="str">
        <x:v>EOW-AR-HU-A-B-TECH-2-B2-INT-G0</x:v>
      </x:c>
      <x:c r="C11" s="9" t="str">
        <x:v>AR-HU-A-B-TECH-2-B2-INT-G0</x:v>
      </x:c>
      <x:c r="D11" s="9" t="str">
        <x:v>HU-A-B-TECH-2</x:v>
      </x:c>
      <x:c r="E11" s="9" t="str">
        <x:v>HU-A-B</x:v>
      </x:c>
      <x:c r="F11" s="9" t="str">
        <x:v>B2</x:v>
      </x:c>
      <x:c r="G11" s="9" t="str">
        <x:v>INT</x:v>
      </x:c>
      <x:c r="H11" s="9" t="n">
        <x:v>1</x:v>
      </x:c>
      <x:c r="I11" s="9" t="n">
        <x:v>1</x:v>
      </x:c>
      <x:c r="J11" s="9" t="str">
        <x:v>HU-A-B-N2</x:v>
      </x:c>
      <x:c r="K11" s="9" t="str">
        <x:v>FX-HU-A-B-TECH-2-F1</x:v>
      </x:c>
      <x:c r="L11" s="9" t="n">
        <x:v>104</x:v>
      </x:c>
      <x:c r="M11" s="9" t="n">
        <x:v>0</x:v>
      </x:c>
      <x:c r="N11" s="9" t="n">
        <x:v>0</x:v>
      </x:c>
      <x:c r="O11" s="9" t="n">
        <x:v>10</x:v>
      </x:c>
      <x:c r="P11" s="9" t="n">
        <x:f>SUMIFS('Start Controls'!$P$7:$P$1446,'Start Controls'!$B$7:$B$1446,A11)</x:f>
        <x:v>0</x:v>
      </x:c>
      <x:c r="Q11" s="9" t="n">
        <x:v>0</x:v>
      </x:c>
      <x:c r="R11" s="9" t="n">
        <x:v>8</x:v>
      </x:c>
      <x:c r="S11" s="9" t="n">
        <x:f>SUMIFS('Raw Custody'!$M$7:$M$1158,'Raw Custody'!$B$7:$B$1158,A11)</x:f>
        <x:v>0</x:v>
      </x:c>
      <x:c r="T11" s="9" t="n">
        <x:v>12</x:v>
      </x:c>
      <x:c r="U11" s="9" t="n">
        <x:f>SUMIFS('Observation Gates'!$L$7:$L$1734,'Observation Gates'!$B$7:$B$1734,A11)</x:f>
        <x:v>0</x:v>
      </x:c>
      <x:c r="V11" s="9" t="str">
        <x:v>UNFILED</x:v>
      </x:c>
      <x:c r="W11" s="9" t="n">
        <x:v>0</x:v>
      </x:c>
      <x:c r="X11" s="9" t="n">
        <x:v>0</x:v>
      </x:c>
      <x:c r="Y11" s="9" t="n">
        <x:v>16</x:v>
      </x:c>
      <x:c r="Z11" s="9" t="n">
        <x:f>SUMIFS('Disclosure Packets'!$M$7:$M$2310,'Disclosure Packets'!$C$7:$C$2310,A11)</x:f>
        <x:v>0</x:v>
      </x:c>
      <x:c r="AA11" s="9" t="n">
        <x:v>0</x:v>
      </x:c>
      <x:c r="AB11" s="9" t="str">
        <x:f>IF(N11=0,"PLANNED / BLOCKED",IF(P11&lt;O11,"EOW / START BLOCKED",IF(Q11=0,"ARMED / UNSTARTED",IF(S11&lt;R11,"STARTED / RAW UNSEALED",IF(U11&lt;T11,"SEALED / OBSERVATION OPEN",IF(X11=0,"OBSERVED / UNJUDGED",IF(Z11&lt;Y11,"JUDGED / DISCLOSURE HELD",IF(AA11=0,"COMPLETE / EMBARGOED","PUBLIC / TERMINAL"))))))))</x:f>
        <x:v>PLANNED / BLOCKED</x:v>
      </x:c>
      <x:c r="AC11" s="9" t="n">
        <x:f>COUNTIFS($A$7:$A$150,A11)</x:f>
        <x:v>1</x:v>
      </x:c>
      <x:c r="AD11" s="9" t="n">
        <x:f>COUNTIFS($H$7:$H$150,H11,$I$7:$I$150,I11)</x:f>
        <x:v>6</x:v>
      </x:c>
      <x:c r="AE11" s="9" t="n">
        <x:f>COUNTIFS($H$7:$H$150,H11,$I$7:$I$150,I11,$J$7:$J$150,J11)</x:f>
        <x:v>1</x:v>
      </x:c>
    </x:row>
    <x:row r="12">
      <x:c r="A12" s="9" t="str">
        <x:v>EV-AR-LF-B-A-TECH-4-B1-INT-G0</x:v>
      </x:c>
      <x:c r="B12" s="9" t="str">
        <x:v>EOW-AR-LF-B-A-TECH-4-B1-INT-G0</x:v>
      </x:c>
      <x:c r="C12" s="9" t="str">
        <x:v>AR-LF-B-A-TECH-4-B1-INT-G0</x:v>
      </x:c>
      <x:c r="D12" s="9" t="str">
        <x:v>LF-B-A-TECH-4</x:v>
      </x:c>
      <x:c r="E12" s="9" t="str">
        <x:v>LF-B-A</x:v>
      </x:c>
      <x:c r="F12" s="9" t="str">
        <x:v>B1</x:v>
      </x:c>
      <x:c r="G12" s="9" t="str">
        <x:v>INT</x:v>
      </x:c>
      <x:c r="H12" s="9" t="n">
        <x:v>1</x:v>
      </x:c>
      <x:c r="I12" s="9" t="n">
        <x:v>1</x:v>
      </x:c>
      <x:c r="J12" s="9" t="str">
        <x:v>LF-B-A-N2</x:v>
      </x:c>
      <x:c r="K12" s="9" t="str">
        <x:v>FX-LF-B-A-TECH-4-F2</x:v>
      </x:c>
      <x:c r="L12" s="9" t="n">
        <x:v>104</x:v>
      </x:c>
      <x:c r="M12" s="9" t="n">
        <x:v>0</x:v>
      </x:c>
      <x:c r="N12" s="9" t="n">
        <x:v>0</x:v>
      </x:c>
      <x:c r="O12" s="9" t="n">
        <x:v>10</x:v>
      </x:c>
      <x:c r="P12" s="9" t="n">
        <x:f>SUMIFS('Start Controls'!$P$7:$P$1446,'Start Controls'!$B$7:$B$1446,A12)</x:f>
        <x:v>0</x:v>
      </x:c>
      <x:c r="Q12" s="9" t="n">
        <x:v>0</x:v>
      </x:c>
      <x:c r="R12" s="9" t="n">
        <x:v>8</x:v>
      </x:c>
      <x:c r="S12" s="9" t="n">
        <x:f>SUMIFS('Raw Custody'!$M$7:$M$1158,'Raw Custody'!$B$7:$B$1158,A12)</x:f>
        <x:v>0</x:v>
      </x:c>
      <x:c r="T12" s="9" t="n">
        <x:v>12</x:v>
      </x:c>
      <x:c r="U12" s="9" t="n">
        <x:f>SUMIFS('Observation Gates'!$L$7:$L$1734,'Observation Gates'!$B$7:$B$1734,A12)</x:f>
        <x:v>0</x:v>
      </x:c>
      <x:c r="V12" s="9" t="str">
        <x:v>UNFILED</x:v>
      </x:c>
      <x:c r="W12" s="9" t="n">
        <x:v>0</x:v>
      </x:c>
      <x:c r="X12" s="9" t="n">
        <x:v>0</x:v>
      </x:c>
      <x:c r="Y12" s="9" t="n">
        <x:v>16</x:v>
      </x:c>
      <x:c r="Z12" s="9" t="n">
        <x:f>SUMIFS('Disclosure Packets'!$M$7:$M$2310,'Disclosure Packets'!$C$7:$C$2310,A12)</x:f>
        <x:v>0</x:v>
      </x:c>
      <x:c r="AA12" s="9" t="n">
        <x:v>0</x:v>
      </x:c>
      <x:c r="AB12" s="9" t="str">
        <x:f>IF(N12=0,"PLANNED / BLOCKED",IF(P12&lt;O12,"EOW / START BLOCKED",IF(Q12=0,"ARMED / UNSTARTED",IF(S12&lt;R12,"STARTED / RAW UNSEALED",IF(U12&lt;T12,"SEALED / OBSERVATION OPEN",IF(X12=0,"OBSERVED / UNJUDGED",IF(Z12&lt;Y12,"JUDGED / DISCLOSURE HELD",IF(AA12=0,"COMPLETE / EMBARGOED","PUBLIC / TERMINAL"))))))))</x:f>
        <x:v>PLANNED / BLOCKED</x:v>
      </x:c>
      <x:c r="AC12" s="9" t="n">
        <x:f>COUNTIFS($A$7:$A$150,A12)</x:f>
        <x:v>1</x:v>
      </x:c>
      <x:c r="AD12" s="9" t="n">
        <x:f>COUNTIFS($H$7:$H$150,H12,$I$7:$I$150,I12)</x:f>
        <x:v>6</x:v>
      </x:c>
      <x:c r="AE12" s="9" t="n">
        <x:f>COUNTIFS($H$7:$H$150,H12,$I$7:$I$150,I12,$J$7:$J$150,J12)</x:f>
        <x:v>1</x:v>
      </x:c>
    </x:row>
    <x:row r="13">
      <x:c r="A13" s="9" t="str">
        <x:v>EV-AR-ET-A-A-TECH-1-B1-INT-G0</x:v>
      </x:c>
      <x:c r="B13" s="9" t="str">
        <x:v>EOW-AR-ET-A-A-TECH-1-B1-INT-G0</x:v>
      </x:c>
      <x:c r="C13" s="9" t="str">
        <x:v>AR-ET-A-A-TECH-1-B1-INT-G0</x:v>
      </x:c>
      <x:c r="D13" s="9" t="str">
        <x:v>ET-A-A-TECH-1</x:v>
      </x:c>
      <x:c r="E13" s="9" t="str">
        <x:v>ET-A-A</x:v>
      </x:c>
      <x:c r="F13" s="9" t="str">
        <x:v>B1</x:v>
      </x:c>
      <x:c r="G13" s="9" t="str">
        <x:v>INT</x:v>
      </x:c>
      <x:c r="H13" s="9" t="n">
        <x:v>1</x:v>
      </x:c>
      <x:c r="I13" s="9" t="n">
        <x:v>2</x:v>
      </x:c>
      <x:c r="J13" s="9" t="str">
        <x:v>ET-A-A-N1</x:v>
      </x:c>
      <x:c r="K13" s="9" t="str">
        <x:v>FX-ET-A-A-TECH-1-F1</x:v>
      </x:c>
      <x:c r="L13" s="9" t="n">
        <x:v>110</x:v>
      </x:c>
      <x:c r="M13" s="9" t="n">
        <x:v>0</x:v>
      </x:c>
      <x:c r="N13" s="9" t="n">
        <x:v>0</x:v>
      </x:c>
      <x:c r="O13" s="9" t="n">
        <x:v>10</x:v>
      </x:c>
      <x:c r="P13" s="9" t="n">
        <x:f>SUMIFS('Start Controls'!$P$7:$P$1446,'Start Controls'!$B$7:$B$1446,A13)</x:f>
        <x:v>0</x:v>
      </x:c>
      <x:c r="Q13" s="9" t="n">
        <x:v>0</x:v>
      </x:c>
      <x:c r="R13" s="9" t="n">
        <x:v>8</x:v>
      </x:c>
      <x:c r="S13" s="9" t="n">
        <x:f>SUMIFS('Raw Custody'!$M$7:$M$1158,'Raw Custody'!$B$7:$B$1158,A13)</x:f>
        <x:v>0</x:v>
      </x:c>
      <x:c r="T13" s="9" t="n">
        <x:v>12</x:v>
      </x:c>
      <x:c r="U13" s="9" t="n">
        <x:f>SUMIFS('Observation Gates'!$L$7:$L$1734,'Observation Gates'!$B$7:$B$1734,A13)</x:f>
        <x:v>0</x:v>
      </x:c>
      <x:c r="V13" s="9" t="str">
        <x:v>UNFILED</x:v>
      </x:c>
      <x:c r="W13" s="9" t="n">
        <x:v>0</x:v>
      </x:c>
      <x:c r="X13" s="9" t="n">
        <x:v>0</x:v>
      </x:c>
      <x:c r="Y13" s="9" t="n">
        <x:v>16</x:v>
      </x:c>
      <x:c r="Z13" s="9" t="n">
        <x:f>SUMIFS('Disclosure Packets'!$M$7:$M$2310,'Disclosure Packets'!$C$7:$C$2310,A13)</x:f>
        <x:v>0</x:v>
      </x:c>
      <x:c r="AA13" s="9" t="n">
        <x:v>0</x:v>
      </x:c>
      <x:c r="AB13" s="9" t="str">
        <x:f>IF(N13=0,"PLANNED / BLOCKED",IF(P13&lt;O13,"EOW / START BLOCKED",IF(Q13=0,"ARMED / UNSTARTED",IF(S13&lt;R13,"STARTED / RAW UNSEALED",IF(U13&lt;T13,"SEALED / OBSERVATION OPEN",IF(X13=0,"OBSERVED / UNJUDGED",IF(Z13&lt;Y13,"JUDGED / DISCLOSURE HELD",IF(AA13=0,"COMPLETE / EMBARGOED","PUBLIC / TERMINAL"))))))))</x:f>
        <x:v>PLANNED / BLOCKED</x:v>
      </x:c>
      <x:c r="AC13" s="9" t="n">
        <x:f>COUNTIFS($A$7:$A$150,A13)</x:f>
        <x:v>1</x:v>
      </x:c>
      <x:c r="AD13" s="9" t="n">
        <x:f>COUNTIFS($H$7:$H$150,H13,$I$7:$I$150,I13)</x:f>
        <x:v>6</x:v>
      </x:c>
      <x:c r="AE13" s="9" t="n">
        <x:f>COUNTIFS($H$7:$H$150,H13,$I$7:$I$150,I13,$J$7:$J$150,J13)</x:f>
        <x:v>1</x:v>
      </x:c>
    </x:row>
    <x:row r="14">
      <x:c r="A14" s="9" t="str">
        <x:v>EV-AR-ET-A-A-TECH-2-B2-RCN-G0</x:v>
      </x:c>
      <x:c r="B14" s="9" t="str">
        <x:v>EOW-AR-ET-A-A-TECH-2-B2-RCN-G0</x:v>
      </x:c>
      <x:c r="C14" s="9" t="str">
        <x:v>AR-ET-A-A-TECH-2-B2-RCN-G0</x:v>
      </x:c>
      <x:c r="D14" s="9" t="str">
        <x:v>ET-A-A-TECH-2</x:v>
      </x:c>
      <x:c r="E14" s="9" t="str">
        <x:v>ET-A-A</x:v>
      </x:c>
      <x:c r="F14" s="9" t="str">
        <x:v>B2</x:v>
      </x:c>
      <x:c r="G14" s="9" t="str">
        <x:v>RCN</x:v>
      </x:c>
      <x:c r="H14" s="9" t="n">
        <x:v>1</x:v>
      </x:c>
      <x:c r="I14" s="9" t="n">
        <x:v>2</x:v>
      </x:c>
      <x:c r="J14" s="9" t="str">
        <x:v>ET-A-A-N2</x:v>
      </x:c>
      <x:c r="K14" s="9" t="str">
        <x:v>FX-ET-A-A-TECH-2-F1</x:v>
      </x:c>
      <x:c r="L14" s="9" t="n">
        <x:v>110</x:v>
      </x:c>
      <x:c r="M14" s="9" t="n">
        <x:v>1</x:v>
      </x:c>
      <x:c r="N14" s="9" t="n">
        <x:v>0</x:v>
      </x:c>
      <x:c r="O14" s="9" t="n">
        <x:v>10</x:v>
      </x:c>
      <x:c r="P14" s="9" t="n">
        <x:f>SUMIFS('Start Controls'!$P$7:$P$1446,'Start Controls'!$B$7:$B$1446,A14)</x:f>
        <x:v>0</x:v>
      </x:c>
      <x:c r="Q14" s="9" t="n">
        <x:v>0</x:v>
      </x:c>
      <x:c r="R14" s="9" t="n">
        <x:v>8</x:v>
      </x:c>
      <x:c r="S14" s="9" t="n">
        <x:f>SUMIFS('Raw Custody'!$M$7:$M$1158,'Raw Custody'!$B$7:$B$1158,A14)</x:f>
        <x:v>0</x:v>
      </x:c>
      <x:c r="T14" s="9" t="n">
        <x:v>12</x:v>
      </x:c>
      <x:c r="U14" s="9" t="n">
        <x:f>SUMIFS('Observation Gates'!$L$7:$L$1734,'Observation Gates'!$B$7:$B$1734,A14)</x:f>
        <x:v>0</x:v>
      </x:c>
      <x:c r="V14" s="9" t="str">
        <x:v>UNFILED</x:v>
      </x:c>
      <x:c r="W14" s="9" t="n">
        <x:v>0</x:v>
      </x:c>
      <x:c r="X14" s="9" t="n">
        <x:v>0</x:v>
      </x:c>
      <x:c r="Y14" s="9" t="n">
        <x:v>16</x:v>
      </x:c>
      <x:c r="Z14" s="9" t="n">
        <x:f>SUMIFS('Disclosure Packets'!$M$7:$M$2310,'Disclosure Packets'!$C$7:$C$2310,A14)</x:f>
        <x:v>0</x:v>
      </x:c>
      <x:c r="AA14" s="9" t="n">
        <x:v>0</x:v>
      </x:c>
      <x:c r="AB14" s="9" t="str">
        <x:f>IF(N14=0,"PLANNED / BLOCKED",IF(P14&lt;O14,"EOW / START BLOCKED",IF(Q14=0,"ARMED / UNSTARTED",IF(S14&lt;R14,"STARTED / RAW UNSEALED",IF(U14&lt;T14,"SEALED / OBSERVATION OPEN",IF(X14=0,"OBSERVED / UNJUDGED",IF(Z14&lt;Y14,"JUDGED / DISCLOSURE HELD",IF(AA14=0,"COMPLETE / EMBARGOED","PUBLIC / TERMINAL"))))))))</x:f>
        <x:v>PLANNED / BLOCKED</x:v>
      </x:c>
      <x:c r="AC14" s="9" t="n">
        <x:f>COUNTIFS($A$7:$A$150,A14)</x:f>
        <x:v>1</x:v>
      </x:c>
      <x:c r="AD14" s="9" t="n">
        <x:f>COUNTIFS($H$7:$H$150,H14,$I$7:$I$150,I14)</x:f>
        <x:v>6</x:v>
      </x:c>
      <x:c r="AE14" s="9" t="n">
        <x:f>COUNTIFS($H$7:$H$150,H14,$I$7:$I$150,I14,$J$7:$J$150,J14)</x:f>
        <x:v>1</x:v>
      </x:c>
    </x:row>
    <x:row r="15">
      <x:c r="A15" s="9" t="str">
        <x:v>EV-AR-HC-A-C-TECH-3-B1-BRK-G0</x:v>
      </x:c>
      <x:c r="B15" s="9" t="str">
        <x:v>EOW-AR-HC-A-C-TECH-3-B1-BRK-G0</x:v>
      </x:c>
      <x:c r="C15" s="9" t="str">
        <x:v>AR-HC-A-C-TECH-3-B1-BRK-G0</x:v>
      </x:c>
      <x:c r="D15" s="9" t="str">
        <x:v>HC-A-C-TECH-3</x:v>
      </x:c>
      <x:c r="E15" s="9" t="str">
        <x:v>HC-A-C</x:v>
      </x:c>
      <x:c r="F15" s="9" t="str">
        <x:v>B1</x:v>
      </x:c>
      <x:c r="G15" s="9" t="str">
        <x:v>BRK</x:v>
      </x:c>
      <x:c r="H15" s="9" t="n">
        <x:v>1</x:v>
      </x:c>
      <x:c r="I15" s="9" t="n">
        <x:v>2</x:v>
      </x:c>
      <x:c r="J15" s="9" t="str">
        <x:v>HC-A-C-N1</x:v>
      </x:c>
      <x:c r="K15" s="9" t="str">
        <x:v>FX-HC-A-C-TECH-3-F2</x:v>
      </x:c>
      <x:c r="L15" s="9" t="n">
        <x:v>110</x:v>
      </x:c>
      <x:c r="M15" s="9" t="n">
        <x:v>1</x:v>
      </x:c>
      <x:c r="N15" s="9" t="n">
        <x:v>0</x:v>
      </x:c>
      <x:c r="O15" s="9" t="n">
        <x:v>10</x:v>
      </x:c>
      <x:c r="P15" s="9" t="n">
        <x:f>SUMIFS('Start Controls'!$P$7:$P$1446,'Start Controls'!$B$7:$B$1446,A15)</x:f>
        <x:v>0</x:v>
      </x:c>
      <x:c r="Q15" s="9" t="n">
        <x:v>0</x:v>
      </x:c>
      <x:c r="R15" s="9" t="n">
        <x:v>8</x:v>
      </x:c>
      <x:c r="S15" s="9" t="n">
        <x:f>SUMIFS('Raw Custody'!$M$7:$M$1158,'Raw Custody'!$B$7:$B$1158,A15)</x:f>
        <x:v>0</x:v>
      </x:c>
      <x:c r="T15" s="9" t="n">
        <x:v>12</x:v>
      </x:c>
      <x:c r="U15" s="9" t="n">
        <x:f>SUMIFS('Observation Gates'!$L$7:$L$1734,'Observation Gates'!$B$7:$B$1734,A15)</x:f>
        <x:v>0</x:v>
      </x:c>
      <x:c r="V15" s="9" t="str">
        <x:v>UNFILED</x:v>
      </x:c>
      <x:c r="W15" s="9" t="n">
        <x:v>0</x:v>
      </x:c>
      <x:c r="X15" s="9" t="n">
        <x:v>0</x:v>
      </x:c>
      <x:c r="Y15" s="9" t="n">
        <x:v>16</x:v>
      </x:c>
      <x:c r="Z15" s="9" t="n">
        <x:f>SUMIFS('Disclosure Packets'!$M$7:$M$2310,'Disclosure Packets'!$C$7:$C$2310,A15)</x:f>
        <x:v>0</x:v>
      </x:c>
      <x:c r="AA15" s="9" t="n">
        <x:v>0</x:v>
      </x:c>
      <x:c r="AB15" s="9" t="str">
        <x:f>IF(N15=0,"PLANNED / BLOCKED",IF(P15&lt;O15,"EOW / START BLOCKED",IF(Q15=0,"ARMED / UNSTARTED",IF(S15&lt;R15,"STARTED / RAW UNSEALED",IF(U15&lt;T15,"SEALED / OBSERVATION OPEN",IF(X15=0,"OBSERVED / UNJUDGED",IF(Z15&lt;Y15,"JUDGED / DISCLOSURE HELD",IF(AA15=0,"COMPLETE / EMBARGOED","PUBLIC / TERMINAL"))))))))</x:f>
        <x:v>PLANNED / BLOCKED</x:v>
      </x:c>
      <x:c r="AC15" s="9" t="n">
        <x:f>COUNTIFS($A$7:$A$150,A15)</x:f>
        <x:v>1</x:v>
      </x:c>
      <x:c r="AD15" s="9" t="n">
        <x:f>COUNTIFS($H$7:$H$150,H15,$I$7:$I$150,I15)</x:f>
        <x:v>6</x:v>
      </x:c>
      <x:c r="AE15" s="9" t="n">
        <x:f>COUNTIFS($H$7:$H$150,H15,$I$7:$I$150,I15,$J$7:$J$150,J15)</x:f>
        <x:v>1</x:v>
      </x:c>
    </x:row>
    <x:row r="16">
      <x:c r="A16" s="9" t="str">
        <x:v>EV-AR-HU-A-B-TECH-3-B1-INT-G0</x:v>
      </x:c>
      <x:c r="B16" s="9" t="str">
        <x:v>EOW-AR-HU-A-B-TECH-3-B1-INT-G0</x:v>
      </x:c>
      <x:c r="C16" s="9" t="str">
        <x:v>AR-HU-A-B-TECH-3-B1-INT-G0</x:v>
      </x:c>
      <x:c r="D16" s="9" t="str">
        <x:v>HU-A-B-TECH-3</x:v>
      </x:c>
      <x:c r="E16" s="9" t="str">
        <x:v>HU-A-B</x:v>
      </x:c>
      <x:c r="F16" s="9" t="str">
        <x:v>B1</x:v>
      </x:c>
      <x:c r="G16" s="9" t="str">
        <x:v>INT</x:v>
      </x:c>
      <x:c r="H16" s="9" t="n">
        <x:v>1</x:v>
      </x:c>
      <x:c r="I16" s="9" t="n">
        <x:v>2</x:v>
      </x:c>
      <x:c r="J16" s="9" t="str">
        <x:v>HU-A-B-N3</x:v>
      </x:c>
      <x:c r="K16" s="9" t="str">
        <x:v>FX-HU-A-B-TECH-3-F1</x:v>
      </x:c>
      <x:c r="L16" s="9" t="n">
        <x:v>110</x:v>
      </x:c>
      <x:c r="M16" s="9" t="n">
        <x:v>0</x:v>
      </x:c>
      <x:c r="N16" s="9" t="n">
        <x:v>0</x:v>
      </x:c>
      <x:c r="O16" s="9" t="n">
        <x:v>10</x:v>
      </x:c>
      <x:c r="P16" s="9" t="n">
        <x:f>SUMIFS('Start Controls'!$P$7:$P$1446,'Start Controls'!$B$7:$B$1446,A16)</x:f>
        <x:v>0</x:v>
      </x:c>
      <x:c r="Q16" s="9" t="n">
        <x:v>0</x:v>
      </x:c>
      <x:c r="R16" s="9" t="n">
        <x:v>8</x:v>
      </x:c>
      <x:c r="S16" s="9" t="n">
        <x:f>SUMIFS('Raw Custody'!$M$7:$M$1158,'Raw Custody'!$B$7:$B$1158,A16)</x:f>
        <x:v>0</x:v>
      </x:c>
      <x:c r="T16" s="9" t="n">
        <x:v>12</x:v>
      </x:c>
      <x:c r="U16" s="9" t="n">
        <x:f>SUMIFS('Observation Gates'!$L$7:$L$1734,'Observation Gates'!$B$7:$B$1734,A16)</x:f>
        <x:v>0</x:v>
      </x:c>
      <x:c r="V16" s="9" t="str">
        <x:v>UNFILED</x:v>
      </x:c>
      <x:c r="W16" s="9" t="n">
        <x:v>0</x:v>
      </x:c>
      <x:c r="X16" s="9" t="n">
        <x:v>0</x:v>
      </x:c>
      <x:c r="Y16" s="9" t="n">
        <x:v>16</x:v>
      </x:c>
      <x:c r="Z16" s="9" t="n">
        <x:f>SUMIFS('Disclosure Packets'!$M$7:$M$2310,'Disclosure Packets'!$C$7:$C$2310,A16)</x:f>
        <x:v>0</x:v>
      </x:c>
      <x:c r="AA16" s="9" t="n">
        <x:v>0</x:v>
      </x:c>
      <x:c r="AB16" s="9" t="str">
        <x:f>IF(N16=0,"PLANNED / BLOCKED",IF(P16&lt;O16,"EOW / START BLOCKED",IF(Q16=0,"ARMED / UNSTARTED",IF(S16&lt;R16,"STARTED / RAW UNSEALED",IF(U16&lt;T16,"SEALED / OBSERVATION OPEN",IF(X16=0,"OBSERVED / UNJUDGED",IF(Z16&lt;Y16,"JUDGED / DISCLOSURE HELD",IF(AA16=0,"COMPLETE / EMBARGOED","PUBLIC / TERMINAL"))))))))</x:f>
        <x:v>PLANNED / BLOCKED</x:v>
      </x:c>
      <x:c r="AC16" s="9" t="n">
        <x:f>COUNTIFS($A$7:$A$150,A16)</x:f>
        <x:v>1</x:v>
      </x:c>
      <x:c r="AD16" s="9" t="n">
        <x:f>COUNTIFS($H$7:$H$150,H16,$I$7:$I$150,I16)</x:f>
        <x:v>6</x:v>
      </x:c>
      <x:c r="AE16" s="9" t="n">
        <x:f>COUNTIFS($H$7:$H$150,H16,$I$7:$I$150,I16,$J$7:$J$150,J16)</x:f>
        <x:v>1</x:v>
      </x:c>
    </x:row>
    <x:row r="17">
      <x:c r="A17" s="9" t="str">
        <x:v>EV-AR-LF-B-A-TECH-1-B2-BRK-G0</x:v>
      </x:c>
      <x:c r="B17" s="9" t="str">
        <x:v>EOW-AR-LF-B-A-TECH-1-B2-BRK-G0</x:v>
      </x:c>
      <x:c r="C17" s="9" t="str">
        <x:v>AR-LF-B-A-TECH-1-B2-BRK-G0</x:v>
      </x:c>
      <x:c r="D17" s="9" t="str">
        <x:v>LF-B-A-TECH-1</x:v>
      </x:c>
      <x:c r="E17" s="9" t="str">
        <x:v>LF-B-A</x:v>
      </x:c>
      <x:c r="F17" s="9" t="str">
        <x:v>B2</x:v>
      </x:c>
      <x:c r="G17" s="9" t="str">
        <x:v>BRK</x:v>
      </x:c>
      <x:c r="H17" s="9" t="n">
        <x:v>1</x:v>
      </x:c>
      <x:c r="I17" s="9" t="n">
        <x:v>2</x:v>
      </x:c>
      <x:c r="J17" s="9" t="str">
        <x:v>LF-B-A-N1</x:v>
      </x:c>
      <x:c r="K17" s="9" t="str">
        <x:v>FX-LF-B-A-TECH-1-F1</x:v>
      </x:c>
      <x:c r="L17" s="9" t="n">
        <x:v>110</x:v>
      </x:c>
      <x:c r="M17" s="9" t="n">
        <x:v>1</x:v>
      </x:c>
      <x:c r="N17" s="9" t="n">
        <x:v>0</x:v>
      </x:c>
      <x:c r="O17" s="9" t="n">
        <x:v>10</x:v>
      </x:c>
      <x:c r="P17" s="9" t="n">
        <x:f>SUMIFS('Start Controls'!$P$7:$P$1446,'Start Controls'!$B$7:$B$1446,A17)</x:f>
        <x:v>0</x:v>
      </x:c>
      <x:c r="Q17" s="9" t="n">
        <x:v>0</x:v>
      </x:c>
      <x:c r="R17" s="9" t="n">
        <x:v>8</x:v>
      </x:c>
      <x:c r="S17" s="9" t="n">
        <x:f>SUMIFS('Raw Custody'!$M$7:$M$1158,'Raw Custody'!$B$7:$B$1158,A17)</x:f>
        <x:v>0</x:v>
      </x:c>
      <x:c r="T17" s="9" t="n">
        <x:v>12</x:v>
      </x:c>
      <x:c r="U17" s="9" t="n">
        <x:f>SUMIFS('Observation Gates'!$L$7:$L$1734,'Observation Gates'!$B$7:$B$1734,A17)</x:f>
        <x:v>0</x:v>
      </x:c>
      <x:c r="V17" s="9" t="str">
        <x:v>UNFILED</x:v>
      </x:c>
      <x:c r="W17" s="9" t="n">
        <x:v>0</x:v>
      </x:c>
      <x:c r="X17" s="9" t="n">
        <x:v>0</x:v>
      </x:c>
      <x:c r="Y17" s="9" t="n">
        <x:v>16</x:v>
      </x:c>
      <x:c r="Z17" s="9" t="n">
        <x:f>SUMIFS('Disclosure Packets'!$M$7:$M$2310,'Disclosure Packets'!$C$7:$C$2310,A17)</x:f>
        <x:v>0</x:v>
      </x:c>
      <x:c r="AA17" s="9" t="n">
        <x:v>0</x:v>
      </x:c>
      <x:c r="AB17" s="9" t="str">
        <x:f>IF(N17=0,"PLANNED / BLOCKED",IF(P17&lt;O17,"EOW / START BLOCKED",IF(Q17=0,"ARMED / UNSTARTED",IF(S17&lt;R17,"STARTED / RAW UNSEALED",IF(U17&lt;T17,"SEALED / OBSERVATION OPEN",IF(X17=0,"OBSERVED / UNJUDGED",IF(Z17&lt;Y17,"JUDGED / DISCLOSURE HELD",IF(AA17=0,"COMPLETE / EMBARGOED","PUBLIC / TERMINAL"))))))))</x:f>
        <x:v>PLANNED / BLOCKED</x:v>
      </x:c>
      <x:c r="AC17" s="9" t="n">
        <x:f>COUNTIFS($A$7:$A$150,A17)</x:f>
        <x:v>1</x:v>
      </x:c>
      <x:c r="AD17" s="9" t="n">
        <x:f>COUNTIFS($H$7:$H$150,H17,$I$7:$I$150,I17)</x:f>
        <x:v>6</x:v>
      </x:c>
      <x:c r="AE17" s="9" t="n">
        <x:f>COUNTIFS($H$7:$H$150,H17,$I$7:$I$150,I17,$J$7:$J$150,J17)</x:f>
        <x:v>1</x:v>
      </x:c>
    </x:row>
    <x:row r="18">
      <x:c r="A18" s="9" t="str">
        <x:v>EV-AR-RT-B-C-TECH-1-B2-INT-G0</x:v>
      </x:c>
      <x:c r="B18" s="9" t="str">
        <x:v>EOW-AR-RT-B-C-TECH-1-B2-INT-G0</x:v>
      </x:c>
      <x:c r="C18" s="9" t="str">
        <x:v>AR-RT-B-C-TECH-1-B2-INT-G0</x:v>
      </x:c>
      <x:c r="D18" s="9" t="str">
        <x:v>RT-B-C-TECH-1</x:v>
      </x:c>
      <x:c r="E18" s="9" t="str">
        <x:v>RT-B-C</x:v>
      </x:c>
      <x:c r="F18" s="9" t="str">
        <x:v>B2</x:v>
      </x:c>
      <x:c r="G18" s="9" t="str">
        <x:v>INT</x:v>
      </x:c>
      <x:c r="H18" s="9" t="n">
        <x:v>1</x:v>
      </x:c>
      <x:c r="I18" s="9" t="n">
        <x:v>2</x:v>
      </x:c>
      <x:c r="J18" s="9" t="str">
        <x:v>RT-B-C-N2</x:v>
      </x:c>
      <x:c r="K18" s="9" t="str">
        <x:v>FX-RT-B-C-TECH-1-F2</x:v>
      </x:c>
      <x:c r="L18" s="9" t="n">
        <x:v>110</x:v>
      </x:c>
      <x:c r="M18" s="9" t="n">
        <x:v>0</x:v>
      </x:c>
      <x:c r="N18" s="9" t="n">
        <x:v>0</x:v>
      </x:c>
      <x:c r="O18" s="9" t="n">
        <x:v>10</x:v>
      </x:c>
      <x:c r="P18" s="9" t="n">
        <x:f>SUMIFS('Start Controls'!$P$7:$P$1446,'Start Controls'!$B$7:$B$1446,A18)</x:f>
        <x:v>0</x:v>
      </x:c>
      <x:c r="Q18" s="9" t="n">
        <x:v>0</x:v>
      </x:c>
      <x:c r="R18" s="9" t="n">
        <x:v>8</x:v>
      </x:c>
      <x:c r="S18" s="9" t="n">
        <x:f>SUMIFS('Raw Custody'!$M$7:$M$1158,'Raw Custody'!$B$7:$B$1158,A18)</x:f>
        <x:v>0</x:v>
      </x:c>
      <x:c r="T18" s="9" t="n">
        <x:v>12</x:v>
      </x:c>
      <x:c r="U18" s="9" t="n">
        <x:f>SUMIFS('Observation Gates'!$L$7:$L$1734,'Observation Gates'!$B$7:$B$1734,A18)</x:f>
        <x:v>0</x:v>
      </x:c>
      <x:c r="V18" s="9" t="str">
        <x:v>UNFILED</x:v>
      </x:c>
      <x:c r="W18" s="9" t="n">
        <x:v>0</x:v>
      </x:c>
      <x:c r="X18" s="9" t="n">
        <x:v>0</x:v>
      </x:c>
      <x:c r="Y18" s="9" t="n">
        <x:v>16</x:v>
      </x:c>
      <x:c r="Z18" s="9" t="n">
        <x:f>SUMIFS('Disclosure Packets'!$M$7:$M$2310,'Disclosure Packets'!$C$7:$C$2310,A18)</x:f>
        <x:v>0</x:v>
      </x:c>
      <x:c r="AA18" s="9" t="n">
        <x:v>0</x:v>
      </x:c>
      <x:c r="AB18" s="9" t="str">
        <x:f>IF(N18=0,"PLANNED / BLOCKED",IF(P18&lt;O18,"EOW / START BLOCKED",IF(Q18=0,"ARMED / UNSTARTED",IF(S18&lt;R18,"STARTED / RAW UNSEALED",IF(U18&lt;T18,"SEALED / OBSERVATION OPEN",IF(X18=0,"OBSERVED / UNJUDGED",IF(Z18&lt;Y18,"JUDGED / DISCLOSURE HELD",IF(AA18=0,"COMPLETE / EMBARGOED","PUBLIC / TERMINAL"))))))))</x:f>
        <x:v>PLANNED / BLOCKED</x:v>
      </x:c>
      <x:c r="AC18" s="9" t="n">
        <x:f>COUNTIFS($A$7:$A$150,A18)</x:f>
        <x:v>1</x:v>
      </x:c>
      <x:c r="AD18" s="9" t="n">
        <x:f>COUNTIFS($H$7:$H$150,H18,$I$7:$I$150,I18)</x:f>
        <x:v>6</x:v>
      </x:c>
      <x:c r="AE18" s="9" t="n">
        <x:f>COUNTIFS($H$7:$H$150,H18,$I$7:$I$150,I18,$J$7:$J$150,J18)</x:f>
        <x:v>1</x:v>
      </x:c>
    </x:row>
    <x:row r="19">
      <x:c r="A19" s="9" t="str">
        <x:v>EV-AR-ET-A-A-TECH-4-B2-BRK-G0</x:v>
      </x:c>
      <x:c r="B19" s="9" t="str">
        <x:v>EOW-AR-ET-A-A-TECH-4-B2-BRK-G0</x:v>
      </x:c>
      <x:c r="C19" s="9" t="str">
        <x:v>AR-ET-A-A-TECH-4-B2-BRK-G0</x:v>
      </x:c>
      <x:c r="D19" s="9" t="str">
        <x:v>ET-A-A-TECH-4</x:v>
      </x:c>
      <x:c r="E19" s="9" t="str">
        <x:v>ET-A-A</x:v>
      </x:c>
      <x:c r="F19" s="9" t="str">
        <x:v>B2</x:v>
      </x:c>
      <x:c r="G19" s="9" t="str">
        <x:v>BRK</x:v>
      </x:c>
      <x:c r="H19" s="9" t="n">
        <x:v>1</x:v>
      </x:c>
      <x:c r="I19" s="9" t="n">
        <x:v>3</x:v>
      </x:c>
      <x:c r="J19" s="9" t="str">
        <x:v>ET-A-A-N2</x:v>
      </x:c>
      <x:c r="K19" s="9" t="str">
        <x:v>FX-ET-A-A-TECH-4-F2</x:v>
      </x:c>
      <x:c r="L19" s="9" t="n">
        <x:v>116</x:v>
      </x:c>
      <x:c r="M19" s="9" t="n">
        <x:v>1</x:v>
      </x:c>
      <x:c r="N19" s="9" t="n">
        <x:v>0</x:v>
      </x:c>
      <x:c r="O19" s="9" t="n">
        <x:v>10</x:v>
      </x:c>
      <x:c r="P19" s="9" t="n">
        <x:f>SUMIFS('Start Controls'!$P$7:$P$1446,'Start Controls'!$B$7:$B$1446,A19)</x:f>
        <x:v>0</x:v>
      </x:c>
      <x:c r="Q19" s="9" t="n">
        <x:v>0</x:v>
      </x:c>
      <x:c r="R19" s="9" t="n">
        <x:v>8</x:v>
      </x:c>
      <x:c r="S19" s="9" t="n">
        <x:f>SUMIFS('Raw Custody'!$M$7:$M$1158,'Raw Custody'!$B$7:$B$1158,A19)</x:f>
        <x:v>0</x:v>
      </x:c>
      <x:c r="T19" s="9" t="n">
        <x:v>12</x:v>
      </x:c>
      <x:c r="U19" s="9" t="n">
        <x:f>SUMIFS('Observation Gates'!$L$7:$L$1734,'Observation Gates'!$B$7:$B$1734,A19)</x:f>
        <x:v>0</x:v>
      </x:c>
      <x:c r="V19" s="9" t="str">
        <x:v>UNFILED</x:v>
      </x:c>
      <x:c r="W19" s="9" t="n">
        <x:v>0</x:v>
      </x:c>
      <x:c r="X19" s="9" t="n">
        <x:v>0</x:v>
      </x:c>
      <x:c r="Y19" s="9" t="n">
        <x:v>16</x:v>
      </x:c>
      <x:c r="Z19" s="9" t="n">
        <x:f>SUMIFS('Disclosure Packets'!$M$7:$M$2310,'Disclosure Packets'!$C$7:$C$2310,A19)</x:f>
        <x:v>0</x:v>
      </x:c>
      <x:c r="AA19" s="9" t="n">
        <x:v>0</x:v>
      </x:c>
      <x:c r="AB19" s="9" t="str">
        <x:f>IF(N19=0,"PLANNED / BLOCKED",IF(P19&lt;O19,"EOW / START BLOCKED",IF(Q19=0,"ARMED / UNSTARTED",IF(S19&lt;R19,"STARTED / RAW UNSEALED",IF(U19&lt;T19,"SEALED / OBSERVATION OPEN",IF(X19=0,"OBSERVED / UNJUDGED",IF(Z19&lt;Y19,"JUDGED / DISCLOSURE HELD",IF(AA19=0,"COMPLETE / EMBARGOED","PUBLIC / TERMINAL"))))))))</x:f>
        <x:v>PLANNED / BLOCKED</x:v>
      </x:c>
      <x:c r="AC19" s="9" t="n">
        <x:f>COUNTIFS($A$7:$A$150,A19)</x:f>
        <x:v>1</x:v>
      </x:c>
      <x:c r="AD19" s="9" t="n">
        <x:f>COUNTIFS($H$7:$H$150,H19,$I$7:$I$150,I19)</x:f>
        <x:v>6</x:v>
      </x:c>
      <x:c r="AE19" s="9" t="n">
        <x:f>COUNTIFS($H$7:$H$150,H19,$I$7:$I$150,I19,$J$7:$J$150,J19)</x:f>
        <x:v>1</x:v>
      </x:c>
    </x:row>
    <x:row r="20">
      <x:c r="A20" s="9" t="str">
        <x:v>EV-AR-ET-A-A-TECH-3-B1-RCN-G0</x:v>
      </x:c>
      <x:c r="B20" s="9" t="str">
        <x:v>EOW-AR-ET-A-A-TECH-3-B1-RCN-G0</x:v>
      </x:c>
      <x:c r="C20" s="9" t="str">
        <x:v>AR-ET-A-A-TECH-3-B1-RCN-G0</x:v>
      </x:c>
      <x:c r="D20" s="9" t="str">
        <x:v>ET-A-A-TECH-3</x:v>
      </x:c>
      <x:c r="E20" s="9" t="str">
        <x:v>ET-A-A</x:v>
      </x:c>
      <x:c r="F20" s="9" t="str">
        <x:v>B1</x:v>
      </x:c>
      <x:c r="G20" s="9" t="str">
        <x:v>RCN</x:v>
      </x:c>
      <x:c r="H20" s="9" t="n">
        <x:v>1</x:v>
      </x:c>
      <x:c r="I20" s="9" t="n">
        <x:v>3</x:v>
      </x:c>
      <x:c r="J20" s="9" t="str">
        <x:v>ET-A-A-N3</x:v>
      </x:c>
      <x:c r="K20" s="9" t="str">
        <x:v>FX-ET-A-A-TECH-3-F1</x:v>
      </x:c>
      <x:c r="L20" s="9" t="n">
        <x:v>116</x:v>
      </x:c>
      <x:c r="M20" s="9" t="n">
        <x:v>1</x:v>
      </x:c>
      <x:c r="N20" s="9" t="n">
        <x:v>0</x:v>
      </x:c>
      <x:c r="O20" s="9" t="n">
        <x:v>10</x:v>
      </x:c>
      <x:c r="P20" s="9" t="n">
        <x:f>SUMIFS('Start Controls'!$P$7:$P$1446,'Start Controls'!$B$7:$B$1446,A20)</x:f>
        <x:v>0</x:v>
      </x:c>
      <x:c r="Q20" s="9" t="n">
        <x:v>0</x:v>
      </x:c>
      <x:c r="R20" s="9" t="n">
        <x:v>8</x:v>
      </x:c>
      <x:c r="S20" s="9" t="n">
        <x:f>SUMIFS('Raw Custody'!$M$7:$M$1158,'Raw Custody'!$B$7:$B$1158,A20)</x:f>
        <x:v>0</x:v>
      </x:c>
      <x:c r="T20" s="9" t="n">
        <x:v>12</x:v>
      </x:c>
      <x:c r="U20" s="9" t="n">
        <x:f>SUMIFS('Observation Gates'!$L$7:$L$1734,'Observation Gates'!$B$7:$B$1734,A20)</x:f>
        <x:v>0</x:v>
      </x:c>
      <x:c r="V20" s="9" t="str">
        <x:v>UNFILED</x:v>
      </x:c>
      <x:c r="W20" s="9" t="n">
        <x:v>0</x:v>
      </x:c>
      <x:c r="X20" s="9" t="n">
        <x:v>0</x:v>
      </x:c>
      <x:c r="Y20" s="9" t="n">
        <x:v>16</x:v>
      </x:c>
      <x:c r="Z20" s="9" t="n">
        <x:f>SUMIFS('Disclosure Packets'!$M$7:$M$2310,'Disclosure Packets'!$C$7:$C$2310,A20)</x:f>
        <x:v>0</x:v>
      </x:c>
      <x:c r="AA20" s="9" t="n">
        <x:v>0</x:v>
      </x:c>
      <x:c r="AB20" s="9" t="str">
        <x:f>IF(N20=0,"PLANNED / BLOCKED",IF(P20&lt;O20,"EOW / START BLOCKED",IF(Q20=0,"ARMED / UNSTARTED",IF(S20&lt;R20,"STARTED / RAW UNSEALED",IF(U20&lt;T20,"SEALED / OBSERVATION OPEN",IF(X20=0,"OBSERVED / UNJUDGED",IF(Z20&lt;Y20,"JUDGED / DISCLOSURE HELD",IF(AA20=0,"COMPLETE / EMBARGOED","PUBLIC / TERMINAL"))))))))</x:f>
        <x:v>PLANNED / BLOCKED</x:v>
      </x:c>
      <x:c r="AC20" s="9" t="n">
        <x:f>COUNTIFS($A$7:$A$150,A20)</x:f>
        <x:v>1</x:v>
      </x:c>
      <x:c r="AD20" s="9" t="n">
        <x:f>COUNTIFS($H$7:$H$150,H20,$I$7:$I$150,I20)</x:f>
        <x:v>6</x:v>
      </x:c>
      <x:c r="AE20" s="9" t="n">
        <x:f>COUNTIFS($H$7:$H$150,H20,$I$7:$I$150,I20,$J$7:$J$150,J20)</x:f>
        <x:v>1</x:v>
      </x:c>
    </x:row>
    <x:row r="21">
      <x:c r="A21" s="9" t="str">
        <x:v>EV-AR-HC-A-C-TECH-4-B2-INT-G0</x:v>
      </x:c>
      <x:c r="B21" s="9" t="str">
        <x:v>EOW-AR-HC-A-C-TECH-4-B2-INT-G0</x:v>
      </x:c>
      <x:c r="C21" s="9" t="str">
        <x:v>AR-HC-A-C-TECH-4-B2-INT-G0</x:v>
      </x:c>
      <x:c r="D21" s="9" t="str">
        <x:v>HC-A-C-TECH-4</x:v>
      </x:c>
      <x:c r="E21" s="9" t="str">
        <x:v>HC-A-C</x:v>
      </x:c>
      <x:c r="F21" s="9" t="str">
        <x:v>B2</x:v>
      </x:c>
      <x:c r="G21" s="9" t="str">
        <x:v>INT</x:v>
      </x:c>
      <x:c r="H21" s="9" t="n">
        <x:v>1</x:v>
      </x:c>
      <x:c r="I21" s="9" t="n">
        <x:v>3</x:v>
      </x:c>
      <x:c r="J21" s="9" t="str">
        <x:v>HC-A-C-N1</x:v>
      </x:c>
      <x:c r="K21" s="9" t="str">
        <x:v>FX-HC-A-C-TECH-4-F1</x:v>
      </x:c>
      <x:c r="L21" s="9" t="n">
        <x:v>116</x:v>
      </x:c>
      <x:c r="M21" s="9" t="n">
        <x:v>0</x:v>
      </x:c>
      <x:c r="N21" s="9" t="n">
        <x:v>0</x:v>
      </x:c>
      <x:c r="O21" s="9" t="n">
        <x:v>10</x:v>
      </x:c>
      <x:c r="P21" s="9" t="n">
        <x:f>SUMIFS('Start Controls'!$P$7:$P$1446,'Start Controls'!$B$7:$B$1446,A21)</x:f>
        <x:v>0</x:v>
      </x:c>
      <x:c r="Q21" s="9" t="n">
        <x:v>0</x:v>
      </x:c>
      <x:c r="R21" s="9" t="n">
        <x:v>8</x:v>
      </x:c>
      <x:c r="S21" s="9" t="n">
        <x:f>SUMIFS('Raw Custody'!$M$7:$M$1158,'Raw Custody'!$B$7:$B$1158,A21)</x:f>
        <x:v>0</x:v>
      </x:c>
      <x:c r="T21" s="9" t="n">
        <x:v>12</x:v>
      </x:c>
      <x:c r="U21" s="9" t="n">
        <x:f>SUMIFS('Observation Gates'!$L$7:$L$1734,'Observation Gates'!$B$7:$B$1734,A21)</x:f>
        <x:v>0</x:v>
      </x:c>
      <x:c r="V21" s="9" t="str">
        <x:v>UNFILED</x:v>
      </x:c>
      <x:c r="W21" s="9" t="n">
        <x:v>0</x:v>
      </x:c>
      <x:c r="X21" s="9" t="n">
        <x:v>0</x:v>
      </x:c>
      <x:c r="Y21" s="9" t="n">
        <x:v>16</x:v>
      </x:c>
      <x:c r="Z21" s="9" t="n">
        <x:f>SUMIFS('Disclosure Packets'!$M$7:$M$2310,'Disclosure Packets'!$C$7:$C$2310,A21)</x:f>
        <x:v>0</x:v>
      </x:c>
      <x:c r="AA21" s="9" t="n">
        <x:v>0</x:v>
      </x:c>
      <x:c r="AB21" s="9" t="str">
        <x:f>IF(N21=0,"PLANNED / BLOCKED",IF(P21&lt;O21,"EOW / START BLOCKED",IF(Q21=0,"ARMED / UNSTARTED",IF(S21&lt;R21,"STARTED / RAW UNSEALED",IF(U21&lt;T21,"SEALED / OBSERVATION OPEN",IF(X21=0,"OBSERVED / UNJUDGED",IF(Z21&lt;Y21,"JUDGED / DISCLOSURE HELD",IF(AA21=0,"COMPLETE / EMBARGOED","PUBLIC / TERMINAL"))))))))</x:f>
        <x:v>PLANNED / BLOCKED</x:v>
      </x:c>
      <x:c r="AC21" s="9" t="n">
        <x:f>COUNTIFS($A$7:$A$150,A21)</x:f>
        <x:v>1</x:v>
      </x:c>
      <x:c r="AD21" s="9" t="n">
        <x:f>COUNTIFS($H$7:$H$150,H21,$I$7:$I$150,I21)</x:f>
        <x:v>6</x:v>
      </x:c>
      <x:c r="AE21" s="9" t="n">
        <x:f>COUNTIFS($H$7:$H$150,H21,$I$7:$I$150,I21,$J$7:$J$150,J21)</x:f>
        <x:v>1</x:v>
      </x:c>
    </x:row>
    <x:row r="22">
      <x:c r="A22" s="9" t="str">
        <x:v>EV-AR-LF-B-A-TECH-3-B2-INT-G0</x:v>
      </x:c>
      <x:c r="B22" s="9" t="str">
        <x:v>EOW-AR-LF-B-A-TECH-3-B2-INT-G0</x:v>
      </x:c>
      <x:c r="C22" s="9" t="str">
        <x:v>AR-LF-B-A-TECH-3-B2-INT-G0</x:v>
      </x:c>
      <x:c r="D22" s="9" t="str">
        <x:v>LF-B-A-TECH-3</x:v>
      </x:c>
      <x:c r="E22" s="9" t="str">
        <x:v>LF-B-A</x:v>
      </x:c>
      <x:c r="F22" s="9" t="str">
        <x:v>B2</x:v>
      </x:c>
      <x:c r="G22" s="9" t="str">
        <x:v>INT</x:v>
      </x:c>
      <x:c r="H22" s="9" t="n">
        <x:v>1</x:v>
      </x:c>
      <x:c r="I22" s="9" t="n">
        <x:v>3</x:v>
      </x:c>
      <x:c r="J22" s="9" t="str">
        <x:v>LF-B-A-N1</x:v>
      </x:c>
      <x:c r="K22" s="9" t="str">
        <x:v>FX-LF-B-A-TECH-3-F2</x:v>
      </x:c>
      <x:c r="L22" s="9" t="n">
        <x:v>116</x:v>
      </x:c>
      <x:c r="M22" s="9" t="n">
        <x:v>0</x:v>
      </x:c>
      <x:c r="N22" s="9" t="n">
        <x:v>0</x:v>
      </x:c>
      <x:c r="O22" s="9" t="n">
        <x:v>10</x:v>
      </x:c>
      <x:c r="P22" s="9" t="n">
        <x:f>SUMIFS('Start Controls'!$P$7:$P$1446,'Start Controls'!$B$7:$B$1446,A22)</x:f>
        <x:v>0</x:v>
      </x:c>
      <x:c r="Q22" s="9" t="n">
        <x:v>0</x:v>
      </x:c>
      <x:c r="R22" s="9" t="n">
        <x:v>8</x:v>
      </x:c>
      <x:c r="S22" s="9" t="n">
        <x:f>SUMIFS('Raw Custody'!$M$7:$M$1158,'Raw Custody'!$B$7:$B$1158,A22)</x:f>
        <x:v>0</x:v>
      </x:c>
      <x:c r="T22" s="9" t="n">
        <x:v>12</x:v>
      </x:c>
      <x:c r="U22" s="9" t="n">
        <x:f>SUMIFS('Observation Gates'!$L$7:$L$1734,'Observation Gates'!$B$7:$B$1734,A22)</x:f>
        <x:v>0</x:v>
      </x:c>
      <x:c r="V22" s="9" t="str">
        <x:v>UNFILED</x:v>
      </x:c>
      <x:c r="W22" s="9" t="n">
        <x:v>0</x:v>
      </x:c>
      <x:c r="X22" s="9" t="n">
        <x:v>0</x:v>
      </x:c>
      <x:c r="Y22" s="9" t="n">
        <x:v>16</x:v>
      </x:c>
      <x:c r="Z22" s="9" t="n">
        <x:f>SUMIFS('Disclosure Packets'!$M$7:$M$2310,'Disclosure Packets'!$C$7:$C$2310,A22)</x:f>
        <x:v>0</x:v>
      </x:c>
      <x:c r="AA22" s="9" t="n">
        <x:v>0</x:v>
      </x:c>
      <x:c r="AB22" s="9" t="str">
        <x:f>IF(N22=0,"PLANNED / BLOCKED",IF(P22&lt;O22,"EOW / START BLOCKED",IF(Q22=0,"ARMED / UNSTARTED",IF(S22&lt;R22,"STARTED / RAW UNSEALED",IF(U22&lt;T22,"SEALED / OBSERVATION OPEN",IF(X22=0,"OBSERVED / UNJUDGED",IF(Z22&lt;Y22,"JUDGED / DISCLOSURE HELD",IF(AA22=0,"COMPLETE / EMBARGOED","PUBLIC / TERMINAL"))))))))</x:f>
        <x:v>PLANNED / BLOCKED</x:v>
      </x:c>
      <x:c r="AC22" s="9" t="n">
        <x:f>COUNTIFS($A$7:$A$150,A22)</x:f>
        <x:v>1</x:v>
      </x:c>
      <x:c r="AD22" s="9" t="n">
        <x:f>COUNTIFS($H$7:$H$150,H22,$I$7:$I$150,I22)</x:f>
        <x:v>6</x:v>
      </x:c>
      <x:c r="AE22" s="9" t="n">
        <x:f>COUNTIFS($H$7:$H$150,H22,$I$7:$I$150,I22,$J$7:$J$150,J22)</x:f>
        <x:v>1</x:v>
      </x:c>
    </x:row>
    <x:row r="23">
      <x:c r="A23" s="9" t="str">
        <x:v>EV-AR-RT-B-C-TECH-3-B2-RCN-G0</x:v>
      </x:c>
      <x:c r="B23" s="9" t="str">
        <x:v>EOW-AR-RT-B-C-TECH-3-B2-RCN-G0</x:v>
      </x:c>
      <x:c r="C23" s="9" t="str">
        <x:v>AR-RT-B-C-TECH-3-B2-RCN-G0</x:v>
      </x:c>
      <x:c r="D23" s="9" t="str">
        <x:v>RT-B-C-TECH-3</x:v>
      </x:c>
      <x:c r="E23" s="9" t="str">
        <x:v>RT-B-C</x:v>
      </x:c>
      <x:c r="F23" s="9" t="str">
        <x:v>B2</x:v>
      </x:c>
      <x:c r="G23" s="9" t="str">
        <x:v>RCN</x:v>
      </x:c>
      <x:c r="H23" s="9" t="n">
        <x:v>1</x:v>
      </x:c>
      <x:c r="I23" s="9" t="n">
        <x:v>3</x:v>
      </x:c>
      <x:c r="J23" s="9" t="str">
        <x:v>RT-B-C-N1</x:v>
      </x:c>
      <x:c r="K23" s="9" t="str">
        <x:v>FX-RT-B-C-TECH-3-F2</x:v>
      </x:c>
      <x:c r="L23" s="9" t="n">
        <x:v>116</x:v>
      </x:c>
      <x:c r="M23" s="9" t="n">
        <x:v>1</x:v>
      </x:c>
      <x:c r="N23" s="9" t="n">
        <x:v>0</x:v>
      </x:c>
      <x:c r="O23" s="9" t="n">
        <x:v>10</x:v>
      </x:c>
      <x:c r="P23" s="9" t="n">
        <x:f>SUMIFS('Start Controls'!$P$7:$P$1446,'Start Controls'!$B$7:$B$1446,A23)</x:f>
        <x:v>0</x:v>
      </x:c>
      <x:c r="Q23" s="9" t="n">
        <x:v>0</x:v>
      </x:c>
      <x:c r="R23" s="9" t="n">
        <x:v>8</x:v>
      </x:c>
      <x:c r="S23" s="9" t="n">
        <x:f>SUMIFS('Raw Custody'!$M$7:$M$1158,'Raw Custody'!$B$7:$B$1158,A23)</x:f>
        <x:v>0</x:v>
      </x:c>
      <x:c r="T23" s="9" t="n">
        <x:v>12</x:v>
      </x:c>
      <x:c r="U23" s="9" t="n">
        <x:f>SUMIFS('Observation Gates'!$L$7:$L$1734,'Observation Gates'!$B$7:$B$1734,A23)</x:f>
        <x:v>0</x:v>
      </x:c>
      <x:c r="V23" s="9" t="str">
        <x:v>UNFILED</x:v>
      </x:c>
      <x:c r="W23" s="9" t="n">
        <x:v>0</x:v>
      </x:c>
      <x:c r="X23" s="9" t="n">
        <x:v>0</x:v>
      </x:c>
      <x:c r="Y23" s="9" t="n">
        <x:v>16</x:v>
      </x:c>
      <x:c r="Z23" s="9" t="n">
        <x:f>SUMIFS('Disclosure Packets'!$M$7:$M$2310,'Disclosure Packets'!$C$7:$C$2310,A23)</x:f>
        <x:v>0</x:v>
      </x:c>
      <x:c r="AA23" s="9" t="n">
        <x:v>0</x:v>
      </x:c>
      <x:c r="AB23" s="9" t="str">
        <x:f>IF(N23=0,"PLANNED / BLOCKED",IF(P23&lt;O23,"EOW / START BLOCKED",IF(Q23=0,"ARMED / UNSTARTED",IF(S23&lt;R23,"STARTED / RAW UNSEALED",IF(U23&lt;T23,"SEALED / OBSERVATION OPEN",IF(X23=0,"OBSERVED / UNJUDGED",IF(Z23&lt;Y23,"JUDGED / DISCLOSURE HELD",IF(AA23=0,"COMPLETE / EMBARGOED","PUBLIC / TERMINAL"))))))))</x:f>
        <x:v>PLANNED / BLOCKED</x:v>
      </x:c>
      <x:c r="AC23" s="9" t="n">
        <x:f>COUNTIFS($A$7:$A$150,A23)</x:f>
        <x:v>1</x:v>
      </x:c>
      <x:c r="AD23" s="9" t="n">
        <x:f>COUNTIFS($H$7:$H$150,H23,$I$7:$I$150,I23)</x:f>
        <x:v>6</x:v>
      </x:c>
      <x:c r="AE23" s="9" t="n">
        <x:f>COUNTIFS($H$7:$H$150,H23,$I$7:$I$150,I23,$J$7:$J$150,J23)</x:f>
        <x:v>1</x:v>
      </x:c>
    </x:row>
    <x:row r="24">
      <x:c r="A24" s="9" t="str">
        <x:v>EV-AR-RT-B-C-TECH-4-B1-RCN-G0</x:v>
      </x:c>
      <x:c r="B24" s="9" t="str">
        <x:v>EOW-AR-RT-B-C-TECH-4-B1-RCN-G0</x:v>
      </x:c>
      <x:c r="C24" s="9" t="str">
        <x:v>AR-RT-B-C-TECH-4-B1-RCN-G0</x:v>
      </x:c>
      <x:c r="D24" s="9" t="str">
        <x:v>RT-B-C-TECH-4</x:v>
      </x:c>
      <x:c r="E24" s="9" t="str">
        <x:v>RT-B-C</x:v>
      </x:c>
      <x:c r="F24" s="9" t="str">
        <x:v>B1</x:v>
      </x:c>
      <x:c r="G24" s="9" t="str">
        <x:v>RCN</x:v>
      </x:c>
      <x:c r="H24" s="9" t="n">
        <x:v>1</x:v>
      </x:c>
      <x:c r="I24" s="9" t="n">
        <x:v>3</x:v>
      </x:c>
      <x:c r="J24" s="9" t="str">
        <x:v>RT-B-C-N2</x:v>
      </x:c>
      <x:c r="K24" s="9" t="str">
        <x:v>FX-RT-B-C-TECH-4-F2</x:v>
      </x:c>
      <x:c r="L24" s="9" t="n">
        <x:v>116</x:v>
      </x:c>
      <x:c r="M24" s="9" t="n">
        <x:v>1</x:v>
      </x:c>
      <x:c r="N24" s="9" t="n">
        <x:v>0</x:v>
      </x:c>
      <x:c r="O24" s="9" t="n">
        <x:v>10</x:v>
      </x:c>
      <x:c r="P24" s="9" t="n">
        <x:f>SUMIFS('Start Controls'!$P$7:$P$1446,'Start Controls'!$B$7:$B$1446,A24)</x:f>
        <x:v>0</x:v>
      </x:c>
      <x:c r="Q24" s="9" t="n">
        <x:v>0</x:v>
      </x:c>
      <x:c r="R24" s="9" t="n">
        <x:v>8</x:v>
      </x:c>
      <x:c r="S24" s="9" t="n">
        <x:f>SUMIFS('Raw Custody'!$M$7:$M$1158,'Raw Custody'!$B$7:$B$1158,A24)</x:f>
        <x:v>0</x:v>
      </x:c>
      <x:c r="T24" s="9" t="n">
        <x:v>12</x:v>
      </x:c>
      <x:c r="U24" s="9" t="n">
        <x:f>SUMIFS('Observation Gates'!$L$7:$L$1734,'Observation Gates'!$B$7:$B$1734,A24)</x:f>
        <x:v>0</x:v>
      </x:c>
      <x:c r="V24" s="9" t="str">
        <x:v>UNFILED</x:v>
      </x:c>
      <x:c r="W24" s="9" t="n">
        <x:v>0</x:v>
      </x:c>
      <x:c r="X24" s="9" t="n">
        <x:v>0</x:v>
      </x:c>
      <x:c r="Y24" s="9" t="n">
        <x:v>16</x:v>
      </x:c>
      <x:c r="Z24" s="9" t="n">
        <x:f>SUMIFS('Disclosure Packets'!$M$7:$M$2310,'Disclosure Packets'!$C$7:$C$2310,A24)</x:f>
        <x:v>0</x:v>
      </x:c>
      <x:c r="AA24" s="9" t="n">
        <x:v>0</x:v>
      </x:c>
      <x:c r="AB24" s="9" t="str">
        <x:f>IF(N24=0,"PLANNED / BLOCKED",IF(P24&lt;O24,"EOW / START BLOCKED",IF(Q24=0,"ARMED / UNSTARTED",IF(S24&lt;R24,"STARTED / RAW UNSEALED",IF(U24&lt;T24,"SEALED / OBSERVATION OPEN",IF(X24=0,"OBSERVED / UNJUDGED",IF(Z24&lt;Y24,"JUDGED / DISCLOSURE HELD",IF(AA24=0,"COMPLETE / EMBARGOED","PUBLIC / TERMINAL"))))))))</x:f>
        <x:v>PLANNED / BLOCKED</x:v>
      </x:c>
      <x:c r="AC24" s="9" t="n">
        <x:f>COUNTIFS($A$7:$A$150,A24)</x:f>
        <x:v>1</x:v>
      </x:c>
      <x:c r="AD24" s="9" t="n">
        <x:f>COUNTIFS($H$7:$H$150,H24,$I$7:$I$150,I24)</x:f>
        <x:v>6</x:v>
      </x:c>
      <x:c r="AE24" s="9" t="n">
        <x:f>COUNTIFS($H$7:$H$150,H24,$I$7:$I$150,I24,$J$7:$J$150,J24)</x:f>
        <x:v>1</x:v>
      </x:c>
    </x:row>
    <x:row r="25">
      <x:c r="A25" s="9" t="str">
        <x:v>EV-AR-CT-C-B-TECH-4-B1-BRK-G0</x:v>
      </x:c>
      <x:c r="B25" s="9" t="str">
        <x:v>EOW-AR-CT-C-B-TECH-4-B1-BRK-G0</x:v>
      </x:c>
      <x:c r="C25" s="9" t="str">
        <x:v>AR-CT-C-B-TECH-4-B1-BRK-G0</x:v>
      </x:c>
      <x:c r="D25" s="9" t="str">
        <x:v>CT-C-B-TECH-4</x:v>
      </x:c>
      <x:c r="E25" s="9" t="str">
        <x:v>CT-C-B</x:v>
      </x:c>
      <x:c r="F25" s="9" t="str">
        <x:v>B1</x:v>
      </x:c>
      <x:c r="G25" s="9" t="str">
        <x:v>BRK</x:v>
      </x:c>
      <x:c r="H25" s="9" t="n">
        <x:v>1</x:v>
      </x:c>
      <x:c r="I25" s="9" t="n">
        <x:v>4</x:v>
      </x:c>
      <x:c r="J25" s="9" t="str">
        <x:v>CT-C-B-N1</x:v>
      </x:c>
      <x:c r="K25" s="9" t="str">
        <x:v>FX-CT-C-B-TECH-4-F1</x:v>
      </x:c>
      <x:c r="L25" s="9" t="n">
        <x:v>122</x:v>
      </x:c>
      <x:c r="M25" s="9" t="n">
        <x:v>1</x:v>
      </x:c>
      <x:c r="N25" s="9" t="n">
        <x:v>0</x:v>
      </x:c>
      <x:c r="O25" s="9" t="n">
        <x:v>10</x:v>
      </x:c>
      <x:c r="P25" s="9" t="n">
        <x:f>SUMIFS('Start Controls'!$P$7:$P$1446,'Start Controls'!$B$7:$B$1446,A25)</x:f>
        <x:v>0</x:v>
      </x:c>
      <x:c r="Q25" s="9" t="n">
        <x:v>0</x:v>
      </x:c>
      <x:c r="R25" s="9" t="n">
        <x:v>8</x:v>
      </x:c>
      <x:c r="S25" s="9" t="n">
        <x:f>SUMIFS('Raw Custody'!$M$7:$M$1158,'Raw Custody'!$B$7:$B$1158,A25)</x:f>
        <x:v>0</x:v>
      </x:c>
      <x:c r="T25" s="9" t="n">
        <x:v>12</x:v>
      </x:c>
      <x:c r="U25" s="9" t="n">
        <x:f>SUMIFS('Observation Gates'!$L$7:$L$1734,'Observation Gates'!$B$7:$B$1734,A25)</x:f>
        <x:v>0</x:v>
      </x:c>
      <x:c r="V25" s="9" t="str">
        <x:v>UNFILED</x:v>
      </x:c>
      <x:c r="W25" s="9" t="n">
        <x:v>0</x:v>
      </x:c>
      <x:c r="X25" s="9" t="n">
        <x:v>0</x:v>
      </x:c>
      <x:c r="Y25" s="9" t="n">
        <x:v>16</x:v>
      </x:c>
      <x:c r="Z25" s="9" t="n">
        <x:f>SUMIFS('Disclosure Packets'!$M$7:$M$2310,'Disclosure Packets'!$C$7:$C$2310,A25)</x:f>
        <x:v>0</x:v>
      </x:c>
      <x:c r="AA25" s="9" t="n">
        <x:v>0</x:v>
      </x:c>
      <x:c r="AB25" s="9" t="str">
        <x:f>IF(N25=0,"PLANNED / BLOCKED",IF(P25&lt;O25,"EOW / START BLOCKED",IF(Q25=0,"ARMED / UNSTARTED",IF(S25&lt;R25,"STARTED / RAW UNSEALED",IF(U25&lt;T25,"SEALED / OBSERVATION OPEN",IF(X25=0,"OBSERVED / UNJUDGED",IF(Z25&lt;Y25,"JUDGED / DISCLOSURE HELD",IF(AA25=0,"COMPLETE / EMBARGOED","PUBLIC / TERMINAL"))))))))</x:f>
        <x:v>PLANNED / BLOCKED</x:v>
      </x:c>
      <x:c r="AC25" s="9" t="n">
        <x:f>COUNTIFS($A$7:$A$150,A25)</x:f>
        <x:v>1</x:v>
      </x:c>
      <x:c r="AD25" s="9" t="n">
        <x:f>COUNTIFS($H$7:$H$150,H25,$I$7:$I$150,I25)</x:f>
        <x:v>6</x:v>
      </x:c>
      <x:c r="AE25" s="9" t="n">
        <x:f>COUNTIFS($H$7:$H$150,H25,$I$7:$I$150,I25,$J$7:$J$150,J25)</x:f>
        <x:v>1</x:v>
      </x:c>
    </x:row>
    <x:row r="26">
      <x:c r="A26" s="9" t="str">
        <x:v>EV-AR-CT-C-B-TECH-2-B1-RCN-G0</x:v>
      </x:c>
      <x:c r="B26" s="9" t="str">
        <x:v>EOW-AR-CT-C-B-TECH-2-B1-RCN-G0</x:v>
      </x:c>
      <x:c r="C26" s="9" t="str">
        <x:v>AR-CT-C-B-TECH-2-B1-RCN-G0</x:v>
      </x:c>
      <x:c r="D26" s="9" t="str">
        <x:v>CT-C-B-TECH-2</x:v>
      </x:c>
      <x:c r="E26" s="9" t="str">
        <x:v>CT-C-B</x:v>
      </x:c>
      <x:c r="F26" s="9" t="str">
        <x:v>B1</x:v>
      </x:c>
      <x:c r="G26" s="9" t="str">
        <x:v>RCN</x:v>
      </x:c>
      <x:c r="H26" s="9" t="n">
        <x:v>1</x:v>
      </x:c>
      <x:c r="I26" s="9" t="n">
        <x:v>4</x:v>
      </x:c>
      <x:c r="J26" s="9" t="str">
        <x:v>CT-C-B-N3</x:v>
      </x:c>
      <x:c r="K26" s="9" t="str">
        <x:v>FX-CT-C-B-TECH-2-F2</x:v>
      </x:c>
      <x:c r="L26" s="9" t="n">
        <x:v>122</x:v>
      </x:c>
      <x:c r="M26" s="9" t="n">
        <x:v>1</x:v>
      </x:c>
      <x:c r="N26" s="9" t="n">
        <x:v>0</x:v>
      </x:c>
      <x:c r="O26" s="9" t="n">
        <x:v>10</x:v>
      </x:c>
      <x:c r="P26" s="9" t="n">
        <x:f>SUMIFS('Start Controls'!$P$7:$P$1446,'Start Controls'!$B$7:$B$1446,A26)</x:f>
        <x:v>0</x:v>
      </x:c>
      <x:c r="Q26" s="9" t="n">
        <x:v>0</x:v>
      </x:c>
      <x:c r="R26" s="9" t="n">
        <x:v>8</x:v>
      </x:c>
      <x:c r="S26" s="9" t="n">
        <x:f>SUMIFS('Raw Custody'!$M$7:$M$1158,'Raw Custody'!$B$7:$B$1158,A26)</x:f>
        <x:v>0</x:v>
      </x:c>
      <x:c r="T26" s="9" t="n">
        <x:v>12</x:v>
      </x:c>
      <x:c r="U26" s="9" t="n">
        <x:f>SUMIFS('Observation Gates'!$L$7:$L$1734,'Observation Gates'!$B$7:$B$1734,A26)</x:f>
        <x:v>0</x:v>
      </x:c>
      <x:c r="V26" s="9" t="str">
        <x:v>UNFILED</x:v>
      </x:c>
      <x:c r="W26" s="9" t="n">
        <x:v>0</x:v>
      </x:c>
      <x:c r="X26" s="9" t="n">
        <x:v>0</x:v>
      </x:c>
      <x:c r="Y26" s="9" t="n">
        <x:v>16</x:v>
      </x:c>
      <x:c r="Z26" s="9" t="n">
        <x:f>SUMIFS('Disclosure Packets'!$M$7:$M$2310,'Disclosure Packets'!$C$7:$C$2310,A26)</x:f>
        <x:v>0</x:v>
      </x:c>
      <x:c r="AA26" s="9" t="n">
        <x:v>0</x:v>
      </x:c>
      <x:c r="AB26" s="9" t="str">
        <x:f>IF(N26=0,"PLANNED / BLOCKED",IF(P26&lt;O26,"EOW / START BLOCKED",IF(Q26=0,"ARMED / UNSTARTED",IF(S26&lt;R26,"STARTED / RAW UNSEALED",IF(U26&lt;T26,"SEALED / OBSERVATION OPEN",IF(X26=0,"OBSERVED / UNJUDGED",IF(Z26&lt;Y26,"JUDGED / DISCLOSURE HELD",IF(AA26=0,"COMPLETE / EMBARGOED","PUBLIC / TERMINAL"))))))))</x:f>
        <x:v>PLANNED / BLOCKED</x:v>
      </x:c>
      <x:c r="AC26" s="9" t="n">
        <x:f>COUNTIFS($A$7:$A$150,A26)</x:f>
        <x:v>1</x:v>
      </x:c>
      <x:c r="AD26" s="9" t="n">
        <x:f>COUNTIFS($H$7:$H$150,H26,$I$7:$I$150,I26)</x:f>
        <x:v>6</x:v>
      </x:c>
      <x:c r="AE26" s="9" t="n">
        <x:f>COUNTIFS($H$7:$H$150,H26,$I$7:$I$150,I26,$J$7:$J$150,J26)</x:f>
        <x:v>1</x:v>
      </x:c>
    </x:row>
    <x:row r="27">
      <x:c r="A27" s="9" t="str">
        <x:v>EV-AR-HC-A-C-TECH-2-B2-BRK-G0</x:v>
      </x:c>
      <x:c r="B27" s="9" t="str">
        <x:v>EOW-AR-HC-A-C-TECH-2-B2-BRK-G0</x:v>
      </x:c>
      <x:c r="C27" s="9" t="str">
        <x:v>AR-HC-A-C-TECH-2-B2-BRK-G0</x:v>
      </x:c>
      <x:c r="D27" s="9" t="str">
        <x:v>HC-A-C-TECH-2</x:v>
      </x:c>
      <x:c r="E27" s="9" t="str">
        <x:v>HC-A-C</x:v>
      </x:c>
      <x:c r="F27" s="9" t="str">
        <x:v>B2</x:v>
      </x:c>
      <x:c r="G27" s="9" t="str">
        <x:v>BRK</x:v>
      </x:c>
      <x:c r="H27" s="9" t="n">
        <x:v>1</x:v>
      </x:c>
      <x:c r="I27" s="9" t="n">
        <x:v>4</x:v>
      </x:c>
      <x:c r="J27" s="9" t="str">
        <x:v>HC-A-C-N3</x:v>
      </x:c>
      <x:c r="K27" s="9" t="str">
        <x:v>FX-HC-A-C-TECH-2-F2</x:v>
      </x:c>
      <x:c r="L27" s="9" t="n">
        <x:v>122</x:v>
      </x:c>
      <x:c r="M27" s="9" t="n">
        <x:v>1</x:v>
      </x:c>
      <x:c r="N27" s="9" t="n">
        <x:v>0</x:v>
      </x:c>
      <x:c r="O27" s="9" t="n">
        <x:v>10</x:v>
      </x:c>
      <x:c r="P27" s="9" t="n">
        <x:f>SUMIFS('Start Controls'!$P$7:$P$1446,'Start Controls'!$B$7:$B$1446,A27)</x:f>
        <x:v>0</x:v>
      </x:c>
      <x:c r="Q27" s="9" t="n">
        <x:v>0</x:v>
      </x:c>
      <x:c r="R27" s="9" t="n">
        <x:v>8</x:v>
      </x:c>
      <x:c r="S27" s="9" t="n">
        <x:f>SUMIFS('Raw Custody'!$M$7:$M$1158,'Raw Custody'!$B$7:$B$1158,A27)</x:f>
        <x:v>0</x:v>
      </x:c>
      <x:c r="T27" s="9" t="n">
        <x:v>12</x:v>
      </x:c>
      <x:c r="U27" s="9" t="n">
        <x:f>SUMIFS('Observation Gates'!$L$7:$L$1734,'Observation Gates'!$B$7:$B$1734,A27)</x:f>
        <x:v>0</x:v>
      </x:c>
      <x:c r="V27" s="9" t="str">
        <x:v>UNFILED</x:v>
      </x:c>
      <x:c r="W27" s="9" t="n">
        <x:v>0</x:v>
      </x:c>
      <x:c r="X27" s="9" t="n">
        <x:v>0</x:v>
      </x:c>
      <x:c r="Y27" s="9" t="n">
        <x:v>16</x:v>
      </x:c>
      <x:c r="Z27" s="9" t="n">
        <x:f>SUMIFS('Disclosure Packets'!$M$7:$M$2310,'Disclosure Packets'!$C$7:$C$2310,A27)</x:f>
        <x:v>0</x:v>
      </x:c>
      <x:c r="AA27" s="9" t="n">
        <x:v>0</x:v>
      </x:c>
      <x:c r="AB27" s="9" t="str">
        <x:f>IF(N27=0,"PLANNED / BLOCKED",IF(P27&lt;O27,"EOW / START BLOCKED",IF(Q27=0,"ARMED / UNSTARTED",IF(S27&lt;R27,"STARTED / RAW UNSEALED",IF(U27&lt;T27,"SEALED / OBSERVATION OPEN",IF(X27=0,"OBSERVED / UNJUDGED",IF(Z27&lt;Y27,"JUDGED / DISCLOSURE HELD",IF(AA27=0,"COMPLETE / EMBARGOED","PUBLIC / TERMINAL"))))))))</x:f>
        <x:v>PLANNED / BLOCKED</x:v>
      </x:c>
      <x:c r="AC27" s="9" t="n">
        <x:f>COUNTIFS($A$7:$A$150,A27)</x:f>
        <x:v>1</x:v>
      </x:c>
      <x:c r="AD27" s="9" t="n">
        <x:f>COUNTIFS($H$7:$H$150,H27,$I$7:$I$150,I27)</x:f>
        <x:v>6</x:v>
      </x:c>
      <x:c r="AE27" s="9" t="n">
        <x:f>COUNTIFS($H$7:$H$150,H27,$I$7:$I$150,I27,$J$7:$J$150,J27)</x:f>
        <x:v>1</x:v>
      </x:c>
    </x:row>
    <x:row r="28">
      <x:c r="A28" s="9" t="str">
        <x:v>EV-AR-HU-A-B-TECH-1-B1-BRK-G0</x:v>
      </x:c>
      <x:c r="B28" s="9" t="str">
        <x:v>EOW-AR-HU-A-B-TECH-1-B1-BRK-G0</x:v>
      </x:c>
      <x:c r="C28" s="9" t="str">
        <x:v>AR-HU-A-B-TECH-1-B1-BRK-G0</x:v>
      </x:c>
      <x:c r="D28" s="9" t="str">
        <x:v>HU-A-B-TECH-1</x:v>
      </x:c>
      <x:c r="E28" s="9" t="str">
        <x:v>HU-A-B</x:v>
      </x:c>
      <x:c r="F28" s="9" t="str">
        <x:v>B1</x:v>
      </x:c>
      <x:c r="G28" s="9" t="str">
        <x:v>BRK</x:v>
      </x:c>
      <x:c r="H28" s="9" t="n">
        <x:v>1</x:v>
      </x:c>
      <x:c r="I28" s="9" t="n">
        <x:v>4</x:v>
      </x:c>
      <x:c r="J28" s="9" t="str">
        <x:v>HU-A-B-N2</x:v>
      </x:c>
      <x:c r="K28" s="9" t="str">
        <x:v>FX-HU-A-B-TECH-1-F2</x:v>
      </x:c>
      <x:c r="L28" s="9" t="n">
        <x:v>122</x:v>
      </x:c>
      <x:c r="M28" s="9" t="n">
        <x:v>1</x:v>
      </x:c>
      <x:c r="N28" s="9" t="n">
        <x:v>0</x:v>
      </x:c>
      <x:c r="O28" s="9" t="n">
        <x:v>10</x:v>
      </x:c>
      <x:c r="P28" s="9" t="n">
        <x:f>SUMIFS('Start Controls'!$P$7:$P$1446,'Start Controls'!$B$7:$B$1446,A28)</x:f>
        <x:v>0</x:v>
      </x:c>
      <x:c r="Q28" s="9" t="n">
        <x:v>0</x:v>
      </x:c>
      <x:c r="R28" s="9" t="n">
        <x:v>8</x:v>
      </x:c>
      <x:c r="S28" s="9" t="n">
        <x:f>SUMIFS('Raw Custody'!$M$7:$M$1158,'Raw Custody'!$B$7:$B$1158,A28)</x:f>
        <x:v>0</x:v>
      </x:c>
      <x:c r="T28" s="9" t="n">
        <x:v>12</x:v>
      </x:c>
      <x:c r="U28" s="9" t="n">
        <x:f>SUMIFS('Observation Gates'!$L$7:$L$1734,'Observation Gates'!$B$7:$B$1734,A28)</x:f>
        <x:v>0</x:v>
      </x:c>
      <x:c r="V28" s="9" t="str">
        <x:v>UNFILED</x:v>
      </x:c>
      <x:c r="W28" s="9" t="n">
        <x:v>0</x:v>
      </x:c>
      <x:c r="X28" s="9" t="n">
        <x:v>0</x:v>
      </x:c>
      <x:c r="Y28" s="9" t="n">
        <x:v>16</x:v>
      </x:c>
      <x:c r="Z28" s="9" t="n">
        <x:f>SUMIFS('Disclosure Packets'!$M$7:$M$2310,'Disclosure Packets'!$C$7:$C$2310,A28)</x:f>
        <x:v>0</x:v>
      </x:c>
      <x:c r="AA28" s="9" t="n">
        <x:v>0</x:v>
      </x:c>
      <x:c r="AB28" s="9" t="str">
        <x:f>IF(N28=0,"PLANNED / BLOCKED",IF(P28&lt;O28,"EOW / START BLOCKED",IF(Q28=0,"ARMED / UNSTARTED",IF(S28&lt;R28,"STARTED / RAW UNSEALED",IF(U28&lt;T28,"SEALED / OBSERVATION OPEN",IF(X28=0,"OBSERVED / UNJUDGED",IF(Z28&lt;Y28,"JUDGED / DISCLOSURE HELD",IF(AA28=0,"COMPLETE / EMBARGOED","PUBLIC / TERMINAL"))))))))</x:f>
        <x:v>PLANNED / BLOCKED</x:v>
      </x:c>
      <x:c r="AC28" s="9" t="n">
        <x:f>COUNTIFS($A$7:$A$150,A28)</x:f>
        <x:v>1</x:v>
      </x:c>
      <x:c r="AD28" s="9" t="n">
        <x:f>COUNTIFS($H$7:$H$150,H28,$I$7:$I$150,I28)</x:f>
        <x:v>6</x:v>
      </x:c>
      <x:c r="AE28" s="9" t="n">
        <x:f>COUNTIFS($H$7:$H$150,H28,$I$7:$I$150,I28,$J$7:$J$150,J28)</x:f>
        <x:v>1</x:v>
      </x:c>
    </x:row>
    <x:row r="29">
      <x:c r="A29" s="9" t="str">
        <x:v>EV-AR-LF-B-A-TECH-2-B1-BRK-G0</x:v>
      </x:c>
      <x:c r="B29" s="9" t="str">
        <x:v>EOW-AR-LF-B-A-TECH-2-B1-BRK-G0</x:v>
      </x:c>
      <x:c r="C29" s="9" t="str">
        <x:v>AR-LF-B-A-TECH-2-B1-BRK-G0</x:v>
      </x:c>
      <x:c r="D29" s="9" t="str">
        <x:v>LF-B-A-TECH-2</x:v>
      </x:c>
      <x:c r="E29" s="9" t="str">
        <x:v>LF-B-A</x:v>
      </x:c>
      <x:c r="F29" s="9" t="str">
        <x:v>B1</x:v>
      </x:c>
      <x:c r="G29" s="9" t="str">
        <x:v>BRK</x:v>
      </x:c>
      <x:c r="H29" s="9" t="n">
        <x:v>1</x:v>
      </x:c>
      <x:c r="I29" s="9" t="n">
        <x:v>4</x:v>
      </x:c>
      <x:c r="J29" s="9" t="str">
        <x:v>LF-B-A-N2</x:v>
      </x:c>
      <x:c r="K29" s="9" t="str">
        <x:v>FX-LF-B-A-TECH-2-F1</x:v>
      </x:c>
      <x:c r="L29" s="9" t="n">
        <x:v>122</x:v>
      </x:c>
      <x:c r="M29" s="9" t="n">
        <x:v>1</x:v>
      </x:c>
      <x:c r="N29" s="9" t="n">
        <x:v>0</x:v>
      </x:c>
      <x:c r="O29" s="9" t="n">
        <x:v>10</x:v>
      </x:c>
      <x:c r="P29" s="9" t="n">
        <x:f>SUMIFS('Start Controls'!$P$7:$P$1446,'Start Controls'!$B$7:$B$1446,A29)</x:f>
        <x:v>0</x:v>
      </x:c>
      <x:c r="Q29" s="9" t="n">
        <x:v>0</x:v>
      </x:c>
      <x:c r="R29" s="9" t="n">
        <x:v>8</x:v>
      </x:c>
      <x:c r="S29" s="9" t="n">
        <x:f>SUMIFS('Raw Custody'!$M$7:$M$1158,'Raw Custody'!$B$7:$B$1158,A29)</x:f>
        <x:v>0</x:v>
      </x:c>
      <x:c r="T29" s="9" t="n">
        <x:v>12</x:v>
      </x:c>
      <x:c r="U29" s="9" t="n">
        <x:f>SUMIFS('Observation Gates'!$L$7:$L$1734,'Observation Gates'!$B$7:$B$1734,A29)</x:f>
        <x:v>0</x:v>
      </x:c>
      <x:c r="V29" s="9" t="str">
        <x:v>UNFILED</x:v>
      </x:c>
      <x:c r="W29" s="9" t="n">
        <x:v>0</x:v>
      </x:c>
      <x:c r="X29" s="9" t="n">
        <x:v>0</x:v>
      </x:c>
      <x:c r="Y29" s="9" t="n">
        <x:v>16</x:v>
      </x:c>
      <x:c r="Z29" s="9" t="n">
        <x:f>SUMIFS('Disclosure Packets'!$M$7:$M$2310,'Disclosure Packets'!$C$7:$C$2310,A29)</x:f>
        <x:v>0</x:v>
      </x:c>
      <x:c r="AA29" s="9" t="n">
        <x:v>0</x:v>
      </x:c>
      <x:c r="AB29" s="9" t="str">
        <x:f>IF(N29=0,"PLANNED / BLOCKED",IF(P29&lt;O29,"EOW / START BLOCKED",IF(Q29=0,"ARMED / UNSTARTED",IF(S29&lt;R29,"STARTED / RAW UNSEALED",IF(U29&lt;T29,"SEALED / OBSERVATION OPEN",IF(X29=0,"OBSERVED / UNJUDGED",IF(Z29&lt;Y29,"JUDGED / DISCLOSURE HELD",IF(AA29=0,"COMPLETE / EMBARGOED","PUBLIC / TERMINAL"))))))))</x:f>
        <x:v>PLANNED / BLOCKED</x:v>
      </x:c>
      <x:c r="AC29" s="9" t="n">
        <x:f>COUNTIFS($A$7:$A$150,A29)</x:f>
        <x:v>1</x:v>
      </x:c>
      <x:c r="AD29" s="9" t="n">
        <x:f>COUNTIFS($H$7:$H$150,H29,$I$7:$I$150,I29)</x:f>
        <x:v>6</x:v>
      </x:c>
      <x:c r="AE29" s="9" t="n">
        <x:f>COUNTIFS($H$7:$H$150,H29,$I$7:$I$150,I29,$J$7:$J$150,J29)</x:f>
        <x:v>1</x:v>
      </x:c>
    </x:row>
    <x:row r="30">
      <x:c r="A30" s="9" t="str">
        <x:v>EV-AR-RT-B-C-TECH-2-B1-INT-G0</x:v>
      </x:c>
      <x:c r="B30" s="9" t="str">
        <x:v>EOW-AR-RT-B-C-TECH-2-B1-INT-G0</x:v>
      </x:c>
      <x:c r="C30" s="9" t="str">
        <x:v>AR-RT-B-C-TECH-2-B1-INT-G0</x:v>
      </x:c>
      <x:c r="D30" s="9" t="str">
        <x:v>RT-B-C-TECH-2</x:v>
      </x:c>
      <x:c r="E30" s="9" t="str">
        <x:v>RT-B-C</x:v>
      </x:c>
      <x:c r="F30" s="9" t="str">
        <x:v>B1</x:v>
      </x:c>
      <x:c r="G30" s="9" t="str">
        <x:v>INT</x:v>
      </x:c>
      <x:c r="H30" s="9" t="n">
        <x:v>1</x:v>
      </x:c>
      <x:c r="I30" s="9" t="n">
        <x:v>4</x:v>
      </x:c>
      <x:c r="J30" s="9" t="str">
        <x:v>RT-B-C-N3</x:v>
      </x:c>
      <x:c r="K30" s="9" t="str">
        <x:v>FX-RT-B-C-TECH-2-F2</x:v>
      </x:c>
      <x:c r="L30" s="9" t="n">
        <x:v>122</x:v>
      </x:c>
      <x:c r="M30" s="9" t="n">
        <x:v>0</x:v>
      </x:c>
      <x:c r="N30" s="9" t="n">
        <x:v>0</x:v>
      </x:c>
      <x:c r="O30" s="9" t="n">
        <x:v>10</x:v>
      </x:c>
      <x:c r="P30" s="9" t="n">
        <x:f>SUMIFS('Start Controls'!$P$7:$P$1446,'Start Controls'!$B$7:$B$1446,A30)</x:f>
        <x:v>0</x:v>
      </x:c>
      <x:c r="Q30" s="9" t="n">
        <x:v>0</x:v>
      </x:c>
      <x:c r="R30" s="9" t="n">
        <x:v>8</x:v>
      </x:c>
      <x:c r="S30" s="9" t="n">
        <x:f>SUMIFS('Raw Custody'!$M$7:$M$1158,'Raw Custody'!$B$7:$B$1158,A30)</x:f>
        <x:v>0</x:v>
      </x:c>
      <x:c r="T30" s="9" t="n">
        <x:v>12</x:v>
      </x:c>
      <x:c r="U30" s="9" t="n">
        <x:f>SUMIFS('Observation Gates'!$L$7:$L$1734,'Observation Gates'!$B$7:$B$1734,A30)</x:f>
        <x:v>0</x:v>
      </x:c>
      <x:c r="V30" s="9" t="str">
        <x:v>UNFILED</x:v>
      </x:c>
      <x:c r="W30" s="9" t="n">
        <x:v>0</x:v>
      </x:c>
      <x:c r="X30" s="9" t="n">
        <x:v>0</x:v>
      </x:c>
      <x:c r="Y30" s="9" t="n">
        <x:v>16</x:v>
      </x:c>
      <x:c r="Z30" s="9" t="n">
        <x:f>SUMIFS('Disclosure Packets'!$M$7:$M$2310,'Disclosure Packets'!$C$7:$C$2310,A30)</x:f>
        <x:v>0</x:v>
      </x:c>
      <x:c r="AA30" s="9" t="n">
        <x:v>0</x:v>
      </x:c>
      <x:c r="AB30" s="9" t="str">
        <x:f>IF(N30=0,"PLANNED / BLOCKED",IF(P30&lt;O30,"EOW / START BLOCKED",IF(Q30=0,"ARMED / UNSTARTED",IF(S30&lt;R30,"STARTED / RAW UNSEALED",IF(U30&lt;T30,"SEALED / OBSERVATION OPEN",IF(X30=0,"OBSERVED / UNJUDGED",IF(Z30&lt;Y30,"JUDGED / DISCLOSURE HELD",IF(AA30=0,"COMPLETE / EMBARGOED","PUBLIC / TERMINAL"))))))))</x:f>
        <x:v>PLANNED / BLOCKED</x:v>
      </x:c>
      <x:c r="AC30" s="9" t="n">
        <x:f>COUNTIFS($A$7:$A$150,A30)</x:f>
        <x:v>1</x:v>
      </x:c>
      <x:c r="AD30" s="9" t="n">
        <x:f>COUNTIFS($H$7:$H$150,H30,$I$7:$I$150,I30)</x:f>
        <x:v>6</x:v>
      </x:c>
      <x:c r="AE30" s="9" t="n">
        <x:f>COUNTIFS($H$7:$H$150,H30,$I$7:$I$150,I30,$J$7:$J$150,J30)</x:f>
        <x:v>1</x:v>
      </x:c>
    </x:row>
    <x:row r="31">
      <x:c r="A31" s="9" t="str">
        <x:v>EV-AR-CT-C-B-TECH-4-B2-BRK-G0</x:v>
      </x:c>
      <x:c r="B31" s="9" t="str">
        <x:v>EOW-AR-CT-C-B-TECH-4-B2-BRK-G0</x:v>
      </x:c>
      <x:c r="C31" s="9" t="str">
        <x:v>AR-CT-C-B-TECH-4-B2-BRK-G0</x:v>
      </x:c>
      <x:c r="D31" s="9" t="str">
        <x:v>CT-C-B-TECH-4</x:v>
      </x:c>
      <x:c r="E31" s="9" t="str">
        <x:v>CT-C-B</x:v>
      </x:c>
      <x:c r="F31" s="9" t="str">
        <x:v>B2</x:v>
      </x:c>
      <x:c r="G31" s="9" t="str">
        <x:v>BRK</x:v>
      </x:c>
      <x:c r="H31" s="9" t="n">
        <x:v>2</x:v>
      </x:c>
      <x:c r="I31" s="9" t="n">
        <x:v>1</x:v>
      </x:c>
      <x:c r="J31" s="9" t="str">
        <x:v>CT-C-B-N2</x:v>
      </x:c>
      <x:c r="K31" s="9" t="str">
        <x:v>FX-CT-C-B-TECH-4-F2</x:v>
      </x:c>
      <x:c r="L31" s="9" t="n">
        <x:v>136</x:v>
      </x:c>
      <x:c r="M31" s="9" t="n">
        <x:v>1</x:v>
      </x:c>
      <x:c r="N31" s="9" t="n">
        <x:v>0</x:v>
      </x:c>
      <x:c r="O31" s="9" t="n">
        <x:v>10</x:v>
      </x:c>
      <x:c r="P31" s="9" t="n">
        <x:f>SUMIFS('Start Controls'!$P$7:$P$1446,'Start Controls'!$B$7:$B$1446,A31)</x:f>
        <x:v>0</x:v>
      </x:c>
      <x:c r="Q31" s="9" t="n">
        <x:v>0</x:v>
      </x:c>
      <x:c r="R31" s="9" t="n">
        <x:v>8</x:v>
      </x:c>
      <x:c r="S31" s="9" t="n">
        <x:f>SUMIFS('Raw Custody'!$M$7:$M$1158,'Raw Custody'!$B$7:$B$1158,A31)</x:f>
        <x:v>0</x:v>
      </x:c>
      <x:c r="T31" s="9" t="n">
        <x:v>12</x:v>
      </x:c>
      <x:c r="U31" s="9" t="n">
        <x:f>SUMIFS('Observation Gates'!$L$7:$L$1734,'Observation Gates'!$B$7:$B$1734,A31)</x:f>
        <x:v>0</x:v>
      </x:c>
      <x:c r="V31" s="9" t="str">
        <x:v>UNFILED</x:v>
      </x:c>
      <x:c r="W31" s="9" t="n">
        <x:v>0</x:v>
      </x:c>
      <x:c r="X31" s="9" t="n">
        <x:v>0</x:v>
      </x:c>
      <x:c r="Y31" s="9" t="n">
        <x:v>16</x:v>
      </x:c>
      <x:c r="Z31" s="9" t="n">
        <x:f>SUMIFS('Disclosure Packets'!$M$7:$M$2310,'Disclosure Packets'!$C$7:$C$2310,A31)</x:f>
        <x:v>0</x:v>
      </x:c>
      <x:c r="AA31" s="9" t="n">
        <x:v>0</x:v>
      </x:c>
      <x:c r="AB31" s="9" t="str">
        <x:f>IF(N31=0,"PLANNED / BLOCKED",IF(P31&lt;O31,"EOW / START BLOCKED",IF(Q31=0,"ARMED / UNSTARTED",IF(S31&lt;R31,"STARTED / RAW UNSEALED",IF(U31&lt;T31,"SEALED / OBSERVATION OPEN",IF(X31=0,"OBSERVED / UNJUDGED",IF(Z31&lt;Y31,"JUDGED / DISCLOSURE HELD",IF(AA31=0,"COMPLETE / EMBARGOED","PUBLIC / TERMINAL"))))))))</x:f>
        <x:v>PLANNED / BLOCKED</x:v>
      </x:c>
      <x:c r="AC31" s="9" t="n">
        <x:f>COUNTIFS($A$7:$A$150,A31)</x:f>
        <x:v>1</x:v>
      </x:c>
      <x:c r="AD31" s="9" t="n">
        <x:f>COUNTIFS($H$7:$H$150,H31,$I$7:$I$150,I31)</x:f>
        <x:v>6</x:v>
      </x:c>
      <x:c r="AE31" s="9" t="n">
        <x:f>COUNTIFS($H$7:$H$150,H31,$I$7:$I$150,I31,$J$7:$J$150,J31)</x:f>
        <x:v>1</x:v>
      </x:c>
    </x:row>
    <x:row r="32">
      <x:c r="A32" s="9" t="str">
        <x:v>EV-AR-CT-C-B-TECH-3-B1-RCN-G0</x:v>
      </x:c>
      <x:c r="B32" s="9" t="str">
        <x:v>EOW-AR-CT-C-B-TECH-3-B1-RCN-G0</x:v>
      </x:c>
      <x:c r="C32" s="9" t="str">
        <x:v>AR-CT-C-B-TECH-3-B1-RCN-G0</x:v>
      </x:c>
      <x:c r="D32" s="9" t="str">
        <x:v>CT-C-B-TECH-3</x:v>
      </x:c>
      <x:c r="E32" s="9" t="str">
        <x:v>CT-C-B</x:v>
      </x:c>
      <x:c r="F32" s="9" t="str">
        <x:v>B1</x:v>
      </x:c>
      <x:c r="G32" s="9" t="str">
        <x:v>RCN</x:v>
      </x:c>
      <x:c r="H32" s="9" t="n">
        <x:v>2</x:v>
      </x:c>
      <x:c r="I32" s="9" t="n">
        <x:v>1</x:v>
      </x:c>
      <x:c r="J32" s="9" t="str">
        <x:v>CT-C-B-N3</x:v>
      </x:c>
      <x:c r="K32" s="9" t="str">
        <x:v>FX-CT-C-B-TECH-3-F1</x:v>
      </x:c>
      <x:c r="L32" s="9" t="n">
        <x:v>136</x:v>
      </x:c>
      <x:c r="M32" s="9" t="n">
        <x:v>1</x:v>
      </x:c>
      <x:c r="N32" s="9" t="n">
        <x:v>0</x:v>
      </x:c>
      <x:c r="O32" s="9" t="n">
        <x:v>10</x:v>
      </x:c>
      <x:c r="P32" s="9" t="n">
        <x:f>SUMIFS('Start Controls'!$P$7:$P$1446,'Start Controls'!$B$7:$B$1446,A32)</x:f>
        <x:v>0</x:v>
      </x:c>
      <x:c r="Q32" s="9" t="n">
        <x:v>0</x:v>
      </x:c>
      <x:c r="R32" s="9" t="n">
        <x:v>8</x:v>
      </x:c>
      <x:c r="S32" s="9" t="n">
        <x:f>SUMIFS('Raw Custody'!$M$7:$M$1158,'Raw Custody'!$B$7:$B$1158,A32)</x:f>
        <x:v>0</x:v>
      </x:c>
      <x:c r="T32" s="9" t="n">
        <x:v>12</x:v>
      </x:c>
      <x:c r="U32" s="9" t="n">
        <x:f>SUMIFS('Observation Gates'!$L$7:$L$1734,'Observation Gates'!$B$7:$B$1734,A32)</x:f>
        <x:v>0</x:v>
      </x:c>
      <x:c r="V32" s="9" t="str">
        <x:v>UNFILED</x:v>
      </x:c>
      <x:c r="W32" s="9" t="n">
        <x:v>0</x:v>
      </x:c>
      <x:c r="X32" s="9" t="n">
        <x:v>0</x:v>
      </x:c>
      <x:c r="Y32" s="9" t="n">
        <x:v>16</x:v>
      </x:c>
      <x:c r="Z32" s="9" t="n">
        <x:f>SUMIFS('Disclosure Packets'!$M$7:$M$2310,'Disclosure Packets'!$C$7:$C$2310,A32)</x:f>
        <x:v>0</x:v>
      </x:c>
      <x:c r="AA32" s="9" t="n">
        <x:v>0</x:v>
      </x:c>
      <x:c r="AB32" s="9" t="str">
        <x:f>IF(N32=0,"PLANNED / BLOCKED",IF(P32&lt;O32,"EOW / START BLOCKED",IF(Q32=0,"ARMED / UNSTARTED",IF(S32&lt;R32,"STARTED / RAW UNSEALED",IF(U32&lt;T32,"SEALED / OBSERVATION OPEN",IF(X32=0,"OBSERVED / UNJUDGED",IF(Z32&lt;Y32,"JUDGED / DISCLOSURE HELD",IF(AA32=0,"COMPLETE / EMBARGOED","PUBLIC / TERMINAL"))))))))</x:f>
        <x:v>PLANNED / BLOCKED</x:v>
      </x:c>
      <x:c r="AC32" s="9" t="n">
        <x:f>COUNTIFS($A$7:$A$150,A32)</x:f>
        <x:v>1</x:v>
      </x:c>
      <x:c r="AD32" s="9" t="n">
        <x:f>COUNTIFS($H$7:$H$150,H32,$I$7:$I$150,I32)</x:f>
        <x:v>6</x:v>
      </x:c>
      <x:c r="AE32" s="9" t="n">
        <x:f>COUNTIFS($H$7:$H$150,H32,$I$7:$I$150,I32,$J$7:$J$150,J32)</x:f>
        <x:v>1</x:v>
      </x:c>
    </x:row>
    <x:row r="33">
      <x:c r="A33" s="9" t="str">
        <x:v>EV-AR-HC-A-C-TECH-1-B2-RCN-G0</x:v>
      </x:c>
      <x:c r="B33" s="9" t="str">
        <x:v>EOW-AR-HC-A-C-TECH-1-B2-RCN-G0</x:v>
      </x:c>
      <x:c r="C33" s="9" t="str">
        <x:v>AR-HC-A-C-TECH-1-B2-RCN-G0</x:v>
      </x:c>
      <x:c r="D33" s="9" t="str">
        <x:v>HC-A-C-TECH-1</x:v>
      </x:c>
      <x:c r="E33" s="9" t="str">
        <x:v>HC-A-C</x:v>
      </x:c>
      <x:c r="F33" s="9" t="str">
        <x:v>B2</x:v>
      </x:c>
      <x:c r="G33" s="9" t="str">
        <x:v>RCN</x:v>
      </x:c>
      <x:c r="H33" s="9" t="n">
        <x:v>2</x:v>
      </x:c>
      <x:c r="I33" s="9" t="n">
        <x:v>1</x:v>
      </x:c>
      <x:c r="J33" s="9" t="str">
        <x:v>HC-A-C-N2</x:v>
      </x:c>
      <x:c r="K33" s="9" t="str">
        <x:v>FX-HC-A-C-TECH-1-F2</x:v>
      </x:c>
      <x:c r="L33" s="9" t="n">
        <x:v>136</x:v>
      </x:c>
      <x:c r="M33" s="9" t="n">
        <x:v>1</x:v>
      </x:c>
      <x:c r="N33" s="9" t="n">
        <x:v>0</x:v>
      </x:c>
      <x:c r="O33" s="9" t="n">
        <x:v>10</x:v>
      </x:c>
      <x:c r="P33" s="9" t="n">
        <x:f>SUMIFS('Start Controls'!$P$7:$P$1446,'Start Controls'!$B$7:$B$1446,A33)</x:f>
        <x:v>0</x:v>
      </x:c>
      <x:c r="Q33" s="9" t="n">
        <x:v>0</x:v>
      </x:c>
      <x:c r="R33" s="9" t="n">
        <x:v>8</x:v>
      </x:c>
      <x:c r="S33" s="9" t="n">
        <x:f>SUMIFS('Raw Custody'!$M$7:$M$1158,'Raw Custody'!$B$7:$B$1158,A33)</x:f>
        <x:v>0</x:v>
      </x:c>
      <x:c r="T33" s="9" t="n">
        <x:v>12</x:v>
      </x:c>
      <x:c r="U33" s="9" t="n">
        <x:f>SUMIFS('Observation Gates'!$L$7:$L$1734,'Observation Gates'!$B$7:$B$1734,A33)</x:f>
        <x:v>0</x:v>
      </x:c>
      <x:c r="V33" s="9" t="str">
        <x:v>UNFILED</x:v>
      </x:c>
      <x:c r="W33" s="9" t="n">
        <x:v>0</x:v>
      </x:c>
      <x:c r="X33" s="9" t="n">
        <x:v>0</x:v>
      </x:c>
      <x:c r="Y33" s="9" t="n">
        <x:v>16</x:v>
      </x:c>
      <x:c r="Z33" s="9" t="n">
        <x:f>SUMIFS('Disclosure Packets'!$M$7:$M$2310,'Disclosure Packets'!$C$7:$C$2310,A33)</x:f>
        <x:v>0</x:v>
      </x:c>
      <x:c r="AA33" s="9" t="n">
        <x:v>0</x:v>
      </x:c>
      <x:c r="AB33" s="9" t="str">
        <x:f>IF(N33=0,"PLANNED / BLOCKED",IF(P33&lt;O33,"EOW / START BLOCKED",IF(Q33=0,"ARMED / UNSTARTED",IF(S33&lt;R33,"STARTED / RAW UNSEALED",IF(U33&lt;T33,"SEALED / OBSERVATION OPEN",IF(X33=0,"OBSERVED / UNJUDGED",IF(Z33&lt;Y33,"JUDGED / DISCLOSURE HELD",IF(AA33=0,"COMPLETE / EMBARGOED","PUBLIC / TERMINAL"))))))))</x:f>
        <x:v>PLANNED / BLOCKED</x:v>
      </x:c>
      <x:c r="AC33" s="9" t="n">
        <x:f>COUNTIFS($A$7:$A$150,A33)</x:f>
        <x:v>1</x:v>
      </x:c>
      <x:c r="AD33" s="9" t="n">
        <x:f>COUNTIFS($H$7:$H$150,H33,$I$7:$I$150,I33)</x:f>
        <x:v>6</x:v>
      </x:c>
      <x:c r="AE33" s="9" t="n">
        <x:f>COUNTIFS($H$7:$H$150,H33,$I$7:$I$150,I33,$J$7:$J$150,J33)</x:f>
        <x:v>1</x:v>
      </x:c>
    </x:row>
    <x:row r="34">
      <x:c r="A34" s="9" t="str">
        <x:v>EV-AR-HC-A-C-TECH-3-B2-BRK-G0</x:v>
      </x:c>
      <x:c r="B34" s="9" t="str">
        <x:v>EOW-AR-HC-A-C-TECH-3-B2-BRK-G0</x:v>
      </x:c>
      <x:c r="C34" s="9" t="str">
        <x:v>AR-HC-A-C-TECH-3-B2-BRK-G0</x:v>
      </x:c>
      <x:c r="D34" s="9" t="str">
        <x:v>HC-A-C-TECH-3</x:v>
      </x:c>
      <x:c r="E34" s="9" t="str">
        <x:v>HC-A-C</x:v>
      </x:c>
      <x:c r="F34" s="9" t="str">
        <x:v>B2</x:v>
      </x:c>
      <x:c r="G34" s="9" t="str">
        <x:v>BRK</x:v>
      </x:c>
      <x:c r="H34" s="9" t="n">
        <x:v>2</x:v>
      </x:c>
      <x:c r="I34" s="9" t="n">
        <x:v>1</x:v>
      </x:c>
      <x:c r="J34" s="9" t="str">
        <x:v>HC-A-C-N3</x:v>
      </x:c>
      <x:c r="K34" s="9" t="str">
        <x:v>FX-HC-A-C-TECH-3-F1</x:v>
      </x:c>
      <x:c r="L34" s="9" t="n">
        <x:v>136</x:v>
      </x:c>
      <x:c r="M34" s="9" t="n">
        <x:v>1</x:v>
      </x:c>
      <x:c r="N34" s="9" t="n">
        <x:v>0</x:v>
      </x:c>
      <x:c r="O34" s="9" t="n">
        <x:v>10</x:v>
      </x:c>
      <x:c r="P34" s="9" t="n">
        <x:f>SUMIFS('Start Controls'!$P$7:$P$1446,'Start Controls'!$B$7:$B$1446,A34)</x:f>
        <x:v>0</x:v>
      </x:c>
      <x:c r="Q34" s="9" t="n">
        <x:v>0</x:v>
      </x:c>
      <x:c r="R34" s="9" t="n">
        <x:v>8</x:v>
      </x:c>
      <x:c r="S34" s="9" t="n">
        <x:f>SUMIFS('Raw Custody'!$M$7:$M$1158,'Raw Custody'!$B$7:$B$1158,A34)</x:f>
        <x:v>0</x:v>
      </x:c>
      <x:c r="T34" s="9" t="n">
        <x:v>12</x:v>
      </x:c>
      <x:c r="U34" s="9" t="n">
        <x:f>SUMIFS('Observation Gates'!$L$7:$L$1734,'Observation Gates'!$B$7:$B$1734,A34)</x:f>
        <x:v>0</x:v>
      </x:c>
      <x:c r="V34" s="9" t="str">
        <x:v>UNFILED</x:v>
      </x:c>
      <x:c r="W34" s="9" t="n">
        <x:v>0</x:v>
      </x:c>
      <x:c r="X34" s="9" t="n">
        <x:v>0</x:v>
      </x:c>
      <x:c r="Y34" s="9" t="n">
        <x:v>16</x:v>
      </x:c>
      <x:c r="Z34" s="9" t="n">
        <x:f>SUMIFS('Disclosure Packets'!$M$7:$M$2310,'Disclosure Packets'!$C$7:$C$2310,A34)</x:f>
        <x:v>0</x:v>
      </x:c>
      <x:c r="AA34" s="9" t="n">
        <x:v>0</x:v>
      </x:c>
      <x:c r="AB34" s="9" t="str">
        <x:f>IF(N34=0,"PLANNED / BLOCKED",IF(P34&lt;O34,"EOW / START BLOCKED",IF(Q34=0,"ARMED / UNSTARTED",IF(S34&lt;R34,"STARTED / RAW UNSEALED",IF(U34&lt;T34,"SEALED / OBSERVATION OPEN",IF(X34=0,"OBSERVED / UNJUDGED",IF(Z34&lt;Y34,"JUDGED / DISCLOSURE HELD",IF(AA34=0,"COMPLETE / EMBARGOED","PUBLIC / TERMINAL"))))))))</x:f>
        <x:v>PLANNED / BLOCKED</x:v>
      </x:c>
      <x:c r="AC34" s="9" t="n">
        <x:f>COUNTIFS($A$7:$A$150,A34)</x:f>
        <x:v>1</x:v>
      </x:c>
      <x:c r="AD34" s="9" t="n">
        <x:f>COUNTIFS($H$7:$H$150,H34,$I$7:$I$150,I34)</x:f>
        <x:v>6</x:v>
      </x:c>
      <x:c r="AE34" s="9" t="n">
        <x:f>COUNTIFS($H$7:$H$150,H34,$I$7:$I$150,I34,$J$7:$J$150,J34)</x:f>
        <x:v>1</x:v>
      </x:c>
    </x:row>
    <x:row r="35">
      <x:c r="A35" s="9" t="str">
        <x:v>EV-AR-HU-A-B-TECH-4-B1-INT-G0</x:v>
      </x:c>
      <x:c r="B35" s="9" t="str">
        <x:v>EOW-AR-HU-A-B-TECH-4-B1-INT-G0</x:v>
      </x:c>
      <x:c r="C35" s="9" t="str">
        <x:v>AR-HU-A-B-TECH-4-B1-INT-G0</x:v>
      </x:c>
      <x:c r="D35" s="9" t="str">
        <x:v>HU-A-B-TECH-4</x:v>
      </x:c>
      <x:c r="E35" s="9" t="str">
        <x:v>HU-A-B</x:v>
      </x:c>
      <x:c r="F35" s="9" t="str">
        <x:v>B1</x:v>
      </x:c>
      <x:c r="G35" s="9" t="str">
        <x:v>INT</x:v>
      </x:c>
      <x:c r="H35" s="9" t="n">
        <x:v>2</x:v>
      </x:c>
      <x:c r="I35" s="9" t="n">
        <x:v>1</x:v>
      </x:c>
      <x:c r="J35" s="9" t="str">
        <x:v>HU-A-B-N2</x:v>
      </x:c>
      <x:c r="K35" s="9" t="str">
        <x:v>FX-HU-A-B-TECH-4-F2</x:v>
      </x:c>
      <x:c r="L35" s="9" t="n">
        <x:v>136</x:v>
      </x:c>
      <x:c r="M35" s="9" t="n">
        <x:v>0</x:v>
      </x:c>
      <x:c r="N35" s="9" t="n">
        <x:v>0</x:v>
      </x:c>
      <x:c r="O35" s="9" t="n">
        <x:v>10</x:v>
      </x:c>
      <x:c r="P35" s="9" t="n">
        <x:f>SUMIFS('Start Controls'!$P$7:$P$1446,'Start Controls'!$B$7:$B$1446,A35)</x:f>
        <x:v>0</x:v>
      </x:c>
      <x:c r="Q35" s="9" t="n">
        <x:v>0</x:v>
      </x:c>
      <x:c r="R35" s="9" t="n">
        <x:v>8</x:v>
      </x:c>
      <x:c r="S35" s="9" t="n">
        <x:f>SUMIFS('Raw Custody'!$M$7:$M$1158,'Raw Custody'!$B$7:$B$1158,A35)</x:f>
        <x:v>0</x:v>
      </x:c>
      <x:c r="T35" s="9" t="n">
        <x:v>12</x:v>
      </x:c>
      <x:c r="U35" s="9" t="n">
        <x:f>SUMIFS('Observation Gates'!$L$7:$L$1734,'Observation Gates'!$B$7:$B$1734,A35)</x:f>
        <x:v>0</x:v>
      </x:c>
      <x:c r="V35" s="9" t="str">
        <x:v>UNFILED</x:v>
      </x:c>
      <x:c r="W35" s="9" t="n">
        <x:v>0</x:v>
      </x:c>
      <x:c r="X35" s="9" t="n">
        <x:v>0</x:v>
      </x:c>
      <x:c r="Y35" s="9" t="n">
        <x:v>16</x:v>
      </x:c>
      <x:c r="Z35" s="9" t="n">
        <x:f>SUMIFS('Disclosure Packets'!$M$7:$M$2310,'Disclosure Packets'!$C$7:$C$2310,A35)</x:f>
        <x:v>0</x:v>
      </x:c>
      <x:c r="AA35" s="9" t="n">
        <x:v>0</x:v>
      </x:c>
      <x:c r="AB35" s="9" t="str">
        <x:f>IF(N35=0,"PLANNED / BLOCKED",IF(P35&lt;O35,"EOW / START BLOCKED",IF(Q35=0,"ARMED / UNSTARTED",IF(S35&lt;R35,"STARTED / RAW UNSEALED",IF(U35&lt;T35,"SEALED / OBSERVATION OPEN",IF(X35=0,"OBSERVED / UNJUDGED",IF(Z35&lt;Y35,"JUDGED / DISCLOSURE HELD",IF(AA35=0,"COMPLETE / EMBARGOED","PUBLIC / TERMINAL"))))))))</x:f>
        <x:v>PLANNED / BLOCKED</x:v>
      </x:c>
      <x:c r="AC35" s="9" t="n">
        <x:f>COUNTIFS($A$7:$A$150,A35)</x:f>
        <x:v>1</x:v>
      </x:c>
      <x:c r="AD35" s="9" t="n">
        <x:f>COUNTIFS($H$7:$H$150,H35,$I$7:$I$150,I35)</x:f>
        <x:v>6</x:v>
      </x:c>
      <x:c r="AE35" s="9" t="n">
        <x:f>COUNTIFS($H$7:$H$150,H35,$I$7:$I$150,I35,$J$7:$J$150,J35)</x:f>
        <x:v>1</x:v>
      </x:c>
    </x:row>
    <x:row r="36">
      <x:c r="A36" s="9" t="str">
        <x:v>EV-AR-LF-B-A-TECH-1-B1-RCN-G0</x:v>
      </x:c>
      <x:c r="B36" s="9" t="str">
        <x:v>EOW-AR-LF-B-A-TECH-1-B1-RCN-G0</x:v>
      </x:c>
      <x:c r="C36" s="9" t="str">
        <x:v>AR-LF-B-A-TECH-1-B1-RCN-G0</x:v>
      </x:c>
      <x:c r="D36" s="9" t="str">
        <x:v>LF-B-A-TECH-1</x:v>
      </x:c>
      <x:c r="E36" s="9" t="str">
        <x:v>LF-B-A</x:v>
      </x:c>
      <x:c r="F36" s="9" t="str">
        <x:v>B1</x:v>
      </x:c>
      <x:c r="G36" s="9" t="str">
        <x:v>RCN</x:v>
      </x:c>
      <x:c r="H36" s="9" t="n">
        <x:v>2</x:v>
      </x:c>
      <x:c r="I36" s="9" t="n">
        <x:v>1</x:v>
      </x:c>
      <x:c r="J36" s="9" t="str">
        <x:v>LF-B-A-N1</x:v>
      </x:c>
      <x:c r="K36" s="9" t="str">
        <x:v>FX-LF-B-A-TECH-1-F1</x:v>
      </x:c>
      <x:c r="L36" s="9" t="n">
        <x:v>136</x:v>
      </x:c>
      <x:c r="M36" s="9" t="n">
        <x:v>1</x:v>
      </x:c>
      <x:c r="N36" s="9" t="n">
        <x:v>0</x:v>
      </x:c>
      <x:c r="O36" s="9" t="n">
        <x:v>10</x:v>
      </x:c>
      <x:c r="P36" s="9" t="n">
        <x:f>SUMIFS('Start Controls'!$P$7:$P$1446,'Start Controls'!$B$7:$B$1446,A36)</x:f>
        <x:v>0</x:v>
      </x:c>
      <x:c r="Q36" s="9" t="n">
        <x:v>0</x:v>
      </x:c>
      <x:c r="R36" s="9" t="n">
        <x:v>8</x:v>
      </x:c>
      <x:c r="S36" s="9" t="n">
        <x:f>SUMIFS('Raw Custody'!$M$7:$M$1158,'Raw Custody'!$B$7:$B$1158,A36)</x:f>
        <x:v>0</x:v>
      </x:c>
      <x:c r="T36" s="9" t="n">
        <x:v>12</x:v>
      </x:c>
      <x:c r="U36" s="9" t="n">
        <x:f>SUMIFS('Observation Gates'!$L$7:$L$1734,'Observation Gates'!$B$7:$B$1734,A36)</x:f>
        <x:v>0</x:v>
      </x:c>
      <x:c r="V36" s="9" t="str">
        <x:v>UNFILED</x:v>
      </x:c>
      <x:c r="W36" s="9" t="n">
        <x:v>0</x:v>
      </x:c>
      <x:c r="X36" s="9" t="n">
        <x:v>0</x:v>
      </x:c>
      <x:c r="Y36" s="9" t="n">
        <x:v>16</x:v>
      </x:c>
      <x:c r="Z36" s="9" t="n">
        <x:f>SUMIFS('Disclosure Packets'!$M$7:$M$2310,'Disclosure Packets'!$C$7:$C$2310,A36)</x:f>
        <x:v>0</x:v>
      </x:c>
      <x:c r="AA36" s="9" t="n">
        <x:v>0</x:v>
      </x:c>
      <x:c r="AB36" s="9" t="str">
        <x:f>IF(N36=0,"PLANNED / BLOCKED",IF(P36&lt;O36,"EOW / START BLOCKED",IF(Q36=0,"ARMED / UNSTARTED",IF(S36&lt;R36,"STARTED / RAW UNSEALED",IF(U36&lt;T36,"SEALED / OBSERVATION OPEN",IF(X36=0,"OBSERVED / UNJUDGED",IF(Z36&lt;Y36,"JUDGED / DISCLOSURE HELD",IF(AA36=0,"COMPLETE / EMBARGOED","PUBLIC / TERMINAL"))))))))</x:f>
        <x:v>PLANNED / BLOCKED</x:v>
      </x:c>
      <x:c r="AC36" s="9" t="n">
        <x:f>COUNTIFS($A$7:$A$150,A36)</x:f>
        <x:v>1</x:v>
      </x:c>
      <x:c r="AD36" s="9" t="n">
        <x:f>COUNTIFS($H$7:$H$150,H36,$I$7:$I$150,I36)</x:f>
        <x:v>6</x:v>
      </x:c>
      <x:c r="AE36" s="9" t="n">
        <x:f>COUNTIFS($H$7:$H$150,H36,$I$7:$I$150,I36,$J$7:$J$150,J36)</x:f>
        <x:v>1</x:v>
      </x:c>
    </x:row>
    <x:row r="37">
      <x:c r="A37" s="9" t="str">
        <x:v>EV-AR-ET-A-A-TECH-3-B2-RCN-G0</x:v>
      </x:c>
      <x:c r="B37" s="9" t="str">
        <x:v>EOW-AR-ET-A-A-TECH-3-B2-RCN-G0</x:v>
      </x:c>
      <x:c r="C37" s="9" t="str">
        <x:v>AR-ET-A-A-TECH-3-B2-RCN-G0</x:v>
      </x:c>
      <x:c r="D37" s="9" t="str">
        <x:v>ET-A-A-TECH-3</x:v>
      </x:c>
      <x:c r="E37" s="9" t="str">
        <x:v>ET-A-A</x:v>
      </x:c>
      <x:c r="F37" s="9" t="str">
        <x:v>B2</x:v>
      </x:c>
      <x:c r="G37" s="9" t="str">
        <x:v>RCN</x:v>
      </x:c>
      <x:c r="H37" s="9" t="n">
        <x:v>2</x:v>
      </x:c>
      <x:c r="I37" s="9" t="n">
        <x:v>2</x:v>
      </x:c>
      <x:c r="J37" s="9" t="str">
        <x:v>ET-A-A-N1</x:v>
      </x:c>
      <x:c r="K37" s="9" t="str">
        <x:v>FX-ET-A-A-TECH-3-F2</x:v>
      </x:c>
      <x:c r="L37" s="9" t="n">
        <x:v>142</x:v>
      </x:c>
      <x:c r="M37" s="9" t="n">
        <x:v>1</x:v>
      </x:c>
      <x:c r="N37" s="9" t="n">
        <x:v>0</x:v>
      </x:c>
      <x:c r="O37" s="9" t="n">
        <x:v>10</x:v>
      </x:c>
      <x:c r="P37" s="9" t="n">
        <x:f>SUMIFS('Start Controls'!$P$7:$P$1446,'Start Controls'!$B$7:$B$1446,A37)</x:f>
        <x:v>0</x:v>
      </x:c>
      <x:c r="Q37" s="9" t="n">
        <x:v>0</x:v>
      </x:c>
      <x:c r="R37" s="9" t="n">
        <x:v>8</x:v>
      </x:c>
      <x:c r="S37" s="9" t="n">
        <x:f>SUMIFS('Raw Custody'!$M$7:$M$1158,'Raw Custody'!$B$7:$B$1158,A37)</x:f>
        <x:v>0</x:v>
      </x:c>
      <x:c r="T37" s="9" t="n">
        <x:v>12</x:v>
      </x:c>
      <x:c r="U37" s="9" t="n">
        <x:f>SUMIFS('Observation Gates'!$L$7:$L$1734,'Observation Gates'!$B$7:$B$1734,A37)</x:f>
        <x:v>0</x:v>
      </x:c>
      <x:c r="V37" s="9" t="str">
        <x:v>UNFILED</x:v>
      </x:c>
      <x:c r="W37" s="9" t="n">
        <x:v>0</x:v>
      </x:c>
      <x:c r="X37" s="9" t="n">
        <x:v>0</x:v>
      </x:c>
      <x:c r="Y37" s="9" t="n">
        <x:v>16</x:v>
      </x:c>
      <x:c r="Z37" s="9" t="n">
        <x:f>SUMIFS('Disclosure Packets'!$M$7:$M$2310,'Disclosure Packets'!$C$7:$C$2310,A37)</x:f>
        <x:v>0</x:v>
      </x:c>
      <x:c r="AA37" s="9" t="n">
        <x:v>0</x:v>
      </x:c>
      <x:c r="AB37" s="9" t="str">
        <x:f>IF(N37=0,"PLANNED / BLOCKED",IF(P37&lt;O37,"EOW / START BLOCKED",IF(Q37=0,"ARMED / UNSTARTED",IF(S37&lt;R37,"STARTED / RAW UNSEALED",IF(U37&lt;T37,"SEALED / OBSERVATION OPEN",IF(X37=0,"OBSERVED / UNJUDGED",IF(Z37&lt;Y37,"JUDGED / DISCLOSURE HELD",IF(AA37=0,"COMPLETE / EMBARGOED","PUBLIC / TERMINAL"))))))))</x:f>
        <x:v>PLANNED / BLOCKED</x:v>
      </x:c>
      <x:c r="AC37" s="9" t="n">
        <x:f>COUNTIFS($A$7:$A$150,A37)</x:f>
        <x:v>1</x:v>
      </x:c>
      <x:c r="AD37" s="9" t="n">
        <x:f>COUNTIFS($H$7:$H$150,H37,$I$7:$I$150,I37)</x:f>
        <x:v>6</x:v>
      </x:c>
      <x:c r="AE37" s="9" t="n">
        <x:f>COUNTIFS($H$7:$H$150,H37,$I$7:$I$150,I37,$J$7:$J$150,J37)</x:f>
        <x:v>1</x:v>
      </x:c>
    </x:row>
    <x:row r="38">
      <x:c r="A38" s="9" t="str">
        <x:v>EV-AR-ET-A-A-TECH-1-B2-INT-G0</x:v>
      </x:c>
      <x:c r="B38" s="9" t="str">
        <x:v>EOW-AR-ET-A-A-TECH-1-B2-INT-G0</x:v>
      </x:c>
      <x:c r="C38" s="9" t="str">
        <x:v>AR-ET-A-A-TECH-1-B2-INT-G0</x:v>
      </x:c>
      <x:c r="D38" s="9" t="str">
        <x:v>ET-A-A-TECH-1</x:v>
      </x:c>
      <x:c r="E38" s="9" t="str">
        <x:v>ET-A-A</x:v>
      </x:c>
      <x:c r="F38" s="9" t="str">
        <x:v>B2</x:v>
      </x:c>
      <x:c r="G38" s="9" t="str">
        <x:v>INT</x:v>
      </x:c>
      <x:c r="H38" s="9" t="n">
        <x:v>2</x:v>
      </x:c>
      <x:c r="I38" s="9" t="n">
        <x:v>2</x:v>
      </x:c>
      <x:c r="J38" s="9" t="str">
        <x:v>ET-A-A-N2</x:v>
      </x:c>
      <x:c r="K38" s="9" t="str">
        <x:v>FX-ET-A-A-TECH-1-F2</x:v>
      </x:c>
      <x:c r="L38" s="9" t="n">
        <x:v>142</x:v>
      </x:c>
      <x:c r="M38" s="9" t="n">
        <x:v>0</x:v>
      </x:c>
      <x:c r="N38" s="9" t="n">
        <x:v>0</x:v>
      </x:c>
      <x:c r="O38" s="9" t="n">
        <x:v>10</x:v>
      </x:c>
      <x:c r="P38" s="9" t="n">
        <x:f>SUMIFS('Start Controls'!$P$7:$P$1446,'Start Controls'!$B$7:$B$1446,A38)</x:f>
        <x:v>0</x:v>
      </x:c>
      <x:c r="Q38" s="9" t="n">
        <x:v>0</x:v>
      </x:c>
      <x:c r="R38" s="9" t="n">
        <x:v>8</x:v>
      </x:c>
      <x:c r="S38" s="9" t="n">
        <x:f>SUMIFS('Raw Custody'!$M$7:$M$1158,'Raw Custody'!$B$7:$B$1158,A38)</x:f>
        <x:v>0</x:v>
      </x:c>
      <x:c r="T38" s="9" t="n">
        <x:v>12</x:v>
      </x:c>
      <x:c r="U38" s="9" t="n">
        <x:f>SUMIFS('Observation Gates'!$L$7:$L$1734,'Observation Gates'!$B$7:$B$1734,A38)</x:f>
        <x:v>0</x:v>
      </x:c>
      <x:c r="V38" s="9" t="str">
        <x:v>UNFILED</x:v>
      </x:c>
      <x:c r="W38" s="9" t="n">
        <x:v>0</x:v>
      </x:c>
      <x:c r="X38" s="9" t="n">
        <x:v>0</x:v>
      </x:c>
      <x:c r="Y38" s="9" t="n">
        <x:v>16</x:v>
      </x:c>
      <x:c r="Z38" s="9" t="n">
        <x:f>SUMIFS('Disclosure Packets'!$M$7:$M$2310,'Disclosure Packets'!$C$7:$C$2310,A38)</x:f>
        <x:v>0</x:v>
      </x:c>
      <x:c r="AA38" s="9" t="n">
        <x:v>0</x:v>
      </x:c>
      <x:c r="AB38" s="9" t="str">
        <x:f>IF(N38=0,"PLANNED / BLOCKED",IF(P38&lt;O38,"EOW / START BLOCKED",IF(Q38=0,"ARMED / UNSTARTED",IF(S38&lt;R38,"STARTED / RAW UNSEALED",IF(U38&lt;T38,"SEALED / OBSERVATION OPEN",IF(X38=0,"OBSERVED / UNJUDGED",IF(Z38&lt;Y38,"JUDGED / DISCLOSURE HELD",IF(AA38=0,"COMPLETE / EMBARGOED","PUBLIC / TERMINAL"))))))))</x:f>
        <x:v>PLANNED / BLOCKED</x:v>
      </x:c>
      <x:c r="AC38" s="9" t="n">
        <x:f>COUNTIFS($A$7:$A$150,A38)</x:f>
        <x:v>1</x:v>
      </x:c>
      <x:c r="AD38" s="9" t="n">
        <x:f>COUNTIFS($H$7:$H$150,H38,$I$7:$I$150,I38)</x:f>
        <x:v>6</x:v>
      </x:c>
      <x:c r="AE38" s="9" t="n">
        <x:f>COUNTIFS($H$7:$H$150,H38,$I$7:$I$150,I38,$J$7:$J$150,J38)</x:f>
        <x:v>1</x:v>
      </x:c>
    </x:row>
    <x:row r="39">
      <x:c r="A39" s="9" t="str">
        <x:v>EV-AR-HU-A-B-TECH-1-B2-BRK-G0</x:v>
      </x:c>
      <x:c r="B39" s="9" t="str">
        <x:v>EOW-AR-HU-A-B-TECH-1-B2-BRK-G0</x:v>
      </x:c>
      <x:c r="C39" s="9" t="str">
        <x:v>AR-HU-A-B-TECH-1-B2-BRK-G0</x:v>
      </x:c>
      <x:c r="D39" s="9" t="str">
        <x:v>HU-A-B-TECH-1</x:v>
      </x:c>
      <x:c r="E39" s="9" t="str">
        <x:v>HU-A-B</x:v>
      </x:c>
      <x:c r="F39" s="9" t="str">
        <x:v>B2</x:v>
      </x:c>
      <x:c r="G39" s="9" t="str">
        <x:v>BRK</x:v>
      </x:c>
      <x:c r="H39" s="9" t="n">
        <x:v>2</x:v>
      </x:c>
      <x:c r="I39" s="9" t="n">
        <x:v>2</x:v>
      </x:c>
      <x:c r="J39" s="9" t="str">
        <x:v>HU-A-B-N1</x:v>
      </x:c>
      <x:c r="K39" s="9" t="str">
        <x:v>FX-HU-A-B-TECH-1-F1</x:v>
      </x:c>
      <x:c r="L39" s="9" t="n">
        <x:v>142</x:v>
      </x:c>
      <x:c r="M39" s="9" t="n">
        <x:v>1</x:v>
      </x:c>
      <x:c r="N39" s="9" t="n">
        <x:v>0</x:v>
      </x:c>
      <x:c r="O39" s="9" t="n">
        <x:v>10</x:v>
      </x:c>
      <x:c r="P39" s="9" t="n">
        <x:f>SUMIFS('Start Controls'!$P$7:$P$1446,'Start Controls'!$B$7:$B$1446,A39)</x:f>
        <x:v>0</x:v>
      </x:c>
      <x:c r="Q39" s="9" t="n">
        <x:v>0</x:v>
      </x:c>
      <x:c r="R39" s="9" t="n">
        <x:v>8</x:v>
      </x:c>
      <x:c r="S39" s="9" t="n">
        <x:f>SUMIFS('Raw Custody'!$M$7:$M$1158,'Raw Custody'!$B$7:$B$1158,A39)</x:f>
        <x:v>0</x:v>
      </x:c>
      <x:c r="T39" s="9" t="n">
        <x:v>12</x:v>
      </x:c>
      <x:c r="U39" s="9" t="n">
        <x:f>SUMIFS('Observation Gates'!$L$7:$L$1734,'Observation Gates'!$B$7:$B$1734,A39)</x:f>
        <x:v>0</x:v>
      </x:c>
      <x:c r="V39" s="9" t="str">
        <x:v>UNFILED</x:v>
      </x:c>
      <x:c r="W39" s="9" t="n">
        <x:v>0</x:v>
      </x:c>
      <x:c r="X39" s="9" t="n">
        <x:v>0</x:v>
      </x:c>
      <x:c r="Y39" s="9" t="n">
        <x:v>16</x:v>
      </x:c>
      <x:c r="Z39" s="9" t="n">
        <x:f>SUMIFS('Disclosure Packets'!$M$7:$M$2310,'Disclosure Packets'!$C$7:$C$2310,A39)</x:f>
        <x:v>0</x:v>
      </x:c>
      <x:c r="AA39" s="9" t="n">
        <x:v>0</x:v>
      </x:c>
      <x:c r="AB39" s="9" t="str">
        <x:f>IF(N39=0,"PLANNED / BLOCKED",IF(P39&lt;O39,"EOW / START BLOCKED",IF(Q39=0,"ARMED / UNSTARTED",IF(S39&lt;R39,"STARTED / RAW UNSEALED",IF(U39&lt;T39,"SEALED / OBSERVATION OPEN",IF(X39=0,"OBSERVED / UNJUDGED",IF(Z39&lt;Y39,"JUDGED / DISCLOSURE HELD",IF(AA39=0,"COMPLETE / EMBARGOED","PUBLIC / TERMINAL"))))))))</x:f>
        <x:v>PLANNED / BLOCKED</x:v>
      </x:c>
      <x:c r="AC39" s="9" t="n">
        <x:f>COUNTIFS($A$7:$A$150,A39)</x:f>
        <x:v>1</x:v>
      </x:c>
      <x:c r="AD39" s="9" t="n">
        <x:f>COUNTIFS($H$7:$H$150,H39,$I$7:$I$150,I39)</x:f>
        <x:v>6</x:v>
      </x:c>
      <x:c r="AE39" s="9" t="n">
        <x:f>COUNTIFS($H$7:$H$150,H39,$I$7:$I$150,I39,$J$7:$J$150,J39)</x:f>
        <x:v>1</x:v>
      </x:c>
    </x:row>
    <x:row r="40">
      <x:c r="A40" s="9" t="str">
        <x:v>EV-AR-LF-B-A-TECH-3-B1-BRK-G0</x:v>
      </x:c>
      <x:c r="B40" s="9" t="str">
        <x:v>EOW-AR-LF-B-A-TECH-3-B1-BRK-G0</x:v>
      </x:c>
      <x:c r="C40" s="9" t="str">
        <x:v>AR-LF-B-A-TECH-3-B1-BRK-G0</x:v>
      </x:c>
      <x:c r="D40" s="9" t="str">
        <x:v>LF-B-A-TECH-3</x:v>
      </x:c>
      <x:c r="E40" s="9" t="str">
        <x:v>LF-B-A</x:v>
      </x:c>
      <x:c r="F40" s="9" t="str">
        <x:v>B1</x:v>
      </x:c>
      <x:c r="G40" s="9" t="str">
        <x:v>BRK</x:v>
      </x:c>
      <x:c r="H40" s="9" t="n">
        <x:v>2</x:v>
      </x:c>
      <x:c r="I40" s="9" t="n">
        <x:v>2</x:v>
      </x:c>
      <x:c r="J40" s="9" t="str">
        <x:v>LF-B-A-N1</x:v>
      </x:c>
      <x:c r="K40" s="9" t="str">
        <x:v>FX-LF-B-A-TECH-3-F2</x:v>
      </x:c>
      <x:c r="L40" s="9" t="n">
        <x:v>142</x:v>
      </x:c>
      <x:c r="M40" s="9" t="n">
        <x:v>1</x:v>
      </x:c>
      <x:c r="N40" s="9" t="n">
        <x:v>0</x:v>
      </x:c>
      <x:c r="O40" s="9" t="n">
        <x:v>10</x:v>
      </x:c>
      <x:c r="P40" s="9" t="n">
        <x:f>SUMIFS('Start Controls'!$P$7:$P$1446,'Start Controls'!$B$7:$B$1446,A40)</x:f>
        <x:v>0</x:v>
      </x:c>
      <x:c r="Q40" s="9" t="n">
        <x:v>0</x:v>
      </x:c>
      <x:c r="R40" s="9" t="n">
        <x:v>8</x:v>
      </x:c>
      <x:c r="S40" s="9" t="n">
        <x:f>SUMIFS('Raw Custody'!$M$7:$M$1158,'Raw Custody'!$B$7:$B$1158,A40)</x:f>
        <x:v>0</x:v>
      </x:c>
      <x:c r="T40" s="9" t="n">
        <x:v>12</x:v>
      </x:c>
      <x:c r="U40" s="9" t="n">
        <x:f>SUMIFS('Observation Gates'!$L$7:$L$1734,'Observation Gates'!$B$7:$B$1734,A40)</x:f>
        <x:v>0</x:v>
      </x:c>
      <x:c r="V40" s="9" t="str">
        <x:v>UNFILED</x:v>
      </x:c>
      <x:c r="W40" s="9" t="n">
        <x:v>0</x:v>
      </x:c>
      <x:c r="X40" s="9" t="n">
        <x:v>0</x:v>
      </x:c>
      <x:c r="Y40" s="9" t="n">
        <x:v>16</x:v>
      </x:c>
      <x:c r="Z40" s="9" t="n">
        <x:f>SUMIFS('Disclosure Packets'!$M$7:$M$2310,'Disclosure Packets'!$C$7:$C$2310,A40)</x:f>
        <x:v>0</x:v>
      </x:c>
      <x:c r="AA40" s="9" t="n">
        <x:v>0</x:v>
      </x:c>
      <x:c r="AB40" s="9" t="str">
        <x:f>IF(N40=0,"PLANNED / BLOCKED",IF(P40&lt;O40,"EOW / START BLOCKED",IF(Q40=0,"ARMED / UNSTARTED",IF(S40&lt;R40,"STARTED / RAW UNSEALED",IF(U40&lt;T40,"SEALED / OBSERVATION OPEN",IF(X40=0,"OBSERVED / UNJUDGED",IF(Z40&lt;Y40,"JUDGED / DISCLOSURE HELD",IF(AA40=0,"COMPLETE / EMBARGOED","PUBLIC / TERMINAL"))))))))</x:f>
        <x:v>PLANNED / BLOCKED</x:v>
      </x:c>
      <x:c r="AC40" s="9" t="n">
        <x:f>COUNTIFS($A$7:$A$150,A40)</x:f>
        <x:v>1</x:v>
      </x:c>
      <x:c r="AD40" s="9" t="n">
        <x:f>COUNTIFS($H$7:$H$150,H40,$I$7:$I$150,I40)</x:f>
        <x:v>6</x:v>
      </x:c>
      <x:c r="AE40" s="9" t="n">
        <x:f>COUNTIFS($H$7:$H$150,H40,$I$7:$I$150,I40,$J$7:$J$150,J40)</x:f>
        <x:v>1</x:v>
      </x:c>
    </x:row>
    <x:row r="41">
      <x:c r="A41" s="9" t="str">
        <x:v>EV-AR-LF-B-A-TECH-2-B2-BRK-G0</x:v>
      </x:c>
      <x:c r="B41" s="9" t="str">
        <x:v>EOW-AR-LF-B-A-TECH-2-B2-BRK-G0</x:v>
      </x:c>
      <x:c r="C41" s="9" t="str">
        <x:v>AR-LF-B-A-TECH-2-B2-BRK-G0</x:v>
      </x:c>
      <x:c r="D41" s="9" t="str">
        <x:v>LF-B-A-TECH-2</x:v>
      </x:c>
      <x:c r="E41" s="9" t="str">
        <x:v>LF-B-A</x:v>
      </x:c>
      <x:c r="F41" s="9" t="str">
        <x:v>B2</x:v>
      </x:c>
      <x:c r="G41" s="9" t="str">
        <x:v>BRK</x:v>
      </x:c>
      <x:c r="H41" s="9" t="n">
        <x:v>2</x:v>
      </x:c>
      <x:c r="I41" s="9" t="n">
        <x:v>2</x:v>
      </x:c>
      <x:c r="J41" s="9" t="str">
        <x:v>LF-B-A-N3</x:v>
      </x:c>
      <x:c r="K41" s="9" t="str">
        <x:v>FX-LF-B-A-TECH-2-F2</x:v>
      </x:c>
      <x:c r="L41" s="9" t="n">
        <x:v>142</x:v>
      </x:c>
      <x:c r="M41" s="9" t="n">
        <x:v>1</x:v>
      </x:c>
      <x:c r="N41" s="9" t="n">
        <x:v>0</x:v>
      </x:c>
      <x:c r="O41" s="9" t="n">
        <x:v>10</x:v>
      </x:c>
      <x:c r="P41" s="9" t="n">
        <x:f>SUMIFS('Start Controls'!$P$7:$P$1446,'Start Controls'!$B$7:$B$1446,A41)</x:f>
        <x:v>0</x:v>
      </x:c>
      <x:c r="Q41" s="9" t="n">
        <x:v>0</x:v>
      </x:c>
      <x:c r="R41" s="9" t="n">
        <x:v>8</x:v>
      </x:c>
      <x:c r="S41" s="9" t="n">
        <x:f>SUMIFS('Raw Custody'!$M$7:$M$1158,'Raw Custody'!$B$7:$B$1158,A41)</x:f>
        <x:v>0</x:v>
      </x:c>
      <x:c r="T41" s="9" t="n">
        <x:v>12</x:v>
      </x:c>
      <x:c r="U41" s="9" t="n">
        <x:f>SUMIFS('Observation Gates'!$L$7:$L$1734,'Observation Gates'!$B$7:$B$1734,A41)</x:f>
        <x:v>0</x:v>
      </x:c>
      <x:c r="V41" s="9" t="str">
        <x:v>UNFILED</x:v>
      </x:c>
      <x:c r="W41" s="9" t="n">
        <x:v>0</x:v>
      </x:c>
      <x:c r="X41" s="9" t="n">
        <x:v>0</x:v>
      </x:c>
      <x:c r="Y41" s="9" t="n">
        <x:v>16</x:v>
      </x:c>
      <x:c r="Z41" s="9" t="n">
        <x:f>SUMIFS('Disclosure Packets'!$M$7:$M$2310,'Disclosure Packets'!$C$7:$C$2310,A41)</x:f>
        <x:v>0</x:v>
      </x:c>
      <x:c r="AA41" s="9" t="n">
        <x:v>0</x:v>
      </x:c>
      <x:c r="AB41" s="9" t="str">
        <x:f>IF(N41=0,"PLANNED / BLOCKED",IF(P41&lt;O41,"EOW / START BLOCKED",IF(Q41=0,"ARMED / UNSTARTED",IF(S41&lt;R41,"STARTED / RAW UNSEALED",IF(U41&lt;T41,"SEALED / OBSERVATION OPEN",IF(X41=0,"OBSERVED / UNJUDGED",IF(Z41&lt;Y41,"JUDGED / DISCLOSURE HELD",IF(AA41=0,"COMPLETE / EMBARGOED","PUBLIC / TERMINAL"))))))))</x:f>
        <x:v>PLANNED / BLOCKED</x:v>
      </x:c>
      <x:c r="AC41" s="9" t="n">
        <x:f>COUNTIFS($A$7:$A$150,A41)</x:f>
        <x:v>1</x:v>
      </x:c>
      <x:c r="AD41" s="9" t="n">
        <x:f>COUNTIFS($H$7:$H$150,H41,$I$7:$I$150,I41)</x:f>
        <x:v>6</x:v>
      </x:c>
      <x:c r="AE41" s="9" t="n">
        <x:f>COUNTIFS($H$7:$H$150,H41,$I$7:$I$150,I41,$J$7:$J$150,J41)</x:f>
        <x:v>1</x:v>
      </x:c>
    </x:row>
    <x:row r="42">
      <x:c r="A42" s="9" t="str">
        <x:v>EV-AR-RT-B-C-TECH-1-B1-BRK-G0</x:v>
      </x:c>
      <x:c r="B42" s="9" t="str">
        <x:v>EOW-AR-RT-B-C-TECH-1-B1-BRK-G0</x:v>
      </x:c>
      <x:c r="C42" s="9" t="str">
        <x:v>AR-RT-B-C-TECH-1-B1-BRK-G0</x:v>
      </x:c>
      <x:c r="D42" s="9" t="str">
        <x:v>RT-B-C-TECH-1</x:v>
      </x:c>
      <x:c r="E42" s="9" t="str">
        <x:v>RT-B-C</x:v>
      </x:c>
      <x:c r="F42" s="9" t="str">
        <x:v>B1</x:v>
      </x:c>
      <x:c r="G42" s="9" t="str">
        <x:v>BRK</x:v>
      </x:c>
      <x:c r="H42" s="9" t="n">
        <x:v>2</x:v>
      </x:c>
      <x:c r="I42" s="9" t="n">
        <x:v>2</x:v>
      </x:c>
      <x:c r="J42" s="9" t="str">
        <x:v>RT-B-C-N2</x:v>
      </x:c>
      <x:c r="K42" s="9" t="str">
        <x:v>FX-RT-B-C-TECH-1-F2</x:v>
      </x:c>
      <x:c r="L42" s="9" t="n">
        <x:v>142</x:v>
      </x:c>
      <x:c r="M42" s="9" t="n">
        <x:v>1</x:v>
      </x:c>
      <x:c r="N42" s="9" t="n">
        <x:v>0</x:v>
      </x:c>
      <x:c r="O42" s="9" t="n">
        <x:v>10</x:v>
      </x:c>
      <x:c r="P42" s="9" t="n">
        <x:f>SUMIFS('Start Controls'!$P$7:$P$1446,'Start Controls'!$B$7:$B$1446,A42)</x:f>
        <x:v>0</x:v>
      </x:c>
      <x:c r="Q42" s="9" t="n">
        <x:v>0</x:v>
      </x:c>
      <x:c r="R42" s="9" t="n">
        <x:v>8</x:v>
      </x:c>
      <x:c r="S42" s="9" t="n">
        <x:f>SUMIFS('Raw Custody'!$M$7:$M$1158,'Raw Custody'!$B$7:$B$1158,A42)</x:f>
        <x:v>0</x:v>
      </x:c>
      <x:c r="T42" s="9" t="n">
        <x:v>12</x:v>
      </x:c>
      <x:c r="U42" s="9" t="n">
        <x:f>SUMIFS('Observation Gates'!$L$7:$L$1734,'Observation Gates'!$B$7:$B$1734,A42)</x:f>
        <x:v>0</x:v>
      </x:c>
      <x:c r="V42" s="9" t="str">
        <x:v>UNFILED</x:v>
      </x:c>
      <x:c r="W42" s="9" t="n">
        <x:v>0</x:v>
      </x:c>
      <x:c r="X42" s="9" t="n">
        <x:v>0</x:v>
      </x:c>
      <x:c r="Y42" s="9" t="n">
        <x:v>16</x:v>
      </x:c>
      <x:c r="Z42" s="9" t="n">
        <x:f>SUMIFS('Disclosure Packets'!$M$7:$M$2310,'Disclosure Packets'!$C$7:$C$2310,A42)</x:f>
        <x:v>0</x:v>
      </x:c>
      <x:c r="AA42" s="9" t="n">
        <x:v>0</x:v>
      </x:c>
      <x:c r="AB42" s="9" t="str">
        <x:f>IF(N42=0,"PLANNED / BLOCKED",IF(P42&lt;O42,"EOW / START BLOCKED",IF(Q42=0,"ARMED / UNSTARTED",IF(S42&lt;R42,"STARTED / RAW UNSEALED",IF(U42&lt;T42,"SEALED / OBSERVATION OPEN",IF(X42=0,"OBSERVED / UNJUDGED",IF(Z42&lt;Y42,"JUDGED / DISCLOSURE HELD",IF(AA42=0,"COMPLETE / EMBARGOED","PUBLIC / TERMINAL"))))))))</x:f>
        <x:v>PLANNED / BLOCKED</x:v>
      </x:c>
      <x:c r="AC42" s="9" t="n">
        <x:f>COUNTIFS($A$7:$A$150,A42)</x:f>
        <x:v>1</x:v>
      </x:c>
      <x:c r="AD42" s="9" t="n">
        <x:f>COUNTIFS($H$7:$H$150,H42,$I$7:$I$150,I42)</x:f>
        <x:v>6</x:v>
      </x:c>
      <x:c r="AE42" s="9" t="n">
        <x:f>COUNTIFS($H$7:$H$150,H42,$I$7:$I$150,I42,$J$7:$J$150,J42)</x:f>
        <x:v>1</x:v>
      </x:c>
    </x:row>
    <x:row r="43">
      <x:c r="A43" s="9" t="str">
        <x:v>EV-AR-ET-A-A-TECH-4-B1-RCN-G0</x:v>
      </x:c>
      <x:c r="B43" s="9" t="str">
        <x:v>EOW-AR-ET-A-A-TECH-4-B1-RCN-G0</x:v>
      </x:c>
      <x:c r="C43" s="9" t="str">
        <x:v>AR-ET-A-A-TECH-4-B1-RCN-G0</x:v>
      </x:c>
      <x:c r="D43" s="9" t="str">
        <x:v>ET-A-A-TECH-4</x:v>
      </x:c>
      <x:c r="E43" s="9" t="str">
        <x:v>ET-A-A</x:v>
      </x:c>
      <x:c r="F43" s="9" t="str">
        <x:v>B1</x:v>
      </x:c>
      <x:c r="G43" s="9" t="str">
        <x:v>RCN</x:v>
      </x:c>
      <x:c r="H43" s="9" t="n">
        <x:v>2</x:v>
      </x:c>
      <x:c r="I43" s="9" t="n">
        <x:v>3</x:v>
      </x:c>
      <x:c r="J43" s="9" t="str">
        <x:v>ET-A-A-N2</x:v>
      </x:c>
      <x:c r="K43" s="9" t="str">
        <x:v>FX-ET-A-A-TECH-4-F2</x:v>
      </x:c>
      <x:c r="L43" s="9" t="n">
        <x:v>148</x:v>
      </x:c>
      <x:c r="M43" s="9" t="n">
        <x:v>1</x:v>
      </x:c>
      <x:c r="N43" s="9" t="n">
        <x:v>0</x:v>
      </x:c>
      <x:c r="O43" s="9" t="n">
        <x:v>10</x:v>
      </x:c>
      <x:c r="P43" s="9" t="n">
        <x:f>SUMIFS('Start Controls'!$P$7:$P$1446,'Start Controls'!$B$7:$B$1446,A43)</x:f>
        <x:v>0</x:v>
      </x:c>
      <x:c r="Q43" s="9" t="n">
        <x:v>0</x:v>
      </x:c>
      <x:c r="R43" s="9" t="n">
        <x:v>8</x:v>
      </x:c>
      <x:c r="S43" s="9" t="n">
        <x:f>SUMIFS('Raw Custody'!$M$7:$M$1158,'Raw Custody'!$B$7:$B$1158,A43)</x:f>
        <x:v>0</x:v>
      </x:c>
      <x:c r="T43" s="9" t="n">
        <x:v>12</x:v>
      </x:c>
      <x:c r="U43" s="9" t="n">
        <x:f>SUMIFS('Observation Gates'!$L$7:$L$1734,'Observation Gates'!$B$7:$B$1734,A43)</x:f>
        <x:v>0</x:v>
      </x:c>
      <x:c r="V43" s="9" t="str">
        <x:v>UNFILED</x:v>
      </x:c>
      <x:c r="W43" s="9" t="n">
        <x:v>0</x:v>
      </x:c>
      <x:c r="X43" s="9" t="n">
        <x:v>0</x:v>
      </x:c>
      <x:c r="Y43" s="9" t="n">
        <x:v>16</x:v>
      </x:c>
      <x:c r="Z43" s="9" t="n">
        <x:f>SUMIFS('Disclosure Packets'!$M$7:$M$2310,'Disclosure Packets'!$C$7:$C$2310,A43)</x:f>
        <x:v>0</x:v>
      </x:c>
      <x:c r="AA43" s="9" t="n">
        <x:v>0</x:v>
      </x:c>
      <x:c r="AB43" s="9" t="str">
        <x:f>IF(N43=0,"PLANNED / BLOCKED",IF(P43&lt;O43,"EOW / START BLOCKED",IF(Q43=0,"ARMED / UNSTARTED",IF(S43&lt;R43,"STARTED / RAW UNSEALED",IF(U43&lt;T43,"SEALED / OBSERVATION OPEN",IF(X43=0,"OBSERVED / UNJUDGED",IF(Z43&lt;Y43,"JUDGED / DISCLOSURE HELD",IF(AA43=0,"COMPLETE / EMBARGOED","PUBLIC / TERMINAL"))))))))</x:f>
        <x:v>PLANNED / BLOCKED</x:v>
      </x:c>
      <x:c r="AC43" s="9" t="n">
        <x:f>COUNTIFS($A$7:$A$150,A43)</x:f>
        <x:v>1</x:v>
      </x:c>
      <x:c r="AD43" s="9" t="n">
        <x:f>COUNTIFS($H$7:$H$150,H43,$I$7:$I$150,I43)</x:f>
        <x:v>6</x:v>
      </x:c>
      <x:c r="AE43" s="9" t="n">
        <x:f>COUNTIFS($H$7:$H$150,H43,$I$7:$I$150,I43,$J$7:$J$150,J43)</x:f>
        <x:v>1</x:v>
      </x:c>
    </x:row>
    <x:row r="44">
      <x:c r="A44" s="9" t="str">
        <x:v>EV-AR-ET-A-A-TECH-2-B1-INT-G0</x:v>
      </x:c>
      <x:c r="B44" s="9" t="str">
        <x:v>EOW-AR-ET-A-A-TECH-2-B1-INT-G0</x:v>
      </x:c>
      <x:c r="C44" s="9" t="str">
        <x:v>AR-ET-A-A-TECH-2-B1-INT-G0</x:v>
      </x:c>
      <x:c r="D44" s="9" t="str">
        <x:v>ET-A-A-TECH-2</x:v>
      </x:c>
      <x:c r="E44" s="9" t="str">
        <x:v>ET-A-A</x:v>
      </x:c>
      <x:c r="F44" s="9" t="str">
        <x:v>B1</x:v>
      </x:c>
      <x:c r="G44" s="9" t="str">
        <x:v>INT</x:v>
      </x:c>
      <x:c r="H44" s="9" t="n">
        <x:v>2</x:v>
      </x:c>
      <x:c r="I44" s="9" t="n">
        <x:v>3</x:v>
      </x:c>
      <x:c r="J44" s="9" t="str">
        <x:v>ET-A-A-N3</x:v>
      </x:c>
      <x:c r="K44" s="9" t="str">
        <x:v>FX-ET-A-A-TECH-2-F2</x:v>
      </x:c>
      <x:c r="L44" s="9" t="n">
        <x:v>148</x:v>
      </x:c>
      <x:c r="M44" s="9" t="n">
        <x:v>0</x:v>
      </x:c>
      <x:c r="N44" s="9" t="n">
        <x:v>0</x:v>
      </x:c>
      <x:c r="O44" s="9" t="n">
        <x:v>10</x:v>
      </x:c>
      <x:c r="P44" s="9" t="n">
        <x:f>SUMIFS('Start Controls'!$P$7:$P$1446,'Start Controls'!$B$7:$B$1446,A44)</x:f>
        <x:v>0</x:v>
      </x:c>
      <x:c r="Q44" s="9" t="n">
        <x:v>0</x:v>
      </x:c>
      <x:c r="R44" s="9" t="n">
        <x:v>8</x:v>
      </x:c>
      <x:c r="S44" s="9" t="n">
        <x:f>SUMIFS('Raw Custody'!$M$7:$M$1158,'Raw Custody'!$B$7:$B$1158,A44)</x:f>
        <x:v>0</x:v>
      </x:c>
      <x:c r="T44" s="9" t="n">
        <x:v>12</x:v>
      </x:c>
      <x:c r="U44" s="9" t="n">
        <x:f>SUMIFS('Observation Gates'!$L$7:$L$1734,'Observation Gates'!$B$7:$B$1734,A44)</x:f>
        <x:v>0</x:v>
      </x:c>
      <x:c r="V44" s="9" t="str">
        <x:v>UNFILED</x:v>
      </x:c>
      <x:c r="W44" s="9" t="n">
        <x:v>0</x:v>
      </x:c>
      <x:c r="X44" s="9" t="n">
        <x:v>0</x:v>
      </x:c>
      <x:c r="Y44" s="9" t="n">
        <x:v>16</x:v>
      </x:c>
      <x:c r="Z44" s="9" t="n">
        <x:f>SUMIFS('Disclosure Packets'!$M$7:$M$2310,'Disclosure Packets'!$C$7:$C$2310,A44)</x:f>
        <x:v>0</x:v>
      </x:c>
      <x:c r="AA44" s="9" t="n">
        <x:v>0</x:v>
      </x:c>
      <x:c r="AB44" s="9" t="str">
        <x:f>IF(N44=0,"PLANNED / BLOCKED",IF(P44&lt;O44,"EOW / START BLOCKED",IF(Q44=0,"ARMED / UNSTARTED",IF(S44&lt;R44,"STARTED / RAW UNSEALED",IF(U44&lt;T44,"SEALED / OBSERVATION OPEN",IF(X44=0,"OBSERVED / UNJUDGED",IF(Z44&lt;Y44,"JUDGED / DISCLOSURE HELD",IF(AA44=0,"COMPLETE / EMBARGOED","PUBLIC / TERMINAL"))))))))</x:f>
        <x:v>PLANNED / BLOCKED</x:v>
      </x:c>
      <x:c r="AC44" s="9" t="n">
        <x:f>COUNTIFS($A$7:$A$150,A44)</x:f>
        <x:v>1</x:v>
      </x:c>
      <x:c r="AD44" s="9" t="n">
        <x:f>COUNTIFS($H$7:$H$150,H44,$I$7:$I$150,I44)</x:f>
        <x:v>6</x:v>
      </x:c>
      <x:c r="AE44" s="9" t="n">
        <x:f>COUNTIFS($H$7:$H$150,H44,$I$7:$I$150,I44,$J$7:$J$150,J44)</x:f>
        <x:v>1</x:v>
      </x:c>
    </x:row>
    <x:row r="45">
      <x:c r="A45" s="9" t="str">
        <x:v>EV-AR-HU-A-B-TECH-3-B2-INT-G0</x:v>
      </x:c>
      <x:c r="B45" s="9" t="str">
        <x:v>EOW-AR-HU-A-B-TECH-3-B2-INT-G0</x:v>
      </x:c>
      <x:c r="C45" s="9" t="str">
        <x:v>AR-HU-A-B-TECH-3-B2-INT-G0</x:v>
      </x:c>
      <x:c r="D45" s="9" t="str">
        <x:v>HU-A-B-TECH-3</x:v>
      </x:c>
      <x:c r="E45" s="9" t="str">
        <x:v>HU-A-B</x:v>
      </x:c>
      <x:c r="F45" s="9" t="str">
        <x:v>B2</x:v>
      </x:c>
      <x:c r="G45" s="9" t="str">
        <x:v>INT</x:v>
      </x:c>
      <x:c r="H45" s="9" t="n">
        <x:v>2</x:v>
      </x:c>
      <x:c r="I45" s="9" t="n">
        <x:v>3</x:v>
      </x:c>
      <x:c r="J45" s="9" t="str">
        <x:v>HU-A-B-N1</x:v>
      </x:c>
      <x:c r="K45" s="9" t="str">
        <x:v>FX-HU-A-B-TECH-3-F2</x:v>
      </x:c>
      <x:c r="L45" s="9" t="n">
        <x:v>148</x:v>
      </x:c>
      <x:c r="M45" s="9" t="n">
        <x:v>0</x:v>
      </x:c>
      <x:c r="N45" s="9" t="n">
        <x:v>0</x:v>
      </x:c>
      <x:c r="O45" s="9" t="n">
        <x:v>10</x:v>
      </x:c>
      <x:c r="P45" s="9" t="n">
        <x:f>SUMIFS('Start Controls'!$P$7:$P$1446,'Start Controls'!$B$7:$B$1446,A45)</x:f>
        <x:v>0</x:v>
      </x:c>
      <x:c r="Q45" s="9" t="n">
        <x:v>0</x:v>
      </x:c>
      <x:c r="R45" s="9" t="n">
        <x:v>8</x:v>
      </x:c>
      <x:c r="S45" s="9" t="n">
        <x:f>SUMIFS('Raw Custody'!$M$7:$M$1158,'Raw Custody'!$B$7:$B$1158,A45)</x:f>
        <x:v>0</x:v>
      </x:c>
      <x:c r="T45" s="9" t="n">
        <x:v>12</x:v>
      </x:c>
      <x:c r="U45" s="9" t="n">
        <x:f>SUMIFS('Observation Gates'!$L$7:$L$1734,'Observation Gates'!$B$7:$B$1734,A45)</x:f>
        <x:v>0</x:v>
      </x:c>
      <x:c r="V45" s="9" t="str">
        <x:v>UNFILED</x:v>
      </x:c>
      <x:c r="W45" s="9" t="n">
        <x:v>0</x:v>
      </x:c>
      <x:c r="X45" s="9" t="n">
        <x:v>0</x:v>
      </x:c>
      <x:c r="Y45" s="9" t="n">
        <x:v>16</x:v>
      </x:c>
      <x:c r="Z45" s="9" t="n">
        <x:f>SUMIFS('Disclosure Packets'!$M$7:$M$2310,'Disclosure Packets'!$C$7:$C$2310,A45)</x:f>
        <x:v>0</x:v>
      </x:c>
      <x:c r="AA45" s="9" t="n">
        <x:v>0</x:v>
      </x:c>
      <x:c r="AB45" s="9" t="str">
        <x:f>IF(N45=0,"PLANNED / BLOCKED",IF(P45&lt;O45,"EOW / START BLOCKED",IF(Q45=0,"ARMED / UNSTARTED",IF(S45&lt;R45,"STARTED / RAW UNSEALED",IF(U45&lt;T45,"SEALED / OBSERVATION OPEN",IF(X45=0,"OBSERVED / UNJUDGED",IF(Z45&lt;Y45,"JUDGED / DISCLOSURE HELD",IF(AA45=0,"COMPLETE / EMBARGOED","PUBLIC / TERMINAL"))))))))</x:f>
        <x:v>PLANNED / BLOCKED</x:v>
      </x:c>
      <x:c r="AC45" s="9" t="n">
        <x:f>COUNTIFS($A$7:$A$150,A45)</x:f>
        <x:v>1</x:v>
      </x:c>
      <x:c r="AD45" s="9" t="n">
        <x:f>COUNTIFS($H$7:$H$150,H45,$I$7:$I$150,I45)</x:f>
        <x:v>6</x:v>
      </x:c>
      <x:c r="AE45" s="9" t="n">
        <x:f>COUNTIFS($H$7:$H$150,H45,$I$7:$I$150,I45,$J$7:$J$150,J45)</x:f>
        <x:v>1</x:v>
      </x:c>
    </x:row>
    <x:row r="46">
      <x:c r="A46" s="9" t="str">
        <x:v>EV-AR-LF-B-A-TECH-4-B2-INT-G0</x:v>
      </x:c>
      <x:c r="B46" s="9" t="str">
        <x:v>EOW-AR-LF-B-A-TECH-4-B2-INT-G0</x:v>
      </x:c>
      <x:c r="C46" s="9" t="str">
        <x:v>AR-LF-B-A-TECH-4-B2-INT-G0</x:v>
      </x:c>
      <x:c r="D46" s="9" t="str">
        <x:v>LF-B-A-TECH-4</x:v>
      </x:c>
      <x:c r="E46" s="9" t="str">
        <x:v>LF-B-A</x:v>
      </x:c>
      <x:c r="F46" s="9" t="str">
        <x:v>B2</x:v>
      </x:c>
      <x:c r="G46" s="9" t="str">
        <x:v>INT</x:v>
      </x:c>
      <x:c r="H46" s="9" t="n">
        <x:v>2</x:v>
      </x:c>
      <x:c r="I46" s="9" t="n">
        <x:v>3</x:v>
      </x:c>
      <x:c r="J46" s="9" t="str">
        <x:v>LF-B-A-N1</x:v>
      </x:c>
      <x:c r="K46" s="9" t="str">
        <x:v>FX-LF-B-A-TECH-4-F1</x:v>
      </x:c>
      <x:c r="L46" s="9" t="n">
        <x:v>148</x:v>
      </x:c>
      <x:c r="M46" s="9" t="n">
        <x:v>0</x:v>
      </x:c>
      <x:c r="N46" s="9" t="n">
        <x:v>0</x:v>
      </x:c>
      <x:c r="O46" s="9" t="n">
        <x:v>10</x:v>
      </x:c>
      <x:c r="P46" s="9" t="n">
        <x:f>SUMIFS('Start Controls'!$P$7:$P$1446,'Start Controls'!$B$7:$B$1446,A46)</x:f>
        <x:v>0</x:v>
      </x:c>
      <x:c r="Q46" s="9" t="n">
        <x:v>0</x:v>
      </x:c>
      <x:c r="R46" s="9" t="n">
        <x:v>8</x:v>
      </x:c>
      <x:c r="S46" s="9" t="n">
        <x:f>SUMIFS('Raw Custody'!$M$7:$M$1158,'Raw Custody'!$B$7:$B$1158,A46)</x:f>
        <x:v>0</x:v>
      </x:c>
      <x:c r="T46" s="9" t="n">
        <x:v>12</x:v>
      </x:c>
      <x:c r="U46" s="9" t="n">
        <x:f>SUMIFS('Observation Gates'!$L$7:$L$1734,'Observation Gates'!$B$7:$B$1734,A46)</x:f>
        <x:v>0</x:v>
      </x:c>
      <x:c r="V46" s="9" t="str">
        <x:v>UNFILED</x:v>
      </x:c>
      <x:c r="W46" s="9" t="n">
        <x:v>0</x:v>
      </x:c>
      <x:c r="X46" s="9" t="n">
        <x:v>0</x:v>
      </x:c>
      <x:c r="Y46" s="9" t="n">
        <x:v>16</x:v>
      </x:c>
      <x:c r="Z46" s="9" t="n">
        <x:f>SUMIFS('Disclosure Packets'!$M$7:$M$2310,'Disclosure Packets'!$C$7:$C$2310,A46)</x:f>
        <x:v>0</x:v>
      </x:c>
      <x:c r="AA46" s="9" t="n">
        <x:v>0</x:v>
      </x:c>
      <x:c r="AB46" s="9" t="str">
        <x:f>IF(N46=0,"PLANNED / BLOCKED",IF(P46&lt;O46,"EOW / START BLOCKED",IF(Q46=0,"ARMED / UNSTARTED",IF(S46&lt;R46,"STARTED / RAW UNSEALED",IF(U46&lt;T46,"SEALED / OBSERVATION OPEN",IF(X46=0,"OBSERVED / UNJUDGED",IF(Z46&lt;Y46,"JUDGED / DISCLOSURE HELD",IF(AA46=0,"COMPLETE / EMBARGOED","PUBLIC / TERMINAL"))))))))</x:f>
        <x:v>PLANNED / BLOCKED</x:v>
      </x:c>
      <x:c r="AC46" s="9" t="n">
        <x:f>COUNTIFS($A$7:$A$150,A46)</x:f>
        <x:v>1</x:v>
      </x:c>
      <x:c r="AD46" s="9" t="n">
        <x:f>COUNTIFS($H$7:$H$150,H46,$I$7:$I$150,I46)</x:f>
        <x:v>6</x:v>
      </x:c>
      <x:c r="AE46" s="9" t="n">
        <x:f>COUNTIFS($H$7:$H$150,H46,$I$7:$I$150,I46,$J$7:$J$150,J46)</x:f>
        <x:v>1</x:v>
      </x:c>
    </x:row>
    <x:row r="47">
      <x:c r="A47" s="9" t="str">
        <x:v>EV-AR-RT-B-C-TECH-4-B2-RCN-G0</x:v>
      </x:c>
      <x:c r="B47" s="9" t="str">
        <x:v>EOW-AR-RT-B-C-TECH-4-B2-RCN-G0</x:v>
      </x:c>
      <x:c r="C47" s="9" t="str">
        <x:v>AR-RT-B-C-TECH-4-B2-RCN-G0</x:v>
      </x:c>
      <x:c r="D47" s="9" t="str">
        <x:v>RT-B-C-TECH-4</x:v>
      </x:c>
      <x:c r="E47" s="9" t="str">
        <x:v>RT-B-C</x:v>
      </x:c>
      <x:c r="F47" s="9" t="str">
        <x:v>B2</x:v>
      </x:c>
      <x:c r="G47" s="9" t="str">
        <x:v>RCN</x:v>
      </x:c>
      <x:c r="H47" s="9" t="n">
        <x:v>2</x:v>
      </x:c>
      <x:c r="I47" s="9" t="n">
        <x:v>3</x:v>
      </x:c>
      <x:c r="J47" s="9" t="str">
        <x:v>RT-B-C-N1</x:v>
      </x:c>
      <x:c r="K47" s="9" t="str">
        <x:v>FX-RT-B-C-TECH-4-F1</x:v>
      </x:c>
      <x:c r="L47" s="9" t="n">
        <x:v>148</x:v>
      </x:c>
      <x:c r="M47" s="9" t="n">
        <x:v>1</x:v>
      </x:c>
      <x:c r="N47" s="9" t="n">
        <x:v>0</x:v>
      </x:c>
      <x:c r="O47" s="9" t="n">
        <x:v>10</x:v>
      </x:c>
      <x:c r="P47" s="9" t="n">
        <x:f>SUMIFS('Start Controls'!$P$7:$P$1446,'Start Controls'!$B$7:$B$1446,A47)</x:f>
        <x:v>0</x:v>
      </x:c>
      <x:c r="Q47" s="9" t="n">
        <x:v>0</x:v>
      </x:c>
      <x:c r="R47" s="9" t="n">
        <x:v>8</x:v>
      </x:c>
      <x:c r="S47" s="9" t="n">
        <x:f>SUMIFS('Raw Custody'!$M$7:$M$1158,'Raw Custody'!$B$7:$B$1158,A47)</x:f>
        <x:v>0</x:v>
      </x:c>
      <x:c r="T47" s="9" t="n">
        <x:v>12</x:v>
      </x:c>
      <x:c r="U47" s="9" t="n">
        <x:f>SUMIFS('Observation Gates'!$L$7:$L$1734,'Observation Gates'!$B$7:$B$1734,A47)</x:f>
        <x:v>0</x:v>
      </x:c>
      <x:c r="V47" s="9" t="str">
        <x:v>UNFILED</x:v>
      </x:c>
      <x:c r="W47" s="9" t="n">
        <x:v>0</x:v>
      </x:c>
      <x:c r="X47" s="9" t="n">
        <x:v>0</x:v>
      </x:c>
      <x:c r="Y47" s="9" t="n">
        <x:v>16</x:v>
      </x:c>
      <x:c r="Z47" s="9" t="n">
        <x:f>SUMIFS('Disclosure Packets'!$M$7:$M$2310,'Disclosure Packets'!$C$7:$C$2310,A47)</x:f>
        <x:v>0</x:v>
      </x:c>
      <x:c r="AA47" s="9" t="n">
        <x:v>0</x:v>
      </x:c>
      <x:c r="AB47" s="9" t="str">
        <x:f>IF(N47=0,"PLANNED / BLOCKED",IF(P47&lt;O47,"EOW / START BLOCKED",IF(Q47=0,"ARMED / UNSTARTED",IF(S47&lt;R47,"STARTED / RAW UNSEALED",IF(U47&lt;T47,"SEALED / OBSERVATION OPEN",IF(X47=0,"OBSERVED / UNJUDGED",IF(Z47&lt;Y47,"JUDGED / DISCLOSURE HELD",IF(AA47=0,"COMPLETE / EMBARGOED","PUBLIC / TERMINAL"))))))))</x:f>
        <x:v>PLANNED / BLOCKED</x:v>
      </x:c>
      <x:c r="AC47" s="9" t="n">
        <x:f>COUNTIFS($A$7:$A$150,A47)</x:f>
        <x:v>1</x:v>
      </x:c>
      <x:c r="AD47" s="9" t="n">
        <x:f>COUNTIFS($H$7:$H$150,H47,$I$7:$I$150,I47)</x:f>
        <x:v>6</x:v>
      </x:c>
      <x:c r="AE47" s="9" t="n">
        <x:f>COUNTIFS($H$7:$H$150,H47,$I$7:$I$150,I47,$J$7:$J$150,J47)</x:f>
        <x:v>1</x:v>
      </x:c>
    </x:row>
    <x:row r="48">
      <x:c r="A48" s="9" t="str">
        <x:v>EV-AR-RT-B-C-TECH-2-B2-INT-G0</x:v>
      </x:c>
      <x:c r="B48" s="9" t="str">
        <x:v>EOW-AR-RT-B-C-TECH-2-B2-INT-G0</x:v>
      </x:c>
      <x:c r="C48" s="9" t="str">
        <x:v>AR-RT-B-C-TECH-2-B2-INT-G0</x:v>
      </x:c>
      <x:c r="D48" s="9" t="str">
        <x:v>RT-B-C-TECH-2</x:v>
      </x:c>
      <x:c r="E48" s="9" t="str">
        <x:v>RT-B-C</x:v>
      </x:c>
      <x:c r="F48" s="9" t="str">
        <x:v>B2</x:v>
      </x:c>
      <x:c r="G48" s="9" t="str">
        <x:v>INT</x:v>
      </x:c>
      <x:c r="H48" s="9" t="n">
        <x:v>2</x:v>
      </x:c>
      <x:c r="I48" s="9" t="n">
        <x:v>3</x:v>
      </x:c>
      <x:c r="J48" s="9" t="str">
        <x:v>RT-B-C-N2</x:v>
      </x:c>
      <x:c r="K48" s="9" t="str">
        <x:v>FX-RT-B-C-TECH-2-F1</x:v>
      </x:c>
      <x:c r="L48" s="9" t="n">
        <x:v>148</x:v>
      </x:c>
      <x:c r="M48" s="9" t="n">
        <x:v>0</x:v>
      </x:c>
      <x:c r="N48" s="9" t="n">
        <x:v>0</x:v>
      </x:c>
      <x:c r="O48" s="9" t="n">
        <x:v>10</x:v>
      </x:c>
      <x:c r="P48" s="9" t="n">
        <x:f>SUMIFS('Start Controls'!$P$7:$P$1446,'Start Controls'!$B$7:$B$1446,A48)</x:f>
        <x:v>0</x:v>
      </x:c>
      <x:c r="Q48" s="9" t="n">
        <x:v>0</x:v>
      </x:c>
      <x:c r="R48" s="9" t="n">
        <x:v>8</x:v>
      </x:c>
      <x:c r="S48" s="9" t="n">
        <x:f>SUMIFS('Raw Custody'!$M$7:$M$1158,'Raw Custody'!$B$7:$B$1158,A48)</x:f>
        <x:v>0</x:v>
      </x:c>
      <x:c r="T48" s="9" t="n">
        <x:v>12</x:v>
      </x:c>
      <x:c r="U48" s="9" t="n">
        <x:f>SUMIFS('Observation Gates'!$L$7:$L$1734,'Observation Gates'!$B$7:$B$1734,A48)</x:f>
        <x:v>0</x:v>
      </x:c>
      <x:c r="V48" s="9" t="str">
        <x:v>UNFILED</x:v>
      </x:c>
      <x:c r="W48" s="9" t="n">
        <x:v>0</x:v>
      </x:c>
      <x:c r="X48" s="9" t="n">
        <x:v>0</x:v>
      </x:c>
      <x:c r="Y48" s="9" t="n">
        <x:v>16</x:v>
      </x:c>
      <x:c r="Z48" s="9" t="n">
        <x:f>SUMIFS('Disclosure Packets'!$M$7:$M$2310,'Disclosure Packets'!$C$7:$C$2310,A48)</x:f>
        <x:v>0</x:v>
      </x:c>
      <x:c r="AA48" s="9" t="n">
        <x:v>0</x:v>
      </x:c>
      <x:c r="AB48" s="9" t="str">
        <x:f>IF(N48=0,"PLANNED / BLOCKED",IF(P48&lt;O48,"EOW / START BLOCKED",IF(Q48=0,"ARMED / UNSTARTED",IF(S48&lt;R48,"STARTED / RAW UNSEALED",IF(U48&lt;T48,"SEALED / OBSERVATION OPEN",IF(X48=0,"OBSERVED / UNJUDGED",IF(Z48&lt;Y48,"JUDGED / DISCLOSURE HELD",IF(AA48=0,"COMPLETE / EMBARGOED","PUBLIC / TERMINAL"))))))))</x:f>
        <x:v>PLANNED / BLOCKED</x:v>
      </x:c>
      <x:c r="AC48" s="9" t="n">
        <x:f>COUNTIFS($A$7:$A$150,A48)</x:f>
        <x:v>1</x:v>
      </x:c>
      <x:c r="AD48" s="9" t="n">
        <x:f>COUNTIFS($H$7:$H$150,H48,$I$7:$I$150,I48)</x:f>
        <x:v>6</x:v>
      </x:c>
      <x:c r="AE48" s="9" t="n">
        <x:f>COUNTIFS($H$7:$H$150,H48,$I$7:$I$150,I48,$J$7:$J$150,J48)</x:f>
        <x:v>1</x:v>
      </x:c>
    </x:row>
    <x:row r="49">
      <x:c r="A49" s="9" t="str">
        <x:v>EV-AR-CT-C-B-TECH-1-B1-INT-G0</x:v>
      </x:c>
      <x:c r="B49" s="9" t="str">
        <x:v>EOW-AR-CT-C-B-TECH-1-B1-INT-G0</x:v>
      </x:c>
      <x:c r="C49" s="9" t="str">
        <x:v>AR-CT-C-B-TECH-1-B1-INT-G0</x:v>
      </x:c>
      <x:c r="D49" s="9" t="str">
        <x:v>CT-C-B-TECH-1</x:v>
      </x:c>
      <x:c r="E49" s="9" t="str">
        <x:v>CT-C-B</x:v>
      </x:c>
      <x:c r="F49" s="9" t="str">
        <x:v>B1</x:v>
      </x:c>
      <x:c r="G49" s="9" t="str">
        <x:v>INT</x:v>
      </x:c>
      <x:c r="H49" s="9" t="n">
        <x:v>2</x:v>
      </x:c>
      <x:c r="I49" s="9" t="n">
        <x:v>4</x:v>
      </x:c>
      <x:c r="J49" s="9" t="str">
        <x:v>CT-C-B-N1</x:v>
      </x:c>
      <x:c r="K49" s="9" t="str">
        <x:v>FX-CT-C-B-TECH-1-F1</x:v>
      </x:c>
      <x:c r="L49" s="9" t="n">
        <x:v>154</x:v>
      </x:c>
      <x:c r="M49" s="9" t="n">
        <x:v>0</x:v>
      </x:c>
      <x:c r="N49" s="9" t="n">
        <x:v>0</x:v>
      </x:c>
      <x:c r="O49" s="9" t="n">
        <x:v>10</x:v>
      </x:c>
      <x:c r="P49" s="9" t="n">
        <x:f>SUMIFS('Start Controls'!$P$7:$P$1446,'Start Controls'!$B$7:$B$1446,A49)</x:f>
        <x:v>0</x:v>
      </x:c>
      <x:c r="Q49" s="9" t="n">
        <x:v>0</x:v>
      </x:c>
      <x:c r="R49" s="9" t="n">
        <x:v>8</x:v>
      </x:c>
      <x:c r="S49" s="9" t="n">
        <x:f>SUMIFS('Raw Custody'!$M$7:$M$1158,'Raw Custody'!$B$7:$B$1158,A49)</x:f>
        <x:v>0</x:v>
      </x:c>
      <x:c r="T49" s="9" t="n">
        <x:v>12</x:v>
      </x:c>
      <x:c r="U49" s="9" t="n">
        <x:f>SUMIFS('Observation Gates'!$L$7:$L$1734,'Observation Gates'!$B$7:$B$1734,A49)</x:f>
        <x:v>0</x:v>
      </x:c>
      <x:c r="V49" s="9" t="str">
        <x:v>UNFILED</x:v>
      </x:c>
      <x:c r="W49" s="9" t="n">
        <x:v>0</x:v>
      </x:c>
      <x:c r="X49" s="9" t="n">
        <x:v>0</x:v>
      </x:c>
      <x:c r="Y49" s="9" t="n">
        <x:v>16</x:v>
      </x:c>
      <x:c r="Z49" s="9" t="n">
        <x:f>SUMIFS('Disclosure Packets'!$M$7:$M$2310,'Disclosure Packets'!$C$7:$C$2310,A49)</x:f>
        <x:v>0</x:v>
      </x:c>
      <x:c r="AA49" s="9" t="n">
        <x:v>0</x:v>
      </x:c>
      <x:c r="AB49" s="9" t="str">
        <x:f>IF(N49=0,"PLANNED / BLOCKED",IF(P49&lt;O49,"EOW / START BLOCKED",IF(Q49=0,"ARMED / UNSTARTED",IF(S49&lt;R49,"STARTED / RAW UNSEALED",IF(U49&lt;T49,"SEALED / OBSERVATION OPEN",IF(X49=0,"OBSERVED / UNJUDGED",IF(Z49&lt;Y49,"JUDGED / DISCLOSURE HELD",IF(AA49=0,"COMPLETE / EMBARGOED","PUBLIC / TERMINAL"))))))))</x:f>
        <x:v>PLANNED / BLOCKED</x:v>
      </x:c>
      <x:c r="AC49" s="9" t="n">
        <x:f>COUNTIFS($A$7:$A$150,A49)</x:f>
        <x:v>1</x:v>
      </x:c>
      <x:c r="AD49" s="9" t="n">
        <x:f>COUNTIFS($H$7:$H$150,H49,$I$7:$I$150,I49)</x:f>
        <x:v>6</x:v>
      </x:c>
      <x:c r="AE49" s="9" t="n">
        <x:f>COUNTIFS($H$7:$H$150,H49,$I$7:$I$150,I49,$J$7:$J$150,J49)</x:f>
        <x:v>1</x:v>
      </x:c>
    </x:row>
    <x:row r="50">
      <x:c r="A50" s="9" t="str">
        <x:v>EV-AR-CT-C-B-TECH-2-B2-RCN-G0</x:v>
      </x:c>
      <x:c r="B50" s="9" t="str">
        <x:v>EOW-AR-CT-C-B-TECH-2-B2-RCN-G0</x:v>
      </x:c>
      <x:c r="C50" s="9" t="str">
        <x:v>AR-CT-C-B-TECH-2-B2-RCN-G0</x:v>
      </x:c>
      <x:c r="D50" s="9" t="str">
        <x:v>CT-C-B-TECH-2</x:v>
      </x:c>
      <x:c r="E50" s="9" t="str">
        <x:v>CT-C-B</x:v>
      </x:c>
      <x:c r="F50" s="9" t="str">
        <x:v>B2</x:v>
      </x:c>
      <x:c r="G50" s="9" t="str">
        <x:v>RCN</x:v>
      </x:c>
      <x:c r="H50" s="9" t="n">
        <x:v>2</x:v>
      </x:c>
      <x:c r="I50" s="9" t="n">
        <x:v>4</x:v>
      </x:c>
      <x:c r="J50" s="9" t="str">
        <x:v>CT-C-B-N2</x:v>
      </x:c>
      <x:c r="K50" s="9" t="str">
        <x:v>FX-CT-C-B-TECH-2-F1</x:v>
      </x:c>
      <x:c r="L50" s="9" t="n">
        <x:v>154</x:v>
      </x:c>
      <x:c r="M50" s="9" t="n">
        <x:v>1</x:v>
      </x:c>
      <x:c r="N50" s="9" t="n">
        <x:v>0</x:v>
      </x:c>
      <x:c r="O50" s="9" t="n">
        <x:v>10</x:v>
      </x:c>
      <x:c r="P50" s="9" t="n">
        <x:f>SUMIFS('Start Controls'!$P$7:$P$1446,'Start Controls'!$B$7:$B$1446,A50)</x:f>
        <x:v>0</x:v>
      </x:c>
      <x:c r="Q50" s="9" t="n">
        <x:v>0</x:v>
      </x:c>
      <x:c r="R50" s="9" t="n">
        <x:v>8</x:v>
      </x:c>
      <x:c r="S50" s="9" t="n">
        <x:f>SUMIFS('Raw Custody'!$M$7:$M$1158,'Raw Custody'!$B$7:$B$1158,A50)</x:f>
        <x:v>0</x:v>
      </x:c>
      <x:c r="T50" s="9" t="n">
        <x:v>12</x:v>
      </x:c>
      <x:c r="U50" s="9" t="n">
        <x:f>SUMIFS('Observation Gates'!$L$7:$L$1734,'Observation Gates'!$B$7:$B$1734,A50)</x:f>
        <x:v>0</x:v>
      </x:c>
      <x:c r="V50" s="9" t="str">
        <x:v>UNFILED</x:v>
      </x:c>
      <x:c r="W50" s="9" t="n">
        <x:v>0</x:v>
      </x:c>
      <x:c r="X50" s="9" t="n">
        <x:v>0</x:v>
      </x:c>
      <x:c r="Y50" s="9" t="n">
        <x:v>16</x:v>
      </x:c>
      <x:c r="Z50" s="9" t="n">
        <x:f>SUMIFS('Disclosure Packets'!$M$7:$M$2310,'Disclosure Packets'!$C$7:$C$2310,A50)</x:f>
        <x:v>0</x:v>
      </x:c>
      <x:c r="AA50" s="9" t="n">
        <x:v>0</x:v>
      </x:c>
      <x:c r="AB50" s="9" t="str">
        <x:f>IF(N50=0,"PLANNED / BLOCKED",IF(P50&lt;O50,"EOW / START BLOCKED",IF(Q50=0,"ARMED / UNSTARTED",IF(S50&lt;R50,"STARTED / RAW UNSEALED",IF(U50&lt;T50,"SEALED / OBSERVATION OPEN",IF(X50=0,"OBSERVED / UNJUDGED",IF(Z50&lt;Y50,"JUDGED / DISCLOSURE HELD",IF(AA50=0,"COMPLETE / EMBARGOED","PUBLIC / TERMINAL"))))))))</x:f>
        <x:v>PLANNED / BLOCKED</x:v>
      </x:c>
      <x:c r="AC50" s="9" t="n">
        <x:f>COUNTIFS($A$7:$A$150,A50)</x:f>
        <x:v>1</x:v>
      </x:c>
      <x:c r="AD50" s="9" t="n">
        <x:f>COUNTIFS($H$7:$H$150,H50,$I$7:$I$150,I50)</x:f>
        <x:v>6</x:v>
      </x:c>
      <x:c r="AE50" s="9" t="n">
        <x:f>COUNTIFS($H$7:$H$150,H50,$I$7:$I$150,I50,$J$7:$J$150,J50)</x:f>
        <x:v>1</x:v>
      </x:c>
    </x:row>
    <x:row r="51">
      <x:c r="A51" s="9" t="str">
        <x:v>EV-AR-HC-A-C-TECH-4-B1-BRK-G0</x:v>
      </x:c>
      <x:c r="B51" s="9" t="str">
        <x:v>EOW-AR-HC-A-C-TECH-4-B1-BRK-G0</x:v>
      </x:c>
      <x:c r="C51" s="9" t="str">
        <x:v>AR-HC-A-C-TECH-4-B1-BRK-G0</x:v>
      </x:c>
      <x:c r="D51" s="9" t="str">
        <x:v>HC-A-C-TECH-4</x:v>
      </x:c>
      <x:c r="E51" s="9" t="str">
        <x:v>HC-A-C</x:v>
      </x:c>
      <x:c r="F51" s="9" t="str">
        <x:v>B1</x:v>
      </x:c>
      <x:c r="G51" s="9" t="str">
        <x:v>BRK</x:v>
      </x:c>
      <x:c r="H51" s="9" t="n">
        <x:v>2</x:v>
      </x:c>
      <x:c r="I51" s="9" t="n">
        <x:v>4</x:v>
      </x:c>
      <x:c r="J51" s="9" t="str">
        <x:v>HC-A-C-N1</x:v>
      </x:c>
      <x:c r="K51" s="9" t="str">
        <x:v>FX-HC-A-C-TECH-4-F1</x:v>
      </x:c>
      <x:c r="L51" s="9" t="n">
        <x:v>154</x:v>
      </x:c>
      <x:c r="M51" s="9" t="n">
        <x:v>1</x:v>
      </x:c>
      <x:c r="N51" s="9" t="n">
        <x:v>0</x:v>
      </x:c>
      <x:c r="O51" s="9" t="n">
        <x:v>10</x:v>
      </x:c>
      <x:c r="P51" s="9" t="n">
        <x:f>SUMIFS('Start Controls'!$P$7:$P$1446,'Start Controls'!$B$7:$B$1446,A51)</x:f>
        <x:v>0</x:v>
      </x:c>
      <x:c r="Q51" s="9" t="n">
        <x:v>0</x:v>
      </x:c>
      <x:c r="R51" s="9" t="n">
        <x:v>8</x:v>
      </x:c>
      <x:c r="S51" s="9" t="n">
        <x:f>SUMIFS('Raw Custody'!$M$7:$M$1158,'Raw Custody'!$B$7:$B$1158,A51)</x:f>
        <x:v>0</x:v>
      </x:c>
      <x:c r="T51" s="9" t="n">
        <x:v>12</x:v>
      </x:c>
      <x:c r="U51" s="9" t="n">
        <x:f>SUMIFS('Observation Gates'!$L$7:$L$1734,'Observation Gates'!$B$7:$B$1734,A51)</x:f>
        <x:v>0</x:v>
      </x:c>
      <x:c r="V51" s="9" t="str">
        <x:v>UNFILED</x:v>
      </x:c>
      <x:c r="W51" s="9" t="n">
        <x:v>0</x:v>
      </x:c>
      <x:c r="X51" s="9" t="n">
        <x:v>0</x:v>
      </x:c>
      <x:c r="Y51" s="9" t="n">
        <x:v>16</x:v>
      </x:c>
      <x:c r="Z51" s="9" t="n">
        <x:f>SUMIFS('Disclosure Packets'!$M$7:$M$2310,'Disclosure Packets'!$C$7:$C$2310,A51)</x:f>
        <x:v>0</x:v>
      </x:c>
      <x:c r="AA51" s="9" t="n">
        <x:v>0</x:v>
      </x:c>
      <x:c r="AB51" s="9" t="str">
        <x:f>IF(N51=0,"PLANNED / BLOCKED",IF(P51&lt;O51,"EOW / START BLOCKED",IF(Q51=0,"ARMED / UNSTARTED",IF(S51&lt;R51,"STARTED / RAW UNSEALED",IF(U51&lt;T51,"SEALED / OBSERVATION OPEN",IF(X51=0,"OBSERVED / UNJUDGED",IF(Z51&lt;Y51,"JUDGED / DISCLOSURE HELD",IF(AA51=0,"COMPLETE / EMBARGOED","PUBLIC / TERMINAL"))))))))</x:f>
        <x:v>PLANNED / BLOCKED</x:v>
      </x:c>
      <x:c r="AC51" s="9" t="n">
        <x:f>COUNTIFS($A$7:$A$150,A51)</x:f>
        <x:v>1</x:v>
      </x:c>
      <x:c r="AD51" s="9" t="n">
        <x:f>COUNTIFS($H$7:$H$150,H51,$I$7:$I$150,I51)</x:f>
        <x:v>6</x:v>
      </x:c>
      <x:c r="AE51" s="9" t="n">
        <x:f>COUNTIFS($H$7:$H$150,H51,$I$7:$I$150,I51,$J$7:$J$150,J51)</x:f>
        <x:v>1</x:v>
      </x:c>
    </x:row>
    <x:row r="52">
      <x:c r="A52" s="9" t="str">
        <x:v>EV-AR-HC-A-C-TECH-2-B1-RCN-G0</x:v>
      </x:c>
      <x:c r="B52" s="9" t="str">
        <x:v>EOW-AR-HC-A-C-TECH-2-B1-RCN-G0</x:v>
      </x:c>
      <x:c r="C52" s="9" t="str">
        <x:v>AR-HC-A-C-TECH-2-B1-RCN-G0</x:v>
      </x:c>
      <x:c r="D52" s="9" t="str">
        <x:v>HC-A-C-TECH-2</x:v>
      </x:c>
      <x:c r="E52" s="9" t="str">
        <x:v>HC-A-C</x:v>
      </x:c>
      <x:c r="F52" s="9" t="str">
        <x:v>B1</x:v>
      </x:c>
      <x:c r="G52" s="9" t="str">
        <x:v>RCN</x:v>
      </x:c>
      <x:c r="H52" s="9" t="n">
        <x:v>2</x:v>
      </x:c>
      <x:c r="I52" s="9" t="n">
        <x:v>4</x:v>
      </x:c>
      <x:c r="J52" s="9" t="str">
        <x:v>HC-A-C-N3</x:v>
      </x:c>
      <x:c r="K52" s="9" t="str">
        <x:v>FX-HC-A-C-TECH-2-F2</x:v>
      </x:c>
      <x:c r="L52" s="9" t="n">
        <x:v>154</x:v>
      </x:c>
      <x:c r="M52" s="9" t="n">
        <x:v>1</x:v>
      </x:c>
      <x:c r="N52" s="9" t="n">
        <x:v>0</x:v>
      </x:c>
      <x:c r="O52" s="9" t="n">
        <x:v>10</x:v>
      </x:c>
      <x:c r="P52" s="9" t="n">
        <x:f>SUMIFS('Start Controls'!$P$7:$P$1446,'Start Controls'!$B$7:$B$1446,A52)</x:f>
        <x:v>0</x:v>
      </x:c>
      <x:c r="Q52" s="9" t="n">
        <x:v>0</x:v>
      </x:c>
      <x:c r="R52" s="9" t="n">
        <x:v>8</x:v>
      </x:c>
      <x:c r="S52" s="9" t="n">
        <x:f>SUMIFS('Raw Custody'!$M$7:$M$1158,'Raw Custody'!$B$7:$B$1158,A52)</x:f>
        <x:v>0</x:v>
      </x:c>
      <x:c r="T52" s="9" t="n">
        <x:v>12</x:v>
      </x:c>
      <x:c r="U52" s="9" t="n">
        <x:f>SUMIFS('Observation Gates'!$L$7:$L$1734,'Observation Gates'!$B$7:$B$1734,A52)</x:f>
        <x:v>0</x:v>
      </x:c>
      <x:c r="V52" s="9" t="str">
        <x:v>UNFILED</x:v>
      </x:c>
      <x:c r="W52" s="9" t="n">
        <x:v>0</x:v>
      </x:c>
      <x:c r="X52" s="9" t="n">
        <x:v>0</x:v>
      </x:c>
      <x:c r="Y52" s="9" t="n">
        <x:v>16</x:v>
      </x:c>
      <x:c r="Z52" s="9" t="n">
        <x:f>SUMIFS('Disclosure Packets'!$M$7:$M$2310,'Disclosure Packets'!$C$7:$C$2310,A52)</x:f>
        <x:v>0</x:v>
      </x:c>
      <x:c r="AA52" s="9" t="n">
        <x:v>0</x:v>
      </x:c>
      <x:c r="AB52" s="9" t="str">
        <x:f>IF(N52=0,"PLANNED / BLOCKED",IF(P52&lt;O52,"EOW / START BLOCKED",IF(Q52=0,"ARMED / UNSTARTED",IF(S52&lt;R52,"STARTED / RAW UNSEALED",IF(U52&lt;T52,"SEALED / OBSERVATION OPEN",IF(X52=0,"OBSERVED / UNJUDGED",IF(Z52&lt;Y52,"JUDGED / DISCLOSURE HELD",IF(AA52=0,"COMPLETE / EMBARGOED","PUBLIC / TERMINAL"))))))))</x:f>
        <x:v>PLANNED / BLOCKED</x:v>
      </x:c>
      <x:c r="AC52" s="9" t="n">
        <x:f>COUNTIFS($A$7:$A$150,A52)</x:f>
        <x:v>1</x:v>
      </x:c>
      <x:c r="AD52" s="9" t="n">
        <x:f>COUNTIFS($H$7:$H$150,H52,$I$7:$I$150,I52)</x:f>
        <x:v>6</x:v>
      </x:c>
      <x:c r="AE52" s="9" t="n">
        <x:f>COUNTIFS($H$7:$H$150,H52,$I$7:$I$150,I52,$J$7:$J$150,J52)</x:f>
        <x:v>1</x:v>
      </x:c>
    </x:row>
    <x:row r="53">
      <x:c r="A53" s="9" t="str">
        <x:v>EV-AR-HU-A-B-TECH-2-B1-BRK-G0</x:v>
      </x:c>
      <x:c r="B53" s="9" t="str">
        <x:v>EOW-AR-HU-A-B-TECH-2-B1-BRK-G0</x:v>
      </x:c>
      <x:c r="C53" s="9" t="str">
        <x:v>AR-HU-A-B-TECH-2-B1-BRK-G0</x:v>
      </x:c>
      <x:c r="D53" s="9" t="str">
        <x:v>HU-A-B-TECH-2</x:v>
      </x:c>
      <x:c r="E53" s="9" t="str">
        <x:v>HU-A-B</x:v>
      </x:c>
      <x:c r="F53" s="9" t="str">
        <x:v>B1</x:v>
      </x:c>
      <x:c r="G53" s="9" t="str">
        <x:v>BRK</x:v>
      </x:c>
      <x:c r="H53" s="9" t="n">
        <x:v>2</x:v>
      </x:c>
      <x:c r="I53" s="9" t="n">
        <x:v>4</x:v>
      </x:c>
      <x:c r="J53" s="9" t="str">
        <x:v>HU-A-B-N2</x:v>
      </x:c>
      <x:c r="K53" s="9" t="str">
        <x:v>FX-HU-A-B-TECH-2-F1</x:v>
      </x:c>
      <x:c r="L53" s="9" t="n">
        <x:v>154</x:v>
      </x:c>
      <x:c r="M53" s="9" t="n">
        <x:v>1</x:v>
      </x:c>
      <x:c r="N53" s="9" t="n">
        <x:v>0</x:v>
      </x:c>
      <x:c r="O53" s="9" t="n">
        <x:v>10</x:v>
      </x:c>
      <x:c r="P53" s="9" t="n">
        <x:f>SUMIFS('Start Controls'!$P$7:$P$1446,'Start Controls'!$B$7:$B$1446,A53)</x:f>
        <x:v>0</x:v>
      </x:c>
      <x:c r="Q53" s="9" t="n">
        <x:v>0</x:v>
      </x:c>
      <x:c r="R53" s="9" t="n">
        <x:v>8</x:v>
      </x:c>
      <x:c r="S53" s="9" t="n">
        <x:f>SUMIFS('Raw Custody'!$M$7:$M$1158,'Raw Custody'!$B$7:$B$1158,A53)</x:f>
        <x:v>0</x:v>
      </x:c>
      <x:c r="T53" s="9" t="n">
        <x:v>12</x:v>
      </x:c>
      <x:c r="U53" s="9" t="n">
        <x:f>SUMIFS('Observation Gates'!$L$7:$L$1734,'Observation Gates'!$B$7:$B$1734,A53)</x:f>
        <x:v>0</x:v>
      </x:c>
      <x:c r="V53" s="9" t="str">
        <x:v>UNFILED</x:v>
      </x:c>
      <x:c r="W53" s="9" t="n">
        <x:v>0</x:v>
      </x:c>
      <x:c r="X53" s="9" t="n">
        <x:v>0</x:v>
      </x:c>
      <x:c r="Y53" s="9" t="n">
        <x:v>16</x:v>
      </x:c>
      <x:c r="Z53" s="9" t="n">
        <x:f>SUMIFS('Disclosure Packets'!$M$7:$M$2310,'Disclosure Packets'!$C$7:$C$2310,A53)</x:f>
        <x:v>0</x:v>
      </x:c>
      <x:c r="AA53" s="9" t="n">
        <x:v>0</x:v>
      </x:c>
      <x:c r="AB53" s="9" t="str">
        <x:f>IF(N53=0,"PLANNED / BLOCKED",IF(P53&lt;O53,"EOW / START BLOCKED",IF(Q53=0,"ARMED / UNSTARTED",IF(S53&lt;R53,"STARTED / RAW UNSEALED",IF(U53&lt;T53,"SEALED / OBSERVATION OPEN",IF(X53=0,"OBSERVED / UNJUDGED",IF(Z53&lt;Y53,"JUDGED / DISCLOSURE HELD",IF(AA53=0,"COMPLETE / EMBARGOED","PUBLIC / TERMINAL"))))))))</x:f>
        <x:v>PLANNED / BLOCKED</x:v>
      </x:c>
      <x:c r="AC53" s="9" t="n">
        <x:f>COUNTIFS($A$7:$A$150,A53)</x:f>
        <x:v>1</x:v>
      </x:c>
      <x:c r="AD53" s="9" t="n">
        <x:f>COUNTIFS($H$7:$H$150,H53,$I$7:$I$150,I53)</x:f>
        <x:v>6</x:v>
      </x:c>
      <x:c r="AE53" s="9" t="n">
        <x:f>COUNTIFS($H$7:$H$150,H53,$I$7:$I$150,I53,$J$7:$J$150,J53)</x:f>
        <x:v>1</x:v>
      </x:c>
    </x:row>
    <x:row r="54">
      <x:c r="A54" s="9" t="str">
        <x:v>EV-AR-RT-B-C-TECH-3-B1-INT-G0</x:v>
      </x:c>
      <x:c r="B54" s="9" t="str">
        <x:v>EOW-AR-RT-B-C-TECH-3-B1-INT-G0</x:v>
      </x:c>
      <x:c r="C54" s="9" t="str">
        <x:v>AR-RT-B-C-TECH-3-B1-INT-G0</x:v>
      </x:c>
      <x:c r="D54" s="9" t="str">
        <x:v>RT-B-C-TECH-3</x:v>
      </x:c>
      <x:c r="E54" s="9" t="str">
        <x:v>RT-B-C</x:v>
      </x:c>
      <x:c r="F54" s="9" t="str">
        <x:v>B1</x:v>
      </x:c>
      <x:c r="G54" s="9" t="str">
        <x:v>INT</x:v>
      </x:c>
      <x:c r="H54" s="9" t="n">
        <x:v>2</x:v>
      </x:c>
      <x:c r="I54" s="9" t="n">
        <x:v>4</x:v>
      </x:c>
      <x:c r="J54" s="9" t="str">
        <x:v>RT-B-C-N3</x:v>
      </x:c>
      <x:c r="K54" s="9" t="str">
        <x:v>FX-RT-B-C-TECH-3-F1</x:v>
      </x:c>
      <x:c r="L54" s="9" t="n">
        <x:v>154</x:v>
      </x:c>
      <x:c r="M54" s="9" t="n">
        <x:v>0</x:v>
      </x:c>
      <x:c r="N54" s="9" t="n">
        <x:v>0</x:v>
      </x:c>
      <x:c r="O54" s="9" t="n">
        <x:v>10</x:v>
      </x:c>
      <x:c r="P54" s="9" t="n">
        <x:f>SUMIFS('Start Controls'!$P$7:$P$1446,'Start Controls'!$B$7:$B$1446,A54)</x:f>
        <x:v>0</x:v>
      </x:c>
      <x:c r="Q54" s="9" t="n">
        <x:v>0</x:v>
      </x:c>
      <x:c r="R54" s="9" t="n">
        <x:v>8</x:v>
      </x:c>
      <x:c r="S54" s="9" t="n">
        <x:f>SUMIFS('Raw Custody'!$M$7:$M$1158,'Raw Custody'!$B$7:$B$1158,A54)</x:f>
        <x:v>0</x:v>
      </x:c>
      <x:c r="T54" s="9" t="n">
        <x:v>12</x:v>
      </x:c>
      <x:c r="U54" s="9" t="n">
        <x:f>SUMIFS('Observation Gates'!$L$7:$L$1734,'Observation Gates'!$B$7:$B$1734,A54)</x:f>
        <x:v>0</x:v>
      </x:c>
      <x:c r="V54" s="9" t="str">
        <x:v>UNFILED</x:v>
      </x:c>
      <x:c r="W54" s="9" t="n">
        <x:v>0</x:v>
      </x:c>
      <x:c r="X54" s="9" t="n">
        <x:v>0</x:v>
      </x:c>
      <x:c r="Y54" s="9" t="n">
        <x:v>16</x:v>
      </x:c>
      <x:c r="Z54" s="9" t="n">
        <x:f>SUMIFS('Disclosure Packets'!$M$7:$M$2310,'Disclosure Packets'!$C$7:$C$2310,A54)</x:f>
        <x:v>0</x:v>
      </x:c>
      <x:c r="AA54" s="9" t="n">
        <x:v>0</x:v>
      </x:c>
      <x:c r="AB54" s="9" t="str">
        <x:f>IF(N54=0,"PLANNED / BLOCKED",IF(P54&lt;O54,"EOW / START BLOCKED",IF(Q54=0,"ARMED / UNSTARTED",IF(S54&lt;R54,"STARTED / RAW UNSEALED",IF(U54&lt;T54,"SEALED / OBSERVATION OPEN",IF(X54=0,"OBSERVED / UNJUDGED",IF(Z54&lt;Y54,"JUDGED / DISCLOSURE HELD",IF(AA54=0,"COMPLETE / EMBARGOED","PUBLIC / TERMINAL"))))))))</x:f>
        <x:v>PLANNED / BLOCKED</x:v>
      </x:c>
      <x:c r="AC54" s="9" t="n">
        <x:f>COUNTIFS($A$7:$A$150,A54)</x:f>
        <x:v>1</x:v>
      </x:c>
      <x:c r="AD54" s="9" t="n">
        <x:f>COUNTIFS($H$7:$H$150,H54,$I$7:$I$150,I54)</x:f>
        <x:v>6</x:v>
      </x:c>
      <x:c r="AE54" s="9" t="n">
        <x:f>COUNTIFS($H$7:$H$150,H54,$I$7:$I$150,I54,$J$7:$J$150,J54)</x:f>
        <x:v>1</x:v>
      </x:c>
    </x:row>
    <x:row r="55">
      <x:c r="A55" s="9" t="str">
        <x:v>EV-AR-CT-C-B-TECH-4-B1-RCN-G0</x:v>
      </x:c>
      <x:c r="B55" s="9" t="str">
        <x:v>EOW-AR-CT-C-B-TECH-4-B1-RCN-G0</x:v>
      </x:c>
      <x:c r="C55" s="9" t="str">
        <x:v>AR-CT-C-B-TECH-4-B1-RCN-G0</x:v>
      </x:c>
      <x:c r="D55" s="9" t="str">
        <x:v>CT-C-B-TECH-4</x:v>
      </x:c>
      <x:c r="E55" s="9" t="str">
        <x:v>CT-C-B</x:v>
      </x:c>
      <x:c r="F55" s="9" t="str">
        <x:v>B1</x:v>
      </x:c>
      <x:c r="G55" s="9" t="str">
        <x:v>RCN</x:v>
      </x:c>
      <x:c r="H55" s="9" t="n">
        <x:v>3</x:v>
      </x:c>
      <x:c r="I55" s="9" t="n">
        <x:v>1</x:v>
      </x:c>
      <x:c r="J55" s="9" t="str">
        <x:v>CT-C-B-N2</x:v>
      </x:c>
      <x:c r="K55" s="9" t="str">
        <x:v>FX-CT-C-B-TECH-4-F2</x:v>
      </x:c>
      <x:c r="L55" s="9" t="n">
        <x:v>168</x:v>
      </x:c>
      <x:c r="M55" s="9" t="n">
        <x:v>1</x:v>
      </x:c>
      <x:c r="N55" s="9" t="n">
        <x:v>0</x:v>
      </x:c>
      <x:c r="O55" s="9" t="n">
        <x:v>10</x:v>
      </x:c>
      <x:c r="P55" s="9" t="n">
        <x:f>SUMIFS('Start Controls'!$P$7:$P$1446,'Start Controls'!$B$7:$B$1446,A55)</x:f>
        <x:v>0</x:v>
      </x:c>
      <x:c r="Q55" s="9" t="n">
        <x:v>0</x:v>
      </x:c>
      <x:c r="R55" s="9" t="n">
        <x:v>8</x:v>
      </x:c>
      <x:c r="S55" s="9" t="n">
        <x:f>SUMIFS('Raw Custody'!$M$7:$M$1158,'Raw Custody'!$B$7:$B$1158,A55)</x:f>
        <x:v>0</x:v>
      </x:c>
      <x:c r="T55" s="9" t="n">
        <x:v>12</x:v>
      </x:c>
      <x:c r="U55" s="9" t="n">
        <x:f>SUMIFS('Observation Gates'!$L$7:$L$1734,'Observation Gates'!$B$7:$B$1734,A55)</x:f>
        <x:v>0</x:v>
      </x:c>
      <x:c r="V55" s="9" t="str">
        <x:v>UNFILED</x:v>
      </x:c>
      <x:c r="W55" s="9" t="n">
        <x:v>0</x:v>
      </x:c>
      <x:c r="X55" s="9" t="n">
        <x:v>0</x:v>
      </x:c>
      <x:c r="Y55" s="9" t="n">
        <x:v>16</x:v>
      </x:c>
      <x:c r="Z55" s="9" t="n">
        <x:f>SUMIFS('Disclosure Packets'!$M$7:$M$2310,'Disclosure Packets'!$C$7:$C$2310,A55)</x:f>
        <x:v>0</x:v>
      </x:c>
      <x:c r="AA55" s="9" t="n">
        <x:v>0</x:v>
      </x:c>
      <x:c r="AB55" s="9" t="str">
        <x:f>IF(N55=0,"PLANNED / BLOCKED",IF(P55&lt;O55,"EOW / START BLOCKED",IF(Q55=0,"ARMED / UNSTARTED",IF(S55&lt;R55,"STARTED / RAW UNSEALED",IF(U55&lt;T55,"SEALED / OBSERVATION OPEN",IF(X55=0,"OBSERVED / UNJUDGED",IF(Z55&lt;Y55,"JUDGED / DISCLOSURE HELD",IF(AA55=0,"COMPLETE / EMBARGOED","PUBLIC / TERMINAL"))))))))</x:f>
        <x:v>PLANNED / BLOCKED</x:v>
      </x:c>
      <x:c r="AC55" s="9" t="n">
        <x:f>COUNTIFS($A$7:$A$150,A55)</x:f>
        <x:v>1</x:v>
      </x:c>
      <x:c r="AD55" s="9" t="n">
        <x:f>COUNTIFS($H$7:$H$150,H55,$I$7:$I$150,I55)</x:f>
        <x:v>6</x:v>
      </x:c>
      <x:c r="AE55" s="9" t="n">
        <x:f>COUNTIFS($H$7:$H$150,H55,$I$7:$I$150,I55,$J$7:$J$150,J55)</x:f>
        <x:v>1</x:v>
      </x:c>
    </x:row>
    <x:row r="56">
      <x:c r="A56" s="9" t="str">
        <x:v>EV-AR-CT-C-B-TECH-2-B1-INT-G0</x:v>
      </x:c>
      <x:c r="B56" s="9" t="str">
        <x:v>EOW-AR-CT-C-B-TECH-2-B1-INT-G0</x:v>
      </x:c>
      <x:c r="C56" s="9" t="str">
        <x:v>AR-CT-C-B-TECH-2-B1-INT-G0</x:v>
      </x:c>
      <x:c r="D56" s="9" t="str">
        <x:v>CT-C-B-TECH-2</x:v>
      </x:c>
      <x:c r="E56" s="9" t="str">
        <x:v>CT-C-B</x:v>
      </x:c>
      <x:c r="F56" s="9" t="str">
        <x:v>B1</x:v>
      </x:c>
      <x:c r="G56" s="9" t="str">
        <x:v>INT</x:v>
      </x:c>
      <x:c r="H56" s="9" t="n">
        <x:v>3</x:v>
      </x:c>
      <x:c r="I56" s="9" t="n">
        <x:v>1</x:v>
      </x:c>
      <x:c r="J56" s="9" t="str">
        <x:v>CT-C-B-N3</x:v>
      </x:c>
      <x:c r="K56" s="9" t="str">
        <x:v>FX-CT-C-B-TECH-2-F2</x:v>
      </x:c>
      <x:c r="L56" s="9" t="n">
        <x:v>168</x:v>
      </x:c>
      <x:c r="M56" s="9" t="n">
        <x:v>0</x:v>
      </x:c>
      <x:c r="N56" s="9" t="n">
        <x:v>0</x:v>
      </x:c>
      <x:c r="O56" s="9" t="n">
        <x:v>10</x:v>
      </x:c>
      <x:c r="P56" s="9" t="n">
        <x:f>SUMIFS('Start Controls'!$P$7:$P$1446,'Start Controls'!$B$7:$B$1446,A56)</x:f>
        <x:v>0</x:v>
      </x:c>
      <x:c r="Q56" s="9" t="n">
        <x:v>0</x:v>
      </x:c>
      <x:c r="R56" s="9" t="n">
        <x:v>8</x:v>
      </x:c>
      <x:c r="S56" s="9" t="n">
        <x:f>SUMIFS('Raw Custody'!$M$7:$M$1158,'Raw Custody'!$B$7:$B$1158,A56)</x:f>
        <x:v>0</x:v>
      </x:c>
      <x:c r="T56" s="9" t="n">
        <x:v>12</x:v>
      </x:c>
      <x:c r="U56" s="9" t="n">
        <x:f>SUMIFS('Observation Gates'!$L$7:$L$1734,'Observation Gates'!$B$7:$B$1734,A56)</x:f>
        <x:v>0</x:v>
      </x:c>
      <x:c r="V56" s="9" t="str">
        <x:v>UNFILED</x:v>
      </x:c>
      <x:c r="W56" s="9" t="n">
        <x:v>0</x:v>
      </x:c>
      <x:c r="X56" s="9" t="n">
        <x:v>0</x:v>
      </x:c>
      <x:c r="Y56" s="9" t="n">
        <x:v>16</x:v>
      </x:c>
      <x:c r="Z56" s="9" t="n">
        <x:f>SUMIFS('Disclosure Packets'!$M$7:$M$2310,'Disclosure Packets'!$C$7:$C$2310,A56)</x:f>
        <x:v>0</x:v>
      </x:c>
      <x:c r="AA56" s="9" t="n">
        <x:v>0</x:v>
      </x:c>
      <x:c r="AB56" s="9" t="str">
        <x:f>IF(N56=0,"PLANNED / BLOCKED",IF(P56&lt;O56,"EOW / START BLOCKED",IF(Q56=0,"ARMED / UNSTARTED",IF(S56&lt;R56,"STARTED / RAW UNSEALED",IF(U56&lt;T56,"SEALED / OBSERVATION OPEN",IF(X56=0,"OBSERVED / UNJUDGED",IF(Z56&lt;Y56,"JUDGED / DISCLOSURE HELD",IF(AA56=0,"COMPLETE / EMBARGOED","PUBLIC / TERMINAL"))))))))</x:f>
        <x:v>PLANNED / BLOCKED</x:v>
      </x:c>
      <x:c r="AC56" s="9" t="n">
        <x:f>COUNTIFS($A$7:$A$150,A56)</x:f>
        <x:v>1</x:v>
      </x:c>
      <x:c r="AD56" s="9" t="n">
        <x:f>COUNTIFS($H$7:$H$150,H56,$I$7:$I$150,I56)</x:f>
        <x:v>6</x:v>
      </x:c>
      <x:c r="AE56" s="9" t="n">
        <x:f>COUNTIFS($H$7:$H$150,H56,$I$7:$I$150,I56,$J$7:$J$150,J56)</x:f>
        <x:v>1</x:v>
      </x:c>
    </x:row>
    <x:row r="57">
      <x:c r="A57" s="9" t="str">
        <x:v>EV-AR-HC-A-C-TECH-4-B2-BRK-G0</x:v>
      </x:c>
      <x:c r="B57" s="9" t="str">
        <x:v>EOW-AR-HC-A-C-TECH-4-B2-BRK-G0</x:v>
      </x:c>
      <x:c r="C57" s="9" t="str">
        <x:v>AR-HC-A-C-TECH-4-B2-BRK-G0</x:v>
      </x:c>
      <x:c r="D57" s="9" t="str">
        <x:v>HC-A-C-TECH-4</x:v>
      </x:c>
      <x:c r="E57" s="9" t="str">
        <x:v>HC-A-C</x:v>
      </x:c>
      <x:c r="F57" s="9" t="str">
        <x:v>B2</x:v>
      </x:c>
      <x:c r="G57" s="9" t="str">
        <x:v>BRK</x:v>
      </x:c>
      <x:c r="H57" s="9" t="n">
        <x:v>3</x:v>
      </x:c>
      <x:c r="I57" s="9" t="n">
        <x:v>1</x:v>
      </x:c>
      <x:c r="J57" s="9" t="str">
        <x:v>HC-A-C-N2</x:v>
      </x:c>
      <x:c r="K57" s="9" t="str">
        <x:v>FX-HC-A-C-TECH-4-F2</x:v>
      </x:c>
      <x:c r="L57" s="9" t="n">
        <x:v>168</x:v>
      </x:c>
      <x:c r="M57" s="9" t="n">
        <x:v>1</x:v>
      </x:c>
      <x:c r="N57" s="9" t="n">
        <x:v>0</x:v>
      </x:c>
      <x:c r="O57" s="9" t="n">
        <x:v>10</x:v>
      </x:c>
      <x:c r="P57" s="9" t="n">
        <x:f>SUMIFS('Start Controls'!$P$7:$P$1446,'Start Controls'!$B$7:$B$1446,A57)</x:f>
        <x:v>0</x:v>
      </x:c>
      <x:c r="Q57" s="9" t="n">
        <x:v>0</x:v>
      </x:c>
      <x:c r="R57" s="9" t="n">
        <x:v>8</x:v>
      </x:c>
      <x:c r="S57" s="9" t="n">
        <x:f>SUMIFS('Raw Custody'!$M$7:$M$1158,'Raw Custody'!$B$7:$B$1158,A57)</x:f>
        <x:v>0</x:v>
      </x:c>
      <x:c r="T57" s="9" t="n">
        <x:v>12</x:v>
      </x:c>
      <x:c r="U57" s="9" t="n">
        <x:f>SUMIFS('Observation Gates'!$L$7:$L$1734,'Observation Gates'!$B$7:$B$1734,A57)</x:f>
        <x:v>0</x:v>
      </x:c>
      <x:c r="V57" s="9" t="str">
        <x:v>UNFILED</x:v>
      </x:c>
      <x:c r="W57" s="9" t="n">
        <x:v>0</x:v>
      </x:c>
      <x:c r="X57" s="9" t="n">
        <x:v>0</x:v>
      </x:c>
      <x:c r="Y57" s="9" t="n">
        <x:v>16</x:v>
      </x:c>
      <x:c r="Z57" s="9" t="n">
        <x:f>SUMIFS('Disclosure Packets'!$M$7:$M$2310,'Disclosure Packets'!$C$7:$C$2310,A57)</x:f>
        <x:v>0</x:v>
      </x:c>
      <x:c r="AA57" s="9" t="n">
        <x:v>0</x:v>
      </x:c>
      <x:c r="AB57" s="9" t="str">
        <x:f>IF(N57=0,"PLANNED / BLOCKED",IF(P57&lt;O57,"EOW / START BLOCKED",IF(Q57=0,"ARMED / UNSTARTED",IF(S57&lt;R57,"STARTED / RAW UNSEALED",IF(U57&lt;T57,"SEALED / OBSERVATION OPEN",IF(X57=0,"OBSERVED / UNJUDGED",IF(Z57&lt;Y57,"JUDGED / DISCLOSURE HELD",IF(AA57=0,"COMPLETE / EMBARGOED","PUBLIC / TERMINAL"))))))))</x:f>
        <x:v>PLANNED / BLOCKED</x:v>
      </x:c>
      <x:c r="AC57" s="9" t="n">
        <x:f>COUNTIFS($A$7:$A$150,A57)</x:f>
        <x:v>1</x:v>
      </x:c>
      <x:c r="AD57" s="9" t="n">
        <x:f>COUNTIFS($H$7:$H$150,H57,$I$7:$I$150,I57)</x:f>
        <x:v>6</x:v>
      </x:c>
      <x:c r="AE57" s="9" t="n">
        <x:f>COUNTIFS($H$7:$H$150,H57,$I$7:$I$150,I57,$J$7:$J$150,J57)</x:f>
        <x:v>1</x:v>
      </x:c>
    </x:row>
    <x:row r="58">
      <x:c r="A58" s="9" t="str">
        <x:v>EV-AR-HC-A-C-TECH-3-B1-RCN-G0</x:v>
      </x:c>
      <x:c r="B58" s="9" t="str">
        <x:v>EOW-AR-HC-A-C-TECH-3-B1-RCN-G0</x:v>
      </x:c>
      <x:c r="C58" s="9" t="str">
        <x:v>AR-HC-A-C-TECH-3-B1-RCN-G0</x:v>
      </x:c>
      <x:c r="D58" s="9" t="str">
        <x:v>HC-A-C-TECH-3</x:v>
      </x:c>
      <x:c r="E58" s="9" t="str">
        <x:v>HC-A-C</x:v>
      </x:c>
      <x:c r="F58" s="9" t="str">
        <x:v>B1</x:v>
      </x:c>
      <x:c r="G58" s="9" t="str">
        <x:v>RCN</x:v>
      </x:c>
      <x:c r="H58" s="9" t="n">
        <x:v>3</x:v>
      </x:c>
      <x:c r="I58" s="9" t="n">
        <x:v>1</x:v>
      </x:c>
      <x:c r="J58" s="9" t="str">
        <x:v>HC-A-C-N3</x:v>
      </x:c>
      <x:c r="K58" s="9" t="str">
        <x:v>FX-HC-A-C-TECH-3-F1</x:v>
      </x:c>
      <x:c r="L58" s="9" t="n">
        <x:v>168</x:v>
      </x:c>
      <x:c r="M58" s="9" t="n">
        <x:v>1</x:v>
      </x:c>
      <x:c r="N58" s="9" t="n">
        <x:v>0</x:v>
      </x:c>
      <x:c r="O58" s="9" t="n">
        <x:v>10</x:v>
      </x:c>
      <x:c r="P58" s="9" t="n">
        <x:f>SUMIFS('Start Controls'!$P$7:$P$1446,'Start Controls'!$B$7:$B$1446,A58)</x:f>
        <x:v>0</x:v>
      </x:c>
      <x:c r="Q58" s="9" t="n">
        <x:v>0</x:v>
      </x:c>
      <x:c r="R58" s="9" t="n">
        <x:v>8</x:v>
      </x:c>
      <x:c r="S58" s="9" t="n">
        <x:f>SUMIFS('Raw Custody'!$M$7:$M$1158,'Raw Custody'!$B$7:$B$1158,A58)</x:f>
        <x:v>0</x:v>
      </x:c>
      <x:c r="T58" s="9" t="n">
        <x:v>12</x:v>
      </x:c>
      <x:c r="U58" s="9" t="n">
        <x:f>SUMIFS('Observation Gates'!$L$7:$L$1734,'Observation Gates'!$B$7:$B$1734,A58)</x:f>
        <x:v>0</x:v>
      </x:c>
      <x:c r="V58" s="9" t="str">
        <x:v>UNFILED</x:v>
      </x:c>
      <x:c r="W58" s="9" t="n">
        <x:v>0</x:v>
      </x:c>
      <x:c r="X58" s="9" t="n">
        <x:v>0</x:v>
      </x:c>
      <x:c r="Y58" s="9" t="n">
        <x:v>16</x:v>
      </x:c>
      <x:c r="Z58" s="9" t="n">
        <x:f>SUMIFS('Disclosure Packets'!$M$7:$M$2310,'Disclosure Packets'!$C$7:$C$2310,A58)</x:f>
        <x:v>0</x:v>
      </x:c>
      <x:c r="AA58" s="9" t="n">
        <x:v>0</x:v>
      </x:c>
      <x:c r="AB58" s="9" t="str">
        <x:f>IF(N58=0,"PLANNED / BLOCKED",IF(P58&lt;O58,"EOW / START BLOCKED",IF(Q58=0,"ARMED / UNSTARTED",IF(S58&lt;R58,"STARTED / RAW UNSEALED",IF(U58&lt;T58,"SEALED / OBSERVATION OPEN",IF(X58=0,"OBSERVED / UNJUDGED",IF(Z58&lt;Y58,"JUDGED / DISCLOSURE HELD",IF(AA58=0,"COMPLETE / EMBARGOED","PUBLIC / TERMINAL"))))))))</x:f>
        <x:v>PLANNED / BLOCKED</x:v>
      </x:c>
      <x:c r="AC58" s="9" t="n">
        <x:f>COUNTIFS($A$7:$A$150,A58)</x:f>
        <x:v>1</x:v>
      </x:c>
      <x:c r="AD58" s="9" t="n">
        <x:f>COUNTIFS($H$7:$H$150,H58,$I$7:$I$150,I58)</x:f>
        <x:v>6</x:v>
      </x:c>
      <x:c r="AE58" s="9" t="n">
        <x:f>COUNTIFS($H$7:$H$150,H58,$I$7:$I$150,I58,$J$7:$J$150,J58)</x:f>
        <x:v>1</x:v>
      </x:c>
    </x:row>
    <x:row r="59">
      <x:c r="A59" s="9" t="str">
        <x:v>EV-AR-HU-A-B-TECH-1-B1-RCN-G0</x:v>
      </x:c>
      <x:c r="B59" s="9" t="str">
        <x:v>EOW-AR-HU-A-B-TECH-1-B1-RCN-G0</x:v>
      </x:c>
      <x:c r="C59" s="9" t="str">
        <x:v>AR-HU-A-B-TECH-1-B1-RCN-G0</x:v>
      </x:c>
      <x:c r="D59" s="9" t="str">
        <x:v>HU-A-B-TECH-1</x:v>
      </x:c>
      <x:c r="E59" s="9" t="str">
        <x:v>HU-A-B</x:v>
      </x:c>
      <x:c r="F59" s="9" t="str">
        <x:v>B1</x:v>
      </x:c>
      <x:c r="G59" s="9" t="str">
        <x:v>RCN</x:v>
      </x:c>
      <x:c r="H59" s="9" t="n">
        <x:v>3</x:v>
      </x:c>
      <x:c r="I59" s="9" t="n">
        <x:v>1</x:v>
      </x:c>
      <x:c r="J59" s="9" t="str">
        <x:v>HU-A-B-N1</x:v>
      </x:c>
      <x:c r="K59" s="9" t="str">
        <x:v>FX-HU-A-B-TECH-1-F1</x:v>
      </x:c>
      <x:c r="L59" s="9" t="n">
        <x:v>168</x:v>
      </x:c>
      <x:c r="M59" s="9" t="n">
        <x:v>1</x:v>
      </x:c>
      <x:c r="N59" s="9" t="n">
        <x:v>0</x:v>
      </x:c>
      <x:c r="O59" s="9" t="n">
        <x:v>10</x:v>
      </x:c>
      <x:c r="P59" s="9" t="n">
        <x:f>SUMIFS('Start Controls'!$P$7:$P$1446,'Start Controls'!$B$7:$B$1446,A59)</x:f>
        <x:v>0</x:v>
      </x:c>
      <x:c r="Q59" s="9" t="n">
        <x:v>0</x:v>
      </x:c>
      <x:c r="R59" s="9" t="n">
        <x:v>8</x:v>
      </x:c>
      <x:c r="S59" s="9" t="n">
        <x:f>SUMIFS('Raw Custody'!$M$7:$M$1158,'Raw Custody'!$B$7:$B$1158,A59)</x:f>
        <x:v>0</x:v>
      </x:c>
      <x:c r="T59" s="9" t="n">
        <x:v>12</x:v>
      </x:c>
      <x:c r="U59" s="9" t="n">
        <x:f>SUMIFS('Observation Gates'!$L$7:$L$1734,'Observation Gates'!$B$7:$B$1734,A59)</x:f>
        <x:v>0</x:v>
      </x:c>
      <x:c r="V59" s="9" t="str">
        <x:v>UNFILED</x:v>
      </x:c>
      <x:c r="W59" s="9" t="n">
        <x:v>0</x:v>
      </x:c>
      <x:c r="X59" s="9" t="n">
        <x:v>0</x:v>
      </x:c>
      <x:c r="Y59" s="9" t="n">
        <x:v>16</x:v>
      </x:c>
      <x:c r="Z59" s="9" t="n">
        <x:f>SUMIFS('Disclosure Packets'!$M$7:$M$2310,'Disclosure Packets'!$C$7:$C$2310,A59)</x:f>
        <x:v>0</x:v>
      </x:c>
      <x:c r="AA59" s="9" t="n">
        <x:v>0</x:v>
      </x:c>
      <x:c r="AB59" s="9" t="str">
        <x:f>IF(N59=0,"PLANNED / BLOCKED",IF(P59&lt;O59,"EOW / START BLOCKED",IF(Q59=0,"ARMED / UNSTARTED",IF(S59&lt;R59,"STARTED / RAW UNSEALED",IF(U59&lt;T59,"SEALED / OBSERVATION OPEN",IF(X59=0,"OBSERVED / UNJUDGED",IF(Z59&lt;Y59,"JUDGED / DISCLOSURE HELD",IF(AA59=0,"COMPLETE / EMBARGOED","PUBLIC / TERMINAL"))))))))</x:f>
        <x:v>PLANNED / BLOCKED</x:v>
      </x:c>
      <x:c r="AC59" s="9" t="n">
        <x:f>COUNTIFS($A$7:$A$150,A59)</x:f>
        <x:v>1</x:v>
      </x:c>
      <x:c r="AD59" s="9" t="n">
        <x:f>COUNTIFS($H$7:$H$150,H59,$I$7:$I$150,I59)</x:f>
        <x:v>6</x:v>
      </x:c>
      <x:c r="AE59" s="9" t="n">
        <x:f>COUNTIFS($H$7:$H$150,H59,$I$7:$I$150,I59,$J$7:$J$150,J59)</x:f>
        <x:v>1</x:v>
      </x:c>
    </x:row>
    <x:row r="60">
      <x:c r="A60" s="9" t="str">
        <x:v>EV-AR-RT-B-C-TECH-3-B2-INT-G0</x:v>
      </x:c>
      <x:c r="B60" s="9" t="str">
        <x:v>EOW-AR-RT-B-C-TECH-3-B2-INT-G0</x:v>
      </x:c>
      <x:c r="C60" s="9" t="str">
        <x:v>AR-RT-B-C-TECH-3-B2-INT-G0</x:v>
      </x:c>
      <x:c r="D60" s="9" t="str">
        <x:v>RT-B-C-TECH-3</x:v>
      </x:c>
      <x:c r="E60" s="9" t="str">
        <x:v>RT-B-C</x:v>
      </x:c>
      <x:c r="F60" s="9" t="str">
        <x:v>B2</x:v>
      </x:c>
      <x:c r="G60" s="9" t="str">
        <x:v>INT</x:v>
      </x:c>
      <x:c r="H60" s="9" t="n">
        <x:v>3</x:v>
      </x:c>
      <x:c r="I60" s="9" t="n">
        <x:v>1</x:v>
      </x:c>
      <x:c r="J60" s="9" t="str">
        <x:v>RT-B-C-N1</x:v>
      </x:c>
      <x:c r="K60" s="9" t="str">
        <x:v>FX-RT-B-C-TECH-3-F2</x:v>
      </x:c>
      <x:c r="L60" s="9" t="n">
        <x:v>168</x:v>
      </x:c>
      <x:c r="M60" s="9" t="n">
        <x:v>0</x:v>
      </x:c>
      <x:c r="N60" s="9" t="n">
        <x:v>0</x:v>
      </x:c>
      <x:c r="O60" s="9" t="n">
        <x:v>10</x:v>
      </x:c>
      <x:c r="P60" s="9" t="n">
        <x:f>SUMIFS('Start Controls'!$P$7:$P$1446,'Start Controls'!$B$7:$B$1446,A60)</x:f>
        <x:v>0</x:v>
      </x:c>
      <x:c r="Q60" s="9" t="n">
        <x:v>0</x:v>
      </x:c>
      <x:c r="R60" s="9" t="n">
        <x:v>8</x:v>
      </x:c>
      <x:c r="S60" s="9" t="n">
        <x:f>SUMIFS('Raw Custody'!$M$7:$M$1158,'Raw Custody'!$B$7:$B$1158,A60)</x:f>
        <x:v>0</x:v>
      </x:c>
      <x:c r="T60" s="9" t="n">
        <x:v>12</x:v>
      </x:c>
      <x:c r="U60" s="9" t="n">
        <x:f>SUMIFS('Observation Gates'!$L$7:$L$1734,'Observation Gates'!$B$7:$B$1734,A60)</x:f>
        <x:v>0</x:v>
      </x:c>
      <x:c r="V60" s="9" t="str">
        <x:v>UNFILED</x:v>
      </x:c>
      <x:c r="W60" s="9" t="n">
        <x:v>0</x:v>
      </x:c>
      <x:c r="X60" s="9" t="n">
        <x:v>0</x:v>
      </x:c>
      <x:c r="Y60" s="9" t="n">
        <x:v>16</x:v>
      </x:c>
      <x:c r="Z60" s="9" t="n">
        <x:f>SUMIFS('Disclosure Packets'!$M$7:$M$2310,'Disclosure Packets'!$C$7:$C$2310,A60)</x:f>
        <x:v>0</x:v>
      </x:c>
      <x:c r="AA60" s="9" t="n">
        <x:v>0</x:v>
      </x:c>
      <x:c r="AB60" s="9" t="str">
        <x:f>IF(N60=0,"PLANNED / BLOCKED",IF(P60&lt;O60,"EOW / START BLOCKED",IF(Q60=0,"ARMED / UNSTARTED",IF(S60&lt;R60,"STARTED / RAW UNSEALED",IF(U60&lt;T60,"SEALED / OBSERVATION OPEN",IF(X60=0,"OBSERVED / UNJUDGED",IF(Z60&lt;Y60,"JUDGED / DISCLOSURE HELD",IF(AA60=0,"COMPLETE / EMBARGOED","PUBLIC / TERMINAL"))))))))</x:f>
        <x:v>PLANNED / BLOCKED</x:v>
      </x:c>
      <x:c r="AC60" s="9" t="n">
        <x:f>COUNTIFS($A$7:$A$150,A60)</x:f>
        <x:v>1</x:v>
      </x:c>
      <x:c r="AD60" s="9" t="n">
        <x:f>COUNTIFS($H$7:$H$150,H60,$I$7:$I$150,I60)</x:f>
        <x:v>6</x:v>
      </x:c>
      <x:c r="AE60" s="9" t="n">
        <x:f>COUNTIFS($H$7:$H$150,H60,$I$7:$I$150,I60,$J$7:$J$150,J60)</x:f>
        <x:v>1</x:v>
      </x:c>
    </x:row>
    <x:row r="61">
      <x:c r="A61" s="9" t="str">
        <x:v>EV-AR-ET-A-A-TECH-4-B2-RCN-G0</x:v>
      </x:c>
      <x:c r="B61" s="9" t="str">
        <x:v>EOW-AR-ET-A-A-TECH-4-B2-RCN-G0</x:v>
      </x:c>
      <x:c r="C61" s="9" t="str">
        <x:v>AR-ET-A-A-TECH-4-B2-RCN-G0</x:v>
      </x:c>
      <x:c r="D61" s="9" t="str">
        <x:v>ET-A-A-TECH-4</x:v>
      </x:c>
      <x:c r="E61" s="9" t="str">
        <x:v>ET-A-A</x:v>
      </x:c>
      <x:c r="F61" s="9" t="str">
        <x:v>B2</x:v>
      </x:c>
      <x:c r="G61" s="9" t="str">
        <x:v>RCN</x:v>
      </x:c>
      <x:c r="H61" s="9" t="n">
        <x:v>3</x:v>
      </x:c>
      <x:c r="I61" s="9" t="n">
        <x:v>2</x:v>
      </x:c>
      <x:c r="J61" s="9" t="str">
        <x:v>ET-A-A-N1</x:v>
      </x:c>
      <x:c r="K61" s="9" t="str">
        <x:v>FX-ET-A-A-TECH-4-F1</x:v>
      </x:c>
      <x:c r="L61" s="9" t="n">
        <x:v>174</x:v>
      </x:c>
      <x:c r="M61" s="9" t="n">
        <x:v>1</x:v>
      </x:c>
      <x:c r="N61" s="9" t="n">
        <x:v>0</x:v>
      </x:c>
      <x:c r="O61" s="9" t="n">
        <x:v>10</x:v>
      </x:c>
      <x:c r="P61" s="9" t="n">
        <x:f>SUMIFS('Start Controls'!$P$7:$P$1446,'Start Controls'!$B$7:$B$1446,A61)</x:f>
        <x:v>0</x:v>
      </x:c>
      <x:c r="Q61" s="9" t="n">
        <x:v>0</x:v>
      </x:c>
      <x:c r="R61" s="9" t="n">
        <x:v>8</x:v>
      </x:c>
      <x:c r="S61" s="9" t="n">
        <x:f>SUMIFS('Raw Custody'!$M$7:$M$1158,'Raw Custody'!$B$7:$B$1158,A61)</x:f>
        <x:v>0</x:v>
      </x:c>
      <x:c r="T61" s="9" t="n">
        <x:v>12</x:v>
      </x:c>
      <x:c r="U61" s="9" t="n">
        <x:f>SUMIFS('Observation Gates'!$L$7:$L$1734,'Observation Gates'!$B$7:$B$1734,A61)</x:f>
        <x:v>0</x:v>
      </x:c>
      <x:c r="V61" s="9" t="str">
        <x:v>UNFILED</x:v>
      </x:c>
      <x:c r="W61" s="9" t="n">
        <x:v>0</x:v>
      </x:c>
      <x:c r="X61" s="9" t="n">
        <x:v>0</x:v>
      </x:c>
      <x:c r="Y61" s="9" t="n">
        <x:v>16</x:v>
      </x:c>
      <x:c r="Z61" s="9" t="n">
        <x:f>SUMIFS('Disclosure Packets'!$M$7:$M$2310,'Disclosure Packets'!$C$7:$C$2310,A61)</x:f>
        <x:v>0</x:v>
      </x:c>
      <x:c r="AA61" s="9" t="n">
        <x:v>0</x:v>
      </x:c>
      <x:c r="AB61" s="9" t="str">
        <x:f>IF(N61=0,"PLANNED / BLOCKED",IF(P61&lt;O61,"EOW / START BLOCKED",IF(Q61=0,"ARMED / UNSTARTED",IF(S61&lt;R61,"STARTED / RAW UNSEALED",IF(U61&lt;T61,"SEALED / OBSERVATION OPEN",IF(X61=0,"OBSERVED / UNJUDGED",IF(Z61&lt;Y61,"JUDGED / DISCLOSURE HELD",IF(AA61=0,"COMPLETE / EMBARGOED","PUBLIC / TERMINAL"))))))))</x:f>
        <x:v>PLANNED / BLOCKED</x:v>
      </x:c>
      <x:c r="AC61" s="9" t="n">
        <x:f>COUNTIFS($A$7:$A$150,A61)</x:f>
        <x:v>1</x:v>
      </x:c>
      <x:c r="AD61" s="9" t="n">
        <x:f>COUNTIFS($H$7:$H$150,H61,$I$7:$I$150,I61)</x:f>
        <x:v>6</x:v>
      </x:c>
      <x:c r="AE61" s="9" t="n">
        <x:f>COUNTIFS($H$7:$H$150,H61,$I$7:$I$150,I61,$J$7:$J$150,J61)</x:f>
        <x:v>1</x:v>
      </x:c>
    </x:row>
    <x:row r="62">
      <x:c r="A62" s="9" t="str">
        <x:v>EV-AR-ET-A-A-TECH-1-B1-BRK-G0</x:v>
      </x:c>
      <x:c r="B62" s="9" t="str">
        <x:v>EOW-AR-ET-A-A-TECH-1-B1-BRK-G0</x:v>
      </x:c>
      <x:c r="C62" s="9" t="str">
        <x:v>AR-ET-A-A-TECH-1-B1-BRK-G0</x:v>
      </x:c>
      <x:c r="D62" s="9" t="str">
        <x:v>ET-A-A-TECH-1</x:v>
      </x:c>
      <x:c r="E62" s="9" t="str">
        <x:v>ET-A-A</x:v>
      </x:c>
      <x:c r="F62" s="9" t="str">
        <x:v>B1</x:v>
      </x:c>
      <x:c r="G62" s="9" t="str">
        <x:v>BRK</x:v>
      </x:c>
      <x:c r="H62" s="9" t="n">
        <x:v>3</x:v>
      </x:c>
      <x:c r="I62" s="9" t="n">
        <x:v>2</x:v>
      </x:c>
      <x:c r="J62" s="9" t="str">
        <x:v>ET-A-A-N2</x:v>
      </x:c>
      <x:c r="K62" s="9" t="str">
        <x:v>FX-ET-A-A-TECH-1-F2</x:v>
      </x:c>
      <x:c r="L62" s="9" t="n">
        <x:v>174</x:v>
      </x:c>
      <x:c r="M62" s="9" t="n">
        <x:v>1</x:v>
      </x:c>
      <x:c r="N62" s="9" t="n">
        <x:v>0</x:v>
      </x:c>
      <x:c r="O62" s="9" t="n">
        <x:v>10</x:v>
      </x:c>
      <x:c r="P62" s="9" t="n">
        <x:f>SUMIFS('Start Controls'!$P$7:$P$1446,'Start Controls'!$B$7:$B$1446,A62)</x:f>
        <x:v>0</x:v>
      </x:c>
      <x:c r="Q62" s="9" t="n">
        <x:v>0</x:v>
      </x:c>
      <x:c r="R62" s="9" t="n">
        <x:v>8</x:v>
      </x:c>
      <x:c r="S62" s="9" t="n">
        <x:f>SUMIFS('Raw Custody'!$M$7:$M$1158,'Raw Custody'!$B$7:$B$1158,A62)</x:f>
        <x:v>0</x:v>
      </x:c>
      <x:c r="T62" s="9" t="n">
        <x:v>12</x:v>
      </x:c>
      <x:c r="U62" s="9" t="n">
        <x:f>SUMIFS('Observation Gates'!$L$7:$L$1734,'Observation Gates'!$B$7:$B$1734,A62)</x:f>
        <x:v>0</x:v>
      </x:c>
      <x:c r="V62" s="9" t="str">
        <x:v>UNFILED</x:v>
      </x:c>
      <x:c r="W62" s="9" t="n">
        <x:v>0</x:v>
      </x:c>
      <x:c r="X62" s="9" t="n">
        <x:v>0</x:v>
      </x:c>
      <x:c r="Y62" s="9" t="n">
        <x:v>16</x:v>
      </x:c>
      <x:c r="Z62" s="9" t="n">
        <x:f>SUMIFS('Disclosure Packets'!$M$7:$M$2310,'Disclosure Packets'!$C$7:$C$2310,A62)</x:f>
        <x:v>0</x:v>
      </x:c>
      <x:c r="AA62" s="9" t="n">
        <x:v>0</x:v>
      </x:c>
      <x:c r="AB62" s="9" t="str">
        <x:f>IF(N62=0,"PLANNED / BLOCKED",IF(P62&lt;O62,"EOW / START BLOCKED",IF(Q62=0,"ARMED / UNSTARTED",IF(S62&lt;R62,"STARTED / RAW UNSEALED",IF(U62&lt;T62,"SEALED / OBSERVATION OPEN",IF(X62=0,"OBSERVED / UNJUDGED",IF(Z62&lt;Y62,"JUDGED / DISCLOSURE HELD",IF(AA62=0,"COMPLETE / EMBARGOED","PUBLIC / TERMINAL"))))))))</x:f>
        <x:v>PLANNED / BLOCKED</x:v>
      </x:c>
      <x:c r="AC62" s="9" t="n">
        <x:f>COUNTIFS($A$7:$A$150,A62)</x:f>
        <x:v>1</x:v>
      </x:c>
      <x:c r="AD62" s="9" t="n">
        <x:f>COUNTIFS($H$7:$H$150,H62,$I$7:$I$150,I62)</x:f>
        <x:v>6</x:v>
      </x:c>
      <x:c r="AE62" s="9" t="n">
        <x:f>COUNTIFS($H$7:$H$150,H62,$I$7:$I$150,I62,$J$7:$J$150,J62)</x:f>
        <x:v>1</x:v>
      </x:c>
    </x:row>
    <x:row r="63">
      <x:c r="A63" s="9" t="str">
        <x:v>EV-AR-HU-A-B-TECH-3-B1-BRK-G0</x:v>
      </x:c>
      <x:c r="B63" s="9" t="str">
        <x:v>EOW-AR-HU-A-B-TECH-3-B1-BRK-G0</x:v>
      </x:c>
      <x:c r="C63" s="9" t="str">
        <x:v>AR-HU-A-B-TECH-3-B1-BRK-G0</x:v>
      </x:c>
      <x:c r="D63" s="9" t="str">
        <x:v>HU-A-B-TECH-3</x:v>
      </x:c>
      <x:c r="E63" s="9" t="str">
        <x:v>HU-A-B</x:v>
      </x:c>
      <x:c r="F63" s="9" t="str">
        <x:v>B1</x:v>
      </x:c>
      <x:c r="G63" s="9" t="str">
        <x:v>BRK</x:v>
      </x:c>
      <x:c r="H63" s="9" t="n">
        <x:v>3</x:v>
      </x:c>
      <x:c r="I63" s="9" t="n">
        <x:v>2</x:v>
      </x:c>
      <x:c r="J63" s="9" t="str">
        <x:v>HU-A-B-N1</x:v>
      </x:c>
      <x:c r="K63" s="9" t="str">
        <x:v>FX-HU-A-B-TECH-3-F2</x:v>
      </x:c>
      <x:c r="L63" s="9" t="n">
        <x:v>174</x:v>
      </x:c>
      <x:c r="M63" s="9" t="n">
        <x:v>1</x:v>
      </x:c>
      <x:c r="N63" s="9" t="n">
        <x:v>0</x:v>
      </x:c>
      <x:c r="O63" s="9" t="n">
        <x:v>10</x:v>
      </x:c>
      <x:c r="P63" s="9" t="n">
        <x:f>SUMIFS('Start Controls'!$P$7:$P$1446,'Start Controls'!$B$7:$B$1446,A63)</x:f>
        <x:v>0</x:v>
      </x:c>
      <x:c r="Q63" s="9" t="n">
        <x:v>0</x:v>
      </x:c>
      <x:c r="R63" s="9" t="n">
        <x:v>8</x:v>
      </x:c>
      <x:c r="S63" s="9" t="n">
        <x:f>SUMIFS('Raw Custody'!$M$7:$M$1158,'Raw Custody'!$B$7:$B$1158,A63)</x:f>
        <x:v>0</x:v>
      </x:c>
      <x:c r="T63" s="9" t="n">
        <x:v>12</x:v>
      </x:c>
      <x:c r="U63" s="9" t="n">
        <x:f>SUMIFS('Observation Gates'!$L$7:$L$1734,'Observation Gates'!$B$7:$B$1734,A63)</x:f>
        <x:v>0</x:v>
      </x:c>
      <x:c r="V63" s="9" t="str">
        <x:v>UNFILED</x:v>
      </x:c>
      <x:c r="W63" s="9" t="n">
        <x:v>0</x:v>
      </x:c>
      <x:c r="X63" s="9" t="n">
        <x:v>0</x:v>
      </x:c>
      <x:c r="Y63" s="9" t="n">
        <x:v>16</x:v>
      </x:c>
      <x:c r="Z63" s="9" t="n">
        <x:f>SUMIFS('Disclosure Packets'!$M$7:$M$2310,'Disclosure Packets'!$C$7:$C$2310,A63)</x:f>
        <x:v>0</x:v>
      </x:c>
      <x:c r="AA63" s="9" t="n">
        <x:v>0</x:v>
      </x:c>
      <x:c r="AB63" s="9" t="str">
        <x:f>IF(N63=0,"PLANNED / BLOCKED",IF(P63&lt;O63,"EOW / START BLOCKED",IF(Q63=0,"ARMED / UNSTARTED",IF(S63&lt;R63,"STARTED / RAW UNSEALED",IF(U63&lt;T63,"SEALED / OBSERVATION OPEN",IF(X63=0,"OBSERVED / UNJUDGED",IF(Z63&lt;Y63,"JUDGED / DISCLOSURE HELD",IF(AA63=0,"COMPLETE / EMBARGOED","PUBLIC / TERMINAL"))))))))</x:f>
        <x:v>PLANNED / BLOCKED</x:v>
      </x:c>
      <x:c r="AC63" s="9" t="n">
        <x:f>COUNTIFS($A$7:$A$150,A63)</x:f>
        <x:v>1</x:v>
      </x:c>
      <x:c r="AD63" s="9" t="n">
        <x:f>COUNTIFS($H$7:$H$150,H63,$I$7:$I$150,I63)</x:f>
        <x:v>6</x:v>
      </x:c>
      <x:c r="AE63" s="9" t="n">
        <x:f>COUNTIFS($H$7:$H$150,H63,$I$7:$I$150,I63,$J$7:$J$150,J63)</x:f>
        <x:v>1</x:v>
      </x:c>
    </x:row>
    <x:row r="64">
      <x:c r="A64" s="9" t="str">
        <x:v>EV-AR-HU-A-B-TECH-2-B2-BRK-G0</x:v>
      </x:c>
      <x:c r="B64" s="9" t="str">
        <x:v>EOW-AR-HU-A-B-TECH-2-B2-BRK-G0</x:v>
      </x:c>
      <x:c r="C64" s="9" t="str">
        <x:v>AR-HU-A-B-TECH-2-B2-BRK-G0</x:v>
      </x:c>
      <x:c r="D64" s="9" t="str">
        <x:v>HU-A-B-TECH-2</x:v>
      </x:c>
      <x:c r="E64" s="9" t="str">
        <x:v>HU-A-B</x:v>
      </x:c>
      <x:c r="F64" s="9" t="str">
        <x:v>B2</x:v>
      </x:c>
      <x:c r="G64" s="9" t="str">
        <x:v>BRK</x:v>
      </x:c>
      <x:c r="H64" s="9" t="n">
        <x:v>3</x:v>
      </x:c>
      <x:c r="I64" s="9" t="n">
        <x:v>2</x:v>
      </x:c>
      <x:c r="J64" s="9" t="str">
        <x:v>HU-A-B-N3</x:v>
      </x:c>
      <x:c r="K64" s="9" t="str">
        <x:v>FX-HU-A-B-TECH-2-F2</x:v>
      </x:c>
      <x:c r="L64" s="9" t="n">
        <x:v>174</x:v>
      </x:c>
      <x:c r="M64" s="9" t="n">
        <x:v>1</x:v>
      </x:c>
      <x:c r="N64" s="9" t="n">
        <x:v>0</x:v>
      </x:c>
      <x:c r="O64" s="9" t="n">
        <x:v>10</x:v>
      </x:c>
      <x:c r="P64" s="9" t="n">
        <x:f>SUMIFS('Start Controls'!$P$7:$P$1446,'Start Controls'!$B$7:$B$1446,A64)</x:f>
        <x:v>0</x:v>
      </x:c>
      <x:c r="Q64" s="9" t="n">
        <x:v>0</x:v>
      </x:c>
      <x:c r="R64" s="9" t="n">
        <x:v>8</x:v>
      </x:c>
      <x:c r="S64" s="9" t="n">
        <x:f>SUMIFS('Raw Custody'!$M$7:$M$1158,'Raw Custody'!$B$7:$B$1158,A64)</x:f>
        <x:v>0</x:v>
      </x:c>
      <x:c r="T64" s="9" t="n">
        <x:v>12</x:v>
      </x:c>
      <x:c r="U64" s="9" t="n">
        <x:f>SUMIFS('Observation Gates'!$L$7:$L$1734,'Observation Gates'!$B$7:$B$1734,A64)</x:f>
        <x:v>0</x:v>
      </x:c>
      <x:c r="V64" s="9" t="str">
        <x:v>UNFILED</x:v>
      </x:c>
      <x:c r="W64" s="9" t="n">
        <x:v>0</x:v>
      </x:c>
      <x:c r="X64" s="9" t="n">
        <x:v>0</x:v>
      </x:c>
      <x:c r="Y64" s="9" t="n">
        <x:v>16</x:v>
      </x:c>
      <x:c r="Z64" s="9" t="n">
        <x:f>SUMIFS('Disclosure Packets'!$M$7:$M$2310,'Disclosure Packets'!$C$7:$C$2310,A64)</x:f>
        <x:v>0</x:v>
      </x:c>
      <x:c r="AA64" s="9" t="n">
        <x:v>0</x:v>
      </x:c>
      <x:c r="AB64" s="9" t="str">
        <x:f>IF(N64=0,"PLANNED / BLOCKED",IF(P64&lt;O64,"EOW / START BLOCKED",IF(Q64=0,"ARMED / UNSTARTED",IF(S64&lt;R64,"STARTED / RAW UNSEALED",IF(U64&lt;T64,"SEALED / OBSERVATION OPEN",IF(X64=0,"OBSERVED / UNJUDGED",IF(Z64&lt;Y64,"JUDGED / DISCLOSURE HELD",IF(AA64=0,"COMPLETE / EMBARGOED","PUBLIC / TERMINAL"))))))))</x:f>
        <x:v>PLANNED / BLOCKED</x:v>
      </x:c>
      <x:c r="AC64" s="9" t="n">
        <x:f>COUNTIFS($A$7:$A$150,A64)</x:f>
        <x:v>1</x:v>
      </x:c>
      <x:c r="AD64" s="9" t="n">
        <x:f>COUNTIFS($H$7:$H$150,H64,$I$7:$I$150,I64)</x:f>
        <x:v>6</x:v>
      </x:c>
      <x:c r="AE64" s="9" t="n">
        <x:f>COUNTIFS($H$7:$H$150,H64,$I$7:$I$150,I64,$J$7:$J$150,J64)</x:f>
        <x:v>1</x:v>
      </x:c>
    </x:row>
    <x:row r="65">
      <x:c r="A65" s="9" t="str">
        <x:v>EV-AR-LF-B-A-TECH-2-B1-RCN-G0</x:v>
      </x:c>
      <x:c r="B65" s="9" t="str">
        <x:v>EOW-AR-LF-B-A-TECH-2-B1-RCN-G0</x:v>
      </x:c>
      <x:c r="C65" s="9" t="str">
        <x:v>AR-LF-B-A-TECH-2-B1-RCN-G0</x:v>
      </x:c>
      <x:c r="D65" s="9" t="str">
        <x:v>LF-B-A-TECH-2</x:v>
      </x:c>
      <x:c r="E65" s="9" t="str">
        <x:v>LF-B-A</x:v>
      </x:c>
      <x:c r="F65" s="9" t="str">
        <x:v>B1</x:v>
      </x:c>
      <x:c r="G65" s="9" t="str">
        <x:v>RCN</x:v>
      </x:c>
      <x:c r="H65" s="9" t="n">
        <x:v>3</x:v>
      </x:c>
      <x:c r="I65" s="9" t="n">
        <x:v>2</x:v>
      </x:c>
      <x:c r="J65" s="9" t="str">
        <x:v>LF-B-A-N3</x:v>
      </x:c>
      <x:c r="K65" s="9" t="str">
        <x:v>FX-LF-B-A-TECH-2-F2</x:v>
      </x:c>
      <x:c r="L65" s="9" t="n">
        <x:v>174</x:v>
      </x:c>
      <x:c r="M65" s="9" t="n">
        <x:v>1</x:v>
      </x:c>
      <x:c r="N65" s="9" t="n">
        <x:v>0</x:v>
      </x:c>
      <x:c r="O65" s="9" t="n">
        <x:v>10</x:v>
      </x:c>
      <x:c r="P65" s="9" t="n">
        <x:f>SUMIFS('Start Controls'!$P$7:$P$1446,'Start Controls'!$B$7:$B$1446,A65)</x:f>
        <x:v>0</x:v>
      </x:c>
      <x:c r="Q65" s="9" t="n">
        <x:v>0</x:v>
      </x:c>
      <x:c r="R65" s="9" t="n">
        <x:v>8</x:v>
      </x:c>
      <x:c r="S65" s="9" t="n">
        <x:f>SUMIFS('Raw Custody'!$M$7:$M$1158,'Raw Custody'!$B$7:$B$1158,A65)</x:f>
        <x:v>0</x:v>
      </x:c>
      <x:c r="T65" s="9" t="n">
        <x:v>12</x:v>
      </x:c>
      <x:c r="U65" s="9" t="n">
        <x:f>SUMIFS('Observation Gates'!$L$7:$L$1734,'Observation Gates'!$B$7:$B$1734,A65)</x:f>
        <x:v>0</x:v>
      </x:c>
      <x:c r="V65" s="9" t="str">
        <x:v>UNFILED</x:v>
      </x:c>
      <x:c r="W65" s="9" t="n">
        <x:v>0</x:v>
      </x:c>
      <x:c r="X65" s="9" t="n">
        <x:v>0</x:v>
      </x:c>
      <x:c r="Y65" s="9" t="n">
        <x:v>16</x:v>
      </x:c>
      <x:c r="Z65" s="9" t="n">
        <x:f>SUMIFS('Disclosure Packets'!$M$7:$M$2310,'Disclosure Packets'!$C$7:$C$2310,A65)</x:f>
        <x:v>0</x:v>
      </x:c>
      <x:c r="AA65" s="9" t="n">
        <x:v>0</x:v>
      </x:c>
      <x:c r="AB65" s="9" t="str">
        <x:f>IF(N65=0,"PLANNED / BLOCKED",IF(P65&lt;O65,"EOW / START BLOCKED",IF(Q65=0,"ARMED / UNSTARTED",IF(S65&lt;R65,"STARTED / RAW UNSEALED",IF(U65&lt;T65,"SEALED / OBSERVATION OPEN",IF(X65=0,"OBSERVED / UNJUDGED",IF(Z65&lt;Y65,"JUDGED / DISCLOSURE HELD",IF(AA65=0,"COMPLETE / EMBARGOED","PUBLIC / TERMINAL"))))))))</x:f>
        <x:v>PLANNED / BLOCKED</x:v>
      </x:c>
      <x:c r="AC65" s="9" t="n">
        <x:f>COUNTIFS($A$7:$A$150,A65)</x:f>
        <x:v>1</x:v>
      </x:c>
      <x:c r="AD65" s="9" t="n">
        <x:f>COUNTIFS($H$7:$H$150,H65,$I$7:$I$150,I65)</x:f>
        <x:v>6</x:v>
      </x:c>
      <x:c r="AE65" s="9" t="n">
        <x:f>COUNTIFS($H$7:$H$150,H65,$I$7:$I$150,I65,$J$7:$J$150,J65)</x:f>
        <x:v>1</x:v>
      </x:c>
    </x:row>
    <x:row r="66">
      <x:c r="A66" s="9" t="str">
        <x:v>EV-AR-RT-B-C-TECH-2-B1-BRK-G0</x:v>
      </x:c>
      <x:c r="B66" s="9" t="str">
        <x:v>EOW-AR-RT-B-C-TECH-2-B1-BRK-G0</x:v>
      </x:c>
      <x:c r="C66" s="9" t="str">
        <x:v>AR-RT-B-C-TECH-2-B1-BRK-G0</x:v>
      </x:c>
      <x:c r="D66" s="9" t="str">
        <x:v>RT-B-C-TECH-2</x:v>
      </x:c>
      <x:c r="E66" s="9" t="str">
        <x:v>RT-B-C</x:v>
      </x:c>
      <x:c r="F66" s="9" t="str">
        <x:v>B1</x:v>
      </x:c>
      <x:c r="G66" s="9" t="str">
        <x:v>BRK</x:v>
      </x:c>
      <x:c r="H66" s="9" t="n">
        <x:v>3</x:v>
      </x:c>
      <x:c r="I66" s="9" t="n">
        <x:v>2</x:v>
      </x:c>
      <x:c r="J66" s="9" t="str">
        <x:v>RT-B-C-N2</x:v>
      </x:c>
      <x:c r="K66" s="9" t="str">
        <x:v>FX-RT-B-C-TECH-2-F1</x:v>
      </x:c>
      <x:c r="L66" s="9" t="n">
        <x:v>174</x:v>
      </x:c>
      <x:c r="M66" s="9" t="n">
        <x:v>1</x:v>
      </x:c>
      <x:c r="N66" s="9" t="n">
        <x:v>0</x:v>
      </x:c>
      <x:c r="O66" s="9" t="n">
        <x:v>10</x:v>
      </x:c>
      <x:c r="P66" s="9" t="n">
        <x:f>SUMIFS('Start Controls'!$P$7:$P$1446,'Start Controls'!$B$7:$B$1446,A66)</x:f>
        <x:v>0</x:v>
      </x:c>
      <x:c r="Q66" s="9" t="n">
        <x:v>0</x:v>
      </x:c>
      <x:c r="R66" s="9" t="n">
        <x:v>8</x:v>
      </x:c>
      <x:c r="S66" s="9" t="n">
        <x:f>SUMIFS('Raw Custody'!$M$7:$M$1158,'Raw Custody'!$B$7:$B$1158,A66)</x:f>
        <x:v>0</x:v>
      </x:c>
      <x:c r="T66" s="9" t="n">
        <x:v>12</x:v>
      </x:c>
      <x:c r="U66" s="9" t="n">
        <x:f>SUMIFS('Observation Gates'!$L$7:$L$1734,'Observation Gates'!$B$7:$B$1734,A66)</x:f>
        <x:v>0</x:v>
      </x:c>
      <x:c r="V66" s="9" t="str">
        <x:v>UNFILED</x:v>
      </x:c>
      <x:c r="W66" s="9" t="n">
        <x:v>0</x:v>
      </x:c>
      <x:c r="X66" s="9" t="n">
        <x:v>0</x:v>
      </x:c>
      <x:c r="Y66" s="9" t="n">
        <x:v>16</x:v>
      </x:c>
      <x:c r="Z66" s="9" t="n">
        <x:f>SUMIFS('Disclosure Packets'!$M$7:$M$2310,'Disclosure Packets'!$C$7:$C$2310,A66)</x:f>
        <x:v>0</x:v>
      </x:c>
      <x:c r="AA66" s="9" t="n">
        <x:v>0</x:v>
      </x:c>
      <x:c r="AB66" s="9" t="str">
        <x:f>IF(N66=0,"PLANNED / BLOCKED",IF(P66&lt;O66,"EOW / START BLOCKED",IF(Q66=0,"ARMED / UNSTARTED",IF(S66&lt;R66,"STARTED / RAW UNSEALED",IF(U66&lt;T66,"SEALED / OBSERVATION OPEN",IF(X66=0,"OBSERVED / UNJUDGED",IF(Z66&lt;Y66,"JUDGED / DISCLOSURE HELD",IF(AA66=0,"COMPLETE / EMBARGOED","PUBLIC / TERMINAL"))))))))</x:f>
        <x:v>PLANNED / BLOCKED</x:v>
      </x:c>
      <x:c r="AC66" s="9" t="n">
        <x:f>COUNTIFS($A$7:$A$150,A66)</x:f>
        <x:v>1</x:v>
      </x:c>
      <x:c r="AD66" s="9" t="n">
        <x:f>COUNTIFS($H$7:$H$150,H66,$I$7:$I$150,I66)</x:f>
        <x:v>6</x:v>
      </x:c>
      <x:c r="AE66" s="9" t="n">
        <x:f>COUNTIFS($H$7:$H$150,H66,$I$7:$I$150,I66,$J$7:$J$150,J66)</x:f>
        <x:v>1</x:v>
      </x:c>
    </x:row>
    <x:row r="67">
      <x:c r="A67" s="9" t="str">
        <x:v>EV-AR-ET-A-A-TECH-2-B2-INT-G0</x:v>
      </x:c>
      <x:c r="B67" s="9" t="str">
        <x:v>EOW-AR-ET-A-A-TECH-2-B2-INT-G0</x:v>
      </x:c>
      <x:c r="C67" s="9" t="str">
        <x:v>AR-ET-A-A-TECH-2-B2-INT-G0</x:v>
      </x:c>
      <x:c r="D67" s="9" t="str">
        <x:v>ET-A-A-TECH-2</x:v>
      </x:c>
      <x:c r="E67" s="9" t="str">
        <x:v>ET-A-A</x:v>
      </x:c>
      <x:c r="F67" s="9" t="str">
        <x:v>B2</x:v>
      </x:c>
      <x:c r="G67" s="9" t="str">
        <x:v>INT</x:v>
      </x:c>
      <x:c r="H67" s="9" t="n">
        <x:v>3</x:v>
      </x:c>
      <x:c r="I67" s="9" t="n">
        <x:v>3</x:v>
      </x:c>
      <x:c r="J67" s="9" t="str">
        <x:v>ET-A-A-N2</x:v>
      </x:c>
      <x:c r="K67" s="9" t="str">
        <x:v>FX-ET-A-A-TECH-2-F1</x:v>
      </x:c>
      <x:c r="L67" s="9" t="n">
        <x:v>180</x:v>
      </x:c>
      <x:c r="M67" s="9" t="n">
        <x:v>0</x:v>
      </x:c>
      <x:c r="N67" s="9" t="n">
        <x:v>0</x:v>
      </x:c>
      <x:c r="O67" s="9" t="n">
        <x:v>10</x:v>
      </x:c>
      <x:c r="P67" s="9" t="n">
        <x:f>SUMIFS('Start Controls'!$P$7:$P$1446,'Start Controls'!$B$7:$B$1446,A67)</x:f>
        <x:v>0</x:v>
      </x:c>
      <x:c r="Q67" s="9" t="n">
        <x:v>0</x:v>
      </x:c>
      <x:c r="R67" s="9" t="n">
        <x:v>8</x:v>
      </x:c>
      <x:c r="S67" s="9" t="n">
        <x:f>SUMIFS('Raw Custody'!$M$7:$M$1158,'Raw Custody'!$B$7:$B$1158,A67)</x:f>
        <x:v>0</x:v>
      </x:c>
      <x:c r="T67" s="9" t="n">
        <x:v>12</x:v>
      </x:c>
      <x:c r="U67" s="9" t="n">
        <x:f>SUMIFS('Observation Gates'!$L$7:$L$1734,'Observation Gates'!$B$7:$B$1734,A67)</x:f>
        <x:v>0</x:v>
      </x:c>
      <x:c r="V67" s="9" t="str">
        <x:v>UNFILED</x:v>
      </x:c>
      <x:c r="W67" s="9" t="n">
        <x:v>0</x:v>
      </x:c>
      <x:c r="X67" s="9" t="n">
        <x:v>0</x:v>
      </x:c>
      <x:c r="Y67" s="9" t="n">
        <x:v>16</x:v>
      </x:c>
      <x:c r="Z67" s="9" t="n">
        <x:f>SUMIFS('Disclosure Packets'!$M$7:$M$2310,'Disclosure Packets'!$C$7:$C$2310,A67)</x:f>
        <x:v>0</x:v>
      </x:c>
      <x:c r="AA67" s="9" t="n">
        <x:v>0</x:v>
      </x:c>
      <x:c r="AB67" s="9" t="str">
        <x:f>IF(N67=0,"PLANNED / BLOCKED",IF(P67&lt;O67,"EOW / START BLOCKED",IF(Q67=0,"ARMED / UNSTARTED",IF(S67&lt;R67,"STARTED / RAW UNSEALED",IF(U67&lt;T67,"SEALED / OBSERVATION OPEN",IF(X67=0,"OBSERVED / UNJUDGED",IF(Z67&lt;Y67,"JUDGED / DISCLOSURE HELD",IF(AA67=0,"COMPLETE / EMBARGOED","PUBLIC / TERMINAL"))))))))</x:f>
        <x:v>PLANNED / BLOCKED</x:v>
      </x:c>
      <x:c r="AC67" s="9" t="n">
        <x:f>COUNTIFS($A$7:$A$150,A67)</x:f>
        <x:v>1</x:v>
      </x:c>
      <x:c r="AD67" s="9" t="n">
        <x:f>COUNTIFS($H$7:$H$150,H67,$I$7:$I$150,I67)</x:f>
        <x:v>6</x:v>
      </x:c>
      <x:c r="AE67" s="9" t="n">
        <x:f>COUNTIFS($H$7:$H$150,H67,$I$7:$I$150,I67,$J$7:$J$150,J67)</x:f>
        <x:v>1</x:v>
      </x:c>
    </x:row>
    <x:row r="68">
      <x:c r="A68" s="9" t="str">
        <x:v>EV-AR-ET-A-A-TECH-3-B1-INT-G0</x:v>
      </x:c>
      <x:c r="B68" s="9" t="str">
        <x:v>EOW-AR-ET-A-A-TECH-3-B1-INT-G0</x:v>
      </x:c>
      <x:c r="C68" s="9" t="str">
        <x:v>AR-ET-A-A-TECH-3-B1-INT-G0</x:v>
      </x:c>
      <x:c r="D68" s="9" t="str">
        <x:v>ET-A-A-TECH-3</x:v>
      </x:c>
      <x:c r="E68" s="9" t="str">
        <x:v>ET-A-A</x:v>
      </x:c>
      <x:c r="F68" s="9" t="str">
        <x:v>B1</x:v>
      </x:c>
      <x:c r="G68" s="9" t="str">
        <x:v>INT</x:v>
      </x:c>
      <x:c r="H68" s="9" t="n">
        <x:v>3</x:v>
      </x:c>
      <x:c r="I68" s="9" t="n">
        <x:v>3</x:v>
      </x:c>
      <x:c r="J68" s="9" t="str">
        <x:v>ET-A-A-N3</x:v>
      </x:c>
      <x:c r="K68" s="9" t="str">
        <x:v>FX-ET-A-A-TECH-3-F1</x:v>
      </x:c>
      <x:c r="L68" s="9" t="n">
        <x:v>180</x:v>
      </x:c>
      <x:c r="M68" s="9" t="n">
        <x:v>0</x:v>
      </x:c>
      <x:c r="N68" s="9" t="n">
        <x:v>0</x:v>
      </x:c>
      <x:c r="O68" s="9" t="n">
        <x:v>10</x:v>
      </x:c>
      <x:c r="P68" s="9" t="n">
        <x:f>SUMIFS('Start Controls'!$P$7:$P$1446,'Start Controls'!$B$7:$B$1446,A68)</x:f>
        <x:v>0</x:v>
      </x:c>
      <x:c r="Q68" s="9" t="n">
        <x:v>0</x:v>
      </x:c>
      <x:c r="R68" s="9" t="n">
        <x:v>8</x:v>
      </x:c>
      <x:c r="S68" s="9" t="n">
        <x:f>SUMIFS('Raw Custody'!$M$7:$M$1158,'Raw Custody'!$B$7:$B$1158,A68)</x:f>
        <x:v>0</x:v>
      </x:c>
      <x:c r="T68" s="9" t="n">
        <x:v>12</x:v>
      </x:c>
      <x:c r="U68" s="9" t="n">
        <x:f>SUMIFS('Observation Gates'!$L$7:$L$1734,'Observation Gates'!$B$7:$B$1734,A68)</x:f>
        <x:v>0</x:v>
      </x:c>
      <x:c r="V68" s="9" t="str">
        <x:v>UNFILED</x:v>
      </x:c>
      <x:c r="W68" s="9" t="n">
        <x:v>0</x:v>
      </x:c>
      <x:c r="X68" s="9" t="n">
        <x:v>0</x:v>
      </x:c>
      <x:c r="Y68" s="9" t="n">
        <x:v>16</x:v>
      </x:c>
      <x:c r="Z68" s="9" t="n">
        <x:f>SUMIFS('Disclosure Packets'!$M$7:$M$2310,'Disclosure Packets'!$C$7:$C$2310,A68)</x:f>
        <x:v>0</x:v>
      </x:c>
      <x:c r="AA68" s="9" t="n">
        <x:v>0</x:v>
      </x:c>
      <x:c r="AB68" s="9" t="str">
        <x:f>IF(N68=0,"PLANNED / BLOCKED",IF(P68&lt;O68,"EOW / START BLOCKED",IF(Q68=0,"ARMED / UNSTARTED",IF(S68&lt;R68,"STARTED / RAW UNSEALED",IF(U68&lt;T68,"SEALED / OBSERVATION OPEN",IF(X68=0,"OBSERVED / UNJUDGED",IF(Z68&lt;Y68,"JUDGED / DISCLOSURE HELD",IF(AA68=0,"COMPLETE / EMBARGOED","PUBLIC / TERMINAL"))))))))</x:f>
        <x:v>PLANNED / BLOCKED</x:v>
      </x:c>
      <x:c r="AC68" s="9" t="n">
        <x:f>COUNTIFS($A$7:$A$150,A68)</x:f>
        <x:v>1</x:v>
      </x:c>
      <x:c r="AD68" s="9" t="n">
        <x:f>COUNTIFS($H$7:$H$150,H68,$I$7:$I$150,I68)</x:f>
        <x:v>6</x:v>
      </x:c>
      <x:c r="AE68" s="9" t="n">
        <x:f>COUNTIFS($H$7:$H$150,H68,$I$7:$I$150,I68,$J$7:$J$150,J68)</x:f>
        <x:v>1</x:v>
      </x:c>
    </x:row>
    <x:row r="69">
      <x:c r="A69" s="9" t="str">
        <x:v>EV-AR-HU-A-B-TECH-4-B2-INT-G0</x:v>
      </x:c>
      <x:c r="B69" s="9" t="str">
        <x:v>EOW-AR-HU-A-B-TECH-4-B2-INT-G0</x:v>
      </x:c>
      <x:c r="C69" s="9" t="str">
        <x:v>AR-HU-A-B-TECH-4-B2-INT-G0</x:v>
      </x:c>
      <x:c r="D69" s="9" t="str">
        <x:v>HU-A-B-TECH-4</x:v>
      </x:c>
      <x:c r="E69" s="9" t="str">
        <x:v>HU-A-B</x:v>
      </x:c>
      <x:c r="F69" s="9" t="str">
        <x:v>B2</x:v>
      </x:c>
      <x:c r="G69" s="9" t="str">
        <x:v>INT</x:v>
      </x:c>
      <x:c r="H69" s="9" t="n">
        <x:v>3</x:v>
      </x:c>
      <x:c r="I69" s="9" t="n">
        <x:v>3</x:v>
      </x:c>
      <x:c r="J69" s="9" t="str">
        <x:v>HU-A-B-N1</x:v>
      </x:c>
      <x:c r="K69" s="9" t="str">
        <x:v>FX-HU-A-B-TECH-4-F1</x:v>
      </x:c>
      <x:c r="L69" s="9" t="n">
        <x:v>180</x:v>
      </x:c>
      <x:c r="M69" s="9" t="n">
        <x:v>0</x:v>
      </x:c>
      <x:c r="N69" s="9" t="n">
        <x:v>0</x:v>
      </x:c>
      <x:c r="O69" s="9" t="n">
        <x:v>10</x:v>
      </x:c>
      <x:c r="P69" s="9" t="n">
        <x:f>SUMIFS('Start Controls'!$P$7:$P$1446,'Start Controls'!$B$7:$B$1446,A69)</x:f>
        <x:v>0</x:v>
      </x:c>
      <x:c r="Q69" s="9" t="n">
        <x:v>0</x:v>
      </x:c>
      <x:c r="R69" s="9" t="n">
        <x:v>8</x:v>
      </x:c>
      <x:c r="S69" s="9" t="n">
        <x:f>SUMIFS('Raw Custody'!$M$7:$M$1158,'Raw Custody'!$B$7:$B$1158,A69)</x:f>
        <x:v>0</x:v>
      </x:c>
      <x:c r="T69" s="9" t="n">
        <x:v>12</x:v>
      </x:c>
      <x:c r="U69" s="9" t="n">
        <x:f>SUMIFS('Observation Gates'!$L$7:$L$1734,'Observation Gates'!$B$7:$B$1734,A69)</x:f>
        <x:v>0</x:v>
      </x:c>
      <x:c r="V69" s="9" t="str">
        <x:v>UNFILED</x:v>
      </x:c>
      <x:c r="W69" s="9" t="n">
        <x:v>0</x:v>
      </x:c>
      <x:c r="X69" s="9" t="n">
        <x:v>0</x:v>
      </x:c>
      <x:c r="Y69" s="9" t="n">
        <x:v>16</x:v>
      </x:c>
      <x:c r="Z69" s="9" t="n">
        <x:f>SUMIFS('Disclosure Packets'!$M$7:$M$2310,'Disclosure Packets'!$C$7:$C$2310,A69)</x:f>
        <x:v>0</x:v>
      </x:c>
      <x:c r="AA69" s="9" t="n">
        <x:v>0</x:v>
      </x:c>
      <x:c r="AB69" s="9" t="str">
        <x:f>IF(N69=0,"PLANNED / BLOCKED",IF(P69&lt;O69,"EOW / START BLOCKED",IF(Q69=0,"ARMED / UNSTARTED",IF(S69&lt;R69,"STARTED / RAW UNSEALED",IF(U69&lt;T69,"SEALED / OBSERVATION OPEN",IF(X69=0,"OBSERVED / UNJUDGED",IF(Z69&lt;Y69,"JUDGED / DISCLOSURE HELD",IF(AA69=0,"COMPLETE / EMBARGOED","PUBLIC / TERMINAL"))))))))</x:f>
        <x:v>PLANNED / BLOCKED</x:v>
      </x:c>
      <x:c r="AC69" s="9" t="n">
        <x:f>COUNTIFS($A$7:$A$150,A69)</x:f>
        <x:v>1</x:v>
      </x:c>
      <x:c r="AD69" s="9" t="n">
        <x:f>COUNTIFS($H$7:$H$150,H69,$I$7:$I$150,I69)</x:f>
        <x:v>6</x:v>
      </x:c>
      <x:c r="AE69" s="9" t="n">
        <x:f>COUNTIFS($H$7:$H$150,H69,$I$7:$I$150,I69,$J$7:$J$150,J69)</x:f>
        <x:v>1</x:v>
      </x:c>
    </x:row>
    <x:row r="70">
      <x:c r="A70" s="9" t="str">
        <x:v>EV-AR-LF-B-A-TECH-4-B1-BRK-G0</x:v>
      </x:c>
      <x:c r="B70" s="9" t="str">
        <x:v>EOW-AR-LF-B-A-TECH-4-B1-BRK-G0</x:v>
      </x:c>
      <x:c r="C70" s="9" t="str">
        <x:v>AR-LF-B-A-TECH-4-B1-BRK-G0</x:v>
      </x:c>
      <x:c r="D70" s="9" t="str">
        <x:v>LF-B-A-TECH-4</x:v>
      </x:c>
      <x:c r="E70" s="9" t="str">
        <x:v>LF-B-A</x:v>
      </x:c>
      <x:c r="F70" s="9" t="str">
        <x:v>B1</x:v>
      </x:c>
      <x:c r="G70" s="9" t="str">
        <x:v>BRK</x:v>
      </x:c>
      <x:c r="H70" s="9" t="n">
        <x:v>3</x:v>
      </x:c>
      <x:c r="I70" s="9" t="n">
        <x:v>3</x:v>
      </x:c>
      <x:c r="J70" s="9" t="str">
        <x:v>LF-B-A-N1</x:v>
      </x:c>
      <x:c r="K70" s="9" t="str">
        <x:v>FX-LF-B-A-TECH-4-F1</x:v>
      </x:c>
      <x:c r="L70" s="9" t="n">
        <x:v>180</x:v>
      </x:c>
      <x:c r="M70" s="9" t="n">
        <x:v>1</x:v>
      </x:c>
      <x:c r="N70" s="9" t="n">
        <x:v>0</x:v>
      </x:c>
      <x:c r="O70" s="9" t="n">
        <x:v>10</x:v>
      </x:c>
      <x:c r="P70" s="9" t="n">
        <x:f>SUMIFS('Start Controls'!$P$7:$P$1446,'Start Controls'!$B$7:$B$1446,A70)</x:f>
        <x:v>0</x:v>
      </x:c>
      <x:c r="Q70" s="9" t="n">
        <x:v>0</x:v>
      </x:c>
      <x:c r="R70" s="9" t="n">
        <x:v>8</x:v>
      </x:c>
      <x:c r="S70" s="9" t="n">
        <x:f>SUMIFS('Raw Custody'!$M$7:$M$1158,'Raw Custody'!$B$7:$B$1158,A70)</x:f>
        <x:v>0</x:v>
      </x:c>
      <x:c r="T70" s="9" t="n">
        <x:v>12</x:v>
      </x:c>
      <x:c r="U70" s="9" t="n">
        <x:f>SUMIFS('Observation Gates'!$L$7:$L$1734,'Observation Gates'!$B$7:$B$1734,A70)</x:f>
        <x:v>0</x:v>
      </x:c>
      <x:c r="V70" s="9" t="str">
        <x:v>UNFILED</x:v>
      </x:c>
      <x:c r="W70" s="9" t="n">
        <x:v>0</x:v>
      </x:c>
      <x:c r="X70" s="9" t="n">
        <x:v>0</x:v>
      </x:c>
      <x:c r="Y70" s="9" t="n">
        <x:v>16</x:v>
      </x:c>
      <x:c r="Z70" s="9" t="n">
        <x:f>SUMIFS('Disclosure Packets'!$M$7:$M$2310,'Disclosure Packets'!$C$7:$C$2310,A70)</x:f>
        <x:v>0</x:v>
      </x:c>
      <x:c r="AA70" s="9" t="n">
        <x:v>0</x:v>
      </x:c>
      <x:c r="AB70" s="9" t="str">
        <x:f>IF(N70=0,"PLANNED / BLOCKED",IF(P70&lt;O70,"EOW / START BLOCKED",IF(Q70=0,"ARMED / UNSTARTED",IF(S70&lt;R70,"STARTED / RAW UNSEALED",IF(U70&lt;T70,"SEALED / OBSERVATION OPEN",IF(X70=0,"OBSERVED / UNJUDGED",IF(Z70&lt;Y70,"JUDGED / DISCLOSURE HELD",IF(AA70=0,"COMPLETE / EMBARGOED","PUBLIC / TERMINAL"))))))))</x:f>
        <x:v>PLANNED / BLOCKED</x:v>
      </x:c>
      <x:c r="AC70" s="9" t="n">
        <x:f>COUNTIFS($A$7:$A$150,A70)</x:f>
        <x:v>1</x:v>
      </x:c>
      <x:c r="AD70" s="9" t="n">
        <x:f>COUNTIFS($H$7:$H$150,H70,$I$7:$I$150,I70)</x:f>
        <x:v>6</x:v>
      </x:c>
      <x:c r="AE70" s="9" t="n">
        <x:f>COUNTIFS($H$7:$H$150,H70,$I$7:$I$150,I70,$J$7:$J$150,J70)</x:f>
        <x:v>1</x:v>
      </x:c>
    </x:row>
    <x:row r="71">
      <x:c r="A71" s="9" t="str">
        <x:v>EV-AR-LF-B-A-TECH-3-B2-BRK-G0</x:v>
      </x:c>
      <x:c r="B71" s="9" t="str">
        <x:v>EOW-AR-LF-B-A-TECH-3-B2-BRK-G0</x:v>
      </x:c>
      <x:c r="C71" s="9" t="str">
        <x:v>AR-LF-B-A-TECH-3-B2-BRK-G0</x:v>
      </x:c>
      <x:c r="D71" s="9" t="str">
        <x:v>LF-B-A-TECH-3</x:v>
      </x:c>
      <x:c r="E71" s="9" t="str">
        <x:v>LF-B-A</x:v>
      </x:c>
      <x:c r="F71" s="9" t="str">
        <x:v>B2</x:v>
      </x:c>
      <x:c r="G71" s="9" t="str">
        <x:v>BRK</x:v>
      </x:c>
      <x:c r="H71" s="9" t="n">
        <x:v>3</x:v>
      </x:c>
      <x:c r="I71" s="9" t="n">
        <x:v>3</x:v>
      </x:c>
      <x:c r="J71" s="9" t="str">
        <x:v>LF-B-A-N3</x:v>
      </x:c>
      <x:c r="K71" s="9" t="str">
        <x:v>FX-LF-B-A-TECH-3-F1</x:v>
      </x:c>
      <x:c r="L71" s="9" t="n">
        <x:v>180</x:v>
      </x:c>
      <x:c r="M71" s="9" t="n">
        <x:v>1</x:v>
      </x:c>
      <x:c r="N71" s="9" t="n">
        <x:v>0</x:v>
      </x:c>
      <x:c r="O71" s="9" t="n">
        <x:v>10</x:v>
      </x:c>
      <x:c r="P71" s="9" t="n">
        <x:f>SUMIFS('Start Controls'!$P$7:$P$1446,'Start Controls'!$B$7:$B$1446,A71)</x:f>
        <x:v>0</x:v>
      </x:c>
      <x:c r="Q71" s="9" t="n">
        <x:v>0</x:v>
      </x:c>
      <x:c r="R71" s="9" t="n">
        <x:v>8</x:v>
      </x:c>
      <x:c r="S71" s="9" t="n">
        <x:f>SUMIFS('Raw Custody'!$M$7:$M$1158,'Raw Custody'!$B$7:$B$1158,A71)</x:f>
        <x:v>0</x:v>
      </x:c>
      <x:c r="T71" s="9" t="n">
        <x:v>12</x:v>
      </x:c>
      <x:c r="U71" s="9" t="n">
        <x:f>SUMIFS('Observation Gates'!$L$7:$L$1734,'Observation Gates'!$B$7:$B$1734,A71)</x:f>
        <x:v>0</x:v>
      </x:c>
      <x:c r="V71" s="9" t="str">
        <x:v>UNFILED</x:v>
      </x:c>
      <x:c r="W71" s="9" t="n">
        <x:v>0</x:v>
      </x:c>
      <x:c r="X71" s="9" t="n">
        <x:v>0</x:v>
      </x:c>
      <x:c r="Y71" s="9" t="n">
        <x:v>16</x:v>
      </x:c>
      <x:c r="Z71" s="9" t="n">
        <x:f>SUMIFS('Disclosure Packets'!$M$7:$M$2310,'Disclosure Packets'!$C$7:$C$2310,A71)</x:f>
        <x:v>0</x:v>
      </x:c>
      <x:c r="AA71" s="9" t="n">
        <x:v>0</x:v>
      </x:c>
      <x:c r="AB71" s="9" t="str">
        <x:f>IF(N71=0,"PLANNED / BLOCKED",IF(P71&lt;O71,"EOW / START BLOCKED",IF(Q71=0,"ARMED / UNSTARTED",IF(S71&lt;R71,"STARTED / RAW UNSEALED",IF(U71&lt;T71,"SEALED / OBSERVATION OPEN",IF(X71=0,"OBSERVED / UNJUDGED",IF(Z71&lt;Y71,"JUDGED / DISCLOSURE HELD",IF(AA71=0,"COMPLETE / EMBARGOED","PUBLIC / TERMINAL"))))))))</x:f>
        <x:v>PLANNED / BLOCKED</x:v>
      </x:c>
      <x:c r="AC71" s="9" t="n">
        <x:f>COUNTIFS($A$7:$A$150,A71)</x:f>
        <x:v>1</x:v>
      </x:c>
      <x:c r="AD71" s="9" t="n">
        <x:f>COUNTIFS($H$7:$H$150,H71,$I$7:$I$150,I71)</x:f>
        <x:v>6</x:v>
      </x:c>
      <x:c r="AE71" s="9" t="n">
        <x:f>COUNTIFS($H$7:$H$150,H71,$I$7:$I$150,I71,$J$7:$J$150,J71)</x:f>
        <x:v>1</x:v>
      </x:c>
    </x:row>
    <x:row r="72">
      <x:c r="A72" s="9" t="str">
        <x:v>EV-AR-RT-B-C-TECH-4-B1-INT-G0</x:v>
      </x:c>
      <x:c r="B72" s="9" t="str">
        <x:v>EOW-AR-RT-B-C-TECH-4-B1-INT-G0</x:v>
      </x:c>
      <x:c r="C72" s="9" t="str">
        <x:v>AR-RT-B-C-TECH-4-B1-INT-G0</x:v>
      </x:c>
      <x:c r="D72" s="9" t="str">
        <x:v>RT-B-C-TECH-4</x:v>
      </x:c>
      <x:c r="E72" s="9" t="str">
        <x:v>RT-B-C</x:v>
      </x:c>
      <x:c r="F72" s="9" t="str">
        <x:v>B1</x:v>
      </x:c>
      <x:c r="G72" s="9" t="str">
        <x:v>INT</x:v>
      </x:c>
      <x:c r="H72" s="9" t="n">
        <x:v>3</x:v>
      </x:c>
      <x:c r="I72" s="9" t="n">
        <x:v>3</x:v>
      </x:c>
      <x:c r="J72" s="9" t="str">
        <x:v>RT-B-C-N2</x:v>
      </x:c>
      <x:c r="K72" s="9" t="str">
        <x:v>FX-RT-B-C-TECH-4-F2</x:v>
      </x:c>
      <x:c r="L72" s="9" t="n">
        <x:v>180</x:v>
      </x:c>
      <x:c r="M72" s="9" t="n">
        <x:v>0</x:v>
      </x:c>
      <x:c r="N72" s="9" t="n">
        <x:v>0</x:v>
      </x:c>
      <x:c r="O72" s="9" t="n">
        <x:v>10</x:v>
      </x:c>
      <x:c r="P72" s="9" t="n">
        <x:f>SUMIFS('Start Controls'!$P$7:$P$1446,'Start Controls'!$B$7:$B$1446,A72)</x:f>
        <x:v>0</x:v>
      </x:c>
      <x:c r="Q72" s="9" t="n">
        <x:v>0</x:v>
      </x:c>
      <x:c r="R72" s="9" t="n">
        <x:v>8</x:v>
      </x:c>
      <x:c r="S72" s="9" t="n">
        <x:f>SUMIFS('Raw Custody'!$M$7:$M$1158,'Raw Custody'!$B$7:$B$1158,A72)</x:f>
        <x:v>0</x:v>
      </x:c>
      <x:c r="T72" s="9" t="n">
        <x:v>12</x:v>
      </x:c>
      <x:c r="U72" s="9" t="n">
        <x:f>SUMIFS('Observation Gates'!$L$7:$L$1734,'Observation Gates'!$B$7:$B$1734,A72)</x:f>
        <x:v>0</x:v>
      </x:c>
      <x:c r="V72" s="9" t="str">
        <x:v>UNFILED</x:v>
      </x:c>
      <x:c r="W72" s="9" t="n">
        <x:v>0</x:v>
      </x:c>
      <x:c r="X72" s="9" t="n">
        <x:v>0</x:v>
      </x:c>
      <x:c r="Y72" s="9" t="n">
        <x:v>16</x:v>
      </x:c>
      <x:c r="Z72" s="9" t="n">
        <x:f>SUMIFS('Disclosure Packets'!$M$7:$M$2310,'Disclosure Packets'!$C$7:$C$2310,A72)</x:f>
        <x:v>0</x:v>
      </x:c>
      <x:c r="AA72" s="9" t="n">
        <x:v>0</x:v>
      </x:c>
      <x:c r="AB72" s="9" t="str">
        <x:f>IF(N72=0,"PLANNED / BLOCKED",IF(P72&lt;O72,"EOW / START BLOCKED",IF(Q72=0,"ARMED / UNSTARTED",IF(S72&lt;R72,"STARTED / RAW UNSEALED",IF(U72&lt;T72,"SEALED / OBSERVATION OPEN",IF(X72=0,"OBSERVED / UNJUDGED",IF(Z72&lt;Y72,"JUDGED / DISCLOSURE HELD",IF(AA72=0,"COMPLETE / EMBARGOED","PUBLIC / TERMINAL"))))))))</x:f>
        <x:v>PLANNED / BLOCKED</x:v>
      </x:c>
      <x:c r="AC72" s="9" t="n">
        <x:f>COUNTIFS($A$7:$A$150,A72)</x:f>
        <x:v>1</x:v>
      </x:c>
      <x:c r="AD72" s="9" t="n">
        <x:f>COUNTIFS($H$7:$H$150,H72,$I$7:$I$150,I72)</x:f>
        <x:v>6</x:v>
      </x:c>
      <x:c r="AE72" s="9" t="n">
        <x:f>COUNTIFS($H$7:$H$150,H72,$I$7:$I$150,I72,$J$7:$J$150,J72)</x:f>
        <x:v>1</x:v>
      </x:c>
    </x:row>
    <x:row r="73">
      <x:c r="A73" s="9" t="str">
        <x:v>EV-AR-CT-C-B-TECH-3-B2-RCN-G0</x:v>
      </x:c>
      <x:c r="B73" s="9" t="str">
        <x:v>EOW-AR-CT-C-B-TECH-3-B2-RCN-G0</x:v>
      </x:c>
      <x:c r="C73" s="9" t="str">
        <x:v>AR-CT-C-B-TECH-3-B2-RCN-G0</x:v>
      </x:c>
      <x:c r="D73" s="9" t="str">
        <x:v>CT-C-B-TECH-3</x:v>
      </x:c>
      <x:c r="E73" s="9" t="str">
        <x:v>CT-C-B</x:v>
      </x:c>
      <x:c r="F73" s="9" t="str">
        <x:v>B2</x:v>
      </x:c>
      <x:c r="G73" s="9" t="str">
        <x:v>RCN</x:v>
      </x:c>
      <x:c r="H73" s="9" t="n">
        <x:v>3</x:v>
      </x:c>
      <x:c r="I73" s="9" t="n">
        <x:v>4</x:v>
      </x:c>
      <x:c r="J73" s="9" t="str">
        <x:v>CT-C-B-N1</x:v>
      </x:c>
      <x:c r="K73" s="9" t="str">
        <x:v>FX-CT-C-B-TECH-3-F2</x:v>
      </x:c>
      <x:c r="L73" s="9" t="n">
        <x:v>186</x:v>
      </x:c>
      <x:c r="M73" s="9" t="n">
        <x:v>1</x:v>
      </x:c>
      <x:c r="N73" s="9" t="n">
        <x:v>0</x:v>
      </x:c>
      <x:c r="O73" s="9" t="n">
        <x:v>10</x:v>
      </x:c>
      <x:c r="P73" s="9" t="n">
        <x:f>SUMIFS('Start Controls'!$P$7:$P$1446,'Start Controls'!$B$7:$B$1446,A73)</x:f>
        <x:v>0</x:v>
      </x:c>
      <x:c r="Q73" s="9" t="n">
        <x:v>0</x:v>
      </x:c>
      <x:c r="R73" s="9" t="n">
        <x:v>8</x:v>
      </x:c>
      <x:c r="S73" s="9" t="n">
        <x:f>SUMIFS('Raw Custody'!$M$7:$M$1158,'Raw Custody'!$B$7:$B$1158,A73)</x:f>
        <x:v>0</x:v>
      </x:c>
      <x:c r="T73" s="9" t="n">
        <x:v>12</x:v>
      </x:c>
      <x:c r="U73" s="9" t="n">
        <x:f>SUMIFS('Observation Gates'!$L$7:$L$1734,'Observation Gates'!$B$7:$B$1734,A73)</x:f>
        <x:v>0</x:v>
      </x:c>
      <x:c r="V73" s="9" t="str">
        <x:v>UNFILED</x:v>
      </x:c>
      <x:c r="W73" s="9" t="n">
        <x:v>0</x:v>
      </x:c>
      <x:c r="X73" s="9" t="n">
        <x:v>0</x:v>
      </x:c>
      <x:c r="Y73" s="9" t="n">
        <x:v>16</x:v>
      </x:c>
      <x:c r="Z73" s="9" t="n">
        <x:f>SUMIFS('Disclosure Packets'!$M$7:$M$2310,'Disclosure Packets'!$C$7:$C$2310,A73)</x:f>
        <x:v>0</x:v>
      </x:c>
      <x:c r="AA73" s="9" t="n">
        <x:v>0</x:v>
      </x:c>
      <x:c r="AB73" s="9" t="str">
        <x:f>IF(N73=0,"PLANNED / BLOCKED",IF(P73&lt;O73,"EOW / START BLOCKED",IF(Q73=0,"ARMED / UNSTARTED",IF(S73&lt;R73,"STARTED / RAW UNSEALED",IF(U73&lt;T73,"SEALED / OBSERVATION OPEN",IF(X73=0,"OBSERVED / UNJUDGED",IF(Z73&lt;Y73,"JUDGED / DISCLOSURE HELD",IF(AA73=0,"COMPLETE / EMBARGOED","PUBLIC / TERMINAL"))))))))</x:f>
        <x:v>PLANNED / BLOCKED</x:v>
      </x:c>
      <x:c r="AC73" s="9" t="n">
        <x:f>COUNTIFS($A$7:$A$150,A73)</x:f>
        <x:v>1</x:v>
      </x:c>
      <x:c r="AD73" s="9" t="n">
        <x:f>COUNTIFS($H$7:$H$150,H73,$I$7:$I$150,I73)</x:f>
        <x:v>6</x:v>
      </x:c>
      <x:c r="AE73" s="9" t="n">
        <x:f>COUNTIFS($H$7:$H$150,H73,$I$7:$I$150,I73,$J$7:$J$150,J73)</x:f>
        <x:v>1</x:v>
      </x:c>
    </x:row>
    <x:row r="74">
      <x:c r="A74" s="9" t="str">
        <x:v>EV-AR-CT-C-B-TECH-1-B2-INT-G0</x:v>
      </x:c>
      <x:c r="B74" s="9" t="str">
        <x:v>EOW-AR-CT-C-B-TECH-1-B2-INT-G0</x:v>
      </x:c>
      <x:c r="C74" s="9" t="str">
        <x:v>AR-CT-C-B-TECH-1-B2-INT-G0</x:v>
      </x:c>
      <x:c r="D74" s="9" t="str">
        <x:v>CT-C-B-TECH-1</x:v>
      </x:c>
      <x:c r="E74" s="9" t="str">
        <x:v>CT-C-B</x:v>
      </x:c>
      <x:c r="F74" s="9" t="str">
        <x:v>B2</x:v>
      </x:c>
      <x:c r="G74" s="9" t="str">
        <x:v>INT</x:v>
      </x:c>
      <x:c r="H74" s="9" t="n">
        <x:v>3</x:v>
      </x:c>
      <x:c r="I74" s="9" t="n">
        <x:v>4</x:v>
      </x:c>
      <x:c r="J74" s="9" t="str">
        <x:v>CT-C-B-N2</x:v>
      </x:c>
      <x:c r="K74" s="9" t="str">
        <x:v>FX-CT-C-B-TECH-1-F2</x:v>
      </x:c>
      <x:c r="L74" s="9" t="n">
        <x:v>186</x:v>
      </x:c>
      <x:c r="M74" s="9" t="n">
        <x:v>0</x:v>
      </x:c>
      <x:c r="N74" s="9" t="n">
        <x:v>0</x:v>
      </x:c>
      <x:c r="O74" s="9" t="n">
        <x:v>10</x:v>
      </x:c>
      <x:c r="P74" s="9" t="n">
        <x:f>SUMIFS('Start Controls'!$P$7:$P$1446,'Start Controls'!$B$7:$B$1446,A74)</x:f>
        <x:v>0</x:v>
      </x:c>
      <x:c r="Q74" s="9" t="n">
        <x:v>0</x:v>
      </x:c>
      <x:c r="R74" s="9" t="n">
        <x:v>8</x:v>
      </x:c>
      <x:c r="S74" s="9" t="n">
        <x:f>SUMIFS('Raw Custody'!$M$7:$M$1158,'Raw Custody'!$B$7:$B$1158,A74)</x:f>
        <x:v>0</x:v>
      </x:c>
      <x:c r="T74" s="9" t="n">
        <x:v>12</x:v>
      </x:c>
      <x:c r="U74" s="9" t="n">
        <x:f>SUMIFS('Observation Gates'!$L$7:$L$1734,'Observation Gates'!$B$7:$B$1734,A74)</x:f>
        <x:v>0</x:v>
      </x:c>
      <x:c r="V74" s="9" t="str">
        <x:v>UNFILED</x:v>
      </x:c>
      <x:c r="W74" s="9" t="n">
        <x:v>0</x:v>
      </x:c>
      <x:c r="X74" s="9" t="n">
        <x:v>0</x:v>
      </x:c>
      <x:c r="Y74" s="9" t="n">
        <x:v>16</x:v>
      </x:c>
      <x:c r="Z74" s="9" t="n">
        <x:f>SUMIFS('Disclosure Packets'!$M$7:$M$2310,'Disclosure Packets'!$C$7:$C$2310,A74)</x:f>
        <x:v>0</x:v>
      </x:c>
      <x:c r="AA74" s="9" t="n">
        <x:v>0</x:v>
      </x:c>
      <x:c r="AB74" s="9" t="str">
        <x:f>IF(N74=0,"PLANNED / BLOCKED",IF(P74&lt;O74,"EOW / START BLOCKED",IF(Q74=0,"ARMED / UNSTARTED",IF(S74&lt;R74,"STARTED / RAW UNSEALED",IF(U74&lt;T74,"SEALED / OBSERVATION OPEN",IF(X74=0,"OBSERVED / UNJUDGED",IF(Z74&lt;Y74,"JUDGED / DISCLOSURE HELD",IF(AA74=0,"COMPLETE / EMBARGOED","PUBLIC / TERMINAL"))))))))</x:f>
        <x:v>PLANNED / BLOCKED</x:v>
      </x:c>
      <x:c r="AC74" s="9" t="n">
        <x:f>COUNTIFS($A$7:$A$150,A74)</x:f>
        <x:v>1</x:v>
      </x:c>
      <x:c r="AD74" s="9" t="n">
        <x:f>COUNTIFS($H$7:$H$150,H74,$I$7:$I$150,I74)</x:f>
        <x:v>6</x:v>
      </x:c>
      <x:c r="AE74" s="9" t="n">
        <x:f>COUNTIFS($H$7:$H$150,H74,$I$7:$I$150,I74,$J$7:$J$150,J74)</x:f>
        <x:v>1</x:v>
      </x:c>
    </x:row>
    <x:row r="75">
      <x:c r="A75" s="9" t="str">
        <x:v>EV-AR-HC-A-C-TECH-1-B1-INT-G0</x:v>
      </x:c>
      <x:c r="B75" s="9" t="str">
        <x:v>EOW-AR-HC-A-C-TECH-1-B1-INT-G0</x:v>
      </x:c>
      <x:c r="C75" s="9" t="str">
        <x:v>AR-HC-A-C-TECH-1-B1-INT-G0</x:v>
      </x:c>
      <x:c r="D75" s="9" t="str">
        <x:v>HC-A-C-TECH-1</x:v>
      </x:c>
      <x:c r="E75" s="9" t="str">
        <x:v>HC-A-C</x:v>
      </x:c>
      <x:c r="F75" s="9" t="str">
        <x:v>B1</x:v>
      </x:c>
      <x:c r="G75" s="9" t="str">
        <x:v>INT</x:v>
      </x:c>
      <x:c r="H75" s="9" t="n">
        <x:v>3</x:v>
      </x:c>
      <x:c r="I75" s="9" t="n">
        <x:v>4</x:v>
      </x:c>
      <x:c r="J75" s="9" t="str">
        <x:v>HC-A-C-N1</x:v>
      </x:c>
      <x:c r="K75" s="9" t="str">
        <x:v>FX-HC-A-C-TECH-1-F1</x:v>
      </x:c>
      <x:c r="L75" s="9" t="n">
        <x:v>186</x:v>
      </x:c>
      <x:c r="M75" s="9" t="n">
        <x:v>0</x:v>
      </x:c>
      <x:c r="N75" s="9" t="n">
        <x:v>0</x:v>
      </x:c>
      <x:c r="O75" s="9" t="n">
        <x:v>10</x:v>
      </x:c>
      <x:c r="P75" s="9" t="n">
        <x:f>SUMIFS('Start Controls'!$P$7:$P$1446,'Start Controls'!$B$7:$B$1446,A75)</x:f>
        <x:v>0</x:v>
      </x:c>
      <x:c r="Q75" s="9" t="n">
        <x:v>0</x:v>
      </x:c>
      <x:c r="R75" s="9" t="n">
        <x:v>8</x:v>
      </x:c>
      <x:c r="S75" s="9" t="n">
        <x:f>SUMIFS('Raw Custody'!$M$7:$M$1158,'Raw Custody'!$B$7:$B$1158,A75)</x:f>
        <x:v>0</x:v>
      </x:c>
      <x:c r="T75" s="9" t="n">
        <x:v>12</x:v>
      </x:c>
      <x:c r="U75" s="9" t="n">
        <x:f>SUMIFS('Observation Gates'!$L$7:$L$1734,'Observation Gates'!$B$7:$B$1734,A75)</x:f>
        <x:v>0</x:v>
      </x:c>
      <x:c r="V75" s="9" t="str">
        <x:v>UNFILED</x:v>
      </x:c>
      <x:c r="W75" s="9" t="n">
        <x:v>0</x:v>
      </x:c>
      <x:c r="X75" s="9" t="n">
        <x:v>0</x:v>
      </x:c>
      <x:c r="Y75" s="9" t="n">
        <x:v>16</x:v>
      </x:c>
      <x:c r="Z75" s="9" t="n">
        <x:f>SUMIFS('Disclosure Packets'!$M$7:$M$2310,'Disclosure Packets'!$C$7:$C$2310,A75)</x:f>
        <x:v>0</x:v>
      </x:c>
      <x:c r="AA75" s="9" t="n">
        <x:v>0</x:v>
      </x:c>
      <x:c r="AB75" s="9" t="str">
        <x:f>IF(N75=0,"PLANNED / BLOCKED",IF(P75&lt;O75,"EOW / START BLOCKED",IF(Q75=0,"ARMED / UNSTARTED",IF(S75&lt;R75,"STARTED / RAW UNSEALED",IF(U75&lt;T75,"SEALED / OBSERVATION OPEN",IF(X75=0,"OBSERVED / UNJUDGED",IF(Z75&lt;Y75,"JUDGED / DISCLOSURE HELD",IF(AA75=0,"COMPLETE / EMBARGOED","PUBLIC / TERMINAL"))))))))</x:f>
        <x:v>PLANNED / BLOCKED</x:v>
      </x:c>
      <x:c r="AC75" s="9" t="n">
        <x:f>COUNTIFS($A$7:$A$150,A75)</x:f>
        <x:v>1</x:v>
      </x:c>
      <x:c r="AD75" s="9" t="n">
        <x:f>COUNTIFS($H$7:$H$150,H75,$I$7:$I$150,I75)</x:f>
        <x:v>6</x:v>
      </x:c>
      <x:c r="AE75" s="9" t="n">
        <x:f>COUNTIFS($H$7:$H$150,H75,$I$7:$I$150,I75,$J$7:$J$150,J75)</x:f>
        <x:v>1</x:v>
      </x:c>
    </x:row>
    <x:row r="76">
      <x:c r="A76" s="9" t="str">
        <x:v>EV-AR-HC-A-C-TECH-2-B2-RCN-G0</x:v>
      </x:c>
      <x:c r="B76" s="9" t="str">
        <x:v>EOW-AR-HC-A-C-TECH-2-B2-RCN-G0</x:v>
      </x:c>
      <x:c r="C76" s="9" t="str">
        <x:v>AR-HC-A-C-TECH-2-B2-RCN-G0</x:v>
      </x:c>
      <x:c r="D76" s="9" t="str">
        <x:v>HC-A-C-TECH-2</x:v>
      </x:c>
      <x:c r="E76" s="9" t="str">
        <x:v>HC-A-C</x:v>
      </x:c>
      <x:c r="F76" s="9" t="str">
        <x:v>B2</x:v>
      </x:c>
      <x:c r="G76" s="9" t="str">
        <x:v>RCN</x:v>
      </x:c>
      <x:c r="H76" s="9" t="n">
        <x:v>3</x:v>
      </x:c>
      <x:c r="I76" s="9" t="n">
        <x:v>4</x:v>
      </x:c>
      <x:c r="J76" s="9" t="str">
        <x:v>HC-A-C-N2</x:v>
      </x:c>
      <x:c r="K76" s="9" t="str">
        <x:v>FX-HC-A-C-TECH-2-F1</x:v>
      </x:c>
      <x:c r="L76" s="9" t="n">
        <x:v>186</x:v>
      </x:c>
      <x:c r="M76" s="9" t="n">
        <x:v>1</x:v>
      </x:c>
      <x:c r="N76" s="9" t="n">
        <x:v>0</x:v>
      </x:c>
      <x:c r="O76" s="9" t="n">
        <x:v>10</x:v>
      </x:c>
      <x:c r="P76" s="9" t="n">
        <x:f>SUMIFS('Start Controls'!$P$7:$P$1446,'Start Controls'!$B$7:$B$1446,A76)</x:f>
        <x:v>0</x:v>
      </x:c>
      <x:c r="Q76" s="9" t="n">
        <x:v>0</x:v>
      </x:c>
      <x:c r="R76" s="9" t="n">
        <x:v>8</x:v>
      </x:c>
      <x:c r="S76" s="9" t="n">
        <x:f>SUMIFS('Raw Custody'!$M$7:$M$1158,'Raw Custody'!$B$7:$B$1158,A76)</x:f>
        <x:v>0</x:v>
      </x:c>
      <x:c r="T76" s="9" t="n">
        <x:v>12</x:v>
      </x:c>
      <x:c r="U76" s="9" t="n">
        <x:f>SUMIFS('Observation Gates'!$L$7:$L$1734,'Observation Gates'!$B$7:$B$1734,A76)</x:f>
        <x:v>0</x:v>
      </x:c>
      <x:c r="V76" s="9" t="str">
        <x:v>UNFILED</x:v>
      </x:c>
      <x:c r="W76" s="9" t="n">
        <x:v>0</x:v>
      </x:c>
      <x:c r="X76" s="9" t="n">
        <x:v>0</x:v>
      </x:c>
      <x:c r="Y76" s="9" t="n">
        <x:v>16</x:v>
      </x:c>
      <x:c r="Z76" s="9" t="n">
        <x:f>SUMIFS('Disclosure Packets'!$M$7:$M$2310,'Disclosure Packets'!$C$7:$C$2310,A76)</x:f>
        <x:v>0</x:v>
      </x:c>
      <x:c r="AA76" s="9" t="n">
        <x:v>0</x:v>
      </x:c>
      <x:c r="AB76" s="9" t="str">
        <x:f>IF(N76=0,"PLANNED / BLOCKED",IF(P76&lt;O76,"EOW / START BLOCKED",IF(Q76=0,"ARMED / UNSTARTED",IF(S76&lt;R76,"STARTED / RAW UNSEALED",IF(U76&lt;T76,"SEALED / OBSERVATION OPEN",IF(X76=0,"OBSERVED / UNJUDGED",IF(Z76&lt;Y76,"JUDGED / DISCLOSURE HELD",IF(AA76=0,"COMPLETE / EMBARGOED","PUBLIC / TERMINAL"))))))))</x:f>
        <x:v>PLANNED / BLOCKED</x:v>
      </x:c>
      <x:c r="AC76" s="9" t="n">
        <x:f>COUNTIFS($A$7:$A$150,A76)</x:f>
        <x:v>1</x:v>
      </x:c>
      <x:c r="AD76" s="9" t="n">
        <x:f>COUNTIFS($H$7:$H$150,H76,$I$7:$I$150,I76)</x:f>
        <x:v>6</x:v>
      </x:c>
      <x:c r="AE76" s="9" t="n">
        <x:f>COUNTIFS($H$7:$H$150,H76,$I$7:$I$150,I76,$J$7:$J$150,J76)</x:f>
        <x:v>1</x:v>
      </x:c>
    </x:row>
    <x:row r="77">
      <x:c r="A77" s="9" t="str">
        <x:v>EV-AR-LF-B-A-TECH-1-B2-RCN-G0</x:v>
      </x:c>
      <x:c r="B77" s="9" t="str">
        <x:v>EOW-AR-LF-B-A-TECH-1-B2-RCN-G0</x:v>
      </x:c>
      <x:c r="C77" s="9" t="str">
        <x:v>AR-LF-B-A-TECH-1-B2-RCN-G0</x:v>
      </x:c>
      <x:c r="D77" s="9" t="str">
        <x:v>LF-B-A-TECH-1</x:v>
      </x:c>
      <x:c r="E77" s="9" t="str">
        <x:v>LF-B-A</x:v>
      </x:c>
      <x:c r="F77" s="9" t="str">
        <x:v>B2</x:v>
      </x:c>
      <x:c r="G77" s="9" t="str">
        <x:v>RCN</x:v>
      </x:c>
      <x:c r="H77" s="9" t="n">
        <x:v>3</x:v>
      </x:c>
      <x:c r="I77" s="9" t="n">
        <x:v>4</x:v>
      </x:c>
      <x:c r="J77" s="9" t="str">
        <x:v>LF-B-A-N2</x:v>
      </x:c>
      <x:c r="K77" s="9" t="str">
        <x:v>FX-LF-B-A-TECH-1-F2</x:v>
      </x:c>
      <x:c r="L77" s="9" t="n">
        <x:v>186</x:v>
      </x:c>
      <x:c r="M77" s="9" t="n">
        <x:v>1</x:v>
      </x:c>
      <x:c r="N77" s="9" t="n">
        <x:v>0</x:v>
      </x:c>
      <x:c r="O77" s="9" t="n">
        <x:v>10</x:v>
      </x:c>
      <x:c r="P77" s="9" t="n">
        <x:f>SUMIFS('Start Controls'!$P$7:$P$1446,'Start Controls'!$B$7:$B$1446,A77)</x:f>
        <x:v>0</x:v>
      </x:c>
      <x:c r="Q77" s="9" t="n">
        <x:v>0</x:v>
      </x:c>
      <x:c r="R77" s="9" t="n">
        <x:v>8</x:v>
      </x:c>
      <x:c r="S77" s="9" t="n">
        <x:f>SUMIFS('Raw Custody'!$M$7:$M$1158,'Raw Custody'!$B$7:$B$1158,A77)</x:f>
        <x:v>0</x:v>
      </x:c>
      <x:c r="T77" s="9" t="n">
        <x:v>12</x:v>
      </x:c>
      <x:c r="U77" s="9" t="n">
        <x:f>SUMIFS('Observation Gates'!$L$7:$L$1734,'Observation Gates'!$B$7:$B$1734,A77)</x:f>
        <x:v>0</x:v>
      </x:c>
      <x:c r="V77" s="9" t="str">
        <x:v>UNFILED</x:v>
      </x:c>
      <x:c r="W77" s="9" t="n">
        <x:v>0</x:v>
      </x:c>
      <x:c r="X77" s="9" t="n">
        <x:v>0</x:v>
      </x:c>
      <x:c r="Y77" s="9" t="n">
        <x:v>16</x:v>
      </x:c>
      <x:c r="Z77" s="9" t="n">
        <x:f>SUMIFS('Disclosure Packets'!$M$7:$M$2310,'Disclosure Packets'!$C$7:$C$2310,A77)</x:f>
        <x:v>0</x:v>
      </x:c>
      <x:c r="AA77" s="9" t="n">
        <x:v>0</x:v>
      </x:c>
      <x:c r="AB77" s="9" t="str">
        <x:f>IF(N77=0,"PLANNED / BLOCKED",IF(P77&lt;O77,"EOW / START BLOCKED",IF(Q77=0,"ARMED / UNSTARTED",IF(S77&lt;R77,"STARTED / RAW UNSEALED",IF(U77&lt;T77,"SEALED / OBSERVATION OPEN",IF(X77=0,"OBSERVED / UNJUDGED",IF(Z77&lt;Y77,"JUDGED / DISCLOSURE HELD",IF(AA77=0,"COMPLETE / EMBARGOED","PUBLIC / TERMINAL"))))))))</x:f>
        <x:v>PLANNED / BLOCKED</x:v>
      </x:c>
      <x:c r="AC77" s="9" t="n">
        <x:f>COUNTIFS($A$7:$A$150,A77)</x:f>
        <x:v>1</x:v>
      </x:c>
      <x:c r="AD77" s="9" t="n">
        <x:f>COUNTIFS($H$7:$H$150,H77,$I$7:$I$150,I77)</x:f>
        <x:v>6</x:v>
      </x:c>
      <x:c r="AE77" s="9" t="n">
        <x:f>COUNTIFS($H$7:$H$150,H77,$I$7:$I$150,I77,$J$7:$J$150,J77)</x:f>
        <x:v>1</x:v>
      </x:c>
    </x:row>
    <x:row r="78">
      <x:c r="A78" s="9" t="str">
        <x:v>EV-AR-RT-B-C-TECH-1-B2-BRK-G0</x:v>
      </x:c>
      <x:c r="B78" s="9" t="str">
        <x:v>EOW-AR-RT-B-C-TECH-1-B2-BRK-G0</x:v>
      </x:c>
      <x:c r="C78" s="9" t="str">
        <x:v>AR-RT-B-C-TECH-1-B2-BRK-G0</x:v>
      </x:c>
      <x:c r="D78" s="9" t="str">
        <x:v>RT-B-C-TECH-1</x:v>
      </x:c>
      <x:c r="E78" s="9" t="str">
        <x:v>RT-B-C</x:v>
      </x:c>
      <x:c r="F78" s="9" t="str">
        <x:v>B2</x:v>
      </x:c>
      <x:c r="G78" s="9" t="str">
        <x:v>BRK</x:v>
      </x:c>
      <x:c r="H78" s="9" t="n">
        <x:v>3</x:v>
      </x:c>
      <x:c r="I78" s="9" t="n">
        <x:v>4</x:v>
      </x:c>
      <x:c r="J78" s="9" t="str">
        <x:v>RT-B-C-N1</x:v>
      </x:c>
      <x:c r="K78" s="9" t="str">
        <x:v>FX-RT-B-C-TECH-1-F1</x:v>
      </x:c>
      <x:c r="L78" s="9" t="n">
        <x:v>186</x:v>
      </x:c>
      <x:c r="M78" s="9" t="n">
        <x:v>1</x:v>
      </x:c>
      <x:c r="N78" s="9" t="n">
        <x:v>0</x:v>
      </x:c>
      <x:c r="O78" s="9" t="n">
        <x:v>10</x:v>
      </x:c>
      <x:c r="P78" s="9" t="n">
        <x:f>SUMIFS('Start Controls'!$P$7:$P$1446,'Start Controls'!$B$7:$B$1446,A78)</x:f>
        <x:v>0</x:v>
      </x:c>
      <x:c r="Q78" s="9" t="n">
        <x:v>0</x:v>
      </x:c>
      <x:c r="R78" s="9" t="n">
        <x:v>8</x:v>
      </x:c>
      <x:c r="S78" s="9" t="n">
        <x:f>SUMIFS('Raw Custody'!$M$7:$M$1158,'Raw Custody'!$B$7:$B$1158,A78)</x:f>
        <x:v>0</x:v>
      </x:c>
      <x:c r="T78" s="9" t="n">
        <x:v>12</x:v>
      </x:c>
      <x:c r="U78" s="9" t="n">
        <x:f>SUMIFS('Observation Gates'!$L$7:$L$1734,'Observation Gates'!$B$7:$B$1734,A78)</x:f>
        <x:v>0</x:v>
      </x:c>
      <x:c r="V78" s="9" t="str">
        <x:v>UNFILED</x:v>
      </x:c>
      <x:c r="W78" s="9" t="n">
        <x:v>0</x:v>
      </x:c>
      <x:c r="X78" s="9" t="n">
        <x:v>0</x:v>
      </x:c>
      <x:c r="Y78" s="9" t="n">
        <x:v>16</x:v>
      </x:c>
      <x:c r="Z78" s="9" t="n">
        <x:f>SUMIFS('Disclosure Packets'!$M$7:$M$2310,'Disclosure Packets'!$C$7:$C$2310,A78)</x:f>
        <x:v>0</x:v>
      </x:c>
      <x:c r="AA78" s="9" t="n">
        <x:v>0</x:v>
      </x:c>
      <x:c r="AB78" s="9" t="str">
        <x:f>IF(N78=0,"PLANNED / BLOCKED",IF(P78&lt;O78,"EOW / START BLOCKED",IF(Q78=0,"ARMED / UNSTARTED",IF(S78&lt;R78,"STARTED / RAW UNSEALED",IF(U78&lt;T78,"SEALED / OBSERVATION OPEN",IF(X78=0,"OBSERVED / UNJUDGED",IF(Z78&lt;Y78,"JUDGED / DISCLOSURE HELD",IF(AA78=0,"COMPLETE / EMBARGOED","PUBLIC / TERMINAL"))))))))</x:f>
        <x:v>PLANNED / BLOCKED</x:v>
      </x:c>
      <x:c r="AC78" s="9" t="n">
        <x:f>COUNTIFS($A$7:$A$150,A78)</x:f>
        <x:v>1</x:v>
      </x:c>
      <x:c r="AD78" s="9" t="n">
        <x:f>COUNTIFS($H$7:$H$150,H78,$I$7:$I$150,I78)</x:f>
        <x:v>6</x:v>
      </x:c>
      <x:c r="AE78" s="9" t="n">
        <x:f>COUNTIFS($H$7:$H$150,H78,$I$7:$I$150,I78,$J$7:$J$150,J78)</x:f>
        <x:v>1</x:v>
      </x:c>
    </x:row>
    <x:row r="79">
      <x:c r="A79" s="9" t="str">
        <x:v>EV-AR-CT-C-B-TECH-2-B2-INT-G0</x:v>
      </x:c>
      <x:c r="B79" s="9" t="str">
        <x:v>EOW-AR-CT-C-B-TECH-2-B2-INT-G0</x:v>
      </x:c>
      <x:c r="C79" s="9" t="str">
        <x:v>AR-CT-C-B-TECH-2-B2-INT-G0</x:v>
      </x:c>
      <x:c r="D79" s="9" t="str">
        <x:v>CT-C-B-TECH-2</x:v>
      </x:c>
      <x:c r="E79" s="9" t="str">
        <x:v>CT-C-B</x:v>
      </x:c>
      <x:c r="F79" s="9" t="str">
        <x:v>B2</x:v>
      </x:c>
      <x:c r="G79" s="9" t="str">
        <x:v>INT</x:v>
      </x:c>
      <x:c r="H79" s="9" t="n">
        <x:v>4</x:v>
      </x:c>
      <x:c r="I79" s="9" t="n">
        <x:v>1</x:v>
      </x:c>
      <x:c r="J79" s="9" t="str">
        <x:v>CT-C-B-N2</x:v>
      </x:c>
      <x:c r="K79" s="9" t="str">
        <x:v>FX-CT-C-B-TECH-2-F1</x:v>
      </x:c>
      <x:c r="L79" s="9" t="n">
        <x:v>200</x:v>
      </x:c>
      <x:c r="M79" s="9" t="n">
        <x:v>0</x:v>
      </x:c>
      <x:c r="N79" s="9" t="n">
        <x:v>0</x:v>
      </x:c>
      <x:c r="O79" s="9" t="n">
        <x:v>10</x:v>
      </x:c>
      <x:c r="P79" s="9" t="n">
        <x:f>SUMIFS('Start Controls'!$P$7:$P$1446,'Start Controls'!$B$7:$B$1446,A79)</x:f>
        <x:v>0</x:v>
      </x:c>
      <x:c r="Q79" s="9" t="n">
        <x:v>0</x:v>
      </x:c>
      <x:c r="R79" s="9" t="n">
        <x:v>8</x:v>
      </x:c>
      <x:c r="S79" s="9" t="n">
        <x:f>SUMIFS('Raw Custody'!$M$7:$M$1158,'Raw Custody'!$B$7:$B$1158,A79)</x:f>
        <x:v>0</x:v>
      </x:c>
      <x:c r="T79" s="9" t="n">
        <x:v>12</x:v>
      </x:c>
      <x:c r="U79" s="9" t="n">
        <x:f>SUMIFS('Observation Gates'!$L$7:$L$1734,'Observation Gates'!$B$7:$B$1734,A79)</x:f>
        <x:v>0</x:v>
      </x:c>
      <x:c r="V79" s="9" t="str">
        <x:v>UNFILED</x:v>
      </x:c>
      <x:c r="W79" s="9" t="n">
        <x:v>0</x:v>
      </x:c>
      <x:c r="X79" s="9" t="n">
        <x:v>0</x:v>
      </x:c>
      <x:c r="Y79" s="9" t="n">
        <x:v>16</x:v>
      </x:c>
      <x:c r="Z79" s="9" t="n">
        <x:f>SUMIFS('Disclosure Packets'!$M$7:$M$2310,'Disclosure Packets'!$C$7:$C$2310,A79)</x:f>
        <x:v>0</x:v>
      </x:c>
      <x:c r="AA79" s="9" t="n">
        <x:v>0</x:v>
      </x:c>
      <x:c r="AB79" s="9" t="str">
        <x:f>IF(N79=0,"PLANNED / BLOCKED",IF(P79&lt;O79,"EOW / START BLOCKED",IF(Q79=0,"ARMED / UNSTARTED",IF(S79&lt;R79,"STARTED / RAW UNSEALED",IF(U79&lt;T79,"SEALED / OBSERVATION OPEN",IF(X79=0,"OBSERVED / UNJUDGED",IF(Z79&lt;Y79,"JUDGED / DISCLOSURE HELD",IF(AA79=0,"COMPLETE / EMBARGOED","PUBLIC / TERMINAL"))))))))</x:f>
        <x:v>PLANNED / BLOCKED</x:v>
      </x:c>
      <x:c r="AC79" s="9" t="n">
        <x:f>COUNTIFS($A$7:$A$150,A79)</x:f>
        <x:v>1</x:v>
      </x:c>
      <x:c r="AD79" s="9" t="n">
        <x:f>COUNTIFS($H$7:$H$150,H79,$I$7:$I$150,I79)</x:f>
        <x:v>6</x:v>
      </x:c>
      <x:c r="AE79" s="9" t="n">
        <x:f>COUNTIFS($H$7:$H$150,H79,$I$7:$I$150,I79,$J$7:$J$150,J79)</x:f>
        <x:v>1</x:v>
      </x:c>
    </x:row>
    <x:row r="80">
      <x:c r="A80" s="9" t="str">
        <x:v>EV-AR-CT-C-B-TECH-3-B1-INT-G0</x:v>
      </x:c>
      <x:c r="B80" s="9" t="str">
        <x:v>EOW-AR-CT-C-B-TECH-3-B1-INT-G0</x:v>
      </x:c>
      <x:c r="C80" s="9" t="str">
        <x:v>AR-CT-C-B-TECH-3-B1-INT-G0</x:v>
      </x:c>
      <x:c r="D80" s="9" t="str">
        <x:v>CT-C-B-TECH-3</x:v>
      </x:c>
      <x:c r="E80" s="9" t="str">
        <x:v>CT-C-B</x:v>
      </x:c>
      <x:c r="F80" s="9" t="str">
        <x:v>B1</x:v>
      </x:c>
      <x:c r="G80" s="9" t="str">
        <x:v>INT</x:v>
      </x:c>
      <x:c r="H80" s="9" t="n">
        <x:v>4</x:v>
      </x:c>
      <x:c r="I80" s="9" t="n">
        <x:v>1</x:v>
      </x:c>
      <x:c r="J80" s="9" t="str">
        <x:v>CT-C-B-N3</x:v>
      </x:c>
      <x:c r="K80" s="9" t="str">
        <x:v>FX-CT-C-B-TECH-3-F1</x:v>
      </x:c>
      <x:c r="L80" s="9" t="n">
        <x:v>200</x:v>
      </x:c>
      <x:c r="M80" s="9" t="n">
        <x:v>0</x:v>
      </x:c>
      <x:c r="N80" s="9" t="n">
        <x:v>0</x:v>
      </x:c>
      <x:c r="O80" s="9" t="n">
        <x:v>10</x:v>
      </x:c>
      <x:c r="P80" s="9" t="n">
        <x:f>SUMIFS('Start Controls'!$P$7:$P$1446,'Start Controls'!$B$7:$B$1446,A80)</x:f>
        <x:v>0</x:v>
      </x:c>
      <x:c r="Q80" s="9" t="n">
        <x:v>0</x:v>
      </x:c>
      <x:c r="R80" s="9" t="n">
        <x:v>8</x:v>
      </x:c>
      <x:c r="S80" s="9" t="n">
        <x:f>SUMIFS('Raw Custody'!$M$7:$M$1158,'Raw Custody'!$B$7:$B$1158,A80)</x:f>
        <x:v>0</x:v>
      </x:c>
      <x:c r="T80" s="9" t="n">
        <x:v>12</x:v>
      </x:c>
      <x:c r="U80" s="9" t="n">
        <x:f>SUMIFS('Observation Gates'!$L$7:$L$1734,'Observation Gates'!$B$7:$B$1734,A80)</x:f>
        <x:v>0</x:v>
      </x:c>
      <x:c r="V80" s="9" t="str">
        <x:v>UNFILED</x:v>
      </x:c>
      <x:c r="W80" s="9" t="n">
        <x:v>0</x:v>
      </x:c>
      <x:c r="X80" s="9" t="n">
        <x:v>0</x:v>
      </x:c>
      <x:c r="Y80" s="9" t="n">
        <x:v>16</x:v>
      </x:c>
      <x:c r="Z80" s="9" t="n">
        <x:f>SUMIFS('Disclosure Packets'!$M$7:$M$2310,'Disclosure Packets'!$C$7:$C$2310,A80)</x:f>
        <x:v>0</x:v>
      </x:c>
      <x:c r="AA80" s="9" t="n">
        <x:v>0</x:v>
      </x:c>
      <x:c r="AB80" s="9" t="str">
        <x:f>IF(N80=0,"PLANNED / BLOCKED",IF(P80&lt;O80,"EOW / START BLOCKED",IF(Q80=0,"ARMED / UNSTARTED",IF(S80&lt;R80,"STARTED / RAW UNSEALED",IF(U80&lt;T80,"SEALED / OBSERVATION OPEN",IF(X80=0,"OBSERVED / UNJUDGED",IF(Z80&lt;Y80,"JUDGED / DISCLOSURE HELD",IF(AA80=0,"COMPLETE / EMBARGOED","PUBLIC / TERMINAL"))))))))</x:f>
        <x:v>PLANNED / BLOCKED</x:v>
      </x:c>
      <x:c r="AC80" s="9" t="n">
        <x:f>COUNTIFS($A$7:$A$150,A80)</x:f>
        <x:v>1</x:v>
      </x:c>
      <x:c r="AD80" s="9" t="n">
        <x:f>COUNTIFS($H$7:$H$150,H80,$I$7:$I$150,I80)</x:f>
        <x:v>6</x:v>
      </x:c>
      <x:c r="AE80" s="9" t="n">
        <x:f>COUNTIFS($H$7:$H$150,H80,$I$7:$I$150,I80,$J$7:$J$150,J80)</x:f>
        <x:v>1</x:v>
      </x:c>
    </x:row>
    <x:row r="81">
      <x:c r="A81" s="9" t="str">
        <x:v>EV-AR-ET-A-A-TECH-4-B1-INT-G0</x:v>
      </x:c>
      <x:c r="B81" s="9" t="str">
        <x:v>EOW-AR-ET-A-A-TECH-4-B1-INT-G0</x:v>
      </x:c>
      <x:c r="C81" s="9" t="str">
        <x:v>AR-ET-A-A-TECH-4-B1-INT-G0</x:v>
      </x:c>
      <x:c r="D81" s="9" t="str">
        <x:v>ET-A-A-TECH-4</x:v>
      </x:c>
      <x:c r="E81" s="9" t="str">
        <x:v>ET-A-A</x:v>
      </x:c>
      <x:c r="F81" s="9" t="str">
        <x:v>B1</x:v>
      </x:c>
      <x:c r="G81" s="9" t="str">
        <x:v>INT</x:v>
      </x:c>
      <x:c r="H81" s="9" t="n">
        <x:v>4</x:v>
      </x:c>
      <x:c r="I81" s="9" t="n">
        <x:v>1</x:v>
      </x:c>
      <x:c r="J81" s="9" t="str">
        <x:v>ET-A-A-N2</x:v>
      </x:c>
      <x:c r="K81" s="9" t="str">
        <x:v>FX-ET-A-A-TECH-4-F2</x:v>
      </x:c>
      <x:c r="L81" s="9" t="n">
        <x:v>200</x:v>
      </x:c>
      <x:c r="M81" s="9" t="n">
        <x:v>0</x:v>
      </x:c>
      <x:c r="N81" s="9" t="n">
        <x:v>0</x:v>
      </x:c>
      <x:c r="O81" s="9" t="n">
        <x:v>10</x:v>
      </x:c>
      <x:c r="P81" s="9" t="n">
        <x:f>SUMIFS('Start Controls'!$P$7:$P$1446,'Start Controls'!$B$7:$B$1446,A81)</x:f>
        <x:v>0</x:v>
      </x:c>
      <x:c r="Q81" s="9" t="n">
        <x:v>0</x:v>
      </x:c>
      <x:c r="R81" s="9" t="n">
        <x:v>8</x:v>
      </x:c>
      <x:c r="S81" s="9" t="n">
        <x:f>SUMIFS('Raw Custody'!$M$7:$M$1158,'Raw Custody'!$B$7:$B$1158,A81)</x:f>
        <x:v>0</x:v>
      </x:c>
      <x:c r="T81" s="9" t="n">
        <x:v>12</x:v>
      </x:c>
      <x:c r="U81" s="9" t="n">
        <x:f>SUMIFS('Observation Gates'!$L$7:$L$1734,'Observation Gates'!$B$7:$B$1734,A81)</x:f>
        <x:v>0</x:v>
      </x:c>
      <x:c r="V81" s="9" t="str">
        <x:v>UNFILED</x:v>
      </x:c>
      <x:c r="W81" s="9" t="n">
        <x:v>0</x:v>
      </x:c>
      <x:c r="X81" s="9" t="n">
        <x:v>0</x:v>
      </x:c>
      <x:c r="Y81" s="9" t="n">
        <x:v>16</x:v>
      </x:c>
      <x:c r="Z81" s="9" t="n">
        <x:f>SUMIFS('Disclosure Packets'!$M$7:$M$2310,'Disclosure Packets'!$C$7:$C$2310,A81)</x:f>
        <x:v>0</x:v>
      </x:c>
      <x:c r="AA81" s="9" t="n">
        <x:v>0</x:v>
      </x:c>
      <x:c r="AB81" s="9" t="str">
        <x:f>IF(N81=0,"PLANNED / BLOCKED",IF(P81&lt;O81,"EOW / START BLOCKED",IF(Q81=0,"ARMED / UNSTARTED",IF(S81&lt;R81,"STARTED / RAW UNSEALED",IF(U81&lt;T81,"SEALED / OBSERVATION OPEN",IF(X81=0,"OBSERVED / UNJUDGED",IF(Z81&lt;Y81,"JUDGED / DISCLOSURE HELD",IF(AA81=0,"COMPLETE / EMBARGOED","PUBLIC / TERMINAL"))))))))</x:f>
        <x:v>PLANNED / BLOCKED</x:v>
      </x:c>
      <x:c r="AC81" s="9" t="n">
        <x:f>COUNTIFS($A$7:$A$150,A81)</x:f>
        <x:v>1</x:v>
      </x:c>
      <x:c r="AD81" s="9" t="n">
        <x:f>COUNTIFS($H$7:$H$150,H81,$I$7:$I$150,I81)</x:f>
        <x:v>6</x:v>
      </x:c>
      <x:c r="AE81" s="9" t="n">
        <x:f>COUNTIFS($H$7:$H$150,H81,$I$7:$I$150,I81,$J$7:$J$150,J81)</x:f>
        <x:v>1</x:v>
      </x:c>
    </x:row>
    <x:row r="82">
      <x:c r="A82" s="9" t="str">
        <x:v>EV-AR-HU-A-B-TECH-1-B2-RCN-G0</x:v>
      </x:c>
      <x:c r="B82" s="9" t="str">
        <x:v>EOW-AR-HU-A-B-TECH-1-B2-RCN-G0</x:v>
      </x:c>
      <x:c r="C82" s="9" t="str">
        <x:v>AR-HU-A-B-TECH-1-B2-RCN-G0</x:v>
      </x:c>
      <x:c r="D82" s="9" t="str">
        <x:v>HU-A-B-TECH-1</x:v>
      </x:c>
      <x:c r="E82" s="9" t="str">
        <x:v>HU-A-B</x:v>
      </x:c>
      <x:c r="F82" s="9" t="str">
        <x:v>B2</x:v>
      </x:c>
      <x:c r="G82" s="9" t="str">
        <x:v>RCN</x:v>
      </x:c>
      <x:c r="H82" s="9" t="n">
        <x:v>4</x:v>
      </x:c>
      <x:c r="I82" s="9" t="n">
        <x:v>1</x:v>
      </x:c>
      <x:c r="J82" s="9" t="str">
        <x:v>HU-A-B-N2</x:v>
      </x:c>
      <x:c r="K82" s="9" t="str">
        <x:v>FX-HU-A-B-TECH-1-F2</x:v>
      </x:c>
      <x:c r="L82" s="9" t="n">
        <x:v>200</x:v>
      </x:c>
      <x:c r="M82" s="9" t="n">
        <x:v>1</x:v>
      </x:c>
      <x:c r="N82" s="9" t="n">
        <x:v>0</x:v>
      </x:c>
      <x:c r="O82" s="9" t="n">
        <x:v>10</x:v>
      </x:c>
      <x:c r="P82" s="9" t="n">
        <x:f>SUMIFS('Start Controls'!$P$7:$P$1446,'Start Controls'!$B$7:$B$1446,A82)</x:f>
        <x:v>0</x:v>
      </x:c>
      <x:c r="Q82" s="9" t="n">
        <x:v>0</x:v>
      </x:c>
      <x:c r="R82" s="9" t="n">
        <x:v>8</x:v>
      </x:c>
      <x:c r="S82" s="9" t="n">
        <x:f>SUMIFS('Raw Custody'!$M$7:$M$1158,'Raw Custody'!$B$7:$B$1158,A82)</x:f>
        <x:v>0</x:v>
      </x:c>
      <x:c r="T82" s="9" t="n">
        <x:v>12</x:v>
      </x:c>
      <x:c r="U82" s="9" t="n">
        <x:f>SUMIFS('Observation Gates'!$L$7:$L$1734,'Observation Gates'!$B$7:$B$1734,A82)</x:f>
        <x:v>0</x:v>
      </x:c>
      <x:c r="V82" s="9" t="str">
        <x:v>UNFILED</x:v>
      </x:c>
      <x:c r="W82" s="9" t="n">
        <x:v>0</x:v>
      </x:c>
      <x:c r="X82" s="9" t="n">
        <x:v>0</x:v>
      </x:c>
      <x:c r="Y82" s="9" t="n">
        <x:v>16</x:v>
      </x:c>
      <x:c r="Z82" s="9" t="n">
        <x:f>SUMIFS('Disclosure Packets'!$M$7:$M$2310,'Disclosure Packets'!$C$7:$C$2310,A82)</x:f>
        <x:v>0</x:v>
      </x:c>
      <x:c r="AA82" s="9" t="n">
        <x:v>0</x:v>
      </x:c>
      <x:c r="AB82" s="9" t="str">
        <x:f>IF(N82=0,"PLANNED / BLOCKED",IF(P82&lt;O82,"EOW / START BLOCKED",IF(Q82=0,"ARMED / UNSTARTED",IF(S82&lt;R82,"STARTED / RAW UNSEALED",IF(U82&lt;T82,"SEALED / OBSERVATION OPEN",IF(X82=0,"OBSERVED / UNJUDGED",IF(Z82&lt;Y82,"JUDGED / DISCLOSURE HELD",IF(AA82=0,"COMPLETE / EMBARGOED","PUBLIC / TERMINAL"))))))))</x:f>
        <x:v>PLANNED / BLOCKED</x:v>
      </x:c>
      <x:c r="AC82" s="9" t="n">
        <x:f>COUNTIFS($A$7:$A$150,A82)</x:f>
        <x:v>1</x:v>
      </x:c>
      <x:c r="AD82" s="9" t="n">
        <x:f>COUNTIFS($H$7:$H$150,H82,$I$7:$I$150,I82)</x:f>
        <x:v>6</x:v>
      </x:c>
      <x:c r="AE82" s="9" t="n">
        <x:f>COUNTIFS($H$7:$H$150,H82,$I$7:$I$150,I82,$J$7:$J$150,J82)</x:f>
        <x:v>1</x:v>
      </x:c>
    </x:row>
    <x:row r="83">
      <x:c r="A83" s="9" t="str">
        <x:v>EV-AR-HU-A-B-TECH-3-B2-BRK-G0</x:v>
      </x:c>
      <x:c r="B83" s="9" t="str">
        <x:v>EOW-AR-HU-A-B-TECH-3-B2-BRK-G0</x:v>
      </x:c>
      <x:c r="C83" s="9" t="str">
        <x:v>AR-HU-A-B-TECH-3-B2-BRK-G0</x:v>
      </x:c>
      <x:c r="D83" s="9" t="str">
        <x:v>HU-A-B-TECH-3</x:v>
      </x:c>
      <x:c r="E83" s="9" t="str">
        <x:v>HU-A-B</x:v>
      </x:c>
      <x:c r="F83" s="9" t="str">
        <x:v>B2</x:v>
      </x:c>
      <x:c r="G83" s="9" t="str">
        <x:v>BRK</x:v>
      </x:c>
      <x:c r="H83" s="9" t="n">
        <x:v>4</x:v>
      </x:c>
      <x:c r="I83" s="9" t="n">
        <x:v>1</x:v>
      </x:c>
      <x:c r="J83" s="9" t="str">
        <x:v>HU-A-B-N3</x:v>
      </x:c>
      <x:c r="K83" s="9" t="str">
        <x:v>FX-HU-A-B-TECH-3-F1</x:v>
      </x:c>
      <x:c r="L83" s="9" t="n">
        <x:v>200</x:v>
      </x:c>
      <x:c r="M83" s="9" t="n">
        <x:v>1</x:v>
      </x:c>
      <x:c r="N83" s="9" t="n">
        <x:v>0</x:v>
      </x:c>
      <x:c r="O83" s="9" t="n">
        <x:v>10</x:v>
      </x:c>
      <x:c r="P83" s="9" t="n">
        <x:f>SUMIFS('Start Controls'!$P$7:$P$1446,'Start Controls'!$B$7:$B$1446,A83)</x:f>
        <x:v>0</x:v>
      </x:c>
      <x:c r="Q83" s="9" t="n">
        <x:v>0</x:v>
      </x:c>
      <x:c r="R83" s="9" t="n">
        <x:v>8</x:v>
      </x:c>
      <x:c r="S83" s="9" t="n">
        <x:f>SUMIFS('Raw Custody'!$M$7:$M$1158,'Raw Custody'!$B$7:$B$1158,A83)</x:f>
        <x:v>0</x:v>
      </x:c>
      <x:c r="T83" s="9" t="n">
        <x:v>12</x:v>
      </x:c>
      <x:c r="U83" s="9" t="n">
        <x:f>SUMIFS('Observation Gates'!$L$7:$L$1734,'Observation Gates'!$B$7:$B$1734,A83)</x:f>
        <x:v>0</x:v>
      </x:c>
      <x:c r="V83" s="9" t="str">
        <x:v>UNFILED</x:v>
      </x:c>
      <x:c r="W83" s="9" t="n">
        <x:v>0</x:v>
      </x:c>
      <x:c r="X83" s="9" t="n">
        <x:v>0</x:v>
      </x:c>
      <x:c r="Y83" s="9" t="n">
        <x:v>16</x:v>
      </x:c>
      <x:c r="Z83" s="9" t="n">
        <x:f>SUMIFS('Disclosure Packets'!$M$7:$M$2310,'Disclosure Packets'!$C$7:$C$2310,A83)</x:f>
        <x:v>0</x:v>
      </x:c>
      <x:c r="AA83" s="9" t="n">
        <x:v>0</x:v>
      </x:c>
      <x:c r="AB83" s="9" t="str">
        <x:f>IF(N83=0,"PLANNED / BLOCKED",IF(P83&lt;O83,"EOW / START BLOCKED",IF(Q83=0,"ARMED / UNSTARTED",IF(S83&lt;R83,"STARTED / RAW UNSEALED",IF(U83&lt;T83,"SEALED / OBSERVATION OPEN",IF(X83=0,"OBSERVED / UNJUDGED",IF(Z83&lt;Y83,"JUDGED / DISCLOSURE HELD",IF(AA83=0,"COMPLETE / EMBARGOED","PUBLIC / TERMINAL"))))))))</x:f>
        <x:v>PLANNED / BLOCKED</x:v>
      </x:c>
      <x:c r="AC83" s="9" t="n">
        <x:f>COUNTIFS($A$7:$A$150,A83)</x:f>
        <x:v>1</x:v>
      </x:c>
      <x:c r="AD83" s="9" t="n">
        <x:f>COUNTIFS($H$7:$H$150,H83,$I$7:$I$150,I83)</x:f>
        <x:v>6</x:v>
      </x:c>
      <x:c r="AE83" s="9" t="n">
        <x:f>COUNTIFS($H$7:$H$150,H83,$I$7:$I$150,I83,$J$7:$J$150,J83)</x:f>
        <x:v>1</x:v>
      </x:c>
    </x:row>
    <x:row r="84">
      <x:c r="A84" s="9" t="str">
        <x:v>EV-AR-RT-B-C-TECH-1-B1-RCN-G0</x:v>
      </x:c>
      <x:c r="B84" s="9" t="str">
        <x:v>EOW-AR-RT-B-C-TECH-1-B1-RCN-G0</x:v>
      </x:c>
      <x:c r="C84" s="9" t="str">
        <x:v>AR-RT-B-C-TECH-1-B1-RCN-G0</x:v>
      </x:c>
      <x:c r="D84" s="9" t="str">
        <x:v>RT-B-C-TECH-1</x:v>
      </x:c>
      <x:c r="E84" s="9" t="str">
        <x:v>RT-B-C</x:v>
      </x:c>
      <x:c r="F84" s="9" t="str">
        <x:v>B1</x:v>
      </x:c>
      <x:c r="G84" s="9" t="str">
        <x:v>RCN</x:v>
      </x:c>
      <x:c r="H84" s="9" t="n">
        <x:v>4</x:v>
      </x:c>
      <x:c r="I84" s="9" t="n">
        <x:v>1</x:v>
      </x:c>
      <x:c r="J84" s="9" t="str">
        <x:v>RT-B-C-N1</x:v>
      </x:c>
      <x:c r="K84" s="9" t="str">
        <x:v>FX-RT-B-C-TECH-1-F1</x:v>
      </x:c>
      <x:c r="L84" s="9" t="n">
        <x:v>200</x:v>
      </x:c>
      <x:c r="M84" s="9" t="n">
        <x:v>1</x:v>
      </x:c>
      <x:c r="N84" s="9" t="n">
        <x:v>0</x:v>
      </x:c>
      <x:c r="O84" s="9" t="n">
        <x:v>10</x:v>
      </x:c>
      <x:c r="P84" s="9" t="n">
        <x:f>SUMIFS('Start Controls'!$P$7:$P$1446,'Start Controls'!$B$7:$B$1446,A84)</x:f>
        <x:v>0</x:v>
      </x:c>
      <x:c r="Q84" s="9" t="n">
        <x:v>0</x:v>
      </x:c>
      <x:c r="R84" s="9" t="n">
        <x:v>8</x:v>
      </x:c>
      <x:c r="S84" s="9" t="n">
        <x:f>SUMIFS('Raw Custody'!$M$7:$M$1158,'Raw Custody'!$B$7:$B$1158,A84)</x:f>
        <x:v>0</x:v>
      </x:c>
      <x:c r="T84" s="9" t="n">
        <x:v>12</x:v>
      </x:c>
      <x:c r="U84" s="9" t="n">
        <x:f>SUMIFS('Observation Gates'!$L$7:$L$1734,'Observation Gates'!$B$7:$B$1734,A84)</x:f>
        <x:v>0</x:v>
      </x:c>
      <x:c r="V84" s="9" t="str">
        <x:v>UNFILED</x:v>
      </x:c>
      <x:c r="W84" s="9" t="n">
        <x:v>0</x:v>
      </x:c>
      <x:c r="X84" s="9" t="n">
        <x:v>0</x:v>
      </x:c>
      <x:c r="Y84" s="9" t="n">
        <x:v>16</x:v>
      </x:c>
      <x:c r="Z84" s="9" t="n">
        <x:f>SUMIFS('Disclosure Packets'!$M$7:$M$2310,'Disclosure Packets'!$C$7:$C$2310,A84)</x:f>
        <x:v>0</x:v>
      </x:c>
      <x:c r="AA84" s="9" t="n">
        <x:v>0</x:v>
      </x:c>
      <x:c r="AB84" s="9" t="str">
        <x:f>IF(N84=0,"PLANNED / BLOCKED",IF(P84&lt;O84,"EOW / START BLOCKED",IF(Q84=0,"ARMED / UNSTARTED",IF(S84&lt;R84,"STARTED / RAW UNSEALED",IF(U84&lt;T84,"SEALED / OBSERVATION OPEN",IF(X84=0,"OBSERVED / UNJUDGED",IF(Z84&lt;Y84,"JUDGED / DISCLOSURE HELD",IF(AA84=0,"COMPLETE / EMBARGOED","PUBLIC / TERMINAL"))))))))</x:f>
        <x:v>PLANNED / BLOCKED</x:v>
      </x:c>
      <x:c r="AC84" s="9" t="n">
        <x:f>COUNTIFS($A$7:$A$150,A84)</x:f>
        <x:v>1</x:v>
      </x:c>
      <x:c r="AD84" s="9" t="n">
        <x:f>COUNTIFS($H$7:$H$150,H84,$I$7:$I$150,I84)</x:f>
        <x:v>6</x:v>
      </x:c>
      <x:c r="AE84" s="9" t="n">
        <x:f>COUNTIFS($H$7:$H$150,H84,$I$7:$I$150,I84,$J$7:$J$150,J84)</x:f>
        <x:v>1</x:v>
      </x:c>
    </x:row>
    <x:row r="85">
      <x:c r="A85" s="9" t="str">
        <x:v>EV-AR-ET-A-A-TECH-1-B2-BRK-G0</x:v>
      </x:c>
      <x:c r="B85" s="9" t="str">
        <x:v>EOW-AR-ET-A-A-TECH-1-B2-BRK-G0</x:v>
      </x:c>
      <x:c r="C85" s="9" t="str">
        <x:v>AR-ET-A-A-TECH-1-B2-BRK-G0</x:v>
      </x:c>
      <x:c r="D85" s="9" t="str">
        <x:v>ET-A-A-TECH-1</x:v>
      </x:c>
      <x:c r="E85" s="9" t="str">
        <x:v>ET-A-A</x:v>
      </x:c>
      <x:c r="F85" s="9" t="str">
        <x:v>B2</x:v>
      </x:c>
      <x:c r="G85" s="9" t="str">
        <x:v>BRK</x:v>
      </x:c>
      <x:c r="H85" s="9" t="n">
        <x:v>4</x:v>
      </x:c>
      <x:c r="I85" s="9" t="n">
        <x:v>2</x:v>
      </x:c>
      <x:c r="J85" s="9" t="str">
        <x:v>ET-A-A-N1</x:v>
      </x:c>
      <x:c r="K85" s="9" t="str">
        <x:v>FX-ET-A-A-TECH-1-F1</x:v>
      </x:c>
      <x:c r="L85" s="9" t="n">
        <x:v>206</x:v>
      </x:c>
      <x:c r="M85" s="9" t="n">
        <x:v>1</x:v>
      </x:c>
      <x:c r="N85" s="9" t="n">
        <x:v>0</x:v>
      </x:c>
      <x:c r="O85" s="9" t="n">
        <x:v>10</x:v>
      </x:c>
      <x:c r="P85" s="9" t="n">
        <x:f>SUMIFS('Start Controls'!$P$7:$P$1446,'Start Controls'!$B$7:$B$1446,A85)</x:f>
        <x:v>0</x:v>
      </x:c>
      <x:c r="Q85" s="9" t="n">
        <x:v>0</x:v>
      </x:c>
      <x:c r="R85" s="9" t="n">
        <x:v>8</x:v>
      </x:c>
      <x:c r="S85" s="9" t="n">
        <x:f>SUMIFS('Raw Custody'!$M$7:$M$1158,'Raw Custody'!$B$7:$B$1158,A85)</x:f>
        <x:v>0</x:v>
      </x:c>
      <x:c r="T85" s="9" t="n">
        <x:v>12</x:v>
      </x:c>
      <x:c r="U85" s="9" t="n">
        <x:f>SUMIFS('Observation Gates'!$L$7:$L$1734,'Observation Gates'!$B$7:$B$1734,A85)</x:f>
        <x:v>0</x:v>
      </x:c>
      <x:c r="V85" s="9" t="str">
        <x:v>UNFILED</x:v>
      </x:c>
      <x:c r="W85" s="9" t="n">
        <x:v>0</x:v>
      </x:c>
      <x:c r="X85" s="9" t="n">
        <x:v>0</x:v>
      </x:c>
      <x:c r="Y85" s="9" t="n">
        <x:v>16</x:v>
      </x:c>
      <x:c r="Z85" s="9" t="n">
        <x:f>SUMIFS('Disclosure Packets'!$M$7:$M$2310,'Disclosure Packets'!$C$7:$C$2310,A85)</x:f>
        <x:v>0</x:v>
      </x:c>
      <x:c r="AA85" s="9" t="n">
        <x:v>0</x:v>
      </x:c>
      <x:c r="AB85" s="9" t="str">
        <x:f>IF(N85=0,"PLANNED / BLOCKED",IF(P85&lt;O85,"EOW / START BLOCKED",IF(Q85=0,"ARMED / UNSTARTED",IF(S85&lt;R85,"STARTED / RAW UNSEALED",IF(U85&lt;T85,"SEALED / OBSERVATION OPEN",IF(X85=0,"OBSERVED / UNJUDGED",IF(Z85&lt;Y85,"JUDGED / DISCLOSURE HELD",IF(AA85=0,"COMPLETE / EMBARGOED","PUBLIC / TERMINAL"))))))))</x:f>
        <x:v>PLANNED / BLOCKED</x:v>
      </x:c>
      <x:c r="AC85" s="9" t="n">
        <x:f>COUNTIFS($A$7:$A$150,A85)</x:f>
        <x:v>1</x:v>
      </x:c>
      <x:c r="AD85" s="9" t="n">
        <x:f>COUNTIFS($H$7:$H$150,H85,$I$7:$I$150,I85)</x:f>
        <x:v>6</x:v>
      </x:c>
      <x:c r="AE85" s="9" t="n">
        <x:f>COUNTIFS($H$7:$H$150,H85,$I$7:$I$150,I85,$J$7:$J$150,J85)</x:f>
        <x:v>1</x:v>
      </x:c>
    </x:row>
    <x:row r="86">
      <x:c r="A86" s="9" t="str">
        <x:v>EV-AR-HC-A-C-TECH-3-B2-RCN-G0</x:v>
      </x:c>
      <x:c r="B86" s="9" t="str">
        <x:v>EOW-AR-HC-A-C-TECH-3-B2-RCN-G0</x:v>
      </x:c>
      <x:c r="C86" s="9" t="str">
        <x:v>AR-HC-A-C-TECH-3-B2-RCN-G0</x:v>
      </x:c>
      <x:c r="D86" s="9" t="str">
        <x:v>HC-A-C-TECH-3</x:v>
      </x:c>
      <x:c r="E86" s="9" t="str">
        <x:v>HC-A-C</x:v>
      </x:c>
      <x:c r="F86" s="9" t="str">
        <x:v>B2</x:v>
      </x:c>
      <x:c r="G86" s="9" t="str">
        <x:v>RCN</x:v>
      </x:c>
      <x:c r="H86" s="9" t="n">
        <x:v>4</x:v>
      </x:c>
      <x:c r="I86" s="9" t="n">
        <x:v>2</x:v>
      </x:c>
      <x:c r="J86" s="9" t="str">
        <x:v>HC-A-C-N1</x:v>
      </x:c>
      <x:c r="K86" s="9" t="str">
        <x:v>FX-HC-A-C-TECH-3-F2</x:v>
      </x:c>
      <x:c r="L86" s="9" t="n">
        <x:v>206</x:v>
      </x:c>
      <x:c r="M86" s="9" t="n">
        <x:v>1</x:v>
      </x:c>
      <x:c r="N86" s="9" t="n">
        <x:v>0</x:v>
      </x:c>
      <x:c r="O86" s="9" t="n">
        <x:v>10</x:v>
      </x:c>
      <x:c r="P86" s="9" t="n">
        <x:f>SUMIFS('Start Controls'!$P$7:$P$1446,'Start Controls'!$B$7:$B$1446,A86)</x:f>
        <x:v>0</x:v>
      </x:c>
      <x:c r="Q86" s="9" t="n">
        <x:v>0</x:v>
      </x:c>
      <x:c r="R86" s="9" t="n">
        <x:v>8</x:v>
      </x:c>
      <x:c r="S86" s="9" t="n">
        <x:f>SUMIFS('Raw Custody'!$M$7:$M$1158,'Raw Custody'!$B$7:$B$1158,A86)</x:f>
        <x:v>0</x:v>
      </x:c>
      <x:c r="T86" s="9" t="n">
        <x:v>12</x:v>
      </x:c>
      <x:c r="U86" s="9" t="n">
        <x:f>SUMIFS('Observation Gates'!$L$7:$L$1734,'Observation Gates'!$B$7:$B$1734,A86)</x:f>
        <x:v>0</x:v>
      </x:c>
      <x:c r="V86" s="9" t="str">
        <x:v>UNFILED</x:v>
      </x:c>
      <x:c r="W86" s="9" t="n">
        <x:v>0</x:v>
      </x:c>
      <x:c r="X86" s="9" t="n">
        <x:v>0</x:v>
      </x:c>
      <x:c r="Y86" s="9" t="n">
        <x:v>16</x:v>
      </x:c>
      <x:c r="Z86" s="9" t="n">
        <x:f>SUMIFS('Disclosure Packets'!$M$7:$M$2310,'Disclosure Packets'!$C$7:$C$2310,A86)</x:f>
        <x:v>0</x:v>
      </x:c>
      <x:c r="AA86" s="9" t="n">
        <x:v>0</x:v>
      </x:c>
      <x:c r="AB86" s="9" t="str">
        <x:f>IF(N86=0,"PLANNED / BLOCKED",IF(P86&lt;O86,"EOW / START BLOCKED",IF(Q86=0,"ARMED / UNSTARTED",IF(S86&lt;R86,"STARTED / RAW UNSEALED",IF(U86&lt;T86,"SEALED / OBSERVATION OPEN",IF(X86=0,"OBSERVED / UNJUDGED",IF(Z86&lt;Y86,"JUDGED / DISCLOSURE HELD",IF(AA86=0,"COMPLETE / EMBARGOED","PUBLIC / TERMINAL"))))))))</x:f>
        <x:v>PLANNED / BLOCKED</x:v>
      </x:c>
      <x:c r="AC86" s="9" t="n">
        <x:f>COUNTIFS($A$7:$A$150,A86)</x:f>
        <x:v>1</x:v>
      </x:c>
      <x:c r="AD86" s="9" t="n">
        <x:f>COUNTIFS($H$7:$H$150,H86,$I$7:$I$150,I86)</x:f>
        <x:v>6</x:v>
      </x:c>
      <x:c r="AE86" s="9" t="n">
        <x:f>COUNTIFS($H$7:$H$150,H86,$I$7:$I$150,I86,$J$7:$J$150,J86)</x:f>
        <x:v>1</x:v>
      </x:c>
    </x:row>
    <x:row r="87">
      <x:c r="A87" s="9" t="str">
        <x:v>EV-AR-HC-A-C-TECH-1-B2-INT-G0</x:v>
      </x:c>
      <x:c r="B87" s="9" t="str">
        <x:v>EOW-AR-HC-A-C-TECH-1-B2-INT-G0</x:v>
      </x:c>
      <x:c r="C87" s="9" t="str">
        <x:v>AR-HC-A-C-TECH-1-B2-INT-G0</x:v>
      </x:c>
      <x:c r="D87" s="9" t="str">
        <x:v>HC-A-C-TECH-1</x:v>
      </x:c>
      <x:c r="E87" s="9" t="str">
        <x:v>HC-A-C</x:v>
      </x:c>
      <x:c r="F87" s="9" t="str">
        <x:v>B2</x:v>
      </x:c>
      <x:c r="G87" s="9" t="str">
        <x:v>INT</x:v>
      </x:c>
      <x:c r="H87" s="9" t="n">
        <x:v>4</x:v>
      </x:c>
      <x:c r="I87" s="9" t="n">
        <x:v>2</x:v>
      </x:c>
      <x:c r="J87" s="9" t="str">
        <x:v>HC-A-C-N2</x:v>
      </x:c>
      <x:c r="K87" s="9" t="str">
        <x:v>FX-HC-A-C-TECH-1-F2</x:v>
      </x:c>
      <x:c r="L87" s="9" t="n">
        <x:v>206</x:v>
      </x:c>
      <x:c r="M87" s="9" t="n">
        <x:v>0</x:v>
      </x:c>
      <x:c r="N87" s="9" t="n">
        <x:v>0</x:v>
      </x:c>
      <x:c r="O87" s="9" t="n">
        <x:v>10</x:v>
      </x:c>
      <x:c r="P87" s="9" t="n">
        <x:f>SUMIFS('Start Controls'!$P$7:$P$1446,'Start Controls'!$B$7:$B$1446,A87)</x:f>
        <x:v>0</x:v>
      </x:c>
      <x:c r="Q87" s="9" t="n">
        <x:v>0</x:v>
      </x:c>
      <x:c r="R87" s="9" t="n">
        <x:v>8</x:v>
      </x:c>
      <x:c r="S87" s="9" t="n">
        <x:f>SUMIFS('Raw Custody'!$M$7:$M$1158,'Raw Custody'!$B$7:$B$1158,A87)</x:f>
        <x:v>0</x:v>
      </x:c>
      <x:c r="T87" s="9" t="n">
        <x:v>12</x:v>
      </x:c>
      <x:c r="U87" s="9" t="n">
        <x:f>SUMIFS('Observation Gates'!$L$7:$L$1734,'Observation Gates'!$B$7:$B$1734,A87)</x:f>
        <x:v>0</x:v>
      </x:c>
      <x:c r="V87" s="9" t="str">
        <x:v>UNFILED</x:v>
      </x:c>
      <x:c r="W87" s="9" t="n">
        <x:v>0</x:v>
      </x:c>
      <x:c r="X87" s="9" t="n">
        <x:v>0</x:v>
      </x:c>
      <x:c r="Y87" s="9" t="n">
        <x:v>16</x:v>
      </x:c>
      <x:c r="Z87" s="9" t="n">
        <x:f>SUMIFS('Disclosure Packets'!$M$7:$M$2310,'Disclosure Packets'!$C$7:$C$2310,A87)</x:f>
        <x:v>0</x:v>
      </x:c>
      <x:c r="AA87" s="9" t="n">
        <x:v>0</x:v>
      </x:c>
      <x:c r="AB87" s="9" t="str">
        <x:f>IF(N87=0,"PLANNED / BLOCKED",IF(P87&lt;O87,"EOW / START BLOCKED",IF(Q87=0,"ARMED / UNSTARTED",IF(S87&lt;R87,"STARTED / RAW UNSEALED",IF(U87&lt;T87,"SEALED / OBSERVATION OPEN",IF(X87=0,"OBSERVED / UNJUDGED",IF(Z87&lt;Y87,"JUDGED / DISCLOSURE HELD",IF(AA87=0,"COMPLETE / EMBARGOED","PUBLIC / TERMINAL"))))))))</x:f>
        <x:v>PLANNED / BLOCKED</x:v>
      </x:c>
      <x:c r="AC87" s="9" t="n">
        <x:f>COUNTIFS($A$7:$A$150,A87)</x:f>
        <x:v>1</x:v>
      </x:c>
      <x:c r="AD87" s="9" t="n">
        <x:f>COUNTIFS($H$7:$H$150,H87,$I$7:$I$150,I87)</x:f>
        <x:v>6</x:v>
      </x:c>
      <x:c r="AE87" s="9" t="n">
        <x:f>COUNTIFS($H$7:$H$150,H87,$I$7:$I$150,I87,$J$7:$J$150,J87)</x:f>
        <x:v>1</x:v>
      </x:c>
    </x:row>
    <x:row r="88">
      <x:c r="A88" s="9" t="str">
        <x:v>EV-AR-LF-B-A-TECH-1-B1-INT-G0</x:v>
      </x:c>
      <x:c r="B88" s="9" t="str">
        <x:v>EOW-AR-LF-B-A-TECH-1-B1-INT-G0</x:v>
      </x:c>
      <x:c r="C88" s="9" t="str">
        <x:v>AR-LF-B-A-TECH-1-B1-INT-G0</x:v>
      </x:c>
      <x:c r="D88" s="9" t="str">
        <x:v>LF-B-A-TECH-1</x:v>
      </x:c>
      <x:c r="E88" s="9" t="str">
        <x:v>LF-B-A</x:v>
      </x:c>
      <x:c r="F88" s="9" t="str">
        <x:v>B1</x:v>
      </x:c>
      <x:c r="G88" s="9" t="str">
        <x:v>INT</x:v>
      </x:c>
      <x:c r="H88" s="9" t="n">
        <x:v>4</x:v>
      </x:c>
      <x:c r="I88" s="9" t="n">
        <x:v>2</x:v>
      </x:c>
      <x:c r="J88" s="9" t="str">
        <x:v>LF-B-A-N1</x:v>
      </x:c>
      <x:c r="K88" s="9" t="str">
        <x:v>FX-LF-B-A-TECH-1-F1</x:v>
      </x:c>
      <x:c r="L88" s="9" t="n">
        <x:v>206</x:v>
      </x:c>
      <x:c r="M88" s="9" t="n">
        <x:v>0</x:v>
      </x:c>
      <x:c r="N88" s="9" t="n">
        <x:v>0</x:v>
      </x:c>
      <x:c r="O88" s="9" t="n">
        <x:v>10</x:v>
      </x:c>
      <x:c r="P88" s="9" t="n">
        <x:f>SUMIFS('Start Controls'!$P$7:$P$1446,'Start Controls'!$B$7:$B$1446,A88)</x:f>
        <x:v>0</x:v>
      </x:c>
      <x:c r="Q88" s="9" t="n">
        <x:v>0</x:v>
      </x:c>
      <x:c r="R88" s="9" t="n">
        <x:v>8</x:v>
      </x:c>
      <x:c r="S88" s="9" t="n">
        <x:f>SUMIFS('Raw Custody'!$M$7:$M$1158,'Raw Custody'!$B$7:$B$1158,A88)</x:f>
        <x:v>0</x:v>
      </x:c>
      <x:c r="T88" s="9" t="n">
        <x:v>12</x:v>
      </x:c>
      <x:c r="U88" s="9" t="n">
        <x:f>SUMIFS('Observation Gates'!$L$7:$L$1734,'Observation Gates'!$B$7:$B$1734,A88)</x:f>
        <x:v>0</x:v>
      </x:c>
      <x:c r="V88" s="9" t="str">
        <x:v>UNFILED</x:v>
      </x:c>
      <x:c r="W88" s="9" t="n">
        <x:v>0</x:v>
      </x:c>
      <x:c r="X88" s="9" t="n">
        <x:v>0</x:v>
      </x:c>
      <x:c r="Y88" s="9" t="n">
        <x:v>16</x:v>
      </x:c>
      <x:c r="Z88" s="9" t="n">
        <x:f>SUMIFS('Disclosure Packets'!$M$7:$M$2310,'Disclosure Packets'!$C$7:$C$2310,A88)</x:f>
        <x:v>0</x:v>
      </x:c>
      <x:c r="AA88" s="9" t="n">
        <x:v>0</x:v>
      </x:c>
      <x:c r="AB88" s="9" t="str">
        <x:f>IF(N88=0,"PLANNED / BLOCKED",IF(P88&lt;O88,"EOW / START BLOCKED",IF(Q88=0,"ARMED / UNSTARTED",IF(S88&lt;R88,"STARTED / RAW UNSEALED",IF(U88&lt;T88,"SEALED / OBSERVATION OPEN",IF(X88=0,"OBSERVED / UNJUDGED",IF(Z88&lt;Y88,"JUDGED / DISCLOSURE HELD",IF(AA88=0,"COMPLETE / EMBARGOED","PUBLIC / TERMINAL"))))))))</x:f>
        <x:v>PLANNED / BLOCKED</x:v>
      </x:c>
      <x:c r="AC88" s="9" t="n">
        <x:f>COUNTIFS($A$7:$A$150,A88)</x:f>
        <x:v>1</x:v>
      </x:c>
      <x:c r="AD88" s="9" t="n">
        <x:f>COUNTIFS($H$7:$H$150,H88,$I$7:$I$150,I88)</x:f>
        <x:v>6</x:v>
      </x:c>
      <x:c r="AE88" s="9" t="n">
        <x:f>COUNTIFS($H$7:$H$150,H88,$I$7:$I$150,I88,$J$7:$J$150,J88)</x:f>
        <x:v>1</x:v>
      </x:c>
    </x:row>
    <x:row r="89">
      <x:c r="A89" s="9" t="str">
        <x:v>EV-AR-LF-B-A-TECH-2-B2-RCN-G0</x:v>
      </x:c>
      <x:c r="B89" s="9" t="str">
        <x:v>EOW-AR-LF-B-A-TECH-2-B2-RCN-G0</x:v>
      </x:c>
      <x:c r="C89" s="9" t="str">
        <x:v>AR-LF-B-A-TECH-2-B2-RCN-G0</x:v>
      </x:c>
      <x:c r="D89" s="9" t="str">
        <x:v>LF-B-A-TECH-2</x:v>
      </x:c>
      <x:c r="E89" s="9" t="str">
        <x:v>LF-B-A</x:v>
      </x:c>
      <x:c r="F89" s="9" t="str">
        <x:v>B2</x:v>
      </x:c>
      <x:c r="G89" s="9" t="str">
        <x:v>RCN</x:v>
      </x:c>
      <x:c r="H89" s="9" t="n">
        <x:v>4</x:v>
      </x:c>
      <x:c r="I89" s="9" t="n">
        <x:v>2</x:v>
      </x:c>
      <x:c r="J89" s="9" t="str">
        <x:v>LF-B-A-N2</x:v>
      </x:c>
      <x:c r="K89" s="9" t="str">
        <x:v>FX-LF-B-A-TECH-2-F1</x:v>
      </x:c>
      <x:c r="L89" s="9" t="n">
        <x:v>206</x:v>
      </x:c>
      <x:c r="M89" s="9" t="n">
        <x:v>1</x:v>
      </x:c>
      <x:c r="N89" s="9" t="n">
        <x:v>0</x:v>
      </x:c>
      <x:c r="O89" s="9" t="n">
        <x:v>10</x:v>
      </x:c>
      <x:c r="P89" s="9" t="n">
        <x:f>SUMIFS('Start Controls'!$P$7:$P$1446,'Start Controls'!$B$7:$B$1446,A89)</x:f>
        <x:v>0</x:v>
      </x:c>
      <x:c r="Q89" s="9" t="n">
        <x:v>0</x:v>
      </x:c>
      <x:c r="R89" s="9" t="n">
        <x:v>8</x:v>
      </x:c>
      <x:c r="S89" s="9" t="n">
        <x:f>SUMIFS('Raw Custody'!$M$7:$M$1158,'Raw Custody'!$B$7:$B$1158,A89)</x:f>
        <x:v>0</x:v>
      </x:c>
      <x:c r="T89" s="9" t="n">
        <x:v>12</x:v>
      </x:c>
      <x:c r="U89" s="9" t="n">
        <x:f>SUMIFS('Observation Gates'!$L$7:$L$1734,'Observation Gates'!$B$7:$B$1734,A89)</x:f>
        <x:v>0</x:v>
      </x:c>
      <x:c r="V89" s="9" t="str">
        <x:v>UNFILED</x:v>
      </x:c>
      <x:c r="W89" s="9" t="n">
        <x:v>0</x:v>
      </x:c>
      <x:c r="X89" s="9" t="n">
        <x:v>0</x:v>
      </x:c>
      <x:c r="Y89" s="9" t="n">
        <x:v>16</x:v>
      </x:c>
      <x:c r="Z89" s="9" t="n">
        <x:f>SUMIFS('Disclosure Packets'!$M$7:$M$2310,'Disclosure Packets'!$C$7:$C$2310,A89)</x:f>
        <x:v>0</x:v>
      </x:c>
      <x:c r="AA89" s="9" t="n">
        <x:v>0</x:v>
      </x:c>
      <x:c r="AB89" s="9" t="str">
        <x:f>IF(N89=0,"PLANNED / BLOCKED",IF(P89&lt;O89,"EOW / START BLOCKED",IF(Q89=0,"ARMED / UNSTARTED",IF(S89&lt;R89,"STARTED / RAW UNSEALED",IF(U89&lt;T89,"SEALED / OBSERVATION OPEN",IF(X89=0,"OBSERVED / UNJUDGED",IF(Z89&lt;Y89,"JUDGED / DISCLOSURE HELD",IF(AA89=0,"COMPLETE / EMBARGOED","PUBLIC / TERMINAL"))))))))</x:f>
        <x:v>PLANNED / BLOCKED</x:v>
      </x:c>
      <x:c r="AC89" s="9" t="n">
        <x:f>COUNTIFS($A$7:$A$150,A89)</x:f>
        <x:v>1</x:v>
      </x:c>
      <x:c r="AD89" s="9" t="n">
        <x:f>COUNTIFS($H$7:$H$150,H89,$I$7:$I$150,I89)</x:f>
        <x:v>6</x:v>
      </x:c>
      <x:c r="AE89" s="9" t="n">
        <x:f>COUNTIFS($H$7:$H$150,H89,$I$7:$I$150,I89,$J$7:$J$150,J89)</x:f>
        <x:v>1</x:v>
      </x:c>
    </x:row>
    <x:row r="90">
      <x:c r="A90" s="9" t="str">
        <x:v>EV-AR-RT-B-C-TECH-3-B1-BRK-G0</x:v>
      </x:c>
      <x:c r="B90" s="9" t="str">
        <x:v>EOW-AR-RT-B-C-TECH-3-B1-BRK-G0</x:v>
      </x:c>
      <x:c r="C90" s="9" t="str">
        <x:v>AR-RT-B-C-TECH-3-B1-BRK-G0</x:v>
      </x:c>
      <x:c r="D90" s="9" t="str">
        <x:v>RT-B-C-TECH-3</x:v>
      </x:c>
      <x:c r="E90" s="9" t="str">
        <x:v>RT-B-C</x:v>
      </x:c>
      <x:c r="F90" s="9" t="str">
        <x:v>B1</x:v>
      </x:c>
      <x:c r="G90" s="9" t="str">
        <x:v>BRK</x:v>
      </x:c>
      <x:c r="H90" s="9" t="n">
        <x:v>4</x:v>
      </x:c>
      <x:c r="I90" s="9" t="n">
        <x:v>2</x:v>
      </x:c>
      <x:c r="J90" s="9" t="str">
        <x:v>RT-B-C-N1</x:v>
      </x:c>
      <x:c r="K90" s="9" t="str">
        <x:v>FX-RT-B-C-TECH-3-F2</x:v>
      </x:c>
      <x:c r="L90" s="9" t="n">
        <x:v>206</x:v>
      </x:c>
      <x:c r="M90" s="9" t="n">
        <x:v>1</x:v>
      </x:c>
      <x:c r="N90" s="9" t="n">
        <x:v>0</x:v>
      </x:c>
      <x:c r="O90" s="9" t="n">
        <x:v>10</x:v>
      </x:c>
      <x:c r="P90" s="9" t="n">
        <x:f>SUMIFS('Start Controls'!$P$7:$P$1446,'Start Controls'!$B$7:$B$1446,A90)</x:f>
        <x:v>0</x:v>
      </x:c>
      <x:c r="Q90" s="9" t="n">
        <x:v>0</x:v>
      </x:c>
      <x:c r="R90" s="9" t="n">
        <x:v>8</x:v>
      </x:c>
      <x:c r="S90" s="9" t="n">
        <x:f>SUMIFS('Raw Custody'!$M$7:$M$1158,'Raw Custody'!$B$7:$B$1158,A90)</x:f>
        <x:v>0</x:v>
      </x:c>
      <x:c r="T90" s="9" t="n">
        <x:v>12</x:v>
      </x:c>
      <x:c r="U90" s="9" t="n">
        <x:f>SUMIFS('Observation Gates'!$L$7:$L$1734,'Observation Gates'!$B$7:$B$1734,A90)</x:f>
        <x:v>0</x:v>
      </x:c>
      <x:c r="V90" s="9" t="str">
        <x:v>UNFILED</x:v>
      </x:c>
      <x:c r="W90" s="9" t="n">
        <x:v>0</x:v>
      </x:c>
      <x:c r="X90" s="9" t="n">
        <x:v>0</x:v>
      </x:c>
      <x:c r="Y90" s="9" t="n">
        <x:v>16</x:v>
      </x:c>
      <x:c r="Z90" s="9" t="n">
        <x:f>SUMIFS('Disclosure Packets'!$M$7:$M$2310,'Disclosure Packets'!$C$7:$C$2310,A90)</x:f>
        <x:v>0</x:v>
      </x:c>
      <x:c r="AA90" s="9" t="n">
        <x:v>0</x:v>
      </x:c>
      <x:c r="AB90" s="9" t="str">
        <x:f>IF(N90=0,"PLANNED / BLOCKED",IF(P90&lt;O90,"EOW / START BLOCKED",IF(Q90=0,"ARMED / UNSTARTED",IF(S90&lt;R90,"STARTED / RAW UNSEALED",IF(U90&lt;T90,"SEALED / OBSERVATION OPEN",IF(X90=0,"OBSERVED / UNJUDGED",IF(Z90&lt;Y90,"JUDGED / DISCLOSURE HELD",IF(AA90=0,"COMPLETE / EMBARGOED","PUBLIC / TERMINAL"))))))))</x:f>
        <x:v>PLANNED / BLOCKED</x:v>
      </x:c>
      <x:c r="AC90" s="9" t="n">
        <x:f>COUNTIFS($A$7:$A$150,A90)</x:f>
        <x:v>1</x:v>
      </x:c>
      <x:c r="AD90" s="9" t="n">
        <x:f>COUNTIFS($H$7:$H$150,H90,$I$7:$I$150,I90)</x:f>
        <x:v>6</x:v>
      </x:c>
      <x:c r="AE90" s="9" t="n">
        <x:f>COUNTIFS($H$7:$H$150,H90,$I$7:$I$150,I90,$J$7:$J$150,J90)</x:f>
        <x:v>1</x:v>
      </x:c>
    </x:row>
    <x:row r="91">
      <x:c r="A91" s="9" t="str">
        <x:v>EV-AR-ET-A-A-TECH-3-B2-INT-G0</x:v>
      </x:c>
      <x:c r="B91" s="9" t="str">
        <x:v>EOW-AR-ET-A-A-TECH-3-B2-INT-G0</x:v>
      </x:c>
      <x:c r="C91" s="9" t="str">
        <x:v>AR-ET-A-A-TECH-3-B2-INT-G0</x:v>
      </x:c>
      <x:c r="D91" s="9" t="str">
        <x:v>ET-A-A-TECH-3</x:v>
      </x:c>
      <x:c r="E91" s="9" t="str">
        <x:v>ET-A-A</x:v>
      </x:c>
      <x:c r="F91" s="9" t="str">
        <x:v>B2</x:v>
      </x:c>
      <x:c r="G91" s="9" t="str">
        <x:v>INT</x:v>
      </x:c>
      <x:c r="H91" s="9" t="n">
        <x:v>4</x:v>
      </x:c>
      <x:c r="I91" s="9" t="n">
        <x:v>3</x:v>
      </x:c>
      <x:c r="J91" s="9" t="str">
        <x:v>ET-A-A-N1</x:v>
      </x:c>
      <x:c r="K91" s="9" t="str">
        <x:v>FX-ET-A-A-TECH-3-F2</x:v>
      </x:c>
      <x:c r="L91" s="9" t="n">
        <x:v>212</x:v>
      </x:c>
      <x:c r="M91" s="9" t="n">
        <x:v>0</x:v>
      </x:c>
      <x:c r="N91" s="9" t="n">
        <x:v>0</x:v>
      </x:c>
      <x:c r="O91" s="9" t="n">
        <x:v>10</x:v>
      </x:c>
      <x:c r="P91" s="9" t="n">
        <x:f>SUMIFS('Start Controls'!$P$7:$P$1446,'Start Controls'!$B$7:$B$1446,A91)</x:f>
        <x:v>0</x:v>
      </x:c>
      <x:c r="Q91" s="9" t="n">
        <x:v>0</x:v>
      </x:c>
      <x:c r="R91" s="9" t="n">
        <x:v>8</x:v>
      </x:c>
      <x:c r="S91" s="9" t="n">
        <x:f>SUMIFS('Raw Custody'!$M$7:$M$1158,'Raw Custody'!$B$7:$B$1158,A91)</x:f>
        <x:v>0</x:v>
      </x:c>
      <x:c r="T91" s="9" t="n">
        <x:v>12</x:v>
      </x:c>
      <x:c r="U91" s="9" t="n">
        <x:f>SUMIFS('Observation Gates'!$L$7:$L$1734,'Observation Gates'!$B$7:$B$1734,A91)</x:f>
        <x:v>0</x:v>
      </x:c>
      <x:c r="V91" s="9" t="str">
        <x:v>UNFILED</x:v>
      </x:c>
      <x:c r="W91" s="9" t="n">
        <x:v>0</x:v>
      </x:c>
      <x:c r="X91" s="9" t="n">
        <x:v>0</x:v>
      </x:c>
      <x:c r="Y91" s="9" t="n">
        <x:v>16</x:v>
      </x:c>
      <x:c r="Z91" s="9" t="n">
        <x:f>SUMIFS('Disclosure Packets'!$M$7:$M$2310,'Disclosure Packets'!$C$7:$C$2310,A91)</x:f>
        <x:v>0</x:v>
      </x:c>
      <x:c r="AA91" s="9" t="n">
        <x:v>0</x:v>
      </x:c>
      <x:c r="AB91" s="9" t="str">
        <x:f>IF(N91=0,"PLANNED / BLOCKED",IF(P91&lt;O91,"EOW / START BLOCKED",IF(Q91=0,"ARMED / UNSTARTED",IF(S91&lt;R91,"STARTED / RAW UNSEALED",IF(U91&lt;T91,"SEALED / OBSERVATION OPEN",IF(X91=0,"OBSERVED / UNJUDGED",IF(Z91&lt;Y91,"JUDGED / DISCLOSURE HELD",IF(AA91=0,"COMPLETE / EMBARGOED","PUBLIC / TERMINAL"))))))))</x:f>
        <x:v>PLANNED / BLOCKED</x:v>
      </x:c>
      <x:c r="AC91" s="9" t="n">
        <x:f>COUNTIFS($A$7:$A$150,A91)</x:f>
        <x:v>1</x:v>
      </x:c>
      <x:c r="AD91" s="9" t="n">
        <x:f>COUNTIFS($H$7:$H$150,H91,$I$7:$I$150,I91)</x:f>
        <x:v>6</x:v>
      </x:c>
      <x:c r="AE91" s="9" t="n">
        <x:f>COUNTIFS($H$7:$H$150,H91,$I$7:$I$150,I91,$J$7:$J$150,J91)</x:f>
        <x:v>1</x:v>
      </x:c>
    </x:row>
    <x:row r="92">
      <x:c r="A92" s="9" t="str">
        <x:v>EV-AR-HC-A-C-TECH-4-B1-RCN-G0</x:v>
      </x:c>
      <x:c r="B92" s="9" t="str">
        <x:v>EOW-AR-HC-A-C-TECH-4-B1-RCN-G0</x:v>
      </x:c>
      <x:c r="C92" s="9" t="str">
        <x:v>AR-HC-A-C-TECH-4-B1-RCN-G0</x:v>
      </x:c>
      <x:c r="D92" s="9" t="str">
        <x:v>HC-A-C-TECH-4</x:v>
      </x:c>
      <x:c r="E92" s="9" t="str">
        <x:v>HC-A-C</x:v>
      </x:c>
      <x:c r="F92" s="9" t="str">
        <x:v>B1</x:v>
      </x:c>
      <x:c r="G92" s="9" t="str">
        <x:v>RCN</x:v>
      </x:c>
      <x:c r="H92" s="9" t="n">
        <x:v>4</x:v>
      </x:c>
      <x:c r="I92" s="9" t="n">
        <x:v>3</x:v>
      </x:c>
      <x:c r="J92" s="9" t="str">
        <x:v>HC-A-C-N2</x:v>
      </x:c>
      <x:c r="K92" s="9" t="str">
        <x:v>FX-HC-A-C-TECH-4-F2</x:v>
      </x:c>
      <x:c r="L92" s="9" t="n">
        <x:v>212</x:v>
      </x:c>
      <x:c r="M92" s="9" t="n">
        <x:v>1</x:v>
      </x:c>
      <x:c r="N92" s="9" t="n">
        <x:v>0</x:v>
      </x:c>
      <x:c r="O92" s="9" t="n">
        <x:v>10</x:v>
      </x:c>
      <x:c r="P92" s="9" t="n">
        <x:f>SUMIFS('Start Controls'!$P$7:$P$1446,'Start Controls'!$B$7:$B$1446,A92)</x:f>
        <x:v>0</x:v>
      </x:c>
      <x:c r="Q92" s="9" t="n">
        <x:v>0</x:v>
      </x:c>
      <x:c r="R92" s="9" t="n">
        <x:v>8</x:v>
      </x:c>
      <x:c r="S92" s="9" t="n">
        <x:f>SUMIFS('Raw Custody'!$M$7:$M$1158,'Raw Custody'!$B$7:$B$1158,A92)</x:f>
        <x:v>0</x:v>
      </x:c>
      <x:c r="T92" s="9" t="n">
        <x:v>12</x:v>
      </x:c>
      <x:c r="U92" s="9" t="n">
        <x:f>SUMIFS('Observation Gates'!$L$7:$L$1734,'Observation Gates'!$B$7:$B$1734,A92)</x:f>
        <x:v>0</x:v>
      </x:c>
      <x:c r="V92" s="9" t="str">
        <x:v>UNFILED</x:v>
      </x:c>
      <x:c r="W92" s="9" t="n">
        <x:v>0</x:v>
      </x:c>
      <x:c r="X92" s="9" t="n">
        <x:v>0</x:v>
      </x:c>
      <x:c r="Y92" s="9" t="n">
        <x:v>16</x:v>
      </x:c>
      <x:c r="Z92" s="9" t="n">
        <x:f>SUMIFS('Disclosure Packets'!$M$7:$M$2310,'Disclosure Packets'!$C$7:$C$2310,A92)</x:f>
        <x:v>0</x:v>
      </x:c>
      <x:c r="AA92" s="9" t="n">
        <x:v>0</x:v>
      </x:c>
      <x:c r="AB92" s="9" t="str">
        <x:f>IF(N92=0,"PLANNED / BLOCKED",IF(P92&lt;O92,"EOW / START BLOCKED",IF(Q92=0,"ARMED / UNSTARTED",IF(S92&lt;R92,"STARTED / RAW UNSEALED",IF(U92&lt;T92,"SEALED / OBSERVATION OPEN",IF(X92=0,"OBSERVED / UNJUDGED",IF(Z92&lt;Y92,"JUDGED / DISCLOSURE HELD",IF(AA92=0,"COMPLETE / EMBARGOED","PUBLIC / TERMINAL"))))))))</x:f>
        <x:v>PLANNED / BLOCKED</x:v>
      </x:c>
      <x:c r="AC92" s="9" t="n">
        <x:f>COUNTIFS($A$7:$A$150,A92)</x:f>
        <x:v>1</x:v>
      </x:c>
      <x:c r="AD92" s="9" t="n">
        <x:f>COUNTIFS($H$7:$H$150,H92,$I$7:$I$150,I92)</x:f>
        <x:v>6</x:v>
      </x:c>
      <x:c r="AE92" s="9" t="n">
        <x:f>COUNTIFS($H$7:$H$150,H92,$I$7:$I$150,I92,$J$7:$J$150,J92)</x:f>
        <x:v>1</x:v>
      </x:c>
    </x:row>
    <x:row r="93">
      <x:c r="A93" s="9" t="str">
        <x:v>EV-AR-HC-A-C-TECH-2-B1-INT-G0</x:v>
      </x:c>
      <x:c r="B93" s="9" t="str">
        <x:v>EOW-AR-HC-A-C-TECH-2-B1-INT-G0</x:v>
      </x:c>
      <x:c r="C93" s="9" t="str">
        <x:v>AR-HC-A-C-TECH-2-B1-INT-G0</x:v>
      </x:c>
      <x:c r="D93" s="9" t="str">
        <x:v>HC-A-C-TECH-2</x:v>
      </x:c>
      <x:c r="E93" s="9" t="str">
        <x:v>HC-A-C</x:v>
      </x:c>
      <x:c r="F93" s="9" t="str">
        <x:v>B1</x:v>
      </x:c>
      <x:c r="G93" s="9" t="str">
        <x:v>INT</x:v>
      </x:c>
      <x:c r="H93" s="9" t="n">
        <x:v>4</x:v>
      </x:c>
      <x:c r="I93" s="9" t="n">
        <x:v>3</x:v>
      </x:c>
      <x:c r="J93" s="9" t="str">
        <x:v>HC-A-C-N3</x:v>
      </x:c>
      <x:c r="K93" s="9" t="str">
        <x:v>FX-HC-A-C-TECH-2-F2</x:v>
      </x:c>
      <x:c r="L93" s="9" t="n">
        <x:v>212</x:v>
      </x:c>
      <x:c r="M93" s="9" t="n">
        <x:v>0</x:v>
      </x:c>
      <x:c r="N93" s="9" t="n">
        <x:v>0</x:v>
      </x:c>
      <x:c r="O93" s="9" t="n">
        <x:v>10</x:v>
      </x:c>
      <x:c r="P93" s="9" t="n">
        <x:f>SUMIFS('Start Controls'!$P$7:$P$1446,'Start Controls'!$B$7:$B$1446,A93)</x:f>
        <x:v>0</x:v>
      </x:c>
      <x:c r="Q93" s="9" t="n">
        <x:v>0</x:v>
      </x:c>
      <x:c r="R93" s="9" t="n">
        <x:v>8</x:v>
      </x:c>
      <x:c r="S93" s="9" t="n">
        <x:f>SUMIFS('Raw Custody'!$M$7:$M$1158,'Raw Custody'!$B$7:$B$1158,A93)</x:f>
        <x:v>0</x:v>
      </x:c>
      <x:c r="T93" s="9" t="n">
        <x:v>12</x:v>
      </x:c>
      <x:c r="U93" s="9" t="n">
        <x:f>SUMIFS('Observation Gates'!$L$7:$L$1734,'Observation Gates'!$B$7:$B$1734,A93)</x:f>
        <x:v>0</x:v>
      </x:c>
      <x:c r="V93" s="9" t="str">
        <x:v>UNFILED</x:v>
      </x:c>
      <x:c r="W93" s="9" t="n">
        <x:v>0</x:v>
      </x:c>
      <x:c r="X93" s="9" t="n">
        <x:v>0</x:v>
      </x:c>
      <x:c r="Y93" s="9" t="n">
        <x:v>16</x:v>
      </x:c>
      <x:c r="Z93" s="9" t="n">
        <x:f>SUMIFS('Disclosure Packets'!$M$7:$M$2310,'Disclosure Packets'!$C$7:$C$2310,A93)</x:f>
        <x:v>0</x:v>
      </x:c>
      <x:c r="AA93" s="9" t="n">
        <x:v>0</x:v>
      </x:c>
      <x:c r="AB93" s="9" t="str">
        <x:f>IF(N93=0,"PLANNED / BLOCKED",IF(P93&lt;O93,"EOW / START BLOCKED",IF(Q93=0,"ARMED / UNSTARTED",IF(S93&lt;R93,"STARTED / RAW UNSEALED",IF(U93&lt;T93,"SEALED / OBSERVATION OPEN",IF(X93=0,"OBSERVED / UNJUDGED",IF(Z93&lt;Y93,"JUDGED / DISCLOSURE HELD",IF(AA93=0,"COMPLETE / EMBARGOED","PUBLIC / TERMINAL"))))))))</x:f>
        <x:v>PLANNED / BLOCKED</x:v>
      </x:c>
      <x:c r="AC93" s="9" t="n">
        <x:f>COUNTIFS($A$7:$A$150,A93)</x:f>
        <x:v>1</x:v>
      </x:c>
      <x:c r="AD93" s="9" t="n">
        <x:f>COUNTIFS($H$7:$H$150,H93,$I$7:$I$150,I93)</x:f>
        <x:v>6</x:v>
      </x:c>
      <x:c r="AE93" s="9" t="n">
        <x:f>COUNTIFS($H$7:$H$150,H93,$I$7:$I$150,I93,$J$7:$J$150,J93)</x:f>
        <x:v>1</x:v>
      </x:c>
    </x:row>
    <x:row r="94">
      <x:c r="A94" s="9" t="str">
        <x:v>EV-AR-LF-B-A-TECH-4-B2-BRK-G0</x:v>
      </x:c>
      <x:c r="B94" s="9" t="str">
        <x:v>EOW-AR-LF-B-A-TECH-4-B2-BRK-G0</x:v>
      </x:c>
      <x:c r="C94" s="9" t="str">
        <x:v>AR-LF-B-A-TECH-4-B2-BRK-G0</x:v>
      </x:c>
      <x:c r="D94" s="9" t="str">
        <x:v>LF-B-A-TECH-4</x:v>
      </x:c>
      <x:c r="E94" s="9" t="str">
        <x:v>LF-B-A</x:v>
      </x:c>
      <x:c r="F94" s="9" t="str">
        <x:v>B2</x:v>
      </x:c>
      <x:c r="G94" s="9" t="str">
        <x:v>BRK</x:v>
      </x:c>
      <x:c r="H94" s="9" t="n">
        <x:v>4</x:v>
      </x:c>
      <x:c r="I94" s="9" t="n">
        <x:v>3</x:v>
      </x:c>
      <x:c r="J94" s="9" t="str">
        <x:v>LF-B-A-N2</x:v>
      </x:c>
      <x:c r="K94" s="9" t="str">
        <x:v>FX-LF-B-A-TECH-4-F2</x:v>
      </x:c>
      <x:c r="L94" s="9" t="n">
        <x:v>212</x:v>
      </x:c>
      <x:c r="M94" s="9" t="n">
        <x:v>1</x:v>
      </x:c>
      <x:c r="N94" s="9" t="n">
        <x:v>0</x:v>
      </x:c>
      <x:c r="O94" s="9" t="n">
        <x:v>10</x:v>
      </x:c>
      <x:c r="P94" s="9" t="n">
        <x:f>SUMIFS('Start Controls'!$P$7:$P$1446,'Start Controls'!$B$7:$B$1446,A94)</x:f>
        <x:v>0</x:v>
      </x:c>
      <x:c r="Q94" s="9" t="n">
        <x:v>0</x:v>
      </x:c>
      <x:c r="R94" s="9" t="n">
        <x:v>8</x:v>
      </x:c>
      <x:c r="S94" s="9" t="n">
        <x:f>SUMIFS('Raw Custody'!$M$7:$M$1158,'Raw Custody'!$B$7:$B$1158,A94)</x:f>
        <x:v>0</x:v>
      </x:c>
      <x:c r="T94" s="9" t="n">
        <x:v>12</x:v>
      </x:c>
      <x:c r="U94" s="9" t="n">
        <x:f>SUMIFS('Observation Gates'!$L$7:$L$1734,'Observation Gates'!$B$7:$B$1734,A94)</x:f>
        <x:v>0</x:v>
      </x:c>
      <x:c r="V94" s="9" t="str">
        <x:v>UNFILED</x:v>
      </x:c>
      <x:c r="W94" s="9" t="n">
        <x:v>0</x:v>
      </x:c>
      <x:c r="X94" s="9" t="n">
        <x:v>0</x:v>
      </x:c>
      <x:c r="Y94" s="9" t="n">
        <x:v>16</x:v>
      </x:c>
      <x:c r="Z94" s="9" t="n">
        <x:f>SUMIFS('Disclosure Packets'!$M$7:$M$2310,'Disclosure Packets'!$C$7:$C$2310,A94)</x:f>
        <x:v>0</x:v>
      </x:c>
      <x:c r="AA94" s="9" t="n">
        <x:v>0</x:v>
      </x:c>
      <x:c r="AB94" s="9" t="str">
        <x:f>IF(N94=0,"PLANNED / BLOCKED",IF(P94&lt;O94,"EOW / START BLOCKED",IF(Q94=0,"ARMED / UNSTARTED",IF(S94&lt;R94,"STARTED / RAW UNSEALED",IF(U94&lt;T94,"SEALED / OBSERVATION OPEN",IF(X94=0,"OBSERVED / UNJUDGED",IF(Z94&lt;Y94,"JUDGED / DISCLOSURE HELD",IF(AA94=0,"COMPLETE / EMBARGOED","PUBLIC / TERMINAL"))))))))</x:f>
        <x:v>PLANNED / BLOCKED</x:v>
      </x:c>
      <x:c r="AC94" s="9" t="n">
        <x:f>COUNTIFS($A$7:$A$150,A94)</x:f>
        <x:v>1</x:v>
      </x:c>
      <x:c r="AD94" s="9" t="n">
        <x:f>COUNTIFS($H$7:$H$150,H94,$I$7:$I$150,I94)</x:f>
        <x:v>6</x:v>
      </x:c>
      <x:c r="AE94" s="9" t="n">
        <x:f>COUNTIFS($H$7:$H$150,H94,$I$7:$I$150,I94,$J$7:$J$150,J94)</x:f>
        <x:v>1</x:v>
      </x:c>
    </x:row>
    <x:row r="95">
      <x:c r="A95" s="9" t="str">
        <x:v>EV-AR-LF-B-A-TECH-3-B1-RCN-G0</x:v>
      </x:c>
      <x:c r="B95" s="9" t="str">
        <x:v>EOW-AR-LF-B-A-TECH-3-B1-RCN-G0</x:v>
      </x:c>
      <x:c r="C95" s="9" t="str">
        <x:v>AR-LF-B-A-TECH-3-B1-RCN-G0</x:v>
      </x:c>
      <x:c r="D95" s="9" t="str">
        <x:v>LF-B-A-TECH-3</x:v>
      </x:c>
      <x:c r="E95" s="9" t="str">
        <x:v>LF-B-A</x:v>
      </x:c>
      <x:c r="F95" s="9" t="str">
        <x:v>B1</x:v>
      </x:c>
      <x:c r="G95" s="9" t="str">
        <x:v>RCN</x:v>
      </x:c>
      <x:c r="H95" s="9" t="n">
        <x:v>4</x:v>
      </x:c>
      <x:c r="I95" s="9" t="n">
        <x:v>3</x:v>
      </x:c>
      <x:c r="J95" s="9" t="str">
        <x:v>LF-B-A-N3</x:v>
      </x:c>
      <x:c r="K95" s="9" t="str">
        <x:v>FX-LF-B-A-TECH-3-F1</x:v>
      </x:c>
      <x:c r="L95" s="9" t="n">
        <x:v>212</x:v>
      </x:c>
      <x:c r="M95" s="9" t="n">
        <x:v>1</x:v>
      </x:c>
      <x:c r="N95" s="9" t="n">
        <x:v>0</x:v>
      </x:c>
      <x:c r="O95" s="9" t="n">
        <x:v>10</x:v>
      </x:c>
      <x:c r="P95" s="9" t="n">
        <x:f>SUMIFS('Start Controls'!$P$7:$P$1446,'Start Controls'!$B$7:$B$1446,A95)</x:f>
        <x:v>0</x:v>
      </x:c>
      <x:c r="Q95" s="9" t="n">
        <x:v>0</x:v>
      </x:c>
      <x:c r="R95" s="9" t="n">
        <x:v>8</x:v>
      </x:c>
      <x:c r="S95" s="9" t="n">
        <x:f>SUMIFS('Raw Custody'!$M$7:$M$1158,'Raw Custody'!$B$7:$B$1158,A95)</x:f>
        <x:v>0</x:v>
      </x:c>
      <x:c r="T95" s="9" t="n">
        <x:v>12</x:v>
      </x:c>
      <x:c r="U95" s="9" t="n">
        <x:f>SUMIFS('Observation Gates'!$L$7:$L$1734,'Observation Gates'!$B$7:$B$1734,A95)</x:f>
        <x:v>0</x:v>
      </x:c>
      <x:c r="V95" s="9" t="str">
        <x:v>UNFILED</x:v>
      </x:c>
      <x:c r="W95" s="9" t="n">
        <x:v>0</x:v>
      </x:c>
      <x:c r="X95" s="9" t="n">
        <x:v>0</x:v>
      </x:c>
      <x:c r="Y95" s="9" t="n">
        <x:v>16</x:v>
      </x:c>
      <x:c r="Z95" s="9" t="n">
        <x:f>SUMIFS('Disclosure Packets'!$M$7:$M$2310,'Disclosure Packets'!$C$7:$C$2310,A95)</x:f>
        <x:v>0</x:v>
      </x:c>
      <x:c r="AA95" s="9" t="n">
        <x:v>0</x:v>
      </x:c>
      <x:c r="AB95" s="9" t="str">
        <x:f>IF(N95=0,"PLANNED / BLOCKED",IF(P95&lt;O95,"EOW / START BLOCKED",IF(Q95=0,"ARMED / UNSTARTED",IF(S95&lt;R95,"STARTED / RAW UNSEALED",IF(U95&lt;T95,"SEALED / OBSERVATION OPEN",IF(X95=0,"OBSERVED / UNJUDGED",IF(Z95&lt;Y95,"JUDGED / DISCLOSURE HELD",IF(AA95=0,"COMPLETE / EMBARGOED","PUBLIC / TERMINAL"))))))))</x:f>
        <x:v>PLANNED / BLOCKED</x:v>
      </x:c>
      <x:c r="AC95" s="9" t="n">
        <x:f>COUNTIFS($A$7:$A$150,A95)</x:f>
        <x:v>1</x:v>
      </x:c>
      <x:c r="AD95" s="9" t="n">
        <x:f>COUNTIFS($H$7:$H$150,H95,$I$7:$I$150,I95)</x:f>
        <x:v>6</x:v>
      </x:c>
      <x:c r="AE95" s="9" t="n">
        <x:f>COUNTIFS($H$7:$H$150,H95,$I$7:$I$150,I95,$J$7:$J$150,J95)</x:f>
        <x:v>1</x:v>
      </x:c>
    </x:row>
    <x:row r="96">
      <x:c r="A96" s="9" t="str">
        <x:v>EV-AR-RT-B-C-TECH-4-B2-INT-G0</x:v>
      </x:c>
      <x:c r="B96" s="9" t="str">
        <x:v>EOW-AR-RT-B-C-TECH-4-B2-INT-G0</x:v>
      </x:c>
      <x:c r="C96" s="9" t="str">
        <x:v>AR-RT-B-C-TECH-4-B2-INT-G0</x:v>
      </x:c>
      <x:c r="D96" s="9" t="str">
        <x:v>RT-B-C-TECH-4</x:v>
      </x:c>
      <x:c r="E96" s="9" t="str">
        <x:v>RT-B-C</x:v>
      </x:c>
      <x:c r="F96" s="9" t="str">
        <x:v>B2</x:v>
      </x:c>
      <x:c r="G96" s="9" t="str">
        <x:v>INT</x:v>
      </x:c>
      <x:c r="H96" s="9" t="n">
        <x:v>4</x:v>
      </x:c>
      <x:c r="I96" s="9" t="n">
        <x:v>3</x:v>
      </x:c>
      <x:c r="J96" s="9" t="str">
        <x:v>RT-B-C-N1</x:v>
      </x:c>
      <x:c r="K96" s="9" t="str">
        <x:v>FX-RT-B-C-TECH-4-F1</x:v>
      </x:c>
      <x:c r="L96" s="9" t="n">
        <x:v>212</x:v>
      </x:c>
      <x:c r="M96" s="9" t="n">
        <x:v>0</x:v>
      </x:c>
      <x:c r="N96" s="9" t="n">
        <x:v>0</x:v>
      </x:c>
      <x:c r="O96" s="9" t="n">
        <x:v>10</x:v>
      </x:c>
      <x:c r="P96" s="9" t="n">
        <x:f>SUMIFS('Start Controls'!$P$7:$P$1446,'Start Controls'!$B$7:$B$1446,A96)</x:f>
        <x:v>0</x:v>
      </x:c>
      <x:c r="Q96" s="9" t="n">
        <x:v>0</x:v>
      </x:c>
      <x:c r="R96" s="9" t="n">
        <x:v>8</x:v>
      </x:c>
      <x:c r="S96" s="9" t="n">
        <x:f>SUMIFS('Raw Custody'!$M$7:$M$1158,'Raw Custody'!$B$7:$B$1158,A96)</x:f>
        <x:v>0</x:v>
      </x:c>
      <x:c r="T96" s="9" t="n">
        <x:v>12</x:v>
      </x:c>
      <x:c r="U96" s="9" t="n">
        <x:f>SUMIFS('Observation Gates'!$L$7:$L$1734,'Observation Gates'!$B$7:$B$1734,A96)</x:f>
        <x:v>0</x:v>
      </x:c>
      <x:c r="V96" s="9" t="str">
        <x:v>UNFILED</x:v>
      </x:c>
      <x:c r="W96" s="9" t="n">
        <x:v>0</x:v>
      </x:c>
      <x:c r="X96" s="9" t="n">
        <x:v>0</x:v>
      </x:c>
      <x:c r="Y96" s="9" t="n">
        <x:v>16</x:v>
      </x:c>
      <x:c r="Z96" s="9" t="n">
        <x:f>SUMIFS('Disclosure Packets'!$M$7:$M$2310,'Disclosure Packets'!$C$7:$C$2310,A96)</x:f>
        <x:v>0</x:v>
      </x:c>
      <x:c r="AA96" s="9" t="n">
        <x:v>0</x:v>
      </x:c>
      <x:c r="AB96" s="9" t="str">
        <x:f>IF(N96=0,"PLANNED / BLOCKED",IF(P96&lt;O96,"EOW / START BLOCKED",IF(Q96=0,"ARMED / UNSTARTED",IF(S96&lt;R96,"STARTED / RAW UNSEALED",IF(U96&lt;T96,"SEALED / OBSERVATION OPEN",IF(X96=0,"OBSERVED / UNJUDGED",IF(Z96&lt;Y96,"JUDGED / DISCLOSURE HELD",IF(AA96=0,"COMPLETE / EMBARGOED","PUBLIC / TERMINAL"))))))))</x:f>
        <x:v>PLANNED / BLOCKED</x:v>
      </x:c>
      <x:c r="AC96" s="9" t="n">
        <x:f>COUNTIFS($A$7:$A$150,A96)</x:f>
        <x:v>1</x:v>
      </x:c>
      <x:c r="AD96" s="9" t="n">
        <x:f>COUNTIFS($H$7:$H$150,H96,$I$7:$I$150,I96)</x:f>
        <x:v>6</x:v>
      </x:c>
      <x:c r="AE96" s="9" t="n">
        <x:f>COUNTIFS($H$7:$H$150,H96,$I$7:$I$150,I96,$J$7:$J$150,J96)</x:f>
        <x:v>1</x:v>
      </x:c>
    </x:row>
    <x:row r="97">
      <x:c r="A97" s="9" t="str">
        <x:v>EV-AR-CT-C-B-TECH-4-B2-RCN-G0</x:v>
      </x:c>
      <x:c r="B97" s="9" t="str">
        <x:v>EOW-AR-CT-C-B-TECH-4-B2-RCN-G0</x:v>
      </x:c>
      <x:c r="C97" s="9" t="str">
        <x:v>AR-CT-C-B-TECH-4-B2-RCN-G0</x:v>
      </x:c>
      <x:c r="D97" s="9" t="str">
        <x:v>CT-C-B-TECH-4</x:v>
      </x:c>
      <x:c r="E97" s="9" t="str">
        <x:v>CT-C-B</x:v>
      </x:c>
      <x:c r="F97" s="9" t="str">
        <x:v>B2</x:v>
      </x:c>
      <x:c r="G97" s="9" t="str">
        <x:v>RCN</x:v>
      </x:c>
      <x:c r="H97" s="9" t="n">
        <x:v>4</x:v>
      </x:c>
      <x:c r="I97" s="9" t="n">
        <x:v>4</x:v>
      </x:c>
      <x:c r="J97" s="9" t="str">
        <x:v>CT-C-B-N1</x:v>
      </x:c>
      <x:c r="K97" s="9" t="str">
        <x:v>FX-CT-C-B-TECH-4-F1</x:v>
      </x:c>
      <x:c r="L97" s="9" t="n">
        <x:v>218</x:v>
      </x:c>
      <x:c r="M97" s="9" t="n">
        <x:v>1</x:v>
      </x:c>
      <x:c r="N97" s="9" t="n">
        <x:v>0</x:v>
      </x:c>
      <x:c r="O97" s="9" t="n">
        <x:v>10</x:v>
      </x:c>
      <x:c r="P97" s="9" t="n">
        <x:f>SUMIFS('Start Controls'!$P$7:$P$1446,'Start Controls'!$B$7:$B$1446,A97)</x:f>
        <x:v>0</x:v>
      </x:c>
      <x:c r="Q97" s="9" t="n">
        <x:v>0</x:v>
      </x:c>
      <x:c r="R97" s="9" t="n">
        <x:v>8</x:v>
      </x:c>
      <x:c r="S97" s="9" t="n">
        <x:f>SUMIFS('Raw Custody'!$M$7:$M$1158,'Raw Custody'!$B$7:$B$1158,A97)</x:f>
        <x:v>0</x:v>
      </x:c>
      <x:c r="T97" s="9" t="n">
        <x:v>12</x:v>
      </x:c>
      <x:c r="U97" s="9" t="n">
        <x:f>SUMIFS('Observation Gates'!$L$7:$L$1734,'Observation Gates'!$B$7:$B$1734,A97)</x:f>
        <x:v>0</x:v>
      </x:c>
      <x:c r="V97" s="9" t="str">
        <x:v>UNFILED</x:v>
      </x:c>
      <x:c r="W97" s="9" t="n">
        <x:v>0</x:v>
      </x:c>
      <x:c r="X97" s="9" t="n">
        <x:v>0</x:v>
      </x:c>
      <x:c r="Y97" s="9" t="n">
        <x:v>16</x:v>
      </x:c>
      <x:c r="Z97" s="9" t="n">
        <x:f>SUMIFS('Disclosure Packets'!$M$7:$M$2310,'Disclosure Packets'!$C$7:$C$2310,A97)</x:f>
        <x:v>0</x:v>
      </x:c>
      <x:c r="AA97" s="9" t="n">
        <x:v>0</x:v>
      </x:c>
      <x:c r="AB97" s="9" t="str">
        <x:f>IF(N97=0,"PLANNED / BLOCKED",IF(P97&lt;O97,"EOW / START BLOCKED",IF(Q97=0,"ARMED / UNSTARTED",IF(S97&lt;R97,"STARTED / RAW UNSEALED",IF(U97&lt;T97,"SEALED / OBSERVATION OPEN",IF(X97=0,"OBSERVED / UNJUDGED",IF(Z97&lt;Y97,"JUDGED / DISCLOSURE HELD",IF(AA97=0,"COMPLETE / EMBARGOED","PUBLIC / TERMINAL"))))))))</x:f>
        <x:v>PLANNED / BLOCKED</x:v>
      </x:c>
      <x:c r="AC97" s="9" t="n">
        <x:f>COUNTIFS($A$7:$A$150,A97)</x:f>
        <x:v>1</x:v>
      </x:c>
      <x:c r="AD97" s="9" t="n">
        <x:f>COUNTIFS($H$7:$H$150,H97,$I$7:$I$150,I97)</x:f>
        <x:v>6</x:v>
      </x:c>
      <x:c r="AE97" s="9" t="n">
        <x:f>COUNTIFS($H$7:$H$150,H97,$I$7:$I$150,I97,$J$7:$J$150,J97)</x:f>
        <x:v>1</x:v>
      </x:c>
    </x:row>
    <x:row r="98">
      <x:c r="A98" s="9" t="str">
        <x:v>EV-AR-CT-C-B-TECH-1-B1-BRK-G0</x:v>
      </x:c>
      <x:c r="B98" s="9" t="str">
        <x:v>EOW-AR-CT-C-B-TECH-1-B1-BRK-G0</x:v>
      </x:c>
      <x:c r="C98" s="9" t="str">
        <x:v>AR-CT-C-B-TECH-1-B1-BRK-G0</x:v>
      </x:c>
      <x:c r="D98" s="9" t="str">
        <x:v>CT-C-B-TECH-1</x:v>
      </x:c>
      <x:c r="E98" s="9" t="str">
        <x:v>CT-C-B</x:v>
      </x:c>
      <x:c r="F98" s="9" t="str">
        <x:v>B1</x:v>
      </x:c>
      <x:c r="G98" s="9" t="str">
        <x:v>BRK</x:v>
      </x:c>
      <x:c r="H98" s="9" t="n">
        <x:v>4</x:v>
      </x:c>
      <x:c r="I98" s="9" t="n">
        <x:v>4</x:v>
      </x:c>
      <x:c r="J98" s="9" t="str">
        <x:v>CT-C-B-N2</x:v>
      </x:c>
      <x:c r="K98" s="9" t="str">
        <x:v>FX-CT-C-B-TECH-1-F2</x:v>
      </x:c>
      <x:c r="L98" s="9" t="n">
        <x:v>218</x:v>
      </x:c>
      <x:c r="M98" s="9" t="n">
        <x:v>1</x:v>
      </x:c>
      <x:c r="N98" s="9" t="n">
        <x:v>0</x:v>
      </x:c>
      <x:c r="O98" s="9" t="n">
        <x:v>10</x:v>
      </x:c>
      <x:c r="P98" s="9" t="n">
        <x:f>SUMIFS('Start Controls'!$P$7:$P$1446,'Start Controls'!$B$7:$B$1446,A98)</x:f>
        <x:v>0</x:v>
      </x:c>
      <x:c r="Q98" s="9" t="n">
        <x:v>0</x:v>
      </x:c>
      <x:c r="R98" s="9" t="n">
        <x:v>8</x:v>
      </x:c>
      <x:c r="S98" s="9" t="n">
        <x:f>SUMIFS('Raw Custody'!$M$7:$M$1158,'Raw Custody'!$B$7:$B$1158,A98)</x:f>
        <x:v>0</x:v>
      </x:c>
      <x:c r="T98" s="9" t="n">
        <x:v>12</x:v>
      </x:c>
      <x:c r="U98" s="9" t="n">
        <x:f>SUMIFS('Observation Gates'!$L$7:$L$1734,'Observation Gates'!$B$7:$B$1734,A98)</x:f>
        <x:v>0</x:v>
      </x:c>
      <x:c r="V98" s="9" t="str">
        <x:v>UNFILED</x:v>
      </x:c>
      <x:c r="W98" s="9" t="n">
        <x:v>0</x:v>
      </x:c>
      <x:c r="X98" s="9" t="n">
        <x:v>0</x:v>
      </x:c>
      <x:c r="Y98" s="9" t="n">
        <x:v>16</x:v>
      </x:c>
      <x:c r="Z98" s="9" t="n">
        <x:f>SUMIFS('Disclosure Packets'!$M$7:$M$2310,'Disclosure Packets'!$C$7:$C$2310,A98)</x:f>
        <x:v>0</x:v>
      </x:c>
      <x:c r="AA98" s="9" t="n">
        <x:v>0</x:v>
      </x:c>
      <x:c r="AB98" s="9" t="str">
        <x:f>IF(N98=0,"PLANNED / BLOCKED",IF(P98&lt;O98,"EOW / START BLOCKED",IF(Q98=0,"ARMED / UNSTARTED",IF(S98&lt;R98,"STARTED / RAW UNSEALED",IF(U98&lt;T98,"SEALED / OBSERVATION OPEN",IF(X98=0,"OBSERVED / UNJUDGED",IF(Z98&lt;Y98,"JUDGED / DISCLOSURE HELD",IF(AA98=0,"COMPLETE / EMBARGOED","PUBLIC / TERMINAL"))))))))</x:f>
        <x:v>PLANNED / BLOCKED</x:v>
      </x:c>
      <x:c r="AC98" s="9" t="n">
        <x:f>COUNTIFS($A$7:$A$150,A98)</x:f>
        <x:v>1</x:v>
      </x:c>
      <x:c r="AD98" s="9" t="n">
        <x:f>COUNTIFS($H$7:$H$150,H98,$I$7:$I$150,I98)</x:f>
        <x:v>6</x:v>
      </x:c>
      <x:c r="AE98" s="9" t="n">
        <x:f>COUNTIFS($H$7:$H$150,H98,$I$7:$I$150,I98,$J$7:$J$150,J98)</x:f>
        <x:v>1</x:v>
      </x:c>
    </x:row>
    <x:row r="99">
      <x:c r="A99" s="9" t="str">
        <x:v>EV-AR-ET-A-A-TECH-2-B1-BRK-G0</x:v>
      </x:c>
      <x:c r="B99" s="9" t="str">
        <x:v>EOW-AR-ET-A-A-TECH-2-B1-BRK-G0</x:v>
      </x:c>
      <x:c r="C99" s="9" t="str">
        <x:v>AR-ET-A-A-TECH-2-B1-BRK-G0</x:v>
      </x:c>
      <x:c r="D99" s="9" t="str">
        <x:v>ET-A-A-TECH-2</x:v>
      </x:c>
      <x:c r="E99" s="9" t="str">
        <x:v>ET-A-A</x:v>
      </x:c>
      <x:c r="F99" s="9" t="str">
        <x:v>B1</x:v>
      </x:c>
      <x:c r="G99" s="9" t="str">
        <x:v>BRK</x:v>
      </x:c>
      <x:c r="H99" s="9" t="n">
        <x:v>4</x:v>
      </x:c>
      <x:c r="I99" s="9" t="n">
        <x:v>4</x:v>
      </x:c>
      <x:c r="J99" s="9" t="str">
        <x:v>ET-A-A-N2</x:v>
      </x:c>
      <x:c r="K99" s="9" t="str">
        <x:v>FX-ET-A-A-TECH-2-F1</x:v>
      </x:c>
      <x:c r="L99" s="9" t="n">
        <x:v>218</x:v>
      </x:c>
      <x:c r="M99" s="9" t="n">
        <x:v>1</x:v>
      </x:c>
      <x:c r="N99" s="9" t="n">
        <x:v>0</x:v>
      </x:c>
      <x:c r="O99" s="9" t="n">
        <x:v>10</x:v>
      </x:c>
      <x:c r="P99" s="9" t="n">
        <x:f>SUMIFS('Start Controls'!$P$7:$P$1446,'Start Controls'!$B$7:$B$1446,A99)</x:f>
        <x:v>0</x:v>
      </x:c>
      <x:c r="Q99" s="9" t="n">
        <x:v>0</x:v>
      </x:c>
      <x:c r="R99" s="9" t="n">
        <x:v>8</x:v>
      </x:c>
      <x:c r="S99" s="9" t="n">
        <x:f>SUMIFS('Raw Custody'!$M$7:$M$1158,'Raw Custody'!$B$7:$B$1158,A99)</x:f>
        <x:v>0</x:v>
      </x:c>
      <x:c r="T99" s="9" t="n">
        <x:v>12</x:v>
      </x:c>
      <x:c r="U99" s="9" t="n">
        <x:f>SUMIFS('Observation Gates'!$L$7:$L$1734,'Observation Gates'!$B$7:$B$1734,A99)</x:f>
        <x:v>0</x:v>
      </x:c>
      <x:c r="V99" s="9" t="str">
        <x:v>UNFILED</x:v>
      </x:c>
      <x:c r="W99" s="9" t="n">
        <x:v>0</x:v>
      </x:c>
      <x:c r="X99" s="9" t="n">
        <x:v>0</x:v>
      </x:c>
      <x:c r="Y99" s="9" t="n">
        <x:v>16</x:v>
      </x:c>
      <x:c r="Z99" s="9" t="n">
        <x:f>SUMIFS('Disclosure Packets'!$M$7:$M$2310,'Disclosure Packets'!$C$7:$C$2310,A99)</x:f>
        <x:v>0</x:v>
      </x:c>
      <x:c r="AA99" s="9" t="n">
        <x:v>0</x:v>
      </x:c>
      <x:c r="AB99" s="9" t="str">
        <x:f>IF(N99=0,"PLANNED / BLOCKED",IF(P99&lt;O99,"EOW / START BLOCKED",IF(Q99=0,"ARMED / UNSTARTED",IF(S99&lt;R99,"STARTED / RAW UNSEALED",IF(U99&lt;T99,"SEALED / OBSERVATION OPEN",IF(X99=0,"OBSERVED / UNJUDGED",IF(Z99&lt;Y99,"JUDGED / DISCLOSURE HELD",IF(AA99=0,"COMPLETE / EMBARGOED","PUBLIC / TERMINAL"))))))))</x:f>
        <x:v>PLANNED / BLOCKED</x:v>
      </x:c>
      <x:c r="AC99" s="9" t="n">
        <x:f>COUNTIFS($A$7:$A$150,A99)</x:f>
        <x:v>1</x:v>
      </x:c>
      <x:c r="AD99" s="9" t="n">
        <x:f>COUNTIFS($H$7:$H$150,H99,$I$7:$I$150,I99)</x:f>
        <x:v>6</x:v>
      </x:c>
      <x:c r="AE99" s="9" t="n">
        <x:f>COUNTIFS($H$7:$H$150,H99,$I$7:$I$150,I99,$J$7:$J$150,J99)</x:f>
        <x:v>1</x:v>
      </x:c>
    </x:row>
    <x:row r="100">
      <x:c r="A100" s="9" t="str">
        <x:v>EV-AR-HU-A-B-TECH-4-B1-BRK-G0</x:v>
      </x:c>
      <x:c r="B100" s="9" t="str">
        <x:v>EOW-AR-HU-A-B-TECH-4-B1-BRK-G0</x:v>
      </x:c>
      <x:c r="C100" s="9" t="str">
        <x:v>AR-HU-A-B-TECH-4-B1-BRK-G0</x:v>
      </x:c>
      <x:c r="D100" s="9" t="str">
        <x:v>HU-A-B-TECH-4</x:v>
      </x:c>
      <x:c r="E100" s="9" t="str">
        <x:v>HU-A-B</x:v>
      </x:c>
      <x:c r="F100" s="9" t="str">
        <x:v>B1</x:v>
      </x:c>
      <x:c r="G100" s="9" t="str">
        <x:v>BRK</x:v>
      </x:c>
      <x:c r="H100" s="9" t="n">
        <x:v>4</x:v>
      </x:c>
      <x:c r="I100" s="9" t="n">
        <x:v>4</x:v>
      </x:c>
      <x:c r="J100" s="9" t="str">
        <x:v>HU-A-B-N1</x:v>
      </x:c>
      <x:c r="K100" s="9" t="str">
        <x:v>FX-HU-A-B-TECH-4-F1</x:v>
      </x:c>
      <x:c r="L100" s="9" t="n">
        <x:v>218</x:v>
      </x:c>
      <x:c r="M100" s="9" t="n">
        <x:v>1</x:v>
      </x:c>
      <x:c r="N100" s="9" t="n">
        <x:v>0</x:v>
      </x:c>
      <x:c r="O100" s="9" t="n">
        <x:v>10</x:v>
      </x:c>
      <x:c r="P100" s="9" t="n">
        <x:f>SUMIFS('Start Controls'!$P$7:$P$1446,'Start Controls'!$B$7:$B$1446,A100)</x:f>
        <x:v>0</x:v>
      </x:c>
      <x:c r="Q100" s="9" t="n">
        <x:v>0</x:v>
      </x:c>
      <x:c r="R100" s="9" t="n">
        <x:v>8</x:v>
      </x:c>
      <x:c r="S100" s="9" t="n">
        <x:f>SUMIFS('Raw Custody'!$M$7:$M$1158,'Raw Custody'!$B$7:$B$1158,A100)</x:f>
        <x:v>0</x:v>
      </x:c>
      <x:c r="T100" s="9" t="n">
        <x:v>12</x:v>
      </x:c>
      <x:c r="U100" s="9" t="n">
        <x:f>SUMIFS('Observation Gates'!$L$7:$L$1734,'Observation Gates'!$B$7:$B$1734,A100)</x:f>
        <x:v>0</x:v>
      </x:c>
      <x:c r="V100" s="9" t="str">
        <x:v>UNFILED</x:v>
      </x:c>
      <x:c r="W100" s="9" t="n">
        <x:v>0</x:v>
      </x:c>
      <x:c r="X100" s="9" t="n">
        <x:v>0</x:v>
      </x:c>
      <x:c r="Y100" s="9" t="n">
        <x:v>16</x:v>
      </x:c>
      <x:c r="Z100" s="9" t="n">
        <x:f>SUMIFS('Disclosure Packets'!$M$7:$M$2310,'Disclosure Packets'!$C$7:$C$2310,A100)</x:f>
        <x:v>0</x:v>
      </x:c>
      <x:c r="AA100" s="9" t="n">
        <x:v>0</x:v>
      </x:c>
      <x:c r="AB100" s="9" t="str">
        <x:f>IF(N100=0,"PLANNED / BLOCKED",IF(P100&lt;O100,"EOW / START BLOCKED",IF(Q100=0,"ARMED / UNSTARTED",IF(S100&lt;R100,"STARTED / RAW UNSEALED",IF(U100&lt;T100,"SEALED / OBSERVATION OPEN",IF(X100=0,"OBSERVED / UNJUDGED",IF(Z100&lt;Y100,"JUDGED / DISCLOSURE HELD",IF(AA100=0,"COMPLETE / EMBARGOED","PUBLIC / TERMINAL"))))))))</x:f>
        <x:v>PLANNED / BLOCKED</x:v>
      </x:c>
      <x:c r="AC100" s="9" t="n">
        <x:f>COUNTIFS($A$7:$A$150,A100)</x:f>
        <x:v>1</x:v>
      </x:c>
      <x:c r="AD100" s="9" t="n">
        <x:f>COUNTIFS($H$7:$H$150,H100,$I$7:$I$150,I100)</x:f>
        <x:v>6</x:v>
      </x:c>
      <x:c r="AE100" s="9" t="n">
        <x:f>COUNTIFS($H$7:$H$150,H100,$I$7:$I$150,I100,$J$7:$J$150,J100)</x:f>
        <x:v>1</x:v>
      </x:c>
    </x:row>
    <x:row r="101">
      <x:c r="A101" s="9" t="str">
        <x:v>EV-AR-HU-A-B-TECH-2-B1-RCN-G0</x:v>
      </x:c>
      <x:c r="B101" s="9" t="str">
        <x:v>EOW-AR-HU-A-B-TECH-2-B1-RCN-G0</x:v>
      </x:c>
      <x:c r="C101" s="9" t="str">
        <x:v>AR-HU-A-B-TECH-2-B1-RCN-G0</x:v>
      </x:c>
      <x:c r="D101" s="9" t="str">
        <x:v>HU-A-B-TECH-2</x:v>
      </x:c>
      <x:c r="E101" s="9" t="str">
        <x:v>HU-A-B</x:v>
      </x:c>
      <x:c r="F101" s="9" t="str">
        <x:v>B1</x:v>
      </x:c>
      <x:c r="G101" s="9" t="str">
        <x:v>RCN</x:v>
      </x:c>
      <x:c r="H101" s="9" t="n">
        <x:v>4</x:v>
      </x:c>
      <x:c r="I101" s="9" t="n">
        <x:v>4</x:v>
      </x:c>
      <x:c r="J101" s="9" t="str">
        <x:v>HU-A-B-N3</x:v>
      </x:c>
      <x:c r="K101" s="9" t="str">
        <x:v>FX-HU-A-B-TECH-2-F2</x:v>
      </x:c>
      <x:c r="L101" s="9" t="n">
        <x:v>218</x:v>
      </x:c>
      <x:c r="M101" s="9" t="n">
        <x:v>1</x:v>
      </x:c>
      <x:c r="N101" s="9" t="n">
        <x:v>0</x:v>
      </x:c>
      <x:c r="O101" s="9" t="n">
        <x:v>10</x:v>
      </x:c>
      <x:c r="P101" s="9" t="n">
        <x:f>SUMIFS('Start Controls'!$P$7:$P$1446,'Start Controls'!$B$7:$B$1446,A101)</x:f>
        <x:v>0</x:v>
      </x:c>
      <x:c r="Q101" s="9" t="n">
        <x:v>0</x:v>
      </x:c>
      <x:c r="R101" s="9" t="n">
        <x:v>8</x:v>
      </x:c>
      <x:c r="S101" s="9" t="n">
        <x:f>SUMIFS('Raw Custody'!$M$7:$M$1158,'Raw Custody'!$B$7:$B$1158,A101)</x:f>
        <x:v>0</x:v>
      </x:c>
      <x:c r="T101" s="9" t="n">
        <x:v>12</x:v>
      </x:c>
      <x:c r="U101" s="9" t="n">
        <x:f>SUMIFS('Observation Gates'!$L$7:$L$1734,'Observation Gates'!$B$7:$B$1734,A101)</x:f>
        <x:v>0</x:v>
      </x:c>
      <x:c r="V101" s="9" t="str">
        <x:v>UNFILED</x:v>
      </x:c>
      <x:c r="W101" s="9" t="n">
        <x:v>0</x:v>
      </x:c>
      <x:c r="X101" s="9" t="n">
        <x:v>0</x:v>
      </x:c>
      <x:c r="Y101" s="9" t="n">
        <x:v>16</x:v>
      </x:c>
      <x:c r="Z101" s="9" t="n">
        <x:f>SUMIFS('Disclosure Packets'!$M$7:$M$2310,'Disclosure Packets'!$C$7:$C$2310,A101)</x:f>
        <x:v>0</x:v>
      </x:c>
      <x:c r="AA101" s="9" t="n">
        <x:v>0</x:v>
      </x:c>
      <x:c r="AB101" s="9" t="str">
        <x:f>IF(N101=0,"PLANNED / BLOCKED",IF(P101&lt;O101,"EOW / START BLOCKED",IF(Q101=0,"ARMED / UNSTARTED",IF(S101&lt;R101,"STARTED / RAW UNSEALED",IF(U101&lt;T101,"SEALED / OBSERVATION OPEN",IF(X101=0,"OBSERVED / UNJUDGED",IF(Z101&lt;Y101,"JUDGED / DISCLOSURE HELD",IF(AA101=0,"COMPLETE / EMBARGOED","PUBLIC / TERMINAL"))))))))</x:f>
        <x:v>PLANNED / BLOCKED</x:v>
      </x:c>
      <x:c r="AC101" s="9" t="n">
        <x:f>COUNTIFS($A$7:$A$150,A101)</x:f>
        <x:v>1</x:v>
      </x:c>
      <x:c r="AD101" s="9" t="n">
        <x:f>COUNTIFS($H$7:$H$150,H101,$I$7:$I$150,I101)</x:f>
        <x:v>6</x:v>
      </x:c>
      <x:c r="AE101" s="9" t="n">
        <x:f>COUNTIFS($H$7:$H$150,H101,$I$7:$I$150,I101,$J$7:$J$150,J101)</x:f>
        <x:v>1</x:v>
      </x:c>
    </x:row>
    <x:row r="102">
      <x:c r="A102" s="9" t="str">
        <x:v>EV-AR-RT-B-C-TECH-2-B2-BRK-G0</x:v>
      </x:c>
      <x:c r="B102" s="9" t="str">
        <x:v>EOW-AR-RT-B-C-TECH-2-B2-BRK-G0</x:v>
      </x:c>
      <x:c r="C102" s="9" t="str">
        <x:v>AR-RT-B-C-TECH-2-B2-BRK-G0</x:v>
      </x:c>
      <x:c r="D102" s="9" t="str">
        <x:v>RT-B-C-TECH-2</x:v>
      </x:c>
      <x:c r="E102" s="9" t="str">
        <x:v>RT-B-C</x:v>
      </x:c>
      <x:c r="F102" s="9" t="str">
        <x:v>B2</x:v>
      </x:c>
      <x:c r="G102" s="9" t="str">
        <x:v>BRK</x:v>
      </x:c>
      <x:c r="H102" s="9" t="n">
        <x:v>4</x:v>
      </x:c>
      <x:c r="I102" s="9" t="n">
        <x:v>4</x:v>
      </x:c>
      <x:c r="J102" s="9" t="str">
        <x:v>RT-B-C-N3</x:v>
      </x:c>
      <x:c r="K102" s="9" t="str">
        <x:v>FX-RT-B-C-TECH-2-F2</x:v>
      </x:c>
      <x:c r="L102" s="9" t="n">
        <x:v>218</x:v>
      </x:c>
      <x:c r="M102" s="9" t="n">
        <x:v>1</x:v>
      </x:c>
      <x:c r="N102" s="9" t="n">
        <x:v>0</x:v>
      </x:c>
      <x:c r="O102" s="9" t="n">
        <x:v>10</x:v>
      </x:c>
      <x:c r="P102" s="9" t="n">
        <x:f>SUMIFS('Start Controls'!$P$7:$P$1446,'Start Controls'!$B$7:$B$1446,A102)</x:f>
        <x:v>0</x:v>
      </x:c>
      <x:c r="Q102" s="9" t="n">
        <x:v>0</x:v>
      </x:c>
      <x:c r="R102" s="9" t="n">
        <x:v>8</x:v>
      </x:c>
      <x:c r="S102" s="9" t="n">
        <x:f>SUMIFS('Raw Custody'!$M$7:$M$1158,'Raw Custody'!$B$7:$B$1158,A102)</x:f>
        <x:v>0</x:v>
      </x:c>
      <x:c r="T102" s="9" t="n">
        <x:v>12</x:v>
      </x:c>
      <x:c r="U102" s="9" t="n">
        <x:f>SUMIFS('Observation Gates'!$L$7:$L$1734,'Observation Gates'!$B$7:$B$1734,A102)</x:f>
        <x:v>0</x:v>
      </x:c>
      <x:c r="V102" s="9" t="str">
        <x:v>UNFILED</x:v>
      </x:c>
      <x:c r="W102" s="9" t="n">
        <x:v>0</x:v>
      </x:c>
      <x:c r="X102" s="9" t="n">
        <x:v>0</x:v>
      </x:c>
      <x:c r="Y102" s="9" t="n">
        <x:v>16</x:v>
      </x:c>
      <x:c r="Z102" s="9" t="n">
        <x:f>SUMIFS('Disclosure Packets'!$M$7:$M$2310,'Disclosure Packets'!$C$7:$C$2310,A102)</x:f>
        <x:v>0</x:v>
      </x:c>
      <x:c r="AA102" s="9" t="n">
        <x:v>0</x:v>
      </x:c>
      <x:c r="AB102" s="9" t="str">
        <x:f>IF(N102=0,"PLANNED / BLOCKED",IF(P102&lt;O102,"EOW / START BLOCKED",IF(Q102=0,"ARMED / UNSTARTED",IF(S102&lt;R102,"STARTED / RAW UNSEALED",IF(U102&lt;T102,"SEALED / OBSERVATION OPEN",IF(X102=0,"OBSERVED / UNJUDGED",IF(Z102&lt;Y102,"JUDGED / DISCLOSURE HELD",IF(AA102=0,"COMPLETE / EMBARGOED","PUBLIC / TERMINAL"))))))))</x:f>
        <x:v>PLANNED / BLOCKED</x:v>
      </x:c>
      <x:c r="AC102" s="9" t="n">
        <x:f>COUNTIFS($A$7:$A$150,A102)</x:f>
        <x:v>1</x:v>
      </x:c>
      <x:c r="AD102" s="9" t="n">
        <x:f>COUNTIFS($H$7:$H$150,H102,$I$7:$I$150,I102)</x:f>
        <x:v>6</x:v>
      </x:c>
      <x:c r="AE102" s="9" t="n">
        <x:f>COUNTIFS($H$7:$H$150,H102,$I$7:$I$150,I102,$J$7:$J$150,J102)</x:f>
        <x:v>1</x:v>
      </x:c>
    </x:row>
    <x:row r="103">
      <x:c r="A103" s="9" t="str">
        <x:v>EV-AR-CT-C-B-TECH-3-B2-INT-G0</x:v>
      </x:c>
      <x:c r="B103" s="9" t="str">
        <x:v>EOW-AR-CT-C-B-TECH-3-B2-INT-G0</x:v>
      </x:c>
      <x:c r="C103" s="9" t="str">
        <x:v>AR-CT-C-B-TECH-3-B2-INT-G0</x:v>
      </x:c>
      <x:c r="D103" s="9" t="str">
        <x:v>CT-C-B-TECH-3</x:v>
      </x:c>
      <x:c r="E103" s="9" t="str">
        <x:v>CT-C-B</x:v>
      </x:c>
      <x:c r="F103" s="9" t="str">
        <x:v>B2</x:v>
      </x:c>
      <x:c r="G103" s="9" t="str">
        <x:v>INT</x:v>
      </x:c>
      <x:c r="H103" s="9" t="n">
        <x:v>5</x:v>
      </x:c>
      <x:c r="I103" s="9" t="n">
        <x:v>1</x:v>
      </x:c>
      <x:c r="J103" s="9" t="str">
        <x:v>CT-C-B-N1</x:v>
      </x:c>
      <x:c r="K103" s="9" t="str">
        <x:v>FX-CT-C-B-TECH-3-F2</x:v>
      </x:c>
      <x:c r="L103" s="9" t="n">
        <x:v>232</x:v>
      </x:c>
      <x:c r="M103" s="9" t="n">
        <x:v>0</x:v>
      </x:c>
      <x:c r="N103" s="9" t="n">
        <x:v>0</x:v>
      </x:c>
      <x:c r="O103" s="9" t="n">
        <x:v>10</x:v>
      </x:c>
      <x:c r="P103" s="9" t="n">
        <x:f>SUMIFS('Start Controls'!$P$7:$P$1446,'Start Controls'!$B$7:$B$1446,A103)</x:f>
        <x:v>0</x:v>
      </x:c>
      <x:c r="Q103" s="9" t="n">
        <x:v>0</x:v>
      </x:c>
      <x:c r="R103" s="9" t="n">
        <x:v>8</x:v>
      </x:c>
      <x:c r="S103" s="9" t="n">
        <x:f>SUMIFS('Raw Custody'!$M$7:$M$1158,'Raw Custody'!$B$7:$B$1158,A103)</x:f>
        <x:v>0</x:v>
      </x:c>
      <x:c r="T103" s="9" t="n">
        <x:v>12</x:v>
      </x:c>
      <x:c r="U103" s="9" t="n">
        <x:f>SUMIFS('Observation Gates'!$L$7:$L$1734,'Observation Gates'!$B$7:$B$1734,A103)</x:f>
        <x:v>0</x:v>
      </x:c>
      <x:c r="V103" s="9" t="str">
        <x:v>UNFILED</x:v>
      </x:c>
      <x:c r="W103" s="9" t="n">
        <x:v>0</x:v>
      </x:c>
      <x:c r="X103" s="9" t="n">
        <x:v>0</x:v>
      </x:c>
      <x:c r="Y103" s="9" t="n">
        <x:v>16</x:v>
      </x:c>
      <x:c r="Z103" s="9" t="n">
        <x:f>SUMIFS('Disclosure Packets'!$M$7:$M$2310,'Disclosure Packets'!$C$7:$C$2310,A103)</x:f>
        <x:v>0</x:v>
      </x:c>
      <x:c r="AA103" s="9" t="n">
        <x:v>0</x:v>
      </x:c>
      <x:c r="AB103" s="9" t="str">
        <x:f>IF(N103=0,"PLANNED / BLOCKED",IF(P103&lt;O103,"EOW / START BLOCKED",IF(Q103=0,"ARMED / UNSTARTED",IF(S103&lt;R103,"STARTED / RAW UNSEALED",IF(U103&lt;T103,"SEALED / OBSERVATION OPEN",IF(X103=0,"OBSERVED / UNJUDGED",IF(Z103&lt;Y103,"JUDGED / DISCLOSURE HELD",IF(AA103=0,"COMPLETE / EMBARGOED","PUBLIC / TERMINAL"))))))))</x:f>
        <x:v>PLANNED / BLOCKED</x:v>
      </x:c>
      <x:c r="AC103" s="9" t="n">
        <x:f>COUNTIFS($A$7:$A$150,A103)</x:f>
        <x:v>1</x:v>
      </x:c>
      <x:c r="AD103" s="9" t="n">
        <x:f>COUNTIFS($H$7:$H$150,H103,$I$7:$I$150,I103)</x:f>
        <x:v>6</x:v>
      </x:c>
      <x:c r="AE103" s="9" t="n">
        <x:f>COUNTIFS($H$7:$H$150,H103,$I$7:$I$150,I103,$J$7:$J$150,J103)</x:f>
        <x:v>1</x:v>
      </x:c>
    </x:row>
    <x:row r="104">
      <x:c r="A104" s="9" t="str">
        <x:v>EV-AR-ET-A-A-TECH-1-B1-RCN-G0</x:v>
      </x:c>
      <x:c r="B104" s="9" t="str">
        <x:v>EOW-AR-ET-A-A-TECH-1-B1-RCN-G0</x:v>
      </x:c>
      <x:c r="C104" s="9" t="str">
        <x:v>AR-ET-A-A-TECH-1-B1-RCN-G0</x:v>
      </x:c>
      <x:c r="D104" s="9" t="str">
        <x:v>ET-A-A-TECH-1</x:v>
      </x:c>
      <x:c r="E104" s="9" t="str">
        <x:v>ET-A-A</x:v>
      </x:c>
      <x:c r="F104" s="9" t="str">
        <x:v>B1</x:v>
      </x:c>
      <x:c r="G104" s="9" t="str">
        <x:v>RCN</x:v>
      </x:c>
      <x:c r="H104" s="9" t="n">
        <x:v>5</x:v>
      </x:c>
      <x:c r="I104" s="9" t="n">
        <x:v>1</x:v>
      </x:c>
      <x:c r="J104" s="9" t="str">
        <x:v>ET-A-A-N1</x:v>
      </x:c>
      <x:c r="K104" s="9" t="str">
        <x:v>FX-ET-A-A-TECH-1-F1</x:v>
      </x:c>
      <x:c r="L104" s="9" t="n">
        <x:v>232</x:v>
      </x:c>
      <x:c r="M104" s="9" t="n">
        <x:v>1</x:v>
      </x:c>
      <x:c r="N104" s="9" t="n">
        <x:v>0</x:v>
      </x:c>
      <x:c r="O104" s="9" t="n">
        <x:v>10</x:v>
      </x:c>
      <x:c r="P104" s="9" t="n">
        <x:f>SUMIFS('Start Controls'!$P$7:$P$1446,'Start Controls'!$B$7:$B$1446,A104)</x:f>
        <x:v>0</x:v>
      </x:c>
      <x:c r="Q104" s="9" t="n">
        <x:v>0</x:v>
      </x:c>
      <x:c r="R104" s="9" t="n">
        <x:v>8</x:v>
      </x:c>
      <x:c r="S104" s="9" t="n">
        <x:f>SUMIFS('Raw Custody'!$M$7:$M$1158,'Raw Custody'!$B$7:$B$1158,A104)</x:f>
        <x:v>0</x:v>
      </x:c>
      <x:c r="T104" s="9" t="n">
        <x:v>12</x:v>
      </x:c>
      <x:c r="U104" s="9" t="n">
        <x:f>SUMIFS('Observation Gates'!$L$7:$L$1734,'Observation Gates'!$B$7:$B$1734,A104)</x:f>
        <x:v>0</x:v>
      </x:c>
      <x:c r="V104" s="9" t="str">
        <x:v>UNFILED</x:v>
      </x:c>
      <x:c r="W104" s="9" t="n">
        <x:v>0</x:v>
      </x:c>
      <x:c r="X104" s="9" t="n">
        <x:v>0</x:v>
      </x:c>
      <x:c r="Y104" s="9" t="n">
        <x:v>16</x:v>
      </x:c>
      <x:c r="Z104" s="9" t="n">
        <x:f>SUMIFS('Disclosure Packets'!$M$7:$M$2310,'Disclosure Packets'!$C$7:$C$2310,A104)</x:f>
        <x:v>0</x:v>
      </x:c>
      <x:c r="AA104" s="9" t="n">
        <x:v>0</x:v>
      </x:c>
      <x:c r="AB104" s="9" t="str">
        <x:f>IF(N104=0,"PLANNED / BLOCKED",IF(P104&lt;O104,"EOW / START BLOCKED",IF(Q104=0,"ARMED / UNSTARTED",IF(S104&lt;R104,"STARTED / RAW UNSEALED",IF(U104&lt;T104,"SEALED / OBSERVATION OPEN",IF(X104=0,"OBSERVED / UNJUDGED",IF(Z104&lt;Y104,"JUDGED / DISCLOSURE HELD",IF(AA104=0,"COMPLETE / EMBARGOED","PUBLIC / TERMINAL"))))))))</x:f>
        <x:v>PLANNED / BLOCKED</x:v>
      </x:c>
      <x:c r="AC104" s="9" t="n">
        <x:f>COUNTIFS($A$7:$A$150,A104)</x:f>
        <x:v>1</x:v>
      </x:c>
      <x:c r="AD104" s="9" t="n">
        <x:f>COUNTIFS($H$7:$H$150,H104,$I$7:$I$150,I104)</x:f>
        <x:v>6</x:v>
      </x:c>
      <x:c r="AE104" s="9" t="n">
        <x:f>COUNTIFS($H$7:$H$150,H104,$I$7:$I$150,I104,$J$7:$J$150,J104)</x:f>
        <x:v>1</x:v>
      </x:c>
    </x:row>
    <x:row r="105">
      <x:c r="A105" s="9" t="str">
        <x:v>EV-AR-HC-A-C-TECH-4-B2-RCN-G0</x:v>
      </x:c>
      <x:c r="B105" s="9" t="str">
        <x:v>EOW-AR-HC-A-C-TECH-4-B2-RCN-G0</x:v>
      </x:c>
      <x:c r="C105" s="9" t="str">
        <x:v>AR-HC-A-C-TECH-4-B2-RCN-G0</x:v>
      </x:c>
      <x:c r="D105" s="9" t="str">
        <x:v>HC-A-C-TECH-4</x:v>
      </x:c>
      <x:c r="E105" s="9" t="str">
        <x:v>HC-A-C</x:v>
      </x:c>
      <x:c r="F105" s="9" t="str">
        <x:v>B2</x:v>
      </x:c>
      <x:c r="G105" s="9" t="str">
        <x:v>RCN</x:v>
      </x:c>
      <x:c r="H105" s="9" t="n">
        <x:v>5</x:v>
      </x:c>
      <x:c r="I105" s="9" t="n">
        <x:v>1</x:v>
      </x:c>
      <x:c r="J105" s="9" t="str">
        <x:v>HC-A-C-N1</x:v>
      </x:c>
      <x:c r="K105" s="9" t="str">
        <x:v>FX-HC-A-C-TECH-4-F1</x:v>
      </x:c>
      <x:c r="L105" s="9" t="n">
        <x:v>232</x:v>
      </x:c>
      <x:c r="M105" s="9" t="n">
        <x:v>1</x:v>
      </x:c>
      <x:c r="N105" s="9" t="n">
        <x:v>0</x:v>
      </x:c>
      <x:c r="O105" s="9" t="n">
        <x:v>10</x:v>
      </x:c>
      <x:c r="P105" s="9" t="n">
        <x:f>SUMIFS('Start Controls'!$P$7:$P$1446,'Start Controls'!$B$7:$B$1446,A105)</x:f>
        <x:v>0</x:v>
      </x:c>
      <x:c r="Q105" s="9" t="n">
        <x:v>0</x:v>
      </x:c>
      <x:c r="R105" s="9" t="n">
        <x:v>8</x:v>
      </x:c>
      <x:c r="S105" s="9" t="n">
        <x:f>SUMIFS('Raw Custody'!$M$7:$M$1158,'Raw Custody'!$B$7:$B$1158,A105)</x:f>
        <x:v>0</x:v>
      </x:c>
      <x:c r="T105" s="9" t="n">
        <x:v>12</x:v>
      </x:c>
      <x:c r="U105" s="9" t="n">
        <x:f>SUMIFS('Observation Gates'!$L$7:$L$1734,'Observation Gates'!$B$7:$B$1734,A105)</x:f>
        <x:v>0</x:v>
      </x:c>
      <x:c r="V105" s="9" t="str">
        <x:v>UNFILED</x:v>
      </x:c>
      <x:c r="W105" s="9" t="n">
        <x:v>0</x:v>
      </x:c>
      <x:c r="X105" s="9" t="n">
        <x:v>0</x:v>
      </x:c>
      <x:c r="Y105" s="9" t="n">
        <x:v>16</x:v>
      </x:c>
      <x:c r="Z105" s="9" t="n">
        <x:f>SUMIFS('Disclosure Packets'!$M$7:$M$2310,'Disclosure Packets'!$C$7:$C$2310,A105)</x:f>
        <x:v>0</x:v>
      </x:c>
      <x:c r="AA105" s="9" t="n">
        <x:v>0</x:v>
      </x:c>
      <x:c r="AB105" s="9" t="str">
        <x:f>IF(N105=0,"PLANNED / BLOCKED",IF(P105&lt;O105,"EOW / START BLOCKED",IF(Q105=0,"ARMED / UNSTARTED",IF(S105&lt;R105,"STARTED / RAW UNSEALED",IF(U105&lt;T105,"SEALED / OBSERVATION OPEN",IF(X105=0,"OBSERVED / UNJUDGED",IF(Z105&lt;Y105,"JUDGED / DISCLOSURE HELD",IF(AA105=0,"COMPLETE / EMBARGOED","PUBLIC / TERMINAL"))))))))</x:f>
        <x:v>PLANNED / BLOCKED</x:v>
      </x:c>
      <x:c r="AC105" s="9" t="n">
        <x:f>COUNTIFS($A$7:$A$150,A105)</x:f>
        <x:v>1</x:v>
      </x:c>
      <x:c r="AD105" s="9" t="n">
        <x:f>COUNTIFS($H$7:$H$150,H105,$I$7:$I$150,I105)</x:f>
        <x:v>6</x:v>
      </x:c>
      <x:c r="AE105" s="9" t="n">
        <x:f>COUNTIFS($H$7:$H$150,H105,$I$7:$I$150,I105,$J$7:$J$150,J105)</x:f>
        <x:v>1</x:v>
      </x:c>
    </x:row>
    <x:row r="106">
      <x:c r="A106" s="9" t="str">
        <x:v>EV-AR-HC-A-C-TECH-2-B2-INT-G0</x:v>
      </x:c>
      <x:c r="B106" s="9" t="str">
        <x:v>EOW-AR-HC-A-C-TECH-2-B2-INT-G0</x:v>
      </x:c>
      <x:c r="C106" s="9" t="str">
        <x:v>AR-HC-A-C-TECH-2-B2-INT-G0</x:v>
      </x:c>
      <x:c r="D106" s="9" t="str">
        <x:v>HC-A-C-TECH-2</x:v>
      </x:c>
      <x:c r="E106" s="9" t="str">
        <x:v>HC-A-C</x:v>
      </x:c>
      <x:c r="F106" s="9" t="str">
        <x:v>B2</x:v>
      </x:c>
      <x:c r="G106" s="9" t="str">
        <x:v>INT</x:v>
      </x:c>
      <x:c r="H106" s="9" t="n">
        <x:v>5</x:v>
      </x:c>
      <x:c r="I106" s="9" t="n">
        <x:v>1</x:v>
      </x:c>
      <x:c r="J106" s="9" t="str">
        <x:v>HC-A-C-N2</x:v>
      </x:c>
      <x:c r="K106" s="9" t="str">
        <x:v>FX-HC-A-C-TECH-2-F1</x:v>
      </x:c>
      <x:c r="L106" s="9" t="n">
        <x:v>232</x:v>
      </x:c>
      <x:c r="M106" s="9" t="n">
        <x:v>0</x:v>
      </x:c>
      <x:c r="N106" s="9" t="n">
        <x:v>0</x:v>
      </x:c>
      <x:c r="O106" s="9" t="n">
        <x:v>10</x:v>
      </x:c>
      <x:c r="P106" s="9" t="n">
        <x:f>SUMIFS('Start Controls'!$P$7:$P$1446,'Start Controls'!$B$7:$B$1446,A106)</x:f>
        <x:v>0</x:v>
      </x:c>
      <x:c r="Q106" s="9" t="n">
        <x:v>0</x:v>
      </x:c>
      <x:c r="R106" s="9" t="n">
        <x:v>8</x:v>
      </x:c>
      <x:c r="S106" s="9" t="n">
        <x:f>SUMIFS('Raw Custody'!$M$7:$M$1158,'Raw Custody'!$B$7:$B$1158,A106)</x:f>
        <x:v>0</x:v>
      </x:c>
      <x:c r="T106" s="9" t="n">
        <x:v>12</x:v>
      </x:c>
      <x:c r="U106" s="9" t="n">
        <x:f>SUMIFS('Observation Gates'!$L$7:$L$1734,'Observation Gates'!$B$7:$B$1734,A106)</x:f>
        <x:v>0</x:v>
      </x:c>
      <x:c r="V106" s="9" t="str">
        <x:v>UNFILED</x:v>
      </x:c>
      <x:c r="W106" s="9" t="n">
        <x:v>0</x:v>
      </x:c>
      <x:c r="X106" s="9" t="n">
        <x:v>0</x:v>
      </x:c>
      <x:c r="Y106" s="9" t="n">
        <x:v>16</x:v>
      </x:c>
      <x:c r="Z106" s="9" t="n">
        <x:f>SUMIFS('Disclosure Packets'!$M$7:$M$2310,'Disclosure Packets'!$C$7:$C$2310,A106)</x:f>
        <x:v>0</x:v>
      </x:c>
      <x:c r="AA106" s="9" t="n">
        <x:v>0</x:v>
      </x:c>
      <x:c r="AB106" s="9" t="str">
        <x:f>IF(N106=0,"PLANNED / BLOCKED",IF(P106&lt;O106,"EOW / START BLOCKED",IF(Q106=0,"ARMED / UNSTARTED",IF(S106&lt;R106,"STARTED / RAW UNSEALED",IF(U106&lt;T106,"SEALED / OBSERVATION OPEN",IF(X106=0,"OBSERVED / UNJUDGED",IF(Z106&lt;Y106,"JUDGED / DISCLOSURE HELD",IF(AA106=0,"COMPLETE / EMBARGOED","PUBLIC / TERMINAL"))))))))</x:f>
        <x:v>PLANNED / BLOCKED</x:v>
      </x:c>
      <x:c r="AC106" s="9" t="n">
        <x:f>COUNTIFS($A$7:$A$150,A106)</x:f>
        <x:v>1</x:v>
      </x:c>
      <x:c r="AD106" s="9" t="n">
        <x:f>COUNTIFS($H$7:$H$150,H106,$I$7:$I$150,I106)</x:f>
        <x:v>6</x:v>
      </x:c>
      <x:c r="AE106" s="9" t="n">
        <x:f>COUNTIFS($H$7:$H$150,H106,$I$7:$I$150,I106,$J$7:$J$150,J106)</x:f>
        <x:v>1</x:v>
      </x:c>
    </x:row>
    <x:row r="107">
      <x:c r="A107" s="9" t="str">
        <x:v>EV-AR-LF-B-A-TECH-3-B2-RCN-G0</x:v>
      </x:c>
      <x:c r="B107" s="9" t="str">
        <x:v>EOW-AR-LF-B-A-TECH-3-B2-RCN-G0</x:v>
      </x:c>
      <x:c r="C107" s="9" t="str">
        <x:v>AR-LF-B-A-TECH-3-B2-RCN-G0</x:v>
      </x:c>
      <x:c r="D107" s="9" t="str">
        <x:v>LF-B-A-TECH-3</x:v>
      </x:c>
      <x:c r="E107" s="9" t="str">
        <x:v>LF-B-A</x:v>
      </x:c>
      <x:c r="F107" s="9" t="str">
        <x:v>B2</x:v>
      </x:c>
      <x:c r="G107" s="9" t="str">
        <x:v>RCN</x:v>
      </x:c>
      <x:c r="H107" s="9" t="n">
        <x:v>5</x:v>
      </x:c>
      <x:c r="I107" s="9" t="n">
        <x:v>1</x:v>
      </x:c>
      <x:c r="J107" s="9" t="str">
        <x:v>LF-B-A-N1</x:v>
      </x:c>
      <x:c r="K107" s="9" t="str">
        <x:v>FX-LF-B-A-TECH-3-F2</x:v>
      </x:c>
      <x:c r="L107" s="9" t="n">
        <x:v>232</x:v>
      </x:c>
      <x:c r="M107" s="9" t="n">
        <x:v>1</x:v>
      </x:c>
      <x:c r="N107" s="9" t="n">
        <x:v>0</x:v>
      </x:c>
      <x:c r="O107" s="9" t="n">
        <x:v>10</x:v>
      </x:c>
      <x:c r="P107" s="9" t="n">
        <x:f>SUMIFS('Start Controls'!$P$7:$P$1446,'Start Controls'!$B$7:$B$1446,A107)</x:f>
        <x:v>0</x:v>
      </x:c>
      <x:c r="Q107" s="9" t="n">
        <x:v>0</x:v>
      </x:c>
      <x:c r="R107" s="9" t="n">
        <x:v>8</x:v>
      </x:c>
      <x:c r="S107" s="9" t="n">
        <x:f>SUMIFS('Raw Custody'!$M$7:$M$1158,'Raw Custody'!$B$7:$B$1158,A107)</x:f>
        <x:v>0</x:v>
      </x:c>
      <x:c r="T107" s="9" t="n">
        <x:v>12</x:v>
      </x:c>
      <x:c r="U107" s="9" t="n">
        <x:f>SUMIFS('Observation Gates'!$L$7:$L$1734,'Observation Gates'!$B$7:$B$1734,A107)</x:f>
        <x:v>0</x:v>
      </x:c>
      <x:c r="V107" s="9" t="str">
        <x:v>UNFILED</x:v>
      </x:c>
      <x:c r="W107" s="9" t="n">
        <x:v>0</x:v>
      </x:c>
      <x:c r="X107" s="9" t="n">
        <x:v>0</x:v>
      </x:c>
      <x:c r="Y107" s="9" t="n">
        <x:v>16</x:v>
      </x:c>
      <x:c r="Z107" s="9" t="n">
        <x:f>SUMIFS('Disclosure Packets'!$M$7:$M$2310,'Disclosure Packets'!$C$7:$C$2310,A107)</x:f>
        <x:v>0</x:v>
      </x:c>
      <x:c r="AA107" s="9" t="n">
        <x:v>0</x:v>
      </x:c>
      <x:c r="AB107" s="9" t="str">
        <x:f>IF(N107=0,"PLANNED / BLOCKED",IF(P107&lt;O107,"EOW / START BLOCKED",IF(Q107=0,"ARMED / UNSTARTED",IF(S107&lt;R107,"STARTED / RAW UNSEALED",IF(U107&lt;T107,"SEALED / OBSERVATION OPEN",IF(X107=0,"OBSERVED / UNJUDGED",IF(Z107&lt;Y107,"JUDGED / DISCLOSURE HELD",IF(AA107=0,"COMPLETE / EMBARGOED","PUBLIC / TERMINAL"))))))))</x:f>
        <x:v>PLANNED / BLOCKED</x:v>
      </x:c>
      <x:c r="AC107" s="9" t="n">
        <x:f>COUNTIFS($A$7:$A$150,A107)</x:f>
        <x:v>1</x:v>
      </x:c>
      <x:c r="AD107" s="9" t="n">
        <x:f>COUNTIFS($H$7:$H$150,H107,$I$7:$I$150,I107)</x:f>
        <x:v>6</x:v>
      </x:c>
      <x:c r="AE107" s="9" t="n">
        <x:f>COUNTIFS($H$7:$H$150,H107,$I$7:$I$150,I107,$J$7:$J$150,J107)</x:f>
        <x:v>1</x:v>
      </x:c>
    </x:row>
    <x:row r="108">
      <x:c r="A108" s="9" t="str">
        <x:v>EV-AR-LF-B-A-TECH-4-B1-RCN-G0</x:v>
      </x:c>
      <x:c r="B108" s="9" t="str">
        <x:v>EOW-AR-LF-B-A-TECH-4-B1-RCN-G0</x:v>
      </x:c>
      <x:c r="C108" s="9" t="str">
        <x:v>AR-LF-B-A-TECH-4-B1-RCN-G0</x:v>
      </x:c>
      <x:c r="D108" s="9" t="str">
        <x:v>LF-B-A-TECH-4</x:v>
      </x:c>
      <x:c r="E108" s="9" t="str">
        <x:v>LF-B-A</x:v>
      </x:c>
      <x:c r="F108" s="9" t="str">
        <x:v>B1</x:v>
      </x:c>
      <x:c r="G108" s="9" t="str">
        <x:v>RCN</x:v>
      </x:c>
      <x:c r="H108" s="9" t="n">
        <x:v>5</x:v>
      </x:c>
      <x:c r="I108" s="9" t="n">
        <x:v>1</x:v>
      </x:c>
      <x:c r="J108" s="9" t="str">
        <x:v>LF-B-A-N2</x:v>
      </x:c>
      <x:c r="K108" s="9" t="str">
        <x:v>FX-LF-B-A-TECH-4-F2</x:v>
      </x:c>
      <x:c r="L108" s="9" t="n">
        <x:v>232</x:v>
      </x:c>
      <x:c r="M108" s="9" t="n">
        <x:v>1</x:v>
      </x:c>
      <x:c r="N108" s="9" t="n">
        <x:v>0</x:v>
      </x:c>
      <x:c r="O108" s="9" t="n">
        <x:v>10</x:v>
      </x:c>
      <x:c r="P108" s="9" t="n">
        <x:f>SUMIFS('Start Controls'!$P$7:$P$1446,'Start Controls'!$B$7:$B$1446,A108)</x:f>
        <x:v>0</x:v>
      </x:c>
      <x:c r="Q108" s="9" t="n">
        <x:v>0</x:v>
      </x:c>
      <x:c r="R108" s="9" t="n">
        <x:v>8</x:v>
      </x:c>
      <x:c r="S108" s="9" t="n">
        <x:f>SUMIFS('Raw Custody'!$M$7:$M$1158,'Raw Custody'!$B$7:$B$1158,A108)</x:f>
        <x:v>0</x:v>
      </x:c>
      <x:c r="T108" s="9" t="n">
        <x:v>12</x:v>
      </x:c>
      <x:c r="U108" s="9" t="n">
        <x:f>SUMIFS('Observation Gates'!$L$7:$L$1734,'Observation Gates'!$B$7:$B$1734,A108)</x:f>
        <x:v>0</x:v>
      </x:c>
      <x:c r="V108" s="9" t="str">
        <x:v>UNFILED</x:v>
      </x:c>
      <x:c r="W108" s="9" t="n">
        <x:v>0</x:v>
      </x:c>
      <x:c r="X108" s="9" t="n">
        <x:v>0</x:v>
      </x:c>
      <x:c r="Y108" s="9" t="n">
        <x:v>16</x:v>
      </x:c>
      <x:c r="Z108" s="9" t="n">
        <x:f>SUMIFS('Disclosure Packets'!$M$7:$M$2310,'Disclosure Packets'!$C$7:$C$2310,A108)</x:f>
        <x:v>0</x:v>
      </x:c>
      <x:c r="AA108" s="9" t="n">
        <x:v>0</x:v>
      </x:c>
      <x:c r="AB108" s="9" t="str">
        <x:f>IF(N108=0,"PLANNED / BLOCKED",IF(P108&lt;O108,"EOW / START BLOCKED",IF(Q108=0,"ARMED / UNSTARTED",IF(S108&lt;R108,"STARTED / RAW UNSEALED",IF(U108&lt;T108,"SEALED / OBSERVATION OPEN",IF(X108=0,"OBSERVED / UNJUDGED",IF(Z108&lt;Y108,"JUDGED / DISCLOSURE HELD",IF(AA108=0,"COMPLETE / EMBARGOED","PUBLIC / TERMINAL"))))))))</x:f>
        <x:v>PLANNED / BLOCKED</x:v>
      </x:c>
      <x:c r="AC108" s="9" t="n">
        <x:f>COUNTIFS($A$7:$A$150,A108)</x:f>
        <x:v>1</x:v>
      </x:c>
      <x:c r="AD108" s="9" t="n">
        <x:f>COUNTIFS($H$7:$H$150,H108,$I$7:$I$150,I108)</x:f>
        <x:v>6</x:v>
      </x:c>
      <x:c r="AE108" s="9" t="n">
        <x:f>COUNTIFS($H$7:$H$150,H108,$I$7:$I$150,I108,$J$7:$J$150,J108)</x:f>
        <x:v>1</x:v>
      </x:c>
    </x:row>
    <x:row r="109">
      <x:c r="A109" s="9" t="str">
        <x:v>EV-AR-CT-C-B-TECH-2-B1-BRK-G0</x:v>
      </x:c>
      <x:c r="B109" s="9" t="str">
        <x:v>EOW-AR-CT-C-B-TECH-2-B1-BRK-G0</x:v>
      </x:c>
      <x:c r="C109" s="9" t="str">
        <x:v>AR-CT-C-B-TECH-2-B1-BRK-G0</x:v>
      </x:c>
      <x:c r="D109" s="9" t="str">
        <x:v>CT-C-B-TECH-2</x:v>
      </x:c>
      <x:c r="E109" s="9" t="str">
        <x:v>CT-C-B</x:v>
      </x:c>
      <x:c r="F109" s="9" t="str">
        <x:v>B1</x:v>
      </x:c>
      <x:c r="G109" s="9" t="str">
        <x:v>BRK</x:v>
      </x:c>
      <x:c r="H109" s="9" t="n">
        <x:v>5</x:v>
      </x:c>
      <x:c r="I109" s="9" t="n">
        <x:v>2</x:v>
      </x:c>
      <x:c r="J109" s="9" t="str">
        <x:v>CT-C-B-N2</x:v>
      </x:c>
      <x:c r="K109" s="9" t="str">
        <x:v>FX-CT-C-B-TECH-2-F1</x:v>
      </x:c>
      <x:c r="L109" s="9" t="n">
        <x:v>238</x:v>
      </x:c>
      <x:c r="M109" s="9" t="n">
        <x:v>1</x:v>
      </x:c>
      <x:c r="N109" s="9" t="n">
        <x:v>0</x:v>
      </x:c>
      <x:c r="O109" s="9" t="n">
        <x:v>10</x:v>
      </x:c>
      <x:c r="P109" s="9" t="n">
        <x:f>SUMIFS('Start Controls'!$P$7:$P$1446,'Start Controls'!$B$7:$B$1446,A109)</x:f>
        <x:v>0</x:v>
      </x:c>
      <x:c r="Q109" s="9" t="n">
        <x:v>0</x:v>
      </x:c>
      <x:c r="R109" s="9" t="n">
        <x:v>8</x:v>
      </x:c>
      <x:c r="S109" s="9" t="n">
        <x:f>SUMIFS('Raw Custody'!$M$7:$M$1158,'Raw Custody'!$B$7:$B$1158,A109)</x:f>
        <x:v>0</x:v>
      </x:c>
      <x:c r="T109" s="9" t="n">
        <x:v>12</x:v>
      </x:c>
      <x:c r="U109" s="9" t="n">
        <x:f>SUMIFS('Observation Gates'!$L$7:$L$1734,'Observation Gates'!$B$7:$B$1734,A109)</x:f>
        <x:v>0</x:v>
      </x:c>
      <x:c r="V109" s="9" t="str">
        <x:v>UNFILED</x:v>
      </x:c>
      <x:c r="W109" s="9" t="n">
        <x:v>0</x:v>
      </x:c>
      <x:c r="X109" s="9" t="n">
        <x:v>0</x:v>
      </x:c>
      <x:c r="Y109" s="9" t="n">
        <x:v>16</x:v>
      </x:c>
      <x:c r="Z109" s="9" t="n">
        <x:f>SUMIFS('Disclosure Packets'!$M$7:$M$2310,'Disclosure Packets'!$C$7:$C$2310,A109)</x:f>
        <x:v>0</x:v>
      </x:c>
      <x:c r="AA109" s="9" t="n">
        <x:v>0</x:v>
      </x:c>
      <x:c r="AB109" s="9" t="str">
        <x:f>IF(N109=0,"PLANNED / BLOCKED",IF(P109&lt;O109,"EOW / START BLOCKED",IF(Q109=0,"ARMED / UNSTARTED",IF(S109&lt;R109,"STARTED / RAW UNSEALED",IF(U109&lt;T109,"SEALED / OBSERVATION OPEN",IF(X109=0,"OBSERVED / UNJUDGED",IF(Z109&lt;Y109,"JUDGED / DISCLOSURE HELD",IF(AA109=0,"COMPLETE / EMBARGOED","PUBLIC / TERMINAL"))))))))</x:f>
        <x:v>PLANNED / BLOCKED</x:v>
      </x:c>
      <x:c r="AC109" s="9" t="n">
        <x:f>COUNTIFS($A$7:$A$150,A109)</x:f>
        <x:v>1</x:v>
      </x:c>
      <x:c r="AD109" s="9" t="n">
        <x:f>COUNTIFS($H$7:$H$150,H109,$I$7:$I$150,I109)</x:f>
        <x:v>6</x:v>
      </x:c>
      <x:c r="AE109" s="9" t="n">
        <x:f>COUNTIFS($H$7:$H$150,H109,$I$7:$I$150,I109,$J$7:$J$150,J109)</x:f>
        <x:v>1</x:v>
      </x:c>
    </x:row>
    <x:row r="110">
      <x:c r="A110" s="9" t="str">
        <x:v>EV-AR-ET-A-A-TECH-3-B1-BRK-G0</x:v>
      </x:c>
      <x:c r="B110" s="9" t="str">
        <x:v>EOW-AR-ET-A-A-TECH-3-B1-BRK-G0</x:v>
      </x:c>
      <x:c r="C110" s="9" t="str">
        <x:v>AR-ET-A-A-TECH-3-B1-BRK-G0</x:v>
      </x:c>
      <x:c r="D110" s="9" t="str">
        <x:v>ET-A-A-TECH-3</x:v>
      </x:c>
      <x:c r="E110" s="9" t="str">
        <x:v>ET-A-A</x:v>
      </x:c>
      <x:c r="F110" s="9" t="str">
        <x:v>B1</x:v>
      </x:c>
      <x:c r="G110" s="9" t="str">
        <x:v>BRK</x:v>
      </x:c>
      <x:c r="H110" s="9" t="n">
        <x:v>5</x:v>
      </x:c>
      <x:c r="I110" s="9" t="n">
        <x:v>2</x:v>
      </x:c>
      <x:c r="J110" s="9" t="str">
        <x:v>ET-A-A-N1</x:v>
      </x:c>
      <x:c r="K110" s="9" t="str">
        <x:v>FX-ET-A-A-TECH-3-F2</x:v>
      </x:c>
      <x:c r="L110" s="9" t="n">
        <x:v>238</x:v>
      </x:c>
      <x:c r="M110" s="9" t="n">
        <x:v>1</x:v>
      </x:c>
      <x:c r="N110" s="9" t="n">
        <x:v>0</x:v>
      </x:c>
      <x:c r="O110" s="9" t="n">
        <x:v>10</x:v>
      </x:c>
      <x:c r="P110" s="9" t="n">
        <x:f>SUMIFS('Start Controls'!$P$7:$P$1446,'Start Controls'!$B$7:$B$1446,A110)</x:f>
        <x:v>0</x:v>
      </x:c>
      <x:c r="Q110" s="9" t="n">
        <x:v>0</x:v>
      </x:c>
      <x:c r="R110" s="9" t="n">
        <x:v>8</x:v>
      </x:c>
      <x:c r="S110" s="9" t="n">
        <x:f>SUMIFS('Raw Custody'!$M$7:$M$1158,'Raw Custody'!$B$7:$B$1158,A110)</x:f>
        <x:v>0</x:v>
      </x:c>
      <x:c r="T110" s="9" t="n">
        <x:v>12</x:v>
      </x:c>
      <x:c r="U110" s="9" t="n">
        <x:f>SUMIFS('Observation Gates'!$L$7:$L$1734,'Observation Gates'!$B$7:$B$1734,A110)</x:f>
        <x:v>0</x:v>
      </x:c>
      <x:c r="V110" s="9" t="str">
        <x:v>UNFILED</x:v>
      </x:c>
      <x:c r="W110" s="9" t="n">
        <x:v>0</x:v>
      </x:c>
      <x:c r="X110" s="9" t="n">
        <x:v>0</x:v>
      </x:c>
      <x:c r="Y110" s="9" t="n">
        <x:v>16</x:v>
      </x:c>
      <x:c r="Z110" s="9" t="n">
        <x:f>SUMIFS('Disclosure Packets'!$M$7:$M$2310,'Disclosure Packets'!$C$7:$C$2310,A110)</x:f>
        <x:v>0</x:v>
      </x:c>
      <x:c r="AA110" s="9" t="n">
        <x:v>0</x:v>
      </x:c>
      <x:c r="AB110" s="9" t="str">
        <x:f>IF(N110=0,"PLANNED / BLOCKED",IF(P110&lt;O110,"EOW / START BLOCKED",IF(Q110=0,"ARMED / UNSTARTED",IF(S110&lt;R110,"STARTED / RAW UNSEALED",IF(U110&lt;T110,"SEALED / OBSERVATION OPEN",IF(X110=0,"OBSERVED / UNJUDGED",IF(Z110&lt;Y110,"JUDGED / DISCLOSURE HELD",IF(AA110=0,"COMPLETE / EMBARGOED","PUBLIC / TERMINAL"))))))))</x:f>
        <x:v>PLANNED / BLOCKED</x:v>
      </x:c>
      <x:c r="AC110" s="9" t="n">
        <x:f>COUNTIFS($A$7:$A$150,A110)</x:f>
        <x:v>1</x:v>
      </x:c>
      <x:c r="AD110" s="9" t="n">
        <x:f>COUNTIFS($H$7:$H$150,H110,$I$7:$I$150,I110)</x:f>
        <x:v>6</x:v>
      </x:c>
      <x:c r="AE110" s="9" t="n">
        <x:f>COUNTIFS($H$7:$H$150,H110,$I$7:$I$150,I110,$J$7:$J$150,J110)</x:f>
        <x:v>1</x:v>
      </x:c>
    </x:row>
    <x:row r="111">
      <x:c r="A111" s="9" t="str">
        <x:v>EV-AR-HC-A-C-TECH-3-B1-INT-G0</x:v>
      </x:c>
      <x:c r="B111" s="9" t="str">
        <x:v>EOW-AR-HC-A-C-TECH-3-B1-INT-G0</x:v>
      </x:c>
      <x:c r="C111" s="9" t="str">
        <x:v>AR-HC-A-C-TECH-3-B1-INT-G0</x:v>
      </x:c>
      <x:c r="D111" s="9" t="str">
        <x:v>HC-A-C-TECH-3</x:v>
      </x:c>
      <x:c r="E111" s="9" t="str">
        <x:v>HC-A-C</x:v>
      </x:c>
      <x:c r="F111" s="9" t="str">
        <x:v>B1</x:v>
      </x:c>
      <x:c r="G111" s="9" t="str">
        <x:v>INT</x:v>
      </x:c>
      <x:c r="H111" s="9" t="n">
        <x:v>5</x:v>
      </x:c>
      <x:c r="I111" s="9" t="n">
        <x:v>2</x:v>
      </x:c>
      <x:c r="J111" s="9" t="str">
        <x:v>HC-A-C-N3</x:v>
      </x:c>
      <x:c r="K111" s="9" t="str">
        <x:v>FX-HC-A-C-TECH-3-F1</x:v>
      </x:c>
      <x:c r="L111" s="9" t="n">
        <x:v>238</x:v>
      </x:c>
      <x:c r="M111" s="9" t="n">
        <x:v>0</x:v>
      </x:c>
      <x:c r="N111" s="9" t="n">
        <x:v>0</x:v>
      </x:c>
      <x:c r="O111" s="9" t="n">
        <x:v>10</x:v>
      </x:c>
      <x:c r="P111" s="9" t="n">
        <x:f>SUMIFS('Start Controls'!$P$7:$P$1446,'Start Controls'!$B$7:$B$1446,A111)</x:f>
        <x:v>0</x:v>
      </x:c>
      <x:c r="Q111" s="9" t="n">
        <x:v>0</x:v>
      </x:c>
      <x:c r="R111" s="9" t="n">
        <x:v>8</x:v>
      </x:c>
      <x:c r="S111" s="9" t="n">
        <x:f>SUMIFS('Raw Custody'!$M$7:$M$1158,'Raw Custody'!$B$7:$B$1158,A111)</x:f>
        <x:v>0</x:v>
      </x:c>
      <x:c r="T111" s="9" t="n">
        <x:v>12</x:v>
      </x:c>
      <x:c r="U111" s="9" t="n">
        <x:f>SUMIFS('Observation Gates'!$L$7:$L$1734,'Observation Gates'!$B$7:$B$1734,A111)</x:f>
        <x:v>0</x:v>
      </x:c>
      <x:c r="V111" s="9" t="str">
        <x:v>UNFILED</x:v>
      </x:c>
      <x:c r="W111" s="9" t="n">
        <x:v>0</x:v>
      </x:c>
      <x:c r="X111" s="9" t="n">
        <x:v>0</x:v>
      </x:c>
      <x:c r="Y111" s="9" t="n">
        <x:v>16</x:v>
      </x:c>
      <x:c r="Z111" s="9" t="n">
        <x:f>SUMIFS('Disclosure Packets'!$M$7:$M$2310,'Disclosure Packets'!$C$7:$C$2310,A111)</x:f>
        <x:v>0</x:v>
      </x:c>
      <x:c r="AA111" s="9" t="n">
        <x:v>0</x:v>
      </x:c>
      <x:c r="AB111" s="9" t="str">
        <x:f>IF(N111=0,"PLANNED / BLOCKED",IF(P111&lt;O111,"EOW / START BLOCKED",IF(Q111=0,"ARMED / UNSTARTED",IF(S111&lt;R111,"STARTED / RAW UNSEALED",IF(U111&lt;T111,"SEALED / OBSERVATION OPEN",IF(X111=0,"OBSERVED / UNJUDGED",IF(Z111&lt;Y111,"JUDGED / DISCLOSURE HELD",IF(AA111=0,"COMPLETE / EMBARGOED","PUBLIC / TERMINAL"))))))))</x:f>
        <x:v>PLANNED / BLOCKED</x:v>
      </x:c>
      <x:c r="AC111" s="9" t="n">
        <x:f>COUNTIFS($A$7:$A$150,A111)</x:f>
        <x:v>1</x:v>
      </x:c>
      <x:c r="AD111" s="9" t="n">
        <x:f>COUNTIFS($H$7:$H$150,H111,$I$7:$I$150,I111)</x:f>
        <x:v>6</x:v>
      </x:c>
      <x:c r="AE111" s="9" t="n">
        <x:f>COUNTIFS($H$7:$H$150,H111,$I$7:$I$150,I111,$J$7:$J$150,J111)</x:f>
        <x:v>1</x:v>
      </x:c>
    </x:row>
    <x:row r="112">
      <x:c r="A112" s="9" t="str">
        <x:v>EV-AR-HU-A-B-TECH-2-B2-RCN-G0</x:v>
      </x:c>
      <x:c r="B112" s="9" t="str">
        <x:v>EOW-AR-HU-A-B-TECH-2-B2-RCN-G0</x:v>
      </x:c>
      <x:c r="C112" s="9" t="str">
        <x:v>AR-HU-A-B-TECH-2-B2-RCN-G0</x:v>
      </x:c>
      <x:c r="D112" s="9" t="str">
        <x:v>HU-A-B-TECH-2</x:v>
      </x:c>
      <x:c r="E112" s="9" t="str">
        <x:v>HU-A-B</x:v>
      </x:c>
      <x:c r="F112" s="9" t="str">
        <x:v>B2</x:v>
      </x:c>
      <x:c r="G112" s="9" t="str">
        <x:v>RCN</x:v>
      </x:c>
      <x:c r="H112" s="9" t="n">
        <x:v>5</x:v>
      </x:c>
      <x:c r="I112" s="9" t="n">
        <x:v>2</x:v>
      </x:c>
      <x:c r="J112" s="9" t="str">
        <x:v>HU-A-B-N2</x:v>
      </x:c>
      <x:c r="K112" s="9" t="str">
        <x:v>FX-HU-A-B-TECH-2-F1</x:v>
      </x:c>
      <x:c r="L112" s="9" t="n">
        <x:v>238</x:v>
      </x:c>
      <x:c r="M112" s="9" t="n">
        <x:v>1</x:v>
      </x:c>
      <x:c r="N112" s="9" t="n">
        <x:v>0</x:v>
      </x:c>
      <x:c r="O112" s="9" t="n">
        <x:v>10</x:v>
      </x:c>
      <x:c r="P112" s="9" t="n">
        <x:f>SUMIFS('Start Controls'!$P$7:$P$1446,'Start Controls'!$B$7:$B$1446,A112)</x:f>
        <x:v>0</x:v>
      </x:c>
      <x:c r="Q112" s="9" t="n">
        <x:v>0</x:v>
      </x:c>
      <x:c r="R112" s="9" t="n">
        <x:v>8</x:v>
      </x:c>
      <x:c r="S112" s="9" t="n">
        <x:f>SUMIFS('Raw Custody'!$M$7:$M$1158,'Raw Custody'!$B$7:$B$1158,A112)</x:f>
        <x:v>0</x:v>
      </x:c>
      <x:c r="T112" s="9" t="n">
        <x:v>12</x:v>
      </x:c>
      <x:c r="U112" s="9" t="n">
        <x:f>SUMIFS('Observation Gates'!$L$7:$L$1734,'Observation Gates'!$B$7:$B$1734,A112)</x:f>
        <x:v>0</x:v>
      </x:c>
      <x:c r="V112" s="9" t="str">
        <x:v>UNFILED</x:v>
      </x:c>
      <x:c r="W112" s="9" t="n">
        <x:v>0</x:v>
      </x:c>
      <x:c r="X112" s="9" t="n">
        <x:v>0</x:v>
      </x:c>
      <x:c r="Y112" s="9" t="n">
        <x:v>16</x:v>
      </x:c>
      <x:c r="Z112" s="9" t="n">
        <x:f>SUMIFS('Disclosure Packets'!$M$7:$M$2310,'Disclosure Packets'!$C$7:$C$2310,A112)</x:f>
        <x:v>0</x:v>
      </x:c>
      <x:c r="AA112" s="9" t="n">
        <x:v>0</x:v>
      </x:c>
      <x:c r="AB112" s="9" t="str">
        <x:f>IF(N112=0,"PLANNED / BLOCKED",IF(P112&lt;O112,"EOW / START BLOCKED",IF(Q112=0,"ARMED / UNSTARTED",IF(S112&lt;R112,"STARTED / RAW UNSEALED",IF(U112&lt;T112,"SEALED / OBSERVATION OPEN",IF(X112=0,"OBSERVED / UNJUDGED",IF(Z112&lt;Y112,"JUDGED / DISCLOSURE HELD",IF(AA112=0,"COMPLETE / EMBARGOED","PUBLIC / TERMINAL"))))))))</x:f>
        <x:v>PLANNED / BLOCKED</x:v>
      </x:c>
      <x:c r="AC112" s="9" t="n">
        <x:f>COUNTIFS($A$7:$A$150,A112)</x:f>
        <x:v>1</x:v>
      </x:c>
      <x:c r="AD112" s="9" t="n">
        <x:f>COUNTIFS($H$7:$H$150,H112,$I$7:$I$150,I112)</x:f>
        <x:v>6</x:v>
      </x:c>
      <x:c r="AE112" s="9" t="n">
        <x:f>COUNTIFS($H$7:$H$150,H112,$I$7:$I$150,I112,$J$7:$J$150,J112)</x:f>
        <x:v>1</x:v>
      </x:c>
    </x:row>
    <x:row r="113">
      <x:c r="A113" s="9" t="str">
        <x:v>EV-AR-LF-B-A-TECH-2-B1-INT-G0</x:v>
      </x:c>
      <x:c r="B113" s="9" t="str">
        <x:v>EOW-AR-LF-B-A-TECH-2-B1-INT-G0</x:v>
      </x:c>
      <x:c r="C113" s="9" t="str">
        <x:v>AR-LF-B-A-TECH-2-B1-INT-G0</x:v>
      </x:c>
      <x:c r="D113" s="9" t="str">
        <x:v>LF-B-A-TECH-2</x:v>
      </x:c>
      <x:c r="E113" s="9" t="str">
        <x:v>LF-B-A</x:v>
      </x:c>
      <x:c r="F113" s="9" t="str">
        <x:v>B1</x:v>
      </x:c>
      <x:c r="G113" s="9" t="str">
        <x:v>INT</x:v>
      </x:c>
      <x:c r="H113" s="9" t="n">
        <x:v>5</x:v>
      </x:c>
      <x:c r="I113" s="9" t="n">
        <x:v>2</x:v>
      </x:c>
      <x:c r="J113" s="9" t="str">
        <x:v>LF-B-A-N3</x:v>
      </x:c>
      <x:c r="K113" s="9" t="str">
        <x:v>FX-LF-B-A-TECH-2-F2</x:v>
      </x:c>
      <x:c r="L113" s="9" t="n">
        <x:v>238</x:v>
      </x:c>
      <x:c r="M113" s="9" t="n">
        <x:v>0</x:v>
      </x:c>
      <x:c r="N113" s="9" t="n">
        <x:v>0</x:v>
      </x:c>
      <x:c r="O113" s="9" t="n">
        <x:v>10</x:v>
      </x:c>
      <x:c r="P113" s="9" t="n">
        <x:f>SUMIFS('Start Controls'!$P$7:$P$1446,'Start Controls'!$B$7:$B$1446,A113)</x:f>
        <x:v>0</x:v>
      </x:c>
      <x:c r="Q113" s="9" t="n">
        <x:v>0</x:v>
      </x:c>
      <x:c r="R113" s="9" t="n">
        <x:v>8</x:v>
      </x:c>
      <x:c r="S113" s="9" t="n">
        <x:f>SUMIFS('Raw Custody'!$M$7:$M$1158,'Raw Custody'!$B$7:$B$1158,A113)</x:f>
        <x:v>0</x:v>
      </x:c>
      <x:c r="T113" s="9" t="n">
        <x:v>12</x:v>
      </x:c>
      <x:c r="U113" s="9" t="n">
        <x:f>SUMIFS('Observation Gates'!$L$7:$L$1734,'Observation Gates'!$B$7:$B$1734,A113)</x:f>
        <x:v>0</x:v>
      </x:c>
      <x:c r="V113" s="9" t="str">
        <x:v>UNFILED</x:v>
      </x:c>
      <x:c r="W113" s="9" t="n">
        <x:v>0</x:v>
      </x:c>
      <x:c r="X113" s="9" t="n">
        <x:v>0</x:v>
      </x:c>
      <x:c r="Y113" s="9" t="n">
        <x:v>16</x:v>
      </x:c>
      <x:c r="Z113" s="9" t="n">
        <x:f>SUMIFS('Disclosure Packets'!$M$7:$M$2310,'Disclosure Packets'!$C$7:$C$2310,A113)</x:f>
        <x:v>0</x:v>
      </x:c>
      <x:c r="AA113" s="9" t="n">
        <x:v>0</x:v>
      </x:c>
      <x:c r="AB113" s="9" t="str">
        <x:f>IF(N113=0,"PLANNED / BLOCKED",IF(P113&lt;O113,"EOW / START BLOCKED",IF(Q113=0,"ARMED / UNSTARTED",IF(S113&lt;R113,"STARTED / RAW UNSEALED",IF(U113&lt;T113,"SEALED / OBSERVATION OPEN",IF(X113=0,"OBSERVED / UNJUDGED",IF(Z113&lt;Y113,"JUDGED / DISCLOSURE HELD",IF(AA113=0,"COMPLETE / EMBARGOED","PUBLIC / TERMINAL"))))))))</x:f>
        <x:v>PLANNED / BLOCKED</x:v>
      </x:c>
      <x:c r="AC113" s="9" t="n">
        <x:f>COUNTIFS($A$7:$A$150,A113)</x:f>
        <x:v>1</x:v>
      </x:c>
      <x:c r="AD113" s="9" t="n">
        <x:f>COUNTIFS($H$7:$H$150,H113,$I$7:$I$150,I113)</x:f>
        <x:v>6</x:v>
      </x:c>
      <x:c r="AE113" s="9" t="n">
        <x:f>COUNTIFS($H$7:$H$150,H113,$I$7:$I$150,I113,$J$7:$J$150,J113)</x:f>
        <x:v>1</x:v>
      </x:c>
    </x:row>
    <x:row r="114">
      <x:c r="A114" s="9" t="str">
        <x:v>EV-AR-RT-B-C-TECH-2-B1-RCN-G0</x:v>
      </x:c>
      <x:c r="B114" s="9" t="str">
        <x:v>EOW-AR-RT-B-C-TECH-2-B1-RCN-G0</x:v>
      </x:c>
      <x:c r="C114" s="9" t="str">
        <x:v>AR-RT-B-C-TECH-2-B1-RCN-G0</x:v>
      </x:c>
      <x:c r="D114" s="9" t="str">
        <x:v>RT-B-C-TECH-2</x:v>
      </x:c>
      <x:c r="E114" s="9" t="str">
        <x:v>RT-B-C</x:v>
      </x:c>
      <x:c r="F114" s="9" t="str">
        <x:v>B1</x:v>
      </x:c>
      <x:c r="G114" s="9" t="str">
        <x:v>RCN</x:v>
      </x:c>
      <x:c r="H114" s="9" t="n">
        <x:v>5</x:v>
      </x:c>
      <x:c r="I114" s="9" t="n">
        <x:v>2</x:v>
      </x:c>
      <x:c r="J114" s="9" t="str">
        <x:v>RT-B-C-N3</x:v>
      </x:c>
      <x:c r="K114" s="9" t="str">
        <x:v>FX-RT-B-C-TECH-2-F2</x:v>
      </x:c>
      <x:c r="L114" s="9" t="n">
        <x:v>238</x:v>
      </x:c>
      <x:c r="M114" s="9" t="n">
        <x:v>1</x:v>
      </x:c>
      <x:c r="N114" s="9" t="n">
        <x:v>0</x:v>
      </x:c>
      <x:c r="O114" s="9" t="n">
        <x:v>10</x:v>
      </x:c>
      <x:c r="P114" s="9" t="n">
        <x:f>SUMIFS('Start Controls'!$P$7:$P$1446,'Start Controls'!$B$7:$B$1446,A114)</x:f>
        <x:v>0</x:v>
      </x:c>
      <x:c r="Q114" s="9" t="n">
        <x:v>0</x:v>
      </x:c>
      <x:c r="R114" s="9" t="n">
        <x:v>8</x:v>
      </x:c>
      <x:c r="S114" s="9" t="n">
        <x:f>SUMIFS('Raw Custody'!$M$7:$M$1158,'Raw Custody'!$B$7:$B$1158,A114)</x:f>
        <x:v>0</x:v>
      </x:c>
      <x:c r="T114" s="9" t="n">
        <x:v>12</x:v>
      </x:c>
      <x:c r="U114" s="9" t="n">
        <x:f>SUMIFS('Observation Gates'!$L$7:$L$1734,'Observation Gates'!$B$7:$B$1734,A114)</x:f>
        <x:v>0</x:v>
      </x:c>
      <x:c r="V114" s="9" t="str">
        <x:v>UNFILED</x:v>
      </x:c>
      <x:c r="W114" s="9" t="n">
        <x:v>0</x:v>
      </x:c>
      <x:c r="X114" s="9" t="n">
        <x:v>0</x:v>
      </x:c>
      <x:c r="Y114" s="9" t="n">
        <x:v>16</x:v>
      </x:c>
      <x:c r="Z114" s="9" t="n">
        <x:f>SUMIFS('Disclosure Packets'!$M$7:$M$2310,'Disclosure Packets'!$C$7:$C$2310,A114)</x:f>
        <x:v>0</x:v>
      </x:c>
      <x:c r="AA114" s="9" t="n">
        <x:v>0</x:v>
      </x:c>
      <x:c r="AB114" s="9" t="str">
        <x:f>IF(N114=0,"PLANNED / BLOCKED",IF(P114&lt;O114,"EOW / START BLOCKED",IF(Q114=0,"ARMED / UNSTARTED",IF(S114&lt;R114,"STARTED / RAW UNSEALED",IF(U114&lt;T114,"SEALED / OBSERVATION OPEN",IF(X114=0,"OBSERVED / UNJUDGED",IF(Z114&lt;Y114,"JUDGED / DISCLOSURE HELD",IF(AA114=0,"COMPLETE / EMBARGOED","PUBLIC / TERMINAL"))))))))</x:f>
        <x:v>PLANNED / BLOCKED</x:v>
      </x:c>
      <x:c r="AC114" s="9" t="n">
        <x:f>COUNTIFS($A$7:$A$150,A114)</x:f>
        <x:v>1</x:v>
      </x:c>
      <x:c r="AD114" s="9" t="n">
        <x:f>COUNTIFS($H$7:$H$150,H114,$I$7:$I$150,I114)</x:f>
        <x:v>6</x:v>
      </x:c>
      <x:c r="AE114" s="9" t="n">
        <x:f>COUNTIFS($H$7:$H$150,H114,$I$7:$I$150,I114,$J$7:$J$150,J114)</x:f>
        <x:v>1</x:v>
      </x:c>
    </x:row>
    <x:row r="115">
      <x:c r="A115" s="9" t="str">
        <x:v>EV-AR-CT-C-B-TECH-4-B1-INT-G0</x:v>
      </x:c>
      <x:c r="B115" s="9" t="str">
        <x:v>EOW-AR-CT-C-B-TECH-4-B1-INT-G0</x:v>
      </x:c>
      <x:c r="C115" s="9" t="str">
        <x:v>AR-CT-C-B-TECH-4-B1-INT-G0</x:v>
      </x:c>
      <x:c r="D115" s="9" t="str">
        <x:v>CT-C-B-TECH-4</x:v>
      </x:c>
      <x:c r="E115" s="9" t="str">
        <x:v>CT-C-B</x:v>
      </x:c>
      <x:c r="F115" s="9" t="str">
        <x:v>B1</x:v>
      </x:c>
      <x:c r="G115" s="9" t="str">
        <x:v>INT</x:v>
      </x:c>
      <x:c r="H115" s="9" t="n">
        <x:v>5</x:v>
      </x:c>
      <x:c r="I115" s="9" t="n">
        <x:v>3</x:v>
      </x:c>
      <x:c r="J115" s="9" t="str">
        <x:v>CT-C-B-N2</x:v>
      </x:c>
      <x:c r="K115" s="9" t="str">
        <x:v>FX-CT-C-B-TECH-4-F2</x:v>
      </x:c>
      <x:c r="L115" s="9" t="n">
        <x:v>244</x:v>
      </x:c>
      <x:c r="M115" s="9" t="n">
        <x:v>0</x:v>
      </x:c>
      <x:c r="N115" s="9" t="n">
        <x:v>0</x:v>
      </x:c>
      <x:c r="O115" s="9" t="n">
        <x:v>10</x:v>
      </x:c>
      <x:c r="P115" s="9" t="n">
        <x:f>SUMIFS('Start Controls'!$P$7:$P$1446,'Start Controls'!$B$7:$B$1446,A115)</x:f>
        <x:v>0</x:v>
      </x:c>
      <x:c r="Q115" s="9" t="n">
        <x:v>0</x:v>
      </x:c>
      <x:c r="R115" s="9" t="n">
        <x:v>8</x:v>
      </x:c>
      <x:c r="S115" s="9" t="n">
        <x:f>SUMIFS('Raw Custody'!$M$7:$M$1158,'Raw Custody'!$B$7:$B$1158,A115)</x:f>
        <x:v>0</x:v>
      </x:c>
      <x:c r="T115" s="9" t="n">
        <x:v>12</x:v>
      </x:c>
      <x:c r="U115" s="9" t="n">
        <x:f>SUMIFS('Observation Gates'!$L$7:$L$1734,'Observation Gates'!$B$7:$B$1734,A115)</x:f>
        <x:v>0</x:v>
      </x:c>
      <x:c r="V115" s="9" t="str">
        <x:v>UNFILED</x:v>
      </x:c>
      <x:c r="W115" s="9" t="n">
        <x:v>0</x:v>
      </x:c>
      <x:c r="X115" s="9" t="n">
        <x:v>0</x:v>
      </x:c>
      <x:c r="Y115" s="9" t="n">
        <x:v>16</x:v>
      </x:c>
      <x:c r="Z115" s="9" t="n">
        <x:f>SUMIFS('Disclosure Packets'!$M$7:$M$2310,'Disclosure Packets'!$C$7:$C$2310,A115)</x:f>
        <x:v>0</x:v>
      </x:c>
      <x:c r="AA115" s="9" t="n">
        <x:v>0</x:v>
      </x:c>
      <x:c r="AB115" s="9" t="str">
        <x:f>IF(N115=0,"PLANNED / BLOCKED",IF(P115&lt;O115,"EOW / START BLOCKED",IF(Q115=0,"ARMED / UNSTARTED",IF(S115&lt;R115,"STARTED / RAW UNSEALED",IF(U115&lt;T115,"SEALED / OBSERVATION OPEN",IF(X115=0,"OBSERVED / UNJUDGED",IF(Z115&lt;Y115,"JUDGED / DISCLOSURE HELD",IF(AA115=0,"COMPLETE / EMBARGOED","PUBLIC / TERMINAL"))))))))</x:f>
        <x:v>PLANNED / BLOCKED</x:v>
      </x:c>
      <x:c r="AC115" s="9" t="n">
        <x:f>COUNTIFS($A$7:$A$150,A115)</x:f>
        <x:v>1</x:v>
      </x:c>
      <x:c r="AD115" s="9" t="n">
        <x:f>COUNTIFS($H$7:$H$150,H115,$I$7:$I$150,I115)</x:f>
        <x:v>6</x:v>
      </x:c>
      <x:c r="AE115" s="9" t="n">
        <x:f>COUNTIFS($H$7:$H$150,H115,$I$7:$I$150,I115,$J$7:$J$150,J115)</x:f>
        <x:v>1</x:v>
      </x:c>
    </x:row>
    <x:row r="116">
      <x:c r="A116" s="9" t="str">
        <x:v>EV-AR-ET-A-A-TECH-4-B2-INT-G0</x:v>
      </x:c>
      <x:c r="B116" s="9" t="str">
        <x:v>EOW-AR-ET-A-A-TECH-4-B2-INT-G0</x:v>
      </x:c>
      <x:c r="C116" s="9" t="str">
        <x:v>AR-ET-A-A-TECH-4-B2-INT-G0</x:v>
      </x:c>
      <x:c r="D116" s="9" t="str">
        <x:v>ET-A-A-TECH-4</x:v>
      </x:c>
      <x:c r="E116" s="9" t="str">
        <x:v>ET-A-A</x:v>
      </x:c>
      <x:c r="F116" s="9" t="str">
        <x:v>B2</x:v>
      </x:c>
      <x:c r="G116" s="9" t="str">
        <x:v>INT</x:v>
      </x:c>
      <x:c r="H116" s="9" t="n">
        <x:v>5</x:v>
      </x:c>
      <x:c r="I116" s="9" t="n">
        <x:v>3</x:v>
      </x:c>
      <x:c r="J116" s="9" t="str">
        <x:v>ET-A-A-N1</x:v>
      </x:c>
      <x:c r="K116" s="9" t="str">
        <x:v>FX-ET-A-A-TECH-4-F1</x:v>
      </x:c>
      <x:c r="L116" s="9" t="n">
        <x:v>244</x:v>
      </x:c>
      <x:c r="M116" s="9" t="n">
        <x:v>0</x:v>
      </x:c>
      <x:c r="N116" s="9" t="n">
        <x:v>0</x:v>
      </x:c>
      <x:c r="O116" s="9" t="n">
        <x:v>10</x:v>
      </x:c>
      <x:c r="P116" s="9" t="n">
        <x:f>SUMIFS('Start Controls'!$P$7:$P$1446,'Start Controls'!$B$7:$B$1446,A116)</x:f>
        <x:v>0</x:v>
      </x:c>
      <x:c r="Q116" s="9" t="n">
        <x:v>0</x:v>
      </x:c>
      <x:c r="R116" s="9" t="n">
        <x:v>8</x:v>
      </x:c>
      <x:c r="S116" s="9" t="n">
        <x:f>SUMIFS('Raw Custody'!$M$7:$M$1158,'Raw Custody'!$B$7:$B$1158,A116)</x:f>
        <x:v>0</x:v>
      </x:c>
      <x:c r="T116" s="9" t="n">
        <x:v>12</x:v>
      </x:c>
      <x:c r="U116" s="9" t="n">
        <x:f>SUMIFS('Observation Gates'!$L$7:$L$1734,'Observation Gates'!$B$7:$B$1734,A116)</x:f>
        <x:v>0</x:v>
      </x:c>
      <x:c r="V116" s="9" t="str">
        <x:v>UNFILED</x:v>
      </x:c>
      <x:c r="W116" s="9" t="n">
        <x:v>0</x:v>
      </x:c>
      <x:c r="X116" s="9" t="n">
        <x:v>0</x:v>
      </x:c>
      <x:c r="Y116" s="9" t="n">
        <x:v>16</x:v>
      </x:c>
      <x:c r="Z116" s="9" t="n">
        <x:f>SUMIFS('Disclosure Packets'!$M$7:$M$2310,'Disclosure Packets'!$C$7:$C$2310,A116)</x:f>
        <x:v>0</x:v>
      </x:c>
      <x:c r="AA116" s="9" t="n">
        <x:v>0</x:v>
      </x:c>
      <x:c r="AB116" s="9" t="str">
        <x:f>IF(N116=0,"PLANNED / BLOCKED",IF(P116&lt;O116,"EOW / START BLOCKED",IF(Q116=0,"ARMED / UNSTARTED",IF(S116&lt;R116,"STARTED / RAW UNSEALED",IF(U116&lt;T116,"SEALED / OBSERVATION OPEN",IF(X116=0,"OBSERVED / UNJUDGED",IF(Z116&lt;Y116,"JUDGED / DISCLOSURE HELD",IF(AA116=0,"COMPLETE / EMBARGOED","PUBLIC / TERMINAL"))))))))</x:f>
        <x:v>PLANNED / BLOCKED</x:v>
      </x:c>
      <x:c r="AC116" s="9" t="n">
        <x:f>COUNTIFS($A$7:$A$150,A116)</x:f>
        <x:v>1</x:v>
      </x:c>
      <x:c r="AD116" s="9" t="n">
        <x:f>COUNTIFS($H$7:$H$150,H116,$I$7:$I$150,I116)</x:f>
        <x:v>6</x:v>
      </x:c>
      <x:c r="AE116" s="9" t="n">
        <x:f>COUNTIFS($H$7:$H$150,H116,$I$7:$I$150,I116,$J$7:$J$150,J116)</x:f>
        <x:v>1</x:v>
      </x:c>
    </x:row>
    <x:row r="117">
      <x:c r="A117" s="9" t="str">
        <x:v>EV-AR-HU-A-B-TECH-1-B1-INT-G0</x:v>
      </x:c>
      <x:c r="B117" s="9" t="str">
        <x:v>EOW-AR-HU-A-B-TECH-1-B1-INT-G0</x:v>
      </x:c>
      <x:c r="C117" s="9" t="str">
        <x:v>AR-HU-A-B-TECH-1-B1-INT-G0</x:v>
      </x:c>
      <x:c r="D117" s="9" t="str">
        <x:v>HU-A-B-TECH-1</x:v>
      </x:c>
      <x:c r="E117" s="9" t="str">
        <x:v>HU-A-B</x:v>
      </x:c>
      <x:c r="F117" s="9" t="str">
        <x:v>B1</x:v>
      </x:c>
      <x:c r="G117" s="9" t="str">
        <x:v>INT</x:v>
      </x:c>
      <x:c r="H117" s="9" t="n">
        <x:v>5</x:v>
      </x:c>
      <x:c r="I117" s="9" t="n">
        <x:v>3</x:v>
      </x:c>
      <x:c r="J117" s="9" t="str">
        <x:v>HU-A-B-N1</x:v>
      </x:c>
      <x:c r="K117" s="9" t="str">
        <x:v>FX-HU-A-B-TECH-1-F1</x:v>
      </x:c>
      <x:c r="L117" s="9" t="n">
        <x:v>244</x:v>
      </x:c>
      <x:c r="M117" s="9" t="n">
        <x:v>0</x:v>
      </x:c>
      <x:c r="N117" s="9" t="n">
        <x:v>0</x:v>
      </x:c>
      <x:c r="O117" s="9" t="n">
        <x:v>10</x:v>
      </x:c>
      <x:c r="P117" s="9" t="n">
        <x:f>SUMIFS('Start Controls'!$P$7:$P$1446,'Start Controls'!$B$7:$B$1446,A117)</x:f>
        <x:v>0</x:v>
      </x:c>
      <x:c r="Q117" s="9" t="n">
        <x:v>0</x:v>
      </x:c>
      <x:c r="R117" s="9" t="n">
        <x:v>8</x:v>
      </x:c>
      <x:c r="S117" s="9" t="n">
        <x:f>SUMIFS('Raw Custody'!$M$7:$M$1158,'Raw Custody'!$B$7:$B$1158,A117)</x:f>
        <x:v>0</x:v>
      </x:c>
      <x:c r="T117" s="9" t="n">
        <x:v>12</x:v>
      </x:c>
      <x:c r="U117" s="9" t="n">
        <x:f>SUMIFS('Observation Gates'!$L$7:$L$1734,'Observation Gates'!$B$7:$B$1734,A117)</x:f>
        <x:v>0</x:v>
      </x:c>
      <x:c r="V117" s="9" t="str">
        <x:v>UNFILED</x:v>
      </x:c>
      <x:c r="W117" s="9" t="n">
        <x:v>0</x:v>
      </x:c>
      <x:c r="X117" s="9" t="n">
        <x:v>0</x:v>
      </x:c>
      <x:c r="Y117" s="9" t="n">
        <x:v>16</x:v>
      </x:c>
      <x:c r="Z117" s="9" t="n">
        <x:f>SUMIFS('Disclosure Packets'!$M$7:$M$2310,'Disclosure Packets'!$C$7:$C$2310,A117)</x:f>
        <x:v>0</x:v>
      </x:c>
      <x:c r="AA117" s="9" t="n">
        <x:v>0</x:v>
      </x:c>
      <x:c r="AB117" s="9" t="str">
        <x:f>IF(N117=0,"PLANNED / BLOCKED",IF(P117&lt;O117,"EOW / START BLOCKED",IF(Q117=0,"ARMED / UNSTARTED",IF(S117&lt;R117,"STARTED / RAW UNSEALED",IF(U117&lt;T117,"SEALED / OBSERVATION OPEN",IF(X117=0,"OBSERVED / UNJUDGED",IF(Z117&lt;Y117,"JUDGED / DISCLOSURE HELD",IF(AA117=0,"COMPLETE / EMBARGOED","PUBLIC / TERMINAL"))))))))</x:f>
        <x:v>PLANNED / BLOCKED</x:v>
      </x:c>
      <x:c r="AC117" s="9" t="n">
        <x:f>COUNTIFS($A$7:$A$150,A117)</x:f>
        <x:v>1</x:v>
      </x:c>
      <x:c r="AD117" s="9" t="n">
        <x:f>COUNTIFS($H$7:$H$150,H117,$I$7:$I$150,I117)</x:f>
        <x:v>6</x:v>
      </x:c>
      <x:c r="AE117" s="9" t="n">
        <x:f>COUNTIFS($H$7:$H$150,H117,$I$7:$I$150,I117,$J$7:$J$150,J117)</x:f>
        <x:v>1</x:v>
      </x:c>
    </x:row>
    <x:row r="118">
      <x:c r="A118" s="9" t="str">
        <x:v>EV-AR-HU-A-B-TECH-4-B2-BRK-G0</x:v>
      </x:c>
      <x:c r="B118" s="9" t="str">
        <x:v>EOW-AR-HU-A-B-TECH-4-B2-BRK-G0</x:v>
      </x:c>
      <x:c r="C118" s="9" t="str">
        <x:v>AR-HU-A-B-TECH-4-B2-BRK-G0</x:v>
      </x:c>
      <x:c r="D118" s="9" t="str">
        <x:v>HU-A-B-TECH-4</x:v>
      </x:c>
      <x:c r="E118" s="9" t="str">
        <x:v>HU-A-B</x:v>
      </x:c>
      <x:c r="F118" s="9" t="str">
        <x:v>B2</x:v>
      </x:c>
      <x:c r="G118" s="9" t="str">
        <x:v>BRK</x:v>
      </x:c>
      <x:c r="H118" s="9" t="n">
        <x:v>5</x:v>
      </x:c>
      <x:c r="I118" s="9" t="n">
        <x:v>3</x:v>
      </x:c>
      <x:c r="J118" s="9" t="str">
        <x:v>HU-A-B-N2</x:v>
      </x:c>
      <x:c r="K118" s="9" t="str">
        <x:v>FX-HU-A-B-TECH-4-F2</x:v>
      </x:c>
      <x:c r="L118" s="9" t="n">
        <x:v>244</x:v>
      </x:c>
      <x:c r="M118" s="9" t="n">
        <x:v>1</x:v>
      </x:c>
      <x:c r="N118" s="9" t="n">
        <x:v>0</x:v>
      </x:c>
      <x:c r="O118" s="9" t="n">
        <x:v>10</x:v>
      </x:c>
      <x:c r="P118" s="9" t="n">
        <x:f>SUMIFS('Start Controls'!$P$7:$P$1446,'Start Controls'!$B$7:$B$1446,A118)</x:f>
        <x:v>0</x:v>
      </x:c>
      <x:c r="Q118" s="9" t="n">
        <x:v>0</x:v>
      </x:c>
      <x:c r="R118" s="9" t="n">
        <x:v>8</x:v>
      </x:c>
      <x:c r="S118" s="9" t="n">
        <x:f>SUMIFS('Raw Custody'!$M$7:$M$1158,'Raw Custody'!$B$7:$B$1158,A118)</x:f>
        <x:v>0</x:v>
      </x:c>
      <x:c r="T118" s="9" t="n">
        <x:v>12</x:v>
      </x:c>
      <x:c r="U118" s="9" t="n">
        <x:f>SUMIFS('Observation Gates'!$L$7:$L$1734,'Observation Gates'!$B$7:$B$1734,A118)</x:f>
        <x:v>0</x:v>
      </x:c>
      <x:c r="V118" s="9" t="str">
        <x:v>UNFILED</x:v>
      </x:c>
      <x:c r="W118" s="9" t="n">
        <x:v>0</x:v>
      </x:c>
      <x:c r="X118" s="9" t="n">
        <x:v>0</x:v>
      </x:c>
      <x:c r="Y118" s="9" t="n">
        <x:v>16</x:v>
      </x:c>
      <x:c r="Z118" s="9" t="n">
        <x:f>SUMIFS('Disclosure Packets'!$M$7:$M$2310,'Disclosure Packets'!$C$7:$C$2310,A118)</x:f>
        <x:v>0</x:v>
      </x:c>
      <x:c r="AA118" s="9" t="n">
        <x:v>0</x:v>
      </x:c>
      <x:c r="AB118" s="9" t="str">
        <x:f>IF(N118=0,"PLANNED / BLOCKED",IF(P118&lt;O118,"EOW / START BLOCKED",IF(Q118=0,"ARMED / UNSTARTED",IF(S118&lt;R118,"STARTED / RAW UNSEALED",IF(U118&lt;T118,"SEALED / OBSERVATION OPEN",IF(X118=0,"OBSERVED / UNJUDGED",IF(Z118&lt;Y118,"JUDGED / DISCLOSURE HELD",IF(AA118=0,"COMPLETE / EMBARGOED","PUBLIC / TERMINAL"))))))))</x:f>
        <x:v>PLANNED / BLOCKED</x:v>
      </x:c>
      <x:c r="AC118" s="9" t="n">
        <x:f>COUNTIFS($A$7:$A$150,A118)</x:f>
        <x:v>1</x:v>
      </x:c>
      <x:c r="AD118" s="9" t="n">
        <x:f>COUNTIFS($H$7:$H$150,H118,$I$7:$I$150,I118)</x:f>
        <x:v>6</x:v>
      </x:c>
      <x:c r="AE118" s="9" t="n">
        <x:f>COUNTIFS($H$7:$H$150,H118,$I$7:$I$150,I118,$J$7:$J$150,J118)</x:f>
        <x:v>1</x:v>
      </x:c>
    </x:row>
    <x:row r="119">
      <x:c r="A119" s="9" t="str">
        <x:v>EV-AR-RT-B-C-TECH-4-B1-BRK-G0</x:v>
      </x:c>
      <x:c r="B119" s="9" t="str">
        <x:v>EOW-AR-RT-B-C-TECH-4-B1-BRK-G0</x:v>
      </x:c>
      <x:c r="C119" s="9" t="str">
        <x:v>AR-RT-B-C-TECH-4-B1-BRK-G0</x:v>
      </x:c>
      <x:c r="D119" s="9" t="str">
        <x:v>RT-B-C-TECH-4</x:v>
      </x:c>
      <x:c r="E119" s="9" t="str">
        <x:v>RT-B-C</x:v>
      </x:c>
      <x:c r="F119" s="9" t="str">
        <x:v>B1</x:v>
      </x:c>
      <x:c r="G119" s="9" t="str">
        <x:v>BRK</x:v>
      </x:c>
      <x:c r="H119" s="9" t="n">
        <x:v>5</x:v>
      </x:c>
      <x:c r="I119" s="9" t="n">
        <x:v>3</x:v>
      </x:c>
      <x:c r="J119" s="9" t="str">
        <x:v>RT-B-C-N1</x:v>
      </x:c>
      <x:c r="K119" s="9" t="str">
        <x:v>FX-RT-B-C-TECH-4-F1</x:v>
      </x:c>
      <x:c r="L119" s="9" t="n">
        <x:v>244</x:v>
      </x:c>
      <x:c r="M119" s="9" t="n">
        <x:v>1</x:v>
      </x:c>
      <x:c r="N119" s="9" t="n">
        <x:v>0</x:v>
      </x:c>
      <x:c r="O119" s="9" t="n">
        <x:v>10</x:v>
      </x:c>
      <x:c r="P119" s="9" t="n">
        <x:f>SUMIFS('Start Controls'!$P$7:$P$1446,'Start Controls'!$B$7:$B$1446,A119)</x:f>
        <x:v>0</x:v>
      </x:c>
      <x:c r="Q119" s="9" t="n">
        <x:v>0</x:v>
      </x:c>
      <x:c r="R119" s="9" t="n">
        <x:v>8</x:v>
      </x:c>
      <x:c r="S119" s="9" t="n">
        <x:f>SUMIFS('Raw Custody'!$M$7:$M$1158,'Raw Custody'!$B$7:$B$1158,A119)</x:f>
        <x:v>0</x:v>
      </x:c>
      <x:c r="T119" s="9" t="n">
        <x:v>12</x:v>
      </x:c>
      <x:c r="U119" s="9" t="n">
        <x:f>SUMIFS('Observation Gates'!$L$7:$L$1734,'Observation Gates'!$B$7:$B$1734,A119)</x:f>
        <x:v>0</x:v>
      </x:c>
      <x:c r="V119" s="9" t="str">
        <x:v>UNFILED</x:v>
      </x:c>
      <x:c r="W119" s="9" t="n">
        <x:v>0</x:v>
      </x:c>
      <x:c r="X119" s="9" t="n">
        <x:v>0</x:v>
      </x:c>
      <x:c r="Y119" s="9" t="n">
        <x:v>16</x:v>
      </x:c>
      <x:c r="Z119" s="9" t="n">
        <x:f>SUMIFS('Disclosure Packets'!$M$7:$M$2310,'Disclosure Packets'!$C$7:$C$2310,A119)</x:f>
        <x:v>0</x:v>
      </x:c>
      <x:c r="AA119" s="9" t="n">
        <x:v>0</x:v>
      </x:c>
      <x:c r="AB119" s="9" t="str">
        <x:f>IF(N119=0,"PLANNED / BLOCKED",IF(P119&lt;O119,"EOW / START BLOCKED",IF(Q119=0,"ARMED / UNSTARTED",IF(S119&lt;R119,"STARTED / RAW UNSEALED",IF(U119&lt;T119,"SEALED / OBSERVATION OPEN",IF(X119=0,"OBSERVED / UNJUDGED",IF(Z119&lt;Y119,"JUDGED / DISCLOSURE HELD",IF(AA119=0,"COMPLETE / EMBARGOED","PUBLIC / TERMINAL"))))))))</x:f>
        <x:v>PLANNED / BLOCKED</x:v>
      </x:c>
      <x:c r="AC119" s="9" t="n">
        <x:f>COUNTIFS($A$7:$A$150,A119)</x:f>
        <x:v>1</x:v>
      </x:c>
      <x:c r="AD119" s="9" t="n">
        <x:f>COUNTIFS($H$7:$H$150,H119,$I$7:$I$150,I119)</x:f>
        <x:v>6</x:v>
      </x:c>
      <x:c r="AE119" s="9" t="n">
        <x:f>COUNTIFS($H$7:$H$150,H119,$I$7:$I$150,I119,$J$7:$J$150,J119)</x:f>
        <x:v>1</x:v>
      </x:c>
    </x:row>
    <x:row r="120">
      <x:c r="A120" s="9" t="str">
        <x:v>EV-AR-RT-B-C-TECH-3-B2-BRK-G0</x:v>
      </x:c>
      <x:c r="B120" s="9" t="str">
        <x:v>EOW-AR-RT-B-C-TECH-3-B2-BRK-G0</x:v>
      </x:c>
      <x:c r="C120" s="9" t="str">
        <x:v>AR-RT-B-C-TECH-3-B2-BRK-G0</x:v>
      </x:c>
      <x:c r="D120" s="9" t="str">
        <x:v>RT-B-C-TECH-3</x:v>
      </x:c>
      <x:c r="E120" s="9" t="str">
        <x:v>RT-B-C</x:v>
      </x:c>
      <x:c r="F120" s="9" t="str">
        <x:v>B2</x:v>
      </x:c>
      <x:c r="G120" s="9" t="str">
        <x:v>BRK</x:v>
      </x:c>
      <x:c r="H120" s="9" t="n">
        <x:v>5</x:v>
      </x:c>
      <x:c r="I120" s="9" t="n">
        <x:v>3</x:v>
      </x:c>
      <x:c r="J120" s="9" t="str">
        <x:v>RT-B-C-N3</x:v>
      </x:c>
      <x:c r="K120" s="9" t="str">
        <x:v>FX-RT-B-C-TECH-3-F1</x:v>
      </x:c>
      <x:c r="L120" s="9" t="n">
        <x:v>244</x:v>
      </x:c>
      <x:c r="M120" s="9" t="n">
        <x:v>1</x:v>
      </x:c>
      <x:c r="N120" s="9" t="n">
        <x:v>0</x:v>
      </x:c>
      <x:c r="O120" s="9" t="n">
        <x:v>10</x:v>
      </x:c>
      <x:c r="P120" s="9" t="n">
        <x:f>SUMIFS('Start Controls'!$P$7:$P$1446,'Start Controls'!$B$7:$B$1446,A120)</x:f>
        <x:v>0</x:v>
      </x:c>
      <x:c r="Q120" s="9" t="n">
        <x:v>0</x:v>
      </x:c>
      <x:c r="R120" s="9" t="n">
        <x:v>8</x:v>
      </x:c>
      <x:c r="S120" s="9" t="n">
        <x:f>SUMIFS('Raw Custody'!$M$7:$M$1158,'Raw Custody'!$B$7:$B$1158,A120)</x:f>
        <x:v>0</x:v>
      </x:c>
      <x:c r="T120" s="9" t="n">
        <x:v>12</x:v>
      </x:c>
      <x:c r="U120" s="9" t="n">
        <x:f>SUMIFS('Observation Gates'!$L$7:$L$1734,'Observation Gates'!$B$7:$B$1734,A120)</x:f>
        <x:v>0</x:v>
      </x:c>
      <x:c r="V120" s="9" t="str">
        <x:v>UNFILED</x:v>
      </x:c>
      <x:c r="W120" s="9" t="n">
        <x:v>0</x:v>
      </x:c>
      <x:c r="X120" s="9" t="n">
        <x:v>0</x:v>
      </x:c>
      <x:c r="Y120" s="9" t="n">
        <x:v>16</x:v>
      </x:c>
      <x:c r="Z120" s="9" t="n">
        <x:f>SUMIFS('Disclosure Packets'!$M$7:$M$2310,'Disclosure Packets'!$C$7:$C$2310,A120)</x:f>
        <x:v>0</x:v>
      </x:c>
      <x:c r="AA120" s="9" t="n">
        <x:v>0</x:v>
      </x:c>
      <x:c r="AB120" s="9" t="str">
        <x:f>IF(N120=0,"PLANNED / BLOCKED",IF(P120&lt;O120,"EOW / START BLOCKED",IF(Q120=0,"ARMED / UNSTARTED",IF(S120&lt;R120,"STARTED / RAW UNSEALED",IF(U120&lt;T120,"SEALED / OBSERVATION OPEN",IF(X120=0,"OBSERVED / UNJUDGED",IF(Z120&lt;Y120,"JUDGED / DISCLOSURE HELD",IF(AA120=0,"COMPLETE / EMBARGOED","PUBLIC / TERMINAL"))))))))</x:f>
        <x:v>PLANNED / BLOCKED</x:v>
      </x:c>
      <x:c r="AC120" s="9" t="n">
        <x:f>COUNTIFS($A$7:$A$150,A120)</x:f>
        <x:v>1</x:v>
      </x:c>
      <x:c r="AD120" s="9" t="n">
        <x:f>COUNTIFS($H$7:$H$150,H120,$I$7:$I$150,I120)</x:f>
        <x:v>6</x:v>
      </x:c>
      <x:c r="AE120" s="9" t="n">
        <x:f>COUNTIFS($H$7:$H$150,H120,$I$7:$I$150,I120,$J$7:$J$150,J120)</x:f>
        <x:v>1</x:v>
      </x:c>
    </x:row>
    <x:row r="121">
      <x:c r="A121" s="9" t="str">
        <x:v>EV-AR-CT-C-B-TECH-1-B2-BRK-G0</x:v>
      </x:c>
      <x:c r="B121" s="9" t="str">
        <x:v>EOW-AR-CT-C-B-TECH-1-B2-BRK-G0</x:v>
      </x:c>
      <x:c r="C121" s="9" t="str">
        <x:v>AR-CT-C-B-TECH-1-B2-BRK-G0</x:v>
      </x:c>
      <x:c r="D121" s="9" t="str">
        <x:v>CT-C-B-TECH-1</x:v>
      </x:c>
      <x:c r="E121" s="9" t="str">
        <x:v>CT-C-B</x:v>
      </x:c>
      <x:c r="F121" s="9" t="str">
        <x:v>B2</x:v>
      </x:c>
      <x:c r="G121" s="9" t="str">
        <x:v>BRK</x:v>
      </x:c>
      <x:c r="H121" s="9" t="n">
        <x:v>5</x:v>
      </x:c>
      <x:c r="I121" s="9" t="n">
        <x:v>4</x:v>
      </x:c>
      <x:c r="J121" s="9" t="str">
        <x:v>CT-C-B-N1</x:v>
      </x:c>
      <x:c r="K121" s="9" t="str">
        <x:v>FX-CT-C-B-TECH-1-F1</x:v>
      </x:c>
      <x:c r="L121" s="9" t="n">
        <x:v>250</x:v>
      </x:c>
      <x:c r="M121" s="9" t="n">
        <x:v>1</x:v>
      </x:c>
      <x:c r="N121" s="9" t="n">
        <x:v>0</x:v>
      </x:c>
      <x:c r="O121" s="9" t="n">
        <x:v>10</x:v>
      </x:c>
      <x:c r="P121" s="9" t="n">
        <x:f>SUMIFS('Start Controls'!$P$7:$P$1446,'Start Controls'!$B$7:$B$1446,A121)</x:f>
        <x:v>0</x:v>
      </x:c>
      <x:c r="Q121" s="9" t="n">
        <x:v>0</x:v>
      </x:c>
      <x:c r="R121" s="9" t="n">
        <x:v>8</x:v>
      </x:c>
      <x:c r="S121" s="9" t="n">
        <x:f>SUMIFS('Raw Custody'!$M$7:$M$1158,'Raw Custody'!$B$7:$B$1158,A121)</x:f>
        <x:v>0</x:v>
      </x:c>
      <x:c r="T121" s="9" t="n">
        <x:v>12</x:v>
      </x:c>
      <x:c r="U121" s="9" t="n">
        <x:f>SUMIFS('Observation Gates'!$L$7:$L$1734,'Observation Gates'!$B$7:$B$1734,A121)</x:f>
        <x:v>0</x:v>
      </x:c>
      <x:c r="V121" s="9" t="str">
        <x:v>UNFILED</x:v>
      </x:c>
      <x:c r="W121" s="9" t="n">
        <x:v>0</x:v>
      </x:c>
      <x:c r="X121" s="9" t="n">
        <x:v>0</x:v>
      </x:c>
      <x:c r="Y121" s="9" t="n">
        <x:v>16</x:v>
      </x:c>
      <x:c r="Z121" s="9" t="n">
        <x:f>SUMIFS('Disclosure Packets'!$M$7:$M$2310,'Disclosure Packets'!$C$7:$C$2310,A121)</x:f>
        <x:v>0</x:v>
      </x:c>
      <x:c r="AA121" s="9" t="n">
        <x:v>0</x:v>
      </x:c>
      <x:c r="AB121" s="9" t="str">
        <x:f>IF(N121=0,"PLANNED / BLOCKED",IF(P121&lt;O121,"EOW / START BLOCKED",IF(Q121=0,"ARMED / UNSTARTED",IF(S121&lt;R121,"STARTED / RAW UNSEALED",IF(U121&lt;T121,"SEALED / OBSERVATION OPEN",IF(X121=0,"OBSERVED / UNJUDGED",IF(Z121&lt;Y121,"JUDGED / DISCLOSURE HELD",IF(AA121=0,"COMPLETE / EMBARGOED","PUBLIC / TERMINAL"))))))))</x:f>
        <x:v>PLANNED / BLOCKED</x:v>
      </x:c>
      <x:c r="AC121" s="9" t="n">
        <x:f>COUNTIFS($A$7:$A$150,A121)</x:f>
        <x:v>1</x:v>
      </x:c>
      <x:c r="AD121" s="9" t="n">
        <x:f>COUNTIFS($H$7:$H$150,H121,$I$7:$I$150,I121)</x:f>
        <x:v>6</x:v>
      </x:c>
      <x:c r="AE121" s="9" t="n">
        <x:f>COUNTIFS($H$7:$H$150,H121,$I$7:$I$150,I121,$J$7:$J$150,J121)</x:f>
        <x:v>1</x:v>
      </x:c>
    </x:row>
    <x:row r="122">
      <x:c r="A122" s="9" t="str">
        <x:v>EV-AR-ET-A-A-TECH-2-B2-BRK-G0</x:v>
      </x:c>
      <x:c r="B122" s="9" t="str">
        <x:v>EOW-AR-ET-A-A-TECH-2-B2-BRK-G0</x:v>
      </x:c>
      <x:c r="C122" s="9" t="str">
        <x:v>AR-ET-A-A-TECH-2-B2-BRK-G0</x:v>
      </x:c>
      <x:c r="D122" s="9" t="str">
        <x:v>ET-A-A-TECH-2</x:v>
      </x:c>
      <x:c r="E122" s="9" t="str">
        <x:v>ET-A-A</x:v>
      </x:c>
      <x:c r="F122" s="9" t="str">
        <x:v>B2</x:v>
      </x:c>
      <x:c r="G122" s="9" t="str">
        <x:v>BRK</x:v>
      </x:c>
      <x:c r="H122" s="9" t="n">
        <x:v>5</x:v>
      </x:c>
      <x:c r="I122" s="9" t="n">
        <x:v>4</x:v>
      </x:c>
      <x:c r="J122" s="9" t="str">
        <x:v>ET-A-A-N3</x:v>
      </x:c>
      <x:c r="K122" s="9" t="str">
        <x:v>FX-ET-A-A-TECH-2-F2</x:v>
      </x:c>
      <x:c r="L122" s="9" t="n">
        <x:v>250</x:v>
      </x:c>
      <x:c r="M122" s="9" t="n">
        <x:v>1</x:v>
      </x:c>
      <x:c r="N122" s="9" t="n">
        <x:v>0</x:v>
      </x:c>
      <x:c r="O122" s="9" t="n">
        <x:v>10</x:v>
      </x:c>
      <x:c r="P122" s="9" t="n">
        <x:f>SUMIFS('Start Controls'!$P$7:$P$1446,'Start Controls'!$B$7:$B$1446,A122)</x:f>
        <x:v>0</x:v>
      </x:c>
      <x:c r="Q122" s="9" t="n">
        <x:v>0</x:v>
      </x:c>
      <x:c r="R122" s="9" t="n">
        <x:v>8</x:v>
      </x:c>
      <x:c r="S122" s="9" t="n">
        <x:f>SUMIFS('Raw Custody'!$M$7:$M$1158,'Raw Custody'!$B$7:$B$1158,A122)</x:f>
        <x:v>0</x:v>
      </x:c>
      <x:c r="T122" s="9" t="n">
        <x:v>12</x:v>
      </x:c>
      <x:c r="U122" s="9" t="n">
        <x:f>SUMIFS('Observation Gates'!$L$7:$L$1734,'Observation Gates'!$B$7:$B$1734,A122)</x:f>
        <x:v>0</x:v>
      </x:c>
      <x:c r="V122" s="9" t="str">
        <x:v>UNFILED</x:v>
      </x:c>
      <x:c r="W122" s="9" t="n">
        <x:v>0</x:v>
      </x:c>
      <x:c r="X122" s="9" t="n">
        <x:v>0</x:v>
      </x:c>
      <x:c r="Y122" s="9" t="n">
        <x:v>16</x:v>
      </x:c>
      <x:c r="Z122" s="9" t="n">
        <x:f>SUMIFS('Disclosure Packets'!$M$7:$M$2310,'Disclosure Packets'!$C$7:$C$2310,A122)</x:f>
        <x:v>0</x:v>
      </x:c>
      <x:c r="AA122" s="9" t="n">
        <x:v>0</x:v>
      </x:c>
      <x:c r="AB122" s="9" t="str">
        <x:f>IF(N122=0,"PLANNED / BLOCKED",IF(P122&lt;O122,"EOW / START BLOCKED",IF(Q122=0,"ARMED / UNSTARTED",IF(S122&lt;R122,"STARTED / RAW UNSEALED",IF(U122&lt;T122,"SEALED / OBSERVATION OPEN",IF(X122=0,"OBSERVED / UNJUDGED",IF(Z122&lt;Y122,"JUDGED / DISCLOSURE HELD",IF(AA122=0,"COMPLETE / EMBARGOED","PUBLIC / TERMINAL"))))))))</x:f>
        <x:v>PLANNED / BLOCKED</x:v>
      </x:c>
      <x:c r="AC122" s="9" t="n">
        <x:f>COUNTIFS($A$7:$A$150,A122)</x:f>
        <x:v>1</x:v>
      </x:c>
      <x:c r="AD122" s="9" t="n">
        <x:f>COUNTIFS($H$7:$H$150,H122,$I$7:$I$150,I122)</x:f>
        <x:v>6</x:v>
      </x:c>
      <x:c r="AE122" s="9" t="n">
        <x:f>COUNTIFS($H$7:$H$150,H122,$I$7:$I$150,I122,$J$7:$J$150,J122)</x:f>
        <x:v>1</x:v>
      </x:c>
    </x:row>
    <x:row r="123">
      <x:c r="A123" s="9" t="str">
        <x:v>EV-AR-HC-A-C-TECH-1-B1-BRK-G0</x:v>
      </x:c>
      <x:c r="B123" s="9" t="str">
        <x:v>EOW-AR-HC-A-C-TECH-1-B1-BRK-G0</x:v>
      </x:c>
      <x:c r="C123" s="9" t="str">
        <x:v>AR-HC-A-C-TECH-1-B1-BRK-G0</x:v>
      </x:c>
      <x:c r="D123" s="9" t="str">
        <x:v>HC-A-C-TECH-1</x:v>
      </x:c>
      <x:c r="E123" s="9" t="str">
        <x:v>HC-A-C</x:v>
      </x:c>
      <x:c r="F123" s="9" t="str">
        <x:v>B1</x:v>
      </x:c>
      <x:c r="G123" s="9" t="str">
        <x:v>BRK</x:v>
      </x:c>
      <x:c r="H123" s="9" t="n">
        <x:v>5</x:v>
      </x:c>
      <x:c r="I123" s="9" t="n">
        <x:v>4</x:v>
      </x:c>
      <x:c r="J123" s="9" t="str">
        <x:v>HC-A-C-N2</x:v>
      </x:c>
      <x:c r="K123" s="9" t="str">
        <x:v>FX-HC-A-C-TECH-1-F2</x:v>
      </x:c>
      <x:c r="L123" s="9" t="n">
        <x:v>250</x:v>
      </x:c>
      <x:c r="M123" s="9" t="n">
        <x:v>1</x:v>
      </x:c>
      <x:c r="N123" s="9" t="n">
        <x:v>0</x:v>
      </x:c>
      <x:c r="O123" s="9" t="n">
        <x:v>10</x:v>
      </x:c>
      <x:c r="P123" s="9" t="n">
        <x:f>SUMIFS('Start Controls'!$P$7:$P$1446,'Start Controls'!$B$7:$B$1446,A123)</x:f>
        <x:v>0</x:v>
      </x:c>
      <x:c r="Q123" s="9" t="n">
        <x:v>0</x:v>
      </x:c>
      <x:c r="R123" s="9" t="n">
        <x:v>8</x:v>
      </x:c>
      <x:c r="S123" s="9" t="n">
        <x:f>SUMIFS('Raw Custody'!$M$7:$M$1158,'Raw Custody'!$B$7:$B$1158,A123)</x:f>
        <x:v>0</x:v>
      </x:c>
      <x:c r="T123" s="9" t="n">
        <x:v>12</x:v>
      </x:c>
      <x:c r="U123" s="9" t="n">
        <x:f>SUMIFS('Observation Gates'!$L$7:$L$1734,'Observation Gates'!$B$7:$B$1734,A123)</x:f>
        <x:v>0</x:v>
      </x:c>
      <x:c r="V123" s="9" t="str">
        <x:v>UNFILED</x:v>
      </x:c>
      <x:c r="W123" s="9" t="n">
        <x:v>0</x:v>
      </x:c>
      <x:c r="X123" s="9" t="n">
        <x:v>0</x:v>
      </x:c>
      <x:c r="Y123" s="9" t="n">
        <x:v>16</x:v>
      </x:c>
      <x:c r="Z123" s="9" t="n">
        <x:f>SUMIFS('Disclosure Packets'!$M$7:$M$2310,'Disclosure Packets'!$C$7:$C$2310,A123)</x:f>
        <x:v>0</x:v>
      </x:c>
      <x:c r="AA123" s="9" t="n">
        <x:v>0</x:v>
      </x:c>
      <x:c r="AB123" s="9" t="str">
        <x:f>IF(N123=0,"PLANNED / BLOCKED",IF(P123&lt;O123,"EOW / START BLOCKED",IF(Q123=0,"ARMED / UNSTARTED",IF(S123&lt;R123,"STARTED / RAW UNSEALED",IF(U123&lt;T123,"SEALED / OBSERVATION OPEN",IF(X123=0,"OBSERVED / UNJUDGED",IF(Z123&lt;Y123,"JUDGED / DISCLOSURE HELD",IF(AA123=0,"COMPLETE / EMBARGOED","PUBLIC / TERMINAL"))))))))</x:f>
        <x:v>PLANNED / BLOCKED</x:v>
      </x:c>
      <x:c r="AC123" s="9" t="n">
        <x:f>COUNTIFS($A$7:$A$150,A123)</x:f>
        <x:v>1</x:v>
      </x:c>
      <x:c r="AD123" s="9" t="n">
        <x:f>COUNTIFS($H$7:$H$150,H123,$I$7:$I$150,I123)</x:f>
        <x:v>6</x:v>
      </x:c>
      <x:c r="AE123" s="9" t="n">
        <x:f>COUNTIFS($H$7:$H$150,H123,$I$7:$I$150,I123,$J$7:$J$150,J123)</x:f>
        <x:v>1</x:v>
      </x:c>
    </x:row>
    <x:row r="124">
      <x:c r="A124" s="9" t="str">
        <x:v>EV-AR-HU-A-B-TECH-3-B1-RCN-G0</x:v>
      </x:c>
      <x:c r="B124" s="9" t="str">
        <x:v>EOW-AR-HU-A-B-TECH-3-B1-RCN-G0</x:v>
      </x:c>
      <x:c r="C124" s="9" t="str">
        <x:v>AR-HU-A-B-TECH-3-B1-RCN-G0</x:v>
      </x:c>
      <x:c r="D124" s="9" t="str">
        <x:v>HU-A-B-TECH-3</x:v>
      </x:c>
      <x:c r="E124" s="9" t="str">
        <x:v>HU-A-B</x:v>
      </x:c>
      <x:c r="F124" s="9" t="str">
        <x:v>B1</x:v>
      </x:c>
      <x:c r="G124" s="9" t="str">
        <x:v>RCN</x:v>
      </x:c>
      <x:c r="H124" s="9" t="n">
        <x:v>5</x:v>
      </x:c>
      <x:c r="I124" s="9" t="n">
        <x:v>4</x:v>
      </x:c>
      <x:c r="J124" s="9" t="str">
        <x:v>HU-A-B-N3</x:v>
      </x:c>
      <x:c r="K124" s="9" t="str">
        <x:v>FX-HU-A-B-TECH-3-F1</x:v>
      </x:c>
      <x:c r="L124" s="9" t="n">
        <x:v>250</x:v>
      </x:c>
      <x:c r="M124" s="9" t="n">
        <x:v>1</x:v>
      </x:c>
      <x:c r="N124" s="9" t="n">
        <x:v>0</x:v>
      </x:c>
      <x:c r="O124" s="9" t="n">
        <x:v>10</x:v>
      </x:c>
      <x:c r="P124" s="9" t="n">
        <x:f>SUMIFS('Start Controls'!$P$7:$P$1446,'Start Controls'!$B$7:$B$1446,A124)</x:f>
        <x:v>0</x:v>
      </x:c>
      <x:c r="Q124" s="9" t="n">
        <x:v>0</x:v>
      </x:c>
      <x:c r="R124" s="9" t="n">
        <x:v>8</x:v>
      </x:c>
      <x:c r="S124" s="9" t="n">
        <x:f>SUMIFS('Raw Custody'!$M$7:$M$1158,'Raw Custody'!$B$7:$B$1158,A124)</x:f>
        <x:v>0</x:v>
      </x:c>
      <x:c r="T124" s="9" t="n">
        <x:v>12</x:v>
      </x:c>
      <x:c r="U124" s="9" t="n">
        <x:f>SUMIFS('Observation Gates'!$L$7:$L$1734,'Observation Gates'!$B$7:$B$1734,A124)</x:f>
        <x:v>0</x:v>
      </x:c>
      <x:c r="V124" s="9" t="str">
        <x:v>UNFILED</x:v>
      </x:c>
      <x:c r="W124" s="9" t="n">
        <x:v>0</x:v>
      </x:c>
      <x:c r="X124" s="9" t="n">
        <x:v>0</x:v>
      </x:c>
      <x:c r="Y124" s="9" t="n">
        <x:v>16</x:v>
      </x:c>
      <x:c r="Z124" s="9" t="n">
        <x:f>SUMIFS('Disclosure Packets'!$M$7:$M$2310,'Disclosure Packets'!$C$7:$C$2310,A124)</x:f>
        <x:v>0</x:v>
      </x:c>
      <x:c r="AA124" s="9" t="n">
        <x:v>0</x:v>
      </x:c>
      <x:c r="AB124" s="9" t="str">
        <x:f>IF(N124=0,"PLANNED / BLOCKED",IF(P124&lt;O124,"EOW / START BLOCKED",IF(Q124=0,"ARMED / UNSTARTED",IF(S124&lt;R124,"STARTED / RAW UNSEALED",IF(U124&lt;T124,"SEALED / OBSERVATION OPEN",IF(X124=0,"OBSERVED / UNJUDGED",IF(Z124&lt;Y124,"JUDGED / DISCLOSURE HELD",IF(AA124=0,"COMPLETE / EMBARGOED","PUBLIC / TERMINAL"))))))))</x:f>
        <x:v>PLANNED / BLOCKED</x:v>
      </x:c>
      <x:c r="AC124" s="9" t="n">
        <x:f>COUNTIFS($A$7:$A$150,A124)</x:f>
        <x:v>1</x:v>
      </x:c>
      <x:c r="AD124" s="9" t="n">
        <x:f>COUNTIFS($H$7:$H$150,H124,$I$7:$I$150,I124)</x:f>
        <x:v>6</x:v>
      </x:c>
      <x:c r="AE124" s="9" t="n">
        <x:f>COUNTIFS($H$7:$H$150,H124,$I$7:$I$150,I124,$J$7:$J$150,J124)</x:f>
        <x:v>1</x:v>
      </x:c>
    </x:row>
    <x:row r="125">
      <x:c r="A125" s="9" t="str">
        <x:v>EV-AR-LF-B-A-TECH-1-B2-INT-G0</x:v>
      </x:c>
      <x:c r="B125" s="9" t="str">
        <x:v>EOW-AR-LF-B-A-TECH-1-B2-INT-G0</x:v>
      </x:c>
      <x:c r="C125" s="9" t="str">
        <x:v>AR-LF-B-A-TECH-1-B2-INT-G0</x:v>
      </x:c>
      <x:c r="D125" s="9" t="str">
        <x:v>LF-B-A-TECH-1</x:v>
      </x:c>
      <x:c r="E125" s="9" t="str">
        <x:v>LF-B-A</x:v>
      </x:c>
      <x:c r="F125" s="9" t="str">
        <x:v>B2</x:v>
      </x:c>
      <x:c r="G125" s="9" t="str">
        <x:v>INT</x:v>
      </x:c>
      <x:c r="H125" s="9" t="n">
        <x:v>5</x:v>
      </x:c>
      <x:c r="I125" s="9" t="n">
        <x:v>4</x:v>
      </x:c>
      <x:c r="J125" s="9" t="str">
        <x:v>LF-B-A-N2</x:v>
      </x:c>
      <x:c r="K125" s="9" t="str">
        <x:v>FX-LF-B-A-TECH-1-F2</x:v>
      </x:c>
      <x:c r="L125" s="9" t="n">
        <x:v>250</x:v>
      </x:c>
      <x:c r="M125" s="9" t="n">
        <x:v>0</x:v>
      </x:c>
      <x:c r="N125" s="9" t="n">
        <x:v>0</x:v>
      </x:c>
      <x:c r="O125" s="9" t="n">
        <x:v>10</x:v>
      </x:c>
      <x:c r="P125" s="9" t="n">
        <x:f>SUMIFS('Start Controls'!$P$7:$P$1446,'Start Controls'!$B$7:$B$1446,A125)</x:f>
        <x:v>0</x:v>
      </x:c>
      <x:c r="Q125" s="9" t="n">
        <x:v>0</x:v>
      </x:c>
      <x:c r="R125" s="9" t="n">
        <x:v>8</x:v>
      </x:c>
      <x:c r="S125" s="9" t="n">
        <x:f>SUMIFS('Raw Custody'!$M$7:$M$1158,'Raw Custody'!$B$7:$B$1158,A125)</x:f>
        <x:v>0</x:v>
      </x:c>
      <x:c r="T125" s="9" t="n">
        <x:v>12</x:v>
      </x:c>
      <x:c r="U125" s="9" t="n">
        <x:f>SUMIFS('Observation Gates'!$L$7:$L$1734,'Observation Gates'!$B$7:$B$1734,A125)</x:f>
        <x:v>0</x:v>
      </x:c>
      <x:c r="V125" s="9" t="str">
        <x:v>UNFILED</x:v>
      </x:c>
      <x:c r="W125" s="9" t="n">
        <x:v>0</x:v>
      </x:c>
      <x:c r="X125" s="9" t="n">
        <x:v>0</x:v>
      </x:c>
      <x:c r="Y125" s="9" t="n">
        <x:v>16</x:v>
      </x:c>
      <x:c r="Z125" s="9" t="n">
        <x:f>SUMIFS('Disclosure Packets'!$M$7:$M$2310,'Disclosure Packets'!$C$7:$C$2310,A125)</x:f>
        <x:v>0</x:v>
      </x:c>
      <x:c r="AA125" s="9" t="n">
        <x:v>0</x:v>
      </x:c>
      <x:c r="AB125" s="9" t="str">
        <x:f>IF(N125=0,"PLANNED / BLOCKED",IF(P125&lt;O125,"EOW / START BLOCKED",IF(Q125=0,"ARMED / UNSTARTED",IF(S125&lt;R125,"STARTED / RAW UNSEALED",IF(U125&lt;T125,"SEALED / OBSERVATION OPEN",IF(X125=0,"OBSERVED / UNJUDGED",IF(Z125&lt;Y125,"JUDGED / DISCLOSURE HELD",IF(AA125=0,"COMPLETE / EMBARGOED","PUBLIC / TERMINAL"))))))))</x:f>
        <x:v>PLANNED / BLOCKED</x:v>
      </x:c>
      <x:c r="AC125" s="9" t="n">
        <x:f>COUNTIFS($A$7:$A$150,A125)</x:f>
        <x:v>1</x:v>
      </x:c>
      <x:c r="AD125" s="9" t="n">
        <x:f>COUNTIFS($H$7:$H$150,H125,$I$7:$I$150,I125)</x:f>
        <x:v>6</x:v>
      </x:c>
      <x:c r="AE125" s="9" t="n">
        <x:f>COUNTIFS($H$7:$H$150,H125,$I$7:$I$150,I125,$J$7:$J$150,J125)</x:f>
        <x:v>1</x:v>
      </x:c>
    </x:row>
    <x:row r="126">
      <x:c r="A126" s="9" t="str">
        <x:v>EV-AR-RT-B-C-TECH-1-B2-RCN-G0</x:v>
      </x:c>
      <x:c r="B126" s="9" t="str">
        <x:v>EOW-AR-RT-B-C-TECH-1-B2-RCN-G0</x:v>
      </x:c>
      <x:c r="C126" s="9" t="str">
        <x:v>AR-RT-B-C-TECH-1-B2-RCN-G0</x:v>
      </x:c>
      <x:c r="D126" s="9" t="str">
        <x:v>RT-B-C-TECH-1</x:v>
      </x:c>
      <x:c r="E126" s="9" t="str">
        <x:v>RT-B-C</x:v>
      </x:c>
      <x:c r="F126" s="9" t="str">
        <x:v>B2</x:v>
      </x:c>
      <x:c r="G126" s="9" t="str">
        <x:v>RCN</x:v>
      </x:c>
      <x:c r="H126" s="9" t="n">
        <x:v>5</x:v>
      </x:c>
      <x:c r="I126" s="9" t="n">
        <x:v>4</x:v>
      </x:c>
      <x:c r="J126" s="9" t="str">
        <x:v>RT-B-C-N2</x:v>
      </x:c>
      <x:c r="K126" s="9" t="str">
        <x:v>FX-RT-B-C-TECH-1-F2</x:v>
      </x:c>
      <x:c r="L126" s="9" t="n">
        <x:v>250</x:v>
      </x:c>
      <x:c r="M126" s="9" t="n">
        <x:v>1</x:v>
      </x:c>
      <x:c r="N126" s="9" t="n">
        <x:v>0</x:v>
      </x:c>
      <x:c r="O126" s="9" t="n">
        <x:v>10</x:v>
      </x:c>
      <x:c r="P126" s="9" t="n">
        <x:f>SUMIFS('Start Controls'!$P$7:$P$1446,'Start Controls'!$B$7:$B$1446,A126)</x:f>
        <x:v>0</x:v>
      </x:c>
      <x:c r="Q126" s="9" t="n">
        <x:v>0</x:v>
      </x:c>
      <x:c r="R126" s="9" t="n">
        <x:v>8</x:v>
      </x:c>
      <x:c r="S126" s="9" t="n">
        <x:f>SUMIFS('Raw Custody'!$M$7:$M$1158,'Raw Custody'!$B$7:$B$1158,A126)</x:f>
        <x:v>0</x:v>
      </x:c>
      <x:c r="T126" s="9" t="n">
        <x:v>12</x:v>
      </x:c>
      <x:c r="U126" s="9" t="n">
        <x:f>SUMIFS('Observation Gates'!$L$7:$L$1734,'Observation Gates'!$B$7:$B$1734,A126)</x:f>
        <x:v>0</x:v>
      </x:c>
      <x:c r="V126" s="9" t="str">
        <x:v>UNFILED</x:v>
      </x:c>
      <x:c r="W126" s="9" t="n">
        <x:v>0</x:v>
      </x:c>
      <x:c r="X126" s="9" t="n">
        <x:v>0</x:v>
      </x:c>
      <x:c r="Y126" s="9" t="n">
        <x:v>16</x:v>
      </x:c>
      <x:c r="Z126" s="9" t="n">
        <x:f>SUMIFS('Disclosure Packets'!$M$7:$M$2310,'Disclosure Packets'!$C$7:$C$2310,A126)</x:f>
        <x:v>0</x:v>
      </x:c>
      <x:c r="AA126" s="9" t="n">
        <x:v>0</x:v>
      </x:c>
      <x:c r="AB126" s="9" t="str">
        <x:f>IF(N126=0,"PLANNED / BLOCKED",IF(P126&lt;O126,"EOW / START BLOCKED",IF(Q126=0,"ARMED / UNSTARTED",IF(S126&lt;R126,"STARTED / RAW UNSEALED",IF(U126&lt;T126,"SEALED / OBSERVATION OPEN",IF(X126=0,"OBSERVED / UNJUDGED",IF(Z126&lt;Y126,"JUDGED / DISCLOSURE HELD",IF(AA126=0,"COMPLETE / EMBARGOED","PUBLIC / TERMINAL"))))))))</x:f>
        <x:v>PLANNED / BLOCKED</x:v>
      </x:c>
      <x:c r="AC126" s="9" t="n">
        <x:f>COUNTIFS($A$7:$A$150,A126)</x:f>
        <x:v>1</x:v>
      </x:c>
      <x:c r="AD126" s="9" t="n">
        <x:f>COUNTIFS($H$7:$H$150,H126,$I$7:$I$150,I126)</x:f>
        <x:v>6</x:v>
      </x:c>
      <x:c r="AE126" s="9" t="n">
        <x:f>COUNTIFS($H$7:$H$150,H126,$I$7:$I$150,I126,$J$7:$J$150,J126)</x:f>
        <x:v>1</x:v>
      </x:c>
    </x:row>
    <x:row r="127">
      <x:c r="A127" s="9" t="str">
        <x:v>EV-AR-CT-C-B-TECH-1-B1-RCN-G0</x:v>
      </x:c>
      <x:c r="B127" s="9" t="str">
        <x:v>EOW-AR-CT-C-B-TECH-1-B1-RCN-G0</x:v>
      </x:c>
      <x:c r="C127" s="9" t="str">
        <x:v>AR-CT-C-B-TECH-1-B1-RCN-G0</x:v>
      </x:c>
      <x:c r="D127" s="9" t="str">
        <x:v>CT-C-B-TECH-1</x:v>
      </x:c>
      <x:c r="E127" s="9" t="str">
        <x:v>CT-C-B</x:v>
      </x:c>
      <x:c r="F127" s="9" t="str">
        <x:v>B1</x:v>
      </x:c>
      <x:c r="G127" s="9" t="str">
        <x:v>RCN</x:v>
      </x:c>
      <x:c r="H127" s="9" t="n">
        <x:v>6</x:v>
      </x:c>
      <x:c r="I127" s="9" t="n">
        <x:v>1</x:v>
      </x:c>
      <x:c r="J127" s="9" t="str">
        <x:v>CT-C-B-N1</x:v>
      </x:c>
      <x:c r="K127" s="9" t="str">
        <x:v>FX-CT-C-B-TECH-1-F1</x:v>
      </x:c>
      <x:c r="L127" s="9" t="n">
        <x:v>264</x:v>
      </x:c>
      <x:c r="M127" s="9" t="n">
        <x:v>1</x:v>
      </x:c>
      <x:c r="N127" s="9" t="n">
        <x:v>0</x:v>
      </x:c>
      <x:c r="O127" s="9" t="n">
        <x:v>10</x:v>
      </x:c>
      <x:c r="P127" s="9" t="n">
        <x:f>SUMIFS('Start Controls'!$P$7:$P$1446,'Start Controls'!$B$7:$B$1446,A127)</x:f>
        <x:v>0</x:v>
      </x:c>
      <x:c r="Q127" s="9" t="n">
        <x:v>0</x:v>
      </x:c>
      <x:c r="R127" s="9" t="n">
        <x:v>8</x:v>
      </x:c>
      <x:c r="S127" s="9" t="n">
        <x:f>SUMIFS('Raw Custody'!$M$7:$M$1158,'Raw Custody'!$B$7:$B$1158,A127)</x:f>
        <x:v>0</x:v>
      </x:c>
      <x:c r="T127" s="9" t="n">
        <x:v>12</x:v>
      </x:c>
      <x:c r="U127" s="9" t="n">
        <x:f>SUMIFS('Observation Gates'!$L$7:$L$1734,'Observation Gates'!$B$7:$B$1734,A127)</x:f>
        <x:v>0</x:v>
      </x:c>
      <x:c r="V127" s="9" t="str">
        <x:v>UNFILED</x:v>
      </x:c>
      <x:c r="W127" s="9" t="n">
        <x:v>0</x:v>
      </x:c>
      <x:c r="X127" s="9" t="n">
        <x:v>0</x:v>
      </x:c>
      <x:c r="Y127" s="9" t="n">
        <x:v>16</x:v>
      </x:c>
      <x:c r="Z127" s="9" t="n">
        <x:f>SUMIFS('Disclosure Packets'!$M$7:$M$2310,'Disclosure Packets'!$C$7:$C$2310,A127)</x:f>
        <x:v>0</x:v>
      </x:c>
      <x:c r="AA127" s="9" t="n">
        <x:v>0</x:v>
      </x:c>
      <x:c r="AB127" s="9" t="str">
        <x:f>IF(N127=0,"PLANNED / BLOCKED",IF(P127&lt;O127,"EOW / START BLOCKED",IF(Q127=0,"ARMED / UNSTARTED",IF(S127&lt;R127,"STARTED / RAW UNSEALED",IF(U127&lt;T127,"SEALED / OBSERVATION OPEN",IF(X127=0,"OBSERVED / UNJUDGED",IF(Z127&lt;Y127,"JUDGED / DISCLOSURE HELD",IF(AA127=0,"COMPLETE / EMBARGOED","PUBLIC / TERMINAL"))))))))</x:f>
        <x:v>PLANNED / BLOCKED</x:v>
      </x:c>
      <x:c r="AC127" s="9" t="n">
        <x:f>COUNTIFS($A$7:$A$150,A127)</x:f>
        <x:v>1</x:v>
      </x:c>
      <x:c r="AD127" s="9" t="n">
        <x:f>COUNTIFS($H$7:$H$150,H127,$I$7:$I$150,I127)</x:f>
        <x:v>6</x:v>
      </x:c>
      <x:c r="AE127" s="9" t="n">
        <x:f>COUNTIFS($H$7:$H$150,H127,$I$7:$I$150,I127,$J$7:$J$150,J127)</x:f>
        <x:v>1</x:v>
      </x:c>
    </x:row>
    <x:row r="128">
      <x:c r="A128" s="9" t="str">
        <x:v>EV-AR-ET-A-A-TECH-4-B1-BRK-G0</x:v>
      </x:c>
      <x:c r="B128" s="9" t="str">
        <x:v>EOW-AR-ET-A-A-TECH-4-B1-BRK-G0</x:v>
      </x:c>
      <x:c r="C128" s="9" t="str">
        <x:v>AR-ET-A-A-TECH-4-B1-BRK-G0</x:v>
      </x:c>
      <x:c r="D128" s="9" t="str">
        <x:v>ET-A-A-TECH-4</x:v>
      </x:c>
      <x:c r="E128" s="9" t="str">
        <x:v>ET-A-A</x:v>
      </x:c>
      <x:c r="F128" s="9" t="str">
        <x:v>B1</x:v>
      </x:c>
      <x:c r="G128" s="9" t="str">
        <x:v>BRK</x:v>
      </x:c>
      <x:c r="H128" s="9" t="n">
        <x:v>6</x:v>
      </x:c>
      <x:c r="I128" s="9" t="n">
        <x:v>1</x:v>
      </x:c>
      <x:c r="J128" s="9" t="str">
        <x:v>ET-A-A-N1</x:v>
      </x:c>
      <x:c r="K128" s="9" t="str">
        <x:v>FX-ET-A-A-TECH-4-F1</x:v>
      </x:c>
      <x:c r="L128" s="9" t="n">
        <x:v>264</x:v>
      </x:c>
      <x:c r="M128" s="9" t="n">
        <x:v>1</x:v>
      </x:c>
      <x:c r="N128" s="9" t="n">
        <x:v>0</x:v>
      </x:c>
      <x:c r="O128" s="9" t="n">
        <x:v>10</x:v>
      </x:c>
      <x:c r="P128" s="9" t="n">
        <x:f>SUMIFS('Start Controls'!$P$7:$P$1446,'Start Controls'!$B$7:$B$1446,A128)</x:f>
        <x:v>0</x:v>
      </x:c>
      <x:c r="Q128" s="9" t="n">
        <x:v>0</x:v>
      </x:c>
      <x:c r="R128" s="9" t="n">
        <x:v>8</x:v>
      </x:c>
      <x:c r="S128" s="9" t="n">
        <x:f>SUMIFS('Raw Custody'!$M$7:$M$1158,'Raw Custody'!$B$7:$B$1158,A128)</x:f>
        <x:v>0</x:v>
      </x:c>
      <x:c r="T128" s="9" t="n">
        <x:v>12</x:v>
      </x:c>
      <x:c r="U128" s="9" t="n">
        <x:f>SUMIFS('Observation Gates'!$L$7:$L$1734,'Observation Gates'!$B$7:$B$1734,A128)</x:f>
        <x:v>0</x:v>
      </x:c>
      <x:c r="V128" s="9" t="str">
        <x:v>UNFILED</x:v>
      </x:c>
      <x:c r="W128" s="9" t="n">
        <x:v>0</x:v>
      </x:c>
      <x:c r="X128" s="9" t="n">
        <x:v>0</x:v>
      </x:c>
      <x:c r="Y128" s="9" t="n">
        <x:v>16</x:v>
      </x:c>
      <x:c r="Z128" s="9" t="n">
        <x:f>SUMIFS('Disclosure Packets'!$M$7:$M$2310,'Disclosure Packets'!$C$7:$C$2310,A128)</x:f>
        <x:v>0</x:v>
      </x:c>
      <x:c r="AA128" s="9" t="n">
        <x:v>0</x:v>
      </x:c>
      <x:c r="AB128" s="9" t="str">
        <x:f>IF(N128=0,"PLANNED / BLOCKED",IF(P128&lt;O128,"EOW / START BLOCKED",IF(Q128=0,"ARMED / UNSTARTED",IF(S128&lt;R128,"STARTED / RAW UNSEALED",IF(U128&lt;T128,"SEALED / OBSERVATION OPEN",IF(X128=0,"OBSERVED / UNJUDGED",IF(Z128&lt;Y128,"JUDGED / DISCLOSURE HELD",IF(AA128=0,"COMPLETE / EMBARGOED","PUBLIC / TERMINAL"))))))))</x:f>
        <x:v>PLANNED / BLOCKED</x:v>
      </x:c>
      <x:c r="AC128" s="9" t="n">
        <x:f>COUNTIFS($A$7:$A$150,A128)</x:f>
        <x:v>1</x:v>
      </x:c>
      <x:c r="AD128" s="9" t="n">
        <x:f>COUNTIFS($H$7:$H$150,H128,$I$7:$I$150,I128)</x:f>
        <x:v>6</x:v>
      </x:c>
      <x:c r="AE128" s="9" t="n">
        <x:f>COUNTIFS($H$7:$H$150,H128,$I$7:$I$150,I128,$J$7:$J$150,J128)</x:f>
        <x:v>1</x:v>
      </x:c>
    </x:row>
    <x:row r="129">
      <x:c r="A129" s="9" t="str">
        <x:v>EV-AR-ET-A-A-TECH-3-B2-BRK-G0</x:v>
      </x:c>
      <x:c r="B129" s="9" t="str">
        <x:v>EOW-AR-ET-A-A-TECH-3-B2-BRK-G0</x:v>
      </x:c>
      <x:c r="C129" s="9" t="str">
        <x:v>AR-ET-A-A-TECH-3-B2-BRK-G0</x:v>
      </x:c>
      <x:c r="D129" s="9" t="str">
        <x:v>ET-A-A-TECH-3</x:v>
      </x:c>
      <x:c r="E129" s="9" t="str">
        <x:v>ET-A-A</x:v>
      </x:c>
      <x:c r="F129" s="9" t="str">
        <x:v>B2</x:v>
      </x:c>
      <x:c r="G129" s="9" t="str">
        <x:v>BRK</x:v>
      </x:c>
      <x:c r="H129" s="9" t="n">
        <x:v>6</x:v>
      </x:c>
      <x:c r="I129" s="9" t="n">
        <x:v>1</x:v>
      </x:c>
      <x:c r="J129" s="9" t="str">
        <x:v>ET-A-A-N3</x:v>
      </x:c>
      <x:c r="K129" s="9" t="str">
        <x:v>FX-ET-A-A-TECH-3-F1</x:v>
      </x:c>
      <x:c r="L129" s="9" t="n">
        <x:v>264</x:v>
      </x:c>
      <x:c r="M129" s="9" t="n">
        <x:v>1</x:v>
      </x:c>
      <x:c r="N129" s="9" t="n">
        <x:v>0</x:v>
      </x:c>
      <x:c r="O129" s="9" t="n">
        <x:v>10</x:v>
      </x:c>
      <x:c r="P129" s="9" t="n">
        <x:f>SUMIFS('Start Controls'!$P$7:$P$1446,'Start Controls'!$B$7:$B$1446,A129)</x:f>
        <x:v>0</x:v>
      </x:c>
      <x:c r="Q129" s="9" t="n">
        <x:v>0</x:v>
      </x:c>
      <x:c r="R129" s="9" t="n">
        <x:v>8</x:v>
      </x:c>
      <x:c r="S129" s="9" t="n">
        <x:f>SUMIFS('Raw Custody'!$M$7:$M$1158,'Raw Custody'!$B$7:$B$1158,A129)</x:f>
        <x:v>0</x:v>
      </x:c>
      <x:c r="T129" s="9" t="n">
        <x:v>12</x:v>
      </x:c>
      <x:c r="U129" s="9" t="n">
        <x:f>SUMIFS('Observation Gates'!$L$7:$L$1734,'Observation Gates'!$B$7:$B$1734,A129)</x:f>
        <x:v>0</x:v>
      </x:c>
      <x:c r="V129" s="9" t="str">
        <x:v>UNFILED</x:v>
      </x:c>
      <x:c r="W129" s="9" t="n">
        <x:v>0</x:v>
      </x:c>
      <x:c r="X129" s="9" t="n">
        <x:v>0</x:v>
      </x:c>
      <x:c r="Y129" s="9" t="n">
        <x:v>16</x:v>
      </x:c>
      <x:c r="Z129" s="9" t="n">
        <x:f>SUMIFS('Disclosure Packets'!$M$7:$M$2310,'Disclosure Packets'!$C$7:$C$2310,A129)</x:f>
        <x:v>0</x:v>
      </x:c>
      <x:c r="AA129" s="9" t="n">
        <x:v>0</x:v>
      </x:c>
      <x:c r="AB129" s="9" t="str">
        <x:f>IF(N129=0,"PLANNED / BLOCKED",IF(P129&lt;O129,"EOW / START BLOCKED",IF(Q129=0,"ARMED / UNSTARTED",IF(S129&lt;R129,"STARTED / RAW UNSEALED",IF(U129&lt;T129,"SEALED / OBSERVATION OPEN",IF(X129=0,"OBSERVED / UNJUDGED",IF(Z129&lt;Y129,"JUDGED / DISCLOSURE HELD",IF(AA129=0,"COMPLETE / EMBARGOED","PUBLIC / TERMINAL"))))))))</x:f>
        <x:v>PLANNED / BLOCKED</x:v>
      </x:c>
      <x:c r="AC129" s="9" t="n">
        <x:f>COUNTIFS($A$7:$A$150,A129)</x:f>
        <x:v>1</x:v>
      </x:c>
      <x:c r="AD129" s="9" t="n">
        <x:f>COUNTIFS($H$7:$H$150,H129,$I$7:$I$150,I129)</x:f>
        <x:v>6</x:v>
      </x:c>
      <x:c r="AE129" s="9" t="n">
        <x:f>COUNTIFS($H$7:$H$150,H129,$I$7:$I$150,I129,$J$7:$J$150,J129)</x:f>
        <x:v>1</x:v>
      </x:c>
    </x:row>
    <x:row r="130">
      <x:c r="A130" s="9" t="str">
        <x:v>EV-AR-HC-A-C-TECH-4-B1-INT-G0</x:v>
      </x:c>
      <x:c r="B130" s="9" t="str">
        <x:v>EOW-AR-HC-A-C-TECH-4-B1-INT-G0</x:v>
      </x:c>
      <x:c r="C130" s="9" t="str">
        <x:v>AR-HC-A-C-TECH-4-B1-INT-G0</x:v>
      </x:c>
      <x:c r="D130" s="9" t="str">
        <x:v>HC-A-C-TECH-4</x:v>
      </x:c>
      <x:c r="E130" s="9" t="str">
        <x:v>HC-A-C</x:v>
      </x:c>
      <x:c r="F130" s="9" t="str">
        <x:v>B1</x:v>
      </x:c>
      <x:c r="G130" s="9" t="str">
        <x:v>INT</x:v>
      </x:c>
      <x:c r="H130" s="9" t="n">
        <x:v>6</x:v>
      </x:c>
      <x:c r="I130" s="9" t="n">
        <x:v>1</x:v>
      </x:c>
      <x:c r="J130" s="9" t="str">
        <x:v>HC-A-C-N2</x:v>
      </x:c>
      <x:c r="K130" s="9" t="str">
        <x:v>FX-HC-A-C-TECH-4-F2</x:v>
      </x:c>
      <x:c r="L130" s="9" t="n">
        <x:v>264</x:v>
      </x:c>
      <x:c r="M130" s="9" t="n">
        <x:v>0</x:v>
      </x:c>
      <x:c r="N130" s="9" t="n">
        <x:v>0</x:v>
      </x:c>
      <x:c r="O130" s="9" t="n">
        <x:v>10</x:v>
      </x:c>
      <x:c r="P130" s="9" t="n">
        <x:f>SUMIFS('Start Controls'!$P$7:$P$1446,'Start Controls'!$B$7:$B$1446,A130)</x:f>
        <x:v>0</x:v>
      </x:c>
      <x:c r="Q130" s="9" t="n">
        <x:v>0</x:v>
      </x:c>
      <x:c r="R130" s="9" t="n">
        <x:v>8</x:v>
      </x:c>
      <x:c r="S130" s="9" t="n">
        <x:f>SUMIFS('Raw Custody'!$M$7:$M$1158,'Raw Custody'!$B$7:$B$1158,A130)</x:f>
        <x:v>0</x:v>
      </x:c>
      <x:c r="T130" s="9" t="n">
        <x:v>12</x:v>
      </x:c>
      <x:c r="U130" s="9" t="n">
        <x:f>SUMIFS('Observation Gates'!$L$7:$L$1734,'Observation Gates'!$B$7:$B$1734,A130)</x:f>
        <x:v>0</x:v>
      </x:c>
      <x:c r="V130" s="9" t="str">
        <x:v>UNFILED</x:v>
      </x:c>
      <x:c r="W130" s="9" t="n">
        <x:v>0</x:v>
      </x:c>
      <x:c r="X130" s="9" t="n">
        <x:v>0</x:v>
      </x:c>
      <x:c r="Y130" s="9" t="n">
        <x:v>16</x:v>
      </x:c>
      <x:c r="Z130" s="9" t="n">
        <x:f>SUMIFS('Disclosure Packets'!$M$7:$M$2310,'Disclosure Packets'!$C$7:$C$2310,A130)</x:f>
        <x:v>0</x:v>
      </x:c>
      <x:c r="AA130" s="9" t="n">
        <x:v>0</x:v>
      </x:c>
      <x:c r="AB130" s="9" t="str">
        <x:f>IF(N130=0,"PLANNED / BLOCKED",IF(P130&lt;O130,"EOW / START BLOCKED",IF(Q130=0,"ARMED / UNSTARTED",IF(S130&lt;R130,"STARTED / RAW UNSEALED",IF(U130&lt;T130,"SEALED / OBSERVATION OPEN",IF(X130=0,"OBSERVED / UNJUDGED",IF(Z130&lt;Y130,"JUDGED / DISCLOSURE HELD",IF(AA130=0,"COMPLETE / EMBARGOED","PUBLIC / TERMINAL"))))))))</x:f>
        <x:v>PLANNED / BLOCKED</x:v>
      </x:c>
      <x:c r="AC130" s="9" t="n">
        <x:f>COUNTIFS($A$7:$A$150,A130)</x:f>
        <x:v>1</x:v>
      </x:c>
      <x:c r="AD130" s="9" t="n">
        <x:f>COUNTIFS($H$7:$H$150,H130,$I$7:$I$150,I130)</x:f>
        <x:v>6</x:v>
      </x:c>
      <x:c r="AE130" s="9" t="n">
        <x:f>COUNTIFS($H$7:$H$150,H130,$I$7:$I$150,I130,$J$7:$J$150,J130)</x:f>
        <x:v>1</x:v>
      </x:c>
    </x:row>
    <x:row r="131">
      <x:c r="A131" s="9" t="str">
        <x:v>EV-AR-LF-B-A-TECH-4-B2-RCN-G0</x:v>
      </x:c>
      <x:c r="B131" s="9" t="str">
        <x:v>EOW-AR-LF-B-A-TECH-4-B2-RCN-G0</x:v>
      </x:c>
      <x:c r="C131" s="9" t="str">
        <x:v>AR-LF-B-A-TECH-4-B2-RCN-G0</x:v>
      </x:c>
      <x:c r="D131" s="9" t="str">
        <x:v>LF-B-A-TECH-4</x:v>
      </x:c>
      <x:c r="E131" s="9" t="str">
        <x:v>LF-B-A</x:v>
      </x:c>
      <x:c r="F131" s="9" t="str">
        <x:v>B2</x:v>
      </x:c>
      <x:c r="G131" s="9" t="str">
        <x:v>RCN</x:v>
      </x:c>
      <x:c r="H131" s="9" t="n">
        <x:v>6</x:v>
      </x:c>
      <x:c r="I131" s="9" t="n">
        <x:v>1</x:v>
      </x:c>
      <x:c r="J131" s="9" t="str">
        <x:v>LF-B-A-N1</x:v>
      </x:c>
      <x:c r="K131" s="9" t="str">
        <x:v>FX-LF-B-A-TECH-4-F1</x:v>
      </x:c>
      <x:c r="L131" s="9" t="n">
        <x:v>264</x:v>
      </x:c>
      <x:c r="M131" s="9" t="n">
        <x:v>1</x:v>
      </x:c>
      <x:c r="N131" s="9" t="n">
        <x:v>0</x:v>
      </x:c>
      <x:c r="O131" s="9" t="n">
        <x:v>10</x:v>
      </x:c>
      <x:c r="P131" s="9" t="n">
        <x:f>SUMIFS('Start Controls'!$P$7:$P$1446,'Start Controls'!$B$7:$B$1446,A131)</x:f>
        <x:v>0</x:v>
      </x:c>
      <x:c r="Q131" s="9" t="n">
        <x:v>0</x:v>
      </x:c>
      <x:c r="R131" s="9" t="n">
        <x:v>8</x:v>
      </x:c>
      <x:c r="S131" s="9" t="n">
        <x:f>SUMIFS('Raw Custody'!$M$7:$M$1158,'Raw Custody'!$B$7:$B$1158,A131)</x:f>
        <x:v>0</x:v>
      </x:c>
      <x:c r="T131" s="9" t="n">
        <x:v>12</x:v>
      </x:c>
      <x:c r="U131" s="9" t="n">
        <x:f>SUMIFS('Observation Gates'!$L$7:$L$1734,'Observation Gates'!$B$7:$B$1734,A131)</x:f>
        <x:v>0</x:v>
      </x:c>
      <x:c r="V131" s="9" t="str">
        <x:v>UNFILED</x:v>
      </x:c>
      <x:c r="W131" s="9" t="n">
        <x:v>0</x:v>
      </x:c>
      <x:c r="X131" s="9" t="n">
        <x:v>0</x:v>
      </x:c>
      <x:c r="Y131" s="9" t="n">
        <x:v>16</x:v>
      </x:c>
      <x:c r="Z131" s="9" t="n">
        <x:f>SUMIFS('Disclosure Packets'!$M$7:$M$2310,'Disclosure Packets'!$C$7:$C$2310,A131)</x:f>
        <x:v>0</x:v>
      </x:c>
      <x:c r="AA131" s="9" t="n">
        <x:v>0</x:v>
      </x:c>
      <x:c r="AB131" s="9" t="str">
        <x:f>IF(N131=0,"PLANNED / BLOCKED",IF(P131&lt;O131,"EOW / START BLOCKED",IF(Q131=0,"ARMED / UNSTARTED",IF(S131&lt;R131,"STARTED / RAW UNSEALED",IF(U131&lt;T131,"SEALED / OBSERVATION OPEN",IF(X131=0,"OBSERVED / UNJUDGED",IF(Z131&lt;Y131,"JUDGED / DISCLOSURE HELD",IF(AA131=0,"COMPLETE / EMBARGOED","PUBLIC / TERMINAL"))))))))</x:f>
        <x:v>PLANNED / BLOCKED</x:v>
      </x:c>
      <x:c r="AC131" s="9" t="n">
        <x:f>COUNTIFS($A$7:$A$150,A131)</x:f>
        <x:v>1</x:v>
      </x:c>
      <x:c r="AD131" s="9" t="n">
        <x:f>COUNTIFS($H$7:$H$150,H131,$I$7:$I$150,I131)</x:f>
        <x:v>6</x:v>
      </x:c>
      <x:c r="AE131" s="9" t="n">
        <x:f>COUNTIFS($H$7:$H$150,H131,$I$7:$I$150,I131,$J$7:$J$150,J131)</x:f>
        <x:v>1</x:v>
      </x:c>
    </x:row>
    <x:row r="132">
      <x:c r="A132" s="9" t="str">
        <x:v>EV-AR-LF-B-A-TECH-2-B2-INT-G0</x:v>
      </x:c>
      <x:c r="B132" s="9" t="str">
        <x:v>EOW-AR-LF-B-A-TECH-2-B2-INT-G0</x:v>
      </x:c>
      <x:c r="C132" s="9" t="str">
        <x:v>AR-LF-B-A-TECH-2-B2-INT-G0</x:v>
      </x:c>
      <x:c r="D132" s="9" t="str">
        <x:v>LF-B-A-TECH-2</x:v>
      </x:c>
      <x:c r="E132" s="9" t="str">
        <x:v>LF-B-A</x:v>
      </x:c>
      <x:c r="F132" s="9" t="str">
        <x:v>B2</x:v>
      </x:c>
      <x:c r="G132" s="9" t="str">
        <x:v>INT</x:v>
      </x:c>
      <x:c r="H132" s="9" t="n">
        <x:v>6</x:v>
      </x:c>
      <x:c r="I132" s="9" t="n">
        <x:v>1</x:v>
      </x:c>
      <x:c r="J132" s="9" t="str">
        <x:v>LF-B-A-N2</x:v>
      </x:c>
      <x:c r="K132" s="9" t="str">
        <x:v>FX-LF-B-A-TECH-2-F1</x:v>
      </x:c>
      <x:c r="L132" s="9" t="n">
        <x:v>264</x:v>
      </x:c>
      <x:c r="M132" s="9" t="n">
        <x:v>0</x:v>
      </x:c>
      <x:c r="N132" s="9" t="n">
        <x:v>0</x:v>
      </x:c>
      <x:c r="O132" s="9" t="n">
        <x:v>10</x:v>
      </x:c>
      <x:c r="P132" s="9" t="n">
        <x:f>SUMIFS('Start Controls'!$P$7:$P$1446,'Start Controls'!$B$7:$B$1446,A132)</x:f>
        <x:v>0</x:v>
      </x:c>
      <x:c r="Q132" s="9" t="n">
        <x:v>0</x:v>
      </x:c>
      <x:c r="R132" s="9" t="n">
        <x:v>8</x:v>
      </x:c>
      <x:c r="S132" s="9" t="n">
        <x:f>SUMIFS('Raw Custody'!$M$7:$M$1158,'Raw Custody'!$B$7:$B$1158,A132)</x:f>
        <x:v>0</x:v>
      </x:c>
      <x:c r="T132" s="9" t="n">
        <x:v>12</x:v>
      </x:c>
      <x:c r="U132" s="9" t="n">
        <x:f>SUMIFS('Observation Gates'!$L$7:$L$1734,'Observation Gates'!$B$7:$B$1734,A132)</x:f>
        <x:v>0</x:v>
      </x:c>
      <x:c r="V132" s="9" t="str">
        <x:v>UNFILED</x:v>
      </x:c>
      <x:c r="W132" s="9" t="n">
        <x:v>0</x:v>
      </x:c>
      <x:c r="X132" s="9" t="n">
        <x:v>0</x:v>
      </x:c>
      <x:c r="Y132" s="9" t="n">
        <x:v>16</x:v>
      </x:c>
      <x:c r="Z132" s="9" t="n">
        <x:f>SUMIFS('Disclosure Packets'!$M$7:$M$2310,'Disclosure Packets'!$C$7:$C$2310,A132)</x:f>
        <x:v>0</x:v>
      </x:c>
      <x:c r="AA132" s="9" t="n">
        <x:v>0</x:v>
      </x:c>
      <x:c r="AB132" s="9" t="str">
        <x:f>IF(N132=0,"PLANNED / BLOCKED",IF(P132&lt;O132,"EOW / START BLOCKED",IF(Q132=0,"ARMED / UNSTARTED",IF(S132&lt;R132,"STARTED / RAW UNSEALED",IF(U132&lt;T132,"SEALED / OBSERVATION OPEN",IF(X132=0,"OBSERVED / UNJUDGED",IF(Z132&lt;Y132,"JUDGED / DISCLOSURE HELD",IF(AA132=0,"COMPLETE / EMBARGOED","PUBLIC / TERMINAL"))))))))</x:f>
        <x:v>PLANNED / BLOCKED</x:v>
      </x:c>
      <x:c r="AC132" s="9" t="n">
        <x:f>COUNTIFS($A$7:$A$150,A132)</x:f>
        <x:v>1</x:v>
      </x:c>
      <x:c r="AD132" s="9" t="n">
        <x:f>COUNTIFS($H$7:$H$150,H132,$I$7:$I$150,I132)</x:f>
        <x:v>6</x:v>
      </x:c>
      <x:c r="AE132" s="9" t="n">
        <x:f>COUNTIFS($H$7:$H$150,H132,$I$7:$I$150,I132,$J$7:$J$150,J132)</x:f>
        <x:v>1</x:v>
      </x:c>
    </x:row>
    <x:row r="133">
      <x:c r="A133" s="9" t="str">
        <x:v>EV-AR-CT-C-B-TECH-3-B1-BRK-G0</x:v>
      </x:c>
      <x:c r="B133" s="9" t="str">
        <x:v>EOW-AR-CT-C-B-TECH-3-B1-BRK-G0</x:v>
      </x:c>
      <x:c r="C133" s="9" t="str">
        <x:v>AR-CT-C-B-TECH-3-B1-BRK-G0</x:v>
      </x:c>
      <x:c r="D133" s="9" t="str">
        <x:v>CT-C-B-TECH-3</x:v>
      </x:c>
      <x:c r="E133" s="9" t="str">
        <x:v>CT-C-B</x:v>
      </x:c>
      <x:c r="F133" s="9" t="str">
        <x:v>B1</x:v>
      </x:c>
      <x:c r="G133" s="9" t="str">
        <x:v>BRK</x:v>
      </x:c>
      <x:c r="H133" s="9" t="n">
        <x:v>6</x:v>
      </x:c>
      <x:c r="I133" s="9" t="n">
        <x:v>2</x:v>
      </x:c>
      <x:c r="J133" s="9" t="str">
        <x:v>CT-C-B-N1</x:v>
      </x:c>
      <x:c r="K133" s="9" t="str">
        <x:v>FX-CT-C-B-TECH-3-F2</x:v>
      </x:c>
      <x:c r="L133" s="9" t="n">
        <x:v>270</x:v>
      </x:c>
      <x:c r="M133" s="9" t="n">
        <x:v>1</x:v>
      </x:c>
      <x:c r="N133" s="9" t="n">
        <x:v>0</x:v>
      </x:c>
      <x:c r="O133" s="9" t="n">
        <x:v>10</x:v>
      </x:c>
      <x:c r="P133" s="9" t="n">
        <x:f>SUMIFS('Start Controls'!$P$7:$P$1446,'Start Controls'!$B$7:$B$1446,A133)</x:f>
        <x:v>0</x:v>
      </x:c>
      <x:c r="Q133" s="9" t="n">
        <x:v>0</x:v>
      </x:c>
      <x:c r="R133" s="9" t="n">
        <x:v>8</x:v>
      </x:c>
      <x:c r="S133" s="9" t="n">
        <x:f>SUMIFS('Raw Custody'!$M$7:$M$1158,'Raw Custody'!$B$7:$B$1158,A133)</x:f>
        <x:v>0</x:v>
      </x:c>
      <x:c r="T133" s="9" t="n">
        <x:v>12</x:v>
      </x:c>
      <x:c r="U133" s="9" t="n">
        <x:f>SUMIFS('Observation Gates'!$L$7:$L$1734,'Observation Gates'!$B$7:$B$1734,A133)</x:f>
        <x:v>0</x:v>
      </x:c>
      <x:c r="V133" s="9" t="str">
        <x:v>UNFILED</x:v>
      </x:c>
      <x:c r="W133" s="9" t="n">
        <x:v>0</x:v>
      </x:c>
      <x:c r="X133" s="9" t="n">
        <x:v>0</x:v>
      </x:c>
      <x:c r="Y133" s="9" t="n">
        <x:v>16</x:v>
      </x:c>
      <x:c r="Z133" s="9" t="n">
        <x:f>SUMIFS('Disclosure Packets'!$M$7:$M$2310,'Disclosure Packets'!$C$7:$C$2310,A133)</x:f>
        <x:v>0</x:v>
      </x:c>
      <x:c r="AA133" s="9" t="n">
        <x:v>0</x:v>
      </x:c>
      <x:c r="AB133" s="9" t="str">
        <x:f>IF(N133=0,"PLANNED / BLOCKED",IF(P133&lt;O133,"EOW / START BLOCKED",IF(Q133=0,"ARMED / UNSTARTED",IF(S133&lt;R133,"STARTED / RAW UNSEALED",IF(U133&lt;T133,"SEALED / OBSERVATION OPEN",IF(X133=0,"OBSERVED / UNJUDGED",IF(Z133&lt;Y133,"JUDGED / DISCLOSURE HELD",IF(AA133=0,"COMPLETE / EMBARGOED","PUBLIC / TERMINAL"))))))))</x:f>
        <x:v>PLANNED / BLOCKED</x:v>
      </x:c>
      <x:c r="AC133" s="9" t="n">
        <x:f>COUNTIFS($A$7:$A$150,A133)</x:f>
        <x:v>1</x:v>
      </x:c>
      <x:c r="AD133" s="9" t="n">
        <x:f>COUNTIFS($H$7:$H$150,H133,$I$7:$I$150,I133)</x:f>
        <x:v>6</x:v>
      </x:c>
      <x:c r="AE133" s="9" t="n">
        <x:f>COUNTIFS($H$7:$H$150,H133,$I$7:$I$150,I133,$J$7:$J$150,J133)</x:f>
        <x:v>1</x:v>
      </x:c>
    </x:row>
    <x:row r="134">
      <x:c r="A134" s="9" t="str">
        <x:v>EV-AR-ET-A-A-TECH-1-B2-RCN-G0</x:v>
      </x:c>
      <x:c r="B134" s="9" t="str">
        <x:v>EOW-AR-ET-A-A-TECH-1-B2-RCN-G0</x:v>
      </x:c>
      <x:c r="C134" s="9" t="str">
        <x:v>AR-ET-A-A-TECH-1-B2-RCN-G0</x:v>
      </x:c>
      <x:c r="D134" s="9" t="str">
        <x:v>ET-A-A-TECH-1</x:v>
      </x:c>
      <x:c r="E134" s="9" t="str">
        <x:v>ET-A-A</x:v>
      </x:c>
      <x:c r="F134" s="9" t="str">
        <x:v>B2</x:v>
      </x:c>
      <x:c r="G134" s="9" t="str">
        <x:v>RCN</x:v>
      </x:c>
      <x:c r="H134" s="9" t="n">
        <x:v>6</x:v>
      </x:c>
      <x:c r="I134" s="9" t="n">
        <x:v>2</x:v>
      </x:c>
      <x:c r="J134" s="9" t="str">
        <x:v>ET-A-A-N2</x:v>
      </x:c>
      <x:c r="K134" s="9" t="str">
        <x:v>FX-ET-A-A-TECH-1-F2</x:v>
      </x:c>
      <x:c r="L134" s="9" t="n">
        <x:v>270</x:v>
      </x:c>
      <x:c r="M134" s="9" t="n">
        <x:v>1</x:v>
      </x:c>
      <x:c r="N134" s="9" t="n">
        <x:v>0</x:v>
      </x:c>
      <x:c r="O134" s="9" t="n">
        <x:v>10</x:v>
      </x:c>
      <x:c r="P134" s="9" t="n">
        <x:f>SUMIFS('Start Controls'!$P$7:$P$1446,'Start Controls'!$B$7:$B$1446,A134)</x:f>
        <x:v>0</x:v>
      </x:c>
      <x:c r="Q134" s="9" t="n">
        <x:v>0</x:v>
      </x:c>
      <x:c r="R134" s="9" t="n">
        <x:v>8</x:v>
      </x:c>
      <x:c r="S134" s="9" t="n">
        <x:f>SUMIFS('Raw Custody'!$M$7:$M$1158,'Raw Custody'!$B$7:$B$1158,A134)</x:f>
        <x:v>0</x:v>
      </x:c>
      <x:c r="T134" s="9" t="n">
        <x:v>12</x:v>
      </x:c>
      <x:c r="U134" s="9" t="n">
        <x:f>SUMIFS('Observation Gates'!$L$7:$L$1734,'Observation Gates'!$B$7:$B$1734,A134)</x:f>
        <x:v>0</x:v>
      </x:c>
      <x:c r="V134" s="9" t="str">
        <x:v>UNFILED</x:v>
      </x:c>
      <x:c r="W134" s="9" t="n">
        <x:v>0</x:v>
      </x:c>
      <x:c r="X134" s="9" t="n">
        <x:v>0</x:v>
      </x:c>
      <x:c r="Y134" s="9" t="n">
        <x:v>16</x:v>
      </x:c>
      <x:c r="Z134" s="9" t="n">
        <x:f>SUMIFS('Disclosure Packets'!$M$7:$M$2310,'Disclosure Packets'!$C$7:$C$2310,A134)</x:f>
        <x:v>0</x:v>
      </x:c>
      <x:c r="AA134" s="9" t="n">
        <x:v>0</x:v>
      </x:c>
      <x:c r="AB134" s="9" t="str">
        <x:f>IF(N134=0,"PLANNED / BLOCKED",IF(P134&lt;O134,"EOW / START BLOCKED",IF(Q134=0,"ARMED / UNSTARTED",IF(S134&lt;R134,"STARTED / RAW UNSEALED",IF(U134&lt;T134,"SEALED / OBSERVATION OPEN",IF(X134=0,"OBSERVED / UNJUDGED",IF(Z134&lt;Y134,"JUDGED / DISCLOSURE HELD",IF(AA134=0,"COMPLETE / EMBARGOED","PUBLIC / TERMINAL"))))))))</x:f>
        <x:v>PLANNED / BLOCKED</x:v>
      </x:c>
      <x:c r="AC134" s="9" t="n">
        <x:f>COUNTIFS($A$7:$A$150,A134)</x:f>
        <x:v>1</x:v>
      </x:c>
      <x:c r="AD134" s="9" t="n">
        <x:f>COUNTIFS($H$7:$H$150,H134,$I$7:$I$150,I134)</x:f>
        <x:v>6</x:v>
      </x:c>
      <x:c r="AE134" s="9" t="n">
        <x:f>COUNTIFS($H$7:$H$150,H134,$I$7:$I$150,I134,$J$7:$J$150,J134)</x:f>
        <x:v>1</x:v>
      </x:c>
    </x:row>
    <x:row r="135">
      <x:c r="A135" s="9" t="str">
        <x:v>EV-AR-HC-A-C-TECH-1-B2-BRK-G0</x:v>
      </x:c>
      <x:c r="B135" s="9" t="str">
        <x:v>EOW-AR-HC-A-C-TECH-1-B2-BRK-G0</x:v>
      </x:c>
      <x:c r="C135" s="9" t="str">
        <x:v>AR-HC-A-C-TECH-1-B2-BRK-G0</x:v>
      </x:c>
      <x:c r="D135" s="9" t="str">
        <x:v>HC-A-C-TECH-1</x:v>
      </x:c>
      <x:c r="E135" s="9" t="str">
        <x:v>HC-A-C</x:v>
      </x:c>
      <x:c r="F135" s="9" t="str">
        <x:v>B2</x:v>
      </x:c>
      <x:c r="G135" s="9" t="str">
        <x:v>BRK</x:v>
      </x:c>
      <x:c r="H135" s="9" t="n">
        <x:v>6</x:v>
      </x:c>
      <x:c r="I135" s="9" t="n">
        <x:v>2</x:v>
      </x:c>
      <x:c r="J135" s="9" t="str">
        <x:v>HC-A-C-N1</x:v>
      </x:c>
      <x:c r="K135" s="9" t="str">
        <x:v>FX-HC-A-C-TECH-1-F1</x:v>
      </x:c>
      <x:c r="L135" s="9" t="n">
        <x:v>270</x:v>
      </x:c>
      <x:c r="M135" s="9" t="n">
        <x:v>1</x:v>
      </x:c>
      <x:c r="N135" s="9" t="n">
        <x:v>0</x:v>
      </x:c>
      <x:c r="O135" s="9" t="n">
        <x:v>10</x:v>
      </x:c>
      <x:c r="P135" s="9" t="n">
        <x:f>SUMIFS('Start Controls'!$P$7:$P$1446,'Start Controls'!$B$7:$B$1446,A135)</x:f>
        <x:v>0</x:v>
      </x:c>
      <x:c r="Q135" s="9" t="n">
        <x:v>0</x:v>
      </x:c>
      <x:c r="R135" s="9" t="n">
        <x:v>8</x:v>
      </x:c>
      <x:c r="S135" s="9" t="n">
        <x:f>SUMIFS('Raw Custody'!$M$7:$M$1158,'Raw Custody'!$B$7:$B$1158,A135)</x:f>
        <x:v>0</x:v>
      </x:c>
      <x:c r="T135" s="9" t="n">
        <x:v>12</x:v>
      </x:c>
      <x:c r="U135" s="9" t="n">
        <x:f>SUMIFS('Observation Gates'!$L$7:$L$1734,'Observation Gates'!$B$7:$B$1734,A135)</x:f>
        <x:v>0</x:v>
      </x:c>
      <x:c r="V135" s="9" t="str">
        <x:v>UNFILED</x:v>
      </x:c>
      <x:c r="W135" s="9" t="n">
        <x:v>0</x:v>
      </x:c>
      <x:c r="X135" s="9" t="n">
        <x:v>0</x:v>
      </x:c>
      <x:c r="Y135" s="9" t="n">
        <x:v>16</x:v>
      </x:c>
      <x:c r="Z135" s="9" t="n">
        <x:f>SUMIFS('Disclosure Packets'!$M$7:$M$2310,'Disclosure Packets'!$C$7:$C$2310,A135)</x:f>
        <x:v>0</x:v>
      </x:c>
      <x:c r="AA135" s="9" t="n">
        <x:v>0</x:v>
      </x:c>
      <x:c r="AB135" s="9" t="str">
        <x:f>IF(N135=0,"PLANNED / BLOCKED",IF(P135&lt;O135,"EOW / START BLOCKED",IF(Q135=0,"ARMED / UNSTARTED",IF(S135&lt;R135,"STARTED / RAW UNSEALED",IF(U135&lt;T135,"SEALED / OBSERVATION OPEN",IF(X135=0,"OBSERVED / UNJUDGED",IF(Z135&lt;Y135,"JUDGED / DISCLOSURE HELD",IF(AA135=0,"COMPLETE / EMBARGOED","PUBLIC / TERMINAL"))))))))</x:f>
        <x:v>PLANNED / BLOCKED</x:v>
      </x:c>
      <x:c r="AC135" s="9" t="n">
        <x:f>COUNTIFS($A$7:$A$150,A135)</x:f>
        <x:v>1</x:v>
      </x:c>
      <x:c r="AD135" s="9" t="n">
        <x:f>COUNTIFS($H$7:$H$150,H135,$I$7:$I$150,I135)</x:f>
        <x:v>6</x:v>
      </x:c>
      <x:c r="AE135" s="9" t="n">
        <x:f>COUNTIFS($H$7:$H$150,H135,$I$7:$I$150,I135,$J$7:$J$150,J135)</x:f>
        <x:v>1</x:v>
      </x:c>
    </x:row>
    <x:row r="136">
      <x:c r="A136" s="9" t="str">
        <x:v>EV-AR-HU-A-B-TECH-1-B2-INT-G0</x:v>
      </x:c>
      <x:c r="B136" s="9" t="str">
        <x:v>EOW-AR-HU-A-B-TECH-1-B2-INT-G0</x:v>
      </x:c>
      <x:c r="C136" s="9" t="str">
        <x:v>AR-HU-A-B-TECH-1-B2-INT-G0</x:v>
      </x:c>
      <x:c r="D136" s="9" t="str">
        <x:v>HU-A-B-TECH-1</x:v>
      </x:c>
      <x:c r="E136" s="9" t="str">
        <x:v>HU-A-B</x:v>
      </x:c>
      <x:c r="F136" s="9" t="str">
        <x:v>B2</x:v>
      </x:c>
      <x:c r="G136" s="9" t="str">
        <x:v>INT</x:v>
      </x:c>
      <x:c r="H136" s="9" t="n">
        <x:v>6</x:v>
      </x:c>
      <x:c r="I136" s="9" t="n">
        <x:v>2</x:v>
      </x:c>
      <x:c r="J136" s="9" t="str">
        <x:v>HU-A-B-N2</x:v>
      </x:c>
      <x:c r="K136" s="9" t="str">
        <x:v>FX-HU-A-B-TECH-1-F2</x:v>
      </x:c>
      <x:c r="L136" s="9" t="n">
        <x:v>270</x:v>
      </x:c>
      <x:c r="M136" s="9" t="n">
        <x:v>0</x:v>
      </x:c>
      <x:c r="N136" s="9" t="n">
        <x:v>0</x:v>
      </x:c>
      <x:c r="O136" s="9" t="n">
        <x:v>10</x:v>
      </x:c>
      <x:c r="P136" s="9" t="n">
        <x:f>SUMIFS('Start Controls'!$P$7:$P$1446,'Start Controls'!$B$7:$B$1446,A136)</x:f>
        <x:v>0</x:v>
      </x:c>
      <x:c r="Q136" s="9" t="n">
        <x:v>0</x:v>
      </x:c>
      <x:c r="R136" s="9" t="n">
        <x:v>8</x:v>
      </x:c>
      <x:c r="S136" s="9" t="n">
        <x:f>SUMIFS('Raw Custody'!$M$7:$M$1158,'Raw Custody'!$B$7:$B$1158,A136)</x:f>
        <x:v>0</x:v>
      </x:c>
      <x:c r="T136" s="9" t="n">
        <x:v>12</x:v>
      </x:c>
      <x:c r="U136" s="9" t="n">
        <x:f>SUMIFS('Observation Gates'!$L$7:$L$1734,'Observation Gates'!$B$7:$B$1734,A136)</x:f>
        <x:v>0</x:v>
      </x:c>
      <x:c r="V136" s="9" t="str">
        <x:v>UNFILED</x:v>
      </x:c>
      <x:c r="W136" s="9" t="n">
        <x:v>0</x:v>
      </x:c>
      <x:c r="X136" s="9" t="n">
        <x:v>0</x:v>
      </x:c>
      <x:c r="Y136" s="9" t="n">
        <x:v>16</x:v>
      </x:c>
      <x:c r="Z136" s="9" t="n">
        <x:f>SUMIFS('Disclosure Packets'!$M$7:$M$2310,'Disclosure Packets'!$C$7:$C$2310,A136)</x:f>
        <x:v>0</x:v>
      </x:c>
      <x:c r="AA136" s="9" t="n">
        <x:v>0</x:v>
      </x:c>
      <x:c r="AB136" s="9" t="str">
        <x:f>IF(N136=0,"PLANNED / BLOCKED",IF(P136&lt;O136,"EOW / START BLOCKED",IF(Q136=0,"ARMED / UNSTARTED",IF(S136&lt;R136,"STARTED / RAW UNSEALED",IF(U136&lt;T136,"SEALED / OBSERVATION OPEN",IF(X136=0,"OBSERVED / UNJUDGED",IF(Z136&lt;Y136,"JUDGED / DISCLOSURE HELD",IF(AA136=0,"COMPLETE / EMBARGOED","PUBLIC / TERMINAL"))))))))</x:f>
        <x:v>PLANNED / BLOCKED</x:v>
      </x:c>
      <x:c r="AC136" s="9" t="n">
        <x:f>COUNTIFS($A$7:$A$150,A136)</x:f>
        <x:v>1</x:v>
      </x:c>
      <x:c r="AD136" s="9" t="n">
        <x:f>COUNTIFS($H$7:$H$150,H136,$I$7:$I$150,I136)</x:f>
        <x:v>6</x:v>
      </x:c>
      <x:c r="AE136" s="9" t="n">
        <x:f>COUNTIFS($H$7:$H$150,H136,$I$7:$I$150,I136,$J$7:$J$150,J136)</x:f>
        <x:v>1</x:v>
      </x:c>
    </x:row>
    <x:row r="137">
      <x:c r="A137" s="9" t="str">
        <x:v>EV-AR-LF-B-A-TECH-3-B1-INT-G0</x:v>
      </x:c>
      <x:c r="B137" s="9" t="str">
        <x:v>EOW-AR-LF-B-A-TECH-3-B1-INT-G0</x:v>
      </x:c>
      <x:c r="C137" s="9" t="str">
        <x:v>AR-LF-B-A-TECH-3-B1-INT-G0</x:v>
      </x:c>
      <x:c r="D137" s="9" t="str">
        <x:v>LF-B-A-TECH-3</x:v>
      </x:c>
      <x:c r="E137" s="9" t="str">
        <x:v>LF-B-A</x:v>
      </x:c>
      <x:c r="F137" s="9" t="str">
        <x:v>B1</x:v>
      </x:c>
      <x:c r="G137" s="9" t="str">
        <x:v>INT</x:v>
      </x:c>
      <x:c r="H137" s="9" t="n">
        <x:v>6</x:v>
      </x:c>
      <x:c r="I137" s="9" t="n">
        <x:v>2</x:v>
      </x:c>
      <x:c r="J137" s="9" t="str">
        <x:v>LF-B-A-N3</x:v>
      </x:c>
      <x:c r="K137" s="9" t="str">
        <x:v>FX-LF-B-A-TECH-3-F1</x:v>
      </x:c>
      <x:c r="L137" s="9" t="n">
        <x:v>270</x:v>
      </x:c>
      <x:c r="M137" s="9" t="n">
        <x:v>0</x:v>
      </x:c>
      <x:c r="N137" s="9" t="n">
        <x:v>0</x:v>
      </x:c>
      <x:c r="O137" s="9" t="n">
        <x:v>10</x:v>
      </x:c>
      <x:c r="P137" s="9" t="n">
        <x:f>SUMIFS('Start Controls'!$P$7:$P$1446,'Start Controls'!$B$7:$B$1446,A137)</x:f>
        <x:v>0</x:v>
      </x:c>
      <x:c r="Q137" s="9" t="n">
        <x:v>0</x:v>
      </x:c>
      <x:c r="R137" s="9" t="n">
        <x:v>8</x:v>
      </x:c>
      <x:c r="S137" s="9" t="n">
        <x:f>SUMIFS('Raw Custody'!$M$7:$M$1158,'Raw Custody'!$B$7:$B$1158,A137)</x:f>
        <x:v>0</x:v>
      </x:c>
      <x:c r="T137" s="9" t="n">
        <x:v>12</x:v>
      </x:c>
      <x:c r="U137" s="9" t="n">
        <x:f>SUMIFS('Observation Gates'!$L$7:$L$1734,'Observation Gates'!$B$7:$B$1734,A137)</x:f>
        <x:v>0</x:v>
      </x:c>
      <x:c r="V137" s="9" t="str">
        <x:v>UNFILED</x:v>
      </x:c>
      <x:c r="W137" s="9" t="n">
        <x:v>0</x:v>
      </x:c>
      <x:c r="X137" s="9" t="n">
        <x:v>0</x:v>
      </x:c>
      <x:c r="Y137" s="9" t="n">
        <x:v>16</x:v>
      </x:c>
      <x:c r="Z137" s="9" t="n">
        <x:f>SUMIFS('Disclosure Packets'!$M$7:$M$2310,'Disclosure Packets'!$C$7:$C$2310,A137)</x:f>
        <x:v>0</x:v>
      </x:c>
      <x:c r="AA137" s="9" t="n">
        <x:v>0</x:v>
      </x:c>
      <x:c r="AB137" s="9" t="str">
        <x:f>IF(N137=0,"PLANNED / BLOCKED",IF(P137&lt;O137,"EOW / START BLOCKED",IF(Q137=0,"ARMED / UNSTARTED",IF(S137&lt;R137,"STARTED / RAW UNSEALED",IF(U137&lt;T137,"SEALED / OBSERVATION OPEN",IF(X137=0,"OBSERVED / UNJUDGED",IF(Z137&lt;Y137,"JUDGED / DISCLOSURE HELD",IF(AA137=0,"COMPLETE / EMBARGOED","PUBLIC / TERMINAL"))))))))</x:f>
        <x:v>PLANNED / BLOCKED</x:v>
      </x:c>
      <x:c r="AC137" s="9" t="n">
        <x:f>COUNTIFS($A$7:$A$150,A137)</x:f>
        <x:v>1</x:v>
      </x:c>
      <x:c r="AD137" s="9" t="n">
        <x:f>COUNTIFS($H$7:$H$150,H137,$I$7:$I$150,I137)</x:f>
        <x:v>6</x:v>
      </x:c>
      <x:c r="AE137" s="9" t="n">
        <x:f>COUNTIFS($H$7:$H$150,H137,$I$7:$I$150,I137,$J$7:$J$150,J137)</x:f>
        <x:v>1</x:v>
      </x:c>
    </x:row>
    <x:row r="138">
      <x:c r="A138" s="9" t="str">
        <x:v>EV-AR-RT-B-C-TECH-2-B2-RCN-G0</x:v>
      </x:c>
      <x:c r="B138" s="9" t="str">
        <x:v>EOW-AR-RT-B-C-TECH-2-B2-RCN-G0</x:v>
      </x:c>
      <x:c r="C138" s="9" t="str">
        <x:v>AR-RT-B-C-TECH-2-B2-RCN-G0</x:v>
      </x:c>
      <x:c r="D138" s="9" t="str">
        <x:v>RT-B-C-TECH-2</x:v>
      </x:c>
      <x:c r="E138" s="9" t="str">
        <x:v>RT-B-C</x:v>
      </x:c>
      <x:c r="F138" s="9" t="str">
        <x:v>B2</x:v>
      </x:c>
      <x:c r="G138" s="9" t="str">
        <x:v>RCN</x:v>
      </x:c>
      <x:c r="H138" s="9" t="n">
        <x:v>6</x:v>
      </x:c>
      <x:c r="I138" s="9" t="n">
        <x:v>2</x:v>
      </x:c>
      <x:c r="J138" s="9" t="str">
        <x:v>RT-B-C-N2</x:v>
      </x:c>
      <x:c r="K138" s="9" t="str">
        <x:v>FX-RT-B-C-TECH-2-F1</x:v>
      </x:c>
      <x:c r="L138" s="9" t="n">
        <x:v>270</x:v>
      </x:c>
      <x:c r="M138" s="9" t="n">
        <x:v>1</x:v>
      </x:c>
      <x:c r="N138" s="9" t="n">
        <x:v>0</x:v>
      </x:c>
      <x:c r="O138" s="9" t="n">
        <x:v>10</x:v>
      </x:c>
      <x:c r="P138" s="9" t="n">
        <x:f>SUMIFS('Start Controls'!$P$7:$P$1446,'Start Controls'!$B$7:$B$1446,A138)</x:f>
        <x:v>0</x:v>
      </x:c>
      <x:c r="Q138" s="9" t="n">
        <x:v>0</x:v>
      </x:c>
      <x:c r="R138" s="9" t="n">
        <x:v>8</x:v>
      </x:c>
      <x:c r="S138" s="9" t="n">
        <x:f>SUMIFS('Raw Custody'!$M$7:$M$1158,'Raw Custody'!$B$7:$B$1158,A138)</x:f>
        <x:v>0</x:v>
      </x:c>
      <x:c r="T138" s="9" t="n">
        <x:v>12</x:v>
      </x:c>
      <x:c r="U138" s="9" t="n">
        <x:f>SUMIFS('Observation Gates'!$L$7:$L$1734,'Observation Gates'!$B$7:$B$1734,A138)</x:f>
        <x:v>0</x:v>
      </x:c>
      <x:c r="V138" s="9" t="str">
        <x:v>UNFILED</x:v>
      </x:c>
      <x:c r="W138" s="9" t="n">
        <x:v>0</x:v>
      </x:c>
      <x:c r="X138" s="9" t="n">
        <x:v>0</x:v>
      </x:c>
      <x:c r="Y138" s="9" t="n">
        <x:v>16</x:v>
      </x:c>
      <x:c r="Z138" s="9" t="n">
        <x:f>SUMIFS('Disclosure Packets'!$M$7:$M$2310,'Disclosure Packets'!$C$7:$C$2310,A138)</x:f>
        <x:v>0</x:v>
      </x:c>
      <x:c r="AA138" s="9" t="n">
        <x:v>0</x:v>
      </x:c>
      <x:c r="AB138" s="9" t="str">
        <x:f>IF(N138=0,"PLANNED / BLOCKED",IF(P138&lt;O138,"EOW / START BLOCKED",IF(Q138=0,"ARMED / UNSTARTED",IF(S138&lt;R138,"STARTED / RAW UNSEALED",IF(U138&lt;T138,"SEALED / OBSERVATION OPEN",IF(X138=0,"OBSERVED / UNJUDGED",IF(Z138&lt;Y138,"JUDGED / DISCLOSURE HELD",IF(AA138=0,"COMPLETE / EMBARGOED","PUBLIC / TERMINAL"))))))))</x:f>
        <x:v>PLANNED / BLOCKED</x:v>
      </x:c>
      <x:c r="AC138" s="9" t="n">
        <x:f>COUNTIFS($A$7:$A$150,A138)</x:f>
        <x:v>1</x:v>
      </x:c>
      <x:c r="AD138" s="9" t="n">
        <x:f>COUNTIFS($H$7:$H$150,H138,$I$7:$I$150,I138)</x:f>
        <x:v>6</x:v>
      </x:c>
      <x:c r="AE138" s="9" t="n">
        <x:f>COUNTIFS($H$7:$H$150,H138,$I$7:$I$150,I138,$J$7:$J$150,J138)</x:f>
        <x:v>1</x:v>
      </x:c>
    </x:row>
    <x:row r="139">
      <x:c r="A139" s="9" t="str">
        <x:v>EV-AR-CT-C-B-TECH-4-B2-INT-G0</x:v>
      </x:c>
      <x:c r="B139" s="9" t="str">
        <x:v>EOW-AR-CT-C-B-TECH-4-B2-INT-G0</x:v>
      </x:c>
      <x:c r="C139" s="9" t="str">
        <x:v>AR-CT-C-B-TECH-4-B2-INT-G0</x:v>
      </x:c>
      <x:c r="D139" s="9" t="str">
        <x:v>CT-C-B-TECH-4</x:v>
      </x:c>
      <x:c r="E139" s="9" t="str">
        <x:v>CT-C-B</x:v>
      </x:c>
      <x:c r="F139" s="9" t="str">
        <x:v>B2</x:v>
      </x:c>
      <x:c r="G139" s="9" t="str">
        <x:v>INT</x:v>
      </x:c>
      <x:c r="H139" s="9" t="n">
        <x:v>6</x:v>
      </x:c>
      <x:c r="I139" s="9" t="n">
        <x:v>3</x:v>
      </x:c>
      <x:c r="J139" s="9" t="str">
        <x:v>CT-C-B-N1</x:v>
      </x:c>
      <x:c r="K139" s="9" t="str">
        <x:v>FX-CT-C-B-TECH-4-F1</x:v>
      </x:c>
      <x:c r="L139" s="9" t="n">
        <x:v>276</x:v>
      </x:c>
      <x:c r="M139" s="9" t="n">
        <x:v>0</x:v>
      </x:c>
      <x:c r="N139" s="9" t="n">
        <x:v>0</x:v>
      </x:c>
      <x:c r="O139" s="9" t="n">
        <x:v>10</x:v>
      </x:c>
      <x:c r="P139" s="9" t="n">
        <x:f>SUMIFS('Start Controls'!$P$7:$P$1446,'Start Controls'!$B$7:$B$1446,A139)</x:f>
        <x:v>0</x:v>
      </x:c>
      <x:c r="Q139" s="9" t="n">
        <x:v>0</x:v>
      </x:c>
      <x:c r="R139" s="9" t="n">
        <x:v>8</x:v>
      </x:c>
      <x:c r="S139" s="9" t="n">
        <x:f>SUMIFS('Raw Custody'!$M$7:$M$1158,'Raw Custody'!$B$7:$B$1158,A139)</x:f>
        <x:v>0</x:v>
      </x:c>
      <x:c r="T139" s="9" t="n">
        <x:v>12</x:v>
      </x:c>
      <x:c r="U139" s="9" t="n">
        <x:f>SUMIFS('Observation Gates'!$L$7:$L$1734,'Observation Gates'!$B$7:$B$1734,A139)</x:f>
        <x:v>0</x:v>
      </x:c>
      <x:c r="V139" s="9" t="str">
        <x:v>UNFILED</x:v>
      </x:c>
      <x:c r="W139" s="9" t="n">
        <x:v>0</x:v>
      </x:c>
      <x:c r="X139" s="9" t="n">
        <x:v>0</x:v>
      </x:c>
      <x:c r="Y139" s="9" t="n">
        <x:v>16</x:v>
      </x:c>
      <x:c r="Z139" s="9" t="n">
        <x:f>SUMIFS('Disclosure Packets'!$M$7:$M$2310,'Disclosure Packets'!$C$7:$C$2310,A139)</x:f>
        <x:v>0</x:v>
      </x:c>
      <x:c r="AA139" s="9" t="n">
        <x:v>0</x:v>
      </x:c>
      <x:c r="AB139" s="9" t="str">
        <x:f>IF(N139=0,"PLANNED / BLOCKED",IF(P139&lt;O139,"EOW / START BLOCKED",IF(Q139=0,"ARMED / UNSTARTED",IF(S139&lt;R139,"STARTED / RAW UNSEALED",IF(U139&lt;T139,"SEALED / OBSERVATION OPEN",IF(X139=0,"OBSERVED / UNJUDGED",IF(Z139&lt;Y139,"JUDGED / DISCLOSURE HELD",IF(AA139=0,"COMPLETE / EMBARGOED","PUBLIC / TERMINAL"))))))))</x:f>
        <x:v>PLANNED / BLOCKED</x:v>
      </x:c>
      <x:c r="AC139" s="9" t="n">
        <x:f>COUNTIFS($A$7:$A$150,A139)</x:f>
        <x:v>1</x:v>
      </x:c>
      <x:c r="AD139" s="9" t="n">
        <x:f>COUNTIFS($H$7:$H$150,H139,$I$7:$I$150,I139)</x:f>
        <x:v>6</x:v>
      </x:c>
      <x:c r="AE139" s="9" t="n">
        <x:f>COUNTIFS($H$7:$H$150,H139,$I$7:$I$150,I139,$J$7:$J$150,J139)</x:f>
        <x:v>1</x:v>
      </x:c>
    </x:row>
    <x:row r="140">
      <x:c r="A140" s="9" t="str">
        <x:v>EV-AR-HC-A-C-TECH-3-B2-INT-G0</x:v>
      </x:c>
      <x:c r="B140" s="9" t="str">
        <x:v>EOW-AR-HC-A-C-TECH-3-B2-INT-G0</x:v>
      </x:c>
      <x:c r="C140" s="9" t="str">
        <x:v>AR-HC-A-C-TECH-3-B2-INT-G0</x:v>
      </x:c>
      <x:c r="D140" s="9" t="str">
        <x:v>HC-A-C-TECH-3</x:v>
      </x:c>
      <x:c r="E140" s="9" t="str">
        <x:v>HC-A-C</x:v>
      </x:c>
      <x:c r="F140" s="9" t="str">
        <x:v>B2</x:v>
      </x:c>
      <x:c r="G140" s="9" t="str">
        <x:v>INT</x:v>
      </x:c>
      <x:c r="H140" s="9" t="n">
        <x:v>6</x:v>
      </x:c>
      <x:c r="I140" s="9" t="n">
        <x:v>3</x:v>
      </x:c>
      <x:c r="J140" s="9" t="str">
        <x:v>HC-A-C-N1</x:v>
      </x:c>
      <x:c r="K140" s="9" t="str">
        <x:v>FX-HC-A-C-TECH-3-F2</x:v>
      </x:c>
      <x:c r="L140" s="9" t="n">
        <x:v>276</x:v>
      </x:c>
      <x:c r="M140" s="9" t="n">
        <x:v>0</x:v>
      </x:c>
      <x:c r="N140" s="9" t="n">
        <x:v>0</x:v>
      </x:c>
      <x:c r="O140" s="9" t="n">
        <x:v>10</x:v>
      </x:c>
      <x:c r="P140" s="9" t="n">
        <x:f>SUMIFS('Start Controls'!$P$7:$P$1446,'Start Controls'!$B$7:$B$1446,A140)</x:f>
        <x:v>0</x:v>
      </x:c>
      <x:c r="Q140" s="9" t="n">
        <x:v>0</x:v>
      </x:c>
      <x:c r="R140" s="9" t="n">
        <x:v>8</x:v>
      </x:c>
      <x:c r="S140" s="9" t="n">
        <x:f>SUMIFS('Raw Custody'!$M$7:$M$1158,'Raw Custody'!$B$7:$B$1158,A140)</x:f>
        <x:v>0</x:v>
      </x:c>
      <x:c r="T140" s="9" t="n">
        <x:v>12</x:v>
      </x:c>
      <x:c r="U140" s="9" t="n">
        <x:f>SUMIFS('Observation Gates'!$L$7:$L$1734,'Observation Gates'!$B$7:$B$1734,A140)</x:f>
        <x:v>0</x:v>
      </x:c>
      <x:c r="V140" s="9" t="str">
        <x:v>UNFILED</x:v>
      </x:c>
      <x:c r="W140" s="9" t="n">
        <x:v>0</x:v>
      </x:c>
      <x:c r="X140" s="9" t="n">
        <x:v>0</x:v>
      </x:c>
      <x:c r="Y140" s="9" t="n">
        <x:v>16</x:v>
      </x:c>
      <x:c r="Z140" s="9" t="n">
        <x:f>SUMIFS('Disclosure Packets'!$M$7:$M$2310,'Disclosure Packets'!$C$7:$C$2310,A140)</x:f>
        <x:v>0</x:v>
      </x:c>
      <x:c r="AA140" s="9" t="n">
        <x:v>0</x:v>
      </x:c>
      <x:c r="AB140" s="9" t="str">
        <x:f>IF(N140=0,"PLANNED / BLOCKED",IF(P140&lt;O140,"EOW / START BLOCKED",IF(Q140=0,"ARMED / UNSTARTED",IF(S140&lt;R140,"STARTED / RAW UNSEALED",IF(U140&lt;T140,"SEALED / OBSERVATION OPEN",IF(X140=0,"OBSERVED / UNJUDGED",IF(Z140&lt;Y140,"JUDGED / DISCLOSURE HELD",IF(AA140=0,"COMPLETE / EMBARGOED","PUBLIC / TERMINAL"))))))))</x:f>
        <x:v>PLANNED / BLOCKED</x:v>
      </x:c>
      <x:c r="AC140" s="9" t="n">
        <x:f>COUNTIFS($A$7:$A$150,A140)</x:f>
        <x:v>1</x:v>
      </x:c>
      <x:c r="AD140" s="9" t="n">
        <x:f>COUNTIFS($H$7:$H$150,H140,$I$7:$I$150,I140)</x:f>
        <x:v>6</x:v>
      </x:c>
      <x:c r="AE140" s="9" t="n">
        <x:f>COUNTIFS($H$7:$H$150,H140,$I$7:$I$150,I140,$J$7:$J$150,J140)</x:f>
        <x:v>1</x:v>
      </x:c>
    </x:row>
    <x:row r="141">
      <x:c r="A141" s="9" t="str">
        <x:v>EV-AR-HU-A-B-TECH-3-B2-RCN-G0</x:v>
      </x:c>
      <x:c r="B141" s="9" t="str">
        <x:v>EOW-AR-HU-A-B-TECH-3-B2-RCN-G0</x:v>
      </x:c>
      <x:c r="C141" s="9" t="str">
        <x:v>AR-HU-A-B-TECH-3-B2-RCN-G0</x:v>
      </x:c>
      <x:c r="D141" s="9" t="str">
        <x:v>HU-A-B-TECH-3</x:v>
      </x:c>
      <x:c r="E141" s="9" t="str">
        <x:v>HU-A-B</x:v>
      </x:c>
      <x:c r="F141" s="9" t="str">
        <x:v>B2</x:v>
      </x:c>
      <x:c r="G141" s="9" t="str">
        <x:v>RCN</x:v>
      </x:c>
      <x:c r="H141" s="9" t="n">
        <x:v>6</x:v>
      </x:c>
      <x:c r="I141" s="9" t="n">
        <x:v>3</x:v>
      </x:c>
      <x:c r="J141" s="9" t="str">
        <x:v>HU-A-B-N1</x:v>
      </x:c>
      <x:c r="K141" s="9" t="str">
        <x:v>FX-HU-A-B-TECH-3-F2</x:v>
      </x:c>
      <x:c r="L141" s="9" t="n">
        <x:v>276</x:v>
      </x:c>
      <x:c r="M141" s="9" t="n">
        <x:v>1</x:v>
      </x:c>
      <x:c r="N141" s="9" t="n">
        <x:v>0</x:v>
      </x:c>
      <x:c r="O141" s="9" t="n">
        <x:v>10</x:v>
      </x:c>
      <x:c r="P141" s="9" t="n">
        <x:f>SUMIFS('Start Controls'!$P$7:$P$1446,'Start Controls'!$B$7:$B$1446,A141)</x:f>
        <x:v>0</x:v>
      </x:c>
      <x:c r="Q141" s="9" t="n">
        <x:v>0</x:v>
      </x:c>
      <x:c r="R141" s="9" t="n">
        <x:v>8</x:v>
      </x:c>
      <x:c r="S141" s="9" t="n">
        <x:f>SUMIFS('Raw Custody'!$M$7:$M$1158,'Raw Custody'!$B$7:$B$1158,A141)</x:f>
        <x:v>0</x:v>
      </x:c>
      <x:c r="T141" s="9" t="n">
        <x:v>12</x:v>
      </x:c>
      <x:c r="U141" s="9" t="n">
        <x:f>SUMIFS('Observation Gates'!$L$7:$L$1734,'Observation Gates'!$B$7:$B$1734,A141)</x:f>
        <x:v>0</x:v>
      </x:c>
      <x:c r="V141" s="9" t="str">
        <x:v>UNFILED</x:v>
      </x:c>
      <x:c r="W141" s="9" t="n">
        <x:v>0</x:v>
      </x:c>
      <x:c r="X141" s="9" t="n">
        <x:v>0</x:v>
      </x:c>
      <x:c r="Y141" s="9" t="n">
        <x:v>16</x:v>
      </x:c>
      <x:c r="Z141" s="9" t="n">
        <x:f>SUMIFS('Disclosure Packets'!$M$7:$M$2310,'Disclosure Packets'!$C$7:$C$2310,A141)</x:f>
        <x:v>0</x:v>
      </x:c>
      <x:c r="AA141" s="9" t="n">
        <x:v>0</x:v>
      </x:c>
      <x:c r="AB141" s="9" t="str">
        <x:f>IF(N141=0,"PLANNED / BLOCKED",IF(P141&lt;O141,"EOW / START BLOCKED",IF(Q141=0,"ARMED / UNSTARTED",IF(S141&lt;R141,"STARTED / RAW UNSEALED",IF(U141&lt;T141,"SEALED / OBSERVATION OPEN",IF(X141=0,"OBSERVED / UNJUDGED",IF(Z141&lt;Y141,"JUDGED / DISCLOSURE HELD",IF(AA141=0,"COMPLETE / EMBARGOED","PUBLIC / TERMINAL"))))))))</x:f>
        <x:v>PLANNED / BLOCKED</x:v>
      </x:c>
      <x:c r="AC141" s="9" t="n">
        <x:f>COUNTIFS($A$7:$A$150,A141)</x:f>
        <x:v>1</x:v>
      </x:c>
      <x:c r="AD141" s="9" t="n">
        <x:f>COUNTIFS($H$7:$H$150,H141,$I$7:$I$150,I141)</x:f>
        <x:v>6</x:v>
      </x:c>
      <x:c r="AE141" s="9" t="n">
        <x:f>COUNTIFS($H$7:$H$150,H141,$I$7:$I$150,I141,$J$7:$J$150,J141)</x:f>
        <x:v>1</x:v>
      </x:c>
    </x:row>
    <x:row r="142">
      <x:c r="A142" s="9" t="str">
        <x:v>EV-AR-HU-A-B-TECH-4-B1-RCN-G0</x:v>
      </x:c>
      <x:c r="B142" s="9" t="str">
        <x:v>EOW-AR-HU-A-B-TECH-4-B1-RCN-G0</x:v>
      </x:c>
      <x:c r="C142" s="9" t="str">
        <x:v>AR-HU-A-B-TECH-4-B1-RCN-G0</x:v>
      </x:c>
      <x:c r="D142" s="9" t="str">
        <x:v>HU-A-B-TECH-4</x:v>
      </x:c>
      <x:c r="E142" s="9" t="str">
        <x:v>HU-A-B</x:v>
      </x:c>
      <x:c r="F142" s="9" t="str">
        <x:v>B1</x:v>
      </x:c>
      <x:c r="G142" s="9" t="str">
        <x:v>RCN</x:v>
      </x:c>
      <x:c r="H142" s="9" t="n">
        <x:v>6</x:v>
      </x:c>
      <x:c r="I142" s="9" t="n">
        <x:v>3</x:v>
      </x:c>
      <x:c r="J142" s="9" t="str">
        <x:v>HU-A-B-N2</x:v>
      </x:c>
      <x:c r="K142" s="9" t="str">
        <x:v>FX-HU-A-B-TECH-4-F2</x:v>
      </x:c>
      <x:c r="L142" s="9" t="n">
        <x:v>276</x:v>
      </x:c>
      <x:c r="M142" s="9" t="n">
        <x:v>1</x:v>
      </x:c>
      <x:c r="N142" s="9" t="n">
        <x:v>0</x:v>
      </x:c>
      <x:c r="O142" s="9" t="n">
        <x:v>10</x:v>
      </x:c>
      <x:c r="P142" s="9" t="n">
        <x:f>SUMIFS('Start Controls'!$P$7:$P$1446,'Start Controls'!$B$7:$B$1446,A142)</x:f>
        <x:v>0</x:v>
      </x:c>
      <x:c r="Q142" s="9" t="n">
        <x:v>0</x:v>
      </x:c>
      <x:c r="R142" s="9" t="n">
        <x:v>8</x:v>
      </x:c>
      <x:c r="S142" s="9" t="n">
        <x:f>SUMIFS('Raw Custody'!$M$7:$M$1158,'Raw Custody'!$B$7:$B$1158,A142)</x:f>
        <x:v>0</x:v>
      </x:c>
      <x:c r="T142" s="9" t="n">
        <x:v>12</x:v>
      </x:c>
      <x:c r="U142" s="9" t="n">
        <x:f>SUMIFS('Observation Gates'!$L$7:$L$1734,'Observation Gates'!$B$7:$B$1734,A142)</x:f>
        <x:v>0</x:v>
      </x:c>
      <x:c r="V142" s="9" t="str">
        <x:v>UNFILED</x:v>
      </x:c>
      <x:c r="W142" s="9" t="n">
        <x:v>0</x:v>
      </x:c>
      <x:c r="X142" s="9" t="n">
        <x:v>0</x:v>
      </x:c>
      <x:c r="Y142" s="9" t="n">
        <x:v>16</x:v>
      </x:c>
      <x:c r="Z142" s="9" t="n">
        <x:f>SUMIFS('Disclosure Packets'!$M$7:$M$2310,'Disclosure Packets'!$C$7:$C$2310,A142)</x:f>
        <x:v>0</x:v>
      </x:c>
      <x:c r="AA142" s="9" t="n">
        <x:v>0</x:v>
      </x:c>
      <x:c r="AB142" s="9" t="str">
        <x:f>IF(N142=0,"PLANNED / BLOCKED",IF(P142&lt;O142,"EOW / START BLOCKED",IF(Q142=0,"ARMED / UNSTARTED",IF(S142&lt;R142,"STARTED / RAW UNSEALED",IF(U142&lt;T142,"SEALED / OBSERVATION OPEN",IF(X142=0,"OBSERVED / UNJUDGED",IF(Z142&lt;Y142,"JUDGED / DISCLOSURE HELD",IF(AA142=0,"COMPLETE / EMBARGOED","PUBLIC / TERMINAL"))))))))</x:f>
        <x:v>PLANNED / BLOCKED</x:v>
      </x:c>
      <x:c r="AC142" s="9" t="n">
        <x:f>COUNTIFS($A$7:$A$150,A142)</x:f>
        <x:v>1</x:v>
      </x:c>
      <x:c r="AD142" s="9" t="n">
        <x:f>COUNTIFS($H$7:$H$150,H142,$I$7:$I$150,I142)</x:f>
        <x:v>6</x:v>
      </x:c>
      <x:c r="AE142" s="9" t="n">
        <x:f>COUNTIFS($H$7:$H$150,H142,$I$7:$I$150,I142,$J$7:$J$150,J142)</x:f>
        <x:v>1</x:v>
      </x:c>
    </x:row>
    <x:row r="143">
      <x:c r="A143" s="9" t="str">
        <x:v>EV-AR-RT-B-C-TECH-1-B1-INT-G0</x:v>
      </x:c>
      <x:c r="B143" s="9" t="str">
        <x:v>EOW-AR-RT-B-C-TECH-1-B1-INT-G0</x:v>
      </x:c>
      <x:c r="C143" s="9" t="str">
        <x:v>AR-RT-B-C-TECH-1-B1-INT-G0</x:v>
      </x:c>
      <x:c r="D143" s="9" t="str">
        <x:v>RT-B-C-TECH-1</x:v>
      </x:c>
      <x:c r="E143" s="9" t="str">
        <x:v>RT-B-C</x:v>
      </x:c>
      <x:c r="F143" s="9" t="str">
        <x:v>B1</x:v>
      </x:c>
      <x:c r="G143" s="9" t="str">
        <x:v>INT</x:v>
      </x:c>
      <x:c r="H143" s="9" t="n">
        <x:v>6</x:v>
      </x:c>
      <x:c r="I143" s="9" t="n">
        <x:v>3</x:v>
      </x:c>
      <x:c r="J143" s="9" t="str">
        <x:v>RT-B-C-N1</x:v>
      </x:c>
      <x:c r="K143" s="9" t="str">
        <x:v>FX-RT-B-C-TECH-1-F1</x:v>
      </x:c>
      <x:c r="L143" s="9" t="n">
        <x:v>276</x:v>
      </x:c>
      <x:c r="M143" s="9" t="n">
        <x:v>0</x:v>
      </x:c>
      <x:c r="N143" s="9" t="n">
        <x:v>0</x:v>
      </x:c>
      <x:c r="O143" s="9" t="n">
        <x:v>10</x:v>
      </x:c>
      <x:c r="P143" s="9" t="n">
        <x:f>SUMIFS('Start Controls'!$P$7:$P$1446,'Start Controls'!$B$7:$B$1446,A143)</x:f>
        <x:v>0</x:v>
      </x:c>
      <x:c r="Q143" s="9" t="n">
        <x:v>0</x:v>
      </x:c>
      <x:c r="R143" s="9" t="n">
        <x:v>8</x:v>
      </x:c>
      <x:c r="S143" s="9" t="n">
        <x:f>SUMIFS('Raw Custody'!$M$7:$M$1158,'Raw Custody'!$B$7:$B$1158,A143)</x:f>
        <x:v>0</x:v>
      </x:c>
      <x:c r="T143" s="9" t="n">
        <x:v>12</x:v>
      </x:c>
      <x:c r="U143" s="9" t="n">
        <x:f>SUMIFS('Observation Gates'!$L$7:$L$1734,'Observation Gates'!$B$7:$B$1734,A143)</x:f>
        <x:v>0</x:v>
      </x:c>
      <x:c r="V143" s="9" t="str">
        <x:v>UNFILED</x:v>
      </x:c>
      <x:c r="W143" s="9" t="n">
        <x:v>0</x:v>
      </x:c>
      <x:c r="X143" s="9" t="n">
        <x:v>0</x:v>
      </x:c>
      <x:c r="Y143" s="9" t="n">
        <x:v>16</x:v>
      </x:c>
      <x:c r="Z143" s="9" t="n">
        <x:f>SUMIFS('Disclosure Packets'!$M$7:$M$2310,'Disclosure Packets'!$C$7:$C$2310,A143)</x:f>
        <x:v>0</x:v>
      </x:c>
      <x:c r="AA143" s="9" t="n">
        <x:v>0</x:v>
      </x:c>
      <x:c r="AB143" s="9" t="str">
        <x:f>IF(N143=0,"PLANNED / BLOCKED",IF(P143&lt;O143,"EOW / START BLOCKED",IF(Q143=0,"ARMED / UNSTARTED",IF(S143&lt;R143,"STARTED / RAW UNSEALED",IF(U143&lt;T143,"SEALED / OBSERVATION OPEN",IF(X143=0,"OBSERVED / UNJUDGED",IF(Z143&lt;Y143,"JUDGED / DISCLOSURE HELD",IF(AA143=0,"COMPLETE / EMBARGOED","PUBLIC / TERMINAL"))))))))</x:f>
        <x:v>PLANNED / BLOCKED</x:v>
      </x:c>
      <x:c r="AC143" s="9" t="n">
        <x:f>COUNTIFS($A$7:$A$150,A143)</x:f>
        <x:v>1</x:v>
      </x:c>
      <x:c r="AD143" s="9" t="n">
        <x:f>COUNTIFS($H$7:$H$150,H143,$I$7:$I$150,I143)</x:f>
        <x:v>6</x:v>
      </x:c>
      <x:c r="AE143" s="9" t="n">
        <x:f>COUNTIFS($H$7:$H$150,H143,$I$7:$I$150,I143,$J$7:$J$150,J143)</x:f>
        <x:v>1</x:v>
      </x:c>
    </x:row>
    <x:row r="144">
      <x:c r="A144" s="9" t="str">
        <x:v>EV-AR-RT-B-C-TECH-4-B2-BRK-G0</x:v>
      </x:c>
      <x:c r="B144" s="9" t="str">
        <x:v>EOW-AR-RT-B-C-TECH-4-B2-BRK-G0</x:v>
      </x:c>
      <x:c r="C144" s="9" t="str">
        <x:v>AR-RT-B-C-TECH-4-B2-BRK-G0</x:v>
      </x:c>
      <x:c r="D144" s="9" t="str">
        <x:v>RT-B-C-TECH-4</x:v>
      </x:c>
      <x:c r="E144" s="9" t="str">
        <x:v>RT-B-C</x:v>
      </x:c>
      <x:c r="F144" s="9" t="str">
        <x:v>B2</x:v>
      </x:c>
      <x:c r="G144" s="9" t="str">
        <x:v>BRK</x:v>
      </x:c>
      <x:c r="H144" s="9" t="n">
        <x:v>6</x:v>
      </x:c>
      <x:c r="I144" s="9" t="n">
        <x:v>3</x:v>
      </x:c>
      <x:c r="J144" s="9" t="str">
        <x:v>RT-B-C-N2</x:v>
      </x:c>
      <x:c r="K144" s="9" t="str">
        <x:v>FX-RT-B-C-TECH-4-F2</x:v>
      </x:c>
      <x:c r="L144" s="9" t="n">
        <x:v>276</x:v>
      </x:c>
      <x:c r="M144" s="9" t="n">
        <x:v>1</x:v>
      </x:c>
      <x:c r="N144" s="9" t="n">
        <x:v>0</x:v>
      </x:c>
      <x:c r="O144" s="9" t="n">
        <x:v>10</x:v>
      </x:c>
      <x:c r="P144" s="9" t="n">
        <x:f>SUMIFS('Start Controls'!$P$7:$P$1446,'Start Controls'!$B$7:$B$1446,A144)</x:f>
        <x:v>0</x:v>
      </x:c>
      <x:c r="Q144" s="9" t="n">
        <x:v>0</x:v>
      </x:c>
      <x:c r="R144" s="9" t="n">
        <x:v>8</x:v>
      </x:c>
      <x:c r="S144" s="9" t="n">
        <x:f>SUMIFS('Raw Custody'!$M$7:$M$1158,'Raw Custody'!$B$7:$B$1158,A144)</x:f>
        <x:v>0</x:v>
      </x:c>
      <x:c r="T144" s="9" t="n">
        <x:v>12</x:v>
      </x:c>
      <x:c r="U144" s="9" t="n">
        <x:f>SUMIFS('Observation Gates'!$L$7:$L$1734,'Observation Gates'!$B$7:$B$1734,A144)</x:f>
        <x:v>0</x:v>
      </x:c>
      <x:c r="V144" s="9" t="str">
        <x:v>UNFILED</x:v>
      </x:c>
      <x:c r="W144" s="9" t="n">
        <x:v>0</x:v>
      </x:c>
      <x:c r="X144" s="9" t="n">
        <x:v>0</x:v>
      </x:c>
      <x:c r="Y144" s="9" t="n">
        <x:v>16</x:v>
      </x:c>
      <x:c r="Z144" s="9" t="n">
        <x:f>SUMIFS('Disclosure Packets'!$M$7:$M$2310,'Disclosure Packets'!$C$7:$C$2310,A144)</x:f>
        <x:v>0</x:v>
      </x:c>
      <x:c r="AA144" s="9" t="n">
        <x:v>0</x:v>
      </x:c>
      <x:c r="AB144" s="9" t="str">
        <x:f>IF(N144=0,"PLANNED / BLOCKED",IF(P144&lt;O144,"EOW / START BLOCKED",IF(Q144=0,"ARMED / UNSTARTED",IF(S144&lt;R144,"STARTED / RAW UNSEALED",IF(U144&lt;T144,"SEALED / OBSERVATION OPEN",IF(X144=0,"OBSERVED / UNJUDGED",IF(Z144&lt;Y144,"JUDGED / DISCLOSURE HELD",IF(AA144=0,"COMPLETE / EMBARGOED","PUBLIC / TERMINAL"))))))))</x:f>
        <x:v>PLANNED / BLOCKED</x:v>
      </x:c>
      <x:c r="AC144" s="9" t="n">
        <x:f>COUNTIFS($A$7:$A$150,A144)</x:f>
        <x:v>1</x:v>
      </x:c>
      <x:c r="AD144" s="9" t="n">
        <x:f>COUNTIFS($H$7:$H$150,H144,$I$7:$I$150,I144)</x:f>
        <x:v>6</x:v>
      </x:c>
      <x:c r="AE144" s="9" t="n">
        <x:f>COUNTIFS($H$7:$H$150,H144,$I$7:$I$150,I144,$J$7:$J$150,J144)</x:f>
        <x:v>1</x:v>
      </x:c>
    </x:row>
    <x:row r="145">
      <x:c r="A145" s="9" t="str">
        <x:v>EV-AR-CT-C-B-TECH-2-B2-BRK-G0</x:v>
      </x:c>
      <x:c r="B145" s="9" t="str">
        <x:v>EOW-AR-CT-C-B-TECH-2-B2-BRK-G0</x:v>
      </x:c>
      <x:c r="C145" s="9" t="str">
        <x:v>AR-CT-C-B-TECH-2-B2-BRK-G0</x:v>
      </x:c>
      <x:c r="D145" s="9" t="str">
        <x:v>CT-C-B-TECH-2</x:v>
      </x:c>
      <x:c r="E145" s="9" t="str">
        <x:v>CT-C-B</x:v>
      </x:c>
      <x:c r="F145" s="9" t="str">
        <x:v>B2</x:v>
      </x:c>
      <x:c r="G145" s="9" t="str">
        <x:v>BRK</x:v>
      </x:c>
      <x:c r="H145" s="9" t="n">
        <x:v>6</x:v>
      </x:c>
      <x:c r="I145" s="9" t="n">
        <x:v>4</x:v>
      </x:c>
      <x:c r="J145" s="9" t="str">
        <x:v>CT-C-B-N3</x:v>
      </x:c>
      <x:c r="K145" s="9" t="str">
        <x:v>FX-CT-C-B-TECH-2-F2</x:v>
      </x:c>
      <x:c r="L145" s="9" t="n">
        <x:v>282</x:v>
      </x:c>
      <x:c r="M145" s="9" t="n">
        <x:v>1</x:v>
      </x:c>
      <x:c r="N145" s="9" t="n">
        <x:v>0</x:v>
      </x:c>
      <x:c r="O145" s="9" t="n">
        <x:v>10</x:v>
      </x:c>
      <x:c r="P145" s="9" t="n">
        <x:f>SUMIFS('Start Controls'!$P$7:$P$1446,'Start Controls'!$B$7:$B$1446,A145)</x:f>
        <x:v>0</x:v>
      </x:c>
      <x:c r="Q145" s="9" t="n">
        <x:v>0</x:v>
      </x:c>
      <x:c r="R145" s="9" t="n">
        <x:v>8</x:v>
      </x:c>
      <x:c r="S145" s="9" t="n">
        <x:f>SUMIFS('Raw Custody'!$M$7:$M$1158,'Raw Custody'!$B$7:$B$1158,A145)</x:f>
        <x:v>0</x:v>
      </x:c>
      <x:c r="T145" s="9" t="n">
        <x:v>12</x:v>
      </x:c>
      <x:c r="U145" s="9" t="n">
        <x:f>SUMIFS('Observation Gates'!$L$7:$L$1734,'Observation Gates'!$B$7:$B$1734,A145)</x:f>
        <x:v>0</x:v>
      </x:c>
      <x:c r="V145" s="9" t="str">
        <x:v>UNFILED</x:v>
      </x:c>
      <x:c r="W145" s="9" t="n">
        <x:v>0</x:v>
      </x:c>
      <x:c r="X145" s="9" t="n">
        <x:v>0</x:v>
      </x:c>
      <x:c r="Y145" s="9" t="n">
        <x:v>16</x:v>
      </x:c>
      <x:c r="Z145" s="9" t="n">
        <x:f>SUMIFS('Disclosure Packets'!$M$7:$M$2310,'Disclosure Packets'!$C$7:$C$2310,A145)</x:f>
        <x:v>0</x:v>
      </x:c>
      <x:c r="AA145" s="9" t="n">
        <x:v>0</x:v>
      </x:c>
      <x:c r="AB145" s="9" t="str">
        <x:f>IF(N145=0,"PLANNED / BLOCKED",IF(P145&lt;O145,"EOW / START BLOCKED",IF(Q145=0,"ARMED / UNSTARTED",IF(S145&lt;R145,"STARTED / RAW UNSEALED",IF(U145&lt;T145,"SEALED / OBSERVATION OPEN",IF(X145=0,"OBSERVED / UNJUDGED",IF(Z145&lt;Y145,"JUDGED / DISCLOSURE HELD",IF(AA145=0,"COMPLETE / EMBARGOED","PUBLIC / TERMINAL"))))))))</x:f>
        <x:v>PLANNED / BLOCKED</x:v>
      </x:c>
      <x:c r="AC145" s="9" t="n">
        <x:f>COUNTIFS($A$7:$A$150,A145)</x:f>
        <x:v>1</x:v>
      </x:c>
      <x:c r="AD145" s="9" t="n">
        <x:f>COUNTIFS($H$7:$H$150,H145,$I$7:$I$150,I145)</x:f>
        <x:v>6</x:v>
      </x:c>
      <x:c r="AE145" s="9" t="n">
        <x:f>COUNTIFS($H$7:$H$150,H145,$I$7:$I$150,I145,$J$7:$J$150,J145)</x:f>
        <x:v>1</x:v>
      </x:c>
    </x:row>
    <x:row r="146">
      <x:c r="A146" s="9" t="str">
        <x:v>EV-AR-ET-A-A-TECH-2-B1-RCN-G0</x:v>
      </x:c>
      <x:c r="B146" s="9" t="str">
        <x:v>EOW-AR-ET-A-A-TECH-2-B1-RCN-G0</x:v>
      </x:c>
      <x:c r="C146" s="9" t="str">
        <x:v>AR-ET-A-A-TECH-2-B1-RCN-G0</x:v>
      </x:c>
      <x:c r="D146" s="9" t="str">
        <x:v>ET-A-A-TECH-2</x:v>
      </x:c>
      <x:c r="E146" s="9" t="str">
        <x:v>ET-A-A</x:v>
      </x:c>
      <x:c r="F146" s="9" t="str">
        <x:v>B1</x:v>
      </x:c>
      <x:c r="G146" s="9" t="str">
        <x:v>RCN</x:v>
      </x:c>
      <x:c r="H146" s="9" t="n">
        <x:v>6</x:v>
      </x:c>
      <x:c r="I146" s="9" t="n">
        <x:v>4</x:v>
      </x:c>
      <x:c r="J146" s="9" t="str">
        <x:v>ET-A-A-N3</x:v>
      </x:c>
      <x:c r="K146" s="9" t="str">
        <x:v>FX-ET-A-A-TECH-2-F2</x:v>
      </x:c>
      <x:c r="L146" s="9" t="n">
        <x:v>282</x:v>
      </x:c>
      <x:c r="M146" s="9" t="n">
        <x:v>1</x:v>
      </x:c>
      <x:c r="N146" s="9" t="n">
        <x:v>0</x:v>
      </x:c>
      <x:c r="O146" s="9" t="n">
        <x:v>10</x:v>
      </x:c>
      <x:c r="P146" s="9" t="n">
        <x:f>SUMIFS('Start Controls'!$P$7:$P$1446,'Start Controls'!$B$7:$B$1446,A146)</x:f>
        <x:v>0</x:v>
      </x:c>
      <x:c r="Q146" s="9" t="n">
        <x:v>0</x:v>
      </x:c>
      <x:c r="R146" s="9" t="n">
        <x:v>8</x:v>
      </x:c>
      <x:c r="S146" s="9" t="n">
        <x:f>SUMIFS('Raw Custody'!$M$7:$M$1158,'Raw Custody'!$B$7:$B$1158,A146)</x:f>
        <x:v>0</x:v>
      </x:c>
      <x:c r="T146" s="9" t="n">
        <x:v>12</x:v>
      </x:c>
      <x:c r="U146" s="9" t="n">
        <x:f>SUMIFS('Observation Gates'!$L$7:$L$1734,'Observation Gates'!$B$7:$B$1734,A146)</x:f>
        <x:v>0</x:v>
      </x:c>
      <x:c r="V146" s="9" t="str">
        <x:v>UNFILED</x:v>
      </x:c>
      <x:c r="W146" s="9" t="n">
        <x:v>0</x:v>
      </x:c>
      <x:c r="X146" s="9" t="n">
        <x:v>0</x:v>
      </x:c>
      <x:c r="Y146" s="9" t="n">
        <x:v>16</x:v>
      </x:c>
      <x:c r="Z146" s="9" t="n">
        <x:f>SUMIFS('Disclosure Packets'!$M$7:$M$2310,'Disclosure Packets'!$C$7:$C$2310,A146)</x:f>
        <x:v>0</x:v>
      </x:c>
      <x:c r="AA146" s="9" t="n">
        <x:v>0</x:v>
      </x:c>
      <x:c r="AB146" s="9" t="str">
        <x:f>IF(N146=0,"PLANNED / BLOCKED",IF(P146&lt;O146,"EOW / START BLOCKED",IF(Q146=0,"ARMED / UNSTARTED",IF(S146&lt;R146,"STARTED / RAW UNSEALED",IF(U146&lt;T146,"SEALED / OBSERVATION OPEN",IF(X146=0,"OBSERVED / UNJUDGED",IF(Z146&lt;Y146,"JUDGED / DISCLOSURE HELD",IF(AA146=0,"COMPLETE / EMBARGOED","PUBLIC / TERMINAL"))))))))</x:f>
        <x:v>PLANNED / BLOCKED</x:v>
      </x:c>
      <x:c r="AC146" s="9" t="n">
        <x:f>COUNTIFS($A$7:$A$150,A146)</x:f>
        <x:v>1</x:v>
      </x:c>
      <x:c r="AD146" s="9" t="n">
        <x:f>COUNTIFS($H$7:$H$150,H146,$I$7:$I$150,I146)</x:f>
        <x:v>6</x:v>
      </x:c>
      <x:c r="AE146" s="9" t="n">
        <x:f>COUNTIFS($H$7:$H$150,H146,$I$7:$I$150,I146,$J$7:$J$150,J146)</x:f>
        <x:v>1</x:v>
      </x:c>
    </x:row>
    <x:row r="147">
      <x:c r="A147" s="9" t="str">
        <x:v>EV-AR-HC-A-C-TECH-2-B1-BRK-G0</x:v>
      </x:c>
      <x:c r="B147" s="9" t="str">
        <x:v>EOW-AR-HC-A-C-TECH-2-B1-BRK-G0</x:v>
      </x:c>
      <x:c r="C147" s="9" t="str">
        <x:v>AR-HC-A-C-TECH-2-B1-BRK-G0</x:v>
      </x:c>
      <x:c r="D147" s="9" t="str">
        <x:v>HC-A-C-TECH-2</x:v>
      </x:c>
      <x:c r="E147" s="9" t="str">
        <x:v>HC-A-C</x:v>
      </x:c>
      <x:c r="F147" s="9" t="str">
        <x:v>B1</x:v>
      </x:c>
      <x:c r="G147" s="9" t="str">
        <x:v>BRK</x:v>
      </x:c>
      <x:c r="H147" s="9" t="n">
        <x:v>6</x:v>
      </x:c>
      <x:c r="I147" s="9" t="n">
        <x:v>4</x:v>
      </x:c>
      <x:c r="J147" s="9" t="str">
        <x:v>HC-A-C-N2</x:v>
      </x:c>
      <x:c r="K147" s="9" t="str">
        <x:v>FX-HC-A-C-TECH-2-F1</x:v>
      </x:c>
      <x:c r="L147" s="9" t="n">
        <x:v>282</x:v>
      </x:c>
      <x:c r="M147" s="9" t="n">
        <x:v>1</x:v>
      </x:c>
      <x:c r="N147" s="9" t="n">
        <x:v>0</x:v>
      </x:c>
      <x:c r="O147" s="9" t="n">
        <x:v>10</x:v>
      </x:c>
      <x:c r="P147" s="9" t="n">
        <x:f>SUMIFS('Start Controls'!$P$7:$P$1446,'Start Controls'!$B$7:$B$1446,A147)</x:f>
        <x:v>0</x:v>
      </x:c>
      <x:c r="Q147" s="9" t="n">
        <x:v>0</x:v>
      </x:c>
      <x:c r="R147" s="9" t="n">
        <x:v>8</x:v>
      </x:c>
      <x:c r="S147" s="9" t="n">
        <x:f>SUMIFS('Raw Custody'!$M$7:$M$1158,'Raw Custody'!$B$7:$B$1158,A147)</x:f>
        <x:v>0</x:v>
      </x:c>
      <x:c r="T147" s="9" t="n">
        <x:v>12</x:v>
      </x:c>
      <x:c r="U147" s="9" t="n">
        <x:f>SUMIFS('Observation Gates'!$L$7:$L$1734,'Observation Gates'!$B$7:$B$1734,A147)</x:f>
        <x:v>0</x:v>
      </x:c>
      <x:c r="V147" s="9" t="str">
        <x:v>UNFILED</x:v>
      </x:c>
      <x:c r="W147" s="9" t="n">
        <x:v>0</x:v>
      </x:c>
      <x:c r="X147" s="9" t="n">
        <x:v>0</x:v>
      </x:c>
      <x:c r="Y147" s="9" t="n">
        <x:v>16</x:v>
      </x:c>
      <x:c r="Z147" s="9" t="n">
        <x:f>SUMIFS('Disclosure Packets'!$M$7:$M$2310,'Disclosure Packets'!$C$7:$C$2310,A147)</x:f>
        <x:v>0</x:v>
      </x:c>
      <x:c r="AA147" s="9" t="n">
        <x:v>0</x:v>
      </x:c>
      <x:c r="AB147" s="9" t="str">
        <x:f>IF(N147=0,"PLANNED / BLOCKED",IF(P147&lt;O147,"EOW / START BLOCKED",IF(Q147=0,"ARMED / UNSTARTED",IF(S147&lt;R147,"STARTED / RAW UNSEALED",IF(U147&lt;T147,"SEALED / OBSERVATION OPEN",IF(X147=0,"OBSERVED / UNJUDGED",IF(Z147&lt;Y147,"JUDGED / DISCLOSURE HELD",IF(AA147=0,"COMPLETE / EMBARGOED","PUBLIC / TERMINAL"))))))))</x:f>
        <x:v>PLANNED / BLOCKED</x:v>
      </x:c>
      <x:c r="AC147" s="9" t="n">
        <x:f>COUNTIFS($A$7:$A$150,A147)</x:f>
        <x:v>1</x:v>
      </x:c>
      <x:c r="AD147" s="9" t="n">
        <x:f>COUNTIFS($H$7:$H$150,H147,$I$7:$I$150,I147)</x:f>
        <x:v>6</x:v>
      </x:c>
      <x:c r="AE147" s="9" t="n">
        <x:f>COUNTIFS($H$7:$H$150,H147,$I$7:$I$150,I147,$J$7:$J$150,J147)</x:f>
        <x:v>1</x:v>
      </x:c>
    </x:row>
    <x:row r="148">
      <x:c r="A148" s="9" t="str">
        <x:v>EV-AR-HU-A-B-TECH-2-B1-INT-G0</x:v>
      </x:c>
      <x:c r="B148" s="9" t="str">
        <x:v>EOW-AR-HU-A-B-TECH-2-B1-INT-G0</x:v>
      </x:c>
      <x:c r="C148" s="9" t="str">
        <x:v>AR-HU-A-B-TECH-2-B1-INT-G0</x:v>
      </x:c>
      <x:c r="D148" s="9" t="str">
        <x:v>HU-A-B-TECH-2</x:v>
      </x:c>
      <x:c r="E148" s="9" t="str">
        <x:v>HU-A-B</x:v>
      </x:c>
      <x:c r="F148" s="9" t="str">
        <x:v>B1</x:v>
      </x:c>
      <x:c r="G148" s="9" t="str">
        <x:v>INT</x:v>
      </x:c>
      <x:c r="H148" s="9" t="n">
        <x:v>6</x:v>
      </x:c>
      <x:c r="I148" s="9" t="n">
        <x:v>4</x:v>
      </x:c>
      <x:c r="J148" s="9" t="str">
        <x:v>HU-A-B-N3</x:v>
      </x:c>
      <x:c r="K148" s="9" t="str">
        <x:v>FX-HU-A-B-TECH-2-F2</x:v>
      </x:c>
      <x:c r="L148" s="9" t="n">
        <x:v>282</x:v>
      </x:c>
      <x:c r="M148" s="9" t="n">
        <x:v>0</x:v>
      </x:c>
      <x:c r="N148" s="9" t="n">
        <x:v>0</x:v>
      </x:c>
      <x:c r="O148" s="9" t="n">
        <x:v>10</x:v>
      </x:c>
      <x:c r="P148" s="9" t="n">
        <x:f>SUMIFS('Start Controls'!$P$7:$P$1446,'Start Controls'!$B$7:$B$1446,A148)</x:f>
        <x:v>0</x:v>
      </x:c>
      <x:c r="Q148" s="9" t="n">
        <x:v>0</x:v>
      </x:c>
      <x:c r="R148" s="9" t="n">
        <x:v>8</x:v>
      </x:c>
      <x:c r="S148" s="9" t="n">
        <x:f>SUMIFS('Raw Custody'!$M$7:$M$1158,'Raw Custody'!$B$7:$B$1158,A148)</x:f>
        <x:v>0</x:v>
      </x:c>
      <x:c r="T148" s="9" t="n">
        <x:v>12</x:v>
      </x:c>
      <x:c r="U148" s="9" t="n">
        <x:f>SUMIFS('Observation Gates'!$L$7:$L$1734,'Observation Gates'!$B$7:$B$1734,A148)</x:f>
        <x:v>0</x:v>
      </x:c>
      <x:c r="V148" s="9" t="str">
        <x:v>UNFILED</x:v>
      </x:c>
      <x:c r="W148" s="9" t="n">
        <x:v>0</x:v>
      </x:c>
      <x:c r="X148" s="9" t="n">
        <x:v>0</x:v>
      </x:c>
      <x:c r="Y148" s="9" t="n">
        <x:v>16</x:v>
      </x:c>
      <x:c r="Z148" s="9" t="n">
        <x:f>SUMIFS('Disclosure Packets'!$M$7:$M$2310,'Disclosure Packets'!$C$7:$C$2310,A148)</x:f>
        <x:v>0</x:v>
      </x:c>
      <x:c r="AA148" s="9" t="n">
        <x:v>0</x:v>
      </x:c>
      <x:c r="AB148" s="9" t="str">
        <x:f>IF(N148=0,"PLANNED / BLOCKED",IF(P148&lt;O148,"EOW / START BLOCKED",IF(Q148=0,"ARMED / UNSTARTED",IF(S148&lt;R148,"STARTED / RAW UNSEALED",IF(U148&lt;T148,"SEALED / OBSERVATION OPEN",IF(X148=0,"OBSERVED / UNJUDGED",IF(Z148&lt;Y148,"JUDGED / DISCLOSURE HELD",IF(AA148=0,"COMPLETE / EMBARGOED","PUBLIC / TERMINAL"))))))))</x:f>
        <x:v>PLANNED / BLOCKED</x:v>
      </x:c>
      <x:c r="AC148" s="9" t="n">
        <x:f>COUNTIFS($A$7:$A$150,A148)</x:f>
        <x:v>1</x:v>
      </x:c>
      <x:c r="AD148" s="9" t="n">
        <x:f>COUNTIFS($H$7:$H$150,H148,$I$7:$I$150,I148)</x:f>
        <x:v>6</x:v>
      </x:c>
      <x:c r="AE148" s="9" t="n">
        <x:f>COUNTIFS($H$7:$H$150,H148,$I$7:$I$150,I148,$J$7:$J$150,J148)</x:f>
        <x:v>1</x:v>
      </x:c>
    </x:row>
    <x:row r="149">
      <x:c r="A149" s="9" t="str">
        <x:v>EV-AR-LF-B-A-TECH-1-B1-BRK-G0</x:v>
      </x:c>
      <x:c r="B149" s="9" t="str">
        <x:v>EOW-AR-LF-B-A-TECH-1-B1-BRK-G0</x:v>
      </x:c>
      <x:c r="C149" s="9" t="str">
        <x:v>AR-LF-B-A-TECH-1-B1-BRK-G0</x:v>
      </x:c>
      <x:c r="D149" s="9" t="str">
        <x:v>LF-B-A-TECH-1</x:v>
      </x:c>
      <x:c r="E149" s="9" t="str">
        <x:v>LF-B-A</x:v>
      </x:c>
      <x:c r="F149" s="9" t="str">
        <x:v>B1</x:v>
      </x:c>
      <x:c r="G149" s="9" t="str">
        <x:v>BRK</x:v>
      </x:c>
      <x:c r="H149" s="9" t="n">
        <x:v>6</x:v>
      </x:c>
      <x:c r="I149" s="9" t="n">
        <x:v>4</x:v>
      </x:c>
      <x:c r="J149" s="9" t="str">
        <x:v>LF-B-A-N2</x:v>
      </x:c>
      <x:c r="K149" s="9" t="str">
        <x:v>FX-LF-B-A-TECH-1-F2</x:v>
      </x:c>
      <x:c r="L149" s="9" t="n">
        <x:v>282</x:v>
      </x:c>
      <x:c r="M149" s="9" t="n">
        <x:v>1</x:v>
      </x:c>
      <x:c r="N149" s="9" t="n">
        <x:v>0</x:v>
      </x:c>
      <x:c r="O149" s="9" t="n">
        <x:v>10</x:v>
      </x:c>
      <x:c r="P149" s="9" t="n">
        <x:f>SUMIFS('Start Controls'!$P$7:$P$1446,'Start Controls'!$B$7:$B$1446,A149)</x:f>
        <x:v>0</x:v>
      </x:c>
      <x:c r="Q149" s="9" t="n">
        <x:v>0</x:v>
      </x:c>
      <x:c r="R149" s="9" t="n">
        <x:v>8</x:v>
      </x:c>
      <x:c r="S149" s="9" t="n">
        <x:f>SUMIFS('Raw Custody'!$M$7:$M$1158,'Raw Custody'!$B$7:$B$1158,A149)</x:f>
        <x:v>0</x:v>
      </x:c>
      <x:c r="T149" s="9" t="n">
        <x:v>12</x:v>
      </x:c>
      <x:c r="U149" s="9" t="n">
        <x:f>SUMIFS('Observation Gates'!$L$7:$L$1734,'Observation Gates'!$B$7:$B$1734,A149)</x:f>
        <x:v>0</x:v>
      </x:c>
      <x:c r="V149" s="9" t="str">
        <x:v>UNFILED</x:v>
      </x:c>
      <x:c r="W149" s="9" t="n">
        <x:v>0</x:v>
      </x:c>
      <x:c r="X149" s="9" t="n">
        <x:v>0</x:v>
      </x:c>
      <x:c r="Y149" s="9" t="n">
        <x:v>16</x:v>
      </x:c>
      <x:c r="Z149" s="9" t="n">
        <x:f>SUMIFS('Disclosure Packets'!$M$7:$M$2310,'Disclosure Packets'!$C$7:$C$2310,A149)</x:f>
        <x:v>0</x:v>
      </x:c>
      <x:c r="AA149" s="9" t="n">
        <x:v>0</x:v>
      </x:c>
      <x:c r="AB149" s="9" t="str">
        <x:f>IF(N149=0,"PLANNED / BLOCKED",IF(P149&lt;O149,"EOW / START BLOCKED",IF(Q149=0,"ARMED / UNSTARTED",IF(S149&lt;R149,"STARTED / RAW UNSEALED",IF(U149&lt;T149,"SEALED / OBSERVATION OPEN",IF(X149=0,"OBSERVED / UNJUDGED",IF(Z149&lt;Y149,"JUDGED / DISCLOSURE HELD",IF(AA149=0,"COMPLETE / EMBARGOED","PUBLIC / TERMINAL"))))))))</x:f>
        <x:v>PLANNED / BLOCKED</x:v>
      </x:c>
      <x:c r="AC149" s="9" t="n">
        <x:f>COUNTIFS($A$7:$A$150,A149)</x:f>
        <x:v>1</x:v>
      </x:c>
      <x:c r="AD149" s="9" t="n">
        <x:f>COUNTIFS($H$7:$H$150,H149,$I$7:$I$150,I149)</x:f>
        <x:v>6</x:v>
      </x:c>
      <x:c r="AE149" s="9" t="n">
        <x:f>COUNTIFS($H$7:$H$150,H149,$I$7:$I$150,I149,$J$7:$J$150,J149)</x:f>
        <x:v>1</x:v>
      </x:c>
    </x:row>
    <x:row r="150">
      <x:c r="A150" s="9" t="str">
        <x:v>EV-AR-RT-B-C-TECH-3-B1-RCN-G0</x:v>
      </x:c>
      <x:c r="B150" s="9" t="str">
        <x:v>EOW-AR-RT-B-C-TECH-3-B1-RCN-G0</x:v>
      </x:c>
      <x:c r="C150" s="9" t="str">
        <x:v>AR-RT-B-C-TECH-3-B1-RCN-G0</x:v>
      </x:c>
      <x:c r="D150" s="9" t="str">
        <x:v>RT-B-C-TECH-3</x:v>
      </x:c>
      <x:c r="E150" s="9" t="str">
        <x:v>RT-B-C</x:v>
      </x:c>
      <x:c r="F150" s="9" t="str">
        <x:v>B1</x:v>
      </x:c>
      <x:c r="G150" s="9" t="str">
        <x:v>RCN</x:v>
      </x:c>
      <x:c r="H150" s="9" t="n">
        <x:v>6</x:v>
      </x:c>
      <x:c r="I150" s="9" t="n">
        <x:v>4</x:v>
      </x:c>
      <x:c r="J150" s="9" t="str">
        <x:v>RT-B-C-N3</x:v>
      </x:c>
      <x:c r="K150" s="9" t="str">
        <x:v>FX-RT-B-C-TECH-3-F1</x:v>
      </x:c>
      <x:c r="L150" s="9" t="n">
        <x:v>282</x:v>
      </x:c>
      <x:c r="M150" s="9" t="n">
        <x:v>1</x:v>
      </x:c>
      <x:c r="N150" s="9" t="n">
        <x:v>0</x:v>
      </x:c>
      <x:c r="O150" s="9" t="n">
        <x:v>10</x:v>
      </x:c>
      <x:c r="P150" s="9" t="n">
        <x:f>SUMIFS('Start Controls'!$P$7:$P$1446,'Start Controls'!$B$7:$B$1446,A150)</x:f>
        <x:v>0</x:v>
      </x:c>
      <x:c r="Q150" s="9" t="n">
        <x:v>0</x:v>
      </x:c>
      <x:c r="R150" s="9" t="n">
        <x:v>8</x:v>
      </x:c>
      <x:c r="S150" s="9" t="n">
        <x:f>SUMIFS('Raw Custody'!$M$7:$M$1158,'Raw Custody'!$B$7:$B$1158,A150)</x:f>
        <x:v>0</x:v>
      </x:c>
      <x:c r="T150" s="9" t="n">
        <x:v>12</x:v>
      </x:c>
      <x:c r="U150" s="9" t="n">
        <x:f>SUMIFS('Observation Gates'!$L$7:$L$1734,'Observation Gates'!$B$7:$B$1734,A150)</x:f>
        <x:v>0</x:v>
      </x:c>
      <x:c r="V150" s="9" t="str">
        <x:v>UNFILED</x:v>
      </x:c>
      <x:c r="W150" s="9" t="n">
        <x:v>0</x:v>
      </x:c>
      <x:c r="X150" s="9" t="n">
        <x:v>0</x:v>
      </x:c>
      <x:c r="Y150" s="9" t="n">
        <x:v>16</x:v>
      </x:c>
      <x:c r="Z150" s="9" t="n">
        <x:f>SUMIFS('Disclosure Packets'!$M$7:$M$2310,'Disclosure Packets'!$C$7:$C$2310,A150)</x:f>
        <x:v>0</x:v>
      </x:c>
      <x:c r="AA150" s="9" t="n">
        <x:v>0</x:v>
      </x:c>
      <x:c r="AB150" s="9" t="str">
        <x:f>IF(N150=0,"PLANNED / BLOCKED",IF(P150&lt;O150,"EOW / START BLOCKED",IF(Q150=0,"ARMED / UNSTARTED",IF(S150&lt;R150,"STARTED / RAW UNSEALED",IF(U150&lt;T150,"SEALED / OBSERVATION OPEN",IF(X150=0,"OBSERVED / UNJUDGED",IF(Z150&lt;Y150,"JUDGED / DISCLOSURE HELD",IF(AA150=0,"COMPLETE / EMBARGOED","PUBLIC / TERMINAL"))))))))</x:f>
        <x:v>PLANNED / BLOCKED</x:v>
      </x:c>
      <x:c r="AC150" s="9" t="n">
        <x:f>COUNTIFS($A$7:$A$150,A150)</x:f>
        <x:v>1</x:v>
      </x:c>
      <x:c r="AD150" s="9" t="n">
        <x:f>COUNTIFS($H$7:$H$150,H150,$I$7:$I$150,I150)</x:f>
        <x:v>6</x:v>
      </x:c>
      <x:c r="AE150" s="9" t="n">
        <x:f>COUNTIFS($H$7:$H$150,H150,$I$7:$I$150,I150,$J$7:$J$150,J150)</x:f>
        <x:v>1</x:v>
      </x:c>
    </x:row>
  </x:sheetData>
  <x:conditionalFormatting sqref="AB7:AB150">
    <x:cfRule type="containsText" dxfId="128" priority="1" operator="containsText" text="OPEN"/>
    <x:cfRule type="containsText" dxfId="129" priority="2" operator="containsText" text="BLOCKED"/>
    <x:cfRule type="containsText" dxfId="130" priority="3" operator="containsText" text="UNSTARTED"/>
    <x:cfRule type="containsText" dxfId="131" priority="4" operator="containsText" text="UNSEALED"/>
    <x:cfRule type="containsText" dxfId="132" priority="5" operator="containsText" text="UNACCEPTED"/>
    <x:cfRule type="containsText" dxfId="133" priority="6" operator="containsText" text="UNFILED"/>
    <x:cfRule type="containsText" dxfId="134" priority="7" operator="containsText" text="UNJUDGED"/>
    <x:cfRule type="containsText" dxfId="135" priority="8" operator="containsText" text="UNRELEASED"/>
    <x:cfRule type="containsText" dxfId="136" priority="9" operator="containsText" text="HELD"/>
    <x:cfRule type="containsText" dxfId="137" priority="10" operator="containsText" text="PENDING"/>
    <x:cfRule type="containsText" dxfId="138" priority="11" operator="containsText" text="SOURCE-EMPTY"/>
    <x:cfRule type="containsText" dxfId="139" priority="12" operator="containsText" text="FAIL"/>
    <x:cfRule type="containsText" dxfId="140" priority="13" operator="containsText" text="TERMINATE"/>
    <x:cfRule type="containsText" dxfId="141" priority="14" operator="containsText" text="PROHIBITED"/>
    <x:cfRule type="containsText" dxfId="142" priority="15" operator="containsText" text="BREACH"/>
    <x:cfRule type="containsText" dxfId="143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00308c5374074f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54" hidden="0" customWidth="1"/>
    <x:col min="2" max="2" width="48" hidden="0" customWidth="1"/>
    <x:col min="3" max="3" width="48" hidden="0" customWidth="1"/>
    <x:col min="4" max="4" width="42" hidden="0" customWidth="1"/>
    <x:col min="5" max="5" width="24" hidden="0" customWidth="1"/>
    <x:col min="6" max="6" width="13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20" hidden="0" customWidth="1"/>
    <x:col min="12" max="12" width="10" hidden="0" customWidth="1"/>
    <x:col min="13" max="13" width="30" hidden="0" customWidth="1"/>
    <x:col min="14" max="14" width="58" hidden="0" customWidth="1"/>
    <x:col min="15" max="15" width="24" hidden="0" customWidth="1"/>
    <x:col min="16" max="16" width="12" hidden="0" customWidth="1"/>
    <x:col min="17" max="17" width="18" hidden="0" customWidth="1"/>
    <x:col min="18" max="18" width="24" hidden="0" customWidth="1"/>
    <x:col min="19" max="19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</x:row>
    <x:row r="2">
      <x:c r="A2" s="31" t="str">
        <x:v>Ten non-performance controls before authorized start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</x:row>
    <x:row r="6" ht="34" customHeight="1">
      <x:c r="A6" s="35" t="str">
        <x:v>Control record</x:v>
      </x:c>
      <x:c r="B6" s="35" t="str">
        <x:v>Event</x:v>
      </x:c>
      <x:c r="C6" s="35" t="str">
        <x:v>Opportunity</x:v>
      </x:c>
      <x:c r="D6" s="35" t="str">
        <x:v>Serial</x:v>
      </x:c>
      <x:c r="E6" s="35" t="str">
        <x:v>Order</x:v>
      </x:c>
      <x:c r="F6" s="35" t="str">
        <x:v>Form</x:v>
      </x:c>
      <x:c r="G6" s="35" t="str">
        <x:v>Builder</x:v>
      </x:c>
      <x:c r="H6" s="35" t="str">
        <x:v>Role</x:v>
      </x:c>
      <x:c r="I6" s="35" t="str">
        <x:v>Epoch</x:v>
      </x:c>
      <x:c r="J6" s="35" t="str">
        <x:v>Window</x:v>
      </x:c>
      <x:c r="K6" s="35" t="str">
        <x:v>Site</x:v>
      </x:c>
      <x:c r="L6" s="35" t="str">
        <x:v>Control</x:v>
      </x:c>
      <x:c r="M6" s="35" t="str">
        <x:v>Object</x:v>
      </x:c>
      <x:c r="N6" s="35" t="str">
        <x:v>Closure rule</x:v>
      </x:c>
      <x:c r="O6" s="35" t="str">
        <x:v>Authority</x:v>
      </x:c>
      <x:c r="P6" s="35" t="str">
        <x:v>Closed</x:v>
      </x:c>
      <x:c r="Q6" s="35" t="str">
        <x:v>Outcome metrics</x:v>
      </x:c>
      <x:c r="R6" s="35" t="str">
        <x:v>State</x:v>
      </x:c>
      <x:c r="S6" s="35" t="str">
        <x:v>Record multiplicity</x:v>
      </x:c>
    </x:row>
    <x:row r="7">
      <x:c r="A7" s="9" t="str">
        <x:v>EV-AR-CT-C-B-TECH-1-B2-RCN-G0-ST01</x:v>
      </x:c>
      <x:c r="B7" s="9" t="str">
        <x:v>EV-AR-CT-C-B-TECH-1-B2-RCN-G0</x:v>
      </x:c>
      <x:c r="C7" s="9" t="str">
        <x:v>EOW-AR-CT-C-B-TECH-1-B2-RCN-G0</x:v>
      </x:c>
      <x:c r="D7" s="9" t="str">
        <x:v>AR-CT-C-B-TECH-1-B2-RCN-G0</x:v>
      </x:c>
      <x:c r="E7" s="9" t="str">
        <x:v>CT-C-B-TECH-1</x:v>
      </x:c>
      <x:c r="F7" s="9" t="str">
        <x:v>CT-C-B</x:v>
      </x:c>
      <x:c r="G7" s="9" t="str">
        <x:v>B2</x:v>
      </x:c>
      <x:c r="H7" s="9" t="str">
        <x:v>RCN</x:v>
      </x:c>
      <x:c r="I7" s="9" t="n">
        <x:v>1</x:v>
      </x:c>
      <x:c r="J7" s="9" t="n">
        <x:v>1</x:v>
      </x:c>
      <x:c r="K7" s="9" t="str">
        <x:v>CT-C-B-N2</x:v>
      </x:c>
      <x:c r="L7" s="9" t="str">
        <x:v>ST01</x:v>
      </x:c>
      <x:c r="M7" s="17" t="str">
        <x:v>Active opportunity warrant</x:v>
      </x:c>
      <x:c r="N7" s="17" t="str">
        <x:v>configuration-bound EOW is within its thirty-six-hour validity</x:v>
      </x:c>
      <x:c r="O7" s="17" t="str">
        <x:v>Start registrar</x:v>
      </x:c>
      <x:c r="P7" s="9" t="n">
        <x:v>0</x:v>
      </x:c>
      <x:c r="Q7" s="9" t="n">
        <x:v>0</x:v>
      </x:c>
      <x:c r="R7" s="9" t="str">
        <x:v>OPEN / UNSTARTED</x:v>
      </x:c>
      <x:c r="S7" s="9" t="n">
        <x:f>COUNTIFS($A$7:$A$1446,A7)</x:f>
        <x:v>1</x:v>
      </x:c>
    </x:row>
    <x:row r="8">
      <x:c r="A8" s="9" t="str">
        <x:v>EV-AR-CT-C-B-TECH-1-B2-RCN-G0-ST02</x:v>
      </x:c>
      <x:c r="B8" s="9" t="str">
        <x:v>EV-AR-CT-C-B-TECH-1-B2-RCN-G0</x:v>
      </x:c>
      <x:c r="C8" s="9" t="str">
        <x:v>EOW-AR-CT-C-B-TECH-1-B2-RCN-G0</x:v>
      </x:c>
      <x:c r="D8" s="9" t="str">
        <x:v>AR-CT-C-B-TECH-1-B2-RCN-G0</x:v>
      </x:c>
      <x:c r="E8" s="9" t="str">
        <x:v>CT-C-B-TECH-1</x:v>
      </x:c>
      <x:c r="F8" s="9" t="str">
        <x:v>CT-C-B</x:v>
      </x:c>
      <x:c r="G8" s="9" t="str">
        <x:v>B2</x:v>
      </x:c>
      <x:c r="H8" s="9" t="str">
        <x:v>RCN</x:v>
      </x:c>
      <x:c r="I8" s="9" t="n">
        <x:v>1</x:v>
      </x:c>
      <x:c r="J8" s="9" t="n">
        <x:v>1</x:v>
      </x:c>
      <x:c r="K8" s="9" t="str">
        <x:v>CT-C-B-N2</x:v>
      </x:c>
      <x:c r="L8" s="9" t="str">
        <x:v>ST02</x:v>
      </x:c>
      <x:c r="M8" s="17" t="str">
        <x:v>Frozen identity</x:v>
      </x:c>
      <x:c r="N8" s="17" t="str">
        <x:v>serial, generation, fixture, site, receiver and digest match the warrant</x:v>
      </x:c>
      <x:c r="O8" s="17" t="str">
        <x:v>Custody authority</x:v>
      </x:c>
      <x:c r="P8" s="9" t="n">
        <x:v>0</x:v>
      </x:c>
      <x:c r="Q8" s="9" t="n">
        <x:v>0</x:v>
      </x:c>
      <x:c r="R8" s="9" t="str">
        <x:v>OPEN / UNSTARTED</x:v>
      </x:c>
      <x:c r="S8" s="9" t="n">
        <x:f>COUNTIFS($A$7:$A$1446,A8)</x:f>
        <x:v>1</x:v>
      </x:c>
    </x:row>
    <x:row r="9">
      <x:c r="A9" s="9" t="str">
        <x:v>EV-AR-CT-C-B-TECH-1-B2-RCN-G0-ST03</x:v>
      </x:c>
      <x:c r="B9" s="9" t="str">
        <x:v>EV-AR-CT-C-B-TECH-1-B2-RCN-G0</x:v>
      </x:c>
      <x:c r="C9" s="9" t="str">
        <x:v>EOW-AR-CT-C-B-TECH-1-B2-RCN-G0</x:v>
      </x:c>
      <x:c r="D9" s="9" t="str">
        <x:v>AR-CT-C-B-TECH-1-B2-RCN-G0</x:v>
      </x:c>
      <x:c r="E9" s="9" t="str">
        <x:v>CT-C-B-TECH-1</x:v>
      </x:c>
      <x:c r="F9" s="9" t="str">
        <x:v>CT-C-B</x:v>
      </x:c>
      <x:c r="G9" s="9" t="str">
        <x:v>B2</x:v>
      </x:c>
      <x:c r="H9" s="9" t="str">
        <x:v>RCN</x:v>
      </x:c>
      <x:c r="I9" s="9" t="n">
        <x:v>1</x:v>
      </x:c>
      <x:c r="J9" s="9" t="n">
        <x:v>1</x:v>
      </x:c>
      <x:c r="K9" s="9" t="str">
        <x:v>CT-C-B-N2</x:v>
      </x:c>
      <x:c r="L9" s="9" t="str">
        <x:v>ST03</x:v>
      </x:c>
      <x:c r="M9" s="17" t="str">
        <x:v>Receiver receipt</x:v>
      </x:c>
      <x:c r="N9" s="17" t="str">
        <x:v>denominator, counterfactual, rights and stop receipt remain unchanged</x:v>
      </x:c>
      <x:c r="O9" s="17" t="str">
        <x:v>Receiver authority</x:v>
      </x:c>
      <x:c r="P9" s="9" t="n">
        <x:v>0</x:v>
      </x:c>
      <x:c r="Q9" s="9" t="n">
        <x:v>0</x:v>
      </x:c>
      <x:c r="R9" s="9" t="str">
        <x:v>OPEN / UNSTARTED</x:v>
      </x:c>
      <x:c r="S9" s="9" t="n">
        <x:f>COUNTIFS($A$7:$A$1446,A9)</x:f>
        <x:v>1</x:v>
      </x:c>
    </x:row>
    <x:row r="10">
      <x:c r="A10" s="9" t="str">
        <x:v>EV-AR-CT-C-B-TECH-1-B2-RCN-G0-ST04</x:v>
      </x:c>
      <x:c r="B10" s="9" t="str">
        <x:v>EV-AR-CT-C-B-TECH-1-B2-RCN-G0</x:v>
      </x:c>
      <x:c r="C10" s="9" t="str">
        <x:v>EOW-AR-CT-C-B-TECH-1-B2-RCN-G0</x:v>
      </x:c>
      <x:c r="D10" s="9" t="str">
        <x:v>AR-CT-C-B-TECH-1-B2-RCN-G0</x:v>
      </x:c>
      <x:c r="E10" s="9" t="str">
        <x:v>CT-C-B-TECH-1</x:v>
      </x:c>
      <x:c r="F10" s="9" t="str">
        <x:v>CT-C-B</x:v>
      </x:c>
      <x:c r="G10" s="9" t="str">
        <x:v>B2</x:v>
      </x:c>
      <x:c r="H10" s="9" t="str">
        <x:v>RCN</x:v>
      </x:c>
      <x:c r="I10" s="9" t="n">
        <x:v>1</x:v>
      </x:c>
      <x:c r="J10" s="9" t="n">
        <x:v>1</x:v>
      </x:c>
      <x:c r="K10" s="9" t="str">
        <x:v>CT-C-B-N2</x:v>
      </x:c>
      <x:c r="L10" s="9" t="str">
        <x:v>ST04</x:v>
      </x:c>
      <x:c r="M10" s="17" t="str">
        <x:v>Primary capture armed</x:v>
      </x:c>
      <x:c r="N10" s="17" t="str">
        <x:v>primary chain records sealed reference and live time</x:v>
      </x:c>
      <x:c r="O10" s="17" t="str">
        <x:v>Primary metrology</x:v>
      </x:c>
      <x:c r="P10" s="9" t="n">
        <x:v>0</x:v>
      </x:c>
      <x:c r="Q10" s="9" t="n">
        <x:v>0</x:v>
      </x:c>
      <x:c r="R10" s="9" t="str">
        <x:v>OPEN / UNSTARTED</x:v>
      </x:c>
      <x:c r="S10" s="9" t="n">
        <x:f>COUNTIFS($A$7:$A$1446,A10)</x:f>
        <x:v>1</x:v>
      </x:c>
    </x:row>
    <x:row r="11">
      <x:c r="A11" s="9" t="str">
        <x:v>EV-AR-CT-C-B-TECH-1-B2-RCN-G0-ST05</x:v>
      </x:c>
      <x:c r="B11" s="9" t="str">
        <x:v>EV-AR-CT-C-B-TECH-1-B2-RCN-G0</x:v>
      </x:c>
      <x:c r="C11" s="9" t="str">
        <x:v>EOW-AR-CT-C-B-TECH-1-B2-RCN-G0</x:v>
      </x:c>
      <x:c r="D11" s="9" t="str">
        <x:v>AR-CT-C-B-TECH-1-B2-RCN-G0</x:v>
      </x:c>
      <x:c r="E11" s="9" t="str">
        <x:v>CT-C-B-TECH-1</x:v>
      </x:c>
      <x:c r="F11" s="9" t="str">
        <x:v>CT-C-B</x:v>
      </x:c>
      <x:c r="G11" s="9" t="str">
        <x:v>B2</x:v>
      </x:c>
      <x:c r="H11" s="9" t="str">
        <x:v>RCN</x:v>
      </x:c>
      <x:c r="I11" s="9" t="n">
        <x:v>1</x:v>
      </x:c>
      <x:c r="J11" s="9" t="n">
        <x:v>1</x:v>
      </x:c>
      <x:c r="K11" s="9" t="str">
        <x:v>CT-C-B-N2</x:v>
      </x:c>
      <x:c r="L11" s="9" t="str">
        <x:v>ST05</x:v>
      </x:c>
      <x:c r="M11" s="17" t="str">
        <x:v>Witness capture armed</x:v>
      </x:c>
      <x:c r="N11" s="17" t="str">
        <x:v>unlike witness records independent reference and live time</x:v>
      </x:c>
      <x:c r="O11" s="17" t="str">
        <x:v>Witness metrology</x:v>
      </x:c>
      <x:c r="P11" s="9" t="n">
        <x:v>0</x:v>
      </x:c>
      <x:c r="Q11" s="9" t="n">
        <x:v>0</x:v>
      </x:c>
      <x:c r="R11" s="9" t="str">
        <x:v>OPEN / UNSTARTED</x:v>
      </x:c>
      <x:c r="S11" s="9" t="n">
        <x:f>COUNTIFS($A$7:$A$1446,A11)</x:f>
        <x:v>1</x:v>
      </x:c>
    </x:row>
    <x:row r="12">
      <x:c r="A12" s="9" t="str">
        <x:v>EV-AR-CT-C-B-TECH-1-B2-RCN-G0-ST06</x:v>
      </x:c>
      <x:c r="B12" s="9" t="str">
        <x:v>EV-AR-CT-C-B-TECH-1-B2-RCN-G0</x:v>
      </x:c>
      <x:c r="C12" s="9" t="str">
        <x:v>EOW-AR-CT-C-B-TECH-1-B2-RCN-G0</x:v>
      </x:c>
      <x:c r="D12" s="9" t="str">
        <x:v>AR-CT-C-B-TECH-1-B2-RCN-G0</x:v>
      </x:c>
      <x:c r="E12" s="9" t="str">
        <x:v>CT-C-B-TECH-1</x:v>
      </x:c>
      <x:c r="F12" s="9" t="str">
        <x:v>CT-C-B</x:v>
      </x:c>
      <x:c r="G12" s="9" t="str">
        <x:v>B2</x:v>
      </x:c>
      <x:c r="H12" s="9" t="str">
        <x:v>RCN</x:v>
      </x:c>
      <x:c r="I12" s="9" t="n">
        <x:v>1</x:v>
      </x:c>
      <x:c r="J12" s="9" t="n">
        <x:v>1</x:v>
      </x:c>
      <x:c r="K12" s="9" t="str">
        <x:v>CT-C-B-N2</x:v>
      </x:c>
      <x:c r="L12" s="9" t="str">
        <x:v>ST06</x:v>
      </x:c>
      <x:c r="M12" s="17" t="str">
        <x:v>Public custody armed</x:v>
      </x:c>
      <x:c r="N12" s="17" t="str">
        <x:v>eight raw origins have separated hash and replica routes</x:v>
      </x:c>
      <x:c r="O12" s="17" t="str">
        <x:v>Custody authority</x:v>
      </x:c>
      <x:c r="P12" s="9" t="n">
        <x:v>0</x:v>
      </x:c>
      <x:c r="Q12" s="9" t="n">
        <x:v>0</x:v>
      </x:c>
      <x:c r="R12" s="9" t="str">
        <x:v>OPEN / UNSTARTED</x:v>
      </x:c>
      <x:c r="S12" s="9" t="n">
        <x:f>COUNTIFS($A$7:$A$1446,A12)</x:f>
        <x:v>1</x:v>
      </x:c>
    </x:row>
    <x:row r="13">
      <x:c r="A13" s="9" t="str">
        <x:v>EV-AR-CT-C-B-TECH-1-B2-RCN-G0-ST07</x:v>
      </x:c>
      <x:c r="B13" s="9" t="str">
        <x:v>EV-AR-CT-C-B-TECH-1-B2-RCN-G0</x:v>
      </x:c>
      <x:c r="C13" s="9" t="str">
        <x:v>EOW-AR-CT-C-B-TECH-1-B2-RCN-G0</x:v>
      </x:c>
      <x:c r="D13" s="9" t="str">
        <x:v>AR-CT-C-B-TECH-1-B2-RCN-G0</x:v>
      </x:c>
      <x:c r="E13" s="9" t="str">
        <x:v>CT-C-B-TECH-1</x:v>
      </x:c>
      <x:c r="F13" s="9" t="str">
        <x:v>CT-C-B</x:v>
      </x:c>
      <x:c r="G13" s="9" t="str">
        <x:v>B2</x:v>
      </x:c>
      <x:c r="H13" s="9" t="str">
        <x:v>RCN</x:v>
      </x:c>
      <x:c r="I13" s="9" t="n">
        <x:v>1</x:v>
      </x:c>
      <x:c r="J13" s="9" t="n">
        <x:v>1</x:v>
      </x:c>
      <x:c r="K13" s="9" t="str">
        <x:v>CT-C-B-N2</x:v>
      </x:c>
      <x:c r="L13" s="9" t="str">
        <x:v>ST07</x:v>
      </x:c>
      <x:c r="M13" s="17" t="str">
        <x:v>Environmental baseline</x:v>
      </x:c>
      <x:c r="N13" s="17" t="str">
        <x:v>pre-event boundary state is sealed before decisive operation</x:v>
      </x:c>
      <x:c r="O13" s="17" t="str">
        <x:v>Site metrology</x:v>
      </x:c>
      <x:c r="P13" s="9" t="n">
        <x:v>0</x:v>
      </x:c>
      <x:c r="Q13" s="9" t="n">
        <x:v>0</x:v>
      </x:c>
      <x:c r="R13" s="9" t="str">
        <x:v>OPEN / UNSTARTED</x:v>
      </x:c>
      <x:c r="S13" s="9" t="n">
        <x:f>COUNTIFS($A$7:$A$1446,A13)</x:f>
        <x:v>1</x:v>
      </x:c>
    </x:row>
    <x:row r="14">
      <x:c r="A14" s="9" t="str">
        <x:v>EV-AR-CT-C-B-TECH-1-B2-RCN-G0-ST08</x:v>
      </x:c>
      <x:c r="B14" s="9" t="str">
        <x:v>EV-AR-CT-C-B-TECH-1-B2-RCN-G0</x:v>
      </x:c>
      <x:c r="C14" s="9" t="str">
        <x:v>EOW-AR-CT-C-B-TECH-1-B2-RCN-G0</x:v>
      </x:c>
      <x:c r="D14" s="9" t="str">
        <x:v>AR-CT-C-B-TECH-1-B2-RCN-G0</x:v>
      </x:c>
      <x:c r="E14" s="9" t="str">
        <x:v>CT-C-B-TECH-1</x:v>
      </x:c>
      <x:c r="F14" s="9" t="str">
        <x:v>CT-C-B</x:v>
      </x:c>
      <x:c r="G14" s="9" t="str">
        <x:v>B2</x:v>
      </x:c>
      <x:c r="H14" s="9" t="str">
        <x:v>RCN</x:v>
      </x:c>
      <x:c r="I14" s="9" t="n">
        <x:v>1</x:v>
      </x:c>
      <x:c r="J14" s="9" t="n">
        <x:v>1</x:v>
      </x:c>
      <x:c r="K14" s="9" t="str">
        <x:v>CT-C-B-N2</x:v>
      </x:c>
      <x:c r="L14" s="9" t="str">
        <x:v>ST08</x:v>
      </x:c>
      <x:c r="M14" s="17" t="str">
        <x:v>Manual stop and safety</x:v>
      </x:c>
      <x:c r="N14" s="17" t="str">
        <x:v>local stop, evacuation and protection routes are active</x:v>
      </x:c>
      <x:c r="O14" s="17" t="str">
        <x:v>Safety authority</x:v>
      </x:c>
      <x:c r="P14" s="9" t="n">
        <x:v>0</x:v>
      </x:c>
      <x:c r="Q14" s="9" t="n">
        <x:v>0</x:v>
      </x:c>
      <x:c r="R14" s="9" t="str">
        <x:v>OPEN / UNSTARTED</x:v>
      </x:c>
      <x:c r="S14" s="9" t="n">
        <x:f>COUNTIFS($A$7:$A$1446,A14)</x:f>
        <x:v>1</x:v>
      </x:c>
    </x:row>
    <x:row r="15">
      <x:c r="A15" s="9" t="str">
        <x:v>EV-AR-CT-C-B-TECH-1-B2-RCN-G0-ST09</x:v>
      </x:c>
      <x:c r="B15" s="9" t="str">
        <x:v>EV-AR-CT-C-B-TECH-1-B2-RCN-G0</x:v>
      </x:c>
      <x:c r="C15" s="9" t="str">
        <x:v>EOW-AR-CT-C-B-TECH-1-B2-RCN-G0</x:v>
      </x:c>
      <x:c r="D15" s="9" t="str">
        <x:v>AR-CT-C-B-TECH-1-B2-RCN-G0</x:v>
      </x:c>
      <x:c r="E15" s="9" t="str">
        <x:v>CT-C-B-TECH-1</x:v>
      </x:c>
      <x:c r="F15" s="9" t="str">
        <x:v>CT-C-B</x:v>
      </x:c>
      <x:c r="G15" s="9" t="str">
        <x:v>B2</x:v>
      </x:c>
      <x:c r="H15" s="9" t="str">
        <x:v>RCN</x:v>
      </x:c>
      <x:c r="I15" s="9" t="n">
        <x:v>1</x:v>
      </x:c>
      <x:c r="J15" s="9" t="n">
        <x:v>1</x:v>
      </x:c>
      <x:c r="K15" s="9" t="str">
        <x:v>CT-C-B-N2</x:v>
      </x:c>
      <x:c r="L15" s="9" t="str">
        <x:v>ST09</x:v>
      </x:c>
      <x:c r="M15" s="17" t="str">
        <x:v>Operator conflict clear</x:v>
      </x:c>
      <x:c r="N15" s="17" t="str">
        <x:v>candidate, fixture, safety and measurement control edges remain separated</x:v>
      </x:c>
      <x:c r="O15" s="17" t="str">
        <x:v>Conflict registrar</x:v>
      </x:c>
      <x:c r="P15" s="9" t="n">
        <x:v>0</x:v>
      </x:c>
      <x:c r="Q15" s="9" t="n">
        <x:v>0</x:v>
      </x:c>
      <x:c r="R15" s="9" t="str">
        <x:v>OPEN / UNSTARTED</x:v>
      </x:c>
      <x:c r="S15" s="9" t="n">
        <x:f>COUNTIFS($A$7:$A$1446,A15)</x:f>
        <x:v>1</x:v>
      </x:c>
    </x:row>
    <x:row r="16">
      <x:c r="A16" s="9" t="str">
        <x:v>EV-AR-CT-C-B-TECH-1-B2-RCN-G0-ST10</x:v>
      </x:c>
      <x:c r="B16" s="9" t="str">
        <x:v>EV-AR-CT-C-B-TECH-1-B2-RCN-G0</x:v>
      </x:c>
      <x:c r="C16" s="9" t="str">
        <x:v>EOW-AR-CT-C-B-TECH-1-B2-RCN-G0</x:v>
      </x:c>
      <x:c r="D16" s="9" t="str">
        <x:v>AR-CT-C-B-TECH-1-B2-RCN-G0</x:v>
      </x:c>
      <x:c r="E16" s="9" t="str">
        <x:v>CT-C-B-TECH-1</x:v>
      </x:c>
      <x:c r="F16" s="9" t="str">
        <x:v>CT-C-B</x:v>
      </x:c>
      <x:c r="G16" s="9" t="str">
        <x:v>B2</x:v>
      </x:c>
      <x:c r="H16" s="9" t="str">
        <x:v>RCN</x:v>
      </x:c>
      <x:c r="I16" s="9" t="n">
        <x:v>1</x:v>
      </x:c>
      <x:c r="J16" s="9" t="n">
        <x:v>1</x:v>
      </x:c>
      <x:c r="K16" s="9" t="str">
        <x:v>CT-C-B-N2</x:v>
      </x:c>
      <x:c r="L16" s="9" t="str">
        <x:v>ST10</x:v>
      </x:c>
      <x:c r="M16" s="17" t="str">
        <x:v>Window and common clock</x:v>
      </x:c>
      <x:c r="N16" s="17" t="str">
        <x:v>epoch, window and public time origin match the issued warrant</x:v>
      </x:c>
      <x:c r="O16" s="17" t="str">
        <x:v>Event clock authority</x:v>
      </x:c>
      <x:c r="P16" s="9" t="n">
        <x:v>0</x:v>
      </x:c>
      <x:c r="Q16" s="9" t="n">
        <x:v>0</x:v>
      </x:c>
      <x:c r="R16" s="9" t="str">
        <x:v>OPEN / UNSTARTED</x:v>
      </x:c>
      <x:c r="S16" s="9" t="n">
        <x:f>COUNTIFS($A$7:$A$1446,A16)</x:f>
        <x:v>1</x:v>
      </x:c>
    </x:row>
    <x:row r="17">
      <x:c r="A17" s="9" t="str">
        <x:v>EV-AR-CT-C-B-TECH-3-B2-BRK-G0-ST01</x:v>
      </x:c>
      <x:c r="B17" s="9" t="str">
        <x:v>EV-AR-CT-C-B-TECH-3-B2-BRK-G0</x:v>
      </x:c>
      <x:c r="C17" s="9" t="str">
        <x:v>EOW-AR-CT-C-B-TECH-3-B2-BRK-G0</x:v>
      </x:c>
      <x:c r="D17" s="9" t="str">
        <x:v>AR-CT-C-B-TECH-3-B2-BRK-G0</x:v>
      </x:c>
      <x:c r="E17" s="9" t="str">
        <x:v>CT-C-B-TECH-3</x:v>
      </x:c>
      <x:c r="F17" s="9" t="str">
        <x:v>CT-C-B</x:v>
      </x:c>
      <x:c r="G17" s="9" t="str">
        <x:v>B2</x:v>
      </x:c>
      <x:c r="H17" s="9" t="str">
        <x:v>BRK</x:v>
      </x:c>
      <x:c r="I17" s="9" t="n">
        <x:v>1</x:v>
      </x:c>
      <x:c r="J17" s="9" t="n">
        <x:v>1</x:v>
      </x:c>
      <x:c r="K17" s="9" t="str">
        <x:v>CT-C-B-N3</x:v>
      </x:c>
      <x:c r="L17" s="9" t="str">
        <x:v>ST01</x:v>
      </x:c>
      <x:c r="M17" s="17" t="str">
        <x:v>Active opportunity warrant</x:v>
      </x:c>
      <x:c r="N17" s="17" t="str">
        <x:v>configuration-bound EOW is within its thirty-six-hour validity</x:v>
      </x:c>
      <x:c r="O17" s="17" t="str">
        <x:v>Start registrar</x:v>
      </x:c>
      <x:c r="P17" s="9" t="n">
        <x:v>0</x:v>
      </x:c>
      <x:c r="Q17" s="9" t="n">
        <x:v>0</x:v>
      </x:c>
      <x:c r="R17" s="9" t="str">
        <x:v>OPEN / UNSTARTED</x:v>
      </x:c>
      <x:c r="S17" s="9" t="n">
        <x:f>COUNTIFS($A$7:$A$1446,A17)</x:f>
        <x:v>1</x:v>
      </x:c>
    </x:row>
    <x:row r="18">
      <x:c r="A18" s="9" t="str">
        <x:v>EV-AR-CT-C-B-TECH-3-B2-BRK-G0-ST02</x:v>
      </x:c>
      <x:c r="B18" s="9" t="str">
        <x:v>EV-AR-CT-C-B-TECH-3-B2-BRK-G0</x:v>
      </x:c>
      <x:c r="C18" s="9" t="str">
        <x:v>EOW-AR-CT-C-B-TECH-3-B2-BRK-G0</x:v>
      </x:c>
      <x:c r="D18" s="9" t="str">
        <x:v>AR-CT-C-B-TECH-3-B2-BRK-G0</x:v>
      </x:c>
      <x:c r="E18" s="9" t="str">
        <x:v>CT-C-B-TECH-3</x:v>
      </x:c>
      <x:c r="F18" s="9" t="str">
        <x:v>CT-C-B</x:v>
      </x:c>
      <x:c r="G18" s="9" t="str">
        <x:v>B2</x:v>
      </x:c>
      <x:c r="H18" s="9" t="str">
        <x:v>BRK</x:v>
      </x:c>
      <x:c r="I18" s="9" t="n">
        <x:v>1</x:v>
      </x:c>
      <x:c r="J18" s="9" t="n">
        <x:v>1</x:v>
      </x:c>
      <x:c r="K18" s="9" t="str">
        <x:v>CT-C-B-N3</x:v>
      </x:c>
      <x:c r="L18" s="9" t="str">
        <x:v>ST02</x:v>
      </x:c>
      <x:c r="M18" s="17" t="str">
        <x:v>Frozen identity</x:v>
      </x:c>
      <x:c r="N18" s="17" t="str">
        <x:v>serial, generation, fixture, site, receiver and digest match the warrant</x:v>
      </x:c>
      <x:c r="O18" s="17" t="str">
        <x:v>Custody authority</x:v>
      </x:c>
      <x:c r="P18" s="9" t="n">
        <x:v>0</x:v>
      </x:c>
      <x:c r="Q18" s="9" t="n">
        <x:v>0</x:v>
      </x:c>
      <x:c r="R18" s="9" t="str">
        <x:v>OPEN / UNSTARTED</x:v>
      </x:c>
      <x:c r="S18" s="9" t="n">
        <x:f>COUNTIFS($A$7:$A$1446,A18)</x:f>
        <x:v>1</x:v>
      </x:c>
    </x:row>
    <x:row r="19">
      <x:c r="A19" s="9" t="str">
        <x:v>EV-AR-CT-C-B-TECH-3-B2-BRK-G0-ST03</x:v>
      </x:c>
      <x:c r="B19" s="9" t="str">
        <x:v>EV-AR-CT-C-B-TECH-3-B2-BRK-G0</x:v>
      </x:c>
      <x:c r="C19" s="9" t="str">
        <x:v>EOW-AR-CT-C-B-TECH-3-B2-BRK-G0</x:v>
      </x:c>
      <x:c r="D19" s="9" t="str">
        <x:v>AR-CT-C-B-TECH-3-B2-BRK-G0</x:v>
      </x:c>
      <x:c r="E19" s="9" t="str">
        <x:v>CT-C-B-TECH-3</x:v>
      </x:c>
      <x:c r="F19" s="9" t="str">
        <x:v>CT-C-B</x:v>
      </x:c>
      <x:c r="G19" s="9" t="str">
        <x:v>B2</x:v>
      </x:c>
      <x:c r="H19" s="9" t="str">
        <x:v>BRK</x:v>
      </x:c>
      <x:c r="I19" s="9" t="n">
        <x:v>1</x:v>
      </x:c>
      <x:c r="J19" s="9" t="n">
        <x:v>1</x:v>
      </x:c>
      <x:c r="K19" s="9" t="str">
        <x:v>CT-C-B-N3</x:v>
      </x:c>
      <x:c r="L19" s="9" t="str">
        <x:v>ST03</x:v>
      </x:c>
      <x:c r="M19" s="17" t="str">
        <x:v>Receiver receipt</x:v>
      </x:c>
      <x:c r="N19" s="17" t="str">
        <x:v>denominator, counterfactual, rights and stop receipt remain unchanged</x:v>
      </x:c>
      <x:c r="O19" s="17" t="str">
        <x:v>Receiver authority</x:v>
      </x:c>
      <x:c r="P19" s="9" t="n">
        <x:v>0</x:v>
      </x:c>
      <x:c r="Q19" s="9" t="n">
        <x:v>0</x:v>
      </x:c>
      <x:c r="R19" s="9" t="str">
        <x:v>OPEN / UNSTARTED</x:v>
      </x:c>
      <x:c r="S19" s="9" t="n">
        <x:f>COUNTIFS($A$7:$A$1446,A19)</x:f>
        <x:v>1</x:v>
      </x:c>
    </x:row>
    <x:row r="20">
      <x:c r="A20" s="9" t="str">
        <x:v>EV-AR-CT-C-B-TECH-3-B2-BRK-G0-ST04</x:v>
      </x:c>
      <x:c r="B20" s="9" t="str">
        <x:v>EV-AR-CT-C-B-TECH-3-B2-BRK-G0</x:v>
      </x:c>
      <x:c r="C20" s="9" t="str">
        <x:v>EOW-AR-CT-C-B-TECH-3-B2-BRK-G0</x:v>
      </x:c>
      <x:c r="D20" s="9" t="str">
        <x:v>AR-CT-C-B-TECH-3-B2-BRK-G0</x:v>
      </x:c>
      <x:c r="E20" s="9" t="str">
        <x:v>CT-C-B-TECH-3</x:v>
      </x:c>
      <x:c r="F20" s="9" t="str">
        <x:v>CT-C-B</x:v>
      </x:c>
      <x:c r="G20" s="9" t="str">
        <x:v>B2</x:v>
      </x:c>
      <x:c r="H20" s="9" t="str">
        <x:v>BRK</x:v>
      </x:c>
      <x:c r="I20" s="9" t="n">
        <x:v>1</x:v>
      </x:c>
      <x:c r="J20" s="9" t="n">
        <x:v>1</x:v>
      </x:c>
      <x:c r="K20" s="9" t="str">
        <x:v>CT-C-B-N3</x:v>
      </x:c>
      <x:c r="L20" s="9" t="str">
        <x:v>ST04</x:v>
      </x:c>
      <x:c r="M20" s="17" t="str">
        <x:v>Primary capture armed</x:v>
      </x:c>
      <x:c r="N20" s="17" t="str">
        <x:v>primary chain records sealed reference and live time</x:v>
      </x:c>
      <x:c r="O20" s="17" t="str">
        <x:v>Primary metrology</x:v>
      </x:c>
      <x:c r="P20" s="9" t="n">
        <x:v>0</x:v>
      </x:c>
      <x:c r="Q20" s="9" t="n">
        <x:v>0</x:v>
      </x:c>
      <x:c r="R20" s="9" t="str">
        <x:v>OPEN / UNSTARTED</x:v>
      </x:c>
      <x:c r="S20" s="9" t="n">
        <x:f>COUNTIFS($A$7:$A$1446,A20)</x:f>
        <x:v>1</x:v>
      </x:c>
    </x:row>
    <x:row r="21">
      <x:c r="A21" s="9" t="str">
        <x:v>EV-AR-CT-C-B-TECH-3-B2-BRK-G0-ST05</x:v>
      </x:c>
      <x:c r="B21" s="9" t="str">
        <x:v>EV-AR-CT-C-B-TECH-3-B2-BRK-G0</x:v>
      </x:c>
      <x:c r="C21" s="9" t="str">
        <x:v>EOW-AR-CT-C-B-TECH-3-B2-BRK-G0</x:v>
      </x:c>
      <x:c r="D21" s="9" t="str">
        <x:v>AR-CT-C-B-TECH-3-B2-BRK-G0</x:v>
      </x:c>
      <x:c r="E21" s="9" t="str">
        <x:v>CT-C-B-TECH-3</x:v>
      </x:c>
      <x:c r="F21" s="9" t="str">
        <x:v>CT-C-B</x:v>
      </x:c>
      <x:c r="G21" s="9" t="str">
        <x:v>B2</x:v>
      </x:c>
      <x:c r="H21" s="9" t="str">
        <x:v>BRK</x:v>
      </x:c>
      <x:c r="I21" s="9" t="n">
        <x:v>1</x:v>
      </x:c>
      <x:c r="J21" s="9" t="n">
        <x:v>1</x:v>
      </x:c>
      <x:c r="K21" s="9" t="str">
        <x:v>CT-C-B-N3</x:v>
      </x:c>
      <x:c r="L21" s="9" t="str">
        <x:v>ST05</x:v>
      </x:c>
      <x:c r="M21" s="17" t="str">
        <x:v>Witness capture armed</x:v>
      </x:c>
      <x:c r="N21" s="17" t="str">
        <x:v>unlike witness records independent reference and live time</x:v>
      </x:c>
      <x:c r="O21" s="17" t="str">
        <x:v>Witness metrology</x:v>
      </x:c>
      <x:c r="P21" s="9" t="n">
        <x:v>0</x:v>
      </x:c>
      <x:c r="Q21" s="9" t="n">
        <x:v>0</x:v>
      </x:c>
      <x:c r="R21" s="9" t="str">
        <x:v>OPEN / UNSTARTED</x:v>
      </x:c>
      <x:c r="S21" s="9" t="n">
        <x:f>COUNTIFS($A$7:$A$1446,A21)</x:f>
        <x:v>1</x:v>
      </x:c>
    </x:row>
    <x:row r="22">
      <x:c r="A22" s="9" t="str">
        <x:v>EV-AR-CT-C-B-TECH-3-B2-BRK-G0-ST06</x:v>
      </x:c>
      <x:c r="B22" s="9" t="str">
        <x:v>EV-AR-CT-C-B-TECH-3-B2-BRK-G0</x:v>
      </x:c>
      <x:c r="C22" s="9" t="str">
        <x:v>EOW-AR-CT-C-B-TECH-3-B2-BRK-G0</x:v>
      </x:c>
      <x:c r="D22" s="9" t="str">
        <x:v>AR-CT-C-B-TECH-3-B2-BRK-G0</x:v>
      </x:c>
      <x:c r="E22" s="9" t="str">
        <x:v>CT-C-B-TECH-3</x:v>
      </x:c>
      <x:c r="F22" s="9" t="str">
        <x:v>CT-C-B</x:v>
      </x:c>
      <x:c r="G22" s="9" t="str">
        <x:v>B2</x:v>
      </x:c>
      <x:c r="H22" s="9" t="str">
        <x:v>BRK</x:v>
      </x:c>
      <x:c r="I22" s="9" t="n">
        <x:v>1</x:v>
      </x:c>
      <x:c r="J22" s="9" t="n">
        <x:v>1</x:v>
      </x:c>
      <x:c r="K22" s="9" t="str">
        <x:v>CT-C-B-N3</x:v>
      </x:c>
      <x:c r="L22" s="9" t="str">
        <x:v>ST06</x:v>
      </x:c>
      <x:c r="M22" s="17" t="str">
        <x:v>Public custody armed</x:v>
      </x:c>
      <x:c r="N22" s="17" t="str">
        <x:v>eight raw origins have separated hash and replica routes</x:v>
      </x:c>
      <x:c r="O22" s="17" t="str">
        <x:v>Custody authority</x:v>
      </x:c>
      <x:c r="P22" s="9" t="n">
        <x:v>0</x:v>
      </x:c>
      <x:c r="Q22" s="9" t="n">
        <x:v>0</x:v>
      </x:c>
      <x:c r="R22" s="9" t="str">
        <x:v>OPEN / UNSTARTED</x:v>
      </x:c>
      <x:c r="S22" s="9" t="n">
        <x:f>COUNTIFS($A$7:$A$1446,A22)</x:f>
        <x:v>1</x:v>
      </x:c>
    </x:row>
    <x:row r="23">
      <x:c r="A23" s="9" t="str">
        <x:v>EV-AR-CT-C-B-TECH-3-B2-BRK-G0-ST07</x:v>
      </x:c>
      <x:c r="B23" s="9" t="str">
        <x:v>EV-AR-CT-C-B-TECH-3-B2-BRK-G0</x:v>
      </x:c>
      <x:c r="C23" s="9" t="str">
        <x:v>EOW-AR-CT-C-B-TECH-3-B2-BRK-G0</x:v>
      </x:c>
      <x:c r="D23" s="9" t="str">
        <x:v>AR-CT-C-B-TECH-3-B2-BRK-G0</x:v>
      </x:c>
      <x:c r="E23" s="9" t="str">
        <x:v>CT-C-B-TECH-3</x:v>
      </x:c>
      <x:c r="F23" s="9" t="str">
        <x:v>CT-C-B</x:v>
      </x:c>
      <x:c r="G23" s="9" t="str">
        <x:v>B2</x:v>
      </x:c>
      <x:c r="H23" s="9" t="str">
        <x:v>BRK</x:v>
      </x:c>
      <x:c r="I23" s="9" t="n">
        <x:v>1</x:v>
      </x:c>
      <x:c r="J23" s="9" t="n">
        <x:v>1</x:v>
      </x:c>
      <x:c r="K23" s="9" t="str">
        <x:v>CT-C-B-N3</x:v>
      </x:c>
      <x:c r="L23" s="9" t="str">
        <x:v>ST07</x:v>
      </x:c>
      <x:c r="M23" s="17" t="str">
        <x:v>Environmental baseline</x:v>
      </x:c>
      <x:c r="N23" s="17" t="str">
        <x:v>pre-event boundary state is sealed before decisive operation</x:v>
      </x:c>
      <x:c r="O23" s="17" t="str">
        <x:v>Site metrology</x:v>
      </x:c>
      <x:c r="P23" s="9" t="n">
        <x:v>0</x:v>
      </x:c>
      <x:c r="Q23" s="9" t="n">
        <x:v>0</x:v>
      </x:c>
      <x:c r="R23" s="9" t="str">
        <x:v>OPEN / UNSTARTED</x:v>
      </x:c>
      <x:c r="S23" s="9" t="n">
        <x:f>COUNTIFS($A$7:$A$1446,A23)</x:f>
        <x:v>1</x:v>
      </x:c>
    </x:row>
    <x:row r="24">
      <x:c r="A24" s="9" t="str">
        <x:v>EV-AR-CT-C-B-TECH-3-B2-BRK-G0-ST08</x:v>
      </x:c>
      <x:c r="B24" s="9" t="str">
        <x:v>EV-AR-CT-C-B-TECH-3-B2-BRK-G0</x:v>
      </x:c>
      <x:c r="C24" s="9" t="str">
        <x:v>EOW-AR-CT-C-B-TECH-3-B2-BRK-G0</x:v>
      </x:c>
      <x:c r="D24" s="9" t="str">
        <x:v>AR-CT-C-B-TECH-3-B2-BRK-G0</x:v>
      </x:c>
      <x:c r="E24" s="9" t="str">
        <x:v>CT-C-B-TECH-3</x:v>
      </x:c>
      <x:c r="F24" s="9" t="str">
        <x:v>CT-C-B</x:v>
      </x:c>
      <x:c r="G24" s="9" t="str">
        <x:v>B2</x:v>
      </x:c>
      <x:c r="H24" s="9" t="str">
        <x:v>BRK</x:v>
      </x:c>
      <x:c r="I24" s="9" t="n">
        <x:v>1</x:v>
      </x:c>
      <x:c r="J24" s="9" t="n">
        <x:v>1</x:v>
      </x:c>
      <x:c r="K24" s="9" t="str">
        <x:v>CT-C-B-N3</x:v>
      </x:c>
      <x:c r="L24" s="9" t="str">
        <x:v>ST08</x:v>
      </x:c>
      <x:c r="M24" s="17" t="str">
        <x:v>Manual stop and safety</x:v>
      </x:c>
      <x:c r="N24" s="17" t="str">
        <x:v>local stop, evacuation and protection routes are active</x:v>
      </x:c>
      <x:c r="O24" s="17" t="str">
        <x:v>Safety authority</x:v>
      </x:c>
      <x:c r="P24" s="9" t="n">
        <x:v>0</x:v>
      </x:c>
      <x:c r="Q24" s="9" t="n">
        <x:v>0</x:v>
      </x:c>
      <x:c r="R24" s="9" t="str">
        <x:v>OPEN / UNSTARTED</x:v>
      </x:c>
      <x:c r="S24" s="9" t="n">
        <x:f>COUNTIFS($A$7:$A$1446,A24)</x:f>
        <x:v>1</x:v>
      </x:c>
    </x:row>
    <x:row r="25">
      <x:c r="A25" s="9" t="str">
        <x:v>EV-AR-CT-C-B-TECH-3-B2-BRK-G0-ST09</x:v>
      </x:c>
      <x:c r="B25" s="9" t="str">
        <x:v>EV-AR-CT-C-B-TECH-3-B2-BRK-G0</x:v>
      </x:c>
      <x:c r="C25" s="9" t="str">
        <x:v>EOW-AR-CT-C-B-TECH-3-B2-BRK-G0</x:v>
      </x:c>
      <x:c r="D25" s="9" t="str">
        <x:v>AR-CT-C-B-TECH-3-B2-BRK-G0</x:v>
      </x:c>
      <x:c r="E25" s="9" t="str">
        <x:v>CT-C-B-TECH-3</x:v>
      </x:c>
      <x:c r="F25" s="9" t="str">
        <x:v>CT-C-B</x:v>
      </x:c>
      <x:c r="G25" s="9" t="str">
        <x:v>B2</x:v>
      </x:c>
      <x:c r="H25" s="9" t="str">
        <x:v>BRK</x:v>
      </x:c>
      <x:c r="I25" s="9" t="n">
        <x:v>1</x:v>
      </x:c>
      <x:c r="J25" s="9" t="n">
        <x:v>1</x:v>
      </x:c>
      <x:c r="K25" s="9" t="str">
        <x:v>CT-C-B-N3</x:v>
      </x:c>
      <x:c r="L25" s="9" t="str">
        <x:v>ST09</x:v>
      </x:c>
      <x:c r="M25" s="17" t="str">
        <x:v>Operator conflict clear</x:v>
      </x:c>
      <x:c r="N25" s="17" t="str">
        <x:v>candidate, fixture, safety and measurement control edges remain separated</x:v>
      </x:c>
      <x:c r="O25" s="17" t="str">
        <x:v>Conflict registrar</x:v>
      </x:c>
      <x:c r="P25" s="9" t="n">
        <x:v>0</x:v>
      </x:c>
      <x:c r="Q25" s="9" t="n">
        <x:v>0</x:v>
      </x:c>
      <x:c r="R25" s="9" t="str">
        <x:v>OPEN / UNSTARTED</x:v>
      </x:c>
      <x:c r="S25" s="9" t="n">
        <x:f>COUNTIFS($A$7:$A$1446,A25)</x:f>
        <x:v>1</x:v>
      </x:c>
    </x:row>
    <x:row r="26">
      <x:c r="A26" s="9" t="str">
        <x:v>EV-AR-CT-C-B-TECH-3-B2-BRK-G0-ST10</x:v>
      </x:c>
      <x:c r="B26" s="9" t="str">
        <x:v>EV-AR-CT-C-B-TECH-3-B2-BRK-G0</x:v>
      </x:c>
      <x:c r="C26" s="9" t="str">
        <x:v>EOW-AR-CT-C-B-TECH-3-B2-BRK-G0</x:v>
      </x:c>
      <x:c r="D26" s="9" t="str">
        <x:v>AR-CT-C-B-TECH-3-B2-BRK-G0</x:v>
      </x:c>
      <x:c r="E26" s="9" t="str">
        <x:v>CT-C-B-TECH-3</x:v>
      </x:c>
      <x:c r="F26" s="9" t="str">
        <x:v>CT-C-B</x:v>
      </x:c>
      <x:c r="G26" s="9" t="str">
        <x:v>B2</x:v>
      </x:c>
      <x:c r="H26" s="9" t="str">
        <x:v>BRK</x:v>
      </x:c>
      <x:c r="I26" s="9" t="n">
        <x:v>1</x:v>
      </x:c>
      <x:c r="J26" s="9" t="n">
        <x:v>1</x:v>
      </x:c>
      <x:c r="K26" s="9" t="str">
        <x:v>CT-C-B-N3</x:v>
      </x:c>
      <x:c r="L26" s="9" t="str">
        <x:v>ST10</x:v>
      </x:c>
      <x:c r="M26" s="17" t="str">
        <x:v>Window and common clock</x:v>
      </x:c>
      <x:c r="N26" s="17" t="str">
        <x:v>epoch, window and public time origin match the issued warrant</x:v>
      </x:c>
      <x:c r="O26" s="17" t="str">
        <x:v>Event clock authority</x:v>
      </x:c>
      <x:c r="P26" s="9" t="n">
        <x:v>0</x:v>
      </x:c>
      <x:c r="Q26" s="9" t="n">
        <x:v>0</x:v>
      </x:c>
      <x:c r="R26" s="9" t="str">
        <x:v>OPEN / UNSTARTED</x:v>
      </x:c>
      <x:c r="S26" s="9" t="n">
        <x:f>COUNTIFS($A$7:$A$1446,A26)</x:f>
        <x:v>1</x:v>
      </x:c>
    </x:row>
    <x:row r="27">
      <x:c r="A27" s="9" t="str">
        <x:v>EV-AR-HC-A-C-TECH-1-B1-RCN-G0-ST01</x:v>
      </x:c>
      <x:c r="B27" s="9" t="str">
        <x:v>EV-AR-HC-A-C-TECH-1-B1-RCN-G0</x:v>
      </x:c>
      <x:c r="C27" s="9" t="str">
        <x:v>EOW-AR-HC-A-C-TECH-1-B1-RCN-G0</x:v>
      </x:c>
      <x:c r="D27" s="9" t="str">
        <x:v>AR-HC-A-C-TECH-1-B1-RCN-G0</x:v>
      </x:c>
      <x:c r="E27" s="9" t="str">
        <x:v>HC-A-C-TECH-1</x:v>
      </x:c>
      <x:c r="F27" s="9" t="str">
        <x:v>HC-A-C</x:v>
      </x:c>
      <x:c r="G27" s="9" t="str">
        <x:v>B1</x:v>
      </x:c>
      <x:c r="H27" s="9" t="str">
        <x:v>RCN</x:v>
      </x:c>
      <x:c r="I27" s="9" t="n">
        <x:v>1</x:v>
      </x:c>
      <x:c r="J27" s="9" t="n">
        <x:v>1</x:v>
      </x:c>
      <x:c r="K27" s="9" t="str">
        <x:v>HC-A-C-N1</x:v>
      </x:c>
      <x:c r="L27" s="9" t="str">
        <x:v>ST01</x:v>
      </x:c>
      <x:c r="M27" s="17" t="str">
        <x:v>Active opportunity warrant</x:v>
      </x:c>
      <x:c r="N27" s="17" t="str">
        <x:v>configuration-bound EOW is within its thirty-six-hour validity</x:v>
      </x:c>
      <x:c r="O27" s="17" t="str">
        <x:v>Start registrar</x:v>
      </x:c>
      <x:c r="P27" s="9" t="n">
        <x:v>0</x:v>
      </x:c>
      <x:c r="Q27" s="9" t="n">
        <x:v>0</x:v>
      </x:c>
      <x:c r="R27" s="9" t="str">
        <x:v>OPEN / UNSTARTED</x:v>
      </x:c>
      <x:c r="S27" s="9" t="n">
        <x:f>COUNTIFS($A$7:$A$1446,A27)</x:f>
        <x:v>1</x:v>
      </x:c>
    </x:row>
    <x:row r="28">
      <x:c r="A28" s="9" t="str">
        <x:v>EV-AR-HC-A-C-TECH-1-B1-RCN-G0-ST02</x:v>
      </x:c>
      <x:c r="B28" s="9" t="str">
        <x:v>EV-AR-HC-A-C-TECH-1-B1-RCN-G0</x:v>
      </x:c>
      <x:c r="C28" s="9" t="str">
        <x:v>EOW-AR-HC-A-C-TECH-1-B1-RCN-G0</x:v>
      </x:c>
      <x:c r="D28" s="9" t="str">
        <x:v>AR-HC-A-C-TECH-1-B1-RCN-G0</x:v>
      </x:c>
      <x:c r="E28" s="9" t="str">
        <x:v>HC-A-C-TECH-1</x:v>
      </x:c>
      <x:c r="F28" s="9" t="str">
        <x:v>HC-A-C</x:v>
      </x:c>
      <x:c r="G28" s="9" t="str">
        <x:v>B1</x:v>
      </x:c>
      <x:c r="H28" s="9" t="str">
        <x:v>RCN</x:v>
      </x:c>
      <x:c r="I28" s="9" t="n">
        <x:v>1</x:v>
      </x:c>
      <x:c r="J28" s="9" t="n">
        <x:v>1</x:v>
      </x:c>
      <x:c r="K28" s="9" t="str">
        <x:v>HC-A-C-N1</x:v>
      </x:c>
      <x:c r="L28" s="9" t="str">
        <x:v>ST02</x:v>
      </x:c>
      <x:c r="M28" s="17" t="str">
        <x:v>Frozen identity</x:v>
      </x:c>
      <x:c r="N28" s="17" t="str">
        <x:v>serial, generation, fixture, site, receiver and digest match the warrant</x:v>
      </x:c>
      <x:c r="O28" s="17" t="str">
        <x:v>Custody authority</x:v>
      </x:c>
      <x:c r="P28" s="9" t="n">
        <x:v>0</x:v>
      </x:c>
      <x:c r="Q28" s="9" t="n">
        <x:v>0</x:v>
      </x:c>
      <x:c r="R28" s="9" t="str">
        <x:v>OPEN / UNSTARTED</x:v>
      </x:c>
      <x:c r="S28" s="9" t="n">
        <x:f>COUNTIFS($A$7:$A$1446,A28)</x:f>
        <x:v>1</x:v>
      </x:c>
    </x:row>
    <x:row r="29">
      <x:c r="A29" s="9" t="str">
        <x:v>EV-AR-HC-A-C-TECH-1-B1-RCN-G0-ST03</x:v>
      </x:c>
      <x:c r="B29" s="9" t="str">
        <x:v>EV-AR-HC-A-C-TECH-1-B1-RCN-G0</x:v>
      </x:c>
      <x:c r="C29" s="9" t="str">
        <x:v>EOW-AR-HC-A-C-TECH-1-B1-RCN-G0</x:v>
      </x:c>
      <x:c r="D29" s="9" t="str">
        <x:v>AR-HC-A-C-TECH-1-B1-RCN-G0</x:v>
      </x:c>
      <x:c r="E29" s="9" t="str">
        <x:v>HC-A-C-TECH-1</x:v>
      </x:c>
      <x:c r="F29" s="9" t="str">
        <x:v>HC-A-C</x:v>
      </x:c>
      <x:c r="G29" s="9" t="str">
        <x:v>B1</x:v>
      </x:c>
      <x:c r="H29" s="9" t="str">
        <x:v>RCN</x:v>
      </x:c>
      <x:c r="I29" s="9" t="n">
        <x:v>1</x:v>
      </x:c>
      <x:c r="J29" s="9" t="n">
        <x:v>1</x:v>
      </x:c>
      <x:c r="K29" s="9" t="str">
        <x:v>HC-A-C-N1</x:v>
      </x:c>
      <x:c r="L29" s="9" t="str">
        <x:v>ST03</x:v>
      </x:c>
      <x:c r="M29" s="17" t="str">
        <x:v>Receiver receipt</x:v>
      </x:c>
      <x:c r="N29" s="17" t="str">
        <x:v>denominator, counterfactual, rights and stop receipt remain unchanged</x:v>
      </x:c>
      <x:c r="O29" s="17" t="str">
        <x:v>Receiver authority</x:v>
      </x:c>
      <x:c r="P29" s="9" t="n">
        <x:v>0</x:v>
      </x:c>
      <x:c r="Q29" s="9" t="n">
        <x:v>0</x:v>
      </x:c>
      <x:c r="R29" s="9" t="str">
        <x:v>OPEN / UNSTARTED</x:v>
      </x:c>
      <x:c r="S29" s="9" t="n">
        <x:f>COUNTIFS($A$7:$A$1446,A29)</x:f>
        <x:v>1</x:v>
      </x:c>
    </x:row>
    <x:row r="30">
      <x:c r="A30" s="9" t="str">
        <x:v>EV-AR-HC-A-C-TECH-1-B1-RCN-G0-ST04</x:v>
      </x:c>
      <x:c r="B30" s="9" t="str">
        <x:v>EV-AR-HC-A-C-TECH-1-B1-RCN-G0</x:v>
      </x:c>
      <x:c r="C30" s="9" t="str">
        <x:v>EOW-AR-HC-A-C-TECH-1-B1-RCN-G0</x:v>
      </x:c>
      <x:c r="D30" s="9" t="str">
        <x:v>AR-HC-A-C-TECH-1-B1-RCN-G0</x:v>
      </x:c>
      <x:c r="E30" s="9" t="str">
        <x:v>HC-A-C-TECH-1</x:v>
      </x:c>
      <x:c r="F30" s="9" t="str">
        <x:v>HC-A-C</x:v>
      </x:c>
      <x:c r="G30" s="9" t="str">
        <x:v>B1</x:v>
      </x:c>
      <x:c r="H30" s="9" t="str">
        <x:v>RCN</x:v>
      </x:c>
      <x:c r="I30" s="9" t="n">
        <x:v>1</x:v>
      </x:c>
      <x:c r="J30" s="9" t="n">
        <x:v>1</x:v>
      </x:c>
      <x:c r="K30" s="9" t="str">
        <x:v>HC-A-C-N1</x:v>
      </x:c>
      <x:c r="L30" s="9" t="str">
        <x:v>ST04</x:v>
      </x:c>
      <x:c r="M30" s="17" t="str">
        <x:v>Primary capture armed</x:v>
      </x:c>
      <x:c r="N30" s="17" t="str">
        <x:v>primary chain records sealed reference and live time</x:v>
      </x:c>
      <x:c r="O30" s="17" t="str">
        <x:v>Primary metrology</x:v>
      </x:c>
      <x:c r="P30" s="9" t="n">
        <x:v>0</x:v>
      </x:c>
      <x:c r="Q30" s="9" t="n">
        <x:v>0</x:v>
      </x:c>
      <x:c r="R30" s="9" t="str">
        <x:v>OPEN / UNSTARTED</x:v>
      </x:c>
      <x:c r="S30" s="9" t="n">
        <x:f>COUNTIFS($A$7:$A$1446,A30)</x:f>
        <x:v>1</x:v>
      </x:c>
    </x:row>
    <x:row r="31">
      <x:c r="A31" s="9" t="str">
        <x:v>EV-AR-HC-A-C-TECH-1-B1-RCN-G0-ST05</x:v>
      </x:c>
      <x:c r="B31" s="9" t="str">
        <x:v>EV-AR-HC-A-C-TECH-1-B1-RCN-G0</x:v>
      </x:c>
      <x:c r="C31" s="9" t="str">
        <x:v>EOW-AR-HC-A-C-TECH-1-B1-RCN-G0</x:v>
      </x:c>
      <x:c r="D31" s="9" t="str">
        <x:v>AR-HC-A-C-TECH-1-B1-RCN-G0</x:v>
      </x:c>
      <x:c r="E31" s="9" t="str">
        <x:v>HC-A-C-TECH-1</x:v>
      </x:c>
      <x:c r="F31" s="9" t="str">
        <x:v>HC-A-C</x:v>
      </x:c>
      <x:c r="G31" s="9" t="str">
        <x:v>B1</x:v>
      </x:c>
      <x:c r="H31" s="9" t="str">
        <x:v>RCN</x:v>
      </x:c>
      <x:c r="I31" s="9" t="n">
        <x:v>1</x:v>
      </x:c>
      <x:c r="J31" s="9" t="n">
        <x:v>1</x:v>
      </x:c>
      <x:c r="K31" s="9" t="str">
        <x:v>HC-A-C-N1</x:v>
      </x:c>
      <x:c r="L31" s="9" t="str">
        <x:v>ST05</x:v>
      </x:c>
      <x:c r="M31" s="17" t="str">
        <x:v>Witness capture armed</x:v>
      </x:c>
      <x:c r="N31" s="17" t="str">
        <x:v>unlike witness records independent reference and live time</x:v>
      </x:c>
      <x:c r="O31" s="17" t="str">
        <x:v>Witness metrology</x:v>
      </x:c>
      <x:c r="P31" s="9" t="n">
        <x:v>0</x:v>
      </x:c>
      <x:c r="Q31" s="9" t="n">
        <x:v>0</x:v>
      </x:c>
      <x:c r="R31" s="9" t="str">
        <x:v>OPEN / UNSTARTED</x:v>
      </x:c>
      <x:c r="S31" s="9" t="n">
        <x:f>COUNTIFS($A$7:$A$1446,A31)</x:f>
        <x:v>1</x:v>
      </x:c>
    </x:row>
    <x:row r="32">
      <x:c r="A32" s="9" t="str">
        <x:v>EV-AR-HC-A-C-TECH-1-B1-RCN-G0-ST06</x:v>
      </x:c>
      <x:c r="B32" s="9" t="str">
        <x:v>EV-AR-HC-A-C-TECH-1-B1-RCN-G0</x:v>
      </x:c>
      <x:c r="C32" s="9" t="str">
        <x:v>EOW-AR-HC-A-C-TECH-1-B1-RCN-G0</x:v>
      </x:c>
      <x:c r="D32" s="9" t="str">
        <x:v>AR-HC-A-C-TECH-1-B1-RCN-G0</x:v>
      </x:c>
      <x:c r="E32" s="9" t="str">
        <x:v>HC-A-C-TECH-1</x:v>
      </x:c>
      <x:c r="F32" s="9" t="str">
        <x:v>HC-A-C</x:v>
      </x:c>
      <x:c r="G32" s="9" t="str">
        <x:v>B1</x:v>
      </x:c>
      <x:c r="H32" s="9" t="str">
        <x:v>RCN</x:v>
      </x:c>
      <x:c r="I32" s="9" t="n">
        <x:v>1</x:v>
      </x:c>
      <x:c r="J32" s="9" t="n">
        <x:v>1</x:v>
      </x:c>
      <x:c r="K32" s="9" t="str">
        <x:v>HC-A-C-N1</x:v>
      </x:c>
      <x:c r="L32" s="9" t="str">
        <x:v>ST06</x:v>
      </x:c>
      <x:c r="M32" s="17" t="str">
        <x:v>Public custody armed</x:v>
      </x:c>
      <x:c r="N32" s="17" t="str">
        <x:v>eight raw origins have separated hash and replica routes</x:v>
      </x:c>
      <x:c r="O32" s="17" t="str">
        <x:v>Custody authority</x:v>
      </x:c>
      <x:c r="P32" s="9" t="n">
        <x:v>0</x:v>
      </x:c>
      <x:c r="Q32" s="9" t="n">
        <x:v>0</x:v>
      </x:c>
      <x:c r="R32" s="9" t="str">
        <x:v>OPEN / UNSTARTED</x:v>
      </x:c>
      <x:c r="S32" s="9" t="n">
        <x:f>COUNTIFS($A$7:$A$1446,A32)</x:f>
        <x:v>1</x:v>
      </x:c>
    </x:row>
    <x:row r="33">
      <x:c r="A33" s="9" t="str">
        <x:v>EV-AR-HC-A-C-TECH-1-B1-RCN-G0-ST07</x:v>
      </x:c>
      <x:c r="B33" s="9" t="str">
        <x:v>EV-AR-HC-A-C-TECH-1-B1-RCN-G0</x:v>
      </x:c>
      <x:c r="C33" s="9" t="str">
        <x:v>EOW-AR-HC-A-C-TECH-1-B1-RCN-G0</x:v>
      </x:c>
      <x:c r="D33" s="9" t="str">
        <x:v>AR-HC-A-C-TECH-1-B1-RCN-G0</x:v>
      </x:c>
      <x:c r="E33" s="9" t="str">
        <x:v>HC-A-C-TECH-1</x:v>
      </x:c>
      <x:c r="F33" s="9" t="str">
        <x:v>HC-A-C</x:v>
      </x:c>
      <x:c r="G33" s="9" t="str">
        <x:v>B1</x:v>
      </x:c>
      <x:c r="H33" s="9" t="str">
        <x:v>RCN</x:v>
      </x:c>
      <x:c r="I33" s="9" t="n">
        <x:v>1</x:v>
      </x:c>
      <x:c r="J33" s="9" t="n">
        <x:v>1</x:v>
      </x:c>
      <x:c r="K33" s="9" t="str">
        <x:v>HC-A-C-N1</x:v>
      </x:c>
      <x:c r="L33" s="9" t="str">
        <x:v>ST07</x:v>
      </x:c>
      <x:c r="M33" s="17" t="str">
        <x:v>Environmental baseline</x:v>
      </x:c>
      <x:c r="N33" s="17" t="str">
        <x:v>pre-event boundary state is sealed before decisive operation</x:v>
      </x:c>
      <x:c r="O33" s="17" t="str">
        <x:v>Site metrology</x:v>
      </x:c>
      <x:c r="P33" s="9" t="n">
        <x:v>0</x:v>
      </x:c>
      <x:c r="Q33" s="9" t="n">
        <x:v>0</x:v>
      </x:c>
      <x:c r="R33" s="9" t="str">
        <x:v>OPEN / UNSTARTED</x:v>
      </x:c>
      <x:c r="S33" s="9" t="n">
        <x:f>COUNTIFS($A$7:$A$1446,A33)</x:f>
        <x:v>1</x:v>
      </x:c>
    </x:row>
    <x:row r="34">
      <x:c r="A34" s="9" t="str">
        <x:v>EV-AR-HC-A-C-TECH-1-B1-RCN-G0-ST08</x:v>
      </x:c>
      <x:c r="B34" s="9" t="str">
        <x:v>EV-AR-HC-A-C-TECH-1-B1-RCN-G0</x:v>
      </x:c>
      <x:c r="C34" s="9" t="str">
        <x:v>EOW-AR-HC-A-C-TECH-1-B1-RCN-G0</x:v>
      </x:c>
      <x:c r="D34" s="9" t="str">
        <x:v>AR-HC-A-C-TECH-1-B1-RCN-G0</x:v>
      </x:c>
      <x:c r="E34" s="9" t="str">
        <x:v>HC-A-C-TECH-1</x:v>
      </x:c>
      <x:c r="F34" s="9" t="str">
        <x:v>HC-A-C</x:v>
      </x:c>
      <x:c r="G34" s="9" t="str">
        <x:v>B1</x:v>
      </x:c>
      <x:c r="H34" s="9" t="str">
        <x:v>RCN</x:v>
      </x:c>
      <x:c r="I34" s="9" t="n">
        <x:v>1</x:v>
      </x:c>
      <x:c r="J34" s="9" t="n">
        <x:v>1</x:v>
      </x:c>
      <x:c r="K34" s="9" t="str">
        <x:v>HC-A-C-N1</x:v>
      </x:c>
      <x:c r="L34" s="9" t="str">
        <x:v>ST08</x:v>
      </x:c>
      <x:c r="M34" s="17" t="str">
        <x:v>Manual stop and safety</x:v>
      </x:c>
      <x:c r="N34" s="17" t="str">
        <x:v>local stop, evacuation and protection routes are active</x:v>
      </x:c>
      <x:c r="O34" s="17" t="str">
        <x:v>Safety authority</x:v>
      </x:c>
      <x:c r="P34" s="9" t="n">
        <x:v>0</x:v>
      </x:c>
      <x:c r="Q34" s="9" t="n">
        <x:v>0</x:v>
      </x:c>
      <x:c r="R34" s="9" t="str">
        <x:v>OPEN / UNSTARTED</x:v>
      </x:c>
      <x:c r="S34" s="9" t="n">
        <x:f>COUNTIFS($A$7:$A$1446,A34)</x:f>
        <x:v>1</x:v>
      </x:c>
    </x:row>
    <x:row r="35">
      <x:c r="A35" s="9" t="str">
        <x:v>EV-AR-HC-A-C-TECH-1-B1-RCN-G0-ST09</x:v>
      </x:c>
      <x:c r="B35" s="9" t="str">
        <x:v>EV-AR-HC-A-C-TECH-1-B1-RCN-G0</x:v>
      </x:c>
      <x:c r="C35" s="9" t="str">
        <x:v>EOW-AR-HC-A-C-TECH-1-B1-RCN-G0</x:v>
      </x:c>
      <x:c r="D35" s="9" t="str">
        <x:v>AR-HC-A-C-TECH-1-B1-RCN-G0</x:v>
      </x:c>
      <x:c r="E35" s="9" t="str">
        <x:v>HC-A-C-TECH-1</x:v>
      </x:c>
      <x:c r="F35" s="9" t="str">
        <x:v>HC-A-C</x:v>
      </x:c>
      <x:c r="G35" s="9" t="str">
        <x:v>B1</x:v>
      </x:c>
      <x:c r="H35" s="9" t="str">
        <x:v>RCN</x:v>
      </x:c>
      <x:c r="I35" s="9" t="n">
        <x:v>1</x:v>
      </x:c>
      <x:c r="J35" s="9" t="n">
        <x:v>1</x:v>
      </x:c>
      <x:c r="K35" s="9" t="str">
        <x:v>HC-A-C-N1</x:v>
      </x:c>
      <x:c r="L35" s="9" t="str">
        <x:v>ST09</x:v>
      </x:c>
      <x:c r="M35" s="17" t="str">
        <x:v>Operator conflict clear</x:v>
      </x:c>
      <x:c r="N35" s="17" t="str">
        <x:v>candidate, fixture, safety and measurement control edges remain separated</x:v>
      </x:c>
      <x:c r="O35" s="17" t="str">
        <x:v>Conflict registrar</x:v>
      </x:c>
      <x:c r="P35" s="9" t="n">
        <x:v>0</x:v>
      </x:c>
      <x:c r="Q35" s="9" t="n">
        <x:v>0</x:v>
      </x:c>
      <x:c r="R35" s="9" t="str">
        <x:v>OPEN / UNSTARTED</x:v>
      </x:c>
      <x:c r="S35" s="9" t="n">
        <x:f>COUNTIFS($A$7:$A$1446,A35)</x:f>
        <x:v>1</x:v>
      </x:c>
    </x:row>
    <x:row r="36">
      <x:c r="A36" s="9" t="str">
        <x:v>EV-AR-HC-A-C-TECH-1-B1-RCN-G0-ST10</x:v>
      </x:c>
      <x:c r="B36" s="9" t="str">
        <x:v>EV-AR-HC-A-C-TECH-1-B1-RCN-G0</x:v>
      </x:c>
      <x:c r="C36" s="9" t="str">
        <x:v>EOW-AR-HC-A-C-TECH-1-B1-RCN-G0</x:v>
      </x:c>
      <x:c r="D36" s="9" t="str">
        <x:v>AR-HC-A-C-TECH-1-B1-RCN-G0</x:v>
      </x:c>
      <x:c r="E36" s="9" t="str">
        <x:v>HC-A-C-TECH-1</x:v>
      </x:c>
      <x:c r="F36" s="9" t="str">
        <x:v>HC-A-C</x:v>
      </x:c>
      <x:c r="G36" s="9" t="str">
        <x:v>B1</x:v>
      </x:c>
      <x:c r="H36" s="9" t="str">
        <x:v>RCN</x:v>
      </x:c>
      <x:c r="I36" s="9" t="n">
        <x:v>1</x:v>
      </x:c>
      <x:c r="J36" s="9" t="n">
        <x:v>1</x:v>
      </x:c>
      <x:c r="K36" s="9" t="str">
        <x:v>HC-A-C-N1</x:v>
      </x:c>
      <x:c r="L36" s="9" t="str">
        <x:v>ST10</x:v>
      </x:c>
      <x:c r="M36" s="17" t="str">
        <x:v>Window and common clock</x:v>
      </x:c>
      <x:c r="N36" s="17" t="str">
        <x:v>epoch, window and public time origin match the issued warrant</x:v>
      </x:c>
      <x:c r="O36" s="17" t="str">
        <x:v>Event clock authority</x:v>
      </x:c>
      <x:c r="P36" s="9" t="n">
        <x:v>0</x:v>
      </x:c>
      <x:c r="Q36" s="9" t="n">
        <x:v>0</x:v>
      </x:c>
      <x:c r="R36" s="9" t="str">
        <x:v>OPEN / UNSTARTED</x:v>
      </x:c>
      <x:c r="S36" s="9" t="n">
        <x:f>COUNTIFS($A$7:$A$1446,A36)</x:f>
        <x:v>1</x:v>
      </x:c>
    </x:row>
    <x:row r="37">
      <x:c r="A37" s="9" t="str">
        <x:v>EV-AR-HU-A-B-TECH-4-B2-RCN-G0-ST01</x:v>
      </x:c>
      <x:c r="B37" s="9" t="str">
        <x:v>EV-AR-HU-A-B-TECH-4-B2-RCN-G0</x:v>
      </x:c>
      <x:c r="C37" s="9" t="str">
        <x:v>EOW-AR-HU-A-B-TECH-4-B2-RCN-G0</x:v>
      </x:c>
      <x:c r="D37" s="9" t="str">
        <x:v>AR-HU-A-B-TECH-4-B2-RCN-G0</x:v>
      </x:c>
      <x:c r="E37" s="9" t="str">
        <x:v>HU-A-B-TECH-4</x:v>
      </x:c>
      <x:c r="F37" s="9" t="str">
        <x:v>HU-A-B</x:v>
      </x:c>
      <x:c r="G37" s="9" t="str">
        <x:v>B2</x:v>
      </x:c>
      <x:c r="H37" s="9" t="str">
        <x:v>RCN</x:v>
      </x:c>
      <x:c r="I37" s="9" t="n">
        <x:v>1</x:v>
      </x:c>
      <x:c r="J37" s="9" t="n">
        <x:v>1</x:v>
      </x:c>
      <x:c r="K37" s="9" t="str">
        <x:v>HU-A-B-N1</x:v>
      </x:c>
      <x:c r="L37" s="9" t="str">
        <x:v>ST01</x:v>
      </x:c>
      <x:c r="M37" s="17" t="str">
        <x:v>Active opportunity warrant</x:v>
      </x:c>
      <x:c r="N37" s="17" t="str">
        <x:v>configuration-bound EOW is within its thirty-six-hour validity</x:v>
      </x:c>
      <x:c r="O37" s="17" t="str">
        <x:v>Start registrar</x:v>
      </x:c>
      <x:c r="P37" s="9" t="n">
        <x:v>0</x:v>
      </x:c>
      <x:c r="Q37" s="9" t="n">
        <x:v>0</x:v>
      </x:c>
      <x:c r="R37" s="9" t="str">
        <x:v>OPEN / UNSTARTED</x:v>
      </x:c>
      <x:c r="S37" s="9" t="n">
        <x:f>COUNTIFS($A$7:$A$1446,A37)</x:f>
        <x:v>1</x:v>
      </x:c>
    </x:row>
    <x:row r="38">
      <x:c r="A38" s="9" t="str">
        <x:v>EV-AR-HU-A-B-TECH-4-B2-RCN-G0-ST02</x:v>
      </x:c>
      <x:c r="B38" s="9" t="str">
        <x:v>EV-AR-HU-A-B-TECH-4-B2-RCN-G0</x:v>
      </x:c>
      <x:c r="C38" s="9" t="str">
        <x:v>EOW-AR-HU-A-B-TECH-4-B2-RCN-G0</x:v>
      </x:c>
      <x:c r="D38" s="9" t="str">
        <x:v>AR-HU-A-B-TECH-4-B2-RCN-G0</x:v>
      </x:c>
      <x:c r="E38" s="9" t="str">
        <x:v>HU-A-B-TECH-4</x:v>
      </x:c>
      <x:c r="F38" s="9" t="str">
        <x:v>HU-A-B</x:v>
      </x:c>
      <x:c r="G38" s="9" t="str">
        <x:v>B2</x:v>
      </x:c>
      <x:c r="H38" s="9" t="str">
        <x:v>RCN</x:v>
      </x:c>
      <x:c r="I38" s="9" t="n">
        <x:v>1</x:v>
      </x:c>
      <x:c r="J38" s="9" t="n">
        <x:v>1</x:v>
      </x:c>
      <x:c r="K38" s="9" t="str">
        <x:v>HU-A-B-N1</x:v>
      </x:c>
      <x:c r="L38" s="9" t="str">
        <x:v>ST02</x:v>
      </x:c>
      <x:c r="M38" s="17" t="str">
        <x:v>Frozen identity</x:v>
      </x:c>
      <x:c r="N38" s="17" t="str">
        <x:v>serial, generation, fixture, site, receiver and digest match the warrant</x:v>
      </x:c>
      <x:c r="O38" s="17" t="str">
        <x:v>Custody authority</x:v>
      </x:c>
      <x:c r="P38" s="9" t="n">
        <x:v>0</x:v>
      </x:c>
      <x:c r="Q38" s="9" t="n">
        <x:v>0</x:v>
      </x:c>
      <x:c r="R38" s="9" t="str">
        <x:v>OPEN / UNSTARTED</x:v>
      </x:c>
      <x:c r="S38" s="9" t="n">
        <x:f>COUNTIFS($A$7:$A$1446,A38)</x:f>
        <x:v>1</x:v>
      </x:c>
    </x:row>
    <x:row r="39">
      <x:c r="A39" s="9" t="str">
        <x:v>EV-AR-HU-A-B-TECH-4-B2-RCN-G0-ST03</x:v>
      </x:c>
      <x:c r="B39" s="9" t="str">
        <x:v>EV-AR-HU-A-B-TECH-4-B2-RCN-G0</x:v>
      </x:c>
      <x:c r="C39" s="9" t="str">
        <x:v>EOW-AR-HU-A-B-TECH-4-B2-RCN-G0</x:v>
      </x:c>
      <x:c r="D39" s="9" t="str">
        <x:v>AR-HU-A-B-TECH-4-B2-RCN-G0</x:v>
      </x:c>
      <x:c r="E39" s="9" t="str">
        <x:v>HU-A-B-TECH-4</x:v>
      </x:c>
      <x:c r="F39" s="9" t="str">
        <x:v>HU-A-B</x:v>
      </x:c>
      <x:c r="G39" s="9" t="str">
        <x:v>B2</x:v>
      </x:c>
      <x:c r="H39" s="9" t="str">
        <x:v>RCN</x:v>
      </x:c>
      <x:c r="I39" s="9" t="n">
        <x:v>1</x:v>
      </x:c>
      <x:c r="J39" s="9" t="n">
        <x:v>1</x:v>
      </x:c>
      <x:c r="K39" s="9" t="str">
        <x:v>HU-A-B-N1</x:v>
      </x:c>
      <x:c r="L39" s="9" t="str">
        <x:v>ST03</x:v>
      </x:c>
      <x:c r="M39" s="17" t="str">
        <x:v>Receiver receipt</x:v>
      </x:c>
      <x:c r="N39" s="17" t="str">
        <x:v>denominator, counterfactual, rights and stop receipt remain unchanged</x:v>
      </x:c>
      <x:c r="O39" s="17" t="str">
        <x:v>Receiver authority</x:v>
      </x:c>
      <x:c r="P39" s="9" t="n">
        <x:v>0</x:v>
      </x:c>
      <x:c r="Q39" s="9" t="n">
        <x:v>0</x:v>
      </x:c>
      <x:c r="R39" s="9" t="str">
        <x:v>OPEN / UNSTARTED</x:v>
      </x:c>
      <x:c r="S39" s="9" t="n">
        <x:f>COUNTIFS($A$7:$A$1446,A39)</x:f>
        <x:v>1</x:v>
      </x:c>
    </x:row>
    <x:row r="40">
      <x:c r="A40" s="9" t="str">
        <x:v>EV-AR-HU-A-B-TECH-4-B2-RCN-G0-ST04</x:v>
      </x:c>
      <x:c r="B40" s="9" t="str">
        <x:v>EV-AR-HU-A-B-TECH-4-B2-RCN-G0</x:v>
      </x:c>
      <x:c r="C40" s="9" t="str">
        <x:v>EOW-AR-HU-A-B-TECH-4-B2-RCN-G0</x:v>
      </x:c>
      <x:c r="D40" s="9" t="str">
        <x:v>AR-HU-A-B-TECH-4-B2-RCN-G0</x:v>
      </x:c>
      <x:c r="E40" s="9" t="str">
        <x:v>HU-A-B-TECH-4</x:v>
      </x:c>
      <x:c r="F40" s="9" t="str">
        <x:v>HU-A-B</x:v>
      </x:c>
      <x:c r="G40" s="9" t="str">
        <x:v>B2</x:v>
      </x:c>
      <x:c r="H40" s="9" t="str">
        <x:v>RCN</x:v>
      </x:c>
      <x:c r="I40" s="9" t="n">
        <x:v>1</x:v>
      </x:c>
      <x:c r="J40" s="9" t="n">
        <x:v>1</x:v>
      </x:c>
      <x:c r="K40" s="9" t="str">
        <x:v>HU-A-B-N1</x:v>
      </x:c>
      <x:c r="L40" s="9" t="str">
        <x:v>ST04</x:v>
      </x:c>
      <x:c r="M40" s="17" t="str">
        <x:v>Primary capture armed</x:v>
      </x:c>
      <x:c r="N40" s="17" t="str">
        <x:v>primary chain records sealed reference and live time</x:v>
      </x:c>
      <x:c r="O40" s="17" t="str">
        <x:v>Primary metrology</x:v>
      </x:c>
      <x:c r="P40" s="9" t="n">
        <x:v>0</x:v>
      </x:c>
      <x:c r="Q40" s="9" t="n">
        <x:v>0</x:v>
      </x:c>
      <x:c r="R40" s="9" t="str">
        <x:v>OPEN / UNSTARTED</x:v>
      </x:c>
      <x:c r="S40" s="9" t="n">
        <x:f>COUNTIFS($A$7:$A$1446,A40)</x:f>
        <x:v>1</x:v>
      </x:c>
    </x:row>
    <x:row r="41">
      <x:c r="A41" s="9" t="str">
        <x:v>EV-AR-HU-A-B-TECH-4-B2-RCN-G0-ST05</x:v>
      </x:c>
      <x:c r="B41" s="9" t="str">
        <x:v>EV-AR-HU-A-B-TECH-4-B2-RCN-G0</x:v>
      </x:c>
      <x:c r="C41" s="9" t="str">
        <x:v>EOW-AR-HU-A-B-TECH-4-B2-RCN-G0</x:v>
      </x:c>
      <x:c r="D41" s="9" t="str">
        <x:v>AR-HU-A-B-TECH-4-B2-RCN-G0</x:v>
      </x:c>
      <x:c r="E41" s="9" t="str">
        <x:v>HU-A-B-TECH-4</x:v>
      </x:c>
      <x:c r="F41" s="9" t="str">
        <x:v>HU-A-B</x:v>
      </x:c>
      <x:c r="G41" s="9" t="str">
        <x:v>B2</x:v>
      </x:c>
      <x:c r="H41" s="9" t="str">
        <x:v>RCN</x:v>
      </x:c>
      <x:c r="I41" s="9" t="n">
        <x:v>1</x:v>
      </x:c>
      <x:c r="J41" s="9" t="n">
        <x:v>1</x:v>
      </x:c>
      <x:c r="K41" s="9" t="str">
        <x:v>HU-A-B-N1</x:v>
      </x:c>
      <x:c r="L41" s="9" t="str">
        <x:v>ST05</x:v>
      </x:c>
      <x:c r="M41" s="17" t="str">
        <x:v>Witness capture armed</x:v>
      </x:c>
      <x:c r="N41" s="17" t="str">
        <x:v>unlike witness records independent reference and live time</x:v>
      </x:c>
      <x:c r="O41" s="17" t="str">
        <x:v>Witness metrology</x:v>
      </x:c>
      <x:c r="P41" s="9" t="n">
        <x:v>0</x:v>
      </x:c>
      <x:c r="Q41" s="9" t="n">
        <x:v>0</x:v>
      </x:c>
      <x:c r="R41" s="9" t="str">
        <x:v>OPEN / UNSTARTED</x:v>
      </x:c>
      <x:c r="S41" s="9" t="n">
        <x:f>COUNTIFS($A$7:$A$1446,A41)</x:f>
        <x:v>1</x:v>
      </x:c>
    </x:row>
    <x:row r="42">
      <x:c r="A42" s="9" t="str">
        <x:v>EV-AR-HU-A-B-TECH-4-B2-RCN-G0-ST06</x:v>
      </x:c>
      <x:c r="B42" s="9" t="str">
        <x:v>EV-AR-HU-A-B-TECH-4-B2-RCN-G0</x:v>
      </x:c>
      <x:c r="C42" s="9" t="str">
        <x:v>EOW-AR-HU-A-B-TECH-4-B2-RCN-G0</x:v>
      </x:c>
      <x:c r="D42" s="9" t="str">
        <x:v>AR-HU-A-B-TECH-4-B2-RCN-G0</x:v>
      </x:c>
      <x:c r="E42" s="9" t="str">
        <x:v>HU-A-B-TECH-4</x:v>
      </x:c>
      <x:c r="F42" s="9" t="str">
        <x:v>HU-A-B</x:v>
      </x:c>
      <x:c r="G42" s="9" t="str">
        <x:v>B2</x:v>
      </x:c>
      <x:c r="H42" s="9" t="str">
        <x:v>RCN</x:v>
      </x:c>
      <x:c r="I42" s="9" t="n">
        <x:v>1</x:v>
      </x:c>
      <x:c r="J42" s="9" t="n">
        <x:v>1</x:v>
      </x:c>
      <x:c r="K42" s="9" t="str">
        <x:v>HU-A-B-N1</x:v>
      </x:c>
      <x:c r="L42" s="9" t="str">
        <x:v>ST06</x:v>
      </x:c>
      <x:c r="M42" s="17" t="str">
        <x:v>Public custody armed</x:v>
      </x:c>
      <x:c r="N42" s="17" t="str">
        <x:v>eight raw origins have separated hash and replica routes</x:v>
      </x:c>
      <x:c r="O42" s="17" t="str">
        <x:v>Custody authority</x:v>
      </x:c>
      <x:c r="P42" s="9" t="n">
        <x:v>0</x:v>
      </x:c>
      <x:c r="Q42" s="9" t="n">
        <x:v>0</x:v>
      </x:c>
      <x:c r="R42" s="9" t="str">
        <x:v>OPEN / UNSTARTED</x:v>
      </x:c>
      <x:c r="S42" s="9" t="n">
        <x:f>COUNTIFS($A$7:$A$1446,A42)</x:f>
        <x:v>1</x:v>
      </x:c>
    </x:row>
    <x:row r="43">
      <x:c r="A43" s="9" t="str">
        <x:v>EV-AR-HU-A-B-TECH-4-B2-RCN-G0-ST07</x:v>
      </x:c>
      <x:c r="B43" s="9" t="str">
        <x:v>EV-AR-HU-A-B-TECH-4-B2-RCN-G0</x:v>
      </x:c>
      <x:c r="C43" s="9" t="str">
        <x:v>EOW-AR-HU-A-B-TECH-4-B2-RCN-G0</x:v>
      </x:c>
      <x:c r="D43" s="9" t="str">
        <x:v>AR-HU-A-B-TECH-4-B2-RCN-G0</x:v>
      </x:c>
      <x:c r="E43" s="9" t="str">
        <x:v>HU-A-B-TECH-4</x:v>
      </x:c>
      <x:c r="F43" s="9" t="str">
        <x:v>HU-A-B</x:v>
      </x:c>
      <x:c r="G43" s="9" t="str">
        <x:v>B2</x:v>
      </x:c>
      <x:c r="H43" s="9" t="str">
        <x:v>RCN</x:v>
      </x:c>
      <x:c r="I43" s="9" t="n">
        <x:v>1</x:v>
      </x:c>
      <x:c r="J43" s="9" t="n">
        <x:v>1</x:v>
      </x:c>
      <x:c r="K43" s="9" t="str">
        <x:v>HU-A-B-N1</x:v>
      </x:c>
      <x:c r="L43" s="9" t="str">
        <x:v>ST07</x:v>
      </x:c>
      <x:c r="M43" s="17" t="str">
        <x:v>Environmental baseline</x:v>
      </x:c>
      <x:c r="N43" s="17" t="str">
        <x:v>pre-event boundary state is sealed before decisive operation</x:v>
      </x:c>
      <x:c r="O43" s="17" t="str">
        <x:v>Site metrology</x:v>
      </x:c>
      <x:c r="P43" s="9" t="n">
        <x:v>0</x:v>
      </x:c>
      <x:c r="Q43" s="9" t="n">
        <x:v>0</x:v>
      </x:c>
      <x:c r="R43" s="9" t="str">
        <x:v>OPEN / UNSTARTED</x:v>
      </x:c>
      <x:c r="S43" s="9" t="n">
        <x:f>COUNTIFS($A$7:$A$1446,A43)</x:f>
        <x:v>1</x:v>
      </x:c>
    </x:row>
    <x:row r="44">
      <x:c r="A44" s="9" t="str">
        <x:v>EV-AR-HU-A-B-TECH-4-B2-RCN-G0-ST08</x:v>
      </x:c>
      <x:c r="B44" s="9" t="str">
        <x:v>EV-AR-HU-A-B-TECH-4-B2-RCN-G0</x:v>
      </x:c>
      <x:c r="C44" s="9" t="str">
        <x:v>EOW-AR-HU-A-B-TECH-4-B2-RCN-G0</x:v>
      </x:c>
      <x:c r="D44" s="9" t="str">
        <x:v>AR-HU-A-B-TECH-4-B2-RCN-G0</x:v>
      </x:c>
      <x:c r="E44" s="9" t="str">
        <x:v>HU-A-B-TECH-4</x:v>
      </x:c>
      <x:c r="F44" s="9" t="str">
        <x:v>HU-A-B</x:v>
      </x:c>
      <x:c r="G44" s="9" t="str">
        <x:v>B2</x:v>
      </x:c>
      <x:c r="H44" s="9" t="str">
        <x:v>RCN</x:v>
      </x:c>
      <x:c r="I44" s="9" t="n">
        <x:v>1</x:v>
      </x:c>
      <x:c r="J44" s="9" t="n">
        <x:v>1</x:v>
      </x:c>
      <x:c r="K44" s="9" t="str">
        <x:v>HU-A-B-N1</x:v>
      </x:c>
      <x:c r="L44" s="9" t="str">
        <x:v>ST08</x:v>
      </x:c>
      <x:c r="M44" s="17" t="str">
        <x:v>Manual stop and safety</x:v>
      </x:c>
      <x:c r="N44" s="17" t="str">
        <x:v>local stop, evacuation and protection routes are active</x:v>
      </x:c>
      <x:c r="O44" s="17" t="str">
        <x:v>Safety authority</x:v>
      </x:c>
      <x:c r="P44" s="9" t="n">
        <x:v>0</x:v>
      </x:c>
      <x:c r="Q44" s="9" t="n">
        <x:v>0</x:v>
      </x:c>
      <x:c r="R44" s="9" t="str">
        <x:v>OPEN / UNSTARTED</x:v>
      </x:c>
      <x:c r="S44" s="9" t="n">
        <x:f>COUNTIFS($A$7:$A$1446,A44)</x:f>
        <x:v>1</x:v>
      </x:c>
    </x:row>
    <x:row r="45">
      <x:c r="A45" s="9" t="str">
        <x:v>EV-AR-HU-A-B-TECH-4-B2-RCN-G0-ST09</x:v>
      </x:c>
      <x:c r="B45" s="9" t="str">
        <x:v>EV-AR-HU-A-B-TECH-4-B2-RCN-G0</x:v>
      </x:c>
      <x:c r="C45" s="9" t="str">
        <x:v>EOW-AR-HU-A-B-TECH-4-B2-RCN-G0</x:v>
      </x:c>
      <x:c r="D45" s="9" t="str">
        <x:v>AR-HU-A-B-TECH-4-B2-RCN-G0</x:v>
      </x:c>
      <x:c r="E45" s="9" t="str">
        <x:v>HU-A-B-TECH-4</x:v>
      </x:c>
      <x:c r="F45" s="9" t="str">
        <x:v>HU-A-B</x:v>
      </x:c>
      <x:c r="G45" s="9" t="str">
        <x:v>B2</x:v>
      </x:c>
      <x:c r="H45" s="9" t="str">
        <x:v>RCN</x:v>
      </x:c>
      <x:c r="I45" s="9" t="n">
        <x:v>1</x:v>
      </x:c>
      <x:c r="J45" s="9" t="n">
        <x:v>1</x:v>
      </x:c>
      <x:c r="K45" s="9" t="str">
        <x:v>HU-A-B-N1</x:v>
      </x:c>
      <x:c r="L45" s="9" t="str">
        <x:v>ST09</x:v>
      </x:c>
      <x:c r="M45" s="17" t="str">
        <x:v>Operator conflict clear</x:v>
      </x:c>
      <x:c r="N45" s="17" t="str">
        <x:v>candidate, fixture, safety and measurement control edges remain separated</x:v>
      </x:c>
      <x:c r="O45" s="17" t="str">
        <x:v>Conflict registrar</x:v>
      </x:c>
      <x:c r="P45" s="9" t="n">
        <x:v>0</x:v>
      </x:c>
      <x:c r="Q45" s="9" t="n">
        <x:v>0</x:v>
      </x:c>
      <x:c r="R45" s="9" t="str">
        <x:v>OPEN / UNSTARTED</x:v>
      </x:c>
      <x:c r="S45" s="9" t="n">
        <x:f>COUNTIFS($A$7:$A$1446,A45)</x:f>
        <x:v>1</x:v>
      </x:c>
    </x:row>
    <x:row r="46">
      <x:c r="A46" s="9" t="str">
        <x:v>EV-AR-HU-A-B-TECH-4-B2-RCN-G0-ST10</x:v>
      </x:c>
      <x:c r="B46" s="9" t="str">
        <x:v>EV-AR-HU-A-B-TECH-4-B2-RCN-G0</x:v>
      </x:c>
      <x:c r="C46" s="9" t="str">
        <x:v>EOW-AR-HU-A-B-TECH-4-B2-RCN-G0</x:v>
      </x:c>
      <x:c r="D46" s="9" t="str">
        <x:v>AR-HU-A-B-TECH-4-B2-RCN-G0</x:v>
      </x:c>
      <x:c r="E46" s="9" t="str">
        <x:v>HU-A-B-TECH-4</x:v>
      </x:c>
      <x:c r="F46" s="9" t="str">
        <x:v>HU-A-B</x:v>
      </x:c>
      <x:c r="G46" s="9" t="str">
        <x:v>B2</x:v>
      </x:c>
      <x:c r="H46" s="9" t="str">
        <x:v>RCN</x:v>
      </x:c>
      <x:c r="I46" s="9" t="n">
        <x:v>1</x:v>
      </x:c>
      <x:c r="J46" s="9" t="n">
        <x:v>1</x:v>
      </x:c>
      <x:c r="K46" s="9" t="str">
        <x:v>HU-A-B-N1</x:v>
      </x:c>
      <x:c r="L46" s="9" t="str">
        <x:v>ST10</x:v>
      </x:c>
      <x:c r="M46" s="17" t="str">
        <x:v>Window and common clock</x:v>
      </x:c>
      <x:c r="N46" s="17" t="str">
        <x:v>epoch, window and public time origin match the issued warrant</x:v>
      </x:c>
      <x:c r="O46" s="17" t="str">
        <x:v>Event clock authority</x:v>
      </x:c>
      <x:c r="P46" s="9" t="n">
        <x:v>0</x:v>
      </x:c>
      <x:c r="Q46" s="9" t="n">
        <x:v>0</x:v>
      </x:c>
      <x:c r="R46" s="9" t="str">
        <x:v>OPEN / UNSTARTED</x:v>
      </x:c>
      <x:c r="S46" s="9" t="n">
        <x:f>COUNTIFS($A$7:$A$1446,A46)</x:f>
        <x:v>1</x:v>
      </x:c>
    </x:row>
    <x:row r="47">
      <x:c r="A47" s="9" t="str">
        <x:v>EV-AR-HU-A-B-TECH-2-B2-INT-G0-ST01</x:v>
      </x:c>
      <x:c r="B47" s="9" t="str">
        <x:v>EV-AR-HU-A-B-TECH-2-B2-INT-G0</x:v>
      </x:c>
      <x:c r="C47" s="9" t="str">
        <x:v>EOW-AR-HU-A-B-TECH-2-B2-INT-G0</x:v>
      </x:c>
      <x:c r="D47" s="9" t="str">
        <x:v>AR-HU-A-B-TECH-2-B2-INT-G0</x:v>
      </x:c>
      <x:c r="E47" s="9" t="str">
        <x:v>HU-A-B-TECH-2</x:v>
      </x:c>
      <x:c r="F47" s="9" t="str">
        <x:v>HU-A-B</x:v>
      </x:c>
      <x:c r="G47" s="9" t="str">
        <x:v>B2</x:v>
      </x:c>
      <x:c r="H47" s="9" t="str">
        <x:v>INT</x:v>
      </x:c>
      <x:c r="I47" s="9" t="n">
        <x:v>1</x:v>
      </x:c>
      <x:c r="J47" s="9" t="n">
        <x:v>1</x:v>
      </x:c>
      <x:c r="K47" s="9" t="str">
        <x:v>HU-A-B-N2</x:v>
      </x:c>
      <x:c r="L47" s="9" t="str">
        <x:v>ST01</x:v>
      </x:c>
      <x:c r="M47" s="17" t="str">
        <x:v>Active opportunity warrant</x:v>
      </x:c>
      <x:c r="N47" s="17" t="str">
        <x:v>configuration-bound EOW is within its thirty-six-hour validity</x:v>
      </x:c>
      <x:c r="O47" s="17" t="str">
        <x:v>Start registrar</x:v>
      </x:c>
      <x:c r="P47" s="9" t="n">
        <x:v>0</x:v>
      </x:c>
      <x:c r="Q47" s="9" t="n">
        <x:v>0</x:v>
      </x:c>
      <x:c r="R47" s="9" t="str">
        <x:v>OPEN / UNSTARTED</x:v>
      </x:c>
      <x:c r="S47" s="9" t="n">
        <x:f>COUNTIFS($A$7:$A$1446,A47)</x:f>
        <x:v>1</x:v>
      </x:c>
    </x:row>
    <x:row r="48">
      <x:c r="A48" s="9" t="str">
        <x:v>EV-AR-HU-A-B-TECH-2-B2-INT-G0-ST02</x:v>
      </x:c>
      <x:c r="B48" s="9" t="str">
        <x:v>EV-AR-HU-A-B-TECH-2-B2-INT-G0</x:v>
      </x:c>
      <x:c r="C48" s="9" t="str">
        <x:v>EOW-AR-HU-A-B-TECH-2-B2-INT-G0</x:v>
      </x:c>
      <x:c r="D48" s="9" t="str">
        <x:v>AR-HU-A-B-TECH-2-B2-INT-G0</x:v>
      </x:c>
      <x:c r="E48" s="9" t="str">
        <x:v>HU-A-B-TECH-2</x:v>
      </x:c>
      <x:c r="F48" s="9" t="str">
        <x:v>HU-A-B</x:v>
      </x:c>
      <x:c r="G48" s="9" t="str">
        <x:v>B2</x:v>
      </x:c>
      <x:c r="H48" s="9" t="str">
        <x:v>INT</x:v>
      </x:c>
      <x:c r="I48" s="9" t="n">
        <x:v>1</x:v>
      </x:c>
      <x:c r="J48" s="9" t="n">
        <x:v>1</x:v>
      </x:c>
      <x:c r="K48" s="9" t="str">
        <x:v>HU-A-B-N2</x:v>
      </x:c>
      <x:c r="L48" s="9" t="str">
        <x:v>ST02</x:v>
      </x:c>
      <x:c r="M48" s="17" t="str">
        <x:v>Frozen identity</x:v>
      </x:c>
      <x:c r="N48" s="17" t="str">
        <x:v>serial, generation, fixture, site, receiver and digest match the warrant</x:v>
      </x:c>
      <x:c r="O48" s="17" t="str">
        <x:v>Custody authority</x:v>
      </x:c>
      <x:c r="P48" s="9" t="n">
        <x:v>0</x:v>
      </x:c>
      <x:c r="Q48" s="9" t="n">
        <x:v>0</x:v>
      </x:c>
      <x:c r="R48" s="9" t="str">
        <x:v>OPEN / UNSTARTED</x:v>
      </x:c>
      <x:c r="S48" s="9" t="n">
        <x:f>COUNTIFS($A$7:$A$1446,A48)</x:f>
        <x:v>1</x:v>
      </x:c>
    </x:row>
    <x:row r="49">
      <x:c r="A49" s="9" t="str">
        <x:v>EV-AR-HU-A-B-TECH-2-B2-INT-G0-ST03</x:v>
      </x:c>
      <x:c r="B49" s="9" t="str">
        <x:v>EV-AR-HU-A-B-TECH-2-B2-INT-G0</x:v>
      </x:c>
      <x:c r="C49" s="9" t="str">
        <x:v>EOW-AR-HU-A-B-TECH-2-B2-INT-G0</x:v>
      </x:c>
      <x:c r="D49" s="9" t="str">
        <x:v>AR-HU-A-B-TECH-2-B2-INT-G0</x:v>
      </x:c>
      <x:c r="E49" s="9" t="str">
        <x:v>HU-A-B-TECH-2</x:v>
      </x:c>
      <x:c r="F49" s="9" t="str">
        <x:v>HU-A-B</x:v>
      </x:c>
      <x:c r="G49" s="9" t="str">
        <x:v>B2</x:v>
      </x:c>
      <x:c r="H49" s="9" t="str">
        <x:v>INT</x:v>
      </x:c>
      <x:c r="I49" s="9" t="n">
        <x:v>1</x:v>
      </x:c>
      <x:c r="J49" s="9" t="n">
        <x:v>1</x:v>
      </x:c>
      <x:c r="K49" s="9" t="str">
        <x:v>HU-A-B-N2</x:v>
      </x:c>
      <x:c r="L49" s="9" t="str">
        <x:v>ST03</x:v>
      </x:c>
      <x:c r="M49" s="17" t="str">
        <x:v>Receiver receipt</x:v>
      </x:c>
      <x:c r="N49" s="17" t="str">
        <x:v>denominator, counterfactual, rights and stop receipt remain unchanged</x:v>
      </x:c>
      <x:c r="O49" s="17" t="str">
        <x:v>Receiver authority</x:v>
      </x:c>
      <x:c r="P49" s="9" t="n">
        <x:v>0</x:v>
      </x:c>
      <x:c r="Q49" s="9" t="n">
        <x:v>0</x:v>
      </x:c>
      <x:c r="R49" s="9" t="str">
        <x:v>OPEN / UNSTARTED</x:v>
      </x:c>
      <x:c r="S49" s="9" t="n">
        <x:f>COUNTIFS($A$7:$A$1446,A49)</x:f>
        <x:v>1</x:v>
      </x:c>
    </x:row>
    <x:row r="50">
      <x:c r="A50" s="9" t="str">
        <x:v>EV-AR-HU-A-B-TECH-2-B2-INT-G0-ST04</x:v>
      </x:c>
      <x:c r="B50" s="9" t="str">
        <x:v>EV-AR-HU-A-B-TECH-2-B2-INT-G0</x:v>
      </x:c>
      <x:c r="C50" s="9" t="str">
        <x:v>EOW-AR-HU-A-B-TECH-2-B2-INT-G0</x:v>
      </x:c>
      <x:c r="D50" s="9" t="str">
        <x:v>AR-HU-A-B-TECH-2-B2-INT-G0</x:v>
      </x:c>
      <x:c r="E50" s="9" t="str">
        <x:v>HU-A-B-TECH-2</x:v>
      </x:c>
      <x:c r="F50" s="9" t="str">
        <x:v>HU-A-B</x:v>
      </x:c>
      <x:c r="G50" s="9" t="str">
        <x:v>B2</x:v>
      </x:c>
      <x:c r="H50" s="9" t="str">
        <x:v>INT</x:v>
      </x:c>
      <x:c r="I50" s="9" t="n">
        <x:v>1</x:v>
      </x:c>
      <x:c r="J50" s="9" t="n">
        <x:v>1</x:v>
      </x:c>
      <x:c r="K50" s="9" t="str">
        <x:v>HU-A-B-N2</x:v>
      </x:c>
      <x:c r="L50" s="9" t="str">
        <x:v>ST04</x:v>
      </x:c>
      <x:c r="M50" s="17" t="str">
        <x:v>Primary capture armed</x:v>
      </x:c>
      <x:c r="N50" s="17" t="str">
        <x:v>primary chain records sealed reference and live time</x:v>
      </x:c>
      <x:c r="O50" s="17" t="str">
        <x:v>Primary metrology</x:v>
      </x:c>
      <x:c r="P50" s="9" t="n">
        <x:v>0</x:v>
      </x:c>
      <x:c r="Q50" s="9" t="n">
        <x:v>0</x:v>
      </x:c>
      <x:c r="R50" s="9" t="str">
        <x:v>OPEN / UNSTARTED</x:v>
      </x:c>
      <x:c r="S50" s="9" t="n">
        <x:f>COUNTIFS($A$7:$A$1446,A50)</x:f>
        <x:v>1</x:v>
      </x:c>
    </x:row>
    <x:row r="51">
      <x:c r="A51" s="9" t="str">
        <x:v>EV-AR-HU-A-B-TECH-2-B2-INT-G0-ST05</x:v>
      </x:c>
      <x:c r="B51" s="9" t="str">
        <x:v>EV-AR-HU-A-B-TECH-2-B2-INT-G0</x:v>
      </x:c>
      <x:c r="C51" s="9" t="str">
        <x:v>EOW-AR-HU-A-B-TECH-2-B2-INT-G0</x:v>
      </x:c>
      <x:c r="D51" s="9" t="str">
        <x:v>AR-HU-A-B-TECH-2-B2-INT-G0</x:v>
      </x:c>
      <x:c r="E51" s="9" t="str">
        <x:v>HU-A-B-TECH-2</x:v>
      </x:c>
      <x:c r="F51" s="9" t="str">
        <x:v>HU-A-B</x:v>
      </x:c>
      <x:c r="G51" s="9" t="str">
        <x:v>B2</x:v>
      </x:c>
      <x:c r="H51" s="9" t="str">
        <x:v>INT</x:v>
      </x:c>
      <x:c r="I51" s="9" t="n">
        <x:v>1</x:v>
      </x:c>
      <x:c r="J51" s="9" t="n">
        <x:v>1</x:v>
      </x:c>
      <x:c r="K51" s="9" t="str">
        <x:v>HU-A-B-N2</x:v>
      </x:c>
      <x:c r="L51" s="9" t="str">
        <x:v>ST05</x:v>
      </x:c>
      <x:c r="M51" s="17" t="str">
        <x:v>Witness capture armed</x:v>
      </x:c>
      <x:c r="N51" s="17" t="str">
        <x:v>unlike witness records independent reference and live time</x:v>
      </x:c>
      <x:c r="O51" s="17" t="str">
        <x:v>Witness metrology</x:v>
      </x:c>
      <x:c r="P51" s="9" t="n">
        <x:v>0</x:v>
      </x:c>
      <x:c r="Q51" s="9" t="n">
        <x:v>0</x:v>
      </x:c>
      <x:c r="R51" s="9" t="str">
        <x:v>OPEN / UNSTARTED</x:v>
      </x:c>
      <x:c r="S51" s="9" t="n">
        <x:f>COUNTIFS($A$7:$A$1446,A51)</x:f>
        <x:v>1</x:v>
      </x:c>
    </x:row>
    <x:row r="52">
      <x:c r="A52" s="9" t="str">
        <x:v>EV-AR-HU-A-B-TECH-2-B2-INT-G0-ST06</x:v>
      </x:c>
      <x:c r="B52" s="9" t="str">
        <x:v>EV-AR-HU-A-B-TECH-2-B2-INT-G0</x:v>
      </x:c>
      <x:c r="C52" s="9" t="str">
        <x:v>EOW-AR-HU-A-B-TECH-2-B2-INT-G0</x:v>
      </x:c>
      <x:c r="D52" s="9" t="str">
        <x:v>AR-HU-A-B-TECH-2-B2-INT-G0</x:v>
      </x:c>
      <x:c r="E52" s="9" t="str">
        <x:v>HU-A-B-TECH-2</x:v>
      </x:c>
      <x:c r="F52" s="9" t="str">
        <x:v>HU-A-B</x:v>
      </x:c>
      <x:c r="G52" s="9" t="str">
        <x:v>B2</x:v>
      </x:c>
      <x:c r="H52" s="9" t="str">
        <x:v>INT</x:v>
      </x:c>
      <x:c r="I52" s="9" t="n">
        <x:v>1</x:v>
      </x:c>
      <x:c r="J52" s="9" t="n">
        <x:v>1</x:v>
      </x:c>
      <x:c r="K52" s="9" t="str">
        <x:v>HU-A-B-N2</x:v>
      </x:c>
      <x:c r="L52" s="9" t="str">
        <x:v>ST06</x:v>
      </x:c>
      <x:c r="M52" s="17" t="str">
        <x:v>Public custody armed</x:v>
      </x:c>
      <x:c r="N52" s="17" t="str">
        <x:v>eight raw origins have separated hash and replica routes</x:v>
      </x:c>
      <x:c r="O52" s="17" t="str">
        <x:v>Custody authority</x:v>
      </x:c>
      <x:c r="P52" s="9" t="n">
        <x:v>0</x:v>
      </x:c>
      <x:c r="Q52" s="9" t="n">
        <x:v>0</x:v>
      </x:c>
      <x:c r="R52" s="9" t="str">
        <x:v>OPEN / UNSTARTED</x:v>
      </x:c>
      <x:c r="S52" s="9" t="n">
        <x:f>COUNTIFS($A$7:$A$1446,A52)</x:f>
        <x:v>1</x:v>
      </x:c>
    </x:row>
    <x:row r="53">
      <x:c r="A53" s="9" t="str">
        <x:v>EV-AR-HU-A-B-TECH-2-B2-INT-G0-ST07</x:v>
      </x:c>
      <x:c r="B53" s="9" t="str">
        <x:v>EV-AR-HU-A-B-TECH-2-B2-INT-G0</x:v>
      </x:c>
      <x:c r="C53" s="9" t="str">
        <x:v>EOW-AR-HU-A-B-TECH-2-B2-INT-G0</x:v>
      </x:c>
      <x:c r="D53" s="9" t="str">
        <x:v>AR-HU-A-B-TECH-2-B2-INT-G0</x:v>
      </x:c>
      <x:c r="E53" s="9" t="str">
        <x:v>HU-A-B-TECH-2</x:v>
      </x:c>
      <x:c r="F53" s="9" t="str">
        <x:v>HU-A-B</x:v>
      </x:c>
      <x:c r="G53" s="9" t="str">
        <x:v>B2</x:v>
      </x:c>
      <x:c r="H53" s="9" t="str">
        <x:v>INT</x:v>
      </x:c>
      <x:c r="I53" s="9" t="n">
        <x:v>1</x:v>
      </x:c>
      <x:c r="J53" s="9" t="n">
        <x:v>1</x:v>
      </x:c>
      <x:c r="K53" s="9" t="str">
        <x:v>HU-A-B-N2</x:v>
      </x:c>
      <x:c r="L53" s="9" t="str">
        <x:v>ST07</x:v>
      </x:c>
      <x:c r="M53" s="17" t="str">
        <x:v>Environmental baseline</x:v>
      </x:c>
      <x:c r="N53" s="17" t="str">
        <x:v>pre-event boundary state is sealed before decisive operation</x:v>
      </x:c>
      <x:c r="O53" s="17" t="str">
        <x:v>Site metrology</x:v>
      </x:c>
      <x:c r="P53" s="9" t="n">
        <x:v>0</x:v>
      </x:c>
      <x:c r="Q53" s="9" t="n">
        <x:v>0</x:v>
      </x:c>
      <x:c r="R53" s="9" t="str">
        <x:v>OPEN / UNSTARTED</x:v>
      </x:c>
      <x:c r="S53" s="9" t="n">
        <x:f>COUNTIFS($A$7:$A$1446,A53)</x:f>
        <x:v>1</x:v>
      </x:c>
    </x:row>
    <x:row r="54">
      <x:c r="A54" s="9" t="str">
        <x:v>EV-AR-HU-A-B-TECH-2-B2-INT-G0-ST08</x:v>
      </x:c>
      <x:c r="B54" s="9" t="str">
        <x:v>EV-AR-HU-A-B-TECH-2-B2-INT-G0</x:v>
      </x:c>
      <x:c r="C54" s="9" t="str">
        <x:v>EOW-AR-HU-A-B-TECH-2-B2-INT-G0</x:v>
      </x:c>
      <x:c r="D54" s="9" t="str">
        <x:v>AR-HU-A-B-TECH-2-B2-INT-G0</x:v>
      </x:c>
      <x:c r="E54" s="9" t="str">
        <x:v>HU-A-B-TECH-2</x:v>
      </x:c>
      <x:c r="F54" s="9" t="str">
        <x:v>HU-A-B</x:v>
      </x:c>
      <x:c r="G54" s="9" t="str">
        <x:v>B2</x:v>
      </x:c>
      <x:c r="H54" s="9" t="str">
        <x:v>INT</x:v>
      </x:c>
      <x:c r="I54" s="9" t="n">
        <x:v>1</x:v>
      </x:c>
      <x:c r="J54" s="9" t="n">
        <x:v>1</x:v>
      </x:c>
      <x:c r="K54" s="9" t="str">
        <x:v>HU-A-B-N2</x:v>
      </x:c>
      <x:c r="L54" s="9" t="str">
        <x:v>ST08</x:v>
      </x:c>
      <x:c r="M54" s="17" t="str">
        <x:v>Manual stop and safety</x:v>
      </x:c>
      <x:c r="N54" s="17" t="str">
        <x:v>local stop, evacuation and protection routes are active</x:v>
      </x:c>
      <x:c r="O54" s="17" t="str">
        <x:v>Safety authority</x:v>
      </x:c>
      <x:c r="P54" s="9" t="n">
        <x:v>0</x:v>
      </x:c>
      <x:c r="Q54" s="9" t="n">
        <x:v>0</x:v>
      </x:c>
      <x:c r="R54" s="9" t="str">
        <x:v>OPEN / UNSTARTED</x:v>
      </x:c>
      <x:c r="S54" s="9" t="n">
        <x:f>COUNTIFS($A$7:$A$1446,A54)</x:f>
        <x:v>1</x:v>
      </x:c>
    </x:row>
    <x:row r="55">
      <x:c r="A55" s="9" t="str">
        <x:v>EV-AR-HU-A-B-TECH-2-B2-INT-G0-ST09</x:v>
      </x:c>
      <x:c r="B55" s="9" t="str">
        <x:v>EV-AR-HU-A-B-TECH-2-B2-INT-G0</x:v>
      </x:c>
      <x:c r="C55" s="9" t="str">
        <x:v>EOW-AR-HU-A-B-TECH-2-B2-INT-G0</x:v>
      </x:c>
      <x:c r="D55" s="9" t="str">
        <x:v>AR-HU-A-B-TECH-2-B2-INT-G0</x:v>
      </x:c>
      <x:c r="E55" s="9" t="str">
        <x:v>HU-A-B-TECH-2</x:v>
      </x:c>
      <x:c r="F55" s="9" t="str">
        <x:v>HU-A-B</x:v>
      </x:c>
      <x:c r="G55" s="9" t="str">
        <x:v>B2</x:v>
      </x:c>
      <x:c r="H55" s="9" t="str">
        <x:v>INT</x:v>
      </x:c>
      <x:c r="I55" s="9" t="n">
        <x:v>1</x:v>
      </x:c>
      <x:c r="J55" s="9" t="n">
        <x:v>1</x:v>
      </x:c>
      <x:c r="K55" s="9" t="str">
        <x:v>HU-A-B-N2</x:v>
      </x:c>
      <x:c r="L55" s="9" t="str">
        <x:v>ST09</x:v>
      </x:c>
      <x:c r="M55" s="17" t="str">
        <x:v>Operator conflict clear</x:v>
      </x:c>
      <x:c r="N55" s="17" t="str">
        <x:v>candidate, fixture, safety and measurement control edges remain separated</x:v>
      </x:c>
      <x:c r="O55" s="17" t="str">
        <x:v>Conflict registrar</x:v>
      </x:c>
      <x:c r="P55" s="9" t="n">
        <x:v>0</x:v>
      </x:c>
      <x:c r="Q55" s="9" t="n">
        <x:v>0</x:v>
      </x:c>
      <x:c r="R55" s="9" t="str">
        <x:v>OPEN / UNSTARTED</x:v>
      </x:c>
      <x:c r="S55" s="9" t="n">
        <x:f>COUNTIFS($A$7:$A$1446,A55)</x:f>
        <x:v>1</x:v>
      </x:c>
    </x:row>
    <x:row r="56">
      <x:c r="A56" s="9" t="str">
        <x:v>EV-AR-HU-A-B-TECH-2-B2-INT-G0-ST10</x:v>
      </x:c>
      <x:c r="B56" s="9" t="str">
        <x:v>EV-AR-HU-A-B-TECH-2-B2-INT-G0</x:v>
      </x:c>
      <x:c r="C56" s="9" t="str">
        <x:v>EOW-AR-HU-A-B-TECH-2-B2-INT-G0</x:v>
      </x:c>
      <x:c r="D56" s="9" t="str">
        <x:v>AR-HU-A-B-TECH-2-B2-INT-G0</x:v>
      </x:c>
      <x:c r="E56" s="9" t="str">
        <x:v>HU-A-B-TECH-2</x:v>
      </x:c>
      <x:c r="F56" s="9" t="str">
        <x:v>HU-A-B</x:v>
      </x:c>
      <x:c r="G56" s="9" t="str">
        <x:v>B2</x:v>
      </x:c>
      <x:c r="H56" s="9" t="str">
        <x:v>INT</x:v>
      </x:c>
      <x:c r="I56" s="9" t="n">
        <x:v>1</x:v>
      </x:c>
      <x:c r="J56" s="9" t="n">
        <x:v>1</x:v>
      </x:c>
      <x:c r="K56" s="9" t="str">
        <x:v>HU-A-B-N2</x:v>
      </x:c>
      <x:c r="L56" s="9" t="str">
        <x:v>ST10</x:v>
      </x:c>
      <x:c r="M56" s="17" t="str">
        <x:v>Window and common clock</x:v>
      </x:c>
      <x:c r="N56" s="17" t="str">
        <x:v>epoch, window and public time origin match the issued warrant</x:v>
      </x:c>
      <x:c r="O56" s="17" t="str">
        <x:v>Event clock authority</x:v>
      </x:c>
      <x:c r="P56" s="9" t="n">
        <x:v>0</x:v>
      </x:c>
      <x:c r="Q56" s="9" t="n">
        <x:v>0</x:v>
      </x:c>
      <x:c r="R56" s="9" t="str">
        <x:v>OPEN / UNSTARTED</x:v>
      </x:c>
      <x:c r="S56" s="9" t="n">
        <x:f>COUNTIFS($A$7:$A$1446,A56)</x:f>
        <x:v>1</x:v>
      </x:c>
    </x:row>
    <x:row r="57">
      <x:c r="A57" s="9" t="str">
        <x:v>EV-AR-LF-B-A-TECH-4-B1-INT-G0-ST01</x:v>
      </x:c>
      <x:c r="B57" s="9" t="str">
        <x:v>EV-AR-LF-B-A-TECH-4-B1-INT-G0</x:v>
      </x:c>
      <x:c r="C57" s="9" t="str">
        <x:v>EOW-AR-LF-B-A-TECH-4-B1-INT-G0</x:v>
      </x:c>
      <x:c r="D57" s="9" t="str">
        <x:v>AR-LF-B-A-TECH-4-B1-INT-G0</x:v>
      </x:c>
      <x:c r="E57" s="9" t="str">
        <x:v>LF-B-A-TECH-4</x:v>
      </x:c>
      <x:c r="F57" s="9" t="str">
        <x:v>LF-B-A</x:v>
      </x:c>
      <x:c r="G57" s="9" t="str">
        <x:v>B1</x:v>
      </x:c>
      <x:c r="H57" s="9" t="str">
        <x:v>INT</x:v>
      </x:c>
      <x:c r="I57" s="9" t="n">
        <x:v>1</x:v>
      </x:c>
      <x:c r="J57" s="9" t="n">
        <x:v>1</x:v>
      </x:c>
      <x:c r="K57" s="9" t="str">
        <x:v>LF-B-A-N2</x:v>
      </x:c>
      <x:c r="L57" s="9" t="str">
        <x:v>ST01</x:v>
      </x:c>
      <x:c r="M57" s="17" t="str">
        <x:v>Active opportunity warrant</x:v>
      </x:c>
      <x:c r="N57" s="17" t="str">
        <x:v>configuration-bound EOW is within its thirty-six-hour validity</x:v>
      </x:c>
      <x:c r="O57" s="17" t="str">
        <x:v>Start registrar</x:v>
      </x:c>
      <x:c r="P57" s="9" t="n">
        <x:v>0</x:v>
      </x:c>
      <x:c r="Q57" s="9" t="n">
        <x:v>0</x:v>
      </x:c>
      <x:c r="R57" s="9" t="str">
        <x:v>OPEN / UNSTARTED</x:v>
      </x:c>
      <x:c r="S57" s="9" t="n">
        <x:f>COUNTIFS($A$7:$A$1446,A57)</x:f>
        <x:v>1</x:v>
      </x:c>
    </x:row>
    <x:row r="58">
      <x:c r="A58" s="9" t="str">
        <x:v>EV-AR-LF-B-A-TECH-4-B1-INT-G0-ST02</x:v>
      </x:c>
      <x:c r="B58" s="9" t="str">
        <x:v>EV-AR-LF-B-A-TECH-4-B1-INT-G0</x:v>
      </x:c>
      <x:c r="C58" s="9" t="str">
        <x:v>EOW-AR-LF-B-A-TECH-4-B1-INT-G0</x:v>
      </x:c>
      <x:c r="D58" s="9" t="str">
        <x:v>AR-LF-B-A-TECH-4-B1-INT-G0</x:v>
      </x:c>
      <x:c r="E58" s="9" t="str">
        <x:v>LF-B-A-TECH-4</x:v>
      </x:c>
      <x:c r="F58" s="9" t="str">
        <x:v>LF-B-A</x:v>
      </x:c>
      <x:c r="G58" s="9" t="str">
        <x:v>B1</x:v>
      </x:c>
      <x:c r="H58" s="9" t="str">
        <x:v>INT</x:v>
      </x:c>
      <x:c r="I58" s="9" t="n">
        <x:v>1</x:v>
      </x:c>
      <x:c r="J58" s="9" t="n">
        <x:v>1</x:v>
      </x:c>
      <x:c r="K58" s="9" t="str">
        <x:v>LF-B-A-N2</x:v>
      </x:c>
      <x:c r="L58" s="9" t="str">
        <x:v>ST02</x:v>
      </x:c>
      <x:c r="M58" s="17" t="str">
        <x:v>Frozen identity</x:v>
      </x:c>
      <x:c r="N58" s="17" t="str">
        <x:v>serial, generation, fixture, site, receiver and digest match the warrant</x:v>
      </x:c>
      <x:c r="O58" s="17" t="str">
        <x:v>Custody authority</x:v>
      </x:c>
      <x:c r="P58" s="9" t="n">
        <x:v>0</x:v>
      </x:c>
      <x:c r="Q58" s="9" t="n">
        <x:v>0</x:v>
      </x:c>
      <x:c r="R58" s="9" t="str">
        <x:v>OPEN / UNSTARTED</x:v>
      </x:c>
      <x:c r="S58" s="9" t="n">
        <x:f>COUNTIFS($A$7:$A$1446,A58)</x:f>
        <x:v>1</x:v>
      </x:c>
    </x:row>
    <x:row r="59">
      <x:c r="A59" s="9" t="str">
        <x:v>EV-AR-LF-B-A-TECH-4-B1-INT-G0-ST03</x:v>
      </x:c>
      <x:c r="B59" s="9" t="str">
        <x:v>EV-AR-LF-B-A-TECH-4-B1-INT-G0</x:v>
      </x:c>
      <x:c r="C59" s="9" t="str">
        <x:v>EOW-AR-LF-B-A-TECH-4-B1-INT-G0</x:v>
      </x:c>
      <x:c r="D59" s="9" t="str">
        <x:v>AR-LF-B-A-TECH-4-B1-INT-G0</x:v>
      </x:c>
      <x:c r="E59" s="9" t="str">
        <x:v>LF-B-A-TECH-4</x:v>
      </x:c>
      <x:c r="F59" s="9" t="str">
        <x:v>LF-B-A</x:v>
      </x:c>
      <x:c r="G59" s="9" t="str">
        <x:v>B1</x:v>
      </x:c>
      <x:c r="H59" s="9" t="str">
        <x:v>INT</x:v>
      </x:c>
      <x:c r="I59" s="9" t="n">
        <x:v>1</x:v>
      </x:c>
      <x:c r="J59" s="9" t="n">
        <x:v>1</x:v>
      </x:c>
      <x:c r="K59" s="9" t="str">
        <x:v>LF-B-A-N2</x:v>
      </x:c>
      <x:c r="L59" s="9" t="str">
        <x:v>ST03</x:v>
      </x:c>
      <x:c r="M59" s="17" t="str">
        <x:v>Receiver receipt</x:v>
      </x:c>
      <x:c r="N59" s="17" t="str">
        <x:v>denominator, counterfactual, rights and stop receipt remain unchanged</x:v>
      </x:c>
      <x:c r="O59" s="17" t="str">
        <x:v>Receiver authority</x:v>
      </x:c>
      <x:c r="P59" s="9" t="n">
        <x:v>0</x:v>
      </x:c>
      <x:c r="Q59" s="9" t="n">
        <x:v>0</x:v>
      </x:c>
      <x:c r="R59" s="9" t="str">
        <x:v>OPEN / UNSTARTED</x:v>
      </x:c>
      <x:c r="S59" s="9" t="n">
        <x:f>COUNTIFS($A$7:$A$1446,A59)</x:f>
        <x:v>1</x:v>
      </x:c>
    </x:row>
    <x:row r="60">
      <x:c r="A60" s="9" t="str">
        <x:v>EV-AR-LF-B-A-TECH-4-B1-INT-G0-ST04</x:v>
      </x:c>
      <x:c r="B60" s="9" t="str">
        <x:v>EV-AR-LF-B-A-TECH-4-B1-INT-G0</x:v>
      </x:c>
      <x:c r="C60" s="9" t="str">
        <x:v>EOW-AR-LF-B-A-TECH-4-B1-INT-G0</x:v>
      </x:c>
      <x:c r="D60" s="9" t="str">
        <x:v>AR-LF-B-A-TECH-4-B1-INT-G0</x:v>
      </x:c>
      <x:c r="E60" s="9" t="str">
        <x:v>LF-B-A-TECH-4</x:v>
      </x:c>
      <x:c r="F60" s="9" t="str">
        <x:v>LF-B-A</x:v>
      </x:c>
      <x:c r="G60" s="9" t="str">
        <x:v>B1</x:v>
      </x:c>
      <x:c r="H60" s="9" t="str">
        <x:v>INT</x:v>
      </x:c>
      <x:c r="I60" s="9" t="n">
        <x:v>1</x:v>
      </x:c>
      <x:c r="J60" s="9" t="n">
        <x:v>1</x:v>
      </x:c>
      <x:c r="K60" s="9" t="str">
        <x:v>LF-B-A-N2</x:v>
      </x:c>
      <x:c r="L60" s="9" t="str">
        <x:v>ST04</x:v>
      </x:c>
      <x:c r="M60" s="17" t="str">
        <x:v>Primary capture armed</x:v>
      </x:c>
      <x:c r="N60" s="17" t="str">
        <x:v>primary chain records sealed reference and live time</x:v>
      </x:c>
      <x:c r="O60" s="17" t="str">
        <x:v>Primary metrology</x:v>
      </x:c>
      <x:c r="P60" s="9" t="n">
        <x:v>0</x:v>
      </x:c>
      <x:c r="Q60" s="9" t="n">
        <x:v>0</x:v>
      </x:c>
      <x:c r="R60" s="9" t="str">
        <x:v>OPEN / UNSTARTED</x:v>
      </x:c>
      <x:c r="S60" s="9" t="n">
        <x:f>COUNTIFS($A$7:$A$1446,A60)</x:f>
        <x:v>1</x:v>
      </x:c>
    </x:row>
    <x:row r="61">
      <x:c r="A61" s="9" t="str">
        <x:v>EV-AR-LF-B-A-TECH-4-B1-INT-G0-ST05</x:v>
      </x:c>
      <x:c r="B61" s="9" t="str">
        <x:v>EV-AR-LF-B-A-TECH-4-B1-INT-G0</x:v>
      </x:c>
      <x:c r="C61" s="9" t="str">
        <x:v>EOW-AR-LF-B-A-TECH-4-B1-INT-G0</x:v>
      </x:c>
      <x:c r="D61" s="9" t="str">
        <x:v>AR-LF-B-A-TECH-4-B1-INT-G0</x:v>
      </x:c>
      <x:c r="E61" s="9" t="str">
        <x:v>LF-B-A-TECH-4</x:v>
      </x:c>
      <x:c r="F61" s="9" t="str">
        <x:v>LF-B-A</x:v>
      </x:c>
      <x:c r="G61" s="9" t="str">
        <x:v>B1</x:v>
      </x:c>
      <x:c r="H61" s="9" t="str">
        <x:v>INT</x:v>
      </x:c>
      <x:c r="I61" s="9" t="n">
        <x:v>1</x:v>
      </x:c>
      <x:c r="J61" s="9" t="n">
        <x:v>1</x:v>
      </x:c>
      <x:c r="K61" s="9" t="str">
        <x:v>LF-B-A-N2</x:v>
      </x:c>
      <x:c r="L61" s="9" t="str">
        <x:v>ST05</x:v>
      </x:c>
      <x:c r="M61" s="17" t="str">
        <x:v>Witness capture armed</x:v>
      </x:c>
      <x:c r="N61" s="17" t="str">
        <x:v>unlike witness records independent reference and live time</x:v>
      </x:c>
      <x:c r="O61" s="17" t="str">
        <x:v>Witness metrology</x:v>
      </x:c>
      <x:c r="P61" s="9" t="n">
        <x:v>0</x:v>
      </x:c>
      <x:c r="Q61" s="9" t="n">
        <x:v>0</x:v>
      </x:c>
      <x:c r="R61" s="9" t="str">
        <x:v>OPEN / UNSTARTED</x:v>
      </x:c>
      <x:c r="S61" s="9" t="n">
        <x:f>COUNTIFS($A$7:$A$1446,A61)</x:f>
        <x:v>1</x:v>
      </x:c>
    </x:row>
    <x:row r="62">
      <x:c r="A62" s="9" t="str">
        <x:v>EV-AR-LF-B-A-TECH-4-B1-INT-G0-ST06</x:v>
      </x:c>
      <x:c r="B62" s="9" t="str">
        <x:v>EV-AR-LF-B-A-TECH-4-B1-INT-G0</x:v>
      </x:c>
      <x:c r="C62" s="9" t="str">
        <x:v>EOW-AR-LF-B-A-TECH-4-B1-INT-G0</x:v>
      </x:c>
      <x:c r="D62" s="9" t="str">
        <x:v>AR-LF-B-A-TECH-4-B1-INT-G0</x:v>
      </x:c>
      <x:c r="E62" s="9" t="str">
        <x:v>LF-B-A-TECH-4</x:v>
      </x:c>
      <x:c r="F62" s="9" t="str">
        <x:v>LF-B-A</x:v>
      </x:c>
      <x:c r="G62" s="9" t="str">
        <x:v>B1</x:v>
      </x:c>
      <x:c r="H62" s="9" t="str">
        <x:v>INT</x:v>
      </x:c>
      <x:c r="I62" s="9" t="n">
        <x:v>1</x:v>
      </x:c>
      <x:c r="J62" s="9" t="n">
        <x:v>1</x:v>
      </x:c>
      <x:c r="K62" s="9" t="str">
        <x:v>LF-B-A-N2</x:v>
      </x:c>
      <x:c r="L62" s="9" t="str">
        <x:v>ST06</x:v>
      </x:c>
      <x:c r="M62" s="17" t="str">
        <x:v>Public custody armed</x:v>
      </x:c>
      <x:c r="N62" s="17" t="str">
        <x:v>eight raw origins have separated hash and replica routes</x:v>
      </x:c>
      <x:c r="O62" s="17" t="str">
        <x:v>Custody authority</x:v>
      </x:c>
      <x:c r="P62" s="9" t="n">
        <x:v>0</x:v>
      </x:c>
      <x:c r="Q62" s="9" t="n">
        <x:v>0</x:v>
      </x:c>
      <x:c r="R62" s="9" t="str">
        <x:v>OPEN / UNSTARTED</x:v>
      </x:c>
      <x:c r="S62" s="9" t="n">
        <x:f>COUNTIFS($A$7:$A$1446,A62)</x:f>
        <x:v>1</x:v>
      </x:c>
    </x:row>
    <x:row r="63">
      <x:c r="A63" s="9" t="str">
        <x:v>EV-AR-LF-B-A-TECH-4-B1-INT-G0-ST07</x:v>
      </x:c>
      <x:c r="B63" s="9" t="str">
        <x:v>EV-AR-LF-B-A-TECH-4-B1-INT-G0</x:v>
      </x:c>
      <x:c r="C63" s="9" t="str">
        <x:v>EOW-AR-LF-B-A-TECH-4-B1-INT-G0</x:v>
      </x:c>
      <x:c r="D63" s="9" t="str">
        <x:v>AR-LF-B-A-TECH-4-B1-INT-G0</x:v>
      </x:c>
      <x:c r="E63" s="9" t="str">
        <x:v>LF-B-A-TECH-4</x:v>
      </x:c>
      <x:c r="F63" s="9" t="str">
        <x:v>LF-B-A</x:v>
      </x:c>
      <x:c r="G63" s="9" t="str">
        <x:v>B1</x:v>
      </x:c>
      <x:c r="H63" s="9" t="str">
        <x:v>INT</x:v>
      </x:c>
      <x:c r="I63" s="9" t="n">
        <x:v>1</x:v>
      </x:c>
      <x:c r="J63" s="9" t="n">
        <x:v>1</x:v>
      </x:c>
      <x:c r="K63" s="9" t="str">
        <x:v>LF-B-A-N2</x:v>
      </x:c>
      <x:c r="L63" s="9" t="str">
        <x:v>ST07</x:v>
      </x:c>
      <x:c r="M63" s="17" t="str">
        <x:v>Environmental baseline</x:v>
      </x:c>
      <x:c r="N63" s="17" t="str">
        <x:v>pre-event boundary state is sealed before decisive operation</x:v>
      </x:c>
      <x:c r="O63" s="17" t="str">
        <x:v>Site metrology</x:v>
      </x:c>
      <x:c r="P63" s="9" t="n">
        <x:v>0</x:v>
      </x:c>
      <x:c r="Q63" s="9" t="n">
        <x:v>0</x:v>
      </x:c>
      <x:c r="R63" s="9" t="str">
        <x:v>OPEN / UNSTARTED</x:v>
      </x:c>
      <x:c r="S63" s="9" t="n">
        <x:f>COUNTIFS($A$7:$A$1446,A63)</x:f>
        <x:v>1</x:v>
      </x:c>
    </x:row>
    <x:row r="64">
      <x:c r="A64" s="9" t="str">
        <x:v>EV-AR-LF-B-A-TECH-4-B1-INT-G0-ST08</x:v>
      </x:c>
      <x:c r="B64" s="9" t="str">
        <x:v>EV-AR-LF-B-A-TECH-4-B1-INT-G0</x:v>
      </x:c>
      <x:c r="C64" s="9" t="str">
        <x:v>EOW-AR-LF-B-A-TECH-4-B1-INT-G0</x:v>
      </x:c>
      <x:c r="D64" s="9" t="str">
        <x:v>AR-LF-B-A-TECH-4-B1-INT-G0</x:v>
      </x:c>
      <x:c r="E64" s="9" t="str">
        <x:v>LF-B-A-TECH-4</x:v>
      </x:c>
      <x:c r="F64" s="9" t="str">
        <x:v>LF-B-A</x:v>
      </x:c>
      <x:c r="G64" s="9" t="str">
        <x:v>B1</x:v>
      </x:c>
      <x:c r="H64" s="9" t="str">
        <x:v>INT</x:v>
      </x:c>
      <x:c r="I64" s="9" t="n">
        <x:v>1</x:v>
      </x:c>
      <x:c r="J64" s="9" t="n">
        <x:v>1</x:v>
      </x:c>
      <x:c r="K64" s="9" t="str">
        <x:v>LF-B-A-N2</x:v>
      </x:c>
      <x:c r="L64" s="9" t="str">
        <x:v>ST08</x:v>
      </x:c>
      <x:c r="M64" s="17" t="str">
        <x:v>Manual stop and safety</x:v>
      </x:c>
      <x:c r="N64" s="17" t="str">
        <x:v>local stop, evacuation and protection routes are active</x:v>
      </x:c>
      <x:c r="O64" s="17" t="str">
        <x:v>Safety authority</x:v>
      </x:c>
      <x:c r="P64" s="9" t="n">
        <x:v>0</x:v>
      </x:c>
      <x:c r="Q64" s="9" t="n">
        <x:v>0</x:v>
      </x:c>
      <x:c r="R64" s="9" t="str">
        <x:v>OPEN / UNSTARTED</x:v>
      </x:c>
      <x:c r="S64" s="9" t="n">
        <x:f>COUNTIFS($A$7:$A$1446,A64)</x:f>
        <x:v>1</x:v>
      </x:c>
    </x:row>
    <x:row r="65">
      <x:c r="A65" s="9" t="str">
        <x:v>EV-AR-LF-B-A-TECH-4-B1-INT-G0-ST09</x:v>
      </x:c>
      <x:c r="B65" s="9" t="str">
        <x:v>EV-AR-LF-B-A-TECH-4-B1-INT-G0</x:v>
      </x:c>
      <x:c r="C65" s="9" t="str">
        <x:v>EOW-AR-LF-B-A-TECH-4-B1-INT-G0</x:v>
      </x:c>
      <x:c r="D65" s="9" t="str">
        <x:v>AR-LF-B-A-TECH-4-B1-INT-G0</x:v>
      </x:c>
      <x:c r="E65" s="9" t="str">
        <x:v>LF-B-A-TECH-4</x:v>
      </x:c>
      <x:c r="F65" s="9" t="str">
        <x:v>LF-B-A</x:v>
      </x:c>
      <x:c r="G65" s="9" t="str">
        <x:v>B1</x:v>
      </x:c>
      <x:c r="H65" s="9" t="str">
        <x:v>INT</x:v>
      </x:c>
      <x:c r="I65" s="9" t="n">
        <x:v>1</x:v>
      </x:c>
      <x:c r="J65" s="9" t="n">
        <x:v>1</x:v>
      </x:c>
      <x:c r="K65" s="9" t="str">
        <x:v>LF-B-A-N2</x:v>
      </x:c>
      <x:c r="L65" s="9" t="str">
        <x:v>ST09</x:v>
      </x:c>
      <x:c r="M65" s="17" t="str">
        <x:v>Operator conflict clear</x:v>
      </x:c>
      <x:c r="N65" s="17" t="str">
        <x:v>candidate, fixture, safety and measurement control edges remain separated</x:v>
      </x:c>
      <x:c r="O65" s="17" t="str">
        <x:v>Conflict registrar</x:v>
      </x:c>
      <x:c r="P65" s="9" t="n">
        <x:v>0</x:v>
      </x:c>
      <x:c r="Q65" s="9" t="n">
        <x:v>0</x:v>
      </x:c>
      <x:c r="R65" s="9" t="str">
        <x:v>OPEN / UNSTARTED</x:v>
      </x:c>
      <x:c r="S65" s="9" t="n">
        <x:f>COUNTIFS($A$7:$A$1446,A65)</x:f>
        <x:v>1</x:v>
      </x:c>
    </x:row>
    <x:row r="66">
      <x:c r="A66" s="9" t="str">
        <x:v>EV-AR-LF-B-A-TECH-4-B1-INT-G0-ST10</x:v>
      </x:c>
      <x:c r="B66" s="9" t="str">
        <x:v>EV-AR-LF-B-A-TECH-4-B1-INT-G0</x:v>
      </x:c>
      <x:c r="C66" s="9" t="str">
        <x:v>EOW-AR-LF-B-A-TECH-4-B1-INT-G0</x:v>
      </x:c>
      <x:c r="D66" s="9" t="str">
        <x:v>AR-LF-B-A-TECH-4-B1-INT-G0</x:v>
      </x:c>
      <x:c r="E66" s="9" t="str">
        <x:v>LF-B-A-TECH-4</x:v>
      </x:c>
      <x:c r="F66" s="9" t="str">
        <x:v>LF-B-A</x:v>
      </x:c>
      <x:c r="G66" s="9" t="str">
        <x:v>B1</x:v>
      </x:c>
      <x:c r="H66" s="9" t="str">
        <x:v>INT</x:v>
      </x:c>
      <x:c r="I66" s="9" t="n">
        <x:v>1</x:v>
      </x:c>
      <x:c r="J66" s="9" t="n">
        <x:v>1</x:v>
      </x:c>
      <x:c r="K66" s="9" t="str">
        <x:v>LF-B-A-N2</x:v>
      </x:c>
      <x:c r="L66" s="9" t="str">
        <x:v>ST10</x:v>
      </x:c>
      <x:c r="M66" s="17" t="str">
        <x:v>Window and common clock</x:v>
      </x:c>
      <x:c r="N66" s="17" t="str">
        <x:v>epoch, window and public time origin match the issued warrant</x:v>
      </x:c>
      <x:c r="O66" s="17" t="str">
        <x:v>Event clock authority</x:v>
      </x:c>
      <x:c r="P66" s="9" t="n">
        <x:v>0</x:v>
      </x:c>
      <x:c r="Q66" s="9" t="n">
        <x:v>0</x:v>
      </x:c>
      <x:c r="R66" s="9" t="str">
        <x:v>OPEN / UNSTARTED</x:v>
      </x:c>
      <x:c r="S66" s="9" t="n">
        <x:f>COUNTIFS($A$7:$A$1446,A66)</x:f>
        <x:v>1</x:v>
      </x:c>
    </x:row>
    <x:row r="67">
      <x:c r="A67" s="9" t="str">
        <x:v>EV-AR-ET-A-A-TECH-1-B1-INT-G0-ST01</x:v>
      </x:c>
      <x:c r="B67" s="9" t="str">
        <x:v>EV-AR-ET-A-A-TECH-1-B1-INT-G0</x:v>
      </x:c>
      <x:c r="C67" s="9" t="str">
        <x:v>EOW-AR-ET-A-A-TECH-1-B1-INT-G0</x:v>
      </x:c>
      <x:c r="D67" s="9" t="str">
        <x:v>AR-ET-A-A-TECH-1-B1-INT-G0</x:v>
      </x:c>
      <x:c r="E67" s="9" t="str">
        <x:v>ET-A-A-TECH-1</x:v>
      </x:c>
      <x:c r="F67" s="9" t="str">
        <x:v>ET-A-A</x:v>
      </x:c>
      <x:c r="G67" s="9" t="str">
        <x:v>B1</x:v>
      </x:c>
      <x:c r="H67" s="9" t="str">
        <x:v>INT</x:v>
      </x:c>
      <x:c r="I67" s="9" t="n">
        <x:v>1</x:v>
      </x:c>
      <x:c r="J67" s="9" t="n">
        <x:v>2</x:v>
      </x:c>
      <x:c r="K67" s="9" t="str">
        <x:v>ET-A-A-N1</x:v>
      </x:c>
      <x:c r="L67" s="9" t="str">
        <x:v>ST01</x:v>
      </x:c>
      <x:c r="M67" s="17" t="str">
        <x:v>Active opportunity warrant</x:v>
      </x:c>
      <x:c r="N67" s="17" t="str">
        <x:v>configuration-bound EOW is within its thirty-six-hour validity</x:v>
      </x:c>
      <x:c r="O67" s="17" t="str">
        <x:v>Start registrar</x:v>
      </x:c>
      <x:c r="P67" s="9" t="n">
        <x:v>0</x:v>
      </x:c>
      <x:c r="Q67" s="9" t="n">
        <x:v>0</x:v>
      </x:c>
      <x:c r="R67" s="9" t="str">
        <x:v>OPEN / UNSTARTED</x:v>
      </x:c>
      <x:c r="S67" s="9" t="n">
        <x:f>COUNTIFS($A$7:$A$1446,A67)</x:f>
        <x:v>1</x:v>
      </x:c>
    </x:row>
    <x:row r="68">
      <x:c r="A68" s="9" t="str">
        <x:v>EV-AR-ET-A-A-TECH-1-B1-INT-G0-ST02</x:v>
      </x:c>
      <x:c r="B68" s="9" t="str">
        <x:v>EV-AR-ET-A-A-TECH-1-B1-INT-G0</x:v>
      </x:c>
      <x:c r="C68" s="9" t="str">
        <x:v>EOW-AR-ET-A-A-TECH-1-B1-INT-G0</x:v>
      </x:c>
      <x:c r="D68" s="9" t="str">
        <x:v>AR-ET-A-A-TECH-1-B1-INT-G0</x:v>
      </x:c>
      <x:c r="E68" s="9" t="str">
        <x:v>ET-A-A-TECH-1</x:v>
      </x:c>
      <x:c r="F68" s="9" t="str">
        <x:v>ET-A-A</x:v>
      </x:c>
      <x:c r="G68" s="9" t="str">
        <x:v>B1</x:v>
      </x:c>
      <x:c r="H68" s="9" t="str">
        <x:v>INT</x:v>
      </x:c>
      <x:c r="I68" s="9" t="n">
        <x:v>1</x:v>
      </x:c>
      <x:c r="J68" s="9" t="n">
        <x:v>2</x:v>
      </x:c>
      <x:c r="K68" s="9" t="str">
        <x:v>ET-A-A-N1</x:v>
      </x:c>
      <x:c r="L68" s="9" t="str">
        <x:v>ST02</x:v>
      </x:c>
      <x:c r="M68" s="17" t="str">
        <x:v>Frozen identity</x:v>
      </x:c>
      <x:c r="N68" s="17" t="str">
        <x:v>serial, generation, fixture, site, receiver and digest match the warrant</x:v>
      </x:c>
      <x:c r="O68" s="17" t="str">
        <x:v>Custody authority</x:v>
      </x:c>
      <x:c r="P68" s="9" t="n">
        <x:v>0</x:v>
      </x:c>
      <x:c r="Q68" s="9" t="n">
        <x:v>0</x:v>
      </x:c>
      <x:c r="R68" s="9" t="str">
        <x:v>OPEN / UNSTARTED</x:v>
      </x:c>
      <x:c r="S68" s="9" t="n">
        <x:f>COUNTIFS($A$7:$A$1446,A68)</x:f>
        <x:v>1</x:v>
      </x:c>
    </x:row>
    <x:row r="69">
      <x:c r="A69" s="9" t="str">
        <x:v>EV-AR-ET-A-A-TECH-1-B1-INT-G0-ST03</x:v>
      </x:c>
      <x:c r="B69" s="9" t="str">
        <x:v>EV-AR-ET-A-A-TECH-1-B1-INT-G0</x:v>
      </x:c>
      <x:c r="C69" s="9" t="str">
        <x:v>EOW-AR-ET-A-A-TECH-1-B1-INT-G0</x:v>
      </x:c>
      <x:c r="D69" s="9" t="str">
        <x:v>AR-ET-A-A-TECH-1-B1-INT-G0</x:v>
      </x:c>
      <x:c r="E69" s="9" t="str">
        <x:v>ET-A-A-TECH-1</x:v>
      </x:c>
      <x:c r="F69" s="9" t="str">
        <x:v>ET-A-A</x:v>
      </x:c>
      <x:c r="G69" s="9" t="str">
        <x:v>B1</x:v>
      </x:c>
      <x:c r="H69" s="9" t="str">
        <x:v>INT</x:v>
      </x:c>
      <x:c r="I69" s="9" t="n">
        <x:v>1</x:v>
      </x:c>
      <x:c r="J69" s="9" t="n">
        <x:v>2</x:v>
      </x:c>
      <x:c r="K69" s="9" t="str">
        <x:v>ET-A-A-N1</x:v>
      </x:c>
      <x:c r="L69" s="9" t="str">
        <x:v>ST03</x:v>
      </x:c>
      <x:c r="M69" s="17" t="str">
        <x:v>Receiver receipt</x:v>
      </x:c>
      <x:c r="N69" s="17" t="str">
        <x:v>denominator, counterfactual, rights and stop receipt remain unchanged</x:v>
      </x:c>
      <x:c r="O69" s="17" t="str">
        <x:v>Receiver authority</x:v>
      </x:c>
      <x:c r="P69" s="9" t="n">
        <x:v>0</x:v>
      </x:c>
      <x:c r="Q69" s="9" t="n">
        <x:v>0</x:v>
      </x:c>
      <x:c r="R69" s="9" t="str">
        <x:v>OPEN / UNSTARTED</x:v>
      </x:c>
      <x:c r="S69" s="9" t="n">
        <x:f>COUNTIFS($A$7:$A$1446,A69)</x:f>
        <x:v>1</x:v>
      </x:c>
    </x:row>
    <x:row r="70">
      <x:c r="A70" s="9" t="str">
        <x:v>EV-AR-ET-A-A-TECH-1-B1-INT-G0-ST04</x:v>
      </x:c>
      <x:c r="B70" s="9" t="str">
        <x:v>EV-AR-ET-A-A-TECH-1-B1-INT-G0</x:v>
      </x:c>
      <x:c r="C70" s="9" t="str">
        <x:v>EOW-AR-ET-A-A-TECH-1-B1-INT-G0</x:v>
      </x:c>
      <x:c r="D70" s="9" t="str">
        <x:v>AR-ET-A-A-TECH-1-B1-INT-G0</x:v>
      </x:c>
      <x:c r="E70" s="9" t="str">
        <x:v>ET-A-A-TECH-1</x:v>
      </x:c>
      <x:c r="F70" s="9" t="str">
        <x:v>ET-A-A</x:v>
      </x:c>
      <x:c r="G70" s="9" t="str">
        <x:v>B1</x:v>
      </x:c>
      <x:c r="H70" s="9" t="str">
        <x:v>INT</x:v>
      </x:c>
      <x:c r="I70" s="9" t="n">
        <x:v>1</x:v>
      </x:c>
      <x:c r="J70" s="9" t="n">
        <x:v>2</x:v>
      </x:c>
      <x:c r="K70" s="9" t="str">
        <x:v>ET-A-A-N1</x:v>
      </x:c>
      <x:c r="L70" s="9" t="str">
        <x:v>ST04</x:v>
      </x:c>
      <x:c r="M70" s="17" t="str">
        <x:v>Primary capture armed</x:v>
      </x:c>
      <x:c r="N70" s="17" t="str">
        <x:v>primary chain records sealed reference and live time</x:v>
      </x:c>
      <x:c r="O70" s="17" t="str">
        <x:v>Primary metrology</x:v>
      </x:c>
      <x:c r="P70" s="9" t="n">
        <x:v>0</x:v>
      </x:c>
      <x:c r="Q70" s="9" t="n">
        <x:v>0</x:v>
      </x:c>
      <x:c r="R70" s="9" t="str">
        <x:v>OPEN / UNSTARTED</x:v>
      </x:c>
      <x:c r="S70" s="9" t="n">
        <x:f>COUNTIFS($A$7:$A$1446,A70)</x:f>
        <x:v>1</x:v>
      </x:c>
    </x:row>
    <x:row r="71">
      <x:c r="A71" s="9" t="str">
        <x:v>EV-AR-ET-A-A-TECH-1-B1-INT-G0-ST05</x:v>
      </x:c>
      <x:c r="B71" s="9" t="str">
        <x:v>EV-AR-ET-A-A-TECH-1-B1-INT-G0</x:v>
      </x:c>
      <x:c r="C71" s="9" t="str">
        <x:v>EOW-AR-ET-A-A-TECH-1-B1-INT-G0</x:v>
      </x:c>
      <x:c r="D71" s="9" t="str">
        <x:v>AR-ET-A-A-TECH-1-B1-INT-G0</x:v>
      </x:c>
      <x:c r="E71" s="9" t="str">
        <x:v>ET-A-A-TECH-1</x:v>
      </x:c>
      <x:c r="F71" s="9" t="str">
        <x:v>ET-A-A</x:v>
      </x:c>
      <x:c r="G71" s="9" t="str">
        <x:v>B1</x:v>
      </x:c>
      <x:c r="H71" s="9" t="str">
        <x:v>INT</x:v>
      </x:c>
      <x:c r="I71" s="9" t="n">
        <x:v>1</x:v>
      </x:c>
      <x:c r="J71" s="9" t="n">
        <x:v>2</x:v>
      </x:c>
      <x:c r="K71" s="9" t="str">
        <x:v>ET-A-A-N1</x:v>
      </x:c>
      <x:c r="L71" s="9" t="str">
        <x:v>ST05</x:v>
      </x:c>
      <x:c r="M71" s="17" t="str">
        <x:v>Witness capture armed</x:v>
      </x:c>
      <x:c r="N71" s="17" t="str">
        <x:v>unlike witness records independent reference and live time</x:v>
      </x:c>
      <x:c r="O71" s="17" t="str">
        <x:v>Witness metrology</x:v>
      </x:c>
      <x:c r="P71" s="9" t="n">
        <x:v>0</x:v>
      </x:c>
      <x:c r="Q71" s="9" t="n">
        <x:v>0</x:v>
      </x:c>
      <x:c r="R71" s="9" t="str">
        <x:v>OPEN / UNSTARTED</x:v>
      </x:c>
      <x:c r="S71" s="9" t="n">
        <x:f>COUNTIFS($A$7:$A$1446,A71)</x:f>
        <x:v>1</x:v>
      </x:c>
    </x:row>
    <x:row r="72">
      <x:c r="A72" s="9" t="str">
        <x:v>EV-AR-ET-A-A-TECH-1-B1-INT-G0-ST06</x:v>
      </x:c>
      <x:c r="B72" s="9" t="str">
        <x:v>EV-AR-ET-A-A-TECH-1-B1-INT-G0</x:v>
      </x:c>
      <x:c r="C72" s="9" t="str">
        <x:v>EOW-AR-ET-A-A-TECH-1-B1-INT-G0</x:v>
      </x:c>
      <x:c r="D72" s="9" t="str">
        <x:v>AR-ET-A-A-TECH-1-B1-INT-G0</x:v>
      </x:c>
      <x:c r="E72" s="9" t="str">
        <x:v>ET-A-A-TECH-1</x:v>
      </x:c>
      <x:c r="F72" s="9" t="str">
        <x:v>ET-A-A</x:v>
      </x:c>
      <x:c r="G72" s="9" t="str">
        <x:v>B1</x:v>
      </x:c>
      <x:c r="H72" s="9" t="str">
        <x:v>INT</x:v>
      </x:c>
      <x:c r="I72" s="9" t="n">
        <x:v>1</x:v>
      </x:c>
      <x:c r="J72" s="9" t="n">
        <x:v>2</x:v>
      </x:c>
      <x:c r="K72" s="9" t="str">
        <x:v>ET-A-A-N1</x:v>
      </x:c>
      <x:c r="L72" s="9" t="str">
        <x:v>ST06</x:v>
      </x:c>
      <x:c r="M72" s="17" t="str">
        <x:v>Public custody armed</x:v>
      </x:c>
      <x:c r="N72" s="17" t="str">
        <x:v>eight raw origins have separated hash and replica routes</x:v>
      </x:c>
      <x:c r="O72" s="17" t="str">
        <x:v>Custody authority</x:v>
      </x:c>
      <x:c r="P72" s="9" t="n">
        <x:v>0</x:v>
      </x:c>
      <x:c r="Q72" s="9" t="n">
        <x:v>0</x:v>
      </x:c>
      <x:c r="R72" s="9" t="str">
        <x:v>OPEN / UNSTARTED</x:v>
      </x:c>
      <x:c r="S72" s="9" t="n">
        <x:f>COUNTIFS($A$7:$A$1446,A72)</x:f>
        <x:v>1</x:v>
      </x:c>
    </x:row>
    <x:row r="73">
      <x:c r="A73" s="9" t="str">
        <x:v>EV-AR-ET-A-A-TECH-1-B1-INT-G0-ST07</x:v>
      </x:c>
      <x:c r="B73" s="9" t="str">
        <x:v>EV-AR-ET-A-A-TECH-1-B1-INT-G0</x:v>
      </x:c>
      <x:c r="C73" s="9" t="str">
        <x:v>EOW-AR-ET-A-A-TECH-1-B1-INT-G0</x:v>
      </x:c>
      <x:c r="D73" s="9" t="str">
        <x:v>AR-ET-A-A-TECH-1-B1-INT-G0</x:v>
      </x:c>
      <x:c r="E73" s="9" t="str">
        <x:v>ET-A-A-TECH-1</x:v>
      </x:c>
      <x:c r="F73" s="9" t="str">
        <x:v>ET-A-A</x:v>
      </x:c>
      <x:c r="G73" s="9" t="str">
        <x:v>B1</x:v>
      </x:c>
      <x:c r="H73" s="9" t="str">
        <x:v>INT</x:v>
      </x:c>
      <x:c r="I73" s="9" t="n">
        <x:v>1</x:v>
      </x:c>
      <x:c r="J73" s="9" t="n">
        <x:v>2</x:v>
      </x:c>
      <x:c r="K73" s="9" t="str">
        <x:v>ET-A-A-N1</x:v>
      </x:c>
      <x:c r="L73" s="9" t="str">
        <x:v>ST07</x:v>
      </x:c>
      <x:c r="M73" s="17" t="str">
        <x:v>Environmental baseline</x:v>
      </x:c>
      <x:c r="N73" s="17" t="str">
        <x:v>pre-event boundary state is sealed before decisive operation</x:v>
      </x:c>
      <x:c r="O73" s="17" t="str">
        <x:v>Site metrology</x:v>
      </x:c>
      <x:c r="P73" s="9" t="n">
        <x:v>0</x:v>
      </x:c>
      <x:c r="Q73" s="9" t="n">
        <x:v>0</x:v>
      </x:c>
      <x:c r="R73" s="9" t="str">
        <x:v>OPEN / UNSTARTED</x:v>
      </x:c>
      <x:c r="S73" s="9" t="n">
        <x:f>COUNTIFS($A$7:$A$1446,A73)</x:f>
        <x:v>1</x:v>
      </x:c>
    </x:row>
    <x:row r="74">
      <x:c r="A74" s="9" t="str">
        <x:v>EV-AR-ET-A-A-TECH-1-B1-INT-G0-ST08</x:v>
      </x:c>
      <x:c r="B74" s="9" t="str">
        <x:v>EV-AR-ET-A-A-TECH-1-B1-INT-G0</x:v>
      </x:c>
      <x:c r="C74" s="9" t="str">
        <x:v>EOW-AR-ET-A-A-TECH-1-B1-INT-G0</x:v>
      </x:c>
      <x:c r="D74" s="9" t="str">
        <x:v>AR-ET-A-A-TECH-1-B1-INT-G0</x:v>
      </x:c>
      <x:c r="E74" s="9" t="str">
        <x:v>ET-A-A-TECH-1</x:v>
      </x:c>
      <x:c r="F74" s="9" t="str">
        <x:v>ET-A-A</x:v>
      </x:c>
      <x:c r="G74" s="9" t="str">
        <x:v>B1</x:v>
      </x:c>
      <x:c r="H74" s="9" t="str">
        <x:v>INT</x:v>
      </x:c>
      <x:c r="I74" s="9" t="n">
        <x:v>1</x:v>
      </x:c>
      <x:c r="J74" s="9" t="n">
        <x:v>2</x:v>
      </x:c>
      <x:c r="K74" s="9" t="str">
        <x:v>ET-A-A-N1</x:v>
      </x:c>
      <x:c r="L74" s="9" t="str">
        <x:v>ST08</x:v>
      </x:c>
      <x:c r="M74" s="17" t="str">
        <x:v>Manual stop and safety</x:v>
      </x:c>
      <x:c r="N74" s="17" t="str">
        <x:v>local stop, evacuation and protection routes are active</x:v>
      </x:c>
      <x:c r="O74" s="17" t="str">
        <x:v>Safety authority</x:v>
      </x:c>
      <x:c r="P74" s="9" t="n">
        <x:v>0</x:v>
      </x:c>
      <x:c r="Q74" s="9" t="n">
        <x:v>0</x:v>
      </x:c>
      <x:c r="R74" s="9" t="str">
        <x:v>OPEN / UNSTARTED</x:v>
      </x:c>
      <x:c r="S74" s="9" t="n">
        <x:f>COUNTIFS($A$7:$A$1446,A74)</x:f>
        <x:v>1</x:v>
      </x:c>
    </x:row>
    <x:row r="75">
      <x:c r="A75" s="9" t="str">
        <x:v>EV-AR-ET-A-A-TECH-1-B1-INT-G0-ST09</x:v>
      </x:c>
      <x:c r="B75" s="9" t="str">
        <x:v>EV-AR-ET-A-A-TECH-1-B1-INT-G0</x:v>
      </x:c>
      <x:c r="C75" s="9" t="str">
        <x:v>EOW-AR-ET-A-A-TECH-1-B1-INT-G0</x:v>
      </x:c>
      <x:c r="D75" s="9" t="str">
        <x:v>AR-ET-A-A-TECH-1-B1-INT-G0</x:v>
      </x:c>
      <x:c r="E75" s="9" t="str">
        <x:v>ET-A-A-TECH-1</x:v>
      </x:c>
      <x:c r="F75" s="9" t="str">
        <x:v>ET-A-A</x:v>
      </x:c>
      <x:c r="G75" s="9" t="str">
        <x:v>B1</x:v>
      </x:c>
      <x:c r="H75" s="9" t="str">
        <x:v>INT</x:v>
      </x:c>
      <x:c r="I75" s="9" t="n">
        <x:v>1</x:v>
      </x:c>
      <x:c r="J75" s="9" t="n">
        <x:v>2</x:v>
      </x:c>
      <x:c r="K75" s="9" t="str">
        <x:v>ET-A-A-N1</x:v>
      </x:c>
      <x:c r="L75" s="9" t="str">
        <x:v>ST09</x:v>
      </x:c>
      <x:c r="M75" s="17" t="str">
        <x:v>Operator conflict clear</x:v>
      </x:c>
      <x:c r="N75" s="17" t="str">
        <x:v>candidate, fixture, safety and measurement control edges remain separated</x:v>
      </x:c>
      <x:c r="O75" s="17" t="str">
        <x:v>Conflict registrar</x:v>
      </x:c>
      <x:c r="P75" s="9" t="n">
        <x:v>0</x:v>
      </x:c>
      <x:c r="Q75" s="9" t="n">
        <x:v>0</x:v>
      </x:c>
      <x:c r="R75" s="9" t="str">
        <x:v>OPEN / UNSTARTED</x:v>
      </x:c>
      <x:c r="S75" s="9" t="n">
        <x:f>COUNTIFS($A$7:$A$1446,A75)</x:f>
        <x:v>1</x:v>
      </x:c>
    </x:row>
    <x:row r="76">
      <x:c r="A76" s="9" t="str">
        <x:v>EV-AR-ET-A-A-TECH-1-B1-INT-G0-ST10</x:v>
      </x:c>
      <x:c r="B76" s="9" t="str">
        <x:v>EV-AR-ET-A-A-TECH-1-B1-INT-G0</x:v>
      </x:c>
      <x:c r="C76" s="9" t="str">
        <x:v>EOW-AR-ET-A-A-TECH-1-B1-INT-G0</x:v>
      </x:c>
      <x:c r="D76" s="9" t="str">
        <x:v>AR-ET-A-A-TECH-1-B1-INT-G0</x:v>
      </x:c>
      <x:c r="E76" s="9" t="str">
        <x:v>ET-A-A-TECH-1</x:v>
      </x:c>
      <x:c r="F76" s="9" t="str">
        <x:v>ET-A-A</x:v>
      </x:c>
      <x:c r="G76" s="9" t="str">
        <x:v>B1</x:v>
      </x:c>
      <x:c r="H76" s="9" t="str">
        <x:v>INT</x:v>
      </x:c>
      <x:c r="I76" s="9" t="n">
        <x:v>1</x:v>
      </x:c>
      <x:c r="J76" s="9" t="n">
        <x:v>2</x:v>
      </x:c>
      <x:c r="K76" s="9" t="str">
        <x:v>ET-A-A-N1</x:v>
      </x:c>
      <x:c r="L76" s="9" t="str">
        <x:v>ST10</x:v>
      </x:c>
      <x:c r="M76" s="17" t="str">
        <x:v>Window and common clock</x:v>
      </x:c>
      <x:c r="N76" s="17" t="str">
        <x:v>epoch, window and public time origin match the issued warrant</x:v>
      </x:c>
      <x:c r="O76" s="17" t="str">
        <x:v>Event clock authority</x:v>
      </x:c>
      <x:c r="P76" s="9" t="n">
        <x:v>0</x:v>
      </x:c>
      <x:c r="Q76" s="9" t="n">
        <x:v>0</x:v>
      </x:c>
      <x:c r="R76" s="9" t="str">
        <x:v>OPEN / UNSTARTED</x:v>
      </x:c>
      <x:c r="S76" s="9" t="n">
        <x:f>COUNTIFS($A$7:$A$1446,A76)</x:f>
        <x:v>1</x:v>
      </x:c>
    </x:row>
    <x:row r="77">
      <x:c r="A77" s="9" t="str">
        <x:v>EV-AR-ET-A-A-TECH-2-B2-RCN-G0-ST01</x:v>
      </x:c>
      <x:c r="B77" s="9" t="str">
        <x:v>EV-AR-ET-A-A-TECH-2-B2-RCN-G0</x:v>
      </x:c>
      <x:c r="C77" s="9" t="str">
        <x:v>EOW-AR-ET-A-A-TECH-2-B2-RCN-G0</x:v>
      </x:c>
      <x:c r="D77" s="9" t="str">
        <x:v>AR-ET-A-A-TECH-2-B2-RCN-G0</x:v>
      </x:c>
      <x:c r="E77" s="9" t="str">
        <x:v>ET-A-A-TECH-2</x:v>
      </x:c>
      <x:c r="F77" s="9" t="str">
        <x:v>ET-A-A</x:v>
      </x:c>
      <x:c r="G77" s="9" t="str">
        <x:v>B2</x:v>
      </x:c>
      <x:c r="H77" s="9" t="str">
        <x:v>RCN</x:v>
      </x:c>
      <x:c r="I77" s="9" t="n">
        <x:v>1</x:v>
      </x:c>
      <x:c r="J77" s="9" t="n">
        <x:v>2</x:v>
      </x:c>
      <x:c r="K77" s="9" t="str">
        <x:v>ET-A-A-N2</x:v>
      </x:c>
      <x:c r="L77" s="9" t="str">
        <x:v>ST01</x:v>
      </x:c>
      <x:c r="M77" s="17" t="str">
        <x:v>Active opportunity warrant</x:v>
      </x:c>
      <x:c r="N77" s="17" t="str">
        <x:v>configuration-bound EOW is within its thirty-six-hour validity</x:v>
      </x:c>
      <x:c r="O77" s="17" t="str">
        <x:v>Start registrar</x:v>
      </x:c>
      <x:c r="P77" s="9" t="n">
        <x:v>0</x:v>
      </x:c>
      <x:c r="Q77" s="9" t="n">
        <x:v>0</x:v>
      </x:c>
      <x:c r="R77" s="9" t="str">
        <x:v>OPEN / UNSTARTED</x:v>
      </x:c>
      <x:c r="S77" s="9" t="n">
        <x:f>COUNTIFS($A$7:$A$1446,A77)</x:f>
        <x:v>1</x:v>
      </x:c>
    </x:row>
    <x:row r="78">
      <x:c r="A78" s="9" t="str">
        <x:v>EV-AR-ET-A-A-TECH-2-B2-RCN-G0-ST02</x:v>
      </x:c>
      <x:c r="B78" s="9" t="str">
        <x:v>EV-AR-ET-A-A-TECH-2-B2-RCN-G0</x:v>
      </x:c>
      <x:c r="C78" s="9" t="str">
        <x:v>EOW-AR-ET-A-A-TECH-2-B2-RCN-G0</x:v>
      </x:c>
      <x:c r="D78" s="9" t="str">
        <x:v>AR-ET-A-A-TECH-2-B2-RCN-G0</x:v>
      </x:c>
      <x:c r="E78" s="9" t="str">
        <x:v>ET-A-A-TECH-2</x:v>
      </x:c>
      <x:c r="F78" s="9" t="str">
        <x:v>ET-A-A</x:v>
      </x:c>
      <x:c r="G78" s="9" t="str">
        <x:v>B2</x:v>
      </x:c>
      <x:c r="H78" s="9" t="str">
        <x:v>RCN</x:v>
      </x:c>
      <x:c r="I78" s="9" t="n">
        <x:v>1</x:v>
      </x:c>
      <x:c r="J78" s="9" t="n">
        <x:v>2</x:v>
      </x:c>
      <x:c r="K78" s="9" t="str">
        <x:v>ET-A-A-N2</x:v>
      </x:c>
      <x:c r="L78" s="9" t="str">
        <x:v>ST02</x:v>
      </x:c>
      <x:c r="M78" s="17" t="str">
        <x:v>Frozen identity</x:v>
      </x:c>
      <x:c r="N78" s="17" t="str">
        <x:v>serial, generation, fixture, site, receiver and digest match the warrant</x:v>
      </x:c>
      <x:c r="O78" s="17" t="str">
        <x:v>Custody authority</x:v>
      </x:c>
      <x:c r="P78" s="9" t="n">
        <x:v>0</x:v>
      </x:c>
      <x:c r="Q78" s="9" t="n">
        <x:v>0</x:v>
      </x:c>
      <x:c r="R78" s="9" t="str">
        <x:v>OPEN / UNSTARTED</x:v>
      </x:c>
      <x:c r="S78" s="9" t="n">
        <x:f>COUNTIFS($A$7:$A$1446,A78)</x:f>
        <x:v>1</x:v>
      </x:c>
    </x:row>
    <x:row r="79">
      <x:c r="A79" s="9" t="str">
        <x:v>EV-AR-ET-A-A-TECH-2-B2-RCN-G0-ST03</x:v>
      </x:c>
      <x:c r="B79" s="9" t="str">
        <x:v>EV-AR-ET-A-A-TECH-2-B2-RCN-G0</x:v>
      </x:c>
      <x:c r="C79" s="9" t="str">
        <x:v>EOW-AR-ET-A-A-TECH-2-B2-RCN-G0</x:v>
      </x:c>
      <x:c r="D79" s="9" t="str">
        <x:v>AR-ET-A-A-TECH-2-B2-RCN-G0</x:v>
      </x:c>
      <x:c r="E79" s="9" t="str">
        <x:v>ET-A-A-TECH-2</x:v>
      </x:c>
      <x:c r="F79" s="9" t="str">
        <x:v>ET-A-A</x:v>
      </x:c>
      <x:c r="G79" s="9" t="str">
        <x:v>B2</x:v>
      </x:c>
      <x:c r="H79" s="9" t="str">
        <x:v>RCN</x:v>
      </x:c>
      <x:c r="I79" s="9" t="n">
        <x:v>1</x:v>
      </x:c>
      <x:c r="J79" s="9" t="n">
        <x:v>2</x:v>
      </x:c>
      <x:c r="K79" s="9" t="str">
        <x:v>ET-A-A-N2</x:v>
      </x:c>
      <x:c r="L79" s="9" t="str">
        <x:v>ST03</x:v>
      </x:c>
      <x:c r="M79" s="17" t="str">
        <x:v>Receiver receipt</x:v>
      </x:c>
      <x:c r="N79" s="17" t="str">
        <x:v>denominator, counterfactual, rights and stop receipt remain unchanged</x:v>
      </x:c>
      <x:c r="O79" s="17" t="str">
        <x:v>Receiver authority</x:v>
      </x:c>
      <x:c r="P79" s="9" t="n">
        <x:v>0</x:v>
      </x:c>
      <x:c r="Q79" s="9" t="n">
        <x:v>0</x:v>
      </x:c>
      <x:c r="R79" s="9" t="str">
        <x:v>OPEN / UNSTARTED</x:v>
      </x:c>
      <x:c r="S79" s="9" t="n">
        <x:f>COUNTIFS($A$7:$A$1446,A79)</x:f>
        <x:v>1</x:v>
      </x:c>
    </x:row>
    <x:row r="80">
      <x:c r="A80" s="9" t="str">
        <x:v>EV-AR-ET-A-A-TECH-2-B2-RCN-G0-ST04</x:v>
      </x:c>
      <x:c r="B80" s="9" t="str">
        <x:v>EV-AR-ET-A-A-TECH-2-B2-RCN-G0</x:v>
      </x:c>
      <x:c r="C80" s="9" t="str">
        <x:v>EOW-AR-ET-A-A-TECH-2-B2-RCN-G0</x:v>
      </x:c>
      <x:c r="D80" s="9" t="str">
        <x:v>AR-ET-A-A-TECH-2-B2-RCN-G0</x:v>
      </x:c>
      <x:c r="E80" s="9" t="str">
        <x:v>ET-A-A-TECH-2</x:v>
      </x:c>
      <x:c r="F80" s="9" t="str">
        <x:v>ET-A-A</x:v>
      </x:c>
      <x:c r="G80" s="9" t="str">
        <x:v>B2</x:v>
      </x:c>
      <x:c r="H80" s="9" t="str">
        <x:v>RCN</x:v>
      </x:c>
      <x:c r="I80" s="9" t="n">
        <x:v>1</x:v>
      </x:c>
      <x:c r="J80" s="9" t="n">
        <x:v>2</x:v>
      </x:c>
      <x:c r="K80" s="9" t="str">
        <x:v>ET-A-A-N2</x:v>
      </x:c>
      <x:c r="L80" s="9" t="str">
        <x:v>ST04</x:v>
      </x:c>
      <x:c r="M80" s="17" t="str">
        <x:v>Primary capture armed</x:v>
      </x:c>
      <x:c r="N80" s="17" t="str">
        <x:v>primary chain records sealed reference and live time</x:v>
      </x:c>
      <x:c r="O80" s="17" t="str">
        <x:v>Primary metrology</x:v>
      </x:c>
      <x:c r="P80" s="9" t="n">
        <x:v>0</x:v>
      </x:c>
      <x:c r="Q80" s="9" t="n">
        <x:v>0</x:v>
      </x:c>
      <x:c r="R80" s="9" t="str">
        <x:v>OPEN / UNSTARTED</x:v>
      </x:c>
      <x:c r="S80" s="9" t="n">
        <x:f>COUNTIFS($A$7:$A$1446,A80)</x:f>
        <x:v>1</x:v>
      </x:c>
    </x:row>
    <x:row r="81">
      <x:c r="A81" s="9" t="str">
        <x:v>EV-AR-ET-A-A-TECH-2-B2-RCN-G0-ST05</x:v>
      </x:c>
      <x:c r="B81" s="9" t="str">
        <x:v>EV-AR-ET-A-A-TECH-2-B2-RCN-G0</x:v>
      </x:c>
      <x:c r="C81" s="9" t="str">
        <x:v>EOW-AR-ET-A-A-TECH-2-B2-RCN-G0</x:v>
      </x:c>
      <x:c r="D81" s="9" t="str">
        <x:v>AR-ET-A-A-TECH-2-B2-RCN-G0</x:v>
      </x:c>
      <x:c r="E81" s="9" t="str">
        <x:v>ET-A-A-TECH-2</x:v>
      </x:c>
      <x:c r="F81" s="9" t="str">
        <x:v>ET-A-A</x:v>
      </x:c>
      <x:c r="G81" s="9" t="str">
        <x:v>B2</x:v>
      </x:c>
      <x:c r="H81" s="9" t="str">
        <x:v>RCN</x:v>
      </x:c>
      <x:c r="I81" s="9" t="n">
        <x:v>1</x:v>
      </x:c>
      <x:c r="J81" s="9" t="n">
        <x:v>2</x:v>
      </x:c>
      <x:c r="K81" s="9" t="str">
        <x:v>ET-A-A-N2</x:v>
      </x:c>
      <x:c r="L81" s="9" t="str">
        <x:v>ST05</x:v>
      </x:c>
      <x:c r="M81" s="17" t="str">
        <x:v>Witness capture armed</x:v>
      </x:c>
      <x:c r="N81" s="17" t="str">
        <x:v>unlike witness records independent reference and live time</x:v>
      </x:c>
      <x:c r="O81" s="17" t="str">
        <x:v>Witness metrology</x:v>
      </x:c>
      <x:c r="P81" s="9" t="n">
        <x:v>0</x:v>
      </x:c>
      <x:c r="Q81" s="9" t="n">
        <x:v>0</x:v>
      </x:c>
      <x:c r="R81" s="9" t="str">
        <x:v>OPEN / UNSTARTED</x:v>
      </x:c>
      <x:c r="S81" s="9" t="n">
        <x:f>COUNTIFS($A$7:$A$1446,A81)</x:f>
        <x:v>1</x:v>
      </x:c>
    </x:row>
    <x:row r="82">
      <x:c r="A82" s="9" t="str">
        <x:v>EV-AR-ET-A-A-TECH-2-B2-RCN-G0-ST06</x:v>
      </x:c>
      <x:c r="B82" s="9" t="str">
        <x:v>EV-AR-ET-A-A-TECH-2-B2-RCN-G0</x:v>
      </x:c>
      <x:c r="C82" s="9" t="str">
        <x:v>EOW-AR-ET-A-A-TECH-2-B2-RCN-G0</x:v>
      </x:c>
      <x:c r="D82" s="9" t="str">
        <x:v>AR-ET-A-A-TECH-2-B2-RCN-G0</x:v>
      </x:c>
      <x:c r="E82" s="9" t="str">
        <x:v>ET-A-A-TECH-2</x:v>
      </x:c>
      <x:c r="F82" s="9" t="str">
        <x:v>ET-A-A</x:v>
      </x:c>
      <x:c r="G82" s="9" t="str">
        <x:v>B2</x:v>
      </x:c>
      <x:c r="H82" s="9" t="str">
        <x:v>RCN</x:v>
      </x:c>
      <x:c r="I82" s="9" t="n">
        <x:v>1</x:v>
      </x:c>
      <x:c r="J82" s="9" t="n">
        <x:v>2</x:v>
      </x:c>
      <x:c r="K82" s="9" t="str">
        <x:v>ET-A-A-N2</x:v>
      </x:c>
      <x:c r="L82" s="9" t="str">
        <x:v>ST06</x:v>
      </x:c>
      <x:c r="M82" s="17" t="str">
        <x:v>Public custody armed</x:v>
      </x:c>
      <x:c r="N82" s="17" t="str">
        <x:v>eight raw origins have separated hash and replica routes</x:v>
      </x:c>
      <x:c r="O82" s="17" t="str">
        <x:v>Custody authority</x:v>
      </x:c>
      <x:c r="P82" s="9" t="n">
        <x:v>0</x:v>
      </x:c>
      <x:c r="Q82" s="9" t="n">
        <x:v>0</x:v>
      </x:c>
      <x:c r="R82" s="9" t="str">
        <x:v>OPEN / UNSTARTED</x:v>
      </x:c>
      <x:c r="S82" s="9" t="n">
        <x:f>COUNTIFS($A$7:$A$1446,A82)</x:f>
        <x:v>1</x:v>
      </x:c>
    </x:row>
    <x:row r="83">
      <x:c r="A83" s="9" t="str">
        <x:v>EV-AR-ET-A-A-TECH-2-B2-RCN-G0-ST07</x:v>
      </x:c>
      <x:c r="B83" s="9" t="str">
        <x:v>EV-AR-ET-A-A-TECH-2-B2-RCN-G0</x:v>
      </x:c>
      <x:c r="C83" s="9" t="str">
        <x:v>EOW-AR-ET-A-A-TECH-2-B2-RCN-G0</x:v>
      </x:c>
      <x:c r="D83" s="9" t="str">
        <x:v>AR-ET-A-A-TECH-2-B2-RCN-G0</x:v>
      </x:c>
      <x:c r="E83" s="9" t="str">
        <x:v>ET-A-A-TECH-2</x:v>
      </x:c>
      <x:c r="F83" s="9" t="str">
        <x:v>ET-A-A</x:v>
      </x:c>
      <x:c r="G83" s="9" t="str">
        <x:v>B2</x:v>
      </x:c>
      <x:c r="H83" s="9" t="str">
        <x:v>RCN</x:v>
      </x:c>
      <x:c r="I83" s="9" t="n">
        <x:v>1</x:v>
      </x:c>
      <x:c r="J83" s="9" t="n">
        <x:v>2</x:v>
      </x:c>
      <x:c r="K83" s="9" t="str">
        <x:v>ET-A-A-N2</x:v>
      </x:c>
      <x:c r="L83" s="9" t="str">
        <x:v>ST07</x:v>
      </x:c>
      <x:c r="M83" s="17" t="str">
        <x:v>Environmental baseline</x:v>
      </x:c>
      <x:c r="N83" s="17" t="str">
        <x:v>pre-event boundary state is sealed before decisive operation</x:v>
      </x:c>
      <x:c r="O83" s="17" t="str">
        <x:v>Site metrology</x:v>
      </x:c>
      <x:c r="P83" s="9" t="n">
        <x:v>0</x:v>
      </x:c>
      <x:c r="Q83" s="9" t="n">
        <x:v>0</x:v>
      </x:c>
      <x:c r="R83" s="9" t="str">
        <x:v>OPEN / UNSTARTED</x:v>
      </x:c>
      <x:c r="S83" s="9" t="n">
        <x:f>COUNTIFS($A$7:$A$1446,A83)</x:f>
        <x:v>1</x:v>
      </x:c>
    </x:row>
    <x:row r="84">
      <x:c r="A84" s="9" t="str">
        <x:v>EV-AR-ET-A-A-TECH-2-B2-RCN-G0-ST08</x:v>
      </x:c>
      <x:c r="B84" s="9" t="str">
        <x:v>EV-AR-ET-A-A-TECH-2-B2-RCN-G0</x:v>
      </x:c>
      <x:c r="C84" s="9" t="str">
        <x:v>EOW-AR-ET-A-A-TECH-2-B2-RCN-G0</x:v>
      </x:c>
      <x:c r="D84" s="9" t="str">
        <x:v>AR-ET-A-A-TECH-2-B2-RCN-G0</x:v>
      </x:c>
      <x:c r="E84" s="9" t="str">
        <x:v>ET-A-A-TECH-2</x:v>
      </x:c>
      <x:c r="F84" s="9" t="str">
        <x:v>ET-A-A</x:v>
      </x:c>
      <x:c r="G84" s="9" t="str">
        <x:v>B2</x:v>
      </x:c>
      <x:c r="H84" s="9" t="str">
        <x:v>RCN</x:v>
      </x:c>
      <x:c r="I84" s="9" t="n">
        <x:v>1</x:v>
      </x:c>
      <x:c r="J84" s="9" t="n">
        <x:v>2</x:v>
      </x:c>
      <x:c r="K84" s="9" t="str">
        <x:v>ET-A-A-N2</x:v>
      </x:c>
      <x:c r="L84" s="9" t="str">
        <x:v>ST08</x:v>
      </x:c>
      <x:c r="M84" s="17" t="str">
        <x:v>Manual stop and safety</x:v>
      </x:c>
      <x:c r="N84" s="17" t="str">
        <x:v>local stop, evacuation and protection routes are active</x:v>
      </x:c>
      <x:c r="O84" s="17" t="str">
        <x:v>Safety authority</x:v>
      </x:c>
      <x:c r="P84" s="9" t="n">
        <x:v>0</x:v>
      </x:c>
      <x:c r="Q84" s="9" t="n">
        <x:v>0</x:v>
      </x:c>
      <x:c r="R84" s="9" t="str">
        <x:v>OPEN / UNSTARTED</x:v>
      </x:c>
      <x:c r="S84" s="9" t="n">
        <x:f>COUNTIFS($A$7:$A$1446,A84)</x:f>
        <x:v>1</x:v>
      </x:c>
    </x:row>
    <x:row r="85">
      <x:c r="A85" s="9" t="str">
        <x:v>EV-AR-ET-A-A-TECH-2-B2-RCN-G0-ST09</x:v>
      </x:c>
      <x:c r="B85" s="9" t="str">
        <x:v>EV-AR-ET-A-A-TECH-2-B2-RCN-G0</x:v>
      </x:c>
      <x:c r="C85" s="9" t="str">
        <x:v>EOW-AR-ET-A-A-TECH-2-B2-RCN-G0</x:v>
      </x:c>
      <x:c r="D85" s="9" t="str">
        <x:v>AR-ET-A-A-TECH-2-B2-RCN-G0</x:v>
      </x:c>
      <x:c r="E85" s="9" t="str">
        <x:v>ET-A-A-TECH-2</x:v>
      </x:c>
      <x:c r="F85" s="9" t="str">
        <x:v>ET-A-A</x:v>
      </x:c>
      <x:c r="G85" s="9" t="str">
        <x:v>B2</x:v>
      </x:c>
      <x:c r="H85" s="9" t="str">
        <x:v>RCN</x:v>
      </x:c>
      <x:c r="I85" s="9" t="n">
        <x:v>1</x:v>
      </x:c>
      <x:c r="J85" s="9" t="n">
        <x:v>2</x:v>
      </x:c>
      <x:c r="K85" s="9" t="str">
        <x:v>ET-A-A-N2</x:v>
      </x:c>
      <x:c r="L85" s="9" t="str">
        <x:v>ST09</x:v>
      </x:c>
      <x:c r="M85" s="17" t="str">
        <x:v>Operator conflict clear</x:v>
      </x:c>
      <x:c r="N85" s="17" t="str">
        <x:v>candidate, fixture, safety and measurement control edges remain separated</x:v>
      </x:c>
      <x:c r="O85" s="17" t="str">
        <x:v>Conflict registrar</x:v>
      </x:c>
      <x:c r="P85" s="9" t="n">
        <x:v>0</x:v>
      </x:c>
      <x:c r="Q85" s="9" t="n">
        <x:v>0</x:v>
      </x:c>
      <x:c r="R85" s="9" t="str">
        <x:v>OPEN / UNSTARTED</x:v>
      </x:c>
      <x:c r="S85" s="9" t="n">
        <x:f>COUNTIFS($A$7:$A$1446,A85)</x:f>
        <x:v>1</x:v>
      </x:c>
    </x:row>
    <x:row r="86">
      <x:c r="A86" s="9" t="str">
        <x:v>EV-AR-ET-A-A-TECH-2-B2-RCN-G0-ST10</x:v>
      </x:c>
      <x:c r="B86" s="9" t="str">
        <x:v>EV-AR-ET-A-A-TECH-2-B2-RCN-G0</x:v>
      </x:c>
      <x:c r="C86" s="9" t="str">
        <x:v>EOW-AR-ET-A-A-TECH-2-B2-RCN-G0</x:v>
      </x:c>
      <x:c r="D86" s="9" t="str">
        <x:v>AR-ET-A-A-TECH-2-B2-RCN-G0</x:v>
      </x:c>
      <x:c r="E86" s="9" t="str">
        <x:v>ET-A-A-TECH-2</x:v>
      </x:c>
      <x:c r="F86" s="9" t="str">
        <x:v>ET-A-A</x:v>
      </x:c>
      <x:c r="G86" s="9" t="str">
        <x:v>B2</x:v>
      </x:c>
      <x:c r="H86" s="9" t="str">
        <x:v>RCN</x:v>
      </x:c>
      <x:c r="I86" s="9" t="n">
        <x:v>1</x:v>
      </x:c>
      <x:c r="J86" s="9" t="n">
        <x:v>2</x:v>
      </x:c>
      <x:c r="K86" s="9" t="str">
        <x:v>ET-A-A-N2</x:v>
      </x:c>
      <x:c r="L86" s="9" t="str">
        <x:v>ST10</x:v>
      </x:c>
      <x:c r="M86" s="17" t="str">
        <x:v>Window and common clock</x:v>
      </x:c>
      <x:c r="N86" s="17" t="str">
        <x:v>epoch, window and public time origin match the issued warrant</x:v>
      </x:c>
      <x:c r="O86" s="17" t="str">
        <x:v>Event clock authority</x:v>
      </x:c>
      <x:c r="P86" s="9" t="n">
        <x:v>0</x:v>
      </x:c>
      <x:c r="Q86" s="9" t="n">
        <x:v>0</x:v>
      </x:c>
      <x:c r="R86" s="9" t="str">
        <x:v>OPEN / UNSTARTED</x:v>
      </x:c>
      <x:c r="S86" s="9" t="n">
        <x:f>COUNTIFS($A$7:$A$1446,A86)</x:f>
        <x:v>1</x:v>
      </x:c>
    </x:row>
    <x:row r="87">
      <x:c r="A87" s="9" t="str">
        <x:v>EV-AR-HC-A-C-TECH-3-B1-BRK-G0-ST01</x:v>
      </x:c>
      <x:c r="B87" s="9" t="str">
        <x:v>EV-AR-HC-A-C-TECH-3-B1-BRK-G0</x:v>
      </x:c>
      <x:c r="C87" s="9" t="str">
        <x:v>EOW-AR-HC-A-C-TECH-3-B1-BRK-G0</x:v>
      </x:c>
      <x:c r="D87" s="9" t="str">
        <x:v>AR-HC-A-C-TECH-3-B1-BRK-G0</x:v>
      </x:c>
      <x:c r="E87" s="9" t="str">
        <x:v>HC-A-C-TECH-3</x:v>
      </x:c>
      <x:c r="F87" s="9" t="str">
        <x:v>HC-A-C</x:v>
      </x:c>
      <x:c r="G87" s="9" t="str">
        <x:v>B1</x:v>
      </x:c>
      <x:c r="H87" s="9" t="str">
        <x:v>BRK</x:v>
      </x:c>
      <x:c r="I87" s="9" t="n">
        <x:v>1</x:v>
      </x:c>
      <x:c r="J87" s="9" t="n">
        <x:v>2</x:v>
      </x:c>
      <x:c r="K87" s="9" t="str">
        <x:v>HC-A-C-N1</x:v>
      </x:c>
      <x:c r="L87" s="9" t="str">
        <x:v>ST01</x:v>
      </x:c>
      <x:c r="M87" s="17" t="str">
        <x:v>Active opportunity warrant</x:v>
      </x:c>
      <x:c r="N87" s="17" t="str">
        <x:v>configuration-bound EOW is within its thirty-six-hour validity</x:v>
      </x:c>
      <x:c r="O87" s="17" t="str">
        <x:v>Start registrar</x:v>
      </x:c>
      <x:c r="P87" s="9" t="n">
        <x:v>0</x:v>
      </x:c>
      <x:c r="Q87" s="9" t="n">
        <x:v>0</x:v>
      </x:c>
      <x:c r="R87" s="9" t="str">
        <x:v>OPEN / UNSTARTED</x:v>
      </x:c>
      <x:c r="S87" s="9" t="n">
        <x:f>COUNTIFS($A$7:$A$1446,A87)</x:f>
        <x:v>1</x:v>
      </x:c>
    </x:row>
    <x:row r="88">
      <x:c r="A88" s="9" t="str">
        <x:v>EV-AR-HC-A-C-TECH-3-B1-BRK-G0-ST02</x:v>
      </x:c>
      <x:c r="B88" s="9" t="str">
        <x:v>EV-AR-HC-A-C-TECH-3-B1-BRK-G0</x:v>
      </x:c>
      <x:c r="C88" s="9" t="str">
        <x:v>EOW-AR-HC-A-C-TECH-3-B1-BRK-G0</x:v>
      </x:c>
      <x:c r="D88" s="9" t="str">
        <x:v>AR-HC-A-C-TECH-3-B1-BRK-G0</x:v>
      </x:c>
      <x:c r="E88" s="9" t="str">
        <x:v>HC-A-C-TECH-3</x:v>
      </x:c>
      <x:c r="F88" s="9" t="str">
        <x:v>HC-A-C</x:v>
      </x:c>
      <x:c r="G88" s="9" t="str">
        <x:v>B1</x:v>
      </x:c>
      <x:c r="H88" s="9" t="str">
        <x:v>BRK</x:v>
      </x:c>
      <x:c r="I88" s="9" t="n">
        <x:v>1</x:v>
      </x:c>
      <x:c r="J88" s="9" t="n">
        <x:v>2</x:v>
      </x:c>
      <x:c r="K88" s="9" t="str">
        <x:v>HC-A-C-N1</x:v>
      </x:c>
      <x:c r="L88" s="9" t="str">
        <x:v>ST02</x:v>
      </x:c>
      <x:c r="M88" s="17" t="str">
        <x:v>Frozen identity</x:v>
      </x:c>
      <x:c r="N88" s="17" t="str">
        <x:v>serial, generation, fixture, site, receiver and digest match the warrant</x:v>
      </x:c>
      <x:c r="O88" s="17" t="str">
        <x:v>Custody authority</x:v>
      </x:c>
      <x:c r="P88" s="9" t="n">
        <x:v>0</x:v>
      </x:c>
      <x:c r="Q88" s="9" t="n">
        <x:v>0</x:v>
      </x:c>
      <x:c r="R88" s="9" t="str">
        <x:v>OPEN / UNSTARTED</x:v>
      </x:c>
      <x:c r="S88" s="9" t="n">
        <x:f>COUNTIFS($A$7:$A$1446,A88)</x:f>
        <x:v>1</x:v>
      </x:c>
    </x:row>
    <x:row r="89">
      <x:c r="A89" s="9" t="str">
        <x:v>EV-AR-HC-A-C-TECH-3-B1-BRK-G0-ST03</x:v>
      </x:c>
      <x:c r="B89" s="9" t="str">
        <x:v>EV-AR-HC-A-C-TECH-3-B1-BRK-G0</x:v>
      </x:c>
      <x:c r="C89" s="9" t="str">
        <x:v>EOW-AR-HC-A-C-TECH-3-B1-BRK-G0</x:v>
      </x:c>
      <x:c r="D89" s="9" t="str">
        <x:v>AR-HC-A-C-TECH-3-B1-BRK-G0</x:v>
      </x:c>
      <x:c r="E89" s="9" t="str">
        <x:v>HC-A-C-TECH-3</x:v>
      </x:c>
      <x:c r="F89" s="9" t="str">
        <x:v>HC-A-C</x:v>
      </x:c>
      <x:c r="G89" s="9" t="str">
        <x:v>B1</x:v>
      </x:c>
      <x:c r="H89" s="9" t="str">
        <x:v>BRK</x:v>
      </x:c>
      <x:c r="I89" s="9" t="n">
        <x:v>1</x:v>
      </x:c>
      <x:c r="J89" s="9" t="n">
        <x:v>2</x:v>
      </x:c>
      <x:c r="K89" s="9" t="str">
        <x:v>HC-A-C-N1</x:v>
      </x:c>
      <x:c r="L89" s="9" t="str">
        <x:v>ST03</x:v>
      </x:c>
      <x:c r="M89" s="17" t="str">
        <x:v>Receiver receipt</x:v>
      </x:c>
      <x:c r="N89" s="17" t="str">
        <x:v>denominator, counterfactual, rights and stop receipt remain unchanged</x:v>
      </x:c>
      <x:c r="O89" s="17" t="str">
        <x:v>Receiver authority</x:v>
      </x:c>
      <x:c r="P89" s="9" t="n">
        <x:v>0</x:v>
      </x:c>
      <x:c r="Q89" s="9" t="n">
        <x:v>0</x:v>
      </x:c>
      <x:c r="R89" s="9" t="str">
        <x:v>OPEN / UNSTARTED</x:v>
      </x:c>
      <x:c r="S89" s="9" t="n">
        <x:f>COUNTIFS($A$7:$A$1446,A89)</x:f>
        <x:v>1</x:v>
      </x:c>
    </x:row>
    <x:row r="90">
      <x:c r="A90" s="9" t="str">
        <x:v>EV-AR-HC-A-C-TECH-3-B1-BRK-G0-ST04</x:v>
      </x:c>
      <x:c r="B90" s="9" t="str">
        <x:v>EV-AR-HC-A-C-TECH-3-B1-BRK-G0</x:v>
      </x:c>
      <x:c r="C90" s="9" t="str">
        <x:v>EOW-AR-HC-A-C-TECH-3-B1-BRK-G0</x:v>
      </x:c>
      <x:c r="D90" s="9" t="str">
        <x:v>AR-HC-A-C-TECH-3-B1-BRK-G0</x:v>
      </x:c>
      <x:c r="E90" s="9" t="str">
        <x:v>HC-A-C-TECH-3</x:v>
      </x:c>
      <x:c r="F90" s="9" t="str">
        <x:v>HC-A-C</x:v>
      </x:c>
      <x:c r="G90" s="9" t="str">
        <x:v>B1</x:v>
      </x:c>
      <x:c r="H90" s="9" t="str">
        <x:v>BRK</x:v>
      </x:c>
      <x:c r="I90" s="9" t="n">
        <x:v>1</x:v>
      </x:c>
      <x:c r="J90" s="9" t="n">
        <x:v>2</x:v>
      </x:c>
      <x:c r="K90" s="9" t="str">
        <x:v>HC-A-C-N1</x:v>
      </x:c>
      <x:c r="L90" s="9" t="str">
        <x:v>ST04</x:v>
      </x:c>
      <x:c r="M90" s="17" t="str">
        <x:v>Primary capture armed</x:v>
      </x:c>
      <x:c r="N90" s="17" t="str">
        <x:v>primary chain records sealed reference and live time</x:v>
      </x:c>
      <x:c r="O90" s="17" t="str">
        <x:v>Primary metrology</x:v>
      </x:c>
      <x:c r="P90" s="9" t="n">
        <x:v>0</x:v>
      </x:c>
      <x:c r="Q90" s="9" t="n">
        <x:v>0</x:v>
      </x:c>
      <x:c r="R90" s="9" t="str">
        <x:v>OPEN / UNSTARTED</x:v>
      </x:c>
      <x:c r="S90" s="9" t="n">
        <x:f>COUNTIFS($A$7:$A$1446,A90)</x:f>
        <x:v>1</x:v>
      </x:c>
    </x:row>
    <x:row r="91">
      <x:c r="A91" s="9" t="str">
        <x:v>EV-AR-HC-A-C-TECH-3-B1-BRK-G0-ST05</x:v>
      </x:c>
      <x:c r="B91" s="9" t="str">
        <x:v>EV-AR-HC-A-C-TECH-3-B1-BRK-G0</x:v>
      </x:c>
      <x:c r="C91" s="9" t="str">
        <x:v>EOW-AR-HC-A-C-TECH-3-B1-BRK-G0</x:v>
      </x:c>
      <x:c r="D91" s="9" t="str">
        <x:v>AR-HC-A-C-TECH-3-B1-BRK-G0</x:v>
      </x:c>
      <x:c r="E91" s="9" t="str">
        <x:v>HC-A-C-TECH-3</x:v>
      </x:c>
      <x:c r="F91" s="9" t="str">
        <x:v>HC-A-C</x:v>
      </x:c>
      <x:c r="G91" s="9" t="str">
        <x:v>B1</x:v>
      </x:c>
      <x:c r="H91" s="9" t="str">
        <x:v>BRK</x:v>
      </x:c>
      <x:c r="I91" s="9" t="n">
        <x:v>1</x:v>
      </x:c>
      <x:c r="J91" s="9" t="n">
        <x:v>2</x:v>
      </x:c>
      <x:c r="K91" s="9" t="str">
        <x:v>HC-A-C-N1</x:v>
      </x:c>
      <x:c r="L91" s="9" t="str">
        <x:v>ST05</x:v>
      </x:c>
      <x:c r="M91" s="17" t="str">
        <x:v>Witness capture armed</x:v>
      </x:c>
      <x:c r="N91" s="17" t="str">
        <x:v>unlike witness records independent reference and live time</x:v>
      </x:c>
      <x:c r="O91" s="17" t="str">
        <x:v>Witness metrology</x:v>
      </x:c>
      <x:c r="P91" s="9" t="n">
        <x:v>0</x:v>
      </x:c>
      <x:c r="Q91" s="9" t="n">
        <x:v>0</x:v>
      </x:c>
      <x:c r="R91" s="9" t="str">
        <x:v>OPEN / UNSTARTED</x:v>
      </x:c>
      <x:c r="S91" s="9" t="n">
        <x:f>COUNTIFS($A$7:$A$1446,A91)</x:f>
        <x:v>1</x:v>
      </x:c>
    </x:row>
    <x:row r="92">
      <x:c r="A92" s="9" t="str">
        <x:v>EV-AR-HC-A-C-TECH-3-B1-BRK-G0-ST06</x:v>
      </x:c>
      <x:c r="B92" s="9" t="str">
        <x:v>EV-AR-HC-A-C-TECH-3-B1-BRK-G0</x:v>
      </x:c>
      <x:c r="C92" s="9" t="str">
        <x:v>EOW-AR-HC-A-C-TECH-3-B1-BRK-G0</x:v>
      </x:c>
      <x:c r="D92" s="9" t="str">
        <x:v>AR-HC-A-C-TECH-3-B1-BRK-G0</x:v>
      </x:c>
      <x:c r="E92" s="9" t="str">
        <x:v>HC-A-C-TECH-3</x:v>
      </x:c>
      <x:c r="F92" s="9" t="str">
        <x:v>HC-A-C</x:v>
      </x:c>
      <x:c r="G92" s="9" t="str">
        <x:v>B1</x:v>
      </x:c>
      <x:c r="H92" s="9" t="str">
        <x:v>BRK</x:v>
      </x:c>
      <x:c r="I92" s="9" t="n">
        <x:v>1</x:v>
      </x:c>
      <x:c r="J92" s="9" t="n">
        <x:v>2</x:v>
      </x:c>
      <x:c r="K92" s="9" t="str">
        <x:v>HC-A-C-N1</x:v>
      </x:c>
      <x:c r="L92" s="9" t="str">
        <x:v>ST06</x:v>
      </x:c>
      <x:c r="M92" s="17" t="str">
        <x:v>Public custody armed</x:v>
      </x:c>
      <x:c r="N92" s="17" t="str">
        <x:v>eight raw origins have separated hash and replica routes</x:v>
      </x:c>
      <x:c r="O92" s="17" t="str">
        <x:v>Custody authority</x:v>
      </x:c>
      <x:c r="P92" s="9" t="n">
        <x:v>0</x:v>
      </x:c>
      <x:c r="Q92" s="9" t="n">
        <x:v>0</x:v>
      </x:c>
      <x:c r="R92" s="9" t="str">
        <x:v>OPEN / UNSTARTED</x:v>
      </x:c>
      <x:c r="S92" s="9" t="n">
        <x:f>COUNTIFS($A$7:$A$1446,A92)</x:f>
        <x:v>1</x:v>
      </x:c>
    </x:row>
    <x:row r="93">
      <x:c r="A93" s="9" t="str">
        <x:v>EV-AR-HC-A-C-TECH-3-B1-BRK-G0-ST07</x:v>
      </x:c>
      <x:c r="B93" s="9" t="str">
        <x:v>EV-AR-HC-A-C-TECH-3-B1-BRK-G0</x:v>
      </x:c>
      <x:c r="C93" s="9" t="str">
        <x:v>EOW-AR-HC-A-C-TECH-3-B1-BRK-G0</x:v>
      </x:c>
      <x:c r="D93" s="9" t="str">
        <x:v>AR-HC-A-C-TECH-3-B1-BRK-G0</x:v>
      </x:c>
      <x:c r="E93" s="9" t="str">
        <x:v>HC-A-C-TECH-3</x:v>
      </x:c>
      <x:c r="F93" s="9" t="str">
        <x:v>HC-A-C</x:v>
      </x:c>
      <x:c r="G93" s="9" t="str">
        <x:v>B1</x:v>
      </x:c>
      <x:c r="H93" s="9" t="str">
        <x:v>BRK</x:v>
      </x:c>
      <x:c r="I93" s="9" t="n">
        <x:v>1</x:v>
      </x:c>
      <x:c r="J93" s="9" t="n">
        <x:v>2</x:v>
      </x:c>
      <x:c r="K93" s="9" t="str">
        <x:v>HC-A-C-N1</x:v>
      </x:c>
      <x:c r="L93" s="9" t="str">
        <x:v>ST07</x:v>
      </x:c>
      <x:c r="M93" s="17" t="str">
        <x:v>Environmental baseline</x:v>
      </x:c>
      <x:c r="N93" s="17" t="str">
        <x:v>pre-event boundary state is sealed before decisive operation</x:v>
      </x:c>
      <x:c r="O93" s="17" t="str">
        <x:v>Site metrology</x:v>
      </x:c>
      <x:c r="P93" s="9" t="n">
        <x:v>0</x:v>
      </x:c>
      <x:c r="Q93" s="9" t="n">
        <x:v>0</x:v>
      </x:c>
      <x:c r="R93" s="9" t="str">
        <x:v>OPEN / UNSTARTED</x:v>
      </x:c>
      <x:c r="S93" s="9" t="n">
        <x:f>COUNTIFS($A$7:$A$1446,A93)</x:f>
        <x:v>1</x:v>
      </x:c>
    </x:row>
    <x:row r="94">
      <x:c r="A94" s="9" t="str">
        <x:v>EV-AR-HC-A-C-TECH-3-B1-BRK-G0-ST08</x:v>
      </x:c>
      <x:c r="B94" s="9" t="str">
        <x:v>EV-AR-HC-A-C-TECH-3-B1-BRK-G0</x:v>
      </x:c>
      <x:c r="C94" s="9" t="str">
        <x:v>EOW-AR-HC-A-C-TECH-3-B1-BRK-G0</x:v>
      </x:c>
      <x:c r="D94" s="9" t="str">
        <x:v>AR-HC-A-C-TECH-3-B1-BRK-G0</x:v>
      </x:c>
      <x:c r="E94" s="9" t="str">
        <x:v>HC-A-C-TECH-3</x:v>
      </x:c>
      <x:c r="F94" s="9" t="str">
        <x:v>HC-A-C</x:v>
      </x:c>
      <x:c r="G94" s="9" t="str">
        <x:v>B1</x:v>
      </x:c>
      <x:c r="H94" s="9" t="str">
        <x:v>BRK</x:v>
      </x:c>
      <x:c r="I94" s="9" t="n">
        <x:v>1</x:v>
      </x:c>
      <x:c r="J94" s="9" t="n">
        <x:v>2</x:v>
      </x:c>
      <x:c r="K94" s="9" t="str">
        <x:v>HC-A-C-N1</x:v>
      </x:c>
      <x:c r="L94" s="9" t="str">
        <x:v>ST08</x:v>
      </x:c>
      <x:c r="M94" s="17" t="str">
        <x:v>Manual stop and safety</x:v>
      </x:c>
      <x:c r="N94" s="17" t="str">
        <x:v>local stop, evacuation and protection routes are active</x:v>
      </x:c>
      <x:c r="O94" s="17" t="str">
        <x:v>Safety authority</x:v>
      </x:c>
      <x:c r="P94" s="9" t="n">
        <x:v>0</x:v>
      </x:c>
      <x:c r="Q94" s="9" t="n">
        <x:v>0</x:v>
      </x:c>
      <x:c r="R94" s="9" t="str">
        <x:v>OPEN / UNSTARTED</x:v>
      </x:c>
      <x:c r="S94" s="9" t="n">
        <x:f>COUNTIFS($A$7:$A$1446,A94)</x:f>
        <x:v>1</x:v>
      </x:c>
    </x:row>
    <x:row r="95">
      <x:c r="A95" s="9" t="str">
        <x:v>EV-AR-HC-A-C-TECH-3-B1-BRK-G0-ST09</x:v>
      </x:c>
      <x:c r="B95" s="9" t="str">
        <x:v>EV-AR-HC-A-C-TECH-3-B1-BRK-G0</x:v>
      </x:c>
      <x:c r="C95" s="9" t="str">
        <x:v>EOW-AR-HC-A-C-TECH-3-B1-BRK-G0</x:v>
      </x:c>
      <x:c r="D95" s="9" t="str">
        <x:v>AR-HC-A-C-TECH-3-B1-BRK-G0</x:v>
      </x:c>
      <x:c r="E95" s="9" t="str">
        <x:v>HC-A-C-TECH-3</x:v>
      </x:c>
      <x:c r="F95" s="9" t="str">
        <x:v>HC-A-C</x:v>
      </x:c>
      <x:c r="G95" s="9" t="str">
        <x:v>B1</x:v>
      </x:c>
      <x:c r="H95" s="9" t="str">
        <x:v>BRK</x:v>
      </x:c>
      <x:c r="I95" s="9" t="n">
        <x:v>1</x:v>
      </x:c>
      <x:c r="J95" s="9" t="n">
        <x:v>2</x:v>
      </x:c>
      <x:c r="K95" s="9" t="str">
        <x:v>HC-A-C-N1</x:v>
      </x:c>
      <x:c r="L95" s="9" t="str">
        <x:v>ST09</x:v>
      </x:c>
      <x:c r="M95" s="17" t="str">
        <x:v>Operator conflict clear</x:v>
      </x:c>
      <x:c r="N95" s="17" t="str">
        <x:v>candidate, fixture, safety and measurement control edges remain separated</x:v>
      </x:c>
      <x:c r="O95" s="17" t="str">
        <x:v>Conflict registrar</x:v>
      </x:c>
      <x:c r="P95" s="9" t="n">
        <x:v>0</x:v>
      </x:c>
      <x:c r="Q95" s="9" t="n">
        <x:v>0</x:v>
      </x:c>
      <x:c r="R95" s="9" t="str">
        <x:v>OPEN / UNSTARTED</x:v>
      </x:c>
      <x:c r="S95" s="9" t="n">
        <x:f>COUNTIFS($A$7:$A$1446,A95)</x:f>
        <x:v>1</x:v>
      </x:c>
    </x:row>
    <x:row r="96">
      <x:c r="A96" s="9" t="str">
        <x:v>EV-AR-HC-A-C-TECH-3-B1-BRK-G0-ST10</x:v>
      </x:c>
      <x:c r="B96" s="9" t="str">
        <x:v>EV-AR-HC-A-C-TECH-3-B1-BRK-G0</x:v>
      </x:c>
      <x:c r="C96" s="9" t="str">
        <x:v>EOW-AR-HC-A-C-TECH-3-B1-BRK-G0</x:v>
      </x:c>
      <x:c r="D96" s="9" t="str">
        <x:v>AR-HC-A-C-TECH-3-B1-BRK-G0</x:v>
      </x:c>
      <x:c r="E96" s="9" t="str">
        <x:v>HC-A-C-TECH-3</x:v>
      </x:c>
      <x:c r="F96" s="9" t="str">
        <x:v>HC-A-C</x:v>
      </x:c>
      <x:c r="G96" s="9" t="str">
        <x:v>B1</x:v>
      </x:c>
      <x:c r="H96" s="9" t="str">
        <x:v>BRK</x:v>
      </x:c>
      <x:c r="I96" s="9" t="n">
        <x:v>1</x:v>
      </x:c>
      <x:c r="J96" s="9" t="n">
        <x:v>2</x:v>
      </x:c>
      <x:c r="K96" s="9" t="str">
        <x:v>HC-A-C-N1</x:v>
      </x:c>
      <x:c r="L96" s="9" t="str">
        <x:v>ST10</x:v>
      </x:c>
      <x:c r="M96" s="17" t="str">
        <x:v>Window and common clock</x:v>
      </x:c>
      <x:c r="N96" s="17" t="str">
        <x:v>epoch, window and public time origin match the issued warrant</x:v>
      </x:c>
      <x:c r="O96" s="17" t="str">
        <x:v>Event clock authority</x:v>
      </x:c>
      <x:c r="P96" s="9" t="n">
        <x:v>0</x:v>
      </x:c>
      <x:c r="Q96" s="9" t="n">
        <x:v>0</x:v>
      </x:c>
      <x:c r="R96" s="9" t="str">
        <x:v>OPEN / UNSTARTED</x:v>
      </x:c>
      <x:c r="S96" s="9" t="n">
        <x:f>COUNTIFS($A$7:$A$1446,A96)</x:f>
        <x:v>1</x:v>
      </x:c>
    </x:row>
    <x:row r="97">
      <x:c r="A97" s="9" t="str">
        <x:v>EV-AR-HU-A-B-TECH-3-B1-INT-G0-ST01</x:v>
      </x:c>
      <x:c r="B97" s="9" t="str">
        <x:v>EV-AR-HU-A-B-TECH-3-B1-INT-G0</x:v>
      </x:c>
      <x:c r="C97" s="9" t="str">
        <x:v>EOW-AR-HU-A-B-TECH-3-B1-INT-G0</x:v>
      </x:c>
      <x:c r="D97" s="9" t="str">
        <x:v>AR-HU-A-B-TECH-3-B1-INT-G0</x:v>
      </x:c>
      <x:c r="E97" s="9" t="str">
        <x:v>HU-A-B-TECH-3</x:v>
      </x:c>
      <x:c r="F97" s="9" t="str">
        <x:v>HU-A-B</x:v>
      </x:c>
      <x:c r="G97" s="9" t="str">
        <x:v>B1</x:v>
      </x:c>
      <x:c r="H97" s="9" t="str">
        <x:v>INT</x:v>
      </x:c>
      <x:c r="I97" s="9" t="n">
        <x:v>1</x:v>
      </x:c>
      <x:c r="J97" s="9" t="n">
        <x:v>2</x:v>
      </x:c>
      <x:c r="K97" s="9" t="str">
        <x:v>HU-A-B-N3</x:v>
      </x:c>
      <x:c r="L97" s="9" t="str">
        <x:v>ST01</x:v>
      </x:c>
      <x:c r="M97" s="17" t="str">
        <x:v>Active opportunity warrant</x:v>
      </x:c>
      <x:c r="N97" s="17" t="str">
        <x:v>configuration-bound EOW is within its thirty-six-hour validity</x:v>
      </x:c>
      <x:c r="O97" s="17" t="str">
        <x:v>Start registrar</x:v>
      </x:c>
      <x:c r="P97" s="9" t="n">
        <x:v>0</x:v>
      </x:c>
      <x:c r="Q97" s="9" t="n">
        <x:v>0</x:v>
      </x:c>
      <x:c r="R97" s="9" t="str">
        <x:v>OPEN / UNSTARTED</x:v>
      </x:c>
      <x:c r="S97" s="9" t="n">
        <x:f>COUNTIFS($A$7:$A$1446,A97)</x:f>
        <x:v>1</x:v>
      </x:c>
    </x:row>
    <x:row r="98">
      <x:c r="A98" s="9" t="str">
        <x:v>EV-AR-HU-A-B-TECH-3-B1-INT-G0-ST02</x:v>
      </x:c>
      <x:c r="B98" s="9" t="str">
        <x:v>EV-AR-HU-A-B-TECH-3-B1-INT-G0</x:v>
      </x:c>
      <x:c r="C98" s="9" t="str">
        <x:v>EOW-AR-HU-A-B-TECH-3-B1-INT-G0</x:v>
      </x:c>
      <x:c r="D98" s="9" t="str">
        <x:v>AR-HU-A-B-TECH-3-B1-INT-G0</x:v>
      </x:c>
      <x:c r="E98" s="9" t="str">
        <x:v>HU-A-B-TECH-3</x:v>
      </x:c>
      <x:c r="F98" s="9" t="str">
        <x:v>HU-A-B</x:v>
      </x:c>
      <x:c r="G98" s="9" t="str">
        <x:v>B1</x:v>
      </x:c>
      <x:c r="H98" s="9" t="str">
        <x:v>INT</x:v>
      </x:c>
      <x:c r="I98" s="9" t="n">
        <x:v>1</x:v>
      </x:c>
      <x:c r="J98" s="9" t="n">
        <x:v>2</x:v>
      </x:c>
      <x:c r="K98" s="9" t="str">
        <x:v>HU-A-B-N3</x:v>
      </x:c>
      <x:c r="L98" s="9" t="str">
        <x:v>ST02</x:v>
      </x:c>
      <x:c r="M98" s="17" t="str">
        <x:v>Frozen identity</x:v>
      </x:c>
      <x:c r="N98" s="17" t="str">
        <x:v>serial, generation, fixture, site, receiver and digest match the warrant</x:v>
      </x:c>
      <x:c r="O98" s="17" t="str">
        <x:v>Custody authority</x:v>
      </x:c>
      <x:c r="P98" s="9" t="n">
        <x:v>0</x:v>
      </x:c>
      <x:c r="Q98" s="9" t="n">
        <x:v>0</x:v>
      </x:c>
      <x:c r="R98" s="9" t="str">
        <x:v>OPEN / UNSTARTED</x:v>
      </x:c>
      <x:c r="S98" s="9" t="n">
        <x:f>COUNTIFS($A$7:$A$1446,A98)</x:f>
        <x:v>1</x:v>
      </x:c>
    </x:row>
    <x:row r="99">
      <x:c r="A99" s="9" t="str">
        <x:v>EV-AR-HU-A-B-TECH-3-B1-INT-G0-ST03</x:v>
      </x:c>
      <x:c r="B99" s="9" t="str">
        <x:v>EV-AR-HU-A-B-TECH-3-B1-INT-G0</x:v>
      </x:c>
      <x:c r="C99" s="9" t="str">
        <x:v>EOW-AR-HU-A-B-TECH-3-B1-INT-G0</x:v>
      </x:c>
      <x:c r="D99" s="9" t="str">
        <x:v>AR-HU-A-B-TECH-3-B1-INT-G0</x:v>
      </x:c>
      <x:c r="E99" s="9" t="str">
        <x:v>HU-A-B-TECH-3</x:v>
      </x:c>
      <x:c r="F99" s="9" t="str">
        <x:v>HU-A-B</x:v>
      </x:c>
      <x:c r="G99" s="9" t="str">
        <x:v>B1</x:v>
      </x:c>
      <x:c r="H99" s="9" t="str">
        <x:v>INT</x:v>
      </x:c>
      <x:c r="I99" s="9" t="n">
        <x:v>1</x:v>
      </x:c>
      <x:c r="J99" s="9" t="n">
        <x:v>2</x:v>
      </x:c>
      <x:c r="K99" s="9" t="str">
        <x:v>HU-A-B-N3</x:v>
      </x:c>
      <x:c r="L99" s="9" t="str">
        <x:v>ST03</x:v>
      </x:c>
      <x:c r="M99" s="17" t="str">
        <x:v>Receiver receipt</x:v>
      </x:c>
      <x:c r="N99" s="17" t="str">
        <x:v>denominator, counterfactual, rights and stop receipt remain unchanged</x:v>
      </x:c>
      <x:c r="O99" s="17" t="str">
        <x:v>Receiver authority</x:v>
      </x:c>
      <x:c r="P99" s="9" t="n">
        <x:v>0</x:v>
      </x:c>
      <x:c r="Q99" s="9" t="n">
        <x:v>0</x:v>
      </x:c>
      <x:c r="R99" s="9" t="str">
        <x:v>OPEN / UNSTARTED</x:v>
      </x:c>
      <x:c r="S99" s="9" t="n">
        <x:f>COUNTIFS($A$7:$A$1446,A99)</x:f>
        <x:v>1</x:v>
      </x:c>
    </x:row>
    <x:row r="100">
      <x:c r="A100" s="9" t="str">
        <x:v>EV-AR-HU-A-B-TECH-3-B1-INT-G0-ST04</x:v>
      </x:c>
      <x:c r="B100" s="9" t="str">
        <x:v>EV-AR-HU-A-B-TECH-3-B1-INT-G0</x:v>
      </x:c>
      <x:c r="C100" s="9" t="str">
        <x:v>EOW-AR-HU-A-B-TECH-3-B1-INT-G0</x:v>
      </x:c>
      <x:c r="D100" s="9" t="str">
        <x:v>AR-HU-A-B-TECH-3-B1-INT-G0</x:v>
      </x:c>
      <x:c r="E100" s="9" t="str">
        <x:v>HU-A-B-TECH-3</x:v>
      </x:c>
      <x:c r="F100" s="9" t="str">
        <x:v>HU-A-B</x:v>
      </x:c>
      <x:c r="G100" s="9" t="str">
        <x:v>B1</x:v>
      </x:c>
      <x:c r="H100" s="9" t="str">
        <x:v>INT</x:v>
      </x:c>
      <x:c r="I100" s="9" t="n">
        <x:v>1</x:v>
      </x:c>
      <x:c r="J100" s="9" t="n">
        <x:v>2</x:v>
      </x:c>
      <x:c r="K100" s="9" t="str">
        <x:v>HU-A-B-N3</x:v>
      </x:c>
      <x:c r="L100" s="9" t="str">
        <x:v>ST04</x:v>
      </x:c>
      <x:c r="M100" s="17" t="str">
        <x:v>Primary capture armed</x:v>
      </x:c>
      <x:c r="N100" s="17" t="str">
        <x:v>primary chain records sealed reference and live time</x:v>
      </x:c>
      <x:c r="O100" s="17" t="str">
        <x:v>Primary metrology</x:v>
      </x:c>
      <x:c r="P100" s="9" t="n">
        <x:v>0</x:v>
      </x:c>
      <x:c r="Q100" s="9" t="n">
        <x:v>0</x:v>
      </x:c>
      <x:c r="R100" s="9" t="str">
        <x:v>OPEN / UNSTARTED</x:v>
      </x:c>
      <x:c r="S100" s="9" t="n">
        <x:f>COUNTIFS($A$7:$A$1446,A100)</x:f>
        <x:v>1</x:v>
      </x:c>
    </x:row>
    <x:row r="101">
      <x:c r="A101" s="9" t="str">
        <x:v>EV-AR-HU-A-B-TECH-3-B1-INT-G0-ST05</x:v>
      </x:c>
      <x:c r="B101" s="9" t="str">
        <x:v>EV-AR-HU-A-B-TECH-3-B1-INT-G0</x:v>
      </x:c>
      <x:c r="C101" s="9" t="str">
        <x:v>EOW-AR-HU-A-B-TECH-3-B1-INT-G0</x:v>
      </x:c>
      <x:c r="D101" s="9" t="str">
        <x:v>AR-HU-A-B-TECH-3-B1-INT-G0</x:v>
      </x:c>
      <x:c r="E101" s="9" t="str">
        <x:v>HU-A-B-TECH-3</x:v>
      </x:c>
      <x:c r="F101" s="9" t="str">
        <x:v>HU-A-B</x:v>
      </x:c>
      <x:c r="G101" s="9" t="str">
        <x:v>B1</x:v>
      </x:c>
      <x:c r="H101" s="9" t="str">
        <x:v>INT</x:v>
      </x:c>
      <x:c r="I101" s="9" t="n">
        <x:v>1</x:v>
      </x:c>
      <x:c r="J101" s="9" t="n">
        <x:v>2</x:v>
      </x:c>
      <x:c r="K101" s="9" t="str">
        <x:v>HU-A-B-N3</x:v>
      </x:c>
      <x:c r="L101" s="9" t="str">
        <x:v>ST05</x:v>
      </x:c>
      <x:c r="M101" s="17" t="str">
        <x:v>Witness capture armed</x:v>
      </x:c>
      <x:c r="N101" s="17" t="str">
        <x:v>unlike witness records independent reference and live time</x:v>
      </x:c>
      <x:c r="O101" s="17" t="str">
        <x:v>Witness metrology</x:v>
      </x:c>
      <x:c r="P101" s="9" t="n">
        <x:v>0</x:v>
      </x:c>
      <x:c r="Q101" s="9" t="n">
        <x:v>0</x:v>
      </x:c>
      <x:c r="R101" s="9" t="str">
        <x:v>OPEN / UNSTARTED</x:v>
      </x:c>
      <x:c r="S101" s="9" t="n">
        <x:f>COUNTIFS($A$7:$A$1446,A101)</x:f>
        <x:v>1</x:v>
      </x:c>
    </x:row>
    <x:row r="102">
      <x:c r="A102" s="9" t="str">
        <x:v>EV-AR-HU-A-B-TECH-3-B1-INT-G0-ST06</x:v>
      </x:c>
      <x:c r="B102" s="9" t="str">
        <x:v>EV-AR-HU-A-B-TECH-3-B1-INT-G0</x:v>
      </x:c>
      <x:c r="C102" s="9" t="str">
        <x:v>EOW-AR-HU-A-B-TECH-3-B1-INT-G0</x:v>
      </x:c>
      <x:c r="D102" s="9" t="str">
        <x:v>AR-HU-A-B-TECH-3-B1-INT-G0</x:v>
      </x:c>
      <x:c r="E102" s="9" t="str">
        <x:v>HU-A-B-TECH-3</x:v>
      </x:c>
      <x:c r="F102" s="9" t="str">
        <x:v>HU-A-B</x:v>
      </x:c>
      <x:c r="G102" s="9" t="str">
        <x:v>B1</x:v>
      </x:c>
      <x:c r="H102" s="9" t="str">
        <x:v>INT</x:v>
      </x:c>
      <x:c r="I102" s="9" t="n">
        <x:v>1</x:v>
      </x:c>
      <x:c r="J102" s="9" t="n">
        <x:v>2</x:v>
      </x:c>
      <x:c r="K102" s="9" t="str">
        <x:v>HU-A-B-N3</x:v>
      </x:c>
      <x:c r="L102" s="9" t="str">
        <x:v>ST06</x:v>
      </x:c>
      <x:c r="M102" s="17" t="str">
        <x:v>Public custody armed</x:v>
      </x:c>
      <x:c r="N102" s="17" t="str">
        <x:v>eight raw origins have separated hash and replica routes</x:v>
      </x:c>
      <x:c r="O102" s="17" t="str">
        <x:v>Custody authority</x:v>
      </x:c>
      <x:c r="P102" s="9" t="n">
        <x:v>0</x:v>
      </x:c>
      <x:c r="Q102" s="9" t="n">
        <x:v>0</x:v>
      </x:c>
      <x:c r="R102" s="9" t="str">
        <x:v>OPEN / UNSTARTED</x:v>
      </x:c>
      <x:c r="S102" s="9" t="n">
        <x:f>COUNTIFS($A$7:$A$1446,A102)</x:f>
        <x:v>1</x:v>
      </x:c>
    </x:row>
    <x:row r="103">
      <x:c r="A103" s="9" t="str">
        <x:v>EV-AR-HU-A-B-TECH-3-B1-INT-G0-ST07</x:v>
      </x:c>
      <x:c r="B103" s="9" t="str">
        <x:v>EV-AR-HU-A-B-TECH-3-B1-INT-G0</x:v>
      </x:c>
      <x:c r="C103" s="9" t="str">
        <x:v>EOW-AR-HU-A-B-TECH-3-B1-INT-G0</x:v>
      </x:c>
      <x:c r="D103" s="9" t="str">
        <x:v>AR-HU-A-B-TECH-3-B1-INT-G0</x:v>
      </x:c>
      <x:c r="E103" s="9" t="str">
        <x:v>HU-A-B-TECH-3</x:v>
      </x:c>
      <x:c r="F103" s="9" t="str">
        <x:v>HU-A-B</x:v>
      </x:c>
      <x:c r="G103" s="9" t="str">
        <x:v>B1</x:v>
      </x:c>
      <x:c r="H103" s="9" t="str">
        <x:v>INT</x:v>
      </x:c>
      <x:c r="I103" s="9" t="n">
        <x:v>1</x:v>
      </x:c>
      <x:c r="J103" s="9" t="n">
        <x:v>2</x:v>
      </x:c>
      <x:c r="K103" s="9" t="str">
        <x:v>HU-A-B-N3</x:v>
      </x:c>
      <x:c r="L103" s="9" t="str">
        <x:v>ST07</x:v>
      </x:c>
      <x:c r="M103" s="17" t="str">
        <x:v>Environmental baseline</x:v>
      </x:c>
      <x:c r="N103" s="17" t="str">
        <x:v>pre-event boundary state is sealed before decisive operation</x:v>
      </x:c>
      <x:c r="O103" s="17" t="str">
        <x:v>Site metrology</x:v>
      </x:c>
      <x:c r="P103" s="9" t="n">
        <x:v>0</x:v>
      </x:c>
      <x:c r="Q103" s="9" t="n">
        <x:v>0</x:v>
      </x:c>
      <x:c r="R103" s="9" t="str">
        <x:v>OPEN / UNSTARTED</x:v>
      </x:c>
      <x:c r="S103" s="9" t="n">
        <x:f>COUNTIFS($A$7:$A$1446,A103)</x:f>
        <x:v>1</x:v>
      </x:c>
    </x:row>
    <x:row r="104">
      <x:c r="A104" s="9" t="str">
        <x:v>EV-AR-HU-A-B-TECH-3-B1-INT-G0-ST08</x:v>
      </x:c>
      <x:c r="B104" s="9" t="str">
        <x:v>EV-AR-HU-A-B-TECH-3-B1-INT-G0</x:v>
      </x:c>
      <x:c r="C104" s="9" t="str">
        <x:v>EOW-AR-HU-A-B-TECH-3-B1-INT-G0</x:v>
      </x:c>
      <x:c r="D104" s="9" t="str">
        <x:v>AR-HU-A-B-TECH-3-B1-INT-G0</x:v>
      </x:c>
      <x:c r="E104" s="9" t="str">
        <x:v>HU-A-B-TECH-3</x:v>
      </x:c>
      <x:c r="F104" s="9" t="str">
        <x:v>HU-A-B</x:v>
      </x:c>
      <x:c r="G104" s="9" t="str">
        <x:v>B1</x:v>
      </x:c>
      <x:c r="H104" s="9" t="str">
        <x:v>INT</x:v>
      </x:c>
      <x:c r="I104" s="9" t="n">
        <x:v>1</x:v>
      </x:c>
      <x:c r="J104" s="9" t="n">
        <x:v>2</x:v>
      </x:c>
      <x:c r="K104" s="9" t="str">
        <x:v>HU-A-B-N3</x:v>
      </x:c>
      <x:c r="L104" s="9" t="str">
        <x:v>ST08</x:v>
      </x:c>
      <x:c r="M104" s="17" t="str">
        <x:v>Manual stop and safety</x:v>
      </x:c>
      <x:c r="N104" s="17" t="str">
        <x:v>local stop, evacuation and protection routes are active</x:v>
      </x:c>
      <x:c r="O104" s="17" t="str">
        <x:v>Safety authority</x:v>
      </x:c>
      <x:c r="P104" s="9" t="n">
        <x:v>0</x:v>
      </x:c>
      <x:c r="Q104" s="9" t="n">
        <x:v>0</x:v>
      </x:c>
      <x:c r="R104" s="9" t="str">
        <x:v>OPEN / UNSTARTED</x:v>
      </x:c>
      <x:c r="S104" s="9" t="n">
        <x:f>COUNTIFS($A$7:$A$1446,A104)</x:f>
        <x:v>1</x:v>
      </x:c>
    </x:row>
    <x:row r="105">
      <x:c r="A105" s="9" t="str">
        <x:v>EV-AR-HU-A-B-TECH-3-B1-INT-G0-ST09</x:v>
      </x:c>
      <x:c r="B105" s="9" t="str">
        <x:v>EV-AR-HU-A-B-TECH-3-B1-INT-G0</x:v>
      </x:c>
      <x:c r="C105" s="9" t="str">
        <x:v>EOW-AR-HU-A-B-TECH-3-B1-INT-G0</x:v>
      </x:c>
      <x:c r="D105" s="9" t="str">
        <x:v>AR-HU-A-B-TECH-3-B1-INT-G0</x:v>
      </x:c>
      <x:c r="E105" s="9" t="str">
        <x:v>HU-A-B-TECH-3</x:v>
      </x:c>
      <x:c r="F105" s="9" t="str">
        <x:v>HU-A-B</x:v>
      </x:c>
      <x:c r="G105" s="9" t="str">
        <x:v>B1</x:v>
      </x:c>
      <x:c r="H105" s="9" t="str">
        <x:v>INT</x:v>
      </x:c>
      <x:c r="I105" s="9" t="n">
        <x:v>1</x:v>
      </x:c>
      <x:c r="J105" s="9" t="n">
        <x:v>2</x:v>
      </x:c>
      <x:c r="K105" s="9" t="str">
        <x:v>HU-A-B-N3</x:v>
      </x:c>
      <x:c r="L105" s="9" t="str">
        <x:v>ST09</x:v>
      </x:c>
      <x:c r="M105" s="17" t="str">
        <x:v>Operator conflict clear</x:v>
      </x:c>
      <x:c r="N105" s="17" t="str">
        <x:v>candidate, fixture, safety and measurement control edges remain separated</x:v>
      </x:c>
      <x:c r="O105" s="17" t="str">
        <x:v>Conflict registrar</x:v>
      </x:c>
      <x:c r="P105" s="9" t="n">
        <x:v>0</x:v>
      </x:c>
      <x:c r="Q105" s="9" t="n">
        <x:v>0</x:v>
      </x:c>
      <x:c r="R105" s="9" t="str">
        <x:v>OPEN / UNSTARTED</x:v>
      </x:c>
      <x:c r="S105" s="9" t="n">
        <x:f>COUNTIFS($A$7:$A$1446,A105)</x:f>
        <x:v>1</x:v>
      </x:c>
    </x:row>
    <x:row r="106">
      <x:c r="A106" s="9" t="str">
        <x:v>EV-AR-HU-A-B-TECH-3-B1-INT-G0-ST10</x:v>
      </x:c>
      <x:c r="B106" s="9" t="str">
        <x:v>EV-AR-HU-A-B-TECH-3-B1-INT-G0</x:v>
      </x:c>
      <x:c r="C106" s="9" t="str">
        <x:v>EOW-AR-HU-A-B-TECH-3-B1-INT-G0</x:v>
      </x:c>
      <x:c r="D106" s="9" t="str">
        <x:v>AR-HU-A-B-TECH-3-B1-INT-G0</x:v>
      </x:c>
      <x:c r="E106" s="9" t="str">
        <x:v>HU-A-B-TECH-3</x:v>
      </x:c>
      <x:c r="F106" s="9" t="str">
        <x:v>HU-A-B</x:v>
      </x:c>
      <x:c r="G106" s="9" t="str">
        <x:v>B1</x:v>
      </x:c>
      <x:c r="H106" s="9" t="str">
        <x:v>INT</x:v>
      </x:c>
      <x:c r="I106" s="9" t="n">
        <x:v>1</x:v>
      </x:c>
      <x:c r="J106" s="9" t="n">
        <x:v>2</x:v>
      </x:c>
      <x:c r="K106" s="9" t="str">
        <x:v>HU-A-B-N3</x:v>
      </x:c>
      <x:c r="L106" s="9" t="str">
        <x:v>ST10</x:v>
      </x:c>
      <x:c r="M106" s="17" t="str">
        <x:v>Window and common clock</x:v>
      </x:c>
      <x:c r="N106" s="17" t="str">
        <x:v>epoch, window and public time origin match the issued warrant</x:v>
      </x:c>
      <x:c r="O106" s="17" t="str">
        <x:v>Event clock authority</x:v>
      </x:c>
      <x:c r="P106" s="9" t="n">
        <x:v>0</x:v>
      </x:c>
      <x:c r="Q106" s="9" t="n">
        <x:v>0</x:v>
      </x:c>
      <x:c r="R106" s="9" t="str">
        <x:v>OPEN / UNSTARTED</x:v>
      </x:c>
      <x:c r="S106" s="9" t="n">
        <x:f>COUNTIFS($A$7:$A$1446,A106)</x:f>
        <x:v>1</x:v>
      </x:c>
    </x:row>
    <x:row r="107">
      <x:c r="A107" s="9" t="str">
        <x:v>EV-AR-LF-B-A-TECH-1-B2-BRK-G0-ST01</x:v>
      </x:c>
      <x:c r="B107" s="9" t="str">
        <x:v>EV-AR-LF-B-A-TECH-1-B2-BRK-G0</x:v>
      </x:c>
      <x:c r="C107" s="9" t="str">
        <x:v>EOW-AR-LF-B-A-TECH-1-B2-BRK-G0</x:v>
      </x:c>
      <x:c r="D107" s="9" t="str">
        <x:v>AR-LF-B-A-TECH-1-B2-BRK-G0</x:v>
      </x:c>
      <x:c r="E107" s="9" t="str">
        <x:v>LF-B-A-TECH-1</x:v>
      </x:c>
      <x:c r="F107" s="9" t="str">
        <x:v>LF-B-A</x:v>
      </x:c>
      <x:c r="G107" s="9" t="str">
        <x:v>B2</x:v>
      </x:c>
      <x:c r="H107" s="9" t="str">
        <x:v>BRK</x:v>
      </x:c>
      <x:c r="I107" s="9" t="n">
        <x:v>1</x:v>
      </x:c>
      <x:c r="J107" s="9" t="n">
        <x:v>2</x:v>
      </x:c>
      <x:c r="K107" s="9" t="str">
        <x:v>LF-B-A-N1</x:v>
      </x:c>
      <x:c r="L107" s="9" t="str">
        <x:v>ST01</x:v>
      </x:c>
      <x:c r="M107" s="17" t="str">
        <x:v>Active opportunity warrant</x:v>
      </x:c>
      <x:c r="N107" s="17" t="str">
        <x:v>configuration-bound EOW is within its thirty-six-hour validity</x:v>
      </x:c>
      <x:c r="O107" s="17" t="str">
        <x:v>Start registrar</x:v>
      </x:c>
      <x:c r="P107" s="9" t="n">
        <x:v>0</x:v>
      </x:c>
      <x:c r="Q107" s="9" t="n">
        <x:v>0</x:v>
      </x:c>
      <x:c r="R107" s="9" t="str">
        <x:v>OPEN / UNSTARTED</x:v>
      </x:c>
      <x:c r="S107" s="9" t="n">
        <x:f>COUNTIFS($A$7:$A$1446,A107)</x:f>
        <x:v>1</x:v>
      </x:c>
    </x:row>
    <x:row r="108">
      <x:c r="A108" s="9" t="str">
        <x:v>EV-AR-LF-B-A-TECH-1-B2-BRK-G0-ST02</x:v>
      </x:c>
      <x:c r="B108" s="9" t="str">
        <x:v>EV-AR-LF-B-A-TECH-1-B2-BRK-G0</x:v>
      </x:c>
      <x:c r="C108" s="9" t="str">
        <x:v>EOW-AR-LF-B-A-TECH-1-B2-BRK-G0</x:v>
      </x:c>
      <x:c r="D108" s="9" t="str">
        <x:v>AR-LF-B-A-TECH-1-B2-BRK-G0</x:v>
      </x:c>
      <x:c r="E108" s="9" t="str">
        <x:v>LF-B-A-TECH-1</x:v>
      </x:c>
      <x:c r="F108" s="9" t="str">
        <x:v>LF-B-A</x:v>
      </x:c>
      <x:c r="G108" s="9" t="str">
        <x:v>B2</x:v>
      </x:c>
      <x:c r="H108" s="9" t="str">
        <x:v>BRK</x:v>
      </x:c>
      <x:c r="I108" s="9" t="n">
        <x:v>1</x:v>
      </x:c>
      <x:c r="J108" s="9" t="n">
        <x:v>2</x:v>
      </x:c>
      <x:c r="K108" s="9" t="str">
        <x:v>LF-B-A-N1</x:v>
      </x:c>
      <x:c r="L108" s="9" t="str">
        <x:v>ST02</x:v>
      </x:c>
      <x:c r="M108" s="17" t="str">
        <x:v>Frozen identity</x:v>
      </x:c>
      <x:c r="N108" s="17" t="str">
        <x:v>serial, generation, fixture, site, receiver and digest match the warrant</x:v>
      </x:c>
      <x:c r="O108" s="17" t="str">
        <x:v>Custody authority</x:v>
      </x:c>
      <x:c r="P108" s="9" t="n">
        <x:v>0</x:v>
      </x:c>
      <x:c r="Q108" s="9" t="n">
        <x:v>0</x:v>
      </x:c>
      <x:c r="R108" s="9" t="str">
        <x:v>OPEN / UNSTARTED</x:v>
      </x:c>
      <x:c r="S108" s="9" t="n">
        <x:f>COUNTIFS($A$7:$A$1446,A108)</x:f>
        <x:v>1</x:v>
      </x:c>
    </x:row>
    <x:row r="109">
      <x:c r="A109" s="9" t="str">
        <x:v>EV-AR-LF-B-A-TECH-1-B2-BRK-G0-ST03</x:v>
      </x:c>
      <x:c r="B109" s="9" t="str">
        <x:v>EV-AR-LF-B-A-TECH-1-B2-BRK-G0</x:v>
      </x:c>
      <x:c r="C109" s="9" t="str">
        <x:v>EOW-AR-LF-B-A-TECH-1-B2-BRK-G0</x:v>
      </x:c>
      <x:c r="D109" s="9" t="str">
        <x:v>AR-LF-B-A-TECH-1-B2-BRK-G0</x:v>
      </x:c>
      <x:c r="E109" s="9" t="str">
        <x:v>LF-B-A-TECH-1</x:v>
      </x:c>
      <x:c r="F109" s="9" t="str">
        <x:v>LF-B-A</x:v>
      </x:c>
      <x:c r="G109" s="9" t="str">
        <x:v>B2</x:v>
      </x:c>
      <x:c r="H109" s="9" t="str">
        <x:v>BRK</x:v>
      </x:c>
      <x:c r="I109" s="9" t="n">
        <x:v>1</x:v>
      </x:c>
      <x:c r="J109" s="9" t="n">
        <x:v>2</x:v>
      </x:c>
      <x:c r="K109" s="9" t="str">
        <x:v>LF-B-A-N1</x:v>
      </x:c>
      <x:c r="L109" s="9" t="str">
        <x:v>ST03</x:v>
      </x:c>
      <x:c r="M109" s="17" t="str">
        <x:v>Receiver receipt</x:v>
      </x:c>
      <x:c r="N109" s="17" t="str">
        <x:v>denominator, counterfactual, rights and stop receipt remain unchanged</x:v>
      </x:c>
      <x:c r="O109" s="17" t="str">
        <x:v>Receiver authority</x:v>
      </x:c>
      <x:c r="P109" s="9" t="n">
        <x:v>0</x:v>
      </x:c>
      <x:c r="Q109" s="9" t="n">
        <x:v>0</x:v>
      </x:c>
      <x:c r="R109" s="9" t="str">
        <x:v>OPEN / UNSTARTED</x:v>
      </x:c>
      <x:c r="S109" s="9" t="n">
        <x:f>COUNTIFS($A$7:$A$1446,A109)</x:f>
        <x:v>1</x:v>
      </x:c>
    </x:row>
    <x:row r="110">
      <x:c r="A110" s="9" t="str">
        <x:v>EV-AR-LF-B-A-TECH-1-B2-BRK-G0-ST04</x:v>
      </x:c>
      <x:c r="B110" s="9" t="str">
        <x:v>EV-AR-LF-B-A-TECH-1-B2-BRK-G0</x:v>
      </x:c>
      <x:c r="C110" s="9" t="str">
        <x:v>EOW-AR-LF-B-A-TECH-1-B2-BRK-G0</x:v>
      </x:c>
      <x:c r="D110" s="9" t="str">
        <x:v>AR-LF-B-A-TECH-1-B2-BRK-G0</x:v>
      </x:c>
      <x:c r="E110" s="9" t="str">
        <x:v>LF-B-A-TECH-1</x:v>
      </x:c>
      <x:c r="F110" s="9" t="str">
        <x:v>LF-B-A</x:v>
      </x:c>
      <x:c r="G110" s="9" t="str">
        <x:v>B2</x:v>
      </x:c>
      <x:c r="H110" s="9" t="str">
        <x:v>BRK</x:v>
      </x:c>
      <x:c r="I110" s="9" t="n">
        <x:v>1</x:v>
      </x:c>
      <x:c r="J110" s="9" t="n">
        <x:v>2</x:v>
      </x:c>
      <x:c r="K110" s="9" t="str">
        <x:v>LF-B-A-N1</x:v>
      </x:c>
      <x:c r="L110" s="9" t="str">
        <x:v>ST04</x:v>
      </x:c>
      <x:c r="M110" s="17" t="str">
        <x:v>Primary capture armed</x:v>
      </x:c>
      <x:c r="N110" s="17" t="str">
        <x:v>primary chain records sealed reference and live time</x:v>
      </x:c>
      <x:c r="O110" s="17" t="str">
        <x:v>Primary metrology</x:v>
      </x:c>
      <x:c r="P110" s="9" t="n">
        <x:v>0</x:v>
      </x:c>
      <x:c r="Q110" s="9" t="n">
        <x:v>0</x:v>
      </x:c>
      <x:c r="R110" s="9" t="str">
        <x:v>OPEN / UNSTARTED</x:v>
      </x:c>
      <x:c r="S110" s="9" t="n">
        <x:f>COUNTIFS($A$7:$A$1446,A110)</x:f>
        <x:v>1</x:v>
      </x:c>
    </x:row>
    <x:row r="111">
      <x:c r="A111" s="9" t="str">
        <x:v>EV-AR-LF-B-A-TECH-1-B2-BRK-G0-ST05</x:v>
      </x:c>
      <x:c r="B111" s="9" t="str">
        <x:v>EV-AR-LF-B-A-TECH-1-B2-BRK-G0</x:v>
      </x:c>
      <x:c r="C111" s="9" t="str">
        <x:v>EOW-AR-LF-B-A-TECH-1-B2-BRK-G0</x:v>
      </x:c>
      <x:c r="D111" s="9" t="str">
        <x:v>AR-LF-B-A-TECH-1-B2-BRK-G0</x:v>
      </x:c>
      <x:c r="E111" s="9" t="str">
        <x:v>LF-B-A-TECH-1</x:v>
      </x:c>
      <x:c r="F111" s="9" t="str">
        <x:v>LF-B-A</x:v>
      </x:c>
      <x:c r="G111" s="9" t="str">
        <x:v>B2</x:v>
      </x:c>
      <x:c r="H111" s="9" t="str">
        <x:v>BRK</x:v>
      </x:c>
      <x:c r="I111" s="9" t="n">
        <x:v>1</x:v>
      </x:c>
      <x:c r="J111" s="9" t="n">
        <x:v>2</x:v>
      </x:c>
      <x:c r="K111" s="9" t="str">
        <x:v>LF-B-A-N1</x:v>
      </x:c>
      <x:c r="L111" s="9" t="str">
        <x:v>ST05</x:v>
      </x:c>
      <x:c r="M111" s="17" t="str">
        <x:v>Witness capture armed</x:v>
      </x:c>
      <x:c r="N111" s="17" t="str">
        <x:v>unlike witness records independent reference and live time</x:v>
      </x:c>
      <x:c r="O111" s="17" t="str">
        <x:v>Witness metrology</x:v>
      </x:c>
      <x:c r="P111" s="9" t="n">
        <x:v>0</x:v>
      </x:c>
      <x:c r="Q111" s="9" t="n">
        <x:v>0</x:v>
      </x:c>
      <x:c r="R111" s="9" t="str">
        <x:v>OPEN / UNSTARTED</x:v>
      </x:c>
      <x:c r="S111" s="9" t="n">
        <x:f>COUNTIFS($A$7:$A$1446,A111)</x:f>
        <x:v>1</x:v>
      </x:c>
    </x:row>
    <x:row r="112">
      <x:c r="A112" s="9" t="str">
        <x:v>EV-AR-LF-B-A-TECH-1-B2-BRK-G0-ST06</x:v>
      </x:c>
      <x:c r="B112" s="9" t="str">
        <x:v>EV-AR-LF-B-A-TECH-1-B2-BRK-G0</x:v>
      </x:c>
      <x:c r="C112" s="9" t="str">
        <x:v>EOW-AR-LF-B-A-TECH-1-B2-BRK-G0</x:v>
      </x:c>
      <x:c r="D112" s="9" t="str">
        <x:v>AR-LF-B-A-TECH-1-B2-BRK-G0</x:v>
      </x:c>
      <x:c r="E112" s="9" t="str">
        <x:v>LF-B-A-TECH-1</x:v>
      </x:c>
      <x:c r="F112" s="9" t="str">
        <x:v>LF-B-A</x:v>
      </x:c>
      <x:c r="G112" s="9" t="str">
        <x:v>B2</x:v>
      </x:c>
      <x:c r="H112" s="9" t="str">
        <x:v>BRK</x:v>
      </x:c>
      <x:c r="I112" s="9" t="n">
        <x:v>1</x:v>
      </x:c>
      <x:c r="J112" s="9" t="n">
        <x:v>2</x:v>
      </x:c>
      <x:c r="K112" s="9" t="str">
        <x:v>LF-B-A-N1</x:v>
      </x:c>
      <x:c r="L112" s="9" t="str">
        <x:v>ST06</x:v>
      </x:c>
      <x:c r="M112" s="17" t="str">
        <x:v>Public custody armed</x:v>
      </x:c>
      <x:c r="N112" s="17" t="str">
        <x:v>eight raw origins have separated hash and replica routes</x:v>
      </x:c>
      <x:c r="O112" s="17" t="str">
        <x:v>Custody authority</x:v>
      </x:c>
      <x:c r="P112" s="9" t="n">
        <x:v>0</x:v>
      </x:c>
      <x:c r="Q112" s="9" t="n">
        <x:v>0</x:v>
      </x:c>
      <x:c r="R112" s="9" t="str">
        <x:v>OPEN / UNSTARTED</x:v>
      </x:c>
      <x:c r="S112" s="9" t="n">
        <x:f>COUNTIFS($A$7:$A$1446,A112)</x:f>
        <x:v>1</x:v>
      </x:c>
    </x:row>
    <x:row r="113">
      <x:c r="A113" s="9" t="str">
        <x:v>EV-AR-LF-B-A-TECH-1-B2-BRK-G0-ST07</x:v>
      </x:c>
      <x:c r="B113" s="9" t="str">
        <x:v>EV-AR-LF-B-A-TECH-1-B2-BRK-G0</x:v>
      </x:c>
      <x:c r="C113" s="9" t="str">
        <x:v>EOW-AR-LF-B-A-TECH-1-B2-BRK-G0</x:v>
      </x:c>
      <x:c r="D113" s="9" t="str">
        <x:v>AR-LF-B-A-TECH-1-B2-BRK-G0</x:v>
      </x:c>
      <x:c r="E113" s="9" t="str">
        <x:v>LF-B-A-TECH-1</x:v>
      </x:c>
      <x:c r="F113" s="9" t="str">
        <x:v>LF-B-A</x:v>
      </x:c>
      <x:c r="G113" s="9" t="str">
        <x:v>B2</x:v>
      </x:c>
      <x:c r="H113" s="9" t="str">
        <x:v>BRK</x:v>
      </x:c>
      <x:c r="I113" s="9" t="n">
        <x:v>1</x:v>
      </x:c>
      <x:c r="J113" s="9" t="n">
        <x:v>2</x:v>
      </x:c>
      <x:c r="K113" s="9" t="str">
        <x:v>LF-B-A-N1</x:v>
      </x:c>
      <x:c r="L113" s="9" t="str">
        <x:v>ST07</x:v>
      </x:c>
      <x:c r="M113" s="17" t="str">
        <x:v>Environmental baseline</x:v>
      </x:c>
      <x:c r="N113" s="17" t="str">
        <x:v>pre-event boundary state is sealed before decisive operation</x:v>
      </x:c>
      <x:c r="O113" s="17" t="str">
        <x:v>Site metrology</x:v>
      </x:c>
      <x:c r="P113" s="9" t="n">
        <x:v>0</x:v>
      </x:c>
      <x:c r="Q113" s="9" t="n">
        <x:v>0</x:v>
      </x:c>
      <x:c r="R113" s="9" t="str">
        <x:v>OPEN / UNSTARTED</x:v>
      </x:c>
      <x:c r="S113" s="9" t="n">
        <x:f>COUNTIFS($A$7:$A$1446,A113)</x:f>
        <x:v>1</x:v>
      </x:c>
    </x:row>
    <x:row r="114">
      <x:c r="A114" s="9" t="str">
        <x:v>EV-AR-LF-B-A-TECH-1-B2-BRK-G0-ST08</x:v>
      </x:c>
      <x:c r="B114" s="9" t="str">
        <x:v>EV-AR-LF-B-A-TECH-1-B2-BRK-G0</x:v>
      </x:c>
      <x:c r="C114" s="9" t="str">
        <x:v>EOW-AR-LF-B-A-TECH-1-B2-BRK-G0</x:v>
      </x:c>
      <x:c r="D114" s="9" t="str">
        <x:v>AR-LF-B-A-TECH-1-B2-BRK-G0</x:v>
      </x:c>
      <x:c r="E114" s="9" t="str">
        <x:v>LF-B-A-TECH-1</x:v>
      </x:c>
      <x:c r="F114" s="9" t="str">
        <x:v>LF-B-A</x:v>
      </x:c>
      <x:c r="G114" s="9" t="str">
        <x:v>B2</x:v>
      </x:c>
      <x:c r="H114" s="9" t="str">
        <x:v>BRK</x:v>
      </x:c>
      <x:c r="I114" s="9" t="n">
        <x:v>1</x:v>
      </x:c>
      <x:c r="J114" s="9" t="n">
        <x:v>2</x:v>
      </x:c>
      <x:c r="K114" s="9" t="str">
        <x:v>LF-B-A-N1</x:v>
      </x:c>
      <x:c r="L114" s="9" t="str">
        <x:v>ST08</x:v>
      </x:c>
      <x:c r="M114" s="17" t="str">
        <x:v>Manual stop and safety</x:v>
      </x:c>
      <x:c r="N114" s="17" t="str">
        <x:v>local stop, evacuation and protection routes are active</x:v>
      </x:c>
      <x:c r="O114" s="17" t="str">
        <x:v>Safety authority</x:v>
      </x:c>
      <x:c r="P114" s="9" t="n">
        <x:v>0</x:v>
      </x:c>
      <x:c r="Q114" s="9" t="n">
        <x:v>0</x:v>
      </x:c>
      <x:c r="R114" s="9" t="str">
        <x:v>OPEN / UNSTARTED</x:v>
      </x:c>
      <x:c r="S114" s="9" t="n">
        <x:f>COUNTIFS($A$7:$A$1446,A114)</x:f>
        <x:v>1</x:v>
      </x:c>
    </x:row>
    <x:row r="115">
      <x:c r="A115" s="9" t="str">
        <x:v>EV-AR-LF-B-A-TECH-1-B2-BRK-G0-ST09</x:v>
      </x:c>
      <x:c r="B115" s="9" t="str">
        <x:v>EV-AR-LF-B-A-TECH-1-B2-BRK-G0</x:v>
      </x:c>
      <x:c r="C115" s="9" t="str">
        <x:v>EOW-AR-LF-B-A-TECH-1-B2-BRK-G0</x:v>
      </x:c>
      <x:c r="D115" s="9" t="str">
        <x:v>AR-LF-B-A-TECH-1-B2-BRK-G0</x:v>
      </x:c>
      <x:c r="E115" s="9" t="str">
        <x:v>LF-B-A-TECH-1</x:v>
      </x:c>
      <x:c r="F115" s="9" t="str">
        <x:v>LF-B-A</x:v>
      </x:c>
      <x:c r="G115" s="9" t="str">
        <x:v>B2</x:v>
      </x:c>
      <x:c r="H115" s="9" t="str">
        <x:v>BRK</x:v>
      </x:c>
      <x:c r="I115" s="9" t="n">
        <x:v>1</x:v>
      </x:c>
      <x:c r="J115" s="9" t="n">
        <x:v>2</x:v>
      </x:c>
      <x:c r="K115" s="9" t="str">
        <x:v>LF-B-A-N1</x:v>
      </x:c>
      <x:c r="L115" s="9" t="str">
        <x:v>ST09</x:v>
      </x:c>
      <x:c r="M115" s="17" t="str">
        <x:v>Operator conflict clear</x:v>
      </x:c>
      <x:c r="N115" s="17" t="str">
        <x:v>candidate, fixture, safety and measurement control edges remain separated</x:v>
      </x:c>
      <x:c r="O115" s="17" t="str">
        <x:v>Conflict registrar</x:v>
      </x:c>
      <x:c r="P115" s="9" t="n">
        <x:v>0</x:v>
      </x:c>
      <x:c r="Q115" s="9" t="n">
        <x:v>0</x:v>
      </x:c>
      <x:c r="R115" s="9" t="str">
        <x:v>OPEN / UNSTARTED</x:v>
      </x:c>
      <x:c r="S115" s="9" t="n">
        <x:f>COUNTIFS($A$7:$A$1446,A115)</x:f>
        <x:v>1</x:v>
      </x:c>
    </x:row>
    <x:row r="116">
      <x:c r="A116" s="9" t="str">
        <x:v>EV-AR-LF-B-A-TECH-1-B2-BRK-G0-ST10</x:v>
      </x:c>
      <x:c r="B116" s="9" t="str">
        <x:v>EV-AR-LF-B-A-TECH-1-B2-BRK-G0</x:v>
      </x:c>
      <x:c r="C116" s="9" t="str">
        <x:v>EOW-AR-LF-B-A-TECH-1-B2-BRK-G0</x:v>
      </x:c>
      <x:c r="D116" s="9" t="str">
        <x:v>AR-LF-B-A-TECH-1-B2-BRK-G0</x:v>
      </x:c>
      <x:c r="E116" s="9" t="str">
        <x:v>LF-B-A-TECH-1</x:v>
      </x:c>
      <x:c r="F116" s="9" t="str">
        <x:v>LF-B-A</x:v>
      </x:c>
      <x:c r="G116" s="9" t="str">
        <x:v>B2</x:v>
      </x:c>
      <x:c r="H116" s="9" t="str">
        <x:v>BRK</x:v>
      </x:c>
      <x:c r="I116" s="9" t="n">
        <x:v>1</x:v>
      </x:c>
      <x:c r="J116" s="9" t="n">
        <x:v>2</x:v>
      </x:c>
      <x:c r="K116" s="9" t="str">
        <x:v>LF-B-A-N1</x:v>
      </x:c>
      <x:c r="L116" s="9" t="str">
        <x:v>ST10</x:v>
      </x:c>
      <x:c r="M116" s="17" t="str">
        <x:v>Window and common clock</x:v>
      </x:c>
      <x:c r="N116" s="17" t="str">
        <x:v>epoch, window and public time origin match the issued warrant</x:v>
      </x:c>
      <x:c r="O116" s="17" t="str">
        <x:v>Event clock authority</x:v>
      </x:c>
      <x:c r="P116" s="9" t="n">
        <x:v>0</x:v>
      </x:c>
      <x:c r="Q116" s="9" t="n">
        <x:v>0</x:v>
      </x:c>
      <x:c r="R116" s="9" t="str">
        <x:v>OPEN / UNSTARTED</x:v>
      </x:c>
      <x:c r="S116" s="9" t="n">
        <x:f>COUNTIFS($A$7:$A$1446,A116)</x:f>
        <x:v>1</x:v>
      </x:c>
    </x:row>
    <x:row r="117">
      <x:c r="A117" s="9" t="str">
        <x:v>EV-AR-RT-B-C-TECH-1-B2-INT-G0-ST01</x:v>
      </x:c>
      <x:c r="B117" s="9" t="str">
        <x:v>EV-AR-RT-B-C-TECH-1-B2-INT-G0</x:v>
      </x:c>
      <x:c r="C117" s="9" t="str">
        <x:v>EOW-AR-RT-B-C-TECH-1-B2-INT-G0</x:v>
      </x:c>
      <x:c r="D117" s="9" t="str">
        <x:v>AR-RT-B-C-TECH-1-B2-INT-G0</x:v>
      </x:c>
      <x:c r="E117" s="9" t="str">
        <x:v>RT-B-C-TECH-1</x:v>
      </x:c>
      <x:c r="F117" s="9" t="str">
        <x:v>RT-B-C</x:v>
      </x:c>
      <x:c r="G117" s="9" t="str">
        <x:v>B2</x:v>
      </x:c>
      <x:c r="H117" s="9" t="str">
        <x:v>INT</x:v>
      </x:c>
      <x:c r="I117" s="9" t="n">
        <x:v>1</x:v>
      </x:c>
      <x:c r="J117" s="9" t="n">
        <x:v>2</x:v>
      </x:c>
      <x:c r="K117" s="9" t="str">
        <x:v>RT-B-C-N2</x:v>
      </x:c>
      <x:c r="L117" s="9" t="str">
        <x:v>ST01</x:v>
      </x:c>
      <x:c r="M117" s="17" t="str">
        <x:v>Active opportunity warrant</x:v>
      </x:c>
      <x:c r="N117" s="17" t="str">
        <x:v>configuration-bound EOW is within its thirty-six-hour validity</x:v>
      </x:c>
      <x:c r="O117" s="17" t="str">
        <x:v>Start registrar</x:v>
      </x:c>
      <x:c r="P117" s="9" t="n">
        <x:v>0</x:v>
      </x:c>
      <x:c r="Q117" s="9" t="n">
        <x:v>0</x:v>
      </x:c>
      <x:c r="R117" s="9" t="str">
        <x:v>OPEN / UNSTARTED</x:v>
      </x:c>
      <x:c r="S117" s="9" t="n">
        <x:f>COUNTIFS($A$7:$A$1446,A117)</x:f>
        <x:v>1</x:v>
      </x:c>
    </x:row>
    <x:row r="118">
      <x:c r="A118" s="9" t="str">
        <x:v>EV-AR-RT-B-C-TECH-1-B2-INT-G0-ST02</x:v>
      </x:c>
      <x:c r="B118" s="9" t="str">
        <x:v>EV-AR-RT-B-C-TECH-1-B2-INT-G0</x:v>
      </x:c>
      <x:c r="C118" s="9" t="str">
        <x:v>EOW-AR-RT-B-C-TECH-1-B2-INT-G0</x:v>
      </x:c>
      <x:c r="D118" s="9" t="str">
        <x:v>AR-RT-B-C-TECH-1-B2-INT-G0</x:v>
      </x:c>
      <x:c r="E118" s="9" t="str">
        <x:v>RT-B-C-TECH-1</x:v>
      </x:c>
      <x:c r="F118" s="9" t="str">
        <x:v>RT-B-C</x:v>
      </x:c>
      <x:c r="G118" s="9" t="str">
        <x:v>B2</x:v>
      </x:c>
      <x:c r="H118" s="9" t="str">
        <x:v>INT</x:v>
      </x:c>
      <x:c r="I118" s="9" t="n">
        <x:v>1</x:v>
      </x:c>
      <x:c r="J118" s="9" t="n">
        <x:v>2</x:v>
      </x:c>
      <x:c r="K118" s="9" t="str">
        <x:v>RT-B-C-N2</x:v>
      </x:c>
      <x:c r="L118" s="9" t="str">
        <x:v>ST02</x:v>
      </x:c>
      <x:c r="M118" s="17" t="str">
        <x:v>Frozen identity</x:v>
      </x:c>
      <x:c r="N118" s="17" t="str">
        <x:v>serial, generation, fixture, site, receiver and digest match the warrant</x:v>
      </x:c>
      <x:c r="O118" s="17" t="str">
        <x:v>Custody authority</x:v>
      </x:c>
      <x:c r="P118" s="9" t="n">
        <x:v>0</x:v>
      </x:c>
      <x:c r="Q118" s="9" t="n">
        <x:v>0</x:v>
      </x:c>
      <x:c r="R118" s="9" t="str">
        <x:v>OPEN / UNSTARTED</x:v>
      </x:c>
      <x:c r="S118" s="9" t="n">
        <x:f>COUNTIFS($A$7:$A$1446,A118)</x:f>
        <x:v>1</x:v>
      </x:c>
    </x:row>
    <x:row r="119">
      <x:c r="A119" s="9" t="str">
        <x:v>EV-AR-RT-B-C-TECH-1-B2-INT-G0-ST03</x:v>
      </x:c>
      <x:c r="B119" s="9" t="str">
        <x:v>EV-AR-RT-B-C-TECH-1-B2-INT-G0</x:v>
      </x:c>
      <x:c r="C119" s="9" t="str">
        <x:v>EOW-AR-RT-B-C-TECH-1-B2-INT-G0</x:v>
      </x:c>
      <x:c r="D119" s="9" t="str">
        <x:v>AR-RT-B-C-TECH-1-B2-INT-G0</x:v>
      </x:c>
      <x:c r="E119" s="9" t="str">
        <x:v>RT-B-C-TECH-1</x:v>
      </x:c>
      <x:c r="F119" s="9" t="str">
        <x:v>RT-B-C</x:v>
      </x:c>
      <x:c r="G119" s="9" t="str">
        <x:v>B2</x:v>
      </x:c>
      <x:c r="H119" s="9" t="str">
        <x:v>INT</x:v>
      </x:c>
      <x:c r="I119" s="9" t="n">
        <x:v>1</x:v>
      </x:c>
      <x:c r="J119" s="9" t="n">
        <x:v>2</x:v>
      </x:c>
      <x:c r="K119" s="9" t="str">
        <x:v>RT-B-C-N2</x:v>
      </x:c>
      <x:c r="L119" s="9" t="str">
        <x:v>ST03</x:v>
      </x:c>
      <x:c r="M119" s="17" t="str">
        <x:v>Receiver receipt</x:v>
      </x:c>
      <x:c r="N119" s="17" t="str">
        <x:v>denominator, counterfactual, rights and stop receipt remain unchanged</x:v>
      </x:c>
      <x:c r="O119" s="17" t="str">
        <x:v>Receiver authority</x:v>
      </x:c>
      <x:c r="P119" s="9" t="n">
        <x:v>0</x:v>
      </x:c>
      <x:c r="Q119" s="9" t="n">
        <x:v>0</x:v>
      </x:c>
      <x:c r="R119" s="9" t="str">
        <x:v>OPEN / UNSTARTED</x:v>
      </x:c>
      <x:c r="S119" s="9" t="n">
        <x:f>COUNTIFS($A$7:$A$1446,A119)</x:f>
        <x:v>1</x:v>
      </x:c>
    </x:row>
    <x:row r="120">
      <x:c r="A120" s="9" t="str">
        <x:v>EV-AR-RT-B-C-TECH-1-B2-INT-G0-ST04</x:v>
      </x:c>
      <x:c r="B120" s="9" t="str">
        <x:v>EV-AR-RT-B-C-TECH-1-B2-INT-G0</x:v>
      </x:c>
      <x:c r="C120" s="9" t="str">
        <x:v>EOW-AR-RT-B-C-TECH-1-B2-INT-G0</x:v>
      </x:c>
      <x:c r="D120" s="9" t="str">
        <x:v>AR-RT-B-C-TECH-1-B2-INT-G0</x:v>
      </x:c>
      <x:c r="E120" s="9" t="str">
        <x:v>RT-B-C-TECH-1</x:v>
      </x:c>
      <x:c r="F120" s="9" t="str">
        <x:v>RT-B-C</x:v>
      </x:c>
      <x:c r="G120" s="9" t="str">
        <x:v>B2</x:v>
      </x:c>
      <x:c r="H120" s="9" t="str">
        <x:v>INT</x:v>
      </x:c>
      <x:c r="I120" s="9" t="n">
        <x:v>1</x:v>
      </x:c>
      <x:c r="J120" s="9" t="n">
        <x:v>2</x:v>
      </x:c>
      <x:c r="K120" s="9" t="str">
        <x:v>RT-B-C-N2</x:v>
      </x:c>
      <x:c r="L120" s="9" t="str">
        <x:v>ST04</x:v>
      </x:c>
      <x:c r="M120" s="17" t="str">
        <x:v>Primary capture armed</x:v>
      </x:c>
      <x:c r="N120" s="17" t="str">
        <x:v>primary chain records sealed reference and live time</x:v>
      </x:c>
      <x:c r="O120" s="17" t="str">
        <x:v>Primary metrology</x:v>
      </x:c>
      <x:c r="P120" s="9" t="n">
        <x:v>0</x:v>
      </x:c>
      <x:c r="Q120" s="9" t="n">
        <x:v>0</x:v>
      </x:c>
      <x:c r="R120" s="9" t="str">
        <x:v>OPEN / UNSTARTED</x:v>
      </x:c>
      <x:c r="S120" s="9" t="n">
        <x:f>COUNTIFS($A$7:$A$1446,A120)</x:f>
        <x:v>1</x:v>
      </x:c>
    </x:row>
    <x:row r="121">
      <x:c r="A121" s="9" t="str">
        <x:v>EV-AR-RT-B-C-TECH-1-B2-INT-G0-ST05</x:v>
      </x:c>
      <x:c r="B121" s="9" t="str">
        <x:v>EV-AR-RT-B-C-TECH-1-B2-INT-G0</x:v>
      </x:c>
      <x:c r="C121" s="9" t="str">
        <x:v>EOW-AR-RT-B-C-TECH-1-B2-INT-G0</x:v>
      </x:c>
      <x:c r="D121" s="9" t="str">
        <x:v>AR-RT-B-C-TECH-1-B2-INT-G0</x:v>
      </x:c>
      <x:c r="E121" s="9" t="str">
        <x:v>RT-B-C-TECH-1</x:v>
      </x:c>
      <x:c r="F121" s="9" t="str">
        <x:v>RT-B-C</x:v>
      </x:c>
      <x:c r="G121" s="9" t="str">
        <x:v>B2</x:v>
      </x:c>
      <x:c r="H121" s="9" t="str">
        <x:v>INT</x:v>
      </x:c>
      <x:c r="I121" s="9" t="n">
        <x:v>1</x:v>
      </x:c>
      <x:c r="J121" s="9" t="n">
        <x:v>2</x:v>
      </x:c>
      <x:c r="K121" s="9" t="str">
        <x:v>RT-B-C-N2</x:v>
      </x:c>
      <x:c r="L121" s="9" t="str">
        <x:v>ST05</x:v>
      </x:c>
      <x:c r="M121" s="17" t="str">
        <x:v>Witness capture armed</x:v>
      </x:c>
      <x:c r="N121" s="17" t="str">
        <x:v>unlike witness records independent reference and live time</x:v>
      </x:c>
      <x:c r="O121" s="17" t="str">
        <x:v>Witness metrology</x:v>
      </x:c>
      <x:c r="P121" s="9" t="n">
        <x:v>0</x:v>
      </x:c>
      <x:c r="Q121" s="9" t="n">
        <x:v>0</x:v>
      </x:c>
      <x:c r="R121" s="9" t="str">
        <x:v>OPEN / UNSTARTED</x:v>
      </x:c>
      <x:c r="S121" s="9" t="n">
        <x:f>COUNTIFS($A$7:$A$1446,A121)</x:f>
        <x:v>1</x:v>
      </x:c>
    </x:row>
    <x:row r="122">
      <x:c r="A122" s="9" t="str">
        <x:v>EV-AR-RT-B-C-TECH-1-B2-INT-G0-ST06</x:v>
      </x:c>
      <x:c r="B122" s="9" t="str">
        <x:v>EV-AR-RT-B-C-TECH-1-B2-INT-G0</x:v>
      </x:c>
      <x:c r="C122" s="9" t="str">
        <x:v>EOW-AR-RT-B-C-TECH-1-B2-INT-G0</x:v>
      </x:c>
      <x:c r="D122" s="9" t="str">
        <x:v>AR-RT-B-C-TECH-1-B2-INT-G0</x:v>
      </x:c>
      <x:c r="E122" s="9" t="str">
        <x:v>RT-B-C-TECH-1</x:v>
      </x:c>
      <x:c r="F122" s="9" t="str">
        <x:v>RT-B-C</x:v>
      </x:c>
      <x:c r="G122" s="9" t="str">
        <x:v>B2</x:v>
      </x:c>
      <x:c r="H122" s="9" t="str">
        <x:v>INT</x:v>
      </x:c>
      <x:c r="I122" s="9" t="n">
        <x:v>1</x:v>
      </x:c>
      <x:c r="J122" s="9" t="n">
        <x:v>2</x:v>
      </x:c>
      <x:c r="K122" s="9" t="str">
        <x:v>RT-B-C-N2</x:v>
      </x:c>
      <x:c r="L122" s="9" t="str">
        <x:v>ST06</x:v>
      </x:c>
      <x:c r="M122" s="17" t="str">
        <x:v>Public custody armed</x:v>
      </x:c>
      <x:c r="N122" s="17" t="str">
        <x:v>eight raw origins have separated hash and replica routes</x:v>
      </x:c>
      <x:c r="O122" s="17" t="str">
        <x:v>Custody authority</x:v>
      </x:c>
      <x:c r="P122" s="9" t="n">
        <x:v>0</x:v>
      </x:c>
      <x:c r="Q122" s="9" t="n">
        <x:v>0</x:v>
      </x:c>
      <x:c r="R122" s="9" t="str">
        <x:v>OPEN / UNSTARTED</x:v>
      </x:c>
      <x:c r="S122" s="9" t="n">
        <x:f>COUNTIFS($A$7:$A$1446,A122)</x:f>
        <x:v>1</x:v>
      </x:c>
    </x:row>
    <x:row r="123">
      <x:c r="A123" s="9" t="str">
        <x:v>EV-AR-RT-B-C-TECH-1-B2-INT-G0-ST07</x:v>
      </x:c>
      <x:c r="B123" s="9" t="str">
        <x:v>EV-AR-RT-B-C-TECH-1-B2-INT-G0</x:v>
      </x:c>
      <x:c r="C123" s="9" t="str">
        <x:v>EOW-AR-RT-B-C-TECH-1-B2-INT-G0</x:v>
      </x:c>
      <x:c r="D123" s="9" t="str">
        <x:v>AR-RT-B-C-TECH-1-B2-INT-G0</x:v>
      </x:c>
      <x:c r="E123" s="9" t="str">
        <x:v>RT-B-C-TECH-1</x:v>
      </x:c>
      <x:c r="F123" s="9" t="str">
        <x:v>RT-B-C</x:v>
      </x:c>
      <x:c r="G123" s="9" t="str">
        <x:v>B2</x:v>
      </x:c>
      <x:c r="H123" s="9" t="str">
        <x:v>INT</x:v>
      </x:c>
      <x:c r="I123" s="9" t="n">
        <x:v>1</x:v>
      </x:c>
      <x:c r="J123" s="9" t="n">
        <x:v>2</x:v>
      </x:c>
      <x:c r="K123" s="9" t="str">
        <x:v>RT-B-C-N2</x:v>
      </x:c>
      <x:c r="L123" s="9" t="str">
        <x:v>ST07</x:v>
      </x:c>
      <x:c r="M123" s="17" t="str">
        <x:v>Environmental baseline</x:v>
      </x:c>
      <x:c r="N123" s="17" t="str">
        <x:v>pre-event boundary state is sealed before decisive operation</x:v>
      </x:c>
      <x:c r="O123" s="17" t="str">
        <x:v>Site metrology</x:v>
      </x:c>
      <x:c r="P123" s="9" t="n">
        <x:v>0</x:v>
      </x:c>
      <x:c r="Q123" s="9" t="n">
        <x:v>0</x:v>
      </x:c>
      <x:c r="R123" s="9" t="str">
        <x:v>OPEN / UNSTARTED</x:v>
      </x:c>
      <x:c r="S123" s="9" t="n">
        <x:f>COUNTIFS($A$7:$A$1446,A123)</x:f>
        <x:v>1</x:v>
      </x:c>
    </x:row>
    <x:row r="124">
      <x:c r="A124" s="9" t="str">
        <x:v>EV-AR-RT-B-C-TECH-1-B2-INT-G0-ST08</x:v>
      </x:c>
      <x:c r="B124" s="9" t="str">
        <x:v>EV-AR-RT-B-C-TECH-1-B2-INT-G0</x:v>
      </x:c>
      <x:c r="C124" s="9" t="str">
        <x:v>EOW-AR-RT-B-C-TECH-1-B2-INT-G0</x:v>
      </x:c>
      <x:c r="D124" s="9" t="str">
        <x:v>AR-RT-B-C-TECH-1-B2-INT-G0</x:v>
      </x:c>
      <x:c r="E124" s="9" t="str">
        <x:v>RT-B-C-TECH-1</x:v>
      </x:c>
      <x:c r="F124" s="9" t="str">
        <x:v>RT-B-C</x:v>
      </x:c>
      <x:c r="G124" s="9" t="str">
        <x:v>B2</x:v>
      </x:c>
      <x:c r="H124" s="9" t="str">
        <x:v>INT</x:v>
      </x:c>
      <x:c r="I124" s="9" t="n">
        <x:v>1</x:v>
      </x:c>
      <x:c r="J124" s="9" t="n">
        <x:v>2</x:v>
      </x:c>
      <x:c r="K124" s="9" t="str">
        <x:v>RT-B-C-N2</x:v>
      </x:c>
      <x:c r="L124" s="9" t="str">
        <x:v>ST08</x:v>
      </x:c>
      <x:c r="M124" s="17" t="str">
        <x:v>Manual stop and safety</x:v>
      </x:c>
      <x:c r="N124" s="17" t="str">
        <x:v>local stop, evacuation and protection routes are active</x:v>
      </x:c>
      <x:c r="O124" s="17" t="str">
        <x:v>Safety authority</x:v>
      </x:c>
      <x:c r="P124" s="9" t="n">
        <x:v>0</x:v>
      </x:c>
      <x:c r="Q124" s="9" t="n">
        <x:v>0</x:v>
      </x:c>
      <x:c r="R124" s="9" t="str">
        <x:v>OPEN / UNSTARTED</x:v>
      </x:c>
      <x:c r="S124" s="9" t="n">
        <x:f>COUNTIFS($A$7:$A$1446,A124)</x:f>
        <x:v>1</x:v>
      </x:c>
    </x:row>
    <x:row r="125">
      <x:c r="A125" s="9" t="str">
        <x:v>EV-AR-RT-B-C-TECH-1-B2-INT-G0-ST09</x:v>
      </x:c>
      <x:c r="B125" s="9" t="str">
        <x:v>EV-AR-RT-B-C-TECH-1-B2-INT-G0</x:v>
      </x:c>
      <x:c r="C125" s="9" t="str">
        <x:v>EOW-AR-RT-B-C-TECH-1-B2-INT-G0</x:v>
      </x:c>
      <x:c r="D125" s="9" t="str">
        <x:v>AR-RT-B-C-TECH-1-B2-INT-G0</x:v>
      </x:c>
      <x:c r="E125" s="9" t="str">
        <x:v>RT-B-C-TECH-1</x:v>
      </x:c>
      <x:c r="F125" s="9" t="str">
        <x:v>RT-B-C</x:v>
      </x:c>
      <x:c r="G125" s="9" t="str">
        <x:v>B2</x:v>
      </x:c>
      <x:c r="H125" s="9" t="str">
        <x:v>INT</x:v>
      </x:c>
      <x:c r="I125" s="9" t="n">
        <x:v>1</x:v>
      </x:c>
      <x:c r="J125" s="9" t="n">
        <x:v>2</x:v>
      </x:c>
      <x:c r="K125" s="9" t="str">
        <x:v>RT-B-C-N2</x:v>
      </x:c>
      <x:c r="L125" s="9" t="str">
        <x:v>ST09</x:v>
      </x:c>
      <x:c r="M125" s="17" t="str">
        <x:v>Operator conflict clear</x:v>
      </x:c>
      <x:c r="N125" s="17" t="str">
        <x:v>candidate, fixture, safety and measurement control edges remain separated</x:v>
      </x:c>
      <x:c r="O125" s="17" t="str">
        <x:v>Conflict registrar</x:v>
      </x:c>
      <x:c r="P125" s="9" t="n">
        <x:v>0</x:v>
      </x:c>
      <x:c r="Q125" s="9" t="n">
        <x:v>0</x:v>
      </x:c>
      <x:c r="R125" s="9" t="str">
        <x:v>OPEN / UNSTARTED</x:v>
      </x:c>
      <x:c r="S125" s="9" t="n">
        <x:f>COUNTIFS($A$7:$A$1446,A125)</x:f>
        <x:v>1</x:v>
      </x:c>
    </x:row>
    <x:row r="126">
      <x:c r="A126" s="9" t="str">
        <x:v>EV-AR-RT-B-C-TECH-1-B2-INT-G0-ST10</x:v>
      </x:c>
      <x:c r="B126" s="9" t="str">
        <x:v>EV-AR-RT-B-C-TECH-1-B2-INT-G0</x:v>
      </x:c>
      <x:c r="C126" s="9" t="str">
        <x:v>EOW-AR-RT-B-C-TECH-1-B2-INT-G0</x:v>
      </x:c>
      <x:c r="D126" s="9" t="str">
        <x:v>AR-RT-B-C-TECH-1-B2-INT-G0</x:v>
      </x:c>
      <x:c r="E126" s="9" t="str">
        <x:v>RT-B-C-TECH-1</x:v>
      </x:c>
      <x:c r="F126" s="9" t="str">
        <x:v>RT-B-C</x:v>
      </x:c>
      <x:c r="G126" s="9" t="str">
        <x:v>B2</x:v>
      </x:c>
      <x:c r="H126" s="9" t="str">
        <x:v>INT</x:v>
      </x:c>
      <x:c r="I126" s="9" t="n">
        <x:v>1</x:v>
      </x:c>
      <x:c r="J126" s="9" t="n">
        <x:v>2</x:v>
      </x:c>
      <x:c r="K126" s="9" t="str">
        <x:v>RT-B-C-N2</x:v>
      </x:c>
      <x:c r="L126" s="9" t="str">
        <x:v>ST10</x:v>
      </x:c>
      <x:c r="M126" s="17" t="str">
        <x:v>Window and common clock</x:v>
      </x:c>
      <x:c r="N126" s="17" t="str">
        <x:v>epoch, window and public time origin match the issued warrant</x:v>
      </x:c>
      <x:c r="O126" s="17" t="str">
        <x:v>Event clock authority</x:v>
      </x:c>
      <x:c r="P126" s="9" t="n">
        <x:v>0</x:v>
      </x:c>
      <x:c r="Q126" s="9" t="n">
        <x:v>0</x:v>
      </x:c>
      <x:c r="R126" s="9" t="str">
        <x:v>OPEN / UNSTARTED</x:v>
      </x:c>
      <x:c r="S126" s="9" t="n">
        <x:f>COUNTIFS($A$7:$A$1446,A126)</x:f>
        <x:v>1</x:v>
      </x:c>
    </x:row>
    <x:row r="127">
      <x:c r="A127" s="9" t="str">
        <x:v>EV-AR-ET-A-A-TECH-4-B2-BRK-G0-ST01</x:v>
      </x:c>
      <x:c r="B127" s="9" t="str">
        <x:v>EV-AR-ET-A-A-TECH-4-B2-BRK-G0</x:v>
      </x:c>
      <x:c r="C127" s="9" t="str">
        <x:v>EOW-AR-ET-A-A-TECH-4-B2-BRK-G0</x:v>
      </x:c>
      <x:c r="D127" s="9" t="str">
        <x:v>AR-ET-A-A-TECH-4-B2-BRK-G0</x:v>
      </x:c>
      <x:c r="E127" s="9" t="str">
        <x:v>ET-A-A-TECH-4</x:v>
      </x:c>
      <x:c r="F127" s="9" t="str">
        <x:v>ET-A-A</x:v>
      </x:c>
      <x:c r="G127" s="9" t="str">
        <x:v>B2</x:v>
      </x:c>
      <x:c r="H127" s="9" t="str">
        <x:v>BRK</x:v>
      </x:c>
      <x:c r="I127" s="9" t="n">
        <x:v>1</x:v>
      </x:c>
      <x:c r="J127" s="9" t="n">
        <x:v>3</x:v>
      </x:c>
      <x:c r="K127" s="9" t="str">
        <x:v>ET-A-A-N2</x:v>
      </x:c>
      <x:c r="L127" s="9" t="str">
        <x:v>ST01</x:v>
      </x:c>
      <x:c r="M127" s="17" t="str">
        <x:v>Active opportunity warrant</x:v>
      </x:c>
      <x:c r="N127" s="17" t="str">
        <x:v>configuration-bound EOW is within its thirty-six-hour validity</x:v>
      </x:c>
      <x:c r="O127" s="17" t="str">
        <x:v>Start registrar</x:v>
      </x:c>
      <x:c r="P127" s="9" t="n">
        <x:v>0</x:v>
      </x:c>
      <x:c r="Q127" s="9" t="n">
        <x:v>0</x:v>
      </x:c>
      <x:c r="R127" s="9" t="str">
        <x:v>OPEN / UNSTARTED</x:v>
      </x:c>
      <x:c r="S127" s="9" t="n">
        <x:f>COUNTIFS($A$7:$A$1446,A127)</x:f>
        <x:v>1</x:v>
      </x:c>
    </x:row>
    <x:row r="128">
      <x:c r="A128" s="9" t="str">
        <x:v>EV-AR-ET-A-A-TECH-4-B2-BRK-G0-ST02</x:v>
      </x:c>
      <x:c r="B128" s="9" t="str">
        <x:v>EV-AR-ET-A-A-TECH-4-B2-BRK-G0</x:v>
      </x:c>
      <x:c r="C128" s="9" t="str">
        <x:v>EOW-AR-ET-A-A-TECH-4-B2-BRK-G0</x:v>
      </x:c>
      <x:c r="D128" s="9" t="str">
        <x:v>AR-ET-A-A-TECH-4-B2-BRK-G0</x:v>
      </x:c>
      <x:c r="E128" s="9" t="str">
        <x:v>ET-A-A-TECH-4</x:v>
      </x:c>
      <x:c r="F128" s="9" t="str">
        <x:v>ET-A-A</x:v>
      </x:c>
      <x:c r="G128" s="9" t="str">
        <x:v>B2</x:v>
      </x:c>
      <x:c r="H128" s="9" t="str">
        <x:v>BRK</x:v>
      </x:c>
      <x:c r="I128" s="9" t="n">
        <x:v>1</x:v>
      </x:c>
      <x:c r="J128" s="9" t="n">
        <x:v>3</x:v>
      </x:c>
      <x:c r="K128" s="9" t="str">
        <x:v>ET-A-A-N2</x:v>
      </x:c>
      <x:c r="L128" s="9" t="str">
        <x:v>ST02</x:v>
      </x:c>
      <x:c r="M128" s="17" t="str">
        <x:v>Frozen identity</x:v>
      </x:c>
      <x:c r="N128" s="17" t="str">
        <x:v>serial, generation, fixture, site, receiver and digest match the warrant</x:v>
      </x:c>
      <x:c r="O128" s="17" t="str">
        <x:v>Custody authority</x:v>
      </x:c>
      <x:c r="P128" s="9" t="n">
        <x:v>0</x:v>
      </x:c>
      <x:c r="Q128" s="9" t="n">
        <x:v>0</x:v>
      </x:c>
      <x:c r="R128" s="9" t="str">
        <x:v>OPEN / UNSTARTED</x:v>
      </x:c>
      <x:c r="S128" s="9" t="n">
        <x:f>COUNTIFS($A$7:$A$1446,A128)</x:f>
        <x:v>1</x:v>
      </x:c>
    </x:row>
    <x:row r="129">
      <x:c r="A129" s="9" t="str">
        <x:v>EV-AR-ET-A-A-TECH-4-B2-BRK-G0-ST03</x:v>
      </x:c>
      <x:c r="B129" s="9" t="str">
        <x:v>EV-AR-ET-A-A-TECH-4-B2-BRK-G0</x:v>
      </x:c>
      <x:c r="C129" s="9" t="str">
        <x:v>EOW-AR-ET-A-A-TECH-4-B2-BRK-G0</x:v>
      </x:c>
      <x:c r="D129" s="9" t="str">
        <x:v>AR-ET-A-A-TECH-4-B2-BRK-G0</x:v>
      </x:c>
      <x:c r="E129" s="9" t="str">
        <x:v>ET-A-A-TECH-4</x:v>
      </x:c>
      <x:c r="F129" s="9" t="str">
        <x:v>ET-A-A</x:v>
      </x:c>
      <x:c r="G129" s="9" t="str">
        <x:v>B2</x:v>
      </x:c>
      <x:c r="H129" s="9" t="str">
        <x:v>BRK</x:v>
      </x:c>
      <x:c r="I129" s="9" t="n">
        <x:v>1</x:v>
      </x:c>
      <x:c r="J129" s="9" t="n">
        <x:v>3</x:v>
      </x:c>
      <x:c r="K129" s="9" t="str">
        <x:v>ET-A-A-N2</x:v>
      </x:c>
      <x:c r="L129" s="9" t="str">
        <x:v>ST03</x:v>
      </x:c>
      <x:c r="M129" s="17" t="str">
        <x:v>Receiver receipt</x:v>
      </x:c>
      <x:c r="N129" s="17" t="str">
        <x:v>denominator, counterfactual, rights and stop receipt remain unchanged</x:v>
      </x:c>
      <x:c r="O129" s="17" t="str">
        <x:v>Receiver authority</x:v>
      </x:c>
      <x:c r="P129" s="9" t="n">
        <x:v>0</x:v>
      </x:c>
      <x:c r="Q129" s="9" t="n">
        <x:v>0</x:v>
      </x:c>
      <x:c r="R129" s="9" t="str">
        <x:v>OPEN / UNSTARTED</x:v>
      </x:c>
      <x:c r="S129" s="9" t="n">
        <x:f>COUNTIFS($A$7:$A$1446,A129)</x:f>
        <x:v>1</x:v>
      </x:c>
    </x:row>
    <x:row r="130">
      <x:c r="A130" s="9" t="str">
        <x:v>EV-AR-ET-A-A-TECH-4-B2-BRK-G0-ST04</x:v>
      </x:c>
      <x:c r="B130" s="9" t="str">
        <x:v>EV-AR-ET-A-A-TECH-4-B2-BRK-G0</x:v>
      </x:c>
      <x:c r="C130" s="9" t="str">
        <x:v>EOW-AR-ET-A-A-TECH-4-B2-BRK-G0</x:v>
      </x:c>
      <x:c r="D130" s="9" t="str">
        <x:v>AR-ET-A-A-TECH-4-B2-BRK-G0</x:v>
      </x:c>
      <x:c r="E130" s="9" t="str">
        <x:v>ET-A-A-TECH-4</x:v>
      </x:c>
      <x:c r="F130" s="9" t="str">
        <x:v>ET-A-A</x:v>
      </x:c>
      <x:c r="G130" s="9" t="str">
        <x:v>B2</x:v>
      </x:c>
      <x:c r="H130" s="9" t="str">
        <x:v>BRK</x:v>
      </x:c>
      <x:c r="I130" s="9" t="n">
        <x:v>1</x:v>
      </x:c>
      <x:c r="J130" s="9" t="n">
        <x:v>3</x:v>
      </x:c>
      <x:c r="K130" s="9" t="str">
        <x:v>ET-A-A-N2</x:v>
      </x:c>
      <x:c r="L130" s="9" t="str">
        <x:v>ST04</x:v>
      </x:c>
      <x:c r="M130" s="17" t="str">
        <x:v>Primary capture armed</x:v>
      </x:c>
      <x:c r="N130" s="17" t="str">
        <x:v>primary chain records sealed reference and live time</x:v>
      </x:c>
      <x:c r="O130" s="17" t="str">
        <x:v>Primary metrology</x:v>
      </x:c>
      <x:c r="P130" s="9" t="n">
        <x:v>0</x:v>
      </x:c>
      <x:c r="Q130" s="9" t="n">
        <x:v>0</x:v>
      </x:c>
      <x:c r="R130" s="9" t="str">
        <x:v>OPEN / UNSTARTED</x:v>
      </x:c>
      <x:c r="S130" s="9" t="n">
        <x:f>COUNTIFS($A$7:$A$1446,A130)</x:f>
        <x:v>1</x:v>
      </x:c>
    </x:row>
    <x:row r="131">
      <x:c r="A131" s="9" t="str">
        <x:v>EV-AR-ET-A-A-TECH-4-B2-BRK-G0-ST05</x:v>
      </x:c>
      <x:c r="B131" s="9" t="str">
        <x:v>EV-AR-ET-A-A-TECH-4-B2-BRK-G0</x:v>
      </x:c>
      <x:c r="C131" s="9" t="str">
        <x:v>EOW-AR-ET-A-A-TECH-4-B2-BRK-G0</x:v>
      </x:c>
      <x:c r="D131" s="9" t="str">
        <x:v>AR-ET-A-A-TECH-4-B2-BRK-G0</x:v>
      </x:c>
      <x:c r="E131" s="9" t="str">
        <x:v>ET-A-A-TECH-4</x:v>
      </x:c>
      <x:c r="F131" s="9" t="str">
        <x:v>ET-A-A</x:v>
      </x:c>
      <x:c r="G131" s="9" t="str">
        <x:v>B2</x:v>
      </x:c>
      <x:c r="H131" s="9" t="str">
        <x:v>BRK</x:v>
      </x:c>
      <x:c r="I131" s="9" t="n">
        <x:v>1</x:v>
      </x:c>
      <x:c r="J131" s="9" t="n">
        <x:v>3</x:v>
      </x:c>
      <x:c r="K131" s="9" t="str">
        <x:v>ET-A-A-N2</x:v>
      </x:c>
      <x:c r="L131" s="9" t="str">
        <x:v>ST05</x:v>
      </x:c>
      <x:c r="M131" s="17" t="str">
        <x:v>Witness capture armed</x:v>
      </x:c>
      <x:c r="N131" s="17" t="str">
        <x:v>unlike witness records independent reference and live time</x:v>
      </x:c>
      <x:c r="O131" s="17" t="str">
        <x:v>Witness metrology</x:v>
      </x:c>
      <x:c r="P131" s="9" t="n">
        <x:v>0</x:v>
      </x:c>
      <x:c r="Q131" s="9" t="n">
        <x:v>0</x:v>
      </x:c>
      <x:c r="R131" s="9" t="str">
        <x:v>OPEN / UNSTARTED</x:v>
      </x:c>
      <x:c r="S131" s="9" t="n">
        <x:f>COUNTIFS($A$7:$A$1446,A131)</x:f>
        <x:v>1</x:v>
      </x:c>
    </x:row>
    <x:row r="132">
      <x:c r="A132" s="9" t="str">
        <x:v>EV-AR-ET-A-A-TECH-4-B2-BRK-G0-ST06</x:v>
      </x:c>
      <x:c r="B132" s="9" t="str">
        <x:v>EV-AR-ET-A-A-TECH-4-B2-BRK-G0</x:v>
      </x:c>
      <x:c r="C132" s="9" t="str">
        <x:v>EOW-AR-ET-A-A-TECH-4-B2-BRK-G0</x:v>
      </x:c>
      <x:c r="D132" s="9" t="str">
        <x:v>AR-ET-A-A-TECH-4-B2-BRK-G0</x:v>
      </x:c>
      <x:c r="E132" s="9" t="str">
        <x:v>ET-A-A-TECH-4</x:v>
      </x:c>
      <x:c r="F132" s="9" t="str">
        <x:v>ET-A-A</x:v>
      </x:c>
      <x:c r="G132" s="9" t="str">
        <x:v>B2</x:v>
      </x:c>
      <x:c r="H132" s="9" t="str">
        <x:v>BRK</x:v>
      </x:c>
      <x:c r="I132" s="9" t="n">
        <x:v>1</x:v>
      </x:c>
      <x:c r="J132" s="9" t="n">
        <x:v>3</x:v>
      </x:c>
      <x:c r="K132" s="9" t="str">
        <x:v>ET-A-A-N2</x:v>
      </x:c>
      <x:c r="L132" s="9" t="str">
        <x:v>ST06</x:v>
      </x:c>
      <x:c r="M132" s="17" t="str">
        <x:v>Public custody armed</x:v>
      </x:c>
      <x:c r="N132" s="17" t="str">
        <x:v>eight raw origins have separated hash and replica routes</x:v>
      </x:c>
      <x:c r="O132" s="17" t="str">
        <x:v>Custody authority</x:v>
      </x:c>
      <x:c r="P132" s="9" t="n">
        <x:v>0</x:v>
      </x:c>
      <x:c r="Q132" s="9" t="n">
        <x:v>0</x:v>
      </x:c>
      <x:c r="R132" s="9" t="str">
        <x:v>OPEN / UNSTARTED</x:v>
      </x:c>
      <x:c r="S132" s="9" t="n">
        <x:f>COUNTIFS($A$7:$A$1446,A132)</x:f>
        <x:v>1</x:v>
      </x:c>
    </x:row>
    <x:row r="133">
      <x:c r="A133" s="9" t="str">
        <x:v>EV-AR-ET-A-A-TECH-4-B2-BRK-G0-ST07</x:v>
      </x:c>
      <x:c r="B133" s="9" t="str">
        <x:v>EV-AR-ET-A-A-TECH-4-B2-BRK-G0</x:v>
      </x:c>
      <x:c r="C133" s="9" t="str">
        <x:v>EOW-AR-ET-A-A-TECH-4-B2-BRK-G0</x:v>
      </x:c>
      <x:c r="D133" s="9" t="str">
        <x:v>AR-ET-A-A-TECH-4-B2-BRK-G0</x:v>
      </x:c>
      <x:c r="E133" s="9" t="str">
        <x:v>ET-A-A-TECH-4</x:v>
      </x:c>
      <x:c r="F133" s="9" t="str">
        <x:v>ET-A-A</x:v>
      </x:c>
      <x:c r="G133" s="9" t="str">
        <x:v>B2</x:v>
      </x:c>
      <x:c r="H133" s="9" t="str">
        <x:v>BRK</x:v>
      </x:c>
      <x:c r="I133" s="9" t="n">
        <x:v>1</x:v>
      </x:c>
      <x:c r="J133" s="9" t="n">
        <x:v>3</x:v>
      </x:c>
      <x:c r="K133" s="9" t="str">
        <x:v>ET-A-A-N2</x:v>
      </x:c>
      <x:c r="L133" s="9" t="str">
        <x:v>ST07</x:v>
      </x:c>
      <x:c r="M133" s="17" t="str">
        <x:v>Environmental baseline</x:v>
      </x:c>
      <x:c r="N133" s="17" t="str">
        <x:v>pre-event boundary state is sealed before decisive operation</x:v>
      </x:c>
      <x:c r="O133" s="17" t="str">
        <x:v>Site metrology</x:v>
      </x:c>
      <x:c r="P133" s="9" t="n">
        <x:v>0</x:v>
      </x:c>
      <x:c r="Q133" s="9" t="n">
        <x:v>0</x:v>
      </x:c>
      <x:c r="R133" s="9" t="str">
        <x:v>OPEN / UNSTARTED</x:v>
      </x:c>
      <x:c r="S133" s="9" t="n">
        <x:f>COUNTIFS($A$7:$A$1446,A133)</x:f>
        <x:v>1</x:v>
      </x:c>
    </x:row>
    <x:row r="134">
      <x:c r="A134" s="9" t="str">
        <x:v>EV-AR-ET-A-A-TECH-4-B2-BRK-G0-ST08</x:v>
      </x:c>
      <x:c r="B134" s="9" t="str">
        <x:v>EV-AR-ET-A-A-TECH-4-B2-BRK-G0</x:v>
      </x:c>
      <x:c r="C134" s="9" t="str">
        <x:v>EOW-AR-ET-A-A-TECH-4-B2-BRK-G0</x:v>
      </x:c>
      <x:c r="D134" s="9" t="str">
        <x:v>AR-ET-A-A-TECH-4-B2-BRK-G0</x:v>
      </x:c>
      <x:c r="E134" s="9" t="str">
        <x:v>ET-A-A-TECH-4</x:v>
      </x:c>
      <x:c r="F134" s="9" t="str">
        <x:v>ET-A-A</x:v>
      </x:c>
      <x:c r="G134" s="9" t="str">
        <x:v>B2</x:v>
      </x:c>
      <x:c r="H134" s="9" t="str">
        <x:v>BRK</x:v>
      </x:c>
      <x:c r="I134" s="9" t="n">
        <x:v>1</x:v>
      </x:c>
      <x:c r="J134" s="9" t="n">
        <x:v>3</x:v>
      </x:c>
      <x:c r="K134" s="9" t="str">
        <x:v>ET-A-A-N2</x:v>
      </x:c>
      <x:c r="L134" s="9" t="str">
        <x:v>ST08</x:v>
      </x:c>
      <x:c r="M134" s="17" t="str">
        <x:v>Manual stop and safety</x:v>
      </x:c>
      <x:c r="N134" s="17" t="str">
        <x:v>local stop, evacuation and protection routes are active</x:v>
      </x:c>
      <x:c r="O134" s="17" t="str">
        <x:v>Safety authority</x:v>
      </x:c>
      <x:c r="P134" s="9" t="n">
        <x:v>0</x:v>
      </x:c>
      <x:c r="Q134" s="9" t="n">
        <x:v>0</x:v>
      </x:c>
      <x:c r="R134" s="9" t="str">
        <x:v>OPEN / UNSTARTED</x:v>
      </x:c>
      <x:c r="S134" s="9" t="n">
        <x:f>COUNTIFS($A$7:$A$1446,A134)</x:f>
        <x:v>1</x:v>
      </x:c>
    </x:row>
    <x:row r="135">
      <x:c r="A135" s="9" t="str">
        <x:v>EV-AR-ET-A-A-TECH-4-B2-BRK-G0-ST09</x:v>
      </x:c>
      <x:c r="B135" s="9" t="str">
        <x:v>EV-AR-ET-A-A-TECH-4-B2-BRK-G0</x:v>
      </x:c>
      <x:c r="C135" s="9" t="str">
        <x:v>EOW-AR-ET-A-A-TECH-4-B2-BRK-G0</x:v>
      </x:c>
      <x:c r="D135" s="9" t="str">
        <x:v>AR-ET-A-A-TECH-4-B2-BRK-G0</x:v>
      </x:c>
      <x:c r="E135" s="9" t="str">
        <x:v>ET-A-A-TECH-4</x:v>
      </x:c>
      <x:c r="F135" s="9" t="str">
        <x:v>ET-A-A</x:v>
      </x:c>
      <x:c r="G135" s="9" t="str">
        <x:v>B2</x:v>
      </x:c>
      <x:c r="H135" s="9" t="str">
        <x:v>BRK</x:v>
      </x:c>
      <x:c r="I135" s="9" t="n">
        <x:v>1</x:v>
      </x:c>
      <x:c r="J135" s="9" t="n">
        <x:v>3</x:v>
      </x:c>
      <x:c r="K135" s="9" t="str">
        <x:v>ET-A-A-N2</x:v>
      </x:c>
      <x:c r="L135" s="9" t="str">
        <x:v>ST09</x:v>
      </x:c>
      <x:c r="M135" s="17" t="str">
        <x:v>Operator conflict clear</x:v>
      </x:c>
      <x:c r="N135" s="17" t="str">
        <x:v>candidate, fixture, safety and measurement control edges remain separated</x:v>
      </x:c>
      <x:c r="O135" s="17" t="str">
        <x:v>Conflict registrar</x:v>
      </x:c>
      <x:c r="P135" s="9" t="n">
        <x:v>0</x:v>
      </x:c>
      <x:c r="Q135" s="9" t="n">
        <x:v>0</x:v>
      </x:c>
      <x:c r="R135" s="9" t="str">
        <x:v>OPEN / UNSTARTED</x:v>
      </x:c>
      <x:c r="S135" s="9" t="n">
        <x:f>COUNTIFS($A$7:$A$1446,A135)</x:f>
        <x:v>1</x:v>
      </x:c>
    </x:row>
    <x:row r="136">
      <x:c r="A136" s="9" t="str">
        <x:v>EV-AR-ET-A-A-TECH-4-B2-BRK-G0-ST10</x:v>
      </x:c>
      <x:c r="B136" s="9" t="str">
        <x:v>EV-AR-ET-A-A-TECH-4-B2-BRK-G0</x:v>
      </x:c>
      <x:c r="C136" s="9" t="str">
        <x:v>EOW-AR-ET-A-A-TECH-4-B2-BRK-G0</x:v>
      </x:c>
      <x:c r="D136" s="9" t="str">
        <x:v>AR-ET-A-A-TECH-4-B2-BRK-G0</x:v>
      </x:c>
      <x:c r="E136" s="9" t="str">
        <x:v>ET-A-A-TECH-4</x:v>
      </x:c>
      <x:c r="F136" s="9" t="str">
        <x:v>ET-A-A</x:v>
      </x:c>
      <x:c r="G136" s="9" t="str">
        <x:v>B2</x:v>
      </x:c>
      <x:c r="H136" s="9" t="str">
        <x:v>BRK</x:v>
      </x:c>
      <x:c r="I136" s="9" t="n">
        <x:v>1</x:v>
      </x:c>
      <x:c r="J136" s="9" t="n">
        <x:v>3</x:v>
      </x:c>
      <x:c r="K136" s="9" t="str">
        <x:v>ET-A-A-N2</x:v>
      </x:c>
      <x:c r="L136" s="9" t="str">
        <x:v>ST10</x:v>
      </x:c>
      <x:c r="M136" s="17" t="str">
        <x:v>Window and common clock</x:v>
      </x:c>
      <x:c r="N136" s="17" t="str">
        <x:v>epoch, window and public time origin match the issued warrant</x:v>
      </x:c>
      <x:c r="O136" s="17" t="str">
        <x:v>Event clock authority</x:v>
      </x:c>
      <x:c r="P136" s="9" t="n">
        <x:v>0</x:v>
      </x:c>
      <x:c r="Q136" s="9" t="n">
        <x:v>0</x:v>
      </x:c>
      <x:c r="R136" s="9" t="str">
        <x:v>OPEN / UNSTARTED</x:v>
      </x:c>
      <x:c r="S136" s="9" t="n">
        <x:f>COUNTIFS($A$7:$A$1446,A136)</x:f>
        <x:v>1</x:v>
      </x:c>
    </x:row>
    <x:row r="137">
      <x:c r="A137" s="9" t="str">
        <x:v>EV-AR-ET-A-A-TECH-3-B1-RCN-G0-ST01</x:v>
      </x:c>
      <x:c r="B137" s="9" t="str">
        <x:v>EV-AR-ET-A-A-TECH-3-B1-RCN-G0</x:v>
      </x:c>
      <x:c r="C137" s="9" t="str">
        <x:v>EOW-AR-ET-A-A-TECH-3-B1-RCN-G0</x:v>
      </x:c>
      <x:c r="D137" s="9" t="str">
        <x:v>AR-ET-A-A-TECH-3-B1-RCN-G0</x:v>
      </x:c>
      <x:c r="E137" s="9" t="str">
        <x:v>ET-A-A-TECH-3</x:v>
      </x:c>
      <x:c r="F137" s="9" t="str">
        <x:v>ET-A-A</x:v>
      </x:c>
      <x:c r="G137" s="9" t="str">
        <x:v>B1</x:v>
      </x:c>
      <x:c r="H137" s="9" t="str">
        <x:v>RCN</x:v>
      </x:c>
      <x:c r="I137" s="9" t="n">
        <x:v>1</x:v>
      </x:c>
      <x:c r="J137" s="9" t="n">
        <x:v>3</x:v>
      </x:c>
      <x:c r="K137" s="9" t="str">
        <x:v>ET-A-A-N3</x:v>
      </x:c>
      <x:c r="L137" s="9" t="str">
        <x:v>ST01</x:v>
      </x:c>
      <x:c r="M137" s="17" t="str">
        <x:v>Active opportunity warrant</x:v>
      </x:c>
      <x:c r="N137" s="17" t="str">
        <x:v>configuration-bound EOW is within its thirty-six-hour validity</x:v>
      </x:c>
      <x:c r="O137" s="17" t="str">
        <x:v>Start registrar</x:v>
      </x:c>
      <x:c r="P137" s="9" t="n">
        <x:v>0</x:v>
      </x:c>
      <x:c r="Q137" s="9" t="n">
        <x:v>0</x:v>
      </x:c>
      <x:c r="R137" s="9" t="str">
        <x:v>OPEN / UNSTARTED</x:v>
      </x:c>
      <x:c r="S137" s="9" t="n">
        <x:f>COUNTIFS($A$7:$A$1446,A137)</x:f>
        <x:v>1</x:v>
      </x:c>
    </x:row>
    <x:row r="138">
      <x:c r="A138" s="9" t="str">
        <x:v>EV-AR-ET-A-A-TECH-3-B1-RCN-G0-ST02</x:v>
      </x:c>
      <x:c r="B138" s="9" t="str">
        <x:v>EV-AR-ET-A-A-TECH-3-B1-RCN-G0</x:v>
      </x:c>
      <x:c r="C138" s="9" t="str">
        <x:v>EOW-AR-ET-A-A-TECH-3-B1-RCN-G0</x:v>
      </x:c>
      <x:c r="D138" s="9" t="str">
        <x:v>AR-ET-A-A-TECH-3-B1-RCN-G0</x:v>
      </x:c>
      <x:c r="E138" s="9" t="str">
        <x:v>ET-A-A-TECH-3</x:v>
      </x:c>
      <x:c r="F138" s="9" t="str">
        <x:v>ET-A-A</x:v>
      </x:c>
      <x:c r="G138" s="9" t="str">
        <x:v>B1</x:v>
      </x:c>
      <x:c r="H138" s="9" t="str">
        <x:v>RCN</x:v>
      </x:c>
      <x:c r="I138" s="9" t="n">
        <x:v>1</x:v>
      </x:c>
      <x:c r="J138" s="9" t="n">
        <x:v>3</x:v>
      </x:c>
      <x:c r="K138" s="9" t="str">
        <x:v>ET-A-A-N3</x:v>
      </x:c>
      <x:c r="L138" s="9" t="str">
        <x:v>ST02</x:v>
      </x:c>
      <x:c r="M138" s="17" t="str">
        <x:v>Frozen identity</x:v>
      </x:c>
      <x:c r="N138" s="17" t="str">
        <x:v>serial, generation, fixture, site, receiver and digest match the warrant</x:v>
      </x:c>
      <x:c r="O138" s="17" t="str">
        <x:v>Custody authority</x:v>
      </x:c>
      <x:c r="P138" s="9" t="n">
        <x:v>0</x:v>
      </x:c>
      <x:c r="Q138" s="9" t="n">
        <x:v>0</x:v>
      </x:c>
      <x:c r="R138" s="9" t="str">
        <x:v>OPEN / UNSTARTED</x:v>
      </x:c>
      <x:c r="S138" s="9" t="n">
        <x:f>COUNTIFS($A$7:$A$1446,A138)</x:f>
        <x:v>1</x:v>
      </x:c>
    </x:row>
    <x:row r="139">
      <x:c r="A139" s="9" t="str">
        <x:v>EV-AR-ET-A-A-TECH-3-B1-RCN-G0-ST03</x:v>
      </x:c>
      <x:c r="B139" s="9" t="str">
        <x:v>EV-AR-ET-A-A-TECH-3-B1-RCN-G0</x:v>
      </x:c>
      <x:c r="C139" s="9" t="str">
        <x:v>EOW-AR-ET-A-A-TECH-3-B1-RCN-G0</x:v>
      </x:c>
      <x:c r="D139" s="9" t="str">
        <x:v>AR-ET-A-A-TECH-3-B1-RCN-G0</x:v>
      </x:c>
      <x:c r="E139" s="9" t="str">
        <x:v>ET-A-A-TECH-3</x:v>
      </x:c>
      <x:c r="F139" s="9" t="str">
        <x:v>ET-A-A</x:v>
      </x:c>
      <x:c r="G139" s="9" t="str">
        <x:v>B1</x:v>
      </x:c>
      <x:c r="H139" s="9" t="str">
        <x:v>RCN</x:v>
      </x:c>
      <x:c r="I139" s="9" t="n">
        <x:v>1</x:v>
      </x:c>
      <x:c r="J139" s="9" t="n">
        <x:v>3</x:v>
      </x:c>
      <x:c r="K139" s="9" t="str">
        <x:v>ET-A-A-N3</x:v>
      </x:c>
      <x:c r="L139" s="9" t="str">
        <x:v>ST03</x:v>
      </x:c>
      <x:c r="M139" s="17" t="str">
        <x:v>Receiver receipt</x:v>
      </x:c>
      <x:c r="N139" s="17" t="str">
        <x:v>denominator, counterfactual, rights and stop receipt remain unchanged</x:v>
      </x:c>
      <x:c r="O139" s="17" t="str">
        <x:v>Receiver authority</x:v>
      </x:c>
      <x:c r="P139" s="9" t="n">
        <x:v>0</x:v>
      </x:c>
      <x:c r="Q139" s="9" t="n">
        <x:v>0</x:v>
      </x:c>
      <x:c r="R139" s="9" t="str">
        <x:v>OPEN / UNSTARTED</x:v>
      </x:c>
      <x:c r="S139" s="9" t="n">
        <x:f>COUNTIFS($A$7:$A$1446,A139)</x:f>
        <x:v>1</x:v>
      </x:c>
    </x:row>
    <x:row r="140">
      <x:c r="A140" s="9" t="str">
        <x:v>EV-AR-ET-A-A-TECH-3-B1-RCN-G0-ST04</x:v>
      </x:c>
      <x:c r="B140" s="9" t="str">
        <x:v>EV-AR-ET-A-A-TECH-3-B1-RCN-G0</x:v>
      </x:c>
      <x:c r="C140" s="9" t="str">
        <x:v>EOW-AR-ET-A-A-TECH-3-B1-RCN-G0</x:v>
      </x:c>
      <x:c r="D140" s="9" t="str">
        <x:v>AR-ET-A-A-TECH-3-B1-RCN-G0</x:v>
      </x:c>
      <x:c r="E140" s="9" t="str">
        <x:v>ET-A-A-TECH-3</x:v>
      </x:c>
      <x:c r="F140" s="9" t="str">
        <x:v>ET-A-A</x:v>
      </x:c>
      <x:c r="G140" s="9" t="str">
        <x:v>B1</x:v>
      </x:c>
      <x:c r="H140" s="9" t="str">
        <x:v>RCN</x:v>
      </x:c>
      <x:c r="I140" s="9" t="n">
        <x:v>1</x:v>
      </x:c>
      <x:c r="J140" s="9" t="n">
        <x:v>3</x:v>
      </x:c>
      <x:c r="K140" s="9" t="str">
        <x:v>ET-A-A-N3</x:v>
      </x:c>
      <x:c r="L140" s="9" t="str">
        <x:v>ST04</x:v>
      </x:c>
      <x:c r="M140" s="17" t="str">
        <x:v>Primary capture armed</x:v>
      </x:c>
      <x:c r="N140" s="17" t="str">
        <x:v>primary chain records sealed reference and live time</x:v>
      </x:c>
      <x:c r="O140" s="17" t="str">
        <x:v>Primary metrology</x:v>
      </x:c>
      <x:c r="P140" s="9" t="n">
        <x:v>0</x:v>
      </x:c>
      <x:c r="Q140" s="9" t="n">
        <x:v>0</x:v>
      </x:c>
      <x:c r="R140" s="9" t="str">
        <x:v>OPEN / UNSTARTED</x:v>
      </x:c>
      <x:c r="S140" s="9" t="n">
        <x:f>COUNTIFS($A$7:$A$1446,A140)</x:f>
        <x:v>1</x:v>
      </x:c>
    </x:row>
    <x:row r="141">
      <x:c r="A141" s="9" t="str">
        <x:v>EV-AR-ET-A-A-TECH-3-B1-RCN-G0-ST05</x:v>
      </x:c>
      <x:c r="B141" s="9" t="str">
        <x:v>EV-AR-ET-A-A-TECH-3-B1-RCN-G0</x:v>
      </x:c>
      <x:c r="C141" s="9" t="str">
        <x:v>EOW-AR-ET-A-A-TECH-3-B1-RCN-G0</x:v>
      </x:c>
      <x:c r="D141" s="9" t="str">
        <x:v>AR-ET-A-A-TECH-3-B1-RCN-G0</x:v>
      </x:c>
      <x:c r="E141" s="9" t="str">
        <x:v>ET-A-A-TECH-3</x:v>
      </x:c>
      <x:c r="F141" s="9" t="str">
        <x:v>ET-A-A</x:v>
      </x:c>
      <x:c r="G141" s="9" t="str">
        <x:v>B1</x:v>
      </x:c>
      <x:c r="H141" s="9" t="str">
        <x:v>RCN</x:v>
      </x:c>
      <x:c r="I141" s="9" t="n">
        <x:v>1</x:v>
      </x:c>
      <x:c r="J141" s="9" t="n">
        <x:v>3</x:v>
      </x:c>
      <x:c r="K141" s="9" t="str">
        <x:v>ET-A-A-N3</x:v>
      </x:c>
      <x:c r="L141" s="9" t="str">
        <x:v>ST05</x:v>
      </x:c>
      <x:c r="M141" s="17" t="str">
        <x:v>Witness capture armed</x:v>
      </x:c>
      <x:c r="N141" s="17" t="str">
        <x:v>unlike witness records independent reference and live time</x:v>
      </x:c>
      <x:c r="O141" s="17" t="str">
        <x:v>Witness metrology</x:v>
      </x:c>
      <x:c r="P141" s="9" t="n">
        <x:v>0</x:v>
      </x:c>
      <x:c r="Q141" s="9" t="n">
        <x:v>0</x:v>
      </x:c>
      <x:c r="R141" s="9" t="str">
        <x:v>OPEN / UNSTARTED</x:v>
      </x:c>
      <x:c r="S141" s="9" t="n">
        <x:f>COUNTIFS($A$7:$A$1446,A141)</x:f>
        <x:v>1</x:v>
      </x:c>
    </x:row>
    <x:row r="142">
      <x:c r="A142" s="9" t="str">
        <x:v>EV-AR-ET-A-A-TECH-3-B1-RCN-G0-ST06</x:v>
      </x:c>
      <x:c r="B142" s="9" t="str">
        <x:v>EV-AR-ET-A-A-TECH-3-B1-RCN-G0</x:v>
      </x:c>
      <x:c r="C142" s="9" t="str">
        <x:v>EOW-AR-ET-A-A-TECH-3-B1-RCN-G0</x:v>
      </x:c>
      <x:c r="D142" s="9" t="str">
        <x:v>AR-ET-A-A-TECH-3-B1-RCN-G0</x:v>
      </x:c>
      <x:c r="E142" s="9" t="str">
        <x:v>ET-A-A-TECH-3</x:v>
      </x:c>
      <x:c r="F142" s="9" t="str">
        <x:v>ET-A-A</x:v>
      </x:c>
      <x:c r="G142" s="9" t="str">
        <x:v>B1</x:v>
      </x:c>
      <x:c r="H142" s="9" t="str">
        <x:v>RCN</x:v>
      </x:c>
      <x:c r="I142" s="9" t="n">
        <x:v>1</x:v>
      </x:c>
      <x:c r="J142" s="9" t="n">
        <x:v>3</x:v>
      </x:c>
      <x:c r="K142" s="9" t="str">
        <x:v>ET-A-A-N3</x:v>
      </x:c>
      <x:c r="L142" s="9" t="str">
        <x:v>ST06</x:v>
      </x:c>
      <x:c r="M142" s="17" t="str">
        <x:v>Public custody armed</x:v>
      </x:c>
      <x:c r="N142" s="17" t="str">
        <x:v>eight raw origins have separated hash and replica routes</x:v>
      </x:c>
      <x:c r="O142" s="17" t="str">
        <x:v>Custody authority</x:v>
      </x:c>
      <x:c r="P142" s="9" t="n">
        <x:v>0</x:v>
      </x:c>
      <x:c r="Q142" s="9" t="n">
        <x:v>0</x:v>
      </x:c>
      <x:c r="R142" s="9" t="str">
        <x:v>OPEN / UNSTARTED</x:v>
      </x:c>
      <x:c r="S142" s="9" t="n">
        <x:f>COUNTIFS($A$7:$A$1446,A142)</x:f>
        <x:v>1</x:v>
      </x:c>
    </x:row>
    <x:row r="143">
      <x:c r="A143" s="9" t="str">
        <x:v>EV-AR-ET-A-A-TECH-3-B1-RCN-G0-ST07</x:v>
      </x:c>
      <x:c r="B143" s="9" t="str">
        <x:v>EV-AR-ET-A-A-TECH-3-B1-RCN-G0</x:v>
      </x:c>
      <x:c r="C143" s="9" t="str">
        <x:v>EOW-AR-ET-A-A-TECH-3-B1-RCN-G0</x:v>
      </x:c>
      <x:c r="D143" s="9" t="str">
        <x:v>AR-ET-A-A-TECH-3-B1-RCN-G0</x:v>
      </x:c>
      <x:c r="E143" s="9" t="str">
        <x:v>ET-A-A-TECH-3</x:v>
      </x:c>
      <x:c r="F143" s="9" t="str">
        <x:v>ET-A-A</x:v>
      </x:c>
      <x:c r="G143" s="9" t="str">
        <x:v>B1</x:v>
      </x:c>
      <x:c r="H143" s="9" t="str">
        <x:v>RCN</x:v>
      </x:c>
      <x:c r="I143" s="9" t="n">
        <x:v>1</x:v>
      </x:c>
      <x:c r="J143" s="9" t="n">
        <x:v>3</x:v>
      </x:c>
      <x:c r="K143" s="9" t="str">
        <x:v>ET-A-A-N3</x:v>
      </x:c>
      <x:c r="L143" s="9" t="str">
        <x:v>ST07</x:v>
      </x:c>
      <x:c r="M143" s="17" t="str">
        <x:v>Environmental baseline</x:v>
      </x:c>
      <x:c r="N143" s="17" t="str">
        <x:v>pre-event boundary state is sealed before decisive operation</x:v>
      </x:c>
      <x:c r="O143" s="17" t="str">
        <x:v>Site metrology</x:v>
      </x:c>
      <x:c r="P143" s="9" t="n">
        <x:v>0</x:v>
      </x:c>
      <x:c r="Q143" s="9" t="n">
        <x:v>0</x:v>
      </x:c>
      <x:c r="R143" s="9" t="str">
        <x:v>OPEN / UNSTARTED</x:v>
      </x:c>
      <x:c r="S143" s="9" t="n">
        <x:f>COUNTIFS($A$7:$A$1446,A143)</x:f>
        <x:v>1</x:v>
      </x:c>
    </x:row>
    <x:row r="144">
      <x:c r="A144" s="9" t="str">
        <x:v>EV-AR-ET-A-A-TECH-3-B1-RCN-G0-ST08</x:v>
      </x:c>
      <x:c r="B144" s="9" t="str">
        <x:v>EV-AR-ET-A-A-TECH-3-B1-RCN-G0</x:v>
      </x:c>
      <x:c r="C144" s="9" t="str">
        <x:v>EOW-AR-ET-A-A-TECH-3-B1-RCN-G0</x:v>
      </x:c>
      <x:c r="D144" s="9" t="str">
        <x:v>AR-ET-A-A-TECH-3-B1-RCN-G0</x:v>
      </x:c>
      <x:c r="E144" s="9" t="str">
        <x:v>ET-A-A-TECH-3</x:v>
      </x:c>
      <x:c r="F144" s="9" t="str">
        <x:v>ET-A-A</x:v>
      </x:c>
      <x:c r="G144" s="9" t="str">
        <x:v>B1</x:v>
      </x:c>
      <x:c r="H144" s="9" t="str">
        <x:v>RCN</x:v>
      </x:c>
      <x:c r="I144" s="9" t="n">
        <x:v>1</x:v>
      </x:c>
      <x:c r="J144" s="9" t="n">
        <x:v>3</x:v>
      </x:c>
      <x:c r="K144" s="9" t="str">
        <x:v>ET-A-A-N3</x:v>
      </x:c>
      <x:c r="L144" s="9" t="str">
        <x:v>ST08</x:v>
      </x:c>
      <x:c r="M144" s="17" t="str">
        <x:v>Manual stop and safety</x:v>
      </x:c>
      <x:c r="N144" s="17" t="str">
        <x:v>local stop, evacuation and protection routes are active</x:v>
      </x:c>
      <x:c r="O144" s="17" t="str">
        <x:v>Safety authority</x:v>
      </x:c>
      <x:c r="P144" s="9" t="n">
        <x:v>0</x:v>
      </x:c>
      <x:c r="Q144" s="9" t="n">
        <x:v>0</x:v>
      </x:c>
      <x:c r="R144" s="9" t="str">
        <x:v>OPEN / UNSTARTED</x:v>
      </x:c>
      <x:c r="S144" s="9" t="n">
        <x:f>COUNTIFS($A$7:$A$1446,A144)</x:f>
        <x:v>1</x:v>
      </x:c>
    </x:row>
    <x:row r="145">
      <x:c r="A145" s="9" t="str">
        <x:v>EV-AR-ET-A-A-TECH-3-B1-RCN-G0-ST09</x:v>
      </x:c>
      <x:c r="B145" s="9" t="str">
        <x:v>EV-AR-ET-A-A-TECH-3-B1-RCN-G0</x:v>
      </x:c>
      <x:c r="C145" s="9" t="str">
        <x:v>EOW-AR-ET-A-A-TECH-3-B1-RCN-G0</x:v>
      </x:c>
      <x:c r="D145" s="9" t="str">
        <x:v>AR-ET-A-A-TECH-3-B1-RCN-G0</x:v>
      </x:c>
      <x:c r="E145" s="9" t="str">
        <x:v>ET-A-A-TECH-3</x:v>
      </x:c>
      <x:c r="F145" s="9" t="str">
        <x:v>ET-A-A</x:v>
      </x:c>
      <x:c r="G145" s="9" t="str">
        <x:v>B1</x:v>
      </x:c>
      <x:c r="H145" s="9" t="str">
        <x:v>RCN</x:v>
      </x:c>
      <x:c r="I145" s="9" t="n">
        <x:v>1</x:v>
      </x:c>
      <x:c r="J145" s="9" t="n">
        <x:v>3</x:v>
      </x:c>
      <x:c r="K145" s="9" t="str">
        <x:v>ET-A-A-N3</x:v>
      </x:c>
      <x:c r="L145" s="9" t="str">
        <x:v>ST09</x:v>
      </x:c>
      <x:c r="M145" s="17" t="str">
        <x:v>Operator conflict clear</x:v>
      </x:c>
      <x:c r="N145" s="17" t="str">
        <x:v>candidate, fixture, safety and measurement control edges remain separated</x:v>
      </x:c>
      <x:c r="O145" s="17" t="str">
        <x:v>Conflict registrar</x:v>
      </x:c>
      <x:c r="P145" s="9" t="n">
        <x:v>0</x:v>
      </x:c>
      <x:c r="Q145" s="9" t="n">
        <x:v>0</x:v>
      </x:c>
      <x:c r="R145" s="9" t="str">
        <x:v>OPEN / UNSTARTED</x:v>
      </x:c>
      <x:c r="S145" s="9" t="n">
        <x:f>COUNTIFS($A$7:$A$1446,A145)</x:f>
        <x:v>1</x:v>
      </x:c>
    </x:row>
    <x:row r="146">
      <x:c r="A146" s="9" t="str">
        <x:v>EV-AR-ET-A-A-TECH-3-B1-RCN-G0-ST10</x:v>
      </x:c>
      <x:c r="B146" s="9" t="str">
        <x:v>EV-AR-ET-A-A-TECH-3-B1-RCN-G0</x:v>
      </x:c>
      <x:c r="C146" s="9" t="str">
        <x:v>EOW-AR-ET-A-A-TECH-3-B1-RCN-G0</x:v>
      </x:c>
      <x:c r="D146" s="9" t="str">
        <x:v>AR-ET-A-A-TECH-3-B1-RCN-G0</x:v>
      </x:c>
      <x:c r="E146" s="9" t="str">
        <x:v>ET-A-A-TECH-3</x:v>
      </x:c>
      <x:c r="F146" s="9" t="str">
        <x:v>ET-A-A</x:v>
      </x:c>
      <x:c r="G146" s="9" t="str">
        <x:v>B1</x:v>
      </x:c>
      <x:c r="H146" s="9" t="str">
        <x:v>RCN</x:v>
      </x:c>
      <x:c r="I146" s="9" t="n">
        <x:v>1</x:v>
      </x:c>
      <x:c r="J146" s="9" t="n">
        <x:v>3</x:v>
      </x:c>
      <x:c r="K146" s="9" t="str">
        <x:v>ET-A-A-N3</x:v>
      </x:c>
      <x:c r="L146" s="9" t="str">
        <x:v>ST10</x:v>
      </x:c>
      <x:c r="M146" s="17" t="str">
        <x:v>Window and common clock</x:v>
      </x:c>
      <x:c r="N146" s="17" t="str">
        <x:v>epoch, window and public time origin match the issued warrant</x:v>
      </x:c>
      <x:c r="O146" s="17" t="str">
        <x:v>Event clock authority</x:v>
      </x:c>
      <x:c r="P146" s="9" t="n">
        <x:v>0</x:v>
      </x:c>
      <x:c r="Q146" s="9" t="n">
        <x:v>0</x:v>
      </x:c>
      <x:c r="R146" s="9" t="str">
        <x:v>OPEN / UNSTARTED</x:v>
      </x:c>
      <x:c r="S146" s="9" t="n">
        <x:f>COUNTIFS($A$7:$A$1446,A146)</x:f>
        <x:v>1</x:v>
      </x:c>
    </x:row>
    <x:row r="147">
      <x:c r="A147" s="9" t="str">
        <x:v>EV-AR-HC-A-C-TECH-4-B2-INT-G0-ST01</x:v>
      </x:c>
      <x:c r="B147" s="9" t="str">
        <x:v>EV-AR-HC-A-C-TECH-4-B2-INT-G0</x:v>
      </x:c>
      <x:c r="C147" s="9" t="str">
        <x:v>EOW-AR-HC-A-C-TECH-4-B2-INT-G0</x:v>
      </x:c>
      <x:c r="D147" s="9" t="str">
        <x:v>AR-HC-A-C-TECH-4-B2-INT-G0</x:v>
      </x:c>
      <x:c r="E147" s="9" t="str">
        <x:v>HC-A-C-TECH-4</x:v>
      </x:c>
      <x:c r="F147" s="9" t="str">
        <x:v>HC-A-C</x:v>
      </x:c>
      <x:c r="G147" s="9" t="str">
        <x:v>B2</x:v>
      </x:c>
      <x:c r="H147" s="9" t="str">
        <x:v>INT</x:v>
      </x:c>
      <x:c r="I147" s="9" t="n">
        <x:v>1</x:v>
      </x:c>
      <x:c r="J147" s="9" t="n">
        <x:v>3</x:v>
      </x:c>
      <x:c r="K147" s="9" t="str">
        <x:v>HC-A-C-N1</x:v>
      </x:c>
      <x:c r="L147" s="9" t="str">
        <x:v>ST01</x:v>
      </x:c>
      <x:c r="M147" s="17" t="str">
        <x:v>Active opportunity warrant</x:v>
      </x:c>
      <x:c r="N147" s="17" t="str">
        <x:v>configuration-bound EOW is within its thirty-six-hour validity</x:v>
      </x:c>
      <x:c r="O147" s="17" t="str">
        <x:v>Start registrar</x:v>
      </x:c>
      <x:c r="P147" s="9" t="n">
        <x:v>0</x:v>
      </x:c>
      <x:c r="Q147" s="9" t="n">
        <x:v>0</x:v>
      </x:c>
      <x:c r="R147" s="9" t="str">
        <x:v>OPEN / UNSTARTED</x:v>
      </x:c>
      <x:c r="S147" s="9" t="n">
        <x:f>COUNTIFS($A$7:$A$1446,A147)</x:f>
        <x:v>1</x:v>
      </x:c>
    </x:row>
    <x:row r="148">
      <x:c r="A148" s="9" t="str">
        <x:v>EV-AR-HC-A-C-TECH-4-B2-INT-G0-ST02</x:v>
      </x:c>
      <x:c r="B148" s="9" t="str">
        <x:v>EV-AR-HC-A-C-TECH-4-B2-INT-G0</x:v>
      </x:c>
      <x:c r="C148" s="9" t="str">
        <x:v>EOW-AR-HC-A-C-TECH-4-B2-INT-G0</x:v>
      </x:c>
      <x:c r="D148" s="9" t="str">
        <x:v>AR-HC-A-C-TECH-4-B2-INT-G0</x:v>
      </x:c>
      <x:c r="E148" s="9" t="str">
        <x:v>HC-A-C-TECH-4</x:v>
      </x:c>
      <x:c r="F148" s="9" t="str">
        <x:v>HC-A-C</x:v>
      </x:c>
      <x:c r="G148" s="9" t="str">
        <x:v>B2</x:v>
      </x:c>
      <x:c r="H148" s="9" t="str">
        <x:v>INT</x:v>
      </x:c>
      <x:c r="I148" s="9" t="n">
        <x:v>1</x:v>
      </x:c>
      <x:c r="J148" s="9" t="n">
        <x:v>3</x:v>
      </x:c>
      <x:c r="K148" s="9" t="str">
        <x:v>HC-A-C-N1</x:v>
      </x:c>
      <x:c r="L148" s="9" t="str">
        <x:v>ST02</x:v>
      </x:c>
      <x:c r="M148" s="17" t="str">
        <x:v>Frozen identity</x:v>
      </x:c>
      <x:c r="N148" s="17" t="str">
        <x:v>serial, generation, fixture, site, receiver and digest match the warrant</x:v>
      </x:c>
      <x:c r="O148" s="17" t="str">
        <x:v>Custody authority</x:v>
      </x:c>
      <x:c r="P148" s="9" t="n">
        <x:v>0</x:v>
      </x:c>
      <x:c r="Q148" s="9" t="n">
        <x:v>0</x:v>
      </x:c>
      <x:c r="R148" s="9" t="str">
        <x:v>OPEN / UNSTARTED</x:v>
      </x:c>
      <x:c r="S148" s="9" t="n">
        <x:f>COUNTIFS($A$7:$A$1446,A148)</x:f>
        <x:v>1</x:v>
      </x:c>
    </x:row>
    <x:row r="149">
      <x:c r="A149" s="9" t="str">
        <x:v>EV-AR-HC-A-C-TECH-4-B2-INT-G0-ST03</x:v>
      </x:c>
      <x:c r="B149" s="9" t="str">
        <x:v>EV-AR-HC-A-C-TECH-4-B2-INT-G0</x:v>
      </x:c>
      <x:c r="C149" s="9" t="str">
        <x:v>EOW-AR-HC-A-C-TECH-4-B2-INT-G0</x:v>
      </x:c>
      <x:c r="D149" s="9" t="str">
        <x:v>AR-HC-A-C-TECH-4-B2-INT-G0</x:v>
      </x:c>
      <x:c r="E149" s="9" t="str">
        <x:v>HC-A-C-TECH-4</x:v>
      </x:c>
      <x:c r="F149" s="9" t="str">
        <x:v>HC-A-C</x:v>
      </x:c>
      <x:c r="G149" s="9" t="str">
        <x:v>B2</x:v>
      </x:c>
      <x:c r="H149" s="9" t="str">
        <x:v>INT</x:v>
      </x:c>
      <x:c r="I149" s="9" t="n">
        <x:v>1</x:v>
      </x:c>
      <x:c r="J149" s="9" t="n">
        <x:v>3</x:v>
      </x:c>
      <x:c r="K149" s="9" t="str">
        <x:v>HC-A-C-N1</x:v>
      </x:c>
      <x:c r="L149" s="9" t="str">
        <x:v>ST03</x:v>
      </x:c>
      <x:c r="M149" s="17" t="str">
        <x:v>Receiver receipt</x:v>
      </x:c>
      <x:c r="N149" s="17" t="str">
        <x:v>denominator, counterfactual, rights and stop receipt remain unchanged</x:v>
      </x:c>
      <x:c r="O149" s="17" t="str">
        <x:v>Receiver authority</x:v>
      </x:c>
      <x:c r="P149" s="9" t="n">
        <x:v>0</x:v>
      </x:c>
      <x:c r="Q149" s="9" t="n">
        <x:v>0</x:v>
      </x:c>
      <x:c r="R149" s="9" t="str">
        <x:v>OPEN / UNSTARTED</x:v>
      </x:c>
      <x:c r="S149" s="9" t="n">
        <x:f>COUNTIFS($A$7:$A$1446,A149)</x:f>
        <x:v>1</x:v>
      </x:c>
    </x:row>
    <x:row r="150">
      <x:c r="A150" s="9" t="str">
        <x:v>EV-AR-HC-A-C-TECH-4-B2-INT-G0-ST04</x:v>
      </x:c>
      <x:c r="B150" s="9" t="str">
        <x:v>EV-AR-HC-A-C-TECH-4-B2-INT-G0</x:v>
      </x:c>
      <x:c r="C150" s="9" t="str">
        <x:v>EOW-AR-HC-A-C-TECH-4-B2-INT-G0</x:v>
      </x:c>
      <x:c r="D150" s="9" t="str">
        <x:v>AR-HC-A-C-TECH-4-B2-INT-G0</x:v>
      </x:c>
      <x:c r="E150" s="9" t="str">
        <x:v>HC-A-C-TECH-4</x:v>
      </x:c>
      <x:c r="F150" s="9" t="str">
        <x:v>HC-A-C</x:v>
      </x:c>
      <x:c r="G150" s="9" t="str">
        <x:v>B2</x:v>
      </x:c>
      <x:c r="H150" s="9" t="str">
        <x:v>INT</x:v>
      </x:c>
      <x:c r="I150" s="9" t="n">
        <x:v>1</x:v>
      </x:c>
      <x:c r="J150" s="9" t="n">
        <x:v>3</x:v>
      </x:c>
      <x:c r="K150" s="9" t="str">
        <x:v>HC-A-C-N1</x:v>
      </x:c>
      <x:c r="L150" s="9" t="str">
        <x:v>ST04</x:v>
      </x:c>
      <x:c r="M150" s="17" t="str">
        <x:v>Primary capture armed</x:v>
      </x:c>
      <x:c r="N150" s="17" t="str">
        <x:v>primary chain records sealed reference and live time</x:v>
      </x:c>
      <x:c r="O150" s="17" t="str">
        <x:v>Primary metrology</x:v>
      </x:c>
      <x:c r="P150" s="9" t="n">
        <x:v>0</x:v>
      </x:c>
      <x:c r="Q150" s="9" t="n">
        <x:v>0</x:v>
      </x:c>
      <x:c r="R150" s="9" t="str">
        <x:v>OPEN / UNSTARTED</x:v>
      </x:c>
      <x:c r="S150" s="9" t="n">
        <x:f>COUNTIFS($A$7:$A$1446,A150)</x:f>
        <x:v>1</x:v>
      </x:c>
    </x:row>
    <x:row r="151">
      <x:c r="A151" s="9" t="str">
        <x:v>EV-AR-HC-A-C-TECH-4-B2-INT-G0-ST05</x:v>
      </x:c>
      <x:c r="B151" s="9" t="str">
        <x:v>EV-AR-HC-A-C-TECH-4-B2-INT-G0</x:v>
      </x:c>
      <x:c r="C151" s="9" t="str">
        <x:v>EOW-AR-HC-A-C-TECH-4-B2-INT-G0</x:v>
      </x:c>
      <x:c r="D151" s="9" t="str">
        <x:v>AR-HC-A-C-TECH-4-B2-INT-G0</x:v>
      </x:c>
      <x:c r="E151" s="9" t="str">
        <x:v>HC-A-C-TECH-4</x:v>
      </x:c>
      <x:c r="F151" s="9" t="str">
        <x:v>HC-A-C</x:v>
      </x:c>
      <x:c r="G151" s="9" t="str">
        <x:v>B2</x:v>
      </x:c>
      <x:c r="H151" s="9" t="str">
        <x:v>INT</x:v>
      </x:c>
      <x:c r="I151" s="9" t="n">
        <x:v>1</x:v>
      </x:c>
      <x:c r="J151" s="9" t="n">
        <x:v>3</x:v>
      </x:c>
      <x:c r="K151" s="9" t="str">
        <x:v>HC-A-C-N1</x:v>
      </x:c>
      <x:c r="L151" s="9" t="str">
        <x:v>ST05</x:v>
      </x:c>
      <x:c r="M151" s="17" t="str">
        <x:v>Witness capture armed</x:v>
      </x:c>
      <x:c r="N151" s="17" t="str">
        <x:v>unlike witness records independent reference and live time</x:v>
      </x:c>
      <x:c r="O151" s="17" t="str">
        <x:v>Witness metrology</x:v>
      </x:c>
      <x:c r="P151" s="9" t="n">
        <x:v>0</x:v>
      </x:c>
      <x:c r="Q151" s="9" t="n">
        <x:v>0</x:v>
      </x:c>
      <x:c r="R151" s="9" t="str">
        <x:v>OPEN / UNSTARTED</x:v>
      </x:c>
      <x:c r="S151" s="9" t="n">
        <x:f>COUNTIFS($A$7:$A$1446,A151)</x:f>
        <x:v>1</x:v>
      </x:c>
    </x:row>
    <x:row r="152">
      <x:c r="A152" s="9" t="str">
        <x:v>EV-AR-HC-A-C-TECH-4-B2-INT-G0-ST06</x:v>
      </x:c>
      <x:c r="B152" s="9" t="str">
        <x:v>EV-AR-HC-A-C-TECH-4-B2-INT-G0</x:v>
      </x:c>
      <x:c r="C152" s="9" t="str">
        <x:v>EOW-AR-HC-A-C-TECH-4-B2-INT-G0</x:v>
      </x:c>
      <x:c r="D152" s="9" t="str">
        <x:v>AR-HC-A-C-TECH-4-B2-INT-G0</x:v>
      </x:c>
      <x:c r="E152" s="9" t="str">
        <x:v>HC-A-C-TECH-4</x:v>
      </x:c>
      <x:c r="F152" s="9" t="str">
        <x:v>HC-A-C</x:v>
      </x:c>
      <x:c r="G152" s="9" t="str">
        <x:v>B2</x:v>
      </x:c>
      <x:c r="H152" s="9" t="str">
        <x:v>INT</x:v>
      </x:c>
      <x:c r="I152" s="9" t="n">
        <x:v>1</x:v>
      </x:c>
      <x:c r="J152" s="9" t="n">
        <x:v>3</x:v>
      </x:c>
      <x:c r="K152" s="9" t="str">
        <x:v>HC-A-C-N1</x:v>
      </x:c>
      <x:c r="L152" s="9" t="str">
        <x:v>ST06</x:v>
      </x:c>
      <x:c r="M152" s="17" t="str">
        <x:v>Public custody armed</x:v>
      </x:c>
      <x:c r="N152" s="17" t="str">
        <x:v>eight raw origins have separated hash and replica routes</x:v>
      </x:c>
      <x:c r="O152" s="17" t="str">
        <x:v>Custody authority</x:v>
      </x:c>
      <x:c r="P152" s="9" t="n">
        <x:v>0</x:v>
      </x:c>
      <x:c r="Q152" s="9" t="n">
        <x:v>0</x:v>
      </x:c>
      <x:c r="R152" s="9" t="str">
        <x:v>OPEN / UNSTARTED</x:v>
      </x:c>
      <x:c r="S152" s="9" t="n">
        <x:f>COUNTIFS($A$7:$A$1446,A152)</x:f>
        <x:v>1</x:v>
      </x:c>
    </x:row>
    <x:row r="153">
      <x:c r="A153" s="9" t="str">
        <x:v>EV-AR-HC-A-C-TECH-4-B2-INT-G0-ST07</x:v>
      </x:c>
      <x:c r="B153" s="9" t="str">
        <x:v>EV-AR-HC-A-C-TECH-4-B2-INT-G0</x:v>
      </x:c>
      <x:c r="C153" s="9" t="str">
        <x:v>EOW-AR-HC-A-C-TECH-4-B2-INT-G0</x:v>
      </x:c>
      <x:c r="D153" s="9" t="str">
        <x:v>AR-HC-A-C-TECH-4-B2-INT-G0</x:v>
      </x:c>
      <x:c r="E153" s="9" t="str">
        <x:v>HC-A-C-TECH-4</x:v>
      </x:c>
      <x:c r="F153" s="9" t="str">
        <x:v>HC-A-C</x:v>
      </x:c>
      <x:c r="G153" s="9" t="str">
        <x:v>B2</x:v>
      </x:c>
      <x:c r="H153" s="9" t="str">
        <x:v>INT</x:v>
      </x:c>
      <x:c r="I153" s="9" t="n">
        <x:v>1</x:v>
      </x:c>
      <x:c r="J153" s="9" t="n">
        <x:v>3</x:v>
      </x:c>
      <x:c r="K153" s="9" t="str">
        <x:v>HC-A-C-N1</x:v>
      </x:c>
      <x:c r="L153" s="9" t="str">
        <x:v>ST07</x:v>
      </x:c>
      <x:c r="M153" s="17" t="str">
        <x:v>Environmental baseline</x:v>
      </x:c>
      <x:c r="N153" s="17" t="str">
        <x:v>pre-event boundary state is sealed before decisive operation</x:v>
      </x:c>
      <x:c r="O153" s="17" t="str">
        <x:v>Site metrology</x:v>
      </x:c>
      <x:c r="P153" s="9" t="n">
        <x:v>0</x:v>
      </x:c>
      <x:c r="Q153" s="9" t="n">
        <x:v>0</x:v>
      </x:c>
      <x:c r="R153" s="9" t="str">
        <x:v>OPEN / UNSTARTED</x:v>
      </x:c>
      <x:c r="S153" s="9" t="n">
        <x:f>COUNTIFS($A$7:$A$1446,A153)</x:f>
        <x:v>1</x:v>
      </x:c>
    </x:row>
    <x:row r="154">
      <x:c r="A154" s="9" t="str">
        <x:v>EV-AR-HC-A-C-TECH-4-B2-INT-G0-ST08</x:v>
      </x:c>
      <x:c r="B154" s="9" t="str">
        <x:v>EV-AR-HC-A-C-TECH-4-B2-INT-G0</x:v>
      </x:c>
      <x:c r="C154" s="9" t="str">
        <x:v>EOW-AR-HC-A-C-TECH-4-B2-INT-G0</x:v>
      </x:c>
      <x:c r="D154" s="9" t="str">
        <x:v>AR-HC-A-C-TECH-4-B2-INT-G0</x:v>
      </x:c>
      <x:c r="E154" s="9" t="str">
        <x:v>HC-A-C-TECH-4</x:v>
      </x:c>
      <x:c r="F154" s="9" t="str">
        <x:v>HC-A-C</x:v>
      </x:c>
      <x:c r="G154" s="9" t="str">
        <x:v>B2</x:v>
      </x:c>
      <x:c r="H154" s="9" t="str">
        <x:v>INT</x:v>
      </x:c>
      <x:c r="I154" s="9" t="n">
        <x:v>1</x:v>
      </x:c>
      <x:c r="J154" s="9" t="n">
        <x:v>3</x:v>
      </x:c>
      <x:c r="K154" s="9" t="str">
        <x:v>HC-A-C-N1</x:v>
      </x:c>
      <x:c r="L154" s="9" t="str">
        <x:v>ST08</x:v>
      </x:c>
      <x:c r="M154" s="17" t="str">
        <x:v>Manual stop and safety</x:v>
      </x:c>
      <x:c r="N154" s="17" t="str">
        <x:v>local stop, evacuation and protection routes are active</x:v>
      </x:c>
      <x:c r="O154" s="17" t="str">
        <x:v>Safety authority</x:v>
      </x:c>
      <x:c r="P154" s="9" t="n">
        <x:v>0</x:v>
      </x:c>
      <x:c r="Q154" s="9" t="n">
        <x:v>0</x:v>
      </x:c>
      <x:c r="R154" s="9" t="str">
        <x:v>OPEN / UNSTARTED</x:v>
      </x:c>
      <x:c r="S154" s="9" t="n">
        <x:f>COUNTIFS($A$7:$A$1446,A154)</x:f>
        <x:v>1</x:v>
      </x:c>
    </x:row>
    <x:row r="155">
      <x:c r="A155" s="9" t="str">
        <x:v>EV-AR-HC-A-C-TECH-4-B2-INT-G0-ST09</x:v>
      </x:c>
      <x:c r="B155" s="9" t="str">
        <x:v>EV-AR-HC-A-C-TECH-4-B2-INT-G0</x:v>
      </x:c>
      <x:c r="C155" s="9" t="str">
        <x:v>EOW-AR-HC-A-C-TECH-4-B2-INT-G0</x:v>
      </x:c>
      <x:c r="D155" s="9" t="str">
        <x:v>AR-HC-A-C-TECH-4-B2-INT-G0</x:v>
      </x:c>
      <x:c r="E155" s="9" t="str">
        <x:v>HC-A-C-TECH-4</x:v>
      </x:c>
      <x:c r="F155" s="9" t="str">
        <x:v>HC-A-C</x:v>
      </x:c>
      <x:c r="G155" s="9" t="str">
        <x:v>B2</x:v>
      </x:c>
      <x:c r="H155" s="9" t="str">
        <x:v>INT</x:v>
      </x:c>
      <x:c r="I155" s="9" t="n">
        <x:v>1</x:v>
      </x:c>
      <x:c r="J155" s="9" t="n">
        <x:v>3</x:v>
      </x:c>
      <x:c r="K155" s="9" t="str">
        <x:v>HC-A-C-N1</x:v>
      </x:c>
      <x:c r="L155" s="9" t="str">
        <x:v>ST09</x:v>
      </x:c>
      <x:c r="M155" s="17" t="str">
        <x:v>Operator conflict clear</x:v>
      </x:c>
      <x:c r="N155" s="17" t="str">
        <x:v>candidate, fixture, safety and measurement control edges remain separated</x:v>
      </x:c>
      <x:c r="O155" s="17" t="str">
        <x:v>Conflict registrar</x:v>
      </x:c>
      <x:c r="P155" s="9" t="n">
        <x:v>0</x:v>
      </x:c>
      <x:c r="Q155" s="9" t="n">
        <x:v>0</x:v>
      </x:c>
      <x:c r="R155" s="9" t="str">
        <x:v>OPEN / UNSTARTED</x:v>
      </x:c>
      <x:c r="S155" s="9" t="n">
        <x:f>COUNTIFS($A$7:$A$1446,A155)</x:f>
        <x:v>1</x:v>
      </x:c>
    </x:row>
    <x:row r="156">
      <x:c r="A156" s="9" t="str">
        <x:v>EV-AR-HC-A-C-TECH-4-B2-INT-G0-ST10</x:v>
      </x:c>
      <x:c r="B156" s="9" t="str">
        <x:v>EV-AR-HC-A-C-TECH-4-B2-INT-G0</x:v>
      </x:c>
      <x:c r="C156" s="9" t="str">
        <x:v>EOW-AR-HC-A-C-TECH-4-B2-INT-G0</x:v>
      </x:c>
      <x:c r="D156" s="9" t="str">
        <x:v>AR-HC-A-C-TECH-4-B2-INT-G0</x:v>
      </x:c>
      <x:c r="E156" s="9" t="str">
        <x:v>HC-A-C-TECH-4</x:v>
      </x:c>
      <x:c r="F156" s="9" t="str">
        <x:v>HC-A-C</x:v>
      </x:c>
      <x:c r="G156" s="9" t="str">
        <x:v>B2</x:v>
      </x:c>
      <x:c r="H156" s="9" t="str">
        <x:v>INT</x:v>
      </x:c>
      <x:c r="I156" s="9" t="n">
        <x:v>1</x:v>
      </x:c>
      <x:c r="J156" s="9" t="n">
        <x:v>3</x:v>
      </x:c>
      <x:c r="K156" s="9" t="str">
        <x:v>HC-A-C-N1</x:v>
      </x:c>
      <x:c r="L156" s="9" t="str">
        <x:v>ST10</x:v>
      </x:c>
      <x:c r="M156" s="17" t="str">
        <x:v>Window and common clock</x:v>
      </x:c>
      <x:c r="N156" s="17" t="str">
        <x:v>epoch, window and public time origin match the issued warrant</x:v>
      </x:c>
      <x:c r="O156" s="17" t="str">
        <x:v>Event clock authority</x:v>
      </x:c>
      <x:c r="P156" s="9" t="n">
        <x:v>0</x:v>
      </x:c>
      <x:c r="Q156" s="9" t="n">
        <x:v>0</x:v>
      </x:c>
      <x:c r="R156" s="9" t="str">
        <x:v>OPEN / UNSTARTED</x:v>
      </x:c>
      <x:c r="S156" s="9" t="n">
        <x:f>COUNTIFS($A$7:$A$1446,A156)</x:f>
        <x:v>1</x:v>
      </x:c>
    </x:row>
    <x:row r="157">
      <x:c r="A157" s="9" t="str">
        <x:v>EV-AR-LF-B-A-TECH-3-B2-INT-G0-ST01</x:v>
      </x:c>
      <x:c r="B157" s="9" t="str">
        <x:v>EV-AR-LF-B-A-TECH-3-B2-INT-G0</x:v>
      </x:c>
      <x:c r="C157" s="9" t="str">
        <x:v>EOW-AR-LF-B-A-TECH-3-B2-INT-G0</x:v>
      </x:c>
      <x:c r="D157" s="9" t="str">
        <x:v>AR-LF-B-A-TECH-3-B2-INT-G0</x:v>
      </x:c>
      <x:c r="E157" s="9" t="str">
        <x:v>LF-B-A-TECH-3</x:v>
      </x:c>
      <x:c r="F157" s="9" t="str">
        <x:v>LF-B-A</x:v>
      </x:c>
      <x:c r="G157" s="9" t="str">
        <x:v>B2</x:v>
      </x:c>
      <x:c r="H157" s="9" t="str">
        <x:v>INT</x:v>
      </x:c>
      <x:c r="I157" s="9" t="n">
        <x:v>1</x:v>
      </x:c>
      <x:c r="J157" s="9" t="n">
        <x:v>3</x:v>
      </x:c>
      <x:c r="K157" s="9" t="str">
        <x:v>LF-B-A-N1</x:v>
      </x:c>
      <x:c r="L157" s="9" t="str">
        <x:v>ST01</x:v>
      </x:c>
      <x:c r="M157" s="17" t="str">
        <x:v>Active opportunity warrant</x:v>
      </x:c>
      <x:c r="N157" s="17" t="str">
        <x:v>configuration-bound EOW is within its thirty-six-hour validity</x:v>
      </x:c>
      <x:c r="O157" s="17" t="str">
        <x:v>Start registrar</x:v>
      </x:c>
      <x:c r="P157" s="9" t="n">
        <x:v>0</x:v>
      </x:c>
      <x:c r="Q157" s="9" t="n">
        <x:v>0</x:v>
      </x:c>
      <x:c r="R157" s="9" t="str">
        <x:v>OPEN / UNSTARTED</x:v>
      </x:c>
      <x:c r="S157" s="9" t="n">
        <x:f>COUNTIFS($A$7:$A$1446,A157)</x:f>
        <x:v>1</x:v>
      </x:c>
    </x:row>
    <x:row r="158">
      <x:c r="A158" s="9" t="str">
        <x:v>EV-AR-LF-B-A-TECH-3-B2-INT-G0-ST02</x:v>
      </x:c>
      <x:c r="B158" s="9" t="str">
        <x:v>EV-AR-LF-B-A-TECH-3-B2-INT-G0</x:v>
      </x:c>
      <x:c r="C158" s="9" t="str">
        <x:v>EOW-AR-LF-B-A-TECH-3-B2-INT-G0</x:v>
      </x:c>
      <x:c r="D158" s="9" t="str">
        <x:v>AR-LF-B-A-TECH-3-B2-INT-G0</x:v>
      </x:c>
      <x:c r="E158" s="9" t="str">
        <x:v>LF-B-A-TECH-3</x:v>
      </x:c>
      <x:c r="F158" s="9" t="str">
        <x:v>LF-B-A</x:v>
      </x:c>
      <x:c r="G158" s="9" t="str">
        <x:v>B2</x:v>
      </x:c>
      <x:c r="H158" s="9" t="str">
        <x:v>INT</x:v>
      </x:c>
      <x:c r="I158" s="9" t="n">
        <x:v>1</x:v>
      </x:c>
      <x:c r="J158" s="9" t="n">
        <x:v>3</x:v>
      </x:c>
      <x:c r="K158" s="9" t="str">
        <x:v>LF-B-A-N1</x:v>
      </x:c>
      <x:c r="L158" s="9" t="str">
        <x:v>ST02</x:v>
      </x:c>
      <x:c r="M158" s="17" t="str">
        <x:v>Frozen identity</x:v>
      </x:c>
      <x:c r="N158" s="17" t="str">
        <x:v>serial, generation, fixture, site, receiver and digest match the warrant</x:v>
      </x:c>
      <x:c r="O158" s="17" t="str">
        <x:v>Custody authority</x:v>
      </x:c>
      <x:c r="P158" s="9" t="n">
        <x:v>0</x:v>
      </x:c>
      <x:c r="Q158" s="9" t="n">
        <x:v>0</x:v>
      </x:c>
      <x:c r="R158" s="9" t="str">
        <x:v>OPEN / UNSTARTED</x:v>
      </x:c>
      <x:c r="S158" s="9" t="n">
        <x:f>COUNTIFS($A$7:$A$1446,A158)</x:f>
        <x:v>1</x:v>
      </x:c>
    </x:row>
    <x:row r="159">
      <x:c r="A159" s="9" t="str">
        <x:v>EV-AR-LF-B-A-TECH-3-B2-INT-G0-ST03</x:v>
      </x:c>
      <x:c r="B159" s="9" t="str">
        <x:v>EV-AR-LF-B-A-TECH-3-B2-INT-G0</x:v>
      </x:c>
      <x:c r="C159" s="9" t="str">
        <x:v>EOW-AR-LF-B-A-TECH-3-B2-INT-G0</x:v>
      </x:c>
      <x:c r="D159" s="9" t="str">
        <x:v>AR-LF-B-A-TECH-3-B2-INT-G0</x:v>
      </x:c>
      <x:c r="E159" s="9" t="str">
        <x:v>LF-B-A-TECH-3</x:v>
      </x:c>
      <x:c r="F159" s="9" t="str">
        <x:v>LF-B-A</x:v>
      </x:c>
      <x:c r="G159" s="9" t="str">
        <x:v>B2</x:v>
      </x:c>
      <x:c r="H159" s="9" t="str">
        <x:v>INT</x:v>
      </x:c>
      <x:c r="I159" s="9" t="n">
        <x:v>1</x:v>
      </x:c>
      <x:c r="J159" s="9" t="n">
        <x:v>3</x:v>
      </x:c>
      <x:c r="K159" s="9" t="str">
        <x:v>LF-B-A-N1</x:v>
      </x:c>
      <x:c r="L159" s="9" t="str">
        <x:v>ST03</x:v>
      </x:c>
      <x:c r="M159" s="17" t="str">
        <x:v>Receiver receipt</x:v>
      </x:c>
      <x:c r="N159" s="17" t="str">
        <x:v>denominator, counterfactual, rights and stop receipt remain unchanged</x:v>
      </x:c>
      <x:c r="O159" s="17" t="str">
        <x:v>Receiver authority</x:v>
      </x:c>
      <x:c r="P159" s="9" t="n">
        <x:v>0</x:v>
      </x:c>
      <x:c r="Q159" s="9" t="n">
        <x:v>0</x:v>
      </x:c>
      <x:c r="R159" s="9" t="str">
        <x:v>OPEN / UNSTARTED</x:v>
      </x:c>
      <x:c r="S159" s="9" t="n">
        <x:f>COUNTIFS($A$7:$A$1446,A159)</x:f>
        <x:v>1</x:v>
      </x:c>
    </x:row>
    <x:row r="160">
      <x:c r="A160" s="9" t="str">
        <x:v>EV-AR-LF-B-A-TECH-3-B2-INT-G0-ST04</x:v>
      </x:c>
      <x:c r="B160" s="9" t="str">
        <x:v>EV-AR-LF-B-A-TECH-3-B2-INT-G0</x:v>
      </x:c>
      <x:c r="C160" s="9" t="str">
        <x:v>EOW-AR-LF-B-A-TECH-3-B2-INT-G0</x:v>
      </x:c>
      <x:c r="D160" s="9" t="str">
        <x:v>AR-LF-B-A-TECH-3-B2-INT-G0</x:v>
      </x:c>
      <x:c r="E160" s="9" t="str">
        <x:v>LF-B-A-TECH-3</x:v>
      </x:c>
      <x:c r="F160" s="9" t="str">
        <x:v>LF-B-A</x:v>
      </x:c>
      <x:c r="G160" s="9" t="str">
        <x:v>B2</x:v>
      </x:c>
      <x:c r="H160" s="9" t="str">
        <x:v>INT</x:v>
      </x:c>
      <x:c r="I160" s="9" t="n">
        <x:v>1</x:v>
      </x:c>
      <x:c r="J160" s="9" t="n">
        <x:v>3</x:v>
      </x:c>
      <x:c r="K160" s="9" t="str">
        <x:v>LF-B-A-N1</x:v>
      </x:c>
      <x:c r="L160" s="9" t="str">
        <x:v>ST04</x:v>
      </x:c>
      <x:c r="M160" s="17" t="str">
        <x:v>Primary capture armed</x:v>
      </x:c>
      <x:c r="N160" s="17" t="str">
        <x:v>primary chain records sealed reference and live time</x:v>
      </x:c>
      <x:c r="O160" s="17" t="str">
        <x:v>Primary metrology</x:v>
      </x:c>
      <x:c r="P160" s="9" t="n">
        <x:v>0</x:v>
      </x:c>
      <x:c r="Q160" s="9" t="n">
        <x:v>0</x:v>
      </x:c>
      <x:c r="R160" s="9" t="str">
        <x:v>OPEN / UNSTARTED</x:v>
      </x:c>
      <x:c r="S160" s="9" t="n">
        <x:f>COUNTIFS($A$7:$A$1446,A160)</x:f>
        <x:v>1</x:v>
      </x:c>
    </x:row>
    <x:row r="161">
      <x:c r="A161" s="9" t="str">
        <x:v>EV-AR-LF-B-A-TECH-3-B2-INT-G0-ST05</x:v>
      </x:c>
      <x:c r="B161" s="9" t="str">
        <x:v>EV-AR-LF-B-A-TECH-3-B2-INT-G0</x:v>
      </x:c>
      <x:c r="C161" s="9" t="str">
        <x:v>EOW-AR-LF-B-A-TECH-3-B2-INT-G0</x:v>
      </x:c>
      <x:c r="D161" s="9" t="str">
        <x:v>AR-LF-B-A-TECH-3-B2-INT-G0</x:v>
      </x:c>
      <x:c r="E161" s="9" t="str">
        <x:v>LF-B-A-TECH-3</x:v>
      </x:c>
      <x:c r="F161" s="9" t="str">
        <x:v>LF-B-A</x:v>
      </x:c>
      <x:c r="G161" s="9" t="str">
        <x:v>B2</x:v>
      </x:c>
      <x:c r="H161" s="9" t="str">
        <x:v>INT</x:v>
      </x:c>
      <x:c r="I161" s="9" t="n">
        <x:v>1</x:v>
      </x:c>
      <x:c r="J161" s="9" t="n">
        <x:v>3</x:v>
      </x:c>
      <x:c r="K161" s="9" t="str">
        <x:v>LF-B-A-N1</x:v>
      </x:c>
      <x:c r="L161" s="9" t="str">
        <x:v>ST05</x:v>
      </x:c>
      <x:c r="M161" s="17" t="str">
        <x:v>Witness capture armed</x:v>
      </x:c>
      <x:c r="N161" s="17" t="str">
        <x:v>unlike witness records independent reference and live time</x:v>
      </x:c>
      <x:c r="O161" s="17" t="str">
        <x:v>Witness metrology</x:v>
      </x:c>
      <x:c r="P161" s="9" t="n">
        <x:v>0</x:v>
      </x:c>
      <x:c r="Q161" s="9" t="n">
        <x:v>0</x:v>
      </x:c>
      <x:c r="R161" s="9" t="str">
        <x:v>OPEN / UNSTARTED</x:v>
      </x:c>
      <x:c r="S161" s="9" t="n">
        <x:f>COUNTIFS($A$7:$A$1446,A161)</x:f>
        <x:v>1</x:v>
      </x:c>
    </x:row>
    <x:row r="162">
      <x:c r="A162" s="9" t="str">
        <x:v>EV-AR-LF-B-A-TECH-3-B2-INT-G0-ST06</x:v>
      </x:c>
      <x:c r="B162" s="9" t="str">
        <x:v>EV-AR-LF-B-A-TECH-3-B2-INT-G0</x:v>
      </x:c>
      <x:c r="C162" s="9" t="str">
        <x:v>EOW-AR-LF-B-A-TECH-3-B2-INT-G0</x:v>
      </x:c>
      <x:c r="D162" s="9" t="str">
        <x:v>AR-LF-B-A-TECH-3-B2-INT-G0</x:v>
      </x:c>
      <x:c r="E162" s="9" t="str">
        <x:v>LF-B-A-TECH-3</x:v>
      </x:c>
      <x:c r="F162" s="9" t="str">
        <x:v>LF-B-A</x:v>
      </x:c>
      <x:c r="G162" s="9" t="str">
        <x:v>B2</x:v>
      </x:c>
      <x:c r="H162" s="9" t="str">
        <x:v>INT</x:v>
      </x:c>
      <x:c r="I162" s="9" t="n">
        <x:v>1</x:v>
      </x:c>
      <x:c r="J162" s="9" t="n">
        <x:v>3</x:v>
      </x:c>
      <x:c r="K162" s="9" t="str">
        <x:v>LF-B-A-N1</x:v>
      </x:c>
      <x:c r="L162" s="9" t="str">
        <x:v>ST06</x:v>
      </x:c>
      <x:c r="M162" s="17" t="str">
        <x:v>Public custody armed</x:v>
      </x:c>
      <x:c r="N162" s="17" t="str">
        <x:v>eight raw origins have separated hash and replica routes</x:v>
      </x:c>
      <x:c r="O162" s="17" t="str">
        <x:v>Custody authority</x:v>
      </x:c>
      <x:c r="P162" s="9" t="n">
        <x:v>0</x:v>
      </x:c>
      <x:c r="Q162" s="9" t="n">
        <x:v>0</x:v>
      </x:c>
      <x:c r="R162" s="9" t="str">
        <x:v>OPEN / UNSTARTED</x:v>
      </x:c>
      <x:c r="S162" s="9" t="n">
        <x:f>COUNTIFS($A$7:$A$1446,A162)</x:f>
        <x:v>1</x:v>
      </x:c>
    </x:row>
    <x:row r="163">
      <x:c r="A163" s="9" t="str">
        <x:v>EV-AR-LF-B-A-TECH-3-B2-INT-G0-ST07</x:v>
      </x:c>
      <x:c r="B163" s="9" t="str">
        <x:v>EV-AR-LF-B-A-TECH-3-B2-INT-G0</x:v>
      </x:c>
      <x:c r="C163" s="9" t="str">
        <x:v>EOW-AR-LF-B-A-TECH-3-B2-INT-G0</x:v>
      </x:c>
      <x:c r="D163" s="9" t="str">
        <x:v>AR-LF-B-A-TECH-3-B2-INT-G0</x:v>
      </x:c>
      <x:c r="E163" s="9" t="str">
        <x:v>LF-B-A-TECH-3</x:v>
      </x:c>
      <x:c r="F163" s="9" t="str">
        <x:v>LF-B-A</x:v>
      </x:c>
      <x:c r="G163" s="9" t="str">
        <x:v>B2</x:v>
      </x:c>
      <x:c r="H163" s="9" t="str">
        <x:v>INT</x:v>
      </x:c>
      <x:c r="I163" s="9" t="n">
        <x:v>1</x:v>
      </x:c>
      <x:c r="J163" s="9" t="n">
        <x:v>3</x:v>
      </x:c>
      <x:c r="K163" s="9" t="str">
        <x:v>LF-B-A-N1</x:v>
      </x:c>
      <x:c r="L163" s="9" t="str">
        <x:v>ST07</x:v>
      </x:c>
      <x:c r="M163" s="17" t="str">
        <x:v>Environmental baseline</x:v>
      </x:c>
      <x:c r="N163" s="17" t="str">
        <x:v>pre-event boundary state is sealed before decisive operation</x:v>
      </x:c>
      <x:c r="O163" s="17" t="str">
        <x:v>Site metrology</x:v>
      </x:c>
      <x:c r="P163" s="9" t="n">
        <x:v>0</x:v>
      </x:c>
      <x:c r="Q163" s="9" t="n">
        <x:v>0</x:v>
      </x:c>
      <x:c r="R163" s="9" t="str">
        <x:v>OPEN / UNSTARTED</x:v>
      </x:c>
      <x:c r="S163" s="9" t="n">
        <x:f>COUNTIFS($A$7:$A$1446,A163)</x:f>
        <x:v>1</x:v>
      </x:c>
    </x:row>
    <x:row r="164">
      <x:c r="A164" s="9" t="str">
        <x:v>EV-AR-LF-B-A-TECH-3-B2-INT-G0-ST08</x:v>
      </x:c>
      <x:c r="B164" s="9" t="str">
        <x:v>EV-AR-LF-B-A-TECH-3-B2-INT-G0</x:v>
      </x:c>
      <x:c r="C164" s="9" t="str">
        <x:v>EOW-AR-LF-B-A-TECH-3-B2-INT-G0</x:v>
      </x:c>
      <x:c r="D164" s="9" t="str">
        <x:v>AR-LF-B-A-TECH-3-B2-INT-G0</x:v>
      </x:c>
      <x:c r="E164" s="9" t="str">
        <x:v>LF-B-A-TECH-3</x:v>
      </x:c>
      <x:c r="F164" s="9" t="str">
        <x:v>LF-B-A</x:v>
      </x:c>
      <x:c r="G164" s="9" t="str">
        <x:v>B2</x:v>
      </x:c>
      <x:c r="H164" s="9" t="str">
        <x:v>INT</x:v>
      </x:c>
      <x:c r="I164" s="9" t="n">
        <x:v>1</x:v>
      </x:c>
      <x:c r="J164" s="9" t="n">
        <x:v>3</x:v>
      </x:c>
      <x:c r="K164" s="9" t="str">
        <x:v>LF-B-A-N1</x:v>
      </x:c>
      <x:c r="L164" s="9" t="str">
        <x:v>ST08</x:v>
      </x:c>
      <x:c r="M164" s="17" t="str">
        <x:v>Manual stop and safety</x:v>
      </x:c>
      <x:c r="N164" s="17" t="str">
        <x:v>local stop, evacuation and protection routes are active</x:v>
      </x:c>
      <x:c r="O164" s="17" t="str">
        <x:v>Safety authority</x:v>
      </x:c>
      <x:c r="P164" s="9" t="n">
        <x:v>0</x:v>
      </x:c>
      <x:c r="Q164" s="9" t="n">
        <x:v>0</x:v>
      </x:c>
      <x:c r="R164" s="9" t="str">
        <x:v>OPEN / UNSTARTED</x:v>
      </x:c>
      <x:c r="S164" s="9" t="n">
        <x:f>COUNTIFS($A$7:$A$1446,A164)</x:f>
        <x:v>1</x:v>
      </x:c>
    </x:row>
    <x:row r="165">
      <x:c r="A165" s="9" t="str">
        <x:v>EV-AR-LF-B-A-TECH-3-B2-INT-G0-ST09</x:v>
      </x:c>
      <x:c r="B165" s="9" t="str">
        <x:v>EV-AR-LF-B-A-TECH-3-B2-INT-G0</x:v>
      </x:c>
      <x:c r="C165" s="9" t="str">
        <x:v>EOW-AR-LF-B-A-TECH-3-B2-INT-G0</x:v>
      </x:c>
      <x:c r="D165" s="9" t="str">
        <x:v>AR-LF-B-A-TECH-3-B2-INT-G0</x:v>
      </x:c>
      <x:c r="E165" s="9" t="str">
        <x:v>LF-B-A-TECH-3</x:v>
      </x:c>
      <x:c r="F165" s="9" t="str">
        <x:v>LF-B-A</x:v>
      </x:c>
      <x:c r="G165" s="9" t="str">
        <x:v>B2</x:v>
      </x:c>
      <x:c r="H165" s="9" t="str">
        <x:v>INT</x:v>
      </x:c>
      <x:c r="I165" s="9" t="n">
        <x:v>1</x:v>
      </x:c>
      <x:c r="J165" s="9" t="n">
        <x:v>3</x:v>
      </x:c>
      <x:c r="K165" s="9" t="str">
        <x:v>LF-B-A-N1</x:v>
      </x:c>
      <x:c r="L165" s="9" t="str">
        <x:v>ST09</x:v>
      </x:c>
      <x:c r="M165" s="17" t="str">
        <x:v>Operator conflict clear</x:v>
      </x:c>
      <x:c r="N165" s="17" t="str">
        <x:v>candidate, fixture, safety and measurement control edges remain separated</x:v>
      </x:c>
      <x:c r="O165" s="17" t="str">
        <x:v>Conflict registrar</x:v>
      </x:c>
      <x:c r="P165" s="9" t="n">
        <x:v>0</x:v>
      </x:c>
      <x:c r="Q165" s="9" t="n">
        <x:v>0</x:v>
      </x:c>
      <x:c r="R165" s="9" t="str">
        <x:v>OPEN / UNSTARTED</x:v>
      </x:c>
      <x:c r="S165" s="9" t="n">
        <x:f>COUNTIFS($A$7:$A$1446,A165)</x:f>
        <x:v>1</x:v>
      </x:c>
    </x:row>
    <x:row r="166">
      <x:c r="A166" s="9" t="str">
        <x:v>EV-AR-LF-B-A-TECH-3-B2-INT-G0-ST10</x:v>
      </x:c>
      <x:c r="B166" s="9" t="str">
        <x:v>EV-AR-LF-B-A-TECH-3-B2-INT-G0</x:v>
      </x:c>
      <x:c r="C166" s="9" t="str">
        <x:v>EOW-AR-LF-B-A-TECH-3-B2-INT-G0</x:v>
      </x:c>
      <x:c r="D166" s="9" t="str">
        <x:v>AR-LF-B-A-TECH-3-B2-INT-G0</x:v>
      </x:c>
      <x:c r="E166" s="9" t="str">
        <x:v>LF-B-A-TECH-3</x:v>
      </x:c>
      <x:c r="F166" s="9" t="str">
        <x:v>LF-B-A</x:v>
      </x:c>
      <x:c r="G166" s="9" t="str">
        <x:v>B2</x:v>
      </x:c>
      <x:c r="H166" s="9" t="str">
        <x:v>INT</x:v>
      </x:c>
      <x:c r="I166" s="9" t="n">
        <x:v>1</x:v>
      </x:c>
      <x:c r="J166" s="9" t="n">
        <x:v>3</x:v>
      </x:c>
      <x:c r="K166" s="9" t="str">
        <x:v>LF-B-A-N1</x:v>
      </x:c>
      <x:c r="L166" s="9" t="str">
        <x:v>ST10</x:v>
      </x:c>
      <x:c r="M166" s="17" t="str">
        <x:v>Window and common clock</x:v>
      </x:c>
      <x:c r="N166" s="17" t="str">
        <x:v>epoch, window and public time origin match the issued warrant</x:v>
      </x:c>
      <x:c r="O166" s="17" t="str">
        <x:v>Event clock authority</x:v>
      </x:c>
      <x:c r="P166" s="9" t="n">
        <x:v>0</x:v>
      </x:c>
      <x:c r="Q166" s="9" t="n">
        <x:v>0</x:v>
      </x:c>
      <x:c r="R166" s="9" t="str">
        <x:v>OPEN / UNSTARTED</x:v>
      </x:c>
      <x:c r="S166" s="9" t="n">
        <x:f>COUNTIFS($A$7:$A$1446,A166)</x:f>
        <x:v>1</x:v>
      </x:c>
    </x:row>
    <x:row r="167">
      <x:c r="A167" s="9" t="str">
        <x:v>EV-AR-RT-B-C-TECH-3-B2-RCN-G0-ST01</x:v>
      </x:c>
      <x:c r="B167" s="9" t="str">
        <x:v>EV-AR-RT-B-C-TECH-3-B2-RCN-G0</x:v>
      </x:c>
      <x:c r="C167" s="9" t="str">
        <x:v>EOW-AR-RT-B-C-TECH-3-B2-RCN-G0</x:v>
      </x:c>
      <x:c r="D167" s="9" t="str">
        <x:v>AR-RT-B-C-TECH-3-B2-RCN-G0</x:v>
      </x:c>
      <x:c r="E167" s="9" t="str">
        <x:v>RT-B-C-TECH-3</x:v>
      </x:c>
      <x:c r="F167" s="9" t="str">
        <x:v>RT-B-C</x:v>
      </x:c>
      <x:c r="G167" s="9" t="str">
        <x:v>B2</x:v>
      </x:c>
      <x:c r="H167" s="9" t="str">
        <x:v>RCN</x:v>
      </x:c>
      <x:c r="I167" s="9" t="n">
        <x:v>1</x:v>
      </x:c>
      <x:c r="J167" s="9" t="n">
        <x:v>3</x:v>
      </x:c>
      <x:c r="K167" s="9" t="str">
        <x:v>RT-B-C-N1</x:v>
      </x:c>
      <x:c r="L167" s="9" t="str">
        <x:v>ST01</x:v>
      </x:c>
      <x:c r="M167" s="17" t="str">
        <x:v>Active opportunity warrant</x:v>
      </x:c>
      <x:c r="N167" s="17" t="str">
        <x:v>configuration-bound EOW is within its thirty-six-hour validity</x:v>
      </x:c>
      <x:c r="O167" s="17" t="str">
        <x:v>Start registrar</x:v>
      </x:c>
      <x:c r="P167" s="9" t="n">
        <x:v>0</x:v>
      </x:c>
      <x:c r="Q167" s="9" t="n">
        <x:v>0</x:v>
      </x:c>
      <x:c r="R167" s="9" t="str">
        <x:v>OPEN / UNSTARTED</x:v>
      </x:c>
      <x:c r="S167" s="9" t="n">
        <x:f>COUNTIFS($A$7:$A$1446,A167)</x:f>
        <x:v>1</x:v>
      </x:c>
    </x:row>
    <x:row r="168">
      <x:c r="A168" s="9" t="str">
        <x:v>EV-AR-RT-B-C-TECH-3-B2-RCN-G0-ST02</x:v>
      </x:c>
      <x:c r="B168" s="9" t="str">
        <x:v>EV-AR-RT-B-C-TECH-3-B2-RCN-G0</x:v>
      </x:c>
      <x:c r="C168" s="9" t="str">
        <x:v>EOW-AR-RT-B-C-TECH-3-B2-RCN-G0</x:v>
      </x:c>
      <x:c r="D168" s="9" t="str">
        <x:v>AR-RT-B-C-TECH-3-B2-RCN-G0</x:v>
      </x:c>
      <x:c r="E168" s="9" t="str">
        <x:v>RT-B-C-TECH-3</x:v>
      </x:c>
      <x:c r="F168" s="9" t="str">
        <x:v>RT-B-C</x:v>
      </x:c>
      <x:c r="G168" s="9" t="str">
        <x:v>B2</x:v>
      </x:c>
      <x:c r="H168" s="9" t="str">
        <x:v>RCN</x:v>
      </x:c>
      <x:c r="I168" s="9" t="n">
        <x:v>1</x:v>
      </x:c>
      <x:c r="J168" s="9" t="n">
        <x:v>3</x:v>
      </x:c>
      <x:c r="K168" s="9" t="str">
        <x:v>RT-B-C-N1</x:v>
      </x:c>
      <x:c r="L168" s="9" t="str">
        <x:v>ST02</x:v>
      </x:c>
      <x:c r="M168" s="17" t="str">
        <x:v>Frozen identity</x:v>
      </x:c>
      <x:c r="N168" s="17" t="str">
        <x:v>serial, generation, fixture, site, receiver and digest match the warrant</x:v>
      </x:c>
      <x:c r="O168" s="17" t="str">
        <x:v>Custody authority</x:v>
      </x:c>
      <x:c r="P168" s="9" t="n">
        <x:v>0</x:v>
      </x:c>
      <x:c r="Q168" s="9" t="n">
        <x:v>0</x:v>
      </x:c>
      <x:c r="R168" s="9" t="str">
        <x:v>OPEN / UNSTARTED</x:v>
      </x:c>
      <x:c r="S168" s="9" t="n">
        <x:f>COUNTIFS($A$7:$A$1446,A168)</x:f>
        <x:v>1</x:v>
      </x:c>
    </x:row>
    <x:row r="169">
      <x:c r="A169" s="9" t="str">
        <x:v>EV-AR-RT-B-C-TECH-3-B2-RCN-G0-ST03</x:v>
      </x:c>
      <x:c r="B169" s="9" t="str">
        <x:v>EV-AR-RT-B-C-TECH-3-B2-RCN-G0</x:v>
      </x:c>
      <x:c r="C169" s="9" t="str">
        <x:v>EOW-AR-RT-B-C-TECH-3-B2-RCN-G0</x:v>
      </x:c>
      <x:c r="D169" s="9" t="str">
        <x:v>AR-RT-B-C-TECH-3-B2-RCN-G0</x:v>
      </x:c>
      <x:c r="E169" s="9" t="str">
        <x:v>RT-B-C-TECH-3</x:v>
      </x:c>
      <x:c r="F169" s="9" t="str">
        <x:v>RT-B-C</x:v>
      </x:c>
      <x:c r="G169" s="9" t="str">
        <x:v>B2</x:v>
      </x:c>
      <x:c r="H169" s="9" t="str">
        <x:v>RCN</x:v>
      </x:c>
      <x:c r="I169" s="9" t="n">
        <x:v>1</x:v>
      </x:c>
      <x:c r="J169" s="9" t="n">
        <x:v>3</x:v>
      </x:c>
      <x:c r="K169" s="9" t="str">
        <x:v>RT-B-C-N1</x:v>
      </x:c>
      <x:c r="L169" s="9" t="str">
        <x:v>ST03</x:v>
      </x:c>
      <x:c r="M169" s="17" t="str">
        <x:v>Receiver receipt</x:v>
      </x:c>
      <x:c r="N169" s="17" t="str">
        <x:v>denominator, counterfactual, rights and stop receipt remain unchanged</x:v>
      </x:c>
      <x:c r="O169" s="17" t="str">
        <x:v>Receiver authority</x:v>
      </x:c>
      <x:c r="P169" s="9" t="n">
        <x:v>0</x:v>
      </x:c>
      <x:c r="Q169" s="9" t="n">
        <x:v>0</x:v>
      </x:c>
      <x:c r="R169" s="9" t="str">
        <x:v>OPEN / UNSTARTED</x:v>
      </x:c>
      <x:c r="S169" s="9" t="n">
        <x:f>COUNTIFS($A$7:$A$1446,A169)</x:f>
        <x:v>1</x:v>
      </x:c>
    </x:row>
    <x:row r="170">
      <x:c r="A170" s="9" t="str">
        <x:v>EV-AR-RT-B-C-TECH-3-B2-RCN-G0-ST04</x:v>
      </x:c>
      <x:c r="B170" s="9" t="str">
        <x:v>EV-AR-RT-B-C-TECH-3-B2-RCN-G0</x:v>
      </x:c>
      <x:c r="C170" s="9" t="str">
        <x:v>EOW-AR-RT-B-C-TECH-3-B2-RCN-G0</x:v>
      </x:c>
      <x:c r="D170" s="9" t="str">
        <x:v>AR-RT-B-C-TECH-3-B2-RCN-G0</x:v>
      </x:c>
      <x:c r="E170" s="9" t="str">
        <x:v>RT-B-C-TECH-3</x:v>
      </x:c>
      <x:c r="F170" s="9" t="str">
        <x:v>RT-B-C</x:v>
      </x:c>
      <x:c r="G170" s="9" t="str">
        <x:v>B2</x:v>
      </x:c>
      <x:c r="H170" s="9" t="str">
        <x:v>RCN</x:v>
      </x:c>
      <x:c r="I170" s="9" t="n">
        <x:v>1</x:v>
      </x:c>
      <x:c r="J170" s="9" t="n">
        <x:v>3</x:v>
      </x:c>
      <x:c r="K170" s="9" t="str">
        <x:v>RT-B-C-N1</x:v>
      </x:c>
      <x:c r="L170" s="9" t="str">
        <x:v>ST04</x:v>
      </x:c>
      <x:c r="M170" s="17" t="str">
        <x:v>Primary capture armed</x:v>
      </x:c>
      <x:c r="N170" s="17" t="str">
        <x:v>primary chain records sealed reference and live time</x:v>
      </x:c>
      <x:c r="O170" s="17" t="str">
        <x:v>Primary metrology</x:v>
      </x:c>
      <x:c r="P170" s="9" t="n">
        <x:v>0</x:v>
      </x:c>
      <x:c r="Q170" s="9" t="n">
        <x:v>0</x:v>
      </x:c>
      <x:c r="R170" s="9" t="str">
        <x:v>OPEN / UNSTARTED</x:v>
      </x:c>
      <x:c r="S170" s="9" t="n">
        <x:f>COUNTIFS($A$7:$A$1446,A170)</x:f>
        <x:v>1</x:v>
      </x:c>
    </x:row>
    <x:row r="171">
      <x:c r="A171" s="9" t="str">
        <x:v>EV-AR-RT-B-C-TECH-3-B2-RCN-G0-ST05</x:v>
      </x:c>
      <x:c r="B171" s="9" t="str">
        <x:v>EV-AR-RT-B-C-TECH-3-B2-RCN-G0</x:v>
      </x:c>
      <x:c r="C171" s="9" t="str">
        <x:v>EOW-AR-RT-B-C-TECH-3-B2-RCN-G0</x:v>
      </x:c>
      <x:c r="D171" s="9" t="str">
        <x:v>AR-RT-B-C-TECH-3-B2-RCN-G0</x:v>
      </x:c>
      <x:c r="E171" s="9" t="str">
        <x:v>RT-B-C-TECH-3</x:v>
      </x:c>
      <x:c r="F171" s="9" t="str">
        <x:v>RT-B-C</x:v>
      </x:c>
      <x:c r="G171" s="9" t="str">
        <x:v>B2</x:v>
      </x:c>
      <x:c r="H171" s="9" t="str">
        <x:v>RCN</x:v>
      </x:c>
      <x:c r="I171" s="9" t="n">
        <x:v>1</x:v>
      </x:c>
      <x:c r="J171" s="9" t="n">
        <x:v>3</x:v>
      </x:c>
      <x:c r="K171" s="9" t="str">
        <x:v>RT-B-C-N1</x:v>
      </x:c>
      <x:c r="L171" s="9" t="str">
        <x:v>ST05</x:v>
      </x:c>
      <x:c r="M171" s="17" t="str">
        <x:v>Witness capture armed</x:v>
      </x:c>
      <x:c r="N171" s="17" t="str">
        <x:v>unlike witness records independent reference and live time</x:v>
      </x:c>
      <x:c r="O171" s="17" t="str">
        <x:v>Witness metrology</x:v>
      </x:c>
      <x:c r="P171" s="9" t="n">
        <x:v>0</x:v>
      </x:c>
      <x:c r="Q171" s="9" t="n">
        <x:v>0</x:v>
      </x:c>
      <x:c r="R171" s="9" t="str">
        <x:v>OPEN / UNSTARTED</x:v>
      </x:c>
      <x:c r="S171" s="9" t="n">
        <x:f>COUNTIFS($A$7:$A$1446,A171)</x:f>
        <x:v>1</x:v>
      </x:c>
    </x:row>
    <x:row r="172">
      <x:c r="A172" s="9" t="str">
        <x:v>EV-AR-RT-B-C-TECH-3-B2-RCN-G0-ST06</x:v>
      </x:c>
      <x:c r="B172" s="9" t="str">
        <x:v>EV-AR-RT-B-C-TECH-3-B2-RCN-G0</x:v>
      </x:c>
      <x:c r="C172" s="9" t="str">
        <x:v>EOW-AR-RT-B-C-TECH-3-B2-RCN-G0</x:v>
      </x:c>
      <x:c r="D172" s="9" t="str">
        <x:v>AR-RT-B-C-TECH-3-B2-RCN-G0</x:v>
      </x:c>
      <x:c r="E172" s="9" t="str">
        <x:v>RT-B-C-TECH-3</x:v>
      </x:c>
      <x:c r="F172" s="9" t="str">
        <x:v>RT-B-C</x:v>
      </x:c>
      <x:c r="G172" s="9" t="str">
        <x:v>B2</x:v>
      </x:c>
      <x:c r="H172" s="9" t="str">
        <x:v>RCN</x:v>
      </x:c>
      <x:c r="I172" s="9" t="n">
        <x:v>1</x:v>
      </x:c>
      <x:c r="J172" s="9" t="n">
        <x:v>3</x:v>
      </x:c>
      <x:c r="K172" s="9" t="str">
        <x:v>RT-B-C-N1</x:v>
      </x:c>
      <x:c r="L172" s="9" t="str">
        <x:v>ST06</x:v>
      </x:c>
      <x:c r="M172" s="17" t="str">
        <x:v>Public custody armed</x:v>
      </x:c>
      <x:c r="N172" s="17" t="str">
        <x:v>eight raw origins have separated hash and replica routes</x:v>
      </x:c>
      <x:c r="O172" s="17" t="str">
        <x:v>Custody authority</x:v>
      </x:c>
      <x:c r="P172" s="9" t="n">
        <x:v>0</x:v>
      </x:c>
      <x:c r="Q172" s="9" t="n">
        <x:v>0</x:v>
      </x:c>
      <x:c r="R172" s="9" t="str">
        <x:v>OPEN / UNSTARTED</x:v>
      </x:c>
      <x:c r="S172" s="9" t="n">
        <x:f>COUNTIFS($A$7:$A$1446,A172)</x:f>
        <x:v>1</x:v>
      </x:c>
    </x:row>
    <x:row r="173">
      <x:c r="A173" s="9" t="str">
        <x:v>EV-AR-RT-B-C-TECH-3-B2-RCN-G0-ST07</x:v>
      </x:c>
      <x:c r="B173" s="9" t="str">
        <x:v>EV-AR-RT-B-C-TECH-3-B2-RCN-G0</x:v>
      </x:c>
      <x:c r="C173" s="9" t="str">
        <x:v>EOW-AR-RT-B-C-TECH-3-B2-RCN-G0</x:v>
      </x:c>
      <x:c r="D173" s="9" t="str">
        <x:v>AR-RT-B-C-TECH-3-B2-RCN-G0</x:v>
      </x:c>
      <x:c r="E173" s="9" t="str">
        <x:v>RT-B-C-TECH-3</x:v>
      </x:c>
      <x:c r="F173" s="9" t="str">
        <x:v>RT-B-C</x:v>
      </x:c>
      <x:c r="G173" s="9" t="str">
        <x:v>B2</x:v>
      </x:c>
      <x:c r="H173" s="9" t="str">
        <x:v>RCN</x:v>
      </x:c>
      <x:c r="I173" s="9" t="n">
        <x:v>1</x:v>
      </x:c>
      <x:c r="J173" s="9" t="n">
        <x:v>3</x:v>
      </x:c>
      <x:c r="K173" s="9" t="str">
        <x:v>RT-B-C-N1</x:v>
      </x:c>
      <x:c r="L173" s="9" t="str">
        <x:v>ST07</x:v>
      </x:c>
      <x:c r="M173" s="17" t="str">
        <x:v>Environmental baseline</x:v>
      </x:c>
      <x:c r="N173" s="17" t="str">
        <x:v>pre-event boundary state is sealed before decisive operation</x:v>
      </x:c>
      <x:c r="O173" s="17" t="str">
        <x:v>Site metrology</x:v>
      </x:c>
      <x:c r="P173" s="9" t="n">
        <x:v>0</x:v>
      </x:c>
      <x:c r="Q173" s="9" t="n">
        <x:v>0</x:v>
      </x:c>
      <x:c r="R173" s="9" t="str">
        <x:v>OPEN / UNSTARTED</x:v>
      </x:c>
      <x:c r="S173" s="9" t="n">
        <x:f>COUNTIFS($A$7:$A$1446,A173)</x:f>
        <x:v>1</x:v>
      </x:c>
    </x:row>
    <x:row r="174">
      <x:c r="A174" s="9" t="str">
        <x:v>EV-AR-RT-B-C-TECH-3-B2-RCN-G0-ST08</x:v>
      </x:c>
      <x:c r="B174" s="9" t="str">
        <x:v>EV-AR-RT-B-C-TECH-3-B2-RCN-G0</x:v>
      </x:c>
      <x:c r="C174" s="9" t="str">
        <x:v>EOW-AR-RT-B-C-TECH-3-B2-RCN-G0</x:v>
      </x:c>
      <x:c r="D174" s="9" t="str">
        <x:v>AR-RT-B-C-TECH-3-B2-RCN-G0</x:v>
      </x:c>
      <x:c r="E174" s="9" t="str">
        <x:v>RT-B-C-TECH-3</x:v>
      </x:c>
      <x:c r="F174" s="9" t="str">
        <x:v>RT-B-C</x:v>
      </x:c>
      <x:c r="G174" s="9" t="str">
        <x:v>B2</x:v>
      </x:c>
      <x:c r="H174" s="9" t="str">
        <x:v>RCN</x:v>
      </x:c>
      <x:c r="I174" s="9" t="n">
        <x:v>1</x:v>
      </x:c>
      <x:c r="J174" s="9" t="n">
        <x:v>3</x:v>
      </x:c>
      <x:c r="K174" s="9" t="str">
        <x:v>RT-B-C-N1</x:v>
      </x:c>
      <x:c r="L174" s="9" t="str">
        <x:v>ST08</x:v>
      </x:c>
      <x:c r="M174" s="17" t="str">
        <x:v>Manual stop and safety</x:v>
      </x:c>
      <x:c r="N174" s="17" t="str">
        <x:v>local stop, evacuation and protection routes are active</x:v>
      </x:c>
      <x:c r="O174" s="17" t="str">
        <x:v>Safety authority</x:v>
      </x:c>
      <x:c r="P174" s="9" t="n">
        <x:v>0</x:v>
      </x:c>
      <x:c r="Q174" s="9" t="n">
        <x:v>0</x:v>
      </x:c>
      <x:c r="R174" s="9" t="str">
        <x:v>OPEN / UNSTARTED</x:v>
      </x:c>
      <x:c r="S174" s="9" t="n">
        <x:f>COUNTIFS($A$7:$A$1446,A174)</x:f>
        <x:v>1</x:v>
      </x:c>
    </x:row>
    <x:row r="175">
      <x:c r="A175" s="9" t="str">
        <x:v>EV-AR-RT-B-C-TECH-3-B2-RCN-G0-ST09</x:v>
      </x:c>
      <x:c r="B175" s="9" t="str">
        <x:v>EV-AR-RT-B-C-TECH-3-B2-RCN-G0</x:v>
      </x:c>
      <x:c r="C175" s="9" t="str">
        <x:v>EOW-AR-RT-B-C-TECH-3-B2-RCN-G0</x:v>
      </x:c>
      <x:c r="D175" s="9" t="str">
        <x:v>AR-RT-B-C-TECH-3-B2-RCN-G0</x:v>
      </x:c>
      <x:c r="E175" s="9" t="str">
        <x:v>RT-B-C-TECH-3</x:v>
      </x:c>
      <x:c r="F175" s="9" t="str">
        <x:v>RT-B-C</x:v>
      </x:c>
      <x:c r="G175" s="9" t="str">
        <x:v>B2</x:v>
      </x:c>
      <x:c r="H175" s="9" t="str">
        <x:v>RCN</x:v>
      </x:c>
      <x:c r="I175" s="9" t="n">
        <x:v>1</x:v>
      </x:c>
      <x:c r="J175" s="9" t="n">
        <x:v>3</x:v>
      </x:c>
      <x:c r="K175" s="9" t="str">
        <x:v>RT-B-C-N1</x:v>
      </x:c>
      <x:c r="L175" s="9" t="str">
        <x:v>ST09</x:v>
      </x:c>
      <x:c r="M175" s="17" t="str">
        <x:v>Operator conflict clear</x:v>
      </x:c>
      <x:c r="N175" s="17" t="str">
        <x:v>candidate, fixture, safety and measurement control edges remain separated</x:v>
      </x:c>
      <x:c r="O175" s="17" t="str">
        <x:v>Conflict registrar</x:v>
      </x:c>
      <x:c r="P175" s="9" t="n">
        <x:v>0</x:v>
      </x:c>
      <x:c r="Q175" s="9" t="n">
        <x:v>0</x:v>
      </x:c>
      <x:c r="R175" s="9" t="str">
        <x:v>OPEN / UNSTARTED</x:v>
      </x:c>
      <x:c r="S175" s="9" t="n">
        <x:f>COUNTIFS($A$7:$A$1446,A175)</x:f>
        <x:v>1</x:v>
      </x:c>
    </x:row>
    <x:row r="176">
      <x:c r="A176" s="9" t="str">
        <x:v>EV-AR-RT-B-C-TECH-3-B2-RCN-G0-ST10</x:v>
      </x:c>
      <x:c r="B176" s="9" t="str">
        <x:v>EV-AR-RT-B-C-TECH-3-B2-RCN-G0</x:v>
      </x:c>
      <x:c r="C176" s="9" t="str">
        <x:v>EOW-AR-RT-B-C-TECH-3-B2-RCN-G0</x:v>
      </x:c>
      <x:c r="D176" s="9" t="str">
        <x:v>AR-RT-B-C-TECH-3-B2-RCN-G0</x:v>
      </x:c>
      <x:c r="E176" s="9" t="str">
        <x:v>RT-B-C-TECH-3</x:v>
      </x:c>
      <x:c r="F176" s="9" t="str">
        <x:v>RT-B-C</x:v>
      </x:c>
      <x:c r="G176" s="9" t="str">
        <x:v>B2</x:v>
      </x:c>
      <x:c r="H176" s="9" t="str">
        <x:v>RCN</x:v>
      </x:c>
      <x:c r="I176" s="9" t="n">
        <x:v>1</x:v>
      </x:c>
      <x:c r="J176" s="9" t="n">
        <x:v>3</x:v>
      </x:c>
      <x:c r="K176" s="9" t="str">
        <x:v>RT-B-C-N1</x:v>
      </x:c>
      <x:c r="L176" s="9" t="str">
        <x:v>ST10</x:v>
      </x:c>
      <x:c r="M176" s="17" t="str">
        <x:v>Window and common clock</x:v>
      </x:c>
      <x:c r="N176" s="17" t="str">
        <x:v>epoch, window and public time origin match the issued warrant</x:v>
      </x:c>
      <x:c r="O176" s="17" t="str">
        <x:v>Event clock authority</x:v>
      </x:c>
      <x:c r="P176" s="9" t="n">
        <x:v>0</x:v>
      </x:c>
      <x:c r="Q176" s="9" t="n">
        <x:v>0</x:v>
      </x:c>
      <x:c r="R176" s="9" t="str">
        <x:v>OPEN / UNSTARTED</x:v>
      </x:c>
      <x:c r="S176" s="9" t="n">
        <x:f>COUNTIFS($A$7:$A$1446,A176)</x:f>
        <x:v>1</x:v>
      </x:c>
    </x:row>
    <x:row r="177">
      <x:c r="A177" s="9" t="str">
        <x:v>EV-AR-RT-B-C-TECH-4-B1-RCN-G0-ST01</x:v>
      </x:c>
      <x:c r="B177" s="9" t="str">
        <x:v>EV-AR-RT-B-C-TECH-4-B1-RCN-G0</x:v>
      </x:c>
      <x:c r="C177" s="9" t="str">
        <x:v>EOW-AR-RT-B-C-TECH-4-B1-RCN-G0</x:v>
      </x:c>
      <x:c r="D177" s="9" t="str">
        <x:v>AR-RT-B-C-TECH-4-B1-RCN-G0</x:v>
      </x:c>
      <x:c r="E177" s="9" t="str">
        <x:v>RT-B-C-TECH-4</x:v>
      </x:c>
      <x:c r="F177" s="9" t="str">
        <x:v>RT-B-C</x:v>
      </x:c>
      <x:c r="G177" s="9" t="str">
        <x:v>B1</x:v>
      </x:c>
      <x:c r="H177" s="9" t="str">
        <x:v>RCN</x:v>
      </x:c>
      <x:c r="I177" s="9" t="n">
        <x:v>1</x:v>
      </x:c>
      <x:c r="J177" s="9" t="n">
        <x:v>3</x:v>
      </x:c>
      <x:c r="K177" s="9" t="str">
        <x:v>RT-B-C-N2</x:v>
      </x:c>
      <x:c r="L177" s="9" t="str">
        <x:v>ST01</x:v>
      </x:c>
      <x:c r="M177" s="17" t="str">
        <x:v>Active opportunity warrant</x:v>
      </x:c>
      <x:c r="N177" s="17" t="str">
        <x:v>configuration-bound EOW is within its thirty-six-hour validity</x:v>
      </x:c>
      <x:c r="O177" s="17" t="str">
        <x:v>Start registrar</x:v>
      </x:c>
      <x:c r="P177" s="9" t="n">
        <x:v>0</x:v>
      </x:c>
      <x:c r="Q177" s="9" t="n">
        <x:v>0</x:v>
      </x:c>
      <x:c r="R177" s="9" t="str">
        <x:v>OPEN / UNSTARTED</x:v>
      </x:c>
      <x:c r="S177" s="9" t="n">
        <x:f>COUNTIFS($A$7:$A$1446,A177)</x:f>
        <x:v>1</x:v>
      </x:c>
    </x:row>
    <x:row r="178">
      <x:c r="A178" s="9" t="str">
        <x:v>EV-AR-RT-B-C-TECH-4-B1-RCN-G0-ST02</x:v>
      </x:c>
      <x:c r="B178" s="9" t="str">
        <x:v>EV-AR-RT-B-C-TECH-4-B1-RCN-G0</x:v>
      </x:c>
      <x:c r="C178" s="9" t="str">
        <x:v>EOW-AR-RT-B-C-TECH-4-B1-RCN-G0</x:v>
      </x:c>
      <x:c r="D178" s="9" t="str">
        <x:v>AR-RT-B-C-TECH-4-B1-RCN-G0</x:v>
      </x:c>
      <x:c r="E178" s="9" t="str">
        <x:v>RT-B-C-TECH-4</x:v>
      </x:c>
      <x:c r="F178" s="9" t="str">
        <x:v>RT-B-C</x:v>
      </x:c>
      <x:c r="G178" s="9" t="str">
        <x:v>B1</x:v>
      </x:c>
      <x:c r="H178" s="9" t="str">
        <x:v>RCN</x:v>
      </x:c>
      <x:c r="I178" s="9" t="n">
        <x:v>1</x:v>
      </x:c>
      <x:c r="J178" s="9" t="n">
        <x:v>3</x:v>
      </x:c>
      <x:c r="K178" s="9" t="str">
        <x:v>RT-B-C-N2</x:v>
      </x:c>
      <x:c r="L178" s="9" t="str">
        <x:v>ST02</x:v>
      </x:c>
      <x:c r="M178" s="17" t="str">
        <x:v>Frozen identity</x:v>
      </x:c>
      <x:c r="N178" s="17" t="str">
        <x:v>serial, generation, fixture, site, receiver and digest match the warrant</x:v>
      </x:c>
      <x:c r="O178" s="17" t="str">
        <x:v>Custody authority</x:v>
      </x:c>
      <x:c r="P178" s="9" t="n">
        <x:v>0</x:v>
      </x:c>
      <x:c r="Q178" s="9" t="n">
        <x:v>0</x:v>
      </x:c>
      <x:c r="R178" s="9" t="str">
        <x:v>OPEN / UNSTARTED</x:v>
      </x:c>
      <x:c r="S178" s="9" t="n">
        <x:f>COUNTIFS($A$7:$A$1446,A178)</x:f>
        <x:v>1</x:v>
      </x:c>
    </x:row>
    <x:row r="179">
      <x:c r="A179" s="9" t="str">
        <x:v>EV-AR-RT-B-C-TECH-4-B1-RCN-G0-ST03</x:v>
      </x:c>
      <x:c r="B179" s="9" t="str">
        <x:v>EV-AR-RT-B-C-TECH-4-B1-RCN-G0</x:v>
      </x:c>
      <x:c r="C179" s="9" t="str">
        <x:v>EOW-AR-RT-B-C-TECH-4-B1-RCN-G0</x:v>
      </x:c>
      <x:c r="D179" s="9" t="str">
        <x:v>AR-RT-B-C-TECH-4-B1-RCN-G0</x:v>
      </x:c>
      <x:c r="E179" s="9" t="str">
        <x:v>RT-B-C-TECH-4</x:v>
      </x:c>
      <x:c r="F179" s="9" t="str">
        <x:v>RT-B-C</x:v>
      </x:c>
      <x:c r="G179" s="9" t="str">
        <x:v>B1</x:v>
      </x:c>
      <x:c r="H179" s="9" t="str">
        <x:v>RCN</x:v>
      </x:c>
      <x:c r="I179" s="9" t="n">
        <x:v>1</x:v>
      </x:c>
      <x:c r="J179" s="9" t="n">
        <x:v>3</x:v>
      </x:c>
      <x:c r="K179" s="9" t="str">
        <x:v>RT-B-C-N2</x:v>
      </x:c>
      <x:c r="L179" s="9" t="str">
        <x:v>ST03</x:v>
      </x:c>
      <x:c r="M179" s="17" t="str">
        <x:v>Receiver receipt</x:v>
      </x:c>
      <x:c r="N179" s="17" t="str">
        <x:v>denominator, counterfactual, rights and stop receipt remain unchanged</x:v>
      </x:c>
      <x:c r="O179" s="17" t="str">
        <x:v>Receiver authority</x:v>
      </x:c>
      <x:c r="P179" s="9" t="n">
        <x:v>0</x:v>
      </x:c>
      <x:c r="Q179" s="9" t="n">
        <x:v>0</x:v>
      </x:c>
      <x:c r="R179" s="9" t="str">
        <x:v>OPEN / UNSTARTED</x:v>
      </x:c>
      <x:c r="S179" s="9" t="n">
        <x:f>COUNTIFS($A$7:$A$1446,A179)</x:f>
        <x:v>1</x:v>
      </x:c>
    </x:row>
    <x:row r="180">
      <x:c r="A180" s="9" t="str">
        <x:v>EV-AR-RT-B-C-TECH-4-B1-RCN-G0-ST04</x:v>
      </x:c>
      <x:c r="B180" s="9" t="str">
        <x:v>EV-AR-RT-B-C-TECH-4-B1-RCN-G0</x:v>
      </x:c>
      <x:c r="C180" s="9" t="str">
        <x:v>EOW-AR-RT-B-C-TECH-4-B1-RCN-G0</x:v>
      </x:c>
      <x:c r="D180" s="9" t="str">
        <x:v>AR-RT-B-C-TECH-4-B1-RCN-G0</x:v>
      </x:c>
      <x:c r="E180" s="9" t="str">
        <x:v>RT-B-C-TECH-4</x:v>
      </x:c>
      <x:c r="F180" s="9" t="str">
        <x:v>RT-B-C</x:v>
      </x:c>
      <x:c r="G180" s="9" t="str">
        <x:v>B1</x:v>
      </x:c>
      <x:c r="H180" s="9" t="str">
        <x:v>RCN</x:v>
      </x:c>
      <x:c r="I180" s="9" t="n">
        <x:v>1</x:v>
      </x:c>
      <x:c r="J180" s="9" t="n">
        <x:v>3</x:v>
      </x:c>
      <x:c r="K180" s="9" t="str">
        <x:v>RT-B-C-N2</x:v>
      </x:c>
      <x:c r="L180" s="9" t="str">
        <x:v>ST04</x:v>
      </x:c>
      <x:c r="M180" s="17" t="str">
        <x:v>Primary capture armed</x:v>
      </x:c>
      <x:c r="N180" s="17" t="str">
        <x:v>primary chain records sealed reference and live time</x:v>
      </x:c>
      <x:c r="O180" s="17" t="str">
        <x:v>Primary metrology</x:v>
      </x:c>
      <x:c r="P180" s="9" t="n">
        <x:v>0</x:v>
      </x:c>
      <x:c r="Q180" s="9" t="n">
        <x:v>0</x:v>
      </x:c>
      <x:c r="R180" s="9" t="str">
        <x:v>OPEN / UNSTARTED</x:v>
      </x:c>
      <x:c r="S180" s="9" t="n">
        <x:f>COUNTIFS($A$7:$A$1446,A180)</x:f>
        <x:v>1</x:v>
      </x:c>
    </x:row>
    <x:row r="181">
      <x:c r="A181" s="9" t="str">
        <x:v>EV-AR-RT-B-C-TECH-4-B1-RCN-G0-ST05</x:v>
      </x:c>
      <x:c r="B181" s="9" t="str">
        <x:v>EV-AR-RT-B-C-TECH-4-B1-RCN-G0</x:v>
      </x:c>
      <x:c r="C181" s="9" t="str">
        <x:v>EOW-AR-RT-B-C-TECH-4-B1-RCN-G0</x:v>
      </x:c>
      <x:c r="D181" s="9" t="str">
        <x:v>AR-RT-B-C-TECH-4-B1-RCN-G0</x:v>
      </x:c>
      <x:c r="E181" s="9" t="str">
        <x:v>RT-B-C-TECH-4</x:v>
      </x:c>
      <x:c r="F181" s="9" t="str">
        <x:v>RT-B-C</x:v>
      </x:c>
      <x:c r="G181" s="9" t="str">
        <x:v>B1</x:v>
      </x:c>
      <x:c r="H181" s="9" t="str">
        <x:v>RCN</x:v>
      </x:c>
      <x:c r="I181" s="9" t="n">
        <x:v>1</x:v>
      </x:c>
      <x:c r="J181" s="9" t="n">
        <x:v>3</x:v>
      </x:c>
      <x:c r="K181" s="9" t="str">
        <x:v>RT-B-C-N2</x:v>
      </x:c>
      <x:c r="L181" s="9" t="str">
        <x:v>ST05</x:v>
      </x:c>
      <x:c r="M181" s="17" t="str">
        <x:v>Witness capture armed</x:v>
      </x:c>
      <x:c r="N181" s="17" t="str">
        <x:v>unlike witness records independent reference and live time</x:v>
      </x:c>
      <x:c r="O181" s="17" t="str">
        <x:v>Witness metrology</x:v>
      </x:c>
      <x:c r="P181" s="9" t="n">
        <x:v>0</x:v>
      </x:c>
      <x:c r="Q181" s="9" t="n">
        <x:v>0</x:v>
      </x:c>
      <x:c r="R181" s="9" t="str">
        <x:v>OPEN / UNSTARTED</x:v>
      </x:c>
      <x:c r="S181" s="9" t="n">
        <x:f>COUNTIFS($A$7:$A$1446,A181)</x:f>
        <x:v>1</x:v>
      </x:c>
    </x:row>
    <x:row r="182">
      <x:c r="A182" s="9" t="str">
        <x:v>EV-AR-RT-B-C-TECH-4-B1-RCN-G0-ST06</x:v>
      </x:c>
      <x:c r="B182" s="9" t="str">
        <x:v>EV-AR-RT-B-C-TECH-4-B1-RCN-G0</x:v>
      </x:c>
      <x:c r="C182" s="9" t="str">
        <x:v>EOW-AR-RT-B-C-TECH-4-B1-RCN-G0</x:v>
      </x:c>
      <x:c r="D182" s="9" t="str">
        <x:v>AR-RT-B-C-TECH-4-B1-RCN-G0</x:v>
      </x:c>
      <x:c r="E182" s="9" t="str">
        <x:v>RT-B-C-TECH-4</x:v>
      </x:c>
      <x:c r="F182" s="9" t="str">
        <x:v>RT-B-C</x:v>
      </x:c>
      <x:c r="G182" s="9" t="str">
        <x:v>B1</x:v>
      </x:c>
      <x:c r="H182" s="9" t="str">
        <x:v>RCN</x:v>
      </x:c>
      <x:c r="I182" s="9" t="n">
        <x:v>1</x:v>
      </x:c>
      <x:c r="J182" s="9" t="n">
        <x:v>3</x:v>
      </x:c>
      <x:c r="K182" s="9" t="str">
        <x:v>RT-B-C-N2</x:v>
      </x:c>
      <x:c r="L182" s="9" t="str">
        <x:v>ST06</x:v>
      </x:c>
      <x:c r="M182" s="17" t="str">
        <x:v>Public custody armed</x:v>
      </x:c>
      <x:c r="N182" s="17" t="str">
        <x:v>eight raw origins have separated hash and replica routes</x:v>
      </x:c>
      <x:c r="O182" s="17" t="str">
        <x:v>Custody authority</x:v>
      </x:c>
      <x:c r="P182" s="9" t="n">
        <x:v>0</x:v>
      </x:c>
      <x:c r="Q182" s="9" t="n">
        <x:v>0</x:v>
      </x:c>
      <x:c r="R182" s="9" t="str">
        <x:v>OPEN / UNSTARTED</x:v>
      </x:c>
      <x:c r="S182" s="9" t="n">
        <x:f>COUNTIFS($A$7:$A$1446,A182)</x:f>
        <x:v>1</x:v>
      </x:c>
    </x:row>
    <x:row r="183">
      <x:c r="A183" s="9" t="str">
        <x:v>EV-AR-RT-B-C-TECH-4-B1-RCN-G0-ST07</x:v>
      </x:c>
      <x:c r="B183" s="9" t="str">
        <x:v>EV-AR-RT-B-C-TECH-4-B1-RCN-G0</x:v>
      </x:c>
      <x:c r="C183" s="9" t="str">
        <x:v>EOW-AR-RT-B-C-TECH-4-B1-RCN-G0</x:v>
      </x:c>
      <x:c r="D183" s="9" t="str">
        <x:v>AR-RT-B-C-TECH-4-B1-RCN-G0</x:v>
      </x:c>
      <x:c r="E183" s="9" t="str">
        <x:v>RT-B-C-TECH-4</x:v>
      </x:c>
      <x:c r="F183" s="9" t="str">
        <x:v>RT-B-C</x:v>
      </x:c>
      <x:c r="G183" s="9" t="str">
        <x:v>B1</x:v>
      </x:c>
      <x:c r="H183" s="9" t="str">
        <x:v>RCN</x:v>
      </x:c>
      <x:c r="I183" s="9" t="n">
        <x:v>1</x:v>
      </x:c>
      <x:c r="J183" s="9" t="n">
        <x:v>3</x:v>
      </x:c>
      <x:c r="K183" s="9" t="str">
        <x:v>RT-B-C-N2</x:v>
      </x:c>
      <x:c r="L183" s="9" t="str">
        <x:v>ST07</x:v>
      </x:c>
      <x:c r="M183" s="17" t="str">
        <x:v>Environmental baseline</x:v>
      </x:c>
      <x:c r="N183" s="17" t="str">
        <x:v>pre-event boundary state is sealed before decisive operation</x:v>
      </x:c>
      <x:c r="O183" s="17" t="str">
        <x:v>Site metrology</x:v>
      </x:c>
      <x:c r="P183" s="9" t="n">
        <x:v>0</x:v>
      </x:c>
      <x:c r="Q183" s="9" t="n">
        <x:v>0</x:v>
      </x:c>
      <x:c r="R183" s="9" t="str">
        <x:v>OPEN / UNSTARTED</x:v>
      </x:c>
      <x:c r="S183" s="9" t="n">
        <x:f>COUNTIFS($A$7:$A$1446,A183)</x:f>
        <x:v>1</x:v>
      </x:c>
    </x:row>
    <x:row r="184">
      <x:c r="A184" s="9" t="str">
        <x:v>EV-AR-RT-B-C-TECH-4-B1-RCN-G0-ST08</x:v>
      </x:c>
      <x:c r="B184" s="9" t="str">
        <x:v>EV-AR-RT-B-C-TECH-4-B1-RCN-G0</x:v>
      </x:c>
      <x:c r="C184" s="9" t="str">
        <x:v>EOW-AR-RT-B-C-TECH-4-B1-RCN-G0</x:v>
      </x:c>
      <x:c r="D184" s="9" t="str">
        <x:v>AR-RT-B-C-TECH-4-B1-RCN-G0</x:v>
      </x:c>
      <x:c r="E184" s="9" t="str">
        <x:v>RT-B-C-TECH-4</x:v>
      </x:c>
      <x:c r="F184" s="9" t="str">
        <x:v>RT-B-C</x:v>
      </x:c>
      <x:c r="G184" s="9" t="str">
        <x:v>B1</x:v>
      </x:c>
      <x:c r="H184" s="9" t="str">
        <x:v>RCN</x:v>
      </x:c>
      <x:c r="I184" s="9" t="n">
        <x:v>1</x:v>
      </x:c>
      <x:c r="J184" s="9" t="n">
        <x:v>3</x:v>
      </x:c>
      <x:c r="K184" s="9" t="str">
        <x:v>RT-B-C-N2</x:v>
      </x:c>
      <x:c r="L184" s="9" t="str">
        <x:v>ST08</x:v>
      </x:c>
      <x:c r="M184" s="17" t="str">
        <x:v>Manual stop and safety</x:v>
      </x:c>
      <x:c r="N184" s="17" t="str">
        <x:v>local stop, evacuation and protection routes are active</x:v>
      </x:c>
      <x:c r="O184" s="17" t="str">
        <x:v>Safety authority</x:v>
      </x:c>
      <x:c r="P184" s="9" t="n">
        <x:v>0</x:v>
      </x:c>
      <x:c r="Q184" s="9" t="n">
        <x:v>0</x:v>
      </x:c>
      <x:c r="R184" s="9" t="str">
        <x:v>OPEN / UNSTARTED</x:v>
      </x:c>
      <x:c r="S184" s="9" t="n">
        <x:f>COUNTIFS($A$7:$A$1446,A184)</x:f>
        <x:v>1</x:v>
      </x:c>
    </x:row>
    <x:row r="185">
      <x:c r="A185" s="9" t="str">
        <x:v>EV-AR-RT-B-C-TECH-4-B1-RCN-G0-ST09</x:v>
      </x:c>
      <x:c r="B185" s="9" t="str">
        <x:v>EV-AR-RT-B-C-TECH-4-B1-RCN-G0</x:v>
      </x:c>
      <x:c r="C185" s="9" t="str">
        <x:v>EOW-AR-RT-B-C-TECH-4-B1-RCN-G0</x:v>
      </x:c>
      <x:c r="D185" s="9" t="str">
        <x:v>AR-RT-B-C-TECH-4-B1-RCN-G0</x:v>
      </x:c>
      <x:c r="E185" s="9" t="str">
        <x:v>RT-B-C-TECH-4</x:v>
      </x:c>
      <x:c r="F185" s="9" t="str">
        <x:v>RT-B-C</x:v>
      </x:c>
      <x:c r="G185" s="9" t="str">
        <x:v>B1</x:v>
      </x:c>
      <x:c r="H185" s="9" t="str">
        <x:v>RCN</x:v>
      </x:c>
      <x:c r="I185" s="9" t="n">
        <x:v>1</x:v>
      </x:c>
      <x:c r="J185" s="9" t="n">
        <x:v>3</x:v>
      </x:c>
      <x:c r="K185" s="9" t="str">
        <x:v>RT-B-C-N2</x:v>
      </x:c>
      <x:c r="L185" s="9" t="str">
        <x:v>ST09</x:v>
      </x:c>
      <x:c r="M185" s="17" t="str">
        <x:v>Operator conflict clear</x:v>
      </x:c>
      <x:c r="N185" s="17" t="str">
        <x:v>candidate, fixture, safety and measurement control edges remain separated</x:v>
      </x:c>
      <x:c r="O185" s="17" t="str">
        <x:v>Conflict registrar</x:v>
      </x:c>
      <x:c r="P185" s="9" t="n">
        <x:v>0</x:v>
      </x:c>
      <x:c r="Q185" s="9" t="n">
        <x:v>0</x:v>
      </x:c>
      <x:c r="R185" s="9" t="str">
        <x:v>OPEN / UNSTARTED</x:v>
      </x:c>
      <x:c r="S185" s="9" t="n">
        <x:f>COUNTIFS($A$7:$A$1446,A185)</x:f>
        <x:v>1</x:v>
      </x:c>
    </x:row>
    <x:row r="186">
      <x:c r="A186" s="9" t="str">
        <x:v>EV-AR-RT-B-C-TECH-4-B1-RCN-G0-ST10</x:v>
      </x:c>
      <x:c r="B186" s="9" t="str">
        <x:v>EV-AR-RT-B-C-TECH-4-B1-RCN-G0</x:v>
      </x:c>
      <x:c r="C186" s="9" t="str">
        <x:v>EOW-AR-RT-B-C-TECH-4-B1-RCN-G0</x:v>
      </x:c>
      <x:c r="D186" s="9" t="str">
        <x:v>AR-RT-B-C-TECH-4-B1-RCN-G0</x:v>
      </x:c>
      <x:c r="E186" s="9" t="str">
        <x:v>RT-B-C-TECH-4</x:v>
      </x:c>
      <x:c r="F186" s="9" t="str">
        <x:v>RT-B-C</x:v>
      </x:c>
      <x:c r="G186" s="9" t="str">
        <x:v>B1</x:v>
      </x:c>
      <x:c r="H186" s="9" t="str">
        <x:v>RCN</x:v>
      </x:c>
      <x:c r="I186" s="9" t="n">
        <x:v>1</x:v>
      </x:c>
      <x:c r="J186" s="9" t="n">
        <x:v>3</x:v>
      </x:c>
      <x:c r="K186" s="9" t="str">
        <x:v>RT-B-C-N2</x:v>
      </x:c>
      <x:c r="L186" s="9" t="str">
        <x:v>ST10</x:v>
      </x:c>
      <x:c r="M186" s="17" t="str">
        <x:v>Window and common clock</x:v>
      </x:c>
      <x:c r="N186" s="17" t="str">
        <x:v>epoch, window and public time origin match the issued warrant</x:v>
      </x:c>
      <x:c r="O186" s="17" t="str">
        <x:v>Event clock authority</x:v>
      </x:c>
      <x:c r="P186" s="9" t="n">
        <x:v>0</x:v>
      </x:c>
      <x:c r="Q186" s="9" t="n">
        <x:v>0</x:v>
      </x:c>
      <x:c r="R186" s="9" t="str">
        <x:v>OPEN / UNSTARTED</x:v>
      </x:c>
      <x:c r="S186" s="9" t="n">
        <x:f>COUNTIFS($A$7:$A$1446,A186)</x:f>
        <x:v>1</x:v>
      </x:c>
    </x:row>
    <x:row r="187">
      <x:c r="A187" s="9" t="str">
        <x:v>EV-AR-CT-C-B-TECH-4-B1-BRK-G0-ST01</x:v>
      </x:c>
      <x:c r="B187" s="9" t="str">
        <x:v>EV-AR-CT-C-B-TECH-4-B1-BRK-G0</x:v>
      </x:c>
      <x:c r="C187" s="9" t="str">
        <x:v>EOW-AR-CT-C-B-TECH-4-B1-BRK-G0</x:v>
      </x:c>
      <x:c r="D187" s="9" t="str">
        <x:v>AR-CT-C-B-TECH-4-B1-BRK-G0</x:v>
      </x:c>
      <x:c r="E187" s="9" t="str">
        <x:v>CT-C-B-TECH-4</x:v>
      </x:c>
      <x:c r="F187" s="9" t="str">
        <x:v>CT-C-B</x:v>
      </x:c>
      <x:c r="G187" s="9" t="str">
        <x:v>B1</x:v>
      </x:c>
      <x:c r="H187" s="9" t="str">
        <x:v>BRK</x:v>
      </x:c>
      <x:c r="I187" s="9" t="n">
        <x:v>1</x:v>
      </x:c>
      <x:c r="J187" s="9" t="n">
        <x:v>4</x:v>
      </x:c>
      <x:c r="K187" s="9" t="str">
        <x:v>CT-C-B-N1</x:v>
      </x:c>
      <x:c r="L187" s="9" t="str">
        <x:v>ST01</x:v>
      </x:c>
      <x:c r="M187" s="17" t="str">
        <x:v>Active opportunity warrant</x:v>
      </x:c>
      <x:c r="N187" s="17" t="str">
        <x:v>configuration-bound EOW is within its thirty-six-hour validity</x:v>
      </x:c>
      <x:c r="O187" s="17" t="str">
        <x:v>Start registrar</x:v>
      </x:c>
      <x:c r="P187" s="9" t="n">
        <x:v>0</x:v>
      </x:c>
      <x:c r="Q187" s="9" t="n">
        <x:v>0</x:v>
      </x:c>
      <x:c r="R187" s="9" t="str">
        <x:v>OPEN / UNSTARTED</x:v>
      </x:c>
      <x:c r="S187" s="9" t="n">
        <x:f>COUNTIFS($A$7:$A$1446,A187)</x:f>
        <x:v>1</x:v>
      </x:c>
    </x:row>
    <x:row r="188">
      <x:c r="A188" s="9" t="str">
        <x:v>EV-AR-CT-C-B-TECH-4-B1-BRK-G0-ST02</x:v>
      </x:c>
      <x:c r="B188" s="9" t="str">
        <x:v>EV-AR-CT-C-B-TECH-4-B1-BRK-G0</x:v>
      </x:c>
      <x:c r="C188" s="9" t="str">
        <x:v>EOW-AR-CT-C-B-TECH-4-B1-BRK-G0</x:v>
      </x:c>
      <x:c r="D188" s="9" t="str">
        <x:v>AR-CT-C-B-TECH-4-B1-BRK-G0</x:v>
      </x:c>
      <x:c r="E188" s="9" t="str">
        <x:v>CT-C-B-TECH-4</x:v>
      </x:c>
      <x:c r="F188" s="9" t="str">
        <x:v>CT-C-B</x:v>
      </x:c>
      <x:c r="G188" s="9" t="str">
        <x:v>B1</x:v>
      </x:c>
      <x:c r="H188" s="9" t="str">
        <x:v>BRK</x:v>
      </x:c>
      <x:c r="I188" s="9" t="n">
        <x:v>1</x:v>
      </x:c>
      <x:c r="J188" s="9" t="n">
        <x:v>4</x:v>
      </x:c>
      <x:c r="K188" s="9" t="str">
        <x:v>CT-C-B-N1</x:v>
      </x:c>
      <x:c r="L188" s="9" t="str">
        <x:v>ST02</x:v>
      </x:c>
      <x:c r="M188" s="17" t="str">
        <x:v>Frozen identity</x:v>
      </x:c>
      <x:c r="N188" s="17" t="str">
        <x:v>serial, generation, fixture, site, receiver and digest match the warrant</x:v>
      </x:c>
      <x:c r="O188" s="17" t="str">
        <x:v>Custody authority</x:v>
      </x:c>
      <x:c r="P188" s="9" t="n">
        <x:v>0</x:v>
      </x:c>
      <x:c r="Q188" s="9" t="n">
        <x:v>0</x:v>
      </x:c>
      <x:c r="R188" s="9" t="str">
        <x:v>OPEN / UNSTARTED</x:v>
      </x:c>
      <x:c r="S188" s="9" t="n">
        <x:f>COUNTIFS($A$7:$A$1446,A188)</x:f>
        <x:v>1</x:v>
      </x:c>
    </x:row>
    <x:row r="189">
      <x:c r="A189" s="9" t="str">
        <x:v>EV-AR-CT-C-B-TECH-4-B1-BRK-G0-ST03</x:v>
      </x:c>
      <x:c r="B189" s="9" t="str">
        <x:v>EV-AR-CT-C-B-TECH-4-B1-BRK-G0</x:v>
      </x:c>
      <x:c r="C189" s="9" t="str">
        <x:v>EOW-AR-CT-C-B-TECH-4-B1-BRK-G0</x:v>
      </x:c>
      <x:c r="D189" s="9" t="str">
        <x:v>AR-CT-C-B-TECH-4-B1-BRK-G0</x:v>
      </x:c>
      <x:c r="E189" s="9" t="str">
        <x:v>CT-C-B-TECH-4</x:v>
      </x:c>
      <x:c r="F189" s="9" t="str">
        <x:v>CT-C-B</x:v>
      </x:c>
      <x:c r="G189" s="9" t="str">
        <x:v>B1</x:v>
      </x:c>
      <x:c r="H189" s="9" t="str">
        <x:v>BRK</x:v>
      </x:c>
      <x:c r="I189" s="9" t="n">
        <x:v>1</x:v>
      </x:c>
      <x:c r="J189" s="9" t="n">
        <x:v>4</x:v>
      </x:c>
      <x:c r="K189" s="9" t="str">
        <x:v>CT-C-B-N1</x:v>
      </x:c>
      <x:c r="L189" s="9" t="str">
        <x:v>ST03</x:v>
      </x:c>
      <x:c r="M189" s="17" t="str">
        <x:v>Receiver receipt</x:v>
      </x:c>
      <x:c r="N189" s="17" t="str">
        <x:v>denominator, counterfactual, rights and stop receipt remain unchanged</x:v>
      </x:c>
      <x:c r="O189" s="17" t="str">
        <x:v>Receiver authority</x:v>
      </x:c>
      <x:c r="P189" s="9" t="n">
        <x:v>0</x:v>
      </x:c>
      <x:c r="Q189" s="9" t="n">
        <x:v>0</x:v>
      </x:c>
      <x:c r="R189" s="9" t="str">
        <x:v>OPEN / UNSTARTED</x:v>
      </x:c>
      <x:c r="S189" s="9" t="n">
        <x:f>COUNTIFS($A$7:$A$1446,A189)</x:f>
        <x:v>1</x:v>
      </x:c>
    </x:row>
    <x:row r="190">
      <x:c r="A190" s="9" t="str">
        <x:v>EV-AR-CT-C-B-TECH-4-B1-BRK-G0-ST04</x:v>
      </x:c>
      <x:c r="B190" s="9" t="str">
        <x:v>EV-AR-CT-C-B-TECH-4-B1-BRK-G0</x:v>
      </x:c>
      <x:c r="C190" s="9" t="str">
        <x:v>EOW-AR-CT-C-B-TECH-4-B1-BRK-G0</x:v>
      </x:c>
      <x:c r="D190" s="9" t="str">
        <x:v>AR-CT-C-B-TECH-4-B1-BRK-G0</x:v>
      </x:c>
      <x:c r="E190" s="9" t="str">
        <x:v>CT-C-B-TECH-4</x:v>
      </x:c>
      <x:c r="F190" s="9" t="str">
        <x:v>CT-C-B</x:v>
      </x:c>
      <x:c r="G190" s="9" t="str">
        <x:v>B1</x:v>
      </x:c>
      <x:c r="H190" s="9" t="str">
        <x:v>BRK</x:v>
      </x:c>
      <x:c r="I190" s="9" t="n">
        <x:v>1</x:v>
      </x:c>
      <x:c r="J190" s="9" t="n">
        <x:v>4</x:v>
      </x:c>
      <x:c r="K190" s="9" t="str">
        <x:v>CT-C-B-N1</x:v>
      </x:c>
      <x:c r="L190" s="9" t="str">
        <x:v>ST04</x:v>
      </x:c>
      <x:c r="M190" s="17" t="str">
        <x:v>Primary capture armed</x:v>
      </x:c>
      <x:c r="N190" s="17" t="str">
        <x:v>primary chain records sealed reference and live time</x:v>
      </x:c>
      <x:c r="O190" s="17" t="str">
        <x:v>Primary metrology</x:v>
      </x:c>
      <x:c r="P190" s="9" t="n">
        <x:v>0</x:v>
      </x:c>
      <x:c r="Q190" s="9" t="n">
        <x:v>0</x:v>
      </x:c>
      <x:c r="R190" s="9" t="str">
        <x:v>OPEN / UNSTARTED</x:v>
      </x:c>
      <x:c r="S190" s="9" t="n">
        <x:f>COUNTIFS($A$7:$A$1446,A190)</x:f>
        <x:v>1</x:v>
      </x:c>
    </x:row>
    <x:row r="191">
      <x:c r="A191" s="9" t="str">
        <x:v>EV-AR-CT-C-B-TECH-4-B1-BRK-G0-ST05</x:v>
      </x:c>
      <x:c r="B191" s="9" t="str">
        <x:v>EV-AR-CT-C-B-TECH-4-B1-BRK-G0</x:v>
      </x:c>
      <x:c r="C191" s="9" t="str">
        <x:v>EOW-AR-CT-C-B-TECH-4-B1-BRK-G0</x:v>
      </x:c>
      <x:c r="D191" s="9" t="str">
        <x:v>AR-CT-C-B-TECH-4-B1-BRK-G0</x:v>
      </x:c>
      <x:c r="E191" s="9" t="str">
        <x:v>CT-C-B-TECH-4</x:v>
      </x:c>
      <x:c r="F191" s="9" t="str">
        <x:v>CT-C-B</x:v>
      </x:c>
      <x:c r="G191" s="9" t="str">
        <x:v>B1</x:v>
      </x:c>
      <x:c r="H191" s="9" t="str">
        <x:v>BRK</x:v>
      </x:c>
      <x:c r="I191" s="9" t="n">
        <x:v>1</x:v>
      </x:c>
      <x:c r="J191" s="9" t="n">
        <x:v>4</x:v>
      </x:c>
      <x:c r="K191" s="9" t="str">
        <x:v>CT-C-B-N1</x:v>
      </x:c>
      <x:c r="L191" s="9" t="str">
        <x:v>ST05</x:v>
      </x:c>
      <x:c r="M191" s="17" t="str">
        <x:v>Witness capture armed</x:v>
      </x:c>
      <x:c r="N191" s="17" t="str">
        <x:v>unlike witness records independent reference and live time</x:v>
      </x:c>
      <x:c r="O191" s="17" t="str">
        <x:v>Witness metrology</x:v>
      </x:c>
      <x:c r="P191" s="9" t="n">
        <x:v>0</x:v>
      </x:c>
      <x:c r="Q191" s="9" t="n">
        <x:v>0</x:v>
      </x:c>
      <x:c r="R191" s="9" t="str">
        <x:v>OPEN / UNSTARTED</x:v>
      </x:c>
      <x:c r="S191" s="9" t="n">
        <x:f>COUNTIFS($A$7:$A$1446,A191)</x:f>
        <x:v>1</x:v>
      </x:c>
    </x:row>
    <x:row r="192">
      <x:c r="A192" s="9" t="str">
        <x:v>EV-AR-CT-C-B-TECH-4-B1-BRK-G0-ST06</x:v>
      </x:c>
      <x:c r="B192" s="9" t="str">
        <x:v>EV-AR-CT-C-B-TECH-4-B1-BRK-G0</x:v>
      </x:c>
      <x:c r="C192" s="9" t="str">
        <x:v>EOW-AR-CT-C-B-TECH-4-B1-BRK-G0</x:v>
      </x:c>
      <x:c r="D192" s="9" t="str">
        <x:v>AR-CT-C-B-TECH-4-B1-BRK-G0</x:v>
      </x:c>
      <x:c r="E192" s="9" t="str">
        <x:v>CT-C-B-TECH-4</x:v>
      </x:c>
      <x:c r="F192" s="9" t="str">
        <x:v>CT-C-B</x:v>
      </x:c>
      <x:c r="G192" s="9" t="str">
        <x:v>B1</x:v>
      </x:c>
      <x:c r="H192" s="9" t="str">
        <x:v>BRK</x:v>
      </x:c>
      <x:c r="I192" s="9" t="n">
        <x:v>1</x:v>
      </x:c>
      <x:c r="J192" s="9" t="n">
        <x:v>4</x:v>
      </x:c>
      <x:c r="K192" s="9" t="str">
        <x:v>CT-C-B-N1</x:v>
      </x:c>
      <x:c r="L192" s="9" t="str">
        <x:v>ST06</x:v>
      </x:c>
      <x:c r="M192" s="17" t="str">
        <x:v>Public custody armed</x:v>
      </x:c>
      <x:c r="N192" s="17" t="str">
        <x:v>eight raw origins have separated hash and replica routes</x:v>
      </x:c>
      <x:c r="O192" s="17" t="str">
        <x:v>Custody authority</x:v>
      </x:c>
      <x:c r="P192" s="9" t="n">
        <x:v>0</x:v>
      </x:c>
      <x:c r="Q192" s="9" t="n">
        <x:v>0</x:v>
      </x:c>
      <x:c r="R192" s="9" t="str">
        <x:v>OPEN / UNSTARTED</x:v>
      </x:c>
      <x:c r="S192" s="9" t="n">
        <x:f>COUNTIFS($A$7:$A$1446,A192)</x:f>
        <x:v>1</x:v>
      </x:c>
    </x:row>
    <x:row r="193">
      <x:c r="A193" s="9" t="str">
        <x:v>EV-AR-CT-C-B-TECH-4-B1-BRK-G0-ST07</x:v>
      </x:c>
      <x:c r="B193" s="9" t="str">
        <x:v>EV-AR-CT-C-B-TECH-4-B1-BRK-G0</x:v>
      </x:c>
      <x:c r="C193" s="9" t="str">
        <x:v>EOW-AR-CT-C-B-TECH-4-B1-BRK-G0</x:v>
      </x:c>
      <x:c r="D193" s="9" t="str">
        <x:v>AR-CT-C-B-TECH-4-B1-BRK-G0</x:v>
      </x:c>
      <x:c r="E193" s="9" t="str">
        <x:v>CT-C-B-TECH-4</x:v>
      </x:c>
      <x:c r="F193" s="9" t="str">
        <x:v>CT-C-B</x:v>
      </x:c>
      <x:c r="G193" s="9" t="str">
        <x:v>B1</x:v>
      </x:c>
      <x:c r="H193" s="9" t="str">
        <x:v>BRK</x:v>
      </x:c>
      <x:c r="I193" s="9" t="n">
        <x:v>1</x:v>
      </x:c>
      <x:c r="J193" s="9" t="n">
        <x:v>4</x:v>
      </x:c>
      <x:c r="K193" s="9" t="str">
        <x:v>CT-C-B-N1</x:v>
      </x:c>
      <x:c r="L193" s="9" t="str">
        <x:v>ST07</x:v>
      </x:c>
      <x:c r="M193" s="17" t="str">
        <x:v>Environmental baseline</x:v>
      </x:c>
      <x:c r="N193" s="17" t="str">
        <x:v>pre-event boundary state is sealed before decisive operation</x:v>
      </x:c>
      <x:c r="O193" s="17" t="str">
        <x:v>Site metrology</x:v>
      </x:c>
      <x:c r="P193" s="9" t="n">
        <x:v>0</x:v>
      </x:c>
      <x:c r="Q193" s="9" t="n">
        <x:v>0</x:v>
      </x:c>
      <x:c r="R193" s="9" t="str">
        <x:v>OPEN / UNSTARTED</x:v>
      </x:c>
      <x:c r="S193" s="9" t="n">
        <x:f>COUNTIFS($A$7:$A$1446,A193)</x:f>
        <x:v>1</x:v>
      </x:c>
    </x:row>
    <x:row r="194">
      <x:c r="A194" s="9" t="str">
        <x:v>EV-AR-CT-C-B-TECH-4-B1-BRK-G0-ST08</x:v>
      </x:c>
      <x:c r="B194" s="9" t="str">
        <x:v>EV-AR-CT-C-B-TECH-4-B1-BRK-G0</x:v>
      </x:c>
      <x:c r="C194" s="9" t="str">
        <x:v>EOW-AR-CT-C-B-TECH-4-B1-BRK-G0</x:v>
      </x:c>
      <x:c r="D194" s="9" t="str">
        <x:v>AR-CT-C-B-TECH-4-B1-BRK-G0</x:v>
      </x:c>
      <x:c r="E194" s="9" t="str">
        <x:v>CT-C-B-TECH-4</x:v>
      </x:c>
      <x:c r="F194" s="9" t="str">
        <x:v>CT-C-B</x:v>
      </x:c>
      <x:c r="G194" s="9" t="str">
        <x:v>B1</x:v>
      </x:c>
      <x:c r="H194" s="9" t="str">
        <x:v>BRK</x:v>
      </x:c>
      <x:c r="I194" s="9" t="n">
        <x:v>1</x:v>
      </x:c>
      <x:c r="J194" s="9" t="n">
        <x:v>4</x:v>
      </x:c>
      <x:c r="K194" s="9" t="str">
        <x:v>CT-C-B-N1</x:v>
      </x:c>
      <x:c r="L194" s="9" t="str">
        <x:v>ST08</x:v>
      </x:c>
      <x:c r="M194" s="17" t="str">
        <x:v>Manual stop and safety</x:v>
      </x:c>
      <x:c r="N194" s="17" t="str">
        <x:v>local stop, evacuation and protection routes are active</x:v>
      </x:c>
      <x:c r="O194" s="17" t="str">
        <x:v>Safety authority</x:v>
      </x:c>
      <x:c r="P194" s="9" t="n">
        <x:v>0</x:v>
      </x:c>
      <x:c r="Q194" s="9" t="n">
        <x:v>0</x:v>
      </x:c>
      <x:c r="R194" s="9" t="str">
        <x:v>OPEN / UNSTARTED</x:v>
      </x:c>
      <x:c r="S194" s="9" t="n">
        <x:f>COUNTIFS($A$7:$A$1446,A194)</x:f>
        <x:v>1</x:v>
      </x:c>
    </x:row>
    <x:row r="195">
      <x:c r="A195" s="9" t="str">
        <x:v>EV-AR-CT-C-B-TECH-4-B1-BRK-G0-ST09</x:v>
      </x:c>
      <x:c r="B195" s="9" t="str">
        <x:v>EV-AR-CT-C-B-TECH-4-B1-BRK-G0</x:v>
      </x:c>
      <x:c r="C195" s="9" t="str">
        <x:v>EOW-AR-CT-C-B-TECH-4-B1-BRK-G0</x:v>
      </x:c>
      <x:c r="D195" s="9" t="str">
        <x:v>AR-CT-C-B-TECH-4-B1-BRK-G0</x:v>
      </x:c>
      <x:c r="E195" s="9" t="str">
        <x:v>CT-C-B-TECH-4</x:v>
      </x:c>
      <x:c r="F195" s="9" t="str">
        <x:v>CT-C-B</x:v>
      </x:c>
      <x:c r="G195" s="9" t="str">
        <x:v>B1</x:v>
      </x:c>
      <x:c r="H195" s="9" t="str">
        <x:v>BRK</x:v>
      </x:c>
      <x:c r="I195" s="9" t="n">
        <x:v>1</x:v>
      </x:c>
      <x:c r="J195" s="9" t="n">
        <x:v>4</x:v>
      </x:c>
      <x:c r="K195" s="9" t="str">
        <x:v>CT-C-B-N1</x:v>
      </x:c>
      <x:c r="L195" s="9" t="str">
        <x:v>ST09</x:v>
      </x:c>
      <x:c r="M195" s="17" t="str">
        <x:v>Operator conflict clear</x:v>
      </x:c>
      <x:c r="N195" s="17" t="str">
        <x:v>candidate, fixture, safety and measurement control edges remain separated</x:v>
      </x:c>
      <x:c r="O195" s="17" t="str">
        <x:v>Conflict registrar</x:v>
      </x:c>
      <x:c r="P195" s="9" t="n">
        <x:v>0</x:v>
      </x:c>
      <x:c r="Q195" s="9" t="n">
        <x:v>0</x:v>
      </x:c>
      <x:c r="R195" s="9" t="str">
        <x:v>OPEN / UNSTARTED</x:v>
      </x:c>
      <x:c r="S195" s="9" t="n">
        <x:f>COUNTIFS($A$7:$A$1446,A195)</x:f>
        <x:v>1</x:v>
      </x:c>
    </x:row>
    <x:row r="196">
      <x:c r="A196" s="9" t="str">
        <x:v>EV-AR-CT-C-B-TECH-4-B1-BRK-G0-ST10</x:v>
      </x:c>
      <x:c r="B196" s="9" t="str">
        <x:v>EV-AR-CT-C-B-TECH-4-B1-BRK-G0</x:v>
      </x:c>
      <x:c r="C196" s="9" t="str">
        <x:v>EOW-AR-CT-C-B-TECH-4-B1-BRK-G0</x:v>
      </x:c>
      <x:c r="D196" s="9" t="str">
        <x:v>AR-CT-C-B-TECH-4-B1-BRK-G0</x:v>
      </x:c>
      <x:c r="E196" s="9" t="str">
        <x:v>CT-C-B-TECH-4</x:v>
      </x:c>
      <x:c r="F196" s="9" t="str">
        <x:v>CT-C-B</x:v>
      </x:c>
      <x:c r="G196" s="9" t="str">
        <x:v>B1</x:v>
      </x:c>
      <x:c r="H196" s="9" t="str">
        <x:v>BRK</x:v>
      </x:c>
      <x:c r="I196" s="9" t="n">
        <x:v>1</x:v>
      </x:c>
      <x:c r="J196" s="9" t="n">
        <x:v>4</x:v>
      </x:c>
      <x:c r="K196" s="9" t="str">
        <x:v>CT-C-B-N1</x:v>
      </x:c>
      <x:c r="L196" s="9" t="str">
        <x:v>ST10</x:v>
      </x:c>
      <x:c r="M196" s="17" t="str">
        <x:v>Window and common clock</x:v>
      </x:c>
      <x:c r="N196" s="17" t="str">
        <x:v>epoch, window and public time origin match the issued warrant</x:v>
      </x:c>
      <x:c r="O196" s="17" t="str">
        <x:v>Event clock authority</x:v>
      </x:c>
      <x:c r="P196" s="9" t="n">
        <x:v>0</x:v>
      </x:c>
      <x:c r="Q196" s="9" t="n">
        <x:v>0</x:v>
      </x:c>
      <x:c r="R196" s="9" t="str">
        <x:v>OPEN / UNSTARTED</x:v>
      </x:c>
      <x:c r="S196" s="9" t="n">
        <x:f>COUNTIFS($A$7:$A$1446,A196)</x:f>
        <x:v>1</x:v>
      </x:c>
    </x:row>
    <x:row r="197">
      <x:c r="A197" s="9" t="str">
        <x:v>EV-AR-CT-C-B-TECH-2-B1-RCN-G0-ST01</x:v>
      </x:c>
      <x:c r="B197" s="9" t="str">
        <x:v>EV-AR-CT-C-B-TECH-2-B1-RCN-G0</x:v>
      </x:c>
      <x:c r="C197" s="9" t="str">
        <x:v>EOW-AR-CT-C-B-TECH-2-B1-RCN-G0</x:v>
      </x:c>
      <x:c r="D197" s="9" t="str">
        <x:v>AR-CT-C-B-TECH-2-B1-RCN-G0</x:v>
      </x:c>
      <x:c r="E197" s="9" t="str">
        <x:v>CT-C-B-TECH-2</x:v>
      </x:c>
      <x:c r="F197" s="9" t="str">
        <x:v>CT-C-B</x:v>
      </x:c>
      <x:c r="G197" s="9" t="str">
        <x:v>B1</x:v>
      </x:c>
      <x:c r="H197" s="9" t="str">
        <x:v>RCN</x:v>
      </x:c>
      <x:c r="I197" s="9" t="n">
        <x:v>1</x:v>
      </x:c>
      <x:c r="J197" s="9" t="n">
        <x:v>4</x:v>
      </x:c>
      <x:c r="K197" s="9" t="str">
        <x:v>CT-C-B-N3</x:v>
      </x:c>
      <x:c r="L197" s="9" t="str">
        <x:v>ST01</x:v>
      </x:c>
      <x:c r="M197" s="17" t="str">
        <x:v>Active opportunity warrant</x:v>
      </x:c>
      <x:c r="N197" s="17" t="str">
        <x:v>configuration-bound EOW is within its thirty-six-hour validity</x:v>
      </x:c>
      <x:c r="O197" s="17" t="str">
        <x:v>Start registrar</x:v>
      </x:c>
      <x:c r="P197" s="9" t="n">
        <x:v>0</x:v>
      </x:c>
      <x:c r="Q197" s="9" t="n">
        <x:v>0</x:v>
      </x:c>
      <x:c r="R197" s="9" t="str">
        <x:v>OPEN / UNSTARTED</x:v>
      </x:c>
      <x:c r="S197" s="9" t="n">
        <x:f>COUNTIFS($A$7:$A$1446,A197)</x:f>
        <x:v>1</x:v>
      </x:c>
    </x:row>
    <x:row r="198">
      <x:c r="A198" s="9" t="str">
        <x:v>EV-AR-CT-C-B-TECH-2-B1-RCN-G0-ST02</x:v>
      </x:c>
      <x:c r="B198" s="9" t="str">
        <x:v>EV-AR-CT-C-B-TECH-2-B1-RCN-G0</x:v>
      </x:c>
      <x:c r="C198" s="9" t="str">
        <x:v>EOW-AR-CT-C-B-TECH-2-B1-RCN-G0</x:v>
      </x:c>
      <x:c r="D198" s="9" t="str">
        <x:v>AR-CT-C-B-TECH-2-B1-RCN-G0</x:v>
      </x:c>
      <x:c r="E198" s="9" t="str">
        <x:v>CT-C-B-TECH-2</x:v>
      </x:c>
      <x:c r="F198" s="9" t="str">
        <x:v>CT-C-B</x:v>
      </x:c>
      <x:c r="G198" s="9" t="str">
        <x:v>B1</x:v>
      </x:c>
      <x:c r="H198" s="9" t="str">
        <x:v>RCN</x:v>
      </x:c>
      <x:c r="I198" s="9" t="n">
        <x:v>1</x:v>
      </x:c>
      <x:c r="J198" s="9" t="n">
        <x:v>4</x:v>
      </x:c>
      <x:c r="K198" s="9" t="str">
        <x:v>CT-C-B-N3</x:v>
      </x:c>
      <x:c r="L198" s="9" t="str">
        <x:v>ST02</x:v>
      </x:c>
      <x:c r="M198" s="17" t="str">
        <x:v>Frozen identity</x:v>
      </x:c>
      <x:c r="N198" s="17" t="str">
        <x:v>serial, generation, fixture, site, receiver and digest match the warrant</x:v>
      </x:c>
      <x:c r="O198" s="17" t="str">
        <x:v>Custody authority</x:v>
      </x:c>
      <x:c r="P198" s="9" t="n">
        <x:v>0</x:v>
      </x:c>
      <x:c r="Q198" s="9" t="n">
        <x:v>0</x:v>
      </x:c>
      <x:c r="R198" s="9" t="str">
        <x:v>OPEN / UNSTARTED</x:v>
      </x:c>
      <x:c r="S198" s="9" t="n">
        <x:f>COUNTIFS($A$7:$A$1446,A198)</x:f>
        <x:v>1</x:v>
      </x:c>
    </x:row>
    <x:row r="199">
      <x:c r="A199" s="9" t="str">
        <x:v>EV-AR-CT-C-B-TECH-2-B1-RCN-G0-ST03</x:v>
      </x:c>
      <x:c r="B199" s="9" t="str">
        <x:v>EV-AR-CT-C-B-TECH-2-B1-RCN-G0</x:v>
      </x:c>
      <x:c r="C199" s="9" t="str">
        <x:v>EOW-AR-CT-C-B-TECH-2-B1-RCN-G0</x:v>
      </x:c>
      <x:c r="D199" s="9" t="str">
        <x:v>AR-CT-C-B-TECH-2-B1-RCN-G0</x:v>
      </x:c>
      <x:c r="E199" s="9" t="str">
        <x:v>CT-C-B-TECH-2</x:v>
      </x:c>
      <x:c r="F199" s="9" t="str">
        <x:v>CT-C-B</x:v>
      </x:c>
      <x:c r="G199" s="9" t="str">
        <x:v>B1</x:v>
      </x:c>
      <x:c r="H199" s="9" t="str">
        <x:v>RCN</x:v>
      </x:c>
      <x:c r="I199" s="9" t="n">
        <x:v>1</x:v>
      </x:c>
      <x:c r="J199" s="9" t="n">
        <x:v>4</x:v>
      </x:c>
      <x:c r="K199" s="9" t="str">
        <x:v>CT-C-B-N3</x:v>
      </x:c>
      <x:c r="L199" s="9" t="str">
        <x:v>ST03</x:v>
      </x:c>
      <x:c r="M199" s="17" t="str">
        <x:v>Receiver receipt</x:v>
      </x:c>
      <x:c r="N199" s="17" t="str">
        <x:v>denominator, counterfactual, rights and stop receipt remain unchanged</x:v>
      </x:c>
      <x:c r="O199" s="17" t="str">
        <x:v>Receiver authority</x:v>
      </x:c>
      <x:c r="P199" s="9" t="n">
        <x:v>0</x:v>
      </x:c>
      <x:c r="Q199" s="9" t="n">
        <x:v>0</x:v>
      </x:c>
      <x:c r="R199" s="9" t="str">
        <x:v>OPEN / UNSTARTED</x:v>
      </x:c>
      <x:c r="S199" s="9" t="n">
        <x:f>COUNTIFS($A$7:$A$1446,A199)</x:f>
        <x:v>1</x:v>
      </x:c>
    </x:row>
    <x:row r="200">
      <x:c r="A200" s="9" t="str">
        <x:v>EV-AR-CT-C-B-TECH-2-B1-RCN-G0-ST04</x:v>
      </x:c>
      <x:c r="B200" s="9" t="str">
        <x:v>EV-AR-CT-C-B-TECH-2-B1-RCN-G0</x:v>
      </x:c>
      <x:c r="C200" s="9" t="str">
        <x:v>EOW-AR-CT-C-B-TECH-2-B1-RCN-G0</x:v>
      </x:c>
      <x:c r="D200" s="9" t="str">
        <x:v>AR-CT-C-B-TECH-2-B1-RCN-G0</x:v>
      </x:c>
      <x:c r="E200" s="9" t="str">
        <x:v>CT-C-B-TECH-2</x:v>
      </x:c>
      <x:c r="F200" s="9" t="str">
        <x:v>CT-C-B</x:v>
      </x:c>
      <x:c r="G200" s="9" t="str">
        <x:v>B1</x:v>
      </x:c>
      <x:c r="H200" s="9" t="str">
        <x:v>RCN</x:v>
      </x:c>
      <x:c r="I200" s="9" t="n">
        <x:v>1</x:v>
      </x:c>
      <x:c r="J200" s="9" t="n">
        <x:v>4</x:v>
      </x:c>
      <x:c r="K200" s="9" t="str">
        <x:v>CT-C-B-N3</x:v>
      </x:c>
      <x:c r="L200" s="9" t="str">
        <x:v>ST04</x:v>
      </x:c>
      <x:c r="M200" s="17" t="str">
        <x:v>Primary capture armed</x:v>
      </x:c>
      <x:c r="N200" s="17" t="str">
        <x:v>primary chain records sealed reference and live time</x:v>
      </x:c>
      <x:c r="O200" s="17" t="str">
        <x:v>Primary metrology</x:v>
      </x:c>
      <x:c r="P200" s="9" t="n">
        <x:v>0</x:v>
      </x:c>
      <x:c r="Q200" s="9" t="n">
        <x:v>0</x:v>
      </x:c>
      <x:c r="R200" s="9" t="str">
        <x:v>OPEN / UNSTARTED</x:v>
      </x:c>
      <x:c r="S200" s="9" t="n">
        <x:f>COUNTIFS($A$7:$A$1446,A200)</x:f>
        <x:v>1</x:v>
      </x:c>
    </x:row>
    <x:row r="201">
      <x:c r="A201" s="9" t="str">
        <x:v>EV-AR-CT-C-B-TECH-2-B1-RCN-G0-ST05</x:v>
      </x:c>
      <x:c r="B201" s="9" t="str">
        <x:v>EV-AR-CT-C-B-TECH-2-B1-RCN-G0</x:v>
      </x:c>
      <x:c r="C201" s="9" t="str">
        <x:v>EOW-AR-CT-C-B-TECH-2-B1-RCN-G0</x:v>
      </x:c>
      <x:c r="D201" s="9" t="str">
        <x:v>AR-CT-C-B-TECH-2-B1-RCN-G0</x:v>
      </x:c>
      <x:c r="E201" s="9" t="str">
        <x:v>CT-C-B-TECH-2</x:v>
      </x:c>
      <x:c r="F201" s="9" t="str">
        <x:v>CT-C-B</x:v>
      </x:c>
      <x:c r="G201" s="9" t="str">
        <x:v>B1</x:v>
      </x:c>
      <x:c r="H201" s="9" t="str">
        <x:v>RCN</x:v>
      </x:c>
      <x:c r="I201" s="9" t="n">
        <x:v>1</x:v>
      </x:c>
      <x:c r="J201" s="9" t="n">
        <x:v>4</x:v>
      </x:c>
      <x:c r="K201" s="9" t="str">
        <x:v>CT-C-B-N3</x:v>
      </x:c>
      <x:c r="L201" s="9" t="str">
        <x:v>ST05</x:v>
      </x:c>
      <x:c r="M201" s="17" t="str">
        <x:v>Witness capture armed</x:v>
      </x:c>
      <x:c r="N201" s="17" t="str">
        <x:v>unlike witness records independent reference and live time</x:v>
      </x:c>
      <x:c r="O201" s="17" t="str">
        <x:v>Witness metrology</x:v>
      </x:c>
      <x:c r="P201" s="9" t="n">
        <x:v>0</x:v>
      </x:c>
      <x:c r="Q201" s="9" t="n">
        <x:v>0</x:v>
      </x:c>
      <x:c r="R201" s="9" t="str">
        <x:v>OPEN / UNSTARTED</x:v>
      </x:c>
      <x:c r="S201" s="9" t="n">
        <x:f>COUNTIFS($A$7:$A$1446,A201)</x:f>
        <x:v>1</x:v>
      </x:c>
    </x:row>
    <x:row r="202">
      <x:c r="A202" s="9" t="str">
        <x:v>EV-AR-CT-C-B-TECH-2-B1-RCN-G0-ST06</x:v>
      </x:c>
      <x:c r="B202" s="9" t="str">
        <x:v>EV-AR-CT-C-B-TECH-2-B1-RCN-G0</x:v>
      </x:c>
      <x:c r="C202" s="9" t="str">
        <x:v>EOW-AR-CT-C-B-TECH-2-B1-RCN-G0</x:v>
      </x:c>
      <x:c r="D202" s="9" t="str">
        <x:v>AR-CT-C-B-TECH-2-B1-RCN-G0</x:v>
      </x:c>
      <x:c r="E202" s="9" t="str">
        <x:v>CT-C-B-TECH-2</x:v>
      </x:c>
      <x:c r="F202" s="9" t="str">
        <x:v>CT-C-B</x:v>
      </x:c>
      <x:c r="G202" s="9" t="str">
        <x:v>B1</x:v>
      </x:c>
      <x:c r="H202" s="9" t="str">
        <x:v>RCN</x:v>
      </x:c>
      <x:c r="I202" s="9" t="n">
        <x:v>1</x:v>
      </x:c>
      <x:c r="J202" s="9" t="n">
        <x:v>4</x:v>
      </x:c>
      <x:c r="K202" s="9" t="str">
        <x:v>CT-C-B-N3</x:v>
      </x:c>
      <x:c r="L202" s="9" t="str">
        <x:v>ST06</x:v>
      </x:c>
      <x:c r="M202" s="17" t="str">
        <x:v>Public custody armed</x:v>
      </x:c>
      <x:c r="N202" s="17" t="str">
        <x:v>eight raw origins have separated hash and replica routes</x:v>
      </x:c>
      <x:c r="O202" s="17" t="str">
        <x:v>Custody authority</x:v>
      </x:c>
      <x:c r="P202" s="9" t="n">
        <x:v>0</x:v>
      </x:c>
      <x:c r="Q202" s="9" t="n">
        <x:v>0</x:v>
      </x:c>
      <x:c r="R202" s="9" t="str">
        <x:v>OPEN / UNSTARTED</x:v>
      </x:c>
      <x:c r="S202" s="9" t="n">
        <x:f>COUNTIFS($A$7:$A$1446,A202)</x:f>
        <x:v>1</x:v>
      </x:c>
    </x:row>
    <x:row r="203">
      <x:c r="A203" s="9" t="str">
        <x:v>EV-AR-CT-C-B-TECH-2-B1-RCN-G0-ST07</x:v>
      </x:c>
      <x:c r="B203" s="9" t="str">
        <x:v>EV-AR-CT-C-B-TECH-2-B1-RCN-G0</x:v>
      </x:c>
      <x:c r="C203" s="9" t="str">
        <x:v>EOW-AR-CT-C-B-TECH-2-B1-RCN-G0</x:v>
      </x:c>
      <x:c r="D203" s="9" t="str">
        <x:v>AR-CT-C-B-TECH-2-B1-RCN-G0</x:v>
      </x:c>
      <x:c r="E203" s="9" t="str">
        <x:v>CT-C-B-TECH-2</x:v>
      </x:c>
      <x:c r="F203" s="9" t="str">
        <x:v>CT-C-B</x:v>
      </x:c>
      <x:c r="G203" s="9" t="str">
        <x:v>B1</x:v>
      </x:c>
      <x:c r="H203" s="9" t="str">
        <x:v>RCN</x:v>
      </x:c>
      <x:c r="I203" s="9" t="n">
        <x:v>1</x:v>
      </x:c>
      <x:c r="J203" s="9" t="n">
        <x:v>4</x:v>
      </x:c>
      <x:c r="K203" s="9" t="str">
        <x:v>CT-C-B-N3</x:v>
      </x:c>
      <x:c r="L203" s="9" t="str">
        <x:v>ST07</x:v>
      </x:c>
      <x:c r="M203" s="17" t="str">
        <x:v>Environmental baseline</x:v>
      </x:c>
      <x:c r="N203" s="17" t="str">
        <x:v>pre-event boundary state is sealed before decisive operation</x:v>
      </x:c>
      <x:c r="O203" s="17" t="str">
        <x:v>Site metrology</x:v>
      </x:c>
      <x:c r="P203" s="9" t="n">
        <x:v>0</x:v>
      </x:c>
      <x:c r="Q203" s="9" t="n">
        <x:v>0</x:v>
      </x:c>
      <x:c r="R203" s="9" t="str">
        <x:v>OPEN / UNSTARTED</x:v>
      </x:c>
      <x:c r="S203" s="9" t="n">
        <x:f>COUNTIFS($A$7:$A$1446,A203)</x:f>
        <x:v>1</x:v>
      </x:c>
    </x:row>
    <x:row r="204">
      <x:c r="A204" s="9" t="str">
        <x:v>EV-AR-CT-C-B-TECH-2-B1-RCN-G0-ST08</x:v>
      </x:c>
      <x:c r="B204" s="9" t="str">
        <x:v>EV-AR-CT-C-B-TECH-2-B1-RCN-G0</x:v>
      </x:c>
      <x:c r="C204" s="9" t="str">
        <x:v>EOW-AR-CT-C-B-TECH-2-B1-RCN-G0</x:v>
      </x:c>
      <x:c r="D204" s="9" t="str">
        <x:v>AR-CT-C-B-TECH-2-B1-RCN-G0</x:v>
      </x:c>
      <x:c r="E204" s="9" t="str">
        <x:v>CT-C-B-TECH-2</x:v>
      </x:c>
      <x:c r="F204" s="9" t="str">
        <x:v>CT-C-B</x:v>
      </x:c>
      <x:c r="G204" s="9" t="str">
        <x:v>B1</x:v>
      </x:c>
      <x:c r="H204" s="9" t="str">
        <x:v>RCN</x:v>
      </x:c>
      <x:c r="I204" s="9" t="n">
        <x:v>1</x:v>
      </x:c>
      <x:c r="J204" s="9" t="n">
        <x:v>4</x:v>
      </x:c>
      <x:c r="K204" s="9" t="str">
        <x:v>CT-C-B-N3</x:v>
      </x:c>
      <x:c r="L204" s="9" t="str">
        <x:v>ST08</x:v>
      </x:c>
      <x:c r="M204" s="17" t="str">
        <x:v>Manual stop and safety</x:v>
      </x:c>
      <x:c r="N204" s="17" t="str">
        <x:v>local stop, evacuation and protection routes are active</x:v>
      </x:c>
      <x:c r="O204" s="17" t="str">
        <x:v>Safety authority</x:v>
      </x:c>
      <x:c r="P204" s="9" t="n">
        <x:v>0</x:v>
      </x:c>
      <x:c r="Q204" s="9" t="n">
        <x:v>0</x:v>
      </x:c>
      <x:c r="R204" s="9" t="str">
        <x:v>OPEN / UNSTARTED</x:v>
      </x:c>
      <x:c r="S204" s="9" t="n">
        <x:f>COUNTIFS($A$7:$A$1446,A204)</x:f>
        <x:v>1</x:v>
      </x:c>
    </x:row>
    <x:row r="205">
      <x:c r="A205" s="9" t="str">
        <x:v>EV-AR-CT-C-B-TECH-2-B1-RCN-G0-ST09</x:v>
      </x:c>
      <x:c r="B205" s="9" t="str">
        <x:v>EV-AR-CT-C-B-TECH-2-B1-RCN-G0</x:v>
      </x:c>
      <x:c r="C205" s="9" t="str">
        <x:v>EOW-AR-CT-C-B-TECH-2-B1-RCN-G0</x:v>
      </x:c>
      <x:c r="D205" s="9" t="str">
        <x:v>AR-CT-C-B-TECH-2-B1-RCN-G0</x:v>
      </x:c>
      <x:c r="E205" s="9" t="str">
        <x:v>CT-C-B-TECH-2</x:v>
      </x:c>
      <x:c r="F205" s="9" t="str">
        <x:v>CT-C-B</x:v>
      </x:c>
      <x:c r="G205" s="9" t="str">
        <x:v>B1</x:v>
      </x:c>
      <x:c r="H205" s="9" t="str">
        <x:v>RCN</x:v>
      </x:c>
      <x:c r="I205" s="9" t="n">
        <x:v>1</x:v>
      </x:c>
      <x:c r="J205" s="9" t="n">
        <x:v>4</x:v>
      </x:c>
      <x:c r="K205" s="9" t="str">
        <x:v>CT-C-B-N3</x:v>
      </x:c>
      <x:c r="L205" s="9" t="str">
        <x:v>ST09</x:v>
      </x:c>
      <x:c r="M205" s="17" t="str">
        <x:v>Operator conflict clear</x:v>
      </x:c>
      <x:c r="N205" s="17" t="str">
        <x:v>candidate, fixture, safety and measurement control edges remain separated</x:v>
      </x:c>
      <x:c r="O205" s="17" t="str">
        <x:v>Conflict registrar</x:v>
      </x:c>
      <x:c r="P205" s="9" t="n">
        <x:v>0</x:v>
      </x:c>
      <x:c r="Q205" s="9" t="n">
        <x:v>0</x:v>
      </x:c>
      <x:c r="R205" s="9" t="str">
        <x:v>OPEN / UNSTARTED</x:v>
      </x:c>
      <x:c r="S205" s="9" t="n">
        <x:f>COUNTIFS($A$7:$A$1446,A205)</x:f>
        <x:v>1</x:v>
      </x:c>
    </x:row>
    <x:row r="206">
      <x:c r="A206" s="9" t="str">
        <x:v>EV-AR-CT-C-B-TECH-2-B1-RCN-G0-ST10</x:v>
      </x:c>
      <x:c r="B206" s="9" t="str">
        <x:v>EV-AR-CT-C-B-TECH-2-B1-RCN-G0</x:v>
      </x:c>
      <x:c r="C206" s="9" t="str">
        <x:v>EOW-AR-CT-C-B-TECH-2-B1-RCN-G0</x:v>
      </x:c>
      <x:c r="D206" s="9" t="str">
        <x:v>AR-CT-C-B-TECH-2-B1-RCN-G0</x:v>
      </x:c>
      <x:c r="E206" s="9" t="str">
        <x:v>CT-C-B-TECH-2</x:v>
      </x:c>
      <x:c r="F206" s="9" t="str">
        <x:v>CT-C-B</x:v>
      </x:c>
      <x:c r="G206" s="9" t="str">
        <x:v>B1</x:v>
      </x:c>
      <x:c r="H206" s="9" t="str">
        <x:v>RCN</x:v>
      </x:c>
      <x:c r="I206" s="9" t="n">
        <x:v>1</x:v>
      </x:c>
      <x:c r="J206" s="9" t="n">
        <x:v>4</x:v>
      </x:c>
      <x:c r="K206" s="9" t="str">
        <x:v>CT-C-B-N3</x:v>
      </x:c>
      <x:c r="L206" s="9" t="str">
        <x:v>ST10</x:v>
      </x:c>
      <x:c r="M206" s="17" t="str">
        <x:v>Window and common clock</x:v>
      </x:c>
      <x:c r="N206" s="17" t="str">
        <x:v>epoch, window and public time origin match the issued warrant</x:v>
      </x:c>
      <x:c r="O206" s="17" t="str">
        <x:v>Event clock authority</x:v>
      </x:c>
      <x:c r="P206" s="9" t="n">
        <x:v>0</x:v>
      </x:c>
      <x:c r="Q206" s="9" t="n">
        <x:v>0</x:v>
      </x:c>
      <x:c r="R206" s="9" t="str">
        <x:v>OPEN / UNSTARTED</x:v>
      </x:c>
      <x:c r="S206" s="9" t="n">
        <x:f>COUNTIFS($A$7:$A$1446,A206)</x:f>
        <x:v>1</x:v>
      </x:c>
    </x:row>
    <x:row r="207">
      <x:c r="A207" s="9" t="str">
        <x:v>EV-AR-HC-A-C-TECH-2-B2-BRK-G0-ST01</x:v>
      </x:c>
      <x:c r="B207" s="9" t="str">
        <x:v>EV-AR-HC-A-C-TECH-2-B2-BRK-G0</x:v>
      </x:c>
      <x:c r="C207" s="9" t="str">
        <x:v>EOW-AR-HC-A-C-TECH-2-B2-BRK-G0</x:v>
      </x:c>
      <x:c r="D207" s="9" t="str">
        <x:v>AR-HC-A-C-TECH-2-B2-BRK-G0</x:v>
      </x:c>
      <x:c r="E207" s="9" t="str">
        <x:v>HC-A-C-TECH-2</x:v>
      </x:c>
      <x:c r="F207" s="9" t="str">
        <x:v>HC-A-C</x:v>
      </x:c>
      <x:c r="G207" s="9" t="str">
        <x:v>B2</x:v>
      </x:c>
      <x:c r="H207" s="9" t="str">
        <x:v>BRK</x:v>
      </x:c>
      <x:c r="I207" s="9" t="n">
        <x:v>1</x:v>
      </x:c>
      <x:c r="J207" s="9" t="n">
        <x:v>4</x:v>
      </x:c>
      <x:c r="K207" s="9" t="str">
        <x:v>HC-A-C-N3</x:v>
      </x:c>
      <x:c r="L207" s="9" t="str">
        <x:v>ST01</x:v>
      </x:c>
      <x:c r="M207" s="17" t="str">
        <x:v>Active opportunity warrant</x:v>
      </x:c>
      <x:c r="N207" s="17" t="str">
        <x:v>configuration-bound EOW is within its thirty-six-hour validity</x:v>
      </x:c>
      <x:c r="O207" s="17" t="str">
        <x:v>Start registrar</x:v>
      </x:c>
      <x:c r="P207" s="9" t="n">
        <x:v>0</x:v>
      </x:c>
      <x:c r="Q207" s="9" t="n">
        <x:v>0</x:v>
      </x:c>
      <x:c r="R207" s="9" t="str">
        <x:v>OPEN / UNSTARTED</x:v>
      </x:c>
      <x:c r="S207" s="9" t="n">
        <x:f>COUNTIFS($A$7:$A$1446,A207)</x:f>
        <x:v>1</x:v>
      </x:c>
    </x:row>
    <x:row r="208">
      <x:c r="A208" s="9" t="str">
        <x:v>EV-AR-HC-A-C-TECH-2-B2-BRK-G0-ST02</x:v>
      </x:c>
      <x:c r="B208" s="9" t="str">
        <x:v>EV-AR-HC-A-C-TECH-2-B2-BRK-G0</x:v>
      </x:c>
      <x:c r="C208" s="9" t="str">
        <x:v>EOW-AR-HC-A-C-TECH-2-B2-BRK-G0</x:v>
      </x:c>
      <x:c r="D208" s="9" t="str">
        <x:v>AR-HC-A-C-TECH-2-B2-BRK-G0</x:v>
      </x:c>
      <x:c r="E208" s="9" t="str">
        <x:v>HC-A-C-TECH-2</x:v>
      </x:c>
      <x:c r="F208" s="9" t="str">
        <x:v>HC-A-C</x:v>
      </x:c>
      <x:c r="G208" s="9" t="str">
        <x:v>B2</x:v>
      </x:c>
      <x:c r="H208" s="9" t="str">
        <x:v>BRK</x:v>
      </x:c>
      <x:c r="I208" s="9" t="n">
        <x:v>1</x:v>
      </x:c>
      <x:c r="J208" s="9" t="n">
        <x:v>4</x:v>
      </x:c>
      <x:c r="K208" s="9" t="str">
        <x:v>HC-A-C-N3</x:v>
      </x:c>
      <x:c r="L208" s="9" t="str">
        <x:v>ST02</x:v>
      </x:c>
      <x:c r="M208" s="17" t="str">
        <x:v>Frozen identity</x:v>
      </x:c>
      <x:c r="N208" s="17" t="str">
        <x:v>serial, generation, fixture, site, receiver and digest match the warrant</x:v>
      </x:c>
      <x:c r="O208" s="17" t="str">
        <x:v>Custody authority</x:v>
      </x:c>
      <x:c r="P208" s="9" t="n">
        <x:v>0</x:v>
      </x:c>
      <x:c r="Q208" s="9" t="n">
        <x:v>0</x:v>
      </x:c>
      <x:c r="R208" s="9" t="str">
        <x:v>OPEN / UNSTARTED</x:v>
      </x:c>
      <x:c r="S208" s="9" t="n">
        <x:f>COUNTIFS($A$7:$A$1446,A208)</x:f>
        <x:v>1</x:v>
      </x:c>
    </x:row>
    <x:row r="209">
      <x:c r="A209" s="9" t="str">
        <x:v>EV-AR-HC-A-C-TECH-2-B2-BRK-G0-ST03</x:v>
      </x:c>
      <x:c r="B209" s="9" t="str">
        <x:v>EV-AR-HC-A-C-TECH-2-B2-BRK-G0</x:v>
      </x:c>
      <x:c r="C209" s="9" t="str">
        <x:v>EOW-AR-HC-A-C-TECH-2-B2-BRK-G0</x:v>
      </x:c>
      <x:c r="D209" s="9" t="str">
        <x:v>AR-HC-A-C-TECH-2-B2-BRK-G0</x:v>
      </x:c>
      <x:c r="E209" s="9" t="str">
        <x:v>HC-A-C-TECH-2</x:v>
      </x:c>
      <x:c r="F209" s="9" t="str">
        <x:v>HC-A-C</x:v>
      </x:c>
      <x:c r="G209" s="9" t="str">
        <x:v>B2</x:v>
      </x:c>
      <x:c r="H209" s="9" t="str">
        <x:v>BRK</x:v>
      </x:c>
      <x:c r="I209" s="9" t="n">
        <x:v>1</x:v>
      </x:c>
      <x:c r="J209" s="9" t="n">
        <x:v>4</x:v>
      </x:c>
      <x:c r="K209" s="9" t="str">
        <x:v>HC-A-C-N3</x:v>
      </x:c>
      <x:c r="L209" s="9" t="str">
        <x:v>ST03</x:v>
      </x:c>
      <x:c r="M209" s="17" t="str">
        <x:v>Receiver receipt</x:v>
      </x:c>
      <x:c r="N209" s="17" t="str">
        <x:v>denominator, counterfactual, rights and stop receipt remain unchanged</x:v>
      </x:c>
      <x:c r="O209" s="17" t="str">
        <x:v>Receiver authority</x:v>
      </x:c>
      <x:c r="P209" s="9" t="n">
        <x:v>0</x:v>
      </x:c>
      <x:c r="Q209" s="9" t="n">
        <x:v>0</x:v>
      </x:c>
      <x:c r="R209" s="9" t="str">
        <x:v>OPEN / UNSTARTED</x:v>
      </x:c>
      <x:c r="S209" s="9" t="n">
        <x:f>COUNTIFS($A$7:$A$1446,A209)</x:f>
        <x:v>1</x:v>
      </x:c>
    </x:row>
    <x:row r="210">
      <x:c r="A210" s="9" t="str">
        <x:v>EV-AR-HC-A-C-TECH-2-B2-BRK-G0-ST04</x:v>
      </x:c>
      <x:c r="B210" s="9" t="str">
        <x:v>EV-AR-HC-A-C-TECH-2-B2-BRK-G0</x:v>
      </x:c>
      <x:c r="C210" s="9" t="str">
        <x:v>EOW-AR-HC-A-C-TECH-2-B2-BRK-G0</x:v>
      </x:c>
      <x:c r="D210" s="9" t="str">
        <x:v>AR-HC-A-C-TECH-2-B2-BRK-G0</x:v>
      </x:c>
      <x:c r="E210" s="9" t="str">
        <x:v>HC-A-C-TECH-2</x:v>
      </x:c>
      <x:c r="F210" s="9" t="str">
        <x:v>HC-A-C</x:v>
      </x:c>
      <x:c r="G210" s="9" t="str">
        <x:v>B2</x:v>
      </x:c>
      <x:c r="H210" s="9" t="str">
        <x:v>BRK</x:v>
      </x:c>
      <x:c r="I210" s="9" t="n">
        <x:v>1</x:v>
      </x:c>
      <x:c r="J210" s="9" t="n">
        <x:v>4</x:v>
      </x:c>
      <x:c r="K210" s="9" t="str">
        <x:v>HC-A-C-N3</x:v>
      </x:c>
      <x:c r="L210" s="9" t="str">
        <x:v>ST04</x:v>
      </x:c>
      <x:c r="M210" s="17" t="str">
        <x:v>Primary capture armed</x:v>
      </x:c>
      <x:c r="N210" s="17" t="str">
        <x:v>primary chain records sealed reference and live time</x:v>
      </x:c>
      <x:c r="O210" s="17" t="str">
        <x:v>Primary metrology</x:v>
      </x:c>
      <x:c r="P210" s="9" t="n">
        <x:v>0</x:v>
      </x:c>
      <x:c r="Q210" s="9" t="n">
        <x:v>0</x:v>
      </x:c>
      <x:c r="R210" s="9" t="str">
        <x:v>OPEN / UNSTARTED</x:v>
      </x:c>
      <x:c r="S210" s="9" t="n">
        <x:f>COUNTIFS($A$7:$A$1446,A210)</x:f>
        <x:v>1</x:v>
      </x:c>
    </x:row>
    <x:row r="211">
      <x:c r="A211" s="9" t="str">
        <x:v>EV-AR-HC-A-C-TECH-2-B2-BRK-G0-ST05</x:v>
      </x:c>
      <x:c r="B211" s="9" t="str">
        <x:v>EV-AR-HC-A-C-TECH-2-B2-BRK-G0</x:v>
      </x:c>
      <x:c r="C211" s="9" t="str">
        <x:v>EOW-AR-HC-A-C-TECH-2-B2-BRK-G0</x:v>
      </x:c>
      <x:c r="D211" s="9" t="str">
        <x:v>AR-HC-A-C-TECH-2-B2-BRK-G0</x:v>
      </x:c>
      <x:c r="E211" s="9" t="str">
        <x:v>HC-A-C-TECH-2</x:v>
      </x:c>
      <x:c r="F211" s="9" t="str">
        <x:v>HC-A-C</x:v>
      </x:c>
      <x:c r="G211" s="9" t="str">
        <x:v>B2</x:v>
      </x:c>
      <x:c r="H211" s="9" t="str">
        <x:v>BRK</x:v>
      </x:c>
      <x:c r="I211" s="9" t="n">
        <x:v>1</x:v>
      </x:c>
      <x:c r="J211" s="9" t="n">
        <x:v>4</x:v>
      </x:c>
      <x:c r="K211" s="9" t="str">
        <x:v>HC-A-C-N3</x:v>
      </x:c>
      <x:c r="L211" s="9" t="str">
        <x:v>ST05</x:v>
      </x:c>
      <x:c r="M211" s="17" t="str">
        <x:v>Witness capture armed</x:v>
      </x:c>
      <x:c r="N211" s="17" t="str">
        <x:v>unlike witness records independent reference and live time</x:v>
      </x:c>
      <x:c r="O211" s="17" t="str">
        <x:v>Witness metrology</x:v>
      </x:c>
      <x:c r="P211" s="9" t="n">
        <x:v>0</x:v>
      </x:c>
      <x:c r="Q211" s="9" t="n">
        <x:v>0</x:v>
      </x:c>
      <x:c r="R211" s="9" t="str">
        <x:v>OPEN / UNSTARTED</x:v>
      </x:c>
      <x:c r="S211" s="9" t="n">
        <x:f>COUNTIFS($A$7:$A$1446,A211)</x:f>
        <x:v>1</x:v>
      </x:c>
    </x:row>
    <x:row r="212">
      <x:c r="A212" s="9" t="str">
        <x:v>EV-AR-HC-A-C-TECH-2-B2-BRK-G0-ST06</x:v>
      </x:c>
      <x:c r="B212" s="9" t="str">
        <x:v>EV-AR-HC-A-C-TECH-2-B2-BRK-G0</x:v>
      </x:c>
      <x:c r="C212" s="9" t="str">
        <x:v>EOW-AR-HC-A-C-TECH-2-B2-BRK-G0</x:v>
      </x:c>
      <x:c r="D212" s="9" t="str">
        <x:v>AR-HC-A-C-TECH-2-B2-BRK-G0</x:v>
      </x:c>
      <x:c r="E212" s="9" t="str">
        <x:v>HC-A-C-TECH-2</x:v>
      </x:c>
      <x:c r="F212" s="9" t="str">
        <x:v>HC-A-C</x:v>
      </x:c>
      <x:c r="G212" s="9" t="str">
        <x:v>B2</x:v>
      </x:c>
      <x:c r="H212" s="9" t="str">
        <x:v>BRK</x:v>
      </x:c>
      <x:c r="I212" s="9" t="n">
        <x:v>1</x:v>
      </x:c>
      <x:c r="J212" s="9" t="n">
        <x:v>4</x:v>
      </x:c>
      <x:c r="K212" s="9" t="str">
        <x:v>HC-A-C-N3</x:v>
      </x:c>
      <x:c r="L212" s="9" t="str">
        <x:v>ST06</x:v>
      </x:c>
      <x:c r="M212" s="17" t="str">
        <x:v>Public custody armed</x:v>
      </x:c>
      <x:c r="N212" s="17" t="str">
        <x:v>eight raw origins have separated hash and replica routes</x:v>
      </x:c>
      <x:c r="O212" s="17" t="str">
        <x:v>Custody authority</x:v>
      </x:c>
      <x:c r="P212" s="9" t="n">
        <x:v>0</x:v>
      </x:c>
      <x:c r="Q212" s="9" t="n">
        <x:v>0</x:v>
      </x:c>
      <x:c r="R212" s="9" t="str">
        <x:v>OPEN / UNSTARTED</x:v>
      </x:c>
      <x:c r="S212" s="9" t="n">
        <x:f>COUNTIFS($A$7:$A$1446,A212)</x:f>
        <x:v>1</x:v>
      </x:c>
    </x:row>
    <x:row r="213">
      <x:c r="A213" s="9" t="str">
        <x:v>EV-AR-HC-A-C-TECH-2-B2-BRK-G0-ST07</x:v>
      </x:c>
      <x:c r="B213" s="9" t="str">
        <x:v>EV-AR-HC-A-C-TECH-2-B2-BRK-G0</x:v>
      </x:c>
      <x:c r="C213" s="9" t="str">
        <x:v>EOW-AR-HC-A-C-TECH-2-B2-BRK-G0</x:v>
      </x:c>
      <x:c r="D213" s="9" t="str">
        <x:v>AR-HC-A-C-TECH-2-B2-BRK-G0</x:v>
      </x:c>
      <x:c r="E213" s="9" t="str">
        <x:v>HC-A-C-TECH-2</x:v>
      </x:c>
      <x:c r="F213" s="9" t="str">
        <x:v>HC-A-C</x:v>
      </x:c>
      <x:c r="G213" s="9" t="str">
        <x:v>B2</x:v>
      </x:c>
      <x:c r="H213" s="9" t="str">
        <x:v>BRK</x:v>
      </x:c>
      <x:c r="I213" s="9" t="n">
        <x:v>1</x:v>
      </x:c>
      <x:c r="J213" s="9" t="n">
        <x:v>4</x:v>
      </x:c>
      <x:c r="K213" s="9" t="str">
        <x:v>HC-A-C-N3</x:v>
      </x:c>
      <x:c r="L213" s="9" t="str">
        <x:v>ST07</x:v>
      </x:c>
      <x:c r="M213" s="17" t="str">
        <x:v>Environmental baseline</x:v>
      </x:c>
      <x:c r="N213" s="17" t="str">
        <x:v>pre-event boundary state is sealed before decisive operation</x:v>
      </x:c>
      <x:c r="O213" s="17" t="str">
        <x:v>Site metrology</x:v>
      </x:c>
      <x:c r="P213" s="9" t="n">
        <x:v>0</x:v>
      </x:c>
      <x:c r="Q213" s="9" t="n">
        <x:v>0</x:v>
      </x:c>
      <x:c r="R213" s="9" t="str">
        <x:v>OPEN / UNSTARTED</x:v>
      </x:c>
      <x:c r="S213" s="9" t="n">
        <x:f>COUNTIFS($A$7:$A$1446,A213)</x:f>
        <x:v>1</x:v>
      </x:c>
    </x:row>
    <x:row r="214">
      <x:c r="A214" s="9" t="str">
        <x:v>EV-AR-HC-A-C-TECH-2-B2-BRK-G0-ST08</x:v>
      </x:c>
      <x:c r="B214" s="9" t="str">
        <x:v>EV-AR-HC-A-C-TECH-2-B2-BRK-G0</x:v>
      </x:c>
      <x:c r="C214" s="9" t="str">
        <x:v>EOW-AR-HC-A-C-TECH-2-B2-BRK-G0</x:v>
      </x:c>
      <x:c r="D214" s="9" t="str">
        <x:v>AR-HC-A-C-TECH-2-B2-BRK-G0</x:v>
      </x:c>
      <x:c r="E214" s="9" t="str">
        <x:v>HC-A-C-TECH-2</x:v>
      </x:c>
      <x:c r="F214" s="9" t="str">
        <x:v>HC-A-C</x:v>
      </x:c>
      <x:c r="G214" s="9" t="str">
        <x:v>B2</x:v>
      </x:c>
      <x:c r="H214" s="9" t="str">
        <x:v>BRK</x:v>
      </x:c>
      <x:c r="I214" s="9" t="n">
        <x:v>1</x:v>
      </x:c>
      <x:c r="J214" s="9" t="n">
        <x:v>4</x:v>
      </x:c>
      <x:c r="K214" s="9" t="str">
        <x:v>HC-A-C-N3</x:v>
      </x:c>
      <x:c r="L214" s="9" t="str">
        <x:v>ST08</x:v>
      </x:c>
      <x:c r="M214" s="17" t="str">
        <x:v>Manual stop and safety</x:v>
      </x:c>
      <x:c r="N214" s="17" t="str">
        <x:v>local stop, evacuation and protection routes are active</x:v>
      </x:c>
      <x:c r="O214" s="17" t="str">
        <x:v>Safety authority</x:v>
      </x:c>
      <x:c r="P214" s="9" t="n">
        <x:v>0</x:v>
      </x:c>
      <x:c r="Q214" s="9" t="n">
        <x:v>0</x:v>
      </x:c>
      <x:c r="R214" s="9" t="str">
        <x:v>OPEN / UNSTARTED</x:v>
      </x:c>
      <x:c r="S214" s="9" t="n">
        <x:f>COUNTIFS($A$7:$A$1446,A214)</x:f>
        <x:v>1</x:v>
      </x:c>
    </x:row>
    <x:row r="215">
      <x:c r="A215" s="9" t="str">
        <x:v>EV-AR-HC-A-C-TECH-2-B2-BRK-G0-ST09</x:v>
      </x:c>
      <x:c r="B215" s="9" t="str">
        <x:v>EV-AR-HC-A-C-TECH-2-B2-BRK-G0</x:v>
      </x:c>
      <x:c r="C215" s="9" t="str">
        <x:v>EOW-AR-HC-A-C-TECH-2-B2-BRK-G0</x:v>
      </x:c>
      <x:c r="D215" s="9" t="str">
        <x:v>AR-HC-A-C-TECH-2-B2-BRK-G0</x:v>
      </x:c>
      <x:c r="E215" s="9" t="str">
        <x:v>HC-A-C-TECH-2</x:v>
      </x:c>
      <x:c r="F215" s="9" t="str">
        <x:v>HC-A-C</x:v>
      </x:c>
      <x:c r="G215" s="9" t="str">
        <x:v>B2</x:v>
      </x:c>
      <x:c r="H215" s="9" t="str">
        <x:v>BRK</x:v>
      </x:c>
      <x:c r="I215" s="9" t="n">
        <x:v>1</x:v>
      </x:c>
      <x:c r="J215" s="9" t="n">
        <x:v>4</x:v>
      </x:c>
      <x:c r="K215" s="9" t="str">
        <x:v>HC-A-C-N3</x:v>
      </x:c>
      <x:c r="L215" s="9" t="str">
        <x:v>ST09</x:v>
      </x:c>
      <x:c r="M215" s="17" t="str">
        <x:v>Operator conflict clear</x:v>
      </x:c>
      <x:c r="N215" s="17" t="str">
        <x:v>candidate, fixture, safety and measurement control edges remain separated</x:v>
      </x:c>
      <x:c r="O215" s="17" t="str">
        <x:v>Conflict registrar</x:v>
      </x:c>
      <x:c r="P215" s="9" t="n">
        <x:v>0</x:v>
      </x:c>
      <x:c r="Q215" s="9" t="n">
        <x:v>0</x:v>
      </x:c>
      <x:c r="R215" s="9" t="str">
        <x:v>OPEN / UNSTARTED</x:v>
      </x:c>
      <x:c r="S215" s="9" t="n">
        <x:f>COUNTIFS($A$7:$A$1446,A215)</x:f>
        <x:v>1</x:v>
      </x:c>
    </x:row>
    <x:row r="216">
      <x:c r="A216" s="9" t="str">
        <x:v>EV-AR-HC-A-C-TECH-2-B2-BRK-G0-ST10</x:v>
      </x:c>
      <x:c r="B216" s="9" t="str">
        <x:v>EV-AR-HC-A-C-TECH-2-B2-BRK-G0</x:v>
      </x:c>
      <x:c r="C216" s="9" t="str">
        <x:v>EOW-AR-HC-A-C-TECH-2-B2-BRK-G0</x:v>
      </x:c>
      <x:c r="D216" s="9" t="str">
        <x:v>AR-HC-A-C-TECH-2-B2-BRK-G0</x:v>
      </x:c>
      <x:c r="E216" s="9" t="str">
        <x:v>HC-A-C-TECH-2</x:v>
      </x:c>
      <x:c r="F216" s="9" t="str">
        <x:v>HC-A-C</x:v>
      </x:c>
      <x:c r="G216" s="9" t="str">
        <x:v>B2</x:v>
      </x:c>
      <x:c r="H216" s="9" t="str">
        <x:v>BRK</x:v>
      </x:c>
      <x:c r="I216" s="9" t="n">
        <x:v>1</x:v>
      </x:c>
      <x:c r="J216" s="9" t="n">
        <x:v>4</x:v>
      </x:c>
      <x:c r="K216" s="9" t="str">
        <x:v>HC-A-C-N3</x:v>
      </x:c>
      <x:c r="L216" s="9" t="str">
        <x:v>ST10</x:v>
      </x:c>
      <x:c r="M216" s="17" t="str">
        <x:v>Window and common clock</x:v>
      </x:c>
      <x:c r="N216" s="17" t="str">
        <x:v>epoch, window and public time origin match the issued warrant</x:v>
      </x:c>
      <x:c r="O216" s="17" t="str">
        <x:v>Event clock authority</x:v>
      </x:c>
      <x:c r="P216" s="9" t="n">
        <x:v>0</x:v>
      </x:c>
      <x:c r="Q216" s="9" t="n">
        <x:v>0</x:v>
      </x:c>
      <x:c r="R216" s="9" t="str">
        <x:v>OPEN / UNSTARTED</x:v>
      </x:c>
      <x:c r="S216" s="9" t="n">
        <x:f>COUNTIFS($A$7:$A$1446,A216)</x:f>
        <x:v>1</x:v>
      </x:c>
    </x:row>
    <x:row r="217">
      <x:c r="A217" s="9" t="str">
        <x:v>EV-AR-HU-A-B-TECH-1-B1-BRK-G0-ST01</x:v>
      </x:c>
      <x:c r="B217" s="9" t="str">
        <x:v>EV-AR-HU-A-B-TECH-1-B1-BRK-G0</x:v>
      </x:c>
      <x:c r="C217" s="9" t="str">
        <x:v>EOW-AR-HU-A-B-TECH-1-B1-BRK-G0</x:v>
      </x:c>
      <x:c r="D217" s="9" t="str">
        <x:v>AR-HU-A-B-TECH-1-B1-BRK-G0</x:v>
      </x:c>
      <x:c r="E217" s="9" t="str">
        <x:v>HU-A-B-TECH-1</x:v>
      </x:c>
      <x:c r="F217" s="9" t="str">
        <x:v>HU-A-B</x:v>
      </x:c>
      <x:c r="G217" s="9" t="str">
        <x:v>B1</x:v>
      </x:c>
      <x:c r="H217" s="9" t="str">
        <x:v>BRK</x:v>
      </x:c>
      <x:c r="I217" s="9" t="n">
        <x:v>1</x:v>
      </x:c>
      <x:c r="J217" s="9" t="n">
        <x:v>4</x:v>
      </x:c>
      <x:c r="K217" s="9" t="str">
        <x:v>HU-A-B-N2</x:v>
      </x:c>
      <x:c r="L217" s="9" t="str">
        <x:v>ST01</x:v>
      </x:c>
      <x:c r="M217" s="17" t="str">
        <x:v>Active opportunity warrant</x:v>
      </x:c>
      <x:c r="N217" s="17" t="str">
        <x:v>configuration-bound EOW is within its thirty-six-hour validity</x:v>
      </x:c>
      <x:c r="O217" s="17" t="str">
        <x:v>Start registrar</x:v>
      </x:c>
      <x:c r="P217" s="9" t="n">
        <x:v>0</x:v>
      </x:c>
      <x:c r="Q217" s="9" t="n">
        <x:v>0</x:v>
      </x:c>
      <x:c r="R217" s="9" t="str">
        <x:v>OPEN / UNSTARTED</x:v>
      </x:c>
      <x:c r="S217" s="9" t="n">
        <x:f>COUNTIFS($A$7:$A$1446,A217)</x:f>
        <x:v>1</x:v>
      </x:c>
    </x:row>
    <x:row r="218">
      <x:c r="A218" s="9" t="str">
        <x:v>EV-AR-HU-A-B-TECH-1-B1-BRK-G0-ST02</x:v>
      </x:c>
      <x:c r="B218" s="9" t="str">
        <x:v>EV-AR-HU-A-B-TECH-1-B1-BRK-G0</x:v>
      </x:c>
      <x:c r="C218" s="9" t="str">
        <x:v>EOW-AR-HU-A-B-TECH-1-B1-BRK-G0</x:v>
      </x:c>
      <x:c r="D218" s="9" t="str">
        <x:v>AR-HU-A-B-TECH-1-B1-BRK-G0</x:v>
      </x:c>
      <x:c r="E218" s="9" t="str">
        <x:v>HU-A-B-TECH-1</x:v>
      </x:c>
      <x:c r="F218" s="9" t="str">
        <x:v>HU-A-B</x:v>
      </x:c>
      <x:c r="G218" s="9" t="str">
        <x:v>B1</x:v>
      </x:c>
      <x:c r="H218" s="9" t="str">
        <x:v>BRK</x:v>
      </x:c>
      <x:c r="I218" s="9" t="n">
        <x:v>1</x:v>
      </x:c>
      <x:c r="J218" s="9" t="n">
        <x:v>4</x:v>
      </x:c>
      <x:c r="K218" s="9" t="str">
        <x:v>HU-A-B-N2</x:v>
      </x:c>
      <x:c r="L218" s="9" t="str">
        <x:v>ST02</x:v>
      </x:c>
      <x:c r="M218" s="17" t="str">
        <x:v>Frozen identity</x:v>
      </x:c>
      <x:c r="N218" s="17" t="str">
        <x:v>serial, generation, fixture, site, receiver and digest match the warrant</x:v>
      </x:c>
      <x:c r="O218" s="17" t="str">
        <x:v>Custody authority</x:v>
      </x:c>
      <x:c r="P218" s="9" t="n">
        <x:v>0</x:v>
      </x:c>
      <x:c r="Q218" s="9" t="n">
        <x:v>0</x:v>
      </x:c>
      <x:c r="R218" s="9" t="str">
        <x:v>OPEN / UNSTARTED</x:v>
      </x:c>
      <x:c r="S218" s="9" t="n">
        <x:f>COUNTIFS($A$7:$A$1446,A218)</x:f>
        <x:v>1</x:v>
      </x:c>
    </x:row>
    <x:row r="219">
      <x:c r="A219" s="9" t="str">
        <x:v>EV-AR-HU-A-B-TECH-1-B1-BRK-G0-ST03</x:v>
      </x:c>
      <x:c r="B219" s="9" t="str">
        <x:v>EV-AR-HU-A-B-TECH-1-B1-BRK-G0</x:v>
      </x:c>
      <x:c r="C219" s="9" t="str">
        <x:v>EOW-AR-HU-A-B-TECH-1-B1-BRK-G0</x:v>
      </x:c>
      <x:c r="D219" s="9" t="str">
        <x:v>AR-HU-A-B-TECH-1-B1-BRK-G0</x:v>
      </x:c>
      <x:c r="E219" s="9" t="str">
        <x:v>HU-A-B-TECH-1</x:v>
      </x:c>
      <x:c r="F219" s="9" t="str">
        <x:v>HU-A-B</x:v>
      </x:c>
      <x:c r="G219" s="9" t="str">
        <x:v>B1</x:v>
      </x:c>
      <x:c r="H219" s="9" t="str">
        <x:v>BRK</x:v>
      </x:c>
      <x:c r="I219" s="9" t="n">
        <x:v>1</x:v>
      </x:c>
      <x:c r="J219" s="9" t="n">
        <x:v>4</x:v>
      </x:c>
      <x:c r="K219" s="9" t="str">
        <x:v>HU-A-B-N2</x:v>
      </x:c>
      <x:c r="L219" s="9" t="str">
        <x:v>ST03</x:v>
      </x:c>
      <x:c r="M219" s="17" t="str">
        <x:v>Receiver receipt</x:v>
      </x:c>
      <x:c r="N219" s="17" t="str">
        <x:v>denominator, counterfactual, rights and stop receipt remain unchanged</x:v>
      </x:c>
      <x:c r="O219" s="17" t="str">
        <x:v>Receiver authority</x:v>
      </x:c>
      <x:c r="P219" s="9" t="n">
        <x:v>0</x:v>
      </x:c>
      <x:c r="Q219" s="9" t="n">
        <x:v>0</x:v>
      </x:c>
      <x:c r="R219" s="9" t="str">
        <x:v>OPEN / UNSTARTED</x:v>
      </x:c>
      <x:c r="S219" s="9" t="n">
        <x:f>COUNTIFS($A$7:$A$1446,A219)</x:f>
        <x:v>1</x:v>
      </x:c>
    </x:row>
    <x:row r="220">
      <x:c r="A220" s="9" t="str">
        <x:v>EV-AR-HU-A-B-TECH-1-B1-BRK-G0-ST04</x:v>
      </x:c>
      <x:c r="B220" s="9" t="str">
        <x:v>EV-AR-HU-A-B-TECH-1-B1-BRK-G0</x:v>
      </x:c>
      <x:c r="C220" s="9" t="str">
        <x:v>EOW-AR-HU-A-B-TECH-1-B1-BRK-G0</x:v>
      </x:c>
      <x:c r="D220" s="9" t="str">
        <x:v>AR-HU-A-B-TECH-1-B1-BRK-G0</x:v>
      </x:c>
      <x:c r="E220" s="9" t="str">
        <x:v>HU-A-B-TECH-1</x:v>
      </x:c>
      <x:c r="F220" s="9" t="str">
        <x:v>HU-A-B</x:v>
      </x:c>
      <x:c r="G220" s="9" t="str">
        <x:v>B1</x:v>
      </x:c>
      <x:c r="H220" s="9" t="str">
        <x:v>BRK</x:v>
      </x:c>
      <x:c r="I220" s="9" t="n">
        <x:v>1</x:v>
      </x:c>
      <x:c r="J220" s="9" t="n">
        <x:v>4</x:v>
      </x:c>
      <x:c r="K220" s="9" t="str">
        <x:v>HU-A-B-N2</x:v>
      </x:c>
      <x:c r="L220" s="9" t="str">
        <x:v>ST04</x:v>
      </x:c>
      <x:c r="M220" s="17" t="str">
        <x:v>Primary capture armed</x:v>
      </x:c>
      <x:c r="N220" s="17" t="str">
        <x:v>primary chain records sealed reference and live time</x:v>
      </x:c>
      <x:c r="O220" s="17" t="str">
        <x:v>Primary metrology</x:v>
      </x:c>
      <x:c r="P220" s="9" t="n">
        <x:v>0</x:v>
      </x:c>
      <x:c r="Q220" s="9" t="n">
        <x:v>0</x:v>
      </x:c>
      <x:c r="R220" s="9" t="str">
        <x:v>OPEN / UNSTARTED</x:v>
      </x:c>
      <x:c r="S220" s="9" t="n">
        <x:f>COUNTIFS($A$7:$A$1446,A220)</x:f>
        <x:v>1</x:v>
      </x:c>
    </x:row>
    <x:row r="221">
      <x:c r="A221" s="9" t="str">
        <x:v>EV-AR-HU-A-B-TECH-1-B1-BRK-G0-ST05</x:v>
      </x:c>
      <x:c r="B221" s="9" t="str">
        <x:v>EV-AR-HU-A-B-TECH-1-B1-BRK-G0</x:v>
      </x:c>
      <x:c r="C221" s="9" t="str">
        <x:v>EOW-AR-HU-A-B-TECH-1-B1-BRK-G0</x:v>
      </x:c>
      <x:c r="D221" s="9" t="str">
        <x:v>AR-HU-A-B-TECH-1-B1-BRK-G0</x:v>
      </x:c>
      <x:c r="E221" s="9" t="str">
        <x:v>HU-A-B-TECH-1</x:v>
      </x:c>
      <x:c r="F221" s="9" t="str">
        <x:v>HU-A-B</x:v>
      </x:c>
      <x:c r="G221" s="9" t="str">
        <x:v>B1</x:v>
      </x:c>
      <x:c r="H221" s="9" t="str">
        <x:v>BRK</x:v>
      </x:c>
      <x:c r="I221" s="9" t="n">
        <x:v>1</x:v>
      </x:c>
      <x:c r="J221" s="9" t="n">
        <x:v>4</x:v>
      </x:c>
      <x:c r="K221" s="9" t="str">
        <x:v>HU-A-B-N2</x:v>
      </x:c>
      <x:c r="L221" s="9" t="str">
        <x:v>ST05</x:v>
      </x:c>
      <x:c r="M221" s="17" t="str">
        <x:v>Witness capture armed</x:v>
      </x:c>
      <x:c r="N221" s="17" t="str">
        <x:v>unlike witness records independent reference and live time</x:v>
      </x:c>
      <x:c r="O221" s="17" t="str">
        <x:v>Witness metrology</x:v>
      </x:c>
      <x:c r="P221" s="9" t="n">
        <x:v>0</x:v>
      </x:c>
      <x:c r="Q221" s="9" t="n">
        <x:v>0</x:v>
      </x:c>
      <x:c r="R221" s="9" t="str">
        <x:v>OPEN / UNSTARTED</x:v>
      </x:c>
      <x:c r="S221" s="9" t="n">
        <x:f>COUNTIFS($A$7:$A$1446,A221)</x:f>
        <x:v>1</x:v>
      </x:c>
    </x:row>
    <x:row r="222">
      <x:c r="A222" s="9" t="str">
        <x:v>EV-AR-HU-A-B-TECH-1-B1-BRK-G0-ST06</x:v>
      </x:c>
      <x:c r="B222" s="9" t="str">
        <x:v>EV-AR-HU-A-B-TECH-1-B1-BRK-G0</x:v>
      </x:c>
      <x:c r="C222" s="9" t="str">
        <x:v>EOW-AR-HU-A-B-TECH-1-B1-BRK-G0</x:v>
      </x:c>
      <x:c r="D222" s="9" t="str">
        <x:v>AR-HU-A-B-TECH-1-B1-BRK-G0</x:v>
      </x:c>
      <x:c r="E222" s="9" t="str">
        <x:v>HU-A-B-TECH-1</x:v>
      </x:c>
      <x:c r="F222" s="9" t="str">
        <x:v>HU-A-B</x:v>
      </x:c>
      <x:c r="G222" s="9" t="str">
        <x:v>B1</x:v>
      </x:c>
      <x:c r="H222" s="9" t="str">
        <x:v>BRK</x:v>
      </x:c>
      <x:c r="I222" s="9" t="n">
        <x:v>1</x:v>
      </x:c>
      <x:c r="J222" s="9" t="n">
        <x:v>4</x:v>
      </x:c>
      <x:c r="K222" s="9" t="str">
        <x:v>HU-A-B-N2</x:v>
      </x:c>
      <x:c r="L222" s="9" t="str">
        <x:v>ST06</x:v>
      </x:c>
      <x:c r="M222" s="17" t="str">
        <x:v>Public custody armed</x:v>
      </x:c>
      <x:c r="N222" s="17" t="str">
        <x:v>eight raw origins have separated hash and replica routes</x:v>
      </x:c>
      <x:c r="O222" s="17" t="str">
        <x:v>Custody authority</x:v>
      </x:c>
      <x:c r="P222" s="9" t="n">
        <x:v>0</x:v>
      </x:c>
      <x:c r="Q222" s="9" t="n">
        <x:v>0</x:v>
      </x:c>
      <x:c r="R222" s="9" t="str">
        <x:v>OPEN / UNSTARTED</x:v>
      </x:c>
      <x:c r="S222" s="9" t="n">
        <x:f>COUNTIFS($A$7:$A$1446,A222)</x:f>
        <x:v>1</x:v>
      </x:c>
    </x:row>
    <x:row r="223">
      <x:c r="A223" s="9" t="str">
        <x:v>EV-AR-HU-A-B-TECH-1-B1-BRK-G0-ST07</x:v>
      </x:c>
      <x:c r="B223" s="9" t="str">
        <x:v>EV-AR-HU-A-B-TECH-1-B1-BRK-G0</x:v>
      </x:c>
      <x:c r="C223" s="9" t="str">
        <x:v>EOW-AR-HU-A-B-TECH-1-B1-BRK-G0</x:v>
      </x:c>
      <x:c r="D223" s="9" t="str">
        <x:v>AR-HU-A-B-TECH-1-B1-BRK-G0</x:v>
      </x:c>
      <x:c r="E223" s="9" t="str">
        <x:v>HU-A-B-TECH-1</x:v>
      </x:c>
      <x:c r="F223" s="9" t="str">
        <x:v>HU-A-B</x:v>
      </x:c>
      <x:c r="G223" s="9" t="str">
        <x:v>B1</x:v>
      </x:c>
      <x:c r="H223" s="9" t="str">
        <x:v>BRK</x:v>
      </x:c>
      <x:c r="I223" s="9" t="n">
        <x:v>1</x:v>
      </x:c>
      <x:c r="J223" s="9" t="n">
        <x:v>4</x:v>
      </x:c>
      <x:c r="K223" s="9" t="str">
        <x:v>HU-A-B-N2</x:v>
      </x:c>
      <x:c r="L223" s="9" t="str">
        <x:v>ST07</x:v>
      </x:c>
      <x:c r="M223" s="17" t="str">
        <x:v>Environmental baseline</x:v>
      </x:c>
      <x:c r="N223" s="17" t="str">
        <x:v>pre-event boundary state is sealed before decisive operation</x:v>
      </x:c>
      <x:c r="O223" s="17" t="str">
        <x:v>Site metrology</x:v>
      </x:c>
      <x:c r="P223" s="9" t="n">
        <x:v>0</x:v>
      </x:c>
      <x:c r="Q223" s="9" t="n">
        <x:v>0</x:v>
      </x:c>
      <x:c r="R223" s="9" t="str">
        <x:v>OPEN / UNSTARTED</x:v>
      </x:c>
      <x:c r="S223" s="9" t="n">
        <x:f>COUNTIFS($A$7:$A$1446,A223)</x:f>
        <x:v>1</x:v>
      </x:c>
    </x:row>
    <x:row r="224">
      <x:c r="A224" s="9" t="str">
        <x:v>EV-AR-HU-A-B-TECH-1-B1-BRK-G0-ST08</x:v>
      </x:c>
      <x:c r="B224" s="9" t="str">
        <x:v>EV-AR-HU-A-B-TECH-1-B1-BRK-G0</x:v>
      </x:c>
      <x:c r="C224" s="9" t="str">
        <x:v>EOW-AR-HU-A-B-TECH-1-B1-BRK-G0</x:v>
      </x:c>
      <x:c r="D224" s="9" t="str">
        <x:v>AR-HU-A-B-TECH-1-B1-BRK-G0</x:v>
      </x:c>
      <x:c r="E224" s="9" t="str">
        <x:v>HU-A-B-TECH-1</x:v>
      </x:c>
      <x:c r="F224" s="9" t="str">
        <x:v>HU-A-B</x:v>
      </x:c>
      <x:c r="G224" s="9" t="str">
        <x:v>B1</x:v>
      </x:c>
      <x:c r="H224" s="9" t="str">
        <x:v>BRK</x:v>
      </x:c>
      <x:c r="I224" s="9" t="n">
        <x:v>1</x:v>
      </x:c>
      <x:c r="J224" s="9" t="n">
        <x:v>4</x:v>
      </x:c>
      <x:c r="K224" s="9" t="str">
        <x:v>HU-A-B-N2</x:v>
      </x:c>
      <x:c r="L224" s="9" t="str">
        <x:v>ST08</x:v>
      </x:c>
      <x:c r="M224" s="17" t="str">
        <x:v>Manual stop and safety</x:v>
      </x:c>
      <x:c r="N224" s="17" t="str">
        <x:v>local stop, evacuation and protection routes are active</x:v>
      </x:c>
      <x:c r="O224" s="17" t="str">
        <x:v>Safety authority</x:v>
      </x:c>
      <x:c r="P224" s="9" t="n">
        <x:v>0</x:v>
      </x:c>
      <x:c r="Q224" s="9" t="n">
        <x:v>0</x:v>
      </x:c>
      <x:c r="R224" s="9" t="str">
        <x:v>OPEN / UNSTARTED</x:v>
      </x:c>
      <x:c r="S224" s="9" t="n">
        <x:f>COUNTIFS($A$7:$A$1446,A224)</x:f>
        <x:v>1</x:v>
      </x:c>
    </x:row>
    <x:row r="225">
      <x:c r="A225" s="9" t="str">
        <x:v>EV-AR-HU-A-B-TECH-1-B1-BRK-G0-ST09</x:v>
      </x:c>
      <x:c r="B225" s="9" t="str">
        <x:v>EV-AR-HU-A-B-TECH-1-B1-BRK-G0</x:v>
      </x:c>
      <x:c r="C225" s="9" t="str">
        <x:v>EOW-AR-HU-A-B-TECH-1-B1-BRK-G0</x:v>
      </x:c>
      <x:c r="D225" s="9" t="str">
        <x:v>AR-HU-A-B-TECH-1-B1-BRK-G0</x:v>
      </x:c>
      <x:c r="E225" s="9" t="str">
        <x:v>HU-A-B-TECH-1</x:v>
      </x:c>
      <x:c r="F225" s="9" t="str">
        <x:v>HU-A-B</x:v>
      </x:c>
      <x:c r="G225" s="9" t="str">
        <x:v>B1</x:v>
      </x:c>
      <x:c r="H225" s="9" t="str">
        <x:v>BRK</x:v>
      </x:c>
      <x:c r="I225" s="9" t="n">
        <x:v>1</x:v>
      </x:c>
      <x:c r="J225" s="9" t="n">
        <x:v>4</x:v>
      </x:c>
      <x:c r="K225" s="9" t="str">
        <x:v>HU-A-B-N2</x:v>
      </x:c>
      <x:c r="L225" s="9" t="str">
        <x:v>ST09</x:v>
      </x:c>
      <x:c r="M225" s="17" t="str">
        <x:v>Operator conflict clear</x:v>
      </x:c>
      <x:c r="N225" s="17" t="str">
        <x:v>candidate, fixture, safety and measurement control edges remain separated</x:v>
      </x:c>
      <x:c r="O225" s="17" t="str">
        <x:v>Conflict registrar</x:v>
      </x:c>
      <x:c r="P225" s="9" t="n">
        <x:v>0</x:v>
      </x:c>
      <x:c r="Q225" s="9" t="n">
        <x:v>0</x:v>
      </x:c>
      <x:c r="R225" s="9" t="str">
        <x:v>OPEN / UNSTARTED</x:v>
      </x:c>
      <x:c r="S225" s="9" t="n">
        <x:f>COUNTIFS($A$7:$A$1446,A225)</x:f>
        <x:v>1</x:v>
      </x:c>
    </x:row>
    <x:row r="226">
      <x:c r="A226" s="9" t="str">
        <x:v>EV-AR-HU-A-B-TECH-1-B1-BRK-G0-ST10</x:v>
      </x:c>
      <x:c r="B226" s="9" t="str">
        <x:v>EV-AR-HU-A-B-TECH-1-B1-BRK-G0</x:v>
      </x:c>
      <x:c r="C226" s="9" t="str">
        <x:v>EOW-AR-HU-A-B-TECH-1-B1-BRK-G0</x:v>
      </x:c>
      <x:c r="D226" s="9" t="str">
        <x:v>AR-HU-A-B-TECH-1-B1-BRK-G0</x:v>
      </x:c>
      <x:c r="E226" s="9" t="str">
        <x:v>HU-A-B-TECH-1</x:v>
      </x:c>
      <x:c r="F226" s="9" t="str">
        <x:v>HU-A-B</x:v>
      </x:c>
      <x:c r="G226" s="9" t="str">
        <x:v>B1</x:v>
      </x:c>
      <x:c r="H226" s="9" t="str">
        <x:v>BRK</x:v>
      </x:c>
      <x:c r="I226" s="9" t="n">
        <x:v>1</x:v>
      </x:c>
      <x:c r="J226" s="9" t="n">
        <x:v>4</x:v>
      </x:c>
      <x:c r="K226" s="9" t="str">
        <x:v>HU-A-B-N2</x:v>
      </x:c>
      <x:c r="L226" s="9" t="str">
        <x:v>ST10</x:v>
      </x:c>
      <x:c r="M226" s="17" t="str">
        <x:v>Window and common clock</x:v>
      </x:c>
      <x:c r="N226" s="17" t="str">
        <x:v>epoch, window and public time origin match the issued warrant</x:v>
      </x:c>
      <x:c r="O226" s="17" t="str">
        <x:v>Event clock authority</x:v>
      </x:c>
      <x:c r="P226" s="9" t="n">
        <x:v>0</x:v>
      </x:c>
      <x:c r="Q226" s="9" t="n">
        <x:v>0</x:v>
      </x:c>
      <x:c r="R226" s="9" t="str">
        <x:v>OPEN / UNSTARTED</x:v>
      </x:c>
      <x:c r="S226" s="9" t="n">
        <x:f>COUNTIFS($A$7:$A$1446,A226)</x:f>
        <x:v>1</x:v>
      </x:c>
    </x:row>
    <x:row r="227">
      <x:c r="A227" s="9" t="str">
        <x:v>EV-AR-LF-B-A-TECH-2-B1-BRK-G0-ST01</x:v>
      </x:c>
      <x:c r="B227" s="9" t="str">
        <x:v>EV-AR-LF-B-A-TECH-2-B1-BRK-G0</x:v>
      </x:c>
      <x:c r="C227" s="9" t="str">
        <x:v>EOW-AR-LF-B-A-TECH-2-B1-BRK-G0</x:v>
      </x:c>
      <x:c r="D227" s="9" t="str">
        <x:v>AR-LF-B-A-TECH-2-B1-BRK-G0</x:v>
      </x:c>
      <x:c r="E227" s="9" t="str">
        <x:v>LF-B-A-TECH-2</x:v>
      </x:c>
      <x:c r="F227" s="9" t="str">
        <x:v>LF-B-A</x:v>
      </x:c>
      <x:c r="G227" s="9" t="str">
        <x:v>B1</x:v>
      </x:c>
      <x:c r="H227" s="9" t="str">
        <x:v>BRK</x:v>
      </x:c>
      <x:c r="I227" s="9" t="n">
        <x:v>1</x:v>
      </x:c>
      <x:c r="J227" s="9" t="n">
        <x:v>4</x:v>
      </x:c>
      <x:c r="K227" s="9" t="str">
        <x:v>LF-B-A-N2</x:v>
      </x:c>
      <x:c r="L227" s="9" t="str">
        <x:v>ST01</x:v>
      </x:c>
      <x:c r="M227" s="17" t="str">
        <x:v>Active opportunity warrant</x:v>
      </x:c>
      <x:c r="N227" s="17" t="str">
        <x:v>configuration-bound EOW is within its thirty-six-hour validity</x:v>
      </x:c>
      <x:c r="O227" s="17" t="str">
        <x:v>Start registrar</x:v>
      </x:c>
      <x:c r="P227" s="9" t="n">
        <x:v>0</x:v>
      </x:c>
      <x:c r="Q227" s="9" t="n">
        <x:v>0</x:v>
      </x:c>
      <x:c r="R227" s="9" t="str">
        <x:v>OPEN / UNSTARTED</x:v>
      </x:c>
      <x:c r="S227" s="9" t="n">
        <x:f>COUNTIFS($A$7:$A$1446,A227)</x:f>
        <x:v>1</x:v>
      </x:c>
    </x:row>
    <x:row r="228">
      <x:c r="A228" s="9" t="str">
        <x:v>EV-AR-LF-B-A-TECH-2-B1-BRK-G0-ST02</x:v>
      </x:c>
      <x:c r="B228" s="9" t="str">
        <x:v>EV-AR-LF-B-A-TECH-2-B1-BRK-G0</x:v>
      </x:c>
      <x:c r="C228" s="9" t="str">
        <x:v>EOW-AR-LF-B-A-TECH-2-B1-BRK-G0</x:v>
      </x:c>
      <x:c r="D228" s="9" t="str">
        <x:v>AR-LF-B-A-TECH-2-B1-BRK-G0</x:v>
      </x:c>
      <x:c r="E228" s="9" t="str">
        <x:v>LF-B-A-TECH-2</x:v>
      </x:c>
      <x:c r="F228" s="9" t="str">
        <x:v>LF-B-A</x:v>
      </x:c>
      <x:c r="G228" s="9" t="str">
        <x:v>B1</x:v>
      </x:c>
      <x:c r="H228" s="9" t="str">
        <x:v>BRK</x:v>
      </x:c>
      <x:c r="I228" s="9" t="n">
        <x:v>1</x:v>
      </x:c>
      <x:c r="J228" s="9" t="n">
        <x:v>4</x:v>
      </x:c>
      <x:c r="K228" s="9" t="str">
        <x:v>LF-B-A-N2</x:v>
      </x:c>
      <x:c r="L228" s="9" t="str">
        <x:v>ST02</x:v>
      </x:c>
      <x:c r="M228" s="17" t="str">
        <x:v>Frozen identity</x:v>
      </x:c>
      <x:c r="N228" s="17" t="str">
        <x:v>serial, generation, fixture, site, receiver and digest match the warrant</x:v>
      </x:c>
      <x:c r="O228" s="17" t="str">
        <x:v>Custody authority</x:v>
      </x:c>
      <x:c r="P228" s="9" t="n">
        <x:v>0</x:v>
      </x:c>
      <x:c r="Q228" s="9" t="n">
        <x:v>0</x:v>
      </x:c>
      <x:c r="R228" s="9" t="str">
        <x:v>OPEN / UNSTARTED</x:v>
      </x:c>
      <x:c r="S228" s="9" t="n">
        <x:f>COUNTIFS($A$7:$A$1446,A228)</x:f>
        <x:v>1</x:v>
      </x:c>
    </x:row>
    <x:row r="229">
      <x:c r="A229" s="9" t="str">
        <x:v>EV-AR-LF-B-A-TECH-2-B1-BRK-G0-ST03</x:v>
      </x:c>
      <x:c r="B229" s="9" t="str">
        <x:v>EV-AR-LF-B-A-TECH-2-B1-BRK-G0</x:v>
      </x:c>
      <x:c r="C229" s="9" t="str">
        <x:v>EOW-AR-LF-B-A-TECH-2-B1-BRK-G0</x:v>
      </x:c>
      <x:c r="D229" s="9" t="str">
        <x:v>AR-LF-B-A-TECH-2-B1-BRK-G0</x:v>
      </x:c>
      <x:c r="E229" s="9" t="str">
        <x:v>LF-B-A-TECH-2</x:v>
      </x:c>
      <x:c r="F229" s="9" t="str">
        <x:v>LF-B-A</x:v>
      </x:c>
      <x:c r="G229" s="9" t="str">
        <x:v>B1</x:v>
      </x:c>
      <x:c r="H229" s="9" t="str">
        <x:v>BRK</x:v>
      </x:c>
      <x:c r="I229" s="9" t="n">
        <x:v>1</x:v>
      </x:c>
      <x:c r="J229" s="9" t="n">
        <x:v>4</x:v>
      </x:c>
      <x:c r="K229" s="9" t="str">
        <x:v>LF-B-A-N2</x:v>
      </x:c>
      <x:c r="L229" s="9" t="str">
        <x:v>ST03</x:v>
      </x:c>
      <x:c r="M229" s="17" t="str">
        <x:v>Receiver receipt</x:v>
      </x:c>
      <x:c r="N229" s="17" t="str">
        <x:v>denominator, counterfactual, rights and stop receipt remain unchanged</x:v>
      </x:c>
      <x:c r="O229" s="17" t="str">
        <x:v>Receiver authority</x:v>
      </x:c>
      <x:c r="P229" s="9" t="n">
        <x:v>0</x:v>
      </x:c>
      <x:c r="Q229" s="9" t="n">
        <x:v>0</x:v>
      </x:c>
      <x:c r="R229" s="9" t="str">
        <x:v>OPEN / UNSTARTED</x:v>
      </x:c>
      <x:c r="S229" s="9" t="n">
        <x:f>COUNTIFS($A$7:$A$1446,A229)</x:f>
        <x:v>1</x:v>
      </x:c>
    </x:row>
    <x:row r="230">
      <x:c r="A230" s="9" t="str">
        <x:v>EV-AR-LF-B-A-TECH-2-B1-BRK-G0-ST04</x:v>
      </x:c>
      <x:c r="B230" s="9" t="str">
        <x:v>EV-AR-LF-B-A-TECH-2-B1-BRK-G0</x:v>
      </x:c>
      <x:c r="C230" s="9" t="str">
        <x:v>EOW-AR-LF-B-A-TECH-2-B1-BRK-G0</x:v>
      </x:c>
      <x:c r="D230" s="9" t="str">
        <x:v>AR-LF-B-A-TECH-2-B1-BRK-G0</x:v>
      </x:c>
      <x:c r="E230" s="9" t="str">
        <x:v>LF-B-A-TECH-2</x:v>
      </x:c>
      <x:c r="F230" s="9" t="str">
        <x:v>LF-B-A</x:v>
      </x:c>
      <x:c r="G230" s="9" t="str">
        <x:v>B1</x:v>
      </x:c>
      <x:c r="H230" s="9" t="str">
        <x:v>BRK</x:v>
      </x:c>
      <x:c r="I230" s="9" t="n">
        <x:v>1</x:v>
      </x:c>
      <x:c r="J230" s="9" t="n">
        <x:v>4</x:v>
      </x:c>
      <x:c r="K230" s="9" t="str">
        <x:v>LF-B-A-N2</x:v>
      </x:c>
      <x:c r="L230" s="9" t="str">
        <x:v>ST04</x:v>
      </x:c>
      <x:c r="M230" s="17" t="str">
        <x:v>Primary capture armed</x:v>
      </x:c>
      <x:c r="N230" s="17" t="str">
        <x:v>primary chain records sealed reference and live time</x:v>
      </x:c>
      <x:c r="O230" s="17" t="str">
        <x:v>Primary metrology</x:v>
      </x:c>
      <x:c r="P230" s="9" t="n">
        <x:v>0</x:v>
      </x:c>
      <x:c r="Q230" s="9" t="n">
        <x:v>0</x:v>
      </x:c>
      <x:c r="R230" s="9" t="str">
        <x:v>OPEN / UNSTARTED</x:v>
      </x:c>
      <x:c r="S230" s="9" t="n">
        <x:f>COUNTIFS($A$7:$A$1446,A230)</x:f>
        <x:v>1</x:v>
      </x:c>
    </x:row>
    <x:row r="231">
      <x:c r="A231" s="9" t="str">
        <x:v>EV-AR-LF-B-A-TECH-2-B1-BRK-G0-ST05</x:v>
      </x:c>
      <x:c r="B231" s="9" t="str">
        <x:v>EV-AR-LF-B-A-TECH-2-B1-BRK-G0</x:v>
      </x:c>
      <x:c r="C231" s="9" t="str">
        <x:v>EOW-AR-LF-B-A-TECH-2-B1-BRK-G0</x:v>
      </x:c>
      <x:c r="D231" s="9" t="str">
        <x:v>AR-LF-B-A-TECH-2-B1-BRK-G0</x:v>
      </x:c>
      <x:c r="E231" s="9" t="str">
        <x:v>LF-B-A-TECH-2</x:v>
      </x:c>
      <x:c r="F231" s="9" t="str">
        <x:v>LF-B-A</x:v>
      </x:c>
      <x:c r="G231" s="9" t="str">
        <x:v>B1</x:v>
      </x:c>
      <x:c r="H231" s="9" t="str">
        <x:v>BRK</x:v>
      </x:c>
      <x:c r="I231" s="9" t="n">
        <x:v>1</x:v>
      </x:c>
      <x:c r="J231" s="9" t="n">
        <x:v>4</x:v>
      </x:c>
      <x:c r="K231" s="9" t="str">
        <x:v>LF-B-A-N2</x:v>
      </x:c>
      <x:c r="L231" s="9" t="str">
        <x:v>ST05</x:v>
      </x:c>
      <x:c r="M231" s="17" t="str">
        <x:v>Witness capture armed</x:v>
      </x:c>
      <x:c r="N231" s="17" t="str">
        <x:v>unlike witness records independent reference and live time</x:v>
      </x:c>
      <x:c r="O231" s="17" t="str">
        <x:v>Witness metrology</x:v>
      </x:c>
      <x:c r="P231" s="9" t="n">
        <x:v>0</x:v>
      </x:c>
      <x:c r="Q231" s="9" t="n">
        <x:v>0</x:v>
      </x:c>
      <x:c r="R231" s="9" t="str">
        <x:v>OPEN / UNSTARTED</x:v>
      </x:c>
      <x:c r="S231" s="9" t="n">
        <x:f>COUNTIFS($A$7:$A$1446,A231)</x:f>
        <x:v>1</x:v>
      </x:c>
    </x:row>
    <x:row r="232">
      <x:c r="A232" s="9" t="str">
        <x:v>EV-AR-LF-B-A-TECH-2-B1-BRK-G0-ST06</x:v>
      </x:c>
      <x:c r="B232" s="9" t="str">
        <x:v>EV-AR-LF-B-A-TECH-2-B1-BRK-G0</x:v>
      </x:c>
      <x:c r="C232" s="9" t="str">
        <x:v>EOW-AR-LF-B-A-TECH-2-B1-BRK-G0</x:v>
      </x:c>
      <x:c r="D232" s="9" t="str">
        <x:v>AR-LF-B-A-TECH-2-B1-BRK-G0</x:v>
      </x:c>
      <x:c r="E232" s="9" t="str">
        <x:v>LF-B-A-TECH-2</x:v>
      </x:c>
      <x:c r="F232" s="9" t="str">
        <x:v>LF-B-A</x:v>
      </x:c>
      <x:c r="G232" s="9" t="str">
        <x:v>B1</x:v>
      </x:c>
      <x:c r="H232" s="9" t="str">
        <x:v>BRK</x:v>
      </x:c>
      <x:c r="I232" s="9" t="n">
        <x:v>1</x:v>
      </x:c>
      <x:c r="J232" s="9" t="n">
        <x:v>4</x:v>
      </x:c>
      <x:c r="K232" s="9" t="str">
        <x:v>LF-B-A-N2</x:v>
      </x:c>
      <x:c r="L232" s="9" t="str">
        <x:v>ST06</x:v>
      </x:c>
      <x:c r="M232" s="17" t="str">
        <x:v>Public custody armed</x:v>
      </x:c>
      <x:c r="N232" s="17" t="str">
        <x:v>eight raw origins have separated hash and replica routes</x:v>
      </x:c>
      <x:c r="O232" s="17" t="str">
        <x:v>Custody authority</x:v>
      </x:c>
      <x:c r="P232" s="9" t="n">
        <x:v>0</x:v>
      </x:c>
      <x:c r="Q232" s="9" t="n">
        <x:v>0</x:v>
      </x:c>
      <x:c r="R232" s="9" t="str">
        <x:v>OPEN / UNSTARTED</x:v>
      </x:c>
      <x:c r="S232" s="9" t="n">
        <x:f>COUNTIFS($A$7:$A$1446,A232)</x:f>
        <x:v>1</x:v>
      </x:c>
    </x:row>
    <x:row r="233">
      <x:c r="A233" s="9" t="str">
        <x:v>EV-AR-LF-B-A-TECH-2-B1-BRK-G0-ST07</x:v>
      </x:c>
      <x:c r="B233" s="9" t="str">
        <x:v>EV-AR-LF-B-A-TECH-2-B1-BRK-G0</x:v>
      </x:c>
      <x:c r="C233" s="9" t="str">
        <x:v>EOW-AR-LF-B-A-TECH-2-B1-BRK-G0</x:v>
      </x:c>
      <x:c r="D233" s="9" t="str">
        <x:v>AR-LF-B-A-TECH-2-B1-BRK-G0</x:v>
      </x:c>
      <x:c r="E233" s="9" t="str">
        <x:v>LF-B-A-TECH-2</x:v>
      </x:c>
      <x:c r="F233" s="9" t="str">
        <x:v>LF-B-A</x:v>
      </x:c>
      <x:c r="G233" s="9" t="str">
        <x:v>B1</x:v>
      </x:c>
      <x:c r="H233" s="9" t="str">
        <x:v>BRK</x:v>
      </x:c>
      <x:c r="I233" s="9" t="n">
        <x:v>1</x:v>
      </x:c>
      <x:c r="J233" s="9" t="n">
        <x:v>4</x:v>
      </x:c>
      <x:c r="K233" s="9" t="str">
        <x:v>LF-B-A-N2</x:v>
      </x:c>
      <x:c r="L233" s="9" t="str">
        <x:v>ST07</x:v>
      </x:c>
      <x:c r="M233" s="17" t="str">
        <x:v>Environmental baseline</x:v>
      </x:c>
      <x:c r="N233" s="17" t="str">
        <x:v>pre-event boundary state is sealed before decisive operation</x:v>
      </x:c>
      <x:c r="O233" s="17" t="str">
        <x:v>Site metrology</x:v>
      </x:c>
      <x:c r="P233" s="9" t="n">
        <x:v>0</x:v>
      </x:c>
      <x:c r="Q233" s="9" t="n">
        <x:v>0</x:v>
      </x:c>
      <x:c r="R233" s="9" t="str">
        <x:v>OPEN / UNSTARTED</x:v>
      </x:c>
      <x:c r="S233" s="9" t="n">
        <x:f>COUNTIFS($A$7:$A$1446,A233)</x:f>
        <x:v>1</x:v>
      </x:c>
    </x:row>
    <x:row r="234">
      <x:c r="A234" s="9" t="str">
        <x:v>EV-AR-LF-B-A-TECH-2-B1-BRK-G0-ST08</x:v>
      </x:c>
      <x:c r="B234" s="9" t="str">
        <x:v>EV-AR-LF-B-A-TECH-2-B1-BRK-G0</x:v>
      </x:c>
      <x:c r="C234" s="9" t="str">
        <x:v>EOW-AR-LF-B-A-TECH-2-B1-BRK-G0</x:v>
      </x:c>
      <x:c r="D234" s="9" t="str">
        <x:v>AR-LF-B-A-TECH-2-B1-BRK-G0</x:v>
      </x:c>
      <x:c r="E234" s="9" t="str">
        <x:v>LF-B-A-TECH-2</x:v>
      </x:c>
      <x:c r="F234" s="9" t="str">
        <x:v>LF-B-A</x:v>
      </x:c>
      <x:c r="G234" s="9" t="str">
        <x:v>B1</x:v>
      </x:c>
      <x:c r="H234" s="9" t="str">
        <x:v>BRK</x:v>
      </x:c>
      <x:c r="I234" s="9" t="n">
        <x:v>1</x:v>
      </x:c>
      <x:c r="J234" s="9" t="n">
        <x:v>4</x:v>
      </x:c>
      <x:c r="K234" s="9" t="str">
        <x:v>LF-B-A-N2</x:v>
      </x:c>
      <x:c r="L234" s="9" t="str">
        <x:v>ST08</x:v>
      </x:c>
      <x:c r="M234" s="17" t="str">
        <x:v>Manual stop and safety</x:v>
      </x:c>
      <x:c r="N234" s="17" t="str">
        <x:v>local stop, evacuation and protection routes are active</x:v>
      </x:c>
      <x:c r="O234" s="17" t="str">
        <x:v>Safety authority</x:v>
      </x:c>
      <x:c r="P234" s="9" t="n">
        <x:v>0</x:v>
      </x:c>
      <x:c r="Q234" s="9" t="n">
        <x:v>0</x:v>
      </x:c>
      <x:c r="R234" s="9" t="str">
        <x:v>OPEN / UNSTARTED</x:v>
      </x:c>
      <x:c r="S234" s="9" t="n">
        <x:f>COUNTIFS($A$7:$A$1446,A234)</x:f>
        <x:v>1</x:v>
      </x:c>
    </x:row>
    <x:row r="235">
      <x:c r="A235" s="9" t="str">
        <x:v>EV-AR-LF-B-A-TECH-2-B1-BRK-G0-ST09</x:v>
      </x:c>
      <x:c r="B235" s="9" t="str">
        <x:v>EV-AR-LF-B-A-TECH-2-B1-BRK-G0</x:v>
      </x:c>
      <x:c r="C235" s="9" t="str">
        <x:v>EOW-AR-LF-B-A-TECH-2-B1-BRK-G0</x:v>
      </x:c>
      <x:c r="D235" s="9" t="str">
        <x:v>AR-LF-B-A-TECH-2-B1-BRK-G0</x:v>
      </x:c>
      <x:c r="E235" s="9" t="str">
        <x:v>LF-B-A-TECH-2</x:v>
      </x:c>
      <x:c r="F235" s="9" t="str">
        <x:v>LF-B-A</x:v>
      </x:c>
      <x:c r="G235" s="9" t="str">
        <x:v>B1</x:v>
      </x:c>
      <x:c r="H235" s="9" t="str">
        <x:v>BRK</x:v>
      </x:c>
      <x:c r="I235" s="9" t="n">
        <x:v>1</x:v>
      </x:c>
      <x:c r="J235" s="9" t="n">
        <x:v>4</x:v>
      </x:c>
      <x:c r="K235" s="9" t="str">
        <x:v>LF-B-A-N2</x:v>
      </x:c>
      <x:c r="L235" s="9" t="str">
        <x:v>ST09</x:v>
      </x:c>
      <x:c r="M235" s="17" t="str">
        <x:v>Operator conflict clear</x:v>
      </x:c>
      <x:c r="N235" s="17" t="str">
        <x:v>candidate, fixture, safety and measurement control edges remain separated</x:v>
      </x:c>
      <x:c r="O235" s="17" t="str">
        <x:v>Conflict registrar</x:v>
      </x:c>
      <x:c r="P235" s="9" t="n">
        <x:v>0</x:v>
      </x:c>
      <x:c r="Q235" s="9" t="n">
        <x:v>0</x:v>
      </x:c>
      <x:c r="R235" s="9" t="str">
        <x:v>OPEN / UNSTARTED</x:v>
      </x:c>
      <x:c r="S235" s="9" t="n">
        <x:f>COUNTIFS($A$7:$A$1446,A235)</x:f>
        <x:v>1</x:v>
      </x:c>
    </x:row>
    <x:row r="236">
      <x:c r="A236" s="9" t="str">
        <x:v>EV-AR-LF-B-A-TECH-2-B1-BRK-G0-ST10</x:v>
      </x:c>
      <x:c r="B236" s="9" t="str">
        <x:v>EV-AR-LF-B-A-TECH-2-B1-BRK-G0</x:v>
      </x:c>
      <x:c r="C236" s="9" t="str">
        <x:v>EOW-AR-LF-B-A-TECH-2-B1-BRK-G0</x:v>
      </x:c>
      <x:c r="D236" s="9" t="str">
        <x:v>AR-LF-B-A-TECH-2-B1-BRK-G0</x:v>
      </x:c>
      <x:c r="E236" s="9" t="str">
        <x:v>LF-B-A-TECH-2</x:v>
      </x:c>
      <x:c r="F236" s="9" t="str">
        <x:v>LF-B-A</x:v>
      </x:c>
      <x:c r="G236" s="9" t="str">
        <x:v>B1</x:v>
      </x:c>
      <x:c r="H236" s="9" t="str">
        <x:v>BRK</x:v>
      </x:c>
      <x:c r="I236" s="9" t="n">
        <x:v>1</x:v>
      </x:c>
      <x:c r="J236" s="9" t="n">
        <x:v>4</x:v>
      </x:c>
      <x:c r="K236" s="9" t="str">
        <x:v>LF-B-A-N2</x:v>
      </x:c>
      <x:c r="L236" s="9" t="str">
        <x:v>ST10</x:v>
      </x:c>
      <x:c r="M236" s="17" t="str">
        <x:v>Window and common clock</x:v>
      </x:c>
      <x:c r="N236" s="17" t="str">
        <x:v>epoch, window and public time origin match the issued warrant</x:v>
      </x:c>
      <x:c r="O236" s="17" t="str">
        <x:v>Event clock authority</x:v>
      </x:c>
      <x:c r="P236" s="9" t="n">
        <x:v>0</x:v>
      </x:c>
      <x:c r="Q236" s="9" t="n">
        <x:v>0</x:v>
      </x:c>
      <x:c r="R236" s="9" t="str">
        <x:v>OPEN / UNSTARTED</x:v>
      </x:c>
      <x:c r="S236" s="9" t="n">
        <x:f>COUNTIFS($A$7:$A$1446,A236)</x:f>
        <x:v>1</x:v>
      </x:c>
    </x:row>
    <x:row r="237">
      <x:c r="A237" s="9" t="str">
        <x:v>EV-AR-RT-B-C-TECH-2-B1-INT-G0-ST01</x:v>
      </x:c>
      <x:c r="B237" s="9" t="str">
        <x:v>EV-AR-RT-B-C-TECH-2-B1-INT-G0</x:v>
      </x:c>
      <x:c r="C237" s="9" t="str">
        <x:v>EOW-AR-RT-B-C-TECH-2-B1-INT-G0</x:v>
      </x:c>
      <x:c r="D237" s="9" t="str">
        <x:v>AR-RT-B-C-TECH-2-B1-INT-G0</x:v>
      </x:c>
      <x:c r="E237" s="9" t="str">
        <x:v>RT-B-C-TECH-2</x:v>
      </x:c>
      <x:c r="F237" s="9" t="str">
        <x:v>RT-B-C</x:v>
      </x:c>
      <x:c r="G237" s="9" t="str">
        <x:v>B1</x:v>
      </x:c>
      <x:c r="H237" s="9" t="str">
        <x:v>INT</x:v>
      </x:c>
      <x:c r="I237" s="9" t="n">
        <x:v>1</x:v>
      </x:c>
      <x:c r="J237" s="9" t="n">
        <x:v>4</x:v>
      </x:c>
      <x:c r="K237" s="9" t="str">
        <x:v>RT-B-C-N3</x:v>
      </x:c>
      <x:c r="L237" s="9" t="str">
        <x:v>ST01</x:v>
      </x:c>
      <x:c r="M237" s="17" t="str">
        <x:v>Active opportunity warrant</x:v>
      </x:c>
      <x:c r="N237" s="17" t="str">
        <x:v>configuration-bound EOW is within its thirty-six-hour validity</x:v>
      </x:c>
      <x:c r="O237" s="17" t="str">
        <x:v>Start registrar</x:v>
      </x:c>
      <x:c r="P237" s="9" t="n">
        <x:v>0</x:v>
      </x:c>
      <x:c r="Q237" s="9" t="n">
        <x:v>0</x:v>
      </x:c>
      <x:c r="R237" s="9" t="str">
        <x:v>OPEN / UNSTARTED</x:v>
      </x:c>
      <x:c r="S237" s="9" t="n">
        <x:f>COUNTIFS($A$7:$A$1446,A237)</x:f>
        <x:v>1</x:v>
      </x:c>
    </x:row>
    <x:row r="238">
      <x:c r="A238" s="9" t="str">
        <x:v>EV-AR-RT-B-C-TECH-2-B1-INT-G0-ST02</x:v>
      </x:c>
      <x:c r="B238" s="9" t="str">
        <x:v>EV-AR-RT-B-C-TECH-2-B1-INT-G0</x:v>
      </x:c>
      <x:c r="C238" s="9" t="str">
        <x:v>EOW-AR-RT-B-C-TECH-2-B1-INT-G0</x:v>
      </x:c>
      <x:c r="D238" s="9" t="str">
        <x:v>AR-RT-B-C-TECH-2-B1-INT-G0</x:v>
      </x:c>
      <x:c r="E238" s="9" t="str">
        <x:v>RT-B-C-TECH-2</x:v>
      </x:c>
      <x:c r="F238" s="9" t="str">
        <x:v>RT-B-C</x:v>
      </x:c>
      <x:c r="G238" s="9" t="str">
        <x:v>B1</x:v>
      </x:c>
      <x:c r="H238" s="9" t="str">
        <x:v>INT</x:v>
      </x:c>
      <x:c r="I238" s="9" t="n">
        <x:v>1</x:v>
      </x:c>
      <x:c r="J238" s="9" t="n">
        <x:v>4</x:v>
      </x:c>
      <x:c r="K238" s="9" t="str">
        <x:v>RT-B-C-N3</x:v>
      </x:c>
      <x:c r="L238" s="9" t="str">
        <x:v>ST02</x:v>
      </x:c>
      <x:c r="M238" s="17" t="str">
        <x:v>Frozen identity</x:v>
      </x:c>
      <x:c r="N238" s="17" t="str">
        <x:v>serial, generation, fixture, site, receiver and digest match the warrant</x:v>
      </x:c>
      <x:c r="O238" s="17" t="str">
        <x:v>Custody authority</x:v>
      </x:c>
      <x:c r="P238" s="9" t="n">
        <x:v>0</x:v>
      </x:c>
      <x:c r="Q238" s="9" t="n">
        <x:v>0</x:v>
      </x:c>
      <x:c r="R238" s="9" t="str">
        <x:v>OPEN / UNSTARTED</x:v>
      </x:c>
      <x:c r="S238" s="9" t="n">
        <x:f>COUNTIFS($A$7:$A$1446,A238)</x:f>
        <x:v>1</x:v>
      </x:c>
    </x:row>
    <x:row r="239">
      <x:c r="A239" s="9" t="str">
        <x:v>EV-AR-RT-B-C-TECH-2-B1-INT-G0-ST03</x:v>
      </x:c>
      <x:c r="B239" s="9" t="str">
        <x:v>EV-AR-RT-B-C-TECH-2-B1-INT-G0</x:v>
      </x:c>
      <x:c r="C239" s="9" t="str">
        <x:v>EOW-AR-RT-B-C-TECH-2-B1-INT-G0</x:v>
      </x:c>
      <x:c r="D239" s="9" t="str">
        <x:v>AR-RT-B-C-TECH-2-B1-INT-G0</x:v>
      </x:c>
      <x:c r="E239" s="9" t="str">
        <x:v>RT-B-C-TECH-2</x:v>
      </x:c>
      <x:c r="F239" s="9" t="str">
        <x:v>RT-B-C</x:v>
      </x:c>
      <x:c r="G239" s="9" t="str">
        <x:v>B1</x:v>
      </x:c>
      <x:c r="H239" s="9" t="str">
        <x:v>INT</x:v>
      </x:c>
      <x:c r="I239" s="9" t="n">
        <x:v>1</x:v>
      </x:c>
      <x:c r="J239" s="9" t="n">
        <x:v>4</x:v>
      </x:c>
      <x:c r="K239" s="9" t="str">
        <x:v>RT-B-C-N3</x:v>
      </x:c>
      <x:c r="L239" s="9" t="str">
        <x:v>ST03</x:v>
      </x:c>
      <x:c r="M239" s="17" t="str">
        <x:v>Receiver receipt</x:v>
      </x:c>
      <x:c r="N239" s="17" t="str">
        <x:v>denominator, counterfactual, rights and stop receipt remain unchanged</x:v>
      </x:c>
      <x:c r="O239" s="17" t="str">
        <x:v>Receiver authority</x:v>
      </x:c>
      <x:c r="P239" s="9" t="n">
        <x:v>0</x:v>
      </x:c>
      <x:c r="Q239" s="9" t="n">
        <x:v>0</x:v>
      </x:c>
      <x:c r="R239" s="9" t="str">
        <x:v>OPEN / UNSTARTED</x:v>
      </x:c>
      <x:c r="S239" s="9" t="n">
        <x:f>COUNTIFS($A$7:$A$1446,A239)</x:f>
        <x:v>1</x:v>
      </x:c>
    </x:row>
    <x:row r="240">
      <x:c r="A240" s="9" t="str">
        <x:v>EV-AR-RT-B-C-TECH-2-B1-INT-G0-ST04</x:v>
      </x:c>
      <x:c r="B240" s="9" t="str">
        <x:v>EV-AR-RT-B-C-TECH-2-B1-INT-G0</x:v>
      </x:c>
      <x:c r="C240" s="9" t="str">
        <x:v>EOW-AR-RT-B-C-TECH-2-B1-INT-G0</x:v>
      </x:c>
      <x:c r="D240" s="9" t="str">
        <x:v>AR-RT-B-C-TECH-2-B1-INT-G0</x:v>
      </x:c>
      <x:c r="E240" s="9" t="str">
        <x:v>RT-B-C-TECH-2</x:v>
      </x:c>
      <x:c r="F240" s="9" t="str">
        <x:v>RT-B-C</x:v>
      </x:c>
      <x:c r="G240" s="9" t="str">
        <x:v>B1</x:v>
      </x:c>
      <x:c r="H240" s="9" t="str">
        <x:v>INT</x:v>
      </x:c>
      <x:c r="I240" s="9" t="n">
        <x:v>1</x:v>
      </x:c>
      <x:c r="J240" s="9" t="n">
        <x:v>4</x:v>
      </x:c>
      <x:c r="K240" s="9" t="str">
        <x:v>RT-B-C-N3</x:v>
      </x:c>
      <x:c r="L240" s="9" t="str">
        <x:v>ST04</x:v>
      </x:c>
      <x:c r="M240" s="17" t="str">
        <x:v>Primary capture armed</x:v>
      </x:c>
      <x:c r="N240" s="17" t="str">
        <x:v>primary chain records sealed reference and live time</x:v>
      </x:c>
      <x:c r="O240" s="17" t="str">
        <x:v>Primary metrology</x:v>
      </x:c>
      <x:c r="P240" s="9" t="n">
        <x:v>0</x:v>
      </x:c>
      <x:c r="Q240" s="9" t="n">
        <x:v>0</x:v>
      </x:c>
      <x:c r="R240" s="9" t="str">
        <x:v>OPEN / UNSTARTED</x:v>
      </x:c>
      <x:c r="S240" s="9" t="n">
        <x:f>COUNTIFS($A$7:$A$1446,A240)</x:f>
        <x:v>1</x:v>
      </x:c>
    </x:row>
    <x:row r="241">
      <x:c r="A241" s="9" t="str">
        <x:v>EV-AR-RT-B-C-TECH-2-B1-INT-G0-ST05</x:v>
      </x:c>
      <x:c r="B241" s="9" t="str">
        <x:v>EV-AR-RT-B-C-TECH-2-B1-INT-G0</x:v>
      </x:c>
      <x:c r="C241" s="9" t="str">
        <x:v>EOW-AR-RT-B-C-TECH-2-B1-INT-G0</x:v>
      </x:c>
      <x:c r="D241" s="9" t="str">
        <x:v>AR-RT-B-C-TECH-2-B1-INT-G0</x:v>
      </x:c>
      <x:c r="E241" s="9" t="str">
        <x:v>RT-B-C-TECH-2</x:v>
      </x:c>
      <x:c r="F241" s="9" t="str">
        <x:v>RT-B-C</x:v>
      </x:c>
      <x:c r="G241" s="9" t="str">
        <x:v>B1</x:v>
      </x:c>
      <x:c r="H241" s="9" t="str">
        <x:v>INT</x:v>
      </x:c>
      <x:c r="I241" s="9" t="n">
        <x:v>1</x:v>
      </x:c>
      <x:c r="J241" s="9" t="n">
        <x:v>4</x:v>
      </x:c>
      <x:c r="K241" s="9" t="str">
        <x:v>RT-B-C-N3</x:v>
      </x:c>
      <x:c r="L241" s="9" t="str">
        <x:v>ST05</x:v>
      </x:c>
      <x:c r="M241" s="17" t="str">
        <x:v>Witness capture armed</x:v>
      </x:c>
      <x:c r="N241" s="17" t="str">
        <x:v>unlike witness records independent reference and live time</x:v>
      </x:c>
      <x:c r="O241" s="17" t="str">
        <x:v>Witness metrology</x:v>
      </x:c>
      <x:c r="P241" s="9" t="n">
        <x:v>0</x:v>
      </x:c>
      <x:c r="Q241" s="9" t="n">
        <x:v>0</x:v>
      </x:c>
      <x:c r="R241" s="9" t="str">
        <x:v>OPEN / UNSTARTED</x:v>
      </x:c>
      <x:c r="S241" s="9" t="n">
        <x:f>COUNTIFS($A$7:$A$1446,A241)</x:f>
        <x:v>1</x:v>
      </x:c>
    </x:row>
    <x:row r="242">
      <x:c r="A242" s="9" t="str">
        <x:v>EV-AR-RT-B-C-TECH-2-B1-INT-G0-ST06</x:v>
      </x:c>
      <x:c r="B242" s="9" t="str">
        <x:v>EV-AR-RT-B-C-TECH-2-B1-INT-G0</x:v>
      </x:c>
      <x:c r="C242" s="9" t="str">
        <x:v>EOW-AR-RT-B-C-TECH-2-B1-INT-G0</x:v>
      </x:c>
      <x:c r="D242" s="9" t="str">
        <x:v>AR-RT-B-C-TECH-2-B1-INT-G0</x:v>
      </x:c>
      <x:c r="E242" s="9" t="str">
        <x:v>RT-B-C-TECH-2</x:v>
      </x:c>
      <x:c r="F242" s="9" t="str">
        <x:v>RT-B-C</x:v>
      </x:c>
      <x:c r="G242" s="9" t="str">
        <x:v>B1</x:v>
      </x:c>
      <x:c r="H242" s="9" t="str">
        <x:v>INT</x:v>
      </x:c>
      <x:c r="I242" s="9" t="n">
        <x:v>1</x:v>
      </x:c>
      <x:c r="J242" s="9" t="n">
        <x:v>4</x:v>
      </x:c>
      <x:c r="K242" s="9" t="str">
        <x:v>RT-B-C-N3</x:v>
      </x:c>
      <x:c r="L242" s="9" t="str">
        <x:v>ST06</x:v>
      </x:c>
      <x:c r="M242" s="17" t="str">
        <x:v>Public custody armed</x:v>
      </x:c>
      <x:c r="N242" s="17" t="str">
        <x:v>eight raw origins have separated hash and replica routes</x:v>
      </x:c>
      <x:c r="O242" s="17" t="str">
        <x:v>Custody authority</x:v>
      </x:c>
      <x:c r="P242" s="9" t="n">
        <x:v>0</x:v>
      </x:c>
      <x:c r="Q242" s="9" t="n">
        <x:v>0</x:v>
      </x:c>
      <x:c r="R242" s="9" t="str">
        <x:v>OPEN / UNSTARTED</x:v>
      </x:c>
      <x:c r="S242" s="9" t="n">
        <x:f>COUNTIFS($A$7:$A$1446,A242)</x:f>
        <x:v>1</x:v>
      </x:c>
    </x:row>
    <x:row r="243">
      <x:c r="A243" s="9" t="str">
        <x:v>EV-AR-RT-B-C-TECH-2-B1-INT-G0-ST07</x:v>
      </x:c>
      <x:c r="B243" s="9" t="str">
        <x:v>EV-AR-RT-B-C-TECH-2-B1-INT-G0</x:v>
      </x:c>
      <x:c r="C243" s="9" t="str">
        <x:v>EOW-AR-RT-B-C-TECH-2-B1-INT-G0</x:v>
      </x:c>
      <x:c r="D243" s="9" t="str">
        <x:v>AR-RT-B-C-TECH-2-B1-INT-G0</x:v>
      </x:c>
      <x:c r="E243" s="9" t="str">
        <x:v>RT-B-C-TECH-2</x:v>
      </x:c>
      <x:c r="F243" s="9" t="str">
        <x:v>RT-B-C</x:v>
      </x:c>
      <x:c r="G243" s="9" t="str">
        <x:v>B1</x:v>
      </x:c>
      <x:c r="H243" s="9" t="str">
        <x:v>INT</x:v>
      </x:c>
      <x:c r="I243" s="9" t="n">
        <x:v>1</x:v>
      </x:c>
      <x:c r="J243" s="9" t="n">
        <x:v>4</x:v>
      </x:c>
      <x:c r="K243" s="9" t="str">
        <x:v>RT-B-C-N3</x:v>
      </x:c>
      <x:c r="L243" s="9" t="str">
        <x:v>ST07</x:v>
      </x:c>
      <x:c r="M243" s="17" t="str">
        <x:v>Environmental baseline</x:v>
      </x:c>
      <x:c r="N243" s="17" t="str">
        <x:v>pre-event boundary state is sealed before decisive operation</x:v>
      </x:c>
      <x:c r="O243" s="17" t="str">
        <x:v>Site metrology</x:v>
      </x:c>
      <x:c r="P243" s="9" t="n">
        <x:v>0</x:v>
      </x:c>
      <x:c r="Q243" s="9" t="n">
        <x:v>0</x:v>
      </x:c>
      <x:c r="R243" s="9" t="str">
        <x:v>OPEN / UNSTARTED</x:v>
      </x:c>
      <x:c r="S243" s="9" t="n">
        <x:f>COUNTIFS($A$7:$A$1446,A243)</x:f>
        <x:v>1</x:v>
      </x:c>
    </x:row>
    <x:row r="244">
      <x:c r="A244" s="9" t="str">
        <x:v>EV-AR-RT-B-C-TECH-2-B1-INT-G0-ST08</x:v>
      </x:c>
      <x:c r="B244" s="9" t="str">
        <x:v>EV-AR-RT-B-C-TECH-2-B1-INT-G0</x:v>
      </x:c>
      <x:c r="C244" s="9" t="str">
        <x:v>EOW-AR-RT-B-C-TECH-2-B1-INT-G0</x:v>
      </x:c>
      <x:c r="D244" s="9" t="str">
        <x:v>AR-RT-B-C-TECH-2-B1-INT-G0</x:v>
      </x:c>
      <x:c r="E244" s="9" t="str">
        <x:v>RT-B-C-TECH-2</x:v>
      </x:c>
      <x:c r="F244" s="9" t="str">
        <x:v>RT-B-C</x:v>
      </x:c>
      <x:c r="G244" s="9" t="str">
        <x:v>B1</x:v>
      </x:c>
      <x:c r="H244" s="9" t="str">
        <x:v>INT</x:v>
      </x:c>
      <x:c r="I244" s="9" t="n">
        <x:v>1</x:v>
      </x:c>
      <x:c r="J244" s="9" t="n">
        <x:v>4</x:v>
      </x:c>
      <x:c r="K244" s="9" t="str">
        <x:v>RT-B-C-N3</x:v>
      </x:c>
      <x:c r="L244" s="9" t="str">
        <x:v>ST08</x:v>
      </x:c>
      <x:c r="M244" s="17" t="str">
        <x:v>Manual stop and safety</x:v>
      </x:c>
      <x:c r="N244" s="17" t="str">
        <x:v>local stop, evacuation and protection routes are active</x:v>
      </x:c>
      <x:c r="O244" s="17" t="str">
        <x:v>Safety authority</x:v>
      </x:c>
      <x:c r="P244" s="9" t="n">
        <x:v>0</x:v>
      </x:c>
      <x:c r="Q244" s="9" t="n">
        <x:v>0</x:v>
      </x:c>
      <x:c r="R244" s="9" t="str">
        <x:v>OPEN / UNSTARTED</x:v>
      </x:c>
      <x:c r="S244" s="9" t="n">
        <x:f>COUNTIFS($A$7:$A$1446,A244)</x:f>
        <x:v>1</x:v>
      </x:c>
    </x:row>
    <x:row r="245">
      <x:c r="A245" s="9" t="str">
        <x:v>EV-AR-RT-B-C-TECH-2-B1-INT-G0-ST09</x:v>
      </x:c>
      <x:c r="B245" s="9" t="str">
        <x:v>EV-AR-RT-B-C-TECH-2-B1-INT-G0</x:v>
      </x:c>
      <x:c r="C245" s="9" t="str">
        <x:v>EOW-AR-RT-B-C-TECH-2-B1-INT-G0</x:v>
      </x:c>
      <x:c r="D245" s="9" t="str">
        <x:v>AR-RT-B-C-TECH-2-B1-INT-G0</x:v>
      </x:c>
      <x:c r="E245" s="9" t="str">
        <x:v>RT-B-C-TECH-2</x:v>
      </x:c>
      <x:c r="F245" s="9" t="str">
        <x:v>RT-B-C</x:v>
      </x:c>
      <x:c r="G245" s="9" t="str">
        <x:v>B1</x:v>
      </x:c>
      <x:c r="H245" s="9" t="str">
        <x:v>INT</x:v>
      </x:c>
      <x:c r="I245" s="9" t="n">
        <x:v>1</x:v>
      </x:c>
      <x:c r="J245" s="9" t="n">
        <x:v>4</x:v>
      </x:c>
      <x:c r="K245" s="9" t="str">
        <x:v>RT-B-C-N3</x:v>
      </x:c>
      <x:c r="L245" s="9" t="str">
        <x:v>ST09</x:v>
      </x:c>
      <x:c r="M245" s="17" t="str">
        <x:v>Operator conflict clear</x:v>
      </x:c>
      <x:c r="N245" s="17" t="str">
        <x:v>candidate, fixture, safety and measurement control edges remain separated</x:v>
      </x:c>
      <x:c r="O245" s="17" t="str">
        <x:v>Conflict registrar</x:v>
      </x:c>
      <x:c r="P245" s="9" t="n">
        <x:v>0</x:v>
      </x:c>
      <x:c r="Q245" s="9" t="n">
        <x:v>0</x:v>
      </x:c>
      <x:c r="R245" s="9" t="str">
        <x:v>OPEN / UNSTARTED</x:v>
      </x:c>
      <x:c r="S245" s="9" t="n">
        <x:f>COUNTIFS($A$7:$A$1446,A245)</x:f>
        <x:v>1</x:v>
      </x:c>
    </x:row>
    <x:row r="246">
      <x:c r="A246" s="9" t="str">
        <x:v>EV-AR-RT-B-C-TECH-2-B1-INT-G0-ST10</x:v>
      </x:c>
      <x:c r="B246" s="9" t="str">
        <x:v>EV-AR-RT-B-C-TECH-2-B1-INT-G0</x:v>
      </x:c>
      <x:c r="C246" s="9" t="str">
        <x:v>EOW-AR-RT-B-C-TECH-2-B1-INT-G0</x:v>
      </x:c>
      <x:c r="D246" s="9" t="str">
        <x:v>AR-RT-B-C-TECH-2-B1-INT-G0</x:v>
      </x:c>
      <x:c r="E246" s="9" t="str">
        <x:v>RT-B-C-TECH-2</x:v>
      </x:c>
      <x:c r="F246" s="9" t="str">
        <x:v>RT-B-C</x:v>
      </x:c>
      <x:c r="G246" s="9" t="str">
        <x:v>B1</x:v>
      </x:c>
      <x:c r="H246" s="9" t="str">
        <x:v>INT</x:v>
      </x:c>
      <x:c r="I246" s="9" t="n">
        <x:v>1</x:v>
      </x:c>
      <x:c r="J246" s="9" t="n">
        <x:v>4</x:v>
      </x:c>
      <x:c r="K246" s="9" t="str">
        <x:v>RT-B-C-N3</x:v>
      </x:c>
      <x:c r="L246" s="9" t="str">
        <x:v>ST10</x:v>
      </x:c>
      <x:c r="M246" s="17" t="str">
        <x:v>Window and common clock</x:v>
      </x:c>
      <x:c r="N246" s="17" t="str">
        <x:v>epoch, window and public time origin match the issued warrant</x:v>
      </x:c>
      <x:c r="O246" s="17" t="str">
        <x:v>Event clock authority</x:v>
      </x:c>
      <x:c r="P246" s="9" t="n">
        <x:v>0</x:v>
      </x:c>
      <x:c r="Q246" s="9" t="n">
        <x:v>0</x:v>
      </x:c>
      <x:c r="R246" s="9" t="str">
        <x:v>OPEN / UNSTARTED</x:v>
      </x:c>
      <x:c r="S246" s="9" t="n">
        <x:f>COUNTIFS($A$7:$A$1446,A246)</x:f>
        <x:v>1</x:v>
      </x:c>
    </x:row>
    <x:row r="247">
      <x:c r="A247" s="9" t="str">
        <x:v>EV-AR-CT-C-B-TECH-4-B2-BRK-G0-ST01</x:v>
      </x:c>
      <x:c r="B247" s="9" t="str">
        <x:v>EV-AR-CT-C-B-TECH-4-B2-BRK-G0</x:v>
      </x:c>
      <x:c r="C247" s="9" t="str">
        <x:v>EOW-AR-CT-C-B-TECH-4-B2-BRK-G0</x:v>
      </x:c>
      <x:c r="D247" s="9" t="str">
        <x:v>AR-CT-C-B-TECH-4-B2-BRK-G0</x:v>
      </x:c>
      <x:c r="E247" s="9" t="str">
        <x:v>CT-C-B-TECH-4</x:v>
      </x:c>
      <x:c r="F247" s="9" t="str">
        <x:v>CT-C-B</x:v>
      </x:c>
      <x:c r="G247" s="9" t="str">
        <x:v>B2</x:v>
      </x:c>
      <x:c r="H247" s="9" t="str">
        <x:v>BRK</x:v>
      </x:c>
      <x:c r="I247" s="9" t="n">
        <x:v>2</x:v>
      </x:c>
      <x:c r="J247" s="9" t="n">
        <x:v>1</x:v>
      </x:c>
      <x:c r="K247" s="9" t="str">
        <x:v>CT-C-B-N2</x:v>
      </x:c>
      <x:c r="L247" s="9" t="str">
        <x:v>ST01</x:v>
      </x:c>
      <x:c r="M247" s="17" t="str">
        <x:v>Active opportunity warrant</x:v>
      </x:c>
      <x:c r="N247" s="17" t="str">
        <x:v>configuration-bound EOW is within its thirty-six-hour validity</x:v>
      </x:c>
      <x:c r="O247" s="17" t="str">
        <x:v>Start registrar</x:v>
      </x:c>
      <x:c r="P247" s="9" t="n">
        <x:v>0</x:v>
      </x:c>
      <x:c r="Q247" s="9" t="n">
        <x:v>0</x:v>
      </x:c>
      <x:c r="R247" s="9" t="str">
        <x:v>OPEN / UNSTARTED</x:v>
      </x:c>
      <x:c r="S247" s="9" t="n">
        <x:f>COUNTIFS($A$7:$A$1446,A247)</x:f>
        <x:v>1</x:v>
      </x:c>
    </x:row>
    <x:row r="248">
      <x:c r="A248" s="9" t="str">
        <x:v>EV-AR-CT-C-B-TECH-4-B2-BRK-G0-ST02</x:v>
      </x:c>
      <x:c r="B248" s="9" t="str">
        <x:v>EV-AR-CT-C-B-TECH-4-B2-BRK-G0</x:v>
      </x:c>
      <x:c r="C248" s="9" t="str">
        <x:v>EOW-AR-CT-C-B-TECH-4-B2-BRK-G0</x:v>
      </x:c>
      <x:c r="D248" s="9" t="str">
        <x:v>AR-CT-C-B-TECH-4-B2-BRK-G0</x:v>
      </x:c>
      <x:c r="E248" s="9" t="str">
        <x:v>CT-C-B-TECH-4</x:v>
      </x:c>
      <x:c r="F248" s="9" t="str">
        <x:v>CT-C-B</x:v>
      </x:c>
      <x:c r="G248" s="9" t="str">
        <x:v>B2</x:v>
      </x:c>
      <x:c r="H248" s="9" t="str">
        <x:v>BRK</x:v>
      </x:c>
      <x:c r="I248" s="9" t="n">
        <x:v>2</x:v>
      </x:c>
      <x:c r="J248" s="9" t="n">
        <x:v>1</x:v>
      </x:c>
      <x:c r="K248" s="9" t="str">
        <x:v>CT-C-B-N2</x:v>
      </x:c>
      <x:c r="L248" s="9" t="str">
        <x:v>ST02</x:v>
      </x:c>
      <x:c r="M248" s="17" t="str">
        <x:v>Frozen identity</x:v>
      </x:c>
      <x:c r="N248" s="17" t="str">
        <x:v>serial, generation, fixture, site, receiver and digest match the warrant</x:v>
      </x:c>
      <x:c r="O248" s="17" t="str">
        <x:v>Custody authority</x:v>
      </x:c>
      <x:c r="P248" s="9" t="n">
        <x:v>0</x:v>
      </x:c>
      <x:c r="Q248" s="9" t="n">
        <x:v>0</x:v>
      </x:c>
      <x:c r="R248" s="9" t="str">
        <x:v>OPEN / UNSTARTED</x:v>
      </x:c>
      <x:c r="S248" s="9" t="n">
        <x:f>COUNTIFS($A$7:$A$1446,A248)</x:f>
        <x:v>1</x:v>
      </x:c>
    </x:row>
    <x:row r="249">
      <x:c r="A249" s="9" t="str">
        <x:v>EV-AR-CT-C-B-TECH-4-B2-BRK-G0-ST03</x:v>
      </x:c>
      <x:c r="B249" s="9" t="str">
        <x:v>EV-AR-CT-C-B-TECH-4-B2-BRK-G0</x:v>
      </x:c>
      <x:c r="C249" s="9" t="str">
        <x:v>EOW-AR-CT-C-B-TECH-4-B2-BRK-G0</x:v>
      </x:c>
      <x:c r="D249" s="9" t="str">
        <x:v>AR-CT-C-B-TECH-4-B2-BRK-G0</x:v>
      </x:c>
      <x:c r="E249" s="9" t="str">
        <x:v>CT-C-B-TECH-4</x:v>
      </x:c>
      <x:c r="F249" s="9" t="str">
        <x:v>CT-C-B</x:v>
      </x:c>
      <x:c r="G249" s="9" t="str">
        <x:v>B2</x:v>
      </x:c>
      <x:c r="H249" s="9" t="str">
        <x:v>BRK</x:v>
      </x:c>
      <x:c r="I249" s="9" t="n">
        <x:v>2</x:v>
      </x:c>
      <x:c r="J249" s="9" t="n">
        <x:v>1</x:v>
      </x:c>
      <x:c r="K249" s="9" t="str">
        <x:v>CT-C-B-N2</x:v>
      </x:c>
      <x:c r="L249" s="9" t="str">
        <x:v>ST03</x:v>
      </x:c>
      <x:c r="M249" s="17" t="str">
        <x:v>Receiver receipt</x:v>
      </x:c>
      <x:c r="N249" s="17" t="str">
        <x:v>denominator, counterfactual, rights and stop receipt remain unchanged</x:v>
      </x:c>
      <x:c r="O249" s="17" t="str">
        <x:v>Receiver authority</x:v>
      </x:c>
      <x:c r="P249" s="9" t="n">
        <x:v>0</x:v>
      </x:c>
      <x:c r="Q249" s="9" t="n">
        <x:v>0</x:v>
      </x:c>
      <x:c r="R249" s="9" t="str">
        <x:v>OPEN / UNSTARTED</x:v>
      </x:c>
      <x:c r="S249" s="9" t="n">
        <x:f>COUNTIFS($A$7:$A$1446,A249)</x:f>
        <x:v>1</x:v>
      </x:c>
    </x:row>
    <x:row r="250">
      <x:c r="A250" s="9" t="str">
        <x:v>EV-AR-CT-C-B-TECH-4-B2-BRK-G0-ST04</x:v>
      </x:c>
      <x:c r="B250" s="9" t="str">
        <x:v>EV-AR-CT-C-B-TECH-4-B2-BRK-G0</x:v>
      </x:c>
      <x:c r="C250" s="9" t="str">
        <x:v>EOW-AR-CT-C-B-TECH-4-B2-BRK-G0</x:v>
      </x:c>
      <x:c r="D250" s="9" t="str">
        <x:v>AR-CT-C-B-TECH-4-B2-BRK-G0</x:v>
      </x:c>
      <x:c r="E250" s="9" t="str">
        <x:v>CT-C-B-TECH-4</x:v>
      </x:c>
      <x:c r="F250" s="9" t="str">
        <x:v>CT-C-B</x:v>
      </x:c>
      <x:c r="G250" s="9" t="str">
        <x:v>B2</x:v>
      </x:c>
      <x:c r="H250" s="9" t="str">
        <x:v>BRK</x:v>
      </x:c>
      <x:c r="I250" s="9" t="n">
        <x:v>2</x:v>
      </x:c>
      <x:c r="J250" s="9" t="n">
        <x:v>1</x:v>
      </x:c>
      <x:c r="K250" s="9" t="str">
        <x:v>CT-C-B-N2</x:v>
      </x:c>
      <x:c r="L250" s="9" t="str">
        <x:v>ST04</x:v>
      </x:c>
      <x:c r="M250" s="17" t="str">
        <x:v>Primary capture armed</x:v>
      </x:c>
      <x:c r="N250" s="17" t="str">
        <x:v>primary chain records sealed reference and live time</x:v>
      </x:c>
      <x:c r="O250" s="17" t="str">
        <x:v>Primary metrology</x:v>
      </x:c>
      <x:c r="P250" s="9" t="n">
        <x:v>0</x:v>
      </x:c>
      <x:c r="Q250" s="9" t="n">
        <x:v>0</x:v>
      </x:c>
      <x:c r="R250" s="9" t="str">
        <x:v>OPEN / UNSTARTED</x:v>
      </x:c>
      <x:c r="S250" s="9" t="n">
        <x:f>COUNTIFS($A$7:$A$1446,A250)</x:f>
        <x:v>1</x:v>
      </x:c>
    </x:row>
    <x:row r="251">
      <x:c r="A251" s="9" t="str">
        <x:v>EV-AR-CT-C-B-TECH-4-B2-BRK-G0-ST05</x:v>
      </x:c>
      <x:c r="B251" s="9" t="str">
        <x:v>EV-AR-CT-C-B-TECH-4-B2-BRK-G0</x:v>
      </x:c>
      <x:c r="C251" s="9" t="str">
        <x:v>EOW-AR-CT-C-B-TECH-4-B2-BRK-G0</x:v>
      </x:c>
      <x:c r="D251" s="9" t="str">
        <x:v>AR-CT-C-B-TECH-4-B2-BRK-G0</x:v>
      </x:c>
      <x:c r="E251" s="9" t="str">
        <x:v>CT-C-B-TECH-4</x:v>
      </x:c>
      <x:c r="F251" s="9" t="str">
        <x:v>CT-C-B</x:v>
      </x:c>
      <x:c r="G251" s="9" t="str">
        <x:v>B2</x:v>
      </x:c>
      <x:c r="H251" s="9" t="str">
        <x:v>BRK</x:v>
      </x:c>
      <x:c r="I251" s="9" t="n">
        <x:v>2</x:v>
      </x:c>
      <x:c r="J251" s="9" t="n">
        <x:v>1</x:v>
      </x:c>
      <x:c r="K251" s="9" t="str">
        <x:v>CT-C-B-N2</x:v>
      </x:c>
      <x:c r="L251" s="9" t="str">
        <x:v>ST05</x:v>
      </x:c>
      <x:c r="M251" s="17" t="str">
        <x:v>Witness capture armed</x:v>
      </x:c>
      <x:c r="N251" s="17" t="str">
        <x:v>unlike witness records independent reference and live time</x:v>
      </x:c>
      <x:c r="O251" s="17" t="str">
        <x:v>Witness metrology</x:v>
      </x:c>
      <x:c r="P251" s="9" t="n">
        <x:v>0</x:v>
      </x:c>
      <x:c r="Q251" s="9" t="n">
        <x:v>0</x:v>
      </x:c>
      <x:c r="R251" s="9" t="str">
        <x:v>OPEN / UNSTARTED</x:v>
      </x:c>
      <x:c r="S251" s="9" t="n">
        <x:f>COUNTIFS($A$7:$A$1446,A251)</x:f>
        <x:v>1</x:v>
      </x:c>
    </x:row>
    <x:row r="252">
      <x:c r="A252" s="9" t="str">
        <x:v>EV-AR-CT-C-B-TECH-4-B2-BRK-G0-ST06</x:v>
      </x:c>
      <x:c r="B252" s="9" t="str">
        <x:v>EV-AR-CT-C-B-TECH-4-B2-BRK-G0</x:v>
      </x:c>
      <x:c r="C252" s="9" t="str">
        <x:v>EOW-AR-CT-C-B-TECH-4-B2-BRK-G0</x:v>
      </x:c>
      <x:c r="D252" s="9" t="str">
        <x:v>AR-CT-C-B-TECH-4-B2-BRK-G0</x:v>
      </x:c>
      <x:c r="E252" s="9" t="str">
        <x:v>CT-C-B-TECH-4</x:v>
      </x:c>
      <x:c r="F252" s="9" t="str">
        <x:v>CT-C-B</x:v>
      </x:c>
      <x:c r="G252" s="9" t="str">
        <x:v>B2</x:v>
      </x:c>
      <x:c r="H252" s="9" t="str">
        <x:v>BRK</x:v>
      </x:c>
      <x:c r="I252" s="9" t="n">
        <x:v>2</x:v>
      </x:c>
      <x:c r="J252" s="9" t="n">
        <x:v>1</x:v>
      </x:c>
      <x:c r="K252" s="9" t="str">
        <x:v>CT-C-B-N2</x:v>
      </x:c>
      <x:c r="L252" s="9" t="str">
        <x:v>ST06</x:v>
      </x:c>
      <x:c r="M252" s="17" t="str">
        <x:v>Public custody armed</x:v>
      </x:c>
      <x:c r="N252" s="17" t="str">
        <x:v>eight raw origins have separated hash and replica routes</x:v>
      </x:c>
      <x:c r="O252" s="17" t="str">
        <x:v>Custody authority</x:v>
      </x:c>
      <x:c r="P252" s="9" t="n">
        <x:v>0</x:v>
      </x:c>
      <x:c r="Q252" s="9" t="n">
        <x:v>0</x:v>
      </x:c>
      <x:c r="R252" s="9" t="str">
        <x:v>OPEN / UNSTARTED</x:v>
      </x:c>
      <x:c r="S252" s="9" t="n">
        <x:f>COUNTIFS($A$7:$A$1446,A252)</x:f>
        <x:v>1</x:v>
      </x:c>
    </x:row>
    <x:row r="253">
      <x:c r="A253" s="9" t="str">
        <x:v>EV-AR-CT-C-B-TECH-4-B2-BRK-G0-ST07</x:v>
      </x:c>
      <x:c r="B253" s="9" t="str">
        <x:v>EV-AR-CT-C-B-TECH-4-B2-BRK-G0</x:v>
      </x:c>
      <x:c r="C253" s="9" t="str">
        <x:v>EOW-AR-CT-C-B-TECH-4-B2-BRK-G0</x:v>
      </x:c>
      <x:c r="D253" s="9" t="str">
        <x:v>AR-CT-C-B-TECH-4-B2-BRK-G0</x:v>
      </x:c>
      <x:c r="E253" s="9" t="str">
        <x:v>CT-C-B-TECH-4</x:v>
      </x:c>
      <x:c r="F253" s="9" t="str">
        <x:v>CT-C-B</x:v>
      </x:c>
      <x:c r="G253" s="9" t="str">
        <x:v>B2</x:v>
      </x:c>
      <x:c r="H253" s="9" t="str">
        <x:v>BRK</x:v>
      </x:c>
      <x:c r="I253" s="9" t="n">
        <x:v>2</x:v>
      </x:c>
      <x:c r="J253" s="9" t="n">
        <x:v>1</x:v>
      </x:c>
      <x:c r="K253" s="9" t="str">
        <x:v>CT-C-B-N2</x:v>
      </x:c>
      <x:c r="L253" s="9" t="str">
        <x:v>ST07</x:v>
      </x:c>
      <x:c r="M253" s="17" t="str">
        <x:v>Environmental baseline</x:v>
      </x:c>
      <x:c r="N253" s="17" t="str">
        <x:v>pre-event boundary state is sealed before decisive operation</x:v>
      </x:c>
      <x:c r="O253" s="17" t="str">
        <x:v>Site metrology</x:v>
      </x:c>
      <x:c r="P253" s="9" t="n">
        <x:v>0</x:v>
      </x:c>
      <x:c r="Q253" s="9" t="n">
        <x:v>0</x:v>
      </x:c>
      <x:c r="R253" s="9" t="str">
        <x:v>OPEN / UNSTARTED</x:v>
      </x:c>
      <x:c r="S253" s="9" t="n">
        <x:f>COUNTIFS($A$7:$A$1446,A253)</x:f>
        <x:v>1</x:v>
      </x:c>
    </x:row>
    <x:row r="254">
      <x:c r="A254" s="9" t="str">
        <x:v>EV-AR-CT-C-B-TECH-4-B2-BRK-G0-ST08</x:v>
      </x:c>
      <x:c r="B254" s="9" t="str">
        <x:v>EV-AR-CT-C-B-TECH-4-B2-BRK-G0</x:v>
      </x:c>
      <x:c r="C254" s="9" t="str">
        <x:v>EOW-AR-CT-C-B-TECH-4-B2-BRK-G0</x:v>
      </x:c>
      <x:c r="D254" s="9" t="str">
        <x:v>AR-CT-C-B-TECH-4-B2-BRK-G0</x:v>
      </x:c>
      <x:c r="E254" s="9" t="str">
        <x:v>CT-C-B-TECH-4</x:v>
      </x:c>
      <x:c r="F254" s="9" t="str">
        <x:v>CT-C-B</x:v>
      </x:c>
      <x:c r="G254" s="9" t="str">
        <x:v>B2</x:v>
      </x:c>
      <x:c r="H254" s="9" t="str">
        <x:v>BRK</x:v>
      </x:c>
      <x:c r="I254" s="9" t="n">
        <x:v>2</x:v>
      </x:c>
      <x:c r="J254" s="9" t="n">
        <x:v>1</x:v>
      </x:c>
      <x:c r="K254" s="9" t="str">
        <x:v>CT-C-B-N2</x:v>
      </x:c>
      <x:c r="L254" s="9" t="str">
        <x:v>ST08</x:v>
      </x:c>
      <x:c r="M254" s="17" t="str">
        <x:v>Manual stop and safety</x:v>
      </x:c>
      <x:c r="N254" s="17" t="str">
        <x:v>local stop, evacuation and protection routes are active</x:v>
      </x:c>
      <x:c r="O254" s="17" t="str">
        <x:v>Safety authority</x:v>
      </x:c>
      <x:c r="P254" s="9" t="n">
        <x:v>0</x:v>
      </x:c>
      <x:c r="Q254" s="9" t="n">
        <x:v>0</x:v>
      </x:c>
      <x:c r="R254" s="9" t="str">
        <x:v>OPEN / UNSTARTED</x:v>
      </x:c>
      <x:c r="S254" s="9" t="n">
        <x:f>COUNTIFS($A$7:$A$1446,A254)</x:f>
        <x:v>1</x:v>
      </x:c>
    </x:row>
    <x:row r="255">
      <x:c r="A255" s="9" t="str">
        <x:v>EV-AR-CT-C-B-TECH-4-B2-BRK-G0-ST09</x:v>
      </x:c>
      <x:c r="B255" s="9" t="str">
        <x:v>EV-AR-CT-C-B-TECH-4-B2-BRK-G0</x:v>
      </x:c>
      <x:c r="C255" s="9" t="str">
        <x:v>EOW-AR-CT-C-B-TECH-4-B2-BRK-G0</x:v>
      </x:c>
      <x:c r="D255" s="9" t="str">
        <x:v>AR-CT-C-B-TECH-4-B2-BRK-G0</x:v>
      </x:c>
      <x:c r="E255" s="9" t="str">
        <x:v>CT-C-B-TECH-4</x:v>
      </x:c>
      <x:c r="F255" s="9" t="str">
        <x:v>CT-C-B</x:v>
      </x:c>
      <x:c r="G255" s="9" t="str">
        <x:v>B2</x:v>
      </x:c>
      <x:c r="H255" s="9" t="str">
        <x:v>BRK</x:v>
      </x:c>
      <x:c r="I255" s="9" t="n">
        <x:v>2</x:v>
      </x:c>
      <x:c r="J255" s="9" t="n">
        <x:v>1</x:v>
      </x:c>
      <x:c r="K255" s="9" t="str">
        <x:v>CT-C-B-N2</x:v>
      </x:c>
      <x:c r="L255" s="9" t="str">
        <x:v>ST09</x:v>
      </x:c>
      <x:c r="M255" s="17" t="str">
        <x:v>Operator conflict clear</x:v>
      </x:c>
      <x:c r="N255" s="17" t="str">
        <x:v>candidate, fixture, safety and measurement control edges remain separated</x:v>
      </x:c>
      <x:c r="O255" s="17" t="str">
        <x:v>Conflict registrar</x:v>
      </x:c>
      <x:c r="P255" s="9" t="n">
        <x:v>0</x:v>
      </x:c>
      <x:c r="Q255" s="9" t="n">
        <x:v>0</x:v>
      </x:c>
      <x:c r="R255" s="9" t="str">
        <x:v>OPEN / UNSTARTED</x:v>
      </x:c>
      <x:c r="S255" s="9" t="n">
        <x:f>COUNTIFS($A$7:$A$1446,A255)</x:f>
        <x:v>1</x:v>
      </x:c>
    </x:row>
    <x:row r="256">
      <x:c r="A256" s="9" t="str">
        <x:v>EV-AR-CT-C-B-TECH-4-B2-BRK-G0-ST10</x:v>
      </x:c>
      <x:c r="B256" s="9" t="str">
        <x:v>EV-AR-CT-C-B-TECH-4-B2-BRK-G0</x:v>
      </x:c>
      <x:c r="C256" s="9" t="str">
        <x:v>EOW-AR-CT-C-B-TECH-4-B2-BRK-G0</x:v>
      </x:c>
      <x:c r="D256" s="9" t="str">
        <x:v>AR-CT-C-B-TECH-4-B2-BRK-G0</x:v>
      </x:c>
      <x:c r="E256" s="9" t="str">
        <x:v>CT-C-B-TECH-4</x:v>
      </x:c>
      <x:c r="F256" s="9" t="str">
        <x:v>CT-C-B</x:v>
      </x:c>
      <x:c r="G256" s="9" t="str">
        <x:v>B2</x:v>
      </x:c>
      <x:c r="H256" s="9" t="str">
        <x:v>BRK</x:v>
      </x:c>
      <x:c r="I256" s="9" t="n">
        <x:v>2</x:v>
      </x:c>
      <x:c r="J256" s="9" t="n">
        <x:v>1</x:v>
      </x:c>
      <x:c r="K256" s="9" t="str">
        <x:v>CT-C-B-N2</x:v>
      </x:c>
      <x:c r="L256" s="9" t="str">
        <x:v>ST10</x:v>
      </x:c>
      <x:c r="M256" s="17" t="str">
        <x:v>Window and common clock</x:v>
      </x:c>
      <x:c r="N256" s="17" t="str">
        <x:v>epoch, window and public time origin match the issued warrant</x:v>
      </x:c>
      <x:c r="O256" s="17" t="str">
        <x:v>Event clock authority</x:v>
      </x:c>
      <x:c r="P256" s="9" t="n">
        <x:v>0</x:v>
      </x:c>
      <x:c r="Q256" s="9" t="n">
        <x:v>0</x:v>
      </x:c>
      <x:c r="R256" s="9" t="str">
        <x:v>OPEN / UNSTARTED</x:v>
      </x:c>
      <x:c r="S256" s="9" t="n">
        <x:f>COUNTIFS($A$7:$A$1446,A256)</x:f>
        <x:v>1</x:v>
      </x:c>
    </x:row>
    <x:row r="257">
      <x:c r="A257" s="9" t="str">
        <x:v>EV-AR-CT-C-B-TECH-3-B1-RCN-G0-ST01</x:v>
      </x:c>
      <x:c r="B257" s="9" t="str">
        <x:v>EV-AR-CT-C-B-TECH-3-B1-RCN-G0</x:v>
      </x:c>
      <x:c r="C257" s="9" t="str">
        <x:v>EOW-AR-CT-C-B-TECH-3-B1-RCN-G0</x:v>
      </x:c>
      <x:c r="D257" s="9" t="str">
        <x:v>AR-CT-C-B-TECH-3-B1-RCN-G0</x:v>
      </x:c>
      <x:c r="E257" s="9" t="str">
        <x:v>CT-C-B-TECH-3</x:v>
      </x:c>
      <x:c r="F257" s="9" t="str">
        <x:v>CT-C-B</x:v>
      </x:c>
      <x:c r="G257" s="9" t="str">
        <x:v>B1</x:v>
      </x:c>
      <x:c r="H257" s="9" t="str">
        <x:v>RCN</x:v>
      </x:c>
      <x:c r="I257" s="9" t="n">
        <x:v>2</x:v>
      </x:c>
      <x:c r="J257" s="9" t="n">
        <x:v>1</x:v>
      </x:c>
      <x:c r="K257" s="9" t="str">
        <x:v>CT-C-B-N3</x:v>
      </x:c>
      <x:c r="L257" s="9" t="str">
        <x:v>ST01</x:v>
      </x:c>
      <x:c r="M257" s="17" t="str">
        <x:v>Active opportunity warrant</x:v>
      </x:c>
      <x:c r="N257" s="17" t="str">
        <x:v>configuration-bound EOW is within its thirty-six-hour validity</x:v>
      </x:c>
      <x:c r="O257" s="17" t="str">
        <x:v>Start registrar</x:v>
      </x:c>
      <x:c r="P257" s="9" t="n">
        <x:v>0</x:v>
      </x:c>
      <x:c r="Q257" s="9" t="n">
        <x:v>0</x:v>
      </x:c>
      <x:c r="R257" s="9" t="str">
        <x:v>OPEN / UNSTARTED</x:v>
      </x:c>
      <x:c r="S257" s="9" t="n">
        <x:f>COUNTIFS($A$7:$A$1446,A257)</x:f>
        <x:v>1</x:v>
      </x:c>
    </x:row>
    <x:row r="258">
      <x:c r="A258" s="9" t="str">
        <x:v>EV-AR-CT-C-B-TECH-3-B1-RCN-G0-ST02</x:v>
      </x:c>
      <x:c r="B258" s="9" t="str">
        <x:v>EV-AR-CT-C-B-TECH-3-B1-RCN-G0</x:v>
      </x:c>
      <x:c r="C258" s="9" t="str">
        <x:v>EOW-AR-CT-C-B-TECH-3-B1-RCN-G0</x:v>
      </x:c>
      <x:c r="D258" s="9" t="str">
        <x:v>AR-CT-C-B-TECH-3-B1-RCN-G0</x:v>
      </x:c>
      <x:c r="E258" s="9" t="str">
        <x:v>CT-C-B-TECH-3</x:v>
      </x:c>
      <x:c r="F258" s="9" t="str">
        <x:v>CT-C-B</x:v>
      </x:c>
      <x:c r="G258" s="9" t="str">
        <x:v>B1</x:v>
      </x:c>
      <x:c r="H258" s="9" t="str">
        <x:v>RCN</x:v>
      </x:c>
      <x:c r="I258" s="9" t="n">
        <x:v>2</x:v>
      </x:c>
      <x:c r="J258" s="9" t="n">
        <x:v>1</x:v>
      </x:c>
      <x:c r="K258" s="9" t="str">
        <x:v>CT-C-B-N3</x:v>
      </x:c>
      <x:c r="L258" s="9" t="str">
        <x:v>ST02</x:v>
      </x:c>
      <x:c r="M258" s="17" t="str">
        <x:v>Frozen identity</x:v>
      </x:c>
      <x:c r="N258" s="17" t="str">
        <x:v>serial, generation, fixture, site, receiver and digest match the warrant</x:v>
      </x:c>
      <x:c r="O258" s="17" t="str">
        <x:v>Custody authority</x:v>
      </x:c>
      <x:c r="P258" s="9" t="n">
        <x:v>0</x:v>
      </x:c>
      <x:c r="Q258" s="9" t="n">
        <x:v>0</x:v>
      </x:c>
      <x:c r="R258" s="9" t="str">
        <x:v>OPEN / UNSTARTED</x:v>
      </x:c>
      <x:c r="S258" s="9" t="n">
        <x:f>COUNTIFS($A$7:$A$1446,A258)</x:f>
        <x:v>1</x:v>
      </x:c>
    </x:row>
    <x:row r="259">
      <x:c r="A259" s="9" t="str">
        <x:v>EV-AR-CT-C-B-TECH-3-B1-RCN-G0-ST03</x:v>
      </x:c>
      <x:c r="B259" s="9" t="str">
        <x:v>EV-AR-CT-C-B-TECH-3-B1-RCN-G0</x:v>
      </x:c>
      <x:c r="C259" s="9" t="str">
        <x:v>EOW-AR-CT-C-B-TECH-3-B1-RCN-G0</x:v>
      </x:c>
      <x:c r="D259" s="9" t="str">
        <x:v>AR-CT-C-B-TECH-3-B1-RCN-G0</x:v>
      </x:c>
      <x:c r="E259" s="9" t="str">
        <x:v>CT-C-B-TECH-3</x:v>
      </x:c>
      <x:c r="F259" s="9" t="str">
        <x:v>CT-C-B</x:v>
      </x:c>
      <x:c r="G259" s="9" t="str">
        <x:v>B1</x:v>
      </x:c>
      <x:c r="H259" s="9" t="str">
        <x:v>RCN</x:v>
      </x:c>
      <x:c r="I259" s="9" t="n">
        <x:v>2</x:v>
      </x:c>
      <x:c r="J259" s="9" t="n">
        <x:v>1</x:v>
      </x:c>
      <x:c r="K259" s="9" t="str">
        <x:v>CT-C-B-N3</x:v>
      </x:c>
      <x:c r="L259" s="9" t="str">
        <x:v>ST03</x:v>
      </x:c>
      <x:c r="M259" s="17" t="str">
        <x:v>Receiver receipt</x:v>
      </x:c>
      <x:c r="N259" s="17" t="str">
        <x:v>denominator, counterfactual, rights and stop receipt remain unchanged</x:v>
      </x:c>
      <x:c r="O259" s="17" t="str">
        <x:v>Receiver authority</x:v>
      </x:c>
      <x:c r="P259" s="9" t="n">
        <x:v>0</x:v>
      </x:c>
      <x:c r="Q259" s="9" t="n">
        <x:v>0</x:v>
      </x:c>
      <x:c r="R259" s="9" t="str">
        <x:v>OPEN / UNSTARTED</x:v>
      </x:c>
      <x:c r="S259" s="9" t="n">
        <x:f>COUNTIFS($A$7:$A$1446,A259)</x:f>
        <x:v>1</x:v>
      </x:c>
    </x:row>
    <x:row r="260">
      <x:c r="A260" s="9" t="str">
        <x:v>EV-AR-CT-C-B-TECH-3-B1-RCN-G0-ST04</x:v>
      </x:c>
      <x:c r="B260" s="9" t="str">
        <x:v>EV-AR-CT-C-B-TECH-3-B1-RCN-G0</x:v>
      </x:c>
      <x:c r="C260" s="9" t="str">
        <x:v>EOW-AR-CT-C-B-TECH-3-B1-RCN-G0</x:v>
      </x:c>
      <x:c r="D260" s="9" t="str">
        <x:v>AR-CT-C-B-TECH-3-B1-RCN-G0</x:v>
      </x:c>
      <x:c r="E260" s="9" t="str">
        <x:v>CT-C-B-TECH-3</x:v>
      </x:c>
      <x:c r="F260" s="9" t="str">
        <x:v>CT-C-B</x:v>
      </x:c>
      <x:c r="G260" s="9" t="str">
        <x:v>B1</x:v>
      </x:c>
      <x:c r="H260" s="9" t="str">
        <x:v>RCN</x:v>
      </x:c>
      <x:c r="I260" s="9" t="n">
        <x:v>2</x:v>
      </x:c>
      <x:c r="J260" s="9" t="n">
        <x:v>1</x:v>
      </x:c>
      <x:c r="K260" s="9" t="str">
        <x:v>CT-C-B-N3</x:v>
      </x:c>
      <x:c r="L260" s="9" t="str">
        <x:v>ST04</x:v>
      </x:c>
      <x:c r="M260" s="17" t="str">
        <x:v>Primary capture armed</x:v>
      </x:c>
      <x:c r="N260" s="17" t="str">
        <x:v>primary chain records sealed reference and live time</x:v>
      </x:c>
      <x:c r="O260" s="17" t="str">
        <x:v>Primary metrology</x:v>
      </x:c>
      <x:c r="P260" s="9" t="n">
        <x:v>0</x:v>
      </x:c>
      <x:c r="Q260" s="9" t="n">
        <x:v>0</x:v>
      </x:c>
      <x:c r="R260" s="9" t="str">
        <x:v>OPEN / UNSTARTED</x:v>
      </x:c>
      <x:c r="S260" s="9" t="n">
        <x:f>COUNTIFS($A$7:$A$1446,A260)</x:f>
        <x:v>1</x:v>
      </x:c>
    </x:row>
    <x:row r="261">
      <x:c r="A261" s="9" t="str">
        <x:v>EV-AR-CT-C-B-TECH-3-B1-RCN-G0-ST05</x:v>
      </x:c>
      <x:c r="B261" s="9" t="str">
        <x:v>EV-AR-CT-C-B-TECH-3-B1-RCN-G0</x:v>
      </x:c>
      <x:c r="C261" s="9" t="str">
        <x:v>EOW-AR-CT-C-B-TECH-3-B1-RCN-G0</x:v>
      </x:c>
      <x:c r="D261" s="9" t="str">
        <x:v>AR-CT-C-B-TECH-3-B1-RCN-G0</x:v>
      </x:c>
      <x:c r="E261" s="9" t="str">
        <x:v>CT-C-B-TECH-3</x:v>
      </x:c>
      <x:c r="F261" s="9" t="str">
        <x:v>CT-C-B</x:v>
      </x:c>
      <x:c r="G261" s="9" t="str">
        <x:v>B1</x:v>
      </x:c>
      <x:c r="H261" s="9" t="str">
        <x:v>RCN</x:v>
      </x:c>
      <x:c r="I261" s="9" t="n">
        <x:v>2</x:v>
      </x:c>
      <x:c r="J261" s="9" t="n">
        <x:v>1</x:v>
      </x:c>
      <x:c r="K261" s="9" t="str">
        <x:v>CT-C-B-N3</x:v>
      </x:c>
      <x:c r="L261" s="9" t="str">
        <x:v>ST05</x:v>
      </x:c>
      <x:c r="M261" s="17" t="str">
        <x:v>Witness capture armed</x:v>
      </x:c>
      <x:c r="N261" s="17" t="str">
        <x:v>unlike witness records independent reference and live time</x:v>
      </x:c>
      <x:c r="O261" s="17" t="str">
        <x:v>Witness metrology</x:v>
      </x:c>
      <x:c r="P261" s="9" t="n">
        <x:v>0</x:v>
      </x:c>
      <x:c r="Q261" s="9" t="n">
        <x:v>0</x:v>
      </x:c>
      <x:c r="R261" s="9" t="str">
        <x:v>OPEN / UNSTARTED</x:v>
      </x:c>
      <x:c r="S261" s="9" t="n">
        <x:f>COUNTIFS($A$7:$A$1446,A261)</x:f>
        <x:v>1</x:v>
      </x:c>
    </x:row>
    <x:row r="262">
      <x:c r="A262" s="9" t="str">
        <x:v>EV-AR-CT-C-B-TECH-3-B1-RCN-G0-ST06</x:v>
      </x:c>
      <x:c r="B262" s="9" t="str">
        <x:v>EV-AR-CT-C-B-TECH-3-B1-RCN-G0</x:v>
      </x:c>
      <x:c r="C262" s="9" t="str">
        <x:v>EOW-AR-CT-C-B-TECH-3-B1-RCN-G0</x:v>
      </x:c>
      <x:c r="D262" s="9" t="str">
        <x:v>AR-CT-C-B-TECH-3-B1-RCN-G0</x:v>
      </x:c>
      <x:c r="E262" s="9" t="str">
        <x:v>CT-C-B-TECH-3</x:v>
      </x:c>
      <x:c r="F262" s="9" t="str">
        <x:v>CT-C-B</x:v>
      </x:c>
      <x:c r="G262" s="9" t="str">
        <x:v>B1</x:v>
      </x:c>
      <x:c r="H262" s="9" t="str">
        <x:v>RCN</x:v>
      </x:c>
      <x:c r="I262" s="9" t="n">
        <x:v>2</x:v>
      </x:c>
      <x:c r="J262" s="9" t="n">
        <x:v>1</x:v>
      </x:c>
      <x:c r="K262" s="9" t="str">
        <x:v>CT-C-B-N3</x:v>
      </x:c>
      <x:c r="L262" s="9" t="str">
        <x:v>ST06</x:v>
      </x:c>
      <x:c r="M262" s="17" t="str">
        <x:v>Public custody armed</x:v>
      </x:c>
      <x:c r="N262" s="17" t="str">
        <x:v>eight raw origins have separated hash and replica routes</x:v>
      </x:c>
      <x:c r="O262" s="17" t="str">
        <x:v>Custody authority</x:v>
      </x:c>
      <x:c r="P262" s="9" t="n">
        <x:v>0</x:v>
      </x:c>
      <x:c r="Q262" s="9" t="n">
        <x:v>0</x:v>
      </x:c>
      <x:c r="R262" s="9" t="str">
        <x:v>OPEN / UNSTARTED</x:v>
      </x:c>
      <x:c r="S262" s="9" t="n">
        <x:f>COUNTIFS($A$7:$A$1446,A262)</x:f>
        <x:v>1</x:v>
      </x:c>
    </x:row>
    <x:row r="263">
      <x:c r="A263" s="9" t="str">
        <x:v>EV-AR-CT-C-B-TECH-3-B1-RCN-G0-ST07</x:v>
      </x:c>
      <x:c r="B263" s="9" t="str">
        <x:v>EV-AR-CT-C-B-TECH-3-B1-RCN-G0</x:v>
      </x:c>
      <x:c r="C263" s="9" t="str">
        <x:v>EOW-AR-CT-C-B-TECH-3-B1-RCN-G0</x:v>
      </x:c>
      <x:c r="D263" s="9" t="str">
        <x:v>AR-CT-C-B-TECH-3-B1-RCN-G0</x:v>
      </x:c>
      <x:c r="E263" s="9" t="str">
        <x:v>CT-C-B-TECH-3</x:v>
      </x:c>
      <x:c r="F263" s="9" t="str">
        <x:v>CT-C-B</x:v>
      </x:c>
      <x:c r="G263" s="9" t="str">
        <x:v>B1</x:v>
      </x:c>
      <x:c r="H263" s="9" t="str">
        <x:v>RCN</x:v>
      </x:c>
      <x:c r="I263" s="9" t="n">
        <x:v>2</x:v>
      </x:c>
      <x:c r="J263" s="9" t="n">
        <x:v>1</x:v>
      </x:c>
      <x:c r="K263" s="9" t="str">
        <x:v>CT-C-B-N3</x:v>
      </x:c>
      <x:c r="L263" s="9" t="str">
        <x:v>ST07</x:v>
      </x:c>
      <x:c r="M263" s="17" t="str">
        <x:v>Environmental baseline</x:v>
      </x:c>
      <x:c r="N263" s="17" t="str">
        <x:v>pre-event boundary state is sealed before decisive operation</x:v>
      </x:c>
      <x:c r="O263" s="17" t="str">
        <x:v>Site metrology</x:v>
      </x:c>
      <x:c r="P263" s="9" t="n">
        <x:v>0</x:v>
      </x:c>
      <x:c r="Q263" s="9" t="n">
        <x:v>0</x:v>
      </x:c>
      <x:c r="R263" s="9" t="str">
        <x:v>OPEN / UNSTARTED</x:v>
      </x:c>
      <x:c r="S263" s="9" t="n">
        <x:f>COUNTIFS($A$7:$A$1446,A263)</x:f>
        <x:v>1</x:v>
      </x:c>
    </x:row>
    <x:row r="264">
      <x:c r="A264" s="9" t="str">
        <x:v>EV-AR-CT-C-B-TECH-3-B1-RCN-G0-ST08</x:v>
      </x:c>
      <x:c r="B264" s="9" t="str">
        <x:v>EV-AR-CT-C-B-TECH-3-B1-RCN-G0</x:v>
      </x:c>
      <x:c r="C264" s="9" t="str">
        <x:v>EOW-AR-CT-C-B-TECH-3-B1-RCN-G0</x:v>
      </x:c>
      <x:c r="D264" s="9" t="str">
        <x:v>AR-CT-C-B-TECH-3-B1-RCN-G0</x:v>
      </x:c>
      <x:c r="E264" s="9" t="str">
        <x:v>CT-C-B-TECH-3</x:v>
      </x:c>
      <x:c r="F264" s="9" t="str">
        <x:v>CT-C-B</x:v>
      </x:c>
      <x:c r="G264" s="9" t="str">
        <x:v>B1</x:v>
      </x:c>
      <x:c r="H264" s="9" t="str">
        <x:v>RCN</x:v>
      </x:c>
      <x:c r="I264" s="9" t="n">
        <x:v>2</x:v>
      </x:c>
      <x:c r="J264" s="9" t="n">
        <x:v>1</x:v>
      </x:c>
      <x:c r="K264" s="9" t="str">
        <x:v>CT-C-B-N3</x:v>
      </x:c>
      <x:c r="L264" s="9" t="str">
        <x:v>ST08</x:v>
      </x:c>
      <x:c r="M264" s="17" t="str">
        <x:v>Manual stop and safety</x:v>
      </x:c>
      <x:c r="N264" s="17" t="str">
        <x:v>local stop, evacuation and protection routes are active</x:v>
      </x:c>
      <x:c r="O264" s="17" t="str">
        <x:v>Safety authority</x:v>
      </x:c>
      <x:c r="P264" s="9" t="n">
        <x:v>0</x:v>
      </x:c>
      <x:c r="Q264" s="9" t="n">
        <x:v>0</x:v>
      </x:c>
      <x:c r="R264" s="9" t="str">
        <x:v>OPEN / UNSTARTED</x:v>
      </x:c>
      <x:c r="S264" s="9" t="n">
        <x:f>COUNTIFS($A$7:$A$1446,A264)</x:f>
        <x:v>1</x:v>
      </x:c>
    </x:row>
    <x:row r="265">
      <x:c r="A265" s="9" t="str">
        <x:v>EV-AR-CT-C-B-TECH-3-B1-RCN-G0-ST09</x:v>
      </x:c>
      <x:c r="B265" s="9" t="str">
        <x:v>EV-AR-CT-C-B-TECH-3-B1-RCN-G0</x:v>
      </x:c>
      <x:c r="C265" s="9" t="str">
        <x:v>EOW-AR-CT-C-B-TECH-3-B1-RCN-G0</x:v>
      </x:c>
      <x:c r="D265" s="9" t="str">
        <x:v>AR-CT-C-B-TECH-3-B1-RCN-G0</x:v>
      </x:c>
      <x:c r="E265" s="9" t="str">
        <x:v>CT-C-B-TECH-3</x:v>
      </x:c>
      <x:c r="F265" s="9" t="str">
        <x:v>CT-C-B</x:v>
      </x:c>
      <x:c r="G265" s="9" t="str">
        <x:v>B1</x:v>
      </x:c>
      <x:c r="H265" s="9" t="str">
        <x:v>RCN</x:v>
      </x:c>
      <x:c r="I265" s="9" t="n">
        <x:v>2</x:v>
      </x:c>
      <x:c r="J265" s="9" t="n">
        <x:v>1</x:v>
      </x:c>
      <x:c r="K265" s="9" t="str">
        <x:v>CT-C-B-N3</x:v>
      </x:c>
      <x:c r="L265" s="9" t="str">
        <x:v>ST09</x:v>
      </x:c>
      <x:c r="M265" s="17" t="str">
        <x:v>Operator conflict clear</x:v>
      </x:c>
      <x:c r="N265" s="17" t="str">
        <x:v>candidate, fixture, safety and measurement control edges remain separated</x:v>
      </x:c>
      <x:c r="O265" s="17" t="str">
        <x:v>Conflict registrar</x:v>
      </x:c>
      <x:c r="P265" s="9" t="n">
        <x:v>0</x:v>
      </x:c>
      <x:c r="Q265" s="9" t="n">
        <x:v>0</x:v>
      </x:c>
      <x:c r="R265" s="9" t="str">
        <x:v>OPEN / UNSTARTED</x:v>
      </x:c>
      <x:c r="S265" s="9" t="n">
        <x:f>COUNTIFS($A$7:$A$1446,A265)</x:f>
        <x:v>1</x:v>
      </x:c>
    </x:row>
    <x:row r="266">
      <x:c r="A266" s="9" t="str">
        <x:v>EV-AR-CT-C-B-TECH-3-B1-RCN-G0-ST10</x:v>
      </x:c>
      <x:c r="B266" s="9" t="str">
        <x:v>EV-AR-CT-C-B-TECH-3-B1-RCN-G0</x:v>
      </x:c>
      <x:c r="C266" s="9" t="str">
        <x:v>EOW-AR-CT-C-B-TECH-3-B1-RCN-G0</x:v>
      </x:c>
      <x:c r="D266" s="9" t="str">
        <x:v>AR-CT-C-B-TECH-3-B1-RCN-G0</x:v>
      </x:c>
      <x:c r="E266" s="9" t="str">
        <x:v>CT-C-B-TECH-3</x:v>
      </x:c>
      <x:c r="F266" s="9" t="str">
        <x:v>CT-C-B</x:v>
      </x:c>
      <x:c r="G266" s="9" t="str">
        <x:v>B1</x:v>
      </x:c>
      <x:c r="H266" s="9" t="str">
        <x:v>RCN</x:v>
      </x:c>
      <x:c r="I266" s="9" t="n">
        <x:v>2</x:v>
      </x:c>
      <x:c r="J266" s="9" t="n">
        <x:v>1</x:v>
      </x:c>
      <x:c r="K266" s="9" t="str">
        <x:v>CT-C-B-N3</x:v>
      </x:c>
      <x:c r="L266" s="9" t="str">
        <x:v>ST10</x:v>
      </x:c>
      <x:c r="M266" s="17" t="str">
        <x:v>Window and common clock</x:v>
      </x:c>
      <x:c r="N266" s="17" t="str">
        <x:v>epoch, window and public time origin match the issued warrant</x:v>
      </x:c>
      <x:c r="O266" s="17" t="str">
        <x:v>Event clock authority</x:v>
      </x:c>
      <x:c r="P266" s="9" t="n">
        <x:v>0</x:v>
      </x:c>
      <x:c r="Q266" s="9" t="n">
        <x:v>0</x:v>
      </x:c>
      <x:c r="R266" s="9" t="str">
        <x:v>OPEN / UNSTARTED</x:v>
      </x:c>
      <x:c r="S266" s="9" t="n">
        <x:f>COUNTIFS($A$7:$A$1446,A266)</x:f>
        <x:v>1</x:v>
      </x:c>
    </x:row>
    <x:row r="267">
      <x:c r="A267" s="9" t="str">
        <x:v>EV-AR-HC-A-C-TECH-1-B2-RCN-G0-ST01</x:v>
      </x:c>
      <x:c r="B267" s="9" t="str">
        <x:v>EV-AR-HC-A-C-TECH-1-B2-RCN-G0</x:v>
      </x:c>
      <x:c r="C267" s="9" t="str">
        <x:v>EOW-AR-HC-A-C-TECH-1-B2-RCN-G0</x:v>
      </x:c>
      <x:c r="D267" s="9" t="str">
        <x:v>AR-HC-A-C-TECH-1-B2-RCN-G0</x:v>
      </x:c>
      <x:c r="E267" s="9" t="str">
        <x:v>HC-A-C-TECH-1</x:v>
      </x:c>
      <x:c r="F267" s="9" t="str">
        <x:v>HC-A-C</x:v>
      </x:c>
      <x:c r="G267" s="9" t="str">
        <x:v>B2</x:v>
      </x:c>
      <x:c r="H267" s="9" t="str">
        <x:v>RCN</x:v>
      </x:c>
      <x:c r="I267" s="9" t="n">
        <x:v>2</x:v>
      </x:c>
      <x:c r="J267" s="9" t="n">
        <x:v>1</x:v>
      </x:c>
      <x:c r="K267" s="9" t="str">
        <x:v>HC-A-C-N2</x:v>
      </x:c>
      <x:c r="L267" s="9" t="str">
        <x:v>ST01</x:v>
      </x:c>
      <x:c r="M267" s="17" t="str">
        <x:v>Active opportunity warrant</x:v>
      </x:c>
      <x:c r="N267" s="17" t="str">
        <x:v>configuration-bound EOW is within its thirty-six-hour validity</x:v>
      </x:c>
      <x:c r="O267" s="17" t="str">
        <x:v>Start registrar</x:v>
      </x:c>
      <x:c r="P267" s="9" t="n">
        <x:v>0</x:v>
      </x:c>
      <x:c r="Q267" s="9" t="n">
        <x:v>0</x:v>
      </x:c>
      <x:c r="R267" s="9" t="str">
        <x:v>OPEN / UNSTARTED</x:v>
      </x:c>
      <x:c r="S267" s="9" t="n">
        <x:f>COUNTIFS($A$7:$A$1446,A267)</x:f>
        <x:v>1</x:v>
      </x:c>
    </x:row>
    <x:row r="268">
      <x:c r="A268" s="9" t="str">
        <x:v>EV-AR-HC-A-C-TECH-1-B2-RCN-G0-ST02</x:v>
      </x:c>
      <x:c r="B268" s="9" t="str">
        <x:v>EV-AR-HC-A-C-TECH-1-B2-RCN-G0</x:v>
      </x:c>
      <x:c r="C268" s="9" t="str">
        <x:v>EOW-AR-HC-A-C-TECH-1-B2-RCN-G0</x:v>
      </x:c>
      <x:c r="D268" s="9" t="str">
        <x:v>AR-HC-A-C-TECH-1-B2-RCN-G0</x:v>
      </x:c>
      <x:c r="E268" s="9" t="str">
        <x:v>HC-A-C-TECH-1</x:v>
      </x:c>
      <x:c r="F268" s="9" t="str">
        <x:v>HC-A-C</x:v>
      </x:c>
      <x:c r="G268" s="9" t="str">
        <x:v>B2</x:v>
      </x:c>
      <x:c r="H268" s="9" t="str">
        <x:v>RCN</x:v>
      </x:c>
      <x:c r="I268" s="9" t="n">
        <x:v>2</x:v>
      </x:c>
      <x:c r="J268" s="9" t="n">
        <x:v>1</x:v>
      </x:c>
      <x:c r="K268" s="9" t="str">
        <x:v>HC-A-C-N2</x:v>
      </x:c>
      <x:c r="L268" s="9" t="str">
        <x:v>ST02</x:v>
      </x:c>
      <x:c r="M268" s="17" t="str">
        <x:v>Frozen identity</x:v>
      </x:c>
      <x:c r="N268" s="17" t="str">
        <x:v>serial, generation, fixture, site, receiver and digest match the warrant</x:v>
      </x:c>
      <x:c r="O268" s="17" t="str">
        <x:v>Custody authority</x:v>
      </x:c>
      <x:c r="P268" s="9" t="n">
        <x:v>0</x:v>
      </x:c>
      <x:c r="Q268" s="9" t="n">
        <x:v>0</x:v>
      </x:c>
      <x:c r="R268" s="9" t="str">
        <x:v>OPEN / UNSTARTED</x:v>
      </x:c>
      <x:c r="S268" s="9" t="n">
        <x:f>COUNTIFS($A$7:$A$1446,A268)</x:f>
        <x:v>1</x:v>
      </x:c>
    </x:row>
    <x:row r="269">
      <x:c r="A269" s="9" t="str">
        <x:v>EV-AR-HC-A-C-TECH-1-B2-RCN-G0-ST03</x:v>
      </x:c>
      <x:c r="B269" s="9" t="str">
        <x:v>EV-AR-HC-A-C-TECH-1-B2-RCN-G0</x:v>
      </x:c>
      <x:c r="C269" s="9" t="str">
        <x:v>EOW-AR-HC-A-C-TECH-1-B2-RCN-G0</x:v>
      </x:c>
      <x:c r="D269" s="9" t="str">
        <x:v>AR-HC-A-C-TECH-1-B2-RCN-G0</x:v>
      </x:c>
      <x:c r="E269" s="9" t="str">
        <x:v>HC-A-C-TECH-1</x:v>
      </x:c>
      <x:c r="F269" s="9" t="str">
        <x:v>HC-A-C</x:v>
      </x:c>
      <x:c r="G269" s="9" t="str">
        <x:v>B2</x:v>
      </x:c>
      <x:c r="H269" s="9" t="str">
        <x:v>RCN</x:v>
      </x:c>
      <x:c r="I269" s="9" t="n">
        <x:v>2</x:v>
      </x:c>
      <x:c r="J269" s="9" t="n">
        <x:v>1</x:v>
      </x:c>
      <x:c r="K269" s="9" t="str">
        <x:v>HC-A-C-N2</x:v>
      </x:c>
      <x:c r="L269" s="9" t="str">
        <x:v>ST03</x:v>
      </x:c>
      <x:c r="M269" s="17" t="str">
        <x:v>Receiver receipt</x:v>
      </x:c>
      <x:c r="N269" s="17" t="str">
        <x:v>denominator, counterfactual, rights and stop receipt remain unchanged</x:v>
      </x:c>
      <x:c r="O269" s="17" t="str">
        <x:v>Receiver authority</x:v>
      </x:c>
      <x:c r="P269" s="9" t="n">
        <x:v>0</x:v>
      </x:c>
      <x:c r="Q269" s="9" t="n">
        <x:v>0</x:v>
      </x:c>
      <x:c r="R269" s="9" t="str">
        <x:v>OPEN / UNSTARTED</x:v>
      </x:c>
      <x:c r="S269" s="9" t="n">
        <x:f>COUNTIFS($A$7:$A$1446,A269)</x:f>
        <x:v>1</x:v>
      </x:c>
    </x:row>
    <x:row r="270">
      <x:c r="A270" s="9" t="str">
        <x:v>EV-AR-HC-A-C-TECH-1-B2-RCN-G0-ST04</x:v>
      </x:c>
      <x:c r="B270" s="9" t="str">
        <x:v>EV-AR-HC-A-C-TECH-1-B2-RCN-G0</x:v>
      </x:c>
      <x:c r="C270" s="9" t="str">
        <x:v>EOW-AR-HC-A-C-TECH-1-B2-RCN-G0</x:v>
      </x:c>
      <x:c r="D270" s="9" t="str">
        <x:v>AR-HC-A-C-TECH-1-B2-RCN-G0</x:v>
      </x:c>
      <x:c r="E270" s="9" t="str">
        <x:v>HC-A-C-TECH-1</x:v>
      </x:c>
      <x:c r="F270" s="9" t="str">
        <x:v>HC-A-C</x:v>
      </x:c>
      <x:c r="G270" s="9" t="str">
        <x:v>B2</x:v>
      </x:c>
      <x:c r="H270" s="9" t="str">
        <x:v>RCN</x:v>
      </x:c>
      <x:c r="I270" s="9" t="n">
        <x:v>2</x:v>
      </x:c>
      <x:c r="J270" s="9" t="n">
        <x:v>1</x:v>
      </x:c>
      <x:c r="K270" s="9" t="str">
        <x:v>HC-A-C-N2</x:v>
      </x:c>
      <x:c r="L270" s="9" t="str">
        <x:v>ST04</x:v>
      </x:c>
      <x:c r="M270" s="17" t="str">
        <x:v>Primary capture armed</x:v>
      </x:c>
      <x:c r="N270" s="17" t="str">
        <x:v>primary chain records sealed reference and live time</x:v>
      </x:c>
      <x:c r="O270" s="17" t="str">
        <x:v>Primary metrology</x:v>
      </x:c>
      <x:c r="P270" s="9" t="n">
        <x:v>0</x:v>
      </x:c>
      <x:c r="Q270" s="9" t="n">
        <x:v>0</x:v>
      </x:c>
      <x:c r="R270" s="9" t="str">
        <x:v>OPEN / UNSTARTED</x:v>
      </x:c>
      <x:c r="S270" s="9" t="n">
        <x:f>COUNTIFS($A$7:$A$1446,A270)</x:f>
        <x:v>1</x:v>
      </x:c>
    </x:row>
    <x:row r="271">
      <x:c r="A271" s="9" t="str">
        <x:v>EV-AR-HC-A-C-TECH-1-B2-RCN-G0-ST05</x:v>
      </x:c>
      <x:c r="B271" s="9" t="str">
        <x:v>EV-AR-HC-A-C-TECH-1-B2-RCN-G0</x:v>
      </x:c>
      <x:c r="C271" s="9" t="str">
        <x:v>EOW-AR-HC-A-C-TECH-1-B2-RCN-G0</x:v>
      </x:c>
      <x:c r="D271" s="9" t="str">
        <x:v>AR-HC-A-C-TECH-1-B2-RCN-G0</x:v>
      </x:c>
      <x:c r="E271" s="9" t="str">
        <x:v>HC-A-C-TECH-1</x:v>
      </x:c>
      <x:c r="F271" s="9" t="str">
        <x:v>HC-A-C</x:v>
      </x:c>
      <x:c r="G271" s="9" t="str">
        <x:v>B2</x:v>
      </x:c>
      <x:c r="H271" s="9" t="str">
        <x:v>RCN</x:v>
      </x:c>
      <x:c r="I271" s="9" t="n">
        <x:v>2</x:v>
      </x:c>
      <x:c r="J271" s="9" t="n">
        <x:v>1</x:v>
      </x:c>
      <x:c r="K271" s="9" t="str">
        <x:v>HC-A-C-N2</x:v>
      </x:c>
      <x:c r="L271" s="9" t="str">
        <x:v>ST05</x:v>
      </x:c>
      <x:c r="M271" s="17" t="str">
        <x:v>Witness capture armed</x:v>
      </x:c>
      <x:c r="N271" s="17" t="str">
        <x:v>unlike witness records independent reference and live time</x:v>
      </x:c>
      <x:c r="O271" s="17" t="str">
        <x:v>Witness metrology</x:v>
      </x:c>
      <x:c r="P271" s="9" t="n">
        <x:v>0</x:v>
      </x:c>
      <x:c r="Q271" s="9" t="n">
        <x:v>0</x:v>
      </x:c>
      <x:c r="R271" s="9" t="str">
        <x:v>OPEN / UNSTARTED</x:v>
      </x:c>
      <x:c r="S271" s="9" t="n">
        <x:f>COUNTIFS($A$7:$A$1446,A271)</x:f>
        <x:v>1</x:v>
      </x:c>
    </x:row>
    <x:row r="272">
      <x:c r="A272" s="9" t="str">
        <x:v>EV-AR-HC-A-C-TECH-1-B2-RCN-G0-ST06</x:v>
      </x:c>
      <x:c r="B272" s="9" t="str">
        <x:v>EV-AR-HC-A-C-TECH-1-B2-RCN-G0</x:v>
      </x:c>
      <x:c r="C272" s="9" t="str">
        <x:v>EOW-AR-HC-A-C-TECH-1-B2-RCN-G0</x:v>
      </x:c>
      <x:c r="D272" s="9" t="str">
        <x:v>AR-HC-A-C-TECH-1-B2-RCN-G0</x:v>
      </x:c>
      <x:c r="E272" s="9" t="str">
        <x:v>HC-A-C-TECH-1</x:v>
      </x:c>
      <x:c r="F272" s="9" t="str">
        <x:v>HC-A-C</x:v>
      </x:c>
      <x:c r="G272" s="9" t="str">
        <x:v>B2</x:v>
      </x:c>
      <x:c r="H272" s="9" t="str">
        <x:v>RCN</x:v>
      </x:c>
      <x:c r="I272" s="9" t="n">
        <x:v>2</x:v>
      </x:c>
      <x:c r="J272" s="9" t="n">
        <x:v>1</x:v>
      </x:c>
      <x:c r="K272" s="9" t="str">
        <x:v>HC-A-C-N2</x:v>
      </x:c>
      <x:c r="L272" s="9" t="str">
        <x:v>ST06</x:v>
      </x:c>
      <x:c r="M272" s="17" t="str">
        <x:v>Public custody armed</x:v>
      </x:c>
      <x:c r="N272" s="17" t="str">
        <x:v>eight raw origins have separated hash and replica routes</x:v>
      </x:c>
      <x:c r="O272" s="17" t="str">
        <x:v>Custody authority</x:v>
      </x:c>
      <x:c r="P272" s="9" t="n">
        <x:v>0</x:v>
      </x:c>
      <x:c r="Q272" s="9" t="n">
        <x:v>0</x:v>
      </x:c>
      <x:c r="R272" s="9" t="str">
        <x:v>OPEN / UNSTARTED</x:v>
      </x:c>
      <x:c r="S272" s="9" t="n">
        <x:f>COUNTIFS($A$7:$A$1446,A272)</x:f>
        <x:v>1</x:v>
      </x:c>
    </x:row>
    <x:row r="273">
      <x:c r="A273" s="9" t="str">
        <x:v>EV-AR-HC-A-C-TECH-1-B2-RCN-G0-ST07</x:v>
      </x:c>
      <x:c r="B273" s="9" t="str">
        <x:v>EV-AR-HC-A-C-TECH-1-B2-RCN-G0</x:v>
      </x:c>
      <x:c r="C273" s="9" t="str">
        <x:v>EOW-AR-HC-A-C-TECH-1-B2-RCN-G0</x:v>
      </x:c>
      <x:c r="D273" s="9" t="str">
        <x:v>AR-HC-A-C-TECH-1-B2-RCN-G0</x:v>
      </x:c>
      <x:c r="E273" s="9" t="str">
        <x:v>HC-A-C-TECH-1</x:v>
      </x:c>
      <x:c r="F273" s="9" t="str">
        <x:v>HC-A-C</x:v>
      </x:c>
      <x:c r="G273" s="9" t="str">
        <x:v>B2</x:v>
      </x:c>
      <x:c r="H273" s="9" t="str">
        <x:v>RCN</x:v>
      </x:c>
      <x:c r="I273" s="9" t="n">
        <x:v>2</x:v>
      </x:c>
      <x:c r="J273" s="9" t="n">
        <x:v>1</x:v>
      </x:c>
      <x:c r="K273" s="9" t="str">
        <x:v>HC-A-C-N2</x:v>
      </x:c>
      <x:c r="L273" s="9" t="str">
        <x:v>ST07</x:v>
      </x:c>
      <x:c r="M273" s="17" t="str">
        <x:v>Environmental baseline</x:v>
      </x:c>
      <x:c r="N273" s="17" t="str">
        <x:v>pre-event boundary state is sealed before decisive operation</x:v>
      </x:c>
      <x:c r="O273" s="17" t="str">
        <x:v>Site metrology</x:v>
      </x:c>
      <x:c r="P273" s="9" t="n">
        <x:v>0</x:v>
      </x:c>
      <x:c r="Q273" s="9" t="n">
        <x:v>0</x:v>
      </x:c>
      <x:c r="R273" s="9" t="str">
        <x:v>OPEN / UNSTARTED</x:v>
      </x:c>
      <x:c r="S273" s="9" t="n">
        <x:f>COUNTIFS($A$7:$A$1446,A273)</x:f>
        <x:v>1</x:v>
      </x:c>
    </x:row>
    <x:row r="274">
      <x:c r="A274" s="9" t="str">
        <x:v>EV-AR-HC-A-C-TECH-1-B2-RCN-G0-ST08</x:v>
      </x:c>
      <x:c r="B274" s="9" t="str">
        <x:v>EV-AR-HC-A-C-TECH-1-B2-RCN-G0</x:v>
      </x:c>
      <x:c r="C274" s="9" t="str">
        <x:v>EOW-AR-HC-A-C-TECH-1-B2-RCN-G0</x:v>
      </x:c>
      <x:c r="D274" s="9" t="str">
        <x:v>AR-HC-A-C-TECH-1-B2-RCN-G0</x:v>
      </x:c>
      <x:c r="E274" s="9" t="str">
        <x:v>HC-A-C-TECH-1</x:v>
      </x:c>
      <x:c r="F274" s="9" t="str">
        <x:v>HC-A-C</x:v>
      </x:c>
      <x:c r="G274" s="9" t="str">
        <x:v>B2</x:v>
      </x:c>
      <x:c r="H274" s="9" t="str">
        <x:v>RCN</x:v>
      </x:c>
      <x:c r="I274" s="9" t="n">
        <x:v>2</x:v>
      </x:c>
      <x:c r="J274" s="9" t="n">
        <x:v>1</x:v>
      </x:c>
      <x:c r="K274" s="9" t="str">
        <x:v>HC-A-C-N2</x:v>
      </x:c>
      <x:c r="L274" s="9" t="str">
        <x:v>ST08</x:v>
      </x:c>
      <x:c r="M274" s="17" t="str">
        <x:v>Manual stop and safety</x:v>
      </x:c>
      <x:c r="N274" s="17" t="str">
        <x:v>local stop, evacuation and protection routes are active</x:v>
      </x:c>
      <x:c r="O274" s="17" t="str">
        <x:v>Safety authority</x:v>
      </x:c>
      <x:c r="P274" s="9" t="n">
        <x:v>0</x:v>
      </x:c>
      <x:c r="Q274" s="9" t="n">
        <x:v>0</x:v>
      </x:c>
      <x:c r="R274" s="9" t="str">
        <x:v>OPEN / UNSTARTED</x:v>
      </x:c>
      <x:c r="S274" s="9" t="n">
        <x:f>COUNTIFS($A$7:$A$1446,A274)</x:f>
        <x:v>1</x:v>
      </x:c>
    </x:row>
    <x:row r="275">
      <x:c r="A275" s="9" t="str">
        <x:v>EV-AR-HC-A-C-TECH-1-B2-RCN-G0-ST09</x:v>
      </x:c>
      <x:c r="B275" s="9" t="str">
        <x:v>EV-AR-HC-A-C-TECH-1-B2-RCN-G0</x:v>
      </x:c>
      <x:c r="C275" s="9" t="str">
        <x:v>EOW-AR-HC-A-C-TECH-1-B2-RCN-G0</x:v>
      </x:c>
      <x:c r="D275" s="9" t="str">
        <x:v>AR-HC-A-C-TECH-1-B2-RCN-G0</x:v>
      </x:c>
      <x:c r="E275" s="9" t="str">
        <x:v>HC-A-C-TECH-1</x:v>
      </x:c>
      <x:c r="F275" s="9" t="str">
        <x:v>HC-A-C</x:v>
      </x:c>
      <x:c r="G275" s="9" t="str">
        <x:v>B2</x:v>
      </x:c>
      <x:c r="H275" s="9" t="str">
        <x:v>RCN</x:v>
      </x:c>
      <x:c r="I275" s="9" t="n">
        <x:v>2</x:v>
      </x:c>
      <x:c r="J275" s="9" t="n">
        <x:v>1</x:v>
      </x:c>
      <x:c r="K275" s="9" t="str">
        <x:v>HC-A-C-N2</x:v>
      </x:c>
      <x:c r="L275" s="9" t="str">
        <x:v>ST09</x:v>
      </x:c>
      <x:c r="M275" s="17" t="str">
        <x:v>Operator conflict clear</x:v>
      </x:c>
      <x:c r="N275" s="17" t="str">
        <x:v>candidate, fixture, safety and measurement control edges remain separated</x:v>
      </x:c>
      <x:c r="O275" s="17" t="str">
        <x:v>Conflict registrar</x:v>
      </x:c>
      <x:c r="P275" s="9" t="n">
        <x:v>0</x:v>
      </x:c>
      <x:c r="Q275" s="9" t="n">
        <x:v>0</x:v>
      </x:c>
      <x:c r="R275" s="9" t="str">
        <x:v>OPEN / UNSTARTED</x:v>
      </x:c>
      <x:c r="S275" s="9" t="n">
        <x:f>COUNTIFS($A$7:$A$1446,A275)</x:f>
        <x:v>1</x:v>
      </x:c>
    </x:row>
    <x:row r="276">
      <x:c r="A276" s="9" t="str">
        <x:v>EV-AR-HC-A-C-TECH-1-B2-RCN-G0-ST10</x:v>
      </x:c>
      <x:c r="B276" s="9" t="str">
        <x:v>EV-AR-HC-A-C-TECH-1-B2-RCN-G0</x:v>
      </x:c>
      <x:c r="C276" s="9" t="str">
        <x:v>EOW-AR-HC-A-C-TECH-1-B2-RCN-G0</x:v>
      </x:c>
      <x:c r="D276" s="9" t="str">
        <x:v>AR-HC-A-C-TECH-1-B2-RCN-G0</x:v>
      </x:c>
      <x:c r="E276" s="9" t="str">
        <x:v>HC-A-C-TECH-1</x:v>
      </x:c>
      <x:c r="F276" s="9" t="str">
        <x:v>HC-A-C</x:v>
      </x:c>
      <x:c r="G276" s="9" t="str">
        <x:v>B2</x:v>
      </x:c>
      <x:c r="H276" s="9" t="str">
        <x:v>RCN</x:v>
      </x:c>
      <x:c r="I276" s="9" t="n">
        <x:v>2</x:v>
      </x:c>
      <x:c r="J276" s="9" t="n">
        <x:v>1</x:v>
      </x:c>
      <x:c r="K276" s="9" t="str">
        <x:v>HC-A-C-N2</x:v>
      </x:c>
      <x:c r="L276" s="9" t="str">
        <x:v>ST10</x:v>
      </x:c>
      <x:c r="M276" s="17" t="str">
        <x:v>Window and common clock</x:v>
      </x:c>
      <x:c r="N276" s="17" t="str">
        <x:v>epoch, window and public time origin match the issued warrant</x:v>
      </x:c>
      <x:c r="O276" s="17" t="str">
        <x:v>Event clock authority</x:v>
      </x:c>
      <x:c r="P276" s="9" t="n">
        <x:v>0</x:v>
      </x:c>
      <x:c r="Q276" s="9" t="n">
        <x:v>0</x:v>
      </x:c>
      <x:c r="R276" s="9" t="str">
        <x:v>OPEN / UNSTARTED</x:v>
      </x:c>
      <x:c r="S276" s="9" t="n">
        <x:f>COUNTIFS($A$7:$A$1446,A276)</x:f>
        <x:v>1</x:v>
      </x:c>
    </x:row>
    <x:row r="277">
      <x:c r="A277" s="9" t="str">
        <x:v>EV-AR-HC-A-C-TECH-3-B2-BRK-G0-ST01</x:v>
      </x:c>
      <x:c r="B277" s="9" t="str">
        <x:v>EV-AR-HC-A-C-TECH-3-B2-BRK-G0</x:v>
      </x:c>
      <x:c r="C277" s="9" t="str">
        <x:v>EOW-AR-HC-A-C-TECH-3-B2-BRK-G0</x:v>
      </x:c>
      <x:c r="D277" s="9" t="str">
        <x:v>AR-HC-A-C-TECH-3-B2-BRK-G0</x:v>
      </x:c>
      <x:c r="E277" s="9" t="str">
        <x:v>HC-A-C-TECH-3</x:v>
      </x:c>
      <x:c r="F277" s="9" t="str">
        <x:v>HC-A-C</x:v>
      </x:c>
      <x:c r="G277" s="9" t="str">
        <x:v>B2</x:v>
      </x:c>
      <x:c r="H277" s="9" t="str">
        <x:v>BRK</x:v>
      </x:c>
      <x:c r="I277" s="9" t="n">
        <x:v>2</x:v>
      </x:c>
      <x:c r="J277" s="9" t="n">
        <x:v>1</x:v>
      </x:c>
      <x:c r="K277" s="9" t="str">
        <x:v>HC-A-C-N3</x:v>
      </x:c>
      <x:c r="L277" s="9" t="str">
        <x:v>ST01</x:v>
      </x:c>
      <x:c r="M277" s="17" t="str">
        <x:v>Active opportunity warrant</x:v>
      </x:c>
      <x:c r="N277" s="17" t="str">
        <x:v>configuration-bound EOW is within its thirty-six-hour validity</x:v>
      </x:c>
      <x:c r="O277" s="17" t="str">
        <x:v>Start registrar</x:v>
      </x:c>
      <x:c r="P277" s="9" t="n">
        <x:v>0</x:v>
      </x:c>
      <x:c r="Q277" s="9" t="n">
        <x:v>0</x:v>
      </x:c>
      <x:c r="R277" s="9" t="str">
        <x:v>OPEN / UNSTARTED</x:v>
      </x:c>
      <x:c r="S277" s="9" t="n">
        <x:f>COUNTIFS($A$7:$A$1446,A277)</x:f>
        <x:v>1</x:v>
      </x:c>
    </x:row>
    <x:row r="278">
      <x:c r="A278" s="9" t="str">
        <x:v>EV-AR-HC-A-C-TECH-3-B2-BRK-G0-ST02</x:v>
      </x:c>
      <x:c r="B278" s="9" t="str">
        <x:v>EV-AR-HC-A-C-TECH-3-B2-BRK-G0</x:v>
      </x:c>
      <x:c r="C278" s="9" t="str">
        <x:v>EOW-AR-HC-A-C-TECH-3-B2-BRK-G0</x:v>
      </x:c>
      <x:c r="D278" s="9" t="str">
        <x:v>AR-HC-A-C-TECH-3-B2-BRK-G0</x:v>
      </x:c>
      <x:c r="E278" s="9" t="str">
        <x:v>HC-A-C-TECH-3</x:v>
      </x:c>
      <x:c r="F278" s="9" t="str">
        <x:v>HC-A-C</x:v>
      </x:c>
      <x:c r="G278" s="9" t="str">
        <x:v>B2</x:v>
      </x:c>
      <x:c r="H278" s="9" t="str">
        <x:v>BRK</x:v>
      </x:c>
      <x:c r="I278" s="9" t="n">
        <x:v>2</x:v>
      </x:c>
      <x:c r="J278" s="9" t="n">
        <x:v>1</x:v>
      </x:c>
      <x:c r="K278" s="9" t="str">
        <x:v>HC-A-C-N3</x:v>
      </x:c>
      <x:c r="L278" s="9" t="str">
        <x:v>ST02</x:v>
      </x:c>
      <x:c r="M278" s="17" t="str">
        <x:v>Frozen identity</x:v>
      </x:c>
      <x:c r="N278" s="17" t="str">
        <x:v>serial, generation, fixture, site, receiver and digest match the warrant</x:v>
      </x:c>
      <x:c r="O278" s="17" t="str">
        <x:v>Custody authority</x:v>
      </x:c>
      <x:c r="P278" s="9" t="n">
        <x:v>0</x:v>
      </x:c>
      <x:c r="Q278" s="9" t="n">
        <x:v>0</x:v>
      </x:c>
      <x:c r="R278" s="9" t="str">
        <x:v>OPEN / UNSTARTED</x:v>
      </x:c>
      <x:c r="S278" s="9" t="n">
        <x:f>COUNTIFS($A$7:$A$1446,A278)</x:f>
        <x:v>1</x:v>
      </x:c>
    </x:row>
    <x:row r="279">
      <x:c r="A279" s="9" t="str">
        <x:v>EV-AR-HC-A-C-TECH-3-B2-BRK-G0-ST03</x:v>
      </x:c>
      <x:c r="B279" s="9" t="str">
        <x:v>EV-AR-HC-A-C-TECH-3-B2-BRK-G0</x:v>
      </x:c>
      <x:c r="C279" s="9" t="str">
        <x:v>EOW-AR-HC-A-C-TECH-3-B2-BRK-G0</x:v>
      </x:c>
      <x:c r="D279" s="9" t="str">
        <x:v>AR-HC-A-C-TECH-3-B2-BRK-G0</x:v>
      </x:c>
      <x:c r="E279" s="9" t="str">
        <x:v>HC-A-C-TECH-3</x:v>
      </x:c>
      <x:c r="F279" s="9" t="str">
        <x:v>HC-A-C</x:v>
      </x:c>
      <x:c r="G279" s="9" t="str">
        <x:v>B2</x:v>
      </x:c>
      <x:c r="H279" s="9" t="str">
        <x:v>BRK</x:v>
      </x:c>
      <x:c r="I279" s="9" t="n">
        <x:v>2</x:v>
      </x:c>
      <x:c r="J279" s="9" t="n">
        <x:v>1</x:v>
      </x:c>
      <x:c r="K279" s="9" t="str">
        <x:v>HC-A-C-N3</x:v>
      </x:c>
      <x:c r="L279" s="9" t="str">
        <x:v>ST03</x:v>
      </x:c>
      <x:c r="M279" s="17" t="str">
        <x:v>Receiver receipt</x:v>
      </x:c>
      <x:c r="N279" s="17" t="str">
        <x:v>denominator, counterfactual, rights and stop receipt remain unchanged</x:v>
      </x:c>
      <x:c r="O279" s="17" t="str">
        <x:v>Receiver authority</x:v>
      </x:c>
      <x:c r="P279" s="9" t="n">
        <x:v>0</x:v>
      </x:c>
      <x:c r="Q279" s="9" t="n">
        <x:v>0</x:v>
      </x:c>
      <x:c r="R279" s="9" t="str">
        <x:v>OPEN / UNSTARTED</x:v>
      </x:c>
      <x:c r="S279" s="9" t="n">
        <x:f>COUNTIFS($A$7:$A$1446,A279)</x:f>
        <x:v>1</x:v>
      </x:c>
    </x:row>
    <x:row r="280">
      <x:c r="A280" s="9" t="str">
        <x:v>EV-AR-HC-A-C-TECH-3-B2-BRK-G0-ST04</x:v>
      </x:c>
      <x:c r="B280" s="9" t="str">
        <x:v>EV-AR-HC-A-C-TECH-3-B2-BRK-G0</x:v>
      </x:c>
      <x:c r="C280" s="9" t="str">
        <x:v>EOW-AR-HC-A-C-TECH-3-B2-BRK-G0</x:v>
      </x:c>
      <x:c r="D280" s="9" t="str">
        <x:v>AR-HC-A-C-TECH-3-B2-BRK-G0</x:v>
      </x:c>
      <x:c r="E280" s="9" t="str">
        <x:v>HC-A-C-TECH-3</x:v>
      </x:c>
      <x:c r="F280" s="9" t="str">
        <x:v>HC-A-C</x:v>
      </x:c>
      <x:c r="G280" s="9" t="str">
        <x:v>B2</x:v>
      </x:c>
      <x:c r="H280" s="9" t="str">
        <x:v>BRK</x:v>
      </x:c>
      <x:c r="I280" s="9" t="n">
        <x:v>2</x:v>
      </x:c>
      <x:c r="J280" s="9" t="n">
        <x:v>1</x:v>
      </x:c>
      <x:c r="K280" s="9" t="str">
        <x:v>HC-A-C-N3</x:v>
      </x:c>
      <x:c r="L280" s="9" t="str">
        <x:v>ST04</x:v>
      </x:c>
      <x:c r="M280" s="17" t="str">
        <x:v>Primary capture armed</x:v>
      </x:c>
      <x:c r="N280" s="17" t="str">
        <x:v>primary chain records sealed reference and live time</x:v>
      </x:c>
      <x:c r="O280" s="17" t="str">
        <x:v>Primary metrology</x:v>
      </x:c>
      <x:c r="P280" s="9" t="n">
        <x:v>0</x:v>
      </x:c>
      <x:c r="Q280" s="9" t="n">
        <x:v>0</x:v>
      </x:c>
      <x:c r="R280" s="9" t="str">
        <x:v>OPEN / UNSTARTED</x:v>
      </x:c>
      <x:c r="S280" s="9" t="n">
        <x:f>COUNTIFS($A$7:$A$1446,A280)</x:f>
        <x:v>1</x:v>
      </x:c>
    </x:row>
    <x:row r="281">
      <x:c r="A281" s="9" t="str">
        <x:v>EV-AR-HC-A-C-TECH-3-B2-BRK-G0-ST05</x:v>
      </x:c>
      <x:c r="B281" s="9" t="str">
        <x:v>EV-AR-HC-A-C-TECH-3-B2-BRK-G0</x:v>
      </x:c>
      <x:c r="C281" s="9" t="str">
        <x:v>EOW-AR-HC-A-C-TECH-3-B2-BRK-G0</x:v>
      </x:c>
      <x:c r="D281" s="9" t="str">
        <x:v>AR-HC-A-C-TECH-3-B2-BRK-G0</x:v>
      </x:c>
      <x:c r="E281" s="9" t="str">
        <x:v>HC-A-C-TECH-3</x:v>
      </x:c>
      <x:c r="F281" s="9" t="str">
        <x:v>HC-A-C</x:v>
      </x:c>
      <x:c r="G281" s="9" t="str">
        <x:v>B2</x:v>
      </x:c>
      <x:c r="H281" s="9" t="str">
        <x:v>BRK</x:v>
      </x:c>
      <x:c r="I281" s="9" t="n">
        <x:v>2</x:v>
      </x:c>
      <x:c r="J281" s="9" t="n">
        <x:v>1</x:v>
      </x:c>
      <x:c r="K281" s="9" t="str">
        <x:v>HC-A-C-N3</x:v>
      </x:c>
      <x:c r="L281" s="9" t="str">
        <x:v>ST05</x:v>
      </x:c>
      <x:c r="M281" s="17" t="str">
        <x:v>Witness capture armed</x:v>
      </x:c>
      <x:c r="N281" s="17" t="str">
        <x:v>unlike witness records independent reference and live time</x:v>
      </x:c>
      <x:c r="O281" s="17" t="str">
        <x:v>Witness metrology</x:v>
      </x:c>
      <x:c r="P281" s="9" t="n">
        <x:v>0</x:v>
      </x:c>
      <x:c r="Q281" s="9" t="n">
        <x:v>0</x:v>
      </x:c>
      <x:c r="R281" s="9" t="str">
        <x:v>OPEN / UNSTARTED</x:v>
      </x:c>
      <x:c r="S281" s="9" t="n">
        <x:f>COUNTIFS($A$7:$A$1446,A281)</x:f>
        <x:v>1</x:v>
      </x:c>
    </x:row>
    <x:row r="282">
      <x:c r="A282" s="9" t="str">
        <x:v>EV-AR-HC-A-C-TECH-3-B2-BRK-G0-ST06</x:v>
      </x:c>
      <x:c r="B282" s="9" t="str">
        <x:v>EV-AR-HC-A-C-TECH-3-B2-BRK-G0</x:v>
      </x:c>
      <x:c r="C282" s="9" t="str">
        <x:v>EOW-AR-HC-A-C-TECH-3-B2-BRK-G0</x:v>
      </x:c>
      <x:c r="D282" s="9" t="str">
        <x:v>AR-HC-A-C-TECH-3-B2-BRK-G0</x:v>
      </x:c>
      <x:c r="E282" s="9" t="str">
        <x:v>HC-A-C-TECH-3</x:v>
      </x:c>
      <x:c r="F282" s="9" t="str">
        <x:v>HC-A-C</x:v>
      </x:c>
      <x:c r="G282" s="9" t="str">
        <x:v>B2</x:v>
      </x:c>
      <x:c r="H282" s="9" t="str">
        <x:v>BRK</x:v>
      </x:c>
      <x:c r="I282" s="9" t="n">
        <x:v>2</x:v>
      </x:c>
      <x:c r="J282" s="9" t="n">
        <x:v>1</x:v>
      </x:c>
      <x:c r="K282" s="9" t="str">
        <x:v>HC-A-C-N3</x:v>
      </x:c>
      <x:c r="L282" s="9" t="str">
        <x:v>ST06</x:v>
      </x:c>
      <x:c r="M282" s="17" t="str">
        <x:v>Public custody armed</x:v>
      </x:c>
      <x:c r="N282" s="17" t="str">
        <x:v>eight raw origins have separated hash and replica routes</x:v>
      </x:c>
      <x:c r="O282" s="17" t="str">
        <x:v>Custody authority</x:v>
      </x:c>
      <x:c r="P282" s="9" t="n">
        <x:v>0</x:v>
      </x:c>
      <x:c r="Q282" s="9" t="n">
        <x:v>0</x:v>
      </x:c>
      <x:c r="R282" s="9" t="str">
        <x:v>OPEN / UNSTARTED</x:v>
      </x:c>
      <x:c r="S282" s="9" t="n">
        <x:f>COUNTIFS($A$7:$A$1446,A282)</x:f>
        <x:v>1</x:v>
      </x:c>
    </x:row>
    <x:row r="283">
      <x:c r="A283" s="9" t="str">
        <x:v>EV-AR-HC-A-C-TECH-3-B2-BRK-G0-ST07</x:v>
      </x:c>
      <x:c r="B283" s="9" t="str">
        <x:v>EV-AR-HC-A-C-TECH-3-B2-BRK-G0</x:v>
      </x:c>
      <x:c r="C283" s="9" t="str">
        <x:v>EOW-AR-HC-A-C-TECH-3-B2-BRK-G0</x:v>
      </x:c>
      <x:c r="D283" s="9" t="str">
        <x:v>AR-HC-A-C-TECH-3-B2-BRK-G0</x:v>
      </x:c>
      <x:c r="E283" s="9" t="str">
        <x:v>HC-A-C-TECH-3</x:v>
      </x:c>
      <x:c r="F283" s="9" t="str">
        <x:v>HC-A-C</x:v>
      </x:c>
      <x:c r="G283" s="9" t="str">
        <x:v>B2</x:v>
      </x:c>
      <x:c r="H283" s="9" t="str">
        <x:v>BRK</x:v>
      </x:c>
      <x:c r="I283" s="9" t="n">
        <x:v>2</x:v>
      </x:c>
      <x:c r="J283" s="9" t="n">
        <x:v>1</x:v>
      </x:c>
      <x:c r="K283" s="9" t="str">
        <x:v>HC-A-C-N3</x:v>
      </x:c>
      <x:c r="L283" s="9" t="str">
        <x:v>ST07</x:v>
      </x:c>
      <x:c r="M283" s="17" t="str">
        <x:v>Environmental baseline</x:v>
      </x:c>
      <x:c r="N283" s="17" t="str">
        <x:v>pre-event boundary state is sealed before decisive operation</x:v>
      </x:c>
      <x:c r="O283" s="17" t="str">
        <x:v>Site metrology</x:v>
      </x:c>
      <x:c r="P283" s="9" t="n">
        <x:v>0</x:v>
      </x:c>
      <x:c r="Q283" s="9" t="n">
        <x:v>0</x:v>
      </x:c>
      <x:c r="R283" s="9" t="str">
        <x:v>OPEN / UNSTARTED</x:v>
      </x:c>
      <x:c r="S283" s="9" t="n">
        <x:f>COUNTIFS($A$7:$A$1446,A283)</x:f>
        <x:v>1</x:v>
      </x:c>
    </x:row>
    <x:row r="284">
      <x:c r="A284" s="9" t="str">
        <x:v>EV-AR-HC-A-C-TECH-3-B2-BRK-G0-ST08</x:v>
      </x:c>
      <x:c r="B284" s="9" t="str">
        <x:v>EV-AR-HC-A-C-TECH-3-B2-BRK-G0</x:v>
      </x:c>
      <x:c r="C284" s="9" t="str">
        <x:v>EOW-AR-HC-A-C-TECH-3-B2-BRK-G0</x:v>
      </x:c>
      <x:c r="D284" s="9" t="str">
        <x:v>AR-HC-A-C-TECH-3-B2-BRK-G0</x:v>
      </x:c>
      <x:c r="E284" s="9" t="str">
        <x:v>HC-A-C-TECH-3</x:v>
      </x:c>
      <x:c r="F284" s="9" t="str">
        <x:v>HC-A-C</x:v>
      </x:c>
      <x:c r="G284" s="9" t="str">
        <x:v>B2</x:v>
      </x:c>
      <x:c r="H284" s="9" t="str">
        <x:v>BRK</x:v>
      </x:c>
      <x:c r="I284" s="9" t="n">
        <x:v>2</x:v>
      </x:c>
      <x:c r="J284" s="9" t="n">
        <x:v>1</x:v>
      </x:c>
      <x:c r="K284" s="9" t="str">
        <x:v>HC-A-C-N3</x:v>
      </x:c>
      <x:c r="L284" s="9" t="str">
        <x:v>ST08</x:v>
      </x:c>
      <x:c r="M284" s="17" t="str">
        <x:v>Manual stop and safety</x:v>
      </x:c>
      <x:c r="N284" s="17" t="str">
        <x:v>local stop, evacuation and protection routes are active</x:v>
      </x:c>
      <x:c r="O284" s="17" t="str">
        <x:v>Safety authority</x:v>
      </x:c>
      <x:c r="P284" s="9" t="n">
        <x:v>0</x:v>
      </x:c>
      <x:c r="Q284" s="9" t="n">
        <x:v>0</x:v>
      </x:c>
      <x:c r="R284" s="9" t="str">
        <x:v>OPEN / UNSTARTED</x:v>
      </x:c>
      <x:c r="S284" s="9" t="n">
        <x:f>COUNTIFS($A$7:$A$1446,A284)</x:f>
        <x:v>1</x:v>
      </x:c>
    </x:row>
    <x:row r="285">
      <x:c r="A285" s="9" t="str">
        <x:v>EV-AR-HC-A-C-TECH-3-B2-BRK-G0-ST09</x:v>
      </x:c>
      <x:c r="B285" s="9" t="str">
        <x:v>EV-AR-HC-A-C-TECH-3-B2-BRK-G0</x:v>
      </x:c>
      <x:c r="C285" s="9" t="str">
        <x:v>EOW-AR-HC-A-C-TECH-3-B2-BRK-G0</x:v>
      </x:c>
      <x:c r="D285" s="9" t="str">
        <x:v>AR-HC-A-C-TECH-3-B2-BRK-G0</x:v>
      </x:c>
      <x:c r="E285" s="9" t="str">
        <x:v>HC-A-C-TECH-3</x:v>
      </x:c>
      <x:c r="F285" s="9" t="str">
        <x:v>HC-A-C</x:v>
      </x:c>
      <x:c r="G285" s="9" t="str">
        <x:v>B2</x:v>
      </x:c>
      <x:c r="H285" s="9" t="str">
        <x:v>BRK</x:v>
      </x:c>
      <x:c r="I285" s="9" t="n">
        <x:v>2</x:v>
      </x:c>
      <x:c r="J285" s="9" t="n">
        <x:v>1</x:v>
      </x:c>
      <x:c r="K285" s="9" t="str">
        <x:v>HC-A-C-N3</x:v>
      </x:c>
      <x:c r="L285" s="9" t="str">
        <x:v>ST09</x:v>
      </x:c>
      <x:c r="M285" s="17" t="str">
        <x:v>Operator conflict clear</x:v>
      </x:c>
      <x:c r="N285" s="17" t="str">
        <x:v>candidate, fixture, safety and measurement control edges remain separated</x:v>
      </x:c>
      <x:c r="O285" s="17" t="str">
        <x:v>Conflict registrar</x:v>
      </x:c>
      <x:c r="P285" s="9" t="n">
        <x:v>0</x:v>
      </x:c>
      <x:c r="Q285" s="9" t="n">
        <x:v>0</x:v>
      </x:c>
      <x:c r="R285" s="9" t="str">
        <x:v>OPEN / UNSTARTED</x:v>
      </x:c>
      <x:c r="S285" s="9" t="n">
        <x:f>COUNTIFS($A$7:$A$1446,A285)</x:f>
        <x:v>1</x:v>
      </x:c>
    </x:row>
    <x:row r="286">
      <x:c r="A286" s="9" t="str">
        <x:v>EV-AR-HC-A-C-TECH-3-B2-BRK-G0-ST10</x:v>
      </x:c>
      <x:c r="B286" s="9" t="str">
        <x:v>EV-AR-HC-A-C-TECH-3-B2-BRK-G0</x:v>
      </x:c>
      <x:c r="C286" s="9" t="str">
        <x:v>EOW-AR-HC-A-C-TECH-3-B2-BRK-G0</x:v>
      </x:c>
      <x:c r="D286" s="9" t="str">
        <x:v>AR-HC-A-C-TECH-3-B2-BRK-G0</x:v>
      </x:c>
      <x:c r="E286" s="9" t="str">
        <x:v>HC-A-C-TECH-3</x:v>
      </x:c>
      <x:c r="F286" s="9" t="str">
        <x:v>HC-A-C</x:v>
      </x:c>
      <x:c r="G286" s="9" t="str">
        <x:v>B2</x:v>
      </x:c>
      <x:c r="H286" s="9" t="str">
        <x:v>BRK</x:v>
      </x:c>
      <x:c r="I286" s="9" t="n">
        <x:v>2</x:v>
      </x:c>
      <x:c r="J286" s="9" t="n">
        <x:v>1</x:v>
      </x:c>
      <x:c r="K286" s="9" t="str">
        <x:v>HC-A-C-N3</x:v>
      </x:c>
      <x:c r="L286" s="9" t="str">
        <x:v>ST10</x:v>
      </x:c>
      <x:c r="M286" s="17" t="str">
        <x:v>Window and common clock</x:v>
      </x:c>
      <x:c r="N286" s="17" t="str">
        <x:v>epoch, window and public time origin match the issued warrant</x:v>
      </x:c>
      <x:c r="O286" s="17" t="str">
        <x:v>Event clock authority</x:v>
      </x:c>
      <x:c r="P286" s="9" t="n">
        <x:v>0</x:v>
      </x:c>
      <x:c r="Q286" s="9" t="n">
        <x:v>0</x:v>
      </x:c>
      <x:c r="R286" s="9" t="str">
        <x:v>OPEN / UNSTARTED</x:v>
      </x:c>
      <x:c r="S286" s="9" t="n">
        <x:f>COUNTIFS($A$7:$A$1446,A286)</x:f>
        <x:v>1</x:v>
      </x:c>
    </x:row>
    <x:row r="287">
      <x:c r="A287" s="9" t="str">
        <x:v>EV-AR-HU-A-B-TECH-4-B1-INT-G0-ST01</x:v>
      </x:c>
      <x:c r="B287" s="9" t="str">
        <x:v>EV-AR-HU-A-B-TECH-4-B1-INT-G0</x:v>
      </x:c>
      <x:c r="C287" s="9" t="str">
        <x:v>EOW-AR-HU-A-B-TECH-4-B1-INT-G0</x:v>
      </x:c>
      <x:c r="D287" s="9" t="str">
        <x:v>AR-HU-A-B-TECH-4-B1-INT-G0</x:v>
      </x:c>
      <x:c r="E287" s="9" t="str">
        <x:v>HU-A-B-TECH-4</x:v>
      </x:c>
      <x:c r="F287" s="9" t="str">
        <x:v>HU-A-B</x:v>
      </x:c>
      <x:c r="G287" s="9" t="str">
        <x:v>B1</x:v>
      </x:c>
      <x:c r="H287" s="9" t="str">
        <x:v>INT</x:v>
      </x:c>
      <x:c r="I287" s="9" t="n">
        <x:v>2</x:v>
      </x:c>
      <x:c r="J287" s="9" t="n">
        <x:v>1</x:v>
      </x:c>
      <x:c r="K287" s="9" t="str">
        <x:v>HU-A-B-N2</x:v>
      </x:c>
      <x:c r="L287" s="9" t="str">
        <x:v>ST01</x:v>
      </x:c>
      <x:c r="M287" s="17" t="str">
        <x:v>Active opportunity warrant</x:v>
      </x:c>
      <x:c r="N287" s="17" t="str">
        <x:v>configuration-bound EOW is within its thirty-six-hour validity</x:v>
      </x:c>
      <x:c r="O287" s="17" t="str">
        <x:v>Start registrar</x:v>
      </x:c>
      <x:c r="P287" s="9" t="n">
        <x:v>0</x:v>
      </x:c>
      <x:c r="Q287" s="9" t="n">
        <x:v>0</x:v>
      </x:c>
      <x:c r="R287" s="9" t="str">
        <x:v>OPEN / UNSTARTED</x:v>
      </x:c>
      <x:c r="S287" s="9" t="n">
        <x:f>COUNTIFS($A$7:$A$1446,A287)</x:f>
        <x:v>1</x:v>
      </x:c>
    </x:row>
    <x:row r="288">
      <x:c r="A288" s="9" t="str">
        <x:v>EV-AR-HU-A-B-TECH-4-B1-INT-G0-ST02</x:v>
      </x:c>
      <x:c r="B288" s="9" t="str">
        <x:v>EV-AR-HU-A-B-TECH-4-B1-INT-G0</x:v>
      </x:c>
      <x:c r="C288" s="9" t="str">
        <x:v>EOW-AR-HU-A-B-TECH-4-B1-INT-G0</x:v>
      </x:c>
      <x:c r="D288" s="9" t="str">
        <x:v>AR-HU-A-B-TECH-4-B1-INT-G0</x:v>
      </x:c>
      <x:c r="E288" s="9" t="str">
        <x:v>HU-A-B-TECH-4</x:v>
      </x:c>
      <x:c r="F288" s="9" t="str">
        <x:v>HU-A-B</x:v>
      </x:c>
      <x:c r="G288" s="9" t="str">
        <x:v>B1</x:v>
      </x:c>
      <x:c r="H288" s="9" t="str">
        <x:v>INT</x:v>
      </x:c>
      <x:c r="I288" s="9" t="n">
        <x:v>2</x:v>
      </x:c>
      <x:c r="J288" s="9" t="n">
        <x:v>1</x:v>
      </x:c>
      <x:c r="K288" s="9" t="str">
        <x:v>HU-A-B-N2</x:v>
      </x:c>
      <x:c r="L288" s="9" t="str">
        <x:v>ST02</x:v>
      </x:c>
      <x:c r="M288" s="17" t="str">
        <x:v>Frozen identity</x:v>
      </x:c>
      <x:c r="N288" s="17" t="str">
        <x:v>serial, generation, fixture, site, receiver and digest match the warrant</x:v>
      </x:c>
      <x:c r="O288" s="17" t="str">
        <x:v>Custody authority</x:v>
      </x:c>
      <x:c r="P288" s="9" t="n">
        <x:v>0</x:v>
      </x:c>
      <x:c r="Q288" s="9" t="n">
        <x:v>0</x:v>
      </x:c>
      <x:c r="R288" s="9" t="str">
        <x:v>OPEN / UNSTARTED</x:v>
      </x:c>
      <x:c r="S288" s="9" t="n">
        <x:f>COUNTIFS($A$7:$A$1446,A288)</x:f>
        <x:v>1</x:v>
      </x:c>
    </x:row>
    <x:row r="289">
      <x:c r="A289" s="9" t="str">
        <x:v>EV-AR-HU-A-B-TECH-4-B1-INT-G0-ST03</x:v>
      </x:c>
      <x:c r="B289" s="9" t="str">
        <x:v>EV-AR-HU-A-B-TECH-4-B1-INT-G0</x:v>
      </x:c>
      <x:c r="C289" s="9" t="str">
        <x:v>EOW-AR-HU-A-B-TECH-4-B1-INT-G0</x:v>
      </x:c>
      <x:c r="D289" s="9" t="str">
        <x:v>AR-HU-A-B-TECH-4-B1-INT-G0</x:v>
      </x:c>
      <x:c r="E289" s="9" t="str">
        <x:v>HU-A-B-TECH-4</x:v>
      </x:c>
      <x:c r="F289" s="9" t="str">
        <x:v>HU-A-B</x:v>
      </x:c>
      <x:c r="G289" s="9" t="str">
        <x:v>B1</x:v>
      </x:c>
      <x:c r="H289" s="9" t="str">
        <x:v>INT</x:v>
      </x:c>
      <x:c r="I289" s="9" t="n">
        <x:v>2</x:v>
      </x:c>
      <x:c r="J289" s="9" t="n">
        <x:v>1</x:v>
      </x:c>
      <x:c r="K289" s="9" t="str">
        <x:v>HU-A-B-N2</x:v>
      </x:c>
      <x:c r="L289" s="9" t="str">
        <x:v>ST03</x:v>
      </x:c>
      <x:c r="M289" s="17" t="str">
        <x:v>Receiver receipt</x:v>
      </x:c>
      <x:c r="N289" s="17" t="str">
        <x:v>denominator, counterfactual, rights and stop receipt remain unchanged</x:v>
      </x:c>
      <x:c r="O289" s="17" t="str">
        <x:v>Receiver authority</x:v>
      </x:c>
      <x:c r="P289" s="9" t="n">
        <x:v>0</x:v>
      </x:c>
      <x:c r="Q289" s="9" t="n">
        <x:v>0</x:v>
      </x:c>
      <x:c r="R289" s="9" t="str">
        <x:v>OPEN / UNSTARTED</x:v>
      </x:c>
      <x:c r="S289" s="9" t="n">
        <x:f>COUNTIFS($A$7:$A$1446,A289)</x:f>
        <x:v>1</x:v>
      </x:c>
    </x:row>
    <x:row r="290">
      <x:c r="A290" s="9" t="str">
        <x:v>EV-AR-HU-A-B-TECH-4-B1-INT-G0-ST04</x:v>
      </x:c>
      <x:c r="B290" s="9" t="str">
        <x:v>EV-AR-HU-A-B-TECH-4-B1-INT-G0</x:v>
      </x:c>
      <x:c r="C290" s="9" t="str">
        <x:v>EOW-AR-HU-A-B-TECH-4-B1-INT-G0</x:v>
      </x:c>
      <x:c r="D290" s="9" t="str">
        <x:v>AR-HU-A-B-TECH-4-B1-INT-G0</x:v>
      </x:c>
      <x:c r="E290" s="9" t="str">
        <x:v>HU-A-B-TECH-4</x:v>
      </x:c>
      <x:c r="F290" s="9" t="str">
        <x:v>HU-A-B</x:v>
      </x:c>
      <x:c r="G290" s="9" t="str">
        <x:v>B1</x:v>
      </x:c>
      <x:c r="H290" s="9" t="str">
        <x:v>INT</x:v>
      </x:c>
      <x:c r="I290" s="9" t="n">
        <x:v>2</x:v>
      </x:c>
      <x:c r="J290" s="9" t="n">
        <x:v>1</x:v>
      </x:c>
      <x:c r="K290" s="9" t="str">
        <x:v>HU-A-B-N2</x:v>
      </x:c>
      <x:c r="L290" s="9" t="str">
        <x:v>ST04</x:v>
      </x:c>
      <x:c r="M290" s="17" t="str">
        <x:v>Primary capture armed</x:v>
      </x:c>
      <x:c r="N290" s="17" t="str">
        <x:v>primary chain records sealed reference and live time</x:v>
      </x:c>
      <x:c r="O290" s="17" t="str">
        <x:v>Primary metrology</x:v>
      </x:c>
      <x:c r="P290" s="9" t="n">
        <x:v>0</x:v>
      </x:c>
      <x:c r="Q290" s="9" t="n">
        <x:v>0</x:v>
      </x:c>
      <x:c r="R290" s="9" t="str">
        <x:v>OPEN / UNSTARTED</x:v>
      </x:c>
      <x:c r="S290" s="9" t="n">
        <x:f>COUNTIFS($A$7:$A$1446,A290)</x:f>
        <x:v>1</x:v>
      </x:c>
    </x:row>
    <x:row r="291">
      <x:c r="A291" s="9" t="str">
        <x:v>EV-AR-HU-A-B-TECH-4-B1-INT-G0-ST05</x:v>
      </x:c>
      <x:c r="B291" s="9" t="str">
        <x:v>EV-AR-HU-A-B-TECH-4-B1-INT-G0</x:v>
      </x:c>
      <x:c r="C291" s="9" t="str">
        <x:v>EOW-AR-HU-A-B-TECH-4-B1-INT-G0</x:v>
      </x:c>
      <x:c r="D291" s="9" t="str">
        <x:v>AR-HU-A-B-TECH-4-B1-INT-G0</x:v>
      </x:c>
      <x:c r="E291" s="9" t="str">
        <x:v>HU-A-B-TECH-4</x:v>
      </x:c>
      <x:c r="F291" s="9" t="str">
        <x:v>HU-A-B</x:v>
      </x:c>
      <x:c r="G291" s="9" t="str">
        <x:v>B1</x:v>
      </x:c>
      <x:c r="H291" s="9" t="str">
        <x:v>INT</x:v>
      </x:c>
      <x:c r="I291" s="9" t="n">
        <x:v>2</x:v>
      </x:c>
      <x:c r="J291" s="9" t="n">
        <x:v>1</x:v>
      </x:c>
      <x:c r="K291" s="9" t="str">
        <x:v>HU-A-B-N2</x:v>
      </x:c>
      <x:c r="L291" s="9" t="str">
        <x:v>ST05</x:v>
      </x:c>
      <x:c r="M291" s="17" t="str">
        <x:v>Witness capture armed</x:v>
      </x:c>
      <x:c r="N291" s="17" t="str">
        <x:v>unlike witness records independent reference and live time</x:v>
      </x:c>
      <x:c r="O291" s="17" t="str">
        <x:v>Witness metrology</x:v>
      </x:c>
      <x:c r="P291" s="9" t="n">
        <x:v>0</x:v>
      </x:c>
      <x:c r="Q291" s="9" t="n">
        <x:v>0</x:v>
      </x:c>
      <x:c r="R291" s="9" t="str">
        <x:v>OPEN / UNSTARTED</x:v>
      </x:c>
      <x:c r="S291" s="9" t="n">
        <x:f>COUNTIFS($A$7:$A$1446,A291)</x:f>
        <x:v>1</x:v>
      </x:c>
    </x:row>
    <x:row r="292">
      <x:c r="A292" s="9" t="str">
        <x:v>EV-AR-HU-A-B-TECH-4-B1-INT-G0-ST06</x:v>
      </x:c>
      <x:c r="B292" s="9" t="str">
        <x:v>EV-AR-HU-A-B-TECH-4-B1-INT-G0</x:v>
      </x:c>
      <x:c r="C292" s="9" t="str">
        <x:v>EOW-AR-HU-A-B-TECH-4-B1-INT-G0</x:v>
      </x:c>
      <x:c r="D292" s="9" t="str">
        <x:v>AR-HU-A-B-TECH-4-B1-INT-G0</x:v>
      </x:c>
      <x:c r="E292" s="9" t="str">
        <x:v>HU-A-B-TECH-4</x:v>
      </x:c>
      <x:c r="F292" s="9" t="str">
        <x:v>HU-A-B</x:v>
      </x:c>
      <x:c r="G292" s="9" t="str">
        <x:v>B1</x:v>
      </x:c>
      <x:c r="H292" s="9" t="str">
        <x:v>INT</x:v>
      </x:c>
      <x:c r="I292" s="9" t="n">
        <x:v>2</x:v>
      </x:c>
      <x:c r="J292" s="9" t="n">
        <x:v>1</x:v>
      </x:c>
      <x:c r="K292" s="9" t="str">
        <x:v>HU-A-B-N2</x:v>
      </x:c>
      <x:c r="L292" s="9" t="str">
        <x:v>ST06</x:v>
      </x:c>
      <x:c r="M292" s="17" t="str">
        <x:v>Public custody armed</x:v>
      </x:c>
      <x:c r="N292" s="17" t="str">
        <x:v>eight raw origins have separated hash and replica routes</x:v>
      </x:c>
      <x:c r="O292" s="17" t="str">
        <x:v>Custody authority</x:v>
      </x:c>
      <x:c r="P292" s="9" t="n">
        <x:v>0</x:v>
      </x:c>
      <x:c r="Q292" s="9" t="n">
        <x:v>0</x:v>
      </x:c>
      <x:c r="R292" s="9" t="str">
        <x:v>OPEN / UNSTARTED</x:v>
      </x:c>
      <x:c r="S292" s="9" t="n">
        <x:f>COUNTIFS($A$7:$A$1446,A292)</x:f>
        <x:v>1</x:v>
      </x:c>
    </x:row>
    <x:row r="293">
      <x:c r="A293" s="9" t="str">
        <x:v>EV-AR-HU-A-B-TECH-4-B1-INT-G0-ST07</x:v>
      </x:c>
      <x:c r="B293" s="9" t="str">
        <x:v>EV-AR-HU-A-B-TECH-4-B1-INT-G0</x:v>
      </x:c>
      <x:c r="C293" s="9" t="str">
        <x:v>EOW-AR-HU-A-B-TECH-4-B1-INT-G0</x:v>
      </x:c>
      <x:c r="D293" s="9" t="str">
        <x:v>AR-HU-A-B-TECH-4-B1-INT-G0</x:v>
      </x:c>
      <x:c r="E293" s="9" t="str">
        <x:v>HU-A-B-TECH-4</x:v>
      </x:c>
      <x:c r="F293" s="9" t="str">
        <x:v>HU-A-B</x:v>
      </x:c>
      <x:c r="G293" s="9" t="str">
        <x:v>B1</x:v>
      </x:c>
      <x:c r="H293" s="9" t="str">
        <x:v>INT</x:v>
      </x:c>
      <x:c r="I293" s="9" t="n">
        <x:v>2</x:v>
      </x:c>
      <x:c r="J293" s="9" t="n">
        <x:v>1</x:v>
      </x:c>
      <x:c r="K293" s="9" t="str">
        <x:v>HU-A-B-N2</x:v>
      </x:c>
      <x:c r="L293" s="9" t="str">
        <x:v>ST07</x:v>
      </x:c>
      <x:c r="M293" s="17" t="str">
        <x:v>Environmental baseline</x:v>
      </x:c>
      <x:c r="N293" s="17" t="str">
        <x:v>pre-event boundary state is sealed before decisive operation</x:v>
      </x:c>
      <x:c r="O293" s="17" t="str">
        <x:v>Site metrology</x:v>
      </x:c>
      <x:c r="P293" s="9" t="n">
        <x:v>0</x:v>
      </x:c>
      <x:c r="Q293" s="9" t="n">
        <x:v>0</x:v>
      </x:c>
      <x:c r="R293" s="9" t="str">
        <x:v>OPEN / UNSTARTED</x:v>
      </x:c>
      <x:c r="S293" s="9" t="n">
        <x:f>COUNTIFS($A$7:$A$1446,A293)</x:f>
        <x:v>1</x:v>
      </x:c>
    </x:row>
    <x:row r="294">
      <x:c r="A294" s="9" t="str">
        <x:v>EV-AR-HU-A-B-TECH-4-B1-INT-G0-ST08</x:v>
      </x:c>
      <x:c r="B294" s="9" t="str">
        <x:v>EV-AR-HU-A-B-TECH-4-B1-INT-G0</x:v>
      </x:c>
      <x:c r="C294" s="9" t="str">
        <x:v>EOW-AR-HU-A-B-TECH-4-B1-INT-G0</x:v>
      </x:c>
      <x:c r="D294" s="9" t="str">
        <x:v>AR-HU-A-B-TECH-4-B1-INT-G0</x:v>
      </x:c>
      <x:c r="E294" s="9" t="str">
        <x:v>HU-A-B-TECH-4</x:v>
      </x:c>
      <x:c r="F294" s="9" t="str">
        <x:v>HU-A-B</x:v>
      </x:c>
      <x:c r="G294" s="9" t="str">
        <x:v>B1</x:v>
      </x:c>
      <x:c r="H294" s="9" t="str">
        <x:v>INT</x:v>
      </x:c>
      <x:c r="I294" s="9" t="n">
        <x:v>2</x:v>
      </x:c>
      <x:c r="J294" s="9" t="n">
        <x:v>1</x:v>
      </x:c>
      <x:c r="K294" s="9" t="str">
        <x:v>HU-A-B-N2</x:v>
      </x:c>
      <x:c r="L294" s="9" t="str">
        <x:v>ST08</x:v>
      </x:c>
      <x:c r="M294" s="17" t="str">
        <x:v>Manual stop and safety</x:v>
      </x:c>
      <x:c r="N294" s="17" t="str">
        <x:v>local stop, evacuation and protection routes are active</x:v>
      </x:c>
      <x:c r="O294" s="17" t="str">
        <x:v>Safety authority</x:v>
      </x:c>
      <x:c r="P294" s="9" t="n">
        <x:v>0</x:v>
      </x:c>
      <x:c r="Q294" s="9" t="n">
        <x:v>0</x:v>
      </x:c>
      <x:c r="R294" s="9" t="str">
        <x:v>OPEN / UNSTARTED</x:v>
      </x:c>
      <x:c r="S294" s="9" t="n">
        <x:f>COUNTIFS($A$7:$A$1446,A294)</x:f>
        <x:v>1</x:v>
      </x:c>
    </x:row>
    <x:row r="295">
      <x:c r="A295" s="9" t="str">
        <x:v>EV-AR-HU-A-B-TECH-4-B1-INT-G0-ST09</x:v>
      </x:c>
      <x:c r="B295" s="9" t="str">
        <x:v>EV-AR-HU-A-B-TECH-4-B1-INT-G0</x:v>
      </x:c>
      <x:c r="C295" s="9" t="str">
        <x:v>EOW-AR-HU-A-B-TECH-4-B1-INT-G0</x:v>
      </x:c>
      <x:c r="D295" s="9" t="str">
        <x:v>AR-HU-A-B-TECH-4-B1-INT-G0</x:v>
      </x:c>
      <x:c r="E295" s="9" t="str">
        <x:v>HU-A-B-TECH-4</x:v>
      </x:c>
      <x:c r="F295" s="9" t="str">
        <x:v>HU-A-B</x:v>
      </x:c>
      <x:c r="G295" s="9" t="str">
        <x:v>B1</x:v>
      </x:c>
      <x:c r="H295" s="9" t="str">
        <x:v>INT</x:v>
      </x:c>
      <x:c r="I295" s="9" t="n">
        <x:v>2</x:v>
      </x:c>
      <x:c r="J295" s="9" t="n">
        <x:v>1</x:v>
      </x:c>
      <x:c r="K295" s="9" t="str">
        <x:v>HU-A-B-N2</x:v>
      </x:c>
      <x:c r="L295" s="9" t="str">
        <x:v>ST09</x:v>
      </x:c>
      <x:c r="M295" s="17" t="str">
        <x:v>Operator conflict clear</x:v>
      </x:c>
      <x:c r="N295" s="17" t="str">
        <x:v>candidate, fixture, safety and measurement control edges remain separated</x:v>
      </x:c>
      <x:c r="O295" s="17" t="str">
        <x:v>Conflict registrar</x:v>
      </x:c>
      <x:c r="P295" s="9" t="n">
        <x:v>0</x:v>
      </x:c>
      <x:c r="Q295" s="9" t="n">
        <x:v>0</x:v>
      </x:c>
      <x:c r="R295" s="9" t="str">
        <x:v>OPEN / UNSTARTED</x:v>
      </x:c>
      <x:c r="S295" s="9" t="n">
        <x:f>COUNTIFS($A$7:$A$1446,A295)</x:f>
        <x:v>1</x:v>
      </x:c>
    </x:row>
    <x:row r="296">
      <x:c r="A296" s="9" t="str">
        <x:v>EV-AR-HU-A-B-TECH-4-B1-INT-G0-ST10</x:v>
      </x:c>
      <x:c r="B296" s="9" t="str">
        <x:v>EV-AR-HU-A-B-TECH-4-B1-INT-G0</x:v>
      </x:c>
      <x:c r="C296" s="9" t="str">
        <x:v>EOW-AR-HU-A-B-TECH-4-B1-INT-G0</x:v>
      </x:c>
      <x:c r="D296" s="9" t="str">
        <x:v>AR-HU-A-B-TECH-4-B1-INT-G0</x:v>
      </x:c>
      <x:c r="E296" s="9" t="str">
        <x:v>HU-A-B-TECH-4</x:v>
      </x:c>
      <x:c r="F296" s="9" t="str">
        <x:v>HU-A-B</x:v>
      </x:c>
      <x:c r="G296" s="9" t="str">
        <x:v>B1</x:v>
      </x:c>
      <x:c r="H296" s="9" t="str">
        <x:v>INT</x:v>
      </x:c>
      <x:c r="I296" s="9" t="n">
        <x:v>2</x:v>
      </x:c>
      <x:c r="J296" s="9" t="n">
        <x:v>1</x:v>
      </x:c>
      <x:c r="K296" s="9" t="str">
        <x:v>HU-A-B-N2</x:v>
      </x:c>
      <x:c r="L296" s="9" t="str">
        <x:v>ST10</x:v>
      </x:c>
      <x:c r="M296" s="17" t="str">
        <x:v>Window and common clock</x:v>
      </x:c>
      <x:c r="N296" s="17" t="str">
        <x:v>epoch, window and public time origin match the issued warrant</x:v>
      </x:c>
      <x:c r="O296" s="17" t="str">
        <x:v>Event clock authority</x:v>
      </x:c>
      <x:c r="P296" s="9" t="n">
        <x:v>0</x:v>
      </x:c>
      <x:c r="Q296" s="9" t="n">
        <x:v>0</x:v>
      </x:c>
      <x:c r="R296" s="9" t="str">
        <x:v>OPEN / UNSTARTED</x:v>
      </x:c>
      <x:c r="S296" s="9" t="n">
        <x:f>COUNTIFS($A$7:$A$1446,A296)</x:f>
        <x:v>1</x:v>
      </x:c>
    </x:row>
    <x:row r="297">
      <x:c r="A297" s="9" t="str">
        <x:v>EV-AR-LF-B-A-TECH-1-B1-RCN-G0-ST01</x:v>
      </x:c>
      <x:c r="B297" s="9" t="str">
        <x:v>EV-AR-LF-B-A-TECH-1-B1-RCN-G0</x:v>
      </x:c>
      <x:c r="C297" s="9" t="str">
        <x:v>EOW-AR-LF-B-A-TECH-1-B1-RCN-G0</x:v>
      </x:c>
      <x:c r="D297" s="9" t="str">
        <x:v>AR-LF-B-A-TECH-1-B1-RCN-G0</x:v>
      </x:c>
      <x:c r="E297" s="9" t="str">
        <x:v>LF-B-A-TECH-1</x:v>
      </x:c>
      <x:c r="F297" s="9" t="str">
        <x:v>LF-B-A</x:v>
      </x:c>
      <x:c r="G297" s="9" t="str">
        <x:v>B1</x:v>
      </x:c>
      <x:c r="H297" s="9" t="str">
        <x:v>RCN</x:v>
      </x:c>
      <x:c r="I297" s="9" t="n">
        <x:v>2</x:v>
      </x:c>
      <x:c r="J297" s="9" t="n">
        <x:v>1</x:v>
      </x:c>
      <x:c r="K297" s="9" t="str">
        <x:v>LF-B-A-N1</x:v>
      </x:c>
      <x:c r="L297" s="9" t="str">
        <x:v>ST01</x:v>
      </x:c>
      <x:c r="M297" s="17" t="str">
        <x:v>Active opportunity warrant</x:v>
      </x:c>
      <x:c r="N297" s="17" t="str">
        <x:v>configuration-bound EOW is within its thirty-six-hour validity</x:v>
      </x:c>
      <x:c r="O297" s="17" t="str">
        <x:v>Start registrar</x:v>
      </x:c>
      <x:c r="P297" s="9" t="n">
        <x:v>0</x:v>
      </x:c>
      <x:c r="Q297" s="9" t="n">
        <x:v>0</x:v>
      </x:c>
      <x:c r="R297" s="9" t="str">
        <x:v>OPEN / UNSTARTED</x:v>
      </x:c>
      <x:c r="S297" s="9" t="n">
        <x:f>COUNTIFS($A$7:$A$1446,A297)</x:f>
        <x:v>1</x:v>
      </x:c>
    </x:row>
    <x:row r="298">
      <x:c r="A298" s="9" t="str">
        <x:v>EV-AR-LF-B-A-TECH-1-B1-RCN-G0-ST02</x:v>
      </x:c>
      <x:c r="B298" s="9" t="str">
        <x:v>EV-AR-LF-B-A-TECH-1-B1-RCN-G0</x:v>
      </x:c>
      <x:c r="C298" s="9" t="str">
        <x:v>EOW-AR-LF-B-A-TECH-1-B1-RCN-G0</x:v>
      </x:c>
      <x:c r="D298" s="9" t="str">
        <x:v>AR-LF-B-A-TECH-1-B1-RCN-G0</x:v>
      </x:c>
      <x:c r="E298" s="9" t="str">
        <x:v>LF-B-A-TECH-1</x:v>
      </x:c>
      <x:c r="F298" s="9" t="str">
        <x:v>LF-B-A</x:v>
      </x:c>
      <x:c r="G298" s="9" t="str">
        <x:v>B1</x:v>
      </x:c>
      <x:c r="H298" s="9" t="str">
        <x:v>RCN</x:v>
      </x:c>
      <x:c r="I298" s="9" t="n">
        <x:v>2</x:v>
      </x:c>
      <x:c r="J298" s="9" t="n">
        <x:v>1</x:v>
      </x:c>
      <x:c r="K298" s="9" t="str">
        <x:v>LF-B-A-N1</x:v>
      </x:c>
      <x:c r="L298" s="9" t="str">
        <x:v>ST02</x:v>
      </x:c>
      <x:c r="M298" s="17" t="str">
        <x:v>Frozen identity</x:v>
      </x:c>
      <x:c r="N298" s="17" t="str">
        <x:v>serial, generation, fixture, site, receiver and digest match the warrant</x:v>
      </x:c>
      <x:c r="O298" s="17" t="str">
        <x:v>Custody authority</x:v>
      </x:c>
      <x:c r="P298" s="9" t="n">
        <x:v>0</x:v>
      </x:c>
      <x:c r="Q298" s="9" t="n">
        <x:v>0</x:v>
      </x:c>
      <x:c r="R298" s="9" t="str">
        <x:v>OPEN / UNSTARTED</x:v>
      </x:c>
      <x:c r="S298" s="9" t="n">
        <x:f>COUNTIFS($A$7:$A$1446,A298)</x:f>
        <x:v>1</x:v>
      </x:c>
    </x:row>
    <x:row r="299">
      <x:c r="A299" s="9" t="str">
        <x:v>EV-AR-LF-B-A-TECH-1-B1-RCN-G0-ST03</x:v>
      </x:c>
      <x:c r="B299" s="9" t="str">
        <x:v>EV-AR-LF-B-A-TECH-1-B1-RCN-G0</x:v>
      </x:c>
      <x:c r="C299" s="9" t="str">
        <x:v>EOW-AR-LF-B-A-TECH-1-B1-RCN-G0</x:v>
      </x:c>
      <x:c r="D299" s="9" t="str">
        <x:v>AR-LF-B-A-TECH-1-B1-RCN-G0</x:v>
      </x:c>
      <x:c r="E299" s="9" t="str">
        <x:v>LF-B-A-TECH-1</x:v>
      </x:c>
      <x:c r="F299" s="9" t="str">
        <x:v>LF-B-A</x:v>
      </x:c>
      <x:c r="G299" s="9" t="str">
        <x:v>B1</x:v>
      </x:c>
      <x:c r="H299" s="9" t="str">
        <x:v>RCN</x:v>
      </x:c>
      <x:c r="I299" s="9" t="n">
        <x:v>2</x:v>
      </x:c>
      <x:c r="J299" s="9" t="n">
        <x:v>1</x:v>
      </x:c>
      <x:c r="K299" s="9" t="str">
        <x:v>LF-B-A-N1</x:v>
      </x:c>
      <x:c r="L299" s="9" t="str">
        <x:v>ST03</x:v>
      </x:c>
      <x:c r="M299" s="17" t="str">
        <x:v>Receiver receipt</x:v>
      </x:c>
      <x:c r="N299" s="17" t="str">
        <x:v>denominator, counterfactual, rights and stop receipt remain unchanged</x:v>
      </x:c>
      <x:c r="O299" s="17" t="str">
        <x:v>Receiver authority</x:v>
      </x:c>
      <x:c r="P299" s="9" t="n">
        <x:v>0</x:v>
      </x:c>
      <x:c r="Q299" s="9" t="n">
        <x:v>0</x:v>
      </x:c>
      <x:c r="R299" s="9" t="str">
        <x:v>OPEN / UNSTARTED</x:v>
      </x:c>
      <x:c r="S299" s="9" t="n">
        <x:f>COUNTIFS($A$7:$A$1446,A299)</x:f>
        <x:v>1</x:v>
      </x:c>
    </x:row>
    <x:row r="300">
      <x:c r="A300" s="9" t="str">
        <x:v>EV-AR-LF-B-A-TECH-1-B1-RCN-G0-ST04</x:v>
      </x:c>
      <x:c r="B300" s="9" t="str">
        <x:v>EV-AR-LF-B-A-TECH-1-B1-RCN-G0</x:v>
      </x:c>
      <x:c r="C300" s="9" t="str">
        <x:v>EOW-AR-LF-B-A-TECH-1-B1-RCN-G0</x:v>
      </x:c>
      <x:c r="D300" s="9" t="str">
        <x:v>AR-LF-B-A-TECH-1-B1-RCN-G0</x:v>
      </x:c>
      <x:c r="E300" s="9" t="str">
        <x:v>LF-B-A-TECH-1</x:v>
      </x:c>
      <x:c r="F300" s="9" t="str">
        <x:v>LF-B-A</x:v>
      </x:c>
      <x:c r="G300" s="9" t="str">
        <x:v>B1</x:v>
      </x:c>
      <x:c r="H300" s="9" t="str">
        <x:v>RCN</x:v>
      </x:c>
      <x:c r="I300" s="9" t="n">
        <x:v>2</x:v>
      </x:c>
      <x:c r="J300" s="9" t="n">
        <x:v>1</x:v>
      </x:c>
      <x:c r="K300" s="9" t="str">
        <x:v>LF-B-A-N1</x:v>
      </x:c>
      <x:c r="L300" s="9" t="str">
        <x:v>ST04</x:v>
      </x:c>
      <x:c r="M300" s="17" t="str">
        <x:v>Primary capture armed</x:v>
      </x:c>
      <x:c r="N300" s="17" t="str">
        <x:v>primary chain records sealed reference and live time</x:v>
      </x:c>
      <x:c r="O300" s="17" t="str">
        <x:v>Primary metrology</x:v>
      </x:c>
      <x:c r="P300" s="9" t="n">
        <x:v>0</x:v>
      </x:c>
      <x:c r="Q300" s="9" t="n">
        <x:v>0</x:v>
      </x:c>
      <x:c r="R300" s="9" t="str">
        <x:v>OPEN / UNSTARTED</x:v>
      </x:c>
      <x:c r="S300" s="9" t="n">
        <x:f>COUNTIFS($A$7:$A$1446,A300)</x:f>
        <x:v>1</x:v>
      </x:c>
    </x:row>
    <x:row r="301">
      <x:c r="A301" s="9" t="str">
        <x:v>EV-AR-LF-B-A-TECH-1-B1-RCN-G0-ST05</x:v>
      </x:c>
      <x:c r="B301" s="9" t="str">
        <x:v>EV-AR-LF-B-A-TECH-1-B1-RCN-G0</x:v>
      </x:c>
      <x:c r="C301" s="9" t="str">
        <x:v>EOW-AR-LF-B-A-TECH-1-B1-RCN-G0</x:v>
      </x:c>
      <x:c r="D301" s="9" t="str">
        <x:v>AR-LF-B-A-TECH-1-B1-RCN-G0</x:v>
      </x:c>
      <x:c r="E301" s="9" t="str">
        <x:v>LF-B-A-TECH-1</x:v>
      </x:c>
      <x:c r="F301" s="9" t="str">
        <x:v>LF-B-A</x:v>
      </x:c>
      <x:c r="G301" s="9" t="str">
        <x:v>B1</x:v>
      </x:c>
      <x:c r="H301" s="9" t="str">
        <x:v>RCN</x:v>
      </x:c>
      <x:c r="I301" s="9" t="n">
        <x:v>2</x:v>
      </x:c>
      <x:c r="J301" s="9" t="n">
        <x:v>1</x:v>
      </x:c>
      <x:c r="K301" s="9" t="str">
        <x:v>LF-B-A-N1</x:v>
      </x:c>
      <x:c r="L301" s="9" t="str">
        <x:v>ST05</x:v>
      </x:c>
      <x:c r="M301" s="17" t="str">
        <x:v>Witness capture armed</x:v>
      </x:c>
      <x:c r="N301" s="17" t="str">
        <x:v>unlike witness records independent reference and live time</x:v>
      </x:c>
      <x:c r="O301" s="17" t="str">
        <x:v>Witness metrology</x:v>
      </x:c>
      <x:c r="P301" s="9" t="n">
        <x:v>0</x:v>
      </x:c>
      <x:c r="Q301" s="9" t="n">
        <x:v>0</x:v>
      </x:c>
      <x:c r="R301" s="9" t="str">
        <x:v>OPEN / UNSTARTED</x:v>
      </x:c>
      <x:c r="S301" s="9" t="n">
        <x:f>COUNTIFS($A$7:$A$1446,A301)</x:f>
        <x:v>1</x:v>
      </x:c>
    </x:row>
    <x:row r="302">
      <x:c r="A302" s="9" t="str">
        <x:v>EV-AR-LF-B-A-TECH-1-B1-RCN-G0-ST06</x:v>
      </x:c>
      <x:c r="B302" s="9" t="str">
        <x:v>EV-AR-LF-B-A-TECH-1-B1-RCN-G0</x:v>
      </x:c>
      <x:c r="C302" s="9" t="str">
        <x:v>EOW-AR-LF-B-A-TECH-1-B1-RCN-G0</x:v>
      </x:c>
      <x:c r="D302" s="9" t="str">
        <x:v>AR-LF-B-A-TECH-1-B1-RCN-G0</x:v>
      </x:c>
      <x:c r="E302" s="9" t="str">
        <x:v>LF-B-A-TECH-1</x:v>
      </x:c>
      <x:c r="F302" s="9" t="str">
        <x:v>LF-B-A</x:v>
      </x:c>
      <x:c r="G302" s="9" t="str">
        <x:v>B1</x:v>
      </x:c>
      <x:c r="H302" s="9" t="str">
        <x:v>RCN</x:v>
      </x:c>
      <x:c r="I302" s="9" t="n">
        <x:v>2</x:v>
      </x:c>
      <x:c r="J302" s="9" t="n">
        <x:v>1</x:v>
      </x:c>
      <x:c r="K302" s="9" t="str">
        <x:v>LF-B-A-N1</x:v>
      </x:c>
      <x:c r="L302" s="9" t="str">
        <x:v>ST06</x:v>
      </x:c>
      <x:c r="M302" s="17" t="str">
        <x:v>Public custody armed</x:v>
      </x:c>
      <x:c r="N302" s="17" t="str">
        <x:v>eight raw origins have separated hash and replica routes</x:v>
      </x:c>
      <x:c r="O302" s="17" t="str">
        <x:v>Custody authority</x:v>
      </x:c>
      <x:c r="P302" s="9" t="n">
        <x:v>0</x:v>
      </x:c>
      <x:c r="Q302" s="9" t="n">
        <x:v>0</x:v>
      </x:c>
      <x:c r="R302" s="9" t="str">
        <x:v>OPEN / UNSTARTED</x:v>
      </x:c>
      <x:c r="S302" s="9" t="n">
        <x:f>COUNTIFS($A$7:$A$1446,A302)</x:f>
        <x:v>1</x:v>
      </x:c>
    </x:row>
    <x:row r="303">
      <x:c r="A303" s="9" t="str">
        <x:v>EV-AR-LF-B-A-TECH-1-B1-RCN-G0-ST07</x:v>
      </x:c>
      <x:c r="B303" s="9" t="str">
        <x:v>EV-AR-LF-B-A-TECH-1-B1-RCN-G0</x:v>
      </x:c>
      <x:c r="C303" s="9" t="str">
        <x:v>EOW-AR-LF-B-A-TECH-1-B1-RCN-G0</x:v>
      </x:c>
      <x:c r="D303" s="9" t="str">
        <x:v>AR-LF-B-A-TECH-1-B1-RCN-G0</x:v>
      </x:c>
      <x:c r="E303" s="9" t="str">
        <x:v>LF-B-A-TECH-1</x:v>
      </x:c>
      <x:c r="F303" s="9" t="str">
        <x:v>LF-B-A</x:v>
      </x:c>
      <x:c r="G303" s="9" t="str">
        <x:v>B1</x:v>
      </x:c>
      <x:c r="H303" s="9" t="str">
        <x:v>RCN</x:v>
      </x:c>
      <x:c r="I303" s="9" t="n">
        <x:v>2</x:v>
      </x:c>
      <x:c r="J303" s="9" t="n">
        <x:v>1</x:v>
      </x:c>
      <x:c r="K303" s="9" t="str">
        <x:v>LF-B-A-N1</x:v>
      </x:c>
      <x:c r="L303" s="9" t="str">
        <x:v>ST07</x:v>
      </x:c>
      <x:c r="M303" s="17" t="str">
        <x:v>Environmental baseline</x:v>
      </x:c>
      <x:c r="N303" s="17" t="str">
        <x:v>pre-event boundary state is sealed before decisive operation</x:v>
      </x:c>
      <x:c r="O303" s="17" t="str">
        <x:v>Site metrology</x:v>
      </x:c>
      <x:c r="P303" s="9" t="n">
        <x:v>0</x:v>
      </x:c>
      <x:c r="Q303" s="9" t="n">
        <x:v>0</x:v>
      </x:c>
      <x:c r="R303" s="9" t="str">
        <x:v>OPEN / UNSTARTED</x:v>
      </x:c>
      <x:c r="S303" s="9" t="n">
        <x:f>COUNTIFS($A$7:$A$1446,A303)</x:f>
        <x:v>1</x:v>
      </x:c>
    </x:row>
    <x:row r="304">
      <x:c r="A304" s="9" t="str">
        <x:v>EV-AR-LF-B-A-TECH-1-B1-RCN-G0-ST08</x:v>
      </x:c>
      <x:c r="B304" s="9" t="str">
        <x:v>EV-AR-LF-B-A-TECH-1-B1-RCN-G0</x:v>
      </x:c>
      <x:c r="C304" s="9" t="str">
        <x:v>EOW-AR-LF-B-A-TECH-1-B1-RCN-G0</x:v>
      </x:c>
      <x:c r="D304" s="9" t="str">
        <x:v>AR-LF-B-A-TECH-1-B1-RCN-G0</x:v>
      </x:c>
      <x:c r="E304" s="9" t="str">
        <x:v>LF-B-A-TECH-1</x:v>
      </x:c>
      <x:c r="F304" s="9" t="str">
        <x:v>LF-B-A</x:v>
      </x:c>
      <x:c r="G304" s="9" t="str">
        <x:v>B1</x:v>
      </x:c>
      <x:c r="H304" s="9" t="str">
        <x:v>RCN</x:v>
      </x:c>
      <x:c r="I304" s="9" t="n">
        <x:v>2</x:v>
      </x:c>
      <x:c r="J304" s="9" t="n">
        <x:v>1</x:v>
      </x:c>
      <x:c r="K304" s="9" t="str">
        <x:v>LF-B-A-N1</x:v>
      </x:c>
      <x:c r="L304" s="9" t="str">
        <x:v>ST08</x:v>
      </x:c>
      <x:c r="M304" s="17" t="str">
        <x:v>Manual stop and safety</x:v>
      </x:c>
      <x:c r="N304" s="17" t="str">
        <x:v>local stop, evacuation and protection routes are active</x:v>
      </x:c>
      <x:c r="O304" s="17" t="str">
        <x:v>Safety authority</x:v>
      </x:c>
      <x:c r="P304" s="9" t="n">
        <x:v>0</x:v>
      </x:c>
      <x:c r="Q304" s="9" t="n">
        <x:v>0</x:v>
      </x:c>
      <x:c r="R304" s="9" t="str">
        <x:v>OPEN / UNSTARTED</x:v>
      </x:c>
      <x:c r="S304" s="9" t="n">
        <x:f>COUNTIFS($A$7:$A$1446,A304)</x:f>
        <x:v>1</x:v>
      </x:c>
    </x:row>
    <x:row r="305">
      <x:c r="A305" s="9" t="str">
        <x:v>EV-AR-LF-B-A-TECH-1-B1-RCN-G0-ST09</x:v>
      </x:c>
      <x:c r="B305" s="9" t="str">
        <x:v>EV-AR-LF-B-A-TECH-1-B1-RCN-G0</x:v>
      </x:c>
      <x:c r="C305" s="9" t="str">
        <x:v>EOW-AR-LF-B-A-TECH-1-B1-RCN-G0</x:v>
      </x:c>
      <x:c r="D305" s="9" t="str">
        <x:v>AR-LF-B-A-TECH-1-B1-RCN-G0</x:v>
      </x:c>
      <x:c r="E305" s="9" t="str">
        <x:v>LF-B-A-TECH-1</x:v>
      </x:c>
      <x:c r="F305" s="9" t="str">
        <x:v>LF-B-A</x:v>
      </x:c>
      <x:c r="G305" s="9" t="str">
        <x:v>B1</x:v>
      </x:c>
      <x:c r="H305" s="9" t="str">
        <x:v>RCN</x:v>
      </x:c>
      <x:c r="I305" s="9" t="n">
        <x:v>2</x:v>
      </x:c>
      <x:c r="J305" s="9" t="n">
        <x:v>1</x:v>
      </x:c>
      <x:c r="K305" s="9" t="str">
        <x:v>LF-B-A-N1</x:v>
      </x:c>
      <x:c r="L305" s="9" t="str">
        <x:v>ST09</x:v>
      </x:c>
      <x:c r="M305" s="17" t="str">
        <x:v>Operator conflict clear</x:v>
      </x:c>
      <x:c r="N305" s="17" t="str">
        <x:v>candidate, fixture, safety and measurement control edges remain separated</x:v>
      </x:c>
      <x:c r="O305" s="17" t="str">
        <x:v>Conflict registrar</x:v>
      </x:c>
      <x:c r="P305" s="9" t="n">
        <x:v>0</x:v>
      </x:c>
      <x:c r="Q305" s="9" t="n">
        <x:v>0</x:v>
      </x:c>
      <x:c r="R305" s="9" t="str">
        <x:v>OPEN / UNSTARTED</x:v>
      </x:c>
      <x:c r="S305" s="9" t="n">
        <x:f>COUNTIFS($A$7:$A$1446,A305)</x:f>
        <x:v>1</x:v>
      </x:c>
    </x:row>
    <x:row r="306">
      <x:c r="A306" s="9" t="str">
        <x:v>EV-AR-LF-B-A-TECH-1-B1-RCN-G0-ST10</x:v>
      </x:c>
      <x:c r="B306" s="9" t="str">
        <x:v>EV-AR-LF-B-A-TECH-1-B1-RCN-G0</x:v>
      </x:c>
      <x:c r="C306" s="9" t="str">
        <x:v>EOW-AR-LF-B-A-TECH-1-B1-RCN-G0</x:v>
      </x:c>
      <x:c r="D306" s="9" t="str">
        <x:v>AR-LF-B-A-TECH-1-B1-RCN-G0</x:v>
      </x:c>
      <x:c r="E306" s="9" t="str">
        <x:v>LF-B-A-TECH-1</x:v>
      </x:c>
      <x:c r="F306" s="9" t="str">
        <x:v>LF-B-A</x:v>
      </x:c>
      <x:c r="G306" s="9" t="str">
        <x:v>B1</x:v>
      </x:c>
      <x:c r="H306" s="9" t="str">
        <x:v>RCN</x:v>
      </x:c>
      <x:c r="I306" s="9" t="n">
        <x:v>2</x:v>
      </x:c>
      <x:c r="J306" s="9" t="n">
        <x:v>1</x:v>
      </x:c>
      <x:c r="K306" s="9" t="str">
        <x:v>LF-B-A-N1</x:v>
      </x:c>
      <x:c r="L306" s="9" t="str">
        <x:v>ST10</x:v>
      </x:c>
      <x:c r="M306" s="17" t="str">
        <x:v>Window and common clock</x:v>
      </x:c>
      <x:c r="N306" s="17" t="str">
        <x:v>epoch, window and public time origin match the issued warrant</x:v>
      </x:c>
      <x:c r="O306" s="17" t="str">
        <x:v>Event clock authority</x:v>
      </x:c>
      <x:c r="P306" s="9" t="n">
        <x:v>0</x:v>
      </x:c>
      <x:c r="Q306" s="9" t="n">
        <x:v>0</x:v>
      </x:c>
      <x:c r="R306" s="9" t="str">
        <x:v>OPEN / UNSTARTED</x:v>
      </x:c>
      <x:c r="S306" s="9" t="n">
        <x:f>COUNTIFS($A$7:$A$1446,A306)</x:f>
        <x:v>1</x:v>
      </x:c>
    </x:row>
    <x:row r="307">
      <x:c r="A307" s="9" t="str">
        <x:v>EV-AR-ET-A-A-TECH-3-B2-RCN-G0-ST01</x:v>
      </x:c>
      <x:c r="B307" s="9" t="str">
        <x:v>EV-AR-ET-A-A-TECH-3-B2-RCN-G0</x:v>
      </x:c>
      <x:c r="C307" s="9" t="str">
        <x:v>EOW-AR-ET-A-A-TECH-3-B2-RCN-G0</x:v>
      </x:c>
      <x:c r="D307" s="9" t="str">
        <x:v>AR-ET-A-A-TECH-3-B2-RCN-G0</x:v>
      </x:c>
      <x:c r="E307" s="9" t="str">
        <x:v>ET-A-A-TECH-3</x:v>
      </x:c>
      <x:c r="F307" s="9" t="str">
        <x:v>ET-A-A</x:v>
      </x:c>
      <x:c r="G307" s="9" t="str">
        <x:v>B2</x:v>
      </x:c>
      <x:c r="H307" s="9" t="str">
        <x:v>RCN</x:v>
      </x:c>
      <x:c r="I307" s="9" t="n">
        <x:v>2</x:v>
      </x:c>
      <x:c r="J307" s="9" t="n">
        <x:v>2</x:v>
      </x:c>
      <x:c r="K307" s="9" t="str">
        <x:v>ET-A-A-N1</x:v>
      </x:c>
      <x:c r="L307" s="9" t="str">
        <x:v>ST01</x:v>
      </x:c>
      <x:c r="M307" s="17" t="str">
        <x:v>Active opportunity warrant</x:v>
      </x:c>
      <x:c r="N307" s="17" t="str">
        <x:v>configuration-bound EOW is within its thirty-six-hour validity</x:v>
      </x:c>
      <x:c r="O307" s="17" t="str">
        <x:v>Start registrar</x:v>
      </x:c>
      <x:c r="P307" s="9" t="n">
        <x:v>0</x:v>
      </x:c>
      <x:c r="Q307" s="9" t="n">
        <x:v>0</x:v>
      </x:c>
      <x:c r="R307" s="9" t="str">
        <x:v>OPEN / UNSTARTED</x:v>
      </x:c>
      <x:c r="S307" s="9" t="n">
        <x:f>COUNTIFS($A$7:$A$1446,A307)</x:f>
        <x:v>1</x:v>
      </x:c>
    </x:row>
    <x:row r="308">
      <x:c r="A308" s="9" t="str">
        <x:v>EV-AR-ET-A-A-TECH-3-B2-RCN-G0-ST02</x:v>
      </x:c>
      <x:c r="B308" s="9" t="str">
        <x:v>EV-AR-ET-A-A-TECH-3-B2-RCN-G0</x:v>
      </x:c>
      <x:c r="C308" s="9" t="str">
        <x:v>EOW-AR-ET-A-A-TECH-3-B2-RCN-G0</x:v>
      </x:c>
      <x:c r="D308" s="9" t="str">
        <x:v>AR-ET-A-A-TECH-3-B2-RCN-G0</x:v>
      </x:c>
      <x:c r="E308" s="9" t="str">
        <x:v>ET-A-A-TECH-3</x:v>
      </x:c>
      <x:c r="F308" s="9" t="str">
        <x:v>ET-A-A</x:v>
      </x:c>
      <x:c r="G308" s="9" t="str">
        <x:v>B2</x:v>
      </x:c>
      <x:c r="H308" s="9" t="str">
        <x:v>RCN</x:v>
      </x:c>
      <x:c r="I308" s="9" t="n">
        <x:v>2</x:v>
      </x:c>
      <x:c r="J308" s="9" t="n">
        <x:v>2</x:v>
      </x:c>
      <x:c r="K308" s="9" t="str">
        <x:v>ET-A-A-N1</x:v>
      </x:c>
      <x:c r="L308" s="9" t="str">
        <x:v>ST02</x:v>
      </x:c>
      <x:c r="M308" s="17" t="str">
        <x:v>Frozen identity</x:v>
      </x:c>
      <x:c r="N308" s="17" t="str">
        <x:v>serial, generation, fixture, site, receiver and digest match the warrant</x:v>
      </x:c>
      <x:c r="O308" s="17" t="str">
        <x:v>Custody authority</x:v>
      </x:c>
      <x:c r="P308" s="9" t="n">
        <x:v>0</x:v>
      </x:c>
      <x:c r="Q308" s="9" t="n">
        <x:v>0</x:v>
      </x:c>
      <x:c r="R308" s="9" t="str">
        <x:v>OPEN / UNSTARTED</x:v>
      </x:c>
      <x:c r="S308" s="9" t="n">
        <x:f>COUNTIFS($A$7:$A$1446,A308)</x:f>
        <x:v>1</x:v>
      </x:c>
    </x:row>
    <x:row r="309">
      <x:c r="A309" s="9" t="str">
        <x:v>EV-AR-ET-A-A-TECH-3-B2-RCN-G0-ST03</x:v>
      </x:c>
      <x:c r="B309" s="9" t="str">
        <x:v>EV-AR-ET-A-A-TECH-3-B2-RCN-G0</x:v>
      </x:c>
      <x:c r="C309" s="9" t="str">
        <x:v>EOW-AR-ET-A-A-TECH-3-B2-RCN-G0</x:v>
      </x:c>
      <x:c r="D309" s="9" t="str">
        <x:v>AR-ET-A-A-TECH-3-B2-RCN-G0</x:v>
      </x:c>
      <x:c r="E309" s="9" t="str">
        <x:v>ET-A-A-TECH-3</x:v>
      </x:c>
      <x:c r="F309" s="9" t="str">
        <x:v>ET-A-A</x:v>
      </x:c>
      <x:c r="G309" s="9" t="str">
        <x:v>B2</x:v>
      </x:c>
      <x:c r="H309" s="9" t="str">
        <x:v>RCN</x:v>
      </x:c>
      <x:c r="I309" s="9" t="n">
        <x:v>2</x:v>
      </x:c>
      <x:c r="J309" s="9" t="n">
        <x:v>2</x:v>
      </x:c>
      <x:c r="K309" s="9" t="str">
        <x:v>ET-A-A-N1</x:v>
      </x:c>
      <x:c r="L309" s="9" t="str">
        <x:v>ST03</x:v>
      </x:c>
      <x:c r="M309" s="17" t="str">
        <x:v>Receiver receipt</x:v>
      </x:c>
      <x:c r="N309" s="17" t="str">
        <x:v>denominator, counterfactual, rights and stop receipt remain unchanged</x:v>
      </x:c>
      <x:c r="O309" s="17" t="str">
        <x:v>Receiver authority</x:v>
      </x:c>
      <x:c r="P309" s="9" t="n">
        <x:v>0</x:v>
      </x:c>
      <x:c r="Q309" s="9" t="n">
        <x:v>0</x:v>
      </x:c>
      <x:c r="R309" s="9" t="str">
        <x:v>OPEN / UNSTARTED</x:v>
      </x:c>
      <x:c r="S309" s="9" t="n">
        <x:f>COUNTIFS($A$7:$A$1446,A309)</x:f>
        <x:v>1</x:v>
      </x:c>
    </x:row>
    <x:row r="310">
      <x:c r="A310" s="9" t="str">
        <x:v>EV-AR-ET-A-A-TECH-3-B2-RCN-G0-ST04</x:v>
      </x:c>
      <x:c r="B310" s="9" t="str">
        <x:v>EV-AR-ET-A-A-TECH-3-B2-RCN-G0</x:v>
      </x:c>
      <x:c r="C310" s="9" t="str">
        <x:v>EOW-AR-ET-A-A-TECH-3-B2-RCN-G0</x:v>
      </x:c>
      <x:c r="D310" s="9" t="str">
        <x:v>AR-ET-A-A-TECH-3-B2-RCN-G0</x:v>
      </x:c>
      <x:c r="E310" s="9" t="str">
        <x:v>ET-A-A-TECH-3</x:v>
      </x:c>
      <x:c r="F310" s="9" t="str">
        <x:v>ET-A-A</x:v>
      </x:c>
      <x:c r="G310" s="9" t="str">
        <x:v>B2</x:v>
      </x:c>
      <x:c r="H310" s="9" t="str">
        <x:v>RCN</x:v>
      </x:c>
      <x:c r="I310" s="9" t="n">
        <x:v>2</x:v>
      </x:c>
      <x:c r="J310" s="9" t="n">
        <x:v>2</x:v>
      </x:c>
      <x:c r="K310" s="9" t="str">
        <x:v>ET-A-A-N1</x:v>
      </x:c>
      <x:c r="L310" s="9" t="str">
        <x:v>ST04</x:v>
      </x:c>
      <x:c r="M310" s="17" t="str">
        <x:v>Primary capture armed</x:v>
      </x:c>
      <x:c r="N310" s="17" t="str">
        <x:v>primary chain records sealed reference and live time</x:v>
      </x:c>
      <x:c r="O310" s="17" t="str">
        <x:v>Primary metrology</x:v>
      </x:c>
      <x:c r="P310" s="9" t="n">
        <x:v>0</x:v>
      </x:c>
      <x:c r="Q310" s="9" t="n">
        <x:v>0</x:v>
      </x:c>
      <x:c r="R310" s="9" t="str">
        <x:v>OPEN / UNSTARTED</x:v>
      </x:c>
      <x:c r="S310" s="9" t="n">
        <x:f>COUNTIFS($A$7:$A$1446,A310)</x:f>
        <x:v>1</x:v>
      </x:c>
    </x:row>
    <x:row r="311">
      <x:c r="A311" s="9" t="str">
        <x:v>EV-AR-ET-A-A-TECH-3-B2-RCN-G0-ST05</x:v>
      </x:c>
      <x:c r="B311" s="9" t="str">
        <x:v>EV-AR-ET-A-A-TECH-3-B2-RCN-G0</x:v>
      </x:c>
      <x:c r="C311" s="9" t="str">
        <x:v>EOW-AR-ET-A-A-TECH-3-B2-RCN-G0</x:v>
      </x:c>
      <x:c r="D311" s="9" t="str">
        <x:v>AR-ET-A-A-TECH-3-B2-RCN-G0</x:v>
      </x:c>
      <x:c r="E311" s="9" t="str">
        <x:v>ET-A-A-TECH-3</x:v>
      </x:c>
      <x:c r="F311" s="9" t="str">
        <x:v>ET-A-A</x:v>
      </x:c>
      <x:c r="G311" s="9" t="str">
        <x:v>B2</x:v>
      </x:c>
      <x:c r="H311" s="9" t="str">
        <x:v>RCN</x:v>
      </x:c>
      <x:c r="I311" s="9" t="n">
        <x:v>2</x:v>
      </x:c>
      <x:c r="J311" s="9" t="n">
        <x:v>2</x:v>
      </x:c>
      <x:c r="K311" s="9" t="str">
        <x:v>ET-A-A-N1</x:v>
      </x:c>
      <x:c r="L311" s="9" t="str">
        <x:v>ST05</x:v>
      </x:c>
      <x:c r="M311" s="17" t="str">
        <x:v>Witness capture armed</x:v>
      </x:c>
      <x:c r="N311" s="17" t="str">
        <x:v>unlike witness records independent reference and live time</x:v>
      </x:c>
      <x:c r="O311" s="17" t="str">
        <x:v>Witness metrology</x:v>
      </x:c>
      <x:c r="P311" s="9" t="n">
        <x:v>0</x:v>
      </x:c>
      <x:c r="Q311" s="9" t="n">
        <x:v>0</x:v>
      </x:c>
      <x:c r="R311" s="9" t="str">
        <x:v>OPEN / UNSTARTED</x:v>
      </x:c>
      <x:c r="S311" s="9" t="n">
        <x:f>COUNTIFS($A$7:$A$1446,A311)</x:f>
        <x:v>1</x:v>
      </x:c>
    </x:row>
    <x:row r="312">
      <x:c r="A312" s="9" t="str">
        <x:v>EV-AR-ET-A-A-TECH-3-B2-RCN-G0-ST06</x:v>
      </x:c>
      <x:c r="B312" s="9" t="str">
        <x:v>EV-AR-ET-A-A-TECH-3-B2-RCN-G0</x:v>
      </x:c>
      <x:c r="C312" s="9" t="str">
        <x:v>EOW-AR-ET-A-A-TECH-3-B2-RCN-G0</x:v>
      </x:c>
      <x:c r="D312" s="9" t="str">
        <x:v>AR-ET-A-A-TECH-3-B2-RCN-G0</x:v>
      </x:c>
      <x:c r="E312" s="9" t="str">
        <x:v>ET-A-A-TECH-3</x:v>
      </x:c>
      <x:c r="F312" s="9" t="str">
        <x:v>ET-A-A</x:v>
      </x:c>
      <x:c r="G312" s="9" t="str">
        <x:v>B2</x:v>
      </x:c>
      <x:c r="H312" s="9" t="str">
        <x:v>RCN</x:v>
      </x:c>
      <x:c r="I312" s="9" t="n">
        <x:v>2</x:v>
      </x:c>
      <x:c r="J312" s="9" t="n">
        <x:v>2</x:v>
      </x:c>
      <x:c r="K312" s="9" t="str">
        <x:v>ET-A-A-N1</x:v>
      </x:c>
      <x:c r="L312" s="9" t="str">
        <x:v>ST06</x:v>
      </x:c>
      <x:c r="M312" s="17" t="str">
        <x:v>Public custody armed</x:v>
      </x:c>
      <x:c r="N312" s="17" t="str">
        <x:v>eight raw origins have separated hash and replica routes</x:v>
      </x:c>
      <x:c r="O312" s="17" t="str">
        <x:v>Custody authority</x:v>
      </x:c>
      <x:c r="P312" s="9" t="n">
        <x:v>0</x:v>
      </x:c>
      <x:c r="Q312" s="9" t="n">
        <x:v>0</x:v>
      </x:c>
      <x:c r="R312" s="9" t="str">
        <x:v>OPEN / UNSTARTED</x:v>
      </x:c>
      <x:c r="S312" s="9" t="n">
        <x:f>COUNTIFS($A$7:$A$1446,A312)</x:f>
        <x:v>1</x:v>
      </x:c>
    </x:row>
    <x:row r="313">
      <x:c r="A313" s="9" t="str">
        <x:v>EV-AR-ET-A-A-TECH-3-B2-RCN-G0-ST07</x:v>
      </x:c>
      <x:c r="B313" s="9" t="str">
        <x:v>EV-AR-ET-A-A-TECH-3-B2-RCN-G0</x:v>
      </x:c>
      <x:c r="C313" s="9" t="str">
        <x:v>EOW-AR-ET-A-A-TECH-3-B2-RCN-G0</x:v>
      </x:c>
      <x:c r="D313" s="9" t="str">
        <x:v>AR-ET-A-A-TECH-3-B2-RCN-G0</x:v>
      </x:c>
      <x:c r="E313" s="9" t="str">
        <x:v>ET-A-A-TECH-3</x:v>
      </x:c>
      <x:c r="F313" s="9" t="str">
        <x:v>ET-A-A</x:v>
      </x:c>
      <x:c r="G313" s="9" t="str">
        <x:v>B2</x:v>
      </x:c>
      <x:c r="H313" s="9" t="str">
        <x:v>RCN</x:v>
      </x:c>
      <x:c r="I313" s="9" t="n">
        <x:v>2</x:v>
      </x:c>
      <x:c r="J313" s="9" t="n">
        <x:v>2</x:v>
      </x:c>
      <x:c r="K313" s="9" t="str">
        <x:v>ET-A-A-N1</x:v>
      </x:c>
      <x:c r="L313" s="9" t="str">
        <x:v>ST07</x:v>
      </x:c>
      <x:c r="M313" s="17" t="str">
        <x:v>Environmental baseline</x:v>
      </x:c>
      <x:c r="N313" s="17" t="str">
        <x:v>pre-event boundary state is sealed before decisive operation</x:v>
      </x:c>
      <x:c r="O313" s="17" t="str">
        <x:v>Site metrology</x:v>
      </x:c>
      <x:c r="P313" s="9" t="n">
        <x:v>0</x:v>
      </x:c>
      <x:c r="Q313" s="9" t="n">
        <x:v>0</x:v>
      </x:c>
      <x:c r="R313" s="9" t="str">
        <x:v>OPEN / UNSTARTED</x:v>
      </x:c>
      <x:c r="S313" s="9" t="n">
        <x:f>COUNTIFS($A$7:$A$1446,A313)</x:f>
        <x:v>1</x:v>
      </x:c>
    </x:row>
    <x:row r="314">
      <x:c r="A314" s="9" t="str">
        <x:v>EV-AR-ET-A-A-TECH-3-B2-RCN-G0-ST08</x:v>
      </x:c>
      <x:c r="B314" s="9" t="str">
        <x:v>EV-AR-ET-A-A-TECH-3-B2-RCN-G0</x:v>
      </x:c>
      <x:c r="C314" s="9" t="str">
        <x:v>EOW-AR-ET-A-A-TECH-3-B2-RCN-G0</x:v>
      </x:c>
      <x:c r="D314" s="9" t="str">
        <x:v>AR-ET-A-A-TECH-3-B2-RCN-G0</x:v>
      </x:c>
      <x:c r="E314" s="9" t="str">
        <x:v>ET-A-A-TECH-3</x:v>
      </x:c>
      <x:c r="F314" s="9" t="str">
        <x:v>ET-A-A</x:v>
      </x:c>
      <x:c r="G314" s="9" t="str">
        <x:v>B2</x:v>
      </x:c>
      <x:c r="H314" s="9" t="str">
        <x:v>RCN</x:v>
      </x:c>
      <x:c r="I314" s="9" t="n">
        <x:v>2</x:v>
      </x:c>
      <x:c r="J314" s="9" t="n">
        <x:v>2</x:v>
      </x:c>
      <x:c r="K314" s="9" t="str">
        <x:v>ET-A-A-N1</x:v>
      </x:c>
      <x:c r="L314" s="9" t="str">
        <x:v>ST08</x:v>
      </x:c>
      <x:c r="M314" s="17" t="str">
        <x:v>Manual stop and safety</x:v>
      </x:c>
      <x:c r="N314" s="17" t="str">
        <x:v>local stop, evacuation and protection routes are active</x:v>
      </x:c>
      <x:c r="O314" s="17" t="str">
        <x:v>Safety authority</x:v>
      </x:c>
      <x:c r="P314" s="9" t="n">
        <x:v>0</x:v>
      </x:c>
      <x:c r="Q314" s="9" t="n">
        <x:v>0</x:v>
      </x:c>
      <x:c r="R314" s="9" t="str">
        <x:v>OPEN / UNSTARTED</x:v>
      </x:c>
      <x:c r="S314" s="9" t="n">
        <x:f>COUNTIFS($A$7:$A$1446,A314)</x:f>
        <x:v>1</x:v>
      </x:c>
    </x:row>
    <x:row r="315">
      <x:c r="A315" s="9" t="str">
        <x:v>EV-AR-ET-A-A-TECH-3-B2-RCN-G0-ST09</x:v>
      </x:c>
      <x:c r="B315" s="9" t="str">
        <x:v>EV-AR-ET-A-A-TECH-3-B2-RCN-G0</x:v>
      </x:c>
      <x:c r="C315" s="9" t="str">
        <x:v>EOW-AR-ET-A-A-TECH-3-B2-RCN-G0</x:v>
      </x:c>
      <x:c r="D315" s="9" t="str">
        <x:v>AR-ET-A-A-TECH-3-B2-RCN-G0</x:v>
      </x:c>
      <x:c r="E315" s="9" t="str">
        <x:v>ET-A-A-TECH-3</x:v>
      </x:c>
      <x:c r="F315" s="9" t="str">
        <x:v>ET-A-A</x:v>
      </x:c>
      <x:c r="G315" s="9" t="str">
        <x:v>B2</x:v>
      </x:c>
      <x:c r="H315" s="9" t="str">
        <x:v>RCN</x:v>
      </x:c>
      <x:c r="I315" s="9" t="n">
        <x:v>2</x:v>
      </x:c>
      <x:c r="J315" s="9" t="n">
        <x:v>2</x:v>
      </x:c>
      <x:c r="K315" s="9" t="str">
        <x:v>ET-A-A-N1</x:v>
      </x:c>
      <x:c r="L315" s="9" t="str">
        <x:v>ST09</x:v>
      </x:c>
      <x:c r="M315" s="17" t="str">
        <x:v>Operator conflict clear</x:v>
      </x:c>
      <x:c r="N315" s="17" t="str">
        <x:v>candidate, fixture, safety and measurement control edges remain separated</x:v>
      </x:c>
      <x:c r="O315" s="17" t="str">
        <x:v>Conflict registrar</x:v>
      </x:c>
      <x:c r="P315" s="9" t="n">
        <x:v>0</x:v>
      </x:c>
      <x:c r="Q315" s="9" t="n">
        <x:v>0</x:v>
      </x:c>
      <x:c r="R315" s="9" t="str">
        <x:v>OPEN / UNSTARTED</x:v>
      </x:c>
      <x:c r="S315" s="9" t="n">
        <x:f>COUNTIFS($A$7:$A$1446,A315)</x:f>
        <x:v>1</x:v>
      </x:c>
    </x:row>
    <x:row r="316">
      <x:c r="A316" s="9" t="str">
        <x:v>EV-AR-ET-A-A-TECH-3-B2-RCN-G0-ST10</x:v>
      </x:c>
      <x:c r="B316" s="9" t="str">
        <x:v>EV-AR-ET-A-A-TECH-3-B2-RCN-G0</x:v>
      </x:c>
      <x:c r="C316" s="9" t="str">
        <x:v>EOW-AR-ET-A-A-TECH-3-B2-RCN-G0</x:v>
      </x:c>
      <x:c r="D316" s="9" t="str">
        <x:v>AR-ET-A-A-TECH-3-B2-RCN-G0</x:v>
      </x:c>
      <x:c r="E316" s="9" t="str">
        <x:v>ET-A-A-TECH-3</x:v>
      </x:c>
      <x:c r="F316" s="9" t="str">
        <x:v>ET-A-A</x:v>
      </x:c>
      <x:c r="G316" s="9" t="str">
        <x:v>B2</x:v>
      </x:c>
      <x:c r="H316" s="9" t="str">
        <x:v>RCN</x:v>
      </x:c>
      <x:c r="I316" s="9" t="n">
        <x:v>2</x:v>
      </x:c>
      <x:c r="J316" s="9" t="n">
        <x:v>2</x:v>
      </x:c>
      <x:c r="K316" s="9" t="str">
        <x:v>ET-A-A-N1</x:v>
      </x:c>
      <x:c r="L316" s="9" t="str">
        <x:v>ST10</x:v>
      </x:c>
      <x:c r="M316" s="17" t="str">
        <x:v>Window and common clock</x:v>
      </x:c>
      <x:c r="N316" s="17" t="str">
        <x:v>epoch, window and public time origin match the issued warrant</x:v>
      </x:c>
      <x:c r="O316" s="17" t="str">
        <x:v>Event clock authority</x:v>
      </x:c>
      <x:c r="P316" s="9" t="n">
        <x:v>0</x:v>
      </x:c>
      <x:c r="Q316" s="9" t="n">
        <x:v>0</x:v>
      </x:c>
      <x:c r="R316" s="9" t="str">
        <x:v>OPEN / UNSTARTED</x:v>
      </x:c>
      <x:c r="S316" s="9" t="n">
        <x:f>COUNTIFS($A$7:$A$1446,A316)</x:f>
        <x:v>1</x:v>
      </x:c>
    </x:row>
    <x:row r="317">
      <x:c r="A317" s="9" t="str">
        <x:v>EV-AR-ET-A-A-TECH-1-B2-INT-G0-ST01</x:v>
      </x:c>
      <x:c r="B317" s="9" t="str">
        <x:v>EV-AR-ET-A-A-TECH-1-B2-INT-G0</x:v>
      </x:c>
      <x:c r="C317" s="9" t="str">
        <x:v>EOW-AR-ET-A-A-TECH-1-B2-INT-G0</x:v>
      </x:c>
      <x:c r="D317" s="9" t="str">
        <x:v>AR-ET-A-A-TECH-1-B2-INT-G0</x:v>
      </x:c>
      <x:c r="E317" s="9" t="str">
        <x:v>ET-A-A-TECH-1</x:v>
      </x:c>
      <x:c r="F317" s="9" t="str">
        <x:v>ET-A-A</x:v>
      </x:c>
      <x:c r="G317" s="9" t="str">
        <x:v>B2</x:v>
      </x:c>
      <x:c r="H317" s="9" t="str">
        <x:v>INT</x:v>
      </x:c>
      <x:c r="I317" s="9" t="n">
        <x:v>2</x:v>
      </x:c>
      <x:c r="J317" s="9" t="n">
        <x:v>2</x:v>
      </x:c>
      <x:c r="K317" s="9" t="str">
        <x:v>ET-A-A-N2</x:v>
      </x:c>
      <x:c r="L317" s="9" t="str">
        <x:v>ST01</x:v>
      </x:c>
      <x:c r="M317" s="17" t="str">
        <x:v>Active opportunity warrant</x:v>
      </x:c>
      <x:c r="N317" s="17" t="str">
        <x:v>configuration-bound EOW is within its thirty-six-hour validity</x:v>
      </x:c>
      <x:c r="O317" s="17" t="str">
        <x:v>Start registrar</x:v>
      </x:c>
      <x:c r="P317" s="9" t="n">
        <x:v>0</x:v>
      </x:c>
      <x:c r="Q317" s="9" t="n">
        <x:v>0</x:v>
      </x:c>
      <x:c r="R317" s="9" t="str">
        <x:v>OPEN / UNSTARTED</x:v>
      </x:c>
      <x:c r="S317" s="9" t="n">
        <x:f>COUNTIFS($A$7:$A$1446,A317)</x:f>
        <x:v>1</x:v>
      </x:c>
    </x:row>
    <x:row r="318">
      <x:c r="A318" s="9" t="str">
        <x:v>EV-AR-ET-A-A-TECH-1-B2-INT-G0-ST02</x:v>
      </x:c>
      <x:c r="B318" s="9" t="str">
        <x:v>EV-AR-ET-A-A-TECH-1-B2-INT-G0</x:v>
      </x:c>
      <x:c r="C318" s="9" t="str">
        <x:v>EOW-AR-ET-A-A-TECH-1-B2-INT-G0</x:v>
      </x:c>
      <x:c r="D318" s="9" t="str">
        <x:v>AR-ET-A-A-TECH-1-B2-INT-G0</x:v>
      </x:c>
      <x:c r="E318" s="9" t="str">
        <x:v>ET-A-A-TECH-1</x:v>
      </x:c>
      <x:c r="F318" s="9" t="str">
        <x:v>ET-A-A</x:v>
      </x:c>
      <x:c r="G318" s="9" t="str">
        <x:v>B2</x:v>
      </x:c>
      <x:c r="H318" s="9" t="str">
        <x:v>INT</x:v>
      </x:c>
      <x:c r="I318" s="9" t="n">
        <x:v>2</x:v>
      </x:c>
      <x:c r="J318" s="9" t="n">
        <x:v>2</x:v>
      </x:c>
      <x:c r="K318" s="9" t="str">
        <x:v>ET-A-A-N2</x:v>
      </x:c>
      <x:c r="L318" s="9" t="str">
        <x:v>ST02</x:v>
      </x:c>
      <x:c r="M318" s="17" t="str">
        <x:v>Frozen identity</x:v>
      </x:c>
      <x:c r="N318" s="17" t="str">
        <x:v>serial, generation, fixture, site, receiver and digest match the warrant</x:v>
      </x:c>
      <x:c r="O318" s="17" t="str">
        <x:v>Custody authority</x:v>
      </x:c>
      <x:c r="P318" s="9" t="n">
        <x:v>0</x:v>
      </x:c>
      <x:c r="Q318" s="9" t="n">
        <x:v>0</x:v>
      </x:c>
      <x:c r="R318" s="9" t="str">
        <x:v>OPEN / UNSTARTED</x:v>
      </x:c>
      <x:c r="S318" s="9" t="n">
        <x:f>COUNTIFS($A$7:$A$1446,A318)</x:f>
        <x:v>1</x:v>
      </x:c>
    </x:row>
    <x:row r="319">
      <x:c r="A319" s="9" t="str">
        <x:v>EV-AR-ET-A-A-TECH-1-B2-INT-G0-ST03</x:v>
      </x:c>
      <x:c r="B319" s="9" t="str">
        <x:v>EV-AR-ET-A-A-TECH-1-B2-INT-G0</x:v>
      </x:c>
      <x:c r="C319" s="9" t="str">
        <x:v>EOW-AR-ET-A-A-TECH-1-B2-INT-G0</x:v>
      </x:c>
      <x:c r="D319" s="9" t="str">
        <x:v>AR-ET-A-A-TECH-1-B2-INT-G0</x:v>
      </x:c>
      <x:c r="E319" s="9" t="str">
        <x:v>ET-A-A-TECH-1</x:v>
      </x:c>
      <x:c r="F319" s="9" t="str">
        <x:v>ET-A-A</x:v>
      </x:c>
      <x:c r="G319" s="9" t="str">
        <x:v>B2</x:v>
      </x:c>
      <x:c r="H319" s="9" t="str">
        <x:v>INT</x:v>
      </x:c>
      <x:c r="I319" s="9" t="n">
        <x:v>2</x:v>
      </x:c>
      <x:c r="J319" s="9" t="n">
        <x:v>2</x:v>
      </x:c>
      <x:c r="K319" s="9" t="str">
        <x:v>ET-A-A-N2</x:v>
      </x:c>
      <x:c r="L319" s="9" t="str">
        <x:v>ST03</x:v>
      </x:c>
      <x:c r="M319" s="17" t="str">
        <x:v>Receiver receipt</x:v>
      </x:c>
      <x:c r="N319" s="17" t="str">
        <x:v>denominator, counterfactual, rights and stop receipt remain unchanged</x:v>
      </x:c>
      <x:c r="O319" s="17" t="str">
        <x:v>Receiver authority</x:v>
      </x:c>
      <x:c r="P319" s="9" t="n">
        <x:v>0</x:v>
      </x:c>
      <x:c r="Q319" s="9" t="n">
        <x:v>0</x:v>
      </x:c>
      <x:c r="R319" s="9" t="str">
        <x:v>OPEN / UNSTARTED</x:v>
      </x:c>
      <x:c r="S319" s="9" t="n">
        <x:f>COUNTIFS($A$7:$A$1446,A319)</x:f>
        <x:v>1</x:v>
      </x:c>
    </x:row>
    <x:row r="320">
      <x:c r="A320" s="9" t="str">
        <x:v>EV-AR-ET-A-A-TECH-1-B2-INT-G0-ST04</x:v>
      </x:c>
      <x:c r="B320" s="9" t="str">
        <x:v>EV-AR-ET-A-A-TECH-1-B2-INT-G0</x:v>
      </x:c>
      <x:c r="C320" s="9" t="str">
        <x:v>EOW-AR-ET-A-A-TECH-1-B2-INT-G0</x:v>
      </x:c>
      <x:c r="D320" s="9" t="str">
        <x:v>AR-ET-A-A-TECH-1-B2-INT-G0</x:v>
      </x:c>
      <x:c r="E320" s="9" t="str">
        <x:v>ET-A-A-TECH-1</x:v>
      </x:c>
      <x:c r="F320" s="9" t="str">
        <x:v>ET-A-A</x:v>
      </x:c>
      <x:c r="G320" s="9" t="str">
        <x:v>B2</x:v>
      </x:c>
      <x:c r="H320" s="9" t="str">
        <x:v>INT</x:v>
      </x:c>
      <x:c r="I320" s="9" t="n">
        <x:v>2</x:v>
      </x:c>
      <x:c r="J320" s="9" t="n">
        <x:v>2</x:v>
      </x:c>
      <x:c r="K320" s="9" t="str">
        <x:v>ET-A-A-N2</x:v>
      </x:c>
      <x:c r="L320" s="9" t="str">
        <x:v>ST04</x:v>
      </x:c>
      <x:c r="M320" s="17" t="str">
        <x:v>Primary capture armed</x:v>
      </x:c>
      <x:c r="N320" s="17" t="str">
        <x:v>primary chain records sealed reference and live time</x:v>
      </x:c>
      <x:c r="O320" s="17" t="str">
        <x:v>Primary metrology</x:v>
      </x:c>
      <x:c r="P320" s="9" t="n">
        <x:v>0</x:v>
      </x:c>
      <x:c r="Q320" s="9" t="n">
        <x:v>0</x:v>
      </x:c>
      <x:c r="R320" s="9" t="str">
        <x:v>OPEN / UNSTARTED</x:v>
      </x:c>
      <x:c r="S320" s="9" t="n">
        <x:f>COUNTIFS($A$7:$A$1446,A320)</x:f>
        <x:v>1</x:v>
      </x:c>
    </x:row>
    <x:row r="321">
      <x:c r="A321" s="9" t="str">
        <x:v>EV-AR-ET-A-A-TECH-1-B2-INT-G0-ST05</x:v>
      </x:c>
      <x:c r="B321" s="9" t="str">
        <x:v>EV-AR-ET-A-A-TECH-1-B2-INT-G0</x:v>
      </x:c>
      <x:c r="C321" s="9" t="str">
        <x:v>EOW-AR-ET-A-A-TECH-1-B2-INT-G0</x:v>
      </x:c>
      <x:c r="D321" s="9" t="str">
        <x:v>AR-ET-A-A-TECH-1-B2-INT-G0</x:v>
      </x:c>
      <x:c r="E321" s="9" t="str">
        <x:v>ET-A-A-TECH-1</x:v>
      </x:c>
      <x:c r="F321" s="9" t="str">
        <x:v>ET-A-A</x:v>
      </x:c>
      <x:c r="G321" s="9" t="str">
        <x:v>B2</x:v>
      </x:c>
      <x:c r="H321" s="9" t="str">
        <x:v>INT</x:v>
      </x:c>
      <x:c r="I321" s="9" t="n">
        <x:v>2</x:v>
      </x:c>
      <x:c r="J321" s="9" t="n">
        <x:v>2</x:v>
      </x:c>
      <x:c r="K321" s="9" t="str">
        <x:v>ET-A-A-N2</x:v>
      </x:c>
      <x:c r="L321" s="9" t="str">
        <x:v>ST05</x:v>
      </x:c>
      <x:c r="M321" s="17" t="str">
        <x:v>Witness capture armed</x:v>
      </x:c>
      <x:c r="N321" s="17" t="str">
        <x:v>unlike witness records independent reference and live time</x:v>
      </x:c>
      <x:c r="O321" s="17" t="str">
        <x:v>Witness metrology</x:v>
      </x:c>
      <x:c r="P321" s="9" t="n">
        <x:v>0</x:v>
      </x:c>
      <x:c r="Q321" s="9" t="n">
        <x:v>0</x:v>
      </x:c>
      <x:c r="R321" s="9" t="str">
        <x:v>OPEN / UNSTARTED</x:v>
      </x:c>
      <x:c r="S321" s="9" t="n">
        <x:f>COUNTIFS($A$7:$A$1446,A321)</x:f>
        <x:v>1</x:v>
      </x:c>
    </x:row>
    <x:row r="322">
      <x:c r="A322" s="9" t="str">
        <x:v>EV-AR-ET-A-A-TECH-1-B2-INT-G0-ST06</x:v>
      </x:c>
      <x:c r="B322" s="9" t="str">
        <x:v>EV-AR-ET-A-A-TECH-1-B2-INT-G0</x:v>
      </x:c>
      <x:c r="C322" s="9" t="str">
        <x:v>EOW-AR-ET-A-A-TECH-1-B2-INT-G0</x:v>
      </x:c>
      <x:c r="D322" s="9" t="str">
        <x:v>AR-ET-A-A-TECH-1-B2-INT-G0</x:v>
      </x:c>
      <x:c r="E322" s="9" t="str">
        <x:v>ET-A-A-TECH-1</x:v>
      </x:c>
      <x:c r="F322" s="9" t="str">
        <x:v>ET-A-A</x:v>
      </x:c>
      <x:c r="G322" s="9" t="str">
        <x:v>B2</x:v>
      </x:c>
      <x:c r="H322" s="9" t="str">
        <x:v>INT</x:v>
      </x:c>
      <x:c r="I322" s="9" t="n">
        <x:v>2</x:v>
      </x:c>
      <x:c r="J322" s="9" t="n">
        <x:v>2</x:v>
      </x:c>
      <x:c r="K322" s="9" t="str">
        <x:v>ET-A-A-N2</x:v>
      </x:c>
      <x:c r="L322" s="9" t="str">
        <x:v>ST06</x:v>
      </x:c>
      <x:c r="M322" s="17" t="str">
        <x:v>Public custody armed</x:v>
      </x:c>
      <x:c r="N322" s="17" t="str">
        <x:v>eight raw origins have separated hash and replica routes</x:v>
      </x:c>
      <x:c r="O322" s="17" t="str">
        <x:v>Custody authority</x:v>
      </x:c>
      <x:c r="P322" s="9" t="n">
        <x:v>0</x:v>
      </x:c>
      <x:c r="Q322" s="9" t="n">
        <x:v>0</x:v>
      </x:c>
      <x:c r="R322" s="9" t="str">
        <x:v>OPEN / UNSTARTED</x:v>
      </x:c>
      <x:c r="S322" s="9" t="n">
        <x:f>COUNTIFS($A$7:$A$1446,A322)</x:f>
        <x:v>1</x:v>
      </x:c>
    </x:row>
    <x:row r="323">
      <x:c r="A323" s="9" t="str">
        <x:v>EV-AR-ET-A-A-TECH-1-B2-INT-G0-ST07</x:v>
      </x:c>
      <x:c r="B323" s="9" t="str">
        <x:v>EV-AR-ET-A-A-TECH-1-B2-INT-G0</x:v>
      </x:c>
      <x:c r="C323" s="9" t="str">
        <x:v>EOW-AR-ET-A-A-TECH-1-B2-INT-G0</x:v>
      </x:c>
      <x:c r="D323" s="9" t="str">
        <x:v>AR-ET-A-A-TECH-1-B2-INT-G0</x:v>
      </x:c>
      <x:c r="E323" s="9" t="str">
        <x:v>ET-A-A-TECH-1</x:v>
      </x:c>
      <x:c r="F323" s="9" t="str">
        <x:v>ET-A-A</x:v>
      </x:c>
      <x:c r="G323" s="9" t="str">
        <x:v>B2</x:v>
      </x:c>
      <x:c r="H323" s="9" t="str">
        <x:v>INT</x:v>
      </x:c>
      <x:c r="I323" s="9" t="n">
        <x:v>2</x:v>
      </x:c>
      <x:c r="J323" s="9" t="n">
        <x:v>2</x:v>
      </x:c>
      <x:c r="K323" s="9" t="str">
        <x:v>ET-A-A-N2</x:v>
      </x:c>
      <x:c r="L323" s="9" t="str">
        <x:v>ST07</x:v>
      </x:c>
      <x:c r="M323" s="17" t="str">
        <x:v>Environmental baseline</x:v>
      </x:c>
      <x:c r="N323" s="17" t="str">
        <x:v>pre-event boundary state is sealed before decisive operation</x:v>
      </x:c>
      <x:c r="O323" s="17" t="str">
        <x:v>Site metrology</x:v>
      </x:c>
      <x:c r="P323" s="9" t="n">
        <x:v>0</x:v>
      </x:c>
      <x:c r="Q323" s="9" t="n">
        <x:v>0</x:v>
      </x:c>
      <x:c r="R323" s="9" t="str">
        <x:v>OPEN / UNSTARTED</x:v>
      </x:c>
      <x:c r="S323" s="9" t="n">
        <x:f>COUNTIFS($A$7:$A$1446,A323)</x:f>
        <x:v>1</x:v>
      </x:c>
    </x:row>
    <x:row r="324">
      <x:c r="A324" s="9" t="str">
        <x:v>EV-AR-ET-A-A-TECH-1-B2-INT-G0-ST08</x:v>
      </x:c>
      <x:c r="B324" s="9" t="str">
        <x:v>EV-AR-ET-A-A-TECH-1-B2-INT-G0</x:v>
      </x:c>
      <x:c r="C324" s="9" t="str">
        <x:v>EOW-AR-ET-A-A-TECH-1-B2-INT-G0</x:v>
      </x:c>
      <x:c r="D324" s="9" t="str">
        <x:v>AR-ET-A-A-TECH-1-B2-INT-G0</x:v>
      </x:c>
      <x:c r="E324" s="9" t="str">
        <x:v>ET-A-A-TECH-1</x:v>
      </x:c>
      <x:c r="F324" s="9" t="str">
        <x:v>ET-A-A</x:v>
      </x:c>
      <x:c r="G324" s="9" t="str">
        <x:v>B2</x:v>
      </x:c>
      <x:c r="H324" s="9" t="str">
        <x:v>INT</x:v>
      </x:c>
      <x:c r="I324" s="9" t="n">
        <x:v>2</x:v>
      </x:c>
      <x:c r="J324" s="9" t="n">
        <x:v>2</x:v>
      </x:c>
      <x:c r="K324" s="9" t="str">
        <x:v>ET-A-A-N2</x:v>
      </x:c>
      <x:c r="L324" s="9" t="str">
        <x:v>ST08</x:v>
      </x:c>
      <x:c r="M324" s="17" t="str">
        <x:v>Manual stop and safety</x:v>
      </x:c>
      <x:c r="N324" s="17" t="str">
        <x:v>local stop, evacuation and protection routes are active</x:v>
      </x:c>
      <x:c r="O324" s="17" t="str">
        <x:v>Safety authority</x:v>
      </x:c>
      <x:c r="P324" s="9" t="n">
        <x:v>0</x:v>
      </x:c>
      <x:c r="Q324" s="9" t="n">
        <x:v>0</x:v>
      </x:c>
      <x:c r="R324" s="9" t="str">
        <x:v>OPEN / UNSTARTED</x:v>
      </x:c>
      <x:c r="S324" s="9" t="n">
        <x:f>COUNTIFS($A$7:$A$1446,A324)</x:f>
        <x:v>1</x:v>
      </x:c>
    </x:row>
    <x:row r="325">
      <x:c r="A325" s="9" t="str">
        <x:v>EV-AR-ET-A-A-TECH-1-B2-INT-G0-ST09</x:v>
      </x:c>
      <x:c r="B325" s="9" t="str">
        <x:v>EV-AR-ET-A-A-TECH-1-B2-INT-G0</x:v>
      </x:c>
      <x:c r="C325" s="9" t="str">
        <x:v>EOW-AR-ET-A-A-TECH-1-B2-INT-G0</x:v>
      </x:c>
      <x:c r="D325" s="9" t="str">
        <x:v>AR-ET-A-A-TECH-1-B2-INT-G0</x:v>
      </x:c>
      <x:c r="E325" s="9" t="str">
        <x:v>ET-A-A-TECH-1</x:v>
      </x:c>
      <x:c r="F325" s="9" t="str">
        <x:v>ET-A-A</x:v>
      </x:c>
      <x:c r="G325" s="9" t="str">
        <x:v>B2</x:v>
      </x:c>
      <x:c r="H325" s="9" t="str">
        <x:v>INT</x:v>
      </x:c>
      <x:c r="I325" s="9" t="n">
        <x:v>2</x:v>
      </x:c>
      <x:c r="J325" s="9" t="n">
        <x:v>2</x:v>
      </x:c>
      <x:c r="K325" s="9" t="str">
        <x:v>ET-A-A-N2</x:v>
      </x:c>
      <x:c r="L325" s="9" t="str">
        <x:v>ST09</x:v>
      </x:c>
      <x:c r="M325" s="17" t="str">
        <x:v>Operator conflict clear</x:v>
      </x:c>
      <x:c r="N325" s="17" t="str">
        <x:v>candidate, fixture, safety and measurement control edges remain separated</x:v>
      </x:c>
      <x:c r="O325" s="17" t="str">
        <x:v>Conflict registrar</x:v>
      </x:c>
      <x:c r="P325" s="9" t="n">
        <x:v>0</x:v>
      </x:c>
      <x:c r="Q325" s="9" t="n">
        <x:v>0</x:v>
      </x:c>
      <x:c r="R325" s="9" t="str">
        <x:v>OPEN / UNSTARTED</x:v>
      </x:c>
      <x:c r="S325" s="9" t="n">
        <x:f>COUNTIFS($A$7:$A$1446,A325)</x:f>
        <x:v>1</x:v>
      </x:c>
    </x:row>
    <x:row r="326">
      <x:c r="A326" s="9" t="str">
        <x:v>EV-AR-ET-A-A-TECH-1-B2-INT-G0-ST10</x:v>
      </x:c>
      <x:c r="B326" s="9" t="str">
        <x:v>EV-AR-ET-A-A-TECH-1-B2-INT-G0</x:v>
      </x:c>
      <x:c r="C326" s="9" t="str">
        <x:v>EOW-AR-ET-A-A-TECH-1-B2-INT-G0</x:v>
      </x:c>
      <x:c r="D326" s="9" t="str">
        <x:v>AR-ET-A-A-TECH-1-B2-INT-G0</x:v>
      </x:c>
      <x:c r="E326" s="9" t="str">
        <x:v>ET-A-A-TECH-1</x:v>
      </x:c>
      <x:c r="F326" s="9" t="str">
        <x:v>ET-A-A</x:v>
      </x:c>
      <x:c r="G326" s="9" t="str">
        <x:v>B2</x:v>
      </x:c>
      <x:c r="H326" s="9" t="str">
        <x:v>INT</x:v>
      </x:c>
      <x:c r="I326" s="9" t="n">
        <x:v>2</x:v>
      </x:c>
      <x:c r="J326" s="9" t="n">
        <x:v>2</x:v>
      </x:c>
      <x:c r="K326" s="9" t="str">
        <x:v>ET-A-A-N2</x:v>
      </x:c>
      <x:c r="L326" s="9" t="str">
        <x:v>ST10</x:v>
      </x:c>
      <x:c r="M326" s="17" t="str">
        <x:v>Window and common clock</x:v>
      </x:c>
      <x:c r="N326" s="17" t="str">
        <x:v>epoch, window and public time origin match the issued warrant</x:v>
      </x:c>
      <x:c r="O326" s="17" t="str">
        <x:v>Event clock authority</x:v>
      </x:c>
      <x:c r="P326" s="9" t="n">
        <x:v>0</x:v>
      </x:c>
      <x:c r="Q326" s="9" t="n">
        <x:v>0</x:v>
      </x:c>
      <x:c r="R326" s="9" t="str">
        <x:v>OPEN / UNSTARTED</x:v>
      </x:c>
      <x:c r="S326" s="9" t="n">
        <x:f>COUNTIFS($A$7:$A$1446,A326)</x:f>
        <x:v>1</x:v>
      </x:c>
    </x:row>
    <x:row r="327">
      <x:c r="A327" s="9" t="str">
        <x:v>EV-AR-HU-A-B-TECH-1-B2-BRK-G0-ST01</x:v>
      </x:c>
      <x:c r="B327" s="9" t="str">
        <x:v>EV-AR-HU-A-B-TECH-1-B2-BRK-G0</x:v>
      </x:c>
      <x:c r="C327" s="9" t="str">
        <x:v>EOW-AR-HU-A-B-TECH-1-B2-BRK-G0</x:v>
      </x:c>
      <x:c r="D327" s="9" t="str">
        <x:v>AR-HU-A-B-TECH-1-B2-BRK-G0</x:v>
      </x:c>
      <x:c r="E327" s="9" t="str">
        <x:v>HU-A-B-TECH-1</x:v>
      </x:c>
      <x:c r="F327" s="9" t="str">
        <x:v>HU-A-B</x:v>
      </x:c>
      <x:c r="G327" s="9" t="str">
        <x:v>B2</x:v>
      </x:c>
      <x:c r="H327" s="9" t="str">
        <x:v>BRK</x:v>
      </x:c>
      <x:c r="I327" s="9" t="n">
        <x:v>2</x:v>
      </x:c>
      <x:c r="J327" s="9" t="n">
        <x:v>2</x:v>
      </x:c>
      <x:c r="K327" s="9" t="str">
        <x:v>HU-A-B-N1</x:v>
      </x:c>
      <x:c r="L327" s="9" t="str">
        <x:v>ST01</x:v>
      </x:c>
      <x:c r="M327" s="17" t="str">
        <x:v>Active opportunity warrant</x:v>
      </x:c>
      <x:c r="N327" s="17" t="str">
        <x:v>configuration-bound EOW is within its thirty-six-hour validity</x:v>
      </x:c>
      <x:c r="O327" s="17" t="str">
        <x:v>Start registrar</x:v>
      </x:c>
      <x:c r="P327" s="9" t="n">
        <x:v>0</x:v>
      </x:c>
      <x:c r="Q327" s="9" t="n">
        <x:v>0</x:v>
      </x:c>
      <x:c r="R327" s="9" t="str">
        <x:v>OPEN / UNSTARTED</x:v>
      </x:c>
      <x:c r="S327" s="9" t="n">
        <x:f>COUNTIFS($A$7:$A$1446,A327)</x:f>
        <x:v>1</x:v>
      </x:c>
    </x:row>
    <x:row r="328">
      <x:c r="A328" s="9" t="str">
        <x:v>EV-AR-HU-A-B-TECH-1-B2-BRK-G0-ST02</x:v>
      </x:c>
      <x:c r="B328" s="9" t="str">
        <x:v>EV-AR-HU-A-B-TECH-1-B2-BRK-G0</x:v>
      </x:c>
      <x:c r="C328" s="9" t="str">
        <x:v>EOW-AR-HU-A-B-TECH-1-B2-BRK-G0</x:v>
      </x:c>
      <x:c r="D328" s="9" t="str">
        <x:v>AR-HU-A-B-TECH-1-B2-BRK-G0</x:v>
      </x:c>
      <x:c r="E328" s="9" t="str">
        <x:v>HU-A-B-TECH-1</x:v>
      </x:c>
      <x:c r="F328" s="9" t="str">
        <x:v>HU-A-B</x:v>
      </x:c>
      <x:c r="G328" s="9" t="str">
        <x:v>B2</x:v>
      </x:c>
      <x:c r="H328" s="9" t="str">
        <x:v>BRK</x:v>
      </x:c>
      <x:c r="I328" s="9" t="n">
        <x:v>2</x:v>
      </x:c>
      <x:c r="J328" s="9" t="n">
        <x:v>2</x:v>
      </x:c>
      <x:c r="K328" s="9" t="str">
        <x:v>HU-A-B-N1</x:v>
      </x:c>
      <x:c r="L328" s="9" t="str">
        <x:v>ST02</x:v>
      </x:c>
      <x:c r="M328" s="17" t="str">
        <x:v>Frozen identity</x:v>
      </x:c>
      <x:c r="N328" s="17" t="str">
        <x:v>serial, generation, fixture, site, receiver and digest match the warrant</x:v>
      </x:c>
      <x:c r="O328" s="17" t="str">
        <x:v>Custody authority</x:v>
      </x:c>
      <x:c r="P328" s="9" t="n">
        <x:v>0</x:v>
      </x:c>
      <x:c r="Q328" s="9" t="n">
        <x:v>0</x:v>
      </x:c>
      <x:c r="R328" s="9" t="str">
        <x:v>OPEN / UNSTARTED</x:v>
      </x:c>
      <x:c r="S328" s="9" t="n">
        <x:f>COUNTIFS($A$7:$A$1446,A328)</x:f>
        <x:v>1</x:v>
      </x:c>
    </x:row>
    <x:row r="329">
      <x:c r="A329" s="9" t="str">
        <x:v>EV-AR-HU-A-B-TECH-1-B2-BRK-G0-ST03</x:v>
      </x:c>
      <x:c r="B329" s="9" t="str">
        <x:v>EV-AR-HU-A-B-TECH-1-B2-BRK-G0</x:v>
      </x:c>
      <x:c r="C329" s="9" t="str">
        <x:v>EOW-AR-HU-A-B-TECH-1-B2-BRK-G0</x:v>
      </x:c>
      <x:c r="D329" s="9" t="str">
        <x:v>AR-HU-A-B-TECH-1-B2-BRK-G0</x:v>
      </x:c>
      <x:c r="E329" s="9" t="str">
        <x:v>HU-A-B-TECH-1</x:v>
      </x:c>
      <x:c r="F329" s="9" t="str">
        <x:v>HU-A-B</x:v>
      </x:c>
      <x:c r="G329" s="9" t="str">
        <x:v>B2</x:v>
      </x:c>
      <x:c r="H329" s="9" t="str">
        <x:v>BRK</x:v>
      </x:c>
      <x:c r="I329" s="9" t="n">
        <x:v>2</x:v>
      </x:c>
      <x:c r="J329" s="9" t="n">
        <x:v>2</x:v>
      </x:c>
      <x:c r="K329" s="9" t="str">
        <x:v>HU-A-B-N1</x:v>
      </x:c>
      <x:c r="L329" s="9" t="str">
        <x:v>ST03</x:v>
      </x:c>
      <x:c r="M329" s="17" t="str">
        <x:v>Receiver receipt</x:v>
      </x:c>
      <x:c r="N329" s="17" t="str">
        <x:v>denominator, counterfactual, rights and stop receipt remain unchanged</x:v>
      </x:c>
      <x:c r="O329" s="17" t="str">
        <x:v>Receiver authority</x:v>
      </x:c>
      <x:c r="P329" s="9" t="n">
        <x:v>0</x:v>
      </x:c>
      <x:c r="Q329" s="9" t="n">
        <x:v>0</x:v>
      </x:c>
      <x:c r="R329" s="9" t="str">
        <x:v>OPEN / UNSTARTED</x:v>
      </x:c>
      <x:c r="S329" s="9" t="n">
        <x:f>COUNTIFS($A$7:$A$1446,A329)</x:f>
        <x:v>1</x:v>
      </x:c>
    </x:row>
    <x:row r="330">
      <x:c r="A330" s="9" t="str">
        <x:v>EV-AR-HU-A-B-TECH-1-B2-BRK-G0-ST04</x:v>
      </x:c>
      <x:c r="B330" s="9" t="str">
        <x:v>EV-AR-HU-A-B-TECH-1-B2-BRK-G0</x:v>
      </x:c>
      <x:c r="C330" s="9" t="str">
        <x:v>EOW-AR-HU-A-B-TECH-1-B2-BRK-G0</x:v>
      </x:c>
      <x:c r="D330" s="9" t="str">
        <x:v>AR-HU-A-B-TECH-1-B2-BRK-G0</x:v>
      </x:c>
      <x:c r="E330" s="9" t="str">
        <x:v>HU-A-B-TECH-1</x:v>
      </x:c>
      <x:c r="F330" s="9" t="str">
        <x:v>HU-A-B</x:v>
      </x:c>
      <x:c r="G330" s="9" t="str">
        <x:v>B2</x:v>
      </x:c>
      <x:c r="H330" s="9" t="str">
        <x:v>BRK</x:v>
      </x:c>
      <x:c r="I330" s="9" t="n">
        <x:v>2</x:v>
      </x:c>
      <x:c r="J330" s="9" t="n">
        <x:v>2</x:v>
      </x:c>
      <x:c r="K330" s="9" t="str">
        <x:v>HU-A-B-N1</x:v>
      </x:c>
      <x:c r="L330" s="9" t="str">
        <x:v>ST04</x:v>
      </x:c>
      <x:c r="M330" s="17" t="str">
        <x:v>Primary capture armed</x:v>
      </x:c>
      <x:c r="N330" s="17" t="str">
        <x:v>primary chain records sealed reference and live time</x:v>
      </x:c>
      <x:c r="O330" s="17" t="str">
        <x:v>Primary metrology</x:v>
      </x:c>
      <x:c r="P330" s="9" t="n">
        <x:v>0</x:v>
      </x:c>
      <x:c r="Q330" s="9" t="n">
        <x:v>0</x:v>
      </x:c>
      <x:c r="R330" s="9" t="str">
        <x:v>OPEN / UNSTARTED</x:v>
      </x:c>
      <x:c r="S330" s="9" t="n">
        <x:f>COUNTIFS($A$7:$A$1446,A330)</x:f>
        <x:v>1</x:v>
      </x:c>
    </x:row>
    <x:row r="331">
      <x:c r="A331" s="9" t="str">
        <x:v>EV-AR-HU-A-B-TECH-1-B2-BRK-G0-ST05</x:v>
      </x:c>
      <x:c r="B331" s="9" t="str">
        <x:v>EV-AR-HU-A-B-TECH-1-B2-BRK-G0</x:v>
      </x:c>
      <x:c r="C331" s="9" t="str">
        <x:v>EOW-AR-HU-A-B-TECH-1-B2-BRK-G0</x:v>
      </x:c>
      <x:c r="D331" s="9" t="str">
        <x:v>AR-HU-A-B-TECH-1-B2-BRK-G0</x:v>
      </x:c>
      <x:c r="E331" s="9" t="str">
        <x:v>HU-A-B-TECH-1</x:v>
      </x:c>
      <x:c r="F331" s="9" t="str">
        <x:v>HU-A-B</x:v>
      </x:c>
      <x:c r="G331" s="9" t="str">
        <x:v>B2</x:v>
      </x:c>
      <x:c r="H331" s="9" t="str">
        <x:v>BRK</x:v>
      </x:c>
      <x:c r="I331" s="9" t="n">
        <x:v>2</x:v>
      </x:c>
      <x:c r="J331" s="9" t="n">
        <x:v>2</x:v>
      </x:c>
      <x:c r="K331" s="9" t="str">
        <x:v>HU-A-B-N1</x:v>
      </x:c>
      <x:c r="L331" s="9" t="str">
        <x:v>ST05</x:v>
      </x:c>
      <x:c r="M331" s="17" t="str">
        <x:v>Witness capture armed</x:v>
      </x:c>
      <x:c r="N331" s="17" t="str">
        <x:v>unlike witness records independent reference and live time</x:v>
      </x:c>
      <x:c r="O331" s="17" t="str">
        <x:v>Witness metrology</x:v>
      </x:c>
      <x:c r="P331" s="9" t="n">
        <x:v>0</x:v>
      </x:c>
      <x:c r="Q331" s="9" t="n">
        <x:v>0</x:v>
      </x:c>
      <x:c r="R331" s="9" t="str">
        <x:v>OPEN / UNSTARTED</x:v>
      </x:c>
      <x:c r="S331" s="9" t="n">
        <x:f>COUNTIFS($A$7:$A$1446,A331)</x:f>
        <x:v>1</x:v>
      </x:c>
    </x:row>
    <x:row r="332">
      <x:c r="A332" s="9" t="str">
        <x:v>EV-AR-HU-A-B-TECH-1-B2-BRK-G0-ST06</x:v>
      </x:c>
      <x:c r="B332" s="9" t="str">
        <x:v>EV-AR-HU-A-B-TECH-1-B2-BRK-G0</x:v>
      </x:c>
      <x:c r="C332" s="9" t="str">
        <x:v>EOW-AR-HU-A-B-TECH-1-B2-BRK-G0</x:v>
      </x:c>
      <x:c r="D332" s="9" t="str">
        <x:v>AR-HU-A-B-TECH-1-B2-BRK-G0</x:v>
      </x:c>
      <x:c r="E332" s="9" t="str">
        <x:v>HU-A-B-TECH-1</x:v>
      </x:c>
      <x:c r="F332" s="9" t="str">
        <x:v>HU-A-B</x:v>
      </x:c>
      <x:c r="G332" s="9" t="str">
        <x:v>B2</x:v>
      </x:c>
      <x:c r="H332" s="9" t="str">
        <x:v>BRK</x:v>
      </x:c>
      <x:c r="I332" s="9" t="n">
        <x:v>2</x:v>
      </x:c>
      <x:c r="J332" s="9" t="n">
        <x:v>2</x:v>
      </x:c>
      <x:c r="K332" s="9" t="str">
        <x:v>HU-A-B-N1</x:v>
      </x:c>
      <x:c r="L332" s="9" t="str">
        <x:v>ST06</x:v>
      </x:c>
      <x:c r="M332" s="17" t="str">
        <x:v>Public custody armed</x:v>
      </x:c>
      <x:c r="N332" s="17" t="str">
        <x:v>eight raw origins have separated hash and replica routes</x:v>
      </x:c>
      <x:c r="O332" s="17" t="str">
        <x:v>Custody authority</x:v>
      </x:c>
      <x:c r="P332" s="9" t="n">
        <x:v>0</x:v>
      </x:c>
      <x:c r="Q332" s="9" t="n">
        <x:v>0</x:v>
      </x:c>
      <x:c r="R332" s="9" t="str">
        <x:v>OPEN / UNSTARTED</x:v>
      </x:c>
      <x:c r="S332" s="9" t="n">
        <x:f>COUNTIFS($A$7:$A$1446,A332)</x:f>
        <x:v>1</x:v>
      </x:c>
    </x:row>
    <x:row r="333">
      <x:c r="A333" s="9" t="str">
        <x:v>EV-AR-HU-A-B-TECH-1-B2-BRK-G0-ST07</x:v>
      </x:c>
      <x:c r="B333" s="9" t="str">
        <x:v>EV-AR-HU-A-B-TECH-1-B2-BRK-G0</x:v>
      </x:c>
      <x:c r="C333" s="9" t="str">
        <x:v>EOW-AR-HU-A-B-TECH-1-B2-BRK-G0</x:v>
      </x:c>
      <x:c r="D333" s="9" t="str">
        <x:v>AR-HU-A-B-TECH-1-B2-BRK-G0</x:v>
      </x:c>
      <x:c r="E333" s="9" t="str">
        <x:v>HU-A-B-TECH-1</x:v>
      </x:c>
      <x:c r="F333" s="9" t="str">
        <x:v>HU-A-B</x:v>
      </x:c>
      <x:c r="G333" s="9" t="str">
        <x:v>B2</x:v>
      </x:c>
      <x:c r="H333" s="9" t="str">
        <x:v>BRK</x:v>
      </x:c>
      <x:c r="I333" s="9" t="n">
        <x:v>2</x:v>
      </x:c>
      <x:c r="J333" s="9" t="n">
        <x:v>2</x:v>
      </x:c>
      <x:c r="K333" s="9" t="str">
        <x:v>HU-A-B-N1</x:v>
      </x:c>
      <x:c r="L333" s="9" t="str">
        <x:v>ST07</x:v>
      </x:c>
      <x:c r="M333" s="17" t="str">
        <x:v>Environmental baseline</x:v>
      </x:c>
      <x:c r="N333" s="17" t="str">
        <x:v>pre-event boundary state is sealed before decisive operation</x:v>
      </x:c>
      <x:c r="O333" s="17" t="str">
        <x:v>Site metrology</x:v>
      </x:c>
      <x:c r="P333" s="9" t="n">
        <x:v>0</x:v>
      </x:c>
      <x:c r="Q333" s="9" t="n">
        <x:v>0</x:v>
      </x:c>
      <x:c r="R333" s="9" t="str">
        <x:v>OPEN / UNSTARTED</x:v>
      </x:c>
      <x:c r="S333" s="9" t="n">
        <x:f>COUNTIFS($A$7:$A$1446,A333)</x:f>
        <x:v>1</x:v>
      </x:c>
    </x:row>
    <x:row r="334">
      <x:c r="A334" s="9" t="str">
        <x:v>EV-AR-HU-A-B-TECH-1-B2-BRK-G0-ST08</x:v>
      </x:c>
      <x:c r="B334" s="9" t="str">
        <x:v>EV-AR-HU-A-B-TECH-1-B2-BRK-G0</x:v>
      </x:c>
      <x:c r="C334" s="9" t="str">
        <x:v>EOW-AR-HU-A-B-TECH-1-B2-BRK-G0</x:v>
      </x:c>
      <x:c r="D334" s="9" t="str">
        <x:v>AR-HU-A-B-TECH-1-B2-BRK-G0</x:v>
      </x:c>
      <x:c r="E334" s="9" t="str">
        <x:v>HU-A-B-TECH-1</x:v>
      </x:c>
      <x:c r="F334" s="9" t="str">
        <x:v>HU-A-B</x:v>
      </x:c>
      <x:c r="G334" s="9" t="str">
        <x:v>B2</x:v>
      </x:c>
      <x:c r="H334" s="9" t="str">
        <x:v>BRK</x:v>
      </x:c>
      <x:c r="I334" s="9" t="n">
        <x:v>2</x:v>
      </x:c>
      <x:c r="J334" s="9" t="n">
        <x:v>2</x:v>
      </x:c>
      <x:c r="K334" s="9" t="str">
        <x:v>HU-A-B-N1</x:v>
      </x:c>
      <x:c r="L334" s="9" t="str">
        <x:v>ST08</x:v>
      </x:c>
      <x:c r="M334" s="17" t="str">
        <x:v>Manual stop and safety</x:v>
      </x:c>
      <x:c r="N334" s="17" t="str">
        <x:v>local stop, evacuation and protection routes are active</x:v>
      </x:c>
      <x:c r="O334" s="17" t="str">
        <x:v>Safety authority</x:v>
      </x:c>
      <x:c r="P334" s="9" t="n">
        <x:v>0</x:v>
      </x:c>
      <x:c r="Q334" s="9" t="n">
        <x:v>0</x:v>
      </x:c>
      <x:c r="R334" s="9" t="str">
        <x:v>OPEN / UNSTARTED</x:v>
      </x:c>
      <x:c r="S334" s="9" t="n">
        <x:f>COUNTIFS($A$7:$A$1446,A334)</x:f>
        <x:v>1</x:v>
      </x:c>
    </x:row>
    <x:row r="335">
      <x:c r="A335" s="9" t="str">
        <x:v>EV-AR-HU-A-B-TECH-1-B2-BRK-G0-ST09</x:v>
      </x:c>
      <x:c r="B335" s="9" t="str">
        <x:v>EV-AR-HU-A-B-TECH-1-B2-BRK-G0</x:v>
      </x:c>
      <x:c r="C335" s="9" t="str">
        <x:v>EOW-AR-HU-A-B-TECH-1-B2-BRK-G0</x:v>
      </x:c>
      <x:c r="D335" s="9" t="str">
        <x:v>AR-HU-A-B-TECH-1-B2-BRK-G0</x:v>
      </x:c>
      <x:c r="E335" s="9" t="str">
        <x:v>HU-A-B-TECH-1</x:v>
      </x:c>
      <x:c r="F335" s="9" t="str">
        <x:v>HU-A-B</x:v>
      </x:c>
      <x:c r="G335" s="9" t="str">
        <x:v>B2</x:v>
      </x:c>
      <x:c r="H335" s="9" t="str">
        <x:v>BRK</x:v>
      </x:c>
      <x:c r="I335" s="9" t="n">
        <x:v>2</x:v>
      </x:c>
      <x:c r="J335" s="9" t="n">
        <x:v>2</x:v>
      </x:c>
      <x:c r="K335" s="9" t="str">
        <x:v>HU-A-B-N1</x:v>
      </x:c>
      <x:c r="L335" s="9" t="str">
        <x:v>ST09</x:v>
      </x:c>
      <x:c r="M335" s="17" t="str">
        <x:v>Operator conflict clear</x:v>
      </x:c>
      <x:c r="N335" s="17" t="str">
        <x:v>candidate, fixture, safety and measurement control edges remain separated</x:v>
      </x:c>
      <x:c r="O335" s="17" t="str">
        <x:v>Conflict registrar</x:v>
      </x:c>
      <x:c r="P335" s="9" t="n">
        <x:v>0</x:v>
      </x:c>
      <x:c r="Q335" s="9" t="n">
        <x:v>0</x:v>
      </x:c>
      <x:c r="R335" s="9" t="str">
        <x:v>OPEN / UNSTARTED</x:v>
      </x:c>
      <x:c r="S335" s="9" t="n">
        <x:f>COUNTIFS($A$7:$A$1446,A335)</x:f>
        <x:v>1</x:v>
      </x:c>
    </x:row>
    <x:row r="336">
      <x:c r="A336" s="9" t="str">
        <x:v>EV-AR-HU-A-B-TECH-1-B2-BRK-G0-ST10</x:v>
      </x:c>
      <x:c r="B336" s="9" t="str">
        <x:v>EV-AR-HU-A-B-TECH-1-B2-BRK-G0</x:v>
      </x:c>
      <x:c r="C336" s="9" t="str">
        <x:v>EOW-AR-HU-A-B-TECH-1-B2-BRK-G0</x:v>
      </x:c>
      <x:c r="D336" s="9" t="str">
        <x:v>AR-HU-A-B-TECH-1-B2-BRK-G0</x:v>
      </x:c>
      <x:c r="E336" s="9" t="str">
        <x:v>HU-A-B-TECH-1</x:v>
      </x:c>
      <x:c r="F336" s="9" t="str">
        <x:v>HU-A-B</x:v>
      </x:c>
      <x:c r="G336" s="9" t="str">
        <x:v>B2</x:v>
      </x:c>
      <x:c r="H336" s="9" t="str">
        <x:v>BRK</x:v>
      </x:c>
      <x:c r="I336" s="9" t="n">
        <x:v>2</x:v>
      </x:c>
      <x:c r="J336" s="9" t="n">
        <x:v>2</x:v>
      </x:c>
      <x:c r="K336" s="9" t="str">
        <x:v>HU-A-B-N1</x:v>
      </x:c>
      <x:c r="L336" s="9" t="str">
        <x:v>ST10</x:v>
      </x:c>
      <x:c r="M336" s="17" t="str">
        <x:v>Window and common clock</x:v>
      </x:c>
      <x:c r="N336" s="17" t="str">
        <x:v>epoch, window and public time origin match the issued warrant</x:v>
      </x:c>
      <x:c r="O336" s="17" t="str">
        <x:v>Event clock authority</x:v>
      </x:c>
      <x:c r="P336" s="9" t="n">
        <x:v>0</x:v>
      </x:c>
      <x:c r="Q336" s="9" t="n">
        <x:v>0</x:v>
      </x:c>
      <x:c r="R336" s="9" t="str">
        <x:v>OPEN / UNSTARTED</x:v>
      </x:c>
      <x:c r="S336" s="9" t="n">
        <x:f>COUNTIFS($A$7:$A$1446,A336)</x:f>
        <x:v>1</x:v>
      </x:c>
    </x:row>
    <x:row r="337">
      <x:c r="A337" s="9" t="str">
        <x:v>EV-AR-LF-B-A-TECH-3-B1-BRK-G0-ST01</x:v>
      </x:c>
      <x:c r="B337" s="9" t="str">
        <x:v>EV-AR-LF-B-A-TECH-3-B1-BRK-G0</x:v>
      </x:c>
      <x:c r="C337" s="9" t="str">
        <x:v>EOW-AR-LF-B-A-TECH-3-B1-BRK-G0</x:v>
      </x:c>
      <x:c r="D337" s="9" t="str">
        <x:v>AR-LF-B-A-TECH-3-B1-BRK-G0</x:v>
      </x:c>
      <x:c r="E337" s="9" t="str">
        <x:v>LF-B-A-TECH-3</x:v>
      </x:c>
      <x:c r="F337" s="9" t="str">
        <x:v>LF-B-A</x:v>
      </x:c>
      <x:c r="G337" s="9" t="str">
        <x:v>B1</x:v>
      </x:c>
      <x:c r="H337" s="9" t="str">
        <x:v>BRK</x:v>
      </x:c>
      <x:c r="I337" s="9" t="n">
        <x:v>2</x:v>
      </x:c>
      <x:c r="J337" s="9" t="n">
        <x:v>2</x:v>
      </x:c>
      <x:c r="K337" s="9" t="str">
        <x:v>LF-B-A-N1</x:v>
      </x:c>
      <x:c r="L337" s="9" t="str">
        <x:v>ST01</x:v>
      </x:c>
      <x:c r="M337" s="17" t="str">
        <x:v>Active opportunity warrant</x:v>
      </x:c>
      <x:c r="N337" s="17" t="str">
        <x:v>configuration-bound EOW is within its thirty-six-hour validity</x:v>
      </x:c>
      <x:c r="O337" s="17" t="str">
        <x:v>Start registrar</x:v>
      </x:c>
      <x:c r="P337" s="9" t="n">
        <x:v>0</x:v>
      </x:c>
      <x:c r="Q337" s="9" t="n">
        <x:v>0</x:v>
      </x:c>
      <x:c r="R337" s="9" t="str">
        <x:v>OPEN / UNSTARTED</x:v>
      </x:c>
      <x:c r="S337" s="9" t="n">
        <x:f>COUNTIFS($A$7:$A$1446,A337)</x:f>
        <x:v>1</x:v>
      </x:c>
    </x:row>
    <x:row r="338">
      <x:c r="A338" s="9" t="str">
        <x:v>EV-AR-LF-B-A-TECH-3-B1-BRK-G0-ST02</x:v>
      </x:c>
      <x:c r="B338" s="9" t="str">
        <x:v>EV-AR-LF-B-A-TECH-3-B1-BRK-G0</x:v>
      </x:c>
      <x:c r="C338" s="9" t="str">
        <x:v>EOW-AR-LF-B-A-TECH-3-B1-BRK-G0</x:v>
      </x:c>
      <x:c r="D338" s="9" t="str">
        <x:v>AR-LF-B-A-TECH-3-B1-BRK-G0</x:v>
      </x:c>
      <x:c r="E338" s="9" t="str">
        <x:v>LF-B-A-TECH-3</x:v>
      </x:c>
      <x:c r="F338" s="9" t="str">
        <x:v>LF-B-A</x:v>
      </x:c>
      <x:c r="G338" s="9" t="str">
        <x:v>B1</x:v>
      </x:c>
      <x:c r="H338" s="9" t="str">
        <x:v>BRK</x:v>
      </x:c>
      <x:c r="I338" s="9" t="n">
        <x:v>2</x:v>
      </x:c>
      <x:c r="J338" s="9" t="n">
        <x:v>2</x:v>
      </x:c>
      <x:c r="K338" s="9" t="str">
        <x:v>LF-B-A-N1</x:v>
      </x:c>
      <x:c r="L338" s="9" t="str">
        <x:v>ST02</x:v>
      </x:c>
      <x:c r="M338" s="17" t="str">
        <x:v>Frozen identity</x:v>
      </x:c>
      <x:c r="N338" s="17" t="str">
        <x:v>serial, generation, fixture, site, receiver and digest match the warrant</x:v>
      </x:c>
      <x:c r="O338" s="17" t="str">
        <x:v>Custody authority</x:v>
      </x:c>
      <x:c r="P338" s="9" t="n">
        <x:v>0</x:v>
      </x:c>
      <x:c r="Q338" s="9" t="n">
        <x:v>0</x:v>
      </x:c>
      <x:c r="R338" s="9" t="str">
        <x:v>OPEN / UNSTARTED</x:v>
      </x:c>
      <x:c r="S338" s="9" t="n">
        <x:f>COUNTIFS($A$7:$A$1446,A338)</x:f>
        <x:v>1</x:v>
      </x:c>
    </x:row>
    <x:row r="339">
      <x:c r="A339" s="9" t="str">
        <x:v>EV-AR-LF-B-A-TECH-3-B1-BRK-G0-ST03</x:v>
      </x:c>
      <x:c r="B339" s="9" t="str">
        <x:v>EV-AR-LF-B-A-TECH-3-B1-BRK-G0</x:v>
      </x:c>
      <x:c r="C339" s="9" t="str">
        <x:v>EOW-AR-LF-B-A-TECH-3-B1-BRK-G0</x:v>
      </x:c>
      <x:c r="D339" s="9" t="str">
        <x:v>AR-LF-B-A-TECH-3-B1-BRK-G0</x:v>
      </x:c>
      <x:c r="E339" s="9" t="str">
        <x:v>LF-B-A-TECH-3</x:v>
      </x:c>
      <x:c r="F339" s="9" t="str">
        <x:v>LF-B-A</x:v>
      </x:c>
      <x:c r="G339" s="9" t="str">
        <x:v>B1</x:v>
      </x:c>
      <x:c r="H339" s="9" t="str">
        <x:v>BRK</x:v>
      </x:c>
      <x:c r="I339" s="9" t="n">
        <x:v>2</x:v>
      </x:c>
      <x:c r="J339" s="9" t="n">
        <x:v>2</x:v>
      </x:c>
      <x:c r="K339" s="9" t="str">
        <x:v>LF-B-A-N1</x:v>
      </x:c>
      <x:c r="L339" s="9" t="str">
        <x:v>ST03</x:v>
      </x:c>
      <x:c r="M339" s="17" t="str">
        <x:v>Receiver receipt</x:v>
      </x:c>
      <x:c r="N339" s="17" t="str">
        <x:v>denominator, counterfactual, rights and stop receipt remain unchanged</x:v>
      </x:c>
      <x:c r="O339" s="17" t="str">
        <x:v>Receiver authority</x:v>
      </x:c>
      <x:c r="P339" s="9" t="n">
        <x:v>0</x:v>
      </x:c>
      <x:c r="Q339" s="9" t="n">
        <x:v>0</x:v>
      </x:c>
      <x:c r="R339" s="9" t="str">
        <x:v>OPEN / UNSTARTED</x:v>
      </x:c>
      <x:c r="S339" s="9" t="n">
        <x:f>COUNTIFS($A$7:$A$1446,A339)</x:f>
        <x:v>1</x:v>
      </x:c>
    </x:row>
    <x:row r="340">
      <x:c r="A340" s="9" t="str">
        <x:v>EV-AR-LF-B-A-TECH-3-B1-BRK-G0-ST04</x:v>
      </x:c>
      <x:c r="B340" s="9" t="str">
        <x:v>EV-AR-LF-B-A-TECH-3-B1-BRK-G0</x:v>
      </x:c>
      <x:c r="C340" s="9" t="str">
        <x:v>EOW-AR-LF-B-A-TECH-3-B1-BRK-G0</x:v>
      </x:c>
      <x:c r="D340" s="9" t="str">
        <x:v>AR-LF-B-A-TECH-3-B1-BRK-G0</x:v>
      </x:c>
      <x:c r="E340" s="9" t="str">
        <x:v>LF-B-A-TECH-3</x:v>
      </x:c>
      <x:c r="F340" s="9" t="str">
        <x:v>LF-B-A</x:v>
      </x:c>
      <x:c r="G340" s="9" t="str">
        <x:v>B1</x:v>
      </x:c>
      <x:c r="H340" s="9" t="str">
        <x:v>BRK</x:v>
      </x:c>
      <x:c r="I340" s="9" t="n">
        <x:v>2</x:v>
      </x:c>
      <x:c r="J340" s="9" t="n">
        <x:v>2</x:v>
      </x:c>
      <x:c r="K340" s="9" t="str">
        <x:v>LF-B-A-N1</x:v>
      </x:c>
      <x:c r="L340" s="9" t="str">
        <x:v>ST04</x:v>
      </x:c>
      <x:c r="M340" s="17" t="str">
        <x:v>Primary capture armed</x:v>
      </x:c>
      <x:c r="N340" s="17" t="str">
        <x:v>primary chain records sealed reference and live time</x:v>
      </x:c>
      <x:c r="O340" s="17" t="str">
        <x:v>Primary metrology</x:v>
      </x:c>
      <x:c r="P340" s="9" t="n">
        <x:v>0</x:v>
      </x:c>
      <x:c r="Q340" s="9" t="n">
        <x:v>0</x:v>
      </x:c>
      <x:c r="R340" s="9" t="str">
        <x:v>OPEN / UNSTARTED</x:v>
      </x:c>
      <x:c r="S340" s="9" t="n">
        <x:f>COUNTIFS($A$7:$A$1446,A340)</x:f>
        <x:v>1</x:v>
      </x:c>
    </x:row>
    <x:row r="341">
      <x:c r="A341" s="9" t="str">
        <x:v>EV-AR-LF-B-A-TECH-3-B1-BRK-G0-ST05</x:v>
      </x:c>
      <x:c r="B341" s="9" t="str">
        <x:v>EV-AR-LF-B-A-TECH-3-B1-BRK-G0</x:v>
      </x:c>
      <x:c r="C341" s="9" t="str">
        <x:v>EOW-AR-LF-B-A-TECH-3-B1-BRK-G0</x:v>
      </x:c>
      <x:c r="D341" s="9" t="str">
        <x:v>AR-LF-B-A-TECH-3-B1-BRK-G0</x:v>
      </x:c>
      <x:c r="E341" s="9" t="str">
        <x:v>LF-B-A-TECH-3</x:v>
      </x:c>
      <x:c r="F341" s="9" t="str">
        <x:v>LF-B-A</x:v>
      </x:c>
      <x:c r="G341" s="9" t="str">
        <x:v>B1</x:v>
      </x:c>
      <x:c r="H341" s="9" t="str">
        <x:v>BRK</x:v>
      </x:c>
      <x:c r="I341" s="9" t="n">
        <x:v>2</x:v>
      </x:c>
      <x:c r="J341" s="9" t="n">
        <x:v>2</x:v>
      </x:c>
      <x:c r="K341" s="9" t="str">
        <x:v>LF-B-A-N1</x:v>
      </x:c>
      <x:c r="L341" s="9" t="str">
        <x:v>ST05</x:v>
      </x:c>
      <x:c r="M341" s="17" t="str">
        <x:v>Witness capture armed</x:v>
      </x:c>
      <x:c r="N341" s="17" t="str">
        <x:v>unlike witness records independent reference and live time</x:v>
      </x:c>
      <x:c r="O341" s="17" t="str">
        <x:v>Witness metrology</x:v>
      </x:c>
      <x:c r="P341" s="9" t="n">
        <x:v>0</x:v>
      </x:c>
      <x:c r="Q341" s="9" t="n">
        <x:v>0</x:v>
      </x:c>
      <x:c r="R341" s="9" t="str">
        <x:v>OPEN / UNSTARTED</x:v>
      </x:c>
      <x:c r="S341" s="9" t="n">
        <x:f>COUNTIFS($A$7:$A$1446,A341)</x:f>
        <x:v>1</x:v>
      </x:c>
    </x:row>
    <x:row r="342">
      <x:c r="A342" s="9" t="str">
        <x:v>EV-AR-LF-B-A-TECH-3-B1-BRK-G0-ST06</x:v>
      </x:c>
      <x:c r="B342" s="9" t="str">
        <x:v>EV-AR-LF-B-A-TECH-3-B1-BRK-G0</x:v>
      </x:c>
      <x:c r="C342" s="9" t="str">
        <x:v>EOW-AR-LF-B-A-TECH-3-B1-BRK-G0</x:v>
      </x:c>
      <x:c r="D342" s="9" t="str">
        <x:v>AR-LF-B-A-TECH-3-B1-BRK-G0</x:v>
      </x:c>
      <x:c r="E342" s="9" t="str">
        <x:v>LF-B-A-TECH-3</x:v>
      </x:c>
      <x:c r="F342" s="9" t="str">
        <x:v>LF-B-A</x:v>
      </x:c>
      <x:c r="G342" s="9" t="str">
        <x:v>B1</x:v>
      </x:c>
      <x:c r="H342" s="9" t="str">
        <x:v>BRK</x:v>
      </x:c>
      <x:c r="I342" s="9" t="n">
        <x:v>2</x:v>
      </x:c>
      <x:c r="J342" s="9" t="n">
        <x:v>2</x:v>
      </x:c>
      <x:c r="K342" s="9" t="str">
        <x:v>LF-B-A-N1</x:v>
      </x:c>
      <x:c r="L342" s="9" t="str">
        <x:v>ST06</x:v>
      </x:c>
      <x:c r="M342" s="17" t="str">
        <x:v>Public custody armed</x:v>
      </x:c>
      <x:c r="N342" s="17" t="str">
        <x:v>eight raw origins have separated hash and replica routes</x:v>
      </x:c>
      <x:c r="O342" s="17" t="str">
        <x:v>Custody authority</x:v>
      </x:c>
      <x:c r="P342" s="9" t="n">
        <x:v>0</x:v>
      </x:c>
      <x:c r="Q342" s="9" t="n">
        <x:v>0</x:v>
      </x:c>
      <x:c r="R342" s="9" t="str">
        <x:v>OPEN / UNSTARTED</x:v>
      </x:c>
      <x:c r="S342" s="9" t="n">
        <x:f>COUNTIFS($A$7:$A$1446,A342)</x:f>
        <x:v>1</x:v>
      </x:c>
    </x:row>
    <x:row r="343">
      <x:c r="A343" s="9" t="str">
        <x:v>EV-AR-LF-B-A-TECH-3-B1-BRK-G0-ST07</x:v>
      </x:c>
      <x:c r="B343" s="9" t="str">
        <x:v>EV-AR-LF-B-A-TECH-3-B1-BRK-G0</x:v>
      </x:c>
      <x:c r="C343" s="9" t="str">
        <x:v>EOW-AR-LF-B-A-TECH-3-B1-BRK-G0</x:v>
      </x:c>
      <x:c r="D343" s="9" t="str">
        <x:v>AR-LF-B-A-TECH-3-B1-BRK-G0</x:v>
      </x:c>
      <x:c r="E343" s="9" t="str">
        <x:v>LF-B-A-TECH-3</x:v>
      </x:c>
      <x:c r="F343" s="9" t="str">
        <x:v>LF-B-A</x:v>
      </x:c>
      <x:c r="G343" s="9" t="str">
        <x:v>B1</x:v>
      </x:c>
      <x:c r="H343" s="9" t="str">
        <x:v>BRK</x:v>
      </x:c>
      <x:c r="I343" s="9" t="n">
        <x:v>2</x:v>
      </x:c>
      <x:c r="J343" s="9" t="n">
        <x:v>2</x:v>
      </x:c>
      <x:c r="K343" s="9" t="str">
        <x:v>LF-B-A-N1</x:v>
      </x:c>
      <x:c r="L343" s="9" t="str">
        <x:v>ST07</x:v>
      </x:c>
      <x:c r="M343" s="17" t="str">
        <x:v>Environmental baseline</x:v>
      </x:c>
      <x:c r="N343" s="17" t="str">
        <x:v>pre-event boundary state is sealed before decisive operation</x:v>
      </x:c>
      <x:c r="O343" s="17" t="str">
        <x:v>Site metrology</x:v>
      </x:c>
      <x:c r="P343" s="9" t="n">
        <x:v>0</x:v>
      </x:c>
      <x:c r="Q343" s="9" t="n">
        <x:v>0</x:v>
      </x:c>
      <x:c r="R343" s="9" t="str">
        <x:v>OPEN / UNSTARTED</x:v>
      </x:c>
      <x:c r="S343" s="9" t="n">
        <x:f>COUNTIFS($A$7:$A$1446,A343)</x:f>
        <x:v>1</x:v>
      </x:c>
    </x:row>
    <x:row r="344">
      <x:c r="A344" s="9" t="str">
        <x:v>EV-AR-LF-B-A-TECH-3-B1-BRK-G0-ST08</x:v>
      </x:c>
      <x:c r="B344" s="9" t="str">
        <x:v>EV-AR-LF-B-A-TECH-3-B1-BRK-G0</x:v>
      </x:c>
      <x:c r="C344" s="9" t="str">
        <x:v>EOW-AR-LF-B-A-TECH-3-B1-BRK-G0</x:v>
      </x:c>
      <x:c r="D344" s="9" t="str">
        <x:v>AR-LF-B-A-TECH-3-B1-BRK-G0</x:v>
      </x:c>
      <x:c r="E344" s="9" t="str">
        <x:v>LF-B-A-TECH-3</x:v>
      </x:c>
      <x:c r="F344" s="9" t="str">
        <x:v>LF-B-A</x:v>
      </x:c>
      <x:c r="G344" s="9" t="str">
        <x:v>B1</x:v>
      </x:c>
      <x:c r="H344" s="9" t="str">
        <x:v>BRK</x:v>
      </x:c>
      <x:c r="I344" s="9" t="n">
        <x:v>2</x:v>
      </x:c>
      <x:c r="J344" s="9" t="n">
        <x:v>2</x:v>
      </x:c>
      <x:c r="K344" s="9" t="str">
        <x:v>LF-B-A-N1</x:v>
      </x:c>
      <x:c r="L344" s="9" t="str">
        <x:v>ST08</x:v>
      </x:c>
      <x:c r="M344" s="17" t="str">
        <x:v>Manual stop and safety</x:v>
      </x:c>
      <x:c r="N344" s="17" t="str">
        <x:v>local stop, evacuation and protection routes are active</x:v>
      </x:c>
      <x:c r="O344" s="17" t="str">
        <x:v>Safety authority</x:v>
      </x:c>
      <x:c r="P344" s="9" t="n">
        <x:v>0</x:v>
      </x:c>
      <x:c r="Q344" s="9" t="n">
        <x:v>0</x:v>
      </x:c>
      <x:c r="R344" s="9" t="str">
        <x:v>OPEN / UNSTARTED</x:v>
      </x:c>
      <x:c r="S344" s="9" t="n">
        <x:f>COUNTIFS($A$7:$A$1446,A344)</x:f>
        <x:v>1</x:v>
      </x:c>
    </x:row>
    <x:row r="345">
      <x:c r="A345" s="9" t="str">
        <x:v>EV-AR-LF-B-A-TECH-3-B1-BRK-G0-ST09</x:v>
      </x:c>
      <x:c r="B345" s="9" t="str">
        <x:v>EV-AR-LF-B-A-TECH-3-B1-BRK-G0</x:v>
      </x:c>
      <x:c r="C345" s="9" t="str">
        <x:v>EOW-AR-LF-B-A-TECH-3-B1-BRK-G0</x:v>
      </x:c>
      <x:c r="D345" s="9" t="str">
        <x:v>AR-LF-B-A-TECH-3-B1-BRK-G0</x:v>
      </x:c>
      <x:c r="E345" s="9" t="str">
        <x:v>LF-B-A-TECH-3</x:v>
      </x:c>
      <x:c r="F345" s="9" t="str">
        <x:v>LF-B-A</x:v>
      </x:c>
      <x:c r="G345" s="9" t="str">
        <x:v>B1</x:v>
      </x:c>
      <x:c r="H345" s="9" t="str">
        <x:v>BRK</x:v>
      </x:c>
      <x:c r="I345" s="9" t="n">
        <x:v>2</x:v>
      </x:c>
      <x:c r="J345" s="9" t="n">
        <x:v>2</x:v>
      </x:c>
      <x:c r="K345" s="9" t="str">
        <x:v>LF-B-A-N1</x:v>
      </x:c>
      <x:c r="L345" s="9" t="str">
        <x:v>ST09</x:v>
      </x:c>
      <x:c r="M345" s="17" t="str">
        <x:v>Operator conflict clear</x:v>
      </x:c>
      <x:c r="N345" s="17" t="str">
        <x:v>candidate, fixture, safety and measurement control edges remain separated</x:v>
      </x:c>
      <x:c r="O345" s="17" t="str">
        <x:v>Conflict registrar</x:v>
      </x:c>
      <x:c r="P345" s="9" t="n">
        <x:v>0</x:v>
      </x:c>
      <x:c r="Q345" s="9" t="n">
        <x:v>0</x:v>
      </x:c>
      <x:c r="R345" s="9" t="str">
        <x:v>OPEN / UNSTARTED</x:v>
      </x:c>
      <x:c r="S345" s="9" t="n">
        <x:f>COUNTIFS($A$7:$A$1446,A345)</x:f>
        <x:v>1</x:v>
      </x:c>
    </x:row>
    <x:row r="346">
      <x:c r="A346" s="9" t="str">
        <x:v>EV-AR-LF-B-A-TECH-3-B1-BRK-G0-ST10</x:v>
      </x:c>
      <x:c r="B346" s="9" t="str">
        <x:v>EV-AR-LF-B-A-TECH-3-B1-BRK-G0</x:v>
      </x:c>
      <x:c r="C346" s="9" t="str">
        <x:v>EOW-AR-LF-B-A-TECH-3-B1-BRK-G0</x:v>
      </x:c>
      <x:c r="D346" s="9" t="str">
        <x:v>AR-LF-B-A-TECH-3-B1-BRK-G0</x:v>
      </x:c>
      <x:c r="E346" s="9" t="str">
        <x:v>LF-B-A-TECH-3</x:v>
      </x:c>
      <x:c r="F346" s="9" t="str">
        <x:v>LF-B-A</x:v>
      </x:c>
      <x:c r="G346" s="9" t="str">
        <x:v>B1</x:v>
      </x:c>
      <x:c r="H346" s="9" t="str">
        <x:v>BRK</x:v>
      </x:c>
      <x:c r="I346" s="9" t="n">
        <x:v>2</x:v>
      </x:c>
      <x:c r="J346" s="9" t="n">
        <x:v>2</x:v>
      </x:c>
      <x:c r="K346" s="9" t="str">
        <x:v>LF-B-A-N1</x:v>
      </x:c>
      <x:c r="L346" s="9" t="str">
        <x:v>ST10</x:v>
      </x:c>
      <x:c r="M346" s="17" t="str">
        <x:v>Window and common clock</x:v>
      </x:c>
      <x:c r="N346" s="17" t="str">
        <x:v>epoch, window and public time origin match the issued warrant</x:v>
      </x:c>
      <x:c r="O346" s="17" t="str">
        <x:v>Event clock authority</x:v>
      </x:c>
      <x:c r="P346" s="9" t="n">
        <x:v>0</x:v>
      </x:c>
      <x:c r="Q346" s="9" t="n">
        <x:v>0</x:v>
      </x:c>
      <x:c r="R346" s="9" t="str">
        <x:v>OPEN / UNSTARTED</x:v>
      </x:c>
      <x:c r="S346" s="9" t="n">
        <x:f>COUNTIFS($A$7:$A$1446,A346)</x:f>
        <x:v>1</x:v>
      </x:c>
    </x:row>
    <x:row r="347">
      <x:c r="A347" s="9" t="str">
        <x:v>EV-AR-LF-B-A-TECH-2-B2-BRK-G0-ST01</x:v>
      </x:c>
      <x:c r="B347" s="9" t="str">
        <x:v>EV-AR-LF-B-A-TECH-2-B2-BRK-G0</x:v>
      </x:c>
      <x:c r="C347" s="9" t="str">
        <x:v>EOW-AR-LF-B-A-TECH-2-B2-BRK-G0</x:v>
      </x:c>
      <x:c r="D347" s="9" t="str">
        <x:v>AR-LF-B-A-TECH-2-B2-BRK-G0</x:v>
      </x:c>
      <x:c r="E347" s="9" t="str">
        <x:v>LF-B-A-TECH-2</x:v>
      </x:c>
      <x:c r="F347" s="9" t="str">
        <x:v>LF-B-A</x:v>
      </x:c>
      <x:c r="G347" s="9" t="str">
        <x:v>B2</x:v>
      </x:c>
      <x:c r="H347" s="9" t="str">
        <x:v>BRK</x:v>
      </x:c>
      <x:c r="I347" s="9" t="n">
        <x:v>2</x:v>
      </x:c>
      <x:c r="J347" s="9" t="n">
        <x:v>2</x:v>
      </x:c>
      <x:c r="K347" s="9" t="str">
        <x:v>LF-B-A-N3</x:v>
      </x:c>
      <x:c r="L347" s="9" t="str">
        <x:v>ST01</x:v>
      </x:c>
      <x:c r="M347" s="17" t="str">
        <x:v>Active opportunity warrant</x:v>
      </x:c>
      <x:c r="N347" s="17" t="str">
        <x:v>configuration-bound EOW is within its thirty-six-hour validity</x:v>
      </x:c>
      <x:c r="O347" s="17" t="str">
        <x:v>Start registrar</x:v>
      </x:c>
      <x:c r="P347" s="9" t="n">
        <x:v>0</x:v>
      </x:c>
      <x:c r="Q347" s="9" t="n">
        <x:v>0</x:v>
      </x:c>
      <x:c r="R347" s="9" t="str">
        <x:v>OPEN / UNSTARTED</x:v>
      </x:c>
      <x:c r="S347" s="9" t="n">
        <x:f>COUNTIFS($A$7:$A$1446,A347)</x:f>
        <x:v>1</x:v>
      </x:c>
    </x:row>
    <x:row r="348">
      <x:c r="A348" s="9" t="str">
        <x:v>EV-AR-LF-B-A-TECH-2-B2-BRK-G0-ST02</x:v>
      </x:c>
      <x:c r="B348" s="9" t="str">
        <x:v>EV-AR-LF-B-A-TECH-2-B2-BRK-G0</x:v>
      </x:c>
      <x:c r="C348" s="9" t="str">
        <x:v>EOW-AR-LF-B-A-TECH-2-B2-BRK-G0</x:v>
      </x:c>
      <x:c r="D348" s="9" t="str">
        <x:v>AR-LF-B-A-TECH-2-B2-BRK-G0</x:v>
      </x:c>
      <x:c r="E348" s="9" t="str">
        <x:v>LF-B-A-TECH-2</x:v>
      </x:c>
      <x:c r="F348" s="9" t="str">
        <x:v>LF-B-A</x:v>
      </x:c>
      <x:c r="G348" s="9" t="str">
        <x:v>B2</x:v>
      </x:c>
      <x:c r="H348" s="9" t="str">
        <x:v>BRK</x:v>
      </x:c>
      <x:c r="I348" s="9" t="n">
        <x:v>2</x:v>
      </x:c>
      <x:c r="J348" s="9" t="n">
        <x:v>2</x:v>
      </x:c>
      <x:c r="K348" s="9" t="str">
        <x:v>LF-B-A-N3</x:v>
      </x:c>
      <x:c r="L348" s="9" t="str">
        <x:v>ST02</x:v>
      </x:c>
      <x:c r="M348" s="17" t="str">
        <x:v>Frozen identity</x:v>
      </x:c>
      <x:c r="N348" s="17" t="str">
        <x:v>serial, generation, fixture, site, receiver and digest match the warrant</x:v>
      </x:c>
      <x:c r="O348" s="17" t="str">
        <x:v>Custody authority</x:v>
      </x:c>
      <x:c r="P348" s="9" t="n">
        <x:v>0</x:v>
      </x:c>
      <x:c r="Q348" s="9" t="n">
        <x:v>0</x:v>
      </x:c>
      <x:c r="R348" s="9" t="str">
        <x:v>OPEN / UNSTARTED</x:v>
      </x:c>
      <x:c r="S348" s="9" t="n">
        <x:f>COUNTIFS($A$7:$A$1446,A348)</x:f>
        <x:v>1</x:v>
      </x:c>
    </x:row>
    <x:row r="349">
      <x:c r="A349" s="9" t="str">
        <x:v>EV-AR-LF-B-A-TECH-2-B2-BRK-G0-ST03</x:v>
      </x:c>
      <x:c r="B349" s="9" t="str">
        <x:v>EV-AR-LF-B-A-TECH-2-B2-BRK-G0</x:v>
      </x:c>
      <x:c r="C349" s="9" t="str">
        <x:v>EOW-AR-LF-B-A-TECH-2-B2-BRK-G0</x:v>
      </x:c>
      <x:c r="D349" s="9" t="str">
        <x:v>AR-LF-B-A-TECH-2-B2-BRK-G0</x:v>
      </x:c>
      <x:c r="E349" s="9" t="str">
        <x:v>LF-B-A-TECH-2</x:v>
      </x:c>
      <x:c r="F349" s="9" t="str">
        <x:v>LF-B-A</x:v>
      </x:c>
      <x:c r="G349" s="9" t="str">
        <x:v>B2</x:v>
      </x:c>
      <x:c r="H349" s="9" t="str">
        <x:v>BRK</x:v>
      </x:c>
      <x:c r="I349" s="9" t="n">
        <x:v>2</x:v>
      </x:c>
      <x:c r="J349" s="9" t="n">
        <x:v>2</x:v>
      </x:c>
      <x:c r="K349" s="9" t="str">
        <x:v>LF-B-A-N3</x:v>
      </x:c>
      <x:c r="L349" s="9" t="str">
        <x:v>ST03</x:v>
      </x:c>
      <x:c r="M349" s="17" t="str">
        <x:v>Receiver receipt</x:v>
      </x:c>
      <x:c r="N349" s="17" t="str">
        <x:v>denominator, counterfactual, rights and stop receipt remain unchanged</x:v>
      </x:c>
      <x:c r="O349" s="17" t="str">
        <x:v>Receiver authority</x:v>
      </x:c>
      <x:c r="P349" s="9" t="n">
        <x:v>0</x:v>
      </x:c>
      <x:c r="Q349" s="9" t="n">
        <x:v>0</x:v>
      </x:c>
      <x:c r="R349" s="9" t="str">
        <x:v>OPEN / UNSTARTED</x:v>
      </x:c>
      <x:c r="S349" s="9" t="n">
        <x:f>COUNTIFS($A$7:$A$1446,A349)</x:f>
        <x:v>1</x:v>
      </x:c>
    </x:row>
    <x:row r="350">
      <x:c r="A350" s="9" t="str">
        <x:v>EV-AR-LF-B-A-TECH-2-B2-BRK-G0-ST04</x:v>
      </x:c>
      <x:c r="B350" s="9" t="str">
        <x:v>EV-AR-LF-B-A-TECH-2-B2-BRK-G0</x:v>
      </x:c>
      <x:c r="C350" s="9" t="str">
        <x:v>EOW-AR-LF-B-A-TECH-2-B2-BRK-G0</x:v>
      </x:c>
      <x:c r="D350" s="9" t="str">
        <x:v>AR-LF-B-A-TECH-2-B2-BRK-G0</x:v>
      </x:c>
      <x:c r="E350" s="9" t="str">
        <x:v>LF-B-A-TECH-2</x:v>
      </x:c>
      <x:c r="F350" s="9" t="str">
        <x:v>LF-B-A</x:v>
      </x:c>
      <x:c r="G350" s="9" t="str">
        <x:v>B2</x:v>
      </x:c>
      <x:c r="H350" s="9" t="str">
        <x:v>BRK</x:v>
      </x:c>
      <x:c r="I350" s="9" t="n">
        <x:v>2</x:v>
      </x:c>
      <x:c r="J350" s="9" t="n">
        <x:v>2</x:v>
      </x:c>
      <x:c r="K350" s="9" t="str">
        <x:v>LF-B-A-N3</x:v>
      </x:c>
      <x:c r="L350" s="9" t="str">
        <x:v>ST04</x:v>
      </x:c>
      <x:c r="M350" s="17" t="str">
        <x:v>Primary capture armed</x:v>
      </x:c>
      <x:c r="N350" s="17" t="str">
        <x:v>primary chain records sealed reference and live time</x:v>
      </x:c>
      <x:c r="O350" s="17" t="str">
        <x:v>Primary metrology</x:v>
      </x:c>
      <x:c r="P350" s="9" t="n">
        <x:v>0</x:v>
      </x:c>
      <x:c r="Q350" s="9" t="n">
        <x:v>0</x:v>
      </x:c>
      <x:c r="R350" s="9" t="str">
        <x:v>OPEN / UNSTARTED</x:v>
      </x:c>
      <x:c r="S350" s="9" t="n">
        <x:f>COUNTIFS($A$7:$A$1446,A350)</x:f>
        <x:v>1</x:v>
      </x:c>
    </x:row>
    <x:row r="351">
      <x:c r="A351" s="9" t="str">
        <x:v>EV-AR-LF-B-A-TECH-2-B2-BRK-G0-ST05</x:v>
      </x:c>
      <x:c r="B351" s="9" t="str">
        <x:v>EV-AR-LF-B-A-TECH-2-B2-BRK-G0</x:v>
      </x:c>
      <x:c r="C351" s="9" t="str">
        <x:v>EOW-AR-LF-B-A-TECH-2-B2-BRK-G0</x:v>
      </x:c>
      <x:c r="D351" s="9" t="str">
        <x:v>AR-LF-B-A-TECH-2-B2-BRK-G0</x:v>
      </x:c>
      <x:c r="E351" s="9" t="str">
        <x:v>LF-B-A-TECH-2</x:v>
      </x:c>
      <x:c r="F351" s="9" t="str">
        <x:v>LF-B-A</x:v>
      </x:c>
      <x:c r="G351" s="9" t="str">
        <x:v>B2</x:v>
      </x:c>
      <x:c r="H351" s="9" t="str">
        <x:v>BRK</x:v>
      </x:c>
      <x:c r="I351" s="9" t="n">
        <x:v>2</x:v>
      </x:c>
      <x:c r="J351" s="9" t="n">
        <x:v>2</x:v>
      </x:c>
      <x:c r="K351" s="9" t="str">
        <x:v>LF-B-A-N3</x:v>
      </x:c>
      <x:c r="L351" s="9" t="str">
        <x:v>ST05</x:v>
      </x:c>
      <x:c r="M351" s="17" t="str">
        <x:v>Witness capture armed</x:v>
      </x:c>
      <x:c r="N351" s="17" t="str">
        <x:v>unlike witness records independent reference and live time</x:v>
      </x:c>
      <x:c r="O351" s="17" t="str">
        <x:v>Witness metrology</x:v>
      </x:c>
      <x:c r="P351" s="9" t="n">
        <x:v>0</x:v>
      </x:c>
      <x:c r="Q351" s="9" t="n">
        <x:v>0</x:v>
      </x:c>
      <x:c r="R351" s="9" t="str">
        <x:v>OPEN / UNSTARTED</x:v>
      </x:c>
      <x:c r="S351" s="9" t="n">
        <x:f>COUNTIFS($A$7:$A$1446,A351)</x:f>
        <x:v>1</x:v>
      </x:c>
    </x:row>
    <x:row r="352">
      <x:c r="A352" s="9" t="str">
        <x:v>EV-AR-LF-B-A-TECH-2-B2-BRK-G0-ST06</x:v>
      </x:c>
      <x:c r="B352" s="9" t="str">
        <x:v>EV-AR-LF-B-A-TECH-2-B2-BRK-G0</x:v>
      </x:c>
      <x:c r="C352" s="9" t="str">
        <x:v>EOW-AR-LF-B-A-TECH-2-B2-BRK-G0</x:v>
      </x:c>
      <x:c r="D352" s="9" t="str">
        <x:v>AR-LF-B-A-TECH-2-B2-BRK-G0</x:v>
      </x:c>
      <x:c r="E352" s="9" t="str">
        <x:v>LF-B-A-TECH-2</x:v>
      </x:c>
      <x:c r="F352" s="9" t="str">
        <x:v>LF-B-A</x:v>
      </x:c>
      <x:c r="G352" s="9" t="str">
        <x:v>B2</x:v>
      </x:c>
      <x:c r="H352" s="9" t="str">
        <x:v>BRK</x:v>
      </x:c>
      <x:c r="I352" s="9" t="n">
        <x:v>2</x:v>
      </x:c>
      <x:c r="J352" s="9" t="n">
        <x:v>2</x:v>
      </x:c>
      <x:c r="K352" s="9" t="str">
        <x:v>LF-B-A-N3</x:v>
      </x:c>
      <x:c r="L352" s="9" t="str">
        <x:v>ST06</x:v>
      </x:c>
      <x:c r="M352" s="17" t="str">
        <x:v>Public custody armed</x:v>
      </x:c>
      <x:c r="N352" s="17" t="str">
        <x:v>eight raw origins have separated hash and replica routes</x:v>
      </x:c>
      <x:c r="O352" s="17" t="str">
        <x:v>Custody authority</x:v>
      </x:c>
      <x:c r="P352" s="9" t="n">
        <x:v>0</x:v>
      </x:c>
      <x:c r="Q352" s="9" t="n">
        <x:v>0</x:v>
      </x:c>
      <x:c r="R352" s="9" t="str">
        <x:v>OPEN / UNSTARTED</x:v>
      </x:c>
      <x:c r="S352" s="9" t="n">
        <x:f>COUNTIFS($A$7:$A$1446,A352)</x:f>
        <x:v>1</x:v>
      </x:c>
    </x:row>
    <x:row r="353">
      <x:c r="A353" s="9" t="str">
        <x:v>EV-AR-LF-B-A-TECH-2-B2-BRK-G0-ST07</x:v>
      </x:c>
      <x:c r="B353" s="9" t="str">
        <x:v>EV-AR-LF-B-A-TECH-2-B2-BRK-G0</x:v>
      </x:c>
      <x:c r="C353" s="9" t="str">
        <x:v>EOW-AR-LF-B-A-TECH-2-B2-BRK-G0</x:v>
      </x:c>
      <x:c r="D353" s="9" t="str">
        <x:v>AR-LF-B-A-TECH-2-B2-BRK-G0</x:v>
      </x:c>
      <x:c r="E353" s="9" t="str">
        <x:v>LF-B-A-TECH-2</x:v>
      </x:c>
      <x:c r="F353" s="9" t="str">
        <x:v>LF-B-A</x:v>
      </x:c>
      <x:c r="G353" s="9" t="str">
        <x:v>B2</x:v>
      </x:c>
      <x:c r="H353" s="9" t="str">
        <x:v>BRK</x:v>
      </x:c>
      <x:c r="I353" s="9" t="n">
        <x:v>2</x:v>
      </x:c>
      <x:c r="J353" s="9" t="n">
        <x:v>2</x:v>
      </x:c>
      <x:c r="K353" s="9" t="str">
        <x:v>LF-B-A-N3</x:v>
      </x:c>
      <x:c r="L353" s="9" t="str">
        <x:v>ST07</x:v>
      </x:c>
      <x:c r="M353" s="17" t="str">
        <x:v>Environmental baseline</x:v>
      </x:c>
      <x:c r="N353" s="17" t="str">
        <x:v>pre-event boundary state is sealed before decisive operation</x:v>
      </x:c>
      <x:c r="O353" s="17" t="str">
        <x:v>Site metrology</x:v>
      </x:c>
      <x:c r="P353" s="9" t="n">
        <x:v>0</x:v>
      </x:c>
      <x:c r="Q353" s="9" t="n">
        <x:v>0</x:v>
      </x:c>
      <x:c r="R353" s="9" t="str">
        <x:v>OPEN / UNSTARTED</x:v>
      </x:c>
      <x:c r="S353" s="9" t="n">
        <x:f>COUNTIFS($A$7:$A$1446,A353)</x:f>
        <x:v>1</x:v>
      </x:c>
    </x:row>
    <x:row r="354">
      <x:c r="A354" s="9" t="str">
        <x:v>EV-AR-LF-B-A-TECH-2-B2-BRK-G0-ST08</x:v>
      </x:c>
      <x:c r="B354" s="9" t="str">
        <x:v>EV-AR-LF-B-A-TECH-2-B2-BRK-G0</x:v>
      </x:c>
      <x:c r="C354" s="9" t="str">
        <x:v>EOW-AR-LF-B-A-TECH-2-B2-BRK-G0</x:v>
      </x:c>
      <x:c r="D354" s="9" t="str">
        <x:v>AR-LF-B-A-TECH-2-B2-BRK-G0</x:v>
      </x:c>
      <x:c r="E354" s="9" t="str">
        <x:v>LF-B-A-TECH-2</x:v>
      </x:c>
      <x:c r="F354" s="9" t="str">
        <x:v>LF-B-A</x:v>
      </x:c>
      <x:c r="G354" s="9" t="str">
        <x:v>B2</x:v>
      </x:c>
      <x:c r="H354" s="9" t="str">
        <x:v>BRK</x:v>
      </x:c>
      <x:c r="I354" s="9" t="n">
        <x:v>2</x:v>
      </x:c>
      <x:c r="J354" s="9" t="n">
        <x:v>2</x:v>
      </x:c>
      <x:c r="K354" s="9" t="str">
        <x:v>LF-B-A-N3</x:v>
      </x:c>
      <x:c r="L354" s="9" t="str">
        <x:v>ST08</x:v>
      </x:c>
      <x:c r="M354" s="17" t="str">
        <x:v>Manual stop and safety</x:v>
      </x:c>
      <x:c r="N354" s="17" t="str">
        <x:v>local stop, evacuation and protection routes are active</x:v>
      </x:c>
      <x:c r="O354" s="17" t="str">
        <x:v>Safety authority</x:v>
      </x:c>
      <x:c r="P354" s="9" t="n">
        <x:v>0</x:v>
      </x:c>
      <x:c r="Q354" s="9" t="n">
        <x:v>0</x:v>
      </x:c>
      <x:c r="R354" s="9" t="str">
        <x:v>OPEN / UNSTARTED</x:v>
      </x:c>
      <x:c r="S354" s="9" t="n">
        <x:f>COUNTIFS($A$7:$A$1446,A354)</x:f>
        <x:v>1</x:v>
      </x:c>
    </x:row>
    <x:row r="355">
      <x:c r="A355" s="9" t="str">
        <x:v>EV-AR-LF-B-A-TECH-2-B2-BRK-G0-ST09</x:v>
      </x:c>
      <x:c r="B355" s="9" t="str">
        <x:v>EV-AR-LF-B-A-TECH-2-B2-BRK-G0</x:v>
      </x:c>
      <x:c r="C355" s="9" t="str">
        <x:v>EOW-AR-LF-B-A-TECH-2-B2-BRK-G0</x:v>
      </x:c>
      <x:c r="D355" s="9" t="str">
        <x:v>AR-LF-B-A-TECH-2-B2-BRK-G0</x:v>
      </x:c>
      <x:c r="E355" s="9" t="str">
        <x:v>LF-B-A-TECH-2</x:v>
      </x:c>
      <x:c r="F355" s="9" t="str">
        <x:v>LF-B-A</x:v>
      </x:c>
      <x:c r="G355" s="9" t="str">
        <x:v>B2</x:v>
      </x:c>
      <x:c r="H355" s="9" t="str">
        <x:v>BRK</x:v>
      </x:c>
      <x:c r="I355" s="9" t="n">
        <x:v>2</x:v>
      </x:c>
      <x:c r="J355" s="9" t="n">
        <x:v>2</x:v>
      </x:c>
      <x:c r="K355" s="9" t="str">
        <x:v>LF-B-A-N3</x:v>
      </x:c>
      <x:c r="L355" s="9" t="str">
        <x:v>ST09</x:v>
      </x:c>
      <x:c r="M355" s="17" t="str">
        <x:v>Operator conflict clear</x:v>
      </x:c>
      <x:c r="N355" s="17" t="str">
        <x:v>candidate, fixture, safety and measurement control edges remain separated</x:v>
      </x:c>
      <x:c r="O355" s="17" t="str">
        <x:v>Conflict registrar</x:v>
      </x:c>
      <x:c r="P355" s="9" t="n">
        <x:v>0</x:v>
      </x:c>
      <x:c r="Q355" s="9" t="n">
        <x:v>0</x:v>
      </x:c>
      <x:c r="R355" s="9" t="str">
        <x:v>OPEN / UNSTARTED</x:v>
      </x:c>
      <x:c r="S355" s="9" t="n">
        <x:f>COUNTIFS($A$7:$A$1446,A355)</x:f>
        <x:v>1</x:v>
      </x:c>
    </x:row>
    <x:row r="356">
      <x:c r="A356" s="9" t="str">
        <x:v>EV-AR-LF-B-A-TECH-2-B2-BRK-G0-ST10</x:v>
      </x:c>
      <x:c r="B356" s="9" t="str">
        <x:v>EV-AR-LF-B-A-TECH-2-B2-BRK-G0</x:v>
      </x:c>
      <x:c r="C356" s="9" t="str">
        <x:v>EOW-AR-LF-B-A-TECH-2-B2-BRK-G0</x:v>
      </x:c>
      <x:c r="D356" s="9" t="str">
        <x:v>AR-LF-B-A-TECH-2-B2-BRK-G0</x:v>
      </x:c>
      <x:c r="E356" s="9" t="str">
        <x:v>LF-B-A-TECH-2</x:v>
      </x:c>
      <x:c r="F356" s="9" t="str">
        <x:v>LF-B-A</x:v>
      </x:c>
      <x:c r="G356" s="9" t="str">
        <x:v>B2</x:v>
      </x:c>
      <x:c r="H356" s="9" t="str">
        <x:v>BRK</x:v>
      </x:c>
      <x:c r="I356" s="9" t="n">
        <x:v>2</x:v>
      </x:c>
      <x:c r="J356" s="9" t="n">
        <x:v>2</x:v>
      </x:c>
      <x:c r="K356" s="9" t="str">
        <x:v>LF-B-A-N3</x:v>
      </x:c>
      <x:c r="L356" s="9" t="str">
        <x:v>ST10</x:v>
      </x:c>
      <x:c r="M356" s="17" t="str">
        <x:v>Window and common clock</x:v>
      </x:c>
      <x:c r="N356" s="17" t="str">
        <x:v>epoch, window and public time origin match the issued warrant</x:v>
      </x:c>
      <x:c r="O356" s="17" t="str">
        <x:v>Event clock authority</x:v>
      </x:c>
      <x:c r="P356" s="9" t="n">
        <x:v>0</x:v>
      </x:c>
      <x:c r="Q356" s="9" t="n">
        <x:v>0</x:v>
      </x:c>
      <x:c r="R356" s="9" t="str">
        <x:v>OPEN / UNSTARTED</x:v>
      </x:c>
      <x:c r="S356" s="9" t="n">
        <x:f>COUNTIFS($A$7:$A$1446,A356)</x:f>
        <x:v>1</x:v>
      </x:c>
    </x:row>
    <x:row r="357">
      <x:c r="A357" s="9" t="str">
        <x:v>EV-AR-RT-B-C-TECH-1-B1-BRK-G0-ST01</x:v>
      </x:c>
      <x:c r="B357" s="9" t="str">
        <x:v>EV-AR-RT-B-C-TECH-1-B1-BRK-G0</x:v>
      </x:c>
      <x:c r="C357" s="9" t="str">
        <x:v>EOW-AR-RT-B-C-TECH-1-B1-BRK-G0</x:v>
      </x:c>
      <x:c r="D357" s="9" t="str">
        <x:v>AR-RT-B-C-TECH-1-B1-BRK-G0</x:v>
      </x:c>
      <x:c r="E357" s="9" t="str">
        <x:v>RT-B-C-TECH-1</x:v>
      </x:c>
      <x:c r="F357" s="9" t="str">
        <x:v>RT-B-C</x:v>
      </x:c>
      <x:c r="G357" s="9" t="str">
        <x:v>B1</x:v>
      </x:c>
      <x:c r="H357" s="9" t="str">
        <x:v>BRK</x:v>
      </x:c>
      <x:c r="I357" s="9" t="n">
        <x:v>2</x:v>
      </x:c>
      <x:c r="J357" s="9" t="n">
        <x:v>2</x:v>
      </x:c>
      <x:c r="K357" s="9" t="str">
        <x:v>RT-B-C-N2</x:v>
      </x:c>
      <x:c r="L357" s="9" t="str">
        <x:v>ST01</x:v>
      </x:c>
      <x:c r="M357" s="17" t="str">
        <x:v>Active opportunity warrant</x:v>
      </x:c>
      <x:c r="N357" s="17" t="str">
        <x:v>configuration-bound EOW is within its thirty-six-hour validity</x:v>
      </x:c>
      <x:c r="O357" s="17" t="str">
        <x:v>Start registrar</x:v>
      </x:c>
      <x:c r="P357" s="9" t="n">
        <x:v>0</x:v>
      </x:c>
      <x:c r="Q357" s="9" t="n">
        <x:v>0</x:v>
      </x:c>
      <x:c r="R357" s="9" t="str">
        <x:v>OPEN / UNSTARTED</x:v>
      </x:c>
      <x:c r="S357" s="9" t="n">
        <x:f>COUNTIFS($A$7:$A$1446,A357)</x:f>
        <x:v>1</x:v>
      </x:c>
    </x:row>
    <x:row r="358">
      <x:c r="A358" s="9" t="str">
        <x:v>EV-AR-RT-B-C-TECH-1-B1-BRK-G0-ST02</x:v>
      </x:c>
      <x:c r="B358" s="9" t="str">
        <x:v>EV-AR-RT-B-C-TECH-1-B1-BRK-G0</x:v>
      </x:c>
      <x:c r="C358" s="9" t="str">
        <x:v>EOW-AR-RT-B-C-TECH-1-B1-BRK-G0</x:v>
      </x:c>
      <x:c r="D358" s="9" t="str">
        <x:v>AR-RT-B-C-TECH-1-B1-BRK-G0</x:v>
      </x:c>
      <x:c r="E358" s="9" t="str">
        <x:v>RT-B-C-TECH-1</x:v>
      </x:c>
      <x:c r="F358" s="9" t="str">
        <x:v>RT-B-C</x:v>
      </x:c>
      <x:c r="G358" s="9" t="str">
        <x:v>B1</x:v>
      </x:c>
      <x:c r="H358" s="9" t="str">
        <x:v>BRK</x:v>
      </x:c>
      <x:c r="I358" s="9" t="n">
        <x:v>2</x:v>
      </x:c>
      <x:c r="J358" s="9" t="n">
        <x:v>2</x:v>
      </x:c>
      <x:c r="K358" s="9" t="str">
        <x:v>RT-B-C-N2</x:v>
      </x:c>
      <x:c r="L358" s="9" t="str">
        <x:v>ST02</x:v>
      </x:c>
      <x:c r="M358" s="17" t="str">
        <x:v>Frozen identity</x:v>
      </x:c>
      <x:c r="N358" s="17" t="str">
        <x:v>serial, generation, fixture, site, receiver and digest match the warrant</x:v>
      </x:c>
      <x:c r="O358" s="17" t="str">
        <x:v>Custody authority</x:v>
      </x:c>
      <x:c r="P358" s="9" t="n">
        <x:v>0</x:v>
      </x:c>
      <x:c r="Q358" s="9" t="n">
        <x:v>0</x:v>
      </x:c>
      <x:c r="R358" s="9" t="str">
        <x:v>OPEN / UNSTARTED</x:v>
      </x:c>
      <x:c r="S358" s="9" t="n">
        <x:f>COUNTIFS($A$7:$A$1446,A358)</x:f>
        <x:v>1</x:v>
      </x:c>
    </x:row>
    <x:row r="359">
      <x:c r="A359" s="9" t="str">
        <x:v>EV-AR-RT-B-C-TECH-1-B1-BRK-G0-ST03</x:v>
      </x:c>
      <x:c r="B359" s="9" t="str">
        <x:v>EV-AR-RT-B-C-TECH-1-B1-BRK-G0</x:v>
      </x:c>
      <x:c r="C359" s="9" t="str">
        <x:v>EOW-AR-RT-B-C-TECH-1-B1-BRK-G0</x:v>
      </x:c>
      <x:c r="D359" s="9" t="str">
        <x:v>AR-RT-B-C-TECH-1-B1-BRK-G0</x:v>
      </x:c>
      <x:c r="E359" s="9" t="str">
        <x:v>RT-B-C-TECH-1</x:v>
      </x:c>
      <x:c r="F359" s="9" t="str">
        <x:v>RT-B-C</x:v>
      </x:c>
      <x:c r="G359" s="9" t="str">
        <x:v>B1</x:v>
      </x:c>
      <x:c r="H359" s="9" t="str">
        <x:v>BRK</x:v>
      </x:c>
      <x:c r="I359" s="9" t="n">
        <x:v>2</x:v>
      </x:c>
      <x:c r="J359" s="9" t="n">
        <x:v>2</x:v>
      </x:c>
      <x:c r="K359" s="9" t="str">
        <x:v>RT-B-C-N2</x:v>
      </x:c>
      <x:c r="L359" s="9" t="str">
        <x:v>ST03</x:v>
      </x:c>
      <x:c r="M359" s="17" t="str">
        <x:v>Receiver receipt</x:v>
      </x:c>
      <x:c r="N359" s="17" t="str">
        <x:v>denominator, counterfactual, rights and stop receipt remain unchanged</x:v>
      </x:c>
      <x:c r="O359" s="17" t="str">
        <x:v>Receiver authority</x:v>
      </x:c>
      <x:c r="P359" s="9" t="n">
        <x:v>0</x:v>
      </x:c>
      <x:c r="Q359" s="9" t="n">
        <x:v>0</x:v>
      </x:c>
      <x:c r="R359" s="9" t="str">
        <x:v>OPEN / UNSTARTED</x:v>
      </x:c>
      <x:c r="S359" s="9" t="n">
        <x:f>COUNTIFS($A$7:$A$1446,A359)</x:f>
        <x:v>1</x:v>
      </x:c>
    </x:row>
    <x:row r="360">
      <x:c r="A360" s="9" t="str">
        <x:v>EV-AR-RT-B-C-TECH-1-B1-BRK-G0-ST04</x:v>
      </x:c>
      <x:c r="B360" s="9" t="str">
        <x:v>EV-AR-RT-B-C-TECH-1-B1-BRK-G0</x:v>
      </x:c>
      <x:c r="C360" s="9" t="str">
        <x:v>EOW-AR-RT-B-C-TECH-1-B1-BRK-G0</x:v>
      </x:c>
      <x:c r="D360" s="9" t="str">
        <x:v>AR-RT-B-C-TECH-1-B1-BRK-G0</x:v>
      </x:c>
      <x:c r="E360" s="9" t="str">
        <x:v>RT-B-C-TECH-1</x:v>
      </x:c>
      <x:c r="F360" s="9" t="str">
        <x:v>RT-B-C</x:v>
      </x:c>
      <x:c r="G360" s="9" t="str">
        <x:v>B1</x:v>
      </x:c>
      <x:c r="H360" s="9" t="str">
        <x:v>BRK</x:v>
      </x:c>
      <x:c r="I360" s="9" t="n">
        <x:v>2</x:v>
      </x:c>
      <x:c r="J360" s="9" t="n">
        <x:v>2</x:v>
      </x:c>
      <x:c r="K360" s="9" t="str">
        <x:v>RT-B-C-N2</x:v>
      </x:c>
      <x:c r="L360" s="9" t="str">
        <x:v>ST04</x:v>
      </x:c>
      <x:c r="M360" s="17" t="str">
        <x:v>Primary capture armed</x:v>
      </x:c>
      <x:c r="N360" s="17" t="str">
        <x:v>primary chain records sealed reference and live time</x:v>
      </x:c>
      <x:c r="O360" s="17" t="str">
        <x:v>Primary metrology</x:v>
      </x:c>
      <x:c r="P360" s="9" t="n">
        <x:v>0</x:v>
      </x:c>
      <x:c r="Q360" s="9" t="n">
        <x:v>0</x:v>
      </x:c>
      <x:c r="R360" s="9" t="str">
        <x:v>OPEN / UNSTARTED</x:v>
      </x:c>
      <x:c r="S360" s="9" t="n">
        <x:f>COUNTIFS($A$7:$A$1446,A360)</x:f>
        <x:v>1</x:v>
      </x:c>
    </x:row>
    <x:row r="361">
      <x:c r="A361" s="9" t="str">
        <x:v>EV-AR-RT-B-C-TECH-1-B1-BRK-G0-ST05</x:v>
      </x:c>
      <x:c r="B361" s="9" t="str">
        <x:v>EV-AR-RT-B-C-TECH-1-B1-BRK-G0</x:v>
      </x:c>
      <x:c r="C361" s="9" t="str">
        <x:v>EOW-AR-RT-B-C-TECH-1-B1-BRK-G0</x:v>
      </x:c>
      <x:c r="D361" s="9" t="str">
        <x:v>AR-RT-B-C-TECH-1-B1-BRK-G0</x:v>
      </x:c>
      <x:c r="E361" s="9" t="str">
        <x:v>RT-B-C-TECH-1</x:v>
      </x:c>
      <x:c r="F361" s="9" t="str">
        <x:v>RT-B-C</x:v>
      </x:c>
      <x:c r="G361" s="9" t="str">
        <x:v>B1</x:v>
      </x:c>
      <x:c r="H361" s="9" t="str">
        <x:v>BRK</x:v>
      </x:c>
      <x:c r="I361" s="9" t="n">
        <x:v>2</x:v>
      </x:c>
      <x:c r="J361" s="9" t="n">
        <x:v>2</x:v>
      </x:c>
      <x:c r="K361" s="9" t="str">
        <x:v>RT-B-C-N2</x:v>
      </x:c>
      <x:c r="L361" s="9" t="str">
        <x:v>ST05</x:v>
      </x:c>
      <x:c r="M361" s="17" t="str">
        <x:v>Witness capture armed</x:v>
      </x:c>
      <x:c r="N361" s="17" t="str">
        <x:v>unlike witness records independent reference and live time</x:v>
      </x:c>
      <x:c r="O361" s="17" t="str">
        <x:v>Witness metrology</x:v>
      </x:c>
      <x:c r="P361" s="9" t="n">
        <x:v>0</x:v>
      </x:c>
      <x:c r="Q361" s="9" t="n">
        <x:v>0</x:v>
      </x:c>
      <x:c r="R361" s="9" t="str">
        <x:v>OPEN / UNSTARTED</x:v>
      </x:c>
      <x:c r="S361" s="9" t="n">
        <x:f>COUNTIFS($A$7:$A$1446,A361)</x:f>
        <x:v>1</x:v>
      </x:c>
    </x:row>
    <x:row r="362">
      <x:c r="A362" s="9" t="str">
        <x:v>EV-AR-RT-B-C-TECH-1-B1-BRK-G0-ST06</x:v>
      </x:c>
      <x:c r="B362" s="9" t="str">
        <x:v>EV-AR-RT-B-C-TECH-1-B1-BRK-G0</x:v>
      </x:c>
      <x:c r="C362" s="9" t="str">
        <x:v>EOW-AR-RT-B-C-TECH-1-B1-BRK-G0</x:v>
      </x:c>
      <x:c r="D362" s="9" t="str">
        <x:v>AR-RT-B-C-TECH-1-B1-BRK-G0</x:v>
      </x:c>
      <x:c r="E362" s="9" t="str">
        <x:v>RT-B-C-TECH-1</x:v>
      </x:c>
      <x:c r="F362" s="9" t="str">
        <x:v>RT-B-C</x:v>
      </x:c>
      <x:c r="G362" s="9" t="str">
        <x:v>B1</x:v>
      </x:c>
      <x:c r="H362" s="9" t="str">
        <x:v>BRK</x:v>
      </x:c>
      <x:c r="I362" s="9" t="n">
        <x:v>2</x:v>
      </x:c>
      <x:c r="J362" s="9" t="n">
        <x:v>2</x:v>
      </x:c>
      <x:c r="K362" s="9" t="str">
        <x:v>RT-B-C-N2</x:v>
      </x:c>
      <x:c r="L362" s="9" t="str">
        <x:v>ST06</x:v>
      </x:c>
      <x:c r="M362" s="17" t="str">
        <x:v>Public custody armed</x:v>
      </x:c>
      <x:c r="N362" s="17" t="str">
        <x:v>eight raw origins have separated hash and replica routes</x:v>
      </x:c>
      <x:c r="O362" s="17" t="str">
        <x:v>Custody authority</x:v>
      </x:c>
      <x:c r="P362" s="9" t="n">
        <x:v>0</x:v>
      </x:c>
      <x:c r="Q362" s="9" t="n">
        <x:v>0</x:v>
      </x:c>
      <x:c r="R362" s="9" t="str">
        <x:v>OPEN / UNSTARTED</x:v>
      </x:c>
      <x:c r="S362" s="9" t="n">
        <x:f>COUNTIFS($A$7:$A$1446,A362)</x:f>
        <x:v>1</x:v>
      </x:c>
    </x:row>
    <x:row r="363">
      <x:c r="A363" s="9" t="str">
        <x:v>EV-AR-RT-B-C-TECH-1-B1-BRK-G0-ST07</x:v>
      </x:c>
      <x:c r="B363" s="9" t="str">
        <x:v>EV-AR-RT-B-C-TECH-1-B1-BRK-G0</x:v>
      </x:c>
      <x:c r="C363" s="9" t="str">
        <x:v>EOW-AR-RT-B-C-TECH-1-B1-BRK-G0</x:v>
      </x:c>
      <x:c r="D363" s="9" t="str">
        <x:v>AR-RT-B-C-TECH-1-B1-BRK-G0</x:v>
      </x:c>
      <x:c r="E363" s="9" t="str">
        <x:v>RT-B-C-TECH-1</x:v>
      </x:c>
      <x:c r="F363" s="9" t="str">
        <x:v>RT-B-C</x:v>
      </x:c>
      <x:c r="G363" s="9" t="str">
        <x:v>B1</x:v>
      </x:c>
      <x:c r="H363" s="9" t="str">
        <x:v>BRK</x:v>
      </x:c>
      <x:c r="I363" s="9" t="n">
        <x:v>2</x:v>
      </x:c>
      <x:c r="J363" s="9" t="n">
        <x:v>2</x:v>
      </x:c>
      <x:c r="K363" s="9" t="str">
        <x:v>RT-B-C-N2</x:v>
      </x:c>
      <x:c r="L363" s="9" t="str">
        <x:v>ST07</x:v>
      </x:c>
      <x:c r="M363" s="17" t="str">
        <x:v>Environmental baseline</x:v>
      </x:c>
      <x:c r="N363" s="17" t="str">
        <x:v>pre-event boundary state is sealed before decisive operation</x:v>
      </x:c>
      <x:c r="O363" s="17" t="str">
        <x:v>Site metrology</x:v>
      </x:c>
      <x:c r="P363" s="9" t="n">
        <x:v>0</x:v>
      </x:c>
      <x:c r="Q363" s="9" t="n">
        <x:v>0</x:v>
      </x:c>
      <x:c r="R363" s="9" t="str">
        <x:v>OPEN / UNSTARTED</x:v>
      </x:c>
      <x:c r="S363" s="9" t="n">
        <x:f>COUNTIFS($A$7:$A$1446,A363)</x:f>
        <x:v>1</x:v>
      </x:c>
    </x:row>
    <x:row r="364">
      <x:c r="A364" s="9" t="str">
        <x:v>EV-AR-RT-B-C-TECH-1-B1-BRK-G0-ST08</x:v>
      </x:c>
      <x:c r="B364" s="9" t="str">
        <x:v>EV-AR-RT-B-C-TECH-1-B1-BRK-G0</x:v>
      </x:c>
      <x:c r="C364" s="9" t="str">
        <x:v>EOW-AR-RT-B-C-TECH-1-B1-BRK-G0</x:v>
      </x:c>
      <x:c r="D364" s="9" t="str">
        <x:v>AR-RT-B-C-TECH-1-B1-BRK-G0</x:v>
      </x:c>
      <x:c r="E364" s="9" t="str">
        <x:v>RT-B-C-TECH-1</x:v>
      </x:c>
      <x:c r="F364" s="9" t="str">
        <x:v>RT-B-C</x:v>
      </x:c>
      <x:c r="G364" s="9" t="str">
        <x:v>B1</x:v>
      </x:c>
      <x:c r="H364" s="9" t="str">
        <x:v>BRK</x:v>
      </x:c>
      <x:c r="I364" s="9" t="n">
        <x:v>2</x:v>
      </x:c>
      <x:c r="J364" s="9" t="n">
        <x:v>2</x:v>
      </x:c>
      <x:c r="K364" s="9" t="str">
        <x:v>RT-B-C-N2</x:v>
      </x:c>
      <x:c r="L364" s="9" t="str">
        <x:v>ST08</x:v>
      </x:c>
      <x:c r="M364" s="17" t="str">
        <x:v>Manual stop and safety</x:v>
      </x:c>
      <x:c r="N364" s="17" t="str">
        <x:v>local stop, evacuation and protection routes are active</x:v>
      </x:c>
      <x:c r="O364" s="17" t="str">
        <x:v>Safety authority</x:v>
      </x:c>
      <x:c r="P364" s="9" t="n">
        <x:v>0</x:v>
      </x:c>
      <x:c r="Q364" s="9" t="n">
        <x:v>0</x:v>
      </x:c>
      <x:c r="R364" s="9" t="str">
        <x:v>OPEN / UNSTARTED</x:v>
      </x:c>
      <x:c r="S364" s="9" t="n">
        <x:f>COUNTIFS($A$7:$A$1446,A364)</x:f>
        <x:v>1</x:v>
      </x:c>
    </x:row>
    <x:row r="365">
      <x:c r="A365" s="9" t="str">
        <x:v>EV-AR-RT-B-C-TECH-1-B1-BRK-G0-ST09</x:v>
      </x:c>
      <x:c r="B365" s="9" t="str">
        <x:v>EV-AR-RT-B-C-TECH-1-B1-BRK-G0</x:v>
      </x:c>
      <x:c r="C365" s="9" t="str">
        <x:v>EOW-AR-RT-B-C-TECH-1-B1-BRK-G0</x:v>
      </x:c>
      <x:c r="D365" s="9" t="str">
        <x:v>AR-RT-B-C-TECH-1-B1-BRK-G0</x:v>
      </x:c>
      <x:c r="E365" s="9" t="str">
        <x:v>RT-B-C-TECH-1</x:v>
      </x:c>
      <x:c r="F365" s="9" t="str">
        <x:v>RT-B-C</x:v>
      </x:c>
      <x:c r="G365" s="9" t="str">
        <x:v>B1</x:v>
      </x:c>
      <x:c r="H365" s="9" t="str">
        <x:v>BRK</x:v>
      </x:c>
      <x:c r="I365" s="9" t="n">
        <x:v>2</x:v>
      </x:c>
      <x:c r="J365" s="9" t="n">
        <x:v>2</x:v>
      </x:c>
      <x:c r="K365" s="9" t="str">
        <x:v>RT-B-C-N2</x:v>
      </x:c>
      <x:c r="L365" s="9" t="str">
        <x:v>ST09</x:v>
      </x:c>
      <x:c r="M365" s="17" t="str">
        <x:v>Operator conflict clear</x:v>
      </x:c>
      <x:c r="N365" s="17" t="str">
        <x:v>candidate, fixture, safety and measurement control edges remain separated</x:v>
      </x:c>
      <x:c r="O365" s="17" t="str">
        <x:v>Conflict registrar</x:v>
      </x:c>
      <x:c r="P365" s="9" t="n">
        <x:v>0</x:v>
      </x:c>
      <x:c r="Q365" s="9" t="n">
        <x:v>0</x:v>
      </x:c>
      <x:c r="R365" s="9" t="str">
        <x:v>OPEN / UNSTARTED</x:v>
      </x:c>
      <x:c r="S365" s="9" t="n">
        <x:f>COUNTIFS($A$7:$A$1446,A365)</x:f>
        <x:v>1</x:v>
      </x:c>
    </x:row>
    <x:row r="366">
      <x:c r="A366" s="9" t="str">
        <x:v>EV-AR-RT-B-C-TECH-1-B1-BRK-G0-ST10</x:v>
      </x:c>
      <x:c r="B366" s="9" t="str">
        <x:v>EV-AR-RT-B-C-TECH-1-B1-BRK-G0</x:v>
      </x:c>
      <x:c r="C366" s="9" t="str">
        <x:v>EOW-AR-RT-B-C-TECH-1-B1-BRK-G0</x:v>
      </x:c>
      <x:c r="D366" s="9" t="str">
        <x:v>AR-RT-B-C-TECH-1-B1-BRK-G0</x:v>
      </x:c>
      <x:c r="E366" s="9" t="str">
        <x:v>RT-B-C-TECH-1</x:v>
      </x:c>
      <x:c r="F366" s="9" t="str">
        <x:v>RT-B-C</x:v>
      </x:c>
      <x:c r="G366" s="9" t="str">
        <x:v>B1</x:v>
      </x:c>
      <x:c r="H366" s="9" t="str">
        <x:v>BRK</x:v>
      </x:c>
      <x:c r="I366" s="9" t="n">
        <x:v>2</x:v>
      </x:c>
      <x:c r="J366" s="9" t="n">
        <x:v>2</x:v>
      </x:c>
      <x:c r="K366" s="9" t="str">
        <x:v>RT-B-C-N2</x:v>
      </x:c>
      <x:c r="L366" s="9" t="str">
        <x:v>ST10</x:v>
      </x:c>
      <x:c r="M366" s="17" t="str">
        <x:v>Window and common clock</x:v>
      </x:c>
      <x:c r="N366" s="17" t="str">
        <x:v>epoch, window and public time origin match the issued warrant</x:v>
      </x:c>
      <x:c r="O366" s="17" t="str">
        <x:v>Event clock authority</x:v>
      </x:c>
      <x:c r="P366" s="9" t="n">
        <x:v>0</x:v>
      </x:c>
      <x:c r="Q366" s="9" t="n">
        <x:v>0</x:v>
      </x:c>
      <x:c r="R366" s="9" t="str">
        <x:v>OPEN / UNSTARTED</x:v>
      </x:c>
      <x:c r="S366" s="9" t="n">
        <x:f>COUNTIFS($A$7:$A$1446,A366)</x:f>
        <x:v>1</x:v>
      </x:c>
    </x:row>
    <x:row r="367">
      <x:c r="A367" s="9" t="str">
        <x:v>EV-AR-ET-A-A-TECH-4-B1-RCN-G0-ST01</x:v>
      </x:c>
      <x:c r="B367" s="9" t="str">
        <x:v>EV-AR-ET-A-A-TECH-4-B1-RCN-G0</x:v>
      </x:c>
      <x:c r="C367" s="9" t="str">
        <x:v>EOW-AR-ET-A-A-TECH-4-B1-RCN-G0</x:v>
      </x:c>
      <x:c r="D367" s="9" t="str">
        <x:v>AR-ET-A-A-TECH-4-B1-RCN-G0</x:v>
      </x:c>
      <x:c r="E367" s="9" t="str">
        <x:v>ET-A-A-TECH-4</x:v>
      </x:c>
      <x:c r="F367" s="9" t="str">
        <x:v>ET-A-A</x:v>
      </x:c>
      <x:c r="G367" s="9" t="str">
        <x:v>B1</x:v>
      </x:c>
      <x:c r="H367" s="9" t="str">
        <x:v>RCN</x:v>
      </x:c>
      <x:c r="I367" s="9" t="n">
        <x:v>2</x:v>
      </x:c>
      <x:c r="J367" s="9" t="n">
        <x:v>3</x:v>
      </x:c>
      <x:c r="K367" s="9" t="str">
        <x:v>ET-A-A-N2</x:v>
      </x:c>
      <x:c r="L367" s="9" t="str">
        <x:v>ST01</x:v>
      </x:c>
      <x:c r="M367" s="17" t="str">
        <x:v>Active opportunity warrant</x:v>
      </x:c>
      <x:c r="N367" s="17" t="str">
        <x:v>configuration-bound EOW is within its thirty-six-hour validity</x:v>
      </x:c>
      <x:c r="O367" s="17" t="str">
        <x:v>Start registrar</x:v>
      </x:c>
      <x:c r="P367" s="9" t="n">
        <x:v>0</x:v>
      </x:c>
      <x:c r="Q367" s="9" t="n">
        <x:v>0</x:v>
      </x:c>
      <x:c r="R367" s="9" t="str">
        <x:v>OPEN / UNSTARTED</x:v>
      </x:c>
      <x:c r="S367" s="9" t="n">
        <x:f>COUNTIFS($A$7:$A$1446,A367)</x:f>
        <x:v>1</x:v>
      </x:c>
    </x:row>
    <x:row r="368">
      <x:c r="A368" s="9" t="str">
        <x:v>EV-AR-ET-A-A-TECH-4-B1-RCN-G0-ST02</x:v>
      </x:c>
      <x:c r="B368" s="9" t="str">
        <x:v>EV-AR-ET-A-A-TECH-4-B1-RCN-G0</x:v>
      </x:c>
      <x:c r="C368" s="9" t="str">
        <x:v>EOW-AR-ET-A-A-TECH-4-B1-RCN-G0</x:v>
      </x:c>
      <x:c r="D368" s="9" t="str">
        <x:v>AR-ET-A-A-TECH-4-B1-RCN-G0</x:v>
      </x:c>
      <x:c r="E368" s="9" t="str">
        <x:v>ET-A-A-TECH-4</x:v>
      </x:c>
      <x:c r="F368" s="9" t="str">
        <x:v>ET-A-A</x:v>
      </x:c>
      <x:c r="G368" s="9" t="str">
        <x:v>B1</x:v>
      </x:c>
      <x:c r="H368" s="9" t="str">
        <x:v>RCN</x:v>
      </x:c>
      <x:c r="I368" s="9" t="n">
        <x:v>2</x:v>
      </x:c>
      <x:c r="J368" s="9" t="n">
        <x:v>3</x:v>
      </x:c>
      <x:c r="K368" s="9" t="str">
        <x:v>ET-A-A-N2</x:v>
      </x:c>
      <x:c r="L368" s="9" t="str">
        <x:v>ST02</x:v>
      </x:c>
      <x:c r="M368" s="17" t="str">
        <x:v>Frozen identity</x:v>
      </x:c>
      <x:c r="N368" s="17" t="str">
        <x:v>serial, generation, fixture, site, receiver and digest match the warrant</x:v>
      </x:c>
      <x:c r="O368" s="17" t="str">
        <x:v>Custody authority</x:v>
      </x:c>
      <x:c r="P368" s="9" t="n">
        <x:v>0</x:v>
      </x:c>
      <x:c r="Q368" s="9" t="n">
        <x:v>0</x:v>
      </x:c>
      <x:c r="R368" s="9" t="str">
        <x:v>OPEN / UNSTARTED</x:v>
      </x:c>
      <x:c r="S368" s="9" t="n">
        <x:f>COUNTIFS($A$7:$A$1446,A368)</x:f>
        <x:v>1</x:v>
      </x:c>
    </x:row>
    <x:row r="369">
      <x:c r="A369" s="9" t="str">
        <x:v>EV-AR-ET-A-A-TECH-4-B1-RCN-G0-ST03</x:v>
      </x:c>
      <x:c r="B369" s="9" t="str">
        <x:v>EV-AR-ET-A-A-TECH-4-B1-RCN-G0</x:v>
      </x:c>
      <x:c r="C369" s="9" t="str">
        <x:v>EOW-AR-ET-A-A-TECH-4-B1-RCN-G0</x:v>
      </x:c>
      <x:c r="D369" s="9" t="str">
        <x:v>AR-ET-A-A-TECH-4-B1-RCN-G0</x:v>
      </x:c>
      <x:c r="E369" s="9" t="str">
        <x:v>ET-A-A-TECH-4</x:v>
      </x:c>
      <x:c r="F369" s="9" t="str">
        <x:v>ET-A-A</x:v>
      </x:c>
      <x:c r="G369" s="9" t="str">
        <x:v>B1</x:v>
      </x:c>
      <x:c r="H369" s="9" t="str">
        <x:v>RCN</x:v>
      </x:c>
      <x:c r="I369" s="9" t="n">
        <x:v>2</x:v>
      </x:c>
      <x:c r="J369" s="9" t="n">
        <x:v>3</x:v>
      </x:c>
      <x:c r="K369" s="9" t="str">
        <x:v>ET-A-A-N2</x:v>
      </x:c>
      <x:c r="L369" s="9" t="str">
        <x:v>ST03</x:v>
      </x:c>
      <x:c r="M369" s="17" t="str">
        <x:v>Receiver receipt</x:v>
      </x:c>
      <x:c r="N369" s="17" t="str">
        <x:v>denominator, counterfactual, rights and stop receipt remain unchanged</x:v>
      </x:c>
      <x:c r="O369" s="17" t="str">
        <x:v>Receiver authority</x:v>
      </x:c>
      <x:c r="P369" s="9" t="n">
        <x:v>0</x:v>
      </x:c>
      <x:c r="Q369" s="9" t="n">
        <x:v>0</x:v>
      </x:c>
      <x:c r="R369" s="9" t="str">
        <x:v>OPEN / UNSTARTED</x:v>
      </x:c>
      <x:c r="S369" s="9" t="n">
        <x:f>COUNTIFS($A$7:$A$1446,A369)</x:f>
        <x:v>1</x:v>
      </x:c>
    </x:row>
    <x:row r="370">
      <x:c r="A370" s="9" t="str">
        <x:v>EV-AR-ET-A-A-TECH-4-B1-RCN-G0-ST04</x:v>
      </x:c>
      <x:c r="B370" s="9" t="str">
        <x:v>EV-AR-ET-A-A-TECH-4-B1-RCN-G0</x:v>
      </x:c>
      <x:c r="C370" s="9" t="str">
        <x:v>EOW-AR-ET-A-A-TECH-4-B1-RCN-G0</x:v>
      </x:c>
      <x:c r="D370" s="9" t="str">
        <x:v>AR-ET-A-A-TECH-4-B1-RCN-G0</x:v>
      </x:c>
      <x:c r="E370" s="9" t="str">
        <x:v>ET-A-A-TECH-4</x:v>
      </x:c>
      <x:c r="F370" s="9" t="str">
        <x:v>ET-A-A</x:v>
      </x:c>
      <x:c r="G370" s="9" t="str">
        <x:v>B1</x:v>
      </x:c>
      <x:c r="H370" s="9" t="str">
        <x:v>RCN</x:v>
      </x:c>
      <x:c r="I370" s="9" t="n">
        <x:v>2</x:v>
      </x:c>
      <x:c r="J370" s="9" t="n">
        <x:v>3</x:v>
      </x:c>
      <x:c r="K370" s="9" t="str">
        <x:v>ET-A-A-N2</x:v>
      </x:c>
      <x:c r="L370" s="9" t="str">
        <x:v>ST04</x:v>
      </x:c>
      <x:c r="M370" s="17" t="str">
        <x:v>Primary capture armed</x:v>
      </x:c>
      <x:c r="N370" s="17" t="str">
        <x:v>primary chain records sealed reference and live time</x:v>
      </x:c>
      <x:c r="O370" s="17" t="str">
        <x:v>Primary metrology</x:v>
      </x:c>
      <x:c r="P370" s="9" t="n">
        <x:v>0</x:v>
      </x:c>
      <x:c r="Q370" s="9" t="n">
        <x:v>0</x:v>
      </x:c>
      <x:c r="R370" s="9" t="str">
        <x:v>OPEN / UNSTARTED</x:v>
      </x:c>
      <x:c r="S370" s="9" t="n">
        <x:f>COUNTIFS($A$7:$A$1446,A370)</x:f>
        <x:v>1</x:v>
      </x:c>
    </x:row>
    <x:row r="371">
      <x:c r="A371" s="9" t="str">
        <x:v>EV-AR-ET-A-A-TECH-4-B1-RCN-G0-ST05</x:v>
      </x:c>
      <x:c r="B371" s="9" t="str">
        <x:v>EV-AR-ET-A-A-TECH-4-B1-RCN-G0</x:v>
      </x:c>
      <x:c r="C371" s="9" t="str">
        <x:v>EOW-AR-ET-A-A-TECH-4-B1-RCN-G0</x:v>
      </x:c>
      <x:c r="D371" s="9" t="str">
        <x:v>AR-ET-A-A-TECH-4-B1-RCN-G0</x:v>
      </x:c>
      <x:c r="E371" s="9" t="str">
        <x:v>ET-A-A-TECH-4</x:v>
      </x:c>
      <x:c r="F371" s="9" t="str">
        <x:v>ET-A-A</x:v>
      </x:c>
      <x:c r="G371" s="9" t="str">
        <x:v>B1</x:v>
      </x:c>
      <x:c r="H371" s="9" t="str">
        <x:v>RCN</x:v>
      </x:c>
      <x:c r="I371" s="9" t="n">
        <x:v>2</x:v>
      </x:c>
      <x:c r="J371" s="9" t="n">
        <x:v>3</x:v>
      </x:c>
      <x:c r="K371" s="9" t="str">
        <x:v>ET-A-A-N2</x:v>
      </x:c>
      <x:c r="L371" s="9" t="str">
        <x:v>ST05</x:v>
      </x:c>
      <x:c r="M371" s="17" t="str">
        <x:v>Witness capture armed</x:v>
      </x:c>
      <x:c r="N371" s="17" t="str">
        <x:v>unlike witness records independent reference and live time</x:v>
      </x:c>
      <x:c r="O371" s="17" t="str">
        <x:v>Witness metrology</x:v>
      </x:c>
      <x:c r="P371" s="9" t="n">
        <x:v>0</x:v>
      </x:c>
      <x:c r="Q371" s="9" t="n">
        <x:v>0</x:v>
      </x:c>
      <x:c r="R371" s="9" t="str">
        <x:v>OPEN / UNSTARTED</x:v>
      </x:c>
      <x:c r="S371" s="9" t="n">
        <x:f>COUNTIFS($A$7:$A$1446,A371)</x:f>
        <x:v>1</x:v>
      </x:c>
    </x:row>
    <x:row r="372">
      <x:c r="A372" s="9" t="str">
        <x:v>EV-AR-ET-A-A-TECH-4-B1-RCN-G0-ST06</x:v>
      </x:c>
      <x:c r="B372" s="9" t="str">
        <x:v>EV-AR-ET-A-A-TECH-4-B1-RCN-G0</x:v>
      </x:c>
      <x:c r="C372" s="9" t="str">
        <x:v>EOW-AR-ET-A-A-TECH-4-B1-RCN-G0</x:v>
      </x:c>
      <x:c r="D372" s="9" t="str">
        <x:v>AR-ET-A-A-TECH-4-B1-RCN-G0</x:v>
      </x:c>
      <x:c r="E372" s="9" t="str">
        <x:v>ET-A-A-TECH-4</x:v>
      </x:c>
      <x:c r="F372" s="9" t="str">
        <x:v>ET-A-A</x:v>
      </x:c>
      <x:c r="G372" s="9" t="str">
        <x:v>B1</x:v>
      </x:c>
      <x:c r="H372" s="9" t="str">
        <x:v>RCN</x:v>
      </x:c>
      <x:c r="I372" s="9" t="n">
        <x:v>2</x:v>
      </x:c>
      <x:c r="J372" s="9" t="n">
        <x:v>3</x:v>
      </x:c>
      <x:c r="K372" s="9" t="str">
        <x:v>ET-A-A-N2</x:v>
      </x:c>
      <x:c r="L372" s="9" t="str">
        <x:v>ST06</x:v>
      </x:c>
      <x:c r="M372" s="17" t="str">
        <x:v>Public custody armed</x:v>
      </x:c>
      <x:c r="N372" s="17" t="str">
        <x:v>eight raw origins have separated hash and replica routes</x:v>
      </x:c>
      <x:c r="O372" s="17" t="str">
        <x:v>Custody authority</x:v>
      </x:c>
      <x:c r="P372" s="9" t="n">
        <x:v>0</x:v>
      </x:c>
      <x:c r="Q372" s="9" t="n">
        <x:v>0</x:v>
      </x:c>
      <x:c r="R372" s="9" t="str">
        <x:v>OPEN / UNSTARTED</x:v>
      </x:c>
      <x:c r="S372" s="9" t="n">
        <x:f>COUNTIFS($A$7:$A$1446,A372)</x:f>
        <x:v>1</x:v>
      </x:c>
    </x:row>
    <x:row r="373">
      <x:c r="A373" s="9" t="str">
        <x:v>EV-AR-ET-A-A-TECH-4-B1-RCN-G0-ST07</x:v>
      </x:c>
      <x:c r="B373" s="9" t="str">
        <x:v>EV-AR-ET-A-A-TECH-4-B1-RCN-G0</x:v>
      </x:c>
      <x:c r="C373" s="9" t="str">
        <x:v>EOW-AR-ET-A-A-TECH-4-B1-RCN-G0</x:v>
      </x:c>
      <x:c r="D373" s="9" t="str">
        <x:v>AR-ET-A-A-TECH-4-B1-RCN-G0</x:v>
      </x:c>
      <x:c r="E373" s="9" t="str">
        <x:v>ET-A-A-TECH-4</x:v>
      </x:c>
      <x:c r="F373" s="9" t="str">
        <x:v>ET-A-A</x:v>
      </x:c>
      <x:c r="G373" s="9" t="str">
        <x:v>B1</x:v>
      </x:c>
      <x:c r="H373" s="9" t="str">
        <x:v>RCN</x:v>
      </x:c>
      <x:c r="I373" s="9" t="n">
        <x:v>2</x:v>
      </x:c>
      <x:c r="J373" s="9" t="n">
        <x:v>3</x:v>
      </x:c>
      <x:c r="K373" s="9" t="str">
        <x:v>ET-A-A-N2</x:v>
      </x:c>
      <x:c r="L373" s="9" t="str">
        <x:v>ST07</x:v>
      </x:c>
      <x:c r="M373" s="17" t="str">
        <x:v>Environmental baseline</x:v>
      </x:c>
      <x:c r="N373" s="17" t="str">
        <x:v>pre-event boundary state is sealed before decisive operation</x:v>
      </x:c>
      <x:c r="O373" s="17" t="str">
        <x:v>Site metrology</x:v>
      </x:c>
      <x:c r="P373" s="9" t="n">
        <x:v>0</x:v>
      </x:c>
      <x:c r="Q373" s="9" t="n">
        <x:v>0</x:v>
      </x:c>
      <x:c r="R373" s="9" t="str">
        <x:v>OPEN / UNSTARTED</x:v>
      </x:c>
      <x:c r="S373" s="9" t="n">
        <x:f>COUNTIFS($A$7:$A$1446,A373)</x:f>
        <x:v>1</x:v>
      </x:c>
    </x:row>
    <x:row r="374">
      <x:c r="A374" s="9" t="str">
        <x:v>EV-AR-ET-A-A-TECH-4-B1-RCN-G0-ST08</x:v>
      </x:c>
      <x:c r="B374" s="9" t="str">
        <x:v>EV-AR-ET-A-A-TECH-4-B1-RCN-G0</x:v>
      </x:c>
      <x:c r="C374" s="9" t="str">
        <x:v>EOW-AR-ET-A-A-TECH-4-B1-RCN-G0</x:v>
      </x:c>
      <x:c r="D374" s="9" t="str">
        <x:v>AR-ET-A-A-TECH-4-B1-RCN-G0</x:v>
      </x:c>
      <x:c r="E374" s="9" t="str">
        <x:v>ET-A-A-TECH-4</x:v>
      </x:c>
      <x:c r="F374" s="9" t="str">
        <x:v>ET-A-A</x:v>
      </x:c>
      <x:c r="G374" s="9" t="str">
        <x:v>B1</x:v>
      </x:c>
      <x:c r="H374" s="9" t="str">
        <x:v>RCN</x:v>
      </x:c>
      <x:c r="I374" s="9" t="n">
        <x:v>2</x:v>
      </x:c>
      <x:c r="J374" s="9" t="n">
        <x:v>3</x:v>
      </x:c>
      <x:c r="K374" s="9" t="str">
        <x:v>ET-A-A-N2</x:v>
      </x:c>
      <x:c r="L374" s="9" t="str">
        <x:v>ST08</x:v>
      </x:c>
      <x:c r="M374" s="17" t="str">
        <x:v>Manual stop and safety</x:v>
      </x:c>
      <x:c r="N374" s="17" t="str">
        <x:v>local stop, evacuation and protection routes are active</x:v>
      </x:c>
      <x:c r="O374" s="17" t="str">
        <x:v>Safety authority</x:v>
      </x:c>
      <x:c r="P374" s="9" t="n">
        <x:v>0</x:v>
      </x:c>
      <x:c r="Q374" s="9" t="n">
        <x:v>0</x:v>
      </x:c>
      <x:c r="R374" s="9" t="str">
        <x:v>OPEN / UNSTARTED</x:v>
      </x:c>
      <x:c r="S374" s="9" t="n">
        <x:f>COUNTIFS($A$7:$A$1446,A374)</x:f>
        <x:v>1</x:v>
      </x:c>
    </x:row>
    <x:row r="375">
      <x:c r="A375" s="9" t="str">
        <x:v>EV-AR-ET-A-A-TECH-4-B1-RCN-G0-ST09</x:v>
      </x:c>
      <x:c r="B375" s="9" t="str">
        <x:v>EV-AR-ET-A-A-TECH-4-B1-RCN-G0</x:v>
      </x:c>
      <x:c r="C375" s="9" t="str">
        <x:v>EOW-AR-ET-A-A-TECH-4-B1-RCN-G0</x:v>
      </x:c>
      <x:c r="D375" s="9" t="str">
        <x:v>AR-ET-A-A-TECH-4-B1-RCN-G0</x:v>
      </x:c>
      <x:c r="E375" s="9" t="str">
        <x:v>ET-A-A-TECH-4</x:v>
      </x:c>
      <x:c r="F375" s="9" t="str">
        <x:v>ET-A-A</x:v>
      </x:c>
      <x:c r="G375" s="9" t="str">
        <x:v>B1</x:v>
      </x:c>
      <x:c r="H375" s="9" t="str">
        <x:v>RCN</x:v>
      </x:c>
      <x:c r="I375" s="9" t="n">
        <x:v>2</x:v>
      </x:c>
      <x:c r="J375" s="9" t="n">
        <x:v>3</x:v>
      </x:c>
      <x:c r="K375" s="9" t="str">
        <x:v>ET-A-A-N2</x:v>
      </x:c>
      <x:c r="L375" s="9" t="str">
        <x:v>ST09</x:v>
      </x:c>
      <x:c r="M375" s="17" t="str">
        <x:v>Operator conflict clear</x:v>
      </x:c>
      <x:c r="N375" s="17" t="str">
        <x:v>candidate, fixture, safety and measurement control edges remain separated</x:v>
      </x:c>
      <x:c r="O375" s="17" t="str">
        <x:v>Conflict registrar</x:v>
      </x:c>
      <x:c r="P375" s="9" t="n">
        <x:v>0</x:v>
      </x:c>
      <x:c r="Q375" s="9" t="n">
        <x:v>0</x:v>
      </x:c>
      <x:c r="R375" s="9" t="str">
        <x:v>OPEN / UNSTARTED</x:v>
      </x:c>
      <x:c r="S375" s="9" t="n">
        <x:f>COUNTIFS($A$7:$A$1446,A375)</x:f>
        <x:v>1</x:v>
      </x:c>
    </x:row>
    <x:row r="376">
      <x:c r="A376" s="9" t="str">
        <x:v>EV-AR-ET-A-A-TECH-4-B1-RCN-G0-ST10</x:v>
      </x:c>
      <x:c r="B376" s="9" t="str">
        <x:v>EV-AR-ET-A-A-TECH-4-B1-RCN-G0</x:v>
      </x:c>
      <x:c r="C376" s="9" t="str">
        <x:v>EOW-AR-ET-A-A-TECH-4-B1-RCN-G0</x:v>
      </x:c>
      <x:c r="D376" s="9" t="str">
        <x:v>AR-ET-A-A-TECH-4-B1-RCN-G0</x:v>
      </x:c>
      <x:c r="E376" s="9" t="str">
        <x:v>ET-A-A-TECH-4</x:v>
      </x:c>
      <x:c r="F376" s="9" t="str">
        <x:v>ET-A-A</x:v>
      </x:c>
      <x:c r="G376" s="9" t="str">
        <x:v>B1</x:v>
      </x:c>
      <x:c r="H376" s="9" t="str">
        <x:v>RCN</x:v>
      </x:c>
      <x:c r="I376" s="9" t="n">
        <x:v>2</x:v>
      </x:c>
      <x:c r="J376" s="9" t="n">
        <x:v>3</x:v>
      </x:c>
      <x:c r="K376" s="9" t="str">
        <x:v>ET-A-A-N2</x:v>
      </x:c>
      <x:c r="L376" s="9" t="str">
        <x:v>ST10</x:v>
      </x:c>
      <x:c r="M376" s="17" t="str">
        <x:v>Window and common clock</x:v>
      </x:c>
      <x:c r="N376" s="17" t="str">
        <x:v>epoch, window and public time origin match the issued warrant</x:v>
      </x:c>
      <x:c r="O376" s="17" t="str">
        <x:v>Event clock authority</x:v>
      </x:c>
      <x:c r="P376" s="9" t="n">
        <x:v>0</x:v>
      </x:c>
      <x:c r="Q376" s="9" t="n">
        <x:v>0</x:v>
      </x:c>
      <x:c r="R376" s="9" t="str">
        <x:v>OPEN / UNSTARTED</x:v>
      </x:c>
      <x:c r="S376" s="9" t="n">
        <x:f>COUNTIFS($A$7:$A$1446,A376)</x:f>
        <x:v>1</x:v>
      </x:c>
    </x:row>
    <x:row r="377">
      <x:c r="A377" s="9" t="str">
        <x:v>EV-AR-ET-A-A-TECH-2-B1-INT-G0-ST01</x:v>
      </x:c>
      <x:c r="B377" s="9" t="str">
        <x:v>EV-AR-ET-A-A-TECH-2-B1-INT-G0</x:v>
      </x:c>
      <x:c r="C377" s="9" t="str">
        <x:v>EOW-AR-ET-A-A-TECH-2-B1-INT-G0</x:v>
      </x:c>
      <x:c r="D377" s="9" t="str">
        <x:v>AR-ET-A-A-TECH-2-B1-INT-G0</x:v>
      </x:c>
      <x:c r="E377" s="9" t="str">
        <x:v>ET-A-A-TECH-2</x:v>
      </x:c>
      <x:c r="F377" s="9" t="str">
        <x:v>ET-A-A</x:v>
      </x:c>
      <x:c r="G377" s="9" t="str">
        <x:v>B1</x:v>
      </x:c>
      <x:c r="H377" s="9" t="str">
        <x:v>INT</x:v>
      </x:c>
      <x:c r="I377" s="9" t="n">
        <x:v>2</x:v>
      </x:c>
      <x:c r="J377" s="9" t="n">
        <x:v>3</x:v>
      </x:c>
      <x:c r="K377" s="9" t="str">
        <x:v>ET-A-A-N3</x:v>
      </x:c>
      <x:c r="L377" s="9" t="str">
        <x:v>ST01</x:v>
      </x:c>
      <x:c r="M377" s="17" t="str">
        <x:v>Active opportunity warrant</x:v>
      </x:c>
      <x:c r="N377" s="17" t="str">
        <x:v>configuration-bound EOW is within its thirty-six-hour validity</x:v>
      </x:c>
      <x:c r="O377" s="17" t="str">
        <x:v>Start registrar</x:v>
      </x:c>
      <x:c r="P377" s="9" t="n">
        <x:v>0</x:v>
      </x:c>
      <x:c r="Q377" s="9" t="n">
        <x:v>0</x:v>
      </x:c>
      <x:c r="R377" s="9" t="str">
        <x:v>OPEN / UNSTARTED</x:v>
      </x:c>
      <x:c r="S377" s="9" t="n">
        <x:f>COUNTIFS($A$7:$A$1446,A377)</x:f>
        <x:v>1</x:v>
      </x:c>
    </x:row>
    <x:row r="378">
      <x:c r="A378" s="9" t="str">
        <x:v>EV-AR-ET-A-A-TECH-2-B1-INT-G0-ST02</x:v>
      </x:c>
      <x:c r="B378" s="9" t="str">
        <x:v>EV-AR-ET-A-A-TECH-2-B1-INT-G0</x:v>
      </x:c>
      <x:c r="C378" s="9" t="str">
        <x:v>EOW-AR-ET-A-A-TECH-2-B1-INT-G0</x:v>
      </x:c>
      <x:c r="D378" s="9" t="str">
        <x:v>AR-ET-A-A-TECH-2-B1-INT-G0</x:v>
      </x:c>
      <x:c r="E378" s="9" t="str">
        <x:v>ET-A-A-TECH-2</x:v>
      </x:c>
      <x:c r="F378" s="9" t="str">
        <x:v>ET-A-A</x:v>
      </x:c>
      <x:c r="G378" s="9" t="str">
        <x:v>B1</x:v>
      </x:c>
      <x:c r="H378" s="9" t="str">
        <x:v>INT</x:v>
      </x:c>
      <x:c r="I378" s="9" t="n">
        <x:v>2</x:v>
      </x:c>
      <x:c r="J378" s="9" t="n">
        <x:v>3</x:v>
      </x:c>
      <x:c r="K378" s="9" t="str">
        <x:v>ET-A-A-N3</x:v>
      </x:c>
      <x:c r="L378" s="9" t="str">
        <x:v>ST02</x:v>
      </x:c>
      <x:c r="M378" s="17" t="str">
        <x:v>Frozen identity</x:v>
      </x:c>
      <x:c r="N378" s="17" t="str">
        <x:v>serial, generation, fixture, site, receiver and digest match the warrant</x:v>
      </x:c>
      <x:c r="O378" s="17" t="str">
        <x:v>Custody authority</x:v>
      </x:c>
      <x:c r="P378" s="9" t="n">
        <x:v>0</x:v>
      </x:c>
      <x:c r="Q378" s="9" t="n">
        <x:v>0</x:v>
      </x:c>
      <x:c r="R378" s="9" t="str">
        <x:v>OPEN / UNSTARTED</x:v>
      </x:c>
      <x:c r="S378" s="9" t="n">
        <x:f>COUNTIFS($A$7:$A$1446,A378)</x:f>
        <x:v>1</x:v>
      </x:c>
    </x:row>
    <x:row r="379">
      <x:c r="A379" s="9" t="str">
        <x:v>EV-AR-ET-A-A-TECH-2-B1-INT-G0-ST03</x:v>
      </x:c>
      <x:c r="B379" s="9" t="str">
        <x:v>EV-AR-ET-A-A-TECH-2-B1-INT-G0</x:v>
      </x:c>
      <x:c r="C379" s="9" t="str">
        <x:v>EOW-AR-ET-A-A-TECH-2-B1-INT-G0</x:v>
      </x:c>
      <x:c r="D379" s="9" t="str">
        <x:v>AR-ET-A-A-TECH-2-B1-INT-G0</x:v>
      </x:c>
      <x:c r="E379" s="9" t="str">
        <x:v>ET-A-A-TECH-2</x:v>
      </x:c>
      <x:c r="F379" s="9" t="str">
        <x:v>ET-A-A</x:v>
      </x:c>
      <x:c r="G379" s="9" t="str">
        <x:v>B1</x:v>
      </x:c>
      <x:c r="H379" s="9" t="str">
        <x:v>INT</x:v>
      </x:c>
      <x:c r="I379" s="9" t="n">
        <x:v>2</x:v>
      </x:c>
      <x:c r="J379" s="9" t="n">
        <x:v>3</x:v>
      </x:c>
      <x:c r="K379" s="9" t="str">
        <x:v>ET-A-A-N3</x:v>
      </x:c>
      <x:c r="L379" s="9" t="str">
        <x:v>ST03</x:v>
      </x:c>
      <x:c r="M379" s="17" t="str">
        <x:v>Receiver receipt</x:v>
      </x:c>
      <x:c r="N379" s="17" t="str">
        <x:v>denominator, counterfactual, rights and stop receipt remain unchanged</x:v>
      </x:c>
      <x:c r="O379" s="17" t="str">
        <x:v>Receiver authority</x:v>
      </x:c>
      <x:c r="P379" s="9" t="n">
        <x:v>0</x:v>
      </x:c>
      <x:c r="Q379" s="9" t="n">
        <x:v>0</x:v>
      </x:c>
      <x:c r="R379" s="9" t="str">
        <x:v>OPEN / UNSTARTED</x:v>
      </x:c>
      <x:c r="S379" s="9" t="n">
        <x:f>COUNTIFS($A$7:$A$1446,A379)</x:f>
        <x:v>1</x:v>
      </x:c>
    </x:row>
    <x:row r="380">
      <x:c r="A380" s="9" t="str">
        <x:v>EV-AR-ET-A-A-TECH-2-B1-INT-G0-ST04</x:v>
      </x:c>
      <x:c r="B380" s="9" t="str">
        <x:v>EV-AR-ET-A-A-TECH-2-B1-INT-G0</x:v>
      </x:c>
      <x:c r="C380" s="9" t="str">
        <x:v>EOW-AR-ET-A-A-TECH-2-B1-INT-G0</x:v>
      </x:c>
      <x:c r="D380" s="9" t="str">
        <x:v>AR-ET-A-A-TECH-2-B1-INT-G0</x:v>
      </x:c>
      <x:c r="E380" s="9" t="str">
        <x:v>ET-A-A-TECH-2</x:v>
      </x:c>
      <x:c r="F380" s="9" t="str">
        <x:v>ET-A-A</x:v>
      </x:c>
      <x:c r="G380" s="9" t="str">
        <x:v>B1</x:v>
      </x:c>
      <x:c r="H380" s="9" t="str">
        <x:v>INT</x:v>
      </x:c>
      <x:c r="I380" s="9" t="n">
        <x:v>2</x:v>
      </x:c>
      <x:c r="J380" s="9" t="n">
        <x:v>3</x:v>
      </x:c>
      <x:c r="K380" s="9" t="str">
        <x:v>ET-A-A-N3</x:v>
      </x:c>
      <x:c r="L380" s="9" t="str">
        <x:v>ST04</x:v>
      </x:c>
      <x:c r="M380" s="17" t="str">
        <x:v>Primary capture armed</x:v>
      </x:c>
      <x:c r="N380" s="17" t="str">
        <x:v>primary chain records sealed reference and live time</x:v>
      </x:c>
      <x:c r="O380" s="17" t="str">
        <x:v>Primary metrology</x:v>
      </x:c>
      <x:c r="P380" s="9" t="n">
        <x:v>0</x:v>
      </x:c>
      <x:c r="Q380" s="9" t="n">
        <x:v>0</x:v>
      </x:c>
      <x:c r="R380" s="9" t="str">
        <x:v>OPEN / UNSTARTED</x:v>
      </x:c>
      <x:c r="S380" s="9" t="n">
        <x:f>COUNTIFS($A$7:$A$1446,A380)</x:f>
        <x:v>1</x:v>
      </x:c>
    </x:row>
    <x:row r="381">
      <x:c r="A381" s="9" t="str">
        <x:v>EV-AR-ET-A-A-TECH-2-B1-INT-G0-ST05</x:v>
      </x:c>
      <x:c r="B381" s="9" t="str">
        <x:v>EV-AR-ET-A-A-TECH-2-B1-INT-G0</x:v>
      </x:c>
      <x:c r="C381" s="9" t="str">
        <x:v>EOW-AR-ET-A-A-TECH-2-B1-INT-G0</x:v>
      </x:c>
      <x:c r="D381" s="9" t="str">
        <x:v>AR-ET-A-A-TECH-2-B1-INT-G0</x:v>
      </x:c>
      <x:c r="E381" s="9" t="str">
        <x:v>ET-A-A-TECH-2</x:v>
      </x:c>
      <x:c r="F381" s="9" t="str">
        <x:v>ET-A-A</x:v>
      </x:c>
      <x:c r="G381" s="9" t="str">
        <x:v>B1</x:v>
      </x:c>
      <x:c r="H381" s="9" t="str">
        <x:v>INT</x:v>
      </x:c>
      <x:c r="I381" s="9" t="n">
        <x:v>2</x:v>
      </x:c>
      <x:c r="J381" s="9" t="n">
        <x:v>3</x:v>
      </x:c>
      <x:c r="K381" s="9" t="str">
        <x:v>ET-A-A-N3</x:v>
      </x:c>
      <x:c r="L381" s="9" t="str">
        <x:v>ST05</x:v>
      </x:c>
      <x:c r="M381" s="17" t="str">
        <x:v>Witness capture armed</x:v>
      </x:c>
      <x:c r="N381" s="17" t="str">
        <x:v>unlike witness records independent reference and live time</x:v>
      </x:c>
      <x:c r="O381" s="17" t="str">
        <x:v>Witness metrology</x:v>
      </x:c>
      <x:c r="P381" s="9" t="n">
        <x:v>0</x:v>
      </x:c>
      <x:c r="Q381" s="9" t="n">
        <x:v>0</x:v>
      </x:c>
      <x:c r="R381" s="9" t="str">
        <x:v>OPEN / UNSTARTED</x:v>
      </x:c>
      <x:c r="S381" s="9" t="n">
        <x:f>COUNTIFS($A$7:$A$1446,A381)</x:f>
        <x:v>1</x:v>
      </x:c>
    </x:row>
    <x:row r="382">
      <x:c r="A382" s="9" t="str">
        <x:v>EV-AR-ET-A-A-TECH-2-B1-INT-G0-ST06</x:v>
      </x:c>
      <x:c r="B382" s="9" t="str">
        <x:v>EV-AR-ET-A-A-TECH-2-B1-INT-G0</x:v>
      </x:c>
      <x:c r="C382" s="9" t="str">
        <x:v>EOW-AR-ET-A-A-TECH-2-B1-INT-G0</x:v>
      </x:c>
      <x:c r="D382" s="9" t="str">
        <x:v>AR-ET-A-A-TECH-2-B1-INT-G0</x:v>
      </x:c>
      <x:c r="E382" s="9" t="str">
        <x:v>ET-A-A-TECH-2</x:v>
      </x:c>
      <x:c r="F382" s="9" t="str">
        <x:v>ET-A-A</x:v>
      </x:c>
      <x:c r="G382" s="9" t="str">
        <x:v>B1</x:v>
      </x:c>
      <x:c r="H382" s="9" t="str">
        <x:v>INT</x:v>
      </x:c>
      <x:c r="I382" s="9" t="n">
        <x:v>2</x:v>
      </x:c>
      <x:c r="J382" s="9" t="n">
        <x:v>3</x:v>
      </x:c>
      <x:c r="K382" s="9" t="str">
        <x:v>ET-A-A-N3</x:v>
      </x:c>
      <x:c r="L382" s="9" t="str">
        <x:v>ST06</x:v>
      </x:c>
      <x:c r="M382" s="17" t="str">
        <x:v>Public custody armed</x:v>
      </x:c>
      <x:c r="N382" s="17" t="str">
        <x:v>eight raw origins have separated hash and replica routes</x:v>
      </x:c>
      <x:c r="O382" s="17" t="str">
        <x:v>Custody authority</x:v>
      </x:c>
      <x:c r="P382" s="9" t="n">
        <x:v>0</x:v>
      </x:c>
      <x:c r="Q382" s="9" t="n">
        <x:v>0</x:v>
      </x:c>
      <x:c r="R382" s="9" t="str">
        <x:v>OPEN / UNSTARTED</x:v>
      </x:c>
      <x:c r="S382" s="9" t="n">
        <x:f>COUNTIFS($A$7:$A$1446,A382)</x:f>
        <x:v>1</x:v>
      </x:c>
    </x:row>
    <x:row r="383">
      <x:c r="A383" s="9" t="str">
        <x:v>EV-AR-ET-A-A-TECH-2-B1-INT-G0-ST07</x:v>
      </x:c>
      <x:c r="B383" s="9" t="str">
        <x:v>EV-AR-ET-A-A-TECH-2-B1-INT-G0</x:v>
      </x:c>
      <x:c r="C383" s="9" t="str">
        <x:v>EOW-AR-ET-A-A-TECH-2-B1-INT-G0</x:v>
      </x:c>
      <x:c r="D383" s="9" t="str">
        <x:v>AR-ET-A-A-TECH-2-B1-INT-G0</x:v>
      </x:c>
      <x:c r="E383" s="9" t="str">
        <x:v>ET-A-A-TECH-2</x:v>
      </x:c>
      <x:c r="F383" s="9" t="str">
        <x:v>ET-A-A</x:v>
      </x:c>
      <x:c r="G383" s="9" t="str">
        <x:v>B1</x:v>
      </x:c>
      <x:c r="H383" s="9" t="str">
        <x:v>INT</x:v>
      </x:c>
      <x:c r="I383" s="9" t="n">
        <x:v>2</x:v>
      </x:c>
      <x:c r="J383" s="9" t="n">
        <x:v>3</x:v>
      </x:c>
      <x:c r="K383" s="9" t="str">
        <x:v>ET-A-A-N3</x:v>
      </x:c>
      <x:c r="L383" s="9" t="str">
        <x:v>ST07</x:v>
      </x:c>
      <x:c r="M383" s="17" t="str">
        <x:v>Environmental baseline</x:v>
      </x:c>
      <x:c r="N383" s="17" t="str">
        <x:v>pre-event boundary state is sealed before decisive operation</x:v>
      </x:c>
      <x:c r="O383" s="17" t="str">
        <x:v>Site metrology</x:v>
      </x:c>
      <x:c r="P383" s="9" t="n">
        <x:v>0</x:v>
      </x:c>
      <x:c r="Q383" s="9" t="n">
        <x:v>0</x:v>
      </x:c>
      <x:c r="R383" s="9" t="str">
        <x:v>OPEN / UNSTARTED</x:v>
      </x:c>
      <x:c r="S383" s="9" t="n">
        <x:f>COUNTIFS($A$7:$A$1446,A383)</x:f>
        <x:v>1</x:v>
      </x:c>
    </x:row>
    <x:row r="384">
      <x:c r="A384" s="9" t="str">
        <x:v>EV-AR-ET-A-A-TECH-2-B1-INT-G0-ST08</x:v>
      </x:c>
      <x:c r="B384" s="9" t="str">
        <x:v>EV-AR-ET-A-A-TECH-2-B1-INT-G0</x:v>
      </x:c>
      <x:c r="C384" s="9" t="str">
        <x:v>EOW-AR-ET-A-A-TECH-2-B1-INT-G0</x:v>
      </x:c>
      <x:c r="D384" s="9" t="str">
        <x:v>AR-ET-A-A-TECH-2-B1-INT-G0</x:v>
      </x:c>
      <x:c r="E384" s="9" t="str">
        <x:v>ET-A-A-TECH-2</x:v>
      </x:c>
      <x:c r="F384" s="9" t="str">
        <x:v>ET-A-A</x:v>
      </x:c>
      <x:c r="G384" s="9" t="str">
        <x:v>B1</x:v>
      </x:c>
      <x:c r="H384" s="9" t="str">
        <x:v>INT</x:v>
      </x:c>
      <x:c r="I384" s="9" t="n">
        <x:v>2</x:v>
      </x:c>
      <x:c r="J384" s="9" t="n">
        <x:v>3</x:v>
      </x:c>
      <x:c r="K384" s="9" t="str">
        <x:v>ET-A-A-N3</x:v>
      </x:c>
      <x:c r="L384" s="9" t="str">
        <x:v>ST08</x:v>
      </x:c>
      <x:c r="M384" s="17" t="str">
        <x:v>Manual stop and safety</x:v>
      </x:c>
      <x:c r="N384" s="17" t="str">
        <x:v>local stop, evacuation and protection routes are active</x:v>
      </x:c>
      <x:c r="O384" s="17" t="str">
        <x:v>Safety authority</x:v>
      </x:c>
      <x:c r="P384" s="9" t="n">
        <x:v>0</x:v>
      </x:c>
      <x:c r="Q384" s="9" t="n">
        <x:v>0</x:v>
      </x:c>
      <x:c r="R384" s="9" t="str">
        <x:v>OPEN / UNSTARTED</x:v>
      </x:c>
      <x:c r="S384" s="9" t="n">
        <x:f>COUNTIFS($A$7:$A$1446,A384)</x:f>
        <x:v>1</x:v>
      </x:c>
    </x:row>
    <x:row r="385">
      <x:c r="A385" s="9" t="str">
        <x:v>EV-AR-ET-A-A-TECH-2-B1-INT-G0-ST09</x:v>
      </x:c>
      <x:c r="B385" s="9" t="str">
        <x:v>EV-AR-ET-A-A-TECH-2-B1-INT-G0</x:v>
      </x:c>
      <x:c r="C385" s="9" t="str">
        <x:v>EOW-AR-ET-A-A-TECH-2-B1-INT-G0</x:v>
      </x:c>
      <x:c r="D385" s="9" t="str">
        <x:v>AR-ET-A-A-TECH-2-B1-INT-G0</x:v>
      </x:c>
      <x:c r="E385" s="9" t="str">
        <x:v>ET-A-A-TECH-2</x:v>
      </x:c>
      <x:c r="F385" s="9" t="str">
        <x:v>ET-A-A</x:v>
      </x:c>
      <x:c r="G385" s="9" t="str">
        <x:v>B1</x:v>
      </x:c>
      <x:c r="H385" s="9" t="str">
        <x:v>INT</x:v>
      </x:c>
      <x:c r="I385" s="9" t="n">
        <x:v>2</x:v>
      </x:c>
      <x:c r="J385" s="9" t="n">
        <x:v>3</x:v>
      </x:c>
      <x:c r="K385" s="9" t="str">
        <x:v>ET-A-A-N3</x:v>
      </x:c>
      <x:c r="L385" s="9" t="str">
        <x:v>ST09</x:v>
      </x:c>
      <x:c r="M385" s="17" t="str">
        <x:v>Operator conflict clear</x:v>
      </x:c>
      <x:c r="N385" s="17" t="str">
        <x:v>candidate, fixture, safety and measurement control edges remain separated</x:v>
      </x:c>
      <x:c r="O385" s="17" t="str">
        <x:v>Conflict registrar</x:v>
      </x:c>
      <x:c r="P385" s="9" t="n">
        <x:v>0</x:v>
      </x:c>
      <x:c r="Q385" s="9" t="n">
        <x:v>0</x:v>
      </x:c>
      <x:c r="R385" s="9" t="str">
        <x:v>OPEN / UNSTARTED</x:v>
      </x:c>
      <x:c r="S385" s="9" t="n">
        <x:f>COUNTIFS($A$7:$A$1446,A385)</x:f>
        <x:v>1</x:v>
      </x:c>
    </x:row>
    <x:row r="386">
      <x:c r="A386" s="9" t="str">
        <x:v>EV-AR-ET-A-A-TECH-2-B1-INT-G0-ST10</x:v>
      </x:c>
      <x:c r="B386" s="9" t="str">
        <x:v>EV-AR-ET-A-A-TECH-2-B1-INT-G0</x:v>
      </x:c>
      <x:c r="C386" s="9" t="str">
        <x:v>EOW-AR-ET-A-A-TECH-2-B1-INT-G0</x:v>
      </x:c>
      <x:c r="D386" s="9" t="str">
        <x:v>AR-ET-A-A-TECH-2-B1-INT-G0</x:v>
      </x:c>
      <x:c r="E386" s="9" t="str">
        <x:v>ET-A-A-TECH-2</x:v>
      </x:c>
      <x:c r="F386" s="9" t="str">
        <x:v>ET-A-A</x:v>
      </x:c>
      <x:c r="G386" s="9" t="str">
        <x:v>B1</x:v>
      </x:c>
      <x:c r="H386" s="9" t="str">
        <x:v>INT</x:v>
      </x:c>
      <x:c r="I386" s="9" t="n">
        <x:v>2</x:v>
      </x:c>
      <x:c r="J386" s="9" t="n">
        <x:v>3</x:v>
      </x:c>
      <x:c r="K386" s="9" t="str">
        <x:v>ET-A-A-N3</x:v>
      </x:c>
      <x:c r="L386" s="9" t="str">
        <x:v>ST10</x:v>
      </x:c>
      <x:c r="M386" s="17" t="str">
        <x:v>Window and common clock</x:v>
      </x:c>
      <x:c r="N386" s="17" t="str">
        <x:v>epoch, window and public time origin match the issued warrant</x:v>
      </x:c>
      <x:c r="O386" s="17" t="str">
        <x:v>Event clock authority</x:v>
      </x:c>
      <x:c r="P386" s="9" t="n">
        <x:v>0</x:v>
      </x:c>
      <x:c r="Q386" s="9" t="n">
        <x:v>0</x:v>
      </x:c>
      <x:c r="R386" s="9" t="str">
        <x:v>OPEN / UNSTARTED</x:v>
      </x:c>
      <x:c r="S386" s="9" t="n">
        <x:f>COUNTIFS($A$7:$A$1446,A386)</x:f>
        <x:v>1</x:v>
      </x:c>
    </x:row>
    <x:row r="387">
      <x:c r="A387" s="9" t="str">
        <x:v>EV-AR-HU-A-B-TECH-3-B2-INT-G0-ST01</x:v>
      </x:c>
      <x:c r="B387" s="9" t="str">
        <x:v>EV-AR-HU-A-B-TECH-3-B2-INT-G0</x:v>
      </x:c>
      <x:c r="C387" s="9" t="str">
        <x:v>EOW-AR-HU-A-B-TECH-3-B2-INT-G0</x:v>
      </x:c>
      <x:c r="D387" s="9" t="str">
        <x:v>AR-HU-A-B-TECH-3-B2-INT-G0</x:v>
      </x:c>
      <x:c r="E387" s="9" t="str">
        <x:v>HU-A-B-TECH-3</x:v>
      </x:c>
      <x:c r="F387" s="9" t="str">
        <x:v>HU-A-B</x:v>
      </x:c>
      <x:c r="G387" s="9" t="str">
        <x:v>B2</x:v>
      </x:c>
      <x:c r="H387" s="9" t="str">
        <x:v>INT</x:v>
      </x:c>
      <x:c r="I387" s="9" t="n">
        <x:v>2</x:v>
      </x:c>
      <x:c r="J387" s="9" t="n">
        <x:v>3</x:v>
      </x:c>
      <x:c r="K387" s="9" t="str">
        <x:v>HU-A-B-N1</x:v>
      </x:c>
      <x:c r="L387" s="9" t="str">
        <x:v>ST01</x:v>
      </x:c>
      <x:c r="M387" s="17" t="str">
        <x:v>Active opportunity warrant</x:v>
      </x:c>
      <x:c r="N387" s="17" t="str">
        <x:v>configuration-bound EOW is within its thirty-six-hour validity</x:v>
      </x:c>
      <x:c r="O387" s="17" t="str">
        <x:v>Start registrar</x:v>
      </x:c>
      <x:c r="P387" s="9" t="n">
        <x:v>0</x:v>
      </x:c>
      <x:c r="Q387" s="9" t="n">
        <x:v>0</x:v>
      </x:c>
      <x:c r="R387" s="9" t="str">
        <x:v>OPEN / UNSTARTED</x:v>
      </x:c>
      <x:c r="S387" s="9" t="n">
        <x:f>COUNTIFS($A$7:$A$1446,A387)</x:f>
        <x:v>1</x:v>
      </x:c>
    </x:row>
    <x:row r="388">
      <x:c r="A388" s="9" t="str">
        <x:v>EV-AR-HU-A-B-TECH-3-B2-INT-G0-ST02</x:v>
      </x:c>
      <x:c r="B388" s="9" t="str">
        <x:v>EV-AR-HU-A-B-TECH-3-B2-INT-G0</x:v>
      </x:c>
      <x:c r="C388" s="9" t="str">
        <x:v>EOW-AR-HU-A-B-TECH-3-B2-INT-G0</x:v>
      </x:c>
      <x:c r="D388" s="9" t="str">
        <x:v>AR-HU-A-B-TECH-3-B2-INT-G0</x:v>
      </x:c>
      <x:c r="E388" s="9" t="str">
        <x:v>HU-A-B-TECH-3</x:v>
      </x:c>
      <x:c r="F388" s="9" t="str">
        <x:v>HU-A-B</x:v>
      </x:c>
      <x:c r="G388" s="9" t="str">
        <x:v>B2</x:v>
      </x:c>
      <x:c r="H388" s="9" t="str">
        <x:v>INT</x:v>
      </x:c>
      <x:c r="I388" s="9" t="n">
        <x:v>2</x:v>
      </x:c>
      <x:c r="J388" s="9" t="n">
        <x:v>3</x:v>
      </x:c>
      <x:c r="K388" s="9" t="str">
        <x:v>HU-A-B-N1</x:v>
      </x:c>
      <x:c r="L388" s="9" t="str">
        <x:v>ST02</x:v>
      </x:c>
      <x:c r="M388" s="17" t="str">
        <x:v>Frozen identity</x:v>
      </x:c>
      <x:c r="N388" s="17" t="str">
        <x:v>serial, generation, fixture, site, receiver and digest match the warrant</x:v>
      </x:c>
      <x:c r="O388" s="17" t="str">
        <x:v>Custody authority</x:v>
      </x:c>
      <x:c r="P388" s="9" t="n">
        <x:v>0</x:v>
      </x:c>
      <x:c r="Q388" s="9" t="n">
        <x:v>0</x:v>
      </x:c>
      <x:c r="R388" s="9" t="str">
        <x:v>OPEN / UNSTARTED</x:v>
      </x:c>
      <x:c r="S388" s="9" t="n">
        <x:f>COUNTIFS($A$7:$A$1446,A388)</x:f>
        <x:v>1</x:v>
      </x:c>
    </x:row>
    <x:row r="389">
      <x:c r="A389" s="9" t="str">
        <x:v>EV-AR-HU-A-B-TECH-3-B2-INT-G0-ST03</x:v>
      </x:c>
      <x:c r="B389" s="9" t="str">
        <x:v>EV-AR-HU-A-B-TECH-3-B2-INT-G0</x:v>
      </x:c>
      <x:c r="C389" s="9" t="str">
        <x:v>EOW-AR-HU-A-B-TECH-3-B2-INT-G0</x:v>
      </x:c>
      <x:c r="D389" s="9" t="str">
        <x:v>AR-HU-A-B-TECH-3-B2-INT-G0</x:v>
      </x:c>
      <x:c r="E389" s="9" t="str">
        <x:v>HU-A-B-TECH-3</x:v>
      </x:c>
      <x:c r="F389" s="9" t="str">
        <x:v>HU-A-B</x:v>
      </x:c>
      <x:c r="G389" s="9" t="str">
        <x:v>B2</x:v>
      </x:c>
      <x:c r="H389" s="9" t="str">
        <x:v>INT</x:v>
      </x:c>
      <x:c r="I389" s="9" t="n">
        <x:v>2</x:v>
      </x:c>
      <x:c r="J389" s="9" t="n">
        <x:v>3</x:v>
      </x:c>
      <x:c r="K389" s="9" t="str">
        <x:v>HU-A-B-N1</x:v>
      </x:c>
      <x:c r="L389" s="9" t="str">
        <x:v>ST03</x:v>
      </x:c>
      <x:c r="M389" s="17" t="str">
        <x:v>Receiver receipt</x:v>
      </x:c>
      <x:c r="N389" s="17" t="str">
        <x:v>denominator, counterfactual, rights and stop receipt remain unchanged</x:v>
      </x:c>
      <x:c r="O389" s="17" t="str">
        <x:v>Receiver authority</x:v>
      </x:c>
      <x:c r="P389" s="9" t="n">
        <x:v>0</x:v>
      </x:c>
      <x:c r="Q389" s="9" t="n">
        <x:v>0</x:v>
      </x:c>
      <x:c r="R389" s="9" t="str">
        <x:v>OPEN / UNSTARTED</x:v>
      </x:c>
      <x:c r="S389" s="9" t="n">
        <x:f>COUNTIFS($A$7:$A$1446,A389)</x:f>
        <x:v>1</x:v>
      </x:c>
    </x:row>
    <x:row r="390">
      <x:c r="A390" s="9" t="str">
        <x:v>EV-AR-HU-A-B-TECH-3-B2-INT-G0-ST04</x:v>
      </x:c>
      <x:c r="B390" s="9" t="str">
        <x:v>EV-AR-HU-A-B-TECH-3-B2-INT-G0</x:v>
      </x:c>
      <x:c r="C390" s="9" t="str">
        <x:v>EOW-AR-HU-A-B-TECH-3-B2-INT-G0</x:v>
      </x:c>
      <x:c r="D390" s="9" t="str">
        <x:v>AR-HU-A-B-TECH-3-B2-INT-G0</x:v>
      </x:c>
      <x:c r="E390" s="9" t="str">
        <x:v>HU-A-B-TECH-3</x:v>
      </x:c>
      <x:c r="F390" s="9" t="str">
        <x:v>HU-A-B</x:v>
      </x:c>
      <x:c r="G390" s="9" t="str">
        <x:v>B2</x:v>
      </x:c>
      <x:c r="H390" s="9" t="str">
        <x:v>INT</x:v>
      </x:c>
      <x:c r="I390" s="9" t="n">
        <x:v>2</x:v>
      </x:c>
      <x:c r="J390" s="9" t="n">
        <x:v>3</x:v>
      </x:c>
      <x:c r="K390" s="9" t="str">
        <x:v>HU-A-B-N1</x:v>
      </x:c>
      <x:c r="L390" s="9" t="str">
        <x:v>ST04</x:v>
      </x:c>
      <x:c r="M390" s="17" t="str">
        <x:v>Primary capture armed</x:v>
      </x:c>
      <x:c r="N390" s="17" t="str">
        <x:v>primary chain records sealed reference and live time</x:v>
      </x:c>
      <x:c r="O390" s="17" t="str">
        <x:v>Primary metrology</x:v>
      </x:c>
      <x:c r="P390" s="9" t="n">
        <x:v>0</x:v>
      </x:c>
      <x:c r="Q390" s="9" t="n">
        <x:v>0</x:v>
      </x:c>
      <x:c r="R390" s="9" t="str">
        <x:v>OPEN / UNSTARTED</x:v>
      </x:c>
      <x:c r="S390" s="9" t="n">
        <x:f>COUNTIFS($A$7:$A$1446,A390)</x:f>
        <x:v>1</x:v>
      </x:c>
    </x:row>
    <x:row r="391">
      <x:c r="A391" s="9" t="str">
        <x:v>EV-AR-HU-A-B-TECH-3-B2-INT-G0-ST05</x:v>
      </x:c>
      <x:c r="B391" s="9" t="str">
        <x:v>EV-AR-HU-A-B-TECH-3-B2-INT-G0</x:v>
      </x:c>
      <x:c r="C391" s="9" t="str">
        <x:v>EOW-AR-HU-A-B-TECH-3-B2-INT-G0</x:v>
      </x:c>
      <x:c r="D391" s="9" t="str">
        <x:v>AR-HU-A-B-TECH-3-B2-INT-G0</x:v>
      </x:c>
      <x:c r="E391" s="9" t="str">
        <x:v>HU-A-B-TECH-3</x:v>
      </x:c>
      <x:c r="F391" s="9" t="str">
        <x:v>HU-A-B</x:v>
      </x:c>
      <x:c r="G391" s="9" t="str">
        <x:v>B2</x:v>
      </x:c>
      <x:c r="H391" s="9" t="str">
        <x:v>INT</x:v>
      </x:c>
      <x:c r="I391" s="9" t="n">
        <x:v>2</x:v>
      </x:c>
      <x:c r="J391" s="9" t="n">
        <x:v>3</x:v>
      </x:c>
      <x:c r="K391" s="9" t="str">
        <x:v>HU-A-B-N1</x:v>
      </x:c>
      <x:c r="L391" s="9" t="str">
        <x:v>ST05</x:v>
      </x:c>
      <x:c r="M391" s="17" t="str">
        <x:v>Witness capture armed</x:v>
      </x:c>
      <x:c r="N391" s="17" t="str">
        <x:v>unlike witness records independent reference and live time</x:v>
      </x:c>
      <x:c r="O391" s="17" t="str">
        <x:v>Witness metrology</x:v>
      </x:c>
      <x:c r="P391" s="9" t="n">
        <x:v>0</x:v>
      </x:c>
      <x:c r="Q391" s="9" t="n">
        <x:v>0</x:v>
      </x:c>
      <x:c r="R391" s="9" t="str">
        <x:v>OPEN / UNSTARTED</x:v>
      </x:c>
      <x:c r="S391" s="9" t="n">
        <x:f>COUNTIFS($A$7:$A$1446,A391)</x:f>
        <x:v>1</x:v>
      </x:c>
    </x:row>
    <x:row r="392">
      <x:c r="A392" s="9" t="str">
        <x:v>EV-AR-HU-A-B-TECH-3-B2-INT-G0-ST06</x:v>
      </x:c>
      <x:c r="B392" s="9" t="str">
        <x:v>EV-AR-HU-A-B-TECH-3-B2-INT-G0</x:v>
      </x:c>
      <x:c r="C392" s="9" t="str">
        <x:v>EOW-AR-HU-A-B-TECH-3-B2-INT-G0</x:v>
      </x:c>
      <x:c r="D392" s="9" t="str">
        <x:v>AR-HU-A-B-TECH-3-B2-INT-G0</x:v>
      </x:c>
      <x:c r="E392" s="9" t="str">
        <x:v>HU-A-B-TECH-3</x:v>
      </x:c>
      <x:c r="F392" s="9" t="str">
        <x:v>HU-A-B</x:v>
      </x:c>
      <x:c r="G392" s="9" t="str">
        <x:v>B2</x:v>
      </x:c>
      <x:c r="H392" s="9" t="str">
        <x:v>INT</x:v>
      </x:c>
      <x:c r="I392" s="9" t="n">
        <x:v>2</x:v>
      </x:c>
      <x:c r="J392" s="9" t="n">
        <x:v>3</x:v>
      </x:c>
      <x:c r="K392" s="9" t="str">
        <x:v>HU-A-B-N1</x:v>
      </x:c>
      <x:c r="L392" s="9" t="str">
        <x:v>ST06</x:v>
      </x:c>
      <x:c r="M392" s="17" t="str">
        <x:v>Public custody armed</x:v>
      </x:c>
      <x:c r="N392" s="17" t="str">
        <x:v>eight raw origins have separated hash and replica routes</x:v>
      </x:c>
      <x:c r="O392" s="17" t="str">
        <x:v>Custody authority</x:v>
      </x:c>
      <x:c r="P392" s="9" t="n">
        <x:v>0</x:v>
      </x:c>
      <x:c r="Q392" s="9" t="n">
        <x:v>0</x:v>
      </x:c>
      <x:c r="R392" s="9" t="str">
        <x:v>OPEN / UNSTARTED</x:v>
      </x:c>
      <x:c r="S392" s="9" t="n">
        <x:f>COUNTIFS($A$7:$A$1446,A392)</x:f>
        <x:v>1</x:v>
      </x:c>
    </x:row>
    <x:row r="393">
      <x:c r="A393" s="9" t="str">
        <x:v>EV-AR-HU-A-B-TECH-3-B2-INT-G0-ST07</x:v>
      </x:c>
      <x:c r="B393" s="9" t="str">
        <x:v>EV-AR-HU-A-B-TECH-3-B2-INT-G0</x:v>
      </x:c>
      <x:c r="C393" s="9" t="str">
        <x:v>EOW-AR-HU-A-B-TECH-3-B2-INT-G0</x:v>
      </x:c>
      <x:c r="D393" s="9" t="str">
        <x:v>AR-HU-A-B-TECH-3-B2-INT-G0</x:v>
      </x:c>
      <x:c r="E393" s="9" t="str">
        <x:v>HU-A-B-TECH-3</x:v>
      </x:c>
      <x:c r="F393" s="9" t="str">
        <x:v>HU-A-B</x:v>
      </x:c>
      <x:c r="G393" s="9" t="str">
        <x:v>B2</x:v>
      </x:c>
      <x:c r="H393" s="9" t="str">
        <x:v>INT</x:v>
      </x:c>
      <x:c r="I393" s="9" t="n">
        <x:v>2</x:v>
      </x:c>
      <x:c r="J393" s="9" t="n">
        <x:v>3</x:v>
      </x:c>
      <x:c r="K393" s="9" t="str">
        <x:v>HU-A-B-N1</x:v>
      </x:c>
      <x:c r="L393" s="9" t="str">
        <x:v>ST07</x:v>
      </x:c>
      <x:c r="M393" s="17" t="str">
        <x:v>Environmental baseline</x:v>
      </x:c>
      <x:c r="N393" s="17" t="str">
        <x:v>pre-event boundary state is sealed before decisive operation</x:v>
      </x:c>
      <x:c r="O393" s="17" t="str">
        <x:v>Site metrology</x:v>
      </x:c>
      <x:c r="P393" s="9" t="n">
        <x:v>0</x:v>
      </x:c>
      <x:c r="Q393" s="9" t="n">
        <x:v>0</x:v>
      </x:c>
      <x:c r="R393" s="9" t="str">
        <x:v>OPEN / UNSTARTED</x:v>
      </x:c>
      <x:c r="S393" s="9" t="n">
        <x:f>COUNTIFS($A$7:$A$1446,A393)</x:f>
        <x:v>1</x:v>
      </x:c>
    </x:row>
    <x:row r="394">
      <x:c r="A394" s="9" t="str">
        <x:v>EV-AR-HU-A-B-TECH-3-B2-INT-G0-ST08</x:v>
      </x:c>
      <x:c r="B394" s="9" t="str">
        <x:v>EV-AR-HU-A-B-TECH-3-B2-INT-G0</x:v>
      </x:c>
      <x:c r="C394" s="9" t="str">
        <x:v>EOW-AR-HU-A-B-TECH-3-B2-INT-G0</x:v>
      </x:c>
      <x:c r="D394" s="9" t="str">
        <x:v>AR-HU-A-B-TECH-3-B2-INT-G0</x:v>
      </x:c>
      <x:c r="E394" s="9" t="str">
        <x:v>HU-A-B-TECH-3</x:v>
      </x:c>
      <x:c r="F394" s="9" t="str">
        <x:v>HU-A-B</x:v>
      </x:c>
      <x:c r="G394" s="9" t="str">
        <x:v>B2</x:v>
      </x:c>
      <x:c r="H394" s="9" t="str">
        <x:v>INT</x:v>
      </x:c>
      <x:c r="I394" s="9" t="n">
        <x:v>2</x:v>
      </x:c>
      <x:c r="J394" s="9" t="n">
        <x:v>3</x:v>
      </x:c>
      <x:c r="K394" s="9" t="str">
        <x:v>HU-A-B-N1</x:v>
      </x:c>
      <x:c r="L394" s="9" t="str">
        <x:v>ST08</x:v>
      </x:c>
      <x:c r="M394" s="17" t="str">
        <x:v>Manual stop and safety</x:v>
      </x:c>
      <x:c r="N394" s="17" t="str">
        <x:v>local stop, evacuation and protection routes are active</x:v>
      </x:c>
      <x:c r="O394" s="17" t="str">
        <x:v>Safety authority</x:v>
      </x:c>
      <x:c r="P394" s="9" t="n">
        <x:v>0</x:v>
      </x:c>
      <x:c r="Q394" s="9" t="n">
        <x:v>0</x:v>
      </x:c>
      <x:c r="R394" s="9" t="str">
        <x:v>OPEN / UNSTARTED</x:v>
      </x:c>
      <x:c r="S394" s="9" t="n">
        <x:f>COUNTIFS($A$7:$A$1446,A394)</x:f>
        <x:v>1</x:v>
      </x:c>
    </x:row>
    <x:row r="395">
      <x:c r="A395" s="9" t="str">
        <x:v>EV-AR-HU-A-B-TECH-3-B2-INT-G0-ST09</x:v>
      </x:c>
      <x:c r="B395" s="9" t="str">
        <x:v>EV-AR-HU-A-B-TECH-3-B2-INT-G0</x:v>
      </x:c>
      <x:c r="C395" s="9" t="str">
        <x:v>EOW-AR-HU-A-B-TECH-3-B2-INT-G0</x:v>
      </x:c>
      <x:c r="D395" s="9" t="str">
        <x:v>AR-HU-A-B-TECH-3-B2-INT-G0</x:v>
      </x:c>
      <x:c r="E395" s="9" t="str">
        <x:v>HU-A-B-TECH-3</x:v>
      </x:c>
      <x:c r="F395" s="9" t="str">
        <x:v>HU-A-B</x:v>
      </x:c>
      <x:c r="G395" s="9" t="str">
        <x:v>B2</x:v>
      </x:c>
      <x:c r="H395" s="9" t="str">
        <x:v>INT</x:v>
      </x:c>
      <x:c r="I395" s="9" t="n">
        <x:v>2</x:v>
      </x:c>
      <x:c r="J395" s="9" t="n">
        <x:v>3</x:v>
      </x:c>
      <x:c r="K395" s="9" t="str">
        <x:v>HU-A-B-N1</x:v>
      </x:c>
      <x:c r="L395" s="9" t="str">
        <x:v>ST09</x:v>
      </x:c>
      <x:c r="M395" s="17" t="str">
        <x:v>Operator conflict clear</x:v>
      </x:c>
      <x:c r="N395" s="17" t="str">
        <x:v>candidate, fixture, safety and measurement control edges remain separated</x:v>
      </x:c>
      <x:c r="O395" s="17" t="str">
        <x:v>Conflict registrar</x:v>
      </x:c>
      <x:c r="P395" s="9" t="n">
        <x:v>0</x:v>
      </x:c>
      <x:c r="Q395" s="9" t="n">
        <x:v>0</x:v>
      </x:c>
      <x:c r="R395" s="9" t="str">
        <x:v>OPEN / UNSTARTED</x:v>
      </x:c>
      <x:c r="S395" s="9" t="n">
        <x:f>COUNTIFS($A$7:$A$1446,A395)</x:f>
        <x:v>1</x:v>
      </x:c>
    </x:row>
    <x:row r="396">
      <x:c r="A396" s="9" t="str">
        <x:v>EV-AR-HU-A-B-TECH-3-B2-INT-G0-ST10</x:v>
      </x:c>
      <x:c r="B396" s="9" t="str">
        <x:v>EV-AR-HU-A-B-TECH-3-B2-INT-G0</x:v>
      </x:c>
      <x:c r="C396" s="9" t="str">
        <x:v>EOW-AR-HU-A-B-TECH-3-B2-INT-G0</x:v>
      </x:c>
      <x:c r="D396" s="9" t="str">
        <x:v>AR-HU-A-B-TECH-3-B2-INT-G0</x:v>
      </x:c>
      <x:c r="E396" s="9" t="str">
        <x:v>HU-A-B-TECH-3</x:v>
      </x:c>
      <x:c r="F396" s="9" t="str">
        <x:v>HU-A-B</x:v>
      </x:c>
      <x:c r="G396" s="9" t="str">
        <x:v>B2</x:v>
      </x:c>
      <x:c r="H396" s="9" t="str">
        <x:v>INT</x:v>
      </x:c>
      <x:c r="I396" s="9" t="n">
        <x:v>2</x:v>
      </x:c>
      <x:c r="J396" s="9" t="n">
        <x:v>3</x:v>
      </x:c>
      <x:c r="K396" s="9" t="str">
        <x:v>HU-A-B-N1</x:v>
      </x:c>
      <x:c r="L396" s="9" t="str">
        <x:v>ST10</x:v>
      </x:c>
      <x:c r="M396" s="17" t="str">
        <x:v>Window and common clock</x:v>
      </x:c>
      <x:c r="N396" s="17" t="str">
        <x:v>epoch, window and public time origin match the issued warrant</x:v>
      </x:c>
      <x:c r="O396" s="17" t="str">
        <x:v>Event clock authority</x:v>
      </x:c>
      <x:c r="P396" s="9" t="n">
        <x:v>0</x:v>
      </x:c>
      <x:c r="Q396" s="9" t="n">
        <x:v>0</x:v>
      </x:c>
      <x:c r="R396" s="9" t="str">
        <x:v>OPEN / UNSTARTED</x:v>
      </x:c>
      <x:c r="S396" s="9" t="n">
        <x:f>COUNTIFS($A$7:$A$1446,A396)</x:f>
        <x:v>1</x:v>
      </x:c>
    </x:row>
    <x:row r="397">
      <x:c r="A397" s="9" t="str">
        <x:v>EV-AR-LF-B-A-TECH-4-B2-INT-G0-ST01</x:v>
      </x:c>
      <x:c r="B397" s="9" t="str">
        <x:v>EV-AR-LF-B-A-TECH-4-B2-INT-G0</x:v>
      </x:c>
      <x:c r="C397" s="9" t="str">
        <x:v>EOW-AR-LF-B-A-TECH-4-B2-INT-G0</x:v>
      </x:c>
      <x:c r="D397" s="9" t="str">
        <x:v>AR-LF-B-A-TECH-4-B2-INT-G0</x:v>
      </x:c>
      <x:c r="E397" s="9" t="str">
        <x:v>LF-B-A-TECH-4</x:v>
      </x:c>
      <x:c r="F397" s="9" t="str">
        <x:v>LF-B-A</x:v>
      </x:c>
      <x:c r="G397" s="9" t="str">
        <x:v>B2</x:v>
      </x:c>
      <x:c r="H397" s="9" t="str">
        <x:v>INT</x:v>
      </x:c>
      <x:c r="I397" s="9" t="n">
        <x:v>2</x:v>
      </x:c>
      <x:c r="J397" s="9" t="n">
        <x:v>3</x:v>
      </x:c>
      <x:c r="K397" s="9" t="str">
        <x:v>LF-B-A-N1</x:v>
      </x:c>
      <x:c r="L397" s="9" t="str">
        <x:v>ST01</x:v>
      </x:c>
      <x:c r="M397" s="17" t="str">
        <x:v>Active opportunity warrant</x:v>
      </x:c>
      <x:c r="N397" s="17" t="str">
        <x:v>configuration-bound EOW is within its thirty-six-hour validity</x:v>
      </x:c>
      <x:c r="O397" s="17" t="str">
        <x:v>Start registrar</x:v>
      </x:c>
      <x:c r="P397" s="9" t="n">
        <x:v>0</x:v>
      </x:c>
      <x:c r="Q397" s="9" t="n">
        <x:v>0</x:v>
      </x:c>
      <x:c r="R397" s="9" t="str">
        <x:v>OPEN / UNSTARTED</x:v>
      </x:c>
      <x:c r="S397" s="9" t="n">
        <x:f>COUNTIFS($A$7:$A$1446,A397)</x:f>
        <x:v>1</x:v>
      </x:c>
    </x:row>
    <x:row r="398">
      <x:c r="A398" s="9" t="str">
        <x:v>EV-AR-LF-B-A-TECH-4-B2-INT-G0-ST02</x:v>
      </x:c>
      <x:c r="B398" s="9" t="str">
        <x:v>EV-AR-LF-B-A-TECH-4-B2-INT-G0</x:v>
      </x:c>
      <x:c r="C398" s="9" t="str">
        <x:v>EOW-AR-LF-B-A-TECH-4-B2-INT-G0</x:v>
      </x:c>
      <x:c r="D398" s="9" t="str">
        <x:v>AR-LF-B-A-TECH-4-B2-INT-G0</x:v>
      </x:c>
      <x:c r="E398" s="9" t="str">
        <x:v>LF-B-A-TECH-4</x:v>
      </x:c>
      <x:c r="F398" s="9" t="str">
        <x:v>LF-B-A</x:v>
      </x:c>
      <x:c r="G398" s="9" t="str">
        <x:v>B2</x:v>
      </x:c>
      <x:c r="H398" s="9" t="str">
        <x:v>INT</x:v>
      </x:c>
      <x:c r="I398" s="9" t="n">
        <x:v>2</x:v>
      </x:c>
      <x:c r="J398" s="9" t="n">
        <x:v>3</x:v>
      </x:c>
      <x:c r="K398" s="9" t="str">
        <x:v>LF-B-A-N1</x:v>
      </x:c>
      <x:c r="L398" s="9" t="str">
        <x:v>ST02</x:v>
      </x:c>
      <x:c r="M398" s="17" t="str">
        <x:v>Frozen identity</x:v>
      </x:c>
      <x:c r="N398" s="17" t="str">
        <x:v>serial, generation, fixture, site, receiver and digest match the warrant</x:v>
      </x:c>
      <x:c r="O398" s="17" t="str">
        <x:v>Custody authority</x:v>
      </x:c>
      <x:c r="P398" s="9" t="n">
        <x:v>0</x:v>
      </x:c>
      <x:c r="Q398" s="9" t="n">
        <x:v>0</x:v>
      </x:c>
      <x:c r="R398" s="9" t="str">
        <x:v>OPEN / UNSTARTED</x:v>
      </x:c>
      <x:c r="S398" s="9" t="n">
        <x:f>COUNTIFS($A$7:$A$1446,A398)</x:f>
        <x:v>1</x:v>
      </x:c>
    </x:row>
    <x:row r="399">
      <x:c r="A399" s="9" t="str">
        <x:v>EV-AR-LF-B-A-TECH-4-B2-INT-G0-ST03</x:v>
      </x:c>
      <x:c r="B399" s="9" t="str">
        <x:v>EV-AR-LF-B-A-TECH-4-B2-INT-G0</x:v>
      </x:c>
      <x:c r="C399" s="9" t="str">
        <x:v>EOW-AR-LF-B-A-TECH-4-B2-INT-G0</x:v>
      </x:c>
      <x:c r="D399" s="9" t="str">
        <x:v>AR-LF-B-A-TECH-4-B2-INT-G0</x:v>
      </x:c>
      <x:c r="E399" s="9" t="str">
        <x:v>LF-B-A-TECH-4</x:v>
      </x:c>
      <x:c r="F399" s="9" t="str">
        <x:v>LF-B-A</x:v>
      </x:c>
      <x:c r="G399" s="9" t="str">
        <x:v>B2</x:v>
      </x:c>
      <x:c r="H399" s="9" t="str">
        <x:v>INT</x:v>
      </x:c>
      <x:c r="I399" s="9" t="n">
        <x:v>2</x:v>
      </x:c>
      <x:c r="J399" s="9" t="n">
        <x:v>3</x:v>
      </x:c>
      <x:c r="K399" s="9" t="str">
        <x:v>LF-B-A-N1</x:v>
      </x:c>
      <x:c r="L399" s="9" t="str">
        <x:v>ST03</x:v>
      </x:c>
      <x:c r="M399" s="17" t="str">
        <x:v>Receiver receipt</x:v>
      </x:c>
      <x:c r="N399" s="17" t="str">
        <x:v>denominator, counterfactual, rights and stop receipt remain unchanged</x:v>
      </x:c>
      <x:c r="O399" s="17" t="str">
        <x:v>Receiver authority</x:v>
      </x:c>
      <x:c r="P399" s="9" t="n">
        <x:v>0</x:v>
      </x:c>
      <x:c r="Q399" s="9" t="n">
        <x:v>0</x:v>
      </x:c>
      <x:c r="R399" s="9" t="str">
        <x:v>OPEN / UNSTARTED</x:v>
      </x:c>
      <x:c r="S399" s="9" t="n">
        <x:f>COUNTIFS($A$7:$A$1446,A399)</x:f>
        <x:v>1</x:v>
      </x:c>
    </x:row>
    <x:row r="400">
      <x:c r="A400" s="9" t="str">
        <x:v>EV-AR-LF-B-A-TECH-4-B2-INT-G0-ST04</x:v>
      </x:c>
      <x:c r="B400" s="9" t="str">
        <x:v>EV-AR-LF-B-A-TECH-4-B2-INT-G0</x:v>
      </x:c>
      <x:c r="C400" s="9" t="str">
        <x:v>EOW-AR-LF-B-A-TECH-4-B2-INT-G0</x:v>
      </x:c>
      <x:c r="D400" s="9" t="str">
        <x:v>AR-LF-B-A-TECH-4-B2-INT-G0</x:v>
      </x:c>
      <x:c r="E400" s="9" t="str">
        <x:v>LF-B-A-TECH-4</x:v>
      </x:c>
      <x:c r="F400" s="9" t="str">
        <x:v>LF-B-A</x:v>
      </x:c>
      <x:c r="G400" s="9" t="str">
        <x:v>B2</x:v>
      </x:c>
      <x:c r="H400" s="9" t="str">
        <x:v>INT</x:v>
      </x:c>
      <x:c r="I400" s="9" t="n">
        <x:v>2</x:v>
      </x:c>
      <x:c r="J400" s="9" t="n">
        <x:v>3</x:v>
      </x:c>
      <x:c r="K400" s="9" t="str">
        <x:v>LF-B-A-N1</x:v>
      </x:c>
      <x:c r="L400" s="9" t="str">
        <x:v>ST04</x:v>
      </x:c>
      <x:c r="M400" s="17" t="str">
        <x:v>Primary capture armed</x:v>
      </x:c>
      <x:c r="N400" s="17" t="str">
        <x:v>primary chain records sealed reference and live time</x:v>
      </x:c>
      <x:c r="O400" s="17" t="str">
        <x:v>Primary metrology</x:v>
      </x:c>
      <x:c r="P400" s="9" t="n">
        <x:v>0</x:v>
      </x:c>
      <x:c r="Q400" s="9" t="n">
        <x:v>0</x:v>
      </x:c>
      <x:c r="R400" s="9" t="str">
        <x:v>OPEN / UNSTARTED</x:v>
      </x:c>
      <x:c r="S400" s="9" t="n">
        <x:f>COUNTIFS($A$7:$A$1446,A400)</x:f>
        <x:v>1</x:v>
      </x:c>
    </x:row>
    <x:row r="401">
      <x:c r="A401" s="9" t="str">
        <x:v>EV-AR-LF-B-A-TECH-4-B2-INT-G0-ST05</x:v>
      </x:c>
      <x:c r="B401" s="9" t="str">
        <x:v>EV-AR-LF-B-A-TECH-4-B2-INT-G0</x:v>
      </x:c>
      <x:c r="C401" s="9" t="str">
        <x:v>EOW-AR-LF-B-A-TECH-4-B2-INT-G0</x:v>
      </x:c>
      <x:c r="D401" s="9" t="str">
        <x:v>AR-LF-B-A-TECH-4-B2-INT-G0</x:v>
      </x:c>
      <x:c r="E401" s="9" t="str">
        <x:v>LF-B-A-TECH-4</x:v>
      </x:c>
      <x:c r="F401" s="9" t="str">
        <x:v>LF-B-A</x:v>
      </x:c>
      <x:c r="G401" s="9" t="str">
        <x:v>B2</x:v>
      </x:c>
      <x:c r="H401" s="9" t="str">
        <x:v>INT</x:v>
      </x:c>
      <x:c r="I401" s="9" t="n">
        <x:v>2</x:v>
      </x:c>
      <x:c r="J401" s="9" t="n">
        <x:v>3</x:v>
      </x:c>
      <x:c r="K401" s="9" t="str">
        <x:v>LF-B-A-N1</x:v>
      </x:c>
      <x:c r="L401" s="9" t="str">
        <x:v>ST05</x:v>
      </x:c>
      <x:c r="M401" s="17" t="str">
        <x:v>Witness capture armed</x:v>
      </x:c>
      <x:c r="N401" s="17" t="str">
        <x:v>unlike witness records independent reference and live time</x:v>
      </x:c>
      <x:c r="O401" s="17" t="str">
        <x:v>Witness metrology</x:v>
      </x:c>
      <x:c r="P401" s="9" t="n">
        <x:v>0</x:v>
      </x:c>
      <x:c r="Q401" s="9" t="n">
        <x:v>0</x:v>
      </x:c>
      <x:c r="R401" s="9" t="str">
        <x:v>OPEN / UNSTARTED</x:v>
      </x:c>
      <x:c r="S401" s="9" t="n">
        <x:f>COUNTIFS($A$7:$A$1446,A401)</x:f>
        <x:v>1</x:v>
      </x:c>
    </x:row>
    <x:row r="402">
      <x:c r="A402" s="9" t="str">
        <x:v>EV-AR-LF-B-A-TECH-4-B2-INT-G0-ST06</x:v>
      </x:c>
      <x:c r="B402" s="9" t="str">
        <x:v>EV-AR-LF-B-A-TECH-4-B2-INT-G0</x:v>
      </x:c>
      <x:c r="C402" s="9" t="str">
        <x:v>EOW-AR-LF-B-A-TECH-4-B2-INT-G0</x:v>
      </x:c>
      <x:c r="D402" s="9" t="str">
        <x:v>AR-LF-B-A-TECH-4-B2-INT-G0</x:v>
      </x:c>
      <x:c r="E402" s="9" t="str">
        <x:v>LF-B-A-TECH-4</x:v>
      </x:c>
      <x:c r="F402" s="9" t="str">
        <x:v>LF-B-A</x:v>
      </x:c>
      <x:c r="G402" s="9" t="str">
        <x:v>B2</x:v>
      </x:c>
      <x:c r="H402" s="9" t="str">
        <x:v>INT</x:v>
      </x:c>
      <x:c r="I402" s="9" t="n">
        <x:v>2</x:v>
      </x:c>
      <x:c r="J402" s="9" t="n">
        <x:v>3</x:v>
      </x:c>
      <x:c r="K402" s="9" t="str">
        <x:v>LF-B-A-N1</x:v>
      </x:c>
      <x:c r="L402" s="9" t="str">
        <x:v>ST06</x:v>
      </x:c>
      <x:c r="M402" s="17" t="str">
        <x:v>Public custody armed</x:v>
      </x:c>
      <x:c r="N402" s="17" t="str">
        <x:v>eight raw origins have separated hash and replica routes</x:v>
      </x:c>
      <x:c r="O402" s="17" t="str">
        <x:v>Custody authority</x:v>
      </x:c>
      <x:c r="P402" s="9" t="n">
        <x:v>0</x:v>
      </x:c>
      <x:c r="Q402" s="9" t="n">
        <x:v>0</x:v>
      </x:c>
      <x:c r="R402" s="9" t="str">
        <x:v>OPEN / UNSTARTED</x:v>
      </x:c>
      <x:c r="S402" s="9" t="n">
        <x:f>COUNTIFS($A$7:$A$1446,A402)</x:f>
        <x:v>1</x:v>
      </x:c>
    </x:row>
    <x:row r="403">
      <x:c r="A403" s="9" t="str">
        <x:v>EV-AR-LF-B-A-TECH-4-B2-INT-G0-ST07</x:v>
      </x:c>
      <x:c r="B403" s="9" t="str">
        <x:v>EV-AR-LF-B-A-TECH-4-B2-INT-G0</x:v>
      </x:c>
      <x:c r="C403" s="9" t="str">
        <x:v>EOW-AR-LF-B-A-TECH-4-B2-INT-G0</x:v>
      </x:c>
      <x:c r="D403" s="9" t="str">
        <x:v>AR-LF-B-A-TECH-4-B2-INT-G0</x:v>
      </x:c>
      <x:c r="E403" s="9" t="str">
        <x:v>LF-B-A-TECH-4</x:v>
      </x:c>
      <x:c r="F403" s="9" t="str">
        <x:v>LF-B-A</x:v>
      </x:c>
      <x:c r="G403" s="9" t="str">
        <x:v>B2</x:v>
      </x:c>
      <x:c r="H403" s="9" t="str">
        <x:v>INT</x:v>
      </x:c>
      <x:c r="I403" s="9" t="n">
        <x:v>2</x:v>
      </x:c>
      <x:c r="J403" s="9" t="n">
        <x:v>3</x:v>
      </x:c>
      <x:c r="K403" s="9" t="str">
        <x:v>LF-B-A-N1</x:v>
      </x:c>
      <x:c r="L403" s="9" t="str">
        <x:v>ST07</x:v>
      </x:c>
      <x:c r="M403" s="17" t="str">
        <x:v>Environmental baseline</x:v>
      </x:c>
      <x:c r="N403" s="17" t="str">
        <x:v>pre-event boundary state is sealed before decisive operation</x:v>
      </x:c>
      <x:c r="O403" s="17" t="str">
        <x:v>Site metrology</x:v>
      </x:c>
      <x:c r="P403" s="9" t="n">
        <x:v>0</x:v>
      </x:c>
      <x:c r="Q403" s="9" t="n">
        <x:v>0</x:v>
      </x:c>
      <x:c r="R403" s="9" t="str">
        <x:v>OPEN / UNSTARTED</x:v>
      </x:c>
      <x:c r="S403" s="9" t="n">
        <x:f>COUNTIFS($A$7:$A$1446,A403)</x:f>
        <x:v>1</x:v>
      </x:c>
    </x:row>
    <x:row r="404">
      <x:c r="A404" s="9" t="str">
        <x:v>EV-AR-LF-B-A-TECH-4-B2-INT-G0-ST08</x:v>
      </x:c>
      <x:c r="B404" s="9" t="str">
        <x:v>EV-AR-LF-B-A-TECH-4-B2-INT-G0</x:v>
      </x:c>
      <x:c r="C404" s="9" t="str">
        <x:v>EOW-AR-LF-B-A-TECH-4-B2-INT-G0</x:v>
      </x:c>
      <x:c r="D404" s="9" t="str">
        <x:v>AR-LF-B-A-TECH-4-B2-INT-G0</x:v>
      </x:c>
      <x:c r="E404" s="9" t="str">
        <x:v>LF-B-A-TECH-4</x:v>
      </x:c>
      <x:c r="F404" s="9" t="str">
        <x:v>LF-B-A</x:v>
      </x:c>
      <x:c r="G404" s="9" t="str">
        <x:v>B2</x:v>
      </x:c>
      <x:c r="H404" s="9" t="str">
        <x:v>INT</x:v>
      </x:c>
      <x:c r="I404" s="9" t="n">
        <x:v>2</x:v>
      </x:c>
      <x:c r="J404" s="9" t="n">
        <x:v>3</x:v>
      </x:c>
      <x:c r="K404" s="9" t="str">
        <x:v>LF-B-A-N1</x:v>
      </x:c>
      <x:c r="L404" s="9" t="str">
        <x:v>ST08</x:v>
      </x:c>
      <x:c r="M404" s="17" t="str">
        <x:v>Manual stop and safety</x:v>
      </x:c>
      <x:c r="N404" s="17" t="str">
        <x:v>local stop, evacuation and protection routes are active</x:v>
      </x:c>
      <x:c r="O404" s="17" t="str">
        <x:v>Safety authority</x:v>
      </x:c>
      <x:c r="P404" s="9" t="n">
        <x:v>0</x:v>
      </x:c>
      <x:c r="Q404" s="9" t="n">
        <x:v>0</x:v>
      </x:c>
      <x:c r="R404" s="9" t="str">
        <x:v>OPEN / UNSTARTED</x:v>
      </x:c>
      <x:c r="S404" s="9" t="n">
        <x:f>COUNTIFS($A$7:$A$1446,A404)</x:f>
        <x:v>1</x:v>
      </x:c>
    </x:row>
    <x:row r="405">
      <x:c r="A405" s="9" t="str">
        <x:v>EV-AR-LF-B-A-TECH-4-B2-INT-G0-ST09</x:v>
      </x:c>
      <x:c r="B405" s="9" t="str">
        <x:v>EV-AR-LF-B-A-TECH-4-B2-INT-G0</x:v>
      </x:c>
      <x:c r="C405" s="9" t="str">
        <x:v>EOW-AR-LF-B-A-TECH-4-B2-INT-G0</x:v>
      </x:c>
      <x:c r="D405" s="9" t="str">
        <x:v>AR-LF-B-A-TECH-4-B2-INT-G0</x:v>
      </x:c>
      <x:c r="E405" s="9" t="str">
        <x:v>LF-B-A-TECH-4</x:v>
      </x:c>
      <x:c r="F405" s="9" t="str">
        <x:v>LF-B-A</x:v>
      </x:c>
      <x:c r="G405" s="9" t="str">
        <x:v>B2</x:v>
      </x:c>
      <x:c r="H405" s="9" t="str">
        <x:v>INT</x:v>
      </x:c>
      <x:c r="I405" s="9" t="n">
        <x:v>2</x:v>
      </x:c>
      <x:c r="J405" s="9" t="n">
        <x:v>3</x:v>
      </x:c>
      <x:c r="K405" s="9" t="str">
        <x:v>LF-B-A-N1</x:v>
      </x:c>
      <x:c r="L405" s="9" t="str">
        <x:v>ST09</x:v>
      </x:c>
      <x:c r="M405" s="17" t="str">
        <x:v>Operator conflict clear</x:v>
      </x:c>
      <x:c r="N405" s="17" t="str">
        <x:v>candidate, fixture, safety and measurement control edges remain separated</x:v>
      </x:c>
      <x:c r="O405" s="17" t="str">
        <x:v>Conflict registrar</x:v>
      </x:c>
      <x:c r="P405" s="9" t="n">
        <x:v>0</x:v>
      </x:c>
      <x:c r="Q405" s="9" t="n">
        <x:v>0</x:v>
      </x:c>
      <x:c r="R405" s="9" t="str">
        <x:v>OPEN / UNSTARTED</x:v>
      </x:c>
      <x:c r="S405" s="9" t="n">
        <x:f>COUNTIFS($A$7:$A$1446,A405)</x:f>
        <x:v>1</x:v>
      </x:c>
    </x:row>
    <x:row r="406">
      <x:c r="A406" s="9" t="str">
        <x:v>EV-AR-LF-B-A-TECH-4-B2-INT-G0-ST10</x:v>
      </x:c>
      <x:c r="B406" s="9" t="str">
        <x:v>EV-AR-LF-B-A-TECH-4-B2-INT-G0</x:v>
      </x:c>
      <x:c r="C406" s="9" t="str">
        <x:v>EOW-AR-LF-B-A-TECH-4-B2-INT-G0</x:v>
      </x:c>
      <x:c r="D406" s="9" t="str">
        <x:v>AR-LF-B-A-TECH-4-B2-INT-G0</x:v>
      </x:c>
      <x:c r="E406" s="9" t="str">
        <x:v>LF-B-A-TECH-4</x:v>
      </x:c>
      <x:c r="F406" s="9" t="str">
        <x:v>LF-B-A</x:v>
      </x:c>
      <x:c r="G406" s="9" t="str">
        <x:v>B2</x:v>
      </x:c>
      <x:c r="H406" s="9" t="str">
        <x:v>INT</x:v>
      </x:c>
      <x:c r="I406" s="9" t="n">
        <x:v>2</x:v>
      </x:c>
      <x:c r="J406" s="9" t="n">
        <x:v>3</x:v>
      </x:c>
      <x:c r="K406" s="9" t="str">
        <x:v>LF-B-A-N1</x:v>
      </x:c>
      <x:c r="L406" s="9" t="str">
        <x:v>ST10</x:v>
      </x:c>
      <x:c r="M406" s="17" t="str">
        <x:v>Window and common clock</x:v>
      </x:c>
      <x:c r="N406" s="17" t="str">
        <x:v>epoch, window and public time origin match the issued warrant</x:v>
      </x:c>
      <x:c r="O406" s="17" t="str">
        <x:v>Event clock authority</x:v>
      </x:c>
      <x:c r="P406" s="9" t="n">
        <x:v>0</x:v>
      </x:c>
      <x:c r="Q406" s="9" t="n">
        <x:v>0</x:v>
      </x:c>
      <x:c r="R406" s="9" t="str">
        <x:v>OPEN / UNSTARTED</x:v>
      </x:c>
      <x:c r="S406" s="9" t="n">
        <x:f>COUNTIFS($A$7:$A$1446,A406)</x:f>
        <x:v>1</x:v>
      </x:c>
    </x:row>
    <x:row r="407">
      <x:c r="A407" s="9" t="str">
        <x:v>EV-AR-RT-B-C-TECH-4-B2-RCN-G0-ST01</x:v>
      </x:c>
      <x:c r="B407" s="9" t="str">
        <x:v>EV-AR-RT-B-C-TECH-4-B2-RCN-G0</x:v>
      </x:c>
      <x:c r="C407" s="9" t="str">
        <x:v>EOW-AR-RT-B-C-TECH-4-B2-RCN-G0</x:v>
      </x:c>
      <x:c r="D407" s="9" t="str">
        <x:v>AR-RT-B-C-TECH-4-B2-RCN-G0</x:v>
      </x:c>
      <x:c r="E407" s="9" t="str">
        <x:v>RT-B-C-TECH-4</x:v>
      </x:c>
      <x:c r="F407" s="9" t="str">
        <x:v>RT-B-C</x:v>
      </x:c>
      <x:c r="G407" s="9" t="str">
        <x:v>B2</x:v>
      </x:c>
      <x:c r="H407" s="9" t="str">
        <x:v>RCN</x:v>
      </x:c>
      <x:c r="I407" s="9" t="n">
        <x:v>2</x:v>
      </x:c>
      <x:c r="J407" s="9" t="n">
        <x:v>3</x:v>
      </x:c>
      <x:c r="K407" s="9" t="str">
        <x:v>RT-B-C-N1</x:v>
      </x:c>
      <x:c r="L407" s="9" t="str">
        <x:v>ST01</x:v>
      </x:c>
      <x:c r="M407" s="17" t="str">
        <x:v>Active opportunity warrant</x:v>
      </x:c>
      <x:c r="N407" s="17" t="str">
        <x:v>configuration-bound EOW is within its thirty-six-hour validity</x:v>
      </x:c>
      <x:c r="O407" s="17" t="str">
        <x:v>Start registrar</x:v>
      </x:c>
      <x:c r="P407" s="9" t="n">
        <x:v>0</x:v>
      </x:c>
      <x:c r="Q407" s="9" t="n">
        <x:v>0</x:v>
      </x:c>
      <x:c r="R407" s="9" t="str">
        <x:v>OPEN / UNSTARTED</x:v>
      </x:c>
      <x:c r="S407" s="9" t="n">
        <x:f>COUNTIFS($A$7:$A$1446,A407)</x:f>
        <x:v>1</x:v>
      </x:c>
    </x:row>
    <x:row r="408">
      <x:c r="A408" s="9" t="str">
        <x:v>EV-AR-RT-B-C-TECH-4-B2-RCN-G0-ST02</x:v>
      </x:c>
      <x:c r="B408" s="9" t="str">
        <x:v>EV-AR-RT-B-C-TECH-4-B2-RCN-G0</x:v>
      </x:c>
      <x:c r="C408" s="9" t="str">
        <x:v>EOW-AR-RT-B-C-TECH-4-B2-RCN-G0</x:v>
      </x:c>
      <x:c r="D408" s="9" t="str">
        <x:v>AR-RT-B-C-TECH-4-B2-RCN-G0</x:v>
      </x:c>
      <x:c r="E408" s="9" t="str">
        <x:v>RT-B-C-TECH-4</x:v>
      </x:c>
      <x:c r="F408" s="9" t="str">
        <x:v>RT-B-C</x:v>
      </x:c>
      <x:c r="G408" s="9" t="str">
        <x:v>B2</x:v>
      </x:c>
      <x:c r="H408" s="9" t="str">
        <x:v>RCN</x:v>
      </x:c>
      <x:c r="I408" s="9" t="n">
        <x:v>2</x:v>
      </x:c>
      <x:c r="J408" s="9" t="n">
        <x:v>3</x:v>
      </x:c>
      <x:c r="K408" s="9" t="str">
        <x:v>RT-B-C-N1</x:v>
      </x:c>
      <x:c r="L408" s="9" t="str">
        <x:v>ST02</x:v>
      </x:c>
      <x:c r="M408" s="17" t="str">
        <x:v>Frozen identity</x:v>
      </x:c>
      <x:c r="N408" s="17" t="str">
        <x:v>serial, generation, fixture, site, receiver and digest match the warrant</x:v>
      </x:c>
      <x:c r="O408" s="17" t="str">
        <x:v>Custody authority</x:v>
      </x:c>
      <x:c r="P408" s="9" t="n">
        <x:v>0</x:v>
      </x:c>
      <x:c r="Q408" s="9" t="n">
        <x:v>0</x:v>
      </x:c>
      <x:c r="R408" s="9" t="str">
        <x:v>OPEN / UNSTARTED</x:v>
      </x:c>
      <x:c r="S408" s="9" t="n">
        <x:f>COUNTIFS($A$7:$A$1446,A408)</x:f>
        <x:v>1</x:v>
      </x:c>
    </x:row>
    <x:row r="409">
      <x:c r="A409" s="9" t="str">
        <x:v>EV-AR-RT-B-C-TECH-4-B2-RCN-G0-ST03</x:v>
      </x:c>
      <x:c r="B409" s="9" t="str">
        <x:v>EV-AR-RT-B-C-TECH-4-B2-RCN-G0</x:v>
      </x:c>
      <x:c r="C409" s="9" t="str">
        <x:v>EOW-AR-RT-B-C-TECH-4-B2-RCN-G0</x:v>
      </x:c>
      <x:c r="D409" s="9" t="str">
        <x:v>AR-RT-B-C-TECH-4-B2-RCN-G0</x:v>
      </x:c>
      <x:c r="E409" s="9" t="str">
        <x:v>RT-B-C-TECH-4</x:v>
      </x:c>
      <x:c r="F409" s="9" t="str">
        <x:v>RT-B-C</x:v>
      </x:c>
      <x:c r="G409" s="9" t="str">
        <x:v>B2</x:v>
      </x:c>
      <x:c r="H409" s="9" t="str">
        <x:v>RCN</x:v>
      </x:c>
      <x:c r="I409" s="9" t="n">
        <x:v>2</x:v>
      </x:c>
      <x:c r="J409" s="9" t="n">
        <x:v>3</x:v>
      </x:c>
      <x:c r="K409" s="9" t="str">
        <x:v>RT-B-C-N1</x:v>
      </x:c>
      <x:c r="L409" s="9" t="str">
        <x:v>ST03</x:v>
      </x:c>
      <x:c r="M409" s="17" t="str">
        <x:v>Receiver receipt</x:v>
      </x:c>
      <x:c r="N409" s="17" t="str">
        <x:v>denominator, counterfactual, rights and stop receipt remain unchanged</x:v>
      </x:c>
      <x:c r="O409" s="17" t="str">
        <x:v>Receiver authority</x:v>
      </x:c>
      <x:c r="P409" s="9" t="n">
        <x:v>0</x:v>
      </x:c>
      <x:c r="Q409" s="9" t="n">
        <x:v>0</x:v>
      </x:c>
      <x:c r="R409" s="9" t="str">
        <x:v>OPEN / UNSTARTED</x:v>
      </x:c>
      <x:c r="S409" s="9" t="n">
        <x:f>COUNTIFS($A$7:$A$1446,A409)</x:f>
        <x:v>1</x:v>
      </x:c>
    </x:row>
    <x:row r="410">
      <x:c r="A410" s="9" t="str">
        <x:v>EV-AR-RT-B-C-TECH-4-B2-RCN-G0-ST04</x:v>
      </x:c>
      <x:c r="B410" s="9" t="str">
        <x:v>EV-AR-RT-B-C-TECH-4-B2-RCN-G0</x:v>
      </x:c>
      <x:c r="C410" s="9" t="str">
        <x:v>EOW-AR-RT-B-C-TECH-4-B2-RCN-G0</x:v>
      </x:c>
      <x:c r="D410" s="9" t="str">
        <x:v>AR-RT-B-C-TECH-4-B2-RCN-G0</x:v>
      </x:c>
      <x:c r="E410" s="9" t="str">
        <x:v>RT-B-C-TECH-4</x:v>
      </x:c>
      <x:c r="F410" s="9" t="str">
        <x:v>RT-B-C</x:v>
      </x:c>
      <x:c r="G410" s="9" t="str">
        <x:v>B2</x:v>
      </x:c>
      <x:c r="H410" s="9" t="str">
        <x:v>RCN</x:v>
      </x:c>
      <x:c r="I410" s="9" t="n">
        <x:v>2</x:v>
      </x:c>
      <x:c r="J410" s="9" t="n">
        <x:v>3</x:v>
      </x:c>
      <x:c r="K410" s="9" t="str">
        <x:v>RT-B-C-N1</x:v>
      </x:c>
      <x:c r="L410" s="9" t="str">
        <x:v>ST04</x:v>
      </x:c>
      <x:c r="M410" s="17" t="str">
        <x:v>Primary capture armed</x:v>
      </x:c>
      <x:c r="N410" s="17" t="str">
        <x:v>primary chain records sealed reference and live time</x:v>
      </x:c>
      <x:c r="O410" s="17" t="str">
        <x:v>Primary metrology</x:v>
      </x:c>
      <x:c r="P410" s="9" t="n">
        <x:v>0</x:v>
      </x:c>
      <x:c r="Q410" s="9" t="n">
        <x:v>0</x:v>
      </x:c>
      <x:c r="R410" s="9" t="str">
        <x:v>OPEN / UNSTARTED</x:v>
      </x:c>
      <x:c r="S410" s="9" t="n">
        <x:f>COUNTIFS($A$7:$A$1446,A410)</x:f>
        <x:v>1</x:v>
      </x:c>
    </x:row>
    <x:row r="411">
      <x:c r="A411" s="9" t="str">
        <x:v>EV-AR-RT-B-C-TECH-4-B2-RCN-G0-ST05</x:v>
      </x:c>
      <x:c r="B411" s="9" t="str">
        <x:v>EV-AR-RT-B-C-TECH-4-B2-RCN-G0</x:v>
      </x:c>
      <x:c r="C411" s="9" t="str">
        <x:v>EOW-AR-RT-B-C-TECH-4-B2-RCN-G0</x:v>
      </x:c>
      <x:c r="D411" s="9" t="str">
        <x:v>AR-RT-B-C-TECH-4-B2-RCN-G0</x:v>
      </x:c>
      <x:c r="E411" s="9" t="str">
        <x:v>RT-B-C-TECH-4</x:v>
      </x:c>
      <x:c r="F411" s="9" t="str">
        <x:v>RT-B-C</x:v>
      </x:c>
      <x:c r="G411" s="9" t="str">
        <x:v>B2</x:v>
      </x:c>
      <x:c r="H411" s="9" t="str">
        <x:v>RCN</x:v>
      </x:c>
      <x:c r="I411" s="9" t="n">
        <x:v>2</x:v>
      </x:c>
      <x:c r="J411" s="9" t="n">
        <x:v>3</x:v>
      </x:c>
      <x:c r="K411" s="9" t="str">
        <x:v>RT-B-C-N1</x:v>
      </x:c>
      <x:c r="L411" s="9" t="str">
        <x:v>ST05</x:v>
      </x:c>
      <x:c r="M411" s="17" t="str">
        <x:v>Witness capture armed</x:v>
      </x:c>
      <x:c r="N411" s="17" t="str">
        <x:v>unlike witness records independent reference and live time</x:v>
      </x:c>
      <x:c r="O411" s="17" t="str">
        <x:v>Witness metrology</x:v>
      </x:c>
      <x:c r="P411" s="9" t="n">
        <x:v>0</x:v>
      </x:c>
      <x:c r="Q411" s="9" t="n">
        <x:v>0</x:v>
      </x:c>
      <x:c r="R411" s="9" t="str">
        <x:v>OPEN / UNSTARTED</x:v>
      </x:c>
      <x:c r="S411" s="9" t="n">
        <x:f>COUNTIFS($A$7:$A$1446,A411)</x:f>
        <x:v>1</x:v>
      </x:c>
    </x:row>
    <x:row r="412">
      <x:c r="A412" s="9" t="str">
        <x:v>EV-AR-RT-B-C-TECH-4-B2-RCN-G0-ST06</x:v>
      </x:c>
      <x:c r="B412" s="9" t="str">
        <x:v>EV-AR-RT-B-C-TECH-4-B2-RCN-G0</x:v>
      </x:c>
      <x:c r="C412" s="9" t="str">
        <x:v>EOW-AR-RT-B-C-TECH-4-B2-RCN-G0</x:v>
      </x:c>
      <x:c r="D412" s="9" t="str">
        <x:v>AR-RT-B-C-TECH-4-B2-RCN-G0</x:v>
      </x:c>
      <x:c r="E412" s="9" t="str">
        <x:v>RT-B-C-TECH-4</x:v>
      </x:c>
      <x:c r="F412" s="9" t="str">
        <x:v>RT-B-C</x:v>
      </x:c>
      <x:c r="G412" s="9" t="str">
        <x:v>B2</x:v>
      </x:c>
      <x:c r="H412" s="9" t="str">
        <x:v>RCN</x:v>
      </x:c>
      <x:c r="I412" s="9" t="n">
        <x:v>2</x:v>
      </x:c>
      <x:c r="J412" s="9" t="n">
        <x:v>3</x:v>
      </x:c>
      <x:c r="K412" s="9" t="str">
        <x:v>RT-B-C-N1</x:v>
      </x:c>
      <x:c r="L412" s="9" t="str">
        <x:v>ST06</x:v>
      </x:c>
      <x:c r="M412" s="17" t="str">
        <x:v>Public custody armed</x:v>
      </x:c>
      <x:c r="N412" s="17" t="str">
        <x:v>eight raw origins have separated hash and replica routes</x:v>
      </x:c>
      <x:c r="O412" s="17" t="str">
        <x:v>Custody authority</x:v>
      </x:c>
      <x:c r="P412" s="9" t="n">
        <x:v>0</x:v>
      </x:c>
      <x:c r="Q412" s="9" t="n">
        <x:v>0</x:v>
      </x:c>
      <x:c r="R412" s="9" t="str">
        <x:v>OPEN / UNSTARTED</x:v>
      </x:c>
      <x:c r="S412" s="9" t="n">
        <x:f>COUNTIFS($A$7:$A$1446,A412)</x:f>
        <x:v>1</x:v>
      </x:c>
    </x:row>
    <x:row r="413">
      <x:c r="A413" s="9" t="str">
        <x:v>EV-AR-RT-B-C-TECH-4-B2-RCN-G0-ST07</x:v>
      </x:c>
      <x:c r="B413" s="9" t="str">
        <x:v>EV-AR-RT-B-C-TECH-4-B2-RCN-G0</x:v>
      </x:c>
      <x:c r="C413" s="9" t="str">
        <x:v>EOW-AR-RT-B-C-TECH-4-B2-RCN-G0</x:v>
      </x:c>
      <x:c r="D413" s="9" t="str">
        <x:v>AR-RT-B-C-TECH-4-B2-RCN-G0</x:v>
      </x:c>
      <x:c r="E413" s="9" t="str">
        <x:v>RT-B-C-TECH-4</x:v>
      </x:c>
      <x:c r="F413" s="9" t="str">
        <x:v>RT-B-C</x:v>
      </x:c>
      <x:c r="G413" s="9" t="str">
        <x:v>B2</x:v>
      </x:c>
      <x:c r="H413" s="9" t="str">
        <x:v>RCN</x:v>
      </x:c>
      <x:c r="I413" s="9" t="n">
        <x:v>2</x:v>
      </x:c>
      <x:c r="J413" s="9" t="n">
        <x:v>3</x:v>
      </x:c>
      <x:c r="K413" s="9" t="str">
        <x:v>RT-B-C-N1</x:v>
      </x:c>
      <x:c r="L413" s="9" t="str">
        <x:v>ST07</x:v>
      </x:c>
      <x:c r="M413" s="17" t="str">
        <x:v>Environmental baseline</x:v>
      </x:c>
      <x:c r="N413" s="17" t="str">
        <x:v>pre-event boundary state is sealed before decisive operation</x:v>
      </x:c>
      <x:c r="O413" s="17" t="str">
        <x:v>Site metrology</x:v>
      </x:c>
      <x:c r="P413" s="9" t="n">
        <x:v>0</x:v>
      </x:c>
      <x:c r="Q413" s="9" t="n">
        <x:v>0</x:v>
      </x:c>
      <x:c r="R413" s="9" t="str">
        <x:v>OPEN / UNSTARTED</x:v>
      </x:c>
      <x:c r="S413" s="9" t="n">
        <x:f>COUNTIFS($A$7:$A$1446,A413)</x:f>
        <x:v>1</x:v>
      </x:c>
    </x:row>
    <x:row r="414">
      <x:c r="A414" s="9" t="str">
        <x:v>EV-AR-RT-B-C-TECH-4-B2-RCN-G0-ST08</x:v>
      </x:c>
      <x:c r="B414" s="9" t="str">
        <x:v>EV-AR-RT-B-C-TECH-4-B2-RCN-G0</x:v>
      </x:c>
      <x:c r="C414" s="9" t="str">
        <x:v>EOW-AR-RT-B-C-TECH-4-B2-RCN-G0</x:v>
      </x:c>
      <x:c r="D414" s="9" t="str">
        <x:v>AR-RT-B-C-TECH-4-B2-RCN-G0</x:v>
      </x:c>
      <x:c r="E414" s="9" t="str">
        <x:v>RT-B-C-TECH-4</x:v>
      </x:c>
      <x:c r="F414" s="9" t="str">
        <x:v>RT-B-C</x:v>
      </x:c>
      <x:c r="G414" s="9" t="str">
        <x:v>B2</x:v>
      </x:c>
      <x:c r="H414" s="9" t="str">
        <x:v>RCN</x:v>
      </x:c>
      <x:c r="I414" s="9" t="n">
        <x:v>2</x:v>
      </x:c>
      <x:c r="J414" s="9" t="n">
        <x:v>3</x:v>
      </x:c>
      <x:c r="K414" s="9" t="str">
        <x:v>RT-B-C-N1</x:v>
      </x:c>
      <x:c r="L414" s="9" t="str">
        <x:v>ST08</x:v>
      </x:c>
      <x:c r="M414" s="17" t="str">
        <x:v>Manual stop and safety</x:v>
      </x:c>
      <x:c r="N414" s="17" t="str">
        <x:v>local stop, evacuation and protection routes are active</x:v>
      </x:c>
      <x:c r="O414" s="17" t="str">
        <x:v>Safety authority</x:v>
      </x:c>
      <x:c r="P414" s="9" t="n">
        <x:v>0</x:v>
      </x:c>
      <x:c r="Q414" s="9" t="n">
        <x:v>0</x:v>
      </x:c>
      <x:c r="R414" s="9" t="str">
        <x:v>OPEN / UNSTARTED</x:v>
      </x:c>
      <x:c r="S414" s="9" t="n">
        <x:f>COUNTIFS($A$7:$A$1446,A414)</x:f>
        <x:v>1</x:v>
      </x:c>
    </x:row>
    <x:row r="415">
      <x:c r="A415" s="9" t="str">
        <x:v>EV-AR-RT-B-C-TECH-4-B2-RCN-G0-ST09</x:v>
      </x:c>
      <x:c r="B415" s="9" t="str">
        <x:v>EV-AR-RT-B-C-TECH-4-B2-RCN-G0</x:v>
      </x:c>
      <x:c r="C415" s="9" t="str">
        <x:v>EOW-AR-RT-B-C-TECH-4-B2-RCN-G0</x:v>
      </x:c>
      <x:c r="D415" s="9" t="str">
        <x:v>AR-RT-B-C-TECH-4-B2-RCN-G0</x:v>
      </x:c>
      <x:c r="E415" s="9" t="str">
        <x:v>RT-B-C-TECH-4</x:v>
      </x:c>
      <x:c r="F415" s="9" t="str">
        <x:v>RT-B-C</x:v>
      </x:c>
      <x:c r="G415" s="9" t="str">
        <x:v>B2</x:v>
      </x:c>
      <x:c r="H415" s="9" t="str">
        <x:v>RCN</x:v>
      </x:c>
      <x:c r="I415" s="9" t="n">
        <x:v>2</x:v>
      </x:c>
      <x:c r="J415" s="9" t="n">
        <x:v>3</x:v>
      </x:c>
      <x:c r="K415" s="9" t="str">
        <x:v>RT-B-C-N1</x:v>
      </x:c>
      <x:c r="L415" s="9" t="str">
        <x:v>ST09</x:v>
      </x:c>
      <x:c r="M415" s="17" t="str">
        <x:v>Operator conflict clear</x:v>
      </x:c>
      <x:c r="N415" s="17" t="str">
        <x:v>candidate, fixture, safety and measurement control edges remain separated</x:v>
      </x:c>
      <x:c r="O415" s="17" t="str">
        <x:v>Conflict registrar</x:v>
      </x:c>
      <x:c r="P415" s="9" t="n">
        <x:v>0</x:v>
      </x:c>
      <x:c r="Q415" s="9" t="n">
        <x:v>0</x:v>
      </x:c>
      <x:c r="R415" s="9" t="str">
        <x:v>OPEN / UNSTARTED</x:v>
      </x:c>
      <x:c r="S415" s="9" t="n">
        <x:f>COUNTIFS($A$7:$A$1446,A415)</x:f>
        <x:v>1</x:v>
      </x:c>
    </x:row>
    <x:row r="416">
      <x:c r="A416" s="9" t="str">
        <x:v>EV-AR-RT-B-C-TECH-4-B2-RCN-G0-ST10</x:v>
      </x:c>
      <x:c r="B416" s="9" t="str">
        <x:v>EV-AR-RT-B-C-TECH-4-B2-RCN-G0</x:v>
      </x:c>
      <x:c r="C416" s="9" t="str">
        <x:v>EOW-AR-RT-B-C-TECH-4-B2-RCN-G0</x:v>
      </x:c>
      <x:c r="D416" s="9" t="str">
        <x:v>AR-RT-B-C-TECH-4-B2-RCN-G0</x:v>
      </x:c>
      <x:c r="E416" s="9" t="str">
        <x:v>RT-B-C-TECH-4</x:v>
      </x:c>
      <x:c r="F416" s="9" t="str">
        <x:v>RT-B-C</x:v>
      </x:c>
      <x:c r="G416" s="9" t="str">
        <x:v>B2</x:v>
      </x:c>
      <x:c r="H416" s="9" t="str">
        <x:v>RCN</x:v>
      </x:c>
      <x:c r="I416" s="9" t="n">
        <x:v>2</x:v>
      </x:c>
      <x:c r="J416" s="9" t="n">
        <x:v>3</x:v>
      </x:c>
      <x:c r="K416" s="9" t="str">
        <x:v>RT-B-C-N1</x:v>
      </x:c>
      <x:c r="L416" s="9" t="str">
        <x:v>ST10</x:v>
      </x:c>
      <x:c r="M416" s="17" t="str">
        <x:v>Window and common clock</x:v>
      </x:c>
      <x:c r="N416" s="17" t="str">
        <x:v>epoch, window and public time origin match the issued warrant</x:v>
      </x:c>
      <x:c r="O416" s="17" t="str">
        <x:v>Event clock authority</x:v>
      </x:c>
      <x:c r="P416" s="9" t="n">
        <x:v>0</x:v>
      </x:c>
      <x:c r="Q416" s="9" t="n">
        <x:v>0</x:v>
      </x:c>
      <x:c r="R416" s="9" t="str">
        <x:v>OPEN / UNSTARTED</x:v>
      </x:c>
      <x:c r="S416" s="9" t="n">
        <x:f>COUNTIFS($A$7:$A$1446,A416)</x:f>
        <x:v>1</x:v>
      </x:c>
    </x:row>
    <x:row r="417">
      <x:c r="A417" s="9" t="str">
        <x:v>EV-AR-RT-B-C-TECH-2-B2-INT-G0-ST01</x:v>
      </x:c>
      <x:c r="B417" s="9" t="str">
        <x:v>EV-AR-RT-B-C-TECH-2-B2-INT-G0</x:v>
      </x:c>
      <x:c r="C417" s="9" t="str">
        <x:v>EOW-AR-RT-B-C-TECH-2-B2-INT-G0</x:v>
      </x:c>
      <x:c r="D417" s="9" t="str">
        <x:v>AR-RT-B-C-TECH-2-B2-INT-G0</x:v>
      </x:c>
      <x:c r="E417" s="9" t="str">
        <x:v>RT-B-C-TECH-2</x:v>
      </x:c>
      <x:c r="F417" s="9" t="str">
        <x:v>RT-B-C</x:v>
      </x:c>
      <x:c r="G417" s="9" t="str">
        <x:v>B2</x:v>
      </x:c>
      <x:c r="H417" s="9" t="str">
        <x:v>INT</x:v>
      </x:c>
      <x:c r="I417" s="9" t="n">
        <x:v>2</x:v>
      </x:c>
      <x:c r="J417" s="9" t="n">
        <x:v>3</x:v>
      </x:c>
      <x:c r="K417" s="9" t="str">
        <x:v>RT-B-C-N2</x:v>
      </x:c>
      <x:c r="L417" s="9" t="str">
        <x:v>ST01</x:v>
      </x:c>
      <x:c r="M417" s="17" t="str">
        <x:v>Active opportunity warrant</x:v>
      </x:c>
      <x:c r="N417" s="17" t="str">
        <x:v>configuration-bound EOW is within its thirty-six-hour validity</x:v>
      </x:c>
      <x:c r="O417" s="17" t="str">
        <x:v>Start registrar</x:v>
      </x:c>
      <x:c r="P417" s="9" t="n">
        <x:v>0</x:v>
      </x:c>
      <x:c r="Q417" s="9" t="n">
        <x:v>0</x:v>
      </x:c>
      <x:c r="R417" s="9" t="str">
        <x:v>OPEN / UNSTARTED</x:v>
      </x:c>
      <x:c r="S417" s="9" t="n">
        <x:f>COUNTIFS($A$7:$A$1446,A417)</x:f>
        <x:v>1</x:v>
      </x:c>
    </x:row>
    <x:row r="418">
      <x:c r="A418" s="9" t="str">
        <x:v>EV-AR-RT-B-C-TECH-2-B2-INT-G0-ST02</x:v>
      </x:c>
      <x:c r="B418" s="9" t="str">
        <x:v>EV-AR-RT-B-C-TECH-2-B2-INT-G0</x:v>
      </x:c>
      <x:c r="C418" s="9" t="str">
        <x:v>EOW-AR-RT-B-C-TECH-2-B2-INT-G0</x:v>
      </x:c>
      <x:c r="D418" s="9" t="str">
        <x:v>AR-RT-B-C-TECH-2-B2-INT-G0</x:v>
      </x:c>
      <x:c r="E418" s="9" t="str">
        <x:v>RT-B-C-TECH-2</x:v>
      </x:c>
      <x:c r="F418" s="9" t="str">
        <x:v>RT-B-C</x:v>
      </x:c>
      <x:c r="G418" s="9" t="str">
        <x:v>B2</x:v>
      </x:c>
      <x:c r="H418" s="9" t="str">
        <x:v>INT</x:v>
      </x:c>
      <x:c r="I418" s="9" t="n">
        <x:v>2</x:v>
      </x:c>
      <x:c r="J418" s="9" t="n">
        <x:v>3</x:v>
      </x:c>
      <x:c r="K418" s="9" t="str">
        <x:v>RT-B-C-N2</x:v>
      </x:c>
      <x:c r="L418" s="9" t="str">
        <x:v>ST02</x:v>
      </x:c>
      <x:c r="M418" s="17" t="str">
        <x:v>Frozen identity</x:v>
      </x:c>
      <x:c r="N418" s="17" t="str">
        <x:v>serial, generation, fixture, site, receiver and digest match the warrant</x:v>
      </x:c>
      <x:c r="O418" s="17" t="str">
        <x:v>Custody authority</x:v>
      </x:c>
      <x:c r="P418" s="9" t="n">
        <x:v>0</x:v>
      </x:c>
      <x:c r="Q418" s="9" t="n">
        <x:v>0</x:v>
      </x:c>
      <x:c r="R418" s="9" t="str">
        <x:v>OPEN / UNSTARTED</x:v>
      </x:c>
      <x:c r="S418" s="9" t="n">
        <x:f>COUNTIFS($A$7:$A$1446,A418)</x:f>
        <x:v>1</x:v>
      </x:c>
    </x:row>
    <x:row r="419">
      <x:c r="A419" s="9" t="str">
        <x:v>EV-AR-RT-B-C-TECH-2-B2-INT-G0-ST03</x:v>
      </x:c>
      <x:c r="B419" s="9" t="str">
        <x:v>EV-AR-RT-B-C-TECH-2-B2-INT-G0</x:v>
      </x:c>
      <x:c r="C419" s="9" t="str">
        <x:v>EOW-AR-RT-B-C-TECH-2-B2-INT-G0</x:v>
      </x:c>
      <x:c r="D419" s="9" t="str">
        <x:v>AR-RT-B-C-TECH-2-B2-INT-G0</x:v>
      </x:c>
      <x:c r="E419" s="9" t="str">
        <x:v>RT-B-C-TECH-2</x:v>
      </x:c>
      <x:c r="F419" s="9" t="str">
        <x:v>RT-B-C</x:v>
      </x:c>
      <x:c r="G419" s="9" t="str">
        <x:v>B2</x:v>
      </x:c>
      <x:c r="H419" s="9" t="str">
        <x:v>INT</x:v>
      </x:c>
      <x:c r="I419" s="9" t="n">
        <x:v>2</x:v>
      </x:c>
      <x:c r="J419" s="9" t="n">
        <x:v>3</x:v>
      </x:c>
      <x:c r="K419" s="9" t="str">
        <x:v>RT-B-C-N2</x:v>
      </x:c>
      <x:c r="L419" s="9" t="str">
        <x:v>ST03</x:v>
      </x:c>
      <x:c r="M419" s="17" t="str">
        <x:v>Receiver receipt</x:v>
      </x:c>
      <x:c r="N419" s="17" t="str">
        <x:v>denominator, counterfactual, rights and stop receipt remain unchanged</x:v>
      </x:c>
      <x:c r="O419" s="17" t="str">
        <x:v>Receiver authority</x:v>
      </x:c>
      <x:c r="P419" s="9" t="n">
        <x:v>0</x:v>
      </x:c>
      <x:c r="Q419" s="9" t="n">
        <x:v>0</x:v>
      </x:c>
      <x:c r="R419" s="9" t="str">
        <x:v>OPEN / UNSTARTED</x:v>
      </x:c>
      <x:c r="S419" s="9" t="n">
        <x:f>COUNTIFS($A$7:$A$1446,A419)</x:f>
        <x:v>1</x:v>
      </x:c>
    </x:row>
    <x:row r="420">
      <x:c r="A420" s="9" t="str">
        <x:v>EV-AR-RT-B-C-TECH-2-B2-INT-G0-ST04</x:v>
      </x:c>
      <x:c r="B420" s="9" t="str">
        <x:v>EV-AR-RT-B-C-TECH-2-B2-INT-G0</x:v>
      </x:c>
      <x:c r="C420" s="9" t="str">
        <x:v>EOW-AR-RT-B-C-TECH-2-B2-INT-G0</x:v>
      </x:c>
      <x:c r="D420" s="9" t="str">
        <x:v>AR-RT-B-C-TECH-2-B2-INT-G0</x:v>
      </x:c>
      <x:c r="E420" s="9" t="str">
        <x:v>RT-B-C-TECH-2</x:v>
      </x:c>
      <x:c r="F420" s="9" t="str">
        <x:v>RT-B-C</x:v>
      </x:c>
      <x:c r="G420" s="9" t="str">
        <x:v>B2</x:v>
      </x:c>
      <x:c r="H420" s="9" t="str">
        <x:v>INT</x:v>
      </x:c>
      <x:c r="I420" s="9" t="n">
        <x:v>2</x:v>
      </x:c>
      <x:c r="J420" s="9" t="n">
        <x:v>3</x:v>
      </x:c>
      <x:c r="K420" s="9" t="str">
        <x:v>RT-B-C-N2</x:v>
      </x:c>
      <x:c r="L420" s="9" t="str">
        <x:v>ST04</x:v>
      </x:c>
      <x:c r="M420" s="17" t="str">
        <x:v>Primary capture armed</x:v>
      </x:c>
      <x:c r="N420" s="17" t="str">
        <x:v>primary chain records sealed reference and live time</x:v>
      </x:c>
      <x:c r="O420" s="17" t="str">
        <x:v>Primary metrology</x:v>
      </x:c>
      <x:c r="P420" s="9" t="n">
        <x:v>0</x:v>
      </x:c>
      <x:c r="Q420" s="9" t="n">
        <x:v>0</x:v>
      </x:c>
      <x:c r="R420" s="9" t="str">
        <x:v>OPEN / UNSTARTED</x:v>
      </x:c>
      <x:c r="S420" s="9" t="n">
        <x:f>COUNTIFS($A$7:$A$1446,A420)</x:f>
        <x:v>1</x:v>
      </x:c>
    </x:row>
    <x:row r="421">
      <x:c r="A421" s="9" t="str">
        <x:v>EV-AR-RT-B-C-TECH-2-B2-INT-G0-ST05</x:v>
      </x:c>
      <x:c r="B421" s="9" t="str">
        <x:v>EV-AR-RT-B-C-TECH-2-B2-INT-G0</x:v>
      </x:c>
      <x:c r="C421" s="9" t="str">
        <x:v>EOW-AR-RT-B-C-TECH-2-B2-INT-G0</x:v>
      </x:c>
      <x:c r="D421" s="9" t="str">
        <x:v>AR-RT-B-C-TECH-2-B2-INT-G0</x:v>
      </x:c>
      <x:c r="E421" s="9" t="str">
        <x:v>RT-B-C-TECH-2</x:v>
      </x:c>
      <x:c r="F421" s="9" t="str">
        <x:v>RT-B-C</x:v>
      </x:c>
      <x:c r="G421" s="9" t="str">
        <x:v>B2</x:v>
      </x:c>
      <x:c r="H421" s="9" t="str">
        <x:v>INT</x:v>
      </x:c>
      <x:c r="I421" s="9" t="n">
        <x:v>2</x:v>
      </x:c>
      <x:c r="J421" s="9" t="n">
        <x:v>3</x:v>
      </x:c>
      <x:c r="K421" s="9" t="str">
        <x:v>RT-B-C-N2</x:v>
      </x:c>
      <x:c r="L421" s="9" t="str">
        <x:v>ST05</x:v>
      </x:c>
      <x:c r="M421" s="17" t="str">
        <x:v>Witness capture armed</x:v>
      </x:c>
      <x:c r="N421" s="17" t="str">
        <x:v>unlike witness records independent reference and live time</x:v>
      </x:c>
      <x:c r="O421" s="17" t="str">
        <x:v>Witness metrology</x:v>
      </x:c>
      <x:c r="P421" s="9" t="n">
        <x:v>0</x:v>
      </x:c>
      <x:c r="Q421" s="9" t="n">
        <x:v>0</x:v>
      </x:c>
      <x:c r="R421" s="9" t="str">
        <x:v>OPEN / UNSTARTED</x:v>
      </x:c>
      <x:c r="S421" s="9" t="n">
        <x:f>COUNTIFS($A$7:$A$1446,A421)</x:f>
        <x:v>1</x:v>
      </x:c>
    </x:row>
    <x:row r="422">
      <x:c r="A422" s="9" t="str">
        <x:v>EV-AR-RT-B-C-TECH-2-B2-INT-G0-ST06</x:v>
      </x:c>
      <x:c r="B422" s="9" t="str">
        <x:v>EV-AR-RT-B-C-TECH-2-B2-INT-G0</x:v>
      </x:c>
      <x:c r="C422" s="9" t="str">
        <x:v>EOW-AR-RT-B-C-TECH-2-B2-INT-G0</x:v>
      </x:c>
      <x:c r="D422" s="9" t="str">
        <x:v>AR-RT-B-C-TECH-2-B2-INT-G0</x:v>
      </x:c>
      <x:c r="E422" s="9" t="str">
        <x:v>RT-B-C-TECH-2</x:v>
      </x:c>
      <x:c r="F422" s="9" t="str">
        <x:v>RT-B-C</x:v>
      </x:c>
      <x:c r="G422" s="9" t="str">
        <x:v>B2</x:v>
      </x:c>
      <x:c r="H422" s="9" t="str">
        <x:v>INT</x:v>
      </x:c>
      <x:c r="I422" s="9" t="n">
        <x:v>2</x:v>
      </x:c>
      <x:c r="J422" s="9" t="n">
        <x:v>3</x:v>
      </x:c>
      <x:c r="K422" s="9" t="str">
        <x:v>RT-B-C-N2</x:v>
      </x:c>
      <x:c r="L422" s="9" t="str">
        <x:v>ST06</x:v>
      </x:c>
      <x:c r="M422" s="17" t="str">
        <x:v>Public custody armed</x:v>
      </x:c>
      <x:c r="N422" s="17" t="str">
        <x:v>eight raw origins have separated hash and replica routes</x:v>
      </x:c>
      <x:c r="O422" s="17" t="str">
        <x:v>Custody authority</x:v>
      </x:c>
      <x:c r="P422" s="9" t="n">
        <x:v>0</x:v>
      </x:c>
      <x:c r="Q422" s="9" t="n">
        <x:v>0</x:v>
      </x:c>
      <x:c r="R422" s="9" t="str">
        <x:v>OPEN / UNSTARTED</x:v>
      </x:c>
      <x:c r="S422" s="9" t="n">
        <x:f>COUNTIFS($A$7:$A$1446,A422)</x:f>
        <x:v>1</x:v>
      </x:c>
    </x:row>
    <x:row r="423">
      <x:c r="A423" s="9" t="str">
        <x:v>EV-AR-RT-B-C-TECH-2-B2-INT-G0-ST07</x:v>
      </x:c>
      <x:c r="B423" s="9" t="str">
        <x:v>EV-AR-RT-B-C-TECH-2-B2-INT-G0</x:v>
      </x:c>
      <x:c r="C423" s="9" t="str">
        <x:v>EOW-AR-RT-B-C-TECH-2-B2-INT-G0</x:v>
      </x:c>
      <x:c r="D423" s="9" t="str">
        <x:v>AR-RT-B-C-TECH-2-B2-INT-G0</x:v>
      </x:c>
      <x:c r="E423" s="9" t="str">
        <x:v>RT-B-C-TECH-2</x:v>
      </x:c>
      <x:c r="F423" s="9" t="str">
        <x:v>RT-B-C</x:v>
      </x:c>
      <x:c r="G423" s="9" t="str">
        <x:v>B2</x:v>
      </x:c>
      <x:c r="H423" s="9" t="str">
        <x:v>INT</x:v>
      </x:c>
      <x:c r="I423" s="9" t="n">
        <x:v>2</x:v>
      </x:c>
      <x:c r="J423" s="9" t="n">
        <x:v>3</x:v>
      </x:c>
      <x:c r="K423" s="9" t="str">
        <x:v>RT-B-C-N2</x:v>
      </x:c>
      <x:c r="L423" s="9" t="str">
        <x:v>ST07</x:v>
      </x:c>
      <x:c r="M423" s="17" t="str">
        <x:v>Environmental baseline</x:v>
      </x:c>
      <x:c r="N423" s="17" t="str">
        <x:v>pre-event boundary state is sealed before decisive operation</x:v>
      </x:c>
      <x:c r="O423" s="17" t="str">
        <x:v>Site metrology</x:v>
      </x:c>
      <x:c r="P423" s="9" t="n">
        <x:v>0</x:v>
      </x:c>
      <x:c r="Q423" s="9" t="n">
        <x:v>0</x:v>
      </x:c>
      <x:c r="R423" s="9" t="str">
        <x:v>OPEN / UNSTARTED</x:v>
      </x:c>
      <x:c r="S423" s="9" t="n">
        <x:f>COUNTIFS($A$7:$A$1446,A423)</x:f>
        <x:v>1</x:v>
      </x:c>
    </x:row>
    <x:row r="424">
      <x:c r="A424" s="9" t="str">
        <x:v>EV-AR-RT-B-C-TECH-2-B2-INT-G0-ST08</x:v>
      </x:c>
      <x:c r="B424" s="9" t="str">
        <x:v>EV-AR-RT-B-C-TECH-2-B2-INT-G0</x:v>
      </x:c>
      <x:c r="C424" s="9" t="str">
        <x:v>EOW-AR-RT-B-C-TECH-2-B2-INT-G0</x:v>
      </x:c>
      <x:c r="D424" s="9" t="str">
        <x:v>AR-RT-B-C-TECH-2-B2-INT-G0</x:v>
      </x:c>
      <x:c r="E424" s="9" t="str">
        <x:v>RT-B-C-TECH-2</x:v>
      </x:c>
      <x:c r="F424" s="9" t="str">
        <x:v>RT-B-C</x:v>
      </x:c>
      <x:c r="G424" s="9" t="str">
        <x:v>B2</x:v>
      </x:c>
      <x:c r="H424" s="9" t="str">
        <x:v>INT</x:v>
      </x:c>
      <x:c r="I424" s="9" t="n">
        <x:v>2</x:v>
      </x:c>
      <x:c r="J424" s="9" t="n">
        <x:v>3</x:v>
      </x:c>
      <x:c r="K424" s="9" t="str">
        <x:v>RT-B-C-N2</x:v>
      </x:c>
      <x:c r="L424" s="9" t="str">
        <x:v>ST08</x:v>
      </x:c>
      <x:c r="M424" s="17" t="str">
        <x:v>Manual stop and safety</x:v>
      </x:c>
      <x:c r="N424" s="17" t="str">
        <x:v>local stop, evacuation and protection routes are active</x:v>
      </x:c>
      <x:c r="O424" s="17" t="str">
        <x:v>Safety authority</x:v>
      </x:c>
      <x:c r="P424" s="9" t="n">
        <x:v>0</x:v>
      </x:c>
      <x:c r="Q424" s="9" t="n">
        <x:v>0</x:v>
      </x:c>
      <x:c r="R424" s="9" t="str">
        <x:v>OPEN / UNSTARTED</x:v>
      </x:c>
      <x:c r="S424" s="9" t="n">
        <x:f>COUNTIFS($A$7:$A$1446,A424)</x:f>
        <x:v>1</x:v>
      </x:c>
    </x:row>
    <x:row r="425">
      <x:c r="A425" s="9" t="str">
        <x:v>EV-AR-RT-B-C-TECH-2-B2-INT-G0-ST09</x:v>
      </x:c>
      <x:c r="B425" s="9" t="str">
        <x:v>EV-AR-RT-B-C-TECH-2-B2-INT-G0</x:v>
      </x:c>
      <x:c r="C425" s="9" t="str">
        <x:v>EOW-AR-RT-B-C-TECH-2-B2-INT-G0</x:v>
      </x:c>
      <x:c r="D425" s="9" t="str">
        <x:v>AR-RT-B-C-TECH-2-B2-INT-G0</x:v>
      </x:c>
      <x:c r="E425" s="9" t="str">
        <x:v>RT-B-C-TECH-2</x:v>
      </x:c>
      <x:c r="F425" s="9" t="str">
        <x:v>RT-B-C</x:v>
      </x:c>
      <x:c r="G425" s="9" t="str">
        <x:v>B2</x:v>
      </x:c>
      <x:c r="H425" s="9" t="str">
        <x:v>INT</x:v>
      </x:c>
      <x:c r="I425" s="9" t="n">
        <x:v>2</x:v>
      </x:c>
      <x:c r="J425" s="9" t="n">
        <x:v>3</x:v>
      </x:c>
      <x:c r="K425" s="9" t="str">
        <x:v>RT-B-C-N2</x:v>
      </x:c>
      <x:c r="L425" s="9" t="str">
        <x:v>ST09</x:v>
      </x:c>
      <x:c r="M425" s="17" t="str">
        <x:v>Operator conflict clear</x:v>
      </x:c>
      <x:c r="N425" s="17" t="str">
        <x:v>candidate, fixture, safety and measurement control edges remain separated</x:v>
      </x:c>
      <x:c r="O425" s="17" t="str">
        <x:v>Conflict registrar</x:v>
      </x:c>
      <x:c r="P425" s="9" t="n">
        <x:v>0</x:v>
      </x:c>
      <x:c r="Q425" s="9" t="n">
        <x:v>0</x:v>
      </x:c>
      <x:c r="R425" s="9" t="str">
        <x:v>OPEN / UNSTARTED</x:v>
      </x:c>
      <x:c r="S425" s="9" t="n">
        <x:f>COUNTIFS($A$7:$A$1446,A425)</x:f>
        <x:v>1</x:v>
      </x:c>
    </x:row>
    <x:row r="426">
      <x:c r="A426" s="9" t="str">
        <x:v>EV-AR-RT-B-C-TECH-2-B2-INT-G0-ST10</x:v>
      </x:c>
      <x:c r="B426" s="9" t="str">
        <x:v>EV-AR-RT-B-C-TECH-2-B2-INT-G0</x:v>
      </x:c>
      <x:c r="C426" s="9" t="str">
        <x:v>EOW-AR-RT-B-C-TECH-2-B2-INT-G0</x:v>
      </x:c>
      <x:c r="D426" s="9" t="str">
        <x:v>AR-RT-B-C-TECH-2-B2-INT-G0</x:v>
      </x:c>
      <x:c r="E426" s="9" t="str">
        <x:v>RT-B-C-TECH-2</x:v>
      </x:c>
      <x:c r="F426" s="9" t="str">
        <x:v>RT-B-C</x:v>
      </x:c>
      <x:c r="G426" s="9" t="str">
        <x:v>B2</x:v>
      </x:c>
      <x:c r="H426" s="9" t="str">
        <x:v>INT</x:v>
      </x:c>
      <x:c r="I426" s="9" t="n">
        <x:v>2</x:v>
      </x:c>
      <x:c r="J426" s="9" t="n">
        <x:v>3</x:v>
      </x:c>
      <x:c r="K426" s="9" t="str">
        <x:v>RT-B-C-N2</x:v>
      </x:c>
      <x:c r="L426" s="9" t="str">
        <x:v>ST10</x:v>
      </x:c>
      <x:c r="M426" s="17" t="str">
        <x:v>Window and common clock</x:v>
      </x:c>
      <x:c r="N426" s="17" t="str">
        <x:v>epoch, window and public time origin match the issued warrant</x:v>
      </x:c>
      <x:c r="O426" s="17" t="str">
        <x:v>Event clock authority</x:v>
      </x:c>
      <x:c r="P426" s="9" t="n">
        <x:v>0</x:v>
      </x:c>
      <x:c r="Q426" s="9" t="n">
        <x:v>0</x:v>
      </x:c>
      <x:c r="R426" s="9" t="str">
        <x:v>OPEN / UNSTARTED</x:v>
      </x:c>
      <x:c r="S426" s="9" t="n">
        <x:f>COUNTIFS($A$7:$A$1446,A426)</x:f>
        <x:v>1</x:v>
      </x:c>
    </x:row>
    <x:row r="427">
      <x:c r="A427" s="9" t="str">
        <x:v>EV-AR-CT-C-B-TECH-1-B1-INT-G0-ST01</x:v>
      </x:c>
      <x:c r="B427" s="9" t="str">
        <x:v>EV-AR-CT-C-B-TECH-1-B1-INT-G0</x:v>
      </x:c>
      <x:c r="C427" s="9" t="str">
        <x:v>EOW-AR-CT-C-B-TECH-1-B1-INT-G0</x:v>
      </x:c>
      <x:c r="D427" s="9" t="str">
        <x:v>AR-CT-C-B-TECH-1-B1-INT-G0</x:v>
      </x:c>
      <x:c r="E427" s="9" t="str">
        <x:v>CT-C-B-TECH-1</x:v>
      </x:c>
      <x:c r="F427" s="9" t="str">
        <x:v>CT-C-B</x:v>
      </x:c>
      <x:c r="G427" s="9" t="str">
        <x:v>B1</x:v>
      </x:c>
      <x:c r="H427" s="9" t="str">
        <x:v>INT</x:v>
      </x:c>
      <x:c r="I427" s="9" t="n">
        <x:v>2</x:v>
      </x:c>
      <x:c r="J427" s="9" t="n">
        <x:v>4</x:v>
      </x:c>
      <x:c r="K427" s="9" t="str">
        <x:v>CT-C-B-N1</x:v>
      </x:c>
      <x:c r="L427" s="9" t="str">
        <x:v>ST01</x:v>
      </x:c>
      <x:c r="M427" s="17" t="str">
        <x:v>Active opportunity warrant</x:v>
      </x:c>
      <x:c r="N427" s="17" t="str">
        <x:v>configuration-bound EOW is within its thirty-six-hour validity</x:v>
      </x:c>
      <x:c r="O427" s="17" t="str">
        <x:v>Start registrar</x:v>
      </x:c>
      <x:c r="P427" s="9" t="n">
        <x:v>0</x:v>
      </x:c>
      <x:c r="Q427" s="9" t="n">
        <x:v>0</x:v>
      </x:c>
      <x:c r="R427" s="9" t="str">
        <x:v>OPEN / UNSTARTED</x:v>
      </x:c>
      <x:c r="S427" s="9" t="n">
        <x:f>COUNTIFS($A$7:$A$1446,A427)</x:f>
        <x:v>1</x:v>
      </x:c>
    </x:row>
    <x:row r="428">
      <x:c r="A428" s="9" t="str">
        <x:v>EV-AR-CT-C-B-TECH-1-B1-INT-G0-ST02</x:v>
      </x:c>
      <x:c r="B428" s="9" t="str">
        <x:v>EV-AR-CT-C-B-TECH-1-B1-INT-G0</x:v>
      </x:c>
      <x:c r="C428" s="9" t="str">
        <x:v>EOW-AR-CT-C-B-TECH-1-B1-INT-G0</x:v>
      </x:c>
      <x:c r="D428" s="9" t="str">
        <x:v>AR-CT-C-B-TECH-1-B1-INT-G0</x:v>
      </x:c>
      <x:c r="E428" s="9" t="str">
        <x:v>CT-C-B-TECH-1</x:v>
      </x:c>
      <x:c r="F428" s="9" t="str">
        <x:v>CT-C-B</x:v>
      </x:c>
      <x:c r="G428" s="9" t="str">
        <x:v>B1</x:v>
      </x:c>
      <x:c r="H428" s="9" t="str">
        <x:v>INT</x:v>
      </x:c>
      <x:c r="I428" s="9" t="n">
        <x:v>2</x:v>
      </x:c>
      <x:c r="J428" s="9" t="n">
        <x:v>4</x:v>
      </x:c>
      <x:c r="K428" s="9" t="str">
        <x:v>CT-C-B-N1</x:v>
      </x:c>
      <x:c r="L428" s="9" t="str">
        <x:v>ST02</x:v>
      </x:c>
      <x:c r="M428" s="17" t="str">
        <x:v>Frozen identity</x:v>
      </x:c>
      <x:c r="N428" s="17" t="str">
        <x:v>serial, generation, fixture, site, receiver and digest match the warrant</x:v>
      </x:c>
      <x:c r="O428" s="17" t="str">
        <x:v>Custody authority</x:v>
      </x:c>
      <x:c r="P428" s="9" t="n">
        <x:v>0</x:v>
      </x:c>
      <x:c r="Q428" s="9" t="n">
        <x:v>0</x:v>
      </x:c>
      <x:c r="R428" s="9" t="str">
        <x:v>OPEN / UNSTARTED</x:v>
      </x:c>
      <x:c r="S428" s="9" t="n">
        <x:f>COUNTIFS($A$7:$A$1446,A428)</x:f>
        <x:v>1</x:v>
      </x:c>
    </x:row>
    <x:row r="429">
      <x:c r="A429" s="9" t="str">
        <x:v>EV-AR-CT-C-B-TECH-1-B1-INT-G0-ST03</x:v>
      </x:c>
      <x:c r="B429" s="9" t="str">
        <x:v>EV-AR-CT-C-B-TECH-1-B1-INT-G0</x:v>
      </x:c>
      <x:c r="C429" s="9" t="str">
        <x:v>EOW-AR-CT-C-B-TECH-1-B1-INT-G0</x:v>
      </x:c>
      <x:c r="D429" s="9" t="str">
        <x:v>AR-CT-C-B-TECH-1-B1-INT-G0</x:v>
      </x:c>
      <x:c r="E429" s="9" t="str">
        <x:v>CT-C-B-TECH-1</x:v>
      </x:c>
      <x:c r="F429" s="9" t="str">
        <x:v>CT-C-B</x:v>
      </x:c>
      <x:c r="G429" s="9" t="str">
        <x:v>B1</x:v>
      </x:c>
      <x:c r="H429" s="9" t="str">
        <x:v>INT</x:v>
      </x:c>
      <x:c r="I429" s="9" t="n">
        <x:v>2</x:v>
      </x:c>
      <x:c r="J429" s="9" t="n">
        <x:v>4</x:v>
      </x:c>
      <x:c r="K429" s="9" t="str">
        <x:v>CT-C-B-N1</x:v>
      </x:c>
      <x:c r="L429" s="9" t="str">
        <x:v>ST03</x:v>
      </x:c>
      <x:c r="M429" s="17" t="str">
        <x:v>Receiver receipt</x:v>
      </x:c>
      <x:c r="N429" s="17" t="str">
        <x:v>denominator, counterfactual, rights and stop receipt remain unchanged</x:v>
      </x:c>
      <x:c r="O429" s="17" t="str">
        <x:v>Receiver authority</x:v>
      </x:c>
      <x:c r="P429" s="9" t="n">
        <x:v>0</x:v>
      </x:c>
      <x:c r="Q429" s="9" t="n">
        <x:v>0</x:v>
      </x:c>
      <x:c r="R429" s="9" t="str">
        <x:v>OPEN / UNSTARTED</x:v>
      </x:c>
      <x:c r="S429" s="9" t="n">
        <x:f>COUNTIFS($A$7:$A$1446,A429)</x:f>
        <x:v>1</x:v>
      </x:c>
    </x:row>
    <x:row r="430">
      <x:c r="A430" s="9" t="str">
        <x:v>EV-AR-CT-C-B-TECH-1-B1-INT-G0-ST04</x:v>
      </x:c>
      <x:c r="B430" s="9" t="str">
        <x:v>EV-AR-CT-C-B-TECH-1-B1-INT-G0</x:v>
      </x:c>
      <x:c r="C430" s="9" t="str">
        <x:v>EOW-AR-CT-C-B-TECH-1-B1-INT-G0</x:v>
      </x:c>
      <x:c r="D430" s="9" t="str">
        <x:v>AR-CT-C-B-TECH-1-B1-INT-G0</x:v>
      </x:c>
      <x:c r="E430" s="9" t="str">
        <x:v>CT-C-B-TECH-1</x:v>
      </x:c>
      <x:c r="F430" s="9" t="str">
        <x:v>CT-C-B</x:v>
      </x:c>
      <x:c r="G430" s="9" t="str">
        <x:v>B1</x:v>
      </x:c>
      <x:c r="H430" s="9" t="str">
        <x:v>INT</x:v>
      </x:c>
      <x:c r="I430" s="9" t="n">
        <x:v>2</x:v>
      </x:c>
      <x:c r="J430" s="9" t="n">
        <x:v>4</x:v>
      </x:c>
      <x:c r="K430" s="9" t="str">
        <x:v>CT-C-B-N1</x:v>
      </x:c>
      <x:c r="L430" s="9" t="str">
        <x:v>ST04</x:v>
      </x:c>
      <x:c r="M430" s="17" t="str">
        <x:v>Primary capture armed</x:v>
      </x:c>
      <x:c r="N430" s="17" t="str">
        <x:v>primary chain records sealed reference and live time</x:v>
      </x:c>
      <x:c r="O430" s="17" t="str">
        <x:v>Primary metrology</x:v>
      </x:c>
      <x:c r="P430" s="9" t="n">
        <x:v>0</x:v>
      </x:c>
      <x:c r="Q430" s="9" t="n">
        <x:v>0</x:v>
      </x:c>
      <x:c r="R430" s="9" t="str">
        <x:v>OPEN / UNSTARTED</x:v>
      </x:c>
      <x:c r="S430" s="9" t="n">
        <x:f>COUNTIFS($A$7:$A$1446,A430)</x:f>
        <x:v>1</x:v>
      </x:c>
    </x:row>
    <x:row r="431">
      <x:c r="A431" s="9" t="str">
        <x:v>EV-AR-CT-C-B-TECH-1-B1-INT-G0-ST05</x:v>
      </x:c>
      <x:c r="B431" s="9" t="str">
        <x:v>EV-AR-CT-C-B-TECH-1-B1-INT-G0</x:v>
      </x:c>
      <x:c r="C431" s="9" t="str">
        <x:v>EOW-AR-CT-C-B-TECH-1-B1-INT-G0</x:v>
      </x:c>
      <x:c r="D431" s="9" t="str">
        <x:v>AR-CT-C-B-TECH-1-B1-INT-G0</x:v>
      </x:c>
      <x:c r="E431" s="9" t="str">
        <x:v>CT-C-B-TECH-1</x:v>
      </x:c>
      <x:c r="F431" s="9" t="str">
        <x:v>CT-C-B</x:v>
      </x:c>
      <x:c r="G431" s="9" t="str">
        <x:v>B1</x:v>
      </x:c>
      <x:c r="H431" s="9" t="str">
        <x:v>INT</x:v>
      </x:c>
      <x:c r="I431" s="9" t="n">
        <x:v>2</x:v>
      </x:c>
      <x:c r="J431" s="9" t="n">
        <x:v>4</x:v>
      </x:c>
      <x:c r="K431" s="9" t="str">
        <x:v>CT-C-B-N1</x:v>
      </x:c>
      <x:c r="L431" s="9" t="str">
        <x:v>ST05</x:v>
      </x:c>
      <x:c r="M431" s="17" t="str">
        <x:v>Witness capture armed</x:v>
      </x:c>
      <x:c r="N431" s="17" t="str">
        <x:v>unlike witness records independent reference and live time</x:v>
      </x:c>
      <x:c r="O431" s="17" t="str">
        <x:v>Witness metrology</x:v>
      </x:c>
      <x:c r="P431" s="9" t="n">
        <x:v>0</x:v>
      </x:c>
      <x:c r="Q431" s="9" t="n">
        <x:v>0</x:v>
      </x:c>
      <x:c r="R431" s="9" t="str">
        <x:v>OPEN / UNSTARTED</x:v>
      </x:c>
      <x:c r="S431" s="9" t="n">
        <x:f>COUNTIFS($A$7:$A$1446,A431)</x:f>
        <x:v>1</x:v>
      </x:c>
    </x:row>
    <x:row r="432">
      <x:c r="A432" s="9" t="str">
        <x:v>EV-AR-CT-C-B-TECH-1-B1-INT-G0-ST06</x:v>
      </x:c>
      <x:c r="B432" s="9" t="str">
        <x:v>EV-AR-CT-C-B-TECH-1-B1-INT-G0</x:v>
      </x:c>
      <x:c r="C432" s="9" t="str">
        <x:v>EOW-AR-CT-C-B-TECH-1-B1-INT-G0</x:v>
      </x:c>
      <x:c r="D432" s="9" t="str">
        <x:v>AR-CT-C-B-TECH-1-B1-INT-G0</x:v>
      </x:c>
      <x:c r="E432" s="9" t="str">
        <x:v>CT-C-B-TECH-1</x:v>
      </x:c>
      <x:c r="F432" s="9" t="str">
        <x:v>CT-C-B</x:v>
      </x:c>
      <x:c r="G432" s="9" t="str">
        <x:v>B1</x:v>
      </x:c>
      <x:c r="H432" s="9" t="str">
        <x:v>INT</x:v>
      </x:c>
      <x:c r="I432" s="9" t="n">
        <x:v>2</x:v>
      </x:c>
      <x:c r="J432" s="9" t="n">
        <x:v>4</x:v>
      </x:c>
      <x:c r="K432" s="9" t="str">
        <x:v>CT-C-B-N1</x:v>
      </x:c>
      <x:c r="L432" s="9" t="str">
        <x:v>ST06</x:v>
      </x:c>
      <x:c r="M432" s="17" t="str">
        <x:v>Public custody armed</x:v>
      </x:c>
      <x:c r="N432" s="17" t="str">
        <x:v>eight raw origins have separated hash and replica routes</x:v>
      </x:c>
      <x:c r="O432" s="17" t="str">
        <x:v>Custody authority</x:v>
      </x:c>
      <x:c r="P432" s="9" t="n">
        <x:v>0</x:v>
      </x:c>
      <x:c r="Q432" s="9" t="n">
        <x:v>0</x:v>
      </x:c>
      <x:c r="R432" s="9" t="str">
        <x:v>OPEN / UNSTARTED</x:v>
      </x:c>
      <x:c r="S432" s="9" t="n">
        <x:f>COUNTIFS($A$7:$A$1446,A432)</x:f>
        <x:v>1</x:v>
      </x:c>
    </x:row>
    <x:row r="433">
      <x:c r="A433" s="9" t="str">
        <x:v>EV-AR-CT-C-B-TECH-1-B1-INT-G0-ST07</x:v>
      </x:c>
      <x:c r="B433" s="9" t="str">
        <x:v>EV-AR-CT-C-B-TECH-1-B1-INT-G0</x:v>
      </x:c>
      <x:c r="C433" s="9" t="str">
        <x:v>EOW-AR-CT-C-B-TECH-1-B1-INT-G0</x:v>
      </x:c>
      <x:c r="D433" s="9" t="str">
        <x:v>AR-CT-C-B-TECH-1-B1-INT-G0</x:v>
      </x:c>
      <x:c r="E433" s="9" t="str">
        <x:v>CT-C-B-TECH-1</x:v>
      </x:c>
      <x:c r="F433" s="9" t="str">
        <x:v>CT-C-B</x:v>
      </x:c>
      <x:c r="G433" s="9" t="str">
        <x:v>B1</x:v>
      </x:c>
      <x:c r="H433" s="9" t="str">
        <x:v>INT</x:v>
      </x:c>
      <x:c r="I433" s="9" t="n">
        <x:v>2</x:v>
      </x:c>
      <x:c r="J433" s="9" t="n">
        <x:v>4</x:v>
      </x:c>
      <x:c r="K433" s="9" t="str">
        <x:v>CT-C-B-N1</x:v>
      </x:c>
      <x:c r="L433" s="9" t="str">
        <x:v>ST07</x:v>
      </x:c>
      <x:c r="M433" s="17" t="str">
        <x:v>Environmental baseline</x:v>
      </x:c>
      <x:c r="N433" s="17" t="str">
        <x:v>pre-event boundary state is sealed before decisive operation</x:v>
      </x:c>
      <x:c r="O433" s="17" t="str">
        <x:v>Site metrology</x:v>
      </x:c>
      <x:c r="P433" s="9" t="n">
        <x:v>0</x:v>
      </x:c>
      <x:c r="Q433" s="9" t="n">
        <x:v>0</x:v>
      </x:c>
      <x:c r="R433" s="9" t="str">
        <x:v>OPEN / UNSTARTED</x:v>
      </x:c>
      <x:c r="S433" s="9" t="n">
        <x:f>COUNTIFS($A$7:$A$1446,A433)</x:f>
        <x:v>1</x:v>
      </x:c>
    </x:row>
    <x:row r="434">
      <x:c r="A434" s="9" t="str">
        <x:v>EV-AR-CT-C-B-TECH-1-B1-INT-G0-ST08</x:v>
      </x:c>
      <x:c r="B434" s="9" t="str">
        <x:v>EV-AR-CT-C-B-TECH-1-B1-INT-G0</x:v>
      </x:c>
      <x:c r="C434" s="9" t="str">
        <x:v>EOW-AR-CT-C-B-TECH-1-B1-INT-G0</x:v>
      </x:c>
      <x:c r="D434" s="9" t="str">
        <x:v>AR-CT-C-B-TECH-1-B1-INT-G0</x:v>
      </x:c>
      <x:c r="E434" s="9" t="str">
        <x:v>CT-C-B-TECH-1</x:v>
      </x:c>
      <x:c r="F434" s="9" t="str">
        <x:v>CT-C-B</x:v>
      </x:c>
      <x:c r="G434" s="9" t="str">
        <x:v>B1</x:v>
      </x:c>
      <x:c r="H434" s="9" t="str">
        <x:v>INT</x:v>
      </x:c>
      <x:c r="I434" s="9" t="n">
        <x:v>2</x:v>
      </x:c>
      <x:c r="J434" s="9" t="n">
        <x:v>4</x:v>
      </x:c>
      <x:c r="K434" s="9" t="str">
        <x:v>CT-C-B-N1</x:v>
      </x:c>
      <x:c r="L434" s="9" t="str">
        <x:v>ST08</x:v>
      </x:c>
      <x:c r="M434" s="17" t="str">
        <x:v>Manual stop and safety</x:v>
      </x:c>
      <x:c r="N434" s="17" t="str">
        <x:v>local stop, evacuation and protection routes are active</x:v>
      </x:c>
      <x:c r="O434" s="17" t="str">
        <x:v>Safety authority</x:v>
      </x:c>
      <x:c r="P434" s="9" t="n">
        <x:v>0</x:v>
      </x:c>
      <x:c r="Q434" s="9" t="n">
        <x:v>0</x:v>
      </x:c>
      <x:c r="R434" s="9" t="str">
        <x:v>OPEN / UNSTARTED</x:v>
      </x:c>
      <x:c r="S434" s="9" t="n">
        <x:f>COUNTIFS($A$7:$A$1446,A434)</x:f>
        <x:v>1</x:v>
      </x:c>
    </x:row>
    <x:row r="435">
      <x:c r="A435" s="9" t="str">
        <x:v>EV-AR-CT-C-B-TECH-1-B1-INT-G0-ST09</x:v>
      </x:c>
      <x:c r="B435" s="9" t="str">
        <x:v>EV-AR-CT-C-B-TECH-1-B1-INT-G0</x:v>
      </x:c>
      <x:c r="C435" s="9" t="str">
        <x:v>EOW-AR-CT-C-B-TECH-1-B1-INT-G0</x:v>
      </x:c>
      <x:c r="D435" s="9" t="str">
        <x:v>AR-CT-C-B-TECH-1-B1-INT-G0</x:v>
      </x:c>
      <x:c r="E435" s="9" t="str">
        <x:v>CT-C-B-TECH-1</x:v>
      </x:c>
      <x:c r="F435" s="9" t="str">
        <x:v>CT-C-B</x:v>
      </x:c>
      <x:c r="G435" s="9" t="str">
        <x:v>B1</x:v>
      </x:c>
      <x:c r="H435" s="9" t="str">
        <x:v>INT</x:v>
      </x:c>
      <x:c r="I435" s="9" t="n">
        <x:v>2</x:v>
      </x:c>
      <x:c r="J435" s="9" t="n">
        <x:v>4</x:v>
      </x:c>
      <x:c r="K435" s="9" t="str">
        <x:v>CT-C-B-N1</x:v>
      </x:c>
      <x:c r="L435" s="9" t="str">
        <x:v>ST09</x:v>
      </x:c>
      <x:c r="M435" s="17" t="str">
        <x:v>Operator conflict clear</x:v>
      </x:c>
      <x:c r="N435" s="17" t="str">
        <x:v>candidate, fixture, safety and measurement control edges remain separated</x:v>
      </x:c>
      <x:c r="O435" s="17" t="str">
        <x:v>Conflict registrar</x:v>
      </x:c>
      <x:c r="P435" s="9" t="n">
        <x:v>0</x:v>
      </x:c>
      <x:c r="Q435" s="9" t="n">
        <x:v>0</x:v>
      </x:c>
      <x:c r="R435" s="9" t="str">
        <x:v>OPEN / UNSTARTED</x:v>
      </x:c>
      <x:c r="S435" s="9" t="n">
        <x:f>COUNTIFS($A$7:$A$1446,A435)</x:f>
        <x:v>1</x:v>
      </x:c>
    </x:row>
    <x:row r="436">
      <x:c r="A436" s="9" t="str">
        <x:v>EV-AR-CT-C-B-TECH-1-B1-INT-G0-ST10</x:v>
      </x:c>
      <x:c r="B436" s="9" t="str">
        <x:v>EV-AR-CT-C-B-TECH-1-B1-INT-G0</x:v>
      </x:c>
      <x:c r="C436" s="9" t="str">
        <x:v>EOW-AR-CT-C-B-TECH-1-B1-INT-G0</x:v>
      </x:c>
      <x:c r="D436" s="9" t="str">
        <x:v>AR-CT-C-B-TECH-1-B1-INT-G0</x:v>
      </x:c>
      <x:c r="E436" s="9" t="str">
        <x:v>CT-C-B-TECH-1</x:v>
      </x:c>
      <x:c r="F436" s="9" t="str">
        <x:v>CT-C-B</x:v>
      </x:c>
      <x:c r="G436" s="9" t="str">
        <x:v>B1</x:v>
      </x:c>
      <x:c r="H436" s="9" t="str">
        <x:v>INT</x:v>
      </x:c>
      <x:c r="I436" s="9" t="n">
        <x:v>2</x:v>
      </x:c>
      <x:c r="J436" s="9" t="n">
        <x:v>4</x:v>
      </x:c>
      <x:c r="K436" s="9" t="str">
        <x:v>CT-C-B-N1</x:v>
      </x:c>
      <x:c r="L436" s="9" t="str">
        <x:v>ST10</x:v>
      </x:c>
      <x:c r="M436" s="17" t="str">
        <x:v>Window and common clock</x:v>
      </x:c>
      <x:c r="N436" s="17" t="str">
        <x:v>epoch, window and public time origin match the issued warrant</x:v>
      </x:c>
      <x:c r="O436" s="17" t="str">
        <x:v>Event clock authority</x:v>
      </x:c>
      <x:c r="P436" s="9" t="n">
        <x:v>0</x:v>
      </x:c>
      <x:c r="Q436" s="9" t="n">
        <x:v>0</x:v>
      </x:c>
      <x:c r="R436" s="9" t="str">
        <x:v>OPEN / UNSTARTED</x:v>
      </x:c>
      <x:c r="S436" s="9" t="n">
        <x:f>COUNTIFS($A$7:$A$1446,A436)</x:f>
        <x:v>1</x:v>
      </x:c>
    </x:row>
    <x:row r="437">
      <x:c r="A437" s="9" t="str">
        <x:v>EV-AR-CT-C-B-TECH-2-B2-RCN-G0-ST01</x:v>
      </x:c>
      <x:c r="B437" s="9" t="str">
        <x:v>EV-AR-CT-C-B-TECH-2-B2-RCN-G0</x:v>
      </x:c>
      <x:c r="C437" s="9" t="str">
        <x:v>EOW-AR-CT-C-B-TECH-2-B2-RCN-G0</x:v>
      </x:c>
      <x:c r="D437" s="9" t="str">
        <x:v>AR-CT-C-B-TECH-2-B2-RCN-G0</x:v>
      </x:c>
      <x:c r="E437" s="9" t="str">
        <x:v>CT-C-B-TECH-2</x:v>
      </x:c>
      <x:c r="F437" s="9" t="str">
        <x:v>CT-C-B</x:v>
      </x:c>
      <x:c r="G437" s="9" t="str">
        <x:v>B2</x:v>
      </x:c>
      <x:c r="H437" s="9" t="str">
        <x:v>RCN</x:v>
      </x:c>
      <x:c r="I437" s="9" t="n">
        <x:v>2</x:v>
      </x:c>
      <x:c r="J437" s="9" t="n">
        <x:v>4</x:v>
      </x:c>
      <x:c r="K437" s="9" t="str">
        <x:v>CT-C-B-N2</x:v>
      </x:c>
      <x:c r="L437" s="9" t="str">
        <x:v>ST01</x:v>
      </x:c>
      <x:c r="M437" s="17" t="str">
        <x:v>Active opportunity warrant</x:v>
      </x:c>
      <x:c r="N437" s="17" t="str">
        <x:v>configuration-bound EOW is within its thirty-six-hour validity</x:v>
      </x:c>
      <x:c r="O437" s="17" t="str">
        <x:v>Start registrar</x:v>
      </x:c>
      <x:c r="P437" s="9" t="n">
        <x:v>0</x:v>
      </x:c>
      <x:c r="Q437" s="9" t="n">
        <x:v>0</x:v>
      </x:c>
      <x:c r="R437" s="9" t="str">
        <x:v>OPEN / UNSTARTED</x:v>
      </x:c>
      <x:c r="S437" s="9" t="n">
        <x:f>COUNTIFS($A$7:$A$1446,A437)</x:f>
        <x:v>1</x:v>
      </x:c>
    </x:row>
    <x:row r="438">
      <x:c r="A438" s="9" t="str">
        <x:v>EV-AR-CT-C-B-TECH-2-B2-RCN-G0-ST02</x:v>
      </x:c>
      <x:c r="B438" s="9" t="str">
        <x:v>EV-AR-CT-C-B-TECH-2-B2-RCN-G0</x:v>
      </x:c>
      <x:c r="C438" s="9" t="str">
        <x:v>EOW-AR-CT-C-B-TECH-2-B2-RCN-G0</x:v>
      </x:c>
      <x:c r="D438" s="9" t="str">
        <x:v>AR-CT-C-B-TECH-2-B2-RCN-G0</x:v>
      </x:c>
      <x:c r="E438" s="9" t="str">
        <x:v>CT-C-B-TECH-2</x:v>
      </x:c>
      <x:c r="F438" s="9" t="str">
        <x:v>CT-C-B</x:v>
      </x:c>
      <x:c r="G438" s="9" t="str">
        <x:v>B2</x:v>
      </x:c>
      <x:c r="H438" s="9" t="str">
        <x:v>RCN</x:v>
      </x:c>
      <x:c r="I438" s="9" t="n">
        <x:v>2</x:v>
      </x:c>
      <x:c r="J438" s="9" t="n">
        <x:v>4</x:v>
      </x:c>
      <x:c r="K438" s="9" t="str">
        <x:v>CT-C-B-N2</x:v>
      </x:c>
      <x:c r="L438" s="9" t="str">
        <x:v>ST02</x:v>
      </x:c>
      <x:c r="M438" s="17" t="str">
        <x:v>Frozen identity</x:v>
      </x:c>
      <x:c r="N438" s="17" t="str">
        <x:v>serial, generation, fixture, site, receiver and digest match the warrant</x:v>
      </x:c>
      <x:c r="O438" s="17" t="str">
        <x:v>Custody authority</x:v>
      </x:c>
      <x:c r="P438" s="9" t="n">
        <x:v>0</x:v>
      </x:c>
      <x:c r="Q438" s="9" t="n">
        <x:v>0</x:v>
      </x:c>
      <x:c r="R438" s="9" t="str">
        <x:v>OPEN / UNSTARTED</x:v>
      </x:c>
      <x:c r="S438" s="9" t="n">
        <x:f>COUNTIFS($A$7:$A$1446,A438)</x:f>
        <x:v>1</x:v>
      </x:c>
    </x:row>
    <x:row r="439">
      <x:c r="A439" s="9" t="str">
        <x:v>EV-AR-CT-C-B-TECH-2-B2-RCN-G0-ST03</x:v>
      </x:c>
      <x:c r="B439" s="9" t="str">
        <x:v>EV-AR-CT-C-B-TECH-2-B2-RCN-G0</x:v>
      </x:c>
      <x:c r="C439" s="9" t="str">
        <x:v>EOW-AR-CT-C-B-TECH-2-B2-RCN-G0</x:v>
      </x:c>
      <x:c r="D439" s="9" t="str">
        <x:v>AR-CT-C-B-TECH-2-B2-RCN-G0</x:v>
      </x:c>
      <x:c r="E439" s="9" t="str">
        <x:v>CT-C-B-TECH-2</x:v>
      </x:c>
      <x:c r="F439" s="9" t="str">
        <x:v>CT-C-B</x:v>
      </x:c>
      <x:c r="G439" s="9" t="str">
        <x:v>B2</x:v>
      </x:c>
      <x:c r="H439" s="9" t="str">
        <x:v>RCN</x:v>
      </x:c>
      <x:c r="I439" s="9" t="n">
        <x:v>2</x:v>
      </x:c>
      <x:c r="J439" s="9" t="n">
        <x:v>4</x:v>
      </x:c>
      <x:c r="K439" s="9" t="str">
        <x:v>CT-C-B-N2</x:v>
      </x:c>
      <x:c r="L439" s="9" t="str">
        <x:v>ST03</x:v>
      </x:c>
      <x:c r="M439" s="17" t="str">
        <x:v>Receiver receipt</x:v>
      </x:c>
      <x:c r="N439" s="17" t="str">
        <x:v>denominator, counterfactual, rights and stop receipt remain unchanged</x:v>
      </x:c>
      <x:c r="O439" s="17" t="str">
        <x:v>Receiver authority</x:v>
      </x:c>
      <x:c r="P439" s="9" t="n">
        <x:v>0</x:v>
      </x:c>
      <x:c r="Q439" s="9" t="n">
        <x:v>0</x:v>
      </x:c>
      <x:c r="R439" s="9" t="str">
        <x:v>OPEN / UNSTARTED</x:v>
      </x:c>
      <x:c r="S439" s="9" t="n">
        <x:f>COUNTIFS($A$7:$A$1446,A439)</x:f>
        <x:v>1</x:v>
      </x:c>
    </x:row>
    <x:row r="440">
      <x:c r="A440" s="9" t="str">
        <x:v>EV-AR-CT-C-B-TECH-2-B2-RCN-G0-ST04</x:v>
      </x:c>
      <x:c r="B440" s="9" t="str">
        <x:v>EV-AR-CT-C-B-TECH-2-B2-RCN-G0</x:v>
      </x:c>
      <x:c r="C440" s="9" t="str">
        <x:v>EOW-AR-CT-C-B-TECH-2-B2-RCN-G0</x:v>
      </x:c>
      <x:c r="D440" s="9" t="str">
        <x:v>AR-CT-C-B-TECH-2-B2-RCN-G0</x:v>
      </x:c>
      <x:c r="E440" s="9" t="str">
        <x:v>CT-C-B-TECH-2</x:v>
      </x:c>
      <x:c r="F440" s="9" t="str">
        <x:v>CT-C-B</x:v>
      </x:c>
      <x:c r="G440" s="9" t="str">
        <x:v>B2</x:v>
      </x:c>
      <x:c r="H440" s="9" t="str">
        <x:v>RCN</x:v>
      </x:c>
      <x:c r="I440" s="9" t="n">
        <x:v>2</x:v>
      </x:c>
      <x:c r="J440" s="9" t="n">
        <x:v>4</x:v>
      </x:c>
      <x:c r="K440" s="9" t="str">
        <x:v>CT-C-B-N2</x:v>
      </x:c>
      <x:c r="L440" s="9" t="str">
        <x:v>ST04</x:v>
      </x:c>
      <x:c r="M440" s="17" t="str">
        <x:v>Primary capture armed</x:v>
      </x:c>
      <x:c r="N440" s="17" t="str">
        <x:v>primary chain records sealed reference and live time</x:v>
      </x:c>
      <x:c r="O440" s="17" t="str">
        <x:v>Primary metrology</x:v>
      </x:c>
      <x:c r="P440" s="9" t="n">
        <x:v>0</x:v>
      </x:c>
      <x:c r="Q440" s="9" t="n">
        <x:v>0</x:v>
      </x:c>
      <x:c r="R440" s="9" t="str">
        <x:v>OPEN / UNSTARTED</x:v>
      </x:c>
      <x:c r="S440" s="9" t="n">
        <x:f>COUNTIFS($A$7:$A$1446,A440)</x:f>
        <x:v>1</x:v>
      </x:c>
    </x:row>
    <x:row r="441">
      <x:c r="A441" s="9" t="str">
        <x:v>EV-AR-CT-C-B-TECH-2-B2-RCN-G0-ST05</x:v>
      </x:c>
      <x:c r="B441" s="9" t="str">
        <x:v>EV-AR-CT-C-B-TECH-2-B2-RCN-G0</x:v>
      </x:c>
      <x:c r="C441" s="9" t="str">
        <x:v>EOW-AR-CT-C-B-TECH-2-B2-RCN-G0</x:v>
      </x:c>
      <x:c r="D441" s="9" t="str">
        <x:v>AR-CT-C-B-TECH-2-B2-RCN-G0</x:v>
      </x:c>
      <x:c r="E441" s="9" t="str">
        <x:v>CT-C-B-TECH-2</x:v>
      </x:c>
      <x:c r="F441" s="9" t="str">
        <x:v>CT-C-B</x:v>
      </x:c>
      <x:c r="G441" s="9" t="str">
        <x:v>B2</x:v>
      </x:c>
      <x:c r="H441" s="9" t="str">
        <x:v>RCN</x:v>
      </x:c>
      <x:c r="I441" s="9" t="n">
        <x:v>2</x:v>
      </x:c>
      <x:c r="J441" s="9" t="n">
        <x:v>4</x:v>
      </x:c>
      <x:c r="K441" s="9" t="str">
        <x:v>CT-C-B-N2</x:v>
      </x:c>
      <x:c r="L441" s="9" t="str">
        <x:v>ST05</x:v>
      </x:c>
      <x:c r="M441" s="17" t="str">
        <x:v>Witness capture armed</x:v>
      </x:c>
      <x:c r="N441" s="17" t="str">
        <x:v>unlike witness records independent reference and live time</x:v>
      </x:c>
      <x:c r="O441" s="17" t="str">
        <x:v>Witness metrology</x:v>
      </x:c>
      <x:c r="P441" s="9" t="n">
        <x:v>0</x:v>
      </x:c>
      <x:c r="Q441" s="9" t="n">
        <x:v>0</x:v>
      </x:c>
      <x:c r="R441" s="9" t="str">
        <x:v>OPEN / UNSTARTED</x:v>
      </x:c>
      <x:c r="S441" s="9" t="n">
        <x:f>COUNTIFS($A$7:$A$1446,A441)</x:f>
        <x:v>1</x:v>
      </x:c>
    </x:row>
    <x:row r="442">
      <x:c r="A442" s="9" t="str">
        <x:v>EV-AR-CT-C-B-TECH-2-B2-RCN-G0-ST06</x:v>
      </x:c>
      <x:c r="B442" s="9" t="str">
        <x:v>EV-AR-CT-C-B-TECH-2-B2-RCN-G0</x:v>
      </x:c>
      <x:c r="C442" s="9" t="str">
        <x:v>EOW-AR-CT-C-B-TECH-2-B2-RCN-G0</x:v>
      </x:c>
      <x:c r="D442" s="9" t="str">
        <x:v>AR-CT-C-B-TECH-2-B2-RCN-G0</x:v>
      </x:c>
      <x:c r="E442" s="9" t="str">
        <x:v>CT-C-B-TECH-2</x:v>
      </x:c>
      <x:c r="F442" s="9" t="str">
        <x:v>CT-C-B</x:v>
      </x:c>
      <x:c r="G442" s="9" t="str">
        <x:v>B2</x:v>
      </x:c>
      <x:c r="H442" s="9" t="str">
        <x:v>RCN</x:v>
      </x:c>
      <x:c r="I442" s="9" t="n">
        <x:v>2</x:v>
      </x:c>
      <x:c r="J442" s="9" t="n">
        <x:v>4</x:v>
      </x:c>
      <x:c r="K442" s="9" t="str">
        <x:v>CT-C-B-N2</x:v>
      </x:c>
      <x:c r="L442" s="9" t="str">
        <x:v>ST06</x:v>
      </x:c>
      <x:c r="M442" s="17" t="str">
        <x:v>Public custody armed</x:v>
      </x:c>
      <x:c r="N442" s="17" t="str">
        <x:v>eight raw origins have separated hash and replica routes</x:v>
      </x:c>
      <x:c r="O442" s="17" t="str">
        <x:v>Custody authority</x:v>
      </x:c>
      <x:c r="P442" s="9" t="n">
        <x:v>0</x:v>
      </x:c>
      <x:c r="Q442" s="9" t="n">
        <x:v>0</x:v>
      </x:c>
      <x:c r="R442" s="9" t="str">
        <x:v>OPEN / UNSTARTED</x:v>
      </x:c>
      <x:c r="S442" s="9" t="n">
        <x:f>COUNTIFS($A$7:$A$1446,A442)</x:f>
        <x:v>1</x:v>
      </x:c>
    </x:row>
    <x:row r="443">
      <x:c r="A443" s="9" t="str">
        <x:v>EV-AR-CT-C-B-TECH-2-B2-RCN-G0-ST07</x:v>
      </x:c>
      <x:c r="B443" s="9" t="str">
        <x:v>EV-AR-CT-C-B-TECH-2-B2-RCN-G0</x:v>
      </x:c>
      <x:c r="C443" s="9" t="str">
        <x:v>EOW-AR-CT-C-B-TECH-2-B2-RCN-G0</x:v>
      </x:c>
      <x:c r="D443" s="9" t="str">
        <x:v>AR-CT-C-B-TECH-2-B2-RCN-G0</x:v>
      </x:c>
      <x:c r="E443" s="9" t="str">
        <x:v>CT-C-B-TECH-2</x:v>
      </x:c>
      <x:c r="F443" s="9" t="str">
        <x:v>CT-C-B</x:v>
      </x:c>
      <x:c r="G443" s="9" t="str">
        <x:v>B2</x:v>
      </x:c>
      <x:c r="H443" s="9" t="str">
        <x:v>RCN</x:v>
      </x:c>
      <x:c r="I443" s="9" t="n">
        <x:v>2</x:v>
      </x:c>
      <x:c r="J443" s="9" t="n">
        <x:v>4</x:v>
      </x:c>
      <x:c r="K443" s="9" t="str">
        <x:v>CT-C-B-N2</x:v>
      </x:c>
      <x:c r="L443" s="9" t="str">
        <x:v>ST07</x:v>
      </x:c>
      <x:c r="M443" s="17" t="str">
        <x:v>Environmental baseline</x:v>
      </x:c>
      <x:c r="N443" s="17" t="str">
        <x:v>pre-event boundary state is sealed before decisive operation</x:v>
      </x:c>
      <x:c r="O443" s="17" t="str">
        <x:v>Site metrology</x:v>
      </x:c>
      <x:c r="P443" s="9" t="n">
        <x:v>0</x:v>
      </x:c>
      <x:c r="Q443" s="9" t="n">
        <x:v>0</x:v>
      </x:c>
      <x:c r="R443" s="9" t="str">
        <x:v>OPEN / UNSTARTED</x:v>
      </x:c>
      <x:c r="S443" s="9" t="n">
        <x:f>COUNTIFS($A$7:$A$1446,A443)</x:f>
        <x:v>1</x:v>
      </x:c>
    </x:row>
    <x:row r="444">
      <x:c r="A444" s="9" t="str">
        <x:v>EV-AR-CT-C-B-TECH-2-B2-RCN-G0-ST08</x:v>
      </x:c>
      <x:c r="B444" s="9" t="str">
        <x:v>EV-AR-CT-C-B-TECH-2-B2-RCN-G0</x:v>
      </x:c>
      <x:c r="C444" s="9" t="str">
        <x:v>EOW-AR-CT-C-B-TECH-2-B2-RCN-G0</x:v>
      </x:c>
      <x:c r="D444" s="9" t="str">
        <x:v>AR-CT-C-B-TECH-2-B2-RCN-G0</x:v>
      </x:c>
      <x:c r="E444" s="9" t="str">
        <x:v>CT-C-B-TECH-2</x:v>
      </x:c>
      <x:c r="F444" s="9" t="str">
        <x:v>CT-C-B</x:v>
      </x:c>
      <x:c r="G444" s="9" t="str">
        <x:v>B2</x:v>
      </x:c>
      <x:c r="H444" s="9" t="str">
        <x:v>RCN</x:v>
      </x:c>
      <x:c r="I444" s="9" t="n">
        <x:v>2</x:v>
      </x:c>
      <x:c r="J444" s="9" t="n">
        <x:v>4</x:v>
      </x:c>
      <x:c r="K444" s="9" t="str">
        <x:v>CT-C-B-N2</x:v>
      </x:c>
      <x:c r="L444" s="9" t="str">
        <x:v>ST08</x:v>
      </x:c>
      <x:c r="M444" s="17" t="str">
        <x:v>Manual stop and safety</x:v>
      </x:c>
      <x:c r="N444" s="17" t="str">
        <x:v>local stop, evacuation and protection routes are active</x:v>
      </x:c>
      <x:c r="O444" s="17" t="str">
        <x:v>Safety authority</x:v>
      </x:c>
      <x:c r="P444" s="9" t="n">
        <x:v>0</x:v>
      </x:c>
      <x:c r="Q444" s="9" t="n">
        <x:v>0</x:v>
      </x:c>
      <x:c r="R444" s="9" t="str">
        <x:v>OPEN / UNSTARTED</x:v>
      </x:c>
      <x:c r="S444" s="9" t="n">
        <x:f>COUNTIFS($A$7:$A$1446,A444)</x:f>
        <x:v>1</x:v>
      </x:c>
    </x:row>
    <x:row r="445">
      <x:c r="A445" s="9" t="str">
        <x:v>EV-AR-CT-C-B-TECH-2-B2-RCN-G0-ST09</x:v>
      </x:c>
      <x:c r="B445" s="9" t="str">
        <x:v>EV-AR-CT-C-B-TECH-2-B2-RCN-G0</x:v>
      </x:c>
      <x:c r="C445" s="9" t="str">
        <x:v>EOW-AR-CT-C-B-TECH-2-B2-RCN-G0</x:v>
      </x:c>
      <x:c r="D445" s="9" t="str">
        <x:v>AR-CT-C-B-TECH-2-B2-RCN-G0</x:v>
      </x:c>
      <x:c r="E445" s="9" t="str">
        <x:v>CT-C-B-TECH-2</x:v>
      </x:c>
      <x:c r="F445" s="9" t="str">
        <x:v>CT-C-B</x:v>
      </x:c>
      <x:c r="G445" s="9" t="str">
        <x:v>B2</x:v>
      </x:c>
      <x:c r="H445" s="9" t="str">
        <x:v>RCN</x:v>
      </x:c>
      <x:c r="I445" s="9" t="n">
        <x:v>2</x:v>
      </x:c>
      <x:c r="J445" s="9" t="n">
        <x:v>4</x:v>
      </x:c>
      <x:c r="K445" s="9" t="str">
        <x:v>CT-C-B-N2</x:v>
      </x:c>
      <x:c r="L445" s="9" t="str">
        <x:v>ST09</x:v>
      </x:c>
      <x:c r="M445" s="17" t="str">
        <x:v>Operator conflict clear</x:v>
      </x:c>
      <x:c r="N445" s="17" t="str">
        <x:v>candidate, fixture, safety and measurement control edges remain separated</x:v>
      </x:c>
      <x:c r="O445" s="17" t="str">
        <x:v>Conflict registrar</x:v>
      </x:c>
      <x:c r="P445" s="9" t="n">
        <x:v>0</x:v>
      </x:c>
      <x:c r="Q445" s="9" t="n">
        <x:v>0</x:v>
      </x:c>
      <x:c r="R445" s="9" t="str">
        <x:v>OPEN / UNSTARTED</x:v>
      </x:c>
      <x:c r="S445" s="9" t="n">
        <x:f>COUNTIFS($A$7:$A$1446,A445)</x:f>
        <x:v>1</x:v>
      </x:c>
    </x:row>
    <x:row r="446">
      <x:c r="A446" s="9" t="str">
        <x:v>EV-AR-CT-C-B-TECH-2-B2-RCN-G0-ST10</x:v>
      </x:c>
      <x:c r="B446" s="9" t="str">
        <x:v>EV-AR-CT-C-B-TECH-2-B2-RCN-G0</x:v>
      </x:c>
      <x:c r="C446" s="9" t="str">
        <x:v>EOW-AR-CT-C-B-TECH-2-B2-RCN-G0</x:v>
      </x:c>
      <x:c r="D446" s="9" t="str">
        <x:v>AR-CT-C-B-TECH-2-B2-RCN-G0</x:v>
      </x:c>
      <x:c r="E446" s="9" t="str">
        <x:v>CT-C-B-TECH-2</x:v>
      </x:c>
      <x:c r="F446" s="9" t="str">
        <x:v>CT-C-B</x:v>
      </x:c>
      <x:c r="G446" s="9" t="str">
        <x:v>B2</x:v>
      </x:c>
      <x:c r="H446" s="9" t="str">
        <x:v>RCN</x:v>
      </x:c>
      <x:c r="I446" s="9" t="n">
        <x:v>2</x:v>
      </x:c>
      <x:c r="J446" s="9" t="n">
        <x:v>4</x:v>
      </x:c>
      <x:c r="K446" s="9" t="str">
        <x:v>CT-C-B-N2</x:v>
      </x:c>
      <x:c r="L446" s="9" t="str">
        <x:v>ST10</x:v>
      </x:c>
      <x:c r="M446" s="17" t="str">
        <x:v>Window and common clock</x:v>
      </x:c>
      <x:c r="N446" s="17" t="str">
        <x:v>epoch, window and public time origin match the issued warrant</x:v>
      </x:c>
      <x:c r="O446" s="17" t="str">
        <x:v>Event clock authority</x:v>
      </x:c>
      <x:c r="P446" s="9" t="n">
        <x:v>0</x:v>
      </x:c>
      <x:c r="Q446" s="9" t="n">
        <x:v>0</x:v>
      </x:c>
      <x:c r="R446" s="9" t="str">
        <x:v>OPEN / UNSTARTED</x:v>
      </x:c>
      <x:c r="S446" s="9" t="n">
        <x:f>COUNTIFS($A$7:$A$1446,A446)</x:f>
        <x:v>1</x:v>
      </x:c>
    </x:row>
    <x:row r="447">
      <x:c r="A447" s="9" t="str">
        <x:v>EV-AR-HC-A-C-TECH-4-B1-BRK-G0-ST01</x:v>
      </x:c>
      <x:c r="B447" s="9" t="str">
        <x:v>EV-AR-HC-A-C-TECH-4-B1-BRK-G0</x:v>
      </x:c>
      <x:c r="C447" s="9" t="str">
        <x:v>EOW-AR-HC-A-C-TECH-4-B1-BRK-G0</x:v>
      </x:c>
      <x:c r="D447" s="9" t="str">
        <x:v>AR-HC-A-C-TECH-4-B1-BRK-G0</x:v>
      </x:c>
      <x:c r="E447" s="9" t="str">
        <x:v>HC-A-C-TECH-4</x:v>
      </x:c>
      <x:c r="F447" s="9" t="str">
        <x:v>HC-A-C</x:v>
      </x:c>
      <x:c r="G447" s="9" t="str">
        <x:v>B1</x:v>
      </x:c>
      <x:c r="H447" s="9" t="str">
        <x:v>BRK</x:v>
      </x:c>
      <x:c r="I447" s="9" t="n">
        <x:v>2</x:v>
      </x:c>
      <x:c r="J447" s="9" t="n">
        <x:v>4</x:v>
      </x:c>
      <x:c r="K447" s="9" t="str">
        <x:v>HC-A-C-N1</x:v>
      </x:c>
      <x:c r="L447" s="9" t="str">
        <x:v>ST01</x:v>
      </x:c>
      <x:c r="M447" s="17" t="str">
        <x:v>Active opportunity warrant</x:v>
      </x:c>
      <x:c r="N447" s="17" t="str">
        <x:v>configuration-bound EOW is within its thirty-six-hour validity</x:v>
      </x:c>
      <x:c r="O447" s="17" t="str">
        <x:v>Start registrar</x:v>
      </x:c>
      <x:c r="P447" s="9" t="n">
        <x:v>0</x:v>
      </x:c>
      <x:c r="Q447" s="9" t="n">
        <x:v>0</x:v>
      </x:c>
      <x:c r="R447" s="9" t="str">
        <x:v>OPEN / UNSTARTED</x:v>
      </x:c>
      <x:c r="S447" s="9" t="n">
        <x:f>COUNTIFS($A$7:$A$1446,A447)</x:f>
        <x:v>1</x:v>
      </x:c>
    </x:row>
    <x:row r="448">
      <x:c r="A448" s="9" t="str">
        <x:v>EV-AR-HC-A-C-TECH-4-B1-BRK-G0-ST02</x:v>
      </x:c>
      <x:c r="B448" s="9" t="str">
        <x:v>EV-AR-HC-A-C-TECH-4-B1-BRK-G0</x:v>
      </x:c>
      <x:c r="C448" s="9" t="str">
        <x:v>EOW-AR-HC-A-C-TECH-4-B1-BRK-G0</x:v>
      </x:c>
      <x:c r="D448" s="9" t="str">
        <x:v>AR-HC-A-C-TECH-4-B1-BRK-G0</x:v>
      </x:c>
      <x:c r="E448" s="9" t="str">
        <x:v>HC-A-C-TECH-4</x:v>
      </x:c>
      <x:c r="F448" s="9" t="str">
        <x:v>HC-A-C</x:v>
      </x:c>
      <x:c r="G448" s="9" t="str">
        <x:v>B1</x:v>
      </x:c>
      <x:c r="H448" s="9" t="str">
        <x:v>BRK</x:v>
      </x:c>
      <x:c r="I448" s="9" t="n">
        <x:v>2</x:v>
      </x:c>
      <x:c r="J448" s="9" t="n">
        <x:v>4</x:v>
      </x:c>
      <x:c r="K448" s="9" t="str">
        <x:v>HC-A-C-N1</x:v>
      </x:c>
      <x:c r="L448" s="9" t="str">
        <x:v>ST02</x:v>
      </x:c>
      <x:c r="M448" s="17" t="str">
        <x:v>Frozen identity</x:v>
      </x:c>
      <x:c r="N448" s="17" t="str">
        <x:v>serial, generation, fixture, site, receiver and digest match the warrant</x:v>
      </x:c>
      <x:c r="O448" s="17" t="str">
        <x:v>Custody authority</x:v>
      </x:c>
      <x:c r="P448" s="9" t="n">
        <x:v>0</x:v>
      </x:c>
      <x:c r="Q448" s="9" t="n">
        <x:v>0</x:v>
      </x:c>
      <x:c r="R448" s="9" t="str">
        <x:v>OPEN / UNSTARTED</x:v>
      </x:c>
      <x:c r="S448" s="9" t="n">
        <x:f>COUNTIFS($A$7:$A$1446,A448)</x:f>
        <x:v>1</x:v>
      </x:c>
    </x:row>
    <x:row r="449">
      <x:c r="A449" s="9" t="str">
        <x:v>EV-AR-HC-A-C-TECH-4-B1-BRK-G0-ST03</x:v>
      </x:c>
      <x:c r="B449" s="9" t="str">
        <x:v>EV-AR-HC-A-C-TECH-4-B1-BRK-G0</x:v>
      </x:c>
      <x:c r="C449" s="9" t="str">
        <x:v>EOW-AR-HC-A-C-TECH-4-B1-BRK-G0</x:v>
      </x:c>
      <x:c r="D449" s="9" t="str">
        <x:v>AR-HC-A-C-TECH-4-B1-BRK-G0</x:v>
      </x:c>
      <x:c r="E449" s="9" t="str">
        <x:v>HC-A-C-TECH-4</x:v>
      </x:c>
      <x:c r="F449" s="9" t="str">
        <x:v>HC-A-C</x:v>
      </x:c>
      <x:c r="G449" s="9" t="str">
        <x:v>B1</x:v>
      </x:c>
      <x:c r="H449" s="9" t="str">
        <x:v>BRK</x:v>
      </x:c>
      <x:c r="I449" s="9" t="n">
        <x:v>2</x:v>
      </x:c>
      <x:c r="J449" s="9" t="n">
        <x:v>4</x:v>
      </x:c>
      <x:c r="K449" s="9" t="str">
        <x:v>HC-A-C-N1</x:v>
      </x:c>
      <x:c r="L449" s="9" t="str">
        <x:v>ST03</x:v>
      </x:c>
      <x:c r="M449" s="17" t="str">
        <x:v>Receiver receipt</x:v>
      </x:c>
      <x:c r="N449" s="17" t="str">
        <x:v>denominator, counterfactual, rights and stop receipt remain unchanged</x:v>
      </x:c>
      <x:c r="O449" s="17" t="str">
        <x:v>Receiver authority</x:v>
      </x:c>
      <x:c r="P449" s="9" t="n">
        <x:v>0</x:v>
      </x:c>
      <x:c r="Q449" s="9" t="n">
        <x:v>0</x:v>
      </x:c>
      <x:c r="R449" s="9" t="str">
        <x:v>OPEN / UNSTARTED</x:v>
      </x:c>
      <x:c r="S449" s="9" t="n">
        <x:f>COUNTIFS($A$7:$A$1446,A449)</x:f>
        <x:v>1</x:v>
      </x:c>
    </x:row>
    <x:row r="450">
      <x:c r="A450" s="9" t="str">
        <x:v>EV-AR-HC-A-C-TECH-4-B1-BRK-G0-ST04</x:v>
      </x:c>
      <x:c r="B450" s="9" t="str">
        <x:v>EV-AR-HC-A-C-TECH-4-B1-BRK-G0</x:v>
      </x:c>
      <x:c r="C450" s="9" t="str">
        <x:v>EOW-AR-HC-A-C-TECH-4-B1-BRK-G0</x:v>
      </x:c>
      <x:c r="D450" s="9" t="str">
        <x:v>AR-HC-A-C-TECH-4-B1-BRK-G0</x:v>
      </x:c>
      <x:c r="E450" s="9" t="str">
        <x:v>HC-A-C-TECH-4</x:v>
      </x:c>
      <x:c r="F450" s="9" t="str">
        <x:v>HC-A-C</x:v>
      </x:c>
      <x:c r="G450" s="9" t="str">
        <x:v>B1</x:v>
      </x:c>
      <x:c r="H450" s="9" t="str">
        <x:v>BRK</x:v>
      </x:c>
      <x:c r="I450" s="9" t="n">
        <x:v>2</x:v>
      </x:c>
      <x:c r="J450" s="9" t="n">
        <x:v>4</x:v>
      </x:c>
      <x:c r="K450" s="9" t="str">
        <x:v>HC-A-C-N1</x:v>
      </x:c>
      <x:c r="L450" s="9" t="str">
        <x:v>ST04</x:v>
      </x:c>
      <x:c r="M450" s="17" t="str">
        <x:v>Primary capture armed</x:v>
      </x:c>
      <x:c r="N450" s="17" t="str">
        <x:v>primary chain records sealed reference and live time</x:v>
      </x:c>
      <x:c r="O450" s="17" t="str">
        <x:v>Primary metrology</x:v>
      </x:c>
      <x:c r="P450" s="9" t="n">
        <x:v>0</x:v>
      </x:c>
      <x:c r="Q450" s="9" t="n">
        <x:v>0</x:v>
      </x:c>
      <x:c r="R450" s="9" t="str">
        <x:v>OPEN / UNSTARTED</x:v>
      </x:c>
      <x:c r="S450" s="9" t="n">
        <x:f>COUNTIFS($A$7:$A$1446,A450)</x:f>
        <x:v>1</x:v>
      </x:c>
    </x:row>
    <x:row r="451">
      <x:c r="A451" s="9" t="str">
        <x:v>EV-AR-HC-A-C-TECH-4-B1-BRK-G0-ST05</x:v>
      </x:c>
      <x:c r="B451" s="9" t="str">
        <x:v>EV-AR-HC-A-C-TECH-4-B1-BRK-G0</x:v>
      </x:c>
      <x:c r="C451" s="9" t="str">
        <x:v>EOW-AR-HC-A-C-TECH-4-B1-BRK-G0</x:v>
      </x:c>
      <x:c r="D451" s="9" t="str">
        <x:v>AR-HC-A-C-TECH-4-B1-BRK-G0</x:v>
      </x:c>
      <x:c r="E451" s="9" t="str">
        <x:v>HC-A-C-TECH-4</x:v>
      </x:c>
      <x:c r="F451" s="9" t="str">
        <x:v>HC-A-C</x:v>
      </x:c>
      <x:c r="G451" s="9" t="str">
        <x:v>B1</x:v>
      </x:c>
      <x:c r="H451" s="9" t="str">
        <x:v>BRK</x:v>
      </x:c>
      <x:c r="I451" s="9" t="n">
        <x:v>2</x:v>
      </x:c>
      <x:c r="J451" s="9" t="n">
        <x:v>4</x:v>
      </x:c>
      <x:c r="K451" s="9" t="str">
        <x:v>HC-A-C-N1</x:v>
      </x:c>
      <x:c r="L451" s="9" t="str">
        <x:v>ST05</x:v>
      </x:c>
      <x:c r="M451" s="17" t="str">
        <x:v>Witness capture armed</x:v>
      </x:c>
      <x:c r="N451" s="17" t="str">
        <x:v>unlike witness records independent reference and live time</x:v>
      </x:c>
      <x:c r="O451" s="17" t="str">
        <x:v>Witness metrology</x:v>
      </x:c>
      <x:c r="P451" s="9" t="n">
        <x:v>0</x:v>
      </x:c>
      <x:c r="Q451" s="9" t="n">
        <x:v>0</x:v>
      </x:c>
      <x:c r="R451" s="9" t="str">
        <x:v>OPEN / UNSTARTED</x:v>
      </x:c>
      <x:c r="S451" s="9" t="n">
        <x:f>COUNTIFS($A$7:$A$1446,A451)</x:f>
        <x:v>1</x:v>
      </x:c>
    </x:row>
    <x:row r="452">
      <x:c r="A452" s="9" t="str">
        <x:v>EV-AR-HC-A-C-TECH-4-B1-BRK-G0-ST06</x:v>
      </x:c>
      <x:c r="B452" s="9" t="str">
        <x:v>EV-AR-HC-A-C-TECH-4-B1-BRK-G0</x:v>
      </x:c>
      <x:c r="C452" s="9" t="str">
        <x:v>EOW-AR-HC-A-C-TECH-4-B1-BRK-G0</x:v>
      </x:c>
      <x:c r="D452" s="9" t="str">
        <x:v>AR-HC-A-C-TECH-4-B1-BRK-G0</x:v>
      </x:c>
      <x:c r="E452" s="9" t="str">
        <x:v>HC-A-C-TECH-4</x:v>
      </x:c>
      <x:c r="F452" s="9" t="str">
        <x:v>HC-A-C</x:v>
      </x:c>
      <x:c r="G452" s="9" t="str">
        <x:v>B1</x:v>
      </x:c>
      <x:c r="H452" s="9" t="str">
        <x:v>BRK</x:v>
      </x:c>
      <x:c r="I452" s="9" t="n">
        <x:v>2</x:v>
      </x:c>
      <x:c r="J452" s="9" t="n">
        <x:v>4</x:v>
      </x:c>
      <x:c r="K452" s="9" t="str">
        <x:v>HC-A-C-N1</x:v>
      </x:c>
      <x:c r="L452" s="9" t="str">
        <x:v>ST06</x:v>
      </x:c>
      <x:c r="M452" s="17" t="str">
        <x:v>Public custody armed</x:v>
      </x:c>
      <x:c r="N452" s="17" t="str">
        <x:v>eight raw origins have separated hash and replica routes</x:v>
      </x:c>
      <x:c r="O452" s="17" t="str">
        <x:v>Custody authority</x:v>
      </x:c>
      <x:c r="P452" s="9" t="n">
        <x:v>0</x:v>
      </x:c>
      <x:c r="Q452" s="9" t="n">
        <x:v>0</x:v>
      </x:c>
      <x:c r="R452" s="9" t="str">
        <x:v>OPEN / UNSTARTED</x:v>
      </x:c>
      <x:c r="S452" s="9" t="n">
        <x:f>COUNTIFS($A$7:$A$1446,A452)</x:f>
        <x:v>1</x:v>
      </x:c>
    </x:row>
    <x:row r="453">
      <x:c r="A453" s="9" t="str">
        <x:v>EV-AR-HC-A-C-TECH-4-B1-BRK-G0-ST07</x:v>
      </x:c>
      <x:c r="B453" s="9" t="str">
        <x:v>EV-AR-HC-A-C-TECH-4-B1-BRK-G0</x:v>
      </x:c>
      <x:c r="C453" s="9" t="str">
        <x:v>EOW-AR-HC-A-C-TECH-4-B1-BRK-G0</x:v>
      </x:c>
      <x:c r="D453" s="9" t="str">
        <x:v>AR-HC-A-C-TECH-4-B1-BRK-G0</x:v>
      </x:c>
      <x:c r="E453" s="9" t="str">
        <x:v>HC-A-C-TECH-4</x:v>
      </x:c>
      <x:c r="F453" s="9" t="str">
        <x:v>HC-A-C</x:v>
      </x:c>
      <x:c r="G453" s="9" t="str">
        <x:v>B1</x:v>
      </x:c>
      <x:c r="H453" s="9" t="str">
        <x:v>BRK</x:v>
      </x:c>
      <x:c r="I453" s="9" t="n">
        <x:v>2</x:v>
      </x:c>
      <x:c r="J453" s="9" t="n">
        <x:v>4</x:v>
      </x:c>
      <x:c r="K453" s="9" t="str">
        <x:v>HC-A-C-N1</x:v>
      </x:c>
      <x:c r="L453" s="9" t="str">
        <x:v>ST07</x:v>
      </x:c>
      <x:c r="M453" s="17" t="str">
        <x:v>Environmental baseline</x:v>
      </x:c>
      <x:c r="N453" s="17" t="str">
        <x:v>pre-event boundary state is sealed before decisive operation</x:v>
      </x:c>
      <x:c r="O453" s="17" t="str">
        <x:v>Site metrology</x:v>
      </x:c>
      <x:c r="P453" s="9" t="n">
        <x:v>0</x:v>
      </x:c>
      <x:c r="Q453" s="9" t="n">
        <x:v>0</x:v>
      </x:c>
      <x:c r="R453" s="9" t="str">
        <x:v>OPEN / UNSTARTED</x:v>
      </x:c>
      <x:c r="S453" s="9" t="n">
        <x:f>COUNTIFS($A$7:$A$1446,A453)</x:f>
        <x:v>1</x:v>
      </x:c>
    </x:row>
    <x:row r="454">
      <x:c r="A454" s="9" t="str">
        <x:v>EV-AR-HC-A-C-TECH-4-B1-BRK-G0-ST08</x:v>
      </x:c>
      <x:c r="B454" s="9" t="str">
        <x:v>EV-AR-HC-A-C-TECH-4-B1-BRK-G0</x:v>
      </x:c>
      <x:c r="C454" s="9" t="str">
        <x:v>EOW-AR-HC-A-C-TECH-4-B1-BRK-G0</x:v>
      </x:c>
      <x:c r="D454" s="9" t="str">
        <x:v>AR-HC-A-C-TECH-4-B1-BRK-G0</x:v>
      </x:c>
      <x:c r="E454" s="9" t="str">
        <x:v>HC-A-C-TECH-4</x:v>
      </x:c>
      <x:c r="F454" s="9" t="str">
        <x:v>HC-A-C</x:v>
      </x:c>
      <x:c r="G454" s="9" t="str">
        <x:v>B1</x:v>
      </x:c>
      <x:c r="H454" s="9" t="str">
        <x:v>BRK</x:v>
      </x:c>
      <x:c r="I454" s="9" t="n">
        <x:v>2</x:v>
      </x:c>
      <x:c r="J454" s="9" t="n">
        <x:v>4</x:v>
      </x:c>
      <x:c r="K454" s="9" t="str">
        <x:v>HC-A-C-N1</x:v>
      </x:c>
      <x:c r="L454" s="9" t="str">
        <x:v>ST08</x:v>
      </x:c>
      <x:c r="M454" s="17" t="str">
        <x:v>Manual stop and safety</x:v>
      </x:c>
      <x:c r="N454" s="17" t="str">
        <x:v>local stop, evacuation and protection routes are active</x:v>
      </x:c>
      <x:c r="O454" s="17" t="str">
        <x:v>Safety authority</x:v>
      </x:c>
      <x:c r="P454" s="9" t="n">
        <x:v>0</x:v>
      </x:c>
      <x:c r="Q454" s="9" t="n">
        <x:v>0</x:v>
      </x:c>
      <x:c r="R454" s="9" t="str">
        <x:v>OPEN / UNSTARTED</x:v>
      </x:c>
      <x:c r="S454" s="9" t="n">
        <x:f>COUNTIFS($A$7:$A$1446,A454)</x:f>
        <x:v>1</x:v>
      </x:c>
    </x:row>
    <x:row r="455">
      <x:c r="A455" s="9" t="str">
        <x:v>EV-AR-HC-A-C-TECH-4-B1-BRK-G0-ST09</x:v>
      </x:c>
      <x:c r="B455" s="9" t="str">
        <x:v>EV-AR-HC-A-C-TECH-4-B1-BRK-G0</x:v>
      </x:c>
      <x:c r="C455" s="9" t="str">
        <x:v>EOW-AR-HC-A-C-TECH-4-B1-BRK-G0</x:v>
      </x:c>
      <x:c r="D455" s="9" t="str">
        <x:v>AR-HC-A-C-TECH-4-B1-BRK-G0</x:v>
      </x:c>
      <x:c r="E455" s="9" t="str">
        <x:v>HC-A-C-TECH-4</x:v>
      </x:c>
      <x:c r="F455" s="9" t="str">
        <x:v>HC-A-C</x:v>
      </x:c>
      <x:c r="G455" s="9" t="str">
        <x:v>B1</x:v>
      </x:c>
      <x:c r="H455" s="9" t="str">
        <x:v>BRK</x:v>
      </x:c>
      <x:c r="I455" s="9" t="n">
        <x:v>2</x:v>
      </x:c>
      <x:c r="J455" s="9" t="n">
        <x:v>4</x:v>
      </x:c>
      <x:c r="K455" s="9" t="str">
        <x:v>HC-A-C-N1</x:v>
      </x:c>
      <x:c r="L455" s="9" t="str">
        <x:v>ST09</x:v>
      </x:c>
      <x:c r="M455" s="17" t="str">
        <x:v>Operator conflict clear</x:v>
      </x:c>
      <x:c r="N455" s="17" t="str">
        <x:v>candidate, fixture, safety and measurement control edges remain separated</x:v>
      </x:c>
      <x:c r="O455" s="17" t="str">
        <x:v>Conflict registrar</x:v>
      </x:c>
      <x:c r="P455" s="9" t="n">
        <x:v>0</x:v>
      </x:c>
      <x:c r="Q455" s="9" t="n">
        <x:v>0</x:v>
      </x:c>
      <x:c r="R455" s="9" t="str">
        <x:v>OPEN / UNSTARTED</x:v>
      </x:c>
      <x:c r="S455" s="9" t="n">
        <x:f>COUNTIFS($A$7:$A$1446,A455)</x:f>
        <x:v>1</x:v>
      </x:c>
    </x:row>
    <x:row r="456">
      <x:c r="A456" s="9" t="str">
        <x:v>EV-AR-HC-A-C-TECH-4-B1-BRK-G0-ST10</x:v>
      </x:c>
      <x:c r="B456" s="9" t="str">
        <x:v>EV-AR-HC-A-C-TECH-4-B1-BRK-G0</x:v>
      </x:c>
      <x:c r="C456" s="9" t="str">
        <x:v>EOW-AR-HC-A-C-TECH-4-B1-BRK-G0</x:v>
      </x:c>
      <x:c r="D456" s="9" t="str">
        <x:v>AR-HC-A-C-TECH-4-B1-BRK-G0</x:v>
      </x:c>
      <x:c r="E456" s="9" t="str">
        <x:v>HC-A-C-TECH-4</x:v>
      </x:c>
      <x:c r="F456" s="9" t="str">
        <x:v>HC-A-C</x:v>
      </x:c>
      <x:c r="G456" s="9" t="str">
        <x:v>B1</x:v>
      </x:c>
      <x:c r="H456" s="9" t="str">
        <x:v>BRK</x:v>
      </x:c>
      <x:c r="I456" s="9" t="n">
        <x:v>2</x:v>
      </x:c>
      <x:c r="J456" s="9" t="n">
        <x:v>4</x:v>
      </x:c>
      <x:c r="K456" s="9" t="str">
        <x:v>HC-A-C-N1</x:v>
      </x:c>
      <x:c r="L456" s="9" t="str">
        <x:v>ST10</x:v>
      </x:c>
      <x:c r="M456" s="17" t="str">
        <x:v>Window and common clock</x:v>
      </x:c>
      <x:c r="N456" s="17" t="str">
        <x:v>epoch, window and public time origin match the issued warrant</x:v>
      </x:c>
      <x:c r="O456" s="17" t="str">
        <x:v>Event clock authority</x:v>
      </x:c>
      <x:c r="P456" s="9" t="n">
        <x:v>0</x:v>
      </x:c>
      <x:c r="Q456" s="9" t="n">
        <x:v>0</x:v>
      </x:c>
      <x:c r="R456" s="9" t="str">
        <x:v>OPEN / UNSTARTED</x:v>
      </x:c>
      <x:c r="S456" s="9" t="n">
        <x:f>COUNTIFS($A$7:$A$1446,A456)</x:f>
        <x:v>1</x:v>
      </x:c>
    </x:row>
    <x:row r="457">
      <x:c r="A457" s="9" t="str">
        <x:v>EV-AR-HC-A-C-TECH-2-B1-RCN-G0-ST01</x:v>
      </x:c>
      <x:c r="B457" s="9" t="str">
        <x:v>EV-AR-HC-A-C-TECH-2-B1-RCN-G0</x:v>
      </x:c>
      <x:c r="C457" s="9" t="str">
        <x:v>EOW-AR-HC-A-C-TECH-2-B1-RCN-G0</x:v>
      </x:c>
      <x:c r="D457" s="9" t="str">
        <x:v>AR-HC-A-C-TECH-2-B1-RCN-G0</x:v>
      </x:c>
      <x:c r="E457" s="9" t="str">
        <x:v>HC-A-C-TECH-2</x:v>
      </x:c>
      <x:c r="F457" s="9" t="str">
        <x:v>HC-A-C</x:v>
      </x:c>
      <x:c r="G457" s="9" t="str">
        <x:v>B1</x:v>
      </x:c>
      <x:c r="H457" s="9" t="str">
        <x:v>RCN</x:v>
      </x:c>
      <x:c r="I457" s="9" t="n">
        <x:v>2</x:v>
      </x:c>
      <x:c r="J457" s="9" t="n">
        <x:v>4</x:v>
      </x:c>
      <x:c r="K457" s="9" t="str">
        <x:v>HC-A-C-N3</x:v>
      </x:c>
      <x:c r="L457" s="9" t="str">
        <x:v>ST01</x:v>
      </x:c>
      <x:c r="M457" s="17" t="str">
        <x:v>Active opportunity warrant</x:v>
      </x:c>
      <x:c r="N457" s="17" t="str">
        <x:v>configuration-bound EOW is within its thirty-six-hour validity</x:v>
      </x:c>
      <x:c r="O457" s="17" t="str">
        <x:v>Start registrar</x:v>
      </x:c>
      <x:c r="P457" s="9" t="n">
        <x:v>0</x:v>
      </x:c>
      <x:c r="Q457" s="9" t="n">
        <x:v>0</x:v>
      </x:c>
      <x:c r="R457" s="9" t="str">
        <x:v>OPEN / UNSTARTED</x:v>
      </x:c>
      <x:c r="S457" s="9" t="n">
        <x:f>COUNTIFS($A$7:$A$1446,A457)</x:f>
        <x:v>1</x:v>
      </x:c>
    </x:row>
    <x:row r="458">
      <x:c r="A458" s="9" t="str">
        <x:v>EV-AR-HC-A-C-TECH-2-B1-RCN-G0-ST02</x:v>
      </x:c>
      <x:c r="B458" s="9" t="str">
        <x:v>EV-AR-HC-A-C-TECH-2-B1-RCN-G0</x:v>
      </x:c>
      <x:c r="C458" s="9" t="str">
        <x:v>EOW-AR-HC-A-C-TECH-2-B1-RCN-G0</x:v>
      </x:c>
      <x:c r="D458" s="9" t="str">
        <x:v>AR-HC-A-C-TECH-2-B1-RCN-G0</x:v>
      </x:c>
      <x:c r="E458" s="9" t="str">
        <x:v>HC-A-C-TECH-2</x:v>
      </x:c>
      <x:c r="F458" s="9" t="str">
        <x:v>HC-A-C</x:v>
      </x:c>
      <x:c r="G458" s="9" t="str">
        <x:v>B1</x:v>
      </x:c>
      <x:c r="H458" s="9" t="str">
        <x:v>RCN</x:v>
      </x:c>
      <x:c r="I458" s="9" t="n">
        <x:v>2</x:v>
      </x:c>
      <x:c r="J458" s="9" t="n">
        <x:v>4</x:v>
      </x:c>
      <x:c r="K458" s="9" t="str">
        <x:v>HC-A-C-N3</x:v>
      </x:c>
      <x:c r="L458" s="9" t="str">
        <x:v>ST02</x:v>
      </x:c>
      <x:c r="M458" s="17" t="str">
        <x:v>Frozen identity</x:v>
      </x:c>
      <x:c r="N458" s="17" t="str">
        <x:v>serial, generation, fixture, site, receiver and digest match the warrant</x:v>
      </x:c>
      <x:c r="O458" s="17" t="str">
        <x:v>Custody authority</x:v>
      </x:c>
      <x:c r="P458" s="9" t="n">
        <x:v>0</x:v>
      </x:c>
      <x:c r="Q458" s="9" t="n">
        <x:v>0</x:v>
      </x:c>
      <x:c r="R458" s="9" t="str">
        <x:v>OPEN / UNSTARTED</x:v>
      </x:c>
      <x:c r="S458" s="9" t="n">
        <x:f>COUNTIFS($A$7:$A$1446,A458)</x:f>
        <x:v>1</x:v>
      </x:c>
    </x:row>
    <x:row r="459">
      <x:c r="A459" s="9" t="str">
        <x:v>EV-AR-HC-A-C-TECH-2-B1-RCN-G0-ST03</x:v>
      </x:c>
      <x:c r="B459" s="9" t="str">
        <x:v>EV-AR-HC-A-C-TECH-2-B1-RCN-G0</x:v>
      </x:c>
      <x:c r="C459" s="9" t="str">
        <x:v>EOW-AR-HC-A-C-TECH-2-B1-RCN-G0</x:v>
      </x:c>
      <x:c r="D459" s="9" t="str">
        <x:v>AR-HC-A-C-TECH-2-B1-RCN-G0</x:v>
      </x:c>
      <x:c r="E459" s="9" t="str">
        <x:v>HC-A-C-TECH-2</x:v>
      </x:c>
      <x:c r="F459" s="9" t="str">
        <x:v>HC-A-C</x:v>
      </x:c>
      <x:c r="G459" s="9" t="str">
        <x:v>B1</x:v>
      </x:c>
      <x:c r="H459" s="9" t="str">
        <x:v>RCN</x:v>
      </x:c>
      <x:c r="I459" s="9" t="n">
        <x:v>2</x:v>
      </x:c>
      <x:c r="J459" s="9" t="n">
        <x:v>4</x:v>
      </x:c>
      <x:c r="K459" s="9" t="str">
        <x:v>HC-A-C-N3</x:v>
      </x:c>
      <x:c r="L459" s="9" t="str">
        <x:v>ST03</x:v>
      </x:c>
      <x:c r="M459" s="17" t="str">
        <x:v>Receiver receipt</x:v>
      </x:c>
      <x:c r="N459" s="17" t="str">
        <x:v>denominator, counterfactual, rights and stop receipt remain unchanged</x:v>
      </x:c>
      <x:c r="O459" s="17" t="str">
        <x:v>Receiver authority</x:v>
      </x:c>
      <x:c r="P459" s="9" t="n">
        <x:v>0</x:v>
      </x:c>
      <x:c r="Q459" s="9" t="n">
        <x:v>0</x:v>
      </x:c>
      <x:c r="R459" s="9" t="str">
        <x:v>OPEN / UNSTARTED</x:v>
      </x:c>
      <x:c r="S459" s="9" t="n">
        <x:f>COUNTIFS($A$7:$A$1446,A459)</x:f>
        <x:v>1</x:v>
      </x:c>
    </x:row>
    <x:row r="460">
      <x:c r="A460" s="9" t="str">
        <x:v>EV-AR-HC-A-C-TECH-2-B1-RCN-G0-ST04</x:v>
      </x:c>
      <x:c r="B460" s="9" t="str">
        <x:v>EV-AR-HC-A-C-TECH-2-B1-RCN-G0</x:v>
      </x:c>
      <x:c r="C460" s="9" t="str">
        <x:v>EOW-AR-HC-A-C-TECH-2-B1-RCN-G0</x:v>
      </x:c>
      <x:c r="D460" s="9" t="str">
        <x:v>AR-HC-A-C-TECH-2-B1-RCN-G0</x:v>
      </x:c>
      <x:c r="E460" s="9" t="str">
        <x:v>HC-A-C-TECH-2</x:v>
      </x:c>
      <x:c r="F460" s="9" t="str">
        <x:v>HC-A-C</x:v>
      </x:c>
      <x:c r="G460" s="9" t="str">
        <x:v>B1</x:v>
      </x:c>
      <x:c r="H460" s="9" t="str">
        <x:v>RCN</x:v>
      </x:c>
      <x:c r="I460" s="9" t="n">
        <x:v>2</x:v>
      </x:c>
      <x:c r="J460" s="9" t="n">
        <x:v>4</x:v>
      </x:c>
      <x:c r="K460" s="9" t="str">
        <x:v>HC-A-C-N3</x:v>
      </x:c>
      <x:c r="L460" s="9" t="str">
        <x:v>ST04</x:v>
      </x:c>
      <x:c r="M460" s="17" t="str">
        <x:v>Primary capture armed</x:v>
      </x:c>
      <x:c r="N460" s="17" t="str">
        <x:v>primary chain records sealed reference and live time</x:v>
      </x:c>
      <x:c r="O460" s="17" t="str">
        <x:v>Primary metrology</x:v>
      </x:c>
      <x:c r="P460" s="9" t="n">
        <x:v>0</x:v>
      </x:c>
      <x:c r="Q460" s="9" t="n">
        <x:v>0</x:v>
      </x:c>
      <x:c r="R460" s="9" t="str">
        <x:v>OPEN / UNSTARTED</x:v>
      </x:c>
      <x:c r="S460" s="9" t="n">
        <x:f>COUNTIFS($A$7:$A$1446,A460)</x:f>
        <x:v>1</x:v>
      </x:c>
    </x:row>
    <x:row r="461">
      <x:c r="A461" s="9" t="str">
        <x:v>EV-AR-HC-A-C-TECH-2-B1-RCN-G0-ST05</x:v>
      </x:c>
      <x:c r="B461" s="9" t="str">
        <x:v>EV-AR-HC-A-C-TECH-2-B1-RCN-G0</x:v>
      </x:c>
      <x:c r="C461" s="9" t="str">
        <x:v>EOW-AR-HC-A-C-TECH-2-B1-RCN-G0</x:v>
      </x:c>
      <x:c r="D461" s="9" t="str">
        <x:v>AR-HC-A-C-TECH-2-B1-RCN-G0</x:v>
      </x:c>
      <x:c r="E461" s="9" t="str">
        <x:v>HC-A-C-TECH-2</x:v>
      </x:c>
      <x:c r="F461" s="9" t="str">
        <x:v>HC-A-C</x:v>
      </x:c>
      <x:c r="G461" s="9" t="str">
        <x:v>B1</x:v>
      </x:c>
      <x:c r="H461" s="9" t="str">
        <x:v>RCN</x:v>
      </x:c>
      <x:c r="I461" s="9" t="n">
        <x:v>2</x:v>
      </x:c>
      <x:c r="J461" s="9" t="n">
        <x:v>4</x:v>
      </x:c>
      <x:c r="K461" s="9" t="str">
        <x:v>HC-A-C-N3</x:v>
      </x:c>
      <x:c r="L461" s="9" t="str">
        <x:v>ST05</x:v>
      </x:c>
      <x:c r="M461" s="17" t="str">
        <x:v>Witness capture armed</x:v>
      </x:c>
      <x:c r="N461" s="17" t="str">
        <x:v>unlike witness records independent reference and live time</x:v>
      </x:c>
      <x:c r="O461" s="17" t="str">
        <x:v>Witness metrology</x:v>
      </x:c>
      <x:c r="P461" s="9" t="n">
        <x:v>0</x:v>
      </x:c>
      <x:c r="Q461" s="9" t="n">
        <x:v>0</x:v>
      </x:c>
      <x:c r="R461" s="9" t="str">
        <x:v>OPEN / UNSTARTED</x:v>
      </x:c>
      <x:c r="S461" s="9" t="n">
        <x:f>COUNTIFS($A$7:$A$1446,A461)</x:f>
        <x:v>1</x:v>
      </x:c>
    </x:row>
    <x:row r="462">
      <x:c r="A462" s="9" t="str">
        <x:v>EV-AR-HC-A-C-TECH-2-B1-RCN-G0-ST06</x:v>
      </x:c>
      <x:c r="B462" s="9" t="str">
        <x:v>EV-AR-HC-A-C-TECH-2-B1-RCN-G0</x:v>
      </x:c>
      <x:c r="C462" s="9" t="str">
        <x:v>EOW-AR-HC-A-C-TECH-2-B1-RCN-G0</x:v>
      </x:c>
      <x:c r="D462" s="9" t="str">
        <x:v>AR-HC-A-C-TECH-2-B1-RCN-G0</x:v>
      </x:c>
      <x:c r="E462" s="9" t="str">
        <x:v>HC-A-C-TECH-2</x:v>
      </x:c>
      <x:c r="F462" s="9" t="str">
        <x:v>HC-A-C</x:v>
      </x:c>
      <x:c r="G462" s="9" t="str">
        <x:v>B1</x:v>
      </x:c>
      <x:c r="H462" s="9" t="str">
        <x:v>RCN</x:v>
      </x:c>
      <x:c r="I462" s="9" t="n">
        <x:v>2</x:v>
      </x:c>
      <x:c r="J462" s="9" t="n">
        <x:v>4</x:v>
      </x:c>
      <x:c r="K462" s="9" t="str">
        <x:v>HC-A-C-N3</x:v>
      </x:c>
      <x:c r="L462" s="9" t="str">
        <x:v>ST06</x:v>
      </x:c>
      <x:c r="M462" s="17" t="str">
        <x:v>Public custody armed</x:v>
      </x:c>
      <x:c r="N462" s="17" t="str">
        <x:v>eight raw origins have separated hash and replica routes</x:v>
      </x:c>
      <x:c r="O462" s="17" t="str">
        <x:v>Custody authority</x:v>
      </x:c>
      <x:c r="P462" s="9" t="n">
        <x:v>0</x:v>
      </x:c>
      <x:c r="Q462" s="9" t="n">
        <x:v>0</x:v>
      </x:c>
      <x:c r="R462" s="9" t="str">
        <x:v>OPEN / UNSTARTED</x:v>
      </x:c>
      <x:c r="S462" s="9" t="n">
        <x:f>COUNTIFS($A$7:$A$1446,A462)</x:f>
        <x:v>1</x:v>
      </x:c>
    </x:row>
    <x:row r="463">
      <x:c r="A463" s="9" t="str">
        <x:v>EV-AR-HC-A-C-TECH-2-B1-RCN-G0-ST07</x:v>
      </x:c>
      <x:c r="B463" s="9" t="str">
        <x:v>EV-AR-HC-A-C-TECH-2-B1-RCN-G0</x:v>
      </x:c>
      <x:c r="C463" s="9" t="str">
        <x:v>EOW-AR-HC-A-C-TECH-2-B1-RCN-G0</x:v>
      </x:c>
      <x:c r="D463" s="9" t="str">
        <x:v>AR-HC-A-C-TECH-2-B1-RCN-G0</x:v>
      </x:c>
      <x:c r="E463" s="9" t="str">
        <x:v>HC-A-C-TECH-2</x:v>
      </x:c>
      <x:c r="F463" s="9" t="str">
        <x:v>HC-A-C</x:v>
      </x:c>
      <x:c r="G463" s="9" t="str">
        <x:v>B1</x:v>
      </x:c>
      <x:c r="H463" s="9" t="str">
        <x:v>RCN</x:v>
      </x:c>
      <x:c r="I463" s="9" t="n">
        <x:v>2</x:v>
      </x:c>
      <x:c r="J463" s="9" t="n">
        <x:v>4</x:v>
      </x:c>
      <x:c r="K463" s="9" t="str">
        <x:v>HC-A-C-N3</x:v>
      </x:c>
      <x:c r="L463" s="9" t="str">
        <x:v>ST07</x:v>
      </x:c>
      <x:c r="M463" s="17" t="str">
        <x:v>Environmental baseline</x:v>
      </x:c>
      <x:c r="N463" s="17" t="str">
        <x:v>pre-event boundary state is sealed before decisive operation</x:v>
      </x:c>
      <x:c r="O463" s="17" t="str">
        <x:v>Site metrology</x:v>
      </x:c>
      <x:c r="P463" s="9" t="n">
        <x:v>0</x:v>
      </x:c>
      <x:c r="Q463" s="9" t="n">
        <x:v>0</x:v>
      </x:c>
      <x:c r="R463" s="9" t="str">
        <x:v>OPEN / UNSTARTED</x:v>
      </x:c>
      <x:c r="S463" s="9" t="n">
        <x:f>COUNTIFS($A$7:$A$1446,A463)</x:f>
        <x:v>1</x:v>
      </x:c>
    </x:row>
    <x:row r="464">
      <x:c r="A464" s="9" t="str">
        <x:v>EV-AR-HC-A-C-TECH-2-B1-RCN-G0-ST08</x:v>
      </x:c>
      <x:c r="B464" s="9" t="str">
        <x:v>EV-AR-HC-A-C-TECH-2-B1-RCN-G0</x:v>
      </x:c>
      <x:c r="C464" s="9" t="str">
        <x:v>EOW-AR-HC-A-C-TECH-2-B1-RCN-G0</x:v>
      </x:c>
      <x:c r="D464" s="9" t="str">
        <x:v>AR-HC-A-C-TECH-2-B1-RCN-G0</x:v>
      </x:c>
      <x:c r="E464" s="9" t="str">
        <x:v>HC-A-C-TECH-2</x:v>
      </x:c>
      <x:c r="F464" s="9" t="str">
        <x:v>HC-A-C</x:v>
      </x:c>
      <x:c r="G464" s="9" t="str">
        <x:v>B1</x:v>
      </x:c>
      <x:c r="H464" s="9" t="str">
        <x:v>RCN</x:v>
      </x:c>
      <x:c r="I464" s="9" t="n">
        <x:v>2</x:v>
      </x:c>
      <x:c r="J464" s="9" t="n">
        <x:v>4</x:v>
      </x:c>
      <x:c r="K464" s="9" t="str">
        <x:v>HC-A-C-N3</x:v>
      </x:c>
      <x:c r="L464" s="9" t="str">
        <x:v>ST08</x:v>
      </x:c>
      <x:c r="M464" s="17" t="str">
        <x:v>Manual stop and safety</x:v>
      </x:c>
      <x:c r="N464" s="17" t="str">
        <x:v>local stop, evacuation and protection routes are active</x:v>
      </x:c>
      <x:c r="O464" s="17" t="str">
        <x:v>Safety authority</x:v>
      </x:c>
      <x:c r="P464" s="9" t="n">
        <x:v>0</x:v>
      </x:c>
      <x:c r="Q464" s="9" t="n">
        <x:v>0</x:v>
      </x:c>
      <x:c r="R464" s="9" t="str">
        <x:v>OPEN / UNSTARTED</x:v>
      </x:c>
      <x:c r="S464" s="9" t="n">
        <x:f>COUNTIFS($A$7:$A$1446,A464)</x:f>
        <x:v>1</x:v>
      </x:c>
    </x:row>
    <x:row r="465">
      <x:c r="A465" s="9" t="str">
        <x:v>EV-AR-HC-A-C-TECH-2-B1-RCN-G0-ST09</x:v>
      </x:c>
      <x:c r="B465" s="9" t="str">
        <x:v>EV-AR-HC-A-C-TECH-2-B1-RCN-G0</x:v>
      </x:c>
      <x:c r="C465" s="9" t="str">
        <x:v>EOW-AR-HC-A-C-TECH-2-B1-RCN-G0</x:v>
      </x:c>
      <x:c r="D465" s="9" t="str">
        <x:v>AR-HC-A-C-TECH-2-B1-RCN-G0</x:v>
      </x:c>
      <x:c r="E465" s="9" t="str">
        <x:v>HC-A-C-TECH-2</x:v>
      </x:c>
      <x:c r="F465" s="9" t="str">
        <x:v>HC-A-C</x:v>
      </x:c>
      <x:c r="G465" s="9" t="str">
        <x:v>B1</x:v>
      </x:c>
      <x:c r="H465" s="9" t="str">
        <x:v>RCN</x:v>
      </x:c>
      <x:c r="I465" s="9" t="n">
        <x:v>2</x:v>
      </x:c>
      <x:c r="J465" s="9" t="n">
        <x:v>4</x:v>
      </x:c>
      <x:c r="K465" s="9" t="str">
        <x:v>HC-A-C-N3</x:v>
      </x:c>
      <x:c r="L465" s="9" t="str">
        <x:v>ST09</x:v>
      </x:c>
      <x:c r="M465" s="17" t="str">
        <x:v>Operator conflict clear</x:v>
      </x:c>
      <x:c r="N465" s="17" t="str">
        <x:v>candidate, fixture, safety and measurement control edges remain separated</x:v>
      </x:c>
      <x:c r="O465" s="17" t="str">
        <x:v>Conflict registrar</x:v>
      </x:c>
      <x:c r="P465" s="9" t="n">
        <x:v>0</x:v>
      </x:c>
      <x:c r="Q465" s="9" t="n">
        <x:v>0</x:v>
      </x:c>
      <x:c r="R465" s="9" t="str">
        <x:v>OPEN / UNSTARTED</x:v>
      </x:c>
      <x:c r="S465" s="9" t="n">
        <x:f>COUNTIFS($A$7:$A$1446,A465)</x:f>
        <x:v>1</x:v>
      </x:c>
    </x:row>
    <x:row r="466">
      <x:c r="A466" s="9" t="str">
        <x:v>EV-AR-HC-A-C-TECH-2-B1-RCN-G0-ST10</x:v>
      </x:c>
      <x:c r="B466" s="9" t="str">
        <x:v>EV-AR-HC-A-C-TECH-2-B1-RCN-G0</x:v>
      </x:c>
      <x:c r="C466" s="9" t="str">
        <x:v>EOW-AR-HC-A-C-TECH-2-B1-RCN-G0</x:v>
      </x:c>
      <x:c r="D466" s="9" t="str">
        <x:v>AR-HC-A-C-TECH-2-B1-RCN-G0</x:v>
      </x:c>
      <x:c r="E466" s="9" t="str">
        <x:v>HC-A-C-TECH-2</x:v>
      </x:c>
      <x:c r="F466" s="9" t="str">
        <x:v>HC-A-C</x:v>
      </x:c>
      <x:c r="G466" s="9" t="str">
        <x:v>B1</x:v>
      </x:c>
      <x:c r="H466" s="9" t="str">
        <x:v>RCN</x:v>
      </x:c>
      <x:c r="I466" s="9" t="n">
        <x:v>2</x:v>
      </x:c>
      <x:c r="J466" s="9" t="n">
        <x:v>4</x:v>
      </x:c>
      <x:c r="K466" s="9" t="str">
        <x:v>HC-A-C-N3</x:v>
      </x:c>
      <x:c r="L466" s="9" t="str">
        <x:v>ST10</x:v>
      </x:c>
      <x:c r="M466" s="17" t="str">
        <x:v>Window and common clock</x:v>
      </x:c>
      <x:c r="N466" s="17" t="str">
        <x:v>epoch, window and public time origin match the issued warrant</x:v>
      </x:c>
      <x:c r="O466" s="17" t="str">
        <x:v>Event clock authority</x:v>
      </x:c>
      <x:c r="P466" s="9" t="n">
        <x:v>0</x:v>
      </x:c>
      <x:c r="Q466" s="9" t="n">
        <x:v>0</x:v>
      </x:c>
      <x:c r="R466" s="9" t="str">
        <x:v>OPEN / UNSTARTED</x:v>
      </x:c>
      <x:c r="S466" s="9" t="n">
        <x:f>COUNTIFS($A$7:$A$1446,A466)</x:f>
        <x:v>1</x:v>
      </x:c>
    </x:row>
    <x:row r="467">
      <x:c r="A467" s="9" t="str">
        <x:v>EV-AR-HU-A-B-TECH-2-B1-BRK-G0-ST01</x:v>
      </x:c>
      <x:c r="B467" s="9" t="str">
        <x:v>EV-AR-HU-A-B-TECH-2-B1-BRK-G0</x:v>
      </x:c>
      <x:c r="C467" s="9" t="str">
        <x:v>EOW-AR-HU-A-B-TECH-2-B1-BRK-G0</x:v>
      </x:c>
      <x:c r="D467" s="9" t="str">
        <x:v>AR-HU-A-B-TECH-2-B1-BRK-G0</x:v>
      </x:c>
      <x:c r="E467" s="9" t="str">
        <x:v>HU-A-B-TECH-2</x:v>
      </x:c>
      <x:c r="F467" s="9" t="str">
        <x:v>HU-A-B</x:v>
      </x:c>
      <x:c r="G467" s="9" t="str">
        <x:v>B1</x:v>
      </x:c>
      <x:c r="H467" s="9" t="str">
        <x:v>BRK</x:v>
      </x:c>
      <x:c r="I467" s="9" t="n">
        <x:v>2</x:v>
      </x:c>
      <x:c r="J467" s="9" t="n">
        <x:v>4</x:v>
      </x:c>
      <x:c r="K467" s="9" t="str">
        <x:v>HU-A-B-N2</x:v>
      </x:c>
      <x:c r="L467" s="9" t="str">
        <x:v>ST01</x:v>
      </x:c>
      <x:c r="M467" s="17" t="str">
        <x:v>Active opportunity warrant</x:v>
      </x:c>
      <x:c r="N467" s="17" t="str">
        <x:v>configuration-bound EOW is within its thirty-six-hour validity</x:v>
      </x:c>
      <x:c r="O467" s="17" t="str">
        <x:v>Start registrar</x:v>
      </x:c>
      <x:c r="P467" s="9" t="n">
        <x:v>0</x:v>
      </x:c>
      <x:c r="Q467" s="9" t="n">
        <x:v>0</x:v>
      </x:c>
      <x:c r="R467" s="9" t="str">
        <x:v>OPEN / UNSTARTED</x:v>
      </x:c>
      <x:c r="S467" s="9" t="n">
        <x:f>COUNTIFS($A$7:$A$1446,A467)</x:f>
        <x:v>1</x:v>
      </x:c>
    </x:row>
    <x:row r="468">
      <x:c r="A468" s="9" t="str">
        <x:v>EV-AR-HU-A-B-TECH-2-B1-BRK-G0-ST02</x:v>
      </x:c>
      <x:c r="B468" s="9" t="str">
        <x:v>EV-AR-HU-A-B-TECH-2-B1-BRK-G0</x:v>
      </x:c>
      <x:c r="C468" s="9" t="str">
        <x:v>EOW-AR-HU-A-B-TECH-2-B1-BRK-G0</x:v>
      </x:c>
      <x:c r="D468" s="9" t="str">
        <x:v>AR-HU-A-B-TECH-2-B1-BRK-G0</x:v>
      </x:c>
      <x:c r="E468" s="9" t="str">
        <x:v>HU-A-B-TECH-2</x:v>
      </x:c>
      <x:c r="F468" s="9" t="str">
        <x:v>HU-A-B</x:v>
      </x:c>
      <x:c r="G468" s="9" t="str">
        <x:v>B1</x:v>
      </x:c>
      <x:c r="H468" s="9" t="str">
        <x:v>BRK</x:v>
      </x:c>
      <x:c r="I468" s="9" t="n">
        <x:v>2</x:v>
      </x:c>
      <x:c r="J468" s="9" t="n">
        <x:v>4</x:v>
      </x:c>
      <x:c r="K468" s="9" t="str">
        <x:v>HU-A-B-N2</x:v>
      </x:c>
      <x:c r="L468" s="9" t="str">
        <x:v>ST02</x:v>
      </x:c>
      <x:c r="M468" s="17" t="str">
        <x:v>Frozen identity</x:v>
      </x:c>
      <x:c r="N468" s="17" t="str">
        <x:v>serial, generation, fixture, site, receiver and digest match the warrant</x:v>
      </x:c>
      <x:c r="O468" s="17" t="str">
        <x:v>Custody authority</x:v>
      </x:c>
      <x:c r="P468" s="9" t="n">
        <x:v>0</x:v>
      </x:c>
      <x:c r="Q468" s="9" t="n">
        <x:v>0</x:v>
      </x:c>
      <x:c r="R468" s="9" t="str">
        <x:v>OPEN / UNSTARTED</x:v>
      </x:c>
      <x:c r="S468" s="9" t="n">
        <x:f>COUNTIFS($A$7:$A$1446,A468)</x:f>
        <x:v>1</x:v>
      </x:c>
    </x:row>
    <x:row r="469">
      <x:c r="A469" s="9" t="str">
        <x:v>EV-AR-HU-A-B-TECH-2-B1-BRK-G0-ST03</x:v>
      </x:c>
      <x:c r="B469" s="9" t="str">
        <x:v>EV-AR-HU-A-B-TECH-2-B1-BRK-G0</x:v>
      </x:c>
      <x:c r="C469" s="9" t="str">
        <x:v>EOW-AR-HU-A-B-TECH-2-B1-BRK-G0</x:v>
      </x:c>
      <x:c r="D469" s="9" t="str">
        <x:v>AR-HU-A-B-TECH-2-B1-BRK-G0</x:v>
      </x:c>
      <x:c r="E469" s="9" t="str">
        <x:v>HU-A-B-TECH-2</x:v>
      </x:c>
      <x:c r="F469" s="9" t="str">
        <x:v>HU-A-B</x:v>
      </x:c>
      <x:c r="G469" s="9" t="str">
        <x:v>B1</x:v>
      </x:c>
      <x:c r="H469" s="9" t="str">
        <x:v>BRK</x:v>
      </x:c>
      <x:c r="I469" s="9" t="n">
        <x:v>2</x:v>
      </x:c>
      <x:c r="J469" s="9" t="n">
        <x:v>4</x:v>
      </x:c>
      <x:c r="K469" s="9" t="str">
        <x:v>HU-A-B-N2</x:v>
      </x:c>
      <x:c r="L469" s="9" t="str">
        <x:v>ST03</x:v>
      </x:c>
      <x:c r="M469" s="17" t="str">
        <x:v>Receiver receipt</x:v>
      </x:c>
      <x:c r="N469" s="17" t="str">
        <x:v>denominator, counterfactual, rights and stop receipt remain unchanged</x:v>
      </x:c>
      <x:c r="O469" s="17" t="str">
        <x:v>Receiver authority</x:v>
      </x:c>
      <x:c r="P469" s="9" t="n">
        <x:v>0</x:v>
      </x:c>
      <x:c r="Q469" s="9" t="n">
        <x:v>0</x:v>
      </x:c>
      <x:c r="R469" s="9" t="str">
        <x:v>OPEN / UNSTARTED</x:v>
      </x:c>
      <x:c r="S469" s="9" t="n">
        <x:f>COUNTIFS($A$7:$A$1446,A469)</x:f>
        <x:v>1</x:v>
      </x:c>
    </x:row>
    <x:row r="470">
      <x:c r="A470" s="9" t="str">
        <x:v>EV-AR-HU-A-B-TECH-2-B1-BRK-G0-ST04</x:v>
      </x:c>
      <x:c r="B470" s="9" t="str">
        <x:v>EV-AR-HU-A-B-TECH-2-B1-BRK-G0</x:v>
      </x:c>
      <x:c r="C470" s="9" t="str">
        <x:v>EOW-AR-HU-A-B-TECH-2-B1-BRK-G0</x:v>
      </x:c>
      <x:c r="D470" s="9" t="str">
        <x:v>AR-HU-A-B-TECH-2-B1-BRK-G0</x:v>
      </x:c>
      <x:c r="E470" s="9" t="str">
        <x:v>HU-A-B-TECH-2</x:v>
      </x:c>
      <x:c r="F470" s="9" t="str">
        <x:v>HU-A-B</x:v>
      </x:c>
      <x:c r="G470" s="9" t="str">
        <x:v>B1</x:v>
      </x:c>
      <x:c r="H470" s="9" t="str">
        <x:v>BRK</x:v>
      </x:c>
      <x:c r="I470" s="9" t="n">
        <x:v>2</x:v>
      </x:c>
      <x:c r="J470" s="9" t="n">
        <x:v>4</x:v>
      </x:c>
      <x:c r="K470" s="9" t="str">
        <x:v>HU-A-B-N2</x:v>
      </x:c>
      <x:c r="L470" s="9" t="str">
        <x:v>ST04</x:v>
      </x:c>
      <x:c r="M470" s="17" t="str">
        <x:v>Primary capture armed</x:v>
      </x:c>
      <x:c r="N470" s="17" t="str">
        <x:v>primary chain records sealed reference and live time</x:v>
      </x:c>
      <x:c r="O470" s="17" t="str">
        <x:v>Primary metrology</x:v>
      </x:c>
      <x:c r="P470" s="9" t="n">
        <x:v>0</x:v>
      </x:c>
      <x:c r="Q470" s="9" t="n">
        <x:v>0</x:v>
      </x:c>
      <x:c r="R470" s="9" t="str">
        <x:v>OPEN / UNSTARTED</x:v>
      </x:c>
      <x:c r="S470" s="9" t="n">
        <x:f>COUNTIFS($A$7:$A$1446,A470)</x:f>
        <x:v>1</x:v>
      </x:c>
    </x:row>
    <x:row r="471">
      <x:c r="A471" s="9" t="str">
        <x:v>EV-AR-HU-A-B-TECH-2-B1-BRK-G0-ST05</x:v>
      </x:c>
      <x:c r="B471" s="9" t="str">
        <x:v>EV-AR-HU-A-B-TECH-2-B1-BRK-G0</x:v>
      </x:c>
      <x:c r="C471" s="9" t="str">
        <x:v>EOW-AR-HU-A-B-TECH-2-B1-BRK-G0</x:v>
      </x:c>
      <x:c r="D471" s="9" t="str">
        <x:v>AR-HU-A-B-TECH-2-B1-BRK-G0</x:v>
      </x:c>
      <x:c r="E471" s="9" t="str">
        <x:v>HU-A-B-TECH-2</x:v>
      </x:c>
      <x:c r="F471" s="9" t="str">
        <x:v>HU-A-B</x:v>
      </x:c>
      <x:c r="G471" s="9" t="str">
        <x:v>B1</x:v>
      </x:c>
      <x:c r="H471" s="9" t="str">
        <x:v>BRK</x:v>
      </x:c>
      <x:c r="I471" s="9" t="n">
        <x:v>2</x:v>
      </x:c>
      <x:c r="J471" s="9" t="n">
        <x:v>4</x:v>
      </x:c>
      <x:c r="K471" s="9" t="str">
        <x:v>HU-A-B-N2</x:v>
      </x:c>
      <x:c r="L471" s="9" t="str">
        <x:v>ST05</x:v>
      </x:c>
      <x:c r="M471" s="17" t="str">
        <x:v>Witness capture armed</x:v>
      </x:c>
      <x:c r="N471" s="17" t="str">
        <x:v>unlike witness records independent reference and live time</x:v>
      </x:c>
      <x:c r="O471" s="17" t="str">
        <x:v>Witness metrology</x:v>
      </x:c>
      <x:c r="P471" s="9" t="n">
        <x:v>0</x:v>
      </x:c>
      <x:c r="Q471" s="9" t="n">
        <x:v>0</x:v>
      </x:c>
      <x:c r="R471" s="9" t="str">
        <x:v>OPEN / UNSTARTED</x:v>
      </x:c>
      <x:c r="S471" s="9" t="n">
        <x:f>COUNTIFS($A$7:$A$1446,A471)</x:f>
        <x:v>1</x:v>
      </x:c>
    </x:row>
    <x:row r="472">
      <x:c r="A472" s="9" t="str">
        <x:v>EV-AR-HU-A-B-TECH-2-B1-BRK-G0-ST06</x:v>
      </x:c>
      <x:c r="B472" s="9" t="str">
        <x:v>EV-AR-HU-A-B-TECH-2-B1-BRK-G0</x:v>
      </x:c>
      <x:c r="C472" s="9" t="str">
        <x:v>EOW-AR-HU-A-B-TECH-2-B1-BRK-G0</x:v>
      </x:c>
      <x:c r="D472" s="9" t="str">
        <x:v>AR-HU-A-B-TECH-2-B1-BRK-G0</x:v>
      </x:c>
      <x:c r="E472" s="9" t="str">
        <x:v>HU-A-B-TECH-2</x:v>
      </x:c>
      <x:c r="F472" s="9" t="str">
        <x:v>HU-A-B</x:v>
      </x:c>
      <x:c r="G472" s="9" t="str">
        <x:v>B1</x:v>
      </x:c>
      <x:c r="H472" s="9" t="str">
        <x:v>BRK</x:v>
      </x:c>
      <x:c r="I472" s="9" t="n">
        <x:v>2</x:v>
      </x:c>
      <x:c r="J472" s="9" t="n">
        <x:v>4</x:v>
      </x:c>
      <x:c r="K472" s="9" t="str">
        <x:v>HU-A-B-N2</x:v>
      </x:c>
      <x:c r="L472" s="9" t="str">
        <x:v>ST06</x:v>
      </x:c>
      <x:c r="M472" s="17" t="str">
        <x:v>Public custody armed</x:v>
      </x:c>
      <x:c r="N472" s="17" t="str">
        <x:v>eight raw origins have separated hash and replica routes</x:v>
      </x:c>
      <x:c r="O472" s="17" t="str">
        <x:v>Custody authority</x:v>
      </x:c>
      <x:c r="P472" s="9" t="n">
        <x:v>0</x:v>
      </x:c>
      <x:c r="Q472" s="9" t="n">
        <x:v>0</x:v>
      </x:c>
      <x:c r="R472" s="9" t="str">
        <x:v>OPEN / UNSTARTED</x:v>
      </x:c>
      <x:c r="S472" s="9" t="n">
        <x:f>COUNTIFS($A$7:$A$1446,A472)</x:f>
        <x:v>1</x:v>
      </x:c>
    </x:row>
    <x:row r="473">
      <x:c r="A473" s="9" t="str">
        <x:v>EV-AR-HU-A-B-TECH-2-B1-BRK-G0-ST07</x:v>
      </x:c>
      <x:c r="B473" s="9" t="str">
        <x:v>EV-AR-HU-A-B-TECH-2-B1-BRK-G0</x:v>
      </x:c>
      <x:c r="C473" s="9" t="str">
        <x:v>EOW-AR-HU-A-B-TECH-2-B1-BRK-G0</x:v>
      </x:c>
      <x:c r="D473" s="9" t="str">
        <x:v>AR-HU-A-B-TECH-2-B1-BRK-G0</x:v>
      </x:c>
      <x:c r="E473" s="9" t="str">
        <x:v>HU-A-B-TECH-2</x:v>
      </x:c>
      <x:c r="F473" s="9" t="str">
        <x:v>HU-A-B</x:v>
      </x:c>
      <x:c r="G473" s="9" t="str">
        <x:v>B1</x:v>
      </x:c>
      <x:c r="H473" s="9" t="str">
        <x:v>BRK</x:v>
      </x:c>
      <x:c r="I473" s="9" t="n">
        <x:v>2</x:v>
      </x:c>
      <x:c r="J473" s="9" t="n">
        <x:v>4</x:v>
      </x:c>
      <x:c r="K473" s="9" t="str">
        <x:v>HU-A-B-N2</x:v>
      </x:c>
      <x:c r="L473" s="9" t="str">
        <x:v>ST07</x:v>
      </x:c>
      <x:c r="M473" s="17" t="str">
        <x:v>Environmental baseline</x:v>
      </x:c>
      <x:c r="N473" s="17" t="str">
        <x:v>pre-event boundary state is sealed before decisive operation</x:v>
      </x:c>
      <x:c r="O473" s="17" t="str">
        <x:v>Site metrology</x:v>
      </x:c>
      <x:c r="P473" s="9" t="n">
        <x:v>0</x:v>
      </x:c>
      <x:c r="Q473" s="9" t="n">
        <x:v>0</x:v>
      </x:c>
      <x:c r="R473" s="9" t="str">
        <x:v>OPEN / UNSTARTED</x:v>
      </x:c>
      <x:c r="S473" s="9" t="n">
        <x:f>COUNTIFS($A$7:$A$1446,A473)</x:f>
        <x:v>1</x:v>
      </x:c>
    </x:row>
    <x:row r="474">
      <x:c r="A474" s="9" t="str">
        <x:v>EV-AR-HU-A-B-TECH-2-B1-BRK-G0-ST08</x:v>
      </x:c>
      <x:c r="B474" s="9" t="str">
        <x:v>EV-AR-HU-A-B-TECH-2-B1-BRK-G0</x:v>
      </x:c>
      <x:c r="C474" s="9" t="str">
        <x:v>EOW-AR-HU-A-B-TECH-2-B1-BRK-G0</x:v>
      </x:c>
      <x:c r="D474" s="9" t="str">
        <x:v>AR-HU-A-B-TECH-2-B1-BRK-G0</x:v>
      </x:c>
      <x:c r="E474" s="9" t="str">
        <x:v>HU-A-B-TECH-2</x:v>
      </x:c>
      <x:c r="F474" s="9" t="str">
        <x:v>HU-A-B</x:v>
      </x:c>
      <x:c r="G474" s="9" t="str">
        <x:v>B1</x:v>
      </x:c>
      <x:c r="H474" s="9" t="str">
        <x:v>BRK</x:v>
      </x:c>
      <x:c r="I474" s="9" t="n">
        <x:v>2</x:v>
      </x:c>
      <x:c r="J474" s="9" t="n">
        <x:v>4</x:v>
      </x:c>
      <x:c r="K474" s="9" t="str">
        <x:v>HU-A-B-N2</x:v>
      </x:c>
      <x:c r="L474" s="9" t="str">
        <x:v>ST08</x:v>
      </x:c>
      <x:c r="M474" s="17" t="str">
        <x:v>Manual stop and safety</x:v>
      </x:c>
      <x:c r="N474" s="17" t="str">
        <x:v>local stop, evacuation and protection routes are active</x:v>
      </x:c>
      <x:c r="O474" s="17" t="str">
        <x:v>Safety authority</x:v>
      </x:c>
      <x:c r="P474" s="9" t="n">
        <x:v>0</x:v>
      </x:c>
      <x:c r="Q474" s="9" t="n">
        <x:v>0</x:v>
      </x:c>
      <x:c r="R474" s="9" t="str">
        <x:v>OPEN / UNSTARTED</x:v>
      </x:c>
      <x:c r="S474" s="9" t="n">
        <x:f>COUNTIFS($A$7:$A$1446,A474)</x:f>
        <x:v>1</x:v>
      </x:c>
    </x:row>
    <x:row r="475">
      <x:c r="A475" s="9" t="str">
        <x:v>EV-AR-HU-A-B-TECH-2-B1-BRK-G0-ST09</x:v>
      </x:c>
      <x:c r="B475" s="9" t="str">
        <x:v>EV-AR-HU-A-B-TECH-2-B1-BRK-G0</x:v>
      </x:c>
      <x:c r="C475" s="9" t="str">
        <x:v>EOW-AR-HU-A-B-TECH-2-B1-BRK-G0</x:v>
      </x:c>
      <x:c r="D475" s="9" t="str">
        <x:v>AR-HU-A-B-TECH-2-B1-BRK-G0</x:v>
      </x:c>
      <x:c r="E475" s="9" t="str">
        <x:v>HU-A-B-TECH-2</x:v>
      </x:c>
      <x:c r="F475" s="9" t="str">
        <x:v>HU-A-B</x:v>
      </x:c>
      <x:c r="G475" s="9" t="str">
        <x:v>B1</x:v>
      </x:c>
      <x:c r="H475" s="9" t="str">
        <x:v>BRK</x:v>
      </x:c>
      <x:c r="I475" s="9" t="n">
        <x:v>2</x:v>
      </x:c>
      <x:c r="J475" s="9" t="n">
        <x:v>4</x:v>
      </x:c>
      <x:c r="K475" s="9" t="str">
        <x:v>HU-A-B-N2</x:v>
      </x:c>
      <x:c r="L475" s="9" t="str">
        <x:v>ST09</x:v>
      </x:c>
      <x:c r="M475" s="17" t="str">
        <x:v>Operator conflict clear</x:v>
      </x:c>
      <x:c r="N475" s="17" t="str">
        <x:v>candidate, fixture, safety and measurement control edges remain separated</x:v>
      </x:c>
      <x:c r="O475" s="17" t="str">
        <x:v>Conflict registrar</x:v>
      </x:c>
      <x:c r="P475" s="9" t="n">
        <x:v>0</x:v>
      </x:c>
      <x:c r="Q475" s="9" t="n">
        <x:v>0</x:v>
      </x:c>
      <x:c r="R475" s="9" t="str">
        <x:v>OPEN / UNSTARTED</x:v>
      </x:c>
      <x:c r="S475" s="9" t="n">
        <x:f>COUNTIFS($A$7:$A$1446,A475)</x:f>
        <x:v>1</x:v>
      </x:c>
    </x:row>
    <x:row r="476">
      <x:c r="A476" s="9" t="str">
        <x:v>EV-AR-HU-A-B-TECH-2-B1-BRK-G0-ST10</x:v>
      </x:c>
      <x:c r="B476" s="9" t="str">
        <x:v>EV-AR-HU-A-B-TECH-2-B1-BRK-G0</x:v>
      </x:c>
      <x:c r="C476" s="9" t="str">
        <x:v>EOW-AR-HU-A-B-TECH-2-B1-BRK-G0</x:v>
      </x:c>
      <x:c r="D476" s="9" t="str">
        <x:v>AR-HU-A-B-TECH-2-B1-BRK-G0</x:v>
      </x:c>
      <x:c r="E476" s="9" t="str">
        <x:v>HU-A-B-TECH-2</x:v>
      </x:c>
      <x:c r="F476" s="9" t="str">
        <x:v>HU-A-B</x:v>
      </x:c>
      <x:c r="G476" s="9" t="str">
        <x:v>B1</x:v>
      </x:c>
      <x:c r="H476" s="9" t="str">
        <x:v>BRK</x:v>
      </x:c>
      <x:c r="I476" s="9" t="n">
        <x:v>2</x:v>
      </x:c>
      <x:c r="J476" s="9" t="n">
        <x:v>4</x:v>
      </x:c>
      <x:c r="K476" s="9" t="str">
        <x:v>HU-A-B-N2</x:v>
      </x:c>
      <x:c r="L476" s="9" t="str">
        <x:v>ST10</x:v>
      </x:c>
      <x:c r="M476" s="17" t="str">
        <x:v>Window and common clock</x:v>
      </x:c>
      <x:c r="N476" s="17" t="str">
        <x:v>epoch, window and public time origin match the issued warrant</x:v>
      </x:c>
      <x:c r="O476" s="17" t="str">
        <x:v>Event clock authority</x:v>
      </x:c>
      <x:c r="P476" s="9" t="n">
        <x:v>0</x:v>
      </x:c>
      <x:c r="Q476" s="9" t="n">
        <x:v>0</x:v>
      </x:c>
      <x:c r="R476" s="9" t="str">
        <x:v>OPEN / UNSTARTED</x:v>
      </x:c>
      <x:c r="S476" s="9" t="n">
        <x:f>COUNTIFS($A$7:$A$1446,A476)</x:f>
        <x:v>1</x:v>
      </x:c>
    </x:row>
    <x:row r="477">
      <x:c r="A477" s="9" t="str">
        <x:v>EV-AR-RT-B-C-TECH-3-B1-INT-G0-ST01</x:v>
      </x:c>
      <x:c r="B477" s="9" t="str">
        <x:v>EV-AR-RT-B-C-TECH-3-B1-INT-G0</x:v>
      </x:c>
      <x:c r="C477" s="9" t="str">
        <x:v>EOW-AR-RT-B-C-TECH-3-B1-INT-G0</x:v>
      </x:c>
      <x:c r="D477" s="9" t="str">
        <x:v>AR-RT-B-C-TECH-3-B1-INT-G0</x:v>
      </x:c>
      <x:c r="E477" s="9" t="str">
        <x:v>RT-B-C-TECH-3</x:v>
      </x:c>
      <x:c r="F477" s="9" t="str">
        <x:v>RT-B-C</x:v>
      </x:c>
      <x:c r="G477" s="9" t="str">
        <x:v>B1</x:v>
      </x:c>
      <x:c r="H477" s="9" t="str">
        <x:v>INT</x:v>
      </x:c>
      <x:c r="I477" s="9" t="n">
        <x:v>2</x:v>
      </x:c>
      <x:c r="J477" s="9" t="n">
        <x:v>4</x:v>
      </x:c>
      <x:c r="K477" s="9" t="str">
        <x:v>RT-B-C-N3</x:v>
      </x:c>
      <x:c r="L477" s="9" t="str">
        <x:v>ST01</x:v>
      </x:c>
      <x:c r="M477" s="17" t="str">
        <x:v>Active opportunity warrant</x:v>
      </x:c>
      <x:c r="N477" s="17" t="str">
        <x:v>configuration-bound EOW is within its thirty-six-hour validity</x:v>
      </x:c>
      <x:c r="O477" s="17" t="str">
        <x:v>Start registrar</x:v>
      </x:c>
      <x:c r="P477" s="9" t="n">
        <x:v>0</x:v>
      </x:c>
      <x:c r="Q477" s="9" t="n">
        <x:v>0</x:v>
      </x:c>
      <x:c r="R477" s="9" t="str">
        <x:v>OPEN / UNSTARTED</x:v>
      </x:c>
      <x:c r="S477" s="9" t="n">
        <x:f>COUNTIFS($A$7:$A$1446,A477)</x:f>
        <x:v>1</x:v>
      </x:c>
    </x:row>
    <x:row r="478">
      <x:c r="A478" s="9" t="str">
        <x:v>EV-AR-RT-B-C-TECH-3-B1-INT-G0-ST02</x:v>
      </x:c>
      <x:c r="B478" s="9" t="str">
        <x:v>EV-AR-RT-B-C-TECH-3-B1-INT-G0</x:v>
      </x:c>
      <x:c r="C478" s="9" t="str">
        <x:v>EOW-AR-RT-B-C-TECH-3-B1-INT-G0</x:v>
      </x:c>
      <x:c r="D478" s="9" t="str">
        <x:v>AR-RT-B-C-TECH-3-B1-INT-G0</x:v>
      </x:c>
      <x:c r="E478" s="9" t="str">
        <x:v>RT-B-C-TECH-3</x:v>
      </x:c>
      <x:c r="F478" s="9" t="str">
        <x:v>RT-B-C</x:v>
      </x:c>
      <x:c r="G478" s="9" t="str">
        <x:v>B1</x:v>
      </x:c>
      <x:c r="H478" s="9" t="str">
        <x:v>INT</x:v>
      </x:c>
      <x:c r="I478" s="9" t="n">
        <x:v>2</x:v>
      </x:c>
      <x:c r="J478" s="9" t="n">
        <x:v>4</x:v>
      </x:c>
      <x:c r="K478" s="9" t="str">
        <x:v>RT-B-C-N3</x:v>
      </x:c>
      <x:c r="L478" s="9" t="str">
        <x:v>ST02</x:v>
      </x:c>
      <x:c r="M478" s="17" t="str">
        <x:v>Frozen identity</x:v>
      </x:c>
      <x:c r="N478" s="17" t="str">
        <x:v>serial, generation, fixture, site, receiver and digest match the warrant</x:v>
      </x:c>
      <x:c r="O478" s="17" t="str">
        <x:v>Custody authority</x:v>
      </x:c>
      <x:c r="P478" s="9" t="n">
        <x:v>0</x:v>
      </x:c>
      <x:c r="Q478" s="9" t="n">
        <x:v>0</x:v>
      </x:c>
      <x:c r="R478" s="9" t="str">
        <x:v>OPEN / UNSTARTED</x:v>
      </x:c>
      <x:c r="S478" s="9" t="n">
        <x:f>COUNTIFS($A$7:$A$1446,A478)</x:f>
        <x:v>1</x:v>
      </x:c>
    </x:row>
    <x:row r="479">
      <x:c r="A479" s="9" t="str">
        <x:v>EV-AR-RT-B-C-TECH-3-B1-INT-G0-ST03</x:v>
      </x:c>
      <x:c r="B479" s="9" t="str">
        <x:v>EV-AR-RT-B-C-TECH-3-B1-INT-G0</x:v>
      </x:c>
      <x:c r="C479" s="9" t="str">
        <x:v>EOW-AR-RT-B-C-TECH-3-B1-INT-G0</x:v>
      </x:c>
      <x:c r="D479" s="9" t="str">
        <x:v>AR-RT-B-C-TECH-3-B1-INT-G0</x:v>
      </x:c>
      <x:c r="E479" s="9" t="str">
        <x:v>RT-B-C-TECH-3</x:v>
      </x:c>
      <x:c r="F479" s="9" t="str">
        <x:v>RT-B-C</x:v>
      </x:c>
      <x:c r="G479" s="9" t="str">
        <x:v>B1</x:v>
      </x:c>
      <x:c r="H479" s="9" t="str">
        <x:v>INT</x:v>
      </x:c>
      <x:c r="I479" s="9" t="n">
        <x:v>2</x:v>
      </x:c>
      <x:c r="J479" s="9" t="n">
        <x:v>4</x:v>
      </x:c>
      <x:c r="K479" s="9" t="str">
        <x:v>RT-B-C-N3</x:v>
      </x:c>
      <x:c r="L479" s="9" t="str">
        <x:v>ST03</x:v>
      </x:c>
      <x:c r="M479" s="17" t="str">
        <x:v>Receiver receipt</x:v>
      </x:c>
      <x:c r="N479" s="17" t="str">
        <x:v>denominator, counterfactual, rights and stop receipt remain unchanged</x:v>
      </x:c>
      <x:c r="O479" s="17" t="str">
        <x:v>Receiver authority</x:v>
      </x:c>
      <x:c r="P479" s="9" t="n">
        <x:v>0</x:v>
      </x:c>
      <x:c r="Q479" s="9" t="n">
        <x:v>0</x:v>
      </x:c>
      <x:c r="R479" s="9" t="str">
        <x:v>OPEN / UNSTARTED</x:v>
      </x:c>
      <x:c r="S479" s="9" t="n">
        <x:f>COUNTIFS($A$7:$A$1446,A479)</x:f>
        <x:v>1</x:v>
      </x:c>
    </x:row>
    <x:row r="480">
      <x:c r="A480" s="9" t="str">
        <x:v>EV-AR-RT-B-C-TECH-3-B1-INT-G0-ST04</x:v>
      </x:c>
      <x:c r="B480" s="9" t="str">
        <x:v>EV-AR-RT-B-C-TECH-3-B1-INT-G0</x:v>
      </x:c>
      <x:c r="C480" s="9" t="str">
        <x:v>EOW-AR-RT-B-C-TECH-3-B1-INT-G0</x:v>
      </x:c>
      <x:c r="D480" s="9" t="str">
        <x:v>AR-RT-B-C-TECH-3-B1-INT-G0</x:v>
      </x:c>
      <x:c r="E480" s="9" t="str">
        <x:v>RT-B-C-TECH-3</x:v>
      </x:c>
      <x:c r="F480" s="9" t="str">
        <x:v>RT-B-C</x:v>
      </x:c>
      <x:c r="G480" s="9" t="str">
        <x:v>B1</x:v>
      </x:c>
      <x:c r="H480" s="9" t="str">
        <x:v>INT</x:v>
      </x:c>
      <x:c r="I480" s="9" t="n">
        <x:v>2</x:v>
      </x:c>
      <x:c r="J480" s="9" t="n">
        <x:v>4</x:v>
      </x:c>
      <x:c r="K480" s="9" t="str">
        <x:v>RT-B-C-N3</x:v>
      </x:c>
      <x:c r="L480" s="9" t="str">
        <x:v>ST04</x:v>
      </x:c>
      <x:c r="M480" s="17" t="str">
        <x:v>Primary capture armed</x:v>
      </x:c>
      <x:c r="N480" s="17" t="str">
        <x:v>primary chain records sealed reference and live time</x:v>
      </x:c>
      <x:c r="O480" s="17" t="str">
        <x:v>Primary metrology</x:v>
      </x:c>
      <x:c r="P480" s="9" t="n">
        <x:v>0</x:v>
      </x:c>
      <x:c r="Q480" s="9" t="n">
        <x:v>0</x:v>
      </x:c>
      <x:c r="R480" s="9" t="str">
        <x:v>OPEN / UNSTARTED</x:v>
      </x:c>
      <x:c r="S480" s="9" t="n">
        <x:f>COUNTIFS($A$7:$A$1446,A480)</x:f>
        <x:v>1</x:v>
      </x:c>
    </x:row>
    <x:row r="481">
      <x:c r="A481" s="9" t="str">
        <x:v>EV-AR-RT-B-C-TECH-3-B1-INT-G0-ST05</x:v>
      </x:c>
      <x:c r="B481" s="9" t="str">
        <x:v>EV-AR-RT-B-C-TECH-3-B1-INT-G0</x:v>
      </x:c>
      <x:c r="C481" s="9" t="str">
        <x:v>EOW-AR-RT-B-C-TECH-3-B1-INT-G0</x:v>
      </x:c>
      <x:c r="D481" s="9" t="str">
        <x:v>AR-RT-B-C-TECH-3-B1-INT-G0</x:v>
      </x:c>
      <x:c r="E481" s="9" t="str">
        <x:v>RT-B-C-TECH-3</x:v>
      </x:c>
      <x:c r="F481" s="9" t="str">
        <x:v>RT-B-C</x:v>
      </x:c>
      <x:c r="G481" s="9" t="str">
        <x:v>B1</x:v>
      </x:c>
      <x:c r="H481" s="9" t="str">
        <x:v>INT</x:v>
      </x:c>
      <x:c r="I481" s="9" t="n">
        <x:v>2</x:v>
      </x:c>
      <x:c r="J481" s="9" t="n">
        <x:v>4</x:v>
      </x:c>
      <x:c r="K481" s="9" t="str">
        <x:v>RT-B-C-N3</x:v>
      </x:c>
      <x:c r="L481" s="9" t="str">
        <x:v>ST05</x:v>
      </x:c>
      <x:c r="M481" s="17" t="str">
        <x:v>Witness capture armed</x:v>
      </x:c>
      <x:c r="N481" s="17" t="str">
        <x:v>unlike witness records independent reference and live time</x:v>
      </x:c>
      <x:c r="O481" s="17" t="str">
        <x:v>Witness metrology</x:v>
      </x:c>
      <x:c r="P481" s="9" t="n">
        <x:v>0</x:v>
      </x:c>
      <x:c r="Q481" s="9" t="n">
        <x:v>0</x:v>
      </x:c>
      <x:c r="R481" s="9" t="str">
        <x:v>OPEN / UNSTARTED</x:v>
      </x:c>
      <x:c r="S481" s="9" t="n">
        <x:f>COUNTIFS($A$7:$A$1446,A481)</x:f>
        <x:v>1</x:v>
      </x:c>
    </x:row>
    <x:row r="482">
      <x:c r="A482" s="9" t="str">
        <x:v>EV-AR-RT-B-C-TECH-3-B1-INT-G0-ST06</x:v>
      </x:c>
      <x:c r="B482" s="9" t="str">
        <x:v>EV-AR-RT-B-C-TECH-3-B1-INT-G0</x:v>
      </x:c>
      <x:c r="C482" s="9" t="str">
        <x:v>EOW-AR-RT-B-C-TECH-3-B1-INT-G0</x:v>
      </x:c>
      <x:c r="D482" s="9" t="str">
        <x:v>AR-RT-B-C-TECH-3-B1-INT-G0</x:v>
      </x:c>
      <x:c r="E482" s="9" t="str">
        <x:v>RT-B-C-TECH-3</x:v>
      </x:c>
      <x:c r="F482" s="9" t="str">
        <x:v>RT-B-C</x:v>
      </x:c>
      <x:c r="G482" s="9" t="str">
        <x:v>B1</x:v>
      </x:c>
      <x:c r="H482" s="9" t="str">
        <x:v>INT</x:v>
      </x:c>
      <x:c r="I482" s="9" t="n">
        <x:v>2</x:v>
      </x:c>
      <x:c r="J482" s="9" t="n">
        <x:v>4</x:v>
      </x:c>
      <x:c r="K482" s="9" t="str">
        <x:v>RT-B-C-N3</x:v>
      </x:c>
      <x:c r="L482" s="9" t="str">
        <x:v>ST06</x:v>
      </x:c>
      <x:c r="M482" s="17" t="str">
        <x:v>Public custody armed</x:v>
      </x:c>
      <x:c r="N482" s="17" t="str">
        <x:v>eight raw origins have separated hash and replica routes</x:v>
      </x:c>
      <x:c r="O482" s="17" t="str">
        <x:v>Custody authority</x:v>
      </x:c>
      <x:c r="P482" s="9" t="n">
        <x:v>0</x:v>
      </x:c>
      <x:c r="Q482" s="9" t="n">
        <x:v>0</x:v>
      </x:c>
      <x:c r="R482" s="9" t="str">
        <x:v>OPEN / UNSTARTED</x:v>
      </x:c>
      <x:c r="S482" s="9" t="n">
        <x:f>COUNTIFS($A$7:$A$1446,A482)</x:f>
        <x:v>1</x:v>
      </x:c>
    </x:row>
    <x:row r="483">
      <x:c r="A483" s="9" t="str">
        <x:v>EV-AR-RT-B-C-TECH-3-B1-INT-G0-ST07</x:v>
      </x:c>
      <x:c r="B483" s="9" t="str">
        <x:v>EV-AR-RT-B-C-TECH-3-B1-INT-G0</x:v>
      </x:c>
      <x:c r="C483" s="9" t="str">
        <x:v>EOW-AR-RT-B-C-TECH-3-B1-INT-G0</x:v>
      </x:c>
      <x:c r="D483" s="9" t="str">
        <x:v>AR-RT-B-C-TECH-3-B1-INT-G0</x:v>
      </x:c>
      <x:c r="E483" s="9" t="str">
        <x:v>RT-B-C-TECH-3</x:v>
      </x:c>
      <x:c r="F483" s="9" t="str">
        <x:v>RT-B-C</x:v>
      </x:c>
      <x:c r="G483" s="9" t="str">
        <x:v>B1</x:v>
      </x:c>
      <x:c r="H483" s="9" t="str">
        <x:v>INT</x:v>
      </x:c>
      <x:c r="I483" s="9" t="n">
        <x:v>2</x:v>
      </x:c>
      <x:c r="J483" s="9" t="n">
        <x:v>4</x:v>
      </x:c>
      <x:c r="K483" s="9" t="str">
        <x:v>RT-B-C-N3</x:v>
      </x:c>
      <x:c r="L483" s="9" t="str">
        <x:v>ST07</x:v>
      </x:c>
      <x:c r="M483" s="17" t="str">
        <x:v>Environmental baseline</x:v>
      </x:c>
      <x:c r="N483" s="17" t="str">
        <x:v>pre-event boundary state is sealed before decisive operation</x:v>
      </x:c>
      <x:c r="O483" s="17" t="str">
        <x:v>Site metrology</x:v>
      </x:c>
      <x:c r="P483" s="9" t="n">
        <x:v>0</x:v>
      </x:c>
      <x:c r="Q483" s="9" t="n">
        <x:v>0</x:v>
      </x:c>
      <x:c r="R483" s="9" t="str">
        <x:v>OPEN / UNSTARTED</x:v>
      </x:c>
      <x:c r="S483" s="9" t="n">
        <x:f>COUNTIFS($A$7:$A$1446,A483)</x:f>
        <x:v>1</x:v>
      </x:c>
    </x:row>
    <x:row r="484">
      <x:c r="A484" s="9" t="str">
        <x:v>EV-AR-RT-B-C-TECH-3-B1-INT-G0-ST08</x:v>
      </x:c>
      <x:c r="B484" s="9" t="str">
        <x:v>EV-AR-RT-B-C-TECH-3-B1-INT-G0</x:v>
      </x:c>
      <x:c r="C484" s="9" t="str">
        <x:v>EOW-AR-RT-B-C-TECH-3-B1-INT-G0</x:v>
      </x:c>
      <x:c r="D484" s="9" t="str">
        <x:v>AR-RT-B-C-TECH-3-B1-INT-G0</x:v>
      </x:c>
      <x:c r="E484" s="9" t="str">
        <x:v>RT-B-C-TECH-3</x:v>
      </x:c>
      <x:c r="F484" s="9" t="str">
        <x:v>RT-B-C</x:v>
      </x:c>
      <x:c r="G484" s="9" t="str">
        <x:v>B1</x:v>
      </x:c>
      <x:c r="H484" s="9" t="str">
        <x:v>INT</x:v>
      </x:c>
      <x:c r="I484" s="9" t="n">
        <x:v>2</x:v>
      </x:c>
      <x:c r="J484" s="9" t="n">
        <x:v>4</x:v>
      </x:c>
      <x:c r="K484" s="9" t="str">
        <x:v>RT-B-C-N3</x:v>
      </x:c>
      <x:c r="L484" s="9" t="str">
        <x:v>ST08</x:v>
      </x:c>
      <x:c r="M484" s="17" t="str">
        <x:v>Manual stop and safety</x:v>
      </x:c>
      <x:c r="N484" s="17" t="str">
        <x:v>local stop, evacuation and protection routes are active</x:v>
      </x:c>
      <x:c r="O484" s="17" t="str">
        <x:v>Safety authority</x:v>
      </x:c>
      <x:c r="P484" s="9" t="n">
        <x:v>0</x:v>
      </x:c>
      <x:c r="Q484" s="9" t="n">
        <x:v>0</x:v>
      </x:c>
      <x:c r="R484" s="9" t="str">
        <x:v>OPEN / UNSTARTED</x:v>
      </x:c>
      <x:c r="S484" s="9" t="n">
        <x:f>COUNTIFS($A$7:$A$1446,A484)</x:f>
        <x:v>1</x:v>
      </x:c>
    </x:row>
    <x:row r="485">
      <x:c r="A485" s="9" t="str">
        <x:v>EV-AR-RT-B-C-TECH-3-B1-INT-G0-ST09</x:v>
      </x:c>
      <x:c r="B485" s="9" t="str">
        <x:v>EV-AR-RT-B-C-TECH-3-B1-INT-G0</x:v>
      </x:c>
      <x:c r="C485" s="9" t="str">
        <x:v>EOW-AR-RT-B-C-TECH-3-B1-INT-G0</x:v>
      </x:c>
      <x:c r="D485" s="9" t="str">
        <x:v>AR-RT-B-C-TECH-3-B1-INT-G0</x:v>
      </x:c>
      <x:c r="E485" s="9" t="str">
        <x:v>RT-B-C-TECH-3</x:v>
      </x:c>
      <x:c r="F485" s="9" t="str">
        <x:v>RT-B-C</x:v>
      </x:c>
      <x:c r="G485" s="9" t="str">
        <x:v>B1</x:v>
      </x:c>
      <x:c r="H485" s="9" t="str">
        <x:v>INT</x:v>
      </x:c>
      <x:c r="I485" s="9" t="n">
        <x:v>2</x:v>
      </x:c>
      <x:c r="J485" s="9" t="n">
        <x:v>4</x:v>
      </x:c>
      <x:c r="K485" s="9" t="str">
        <x:v>RT-B-C-N3</x:v>
      </x:c>
      <x:c r="L485" s="9" t="str">
        <x:v>ST09</x:v>
      </x:c>
      <x:c r="M485" s="17" t="str">
        <x:v>Operator conflict clear</x:v>
      </x:c>
      <x:c r="N485" s="17" t="str">
        <x:v>candidate, fixture, safety and measurement control edges remain separated</x:v>
      </x:c>
      <x:c r="O485" s="17" t="str">
        <x:v>Conflict registrar</x:v>
      </x:c>
      <x:c r="P485" s="9" t="n">
        <x:v>0</x:v>
      </x:c>
      <x:c r="Q485" s="9" t="n">
        <x:v>0</x:v>
      </x:c>
      <x:c r="R485" s="9" t="str">
        <x:v>OPEN / UNSTARTED</x:v>
      </x:c>
      <x:c r="S485" s="9" t="n">
        <x:f>COUNTIFS($A$7:$A$1446,A485)</x:f>
        <x:v>1</x:v>
      </x:c>
    </x:row>
    <x:row r="486">
      <x:c r="A486" s="9" t="str">
        <x:v>EV-AR-RT-B-C-TECH-3-B1-INT-G0-ST10</x:v>
      </x:c>
      <x:c r="B486" s="9" t="str">
        <x:v>EV-AR-RT-B-C-TECH-3-B1-INT-G0</x:v>
      </x:c>
      <x:c r="C486" s="9" t="str">
        <x:v>EOW-AR-RT-B-C-TECH-3-B1-INT-G0</x:v>
      </x:c>
      <x:c r="D486" s="9" t="str">
        <x:v>AR-RT-B-C-TECH-3-B1-INT-G0</x:v>
      </x:c>
      <x:c r="E486" s="9" t="str">
        <x:v>RT-B-C-TECH-3</x:v>
      </x:c>
      <x:c r="F486" s="9" t="str">
        <x:v>RT-B-C</x:v>
      </x:c>
      <x:c r="G486" s="9" t="str">
        <x:v>B1</x:v>
      </x:c>
      <x:c r="H486" s="9" t="str">
        <x:v>INT</x:v>
      </x:c>
      <x:c r="I486" s="9" t="n">
        <x:v>2</x:v>
      </x:c>
      <x:c r="J486" s="9" t="n">
        <x:v>4</x:v>
      </x:c>
      <x:c r="K486" s="9" t="str">
        <x:v>RT-B-C-N3</x:v>
      </x:c>
      <x:c r="L486" s="9" t="str">
        <x:v>ST10</x:v>
      </x:c>
      <x:c r="M486" s="17" t="str">
        <x:v>Window and common clock</x:v>
      </x:c>
      <x:c r="N486" s="17" t="str">
        <x:v>epoch, window and public time origin match the issued warrant</x:v>
      </x:c>
      <x:c r="O486" s="17" t="str">
        <x:v>Event clock authority</x:v>
      </x:c>
      <x:c r="P486" s="9" t="n">
        <x:v>0</x:v>
      </x:c>
      <x:c r="Q486" s="9" t="n">
        <x:v>0</x:v>
      </x:c>
      <x:c r="R486" s="9" t="str">
        <x:v>OPEN / UNSTARTED</x:v>
      </x:c>
      <x:c r="S486" s="9" t="n">
        <x:f>COUNTIFS($A$7:$A$1446,A486)</x:f>
        <x:v>1</x:v>
      </x:c>
    </x:row>
    <x:row r="487">
      <x:c r="A487" s="9" t="str">
        <x:v>EV-AR-CT-C-B-TECH-4-B1-RCN-G0-ST01</x:v>
      </x:c>
      <x:c r="B487" s="9" t="str">
        <x:v>EV-AR-CT-C-B-TECH-4-B1-RCN-G0</x:v>
      </x:c>
      <x:c r="C487" s="9" t="str">
        <x:v>EOW-AR-CT-C-B-TECH-4-B1-RCN-G0</x:v>
      </x:c>
      <x:c r="D487" s="9" t="str">
        <x:v>AR-CT-C-B-TECH-4-B1-RCN-G0</x:v>
      </x:c>
      <x:c r="E487" s="9" t="str">
        <x:v>CT-C-B-TECH-4</x:v>
      </x:c>
      <x:c r="F487" s="9" t="str">
        <x:v>CT-C-B</x:v>
      </x:c>
      <x:c r="G487" s="9" t="str">
        <x:v>B1</x:v>
      </x:c>
      <x:c r="H487" s="9" t="str">
        <x:v>RCN</x:v>
      </x:c>
      <x:c r="I487" s="9" t="n">
        <x:v>3</x:v>
      </x:c>
      <x:c r="J487" s="9" t="n">
        <x:v>1</x:v>
      </x:c>
      <x:c r="K487" s="9" t="str">
        <x:v>CT-C-B-N2</x:v>
      </x:c>
      <x:c r="L487" s="9" t="str">
        <x:v>ST01</x:v>
      </x:c>
      <x:c r="M487" s="17" t="str">
        <x:v>Active opportunity warrant</x:v>
      </x:c>
      <x:c r="N487" s="17" t="str">
        <x:v>configuration-bound EOW is within its thirty-six-hour validity</x:v>
      </x:c>
      <x:c r="O487" s="17" t="str">
        <x:v>Start registrar</x:v>
      </x:c>
      <x:c r="P487" s="9" t="n">
        <x:v>0</x:v>
      </x:c>
      <x:c r="Q487" s="9" t="n">
        <x:v>0</x:v>
      </x:c>
      <x:c r="R487" s="9" t="str">
        <x:v>OPEN / UNSTARTED</x:v>
      </x:c>
      <x:c r="S487" s="9" t="n">
        <x:f>COUNTIFS($A$7:$A$1446,A487)</x:f>
        <x:v>1</x:v>
      </x:c>
    </x:row>
    <x:row r="488">
      <x:c r="A488" s="9" t="str">
        <x:v>EV-AR-CT-C-B-TECH-4-B1-RCN-G0-ST02</x:v>
      </x:c>
      <x:c r="B488" s="9" t="str">
        <x:v>EV-AR-CT-C-B-TECH-4-B1-RCN-G0</x:v>
      </x:c>
      <x:c r="C488" s="9" t="str">
        <x:v>EOW-AR-CT-C-B-TECH-4-B1-RCN-G0</x:v>
      </x:c>
      <x:c r="D488" s="9" t="str">
        <x:v>AR-CT-C-B-TECH-4-B1-RCN-G0</x:v>
      </x:c>
      <x:c r="E488" s="9" t="str">
        <x:v>CT-C-B-TECH-4</x:v>
      </x:c>
      <x:c r="F488" s="9" t="str">
        <x:v>CT-C-B</x:v>
      </x:c>
      <x:c r="G488" s="9" t="str">
        <x:v>B1</x:v>
      </x:c>
      <x:c r="H488" s="9" t="str">
        <x:v>RCN</x:v>
      </x:c>
      <x:c r="I488" s="9" t="n">
        <x:v>3</x:v>
      </x:c>
      <x:c r="J488" s="9" t="n">
        <x:v>1</x:v>
      </x:c>
      <x:c r="K488" s="9" t="str">
        <x:v>CT-C-B-N2</x:v>
      </x:c>
      <x:c r="L488" s="9" t="str">
        <x:v>ST02</x:v>
      </x:c>
      <x:c r="M488" s="17" t="str">
        <x:v>Frozen identity</x:v>
      </x:c>
      <x:c r="N488" s="17" t="str">
        <x:v>serial, generation, fixture, site, receiver and digest match the warrant</x:v>
      </x:c>
      <x:c r="O488" s="17" t="str">
        <x:v>Custody authority</x:v>
      </x:c>
      <x:c r="P488" s="9" t="n">
        <x:v>0</x:v>
      </x:c>
      <x:c r="Q488" s="9" t="n">
        <x:v>0</x:v>
      </x:c>
      <x:c r="R488" s="9" t="str">
        <x:v>OPEN / UNSTARTED</x:v>
      </x:c>
      <x:c r="S488" s="9" t="n">
        <x:f>COUNTIFS($A$7:$A$1446,A488)</x:f>
        <x:v>1</x:v>
      </x:c>
    </x:row>
    <x:row r="489">
      <x:c r="A489" s="9" t="str">
        <x:v>EV-AR-CT-C-B-TECH-4-B1-RCN-G0-ST03</x:v>
      </x:c>
      <x:c r="B489" s="9" t="str">
        <x:v>EV-AR-CT-C-B-TECH-4-B1-RCN-G0</x:v>
      </x:c>
      <x:c r="C489" s="9" t="str">
        <x:v>EOW-AR-CT-C-B-TECH-4-B1-RCN-G0</x:v>
      </x:c>
      <x:c r="D489" s="9" t="str">
        <x:v>AR-CT-C-B-TECH-4-B1-RCN-G0</x:v>
      </x:c>
      <x:c r="E489" s="9" t="str">
        <x:v>CT-C-B-TECH-4</x:v>
      </x:c>
      <x:c r="F489" s="9" t="str">
        <x:v>CT-C-B</x:v>
      </x:c>
      <x:c r="G489" s="9" t="str">
        <x:v>B1</x:v>
      </x:c>
      <x:c r="H489" s="9" t="str">
        <x:v>RCN</x:v>
      </x:c>
      <x:c r="I489" s="9" t="n">
        <x:v>3</x:v>
      </x:c>
      <x:c r="J489" s="9" t="n">
        <x:v>1</x:v>
      </x:c>
      <x:c r="K489" s="9" t="str">
        <x:v>CT-C-B-N2</x:v>
      </x:c>
      <x:c r="L489" s="9" t="str">
        <x:v>ST03</x:v>
      </x:c>
      <x:c r="M489" s="17" t="str">
        <x:v>Receiver receipt</x:v>
      </x:c>
      <x:c r="N489" s="17" t="str">
        <x:v>denominator, counterfactual, rights and stop receipt remain unchanged</x:v>
      </x:c>
      <x:c r="O489" s="17" t="str">
        <x:v>Receiver authority</x:v>
      </x:c>
      <x:c r="P489" s="9" t="n">
        <x:v>0</x:v>
      </x:c>
      <x:c r="Q489" s="9" t="n">
        <x:v>0</x:v>
      </x:c>
      <x:c r="R489" s="9" t="str">
        <x:v>OPEN / UNSTARTED</x:v>
      </x:c>
      <x:c r="S489" s="9" t="n">
        <x:f>COUNTIFS($A$7:$A$1446,A489)</x:f>
        <x:v>1</x:v>
      </x:c>
    </x:row>
    <x:row r="490">
      <x:c r="A490" s="9" t="str">
        <x:v>EV-AR-CT-C-B-TECH-4-B1-RCN-G0-ST04</x:v>
      </x:c>
      <x:c r="B490" s="9" t="str">
        <x:v>EV-AR-CT-C-B-TECH-4-B1-RCN-G0</x:v>
      </x:c>
      <x:c r="C490" s="9" t="str">
        <x:v>EOW-AR-CT-C-B-TECH-4-B1-RCN-G0</x:v>
      </x:c>
      <x:c r="D490" s="9" t="str">
        <x:v>AR-CT-C-B-TECH-4-B1-RCN-G0</x:v>
      </x:c>
      <x:c r="E490" s="9" t="str">
        <x:v>CT-C-B-TECH-4</x:v>
      </x:c>
      <x:c r="F490" s="9" t="str">
        <x:v>CT-C-B</x:v>
      </x:c>
      <x:c r="G490" s="9" t="str">
        <x:v>B1</x:v>
      </x:c>
      <x:c r="H490" s="9" t="str">
        <x:v>RCN</x:v>
      </x:c>
      <x:c r="I490" s="9" t="n">
        <x:v>3</x:v>
      </x:c>
      <x:c r="J490" s="9" t="n">
        <x:v>1</x:v>
      </x:c>
      <x:c r="K490" s="9" t="str">
        <x:v>CT-C-B-N2</x:v>
      </x:c>
      <x:c r="L490" s="9" t="str">
        <x:v>ST04</x:v>
      </x:c>
      <x:c r="M490" s="17" t="str">
        <x:v>Primary capture armed</x:v>
      </x:c>
      <x:c r="N490" s="17" t="str">
        <x:v>primary chain records sealed reference and live time</x:v>
      </x:c>
      <x:c r="O490" s="17" t="str">
        <x:v>Primary metrology</x:v>
      </x:c>
      <x:c r="P490" s="9" t="n">
        <x:v>0</x:v>
      </x:c>
      <x:c r="Q490" s="9" t="n">
        <x:v>0</x:v>
      </x:c>
      <x:c r="R490" s="9" t="str">
        <x:v>OPEN / UNSTARTED</x:v>
      </x:c>
      <x:c r="S490" s="9" t="n">
        <x:f>COUNTIFS($A$7:$A$1446,A490)</x:f>
        <x:v>1</x:v>
      </x:c>
    </x:row>
    <x:row r="491">
      <x:c r="A491" s="9" t="str">
        <x:v>EV-AR-CT-C-B-TECH-4-B1-RCN-G0-ST05</x:v>
      </x:c>
      <x:c r="B491" s="9" t="str">
        <x:v>EV-AR-CT-C-B-TECH-4-B1-RCN-G0</x:v>
      </x:c>
      <x:c r="C491" s="9" t="str">
        <x:v>EOW-AR-CT-C-B-TECH-4-B1-RCN-G0</x:v>
      </x:c>
      <x:c r="D491" s="9" t="str">
        <x:v>AR-CT-C-B-TECH-4-B1-RCN-G0</x:v>
      </x:c>
      <x:c r="E491" s="9" t="str">
        <x:v>CT-C-B-TECH-4</x:v>
      </x:c>
      <x:c r="F491" s="9" t="str">
        <x:v>CT-C-B</x:v>
      </x:c>
      <x:c r="G491" s="9" t="str">
        <x:v>B1</x:v>
      </x:c>
      <x:c r="H491" s="9" t="str">
        <x:v>RCN</x:v>
      </x:c>
      <x:c r="I491" s="9" t="n">
        <x:v>3</x:v>
      </x:c>
      <x:c r="J491" s="9" t="n">
        <x:v>1</x:v>
      </x:c>
      <x:c r="K491" s="9" t="str">
        <x:v>CT-C-B-N2</x:v>
      </x:c>
      <x:c r="L491" s="9" t="str">
        <x:v>ST05</x:v>
      </x:c>
      <x:c r="M491" s="17" t="str">
        <x:v>Witness capture armed</x:v>
      </x:c>
      <x:c r="N491" s="17" t="str">
        <x:v>unlike witness records independent reference and live time</x:v>
      </x:c>
      <x:c r="O491" s="17" t="str">
        <x:v>Witness metrology</x:v>
      </x:c>
      <x:c r="P491" s="9" t="n">
        <x:v>0</x:v>
      </x:c>
      <x:c r="Q491" s="9" t="n">
        <x:v>0</x:v>
      </x:c>
      <x:c r="R491" s="9" t="str">
        <x:v>OPEN / UNSTARTED</x:v>
      </x:c>
      <x:c r="S491" s="9" t="n">
        <x:f>COUNTIFS($A$7:$A$1446,A491)</x:f>
        <x:v>1</x:v>
      </x:c>
    </x:row>
    <x:row r="492">
      <x:c r="A492" s="9" t="str">
        <x:v>EV-AR-CT-C-B-TECH-4-B1-RCN-G0-ST06</x:v>
      </x:c>
      <x:c r="B492" s="9" t="str">
        <x:v>EV-AR-CT-C-B-TECH-4-B1-RCN-G0</x:v>
      </x:c>
      <x:c r="C492" s="9" t="str">
        <x:v>EOW-AR-CT-C-B-TECH-4-B1-RCN-G0</x:v>
      </x:c>
      <x:c r="D492" s="9" t="str">
        <x:v>AR-CT-C-B-TECH-4-B1-RCN-G0</x:v>
      </x:c>
      <x:c r="E492" s="9" t="str">
        <x:v>CT-C-B-TECH-4</x:v>
      </x:c>
      <x:c r="F492" s="9" t="str">
        <x:v>CT-C-B</x:v>
      </x:c>
      <x:c r="G492" s="9" t="str">
        <x:v>B1</x:v>
      </x:c>
      <x:c r="H492" s="9" t="str">
        <x:v>RCN</x:v>
      </x:c>
      <x:c r="I492" s="9" t="n">
        <x:v>3</x:v>
      </x:c>
      <x:c r="J492" s="9" t="n">
        <x:v>1</x:v>
      </x:c>
      <x:c r="K492" s="9" t="str">
        <x:v>CT-C-B-N2</x:v>
      </x:c>
      <x:c r="L492" s="9" t="str">
        <x:v>ST06</x:v>
      </x:c>
      <x:c r="M492" s="17" t="str">
        <x:v>Public custody armed</x:v>
      </x:c>
      <x:c r="N492" s="17" t="str">
        <x:v>eight raw origins have separated hash and replica routes</x:v>
      </x:c>
      <x:c r="O492" s="17" t="str">
        <x:v>Custody authority</x:v>
      </x:c>
      <x:c r="P492" s="9" t="n">
        <x:v>0</x:v>
      </x:c>
      <x:c r="Q492" s="9" t="n">
        <x:v>0</x:v>
      </x:c>
      <x:c r="R492" s="9" t="str">
        <x:v>OPEN / UNSTARTED</x:v>
      </x:c>
      <x:c r="S492" s="9" t="n">
        <x:f>COUNTIFS($A$7:$A$1446,A492)</x:f>
        <x:v>1</x:v>
      </x:c>
    </x:row>
    <x:row r="493">
      <x:c r="A493" s="9" t="str">
        <x:v>EV-AR-CT-C-B-TECH-4-B1-RCN-G0-ST07</x:v>
      </x:c>
      <x:c r="B493" s="9" t="str">
        <x:v>EV-AR-CT-C-B-TECH-4-B1-RCN-G0</x:v>
      </x:c>
      <x:c r="C493" s="9" t="str">
        <x:v>EOW-AR-CT-C-B-TECH-4-B1-RCN-G0</x:v>
      </x:c>
      <x:c r="D493" s="9" t="str">
        <x:v>AR-CT-C-B-TECH-4-B1-RCN-G0</x:v>
      </x:c>
      <x:c r="E493" s="9" t="str">
        <x:v>CT-C-B-TECH-4</x:v>
      </x:c>
      <x:c r="F493" s="9" t="str">
        <x:v>CT-C-B</x:v>
      </x:c>
      <x:c r="G493" s="9" t="str">
        <x:v>B1</x:v>
      </x:c>
      <x:c r="H493" s="9" t="str">
        <x:v>RCN</x:v>
      </x:c>
      <x:c r="I493" s="9" t="n">
        <x:v>3</x:v>
      </x:c>
      <x:c r="J493" s="9" t="n">
        <x:v>1</x:v>
      </x:c>
      <x:c r="K493" s="9" t="str">
        <x:v>CT-C-B-N2</x:v>
      </x:c>
      <x:c r="L493" s="9" t="str">
        <x:v>ST07</x:v>
      </x:c>
      <x:c r="M493" s="17" t="str">
        <x:v>Environmental baseline</x:v>
      </x:c>
      <x:c r="N493" s="17" t="str">
        <x:v>pre-event boundary state is sealed before decisive operation</x:v>
      </x:c>
      <x:c r="O493" s="17" t="str">
        <x:v>Site metrology</x:v>
      </x:c>
      <x:c r="P493" s="9" t="n">
        <x:v>0</x:v>
      </x:c>
      <x:c r="Q493" s="9" t="n">
        <x:v>0</x:v>
      </x:c>
      <x:c r="R493" s="9" t="str">
        <x:v>OPEN / UNSTARTED</x:v>
      </x:c>
      <x:c r="S493" s="9" t="n">
        <x:f>COUNTIFS($A$7:$A$1446,A493)</x:f>
        <x:v>1</x:v>
      </x:c>
    </x:row>
    <x:row r="494">
      <x:c r="A494" s="9" t="str">
        <x:v>EV-AR-CT-C-B-TECH-4-B1-RCN-G0-ST08</x:v>
      </x:c>
      <x:c r="B494" s="9" t="str">
        <x:v>EV-AR-CT-C-B-TECH-4-B1-RCN-G0</x:v>
      </x:c>
      <x:c r="C494" s="9" t="str">
        <x:v>EOW-AR-CT-C-B-TECH-4-B1-RCN-G0</x:v>
      </x:c>
      <x:c r="D494" s="9" t="str">
        <x:v>AR-CT-C-B-TECH-4-B1-RCN-G0</x:v>
      </x:c>
      <x:c r="E494" s="9" t="str">
        <x:v>CT-C-B-TECH-4</x:v>
      </x:c>
      <x:c r="F494" s="9" t="str">
        <x:v>CT-C-B</x:v>
      </x:c>
      <x:c r="G494" s="9" t="str">
        <x:v>B1</x:v>
      </x:c>
      <x:c r="H494" s="9" t="str">
        <x:v>RCN</x:v>
      </x:c>
      <x:c r="I494" s="9" t="n">
        <x:v>3</x:v>
      </x:c>
      <x:c r="J494" s="9" t="n">
        <x:v>1</x:v>
      </x:c>
      <x:c r="K494" s="9" t="str">
        <x:v>CT-C-B-N2</x:v>
      </x:c>
      <x:c r="L494" s="9" t="str">
        <x:v>ST08</x:v>
      </x:c>
      <x:c r="M494" s="17" t="str">
        <x:v>Manual stop and safety</x:v>
      </x:c>
      <x:c r="N494" s="17" t="str">
        <x:v>local stop, evacuation and protection routes are active</x:v>
      </x:c>
      <x:c r="O494" s="17" t="str">
        <x:v>Safety authority</x:v>
      </x:c>
      <x:c r="P494" s="9" t="n">
        <x:v>0</x:v>
      </x:c>
      <x:c r="Q494" s="9" t="n">
        <x:v>0</x:v>
      </x:c>
      <x:c r="R494" s="9" t="str">
        <x:v>OPEN / UNSTARTED</x:v>
      </x:c>
      <x:c r="S494" s="9" t="n">
        <x:f>COUNTIFS($A$7:$A$1446,A494)</x:f>
        <x:v>1</x:v>
      </x:c>
    </x:row>
    <x:row r="495">
      <x:c r="A495" s="9" t="str">
        <x:v>EV-AR-CT-C-B-TECH-4-B1-RCN-G0-ST09</x:v>
      </x:c>
      <x:c r="B495" s="9" t="str">
        <x:v>EV-AR-CT-C-B-TECH-4-B1-RCN-G0</x:v>
      </x:c>
      <x:c r="C495" s="9" t="str">
        <x:v>EOW-AR-CT-C-B-TECH-4-B1-RCN-G0</x:v>
      </x:c>
      <x:c r="D495" s="9" t="str">
        <x:v>AR-CT-C-B-TECH-4-B1-RCN-G0</x:v>
      </x:c>
      <x:c r="E495" s="9" t="str">
        <x:v>CT-C-B-TECH-4</x:v>
      </x:c>
      <x:c r="F495" s="9" t="str">
        <x:v>CT-C-B</x:v>
      </x:c>
      <x:c r="G495" s="9" t="str">
        <x:v>B1</x:v>
      </x:c>
      <x:c r="H495" s="9" t="str">
        <x:v>RCN</x:v>
      </x:c>
      <x:c r="I495" s="9" t="n">
        <x:v>3</x:v>
      </x:c>
      <x:c r="J495" s="9" t="n">
        <x:v>1</x:v>
      </x:c>
      <x:c r="K495" s="9" t="str">
        <x:v>CT-C-B-N2</x:v>
      </x:c>
      <x:c r="L495" s="9" t="str">
        <x:v>ST09</x:v>
      </x:c>
      <x:c r="M495" s="17" t="str">
        <x:v>Operator conflict clear</x:v>
      </x:c>
      <x:c r="N495" s="17" t="str">
        <x:v>candidate, fixture, safety and measurement control edges remain separated</x:v>
      </x:c>
      <x:c r="O495" s="17" t="str">
        <x:v>Conflict registrar</x:v>
      </x:c>
      <x:c r="P495" s="9" t="n">
        <x:v>0</x:v>
      </x:c>
      <x:c r="Q495" s="9" t="n">
        <x:v>0</x:v>
      </x:c>
      <x:c r="R495" s="9" t="str">
        <x:v>OPEN / UNSTARTED</x:v>
      </x:c>
      <x:c r="S495" s="9" t="n">
        <x:f>COUNTIFS($A$7:$A$1446,A495)</x:f>
        <x:v>1</x:v>
      </x:c>
    </x:row>
    <x:row r="496">
      <x:c r="A496" s="9" t="str">
        <x:v>EV-AR-CT-C-B-TECH-4-B1-RCN-G0-ST10</x:v>
      </x:c>
      <x:c r="B496" s="9" t="str">
        <x:v>EV-AR-CT-C-B-TECH-4-B1-RCN-G0</x:v>
      </x:c>
      <x:c r="C496" s="9" t="str">
        <x:v>EOW-AR-CT-C-B-TECH-4-B1-RCN-G0</x:v>
      </x:c>
      <x:c r="D496" s="9" t="str">
        <x:v>AR-CT-C-B-TECH-4-B1-RCN-G0</x:v>
      </x:c>
      <x:c r="E496" s="9" t="str">
        <x:v>CT-C-B-TECH-4</x:v>
      </x:c>
      <x:c r="F496" s="9" t="str">
        <x:v>CT-C-B</x:v>
      </x:c>
      <x:c r="G496" s="9" t="str">
        <x:v>B1</x:v>
      </x:c>
      <x:c r="H496" s="9" t="str">
        <x:v>RCN</x:v>
      </x:c>
      <x:c r="I496" s="9" t="n">
        <x:v>3</x:v>
      </x:c>
      <x:c r="J496" s="9" t="n">
        <x:v>1</x:v>
      </x:c>
      <x:c r="K496" s="9" t="str">
        <x:v>CT-C-B-N2</x:v>
      </x:c>
      <x:c r="L496" s="9" t="str">
        <x:v>ST10</x:v>
      </x:c>
      <x:c r="M496" s="17" t="str">
        <x:v>Window and common clock</x:v>
      </x:c>
      <x:c r="N496" s="17" t="str">
        <x:v>epoch, window and public time origin match the issued warrant</x:v>
      </x:c>
      <x:c r="O496" s="17" t="str">
        <x:v>Event clock authority</x:v>
      </x:c>
      <x:c r="P496" s="9" t="n">
        <x:v>0</x:v>
      </x:c>
      <x:c r="Q496" s="9" t="n">
        <x:v>0</x:v>
      </x:c>
      <x:c r="R496" s="9" t="str">
        <x:v>OPEN / UNSTARTED</x:v>
      </x:c>
      <x:c r="S496" s="9" t="n">
        <x:f>COUNTIFS($A$7:$A$1446,A496)</x:f>
        <x:v>1</x:v>
      </x:c>
    </x:row>
    <x:row r="497">
      <x:c r="A497" s="9" t="str">
        <x:v>EV-AR-CT-C-B-TECH-2-B1-INT-G0-ST01</x:v>
      </x:c>
      <x:c r="B497" s="9" t="str">
        <x:v>EV-AR-CT-C-B-TECH-2-B1-INT-G0</x:v>
      </x:c>
      <x:c r="C497" s="9" t="str">
        <x:v>EOW-AR-CT-C-B-TECH-2-B1-INT-G0</x:v>
      </x:c>
      <x:c r="D497" s="9" t="str">
        <x:v>AR-CT-C-B-TECH-2-B1-INT-G0</x:v>
      </x:c>
      <x:c r="E497" s="9" t="str">
        <x:v>CT-C-B-TECH-2</x:v>
      </x:c>
      <x:c r="F497" s="9" t="str">
        <x:v>CT-C-B</x:v>
      </x:c>
      <x:c r="G497" s="9" t="str">
        <x:v>B1</x:v>
      </x:c>
      <x:c r="H497" s="9" t="str">
        <x:v>INT</x:v>
      </x:c>
      <x:c r="I497" s="9" t="n">
        <x:v>3</x:v>
      </x:c>
      <x:c r="J497" s="9" t="n">
        <x:v>1</x:v>
      </x:c>
      <x:c r="K497" s="9" t="str">
        <x:v>CT-C-B-N3</x:v>
      </x:c>
      <x:c r="L497" s="9" t="str">
        <x:v>ST01</x:v>
      </x:c>
      <x:c r="M497" s="17" t="str">
        <x:v>Active opportunity warrant</x:v>
      </x:c>
      <x:c r="N497" s="17" t="str">
        <x:v>configuration-bound EOW is within its thirty-six-hour validity</x:v>
      </x:c>
      <x:c r="O497" s="17" t="str">
        <x:v>Start registrar</x:v>
      </x:c>
      <x:c r="P497" s="9" t="n">
        <x:v>0</x:v>
      </x:c>
      <x:c r="Q497" s="9" t="n">
        <x:v>0</x:v>
      </x:c>
      <x:c r="R497" s="9" t="str">
        <x:v>OPEN / UNSTARTED</x:v>
      </x:c>
      <x:c r="S497" s="9" t="n">
        <x:f>COUNTIFS($A$7:$A$1446,A497)</x:f>
        <x:v>1</x:v>
      </x:c>
    </x:row>
    <x:row r="498">
      <x:c r="A498" s="9" t="str">
        <x:v>EV-AR-CT-C-B-TECH-2-B1-INT-G0-ST02</x:v>
      </x:c>
      <x:c r="B498" s="9" t="str">
        <x:v>EV-AR-CT-C-B-TECH-2-B1-INT-G0</x:v>
      </x:c>
      <x:c r="C498" s="9" t="str">
        <x:v>EOW-AR-CT-C-B-TECH-2-B1-INT-G0</x:v>
      </x:c>
      <x:c r="D498" s="9" t="str">
        <x:v>AR-CT-C-B-TECH-2-B1-INT-G0</x:v>
      </x:c>
      <x:c r="E498" s="9" t="str">
        <x:v>CT-C-B-TECH-2</x:v>
      </x:c>
      <x:c r="F498" s="9" t="str">
        <x:v>CT-C-B</x:v>
      </x:c>
      <x:c r="G498" s="9" t="str">
        <x:v>B1</x:v>
      </x:c>
      <x:c r="H498" s="9" t="str">
        <x:v>INT</x:v>
      </x:c>
      <x:c r="I498" s="9" t="n">
        <x:v>3</x:v>
      </x:c>
      <x:c r="J498" s="9" t="n">
        <x:v>1</x:v>
      </x:c>
      <x:c r="K498" s="9" t="str">
        <x:v>CT-C-B-N3</x:v>
      </x:c>
      <x:c r="L498" s="9" t="str">
        <x:v>ST02</x:v>
      </x:c>
      <x:c r="M498" s="17" t="str">
        <x:v>Frozen identity</x:v>
      </x:c>
      <x:c r="N498" s="17" t="str">
        <x:v>serial, generation, fixture, site, receiver and digest match the warrant</x:v>
      </x:c>
      <x:c r="O498" s="17" t="str">
        <x:v>Custody authority</x:v>
      </x:c>
      <x:c r="P498" s="9" t="n">
        <x:v>0</x:v>
      </x:c>
      <x:c r="Q498" s="9" t="n">
        <x:v>0</x:v>
      </x:c>
      <x:c r="R498" s="9" t="str">
        <x:v>OPEN / UNSTARTED</x:v>
      </x:c>
      <x:c r="S498" s="9" t="n">
        <x:f>COUNTIFS($A$7:$A$1446,A498)</x:f>
        <x:v>1</x:v>
      </x:c>
    </x:row>
    <x:row r="499">
      <x:c r="A499" s="9" t="str">
        <x:v>EV-AR-CT-C-B-TECH-2-B1-INT-G0-ST03</x:v>
      </x:c>
      <x:c r="B499" s="9" t="str">
        <x:v>EV-AR-CT-C-B-TECH-2-B1-INT-G0</x:v>
      </x:c>
      <x:c r="C499" s="9" t="str">
        <x:v>EOW-AR-CT-C-B-TECH-2-B1-INT-G0</x:v>
      </x:c>
      <x:c r="D499" s="9" t="str">
        <x:v>AR-CT-C-B-TECH-2-B1-INT-G0</x:v>
      </x:c>
      <x:c r="E499" s="9" t="str">
        <x:v>CT-C-B-TECH-2</x:v>
      </x:c>
      <x:c r="F499" s="9" t="str">
        <x:v>CT-C-B</x:v>
      </x:c>
      <x:c r="G499" s="9" t="str">
        <x:v>B1</x:v>
      </x:c>
      <x:c r="H499" s="9" t="str">
        <x:v>INT</x:v>
      </x:c>
      <x:c r="I499" s="9" t="n">
        <x:v>3</x:v>
      </x:c>
      <x:c r="J499" s="9" t="n">
        <x:v>1</x:v>
      </x:c>
      <x:c r="K499" s="9" t="str">
        <x:v>CT-C-B-N3</x:v>
      </x:c>
      <x:c r="L499" s="9" t="str">
        <x:v>ST03</x:v>
      </x:c>
      <x:c r="M499" s="17" t="str">
        <x:v>Receiver receipt</x:v>
      </x:c>
      <x:c r="N499" s="17" t="str">
        <x:v>denominator, counterfactual, rights and stop receipt remain unchanged</x:v>
      </x:c>
      <x:c r="O499" s="17" t="str">
        <x:v>Receiver authority</x:v>
      </x:c>
      <x:c r="P499" s="9" t="n">
        <x:v>0</x:v>
      </x:c>
      <x:c r="Q499" s="9" t="n">
        <x:v>0</x:v>
      </x:c>
      <x:c r="R499" s="9" t="str">
        <x:v>OPEN / UNSTARTED</x:v>
      </x:c>
      <x:c r="S499" s="9" t="n">
        <x:f>COUNTIFS($A$7:$A$1446,A499)</x:f>
        <x:v>1</x:v>
      </x:c>
    </x:row>
    <x:row r="500">
      <x:c r="A500" s="9" t="str">
        <x:v>EV-AR-CT-C-B-TECH-2-B1-INT-G0-ST04</x:v>
      </x:c>
      <x:c r="B500" s="9" t="str">
        <x:v>EV-AR-CT-C-B-TECH-2-B1-INT-G0</x:v>
      </x:c>
      <x:c r="C500" s="9" t="str">
        <x:v>EOW-AR-CT-C-B-TECH-2-B1-INT-G0</x:v>
      </x:c>
      <x:c r="D500" s="9" t="str">
        <x:v>AR-CT-C-B-TECH-2-B1-INT-G0</x:v>
      </x:c>
      <x:c r="E500" s="9" t="str">
        <x:v>CT-C-B-TECH-2</x:v>
      </x:c>
      <x:c r="F500" s="9" t="str">
        <x:v>CT-C-B</x:v>
      </x:c>
      <x:c r="G500" s="9" t="str">
        <x:v>B1</x:v>
      </x:c>
      <x:c r="H500" s="9" t="str">
        <x:v>INT</x:v>
      </x:c>
      <x:c r="I500" s="9" t="n">
        <x:v>3</x:v>
      </x:c>
      <x:c r="J500" s="9" t="n">
        <x:v>1</x:v>
      </x:c>
      <x:c r="K500" s="9" t="str">
        <x:v>CT-C-B-N3</x:v>
      </x:c>
      <x:c r="L500" s="9" t="str">
        <x:v>ST04</x:v>
      </x:c>
      <x:c r="M500" s="17" t="str">
        <x:v>Primary capture armed</x:v>
      </x:c>
      <x:c r="N500" s="17" t="str">
        <x:v>primary chain records sealed reference and live time</x:v>
      </x:c>
      <x:c r="O500" s="17" t="str">
        <x:v>Primary metrology</x:v>
      </x:c>
      <x:c r="P500" s="9" t="n">
        <x:v>0</x:v>
      </x:c>
      <x:c r="Q500" s="9" t="n">
        <x:v>0</x:v>
      </x:c>
      <x:c r="R500" s="9" t="str">
        <x:v>OPEN / UNSTARTED</x:v>
      </x:c>
      <x:c r="S500" s="9" t="n">
        <x:f>COUNTIFS($A$7:$A$1446,A500)</x:f>
        <x:v>1</x:v>
      </x:c>
    </x:row>
    <x:row r="501">
      <x:c r="A501" s="9" t="str">
        <x:v>EV-AR-CT-C-B-TECH-2-B1-INT-G0-ST05</x:v>
      </x:c>
      <x:c r="B501" s="9" t="str">
        <x:v>EV-AR-CT-C-B-TECH-2-B1-INT-G0</x:v>
      </x:c>
      <x:c r="C501" s="9" t="str">
        <x:v>EOW-AR-CT-C-B-TECH-2-B1-INT-G0</x:v>
      </x:c>
      <x:c r="D501" s="9" t="str">
        <x:v>AR-CT-C-B-TECH-2-B1-INT-G0</x:v>
      </x:c>
      <x:c r="E501" s="9" t="str">
        <x:v>CT-C-B-TECH-2</x:v>
      </x:c>
      <x:c r="F501" s="9" t="str">
        <x:v>CT-C-B</x:v>
      </x:c>
      <x:c r="G501" s="9" t="str">
        <x:v>B1</x:v>
      </x:c>
      <x:c r="H501" s="9" t="str">
        <x:v>INT</x:v>
      </x:c>
      <x:c r="I501" s="9" t="n">
        <x:v>3</x:v>
      </x:c>
      <x:c r="J501" s="9" t="n">
        <x:v>1</x:v>
      </x:c>
      <x:c r="K501" s="9" t="str">
        <x:v>CT-C-B-N3</x:v>
      </x:c>
      <x:c r="L501" s="9" t="str">
        <x:v>ST05</x:v>
      </x:c>
      <x:c r="M501" s="17" t="str">
        <x:v>Witness capture armed</x:v>
      </x:c>
      <x:c r="N501" s="17" t="str">
        <x:v>unlike witness records independent reference and live time</x:v>
      </x:c>
      <x:c r="O501" s="17" t="str">
        <x:v>Witness metrology</x:v>
      </x:c>
      <x:c r="P501" s="9" t="n">
        <x:v>0</x:v>
      </x:c>
      <x:c r="Q501" s="9" t="n">
        <x:v>0</x:v>
      </x:c>
      <x:c r="R501" s="9" t="str">
        <x:v>OPEN / UNSTARTED</x:v>
      </x:c>
      <x:c r="S501" s="9" t="n">
        <x:f>COUNTIFS($A$7:$A$1446,A501)</x:f>
        <x:v>1</x:v>
      </x:c>
    </x:row>
    <x:row r="502">
      <x:c r="A502" s="9" t="str">
        <x:v>EV-AR-CT-C-B-TECH-2-B1-INT-G0-ST06</x:v>
      </x:c>
      <x:c r="B502" s="9" t="str">
        <x:v>EV-AR-CT-C-B-TECH-2-B1-INT-G0</x:v>
      </x:c>
      <x:c r="C502" s="9" t="str">
        <x:v>EOW-AR-CT-C-B-TECH-2-B1-INT-G0</x:v>
      </x:c>
      <x:c r="D502" s="9" t="str">
        <x:v>AR-CT-C-B-TECH-2-B1-INT-G0</x:v>
      </x:c>
      <x:c r="E502" s="9" t="str">
        <x:v>CT-C-B-TECH-2</x:v>
      </x:c>
      <x:c r="F502" s="9" t="str">
        <x:v>CT-C-B</x:v>
      </x:c>
      <x:c r="G502" s="9" t="str">
        <x:v>B1</x:v>
      </x:c>
      <x:c r="H502" s="9" t="str">
        <x:v>INT</x:v>
      </x:c>
      <x:c r="I502" s="9" t="n">
        <x:v>3</x:v>
      </x:c>
      <x:c r="J502" s="9" t="n">
        <x:v>1</x:v>
      </x:c>
      <x:c r="K502" s="9" t="str">
        <x:v>CT-C-B-N3</x:v>
      </x:c>
      <x:c r="L502" s="9" t="str">
        <x:v>ST06</x:v>
      </x:c>
      <x:c r="M502" s="17" t="str">
        <x:v>Public custody armed</x:v>
      </x:c>
      <x:c r="N502" s="17" t="str">
        <x:v>eight raw origins have separated hash and replica routes</x:v>
      </x:c>
      <x:c r="O502" s="17" t="str">
        <x:v>Custody authority</x:v>
      </x:c>
      <x:c r="P502" s="9" t="n">
        <x:v>0</x:v>
      </x:c>
      <x:c r="Q502" s="9" t="n">
        <x:v>0</x:v>
      </x:c>
      <x:c r="R502" s="9" t="str">
        <x:v>OPEN / UNSTARTED</x:v>
      </x:c>
      <x:c r="S502" s="9" t="n">
        <x:f>COUNTIFS($A$7:$A$1446,A502)</x:f>
        <x:v>1</x:v>
      </x:c>
    </x:row>
    <x:row r="503">
      <x:c r="A503" s="9" t="str">
        <x:v>EV-AR-CT-C-B-TECH-2-B1-INT-G0-ST07</x:v>
      </x:c>
      <x:c r="B503" s="9" t="str">
        <x:v>EV-AR-CT-C-B-TECH-2-B1-INT-G0</x:v>
      </x:c>
      <x:c r="C503" s="9" t="str">
        <x:v>EOW-AR-CT-C-B-TECH-2-B1-INT-G0</x:v>
      </x:c>
      <x:c r="D503" s="9" t="str">
        <x:v>AR-CT-C-B-TECH-2-B1-INT-G0</x:v>
      </x:c>
      <x:c r="E503" s="9" t="str">
        <x:v>CT-C-B-TECH-2</x:v>
      </x:c>
      <x:c r="F503" s="9" t="str">
        <x:v>CT-C-B</x:v>
      </x:c>
      <x:c r="G503" s="9" t="str">
        <x:v>B1</x:v>
      </x:c>
      <x:c r="H503" s="9" t="str">
        <x:v>INT</x:v>
      </x:c>
      <x:c r="I503" s="9" t="n">
        <x:v>3</x:v>
      </x:c>
      <x:c r="J503" s="9" t="n">
        <x:v>1</x:v>
      </x:c>
      <x:c r="K503" s="9" t="str">
        <x:v>CT-C-B-N3</x:v>
      </x:c>
      <x:c r="L503" s="9" t="str">
        <x:v>ST07</x:v>
      </x:c>
      <x:c r="M503" s="17" t="str">
        <x:v>Environmental baseline</x:v>
      </x:c>
      <x:c r="N503" s="17" t="str">
        <x:v>pre-event boundary state is sealed before decisive operation</x:v>
      </x:c>
      <x:c r="O503" s="17" t="str">
        <x:v>Site metrology</x:v>
      </x:c>
      <x:c r="P503" s="9" t="n">
        <x:v>0</x:v>
      </x:c>
      <x:c r="Q503" s="9" t="n">
        <x:v>0</x:v>
      </x:c>
      <x:c r="R503" s="9" t="str">
        <x:v>OPEN / UNSTARTED</x:v>
      </x:c>
      <x:c r="S503" s="9" t="n">
        <x:f>COUNTIFS($A$7:$A$1446,A503)</x:f>
        <x:v>1</x:v>
      </x:c>
    </x:row>
    <x:row r="504">
      <x:c r="A504" s="9" t="str">
        <x:v>EV-AR-CT-C-B-TECH-2-B1-INT-G0-ST08</x:v>
      </x:c>
      <x:c r="B504" s="9" t="str">
        <x:v>EV-AR-CT-C-B-TECH-2-B1-INT-G0</x:v>
      </x:c>
      <x:c r="C504" s="9" t="str">
        <x:v>EOW-AR-CT-C-B-TECH-2-B1-INT-G0</x:v>
      </x:c>
      <x:c r="D504" s="9" t="str">
        <x:v>AR-CT-C-B-TECH-2-B1-INT-G0</x:v>
      </x:c>
      <x:c r="E504" s="9" t="str">
        <x:v>CT-C-B-TECH-2</x:v>
      </x:c>
      <x:c r="F504" s="9" t="str">
        <x:v>CT-C-B</x:v>
      </x:c>
      <x:c r="G504" s="9" t="str">
        <x:v>B1</x:v>
      </x:c>
      <x:c r="H504" s="9" t="str">
        <x:v>INT</x:v>
      </x:c>
      <x:c r="I504" s="9" t="n">
        <x:v>3</x:v>
      </x:c>
      <x:c r="J504" s="9" t="n">
        <x:v>1</x:v>
      </x:c>
      <x:c r="K504" s="9" t="str">
        <x:v>CT-C-B-N3</x:v>
      </x:c>
      <x:c r="L504" s="9" t="str">
        <x:v>ST08</x:v>
      </x:c>
      <x:c r="M504" s="17" t="str">
        <x:v>Manual stop and safety</x:v>
      </x:c>
      <x:c r="N504" s="17" t="str">
        <x:v>local stop, evacuation and protection routes are active</x:v>
      </x:c>
      <x:c r="O504" s="17" t="str">
        <x:v>Safety authority</x:v>
      </x:c>
      <x:c r="P504" s="9" t="n">
        <x:v>0</x:v>
      </x:c>
      <x:c r="Q504" s="9" t="n">
        <x:v>0</x:v>
      </x:c>
      <x:c r="R504" s="9" t="str">
        <x:v>OPEN / UNSTARTED</x:v>
      </x:c>
      <x:c r="S504" s="9" t="n">
        <x:f>COUNTIFS($A$7:$A$1446,A504)</x:f>
        <x:v>1</x:v>
      </x:c>
    </x:row>
    <x:row r="505">
      <x:c r="A505" s="9" t="str">
        <x:v>EV-AR-CT-C-B-TECH-2-B1-INT-G0-ST09</x:v>
      </x:c>
      <x:c r="B505" s="9" t="str">
        <x:v>EV-AR-CT-C-B-TECH-2-B1-INT-G0</x:v>
      </x:c>
      <x:c r="C505" s="9" t="str">
        <x:v>EOW-AR-CT-C-B-TECH-2-B1-INT-G0</x:v>
      </x:c>
      <x:c r="D505" s="9" t="str">
        <x:v>AR-CT-C-B-TECH-2-B1-INT-G0</x:v>
      </x:c>
      <x:c r="E505" s="9" t="str">
        <x:v>CT-C-B-TECH-2</x:v>
      </x:c>
      <x:c r="F505" s="9" t="str">
        <x:v>CT-C-B</x:v>
      </x:c>
      <x:c r="G505" s="9" t="str">
        <x:v>B1</x:v>
      </x:c>
      <x:c r="H505" s="9" t="str">
        <x:v>INT</x:v>
      </x:c>
      <x:c r="I505" s="9" t="n">
        <x:v>3</x:v>
      </x:c>
      <x:c r="J505" s="9" t="n">
        <x:v>1</x:v>
      </x:c>
      <x:c r="K505" s="9" t="str">
        <x:v>CT-C-B-N3</x:v>
      </x:c>
      <x:c r="L505" s="9" t="str">
        <x:v>ST09</x:v>
      </x:c>
      <x:c r="M505" s="17" t="str">
        <x:v>Operator conflict clear</x:v>
      </x:c>
      <x:c r="N505" s="17" t="str">
        <x:v>candidate, fixture, safety and measurement control edges remain separated</x:v>
      </x:c>
      <x:c r="O505" s="17" t="str">
        <x:v>Conflict registrar</x:v>
      </x:c>
      <x:c r="P505" s="9" t="n">
        <x:v>0</x:v>
      </x:c>
      <x:c r="Q505" s="9" t="n">
        <x:v>0</x:v>
      </x:c>
      <x:c r="R505" s="9" t="str">
        <x:v>OPEN / UNSTARTED</x:v>
      </x:c>
      <x:c r="S505" s="9" t="n">
        <x:f>COUNTIFS($A$7:$A$1446,A505)</x:f>
        <x:v>1</x:v>
      </x:c>
    </x:row>
    <x:row r="506">
      <x:c r="A506" s="9" t="str">
        <x:v>EV-AR-CT-C-B-TECH-2-B1-INT-G0-ST10</x:v>
      </x:c>
      <x:c r="B506" s="9" t="str">
        <x:v>EV-AR-CT-C-B-TECH-2-B1-INT-G0</x:v>
      </x:c>
      <x:c r="C506" s="9" t="str">
        <x:v>EOW-AR-CT-C-B-TECH-2-B1-INT-G0</x:v>
      </x:c>
      <x:c r="D506" s="9" t="str">
        <x:v>AR-CT-C-B-TECH-2-B1-INT-G0</x:v>
      </x:c>
      <x:c r="E506" s="9" t="str">
        <x:v>CT-C-B-TECH-2</x:v>
      </x:c>
      <x:c r="F506" s="9" t="str">
        <x:v>CT-C-B</x:v>
      </x:c>
      <x:c r="G506" s="9" t="str">
        <x:v>B1</x:v>
      </x:c>
      <x:c r="H506" s="9" t="str">
        <x:v>INT</x:v>
      </x:c>
      <x:c r="I506" s="9" t="n">
        <x:v>3</x:v>
      </x:c>
      <x:c r="J506" s="9" t="n">
        <x:v>1</x:v>
      </x:c>
      <x:c r="K506" s="9" t="str">
        <x:v>CT-C-B-N3</x:v>
      </x:c>
      <x:c r="L506" s="9" t="str">
        <x:v>ST10</x:v>
      </x:c>
      <x:c r="M506" s="17" t="str">
        <x:v>Window and common clock</x:v>
      </x:c>
      <x:c r="N506" s="17" t="str">
        <x:v>epoch, window and public time origin match the issued warrant</x:v>
      </x:c>
      <x:c r="O506" s="17" t="str">
        <x:v>Event clock authority</x:v>
      </x:c>
      <x:c r="P506" s="9" t="n">
        <x:v>0</x:v>
      </x:c>
      <x:c r="Q506" s="9" t="n">
        <x:v>0</x:v>
      </x:c>
      <x:c r="R506" s="9" t="str">
        <x:v>OPEN / UNSTARTED</x:v>
      </x:c>
      <x:c r="S506" s="9" t="n">
        <x:f>COUNTIFS($A$7:$A$1446,A506)</x:f>
        <x:v>1</x:v>
      </x:c>
    </x:row>
    <x:row r="507">
      <x:c r="A507" s="9" t="str">
        <x:v>EV-AR-HC-A-C-TECH-4-B2-BRK-G0-ST01</x:v>
      </x:c>
      <x:c r="B507" s="9" t="str">
        <x:v>EV-AR-HC-A-C-TECH-4-B2-BRK-G0</x:v>
      </x:c>
      <x:c r="C507" s="9" t="str">
        <x:v>EOW-AR-HC-A-C-TECH-4-B2-BRK-G0</x:v>
      </x:c>
      <x:c r="D507" s="9" t="str">
        <x:v>AR-HC-A-C-TECH-4-B2-BRK-G0</x:v>
      </x:c>
      <x:c r="E507" s="9" t="str">
        <x:v>HC-A-C-TECH-4</x:v>
      </x:c>
      <x:c r="F507" s="9" t="str">
        <x:v>HC-A-C</x:v>
      </x:c>
      <x:c r="G507" s="9" t="str">
        <x:v>B2</x:v>
      </x:c>
      <x:c r="H507" s="9" t="str">
        <x:v>BRK</x:v>
      </x:c>
      <x:c r="I507" s="9" t="n">
        <x:v>3</x:v>
      </x:c>
      <x:c r="J507" s="9" t="n">
        <x:v>1</x:v>
      </x:c>
      <x:c r="K507" s="9" t="str">
        <x:v>HC-A-C-N2</x:v>
      </x:c>
      <x:c r="L507" s="9" t="str">
        <x:v>ST01</x:v>
      </x:c>
      <x:c r="M507" s="17" t="str">
        <x:v>Active opportunity warrant</x:v>
      </x:c>
      <x:c r="N507" s="17" t="str">
        <x:v>configuration-bound EOW is within its thirty-six-hour validity</x:v>
      </x:c>
      <x:c r="O507" s="17" t="str">
        <x:v>Start registrar</x:v>
      </x:c>
      <x:c r="P507" s="9" t="n">
        <x:v>0</x:v>
      </x:c>
      <x:c r="Q507" s="9" t="n">
        <x:v>0</x:v>
      </x:c>
      <x:c r="R507" s="9" t="str">
        <x:v>OPEN / UNSTARTED</x:v>
      </x:c>
      <x:c r="S507" s="9" t="n">
        <x:f>COUNTIFS($A$7:$A$1446,A507)</x:f>
        <x:v>1</x:v>
      </x:c>
    </x:row>
    <x:row r="508">
      <x:c r="A508" s="9" t="str">
        <x:v>EV-AR-HC-A-C-TECH-4-B2-BRK-G0-ST02</x:v>
      </x:c>
      <x:c r="B508" s="9" t="str">
        <x:v>EV-AR-HC-A-C-TECH-4-B2-BRK-G0</x:v>
      </x:c>
      <x:c r="C508" s="9" t="str">
        <x:v>EOW-AR-HC-A-C-TECH-4-B2-BRK-G0</x:v>
      </x:c>
      <x:c r="D508" s="9" t="str">
        <x:v>AR-HC-A-C-TECH-4-B2-BRK-G0</x:v>
      </x:c>
      <x:c r="E508" s="9" t="str">
        <x:v>HC-A-C-TECH-4</x:v>
      </x:c>
      <x:c r="F508" s="9" t="str">
        <x:v>HC-A-C</x:v>
      </x:c>
      <x:c r="G508" s="9" t="str">
        <x:v>B2</x:v>
      </x:c>
      <x:c r="H508" s="9" t="str">
        <x:v>BRK</x:v>
      </x:c>
      <x:c r="I508" s="9" t="n">
        <x:v>3</x:v>
      </x:c>
      <x:c r="J508" s="9" t="n">
        <x:v>1</x:v>
      </x:c>
      <x:c r="K508" s="9" t="str">
        <x:v>HC-A-C-N2</x:v>
      </x:c>
      <x:c r="L508" s="9" t="str">
        <x:v>ST02</x:v>
      </x:c>
      <x:c r="M508" s="17" t="str">
        <x:v>Frozen identity</x:v>
      </x:c>
      <x:c r="N508" s="17" t="str">
        <x:v>serial, generation, fixture, site, receiver and digest match the warrant</x:v>
      </x:c>
      <x:c r="O508" s="17" t="str">
        <x:v>Custody authority</x:v>
      </x:c>
      <x:c r="P508" s="9" t="n">
        <x:v>0</x:v>
      </x:c>
      <x:c r="Q508" s="9" t="n">
        <x:v>0</x:v>
      </x:c>
      <x:c r="R508" s="9" t="str">
        <x:v>OPEN / UNSTARTED</x:v>
      </x:c>
      <x:c r="S508" s="9" t="n">
        <x:f>COUNTIFS($A$7:$A$1446,A508)</x:f>
        <x:v>1</x:v>
      </x:c>
    </x:row>
    <x:row r="509">
      <x:c r="A509" s="9" t="str">
        <x:v>EV-AR-HC-A-C-TECH-4-B2-BRK-G0-ST03</x:v>
      </x:c>
      <x:c r="B509" s="9" t="str">
        <x:v>EV-AR-HC-A-C-TECH-4-B2-BRK-G0</x:v>
      </x:c>
      <x:c r="C509" s="9" t="str">
        <x:v>EOW-AR-HC-A-C-TECH-4-B2-BRK-G0</x:v>
      </x:c>
      <x:c r="D509" s="9" t="str">
        <x:v>AR-HC-A-C-TECH-4-B2-BRK-G0</x:v>
      </x:c>
      <x:c r="E509" s="9" t="str">
        <x:v>HC-A-C-TECH-4</x:v>
      </x:c>
      <x:c r="F509" s="9" t="str">
        <x:v>HC-A-C</x:v>
      </x:c>
      <x:c r="G509" s="9" t="str">
        <x:v>B2</x:v>
      </x:c>
      <x:c r="H509" s="9" t="str">
        <x:v>BRK</x:v>
      </x:c>
      <x:c r="I509" s="9" t="n">
        <x:v>3</x:v>
      </x:c>
      <x:c r="J509" s="9" t="n">
        <x:v>1</x:v>
      </x:c>
      <x:c r="K509" s="9" t="str">
        <x:v>HC-A-C-N2</x:v>
      </x:c>
      <x:c r="L509" s="9" t="str">
        <x:v>ST03</x:v>
      </x:c>
      <x:c r="M509" s="17" t="str">
        <x:v>Receiver receipt</x:v>
      </x:c>
      <x:c r="N509" s="17" t="str">
        <x:v>denominator, counterfactual, rights and stop receipt remain unchanged</x:v>
      </x:c>
      <x:c r="O509" s="17" t="str">
        <x:v>Receiver authority</x:v>
      </x:c>
      <x:c r="P509" s="9" t="n">
        <x:v>0</x:v>
      </x:c>
      <x:c r="Q509" s="9" t="n">
        <x:v>0</x:v>
      </x:c>
      <x:c r="R509" s="9" t="str">
        <x:v>OPEN / UNSTARTED</x:v>
      </x:c>
      <x:c r="S509" s="9" t="n">
        <x:f>COUNTIFS($A$7:$A$1446,A509)</x:f>
        <x:v>1</x:v>
      </x:c>
    </x:row>
    <x:row r="510">
      <x:c r="A510" s="9" t="str">
        <x:v>EV-AR-HC-A-C-TECH-4-B2-BRK-G0-ST04</x:v>
      </x:c>
      <x:c r="B510" s="9" t="str">
        <x:v>EV-AR-HC-A-C-TECH-4-B2-BRK-G0</x:v>
      </x:c>
      <x:c r="C510" s="9" t="str">
        <x:v>EOW-AR-HC-A-C-TECH-4-B2-BRK-G0</x:v>
      </x:c>
      <x:c r="D510" s="9" t="str">
        <x:v>AR-HC-A-C-TECH-4-B2-BRK-G0</x:v>
      </x:c>
      <x:c r="E510" s="9" t="str">
        <x:v>HC-A-C-TECH-4</x:v>
      </x:c>
      <x:c r="F510" s="9" t="str">
        <x:v>HC-A-C</x:v>
      </x:c>
      <x:c r="G510" s="9" t="str">
        <x:v>B2</x:v>
      </x:c>
      <x:c r="H510" s="9" t="str">
        <x:v>BRK</x:v>
      </x:c>
      <x:c r="I510" s="9" t="n">
        <x:v>3</x:v>
      </x:c>
      <x:c r="J510" s="9" t="n">
        <x:v>1</x:v>
      </x:c>
      <x:c r="K510" s="9" t="str">
        <x:v>HC-A-C-N2</x:v>
      </x:c>
      <x:c r="L510" s="9" t="str">
        <x:v>ST04</x:v>
      </x:c>
      <x:c r="M510" s="17" t="str">
        <x:v>Primary capture armed</x:v>
      </x:c>
      <x:c r="N510" s="17" t="str">
        <x:v>primary chain records sealed reference and live time</x:v>
      </x:c>
      <x:c r="O510" s="17" t="str">
        <x:v>Primary metrology</x:v>
      </x:c>
      <x:c r="P510" s="9" t="n">
        <x:v>0</x:v>
      </x:c>
      <x:c r="Q510" s="9" t="n">
        <x:v>0</x:v>
      </x:c>
      <x:c r="R510" s="9" t="str">
        <x:v>OPEN / UNSTARTED</x:v>
      </x:c>
      <x:c r="S510" s="9" t="n">
        <x:f>COUNTIFS($A$7:$A$1446,A510)</x:f>
        <x:v>1</x:v>
      </x:c>
    </x:row>
    <x:row r="511">
      <x:c r="A511" s="9" t="str">
        <x:v>EV-AR-HC-A-C-TECH-4-B2-BRK-G0-ST05</x:v>
      </x:c>
      <x:c r="B511" s="9" t="str">
        <x:v>EV-AR-HC-A-C-TECH-4-B2-BRK-G0</x:v>
      </x:c>
      <x:c r="C511" s="9" t="str">
        <x:v>EOW-AR-HC-A-C-TECH-4-B2-BRK-G0</x:v>
      </x:c>
      <x:c r="D511" s="9" t="str">
        <x:v>AR-HC-A-C-TECH-4-B2-BRK-G0</x:v>
      </x:c>
      <x:c r="E511" s="9" t="str">
        <x:v>HC-A-C-TECH-4</x:v>
      </x:c>
      <x:c r="F511" s="9" t="str">
        <x:v>HC-A-C</x:v>
      </x:c>
      <x:c r="G511" s="9" t="str">
        <x:v>B2</x:v>
      </x:c>
      <x:c r="H511" s="9" t="str">
        <x:v>BRK</x:v>
      </x:c>
      <x:c r="I511" s="9" t="n">
        <x:v>3</x:v>
      </x:c>
      <x:c r="J511" s="9" t="n">
        <x:v>1</x:v>
      </x:c>
      <x:c r="K511" s="9" t="str">
        <x:v>HC-A-C-N2</x:v>
      </x:c>
      <x:c r="L511" s="9" t="str">
        <x:v>ST05</x:v>
      </x:c>
      <x:c r="M511" s="17" t="str">
        <x:v>Witness capture armed</x:v>
      </x:c>
      <x:c r="N511" s="17" t="str">
        <x:v>unlike witness records independent reference and live time</x:v>
      </x:c>
      <x:c r="O511" s="17" t="str">
        <x:v>Witness metrology</x:v>
      </x:c>
      <x:c r="P511" s="9" t="n">
        <x:v>0</x:v>
      </x:c>
      <x:c r="Q511" s="9" t="n">
        <x:v>0</x:v>
      </x:c>
      <x:c r="R511" s="9" t="str">
        <x:v>OPEN / UNSTARTED</x:v>
      </x:c>
      <x:c r="S511" s="9" t="n">
        <x:f>COUNTIFS($A$7:$A$1446,A511)</x:f>
        <x:v>1</x:v>
      </x:c>
    </x:row>
    <x:row r="512">
      <x:c r="A512" s="9" t="str">
        <x:v>EV-AR-HC-A-C-TECH-4-B2-BRK-G0-ST06</x:v>
      </x:c>
      <x:c r="B512" s="9" t="str">
        <x:v>EV-AR-HC-A-C-TECH-4-B2-BRK-G0</x:v>
      </x:c>
      <x:c r="C512" s="9" t="str">
        <x:v>EOW-AR-HC-A-C-TECH-4-B2-BRK-G0</x:v>
      </x:c>
      <x:c r="D512" s="9" t="str">
        <x:v>AR-HC-A-C-TECH-4-B2-BRK-G0</x:v>
      </x:c>
      <x:c r="E512" s="9" t="str">
        <x:v>HC-A-C-TECH-4</x:v>
      </x:c>
      <x:c r="F512" s="9" t="str">
        <x:v>HC-A-C</x:v>
      </x:c>
      <x:c r="G512" s="9" t="str">
        <x:v>B2</x:v>
      </x:c>
      <x:c r="H512" s="9" t="str">
        <x:v>BRK</x:v>
      </x:c>
      <x:c r="I512" s="9" t="n">
        <x:v>3</x:v>
      </x:c>
      <x:c r="J512" s="9" t="n">
        <x:v>1</x:v>
      </x:c>
      <x:c r="K512" s="9" t="str">
        <x:v>HC-A-C-N2</x:v>
      </x:c>
      <x:c r="L512" s="9" t="str">
        <x:v>ST06</x:v>
      </x:c>
      <x:c r="M512" s="17" t="str">
        <x:v>Public custody armed</x:v>
      </x:c>
      <x:c r="N512" s="17" t="str">
        <x:v>eight raw origins have separated hash and replica routes</x:v>
      </x:c>
      <x:c r="O512" s="17" t="str">
        <x:v>Custody authority</x:v>
      </x:c>
      <x:c r="P512" s="9" t="n">
        <x:v>0</x:v>
      </x:c>
      <x:c r="Q512" s="9" t="n">
        <x:v>0</x:v>
      </x:c>
      <x:c r="R512" s="9" t="str">
        <x:v>OPEN / UNSTARTED</x:v>
      </x:c>
      <x:c r="S512" s="9" t="n">
        <x:f>COUNTIFS($A$7:$A$1446,A512)</x:f>
        <x:v>1</x:v>
      </x:c>
    </x:row>
    <x:row r="513">
      <x:c r="A513" s="9" t="str">
        <x:v>EV-AR-HC-A-C-TECH-4-B2-BRK-G0-ST07</x:v>
      </x:c>
      <x:c r="B513" s="9" t="str">
        <x:v>EV-AR-HC-A-C-TECH-4-B2-BRK-G0</x:v>
      </x:c>
      <x:c r="C513" s="9" t="str">
        <x:v>EOW-AR-HC-A-C-TECH-4-B2-BRK-G0</x:v>
      </x:c>
      <x:c r="D513" s="9" t="str">
        <x:v>AR-HC-A-C-TECH-4-B2-BRK-G0</x:v>
      </x:c>
      <x:c r="E513" s="9" t="str">
        <x:v>HC-A-C-TECH-4</x:v>
      </x:c>
      <x:c r="F513" s="9" t="str">
        <x:v>HC-A-C</x:v>
      </x:c>
      <x:c r="G513" s="9" t="str">
        <x:v>B2</x:v>
      </x:c>
      <x:c r="H513" s="9" t="str">
        <x:v>BRK</x:v>
      </x:c>
      <x:c r="I513" s="9" t="n">
        <x:v>3</x:v>
      </x:c>
      <x:c r="J513" s="9" t="n">
        <x:v>1</x:v>
      </x:c>
      <x:c r="K513" s="9" t="str">
        <x:v>HC-A-C-N2</x:v>
      </x:c>
      <x:c r="L513" s="9" t="str">
        <x:v>ST07</x:v>
      </x:c>
      <x:c r="M513" s="17" t="str">
        <x:v>Environmental baseline</x:v>
      </x:c>
      <x:c r="N513" s="17" t="str">
        <x:v>pre-event boundary state is sealed before decisive operation</x:v>
      </x:c>
      <x:c r="O513" s="17" t="str">
        <x:v>Site metrology</x:v>
      </x:c>
      <x:c r="P513" s="9" t="n">
        <x:v>0</x:v>
      </x:c>
      <x:c r="Q513" s="9" t="n">
        <x:v>0</x:v>
      </x:c>
      <x:c r="R513" s="9" t="str">
        <x:v>OPEN / UNSTARTED</x:v>
      </x:c>
      <x:c r="S513" s="9" t="n">
        <x:f>COUNTIFS($A$7:$A$1446,A513)</x:f>
        <x:v>1</x:v>
      </x:c>
    </x:row>
    <x:row r="514">
      <x:c r="A514" s="9" t="str">
        <x:v>EV-AR-HC-A-C-TECH-4-B2-BRK-G0-ST08</x:v>
      </x:c>
      <x:c r="B514" s="9" t="str">
        <x:v>EV-AR-HC-A-C-TECH-4-B2-BRK-G0</x:v>
      </x:c>
      <x:c r="C514" s="9" t="str">
        <x:v>EOW-AR-HC-A-C-TECH-4-B2-BRK-G0</x:v>
      </x:c>
      <x:c r="D514" s="9" t="str">
        <x:v>AR-HC-A-C-TECH-4-B2-BRK-G0</x:v>
      </x:c>
      <x:c r="E514" s="9" t="str">
        <x:v>HC-A-C-TECH-4</x:v>
      </x:c>
      <x:c r="F514" s="9" t="str">
        <x:v>HC-A-C</x:v>
      </x:c>
      <x:c r="G514" s="9" t="str">
        <x:v>B2</x:v>
      </x:c>
      <x:c r="H514" s="9" t="str">
        <x:v>BRK</x:v>
      </x:c>
      <x:c r="I514" s="9" t="n">
        <x:v>3</x:v>
      </x:c>
      <x:c r="J514" s="9" t="n">
        <x:v>1</x:v>
      </x:c>
      <x:c r="K514" s="9" t="str">
        <x:v>HC-A-C-N2</x:v>
      </x:c>
      <x:c r="L514" s="9" t="str">
        <x:v>ST08</x:v>
      </x:c>
      <x:c r="M514" s="17" t="str">
        <x:v>Manual stop and safety</x:v>
      </x:c>
      <x:c r="N514" s="17" t="str">
        <x:v>local stop, evacuation and protection routes are active</x:v>
      </x:c>
      <x:c r="O514" s="17" t="str">
        <x:v>Safety authority</x:v>
      </x:c>
      <x:c r="P514" s="9" t="n">
        <x:v>0</x:v>
      </x:c>
      <x:c r="Q514" s="9" t="n">
        <x:v>0</x:v>
      </x:c>
      <x:c r="R514" s="9" t="str">
        <x:v>OPEN / UNSTARTED</x:v>
      </x:c>
      <x:c r="S514" s="9" t="n">
        <x:f>COUNTIFS($A$7:$A$1446,A514)</x:f>
        <x:v>1</x:v>
      </x:c>
    </x:row>
    <x:row r="515">
      <x:c r="A515" s="9" t="str">
        <x:v>EV-AR-HC-A-C-TECH-4-B2-BRK-G0-ST09</x:v>
      </x:c>
      <x:c r="B515" s="9" t="str">
        <x:v>EV-AR-HC-A-C-TECH-4-B2-BRK-G0</x:v>
      </x:c>
      <x:c r="C515" s="9" t="str">
        <x:v>EOW-AR-HC-A-C-TECH-4-B2-BRK-G0</x:v>
      </x:c>
      <x:c r="D515" s="9" t="str">
        <x:v>AR-HC-A-C-TECH-4-B2-BRK-G0</x:v>
      </x:c>
      <x:c r="E515" s="9" t="str">
        <x:v>HC-A-C-TECH-4</x:v>
      </x:c>
      <x:c r="F515" s="9" t="str">
        <x:v>HC-A-C</x:v>
      </x:c>
      <x:c r="G515" s="9" t="str">
        <x:v>B2</x:v>
      </x:c>
      <x:c r="H515" s="9" t="str">
        <x:v>BRK</x:v>
      </x:c>
      <x:c r="I515" s="9" t="n">
        <x:v>3</x:v>
      </x:c>
      <x:c r="J515" s="9" t="n">
        <x:v>1</x:v>
      </x:c>
      <x:c r="K515" s="9" t="str">
        <x:v>HC-A-C-N2</x:v>
      </x:c>
      <x:c r="L515" s="9" t="str">
        <x:v>ST09</x:v>
      </x:c>
      <x:c r="M515" s="17" t="str">
        <x:v>Operator conflict clear</x:v>
      </x:c>
      <x:c r="N515" s="17" t="str">
        <x:v>candidate, fixture, safety and measurement control edges remain separated</x:v>
      </x:c>
      <x:c r="O515" s="17" t="str">
        <x:v>Conflict registrar</x:v>
      </x:c>
      <x:c r="P515" s="9" t="n">
        <x:v>0</x:v>
      </x:c>
      <x:c r="Q515" s="9" t="n">
        <x:v>0</x:v>
      </x:c>
      <x:c r="R515" s="9" t="str">
        <x:v>OPEN / UNSTARTED</x:v>
      </x:c>
      <x:c r="S515" s="9" t="n">
        <x:f>COUNTIFS($A$7:$A$1446,A515)</x:f>
        <x:v>1</x:v>
      </x:c>
    </x:row>
    <x:row r="516">
      <x:c r="A516" s="9" t="str">
        <x:v>EV-AR-HC-A-C-TECH-4-B2-BRK-G0-ST10</x:v>
      </x:c>
      <x:c r="B516" s="9" t="str">
        <x:v>EV-AR-HC-A-C-TECH-4-B2-BRK-G0</x:v>
      </x:c>
      <x:c r="C516" s="9" t="str">
        <x:v>EOW-AR-HC-A-C-TECH-4-B2-BRK-G0</x:v>
      </x:c>
      <x:c r="D516" s="9" t="str">
        <x:v>AR-HC-A-C-TECH-4-B2-BRK-G0</x:v>
      </x:c>
      <x:c r="E516" s="9" t="str">
        <x:v>HC-A-C-TECH-4</x:v>
      </x:c>
      <x:c r="F516" s="9" t="str">
        <x:v>HC-A-C</x:v>
      </x:c>
      <x:c r="G516" s="9" t="str">
        <x:v>B2</x:v>
      </x:c>
      <x:c r="H516" s="9" t="str">
        <x:v>BRK</x:v>
      </x:c>
      <x:c r="I516" s="9" t="n">
        <x:v>3</x:v>
      </x:c>
      <x:c r="J516" s="9" t="n">
        <x:v>1</x:v>
      </x:c>
      <x:c r="K516" s="9" t="str">
        <x:v>HC-A-C-N2</x:v>
      </x:c>
      <x:c r="L516" s="9" t="str">
        <x:v>ST10</x:v>
      </x:c>
      <x:c r="M516" s="17" t="str">
        <x:v>Window and common clock</x:v>
      </x:c>
      <x:c r="N516" s="17" t="str">
        <x:v>epoch, window and public time origin match the issued warrant</x:v>
      </x:c>
      <x:c r="O516" s="17" t="str">
        <x:v>Event clock authority</x:v>
      </x:c>
      <x:c r="P516" s="9" t="n">
        <x:v>0</x:v>
      </x:c>
      <x:c r="Q516" s="9" t="n">
        <x:v>0</x:v>
      </x:c>
      <x:c r="R516" s="9" t="str">
        <x:v>OPEN / UNSTARTED</x:v>
      </x:c>
      <x:c r="S516" s="9" t="n">
        <x:f>COUNTIFS($A$7:$A$1446,A516)</x:f>
        <x:v>1</x:v>
      </x:c>
    </x:row>
    <x:row r="517">
      <x:c r="A517" s="9" t="str">
        <x:v>EV-AR-HC-A-C-TECH-3-B1-RCN-G0-ST01</x:v>
      </x:c>
      <x:c r="B517" s="9" t="str">
        <x:v>EV-AR-HC-A-C-TECH-3-B1-RCN-G0</x:v>
      </x:c>
      <x:c r="C517" s="9" t="str">
        <x:v>EOW-AR-HC-A-C-TECH-3-B1-RCN-G0</x:v>
      </x:c>
      <x:c r="D517" s="9" t="str">
        <x:v>AR-HC-A-C-TECH-3-B1-RCN-G0</x:v>
      </x:c>
      <x:c r="E517" s="9" t="str">
        <x:v>HC-A-C-TECH-3</x:v>
      </x:c>
      <x:c r="F517" s="9" t="str">
        <x:v>HC-A-C</x:v>
      </x:c>
      <x:c r="G517" s="9" t="str">
        <x:v>B1</x:v>
      </x:c>
      <x:c r="H517" s="9" t="str">
        <x:v>RCN</x:v>
      </x:c>
      <x:c r="I517" s="9" t="n">
        <x:v>3</x:v>
      </x:c>
      <x:c r="J517" s="9" t="n">
        <x:v>1</x:v>
      </x:c>
      <x:c r="K517" s="9" t="str">
        <x:v>HC-A-C-N3</x:v>
      </x:c>
      <x:c r="L517" s="9" t="str">
        <x:v>ST01</x:v>
      </x:c>
      <x:c r="M517" s="17" t="str">
        <x:v>Active opportunity warrant</x:v>
      </x:c>
      <x:c r="N517" s="17" t="str">
        <x:v>configuration-bound EOW is within its thirty-six-hour validity</x:v>
      </x:c>
      <x:c r="O517" s="17" t="str">
        <x:v>Start registrar</x:v>
      </x:c>
      <x:c r="P517" s="9" t="n">
        <x:v>0</x:v>
      </x:c>
      <x:c r="Q517" s="9" t="n">
        <x:v>0</x:v>
      </x:c>
      <x:c r="R517" s="9" t="str">
        <x:v>OPEN / UNSTARTED</x:v>
      </x:c>
      <x:c r="S517" s="9" t="n">
        <x:f>COUNTIFS($A$7:$A$1446,A517)</x:f>
        <x:v>1</x:v>
      </x:c>
    </x:row>
    <x:row r="518">
      <x:c r="A518" s="9" t="str">
        <x:v>EV-AR-HC-A-C-TECH-3-B1-RCN-G0-ST02</x:v>
      </x:c>
      <x:c r="B518" s="9" t="str">
        <x:v>EV-AR-HC-A-C-TECH-3-B1-RCN-G0</x:v>
      </x:c>
      <x:c r="C518" s="9" t="str">
        <x:v>EOW-AR-HC-A-C-TECH-3-B1-RCN-G0</x:v>
      </x:c>
      <x:c r="D518" s="9" t="str">
        <x:v>AR-HC-A-C-TECH-3-B1-RCN-G0</x:v>
      </x:c>
      <x:c r="E518" s="9" t="str">
        <x:v>HC-A-C-TECH-3</x:v>
      </x:c>
      <x:c r="F518" s="9" t="str">
        <x:v>HC-A-C</x:v>
      </x:c>
      <x:c r="G518" s="9" t="str">
        <x:v>B1</x:v>
      </x:c>
      <x:c r="H518" s="9" t="str">
        <x:v>RCN</x:v>
      </x:c>
      <x:c r="I518" s="9" t="n">
        <x:v>3</x:v>
      </x:c>
      <x:c r="J518" s="9" t="n">
        <x:v>1</x:v>
      </x:c>
      <x:c r="K518" s="9" t="str">
        <x:v>HC-A-C-N3</x:v>
      </x:c>
      <x:c r="L518" s="9" t="str">
        <x:v>ST02</x:v>
      </x:c>
      <x:c r="M518" s="17" t="str">
        <x:v>Frozen identity</x:v>
      </x:c>
      <x:c r="N518" s="17" t="str">
        <x:v>serial, generation, fixture, site, receiver and digest match the warrant</x:v>
      </x:c>
      <x:c r="O518" s="17" t="str">
        <x:v>Custody authority</x:v>
      </x:c>
      <x:c r="P518" s="9" t="n">
        <x:v>0</x:v>
      </x:c>
      <x:c r="Q518" s="9" t="n">
        <x:v>0</x:v>
      </x:c>
      <x:c r="R518" s="9" t="str">
        <x:v>OPEN / UNSTARTED</x:v>
      </x:c>
      <x:c r="S518" s="9" t="n">
        <x:f>COUNTIFS($A$7:$A$1446,A518)</x:f>
        <x:v>1</x:v>
      </x:c>
    </x:row>
    <x:row r="519">
      <x:c r="A519" s="9" t="str">
        <x:v>EV-AR-HC-A-C-TECH-3-B1-RCN-G0-ST03</x:v>
      </x:c>
      <x:c r="B519" s="9" t="str">
        <x:v>EV-AR-HC-A-C-TECH-3-B1-RCN-G0</x:v>
      </x:c>
      <x:c r="C519" s="9" t="str">
        <x:v>EOW-AR-HC-A-C-TECH-3-B1-RCN-G0</x:v>
      </x:c>
      <x:c r="D519" s="9" t="str">
        <x:v>AR-HC-A-C-TECH-3-B1-RCN-G0</x:v>
      </x:c>
      <x:c r="E519" s="9" t="str">
        <x:v>HC-A-C-TECH-3</x:v>
      </x:c>
      <x:c r="F519" s="9" t="str">
        <x:v>HC-A-C</x:v>
      </x:c>
      <x:c r="G519" s="9" t="str">
        <x:v>B1</x:v>
      </x:c>
      <x:c r="H519" s="9" t="str">
        <x:v>RCN</x:v>
      </x:c>
      <x:c r="I519" s="9" t="n">
        <x:v>3</x:v>
      </x:c>
      <x:c r="J519" s="9" t="n">
        <x:v>1</x:v>
      </x:c>
      <x:c r="K519" s="9" t="str">
        <x:v>HC-A-C-N3</x:v>
      </x:c>
      <x:c r="L519" s="9" t="str">
        <x:v>ST03</x:v>
      </x:c>
      <x:c r="M519" s="17" t="str">
        <x:v>Receiver receipt</x:v>
      </x:c>
      <x:c r="N519" s="17" t="str">
        <x:v>denominator, counterfactual, rights and stop receipt remain unchanged</x:v>
      </x:c>
      <x:c r="O519" s="17" t="str">
        <x:v>Receiver authority</x:v>
      </x:c>
      <x:c r="P519" s="9" t="n">
        <x:v>0</x:v>
      </x:c>
      <x:c r="Q519" s="9" t="n">
        <x:v>0</x:v>
      </x:c>
      <x:c r="R519" s="9" t="str">
        <x:v>OPEN / UNSTARTED</x:v>
      </x:c>
      <x:c r="S519" s="9" t="n">
        <x:f>COUNTIFS($A$7:$A$1446,A519)</x:f>
        <x:v>1</x:v>
      </x:c>
    </x:row>
    <x:row r="520">
      <x:c r="A520" s="9" t="str">
        <x:v>EV-AR-HC-A-C-TECH-3-B1-RCN-G0-ST04</x:v>
      </x:c>
      <x:c r="B520" s="9" t="str">
        <x:v>EV-AR-HC-A-C-TECH-3-B1-RCN-G0</x:v>
      </x:c>
      <x:c r="C520" s="9" t="str">
        <x:v>EOW-AR-HC-A-C-TECH-3-B1-RCN-G0</x:v>
      </x:c>
      <x:c r="D520" s="9" t="str">
        <x:v>AR-HC-A-C-TECH-3-B1-RCN-G0</x:v>
      </x:c>
      <x:c r="E520" s="9" t="str">
        <x:v>HC-A-C-TECH-3</x:v>
      </x:c>
      <x:c r="F520" s="9" t="str">
        <x:v>HC-A-C</x:v>
      </x:c>
      <x:c r="G520" s="9" t="str">
        <x:v>B1</x:v>
      </x:c>
      <x:c r="H520" s="9" t="str">
        <x:v>RCN</x:v>
      </x:c>
      <x:c r="I520" s="9" t="n">
        <x:v>3</x:v>
      </x:c>
      <x:c r="J520" s="9" t="n">
        <x:v>1</x:v>
      </x:c>
      <x:c r="K520" s="9" t="str">
        <x:v>HC-A-C-N3</x:v>
      </x:c>
      <x:c r="L520" s="9" t="str">
        <x:v>ST04</x:v>
      </x:c>
      <x:c r="M520" s="17" t="str">
        <x:v>Primary capture armed</x:v>
      </x:c>
      <x:c r="N520" s="17" t="str">
        <x:v>primary chain records sealed reference and live time</x:v>
      </x:c>
      <x:c r="O520" s="17" t="str">
        <x:v>Primary metrology</x:v>
      </x:c>
      <x:c r="P520" s="9" t="n">
        <x:v>0</x:v>
      </x:c>
      <x:c r="Q520" s="9" t="n">
        <x:v>0</x:v>
      </x:c>
      <x:c r="R520" s="9" t="str">
        <x:v>OPEN / UNSTARTED</x:v>
      </x:c>
      <x:c r="S520" s="9" t="n">
        <x:f>COUNTIFS($A$7:$A$1446,A520)</x:f>
        <x:v>1</x:v>
      </x:c>
    </x:row>
    <x:row r="521">
      <x:c r="A521" s="9" t="str">
        <x:v>EV-AR-HC-A-C-TECH-3-B1-RCN-G0-ST05</x:v>
      </x:c>
      <x:c r="B521" s="9" t="str">
        <x:v>EV-AR-HC-A-C-TECH-3-B1-RCN-G0</x:v>
      </x:c>
      <x:c r="C521" s="9" t="str">
        <x:v>EOW-AR-HC-A-C-TECH-3-B1-RCN-G0</x:v>
      </x:c>
      <x:c r="D521" s="9" t="str">
        <x:v>AR-HC-A-C-TECH-3-B1-RCN-G0</x:v>
      </x:c>
      <x:c r="E521" s="9" t="str">
        <x:v>HC-A-C-TECH-3</x:v>
      </x:c>
      <x:c r="F521" s="9" t="str">
        <x:v>HC-A-C</x:v>
      </x:c>
      <x:c r="G521" s="9" t="str">
        <x:v>B1</x:v>
      </x:c>
      <x:c r="H521" s="9" t="str">
        <x:v>RCN</x:v>
      </x:c>
      <x:c r="I521" s="9" t="n">
        <x:v>3</x:v>
      </x:c>
      <x:c r="J521" s="9" t="n">
        <x:v>1</x:v>
      </x:c>
      <x:c r="K521" s="9" t="str">
        <x:v>HC-A-C-N3</x:v>
      </x:c>
      <x:c r="L521" s="9" t="str">
        <x:v>ST05</x:v>
      </x:c>
      <x:c r="M521" s="17" t="str">
        <x:v>Witness capture armed</x:v>
      </x:c>
      <x:c r="N521" s="17" t="str">
        <x:v>unlike witness records independent reference and live time</x:v>
      </x:c>
      <x:c r="O521" s="17" t="str">
        <x:v>Witness metrology</x:v>
      </x:c>
      <x:c r="P521" s="9" t="n">
        <x:v>0</x:v>
      </x:c>
      <x:c r="Q521" s="9" t="n">
        <x:v>0</x:v>
      </x:c>
      <x:c r="R521" s="9" t="str">
        <x:v>OPEN / UNSTARTED</x:v>
      </x:c>
      <x:c r="S521" s="9" t="n">
        <x:f>COUNTIFS($A$7:$A$1446,A521)</x:f>
        <x:v>1</x:v>
      </x:c>
    </x:row>
    <x:row r="522">
      <x:c r="A522" s="9" t="str">
        <x:v>EV-AR-HC-A-C-TECH-3-B1-RCN-G0-ST06</x:v>
      </x:c>
      <x:c r="B522" s="9" t="str">
        <x:v>EV-AR-HC-A-C-TECH-3-B1-RCN-G0</x:v>
      </x:c>
      <x:c r="C522" s="9" t="str">
        <x:v>EOW-AR-HC-A-C-TECH-3-B1-RCN-G0</x:v>
      </x:c>
      <x:c r="D522" s="9" t="str">
        <x:v>AR-HC-A-C-TECH-3-B1-RCN-G0</x:v>
      </x:c>
      <x:c r="E522" s="9" t="str">
        <x:v>HC-A-C-TECH-3</x:v>
      </x:c>
      <x:c r="F522" s="9" t="str">
        <x:v>HC-A-C</x:v>
      </x:c>
      <x:c r="G522" s="9" t="str">
        <x:v>B1</x:v>
      </x:c>
      <x:c r="H522" s="9" t="str">
        <x:v>RCN</x:v>
      </x:c>
      <x:c r="I522" s="9" t="n">
        <x:v>3</x:v>
      </x:c>
      <x:c r="J522" s="9" t="n">
        <x:v>1</x:v>
      </x:c>
      <x:c r="K522" s="9" t="str">
        <x:v>HC-A-C-N3</x:v>
      </x:c>
      <x:c r="L522" s="9" t="str">
        <x:v>ST06</x:v>
      </x:c>
      <x:c r="M522" s="17" t="str">
        <x:v>Public custody armed</x:v>
      </x:c>
      <x:c r="N522" s="17" t="str">
        <x:v>eight raw origins have separated hash and replica routes</x:v>
      </x:c>
      <x:c r="O522" s="17" t="str">
        <x:v>Custody authority</x:v>
      </x:c>
      <x:c r="P522" s="9" t="n">
        <x:v>0</x:v>
      </x:c>
      <x:c r="Q522" s="9" t="n">
        <x:v>0</x:v>
      </x:c>
      <x:c r="R522" s="9" t="str">
        <x:v>OPEN / UNSTARTED</x:v>
      </x:c>
      <x:c r="S522" s="9" t="n">
        <x:f>COUNTIFS($A$7:$A$1446,A522)</x:f>
        <x:v>1</x:v>
      </x:c>
    </x:row>
    <x:row r="523">
      <x:c r="A523" s="9" t="str">
        <x:v>EV-AR-HC-A-C-TECH-3-B1-RCN-G0-ST07</x:v>
      </x:c>
      <x:c r="B523" s="9" t="str">
        <x:v>EV-AR-HC-A-C-TECH-3-B1-RCN-G0</x:v>
      </x:c>
      <x:c r="C523" s="9" t="str">
        <x:v>EOW-AR-HC-A-C-TECH-3-B1-RCN-G0</x:v>
      </x:c>
      <x:c r="D523" s="9" t="str">
        <x:v>AR-HC-A-C-TECH-3-B1-RCN-G0</x:v>
      </x:c>
      <x:c r="E523" s="9" t="str">
        <x:v>HC-A-C-TECH-3</x:v>
      </x:c>
      <x:c r="F523" s="9" t="str">
        <x:v>HC-A-C</x:v>
      </x:c>
      <x:c r="G523" s="9" t="str">
        <x:v>B1</x:v>
      </x:c>
      <x:c r="H523" s="9" t="str">
        <x:v>RCN</x:v>
      </x:c>
      <x:c r="I523" s="9" t="n">
        <x:v>3</x:v>
      </x:c>
      <x:c r="J523" s="9" t="n">
        <x:v>1</x:v>
      </x:c>
      <x:c r="K523" s="9" t="str">
        <x:v>HC-A-C-N3</x:v>
      </x:c>
      <x:c r="L523" s="9" t="str">
        <x:v>ST07</x:v>
      </x:c>
      <x:c r="M523" s="17" t="str">
        <x:v>Environmental baseline</x:v>
      </x:c>
      <x:c r="N523" s="17" t="str">
        <x:v>pre-event boundary state is sealed before decisive operation</x:v>
      </x:c>
      <x:c r="O523" s="17" t="str">
        <x:v>Site metrology</x:v>
      </x:c>
      <x:c r="P523" s="9" t="n">
        <x:v>0</x:v>
      </x:c>
      <x:c r="Q523" s="9" t="n">
        <x:v>0</x:v>
      </x:c>
      <x:c r="R523" s="9" t="str">
        <x:v>OPEN / UNSTARTED</x:v>
      </x:c>
      <x:c r="S523" s="9" t="n">
        <x:f>COUNTIFS($A$7:$A$1446,A523)</x:f>
        <x:v>1</x:v>
      </x:c>
    </x:row>
    <x:row r="524">
      <x:c r="A524" s="9" t="str">
        <x:v>EV-AR-HC-A-C-TECH-3-B1-RCN-G0-ST08</x:v>
      </x:c>
      <x:c r="B524" s="9" t="str">
        <x:v>EV-AR-HC-A-C-TECH-3-B1-RCN-G0</x:v>
      </x:c>
      <x:c r="C524" s="9" t="str">
        <x:v>EOW-AR-HC-A-C-TECH-3-B1-RCN-G0</x:v>
      </x:c>
      <x:c r="D524" s="9" t="str">
        <x:v>AR-HC-A-C-TECH-3-B1-RCN-G0</x:v>
      </x:c>
      <x:c r="E524" s="9" t="str">
        <x:v>HC-A-C-TECH-3</x:v>
      </x:c>
      <x:c r="F524" s="9" t="str">
        <x:v>HC-A-C</x:v>
      </x:c>
      <x:c r="G524" s="9" t="str">
        <x:v>B1</x:v>
      </x:c>
      <x:c r="H524" s="9" t="str">
        <x:v>RCN</x:v>
      </x:c>
      <x:c r="I524" s="9" t="n">
        <x:v>3</x:v>
      </x:c>
      <x:c r="J524" s="9" t="n">
        <x:v>1</x:v>
      </x:c>
      <x:c r="K524" s="9" t="str">
        <x:v>HC-A-C-N3</x:v>
      </x:c>
      <x:c r="L524" s="9" t="str">
        <x:v>ST08</x:v>
      </x:c>
      <x:c r="M524" s="17" t="str">
        <x:v>Manual stop and safety</x:v>
      </x:c>
      <x:c r="N524" s="17" t="str">
        <x:v>local stop, evacuation and protection routes are active</x:v>
      </x:c>
      <x:c r="O524" s="17" t="str">
        <x:v>Safety authority</x:v>
      </x:c>
      <x:c r="P524" s="9" t="n">
        <x:v>0</x:v>
      </x:c>
      <x:c r="Q524" s="9" t="n">
        <x:v>0</x:v>
      </x:c>
      <x:c r="R524" s="9" t="str">
        <x:v>OPEN / UNSTARTED</x:v>
      </x:c>
      <x:c r="S524" s="9" t="n">
        <x:f>COUNTIFS($A$7:$A$1446,A524)</x:f>
        <x:v>1</x:v>
      </x:c>
    </x:row>
    <x:row r="525">
      <x:c r="A525" s="9" t="str">
        <x:v>EV-AR-HC-A-C-TECH-3-B1-RCN-G0-ST09</x:v>
      </x:c>
      <x:c r="B525" s="9" t="str">
        <x:v>EV-AR-HC-A-C-TECH-3-B1-RCN-G0</x:v>
      </x:c>
      <x:c r="C525" s="9" t="str">
        <x:v>EOW-AR-HC-A-C-TECH-3-B1-RCN-G0</x:v>
      </x:c>
      <x:c r="D525" s="9" t="str">
        <x:v>AR-HC-A-C-TECH-3-B1-RCN-G0</x:v>
      </x:c>
      <x:c r="E525" s="9" t="str">
        <x:v>HC-A-C-TECH-3</x:v>
      </x:c>
      <x:c r="F525" s="9" t="str">
        <x:v>HC-A-C</x:v>
      </x:c>
      <x:c r="G525" s="9" t="str">
        <x:v>B1</x:v>
      </x:c>
      <x:c r="H525" s="9" t="str">
        <x:v>RCN</x:v>
      </x:c>
      <x:c r="I525" s="9" t="n">
        <x:v>3</x:v>
      </x:c>
      <x:c r="J525" s="9" t="n">
        <x:v>1</x:v>
      </x:c>
      <x:c r="K525" s="9" t="str">
        <x:v>HC-A-C-N3</x:v>
      </x:c>
      <x:c r="L525" s="9" t="str">
        <x:v>ST09</x:v>
      </x:c>
      <x:c r="M525" s="17" t="str">
        <x:v>Operator conflict clear</x:v>
      </x:c>
      <x:c r="N525" s="17" t="str">
        <x:v>candidate, fixture, safety and measurement control edges remain separated</x:v>
      </x:c>
      <x:c r="O525" s="17" t="str">
        <x:v>Conflict registrar</x:v>
      </x:c>
      <x:c r="P525" s="9" t="n">
        <x:v>0</x:v>
      </x:c>
      <x:c r="Q525" s="9" t="n">
        <x:v>0</x:v>
      </x:c>
      <x:c r="R525" s="9" t="str">
        <x:v>OPEN / UNSTARTED</x:v>
      </x:c>
      <x:c r="S525" s="9" t="n">
        <x:f>COUNTIFS($A$7:$A$1446,A525)</x:f>
        <x:v>1</x:v>
      </x:c>
    </x:row>
    <x:row r="526">
      <x:c r="A526" s="9" t="str">
        <x:v>EV-AR-HC-A-C-TECH-3-B1-RCN-G0-ST10</x:v>
      </x:c>
      <x:c r="B526" s="9" t="str">
        <x:v>EV-AR-HC-A-C-TECH-3-B1-RCN-G0</x:v>
      </x:c>
      <x:c r="C526" s="9" t="str">
        <x:v>EOW-AR-HC-A-C-TECH-3-B1-RCN-G0</x:v>
      </x:c>
      <x:c r="D526" s="9" t="str">
        <x:v>AR-HC-A-C-TECH-3-B1-RCN-G0</x:v>
      </x:c>
      <x:c r="E526" s="9" t="str">
        <x:v>HC-A-C-TECH-3</x:v>
      </x:c>
      <x:c r="F526" s="9" t="str">
        <x:v>HC-A-C</x:v>
      </x:c>
      <x:c r="G526" s="9" t="str">
        <x:v>B1</x:v>
      </x:c>
      <x:c r="H526" s="9" t="str">
        <x:v>RCN</x:v>
      </x:c>
      <x:c r="I526" s="9" t="n">
        <x:v>3</x:v>
      </x:c>
      <x:c r="J526" s="9" t="n">
        <x:v>1</x:v>
      </x:c>
      <x:c r="K526" s="9" t="str">
        <x:v>HC-A-C-N3</x:v>
      </x:c>
      <x:c r="L526" s="9" t="str">
        <x:v>ST10</x:v>
      </x:c>
      <x:c r="M526" s="17" t="str">
        <x:v>Window and common clock</x:v>
      </x:c>
      <x:c r="N526" s="17" t="str">
        <x:v>epoch, window and public time origin match the issued warrant</x:v>
      </x:c>
      <x:c r="O526" s="17" t="str">
        <x:v>Event clock authority</x:v>
      </x:c>
      <x:c r="P526" s="9" t="n">
        <x:v>0</x:v>
      </x:c>
      <x:c r="Q526" s="9" t="n">
        <x:v>0</x:v>
      </x:c>
      <x:c r="R526" s="9" t="str">
        <x:v>OPEN / UNSTARTED</x:v>
      </x:c>
      <x:c r="S526" s="9" t="n">
        <x:f>COUNTIFS($A$7:$A$1446,A526)</x:f>
        <x:v>1</x:v>
      </x:c>
    </x:row>
    <x:row r="527">
      <x:c r="A527" s="9" t="str">
        <x:v>EV-AR-HU-A-B-TECH-1-B1-RCN-G0-ST01</x:v>
      </x:c>
      <x:c r="B527" s="9" t="str">
        <x:v>EV-AR-HU-A-B-TECH-1-B1-RCN-G0</x:v>
      </x:c>
      <x:c r="C527" s="9" t="str">
        <x:v>EOW-AR-HU-A-B-TECH-1-B1-RCN-G0</x:v>
      </x:c>
      <x:c r="D527" s="9" t="str">
        <x:v>AR-HU-A-B-TECH-1-B1-RCN-G0</x:v>
      </x:c>
      <x:c r="E527" s="9" t="str">
        <x:v>HU-A-B-TECH-1</x:v>
      </x:c>
      <x:c r="F527" s="9" t="str">
        <x:v>HU-A-B</x:v>
      </x:c>
      <x:c r="G527" s="9" t="str">
        <x:v>B1</x:v>
      </x:c>
      <x:c r="H527" s="9" t="str">
        <x:v>RCN</x:v>
      </x:c>
      <x:c r="I527" s="9" t="n">
        <x:v>3</x:v>
      </x:c>
      <x:c r="J527" s="9" t="n">
        <x:v>1</x:v>
      </x:c>
      <x:c r="K527" s="9" t="str">
        <x:v>HU-A-B-N1</x:v>
      </x:c>
      <x:c r="L527" s="9" t="str">
        <x:v>ST01</x:v>
      </x:c>
      <x:c r="M527" s="17" t="str">
        <x:v>Active opportunity warrant</x:v>
      </x:c>
      <x:c r="N527" s="17" t="str">
        <x:v>configuration-bound EOW is within its thirty-six-hour validity</x:v>
      </x:c>
      <x:c r="O527" s="17" t="str">
        <x:v>Start registrar</x:v>
      </x:c>
      <x:c r="P527" s="9" t="n">
        <x:v>0</x:v>
      </x:c>
      <x:c r="Q527" s="9" t="n">
        <x:v>0</x:v>
      </x:c>
      <x:c r="R527" s="9" t="str">
        <x:v>OPEN / UNSTARTED</x:v>
      </x:c>
      <x:c r="S527" s="9" t="n">
        <x:f>COUNTIFS($A$7:$A$1446,A527)</x:f>
        <x:v>1</x:v>
      </x:c>
    </x:row>
    <x:row r="528">
      <x:c r="A528" s="9" t="str">
        <x:v>EV-AR-HU-A-B-TECH-1-B1-RCN-G0-ST02</x:v>
      </x:c>
      <x:c r="B528" s="9" t="str">
        <x:v>EV-AR-HU-A-B-TECH-1-B1-RCN-G0</x:v>
      </x:c>
      <x:c r="C528" s="9" t="str">
        <x:v>EOW-AR-HU-A-B-TECH-1-B1-RCN-G0</x:v>
      </x:c>
      <x:c r="D528" s="9" t="str">
        <x:v>AR-HU-A-B-TECH-1-B1-RCN-G0</x:v>
      </x:c>
      <x:c r="E528" s="9" t="str">
        <x:v>HU-A-B-TECH-1</x:v>
      </x:c>
      <x:c r="F528" s="9" t="str">
        <x:v>HU-A-B</x:v>
      </x:c>
      <x:c r="G528" s="9" t="str">
        <x:v>B1</x:v>
      </x:c>
      <x:c r="H528" s="9" t="str">
        <x:v>RCN</x:v>
      </x:c>
      <x:c r="I528" s="9" t="n">
        <x:v>3</x:v>
      </x:c>
      <x:c r="J528" s="9" t="n">
        <x:v>1</x:v>
      </x:c>
      <x:c r="K528" s="9" t="str">
        <x:v>HU-A-B-N1</x:v>
      </x:c>
      <x:c r="L528" s="9" t="str">
        <x:v>ST02</x:v>
      </x:c>
      <x:c r="M528" s="17" t="str">
        <x:v>Frozen identity</x:v>
      </x:c>
      <x:c r="N528" s="17" t="str">
        <x:v>serial, generation, fixture, site, receiver and digest match the warrant</x:v>
      </x:c>
      <x:c r="O528" s="17" t="str">
        <x:v>Custody authority</x:v>
      </x:c>
      <x:c r="P528" s="9" t="n">
        <x:v>0</x:v>
      </x:c>
      <x:c r="Q528" s="9" t="n">
        <x:v>0</x:v>
      </x:c>
      <x:c r="R528" s="9" t="str">
        <x:v>OPEN / UNSTARTED</x:v>
      </x:c>
      <x:c r="S528" s="9" t="n">
        <x:f>COUNTIFS($A$7:$A$1446,A528)</x:f>
        <x:v>1</x:v>
      </x:c>
    </x:row>
    <x:row r="529">
      <x:c r="A529" s="9" t="str">
        <x:v>EV-AR-HU-A-B-TECH-1-B1-RCN-G0-ST03</x:v>
      </x:c>
      <x:c r="B529" s="9" t="str">
        <x:v>EV-AR-HU-A-B-TECH-1-B1-RCN-G0</x:v>
      </x:c>
      <x:c r="C529" s="9" t="str">
        <x:v>EOW-AR-HU-A-B-TECH-1-B1-RCN-G0</x:v>
      </x:c>
      <x:c r="D529" s="9" t="str">
        <x:v>AR-HU-A-B-TECH-1-B1-RCN-G0</x:v>
      </x:c>
      <x:c r="E529" s="9" t="str">
        <x:v>HU-A-B-TECH-1</x:v>
      </x:c>
      <x:c r="F529" s="9" t="str">
        <x:v>HU-A-B</x:v>
      </x:c>
      <x:c r="G529" s="9" t="str">
        <x:v>B1</x:v>
      </x:c>
      <x:c r="H529" s="9" t="str">
        <x:v>RCN</x:v>
      </x:c>
      <x:c r="I529" s="9" t="n">
        <x:v>3</x:v>
      </x:c>
      <x:c r="J529" s="9" t="n">
        <x:v>1</x:v>
      </x:c>
      <x:c r="K529" s="9" t="str">
        <x:v>HU-A-B-N1</x:v>
      </x:c>
      <x:c r="L529" s="9" t="str">
        <x:v>ST03</x:v>
      </x:c>
      <x:c r="M529" s="17" t="str">
        <x:v>Receiver receipt</x:v>
      </x:c>
      <x:c r="N529" s="17" t="str">
        <x:v>denominator, counterfactual, rights and stop receipt remain unchanged</x:v>
      </x:c>
      <x:c r="O529" s="17" t="str">
        <x:v>Receiver authority</x:v>
      </x:c>
      <x:c r="P529" s="9" t="n">
        <x:v>0</x:v>
      </x:c>
      <x:c r="Q529" s="9" t="n">
        <x:v>0</x:v>
      </x:c>
      <x:c r="R529" s="9" t="str">
        <x:v>OPEN / UNSTARTED</x:v>
      </x:c>
      <x:c r="S529" s="9" t="n">
        <x:f>COUNTIFS($A$7:$A$1446,A529)</x:f>
        <x:v>1</x:v>
      </x:c>
    </x:row>
    <x:row r="530">
      <x:c r="A530" s="9" t="str">
        <x:v>EV-AR-HU-A-B-TECH-1-B1-RCN-G0-ST04</x:v>
      </x:c>
      <x:c r="B530" s="9" t="str">
        <x:v>EV-AR-HU-A-B-TECH-1-B1-RCN-G0</x:v>
      </x:c>
      <x:c r="C530" s="9" t="str">
        <x:v>EOW-AR-HU-A-B-TECH-1-B1-RCN-G0</x:v>
      </x:c>
      <x:c r="D530" s="9" t="str">
        <x:v>AR-HU-A-B-TECH-1-B1-RCN-G0</x:v>
      </x:c>
      <x:c r="E530" s="9" t="str">
        <x:v>HU-A-B-TECH-1</x:v>
      </x:c>
      <x:c r="F530" s="9" t="str">
        <x:v>HU-A-B</x:v>
      </x:c>
      <x:c r="G530" s="9" t="str">
        <x:v>B1</x:v>
      </x:c>
      <x:c r="H530" s="9" t="str">
        <x:v>RCN</x:v>
      </x:c>
      <x:c r="I530" s="9" t="n">
        <x:v>3</x:v>
      </x:c>
      <x:c r="J530" s="9" t="n">
        <x:v>1</x:v>
      </x:c>
      <x:c r="K530" s="9" t="str">
        <x:v>HU-A-B-N1</x:v>
      </x:c>
      <x:c r="L530" s="9" t="str">
        <x:v>ST04</x:v>
      </x:c>
      <x:c r="M530" s="17" t="str">
        <x:v>Primary capture armed</x:v>
      </x:c>
      <x:c r="N530" s="17" t="str">
        <x:v>primary chain records sealed reference and live time</x:v>
      </x:c>
      <x:c r="O530" s="17" t="str">
        <x:v>Primary metrology</x:v>
      </x:c>
      <x:c r="P530" s="9" t="n">
        <x:v>0</x:v>
      </x:c>
      <x:c r="Q530" s="9" t="n">
        <x:v>0</x:v>
      </x:c>
      <x:c r="R530" s="9" t="str">
        <x:v>OPEN / UNSTARTED</x:v>
      </x:c>
      <x:c r="S530" s="9" t="n">
        <x:f>COUNTIFS($A$7:$A$1446,A530)</x:f>
        <x:v>1</x:v>
      </x:c>
    </x:row>
    <x:row r="531">
      <x:c r="A531" s="9" t="str">
        <x:v>EV-AR-HU-A-B-TECH-1-B1-RCN-G0-ST05</x:v>
      </x:c>
      <x:c r="B531" s="9" t="str">
        <x:v>EV-AR-HU-A-B-TECH-1-B1-RCN-G0</x:v>
      </x:c>
      <x:c r="C531" s="9" t="str">
        <x:v>EOW-AR-HU-A-B-TECH-1-B1-RCN-G0</x:v>
      </x:c>
      <x:c r="D531" s="9" t="str">
        <x:v>AR-HU-A-B-TECH-1-B1-RCN-G0</x:v>
      </x:c>
      <x:c r="E531" s="9" t="str">
        <x:v>HU-A-B-TECH-1</x:v>
      </x:c>
      <x:c r="F531" s="9" t="str">
        <x:v>HU-A-B</x:v>
      </x:c>
      <x:c r="G531" s="9" t="str">
        <x:v>B1</x:v>
      </x:c>
      <x:c r="H531" s="9" t="str">
        <x:v>RCN</x:v>
      </x:c>
      <x:c r="I531" s="9" t="n">
        <x:v>3</x:v>
      </x:c>
      <x:c r="J531" s="9" t="n">
        <x:v>1</x:v>
      </x:c>
      <x:c r="K531" s="9" t="str">
        <x:v>HU-A-B-N1</x:v>
      </x:c>
      <x:c r="L531" s="9" t="str">
        <x:v>ST05</x:v>
      </x:c>
      <x:c r="M531" s="17" t="str">
        <x:v>Witness capture armed</x:v>
      </x:c>
      <x:c r="N531" s="17" t="str">
        <x:v>unlike witness records independent reference and live time</x:v>
      </x:c>
      <x:c r="O531" s="17" t="str">
        <x:v>Witness metrology</x:v>
      </x:c>
      <x:c r="P531" s="9" t="n">
        <x:v>0</x:v>
      </x:c>
      <x:c r="Q531" s="9" t="n">
        <x:v>0</x:v>
      </x:c>
      <x:c r="R531" s="9" t="str">
        <x:v>OPEN / UNSTARTED</x:v>
      </x:c>
      <x:c r="S531" s="9" t="n">
        <x:f>COUNTIFS($A$7:$A$1446,A531)</x:f>
        <x:v>1</x:v>
      </x:c>
    </x:row>
    <x:row r="532">
      <x:c r="A532" s="9" t="str">
        <x:v>EV-AR-HU-A-B-TECH-1-B1-RCN-G0-ST06</x:v>
      </x:c>
      <x:c r="B532" s="9" t="str">
        <x:v>EV-AR-HU-A-B-TECH-1-B1-RCN-G0</x:v>
      </x:c>
      <x:c r="C532" s="9" t="str">
        <x:v>EOW-AR-HU-A-B-TECH-1-B1-RCN-G0</x:v>
      </x:c>
      <x:c r="D532" s="9" t="str">
        <x:v>AR-HU-A-B-TECH-1-B1-RCN-G0</x:v>
      </x:c>
      <x:c r="E532" s="9" t="str">
        <x:v>HU-A-B-TECH-1</x:v>
      </x:c>
      <x:c r="F532" s="9" t="str">
        <x:v>HU-A-B</x:v>
      </x:c>
      <x:c r="G532" s="9" t="str">
        <x:v>B1</x:v>
      </x:c>
      <x:c r="H532" s="9" t="str">
        <x:v>RCN</x:v>
      </x:c>
      <x:c r="I532" s="9" t="n">
        <x:v>3</x:v>
      </x:c>
      <x:c r="J532" s="9" t="n">
        <x:v>1</x:v>
      </x:c>
      <x:c r="K532" s="9" t="str">
        <x:v>HU-A-B-N1</x:v>
      </x:c>
      <x:c r="L532" s="9" t="str">
        <x:v>ST06</x:v>
      </x:c>
      <x:c r="M532" s="17" t="str">
        <x:v>Public custody armed</x:v>
      </x:c>
      <x:c r="N532" s="17" t="str">
        <x:v>eight raw origins have separated hash and replica routes</x:v>
      </x:c>
      <x:c r="O532" s="17" t="str">
        <x:v>Custody authority</x:v>
      </x:c>
      <x:c r="P532" s="9" t="n">
        <x:v>0</x:v>
      </x:c>
      <x:c r="Q532" s="9" t="n">
        <x:v>0</x:v>
      </x:c>
      <x:c r="R532" s="9" t="str">
        <x:v>OPEN / UNSTARTED</x:v>
      </x:c>
      <x:c r="S532" s="9" t="n">
        <x:f>COUNTIFS($A$7:$A$1446,A532)</x:f>
        <x:v>1</x:v>
      </x:c>
    </x:row>
    <x:row r="533">
      <x:c r="A533" s="9" t="str">
        <x:v>EV-AR-HU-A-B-TECH-1-B1-RCN-G0-ST07</x:v>
      </x:c>
      <x:c r="B533" s="9" t="str">
        <x:v>EV-AR-HU-A-B-TECH-1-B1-RCN-G0</x:v>
      </x:c>
      <x:c r="C533" s="9" t="str">
        <x:v>EOW-AR-HU-A-B-TECH-1-B1-RCN-G0</x:v>
      </x:c>
      <x:c r="D533" s="9" t="str">
        <x:v>AR-HU-A-B-TECH-1-B1-RCN-G0</x:v>
      </x:c>
      <x:c r="E533" s="9" t="str">
        <x:v>HU-A-B-TECH-1</x:v>
      </x:c>
      <x:c r="F533" s="9" t="str">
        <x:v>HU-A-B</x:v>
      </x:c>
      <x:c r="G533" s="9" t="str">
        <x:v>B1</x:v>
      </x:c>
      <x:c r="H533" s="9" t="str">
        <x:v>RCN</x:v>
      </x:c>
      <x:c r="I533" s="9" t="n">
        <x:v>3</x:v>
      </x:c>
      <x:c r="J533" s="9" t="n">
        <x:v>1</x:v>
      </x:c>
      <x:c r="K533" s="9" t="str">
        <x:v>HU-A-B-N1</x:v>
      </x:c>
      <x:c r="L533" s="9" t="str">
        <x:v>ST07</x:v>
      </x:c>
      <x:c r="M533" s="17" t="str">
        <x:v>Environmental baseline</x:v>
      </x:c>
      <x:c r="N533" s="17" t="str">
        <x:v>pre-event boundary state is sealed before decisive operation</x:v>
      </x:c>
      <x:c r="O533" s="17" t="str">
        <x:v>Site metrology</x:v>
      </x:c>
      <x:c r="P533" s="9" t="n">
        <x:v>0</x:v>
      </x:c>
      <x:c r="Q533" s="9" t="n">
        <x:v>0</x:v>
      </x:c>
      <x:c r="R533" s="9" t="str">
        <x:v>OPEN / UNSTARTED</x:v>
      </x:c>
      <x:c r="S533" s="9" t="n">
        <x:f>COUNTIFS($A$7:$A$1446,A533)</x:f>
        <x:v>1</x:v>
      </x:c>
    </x:row>
    <x:row r="534">
      <x:c r="A534" s="9" t="str">
        <x:v>EV-AR-HU-A-B-TECH-1-B1-RCN-G0-ST08</x:v>
      </x:c>
      <x:c r="B534" s="9" t="str">
        <x:v>EV-AR-HU-A-B-TECH-1-B1-RCN-G0</x:v>
      </x:c>
      <x:c r="C534" s="9" t="str">
        <x:v>EOW-AR-HU-A-B-TECH-1-B1-RCN-G0</x:v>
      </x:c>
      <x:c r="D534" s="9" t="str">
        <x:v>AR-HU-A-B-TECH-1-B1-RCN-G0</x:v>
      </x:c>
      <x:c r="E534" s="9" t="str">
        <x:v>HU-A-B-TECH-1</x:v>
      </x:c>
      <x:c r="F534" s="9" t="str">
        <x:v>HU-A-B</x:v>
      </x:c>
      <x:c r="G534" s="9" t="str">
        <x:v>B1</x:v>
      </x:c>
      <x:c r="H534" s="9" t="str">
        <x:v>RCN</x:v>
      </x:c>
      <x:c r="I534" s="9" t="n">
        <x:v>3</x:v>
      </x:c>
      <x:c r="J534" s="9" t="n">
        <x:v>1</x:v>
      </x:c>
      <x:c r="K534" s="9" t="str">
        <x:v>HU-A-B-N1</x:v>
      </x:c>
      <x:c r="L534" s="9" t="str">
        <x:v>ST08</x:v>
      </x:c>
      <x:c r="M534" s="17" t="str">
        <x:v>Manual stop and safety</x:v>
      </x:c>
      <x:c r="N534" s="17" t="str">
        <x:v>local stop, evacuation and protection routes are active</x:v>
      </x:c>
      <x:c r="O534" s="17" t="str">
        <x:v>Safety authority</x:v>
      </x:c>
      <x:c r="P534" s="9" t="n">
        <x:v>0</x:v>
      </x:c>
      <x:c r="Q534" s="9" t="n">
        <x:v>0</x:v>
      </x:c>
      <x:c r="R534" s="9" t="str">
        <x:v>OPEN / UNSTARTED</x:v>
      </x:c>
      <x:c r="S534" s="9" t="n">
        <x:f>COUNTIFS($A$7:$A$1446,A534)</x:f>
        <x:v>1</x:v>
      </x:c>
    </x:row>
    <x:row r="535">
      <x:c r="A535" s="9" t="str">
        <x:v>EV-AR-HU-A-B-TECH-1-B1-RCN-G0-ST09</x:v>
      </x:c>
      <x:c r="B535" s="9" t="str">
        <x:v>EV-AR-HU-A-B-TECH-1-B1-RCN-G0</x:v>
      </x:c>
      <x:c r="C535" s="9" t="str">
        <x:v>EOW-AR-HU-A-B-TECH-1-B1-RCN-G0</x:v>
      </x:c>
      <x:c r="D535" s="9" t="str">
        <x:v>AR-HU-A-B-TECH-1-B1-RCN-G0</x:v>
      </x:c>
      <x:c r="E535" s="9" t="str">
        <x:v>HU-A-B-TECH-1</x:v>
      </x:c>
      <x:c r="F535" s="9" t="str">
        <x:v>HU-A-B</x:v>
      </x:c>
      <x:c r="G535" s="9" t="str">
        <x:v>B1</x:v>
      </x:c>
      <x:c r="H535" s="9" t="str">
        <x:v>RCN</x:v>
      </x:c>
      <x:c r="I535" s="9" t="n">
        <x:v>3</x:v>
      </x:c>
      <x:c r="J535" s="9" t="n">
        <x:v>1</x:v>
      </x:c>
      <x:c r="K535" s="9" t="str">
        <x:v>HU-A-B-N1</x:v>
      </x:c>
      <x:c r="L535" s="9" t="str">
        <x:v>ST09</x:v>
      </x:c>
      <x:c r="M535" s="17" t="str">
        <x:v>Operator conflict clear</x:v>
      </x:c>
      <x:c r="N535" s="17" t="str">
        <x:v>candidate, fixture, safety and measurement control edges remain separated</x:v>
      </x:c>
      <x:c r="O535" s="17" t="str">
        <x:v>Conflict registrar</x:v>
      </x:c>
      <x:c r="P535" s="9" t="n">
        <x:v>0</x:v>
      </x:c>
      <x:c r="Q535" s="9" t="n">
        <x:v>0</x:v>
      </x:c>
      <x:c r="R535" s="9" t="str">
        <x:v>OPEN / UNSTARTED</x:v>
      </x:c>
      <x:c r="S535" s="9" t="n">
        <x:f>COUNTIFS($A$7:$A$1446,A535)</x:f>
        <x:v>1</x:v>
      </x:c>
    </x:row>
    <x:row r="536">
      <x:c r="A536" s="9" t="str">
        <x:v>EV-AR-HU-A-B-TECH-1-B1-RCN-G0-ST10</x:v>
      </x:c>
      <x:c r="B536" s="9" t="str">
        <x:v>EV-AR-HU-A-B-TECH-1-B1-RCN-G0</x:v>
      </x:c>
      <x:c r="C536" s="9" t="str">
        <x:v>EOW-AR-HU-A-B-TECH-1-B1-RCN-G0</x:v>
      </x:c>
      <x:c r="D536" s="9" t="str">
        <x:v>AR-HU-A-B-TECH-1-B1-RCN-G0</x:v>
      </x:c>
      <x:c r="E536" s="9" t="str">
        <x:v>HU-A-B-TECH-1</x:v>
      </x:c>
      <x:c r="F536" s="9" t="str">
        <x:v>HU-A-B</x:v>
      </x:c>
      <x:c r="G536" s="9" t="str">
        <x:v>B1</x:v>
      </x:c>
      <x:c r="H536" s="9" t="str">
        <x:v>RCN</x:v>
      </x:c>
      <x:c r="I536" s="9" t="n">
        <x:v>3</x:v>
      </x:c>
      <x:c r="J536" s="9" t="n">
        <x:v>1</x:v>
      </x:c>
      <x:c r="K536" s="9" t="str">
        <x:v>HU-A-B-N1</x:v>
      </x:c>
      <x:c r="L536" s="9" t="str">
        <x:v>ST10</x:v>
      </x:c>
      <x:c r="M536" s="17" t="str">
        <x:v>Window and common clock</x:v>
      </x:c>
      <x:c r="N536" s="17" t="str">
        <x:v>epoch, window and public time origin match the issued warrant</x:v>
      </x:c>
      <x:c r="O536" s="17" t="str">
        <x:v>Event clock authority</x:v>
      </x:c>
      <x:c r="P536" s="9" t="n">
        <x:v>0</x:v>
      </x:c>
      <x:c r="Q536" s="9" t="n">
        <x:v>0</x:v>
      </x:c>
      <x:c r="R536" s="9" t="str">
        <x:v>OPEN / UNSTARTED</x:v>
      </x:c>
      <x:c r="S536" s="9" t="n">
        <x:f>COUNTIFS($A$7:$A$1446,A536)</x:f>
        <x:v>1</x:v>
      </x:c>
    </x:row>
    <x:row r="537">
      <x:c r="A537" s="9" t="str">
        <x:v>EV-AR-RT-B-C-TECH-3-B2-INT-G0-ST01</x:v>
      </x:c>
      <x:c r="B537" s="9" t="str">
        <x:v>EV-AR-RT-B-C-TECH-3-B2-INT-G0</x:v>
      </x:c>
      <x:c r="C537" s="9" t="str">
        <x:v>EOW-AR-RT-B-C-TECH-3-B2-INT-G0</x:v>
      </x:c>
      <x:c r="D537" s="9" t="str">
        <x:v>AR-RT-B-C-TECH-3-B2-INT-G0</x:v>
      </x:c>
      <x:c r="E537" s="9" t="str">
        <x:v>RT-B-C-TECH-3</x:v>
      </x:c>
      <x:c r="F537" s="9" t="str">
        <x:v>RT-B-C</x:v>
      </x:c>
      <x:c r="G537" s="9" t="str">
        <x:v>B2</x:v>
      </x:c>
      <x:c r="H537" s="9" t="str">
        <x:v>INT</x:v>
      </x:c>
      <x:c r="I537" s="9" t="n">
        <x:v>3</x:v>
      </x:c>
      <x:c r="J537" s="9" t="n">
        <x:v>1</x:v>
      </x:c>
      <x:c r="K537" s="9" t="str">
        <x:v>RT-B-C-N1</x:v>
      </x:c>
      <x:c r="L537" s="9" t="str">
        <x:v>ST01</x:v>
      </x:c>
      <x:c r="M537" s="17" t="str">
        <x:v>Active opportunity warrant</x:v>
      </x:c>
      <x:c r="N537" s="17" t="str">
        <x:v>configuration-bound EOW is within its thirty-six-hour validity</x:v>
      </x:c>
      <x:c r="O537" s="17" t="str">
        <x:v>Start registrar</x:v>
      </x:c>
      <x:c r="P537" s="9" t="n">
        <x:v>0</x:v>
      </x:c>
      <x:c r="Q537" s="9" t="n">
        <x:v>0</x:v>
      </x:c>
      <x:c r="R537" s="9" t="str">
        <x:v>OPEN / UNSTARTED</x:v>
      </x:c>
      <x:c r="S537" s="9" t="n">
        <x:f>COUNTIFS($A$7:$A$1446,A537)</x:f>
        <x:v>1</x:v>
      </x:c>
    </x:row>
    <x:row r="538">
      <x:c r="A538" s="9" t="str">
        <x:v>EV-AR-RT-B-C-TECH-3-B2-INT-G0-ST02</x:v>
      </x:c>
      <x:c r="B538" s="9" t="str">
        <x:v>EV-AR-RT-B-C-TECH-3-B2-INT-G0</x:v>
      </x:c>
      <x:c r="C538" s="9" t="str">
        <x:v>EOW-AR-RT-B-C-TECH-3-B2-INT-G0</x:v>
      </x:c>
      <x:c r="D538" s="9" t="str">
        <x:v>AR-RT-B-C-TECH-3-B2-INT-G0</x:v>
      </x:c>
      <x:c r="E538" s="9" t="str">
        <x:v>RT-B-C-TECH-3</x:v>
      </x:c>
      <x:c r="F538" s="9" t="str">
        <x:v>RT-B-C</x:v>
      </x:c>
      <x:c r="G538" s="9" t="str">
        <x:v>B2</x:v>
      </x:c>
      <x:c r="H538" s="9" t="str">
        <x:v>INT</x:v>
      </x:c>
      <x:c r="I538" s="9" t="n">
        <x:v>3</x:v>
      </x:c>
      <x:c r="J538" s="9" t="n">
        <x:v>1</x:v>
      </x:c>
      <x:c r="K538" s="9" t="str">
        <x:v>RT-B-C-N1</x:v>
      </x:c>
      <x:c r="L538" s="9" t="str">
        <x:v>ST02</x:v>
      </x:c>
      <x:c r="M538" s="17" t="str">
        <x:v>Frozen identity</x:v>
      </x:c>
      <x:c r="N538" s="17" t="str">
        <x:v>serial, generation, fixture, site, receiver and digest match the warrant</x:v>
      </x:c>
      <x:c r="O538" s="17" t="str">
        <x:v>Custody authority</x:v>
      </x:c>
      <x:c r="P538" s="9" t="n">
        <x:v>0</x:v>
      </x:c>
      <x:c r="Q538" s="9" t="n">
        <x:v>0</x:v>
      </x:c>
      <x:c r="R538" s="9" t="str">
        <x:v>OPEN / UNSTARTED</x:v>
      </x:c>
      <x:c r="S538" s="9" t="n">
        <x:f>COUNTIFS($A$7:$A$1446,A538)</x:f>
        <x:v>1</x:v>
      </x:c>
    </x:row>
    <x:row r="539">
      <x:c r="A539" s="9" t="str">
        <x:v>EV-AR-RT-B-C-TECH-3-B2-INT-G0-ST03</x:v>
      </x:c>
      <x:c r="B539" s="9" t="str">
        <x:v>EV-AR-RT-B-C-TECH-3-B2-INT-G0</x:v>
      </x:c>
      <x:c r="C539" s="9" t="str">
        <x:v>EOW-AR-RT-B-C-TECH-3-B2-INT-G0</x:v>
      </x:c>
      <x:c r="D539" s="9" t="str">
        <x:v>AR-RT-B-C-TECH-3-B2-INT-G0</x:v>
      </x:c>
      <x:c r="E539" s="9" t="str">
        <x:v>RT-B-C-TECH-3</x:v>
      </x:c>
      <x:c r="F539" s="9" t="str">
        <x:v>RT-B-C</x:v>
      </x:c>
      <x:c r="G539" s="9" t="str">
        <x:v>B2</x:v>
      </x:c>
      <x:c r="H539" s="9" t="str">
        <x:v>INT</x:v>
      </x:c>
      <x:c r="I539" s="9" t="n">
        <x:v>3</x:v>
      </x:c>
      <x:c r="J539" s="9" t="n">
        <x:v>1</x:v>
      </x:c>
      <x:c r="K539" s="9" t="str">
        <x:v>RT-B-C-N1</x:v>
      </x:c>
      <x:c r="L539" s="9" t="str">
        <x:v>ST03</x:v>
      </x:c>
      <x:c r="M539" s="17" t="str">
        <x:v>Receiver receipt</x:v>
      </x:c>
      <x:c r="N539" s="17" t="str">
        <x:v>denominator, counterfactual, rights and stop receipt remain unchanged</x:v>
      </x:c>
      <x:c r="O539" s="17" t="str">
        <x:v>Receiver authority</x:v>
      </x:c>
      <x:c r="P539" s="9" t="n">
        <x:v>0</x:v>
      </x:c>
      <x:c r="Q539" s="9" t="n">
        <x:v>0</x:v>
      </x:c>
      <x:c r="R539" s="9" t="str">
        <x:v>OPEN / UNSTARTED</x:v>
      </x:c>
      <x:c r="S539" s="9" t="n">
        <x:f>COUNTIFS($A$7:$A$1446,A539)</x:f>
        <x:v>1</x:v>
      </x:c>
    </x:row>
    <x:row r="540">
      <x:c r="A540" s="9" t="str">
        <x:v>EV-AR-RT-B-C-TECH-3-B2-INT-G0-ST04</x:v>
      </x:c>
      <x:c r="B540" s="9" t="str">
        <x:v>EV-AR-RT-B-C-TECH-3-B2-INT-G0</x:v>
      </x:c>
      <x:c r="C540" s="9" t="str">
        <x:v>EOW-AR-RT-B-C-TECH-3-B2-INT-G0</x:v>
      </x:c>
      <x:c r="D540" s="9" t="str">
        <x:v>AR-RT-B-C-TECH-3-B2-INT-G0</x:v>
      </x:c>
      <x:c r="E540" s="9" t="str">
        <x:v>RT-B-C-TECH-3</x:v>
      </x:c>
      <x:c r="F540" s="9" t="str">
        <x:v>RT-B-C</x:v>
      </x:c>
      <x:c r="G540" s="9" t="str">
        <x:v>B2</x:v>
      </x:c>
      <x:c r="H540" s="9" t="str">
        <x:v>INT</x:v>
      </x:c>
      <x:c r="I540" s="9" t="n">
        <x:v>3</x:v>
      </x:c>
      <x:c r="J540" s="9" t="n">
        <x:v>1</x:v>
      </x:c>
      <x:c r="K540" s="9" t="str">
        <x:v>RT-B-C-N1</x:v>
      </x:c>
      <x:c r="L540" s="9" t="str">
        <x:v>ST04</x:v>
      </x:c>
      <x:c r="M540" s="17" t="str">
        <x:v>Primary capture armed</x:v>
      </x:c>
      <x:c r="N540" s="17" t="str">
        <x:v>primary chain records sealed reference and live time</x:v>
      </x:c>
      <x:c r="O540" s="17" t="str">
        <x:v>Primary metrology</x:v>
      </x:c>
      <x:c r="P540" s="9" t="n">
        <x:v>0</x:v>
      </x:c>
      <x:c r="Q540" s="9" t="n">
        <x:v>0</x:v>
      </x:c>
      <x:c r="R540" s="9" t="str">
        <x:v>OPEN / UNSTARTED</x:v>
      </x:c>
      <x:c r="S540" s="9" t="n">
        <x:f>COUNTIFS($A$7:$A$1446,A540)</x:f>
        <x:v>1</x:v>
      </x:c>
    </x:row>
    <x:row r="541">
      <x:c r="A541" s="9" t="str">
        <x:v>EV-AR-RT-B-C-TECH-3-B2-INT-G0-ST05</x:v>
      </x:c>
      <x:c r="B541" s="9" t="str">
        <x:v>EV-AR-RT-B-C-TECH-3-B2-INT-G0</x:v>
      </x:c>
      <x:c r="C541" s="9" t="str">
        <x:v>EOW-AR-RT-B-C-TECH-3-B2-INT-G0</x:v>
      </x:c>
      <x:c r="D541" s="9" t="str">
        <x:v>AR-RT-B-C-TECH-3-B2-INT-G0</x:v>
      </x:c>
      <x:c r="E541" s="9" t="str">
        <x:v>RT-B-C-TECH-3</x:v>
      </x:c>
      <x:c r="F541" s="9" t="str">
        <x:v>RT-B-C</x:v>
      </x:c>
      <x:c r="G541" s="9" t="str">
        <x:v>B2</x:v>
      </x:c>
      <x:c r="H541" s="9" t="str">
        <x:v>INT</x:v>
      </x:c>
      <x:c r="I541" s="9" t="n">
        <x:v>3</x:v>
      </x:c>
      <x:c r="J541" s="9" t="n">
        <x:v>1</x:v>
      </x:c>
      <x:c r="K541" s="9" t="str">
        <x:v>RT-B-C-N1</x:v>
      </x:c>
      <x:c r="L541" s="9" t="str">
        <x:v>ST05</x:v>
      </x:c>
      <x:c r="M541" s="17" t="str">
        <x:v>Witness capture armed</x:v>
      </x:c>
      <x:c r="N541" s="17" t="str">
        <x:v>unlike witness records independent reference and live time</x:v>
      </x:c>
      <x:c r="O541" s="17" t="str">
        <x:v>Witness metrology</x:v>
      </x:c>
      <x:c r="P541" s="9" t="n">
        <x:v>0</x:v>
      </x:c>
      <x:c r="Q541" s="9" t="n">
        <x:v>0</x:v>
      </x:c>
      <x:c r="R541" s="9" t="str">
        <x:v>OPEN / UNSTARTED</x:v>
      </x:c>
      <x:c r="S541" s="9" t="n">
        <x:f>COUNTIFS($A$7:$A$1446,A541)</x:f>
        <x:v>1</x:v>
      </x:c>
    </x:row>
    <x:row r="542">
      <x:c r="A542" s="9" t="str">
        <x:v>EV-AR-RT-B-C-TECH-3-B2-INT-G0-ST06</x:v>
      </x:c>
      <x:c r="B542" s="9" t="str">
        <x:v>EV-AR-RT-B-C-TECH-3-B2-INT-G0</x:v>
      </x:c>
      <x:c r="C542" s="9" t="str">
        <x:v>EOW-AR-RT-B-C-TECH-3-B2-INT-G0</x:v>
      </x:c>
      <x:c r="D542" s="9" t="str">
        <x:v>AR-RT-B-C-TECH-3-B2-INT-G0</x:v>
      </x:c>
      <x:c r="E542" s="9" t="str">
        <x:v>RT-B-C-TECH-3</x:v>
      </x:c>
      <x:c r="F542" s="9" t="str">
        <x:v>RT-B-C</x:v>
      </x:c>
      <x:c r="G542" s="9" t="str">
        <x:v>B2</x:v>
      </x:c>
      <x:c r="H542" s="9" t="str">
        <x:v>INT</x:v>
      </x:c>
      <x:c r="I542" s="9" t="n">
        <x:v>3</x:v>
      </x:c>
      <x:c r="J542" s="9" t="n">
        <x:v>1</x:v>
      </x:c>
      <x:c r="K542" s="9" t="str">
        <x:v>RT-B-C-N1</x:v>
      </x:c>
      <x:c r="L542" s="9" t="str">
        <x:v>ST06</x:v>
      </x:c>
      <x:c r="M542" s="17" t="str">
        <x:v>Public custody armed</x:v>
      </x:c>
      <x:c r="N542" s="17" t="str">
        <x:v>eight raw origins have separated hash and replica routes</x:v>
      </x:c>
      <x:c r="O542" s="17" t="str">
        <x:v>Custody authority</x:v>
      </x:c>
      <x:c r="P542" s="9" t="n">
        <x:v>0</x:v>
      </x:c>
      <x:c r="Q542" s="9" t="n">
        <x:v>0</x:v>
      </x:c>
      <x:c r="R542" s="9" t="str">
        <x:v>OPEN / UNSTARTED</x:v>
      </x:c>
      <x:c r="S542" s="9" t="n">
        <x:f>COUNTIFS($A$7:$A$1446,A542)</x:f>
        <x:v>1</x:v>
      </x:c>
    </x:row>
    <x:row r="543">
      <x:c r="A543" s="9" t="str">
        <x:v>EV-AR-RT-B-C-TECH-3-B2-INT-G0-ST07</x:v>
      </x:c>
      <x:c r="B543" s="9" t="str">
        <x:v>EV-AR-RT-B-C-TECH-3-B2-INT-G0</x:v>
      </x:c>
      <x:c r="C543" s="9" t="str">
        <x:v>EOW-AR-RT-B-C-TECH-3-B2-INT-G0</x:v>
      </x:c>
      <x:c r="D543" s="9" t="str">
        <x:v>AR-RT-B-C-TECH-3-B2-INT-G0</x:v>
      </x:c>
      <x:c r="E543" s="9" t="str">
        <x:v>RT-B-C-TECH-3</x:v>
      </x:c>
      <x:c r="F543" s="9" t="str">
        <x:v>RT-B-C</x:v>
      </x:c>
      <x:c r="G543" s="9" t="str">
        <x:v>B2</x:v>
      </x:c>
      <x:c r="H543" s="9" t="str">
        <x:v>INT</x:v>
      </x:c>
      <x:c r="I543" s="9" t="n">
        <x:v>3</x:v>
      </x:c>
      <x:c r="J543" s="9" t="n">
        <x:v>1</x:v>
      </x:c>
      <x:c r="K543" s="9" t="str">
        <x:v>RT-B-C-N1</x:v>
      </x:c>
      <x:c r="L543" s="9" t="str">
        <x:v>ST07</x:v>
      </x:c>
      <x:c r="M543" s="17" t="str">
        <x:v>Environmental baseline</x:v>
      </x:c>
      <x:c r="N543" s="17" t="str">
        <x:v>pre-event boundary state is sealed before decisive operation</x:v>
      </x:c>
      <x:c r="O543" s="17" t="str">
        <x:v>Site metrology</x:v>
      </x:c>
      <x:c r="P543" s="9" t="n">
        <x:v>0</x:v>
      </x:c>
      <x:c r="Q543" s="9" t="n">
        <x:v>0</x:v>
      </x:c>
      <x:c r="R543" s="9" t="str">
        <x:v>OPEN / UNSTARTED</x:v>
      </x:c>
      <x:c r="S543" s="9" t="n">
        <x:f>COUNTIFS($A$7:$A$1446,A543)</x:f>
        <x:v>1</x:v>
      </x:c>
    </x:row>
    <x:row r="544">
      <x:c r="A544" s="9" t="str">
        <x:v>EV-AR-RT-B-C-TECH-3-B2-INT-G0-ST08</x:v>
      </x:c>
      <x:c r="B544" s="9" t="str">
        <x:v>EV-AR-RT-B-C-TECH-3-B2-INT-G0</x:v>
      </x:c>
      <x:c r="C544" s="9" t="str">
        <x:v>EOW-AR-RT-B-C-TECH-3-B2-INT-G0</x:v>
      </x:c>
      <x:c r="D544" s="9" t="str">
        <x:v>AR-RT-B-C-TECH-3-B2-INT-G0</x:v>
      </x:c>
      <x:c r="E544" s="9" t="str">
        <x:v>RT-B-C-TECH-3</x:v>
      </x:c>
      <x:c r="F544" s="9" t="str">
        <x:v>RT-B-C</x:v>
      </x:c>
      <x:c r="G544" s="9" t="str">
        <x:v>B2</x:v>
      </x:c>
      <x:c r="H544" s="9" t="str">
        <x:v>INT</x:v>
      </x:c>
      <x:c r="I544" s="9" t="n">
        <x:v>3</x:v>
      </x:c>
      <x:c r="J544" s="9" t="n">
        <x:v>1</x:v>
      </x:c>
      <x:c r="K544" s="9" t="str">
        <x:v>RT-B-C-N1</x:v>
      </x:c>
      <x:c r="L544" s="9" t="str">
        <x:v>ST08</x:v>
      </x:c>
      <x:c r="M544" s="17" t="str">
        <x:v>Manual stop and safety</x:v>
      </x:c>
      <x:c r="N544" s="17" t="str">
        <x:v>local stop, evacuation and protection routes are active</x:v>
      </x:c>
      <x:c r="O544" s="17" t="str">
        <x:v>Safety authority</x:v>
      </x:c>
      <x:c r="P544" s="9" t="n">
        <x:v>0</x:v>
      </x:c>
      <x:c r="Q544" s="9" t="n">
        <x:v>0</x:v>
      </x:c>
      <x:c r="R544" s="9" t="str">
        <x:v>OPEN / UNSTARTED</x:v>
      </x:c>
      <x:c r="S544" s="9" t="n">
        <x:f>COUNTIFS($A$7:$A$1446,A544)</x:f>
        <x:v>1</x:v>
      </x:c>
    </x:row>
    <x:row r="545">
      <x:c r="A545" s="9" t="str">
        <x:v>EV-AR-RT-B-C-TECH-3-B2-INT-G0-ST09</x:v>
      </x:c>
      <x:c r="B545" s="9" t="str">
        <x:v>EV-AR-RT-B-C-TECH-3-B2-INT-G0</x:v>
      </x:c>
      <x:c r="C545" s="9" t="str">
        <x:v>EOW-AR-RT-B-C-TECH-3-B2-INT-G0</x:v>
      </x:c>
      <x:c r="D545" s="9" t="str">
        <x:v>AR-RT-B-C-TECH-3-B2-INT-G0</x:v>
      </x:c>
      <x:c r="E545" s="9" t="str">
        <x:v>RT-B-C-TECH-3</x:v>
      </x:c>
      <x:c r="F545" s="9" t="str">
        <x:v>RT-B-C</x:v>
      </x:c>
      <x:c r="G545" s="9" t="str">
        <x:v>B2</x:v>
      </x:c>
      <x:c r="H545" s="9" t="str">
        <x:v>INT</x:v>
      </x:c>
      <x:c r="I545" s="9" t="n">
        <x:v>3</x:v>
      </x:c>
      <x:c r="J545" s="9" t="n">
        <x:v>1</x:v>
      </x:c>
      <x:c r="K545" s="9" t="str">
        <x:v>RT-B-C-N1</x:v>
      </x:c>
      <x:c r="L545" s="9" t="str">
        <x:v>ST09</x:v>
      </x:c>
      <x:c r="M545" s="17" t="str">
        <x:v>Operator conflict clear</x:v>
      </x:c>
      <x:c r="N545" s="17" t="str">
        <x:v>candidate, fixture, safety and measurement control edges remain separated</x:v>
      </x:c>
      <x:c r="O545" s="17" t="str">
        <x:v>Conflict registrar</x:v>
      </x:c>
      <x:c r="P545" s="9" t="n">
        <x:v>0</x:v>
      </x:c>
      <x:c r="Q545" s="9" t="n">
        <x:v>0</x:v>
      </x:c>
      <x:c r="R545" s="9" t="str">
        <x:v>OPEN / UNSTARTED</x:v>
      </x:c>
      <x:c r="S545" s="9" t="n">
        <x:f>COUNTIFS($A$7:$A$1446,A545)</x:f>
        <x:v>1</x:v>
      </x:c>
    </x:row>
    <x:row r="546">
      <x:c r="A546" s="9" t="str">
        <x:v>EV-AR-RT-B-C-TECH-3-B2-INT-G0-ST10</x:v>
      </x:c>
      <x:c r="B546" s="9" t="str">
        <x:v>EV-AR-RT-B-C-TECH-3-B2-INT-G0</x:v>
      </x:c>
      <x:c r="C546" s="9" t="str">
        <x:v>EOW-AR-RT-B-C-TECH-3-B2-INT-G0</x:v>
      </x:c>
      <x:c r="D546" s="9" t="str">
        <x:v>AR-RT-B-C-TECH-3-B2-INT-G0</x:v>
      </x:c>
      <x:c r="E546" s="9" t="str">
        <x:v>RT-B-C-TECH-3</x:v>
      </x:c>
      <x:c r="F546" s="9" t="str">
        <x:v>RT-B-C</x:v>
      </x:c>
      <x:c r="G546" s="9" t="str">
        <x:v>B2</x:v>
      </x:c>
      <x:c r="H546" s="9" t="str">
        <x:v>INT</x:v>
      </x:c>
      <x:c r="I546" s="9" t="n">
        <x:v>3</x:v>
      </x:c>
      <x:c r="J546" s="9" t="n">
        <x:v>1</x:v>
      </x:c>
      <x:c r="K546" s="9" t="str">
        <x:v>RT-B-C-N1</x:v>
      </x:c>
      <x:c r="L546" s="9" t="str">
        <x:v>ST10</x:v>
      </x:c>
      <x:c r="M546" s="17" t="str">
        <x:v>Window and common clock</x:v>
      </x:c>
      <x:c r="N546" s="17" t="str">
        <x:v>epoch, window and public time origin match the issued warrant</x:v>
      </x:c>
      <x:c r="O546" s="17" t="str">
        <x:v>Event clock authority</x:v>
      </x:c>
      <x:c r="P546" s="9" t="n">
        <x:v>0</x:v>
      </x:c>
      <x:c r="Q546" s="9" t="n">
        <x:v>0</x:v>
      </x:c>
      <x:c r="R546" s="9" t="str">
        <x:v>OPEN / UNSTARTED</x:v>
      </x:c>
      <x:c r="S546" s="9" t="n">
        <x:f>COUNTIFS($A$7:$A$1446,A546)</x:f>
        <x:v>1</x:v>
      </x:c>
    </x:row>
    <x:row r="547">
      <x:c r="A547" s="9" t="str">
        <x:v>EV-AR-ET-A-A-TECH-4-B2-RCN-G0-ST01</x:v>
      </x:c>
      <x:c r="B547" s="9" t="str">
        <x:v>EV-AR-ET-A-A-TECH-4-B2-RCN-G0</x:v>
      </x:c>
      <x:c r="C547" s="9" t="str">
        <x:v>EOW-AR-ET-A-A-TECH-4-B2-RCN-G0</x:v>
      </x:c>
      <x:c r="D547" s="9" t="str">
        <x:v>AR-ET-A-A-TECH-4-B2-RCN-G0</x:v>
      </x:c>
      <x:c r="E547" s="9" t="str">
        <x:v>ET-A-A-TECH-4</x:v>
      </x:c>
      <x:c r="F547" s="9" t="str">
        <x:v>ET-A-A</x:v>
      </x:c>
      <x:c r="G547" s="9" t="str">
        <x:v>B2</x:v>
      </x:c>
      <x:c r="H547" s="9" t="str">
        <x:v>RCN</x:v>
      </x:c>
      <x:c r="I547" s="9" t="n">
        <x:v>3</x:v>
      </x:c>
      <x:c r="J547" s="9" t="n">
        <x:v>2</x:v>
      </x:c>
      <x:c r="K547" s="9" t="str">
        <x:v>ET-A-A-N1</x:v>
      </x:c>
      <x:c r="L547" s="9" t="str">
        <x:v>ST01</x:v>
      </x:c>
      <x:c r="M547" s="17" t="str">
        <x:v>Active opportunity warrant</x:v>
      </x:c>
      <x:c r="N547" s="17" t="str">
        <x:v>configuration-bound EOW is within its thirty-six-hour validity</x:v>
      </x:c>
      <x:c r="O547" s="17" t="str">
        <x:v>Start registrar</x:v>
      </x:c>
      <x:c r="P547" s="9" t="n">
        <x:v>0</x:v>
      </x:c>
      <x:c r="Q547" s="9" t="n">
        <x:v>0</x:v>
      </x:c>
      <x:c r="R547" s="9" t="str">
        <x:v>OPEN / UNSTARTED</x:v>
      </x:c>
      <x:c r="S547" s="9" t="n">
        <x:f>COUNTIFS($A$7:$A$1446,A547)</x:f>
        <x:v>1</x:v>
      </x:c>
    </x:row>
    <x:row r="548">
      <x:c r="A548" s="9" t="str">
        <x:v>EV-AR-ET-A-A-TECH-4-B2-RCN-G0-ST02</x:v>
      </x:c>
      <x:c r="B548" s="9" t="str">
        <x:v>EV-AR-ET-A-A-TECH-4-B2-RCN-G0</x:v>
      </x:c>
      <x:c r="C548" s="9" t="str">
        <x:v>EOW-AR-ET-A-A-TECH-4-B2-RCN-G0</x:v>
      </x:c>
      <x:c r="D548" s="9" t="str">
        <x:v>AR-ET-A-A-TECH-4-B2-RCN-G0</x:v>
      </x:c>
      <x:c r="E548" s="9" t="str">
        <x:v>ET-A-A-TECH-4</x:v>
      </x:c>
      <x:c r="F548" s="9" t="str">
        <x:v>ET-A-A</x:v>
      </x:c>
      <x:c r="G548" s="9" t="str">
        <x:v>B2</x:v>
      </x:c>
      <x:c r="H548" s="9" t="str">
        <x:v>RCN</x:v>
      </x:c>
      <x:c r="I548" s="9" t="n">
        <x:v>3</x:v>
      </x:c>
      <x:c r="J548" s="9" t="n">
        <x:v>2</x:v>
      </x:c>
      <x:c r="K548" s="9" t="str">
        <x:v>ET-A-A-N1</x:v>
      </x:c>
      <x:c r="L548" s="9" t="str">
        <x:v>ST02</x:v>
      </x:c>
      <x:c r="M548" s="17" t="str">
        <x:v>Frozen identity</x:v>
      </x:c>
      <x:c r="N548" s="17" t="str">
        <x:v>serial, generation, fixture, site, receiver and digest match the warrant</x:v>
      </x:c>
      <x:c r="O548" s="17" t="str">
        <x:v>Custody authority</x:v>
      </x:c>
      <x:c r="P548" s="9" t="n">
        <x:v>0</x:v>
      </x:c>
      <x:c r="Q548" s="9" t="n">
        <x:v>0</x:v>
      </x:c>
      <x:c r="R548" s="9" t="str">
        <x:v>OPEN / UNSTARTED</x:v>
      </x:c>
      <x:c r="S548" s="9" t="n">
        <x:f>COUNTIFS($A$7:$A$1446,A548)</x:f>
        <x:v>1</x:v>
      </x:c>
    </x:row>
    <x:row r="549">
      <x:c r="A549" s="9" t="str">
        <x:v>EV-AR-ET-A-A-TECH-4-B2-RCN-G0-ST03</x:v>
      </x:c>
      <x:c r="B549" s="9" t="str">
        <x:v>EV-AR-ET-A-A-TECH-4-B2-RCN-G0</x:v>
      </x:c>
      <x:c r="C549" s="9" t="str">
        <x:v>EOW-AR-ET-A-A-TECH-4-B2-RCN-G0</x:v>
      </x:c>
      <x:c r="D549" s="9" t="str">
        <x:v>AR-ET-A-A-TECH-4-B2-RCN-G0</x:v>
      </x:c>
      <x:c r="E549" s="9" t="str">
        <x:v>ET-A-A-TECH-4</x:v>
      </x:c>
      <x:c r="F549" s="9" t="str">
        <x:v>ET-A-A</x:v>
      </x:c>
      <x:c r="G549" s="9" t="str">
        <x:v>B2</x:v>
      </x:c>
      <x:c r="H549" s="9" t="str">
        <x:v>RCN</x:v>
      </x:c>
      <x:c r="I549" s="9" t="n">
        <x:v>3</x:v>
      </x:c>
      <x:c r="J549" s="9" t="n">
        <x:v>2</x:v>
      </x:c>
      <x:c r="K549" s="9" t="str">
        <x:v>ET-A-A-N1</x:v>
      </x:c>
      <x:c r="L549" s="9" t="str">
        <x:v>ST03</x:v>
      </x:c>
      <x:c r="M549" s="17" t="str">
        <x:v>Receiver receipt</x:v>
      </x:c>
      <x:c r="N549" s="17" t="str">
        <x:v>denominator, counterfactual, rights and stop receipt remain unchanged</x:v>
      </x:c>
      <x:c r="O549" s="17" t="str">
        <x:v>Receiver authority</x:v>
      </x:c>
      <x:c r="P549" s="9" t="n">
        <x:v>0</x:v>
      </x:c>
      <x:c r="Q549" s="9" t="n">
        <x:v>0</x:v>
      </x:c>
      <x:c r="R549" s="9" t="str">
        <x:v>OPEN / UNSTARTED</x:v>
      </x:c>
      <x:c r="S549" s="9" t="n">
        <x:f>COUNTIFS($A$7:$A$1446,A549)</x:f>
        <x:v>1</x:v>
      </x:c>
    </x:row>
    <x:row r="550">
      <x:c r="A550" s="9" t="str">
        <x:v>EV-AR-ET-A-A-TECH-4-B2-RCN-G0-ST04</x:v>
      </x:c>
      <x:c r="B550" s="9" t="str">
        <x:v>EV-AR-ET-A-A-TECH-4-B2-RCN-G0</x:v>
      </x:c>
      <x:c r="C550" s="9" t="str">
        <x:v>EOW-AR-ET-A-A-TECH-4-B2-RCN-G0</x:v>
      </x:c>
      <x:c r="D550" s="9" t="str">
        <x:v>AR-ET-A-A-TECH-4-B2-RCN-G0</x:v>
      </x:c>
      <x:c r="E550" s="9" t="str">
        <x:v>ET-A-A-TECH-4</x:v>
      </x:c>
      <x:c r="F550" s="9" t="str">
        <x:v>ET-A-A</x:v>
      </x:c>
      <x:c r="G550" s="9" t="str">
        <x:v>B2</x:v>
      </x:c>
      <x:c r="H550" s="9" t="str">
        <x:v>RCN</x:v>
      </x:c>
      <x:c r="I550" s="9" t="n">
        <x:v>3</x:v>
      </x:c>
      <x:c r="J550" s="9" t="n">
        <x:v>2</x:v>
      </x:c>
      <x:c r="K550" s="9" t="str">
        <x:v>ET-A-A-N1</x:v>
      </x:c>
      <x:c r="L550" s="9" t="str">
        <x:v>ST04</x:v>
      </x:c>
      <x:c r="M550" s="17" t="str">
        <x:v>Primary capture armed</x:v>
      </x:c>
      <x:c r="N550" s="17" t="str">
        <x:v>primary chain records sealed reference and live time</x:v>
      </x:c>
      <x:c r="O550" s="17" t="str">
        <x:v>Primary metrology</x:v>
      </x:c>
      <x:c r="P550" s="9" t="n">
        <x:v>0</x:v>
      </x:c>
      <x:c r="Q550" s="9" t="n">
        <x:v>0</x:v>
      </x:c>
      <x:c r="R550" s="9" t="str">
        <x:v>OPEN / UNSTARTED</x:v>
      </x:c>
      <x:c r="S550" s="9" t="n">
        <x:f>COUNTIFS($A$7:$A$1446,A550)</x:f>
        <x:v>1</x:v>
      </x:c>
    </x:row>
    <x:row r="551">
      <x:c r="A551" s="9" t="str">
        <x:v>EV-AR-ET-A-A-TECH-4-B2-RCN-G0-ST05</x:v>
      </x:c>
      <x:c r="B551" s="9" t="str">
        <x:v>EV-AR-ET-A-A-TECH-4-B2-RCN-G0</x:v>
      </x:c>
      <x:c r="C551" s="9" t="str">
        <x:v>EOW-AR-ET-A-A-TECH-4-B2-RCN-G0</x:v>
      </x:c>
      <x:c r="D551" s="9" t="str">
        <x:v>AR-ET-A-A-TECH-4-B2-RCN-G0</x:v>
      </x:c>
      <x:c r="E551" s="9" t="str">
        <x:v>ET-A-A-TECH-4</x:v>
      </x:c>
      <x:c r="F551" s="9" t="str">
        <x:v>ET-A-A</x:v>
      </x:c>
      <x:c r="G551" s="9" t="str">
        <x:v>B2</x:v>
      </x:c>
      <x:c r="H551" s="9" t="str">
        <x:v>RCN</x:v>
      </x:c>
      <x:c r="I551" s="9" t="n">
        <x:v>3</x:v>
      </x:c>
      <x:c r="J551" s="9" t="n">
        <x:v>2</x:v>
      </x:c>
      <x:c r="K551" s="9" t="str">
        <x:v>ET-A-A-N1</x:v>
      </x:c>
      <x:c r="L551" s="9" t="str">
        <x:v>ST05</x:v>
      </x:c>
      <x:c r="M551" s="17" t="str">
        <x:v>Witness capture armed</x:v>
      </x:c>
      <x:c r="N551" s="17" t="str">
        <x:v>unlike witness records independent reference and live time</x:v>
      </x:c>
      <x:c r="O551" s="17" t="str">
        <x:v>Witness metrology</x:v>
      </x:c>
      <x:c r="P551" s="9" t="n">
        <x:v>0</x:v>
      </x:c>
      <x:c r="Q551" s="9" t="n">
        <x:v>0</x:v>
      </x:c>
      <x:c r="R551" s="9" t="str">
        <x:v>OPEN / UNSTARTED</x:v>
      </x:c>
      <x:c r="S551" s="9" t="n">
        <x:f>COUNTIFS($A$7:$A$1446,A551)</x:f>
        <x:v>1</x:v>
      </x:c>
    </x:row>
    <x:row r="552">
      <x:c r="A552" s="9" t="str">
        <x:v>EV-AR-ET-A-A-TECH-4-B2-RCN-G0-ST06</x:v>
      </x:c>
      <x:c r="B552" s="9" t="str">
        <x:v>EV-AR-ET-A-A-TECH-4-B2-RCN-G0</x:v>
      </x:c>
      <x:c r="C552" s="9" t="str">
        <x:v>EOW-AR-ET-A-A-TECH-4-B2-RCN-G0</x:v>
      </x:c>
      <x:c r="D552" s="9" t="str">
        <x:v>AR-ET-A-A-TECH-4-B2-RCN-G0</x:v>
      </x:c>
      <x:c r="E552" s="9" t="str">
        <x:v>ET-A-A-TECH-4</x:v>
      </x:c>
      <x:c r="F552" s="9" t="str">
        <x:v>ET-A-A</x:v>
      </x:c>
      <x:c r="G552" s="9" t="str">
        <x:v>B2</x:v>
      </x:c>
      <x:c r="H552" s="9" t="str">
        <x:v>RCN</x:v>
      </x:c>
      <x:c r="I552" s="9" t="n">
        <x:v>3</x:v>
      </x:c>
      <x:c r="J552" s="9" t="n">
        <x:v>2</x:v>
      </x:c>
      <x:c r="K552" s="9" t="str">
        <x:v>ET-A-A-N1</x:v>
      </x:c>
      <x:c r="L552" s="9" t="str">
        <x:v>ST06</x:v>
      </x:c>
      <x:c r="M552" s="17" t="str">
        <x:v>Public custody armed</x:v>
      </x:c>
      <x:c r="N552" s="17" t="str">
        <x:v>eight raw origins have separated hash and replica routes</x:v>
      </x:c>
      <x:c r="O552" s="17" t="str">
        <x:v>Custody authority</x:v>
      </x:c>
      <x:c r="P552" s="9" t="n">
        <x:v>0</x:v>
      </x:c>
      <x:c r="Q552" s="9" t="n">
        <x:v>0</x:v>
      </x:c>
      <x:c r="R552" s="9" t="str">
        <x:v>OPEN / UNSTARTED</x:v>
      </x:c>
      <x:c r="S552" s="9" t="n">
        <x:f>COUNTIFS($A$7:$A$1446,A552)</x:f>
        <x:v>1</x:v>
      </x:c>
    </x:row>
    <x:row r="553">
      <x:c r="A553" s="9" t="str">
        <x:v>EV-AR-ET-A-A-TECH-4-B2-RCN-G0-ST07</x:v>
      </x:c>
      <x:c r="B553" s="9" t="str">
        <x:v>EV-AR-ET-A-A-TECH-4-B2-RCN-G0</x:v>
      </x:c>
      <x:c r="C553" s="9" t="str">
        <x:v>EOW-AR-ET-A-A-TECH-4-B2-RCN-G0</x:v>
      </x:c>
      <x:c r="D553" s="9" t="str">
        <x:v>AR-ET-A-A-TECH-4-B2-RCN-G0</x:v>
      </x:c>
      <x:c r="E553" s="9" t="str">
        <x:v>ET-A-A-TECH-4</x:v>
      </x:c>
      <x:c r="F553" s="9" t="str">
        <x:v>ET-A-A</x:v>
      </x:c>
      <x:c r="G553" s="9" t="str">
        <x:v>B2</x:v>
      </x:c>
      <x:c r="H553" s="9" t="str">
        <x:v>RCN</x:v>
      </x:c>
      <x:c r="I553" s="9" t="n">
        <x:v>3</x:v>
      </x:c>
      <x:c r="J553" s="9" t="n">
        <x:v>2</x:v>
      </x:c>
      <x:c r="K553" s="9" t="str">
        <x:v>ET-A-A-N1</x:v>
      </x:c>
      <x:c r="L553" s="9" t="str">
        <x:v>ST07</x:v>
      </x:c>
      <x:c r="M553" s="17" t="str">
        <x:v>Environmental baseline</x:v>
      </x:c>
      <x:c r="N553" s="17" t="str">
        <x:v>pre-event boundary state is sealed before decisive operation</x:v>
      </x:c>
      <x:c r="O553" s="17" t="str">
        <x:v>Site metrology</x:v>
      </x:c>
      <x:c r="P553" s="9" t="n">
        <x:v>0</x:v>
      </x:c>
      <x:c r="Q553" s="9" t="n">
        <x:v>0</x:v>
      </x:c>
      <x:c r="R553" s="9" t="str">
        <x:v>OPEN / UNSTARTED</x:v>
      </x:c>
      <x:c r="S553" s="9" t="n">
        <x:f>COUNTIFS($A$7:$A$1446,A553)</x:f>
        <x:v>1</x:v>
      </x:c>
    </x:row>
    <x:row r="554">
      <x:c r="A554" s="9" t="str">
        <x:v>EV-AR-ET-A-A-TECH-4-B2-RCN-G0-ST08</x:v>
      </x:c>
      <x:c r="B554" s="9" t="str">
        <x:v>EV-AR-ET-A-A-TECH-4-B2-RCN-G0</x:v>
      </x:c>
      <x:c r="C554" s="9" t="str">
        <x:v>EOW-AR-ET-A-A-TECH-4-B2-RCN-G0</x:v>
      </x:c>
      <x:c r="D554" s="9" t="str">
        <x:v>AR-ET-A-A-TECH-4-B2-RCN-G0</x:v>
      </x:c>
      <x:c r="E554" s="9" t="str">
        <x:v>ET-A-A-TECH-4</x:v>
      </x:c>
      <x:c r="F554" s="9" t="str">
        <x:v>ET-A-A</x:v>
      </x:c>
      <x:c r="G554" s="9" t="str">
        <x:v>B2</x:v>
      </x:c>
      <x:c r="H554" s="9" t="str">
        <x:v>RCN</x:v>
      </x:c>
      <x:c r="I554" s="9" t="n">
        <x:v>3</x:v>
      </x:c>
      <x:c r="J554" s="9" t="n">
        <x:v>2</x:v>
      </x:c>
      <x:c r="K554" s="9" t="str">
        <x:v>ET-A-A-N1</x:v>
      </x:c>
      <x:c r="L554" s="9" t="str">
        <x:v>ST08</x:v>
      </x:c>
      <x:c r="M554" s="17" t="str">
        <x:v>Manual stop and safety</x:v>
      </x:c>
      <x:c r="N554" s="17" t="str">
        <x:v>local stop, evacuation and protection routes are active</x:v>
      </x:c>
      <x:c r="O554" s="17" t="str">
        <x:v>Safety authority</x:v>
      </x:c>
      <x:c r="P554" s="9" t="n">
        <x:v>0</x:v>
      </x:c>
      <x:c r="Q554" s="9" t="n">
        <x:v>0</x:v>
      </x:c>
      <x:c r="R554" s="9" t="str">
        <x:v>OPEN / UNSTARTED</x:v>
      </x:c>
      <x:c r="S554" s="9" t="n">
        <x:f>COUNTIFS($A$7:$A$1446,A554)</x:f>
        <x:v>1</x:v>
      </x:c>
    </x:row>
    <x:row r="555">
      <x:c r="A555" s="9" t="str">
        <x:v>EV-AR-ET-A-A-TECH-4-B2-RCN-G0-ST09</x:v>
      </x:c>
      <x:c r="B555" s="9" t="str">
        <x:v>EV-AR-ET-A-A-TECH-4-B2-RCN-G0</x:v>
      </x:c>
      <x:c r="C555" s="9" t="str">
        <x:v>EOW-AR-ET-A-A-TECH-4-B2-RCN-G0</x:v>
      </x:c>
      <x:c r="D555" s="9" t="str">
        <x:v>AR-ET-A-A-TECH-4-B2-RCN-G0</x:v>
      </x:c>
      <x:c r="E555" s="9" t="str">
        <x:v>ET-A-A-TECH-4</x:v>
      </x:c>
      <x:c r="F555" s="9" t="str">
        <x:v>ET-A-A</x:v>
      </x:c>
      <x:c r="G555" s="9" t="str">
        <x:v>B2</x:v>
      </x:c>
      <x:c r="H555" s="9" t="str">
        <x:v>RCN</x:v>
      </x:c>
      <x:c r="I555" s="9" t="n">
        <x:v>3</x:v>
      </x:c>
      <x:c r="J555" s="9" t="n">
        <x:v>2</x:v>
      </x:c>
      <x:c r="K555" s="9" t="str">
        <x:v>ET-A-A-N1</x:v>
      </x:c>
      <x:c r="L555" s="9" t="str">
        <x:v>ST09</x:v>
      </x:c>
      <x:c r="M555" s="17" t="str">
        <x:v>Operator conflict clear</x:v>
      </x:c>
      <x:c r="N555" s="17" t="str">
        <x:v>candidate, fixture, safety and measurement control edges remain separated</x:v>
      </x:c>
      <x:c r="O555" s="17" t="str">
        <x:v>Conflict registrar</x:v>
      </x:c>
      <x:c r="P555" s="9" t="n">
        <x:v>0</x:v>
      </x:c>
      <x:c r="Q555" s="9" t="n">
        <x:v>0</x:v>
      </x:c>
      <x:c r="R555" s="9" t="str">
        <x:v>OPEN / UNSTARTED</x:v>
      </x:c>
      <x:c r="S555" s="9" t="n">
        <x:f>COUNTIFS($A$7:$A$1446,A555)</x:f>
        <x:v>1</x:v>
      </x:c>
    </x:row>
    <x:row r="556">
      <x:c r="A556" s="9" t="str">
        <x:v>EV-AR-ET-A-A-TECH-4-B2-RCN-G0-ST10</x:v>
      </x:c>
      <x:c r="B556" s="9" t="str">
        <x:v>EV-AR-ET-A-A-TECH-4-B2-RCN-G0</x:v>
      </x:c>
      <x:c r="C556" s="9" t="str">
        <x:v>EOW-AR-ET-A-A-TECH-4-B2-RCN-G0</x:v>
      </x:c>
      <x:c r="D556" s="9" t="str">
        <x:v>AR-ET-A-A-TECH-4-B2-RCN-G0</x:v>
      </x:c>
      <x:c r="E556" s="9" t="str">
        <x:v>ET-A-A-TECH-4</x:v>
      </x:c>
      <x:c r="F556" s="9" t="str">
        <x:v>ET-A-A</x:v>
      </x:c>
      <x:c r="G556" s="9" t="str">
        <x:v>B2</x:v>
      </x:c>
      <x:c r="H556" s="9" t="str">
        <x:v>RCN</x:v>
      </x:c>
      <x:c r="I556" s="9" t="n">
        <x:v>3</x:v>
      </x:c>
      <x:c r="J556" s="9" t="n">
        <x:v>2</x:v>
      </x:c>
      <x:c r="K556" s="9" t="str">
        <x:v>ET-A-A-N1</x:v>
      </x:c>
      <x:c r="L556" s="9" t="str">
        <x:v>ST10</x:v>
      </x:c>
      <x:c r="M556" s="17" t="str">
        <x:v>Window and common clock</x:v>
      </x:c>
      <x:c r="N556" s="17" t="str">
        <x:v>epoch, window and public time origin match the issued warrant</x:v>
      </x:c>
      <x:c r="O556" s="17" t="str">
        <x:v>Event clock authority</x:v>
      </x:c>
      <x:c r="P556" s="9" t="n">
        <x:v>0</x:v>
      </x:c>
      <x:c r="Q556" s="9" t="n">
        <x:v>0</x:v>
      </x:c>
      <x:c r="R556" s="9" t="str">
        <x:v>OPEN / UNSTARTED</x:v>
      </x:c>
      <x:c r="S556" s="9" t="n">
        <x:f>COUNTIFS($A$7:$A$1446,A556)</x:f>
        <x:v>1</x:v>
      </x:c>
    </x:row>
    <x:row r="557">
      <x:c r="A557" s="9" t="str">
        <x:v>EV-AR-ET-A-A-TECH-1-B1-BRK-G0-ST01</x:v>
      </x:c>
      <x:c r="B557" s="9" t="str">
        <x:v>EV-AR-ET-A-A-TECH-1-B1-BRK-G0</x:v>
      </x:c>
      <x:c r="C557" s="9" t="str">
        <x:v>EOW-AR-ET-A-A-TECH-1-B1-BRK-G0</x:v>
      </x:c>
      <x:c r="D557" s="9" t="str">
        <x:v>AR-ET-A-A-TECH-1-B1-BRK-G0</x:v>
      </x:c>
      <x:c r="E557" s="9" t="str">
        <x:v>ET-A-A-TECH-1</x:v>
      </x:c>
      <x:c r="F557" s="9" t="str">
        <x:v>ET-A-A</x:v>
      </x:c>
      <x:c r="G557" s="9" t="str">
        <x:v>B1</x:v>
      </x:c>
      <x:c r="H557" s="9" t="str">
        <x:v>BRK</x:v>
      </x:c>
      <x:c r="I557" s="9" t="n">
        <x:v>3</x:v>
      </x:c>
      <x:c r="J557" s="9" t="n">
        <x:v>2</x:v>
      </x:c>
      <x:c r="K557" s="9" t="str">
        <x:v>ET-A-A-N2</x:v>
      </x:c>
      <x:c r="L557" s="9" t="str">
        <x:v>ST01</x:v>
      </x:c>
      <x:c r="M557" s="17" t="str">
        <x:v>Active opportunity warrant</x:v>
      </x:c>
      <x:c r="N557" s="17" t="str">
        <x:v>configuration-bound EOW is within its thirty-six-hour validity</x:v>
      </x:c>
      <x:c r="O557" s="17" t="str">
        <x:v>Start registrar</x:v>
      </x:c>
      <x:c r="P557" s="9" t="n">
        <x:v>0</x:v>
      </x:c>
      <x:c r="Q557" s="9" t="n">
        <x:v>0</x:v>
      </x:c>
      <x:c r="R557" s="9" t="str">
        <x:v>OPEN / UNSTARTED</x:v>
      </x:c>
      <x:c r="S557" s="9" t="n">
        <x:f>COUNTIFS($A$7:$A$1446,A557)</x:f>
        <x:v>1</x:v>
      </x:c>
    </x:row>
    <x:row r="558">
      <x:c r="A558" s="9" t="str">
        <x:v>EV-AR-ET-A-A-TECH-1-B1-BRK-G0-ST02</x:v>
      </x:c>
      <x:c r="B558" s="9" t="str">
        <x:v>EV-AR-ET-A-A-TECH-1-B1-BRK-G0</x:v>
      </x:c>
      <x:c r="C558" s="9" t="str">
        <x:v>EOW-AR-ET-A-A-TECH-1-B1-BRK-G0</x:v>
      </x:c>
      <x:c r="D558" s="9" t="str">
        <x:v>AR-ET-A-A-TECH-1-B1-BRK-G0</x:v>
      </x:c>
      <x:c r="E558" s="9" t="str">
        <x:v>ET-A-A-TECH-1</x:v>
      </x:c>
      <x:c r="F558" s="9" t="str">
        <x:v>ET-A-A</x:v>
      </x:c>
      <x:c r="G558" s="9" t="str">
        <x:v>B1</x:v>
      </x:c>
      <x:c r="H558" s="9" t="str">
        <x:v>BRK</x:v>
      </x:c>
      <x:c r="I558" s="9" t="n">
        <x:v>3</x:v>
      </x:c>
      <x:c r="J558" s="9" t="n">
        <x:v>2</x:v>
      </x:c>
      <x:c r="K558" s="9" t="str">
        <x:v>ET-A-A-N2</x:v>
      </x:c>
      <x:c r="L558" s="9" t="str">
        <x:v>ST02</x:v>
      </x:c>
      <x:c r="M558" s="17" t="str">
        <x:v>Frozen identity</x:v>
      </x:c>
      <x:c r="N558" s="17" t="str">
        <x:v>serial, generation, fixture, site, receiver and digest match the warrant</x:v>
      </x:c>
      <x:c r="O558" s="17" t="str">
        <x:v>Custody authority</x:v>
      </x:c>
      <x:c r="P558" s="9" t="n">
        <x:v>0</x:v>
      </x:c>
      <x:c r="Q558" s="9" t="n">
        <x:v>0</x:v>
      </x:c>
      <x:c r="R558" s="9" t="str">
        <x:v>OPEN / UNSTARTED</x:v>
      </x:c>
      <x:c r="S558" s="9" t="n">
        <x:f>COUNTIFS($A$7:$A$1446,A558)</x:f>
        <x:v>1</x:v>
      </x:c>
    </x:row>
    <x:row r="559">
      <x:c r="A559" s="9" t="str">
        <x:v>EV-AR-ET-A-A-TECH-1-B1-BRK-G0-ST03</x:v>
      </x:c>
      <x:c r="B559" s="9" t="str">
        <x:v>EV-AR-ET-A-A-TECH-1-B1-BRK-G0</x:v>
      </x:c>
      <x:c r="C559" s="9" t="str">
        <x:v>EOW-AR-ET-A-A-TECH-1-B1-BRK-G0</x:v>
      </x:c>
      <x:c r="D559" s="9" t="str">
        <x:v>AR-ET-A-A-TECH-1-B1-BRK-G0</x:v>
      </x:c>
      <x:c r="E559" s="9" t="str">
        <x:v>ET-A-A-TECH-1</x:v>
      </x:c>
      <x:c r="F559" s="9" t="str">
        <x:v>ET-A-A</x:v>
      </x:c>
      <x:c r="G559" s="9" t="str">
        <x:v>B1</x:v>
      </x:c>
      <x:c r="H559" s="9" t="str">
        <x:v>BRK</x:v>
      </x:c>
      <x:c r="I559" s="9" t="n">
        <x:v>3</x:v>
      </x:c>
      <x:c r="J559" s="9" t="n">
        <x:v>2</x:v>
      </x:c>
      <x:c r="K559" s="9" t="str">
        <x:v>ET-A-A-N2</x:v>
      </x:c>
      <x:c r="L559" s="9" t="str">
        <x:v>ST03</x:v>
      </x:c>
      <x:c r="M559" s="17" t="str">
        <x:v>Receiver receipt</x:v>
      </x:c>
      <x:c r="N559" s="17" t="str">
        <x:v>denominator, counterfactual, rights and stop receipt remain unchanged</x:v>
      </x:c>
      <x:c r="O559" s="17" t="str">
        <x:v>Receiver authority</x:v>
      </x:c>
      <x:c r="P559" s="9" t="n">
        <x:v>0</x:v>
      </x:c>
      <x:c r="Q559" s="9" t="n">
        <x:v>0</x:v>
      </x:c>
      <x:c r="R559" s="9" t="str">
        <x:v>OPEN / UNSTARTED</x:v>
      </x:c>
      <x:c r="S559" s="9" t="n">
        <x:f>COUNTIFS($A$7:$A$1446,A559)</x:f>
        <x:v>1</x:v>
      </x:c>
    </x:row>
    <x:row r="560">
      <x:c r="A560" s="9" t="str">
        <x:v>EV-AR-ET-A-A-TECH-1-B1-BRK-G0-ST04</x:v>
      </x:c>
      <x:c r="B560" s="9" t="str">
        <x:v>EV-AR-ET-A-A-TECH-1-B1-BRK-G0</x:v>
      </x:c>
      <x:c r="C560" s="9" t="str">
        <x:v>EOW-AR-ET-A-A-TECH-1-B1-BRK-G0</x:v>
      </x:c>
      <x:c r="D560" s="9" t="str">
        <x:v>AR-ET-A-A-TECH-1-B1-BRK-G0</x:v>
      </x:c>
      <x:c r="E560" s="9" t="str">
        <x:v>ET-A-A-TECH-1</x:v>
      </x:c>
      <x:c r="F560" s="9" t="str">
        <x:v>ET-A-A</x:v>
      </x:c>
      <x:c r="G560" s="9" t="str">
        <x:v>B1</x:v>
      </x:c>
      <x:c r="H560" s="9" t="str">
        <x:v>BRK</x:v>
      </x:c>
      <x:c r="I560" s="9" t="n">
        <x:v>3</x:v>
      </x:c>
      <x:c r="J560" s="9" t="n">
        <x:v>2</x:v>
      </x:c>
      <x:c r="K560" s="9" t="str">
        <x:v>ET-A-A-N2</x:v>
      </x:c>
      <x:c r="L560" s="9" t="str">
        <x:v>ST04</x:v>
      </x:c>
      <x:c r="M560" s="17" t="str">
        <x:v>Primary capture armed</x:v>
      </x:c>
      <x:c r="N560" s="17" t="str">
        <x:v>primary chain records sealed reference and live time</x:v>
      </x:c>
      <x:c r="O560" s="17" t="str">
        <x:v>Primary metrology</x:v>
      </x:c>
      <x:c r="P560" s="9" t="n">
        <x:v>0</x:v>
      </x:c>
      <x:c r="Q560" s="9" t="n">
        <x:v>0</x:v>
      </x:c>
      <x:c r="R560" s="9" t="str">
        <x:v>OPEN / UNSTARTED</x:v>
      </x:c>
      <x:c r="S560" s="9" t="n">
        <x:f>COUNTIFS($A$7:$A$1446,A560)</x:f>
        <x:v>1</x:v>
      </x:c>
    </x:row>
    <x:row r="561">
      <x:c r="A561" s="9" t="str">
        <x:v>EV-AR-ET-A-A-TECH-1-B1-BRK-G0-ST05</x:v>
      </x:c>
      <x:c r="B561" s="9" t="str">
        <x:v>EV-AR-ET-A-A-TECH-1-B1-BRK-G0</x:v>
      </x:c>
      <x:c r="C561" s="9" t="str">
        <x:v>EOW-AR-ET-A-A-TECH-1-B1-BRK-G0</x:v>
      </x:c>
      <x:c r="D561" s="9" t="str">
        <x:v>AR-ET-A-A-TECH-1-B1-BRK-G0</x:v>
      </x:c>
      <x:c r="E561" s="9" t="str">
        <x:v>ET-A-A-TECH-1</x:v>
      </x:c>
      <x:c r="F561" s="9" t="str">
        <x:v>ET-A-A</x:v>
      </x:c>
      <x:c r="G561" s="9" t="str">
        <x:v>B1</x:v>
      </x:c>
      <x:c r="H561" s="9" t="str">
        <x:v>BRK</x:v>
      </x:c>
      <x:c r="I561" s="9" t="n">
        <x:v>3</x:v>
      </x:c>
      <x:c r="J561" s="9" t="n">
        <x:v>2</x:v>
      </x:c>
      <x:c r="K561" s="9" t="str">
        <x:v>ET-A-A-N2</x:v>
      </x:c>
      <x:c r="L561" s="9" t="str">
        <x:v>ST05</x:v>
      </x:c>
      <x:c r="M561" s="17" t="str">
        <x:v>Witness capture armed</x:v>
      </x:c>
      <x:c r="N561" s="17" t="str">
        <x:v>unlike witness records independent reference and live time</x:v>
      </x:c>
      <x:c r="O561" s="17" t="str">
        <x:v>Witness metrology</x:v>
      </x:c>
      <x:c r="P561" s="9" t="n">
        <x:v>0</x:v>
      </x:c>
      <x:c r="Q561" s="9" t="n">
        <x:v>0</x:v>
      </x:c>
      <x:c r="R561" s="9" t="str">
        <x:v>OPEN / UNSTARTED</x:v>
      </x:c>
      <x:c r="S561" s="9" t="n">
        <x:f>COUNTIFS($A$7:$A$1446,A561)</x:f>
        <x:v>1</x:v>
      </x:c>
    </x:row>
    <x:row r="562">
      <x:c r="A562" s="9" t="str">
        <x:v>EV-AR-ET-A-A-TECH-1-B1-BRK-G0-ST06</x:v>
      </x:c>
      <x:c r="B562" s="9" t="str">
        <x:v>EV-AR-ET-A-A-TECH-1-B1-BRK-G0</x:v>
      </x:c>
      <x:c r="C562" s="9" t="str">
        <x:v>EOW-AR-ET-A-A-TECH-1-B1-BRK-G0</x:v>
      </x:c>
      <x:c r="D562" s="9" t="str">
        <x:v>AR-ET-A-A-TECH-1-B1-BRK-G0</x:v>
      </x:c>
      <x:c r="E562" s="9" t="str">
        <x:v>ET-A-A-TECH-1</x:v>
      </x:c>
      <x:c r="F562" s="9" t="str">
        <x:v>ET-A-A</x:v>
      </x:c>
      <x:c r="G562" s="9" t="str">
        <x:v>B1</x:v>
      </x:c>
      <x:c r="H562" s="9" t="str">
        <x:v>BRK</x:v>
      </x:c>
      <x:c r="I562" s="9" t="n">
        <x:v>3</x:v>
      </x:c>
      <x:c r="J562" s="9" t="n">
        <x:v>2</x:v>
      </x:c>
      <x:c r="K562" s="9" t="str">
        <x:v>ET-A-A-N2</x:v>
      </x:c>
      <x:c r="L562" s="9" t="str">
        <x:v>ST06</x:v>
      </x:c>
      <x:c r="M562" s="17" t="str">
        <x:v>Public custody armed</x:v>
      </x:c>
      <x:c r="N562" s="17" t="str">
        <x:v>eight raw origins have separated hash and replica routes</x:v>
      </x:c>
      <x:c r="O562" s="17" t="str">
        <x:v>Custody authority</x:v>
      </x:c>
      <x:c r="P562" s="9" t="n">
        <x:v>0</x:v>
      </x:c>
      <x:c r="Q562" s="9" t="n">
        <x:v>0</x:v>
      </x:c>
      <x:c r="R562" s="9" t="str">
        <x:v>OPEN / UNSTARTED</x:v>
      </x:c>
      <x:c r="S562" s="9" t="n">
        <x:f>COUNTIFS($A$7:$A$1446,A562)</x:f>
        <x:v>1</x:v>
      </x:c>
    </x:row>
    <x:row r="563">
      <x:c r="A563" s="9" t="str">
        <x:v>EV-AR-ET-A-A-TECH-1-B1-BRK-G0-ST07</x:v>
      </x:c>
      <x:c r="B563" s="9" t="str">
        <x:v>EV-AR-ET-A-A-TECH-1-B1-BRK-G0</x:v>
      </x:c>
      <x:c r="C563" s="9" t="str">
        <x:v>EOW-AR-ET-A-A-TECH-1-B1-BRK-G0</x:v>
      </x:c>
      <x:c r="D563" s="9" t="str">
        <x:v>AR-ET-A-A-TECH-1-B1-BRK-G0</x:v>
      </x:c>
      <x:c r="E563" s="9" t="str">
        <x:v>ET-A-A-TECH-1</x:v>
      </x:c>
      <x:c r="F563" s="9" t="str">
        <x:v>ET-A-A</x:v>
      </x:c>
      <x:c r="G563" s="9" t="str">
        <x:v>B1</x:v>
      </x:c>
      <x:c r="H563" s="9" t="str">
        <x:v>BRK</x:v>
      </x:c>
      <x:c r="I563" s="9" t="n">
        <x:v>3</x:v>
      </x:c>
      <x:c r="J563" s="9" t="n">
        <x:v>2</x:v>
      </x:c>
      <x:c r="K563" s="9" t="str">
        <x:v>ET-A-A-N2</x:v>
      </x:c>
      <x:c r="L563" s="9" t="str">
        <x:v>ST07</x:v>
      </x:c>
      <x:c r="M563" s="17" t="str">
        <x:v>Environmental baseline</x:v>
      </x:c>
      <x:c r="N563" s="17" t="str">
        <x:v>pre-event boundary state is sealed before decisive operation</x:v>
      </x:c>
      <x:c r="O563" s="17" t="str">
        <x:v>Site metrology</x:v>
      </x:c>
      <x:c r="P563" s="9" t="n">
        <x:v>0</x:v>
      </x:c>
      <x:c r="Q563" s="9" t="n">
        <x:v>0</x:v>
      </x:c>
      <x:c r="R563" s="9" t="str">
        <x:v>OPEN / UNSTARTED</x:v>
      </x:c>
      <x:c r="S563" s="9" t="n">
        <x:f>COUNTIFS($A$7:$A$1446,A563)</x:f>
        <x:v>1</x:v>
      </x:c>
    </x:row>
    <x:row r="564">
      <x:c r="A564" s="9" t="str">
        <x:v>EV-AR-ET-A-A-TECH-1-B1-BRK-G0-ST08</x:v>
      </x:c>
      <x:c r="B564" s="9" t="str">
        <x:v>EV-AR-ET-A-A-TECH-1-B1-BRK-G0</x:v>
      </x:c>
      <x:c r="C564" s="9" t="str">
        <x:v>EOW-AR-ET-A-A-TECH-1-B1-BRK-G0</x:v>
      </x:c>
      <x:c r="D564" s="9" t="str">
        <x:v>AR-ET-A-A-TECH-1-B1-BRK-G0</x:v>
      </x:c>
      <x:c r="E564" s="9" t="str">
        <x:v>ET-A-A-TECH-1</x:v>
      </x:c>
      <x:c r="F564" s="9" t="str">
        <x:v>ET-A-A</x:v>
      </x:c>
      <x:c r="G564" s="9" t="str">
        <x:v>B1</x:v>
      </x:c>
      <x:c r="H564" s="9" t="str">
        <x:v>BRK</x:v>
      </x:c>
      <x:c r="I564" s="9" t="n">
        <x:v>3</x:v>
      </x:c>
      <x:c r="J564" s="9" t="n">
        <x:v>2</x:v>
      </x:c>
      <x:c r="K564" s="9" t="str">
        <x:v>ET-A-A-N2</x:v>
      </x:c>
      <x:c r="L564" s="9" t="str">
        <x:v>ST08</x:v>
      </x:c>
      <x:c r="M564" s="17" t="str">
        <x:v>Manual stop and safety</x:v>
      </x:c>
      <x:c r="N564" s="17" t="str">
        <x:v>local stop, evacuation and protection routes are active</x:v>
      </x:c>
      <x:c r="O564" s="17" t="str">
        <x:v>Safety authority</x:v>
      </x:c>
      <x:c r="P564" s="9" t="n">
        <x:v>0</x:v>
      </x:c>
      <x:c r="Q564" s="9" t="n">
        <x:v>0</x:v>
      </x:c>
      <x:c r="R564" s="9" t="str">
        <x:v>OPEN / UNSTARTED</x:v>
      </x:c>
      <x:c r="S564" s="9" t="n">
        <x:f>COUNTIFS($A$7:$A$1446,A564)</x:f>
        <x:v>1</x:v>
      </x:c>
    </x:row>
    <x:row r="565">
      <x:c r="A565" s="9" t="str">
        <x:v>EV-AR-ET-A-A-TECH-1-B1-BRK-G0-ST09</x:v>
      </x:c>
      <x:c r="B565" s="9" t="str">
        <x:v>EV-AR-ET-A-A-TECH-1-B1-BRK-G0</x:v>
      </x:c>
      <x:c r="C565" s="9" t="str">
        <x:v>EOW-AR-ET-A-A-TECH-1-B1-BRK-G0</x:v>
      </x:c>
      <x:c r="D565" s="9" t="str">
        <x:v>AR-ET-A-A-TECH-1-B1-BRK-G0</x:v>
      </x:c>
      <x:c r="E565" s="9" t="str">
        <x:v>ET-A-A-TECH-1</x:v>
      </x:c>
      <x:c r="F565" s="9" t="str">
        <x:v>ET-A-A</x:v>
      </x:c>
      <x:c r="G565" s="9" t="str">
        <x:v>B1</x:v>
      </x:c>
      <x:c r="H565" s="9" t="str">
        <x:v>BRK</x:v>
      </x:c>
      <x:c r="I565" s="9" t="n">
        <x:v>3</x:v>
      </x:c>
      <x:c r="J565" s="9" t="n">
        <x:v>2</x:v>
      </x:c>
      <x:c r="K565" s="9" t="str">
        <x:v>ET-A-A-N2</x:v>
      </x:c>
      <x:c r="L565" s="9" t="str">
        <x:v>ST09</x:v>
      </x:c>
      <x:c r="M565" s="17" t="str">
        <x:v>Operator conflict clear</x:v>
      </x:c>
      <x:c r="N565" s="17" t="str">
        <x:v>candidate, fixture, safety and measurement control edges remain separated</x:v>
      </x:c>
      <x:c r="O565" s="17" t="str">
        <x:v>Conflict registrar</x:v>
      </x:c>
      <x:c r="P565" s="9" t="n">
        <x:v>0</x:v>
      </x:c>
      <x:c r="Q565" s="9" t="n">
        <x:v>0</x:v>
      </x:c>
      <x:c r="R565" s="9" t="str">
        <x:v>OPEN / UNSTARTED</x:v>
      </x:c>
      <x:c r="S565" s="9" t="n">
        <x:f>COUNTIFS($A$7:$A$1446,A565)</x:f>
        <x:v>1</x:v>
      </x:c>
    </x:row>
    <x:row r="566">
      <x:c r="A566" s="9" t="str">
        <x:v>EV-AR-ET-A-A-TECH-1-B1-BRK-G0-ST10</x:v>
      </x:c>
      <x:c r="B566" s="9" t="str">
        <x:v>EV-AR-ET-A-A-TECH-1-B1-BRK-G0</x:v>
      </x:c>
      <x:c r="C566" s="9" t="str">
        <x:v>EOW-AR-ET-A-A-TECH-1-B1-BRK-G0</x:v>
      </x:c>
      <x:c r="D566" s="9" t="str">
        <x:v>AR-ET-A-A-TECH-1-B1-BRK-G0</x:v>
      </x:c>
      <x:c r="E566" s="9" t="str">
        <x:v>ET-A-A-TECH-1</x:v>
      </x:c>
      <x:c r="F566" s="9" t="str">
        <x:v>ET-A-A</x:v>
      </x:c>
      <x:c r="G566" s="9" t="str">
        <x:v>B1</x:v>
      </x:c>
      <x:c r="H566" s="9" t="str">
        <x:v>BRK</x:v>
      </x:c>
      <x:c r="I566" s="9" t="n">
        <x:v>3</x:v>
      </x:c>
      <x:c r="J566" s="9" t="n">
        <x:v>2</x:v>
      </x:c>
      <x:c r="K566" s="9" t="str">
        <x:v>ET-A-A-N2</x:v>
      </x:c>
      <x:c r="L566" s="9" t="str">
        <x:v>ST10</x:v>
      </x:c>
      <x:c r="M566" s="17" t="str">
        <x:v>Window and common clock</x:v>
      </x:c>
      <x:c r="N566" s="17" t="str">
        <x:v>epoch, window and public time origin match the issued warrant</x:v>
      </x:c>
      <x:c r="O566" s="17" t="str">
        <x:v>Event clock authority</x:v>
      </x:c>
      <x:c r="P566" s="9" t="n">
        <x:v>0</x:v>
      </x:c>
      <x:c r="Q566" s="9" t="n">
        <x:v>0</x:v>
      </x:c>
      <x:c r="R566" s="9" t="str">
        <x:v>OPEN / UNSTARTED</x:v>
      </x:c>
      <x:c r="S566" s="9" t="n">
        <x:f>COUNTIFS($A$7:$A$1446,A566)</x:f>
        <x:v>1</x:v>
      </x:c>
    </x:row>
    <x:row r="567">
      <x:c r="A567" s="9" t="str">
        <x:v>EV-AR-HU-A-B-TECH-3-B1-BRK-G0-ST01</x:v>
      </x:c>
      <x:c r="B567" s="9" t="str">
        <x:v>EV-AR-HU-A-B-TECH-3-B1-BRK-G0</x:v>
      </x:c>
      <x:c r="C567" s="9" t="str">
        <x:v>EOW-AR-HU-A-B-TECH-3-B1-BRK-G0</x:v>
      </x:c>
      <x:c r="D567" s="9" t="str">
        <x:v>AR-HU-A-B-TECH-3-B1-BRK-G0</x:v>
      </x:c>
      <x:c r="E567" s="9" t="str">
        <x:v>HU-A-B-TECH-3</x:v>
      </x:c>
      <x:c r="F567" s="9" t="str">
        <x:v>HU-A-B</x:v>
      </x:c>
      <x:c r="G567" s="9" t="str">
        <x:v>B1</x:v>
      </x:c>
      <x:c r="H567" s="9" t="str">
        <x:v>BRK</x:v>
      </x:c>
      <x:c r="I567" s="9" t="n">
        <x:v>3</x:v>
      </x:c>
      <x:c r="J567" s="9" t="n">
        <x:v>2</x:v>
      </x:c>
      <x:c r="K567" s="9" t="str">
        <x:v>HU-A-B-N1</x:v>
      </x:c>
      <x:c r="L567" s="9" t="str">
        <x:v>ST01</x:v>
      </x:c>
      <x:c r="M567" s="17" t="str">
        <x:v>Active opportunity warrant</x:v>
      </x:c>
      <x:c r="N567" s="17" t="str">
        <x:v>configuration-bound EOW is within its thirty-six-hour validity</x:v>
      </x:c>
      <x:c r="O567" s="17" t="str">
        <x:v>Start registrar</x:v>
      </x:c>
      <x:c r="P567" s="9" t="n">
        <x:v>0</x:v>
      </x:c>
      <x:c r="Q567" s="9" t="n">
        <x:v>0</x:v>
      </x:c>
      <x:c r="R567" s="9" t="str">
        <x:v>OPEN / UNSTARTED</x:v>
      </x:c>
      <x:c r="S567" s="9" t="n">
        <x:f>COUNTIFS($A$7:$A$1446,A567)</x:f>
        <x:v>1</x:v>
      </x:c>
    </x:row>
    <x:row r="568">
      <x:c r="A568" s="9" t="str">
        <x:v>EV-AR-HU-A-B-TECH-3-B1-BRK-G0-ST02</x:v>
      </x:c>
      <x:c r="B568" s="9" t="str">
        <x:v>EV-AR-HU-A-B-TECH-3-B1-BRK-G0</x:v>
      </x:c>
      <x:c r="C568" s="9" t="str">
        <x:v>EOW-AR-HU-A-B-TECH-3-B1-BRK-G0</x:v>
      </x:c>
      <x:c r="D568" s="9" t="str">
        <x:v>AR-HU-A-B-TECH-3-B1-BRK-G0</x:v>
      </x:c>
      <x:c r="E568" s="9" t="str">
        <x:v>HU-A-B-TECH-3</x:v>
      </x:c>
      <x:c r="F568" s="9" t="str">
        <x:v>HU-A-B</x:v>
      </x:c>
      <x:c r="G568" s="9" t="str">
        <x:v>B1</x:v>
      </x:c>
      <x:c r="H568" s="9" t="str">
        <x:v>BRK</x:v>
      </x:c>
      <x:c r="I568" s="9" t="n">
        <x:v>3</x:v>
      </x:c>
      <x:c r="J568" s="9" t="n">
        <x:v>2</x:v>
      </x:c>
      <x:c r="K568" s="9" t="str">
        <x:v>HU-A-B-N1</x:v>
      </x:c>
      <x:c r="L568" s="9" t="str">
        <x:v>ST02</x:v>
      </x:c>
      <x:c r="M568" s="17" t="str">
        <x:v>Frozen identity</x:v>
      </x:c>
      <x:c r="N568" s="17" t="str">
        <x:v>serial, generation, fixture, site, receiver and digest match the warrant</x:v>
      </x:c>
      <x:c r="O568" s="17" t="str">
        <x:v>Custody authority</x:v>
      </x:c>
      <x:c r="P568" s="9" t="n">
        <x:v>0</x:v>
      </x:c>
      <x:c r="Q568" s="9" t="n">
        <x:v>0</x:v>
      </x:c>
      <x:c r="R568" s="9" t="str">
        <x:v>OPEN / UNSTARTED</x:v>
      </x:c>
      <x:c r="S568" s="9" t="n">
        <x:f>COUNTIFS($A$7:$A$1446,A568)</x:f>
        <x:v>1</x:v>
      </x:c>
    </x:row>
    <x:row r="569">
      <x:c r="A569" s="9" t="str">
        <x:v>EV-AR-HU-A-B-TECH-3-B1-BRK-G0-ST03</x:v>
      </x:c>
      <x:c r="B569" s="9" t="str">
        <x:v>EV-AR-HU-A-B-TECH-3-B1-BRK-G0</x:v>
      </x:c>
      <x:c r="C569" s="9" t="str">
        <x:v>EOW-AR-HU-A-B-TECH-3-B1-BRK-G0</x:v>
      </x:c>
      <x:c r="D569" s="9" t="str">
        <x:v>AR-HU-A-B-TECH-3-B1-BRK-G0</x:v>
      </x:c>
      <x:c r="E569" s="9" t="str">
        <x:v>HU-A-B-TECH-3</x:v>
      </x:c>
      <x:c r="F569" s="9" t="str">
        <x:v>HU-A-B</x:v>
      </x:c>
      <x:c r="G569" s="9" t="str">
        <x:v>B1</x:v>
      </x:c>
      <x:c r="H569" s="9" t="str">
        <x:v>BRK</x:v>
      </x:c>
      <x:c r="I569" s="9" t="n">
        <x:v>3</x:v>
      </x:c>
      <x:c r="J569" s="9" t="n">
        <x:v>2</x:v>
      </x:c>
      <x:c r="K569" s="9" t="str">
        <x:v>HU-A-B-N1</x:v>
      </x:c>
      <x:c r="L569" s="9" t="str">
        <x:v>ST03</x:v>
      </x:c>
      <x:c r="M569" s="17" t="str">
        <x:v>Receiver receipt</x:v>
      </x:c>
      <x:c r="N569" s="17" t="str">
        <x:v>denominator, counterfactual, rights and stop receipt remain unchanged</x:v>
      </x:c>
      <x:c r="O569" s="17" t="str">
        <x:v>Receiver authority</x:v>
      </x:c>
      <x:c r="P569" s="9" t="n">
        <x:v>0</x:v>
      </x:c>
      <x:c r="Q569" s="9" t="n">
        <x:v>0</x:v>
      </x:c>
      <x:c r="R569" s="9" t="str">
        <x:v>OPEN / UNSTARTED</x:v>
      </x:c>
      <x:c r="S569" s="9" t="n">
        <x:f>COUNTIFS($A$7:$A$1446,A569)</x:f>
        <x:v>1</x:v>
      </x:c>
    </x:row>
    <x:row r="570">
      <x:c r="A570" s="9" t="str">
        <x:v>EV-AR-HU-A-B-TECH-3-B1-BRK-G0-ST04</x:v>
      </x:c>
      <x:c r="B570" s="9" t="str">
        <x:v>EV-AR-HU-A-B-TECH-3-B1-BRK-G0</x:v>
      </x:c>
      <x:c r="C570" s="9" t="str">
        <x:v>EOW-AR-HU-A-B-TECH-3-B1-BRK-G0</x:v>
      </x:c>
      <x:c r="D570" s="9" t="str">
        <x:v>AR-HU-A-B-TECH-3-B1-BRK-G0</x:v>
      </x:c>
      <x:c r="E570" s="9" t="str">
        <x:v>HU-A-B-TECH-3</x:v>
      </x:c>
      <x:c r="F570" s="9" t="str">
        <x:v>HU-A-B</x:v>
      </x:c>
      <x:c r="G570" s="9" t="str">
        <x:v>B1</x:v>
      </x:c>
      <x:c r="H570" s="9" t="str">
        <x:v>BRK</x:v>
      </x:c>
      <x:c r="I570" s="9" t="n">
        <x:v>3</x:v>
      </x:c>
      <x:c r="J570" s="9" t="n">
        <x:v>2</x:v>
      </x:c>
      <x:c r="K570" s="9" t="str">
        <x:v>HU-A-B-N1</x:v>
      </x:c>
      <x:c r="L570" s="9" t="str">
        <x:v>ST04</x:v>
      </x:c>
      <x:c r="M570" s="17" t="str">
        <x:v>Primary capture armed</x:v>
      </x:c>
      <x:c r="N570" s="17" t="str">
        <x:v>primary chain records sealed reference and live time</x:v>
      </x:c>
      <x:c r="O570" s="17" t="str">
        <x:v>Primary metrology</x:v>
      </x:c>
      <x:c r="P570" s="9" t="n">
        <x:v>0</x:v>
      </x:c>
      <x:c r="Q570" s="9" t="n">
        <x:v>0</x:v>
      </x:c>
      <x:c r="R570" s="9" t="str">
        <x:v>OPEN / UNSTARTED</x:v>
      </x:c>
      <x:c r="S570" s="9" t="n">
        <x:f>COUNTIFS($A$7:$A$1446,A570)</x:f>
        <x:v>1</x:v>
      </x:c>
    </x:row>
    <x:row r="571">
      <x:c r="A571" s="9" t="str">
        <x:v>EV-AR-HU-A-B-TECH-3-B1-BRK-G0-ST05</x:v>
      </x:c>
      <x:c r="B571" s="9" t="str">
        <x:v>EV-AR-HU-A-B-TECH-3-B1-BRK-G0</x:v>
      </x:c>
      <x:c r="C571" s="9" t="str">
        <x:v>EOW-AR-HU-A-B-TECH-3-B1-BRK-G0</x:v>
      </x:c>
      <x:c r="D571" s="9" t="str">
        <x:v>AR-HU-A-B-TECH-3-B1-BRK-G0</x:v>
      </x:c>
      <x:c r="E571" s="9" t="str">
        <x:v>HU-A-B-TECH-3</x:v>
      </x:c>
      <x:c r="F571" s="9" t="str">
        <x:v>HU-A-B</x:v>
      </x:c>
      <x:c r="G571" s="9" t="str">
        <x:v>B1</x:v>
      </x:c>
      <x:c r="H571" s="9" t="str">
        <x:v>BRK</x:v>
      </x:c>
      <x:c r="I571" s="9" t="n">
        <x:v>3</x:v>
      </x:c>
      <x:c r="J571" s="9" t="n">
        <x:v>2</x:v>
      </x:c>
      <x:c r="K571" s="9" t="str">
        <x:v>HU-A-B-N1</x:v>
      </x:c>
      <x:c r="L571" s="9" t="str">
        <x:v>ST05</x:v>
      </x:c>
      <x:c r="M571" s="17" t="str">
        <x:v>Witness capture armed</x:v>
      </x:c>
      <x:c r="N571" s="17" t="str">
        <x:v>unlike witness records independent reference and live time</x:v>
      </x:c>
      <x:c r="O571" s="17" t="str">
        <x:v>Witness metrology</x:v>
      </x:c>
      <x:c r="P571" s="9" t="n">
        <x:v>0</x:v>
      </x:c>
      <x:c r="Q571" s="9" t="n">
        <x:v>0</x:v>
      </x:c>
      <x:c r="R571" s="9" t="str">
        <x:v>OPEN / UNSTARTED</x:v>
      </x:c>
      <x:c r="S571" s="9" t="n">
        <x:f>COUNTIFS($A$7:$A$1446,A571)</x:f>
        <x:v>1</x:v>
      </x:c>
    </x:row>
    <x:row r="572">
      <x:c r="A572" s="9" t="str">
        <x:v>EV-AR-HU-A-B-TECH-3-B1-BRK-G0-ST06</x:v>
      </x:c>
      <x:c r="B572" s="9" t="str">
        <x:v>EV-AR-HU-A-B-TECH-3-B1-BRK-G0</x:v>
      </x:c>
      <x:c r="C572" s="9" t="str">
        <x:v>EOW-AR-HU-A-B-TECH-3-B1-BRK-G0</x:v>
      </x:c>
      <x:c r="D572" s="9" t="str">
        <x:v>AR-HU-A-B-TECH-3-B1-BRK-G0</x:v>
      </x:c>
      <x:c r="E572" s="9" t="str">
        <x:v>HU-A-B-TECH-3</x:v>
      </x:c>
      <x:c r="F572" s="9" t="str">
        <x:v>HU-A-B</x:v>
      </x:c>
      <x:c r="G572" s="9" t="str">
        <x:v>B1</x:v>
      </x:c>
      <x:c r="H572" s="9" t="str">
        <x:v>BRK</x:v>
      </x:c>
      <x:c r="I572" s="9" t="n">
        <x:v>3</x:v>
      </x:c>
      <x:c r="J572" s="9" t="n">
        <x:v>2</x:v>
      </x:c>
      <x:c r="K572" s="9" t="str">
        <x:v>HU-A-B-N1</x:v>
      </x:c>
      <x:c r="L572" s="9" t="str">
        <x:v>ST06</x:v>
      </x:c>
      <x:c r="M572" s="17" t="str">
        <x:v>Public custody armed</x:v>
      </x:c>
      <x:c r="N572" s="17" t="str">
        <x:v>eight raw origins have separated hash and replica routes</x:v>
      </x:c>
      <x:c r="O572" s="17" t="str">
        <x:v>Custody authority</x:v>
      </x:c>
      <x:c r="P572" s="9" t="n">
        <x:v>0</x:v>
      </x:c>
      <x:c r="Q572" s="9" t="n">
        <x:v>0</x:v>
      </x:c>
      <x:c r="R572" s="9" t="str">
        <x:v>OPEN / UNSTARTED</x:v>
      </x:c>
      <x:c r="S572" s="9" t="n">
        <x:f>COUNTIFS($A$7:$A$1446,A572)</x:f>
        <x:v>1</x:v>
      </x:c>
    </x:row>
    <x:row r="573">
      <x:c r="A573" s="9" t="str">
        <x:v>EV-AR-HU-A-B-TECH-3-B1-BRK-G0-ST07</x:v>
      </x:c>
      <x:c r="B573" s="9" t="str">
        <x:v>EV-AR-HU-A-B-TECH-3-B1-BRK-G0</x:v>
      </x:c>
      <x:c r="C573" s="9" t="str">
        <x:v>EOW-AR-HU-A-B-TECH-3-B1-BRK-G0</x:v>
      </x:c>
      <x:c r="D573" s="9" t="str">
        <x:v>AR-HU-A-B-TECH-3-B1-BRK-G0</x:v>
      </x:c>
      <x:c r="E573" s="9" t="str">
        <x:v>HU-A-B-TECH-3</x:v>
      </x:c>
      <x:c r="F573" s="9" t="str">
        <x:v>HU-A-B</x:v>
      </x:c>
      <x:c r="G573" s="9" t="str">
        <x:v>B1</x:v>
      </x:c>
      <x:c r="H573" s="9" t="str">
        <x:v>BRK</x:v>
      </x:c>
      <x:c r="I573" s="9" t="n">
        <x:v>3</x:v>
      </x:c>
      <x:c r="J573" s="9" t="n">
        <x:v>2</x:v>
      </x:c>
      <x:c r="K573" s="9" t="str">
        <x:v>HU-A-B-N1</x:v>
      </x:c>
      <x:c r="L573" s="9" t="str">
        <x:v>ST07</x:v>
      </x:c>
      <x:c r="M573" s="17" t="str">
        <x:v>Environmental baseline</x:v>
      </x:c>
      <x:c r="N573" s="17" t="str">
        <x:v>pre-event boundary state is sealed before decisive operation</x:v>
      </x:c>
      <x:c r="O573" s="17" t="str">
        <x:v>Site metrology</x:v>
      </x:c>
      <x:c r="P573" s="9" t="n">
        <x:v>0</x:v>
      </x:c>
      <x:c r="Q573" s="9" t="n">
        <x:v>0</x:v>
      </x:c>
      <x:c r="R573" s="9" t="str">
        <x:v>OPEN / UNSTARTED</x:v>
      </x:c>
      <x:c r="S573" s="9" t="n">
        <x:f>COUNTIFS($A$7:$A$1446,A573)</x:f>
        <x:v>1</x:v>
      </x:c>
    </x:row>
    <x:row r="574">
      <x:c r="A574" s="9" t="str">
        <x:v>EV-AR-HU-A-B-TECH-3-B1-BRK-G0-ST08</x:v>
      </x:c>
      <x:c r="B574" s="9" t="str">
        <x:v>EV-AR-HU-A-B-TECH-3-B1-BRK-G0</x:v>
      </x:c>
      <x:c r="C574" s="9" t="str">
        <x:v>EOW-AR-HU-A-B-TECH-3-B1-BRK-G0</x:v>
      </x:c>
      <x:c r="D574" s="9" t="str">
        <x:v>AR-HU-A-B-TECH-3-B1-BRK-G0</x:v>
      </x:c>
      <x:c r="E574" s="9" t="str">
        <x:v>HU-A-B-TECH-3</x:v>
      </x:c>
      <x:c r="F574" s="9" t="str">
        <x:v>HU-A-B</x:v>
      </x:c>
      <x:c r="G574" s="9" t="str">
        <x:v>B1</x:v>
      </x:c>
      <x:c r="H574" s="9" t="str">
        <x:v>BRK</x:v>
      </x:c>
      <x:c r="I574" s="9" t="n">
        <x:v>3</x:v>
      </x:c>
      <x:c r="J574" s="9" t="n">
        <x:v>2</x:v>
      </x:c>
      <x:c r="K574" s="9" t="str">
        <x:v>HU-A-B-N1</x:v>
      </x:c>
      <x:c r="L574" s="9" t="str">
        <x:v>ST08</x:v>
      </x:c>
      <x:c r="M574" s="17" t="str">
        <x:v>Manual stop and safety</x:v>
      </x:c>
      <x:c r="N574" s="17" t="str">
        <x:v>local stop, evacuation and protection routes are active</x:v>
      </x:c>
      <x:c r="O574" s="17" t="str">
        <x:v>Safety authority</x:v>
      </x:c>
      <x:c r="P574" s="9" t="n">
        <x:v>0</x:v>
      </x:c>
      <x:c r="Q574" s="9" t="n">
        <x:v>0</x:v>
      </x:c>
      <x:c r="R574" s="9" t="str">
        <x:v>OPEN / UNSTARTED</x:v>
      </x:c>
      <x:c r="S574" s="9" t="n">
        <x:f>COUNTIFS($A$7:$A$1446,A574)</x:f>
        <x:v>1</x:v>
      </x:c>
    </x:row>
    <x:row r="575">
      <x:c r="A575" s="9" t="str">
        <x:v>EV-AR-HU-A-B-TECH-3-B1-BRK-G0-ST09</x:v>
      </x:c>
      <x:c r="B575" s="9" t="str">
        <x:v>EV-AR-HU-A-B-TECH-3-B1-BRK-G0</x:v>
      </x:c>
      <x:c r="C575" s="9" t="str">
        <x:v>EOW-AR-HU-A-B-TECH-3-B1-BRK-G0</x:v>
      </x:c>
      <x:c r="D575" s="9" t="str">
        <x:v>AR-HU-A-B-TECH-3-B1-BRK-G0</x:v>
      </x:c>
      <x:c r="E575" s="9" t="str">
        <x:v>HU-A-B-TECH-3</x:v>
      </x:c>
      <x:c r="F575" s="9" t="str">
        <x:v>HU-A-B</x:v>
      </x:c>
      <x:c r="G575" s="9" t="str">
        <x:v>B1</x:v>
      </x:c>
      <x:c r="H575" s="9" t="str">
        <x:v>BRK</x:v>
      </x:c>
      <x:c r="I575" s="9" t="n">
        <x:v>3</x:v>
      </x:c>
      <x:c r="J575" s="9" t="n">
        <x:v>2</x:v>
      </x:c>
      <x:c r="K575" s="9" t="str">
        <x:v>HU-A-B-N1</x:v>
      </x:c>
      <x:c r="L575" s="9" t="str">
        <x:v>ST09</x:v>
      </x:c>
      <x:c r="M575" s="17" t="str">
        <x:v>Operator conflict clear</x:v>
      </x:c>
      <x:c r="N575" s="17" t="str">
        <x:v>candidate, fixture, safety and measurement control edges remain separated</x:v>
      </x:c>
      <x:c r="O575" s="17" t="str">
        <x:v>Conflict registrar</x:v>
      </x:c>
      <x:c r="P575" s="9" t="n">
        <x:v>0</x:v>
      </x:c>
      <x:c r="Q575" s="9" t="n">
        <x:v>0</x:v>
      </x:c>
      <x:c r="R575" s="9" t="str">
        <x:v>OPEN / UNSTARTED</x:v>
      </x:c>
      <x:c r="S575" s="9" t="n">
        <x:f>COUNTIFS($A$7:$A$1446,A575)</x:f>
        <x:v>1</x:v>
      </x:c>
    </x:row>
    <x:row r="576">
      <x:c r="A576" s="9" t="str">
        <x:v>EV-AR-HU-A-B-TECH-3-B1-BRK-G0-ST10</x:v>
      </x:c>
      <x:c r="B576" s="9" t="str">
        <x:v>EV-AR-HU-A-B-TECH-3-B1-BRK-G0</x:v>
      </x:c>
      <x:c r="C576" s="9" t="str">
        <x:v>EOW-AR-HU-A-B-TECH-3-B1-BRK-G0</x:v>
      </x:c>
      <x:c r="D576" s="9" t="str">
        <x:v>AR-HU-A-B-TECH-3-B1-BRK-G0</x:v>
      </x:c>
      <x:c r="E576" s="9" t="str">
        <x:v>HU-A-B-TECH-3</x:v>
      </x:c>
      <x:c r="F576" s="9" t="str">
        <x:v>HU-A-B</x:v>
      </x:c>
      <x:c r="G576" s="9" t="str">
        <x:v>B1</x:v>
      </x:c>
      <x:c r="H576" s="9" t="str">
        <x:v>BRK</x:v>
      </x:c>
      <x:c r="I576" s="9" t="n">
        <x:v>3</x:v>
      </x:c>
      <x:c r="J576" s="9" t="n">
        <x:v>2</x:v>
      </x:c>
      <x:c r="K576" s="9" t="str">
        <x:v>HU-A-B-N1</x:v>
      </x:c>
      <x:c r="L576" s="9" t="str">
        <x:v>ST10</x:v>
      </x:c>
      <x:c r="M576" s="17" t="str">
        <x:v>Window and common clock</x:v>
      </x:c>
      <x:c r="N576" s="17" t="str">
        <x:v>epoch, window and public time origin match the issued warrant</x:v>
      </x:c>
      <x:c r="O576" s="17" t="str">
        <x:v>Event clock authority</x:v>
      </x:c>
      <x:c r="P576" s="9" t="n">
        <x:v>0</x:v>
      </x:c>
      <x:c r="Q576" s="9" t="n">
        <x:v>0</x:v>
      </x:c>
      <x:c r="R576" s="9" t="str">
        <x:v>OPEN / UNSTARTED</x:v>
      </x:c>
      <x:c r="S576" s="9" t="n">
        <x:f>COUNTIFS($A$7:$A$1446,A576)</x:f>
        <x:v>1</x:v>
      </x:c>
    </x:row>
    <x:row r="577">
      <x:c r="A577" s="9" t="str">
        <x:v>EV-AR-HU-A-B-TECH-2-B2-BRK-G0-ST01</x:v>
      </x:c>
      <x:c r="B577" s="9" t="str">
        <x:v>EV-AR-HU-A-B-TECH-2-B2-BRK-G0</x:v>
      </x:c>
      <x:c r="C577" s="9" t="str">
        <x:v>EOW-AR-HU-A-B-TECH-2-B2-BRK-G0</x:v>
      </x:c>
      <x:c r="D577" s="9" t="str">
        <x:v>AR-HU-A-B-TECH-2-B2-BRK-G0</x:v>
      </x:c>
      <x:c r="E577" s="9" t="str">
        <x:v>HU-A-B-TECH-2</x:v>
      </x:c>
      <x:c r="F577" s="9" t="str">
        <x:v>HU-A-B</x:v>
      </x:c>
      <x:c r="G577" s="9" t="str">
        <x:v>B2</x:v>
      </x:c>
      <x:c r="H577" s="9" t="str">
        <x:v>BRK</x:v>
      </x:c>
      <x:c r="I577" s="9" t="n">
        <x:v>3</x:v>
      </x:c>
      <x:c r="J577" s="9" t="n">
        <x:v>2</x:v>
      </x:c>
      <x:c r="K577" s="9" t="str">
        <x:v>HU-A-B-N3</x:v>
      </x:c>
      <x:c r="L577" s="9" t="str">
        <x:v>ST01</x:v>
      </x:c>
      <x:c r="M577" s="17" t="str">
        <x:v>Active opportunity warrant</x:v>
      </x:c>
      <x:c r="N577" s="17" t="str">
        <x:v>configuration-bound EOW is within its thirty-six-hour validity</x:v>
      </x:c>
      <x:c r="O577" s="17" t="str">
        <x:v>Start registrar</x:v>
      </x:c>
      <x:c r="P577" s="9" t="n">
        <x:v>0</x:v>
      </x:c>
      <x:c r="Q577" s="9" t="n">
        <x:v>0</x:v>
      </x:c>
      <x:c r="R577" s="9" t="str">
        <x:v>OPEN / UNSTARTED</x:v>
      </x:c>
      <x:c r="S577" s="9" t="n">
        <x:f>COUNTIFS($A$7:$A$1446,A577)</x:f>
        <x:v>1</x:v>
      </x:c>
    </x:row>
    <x:row r="578">
      <x:c r="A578" s="9" t="str">
        <x:v>EV-AR-HU-A-B-TECH-2-B2-BRK-G0-ST02</x:v>
      </x:c>
      <x:c r="B578" s="9" t="str">
        <x:v>EV-AR-HU-A-B-TECH-2-B2-BRK-G0</x:v>
      </x:c>
      <x:c r="C578" s="9" t="str">
        <x:v>EOW-AR-HU-A-B-TECH-2-B2-BRK-G0</x:v>
      </x:c>
      <x:c r="D578" s="9" t="str">
        <x:v>AR-HU-A-B-TECH-2-B2-BRK-G0</x:v>
      </x:c>
      <x:c r="E578" s="9" t="str">
        <x:v>HU-A-B-TECH-2</x:v>
      </x:c>
      <x:c r="F578" s="9" t="str">
        <x:v>HU-A-B</x:v>
      </x:c>
      <x:c r="G578" s="9" t="str">
        <x:v>B2</x:v>
      </x:c>
      <x:c r="H578" s="9" t="str">
        <x:v>BRK</x:v>
      </x:c>
      <x:c r="I578" s="9" t="n">
        <x:v>3</x:v>
      </x:c>
      <x:c r="J578" s="9" t="n">
        <x:v>2</x:v>
      </x:c>
      <x:c r="K578" s="9" t="str">
        <x:v>HU-A-B-N3</x:v>
      </x:c>
      <x:c r="L578" s="9" t="str">
        <x:v>ST02</x:v>
      </x:c>
      <x:c r="M578" s="17" t="str">
        <x:v>Frozen identity</x:v>
      </x:c>
      <x:c r="N578" s="17" t="str">
        <x:v>serial, generation, fixture, site, receiver and digest match the warrant</x:v>
      </x:c>
      <x:c r="O578" s="17" t="str">
        <x:v>Custody authority</x:v>
      </x:c>
      <x:c r="P578" s="9" t="n">
        <x:v>0</x:v>
      </x:c>
      <x:c r="Q578" s="9" t="n">
        <x:v>0</x:v>
      </x:c>
      <x:c r="R578" s="9" t="str">
        <x:v>OPEN / UNSTARTED</x:v>
      </x:c>
      <x:c r="S578" s="9" t="n">
        <x:f>COUNTIFS($A$7:$A$1446,A578)</x:f>
        <x:v>1</x:v>
      </x:c>
    </x:row>
    <x:row r="579">
      <x:c r="A579" s="9" t="str">
        <x:v>EV-AR-HU-A-B-TECH-2-B2-BRK-G0-ST03</x:v>
      </x:c>
      <x:c r="B579" s="9" t="str">
        <x:v>EV-AR-HU-A-B-TECH-2-B2-BRK-G0</x:v>
      </x:c>
      <x:c r="C579" s="9" t="str">
        <x:v>EOW-AR-HU-A-B-TECH-2-B2-BRK-G0</x:v>
      </x:c>
      <x:c r="D579" s="9" t="str">
        <x:v>AR-HU-A-B-TECH-2-B2-BRK-G0</x:v>
      </x:c>
      <x:c r="E579" s="9" t="str">
        <x:v>HU-A-B-TECH-2</x:v>
      </x:c>
      <x:c r="F579" s="9" t="str">
        <x:v>HU-A-B</x:v>
      </x:c>
      <x:c r="G579" s="9" t="str">
        <x:v>B2</x:v>
      </x:c>
      <x:c r="H579" s="9" t="str">
        <x:v>BRK</x:v>
      </x:c>
      <x:c r="I579" s="9" t="n">
        <x:v>3</x:v>
      </x:c>
      <x:c r="J579" s="9" t="n">
        <x:v>2</x:v>
      </x:c>
      <x:c r="K579" s="9" t="str">
        <x:v>HU-A-B-N3</x:v>
      </x:c>
      <x:c r="L579" s="9" t="str">
        <x:v>ST03</x:v>
      </x:c>
      <x:c r="M579" s="17" t="str">
        <x:v>Receiver receipt</x:v>
      </x:c>
      <x:c r="N579" s="17" t="str">
        <x:v>denominator, counterfactual, rights and stop receipt remain unchanged</x:v>
      </x:c>
      <x:c r="O579" s="17" t="str">
        <x:v>Receiver authority</x:v>
      </x:c>
      <x:c r="P579" s="9" t="n">
        <x:v>0</x:v>
      </x:c>
      <x:c r="Q579" s="9" t="n">
        <x:v>0</x:v>
      </x:c>
      <x:c r="R579" s="9" t="str">
        <x:v>OPEN / UNSTARTED</x:v>
      </x:c>
      <x:c r="S579" s="9" t="n">
        <x:f>COUNTIFS($A$7:$A$1446,A579)</x:f>
        <x:v>1</x:v>
      </x:c>
    </x:row>
    <x:row r="580">
      <x:c r="A580" s="9" t="str">
        <x:v>EV-AR-HU-A-B-TECH-2-B2-BRK-G0-ST04</x:v>
      </x:c>
      <x:c r="B580" s="9" t="str">
        <x:v>EV-AR-HU-A-B-TECH-2-B2-BRK-G0</x:v>
      </x:c>
      <x:c r="C580" s="9" t="str">
        <x:v>EOW-AR-HU-A-B-TECH-2-B2-BRK-G0</x:v>
      </x:c>
      <x:c r="D580" s="9" t="str">
        <x:v>AR-HU-A-B-TECH-2-B2-BRK-G0</x:v>
      </x:c>
      <x:c r="E580" s="9" t="str">
        <x:v>HU-A-B-TECH-2</x:v>
      </x:c>
      <x:c r="F580" s="9" t="str">
        <x:v>HU-A-B</x:v>
      </x:c>
      <x:c r="G580" s="9" t="str">
        <x:v>B2</x:v>
      </x:c>
      <x:c r="H580" s="9" t="str">
        <x:v>BRK</x:v>
      </x:c>
      <x:c r="I580" s="9" t="n">
        <x:v>3</x:v>
      </x:c>
      <x:c r="J580" s="9" t="n">
        <x:v>2</x:v>
      </x:c>
      <x:c r="K580" s="9" t="str">
        <x:v>HU-A-B-N3</x:v>
      </x:c>
      <x:c r="L580" s="9" t="str">
        <x:v>ST04</x:v>
      </x:c>
      <x:c r="M580" s="17" t="str">
        <x:v>Primary capture armed</x:v>
      </x:c>
      <x:c r="N580" s="17" t="str">
        <x:v>primary chain records sealed reference and live time</x:v>
      </x:c>
      <x:c r="O580" s="17" t="str">
        <x:v>Primary metrology</x:v>
      </x:c>
      <x:c r="P580" s="9" t="n">
        <x:v>0</x:v>
      </x:c>
      <x:c r="Q580" s="9" t="n">
        <x:v>0</x:v>
      </x:c>
      <x:c r="R580" s="9" t="str">
        <x:v>OPEN / UNSTARTED</x:v>
      </x:c>
      <x:c r="S580" s="9" t="n">
        <x:f>COUNTIFS($A$7:$A$1446,A580)</x:f>
        <x:v>1</x:v>
      </x:c>
    </x:row>
    <x:row r="581">
      <x:c r="A581" s="9" t="str">
        <x:v>EV-AR-HU-A-B-TECH-2-B2-BRK-G0-ST05</x:v>
      </x:c>
      <x:c r="B581" s="9" t="str">
        <x:v>EV-AR-HU-A-B-TECH-2-B2-BRK-G0</x:v>
      </x:c>
      <x:c r="C581" s="9" t="str">
        <x:v>EOW-AR-HU-A-B-TECH-2-B2-BRK-G0</x:v>
      </x:c>
      <x:c r="D581" s="9" t="str">
        <x:v>AR-HU-A-B-TECH-2-B2-BRK-G0</x:v>
      </x:c>
      <x:c r="E581" s="9" t="str">
        <x:v>HU-A-B-TECH-2</x:v>
      </x:c>
      <x:c r="F581" s="9" t="str">
        <x:v>HU-A-B</x:v>
      </x:c>
      <x:c r="G581" s="9" t="str">
        <x:v>B2</x:v>
      </x:c>
      <x:c r="H581" s="9" t="str">
        <x:v>BRK</x:v>
      </x:c>
      <x:c r="I581" s="9" t="n">
        <x:v>3</x:v>
      </x:c>
      <x:c r="J581" s="9" t="n">
        <x:v>2</x:v>
      </x:c>
      <x:c r="K581" s="9" t="str">
        <x:v>HU-A-B-N3</x:v>
      </x:c>
      <x:c r="L581" s="9" t="str">
        <x:v>ST05</x:v>
      </x:c>
      <x:c r="M581" s="17" t="str">
        <x:v>Witness capture armed</x:v>
      </x:c>
      <x:c r="N581" s="17" t="str">
        <x:v>unlike witness records independent reference and live time</x:v>
      </x:c>
      <x:c r="O581" s="17" t="str">
        <x:v>Witness metrology</x:v>
      </x:c>
      <x:c r="P581" s="9" t="n">
        <x:v>0</x:v>
      </x:c>
      <x:c r="Q581" s="9" t="n">
        <x:v>0</x:v>
      </x:c>
      <x:c r="R581" s="9" t="str">
        <x:v>OPEN / UNSTARTED</x:v>
      </x:c>
      <x:c r="S581" s="9" t="n">
        <x:f>COUNTIFS($A$7:$A$1446,A581)</x:f>
        <x:v>1</x:v>
      </x:c>
    </x:row>
    <x:row r="582">
      <x:c r="A582" s="9" t="str">
        <x:v>EV-AR-HU-A-B-TECH-2-B2-BRK-G0-ST06</x:v>
      </x:c>
      <x:c r="B582" s="9" t="str">
        <x:v>EV-AR-HU-A-B-TECH-2-B2-BRK-G0</x:v>
      </x:c>
      <x:c r="C582" s="9" t="str">
        <x:v>EOW-AR-HU-A-B-TECH-2-B2-BRK-G0</x:v>
      </x:c>
      <x:c r="D582" s="9" t="str">
        <x:v>AR-HU-A-B-TECH-2-B2-BRK-G0</x:v>
      </x:c>
      <x:c r="E582" s="9" t="str">
        <x:v>HU-A-B-TECH-2</x:v>
      </x:c>
      <x:c r="F582" s="9" t="str">
        <x:v>HU-A-B</x:v>
      </x:c>
      <x:c r="G582" s="9" t="str">
        <x:v>B2</x:v>
      </x:c>
      <x:c r="H582" s="9" t="str">
        <x:v>BRK</x:v>
      </x:c>
      <x:c r="I582" s="9" t="n">
        <x:v>3</x:v>
      </x:c>
      <x:c r="J582" s="9" t="n">
        <x:v>2</x:v>
      </x:c>
      <x:c r="K582" s="9" t="str">
        <x:v>HU-A-B-N3</x:v>
      </x:c>
      <x:c r="L582" s="9" t="str">
        <x:v>ST06</x:v>
      </x:c>
      <x:c r="M582" s="17" t="str">
        <x:v>Public custody armed</x:v>
      </x:c>
      <x:c r="N582" s="17" t="str">
        <x:v>eight raw origins have separated hash and replica routes</x:v>
      </x:c>
      <x:c r="O582" s="17" t="str">
        <x:v>Custody authority</x:v>
      </x:c>
      <x:c r="P582" s="9" t="n">
        <x:v>0</x:v>
      </x:c>
      <x:c r="Q582" s="9" t="n">
        <x:v>0</x:v>
      </x:c>
      <x:c r="R582" s="9" t="str">
        <x:v>OPEN / UNSTARTED</x:v>
      </x:c>
      <x:c r="S582" s="9" t="n">
        <x:f>COUNTIFS($A$7:$A$1446,A582)</x:f>
        <x:v>1</x:v>
      </x:c>
    </x:row>
    <x:row r="583">
      <x:c r="A583" s="9" t="str">
        <x:v>EV-AR-HU-A-B-TECH-2-B2-BRK-G0-ST07</x:v>
      </x:c>
      <x:c r="B583" s="9" t="str">
        <x:v>EV-AR-HU-A-B-TECH-2-B2-BRK-G0</x:v>
      </x:c>
      <x:c r="C583" s="9" t="str">
        <x:v>EOW-AR-HU-A-B-TECH-2-B2-BRK-G0</x:v>
      </x:c>
      <x:c r="D583" s="9" t="str">
        <x:v>AR-HU-A-B-TECH-2-B2-BRK-G0</x:v>
      </x:c>
      <x:c r="E583" s="9" t="str">
        <x:v>HU-A-B-TECH-2</x:v>
      </x:c>
      <x:c r="F583" s="9" t="str">
        <x:v>HU-A-B</x:v>
      </x:c>
      <x:c r="G583" s="9" t="str">
        <x:v>B2</x:v>
      </x:c>
      <x:c r="H583" s="9" t="str">
        <x:v>BRK</x:v>
      </x:c>
      <x:c r="I583" s="9" t="n">
        <x:v>3</x:v>
      </x:c>
      <x:c r="J583" s="9" t="n">
        <x:v>2</x:v>
      </x:c>
      <x:c r="K583" s="9" t="str">
        <x:v>HU-A-B-N3</x:v>
      </x:c>
      <x:c r="L583" s="9" t="str">
        <x:v>ST07</x:v>
      </x:c>
      <x:c r="M583" s="17" t="str">
        <x:v>Environmental baseline</x:v>
      </x:c>
      <x:c r="N583" s="17" t="str">
        <x:v>pre-event boundary state is sealed before decisive operation</x:v>
      </x:c>
      <x:c r="O583" s="17" t="str">
        <x:v>Site metrology</x:v>
      </x:c>
      <x:c r="P583" s="9" t="n">
        <x:v>0</x:v>
      </x:c>
      <x:c r="Q583" s="9" t="n">
        <x:v>0</x:v>
      </x:c>
      <x:c r="R583" s="9" t="str">
        <x:v>OPEN / UNSTARTED</x:v>
      </x:c>
      <x:c r="S583" s="9" t="n">
        <x:f>COUNTIFS($A$7:$A$1446,A583)</x:f>
        <x:v>1</x:v>
      </x:c>
    </x:row>
    <x:row r="584">
      <x:c r="A584" s="9" t="str">
        <x:v>EV-AR-HU-A-B-TECH-2-B2-BRK-G0-ST08</x:v>
      </x:c>
      <x:c r="B584" s="9" t="str">
        <x:v>EV-AR-HU-A-B-TECH-2-B2-BRK-G0</x:v>
      </x:c>
      <x:c r="C584" s="9" t="str">
        <x:v>EOW-AR-HU-A-B-TECH-2-B2-BRK-G0</x:v>
      </x:c>
      <x:c r="D584" s="9" t="str">
        <x:v>AR-HU-A-B-TECH-2-B2-BRK-G0</x:v>
      </x:c>
      <x:c r="E584" s="9" t="str">
        <x:v>HU-A-B-TECH-2</x:v>
      </x:c>
      <x:c r="F584" s="9" t="str">
        <x:v>HU-A-B</x:v>
      </x:c>
      <x:c r="G584" s="9" t="str">
        <x:v>B2</x:v>
      </x:c>
      <x:c r="H584" s="9" t="str">
        <x:v>BRK</x:v>
      </x:c>
      <x:c r="I584" s="9" t="n">
        <x:v>3</x:v>
      </x:c>
      <x:c r="J584" s="9" t="n">
        <x:v>2</x:v>
      </x:c>
      <x:c r="K584" s="9" t="str">
        <x:v>HU-A-B-N3</x:v>
      </x:c>
      <x:c r="L584" s="9" t="str">
        <x:v>ST08</x:v>
      </x:c>
      <x:c r="M584" s="17" t="str">
        <x:v>Manual stop and safety</x:v>
      </x:c>
      <x:c r="N584" s="17" t="str">
        <x:v>local stop, evacuation and protection routes are active</x:v>
      </x:c>
      <x:c r="O584" s="17" t="str">
        <x:v>Safety authority</x:v>
      </x:c>
      <x:c r="P584" s="9" t="n">
        <x:v>0</x:v>
      </x:c>
      <x:c r="Q584" s="9" t="n">
        <x:v>0</x:v>
      </x:c>
      <x:c r="R584" s="9" t="str">
        <x:v>OPEN / UNSTARTED</x:v>
      </x:c>
      <x:c r="S584" s="9" t="n">
        <x:f>COUNTIFS($A$7:$A$1446,A584)</x:f>
        <x:v>1</x:v>
      </x:c>
    </x:row>
    <x:row r="585">
      <x:c r="A585" s="9" t="str">
        <x:v>EV-AR-HU-A-B-TECH-2-B2-BRK-G0-ST09</x:v>
      </x:c>
      <x:c r="B585" s="9" t="str">
        <x:v>EV-AR-HU-A-B-TECH-2-B2-BRK-G0</x:v>
      </x:c>
      <x:c r="C585" s="9" t="str">
        <x:v>EOW-AR-HU-A-B-TECH-2-B2-BRK-G0</x:v>
      </x:c>
      <x:c r="D585" s="9" t="str">
        <x:v>AR-HU-A-B-TECH-2-B2-BRK-G0</x:v>
      </x:c>
      <x:c r="E585" s="9" t="str">
        <x:v>HU-A-B-TECH-2</x:v>
      </x:c>
      <x:c r="F585" s="9" t="str">
        <x:v>HU-A-B</x:v>
      </x:c>
      <x:c r="G585" s="9" t="str">
        <x:v>B2</x:v>
      </x:c>
      <x:c r="H585" s="9" t="str">
        <x:v>BRK</x:v>
      </x:c>
      <x:c r="I585" s="9" t="n">
        <x:v>3</x:v>
      </x:c>
      <x:c r="J585" s="9" t="n">
        <x:v>2</x:v>
      </x:c>
      <x:c r="K585" s="9" t="str">
        <x:v>HU-A-B-N3</x:v>
      </x:c>
      <x:c r="L585" s="9" t="str">
        <x:v>ST09</x:v>
      </x:c>
      <x:c r="M585" s="17" t="str">
        <x:v>Operator conflict clear</x:v>
      </x:c>
      <x:c r="N585" s="17" t="str">
        <x:v>candidate, fixture, safety and measurement control edges remain separated</x:v>
      </x:c>
      <x:c r="O585" s="17" t="str">
        <x:v>Conflict registrar</x:v>
      </x:c>
      <x:c r="P585" s="9" t="n">
        <x:v>0</x:v>
      </x:c>
      <x:c r="Q585" s="9" t="n">
        <x:v>0</x:v>
      </x:c>
      <x:c r="R585" s="9" t="str">
        <x:v>OPEN / UNSTARTED</x:v>
      </x:c>
      <x:c r="S585" s="9" t="n">
        <x:f>COUNTIFS($A$7:$A$1446,A585)</x:f>
        <x:v>1</x:v>
      </x:c>
    </x:row>
    <x:row r="586">
      <x:c r="A586" s="9" t="str">
        <x:v>EV-AR-HU-A-B-TECH-2-B2-BRK-G0-ST10</x:v>
      </x:c>
      <x:c r="B586" s="9" t="str">
        <x:v>EV-AR-HU-A-B-TECH-2-B2-BRK-G0</x:v>
      </x:c>
      <x:c r="C586" s="9" t="str">
        <x:v>EOW-AR-HU-A-B-TECH-2-B2-BRK-G0</x:v>
      </x:c>
      <x:c r="D586" s="9" t="str">
        <x:v>AR-HU-A-B-TECH-2-B2-BRK-G0</x:v>
      </x:c>
      <x:c r="E586" s="9" t="str">
        <x:v>HU-A-B-TECH-2</x:v>
      </x:c>
      <x:c r="F586" s="9" t="str">
        <x:v>HU-A-B</x:v>
      </x:c>
      <x:c r="G586" s="9" t="str">
        <x:v>B2</x:v>
      </x:c>
      <x:c r="H586" s="9" t="str">
        <x:v>BRK</x:v>
      </x:c>
      <x:c r="I586" s="9" t="n">
        <x:v>3</x:v>
      </x:c>
      <x:c r="J586" s="9" t="n">
        <x:v>2</x:v>
      </x:c>
      <x:c r="K586" s="9" t="str">
        <x:v>HU-A-B-N3</x:v>
      </x:c>
      <x:c r="L586" s="9" t="str">
        <x:v>ST10</x:v>
      </x:c>
      <x:c r="M586" s="17" t="str">
        <x:v>Window and common clock</x:v>
      </x:c>
      <x:c r="N586" s="17" t="str">
        <x:v>epoch, window and public time origin match the issued warrant</x:v>
      </x:c>
      <x:c r="O586" s="17" t="str">
        <x:v>Event clock authority</x:v>
      </x:c>
      <x:c r="P586" s="9" t="n">
        <x:v>0</x:v>
      </x:c>
      <x:c r="Q586" s="9" t="n">
        <x:v>0</x:v>
      </x:c>
      <x:c r="R586" s="9" t="str">
        <x:v>OPEN / UNSTARTED</x:v>
      </x:c>
      <x:c r="S586" s="9" t="n">
        <x:f>COUNTIFS($A$7:$A$1446,A586)</x:f>
        <x:v>1</x:v>
      </x:c>
    </x:row>
    <x:row r="587">
      <x:c r="A587" s="9" t="str">
        <x:v>EV-AR-LF-B-A-TECH-2-B1-RCN-G0-ST01</x:v>
      </x:c>
      <x:c r="B587" s="9" t="str">
        <x:v>EV-AR-LF-B-A-TECH-2-B1-RCN-G0</x:v>
      </x:c>
      <x:c r="C587" s="9" t="str">
        <x:v>EOW-AR-LF-B-A-TECH-2-B1-RCN-G0</x:v>
      </x:c>
      <x:c r="D587" s="9" t="str">
        <x:v>AR-LF-B-A-TECH-2-B1-RCN-G0</x:v>
      </x:c>
      <x:c r="E587" s="9" t="str">
        <x:v>LF-B-A-TECH-2</x:v>
      </x:c>
      <x:c r="F587" s="9" t="str">
        <x:v>LF-B-A</x:v>
      </x:c>
      <x:c r="G587" s="9" t="str">
        <x:v>B1</x:v>
      </x:c>
      <x:c r="H587" s="9" t="str">
        <x:v>RCN</x:v>
      </x:c>
      <x:c r="I587" s="9" t="n">
        <x:v>3</x:v>
      </x:c>
      <x:c r="J587" s="9" t="n">
        <x:v>2</x:v>
      </x:c>
      <x:c r="K587" s="9" t="str">
        <x:v>LF-B-A-N3</x:v>
      </x:c>
      <x:c r="L587" s="9" t="str">
        <x:v>ST01</x:v>
      </x:c>
      <x:c r="M587" s="17" t="str">
        <x:v>Active opportunity warrant</x:v>
      </x:c>
      <x:c r="N587" s="17" t="str">
        <x:v>configuration-bound EOW is within its thirty-six-hour validity</x:v>
      </x:c>
      <x:c r="O587" s="17" t="str">
        <x:v>Start registrar</x:v>
      </x:c>
      <x:c r="P587" s="9" t="n">
        <x:v>0</x:v>
      </x:c>
      <x:c r="Q587" s="9" t="n">
        <x:v>0</x:v>
      </x:c>
      <x:c r="R587" s="9" t="str">
        <x:v>OPEN / UNSTARTED</x:v>
      </x:c>
      <x:c r="S587" s="9" t="n">
        <x:f>COUNTIFS($A$7:$A$1446,A587)</x:f>
        <x:v>1</x:v>
      </x:c>
    </x:row>
    <x:row r="588">
      <x:c r="A588" s="9" t="str">
        <x:v>EV-AR-LF-B-A-TECH-2-B1-RCN-G0-ST02</x:v>
      </x:c>
      <x:c r="B588" s="9" t="str">
        <x:v>EV-AR-LF-B-A-TECH-2-B1-RCN-G0</x:v>
      </x:c>
      <x:c r="C588" s="9" t="str">
        <x:v>EOW-AR-LF-B-A-TECH-2-B1-RCN-G0</x:v>
      </x:c>
      <x:c r="D588" s="9" t="str">
        <x:v>AR-LF-B-A-TECH-2-B1-RCN-G0</x:v>
      </x:c>
      <x:c r="E588" s="9" t="str">
        <x:v>LF-B-A-TECH-2</x:v>
      </x:c>
      <x:c r="F588" s="9" t="str">
        <x:v>LF-B-A</x:v>
      </x:c>
      <x:c r="G588" s="9" t="str">
        <x:v>B1</x:v>
      </x:c>
      <x:c r="H588" s="9" t="str">
        <x:v>RCN</x:v>
      </x:c>
      <x:c r="I588" s="9" t="n">
        <x:v>3</x:v>
      </x:c>
      <x:c r="J588" s="9" t="n">
        <x:v>2</x:v>
      </x:c>
      <x:c r="K588" s="9" t="str">
        <x:v>LF-B-A-N3</x:v>
      </x:c>
      <x:c r="L588" s="9" t="str">
        <x:v>ST02</x:v>
      </x:c>
      <x:c r="M588" s="17" t="str">
        <x:v>Frozen identity</x:v>
      </x:c>
      <x:c r="N588" s="17" t="str">
        <x:v>serial, generation, fixture, site, receiver and digest match the warrant</x:v>
      </x:c>
      <x:c r="O588" s="17" t="str">
        <x:v>Custody authority</x:v>
      </x:c>
      <x:c r="P588" s="9" t="n">
        <x:v>0</x:v>
      </x:c>
      <x:c r="Q588" s="9" t="n">
        <x:v>0</x:v>
      </x:c>
      <x:c r="R588" s="9" t="str">
        <x:v>OPEN / UNSTARTED</x:v>
      </x:c>
      <x:c r="S588" s="9" t="n">
        <x:f>COUNTIFS($A$7:$A$1446,A588)</x:f>
        <x:v>1</x:v>
      </x:c>
    </x:row>
    <x:row r="589">
      <x:c r="A589" s="9" t="str">
        <x:v>EV-AR-LF-B-A-TECH-2-B1-RCN-G0-ST03</x:v>
      </x:c>
      <x:c r="B589" s="9" t="str">
        <x:v>EV-AR-LF-B-A-TECH-2-B1-RCN-G0</x:v>
      </x:c>
      <x:c r="C589" s="9" t="str">
        <x:v>EOW-AR-LF-B-A-TECH-2-B1-RCN-G0</x:v>
      </x:c>
      <x:c r="D589" s="9" t="str">
        <x:v>AR-LF-B-A-TECH-2-B1-RCN-G0</x:v>
      </x:c>
      <x:c r="E589" s="9" t="str">
        <x:v>LF-B-A-TECH-2</x:v>
      </x:c>
      <x:c r="F589" s="9" t="str">
        <x:v>LF-B-A</x:v>
      </x:c>
      <x:c r="G589" s="9" t="str">
        <x:v>B1</x:v>
      </x:c>
      <x:c r="H589" s="9" t="str">
        <x:v>RCN</x:v>
      </x:c>
      <x:c r="I589" s="9" t="n">
        <x:v>3</x:v>
      </x:c>
      <x:c r="J589" s="9" t="n">
        <x:v>2</x:v>
      </x:c>
      <x:c r="K589" s="9" t="str">
        <x:v>LF-B-A-N3</x:v>
      </x:c>
      <x:c r="L589" s="9" t="str">
        <x:v>ST03</x:v>
      </x:c>
      <x:c r="M589" s="17" t="str">
        <x:v>Receiver receipt</x:v>
      </x:c>
      <x:c r="N589" s="17" t="str">
        <x:v>denominator, counterfactual, rights and stop receipt remain unchanged</x:v>
      </x:c>
      <x:c r="O589" s="17" t="str">
        <x:v>Receiver authority</x:v>
      </x:c>
      <x:c r="P589" s="9" t="n">
        <x:v>0</x:v>
      </x:c>
      <x:c r="Q589" s="9" t="n">
        <x:v>0</x:v>
      </x:c>
      <x:c r="R589" s="9" t="str">
        <x:v>OPEN / UNSTARTED</x:v>
      </x:c>
      <x:c r="S589" s="9" t="n">
        <x:f>COUNTIFS($A$7:$A$1446,A589)</x:f>
        <x:v>1</x:v>
      </x:c>
    </x:row>
    <x:row r="590">
      <x:c r="A590" s="9" t="str">
        <x:v>EV-AR-LF-B-A-TECH-2-B1-RCN-G0-ST04</x:v>
      </x:c>
      <x:c r="B590" s="9" t="str">
        <x:v>EV-AR-LF-B-A-TECH-2-B1-RCN-G0</x:v>
      </x:c>
      <x:c r="C590" s="9" t="str">
        <x:v>EOW-AR-LF-B-A-TECH-2-B1-RCN-G0</x:v>
      </x:c>
      <x:c r="D590" s="9" t="str">
        <x:v>AR-LF-B-A-TECH-2-B1-RCN-G0</x:v>
      </x:c>
      <x:c r="E590" s="9" t="str">
        <x:v>LF-B-A-TECH-2</x:v>
      </x:c>
      <x:c r="F590" s="9" t="str">
        <x:v>LF-B-A</x:v>
      </x:c>
      <x:c r="G590" s="9" t="str">
        <x:v>B1</x:v>
      </x:c>
      <x:c r="H590" s="9" t="str">
        <x:v>RCN</x:v>
      </x:c>
      <x:c r="I590" s="9" t="n">
        <x:v>3</x:v>
      </x:c>
      <x:c r="J590" s="9" t="n">
        <x:v>2</x:v>
      </x:c>
      <x:c r="K590" s="9" t="str">
        <x:v>LF-B-A-N3</x:v>
      </x:c>
      <x:c r="L590" s="9" t="str">
        <x:v>ST04</x:v>
      </x:c>
      <x:c r="M590" s="17" t="str">
        <x:v>Primary capture armed</x:v>
      </x:c>
      <x:c r="N590" s="17" t="str">
        <x:v>primary chain records sealed reference and live time</x:v>
      </x:c>
      <x:c r="O590" s="17" t="str">
        <x:v>Primary metrology</x:v>
      </x:c>
      <x:c r="P590" s="9" t="n">
        <x:v>0</x:v>
      </x:c>
      <x:c r="Q590" s="9" t="n">
        <x:v>0</x:v>
      </x:c>
      <x:c r="R590" s="9" t="str">
        <x:v>OPEN / UNSTARTED</x:v>
      </x:c>
      <x:c r="S590" s="9" t="n">
        <x:f>COUNTIFS($A$7:$A$1446,A590)</x:f>
        <x:v>1</x:v>
      </x:c>
    </x:row>
    <x:row r="591">
      <x:c r="A591" s="9" t="str">
        <x:v>EV-AR-LF-B-A-TECH-2-B1-RCN-G0-ST05</x:v>
      </x:c>
      <x:c r="B591" s="9" t="str">
        <x:v>EV-AR-LF-B-A-TECH-2-B1-RCN-G0</x:v>
      </x:c>
      <x:c r="C591" s="9" t="str">
        <x:v>EOW-AR-LF-B-A-TECH-2-B1-RCN-G0</x:v>
      </x:c>
      <x:c r="D591" s="9" t="str">
        <x:v>AR-LF-B-A-TECH-2-B1-RCN-G0</x:v>
      </x:c>
      <x:c r="E591" s="9" t="str">
        <x:v>LF-B-A-TECH-2</x:v>
      </x:c>
      <x:c r="F591" s="9" t="str">
        <x:v>LF-B-A</x:v>
      </x:c>
      <x:c r="G591" s="9" t="str">
        <x:v>B1</x:v>
      </x:c>
      <x:c r="H591" s="9" t="str">
        <x:v>RCN</x:v>
      </x:c>
      <x:c r="I591" s="9" t="n">
        <x:v>3</x:v>
      </x:c>
      <x:c r="J591" s="9" t="n">
        <x:v>2</x:v>
      </x:c>
      <x:c r="K591" s="9" t="str">
        <x:v>LF-B-A-N3</x:v>
      </x:c>
      <x:c r="L591" s="9" t="str">
        <x:v>ST05</x:v>
      </x:c>
      <x:c r="M591" s="17" t="str">
        <x:v>Witness capture armed</x:v>
      </x:c>
      <x:c r="N591" s="17" t="str">
        <x:v>unlike witness records independent reference and live time</x:v>
      </x:c>
      <x:c r="O591" s="17" t="str">
        <x:v>Witness metrology</x:v>
      </x:c>
      <x:c r="P591" s="9" t="n">
        <x:v>0</x:v>
      </x:c>
      <x:c r="Q591" s="9" t="n">
        <x:v>0</x:v>
      </x:c>
      <x:c r="R591" s="9" t="str">
        <x:v>OPEN / UNSTARTED</x:v>
      </x:c>
      <x:c r="S591" s="9" t="n">
        <x:f>COUNTIFS($A$7:$A$1446,A591)</x:f>
        <x:v>1</x:v>
      </x:c>
    </x:row>
    <x:row r="592">
      <x:c r="A592" s="9" t="str">
        <x:v>EV-AR-LF-B-A-TECH-2-B1-RCN-G0-ST06</x:v>
      </x:c>
      <x:c r="B592" s="9" t="str">
        <x:v>EV-AR-LF-B-A-TECH-2-B1-RCN-G0</x:v>
      </x:c>
      <x:c r="C592" s="9" t="str">
        <x:v>EOW-AR-LF-B-A-TECH-2-B1-RCN-G0</x:v>
      </x:c>
      <x:c r="D592" s="9" t="str">
        <x:v>AR-LF-B-A-TECH-2-B1-RCN-G0</x:v>
      </x:c>
      <x:c r="E592" s="9" t="str">
        <x:v>LF-B-A-TECH-2</x:v>
      </x:c>
      <x:c r="F592" s="9" t="str">
        <x:v>LF-B-A</x:v>
      </x:c>
      <x:c r="G592" s="9" t="str">
        <x:v>B1</x:v>
      </x:c>
      <x:c r="H592" s="9" t="str">
        <x:v>RCN</x:v>
      </x:c>
      <x:c r="I592" s="9" t="n">
        <x:v>3</x:v>
      </x:c>
      <x:c r="J592" s="9" t="n">
        <x:v>2</x:v>
      </x:c>
      <x:c r="K592" s="9" t="str">
        <x:v>LF-B-A-N3</x:v>
      </x:c>
      <x:c r="L592" s="9" t="str">
        <x:v>ST06</x:v>
      </x:c>
      <x:c r="M592" s="17" t="str">
        <x:v>Public custody armed</x:v>
      </x:c>
      <x:c r="N592" s="17" t="str">
        <x:v>eight raw origins have separated hash and replica routes</x:v>
      </x:c>
      <x:c r="O592" s="17" t="str">
        <x:v>Custody authority</x:v>
      </x:c>
      <x:c r="P592" s="9" t="n">
        <x:v>0</x:v>
      </x:c>
      <x:c r="Q592" s="9" t="n">
        <x:v>0</x:v>
      </x:c>
      <x:c r="R592" s="9" t="str">
        <x:v>OPEN / UNSTARTED</x:v>
      </x:c>
      <x:c r="S592" s="9" t="n">
        <x:f>COUNTIFS($A$7:$A$1446,A592)</x:f>
        <x:v>1</x:v>
      </x:c>
    </x:row>
    <x:row r="593">
      <x:c r="A593" s="9" t="str">
        <x:v>EV-AR-LF-B-A-TECH-2-B1-RCN-G0-ST07</x:v>
      </x:c>
      <x:c r="B593" s="9" t="str">
        <x:v>EV-AR-LF-B-A-TECH-2-B1-RCN-G0</x:v>
      </x:c>
      <x:c r="C593" s="9" t="str">
        <x:v>EOW-AR-LF-B-A-TECH-2-B1-RCN-G0</x:v>
      </x:c>
      <x:c r="D593" s="9" t="str">
        <x:v>AR-LF-B-A-TECH-2-B1-RCN-G0</x:v>
      </x:c>
      <x:c r="E593" s="9" t="str">
        <x:v>LF-B-A-TECH-2</x:v>
      </x:c>
      <x:c r="F593" s="9" t="str">
        <x:v>LF-B-A</x:v>
      </x:c>
      <x:c r="G593" s="9" t="str">
        <x:v>B1</x:v>
      </x:c>
      <x:c r="H593" s="9" t="str">
        <x:v>RCN</x:v>
      </x:c>
      <x:c r="I593" s="9" t="n">
        <x:v>3</x:v>
      </x:c>
      <x:c r="J593" s="9" t="n">
        <x:v>2</x:v>
      </x:c>
      <x:c r="K593" s="9" t="str">
        <x:v>LF-B-A-N3</x:v>
      </x:c>
      <x:c r="L593" s="9" t="str">
        <x:v>ST07</x:v>
      </x:c>
      <x:c r="M593" s="17" t="str">
        <x:v>Environmental baseline</x:v>
      </x:c>
      <x:c r="N593" s="17" t="str">
        <x:v>pre-event boundary state is sealed before decisive operation</x:v>
      </x:c>
      <x:c r="O593" s="17" t="str">
        <x:v>Site metrology</x:v>
      </x:c>
      <x:c r="P593" s="9" t="n">
        <x:v>0</x:v>
      </x:c>
      <x:c r="Q593" s="9" t="n">
        <x:v>0</x:v>
      </x:c>
      <x:c r="R593" s="9" t="str">
        <x:v>OPEN / UNSTARTED</x:v>
      </x:c>
      <x:c r="S593" s="9" t="n">
        <x:f>COUNTIFS($A$7:$A$1446,A593)</x:f>
        <x:v>1</x:v>
      </x:c>
    </x:row>
    <x:row r="594">
      <x:c r="A594" s="9" t="str">
        <x:v>EV-AR-LF-B-A-TECH-2-B1-RCN-G0-ST08</x:v>
      </x:c>
      <x:c r="B594" s="9" t="str">
        <x:v>EV-AR-LF-B-A-TECH-2-B1-RCN-G0</x:v>
      </x:c>
      <x:c r="C594" s="9" t="str">
        <x:v>EOW-AR-LF-B-A-TECH-2-B1-RCN-G0</x:v>
      </x:c>
      <x:c r="D594" s="9" t="str">
        <x:v>AR-LF-B-A-TECH-2-B1-RCN-G0</x:v>
      </x:c>
      <x:c r="E594" s="9" t="str">
        <x:v>LF-B-A-TECH-2</x:v>
      </x:c>
      <x:c r="F594" s="9" t="str">
        <x:v>LF-B-A</x:v>
      </x:c>
      <x:c r="G594" s="9" t="str">
        <x:v>B1</x:v>
      </x:c>
      <x:c r="H594" s="9" t="str">
        <x:v>RCN</x:v>
      </x:c>
      <x:c r="I594" s="9" t="n">
        <x:v>3</x:v>
      </x:c>
      <x:c r="J594" s="9" t="n">
        <x:v>2</x:v>
      </x:c>
      <x:c r="K594" s="9" t="str">
        <x:v>LF-B-A-N3</x:v>
      </x:c>
      <x:c r="L594" s="9" t="str">
        <x:v>ST08</x:v>
      </x:c>
      <x:c r="M594" s="17" t="str">
        <x:v>Manual stop and safety</x:v>
      </x:c>
      <x:c r="N594" s="17" t="str">
        <x:v>local stop, evacuation and protection routes are active</x:v>
      </x:c>
      <x:c r="O594" s="17" t="str">
        <x:v>Safety authority</x:v>
      </x:c>
      <x:c r="P594" s="9" t="n">
        <x:v>0</x:v>
      </x:c>
      <x:c r="Q594" s="9" t="n">
        <x:v>0</x:v>
      </x:c>
      <x:c r="R594" s="9" t="str">
        <x:v>OPEN / UNSTARTED</x:v>
      </x:c>
      <x:c r="S594" s="9" t="n">
        <x:f>COUNTIFS($A$7:$A$1446,A594)</x:f>
        <x:v>1</x:v>
      </x:c>
    </x:row>
    <x:row r="595">
      <x:c r="A595" s="9" t="str">
        <x:v>EV-AR-LF-B-A-TECH-2-B1-RCN-G0-ST09</x:v>
      </x:c>
      <x:c r="B595" s="9" t="str">
        <x:v>EV-AR-LF-B-A-TECH-2-B1-RCN-G0</x:v>
      </x:c>
      <x:c r="C595" s="9" t="str">
        <x:v>EOW-AR-LF-B-A-TECH-2-B1-RCN-G0</x:v>
      </x:c>
      <x:c r="D595" s="9" t="str">
        <x:v>AR-LF-B-A-TECH-2-B1-RCN-G0</x:v>
      </x:c>
      <x:c r="E595" s="9" t="str">
        <x:v>LF-B-A-TECH-2</x:v>
      </x:c>
      <x:c r="F595" s="9" t="str">
        <x:v>LF-B-A</x:v>
      </x:c>
      <x:c r="G595" s="9" t="str">
        <x:v>B1</x:v>
      </x:c>
      <x:c r="H595" s="9" t="str">
        <x:v>RCN</x:v>
      </x:c>
      <x:c r="I595" s="9" t="n">
        <x:v>3</x:v>
      </x:c>
      <x:c r="J595" s="9" t="n">
        <x:v>2</x:v>
      </x:c>
      <x:c r="K595" s="9" t="str">
        <x:v>LF-B-A-N3</x:v>
      </x:c>
      <x:c r="L595" s="9" t="str">
        <x:v>ST09</x:v>
      </x:c>
      <x:c r="M595" s="17" t="str">
        <x:v>Operator conflict clear</x:v>
      </x:c>
      <x:c r="N595" s="17" t="str">
        <x:v>candidate, fixture, safety and measurement control edges remain separated</x:v>
      </x:c>
      <x:c r="O595" s="17" t="str">
        <x:v>Conflict registrar</x:v>
      </x:c>
      <x:c r="P595" s="9" t="n">
        <x:v>0</x:v>
      </x:c>
      <x:c r="Q595" s="9" t="n">
        <x:v>0</x:v>
      </x:c>
      <x:c r="R595" s="9" t="str">
        <x:v>OPEN / UNSTARTED</x:v>
      </x:c>
      <x:c r="S595" s="9" t="n">
        <x:f>COUNTIFS($A$7:$A$1446,A595)</x:f>
        <x:v>1</x:v>
      </x:c>
    </x:row>
    <x:row r="596">
      <x:c r="A596" s="9" t="str">
        <x:v>EV-AR-LF-B-A-TECH-2-B1-RCN-G0-ST10</x:v>
      </x:c>
      <x:c r="B596" s="9" t="str">
        <x:v>EV-AR-LF-B-A-TECH-2-B1-RCN-G0</x:v>
      </x:c>
      <x:c r="C596" s="9" t="str">
        <x:v>EOW-AR-LF-B-A-TECH-2-B1-RCN-G0</x:v>
      </x:c>
      <x:c r="D596" s="9" t="str">
        <x:v>AR-LF-B-A-TECH-2-B1-RCN-G0</x:v>
      </x:c>
      <x:c r="E596" s="9" t="str">
        <x:v>LF-B-A-TECH-2</x:v>
      </x:c>
      <x:c r="F596" s="9" t="str">
        <x:v>LF-B-A</x:v>
      </x:c>
      <x:c r="G596" s="9" t="str">
        <x:v>B1</x:v>
      </x:c>
      <x:c r="H596" s="9" t="str">
        <x:v>RCN</x:v>
      </x:c>
      <x:c r="I596" s="9" t="n">
        <x:v>3</x:v>
      </x:c>
      <x:c r="J596" s="9" t="n">
        <x:v>2</x:v>
      </x:c>
      <x:c r="K596" s="9" t="str">
        <x:v>LF-B-A-N3</x:v>
      </x:c>
      <x:c r="L596" s="9" t="str">
        <x:v>ST10</x:v>
      </x:c>
      <x:c r="M596" s="17" t="str">
        <x:v>Window and common clock</x:v>
      </x:c>
      <x:c r="N596" s="17" t="str">
        <x:v>epoch, window and public time origin match the issued warrant</x:v>
      </x:c>
      <x:c r="O596" s="17" t="str">
        <x:v>Event clock authority</x:v>
      </x:c>
      <x:c r="P596" s="9" t="n">
        <x:v>0</x:v>
      </x:c>
      <x:c r="Q596" s="9" t="n">
        <x:v>0</x:v>
      </x:c>
      <x:c r="R596" s="9" t="str">
        <x:v>OPEN / UNSTARTED</x:v>
      </x:c>
      <x:c r="S596" s="9" t="n">
        <x:f>COUNTIFS($A$7:$A$1446,A596)</x:f>
        <x:v>1</x:v>
      </x:c>
    </x:row>
    <x:row r="597">
      <x:c r="A597" s="9" t="str">
        <x:v>EV-AR-RT-B-C-TECH-2-B1-BRK-G0-ST01</x:v>
      </x:c>
      <x:c r="B597" s="9" t="str">
        <x:v>EV-AR-RT-B-C-TECH-2-B1-BRK-G0</x:v>
      </x:c>
      <x:c r="C597" s="9" t="str">
        <x:v>EOW-AR-RT-B-C-TECH-2-B1-BRK-G0</x:v>
      </x:c>
      <x:c r="D597" s="9" t="str">
        <x:v>AR-RT-B-C-TECH-2-B1-BRK-G0</x:v>
      </x:c>
      <x:c r="E597" s="9" t="str">
        <x:v>RT-B-C-TECH-2</x:v>
      </x:c>
      <x:c r="F597" s="9" t="str">
        <x:v>RT-B-C</x:v>
      </x:c>
      <x:c r="G597" s="9" t="str">
        <x:v>B1</x:v>
      </x:c>
      <x:c r="H597" s="9" t="str">
        <x:v>BRK</x:v>
      </x:c>
      <x:c r="I597" s="9" t="n">
        <x:v>3</x:v>
      </x:c>
      <x:c r="J597" s="9" t="n">
        <x:v>2</x:v>
      </x:c>
      <x:c r="K597" s="9" t="str">
        <x:v>RT-B-C-N2</x:v>
      </x:c>
      <x:c r="L597" s="9" t="str">
        <x:v>ST01</x:v>
      </x:c>
      <x:c r="M597" s="17" t="str">
        <x:v>Active opportunity warrant</x:v>
      </x:c>
      <x:c r="N597" s="17" t="str">
        <x:v>configuration-bound EOW is within its thirty-six-hour validity</x:v>
      </x:c>
      <x:c r="O597" s="17" t="str">
        <x:v>Start registrar</x:v>
      </x:c>
      <x:c r="P597" s="9" t="n">
        <x:v>0</x:v>
      </x:c>
      <x:c r="Q597" s="9" t="n">
        <x:v>0</x:v>
      </x:c>
      <x:c r="R597" s="9" t="str">
        <x:v>OPEN / UNSTARTED</x:v>
      </x:c>
      <x:c r="S597" s="9" t="n">
        <x:f>COUNTIFS($A$7:$A$1446,A597)</x:f>
        <x:v>1</x:v>
      </x:c>
    </x:row>
    <x:row r="598">
      <x:c r="A598" s="9" t="str">
        <x:v>EV-AR-RT-B-C-TECH-2-B1-BRK-G0-ST02</x:v>
      </x:c>
      <x:c r="B598" s="9" t="str">
        <x:v>EV-AR-RT-B-C-TECH-2-B1-BRK-G0</x:v>
      </x:c>
      <x:c r="C598" s="9" t="str">
        <x:v>EOW-AR-RT-B-C-TECH-2-B1-BRK-G0</x:v>
      </x:c>
      <x:c r="D598" s="9" t="str">
        <x:v>AR-RT-B-C-TECH-2-B1-BRK-G0</x:v>
      </x:c>
      <x:c r="E598" s="9" t="str">
        <x:v>RT-B-C-TECH-2</x:v>
      </x:c>
      <x:c r="F598" s="9" t="str">
        <x:v>RT-B-C</x:v>
      </x:c>
      <x:c r="G598" s="9" t="str">
        <x:v>B1</x:v>
      </x:c>
      <x:c r="H598" s="9" t="str">
        <x:v>BRK</x:v>
      </x:c>
      <x:c r="I598" s="9" t="n">
        <x:v>3</x:v>
      </x:c>
      <x:c r="J598" s="9" t="n">
        <x:v>2</x:v>
      </x:c>
      <x:c r="K598" s="9" t="str">
        <x:v>RT-B-C-N2</x:v>
      </x:c>
      <x:c r="L598" s="9" t="str">
        <x:v>ST02</x:v>
      </x:c>
      <x:c r="M598" s="17" t="str">
        <x:v>Frozen identity</x:v>
      </x:c>
      <x:c r="N598" s="17" t="str">
        <x:v>serial, generation, fixture, site, receiver and digest match the warrant</x:v>
      </x:c>
      <x:c r="O598" s="17" t="str">
        <x:v>Custody authority</x:v>
      </x:c>
      <x:c r="P598" s="9" t="n">
        <x:v>0</x:v>
      </x:c>
      <x:c r="Q598" s="9" t="n">
        <x:v>0</x:v>
      </x:c>
      <x:c r="R598" s="9" t="str">
        <x:v>OPEN / UNSTARTED</x:v>
      </x:c>
      <x:c r="S598" s="9" t="n">
        <x:f>COUNTIFS($A$7:$A$1446,A598)</x:f>
        <x:v>1</x:v>
      </x:c>
    </x:row>
    <x:row r="599">
      <x:c r="A599" s="9" t="str">
        <x:v>EV-AR-RT-B-C-TECH-2-B1-BRK-G0-ST03</x:v>
      </x:c>
      <x:c r="B599" s="9" t="str">
        <x:v>EV-AR-RT-B-C-TECH-2-B1-BRK-G0</x:v>
      </x:c>
      <x:c r="C599" s="9" t="str">
        <x:v>EOW-AR-RT-B-C-TECH-2-B1-BRK-G0</x:v>
      </x:c>
      <x:c r="D599" s="9" t="str">
        <x:v>AR-RT-B-C-TECH-2-B1-BRK-G0</x:v>
      </x:c>
      <x:c r="E599" s="9" t="str">
        <x:v>RT-B-C-TECH-2</x:v>
      </x:c>
      <x:c r="F599" s="9" t="str">
        <x:v>RT-B-C</x:v>
      </x:c>
      <x:c r="G599" s="9" t="str">
        <x:v>B1</x:v>
      </x:c>
      <x:c r="H599" s="9" t="str">
        <x:v>BRK</x:v>
      </x:c>
      <x:c r="I599" s="9" t="n">
        <x:v>3</x:v>
      </x:c>
      <x:c r="J599" s="9" t="n">
        <x:v>2</x:v>
      </x:c>
      <x:c r="K599" s="9" t="str">
        <x:v>RT-B-C-N2</x:v>
      </x:c>
      <x:c r="L599" s="9" t="str">
        <x:v>ST03</x:v>
      </x:c>
      <x:c r="M599" s="17" t="str">
        <x:v>Receiver receipt</x:v>
      </x:c>
      <x:c r="N599" s="17" t="str">
        <x:v>denominator, counterfactual, rights and stop receipt remain unchanged</x:v>
      </x:c>
      <x:c r="O599" s="17" t="str">
        <x:v>Receiver authority</x:v>
      </x:c>
      <x:c r="P599" s="9" t="n">
        <x:v>0</x:v>
      </x:c>
      <x:c r="Q599" s="9" t="n">
        <x:v>0</x:v>
      </x:c>
      <x:c r="R599" s="9" t="str">
        <x:v>OPEN / UNSTARTED</x:v>
      </x:c>
      <x:c r="S599" s="9" t="n">
        <x:f>COUNTIFS($A$7:$A$1446,A599)</x:f>
        <x:v>1</x:v>
      </x:c>
    </x:row>
    <x:row r="600">
      <x:c r="A600" s="9" t="str">
        <x:v>EV-AR-RT-B-C-TECH-2-B1-BRK-G0-ST04</x:v>
      </x:c>
      <x:c r="B600" s="9" t="str">
        <x:v>EV-AR-RT-B-C-TECH-2-B1-BRK-G0</x:v>
      </x:c>
      <x:c r="C600" s="9" t="str">
        <x:v>EOW-AR-RT-B-C-TECH-2-B1-BRK-G0</x:v>
      </x:c>
      <x:c r="D600" s="9" t="str">
        <x:v>AR-RT-B-C-TECH-2-B1-BRK-G0</x:v>
      </x:c>
      <x:c r="E600" s="9" t="str">
        <x:v>RT-B-C-TECH-2</x:v>
      </x:c>
      <x:c r="F600" s="9" t="str">
        <x:v>RT-B-C</x:v>
      </x:c>
      <x:c r="G600" s="9" t="str">
        <x:v>B1</x:v>
      </x:c>
      <x:c r="H600" s="9" t="str">
        <x:v>BRK</x:v>
      </x:c>
      <x:c r="I600" s="9" t="n">
        <x:v>3</x:v>
      </x:c>
      <x:c r="J600" s="9" t="n">
        <x:v>2</x:v>
      </x:c>
      <x:c r="K600" s="9" t="str">
        <x:v>RT-B-C-N2</x:v>
      </x:c>
      <x:c r="L600" s="9" t="str">
        <x:v>ST04</x:v>
      </x:c>
      <x:c r="M600" s="17" t="str">
        <x:v>Primary capture armed</x:v>
      </x:c>
      <x:c r="N600" s="17" t="str">
        <x:v>primary chain records sealed reference and live time</x:v>
      </x:c>
      <x:c r="O600" s="17" t="str">
        <x:v>Primary metrology</x:v>
      </x:c>
      <x:c r="P600" s="9" t="n">
        <x:v>0</x:v>
      </x:c>
      <x:c r="Q600" s="9" t="n">
        <x:v>0</x:v>
      </x:c>
      <x:c r="R600" s="9" t="str">
        <x:v>OPEN / UNSTARTED</x:v>
      </x:c>
      <x:c r="S600" s="9" t="n">
        <x:f>COUNTIFS($A$7:$A$1446,A600)</x:f>
        <x:v>1</x:v>
      </x:c>
    </x:row>
    <x:row r="601">
      <x:c r="A601" s="9" t="str">
        <x:v>EV-AR-RT-B-C-TECH-2-B1-BRK-G0-ST05</x:v>
      </x:c>
      <x:c r="B601" s="9" t="str">
        <x:v>EV-AR-RT-B-C-TECH-2-B1-BRK-G0</x:v>
      </x:c>
      <x:c r="C601" s="9" t="str">
        <x:v>EOW-AR-RT-B-C-TECH-2-B1-BRK-G0</x:v>
      </x:c>
      <x:c r="D601" s="9" t="str">
        <x:v>AR-RT-B-C-TECH-2-B1-BRK-G0</x:v>
      </x:c>
      <x:c r="E601" s="9" t="str">
        <x:v>RT-B-C-TECH-2</x:v>
      </x:c>
      <x:c r="F601" s="9" t="str">
        <x:v>RT-B-C</x:v>
      </x:c>
      <x:c r="G601" s="9" t="str">
        <x:v>B1</x:v>
      </x:c>
      <x:c r="H601" s="9" t="str">
        <x:v>BRK</x:v>
      </x:c>
      <x:c r="I601" s="9" t="n">
        <x:v>3</x:v>
      </x:c>
      <x:c r="J601" s="9" t="n">
        <x:v>2</x:v>
      </x:c>
      <x:c r="K601" s="9" t="str">
        <x:v>RT-B-C-N2</x:v>
      </x:c>
      <x:c r="L601" s="9" t="str">
        <x:v>ST05</x:v>
      </x:c>
      <x:c r="M601" s="17" t="str">
        <x:v>Witness capture armed</x:v>
      </x:c>
      <x:c r="N601" s="17" t="str">
        <x:v>unlike witness records independent reference and live time</x:v>
      </x:c>
      <x:c r="O601" s="17" t="str">
        <x:v>Witness metrology</x:v>
      </x:c>
      <x:c r="P601" s="9" t="n">
        <x:v>0</x:v>
      </x:c>
      <x:c r="Q601" s="9" t="n">
        <x:v>0</x:v>
      </x:c>
      <x:c r="R601" s="9" t="str">
        <x:v>OPEN / UNSTARTED</x:v>
      </x:c>
      <x:c r="S601" s="9" t="n">
        <x:f>COUNTIFS($A$7:$A$1446,A601)</x:f>
        <x:v>1</x:v>
      </x:c>
    </x:row>
    <x:row r="602">
      <x:c r="A602" s="9" t="str">
        <x:v>EV-AR-RT-B-C-TECH-2-B1-BRK-G0-ST06</x:v>
      </x:c>
      <x:c r="B602" s="9" t="str">
        <x:v>EV-AR-RT-B-C-TECH-2-B1-BRK-G0</x:v>
      </x:c>
      <x:c r="C602" s="9" t="str">
        <x:v>EOW-AR-RT-B-C-TECH-2-B1-BRK-G0</x:v>
      </x:c>
      <x:c r="D602" s="9" t="str">
        <x:v>AR-RT-B-C-TECH-2-B1-BRK-G0</x:v>
      </x:c>
      <x:c r="E602" s="9" t="str">
        <x:v>RT-B-C-TECH-2</x:v>
      </x:c>
      <x:c r="F602" s="9" t="str">
        <x:v>RT-B-C</x:v>
      </x:c>
      <x:c r="G602" s="9" t="str">
        <x:v>B1</x:v>
      </x:c>
      <x:c r="H602" s="9" t="str">
        <x:v>BRK</x:v>
      </x:c>
      <x:c r="I602" s="9" t="n">
        <x:v>3</x:v>
      </x:c>
      <x:c r="J602" s="9" t="n">
        <x:v>2</x:v>
      </x:c>
      <x:c r="K602" s="9" t="str">
        <x:v>RT-B-C-N2</x:v>
      </x:c>
      <x:c r="L602" s="9" t="str">
        <x:v>ST06</x:v>
      </x:c>
      <x:c r="M602" s="17" t="str">
        <x:v>Public custody armed</x:v>
      </x:c>
      <x:c r="N602" s="17" t="str">
        <x:v>eight raw origins have separated hash and replica routes</x:v>
      </x:c>
      <x:c r="O602" s="17" t="str">
        <x:v>Custody authority</x:v>
      </x:c>
      <x:c r="P602" s="9" t="n">
        <x:v>0</x:v>
      </x:c>
      <x:c r="Q602" s="9" t="n">
        <x:v>0</x:v>
      </x:c>
      <x:c r="R602" s="9" t="str">
        <x:v>OPEN / UNSTARTED</x:v>
      </x:c>
      <x:c r="S602" s="9" t="n">
        <x:f>COUNTIFS($A$7:$A$1446,A602)</x:f>
        <x:v>1</x:v>
      </x:c>
    </x:row>
    <x:row r="603">
      <x:c r="A603" s="9" t="str">
        <x:v>EV-AR-RT-B-C-TECH-2-B1-BRK-G0-ST07</x:v>
      </x:c>
      <x:c r="B603" s="9" t="str">
        <x:v>EV-AR-RT-B-C-TECH-2-B1-BRK-G0</x:v>
      </x:c>
      <x:c r="C603" s="9" t="str">
        <x:v>EOW-AR-RT-B-C-TECH-2-B1-BRK-G0</x:v>
      </x:c>
      <x:c r="D603" s="9" t="str">
        <x:v>AR-RT-B-C-TECH-2-B1-BRK-G0</x:v>
      </x:c>
      <x:c r="E603" s="9" t="str">
        <x:v>RT-B-C-TECH-2</x:v>
      </x:c>
      <x:c r="F603" s="9" t="str">
        <x:v>RT-B-C</x:v>
      </x:c>
      <x:c r="G603" s="9" t="str">
        <x:v>B1</x:v>
      </x:c>
      <x:c r="H603" s="9" t="str">
        <x:v>BRK</x:v>
      </x:c>
      <x:c r="I603" s="9" t="n">
        <x:v>3</x:v>
      </x:c>
      <x:c r="J603" s="9" t="n">
        <x:v>2</x:v>
      </x:c>
      <x:c r="K603" s="9" t="str">
        <x:v>RT-B-C-N2</x:v>
      </x:c>
      <x:c r="L603" s="9" t="str">
        <x:v>ST07</x:v>
      </x:c>
      <x:c r="M603" s="17" t="str">
        <x:v>Environmental baseline</x:v>
      </x:c>
      <x:c r="N603" s="17" t="str">
        <x:v>pre-event boundary state is sealed before decisive operation</x:v>
      </x:c>
      <x:c r="O603" s="17" t="str">
        <x:v>Site metrology</x:v>
      </x:c>
      <x:c r="P603" s="9" t="n">
        <x:v>0</x:v>
      </x:c>
      <x:c r="Q603" s="9" t="n">
        <x:v>0</x:v>
      </x:c>
      <x:c r="R603" s="9" t="str">
        <x:v>OPEN / UNSTARTED</x:v>
      </x:c>
      <x:c r="S603" s="9" t="n">
        <x:f>COUNTIFS($A$7:$A$1446,A603)</x:f>
        <x:v>1</x:v>
      </x:c>
    </x:row>
    <x:row r="604">
      <x:c r="A604" s="9" t="str">
        <x:v>EV-AR-RT-B-C-TECH-2-B1-BRK-G0-ST08</x:v>
      </x:c>
      <x:c r="B604" s="9" t="str">
        <x:v>EV-AR-RT-B-C-TECH-2-B1-BRK-G0</x:v>
      </x:c>
      <x:c r="C604" s="9" t="str">
        <x:v>EOW-AR-RT-B-C-TECH-2-B1-BRK-G0</x:v>
      </x:c>
      <x:c r="D604" s="9" t="str">
        <x:v>AR-RT-B-C-TECH-2-B1-BRK-G0</x:v>
      </x:c>
      <x:c r="E604" s="9" t="str">
        <x:v>RT-B-C-TECH-2</x:v>
      </x:c>
      <x:c r="F604" s="9" t="str">
        <x:v>RT-B-C</x:v>
      </x:c>
      <x:c r="G604" s="9" t="str">
        <x:v>B1</x:v>
      </x:c>
      <x:c r="H604" s="9" t="str">
        <x:v>BRK</x:v>
      </x:c>
      <x:c r="I604" s="9" t="n">
        <x:v>3</x:v>
      </x:c>
      <x:c r="J604" s="9" t="n">
        <x:v>2</x:v>
      </x:c>
      <x:c r="K604" s="9" t="str">
        <x:v>RT-B-C-N2</x:v>
      </x:c>
      <x:c r="L604" s="9" t="str">
        <x:v>ST08</x:v>
      </x:c>
      <x:c r="M604" s="17" t="str">
        <x:v>Manual stop and safety</x:v>
      </x:c>
      <x:c r="N604" s="17" t="str">
        <x:v>local stop, evacuation and protection routes are active</x:v>
      </x:c>
      <x:c r="O604" s="17" t="str">
        <x:v>Safety authority</x:v>
      </x:c>
      <x:c r="P604" s="9" t="n">
        <x:v>0</x:v>
      </x:c>
      <x:c r="Q604" s="9" t="n">
        <x:v>0</x:v>
      </x:c>
      <x:c r="R604" s="9" t="str">
        <x:v>OPEN / UNSTARTED</x:v>
      </x:c>
      <x:c r="S604" s="9" t="n">
        <x:f>COUNTIFS($A$7:$A$1446,A604)</x:f>
        <x:v>1</x:v>
      </x:c>
    </x:row>
    <x:row r="605">
      <x:c r="A605" s="9" t="str">
        <x:v>EV-AR-RT-B-C-TECH-2-B1-BRK-G0-ST09</x:v>
      </x:c>
      <x:c r="B605" s="9" t="str">
        <x:v>EV-AR-RT-B-C-TECH-2-B1-BRK-G0</x:v>
      </x:c>
      <x:c r="C605" s="9" t="str">
        <x:v>EOW-AR-RT-B-C-TECH-2-B1-BRK-G0</x:v>
      </x:c>
      <x:c r="D605" s="9" t="str">
        <x:v>AR-RT-B-C-TECH-2-B1-BRK-G0</x:v>
      </x:c>
      <x:c r="E605" s="9" t="str">
        <x:v>RT-B-C-TECH-2</x:v>
      </x:c>
      <x:c r="F605" s="9" t="str">
        <x:v>RT-B-C</x:v>
      </x:c>
      <x:c r="G605" s="9" t="str">
        <x:v>B1</x:v>
      </x:c>
      <x:c r="H605" s="9" t="str">
        <x:v>BRK</x:v>
      </x:c>
      <x:c r="I605" s="9" t="n">
        <x:v>3</x:v>
      </x:c>
      <x:c r="J605" s="9" t="n">
        <x:v>2</x:v>
      </x:c>
      <x:c r="K605" s="9" t="str">
        <x:v>RT-B-C-N2</x:v>
      </x:c>
      <x:c r="L605" s="9" t="str">
        <x:v>ST09</x:v>
      </x:c>
      <x:c r="M605" s="17" t="str">
        <x:v>Operator conflict clear</x:v>
      </x:c>
      <x:c r="N605" s="17" t="str">
        <x:v>candidate, fixture, safety and measurement control edges remain separated</x:v>
      </x:c>
      <x:c r="O605" s="17" t="str">
        <x:v>Conflict registrar</x:v>
      </x:c>
      <x:c r="P605" s="9" t="n">
        <x:v>0</x:v>
      </x:c>
      <x:c r="Q605" s="9" t="n">
        <x:v>0</x:v>
      </x:c>
      <x:c r="R605" s="9" t="str">
        <x:v>OPEN / UNSTARTED</x:v>
      </x:c>
      <x:c r="S605" s="9" t="n">
        <x:f>COUNTIFS($A$7:$A$1446,A605)</x:f>
        <x:v>1</x:v>
      </x:c>
    </x:row>
    <x:row r="606">
      <x:c r="A606" s="9" t="str">
        <x:v>EV-AR-RT-B-C-TECH-2-B1-BRK-G0-ST10</x:v>
      </x:c>
      <x:c r="B606" s="9" t="str">
        <x:v>EV-AR-RT-B-C-TECH-2-B1-BRK-G0</x:v>
      </x:c>
      <x:c r="C606" s="9" t="str">
        <x:v>EOW-AR-RT-B-C-TECH-2-B1-BRK-G0</x:v>
      </x:c>
      <x:c r="D606" s="9" t="str">
        <x:v>AR-RT-B-C-TECH-2-B1-BRK-G0</x:v>
      </x:c>
      <x:c r="E606" s="9" t="str">
        <x:v>RT-B-C-TECH-2</x:v>
      </x:c>
      <x:c r="F606" s="9" t="str">
        <x:v>RT-B-C</x:v>
      </x:c>
      <x:c r="G606" s="9" t="str">
        <x:v>B1</x:v>
      </x:c>
      <x:c r="H606" s="9" t="str">
        <x:v>BRK</x:v>
      </x:c>
      <x:c r="I606" s="9" t="n">
        <x:v>3</x:v>
      </x:c>
      <x:c r="J606" s="9" t="n">
        <x:v>2</x:v>
      </x:c>
      <x:c r="K606" s="9" t="str">
        <x:v>RT-B-C-N2</x:v>
      </x:c>
      <x:c r="L606" s="9" t="str">
        <x:v>ST10</x:v>
      </x:c>
      <x:c r="M606" s="17" t="str">
        <x:v>Window and common clock</x:v>
      </x:c>
      <x:c r="N606" s="17" t="str">
        <x:v>epoch, window and public time origin match the issued warrant</x:v>
      </x:c>
      <x:c r="O606" s="17" t="str">
        <x:v>Event clock authority</x:v>
      </x:c>
      <x:c r="P606" s="9" t="n">
        <x:v>0</x:v>
      </x:c>
      <x:c r="Q606" s="9" t="n">
        <x:v>0</x:v>
      </x:c>
      <x:c r="R606" s="9" t="str">
        <x:v>OPEN / UNSTARTED</x:v>
      </x:c>
      <x:c r="S606" s="9" t="n">
        <x:f>COUNTIFS($A$7:$A$1446,A606)</x:f>
        <x:v>1</x:v>
      </x:c>
    </x:row>
    <x:row r="607">
      <x:c r="A607" s="9" t="str">
        <x:v>EV-AR-ET-A-A-TECH-2-B2-INT-G0-ST01</x:v>
      </x:c>
      <x:c r="B607" s="9" t="str">
        <x:v>EV-AR-ET-A-A-TECH-2-B2-INT-G0</x:v>
      </x:c>
      <x:c r="C607" s="9" t="str">
        <x:v>EOW-AR-ET-A-A-TECH-2-B2-INT-G0</x:v>
      </x:c>
      <x:c r="D607" s="9" t="str">
        <x:v>AR-ET-A-A-TECH-2-B2-INT-G0</x:v>
      </x:c>
      <x:c r="E607" s="9" t="str">
        <x:v>ET-A-A-TECH-2</x:v>
      </x:c>
      <x:c r="F607" s="9" t="str">
        <x:v>ET-A-A</x:v>
      </x:c>
      <x:c r="G607" s="9" t="str">
        <x:v>B2</x:v>
      </x:c>
      <x:c r="H607" s="9" t="str">
        <x:v>INT</x:v>
      </x:c>
      <x:c r="I607" s="9" t="n">
        <x:v>3</x:v>
      </x:c>
      <x:c r="J607" s="9" t="n">
        <x:v>3</x:v>
      </x:c>
      <x:c r="K607" s="9" t="str">
        <x:v>ET-A-A-N2</x:v>
      </x:c>
      <x:c r="L607" s="9" t="str">
        <x:v>ST01</x:v>
      </x:c>
      <x:c r="M607" s="17" t="str">
        <x:v>Active opportunity warrant</x:v>
      </x:c>
      <x:c r="N607" s="17" t="str">
        <x:v>configuration-bound EOW is within its thirty-six-hour validity</x:v>
      </x:c>
      <x:c r="O607" s="17" t="str">
        <x:v>Start registrar</x:v>
      </x:c>
      <x:c r="P607" s="9" t="n">
        <x:v>0</x:v>
      </x:c>
      <x:c r="Q607" s="9" t="n">
        <x:v>0</x:v>
      </x:c>
      <x:c r="R607" s="9" t="str">
        <x:v>OPEN / UNSTARTED</x:v>
      </x:c>
      <x:c r="S607" s="9" t="n">
        <x:f>COUNTIFS($A$7:$A$1446,A607)</x:f>
        <x:v>1</x:v>
      </x:c>
    </x:row>
    <x:row r="608">
      <x:c r="A608" s="9" t="str">
        <x:v>EV-AR-ET-A-A-TECH-2-B2-INT-G0-ST02</x:v>
      </x:c>
      <x:c r="B608" s="9" t="str">
        <x:v>EV-AR-ET-A-A-TECH-2-B2-INT-G0</x:v>
      </x:c>
      <x:c r="C608" s="9" t="str">
        <x:v>EOW-AR-ET-A-A-TECH-2-B2-INT-G0</x:v>
      </x:c>
      <x:c r="D608" s="9" t="str">
        <x:v>AR-ET-A-A-TECH-2-B2-INT-G0</x:v>
      </x:c>
      <x:c r="E608" s="9" t="str">
        <x:v>ET-A-A-TECH-2</x:v>
      </x:c>
      <x:c r="F608" s="9" t="str">
        <x:v>ET-A-A</x:v>
      </x:c>
      <x:c r="G608" s="9" t="str">
        <x:v>B2</x:v>
      </x:c>
      <x:c r="H608" s="9" t="str">
        <x:v>INT</x:v>
      </x:c>
      <x:c r="I608" s="9" t="n">
        <x:v>3</x:v>
      </x:c>
      <x:c r="J608" s="9" t="n">
        <x:v>3</x:v>
      </x:c>
      <x:c r="K608" s="9" t="str">
        <x:v>ET-A-A-N2</x:v>
      </x:c>
      <x:c r="L608" s="9" t="str">
        <x:v>ST02</x:v>
      </x:c>
      <x:c r="M608" s="17" t="str">
        <x:v>Frozen identity</x:v>
      </x:c>
      <x:c r="N608" s="17" t="str">
        <x:v>serial, generation, fixture, site, receiver and digest match the warrant</x:v>
      </x:c>
      <x:c r="O608" s="17" t="str">
        <x:v>Custody authority</x:v>
      </x:c>
      <x:c r="P608" s="9" t="n">
        <x:v>0</x:v>
      </x:c>
      <x:c r="Q608" s="9" t="n">
        <x:v>0</x:v>
      </x:c>
      <x:c r="R608" s="9" t="str">
        <x:v>OPEN / UNSTARTED</x:v>
      </x:c>
      <x:c r="S608" s="9" t="n">
        <x:f>COUNTIFS($A$7:$A$1446,A608)</x:f>
        <x:v>1</x:v>
      </x:c>
    </x:row>
    <x:row r="609">
      <x:c r="A609" s="9" t="str">
        <x:v>EV-AR-ET-A-A-TECH-2-B2-INT-G0-ST03</x:v>
      </x:c>
      <x:c r="B609" s="9" t="str">
        <x:v>EV-AR-ET-A-A-TECH-2-B2-INT-G0</x:v>
      </x:c>
      <x:c r="C609" s="9" t="str">
        <x:v>EOW-AR-ET-A-A-TECH-2-B2-INT-G0</x:v>
      </x:c>
      <x:c r="D609" s="9" t="str">
        <x:v>AR-ET-A-A-TECH-2-B2-INT-G0</x:v>
      </x:c>
      <x:c r="E609" s="9" t="str">
        <x:v>ET-A-A-TECH-2</x:v>
      </x:c>
      <x:c r="F609" s="9" t="str">
        <x:v>ET-A-A</x:v>
      </x:c>
      <x:c r="G609" s="9" t="str">
        <x:v>B2</x:v>
      </x:c>
      <x:c r="H609" s="9" t="str">
        <x:v>INT</x:v>
      </x:c>
      <x:c r="I609" s="9" t="n">
        <x:v>3</x:v>
      </x:c>
      <x:c r="J609" s="9" t="n">
        <x:v>3</x:v>
      </x:c>
      <x:c r="K609" s="9" t="str">
        <x:v>ET-A-A-N2</x:v>
      </x:c>
      <x:c r="L609" s="9" t="str">
        <x:v>ST03</x:v>
      </x:c>
      <x:c r="M609" s="17" t="str">
        <x:v>Receiver receipt</x:v>
      </x:c>
      <x:c r="N609" s="17" t="str">
        <x:v>denominator, counterfactual, rights and stop receipt remain unchanged</x:v>
      </x:c>
      <x:c r="O609" s="17" t="str">
        <x:v>Receiver authority</x:v>
      </x:c>
      <x:c r="P609" s="9" t="n">
        <x:v>0</x:v>
      </x:c>
      <x:c r="Q609" s="9" t="n">
        <x:v>0</x:v>
      </x:c>
      <x:c r="R609" s="9" t="str">
        <x:v>OPEN / UNSTARTED</x:v>
      </x:c>
      <x:c r="S609" s="9" t="n">
        <x:f>COUNTIFS($A$7:$A$1446,A609)</x:f>
        <x:v>1</x:v>
      </x:c>
    </x:row>
    <x:row r="610">
      <x:c r="A610" s="9" t="str">
        <x:v>EV-AR-ET-A-A-TECH-2-B2-INT-G0-ST04</x:v>
      </x:c>
      <x:c r="B610" s="9" t="str">
        <x:v>EV-AR-ET-A-A-TECH-2-B2-INT-G0</x:v>
      </x:c>
      <x:c r="C610" s="9" t="str">
        <x:v>EOW-AR-ET-A-A-TECH-2-B2-INT-G0</x:v>
      </x:c>
      <x:c r="D610" s="9" t="str">
        <x:v>AR-ET-A-A-TECH-2-B2-INT-G0</x:v>
      </x:c>
      <x:c r="E610" s="9" t="str">
        <x:v>ET-A-A-TECH-2</x:v>
      </x:c>
      <x:c r="F610" s="9" t="str">
        <x:v>ET-A-A</x:v>
      </x:c>
      <x:c r="G610" s="9" t="str">
        <x:v>B2</x:v>
      </x:c>
      <x:c r="H610" s="9" t="str">
        <x:v>INT</x:v>
      </x:c>
      <x:c r="I610" s="9" t="n">
        <x:v>3</x:v>
      </x:c>
      <x:c r="J610" s="9" t="n">
        <x:v>3</x:v>
      </x:c>
      <x:c r="K610" s="9" t="str">
        <x:v>ET-A-A-N2</x:v>
      </x:c>
      <x:c r="L610" s="9" t="str">
        <x:v>ST04</x:v>
      </x:c>
      <x:c r="M610" s="17" t="str">
        <x:v>Primary capture armed</x:v>
      </x:c>
      <x:c r="N610" s="17" t="str">
        <x:v>primary chain records sealed reference and live time</x:v>
      </x:c>
      <x:c r="O610" s="17" t="str">
        <x:v>Primary metrology</x:v>
      </x:c>
      <x:c r="P610" s="9" t="n">
        <x:v>0</x:v>
      </x:c>
      <x:c r="Q610" s="9" t="n">
        <x:v>0</x:v>
      </x:c>
      <x:c r="R610" s="9" t="str">
        <x:v>OPEN / UNSTARTED</x:v>
      </x:c>
      <x:c r="S610" s="9" t="n">
        <x:f>COUNTIFS($A$7:$A$1446,A610)</x:f>
        <x:v>1</x:v>
      </x:c>
    </x:row>
    <x:row r="611">
      <x:c r="A611" s="9" t="str">
        <x:v>EV-AR-ET-A-A-TECH-2-B2-INT-G0-ST05</x:v>
      </x:c>
      <x:c r="B611" s="9" t="str">
        <x:v>EV-AR-ET-A-A-TECH-2-B2-INT-G0</x:v>
      </x:c>
      <x:c r="C611" s="9" t="str">
        <x:v>EOW-AR-ET-A-A-TECH-2-B2-INT-G0</x:v>
      </x:c>
      <x:c r="D611" s="9" t="str">
        <x:v>AR-ET-A-A-TECH-2-B2-INT-G0</x:v>
      </x:c>
      <x:c r="E611" s="9" t="str">
        <x:v>ET-A-A-TECH-2</x:v>
      </x:c>
      <x:c r="F611" s="9" t="str">
        <x:v>ET-A-A</x:v>
      </x:c>
      <x:c r="G611" s="9" t="str">
        <x:v>B2</x:v>
      </x:c>
      <x:c r="H611" s="9" t="str">
        <x:v>INT</x:v>
      </x:c>
      <x:c r="I611" s="9" t="n">
        <x:v>3</x:v>
      </x:c>
      <x:c r="J611" s="9" t="n">
        <x:v>3</x:v>
      </x:c>
      <x:c r="K611" s="9" t="str">
        <x:v>ET-A-A-N2</x:v>
      </x:c>
      <x:c r="L611" s="9" t="str">
        <x:v>ST05</x:v>
      </x:c>
      <x:c r="M611" s="17" t="str">
        <x:v>Witness capture armed</x:v>
      </x:c>
      <x:c r="N611" s="17" t="str">
        <x:v>unlike witness records independent reference and live time</x:v>
      </x:c>
      <x:c r="O611" s="17" t="str">
        <x:v>Witness metrology</x:v>
      </x:c>
      <x:c r="P611" s="9" t="n">
        <x:v>0</x:v>
      </x:c>
      <x:c r="Q611" s="9" t="n">
        <x:v>0</x:v>
      </x:c>
      <x:c r="R611" s="9" t="str">
        <x:v>OPEN / UNSTARTED</x:v>
      </x:c>
      <x:c r="S611" s="9" t="n">
        <x:f>COUNTIFS($A$7:$A$1446,A611)</x:f>
        <x:v>1</x:v>
      </x:c>
    </x:row>
    <x:row r="612">
      <x:c r="A612" s="9" t="str">
        <x:v>EV-AR-ET-A-A-TECH-2-B2-INT-G0-ST06</x:v>
      </x:c>
      <x:c r="B612" s="9" t="str">
        <x:v>EV-AR-ET-A-A-TECH-2-B2-INT-G0</x:v>
      </x:c>
      <x:c r="C612" s="9" t="str">
        <x:v>EOW-AR-ET-A-A-TECH-2-B2-INT-G0</x:v>
      </x:c>
      <x:c r="D612" s="9" t="str">
        <x:v>AR-ET-A-A-TECH-2-B2-INT-G0</x:v>
      </x:c>
      <x:c r="E612" s="9" t="str">
        <x:v>ET-A-A-TECH-2</x:v>
      </x:c>
      <x:c r="F612" s="9" t="str">
        <x:v>ET-A-A</x:v>
      </x:c>
      <x:c r="G612" s="9" t="str">
        <x:v>B2</x:v>
      </x:c>
      <x:c r="H612" s="9" t="str">
        <x:v>INT</x:v>
      </x:c>
      <x:c r="I612" s="9" t="n">
        <x:v>3</x:v>
      </x:c>
      <x:c r="J612" s="9" t="n">
        <x:v>3</x:v>
      </x:c>
      <x:c r="K612" s="9" t="str">
        <x:v>ET-A-A-N2</x:v>
      </x:c>
      <x:c r="L612" s="9" t="str">
        <x:v>ST06</x:v>
      </x:c>
      <x:c r="M612" s="17" t="str">
        <x:v>Public custody armed</x:v>
      </x:c>
      <x:c r="N612" s="17" t="str">
        <x:v>eight raw origins have separated hash and replica routes</x:v>
      </x:c>
      <x:c r="O612" s="17" t="str">
        <x:v>Custody authority</x:v>
      </x:c>
      <x:c r="P612" s="9" t="n">
        <x:v>0</x:v>
      </x:c>
      <x:c r="Q612" s="9" t="n">
        <x:v>0</x:v>
      </x:c>
      <x:c r="R612" s="9" t="str">
        <x:v>OPEN / UNSTARTED</x:v>
      </x:c>
      <x:c r="S612" s="9" t="n">
        <x:f>COUNTIFS($A$7:$A$1446,A612)</x:f>
        <x:v>1</x:v>
      </x:c>
    </x:row>
    <x:row r="613">
      <x:c r="A613" s="9" t="str">
        <x:v>EV-AR-ET-A-A-TECH-2-B2-INT-G0-ST07</x:v>
      </x:c>
      <x:c r="B613" s="9" t="str">
        <x:v>EV-AR-ET-A-A-TECH-2-B2-INT-G0</x:v>
      </x:c>
      <x:c r="C613" s="9" t="str">
        <x:v>EOW-AR-ET-A-A-TECH-2-B2-INT-G0</x:v>
      </x:c>
      <x:c r="D613" s="9" t="str">
        <x:v>AR-ET-A-A-TECH-2-B2-INT-G0</x:v>
      </x:c>
      <x:c r="E613" s="9" t="str">
        <x:v>ET-A-A-TECH-2</x:v>
      </x:c>
      <x:c r="F613" s="9" t="str">
        <x:v>ET-A-A</x:v>
      </x:c>
      <x:c r="G613" s="9" t="str">
        <x:v>B2</x:v>
      </x:c>
      <x:c r="H613" s="9" t="str">
        <x:v>INT</x:v>
      </x:c>
      <x:c r="I613" s="9" t="n">
        <x:v>3</x:v>
      </x:c>
      <x:c r="J613" s="9" t="n">
        <x:v>3</x:v>
      </x:c>
      <x:c r="K613" s="9" t="str">
        <x:v>ET-A-A-N2</x:v>
      </x:c>
      <x:c r="L613" s="9" t="str">
        <x:v>ST07</x:v>
      </x:c>
      <x:c r="M613" s="17" t="str">
        <x:v>Environmental baseline</x:v>
      </x:c>
      <x:c r="N613" s="17" t="str">
        <x:v>pre-event boundary state is sealed before decisive operation</x:v>
      </x:c>
      <x:c r="O613" s="17" t="str">
        <x:v>Site metrology</x:v>
      </x:c>
      <x:c r="P613" s="9" t="n">
        <x:v>0</x:v>
      </x:c>
      <x:c r="Q613" s="9" t="n">
        <x:v>0</x:v>
      </x:c>
      <x:c r="R613" s="9" t="str">
        <x:v>OPEN / UNSTARTED</x:v>
      </x:c>
      <x:c r="S613" s="9" t="n">
        <x:f>COUNTIFS($A$7:$A$1446,A613)</x:f>
        <x:v>1</x:v>
      </x:c>
    </x:row>
    <x:row r="614">
      <x:c r="A614" s="9" t="str">
        <x:v>EV-AR-ET-A-A-TECH-2-B2-INT-G0-ST08</x:v>
      </x:c>
      <x:c r="B614" s="9" t="str">
        <x:v>EV-AR-ET-A-A-TECH-2-B2-INT-G0</x:v>
      </x:c>
      <x:c r="C614" s="9" t="str">
        <x:v>EOW-AR-ET-A-A-TECH-2-B2-INT-G0</x:v>
      </x:c>
      <x:c r="D614" s="9" t="str">
        <x:v>AR-ET-A-A-TECH-2-B2-INT-G0</x:v>
      </x:c>
      <x:c r="E614" s="9" t="str">
        <x:v>ET-A-A-TECH-2</x:v>
      </x:c>
      <x:c r="F614" s="9" t="str">
        <x:v>ET-A-A</x:v>
      </x:c>
      <x:c r="G614" s="9" t="str">
        <x:v>B2</x:v>
      </x:c>
      <x:c r="H614" s="9" t="str">
        <x:v>INT</x:v>
      </x:c>
      <x:c r="I614" s="9" t="n">
        <x:v>3</x:v>
      </x:c>
      <x:c r="J614" s="9" t="n">
        <x:v>3</x:v>
      </x:c>
      <x:c r="K614" s="9" t="str">
        <x:v>ET-A-A-N2</x:v>
      </x:c>
      <x:c r="L614" s="9" t="str">
        <x:v>ST08</x:v>
      </x:c>
      <x:c r="M614" s="17" t="str">
        <x:v>Manual stop and safety</x:v>
      </x:c>
      <x:c r="N614" s="17" t="str">
        <x:v>local stop, evacuation and protection routes are active</x:v>
      </x:c>
      <x:c r="O614" s="17" t="str">
        <x:v>Safety authority</x:v>
      </x:c>
      <x:c r="P614" s="9" t="n">
        <x:v>0</x:v>
      </x:c>
      <x:c r="Q614" s="9" t="n">
        <x:v>0</x:v>
      </x:c>
      <x:c r="R614" s="9" t="str">
        <x:v>OPEN / UNSTARTED</x:v>
      </x:c>
      <x:c r="S614" s="9" t="n">
        <x:f>COUNTIFS($A$7:$A$1446,A614)</x:f>
        <x:v>1</x:v>
      </x:c>
    </x:row>
    <x:row r="615">
      <x:c r="A615" s="9" t="str">
        <x:v>EV-AR-ET-A-A-TECH-2-B2-INT-G0-ST09</x:v>
      </x:c>
      <x:c r="B615" s="9" t="str">
        <x:v>EV-AR-ET-A-A-TECH-2-B2-INT-G0</x:v>
      </x:c>
      <x:c r="C615" s="9" t="str">
        <x:v>EOW-AR-ET-A-A-TECH-2-B2-INT-G0</x:v>
      </x:c>
      <x:c r="D615" s="9" t="str">
        <x:v>AR-ET-A-A-TECH-2-B2-INT-G0</x:v>
      </x:c>
      <x:c r="E615" s="9" t="str">
        <x:v>ET-A-A-TECH-2</x:v>
      </x:c>
      <x:c r="F615" s="9" t="str">
        <x:v>ET-A-A</x:v>
      </x:c>
      <x:c r="G615" s="9" t="str">
        <x:v>B2</x:v>
      </x:c>
      <x:c r="H615" s="9" t="str">
        <x:v>INT</x:v>
      </x:c>
      <x:c r="I615" s="9" t="n">
        <x:v>3</x:v>
      </x:c>
      <x:c r="J615" s="9" t="n">
        <x:v>3</x:v>
      </x:c>
      <x:c r="K615" s="9" t="str">
        <x:v>ET-A-A-N2</x:v>
      </x:c>
      <x:c r="L615" s="9" t="str">
        <x:v>ST09</x:v>
      </x:c>
      <x:c r="M615" s="17" t="str">
        <x:v>Operator conflict clear</x:v>
      </x:c>
      <x:c r="N615" s="17" t="str">
        <x:v>candidate, fixture, safety and measurement control edges remain separated</x:v>
      </x:c>
      <x:c r="O615" s="17" t="str">
        <x:v>Conflict registrar</x:v>
      </x:c>
      <x:c r="P615" s="9" t="n">
        <x:v>0</x:v>
      </x:c>
      <x:c r="Q615" s="9" t="n">
        <x:v>0</x:v>
      </x:c>
      <x:c r="R615" s="9" t="str">
        <x:v>OPEN / UNSTARTED</x:v>
      </x:c>
      <x:c r="S615" s="9" t="n">
        <x:f>COUNTIFS($A$7:$A$1446,A615)</x:f>
        <x:v>1</x:v>
      </x:c>
    </x:row>
    <x:row r="616">
      <x:c r="A616" s="9" t="str">
        <x:v>EV-AR-ET-A-A-TECH-2-B2-INT-G0-ST10</x:v>
      </x:c>
      <x:c r="B616" s="9" t="str">
        <x:v>EV-AR-ET-A-A-TECH-2-B2-INT-G0</x:v>
      </x:c>
      <x:c r="C616" s="9" t="str">
        <x:v>EOW-AR-ET-A-A-TECH-2-B2-INT-G0</x:v>
      </x:c>
      <x:c r="D616" s="9" t="str">
        <x:v>AR-ET-A-A-TECH-2-B2-INT-G0</x:v>
      </x:c>
      <x:c r="E616" s="9" t="str">
        <x:v>ET-A-A-TECH-2</x:v>
      </x:c>
      <x:c r="F616" s="9" t="str">
        <x:v>ET-A-A</x:v>
      </x:c>
      <x:c r="G616" s="9" t="str">
        <x:v>B2</x:v>
      </x:c>
      <x:c r="H616" s="9" t="str">
        <x:v>INT</x:v>
      </x:c>
      <x:c r="I616" s="9" t="n">
        <x:v>3</x:v>
      </x:c>
      <x:c r="J616" s="9" t="n">
        <x:v>3</x:v>
      </x:c>
      <x:c r="K616" s="9" t="str">
        <x:v>ET-A-A-N2</x:v>
      </x:c>
      <x:c r="L616" s="9" t="str">
        <x:v>ST10</x:v>
      </x:c>
      <x:c r="M616" s="17" t="str">
        <x:v>Window and common clock</x:v>
      </x:c>
      <x:c r="N616" s="17" t="str">
        <x:v>epoch, window and public time origin match the issued warrant</x:v>
      </x:c>
      <x:c r="O616" s="17" t="str">
        <x:v>Event clock authority</x:v>
      </x:c>
      <x:c r="P616" s="9" t="n">
        <x:v>0</x:v>
      </x:c>
      <x:c r="Q616" s="9" t="n">
        <x:v>0</x:v>
      </x:c>
      <x:c r="R616" s="9" t="str">
        <x:v>OPEN / UNSTARTED</x:v>
      </x:c>
      <x:c r="S616" s="9" t="n">
        <x:f>COUNTIFS($A$7:$A$1446,A616)</x:f>
        <x:v>1</x:v>
      </x:c>
    </x:row>
    <x:row r="617">
      <x:c r="A617" s="9" t="str">
        <x:v>EV-AR-ET-A-A-TECH-3-B1-INT-G0-ST01</x:v>
      </x:c>
      <x:c r="B617" s="9" t="str">
        <x:v>EV-AR-ET-A-A-TECH-3-B1-INT-G0</x:v>
      </x:c>
      <x:c r="C617" s="9" t="str">
        <x:v>EOW-AR-ET-A-A-TECH-3-B1-INT-G0</x:v>
      </x:c>
      <x:c r="D617" s="9" t="str">
        <x:v>AR-ET-A-A-TECH-3-B1-INT-G0</x:v>
      </x:c>
      <x:c r="E617" s="9" t="str">
        <x:v>ET-A-A-TECH-3</x:v>
      </x:c>
      <x:c r="F617" s="9" t="str">
        <x:v>ET-A-A</x:v>
      </x:c>
      <x:c r="G617" s="9" t="str">
        <x:v>B1</x:v>
      </x:c>
      <x:c r="H617" s="9" t="str">
        <x:v>INT</x:v>
      </x:c>
      <x:c r="I617" s="9" t="n">
        <x:v>3</x:v>
      </x:c>
      <x:c r="J617" s="9" t="n">
        <x:v>3</x:v>
      </x:c>
      <x:c r="K617" s="9" t="str">
        <x:v>ET-A-A-N3</x:v>
      </x:c>
      <x:c r="L617" s="9" t="str">
        <x:v>ST01</x:v>
      </x:c>
      <x:c r="M617" s="17" t="str">
        <x:v>Active opportunity warrant</x:v>
      </x:c>
      <x:c r="N617" s="17" t="str">
        <x:v>configuration-bound EOW is within its thirty-six-hour validity</x:v>
      </x:c>
      <x:c r="O617" s="17" t="str">
        <x:v>Start registrar</x:v>
      </x:c>
      <x:c r="P617" s="9" t="n">
        <x:v>0</x:v>
      </x:c>
      <x:c r="Q617" s="9" t="n">
        <x:v>0</x:v>
      </x:c>
      <x:c r="R617" s="9" t="str">
        <x:v>OPEN / UNSTARTED</x:v>
      </x:c>
      <x:c r="S617" s="9" t="n">
        <x:f>COUNTIFS($A$7:$A$1446,A617)</x:f>
        <x:v>1</x:v>
      </x:c>
    </x:row>
    <x:row r="618">
      <x:c r="A618" s="9" t="str">
        <x:v>EV-AR-ET-A-A-TECH-3-B1-INT-G0-ST02</x:v>
      </x:c>
      <x:c r="B618" s="9" t="str">
        <x:v>EV-AR-ET-A-A-TECH-3-B1-INT-G0</x:v>
      </x:c>
      <x:c r="C618" s="9" t="str">
        <x:v>EOW-AR-ET-A-A-TECH-3-B1-INT-G0</x:v>
      </x:c>
      <x:c r="D618" s="9" t="str">
        <x:v>AR-ET-A-A-TECH-3-B1-INT-G0</x:v>
      </x:c>
      <x:c r="E618" s="9" t="str">
        <x:v>ET-A-A-TECH-3</x:v>
      </x:c>
      <x:c r="F618" s="9" t="str">
        <x:v>ET-A-A</x:v>
      </x:c>
      <x:c r="G618" s="9" t="str">
        <x:v>B1</x:v>
      </x:c>
      <x:c r="H618" s="9" t="str">
        <x:v>INT</x:v>
      </x:c>
      <x:c r="I618" s="9" t="n">
        <x:v>3</x:v>
      </x:c>
      <x:c r="J618" s="9" t="n">
        <x:v>3</x:v>
      </x:c>
      <x:c r="K618" s="9" t="str">
        <x:v>ET-A-A-N3</x:v>
      </x:c>
      <x:c r="L618" s="9" t="str">
        <x:v>ST02</x:v>
      </x:c>
      <x:c r="M618" s="17" t="str">
        <x:v>Frozen identity</x:v>
      </x:c>
      <x:c r="N618" s="17" t="str">
        <x:v>serial, generation, fixture, site, receiver and digest match the warrant</x:v>
      </x:c>
      <x:c r="O618" s="17" t="str">
        <x:v>Custody authority</x:v>
      </x:c>
      <x:c r="P618" s="9" t="n">
        <x:v>0</x:v>
      </x:c>
      <x:c r="Q618" s="9" t="n">
        <x:v>0</x:v>
      </x:c>
      <x:c r="R618" s="9" t="str">
        <x:v>OPEN / UNSTARTED</x:v>
      </x:c>
      <x:c r="S618" s="9" t="n">
        <x:f>COUNTIFS($A$7:$A$1446,A618)</x:f>
        <x:v>1</x:v>
      </x:c>
    </x:row>
    <x:row r="619">
      <x:c r="A619" s="9" t="str">
        <x:v>EV-AR-ET-A-A-TECH-3-B1-INT-G0-ST03</x:v>
      </x:c>
      <x:c r="B619" s="9" t="str">
        <x:v>EV-AR-ET-A-A-TECH-3-B1-INT-G0</x:v>
      </x:c>
      <x:c r="C619" s="9" t="str">
        <x:v>EOW-AR-ET-A-A-TECH-3-B1-INT-G0</x:v>
      </x:c>
      <x:c r="D619" s="9" t="str">
        <x:v>AR-ET-A-A-TECH-3-B1-INT-G0</x:v>
      </x:c>
      <x:c r="E619" s="9" t="str">
        <x:v>ET-A-A-TECH-3</x:v>
      </x:c>
      <x:c r="F619" s="9" t="str">
        <x:v>ET-A-A</x:v>
      </x:c>
      <x:c r="G619" s="9" t="str">
        <x:v>B1</x:v>
      </x:c>
      <x:c r="H619" s="9" t="str">
        <x:v>INT</x:v>
      </x:c>
      <x:c r="I619" s="9" t="n">
        <x:v>3</x:v>
      </x:c>
      <x:c r="J619" s="9" t="n">
        <x:v>3</x:v>
      </x:c>
      <x:c r="K619" s="9" t="str">
        <x:v>ET-A-A-N3</x:v>
      </x:c>
      <x:c r="L619" s="9" t="str">
        <x:v>ST03</x:v>
      </x:c>
      <x:c r="M619" s="17" t="str">
        <x:v>Receiver receipt</x:v>
      </x:c>
      <x:c r="N619" s="17" t="str">
        <x:v>denominator, counterfactual, rights and stop receipt remain unchanged</x:v>
      </x:c>
      <x:c r="O619" s="17" t="str">
        <x:v>Receiver authority</x:v>
      </x:c>
      <x:c r="P619" s="9" t="n">
        <x:v>0</x:v>
      </x:c>
      <x:c r="Q619" s="9" t="n">
        <x:v>0</x:v>
      </x:c>
      <x:c r="R619" s="9" t="str">
        <x:v>OPEN / UNSTARTED</x:v>
      </x:c>
      <x:c r="S619" s="9" t="n">
        <x:f>COUNTIFS($A$7:$A$1446,A619)</x:f>
        <x:v>1</x:v>
      </x:c>
    </x:row>
    <x:row r="620">
      <x:c r="A620" s="9" t="str">
        <x:v>EV-AR-ET-A-A-TECH-3-B1-INT-G0-ST04</x:v>
      </x:c>
      <x:c r="B620" s="9" t="str">
        <x:v>EV-AR-ET-A-A-TECH-3-B1-INT-G0</x:v>
      </x:c>
      <x:c r="C620" s="9" t="str">
        <x:v>EOW-AR-ET-A-A-TECH-3-B1-INT-G0</x:v>
      </x:c>
      <x:c r="D620" s="9" t="str">
        <x:v>AR-ET-A-A-TECH-3-B1-INT-G0</x:v>
      </x:c>
      <x:c r="E620" s="9" t="str">
        <x:v>ET-A-A-TECH-3</x:v>
      </x:c>
      <x:c r="F620" s="9" t="str">
        <x:v>ET-A-A</x:v>
      </x:c>
      <x:c r="G620" s="9" t="str">
        <x:v>B1</x:v>
      </x:c>
      <x:c r="H620" s="9" t="str">
        <x:v>INT</x:v>
      </x:c>
      <x:c r="I620" s="9" t="n">
        <x:v>3</x:v>
      </x:c>
      <x:c r="J620" s="9" t="n">
        <x:v>3</x:v>
      </x:c>
      <x:c r="K620" s="9" t="str">
        <x:v>ET-A-A-N3</x:v>
      </x:c>
      <x:c r="L620" s="9" t="str">
        <x:v>ST04</x:v>
      </x:c>
      <x:c r="M620" s="17" t="str">
        <x:v>Primary capture armed</x:v>
      </x:c>
      <x:c r="N620" s="17" t="str">
        <x:v>primary chain records sealed reference and live time</x:v>
      </x:c>
      <x:c r="O620" s="17" t="str">
        <x:v>Primary metrology</x:v>
      </x:c>
      <x:c r="P620" s="9" t="n">
        <x:v>0</x:v>
      </x:c>
      <x:c r="Q620" s="9" t="n">
        <x:v>0</x:v>
      </x:c>
      <x:c r="R620" s="9" t="str">
        <x:v>OPEN / UNSTARTED</x:v>
      </x:c>
      <x:c r="S620" s="9" t="n">
        <x:f>COUNTIFS($A$7:$A$1446,A620)</x:f>
        <x:v>1</x:v>
      </x:c>
    </x:row>
    <x:row r="621">
      <x:c r="A621" s="9" t="str">
        <x:v>EV-AR-ET-A-A-TECH-3-B1-INT-G0-ST05</x:v>
      </x:c>
      <x:c r="B621" s="9" t="str">
        <x:v>EV-AR-ET-A-A-TECH-3-B1-INT-G0</x:v>
      </x:c>
      <x:c r="C621" s="9" t="str">
        <x:v>EOW-AR-ET-A-A-TECH-3-B1-INT-G0</x:v>
      </x:c>
      <x:c r="D621" s="9" t="str">
        <x:v>AR-ET-A-A-TECH-3-B1-INT-G0</x:v>
      </x:c>
      <x:c r="E621" s="9" t="str">
        <x:v>ET-A-A-TECH-3</x:v>
      </x:c>
      <x:c r="F621" s="9" t="str">
        <x:v>ET-A-A</x:v>
      </x:c>
      <x:c r="G621" s="9" t="str">
        <x:v>B1</x:v>
      </x:c>
      <x:c r="H621" s="9" t="str">
        <x:v>INT</x:v>
      </x:c>
      <x:c r="I621" s="9" t="n">
        <x:v>3</x:v>
      </x:c>
      <x:c r="J621" s="9" t="n">
        <x:v>3</x:v>
      </x:c>
      <x:c r="K621" s="9" t="str">
        <x:v>ET-A-A-N3</x:v>
      </x:c>
      <x:c r="L621" s="9" t="str">
        <x:v>ST05</x:v>
      </x:c>
      <x:c r="M621" s="17" t="str">
        <x:v>Witness capture armed</x:v>
      </x:c>
      <x:c r="N621" s="17" t="str">
        <x:v>unlike witness records independent reference and live time</x:v>
      </x:c>
      <x:c r="O621" s="17" t="str">
        <x:v>Witness metrology</x:v>
      </x:c>
      <x:c r="P621" s="9" t="n">
        <x:v>0</x:v>
      </x:c>
      <x:c r="Q621" s="9" t="n">
        <x:v>0</x:v>
      </x:c>
      <x:c r="R621" s="9" t="str">
        <x:v>OPEN / UNSTARTED</x:v>
      </x:c>
      <x:c r="S621" s="9" t="n">
        <x:f>COUNTIFS($A$7:$A$1446,A621)</x:f>
        <x:v>1</x:v>
      </x:c>
    </x:row>
    <x:row r="622">
      <x:c r="A622" s="9" t="str">
        <x:v>EV-AR-ET-A-A-TECH-3-B1-INT-G0-ST06</x:v>
      </x:c>
      <x:c r="B622" s="9" t="str">
        <x:v>EV-AR-ET-A-A-TECH-3-B1-INT-G0</x:v>
      </x:c>
      <x:c r="C622" s="9" t="str">
        <x:v>EOW-AR-ET-A-A-TECH-3-B1-INT-G0</x:v>
      </x:c>
      <x:c r="D622" s="9" t="str">
        <x:v>AR-ET-A-A-TECH-3-B1-INT-G0</x:v>
      </x:c>
      <x:c r="E622" s="9" t="str">
        <x:v>ET-A-A-TECH-3</x:v>
      </x:c>
      <x:c r="F622" s="9" t="str">
        <x:v>ET-A-A</x:v>
      </x:c>
      <x:c r="G622" s="9" t="str">
        <x:v>B1</x:v>
      </x:c>
      <x:c r="H622" s="9" t="str">
        <x:v>INT</x:v>
      </x:c>
      <x:c r="I622" s="9" t="n">
        <x:v>3</x:v>
      </x:c>
      <x:c r="J622" s="9" t="n">
        <x:v>3</x:v>
      </x:c>
      <x:c r="K622" s="9" t="str">
        <x:v>ET-A-A-N3</x:v>
      </x:c>
      <x:c r="L622" s="9" t="str">
        <x:v>ST06</x:v>
      </x:c>
      <x:c r="M622" s="17" t="str">
        <x:v>Public custody armed</x:v>
      </x:c>
      <x:c r="N622" s="17" t="str">
        <x:v>eight raw origins have separated hash and replica routes</x:v>
      </x:c>
      <x:c r="O622" s="17" t="str">
        <x:v>Custody authority</x:v>
      </x:c>
      <x:c r="P622" s="9" t="n">
        <x:v>0</x:v>
      </x:c>
      <x:c r="Q622" s="9" t="n">
        <x:v>0</x:v>
      </x:c>
      <x:c r="R622" s="9" t="str">
        <x:v>OPEN / UNSTARTED</x:v>
      </x:c>
      <x:c r="S622" s="9" t="n">
        <x:f>COUNTIFS($A$7:$A$1446,A622)</x:f>
        <x:v>1</x:v>
      </x:c>
    </x:row>
    <x:row r="623">
      <x:c r="A623" s="9" t="str">
        <x:v>EV-AR-ET-A-A-TECH-3-B1-INT-G0-ST07</x:v>
      </x:c>
      <x:c r="B623" s="9" t="str">
        <x:v>EV-AR-ET-A-A-TECH-3-B1-INT-G0</x:v>
      </x:c>
      <x:c r="C623" s="9" t="str">
        <x:v>EOW-AR-ET-A-A-TECH-3-B1-INT-G0</x:v>
      </x:c>
      <x:c r="D623" s="9" t="str">
        <x:v>AR-ET-A-A-TECH-3-B1-INT-G0</x:v>
      </x:c>
      <x:c r="E623" s="9" t="str">
        <x:v>ET-A-A-TECH-3</x:v>
      </x:c>
      <x:c r="F623" s="9" t="str">
        <x:v>ET-A-A</x:v>
      </x:c>
      <x:c r="G623" s="9" t="str">
        <x:v>B1</x:v>
      </x:c>
      <x:c r="H623" s="9" t="str">
        <x:v>INT</x:v>
      </x:c>
      <x:c r="I623" s="9" t="n">
        <x:v>3</x:v>
      </x:c>
      <x:c r="J623" s="9" t="n">
        <x:v>3</x:v>
      </x:c>
      <x:c r="K623" s="9" t="str">
        <x:v>ET-A-A-N3</x:v>
      </x:c>
      <x:c r="L623" s="9" t="str">
        <x:v>ST07</x:v>
      </x:c>
      <x:c r="M623" s="17" t="str">
        <x:v>Environmental baseline</x:v>
      </x:c>
      <x:c r="N623" s="17" t="str">
        <x:v>pre-event boundary state is sealed before decisive operation</x:v>
      </x:c>
      <x:c r="O623" s="17" t="str">
        <x:v>Site metrology</x:v>
      </x:c>
      <x:c r="P623" s="9" t="n">
        <x:v>0</x:v>
      </x:c>
      <x:c r="Q623" s="9" t="n">
        <x:v>0</x:v>
      </x:c>
      <x:c r="R623" s="9" t="str">
        <x:v>OPEN / UNSTARTED</x:v>
      </x:c>
      <x:c r="S623" s="9" t="n">
        <x:f>COUNTIFS($A$7:$A$1446,A623)</x:f>
        <x:v>1</x:v>
      </x:c>
    </x:row>
    <x:row r="624">
      <x:c r="A624" s="9" t="str">
        <x:v>EV-AR-ET-A-A-TECH-3-B1-INT-G0-ST08</x:v>
      </x:c>
      <x:c r="B624" s="9" t="str">
        <x:v>EV-AR-ET-A-A-TECH-3-B1-INT-G0</x:v>
      </x:c>
      <x:c r="C624" s="9" t="str">
        <x:v>EOW-AR-ET-A-A-TECH-3-B1-INT-G0</x:v>
      </x:c>
      <x:c r="D624" s="9" t="str">
        <x:v>AR-ET-A-A-TECH-3-B1-INT-G0</x:v>
      </x:c>
      <x:c r="E624" s="9" t="str">
        <x:v>ET-A-A-TECH-3</x:v>
      </x:c>
      <x:c r="F624" s="9" t="str">
        <x:v>ET-A-A</x:v>
      </x:c>
      <x:c r="G624" s="9" t="str">
        <x:v>B1</x:v>
      </x:c>
      <x:c r="H624" s="9" t="str">
        <x:v>INT</x:v>
      </x:c>
      <x:c r="I624" s="9" t="n">
        <x:v>3</x:v>
      </x:c>
      <x:c r="J624" s="9" t="n">
        <x:v>3</x:v>
      </x:c>
      <x:c r="K624" s="9" t="str">
        <x:v>ET-A-A-N3</x:v>
      </x:c>
      <x:c r="L624" s="9" t="str">
        <x:v>ST08</x:v>
      </x:c>
      <x:c r="M624" s="17" t="str">
        <x:v>Manual stop and safety</x:v>
      </x:c>
      <x:c r="N624" s="17" t="str">
        <x:v>local stop, evacuation and protection routes are active</x:v>
      </x:c>
      <x:c r="O624" s="17" t="str">
        <x:v>Safety authority</x:v>
      </x:c>
      <x:c r="P624" s="9" t="n">
        <x:v>0</x:v>
      </x:c>
      <x:c r="Q624" s="9" t="n">
        <x:v>0</x:v>
      </x:c>
      <x:c r="R624" s="9" t="str">
        <x:v>OPEN / UNSTARTED</x:v>
      </x:c>
      <x:c r="S624" s="9" t="n">
        <x:f>COUNTIFS($A$7:$A$1446,A624)</x:f>
        <x:v>1</x:v>
      </x:c>
    </x:row>
    <x:row r="625">
      <x:c r="A625" s="9" t="str">
        <x:v>EV-AR-ET-A-A-TECH-3-B1-INT-G0-ST09</x:v>
      </x:c>
      <x:c r="B625" s="9" t="str">
        <x:v>EV-AR-ET-A-A-TECH-3-B1-INT-G0</x:v>
      </x:c>
      <x:c r="C625" s="9" t="str">
        <x:v>EOW-AR-ET-A-A-TECH-3-B1-INT-G0</x:v>
      </x:c>
      <x:c r="D625" s="9" t="str">
        <x:v>AR-ET-A-A-TECH-3-B1-INT-G0</x:v>
      </x:c>
      <x:c r="E625" s="9" t="str">
        <x:v>ET-A-A-TECH-3</x:v>
      </x:c>
      <x:c r="F625" s="9" t="str">
        <x:v>ET-A-A</x:v>
      </x:c>
      <x:c r="G625" s="9" t="str">
        <x:v>B1</x:v>
      </x:c>
      <x:c r="H625" s="9" t="str">
        <x:v>INT</x:v>
      </x:c>
      <x:c r="I625" s="9" t="n">
        <x:v>3</x:v>
      </x:c>
      <x:c r="J625" s="9" t="n">
        <x:v>3</x:v>
      </x:c>
      <x:c r="K625" s="9" t="str">
        <x:v>ET-A-A-N3</x:v>
      </x:c>
      <x:c r="L625" s="9" t="str">
        <x:v>ST09</x:v>
      </x:c>
      <x:c r="M625" s="17" t="str">
        <x:v>Operator conflict clear</x:v>
      </x:c>
      <x:c r="N625" s="17" t="str">
        <x:v>candidate, fixture, safety and measurement control edges remain separated</x:v>
      </x:c>
      <x:c r="O625" s="17" t="str">
        <x:v>Conflict registrar</x:v>
      </x:c>
      <x:c r="P625" s="9" t="n">
        <x:v>0</x:v>
      </x:c>
      <x:c r="Q625" s="9" t="n">
        <x:v>0</x:v>
      </x:c>
      <x:c r="R625" s="9" t="str">
        <x:v>OPEN / UNSTARTED</x:v>
      </x:c>
      <x:c r="S625" s="9" t="n">
        <x:f>COUNTIFS($A$7:$A$1446,A625)</x:f>
        <x:v>1</x:v>
      </x:c>
    </x:row>
    <x:row r="626">
      <x:c r="A626" s="9" t="str">
        <x:v>EV-AR-ET-A-A-TECH-3-B1-INT-G0-ST10</x:v>
      </x:c>
      <x:c r="B626" s="9" t="str">
        <x:v>EV-AR-ET-A-A-TECH-3-B1-INT-G0</x:v>
      </x:c>
      <x:c r="C626" s="9" t="str">
        <x:v>EOW-AR-ET-A-A-TECH-3-B1-INT-G0</x:v>
      </x:c>
      <x:c r="D626" s="9" t="str">
        <x:v>AR-ET-A-A-TECH-3-B1-INT-G0</x:v>
      </x:c>
      <x:c r="E626" s="9" t="str">
        <x:v>ET-A-A-TECH-3</x:v>
      </x:c>
      <x:c r="F626" s="9" t="str">
        <x:v>ET-A-A</x:v>
      </x:c>
      <x:c r="G626" s="9" t="str">
        <x:v>B1</x:v>
      </x:c>
      <x:c r="H626" s="9" t="str">
        <x:v>INT</x:v>
      </x:c>
      <x:c r="I626" s="9" t="n">
        <x:v>3</x:v>
      </x:c>
      <x:c r="J626" s="9" t="n">
        <x:v>3</x:v>
      </x:c>
      <x:c r="K626" s="9" t="str">
        <x:v>ET-A-A-N3</x:v>
      </x:c>
      <x:c r="L626" s="9" t="str">
        <x:v>ST10</x:v>
      </x:c>
      <x:c r="M626" s="17" t="str">
        <x:v>Window and common clock</x:v>
      </x:c>
      <x:c r="N626" s="17" t="str">
        <x:v>epoch, window and public time origin match the issued warrant</x:v>
      </x:c>
      <x:c r="O626" s="17" t="str">
        <x:v>Event clock authority</x:v>
      </x:c>
      <x:c r="P626" s="9" t="n">
        <x:v>0</x:v>
      </x:c>
      <x:c r="Q626" s="9" t="n">
        <x:v>0</x:v>
      </x:c>
      <x:c r="R626" s="9" t="str">
        <x:v>OPEN / UNSTARTED</x:v>
      </x:c>
      <x:c r="S626" s="9" t="n">
        <x:f>COUNTIFS($A$7:$A$1446,A626)</x:f>
        <x:v>1</x:v>
      </x:c>
    </x:row>
    <x:row r="627">
      <x:c r="A627" s="9" t="str">
        <x:v>EV-AR-HU-A-B-TECH-4-B2-INT-G0-ST01</x:v>
      </x:c>
      <x:c r="B627" s="9" t="str">
        <x:v>EV-AR-HU-A-B-TECH-4-B2-INT-G0</x:v>
      </x:c>
      <x:c r="C627" s="9" t="str">
        <x:v>EOW-AR-HU-A-B-TECH-4-B2-INT-G0</x:v>
      </x:c>
      <x:c r="D627" s="9" t="str">
        <x:v>AR-HU-A-B-TECH-4-B2-INT-G0</x:v>
      </x:c>
      <x:c r="E627" s="9" t="str">
        <x:v>HU-A-B-TECH-4</x:v>
      </x:c>
      <x:c r="F627" s="9" t="str">
        <x:v>HU-A-B</x:v>
      </x:c>
      <x:c r="G627" s="9" t="str">
        <x:v>B2</x:v>
      </x:c>
      <x:c r="H627" s="9" t="str">
        <x:v>INT</x:v>
      </x:c>
      <x:c r="I627" s="9" t="n">
        <x:v>3</x:v>
      </x:c>
      <x:c r="J627" s="9" t="n">
        <x:v>3</x:v>
      </x:c>
      <x:c r="K627" s="9" t="str">
        <x:v>HU-A-B-N1</x:v>
      </x:c>
      <x:c r="L627" s="9" t="str">
        <x:v>ST01</x:v>
      </x:c>
      <x:c r="M627" s="17" t="str">
        <x:v>Active opportunity warrant</x:v>
      </x:c>
      <x:c r="N627" s="17" t="str">
        <x:v>configuration-bound EOW is within its thirty-six-hour validity</x:v>
      </x:c>
      <x:c r="O627" s="17" t="str">
        <x:v>Start registrar</x:v>
      </x:c>
      <x:c r="P627" s="9" t="n">
        <x:v>0</x:v>
      </x:c>
      <x:c r="Q627" s="9" t="n">
        <x:v>0</x:v>
      </x:c>
      <x:c r="R627" s="9" t="str">
        <x:v>OPEN / UNSTARTED</x:v>
      </x:c>
      <x:c r="S627" s="9" t="n">
        <x:f>COUNTIFS($A$7:$A$1446,A627)</x:f>
        <x:v>1</x:v>
      </x:c>
    </x:row>
    <x:row r="628">
      <x:c r="A628" s="9" t="str">
        <x:v>EV-AR-HU-A-B-TECH-4-B2-INT-G0-ST02</x:v>
      </x:c>
      <x:c r="B628" s="9" t="str">
        <x:v>EV-AR-HU-A-B-TECH-4-B2-INT-G0</x:v>
      </x:c>
      <x:c r="C628" s="9" t="str">
        <x:v>EOW-AR-HU-A-B-TECH-4-B2-INT-G0</x:v>
      </x:c>
      <x:c r="D628" s="9" t="str">
        <x:v>AR-HU-A-B-TECH-4-B2-INT-G0</x:v>
      </x:c>
      <x:c r="E628" s="9" t="str">
        <x:v>HU-A-B-TECH-4</x:v>
      </x:c>
      <x:c r="F628" s="9" t="str">
        <x:v>HU-A-B</x:v>
      </x:c>
      <x:c r="G628" s="9" t="str">
        <x:v>B2</x:v>
      </x:c>
      <x:c r="H628" s="9" t="str">
        <x:v>INT</x:v>
      </x:c>
      <x:c r="I628" s="9" t="n">
        <x:v>3</x:v>
      </x:c>
      <x:c r="J628" s="9" t="n">
        <x:v>3</x:v>
      </x:c>
      <x:c r="K628" s="9" t="str">
        <x:v>HU-A-B-N1</x:v>
      </x:c>
      <x:c r="L628" s="9" t="str">
        <x:v>ST02</x:v>
      </x:c>
      <x:c r="M628" s="17" t="str">
        <x:v>Frozen identity</x:v>
      </x:c>
      <x:c r="N628" s="17" t="str">
        <x:v>serial, generation, fixture, site, receiver and digest match the warrant</x:v>
      </x:c>
      <x:c r="O628" s="17" t="str">
        <x:v>Custody authority</x:v>
      </x:c>
      <x:c r="P628" s="9" t="n">
        <x:v>0</x:v>
      </x:c>
      <x:c r="Q628" s="9" t="n">
        <x:v>0</x:v>
      </x:c>
      <x:c r="R628" s="9" t="str">
        <x:v>OPEN / UNSTARTED</x:v>
      </x:c>
      <x:c r="S628" s="9" t="n">
        <x:f>COUNTIFS($A$7:$A$1446,A628)</x:f>
        <x:v>1</x:v>
      </x:c>
    </x:row>
    <x:row r="629">
      <x:c r="A629" s="9" t="str">
        <x:v>EV-AR-HU-A-B-TECH-4-B2-INT-G0-ST03</x:v>
      </x:c>
      <x:c r="B629" s="9" t="str">
        <x:v>EV-AR-HU-A-B-TECH-4-B2-INT-G0</x:v>
      </x:c>
      <x:c r="C629" s="9" t="str">
        <x:v>EOW-AR-HU-A-B-TECH-4-B2-INT-G0</x:v>
      </x:c>
      <x:c r="D629" s="9" t="str">
        <x:v>AR-HU-A-B-TECH-4-B2-INT-G0</x:v>
      </x:c>
      <x:c r="E629" s="9" t="str">
        <x:v>HU-A-B-TECH-4</x:v>
      </x:c>
      <x:c r="F629" s="9" t="str">
        <x:v>HU-A-B</x:v>
      </x:c>
      <x:c r="G629" s="9" t="str">
        <x:v>B2</x:v>
      </x:c>
      <x:c r="H629" s="9" t="str">
        <x:v>INT</x:v>
      </x:c>
      <x:c r="I629" s="9" t="n">
        <x:v>3</x:v>
      </x:c>
      <x:c r="J629" s="9" t="n">
        <x:v>3</x:v>
      </x:c>
      <x:c r="K629" s="9" t="str">
        <x:v>HU-A-B-N1</x:v>
      </x:c>
      <x:c r="L629" s="9" t="str">
        <x:v>ST03</x:v>
      </x:c>
      <x:c r="M629" s="17" t="str">
        <x:v>Receiver receipt</x:v>
      </x:c>
      <x:c r="N629" s="17" t="str">
        <x:v>denominator, counterfactual, rights and stop receipt remain unchanged</x:v>
      </x:c>
      <x:c r="O629" s="17" t="str">
        <x:v>Receiver authority</x:v>
      </x:c>
      <x:c r="P629" s="9" t="n">
        <x:v>0</x:v>
      </x:c>
      <x:c r="Q629" s="9" t="n">
        <x:v>0</x:v>
      </x:c>
      <x:c r="R629" s="9" t="str">
        <x:v>OPEN / UNSTARTED</x:v>
      </x:c>
      <x:c r="S629" s="9" t="n">
        <x:f>COUNTIFS($A$7:$A$1446,A629)</x:f>
        <x:v>1</x:v>
      </x:c>
    </x:row>
    <x:row r="630">
      <x:c r="A630" s="9" t="str">
        <x:v>EV-AR-HU-A-B-TECH-4-B2-INT-G0-ST04</x:v>
      </x:c>
      <x:c r="B630" s="9" t="str">
        <x:v>EV-AR-HU-A-B-TECH-4-B2-INT-G0</x:v>
      </x:c>
      <x:c r="C630" s="9" t="str">
        <x:v>EOW-AR-HU-A-B-TECH-4-B2-INT-G0</x:v>
      </x:c>
      <x:c r="D630" s="9" t="str">
        <x:v>AR-HU-A-B-TECH-4-B2-INT-G0</x:v>
      </x:c>
      <x:c r="E630" s="9" t="str">
        <x:v>HU-A-B-TECH-4</x:v>
      </x:c>
      <x:c r="F630" s="9" t="str">
        <x:v>HU-A-B</x:v>
      </x:c>
      <x:c r="G630" s="9" t="str">
        <x:v>B2</x:v>
      </x:c>
      <x:c r="H630" s="9" t="str">
        <x:v>INT</x:v>
      </x:c>
      <x:c r="I630" s="9" t="n">
        <x:v>3</x:v>
      </x:c>
      <x:c r="J630" s="9" t="n">
        <x:v>3</x:v>
      </x:c>
      <x:c r="K630" s="9" t="str">
        <x:v>HU-A-B-N1</x:v>
      </x:c>
      <x:c r="L630" s="9" t="str">
        <x:v>ST04</x:v>
      </x:c>
      <x:c r="M630" s="17" t="str">
        <x:v>Primary capture armed</x:v>
      </x:c>
      <x:c r="N630" s="17" t="str">
        <x:v>primary chain records sealed reference and live time</x:v>
      </x:c>
      <x:c r="O630" s="17" t="str">
        <x:v>Primary metrology</x:v>
      </x:c>
      <x:c r="P630" s="9" t="n">
        <x:v>0</x:v>
      </x:c>
      <x:c r="Q630" s="9" t="n">
        <x:v>0</x:v>
      </x:c>
      <x:c r="R630" s="9" t="str">
        <x:v>OPEN / UNSTARTED</x:v>
      </x:c>
      <x:c r="S630" s="9" t="n">
        <x:f>COUNTIFS($A$7:$A$1446,A630)</x:f>
        <x:v>1</x:v>
      </x:c>
    </x:row>
    <x:row r="631">
      <x:c r="A631" s="9" t="str">
        <x:v>EV-AR-HU-A-B-TECH-4-B2-INT-G0-ST05</x:v>
      </x:c>
      <x:c r="B631" s="9" t="str">
        <x:v>EV-AR-HU-A-B-TECH-4-B2-INT-G0</x:v>
      </x:c>
      <x:c r="C631" s="9" t="str">
        <x:v>EOW-AR-HU-A-B-TECH-4-B2-INT-G0</x:v>
      </x:c>
      <x:c r="D631" s="9" t="str">
        <x:v>AR-HU-A-B-TECH-4-B2-INT-G0</x:v>
      </x:c>
      <x:c r="E631" s="9" t="str">
        <x:v>HU-A-B-TECH-4</x:v>
      </x:c>
      <x:c r="F631" s="9" t="str">
        <x:v>HU-A-B</x:v>
      </x:c>
      <x:c r="G631" s="9" t="str">
        <x:v>B2</x:v>
      </x:c>
      <x:c r="H631" s="9" t="str">
        <x:v>INT</x:v>
      </x:c>
      <x:c r="I631" s="9" t="n">
        <x:v>3</x:v>
      </x:c>
      <x:c r="J631" s="9" t="n">
        <x:v>3</x:v>
      </x:c>
      <x:c r="K631" s="9" t="str">
        <x:v>HU-A-B-N1</x:v>
      </x:c>
      <x:c r="L631" s="9" t="str">
        <x:v>ST05</x:v>
      </x:c>
      <x:c r="M631" s="17" t="str">
        <x:v>Witness capture armed</x:v>
      </x:c>
      <x:c r="N631" s="17" t="str">
        <x:v>unlike witness records independent reference and live time</x:v>
      </x:c>
      <x:c r="O631" s="17" t="str">
        <x:v>Witness metrology</x:v>
      </x:c>
      <x:c r="P631" s="9" t="n">
        <x:v>0</x:v>
      </x:c>
      <x:c r="Q631" s="9" t="n">
        <x:v>0</x:v>
      </x:c>
      <x:c r="R631" s="9" t="str">
        <x:v>OPEN / UNSTARTED</x:v>
      </x:c>
      <x:c r="S631" s="9" t="n">
        <x:f>COUNTIFS($A$7:$A$1446,A631)</x:f>
        <x:v>1</x:v>
      </x:c>
    </x:row>
    <x:row r="632">
      <x:c r="A632" s="9" t="str">
        <x:v>EV-AR-HU-A-B-TECH-4-B2-INT-G0-ST06</x:v>
      </x:c>
      <x:c r="B632" s="9" t="str">
        <x:v>EV-AR-HU-A-B-TECH-4-B2-INT-G0</x:v>
      </x:c>
      <x:c r="C632" s="9" t="str">
        <x:v>EOW-AR-HU-A-B-TECH-4-B2-INT-G0</x:v>
      </x:c>
      <x:c r="D632" s="9" t="str">
        <x:v>AR-HU-A-B-TECH-4-B2-INT-G0</x:v>
      </x:c>
      <x:c r="E632" s="9" t="str">
        <x:v>HU-A-B-TECH-4</x:v>
      </x:c>
      <x:c r="F632" s="9" t="str">
        <x:v>HU-A-B</x:v>
      </x:c>
      <x:c r="G632" s="9" t="str">
        <x:v>B2</x:v>
      </x:c>
      <x:c r="H632" s="9" t="str">
        <x:v>INT</x:v>
      </x:c>
      <x:c r="I632" s="9" t="n">
        <x:v>3</x:v>
      </x:c>
      <x:c r="J632" s="9" t="n">
        <x:v>3</x:v>
      </x:c>
      <x:c r="K632" s="9" t="str">
        <x:v>HU-A-B-N1</x:v>
      </x:c>
      <x:c r="L632" s="9" t="str">
        <x:v>ST06</x:v>
      </x:c>
      <x:c r="M632" s="17" t="str">
        <x:v>Public custody armed</x:v>
      </x:c>
      <x:c r="N632" s="17" t="str">
        <x:v>eight raw origins have separated hash and replica routes</x:v>
      </x:c>
      <x:c r="O632" s="17" t="str">
        <x:v>Custody authority</x:v>
      </x:c>
      <x:c r="P632" s="9" t="n">
        <x:v>0</x:v>
      </x:c>
      <x:c r="Q632" s="9" t="n">
        <x:v>0</x:v>
      </x:c>
      <x:c r="R632" s="9" t="str">
        <x:v>OPEN / UNSTARTED</x:v>
      </x:c>
      <x:c r="S632" s="9" t="n">
        <x:f>COUNTIFS($A$7:$A$1446,A632)</x:f>
        <x:v>1</x:v>
      </x:c>
    </x:row>
    <x:row r="633">
      <x:c r="A633" s="9" t="str">
        <x:v>EV-AR-HU-A-B-TECH-4-B2-INT-G0-ST07</x:v>
      </x:c>
      <x:c r="B633" s="9" t="str">
        <x:v>EV-AR-HU-A-B-TECH-4-B2-INT-G0</x:v>
      </x:c>
      <x:c r="C633" s="9" t="str">
        <x:v>EOW-AR-HU-A-B-TECH-4-B2-INT-G0</x:v>
      </x:c>
      <x:c r="D633" s="9" t="str">
        <x:v>AR-HU-A-B-TECH-4-B2-INT-G0</x:v>
      </x:c>
      <x:c r="E633" s="9" t="str">
        <x:v>HU-A-B-TECH-4</x:v>
      </x:c>
      <x:c r="F633" s="9" t="str">
        <x:v>HU-A-B</x:v>
      </x:c>
      <x:c r="G633" s="9" t="str">
        <x:v>B2</x:v>
      </x:c>
      <x:c r="H633" s="9" t="str">
        <x:v>INT</x:v>
      </x:c>
      <x:c r="I633" s="9" t="n">
        <x:v>3</x:v>
      </x:c>
      <x:c r="J633" s="9" t="n">
        <x:v>3</x:v>
      </x:c>
      <x:c r="K633" s="9" t="str">
        <x:v>HU-A-B-N1</x:v>
      </x:c>
      <x:c r="L633" s="9" t="str">
        <x:v>ST07</x:v>
      </x:c>
      <x:c r="M633" s="17" t="str">
        <x:v>Environmental baseline</x:v>
      </x:c>
      <x:c r="N633" s="17" t="str">
        <x:v>pre-event boundary state is sealed before decisive operation</x:v>
      </x:c>
      <x:c r="O633" s="17" t="str">
        <x:v>Site metrology</x:v>
      </x:c>
      <x:c r="P633" s="9" t="n">
        <x:v>0</x:v>
      </x:c>
      <x:c r="Q633" s="9" t="n">
        <x:v>0</x:v>
      </x:c>
      <x:c r="R633" s="9" t="str">
        <x:v>OPEN / UNSTARTED</x:v>
      </x:c>
      <x:c r="S633" s="9" t="n">
        <x:f>COUNTIFS($A$7:$A$1446,A633)</x:f>
        <x:v>1</x:v>
      </x:c>
    </x:row>
    <x:row r="634">
      <x:c r="A634" s="9" t="str">
        <x:v>EV-AR-HU-A-B-TECH-4-B2-INT-G0-ST08</x:v>
      </x:c>
      <x:c r="B634" s="9" t="str">
        <x:v>EV-AR-HU-A-B-TECH-4-B2-INT-G0</x:v>
      </x:c>
      <x:c r="C634" s="9" t="str">
        <x:v>EOW-AR-HU-A-B-TECH-4-B2-INT-G0</x:v>
      </x:c>
      <x:c r="D634" s="9" t="str">
        <x:v>AR-HU-A-B-TECH-4-B2-INT-G0</x:v>
      </x:c>
      <x:c r="E634" s="9" t="str">
        <x:v>HU-A-B-TECH-4</x:v>
      </x:c>
      <x:c r="F634" s="9" t="str">
        <x:v>HU-A-B</x:v>
      </x:c>
      <x:c r="G634" s="9" t="str">
        <x:v>B2</x:v>
      </x:c>
      <x:c r="H634" s="9" t="str">
        <x:v>INT</x:v>
      </x:c>
      <x:c r="I634" s="9" t="n">
        <x:v>3</x:v>
      </x:c>
      <x:c r="J634" s="9" t="n">
        <x:v>3</x:v>
      </x:c>
      <x:c r="K634" s="9" t="str">
        <x:v>HU-A-B-N1</x:v>
      </x:c>
      <x:c r="L634" s="9" t="str">
        <x:v>ST08</x:v>
      </x:c>
      <x:c r="M634" s="17" t="str">
        <x:v>Manual stop and safety</x:v>
      </x:c>
      <x:c r="N634" s="17" t="str">
        <x:v>local stop, evacuation and protection routes are active</x:v>
      </x:c>
      <x:c r="O634" s="17" t="str">
        <x:v>Safety authority</x:v>
      </x:c>
      <x:c r="P634" s="9" t="n">
        <x:v>0</x:v>
      </x:c>
      <x:c r="Q634" s="9" t="n">
        <x:v>0</x:v>
      </x:c>
      <x:c r="R634" s="9" t="str">
        <x:v>OPEN / UNSTARTED</x:v>
      </x:c>
      <x:c r="S634" s="9" t="n">
        <x:f>COUNTIFS($A$7:$A$1446,A634)</x:f>
        <x:v>1</x:v>
      </x:c>
    </x:row>
    <x:row r="635">
      <x:c r="A635" s="9" t="str">
        <x:v>EV-AR-HU-A-B-TECH-4-B2-INT-G0-ST09</x:v>
      </x:c>
      <x:c r="B635" s="9" t="str">
        <x:v>EV-AR-HU-A-B-TECH-4-B2-INT-G0</x:v>
      </x:c>
      <x:c r="C635" s="9" t="str">
        <x:v>EOW-AR-HU-A-B-TECH-4-B2-INT-G0</x:v>
      </x:c>
      <x:c r="D635" s="9" t="str">
        <x:v>AR-HU-A-B-TECH-4-B2-INT-G0</x:v>
      </x:c>
      <x:c r="E635" s="9" t="str">
        <x:v>HU-A-B-TECH-4</x:v>
      </x:c>
      <x:c r="F635" s="9" t="str">
        <x:v>HU-A-B</x:v>
      </x:c>
      <x:c r="G635" s="9" t="str">
        <x:v>B2</x:v>
      </x:c>
      <x:c r="H635" s="9" t="str">
        <x:v>INT</x:v>
      </x:c>
      <x:c r="I635" s="9" t="n">
        <x:v>3</x:v>
      </x:c>
      <x:c r="J635" s="9" t="n">
        <x:v>3</x:v>
      </x:c>
      <x:c r="K635" s="9" t="str">
        <x:v>HU-A-B-N1</x:v>
      </x:c>
      <x:c r="L635" s="9" t="str">
        <x:v>ST09</x:v>
      </x:c>
      <x:c r="M635" s="17" t="str">
        <x:v>Operator conflict clear</x:v>
      </x:c>
      <x:c r="N635" s="17" t="str">
        <x:v>candidate, fixture, safety and measurement control edges remain separated</x:v>
      </x:c>
      <x:c r="O635" s="17" t="str">
        <x:v>Conflict registrar</x:v>
      </x:c>
      <x:c r="P635" s="9" t="n">
        <x:v>0</x:v>
      </x:c>
      <x:c r="Q635" s="9" t="n">
        <x:v>0</x:v>
      </x:c>
      <x:c r="R635" s="9" t="str">
        <x:v>OPEN / UNSTARTED</x:v>
      </x:c>
      <x:c r="S635" s="9" t="n">
        <x:f>COUNTIFS($A$7:$A$1446,A635)</x:f>
        <x:v>1</x:v>
      </x:c>
    </x:row>
    <x:row r="636">
      <x:c r="A636" s="9" t="str">
        <x:v>EV-AR-HU-A-B-TECH-4-B2-INT-G0-ST10</x:v>
      </x:c>
      <x:c r="B636" s="9" t="str">
        <x:v>EV-AR-HU-A-B-TECH-4-B2-INT-G0</x:v>
      </x:c>
      <x:c r="C636" s="9" t="str">
        <x:v>EOW-AR-HU-A-B-TECH-4-B2-INT-G0</x:v>
      </x:c>
      <x:c r="D636" s="9" t="str">
        <x:v>AR-HU-A-B-TECH-4-B2-INT-G0</x:v>
      </x:c>
      <x:c r="E636" s="9" t="str">
        <x:v>HU-A-B-TECH-4</x:v>
      </x:c>
      <x:c r="F636" s="9" t="str">
        <x:v>HU-A-B</x:v>
      </x:c>
      <x:c r="G636" s="9" t="str">
        <x:v>B2</x:v>
      </x:c>
      <x:c r="H636" s="9" t="str">
        <x:v>INT</x:v>
      </x:c>
      <x:c r="I636" s="9" t="n">
        <x:v>3</x:v>
      </x:c>
      <x:c r="J636" s="9" t="n">
        <x:v>3</x:v>
      </x:c>
      <x:c r="K636" s="9" t="str">
        <x:v>HU-A-B-N1</x:v>
      </x:c>
      <x:c r="L636" s="9" t="str">
        <x:v>ST10</x:v>
      </x:c>
      <x:c r="M636" s="17" t="str">
        <x:v>Window and common clock</x:v>
      </x:c>
      <x:c r="N636" s="17" t="str">
        <x:v>epoch, window and public time origin match the issued warrant</x:v>
      </x:c>
      <x:c r="O636" s="17" t="str">
        <x:v>Event clock authority</x:v>
      </x:c>
      <x:c r="P636" s="9" t="n">
        <x:v>0</x:v>
      </x:c>
      <x:c r="Q636" s="9" t="n">
        <x:v>0</x:v>
      </x:c>
      <x:c r="R636" s="9" t="str">
        <x:v>OPEN / UNSTARTED</x:v>
      </x:c>
      <x:c r="S636" s="9" t="n">
        <x:f>COUNTIFS($A$7:$A$1446,A636)</x:f>
        <x:v>1</x:v>
      </x:c>
    </x:row>
    <x:row r="637">
      <x:c r="A637" s="9" t="str">
        <x:v>EV-AR-LF-B-A-TECH-4-B1-BRK-G0-ST01</x:v>
      </x:c>
      <x:c r="B637" s="9" t="str">
        <x:v>EV-AR-LF-B-A-TECH-4-B1-BRK-G0</x:v>
      </x:c>
      <x:c r="C637" s="9" t="str">
        <x:v>EOW-AR-LF-B-A-TECH-4-B1-BRK-G0</x:v>
      </x:c>
      <x:c r="D637" s="9" t="str">
        <x:v>AR-LF-B-A-TECH-4-B1-BRK-G0</x:v>
      </x:c>
      <x:c r="E637" s="9" t="str">
        <x:v>LF-B-A-TECH-4</x:v>
      </x:c>
      <x:c r="F637" s="9" t="str">
        <x:v>LF-B-A</x:v>
      </x:c>
      <x:c r="G637" s="9" t="str">
        <x:v>B1</x:v>
      </x:c>
      <x:c r="H637" s="9" t="str">
        <x:v>BRK</x:v>
      </x:c>
      <x:c r="I637" s="9" t="n">
        <x:v>3</x:v>
      </x:c>
      <x:c r="J637" s="9" t="n">
        <x:v>3</x:v>
      </x:c>
      <x:c r="K637" s="9" t="str">
        <x:v>LF-B-A-N1</x:v>
      </x:c>
      <x:c r="L637" s="9" t="str">
        <x:v>ST01</x:v>
      </x:c>
      <x:c r="M637" s="17" t="str">
        <x:v>Active opportunity warrant</x:v>
      </x:c>
      <x:c r="N637" s="17" t="str">
        <x:v>configuration-bound EOW is within its thirty-six-hour validity</x:v>
      </x:c>
      <x:c r="O637" s="17" t="str">
        <x:v>Start registrar</x:v>
      </x:c>
      <x:c r="P637" s="9" t="n">
        <x:v>0</x:v>
      </x:c>
      <x:c r="Q637" s="9" t="n">
        <x:v>0</x:v>
      </x:c>
      <x:c r="R637" s="9" t="str">
        <x:v>OPEN / UNSTARTED</x:v>
      </x:c>
      <x:c r="S637" s="9" t="n">
        <x:f>COUNTIFS($A$7:$A$1446,A637)</x:f>
        <x:v>1</x:v>
      </x:c>
    </x:row>
    <x:row r="638">
      <x:c r="A638" s="9" t="str">
        <x:v>EV-AR-LF-B-A-TECH-4-B1-BRK-G0-ST02</x:v>
      </x:c>
      <x:c r="B638" s="9" t="str">
        <x:v>EV-AR-LF-B-A-TECH-4-B1-BRK-G0</x:v>
      </x:c>
      <x:c r="C638" s="9" t="str">
        <x:v>EOW-AR-LF-B-A-TECH-4-B1-BRK-G0</x:v>
      </x:c>
      <x:c r="D638" s="9" t="str">
        <x:v>AR-LF-B-A-TECH-4-B1-BRK-G0</x:v>
      </x:c>
      <x:c r="E638" s="9" t="str">
        <x:v>LF-B-A-TECH-4</x:v>
      </x:c>
      <x:c r="F638" s="9" t="str">
        <x:v>LF-B-A</x:v>
      </x:c>
      <x:c r="G638" s="9" t="str">
        <x:v>B1</x:v>
      </x:c>
      <x:c r="H638" s="9" t="str">
        <x:v>BRK</x:v>
      </x:c>
      <x:c r="I638" s="9" t="n">
        <x:v>3</x:v>
      </x:c>
      <x:c r="J638" s="9" t="n">
        <x:v>3</x:v>
      </x:c>
      <x:c r="K638" s="9" t="str">
        <x:v>LF-B-A-N1</x:v>
      </x:c>
      <x:c r="L638" s="9" t="str">
        <x:v>ST02</x:v>
      </x:c>
      <x:c r="M638" s="17" t="str">
        <x:v>Frozen identity</x:v>
      </x:c>
      <x:c r="N638" s="17" t="str">
        <x:v>serial, generation, fixture, site, receiver and digest match the warrant</x:v>
      </x:c>
      <x:c r="O638" s="17" t="str">
        <x:v>Custody authority</x:v>
      </x:c>
      <x:c r="P638" s="9" t="n">
        <x:v>0</x:v>
      </x:c>
      <x:c r="Q638" s="9" t="n">
        <x:v>0</x:v>
      </x:c>
      <x:c r="R638" s="9" t="str">
        <x:v>OPEN / UNSTARTED</x:v>
      </x:c>
      <x:c r="S638" s="9" t="n">
        <x:f>COUNTIFS($A$7:$A$1446,A638)</x:f>
        <x:v>1</x:v>
      </x:c>
    </x:row>
    <x:row r="639">
      <x:c r="A639" s="9" t="str">
        <x:v>EV-AR-LF-B-A-TECH-4-B1-BRK-G0-ST03</x:v>
      </x:c>
      <x:c r="B639" s="9" t="str">
        <x:v>EV-AR-LF-B-A-TECH-4-B1-BRK-G0</x:v>
      </x:c>
      <x:c r="C639" s="9" t="str">
        <x:v>EOW-AR-LF-B-A-TECH-4-B1-BRK-G0</x:v>
      </x:c>
      <x:c r="D639" s="9" t="str">
        <x:v>AR-LF-B-A-TECH-4-B1-BRK-G0</x:v>
      </x:c>
      <x:c r="E639" s="9" t="str">
        <x:v>LF-B-A-TECH-4</x:v>
      </x:c>
      <x:c r="F639" s="9" t="str">
        <x:v>LF-B-A</x:v>
      </x:c>
      <x:c r="G639" s="9" t="str">
        <x:v>B1</x:v>
      </x:c>
      <x:c r="H639" s="9" t="str">
        <x:v>BRK</x:v>
      </x:c>
      <x:c r="I639" s="9" t="n">
        <x:v>3</x:v>
      </x:c>
      <x:c r="J639" s="9" t="n">
        <x:v>3</x:v>
      </x:c>
      <x:c r="K639" s="9" t="str">
        <x:v>LF-B-A-N1</x:v>
      </x:c>
      <x:c r="L639" s="9" t="str">
        <x:v>ST03</x:v>
      </x:c>
      <x:c r="M639" s="17" t="str">
        <x:v>Receiver receipt</x:v>
      </x:c>
      <x:c r="N639" s="17" t="str">
        <x:v>denominator, counterfactual, rights and stop receipt remain unchanged</x:v>
      </x:c>
      <x:c r="O639" s="17" t="str">
        <x:v>Receiver authority</x:v>
      </x:c>
      <x:c r="P639" s="9" t="n">
        <x:v>0</x:v>
      </x:c>
      <x:c r="Q639" s="9" t="n">
        <x:v>0</x:v>
      </x:c>
      <x:c r="R639" s="9" t="str">
        <x:v>OPEN / UNSTARTED</x:v>
      </x:c>
      <x:c r="S639" s="9" t="n">
        <x:f>COUNTIFS($A$7:$A$1446,A639)</x:f>
        <x:v>1</x:v>
      </x:c>
    </x:row>
    <x:row r="640">
      <x:c r="A640" s="9" t="str">
        <x:v>EV-AR-LF-B-A-TECH-4-B1-BRK-G0-ST04</x:v>
      </x:c>
      <x:c r="B640" s="9" t="str">
        <x:v>EV-AR-LF-B-A-TECH-4-B1-BRK-G0</x:v>
      </x:c>
      <x:c r="C640" s="9" t="str">
        <x:v>EOW-AR-LF-B-A-TECH-4-B1-BRK-G0</x:v>
      </x:c>
      <x:c r="D640" s="9" t="str">
        <x:v>AR-LF-B-A-TECH-4-B1-BRK-G0</x:v>
      </x:c>
      <x:c r="E640" s="9" t="str">
        <x:v>LF-B-A-TECH-4</x:v>
      </x:c>
      <x:c r="F640" s="9" t="str">
        <x:v>LF-B-A</x:v>
      </x:c>
      <x:c r="G640" s="9" t="str">
        <x:v>B1</x:v>
      </x:c>
      <x:c r="H640" s="9" t="str">
        <x:v>BRK</x:v>
      </x:c>
      <x:c r="I640" s="9" t="n">
        <x:v>3</x:v>
      </x:c>
      <x:c r="J640" s="9" t="n">
        <x:v>3</x:v>
      </x:c>
      <x:c r="K640" s="9" t="str">
        <x:v>LF-B-A-N1</x:v>
      </x:c>
      <x:c r="L640" s="9" t="str">
        <x:v>ST04</x:v>
      </x:c>
      <x:c r="M640" s="17" t="str">
        <x:v>Primary capture armed</x:v>
      </x:c>
      <x:c r="N640" s="17" t="str">
        <x:v>primary chain records sealed reference and live time</x:v>
      </x:c>
      <x:c r="O640" s="17" t="str">
        <x:v>Primary metrology</x:v>
      </x:c>
      <x:c r="P640" s="9" t="n">
        <x:v>0</x:v>
      </x:c>
      <x:c r="Q640" s="9" t="n">
        <x:v>0</x:v>
      </x:c>
      <x:c r="R640" s="9" t="str">
        <x:v>OPEN / UNSTARTED</x:v>
      </x:c>
      <x:c r="S640" s="9" t="n">
        <x:f>COUNTIFS($A$7:$A$1446,A640)</x:f>
        <x:v>1</x:v>
      </x:c>
    </x:row>
    <x:row r="641">
      <x:c r="A641" s="9" t="str">
        <x:v>EV-AR-LF-B-A-TECH-4-B1-BRK-G0-ST05</x:v>
      </x:c>
      <x:c r="B641" s="9" t="str">
        <x:v>EV-AR-LF-B-A-TECH-4-B1-BRK-G0</x:v>
      </x:c>
      <x:c r="C641" s="9" t="str">
        <x:v>EOW-AR-LF-B-A-TECH-4-B1-BRK-G0</x:v>
      </x:c>
      <x:c r="D641" s="9" t="str">
        <x:v>AR-LF-B-A-TECH-4-B1-BRK-G0</x:v>
      </x:c>
      <x:c r="E641" s="9" t="str">
        <x:v>LF-B-A-TECH-4</x:v>
      </x:c>
      <x:c r="F641" s="9" t="str">
        <x:v>LF-B-A</x:v>
      </x:c>
      <x:c r="G641" s="9" t="str">
        <x:v>B1</x:v>
      </x:c>
      <x:c r="H641" s="9" t="str">
        <x:v>BRK</x:v>
      </x:c>
      <x:c r="I641" s="9" t="n">
        <x:v>3</x:v>
      </x:c>
      <x:c r="J641" s="9" t="n">
        <x:v>3</x:v>
      </x:c>
      <x:c r="K641" s="9" t="str">
        <x:v>LF-B-A-N1</x:v>
      </x:c>
      <x:c r="L641" s="9" t="str">
        <x:v>ST05</x:v>
      </x:c>
      <x:c r="M641" s="17" t="str">
        <x:v>Witness capture armed</x:v>
      </x:c>
      <x:c r="N641" s="17" t="str">
        <x:v>unlike witness records independent reference and live time</x:v>
      </x:c>
      <x:c r="O641" s="17" t="str">
        <x:v>Witness metrology</x:v>
      </x:c>
      <x:c r="P641" s="9" t="n">
        <x:v>0</x:v>
      </x:c>
      <x:c r="Q641" s="9" t="n">
        <x:v>0</x:v>
      </x:c>
      <x:c r="R641" s="9" t="str">
        <x:v>OPEN / UNSTARTED</x:v>
      </x:c>
      <x:c r="S641" s="9" t="n">
        <x:f>COUNTIFS($A$7:$A$1446,A641)</x:f>
        <x:v>1</x:v>
      </x:c>
    </x:row>
    <x:row r="642">
      <x:c r="A642" s="9" t="str">
        <x:v>EV-AR-LF-B-A-TECH-4-B1-BRK-G0-ST06</x:v>
      </x:c>
      <x:c r="B642" s="9" t="str">
        <x:v>EV-AR-LF-B-A-TECH-4-B1-BRK-G0</x:v>
      </x:c>
      <x:c r="C642" s="9" t="str">
        <x:v>EOW-AR-LF-B-A-TECH-4-B1-BRK-G0</x:v>
      </x:c>
      <x:c r="D642" s="9" t="str">
        <x:v>AR-LF-B-A-TECH-4-B1-BRK-G0</x:v>
      </x:c>
      <x:c r="E642" s="9" t="str">
        <x:v>LF-B-A-TECH-4</x:v>
      </x:c>
      <x:c r="F642" s="9" t="str">
        <x:v>LF-B-A</x:v>
      </x:c>
      <x:c r="G642" s="9" t="str">
        <x:v>B1</x:v>
      </x:c>
      <x:c r="H642" s="9" t="str">
        <x:v>BRK</x:v>
      </x:c>
      <x:c r="I642" s="9" t="n">
        <x:v>3</x:v>
      </x:c>
      <x:c r="J642" s="9" t="n">
        <x:v>3</x:v>
      </x:c>
      <x:c r="K642" s="9" t="str">
        <x:v>LF-B-A-N1</x:v>
      </x:c>
      <x:c r="L642" s="9" t="str">
        <x:v>ST06</x:v>
      </x:c>
      <x:c r="M642" s="17" t="str">
        <x:v>Public custody armed</x:v>
      </x:c>
      <x:c r="N642" s="17" t="str">
        <x:v>eight raw origins have separated hash and replica routes</x:v>
      </x:c>
      <x:c r="O642" s="17" t="str">
        <x:v>Custody authority</x:v>
      </x:c>
      <x:c r="P642" s="9" t="n">
        <x:v>0</x:v>
      </x:c>
      <x:c r="Q642" s="9" t="n">
        <x:v>0</x:v>
      </x:c>
      <x:c r="R642" s="9" t="str">
        <x:v>OPEN / UNSTARTED</x:v>
      </x:c>
      <x:c r="S642" s="9" t="n">
        <x:f>COUNTIFS($A$7:$A$1446,A642)</x:f>
        <x:v>1</x:v>
      </x:c>
    </x:row>
    <x:row r="643">
      <x:c r="A643" s="9" t="str">
        <x:v>EV-AR-LF-B-A-TECH-4-B1-BRK-G0-ST07</x:v>
      </x:c>
      <x:c r="B643" s="9" t="str">
        <x:v>EV-AR-LF-B-A-TECH-4-B1-BRK-G0</x:v>
      </x:c>
      <x:c r="C643" s="9" t="str">
        <x:v>EOW-AR-LF-B-A-TECH-4-B1-BRK-G0</x:v>
      </x:c>
      <x:c r="D643" s="9" t="str">
        <x:v>AR-LF-B-A-TECH-4-B1-BRK-G0</x:v>
      </x:c>
      <x:c r="E643" s="9" t="str">
        <x:v>LF-B-A-TECH-4</x:v>
      </x:c>
      <x:c r="F643" s="9" t="str">
        <x:v>LF-B-A</x:v>
      </x:c>
      <x:c r="G643" s="9" t="str">
        <x:v>B1</x:v>
      </x:c>
      <x:c r="H643" s="9" t="str">
        <x:v>BRK</x:v>
      </x:c>
      <x:c r="I643" s="9" t="n">
        <x:v>3</x:v>
      </x:c>
      <x:c r="J643" s="9" t="n">
        <x:v>3</x:v>
      </x:c>
      <x:c r="K643" s="9" t="str">
        <x:v>LF-B-A-N1</x:v>
      </x:c>
      <x:c r="L643" s="9" t="str">
        <x:v>ST07</x:v>
      </x:c>
      <x:c r="M643" s="17" t="str">
        <x:v>Environmental baseline</x:v>
      </x:c>
      <x:c r="N643" s="17" t="str">
        <x:v>pre-event boundary state is sealed before decisive operation</x:v>
      </x:c>
      <x:c r="O643" s="17" t="str">
        <x:v>Site metrology</x:v>
      </x:c>
      <x:c r="P643" s="9" t="n">
        <x:v>0</x:v>
      </x:c>
      <x:c r="Q643" s="9" t="n">
        <x:v>0</x:v>
      </x:c>
      <x:c r="R643" s="9" t="str">
        <x:v>OPEN / UNSTARTED</x:v>
      </x:c>
      <x:c r="S643" s="9" t="n">
        <x:f>COUNTIFS($A$7:$A$1446,A643)</x:f>
        <x:v>1</x:v>
      </x:c>
    </x:row>
    <x:row r="644">
      <x:c r="A644" s="9" t="str">
        <x:v>EV-AR-LF-B-A-TECH-4-B1-BRK-G0-ST08</x:v>
      </x:c>
      <x:c r="B644" s="9" t="str">
        <x:v>EV-AR-LF-B-A-TECH-4-B1-BRK-G0</x:v>
      </x:c>
      <x:c r="C644" s="9" t="str">
        <x:v>EOW-AR-LF-B-A-TECH-4-B1-BRK-G0</x:v>
      </x:c>
      <x:c r="D644" s="9" t="str">
        <x:v>AR-LF-B-A-TECH-4-B1-BRK-G0</x:v>
      </x:c>
      <x:c r="E644" s="9" t="str">
        <x:v>LF-B-A-TECH-4</x:v>
      </x:c>
      <x:c r="F644" s="9" t="str">
        <x:v>LF-B-A</x:v>
      </x:c>
      <x:c r="G644" s="9" t="str">
        <x:v>B1</x:v>
      </x:c>
      <x:c r="H644" s="9" t="str">
        <x:v>BRK</x:v>
      </x:c>
      <x:c r="I644" s="9" t="n">
        <x:v>3</x:v>
      </x:c>
      <x:c r="J644" s="9" t="n">
        <x:v>3</x:v>
      </x:c>
      <x:c r="K644" s="9" t="str">
        <x:v>LF-B-A-N1</x:v>
      </x:c>
      <x:c r="L644" s="9" t="str">
        <x:v>ST08</x:v>
      </x:c>
      <x:c r="M644" s="17" t="str">
        <x:v>Manual stop and safety</x:v>
      </x:c>
      <x:c r="N644" s="17" t="str">
        <x:v>local stop, evacuation and protection routes are active</x:v>
      </x:c>
      <x:c r="O644" s="17" t="str">
        <x:v>Safety authority</x:v>
      </x:c>
      <x:c r="P644" s="9" t="n">
        <x:v>0</x:v>
      </x:c>
      <x:c r="Q644" s="9" t="n">
        <x:v>0</x:v>
      </x:c>
      <x:c r="R644" s="9" t="str">
        <x:v>OPEN / UNSTARTED</x:v>
      </x:c>
      <x:c r="S644" s="9" t="n">
        <x:f>COUNTIFS($A$7:$A$1446,A644)</x:f>
        <x:v>1</x:v>
      </x:c>
    </x:row>
    <x:row r="645">
      <x:c r="A645" s="9" t="str">
        <x:v>EV-AR-LF-B-A-TECH-4-B1-BRK-G0-ST09</x:v>
      </x:c>
      <x:c r="B645" s="9" t="str">
        <x:v>EV-AR-LF-B-A-TECH-4-B1-BRK-G0</x:v>
      </x:c>
      <x:c r="C645" s="9" t="str">
        <x:v>EOW-AR-LF-B-A-TECH-4-B1-BRK-G0</x:v>
      </x:c>
      <x:c r="D645" s="9" t="str">
        <x:v>AR-LF-B-A-TECH-4-B1-BRK-G0</x:v>
      </x:c>
      <x:c r="E645" s="9" t="str">
        <x:v>LF-B-A-TECH-4</x:v>
      </x:c>
      <x:c r="F645" s="9" t="str">
        <x:v>LF-B-A</x:v>
      </x:c>
      <x:c r="G645" s="9" t="str">
        <x:v>B1</x:v>
      </x:c>
      <x:c r="H645" s="9" t="str">
        <x:v>BRK</x:v>
      </x:c>
      <x:c r="I645" s="9" t="n">
        <x:v>3</x:v>
      </x:c>
      <x:c r="J645" s="9" t="n">
        <x:v>3</x:v>
      </x:c>
      <x:c r="K645" s="9" t="str">
        <x:v>LF-B-A-N1</x:v>
      </x:c>
      <x:c r="L645" s="9" t="str">
        <x:v>ST09</x:v>
      </x:c>
      <x:c r="M645" s="17" t="str">
        <x:v>Operator conflict clear</x:v>
      </x:c>
      <x:c r="N645" s="17" t="str">
        <x:v>candidate, fixture, safety and measurement control edges remain separated</x:v>
      </x:c>
      <x:c r="O645" s="17" t="str">
        <x:v>Conflict registrar</x:v>
      </x:c>
      <x:c r="P645" s="9" t="n">
        <x:v>0</x:v>
      </x:c>
      <x:c r="Q645" s="9" t="n">
        <x:v>0</x:v>
      </x:c>
      <x:c r="R645" s="9" t="str">
        <x:v>OPEN / UNSTARTED</x:v>
      </x:c>
      <x:c r="S645" s="9" t="n">
        <x:f>COUNTIFS($A$7:$A$1446,A645)</x:f>
        <x:v>1</x:v>
      </x:c>
    </x:row>
    <x:row r="646">
      <x:c r="A646" s="9" t="str">
        <x:v>EV-AR-LF-B-A-TECH-4-B1-BRK-G0-ST10</x:v>
      </x:c>
      <x:c r="B646" s="9" t="str">
        <x:v>EV-AR-LF-B-A-TECH-4-B1-BRK-G0</x:v>
      </x:c>
      <x:c r="C646" s="9" t="str">
        <x:v>EOW-AR-LF-B-A-TECH-4-B1-BRK-G0</x:v>
      </x:c>
      <x:c r="D646" s="9" t="str">
        <x:v>AR-LF-B-A-TECH-4-B1-BRK-G0</x:v>
      </x:c>
      <x:c r="E646" s="9" t="str">
        <x:v>LF-B-A-TECH-4</x:v>
      </x:c>
      <x:c r="F646" s="9" t="str">
        <x:v>LF-B-A</x:v>
      </x:c>
      <x:c r="G646" s="9" t="str">
        <x:v>B1</x:v>
      </x:c>
      <x:c r="H646" s="9" t="str">
        <x:v>BRK</x:v>
      </x:c>
      <x:c r="I646" s="9" t="n">
        <x:v>3</x:v>
      </x:c>
      <x:c r="J646" s="9" t="n">
        <x:v>3</x:v>
      </x:c>
      <x:c r="K646" s="9" t="str">
        <x:v>LF-B-A-N1</x:v>
      </x:c>
      <x:c r="L646" s="9" t="str">
        <x:v>ST10</x:v>
      </x:c>
      <x:c r="M646" s="17" t="str">
        <x:v>Window and common clock</x:v>
      </x:c>
      <x:c r="N646" s="17" t="str">
        <x:v>epoch, window and public time origin match the issued warrant</x:v>
      </x:c>
      <x:c r="O646" s="17" t="str">
        <x:v>Event clock authority</x:v>
      </x:c>
      <x:c r="P646" s="9" t="n">
        <x:v>0</x:v>
      </x:c>
      <x:c r="Q646" s="9" t="n">
        <x:v>0</x:v>
      </x:c>
      <x:c r="R646" s="9" t="str">
        <x:v>OPEN / UNSTARTED</x:v>
      </x:c>
      <x:c r="S646" s="9" t="n">
        <x:f>COUNTIFS($A$7:$A$1446,A646)</x:f>
        <x:v>1</x:v>
      </x:c>
    </x:row>
    <x:row r="647">
      <x:c r="A647" s="9" t="str">
        <x:v>EV-AR-LF-B-A-TECH-3-B2-BRK-G0-ST01</x:v>
      </x:c>
      <x:c r="B647" s="9" t="str">
        <x:v>EV-AR-LF-B-A-TECH-3-B2-BRK-G0</x:v>
      </x:c>
      <x:c r="C647" s="9" t="str">
        <x:v>EOW-AR-LF-B-A-TECH-3-B2-BRK-G0</x:v>
      </x:c>
      <x:c r="D647" s="9" t="str">
        <x:v>AR-LF-B-A-TECH-3-B2-BRK-G0</x:v>
      </x:c>
      <x:c r="E647" s="9" t="str">
        <x:v>LF-B-A-TECH-3</x:v>
      </x:c>
      <x:c r="F647" s="9" t="str">
        <x:v>LF-B-A</x:v>
      </x:c>
      <x:c r="G647" s="9" t="str">
        <x:v>B2</x:v>
      </x:c>
      <x:c r="H647" s="9" t="str">
        <x:v>BRK</x:v>
      </x:c>
      <x:c r="I647" s="9" t="n">
        <x:v>3</x:v>
      </x:c>
      <x:c r="J647" s="9" t="n">
        <x:v>3</x:v>
      </x:c>
      <x:c r="K647" s="9" t="str">
        <x:v>LF-B-A-N3</x:v>
      </x:c>
      <x:c r="L647" s="9" t="str">
        <x:v>ST01</x:v>
      </x:c>
      <x:c r="M647" s="17" t="str">
        <x:v>Active opportunity warrant</x:v>
      </x:c>
      <x:c r="N647" s="17" t="str">
        <x:v>configuration-bound EOW is within its thirty-six-hour validity</x:v>
      </x:c>
      <x:c r="O647" s="17" t="str">
        <x:v>Start registrar</x:v>
      </x:c>
      <x:c r="P647" s="9" t="n">
        <x:v>0</x:v>
      </x:c>
      <x:c r="Q647" s="9" t="n">
        <x:v>0</x:v>
      </x:c>
      <x:c r="R647" s="9" t="str">
        <x:v>OPEN / UNSTARTED</x:v>
      </x:c>
      <x:c r="S647" s="9" t="n">
        <x:f>COUNTIFS($A$7:$A$1446,A647)</x:f>
        <x:v>1</x:v>
      </x:c>
    </x:row>
    <x:row r="648">
      <x:c r="A648" s="9" t="str">
        <x:v>EV-AR-LF-B-A-TECH-3-B2-BRK-G0-ST02</x:v>
      </x:c>
      <x:c r="B648" s="9" t="str">
        <x:v>EV-AR-LF-B-A-TECH-3-B2-BRK-G0</x:v>
      </x:c>
      <x:c r="C648" s="9" t="str">
        <x:v>EOW-AR-LF-B-A-TECH-3-B2-BRK-G0</x:v>
      </x:c>
      <x:c r="D648" s="9" t="str">
        <x:v>AR-LF-B-A-TECH-3-B2-BRK-G0</x:v>
      </x:c>
      <x:c r="E648" s="9" t="str">
        <x:v>LF-B-A-TECH-3</x:v>
      </x:c>
      <x:c r="F648" s="9" t="str">
        <x:v>LF-B-A</x:v>
      </x:c>
      <x:c r="G648" s="9" t="str">
        <x:v>B2</x:v>
      </x:c>
      <x:c r="H648" s="9" t="str">
        <x:v>BRK</x:v>
      </x:c>
      <x:c r="I648" s="9" t="n">
        <x:v>3</x:v>
      </x:c>
      <x:c r="J648" s="9" t="n">
        <x:v>3</x:v>
      </x:c>
      <x:c r="K648" s="9" t="str">
        <x:v>LF-B-A-N3</x:v>
      </x:c>
      <x:c r="L648" s="9" t="str">
        <x:v>ST02</x:v>
      </x:c>
      <x:c r="M648" s="17" t="str">
        <x:v>Frozen identity</x:v>
      </x:c>
      <x:c r="N648" s="17" t="str">
        <x:v>serial, generation, fixture, site, receiver and digest match the warrant</x:v>
      </x:c>
      <x:c r="O648" s="17" t="str">
        <x:v>Custody authority</x:v>
      </x:c>
      <x:c r="P648" s="9" t="n">
        <x:v>0</x:v>
      </x:c>
      <x:c r="Q648" s="9" t="n">
        <x:v>0</x:v>
      </x:c>
      <x:c r="R648" s="9" t="str">
        <x:v>OPEN / UNSTARTED</x:v>
      </x:c>
      <x:c r="S648" s="9" t="n">
        <x:f>COUNTIFS($A$7:$A$1446,A648)</x:f>
        <x:v>1</x:v>
      </x:c>
    </x:row>
    <x:row r="649">
      <x:c r="A649" s="9" t="str">
        <x:v>EV-AR-LF-B-A-TECH-3-B2-BRK-G0-ST03</x:v>
      </x:c>
      <x:c r="B649" s="9" t="str">
        <x:v>EV-AR-LF-B-A-TECH-3-B2-BRK-G0</x:v>
      </x:c>
      <x:c r="C649" s="9" t="str">
        <x:v>EOW-AR-LF-B-A-TECH-3-B2-BRK-G0</x:v>
      </x:c>
      <x:c r="D649" s="9" t="str">
        <x:v>AR-LF-B-A-TECH-3-B2-BRK-G0</x:v>
      </x:c>
      <x:c r="E649" s="9" t="str">
        <x:v>LF-B-A-TECH-3</x:v>
      </x:c>
      <x:c r="F649" s="9" t="str">
        <x:v>LF-B-A</x:v>
      </x:c>
      <x:c r="G649" s="9" t="str">
        <x:v>B2</x:v>
      </x:c>
      <x:c r="H649" s="9" t="str">
        <x:v>BRK</x:v>
      </x:c>
      <x:c r="I649" s="9" t="n">
        <x:v>3</x:v>
      </x:c>
      <x:c r="J649" s="9" t="n">
        <x:v>3</x:v>
      </x:c>
      <x:c r="K649" s="9" t="str">
        <x:v>LF-B-A-N3</x:v>
      </x:c>
      <x:c r="L649" s="9" t="str">
        <x:v>ST03</x:v>
      </x:c>
      <x:c r="M649" s="17" t="str">
        <x:v>Receiver receipt</x:v>
      </x:c>
      <x:c r="N649" s="17" t="str">
        <x:v>denominator, counterfactual, rights and stop receipt remain unchanged</x:v>
      </x:c>
      <x:c r="O649" s="17" t="str">
        <x:v>Receiver authority</x:v>
      </x:c>
      <x:c r="P649" s="9" t="n">
        <x:v>0</x:v>
      </x:c>
      <x:c r="Q649" s="9" t="n">
        <x:v>0</x:v>
      </x:c>
      <x:c r="R649" s="9" t="str">
        <x:v>OPEN / UNSTARTED</x:v>
      </x:c>
      <x:c r="S649" s="9" t="n">
        <x:f>COUNTIFS($A$7:$A$1446,A649)</x:f>
        <x:v>1</x:v>
      </x:c>
    </x:row>
    <x:row r="650">
      <x:c r="A650" s="9" t="str">
        <x:v>EV-AR-LF-B-A-TECH-3-B2-BRK-G0-ST04</x:v>
      </x:c>
      <x:c r="B650" s="9" t="str">
        <x:v>EV-AR-LF-B-A-TECH-3-B2-BRK-G0</x:v>
      </x:c>
      <x:c r="C650" s="9" t="str">
        <x:v>EOW-AR-LF-B-A-TECH-3-B2-BRK-G0</x:v>
      </x:c>
      <x:c r="D650" s="9" t="str">
        <x:v>AR-LF-B-A-TECH-3-B2-BRK-G0</x:v>
      </x:c>
      <x:c r="E650" s="9" t="str">
        <x:v>LF-B-A-TECH-3</x:v>
      </x:c>
      <x:c r="F650" s="9" t="str">
        <x:v>LF-B-A</x:v>
      </x:c>
      <x:c r="G650" s="9" t="str">
        <x:v>B2</x:v>
      </x:c>
      <x:c r="H650" s="9" t="str">
        <x:v>BRK</x:v>
      </x:c>
      <x:c r="I650" s="9" t="n">
        <x:v>3</x:v>
      </x:c>
      <x:c r="J650" s="9" t="n">
        <x:v>3</x:v>
      </x:c>
      <x:c r="K650" s="9" t="str">
        <x:v>LF-B-A-N3</x:v>
      </x:c>
      <x:c r="L650" s="9" t="str">
        <x:v>ST04</x:v>
      </x:c>
      <x:c r="M650" s="17" t="str">
        <x:v>Primary capture armed</x:v>
      </x:c>
      <x:c r="N650" s="17" t="str">
        <x:v>primary chain records sealed reference and live time</x:v>
      </x:c>
      <x:c r="O650" s="17" t="str">
        <x:v>Primary metrology</x:v>
      </x:c>
      <x:c r="P650" s="9" t="n">
        <x:v>0</x:v>
      </x:c>
      <x:c r="Q650" s="9" t="n">
        <x:v>0</x:v>
      </x:c>
      <x:c r="R650" s="9" t="str">
        <x:v>OPEN / UNSTARTED</x:v>
      </x:c>
      <x:c r="S650" s="9" t="n">
        <x:f>COUNTIFS($A$7:$A$1446,A650)</x:f>
        <x:v>1</x:v>
      </x:c>
    </x:row>
    <x:row r="651">
      <x:c r="A651" s="9" t="str">
        <x:v>EV-AR-LF-B-A-TECH-3-B2-BRK-G0-ST05</x:v>
      </x:c>
      <x:c r="B651" s="9" t="str">
        <x:v>EV-AR-LF-B-A-TECH-3-B2-BRK-G0</x:v>
      </x:c>
      <x:c r="C651" s="9" t="str">
        <x:v>EOW-AR-LF-B-A-TECH-3-B2-BRK-G0</x:v>
      </x:c>
      <x:c r="D651" s="9" t="str">
        <x:v>AR-LF-B-A-TECH-3-B2-BRK-G0</x:v>
      </x:c>
      <x:c r="E651" s="9" t="str">
        <x:v>LF-B-A-TECH-3</x:v>
      </x:c>
      <x:c r="F651" s="9" t="str">
        <x:v>LF-B-A</x:v>
      </x:c>
      <x:c r="G651" s="9" t="str">
        <x:v>B2</x:v>
      </x:c>
      <x:c r="H651" s="9" t="str">
        <x:v>BRK</x:v>
      </x:c>
      <x:c r="I651" s="9" t="n">
        <x:v>3</x:v>
      </x:c>
      <x:c r="J651" s="9" t="n">
        <x:v>3</x:v>
      </x:c>
      <x:c r="K651" s="9" t="str">
        <x:v>LF-B-A-N3</x:v>
      </x:c>
      <x:c r="L651" s="9" t="str">
        <x:v>ST05</x:v>
      </x:c>
      <x:c r="M651" s="17" t="str">
        <x:v>Witness capture armed</x:v>
      </x:c>
      <x:c r="N651" s="17" t="str">
        <x:v>unlike witness records independent reference and live time</x:v>
      </x:c>
      <x:c r="O651" s="17" t="str">
        <x:v>Witness metrology</x:v>
      </x:c>
      <x:c r="P651" s="9" t="n">
        <x:v>0</x:v>
      </x:c>
      <x:c r="Q651" s="9" t="n">
        <x:v>0</x:v>
      </x:c>
      <x:c r="R651" s="9" t="str">
        <x:v>OPEN / UNSTARTED</x:v>
      </x:c>
      <x:c r="S651" s="9" t="n">
        <x:f>COUNTIFS($A$7:$A$1446,A651)</x:f>
        <x:v>1</x:v>
      </x:c>
    </x:row>
    <x:row r="652">
      <x:c r="A652" s="9" t="str">
        <x:v>EV-AR-LF-B-A-TECH-3-B2-BRK-G0-ST06</x:v>
      </x:c>
      <x:c r="B652" s="9" t="str">
        <x:v>EV-AR-LF-B-A-TECH-3-B2-BRK-G0</x:v>
      </x:c>
      <x:c r="C652" s="9" t="str">
        <x:v>EOW-AR-LF-B-A-TECH-3-B2-BRK-G0</x:v>
      </x:c>
      <x:c r="D652" s="9" t="str">
        <x:v>AR-LF-B-A-TECH-3-B2-BRK-G0</x:v>
      </x:c>
      <x:c r="E652" s="9" t="str">
        <x:v>LF-B-A-TECH-3</x:v>
      </x:c>
      <x:c r="F652" s="9" t="str">
        <x:v>LF-B-A</x:v>
      </x:c>
      <x:c r="G652" s="9" t="str">
        <x:v>B2</x:v>
      </x:c>
      <x:c r="H652" s="9" t="str">
        <x:v>BRK</x:v>
      </x:c>
      <x:c r="I652" s="9" t="n">
        <x:v>3</x:v>
      </x:c>
      <x:c r="J652" s="9" t="n">
        <x:v>3</x:v>
      </x:c>
      <x:c r="K652" s="9" t="str">
        <x:v>LF-B-A-N3</x:v>
      </x:c>
      <x:c r="L652" s="9" t="str">
        <x:v>ST06</x:v>
      </x:c>
      <x:c r="M652" s="17" t="str">
        <x:v>Public custody armed</x:v>
      </x:c>
      <x:c r="N652" s="17" t="str">
        <x:v>eight raw origins have separated hash and replica routes</x:v>
      </x:c>
      <x:c r="O652" s="17" t="str">
        <x:v>Custody authority</x:v>
      </x:c>
      <x:c r="P652" s="9" t="n">
        <x:v>0</x:v>
      </x:c>
      <x:c r="Q652" s="9" t="n">
        <x:v>0</x:v>
      </x:c>
      <x:c r="R652" s="9" t="str">
        <x:v>OPEN / UNSTARTED</x:v>
      </x:c>
      <x:c r="S652" s="9" t="n">
        <x:f>COUNTIFS($A$7:$A$1446,A652)</x:f>
        <x:v>1</x:v>
      </x:c>
    </x:row>
    <x:row r="653">
      <x:c r="A653" s="9" t="str">
        <x:v>EV-AR-LF-B-A-TECH-3-B2-BRK-G0-ST07</x:v>
      </x:c>
      <x:c r="B653" s="9" t="str">
        <x:v>EV-AR-LF-B-A-TECH-3-B2-BRK-G0</x:v>
      </x:c>
      <x:c r="C653" s="9" t="str">
        <x:v>EOW-AR-LF-B-A-TECH-3-B2-BRK-G0</x:v>
      </x:c>
      <x:c r="D653" s="9" t="str">
        <x:v>AR-LF-B-A-TECH-3-B2-BRK-G0</x:v>
      </x:c>
      <x:c r="E653" s="9" t="str">
        <x:v>LF-B-A-TECH-3</x:v>
      </x:c>
      <x:c r="F653" s="9" t="str">
        <x:v>LF-B-A</x:v>
      </x:c>
      <x:c r="G653" s="9" t="str">
        <x:v>B2</x:v>
      </x:c>
      <x:c r="H653" s="9" t="str">
        <x:v>BRK</x:v>
      </x:c>
      <x:c r="I653" s="9" t="n">
        <x:v>3</x:v>
      </x:c>
      <x:c r="J653" s="9" t="n">
        <x:v>3</x:v>
      </x:c>
      <x:c r="K653" s="9" t="str">
        <x:v>LF-B-A-N3</x:v>
      </x:c>
      <x:c r="L653" s="9" t="str">
        <x:v>ST07</x:v>
      </x:c>
      <x:c r="M653" s="17" t="str">
        <x:v>Environmental baseline</x:v>
      </x:c>
      <x:c r="N653" s="17" t="str">
        <x:v>pre-event boundary state is sealed before decisive operation</x:v>
      </x:c>
      <x:c r="O653" s="17" t="str">
        <x:v>Site metrology</x:v>
      </x:c>
      <x:c r="P653" s="9" t="n">
        <x:v>0</x:v>
      </x:c>
      <x:c r="Q653" s="9" t="n">
        <x:v>0</x:v>
      </x:c>
      <x:c r="R653" s="9" t="str">
        <x:v>OPEN / UNSTARTED</x:v>
      </x:c>
      <x:c r="S653" s="9" t="n">
        <x:f>COUNTIFS($A$7:$A$1446,A653)</x:f>
        <x:v>1</x:v>
      </x:c>
    </x:row>
    <x:row r="654">
      <x:c r="A654" s="9" t="str">
        <x:v>EV-AR-LF-B-A-TECH-3-B2-BRK-G0-ST08</x:v>
      </x:c>
      <x:c r="B654" s="9" t="str">
        <x:v>EV-AR-LF-B-A-TECH-3-B2-BRK-G0</x:v>
      </x:c>
      <x:c r="C654" s="9" t="str">
        <x:v>EOW-AR-LF-B-A-TECH-3-B2-BRK-G0</x:v>
      </x:c>
      <x:c r="D654" s="9" t="str">
        <x:v>AR-LF-B-A-TECH-3-B2-BRK-G0</x:v>
      </x:c>
      <x:c r="E654" s="9" t="str">
        <x:v>LF-B-A-TECH-3</x:v>
      </x:c>
      <x:c r="F654" s="9" t="str">
        <x:v>LF-B-A</x:v>
      </x:c>
      <x:c r="G654" s="9" t="str">
        <x:v>B2</x:v>
      </x:c>
      <x:c r="H654" s="9" t="str">
        <x:v>BRK</x:v>
      </x:c>
      <x:c r="I654" s="9" t="n">
        <x:v>3</x:v>
      </x:c>
      <x:c r="J654" s="9" t="n">
        <x:v>3</x:v>
      </x:c>
      <x:c r="K654" s="9" t="str">
        <x:v>LF-B-A-N3</x:v>
      </x:c>
      <x:c r="L654" s="9" t="str">
        <x:v>ST08</x:v>
      </x:c>
      <x:c r="M654" s="17" t="str">
        <x:v>Manual stop and safety</x:v>
      </x:c>
      <x:c r="N654" s="17" t="str">
        <x:v>local stop, evacuation and protection routes are active</x:v>
      </x:c>
      <x:c r="O654" s="17" t="str">
        <x:v>Safety authority</x:v>
      </x:c>
      <x:c r="P654" s="9" t="n">
        <x:v>0</x:v>
      </x:c>
      <x:c r="Q654" s="9" t="n">
        <x:v>0</x:v>
      </x:c>
      <x:c r="R654" s="9" t="str">
        <x:v>OPEN / UNSTARTED</x:v>
      </x:c>
      <x:c r="S654" s="9" t="n">
        <x:f>COUNTIFS($A$7:$A$1446,A654)</x:f>
        <x:v>1</x:v>
      </x:c>
    </x:row>
    <x:row r="655">
      <x:c r="A655" s="9" t="str">
        <x:v>EV-AR-LF-B-A-TECH-3-B2-BRK-G0-ST09</x:v>
      </x:c>
      <x:c r="B655" s="9" t="str">
        <x:v>EV-AR-LF-B-A-TECH-3-B2-BRK-G0</x:v>
      </x:c>
      <x:c r="C655" s="9" t="str">
        <x:v>EOW-AR-LF-B-A-TECH-3-B2-BRK-G0</x:v>
      </x:c>
      <x:c r="D655" s="9" t="str">
        <x:v>AR-LF-B-A-TECH-3-B2-BRK-G0</x:v>
      </x:c>
      <x:c r="E655" s="9" t="str">
        <x:v>LF-B-A-TECH-3</x:v>
      </x:c>
      <x:c r="F655" s="9" t="str">
        <x:v>LF-B-A</x:v>
      </x:c>
      <x:c r="G655" s="9" t="str">
        <x:v>B2</x:v>
      </x:c>
      <x:c r="H655" s="9" t="str">
        <x:v>BRK</x:v>
      </x:c>
      <x:c r="I655" s="9" t="n">
        <x:v>3</x:v>
      </x:c>
      <x:c r="J655" s="9" t="n">
        <x:v>3</x:v>
      </x:c>
      <x:c r="K655" s="9" t="str">
        <x:v>LF-B-A-N3</x:v>
      </x:c>
      <x:c r="L655" s="9" t="str">
        <x:v>ST09</x:v>
      </x:c>
      <x:c r="M655" s="17" t="str">
        <x:v>Operator conflict clear</x:v>
      </x:c>
      <x:c r="N655" s="17" t="str">
        <x:v>candidate, fixture, safety and measurement control edges remain separated</x:v>
      </x:c>
      <x:c r="O655" s="17" t="str">
        <x:v>Conflict registrar</x:v>
      </x:c>
      <x:c r="P655" s="9" t="n">
        <x:v>0</x:v>
      </x:c>
      <x:c r="Q655" s="9" t="n">
        <x:v>0</x:v>
      </x:c>
      <x:c r="R655" s="9" t="str">
        <x:v>OPEN / UNSTARTED</x:v>
      </x:c>
      <x:c r="S655" s="9" t="n">
        <x:f>COUNTIFS($A$7:$A$1446,A655)</x:f>
        <x:v>1</x:v>
      </x:c>
    </x:row>
    <x:row r="656">
      <x:c r="A656" s="9" t="str">
        <x:v>EV-AR-LF-B-A-TECH-3-B2-BRK-G0-ST10</x:v>
      </x:c>
      <x:c r="B656" s="9" t="str">
        <x:v>EV-AR-LF-B-A-TECH-3-B2-BRK-G0</x:v>
      </x:c>
      <x:c r="C656" s="9" t="str">
        <x:v>EOW-AR-LF-B-A-TECH-3-B2-BRK-G0</x:v>
      </x:c>
      <x:c r="D656" s="9" t="str">
        <x:v>AR-LF-B-A-TECH-3-B2-BRK-G0</x:v>
      </x:c>
      <x:c r="E656" s="9" t="str">
        <x:v>LF-B-A-TECH-3</x:v>
      </x:c>
      <x:c r="F656" s="9" t="str">
        <x:v>LF-B-A</x:v>
      </x:c>
      <x:c r="G656" s="9" t="str">
        <x:v>B2</x:v>
      </x:c>
      <x:c r="H656" s="9" t="str">
        <x:v>BRK</x:v>
      </x:c>
      <x:c r="I656" s="9" t="n">
        <x:v>3</x:v>
      </x:c>
      <x:c r="J656" s="9" t="n">
        <x:v>3</x:v>
      </x:c>
      <x:c r="K656" s="9" t="str">
        <x:v>LF-B-A-N3</x:v>
      </x:c>
      <x:c r="L656" s="9" t="str">
        <x:v>ST10</x:v>
      </x:c>
      <x:c r="M656" s="17" t="str">
        <x:v>Window and common clock</x:v>
      </x:c>
      <x:c r="N656" s="17" t="str">
        <x:v>epoch, window and public time origin match the issued warrant</x:v>
      </x:c>
      <x:c r="O656" s="17" t="str">
        <x:v>Event clock authority</x:v>
      </x:c>
      <x:c r="P656" s="9" t="n">
        <x:v>0</x:v>
      </x:c>
      <x:c r="Q656" s="9" t="n">
        <x:v>0</x:v>
      </x:c>
      <x:c r="R656" s="9" t="str">
        <x:v>OPEN / UNSTARTED</x:v>
      </x:c>
      <x:c r="S656" s="9" t="n">
        <x:f>COUNTIFS($A$7:$A$1446,A656)</x:f>
        <x:v>1</x:v>
      </x:c>
    </x:row>
    <x:row r="657">
      <x:c r="A657" s="9" t="str">
        <x:v>EV-AR-RT-B-C-TECH-4-B1-INT-G0-ST01</x:v>
      </x:c>
      <x:c r="B657" s="9" t="str">
        <x:v>EV-AR-RT-B-C-TECH-4-B1-INT-G0</x:v>
      </x:c>
      <x:c r="C657" s="9" t="str">
        <x:v>EOW-AR-RT-B-C-TECH-4-B1-INT-G0</x:v>
      </x:c>
      <x:c r="D657" s="9" t="str">
        <x:v>AR-RT-B-C-TECH-4-B1-INT-G0</x:v>
      </x:c>
      <x:c r="E657" s="9" t="str">
        <x:v>RT-B-C-TECH-4</x:v>
      </x:c>
      <x:c r="F657" s="9" t="str">
        <x:v>RT-B-C</x:v>
      </x:c>
      <x:c r="G657" s="9" t="str">
        <x:v>B1</x:v>
      </x:c>
      <x:c r="H657" s="9" t="str">
        <x:v>INT</x:v>
      </x:c>
      <x:c r="I657" s="9" t="n">
        <x:v>3</x:v>
      </x:c>
      <x:c r="J657" s="9" t="n">
        <x:v>3</x:v>
      </x:c>
      <x:c r="K657" s="9" t="str">
        <x:v>RT-B-C-N2</x:v>
      </x:c>
      <x:c r="L657" s="9" t="str">
        <x:v>ST01</x:v>
      </x:c>
      <x:c r="M657" s="17" t="str">
        <x:v>Active opportunity warrant</x:v>
      </x:c>
      <x:c r="N657" s="17" t="str">
        <x:v>configuration-bound EOW is within its thirty-six-hour validity</x:v>
      </x:c>
      <x:c r="O657" s="17" t="str">
        <x:v>Start registrar</x:v>
      </x:c>
      <x:c r="P657" s="9" t="n">
        <x:v>0</x:v>
      </x:c>
      <x:c r="Q657" s="9" t="n">
        <x:v>0</x:v>
      </x:c>
      <x:c r="R657" s="9" t="str">
        <x:v>OPEN / UNSTARTED</x:v>
      </x:c>
      <x:c r="S657" s="9" t="n">
        <x:f>COUNTIFS($A$7:$A$1446,A657)</x:f>
        <x:v>1</x:v>
      </x:c>
    </x:row>
    <x:row r="658">
      <x:c r="A658" s="9" t="str">
        <x:v>EV-AR-RT-B-C-TECH-4-B1-INT-G0-ST02</x:v>
      </x:c>
      <x:c r="B658" s="9" t="str">
        <x:v>EV-AR-RT-B-C-TECH-4-B1-INT-G0</x:v>
      </x:c>
      <x:c r="C658" s="9" t="str">
        <x:v>EOW-AR-RT-B-C-TECH-4-B1-INT-G0</x:v>
      </x:c>
      <x:c r="D658" s="9" t="str">
        <x:v>AR-RT-B-C-TECH-4-B1-INT-G0</x:v>
      </x:c>
      <x:c r="E658" s="9" t="str">
        <x:v>RT-B-C-TECH-4</x:v>
      </x:c>
      <x:c r="F658" s="9" t="str">
        <x:v>RT-B-C</x:v>
      </x:c>
      <x:c r="G658" s="9" t="str">
        <x:v>B1</x:v>
      </x:c>
      <x:c r="H658" s="9" t="str">
        <x:v>INT</x:v>
      </x:c>
      <x:c r="I658" s="9" t="n">
        <x:v>3</x:v>
      </x:c>
      <x:c r="J658" s="9" t="n">
        <x:v>3</x:v>
      </x:c>
      <x:c r="K658" s="9" t="str">
        <x:v>RT-B-C-N2</x:v>
      </x:c>
      <x:c r="L658" s="9" t="str">
        <x:v>ST02</x:v>
      </x:c>
      <x:c r="M658" s="17" t="str">
        <x:v>Frozen identity</x:v>
      </x:c>
      <x:c r="N658" s="17" t="str">
        <x:v>serial, generation, fixture, site, receiver and digest match the warrant</x:v>
      </x:c>
      <x:c r="O658" s="17" t="str">
        <x:v>Custody authority</x:v>
      </x:c>
      <x:c r="P658" s="9" t="n">
        <x:v>0</x:v>
      </x:c>
      <x:c r="Q658" s="9" t="n">
        <x:v>0</x:v>
      </x:c>
      <x:c r="R658" s="9" t="str">
        <x:v>OPEN / UNSTARTED</x:v>
      </x:c>
      <x:c r="S658" s="9" t="n">
        <x:f>COUNTIFS($A$7:$A$1446,A658)</x:f>
        <x:v>1</x:v>
      </x:c>
    </x:row>
    <x:row r="659">
      <x:c r="A659" s="9" t="str">
        <x:v>EV-AR-RT-B-C-TECH-4-B1-INT-G0-ST03</x:v>
      </x:c>
      <x:c r="B659" s="9" t="str">
        <x:v>EV-AR-RT-B-C-TECH-4-B1-INT-G0</x:v>
      </x:c>
      <x:c r="C659" s="9" t="str">
        <x:v>EOW-AR-RT-B-C-TECH-4-B1-INT-G0</x:v>
      </x:c>
      <x:c r="D659" s="9" t="str">
        <x:v>AR-RT-B-C-TECH-4-B1-INT-G0</x:v>
      </x:c>
      <x:c r="E659" s="9" t="str">
        <x:v>RT-B-C-TECH-4</x:v>
      </x:c>
      <x:c r="F659" s="9" t="str">
        <x:v>RT-B-C</x:v>
      </x:c>
      <x:c r="G659" s="9" t="str">
        <x:v>B1</x:v>
      </x:c>
      <x:c r="H659" s="9" t="str">
        <x:v>INT</x:v>
      </x:c>
      <x:c r="I659" s="9" t="n">
        <x:v>3</x:v>
      </x:c>
      <x:c r="J659" s="9" t="n">
        <x:v>3</x:v>
      </x:c>
      <x:c r="K659" s="9" t="str">
        <x:v>RT-B-C-N2</x:v>
      </x:c>
      <x:c r="L659" s="9" t="str">
        <x:v>ST03</x:v>
      </x:c>
      <x:c r="M659" s="17" t="str">
        <x:v>Receiver receipt</x:v>
      </x:c>
      <x:c r="N659" s="17" t="str">
        <x:v>denominator, counterfactual, rights and stop receipt remain unchanged</x:v>
      </x:c>
      <x:c r="O659" s="17" t="str">
        <x:v>Receiver authority</x:v>
      </x:c>
      <x:c r="P659" s="9" t="n">
        <x:v>0</x:v>
      </x:c>
      <x:c r="Q659" s="9" t="n">
        <x:v>0</x:v>
      </x:c>
      <x:c r="R659" s="9" t="str">
        <x:v>OPEN / UNSTARTED</x:v>
      </x:c>
      <x:c r="S659" s="9" t="n">
        <x:f>COUNTIFS($A$7:$A$1446,A659)</x:f>
        <x:v>1</x:v>
      </x:c>
    </x:row>
    <x:row r="660">
      <x:c r="A660" s="9" t="str">
        <x:v>EV-AR-RT-B-C-TECH-4-B1-INT-G0-ST04</x:v>
      </x:c>
      <x:c r="B660" s="9" t="str">
        <x:v>EV-AR-RT-B-C-TECH-4-B1-INT-G0</x:v>
      </x:c>
      <x:c r="C660" s="9" t="str">
        <x:v>EOW-AR-RT-B-C-TECH-4-B1-INT-G0</x:v>
      </x:c>
      <x:c r="D660" s="9" t="str">
        <x:v>AR-RT-B-C-TECH-4-B1-INT-G0</x:v>
      </x:c>
      <x:c r="E660" s="9" t="str">
        <x:v>RT-B-C-TECH-4</x:v>
      </x:c>
      <x:c r="F660" s="9" t="str">
        <x:v>RT-B-C</x:v>
      </x:c>
      <x:c r="G660" s="9" t="str">
        <x:v>B1</x:v>
      </x:c>
      <x:c r="H660" s="9" t="str">
        <x:v>INT</x:v>
      </x:c>
      <x:c r="I660" s="9" t="n">
        <x:v>3</x:v>
      </x:c>
      <x:c r="J660" s="9" t="n">
        <x:v>3</x:v>
      </x:c>
      <x:c r="K660" s="9" t="str">
        <x:v>RT-B-C-N2</x:v>
      </x:c>
      <x:c r="L660" s="9" t="str">
        <x:v>ST04</x:v>
      </x:c>
      <x:c r="M660" s="17" t="str">
        <x:v>Primary capture armed</x:v>
      </x:c>
      <x:c r="N660" s="17" t="str">
        <x:v>primary chain records sealed reference and live time</x:v>
      </x:c>
      <x:c r="O660" s="17" t="str">
        <x:v>Primary metrology</x:v>
      </x:c>
      <x:c r="P660" s="9" t="n">
        <x:v>0</x:v>
      </x:c>
      <x:c r="Q660" s="9" t="n">
        <x:v>0</x:v>
      </x:c>
      <x:c r="R660" s="9" t="str">
        <x:v>OPEN / UNSTARTED</x:v>
      </x:c>
      <x:c r="S660" s="9" t="n">
        <x:f>COUNTIFS($A$7:$A$1446,A660)</x:f>
        <x:v>1</x:v>
      </x:c>
    </x:row>
    <x:row r="661">
      <x:c r="A661" s="9" t="str">
        <x:v>EV-AR-RT-B-C-TECH-4-B1-INT-G0-ST05</x:v>
      </x:c>
      <x:c r="B661" s="9" t="str">
        <x:v>EV-AR-RT-B-C-TECH-4-B1-INT-G0</x:v>
      </x:c>
      <x:c r="C661" s="9" t="str">
        <x:v>EOW-AR-RT-B-C-TECH-4-B1-INT-G0</x:v>
      </x:c>
      <x:c r="D661" s="9" t="str">
        <x:v>AR-RT-B-C-TECH-4-B1-INT-G0</x:v>
      </x:c>
      <x:c r="E661" s="9" t="str">
        <x:v>RT-B-C-TECH-4</x:v>
      </x:c>
      <x:c r="F661" s="9" t="str">
        <x:v>RT-B-C</x:v>
      </x:c>
      <x:c r="G661" s="9" t="str">
        <x:v>B1</x:v>
      </x:c>
      <x:c r="H661" s="9" t="str">
        <x:v>INT</x:v>
      </x:c>
      <x:c r="I661" s="9" t="n">
        <x:v>3</x:v>
      </x:c>
      <x:c r="J661" s="9" t="n">
        <x:v>3</x:v>
      </x:c>
      <x:c r="K661" s="9" t="str">
        <x:v>RT-B-C-N2</x:v>
      </x:c>
      <x:c r="L661" s="9" t="str">
        <x:v>ST05</x:v>
      </x:c>
      <x:c r="M661" s="17" t="str">
        <x:v>Witness capture armed</x:v>
      </x:c>
      <x:c r="N661" s="17" t="str">
        <x:v>unlike witness records independent reference and live time</x:v>
      </x:c>
      <x:c r="O661" s="17" t="str">
        <x:v>Witness metrology</x:v>
      </x:c>
      <x:c r="P661" s="9" t="n">
        <x:v>0</x:v>
      </x:c>
      <x:c r="Q661" s="9" t="n">
        <x:v>0</x:v>
      </x:c>
      <x:c r="R661" s="9" t="str">
        <x:v>OPEN / UNSTARTED</x:v>
      </x:c>
      <x:c r="S661" s="9" t="n">
        <x:f>COUNTIFS($A$7:$A$1446,A661)</x:f>
        <x:v>1</x:v>
      </x:c>
    </x:row>
    <x:row r="662">
      <x:c r="A662" s="9" t="str">
        <x:v>EV-AR-RT-B-C-TECH-4-B1-INT-G0-ST06</x:v>
      </x:c>
      <x:c r="B662" s="9" t="str">
        <x:v>EV-AR-RT-B-C-TECH-4-B1-INT-G0</x:v>
      </x:c>
      <x:c r="C662" s="9" t="str">
        <x:v>EOW-AR-RT-B-C-TECH-4-B1-INT-G0</x:v>
      </x:c>
      <x:c r="D662" s="9" t="str">
        <x:v>AR-RT-B-C-TECH-4-B1-INT-G0</x:v>
      </x:c>
      <x:c r="E662" s="9" t="str">
        <x:v>RT-B-C-TECH-4</x:v>
      </x:c>
      <x:c r="F662" s="9" t="str">
        <x:v>RT-B-C</x:v>
      </x:c>
      <x:c r="G662" s="9" t="str">
        <x:v>B1</x:v>
      </x:c>
      <x:c r="H662" s="9" t="str">
        <x:v>INT</x:v>
      </x:c>
      <x:c r="I662" s="9" t="n">
        <x:v>3</x:v>
      </x:c>
      <x:c r="J662" s="9" t="n">
        <x:v>3</x:v>
      </x:c>
      <x:c r="K662" s="9" t="str">
        <x:v>RT-B-C-N2</x:v>
      </x:c>
      <x:c r="L662" s="9" t="str">
        <x:v>ST06</x:v>
      </x:c>
      <x:c r="M662" s="17" t="str">
        <x:v>Public custody armed</x:v>
      </x:c>
      <x:c r="N662" s="17" t="str">
        <x:v>eight raw origins have separated hash and replica routes</x:v>
      </x:c>
      <x:c r="O662" s="17" t="str">
        <x:v>Custody authority</x:v>
      </x:c>
      <x:c r="P662" s="9" t="n">
        <x:v>0</x:v>
      </x:c>
      <x:c r="Q662" s="9" t="n">
        <x:v>0</x:v>
      </x:c>
      <x:c r="R662" s="9" t="str">
        <x:v>OPEN / UNSTARTED</x:v>
      </x:c>
      <x:c r="S662" s="9" t="n">
        <x:f>COUNTIFS($A$7:$A$1446,A662)</x:f>
        <x:v>1</x:v>
      </x:c>
    </x:row>
    <x:row r="663">
      <x:c r="A663" s="9" t="str">
        <x:v>EV-AR-RT-B-C-TECH-4-B1-INT-G0-ST07</x:v>
      </x:c>
      <x:c r="B663" s="9" t="str">
        <x:v>EV-AR-RT-B-C-TECH-4-B1-INT-G0</x:v>
      </x:c>
      <x:c r="C663" s="9" t="str">
        <x:v>EOW-AR-RT-B-C-TECH-4-B1-INT-G0</x:v>
      </x:c>
      <x:c r="D663" s="9" t="str">
        <x:v>AR-RT-B-C-TECH-4-B1-INT-G0</x:v>
      </x:c>
      <x:c r="E663" s="9" t="str">
        <x:v>RT-B-C-TECH-4</x:v>
      </x:c>
      <x:c r="F663" s="9" t="str">
        <x:v>RT-B-C</x:v>
      </x:c>
      <x:c r="G663" s="9" t="str">
        <x:v>B1</x:v>
      </x:c>
      <x:c r="H663" s="9" t="str">
        <x:v>INT</x:v>
      </x:c>
      <x:c r="I663" s="9" t="n">
        <x:v>3</x:v>
      </x:c>
      <x:c r="J663" s="9" t="n">
        <x:v>3</x:v>
      </x:c>
      <x:c r="K663" s="9" t="str">
        <x:v>RT-B-C-N2</x:v>
      </x:c>
      <x:c r="L663" s="9" t="str">
        <x:v>ST07</x:v>
      </x:c>
      <x:c r="M663" s="17" t="str">
        <x:v>Environmental baseline</x:v>
      </x:c>
      <x:c r="N663" s="17" t="str">
        <x:v>pre-event boundary state is sealed before decisive operation</x:v>
      </x:c>
      <x:c r="O663" s="17" t="str">
        <x:v>Site metrology</x:v>
      </x:c>
      <x:c r="P663" s="9" t="n">
        <x:v>0</x:v>
      </x:c>
      <x:c r="Q663" s="9" t="n">
        <x:v>0</x:v>
      </x:c>
      <x:c r="R663" s="9" t="str">
        <x:v>OPEN / UNSTARTED</x:v>
      </x:c>
      <x:c r="S663" s="9" t="n">
        <x:f>COUNTIFS($A$7:$A$1446,A663)</x:f>
        <x:v>1</x:v>
      </x:c>
    </x:row>
    <x:row r="664">
      <x:c r="A664" s="9" t="str">
        <x:v>EV-AR-RT-B-C-TECH-4-B1-INT-G0-ST08</x:v>
      </x:c>
      <x:c r="B664" s="9" t="str">
        <x:v>EV-AR-RT-B-C-TECH-4-B1-INT-G0</x:v>
      </x:c>
      <x:c r="C664" s="9" t="str">
        <x:v>EOW-AR-RT-B-C-TECH-4-B1-INT-G0</x:v>
      </x:c>
      <x:c r="D664" s="9" t="str">
        <x:v>AR-RT-B-C-TECH-4-B1-INT-G0</x:v>
      </x:c>
      <x:c r="E664" s="9" t="str">
        <x:v>RT-B-C-TECH-4</x:v>
      </x:c>
      <x:c r="F664" s="9" t="str">
        <x:v>RT-B-C</x:v>
      </x:c>
      <x:c r="G664" s="9" t="str">
        <x:v>B1</x:v>
      </x:c>
      <x:c r="H664" s="9" t="str">
        <x:v>INT</x:v>
      </x:c>
      <x:c r="I664" s="9" t="n">
        <x:v>3</x:v>
      </x:c>
      <x:c r="J664" s="9" t="n">
        <x:v>3</x:v>
      </x:c>
      <x:c r="K664" s="9" t="str">
        <x:v>RT-B-C-N2</x:v>
      </x:c>
      <x:c r="L664" s="9" t="str">
        <x:v>ST08</x:v>
      </x:c>
      <x:c r="M664" s="17" t="str">
        <x:v>Manual stop and safety</x:v>
      </x:c>
      <x:c r="N664" s="17" t="str">
        <x:v>local stop, evacuation and protection routes are active</x:v>
      </x:c>
      <x:c r="O664" s="17" t="str">
        <x:v>Safety authority</x:v>
      </x:c>
      <x:c r="P664" s="9" t="n">
        <x:v>0</x:v>
      </x:c>
      <x:c r="Q664" s="9" t="n">
        <x:v>0</x:v>
      </x:c>
      <x:c r="R664" s="9" t="str">
        <x:v>OPEN / UNSTARTED</x:v>
      </x:c>
      <x:c r="S664" s="9" t="n">
        <x:f>COUNTIFS($A$7:$A$1446,A664)</x:f>
        <x:v>1</x:v>
      </x:c>
    </x:row>
    <x:row r="665">
      <x:c r="A665" s="9" t="str">
        <x:v>EV-AR-RT-B-C-TECH-4-B1-INT-G0-ST09</x:v>
      </x:c>
      <x:c r="B665" s="9" t="str">
        <x:v>EV-AR-RT-B-C-TECH-4-B1-INT-G0</x:v>
      </x:c>
      <x:c r="C665" s="9" t="str">
        <x:v>EOW-AR-RT-B-C-TECH-4-B1-INT-G0</x:v>
      </x:c>
      <x:c r="D665" s="9" t="str">
        <x:v>AR-RT-B-C-TECH-4-B1-INT-G0</x:v>
      </x:c>
      <x:c r="E665" s="9" t="str">
        <x:v>RT-B-C-TECH-4</x:v>
      </x:c>
      <x:c r="F665" s="9" t="str">
        <x:v>RT-B-C</x:v>
      </x:c>
      <x:c r="G665" s="9" t="str">
        <x:v>B1</x:v>
      </x:c>
      <x:c r="H665" s="9" t="str">
        <x:v>INT</x:v>
      </x:c>
      <x:c r="I665" s="9" t="n">
        <x:v>3</x:v>
      </x:c>
      <x:c r="J665" s="9" t="n">
        <x:v>3</x:v>
      </x:c>
      <x:c r="K665" s="9" t="str">
        <x:v>RT-B-C-N2</x:v>
      </x:c>
      <x:c r="L665" s="9" t="str">
        <x:v>ST09</x:v>
      </x:c>
      <x:c r="M665" s="17" t="str">
        <x:v>Operator conflict clear</x:v>
      </x:c>
      <x:c r="N665" s="17" t="str">
        <x:v>candidate, fixture, safety and measurement control edges remain separated</x:v>
      </x:c>
      <x:c r="O665" s="17" t="str">
        <x:v>Conflict registrar</x:v>
      </x:c>
      <x:c r="P665" s="9" t="n">
        <x:v>0</x:v>
      </x:c>
      <x:c r="Q665" s="9" t="n">
        <x:v>0</x:v>
      </x:c>
      <x:c r="R665" s="9" t="str">
        <x:v>OPEN / UNSTARTED</x:v>
      </x:c>
      <x:c r="S665" s="9" t="n">
        <x:f>COUNTIFS($A$7:$A$1446,A665)</x:f>
        <x:v>1</x:v>
      </x:c>
    </x:row>
    <x:row r="666">
      <x:c r="A666" s="9" t="str">
        <x:v>EV-AR-RT-B-C-TECH-4-B1-INT-G0-ST10</x:v>
      </x:c>
      <x:c r="B666" s="9" t="str">
        <x:v>EV-AR-RT-B-C-TECH-4-B1-INT-G0</x:v>
      </x:c>
      <x:c r="C666" s="9" t="str">
        <x:v>EOW-AR-RT-B-C-TECH-4-B1-INT-G0</x:v>
      </x:c>
      <x:c r="D666" s="9" t="str">
        <x:v>AR-RT-B-C-TECH-4-B1-INT-G0</x:v>
      </x:c>
      <x:c r="E666" s="9" t="str">
        <x:v>RT-B-C-TECH-4</x:v>
      </x:c>
      <x:c r="F666" s="9" t="str">
        <x:v>RT-B-C</x:v>
      </x:c>
      <x:c r="G666" s="9" t="str">
        <x:v>B1</x:v>
      </x:c>
      <x:c r="H666" s="9" t="str">
        <x:v>INT</x:v>
      </x:c>
      <x:c r="I666" s="9" t="n">
        <x:v>3</x:v>
      </x:c>
      <x:c r="J666" s="9" t="n">
        <x:v>3</x:v>
      </x:c>
      <x:c r="K666" s="9" t="str">
        <x:v>RT-B-C-N2</x:v>
      </x:c>
      <x:c r="L666" s="9" t="str">
        <x:v>ST10</x:v>
      </x:c>
      <x:c r="M666" s="17" t="str">
        <x:v>Window and common clock</x:v>
      </x:c>
      <x:c r="N666" s="17" t="str">
        <x:v>epoch, window and public time origin match the issued warrant</x:v>
      </x:c>
      <x:c r="O666" s="17" t="str">
        <x:v>Event clock authority</x:v>
      </x:c>
      <x:c r="P666" s="9" t="n">
        <x:v>0</x:v>
      </x:c>
      <x:c r="Q666" s="9" t="n">
        <x:v>0</x:v>
      </x:c>
      <x:c r="R666" s="9" t="str">
        <x:v>OPEN / UNSTARTED</x:v>
      </x:c>
      <x:c r="S666" s="9" t="n">
        <x:f>COUNTIFS($A$7:$A$1446,A666)</x:f>
        <x:v>1</x:v>
      </x:c>
    </x:row>
    <x:row r="667">
      <x:c r="A667" s="9" t="str">
        <x:v>EV-AR-CT-C-B-TECH-3-B2-RCN-G0-ST01</x:v>
      </x:c>
      <x:c r="B667" s="9" t="str">
        <x:v>EV-AR-CT-C-B-TECH-3-B2-RCN-G0</x:v>
      </x:c>
      <x:c r="C667" s="9" t="str">
        <x:v>EOW-AR-CT-C-B-TECH-3-B2-RCN-G0</x:v>
      </x:c>
      <x:c r="D667" s="9" t="str">
        <x:v>AR-CT-C-B-TECH-3-B2-RCN-G0</x:v>
      </x:c>
      <x:c r="E667" s="9" t="str">
        <x:v>CT-C-B-TECH-3</x:v>
      </x:c>
      <x:c r="F667" s="9" t="str">
        <x:v>CT-C-B</x:v>
      </x:c>
      <x:c r="G667" s="9" t="str">
        <x:v>B2</x:v>
      </x:c>
      <x:c r="H667" s="9" t="str">
        <x:v>RCN</x:v>
      </x:c>
      <x:c r="I667" s="9" t="n">
        <x:v>3</x:v>
      </x:c>
      <x:c r="J667" s="9" t="n">
        <x:v>4</x:v>
      </x:c>
      <x:c r="K667" s="9" t="str">
        <x:v>CT-C-B-N1</x:v>
      </x:c>
      <x:c r="L667" s="9" t="str">
        <x:v>ST01</x:v>
      </x:c>
      <x:c r="M667" s="17" t="str">
        <x:v>Active opportunity warrant</x:v>
      </x:c>
      <x:c r="N667" s="17" t="str">
        <x:v>configuration-bound EOW is within its thirty-six-hour validity</x:v>
      </x:c>
      <x:c r="O667" s="17" t="str">
        <x:v>Start registrar</x:v>
      </x:c>
      <x:c r="P667" s="9" t="n">
        <x:v>0</x:v>
      </x:c>
      <x:c r="Q667" s="9" t="n">
        <x:v>0</x:v>
      </x:c>
      <x:c r="R667" s="9" t="str">
        <x:v>OPEN / UNSTARTED</x:v>
      </x:c>
      <x:c r="S667" s="9" t="n">
        <x:f>COUNTIFS($A$7:$A$1446,A667)</x:f>
        <x:v>1</x:v>
      </x:c>
    </x:row>
    <x:row r="668">
      <x:c r="A668" s="9" t="str">
        <x:v>EV-AR-CT-C-B-TECH-3-B2-RCN-G0-ST02</x:v>
      </x:c>
      <x:c r="B668" s="9" t="str">
        <x:v>EV-AR-CT-C-B-TECH-3-B2-RCN-G0</x:v>
      </x:c>
      <x:c r="C668" s="9" t="str">
        <x:v>EOW-AR-CT-C-B-TECH-3-B2-RCN-G0</x:v>
      </x:c>
      <x:c r="D668" s="9" t="str">
        <x:v>AR-CT-C-B-TECH-3-B2-RCN-G0</x:v>
      </x:c>
      <x:c r="E668" s="9" t="str">
        <x:v>CT-C-B-TECH-3</x:v>
      </x:c>
      <x:c r="F668" s="9" t="str">
        <x:v>CT-C-B</x:v>
      </x:c>
      <x:c r="G668" s="9" t="str">
        <x:v>B2</x:v>
      </x:c>
      <x:c r="H668" s="9" t="str">
        <x:v>RCN</x:v>
      </x:c>
      <x:c r="I668" s="9" t="n">
        <x:v>3</x:v>
      </x:c>
      <x:c r="J668" s="9" t="n">
        <x:v>4</x:v>
      </x:c>
      <x:c r="K668" s="9" t="str">
        <x:v>CT-C-B-N1</x:v>
      </x:c>
      <x:c r="L668" s="9" t="str">
        <x:v>ST02</x:v>
      </x:c>
      <x:c r="M668" s="17" t="str">
        <x:v>Frozen identity</x:v>
      </x:c>
      <x:c r="N668" s="17" t="str">
        <x:v>serial, generation, fixture, site, receiver and digest match the warrant</x:v>
      </x:c>
      <x:c r="O668" s="17" t="str">
        <x:v>Custody authority</x:v>
      </x:c>
      <x:c r="P668" s="9" t="n">
        <x:v>0</x:v>
      </x:c>
      <x:c r="Q668" s="9" t="n">
        <x:v>0</x:v>
      </x:c>
      <x:c r="R668" s="9" t="str">
        <x:v>OPEN / UNSTARTED</x:v>
      </x:c>
      <x:c r="S668" s="9" t="n">
        <x:f>COUNTIFS($A$7:$A$1446,A668)</x:f>
        <x:v>1</x:v>
      </x:c>
    </x:row>
    <x:row r="669">
      <x:c r="A669" s="9" t="str">
        <x:v>EV-AR-CT-C-B-TECH-3-B2-RCN-G0-ST03</x:v>
      </x:c>
      <x:c r="B669" s="9" t="str">
        <x:v>EV-AR-CT-C-B-TECH-3-B2-RCN-G0</x:v>
      </x:c>
      <x:c r="C669" s="9" t="str">
        <x:v>EOW-AR-CT-C-B-TECH-3-B2-RCN-G0</x:v>
      </x:c>
      <x:c r="D669" s="9" t="str">
        <x:v>AR-CT-C-B-TECH-3-B2-RCN-G0</x:v>
      </x:c>
      <x:c r="E669" s="9" t="str">
        <x:v>CT-C-B-TECH-3</x:v>
      </x:c>
      <x:c r="F669" s="9" t="str">
        <x:v>CT-C-B</x:v>
      </x:c>
      <x:c r="G669" s="9" t="str">
        <x:v>B2</x:v>
      </x:c>
      <x:c r="H669" s="9" t="str">
        <x:v>RCN</x:v>
      </x:c>
      <x:c r="I669" s="9" t="n">
        <x:v>3</x:v>
      </x:c>
      <x:c r="J669" s="9" t="n">
        <x:v>4</x:v>
      </x:c>
      <x:c r="K669" s="9" t="str">
        <x:v>CT-C-B-N1</x:v>
      </x:c>
      <x:c r="L669" s="9" t="str">
        <x:v>ST03</x:v>
      </x:c>
      <x:c r="M669" s="17" t="str">
        <x:v>Receiver receipt</x:v>
      </x:c>
      <x:c r="N669" s="17" t="str">
        <x:v>denominator, counterfactual, rights and stop receipt remain unchanged</x:v>
      </x:c>
      <x:c r="O669" s="17" t="str">
        <x:v>Receiver authority</x:v>
      </x:c>
      <x:c r="P669" s="9" t="n">
        <x:v>0</x:v>
      </x:c>
      <x:c r="Q669" s="9" t="n">
        <x:v>0</x:v>
      </x:c>
      <x:c r="R669" s="9" t="str">
        <x:v>OPEN / UNSTARTED</x:v>
      </x:c>
      <x:c r="S669" s="9" t="n">
        <x:f>COUNTIFS($A$7:$A$1446,A669)</x:f>
        <x:v>1</x:v>
      </x:c>
    </x:row>
    <x:row r="670">
      <x:c r="A670" s="9" t="str">
        <x:v>EV-AR-CT-C-B-TECH-3-B2-RCN-G0-ST04</x:v>
      </x:c>
      <x:c r="B670" s="9" t="str">
        <x:v>EV-AR-CT-C-B-TECH-3-B2-RCN-G0</x:v>
      </x:c>
      <x:c r="C670" s="9" t="str">
        <x:v>EOW-AR-CT-C-B-TECH-3-B2-RCN-G0</x:v>
      </x:c>
      <x:c r="D670" s="9" t="str">
        <x:v>AR-CT-C-B-TECH-3-B2-RCN-G0</x:v>
      </x:c>
      <x:c r="E670" s="9" t="str">
        <x:v>CT-C-B-TECH-3</x:v>
      </x:c>
      <x:c r="F670" s="9" t="str">
        <x:v>CT-C-B</x:v>
      </x:c>
      <x:c r="G670" s="9" t="str">
        <x:v>B2</x:v>
      </x:c>
      <x:c r="H670" s="9" t="str">
        <x:v>RCN</x:v>
      </x:c>
      <x:c r="I670" s="9" t="n">
        <x:v>3</x:v>
      </x:c>
      <x:c r="J670" s="9" t="n">
        <x:v>4</x:v>
      </x:c>
      <x:c r="K670" s="9" t="str">
        <x:v>CT-C-B-N1</x:v>
      </x:c>
      <x:c r="L670" s="9" t="str">
        <x:v>ST04</x:v>
      </x:c>
      <x:c r="M670" s="17" t="str">
        <x:v>Primary capture armed</x:v>
      </x:c>
      <x:c r="N670" s="17" t="str">
        <x:v>primary chain records sealed reference and live time</x:v>
      </x:c>
      <x:c r="O670" s="17" t="str">
        <x:v>Primary metrology</x:v>
      </x:c>
      <x:c r="P670" s="9" t="n">
        <x:v>0</x:v>
      </x:c>
      <x:c r="Q670" s="9" t="n">
        <x:v>0</x:v>
      </x:c>
      <x:c r="R670" s="9" t="str">
        <x:v>OPEN / UNSTARTED</x:v>
      </x:c>
      <x:c r="S670" s="9" t="n">
        <x:f>COUNTIFS($A$7:$A$1446,A670)</x:f>
        <x:v>1</x:v>
      </x:c>
    </x:row>
    <x:row r="671">
      <x:c r="A671" s="9" t="str">
        <x:v>EV-AR-CT-C-B-TECH-3-B2-RCN-G0-ST05</x:v>
      </x:c>
      <x:c r="B671" s="9" t="str">
        <x:v>EV-AR-CT-C-B-TECH-3-B2-RCN-G0</x:v>
      </x:c>
      <x:c r="C671" s="9" t="str">
        <x:v>EOW-AR-CT-C-B-TECH-3-B2-RCN-G0</x:v>
      </x:c>
      <x:c r="D671" s="9" t="str">
        <x:v>AR-CT-C-B-TECH-3-B2-RCN-G0</x:v>
      </x:c>
      <x:c r="E671" s="9" t="str">
        <x:v>CT-C-B-TECH-3</x:v>
      </x:c>
      <x:c r="F671" s="9" t="str">
        <x:v>CT-C-B</x:v>
      </x:c>
      <x:c r="G671" s="9" t="str">
        <x:v>B2</x:v>
      </x:c>
      <x:c r="H671" s="9" t="str">
        <x:v>RCN</x:v>
      </x:c>
      <x:c r="I671" s="9" t="n">
        <x:v>3</x:v>
      </x:c>
      <x:c r="J671" s="9" t="n">
        <x:v>4</x:v>
      </x:c>
      <x:c r="K671" s="9" t="str">
        <x:v>CT-C-B-N1</x:v>
      </x:c>
      <x:c r="L671" s="9" t="str">
        <x:v>ST05</x:v>
      </x:c>
      <x:c r="M671" s="17" t="str">
        <x:v>Witness capture armed</x:v>
      </x:c>
      <x:c r="N671" s="17" t="str">
        <x:v>unlike witness records independent reference and live time</x:v>
      </x:c>
      <x:c r="O671" s="17" t="str">
        <x:v>Witness metrology</x:v>
      </x:c>
      <x:c r="P671" s="9" t="n">
        <x:v>0</x:v>
      </x:c>
      <x:c r="Q671" s="9" t="n">
        <x:v>0</x:v>
      </x:c>
      <x:c r="R671" s="9" t="str">
        <x:v>OPEN / UNSTARTED</x:v>
      </x:c>
      <x:c r="S671" s="9" t="n">
        <x:f>COUNTIFS($A$7:$A$1446,A671)</x:f>
        <x:v>1</x:v>
      </x:c>
    </x:row>
    <x:row r="672">
      <x:c r="A672" s="9" t="str">
        <x:v>EV-AR-CT-C-B-TECH-3-B2-RCN-G0-ST06</x:v>
      </x:c>
      <x:c r="B672" s="9" t="str">
        <x:v>EV-AR-CT-C-B-TECH-3-B2-RCN-G0</x:v>
      </x:c>
      <x:c r="C672" s="9" t="str">
        <x:v>EOW-AR-CT-C-B-TECH-3-B2-RCN-G0</x:v>
      </x:c>
      <x:c r="D672" s="9" t="str">
        <x:v>AR-CT-C-B-TECH-3-B2-RCN-G0</x:v>
      </x:c>
      <x:c r="E672" s="9" t="str">
        <x:v>CT-C-B-TECH-3</x:v>
      </x:c>
      <x:c r="F672" s="9" t="str">
        <x:v>CT-C-B</x:v>
      </x:c>
      <x:c r="G672" s="9" t="str">
        <x:v>B2</x:v>
      </x:c>
      <x:c r="H672" s="9" t="str">
        <x:v>RCN</x:v>
      </x:c>
      <x:c r="I672" s="9" t="n">
        <x:v>3</x:v>
      </x:c>
      <x:c r="J672" s="9" t="n">
        <x:v>4</x:v>
      </x:c>
      <x:c r="K672" s="9" t="str">
        <x:v>CT-C-B-N1</x:v>
      </x:c>
      <x:c r="L672" s="9" t="str">
        <x:v>ST06</x:v>
      </x:c>
      <x:c r="M672" s="17" t="str">
        <x:v>Public custody armed</x:v>
      </x:c>
      <x:c r="N672" s="17" t="str">
        <x:v>eight raw origins have separated hash and replica routes</x:v>
      </x:c>
      <x:c r="O672" s="17" t="str">
        <x:v>Custody authority</x:v>
      </x:c>
      <x:c r="P672" s="9" t="n">
        <x:v>0</x:v>
      </x:c>
      <x:c r="Q672" s="9" t="n">
        <x:v>0</x:v>
      </x:c>
      <x:c r="R672" s="9" t="str">
        <x:v>OPEN / UNSTARTED</x:v>
      </x:c>
      <x:c r="S672" s="9" t="n">
        <x:f>COUNTIFS($A$7:$A$1446,A672)</x:f>
        <x:v>1</x:v>
      </x:c>
    </x:row>
    <x:row r="673">
      <x:c r="A673" s="9" t="str">
        <x:v>EV-AR-CT-C-B-TECH-3-B2-RCN-G0-ST07</x:v>
      </x:c>
      <x:c r="B673" s="9" t="str">
        <x:v>EV-AR-CT-C-B-TECH-3-B2-RCN-G0</x:v>
      </x:c>
      <x:c r="C673" s="9" t="str">
        <x:v>EOW-AR-CT-C-B-TECH-3-B2-RCN-G0</x:v>
      </x:c>
      <x:c r="D673" s="9" t="str">
        <x:v>AR-CT-C-B-TECH-3-B2-RCN-G0</x:v>
      </x:c>
      <x:c r="E673" s="9" t="str">
        <x:v>CT-C-B-TECH-3</x:v>
      </x:c>
      <x:c r="F673" s="9" t="str">
        <x:v>CT-C-B</x:v>
      </x:c>
      <x:c r="G673" s="9" t="str">
        <x:v>B2</x:v>
      </x:c>
      <x:c r="H673" s="9" t="str">
        <x:v>RCN</x:v>
      </x:c>
      <x:c r="I673" s="9" t="n">
        <x:v>3</x:v>
      </x:c>
      <x:c r="J673" s="9" t="n">
        <x:v>4</x:v>
      </x:c>
      <x:c r="K673" s="9" t="str">
        <x:v>CT-C-B-N1</x:v>
      </x:c>
      <x:c r="L673" s="9" t="str">
        <x:v>ST07</x:v>
      </x:c>
      <x:c r="M673" s="17" t="str">
        <x:v>Environmental baseline</x:v>
      </x:c>
      <x:c r="N673" s="17" t="str">
        <x:v>pre-event boundary state is sealed before decisive operation</x:v>
      </x:c>
      <x:c r="O673" s="17" t="str">
        <x:v>Site metrology</x:v>
      </x:c>
      <x:c r="P673" s="9" t="n">
        <x:v>0</x:v>
      </x:c>
      <x:c r="Q673" s="9" t="n">
        <x:v>0</x:v>
      </x:c>
      <x:c r="R673" s="9" t="str">
        <x:v>OPEN / UNSTARTED</x:v>
      </x:c>
      <x:c r="S673" s="9" t="n">
        <x:f>COUNTIFS($A$7:$A$1446,A673)</x:f>
        <x:v>1</x:v>
      </x:c>
    </x:row>
    <x:row r="674">
      <x:c r="A674" s="9" t="str">
        <x:v>EV-AR-CT-C-B-TECH-3-B2-RCN-G0-ST08</x:v>
      </x:c>
      <x:c r="B674" s="9" t="str">
        <x:v>EV-AR-CT-C-B-TECH-3-B2-RCN-G0</x:v>
      </x:c>
      <x:c r="C674" s="9" t="str">
        <x:v>EOW-AR-CT-C-B-TECH-3-B2-RCN-G0</x:v>
      </x:c>
      <x:c r="D674" s="9" t="str">
        <x:v>AR-CT-C-B-TECH-3-B2-RCN-G0</x:v>
      </x:c>
      <x:c r="E674" s="9" t="str">
        <x:v>CT-C-B-TECH-3</x:v>
      </x:c>
      <x:c r="F674" s="9" t="str">
        <x:v>CT-C-B</x:v>
      </x:c>
      <x:c r="G674" s="9" t="str">
        <x:v>B2</x:v>
      </x:c>
      <x:c r="H674" s="9" t="str">
        <x:v>RCN</x:v>
      </x:c>
      <x:c r="I674" s="9" t="n">
        <x:v>3</x:v>
      </x:c>
      <x:c r="J674" s="9" t="n">
        <x:v>4</x:v>
      </x:c>
      <x:c r="K674" s="9" t="str">
        <x:v>CT-C-B-N1</x:v>
      </x:c>
      <x:c r="L674" s="9" t="str">
        <x:v>ST08</x:v>
      </x:c>
      <x:c r="M674" s="17" t="str">
        <x:v>Manual stop and safety</x:v>
      </x:c>
      <x:c r="N674" s="17" t="str">
        <x:v>local stop, evacuation and protection routes are active</x:v>
      </x:c>
      <x:c r="O674" s="17" t="str">
        <x:v>Safety authority</x:v>
      </x:c>
      <x:c r="P674" s="9" t="n">
        <x:v>0</x:v>
      </x:c>
      <x:c r="Q674" s="9" t="n">
        <x:v>0</x:v>
      </x:c>
      <x:c r="R674" s="9" t="str">
        <x:v>OPEN / UNSTARTED</x:v>
      </x:c>
      <x:c r="S674" s="9" t="n">
        <x:f>COUNTIFS($A$7:$A$1446,A674)</x:f>
        <x:v>1</x:v>
      </x:c>
    </x:row>
    <x:row r="675">
      <x:c r="A675" s="9" t="str">
        <x:v>EV-AR-CT-C-B-TECH-3-B2-RCN-G0-ST09</x:v>
      </x:c>
      <x:c r="B675" s="9" t="str">
        <x:v>EV-AR-CT-C-B-TECH-3-B2-RCN-G0</x:v>
      </x:c>
      <x:c r="C675" s="9" t="str">
        <x:v>EOW-AR-CT-C-B-TECH-3-B2-RCN-G0</x:v>
      </x:c>
      <x:c r="D675" s="9" t="str">
        <x:v>AR-CT-C-B-TECH-3-B2-RCN-G0</x:v>
      </x:c>
      <x:c r="E675" s="9" t="str">
        <x:v>CT-C-B-TECH-3</x:v>
      </x:c>
      <x:c r="F675" s="9" t="str">
        <x:v>CT-C-B</x:v>
      </x:c>
      <x:c r="G675" s="9" t="str">
        <x:v>B2</x:v>
      </x:c>
      <x:c r="H675" s="9" t="str">
        <x:v>RCN</x:v>
      </x:c>
      <x:c r="I675" s="9" t="n">
        <x:v>3</x:v>
      </x:c>
      <x:c r="J675" s="9" t="n">
        <x:v>4</x:v>
      </x:c>
      <x:c r="K675" s="9" t="str">
        <x:v>CT-C-B-N1</x:v>
      </x:c>
      <x:c r="L675" s="9" t="str">
        <x:v>ST09</x:v>
      </x:c>
      <x:c r="M675" s="17" t="str">
        <x:v>Operator conflict clear</x:v>
      </x:c>
      <x:c r="N675" s="17" t="str">
        <x:v>candidate, fixture, safety and measurement control edges remain separated</x:v>
      </x:c>
      <x:c r="O675" s="17" t="str">
        <x:v>Conflict registrar</x:v>
      </x:c>
      <x:c r="P675" s="9" t="n">
        <x:v>0</x:v>
      </x:c>
      <x:c r="Q675" s="9" t="n">
        <x:v>0</x:v>
      </x:c>
      <x:c r="R675" s="9" t="str">
        <x:v>OPEN / UNSTARTED</x:v>
      </x:c>
      <x:c r="S675" s="9" t="n">
        <x:f>COUNTIFS($A$7:$A$1446,A675)</x:f>
        <x:v>1</x:v>
      </x:c>
    </x:row>
    <x:row r="676">
      <x:c r="A676" s="9" t="str">
        <x:v>EV-AR-CT-C-B-TECH-3-B2-RCN-G0-ST10</x:v>
      </x:c>
      <x:c r="B676" s="9" t="str">
        <x:v>EV-AR-CT-C-B-TECH-3-B2-RCN-G0</x:v>
      </x:c>
      <x:c r="C676" s="9" t="str">
        <x:v>EOW-AR-CT-C-B-TECH-3-B2-RCN-G0</x:v>
      </x:c>
      <x:c r="D676" s="9" t="str">
        <x:v>AR-CT-C-B-TECH-3-B2-RCN-G0</x:v>
      </x:c>
      <x:c r="E676" s="9" t="str">
        <x:v>CT-C-B-TECH-3</x:v>
      </x:c>
      <x:c r="F676" s="9" t="str">
        <x:v>CT-C-B</x:v>
      </x:c>
      <x:c r="G676" s="9" t="str">
        <x:v>B2</x:v>
      </x:c>
      <x:c r="H676" s="9" t="str">
        <x:v>RCN</x:v>
      </x:c>
      <x:c r="I676" s="9" t="n">
        <x:v>3</x:v>
      </x:c>
      <x:c r="J676" s="9" t="n">
        <x:v>4</x:v>
      </x:c>
      <x:c r="K676" s="9" t="str">
        <x:v>CT-C-B-N1</x:v>
      </x:c>
      <x:c r="L676" s="9" t="str">
        <x:v>ST10</x:v>
      </x:c>
      <x:c r="M676" s="17" t="str">
        <x:v>Window and common clock</x:v>
      </x:c>
      <x:c r="N676" s="17" t="str">
        <x:v>epoch, window and public time origin match the issued warrant</x:v>
      </x:c>
      <x:c r="O676" s="17" t="str">
        <x:v>Event clock authority</x:v>
      </x:c>
      <x:c r="P676" s="9" t="n">
        <x:v>0</x:v>
      </x:c>
      <x:c r="Q676" s="9" t="n">
        <x:v>0</x:v>
      </x:c>
      <x:c r="R676" s="9" t="str">
        <x:v>OPEN / UNSTARTED</x:v>
      </x:c>
      <x:c r="S676" s="9" t="n">
        <x:f>COUNTIFS($A$7:$A$1446,A676)</x:f>
        <x:v>1</x:v>
      </x:c>
    </x:row>
    <x:row r="677">
      <x:c r="A677" s="9" t="str">
        <x:v>EV-AR-CT-C-B-TECH-1-B2-INT-G0-ST01</x:v>
      </x:c>
      <x:c r="B677" s="9" t="str">
        <x:v>EV-AR-CT-C-B-TECH-1-B2-INT-G0</x:v>
      </x:c>
      <x:c r="C677" s="9" t="str">
        <x:v>EOW-AR-CT-C-B-TECH-1-B2-INT-G0</x:v>
      </x:c>
      <x:c r="D677" s="9" t="str">
        <x:v>AR-CT-C-B-TECH-1-B2-INT-G0</x:v>
      </x:c>
      <x:c r="E677" s="9" t="str">
        <x:v>CT-C-B-TECH-1</x:v>
      </x:c>
      <x:c r="F677" s="9" t="str">
        <x:v>CT-C-B</x:v>
      </x:c>
      <x:c r="G677" s="9" t="str">
        <x:v>B2</x:v>
      </x:c>
      <x:c r="H677" s="9" t="str">
        <x:v>INT</x:v>
      </x:c>
      <x:c r="I677" s="9" t="n">
        <x:v>3</x:v>
      </x:c>
      <x:c r="J677" s="9" t="n">
        <x:v>4</x:v>
      </x:c>
      <x:c r="K677" s="9" t="str">
        <x:v>CT-C-B-N2</x:v>
      </x:c>
      <x:c r="L677" s="9" t="str">
        <x:v>ST01</x:v>
      </x:c>
      <x:c r="M677" s="17" t="str">
        <x:v>Active opportunity warrant</x:v>
      </x:c>
      <x:c r="N677" s="17" t="str">
        <x:v>configuration-bound EOW is within its thirty-six-hour validity</x:v>
      </x:c>
      <x:c r="O677" s="17" t="str">
        <x:v>Start registrar</x:v>
      </x:c>
      <x:c r="P677" s="9" t="n">
        <x:v>0</x:v>
      </x:c>
      <x:c r="Q677" s="9" t="n">
        <x:v>0</x:v>
      </x:c>
      <x:c r="R677" s="9" t="str">
        <x:v>OPEN / UNSTARTED</x:v>
      </x:c>
      <x:c r="S677" s="9" t="n">
        <x:f>COUNTIFS($A$7:$A$1446,A677)</x:f>
        <x:v>1</x:v>
      </x:c>
    </x:row>
    <x:row r="678">
      <x:c r="A678" s="9" t="str">
        <x:v>EV-AR-CT-C-B-TECH-1-B2-INT-G0-ST02</x:v>
      </x:c>
      <x:c r="B678" s="9" t="str">
        <x:v>EV-AR-CT-C-B-TECH-1-B2-INT-G0</x:v>
      </x:c>
      <x:c r="C678" s="9" t="str">
        <x:v>EOW-AR-CT-C-B-TECH-1-B2-INT-G0</x:v>
      </x:c>
      <x:c r="D678" s="9" t="str">
        <x:v>AR-CT-C-B-TECH-1-B2-INT-G0</x:v>
      </x:c>
      <x:c r="E678" s="9" t="str">
        <x:v>CT-C-B-TECH-1</x:v>
      </x:c>
      <x:c r="F678" s="9" t="str">
        <x:v>CT-C-B</x:v>
      </x:c>
      <x:c r="G678" s="9" t="str">
        <x:v>B2</x:v>
      </x:c>
      <x:c r="H678" s="9" t="str">
        <x:v>INT</x:v>
      </x:c>
      <x:c r="I678" s="9" t="n">
        <x:v>3</x:v>
      </x:c>
      <x:c r="J678" s="9" t="n">
        <x:v>4</x:v>
      </x:c>
      <x:c r="K678" s="9" t="str">
        <x:v>CT-C-B-N2</x:v>
      </x:c>
      <x:c r="L678" s="9" t="str">
        <x:v>ST02</x:v>
      </x:c>
      <x:c r="M678" s="17" t="str">
        <x:v>Frozen identity</x:v>
      </x:c>
      <x:c r="N678" s="17" t="str">
        <x:v>serial, generation, fixture, site, receiver and digest match the warrant</x:v>
      </x:c>
      <x:c r="O678" s="17" t="str">
        <x:v>Custody authority</x:v>
      </x:c>
      <x:c r="P678" s="9" t="n">
        <x:v>0</x:v>
      </x:c>
      <x:c r="Q678" s="9" t="n">
        <x:v>0</x:v>
      </x:c>
      <x:c r="R678" s="9" t="str">
        <x:v>OPEN / UNSTARTED</x:v>
      </x:c>
      <x:c r="S678" s="9" t="n">
        <x:f>COUNTIFS($A$7:$A$1446,A678)</x:f>
        <x:v>1</x:v>
      </x:c>
    </x:row>
    <x:row r="679">
      <x:c r="A679" s="9" t="str">
        <x:v>EV-AR-CT-C-B-TECH-1-B2-INT-G0-ST03</x:v>
      </x:c>
      <x:c r="B679" s="9" t="str">
        <x:v>EV-AR-CT-C-B-TECH-1-B2-INT-G0</x:v>
      </x:c>
      <x:c r="C679" s="9" t="str">
        <x:v>EOW-AR-CT-C-B-TECH-1-B2-INT-G0</x:v>
      </x:c>
      <x:c r="D679" s="9" t="str">
        <x:v>AR-CT-C-B-TECH-1-B2-INT-G0</x:v>
      </x:c>
      <x:c r="E679" s="9" t="str">
        <x:v>CT-C-B-TECH-1</x:v>
      </x:c>
      <x:c r="F679" s="9" t="str">
        <x:v>CT-C-B</x:v>
      </x:c>
      <x:c r="G679" s="9" t="str">
        <x:v>B2</x:v>
      </x:c>
      <x:c r="H679" s="9" t="str">
        <x:v>INT</x:v>
      </x:c>
      <x:c r="I679" s="9" t="n">
        <x:v>3</x:v>
      </x:c>
      <x:c r="J679" s="9" t="n">
        <x:v>4</x:v>
      </x:c>
      <x:c r="K679" s="9" t="str">
        <x:v>CT-C-B-N2</x:v>
      </x:c>
      <x:c r="L679" s="9" t="str">
        <x:v>ST03</x:v>
      </x:c>
      <x:c r="M679" s="17" t="str">
        <x:v>Receiver receipt</x:v>
      </x:c>
      <x:c r="N679" s="17" t="str">
        <x:v>denominator, counterfactual, rights and stop receipt remain unchanged</x:v>
      </x:c>
      <x:c r="O679" s="17" t="str">
        <x:v>Receiver authority</x:v>
      </x:c>
      <x:c r="P679" s="9" t="n">
        <x:v>0</x:v>
      </x:c>
      <x:c r="Q679" s="9" t="n">
        <x:v>0</x:v>
      </x:c>
      <x:c r="R679" s="9" t="str">
        <x:v>OPEN / UNSTARTED</x:v>
      </x:c>
      <x:c r="S679" s="9" t="n">
        <x:f>COUNTIFS($A$7:$A$1446,A679)</x:f>
        <x:v>1</x:v>
      </x:c>
    </x:row>
    <x:row r="680">
      <x:c r="A680" s="9" t="str">
        <x:v>EV-AR-CT-C-B-TECH-1-B2-INT-G0-ST04</x:v>
      </x:c>
      <x:c r="B680" s="9" t="str">
        <x:v>EV-AR-CT-C-B-TECH-1-B2-INT-G0</x:v>
      </x:c>
      <x:c r="C680" s="9" t="str">
        <x:v>EOW-AR-CT-C-B-TECH-1-B2-INT-G0</x:v>
      </x:c>
      <x:c r="D680" s="9" t="str">
        <x:v>AR-CT-C-B-TECH-1-B2-INT-G0</x:v>
      </x:c>
      <x:c r="E680" s="9" t="str">
        <x:v>CT-C-B-TECH-1</x:v>
      </x:c>
      <x:c r="F680" s="9" t="str">
        <x:v>CT-C-B</x:v>
      </x:c>
      <x:c r="G680" s="9" t="str">
        <x:v>B2</x:v>
      </x:c>
      <x:c r="H680" s="9" t="str">
        <x:v>INT</x:v>
      </x:c>
      <x:c r="I680" s="9" t="n">
        <x:v>3</x:v>
      </x:c>
      <x:c r="J680" s="9" t="n">
        <x:v>4</x:v>
      </x:c>
      <x:c r="K680" s="9" t="str">
        <x:v>CT-C-B-N2</x:v>
      </x:c>
      <x:c r="L680" s="9" t="str">
        <x:v>ST04</x:v>
      </x:c>
      <x:c r="M680" s="17" t="str">
        <x:v>Primary capture armed</x:v>
      </x:c>
      <x:c r="N680" s="17" t="str">
        <x:v>primary chain records sealed reference and live time</x:v>
      </x:c>
      <x:c r="O680" s="17" t="str">
        <x:v>Primary metrology</x:v>
      </x:c>
      <x:c r="P680" s="9" t="n">
        <x:v>0</x:v>
      </x:c>
      <x:c r="Q680" s="9" t="n">
        <x:v>0</x:v>
      </x:c>
      <x:c r="R680" s="9" t="str">
        <x:v>OPEN / UNSTARTED</x:v>
      </x:c>
      <x:c r="S680" s="9" t="n">
        <x:f>COUNTIFS($A$7:$A$1446,A680)</x:f>
        <x:v>1</x:v>
      </x:c>
    </x:row>
    <x:row r="681">
      <x:c r="A681" s="9" t="str">
        <x:v>EV-AR-CT-C-B-TECH-1-B2-INT-G0-ST05</x:v>
      </x:c>
      <x:c r="B681" s="9" t="str">
        <x:v>EV-AR-CT-C-B-TECH-1-B2-INT-G0</x:v>
      </x:c>
      <x:c r="C681" s="9" t="str">
        <x:v>EOW-AR-CT-C-B-TECH-1-B2-INT-G0</x:v>
      </x:c>
      <x:c r="D681" s="9" t="str">
        <x:v>AR-CT-C-B-TECH-1-B2-INT-G0</x:v>
      </x:c>
      <x:c r="E681" s="9" t="str">
        <x:v>CT-C-B-TECH-1</x:v>
      </x:c>
      <x:c r="F681" s="9" t="str">
        <x:v>CT-C-B</x:v>
      </x:c>
      <x:c r="G681" s="9" t="str">
        <x:v>B2</x:v>
      </x:c>
      <x:c r="H681" s="9" t="str">
        <x:v>INT</x:v>
      </x:c>
      <x:c r="I681" s="9" t="n">
        <x:v>3</x:v>
      </x:c>
      <x:c r="J681" s="9" t="n">
        <x:v>4</x:v>
      </x:c>
      <x:c r="K681" s="9" t="str">
        <x:v>CT-C-B-N2</x:v>
      </x:c>
      <x:c r="L681" s="9" t="str">
        <x:v>ST05</x:v>
      </x:c>
      <x:c r="M681" s="17" t="str">
        <x:v>Witness capture armed</x:v>
      </x:c>
      <x:c r="N681" s="17" t="str">
        <x:v>unlike witness records independent reference and live time</x:v>
      </x:c>
      <x:c r="O681" s="17" t="str">
        <x:v>Witness metrology</x:v>
      </x:c>
      <x:c r="P681" s="9" t="n">
        <x:v>0</x:v>
      </x:c>
      <x:c r="Q681" s="9" t="n">
        <x:v>0</x:v>
      </x:c>
      <x:c r="R681" s="9" t="str">
        <x:v>OPEN / UNSTARTED</x:v>
      </x:c>
      <x:c r="S681" s="9" t="n">
        <x:f>COUNTIFS($A$7:$A$1446,A681)</x:f>
        <x:v>1</x:v>
      </x:c>
    </x:row>
    <x:row r="682">
      <x:c r="A682" s="9" t="str">
        <x:v>EV-AR-CT-C-B-TECH-1-B2-INT-G0-ST06</x:v>
      </x:c>
      <x:c r="B682" s="9" t="str">
        <x:v>EV-AR-CT-C-B-TECH-1-B2-INT-G0</x:v>
      </x:c>
      <x:c r="C682" s="9" t="str">
        <x:v>EOW-AR-CT-C-B-TECH-1-B2-INT-G0</x:v>
      </x:c>
      <x:c r="D682" s="9" t="str">
        <x:v>AR-CT-C-B-TECH-1-B2-INT-G0</x:v>
      </x:c>
      <x:c r="E682" s="9" t="str">
        <x:v>CT-C-B-TECH-1</x:v>
      </x:c>
      <x:c r="F682" s="9" t="str">
        <x:v>CT-C-B</x:v>
      </x:c>
      <x:c r="G682" s="9" t="str">
        <x:v>B2</x:v>
      </x:c>
      <x:c r="H682" s="9" t="str">
        <x:v>INT</x:v>
      </x:c>
      <x:c r="I682" s="9" t="n">
        <x:v>3</x:v>
      </x:c>
      <x:c r="J682" s="9" t="n">
        <x:v>4</x:v>
      </x:c>
      <x:c r="K682" s="9" t="str">
        <x:v>CT-C-B-N2</x:v>
      </x:c>
      <x:c r="L682" s="9" t="str">
        <x:v>ST06</x:v>
      </x:c>
      <x:c r="M682" s="17" t="str">
        <x:v>Public custody armed</x:v>
      </x:c>
      <x:c r="N682" s="17" t="str">
        <x:v>eight raw origins have separated hash and replica routes</x:v>
      </x:c>
      <x:c r="O682" s="17" t="str">
        <x:v>Custody authority</x:v>
      </x:c>
      <x:c r="P682" s="9" t="n">
        <x:v>0</x:v>
      </x:c>
      <x:c r="Q682" s="9" t="n">
        <x:v>0</x:v>
      </x:c>
      <x:c r="R682" s="9" t="str">
        <x:v>OPEN / UNSTARTED</x:v>
      </x:c>
      <x:c r="S682" s="9" t="n">
        <x:f>COUNTIFS($A$7:$A$1446,A682)</x:f>
        <x:v>1</x:v>
      </x:c>
    </x:row>
    <x:row r="683">
      <x:c r="A683" s="9" t="str">
        <x:v>EV-AR-CT-C-B-TECH-1-B2-INT-G0-ST07</x:v>
      </x:c>
      <x:c r="B683" s="9" t="str">
        <x:v>EV-AR-CT-C-B-TECH-1-B2-INT-G0</x:v>
      </x:c>
      <x:c r="C683" s="9" t="str">
        <x:v>EOW-AR-CT-C-B-TECH-1-B2-INT-G0</x:v>
      </x:c>
      <x:c r="D683" s="9" t="str">
        <x:v>AR-CT-C-B-TECH-1-B2-INT-G0</x:v>
      </x:c>
      <x:c r="E683" s="9" t="str">
        <x:v>CT-C-B-TECH-1</x:v>
      </x:c>
      <x:c r="F683" s="9" t="str">
        <x:v>CT-C-B</x:v>
      </x:c>
      <x:c r="G683" s="9" t="str">
        <x:v>B2</x:v>
      </x:c>
      <x:c r="H683" s="9" t="str">
        <x:v>INT</x:v>
      </x:c>
      <x:c r="I683" s="9" t="n">
        <x:v>3</x:v>
      </x:c>
      <x:c r="J683" s="9" t="n">
        <x:v>4</x:v>
      </x:c>
      <x:c r="K683" s="9" t="str">
        <x:v>CT-C-B-N2</x:v>
      </x:c>
      <x:c r="L683" s="9" t="str">
        <x:v>ST07</x:v>
      </x:c>
      <x:c r="M683" s="17" t="str">
        <x:v>Environmental baseline</x:v>
      </x:c>
      <x:c r="N683" s="17" t="str">
        <x:v>pre-event boundary state is sealed before decisive operation</x:v>
      </x:c>
      <x:c r="O683" s="17" t="str">
        <x:v>Site metrology</x:v>
      </x:c>
      <x:c r="P683" s="9" t="n">
        <x:v>0</x:v>
      </x:c>
      <x:c r="Q683" s="9" t="n">
        <x:v>0</x:v>
      </x:c>
      <x:c r="R683" s="9" t="str">
        <x:v>OPEN / UNSTARTED</x:v>
      </x:c>
      <x:c r="S683" s="9" t="n">
        <x:f>COUNTIFS($A$7:$A$1446,A683)</x:f>
        <x:v>1</x:v>
      </x:c>
    </x:row>
    <x:row r="684">
      <x:c r="A684" s="9" t="str">
        <x:v>EV-AR-CT-C-B-TECH-1-B2-INT-G0-ST08</x:v>
      </x:c>
      <x:c r="B684" s="9" t="str">
        <x:v>EV-AR-CT-C-B-TECH-1-B2-INT-G0</x:v>
      </x:c>
      <x:c r="C684" s="9" t="str">
        <x:v>EOW-AR-CT-C-B-TECH-1-B2-INT-G0</x:v>
      </x:c>
      <x:c r="D684" s="9" t="str">
        <x:v>AR-CT-C-B-TECH-1-B2-INT-G0</x:v>
      </x:c>
      <x:c r="E684" s="9" t="str">
        <x:v>CT-C-B-TECH-1</x:v>
      </x:c>
      <x:c r="F684" s="9" t="str">
        <x:v>CT-C-B</x:v>
      </x:c>
      <x:c r="G684" s="9" t="str">
        <x:v>B2</x:v>
      </x:c>
      <x:c r="H684" s="9" t="str">
        <x:v>INT</x:v>
      </x:c>
      <x:c r="I684" s="9" t="n">
        <x:v>3</x:v>
      </x:c>
      <x:c r="J684" s="9" t="n">
        <x:v>4</x:v>
      </x:c>
      <x:c r="K684" s="9" t="str">
        <x:v>CT-C-B-N2</x:v>
      </x:c>
      <x:c r="L684" s="9" t="str">
        <x:v>ST08</x:v>
      </x:c>
      <x:c r="M684" s="17" t="str">
        <x:v>Manual stop and safety</x:v>
      </x:c>
      <x:c r="N684" s="17" t="str">
        <x:v>local stop, evacuation and protection routes are active</x:v>
      </x:c>
      <x:c r="O684" s="17" t="str">
        <x:v>Safety authority</x:v>
      </x:c>
      <x:c r="P684" s="9" t="n">
        <x:v>0</x:v>
      </x:c>
      <x:c r="Q684" s="9" t="n">
        <x:v>0</x:v>
      </x:c>
      <x:c r="R684" s="9" t="str">
        <x:v>OPEN / UNSTARTED</x:v>
      </x:c>
      <x:c r="S684" s="9" t="n">
        <x:f>COUNTIFS($A$7:$A$1446,A684)</x:f>
        <x:v>1</x:v>
      </x:c>
    </x:row>
    <x:row r="685">
      <x:c r="A685" s="9" t="str">
        <x:v>EV-AR-CT-C-B-TECH-1-B2-INT-G0-ST09</x:v>
      </x:c>
      <x:c r="B685" s="9" t="str">
        <x:v>EV-AR-CT-C-B-TECH-1-B2-INT-G0</x:v>
      </x:c>
      <x:c r="C685" s="9" t="str">
        <x:v>EOW-AR-CT-C-B-TECH-1-B2-INT-G0</x:v>
      </x:c>
      <x:c r="D685" s="9" t="str">
        <x:v>AR-CT-C-B-TECH-1-B2-INT-G0</x:v>
      </x:c>
      <x:c r="E685" s="9" t="str">
        <x:v>CT-C-B-TECH-1</x:v>
      </x:c>
      <x:c r="F685" s="9" t="str">
        <x:v>CT-C-B</x:v>
      </x:c>
      <x:c r="G685" s="9" t="str">
        <x:v>B2</x:v>
      </x:c>
      <x:c r="H685" s="9" t="str">
        <x:v>INT</x:v>
      </x:c>
      <x:c r="I685" s="9" t="n">
        <x:v>3</x:v>
      </x:c>
      <x:c r="J685" s="9" t="n">
        <x:v>4</x:v>
      </x:c>
      <x:c r="K685" s="9" t="str">
        <x:v>CT-C-B-N2</x:v>
      </x:c>
      <x:c r="L685" s="9" t="str">
        <x:v>ST09</x:v>
      </x:c>
      <x:c r="M685" s="17" t="str">
        <x:v>Operator conflict clear</x:v>
      </x:c>
      <x:c r="N685" s="17" t="str">
        <x:v>candidate, fixture, safety and measurement control edges remain separated</x:v>
      </x:c>
      <x:c r="O685" s="17" t="str">
        <x:v>Conflict registrar</x:v>
      </x:c>
      <x:c r="P685" s="9" t="n">
        <x:v>0</x:v>
      </x:c>
      <x:c r="Q685" s="9" t="n">
        <x:v>0</x:v>
      </x:c>
      <x:c r="R685" s="9" t="str">
        <x:v>OPEN / UNSTARTED</x:v>
      </x:c>
      <x:c r="S685" s="9" t="n">
        <x:f>COUNTIFS($A$7:$A$1446,A685)</x:f>
        <x:v>1</x:v>
      </x:c>
    </x:row>
    <x:row r="686">
      <x:c r="A686" s="9" t="str">
        <x:v>EV-AR-CT-C-B-TECH-1-B2-INT-G0-ST10</x:v>
      </x:c>
      <x:c r="B686" s="9" t="str">
        <x:v>EV-AR-CT-C-B-TECH-1-B2-INT-G0</x:v>
      </x:c>
      <x:c r="C686" s="9" t="str">
        <x:v>EOW-AR-CT-C-B-TECH-1-B2-INT-G0</x:v>
      </x:c>
      <x:c r="D686" s="9" t="str">
        <x:v>AR-CT-C-B-TECH-1-B2-INT-G0</x:v>
      </x:c>
      <x:c r="E686" s="9" t="str">
        <x:v>CT-C-B-TECH-1</x:v>
      </x:c>
      <x:c r="F686" s="9" t="str">
        <x:v>CT-C-B</x:v>
      </x:c>
      <x:c r="G686" s="9" t="str">
        <x:v>B2</x:v>
      </x:c>
      <x:c r="H686" s="9" t="str">
        <x:v>INT</x:v>
      </x:c>
      <x:c r="I686" s="9" t="n">
        <x:v>3</x:v>
      </x:c>
      <x:c r="J686" s="9" t="n">
        <x:v>4</x:v>
      </x:c>
      <x:c r="K686" s="9" t="str">
        <x:v>CT-C-B-N2</x:v>
      </x:c>
      <x:c r="L686" s="9" t="str">
        <x:v>ST10</x:v>
      </x:c>
      <x:c r="M686" s="17" t="str">
        <x:v>Window and common clock</x:v>
      </x:c>
      <x:c r="N686" s="17" t="str">
        <x:v>epoch, window and public time origin match the issued warrant</x:v>
      </x:c>
      <x:c r="O686" s="17" t="str">
        <x:v>Event clock authority</x:v>
      </x:c>
      <x:c r="P686" s="9" t="n">
        <x:v>0</x:v>
      </x:c>
      <x:c r="Q686" s="9" t="n">
        <x:v>0</x:v>
      </x:c>
      <x:c r="R686" s="9" t="str">
        <x:v>OPEN / UNSTARTED</x:v>
      </x:c>
      <x:c r="S686" s="9" t="n">
        <x:f>COUNTIFS($A$7:$A$1446,A686)</x:f>
        <x:v>1</x:v>
      </x:c>
    </x:row>
    <x:row r="687">
      <x:c r="A687" s="9" t="str">
        <x:v>EV-AR-HC-A-C-TECH-1-B1-INT-G0-ST01</x:v>
      </x:c>
      <x:c r="B687" s="9" t="str">
        <x:v>EV-AR-HC-A-C-TECH-1-B1-INT-G0</x:v>
      </x:c>
      <x:c r="C687" s="9" t="str">
        <x:v>EOW-AR-HC-A-C-TECH-1-B1-INT-G0</x:v>
      </x:c>
      <x:c r="D687" s="9" t="str">
        <x:v>AR-HC-A-C-TECH-1-B1-INT-G0</x:v>
      </x:c>
      <x:c r="E687" s="9" t="str">
        <x:v>HC-A-C-TECH-1</x:v>
      </x:c>
      <x:c r="F687" s="9" t="str">
        <x:v>HC-A-C</x:v>
      </x:c>
      <x:c r="G687" s="9" t="str">
        <x:v>B1</x:v>
      </x:c>
      <x:c r="H687" s="9" t="str">
        <x:v>INT</x:v>
      </x:c>
      <x:c r="I687" s="9" t="n">
        <x:v>3</x:v>
      </x:c>
      <x:c r="J687" s="9" t="n">
        <x:v>4</x:v>
      </x:c>
      <x:c r="K687" s="9" t="str">
        <x:v>HC-A-C-N1</x:v>
      </x:c>
      <x:c r="L687" s="9" t="str">
        <x:v>ST01</x:v>
      </x:c>
      <x:c r="M687" s="17" t="str">
        <x:v>Active opportunity warrant</x:v>
      </x:c>
      <x:c r="N687" s="17" t="str">
        <x:v>configuration-bound EOW is within its thirty-six-hour validity</x:v>
      </x:c>
      <x:c r="O687" s="17" t="str">
        <x:v>Start registrar</x:v>
      </x:c>
      <x:c r="P687" s="9" t="n">
        <x:v>0</x:v>
      </x:c>
      <x:c r="Q687" s="9" t="n">
        <x:v>0</x:v>
      </x:c>
      <x:c r="R687" s="9" t="str">
        <x:v>OPEN / UNSTARTED</x:v>
      </x:c>
      <x:c r="S687" s="9" t="n">
        <x:f>COUNTIFS($A$7:$A$1446,A687)</x:f>
        <x:v>1</x:v>
      </x:c>
    </x:row>
    <x:row r="688">
      <x:c r="A688" s="9" t="str">
        <x:v>EV-AR-HC-A-C-TECH-1-B1-INT-G0-ST02</x:v>
      </x:c>
      <x:c r="B688" s="9" t="str">
        <x:v>EV-AR-HC-A-C-TECH-1-B1-INT-G0</x:v>
      </x:c>
      <x:c r="C688" s="9" t="str">
        <x:v>EOW-AR-HC-A-C-TECH-1-B1-INT-G0</x:v>
      </x:c>
      <x:c r="D688" s="9" t="str">
        <x:v>AR-HC-A-C-TECH-1-B1-INT-G0</x:v>
      </x:c>
      <x:c r="E688" s="9" t="str">
        <x:v>HC-A-C-TECH-1</x:v>
      </x:c>
      <x:c r="F688" s="9" t="str">
        <x:v>HC-A-C</x:v>
      </x:c>
      <x:c r="G688" s="9" t="str">
        <x:v>B1</x:v>
      </x:c>
      <x:c r="H688" s="9" t="str">
        <x:v>INT</x:v>
      </x:c>
      <x:c r="I688" s="9" t="n">
        <x:v>3</x:v>
      </x:c>
      <x:c r="J688" s="9" t="n">
        <x:v>4</x:v>
      </x:c>
      <x:c r="K688" s="9" t="str">
        <x:v>HC-A-C-N1</x:v>
      </x:c>
      <x:c r="L688" s="9" t="str">
        <x:v>ST02</x:v>
      </x:c>
      <x:c r="M688" s="17" t="str">
        <x:v>Frozen identity</x:v>
      </x:c>
      <x:c r="N688" s="17" t="str">
        <x:v>serial, generation, fixture, site, receiver and digest match the warrant</x:v>
      </x:c>
      <x:c r="O688" s="17" t="str">
        <x:v>Custody authority</x:v>
      </x:c>
      <x:c r="P688" s="9" t="n">
        <x:v>0</x:v>
      </x:c>
      <x:c r="Q688" s="9" t="n">
        <x:v>0</x:v>
      </x:c>
      <x:c r="R688" s="9" t="str">
        <x:v>OPEN / UNSTARTED</x:v>
      </x:c>
      <x:c r="S688" s="9" t="n">
        <x:f>COUNTIFS($A$7:$A$1446,A688)</x:f>
        <x:v>1</x:v>
      </x:c>
    </x:row>
    <x:row r="689">
      <x:c r="A689" s="9" t="str">
        <x:v>EV-AR-HC-A-C-TECH-1-B1-INT-G0-ST03</x:v>
      </x:c>
      <x:c r="B689" s="9" t="str">
        <x:v>EV-AR-HC-A-C-TECH-1-B1-INT-G0</x:v>
      </x:c>
      <x:c r="C689" s="9" t="str">
        <x:v>EOW-AR-HC-A-C-TECH-1-B1-INT-G0</x:v>
      </x:c>
      <x:c r="D689" s="9" t="str">
        <x:v>AR-HC-A-C-TECH-1-B1-INT-G0</x:v>
      </x:c>
      <x:c r="E689" s="9" t="str">
        <x:v>HC-A-C-TECH-1</x:v>
      </x:c>
      <x:c r="F689" s="9" t="str">
        <x:v>HC-A-C</x:v>
      </x:c>
      <x:c r="G689" s="9" t="str">
        <x:v>B1</x:v>
      </x:c>
      <x:c r="H689" s="9" t="str">
        <x:v>INT</x:v>
      </x:c>
      <x:c r="I689" s="9" t="n">
        <x:v>3</x:v>
      </x:c>
      <x:c r="J689" s="9" t="n">
        <x:v>4</x:v>
      </x:c>
      <x:c r="K689" s="9" t="str">
        <x:v>HC-A-C-N1</x:v>
      </x:c>
      <x:c r="L689" s="9" t="str">
        <x:v>ST03</x:v>
      </x:c>
      <x:c r="M689" s="17" t="str">
        <x:v>Receiver receipt</x:v>
      </x:c>
      <x:c r="N689" s="17" t="str">
        <x:v>denominator, counterfactual, rights and stop receipt remain unchanged</x:v>
      </x:c>
      <x:c r="O689" s="17" t="str">
        <x:v>Receiver authority</x:v>
      </x:c>
      <x:c r="P689" s="9" t="n">
        <x:v>0</x:v>
      </x:c>
      <x:c r="Q689" s="9" t="n">
        <x:v>0</x:v>
      </x:c>
      <x:c r="R689" s="9" t="str">
        <x:v>OPEN / UNSTARTED</x:v>
      </x:c>
      <x:c r="S689" s="9" t="n">
        <x:f>COUNTIFS($A$7:$A$1446,A689)</x:f>
        <x:v>1</x:v>
      </x:c>
    </x:row>
    <x:row r="690">
      <x:c r="A690" s="9" t="str">
        <x:v>EV-AR-HC-A-C-TECH-1-B1-INT-G0-ST04</x:v>
      </x:c>
      <x:c r="B690" s="9" t="str">
        <x:v>EV-AR-HC-A-C-TECH-1-B1-INT-G0</x:v>
      </x:c>
      <x:c r="C690" s="9" t="str">
        <x:v>EOW-AR-HC-A-C-TECH-1-B1-INT-G0</x:v>
      </x:c>
      <x:c r="D690" s="9" t="str">
        <x:v>AR-HC-A-C-TECH-1-B1-INT-G0</x:v>
      </x:c>
      <x:c r="E690" s="9" t="str">
        <x:v>HC-A-C-TECH-1</x:v>
      </x:c>
      <x:c r="F690" s="9" t="str">
        <x:v>HC-A-C</x:v>
      </x:c>
      <x:c r="G690" s="9" t="str">
        <x:v>B1</x:v>
      </x:c>
      <x:c r="H690" s="9" t="str">
        <x:v>INT</x:v>
      </x:c>
      <x:c r="I690" s="9" t="n">
        <x:v>3</x:v>
      </x:c>
      <x:c r="J690" s="9" t="n">
        <x:v>4</x:v>
      </x:c>
      <x:c r="K690" s="9" t="str">
        <x:v>HC-A-C-N1</x:v>
      </x:c>
      <x:c r="L690" s="9" t="str">
        <x:v>ST04</x:v>
      </x:c>
      <x:c r="M690" s="17" t="str">
        <x:v>Primary capture armed</x:v>
      </x:c>
      <x:c r="N690" s="17" t="str">
        <x:v>primary chain records sealed reference and live time</x:v>
      </x:c>
      <x:c r="O690" s="17" t="str">
        <x:v>Primary metrology</x:v>
      </x:c>
      <x:c r="P690" s="9" t="n">
        <x:v>0</x:v>
      </x:c>
      <x:c r="Q690" s="9" t="n">
        <x:v>0</x:v>
      </x:c>
      <x:c r="R690" s="9" t="str">
        <x:v>OPEN / UNSTARTED</x:v>
      </x:c>
      <x:c r="S690" s="9" t="n">
        <x:f>COUNTIFS($A$7:$A$1446,A690)</x:f>
        <x:v>1</x:v>
      </x:c>
    </x:row>
    <x:row r="691">
      <x:c r="A691" s="9" t="str">
        <x:v>EV-AR-HC-A-C-TECH-1-B1-INT-G0-ST05</x:v>
      </x:c>
      <x:c r="B691" s="9" t="str">
        <x:v>EV-AR-HC-A-C-TECH-1-B1-INT-G0</x:v>
      </x:c>
      <x:c r="C691" s="9" t="str">
        <x:v>EOW-AR-HC-A-C-TECH-1-B1-INT-G0</x:v>
      </x:c>
      <x:c r="D691" s="9" t="str">
        <x:v>AR-HC-A-C-TECH-1-B1-INT-G0</x:v>
      </x:c>
      <x:c r="E691" s="9" t="str">
        <x:v>HC-A-C-TECH-1</x:v>
      </x:c>
      <x:c r="F691" s="9" t="str">
        <x:v>HC-A-C</x:v>
      </x:c>
      <x:c r="G691" s="9" t="str">
        <x:v>B1</x:v>
      </x:c>
      <x:c r="H691" s="9" t="str">
        <x:v>INT</x:v>
      </x:c>
      <x:c r="I691" s="9" t="n">
        <x:v>3</x:v>
      </x:c>
      <x:c r="J691" s="9" t="n">
        <x:v>4</x:v>
      </x:c>
      <x:c r="K691" s="9" t="str">
        <x:v>HC-A-C-N1</x:v>
      </x:c>
      <x:c r="L691" s="9" t="str">
        <x:v>ST05</x:v>
      </x:c>
      <x:c r="M691" s="17" t="str">
        <x:v>Witness capture armed</x:v>
      </x:c>
      <x:c r="N691" s="17" t="str">
        <x:v>unlike witness records independent reference and live time</x:v>
      </x:c>
      <x:c r="O691" s="17" t="str">
        <x:v>Witness metrology</x:v>
      </x:c>
      <x:c r="P691" s="9" t="n">
        <x:v>0</x:v>
      </x:c>
      <x:c r="Q691" s="9" t="n">
        <x:v>0</x:v>
      </x:c>
      <x:c r="R691" s="9" t="str">
        <x:v>OPEN / UNSTARTED</x:v>
      </x:c>
      <x:c r="S691" s="9" t="n">
        <x:f>COUNTIFS($A$7:$A$1446,A691)</x:f>
        <x:v>1</x:v>
      </x:c>
    </x:row>
    <x:row r="692">
      <x:c r="A692" s="9" t="str">
        <x:v>EV-AR-HC-A-C-TECH-1-B1-INT-G0-ST06</x:v>
      </x:c>
      <x:c r="B692" s="9" t="str">
        <x:v>EV-AR-HC-A-C-TECH-1-B1-INT-G0</x:v>
      </x:c>
      <x:c r="C692" s="9" t="str">
        <x:v>EOW-AR-HC-A-C-TECH-1-B1-INT-G0</x:v>
      </x:c>
      <x:c r="D692" s="9" t="str">
        <x:v>AR-HC-A-C-TECH-1-B1-INT-G0</x:v>
      </x:c>
      <x:c r="E692" s="9" t="str">
        <x:v>HC-A-C-TECH-1</x:v>
      </x:c>
      <x:c r="F692" s="9" t="str">
        <x:v>HC-A-C</x:v>
      </x:c>
      <x:c r="G692" s="9" t="str">
        <x:v>B1</x:v>
      </x:c>
      <x:c r="H692" s="9" t="str">
        <x:v>INT</x:v>
      </x:c>
      <x:c r="I692" s="9" t="n">
        <x:v>3</x:v>
      </x:c>
      <x:c r="J692" s="9" t="n">
        <x:v>4</x:v>
      </x:c>
      <x:c r="K692" s="9" t="str">
        <x:v>HC-A-C-N1</x:v>
      </x:c>
      <x:c r="L692" s="9" t="str">
        <x:v>ST06</x:v>
      </x:c>
      <x:c r="M692" s="17" t="str">
        <x:v>Public custody armed</x:v>
      </x:c>
      <x:c r="N692" s="17" t="str">
        <x:v>eight raw origins have separated hash and replica routes</x:v>
      </x:c>
      <x:c r="O692" s="17" t="str">
        <x:v>Custody authority</x:v>
      </x:c>
      <x:c r="P692" s="9" t="n">
        <x:v>0</x:v>
      </x:c>
      <x:c r="Q692" s="9" t="n">
        <x:v>0</x:v>
      </x:c>
      <x:c r="R692" s="9" t="str">
        <x:v>OPEN / UNSTARTED</x:v>
      </x:c>
      <x:c r="S692" s="9" t="n">
        <x:f>COUNTIFS($A$7:$A$1446,A692)</x:f>
        <x:v>1</x:v>
      </x:c>
    </x:row>
    <x:row r="693">
      <x:c r="A693" s="9" t="str">
        <x:v>EV-AR-HC-A-C-TECH-1-B1-INT-G0-ST07</x:v>
      </x:c>
      <x:c r="B693" s="9" t="str">
        <x:v>EV-AR-HC-A-C-TECH-1-B1-INT-G0</x:v>
      </x:c>
      <x:c r="C693" s="9" t="str">
        <x:v>EOW-AR-HC-A-C-TECH-1-B1-INT-G0</x:v>
      </x:c>
      <x:c r="D693" s="9" t="str">
        <x:v>AR-HC-A-C-TECH-1-B1-INT-G0</x:v>
      </x:c>
      <x:c r="E693" s="9" t="str">
        <x:v>HC-A-C-TECH-1</x:v>
      </x:c>
      <x:c r="F693" s="9" t="str">
        <x:v>HC-A-C</x:v>
      </x:c>
      <x:c r="G693" s="9" t="str">
        <x:v>B1</x:v>
      </x:c>
      <x:c r="H693" s="9" t="str">
        <x:v>INT</x:v>
      </x:c>
      <x:c r="I693" s="9" t="n">
        <x:v>3</x:v>
      </x:c>
      <x:c r="J693" s="9" t="n">
        <x:v>4</x:v>
      </x:c>
      <x:c r="K693" s="9" t="str">
        <x:v>HC-A-C-N1</x:v>
      </x:c>
      <x:c r="L693" s="9" t="str">
        <x:v>ST07</x:v>
      </x:c>
      <x:c r="M693" s="17" t="str">
        <x:v>Environmental baseline</x:v>
      </x:c>
      <x:c r="N693" s="17" t="str">
        <x:v>pre-event boundary state is sealed before decisive operation</x:v>
      </x:c>
      <x:c r="O693" s="17" t="str">
        <x:v>Site metrology</x:v>
      </x:c>
      <x:c r="P693" s="9" t="n">
        <x:v>0</x:v>
      </x:c>
      <x:c r="Q693" s="9" t="n">
        <x:v>0</x:v>
      </x:c>
      <x:c r="R693" s="9" t="str">
        <x:v>OPEN / UNSTARTED</x:v>
      </x:c>
      <x:c r="S693" s="9" t="n">
        <x:f>COUNTIFS($A$7:$A$1446,A693)</x:f>
        <x:v>1</x:v>
      </x:c>
    </x:row>
    <x:row r="694">
      <x:c r="A694" s="9" t="str">
        <x:v>EV-AR-HC-A-C-TECH-1-B1-INT-G0-ST08</x:v>
      </x:c>
      <x:c r="B694" s="9" t="str">
        <x:v>EV-AR-HC-A-C-TECH-1-B1-INT-G0</x:v>
      </x:c>
      <x:c r="C694" s="9" t="str">
        <x:v>EOW-AR-HC-A-C-TECH-1-B1-INT-G0</x:v>
      </x:c>
      <x:c r="D694" s="9" t="str">
        <x:v>AR-HC-A-C-TECH-1-B1-INT-G0</x:v>
      </x:c>
      <x:c r="E694" s="9" t="str">
        <x:v>HC-A-C-TECH-1</x:v>
      </x:c>
      <x:c r="F694" s="9" t="str">
        <x:v>HC-A-C</x:v>
      </x:c>
      <x:c r="G694" s="9" t="str">
        <x:v>B1</x:v>
      </x:c>
      <x:c r="H694" s="9" t="str">
        <x:v>INT</x:v>
      </x:c>
      <x:c r="I694" s="9" t="n">
        <x:v>3</x:v>
      </x:c>
      <x:c r="J694" s="9" t="n">
        <x:v>4</x:v>
      </x:c>
      <x:c r="K694" s="9" t="str">
        <x:v>HC-A-C-N1</x:v>
      </x:c>
      <x:c r="L694" s="9" t="str">
        <x:v>ST08</x:v>
      </x:c>
      <x:c r="M694" s="17" t="str">
        <x:v>Manual stop and safety</x:v>
      </x:c>
      <x:c r="N694" s="17" t="str">
        <x:v>local stop, evacuation and protection routes are active</x:v>
      </x:c>
      <x:c r="O694" s="17" t="str">
        <x:v>Safety authority</x:v>
      </x:c>
      <x:c r="P694" s="9" t="n">
        <x:v>0</x:v>
      </x:c>
      <x:c r="Q694" s="9" t="n">
        <x:v>0</x:v>
      </x:c>
      <x:c r="R694" s="9" t="str">
        <x:v>OPEN / UNSTARTED</x:v>
      </x:c>
      <x:c r="S694" s="9" t="n">
        <x:f>COUNTIFS($A$7:$A$1446,A694)</x:f>
        <x:v>1</x:v>
      </x:c>
    </x:row>
    <x:row r="695">
      <x:c r="A695" s="9" t="str">
        <x:v>EV-AR-HC-A-C-TECH-1-B1-INT-G0-ST09</x:v>
      </x:c>
      <x:c r="B695" s="9" t="str">
        <x:v>EV-AR-HC-A-C-TECH-1-B1-INT-G0</x:v>
      </x:c>
      <x:c r="C695" s="9" t="str">
        <x:v>EOW-AR-HC-A-C-TECH-1-B1-INT-G0</x:v>
      </x:c>
      <x:c r="D695" s="9" t="str">
        <x:v>AR-HC-A-C-TECH-1-B1-INT-G0</x:v>
      </x:c>
      <x:c r="E695" s="9" t="str">
        <x:v>HC-A-C-TECH-1</x:v>
      </x:c>
      <x:c r="F695" s="9" t="str">
        <x:v>HC-A-C</x:v>
      </x:c>
      <x:c r="G695" s="9" t="str">
        <x:v>B1</x:v>
      </x:c>
      <x:c r="H695" s="9" t="str">
        <x:v>INT</x:v>
      </x:c>
      <x:c r="I695" s="9" t="n">
        <x:v>3</x:v>
      </x:c>
      <x:c r="J695" s="9" t="n">
        <x:v>4</x:v>
      </x:c>
      <x:c r="K695" s="9" t="str">
        <x:v>HC-A-C-N1</x:v>
      </x:c>
      <x:c r="L695" s="9" t="str">
        <x:v>ST09</x:v>
      </x:c>
      <x:c r="M695" s="17" t="str">
        <x:v>Operator conflict clear</x:v>
      </x:c>
      <x:c r="N695" s="17" t="str">
        <x:v>candidate, fixture, safety and measurement control edges remain separated</x:v>
      </x:c>
      <x:c r="O695" s="17" t="str">
        <x:v>Conflict registrar</x:v>
      </x:c>
      <x:c r="P695" s="9" t="n">
        <x:v>0</x:v>
      </x:c>
      <x:c r="Q695" s="9" t="n">
        <x:v>0</x:v>
      </x:c>
      <x:c r="R695" s="9" t="str">
        <x:v>OPEN / UNSTARTED</x:v>
      </x:c>
      <x:c r="S695" s="9" t="n">
        <x:f>COUNTIFS($A$7:$A$1446,A695)</x:f>
        <x:v>1</x:v>
      </x:c>
    </x:row>
    <x:row r="696">
      <x:c r="A696" s="9" t="str">
        <x:v>EV-AR-HC-A-C-TECH-1-B1-INT-G0-ST10</x:v>
      </x:c>
      <x:c r="B696" s="9" t="str">
        <x:v>EV-AR-HC-A-C-TECH-1-B1-INT-G0</x:v>
      </x:c>
      <x:c r="C696" s="9" t="str">
        <x:v>EOW-AR-HC-A-C-TECH-1-B1-INT-G0</x:v>
      </x:c>
      <x:c r="D696" s="9" t="str">
        <x:v>AR-HC-A-C-TECH-1-B1-INT-G0</x:v>
      </x:c>
      <x:c r="E696" s="9" t="str">
        <x:v>HC-A-C-TECH-1</x:v>
      </x:c>
      <x:c r="F696" s="9" t="str">
        <x:v>HC-A-C</x:v>
      </x:c>
      <x:c r="G696" s="9" t="str">
        <x:v>B1</x:v>
      </x:c>
      <x:c r="H696" s="9" t="str">
        <x:v>INT</x:v>
      </x:c>
      <x:c r="I696" s="9" t="n">
        <x:v>3</x:v>
      </x:c>
      <x:c r="J696" s="9" t="n">
        <x:v>4</x:v>
      </x:c>
      <x:c r="K696" s="9" t="str">
        <x:v>HC-A-C-N1</x:v>
      </x:c>
      <x:c r="L696" s="9" t="str">
        <x:v>ST10</x:v>
      </x:c>
      <x:c r="M696" s="17" t="str">
        <x:v>Window and common clock</x:v>
      </x:c>
      <x:c r="N696" s="17" t="str">
        <x:v>epoch, window and public time origin match the issued warrant</x:v>
      </x:c>
      <x:c r="O696" s="17" t="str">
        <x:v>Event clock authority</x:v>
      </x:c>
      <x:c r="P696" s="9" t="n">
        <x:v>0</x:v>
      </x:c>
      <x:c r="Q696" s="9" t="n">
        <x:v>0</x:v>
      </x:c>
      <x:c r="R696" s="9" t="str">
        <x:v>OPEN / UNSTARTED</x:v>
      </x:c>
      <x:c r="S696" s="9" t="n">
        <x:f>COUNTIFS($A$7:$A$1446,A696)</x:f>
        <x:v>1</x:v>
      </x:c>
    </x:row>
    <x:row r="697">
      <x:c r="A697" s="9" t="str">
        <x:v>EV-AR-HC-A-C-TECH-2-B2-RCN-G0-ST01</x:v>
      </x:c>
      <x:c r="B697" s="9" t="str">
        <x:v>EV-AR-HC-A-C-TECH-2-B2-RCN-G0</x:v>
      </x:c>
      <x:c r="C697" s="9" t="str">
        <x:v>EOW-AR-HC-A-C-TECH-2-B2-RCN-G0</x:v>
      </x:c>
      <x:c r="D697" s="9" t="str">
        <x:v>AR-HC-A-C-TECH-2-B2-RCN-G0</x:v>
      </x:c>
      <x:c r="E697" s="9" t="str">
        <x:v>HC-A-C-TECH-2</x:v>
      </x:c>
      <x:c r="F697" s="9" t="str">
        <x:v>HC-A-C</x:v>
      </x:c>
      <x:c r="G697" s="9" t="str">
        <x:v>B2</x:v>
      </x:c>
      <x:c r="H697" s="9" t="str">
        <x:v>RCN</x:v>
      </x:c>
      <x:c r="I697" s="9" t="n">
        <x:v>3</x:v>
      </x:c>
      <x:c r="J697" s="9" t="n">
        <x:v>4</x:v>
      </x:c>
      <x:c r="K697" s="9" t="str">
        <x:v>HC-A-C-N2</x:v>
      </x:c>
      <x:c r="L697" s="9" t="str">
        <x:v>ST01</x:v>
      </x:c>
      <x:c r="M697" s="17" t="str">
        <x:v>Active opportunity warrant</x:v>
      </x:c>
      <x:c r="N697" s="17" t="str">
        <x:v>configuration-bound EOW is within its thirty-six-hour validity</x:v>
      </x:c>
      <x:c r="O697" s="17" t="str">
        <x:v>Start registrar</x:v>
      </x:c>
      <x:c r="P697" s="9" t="n">
        <x:v>0</x:v>
      </x:c>
      <x:c r="Q697" s="9" t="n">
        <x:v>0</x:v>
      </x:c>
      <x:c r="R697" s="9" t="str">
        <x:v>OPEN / UNSTARTED</x:v>
      </x:c>
      <x:c r="S697" s="9" t="n">
        <x:f>COUNTIFS($A$7:$A$1446,A697)</x:f>
        <x:v>1</x:v>
      </x:c>
    </x:row>
    <x:row r="698">
      <x:c r="A698" s="9" t="str">
        <x:v>EV-AR-HC-A-C-TECH-2-B2-RCN-G0-ST02</x:v>
      </x:c>
      <x:c r="B698" s="9" t="str">
        <x:v>EV-AR-HC-A-C-TECH-2-B2-RCN-G0</x:v>
      </x:c>
      <x:c r="C698" s="9" t="str">
        <x:v>EOW-AR-HC-A-C-TECH-2-B2-RCN-G0</x:v>
      </x:c>
      <x:c r="D698" s="9" t="str">
        <x:v>AR-HC-A-C-TECH-2-B2-RCN-G0</x:v>
      </x:c>
      <x:c r="E698" s="9" t="str">
        <x:v>HC-A-C-TECH-2</x:v>
      </x:c>
      <x:c r="F698" s="9" t="str">
        <x:v>HC-A-C</x:v>
      </x:c>
      <x:c r="G698" s="9" t="str">
        <x:v>B2</x:v>
      </x:c>
      <x:c r="H698" s="9" t="str">
        <x:v>RCN</x:v>
      </x:c>
      <x:c r="I698" s="9" t="n">
        <x:v>3</x:v>
      </x:c>
      <x:c r="J698" s="9" t="n">
        <x:v>4</x:v>
      </x:c>
      <x:c r="K698" s="9" t="str">
        <x:v>HC-A-C-N2</x:v>
      </x:c>
      <x:c r="L698" s="9" t="str">
        <x:v>ST02</x:v>
      </x:c>
      <x:c r="M698" s="17" t="str">
        <x:v>Frozen identity</x:v>
      </x:c>
      <x:c r="N698" s="17" t="str">
        <x:v>serial, generation, fixture, site, receiver and digest match the warrant</x:v>
      </x:c>
      <x:c r="O698" s="17" t="str">
        <x:v>Custody authority</x:v>
      </x:c>
      <x:c r="P698" s="9" t="n">
        <x:v>0</x:v>
      </x:c>
      <x:c r="Q698" s="9" t="n">
        <x:v>0</x:v>
      </x:c>
      <x:c r="R698" s="9" t="str">
        <x:v>OPEN / UNSTARTED</x:v>
      </x:c>
      <x:c r="S698" s="9" t="n">
        <x:f>COUNTIFS($A$7:$A$1446,A698)</x:f>
        <x:v>1</x:v>
      </x:c>
    </x:row>
    <x:row r="699">
      <x:c r="A699" s="9" t="str">
        <x:v>EV-AR-HC-A-C-TECH-2-B2-RCN-G0-ST03</x:v>
      </x:c>
      <x:c r="B699" s="9" t="str">
        <x:v>EV-AR-HC-A-C-TECH-2-B2-RCN-G0</x:v>
      </x:c>
      <x:c r="C699" s="9" t="str">
        <x:v>EOW-AR-HC-A-C-TECH-2-B2-RCN-G0</x:v>
      </x:c>
      <x:c r="D699" s="9" t="str">
        <x:v>AR-HC-A-C-TECH-2-B2-RCN-G0</x:v>
      </x:c>
      <x:c r="E699" s="9" t="str">
        <x:v>HC-A-C-TECH-2</x:v>
      </x:c>
      <x:c r="F699" s="9" t="str">
        <x:v>HC-A-C</x:v>
      </x:c>
      <x:c r="G699" s="9" t="str">
        <x:v>B2</x:v>
      </x:c>
      <x:c r="H699" s="9" t="str">
        <x:v>RCN</x:v>
      </x:c>
      <x:c r="I699" s="9" t="n">
        <x:v>3</x:v>
      </x:c>
      <x:c r="J699" s="9" t="n">
        <x:v>4</x:v>
      </x:c>
      <x:c r="K699" s="9" t="str">
        <x:v>HC-A-C-N2</x:v>
      </x:c>
      <x:c r="L699" s="9" t="str">
        <x:v>ST03</x:v>
      </x:c>
      <x:c r="M699" s="17" t="str">
        <x:v>Receiver receipt</x:v>
      </x:c>
      <x:c r="N699" s="17" t="str">
        <x:v>denominator, counterfactual, rights and stop receipt remain unchanged</x:v>
      </x:c>
      <x:c r="O699" s="17" t="str">
        <x:v>Receiver authority</x:v>
      </x:c>
      <x:c r="P699" s="9" t="n">
        <x:v>0</x:v>
      </x:c>
      <x:c r="Q699" s="9" t="n">
        <x:v>0</x:v>
      </x:c>
      <x:c r="R699" s="9" t="str">
        <x:v>OPEN / UNSTARTED</x:v>
      </x:c>
      <x:c r="S699" s="9" t="n">
        <x:f>COUNTIFS($A$7:$A$1446,A699)</x:f>
        <x:v>1</x:v>
      </x:c>
    </x:row>
    <x:row r="700">
      <x:c r="A700" s="9" t="str">
        <x:v>EV-AR-HC-A-C-TECH-2-B2-RCN-G0-ST04</x:v>
      </x:c>
      <x:c r="B700" s="9" t="str">
        <x:v>EV-AR-HC-A-C-TECH-2-B2-RCN-G0</x:v>
      </x:c>
      <x:c r="C700" s="9" t="str">
        <x:v>EOW-AR-HC-A-C-TECH-2-B2-RCN-G0</x:v>
      </x:c>
      <x:c r="D700" s="9" t="str">
        <x:v>AR-HC-A-C-TECH-2-B2-RCN-G0</x:v>
      </x:c>
      <x:c r="E700" s="9" t="str">
        <x:v>HC-A-C-TECH-2</x:v>
      </x:c>
      <x:c r="F700" s="9" t="str">
        <x:v>HC-A-C</x:v>
      </x:c>
      <x:c r="G700" s="9" t="str">
        <x:v>B2</x:v>
      </x:c>
      <x:c r="H700" s="9" t="str">
        <x:v>RCN</x:v>
      </x:c>
      <x:c r="I700" s="9" t="n">
        <x:v>3</x:v>
      </x:c>
      <x:c r="J700" s="9" t="n">
        <x:v>4</x:v>
      </x:c>
      <x:c r="K700" s="9" t="str">
        <x:v>HC-A-C-N2</x:v>
      </x:c>
      <x:c r="L700" s="9" t="str">
        <x:v>ST04</x:v>
      </x:c>
      <x:c r="M700" s="17" t="str">
        <x:v>Primary capture armed</x:v>
      </x:c>
      <x:c r="N700" s="17" t="str">
        <x:v>primary chain records sealed reference and live time</x:v>
      </x:c>
      <x:c r="O700" s="17" t="str">
        <x:v>Primary metrology</x:v>
      </x:c>
      <x:c r="P700" s="9" t="n">
        <x:v>0</x:v>
      </x:c>
      <x:c r="Q700" s="9" t="n">
        <x:v>0</x:v>
      </x:c>
      <x:c r="R700" s="9" t="str">
        <x:v>OPEN / UNSTARTED</x:v>
      </x:c>
      <x:c r="S700" s="9" t="n">
        <x:f>COUNTIFS($A$7:$A$1446,A700)</x:f>
        <x:v>1</x:v>
      </x:c>
    </x:row>
    <x:row r="701">
      <x:c r="A701" s="9" t="str">
        <x:v>EV-AR-HC-A-C-TECH-2-B2-RCN-G0-ST05</x:v>
      </x:c>
      <x:c r="B701" s="9" t="str">
        <x:v>EV-AR-HC-A-C-TECH-2-B2-RCN-G0</x:v>
      </x:c>
      <x:c r="C701" s="9" t="str">
        <x:v>EOW-AR-HC-A-C-TECH-2-B2-RCN-G0</x:v>
      </x:c>
      <x:c r="D701" s="9" t="str">
        <x:v>AR-HC-A-C-TECH-2-B2-RCN-G0</x:v>
      </x:c>
      <x:c r="E701" s="9" t="str">
        <x:v>HC-A-C-TECH-2</x:v>
      </x:c>
      <x:c r="F701" s="9" t="str">
        <x:v>HC-A-C</x:v>
      </x:c>
      <x:c r="G701" s="9" t="str">
        <x:v>B2</x:v>
      </x:c>
      <x:c r="H701" s="9" t="str">
        <x:v>RCN</x:v>
      </x:c>
      <x:c r="I701" s="9" t="n">
        <x:v>3</x:v>
      </x:c>
      <x:c r="J701" s="9" t="n">
        <x:v>4</x:v>
      </x:c>
      <x:c r="K701" s="9" t="str">
        <x:v>HC-A-C-N2</x:v>
      </x:c>
      <x:c r="L701" s="9" t="str">
        <x:v>ST05</x:v>
      </x:c>
      <x:c r="M701" s="17" t="str">
        <x:v>Witness capture armed</x:v>
      </x:c>
      <x:c r="N701" s="17" t="str">
        <x:v>unlike witness records independent reference and live time</x:v>
      </x:c>
      <x:c r="O701" s="17" t="str">
        <x:v>Witness metrology</x:v>
      </x:c>
      <x:c r="P701" s="9" t="n">
        <x:v>0</x:v>
      </x:c>
      <x:c r="Q701" s="9" t="n">
        <x:v>0</x:v>
      </x:c>
      <x:c r="R701" s="9" t="str">
        <x:v>OPEN / UNSTARTED</x:v>
      </x:c>
      <x:c r="S701" s="9" t="n">
        <x:f>COUNTIFS($A$7:$A$1446,A701)</x:f>
        <x:v>1</x:v>
      </x:c>
    </x:row>
    <x:row r="702">
      <x:c r="A702" s="9" t="str">
        <x:v>EV-AR-HC-A-C-TECH-2-B2-RCN-G0-ST06</x:v>
      </x:c>
      <x:c r="B702" s="9" t="str">
        <x:v>EV-AR-HC-A-C-TECH-2-B2-RCN-G0</x:v>
      </x:c>
      <x:c r="C702" s="9" t="str">
        <x:v>EOW-AR-HC-A-C-TECH-2-B2-RCN-G0</x:v>
      </x:c>
      <x:c r="D702" s="9" t="str">
        <x:v>AR-HC-A-C-TECH-2-B2-RCN-G0</x:v>
      </x:c>
      <x:c r="E702" s="9" t="str">
        <x:v>HC-A-C-TECH-2</x:v>
      </x:c>
      <x:c r="F702" s="9" t="str">
        <x:v>HC-A-C</x:v>
      </x:c>
      <x:c r="G702" s="9" t="str">
        <x:v>B2</x:v>
      </x:c>
      <x:c r="H702" s="9" t="str">
        <x:v>RCN</x:v>
      </x:c>
      <x:c r="I702" s="9" t="n">
        <x:v>3</x:v>
      </x:c>
      <x:c r="J702" s="9" t="n">
        <x:v>4</x:v>
      </x:c>
      <x:c r="K702" s="9" t="str">
        <x:v>HC-A-C-N2</x:v>
      </x:c>
      <x:c r="L702" s="9" t="str">
        <x:v>ST06</x:v>
      </x:c>
      <x:c r="M702" s="17" t="str">
        <x:v>Public custody armed</x:v>
      </x:c>
      <x:c r="N702" s="17" t="str">
        <x:v>eight raw origins have separated hash and replica routes</x:v>
      </x:c>
      <x:c r="O702" s="17" t="str">
        <x:v>Custody authority</x:v>
      </x:c>
      <x:c r="P702" s="9" t="n">
        <x:v>0</x:v>
      </x:c>
      <x:c r="Q702" s="9" t="n">
        <x:v>0</x:v>
      </x:c>
      <x:c r="R702" s="9" t="str">
        <x:v>OPEN / UNSTARTED</x:v>
      </x:c>
      <x:c r="S702" s="9" t="n">
        <x:f>COUNTIFS($A$7:$A$1446,A702)</x:f>
        <x:v>1</x:v>
      </x:c>
    </x:row>
    <x:row r="703">
      <x:c r="A703" s="9" t="str">
        <x:v>EV-AR-HC-A-C-TECH-2-B2-RCN-G0-ST07</x:v>
      </x:c>
      <x:c r="B703" s="9" t="str">
        <x:v>EV-AR-HC-A-C-TECH-2-B2-RCN-G0</x:v>
      </x:c>
      <x:c r="C703" s="9" t="str">
        <x:v>EOW-AR-HC-A-C-TECH-2-B2-RCN-G0</x:v>
      </x:c>
      <x:c r="D703" s="9" t="str">
        <x:v>AR-HC-A-C-TECH-2-B2-RCN-G0</x:v>
      </x:c>
      <x:c r="E703" s="9" t="str">
        <x:v>HC-A-C-TECH-2</x:v>
      </x:c>
      <x:c r="F703" s="9" t="str">
        <x:v>HC-A-C</x:v>
      </x:c>
      <x:c r="G703" s="9" t="str">
        <x:v>B2</x:v>
      </x:c>
      <x:c r="H703" s="9" t="str">
        <x:v>RCN</x:v>
      </x:c>
      <x:c r="I703" s="9" t="n">
        <x:v>3</x:v>
      </x:c>
      <x:c r="J703" s="9" t="n">
        <x:v>4</x:v>
      </x:c>
      <x:c r="K703" s="9" t="str">
        <x:v>HC-A-C-N2</x:v>
      </x:c>
      <x:c r="L703" s="9" t="str">
        <x:v>ST07</x:v>
      </x:c>
      <x:c r="M703" s="17" t="str">
        <x:v>Environmental baseline</x:v>
      </x:c>
      <x:c r="N703" s="17" t="str">
        <x:v>pre-event boundary state is sealed before decisive operation</x:v>
      </x:c>
      <x:c r="O703" s="17" t="str">
        <x:v>Site metrology</x:v>
      </x:c>
      <x:c r="P703" s="9" t="n">
        <x:v>0</x:v>
      </x:c>
      <x:c r="Q703" s="9" t="n">
        <x:v>0</x:v>
      </x:c>
      <x:c r="R703" s="9" t="str">
        <x:v>OPEN / UNSTARTED</x:v>
      </x:c>
      <x:c r="S703" s="9" t="n">
        <x:f>COUNTIFS($A$7:$A$1446,A703)</x:f>
        <x:v>1</x:v>
      </x:c>
    </x:row>
    <x:row r="704">
      <x:c r="A704" s="9" t="str">
        <x:v>EV-AR-HC-A-C-TECH-2-B2-RCN-G0-ST08</x:v>
      </x:c>
      <x:c r="B704" s="9" t="str">
        <x:v>EV-AR-HC-A-C-TECH-2-B2-RCN-G0</x:v>
      </x:c>
      <x:c r="C704" s="9" t="str">
        <x:v>EOW-AR-HC-A-C-TECH-2-B2-RCN-G0</x:v>
      </x:c>
      <x:c r="D704" s="9" t="str">
        <x:v>AR-HC-A-C-TECH-2-B2-RCN-G0</x:v>
      </x:c>
      <x:c r="E704" s="9" t="str">
        <x:v>HC-A-C-TECH-2</x:v>
      </x:c>
      <x:c r="F704" s="9" t="str">
        <x:v>HC-A-C</x:v>
      </x:c>
      <x:c r="G704" s="9" t="str">
        <x:v>B2</x:v>
      </x:c>
      <x:c r="H704" s="9" t="str">
        <x:v>RCN</x:v>
      </x:c>
      <x:c r="I704" s="9" t="n">
        <x:v>3</x:v>
      </x:c>
      <x:c r="J704" s="9" t="n">
        <x:v>4</x:v>
      </x:c>
      <x:c r="K704" s="9" t="str">
        <x:v>HC-A-C-N2</x:v>
      </x:c>
      <x:c r="L704" s="9" t="str">
        <x:v>ST08</x:v>
      </x:c>
      <x:c r="M704" s="17" t="str">
        <x:v>Manual stop and safety</x:v>
      </x:c>
      <x:c r="N704" s="17" t="str">
        <x:v>local stop, evacuation and protection routes are active</x:v>
      </x:c>
      <x:c r="O704" s="17" t="str">
        <x:v>Safety authority</x:v>
      </x:c>
      <x:c r="P704" s="9" t="n">
        <x:v>0</x:v>
      </x:c>
      <x:c r="Q704" s="9" t="n">
        <x:v>0</x:v>
      </x:c>
      <x:c r="R704" s="9" t="str">
        <x:v>OPEN / UNSTARTED</x:v>
      </x:c>
      <x:c r="S704" s="9" t="n">
        <x:f>COUNTIFS($A$7:$A$1446,A704)</x:f>
        <x:v>1</x:v>
      </x:c>
    </x:row>
    <x:row r="705">
      <x:c r="A705" s="9" t="str">
        <x:v>EV-AR-HC-A-C-TECH-2-B2-RCN-G0-ST09</x:v>
      </x:c>
      <x:c r="B705" s="9" t="str">
        <x:v>EV-AR-HC-A-C-TECH-2-B2-RCN-G0</x:v>
      </x:c>
      <x:c r="C705" s="9" t="str">
        <x:v>EOW-AR-HC-A-C-TECH-2-B2-RCN-G0</x:v>
      </x:c>
      <x:c r="D705" s="9" t="str">
        <x:v>AR-HC-A-C-TECH-2-B2-RCN-G0</x:v>
      </x:c>
      <x:c r="E705" s="9" t="str">
        <x:v>HC-A-C-TECH-2</x:v>
      </x:c>
      <x:c r="F705" s="9" t="str">
        <x:v>HC-A-C</x:v>
      </x:c>
      <x:c r="G705" s="9" t="str">
        <x:v>B2</x:v>
      </x:c>
      <x:c r="H705" s="9" t="str">
        <x:v>RCN</x:v>
      </x:c>
      <x:c r="I705" s="9" t="n">
        <x:v>3</x:v>
      </x:c>
      <x:c r="J705" s="9" t="n">
        <x:v>4</x:v>
      </x:c>
      <x:c r="K705" s="9" t="str">
        <x:v>HC-A-C-N2</x:v>
      </x:c>
      <x:c r="L705" s="9" t="str">
        <x:v>ST09</x:v>
      </x:c>
      <x:c r="M705" s="17" t="str">
        <x:v>Operator conflict clear</x:v>
      </x:c>
      <x:c r="N705" s="17" t="str">
        <x:v>candidate, fixture, safety and measurement control edges remain separated</x:v>
      </x:c>
      <x:c r="O705" s="17" t="str">
        <x:v>Conflict registrar</x:v>
      </x:c>
      <x:c r="P705" s="9" t="n">
        <x:v>0</x:v>
      </x:c>
      <x:c r="Q705" s="9" t="n">
        <x:v>0</x:v>
      </x:c>
      <x:c r="R705" s="9" t="str">
        <x:v>OPEN / UNSTARTED</x:v>
      </x:c>
      <x:c r="S705" s="9" t="n">
        <x:f>COUNTIFS($A$7:$A$1446,A705)</x:f>
        <x:v>1</x:v>
      </x:c>
    </x:row>
    <x:row r="706">
      <x:c r="A706" s="9" t="str">
        <x:v>EV-AR-HC-A-C-TECH-2-B2-RCN-G0-ST10</x:v>
      </x:c>
      <x:c r="B706" s="9" t="str">
        <x:v>EV-AR-HC-A-C-TECH-2-B2-RCN-G0</x:v>
      </x:c>
      <x:c r="C706" s="9" t="str">
        <x:v>EOW-AR-HC-A-C-TECH-2-B2-RCN-G0</x:v>
      </x:c>
      <x:c r="D706" s="9" t="str">
        <x:v>AR-HC-A-C-TECH-2-B2-RCN-G0</x:v>
      </x:c>
      <x:c r="E706" s="9" t="str">
        <x:v>HC-A-C-TECH-2</x:v>
      </x:c>
      <x:c r="F706" s="9" t="str">
        <x:v>HC-A-C</x:v>
      </x:c>
      <x:c r="G706" s="9" t="str">
        <x:v>B2</x:v>
      </x:c>
      <x:c r="H706" s="9" t="str">
        <x:v>RCN</x:v>
      </x:c>
      <x:c r="I706" s="9" t="n">
        <x:v>3</x:v>
      </x:c>
      <x:c r="J706" s="9" t="n">
        <x:v>4</x:v>
      </x:c>
      <x:c r="K706" s="9" t="str">
        <x:v>HC-A-C-N2</x:v>
      </x:c>
      <x:c r="L706" s="9" t="str">
        <x:v>ST10</x:v>
      </x:c>
      <x:c r="M706" s="17" t="str">
        <x:v>Window and common clock</x:v>
      </x:c>
      <x:c r="N706" s="17" t="str">
        <x:v>epoch, window and public time origin match the issued warrant</x:v>
      </x:c>
      <x:c r="O706" s="17" t="str">
        <x:v>Event clock authority</x:v>
      </x:c>
      <x:c r="P706" s="9" t="n">
        <x:v>0</x:v>
      </x:c>
      <x:c r="Q706" s="9" t="n">
        <x:v>0</x:v>
      </x:c>
      <x:c r="R706" s="9" t="str">
        <x:v>OPEN / UNSTARTED</x:v>
      </x:c>
      <x:c r="S706" s="9" t="n">
        <x:f>COUNTIFS($A$7:$A$1446,A706)</x:f>
        <x:v>1</x:v>
      </x:c>
    </x:row>
    <x:row r="707">
      <x:c r="A707" s="9" t="str">
        <x:v>EV-AR-LF-B-A-TECH-1-B2-RCN-G0-ST01</x:v>
      </x:c>
      <x:c r="B707" s="9" t="str">
        <x:v>EV-AR-LF-B-A-TECH-1-B2-RCN-G0</x:v>
      </x:c>
      <x:c r="C707" s="9" t="str">
        <x:v>EOW-AR-LF-B-A-TECH-1-B2-RCN-G0</x:v>
      </x:c>
      <x:c r="D707" s="9" t="str">
        <x:v>AR-LF-B-A-TECH-1-B2-RCN-G0</x:v>
      </x:c>
      <x:c r="E707" s="9" t="str">
        <x:v>LF-B-A-TECH-1</x:v>
      </x:c>
      <x:c r="F707" s="9" t="str">
        <x:v>LF-B-A</x:v>
      </x:c>
      <x:c r="G707" s="9" t="str">
        <x:v>B2</x:v>
      </x:c>
      <x:c r="H707" s="9" t="str">
        <x:v>RCN</x:v>
      </x:c>
      <x:c r="I707" s="9" t="n">
        <x:v>3</x:v>
      </x:c>
      <x:c r="J707" s="9" t="n">
        <x:v>4</x:v>
      </x:c>
      <x:c r="K707" s="9" t="str">
        <x:v>LF-B-A-N2</x:v>
      </x:c>
      <x:c r="L707" s="9" t="str">
        <x:v>ST01</x:v>
      </x:c>
      <x:c r="M707" s="17" t="str">
        <x:v>Active opportunity warrant</x:v>
      </x:c>
      <x:c r="N707" s="17" t="str">
        <x:v>configuration-bound EOW is within its thirty-six-hour validity</x:v>
      </x:c>
      <x:c r="O707" s="17" t="str">
        <x:v>Start registrar</x:v>
      </x:c>
      <x:c r="P707" s="9" t="n">
        <x:v>0</x:v>
      </x:c>
      <x:c r="Q707" s="9" t="n">
        <x:v>0</x:v>
      </x:c>
      <x:c r="R707" s="9" t="str">
        <x:v>OPEN / UNSTARTED</x:v>
      </x:c>
      <x:c r="S707" s="9" t="n">
        <x:f>COUNTIFS($A$7:$A$1446,A707)</x:f>
        <x:v>1</x:v>
      </x:c>
    </x:row>
    <x:row r="708">
      <x:c r="A708" s="9" t="str">
        <x:v>EV-AR-LF-B-A-TECH-1-B2-RCN-G0-ST02</x:v>
      </x:c>
      <x:c r="B708" s="9" t="str">
        <x:v>EV-AR-LF-B-A-TECH-1-B2-RCN-G0</x:v>
      </x:c>
      <x:c r="C708" s="9" t="str">
        <x:v>EOW-AR-LF-B-A-TECH-1-B2-RCN-G0</x:v>
      </x:c>
      <x:c r="D708" s="9" t="str">
        <x:v>AR-LF-B-A-TECH-1-B2-RCN-G0</x:v>
      </x:c>
      <x:c r="E708" s="9" t="str">
        <x:v>LF-B-A-TECH-1</x:v>
      </x:c>
      <x:c r="F708" s="9" t="str">
        <x:v>LF-B-A</x:v>
      </x:c>
      <x:c r="G708" s="9" t="str">
        <x:v>B2</x:v>
      </x:c>
      <x:c r="H708" s="9" t="str">
        <x:v>RCN</x:v>
      </x:c>
      <x:c r="I708" s="9" t="n">
        <x:v>3</x:v>
      </x:c>
      <x:c r="J708" s="9" t="n">
        <x:v>4</x:v>
      </x:c>
      <x:c r="K708" s="9" t="str">
        <x:v>LF-B-A-N2</x:v>
      </x:c>
      <x:c r="L708" s="9" t="str">
        <x:v>ST02</x:v>
      </x:c>
      <x:c r="M708" s="17" t="str">
        <x:v>Frozen identity</x:v>
      </x:c>
      <x:c r="N708" s="17" t="str">
        <x:v>serial, generation, fixture, site, receiver and digest match the warrant</x:v>
      </x:c>
      <x:c r="O708" s="17" t="str">
        <x:v>Custody authority</x:v>
      </x:c>
      <x:c r="P708" s="9" t="n">
        <x:v>0</x:v>
      </x:c>
      <x:c r="Q708" s="9" t="n">
        <x:v>0</x:v>
      </x:c>
      <x:c r="R708" s="9" t="str">
        <x:v>OPEN / UNSTARTED</x:v>
      </x:c>
      <x:c r="S708" s="9" t="n">
        <x:f>COUNTIFS($A$7:$A$1446,A708)</x:f>
        <x:v>1</x:v>
      </x:c>
    </x:row>
    <x:row r="709">
      <x:c r="A709" s="9" t="str">
        <x:v>EV-AR-LF-B-A-TECH-1-B2-RCN-G0-ST03</x:v>
      </x:c>
      <x:c r="B709" s="9" t="str">
        <x:v>EV-AR-LF-B-A-TECH-1-B2-RCN-G0</x:v>
      </x:c>
      <x:c r="C709" s="9" t="str">
        <x:v>EOW-AR-LF-B-A-TECH-1-B2-RCN-G0</x:v>
      </x:c>
      <x:c r="D709" s="9" t="str">
        <x:v>AR-LF-B-A-TECH-1-B2-RCN-G0</x:v>
      </x:c>
      <x:c r="E709" s="9" t="str">
        <x:v>LF-B-A-TECH-1</x:v>
      </x:c>
      <x:c r="F709" s="9" t="str">
        <x:v>LF-B-A</x:v>
      </x:c>
      <x:c r="G709" s="9" t="str">
        <x:v>B2</x:v>
      </x:c>
      <x:c r="H709" s="9" t="str">
        <x:v>RCN</x:v>
      </x:c>
      <x:c r="I709" s="9" t="n">
        <x:v>3</x:v>
      </x:c>
      <x:c r="J709" s="9" t="n">
        <x:v>4</x:v>
      </x:c>
      <x:c r="K709" s="9" t="str">
        <x:v>LF-B-A-N2</x:v>
      </x:c>
      <x:c r="L709" s="9" t="str">
        <x:v>ST03</x:v>
      </x:c>
      <x:c r="M709" s="17" t="str">
        <x:v>Receiver receipt</x:v>
      </x:c>
      <x:c r="N709" s="17" t="str">
        <x:v>denominator, counterfactual, rights and stop receipt remain unchanged</x:v>
      </x:c>
      <x:c r="O709" s="17" t="str">
        <x:v>Receiver authority</x:v>
      </x:c>
      <x:c r="P709" s="9" t="n">
        <x:v>0</x:v>
      </x:c>
      <x:c r="Q709" s="9" t="n">
        <x:v>0</x:v>
      </x:c>
      <x:c r="R709" s="9" t="str">
        <x:v>OPEN / UNSTARTED</x:v>
      </x:c>
      <x:c r="S709" s="9" t="n">
        <x:f>COUNTIFS($A$7:$A$1446,A709)</x:f>
        <x:v>1</x:v>
      </x:c>
    </x:row>
    <x:row r="710">
      <x:c r="A710" s="9" t="str">
        <x:v>EV-AR-LF-B-A-TECH-1-B2-RCN-G0-ST04</x:v>
      </x:c>
      <x:c r="B710" s="9" t="str">
        <x:v>EV-AR-LF-B-A-TECH-1-B2-RCN-G0</x:v>
      </x:c>
      <x:c r="C710" s="9" t="str">
        <x:v>EOW-AR-LF-B-A-TECH-1-B2-RCN-G0</x:v>
      </x:c>
      <x:c r="D710" s="9" t="str">
        <x:v>AR-LF-B-A-TECH-1-B2-RCN-G0</x:v>
      </x:c>
      <x:c r="E710" s="9" t="str">
        <x:v>LF-B-A-TECH-1</x:v>
      </x:c>
      <x:c r="F710" s="9" t="str">
        <x:v>LF-B-A</x:v>
      </x:c>
      <x:c r="G710" s="9" t="str">
        <x:v>B2</x:v>
      </x:c>
      <x:c r="H710" s="9" t="str">
        <x:v>RCN</x:v>
      </x:c>
      <x:c r="I710" s="9" t="n">
        <x:v>3</x:v>
      </x:c>
      <x:c r="J710" s="9" t="n">
        <x:v>4</x:v>
      </x:c>
      <x:c r="K710" s="9" t="str">
        <x:v>LF-B-A-N2</x:v>
      </x:c>
      <x:c r="L710" s="9" t="str">
        <x:v>ST04</x:v>
      </x:c>
      <x:c r="M710" s="17" t="str">
        <x:v>Primary capture armed</x:v>
      </x:c>
      <x:c r="N710" s="17" t="str">
        <x:v>primary chain records sealed reference and live time</x:v>
      </x:c>
      <x:c r="O710" s="17" t="str">
        <x:v>Primary metrology</x:v>
      </x:c>
      <x:c r="P710" s="9" t="n">
        <x:v>0</x:v>
      </x:c>
      <x:c r="Q710" s="9" t="n">
        <x:v>0</x:v>
      </x:c>
      <x:c r="R710" s="9" t="str">
        <x:v>OPEN / UNSTARTED</x:v>
      </x:c>
      <x:c r="S710" s="9" t="n">
        <x:f>COUNTIFS($A$7:$A$1446,A710)</x:f>
        <x:v>1</x:v>
      </x:c>
    </x:row>
    <x:row r="711">
      <x:c r="A711" s="9" t="str">
        <x:v>EV-AR-LF-B-A-TECH-1-B2-RCN-G0-ST05</x:v>
      </x:c>
      <x:c r="B711" s="9" t="str">
        <x:v>EV-AR-LF-B-A-TECH-1-B2-RCN-G0</x:v>
      </x:c>
      <x:c r="C711" s="9" t="str">
        <x:v>EOW-AR-LF-B-A-TECH-1-B2-RCN-G0</x:v>
      </x:c>
      <x:c r="D711" s="9" t="str">
        <x:v>AR-LF-B-A-TECH-1-B2-RCN-G0</x:v>
      </x:c>
      <x:c r="E711" s="9" t="str">
        <x:v>LF-B-A-TECH-1</x:v>
      </x:c>
      <x:c r="F711" s="9" t="str">
        <x:v>LF-B-A</x:v>
      </x:c>
      <x:c r="G711" s="9" t="str">
        <x:v>B2</x:v>
      </x:c>
      <x:c r="H711" s="9" t="str">
        <x:v>RCN</x:v>
      </x:c>
      <x:c r="I711" s="9" t="n">
        <x:v>3</x:v>
      </x:c>
      <x:c r="J711" s="9" t="n">
        <x:v>4</x:v>
      </x:c>
      <x:c r="K711" s="9" t="str">
        <x:v>LF-B-A-N2</x:v>
      </x:c>
      <x:c r="L711" s="9" t="str">
        <x:v>ST05</x:v>
      </x:c>
      <x:c r="M711" s="17" t="str">
        <x:v>Witness capture armed</x:v>
      </x:c>
      <x:c r="N711" s="17" t="str">
        <x:v>unlike witness records independent reference and live time</x:v>
      </x:c>
      <x:c r="O711" s="17" t="str">
        <x:v>Witness metrology</x:v>
      </x:c>
      <x:c r="P711" s="9" t="n">
        <x:v>0</x:v>
      </x:c>
      <x:c r="Q711" s="9" t="n">
        <x:v>0</x:v>
      </x:c>
      <x:c r="R711" s="9" t="str">
        <x:v>OPEN / UNSTARTED</x:v>
      </x:c>
      <x:c r="S711" s="9" t="n">
        <x:f>COUNTIFS($A$7:$A$1446,A711)</x:f>
        <x:v>1</x:v>
      </x:c>
    </x:row>
    <x:row r="712">
      <x:c r="A712" s="9" t="str">
        <x:v>EV-AR-LF-B-A-TECH-1-B2-RCN-G0-ST06</x:v>
      </x:c>
      <x:c r="B712" s="9" t="str">
        <x:v>EV-AR-LF-B-A-TECH-1-B2-RCN-G0</x:v>
      </x:c>
      <x:c r="C712" s="9" t="str">
        <x:v>EOW-AR-LF-B-A-TECH-1-B2-RCN-G0</x:v>
      </x:c>
      <x:c r="D712" s="9" t="str">
        <x:v>AR-LF-B-A-TECH-1-B2-RCN-G0</x:v>
      </x:c>
      <x:c r="E712" s="9" t="str">
        <x:v>LF-B-A-TECH-1</x:v>
      </x:c>
      <x:c r="F712" s="9" t="str">
        <x:v>LF-B-A</x:v>
      </x:c>
      <x:c r="G712" s="9" t="str">
        <x:v>B2</x:v>
      </x:c>
      <x:c r="H712" s="9" t="str">
        <x:v>RCN</x:v>
      </x:c>
      <x:c r="I712" s="9" t="n">
        <x:v>3</x:v>
      </x:c>
      <x:c r="J712" s="9" t="n">
        <x:v>4</x:v>
      </x:c>
      <x:c r="K712" s="9" t="str">
        <x:v>LF-B-A-N2</x:v>
      </x:c>
      <x:c r="L712" s="9" t="str">
        <x:v>ST06</x:v>
      </x:c>
      <x:c r="M712" s="17" t="str">
        <x:v>Public custody armed</x:v>
      </x:c>
      <x:c r="N712" s="17" t="str">
        <x:v>eight raw origins have separated hash and replica routes</x:v>
      </x:c>
      <x:c r="O712" s="17" t="str">
        <x:v>Custody authority</x:v>
      </x:c>
      <x:c r="P712" s="9" t="n">
        <x:v>0</x:v>
      </x:c>
      <x:c r="Q712" s="9" t="n">
        <x:v>0</x:v>
      </x:c>
      <x:c r="R712" s="9" t="str">
        <x:v>OPEN / UNSTARTED</x:v>
      </x:c>
      <x:c r="S712" s="9" t="n">
        <x:f>COUNTIFS($A$7:$A$1446,A712)</x:f>
        <x:v>1</x:v>
      </x:c>
    </x:row>
    <x:row r="713">
      <x:c r="A713" s="9" t="str">
        <x:v>EV-AR-LF-B-A-TECH-1-B2-RCN-G0-ST07</x:v>
      </x:c>
      <x:c r="B713" s="9" t="str">
        <x:v>EV-AR-LF-B-A-TECH-1-B2-RCN-G0</x:v>
      </x:c>
      <x:c r="C713" s="9" t="str">
        <x:v>EOW-AR-LF-B-A-TECH-1-B2-RCN-G0</x:v>
      </x:c>
      <x:c r="D713" s="9" t="str">
        <x:v>AR-LF-B-A-TECH-1-B2-RCN-G0</x:v>
      </x:c>
      <x:c r="E713" s="9" t="str">
        <x:v>LF-B-A-TECH-1</x:v>
      </x:c>
      <x:c r="F713" s="9" t="str">
        <x:v>LF-B-A</x:v>
      </x:c>
      <x:c r="G713" s="9" t="str">
        <x:v>B2</x:v>
      </x:c>
      <x:c r="H713" s="9" t="str">
        <x:v>RCN</x:v>
      </x:c>
      <x:c r="I713" s="9" t="n">
        <x:v>3</x:v>
      </x:c>
      <x:c r="J713" s="9" t="n">
        <x:v>4</x:v>
      </x:c>
      <x:c r="K713" s="9" t="str">
        <x:v>LF-B-A-N2</x:v>
      </x:c>
      <x:c r="L713" s="9" t="str">
        <x:v>ST07</x:v>
      </x:c>
      <x:c r="M713" s="17" t="str">
        <x:v>Environmental baseline</x:v>
      </x:c>
      <x:c r="N713" s="17" t="str">
        <x:v>pre-event boundary state is sealed before decisive operation</x:v>
      </x:c>
      <x:c r="O713" s="17" t="str">
        <x:v>Site metrology</x:v>
      </x:c>
      <x:c r="P713" s="9" t="n">
        <x:v>0</x:v>
      </x:c>
      <x:c r="Q713" s="9" t="n">
        <x:v>0</x:v>
      </x:c>
      <x:c r="R713" s="9" t="str">
        <x:v>OPEN / UNSTARTED</x:v>
      </x:c>
      <x:c r="S713" s="9" t="n">
        <x:f>COUNTIFS($A$7:$A$1446,A713)</x:f>
        <x:v>1</x:v>
      </x:c>
    </x:row>
    <x:row r="714">
      <x:c r="A714" s="9" t="str">
        <x:v>EV-AR-LF-B-A-TECH-1-B2-RCN-G0-ST08</x:v>
      </x:c>
      <x:c r="B714" s="9" t="str">
        <x:v>EV-AR-LF-B-A-TECH-1-B2-RCN-G0</x:v>
      </x:c>
      <x:c r="C714" s="9" t="str">
        <x:v>EOW-AR-LF-B-A-TECH-1-B2-RCN-G0</x:v>
      </x:c>
      <x:c r="D714" s="9" t="str">
        <x:v>AR-LF-B-A-TECH-1-B2-RCN-G0</x:v>
      </x:c>
      <x:c r="E714" s="9" t="str">
        <x:v>LF-B-A-TECH-1</x:v>
      </x:c>
      <x:c r="F714" s="9" t="str">
        <x:v>LF-B-A</x:v>
      </x:c>
      <x:c r="G714" s="9" t="str">
        <x:v>B2</x:v>
      </x:c>
      <x:c r="H714" s="9" t="str">
        <x:v>RCN</x:v>
      </x:c>
      <x:c r="I714" s="9" t="n">
        <x:v>3</x:v>
      </x:c>
      <x:c r="J714" s="9" t="n">
        <x:v>4</x:v>
      </x:c>
      <x:c r="K714" s="9" t="str">
        <x:v>LF-B-A-N2</x:v>
      </x:c>
      <x:c r="L714" s="9" t="str">
        <x:v>ST08</x:v>
      </x:c>
      <x:c r="M714" s="17" t="str">
        <x:v>Manual stop and safety</x:v>
      </x:c>
      <x:c r="N714" s="17" t="str">
        <x:v>local stop, evacuation and protection routes are active</x:v>
      </x:c>
      <x:c r="O714" s="17" t="str">
        <x:v>Safety authority</x:v>
      </x:c>
      <x:c r="P714" s="9" t="n">
        <x:v>0</x:v>
      </x:c>
      <x:c r="Q714" s="9" t="n">
        <x:v>0</x:v>
      </x:c>
      <x:c r="R714" s="9" t="str">
        <x:v>OPEN / UNSTARTED</x:v>
      </x:c>
      <x:c r="S714" s="9" t="n">
        <x:f>COUNTIFS($A$7:$A$1446,A714)</x:f>
        <x:v>1</x:v>
      </x:c>
    </x:row>
    <x:row r="715">
      <x:c r="A715" s="9" t="str">
        <x:v>EV-AR-LF-B-A-TECH-1-B2-RCN-G0-ST09</x:v>
      </x:c>
      <x:c r="B715" s="9" t="str">
        <x:v>EV-AR-LF-B-A-TECH-1-B2-RCN-G0</x:v>
      </x:c>
      <x:c r="C715" s="9" t="str">
        <x:v>EOW-AR-LF-B-A-TECH-1-B2-RCN-G0</x:v>
      </x:c>
      <x:c r="D715" s="9" t="str">
        <x:v>AR-LF-B-A-TECH-1-B2-RCN-G0</x:v>
      </x:c>
      <x:c r="E715" s="9" t="str">
        <x:v>LF-B-A-TECH-1</x:v>
      </x:c>
      <x:c r="F715" s="9" t="str">
        <x:v>LF-B-A</x:v>
      </x:c>
      <x:c r="G715" s="9" t="str">
        <x:v>B2</x:v>
      </x:c>
      <x:c r="H715" s="9" t="str">
        <x:v>RCN</x:v>
      </x:c>
      <x:c r="I715" s="9" t="n">
        <x:v>3</x:v>
      </x:c>
      <x:c r="J715" s="9" t="n">
        <x:v>4</x:v>
      </x:c>
      <x:c r="K715" s="9" t="str">
        <x:v>LF-B-A-N2</x:v>
      </x:c>
      <x:c r="L715" s="9" t="str">
        <x:v>ST09</x:v>
      </x:c>
      <x:c r="M715" s="17" t="str">
        <x:v>Operator conflict clear</x:v>
      </x:c>
      <x:c r="N715" s="17" t="str">
        <x:v>candidate, fixture, safety and measurement control edges remain separated</x:v>
      </x:c>
      <x:c r="O715" s="17" t="str">
        <x:v>Conflict registrar</x:v>
      </x:c>
      <x:c r="P715" s="9" t="n">
        <x:v>0</x:v>
      </x:c>
      <x:c r="Q715" s="9" t="n">
        <x:v>0</x:v>
      </x:c>
      <x:c r="R715" s="9" t="str">
        <x:v>OPEN / UNSTARTED</x:v>
      </x:c>
      <x:c r="S715" s="9" t="n">
        <x:f>COUNTIFS($A$7:$A$1446,A715)</x:f>
        <x:v>1</x:v>
      </x:c>
    </x:row>
    <x:row r="716">
      <x:c r="A716" s="9" t="str">
        <x:v>EV-AR-LF-B-A-TECH-1-B2-RCN-G0-ST10</x:v>
      </x:c>
      <x:c r="B716" s="9" t="str">
        <x:v>EV-AR-LF-B-A-TECH-1-B2-RCN-G0</x:v>
      </x:c>
      <x:c r="C716" s="9" t="str">
        <x:v>EOW-AR-LF-B-A-TECH-1-B2-RCN-G0</x:v>
      </x:c>
      <x:c r="D716" s="9" t="str">
        <x:v>AR-LF-B-A-TECH-1-B2-RCN-G0</x:v>
      </x:c>
      <x:c r="E716" s="9" t="str">
        <x:v>LF-B-A-TECH-1</x:v>
      </x:c>
      <x:c r="F716" s="9" t="str">
        <x:v>LF-B-A</x:v>
      </x:c>
      <x:c r="G716" s="9" t="str">
        <x:v>B2</x:v>
      </x:c>
      <x:c r="H716" s="9" t="str">
        <x:v>RCN</x:v>
      </x:c>
      <x:c r="I716" s="9" t="n">
        <x:v>3</x:v>
      </x:c>
      <x:c r="J716" s="9" t="n">
        <x:v>4</x:v>
      </x:c>
      <x:c r="K716" s="9" t="str">
        <x:v>LF-B-A-N2</x:v>
      </x:c>
      <x:c r="L716" s="9" t="str">
        <x:v>ST10</x:v>
      </x:c>
      <x:c r="M716" s="17" t="str">
        <x:v>Window and common clock</x:v>
      </x:c>
      <x:c r="N716" s="17" t="str">
        <x:v>epoch, window and public time origin match the issued warrant</x:v>
      </x:c>
      <x:c r="O716" s="17" t="str">
        <x:v>Event clock authority</x:v>
      </x:c>
      <x:c r="P716" s="9" t="n">
        <x:v>0</x:v>
      </x:c>
      <x:c r="Q716" s="9" t="n">
        <x:v>0</x:v>
      </x:c>
      <x:c r="R716" s="9" t="str">
        <x:v>OPEN / UNSTARTED</x:v>
      </x:c>
      <x:c r="S716" s="9" t="n">
        <x:f>COUNTIFS($A$7:$A$1446,A716)</x:f>
        <x:v>1</x:v>
      </x:c>
    </x:row>
    <x:row r="717">
      <x:c r="A717" s="9" t="str">
        <x:v>EV-AR-RT-B-C-TECH-1-B2-BRK-G0-ST01</x:v>
      </x:c>
      <x:c r="B717" s="9" t="str">
        <x:v>EV-AR-RT-B-C-TECH-1-B2-BRK-G0</x:v>
      </x:c>
      <x:c r="C717" s="9" t="str">
        <x:v>EOW-AR-RT-B-C-TECH-1-B2-BRK-G0</x:v>
      </x:c>
      <x:c r="D717" s="9" t="str">
        <x:v>AR-RT-B-C-TECH-1-B2-BRK-G0</x:v>
      </x:c>
      <x:c r="E717" s="9" t="str">
        <x:v>RT-B-C-TECH-1</x:v>
      </x:c>
      <x:c r="F717" s="9" t="str">
        <x:v>RT-B-C</x:v>
      </x:c>
      <x:c r="G717" s="9" t="str">
        <x:v>B2</x:v>
      </x:c>
      <x:c r="H717" s="9" t="str">
        <x:v>BRK</x:v>
      </x:c>
      <x:c r="I717" s="9" t="n">
        <x:v>3</x:v>
      </x:c>
      <x:c r="J717" s="9" t="n">
        <x:v>4</x:v>
      </x:c>
      <x:c r="K717" s="9" t="str">
        <x:v>RT-B-C-N1</x:v>
      </x:c>
      <x:c r="L717" s="9" t="str">
        <x:v>ST01</x:v>
      </x:c>
      <x:c r="M717" s="17" t="str">
        <x:v>Active opportunity warrant</x:v>
      </x:c>
      <x:c r="N717" s="17" t="str">
        <x:v>configuration-bound EOW is within its thirty-six-hour validity</x:v>
      </x:c>
      <x:c r="O717" s="17" t="str">
        <x:v>Start registrar</x:v>
      </x:c>
      <x:c r="P717" s="9" t="n">
        <x:v>0</x:v>
      </x:c>
      <x:c r="Q717" s="9" t="n">
        <x:v>0</x:v>
      </x:c>
      <x:c r="R717" s="9" t="str">
        <x:v>OPEN / UNSTARTED</x:v>
      </x:c>
      <x:c r="S717" s="9" t="n">
        <x:f>COUNTIFS($A$7:$A$1446,A717)</x:f>
        <x:v>1</x:v>
      </x:c>
    </x:row>
    <x:row r="718">
      <x:c r="A718" s="9" t="str">
        <x:v>EV-AR-RT-B-C-TECH-1-B2-BRK-G0-ST02</x:v>
      </x:c>
      <x:c r="B718" s="9" t="str">
        <x:v>EV-AR-RT-B-C-TECH-1-B2-BRK-G0</x:v>
      </x:c>
      <x:c r="C718" s="9" t="str">
        <x:v>EOW-AR-RT-B-C-TECH-1-B2-BRK-G0</x:v>
      </x:c>
      <x:c r="D718" s="9" t="str">
        <x:v>AR-RT-B-C-TECH-1-B2-BRK-G0</x:v>
      </x:c>
      <x:c r="E718" s="9" t="str">
        <x:v>RT-B-C-TECH-1</x:v>
      </x:c>
      <x:c r="F718" s="9" t="str">
        <x:v>RT-B-C</x:v>
      </x:c>
      <x:c r="G718" s="9" t="str">
        <x:v>B2</x:v>
      </x:c>
      <x:c r="H718" s="9" t="str">
        <x:v>BRK</x:v>
      </x:c>
      <x:c r="I718" s="9" t="n">
        <x:v>3</x:v>
      </x:c>
      <x:c r="J718" s="9" t="n">
        <x:v>4</x:v>
      </x:c>
      <x:c r="K718" s="9" t="str">
        <x:v>RT-B-C-N1</x:v>
      </x:c>
      <x:c r="L718" s="9" t="str">
        <x:v>ST02</x:v>
      </x:c>
      <x:c r="M718" s="17" t="str">
        <x:v>Frozen identity</x:v>
      </x:c>
      <x:c r="N718" s="17" t="str">
        <x:v>serial, generation, fixture, site, receiver and digest match the warrant</x:v>
      </x:c>
      <x:c r="O718" s="17" t="str">
        <x:v>Custody authority</x:v>
      </x:c>
      <x:c r="P718" s="9" t="n">
        <x:v>0</x:v>
      </x:c>
      <x:c r="Q718" s="9" t="n">
        <x:v>0</x:v>
      </x:c>
      <x:c r="R718" s="9" t="str">
        <x:v>OPEN / UNSTARTED</x:v>
      </x:c>
      <x:c r="S718" s="9" t="n">
        <x:f>COUNTIFS($A$7:$A$1446,A718)</x:f>
        <x:v>1</x:v>
      </x:c>
    </x:row>
    <x:row r="719">
      <x:c r="A719" s="9" t="str">
        <x:v>EV-AR-RT-B-C-TECH-1-B2-BRK-G0-ST03</x:v>
      </x:c>
      <x:c r="B719" s="9" t="str">
        <x:v>EV-AR-RT-B-C-TECH-1-B2-BRK-G0</x:v>
      </x:c>
      <x:c r="C719" s="9" t="str">
        <x:v>EOW-AR-RT-B-C-TECH-1-B2-BRK-G0</x:v>
      </x:c>
      <x:c r="D719" s="9" t="str">
        <x:v>AR-RT-B-C-TECH-1-B2-BRK-G0</x:v>
      </x:c>
      <x:c r="E719" s="9" t="str">
        <x:v>RT-B-C-TECH-1</x:v>
      </x:c>
      <x:c r="F719" s="9" t="str">
        <x:v>RT-B-C</x:v>
      </x:c>
      <x:c r="G719" s="9" t="str">
        <x:v>B2</x:v>
      </x:c>
      <x:c r="H719" s="9" t="str">
        <x:v>BRK</x:v>
      </x:c>
      <x:c r="I719" s="9" t="n">
        <x:v>3</x:v>
      </x:c>
      <x:c r="J719" s="9" t="n">
        <x:v>4</x:v>
      </x:c>
      <x:c r="K719" s="9" t="str">
        <x:v>RT-B-C-N1</x:v>
      </x:c>
      <x:c r="L719" s="9" t="str">
        <x:v>ST03</x:v>
      </x:c>
      <x:c r="M719" s="17" t="str">
        <x:v>Receiver receipt</x:v>
      </x:c>
      <x:c r="N719" s="17" t="str">
        <x:v>denominator, counterfactual, rights and stop receipt remain unchanged</x:v>
      </x:c>
      <x:c r="O719" s="17" t="str">
        <x:v>Receiver authority</x:v>
      </x:c>
      <x:c r="P719" s="9" t="n">
        <x:v>0</x:v>
      </x:c>
      <x:c r="Q719" s="9" t="n">
        <x:v>0</x:v>
      </x:c>
      <x:c r="R719" s="9" t="str">
        <x:v>OPEN / UNSTARTED</x:v>
      </x:c>
      <x:c r="S719" s="9" t="n">
        <x:f>COUNTIFS($A$7:$A$1446,A719)</x:f>
        <x:v>1</x:v>
      </x:c>
    </x:row>
    <x:row r="720">
      <x:c r="A720" s="9" t="str">
        <x:v>EV-AR-RT-B-C-TECH-1-B2-BRK-G0-ST04</x:v>
      </x:c>
      <x:c r="B720" s="9" t="str">
        <x:v>EV-AR-RT-B-C-TECH-1-B2-BRK-G0</x:v>
      </x:c>
      <x:c r="C720" s="9" t="str">
        <x:v>EOW-AR-RT-B-C-TECH-1-B2-BRK-G0</x:v>
      </x:c>
      <x:c r="D720" s="9" t="str">
        <x:v>AR-RT-B-C-TECH-1-B2-BRK-G0</x:v>
      </x:c>
      <x:c r="E720" s="9" t="str">
        <x:v>RT-B-C-TECH-1</x:v>
      </x:c>
      <x:c r="F720" s="9" t="str">
        <x:v>RT-B-C</x:v>
      </x:c>
      <x:c r="G720" s="9" t="str">
        <x:v>B2</x:v>
      </x:c>
      <x:c r="H720" s="9" t="str">
        <x:v>BRK</x:v>
      </x:c>
      <x:c r="I720" s="9" t="n">
        <x:v>3</x:v>
      </x:c>
      <x:c r="J720" s="9" t="n">
        <x:v>4</x:v>
      </x:c>
      <x:c r="K720" s="9" t="str">
        <x:v>RT-B-C-N1</x:v>
      </x:c>
      <x:c r="L720" s="9" t="str">
        <x:v>ST04</x:v>
      </x:c>
      <x:c r="M720" s="17" t="str">
        <x:v>Primary capture armed</x:v>
      </x:c>
      <x:c r="N720" s="17" t="str">
        <x:v>primary chain records sealed reference and live time</x:v>
      </x:c>
      <x:c r="O720" s="17" t="str">
        <x:v>Primary metrology</x:v>
      </x:c>
      <x:c r="P720" s="9" t="n">
        <x:v>0</x:v>
      </x:c>
      <x:c r="Q720" s="9" t="n">
        <x:v>0</x:v>
      </x:c>
      <x:c r="R720" s="9" t="str">
        <x:v>OPEN / UNSTARTED</x:v>
      </x:c>
      <x:c r="S720" s="9" t="n">
        <x:f>COUNTIFS($A$7:$A$1446,A720)</x:f>
        <x:v>1</x:v>
      </x:c>
    </x:row>
    <x:row r="721">
      <x:c r="A721" s="9" t="str">
        <x:v>EV-AR-RT-B-C-TECH-1-B2-BRK-G0-ST05</x:v>
      </x:c>
      <x:c r="B721" s="9" t="str">
        <x:v>EV-AR-RT-B-C-TECH-1-B2-BRK-G0</x:v>
      </x:c>
      <x:c r="C721" s="9" t="str">
        <x:v>EOW-AR-RT-B-C-TECH-1-B2-BRK-G0</x:v>
      </x:c>
      <x:c r="D721" s="9" t="str">
        <x:v>AR-RT-B-C-TECH-1-B2-BRK-G0</x:v>
      </x:c>
      <x:c r="E721" s="9" t="str">
        <x:v>RT-B-C-TECH-1</x:v>
      </x:c>
      <x:c r="F721" s="9" t="str">
        <x:v>RT-B-C</x:v>
      </x:c>
      <x:c r="G721" s="9" t="str">
        <x:v>B2</x:v>
      </x:c>
      <x:c r="H721" s="9" t="str">
        <x:v>BRK</x:v>
      </x:c>
      <x:c r="I721" s="9" t="n">
        <x:v>3</x:v>
      </x:c>
      <x:c r="J721" s="9" t="n">
        <x:v>4</x:v>
      </x:c>
      <x:c r="K721" s="9" t="str">
        <x:v>RT-B-C-N1</x:v>
      </x:c>
      <x:c r="L721" s="9" t="str">
        <x:v>ST05</x:v>
      </x:c>
      <x:c r="M721" s="17" t="str">
        <x:v>Witness capture armed</x:v>
      </x:c>
      <x:c r="N721" s="17" t="str">
        <x:v>unlike witness records independent reference and live time</x:v>
      </x:c>
      <x:c r="O721" s="17" t="str">
        <x:v>Witness metrology</x:v>
      </x:c>
      <x:c r="P721" s="9" t="n">
        <x:v>0</x:v>
      </x:c>
      <x:c r="Q721" s="9" t="n">
        <x:v>0</x:v>
      </x:c>
      <x:c r="R721" s="9" t="str">
        <x:v>OPEN / UNSTARTED</x:v>
      </x:c>
      <x:c r="S721" s="9" t="n">
        <x:f>COUNTIFS($A$7:$A$1446,A721)</x:f>
        <x:v>1</x:v>
      </x:c>
    </x:row>
    <x:row r="722">
      <x:c r="A722" s="9" t="str">
        <x:v>EV-AR-RT-B-C-TECH-1-B2-BRK-G0-ST06</x:v>
      </x:c>
      <x:c r="B722" s="9" t="str">
        <x:v>EV-AR-RT-B-C-TECH-1-B2-BRK-G0</x:v>
      </x:c>
      <x:c r="C722" s="9" t="str">
        <x:v>EOW-AR-RT-B-C-TECH-1-B2-BRK-G0</x:v>
      </x:c>
      <x:c r="D722" s="9" t="str">
        <x:v>AR-RT-B-C-TECH-1-B2-BRK-G0</x:v>
      </x:c>
      <x:c r="E722" s="9" t="str">
        <x:v>RT-B-C-TECH-1</x:v>
      </x:c>
      <x:c r="F722" s="9" t="str">
        <x:v>RT-B-C</x:v>
      </x:c>
      <x:c r="G722" s="9" t="str">
        <x:v>B2</x:v>
      </x:c>
      <x:c r="H722" s="9" t="str">
        <x:v>BRK</x:v>
      </x:c>
      <x:c r="I722" s="9" t="n">
        <x:v>3</x:v>
      </x:c>
      <x:c r="J722" s="9" t="n">
        <x:v>4</x:v>
      </x:c>
      <x:c r="K722" s="9" t="str">
        <x:v>RT-B-C-N1</x:v>
      </x:c>
      <x:c r="L722" s="9" t="str">
        <x:v>ST06</x:v>
      </x:c>
      <x:c r="M722" s="17" t="str">
        <x:v>Public custody armed</x:v>
      </x:c>
      <x:c r="N722" s="17" t="str">
        <x:v>eight raw origins have separated hash and replica routes</x:v>
      </x:c>
      <x:c r="O722" s="17" t="str">
        <x:v>Custody authority</x:v>
      </x:c>
      <x:c r="P722" s="9" t="n">
        <x:v>0</x:v>
      </x:c>
      <x:c r="Q722" s="9" t="n">
        <x:v>0</x:v>
      </x:c>
      <x:c r="R722" s="9" t="str">
        <x:v>OPEN / UNSTARTED</x:v>
      </x:c>
      <x:c r="S722" s="9" t="n">
        <x:f>COUNTIFS($A$7:$A$1446,A722)</x:f>
        <x:v>1</x:v>
      </x:c>
    </x:row>
    <x:row r="723">
      <x:c r="A723" s="9" t="str">
        <x:v>EV-AR-RT-B-C-TECH-1-B2-BRK-G0-ST07</x:v>
      </x:c>
      <x:c r="B723" s="9" t="str">
        <x:v>EV-AR-RT-B-C-TECH-1-B2-BRK-G0</x:v>
      </x:c>
      <x:c r="C723" s="9" t="str">
        <x:v>EOW-AR-RT-B-C-TECH-1-B2-BRK-G0</x:v>
      </x:c>
      <x:c r="D723" s="9" t="str">
        <x:v>AR-RT-B-C-TECH-1-B2-BRK-G0</x:v>
      </x:c>
      <x:c r="E723" s="9" t="str">
        <x:v>RT-B-C-TECH-1</x:v>
      </x:c>
      <x:c r="F723" s="9" t="str">
        <x:v>RT-B-C</x:v>
      </x:c>
      <x:c r="G723" s="9" t="str">
        <x:v>B2</x:v>
      </x:c>
      <x:c r="H723" s="9" t="str">
        <x:v>BRK</x:v>
      </x:c>
      <x:c r="I723" s="9" t="n">
        <x:v>3</x:v>
      </x:c>
      <x:c r="J723" s="9" t="n">
        <x:v>4</x:v>
      </x:c>
      <x:c r="K723" s="9" t="str">
        <x:v>RT-B-C-N1</x:v>
      </x:c>
      <x:c r="L723" s="9" t="str">
        <x:v>ST07</x:v>
      </x:c>
      <x:c r="M723" s="17" t="str">
        <x:v>Environmental baseline</x:v>
      </x:c>
      <x:c r="N723" s="17" t="str">
        <x:v>pre-event boundary state is sealed before decisive operation</x:v>
      </x:c>
      <x:c r="O723" s="17" t="str">
        <x:v>Site metrology</x:v>
      </x:c>
      <x:c r="P723" s="9" t="n">
        <x:v>0</x:v>
      </x:c>
      <x:c r="Q723" s="9" t="n">
        <x:v>0</x:v>
      </x:c>
      <x:c r="R723" s="9" t="str">
        <x:v>OPEN / UNSTARTED</x:v>
      </x:c>
      <x:c r="S723" s="9" t="n">
        <x:f>COUNTIFS($A$7:$A$1446,A723)</x:f>
        <x:v>1</x:v>
      </x:c>
    </x:row>
    <x:row r="724">
      <x:c r="A724" s="9" t="str">
        <x:v>EV-AR-RT-B-C-TECH-1-B2-BRK-G0-ST08</x:v>
      </x:c>
      <x:c r="B724" s="9" t="str">
        <x:v>EV-AR-RT-B-C-TECH-1-B2-BRK-G0</x:v>
      </x:c>
      <x:c r="C724" s="9" t="str">
        <x:v>EOW-AR-RT-B-C-TECH-1-B2-BRK-G0</x:v>
      </x:c>
      <x:c r="D724" s="9" t="str">
        <x:v>AR-RT-B-C-TECH-1-B2-BRK-G0</x:v>
      </x:c>
      <x:c r="E724" s="9" t="str">
        <x:v>RT-B-C-TECH-1</x:v>
      </x:c>
      <x:c r="F724" s="9" t="str">
        <x:v>RT-B-C</x:v>
      </x:c>
      <x:c r="G724" s="9" t="str">
        <x:v>B2</x:v>
      </x:c>
      <x:c r="H724" s="9" t="str">
        <x:v>BRK</x:v>
      </x:c>
      <x:c r="I724" s="9" t="n">
        <x:v>3</x:v>
      </x:c>
      <x:c r="J724" s="9" t="n">
        <x:v>4</x:v>
      </x:c>
      <x:c r="K724" s="9" t="str">
        <x:v>RT-B-C-N1</x:v>
      </x:c>
      <x:c r="L724" s="9" t="str">
        <x:v>ST08</x:v>
      </x:c>
      <x:c r="M724" s="17" t="str">
        <x:v>Manual stop and safety</x:v>
      </x:c>
      <x:c r="N724" s="17" t="str">
        <x:v>local stop, evacuation and protection routes are active</x:v>
      </x:c>
      <x:c r="O724" s="17" t="str">
        <x:v>Safety authority</x:v>
      </x:c>
      <x:c r="P724" s="9" t="n">
        <x:v>0</x:v>
      </x:c>
      <x:c r="Q724" s="9" t="n">
        <x:v>0</x:v>
      </x:c>
      <x:c r="R724" s="9" t="str">
        <x:v>OPEN / UNSTARTED</x:v>
      </x:c>
      <x:c r="S724" s="9" t="n">
        <x:f>COUNTIFS($A$7:$A$1446,A724)</x:f>
        <x:v>1</x:v>
      </x:c>
    </x:row>
    <x:row r="725">
      <x:c r="A725" s="9" t="str">
        <x:v>EV-AR-RT-B-C-TECH-1-B2-BRK-G0-ST09</x:v>
      </x:c>
      <x:c r="B725" s="9" t="str">
        <x:v>EV-AR-RT-B-C-TECH-1-B2-BRK-G0</x:v>
      </x:c>
      <x:c r="C725" s="9" t="str">
        <x:v>EOW-AR-RT-B-C-TECH-1-B2-BRK-G0</x:v>
      </x:c>
      <x:c r="D725" s="9" t="str">
        <x:v>AR-RT-B-C-TECH-1-B2-BRK-G0</x:v>
      </x:c>
      <x:c r="E725" s="9" t="str">
        <x:v>RT-B-C-TECH-1</x:v>
      </x:c>
      <x:c r="F725" s="9" t="str">
        <x:v>RT-B-C</x:v>
      </x:c>
      <x:c r="G725" s="9" t="str">
        <x:v>B2</x:v>
      </x:c>
      <x:c r="H725" s="9" t="str">
        <x:v>BRK</x:v>
      </x:c>
      <x:c r="I725" s="9" t="n">
        <x:v>3</x:v>
      </x:c>
      <x:c r="J725" s="9" t="n">
        <x:v>4</x:v>
      </x:c>
      <x:c r="K725" s="9" t="str">
        <x:v>RT-B-C-N1</x:v>
      </x:c>
      <x:c r="L725" s="9" t="str">
        <x:v>ST09</x:v>
      </x:c>
      <x:c r="M725" s="17" t="str">
        <x:v>Operator conflict clear</x:v>
      </x:c>
      <x:c r="N725" s="17" t="str">
        <x:v>candidate, fixture, safety and measurement control edges remain separated</x:v>
      </x:c>
      <x:c r="O725" s="17" t="str">
        <x:v>Conflict registrar</x:v>
      </x:c>
      <x:c r="P725" s="9" t="n">
        <x:v>0</x:v>
      </x:c>
      <x:c r="Q725" s="9" t="n">
        <x:v>0</x:v>
      </x:c>
      <x:c r="R725" s="9" t="str">
        <x:v>OPEN / UNSTARTED</x:v>
      </x:c>
      <x:c r="S725" s="9" t="n">
        <x:f>COUNTIFS($A$7:$A$1446,A725)</x:f>
        <x:v>1</x:v>
      </x:c>
    </x:row>
    <x:row r="726">
      <x:c r="A726" s="9" t="str">
        <x:v>EV-AR-RT-B-C-TECH-1-B2-BRK-G0-ST10</x:v>
      </x:c>
      <x:c r="B726" s="9" t="str">
        <x:v>EV-AR-RT-B-C-TECH-1-B2-BRK-G0</x:v>
      </x:c>
      <x:c r="C726" s="9" t="str">
        <x:v>EOW-AR-RT-B-C-TECH-1-B2-BRK-G0</x:v>
      </x:c>
      <x:c r="D726" s="9" t="str">
        <x:v>AR-RT-B-C-TECH-1-B2-BRK-G0</x:v>
      </x:c>
      <x:c r="E726" s="9" t="str">
        <x:v>RT-B-C-TECH-1</x:v>
      </x:c>
      <x:c r="F726" s="9" t="str">
        <x:v>RT-B-C</x:v>
      </x:c>
      <x:c r="G726" s="9" t="str">
        <x:v>B2</x:v>
      </x:c>
      <x:c r="H726" s="9" t="str">
        <x:v>BRK</x:v>
      </x:c>
      <x:c r="I726" s="9" t="n">
        <x:v>3</x:v>
      </x:c>
      <x:c r="J726" s="9" t="n">
        <x:v>4</x:v>
      </x:c>
      <x:c r="K726" s="9" t="str">
        <x:v>RT-B-C-N1</x:v>
      </x:c>
      <x:c r="L726" s="9" t="str">
        <x:v>ST10</x:v>
      </x:c>
      <x:c r="M726" s="17" t="str">
        <x:v>Window and common clock</x:v>
      </x:c>
      <x:c r="N726" s="17" t="str">
        <x:v>epoch, window and public time origin match the issued warrant</x:v>
      </x:c>
      <x:c r="O726" s="17" t="str">
        <x:v>Event clock authority</x:v>
      </x:c>
      <x:c r="P726" s="9" t="n">
        <x:v>0</x:v>
      </x:c>
      <x:c r="Q726" s="9" t="n">
        <x:v>0</x:v>
      </x:c>
      <x:c r="R726" s="9" t="str">
        <x:v>OPEN / UNSTARTED</x:v>
      </x:c>
      <x:c r="S726" s="9" t="n">
        <x:f>COUNTIFS($A$7:$A$1446,A726)</x:f>
        <x:v>1</x:v>
      </x:c>
    </x:row>
    <x:row r="727">
      <x:c r="A727" s="9" t="str">
        <x:v>EV-AR-CT-C-B-TECH-2-B2-INT-G0-ST01</x:v>
      </x:c>
      <x:c r="B727" s="9" t="str">
        <x:v>EV-AR-CT-C-B-TECH-2-B2-INT-G0</x:v>
      </x:c>
      <x:c r="C727" s="9" t="str">
        <x:v>EOW-AR-CT-C-B-TECH-2-B2-INT-G0</x:v>
      </x:c>
      <x:c r="D727" s="9" t="str">
        <x:v>AR-CT-C-B-TECH-2-B2-INT-G0</x:v>
      </x:c>
      <x:c r="E727" s="9" t="str">
        <x:v>CT-C-B-TECH-2</x:v>
      </x:c>
      <x:c r="F727" s="9" t="str">
        <x:v>CT-C-B</x:v>
      </x:c>
      <x:c r="G727" s="9" t="str">
        <x:v>B2</x:v>
      </x:c>
      <x:c r="H727" s="9" t="str">
        <x:v>INT</x:v>
      </x:c>
      <x:c r="I727" s="9" t="n">
        <x:v>4</x:v>
      </x:c>
      <x:c r="J727" s="9" t="n">
        <x:v>1</x:v>
      </x:c>
      <x:c r="K727" s="9" t="str">
        <x:v>CT-C-B-N2</x:v>
      </x:c>
      <x:c r="L727" s="9" t="str">
        <x:v>ST01</x:v>
      </x:c>
      <x:c r="M727" s="17" t="str">
        <x:v>Active opportunity warrant</x:v>
      </x:c>
      <x:c r="N727" s="17" t="str">
        <x:v>configuration-bound EOW is within its thirty-six-hour validity</x:v>
      </x:c>
      <x:c r="O727" s="17" t="str">
        <x:v>Start registrar</x:v>
      </x:c>
      <x:c r="P727" s="9" t="n">
        <x:v>0</x:v>
      </x:c>
      <x:c r="Q727" s="9" t="n">
        <x:v>0</x:v>
      </x:c>
      <x:c r="R727" s="9" t="str">
        <x:v>OPEN / UNSTARTED</x:v>
      </x:c>
      <x:c r="S727" s="9" t="n">
        <x:f>COUNTIFS($A$7:$A$1446,A727)</x:f>
        <x:v>1</x:v>
      </x:c>
    </x:row>
    <x:row r="728">
      <x:c r="A728" s="9" t="str">
        <x:v>EV-AR-CT-C-B-TECH-2-B2-INT-G0-ST02</x:v>
      </x:c>
      <x:c r="B728" s="9" t="str">
        <x:v>EV-AR-CT-C-B-TECH-2-B2-INT-G0</x:v>
      </x:c>
      <x:c r="C728" s="9" t="str">
        <x:v>EOW-AR-CT-C-B-TECH-2-B2-INT-G0</x:v>
      </x:c>
      <x:c r="D728" s="9" t="str">
        <x:v>AR-CT-C-B-TECH-2-B2-INT-G0</x:v>
      </x:c>
      <x:c r="E728" s="9" t="str">
        <x:v>CT-C-B-TECH-2</x:v>
      </x:c>
      <x:c r="F728" s="9" t="str">
        <x:v>CT-C-B</x:v>
      </x:c>
      <x:c r="G728" s="9" t="str">
        <x:v>B2</x:v>
      </x:c>
      <x:c r="H728" s="9" t="str">
        <x:v>INT</x:v>
      </x:c>
      <x:c r="I728" s="9" t="n">
        <x:v>4</x:v>
      </x:c>
      <x:c r="J728" s="9" t="n">
        <x:v>1</x:v>
      </x:c>
      <x:c r="K728" s="9" t="str">
        <x:v>CT-C-B-N2</x:v>
      </x:c>
      <x:c r="L728" s="9" t="str">
        <x:v>ST02</x:v>
      </x:c>
      <x:c r="M728" s="17" t="str">
        <x:v>Frozen identity</x:v>
      </x:c>
      <x:c r="N728" s="17" t="str">
        <x:v>serial, generation, fixture, site, receiver and digest match the warrant</x:v>
      </x:c>
      <x:c r="O728" s="17" t="str">
        <x:v>Custody authority</x:v>
      </x:c>
      <x:c r="P728" s="9" t="n">
        <x:v>0</x:v>
      </x:c>
      <x:c r="Q728" s="9" t="n">
        <x:v>0</x:v>
      </x:c>
      <x:c r="R728" s="9" t="str">
        <x:v>OPEN / UNSTARTED</x:v>
      </x:c>
      <x:c r="S728" s="9" t="n">
        <x:f>COUNTIFS($A$7:$A$1446,A728)</x:f>
        <x:v>1</x:v>
      </x:c>
    </x:row>
    <x:row r="729">
      <x:c r="A729" s="9" t="str">
        <x:v>EV-AR-CT-C-B-TECH-2-B2-INT-G0-ST03</x:v>
      </x:c>
      <x:c r="B729" s="9" t="str">
        <x:v>EV-AR-CT-C-B-TECH-2-B2-INT-G0</x:v>
      </x:c>
      <x:c r="C729" s="9" t="str">
        <x:v>EOW-AR-CT-C-B-TECH-2-B2-INT-G0</x:v>
      </x:c>
      <x:c r="D729" s="9" t="str">
        <x:v>AR-CT-C-B-TECH-2-B2-INT-G0</x:v>
      </x:c>
      <x:c r="E729" s="9" t="str">
        <x:v>CT-C-B-TECH-2</x:v>
      </x:c>
      <x:c r="F729" s="9" t="str">
        <x:v>CT-C-B</x:v>
      </x:c>
      <x:c r="G729" s="9" t="str">
        <x:v>B2</x:v>
      </x:c>
      <x:c r="H729" s="9" t="str">
        <x:v>INT</x:v>
      </x:c>
      <x:c r="I729" s="9" t="n">
        <x:v>4</x:v>
      </x:c>
      <x:c r="J729" s="9" t="n">
        <x:v>1</x:v>
      </x:c>
      <x:c r="K729" s="9" t="str">
        <x:v>CT-C-B-N2</x:v>
      </x:c>
      <x:c r="L729" s="9" t="str">
        <x:v>ST03</x:v>
      </x:c>
      <x:c r="M729" s="17" t="str">
        <x:v>Receiver receipt</x:v>
      </x:c>
      <x:c r="N729" s="17" t="str">
        <x:v>denominator, counterfactual, rights and stop receipt remain unchanged</x:v>
      </x:c>
      <x:c r="O729" s="17" t="str">
        <x:v>Receiver authority</x:v>
      </x:c>
      <x:c r="P729" s="9" t="n">
        <x:v>0</x:v>
      </x:c>
      <x:c r="Q729" s="9" t="n">
        <x:v>0</x:v>
      </x:c>
      <x:c r="R729" s="9" t="str">
        <x:v>OPEN / UNSTARTED</x:v>
      </x:c>
      <x:c r="S729" s="9" t="n">
        <x:f>COUNTIFS($A$7:$A$1446,A729)</x:f>
        <x:v>1</x:v>
      </x:c>
    </x:row>
    <x:row r="730">
      <x:c r="A730" s="9" t="str">
        <x:v>EV-AR-CT-C-B-TECH-2-B2-INT-G0-ST04</x:v>
      </x:c>
      <x:c r="B730" s="9" t="str">
        <x:v>EV-AR-CT-C-B-TECH-2-B2-INT-G0</x:v>
      </x:c>
      <x:c r="C730" s="9" t="str">
        <x:v>EOW-AR-CT-C-B-TECH-2-B2-INT-G0</x:v>
      </x:c>
      <x:c r="D730" s="9" t="str">
        <x:v>AR-CT-C-B-TECH-2-B2-INT-G0</x:v>
      </x:c>
      <x:c r="E730" s="9" t="str">
        <x:v>CT-C-B-TECH-2</x:v>
      </x:c>
      <x:c r="F730" s="9" t="str">
        <x:v>CT-C-B</x:v>
      </x:c>
      <x:c r="G730" s="9" t="str">
        <x:v>B2</x:v>
      </x:c>
      <x:c r="H730" s="9" t="str">
        <x:v>INT</x:v>
      </x:c>
      <x:c r="I730" s="9" t="n">
        <x:v>4</x:v>
      </x:c>
      <x:c r="J730" s="9" t="n">
        <x:v>1</x:v>
      </x:c>
      <x:c r="K730" s="9" t="str">
        <x:v>CT-C-B-N2</x:v>
      </x:c>
      <x:c r="L730" s="9" t="str">
        <x:v>ST04</x:v>
      </x:c>
      <x:c r="M730" s="17" t="str">
        <x:v>Primary capture armed</x:v>
      </x:c>
      <x:c r="N730" s="17" t="str">
        <x:v>primary chain records sealed reference and live time</x:v>
      </x:c>
      <x:c r="O730" s="17" t="str">
        <x:v>Primary metrology</x:v>
      </x:c>
      <x:c r="P730" s="9" t="n">
        <x:v>0</x:v>
      </x:c>
      <x:c r="Q730" s="9" t="n">
        <x:v>0</x:v>
      </x:c>
      <x:c r="R730" s="9" t="str">
        <x:v>OPEN / UNSTARTED</x:v>
      </x:c>
      <x:c r="S730" s="9" t="n">
        <x:f>COUNTIFS($A$7:$A$1446,A730)</x:f>
        <x:v>1</x:v>
      </x:c>
    </x:row>
    <x:row r="731">
      <x:c r="A731" s="9" t="str">
        <x:v>EV-AR-CT-C-B-TECH-2-B2-INT-G0-ST05</x:v>
      </x:c>
      <x:c r="B731" s="9" t="str">
        <x:v>EV-AR-CT-C-B-TECH-2-B2-INT-G0</x:v>
      </x:c>
      <x:c r="C731" s="9" t="str">
        <x:v>EOW-AR-CT-C-B-TECH-2-B2-INT-G0</x:v>
      </x:c>
      <x:c r="D731" s="9" t="str">
        <x:v>AR-CT-C-B-TECH-2-B2-INT-G0</x:v>
      </x:c>
      <x:c r="E731" s="9" t="str">
        <x:v>CT-C-B-TECH-2</x:v>
      </x:c>
      <x:c r="F731" s="9" t="str">
        <x:v>CT-C-B</x:v>
      </x:c>
      <x:c r="G731" s="9" t="str">
        <x:v>B2</x:v>
      </x:c>
      <x:c r="H731" s="9" t="str">
        <x:v>INT</x:v>
      </x:c>
      <x:c r="I731" s="9" t="n">
        <x:v>4</x:v>
      </x:c>
      <x:c r="J731" s="9" t="n">
        <x:v>1</x:v>
      </x:c>
      <x:c r="K731" s="9" t="str">
        <x:v>CT-C-B-N2</x:v>
      </x:c>
      <x:c r="L731" s="9" t="str">
        <x:v>ST05</x:v>
      </x:c>
      <x:c r="M731" s="17" t="str">
        <x:v>Witness capture armed</x:v>
      </x:c>
      <x:c r="N731" s="17" t="str">
        <x:v>unlike witness records independent reference and live time</x:v>
      </x:c>
      <x:c r="O731" s="17" t="str">
        <x:v>Witness metrology</x:v>
      </x:c>
      <x:c r="P731" s="9" t="n">
        <x:v>0</x:v>
      </x:c>
      <x:c r="Q731" s="9" t="n">
        <x:v>0</x:v>
      </x:c>
      <x:c r="R731" s="9" t="str">
        <x:v>OPEN / UNSTARTED</x:v>
      </x:c>
      <x:c r="S731" s="9" t="n">
        <x:f>COUNTIFS($A$7:$A$1446,A731)</x:f>
        <x:v>1</x:v>
      </x:c>
    </x:row>
    <x:row r="732">
      <x:c r="A732" s="9" t="str">
        <x:v>EV-AR-CT-C-B-TECH-2-B2-INT-G0-ST06</x:v>
      </x:c>
      <x:c r="B732" s="9" t="str">
        <x:v>EV-AR-CT-C-B-TECH-2-B2-INT-G0</x:v>
      </x:c>
      <x:c r="C732" s="9" t="str">
        <x:v>EOW-AR-CT-C-B-TECH-2-B2-INT-G0</x:v>
      </x:c>
      <x:c r="D732" s="9" t="str">
        <x:v>AR-CT-C-B-TECH-2-B2-INT-G0</x:v>
      </x:c>
      <x:c r="E732" s="9" t="str">
        <x:v>CT-C-B-TECH-2</x:v>
      </x:c>
      <x:c r="F732" s="9" t="str">
        <x:v>CT-C-B</x:v>
      </x:c>
      <x:c r="G732" s="9" t="str">
        <x:v>B2</x:v>
      </x:c>
      <x:c r="H732" s="9" t="str">
        <x:v>INT</x:v>
      </x:c>
      <x:c r="I732" s="9" t="n">
        <x:v>4</x:v>
      </x:c>
      <x:c r="J732" s="9" t="n">
        <x:v>1</x:v>
      </x:c>
      <x:c r="K732" s="9" t="str">
        <x:v>CT-C-B-N2</x:v>
      </x:c>
      <x:c r="L732" s="9" t="str">
        <x:v>ST06</x:v>
      </x:c>
      <x:c r="M732" s="17" t="str">
        <x:v>Public custody armed</x:v>
      </x:c>
      <x:c r="N732" s="17" t="str">
        <x:v>eight raw origins have separated hash and replica routes</x:v>
      </x:c>
      <x:c r="O732" s="17" t="str">
        <x:v>Custody authority</x:v>
      </x:c>
      <x:c r="P732" s="9" t="n">
        <x:v>0</x:v>
      </x:c>
      <x:c r="Q732" s="9" t="n">
        <x:v>0</x:v>
      </x:c>
      <x:c r="R732" s="9" t="str">
        <x:v>OPEN / UNSTARTED</x:v>
      </x:c>
      <x:c r="S732" s="9" t="n">
        <x:f>COUNTIFS($A$7:$A$1446,A732)</x:f>
        <x:v>1</x:v>
      </x:c>
    </x:row>
    <x:row r="733">
      <x:c r="A733" s="9" t="str">
        <x:v>EV-AR-CT-C-B-TECH-2-B2-INT-G0-ST07</x:v>
      </x:c>
      <x:c r="B733" s="9" t="str">
        <x:v>EV-AR-CT-C-B-TECH-2-B2-INT-G0</x:v>
      </x:c>
      <x:c r="C733" s="9" t="str">
        <x:v>EOW-AR-CT-C-B-TECH-2-B2-INT-G0</x:v>
      </x:c>
      <x:c r="D733" s="9" t="str">
        <x:v>AR-CT-C-B-TECH-2-B2-INT-G0</x:v>
      </x:c>
      <x:c r="E733" s="9" t="str">
        <x:v>CT-C-B-TECH-2</x:v>
      </x:c>
      <x:c r="F733" s="9" t="str">
        <x:v>CT-C-B</x:v>
      </x:c>
      <x:c r="G733" s="9" t="str">
        <x:v>B2</x:v>
      </x:c>
      <x:c r="H733" s="9" t="str">
        <x:v>INT</x:v>
      </x:c>
      <x:c r="I733" s="9" t="n">
        <x:v>4</x:v>
      </x:c>
      <x:c r="J733" s="9" t="n">
        <x:v>1</x:v>
      </x:c>
      <x:c r="K733" s="9" t="str">
        <x:v>CT-C-B-N2</x:v>
      </x:c>
      <x:c r="L733" s="9" t="str">
        <x:v>ST07</x:v>
      </x:c>
      <x:c r="M733" s="17" t="str">
        <x:v>Environmental baseline</x:v>
      </x:c>
      <x:c r="N733" s="17" t="str">
        <x:v>pre-event boundary state is sealed before decisive operation</x:v>
      </x:c>
      <x:c r="O733" s="17" t="str">
        <x:v>Site metrology</x:v>
      </x:c>
      <x:c r="P733" s="9" t="n">
        <x:v>0</x:v>
      </x:c>
      <x:c r="Q733" s="9" t="n">
        <x:v>0</x:v>
      </x:c>
      <x:c r="R733" s="9" t="str">
        <x:v>OPEN / UNSTARTED</x:v>
      </x:c>
      <x:c r="S733" s="9" t="n">
        <x:f>COUNTIFS($A$7:$A$1446,A733)</x:f>
        <x:v>1</x:v>
      </x:c>
    </x:row>
    <x:row r="734">
      <x:c r="A734" s="9" t="str">
        <x:v>EV-AR-CT-C-B-TECH-2-B2-INT-G0-ST08</x:v>
      </x:c>
      <x:c r="B734" s="9" t="str">
        <x:v>EV-AR-CT-C-B-TECH-2-B2-INT-G0</x:v>
      </x:c>
      <x:c r="C734" s="9" t="str">
        <x:v>EOW-AR-CT-C-B-TECH-2-B2-INT-G0</x:v>
      </x:c>
      <x:c r="D734" s="9" t="str">
        <x:v>AR-CT-C-B-TECH-2-B2-INT-G0</x:v>
      </x:c>
      <x:c r="E734" s="9" t="str">
        <x:v>CT-C-B-TECH-2</x:v>
      </x:c>
      <x:c r="F734" s="9" t="str">
        <x:v>CT-C-B</x:v>
      </x:c>
      <x:c r="G734" s="9" t="str">
        <x:v>B2</x:v>
      </x:c>
      <x:c r="H734" s="9" t="str">
        <x:v>INT</x:v>
      </x:c>
      <x:c r="I734" s="9" t="n">
        <x:v>4</x:v>
      </x:c>
      <x:c r="J734" s="9" t="n">
        <x:v>1</x:v>
      </x:c>
      <x:c r="K734" s="9" t="str">
        <x:v>CT-C-B-N2</x:v>
      </x:c>
      <x:c r="L734" s="9" t="str">
        <x:v>ST08</x:v>
      </x:c>
      <x:c r="M734" s="17" t="str">
        <x:v>Manual stop and safety</x:v>
      </x:c>
      <x:c r="N734" s="17" t="str">
        <x:v>local stop, evacuation and protection routes are active</x:v>
      </x:c>
      <x:c r="O734" s="17" t="str">
        <x:v>Safety authority</x:v>
      </x:c>
      <x:c r="P734" s="9" t="n">
        <x:v>0</x:v>
      </x:c>
      <x:c r="Q734" s="9" t="n">
        <x:v>0</x:v>
      </x:c>
      <x:c r="R734" s="9" t="str">
        <x:v>OPEN / UNSTARTED</x:v>
      </x:c>
      <x:c r="S734" s="9" t="n">
        <x:f>COUNTIFS($A$7:$A$1446,A734)</x:f>
        <x:v>1</x:v>
      </x:c>
    </x:row>
    <x:row r="735">
      <x:c r="A735" s="9" t="str">
        <x:v>EV-AR-CT-C-B-TECH-2-B2-INT-G0-ST09</x:v>
      </x:c>
      <x:c r="B735" s="9" t="str">
        <x:v>EV-AR-CT-C-B-TECH-2-B2-INT-G0</x:v>
      </x:c>
      <x:c r="C735" s="9" t="str">
        <x:v>EOW-AR-CT-C-B-TECH-2-B2-INT-G0</x:v>
      </x:c>
      <x:c r="D735" s="9" t="str">
        <x:v>AR-CT-C-B-TECH-2-B2-INT-G0</x:v>
      </x:c>
      <x:c r="E735" s="9" t="str">
        <x:v>CT-C-B-TECH-2</x:v>
      </x:c>
      <x:c r="F735" s="9" t="str">
        <x:v>CT-C-B</x:v>
      </x:c>
      <x:c r="G735" s="9" t="str">
        <x:v>B2</x:v>
      </x:c>
      <x:c r="H735" s="9" t="str">
        <x:v>INT</x:v>
      </x:c>
      <x:c r="I735" s="9" t="n">
        <x:v>4</x:v>
      </x:c>
      <x:c r="J735" s="9" t="n">
        <x:v>1</x:v>
      </x:c>
      <x:c r="K735" s="9" t="str">
        <x:v>CT-C-B-N2</x:v>
      </x:c>
      <x:c r="L735" s="9" t="str">
        <x:v>ST09</x:v>
      </x:c>
      <x:c r="M735" s="17" t="str">
        <x:v>Operator conflict clear</x:v>
      </x:c>
      <x:c r="N735" s="17" t="str">
        <x:v>candidate, fixture, safety and measurement control edges remain separated</x:v>
      </x:c>
      <x:c r="O735" s="17" t="str">
        <x:v>Conflict registrar</x:v>
      </x:c>
      <x:c r="P735" s="9" t="n">
        <x:v>0</x:v>
      </x:c>
      <x:c r="Q735" s="9" t="n">
        <x:v>0</x:v>
      </x:c>
      <x:c r="R735" s="9" t="str">
        <x:v>OPEN / UNSTARTED</x:v>
      </x:c>
      <x:c r="S735" s="9" t="n">
        <x:f>COUNTIFS($A$7:$A$1446,A735)</x:f>
        <x:v>1</x:v>
      </x:c>
    </x:row>
    <x:row r="736">
      <x:c r="A736" s="9" t="str">
        <x:v>EV-AR-CT-C-B-TECH-2-B2-INT-G0-ST10</x:v>
      </x:c>
      <x:c r="B736" s="9" t="str">
        <x:v>EV-AR-CT-C-B-TECH-2-B2-INT-G0</x:v>
      </x:c>
      <x:c r="C736" s="9" t="str">
        <x:v>EOW-AR-CT-C-B-TECH-2-B2-INT-G0</x:v>
      </x:c>
      <x:c r="D736" s="9" t="str">
        <x:v>AR-CT-C-B-TECH-2-B2-INT-G0</x:v>
      </x:c>
      <x:c r="E736" s="9" t="str">
        <x:v>CT-C-B-TECH-2</x:v>
      </x:c>
      <x:c r="F736" s="9" t="str">
        <x:v>CT-C-B</x:v>
      </x:c>
      <x:c r="G736" s="9" t="str">
        <x:v>B2</x:v>
      </x:c>
      <x:c r="H736" s="9" t="str">
        <x:v>INT</x:v>
      </x:c>
      <x:c r="I736" s="9" t="n">
        <x:v>4</x:v>
      </x:c>
      <x:c r="J736" s="9" t="n">
        <x:v>1</x:v>
      </x:c>
      <x:c r="K736" s="9" t="str">
        <x:v>CT-C-B-N2</x:v>
      </x:c>
      <x:c r="L736" s="9" t="str">
        <x:v>ST10</x:v>
      </x:c>
      <x:c r="M736" s="17" t="str">
        <x:v>Window and common clock</x:v>
      </x:c>
      <x:c r="N736" s="17" t="str">
        <x:v>epoch, window and public time origin match the issued warrant</x:v>
      </x:c>
      <x:c r="O736" s="17" t="str">
        <x:v>Event clock authority</x:v>
      </x:c>
      <x:c r="P736" s="9" t="n">
        <x:v>0</x:v>
      </x:c>
      <x:c r="Q736" s="9" t="n">
        <x:v>0</x:v>
      </x:c>
      <x:c r="R736" s="9" t="str">
        <x:v>OPEN / UNSTARTED</x:v>
      </x:c>
      <x:c r="S736" s="9" t="n">
        <x:f>COUNTIFS($A$7:$A$1446,A736)</x:f>
        <x:v>1</x:v>
      </x:c>
    </x:row>
    <x:row r="737">
      <x:c r="A737" s="9" t="str">
        <x:v>EV-AR-CT-C-B-TECH-3-B1-INT-G0-ST01</x:v>
      </x:c>
      <x:c r="B737" s="9" t="str">
        <x:v>EV-AR-CT-C-B-TECH-3-B1-INT-G0</x:v>
      </x:c>
      <x:c r="C737" s="9" t="str">
        <x:v>EOW-AR-CT-C-B-TECH-3-B1-INT-G0</x:v>
      </x:c>
      <x:c r="D737" s="9" t="str">
        <x:v>AR-CT-C-B-TECH-3-B1-INT-G0</x:v>
      </x:c>
      <x:c r="E737" s="9" t="str">
        <x:v>CT-C-B-TECH-3</x:v>
      </x:c>
      <x:c r="F737" s="9" t="str">
        <x:v>CT-C-B</x:v>
      </x:c>
      <x:c r="G737" s="9" t="str">
        <x:v>B1</x:v>
      </x:c>
      <x:c r="H737" s="9" t="str">
        <x:v>INT</x:v>
      </x:c>
      <x:c r="I737" s="9" t="n">
        <x:v>4</x:v>
      </x:c>
      <x:c r="J737" s="9" t="n">
        <x:v>1</x:v>
      </x:c>
      <x:c r="K737" s="9" t="str">
        <x:v>CT-C-B-N3</x:v>
      </x:c>
      <x:c r="L737" s="9" t="str">
        <x:v>ST01</x:v>
      </x:c>
      <x:c r="M737" s="17" t="str">
        <x:v>Active opportunity warrant</x:v>
      </x:c>
      <x:c r="N737" s="17" t="str">
        <x:v>configuration-bound EOW is within its thirty-six-hour validity</x:v>
      </x:c>
      <x:c r="O737" s="17" t="str">
        <x:v>Start registrar</x:v>
      </x:c>
      <x:c r="P737" s="9" t="n">
        <x:v>0</x:v>
      </x:c>
      <x:c r="Q737" s="9" t="n">
        <x:v>0</x:v>
      </x:c>
      <x:c r="R737" s="9" t="str">
        <x:v>OPEN / UNSTARTED</x:v>
      </x:c>
      <x:c r="S737" s="9" t="n">
        <x:f>COUNTIFS($A$7:$A$1446,A737)</x:f>
        <x:v>1</x:v>
      </x:c>
    </x:row>
    <x:row r="738">
      <x:c r="A738" s="9" t="str">
        <x:v>EV-AR-CT-C-B-TECH-3-B1-INT-G0-ST02</x:v>
      </x:c>
      <x:c r="B738" s="9" t="str">
        <x:v>EV-AR-CT-C-B-TECH-3-B1-INT-G0</x:v>
      </x:c>
      <x:c r="C738" s="9" t="str">
        <x:v>EOW-AR-CT-C-B-TECH-3-B1-INT-G0</x:v>
      </x:c>
      <x:c r="D738" s="9" t="str">
        <x:v>AR-CT-C-B-TECH-3-B1-INT-G0</x:v>
      </x:c>
      <x:c r="E738" s="9" t="str">
        <x:v>CT-C-B-TECH-3</x:v>
      </x:c>
      <x:c r="F738" s="9" t="str">
        <x:v>CT-C-B</x:v>
      </x:c>
      <x:c r="G738" s="9" t="str">
        <x:v>B1</x:v>
      </x:c>
      <x:c r="H738" s="9" t="str">
        <x:v>INT</x:v>
      </x:c>
      <x:c r="I738" s="9" t="n">
        <x:v>4</x:v>
      </x:c>
      <x:c r="J738" s="9" t="n">
        <x:v>1</x:v>
      </x:c>
      <x:c r="K738" s="9" t="str">
        <x:v>CT-C-B-N3</x:v>
      </x:c>
      <x:c r="L738" s="9" t="str">
        <x:v>ST02</x:v>
      </x:c>
      <x:c r="M738" s="17" t="str">
        <x:v>Frozen identity</x:v>
      </x:c>
      <x:c r="N738" s="17" t="str">
        <x:v>serial, generation, fixture, site, receiver and digest match the warrant</x:v>
      </x:c>
      <x:c r="O738" s="17" t="str">
        <x:v>Custody authority</x:v>
      </x:c>
      <x:c r="P738" s="9" t="n">
        <x:v>0</x:v>
      </x:c>
      <x:c r="Q738" s="9" t="n">
        <x:v>0</x:v>
      </x:c>
      <x:c r="R738" s="9" t="str">
        <x:v>OPEN / UNSTARTED</x:v>
      </x:c>
      <x:c r="S738" s="9" t="n">
        <x:f>COUNTIFS($A$7:$A$1446,A738)</x:f>
        <x:v>1</x:v>
      </x:c>
    </x:row>
    <x:row r="739">
      <x:c r="A739" s="9" t="str">
        <x:v>EV-AR-CT-C-B-TECH-3-B1-INT-G0-ST03</x:v>
      </x:c>
      <x:c r="B739" s="9" t="str">
        <x:v>EV-AR-CT-C-B-TECH-3-B1-INT-G0</x:v>
      </x:c>
      <x:c r="C739" s="9" t="str">
        <x:v>EOW-AR-CT-C-B-TECH-3-B1-INT-G0</x:v>
      </x:c>
      <x:c r="D739" s="9" t="str">
        <x:v>AR-CT-C-B-TECH-3-B1-INT-G0</x:v>
      </x:c>
      <x:c r="E739" s="9" t="str">
        <x:v>CT-C-B-TECH-3</x:v>
      </x:c>
      <x:c r="F739" s="9" t="str">
        <x:v>CT-C-B</x:v>
      </x:c>
      <x:c r="G739" s="9" t="str">
        <x:v>B1</x:v>
      </x:c>
      <x:c r="H739" s="9" t="str">
        <x:v>INT</x:v>
      </x:c>
      <x:c r="I739" s="9" t="n">
        <x:v>4</x:v>
      </x:c>
      <x:c r="J739" s="9" t="n">
        <x:v>1</x:v>
      </x:c>
      <x:c r="K739" s="9" t="str">
        <x:v>CT-C-B-N3</x:v>
      </x:c>
      <x:c r="L739" s="9" t="str">
        <x:v>ST03</x:v>
      </x:c>
      <x:c r="M739" s="17" t="str">
        <x:v>Receiver receipt</x:v>
      </x:c>
      <x:c r="N739" s="17" t="str">
        <x:v>denominator, counterfactual, rights and stop receipt remain unchanged</x:v>
      </x:c>
      <x:c r="O739" s="17" t="str">
        <x:v>Receiver authority</x:v>
      </x:c>
      <x:c r="P739" s="9" t="n">
        <x:v>0</x:v>
      </x:c>
      <x:c r="Q739" s="9" t="n">
        <x:v>0</x:v>
      </x:c>
      <x:c r="R739" s="9" t="str">
        <x:v>OPEN / UNSTARTED</x:v>
      </x:c>
      <x:c r="S739" s="9" t="n">
        <x:f>COUNTIFS($A$7:$A$1446,A739)</x:f>
        <x:v>1</x:v>
      </x:c>
    </x:row>
    <x:row r="740">
      <x:c r="A740" s="9" t="str">
        <x:v>EV-AR-CT-C-B-TECH-3-B1-INT-G0-ST04</x:v>
      </x:c>
      <x:c r="B740" s="9" t="str">
        <x:v>EV-AR-CT-C-B-TECH-3-B1-INT-G0</x:v>
      </x:c>
      <x:c r="C740" s="9" t="str">
        <x:v>EOW-AR-CT-C-B-TECH-3-B1-INT-G0</x:v>
      </x:c>
      <x:c r="D740" s="9" t="str">
        <x:v>AR-CT-C-B-TECH-3-B1-INT-G0</x:v>
      </x:c>
      <x:c r="E740" s="9" t="str">
        <x:v>CT-C-B-TECH-3</x:v>
      </x:c>
      <x:c r="F740" s="9" t="str">
        <x:v>CT-C-B</x:v>
      </x:c>
      <x:c r="G740" s="9" t="str">
        <x:v>B1</x:v>
      </x:c>
      <x:c r="H740" s="9" t="str">
        <x:v>INT</x:v>
      </x:c>
      <x:c r="I740" s="9" t="n">
        <x:v>4</x:v>
      </x:c>
      <x:c r="J740" s="9" t="n">
        <x:v>1</x:v>
      </x:c>
      <x:c r="K740" s="9" t="str">
        <x:v>CT-C-B-N3</x:v>
      </x:c>
      <x:c r="L740" s="9" t="str">
        <x:v>ST04</x:v>
      </x:c>
      <x:c r="M740" s="17" t="str">
        <x:v>Primary capture armed</x:v>
      </x:c>
      <x:c r="N740" s="17" t="str">
        <x:v>primary chain records sealed reference and live time</x:v>
      </x:c>
      <x:c r="O740" s="17" t="str">
        <x:v>Primary metrology</x:v>
      </x:c>
      <x:c r="P740" s="9" t="n">
        <x:v>0</x:v>
      </x:c>
      <x:c r="Q740" s="9" t="n">
        <x:v>0</x:v>
      </x:c>
      <x:c r="R740" s="9" t="str">
        <x:v>OPEN / UNSTARTED</x:v>
      </x:c>
      <x:c r="S740" s="9" t="n">
        <x:f>COUNTIFS($A$7:$A$1446,A740)</x:f>
        <x:v>1</x:v>
      </x:c>
    </x:row>
    <x:row r="741">
      <x:c r="A741" s="9" t="str">
        <x:v>EV-AR-CT-C-B-TECH-3-B1-INT-G0-ST05</x:v>
      </x:c>
      <x:c r="B741" s="9" t="str">
        <x:v>EV-AR-CT-C-B-TECH-3-B1-INT-G0</x:v>
      </x:c>
      <x:c r="C741" s="9" t="str">
        <x:v>EOW-AR-CT-C-B-TECH-3-B1-INT-G0</x:v>
      </x:c>
      <x:c r="D741" s="9" t="str">
        <x:v>AR-CT-C-B-TECH-3-B1-INT-G0</x:v>
      </x:c>
      <x:c r="E741" s="9" t="str">
        <x:v>CT-C-B-TECH-3</x:v>
      </x:c>
      <x:c r="F741" s="9" t="str">
        <x:v>CT-C-B</x:v>
      </x:c>
      <x:c r="G741" s="9" t="str">
        <x:v>B1</x:v>
      </x:c>
      <x:c r="H741" s="9" t="str">
        <x:v>INT</x:v>
      </x:c>
      <x:c r="I741" s="9" t="n">
        <x:v>4</x:v>
      </x:c>
      <x:c r="J741" s="9" t="n">
        <x:v>1</x:v>
      </x:c>
      <x:c r="K741" s="9" t="str">
        <x:v>CT-C-B-N3</x:v>
      </x:c>
      <x:c r="L741" s="9" t="str">
        <x:v>ST05</x:v>
      </x:c>
      <x:c r="M741" s="17" t="str">
        <x:v>Witness capture armed</x:v>
      </x:c>
      <x:c r="N741" s="17" t="str">
        <x:v>unlike witness records independent reference and live time</x:v>
      </x:c>
      <x:c r="O741" s="17" t="str">
        <x:v>Witness metrology</x:v>
      </x:c>
      <x:c r="P741" s="9" t="n">
        <x:v>0</x:v>
      </x:c>
      <x:c r="Q741" s="9" t="n">
        <x:v>0</x:v>
      </x:c>
      <x:c r="R741" s="9" t="str">
        <x:v>OPEN / UNSTARTED</x:v>
      </x:c>
      <x:c r="S741" s="9" t="n">
        <x:f>COUNTIFS($A$7:$A$1446,A741)</x:f>
        <x:v>1</x:v>
      </x:c>
    </x:row>
    <x:row r="742">
      <x:c r="A742" s="9" t="str">
        <x:v>EV-AR-CT-C-B-TECH-3-B1-INT-G0-ST06</x:v>
      </x:c>
      <x:c r="B742" s="9" t="str">
        <x:v>EV-AR-CT-C-B-TECH-3-B1-INT-G0</x:v>
      </x:c>
      <x:c r="C742" s="9" t="str">
        <x:v>EOW-AR-CT-C-B-TECH-3-B1-INT-G0</x:v>
      </x:c>
      <x:c r="D742" s="9" t="str">
        <x:v>AR-CT-C-B-TECH-3-B1-INT-G0</x:v>
      </x:c>
      <x:c r="E742" s="9" t="str">
        <x:v>CT-C-B-TECH-3</x:v>
      </x:c>
      <x:c r="F742" s="9" t="str">
        <x:v>CT-C-B</x:v>
      </x:c>
      <x:c r="G742" s="9" t="str">
        <x:v>B1</x:v>
      </x:c>
      <x:c r="H742" s="9" t="str">
        <x:v>INT</x:v>
      </x:c>
      <x:c r="I742" s="9" t="n">
        <x:v>4</x:v>
      </x:c>
      <x:c r="J742" s="9" t="n">
        <x:v>1</x:v>
      </x:c>
      <x:c r="K742" s="9" t="str">
        <x:v>CT-C-B-N3</x:v>
      </x:c>
      <x:c r="L742" s="9" t="str">
        <x:v>ST06</x:v>
      </x:c>
      <x:c r="M742" s="17" t="str">
        <x:v>Public custody armed</x:v>
      </x:c>
      <x:c r="N742" s="17" t="str">
        <x:v>eight raw origins have separated hash and replica routes</x:v>
      </x:c>
      <x:c r="O742" s="17" t="str">
        <x:v>Custody authority</x:v>
      </x:c>
      <x:c r="P742" s="9" t="n">
        <x:v>0</x:v>
      </x:c>
      <x:c r="Q742" s="9" t="n">
        <x:v>0</x:v>
      </x:c>
      <x:c r="R742" s="9" t="str">
        <x:v>OPEN / UNSTARTED</x:v>
      </x:c>
      <x:c r="S742" s="9" t="n">
        <x:f>COUNTIFS($A$7:$A$1446,A742)</x:f>
        <x:v>1</x:v>
      </x:c>
    </x:row>
    <x:row r="743">
      <x:c r="A743" s="9" t="str">
        <x:v>EV-AR-CT-C-B-TECH-3-B1-INT-G0-ST07</x:v>
      </x:c>
      <x:c r="B743" s="9" t="str">
        <x:v>EV-AR-CT-C-B-TECH-3-B1-INT-G0</x:v>
      </x:c>
      <x:c r="C743" s="9" t="str">
        <x:v>EOW-AR-CT-C-B-TECH-3-B1-INT-G0</x:v>
      </x:c>
      <x:c r="D743" s="9" t="str">
        <x:v>AR-CT-C-B-TECH-3-B1-INT-G0</x:v>
      </x:c>
      <x:c r="E743" s="9" t="str">
        <x:v>CT-C-B-TECH-3</x:v>
      </x:c>
      <x:c r="F743" s="9" t="str">
        <x:v>CT-C-B</x:v>
      </x:c>
      <x:c r="G743" s="9" t="str">
        <x:v>B1</x:v>
      </x:c>
      <x:c r="H743" s="9" t="str">
        <x:v>INT</x:v>
      </x:c>
      <x:c r="I743" s="9" t="n">
        <x:v>4</x:v>
      </x:c>
      <x:c r="J743" s="9" t="n">
        <x:v>1</x:v>
      </x:c>
      <x:c r="K743" s="9" t="str">
        <x:v>CT-C-B-N3</x:v>
      </x:c>
      <x:c r="L743" s="9" t="str">
        <x:v>ST07</x:v>
      </x:c>
      <x:c r="M743" s="17" t="str">
        <x:v>Environmental baseline</x:v>
      </x:c>
      <x:c r="N743" s="17" t="str">
        <x:v>pre-event boundary state is sealed before decisive operation</x:v>
      </x:c>
      <x:c r="O743" s="17" t="str">
        <x:v>Site metrology</x:v>
      </x:c>
      <x:c r="P743" s="9" t="n">
        <x:v>0</x:v>
      </x:c>
      <x:c r="Q743" s="9" t="n">
        <x:v>0</x:v>
      </x:c>
      <x:c r="R743" s="9" t="str">
        <x:v>OPEN / UNSTARTED</x:v>
      </x:c>
      <x:c r="S743" s="9" t="n">
        <x:f>COUNTIFS($A$7:$A$1446,A743)</x:f>
        <x:v>1</x:v>
      </x:c>
    </x:row>
    <x:row r="744">
      <x:c r="A744" s="9" t="str">
        <x:v>EV-AR-CT-C-B-TECH-3-B1-INT-G0-ST08</x:v>
      </x:c>
      <x:c r="B744" s="9" t="str">
        <x:v>EV-AR-CT-C-B-TECH-3-B1-INT-G0</x:v>
      </x:c>
      <x:c r="C744" s="9" t="str">
        <x:v>EOW-AR-CT-C-B-TECH-3-B1-INT-G0</x:v>
      </x:c>
      <x:c r="D744" s="9" t="str">
        <x:v>AR-CT-C-B-TECH-3-B1-INT-G0</x:v>
      </x:c>
      <x:c r="E744" s="9" t="str">
        <x:v>CT-C-B-TECH-3</x:v>
      </x:c>
      <x:c r="F744" s="9" t="str">
        <x:v>CT-C-B</x:v>
      </x:c>
      <x:c r="G744" s="9" t="str">
        <x:v>B1</x:v>
      </x:c>
      <x:c r="H744" s="9" t="str">
        <x:v>INT</x:v>
      </x:c>
      <x:c r="I744" s="9" t="n">
        <x:v>4</x:v>
      </x:c>
      <x:c r="J744" s="9" t="n">
        <x:v>1</x:v>
      </x:c>
      <x:c r="K744" s="9" t="str">
        <x:v>CT-C-B-N3</x:v>
      </x:c>
      <x:c r="L744" s="9" t="str">
        <x:v>ST08</x:v>
      </x:c>
      <x:c r="M744" s="17" t="str">
        <x:v>Manual stop and safety</x:v>
      </x:c>
      <x:c r="N744" s="17" t="str">
        <x:v>local stop, evacuation and protection routes are active</x:v>
      </x:c>
      <x:c r="O744" s="17" t="str">
        <x:v>Safety authority</x:v>
      </x:c>
      <x:c r="P744" s="9" t="n">
        <x:v>0</x:v>
      </x:c>
      <x:c r="Q744" s="9" t="n">
        <x:v>0</x:v>
      </x:c>
      <x:c r="R744" s="9" t="str">
        <x:v>OPEN / UNSTARTED</x:v>
      </x:c>
      <x:c r="S744" s="9" t="n">
        <x:f>COUNTIFS($A$7:$A$1446,A744)</x:f>
        <x:v>1</x:v>
      </x:c>
    </x:row>
    <x:row r="745">
      <x:c r="A745" s="9" t="str">
        <x:v>EV-AR-CT-C-B-TECH-3-B1-INT-G0-ST09</x:v>
      </x:c>
      <x:c r="B745" s="9" t="str">
        <x:v>EV-AR-CT-C-B-TECH-3-B1-INT-G0</x:v>
      </x:c>
      <x:c r="C745" s="9" t="str">
        <x:v>EOW-AR-CT-C-B-TECH-3-B1-INT-G0</x:v>
      </x:c>
      <x:c r="D745" s="9" t="str">
        <x:v>AR-CT-C-B-TECH-3-B1-INT-G0</x:v>
      </x:c>
      <x:c r="E745" s="9" t="str">
        <x:v>CT-C-B-TECH-3</x:v>
      </x:c>
      <x:c r="F745" s="9" t="str">
        <x:v>CT-C-B</x:v>
      </x:c>
      <x:c r="G745" s="9" t="str">
        <x:v>B1</x:v>
      </x:c>
      <x:c r="H745" s="9" t="str">
        <x:v>INT</x:v>
      </x:c>
      <x:c r="I745" s="9" t="n">
        <x:v>4</x:v>
      </x:c>
      <x:c r="J745" s="9" t="n">
        <x:v>1</x:v>
      </x:c>
      <x:c r="K745" s="9" t="str">
        <x:v>CT-C-B-N3</x:v>
      </x:c>
      <x:c r="L745" s="9" t="str">
        <x:v>ST09</x:v>
      </x:c>
      <x:c r="M745" s="17" t="str">
        <x:v>Operator conflict clear</x:v>
      </x:c>
      <x:c r="N745" s="17" t="str">
        <x:v>candidate, fixture, safety and measurement control edges remain separated</x:v>
      </x:c>
      <x:c r="O745" s="17" t="str">
        <x:v>Conflict registrar</x:v>
      </x:c>
      <x:c r="P745" s="9" t="n">
        <x:v>0</x:v>
      </x:c>
      <x:c r="Q745" s="9" t="n">
        <x:v>0</x:v>
      </x:c>
      <x:c r="R745" s="9" t="str">
        <x:v>OPEN / UNSTARTED</x:v>
      </x:c>
      <x:c r="S745" s="9" t="n">
        <x:f>COUNTIFS($A$7:$A$1446,A745)</x:f>
        <x:v>1</x:v>
      </x:c>
    </x:row>
    <x:row r="746">
      <x:c r="A746" s="9" t="str">
        <x:v>EV-AR-CT-C-B-TECH-3-B1-INT-G0-ST10</x:v>
      </x:c>
      <x:c r="B746" s="9" t="str">
        <x:v>EV-AR-CT-C-B-TECH-3-B1-INT-G0</x:v>
      </x:c>
      <x:c r="C746" s="9" t="str">
        <x:v>EOW-AR-CT-C-B-TECH-3-B1-INT-G0</x:v>
      </x:c>
      <x:c r="D746" s="9" t="str">
        <x:v>AR-CT-C-B-TECH-3-B1-INT-G0</x:v>
      </x:c>
      <x:c r="E746" s="9" t="str">
        <x:v>CT-C-B-TECH-3</x:v>
      </x:c>
      <x:c r="F746" s="9" t="str">
        <x:v>CT-C-B</x:v>
      </x:c>
      <x:c r="G746" s="9" t="str">
        <x:v>B1</x:v>
      </x:c>
      <x:c r="H746" s="9" t="str">
        <x:v>INT</x:v>
      </x:c>
      <x:c r="I746" s="9" t="n">
        <x:v>4</x:v>
      </x:c>
      <x:c r="J746" s="9" t="n">
        <x:v>1</x:v>
      </x:c>
      <x:c r="K746" s="9" t="str">
        <x:v>CT-C-B-N3</x:v>
      </x:c>
      <x:c r="L746" s="9" t="str">
        <x:v>ST10</x:v>
      </x:c>
      <x:c r="M746" s="17" t="str">
        <x:v>Window and common clock</x:v>
      </x:c>
      <x:c r="N746" s="17" t="str">
        <x:v>epoch, window and public time origin match the issued warrant</x:v>
      </x:c>
      <x:c r="O746" s="17" t="str">
        <x:v>Event clock authority</x:v>
      </x:c>
      <x:c r="P746" s="9" t="n">
        <x:v>0</x:v>
      </x:c>
      <x:c r="Q746" s="9" t="n">
        <x:v>0</x:v>
      </x:c>
      <x:c r="R746" s="9" t="str">
        <x:v>OPEN / UNSTARTED</x:v>
      </x:c>
      <x:c r="S746" s="9" t="n">
        <x:f>COUNTIFS($A$7:$A$1446,A746)</x:f>
        <x:v>1</x:v>
      </x:c>
    </x:row>
    <x:row r="747">
      <x:c r="A747" s="9" t="str">
        <x:v>EV-AR-ET-A-A-TECH-4-B1-INT-G0-ST01</x:v>
      </x:c>
      <x:c r="B747" s="9" t="str">
        <x:v>EV-AR-ET-A-A-TECH-4-B1-INT-G0</x:v>
      </x:c>
      <x:c r="C747" s="9" t="str">
        <x:v>EOW-AR-ET-A-A-TECH-4-B1-INT-G0</x:v>
      </x:c>
      <x:c r="D747" s="9" t="str">
        <x:v>AR-ET-A-A-TECH-4-B1-INT-G0</x:v>
      </x:c>
      <x:c r="E747" s="9" t="str">
        <x:v>ET-A-A-TECH-4</x:v>
      </x:c>
      <x:c r="F747" s="9" t="str">
        <x:v>ET-A-A</x:v>
      </x:c>
      <x:c r="G747" s="9" t="str">
        <x:v>B1</x:v>
      </x:c>
      <x:c r="H747" s="9" t="str">
        <x:v>INT</x:v>
      </x:c>
      <x:c r="I747" s="9" t="n">
        <x:v>4</x:v>
      </x:c>
      <x:c r="J747" s="9" t="n">
        <x:v>1</x:v>
      </x:c>
      <x:c r="K747" s="9" t="str">
        <x:v>ET-A-A-N2</x:v>
      </x:c>
      <x:c r="L747" s="9" t="str">
        <x:v>ST01</x:v>
      </x:c>
      <x:c r="M747" s="17" t="str">
        <x:v>Active opportunity warrant</x:v>
      </x:c>
      <x:c r="N747" s="17" t="str">
        <x:v>configuration-bound EOW is within its thirty-six-hour validity</x:v>
      </x:c>
      <x:c r="O747" s="17" t="str">
        <x:v>Start registrar</x:v>
      </x:c>
      <x:c r="P747" s="9" t="n">
        <x:v>0</x:v>
      </x:c>
      <x:c r="Q747" s="9" t="n">
        <x:v>0</x:v>
      </x:c>
      <x:c r="R747" s="9" t="str">
        <x:v>OPEN / UNSTARTED</x:v>
      </x:c>
      <x:c r="S747" s="9" t="n">
        <x:f>COUNTIFS($A$7:$A$1446,A747)</x:f>
        <x:v>1</x:v>
      </x:c>
    </x:row>
    <x:row r="748">
      <x:c r="A748" s="9" t="str">
        <x:v>EV-AR-ET-A-A-TECH-4-B1-INT-G0-ST02</x:v>
      </x:c>
      <x:c r="B748" s="9" t="str">
        <x:v>EV-AR-ET-A-A-TECH-4-B1-INT-G0</x:v>
      </x:c>
      <x:c r="C748" s="9" t="str">
        <x:v>EOW-AR-ET-A-A-TECH-4-B1-INT-G0</x:v>
      </x:c>
      <x:c r="D748" s="9" t="str">
        <x:v>AR-ET-A-A-TECH-4-B1-INT-G0</x:v>
      </x:c>
      <x:c r="E748" s="9" t="str">
        <x:v>ET-A-A-TECH-4</x:v>
      </x:c>
      <x:c r="F748" s="9" t="str">
        <x:v>ET-A-A</x:v>
      </x:c>
      <x:c r="G748" s="9" t="str">
        <x:v>B1</x:v>
      </x:c>
      <x:c r="H748" s="9" t="str">
        <x:v>INT</x:v>
      </x:c>
      <x:c r="I748" s="9" t="n">
        <x:v>4</x:v>
      </x:c>
      <x:c r="J748" s="9" t="n">
        <x:v>1</x:v>
      </x:c>
      <x:c r="K748" s="9" t="str">
        <x:v>ET-A-A-N2</x:v>
      </x:c>
      <x:c r="L748" s="9" t="str">
        <x:v>ST02</x:v>
      </x:c>
      <x:c r="M748" s="17" t="str">
        <x:v>Frozen identity</x:v>
      </x:c>
      <x:c r="N748" s="17" t="str">
        <x:v>serial, generation, fixture, site, receiver and digest match the warrant</x:v>
      </x:c>
      <x:c r="O748" s="17" t="str">
        <x:v>Custody authority</x:v>
      </x:c>
      <x:c r="P748" s="9" t="n">
        <x:v>0</x:v>
      </x:c>
      <x:c r="Q748" s="9" t="n">
        <x:v>0</x:v>
      </x:c>
      <x:c r="R748" s="9" t="str">
        <x:v>OPEN / UNSTARTED</x:v>
      </x:c>
      <x:c r="S748" s="9" t="n">
        <x:f>COUNTIFS($A$7:$A$1446,A748)</x:f>
        <x:v>1</x:v>
      </x:c>
    </x:row>
    <x:row r="749">
      <x:c r="A749" s="9" t="str">
        <x:v>EV-AR-ET-A-A-TECH-4-B1-INT-G0-ST03</x:v>
      </x:c>
      <x:c r="B749" s="9" t="str">
        <x:v>EV-AR-ET-A-A-TECH-4-B1-INT-G0</x:v>
      </x:c>
      <x:c r="C749" s="9" t="str">
        <x:v>EOW-AR-ET-A-A-TECH-4-B1-INT-G0</x:v>
      </x:c>
      <x:c r="D749" s="9" t="str">
        <x:v>AR-ET-A-A-TECH-4-B1-INT-G0</x:v>
      </x:c>
      <x:c r="E749" s="9" t="str">
        <x:v>ET-A-A-TECH-4</x:v>
      </x:c>
      <x:c r="F749" s="9" t="str">
        <x:v>ET-A-A</x:v>
      </x:c>
      <x:c r="G749" s="9" t="str">
        <x:v>B1</x:v>
      </x:c>
      <x:c r="H749" s="9" t="str">
        <x:v>INT</x:v>
      </x:c>
      <x:c r="I749" s="9" t="n">
        <x:v>4</x:v>
      </x:c>
      <x:c r="J749" s="9" t="n">
        <x:v>1</x:v>
      </x:c>
      <x:c r="K749" s="9" t="str">
        <x:v>ET-A-A-N2</x:v>
      </x:c>
      <x:c r="L749" s="9" t="str">
        <x:v>ST03</x:v>
      </x:c>
      <x:c r="M749" s="17" t="str">
        <x:v>Receiver receipt</x:v>
      </x:c>
      <x:c r="N749" s="17" t="str">
        <x:v>denominator, counterfactual, rights and stop receipt remain unchanged</x:v>
      </x:c>
      <x:c r="O749" s="17" t="str">
        <x:v>Receiver authority</x:v>
      </x:c>
      <x:c r="P749" s="9" t="n">
        <x:v>0</x:v>
      </x:c>
      <x:c r="Q749" s="9" t="n">
        <x:v>0</x:v>
      </x:c>
      <x:c r="R749" s="9" t="str">
        <x:v>OPEN / UNSTARTED</x:v>
      </x:c>
      <x:c r="S749" s="9" t="n">
        <x:f>COUNTIFS($A$7:$A$1446,A749)</x:f>
        <x:v>1</x:v>
      </x:c>
    </x:row>
    <x:row r="750">
      <x:c r="A750" s="9" t="str">
        <x:v>EV-AR-ET-A-A-TECH-4-B1-INT-G0-ST04</x:v>
      </x:c>
      <x:c r="B750" s="9" t="str">
        <x:v>EV-AR-ET-A-A-TECH-4-B1-INT-G0</x:v>
      </x:c>
      <x:c r="C750" s="9" t="str">
        <x:v>EOW-AR-ET-A-A-TECH-4-B1-INT-G0</x:v>
      </x:c>
      <x:c r="D750" s="9" t="str">
        <x:v>AR-ET-A-A-TECH-4-B1-INT-G0</x:v>
      </x:c>
      <x:c r="E750" s="9" t="str">
        <x:v>ET-A-A-TECH-4</x:v>
      </x:c>
      <x:c r="F750" s="9" t="str">
        <x:v>ET-A-A</x:v>
      </x:c>
      <x:c r="G750" s="9" t="str">
        <x:v>B1</x:v>
      </x:c>
      <x:c r="H750" s="9" t="str">
        <x:v>INT</x:v>
      </x:c>
      <x:c r="I750" s="9" t="n">
        <x:v>4</x:v>
      </x:c>
      <x:c r="J750" s="9" t="n">
        <x:v>1</x:v>
      </x:c>
      <x:c r="K750" s="9" t="str">
        <x:v>ET-A-A-N2</x:v>
      </x:c>
      <x:c r="L750" s="9" t="str">
        <x:v>ST04</x:v>
      </x:c>
      <x:c r="M750" s="17" t="str">
        <x:v>Primary capture armed</x:v>
      </x:c>
      <x:c r="N750" s="17" t="str">
        <x:v>primary chain records sealed reference and live time</x:v>
      </x:c>
      <x:c r="O750" s="17" t="str">
        <x:v>Primary metrology</x:v>
      </x:c>
      <x:c r="P750" s="9" t="n">
        <x:v>0</x:v>
      </x:c>
      <x:c r="Q750" s="9" t="n">
        <x:v>0</x:v>
      </x:c>
      <x:c r="R750" s="9" t="str">
        <x:v>OPEN / UNSTARTED</x:v>
      </x:c>
      <x:c r="S750" s="9" t="n">
        <x:f>COUNTIFS($A$7:$A$1446,A750)</x:f>
        <x:v>1</x:v>
      </x:c>
    </x:row>
    <x:row r="751">
      <x:c r="A751" s="9" t="str">
        <x:v>EV-AR-ET-A-A-TECH-4-B1-INT-G0-ST05</x:v>
      </x:c>
      <x:c r="B751" s="9" t="str">
        <x:v>EV-AR-ET-A-A-TECH-4-B1-INT-G0</x:v>
      </x:c>
      <x:c r="C751" s="9" t="str">
        <x:v>EOW-AR-ET-A-A-TECH-4-B1-INT-G0</x:v>
      </x:c>
      <x:c r="D751" s="9" t="str">
        <x:v>AR-ET-A-A-TECH-4-B1-INT-G0</x:v>
      </x:c>
      <x:c r="E751" s="9" t="str">
        <x:v>ET-A-A-TECH-4</x:v>
      </x:c>
      <x:c r="F751" s="9" t="str">
        <x:v>ET-A-A</x:v>
      </x:c>
      <x:c r="G751" s="9" t="str">
        <x:v>B1</x:v>
      </x:c>
      <x:c r="H751" s="9" t="str">
        <x:v>INT</x:v>
      </x:c>
      <x:c r="I751" s="9" t="n">
        <x:v>4</x:v>
      </x:c>
      <x:c r="J751" s="9" t="n">
        <x:v>1</x:v>
      </x:c>
      <x:c r="K751" s="9" t="str">
        <x:v>ET-A-A-N2</x:v>
      </x:c>
      <x:c r="L751" s="9" t="str">
        <x:v>ST05</x:v>
      </x:c>
      <x:c r="M751" s="17" t="str">
        <x:v>Witness capture armed</x:v>
      </x:c>
      <x:c r="N751" s="17" t="str">
        <x:v>unlike witness records independent reference and live time</x:v>
      </x:c>
      <x:c r="O751" s="17" t="str">
        <x:v>Witness metrology</x:v>
      </x:c>
      <x:c r="P751" s="9" t="n">
        <x:v>0</x:v>
      </x:c>
      <x:c r="Q751" s="9" t="n">
        <x:v>0</x:v>
      </x:c>
      <x:c r="R751" s="9" t="str">
        <x:v>OPEN / UNSTARTED</x:v>
      </x:c>
      <x:c r="S751" s="9" t="n">
        <x:f>COUNTIFS($A$7:$A$1446,A751)</x:f>
        <x:v>1</x:v>
      </x:c>
    </x:row>
    <x:row r="752">
      <x:c r="A752" s="9" t="str">
        <x:v>EV-AR-ET-A-A-TECH-4-B1-INT-G0-ST06</x:v>
      </x:c>
      <x:c r="B752" s="9" t="str">
        <x:v>EV-AR-ET-A-A-TECH-4-B1-INT-G0</x:v>
      </x:c>
      <x:c r="C752" s="9" t="str">
        <x:v>EOW-AR-ET-A-A-TECH-4-B1-INT-G0</x:v>
      </x:c>
      <x:c r="D752" s="9" t="str">
        <x:v>AR-ET-A-A-TECH-4-B1-INT-G0</x:v>
      </x:c>
      <x:c r="E752" s="9" t="str">
        <x:v>ET-A-A-TECH-4</x:v>
      </x:c>
      <x:c r="F752" s="9" t="str">
        <x:v>ET-A-A</x:v>
      </x:c>
      <x:c r="G752" s="9" t="str">
        <x:v>B1</x:v>
      </x:c>
      <x:c r="H752" s="9" t="str">
        <x:v>INT</x:v>
      </x:c>
      <x:c r="I752" s="9" t="n">
        <x:v>4</x:v>
      </x:c>
      <x:c r="J752" s="9" t="n">
        <x:v>1</x:v>
      </x:c>
      <x:c r="K752" s="9" t="str">
        <x:v>ET-A-A-N2</x:v>
      </x:c>
      <x:c r="L752" s="9" t="str">
        <x:v>ST06</x:v>
      </x:c>
      <x:c r="M752" s="17" t="str">
        <x:v>Public custody armed</x:v>
      </x:c>
      <x:c r="N752" s="17" t="str">
        <x:v>eight raw origins have separated hash and replica routes</x:v>
      </x:c>
      <x:c r="O752" s="17" t="str">
        <x:v>Custody authority</x:v>
      </x:c>
      <x:c r="P752" s="9" t="n">
        <x:v>0</x:v>
      </x:c>
      <x:c r="Q752" s="9" t="n">
        <x:v>0</x:v>
      </x:c>
      <x:c r="R752" s="9" t="str">
        <x:v>OPEN / UNSTARTED</x:v>
      </x:c>
      <x:c r="S752" s="9" t="n">
        <x:f>COUNTIFS($A$7:$A$1446,A752)</x:f>
        <x:v>1</x:v>
      </x:c>
    </x:row>
    <x:row r="753">
      <x:c r="A753" s="9" t="str">
        <x:v>EV-AR-ET-A-A-TECH-4-B1-INT-G0-ST07</x:v>
      </x:c>
      <x:c r="B753" s="9" t="str">
        <x:v>EV-AR-ET-A-A-TECH-4-B1-INT-G0</x:v>
      </x:c>
      <x:c r="C753" s="9" t="str">
        <x:v>EOW-AR-ET-A-A-TECH-4-B1-INT-G0</x:v>
      </x:c>
      <x:c r="D753" s="9" t="str">
        <x:v>AR-ET-A-A-TECH-4-B1-INT-G0</x:v>
      </x:c>
      <x:c r="E753" s="9" t="str">
        <x:v>ET-A-A-TECH-4</x:v>
      </x:c>
      <x:c r="F753" s="9" t="str">
        <x:v>ET-A-A</x:v>
      </x:c>
      <x:c r="G753" s="9" t="str">
        <x:v>B1</x:v>
      </x:c>
      <x:c r="H753" s="9" t="str">
        <x:v>INT</x:v>
      </x:c>
      <x:c r="I753" s="9" t="n">
        <x:v>4</x:v>
      </x:c>
      <x:c r="J753" s="9" t="n">
        <x:v>1</x:v>
      </x:c>
      <x:c r="K753" s="9" t="str">
        <x:v>ET-A-A-N2</x:v>
      </x:c>
      <x:c r="L753" s="9" t="str">
        <x:v>ST07</x:v>
      </x:c>
      <x:c r="M753" s="17" t="str">
        <x:v>Environmental baseline</x:v>
      </x:c>
      <x:c r="N753" s="17" t="str">
        <x:v>pre-event boundary state is sealed before decisive operation</x:v>
      </x:c>
      <x:c r="O753" s="17" t="str">
        <x:v>Site metrology</x:v>
      </x:c>
      <x:c r="P753" s="9" t="n">
        <x:v>0</x:v>
      </x:c>
      <x:c r="Q753" s="9" t="n">
        <x:v>0</x:v>
      </x:c>
      <x:c r="R753" s="9" t="str">
        <x:v>OPEN / UNSTARTED</x:v>
      </x:c>
      <x:c r="S753" s="9" t="n">
        <x:f>COUNTIFS($A$7:$A$1446,A753)</x:f>
        <x:v>1</x:v>
      </x:c>
    </x:row>
    <x:row r="754">
      <x:c r="A754" s="9" t="str">
        <x:v>EV-AR-ET-A-A-TECH-4-B1-INT-G0-ST08</x:v>
      </x:c>
      <x:c r="B754" s="9" t="str">
        <x:v>EV-AR-ET-A-A-TECH-4-B1-INT-G0</x:v>
      </x:c>
      <x:c r="C754" s="9" t="str">
        <x:v>EOW-AR-ET-A-A-TECH-4-B1-INT-G0</x:v>
      </x:c>
      <x:c r="D754" s="9" t="str">
        <x:v>AR-ET-A-A-TECH-4-B1-INT-G0</x:v>
      </x:c>
      <x:c r="E754" s="9" t="str">
        <x:v>ET-A-A-TECH-4</x:v>
      </x:c>
      <x:c r="F754" s="9" t="str">
        <x:v>ET-A-A</x:v>
      </x:c>
      <x:c r="G754" s="9" t="str">
        <x:v>B1</x:v>
      </x:c>
      <x:c r="H754" s="9" t="str">
        <x:v>INT</x:v>
      </x:c>
      <x:c r="I754" s="9" t="n">
        <x:v>4</x:v>
      </x:c>
      <x:c r="J754" s="9" t="n">
        <x:v>1</x:v>
      </x:c>
      <x:c r="K754" s="9" t="str">
        <x:v>ET-A-A-N2</x:v>
      </x:c>
      <x:c r="L754" s="9" t="str">
        <x:v>ST08</x:v>
      </x:c>
      <x:c r="M754" s="17" t="str">
        <x:v>Manual stop and safety</x:v>
      </x:c>
      <x:c r="N754" s="17" t="str">
        <x:v>local stop, evacuation and protection routes are active</x:v>
      </x:c>
      <x:c r="O754" s="17" t="str">
        <x:v>Safety authority</x:v>
      </x:c>
      <x:c r="P754" s="9" t="n">
        <x:v>0</x:v>
      </x:c>
      <x:c r="Q754" s="9" t="n">
        <x:v>0</x:v>
      </x:c>
      <x:c r="R754" s="9" t="str">
        <x:v>OPEN / UNSTARTED</x:v>
      </x:c>
      <x:c r="S754" s="9" t="n">
        <x:f>COUNTIFS($A$7:$A$1446,A754)</x:f>
        <x:v>1</x:v>
      </x:c>
    </x:row>
    <x:row r="755">
      <x:c r="A755" s="9" t="str">
        <x:v>EV-AR-ET-A-A-TECH-4-B1-INT-G0-ST09</x:v>
      </x:c>
      <x:c r="B755" s="9" t="str">
        <x:v>EV-AR-ET-A-A-TECH-4-B1-INT-G0</x:v>
      </x:c>
      <x:c r="C755" s="9" t="str">
        <x:v>EOW-AR-ET-A-A-TECH-4-B1-INT-G0</x:v>
      </x:c>
      <x:c r="D755" s="9" t="str">
        <x:v>AR-ET-A-A-TECH-4-B1-INT-G0</x:v>
      </x:c>
      <x:c r="E755" s="9" t="str">
        <x:v>ET-A-A-TECH-4</x:v>
      </x:c>
      <x:c r="F755" s="9" t="str">
        <x:v>ET-A-A</x:v>
      </x:c>
      <x:c r="G755" s="9" t="str">
        <x:v>B1</x:v>
      </x:c>
      <x:c r="H755" s="9" t="str">
        <x:v>INT</x:v>
      </x:c>
      <x:c r="I755" s="9" t="n">
        <x:v>4</x:v>
      </x:c>
      <x:c r="J755" s="9" t="n">
        <x:v>1</x:v>
      </x:c>
      <x:c r="K755" s="9" t="str">
        <x:v>ET-A-A-N2</x:v>
      </x:c>
      <x:c r="L755" s="9" t="str">
        <x:v>ST09</x:v>
      </x:c>
      <x:c r="M755" s="17" t="str">
        <x:v>Operator conflict clear</x:v>
      </x:c>
      <x:c r="N755" s="17" t="str">
        <x:v>candidate, fixture, safety and measurement control edges remain separated</x:v>
      </x:c>
      <x:c r="O755" s="17" t="str">
        <x:v>Conflict registrar</x:v>
      </x:c>
      <x:c r="P755" s="9" t="n">
        <x:v>0</x:v>
      </x:c>
      <x:c r="Q755" s="9" t="n">
        <x:v>0</x:v>
      </x:c>
      <x:c r="R755" s="9" t="str">
        <x:v>OPEN / UNSTARTED</x:v>
      </x:c>
      <x:c r="S755" s="9" t="n">
        <x:f>COUNTIFS($A$7:$A$1446,A755)</x:f>
        <x:v>1</x:v>
      </x:c>
    </x:row>
    <x:row r="756">
      <x:c r="A756" s="9" t="str">
        <x:v>EV-AR-ET-A-A-TECH-4-B1-INT-G0-ST10</x:v>
      </x:c>
      <x:c r="B756" s="9" t="str">
        <x:v>EV-AR-ET-A-A-TECH-4-B1-INT-G0</x:v>
      </x:c>
      <x:c r="C756" s="9" t="str">
        <x:v>EOW-AR-ET-A-A-TECH-4-B1-INT-G0</x:v>
      </x:c>
      <x:c r="D756" s="9" t="str">
        <x:v>AR-ET-A-A-TECH-4-B1-INT-G0</x:v>
      </x:c>
      <x:c r="E756" s="9" t="str">
        <x:v>ET-A-A-TECH-4</x:v>
      </x:c>
      <x:c r="F756" s="9" t="str">
        <x:v>ET-A-A</x:v>
      </x:c>
      <x:c r="G756" s="9" t="str">
        <x:v>B1</x:v>
      </x:c>
      <x:c r="H756" s="9" t="str">
        <x:v>INT</x:v>
      </x:c>
      <x:c r="I756" s="9" t="n">
        <x:v>4</x:v>
      </x:c>
      <x:c r="J756" s="9" t="n">
        <x:v>1</x:v>
      </x:c>
      <x:c r="K756" s="9" t="str">
        <x:v>ET-A-A-N2</x:v>
      </x:c>
      <x:c r="L756" s="9" t="str">
        <x:v>ST10</x:v>
      </x:c>
      <x:c r="M756" s="17" t="str">
        <x:v>Window and common clock</x:v>
      </x:c>
      <x:c r="N756" s="17" t="str">
        <x:v>epoch, window and public time origin match the issued warrant</x:v>
      </x:c>
      <x:c r="O756" s="17" t="str">
        <x:v>Event clock authority</x:v>
      </x:c>
      <x:c r="P756" s="9" t="n">
        <x:v>0</x:v>
      </x:c>
      <x:c r="Q756" s="9" t="n">
        <x:v>0</x:v>
      </x:c>
      <x:c r="R756" s="9" t="str">
        <x:v>OPEN / UNSTARTED</x:v>
      </x:c>
      <x:c r="S756" s="9" t="n">
        <x:f>COUNTIFS($A$7:$A$1446,A756)</x:f>
        <x:v>1</x:v>
      </x:c>
    </x:row>
    <x:row r="757">
      <x:c r="A757" s="9" t="str">
        <x:v>EV-AR-HU-A-B-TECH-1-B2-RCN-G0-ST01</x:v>
      </x:c>
      <x:c r="B757" s="9" t="str">
        <x:v>EV-AR-HU-A-B-TECH-1-B2-RCN-G0</x:v>
      </x:c>
      <x:c r="C757" s="9" t="str">
        <x:v>EOW-AR-HU-A-B-TECH-1-B2-RCN-G0</x:v>
      </x:c>
      <x:c r="D757" s="9" t="str">
        <x:v>AR-HU-A-B-TECH-1-B2-RCN-G0</x:v>
      </x:c>
      <x:c r="E757" s="9" t="str">
        <x:v>HU-A-B-TECH-1</x:v>
      </x:c>
      <x:c r="F757" s="9" t="str">
        <x:v>HU-A-B</x:v>
      </x:c>
      <x:c r="G757" s="9" t="str">
        <x:v>B2</x:v>
      </x:c>
      <x:c r="H757" s="9" t="str">
        <x:v>RCN</x:v>
      </x:c>
      <x:c r="I757" s="9" t="n">
        <x:v>4</x:v>
      </x:c>
      <x:c r="J757" s="9" t="n">
        <x:v>1</x:v>
      </x:c>
      <x:c r="K757" s="9" t="str">
        <x:v>HU-A-B-N2</x:v>
      </x:c>
      <x:c r="L757" s="9" t="str">
        <x:v>ST01</x:v>
      </x:c>
      <x:c r="M757" s="17" t="str">
        <x:v>Active opportunity warrant</x:v>
      </x:c>
      <x:c r="N757" s="17" t="str">
        <x:v>configuration-bound EOW is within its thirty-six-hour validity</x:v>
      </x:c>
      <x:c r="O757" s="17" t="str">
        <x:v>Start registrar</x:v>
      </x:c>
      <x:c r="P757" s="9" t="n">
        <x:v>0</x:v>
      </x:c>
      <x:c r="Q757" s="9" t="n">
        <x:v>0</x:v>
      </x:c>
      <x:c r="R757" s="9" t="str">
        <x:v>OPEN / UNSTARTED</x:v>
      </x:c>
      <x:c r="S757" s="9" t="n">
        <x:f>COUNTIFS($A$7:$A$1446,A757)</x:f>
        <x:v>1</x:v>
      </x:c>
    </x:row>
    <x:row r="758">
      <x:c r="A758" s="9" t="str">
        <x:v>EV-AR-HU-A-B-TECH-1-B2-RCN-G0-ST02</x:v>
      </x:c>
      <x:c r="B758" s="9" t="str">
        <x:v>EV-AR-HU-A-B-TECH-1-B2-RCN-G0</x:v>
      </x:c>
      <x:c r="C758" s="9" t="str">
        <x:v>EOW-AR-HU-A-B-TECH-1-B2-RCN-G0</x:v>
      </x:c>
      <x:c r="D758" s="9" t="str">
        <x:v>AR-HU-A-B-TECH-1-B2-RCN-G0</x:v>
      </x:c>
      <x:c r="E758" s="9" t="str">
        <x:v>HU-A-B-TECH-1</x:v>
      </x:c>
      <x:c r="F758" s="9" t="str">
        <x:v>HU-A-B</x:v>
      </x:c>
      <x:c r="G758" s="9" t="str">
        <x:v>B2</x:v>
      </x:c>
      <x:c r="H758" s="9" t="str">
        <x:v>RCN</x:v>
      </x:c>
      <x:c r="I758" s="9" t="n">
        <x:v>4</x:v>
      </x:c>
      <x:c r="J758" s="9" t="n">
        <x:v>1</x:v>
      </x:c>
      <x:c r="K758" s="9" t="str">
        <x:v>HU-A-B-N2</x:v>
      </x:c>
      <x:c r="L758" s="9" t="str">
        <x:v>ST02</x:v>
      </x:c>
      <x:c r="M758" s="17" t="str">
        <x:v>Frozen identity</x:v>
      </x:c>
      <x:c r="N758" s="17" t="str">
        <x:v>serial, generation, fixture, site, receiver and digest match the warrant</x:v>
      </x:c>
      <x:c r="O758" s="17" t="str">
        <x:v>Custody authority</x:v>
      </x:c>
      <x:c r="P758" s="9" t="n">
        <x:v>0</x:v>
      </x:c>
      <x:c r="Q758" s="9" t="n">
        <x:v>0</x:v>
      </x:c>
      <x:c r="R758" s="9" t="str">
        <x:v>OPEN / UNSTARTED</x:v>
      </x:c>
      <x:c r="S758" s="9" t="n">
        <x:f>COUNTIFS($A$7:$A$1446,A758)</x:f>
        <x:v>1</x:v>
      </x:c>
    </x:row>
    <x:row r="759">
      <x:c r="A759" s="9" t="str">
        <x:v>EV-AR-HU-A-B-TECH-1-B2-RCN-G0-ST03</x:v>
      </x:c>
      <x:c r="B759" s="9" t="str">
        <x:v>EV-AR-HU-A-B-TECH-1-B2-RCN-G0</x:v>
      </x:c>
      <x:c r="C759" s="9" t="str">
        <x:v>EOW-AR-HU-A-B-TECH-1-B2-RCN-G0</x:v>
      </x:c>
      <x:c r="D759" s="9" t="str">
        <x:v>AR-HU-A-B-TECH-1-B2-RCN-G0</x:v>
      </x:c>
      <x:c r="E759" s="9" t="str">
        <x:v>HU-A-B-TECH-1</x:v>
      </x:c>
      <x:c r="F759" s="9" t="str">
        <x:v>HU-A-B</x:v>
      </x:c>
      <x:c r="G759" s="9" t="str">
        <x:v>B2</x:v>
      </x:c>
      <x:c r="H759" s="9" t="str">
        <x:v>RCN</x:v>
      </x:c>
      <x:c r="I759" s="9" t="n">
        <x:v>4</x:v>
      </x:c>
      <x:c r="J759" s="9" t="n">
        <x:v>1</x:v>
      </x:c>
      <x:c r="K759" s="9" t="str">
        <x:v>HU-A-B-N2</x:v>
      </x:c>
      <x:c r="L759" s="9" t="str">
        <x:v>ST03</x:v>
      </x:c>
      <x:c r="M759" s="17" t="str">
        <x:v>Receiver receipt</x:v>
      </x:c>
      <x:c r="N759" s="17" t="str">
        <x:v>denominator, counterfactual, rights and stop receipt remain unchanged</x:v>
      </x:c>
      <x:c r="O759" s="17" t="str">
        <x:v>Receiver authority</x:v>
      </x:c>
      <x:c r="P759" s="9" t="n">
        <x:v>0</x:v>
      </x:c>
      <x:c r="Q759" s="9" t="n">
        <x:v>0</x:v>
      </x:c>
      <x:c r="R759" s="9" t="str">
        <x:v>OPEN / UNSTARTED</x:v>
      </x:c>
      <x:c r="S759" s="9" t="n">
        <x:f>COUNTIFS($A$7:$A$1446,A759)</x:f>
        <x:v>1</x:v>
      </x:c>
    </x:row>
    <x:row r="760">
      <x:c r="A760" s="9" t="str">
        <x:v>EV-AR-HU-A-B-TECH-1-B2-RCN-G0-ST04</x:v>
      </x:c>
      <x:c r="B760" s="9" t="str">
        <x:v>EV-AR-HU-A-B-TECH-1-B2-RCN-G0</x:v>
      </x:c>
      <x:c r="C760" s="9" t="str">
        <x:v>EOW-AR-HU-A-B-TECH-1-B2-RCN-G0</x:v>
      </x:c>
      <x:c r="D760" s="9" t="str">
        <x:v>AR-HU-A-B-TECH-1-B2-RCN-G0</x:v>
      </x:c>
      <x:c r="E760" s="9" t="str">
        <x:v>HU-A-B-TECH-1</x:v>
      </x:c>
      <x:c r="F760" s="9" t="str">
        <x:v>HU-A-B</x:v>
      </x:c>
      <x:c r="G760" s="9" t="str">
        <x:v>B2</x:v>
      </x:c>
      <x:c r="H760" s="9" t="str">
        <x:v>RCN</x:v>
      </x:c>
      <x:c r="I760" s="9" t="n">
        <x:v>4</x:v>
      </x:c>
      <x:c r="J760" s="9" t="n">
        <x:v>1</x:v>
      </x:c>
      <x:c r="K760" s="9" t="str">
        <x:v>HU-A-B-N2</x:v>
      </x:c>
      <x:c r="L760" s="9" t="str">
        <x:v>ST04</x:v>
      </x:c>
      <x:c r="M760" s="17" t="str">
        <x:v>Primary capture armed</x:v>
      </x:c>
      <x:c r="N760" s="17" t="str">
        <x:v>primary chain records sealed reference and live time</x:v>
      </x:c>
      <x:c r="O760" s="17" t="str">
        <x:v>Primary metrology</x:v>
      </x:c>
      <x:c r="P760" s="9" t="n">
        <x:v>0</x:v>
      </x:c>
      <x:c r="Q760" s="9" t="n">
        <x:v>0</x:v>
      </x:c>
      <x:c r="R760" s="9" t="str">
        <x:v>OPEN / UNSTARTED</x:v>
      </x:c>
      <x:c r="S760" s="9" t="n">
        <x:f>COUNTIFS($A$7:$A$1446,A760)</x:f>
        <x:v>1</x:v>
      </x:c>
    </x:row>
    <x:row r="761">
      <x:c r="A761" s="9" t="str">
        <x:v>EV-AR-HU-A-B-TECH-1-B2-RCN-G0-ST05</x:v>
      </x:c>
      <x:c r="B761" s="9" t="str">
        <x:v>EV-AR-HU-A-B-TECH-1-B2-RCN-G0</x:v>
      </x:c>
      <x:c r="C761" s="9" t="str">
        <x:v>EOW-AR-HU-A-B-TECH-1-B2-RCN-G0</x:v>
      </x:c>
      <x:c r="D761" s="9" t="str">
        <x:v>AR-HU-A-B-TECH-1-B2-RCN-G0</x:v>
      </x:c>
      <x:c r="E761" s="9" t="str">
        <x:v>HU-A-B-TECH-1</x:v>
      </x:c>
      <x:c r="F761" s="9" t="str">
        <x:v>HU-A-B</x:v>
      </x:c>
      <x:c r="G761" s="9" t="str">
        <x:v>B2</x:v>
      </x:c>
      <x:c r="H761" s="9" t="str">
        <x:v>RCN</x:v>
      </x:c>
      <x:c r="I761" s="9" t="n">
        <x:v>4</x:v>
      </x:c>
      <x:c r="J761" s="9" t="n">
        <x:v>1</x:v>
      </x:c>
      <x:c r="K761" s="9" t="str">
        <x:v>HU-A-B-N2</x:v>
      </x:c>
      <x:c r="L761" s="9" t="str">
        <x:v>ST05</x:v>
      </x:c>
      <x:c r="M761" s="17" t="str">
        <x:v>Witness capture armed</x:v>
      </x:c>
      <x:c r="N761" s="17" t="str">
        <x:v>unlike witness records independent reference and live time</x:v>
      </x:c>
      <x:c r="O761" s="17" t="str">
        <x:v>Witness metrology</x:v>
      </x:c>
      <x:c r="P761" s="9" t="n">
        <x:v>0</x:v>
      </x:c>
      <x:c r="Q761" s="9" t="n">
        <x:v>0</x:v>
      </x:c>
      <x:c r="R761" s="9" t="str">
        <x:v>OPEN / UNSTARTED</x:v>
      </x:c>
      <x:c r="S761" s="9" t="n">
        <x:f>COUNTIFS($A$7:$A$1446,A761)</x:f>
        <x:v>1</x:v>
      </x:c>
    </x:row>
    <x:row r="762">
      <x:c r="A762" s="9" t="str">
        <x:v>EV-AR-HU-A-B-TECH-1-B2-RCN-G0-ST06</x:v>
      </x:c>
      <x:c r="B762" s="9" t="str">
        <x:v>EV-AR-HU-A-B-TECH-1-B2-RCN-G0</x:v>
      </x:c>
      <x:c r="C762" s="9" t="str">
        <x:v>EOW-AR-HU-A-B-TECH-1-B2-RCN-G0</x:v>
      </x:c>
      <x:c r="D762" s="9" t="str">
        <x:v>AR-HU-A-B-TECH-1-B2-RCN-G0</x:v>
      </x:c>
      <x:c r="E762" s="9" t="str">
        <x:v>HU-A-B-TECH-1</x:v>
      </x:c>
      <x:c r="F762" s="9" t="str">
        <x:v>HU-A-B</x:v>
      </x:c>
      <x:c r="G762" s="9" t="str">
        <x:v>B2</x:v>
      </x:c>
      <x:c r="H762" s="9" t="str">
        <x:v>RCN</x:v>
      </x:c>
      <x:c r="I762" s="9" t="n">
        <x:v>4</x:v>
      </x:c>
      <x:c r="J762" s="9" t="n">
        <x:v>1</x:v>
      </x:c>
      <x:c r="K762" s="9" t="str">
        <x:v>HU-A-B-N2</x:v>
      </x:c>
      <x:c r="L762" s="9" t="str">
        <x:v>ST06</x:v>
      </x:c>
      <x:c r="M762" s="17" t="str">
        <x:v>Public custody armed</x:v>
      </x:c>
      <x:c r="N762" s="17" t="str">
        <x:v>eight raw origins have separated hash and replica routes</x:v>
      </x:c>
      <x:c r="O762" s="17" t="str">
        <x:v>Custody authority</x:v>
      </x:c>
      <x:c r="P762" s="9" t="n">
        <x:v>0</x:v>
      </x:c>
      <x:c r="Q762" s="9" t="n">
        <x:v>0</x:v>
      </x:c>
      <x:c r="R762" s="9" t="str">
        <x:v>OPEN / UNSTARTED</x:v>
      </x:c>
      <x:c r="S762" s="9" t="n">
        <x:f>COUNTIFS($A$7:$A$1446,A762)</x:f>
        <x:v>1</x:v>
      </x:c>
    </x:row>
    <x:row r="763">
      <x:c r="A763" s="9" t="str">
        <x:v>EV-AR-HU-A-B-TECH-1-B2-RCN-G0-ST07</x:v>
      </x:c>
      <x:c r="B763" s="9" t="str">
        <x:v>EV-AR-HU-A-B-TECH-1-B2-RCN-G0</x:v>
      </x:c>
      <x:c r="C763" s="9" t="str">
        <x:v>EOW-AR-HU-A-B-TECH-1-B2-RCN-G0</x:v>
      </x:c>
      <x:c r="D763" s="9" t="str">
        <x:v>AR-HU-A-B-TECH-1-B2-RCN-G0</x:v>
      </x:c>
      <x:c r="E763" s="9" t="str">
        <x:v>HU-A-B-TECH-1</x:v>
      </x:c>
      <x:c r="F763" s="9" t="str">
        <x:v>HU-A-B</x:v>
      </x:c>
      <x:c r="G763" s="9" t="str">
        <x:v>B2</x:v>
      </x:c>
      <x:c r="H763" s="9" t="str">
        <x:v>RCN</x:v>
      </x:c>
      <x:c r="I763" s="9" t="n">
        <x:v>4</x:v>
      </x:c>
      <x:c r="J763" s="9" t="n">
        <x:v>1</x:v>
      </x:c>
      <x:c r="K763" s="9" t="str">
        <x:v>HU-A-B-N2</x:v>
      </x:c>
      <x:c r="L763" s="9" t="str">
        <x:v>ST07</x:v>
      </x:c>
      <x:c r="M763" s="17" t="str">
        <x:v>Environmental baseline</x:v>
      </x:c>
      <x:c r="N763" s="17" t="str">
        <x:v>pre-event boundary state is sealed before decisive operation</x:v>
      </x:c>
      <x:c r="O763" s="17" t="str">
        <x:v>Site metrology</x:v>
      </x:c>
      <x:c r="P763" s="9" t="n">
        <x:v>0</x:v>
      </x:c>
      <x:c r="Q763" s="9" t="n">
        <x:v>0</x:v>
      </x:c>
      <x:c r="R763" s="9" t="str">
        <x:v>OPEN / UNSTARTED</x:v>
      </x:c>
      <x:c r="S763" s="9" t="n">
        <x:f>COUNTIFS($A$7:$A$1446,A763)</x:f>
        <x:v>1</x:v>
      </x:c>
    </x:row>
    <x:row r="764">
      <x:c r="A764" s="9" t="str">
        <x:v>EV-AR-HU-A-B-TECH-1-B2-RCN-G0-ST08</x:v>
      </x:c>
      <x:c r="B764" s="9" t="str">
        <x:v>EV-AR-HU-A-B-TECH-1-B2-RCN-G0</x:v>
      </x:c>
      <x:c r="C764" s="9" t="str">
        <x:v>EOW-AR-HU-A-B-TECH-1-B2-RCN-G0</x:v>
      </x:c>
      <x:c r="D764" s="9" t="str">
        <x:v>AR-HU-A-B-TECH-1-B2-RCN-G0</x:v>
      </x:c>
      <x:c r="E764" s="9" t="str">
        <x:v>HU-A-B-TECH-1</x:v>
      </x:c>
      <x:c r="F764" s="9" t="str">
        <x:v>HU-A-B</x:v>
      </x:c>
      <x:c r="G764" s="9" t="str">
        <x:v>B2</x:v>
      </x:c>
      <x:c r="H764" s="9" t="str">
        <x:v>RCN</x:v>
      </x:c>
      <x:c r="I764" s="9" t="n">
        <x:v>4</x:v>
      </x:c>
      <x:c r="J764" s="9" t="n">
        <x:v>1</x:v>
      </x:c>
      <x:c r="K764" s="9" t="str">
        <x:v>HU-A-B-N2</x:v>
      </x:c>
      <x:c r="L764" s="9" t="str">
        <x:v>ST08</x:v>
      </x:c>
      <x:c r="M764" s="17" t="str">
        <x:v>Manual stop and safety</x:v>
      </x:c>
      <x:c r="N764" s="17" t="str">
        <x:v>local stop, evacuation and protection routes are active</x:v>
      </x:c>
      <x:c r="O764" s="17" t="str">
        <x:v>Safety authority</x:v>
      </x:c>
      <x:c r="P764" s="9" t="n">
        <x:v>0</x:v>
      </x:c>
      <x:c r="Q764" s="9" t="n">
        <x:v>0</x:v>
      </x:c>
      <x:c r="R764" s="9" t="str">
        <x:v>OPEN / UNSTARTED</x:v>
      </x:c>
      <x:c r="S764" s="9" t="n">
        <x:f>COUNTIFS($A$7:$A$1446,A764)</x:f>
        <x:v>1</x:v>
      </x:c>
    </x:row>
    <x:row r="765">
      <x:c r="A765" s="9" t="str">
        <x:v>EV-AR-HU-A-B-TECH-1-B2-RCN-G0-ST09</x:v>
      </x:c>
      <x:c r="B765" s="9" t="str">
        <x:v>EV-AR-HU-A-B-TECH-1-B2-RCN-G0</x:v>
      </x:c>
      <x:c r="C765" s="9" t="str">
        <x:v>EOW-AR-HU-A-B-TECH-1-B2-RCN-G0</x:v>
      </x:c>
      <x:c r="D765" s="9" t="str">
        <x:v>AR-HU-A-B-TECH-1-B2-RCN-G0</x:v>
      </x:c>
      <x:c r="E765" s="9" t="str">
        <x:v>HU-A-B-TECH-1</x:v>
      </x:c>
      <x:c r="F765" s="9" t="str">
        <x:v>HU-A-B</x:v>
      </x:c>
      <x:c r="G765" s="9" t="str">
        <x:v>B2</x:v>
      </x:c>
      <x:c r="H765" s="9" t="str">
        <x:v>RCN</x:v>
      </x:c>
      <x:c r="I765" s="9" t="n">
        <x:v>4</x:v>
      </x:c>
      <x:c r="J765" s="9" t="n">
        <x:v>1</x:v>
      </x:c>
      <x:c r="K765" s="9" t="str">
        <x:v>HU-A-B-N2</x:v>
      </x:c>
      <x:c r="L765" s="9" t="str">
        <x:v>ST09</x:v>
      </x:c>
      <x:c r="M765" s="17" t="str">
        <x:v>Operator conflict clear</x:v>
      </x:c>
      <x:c r="N765" s="17" t="str">
        <x:v>candidate, fixture, safety and measurement control edges remain separated</x:v>
      </x:c>
      <x:c r="O765" s="17" t="str">
        <x:v>Conflict registrar</x:v>
      </x:c>
      <x:c r="P765" s="9" t="n">
        <x:v>0</x:v>
      </x:c>
      <x:c r="Q765" s="9" t="n">
        <x:v>0</x:v>
      </x:c>
      <x:c r="R765" s="9" t="str">
        <x:v>OPEN / UNSTARTED</x:v>
      </x:c>
      <x:c r="S765" s="9" t="n">
        <x:f>COUNTIFS($A$7:$A$1446,A765)</x:f>
        <x:v>1</x:v>
      </x:c>
    </x:row>
    <x:row r="766">
      <x:c r="A766" s="9" t="str">
        <x:v>EV-AR-HU-A-B-TECH-1-B2-RCN-G0-ST10</x:v>
      </x:c>
      <x:c r="B766" s="9" t="str">
        <x:v>EV-AR-HU-A-B-TECH-1-B2-RCN-G0</x:v>
      </x:c>
      <x:c r="C766" s="9" t="str">
        <x:v>EOW-AR-HU-A-B-TECH-1-B2-RCN-G0</x:v>
      </x:c>
      <x:c r="D766" s="9" t="str">
        <x:v>AR-HU-A-B-TECH-1-B2-RCN-G0</x:v>
      </x:c>
      <x:c r="E766" s="9" t="str">
        <x:v>HU-A-B-TECH-1</x:v>
      </x:c>
      <x:c r="F766" s="9" t="str">
        <x:v>HU-A-B</x:v>
      </x:c>
      <x:c r="G766" s="9" t="str">
        <x:v>B2</x:v>
      </x:c>
      <x:c r="H766" s="9" t="str">
        <x:v>RCN</x:v>
      </x:c>
      <x:c r="I766" s="9" t="n">
        <x:v>4</x:v>
      </x:c>
      <x:c r="J766" s="9" t="n">
        <x:v>1</x:v>
      </x:c>
      <x:c r="K766" s="9" t="str">
        <x:v>HU-A-B-N2</x:v>
      </x:c>
      <x:c r="L766" s="9" t="str">
        <x:v>ST10</x:v>
      </x:c>
      <x:c r="M766" s="17" t="str">
        <x:v>Window and common clock</x:v>
      </x:c>
      <x:c r="N766" s="17" t="str">
        <x:v>epoch, window and public time origin match the issued warrant</x:v>
      </x:c>
      <x:c r="O766" s="17" t="str">
        <x:v>Event clock authority</x:v>
      </x:c>
      <x:c r="P766" s="9" t="n">
        <x:v>0</x:v>
      </x:c>
      <x:c r="Q766" s="9" t="n">
        <x:v>0</x:v>
      </x:c>
      <x:c r="R766" s="9" t="str">
        <x:v>OPEN / UNSTARTED</x:v>
      </x:c>
      <x:c r="S766" s="9" t="n">
        <x:f>COUNTIFS($A$7:$A$1446,A766)</x:f>
        <x:v>1</x:v>
      </x:c>
    </x:row>
    <x:row r="767">
      <x:c r="A767" s="9" t="str">
        <x:v>EV-AR-HU-A-B-TECH-3-B2-BRK-G0-ST01</x:v>
      </x:c>
      <x:c r="B767" s="9" t="str">
        <x:v>EV-AR-HU-A-B-TECH-3-B2-BRK-G0</x:v>
      </x:c>
      <x:c r="C767" s="9" t="str">
        <x:v>EOW-AR-HU-A-B-TECH-3-B2-BRK-G0</x:v>
      </x:c>
      <x:c r="D767" s="9" t="str">
        <x:v>AR-HU-A-B-TECH-3-B2-BRK-G0</x:v>
      </x:c>
      <x:c r="E767" s="9" t="str">
        <x:v>HU-A-B-TECH-3</x:v>
      </x:c>
      <x:c r="F767" s="9" t="str">
        <x:v>HU-A-B</x:v>
      </x:c>
      <x:c r="G767" s="9" t="str">
        <x:v>B2</x:v>
      </x:c>
      <x:c r="H767" s="9" t="str">
        <x:v>BRK</x:v>
      </x:c>
      <x:c r="I767" s="9" t="n">
        <x:v>4</x:v>
      </x:c>
      <x:c r="J767" s="9" t="n">
        <x:v>1</x:v>
      </x:c>
      <x:c r="K767" s="9" t="str">
        <x:v>HU-A-B-N3</x:v>
      </x:c>
      <x:c r="L767" s="9" t="str">
        <x:v>ST01</x:v>
      </x:c>
      <x:c r="M767" s="17" t="str">
        <x:v>Active opportunity warrant</x:v>
      </x:c>
      <x:c r="N767" s="17" t="str">
        <x:v>configuration-bound EOW is within its thirty-six-hour validity</x:v>
      </x:c>
      <x:c r="O767" s="17" t="str">
        <x:v>Start registrar</x:v>
      </x:c>
      <x:c r="P767" s="9" t="n">
        <x:v>0</x:v>
      </x:c>
      <x:c r="Q767" s="9" t="n">
        <x:v>0</x:v>
      </x:c>
      <x:c r="R767" s="9" t="str">
        <x:v>OPEN / UNSTARTED</x:v>
      </x:c>
      <x:c r="S767" s="9" t="n">
        <x:f>COUNTIFS($A$7:$A$1446,A767)</x:f>
        <x:v>1</x:v>
      </x:c>
    </x:row>
    <x:row r="768">
      <x:c r="A768" s="9" t="str">
        <x:v>EV-AR-HU-A-B-TECH-3-B2-BRK-G0-ST02</x:v>
      </x:c>
      <x:c r="B768" s="9" t="str">
        <x:v>EV-AR-HU-A-B-TECH-3-B2-BRK-G0</x:v>
      </x:c>
      <x:c r="C768" s="9" t="str">
        <x:v>EOW-AR-HU-A-B-TECH-3-B2-BRK-G0</x:v>
      </x:c>
      <x:c r="D768" s="9" t="str">
        <x:v>AR-HU-A-B-TECH-3-B2-BRK-G0</x:v>
      </x:c>
      <x:c r="E768" s="9" t="str">
        <x:v>HU-A-B-TECH-3</x:v>
      </x:c>
      <x:c r="F768" s="9" t="str">
        <x:v>HU-A-B</x:v>
      </x:c>
      <x:c r="G768" s="9" t="str">
        <x:v>B2</x:v>
      </x:c>
      <x:c r="H768" s="9" t="str">
        <x:v>BRK</x:v>
      </x:c>
      <x:c r="I768" s="9" t="n">
        <x:v>4</x:v>
      </x:c>
      <x:c r="J768" s="9" t="n">
        <x:v>1</x:v>
      </x:c>
      <x:c r="K768" s="9" t="str">
        <x:v>HU-A-B-N3</x:v>
      </x:c>
      <x:c r="L768" s="9" t="str">
        <x:v>ST02</x:v>
      </x:c>
      <x:c r="M768" s="17" t="str">
        <x:v>Frozen identity</x:v>
      </x:c>
      <x:c r="N768" s="17" t="str">
        <x:v>serial, generation, fixture, site, receiver and digest match the warrant</x:v>
      </x:c>
      <x:c r="O768" s="17" t="str">
        <x:v>Custody authority</x:v>
      </x:c>
      <x:c r="P768" s="9" t="n">
        <x:v>0</x:v>
      </x:c>
      <x:c r="Q768" s="9" t="n">
        <x:v>0</x:v>
      </x:c>
      <x:c r="R768" s="9" t="str">
        <x:v>OPEN / UNSTARTED</x:v>
      </x:c>
      <x:c r="S768" s="9" t="n">
        <x:f>COUNTIFS($A$7:$A$1446,A768)</x:f>
        <x:v>1</x:v>
      </x:c>
    </x:row>
    <x:row r="769">
      <x:c r="A769" s="9" t="str">
        <x:v>EV-AR-HU-A-B-TECH-3-B2-BRK-G0-ST03</x:v>
      </x:c>
      <x:c r="B769" s="9" t="str">
        <x:v>EV-AR-HU-A-B-TECH-3-B2-BRK-G0</x:v>
      </x:c>
      <x:c r="C769" s="9" t="str">
        <x:v>EOW-AR-HU-A-B-TECH-3-B2-BRK-G0</x:v>
      </x:c>
      <x:c r="D769" s="9" t="str">
        <x:v>AR-HU-A-B-TECH-3-B2-BRK-G0</x:v>
      </x:c>
      <x:c r="E769" s="9" t="str">
        <x:v>HU-A-B-TECH-3</x:v>
      </x:c>
      <x:c r="F769" s="9" t="str">
        <x:v>HU-A-B</x:v>
      </x:c>
      <x:c r="G769" s="9" t="str">
        <x:v>B2</x:v>
      </x:c>
      <x:c r="H769" s="9" t="str">
        <x:v>BRK</x:v>
      </x:c>
      <x:c r="I769" s="9" t="n">
        <x:v>4</x:v>
      </x:c>
      <x:c r="J769" s="9" t="n">
        <x:v>1</x:v>
      </x:c>
      <x:c r="K769" s="9" t="str">
        <x:v>HU-A-B-N3</x:v>
      </x:c>
      <x:c r="L769" s="9" t="str">
        <x:v>ST03</x:v>
      </x:c>
      <x:c r="M769" s="17" t="str">
        <x:v>Receiver receipt</x:v>
      </x:c>
      <x:c r="N769" s="17" t="str">
        <x:v>denominator, counterfactual, rights and stop receipt remain unchanged</x:v>
      </x:c>
      <x:c r="O769" s="17" t="str">
        <x:v>Receiver authority</x:v>
      </x:c>
      <x:c r="P769" s="9" t="n">
        <x:v>0</x:v>
      </x:c>
      <x:c r="Q769" s="9" t="n">
        <x:v>0</x:v>
      </x:c>
      <x:c r="R769" s="9" t="str">
        <x:v>OPEN / UNSTARTED</x:v>
      </x:c>
      <x:c r="S769" s="9" t="n">
        <x:f>COUNTIFS($A$7:$A$1446,A769)</x:f>
        <x:v>1</x:v>
      </x:c>
    </x:row>
    <x:row r="770">
      <x:c r="A770" s="9" t="str">
        <x:v>EV-AR-HU-A-B-TECH-3-B2-BRK-G0-ST04</x:v>
      </x:c>
      <x:c r="B770" s="9" t="str">
        <x:v>EV-AR-HU-A-B-TECH-3-B2-BRK-G0</x:v>
      </x:c>
      <x:c r="C770" s="9" t="str">
        <x:v>EOW-AR-HU-A-B-TECH-3-B2-BRK-G0</x:v>
      </x:c>
      <x:c r="D770" s="9" t="str">
        <x:v>AR-HU-A-B-TECH-3-B2-BRK-G0</x:v>
      </x:c>
      <x:c r="E770" s="9" t="str">
        <x:v>HU-A-B-TECH-3</x:v>
      </x:c>
      <x:c r="F770" s="9" t="str">
        <x:v>HU-A-B</x:v>
      </x:c>
      <x:c r="G770" s="9" t="str">
        <x:v>B2</x:v>
      </x:c>
      <x:c r="H770" s="9" t="str">
        <x:v>BRK</x:v>
      </x:c>
      <x:c r="I770" s="9" t="n">
        <x:v>4</x:v>
      </x:c>
      <x:c r="J770" s="9" t="n">
        <x:v>1</x:v>
      </x:c>
      <x:c r="K770" s="9" t="str">
        <x:v>HU-A-B-N3</x:v>
      </x:c>
      <x:c r="L770" s="9" t="str">
        <x:v>ST04</x:v>
      </x:c>
      <x:c r="M770" s="17" t="str">
        <x:v>Primary capture armed</x:v>
      </x:c>
      <x:c r="N770" s="17" t="str">
        <x:v>primary chain records sealed reference and live time</x:v>
      </x:c>
      <x:c r="O770" s="17" t="str">
        <x:v>Primary metrology</x:v>
      </x:c>
      <x:c r="P770" s="9" t="n">
        <x:v>0</x:v>
      </x:c>
      <x:c r="Q770" s="9" t="n">
        <x:v>0</x:v>
      </x:c>
      <x:c r="R770" s="9" t="str">
        <x:v>OPEN / UNSTARTED</x:v>
      </x:c>
      <x:c r="S770" s="9" t="n">
        <x:f>COUNTIFS($A$7:$A$1446,A770)</x:f>
        <x:v>1</x:v>
      </x:c>
    </x:row>
    <x:row r="771">
      <x:c r="A771" s="9" t="str">
        <x:v>EV-AR-HU-A-B-TECH-3-B2-BRK-G0-ST05</x:v>
      </x:c>
      <x:c r="B771" s="9" t="str">
        <x:v>EV-AR-HU-A-B-TECH-3-B2-BRK-G0</x:v>
      </x:c>
      <x:c r="C771" s="9" t="str">
        <x:v>EOW-AR-HU-A-B-TECH-3-B2-BRK-G0</x:v>
      </x:c>
      <x:c r="D771" s="9" t="str">
        <x:v>AR-HU-A-B-TECH-3-B2-BRK-G0</x:v>
      </x:c>
      <x:c r="E771" s="9" t="str">
        <x:v>HU-A-B-TECH-3</x:v>
      </x:c>
      <x:c r="F771" s="9" t="str">
        <x:v>HU-A-B</x:v>
      </x:c>
      <x:c r="G771" s="9" t="str">
        <x:v>B2</x:v>
      </x:c>
      <x:c r="H771" s="9" t="str">
        <x:v>BRK</x:v>
      </x:c>
      <x:c r="I771" s="9" t="n">
        <x:v>4</x:v>
      </x:c>
      <x:c r="J771" s="9" t="n">
        <x:v>1</x:v>
      </x:c>
      <x:c r="K771" s="9" t="str">
        <x:v>HU-A-B-N3</x:v>
      </x:c>
      <x:c r="L771" s="9" t="str">
        <x:v>ST05</x:v>
      </x:c>
      <x:c r="M771" s="17" t="str">
        <x:v>Witness capture armed</x:v>
      </x:c>
      <x:c r="N771" s="17" t="str">
        <x:v>unlike witness records independent reference and live time</x:v>
      </x:c>
      <x:c r="O771" s="17" t="str">
        <x:v>Witness metrology</x:v>
      </x:c>
      <x:c r="P771" s="9" t="n">
        <x:v>0</x:v>
      </x:c>
      <x:c r="Q771" s="9" t="n">
        <x:v>0</x:v>
      </x:c>
      <x:c r="R771" s="9" t="str">
        <x:v>OPEN / UNSTARTED</x:v>
      </x:c>
      <x:c r="S771" s="9" t="n">
        <x:f>COUNTIFS($A$7:$A$1446,A771)</x:f>
        <x:v>1</x:v>
      </x:c>
    </x:row>
    <x:row r="772">
      <x:c r="A772" s="9" t="str">
        <x:v>EV-AR-HU-A-B-TECH-3-B2-BRK-G0-ST06</x:v>
      </x:c>
      <x:c r="B772" s="9" t="str">
        <x:v>EV-AR-HU-A-B-TECH-3-B2-BRK-G0</x:v>
      </x:c>
      <x:c r="C772" s="9" t="str">
        <x:v>EOW-AR-HU-A-B-TECH-3-B2-BRK-G0</x:v>
      </x:c>
      <x:c r="D772" s="9" t="str">
        <x:v>AR-HU-A-B-TECH-3-B2-BRK-G0</x:v>
      </x:c>
      <x:c r="E772" s="9" t="str">
        <x:v>HU-A-B-TECH-3</x:v>
      </x:c>
      <x:c r="F772" s="9" t="str">
        <x:v>HU-A-B</x:v>
      </x:c>
      <x:c r="G772" s="9" t="str">
        <x:v>B2</x:v>
      </x:c>
      <x:c r="H772" s="9" t="str">
        <x:v>BRK</x:v>
      </x:c>
      <x:c r="I772" s="9" t="n">
        <x:v>4</x:v>
      </x:c>
      <x:c r="J772" s="9" t="n">
        <x:v>1</x:v>
      </x:c>
      <x:c r="K772" s="9" t="str">
        <x:v>HU-A-B-N3</x:v>
      </x:c>
      <x:c r="L772" s="9" t="str">
        <x:v>ST06</x:v>
      </x:c>
      <x:c r="M772" s="17" t="str">
        <x:v>Public custody armed</x:v>
      </x:c>
      <x:c r="N772" s="17" t="str">
        <x:v>eight raw origins have separated hash and replica routes</x:v>
      </x:c>
      <x:c r="O772" s="17" t="str">
        <x:v>Custody authority</x:v>
      </x:c>
      <x:c r="P772" s="9" t="n">
        <x:v>0</x:v>
      </x:c>
      <x:c r="Q772" s="9" t="n">
        <x:v>0</x:v>
      </x:c>
      <x:c r="R772" s="9" t="str">
        <x:v>OPEN / UNSTARTED</x:v>
      </x:c>
      <x:c r="S772" s="9" t="n">
        <x:f>COUNTIFS($A$7:$A$1446,A772)</x:f>
        <x:v>1</x:v>
      </x:c>
    </x:row>
    <x:row r="773">
      <x:c r="A773" s="9" t="str">
        <x:v>EV-AR-HU-A-B-TECH-3-B2-BRK-G0-ST07</x:v>
      </x:c>
      <x:c r="B773" s="9" t="str">
        <x:v>EV-AR-HU-A-B-TECH-3-B2-BRK-G0</x:v>
      </x:c>
      <x:c r="C773" s="9" t="str">
        <x:v>EOW-AR-HU-A-B-TECH-3-B2-BRK-G0</x:v>
      </x:c>
      <x:c r="D773" s="9" t="str">
        <x:v>AR-HU-A-B-TECH-3-B2-BRK-G0</x:v>
      </x:c>
      <x:c r="E773" s="9" t="str">
        <x:v>HU-A-B-TECH-3</x:v>
      </x:c>
      <x:c r="F773" s="9" t="str">
        <x:v>HU-A-B</x:v>
      </x:c>
      <x:c r="G773" s="9" t="str">
        <x:v>B2</x:v>
      </x:c>
      <x:c r="H773" s="9" t="str">
        <x:v>BRK</x:v>
      </x:c>
      <x:c r="I773" s="9" t="n">
        <x:v>4</x:v>
      </x:c>
      <x:c r="J773" s="9" t="n">
        <x:v>1</x:v>
      </x:c>
      <x:c r="K773" s="9" t="str">
        <x:v>HU-A-B-N3</x:v>
      </x:c>
      <x:c r="L773" s="9" t="str">
        <x:v>ST07</x:v>
      </x:c>
      <x:c r="M773" s="17" t="str">
        <x:v>Environmental baseline</x:v>
      </x:c>
      <x:c r="N773" s="17" t="str">
        <x:v>pre-event boundary state is sealed before decisive operation</x:v>
      </x:c>
      <x:c r="O773" s="17" t="str">
        <x:v>Site metrology</x:v>
      </x:c>
      <x:c r="P773" s="9" t="n">
        <x:v>0</x:v>
      </x:c>
      <x:c r="Q773" s="9" t="n">
        <x:v>0</x:v>
      </x:c>
      <x:c r="R773" s="9" t="str">
        <x:v>OPEN / UNSTARTED</x:v>
      </x:c>
      <x:c r="S773" s="9" t="n">
        <x:f>COUNTIFS($A$7:$A$1446,A773)</x:f>
        <x:v>1</x:v>
      </x:c>
    </x:row>
    <x:row r="774">
      <x:c r="A774" s="9" t="str">
        <x:v>EV-AR-HU-A-B-TECH-3-B2-BRK-G0-ST08</x:v>
      </x:c>
      <x:c r="B774" s="9" t="str">
        <x:v>EV-AR-HU-A-B-TECH-3-B2-BRK-G0</x:v>
      </x:c>
      <x:c r="C774" s="9" t="str">
        <x:v>EOW-AR-HU-A-B-TECH-3-B2-BRK-G0</x:v>
      </x:c>
      <x:c r="D774" s="9" t="str">
        <x:v>AR-HU-A-B-TECH-3-B2-BRK-G0</x:v>
      </x:c>
      <x:c r="E774" s="9" t="str">
        <x:v>HU-A-B-TECH-3</x:v>
      </x:c>
      <x:c r="F774" s="9" t="str">
        <x:v>HU-A-B</x:v>
      </x:c>
      <x:c r="G774" s="9" t="str">
        <x:v>B2</x:v>
      </x:c>
      <x:c r="H774" s="9" t="str">
        <x:v>BRK</x:v>
      </x:c>
      <x:c r="I774" s="9" t="n">
        <x:v>4</x:v>
      </x:c>
      <x:c r="J774" s="9" t="n">
        <x:v>1</x:v>
      </x:c>
      <x:c r="K774" s="9" t="str">
        <x:v>HU-A-B-N3</x:v>
      </x:c>
      <x:c r="L774" s="9" t="str">
        <x:v>ST08</x:v>
      </x:c>
      <x:c r="M774" s="17" t="str">
        <x:v>Manual stop and safety</x:v>
      </x:c>
      <x:c r="N774" s="17" t="str">
        <x:v>local stop, evacuation and protection routes are active</x:v>
      </x:c>
      <x:c r="O774" s="17" t="str">
        <x:v>Safety authority</x:v>
      </x:c>
      <x:c r="P774" s="9" t="n">
        <x:v>0</x:v>
      </x:c>
      <x:c r="Q774" s="9" t="n">
        <x:v>0</x:v>
      </x:c>
      <x:c r="R774" s="9" t="str">
        <x:v>OPEN / UNSTARTED</x:v>
      </x:c>
      <x:c r="S774" s="9" t="n">
        <x:f>COUNTIFS($A$7:$A$1446,A774)</x:f>
        <x:v>1</x:v>
      </x:c>
    </x:row>
    <x:row r="775">
      <x:c r="A775" s="9" t="str">
        <x:v>EV-AR-HU-A-B-TECH-3-B2-BRK-G0-ST09</x:v>
      </x:c>
      <x:c r="B775" s="9" t="str">
        <x:v>EV-AR-HU-A-B-TECH-3-B2-BRK-G0</x:v>
      </x:c>
      <x:c r="C775" s="9" t="str">
        <x:v>EOW-AR-HU-A-B-TECH-3-B2-BRK-G0</x:v>
      </x:c>
      <x:c r="D775" s="9" t="str">
        <x:v>AR-HU-A-B-TECH-3-B2-BRK-G0</x:v>
      </x:c>
      <x:c r="E775" s="9" t="str">
        <x:v>HU-A-B-TECH-3</x:v>
      </x:c>
      <x:c r="F775" s="9" t="str">
        <x:v>HU-A-B</x:v>
      </x:c>
      <x:c r="G775" s="9" t="str">
        <x:v>B2</x:v>
      </x:c>
      <x:c r="H775" s="9" t="str">
        <x:v>BRK</x:v>
      </x:c>
      <x:c r="I775" s="9" t="n">
        <x:v>4</x:v>
      </x:c>
      <x:c r="J775" s="9" t="n">
        <x:v>1</x:v>
      </x:c>
      <x:c r="K775" s="9" t="str">
        <x:v>HU-A-B-N3</x:v>
      </x:c>
      <x:c r="L775" s="9" t="str">
        <x:v>ST09</x:v>
      </x:c>
      <x:c r="M775" s="17" t="str">
        <x:v>Operator conflict clear</x:v>
      </x:c>
      <x:c r="N775" s="17" t="str">
        <x:v>candidate, fixture, safety and measurement control edges remain separated</x:v>
      </x:c>
      <x:c r="O775" s="17" t="str">
        <x:v>Conflict registrar</x:v>
      </x:c>
      <x:c r="P775" s="9" t="n">
        <x:v>0</x:v>
      </x:c>
      <x:c r="Q775" s="9" t="n">
        <x:v>0</x:v>
      </x:c>
      <x:c r="R775" s="9" t="str">
        <x:v>OPEN / UNSTARTED</x:v>
      </x:c>
      <x:c r="S775" s="9" t="n">
        <x:f>COUNTIFS($A$7:$A$1446,A775)</x:f>
        <x:v>1</x:v>
      </x:c>
    </x:row>
    <x:row r="776">
      <x:c r="A776" s="9" t="str">
        <x:v>EV-AR-HU-A-B-TECH-3-B2-BRK-G0-ST10</x:v>
      </x:c>
      <x:c r="B776" s="9" t="str">
        <x:v>EV-AR-HU-A-B-TECH-3-B2-BRK-G0</x:v>
      </x:c>
      <x:c r="C776" s="9" t="str">
        <x:v>EOW-AR-HU-A-B-TECH-3-B2-BRK-G0</x:v>
      </x:c>
      <x:c r="D776" s="9" t="str">
        <x:v>AR-HU-A-B-TECH-3-B2-BRK-G0</x:v>
      </x:c>
      <x:c r="E776" s="9" t="str">
        <x:v>HU-A-B-TECH-3</x:v>
      </x:c>
      <x:c r="F776" s="9" t="str">
        <x:v>HU-A-B</x:v>
      </x:c>
      <x:c r="G776" s="9" t="str">
        <x:v>B2</x:v>
      </x:c>
      <x:c r="H776" s="9" t="str">
        <x:v>BRK</x:v>
      </x:c>
      <x:c r="I776" s="9" t="n">
        <x:v>4</x:v>
      </x:c>
      <x:c r="J776" s="9" t="n">
        <x:v>1</x:v>
      </x:c>
      <x:c r="K776" s="9" t="str">
        <x:v>HU-A-B-N3</x:v>
      </x:c>
      <x:c r="L776" s="9" t="str">
        <x:v>ST10</x:v>
      </x:c>
      <x:c r="M776" s="17" t="str">
        <x:v>Window and common clock</x:v>
      </x:c>
      <x:c r="N776" s="17" t="str">
        <x:v>epoch, window and public time origin match the issued warrant</x:v>
      </x:c>
      <x:c r="O776" s="17" t="str">
        <x:v>Event clock authority</x:v>
      </x:c>
      <x:c r="P776" s="9" t="n">
        <x:v>0</x:v>
      </x:c>
      <x:c r="Q776" s="9" t="n">
        <x:v>0</x:v>
      </x:c>
      <x:c r="R776" s="9" t="str">
        <x:v>OPEN / UNSTARTED</x:v>
      </x:c>
      <x:c r="S776" s="9" t="n">
        <x:f>COUNTIFS($A$7:$A$1446,A776)</x:f>
        <x:v>1</x:v>
      </x:c>
    </x:row>
    <x:row r="777">
      <x:c r="A777" s="9" t="str">
        <x:v>EV-AR-RT-B-C-TECH-1-B1-RCN-G0-ST01</x:v>
      </x:c>
      <x:c r="B777" s="9" t="str">
        <x:v>EV-AR-RT-B-C-TECH-1-B1-RCN-G0</x:v>
      </x:c>
      <x:c r="C777" s="9" t="str">
        <x:v>EOW-AR-RT-B-C-TECH-1-B1-RCN-G0</x:v>
      </x:c>
      <x:c r="D777" s="9" t="str">
        <x:v>AR-RT-B-C-TECH-1-B1-RCN-G0</x:v>
      </x:c>
      <x:c r="E777" s="9" t="str">
        <x:v>RT-B-C-TECH-1</x:v>
      </x:c>
      <x:c r="F777" s="9" t="str">
        <x:v>RT-B-C</x:v>
      </x:c>
      <x:c r="G777" s="9" t="str">
        <x:v>B1</x:v>
      </x:c>
      <x:c r="H777" s="9" t="str">
        <x:v>RCN</x:v>
      </x:c>
      <x:c r="I777" s="9" t="n">
        <x:v>4</x:v>
      </x:c>
      <x:c r="J777" s="9" t="n">
        <x:v>1</x:v>
      </x:c>
      <x:c r="K777" s="9" t="str">
        <x:v>RT-B-C-N1</x:v>
      </x:c>
      <x:c r="L777" s="9" t="str">
        <x:v>ST01</x:v>
      </x:c>
      <x:c r="M777" s="17" t="str">
        <x:v>Active opportunity warrant</x:v>
      </x:c>
      <x:c r="N777" s="17" t="str">
        <x:v>configuration-bound EOW is within its thirty-six-hour validity</x:v>
      </x:c>
      <x:c r="O777" s="17" t="str">
        <x:v>Start registrar</x:v>
      </x:c>
      <x:c r="P777" s="9" t="n">
        <x:v>0</x:v>
      </x:c>
      <x:c r="Q777" s="9" t="n">
        <x:v>0</x:v>
      </x:c>
      <x:c r="R777" s="9" t="str">
        <x:v>OPEN / UNSTARTED</x:v>
      </x:c>
      <x:c r="S777" s="9" t="n">
        <x:f>COUNTIFS($A$7:$A$1446,A777)</x:f>
        <x:v>1</x:v>
      </x:c>
    </x:row>
    <x:row r="778">
      <x:c r="A778" s="9" t="str">
        <x:v>EV-AR-RT-B-C-TECH-1-B1-RCN-G0-ST02</x:v>
      </x:c>
      <x:c r="B778" s="9" t="str">
        <x:v>EV-AR-RT-B-C-TECH-1-B1-RCN-G0</x:v>
      </x:c>
      <x:c r="C778" s="9" t="str">
        <x:v>EOW-AR-RT-B-C-TECH-1-B1-RCN-G0</x:v>
      </x:c>
      <x:c r="D778" s="9" t="str">
        <x:v>AR-RT-B-C-TECH-1-B1-RCN-G0</x:v>
      </x:c>
      <x:c r="E778" s="9" t="str">
        <x:v>RT-B-C-TECH-1</x:v>
      </x:c>
      <x:c r="F778" s="9" t="str">
        <x:v>RT-B-C</x:v>
      </x:c>
      <x:c r="G778" s="9" t="str">
        <x:v>B1</x:v>
      </x:c>
      <x:c r="H778" s="9" t="str">
        <x:v>RCN</x:v>
      </x:c>
      <x:c r="I778" s="9" t="n">
        <x:v>4</x:v>
      </x:c>
      <x:c r="J778" s="9" t="n">
        <x:v>1</x:v>
      </x:c>
      <x:c r="K778" s="9" t="str">
        <x:v>RT-B-C-N1</x:v>
      </x:c>
      <x:c r="L778" s="9" t="str">
        <x:v>ST02</x:v>
      </x:c>
      <x:c r="M778" s="17" t="str">
        <x:v>Frozen identity</x:v>
      </x:c>
      <x:c r="N778" s="17" t="str">
        <x:v>serial, generation, fixture, site, receiver and digest match the warrant</x:v>
      </x:c>
      <x:c r="O778" s="17" t="str">
        <x:v>Custody authority</x:v>
      </x:c>
      <x:c r="P778" s="9" t="n">
        <x:v>0</x:v>
      </x:c>
      <x:c r="Q778" s="9" t="n">
        <x:v>0</x:v>
      </x:c>
      <x:c r="R778" s="9" t="str">
        <x:v>OPEN / UNSTARTED</x:v>
      </x:c>
      <x:c r="S778" s="9" t="n">
        <x:f>COUNTIFS($A$7:$A$1446,A778)</x:f>
        <x:v>1</x:v>
      </x:c>
    </x:row>
    <x:row r="779">
      <x:c r="A779" s="9" t="str">
        <x:v>EV-AR-RT-B-C-TECH-1-B1-RCN-G0-ST03</x:v>
      </x:c>
      <x:c r="B779" s="9" t="str">
        <x:v>EV-AR-RT-B-C-TECH-1-B1-RCN-G0</x:v>
      </x:c>
      <x:c r="C779" s="9" t="str">
        <x:v>EOW-AR-RT-B-C-TECH-1-B1-RCN-G0</x:v>
      </x:c>
      <x:c r="D779" s="9" t="str">
        <x:v>AR-RT-B-C-TECH-1-B1-RCN-G0</x:v>
      </x:c>
      <x:c r="E779" s="9" t="str">
        <x:v>RT-B-C-TECH-1</x:v>
      </x:c>
      <x:c r="F779" s="9" t="str">
        <x:v>RT-B-C</x:v>
      </x:c>
      <x:c r="G779" s="9" t="str">
        <x:v>B1</x:v>
      </x:c>
      <x:c r="H779" s="9" t="str">
        <x:v>RCN</x:v>
      </x:c>
      <x:c r="I779" s="9" t="n">
        <x:v>4</x:v>
      </x:c>
      <x:c r="J779" s="9" t="n">
        <x:v>1</x:v>
      </x:c>
      <x:c r="K779" s="9" t="str">
        <x:v>RT-B-C-N1</x:v>
      </x:c>
      <x:c r="L779" s="9" t="str">
        <x:v>ST03</x:v>
      </x:c>
      <x:c r="M779" s="17" t="str">
        <x:v>Receiver receipt</x:v>
      </x:c>
      <x:c r="N779" s="17" t="str">
        <x:v>denominator, counterfactual, rights and stop receipt remain unchanged</x:v>
      </x:c>
      <x:c r="O779" s="17" t="str">
        <x:v>Receiver authority</x:v>
      </x:c>
      <x:c r="P779" s="9" t="n">
        <x:v>0</x:v>
      </x:c>
      <x:c r="Q779" s="9" t="n">
        <x:v>0</x:v>
      </x:c>
      <x:c r="R779" s="9" t="str">
        <x:v>OPEN / UNSTARTED</x:v>
      </x:c>
      <x:c r="S779" s="9" t="n">
        <x:f>COUNTIFS($A$7:$A$1446,A779)</x:f>
        <x:v>1</x:v>
      </x:c>
    </x:row>
    <x:row r="780">
      <x:c r="A780" s="9" t="str">
        <x:v>EV-AR-RT-B-C-TECH-1-B1-RCN-G0-ST04</x:v>
      </x:c>
      <x:c r="B780" s="9" t="str">
        <x:v>EV-AR-RT-B-C-TECH-1-B1-RCN-G0</x:v>
      </x:c>
      <x:c r="C780" s="9" t="str">
        <x:v>EOW-AR-RT-B-C-TECH-1-B1-RCN-G0</x:v>
      </x:c>
      <x:c r="D780" s="9" t="str">
        <x:v>AR-RT-B-C-TECH-1-B1-RCN-G0</x:v>
      </x:c>
      <x:c r="E780" s="9" t="str">
        <x:v>RT-B-C-TECH-1</x:v>
      </x:c>
      <x:c r="F780" s="9" t="str">
        <x:v>RT-B-C</x:v>
      </x:c>
      <x:c r="G780" s="9" t="str">
        <x:v>B1</x:v>
      </x:c>
      <x:c r="H780" s="9" t="str">
        <x:v>RCN</x:v>
      </x:c>
      <x:c r="I780" s="9" t="n">
        <x:v>4</x:v>
      </x:c>
      <x:c r="J780" s="9" t="n">
        <x:v>1</x:v>
      </x:c>
      <x:c r="K780" s="9" t="str">
        <x:v>RT-B-C-N1</x:v>
      </x:c>
      <x:c r="L780" s="9" t="str">
        <x:v>ST04</x:v>
      </x:c>
      <x:c r="M780" s="17" t="str">
        <x:v>Primary capture armed</x:v>
      </x:c>
      <x:c r="N780" s="17" t="str">
        <x:v>primary chain records sealed reference and live time</x:v>
      </x:c>
      <x:c r="O780" s="17" t="str">
        <x:v>Primary metrology</x:v>
      </x:c>
      <x:c r="P780" s="9" t="n">
        <x:v>0</x:v>
      </x:c>
      <x:c r="Q780" s="9" t="n">
        <x:v>0</x:v>
      </x:c>
      <x:c r="R780" s="9" t="str">
        <x:v>OPEN / UNSTARTED</x:v>
      </x:c>
      <x:c r="S780" s="9" t="n">
        <x:f>COUNTIFS($A$7:$A$1446,A780)</x:f>
        <x:v>1</x:v>
      </x:c>
    </x:row>
    <x:row r="781">
      <x:c r="A781" s="9" t="str">
        <x:v>EV-AR-RT-B-C-TECH-1-B1-RCN-G0-ST05</x:v>
      </x:c>
      <x:c r="B781" s="9" t="str">
        <x:v>EV-AR-RT-B-C-TECH-1-B1-RCN-G0</x:v>
      </x:c>
      <x:c r="C781" s="9" t="str">
        <x:v>EOW-AR-RT-B-C-TECH-1-B1-RCN-G0</x:v>
      </x:c>
      <x:c r="D781" s="9" t="str">
        <x:v>AR-RT-B-C-TECH-1-B1-RCN-G0</x:v>
      </x:c>
      <x:c r="E781" s="9" t="str">
        <x:v>RT-B-C-TECH-1</x:v>
      </x:c>
      <x:c r="F781" s="9" t="str">
        <x:v>RT-B-C</x:v>
      </x:c>
      <x:c r="G781" s="9" t="str">
        <x:v>B1</x:v>
      </x:c>
      <x:c r="H781" s="9" t="str">
        <x:v>RCN</x:v>
      </x:c>
      <x:c r="I781" s="9" t="n">
        <x:v>4</x:v>
      </x:c>
      <x:c r="J781" s="9" t="n">
        <x:v>1</x:v>
      </x:c>
      <x:c r="K781" s="9" t="str">
        <x:v>RT-B-C-N1</x:v>
      </x:c>
      <x:c r="L781" s="9" t="str">
        <x:v>ST05</x:v>
      </x:c>
      <x:c r="M781" s="17" t="str">
        <x:v>Witness capture armed</x:v>
      </x:c>
      <x:c r="N781" s="17" t="str">
        <x:v>unlike witness records independent reference and live time</x:v>
      </x:c>
      <x:c r="O781" s="17" t="str">
        <x:v>Witness metrology</x:v>
      </x:c>
      <x:c r="P781" s="9" t="n">
        <x:v>0</x:v>
      </x:c>
      <x:c r="Q781" s="9" t="n">
        <x:v>0</x:v>
      </x:c>
      <x:c r="R781" s="9" t="str">
        <x:v>OPEN / UNSTARTED</x:v>
      </x:c>
      <x:c r="S781" s="9" t="n">
        <x:f>COUNTIFS($A$7:$A$1446,A781)</x:f>
        <x:v>1</x:v>
      </x:c>
    </x:row>
    <x:row r="782">
      <x:c r="A782" s="9" t="str">
        <x:v>EV-AR-RT-B-C-TECH-1-B1-RCN-G0-ST06</x:v>
      </x:c>
      <x:c r="B782" s="9" t="str">
        <x:v>EV-AR-RT-B-C-TECH-1-B1-RCN-G0</x:v>
      </x:c>
      <x:c r="C782" s="9" t="str">
        <x:v>EOW-AR-RT-B-C-TECH-1-B1-RCN-G0</x:v>
      </x:c>
      <x:c r="D782" s="9" t="str">
        <x:v>AR-RT-B-C-TECH-1-B1-RCN-G0</x:v>
      </x:c>
      <x:c r="E782" s="9" t="str">
        <x:v>RT-B-C-TECH-1</x:v>
      </x:c>
      <x:c r="F782" s="9" t="str">
        <x:v>RT-B-C</x:v>
      </x:c>
      <x:c r="G782" s="9" t="str">
        <x:v>B1</x:v>
      </x:c>
      <x:c r="H782" s="9" t="str">
        <x:v>RCN</x:v>
      </x:c>
      <x:c r="I782" s="9" t="n">
        <x:v>4</x:v>
      </x:c>
      <x:c r="J782" s="9" t="n">
        <x:v>1</x:v>
      </x:c>
      <x:c r="K782" s="9" t="str">
        <x:v>RT-B-C-N1</x:v>
      </x:c>
      <x:c r="L782" s="9" t="str">
        <x:v>ST06</x:v>
      </x:c>
      <x:c r="M782" s="17" t="str">
        <x:v>Public custody armed</x:v>
      </x:c>
      <x:c r="N782" s="17" t="str">
        <x:v>eight raw origins have separated hash and replica routes</x:v>
      </x:c>
      <x:c r="O782" s="17" t="str">
        <x:v>Custody authority</x:v>
      </x:c>
      <x:c r="P782" s="9" t="n">
        <x:v>0</x:v>
      </x:c>
      <x:c r="Q782" s="9" t="n">
        <x:v>0</x:v>
      </x:c>
      <x:c r="R782" s="9" t="str">
        <x:v>OPEN / UNSTARTED</x:v>
      </x:c>
      <x:c r="S782" s="9" t="n">
        <x:f>COUNTIFS($A$7:$A$1446,A782)</x:f>
        <x:v>1</x:v>
      </x:c>
    </x:row>
    <x:row r="783">
      <x:c r="A783" s="9" t="str">
        <x:v>EV-AR-RT-B-C-TECH-1-B1-RCN-G0-ST07</x:v>
      </x:c>
      <x:c r="B783" s="9" t="str">
        <x:v>EV-AR-RT-B-C-TECH-1-B1-RCN-G0</x:v>
      </x:c>
      <x:c r="C783" s="9" t="str">
        <x:v>EOW-AR-RT-B-C-TECH-1-B1-RCN-G0</x:v>
      </x:c>
      <x:c r="D783" s="9" t="str">
        <x:v>AR-RT-B-C-TECH-1-B1-RCN-G0</x:v>
      </x:c>
      <x:c r="E783" s="9" t="str">
        <x:v>RT-B-C-TECH-1</x:v>
      </x:c>
      <x:c r="F783" s="9" t="str">
        <x:v>RT-B-C</x:v>
      </x:c>
      <x:c r="G783" s="9" t="str">
        <x:v>B1</x:v>
      </x:c>
      <x:c r="H783" s="9" t="str">
        <x:v>RCN</x:v>
      </x:c>
      <x:c r="I783" s="9" t="n">
        <x:v>4</x:v>
      </x:c>
      <x:c r="J783" s="9" t="n">
        <x:v>1</x:v>
      </x:c>
      <x:c r="K783" s="9" t="str">
        <x:v>RT-B-C-N1</x:v>
      </x:c>
      <x:c r="L783" s="9" t="str">
        <x:v>ST07</x:v>
      </x:c>
      <x:c r="M783" s="17" t="str">
        <x:v>Environmental baseline</x:v>
      </x:c>
      <x:c r="N783" s="17" t="str">
        <x:v>pre-event boundary state is sealed before decisive operation</x:v>
      </x:c>
      <x:c r="O783" s="17" t="str">
        <x:v>Site metrology</x:v>
      </x:c>
      <x:c r="P783" s="9" t="n">
        <x:v>0</x:v>
      </x:c>
      <x:c r="Q783" s="9" t="n">
        <x:v>0</x:v>
      </x:c>
      <x:c r="R783" s="9" t="str">
        <x:v>OPEN / UNSTARTED</x:v>
      </x:c>
      <x:c r="S783" s="9" t="n">
        <x:f>COUNTIFS($A$7:$A$1446,A783)</x:f>
        <x:v>1</x:v>
      </x:c>
    </x:row>
    <x:row r="784">
      <x:c r="A784" s="9" t="str">
        <x:v>EV-AR-RT-B-C-TECH-1-B1-RCN-G0-ST08</x:v>
      </x:c>
      <x:c r="B784" s="9" t="str">
        <x:v>EV-AR-RT-B-C-TECH-1-B1-RCN-G0</x:v>
      </x:c>
      <x:c r="C784" s="9" t="str">
        <x:v>EOW-AR-RT-B-C-TECH-1-B1-RCN-G0</x:v>
      </x:c>
      <x:c r="D784" s="9" t="str">
        <x:v>AR-RT-B-C-TECH-1-B1-RCN-G0</x:v>
      </x:c>
      <x:c r="E784" s="9" t="str">
        <x:v>RT-B-C-TECH-1</x:v>
      </x:c>
      <x:c r="F784" s="9" t="str">
        <x:v>RT-B-C</x:v>
      </x:c>
      <x:c r="G784" s="9" t="str">
        <x:v>B1</x:v>
      </x:c>
      <x:c r="H784" s="9" t="str">
        <x:v>RCN</x:v>
      </x:c>
      <x:c r="I784" s="9" t="n">
        <x:v>4</x:v>
      </x:c>
      <x:c r="J784" s="9" t="n">
        <x:v>1</x:v>
      </x:c>
      <x:c r="K784" s="9" t="str">
        <x:v>RT-B-C-N1</x:v>
      </x:c>
      <x:c r="L784" s="9" t="str">
        <x:v>ST08</x:v>
      </x:c>
      <x:c r="M784" s="17" t="str">
        <x:v>Manual stop and safety</x:v>
      </x:c>
      <x:c r="N784" s="17" t="str">
        <x:v>local stop, evacuation and protection routes are active</x:v>
      </x:c>
      <x:c r="O784" s="17" t="str">
        <x:v>Safety authority</x:v>
      </x:c>
      <x:c r="P784" s="9" t="n">
        <x:v>0</x:v>
      </x:c>
      <x:c r="Q784" s="9" t="n">
        <x:v>0</x:v>
      </x:c>
      <x:c r="R784" s="9" t="str">
        <x:v>OPEN / UNSTARTED</x:v>
      </x:c>
      <x:c r="S784" s="9" t="n">
        <x:f>COUNTIFS($A$7:$A$1446,A784)</x:f>
        <x:v>1</x:v>
      </x:c>
    </x:row>
    <x:row r="785">
      <x:c r="A785" s="9" t="str">
        <x:v>EV-AR-RT-B-C-TECH-1-B1-RCN-G0-ST09</x:v>
      </x:c>
      <x:c r="B785" s="9" t="str">
        <x:v>EV-AR-RT-B-C-TECH-1-B1-RCN-G0</x:v>
      </x:c>
      <x:c r="C785" s="9" t="str">
        <x:v>EOW-AR-RT-B-C-TECH-1-B1-RCN-G0</x:v>
      </x:c>
      <x:c r="D785" s="9" t="str">
        <x:v>AR-RT-B-C-TECH-1-B1-RCN-G0</x:v>
      </x:c>
      <x:c r="E785" s="9" t="str">
        <x:v>RT-B-C-TECH-1</x:v>
      </x:c>
      <x:c r="F785" s="9" t="str">
        <x:v>RT-B-C</x:v>
      </x:c>
      <x:c r="G785" s="9" t="str">
        <x:v>B1</x:v>
      </x:c>
      <x:c r="H785" s="9" t="str">
        <x:v>RCN</x:v>
      </x:c>
      <x:c r="I785" s="9" t="n">
        <x:v>4</x:v>
      </x:c>
      <x:c r="J785" s="9" t="n">
        <x:v>1</x:v>
      </x:c>
      <x:c r="K785" s="9" t="str">
        <x:v>RT-B-C-N1</x:v>
      </x:c>
      <x:c r="L785" s="9" t="str">
        <x:v>ST09</x:v>
      </x:c>
      <x:c r="M785" s="17" t="str">
        <x:v>Operator conflict clear</x:v>
      </x:c>
      <x:c r="N785" s="17" t="str">
        <x:v>candidate, fixture, safety and measurement control edges remain separated</x:v>
      </x:c>
      <x:c r="O785" s="17" t="str">
        <x:v>Conflict registrar</x:v>
      </x:c>
      <x:c r="P785" s="9" t="n">
        <x:v>0</x:v>
      </x:c>
      <x:c r="Q785" s="9" t="n">
        <x:v>0</x:v>
      </x:c>
      <x:c r="R785" s="9" t="str">
        <x:v>OPEN / UNSTARTED</x:v>
      </x:c>
      <x:c r="S785" s="9" t="n">
        <x:f>COUNTIFS($A$7:$A$1446,A785)</x:f>
        <x:v>1</x:v>
      </x:c>
    </x:row>
    <x:row r="786">
      <x:c r="A786" s="9" t="str">
        <x:v>EV-AR-RT-B-C-TECH-1-B1-RCN-G0-ST10</x:v>
      </x:c>
      <x:c r="B786" s="9" t="str">
        <x:v>EV-AR-RT-B-C-TECH-1-B1-RCN-G0</x:v>
      </x:c>
      <x:c r="C786" s="9" t="str">
        <x:v>EOW-AR-RT-B-C-TECH-1-B1-RCN-G0</x:v>
      </x:c>
      <x:c r="D786" s="9" t="str">
        <x:v>AR-RT-B-C-TECH-1-B1-RCN-G0</x:v>
      </x:c>
      <x:c r="E786" s="9" t="str">
        <x:v>RT-B-C-TECH-1</x:v>
      </x:c>
      <x:c r="F786" s="9" t="str">
        <x:v>RT-B-C</x:v>
      </x:c>
      <x:c r="G786" s="9" t="str">
        <x:v>B1</x:v>
      </x:c>
      <x:c r="H786" s="9" t="str">
        <x:v>RCN</x:v>
      </x:c>
      <x:c r="I786" s="9" t="n">
        <x:v>4</x:v>
      </x:c>
      <x:c r="J786" s="9" t="n">
        <x:v>1</x:v>
      </x:c>
      <x:c r="K786" s="9" t="str">
        <x:v>RT-B-C-N1</x:v>
      </x:c>
      <x:c r="L786" s="9" t="str">
        <x:v>ST10</x:v>
      </x:c>
      <x:c r="M786" s="17" t="str">
        <x:v>Window and common clock</x:v>
      </x:c>
      <x:c r="N786" s="17" t="str">
        <x:v>epoch, window and public time origin match the issued warrant</x:v>
      </x:c>
      <x:c r="O786" s="17" t="str">
        <x:v>Event clock authority</x:v>
      </x:c>
      <x:c r="P786" s="9" t="n">
        <x:v>0</x:v>
      </x:c>
      <x:c r="Q786" s="9" t="n">
        <x:v>0</x:v>
      </x:c>
      <x:c r="R786" s="9" t="str">
        <x:v>OPEN / UNSTARTED</x:v>
      </x:c>
      <x:c r="S786" s="9" t="n">
        <x:f>COUNTIFS($A$7:$A$1446,A786)</x:f>
        <x:v>1</x:v>
      </x:c>
    </x:row>
    <x:row r="787">
      <x:c r="A787" s="9" t="str">
        <x:v>EV-AR-ET-A-A-TECH-1-B2-BRK-G0-ST01</x:v>
      </x:c>
      <x:c r="B787" s="9" t="str">
        <x:v>EV-AR-ET-A-A-TECH-1-B2-BRK-G0</x:v>
      </x:c>
      <x:c r="C787" s="9" t="str">
        <x:v>EOW-AR-ET-A-A-TECH-1-B2-BRK-G0</x:v>
      </x:c>
      <x:c r="D787" s="9" t="str">
        <x:v>AR-ET-A-A-TECH-1-B2-BRK-G0</x:v>
      </x:c>
      <x:c r="E787" s="9" t="str">
        <x:v>ET-A-A-TECH-1</x:v>
      </x:c>
      <x:c r="F787" s="9" t="str">
        <x:v>ET-A-A</x:v>
      </x:c>
      <x:c r="G787" s="9" t="str">
        <x:v>B2</x:v>
      </x:c>
      <x:c r="H787" s="9" t="str">
        <x:v>BRK</x:v>
      </x:c>
      <x:c r="I787" s="9" t="n">
        <x:v>4</x:v>
      </x:c>
      <x:c r="J787" s="9" t="n">
        <x:v>2</x:v>
      </x:c>
      <x:c r="K787" s="9" t="str">
        <x:v>ET-A-A-N1</x:v>
      </x:c>
      <x:c r="L787" s="9" t="str">
        <x:v>ST01</x:v>
      </x:c>
      <x:c r="M787" s="17" t="str">
        <x:v>Active opportunity warrant</x:v>
      </x:c>
      <x:c r="N787" s="17" t="str">
        <x:v>configuration-bound EOW is within its thirty-six-hour validity</x:v>
      </x:c>
      <x:c r="O787" s="17" t="str">
        <x:v>Start registrar</x:v>
      </x:c>
      <x:c r="P787" s="9" t="n">
        <x:v>0</x:v>
      </x:c>
      <x:c r="Q787" s="9" t="n">
        <x:v>0</x:v>
      </x:c>
      <x:c r="R787" s="9" t="str">
        <x:v>OPEN / UNSTARTED</x:v>
      </x:c>
      <x:c r="S787" s="9" t="n">
        <x:f>COUNTIFS($A$7:$A$1446,A787)</x:f>
        <x:v>1</x:v>
      </x:c>
    </x:row>
    <x:row r="788">
      <x:c r="A788" s="9" t="str">
        <x:v>EV-AR-ET-A-A-TECH-1-B2-BRK-G0-ST02</x:v>
      </x:c>
      <x:c r="B788" s="9" t="str">
        <x:v>EV-AR-ET-A-A-TECH-1-B2-BRK-G0</x:v>
      </x:c>
      <x:c r="C788" s="9" t="str">
        <x:v>EOW-AR-ET-A-A-TECH-1-B2-BRK-G0</x:v>
      </x:c>
      <x:c r="D788" s="9" t="str">
        <x:v>AR-ET-A-A-TECH-1-B2-BRK-G0</x:v>
      </x:c>
      <x:c r="E788" s="9" t="str">
        <x:v>ET-A-A-TECH-1</x:v>
      </x:c>
      <x:c r="F788" s="9" t="str">
        <x:v>ET-A-A</x:v>
      </x:c>
      <x:c r="G788" s="9" t="str">
        <x:v>B2</x:v>
      </x:c>
      <x:c r="H788" s="9" t="str">
        <x:v>BRK</x:v>
      </x:c>
      <x:c r="I788" s="9" t="n">
        <x:v>4</x:v>
      </x:c>
      <x:c r="J788" s="9" t="n">
        <x:v>2</x:v>
      </x:c>
      <x:c r="K788" s="9" t="str">
        <x:v>ET-A-A-N1</x:v>
      </x:c>
      <x:c r="L788" s="9" t="str">
        <x:v>ST02</x:v>
      </x:c>
      <x:c r="M788" s="17" t="str">
        <x:v>Frozen identity</x:v>
      </x:c>
      <x:c r="N788" s="17" t="str">
        <x:v>serial, generation, fixture, site, receiver and digest match the warrant</x:v>
      </x:c>
      <x:c r="O788" s="17" t="str">
        <x:v>Custody authority</x:v>
      </x:c>
      <x:c r="P788" s="9" t="n">
        <x:v>0</x:v>
      </x:c>
      <x:c r="Q788" s="9" t="n">
        <x:v>0</x:v>
      </x:c>
      <x:c r="R788" s="9" t="str">
        <x:v>OPEN / UNSTARTED</x:v>
      </x:c>
      <x:c r="S788" s="9" t="n">
        <x:f>COUNTIFS($A$7:$A$1446,A788)</x:f>
        <x:v>1</x:v>
      </x:c>
    </x:row>
    <x:row r="789">
      <x:c r="A789" s="9" t="str">
        <x:v>EV-AR-ET-A-A-TECH-1-B2-BRK-G0-ST03</x:v>
      </x:c>
      <x:c r="B789" s="9" t="str">
        <x:v>EV-AR-ET-A-A-TECH-1-B2-BRK-G0</x:v>
      </x:c>
      <x:c r="C789" s="9" t="str">
        <x:v>EOW-AR-ET-A-A-TECH-1-B2-BRK-G0</x:v>
      </x:c>
      <x:c r="D789" s="9" t="str">
        <x:v>AR-ET-A-A-TECH-1-B2-BRK-G0</x:v>
      </x:c>
      <x:c r="E789" s="9" t="str">
        <x:v>ET-A-A-TECH-1</x:v>
      </x:c>
      <x:c r="F789" s="9" t="str">
        <x:v>ET-A-A</x:v>
      </x:c>
      <x:c r="G789" s="9" t="str">
        <x:v>B2</x:v>
      </x:c>
      <x:c r="H789" s="9" t="str">
        <x:v>BRK</x:v>
      </x:c>
      <x:c r="I789" s="9" t="n">
        <x:v>4</x:v>
      </x:c>
      <x:c r="J789" s="9" t="n">
        <x:v>2</x:v>
      </x:c>
      <x:c r="K789" s="9" t="str">
        <x:v>ET-A-A-N1</x:v>
      </x:c>
      <x:c r="L789" s="9" t="str">
        <x:v>ST03</x:v>
      </x:c>
      <x:c r="M789" s="17" t="str">
        <x:v>Receiver receipt</x:v>
      </x:c>
      <x:c r="N789" s="17" t="str">
        <x:v>denominator, counterfactual, rights and stop receipt remain unchanged</x:v>
      </x:c>
      <x:c r="O789" s="17" t="str">
        <x:v>Receiver authority</x:v>
      </x:c>
      <x:c r="P789" s="9" t="n">
        <x:v>0</x:v>
      </x:c>
      <x:c r="Q789" s="9" t="n">
        <x:v>0</x:v>
      </x:c>
      <x:c r="R789" s="9" t="str">
        <x:v>OPEN / UNSTARTED</x:v>
      </x:c>
      <x:c r="S789" s="9" t="n">
        <x:f>COUNTIFS($A$7:$A$1446,A789)</x:f>
        <x:v>1</x:v>
      </x:c>
    </x:row>
    <x:row r="790">
      <x:c r="A790" s="9" t="str">
        <x:v>EV-AR-ET-A-A-TECH-1-B2-BRK-G0-ST04</x:v>
      </x:c>
      <x:c r="B790" s="9" t="str">
        <x:v>EV-AR-ET-A-A-TECH-1-B2-BRK-G0</x:v>
      </x:c>
      <x:c r="C790" s="9" t="str">
        <x:v>EOW-AR-ET-A-A-TECH-1-B2-BRK-G0</x:v>
      </x:c>
      <x:c r="D790" s="9" t="str">
        <x:v>AR-ET-A-A-TECH-1-B2-BRK-G0</x:v>
      </x:c>
      <x:c r="E790" s="9" t="str">
        <x:v>ET-A-A-TECH-1</x:v>
      </x:c>
      <x:c r="F790" s="9" t="str">
        <x:v>ET-A-A</x:v>
      </x:c>
      <x:c r="G790" s="9" t="str">
        <x:v>B2</x:v>
      </x:c>
      <x:c r="H790" s="9" t="str">
        <x:v>BRK</x:v>
      </x:c>
      <x:c r="I790" s="9" t="n">
        <x:v>4</x:v>
      </x:c>
      <x:c r="J790" s="9" t="n">
        <x:v>2</x:v>
      </x:c>
      <x:c r="K790" s="9" t="str">
        <x:v>ET-A-A-N1</x:v>
      </x:c>
      <x:c r="L790" s="9" t="str">
        <x:v>ST04</x:v>
      </x:c>
      <x:c r="M790" s="17" t="str">
        <x:v>Primary capture armed</x:v>
      </x:c>
      <x:c r="N790" s="17" t="str">
        <x:v>primary chain records sealed reference and live time</x:v>
      </x:c>
      <x:c r="O790" s="17" t="str">
        <x:v>Primary metrology</x:v>
      </x:c>
      <x:c r="P790" s="9" t="n">
        <x:v>0</x:v>
      </x:c>
      <x:c r="Q790" s="9" t="n">
        <x:v>0</x:v>
      </x:c>
      <x:c r="R790" s="9" t="str">
        <x:v>OPEN / UNSTARTED</x:v>
      </x:c>
      <x:c r="S790" s="9" t="n">
        <x:f>COUNTIFS($A$7:$A$1446,A790)</x:f>
        <x:v>1</x:v>
      </x:c>
    </x:row>
    <x:row r="791">
      <x:c r="A791" s="9" t="str">
        <x:v>EV-AR-ET-A-A-TECH-1-B2-BRK-G0-ST05</x:v>
      </x:c>
      <x:c r="B791" s="9" t="str">
        <x:v>EV-AR-ET-A-A-TECH-1-B2-BRK-G0</x:v>
      </x:c>
      <x:c r="C791" s="9" t="str">
        <x:v>EOW-AR-ET-A-A-TECH-1-B2-BRK-G0</x:v>
      </x:c>
      <x:c r="D791" s="9" t="str">
        <x:v>AR-ET-A-A-TECH-1-B2-BRK-G0</x:v>
      </x:c>
      <x:c r="E791" s="9" t="str">
        <x:v>ET-A-A-TECH-1</x:v>
      </x:c>
      <x:c r="F791" s="9" t="str">
        <x:v>ET-A-A</x:v>
      </x:c>
      <x:c r="G791" s="9" t="str">
        <x:v>B2</x:v>
      </x:c>
      <x:c r="H791" s="9" t="str">
        <x:v>BRK</x:v>
      </x:c>
      <x:c r="I791" s="9" t="n">
        <x:v>4</x:v>
      </x:c>
      <x:c r="J791" s="9" t="n">
        <x:v>2</x:v>
      </x:c>
      <x:c r="K791" s="9" t="str">
        <x:v>ET-A-A-N1</x:v>
      </x:c>
      <x:c r="L791" s="9" t="str">
        <x:v>ST05</x:v>
      </x:c>
      <x:c r="M791" s="17" t="str">
        <x:v>Witness capture armed</x:v>
      </x:c>
      <x:c r="N791" s="17" t="str">
        <x:v>unlike witness records independent reference and live time</x:v>
      </x:c>
      <x:c r="O791" s="17" t="str">
        <x:v>Witness metrology</x:v>
      </x:c>
      <x:c r="P791" s="9" t="n">
        <x:v>0</x:v>
      </x:c>
      <x:c r="Q791" s="9" t="n">
        <x:v>0</x:v>
      </x:c>
      <x:c r="R791" s="9" t="str">
        <x:v>OPEN / UNSTARTED</x:v>
      </x:c>
      <x:c r="S791" s="9" t="n">
        <x:f>COUNTIFS($A$7:$A$1446,A791)</x:f>
        <x:v>1</x:v>
      </x:c>
    </x:row>
    <x:row r="792">
      <x:c r="A792" s="9" t="str">
        <x:v>EV-AR-ET-A-A-TECH-1-B2-BRK-G0-ST06</x:v>
      </x:c>
      <x:c r="B792" s="9" t="str">
        <x:v>EV-AR-ET-A-A-TECH-1-B2-BRK-G0</x:v>
      </x:c>
      <x:c r="C792" s="9" t="str">
        <x:v>EOW-AR-ET-A-A-TECH-1-B2-BRK-G0</x:v>
      </x:c>
      <x:c r="D792" s="9" t="str">
        <x:v>AR-ET-A-A-TECH-1-B2-BRK-G0</x:v>
      </x:c>
      <x:c r="E792" s="9" t="str">
        <x:v>ET-A-A-TECH-1</x:v>
      </x:c>
      <x:c r="F792" s="9" t="str">
        <x:v>ET-A-A</x:v>
      </x:c>
      <x:c r="G792" s="9" t="str">
        <x:v>B2</x:v>
      </x:c>
      <x:c r="H792" s="9" t="str">
        <x:v>BRK</x:v>
      </x:c>
      <x:c r="I792" s="9" t="n">
        <x:v>4</x:v>
      </x:c>
      <x:c r="J792" s="9" t="n">
        <x:v>2</x:v>
      </x:c>
      <x:c r="K792" s="9" t="str">
        <x:v>ET-A-A-N1</x:v>
      </x:c>
      <x:c r="L792" s="9" t="str">
        <x:v>ST06</x:v>
      </x:c>
      <x:c r="M792" s="17" t="str">
        <x:v>Public custody armed</x:v>
      </x:c>
      <x:c r="N792" s="17" t="str">
        <x:v>eight raw origins have separated hash and replica routes</x:v>
      </x:c>
      <x:c r="O792" s="17" t="str">
        <x:v>Custody authority</x:v>
      </x:c>
      <x:c r="P792" s="9" t="n">
        <x:v>0</x:v>
      </x:c>
      <x:c r="Q792" s="9" t="n">
        <x:v>0</x:v>
      </x:c>
      <x:c r="R792" s="9" t="str">
        <x:v>OPEN / UNSTARTED</x:v>
      </x:c>
      <x:c r="S792" s="9" t="n">
        <x:f>COUNTIFS($A$7:$A$1446,A792)</x:f>
        <x:v>1</x:v>
      </x:c>
    </x:row>
    <x:row r="793">
      <x:c r="A793" s="9" t="str">
        <x:v>EV-AR-ET-A-A-TECH-1-B2-BRK-G0-ST07</x:v>
      </x:c>
      <x:c r="B793" s="9" t="str">
        <x:v>EV-AR-ET-A-A-TECH-1-B2-BRK-G0</x:v>
      </x:c>
      <x:c r="C793" s="9" t="str">
        <x:v>EOW-AR-ET-A-A-TECH-1-B2-BRK-G0</x:v>
      </x:c>
      <x:c r="D793" s="9" t="str">
        <x:v>AR-ET-A-A-TECH-1-B2-BRK-G0</x:v>
      </x:c>
      <x:c r="E793" s="9" t="str">
        <x:v>ET-A-A-TECH-1</x:v>
      </x:c>
      <x:c r="F793" s="9" t="str">
        <x:v>ET-A-A</x:v>
      </x:c>
      <x:c r="G793" s="9" t="str">
        <x:v>B2</x:v>
      </x:c>
      <x:c r="H793" s="9" t="str">
        <x:v>BRK</x:v>
      </x:c>
      <x:c r="I793" s="9" t="n">
        <x:v>4</x:v>
      </x:c>
      <x:c r="J793" s="9" t="n">
        <x:v>2</x:v>
      </x:c>
      <x:c r="K793" s="9" t="str">
        <x:v>ET-A-A-N1</x:v>
      </x:c>
      <x:c r="L793" s="9" t="str">
        <x:v>ST07</x:v>
      </x:c>
      <x:c r="M793" s="17" t="str">
        <x:v>Environmental baseline</x:v>
      </x:c>
      <x:c r="N793" s="17" t="str">
        <x:v>pre-event boundary state is sealed before decisive operation</x:v>
      </x:c>
      <x:c r="O793" s="17" t="str">
        <x:v>Site metrology</x:v>
      </x:c>
      <x:c r="P793" s="9" t="n">
        <x:v>0</x:v>
      </x:c>
      <x:c r="Q793" s="9" t="n">
        <x:v>0</x:v>
      </x:c>
      <x:c r="R793" s="9" t="str">
        <x:v>OPEN / UNSTARTED</x:v>
      </x:c>
      <x:c r="S793" s="9" t="n">
        <x:f>COUNTIFS($A$7:$A$1446,A793)</x:f>
        <x:v>1</x:v>
      </x:c>
    </x:row>
    <x:row r="794">
      <x:c r="A794" s="9" t="str">
        <x:v>EV-AR-ET-A-A-TECH-1-B2-BRK-G0-ST08</x:v>
      </x:c>
      <x:c r="B794" s="9" t="str">
        <x:v>EV-AR-ET-A-A-TECH-1-B2-BRK-G0</x:v>
      </x:c>
      <x:c r="C794" s="9" t="str">
        <x:v>EOW-AR-ET-A-A-TECH-1-B2-BRK-G0</x:v>
      </x:c>
      <x:c r="D794" s="9" t="str">
        <x:v>AR-ET-A-A-TECH-1-B2-BRK-G0</x:v>
      </x:c>
      <x:c r="E794" s="9" t="str">
        <x:v>ET-A-A-TECH-1</x:v>
      </x:c>
      <x:c r="F794" s="9" t="str">
        <x:v>ET-A-A</x:v>
      </x:c>
      <x:c r="G794" s="9" t="str">
        <x:v>B2</x:v>
      </x:c>
      <x:c r="H794" s="9" t="str">
        <x:v>BRK</x:v>
      </x:c>
      <x:c r="I794" s="9" t="n">
        <x:v>4</x:v>
      </x:c>
      <x:c r="J794" s="9" t="n">
        <x:v>2</x:v>
      </x:c>
      <x:c r="K794" s="9" t="str">
        <x:v>ET-A-A-N1</x:v>
      </x:c>
      <x:c r="L794" s="9" t="str">
        <x:v>ST08</x:v>
      </x:c>
      <x:c r="M794" s="17" t="str">
        <x:v>Manual stop and safety</x:v>
      </x:c>
      <x:c r="N794" s="17" t="str">
        <x:v>local stop, evacuation and protection routes are active</x:v>
      </x:c>
      <x:c r="O794" s="17" t="str">
        <x:v>Safety authority</x:v>
      </x:c>
      <x:c r="P794" s="9" t="n">
        <x:v>0</x:v>
      </x:c>
      <x:c r="Q794" s="9" t="n">
        <x:v>0</x:v>
      </x:c>
      <x:c r="R794" s="9" t="str">
        <x:v>OPEN / UNSTARTED</x:v>
      </x:c>
      <x:c r="S794" s="9" t="n">
        <x:f>COUNTIFS($A$7:$A$1446,A794)</x:f>
        <x:v>1</x:v>
      </x:c>
    </x:row>
    <x:row r="795">
      <x:c r="A795" s="9" t="str">
        <x:v>EV-AR-ET-A-A-TECH-1-B2-BRK-G0-ST09</x:v>
      </x:c>
      <x:c r="B795" s="9" t="str">
        <x:v>EV-AR-ET-A-A-TECH-1-B2-BRK-G0</x:v>
      </x:c>
      <x:c r="C795" s="9" t="str">
        <x:v>EOW-AR-ET-A-A-TECH-1-B2-BRK-G0</x:v>
      </x:c>
      <x:c r="D795" s="9" t="str">
        <x:v>AR-ET-A-A-TECH-1-B2-BRK-G0</x:v>
      </x:c>
      <x:c r="E795" s="9" t="str">
        <x:v>ET-A-A-TECH-1</x:v>
      </x:c>
      <x:c r="F795" s="9" t="str">
        <x:v>ET-A-A</x:v>
      </x:c>
      <x:c r="G795" s="9" t="str">
        <x:v>B2</x:v>
      </x:c>
      <x:c r="H795" s="9" t="str">
        <x:v>BRK</x:v>
      </x:c>
      <x:c r="I795" s="9" t="n">
        <x:v>4</x:v>
      </x:c>
      <x:c r="J795" s="9" t="n">
        <x:v>2</x:v>
      </x:c>
      <x:c r="K795" s="9" t="str">
        <x:v>ET-A-A-N1</x:v>
      </x:c>
      <x:c r="L795" s="9" t="str">
        <x:v>ST09</x:v>
      </x:c>
      <x:c r="M795" s="17" t="str">
        <x:v>Operator conflict clear</x:v>
      </x:c>
      <x:c r="N795" s="17" t="str">
        <x:v>candidate, fixture, safety and measurement control edges remain separated</x:v>
      </x:c>
      <x:c r="O795" s="17" t="str">
        <x:v>Conflict registrar</x:v>
      </x:c>
      <x:c r="P795" s="9" t="n">
        <x:v>0</x:v>
      </x:c>
      <x:c r="Q795" s="9" t="n">
        <x:v>0</x:v>
      </x:c>
      <x:c r="R795" s="9" t="str">
        <x:v>OPEN / UNSTARTED</x:v>
      </x:c>
      <x:c r="S795" s="9" t="n">
        <x:f>COUNTIFS($A$7:$A$1446,A795)</x:f>
        <x:v>1</x:v>
      </x:c>
    </x:row>
    <x:row r="796">
      <x:c r="A796" s="9" t="str">
        <x:v>EV-AR-ET-A-A-TECH-1-B2-BRK-G0-ST10</x:v>
      </x:c>
      <x:c r="B796" s="9" t="str">
        <x:v>EV-AR-ET-A-A-TECH-1-B2-BRK-G0</x:v>
      </x:c>
      <x:c r="C796" s="9" t="str">
        <x:v>EOW-AR-ET-A-A-TECH-1-B2-BRK-G0</x:v>
      </x:c>
      <x:c r="D796" s="9" t="str">
        <x:v>AR-ET-A-A-TECH-1-B2-BRK-G0</x:v>
      </x:c>
      <x:c r="E796" s="9" t="str">
        <x:v>ET-A-A-TECH-1</x:v>
      </x:c>
      <x:c r="F796" s="9" t="str">
        <x:v>ET-A-A</x:v>
      </x:c>
      <x:c r="G796" s="9" t="str">
        <x:v>B2</x:v>
      </x:c>
      <x:c r="H796" s="9" t="str">
        <x:v>BRK</x:v>
      </x:c>
      <x:c r="I796" s="9" t="n">
        <x:v>4</x:v>
      </x:c>
      <x:c r="J796" s="9" t="n">
        <x:v>2</x:v>
      </x:c>
      <x:c r="K796" s="9" t="str">
        <x:v>ET-A-A-N1</x:v>
      </x:c>
      <x:c r="L796" s="9" t="str">
        <x:v>ST10</x:v>
      </x:c>
      <x:c r="M796" s="17" t="str">
        <x:v>Window and common clock</x:v>
      </x:c>
      <x:c r="N796" s="17" t="str">
        <x:v>epoch, window and public time origin match the issued warrant</x:v>
      </x:c>
      <x:c r="O796" s="17" t="str">
        <x:v>Event clock authority</x:v>
      </x:c>
      <x:c r="P796" s="9" t="n">
        <x:v>0</x:v>
      </x:c>
      <x:c r="Q796" s="9" t="n">
        <x:v>0</x:v>
      </x:c>
      <x:c r="R796" s="9" t="str">
        <x:v>OPEN / UNSTARTED</x:v>
      </x:c>
      <x:c r="S796" s="9" t="n">
        <x:f>COUNTIFS($A$7:$A$1446,A796)</x:f>
        <x:v>1</x:v>
      </x:c>
    </x:row>
    <x:row r="797">
      <x:c r="A797" s="9" t="str">
        <x:v>EV-AR-HC-A-C-TECH-3-B2-RCN-G0-ST01</x:v>
      </x:c>
      <x:c r="B797" s="9" t="str">
        <x:v>EV-AR-HC-A-C-TECH-3-B2-RCN-G0</x:v>
      </x:c>
      <x:c r="C797" s="9" t="str">
        <x:v>EOW-AR-HC-A-C-TECH-3-B2-RCN-G0</x:v>
      </x:c>
      <x:c r="D797" s="9" t="str">
        <x:v>AR-HC-A-C-TECH-3-B2-RCN-G0</x:v>
      </x:c>
      <x:c r="E797" s="9" t="str">
        <x:v>HC-A-C-TECH-3</x:v>
      </x:c>
      <x:c r="F797" s="9" t="str">
        <x:v>HC-A-C</x:v>
      </x:c>
      <x:c r="G797" s="9" t="str">
        <x:v>B2</x:v>
      </x:c>
      <x:c r="H797" s="9" t="str">
        <x:v>RCN</x:v>
      </x:c>
      <x:c r="I797" s="9" t="n">
        <x:v>4</x:v>
      </x:c>
      <x:c r="J797" s="9" t="n">
        <x:v>2</x:v>
      </x:c>
      <x:c r="K797" s="9" t="str">
        <x:v>HC-A-C-N1</x:v>
      </x:c>
      <x:c r="L797" s="9" t="str">
        <x:v>ST01</x:v>
      </x:c>
      <x:c r="M797" s="17" t="str">
        <x:v>Active opportunity warrant</x:v>
      </x:c>
      <x:c r="N797" s="17" t="str">
        <x:v>configuration-bound EOW is within its thirty-six-hour validity</x:v>
      </x:c>
      <x:c r="O797" s="17" t="str">
        <x:v>Start registrar</x:v>
      </x:c>
      <x:c r="P797" s="9" t="n">
        <x:v>0</x:v>
      </x:c>
      <x:c r="Q797" s="9" t="n">
        <x:v>0</x:v>
      </x:c>
      <x:c r="R797" s="9" t="str">
        <x:v>OPEN / UNSTARTED</x:v>
      </x:c>
      <x:c r="S797" s="9" t="n">
        <x:f>COUNTIFS($A$7:$A$1446,A797)</x:f>
        <x:v>1</x:v>
      </x:c>
    </x:row>
    <x:row r="798">
      <x:c r="A798" s="9" t="str">
        <x:v>EV-AR-HC-A-C-TECH-3-B2-RCN-G0-ST02</x:v>
      </x:c>
      <x:c r="B798" s="9" t="str">
        <x:v>EV-AR-HC-A-C-TECH-3-B2-RCN-G0</x:v>
      </x:c>
      <x:c r="C798" s="9" t="str">
        <x:v>EOW-AR-HC-A-C-TECH-3-B2-RCN-G0</x:v>
      </x:c>
      <x:c r="D798" s="9" t="str">
        <x:v>AR-HC-A-C-TECH-3-B2-RCN-G0</x:v>
      </x:c>
      <x:c r="E798" s="9" t="str">
        <x:v>HC-A-C-TECH-3</x:v>
      </x:c>
      <x:c r="F798" s="9" t="str">
        <x:v>HC-A-C</x:v>
      </x:c>
      <x:c r="G798" s="9" t="str">
        <x:v>B2</x:v>
      </x:c>
      <x:c r="H798" s="9" t="str">
        <x:v>RCN</x:v>
      </x:c>
      <x:c r="I798" s="9" t="n">
        <x:v>4</x:v>
      </x:c>
      <x:c r="J798" s="9" t="n">
        <x:v>2</x:v>
      </x:c>
      <x:c r="K798" s="9" t="str">
        <x:v>HC-A-C-N1</x:v>
      </x:c>
      <x:c r="L798" s="9" t="str">
        <x:v>ST02</x:v>
      </x:c>
      <x:c r="M798" s="17" t="str">
        <x:v>Frozen identity</x:v>
      </x:c>
      <x:c r="N798" s="17" t="str">
        <x:v>serial, generation, fixture, site, receiver and digest match the warrant</x:v>
      </x:c>
      <x:c r="O798" s="17" t="str">
        <x:v>Custody authority</x:v>
      </x:c>
      <x:c r="P798" s="9" t="n">
        <x:v>0</x:v>
      </x:c>
      <x:c r="Q798" s="9" t="n">
        <x:v>0</x:v>
      </x:c>
      <x:c r="R798" s="9" t="str">
        <x:v>OPEN / UNSTARTED</x:v>
      </x:c>
      <x:c r="S798" s="9" t="n">
        <x:f>COUNTIFS($A$7:$A$1446,A798)</x:f>
        <x:v>1</x:v>
      </x:c>
    </x:row>
    <x:row r="799">
      <x:c r="A799" s="9" t="str">
        <x:v>EV-AR-HC-A-C-TECH-3-B2-RCN-G0-ST03</x:v>
      </x:c>
      <x:c r="B799" s="9" t="str">
        <x:v>EV-AR-HC-A-C-TECH-3-B2-RCN-G0</x:v>
      </x:c>
      <x:c r="C799" s="9" t="str">
        <x:v>EOW-AR-HC-A-C-TECH-3-B2-RCN-G0</x:v>
      </x:c>
      <x:c r="D799" s="9" t="str">
        <x:v>AR-HC-A-C-TECH-3-B2-RCN-G0</x:v>
      </x:c>
      <x:c r="E799" s="9" t="str">
        <x:v>HC-A-C-TECH-3</x:v>
      </x:c>
      <x:c r="F799" s="9" t="str">
        <x:v>HC-A-C</x:v>
      </x:c>
      <x:c r="G799" s="9" t="str">
        <x:v>B2</x:v>
      </x:c>
      <x:c r="H799" s="9" t="str">
        <x:v>RCN</x:v>
      </x:c>
      <x:c r="I799" s="9" t="n">
        <x:v>4</x:v>
      </x:c>
      <x:c r="J799" s="9" t="n">
        <x:v>2</x:v>
      </x:c>
      <x:c r="K799" s="9" t="str">
        <x:v>HC-A-C-N1</x:v>
      </x:c>
      <x:c r="L799" s="9" t="str">
        <x:v>ST03</x:v>
      </x:c>
      <x:c r="M799" s="17" t="str">
        <x:v>Receiver receipt</x:v>
      </x:c>
      <x:c r="N799" s="17" t="str">
        <x:v>denominator, counterfactual, rights and stop receipt remain unchanged</x:v>
      </x:c>
      <x:c r="O799" s="17" t="str">
        <x:v>Receiver authority</x:v>
      </x:c>
      <x:c r="P799" s="9" t="n">
        <x:v>0</x:v>
      </x:c>
      <x:c r="Q799" s="9" t="n">
        <x:v>0</x:v>
      </x:c>
      <x:c r="R799" s="9" t="str">
        <x:v>OPEN / UNSTARTED</x:v>
      </x:c>
      <x:c r="S799" s="9" t="n">
        <x:f>COUNTIFS($A$7:$A$1446,A799)</x:f>
        <x:v>1</x:v>
      </x:c>
    </x:row>
    <x:row r="800">
      <x:c r="A800" s="9" t="str">
        <x:v>EV-AR-HC-A-C-TECH-3-B2-RCN-G0-ST04</x:v>
      </x:c>
      <x:c r="B800" s="9" t="str">
        <x:v>EV-AR-HC-A-C-TECH-3-B2-RCN-G0</x:v>
      </x:c>
      <x:c r="C800" s="9" t="str">
        <x:v>EOW-AR-HC-A-C-TECH-3-B2-RCN-G0</x:v>
      </x:c>
      <x:c r="D800" s="9" t="str">
        <x:v>AR-HC-A-C-TECH-3-B2-RCN-G0</x:v>
      </x:c>
      <x:c r="E800" s="9" t="str">
        <x:v>HC-A-C-TECH-3</x:v>
      </x:c>
      <x:c r="F800" s="9" t="str">
        <x:v>HC-A-C</x:v>
      </x:c>
      <x:c r="G800" s="9" t="str">
        <x:v>B2</x:v>
      </x:c>
      <x:c r="H800" s="9" t="str">
        <x:v>RCN</x:v>
      </x:c>
      <x:c r="I800" s="9" t="n">
        <x:v>4</x:v>
      </x:c>
      <x:c r="J800" s="9" t="n">
        <x:v>2</x:v>
      </x:c>
      <x:c r="K800" s="9" t="str">
        <x:v>HC-A-C-N1</x:v>
      </x:c>
      <x:c r="L800" s="9" t="str">
        <x:v>ST04</x:v>
      </x:c>
      <x:c r="M800" s="17" t="str">
        <x:v>Primary capture armed</x:v>
      </x:c>
      <x:c r="N800" s="17" t="str">
        <x:v>primary chain records sealed reference and live time</x:v>
      </x:c>
      <x:c r="O800" s="17" t="str">
        <x:v>Primary metrology</x:v>
      </x:c>
      <x:c r="P800" s="9" t="n">
        <x:v>0</x:v>
      </x:c>
      <x:c r="Q800" s="9" t="n">
        <x:v>0</x:v>
      </x:c>
      <x:c r="R800" s="9" t="str">
        <x:v>OPEN / UNSTARTED</x:v>
      </x:c>
      <x:c r="S800" s="9" t="n">
        <x:f>COUNTIFS($A$7:$A$1446,A800)</x:f>
        <x:v>1</x:v>
      </x:c>
    </x:row>
    <x:row r="801">
      <x:c r="A801" s="9" t="str">
        <x:v>EV-AR-HC-A-C-TECH-3-B2-RCN-G0-ST05</x:v>
      </x:c>
      <x:c r="B801" s="9" t="str">
        <x:v>EV-AR-HC-A-C-TECH-3-B2-RCN-G0</x:v>
      </x:c>
      <x:c r="C801" s="9" t="str">
        <x:v>EOW-AR-HC-A-C-TECH-3-B2-RCN-G0</x:v>
      </x:c>
      <x:c r="D801" s="9" t="str">
        <x:v>AR-HC-A-C-TECH-3-B2-RCN-G0</x:v>
      </x:c>
      <x:c r="E801" s="9" t="str">
        <x:v>HC-A-C-TECH-3</x:v>
      </x:c>
      <x:c r="F801" s="9" t="str">
        <x:v>HC-A-C</x:v>
      </x:c>
      <x:c r="G801" s="9" t="str">
        <x:v>B2</x:v>
      </x:c>
      <x:c r="H801" s="9" t="str">
        <x:v>RCN</x:v>
      </x:c>
      <x:c r="I801" s="9" t="n">
        <x:v>4</x:v>
      </x:c>
      <x:c r="J801" s="9" t="n">
        <x:v>2</x:v>
      </x:c>
      <x:c r="K801" s="9" t="str">
        <x:v>HC-A-C-N1</x:v>
      </x:c>
      <x:c r="L801" s="9" t="str">
        <x:v>ST05</x:v>
      </x:c>
      <x:c r="M801" s="17" t="str">
        <x:v>Witness capture armed</x:v>
      </x:c>
      <x:c r="N801" s="17" t="str">
        <x:v>unlike witness records independent reference and live time</x:v>
      </x:c>
      <x:c r="O801" s="17" t="str">
        <x:v>Witness metrology</x:v>
      </x:c>
      <x:c r="P801" s="9" t="n">
        <x:v>0</x:v>
      </x:c>
      <x:c r="Q801" s="9" t="n">
        <x:v>0</x:v>
      </x:c>
      <x:c r="R801" s="9" t="str">
        <x:v>OPEN / UNSTARTED</x:v>
      </x:c>
      <x:c r="S801" s="9" t="n">
        <x:f>COUNTIFS($A$7:$A$1446,A801)</x:f>
        <x:v>1</x:v>
      </x:c>
    </x:row>
    <x:row r="802">
      <x:c r="A802" s="9" t="str">
        <x:v>EV-AR-HC-A-C-TECH-3-B2-RCN-G0-ST06</x:v>
      </x:c>
      <x:c r="B802" s="9" t="str">
        <x:v>EV-AR-HC-A-C-TECH-3-B2-RCN-G0</x:v>
      </x:c>
      <x:c r="C802" s="9" t="str">
        <x:v>EOW-AR-HC-A-C-TECH-3-B2-RCN-G0</x:v>
      </x:c>
      <x:c r="D802" s="9" t="str">
        <x:v>AR-HC-A-C-TECH-3-B2-RCN-G0</x:v>
      </x:c>
      <x:c r="E802" s="9" t="str">
        <x:v>HC-A-C-TECH-3</x:v>
      </x:c>
      <x:c r="F802" s="9" t="str">
        <x:v>HC-A-C</x:v>
      </x:c>
      <x:c r="G802" s="9" t="str">
        <x:v>B2</x:v>
      </x:c>
      <x:c r="H802" s="9" t="str">
        <x:v>RCN</x:v>
      </x:c>
      <x:c r="I802" s="9" t="n">
        <x:v>4</x:v>
      </x:c>
      <x:c r="J802" s="9" t="n">
        <x:v>2</x:v>
      </x:c>
      <x:c r="K802" s="9" t="str">
        <x:v>HC-A-C-N1</x:v>
      </x:c>
      <x:c r="L802" s="9" t="str">
        <x:v>ST06</x:v>
      </x:c>
      <x:c r="M802" s="17" t="str">
        <x:v>Public custody armed</x:v>
      </x:c>
      <x:c r="N802" s="17" t="str">
        <x:v>eight raw origins have separated hash and replica routes</x:v>
      </x:c>
      <x:c r="O802" s="17" t="str">
        <x:v>Custody authority</x:v>
      </x:c>
      <x:c r="P802" s="9" t="n">
        <x:v>0</x:v>
      </x:c>
      <x:c r="Q802" s="9" t="n">
        <x:v>0</x:v>
      </x:c>
      <x:c r="R802" s="9" t="str">
        <x:v>OPEN / UNSTARTED</x:v>
      </x:c>
      <x:c r="S802" s="9" t="n">
        <x:f>COUNTIFS($A$7:$A$1446,A802)</x:f>
        <x:v>1</x:v>
      </x:c>
    </x:row>
    <x:row r="803">
      <x:c r="A803" s="9" t="str">
        <x:v>EV-AR-HC-A-C-TECH-3-B2-RCN-G0-ST07</x:v>
      </x:c>
      <x:c r="B803" s="9" t="str">
        <x:v>EV-AR-HC-A-C-TECH-3-B2-RCN-G0</x:v>
      </x:c>
      <x:c r="C803" s="9" t="str">
        <x:v>EOW-AR-HC-A-C-TECH-3-B2-RCN-G0</x:v>
      </x:c>
      <x:c r="D803" s="9" t="str">
        <x:v>AR-HC-A-C-TECH-3-B2-RCN-G0</x:v>
      </x:c>
      <x:c r="E803" s="9" t="str">
        <x:v>HC-A-C-TECH-3</x:v>
      </x:c>
      <x:c r="F803" s="9" t="str">
        <x:v>HC-A-C</x:v>
      </x:c>
      <x:c r="G803" s="9" t="str">
        <x:v>B2</x:v>
      </x:c>
      <x:c r="H803" s="9" t="str">
        <x:v>RCN</x:v>
      </x:c>
      <x:c r="I803" s="9" t="n">
        <x:v>4</x:v>
      </x:c>
      <x:c r="J803" s="9" t="n">
        <x:v>2</x:v>
      </x:c>
      <x:c r="K803" s="9" t="str">
        <x:v>HC-A-C-N1</x:v>
      </x:c>
      <x:c r="L803" s="9" t="str">
        <x:v>ST07</x:v>
      </x:c>
      <x:c r="M803" s="17" t="str">
        <x:v>Environmental baseline</x:v>
      </x:c>
      <x:c r="N803" s="17" t="str">
        <x:v>pre-event boundary state is sealed before decisive operation</x:v>
      </x:c>
      <x:c r="O803" s="17" t="str">
        <x:v>Site metrology</x:v>
      </x:c>
      <x:c r="P803" s="9" t="n">
        <x:v>0</x:v>
      </x:c>
      <x:c r="Q803" s="9" t="n">
        <x:v>0</x:v>
      </x:c>
      <x:c r="R803" s="9" t="str">
        <x:v>OPEN / UNSTARTED</x:v>
      </x:c>
      <x:c r="S803" s="9" t="n">
        <x:f>COUNTIFS($A$7:$A$1446,A803)</x:f>
        <x:v>1</x:v>
      </x:c>
    </x:row>
    <x:row r="804">
      <x:c r="A804" s="9" t="str">
        <x:v>EV-AR-HC-A-C-TECH-3-B2-RCN-G0-ST08</x:v>
      </x:c>
      <x:c r="B804" s="9" t="str">
        <x:v>EV-AR-HC-A-C-TECH-3-B2-RCN-G0</x:v>
      </x:c>
      <x:c r="C804" s="9" t="str">
        <x:v>EOW-AR-HC-A-C-TECH-3-B2-RCN-G0</x:v>
      </x:c>
      <x:c r="D804" s="9" t="str">
        <x:v>AR-HC-A-C-TECH-3-B2-RCN-G0</x:v>
      </x:c>
      <x:c r="E804" s="9" t="str">
        <x:v>HC-A-C-TECH-3</x:v>
      </x:c>
      <x:c r="F804" s="9" t="str">
        <x:v>HC-A-C</x:v>
      </x:c>
      <x:c r="G804" s="9" t="str">
        <x:v>B2</x:v>
      </x:c>
      <x:c r="H804" s="9" t="str">
        <x:v>RCN</x:v>
      </x:c>
      <x:c r="I804" s="9" t="n">
        <x:v>4</x:v>
      </x:c>
      <x:c r="J804" s="9" t="n">
        <x:v>2</x:v>
      </x:c>
      <x:c r="K804" s="9" t="str">
        <x:v>HC-A-C-N1</x:v>
      </x:c>
      <x:c r="L804" s="9" t="str">
        <x:v>ST08</x:v>
      </x:c>
      <x:c r="M804" s="17" t="str">
        <x:v>Manual stop and safety</x:v>
      </x:c>
      <x:c r="N804" s="17" t="str">
        <x:v>local stop, evacuation and protection routes are active</x:v>
      </x:c>
      <x:c r="O804" s="17" t="str">
        <x:v>Safety authority</x:v>
      </x:c>
      <x:c r="P804" s="9" t="n">
        <x:v>0</x:v>
      </x:c>
      <x:c r="Q804" s="9" t="n">
        <x:v>0</x:v>
      </x:c>
      <x:c r="R804" s="9" t="str">
        <x:v>OPEN / UNSTARTED</x:v>
      </x:c>
      <x:c r="S804" s="9" t="n">
        <x:f>COUNTIFS($A$7:$A$1446,A804)</x:f>
        <x:v>1</x:v>
      </x:c>
    </x:row>
    <x:row r="805">
      <x:c r="A805" s="9" t="str">
        <x:v>EV-AR-HC-A-C-TECH-3-B2-RCN-G0-ST09</x:v>
      </x:c>
      <x:c r="B805" s="9" t="str">
        <x:v>EV-AR-HC-A-C-TECH-3-B2-RCN-G0</x:v>
      </x:c>
      <x:c r="C805" s="9" t="str">
        <x:v>EOW-AR-HC-A-C-TECH-3-B2-RCN-G0</x:v>
      </x:c>
      <x:c r="D805" s="9" t="str">
        <x:v>AR-HC-A-C-TECH-3-B2-RCN-G0</x:v>
      </x:c>
      <x:c r="E805" s="9" t="str">
        <x:v>HC-A-C-TECH-3</x:v>
      </x:c>
      <x:c r="F805" s="9" t="str">
        <x:v>HC-A-C</x:v>
      </x:c>
      <x:c r="G805" s="9" t="str">
        <x:v>B2</x:v>
      </x:c>
      <x:c r="H805" s="9" t="str">
        <x:v>RCN</x:v>
      </x:c>
      <x:c r="I805" s="9" t="n">
        <x:v>4</x:v>
      </x:c>
      <x:c r="J805" s="9" t="n">
        <x:v>2</x:v>
      </x:c>
      <x:c r="K805" s="9" t="str">
        <x:v>HC-A-C-N1</x:v>
      </x:c>
      <x:c r="L805" s="9" t="str">
        <x:v>ST09</x:v>
      </x:c>
      <x:c r="M805" s="17" t="str">
        <x:v>Operator conflict clear</x:v>
      </x:c>
      <x:c r="N805" s="17" t="str">
        <x:v>candidate, fixture, safety and measurement control edges remain separated</x:v>
      </x:c>
      <x:c r="O805" s="17" t="str">
        <x:v>Conflict registrar</x:v>
      </x:c>
      <x:c r="P805" s="9" t="n">
        <x:v>0</x:v>
      </x:c>
      <x:c r="Q805" s="9" t="n">
        <x:v>0</x:v>
      </x:c>
      <x:c r="R805" s="9" t="str">
        <x:v>OPEN / UNSTARTED</x:v>
      </x:c>
      <x:c r="S805" s="9" t="n">
        <x:f>COUNTIFS($A$7:$A$1446,A805)</x:f>
        <x:v>1</x:v>
      </x:c>
    </x:row>
    <x:row r="806">
      <x:c r="A806" s="9" t="str">
        <x:v>EV-AR-HC-A-C-TECH-3-B2-RCN-G0-ST10</x:v>
      </x:c>
      <x:c r="B806" s="9" t="str">
        <x:v>EV-AR-HC-A-C-TECH-3-B2-RCN-G0</x:v>
      </x:c>
      <x:c r="C806" s="9" t="str">
        <x:v>EOW-AR-HC-A-C-TECH-3-B2-RCN-G0</x:v>
      </x:c>
      <x:c r="D806" s="9" t="str">
        <x:v>AR-HC-A-C-TECH-3-B2-RCN-G0</x:v>
      </x:c>
      <x:c r="E806" s="9" t="str">
        <x:v>HC-A-C-TECH-3</x:v>
      </x:c>
      <x:c r="F806" s="9" t="str">
        <x:v>HC-A-C</x:v>
      </x:c>
      <x:c r="G806" s="9" t="str">
        <x:v>B2</x:v>
      </x:c>
      <x:c r="H806" s="9" t="str">
        <x:v>RCN</x:v>
      </x:c>
      <x:c r="I806" s="9" t="n">
        <x:v>4</x:v>
      </x:c>
      <x:c r="J806" s="9" t="n">
        <x:v>2</x:v>
      </x:c>
      <x:c r="K806" s="9" t="str">
        <x:v>HC-A-C-N1</x:v>
      </x:c>
      <x:c r="L806" s="9" t="str">
        <x:v>ST10</x:v>
      </x:c>
      <x:c r="M806" s="17" t="str">
        <x:v>Window and common clock</x:v>
      </x:c>
      <x:c r="N806" s="17" t="str">
        <x:v>epoch, window and public time origin match the issued warrant</x:v>
      </x:c>
      <x:c r="O806" s="17" t="str">
        <x:v>Event clock authority</x:v>
      </x:c>
      <x:c r="P806" s="9" t="n">
        <x:v>0</x:v>
      </x:c>
      <x:c r="Q806" s="9" t="n">
        <x:v>0</x:v>
      </x:c>
      <x:c r="R806" s="9" t="str">
        <x:v>OPEN / UNSTARTED</x:v>
      </x:c>
      <x:c r="S806" s="9" t="n">
        <x:f>COUNTIFS($A$7:$A$1446,A806)</x:f>
        <x:v>1</x:v>
      </x:c>
    </x:row>
    <x:row r="807">
      <x:c r="A807" s="9" t="str">
        <x:v>EV-AR-HC-A-C-TECH-1-B2-INT-G0-ST01</x:v>
      </x:c>
      <x:c r="B807" s="9" t="str">
        <x:v>EV-AR-HC-A-C-TECH-1-B2-INT-G0</x:v>
      </x:c>
      <x:c r="C807" s="9" t="str">
        <x:v>EOW-AR-HC-A-C-TECH-1-B2-INT-G0</x:v>
      </x:c>
      <x:c r="D807" s="9" t="str">
        <x:v>AR-HC-A-C-TECH-1-B2-INT-G0</x:v>
      </x:c>
      <x:c r="E807" s="9" t="str">
        <x:v>HC-A-C-TECH-1</x:v>
      </x:c>
      <x:c r="F807" s="9" t="str">
        <x:v>HC-A-C</x:v>
      </x:c>
      <x:c r="G807" s="9" t="str">
        <x:v>B2</x:v>
      </x:c>
      <x:c r="H807" s="9" t="str">
        <x:v>INT</x:v>
      </x:c>
      <x:c r="I807" s="9" t="n">
        <x:v>4</x:v>
      </x:c>
      <x:c r="J807" s="9" t="n">
        <x:v>2</x:v>
      </x:c>
      <x:c r="K807" s="9" t="str">
        <x:v>HC-A-C-N2</x:v>
      </x:c>
      <x:c r="L807" s="9" t="str">
        <x:v>ST01</x:v>
      </x:c>
      <x:c r="M807" s="17" t="str">
        <x:v>Active opportunity warrant</x:v>
      </x:c>
      <x:c r="N807" s="17" t="str">
        <x:v>configuration-bound EOW is within its thirty-six-hour validity</x:v>
      </x:c>
      <x:c r="O807" s="17" t="str">
        <x:v>Start registrar</x:v>
      </x:c>
      <x:c r="P807" s="9" t="n">
        <x:v>0</x:v>
      </x:c>
      <x:c r="Q807" s="9" t="n">
        <x:v>0</x:v>
      </x:c>
      <x:c r="R807" s="9" t="str">
        <x:v>OPEN / UNSTARTED</x:v>
      </x:c>
      <x:c r="S807" s="9" t="n">
        <x:f>COUNTIFS($A$7:$A$1446,A807)</x:f>
        <x:v>1</x:v>
      </x:c>
    </x:row>
    <x:row r="808">
      <x:c r="A808" s="9" t="str">
        <x:v>EV-AR-HC-A-C-TECH-1-B2-INT-G0-ST02</x:v>
      </x:c>
      <x:c r="B808" s="9" t="str">
        <x:v>EV-AR-HC-A-C-TECH-1-B2-INT-G0</x:v>
      </x:c>
      <x:c r="C808" s="9" t="str">
        <x:v>EOW-AR-HC-A-C-TECH-1-B2-INT-G0</x:v>
      </x:c>
      <x:c r="D808" s="9" t="str">
        <x:v>AR-HC-A-C-TECH-1-B2-INT-G0</x:v>
      </x:c>
      <x:c r="E808" s="9" t="str">
        <x:v>HC-A-C-TECH-1</x:v>
      </x:c>
      <x:c r="F808" s="9" t="str">
        <x:v>HC-A-C</x:v>
      </x:c>
      <x:c r="G808" s="9" t="str">
        <x:v>B2</x:v>
      </x:c>
      <x:c r="H808" s="9" t="str">
        <x:v>INT</x:v>
      </x:c>
      <x:c r="I808" s="9" t="n">
        <x:v>4</x:v>
      </x:c>
      <x:c r="J808" s="9" t="n">
        <x:v>2</x:v>
      </x:c>
      <x:c r="K808" s="9" t="str">
        <x:v>HC-A-C-N2</x:v>
      </x:c>
      <x:c r="L808" s="9" t="str">
        <x:v>ST02</x:v>
      </x:c>
      <x:c r="M808" s="17" t="str">
        <x:v>Frozen identity</x:v>
      </x:c>
      <x:c r="N808" s="17" t="str">
        <x:v>serial, generation, fixture, site, receiver and digest match the warrant</x:v>
      </x:c>
      <x:c r="O808" s="17" t="str">
        <x:v>Custody authority</x:v>
      </x:c>
      <x:c r="P808" s="9" t="n">
        <x:v>0</x:v>
      </x:c>
      <x:c r="Q808" s="9" t="n">
        <x:v>0</x:v>
      </x:c>
      <x:c r="R808" s="9" t="str">
        <x:v>OPEN / UNSTARTED</x:v>
      </x:c>
      <x:c r="S808" s="9" t="n">
        <x:f>COUNTIFS($A$7:$A$1446,A808)</x:f>
        <x:v>1</x:v>
      </x:c>
    </x:row>
    <x:row r="809">
      <x:c r="A809" s="9" t="str">
        <x:v>EV-AR-HC-A-C-TECH-1-B2-INT-G0-ST03</x:v>
      </x:c>
      <x:c r="B809" s="9" t="str">
        <x:v>EV-AR-HC-A-C-TECH-1-B2-INT-G0</x:v>
      </x:c>
      <x:c r="C809" s="9" t="str">
        <x:v>EOW-AR-HC-A-C-TECH-1-B2-INT-G0</x:v>
      </x:c>
      <x:c r="D809" s="9" t="str">
        <x:v>AR-HC-A-C-TECH-1-B2-INT-G0</x:v>
      </x:c>
      <x:c r="E809" s="9" t="str">
        <x:v>HC-A-C-TECH-1</x:v>
      </x:c>
      <x:c r="F809" s="9" t="str">
        <x:v>HC-A-C</x:v>
      </x:c>
      <x:c r="G809" s="9" t="str">
        <x:v>B2</x:v>
      </x:c>
      <x:c r="H809" s="9" t="str">
        <x:v>INT</x:v>
      </x:c>
      <x:c r="I809" s="9" t="n">
        <x:v>4</x:v>
      </x:c>
      <x:c r="J809" s="9" t="n">
        <x:v>2</x:v>
      </x:c>
      <x:c r="K809" s="9" t="str">
        <x:v>HC-A-C-N2</x:v>
      </x:c>
      <x:c r="L809" s="9" t="str">
        <x:v>ST03</x:v>
      </x:c>
      <x:c r="M809" s="17" t="str">
        <x:v>Receiver receipt</x:v>
      </x:c>
      <x:c r="N809" s="17" t="str">
        <x:v>denominator, counterfactual, rights and stop receipt remain unchanged</x:v>
      </x:c>
      <x:c r="O809" s="17" t="str">
        <x:v>Receiver authority</x:v>
      </x:c>
      <x:c r="P809" s="9" t="n">
        <x:v>0</x:v>
      </x:c>
      <x:c r="Q809" s="9" t="n">
        <x:v>0</x:v>
      </x:c>
      <x:c r="R809" s="9" t="str">
        <x:v>OPEN / UNSTARTED</x:v>
      </x:c>
      <x:c r="S809" s="9" t="n">
        <x:f>COUNTIFS($A$7:$A$1446,A809)</x:f>
        <x:v>1</x:v>
      </x:c>
    </x:row>
    <x:row r="810">
      <x:c r="A810" s="9" t="str">
        <x:v>EV-AR-HC-A-C-TECH-1-B2-INT-G0-ST04</x:v>
      </x:c>
      <x:c r="B810" s="9" t="str">
        <x:v>EV-AR-HC-A-C-TECH-1-B2-INT-G0</x:v>
      </x:c>
      <x:c r="C810" s="9" t="str">
        <x:v>EOW-AR-HC-A-C-TECH-1-B2-INT-G0</x:v>
      </x:c>
      <x:c r="D810" s="9" t="str">
        <x:v>AR-HC-A-C-TECH-1-B2-INT-G0</x:v>
      </x:c>
      <x:c r="E810" s="9" t="str">
        <x:v>HC-A-C-TECH-1</x:v>
      </x:c>
      <x:c r="F810" s="9" t="str">
        <x:v>HC-A-C</x:v>
      </x:c>
      <x:c r="G810" s="9" t="str">
        <x:v>B2</x:v>
      </x:c>
      <x:c r="H810" s="9" t="str">
        <x:v>INT</x:v>
      </x:c>
      <x:c r="I810" s="9" t="n">
        <x:v>4</x:v>
      </x:c>
      <x:c r="J810" s="9" t="n">
        <x:v>2</x:v>
      </x:c>
      <x:c r="K810" s="9" t="str">
        <x:v>HC-A-C-N2</x:v>
      </x:c>
      <x:c r="L810" s="9" t="str">
        <x:v>ST04</x:v>
      </x:c>
      <x:c r="M810" s="17" t="str">
        <x:v>Primary capture armed</x:v>
      </x:c>
      <x:c r="N810" s="17" t="str">
        <x:v>primary chain records sealed reference and live time</x:v>
      </x:c>
      <x:c r="O810" s="17" t="str">
        <x:v>Primary metrology</x:v>
      </x:c>
      <x:c r="P810" s="9" t="n">
        <x:v>0</x:v>
      </x:c>
      <x:c r="Q810" s="9" t="n">
        <x:v>0</x:v>
      </x:c>
      <x:c r="R810" s="9" t="str">
        <x:v>OPEN / UNSTARTED</x:v>
      </x:c>
      <x:c r="S810" s="9" t="n">
        <x:f>COUNTIFS($A$7:$A$1446,A810)</x:f>
        <x:v>1</x:v>
      </x:c>
    </x:row>
    <x:row r="811">
      <x:c r="A811" s="9" t="str">
        <x:v>EV-AR-HC-A-C-TECH-1-B2-INT-G0-ST05</x:v>
      </x:c>
      <x:c r="B811" s="9" t="str">
        <x:v>EV-AR-HC-A-C-TECH-1-B2-INT-G0</x:v>
      </x:c>
      <x:c r="C811" s="9" t="str">
        <x:v>EOW-AR-HC-A-C-TECH-1-B2-INT-G0</x:v>
      </x:c>
      <x:c r="D811" s="9" t="str">
        <x:v>AR-HC-A-C-TECH-1-B2-INT-G0</x:v>
      </x:c>
      <x:c r="E811" s="9" t="str">
        <x:v>HC-A-C-TECH-1</x:v>
      </x:c>
      <x:c r="F811" s="9" t="str">
        <x:v>HC-A-C</x:v>
      </x:c>
      <x:c r="G811" s="9" t="str">
        <x:v>B2</x:v>
      </x:c>
      <x:c r="H811" s="9" t="str">
        <x:v>INT</x:v>
      </x:c>
      <x:c r="I811" s="9" t="n">
        <x:v>4</x:v>
      </x:c>
      <x:c r="J811" s="9" t="n">
        <x:v>2</x:v>
      </x:c>
      <x:c r="K811" s="9" t="str">
        <x:v>HC-A-C-N2</x:v>
      </x:c>
      <x:c r="L811" s="9" t="str">
        <x:v>ST05</x:v>
      </x:c>
      <x:c r="M811" s="17" t="str">
        <x:v>Witness capture armed</x:v>
      </x:c>
      <x:c r="N811" s="17" t="str">
        <x:v>unlike witness records independent reference and live time</x:v>
      </x:c>
      <x:c r="O811" s="17" t="str">
        <x:v>Witness metrology</x:v>
      </x:c>
      <x:c r="P811" s="9" t="n">
        <x:v>0</x:v>
      </x:c>
      <x:c r="Q811" s="9" t="n">
        <x:v>0</x:v>
      </x:c>
      <x:c r="R811" s="9" t="str">
        <x:v>OPEN / UNSTARTED</x:v>
      </x:c>
      <x:c r="S811" s="9" t="n">
        <x:f>COUNTIFS($A$7:$A$1446,A811)</x:f>
        <x:v>1</x:v>
      </x:c>
    </x:row>
    <x:row r="812">
      <x:c r="A812" s="9" t="str">
        <x:v>EV-AR-HC-A-C-TECH-1-B2-INT-G0-ST06</x:v>
      </x:c>
      <x:c r="B812" s="9" t="str">
        <x:v>EV-AR-HC-A-C-TECH-1-B2-INT-G0</x:v>
      </x:c>
      <x:c r="C812" s="9" t="str">
        <x:v>EOW-AR-HC-A-C-TECH-1-B2-INT-G0</x:v>
      </x:c>
      <x:c r="D812" s="9" t="str">
        <x:v>AR-HC-A-C-TECH-1-B2-INT-G0</x:v>
      </x:c>
      <x:c r="E812" s="9" t="str">
        <x:v>HC-A-C-TECH-1</x:v>
      </x:c>
      <x:c r="F812" s="9" t="str">
        <x:v>HC-A-C</x:v>
      </x:c>
      <x:c r="G812" s="9" t="str">
        <x:v>B2</x:v>
      </x:c>
      <x:c r="H812" s="9" t="str">
        <x:v>INT</x:v>
      </x:c>
      <x:c r="I812" s="9" t="n">
        <x:v>4</x:v>
      </x:c>
      <x:c r="J812" s="9" t="n">
        <x:v>2</x:v>
      </x:c>
      <x:c r="K812" s="9" t="str">
        <x:v>HC-A-C-N2</x:v>
      </x:c>
      <x:c r="L812" s="9" t="str">
        <x:v>ST06</x:v>
      </x:c>
      <x:c r="M812" s="17" t="str">
        <x:v>Public custody armed</x:v>
      </x:c>
      <x:c r="N812" s="17" t="str">
        <x:v>eight raw origins have separated hash and replica routes</x:v>
      </x:c>
      <x:c r="O812" s="17" t="str">
        <x:v>Custody authority</x:v>
      </x:c>
      <x:c r="P812" s="9" t="n">
        <x:v>0</x:v>
      </x:c>
      <x:c r="Q812" s="9" t="n">
        <x:v>0</x:v>
      </x:c>
      <x:c r="R812" s="9" t="str">
        <x:v>OPEN / UNSTARTED</x:v>
      </x:c>
      <x:c r="S812" s="9" t="n">
        <x:f>COUNTIFS($A$7:$A$1446,A812)</x:f>
        <x:v>1</x:v>
      </x:c>
    </x:row>
    <x:row r="813">
      <x:c r="A813" s="9" t="str">
        <x:v>EV-AR-HC-A-C-TECH-1-B2-INT-G0-ST07</x:v>
      </x:c>
      <x:c r="B813" s="9" t="str">
        <x:v>EV-AR-HC-A-C-TECH-1-B2-INT-G0</x:v>
      </x:c>
      <x:c r="C813" s="9" t="str">
        <x:v>EOW-AR-HC-A-C-TECH-1-B2-INT-G0</x:v>
      </x:c>
      <x:c r="D813" s="9" t="str">
        <x:v>AR-HC-A-C-TECH-1-B2-INT-G0</x:v>
      </x:c>
      <x:c r="E813" s="9" t="str">
        <x:v>HC-A-C-TECH-1</x:v>
      </x:c>
      <x:c r="F813" s="9" t="str">
        <x:v>HC-A-C</x:v>
      </x:c>
      <x:c r="G813" s="9" t="str">
        <x:v>B2</x:v>
      </x:c>
      <x:c r="H813" s="9" t="str">
        <x:v>INT</x:v>
      </x:c>
      <x:c r="I813" s="9" t="n">
        <x:v>4</x:v>
      </x:c>
      <x:c r="J813" s="9" t="n">
        <x:v>2</x:v>
      </x:c>
      <x:c r="K813" s="9" t="str">
        <x:v>HC-A-C-N2</x:v>
      </x:c>
      <x:c r="L813" s="9" t="str">
        <x:v>ST07</x:v>
      </x:c>
      <x:c r="M813" s="17" t="str">
        <x:v>Environmental baseline</x:v>
      </x:c>
      <x:c r="N813" s="17" t="str">
        <x:v>pre-event boundary state is sealed before decisive operation</x:v>
      </x:c>
      <x:c r="O813" s="17" t="str">
        <x:v>Site metrology</x:v>
      </x:c>
      <x:c r="P813" s="9" t="n">
        <x:v>0</x:v>
      </x:c>
      <x:c r="Q813" s="9" t="n">
        <x:v>0</x:v>
      </x:c>
      <x:c r="R813" s="9" t="str">
        <x:v>OPEN / UNSTARTED</x:v>
      </x:c>
      <x:c r="S813" s="9" t="n">
        <x:f>COUNTIFS($A$7:$A$1446,A813)</x:f>
        <x:v>1</x:v>
      </x:c>
    </x:row>
    <x:row r="814">
      <x:c r="A814" s="9" t="str">
        <x:v>EV-AR-HC-A-C-TECH-1-B2-INT-G0-ST08</x:v>
      </x:c>
      <x:c r="B814" s="9" t="str">
        <x:v>EV-AR-HC-A-C-TECH-1-B2-INT-G0</x:v>
      </x:c>
      <x:c r="C814" s="9" t="str">
        <x:v>EOW-AR-HC-A-C-TECH-1-B2-INT-G0</x:v>
      </x:c>
      <x:c r="D814" s="9" t="str">
        <x:v>AR-HC-A-C-TECH-1-B2-INT-G0</x:v>
      </x:c>
      <x:c r="E814" s="9" t="str">
        <x:v>HC-A-C-TECH-1</x:v>
      </x:c>
      <x:c r="F814" s="9" t="str">
        <x:v>HC-A-C</x:v>
      </x:c>
      <x:c r="G814" s="9" t="str">
        <x:v>B2</x:v>
      </x:c>
      <x:c r="H814" s="9" t="str">
        <x:v>INT</x:v>
      </x:c>
      <x:c r="I814" s="9" t="n">
        <x:v>4</x:v>
      </x:c>
      <x:c r="J814" s="9" t="n">
        <x:v>2</x:v>
      </x:c>
      <x:c r="K814" s="9" t="str">
        <x:v>HC-A-C-N2</x:v>
      </x:c>
      <x:c r="L814" s="9" t="str">
        <x:v>ST08</x:v>
      </x:c>
      <x:c r="M814" s="17" t="str">
        <x:v>Manual stop and safety</x:v>
      </x:c>
      <x:c r="N814" s="17" t="str">
        <x:v>local stop, evacuation and protection routes are active</x:v>
      </x:c>
      <x:c r="O814" s="17" t="str">
        <x:v>Safety authority</x:v>
      </x:c>
      <x:c r="P814" s="9" t="n">
        <x:v>0</x:v>
      </x:c>
      <x:c r="Q814" s="9" t="n">
        <x:v>0</x:v>
      </x:c>
      <x:c r="R814" s="9" t="str">
        <x:v>OPEN / UNSTARTED</x:v>
      </x:c>
      <x:c r="S814" s="9" t="n">
        <x:f>COUNTIFS($A$7:$A$1446,A814)</x:f>
        <x:v>1</x:v>
      </x:c>
    </x:row>
    <x:row r="815">
      <x:c r="A815" s="9" t="str">
        <x:v>EV-AR-HC-A-C-TECH-1-B2-INT-G0-ST09</x:v>
      </x:c>
      <x:c r="B815" s="9" t="str">
        <x:v>EV-AR-HC-A-C-TECH-1-B2-INT-G0</x:v>
      </x:c>
      <x:c r="C815" s="9" t="str">
        <x:v>EOW-AR-HC-A-C-TECH-1-B2-INT-G0</x:v>
      </x:c>
      <x:c r="D815" s="9" t="str">
        <x:v>AR-HC-A-C-TECH-1-B2-INT-G0</x:v>
      </x:c>
      <x:c r="E815" s="9" t="str">
        <x:v>HC-A-C-TECH-1</x:v>
      </x:c>
      <x:c r="F815" s="9" t="str">
        <x:v>HC-A-C</x:v>
      </x:c>
      <x:c r="G815" s="9" t="str">
        <x:v>B2</x:v>
      </x:c>
      <x:c r="H815" s="9" t="str">
        <x:v>INT</x:v>
      </x:c>
      <x:c r="I815" s="9" t="n">
        <x:v>4</x:v>
      </x:c>
      <x:c r="J815" s="9" t="n">
        <x:v>2</x:v>
      </x:c>
      <x:c r="K815" s="9" t="str">
        <x:v>HC-A-C-N2</x:v>
      </x:c>
      <x:c r="L815" s="9" t="str">
        <x:v>ST09</x:v>
      </x:c>
      <x:c r="M815" s="17" t="str">
        <x:v>Operator conflict clear</x:v>
      </x:c>
      <x:c r="N815" s="17" t="str">
        <x:v>candidate, fixture, safety and measurement control edges remain separated</x:v>
      </x:c>
      <x:c r="O815" s="17" t="str">
        <x:v>Conflict registrar</x:v>
      </x:c>
      <x:c r="P815" s="9" t="n">
        <x:v>0</x:v>
      </x:c>
      <x:c r="Q815" s="9" t="n">
        <x:v>0</x:v>
      </x:c>
      <x:c r="R815" s="9" t="str">
        <x:v>OPEN / UNSTARTED</x:v>
      </x:c>
      <x:c r="S815" s="9" t="n">
        <x:f>COUNTIFS($A$7:$A$1446,A815)</x:f>
        <x:v>1</x:v>
      </x:c>
    </x:row>
    <x:row r="816">
      <x:c r="A816" s="9" t="str">
        <x:v>EV-AR-HC-A-C-TECH-1-B2-INT-G0-ST10</x:v>
      </x:c>
      <x:c r="B816" s="9" t="str">
        <x:v>EV-AR-HC-A-C-TECH-1-B2-INT-G0</x:v>
      </x:c>
      <x:c r="C816" s="9" t="str">
        <x:v>EOW-AR-HC-A-C-TECH-1-B2-INT-G0</x:v>
      </x:c>
      <x:c r="D816" s="9" t="str">
        <x:v>AR-HC-A-C-TECH-1-B2-INT-G0</x:v>
      </x:c>
      <x:c r="E816" s="9" t="str">
        <x:v>HC-A-C-TECH-1</x:v>
      </x:c>
      <x:c r="F816" s="9" t="str">
        <x:v>HC-A-C</x:v>
      </x:c>
      <x:c r="G816" s="9" t="str">
        <x:v>B2</x:v>
      </x:c>
      <x:c r="H816" s="9" t="str">
        <x:v>INT</x:v>
      </x:c>
      <x:c r="I816" s="9" t="n">
        <x:v>4</x:v>
      </x:c>
      <x:c r="J816" s="9" t="n">
        <x:v>2</x:v>
      </x:c>
      <x:c r="K816" s="9" t="str">
        <x:v>HC-A-C-N2</x:v>
      </x:c>
      <x:c r="L816" s="9" t="str">
        <x:v>ST10</x:v>
      </x:c>
      <x:c r="M816" s="17" t="str">
        <x:v>Window and common clock</x:v>
      </x:c>
      <x:c r="N816" s="17" t="str">
        <x:v>epoch, window and public time origin match the issued warrant</x:v>
      </x:c>
      <x:c r="O816" s="17" t="str">
        <x:v>Event clock authority</x:v>
      </x:c>
      <x:c r="P816" s="9" t="n">
        <x:v>0</x:v>
      </x:c>
      <x:c r="Q816" s="9" t="n">
        <x:v>0</x:v>
      </x:c>
      <x:c r="R816" s="9" t="str">
        <x:v>OPEN / UNSTARTED</x:v>
      </x:c>
      <x:c r="S816" s="9" t="n">
        <x:f>COUNTIFS($A$7:$A$1446,A816)</x:f>
        <x:v>1</x:v>
      </x:c>
    </x:row>
    <x:row r="817">
      <x:c r="A817" s="9" t="str">
        <x:v>EV-AR-LF-B-A-TECH-1-B1-INT-G0-ST01</x:v>
      </x:c>
      <x:c r="B817" s="9" t="str">
        <x:v>EV-AR-LF-B-A-TECH-1-B1-INT-G0</x:v>
      </x:c>
      <x:c r="C817" s="9" t="str">
        <x:v>EOW-AR-LF-B-A-TECH-1-B1-INT-G0</x:v>
      </x:c>
      <x:c r="D817" s="9" t="str">
        <x:v>AR-LF-B-A-TECH-1-B1-INT-G0</x:v>
      </x:c>
      <x:c r="E817" s="9" t="str">
        <x:v>LF-B-A-TECH-1</x:v>
      </x:c>
      <x:c r="F817" s="9" t="str">
        <x:v>LF-B-A</x:v>
      </x:c>
      <x:c r="G817" s="9" t="str">
        <x:v>B1</x:v>
      </x:c>
      <x:c r="H817" s="9" t="str">
        <x:v>INT</x:v>
      </x:c>
      <x:c r="I817" s="9" t="n">
        <x:v>4</x:v>
      </x:c>
      <x:c r="J817" s="9" t="n">
        <x:v>2</x:v>
      </x:c>
      <x:c r="K817" s="9" t="str">
        <x:v>LF-B-A-N1</x:v>
      </x:c>
      <x:c r="L817" s="9" t="str">
        <x:v>ST01</x:v>
      </x:c>
      <x:c r="M817" s="17" t="str">
        <x:v>Active opportunity warrant</x:v>
      </x:c>
      <x:c r="N817" s="17" t="str">
        <x:v>configuration-bound EOW is within its thirty-six-hour validity</x:v>
      </x:c>
      <x:c r="O817" s="17" t="str">
        <x:v>Start registrar</x:v>
      </x:c>
      <x:c r="P817" s="9" t="n">
        <x:v>0</x:v>
      </x:c>
      <x:c r="Q817" s="9" t="n">
        <x:v>0</x:v>
      </x:c>
      <x:c r="R817" s="9" t="str">
        <x:v>OPEN / UNSTARTED</x:v>
      </x:c>
      <x:c r="S817" s="9" t="n">
        <x:f>COUNTIFS($A$7:$A$1446,A817)</x:f>
        <x:v>1</x:v>
      </x:c>
    </x:row>
    <x:row r="818">
      <x:c r="A818" s="9" t="str">
        <x:v>EV-AR-LF-B-A-TECH-1-B1-INT-G0-ST02</x:v>
      </x:c>
      <x:c r="B818" s="9" t="str">
        <x:v>EV-AR-LF-B-A-TECH-1-B1-INT-G0</x:v>
      </x:c>
      <x:c r="C818" s="9" t="str">
        <x:v>EOW-AR-LF-B-A-TECH-1-B1-INT-G0</x:v>
      </x:c>
      <x:c r="D818" s="9" t="str">
        <x:v>AR-LF-B-A-TECH-1-B1-INT-G0</x:v>
      </x:c>
      <x:c r="E818" s="9" t="str">
        <x:v>LF-B-A-TECH-1</x:v>
      </x:c>
      <x:c r="F818" s="9" t="str">
        <x:v>LF-B-A</x:v>
      </x:c>
      <x:c r="G818" s="9" t="str">
        <x:v>B1</x:v>
      </x:c>
      <x:c r="H818" s="9" t="str">
        <x:v>INT</x:v>
      </x:c>
      <x:c r="I818" s="9" t="n">
        <x:v>4</x:v>
      </x:c>
      <x:c r="J818" s="9" t="n">
        <x:v>2</x:v>
      </x:c>
      <x:c r="K818" s="9" t="str">
        <x:v>LF-B-A-N1</x:v>
      </x:c>
      <x:c r="L818" s="9" t="str">
        <x:v>ST02</x:v>
      </x:c>
      <x:c r="M818" s="17" t="str">
        <x:v>Frozen identity</x:v>
      </x:c>
      <x:c r="N818" s="17" t="str">
        <x:v>serial, generation, fixture, site, receiver and digest match the warrant</x:v>
      </x:c>
      <x:c r="O818" s="17" t="str">
        <x:v>Custody authority</x:v>
      </x:c>
      <x:c r="P818" s="9" t="n">
        <x:v>0</x:v>
      </x:c>
      <x:c r="Q818" s="9" t="n">
        <x:v>0</x:v>
      </x:c>
      <x:c r="R818" s="9" t="str">
        <x:v>OPEN / UNSTARTED</x:v>
      </x:c>
      <x:c r="S818" s="9" t="n">
        <x:f>COUNTIFS($A$7:$A$1446,A818)</x:f>
        <x:v>1</x:v>
      </x:c>
    </x:row>
    <x:row r="819">
      <x:c r="A819" s="9" t="str">
        <x:v>EV-AR-LF-B-A-TECH-1-B1-INT-G0-ST03</x:v>
      </x:c>
      <x:c r="B819" s="9" t="str">
        <x:v>EV-AR-LF-B-A-TECH-1-B1-INT-G0</x:v>
      </x:c>
      <x:c r="C819" s="9" t="str">
        <x:v>EOW-AR-LF-B-A-TECH-1-B1-INT-G0</x:v>
      </x:c>
      <x:c r="D819" s="9" t="str">
        <x:v>AR-LF-B-A-TECH-1-B1-INT-G0</x:v>
      </x:c>
      <x:c r="E819" s="9" t="str">
        <x:v>LF-B-A-TECH-1</x:v>
      </x:c>
      <x:c r="F819" s="9" t="str">
        <x:v>LF-B-A</x:v>
      </x:c>
      <x:c r="G819" s="9" t="str">
        <x:v>B1</x:v>
      </x:c>
      <x:c r="H819" s="9" t="str">
        <x:v>INT</x:v>
      </x:c>
      <x:c r="I819" s="9" t="n">
        <x:v>4</x:v>
      </x:c>
      <x:c r="J819" s="9" t="n">
        <x:v>2</x:v>
      </x:c>
      <x:c r="K819" s="9" t="str">
        <x:v>LF-B-A-N1</x:v>
      </x:c>
      <x:c r="L819" s="9" t="str">
        <x:v>ST03</x:v>
      </x:c>
      <x:c r="M819" s="17" t="str">
        <x:v>Receiver receipt</x:v>
      </x:c>
      <x:c r="N819" s="17" t="str">
        <x:v>denominator, counterfactual, rights and stop receipt remain unchanged</x:v>
      </x:c>
      <x:c r="O819" s="17" t="str">
        <x:v>Receiver authority</x:v>
      </x:c>
      <x:c r="P819" s="9" t="n">
        <x:v>0</x:v>
      </x:c>
      <x:c r="Q819" s="9" t="n">
        <x:v>0</x:v>
      </x:c>
      <x:c r="R819" s="9" t="str">
        <x:v>OPEN / UNSTARTED</x:v>
      </x:c>
      <x:c r="S819" s="9" t="n">
        <x:f>COUNTIFS($A$7:$A$1446,A819)</x:f>
        <x:v>1</x:v>
      </x:c>
    </x:row>
    <x:row r="820">
      <x:c r="A820" s="9" t="str">
        <x:v>EV-AR-LF-B-A-TECH-1-B1-INT-G0-ST04</x:v>
      </x:c>
      <x:c r="B820" s="9" t="str">
        <x:v>EV-AR-LF-B-A-TECH-1-B1-INT-G0</x:v>
      </x:c>
      <x:c r="C820" s="9" t="str">
        <x:v>EOW-AR-LF-B-A-TECH-1-B1-INT-G0</x:v>
      </x:c>
      <x:c r="D820" s="9" t="str">
        <x:v>AR-LF-B-A-TECH-1-B1-INT-G0</x:v>
      </x:c>
      <x:c r="E820" s="9" t="str">
        <x:v>LF-B-A-TECH-1</x:v>
      </x:c>
      <x:c r="F820" s="9" t="str">
        <x:v>LF-B-A</x:v>
      </x:c>
      <x:c r="G820" s="9" t="str">
        <x:v>B1</x:v>
      </x:c>
      <x:c r="H820" s="9" t="str">
        <x:v>INT</x:v>
      </x:c>
      <x:c r="I820" s="9" t="n">
        <x:v>4</x:v>
      </x:c>
      <x:c r="J820" s="9" t="n">
        <x:v>2</x:v>
      </x:c>
      <x:c r="K820" s="9" t="str">
        <x:v>LF-B-A-N1</x:v>
      </x:c>
      <x:c r="L820" s="9" t="str">
        <x:v>ST04</x:v>
      </x:c>
      <x:c r="M820" s="17" t="str">
        <x:v>Primary capture armed</x:v>
      </x:c>
      <x:c r="N820" s="17" t="str">
        <x:v>primary chain records sealed reference and live time</x:v>
      </x:c>
      <x:c r="O820" s="17" t="str">
        <x:v>Primary metrology</x:v>
      </x:c>
      <x:c r="P820" s="9" t="n">
        <x:v>0</x:v>
      </x:c>
      <x:c r="Q820" s="9" t="n">
        <x:v>0</x:v>
      </x:c>
      <x:c r="R820" s="9" t="str">
        <x:v>OPEN / UNSTARTED</x:v>
      </x:c>
      <x:c r="S820" s="9" t="n">
        <x:f>COUNTIFS($A$7:$A$1446,A820)</x:f>
        <x:v>1</x:v>
      </x:c>
    </x:row>
    <x:row r="821">
      <x:c r="A821" s="9" t="str">
        <x:v>EV-AR-LF-B-A-TECH-1-B1-INT-G0-ST05</x:v>
      </x:c>
      <x:c r="B821" s="9" t="str">
        <x:v>EV-AR-LF-B-A-TECH-1-B1-INT-G0</x:v>
      </x:c>
      <x:c r="C821" s="9" t="str">
        <x:v>EOW-AR-LF-B-A-TECH-1-B1-INT-G0</x:v>
      </x:c>
      <x:c r="D821" s="9" t="str">
        <x:v>AR-LF-B-A-TECH-1-B1-INT-G0</x:v>
      </x:c>
      <x:c r="E821" s="9" t="str">
        <x:v>LF-B-A-TECH-1</x:v>
      </x:c>
      <x:c r="F821" s="9" t="str">
        <x:v>LF-B-A</x:v>
      </x:c>
      <x:c r="G821" s="9" t="str">
        <x:v>B1</x:v>
      </x:c>
      <x:c r="H821" s="9" t="str">
        <x:v>INT</x:v>
      </x:c>
      <x:c r="I821" s="9" t="n">
        <x:v>4</x:v>
      </x:c>
      <x:c r="J821" s="9" t="n">
        <x:v>2</x:v>
      </x:c>
      <x:c r="K821" s="9" t="str">
        <x:v>LF-B-A-N1</x:v>
      </x:c>
      <x:c r="L821" s="9" t="str">
        <x:v>ST05</x:v>
      </x:c>
      <x:c r="M821" s="17" t="str">
        <x:v>Witness capture armed</x:v>
      </x:c>
      <x:c r="N821" s="17" t="str">
        <x:v>unlike witness records independent reference and live time</x:v>
      </x:c>
      <x:c r="O821" s="17" t="str">
        <x:v>Witness metrology</x:v>
      </x:c>
      <x:c r="P821" s="9" t="n">
        <x:v>0</x:v>
      </x:c>
      <x:c r="Q821" s="9" t="n">
        <x:v>0</x:v>
      </x:c>
      <x:c r="R821" s="9" t="str">
        <x:v>OPEN / UNSTARTED</x:v>
      </x:c>
      <x:c r="S821" s="9" t="n">
        <x:f>COUNTIFS($A$7:$A$1446,A821)</x:f>
        <x:v>1</x:v>
      </x:c>
    </x:row>
    <x:row r="822">
      <x:c r="A822" s="9" t="str">
        <x:v>EV-AR-LF-B-A-TECH-1-B1-INT-G0-ST06</x:v>
      </x:c>
      <x:c r="B822" s="9" t="str">
        <x:v>EV-AR-LF-B-A-TECH-1-B1-INT-G0</x:v>
      </x:c>
      <x:c r="C822" s="9" t="str">
        <x:v>EOW-AR-LF-B-A-TECH-1-B1-INT-G0</x:v>
      </x:c>
      <x:c r="D822" s="9" t="str">
        <x:v>AR-LF-B-A-TECH-1-B1-INT-G0</x:v>
      </x:c>
      <x:c r="E822" s="9" t="str">
        <x:v>LF-B-A-TECH-1</x:v>
      </x:c>
      <x:c r="F822" s="9" t="str">
        <x:v>LF-B-A</x:v>
      </x:c>
      <x:c r="G822" s="9" t="str">
        <x:v>B1</x:v>
      </x:c>
      <x:c r="H822" s="9" t="str">
        <x:v>INT</x:v>
      </x:c>
      <x:c r="I822" s="9" t="n">
        <x:v>4</x:v>
      </x:c>
      <x:c r="J822" s="9" t="n">
        <x:v>2</x:v>
      </x:c>
      <x:c r="K822" s="9" t="str">
        <x:v>LF-B-A-N1</x:v>
      </x:c>
      <x:c r="L822" s="9" t="str">
        <x:v>ST06</x:v>
      </x:c>
      <x:c r="M822" s="17" t="str">
        <x:v>Public custody armed</x:v>
      </x:c>
      <x:c r="N822" s="17" t="str">
        <x:v>eight raw origins have separated hash and replica routes</x:v>
      </x:c>
      <x:c r="O822" s="17" t="str">
        <x:v>Custody authority</x:v>
      </x:c>
      <x:c r="P822" s="9" t="n">
        <x:v>0</x:v>
      </x:c>
      <x:c r="Q822" s="9" t="n">
        <x:v>0</x:v>
      </x:c>
      <x:c r="R822" s="9" t="str">
        <x:v>OPEN / UNSTARTED</x:v>
      </x:c>
      <x:c r="S822" s="9" t="n">
        <x:f>COUNTIFS($A$7:$A$1446,A822)</x:f>
        <x:v>1</x:v>
      </x:c>
    </x:row>
    <x:row r="823">
      <x:c r="A823" s="9" t="str">
        <x:v>EV-AR-LF-B-A-TECH-1-B1-INT-G0-ST07</x:v>
      </x:c>
      <x:c r="B823" s="9" t="str">
        <x:v>EV-AR-LF-B-A-TECH-1-B1-INT-G0</x:v>
      </x:c>
      <x:c r="C823" s="9" t="str">
        <x:v>EOW-AR-LF-B-A-TECH-1-B1-INT-G0</x:v>
      </x:c>
      <x:c r="D823" s="9" t="str">
        <x:v>AR-LF-B-A-TECH-1-B1-INT-G0</x:v>
      </x:c>
      <x:c r="E823" s="9" t="str">
        <x:v>LF-B-A-TECH-1</x:v>
      </x:c>
      <x:c r="F823" s="9" t="str">
        <x:v>LF-B-A</x:v>
      </x:c>
      <x:c r="G823" s="9" t="str">
        <x:v>B1</x:v>
      </x:c>
      <x:c r="H823" s="9" t="str">
        <x:v>INT</x:v>
      </x:c>
      <x:c r="I823" s="9" t="n">
        <x:v>4</x:v>
      </x:c>
      <x:c r="J823" s="9" t="n">
        <x:v>2</x:v>
      </x:c>
      <x:c r="K823" s="9" t="str">
        <x:v>LF-B-A-N1</x:v>
      </x:c>
      <x:c r="L823" s="9" t="str">
        <x:v>ST07</x:v>
      </x:c>
      <x:c r="M823" s="17" t="str">
        <x:v>Environmental baseline</x:v>
      </x:c>
      <x:c r="N823" s="17" t="str">
        <x:v>pre-event boundary state is sealed before decisive operation</x:v>
      </x:c>
      <x:c r="O823" s="17" t="str">
        <x:v>Site metrology</x:v>
      </x:c>
      <x:c r="P823" s="9" t="n">
        <x:v>0</x:v>
      </x:c>
      <x:c r="Q823" s="9" t="n">
        <x:v>0</x:v>
      </x:c>
      <x:c r="R823" s="9" t="str">
        <x:v>OPEN / UNSTARTED</x:v>
      </x:c>
      <x:c r="S823" s="9" t="n">
        <x:f>COUNTIFS($A$7:$A$1446,A823)</x:f>
        <x:v>1</x:v>
      </x:c>
    </x:row>
    <x:row r="824">
      <x:c r="A824" s="9" t="str">
        <x:v>EV-AR-LF-B-A-TECH-1-B1-INT-G0-ST08</x:v>
      </x:c>
      <x:c r="B824" s="9" t="str">
        <x:v>EV-AR-LF-B-A-TECH-1-B1-INT-G0</x:v>
      </x:c>
      <x:c r="C824" s="9" t="str">
        <x:v>EOW-AR-LF-B-A-TECH-1-B1-INT-G0</x:v>
      </x:c>
      <x:c r="D824" s="9" t="str">
        <x:v>AR-LF-B-A-TECH-1-B1-INT-G0</x:v>
      </x:c>
      <x:c r="E824" s="9" t="str">
        <x:v>LF-B-A-TECH-1</x:v>
      </x:c>
      <x:c r="F824" s="9" t="str">
        <x:v>LF-B-A</x:v>
      </x:c>
      <x:c r="G824" s="9" t="str">
        <x:v>B1</x:v>
      </x:c>
      <x:c r="H824" s="9" t="str">
        <x:v>INT</x:v>
      </x:c>
      <x:c r="I824" s="9" t="n">
        <x:v>4</x:v>
      </x:c>
      <x:c r="J824" s="9" t="n">
        <x:v>2</x:v>
      </x:c>
      <x:c r="K824" s="9" t="str">
        <x:v>LF-B-A-N1</x:v>
      </x:c>
      <x:c r="L824" s="9" t="str">
        <x:v>ST08</x:v>
      </x:c>
      <x:c r="M824" s="17" t="str">
        <x:v>Manual stop and safety</x:v>
      </x:c>
      <x:c r="N824" s="17" t="str">
        <x:v>local stop, evacuation and protection routes are active</x:v>
      </x:c>
      <x:c r="O824" s="17" t="str">
        <x:v>Safety authority</x:v>
      </x:c>
      <x:c r="P824" s="9" t="n">
        <x:v>0</x:v>
      </x:c>
      <x:c r="Q824" s="9" t="n">
        <x:v>0</x:v>
      </x:c>
      <x:c r="R824" s="9" t="str">
        <x:v>OPEN / UNSTARTED</x:v>
      </x:c>
      <x:c r="S824" s="9" t="n">
        <x:f>COUNTIFS($A$7:$A$1446,A824)</x:f>
        <x:v>1</x:v>
      </x:c>
    </x:row>
    <x:row r="825">
      <x:c r="A825" s="9" t="str">
        <x:v>EV-AR-LF-B-A-TECH-1-B1-INT-G0-ST09</x:v>
      </x:c>
      <x:c r="B825" s="9" t="str">
        <x:v>EV-AR-LF-B-A-TECH-1-B1-INT-G0</x:v>
      </x:c>
      <x:c r="C825" s="9" t="str">
        <x:v>EOW-AR-LF-B-A-TECH-1-B1-INT-G0</x:v>
      </x:c>
      <x:c r="D825" s="9" t="str">
        <x:v>AR-LF-B-A-TECH-1-B1-INT-G0</x:v>
      </x:c>
      <x:c r="E825" s="9" t="str">
        <x:v>LF-B-A-TECH-1</x:v>
      </x:c>
      <x:c r="F825" s="9" t="str">
        <x:v>LF-B-A</x:v>
      </x:c>
      <x:c r="G825" s="9" t="str">
        <x:v>B1</x:v>
      </x:c>
      <x:c r="H825" s="9" t="str">
        <x:v>INT</x:v>
      </x:c>
      <x:c r="I825" s="9" t="n">
        <x:v>4</x:v>
      </x:c>
      <x:c r="J825" s="9" t="n">
        <x:v>2</x:v>
      </x:c>
      <x:c r="K825" s="9" t="str">
        <x:v>LF-B-A-N1</x:v>
      </x:c>
      <x:c r="L825" s="9" t="str">
        <x:v>ST09</x:v>
      </x:c>
      <x:c r="M825" s="17" t="str">
        <x:v>Operator conflict clear</x:v>
      </x:c>
      <x:c r="N825" s="17" t="str">
        <x:v>candidate, fixture, safety and measurement control edges remain separated</x:v>
      </x:c>
      <x:c r="O825" s="17" t="str">
        <x:v>Conflict registrar</x:v>
      </x:c>
      <x:c r="P825" s="9" t="n">
        <x:v>0</x:v>
      </x:c>
      <x:c r="Q825" s="9" t="n">
        <x:v>0</x:v>
      </x:c>
      <x:c r="R825" s="9" t="str">
        <x:v>OPEN / UNSTARTED</x:v>
      </x:c>
      <x:c r="S825" s="9" t="n">
        <x:f>COUNTIFS($A$7:$A$1446,A825)</x:f>
        <x:v>1</x:v>
      </x:c>
    </x:row>
    <x:row r="826">
      <x:c r="A826" s="9" t="str">
        <x:v>EV-AR-LF-B-A-TECH-1-B1-INT-G0-ST10</x:v>
      </x:c>
      <x:c r="B826" s="9" t="str">
        <x:v>EV-AR-LF-B-A-TECH-1-B1-INT-G0</x:v>
      </x:c>
      <x:c r="C826" s="9" t="str">
        <x:v>EOW-AR-LF-B-A-TECH-1-B1-INT-G0</x:v>
      </x:c>
      <x:c r="D826" s="9" t="str">
        <x:v>AR-LF-B-A-TECH-1-B1-INT-G0</x:v>
      </x:c>
      <x:c r="E826" s="9" t="str">
        <x:v>LF-B-A-TECH-1</x:v>
      </x:c>
      <x:c r="F826" s="9" t="str">
        <x:v>LF-B-A</x:v>
      </x:c>
      <x:c r="G826" s="9" t="str">
        <x:v>B1</x:v>
      </x:c>
      <x:c r="H826" s="9" t="str">
        <x:v>INT</x:v>
      </x:c>
      <x:c r="I826" s="9" t="n">
        <x:v>4</x:v>
      </x:c>
      <x:c r="J826" s="9" t="n">
        <x:v>2</x:v>
      </x:c>
      <x:c r="K826" s="9" t="str">
        <x:v>LF-B-A-N1</x:v>
      </x:c>
      <x:c r="L826" s="9" t="str">
        <x:v>ST10</x:v>
      </x:c>
      <x:c r="M826" s="17" t="str">
        <x:v>Window and common clock</x:v>
      </x:c>
      <x:c r="N826" s="17" t="str">
        <x:v>epoch, window and public time origin match the issued warrant</x:v>
      </x:c>
      <x:c r="O826" s="17" t="str">
        <x:v>Event clock authority</x:v>
      </x:c>
      <x:c r="P826" s="9" t="n">
        <x:v>0</x:v>
      </x:c>
      <x:c r="Q826" s="9" t="n">
        <x:v>0</x:v>
      </x:c>
      <x:c r="R826" s="9" t="str">
        <x:v>OPEN / UNSTARTED</x:v>
      </x:c>
      <x:c r="S826" s="9" t="n">
        <x:f>COUNTIFS($A$7:$A$1446,A826)</x:f>
        <x:v>1</x:v>
      </x:c>
    </x:row>
    <x:row r="827">
      <x:c r="A827" s="9" t="str">
        <x:v>EV-AR-LF-B-A-TECH-2-B2-RCN-G0-ST01</x:v>
      </x:c>
      <x:c r="B827" s="9" t="str">
        <x:v>EV-AR-LF-B-A-TECH-2-B2-RCN-G0</x:v>
      </x:c>
      <x:c r="C827" s="9" t="str">
        <x:v>EOW-AR-LF-B-A-TECH-2-B2-RCN-G0</x:v>
      </x:c>
      <x:c r="D827" s="9" t="str">
        <x:v>AR-LF-B-A-TECH-2-B2-RCN-G0</x:v>
      </x:c>
      <x:c r="E827" s="9" t="str">
        <x:v>LF-B-A-TECH-2</x:v>
      </x:c>
      <x:c r="F827" s="9" t="str">
        <x:v>LF-B-A</x:v>
      </x:c>
      <x:c r="G827" s="9" t="str">
        <x:v>B2</x:v>
      </x:c>
      <x:c r="H827" s="9" t="str">
        <x:v>RCN</x:v>
      </x:c>
      <x:c r="I827" s="9" t="n">
        <x:v>4</x:v>
      </x:c>
      <x:c r="J827" s="9" t="n">
        <x:v>2</x:v>
      </x:c>
      <x:c r="K827" s="9" t="str">
        <x:v>LF-B-A-N2</x:v>
      </x:c>
      <x:c r="L827" s="9" t="str">
        <x:v>ST01</x:v>
      </x:c>
      <x:c r="M827" s="17" t="str">
        <x:v>Active opportunity warrant</x:v>
      </x:c>
      <x:c r="N827" s="17" t="str">
        <x:v>configuration-bound EOW is within its thirty-six-hour validity</x:v>
      </x:c>
      <x:c r="O827" s="17" t="str">
        <x:v>Start registrar</x:v>
      </x:c>
      <x:c r="P827" s="9" t="n">
        <x:v>0</x:v>
      </x:c>
      <x:c r="Q827" s="9" t="n">
        <x:v>0</x:v>
      </x:c>
      <x:c r="R827" s="9" t="str">
        <x:v>OPEN / UNSTARTED</x:v>
      </x:c>
      <x:c r="S827" s="9" t="n">
        <x:f>COUNTIFS($A$7:$A$1446,A827)</x:f>
        <x:v>1</x:v>
      </x:c>
    </x:row>
    <x:row r="828">
      <x:c r="A828" s="9" t="str">
        <x:v>EV-AR-LF-B-A-TECH-2-B2-RCN-G0-ST02</x:v>
      </x:c>
      <x:c r="B828" s="9" t="str">
        <x:v>EV-AR-LF-B-A-TECH-2-B2-RCN-G0</x:v>
      </x:c>
      <x:c r="C828" s="9" t="str">
        <x:v>EOW-AR-LF-B-A-TECH-2-B2-RCN-G0</x:v>
      </x:c>
      <x:c r="D828" s="9" t="str">
        <x:v>AR-LF-B-A-TECH-2-B2-RCN-G0</x:v>
      </x:c>
      <x:c r="E828" s="9" t="str">
        <x:v>LF-B-A-TECH-2</x:v>
      </x:c>
      <x:c r="F828" s="9" t="str">
        <x:v>LF-B-A</x:v>
      </x:c>
      <x:c r="G828" s="9" t="str">
        <x:v>B2</x:v>
      </x:c>
      <x:c r="H828" s="9" t="str">
        <x:v>RCN</x:v>
      </x:c>
      <x:c r="I828" s="9" t="n">
        <x:v>4</x:v>
      </x:c>
      <x:c r="J828" s="9" t="n">
        <x:v>2</x:v>
      </x:c>
      <x:c r="K828" s="9" t="str">
        <x:v>LF-B-A-N2</x:v>
      </x:c>
      <x:c r="L828" s="9" t="str">
        <x:v>ST02</x:v>
      </x:c>
      <x:c r="M828" s="17" t="str">
        <x:v>Frozen identity</x:v>
      </x:c>
      <x:c r="N828" s="17" t="str">
        <x:v>serial, generation, fixture, site, receiver and digest match the warrant</x:v>
      </x:c>
      <x:c r="O828" s="17" t="str">
        <x:v>Custody authority</x:v>
      </x:c>
      <x:c r="P828" s="9" t="n">
        <x:v>0</x:v>
      </x:c>
      <x:c r="Q828" s="9" t="n">
        <x:v>0</x:v>
      </x:c>
      <x:c r="R828" s="9" t="str">
        <x:v>OPEN / UNSTARTED</x:v>
      </x:c>
      <x:c r="S828" s="9" t="n">
        <x:f>COUNTIFS($A$7:$A$1446,A828)</x:f>
        <x:v>1</x:v>
      </x:c>
    </x:row>
    <x:row r="829">
      <x:c r="A829" s="9" t="str">
        <x:v>EV-AR-LF-B-A-TECH-2-B2-RCN-G0-ST03</x:v>
      </x:c>
      <x:c r="B829" s="9" t="str">
        <x:v>EV-AR-LF-B-A-TECH-2-B2-RCN-G0</x:v>
      </x:c>
      <x:c r="C829" s="9" t="str">
        <x:v>EOW-AR-LF-B-A-TECH-2-B2-RCN-G0</x:v>
      </x:c>
      <x:c r="D829" s="9" t="str">
        <x:v>AR-LF-B-A-TECH-2-B2-RCN-G0</x:v>
      </x:c>
      <x:c r="E829" s="9" t="str">
        <x:v>LF-B-A-TECH-2</x:v>
      </x:c>
      <x:c r="F829" s="9" t="str">
        <x:v>LF-B-A</x:v>
      </x:c>
      <x:c r="G829" s="9" t="str">
        <x:v>B2</x:v>
      </x:c>
      <x:c r="H829" s="9" t="str">
        <x:v>RCN</x:v>
      </x:c>
      <x:c r="I829" s="9" t="n">
        <x:v>4</x:v>
      </x:c>
      <x:c r="J829" s="9" t="n">
        <x:v>2</x:v>
      </x:c>
      <x:c r="K829" s="9" t="str">
        <x:v>LF-B-A-N2</x:v>
      </x:c>
      <x:c r="L829" s="9" t="str">
        <x:v>ST03</x:v>
      </x:c>
      <x:c r="M829" s="17" t="str">
        <x:v>Receiver receipt</x:v>
      </x:c>
      <x:c r="N829" s="17" t="str">
        <x:v>denominator, counterfactual, rights and stop receipt remain unchanged</x:v>
      </x:c>
      <x:c r="O829" s="17" t="str">
        <x:v>Receiver authority</x:v>
      </x:c>
      <x:c r="P829" s="9" t="n">
        <x:v>0</x:v>
      </x:c>
      <x:c r="Q829" s="9" t="n">
        <x:v>0</x:v>
      </x:c>
      <x:c r="R829" s="9" t="str">
        <x:v>OPEN / UNSTARTED</x:v>
      </x:c>
      <x:c r="S829" s="9" t="n">
        <x:f>COUNTIFS($A$7:$A$1446,A829)</x:f>
        <x:v>1</x:v>
      </x:c>
    </x:row>
    <x:row r="830">
      <x:c r="A830" s="9" t="str">
        <x:v>EV-AR-LF-B-A-TECH-2-B2-RCN-G0-ST04</x:v>
      </x:c>
      <x:c r="B830" s="9" t="str">
        <x:v>EV-AR-LF-B-A-TECH-2-B2-RCN-G0</x:v>
      </x:c>
      <x:c r="C830" s="9" t="str">
        <x:v>EOW-AR-LF-B-A-TECH-2-B2-RCN-G0</x:v>
      </x:c>
      <x:c r="D830" s="9" t="str">
        <x:v>AR-LF-B-A-TECH-2-B2-RCN-G0</x:v>
      </x:c>
      <x:c r="E830" s="9" t="str">
        <x:v>LF-B-A-TECH-2</x:v>
      </x:c>
      <x:c r="F830" s="9" t="str">
        <x:v>LF-B-A</x:v>
      </x:c>
      <x:c r="G830" s="9" t="str">
        <x:v>B2</x:v>
      </x:c>
      <x:c r="H830" s="9" t="str">
        <x:v>RCN</x:v>
      </x:c>
      <x:c r="I830" s="9" t="n">
        <x:v>4</x:v>
      </x:c>
      <x:c r="J830" s="9" t="n">
        <x:v>2</x:v>
      </x:c>
      <x:c r="K830" s="9" t="str">
        <x:v>LF-B-A-N2</x:v>
      </x:c>
      <x:c r="L830" s="9" t="str">
        <x:v>ST04</x:v>
      </x:c>
      <x:c r="M830" s="17" t="str">
        <x:v>Primary capture armed</x:v>
      </x:c>
      <x:c r="N830" s="17" t="str">
        <x:v>primary chain records sealed reference and live time</x:v>
      </x:c>
      <x:c r="O830" s="17" t="str">
        <x:v>Primary metrology</x:v>
      </x:c>
      <x:c r="P830" s="9" t="n">
        <x:v>0</x:v>
      </x:c>
      <x:c r="Q830" s="9" t="n">
        <x:v>0</x:v>
      </x:c>
      <x:c r="R830" s="9" t="str">
        <x:v>OPEN / UNSTARTED</x:v>
      </x:c>
      <x:c r="S830" s="9" t="n">
        <x:f>COUNTIFS($A$7:$A$1446,A830)</x:f>
        <x:v>1</x:v>
      </x:c>
    </x:row>
    <x:row r="831">
      <x:c r="A831" s="9" t="str">
        <x:v>EV-AR-LF-B-A-TECH-2-B2-RCN-G0-ST05</x:v>
      </x:c>
      <x:c r="B831" s="9" t="str">
        <x:v>EV-AR-LF-B-A-TECH-2-B2-RCN-G0</x:v>
      </x:c>
      <x:c r="C831" s="9" t="str">
        <x:v>EOW-AR-LF-B-A-TECH-2-B2-RCN-G0</x:v>
      </x:c>
      <x:c r="D831" s="9" t="str">
        <x:v>AR-LF-B-A-TECH-2-B2-RCN-G0</x:v>
      </x:c>
      <x:c r="E831" s="9" t="str">
        <x:v>LF-B-A-TECH-2</x:v>
      </x:c>
      <x:c r="F831" s="9" t="str">
        <x:v>LF-B-A</x:v>
      </x:c>
      <x:c r="G831" s="9" t="str">
        <x:v>B2</x:v>
      </x:c>
      <x:c r="H831" s="9" t="str">
        <x:v>RCN</x:v>
      </x:c>
      <x:c r="I831" s="9" t="n">
        <x:v>4</x:v>
      </x:c>
      <x:c r="J831" s="9" t="n">
        <x:v>2</x:v>
      </x:c>
      <x:c r="K831" s="9" t="str">
        <x:v>LF-B-A-N2</x:v>
      </x:c>
      <x:c r="L831" s="9" t="str">
        <x:v>ST05</x:v>
      </x:c>
      <x:c r="M831" s="17" t="str">
        <x:v>Witness capture armed</x:v>
      </x:c>
      <x:c r="N831" s="17" t="str">
        <x:v>unlike witness records independent reference and live time</x:v>
      </x:c>
      <x:c r="O831" s="17" t="str">
        <x:v>Witness metrology</x:v>
      </x:c>
      <x:c r="P831" s="9" t="n">
        <x:v>0</x:v>
      </x:c>
      <x:c r="Q831" s="9" t="n">
        <x:v>0</x:v>
      </x:c>
      <x:c r="R831" s="9" t="str">
        <x:v>OPEN / UNSTARTED</x:v>
      </x:c>
      <x:c r="S831" s="9" t="n">
        <x:f>COUNTIFS($A$7:$A$1446,A831)</x:f>
        <x:v>1</x:v>
      </x:c>
    </x:row>
    <x:row r="832">
      <x:c r="A832" s="9" t="str">
        <x:v>EV-AR-LF-B-A-TECH-2-B2-RCN-G0-ST06</x:v>
      </x:c>
      <x:c r="B832" s="9" t="str">
        <x:v>EV-AR-LF-B-A-TECH-2-B2-RCN-G0</x:v>
      </x:c>
      <x:c r="C832" s="9" t="str">
        <x:v>EOW-AR-LF-B-A-TECH-2-B2-RCN-G0</x:v>
      </x:c>
      <x:c r="D832" s="9" t="str">
        <x:v>AR-LF-B-A-TECH-2-B2-RCN-G0</x:v>
      </x:c>
      <x:c r="E832" s="9" t="str">
        <x:v>LF-B-A-TECH-2</x:v>
      </x:c>
      <x:c r="F832" s="9" t="str">
        <x:v>LF-B-A</x:v>
      </x:c>
      <x:c r="G832" s="9" t="str">
        <x:v>B2</x:v>
      </x:c>
      <x:c r="H832" s="9" t="str">
        <x:v>RCN</x:v>
      </x:c>
      <x:c r="I832" s="9" t="n">
        <x:v>4</x:v>
      </x:c>
      <x:c r="J832" s="9" t="n">
        <x:v>2</x:v>
      </x:c>
      <x:c r="K832" s="9" t="str">
        <x:v>LF-B-A-N2</x:v>
      </x:c>
      <x:c r="L832" s="9" t="str">
        <x:v>ST06</x:v>
      </x:c>
      <x:c r="M832" s="17" t="str">
        <x:v>Public custody armed</x:v>
      </x:c>
      <x:c r="N832" s="17" t="str">
        <x:v>eight raw origins have separated hash and replica routes</x:v>
      </x:c>
      <x:c r="O832" s="17" t="str">
        <x:v>Custody authority</x:v>
      </x:c>
      <x:c r="P832" s="9" t="n">
        <x:v>0</x:v>
      </x:c>
      <x:c r="Q832" s="9" t="n">
        <x:v>0</x:v>
      </x:c>
      <x:c r="R832" s="9" t="str">
        <x:v>OPEN / UNSTARTED</x:v>
      </x:c>
      <x:c r="S832" s="9" t="n">
        <x:f>COUNTIFS($A$7:$A$1446,A832)</x:f>
        <x:v>1</x:v>
      </x:c>
    </x:row>
    <x:row r="833">
      <x:c r="A833" s="9" t="str">
        <x:v>EV-AR-LF-B-A-TECH-2-B2-RCN-G0-ST07</x:v>
      </x:c>
      <x:c r="B833" s="9" t="str">
        <x:v>EV-AR-LF-B-A-TECH-2-B2-RCN-G0</x:v>
      </x:c>
      <x:c r="C833" s="9" t="str">
        <x:v>EOW-AR-LF-B-A-TECH-2-B2-RCN-G0</x:v>
      </x:c>
      <x:c r="D833" s="9" t="str">
        <x:v>AR-LF-B-A-TECH-2-B2-RCN-G0</x:v>
      </x:c>
      <x:c r="E833" s="9" t="str">
        <x:v>LF-B-A-TECH-2</x:v>
      </x:c>
      <x:c r="F833" s="9" t="str">
        <x:v>LF-B-A</x:v>
      </x:c>
      <x:c r="G833" s="9" t="str">
        <x:v>B2</x:v>
      </x:c>
      <x:c r="H833" s="9" t="str">
        <x:v>RCN</x:v>
      </x:c>
      <x:c r="I833" s="9" t="n">
        <x:v>4</x:v>
      </x:c>
      <x:c r="J833" s="9" t="n">
        <x:v>2</x:v>
      </x:c>
      <x:c r="K833" s="9" t="str">
        <x:v>LF-B-A-N2</x:v>
      </x:c>
      <x:c r="L833" s="9" t="str">
        <x:v>ST07</x:v>
      </x:c>
      <x:c r="M833" s="17" t="str">
        <x:v>Environmental baseline</x:v>
      </x:c>
      <x:c r="N833" s="17" t="str">
        <x:v>pre-event boundary state is sealed before decisive operation</x:v>
      </x:c>
      <x:c r="O833" s="17" t="str">
        <x:v>Site metrology</x:v>
      </x:c>
      <x:c r="P833" s="9" t="n">
        <x:v>0</x:v>
      </x:c>
      <x:c r="Q833" s="9" t="n">
        <x:v>0</x:v>
      </x:c>
      <x:c r="R833" s="9" t="str">
        <x:v>OPEN / UNSTARTED</x:v>
      </x:c>
      <x:c r="S833" s="9" t="n">
        <x:f>COUNTIFS($A$7:$A$1446,A833)</x:f>
        <x:v>1</x:v>
      </x:c>
    </x:row>
    <x:row r="834">
      <x:c r="A834" s="9" t="str">
        <x:v>EV-AR-LF-B-A-TECH-2-B2-RCN-G0-ST08</x:v>
      </x:c>
      <x:c r="B834" s="9" t="str">
        <x:v>EV-AR-LF-B-A-TECH-2-B2-RCN-G0</x:v>
      </x:c>
      <x:c r="C834" s="9" t="str">
        <x:v>EOW-AR-LF-B-A-TECH-2-B2-RCN-G0</x:v>
      </x:c>
      <x:c r="D834" s="9" t="str">
        <x:v>AR-LF-B-A-TECH-2-B2-RCN-G0</x:v>
      </x:c>
      <x:c r="E834" s="9" t="str">
        <x:v>LF-B-A-TECH-2</x:v>
      </x:c>
      <x:c r="F834" s="9" t="str">
        <x:v>LF-B-A</x:v>
      </x:c>
      <x:c r="G834" s="9" t="str">
        <x:v>B2</x:v>
      </x:c>
      <x:c r="H834" s="9" t="str">
        <x:v>RCN</x:v>
      </x:c>
      <x:c r="I834" s="9" t="n">
        <x:v>4</x:v>
      </x:c>
      <x:c r="J834" s="9" t="n">
        <x:v>2</x:v>
      </x:c>
      <x:c r="K834" s="9" t="str">
        <x:v>LF-B-A-N2</x:v>
      </x:c>
      <x:c r="L834" s="9" t="str">
        <x:v>ST08</x:v>
      </x:c>
      <x:c r="M834" s="17" t="str">
        <x:v>Manual stop and safety</x:v>
      </x:c>
      <x:c r="N834" s="17" t="str">
        <x:v>local stop, evacuation and protection routes are active</x:v>
      </x:c>
      <x:c r="O834" s="17" t="str">
        <x:v>Safety authority</x:v>
      </x:c>
      <x:c r="P834" s="9" t="n">
        <x:v>0</x:v>
      </x:c>
      <x:c r="Q834" s="9" t="n">
        <x:v>0</x:v>
      </x:c>
      <x:c r="R834" s="9" t="str">
        <x:v>OPEN / UNSTARTED</x:v>
      </x:c>
      <x:c r="S834" s="9" t="n">
        <x:f>COUNTIFS($A$7:$A$1446,A834)</x:f>
        <x:v>1</x:v>
      </x:c>
    </x:row>
    <x:row r="835">
      <x:c r="A835" s="9" t="str">
        <x:v>EV-AR-LF-B-A-TECH-2-B2-RCN-G0-ST09</x:v>
      </x:c>
      <x:c r="B835" s="9" t="str">
        <x:v>EV-AR-LF-B-A-TECH-2-B2-RCN-G0</x:v>
      </x:c>
      <x:c r="C835" s="9" t="str">
        <x:v>EOW-AR-LF-B-A-TECH-2-B2-RCN-G0</x:v>
      </x:c>
      <x:c r="D835" s="9" t="str">
        <x:v>AR-LF-B-A-TECH-2-B2-RCN-G0</x:v>
      </x:c>
      <x:c r="E835" s="9" t="str">
        <x:v>LF-B-A-TECH-2</x:v>
      </x:c>
      <x:c r="F835" s="9" t="str">
        <x:v>LF-B-A</x:v>
      </x:c>
      <x:c r="G835" s="9" t="str">
        <x:v>B2</x:v>
      </x:c>
      <x:c r="H835" s="9" t="str">
        <x:v>RCN</x:v>
      </x:c>
      <x:c r="I835" s="9" t="n">
        <x:v>4</x:v>
      </x:c>
      <x:c r="J835" s="9" t="n">
        <x:v>2</x:v>
      </x:c>
      <x:c r="K835" s="9" t="str">
        <x:v>LF-B-A-N2</x:v>
      </x:c>
      <x:c r="L835" s="9" t="str">
        <x:v>ST09</x:v>
      </x:c>
      <x:c r="M835" s="17" t="str">
        <x:v>Operator conflict clear</x:v>
      </x:c>
      <x:c r="N835" s="17" t="str">
        <x:v>candidate, fixture, safety and measurement control edges remain separated</x:v>
      </x:c>
      <x:c r="O835" s="17" t="str">
        <x:v>Conflict registrar</x:v>
      </x:c>
      <x:c r="P835" s="9" t="n">
        <x:v>0</x:v>
      </x:c>
      <x:c r="Q835" s="9" t="n">
        <x:v>0</x:v>
      </x:c>
      <x:c r="R835" s="9" t="str">
        <x:v>OPEN / UNSTARTED</x:v>
      </x:c>
      <x:c r="S835" s="9" t="n">
        <x:f>COUNTIFS($A$7:$A$1446,A835)</x:f>
        <x:v>1</x:v>
      </x:c>
    </x:row>
    <x:row r="836">
      <x:c r="A836" s="9" t="str">
        <x:v>EV-AR-LF-B-A-TECH-2-B2-RCN-G0-ST10</x:v>
      </x:c>
      <x:c r="B836" s="9" t="str">
        <x:v>EV-AR-LF-B-A-TECH-2-B2-RCN-G0</x:v>
      </x:c>
      <x:c r="C836" s="9" t="str">
        <x:v>EOW-AR-LF-B-A-TECH-2-B2-RCN-G0</x:v>
      </x:c>
      <x:c r="D836" s="9" t="str">
        <x:v>AR-LF-B-A-TECH-2-B2-RCN-G0</x:v>
      </x:c>
      <x:c r="E836" s="9" t="str">
        <x:v>LF-B-A-TECH-2</x:v>
      </x:c>
      <x:c r="F836" s="9" t="str">
        <x:v>LF-B-A</x:v>
      </x:c>
      <x:c r="G836" s="9" t="str">
        <x:v>B2</x:v>
      </x:c>
      <x:c r="H836" s="9" t="str">
        <x:v>RCN</x:v>
      </x:c>
      <x:c r="I836" s="9" t="n">
        <x:v>4</x:v>
      </x:c>
      <x:c r="J836" s="9" t="n">
        <x:v>2</x:v>
      </x:c>
      <x:c r="K836" s="9" t="str">
        <x:v>LF-B-A-N2</x:v>
      </x:c>
      <x:c r="L836" s="9" t="str">
        <x:v>ST10</x:v>
      </x:c>
      <x:c r="M836" s="17" t="str">
        <x:v>Window and common clock</x:v>
      </x:c>
      <x:c r="N836" s="17" t="str">
        <x:v>epoch, window and public time origin match the issued warrant</x:v>
      </x:c>
      <x:c r="O836" s="17" t="str">
        <x:v>Event clock authority</x:v>
      </x:c>
      <x:c r="P836" s="9" t="n">
        <x:v>0</x:v>
      </x:c>
      <x:c r="Q836" s="9" t="n">
        <x:v>0</x:v>
      </x:c>
      <x:c r="R836" s="9" t="str">
        <x:v>OPEN / UNSTARTED</x:v>
      </x:c>
      <x:c r="S836" s="9" t="n">
        <x:f>COUNTIFS($A$7:$A$1446,A836)</x:f>
        <x:v>1</x:v>
      </x:c>
    </x:row>
    <x:row r="837">
      <x:c r="A837" s="9" t="str">
        <x:v>EV-AR-RT-B-C-TECH-3-B1-BRK-G0-ST01</x:v>
      </x:c>
      <x:c r="B837" s="9" t="str">
        <x:v>EV-AR-RT-B-C-TECH-3-B1-BRK-G0</x:v>
      </x:c>
      <x:c r="C837" s="9" t="str">
        <x:v>EOW-AR-RT-B-C-TECH-3-B1-BRK-G0</x:v>
      </x:c>
      <x:c r="D837" s="9" t="str">
        <x:v>AR-RT-B-C-TECH-3-B1-BRK-G0</x:v>
      </x:c>
      <x:c r="E837" s="9" t="str">
        <x:v>RT-B-C-TECH-3</x:v>
      </x:c>
      <x:c r="F837" s="9" t="str">
        <x:v>RT-B-C</x:v>
      </x:c>
      <x:c r="G837" s="9" t="str">
        <x:v>B1</x:v>
      </x:c>
      <x:c r="H837" s="9" t="str">
        <x:v>BRK</x:v>
      </x:c>
      <x:c r="I837" s="9" t="n">
        <x:v>4</x:v>
      </x:c>
      <x:c r="J837" s="9" t="n">
        <x:v>2</x:v>
      </x:c>
      <x:c r="K837" s="9" t="str">
        <x:v>RT-B-C-N1</x:v>
      </x:c>
      <x:c r="L837" s="9" t="str">
        <x:v>ST01</x:v>
      </x:c>
      <x:c r="M837" s="17" t="str">
        <x:v>Active opportunity warrant</x:v>
      </x:c>
      <x:c r="N837" s="17" t="str">
        <x:v>configuration-bound EOW is within its thirty-six-hour validity</x:v>
      </x:c>
      <x:c r="O837" s="17" t="str">
        <x:v>Start registrar</x:v>
      </x:c>
      <x:c r="P837" s="9" t="n">
        <x:v>0</x:v>
      </x:c>
      <x:c r="Q837" s="9" t="n">
        <x:v>0</x:v>
      </x:c>
      <x:c r="R837" s="9" t="str">
        <x:v>OPEN / UNSTARTED</x:v>
      </x:c>
      <x:c r="S837" s="9" t="n">
        <x:f>COUNTIFS($A$7:$A$1446,A837)</x:f>
        <x:v>1</x:v>
      </x:c>
    </x:row>
    <x:row r="838">
      <x:c r="A838" s="9" t="str">
        <x:v>EV-AR-RT-B-C-TECH-3-B1-BRK-G0-ST02</x:v>
      </x:c>
      <x:c r="B838" s="9" t="str">
        <x:v>EV-AR-RT-B-C-TECH-3-B1-BRK-G0</x:v>
      </x:c>
      <x:c r="C838" s="9" t="str">
        <x:v>EOW-AR-RT-B-C-TECH-3-B1-BRK-G0</x:v>
      </x:c>
      <x:c r="D838" s="9" t="str">
        <x:v>AR-RT-B-C-TECH-3-B1-BRK-G0</x:v>
      </x:c>
      <x:c r="E838" s="9" t="str">
        <x:v>RT-B-C-TECH-3</x:v>
      </x:c>
      <x:c r="F838" s="9" t="str">
        <x:v>RT-B-C</x:v>
      </x:c>
      <x:c r="G838" s="9" t="str">
        <x:v>B1</x:v>
      </x:c>
      <x:c r="H838" s="9" t="str">
        <x:v>BRK</x:v>
      </x:c>
      <x:c r="I838" s="9" t="n">
        <x:v>4</x:v>
      </x:c>
      <x:c r="J838" s="9" t="n">
        <x:v>2</x:v>
      </x:c>
      <x:c r="K838" s="9" t="str">
        <x:v>RT-B-C-N1</x:v>
      </x:c>
      <x:c r="L838" s="9" t="str">
        <x:v>ST02</x:v>
      </x:c>
      <x:c r="M838" s="17" t="str">
        <x:v>Frozen identity</x:v>
      </x:c>
      <x:c r="N838" s="17" t="str">
        <x:v>serial, generation, fixture, site, receiver and digest match the warrant</x:v>
      </x:c>
      <x:c r="O838" s="17" t="str">
        <x:v>Custody authority</x:v>
      </x:c>
      <x:c r="P838" s="9" t="n">
        <x:v>0</x:v>
      </x:c>
      <x:c r="Q838" s="9" t="n">
        <x:v>0</x:v>
      </x:c>
      <x:c r="R838" s="9" t="str">
        <x:v>OPEN / UNSTARTED</x:v>
      </x:c>
      <x:c r="S838" s="9" t="n">
        <x:f>COUNTIFS($A$7:$A$1446,A838)</x:f>
        <x:v>1</x:v>
      </x:c>
    </x:row>
    <x:row r="839">
      <x:c r="A839" s="9" t="str">
        <x:v>EV-AR-RT-B-C-TECH-3-B1-BRK-G0-ST03</x:v>
      </x:c>
      <x:c r="B839" s="9" t="str">
        <x:v>EV-AR-RT-B-C-TECH-3-B1-BRK-G0</x:v>
      </x:c>
      <x:c r="C839" s="9" t="str">
        <x:v>EOW-AR-RT-B-C-TECH-3-B1-BRK-G0</x:v>
      </x:c>
      <x:c r="D839" s="9" t="str">
        <x:v>AR-RT-B-C-TECH-3-B1-BRK-G0</x:v>
      </x:c>
      <x:c r="E839" s="9" t="str">
        <x:v>RT-B-C-TECH-3</x:v>
      </x:c>
      <x:c r="F839" s="9" t="str">
        <x:v>RT-B-C</x:v>
      </x:c>
      <x:c r="G839" s="9" t="str">
        <x:v>B1</x:v>
      </x:c>
      <x:c r="H839" s="9" t="str">
        <x:v>BRK</x:v>
      </x:c>
      <x:c r="I839" s="9" t="n">
        <x:v>4</x:v>
      </x:c>
      <x:c r="J839" s="9" t="n">
        <x:v>2</x:v>
      </x:c>
      <x:c r="K839" s="9" t="str">
        <x:v>RT-B-C-N1</x:v>
      </x:c>
      <x:c r="L839" s="9" t="str">
        <x:v>ST03</x:v>
      </x:c>
      <x:c r="M839" s="17" t="str">
        <x:v>Receiver receipt</x:v>
      </x:c>
      <x:c r="N839" s="17" t="str">
        <x:v>denominator, counterfactual, rights and stop receipt remain unchanged</x:v>
      </x:c>
      <x:c r="O839" s="17" t="str">
        <x:v>Receiver authority</x:v>
      </x:c>
      <x:c r="P839" s="9" t="n">
        <x:v>0</x:v>
      </x:c>
      <x:c r="Q839" s="9" t="n">
        <x:v>0</x:v>
      </x:c>
      <x:c r="R839" s="9" t="str">
        <x:v>OPEN / UNSTARTED</x:v>
      </x:c>
      <x:c r="S839" s="9" t="n">
        <x:f>COUNTIFS($A$7:$A$1446,A839)</x:f>
        <x:v>1</x:v>
      </x:c>
    </x:row>
    <x:row r="840">
      <x:c r="A840" s="9" t="str">
        <x:v>EV-AR-RT-B-C-TECH-3-B1-BRK-G0-ST04</x:v>
      </x:c>
      <x:c r="B840" s="9" t="str">
        <x:v>EV-AR-RT-B-C-TECH-3-B1-BRK-G0</x:v>
      </x:c>
      <x:c r="C840" s="9" t="str">
        <x:v>EOW-AR-RT-B-C-TECH-3-B1-BRK-G0</x:v>
      </x:c>
      <x:c r="D840" s="9" t="str">
        <x:v>AR-RT-B-C-TECH-3-B1-BRK-G0</x:v>
      </x:c>
      <x:c r="E840" s="9" t="str">
        <x:v>RT-B-C-TECH-3</x:v>
      </x:c>
      <x:c r="F840" s="9" t="str">
        <x:v>RT-B-C</x:v>
      </x:c>
      <x:c r="G840" s="9" t="str">
        <x:v>B1</x:v>
      </x:c>
      <x:c r="H840" s="9" t="str">
        <x:v>BRK</x:v>
      </x:c>
      <x:c r="I840" s="9" t="n">
        <x:v>4</x:v>
      </x:c>
      <x:c r="J840" s="9" t="n">
        <x:v>2</x:v>
      </x:c>
      <x:c r="K840" s="9" t="str">
        <x:v>RT-B-C-N1</x:v>
      </x:c>
      <x:c r="L840" s="9" t="str">
        <x:v>ST04</x:v>
      </x:c>
      <x:c r="M840" s="17" t="str">
        <x:v>Primary capture armed</x:v>
      </x:c>
      <x:c r="N840" s="17" t="str">
        <x:v>primary chain records sealed reference and live time</x:v>
      </x:c>
      <x:c r="O840" s="17" t="str">
        <x:v>Primary metrology</x:v>
      </x:c>
      <x:c r="P840" s="9" t="n">
        <x:v>0</x:v>
      </x:c>
      <x:c r="Q840" s="9" t="n">
        <x:v>0</x:v>
      </x:c>
      <x:c r="R840" s="9" t="str">
        <x:v>OPEN / UNSTARTED</x:v>
      </x:c>
      <x:c r="S840" s="9" t="n">
        <x:f>COUNTIFS($A$7:$A$1446,A840)</x:f>
        <x:v>1</x:v>
      </x:c>
    </x:row>
    <x:row r="841">
      <x:c r="A841" s="9" t="str">
        <x:v>EV-AR-RT-B-C-TECH-3-B1-BRK-G0-ST05</x:v>
      </x:c>
      <x:c r="B841" s="9" t="str">
        <x:v>EV-AR-RT-B-C-TECH-3-B1-BRK-G0</x:v>
      </x:c>
      <x:c r="C841" s="9" t="str">
        <x:v>EOW-AR-RT-B-C-TECH-3-B1-BRK-G0</x:v>
      </x:c>
      <x:c r="D841" s="9" t="str">
        <x:v>AR-RT-B-C-TECH-3-B1-BRK-G0</x:v>
      </x:c>
      <x:c r="E841" s="9" t="str">
        <x:v>RT-B-C-TECH-3</x:v>
      </x:c>
      <x:c r="F841" s="9" t="str">
        <x:v>RT-B-C</x:v>
      </x:c>
      <x:c r="G841" s="9" t="str">
        <x:v>B1</x:v>
      </x:c>
      <x:c r="H841" s="9" t="str">
        <x:v>BRK</x:v>
      </x:c>
      <x:c r="I841" s="9" t="n">
        <x:v>4</x:v>
      </x:c>
      <x:c r="J841" s="9" t="n">
        <x:v>2</x:v>
      </x:c>
      <x:c r="K841" s="9" t="str">
        <x:v>RT-B-C-N1</x:v>
      </x:c>
      <x:c r="L841" s="9" t="str">
        <x:v>ST05</x:v>
      </x:c>
      <x:c r="M841" s="17" t="str">
        <x:v>Witness capture armed</x:v>
      </x:c>
      <x:c r="N841" s="17" t="str">
        <x:v>unlike witness records independent reference and live time</x:v>
      </x:c>
      <x:c r="O841" s="17" t="str">
        <x:v>Witness metrology</x:v>
      </x:c>
      <x:c r="P841" s="9" t="n">
        <x:v>0</x:v>
      </x:c>
      <x:c r="Q841" s="9" t="n">
        <x:v>0</x:v>
      </x:c>
      <x:c r="R841" s="9" t="str">
        <x:v>OPEN / UNSTARTED</x:v>
      </x:c>
      <x:c r="S841" s="9" t="n">
        <x:f>COUNTIFS($A$7:$A$1446,A841)</x:f>
        <x:v>1</x:v>
      </x:c>
    </x:row>
    <x:row r="842">
      <x:c r="A842" s="9" t="str">
        <x:v>EV-AR-RT-B-C-TECH-3-B1-BRK-G0-ST06</x:v>
      </x:c>
      <x:c r="B842" s="9" t="str">
        <x:v>EV-AR-RT-B-C-TECH-3-B1-BRK-G0</x:v>
      </x:c>
      <x:c r="C842" s="9" t="str">
        <x:v>EOW-AR-RT-B-C-TECH-3-B1-BRK-G0</x:v>
      </x:c>
      <x:c r="D842" s="9" t="str">
        <x:v>AR-RT-B-C-TECH-3-B1-BRK-G0</x:v>
      </x:c>
      <x:c r="E842" s="9" t="str">
        <x:v>RT-B-C-TECH-3</x:v>
      </x:c>
      <x:c r="F842" s="9" t="str">
        <x:v>RT-B-C</x:v>
      </x:c>
      <x:c r="G842" s="9" t="str">
        <x:v>B1</x:v>
      </x:c>
      <x:c r="H842" s="9" t="str">
        <x:v>BRK</x:v>
      </x:c>
      <x:c r="I842" s="9" t="n">
        <x:v>4</x:v>
      </x:c>
      <x:c r="J842" s="9" t="n">
        <x:v>2</x:v>
      </x:c>
      <x:c r="K842" s="9" t="str">
        <x:v>RT-B-C-N1</x:v>
      </x:c>
      <x:c r="L842" s="9" t="str">
        <x:v>ST06</x:v>
      </x:c>
      <x:c r="M842" s="17" t="str">
        <x:v>Public custody armed</x:v>
      </x:c>
      <x:c r="N842" s="17" t="str">
        <x:v>eight raw origins have separated hash and replica routes</x:v>
      </x:c>
      <x:c r="O842" s="17" t="str">
        <x:v>Custody authority</x:v>
      </x:c>
      <x:c r="P842" s="9" t="n">
        <x:v>0</x:v>
      </x:c>
      <x:c r="Q842" s="9" t="n">
        <x:v>0</x:v>
      </x:c>
      <x:c r="R842" s="9" t="str">
        <x:v>OPEN / UNSTARTED</x:v>
      </x:c>
      <x:c r="S842" s="9" t="n">
        <x:f>COUNTIFS($A$7:$A$1446,A842)</x:f>
        <x:v>1</x:v>
      </x:c>
    </x:row>
    <x:row r="843">
      <x:c r="A843" s="9" t="str">
        <x:v>EV-AR-RT-B-C-TECH-3-B1-BRK-G0-ST07</x:v>
      </x:c>
      <x:c r="B843" s="9" t="str">
        <x:v>EV-AR-RT-B-C-TECH-3-B1-BRK-G0</x:v>
      </x:c>
      <x:c r="C843" s="9" t="str">
        <x:v>EOW-AR-RT-B-C-TECH-3-B1-BRK-G0</x:v>
      </x:c>
      <x:c r="D843" s="9" t="str">
        <x:v>AR-RT-B-C-TECH-3-B1-BRK-G0</x:v>
      </x:c>
      <x:c r="E843" s="9" t="str">
        <x:v>RT-B-C-TECH-3</x:v>
      </x:c>
      <x:c r="F843" s="9" t="str">
        <x:v>RT-B-C</x:v>
      </x:c>
      <x:c r="G843" s="9" t="str">
        <x:v>B1</x:v>
      </x:c>
      <x:c r="H843" s="9" t="str">
        <x:v>BRK</x:v>
      </x:c>
      <x:c r="I843" s="9" t="n">
        <x:v>4</x:v>
      </x:c>
      <x:c r="J843" s="9" t="n">
        <x:v>2</x:v>
      </x:c>
      <x:c r="K843" s="9" t="str">
        <x:v>RT-B-C-N1</x:v>
      </x:c>
      <x:c r="L843" s="9" t="str">
        <x:v>ST07</x:v>
      </x:c>
      <x:c r="M843" s="17" t="str">
        <x:v>Environmental baseline</x:v>
      </x:c>
      <x:c r="N843" s="17" t="str">
        <x:v>pre-event boundary state is sealed before decisive operation</x:v>
      </x:c>
      <x:c r="O843" s="17" t="str">
        <x:v>Site metrology</x:v>
      </x:c>
      <x:c r="P843" s="9" t="n">
        <x:v>0</x:v>
      </x:c>
      <x:c r="Q843" s="9" t="n">
        <x:v>0</x:v>
      </x:c>
      <x:c r="R843" s="9" t="str">
        <x:v>OPEN / UNSTARTED</x:v>
      </x:c>
      <x:c r="S843" s="9" t="n">
        <x:f>COUNTIFS($A$7:$A$1446,A843)</x:f>
        <x:v>1</x:v>
      </x:c>
    </x:row>
    <x:row r="844">
      <x:c r="A844" s="9" t="str">
        <x:v>EV-AR-RT-B-C-TECH-3-B1-BRK-G0-ST08</x:v>
      </x:c>
      <x:c r="B844" s="9" t="str">
        <x:v>EV-AR-RT-B-C-TECH-3-B1-BRK-G0</x:v>
      </x:c>
      <x:c r="C844" s="9" t="str">
        <x:v>EOW-AR-RT-B-C-TECH-3-B1-BRK-G0</x:v>
      </x:c>
      <x:c r="D844" s="9" t="str">
        <x:v>AR-RT-B-C-TECH-3-B1-BRK-G0</x:v>
      </x:c>
      <x:c r="E844" s="9" t="str">
        <x:v>RT-B-C-TECH-3</x:v>
      </x:c>
      <x:c r="F844" s="9" t="str">
        <x:v>RT-B-C</x:v>
      </x:c>
      <x:c r="G844" s="9" t="str">
        <x:v>B1</x:v>
      </x:c>
      <x:c r="H844" s="9" t="str">
        <x:v>BRK</x:v>
      </x:c>
      <x:c r="I844" s="9" t="n">
        <x:v>4</x:v>
      </x:c>
      <x:c r="J844" s="9" t="n">
        <x:v>2</x:v>
      </x:c>
      <x:c r="K844" s="9" t="str">
        <x:v>RT-B-C-N1</x:v>
      </x:c>
      <x:c r="L844" s="9" t="str">
        <x:v>ST08</x:v>
      </x:c>
      <x:c r="M844" s="17" t="str">
        <x:v>Manual stop and safety</x:v>
      </x:c>
      <x:c r="N844" s="17" t="str">
        <x:v>local stop, evacuation and protection routes are active</x:v>
      </x:c>
      <x:c r="O844" s="17" t="str">
        <x:v>Safety authority</x:v>
      </x:c>
      <x:c r="P844" s="9" t="n">
        <x:v>0</x:v>
      </x:c>
      <x:c r="Q844" s="9" t="n">
        <x:v>0</x:v>
      </x:c>
      <x:c r="R844" s="9" t="str">
        <x:v>OPEN / UNSTARTED</x:v>
      </x:c>
      <x:c r="S844" s="9" t="n">
        <x:f>COUNTIFS($A$7:$A$1446,A844)</x:f>
        <x:v>1</x:v>
      </x:c>
    </x:row>
    <x:row r="845">
      <x:c r="A845" s="9" t="str">
        <x:v>EV-AR-RT-B-C-TECH-3-B1-BRK-G0-ST09</x:v>
      </x:c>
      <x:c r="B845" s="9" t="str">
        <x:v>EV-AR-RT-B-C-TECH-3-B1-BRK-G0</x:v>
      </x:c>
      <x:c r="C845" s="9" t="str">
        <x:v>EOW-AR-RT-B-C-TECH-3-B1-BRK-G0</x:v>
      </x:c>
      <x:c r="D845" s="9" t="str">
        <x:v>AR-RT-B-C-TECH-3-B1-BRK-G0</x:v>
      </x:c>
      <x:c r="E845" s="9" t="str">
        <x:v>RT-B-C-TECH-3</x:v>
      </x:c>
      <x:c r="F845" s="9" t="str">
        <x:v>RT-B-C</x:v>
      </x:c>
      <x:c r="G845" s="9" t="str">
        <x:v>B1</x:v>
      </x:c>
      <x:c r="H845" s="9" t="str">
        <x:v>BRK</x:v>
      </x:c>
      <x:c r="I845" s="9" t="n">
        <x:v>4</x:v>
      </x:c>
      <x:c r="J845" s="9" t="n">
        <x:v>2</x:v>
      </x:c>
      <x:c r="K845" s="9" t="str">
        <x:v>RT-B-C-N1</x:v>
      </x:c>
      <x:c r="L845" s="9" t="str">
        <x:v>ST09</x:v>
      </x:c>
      <x:c r="M845" s="17" t="str">
        <x:v>Operator conflict clear</x:v>
      </x:c>
      <x:c r="N845" s="17" t="str">
        <x:v>candidate, fixture, safety and measurement control edges remain separated</x:v>
      </x:c>
      <x:c r="O845" s="17" t="str">
        <x:v>Conflict registrar</x:v>
      </x:c>
      <x:c r="P845" s="9" t="n">
        <x:v>0</x:v>
      </x:c>
      <x:c r="Q845" s="9" t="n">
        <x:v>0</x:v>
      </x:c>
      <x:c r="R845" s="9" t="str">
        <x:v>OPEN / UNSTARTED</x:v>
      </x:c>
      <x:c r="S845" s="9" t="n">
        <x:f>COUNTIFS($A$7:$A$1446,A845)</x:f>
        <x:v>1</x:v>
      </x:c>
    </x:row>
    <x:row r="846">
      <x:c r="A846" s="9" t="str">
        <x:v>EV-AR-RT-B-C-TECH-3-B1-BRK-G0-ST10</x:v>
      </x:c>
      <x:c r="B846" s="9" t="str">
        <x:v>EV-AR-RT-B-C-TECH-3-B1-BRK-G0</x:v>
      </x:c>
      <x:c r="C846" s="9" t="str">
        <x:v>EOW-AR-RT-B-C-TECH-3-B1-BRK-G0</x:v>
      </x:c>
      <x:c r="D846" s="9" t="str">
        <x:v>AR-RT-B-C-TECH-3-B1-BRK-G0</x:v>
      </x:c>
      <x:c r="E846" s="9" t="str">
        <x:v>RT-B-C-TECH-3</x:v>
      </x:c>
      <x:c r="F846" s="9" t="str">
        <x:v>RT-B-C</x:v>
      </x:c>
      <x:c r="G846" s="9" t="str">
        <x:v>B1</x:v>
      </x:c>
      <x:c r="H846" s="9" t="str">
        <x:v>BRK</x:v>
      </x:c>
      <x:c r="I846" s="9" t="n">
        <x:v>4</x:v>
      </x:c>
      <x:c r="J846" s="9" t="n">
        <x:v>2</x:v>
      </x:c>
      <x:c r="K846" s="9" t="str">
        <x:v>RT-B-C-N1</x:v>
      </x:c>
      <x:c r="L846" s="9" t="str">
        <x:v>ST10</x:v>
      </x:c>
      <x:c r="M846" s="17" t="str">
        <x:v>Window and common clock</x:v>
      </x:c>
      <x:c r="N846" s="17" t="str">
        <x:v>epoch, window and public time origin match the issued warrant</x:v>
      </x:c>
      <x:c r="O846" s="17" t="str">
        <x:v>Event clock authority</x:v>
      </x:c>
      <x:c r="P846" s="9" t="n">
        <x:v>0</x:v>
      </x:c>
      <x:c r="Q846" s="9" t="n">
        <x:v>0</x:v>
      </x:c>
      <x:c r="R846" s="9" t="str">
        <x:v>OPEN / UNSTARTED</x:v>
      </x:c>
      <x:c r="S846" s="9" t="n">
        <x:f>COUNTIFS($A$7:$A$1446,A846)</x:f>
        <x:v>1</x:v>
      </x:c>
    </x:row>
    <x:row r="847">
      <x:c r="A847" s="9" t="str">
        <x:v>EV-AR-ET-A-A-TECH-3-B2-INT-G0-ST01</x:v>
      </x:c>
      <x:c r="B847" s="9" t="str">
        <x:v>EV-AR-ET-A-A-TECH-3-B2-INT-G0</x:v>
      </x:c>
      <x:c r="C847" s="9" t="str">
        <x:v>EOW-AR-ET-A-A-TECH-3-B2-INT-G0</x:v>
      </x:c>
      <x:c r="D847" s="9" t="str">
        <x:v>AR-ET-A-A-TECH-3-B2-INT-G0</x:v>
      </x:c>
      <x:c r="E847" s="9" t="str">
        <x:v>ET-A-A-TECH-3</x:v>
      </x:c>
      <x:c r="F847" s="9" t="str">
        <x:v>ET-A-A</x:v>
      </x:c>
      <x:c r="G847" s="9" t="str">
        <x:v>B2</x:v>
      </x:c>
      <x:c r="H847" s="9" t="str">
        <x:v>INT</x:v>
      </x:c>
      <x:c r="I847" s="9" t="n">
        <x:v>4</x:v>
      </x:c>
      <x:c r="J847" s="9" t="n">
        <x:v>3</x:v>
      </x:c>
      <x:c r="K847" s="9" t="str">
        <x:v>ET-A-A-N1</x:v>
      </x:c>
      <x:c r="L847" s="9" t="str">
        <x:v>ST01</x:v>
      </x:c>
      <x:c r="M847" s="17" t="str">
        <x:v>Active opportunity warrant</x:v>
      </x:c>
      <x:c r="N847" s="17" t="str">
        <x:v>configuration-bound EOW is within its thirty-six-hour validity</x:v>
      </x:c>
      <x:c r="O847" s="17" t="str">
        <x:v>Start registrar</x:v>
      </x:c>
      <x:c r="P847" s="9" t="n">
        <x:v>0</x:v>
      </x:c>
      <x:c r="Q847" s="9" t="n">
        <x:v>0</x:v>
      </x:c>
      <x:c r="R847" s="9" t="str">
        <x:v>OPEN / UNSTARTED</x:v>
      </x:c>
      <x:c r="S847" s="9" t="n">
        <x:f>COUNTIFS($A$7:$A$1446,A847)</x:f>
        <x:v>1</x:v>
      </x:c>
    </x:row>
    <x:row r="848">
      <x:c r="A848" s="9" t="str">
        <x:v>EV-AR-ET-A-A-TECH-3-B2-INT-G0-ST02</x:v>
      </x:c>
      <x:c r="B848" s="9" t="str">
        <x:v>EV-AR-ET-A-A-TECH-3-B2-INT-G0</x:v>
      </x:c>
      <x:c r="C848" s="9" t="str">
        <x:v>EOW-AR-ET-A-A-TECH-3-B2-INT-G0</x:v>
      </x:c>
      <x:c r="D848" s="9" t="str">
        <x:v>AR-ET-A-A-TECH-3-B2-INT-G0</x:v>
      </x:c>
      <x:c r="E848" s="9" t="str">
        <x:v>ET-A-A-TECH-3</x:v>
      </x:c>
      <x:c r="F848" s="9" t="str">
        <x:v>ET-A-A</x:v>
      </x:c>
      <x:c r="G848" s="9" t="str">
        <x:v>B2</x:v>
      </x:c>
      <x:c r="H848" s="9" t="str">
        <x:v>INT</x:v>
      </x:c>
      <x:c r="I848" s="9" t="n">
        <x:v>4</x:v>
      </x:c>
      <x:c r="J848" s="9" t="n">
        <x:v>3</x:v>
      </x:c>
      <x:c r="K848" s="9" t="str">
        <x:v>ET-A-A-N1</x:v>
      </x:c>
      <x:c r="L848" s="9" t="str">
        <x:v>ST02</x:v>
      </x:c>
      <x:c r="M848" s="17" t="str">
        <x:v>Frozen identity</x:v>
      </x:c>
      <x:c r="N848" s="17" t="str">
        <x:v>serial, generation, fixture, site, receiver and digest match the warrant</x:v>
      </x:c>
      <x:c r="O848" s="17" t="str">
        <x:v>Custody authority</x:v>
      </x:c>
      <x:c r="P848" s="9" t="n">
        <x:v>0</x:v>
      </x:c>
      <x:c r="Q848" s="9" t="n">
        <x:v>0</x:v>
      </x:c>
      <x:c r="R848" s="9" t="str">
        <x:v>OPEN / UNSTARTED</x:v>
      </x:c>
      <x:c r="S848" s="9" t="n">
        <x:f>COUNTIFS($A$7:$A$1446,A848)</x:f>
        <x:v>1</x:v>
      </x:c>
    </x:row>
    <x:row r="849">
      <x:c r="A849" s="9" t="str">
        <x:v>EV-AR-ET-A-A-TECH-3-B2-INT-G0-ST03</x:v>
      </x:c>
      <x:c r="B849" s="9" t="str">
        <x:v>EV-AR-ET-A-A-TECH-3-B2-INT-G0</x:v>
      </x:c>
      <x:c r="C849" s="9" t="str">
        <x:v>EOW-AR-ET-A-A-TECH-3-B2-INT-G0</x:v>
      </x:c>
      <x:c r="D849" s="9" t="str">
        <x:v>AR-ET-A-A-TECH-3-B2-INT-G0</x:v>
      </x:c>
      <x:c r="E849" s="9" t="str">
        <x:v>ET-A-A-TECH-3</x:v>
      </x:c>
      <x:c r="F849" s="9" t="str">
        <x:v>ET-A-A</x:v>
      </x:c>
      <x:c r="G849" s="9" t="str">
        <x:v>B2</x:v>
      </x:c>
      <x:c r="H849" s="9" t="str">
        <x:v>INT</x:v>
      </x:c>
      <x:c r="I849" s="9" t="n">
        <x:v>4</x:v>
      </x:c>
      <x:c r="J849" s="9" t="n">
        <x:v>3</x:v>
      </x:c>
      <x:c r="K849" s="9" t="str">
        <x:v>ET-A-A-N1</x:v>
      </x:c>
      <x:c r="L849" s="9" t="str">
        <x:v>ST03</x:v>
      </x:c>
      <x:c r="M849" s="17" t="str">
        <x:v>Receiver receipt</x:v>
      </x:c>
      <x:c r="N849" s="17" t="str">
        <x:v>denominator, counterfactual, rights and stop receipt remain unchanged</x:v>
      </x:c>
      <x:c r="O849" s="17" t="str">
        <x:v>Receiver authority</x:v>
      </x:c>
      <x:c r="P849" s="9" t="n">
        <x:v>0</x:v>
      </x:c>
      <x:c r="Q849" s="9" t="n">
        <x:v>0</x:v>
      </x:c>
      <x:c r="R849" s="9" t="str">
        <x:v>OPEN / UNSTARTED</x:v>
      </x:c>
      <x:c r="S849" s="9" t="n">
        <x:f>COUNTIFS($A$7:$A$1446,A849)</x:f>
        <x:v>1</x:v>
      </x:c>
    </x:row>
    <x:row r="850">
      <x:c r="A850" s="9" t="str">
        <x:v>EV-AR-ET-A-A-TECH-3-B2-INT-G0-ST04</x:v>
      </x:c>
      <x:c r="B850" s="9" t="str">
        <x:v>EV-AR-ET-A-A-TECH-3-B2-INT-G0</x:v>
      </x:c>
      <x:c r="C850" s="9" t="str">
        <x:v>EOW-AR-ET-A-A-TECH-3-B2-INT-G0</x:v>
      </x:c>
      <x:c r="D850" s="9" t="str">
        <x:v>AR-ET-A-A-TECH-3-B2-INT-G0</x:v>
      </x:c>
      <x:c r="E850" s="9" t="str">
        <x:v>ET-A-A-TECH-3</x:v>
      </x:c>
      <x:c r="F850" s="9" t="str">
        <x:v>ET-A-A</x:v>
      </x:c>
      <x:c r="G850" s="9" t="str">
        <x:v>B2</x:v>
      </x:c>
      <x:c r="H850" s="9" t="str">
        <x:v>INT</x:v>
      </x:c>
      <x:c r="I850" s="9" t="n">
        <x:v>4</x:v>
      </x:c>
      <x:c r="J850" s="9" t="n">
        <x:v>3</x:v>
      </x:c>
      <x:c r="K850" s="9" t="str">
        <x:v>ET-A-A-N1</x:v>
      </x:c>
      <x:c r="L850" s="9" t="str">
        <x:v>ST04</x:v>
      </x:c>
      <x:c r="M850" s="17" t="str">
        <x:v>Primary capture armed</x:v>
      </x:c>
      <x:c r="N850" s="17" t="str">
        <x:v>primary chain records sealed reference and live time</x:v>
      </x:c>
      <x:c r="O850" s="17" t="str">
        <x:v>Primary metrology</x:v>
      </x:c>
      <x:c r="P850" s="9" t="n">
        <x:v>0</x:v>
      </x:c>
      <x:c r="Q850" s="9" t="n">
        <x:v>0</x:v>
      </x:c>
      <x:c r="R850" s="9" t="str">
        <x:v>OPEN / UNSTARTED</x:v>
      </x:c>
      <x:c r="S850" s="9" t="n">
        <x:f>COUNTIFS($A$7:$A$1446,A850)</x:f>
        <x:v>1</x:v>
      </x:c>
    </x:row>
    <x:row r="851">
      <x:c r="A851" s="9" t="str">
        <x:v>EV-AR-ET-A-A-TECH-3-B2-INT-G0-ST05</x:v>
      </x:c>
      <x:c r="B851" s="9" t="str">
        <x:v>EV-AR-ET-A-A-TECH-3-B2-INT-G0</x:v>
      </x:c>
      <x:c r="C851" s="9" t="str">
        <x:v>EOW-AR-ET-A-A-TECH-3-B2-INT-G0</x:v>
      </x:c>
      <x:c r="D851" s="9" t="str">
        <x:v>AR-ET-A-A-TECH-3-B2-INT-G0</x:v>
      </x:c>
      <x:c r="E851" s="9" t="str">
        <x:v>ET-A-A-TECH-3</x:v>
      </x:c>
      <x:c r="F851" s="9" t="str">
        <x:v>ET-A-A</x:v>
      </x:c>
      <x:c r="G851" s="9" t="str">
        <x:v>B2</x:v>
      </x:c>
      <x:c r="H851" s="9" t="str">
        <x:v>INT</x:v>
      </x:c>
      <x:c r="I851" s="9" t="n">
        <x:v>4</x:v>
      </x:c>
      <x:c r="J851" s="9" t="n">
        <x:v>3</x:v>
      </x:c>
      <x:c r="K851" s="9" t="str">
        <x:v>ET-A-A-N1</x:v>
      </x:c>
      <x:c r="L851" s="9" t="str">
        <x:v>ST05</x:v>
      </x:c>
      <x:c r="M851" s="17" t="str">
        <x:v>Witness capture armed</x:v>
      </x:c>
      <x:c r="N851" s="17" t="str">
        <x:v>unlike witness records independent reference and live time</x:v>
      </x:c>
      <x:c r="O851" s="17" t="str">
        <x:v>Witness metrology</x:v>
      </x:c>
      <x:c r="P851" s="9" t="n">
        <x:v>0</x:v>
      </x:c>
      <x:c r="Q851" s="9" t="n">
        <x:v>0</x:v>
      </x:c>
      <x:c r="R851" s="9" t="str">
        <x:v>OPEN / UNSTARTED</x:v>
      </x:c>
      <x:c r="S851" s="9" t="n">
        <x:f>COUNTIFS($A$7:$A$1446,A851)</x:f>
        <x:v>1</x:v>
      </x:c>
    </x:row>
    <x:row r="852">
      <x:c r="A852" s="9" t="str">
        <x:v>EV-AR-ET-A-A-TECH-3-B2-INT-G0-ST06</x:v>
      </x:c>
      <x:c r="B852" s="9" t="str">
        <x:v>EV-AR-ET-A-A-TECH-3-B2-INT-G0</x:v>
      </x:c>
      <x:c r="C852" s="9" t="str">
        <x:v>EOW-AR-ET-A-A-TECH-3-B2-INT-G0</x:v>
      </x:c>
      <x:c r="D852" s="9" t="str">
        <x:v>AR-ET-A-A-TECH-3-B2-INT-G0</x:v>
      </x:c>
      <x:c r="E852" s="9" t="str">
        <x:v>ET-A-A-TECH-3</x:v>
      </x:c>
      <x:c r="F852" s="9" t="str">
        <x:v>ET-A-A</x:v>
      </x:c>
      <x:c r="G852" s="9" t="str">
        <x:v>B2</x:v>
      </x:c>
      <x:c r="H852" s="9" t="str">
        <x:v>INT</x:v>
      </x:c>
      <x:c r="I852" s="9" t="n">
        <x:v>4</x:v>
      </x:c>
      <x:c r="J852" s="9" t="n">
        <x:v>3</x:v>
      </x:c>
      <x:c r="K852" s="9" t="str">
        <x:v>ET-A-A-N1</x:v>
      </x:c>
      <x:c r="L852" s="9" t="str">
        <x:v>ST06</x:v>
      </x:c>
      <x:c r="M852" s="17" t="str">
        <x:v>Public custody armed</x:v>
      </x:c>
      <x:c r="N852" s="17" t="str">
        <x:v>eight raw origins have separated hash and replica routes</x:v>
      </x:c>
      <x:c r="O852" s="17" t="str">
        <x:v>Custody authority</x:v>
      </x:c>
      <x:c r="P852" s="9" t="n">
        <x:v>0</x:v>
      </x:c>
      <x:c r="Q852" s="9" t="n">
        <x:v>0</x:v>
      </x:c>
      <x:c r="R852" s="9" t="str">
        <x:v>OPEN / UNSTARTED</x:v>
      </x:c>
      <x:c r="S852" s="9" t="n">
        <x:f>COUNTIFS($A$7:$A$1446,A852)</x:f>
        <x:v>1</x:v>
      </x:c>
    </x:row>
    <x:row r="853">
      <x:c r="A853" s="9" t="str">
        <x:v>EV-AR-ET-A-A-TECH-3-B2-INT-G0-ST07</x:v>
      </x:c>
      <x:c r="B853" s="9" t="str">
        <x:v>EV-AR-ET-A-A-TECH-3-B2-INT-G0</x:v>
      </x:c>
      <x:c r="C853" s="9" t="str">
        <x:v>EOW-AR-ET-A-A-TECH-3-B2-INT-G0</x:v>
      </x:c>
      <x:c r="D853" s="9" t="str">
        <x:v>AR-ET-A-A-TECH-3-B2-INT-G0</x:v>
      </x:c>
      <x:c r="E853" s="9" t="str">
        <x:v>ET-A-A-TECH-3</x:v>
      </x:c>
      <x:c r="F853" s="9" t="str">
        <x:v>ET-A-A</x:v>
      </x:c>
      <x:c r="G853" s="9" t="str">
        <x:v>B2</x:v>
      </x:c>
      <x:c r="H853" s="9" t="str">
        <x:v>INT</x:v>
      </x:c>
      <x:c r="I853" s="9" t="n">
        <x:v>4</x:v>
      </x:c>
      <x:c r="J853" s="9" t="n">
        <x:v>3</x:v>
      </x:c>
      <x:c r="K853" s="9" t="str">
        <x:v>ET-A-A-N1</x:v>
      </x:c>
      <x:c r="L853" s="9" t="str">
        <x:v>ST07</x:v>
      </x:c>
      <x:c r="M853" s="17" t="str">
        <x:v>Environmental baseline</x:v>
      </x:c>
      <x:c r="N853" s="17" t="str">
        <x:v>pre-event boundary state is sealed before decisive operation</x:v>
      </x:c>
      <x:c r="O853" s="17" t="str">
        <x:v>Site metrology</x:v>
      </x:c>
      <x:c r="P853" s="9" t="n">
        <x:v>0</x:v>
      </x:c>
      <x:c r="Q853" s="9" t="n">
        <x:v>0</x:v>
      </x:c>
      <x:c r="R853" s="9" t="str">
        <x:v>OPEN / UNSTARTED</x:v>
      </x:c>
      <x:c r="S853" s="9" t="n">
        <x:f>COUNTIFS($A$7:$A$1446,A853)</x:f>
        <x:v>1</x:v>
      </x:c>
    </x:row>
    <x:row r="854">
      <x:c r="A854" s="9" t="str">
        <x:v>EV-AR-ET-A-A-TECH-3-B2-INT-G0-ST08</x:v>
      </x:c>
      <x:c r="B854" s="9" t="str">
        <x:v>EV-AR-ET-A-A-TECH-3-B2-INT-G0</x:v>
      </x:c>
      <x:c r="C854" s="9" t="str">
        <x:v>EOW-AR-ET-A-A-TECH-3-B2-INT-G0</x:v>
      </x:c>
      <x:c r="D854" s="9" t="str">
        <x:v>AR-ET-A-A-TECH-3-B2-INT-G0</x:v>
      </x:c>
      <x:c r="E854" s="9" t="str">
        <x:v>ET-A-A-TECH-3</x:v>
      </x:c>
      <x:c r="F854" s="9" t="str">
        <x:v>ET-A-A</x:v>
      </x:c>
      <x:c r="G854" s="9" t="str">
        <x:v>B2</x:v>
      </x:c>
      <x:c r="H854" s="9" t="str">
        <x:v>INT</x:v>
      </x:c>
      <x:c r="I854" s="9" t="n">
        <x:v>4</x:v>
      </x:c>
      <x:c r="J854" s="9" t="n">
        <x:v>3</x:v>
      </x:c>
      <x:c r="K854" s="9" t="str">
        <x:v>ET-A-A-N1</x:v>
      </x:c>
      <x:c r="L854" s="9" t="str">
        <x:v>ST08</x:v>
      </x:c>
      <x:c r="M854" s="17" t="str">
        <x:v>Manual stop and safety</x:v>
      </x:c>
      <x:c r="N854" s="17" t="str">
        <x:v>local stop, evacuation and protection routes are active</x:v>
      </x:c>
      <x:c r="O854" s="17" t="str">
        <x:v>Safety authority</x:v>
      </x:c>
      <x:c r="P854" s="9" t="n">
        <x:v>0</x:v>
      </x:c>
      <x:c r="Q854" s="9" t="n">
        <x:v>0</x:v>
      </x:c>
      <x:c r="R854" s="9" t="str">
        <x:v>OPEN / UNSTARTED</x:v>
      </x:c>
      <x:c r="S854" s="9" t="n">
        <x:f>COUNTIFS($A$7:$A$1446,A854)</x:f>
        <x:v>1</x:v>
      </x:c>
    </x:row>
    <x:row r="855">
      <x:c r="A855" s="9" t="str">
        <x:v>EV-AR-ET-A-A-TECH-3-B2-INT-G0-ST09</x:v>
      </x:c>
      <x:c r="B855" s="9" t="str">
        <x:v>EV-AR-ET-A-A-TECH-3-B2-INT-G0</x:v>
      </x:c>
      <x:c r="C855" s="9" t="str">
        <x:v>EOW-AR-ET-A-A-TECH-3-B2-INT-G0</x:v>
      </x:c>
      <x:c r="D855" s="9" t="str">
        <x:v>AR-ET-A-A-TECH-3-B2-INT-G0</x:v>
      </x:c>
      <x:c r="E855" s="9" t="str">
        <x:v>ET-A-A-TECH-3</x:v>
      </x:c>
      <x:c r="F855" s="9" t="str">
        <x:v>ET-A-A</x:v>
      </x:c>
      <x:c r="G855" s="9" t="str">
        <x:v>B2</x:v>
      </x:c>
      <x:c r="H855" s="9" t="str">
        <x:v>INT</x:v>
      </x:c>
      <x:c r="I855" s="9" t="n">
        <x:v>4</x:v>
      </x:c>
      <x:c r="J855" s="9" t="n">
        <x:v>3</x:v>
      </x:c>
      <x:c r="K855" s="9" t="str">
        <x:v>ET-A-A-N1</x:v>
      </x:c>
      <x:c r="L855" s="9" t="str">
        <x:v>ST09</x:v>
      </x:c>
      <x:c r="M855" s="17" t="str">
        <x:v>Operator conflict clear</x:v>
      </x:c>
      <x:c r="N855" s="17" t="str">
        <x:v>candidate, fixture, safety and measurement control edges remain separated</x:v>
      </x:c>
      <x:c r="O855" s="17" t="str">
        <x:v>Conflict registrar</x:v>
      </x:c>
      <x:c r="P855" s="9" t="n">
        <x:v>0</x:v>
      </x:c>
      <x:c r="Q855" s="9" t="n">
        <x:v>0</x:v>
      </x:c>
      <x:c r="R855" s="9" t="str">
        <x:v>OPEN / UNSTARTED</x:v>
      </x:c>
      <x:c r="S855" s="9" t="n">
        <x:f>COUNTIFS($A$7:$A$1446,A855)</x:f>
        <x:v>1</x:v>
      </x:c>
    </x:row>
    <x:row r="856">
      <x:c r="A856" s="9" t="str">
        <x:v>EV-AR-ET-A-A-TECH-3-B2-INT-G0-ST10</x:v>
      </x:c>
      <x:c r="B856" s="9" t="str">
        <x:v>EV-AR-ET-A-A-TECH-3-B2-INT-G0</x:v>
      </x:c>
      <x:c r="C856" s="9" t="str">
        <x:v>EOW-AR-ET-A-A-TECH-3-B2-INT-G0</x:v>
      </x:c>
      <x:c r="D856" s="9" t="str">
        <x:v>AR-ET-A-A-TECH-3-B2-INT-G0</x:v>
      </x:c>
      <x:c r="E856" s="9" t="str">
        <x:v>ET-A-A-TECH-3</x:v>
      </x:c>
      <x:c r="F856" s="9" t="str">
        <x:v>ET-A-A</x:v>
      </x:c>
      <x:c r="G856" s="9" t="str">
        <x:v>B2</x:v>
      </x:c>
      <x:c r="H856" s="9" t="str">
        <x:v>INT</x:v>
      </x:c>
      <x:c r="I856" s="9" t="n">
        <x:v>4</x:v>
      </x:c>
      <x:c r="J856" s="9" t="n">
        <x:v>3</x:v>
      </x:c>
      <x:c r="K856" s="9" t="str">
        <x:v>ET-A-A-N1</x:v>
      </x:c>
      <x:c r="L856" s="9" t="str">
        <x:v>ST10</x:v>
      </x:c>
      <x:c r="M856" s="17" t="str">
        <x:v>Window and common clock</x:v>
      </x:c>
      <x:c r="N856" s="17" t="str">
        <x:v>epoch, window and public time origin match the issued warrant</x:v>
      </x:c>
      <x:c r="O856" s="17" t="str">
        <x:v>Event clock authority</x:v>
      </x:c>
      <x:c r="P856" s="9" t="n">
        <x:v>0</x:v>
      </x:c>
      <x:c r="Q856" s="9" t="n">
        <x:v>0</x:v>
      </x:c>
      <x:c r="R856" s="9" t="str">
        <x:v>OPEN / UNSTARTED</x:v>
      </x:c>
      <x:c r="S856" s="9" t="n">
        <x:f>COUNTIFS($A$7:$A$1446,A856)</x:f>
        <x:v>1</x:v>
      </x:c>
    </x:row>
    <x:row r="857">
      <x:c r="A857" s="9" t="str">
        <x:v>EV-AR-HC-A-C-TECH-4-B1-RCN-G0-ST01</x:v>
      </x:c>
      <x:c r="B857" s="9" t="str">
        <x:v>EV-AR-HC-A-C-TECH-4-B1-RCN-G0</x:v>
      </x:c>
      <x:c r="C857" s="9" t="str">
        <x:v>EOW-AR-HC-A-C-TECH-4-B1-RCN-G0</x:v>
      </x:c>
      <x:c r="D857" s="9" t="str">
        <x:v>AR-HC-A-C-TECH-4-B1-RCN-G0</x:v>
      </x:c>
      <x:c r="E857" s="9" t="str">
        <x:v>HC-A-C-TECH-4</x:v>
      </x:c>
      <x:c r="F857" s="9" t="str">
        <x:v>HC-A-C</x:v>
      </x:c>
      <x:c r="G857" s="9" t="str">
        <x:v>B1</x:v>
      </x:c>
      <x:c r="H857" s="9" t="str">
        <x:v>RCN</x:v>
      </x:c>
      <x:c r="I857" s="9" t="n">
        <x:v>4</x:v>
      </x:c>
      <x:c r="J857" s="9" t="n">
        <x:v>3</x:v>
      </x:c>
      <x:c r="K857" s="9" t="str">
        <x:v>HC-A-C-N2</x:v>
      </x:c>
      <x:c r="L857" s="9" t="str">
        <x:v>ST01</x:v>
      </x:c>
      <x:c r="M857" s="17" t="str">
        <x:v>Active opportunity warrant</x:v>
      </x:c>
      <x:c r="N857" s="17" t="str">
        <x:v>configuration-bound EOW is within its thirty-six-hour validity</x:v>
      </x:c>
      <x:c r="O857" s="17" t="str">
        <x:v>Start registrar</x:v>
      </x:c>
      <x:c r="P857" s="9" t="n">
        <x:v>0</x:v>
      </x:c>
      <x:c r="Q857" s="9" t="n">
        <x:v>0</x:v>
      </x:c>
      <x:c r="R857" s="9" t="str">
        <x:v>OPEN / UNSTARTED</x:v>
      </x:c>
      <x:c r="S857" s="9" t="n">
        <x:f>COUNTIFS($A$7:$A$1446,A857)</x:f>
        <x:v>1</x:v>
      </x:c>
    </x:row>
    <x:row r="858">
      <x:c r="A858" s="9" t="str">
        <x:v>EV-AR-HC-A-C-TECH-4-B1-RCN-G0-ST02</x:v>
      </x:c>
      <x:c r="B858" s="9" t="str">
        <x:v>EV-AR-HC-A-C-TECH-4-B1-RCN-G0</x:v>
      </x:c>
      <x:c r="C858" s="9" t="str">
        <x:v>EOW-AR-HC-A-C-TECH-4-B1-RCN-G0</x:v>
      </x:c>
      <x:c r="D858" s="9" t="str">
        <x:v>AR-HC-A-C-TECH-4-B1-RCN-G0</x:v>
      </x:c>
      <x:c r="E858" s="9" t="str">
        <x:v>HC-A-C-TECH-4</x:v>
      </x:c>
      <x:c r="F858" s="9" t="str">
        <x:v>HC-A-C</x:v>
      </x:c>
      <x:c r="G858" s="9" t="str">
        <x:v>B1</x:v>
      </x:c>
      <x:c r="H858" s="9" t="str">
        <x:v>RCN</x:v>
      </x:c>
      <x:c r="I858" s="9" t="n">
        <x:v>4</x:v>
      </x:c>
      <x:c r="J858" s="9" t="n">
        <x:v>3</x:v>
      </x:c>
      <x:c r="K858" s="9" t="str">
        <x:v>HC-A-C-N2</x:v>
      </x:c>
      <x:c r="L858" s="9" t="str">
        <x:v>ST02</x:v>
      </x:c>
      <x:c r="M858" s="17" t="str">
        <x:v>Frozen identity</x:v>
      </x:c>
      <x:c r="N858" s="17" t="str">
        <x:v>serial, generation, fixture, site, receiver and digest match the warrant</x:v>
      </x:c>
      <x:c r="O858" s="17" t="str">
        <x:v>Custody authority</x:v>
      </x:c>
      <x:c r="P858" s="9" t="n">
        <x:v>0</x:v>
      </x:c>
      <x:c r="Q858" s="9" t="n">
        <x:v>0</x:v>
      </x:c>
      <x:c r="R858" s="9" t="str">
        <x:v>OPEN / UNSTARTED</x:v>
      </x:c>
      <x:c r="S858" s="9" t="n">
        <x:f>COUNTIFS($A$7:$A$1446,A858)</x:f>
        <x:v>1</x:v>
      </x:c>
    </x:row>
    <x:row r="859">
      <x:c r="A859" s="9" t="str">
        <x:v>EV-AR-HC-A-C-TECH-4-B1-RCN-G0-ST03</x:v>
      </x:c>
      <x:c r="B859" s="9" t="str">
        <x:v>EV-AR-HC-A-C-TECH-4-B1-RCN-G0</x:v>
      </x:c>
      <x:c r="C859" s="9" t="str">
        <x:v>EOW-AR-HC-A-C-TECH-4-B1-RCN-G0</x:v>
      </x:c>
      <x:c r="D859" s="9" t="str">
        <x:v>AR-HC-A-C-TECH-4-B1-RCN-G0</x:v>
      </x:c>
      <x:c r="E859" s="9" t="str">
        <x:v>HC-A-C-TECH-4</x:v>
      </x:c>
      <x:c r="F859" s="9" t="str">
        <x:v>HC-A-C</x:v>
      </x:c>
      <x:c r="G859" s="9" t="str">
        <x:v>B1</x:v>
      </x:c>
      <x:c r="H859" s="9" t="str">
        <x:v>RCN</x:v>
      </x:c>
      <x:c r="I859" s="9" t="n">
        <x:v>4</x:v>
      </x:c>
      <x:c r="J859" s="9" t="n">
        <x:v>3</x:v>
      </x:c>
      <x:c r="K859" s="9" t="str">
        <x:v>HC-A-C-N2</x:v>
      </x:c>
      <x:c r="L859" s="9" t="str">
        <x:v>ST03</x:v>
      </x:c>
      <x:c r="M859" s="17" t="str">
        <x:v>Receiver receipt</x:v>
      </x:c>
      <x:c r="N859" s="17" t="str">
        <x:v>denominator, counterfactual, rights and stop receipt remain unchanged</x:v>
      </x:c>
      <x:c r="O859" s="17" t="str">
        <x:v>Receiver authority</x:v>
      </x:c>
      <x:c r="P859" s="9" t="n">
        <x:v>0</x:v>
      </x:c>
      <x:c r="Q859" s="9" t="n">
        <x:v>0</x:v>
      </x:c>
      <x:c r="R859" s="9" t="str">
        <x:v>OPEN / UNSTARTED</x:v>
      </x:c>
      <x:c r="S859" s="9" t="n">
        <x:f>COUNTIFS($A$7:$A$1446,A859)</x:f>
        <x:v>1</x:v>
      </x:c>
    </x:row>
    <x:row r="860">
      <x:c r="A860" s="9" t="str">
        <x:v>EV-AR-HC-A-C-TECH-4-B1-RCN-G0-ST04</x:v>
      </x:c>
      <x:c r="B860" s="9" t="str">
        <x:v>EV-AR-HC-A-C-TECH-4-B1-RCN-G0</x:v>
      </x:c>
      <x:c r="C860" s="9" t="str">
        <x:v>EOW-AR-HC-A-C-TECH-4-B1-RCN-G0</x:v>
      </x:c>
      <x:c r="D860" s="9" t="str">
        <x:v>AR-HC-A-C-TECH-4-B1-RCN-G0</x:v>
      </x:c>
      <x:c r="E860" s="9" t="str">
        <x:v>HC-A-C-TECH-4</x:v>
      </x:c>
      <x:c r="F860" s="9" t="str">
        <x:v>HC-A-C</x:v>
      </x:c>
      <x:c r="G860" s="9" t="str">
        <x:v>B1</x:v>
      </x:c>
      <x:c r="H860" s="9" t="str">
        <x:v>RCN</x:v>
      </x:c>
      <x:c r="I860" s="9" t="n">
        <x:v>4</x:v>
      </x:c>
      <x:c r="J860" s="9" t="n">
        <x:v>3</x:v>
      </x:c>
      <x:c r="K860" s="9" t="str">
        <x:v>HC-A-C-N2</x:v>
      </x:c>
      <x:c r="L860" s="9" t="str">
        <x:v>ST04</x:v>
      </x:c>
      <x:c r="M860" s="17" t="str">
        <x:v>Primary capture armed</x:v>
      </x:c>
      <x:c r="N860" s="17" t="str">
        <x:v>primary chain records sealed reference and live time</x:v>
      </x:c>
      <x:c r="O860" s="17" t="str">
        <x:v>Primary metrology</x:v>
      </x:c>
      <x:c r="P860" s="9" t="n">
        <x:v>0</x:v>
      </x:c>
      <x:c r="Q860" s="9" t="n">
        <x:v>0</x:v>
      </x:c>
      <x:c r="R860" s="9" t="str">
        <x:v>OPEN / UNSTARTED</x:v>
      </x:c>
      <x:c r="S860" s="9" t="n">
        <x:f>COUNTIFS($A$7:$A$1446,A860)</x:f>
        <x:v>1</x:v>
      </x:c>
    </x:row>
    <x:row r="861">
      <x:c r="A861" s="9" t="str">
        <x:v>EV-AR-HC-A-C-TECH-4-B1-RCN-G0-ST05</x:v>
      </x:c>
      <x:c r="B861" s="9" t="str">
        <x:v>EV-AR-HC-A-C-TECH-4-B1-RCN-G0</x:v>
      </x:c>
      <x:c r="C861" s="9" t="str">
        <x:v>EOW-AR-HC-A-C-TECH-4-B1-RCN-G0</x:v>
      </x:c>
      <x:c r="D861" s="9" t="str">
        <x:v>AR-HC-A-C-TECH-4-B1-RCN-G0</x:v>
      </x:c>
      <x:c r="E861" s="9" t="str">
        <x:v>HC-A-C-TECH-4</x:v>
      </x:c>
      <x:c r="F861" s="9" t="str">
        <x:v>HC-A-C</x:v>
      </x:c>
      <x:c r="G861" s="9" t="str">
        <x:v>B1</x:v>
      </x:c>
      <x:c r="H861" s="9" t="str">
        <x:v>RCN</x:v>
      </x:c>
      <x:c r="I861" s="9" t="n">
        <x:v>4</x:v>
      </x:c>
      <x:c r="J861" s="9" t="n">
        <x:v>3</x:v>
      </x:c>
      <x:c r="K861" s="9" t="str">
        <x:v>HC-A-C-N2</x:v>
      </x:c>
      <x:c r="L861" s="9" t="str">
        <x:v>ST05</x:v>
      </x:c>
      <x:c r="M861" s="17" t="str">
        <x:v>Witness capture armed</x:v>
      </x:c>
      <x:c r="N861" s="17" t="str">
        <x:v>unlike witness records independent reference and live time</x:v>
      </x:c>
      <x:c r="O861" s="17" t="str">
        <x:v>Witness metrology</x:v>
      </x:c>
      <x:c r="P861" s="9" t="n">
        <x:v>0</x:v>
      </x:c>
      <x:c r="Q861" s="9" t="n">
        <x:v>0</x:v>
      </x:c>
      <x:c r="R861" s="9" t="str">
        <x:v>OPEN / UNSTARTED</x:v>
      </x:c>
      <x:c r="S861" s="9" t="n">
        <x:f>COUNTIFS($A$7:$A$1446,A861)</x:f>
        <x:v>1</x:v>
      </x:c>
    </x:row>
    <x:row r="862">
      <x:c r="A862" s="9" t="str">
        <x:v>EV-AR-HC-A-C-TECH-4-B1-RCN-G0-ST06</x:v>
      </x:c>
      <x:c r="B862" s="9" t="str">
        <x:v>EV-AR-HC-A-C-TECH-4-B1-RCN-G0</x:v>
      </x:c>
      <x:c r="C862" s="9" t="str">
        <x:v>EOW-AR-HC-A-C-TECH-4-B1-RCN-G0</x:v>
      </x:c>
      <x:c r="D862" s="9" t="str">
        <x:v>AR-HC-A-C-TECH-4-B1-RCN-G0</x:v>
      </x:c>
      <x:c r="E862" s="9" t="str">
        <x:v>HC-A-C-TECH-4</x:v>
      </x:c>
      <x:c r="F862" s="9" t="str">
        <x:v>HC-A-C</x:v>
      </x:c>
      <x:c r="G862" s="9" t="str">
        <x:v>B1</x:v>
      </x:c>
      <x:c r="H862" s="9" t="str">
        <x:v>RCN</x:v>
      </x:c>
      <x:c r="I862" s="9" t="n">
        <x:v>4</x:v>
      </x:c>
      <x:c r="J862" s="9" t="n">
        <x:v>3</x:v>
      </x:c>
      <x:c r="K862" s="9" t="str">
        <x:v>HC-A-C-N2</x:v>
      </x:c>
      <x:c r="L862" s="9" t="str">
        <x:v>ST06</x:v>
      </x:c>
      <x:c r="M862" s="17" t="str">
        <x:v>Public custody armed</x:v>
      </x:c>
      <x:c r="N862" s="17" t="str">
        <x:v>eight raw origins have separated hash and replica routes</x:v>
      </x:c>
      <x:c r="O862" s="17" t="str">
        <x:v>Custody authority</x:v>
      </x:c>
      <x:c r="P862" s="9" t="n">
        <x:v>0</x:v>
      </x:c>
      <x:c r="Q862" s="9" t="n">
        <x:v>0</x:v>
      </x:c>
      <x:c r="R862" s="9" t="str">
        <x:v>OPEN / UNSTARTED</x:v>
      </x:c>
      <x:c r="S862" s="9" t="n">
        <x:f>COUNTIFS($A$7:$A$1446,A862)</x:f>
        <x:v>1</x:v>
      </x:c>
    </x:row>
    <x:row r="863">
      <x:c r="A863" s="9" t="str">
        <x:v>EV-AR-HC-A-C-TECH-4-B1-RCN-G0-ST07</x:v>
      </x:c>
      <x:c r="B863" s="9" t="str">
        <x:v>EV-AR-HC-A-C-TECH-4-B1-RCN-G0</x:v>
      </x:c>
      <x:c r="C863" s="9" t="str">
        <x:v>EOW-AR-HC-A-C-TECH-4-B1-RCN-G0</x:v>
      </x:c>
      <x:c r="D863" s="9" t="str">
        <x:v>AR-HC-A-C-TECH-4-B1-RCN-G0</x:v>
      </x:c>
      <x:c r="E863" s="9" t="str">
        <x:v>HC-A-C-TECH-4</x:v>
      </x:c>
      <x:c r="F863" s="9" t="str">
        <x:v>HC-A-C</x:v>
      </x:c>
      <x:c r="G863" s="9" t="str">
        <x:v>B1</x:v>
      </x:c>
      <x:c r="H863" s="9" t="str">
        <x:v>RCN</x:v>
      </x:c>
      <x:c r="I863" s="9" t="n">
        <x:v>4</x:v>
      </x:c>
      <x:c r="J863" s="9" t="n">
        <x:v>3</x:v>
      </x:c>
      <x:c r="K863" s="9" t="str">
        <x:v>HC-A-C-N2</x:v>
      </x:c>
      <x:c r="L863" s="9" t="str">
        <x:v>ST07</x:v>
      </x:c>
      <x:c r="M863" s="17" t="str">
        <x:v>Environmental baseline</x:v>
      </x:c>
      <x:c r="N863" s="17" t="str">
        <x:v>pre-event boundary state is sealed before decisive operation</x:v>
      </x:c>
      <x:c r="O863" s="17" t="str">
        <x:v>Site metrology</x:v>
      </x:c>
      <x:c r="P863" s="9" t="n">
        <x:v>0</x:v>
      </x:c>
      <x:c r="Q863" s="9" t="n">
        <x:v>0</x:v>
      </x:c>
      <x:c r="R863" s="9" t="str">
        <x:v>OPEN / UNSTARTED</x:v>
      </x:c>
      <x:c r="S863" s="9" t="n">
        <x:f>COUNTIFS($A$7:$A$1446,A863)</x:f>
        <x:v>1</x:v>
      </x:c>
    </x:row>
    <x:row r="864">
      <x:c r="A864" s="9" t="str">
        <x:v>EV-AR-HC-A-C-TECH-4-B1-RCN-G0-ST08</x:v>
      </x:c>
      <x:c r="B864" s="9" t="str">
        <x:v>EV-AR-HC-A-C-TECH-4-B1-RCN-G0</x:v>
      </x:c>
      <x:c r="C864" s="9" t="str">
        <x:v>EOW-AR-HC-A-C-TECH-4-B1-RCN-G0</x:v>
      </x:c>
      <x:c r="D864" s="9" t="str">
        <x:v>AR-HC-A-C-TECH-4-B1-RCN-G0</x:v>
      </x:c>
      <x:c r="E864" s="9" t="str">
        <x:v>HC-A-C-TECH-4</x:v>
      </x:c>
      <x:c r="F864" s="9" t="str">
        <x:v>HC-A-C</x:v>
      </x:c>
      <x:c r="G864" s="9" t="str">
        <x:v>B1</x:v>
      </x:c>
      <x:c r="H864" s="9" t="str">
        <x:v>RCN</x:v>
      </x:c>
      <x:c r="I864" s="9" t="n">
        <x:v>4</x:v>
      </x:c>
      <x:c r="J864" s="9" t="n">
        <x:v>3</x:v>
      </x:c>
      <x:c r="K864" s="9" t="str">
        <x:v>HC-A-C-N2</x:v>
      </x:c>
      <x:c r="L864" s="9" t="str">
        <x:v>ST08</x:v>
      </x:c>
      <x:c r="M864" s="17" t="str">
        <x:v>Manual stop and safety</x:v>
      </x:c>
      <x:c r="N864" s="17" t="str">
        <x:v>local stop, evacuation and protection routes are active</x:v>
      </x:c>
      <x:c r="O864" s="17" t="str">
        <x:v>Safety authority</x:v>
      </x:c>
      <x:c r="P864" s="9" t="n">
        <x:v>0</x:v>
      </x:c>
      <x:c r="Q864" s="9" t="n">
        <x:v>0</x:v>
      </x:c>
      <x:c r="R864" s="9" t="str">
        <x:v>OPEN / UNSTARTED</x:v>
      </x:c>
      <x:c r="S864" s="9" t="n">
        <x:f>COUNTIFS($A$7:$A$1446,A864)</x:f>
        <x:v>1</x:v>
      </x:c>
    </x:row>
    <x:row r="865">
      <x:c r="A865" s="9" t="str">
        <x:v>EV-AR-HC-A-C-TECH-4-B1-RCN-G0-ST09</x:v>
      </x:c>
      <x:c r="B865" s="9" t="str">
        <x:v>EV-AR-HC-A-C-TECH-4-B1-RCN-G0</x:v>
      </x:c>
      <x:c r="C865" s="9" t="str">
        <x:v>EOW-AR-HC-A-C-TECH-4-B1-RCN-G0</x:v>
      </x:c>
      <x:c r="D865" s="9" t="str">
        <x:v>AR-HC-A-C-TECH-4-B1-RCN-G0</x:v>
      </x:c>
      <x:c r="E865" s="9" t="str">
        <x:v>HC-A-C-TECH-4</x:v>
      </x:c>
      <x:c r="F865" s="9" t="str">
        <x:v>HC-A-C</x:v>
      </x:c>
      <x:c r="G865" s="9" t="str">
        <x:v>B1</x:v>
      </x:c>
      <x:c r="H865" s="9" t="str">
        <x:v>RCN</x:v>
      </x:c>
      <x:c r="I865" s="9" t="n">
        <x:v>4</x:v>
      </x:c>
      <x:c r="J865" s="9" t="n">
        <x:v>3</x:v>
      </x:c>
      <x:c r="K865" s="9" t="str">
        <x:v>HC-A-C-N2</x:v>
      </x:c>
      <x:c r="L865" s="9" t="str">
        <x:v>ST09</x:v>
      </x:c>
      <x:c r="M865" s="17" t="str">
        <x:v>Operator conflict clear</x:v>
      </x:c>
      <x:c r="N865" s="17" t="str">
        <x:v>candidate, fixture, safety and measurement control edges remain separated</x:v>
      </x:c>
      <x:c r="O865" s="17" t="str">
        <x:v>Conflict registrar</x:v>
      </x:c>
      <x:c r="P865" s="9" t="n">
        <x:v>0</x:v>
      </x:c>
      <x:c r="Q865" s="9" t="n">
        <x:v>0</x:v>
      </x:c>
      <x:c r="R865" s="9" t="str">
        <x:v>OPEN / UNSTARTED</x:v>
      </x:c>
      <x:c r="S865" s="9" t="n">
        <x:f>COUNTIFS($A$7:$A$1446,A865)</x:f>
        <x:v>1</x:v>
      </x:c>
    </x:row>
    <x:row r="866">
      <x:c r="A866" s="9" t="str">
        <x:v>EV-AR-HC-A-C-TECH-4-B1-RCN-G0-ST10</x:v>
      </x:c>
      <x:c r="B866" s="9" t="str">
        <x:v>EV-AR-HC-A-C-TECH-4-B1-RCN-G0</x:v>
      </x:c>
      <x:c r="C866" s="9" t="str">
        <x:v>EOW-AR-HC-A-C-TECH-4-B1-RCN-G0</x:v>
      </x:c>
      <x:c r="D866" s="9" t="str">
        <x:v>AR-HC-A-C-TECH-4-B1-RCN-G0</x:v>
      </x:c>
      <x:c r="E866" s="9" t="str">
        <x:v>HC-A-C-TECH-4</x:v>
      </x:c>
      <x:c r="F866" s="9" t="str">
        <x:v>HC-A-C</x:v>
      </x:c>
      <x:c r="G866" s="9" t="str">
        <x:v>B1</x:v>
      </x:c>
      <x:c r="H866" s="9" t="str">
        <x:v>RCN</x:v>
      </x:c>
      <x:c r="I866" s="9" t="n">
        <x:v>4</x:v>
      </x:c>
      <x:c r="J866" s="9" t="n">
        <x:v>3</x:v>
      </x:c>
      <x:c r="K866" s="9" t="str">
        <x:v>HC-A-C-N2</x:v>
      </x:c>
      <x:c r="L866" s="9" t="str">
        <x:v>ST10</x:v>
      </x:c>
      <x:c r="M866" s="17" t="str">
        <x:v>Window and common clock</x:v>
      </x:c>
      <x:c r="N866" s="17" t="str">
        <x:v>epoch, window and public time origin match the issued warrant</x:v>
      </x:c>
      <x:c r="O866" s="17" t="str">
        <x:v>Event clock authority</x:v>
      </x:c>
      <x:c r="P866" s="9" t="n">
        <x:v>0</x:v>
      </x:c>
      <x:c r="Q866" s="9" t="n">
        <x:v>0</x:v>
      </x:c>
      <x:c r="R866" s="9" t="str">
        <x:v>OPEN / UNSTARTED</x:v>
      </x:c>
      <x:c r="S866" s="9" t="n">
        <x:f>COUNTIFS($A$7:$A$1446,A866)</x:f>
        <x:v>1</x:v>
      </x:c>
    </x:row>
    <x:row r="867">
      <x:c r="A867" s="9" t="str">
        <x:v>EV-AR-HC-A-C-TECH-2-B1-INT-G0-ST01</x:v>
      </x:c>
      <x:c r="B867" s="9" t="str">
        <x:v>EV-AR-HC-A-C-TECH-2-B1-INT-G0</x:v>
      </x:c>
      <x:c r="C867" s="9" t="str">
        <x:v>EOW-AR-HC-A-C-TECH-2-B1-INT-G0</x:v>
      </x:c>
      <x:c r="D867" s="9" t="str">
        <x:v>AR-HC-A-C-TECH-2-B1-INT-G0</x:v>
      </x:c>
      <x:c r="E867" s="9" t="str">
        <x:v>HC-A-C-TECH-2</x:v>
      </x:c>
      <x:c r="F867" s="9" t="str">
        <x:v>HC-A-C</x:v>
      </x:c>
      <x:c r="G867" s="9" t="str">
        <x:v>B1</x:v>
      </x:c>
      <x:c r="H867" s="9" t="str">
        <x:v>INT</x:v>
      </x:c>
      <x:c r="I867" s="9" t="n">
        <x:v>4</x:v>
      </x:c>
      <x:c r="J867" s="9" t="n">
        <x:v>3</x:v>
      </x:c>
      <x:c r="K867" s="9" t="str">
        <x:v>HC-A-C-N3</x:v>
      </x:c>
      <x:c r="L867" s="9" t="str">
        <x:v>ST01</x:v>
      </x:c>
      <x:c r="M867" s="17" t="str">
        <x:v>Active opportunity warrant</x:v>
      </x:c>
      <x:c r="N867" s="17" t="str">
        <x:v>configuration-bound EOW is within its thirty-six-hour validity</x:v>
      </x:c>
      <x:c r="O867" s="17" t="str">
        <x:v>Start registrar</x:v>
      </x:c>
      <x:c r="P867" s="9" t="n">
        <x:v>0</x:v>
      </x:c>
      <x:c r="Q867" s="9" t="n">
        <x:v>0</x:v>
      </x:c>
      <x:c r="R867" s="9" t="str">
        <x:v>OPEN / UNSTARTED</x:v>
      </x:c>
      <x:c r="S867" s="9" t="n">
        <x:f>COUNTIFS($A$7:$A$1446,A867)</x:f>
        <x:v>1</x:v>
      </x:c>
    </x:row>
    <x:row r="868">
      <x:c r="A868" s="9" t="str">
        <x:v>EV-AR-HC-A-C-TECH-2-B1-INT-G0-ST02</x:v>
      </x:c>
      <x:c r="B868" s="9" t="str">
        <x:v>EV-AR-HC-A-C-TECH-2-B1-INT-G0</x:v>
      </x:c>
      <x:c r="C868" s="9" t="str">
        <x:v>EOW-AR-HC-A-C-TECH-2-B1-INT-G0</x:v>
      </x:c>
      <x:c r="D868" s="9" t="str">
        <x:v>AR-HC-A-C-TECH-2-B1-INT-G0</x:v>
      </x:c>
      <x:c r="E868" s="9" t="str">
        <x:v>HC-A-C-TECH-2</x:v>
      </x:c>
      <x:c r="F868" s="9" t="str">
        <x:v>HC-A-C</x:v>
      </x:c>
      <x:c r="G868" s="9" t="str">
        <x:v>B1</x:v>
      </x:c>
      <x:c r="H868" s="9" t="str">
        <x:v>INT</x:v>
      </x:c>
      <x:c r="I868" s="9" t="n">
        <x:v>4</x:v>
      </x:c>
      <x:c r="J868" s="9" t="n">
        <x:v>3</x:v>
      </x:c>
      <x:c r="K868" s="9" t="str">
        <x:v>HC-A-C-N3</x:v>
      </x:c>
      <x:c r="L868" s="9" t="str">
        <x:v>ST02</x:v>
      </x:c>
      <x:c r="M868" s="17" t="str">
        <x:v>Frozen identity</x:v>
      </x:c>
      <x:c r="N868" s="17" t="str">
        <x:v>serial, generation, fixture, site, receiver and digest match the warrant</x:v>
      </x:c>
      <x:c r="O868" s="17" t="str">
        <x:v>Custody authority</x:v>
      </x:c>
      <x:c r="P868" s="9" t="n">
        <x:v>0</x:v>
      </x:c>
      <x:c r="Q868" s="9" t="n">
        <x:v>0</x:v>
      </x:c>
      <x:c r="R868" s="9" t="str">
        <x:v>OPEN / UNSTARTED</x:v>
      </x:c>
      <x:c r="S868" s="9" t="n">
        <x:f>COUNTIFS($A$7:$A$1446,A868)</x:f>
        <x:v>1</x:v>
      </x:c>
    </x:row>
    <x:row r="869">
      <x:c r="A869" s="9" t="str">
        <x:v>EV-AR-HC-A-C-TECH-2-B1-INT-G0-ST03</x:v>
      </x:c>
      <x:c r="B869" s="9" t="str">
        <x:v>EV-AR-HC-A-C-TECH-2-B1-INT-G0</x:v>
      </x:c>
      <x:c r="C869" s="9" t="str">
        <x:v>EOW-AR-HC-A-C-TECH-2-B1-INT-G0</x:v>
      </x:c>
      <x:c r="D869" s="9" t="str">
        <x:v>AR-HC-A-C-TECH-2-B1-INT-G0</x:v>
      </x:c>
      <x:c r="E869" s="9" t="str">
        <x:v>HC-A-C-TECH-2</x:v>
      </x:c>
      <x:c r="F869" s="9" t="str">
        <x:v>HC-A-C</x:v>
      </x:c>
      <x:c r="G869" s="9" t="str">
        <x:v>B1</x:v>
      </x:c>
      <x:c r="H869" s="9" t="str">
        <x:v>INT</x:v>
      </x:c>
      <x:c r="I869" s="9" t="n">
        <x:v>4</x:v>
      </x:c>
      <x:c r="J869" s="9" t="n">
        <x:v>3</x:v>
      </x:c>
      <x:c r="K869" s="9" t="str">
        <x:v>HC-A-C-N3</x:v>
      </x:c>
      <x:c r="L869" s="9" t="str">
        <x:v>ST03</x:v>
      </x:c>
      <x:c r="M869" s="17" t="str">
        <x:v>Receiver receipt</x:v>
      </x:c>
      <x:c r="N869" s="17" t="str">
        <x:v>denominator, counterfactual, rights and stop receipt remain unchanged</x:v>
      </x:c>
      <x:c r="O869" s="17" t="str">
        <x:v>Receiver authority</x:v>
      </x:c>
      <x:c r="P869" s="9" t="n">
        <x:v>0</x:v>
      </x:c>
      <x:c r="Q869" s="9" t="n">
        <x:v>0</x:v>
      </x:c>
      <x:c r="R869" s="9" t="str">
        <x:v>OPEN / UNSTARTED</x:v>
      </x:c>
      <x:c r="S869" s="9" t="n">
        <x:f>COUNTIFS($A$7:$A$1446,A869)</x:f>
        <x:v>1</x:v>
      </x:c>
    </x:row>
    <x:row r="870">
      <x:c r="A870" s="9" t="str">
        <x:v>EV-AR-HC-A-C-TECH-2-B1-INT-G0-ST04</x:v>
      </x:c>
      <x:c r="B870" s="9" t="str">
        <x:v>EV-AR-HC-A-C-TECH-2-B1-INT-G0</x:v>
      </x:c>
      <x:c r="C870" s="9" t="str">
        <x:v>EOW-AR-HC-A-C-TECH-2-B1-INT-G0</x:v>
      </x:c>
      <x:c r="D870" s="9" t="str">
        <x:v>AR-HC-A-C-TECH-2-B1-INT-G0</x:v>
      </x:c>
      <x:c r="E870" s="9" t="str">
        <x:v>HC-A-C-TECH-2</x:v>
      </x:c>
      <x:c r="F870" s="9" t="str">
        <x:v>HC-A-C</x:v>
      </x:c>
      <x:c r="G870" s="9" t="str">
        <x:v>B1</x:v>
      </x:c>
      <x:c r="H870" s="9" t="str">
        <x:v>INT</x:v>
      </x:c>
      <x:c r="I870" s="9" t="n">
        <x:v>4</x:v>
      </x:c>
      <x:c r="J870" s="9" t="n">
        <x:v>3</x:v>
      </x:c>
      <x:c r="K870" s="9" t="str">
        <x:v>HC-A-C-N3</x:v>
      </x:c>
      <x:c r="L870" s="9" t="str">
        <x:v>ST04</x:v>
      </x:c>
      <x:c r="M870" s="17" t="str">
        <x:v>Primary capture armed</x:v>
      </x:c>
      <x:c r="N870" s="17" t="str">
        <x:v>primary chain records sealed reference and live time</x:v>
      </x:c>
      <x:c r="O870" s="17" t="str">
        <x:v>Primary metrology</x:v>
      </x:c>
      <x:c r="P870" s="9" t="n">
        <x:v>0</x:v>
      </x:c>
      <x:c r="Q870" s="9" t="n">
        <x:v>0</x:v>
      </x:c>
      <x:c r="R870" s="9" t="str">
        <x:v>OPEN / UNSTARTED</x:v>
      </x:c>
      <x:c r="S870" s="9" t="n">
        <x:f>COUNTIFS($A$7:$A$1446,A870)</x:f>
        <x:v>1</x:v>
      </x:c>
    </x:row>
    <x:row r="871">
      <x:c r="A871" s="9" t="str">
        <x:v>EV-AR-HC-A-C-TECH-2-B1-INT-G0-ST05</x:v>
      </x:c>
      <x:c r="B871" s="9" t="str">
        <x:v>EV-AR-HC-A-C-TECH-2-B1-INT-G0</x:v>
      </x:c>
      <x:c r="C871" s="9" t="str">
        <x:v>EOW-AR-HC-A-C-TECH-2-B1-INT-G0</x:v>
      </x:c>
      <x:c r="D871" s="9" t="str">
        <x:v>AR-HC-A-C-TECH-2-B1-INT-G0</x:v>
      </x:c>
      <x:c r="E871" s="9" t="str">
        <x:v>HC-A-C-TECH-2</x:v>
      </x:c>
      <x:c r="F871" s="9" t="str">
        <x:v>HC-A-C</x:v>
      </x:c>
      <x:c r="G871" s="9" t="str">
        <x:v>B1</x:v>
      </x:c>
      <x:c r="H871" s="9" t="str">
        <x:v>INT</x:v>
      </x:c>
      <x:c r="I871" s="9" t="n">
        <x:v>4</x:v>
      </x:c>
      <x:c r="J871" s="9" t="n">
        <x:v>3</x:v>
      </x:c>
      <x:c r="K871" s="9" t="str">
        <x:v>HC-A-C-N3</x:v>
      </x:c>
      <x:c r="L871" s="9" t="str">
        <x:v>ST05</x:v>
      </x:c>
      <x:c r="M871" s="17" t="str">
        <x:v>Witness capture armed</x:v>
      </x:c>
      <x:c r="N871" s="17" t="str">
        <x:v>unlike witness records independent reference and live time</x:v>
      </x:c>
      <x:c r="O871" s="17" t="str">
        <x:v>Witness metrology</x:v>
      </x:c>
      <x:c r="P871" s="9" t="n">
        <x:v>0</x:v>
      </x:c>
      <x:c r="Q871" s="9" t="n">
        <x:v>0</x:v>
      </x:c>
      <x:c r="R871" s="9" t="str">
        <x:v>OPEN / UNSTARTED</x:v>
      </x:c>
      <x:c r="S871" s="9" t="n">
        <x:f>COUNTIFS($A$7:$A$1446,A871)</x:f>
        <x:v>1</x:v>
      </x:c>
    </x:row>
    <x:row r="872">
      <x:c r="A872" s="9" t="str">
        <x:v>EV-AR-HC-A-C-TECH-2-B1-INT-G0-ST06</x:v>
      </x:c>
      <x:c r="B872" s="9" t="str">
        <x:v>EV-AR-HC-A-C-TECH-2-B1-INT-G0</x:v>
      </x:c>
      <x:c r="C872" s="9" t="str">
        <x:v>EOW-AR-HC-A-C-TECH-2-B1-INT-G0</x:v>
      </x:c>
      <x:c r="D872" s="9" t="str">
        <x:v>AR-HC-A-C-TECH-2-B1-INT-G0</x:v>
      </x:c>
      <x:c r="E872" s="9" t="str">
        <x:v>HC-A-C-TECH-2</x:v>
      </x:c>
      <x:c r="F872" s="9" t="str">
        <x:v>HC-A-C</x:v>
      </x:c>
      <x:c r="G872" s="9" t="str">
        <x:v>B1</x:v>
      </x:c>
      <x:c r="H872" s="9" t="str">
        <x:v>INT</x:v>
      </x:c>
      <x:c r="I872" s="9" t="n">
        <x:v>4</x:v>
      </x:c>
      <x:c r="J872" s="9" t="n">
        <x:v>3</x:v>
      </x:c>
      <x:c r="K872" s="9" t="str">
        <x:v>HC-A-C-N3</x:v>
      </x:c>
      <x:c r="L872" s="9" t="str">
        <x:v>ST06</x:v>
      </x:c>
      <x:c r="M872" s="17" t="str">
        <x:v>Public custody armed</x:v>
      </x:c>
      <x:c r="N872" s="17" t="str">
        <x:v>eight raw origins have separated hash and replica routes</x:v>
      </x:c>
      <x:c r="O872" s="17" t="str">
        <x:v>Custody authority</x:v>
      </x:c>
      <x:c r="P872" s="9" t="n">
        <x:v>0</x:v>
      </x:c>
      <x:c r="Q872" s="9" t="n">
        <x:v>0</x:v>
      </x:c>
      <x:c r="R872" s="9" t="str">
        <x:v>OPEN / UNSTARTED</x:v>
      </x:c>
      <x:c r="S872" s="9" t="n">
        <x:f>COUNTIFS($A$7:$A$1446,A872)</x:f>
        <x:v>1</x:v>
      </x:c>
    </x:row>
    <x:row r="873">
      <x:c r="A873" s="9" t="str">
        <x:v>EV-AR-HC-A-C-TECH-2-B1-INT-G0-ST07</x:v>
      </x:c>
      <x:c r="B873" s="9" t="str">
        <x:v>EV-AR-HC-A-C-TECH-2-B1-INT-G0</x:v>
      </x:c>
      <x:c r="C873" s="9" t="str">
        <x:v>EOW-AR-HC-A-C-TECH-2-B1-INT-G0</x:v>
      </x:c>
      <x:c r="D873" s="9" t="str">
        <x:v>AR-HC-A-C-TECH-2-B1-INT-G0</x:v>
      </x:c>
      <x:c r="E873" s="9" t="str">
        <x:v>HC-A-C-TECH-2</x:v>
      </x:c>
      <x:c r="F873" s="9" t="str">
        <x:v>HC-A-C</x:v>
      </x:c>
      <x:c r="G873" s="9" t="str">
        <x:v>B1</x:v>
      </x:c>
      <x:c r="H873" s="9" t="str">
        <x:v>INT</x:v>
      </x:c>
      <x:c r="I873" s="9" t="n">
        <x:v>4</x:v>
      </x:c>
      <x:c r="J873" s="9" t="n">
        <x:v>3</x:v>
      </x:c>
      <x:c r="K873" s="9" t="str">
        <x:v>HC-A-C-N3</x:v>
      </x:c>
      <x:c r="L873" s="9" t="str">
        <x:v>ST07</x:v>
      </x:c>
      <x:c r="M873" s="17" t="str">
        <x:v>Environmental baseline</x:v>
      </x:c>
      <x:c r="N873" s="17" t="str">
        <x:v>pre-event boundary state is sealed before decisive operation</x:v>
      </x:c>
      <x:c r="O873" s="17" t="str">
        <x:v>Site metrology</x:v>
      </x:c>
      <x:c r="P873" s="9" t="n">
        <x:v>0</x:v>
      </x:c>
      <x:c r="Q873" s="9" t="n">
        <x:v>0</x:v>
      </x:c>
      <x:c r="R873" s="9" t="str">
        <x:v>OPEN / UNSTARTED</x:v>
      </x:c>
      <x:c r="S873" s="9" t="n">
        <x:f>COUNTIFS($A$7:$A$1446,A873)</x:f>
        <x:v>1</x:v>
      </x:c>
    </x:row>
    <x:row r="874">
      <x:c r="A874" s="9" t="str">
        <x:v>EV-AR-HC-A-C-TECH-2-B1-INT-G0-ST08</x:v>
      </x:c>
      <x:c r="B874" s="9" t="str">
        <x:v>EV-AR-HC-A-C-TECH-2-B1-INT-G0</x:v>
      </x:c>
      <x:c r="C874" s="9" t="str">
        <x:v>EOW-AR-HC-A-C-TECH-2-B1-INT-G0</x:v>
      </x:c>
      <x:c r="D874" s="9" t="str">
        <x:v>AR-HC-A-C-TECH-2-B1-INT-G0</x:v>
      </x:c>
      <x:c r="E874" s="9" t="str">
        <x:v>HC-A-C-TECH-2</x:v>
      </x:c>
      <x:c r="F874" s="9" t="str">
        <x:v>HC-A-C</x:v>
      </x:c>
      <x:c r="G874" s="9" t="str">
        <x:v>B1</x:v>
      </x:c>
      <x:c r="H874" s="9" t="str">
        <x:v>INT</x:v>
      </x:c>
      <x:c r="I874" s="9" t="n">
        <x:v>4</x:v>
      </x:c>
      <x:c r="J874" s="9" t="n">
        <x:v>3</x:v>
      </x:c>
      <x:c r="K874" s="9" t="str">
        <x:v>HC-A-C-N3</x:v>
      </x:c>
      <x:c r="L874" s="9" t="str">
        <x:v>ST08</x:v>
      </x:c>
      <x:c r="M874" s="17" t="str">
        <x:v>Manual stop and safety</x:v>
      </x:c>
      <x:c r="N874" s="17" t="str">
        <x:v>local stop, evacuation and protection routes are active</x:v>
      </x:c>
      <x:c r="O874" s="17" t="str">
        <x:v>Safety authority</x:v>
      </x:c>
      <x:c r="P874" s="9" t="n">
        <x:v>0</x:v>
      </x:c>
      <x:c r="Q874" s="9" t="n">
        <x:v>0</x:v>
      </x:c>
      <x:c r="R874" s="9" t="str">
        <x:v>OPEN / UNSTARTED</x:v>
      </x:c>
      <x:c r="S874" s="9" t="n">
        <x:f>COUNTIFS($A$7:$A$1446,A874)</x:f>
        <x:v>1</x:v>
      </x:c>
    </x:row>
    <x:row r="875">
      <x:c r="A875" s="9" t="str">
        <x:v>EV-AR-HC-A-C-TECH-2-B1-INT-G0-ST09</x:v>
      </x:c>
      <x:c r="B875" s="9" t="str">
        <x:v>EV-AR-HC-A-C-TECH-2-B1-INT-G0</x:v>
      </x:c>
      <x:c r="C875" s="9" t="str">
        <x:v>EOW-AR-HC-A-C-TECH-2-B1-INT-G0</x:v>
      </x:c>
      <x:c r="D875" s="9" t="str">
        <x:v>AR-HC-A-C-TECH-2-B1-INT-G0</x:v>
      </x:c>
      <x:c r="E875" s="9" t="str">
        <x:v>HC-A-C-TECH-2</x:v>
      </x:c>
      <x:c r="F875" s="9" t="str">
        <x:v>HC-A-C</x:v>
      </x:c>
      <x:c r="G875" s="9" t="str">
        <x:v>B1</x:v>
      </x:c>
      <x:c r="H875" s="9" t="str">
        <x:v>INT</x:v>
      </x:c>
      <x:c r="I875" s="9" t="n">
        <x:v>4</x:v>
      </x:c>
      <x:c r="J875" s="9" t="n">
        <x:v>3</x:v>
      </x:c>
      <x:c r="K875" s="9" t="str">
        <x:v>HC-A-C-N3</x:v>
      </x:c>
      <x:c r="L875" s="9" t="str">
        <x:v>ST09</x:v>
      </x:c>
      <x:c r="M875" s="17" t="str">
        <x:v>Operator conflict clear</x:v>
      </x:c>
      <x:c r="N875" s="17" t="str">
        <x:v>candidate, fixture, safety and measurement control edges remain separated</x:v>
      </x:c>
      <x:c r="O875" s="17" t="str">
        <x:v>Conflict registrar</x:v>
      </x:c>
      <x:c r="P875" s="9" t="n">
        <x:v>0</x:v>
      </x:c>
      <x:c r="Q875" s="9" t="n">
        <x:v>0</x:v>
      </x:c>
      <x:c r="R875" s="9" t="str">
        <x:v>OPEN / UNSTARTED</x:v>
      </x:c>
      <x:c r="S875" s="9" t="n">
        <x:f>COUNTIFS($A$7:$A$1446,A875)</x:f>
        <x:v>1</x:v>
      </x:c>
    </x:row>
    <x:row r="876">
      <x:c r="A876" s="9" t="str">
        <x:v>EV-AR-HC-A-C-TECH-2-B1-INT-G0-ST10</x:v>
      </x:c>
      <x:c r="B876" s="9" t="str">
        <x:v>EV-AR-HC-A-C-TECH-2-B1-INT-G0</x:v>
      </x:c>
      <x:c r="C876" s="9" t="str">
        <x:v>EOW-AR-HC-A-C-TECH-2-B1-INT-G0</x:v>
      </x:c>
      <x:c r="D876" s="9" t="str">
        <x:v>AR-HC-A-C-TECH-2-B1-INT-G0</x:v>
      </x:c>
      <x:c r="E876" s="9" t="str">
        <x:v>HC-A-C-TECH-2</x:v>
      </x:c>
      <x:c r="F876" s="9" t="str">
        <x:v>HC-A-C</x:v>
      </x:c>
      <x:c r="G876" s="9" t="str">
        <x:v>B1</x:v>
      </x:c>
      <x:c r="H876" s="9" t="str">
        <x:v>INT</x:v>
      </x:c>
      <x:c r="I876" s="9" t="n">
        <x:v>4</x:v>
      </x:c>
      <x:c r="J876" s="9" t="n">
        <x:v>3</x:v>
      </x:c>
      <x:c r="K876" s="9" t="str">
        <x:v>HC-A-C-N3</x:v>
      </x:c>
      <x:c r="L876" s="9" t="str">
        <x:v>ST10</x:v>
      </x:c>
      <x:c r="M876" s="17" t="str">
        <x:v>Window and common clock</x:v>
      </x:c>
      <x:c r="N876" s="17" t="str">
        <x:v>epoch, window and public time origin match the issued warrant</x:v>
      </x:c>
      <x:c r="O876" s="17" t="str">
        <x:v>Event clock authority</x:v>
      </x:c>
      <x:c r="P876" s="9" t="n">
        <x:v>0</x:v>
      </x:c>
      <x:c r="Q876" s="9" t="n">
        <x:v>0</x:v>
      </x:c>
      <x:c r="R876" s="9" t="str">
        <x:v>OPEN / UNSTARTED</x:v>
      </x:c>
      <x:c r="S876" s="9" t="n">
        <x:f>COUNTIFS($A$7:$A$1446,A876)</x:f>
        <x:v>1</x:v>
      </x:c>
    </x:row>
    <x:row r="877">
      <x:c r="A877" s="9" t="str">
        <x:v>EV-AR-LF-B-A-TECH-4-B2-BRK-G0-ST01</x:v>
      </x:c>
      <x:c r="B877" s="9" t="str">
        <x:v>EV-AR-LF-B-A-TECH-4-B2-BRK-G0</x:v>
      </x:c>
      <x:c r="C877" s="9" t="str">
        <x:v>EOW-AR-LF-B-A-TECH-4-B2-BRK-G0</x:v>
      </x:c>
      <x:c r="D877" s="9" t="str">
        <x:v>AR-LF-B-A-TECH-4-B2-BRK-G0</x:v>
      </x:c>
      <x:c r="E877" s="9" t="str">
        <x:v>LF-B-A-TECH-4</x:v>
      </x:c>
      <x:c r="F877" s="9" t="str">
        <x:v>LF-B-A</x:v>
      </x:c>
      <x:c r="G877" s="9" t="str">
        <x:v>B2</x:v>
      </x:c>
      <x:c r="H877" s="9" t="str">
        <x:v>BRK</x:v>
      </x:c>
      <x:c r="I877" s="9" t="n">
        <x:v>4</x:v>
      </x:c>
      <x:c r="J877" s="9" t="n">
        <x:v>3</x:v>
      </x:c>
      <x:c r="K877" s="9" t="str">
        <x:v>LF-B-A-N2</x:v>
      </x:c>
      <x:c r="L877" s="9" t="str">
        <x:v>ST01</x:v>
      </x:c>
      <x:c r="M877" s="17" t="str">
        <x:v>Active opportunity warrant</x:v>
      </x:c>
      <x:c r="N877" s="17" t="str">
        <x:v>configuration-bound EOW is within its thirty-six-hour validity</x:v>
      </x:c>
      <x:c r="O877" s="17" t="str">
        <x:v>Start registrar</x:v>
      </x:c>
      <x:c r="P877" s="9" t="n">
        <x:v>0</x:v>
      </x:c>
      <x:c r="Q877" s="9" t="n">
        <x:v>0</x:v>
      </x:c>
      <x:c r="R877" s="9" t="str">
        <x:v>OPEN / UNSTARTED</x:v>
      </x:c>
      <x:c r="S877" s="9" t="n">
        <x:f>COUNTIFS($A$7:$A$1446,A877)</x:f>
        <x:v>1</x:v>
      </x:c>
    </x:row>
    <x:row r="878">
      <x:c r="A878" s="9" t="str">
        <x:v>EV-AR-LF-B-A-TECH-4-B2-BRK-G0-ST02</x:v>
      </x:c>
      <x:c r="B878" s="9" t="str">
        <x:v>EV-AR-LF-B-A-TECH-4-B2-BRK-G0</x:v>
      </x:c>
      <x:c r="C878" s="9" t="str">
        <x:v>EOW-AR-LF-B-A-TECH-4-B2-BRK-G0</x:v>
      </x:c>
      <x:c r="D878" s="9" t="str">
        <x:v>AR-LF-B-A-TECH-4-B2-BRK-G0</x:v>
      </x:c>
      <x:c r="E878" s="9" t="str">
        <x:v>LF-B-A-TECH-4</x:v>
      </x:c>
      <x:c r="F878" s="9" t="str">
        <x:v>LF-B-A</x:v>
      </x:c>
      <x:c r="G878" s="9" t="str">
        <x:v>B2</x:v>
      </x:c>
      <x:c r="H878" s="9" t="str">
        <x:v>BRK</x:v>
      </x:c>
      <x:c r="I878" s="9" t="n">
        <x:v>4</x:v>
      </x:c>
      <x:c r="J878" s="9" t="n">
        <x:v>3</x:v>
      </x:c>
      <x:c r="K878" s="9" t="str">
        <x:v>LF-B-A-N2</x:v>
      </x:c>
      <x:c r="L878" s="9" t="str">
        <x:v>ST02</x:v>
      </x:c>
      <x:c r="M878" s="17" t="str">
        <x:v>Frozen identity</x:v>
      </x:c>
      <x:c r="N878" s="17" t="str">
        <x:v>serial, generation, fixture, site, receiver and digest match the warrant</x:v>
      </x:c>
      <x:c r="O878" s="17" t="str">
        <x:v>Custody authority</x:v>
      </x:c>
      <x:c r="P878" s="9" t="n">
        <x:v>0</x:v>
      </x:c>
      <x:c r="Q878" s="9" t="n">
        <x:v>0</x:v>
      </x:c>
      <x:c r="R878" s="9" t="str">
        <x:v>OPEN / UNSTARTED</x:v>
      </x:c>
      <x:c r="S878" s="9" t="n">
        <x:f>COUNTIFS($A$7:$A$1446,A878)</x:f>
        <x:v>1</x:v>
      </x:c>
    </x:row>
    <x:row r="879">
      <x:c r="A879" s="9" t="str">
        <x:v>EV-AR-LF-B-A-TECH-4-B2-BRK-G0-ST03</x:v>
      </x:c>
      <x:c r="B879" s="9" t="str">
        <x:v>EV-AR-LF-B-A-TECH-4-B2-BRK-G0</x:v>
      </x:c>
      <x:c r="C879" s="9" t="str">
        <x:v>EOW-AR-LF-B-A-TECH-4-B2-BRK-G0</x:v>
      </x:c>
      <x:c r="D879" s="9" t="str">
        <x:v>AR-LF-B-A-TECH-4-B2-BRK-G0</x:v>
      </x:c>
      <x:c r="E879" s="9" t="str">
        <x:v>LF-B-A-TECH-4</x:v>
      </x:c>
      <x:c r="F879" s="9" t="str">
        <x:v>LF-B-A</x:v>
      </x:c>
      <x:c r="G879" s="9" t="str">
        <x:v>B2</x:v>
      </x:c>
      <x:c r="H879" s="9" t="str">
        <x:v>BRK</x:v>
      </x:c>
      <x:c r="I879" s="9" t="n">
        <x:v>4</x:v>
      </x:c>
      <x:c r="J879" s="9" t="n">
        <x:v>3</x:v>
      </x:c>
      <x:c r="K879" s="9" t="str">
        <x:v>LF-B-A-N2</x:v>
      </x:c>
      <x:c r="L879" s="9" t="str">
        <x:v>ST03</x:v>
      </x:c>
      <x:c r="M879" s="17" t="str">
        <x:v>Receiver receipt</x:v>
      </x:c>
      <x:c r="N879" s="17" t="str">
        <x:v>denominator, counterfactual, rights and stop receipt remain unchanged</x:v>
      </x:c>
      <x:c r="O879" s="17" t="str">
        <x:v>Receiver authority</x:v>
      </x:c>
      <x:c r="P879" s="9" t="n">
        <x:v>0</x:v>
      </x:c>
      <x:c r="Q879" s="9" t="n">
        <x:v>0</x:v>
      </x:c>
      <x:c r="R879" s="9" t="str">
        <x:v>OPEN / UNSTARTED</x:v>
      </x:c>
      <x:c r="S879" s="9" t="n">
        <x:f>COUNTIFS($A$7:$A$1446,A879)</x:f>
        <x:v>1</x:v>
      </x:c>
    </x:row>
    <x:row r="880">
      <x:c r="A880" s="9" t="str">
        <x:v>EV-AR-LF-B-A-TECH-4-B2-BRK-G0-ST04</x:v>
      </x:c>
      <x:c r="B880" s="9" t="str">
        <x:v>EV-AR-LF-B-A-TECH-4-B2-BRK-G0</x:v>
      </x:c>
      <x:c r="C880" s="9" t="str">
        <x:v>EOW-AR-LF-B-A-TECH-4-B2-BRK-G0</x:v>
      </x:c>
      <x:c r="D880" s="9" t="str">
        <x:v>AR-LF-B-A-TECH-4-B2-BRK-G0</x:v>
      </x:c>
      <x:c r="E880" s="9" t="str">
        <x:v>LF-B-A-TECH-4</x:v>
      </x:c>
      <x:c r="F880" s="9" t="str">
        <x:v>LF-B-A</x:v>
      </x:c>
      <x:c r="G880" s="9" t="str">
        <x:v>B2</x:v>
      </x:c>
      <x:c r="H880" s="9" t="str">
        <x:v>BRK</x:v>
      </x:c>
      <x:c r="I880" s="9" t="n">
        <x:v>4</x:v>
      </x:c>
      <x:c r="J880" s="9" t="n">
        <x:v>3</x:v>
      </x:c>
      <x:c r="K880" s="9" t="str">
        <x:v>LF-B-A-N2</x:v>
      </x:c>
      <x:c r="L880" s="9" t="str">
        <x:v>ST04</x:v>
      </x:c>
      <x:c r="M880" s="17" t="str">
        <x:v>Primary capture armed</x:v>
      </x:c>
      <x:c r="N880" s="17" t="str">
        <x:v>primary chain records sealed reference and live time</x:v>
      </x:c>
      <x:c r="O880" s="17" t="str">
        <x:v>Primary metrology</x:v>
      </x:c>
      <x:c r="P880" s="9" t="n">
        <x:v>0</x:v>
      </x:c>
      <x:c r="Q880" s="9" t="n">
        <x:v>0</x:v>
      </x:c>
      <x:c r="R880" s="9" t="str">
        <x:v>OPEN / UNSTARTED</x:v>
      </x:c>
      <x:c r="S880" s="9" t="n">
        <x:f>COUNTIFS($A$7:$A$1446,A880)</x:f>
        <x:v>1</x:v>
      </x:c>
    </x:row>
    <x:row r="881">
      <x:c r="A881" s="9" t="str">
        <x:v>EV-AR-LF-B-A-TECH-4-B2-BRK-G0-ST05</x:v>
      </x:c>
      <x:c r="B881" s="9" t="str">
        <x:v>EV-AR-LF-B-A-TECH-4-B2-BRK-G0</x:v>
      </x:c>
      <x:c r="C881" s="9" t="str">
        <x:v>EOW-AR-LF-B-A-TECH-4-B2-BRK-G0</x:v>
      </x:c>
      <x:c r="D881" s="9" t="str">
        <x:v>AR-LF-B-A-TECH-4-B2-BRK-G0</x:v>
      </x:c>
      <x:c r="E881" s="9" t="str">
        <x:v>LF-B-A-TECH-4</x:v>
      </x:c>
      <x:c r="F881" s="9" t="str">
        <x:v>LF-B-A</x:v>
      </x:c>
      <x:c r="G881" s="9" t="str">
        <x:v>B2</x:v>
      </x:c>
      <x:c r="H881" s="9" t="str">
        <x:v>BRK</x:v>
      </x:c>
      <x:c r="I881" s="9" t="n">
        <x:v>4</x:v>
      </x:c>
      <x:c r="J881" s="9" t="n">
        <x:v>3</x:v>
      </x:c>
      <x:c r="K881" s="9" t="str">
        <x:v>LF-B-A-N2</x:v>
      </x:c>
      <x:c r="L881" s="9" t="str">
        <x:v>ST05</x:v>
      </x:c>
      <x:c r="M881" s="17" t="str">
        <x:v>Witness capture armed</x:v>
      </x:c>
      <x:c r="N881" s="17" t="str">
        <x:v>unlike witness records independent reference and live time</x:v>
      </x:c>
      <x:c r="O881" s="17" t="str">
        <x:v>Witness metrology</x:v>
      </x:c>
      <x:c r="P881" s="9" t="n">
        <x:v>0</x:v>
      </x:c>
      <x:c r="Q881" s="9" t="n">
        <x:v>0</x:v>
      </x:c>
      <x:c r="R881" s="9" t="str">
        <x:v>OPEN / UNSTARTED</x:v>
      </x:c>
      <x:c r="S881" s="9" t="n">
        <x:f>COUNTIFS($A$7:$A$1446,A881)</x:f>
        <x:v>1</x:v>
      </x:c>
    </x:row>
    <x:row r="882">
      <x:c r="A882" s="9" t="str">
        <x:v>EV-AR-LF-B-A-TECH-4-B2-BRK-G0-ST06</x:v>
      </x:c>
      <x:c r="B882" s="9" t="str">
        <x:v>EV-AR-LF-B-A-TECH-4-B2-BRK-G0</x:v>
      </x:c>
      <x:c r="C882" s="9" t="str">
        <x:v>EOW-AR-LF-B-A-TECH-4-B2-BRK-G0</x:v>
      </x:c>
      <x:c r="D882" s="9" t="str">
        <x:v>AR-LF-B-A-TECH-4-B2-BRK-G0</x:v>
      </x:c>
      <x:c r="E882" s="9" t="str">
        <x:v>LF-B-A-TECH-4</x:v>
      </x:c>
      <x:c r="F882" s="9" t="str">
        <x:v>LF-B-A</x:v>
      </x:c>
      <x:c r="G882" s="9" t="str">
        <x:v>B2</x:v>
      </x:c>
      <x:c r="H882" s="9" t="str">
        <x:v>BRK</x:v>
      </x:c>
      <x:c r="I882" s="9" t="n">
        <x:v>4</x:v>
      </x:c>
      <x:c r="J882" s="9" t="n">
        <x:v>3</x:v>
      </x:c>
      <x:c r="K882" s="9" t="str">
        <x:v>LF-B-A-N2</x:v>
      </x:c>
      <x:c r="L882" s="9" t="str">
        <x:v>ST06</x:v>
      </x:c>
      <x:c r="M882" s="17" t="str">
        <x:v>Public custody armed</x:v>
      </x:c>
      <x:c r="N882" s="17" t="str">
        <x:v>eight raw origins have separated hash and replica routes</x:v>
      </x:c>
      <x:c r="O882" s="17" t="str">
        <x:v>Custody authority</x:v>
      </x:c>
      <x:c r="P882" s="9" t="n">
        <x:v>0</x:v>
      </x:c>
      <x:c r="Q882" s="9" t="n">
        <x:v>0</x:v>
      </x:c>
      <x:c r="R882" s="9" t="str">
        <x:v>OPEN / UNSTARTED</x:v>
      </x:c>
      <x:c r="S882" s="9" t="n">
        <x:f>COUNTIFS($A$7:$A$1446,A882)</x:f>
        <x:v>1</x:v>
      </x:c>
    </x:row>
    <x:row r="883">
      <x:c r="A883" s="9" t="str">
        <x:v>EV-AR-LF-B-A-TECH-4-B2-BRK-G0-ST07</x:v>
      </x:c>
      <x:c r="B883" s="9" t="str">
        <x:v>EV-AR-LF-B-A-TECH-4-B2-BRK-G0</x:v>
      </x:c>
      <x:c r="C883" s="9" t="str">
        <x:v>EOW-AR-LF-B-A-TECH-4-B2-BRK-G0</x:v>
      </x:c>
      <x:c r="D883" s="9" t="str">
        <x:v>AR-LF-B-A-TECH-4-B2-BRK-G0</x:v>
      </x:c>
      <x:c r="E883" s="9" t="str">
        <x:v>LF-B-A-TECH-4</x:v>
      </x:c>
      <x:c r="F883" s="9" t="str">
        <x:v>LF-B-A</x:v>
      </x:c>
      <x:c r="G883" s="9" t="str">
        <x:v>B2</x:v>
      </x:c>
      <x:c r="H883" s="9" t="str">
        <x:v>BRK</x:v>
      </x:c>
      <x:c r="I883" s="9" t="n">
        <x:v>4</x:v>
      </x:c>
      <x:c r="J883" s="9" t="n">
        <x:v>3</x:v>
      </x:c>
      <x:c r="K883" s="9" t="str">
        <x:v>LF-B-A-N2</x:v>
      </x:c>
      <x:c r="L883" s="9" t="str">
        <x:v>ST07</x:v>
      </x:c>
      <x:c r="M883" s="17" t="str">
        <x:v>Environmental baseline</x:v>
      </x:c>
      <x:c r="N883" s="17" t="str">
        <x:v>pre-event boundary state is sealed before decisive operation</x:v>
      </x:c>
      <x:c r="O883" s="17" t="str">
        <x:v>Site metrology</x:v>
      </x:c>
      <x:c r="P883" s="9" t="n">
        <x:v>0</x:v>
      </x:c>
      <x:c r="Q883" s="9" t="n">
        <x:v>0</x:v>
      </x:c>
      <x:c r="R883" s="9" t="str">
        <x:v>OPEN / UNSTARTED</x:v>
      </x:c>
      <x:c r="S883" s="9" t="n">
        <x:f>COUNTIFS($A$7:$A$1446,A883)</x:f>
        <x:v>1</x:v>
      </x:c>
    </x:row>
    <x:row r="884">
      <x:c r="A884" s="9" t="str">
        <x:v>EV-AR-LF-B-A-TECH-4-B2-BRK-G0-ST08</x:v>
      </x:c>
      <x:c r="B884" s="9" t="str">
        <x:v>EV-AR-LF-B-A-TECH-4-B2-BRK-G0</x:v>
      </x:c>
      <x:c r="C884" s="9" t="str">
        <x:v>EOW-AR-LF-B-A-TECH-4-B2-BRK-G0</x:v>
      </x:c>
      <x:c r="D884" s="9" t="str">
        <x:v>AR-LF-B-A-TECH-4-B2-BRK-G0</x:v>
      </x:c>
      <x:c r="E884" s="9" t="str">
        <x:v>LF-B-A-TECH-4</x:v>
      </x:c>
      <x:c r="F884" s="9" t="str">
        <x:v>LF-B-A</x:v>
      </x:c>
      <x:c r="G884" s="9" t="str">
        <x:v>B2</x:v>
      </x:c>
      <x:c r="H884" s="9" t="str">
        <x:v>BRK</x:v>
      </x:c>
      <x:c r="I884" s="9" t="n">
        <x:v>4</x:v>
      </x:c>
      <x:c r="J884" s="9" t="n">
        <x:v>3</x:v>
      </x:c>
      <x:c r="K884" s="9" t="str">
        <x:v>LF-B-A-N2</x:v>
      </x:c>
      <x:c r="L884" s="9" t="str">
        <x:v>ST08</x:v>
      </x:c>
      <x:c r="M884" s="17" t="str">
        <x:v>Manual stop and safety</x:v>
      </x:c>
      <x:c r="N884" s="17" t="str">
        <x:v>local stop, evacuation and protection routes are active</x:v>
      </x:c>
      <x:c r="O884" s="17" t="str">
        <x:v>Safety authority</x:v>
      </x:c>
      <x:c r="P884" s="9" t="n">
        <x:v>0</x:v>
      </x:c>
      <x:c r="Q884" s="9" t="n">
        <x:v>0</x:v>
      </x:c>
      <x:c r="R884" s="9" t="str">
        <x:v>OPEN / UNSTARTED</x:v>
      </x:c>
      <x:c r="S884" s="9" t="n">
        <x:f>COUNTIFS($A$7:$A$1446,A884)</x:f>
        <x:v>1</x:v>
      </x:c>
    </x:row>
    <x:row r="885">
      <x:c r="A885" s="9" t="str">
        <x:v>EV-AR-LF-B-A-TECH-4-B2-BRK-G0-ST09</x:v>
      </x:c>
      <x:c r="B885" s="9" t="str">
        <x:v>EV-AR-LF-B-A-TECH-4-B2-BRK-G0</x:v>
      </x:c>
      <x:c r="C885" s="9" t="str">
        <x:v>EOW-AR-LF-B-A-TECH-4-B2-BRK-G0</x:v>
      </x:c>
      <x:c r="D885" s="9" t="str">
        <x:v>AR-LF-B-A-TECH-4-B2-BRK-G0</x:v>
      </x:c>
      <x:c r="E885" s="9" t="str">
        <x:v>LF-B-A-TECH-4</x:v>
      </x:c>
      <x:c r="F885" s="9" t="str">
        <x:v>LF-B-A</x:v>
      </x:c>
      <x:c r="G885" s="9" t="str">
        <x:v>B2</x:v>
      </x:c>
      <x:c r="H885" s="9" t="str">
        <x:v>BRK</x:v>
      </x:c>
      <x:c r="I885" s="9" t="n">
        <x:v>4</x:v>
      </x:c>
      <x:c r="J885" s="9" t="n">
        <x:v>3</x:v>
      </x:c>
      <x:c r="K885" s="9" t="str">
        <x:v>LF-B-A-N2</x:v>
      </x:c>
      <x:c r="L885" s="9" t="str">
        <x:v>ST09</x:v>
      </x:c>
      <x:c r="M885" s="17" t="str">
        <x:v>Operator conflict clear</x:v>
      </x:c>
      <x:c r="N885" s="17" t="str">
        <x:v>candidate, fixture, safety and measurement control edges remain separated</x:v>
      </x:c>
      <x:c r="O885" s="17" t="str">
        <x:v>Conflict registrar</x:v>
      </x:c>
      <x:c r="P885" s="9" t="n">
        <x:v>0</x:v>
      </x:c>
      <x:c r="Q885" s="9" t="n">
        <x:v>0</x:v>
      </x:c>
      <x:c r="R885" s="9" t="str">
        <x:v>OPEN / UNSTARTED</x:v>
      </x:c>
      <x:c r="S885" s="9" t="n">
        <x:f>COUNTIFS($A$7:$A$1446,A885)</x:f>
        <x:v>1</x:v>
      </x:c>
    </x:row>
    <x:row r="886">
      <x:c r="A886" s="9" t="str">
        <x:v>EV-AR-LF-B-A-TECH-4-B2-BRK-G0-ST10</x:v>
      </x:c>
      <x:c r="B886" s="9" t="str">
        <x:v>EV-AR-LF-B-A-TECH-4-B2-BRK-G0</x:v>
      </x:c>
      <x:c r="C886" s="9" t="str">
        <x:v>EOW-AR-LF-B-A-TECH-4-B2-BRK-G0</x:v>
      </x:c>
      <x:c r="D886" s="9" t="str">
        <x:v>AR-LF-B-A-TECH-4-B2-BRK-G0</x:v>
      </x:c>
      <x:c r="E886" s="9" t="str">
        <x:v>LF-B-A-TECH-4</x:v>
      </x:c>
      <x:c r="F886" s="9" t="str">
        <x:v>LF-B-A</x:v>
      </x:c>
      <x:c r="G886" s="9" t="str">
        <x:v>B2</x:v>
      </x:c>
      <x:c r="H886" s="9" t="str">
        <x:v>BRK</x:v>
      </x:c>
      <x:c r="I886" s="9" t="n">
        <x:v>4</x:v>
      </x:c>
      <x:c r="J886" s="9" t="n">
        <x:v>3</x:v>
      </x:c>
      <x:c r="K886" s="9" t="str">
        <x:v>LF-B-A-N2</x:v>
      </x:c>
      <x:c r="L886" s="9" t="str">
        <x:v>ST10</x:v>
      </x:c>
      <x:c r="M886" s="17" t="str">
        <x:v>Window and common clock</x:v>
      </x:c>
      <x:c r="N886" s="17" t="str">
        <x:v>epoch, window and public time origin match the issued warrant</x:v>
      </x:c>
      <x:c r="O886" s="17" t="str">
        <x:v>Event clock authority</x:v>
      </x:c>
      <x:c r="P886" s="9" t="n">
        <x:v>0</x:v>
      </x:c>
      <x:c r="Q886" s="9" t="n">
        <x:v>0</x:v>
      </x:c>
      <x:c r="R886" s="9" t="str">
        <x:v>OPEN / UNSTARTED</x:v>
      </x:c>
      <x:c r="S886" s="9" t="n">
        <x:f>COUNTIFS($A$7:$A$1446,A886)</x:f>
        <x:v>1</x:v>
      </x:c>
    </x:row>
    <x:row r="887">
      <x:c r="A887" s="9" t="str">
        <x:v>EV-AR-LF-B-A-TECH-3-B1-RCN-G0-ST01</x:v>
      </x:c>
      <x:c r="B887" s="9" t="str">
        <x:v>EV-AR-LF-B-A-TECH-3-B1-RCN-G0</x:v>
      </x:c>
      <x:c r="C887" s="9" t="str">
        <x:v>EOW-AR-LF-B-A-TECH-3-B1-RCN-G0</x:v>
      </x:c>
      <x:c r="D887" s="9" t="str">
        <x:v>AR-LF-B-A-TECH-3-B1-RCN-G0</x:v>
      </x:c>
      <x:c r="E887" s="9" t="str">
        <x:v>LF-B-A-TECH-3</x:v>
      </x:c>
      <x:c r="F887" s="9" t="str">
        <x:v>LF-B-A</x:v>
      </x:c>
      <x:c r="G887" s="9" t="str">
        <x:v>B1</x:v>
      </x:c>
      <x:c r="H887" s="9" t="str">
        <x:v>RCN</x:v>
      </x:c>
      <x:c r="I887" s="9" t="n">
        <x:v>4</x:v>
      </x:c>
      <x:c r="J887" s="9" t="n">
        <x:v>3</x:v>
      </x:c>
      <x:c r="K887" s="9" t="str">
        <x:v>LF-B-A-N3</x:v>
      </x:c>
      <x:c r="L887" s="9" t="str">
        <x:v>ST01</x:v>
      </x:c>
      <x:c r="M887" s="17" t="str">
        <x:v>Active opportunity warrant</x:v>
      </x:c>
      <x:c r="N887" s="17" t="str">
        <x:v>configuration-bound EOW is within its thirty-six-hour validity</x:v>
      </x:c>
      <x:c r="O887" s="17" t="str">
        <x:v>Start registrar</x:v>
      </x:c>
      <x:c r="P887" s="9" t="n">
        <x:v>0</x:v>
      </x:c>
      <x:c r="Q887" s="9" t="n">
        <x:v>0</x:v>
      </x:c>
      <x:c r="R887" s="9" t="str">
        <x:v>OPEN / UNSTARTED</x:v>
      </x:c>
      <x:c r="S887" s="9" t="n">
        <x:f>COUNTIFS($A$7:$A$1446,A887)</x:f>
        <x:v>1</x:v>
      </x:c>
    </x:row>
    <x:row r="888">
      <x:c r="A888" s="9" t="str">
        <x:v>EV-AR-LF-B-A-TECH-3-B1-RCN-G0-ST02</x:v>
      </x:c>
      <x:c r="B888" s="9" t="str">
        <x:v>EV-AR-LF-B-A-TECH-3-B1-RCN-G0</x:v>
      </x:c>
      <x:c r="C888" s="9" t="str">
        <x:v>EOW-AR-LF-B-A-TECH-3-B1-RCN-G0</x:v>
      </x:c>
      <x:c r="D888" s="9" t="str">
        <x:v>AR-LF-B-A-TECH-3-B1-RCN-G0</x:v>
      </x:c>
      <x:c r="E888" s="9" t="str">
        <x:v>LF-B-A-TECH-3</x:v>
      </x:c>
      <x:c r="F888" s="9" t="str">
        <x:v>LF-B-A</x:v>
      </x:c>
      <x:c r="G888" s="9" t="str">
        <x:v>B1</x:v>
      </x:c>
      <x:c r="H888" s="9" t="str">
        <x:v>RCN</x:v>
      </x:c>
      <x:c r="I888" s="9" t="n">
        <x:v>4</x:v>
      </x:c>
      <x:c r="J888" s="9" t="n">
        <x:v>3</x:v>
      </x:c>
      <x:c r="K888" s="9" t="str">
        <x:v>LF-B-A-N3</x:v>
      </x:c>
      <x:c r="L888" s="9" t="str">
        <x:v>ST02</x:v>
      </x:c>
      <x:c r="M888" s="17" t="str">
        <x:v>Frozen identity</x:v>
      </x:c>
      <x:c r="N888" s="17" t="str">
        <x:v>serial, generation, fixture, site, receiver and digest match the warrant</x:v>
      </x:c>
      <x:c r="O888" s="17" t="str">
        <x:v>Custody authority</x:v>
      </x:c>
      <x:c r="P888" s="9" t="n">
        <x:v>0</x:v>
      </x:c>
      <x:c r="Q888" s="9" t="n">
        <x:v>0</x:v>
      </x:c>
      <x:c r="R888" s="9" t="str">
        <x:v>OPEN / UNSTARTED</x:v>
      </x:c>
      <x:c r="S888" s="9" t="n">
        <x:f>COUNTIFS($A$7:$A$1446,A888)</x:f>
        <x:v>1</x:v>
      </x:c>
    </x:row>
    <x:row r="889">
      <x:c r="A889" s="9" t="str">
        <x:v>EV-AR-LF-B-A-TECH-3-B1-RCN-G0-ST03</x:v>
      </x:c>
      <x:c r="B889" s="9" t="str">
        <x:v>EV-AR-LF-B-A-TECH-3-B1-RCN-G0</x:v>
      </x:c>
      <x:c r="C889" s="9" t="str">
        <x:v>EOW-AR-LF-B-A-TECH-3-B1-RCN-G0</x:v>
      </x:c>
      <x:c r="D889" s="9" t="str">
        <x:v>AR-LF-B-A-TECH-3-B1-RCN-G0</x:v>
      </x:c>
      <x:c r="E889" s="9" t="str">
        <x:v>LF-B-A-TECH-3</x:v>
      </x:c>
      <x:c r="F889" s="9" t="str">
        <x:v>LF-B-A</x:v>
      </x:c>
      <x:c r="G889" s="9" t="str">
        <x:v>B1</x:v>
      </x:c>
      <x:c r="H889" s="9" t="str">
        <x:v>RCN</x:v>
      </x:c>
      <x:c r="I889" s="9" t="n">
        <x:v>4</x:v>
      </x:c>
      <x:c r="J889" s="9" t="n">
        <x:v>3</x:v>
      </x:c>
      <x:c r="K889" s="9" t="str">
        <x:v>LF-B-A-N3</x:v>
      </x:c>
      <x:c r="L889" s="9" t="str">
        <x:v>ST03</x:v>
      </x:c>
      <x:c r="M889" s="17" t="str">
        <x:v>Receiver receipt</x:v>
      </x:c>
      <x:c r="N889" s="17" t="str">
        <x:v>denominator, counterfactual, rights and stop receipt remain unchanged</x:v>
      </x:c>
      <x:c r="O889" s="17" t="str">
        <x:v>Receiver authority</x:v>
      </x:c>
      <x:c r="P889" s="9" t="n">
        <x:v>0</x:v>
      </x:c>
      <x:c r="Q889" s="9" t="n">
        <x:v>0</x:v>
      </x:c>
      <x:c r="R889" s="9" t="str">
        <x:v>OPEN / UNSTARTED</x:v>
      </x:c>
      <x:c r="S889" s="9" t="n">
        <x:f>COUNTIFS($A$7:$A$1446,A889)</x:f>
        <x:v>1</x:v>
      </x:c>
    </x:row>
    <x:row r="890">
      <x:c r="A890" s="9" t="str">
        <x:v>EV-AR-LF-B-A-TECH-3-B1-RCN-G0-ST04</x:v>
      </x:c>
      <x:c r="B890" s="9" t="str">
        <x:v>EV-AR-LF-B-A-TECH-3-B1-RCN-G0</x:v>
      </x:c>
      <x:c r="C890" s="9" t="str">
        <x:v>EOW-AR-LF-B-A-TECH-3-B1-RCN-G0</x:v>
      </x:c>
      <x:c r="D890" s="9" t="str">
        <x:v>AR-LF-B-A-TECH-3-B1-RCN-G0</x:v>
      </x:c>
      <x:c r="E890" s="9" t="str">
        <x:v>LF-B-A-TECH-3</x:v>
      </x:c>
      <x:c r="F890" s="9" t="str">
        <x:v>LF-B-A</x:v>
      </x:c>
      <x:c r="G890" s="9" t="str">
        <x:v>B1</x:v>
      </x:c>
      <x:c r="H890" s="9" t="str">
        <x:v>RCN</x:v>
      </x:c>
      <x:c r="I890" s="9" t="n">
        <x:v>4</x:v>
      </x:c>
      <x:c r="J890" s="9" t="n">
        <x:v>3</x:v>
      </x:c>
      <x:c r="K890" s="9" t="str">
        <x:v>LF-B-A-N3</x:v>
      </x:c>
      <x:c r="L890" s="9" t="str">
        <x:v>ST04</x:v>
      </x:c>
      <x:c r="M890" s="17" t="str">
        <x:v>Primary capture armed</x:v>
      </x:c>
      <x:c r="N890" s="17" t="str">
        <x:v>primary chain records sealed reference and live time</x:v>
      </x:c>
      <x:c r="O890" s="17" t="str">
        <x:v>Primary metrology</x:v>
      </x:c>
      <x:c r="P890" s="9" t="n">
        <x:v>0</x:v>
      </x:c>
      <x:c r="Q890" s="9" t="n">
        <x:v>0</x:v>
      </x:c>
      <x:c r="R890" s="9" t="str">
        <x:v>OPEN / UNSTARTED</x:v>
      </x:c>
      <x:c r="S890" s="9" t="n">
        <x:f>COUNTIFS($A$7:$A$1446,A890)</x:f>
        <x:v>1</x:v>
      </x:c>
    </x:row>
    <x:row r="891">
      <x:c r="A891" s="9" t="str">
        <x:v>EV-AR-LF-B-A-TECH-3-B1-RCN-G0-ST05</x:v>
      </x:c>
      <x:c r="B891" s="9" t="str">
        <x:v>EV-AR-LF-B-A-TECH-3-B1-RCN-G0</x:v>
      </x:c>
      <x:c r="C891" s="9" t="str">
        <x:v>EOW-AR-LF-B-A-TECH-3-B1-RCN-G0</x:v>
      </x:c>
      <x:c r="D891" s="9" t="str">
        <x:v>AR-LF-B-A-TECH-3-B1-RCN-G0</x:v>
      </x:c>
      <x:c r="E891" s="9" t="str">
        <x:v>LF-B-A-TECH-3</x:v>
      </x:c>
      <x:c r="F891" s="9" t="str">
        <x:v>LF-B-A</x:v>
      </x:c>
      <x:c r="G891" s="9" t="str">
        <x:v>B1</x:v>
      </x:c>
      <x:c r="H891" s="9" t="str">
        <x:v>RCN</x:v>
      </x:c>
      <x:c r="I891" s="9" t="n">
        <x:v>4</x:v>
      </x:c>
      <x:c r="J891" s="9" t="n">
        <x:v>3</x:v>
      </x:c>
      <x:c r="K891" s="9" t="str">
        <x:v>LF-B-A-N3</x:v>
      </x:c>
      <x:c r="L891" s="9" t="str">
        <x:v>ST05</x:v>
      </x:c>
      <x:c r="M891" s="17" t="str">
        <x:v>Witness capture armed</x:v>
      </x:c>
      <x:c r="N891" s="17" t="str">
        <x:v>unlike witness records independent reference and live time</x:v>
      </x:c>
      <x:c r="O891" s="17" t="str">
        <x:v>Witness metrology</x:v>
      </x:c>
      <x:c r="P891" s="9" t="n">
        <x:v>0</x:v>
      </x:c>
      <x:c r="Q891" s="9" t="n">
        <x:v>0</x:v>
      </x:c>
      <x:c r="R891" s="9" t="str">
        <x:v>OPEN / UNSTARTED</x:v>
      </x:c>
      <x:c r="S891" s="9" t="n">
        <x:f>COUNTIFS($A$7:$A$1446,A891)</x:f>
        <x:v>1</x:v>
      </x:c>
    </x:row>
    <x:row r="892">
      <x:c r="A892" s="9" t="str">
        <x:v>EV-AR-LF-B-A-TECH-3-B1-RCN-G0-ST06</x:v>
      </x:c>
      <x:c r="B892" s="9" t="str">
        <x:v>EV-AR-LF-B-A-TECH-3-B1-RCN-G0</x:v>
      </x:c>
      <x:c r="C892" s="9" t="str">
        <x:v>EOW-AR-LF-B-A-TECH-3-B1-RCN-G0</x:v>
      </x:c>
      <x:c r="D892" s="9" t="str">
        <x:v>AR-LF-B-A-TECH-3-B1-RCN-G0</x:v>
      </x:c>
      <x:c r="E892" s="9" t="str">
        <x:v>LF-B-A-TECH-3</x:v>
      </x:c>
      <x:c r="F892" s="9" t="str">
        <x:v>LF-B-A</x:v>
      </x:c>
      <x:c r="G892" s="9" t="str">
        <x:v>B1</x:v>
      </x:c>
      <x:c r="H892" s="9" t="str">
        <x:v>RCN</x:v>
      </x:c>
      <x:c r="I892" s="9" t="n">
        <x:v>4</x:v>
      </x:c>
      <x:c r="J892" s="9" t="n">
        <x:v>3</x:v>
      </x:c>
      <x:c r="K892" s="9" t="str">
        <x:v>LF-B-A-N3</x:v>
      </x:c>
      <x:c r="L892" s="9" t="str">
        <x:v>ST06</x:v>
      </x:c>
      <x:c r="M892" s="17" t="str">
        <x:v>Public custody armed</x:v>
      </x:c>
      <x:c r="N892" s="17" t="str">
        <x:v>eight raw origins have separated hash and replica routes</x:v>
      </x:c>
      <x:c r="O892" s="17" t="str">
        <x:v>Custody authority</x:v>
      </x:c>
      <x:c r="P892" s="9" t="n">
        <x:v>0</x:v>
      </x:c>
      <x:c r="Q892" s="9" t="n">
        <x:v>0</x:v>
      </x:c>
      <x:c r="R892" s="9" t="str">
        <x:v>OPEN / UNSTARTED</x:v>
      </x:c>
      <x:c r="S892" s="9" t="n">
        <x:f>COUNTIFS($A$7:$A$1446,A892)</x:f>
        <x:v>1</x:v>
      </x:c>
    </x:row>
    <x:row r="893">
      <x:c r="A893" s="9" t="str">
        <x:v>EV-AR-LF-B-A-TECH-3-B1-RCN-G0-ST07</x:v>
      </x:c>
      <x:c r="B893" s="9" t="str">
        <x:v>EV-AR-LF-B-A-TECH-3-B1-RCN-G0</x:v>
      </x:c>
      <x:c r="C893" s="9" t="str">
        <x:v>EOW-AR-LF-B-A-TECH-3-B1-RCN-G0</x:v>
      </x:c>
      <x:c r="D893" s="9" t="str">
        <x:v>AR-LF-B-A-TECH-3-B1-RCN-G0</x:v>
      </x:c>
      <x:c r="E893" s="9" t="str">
        <x:v>LF-B-A-TECH-3</x:v>
      </x:c>
      <x:c r="F893" s="9" t="str">
        <x:v>LF-B-A</x:v>
      </x:c>
      <x:c r="G893" s="9" t="str">
        <x:v>B1</x:v>
      </x:c>
      <x:c r="H893" s="9" t="str">
        <x:v>RCN</x:v>
      </x:c>
      <x:c r="I893" s="9" t="n">
        <x:v>4</x:v>
      </x:c>
      <x:c r="J893" s="9" t="n">
        <x:v>3</x:v>
      </x:c>
      <x:c r="K893" s="9" t="str">
        <x:v>LF-B-A-N3</x:v>
      </x:c>
      <x:c r="L893" s="9" t="str">
        <x:v>ST07</x:v>
      </x:c>
      <x:c r="M893" s="17" t="str">
        <x:v>Environmental baseline</x:v>
      </x:c>
      <x:c r="N893" s="17" t="str">
        <x:v>pre-event boundary state is sealed before decisive operation</x:v>
      </x:c>
      <x:c r="O893" s="17" t="str">
        <x:v>Site metrology</x:v>
      </x:c>
      <x:c r="P893" s="9" t="n">
        <x:v>0</x:v>
      </x:c>
      <x:c r="Q893" s="9" t="n">
        <x:v>0</x:v>
      </x:c>
      <x:c r="R893" s="9" t="str">
        <x:v>OPEN / UNSTARTED</x:v>
      </x:c>
      <x:c r="S893" s="9" t="n">
        <x:f>COUNTIFS($A$7:$A$1446,A893)</x:f>
        <x:v>1</x:v>
      </x:c>
    </x:row>
    <x:row r="894">
      <x:c r="A894" s="9" t="str">
        <x:v>EV-AR-LF-B-A-TECH-3-B1-RCN-G0-ST08</x:v>
      </x:c>
      <x:c r="B894" s="9" t="str">
        <x:v>EV-AR-LF-B-A-TECH-3-B1-RCN-G0</x:v>
      </x:c>
      <x:c r="C894" s="9" t="str">
        <x:v>EOW-AR-LF-B-A-TECH-3-B1-RCN-G0</x:v>
      </x:c>
      <x:c r="D894" s="9" t="str">
        <x:v>AR-LF-B-A-TECH-3-B1-RCN-G0</x:v>
      </x:c>
      <x:c r="E894" s="9" t="str">
        <x:v>LF-B-A-TECH-3</x:v>
      </x:c>
      <x:c r="F894" s="9" t="str">
        <x:v>LF-B-A</x:v>
      </x:c>
      <x:c r="G894" s="9" t="str">
        <x:v>B1</x:v>
      </x:c>
      <x:c r="H894" s="9" t="str">
        <x:v>RCN</x:v>
      </x:c>
      <x:c r="I894" s="9" t="n">
        <x:v>4</x:v>
      </x:c>
      <x:c r="J894" s="9" t="n">
        <x:v>3</x:v>
      </x:c>
      <x:c r="K894" s="9" t="str">
        <x:v>LF-B-A-N3</x:v>
      </x:c>
      <x:c r="L894" s="9" t="str">
        <x:v>ST08</x:v>
      </x:c>
      <x:c r="M894" s="17" t="str">
        <x:v>Manual stop and safety</x:v>
      </x:c>
      <x:c r="N894" s="17" t="str">
        <x:v>local stop, evacuation and protection routes are active</x:v>
      </x:c>
      <x:c r="O894" s="17" t="str">
        <x:v>Safety authority</x:v>
      </x:c>
      <x:c r="P894" s="9" t="n">
        <x:v>0</x:v>
      </x:c>
      <x:c r="Q894" s="9" t="n">
        <x:v>0</x:v>
      </x:c>
      <x:c r="R894" s="9" t="str">
        <x:v>OPEN / UNSTARTED</x:v>
      </x:c>
      <x:c r="S894" s="9" t="n">
        <x:f>COUNTIFS($A$7:$A$1446,A894)</x:f>
        <x:v>1</x:v>
      </x:c>
    </x:row>
    <x:row r="895">
      <x:c r="A895" s="9" t="str">
        <x:v>EV-AR-LF-B-A-TECH-3-B1-RCN-G0-ST09</x:v>
      </x:c>
      <x:c r="B895" s="9" t="str">
        <x:v>EV-AR-LF-B-A-TECH-3-B1-RCN-G0</x:v>
      </x:c>
      <x:c r="C895" s="9" t="str">
        <x:v>EOW-AR-LF-B-A-TECH-3-B1-RCN-G0</x:v>
      </x:c>
      <x:c r="D895" s="9" t="str">
        <x:v>AR-LF-B-A-TECH-3-B1-RCN-G0</x:v>
      </x:c>
      <x:c r="E895" s="9" t="str">
        <x:v>LF-B-A-TECH-3</x:v>
      </x:c>
      <x:c r="F895" s="9" t="str">
        <x:v>LF-B-A</x:v>
      </x:c>
      <x:c r="G895" s="9" t="str">
        <x:v>B1</x:v>
      </x:c>
      <x:c r="H895" s="9" t="str">
        <x:v>RCN</x:v>
      </x:c>
      <x:c r="I895" s="9" t="n">
        <x:v>4</x:v>
      </x:c>
      <x:c r="J895" s="9" t="n">
        <x:v>3</x:v>
      </x:c>
      <x:c r="K895" s="9" t="str">
        <x:v>LF-B-A-N3</x:v>
      </x:c>
      <x:c r="L895" s="9" t="str">
        <x:v>ST09</x:v>
      </x:c>
      <x:c r="M895" s="17" t="str">
        <x:v>Operator conflict clear</x:v>
      </x:c>
      <x:c r="N895" s="17" t="str">
        <x:v>candidate, fixture, safety and measurement control edges remain separated</x:v>
      </x:c>
      <x:c r="O895" s="17" t="str">
        <x:v>Conflict registrar</x:v>
      </x:c>
      <x:c r="P895" s="9" t="n">
        <x:v>0</x:v>
      </x:c>
      <x:c r="Q895" s="9" t="n">
        <x:v>0</x:v>
      </x:c>
      <x:c r="R895" s="9" t="str">
        <x:v>OPEN / UNSTARTED</x:v>
      </x:c>
      <x:c r="S895" s="9" t="n">
        <x:f>COUNTIFS($A$7:$A$1446,A895)</x:f>
        <x:v>1</x:v>
      </x:c>
    </x:row>
    <x:row r="896">
      <x:c r="A896" s="9" t="str">
        <x:v>EV-AR-LF-B-A-TECH-3-B1-RCN-G0-ST10</x:v>
      </x:c>
      <x:c r="B896" s="9" t="str">
        <x:v>EV-AR-LF-B-A-TECH-3-B1-RCN-G0</x:v>
      </x:c>
      <x:c r="C896" s="9" t="str">
        <x:v>EOW-AR-LF-B-A-TECH-3-B1-RCN-G0</x:v>
      </x:c>
      <x:c r="D896" s="9" t="str">
        <x:v>AR-LF-B-A-TECH-3-B1-RCN-G0</x:v>
      </x:c>
      <x:c r="E896" s="9" t="str">
        <x:v>LF-B-A-TECH-3</x:v>
      </x:c>
      <x:c r="F896" s="9" t="str">
        <x:v>LF-B-A</x:v>
      </x:c>
      <x:c r="G896" s="9" t="str">
        <x:v>B1</x:v>
      </x:c>
      <x:c r="H896" s="9" t="str">
        <x:v>RCN</x:v>
      </x:c>
      <x:c r="I896" s="9" t="n">
        <x:v>4</x:v>
      </x:c>
      <x:c r="J896" s="9" t="n">
        <x:v>3</x:v>
      </x:c>
      <x:c r="K896" s="9" t="str">
        <x:v>LF-B-A-N3</x:v>
      </x:c>
      <x:c r="L896" s="9" t="str">
        <x:v>ST10</x:v>
      </x:c>
      <x:c r="M896" s="17" t="str">
        <x:v>Window and common clock</x:v>
      </x:c>
      <x:c r="N896" s="17" t="str">
        <x:v>epoch, window and public time origin match the issued warrant</x:v>
      </x:c>
      <x:c r="O896" s="17" t="str">
        <x:v>Event clock authority</x:v>
      </x:c>
      <x:c r="P896" s="9" t="n">
        <x:v>0</x:v>
      </x:c>
      <x:c r="Q896" s="9" t="n">
        <x:v>0</x:v>
      </x:c>
      <x:c r="R896" s="9" t="str">
        <x:v>OPEN / UNSTARTED</x:v>
      </x:c>
      <x:c r="S896" s="9" t="n">
        <x:f>COUNTIFS($A$7:$A$1446,A896)</x:f>
        <x:v>1</x:v>
      </x:c>
    </x:row>
    <x:row r="897">
      <x:c r="A897" s="9" t="str">
        <x:v>EV-AR-RT-B-C-TECH-4-B2-INT-G0-ST01</x:v>
      </x:c>
      <x:c r="B897" s="9" t="str">
        <x:v>EV-AR-RT-B-C-TECH-4-B2-INT-G0</x:v>
      </x:c>
      <x:c r="C897" s="9" t="str">
        <x:v>EOW-AR-RT-B-C-TECH-4-B2-INT-G0</x:v>
      </x:c>
      <x:c r="D897" s="9" t="str">
        <x:v>AR-RT-B-C-TECH-4-B2-INT-G0</x:v>
      </x:c>
      <x:c r="E897" s="9" t="str">
        <x:v>RT-B-C-TECH-4</x:v>
      </x:c>
      <x:c r="F897" s="9" t="str">
        <x:v>RT-B-C</x:v>
      </x:c>
      <x:c r="G897" s="9" t="str">
        <x:v>B2</x:v>
      </x:c>
      <x:c r="H897" s="9" t="str">
        <x:v>INT</x:v>
      </x:c>
      <x:c r="I897" s="9" t="n">
        <x:v>4</x:v>
      </x:c>
      <x:c r="J897" s="9" t="n">
        <x:v>3</x:v>
      </x:c>
      <x:c r="K897" s="9" t="str">
        <x:v>RT-B-C-N1</x:v>
      </x:c>
      <x:c r="L897" s="9" t="str">
        <x:v>ST01</x:v>
      </x:c>
      <x:c r="M897" s="17" t="str">
        <x:v>Active opportunity warrant</x:v>
      </x:c>
      <x:c r="N897" s="17" t="str">
        <x:v>configuration-bound EOW is within its thirty-six-hour validity</x:v>
      </x:c>
      <x:c r="O897" s="17" t="str">
        <x:v>Start registrar</x:v>
      </x:c>
      <x:c r="P897" s="9" t="n">
        <x:v>0</x:v>
      </x:c>
      <x:c r="Q897" s="9" t="n">
        <x:v>0</x:v>
      </x:c>
      <x:c r="R897" s="9" t="str">
        <x:v>OPEN / UNSTARTED</x:v>
      </x:c>
      <x:c r="S897" s="9" t="n">
        <x:f>COUNTIFS($A$7:$A$1446,A897)</x:f>
        <x:v>1</x:v>
      </x:c>
    </x:row>
    <x:row r="898">
      <x:c r="A898" s="9" t="str">
        <x:v>EV-AR-RT-B-C-TECH-4-B2-INT-G0-ST02</x:v>
      </x:c>
      <x:c r="B898" s="9" t="str">
        <x:v>EV-AR-RT-B-C-TECH-4-B2-INT-G0</x:v>
      </x:c>
      <x:c r="C898" s="9" t="str">
        <x:v>EOW-AR-RT-B-C-TECH-4-B2-INT-G0</x:v>
      </x:c>
      <x:c r="D898" s="9" t="str">
        <x:v>AR-RT-B-C-TECH-4-B2-INT-G0</x:v>
      </x:c>
      <x:c r="E898" s="9" t="str">
        <x:v>RT-B-C-TECH-4</x:v>
      </x:c>
      <x:c r="F898" s="9" t="str">
        <x:v>RT-B-C</x:v>
      </x:c>
      <x:c r="G898" s="9" t="str">
        <x:v>B2</x:v>
      </x:c>
      <x:c r="H898" s="9" t="str">
        <x:v>INT</x:v>
      </x:c>
      <x:c r="I898" s="9" t="n">
        <x:v>4</x:v>
      </x:c>
      <x:c r="J898" s="9" t="n">
        <x:v>3</x:v>
      </x:c>
      <x:c r="K898" s="9" t="str">
        <x:v>RT-B-C-N1</x:v>
      </x:c>
      <x:c r="L898" s="9" t="str">
        <x:v>ST02</x:v>
      </x:c>
      <x:c r="M898" s="17" t="str">
        <x:v>Frozen identity</x:v>
      </x:c>
      <x:c r="N898" s="17" t="str">
        <x:v>serial, generation, fixture, site, receiver and digest match the warrant</x:v>
      </x:c>
      <x:c r="O898" s="17" t="str">
        <x:v>Custody authority</x:v>
      </x:c>
      <x:c r="P898" s="9" t="n">
        <x:v>0</x:v>
      </x:c>
      <x:c r="Q898" s="9" t="n">
        <x:v>0</x:v>
      </x:c>
      <x:c r="R898" s="9" t="str">
        <x:v>OPEN / UNSTARTED</x:v>
      </x:c>
      <x:c r="S898" s="9" t="n">
        <x:f>COUNTIFS($A$7:$A$1446,A898)</x:f>
        <x:v>1</x:v>
      </x:c>
    </x:row>
    <x:row r="899">
      <x:c r="A899" s="9" t="str">
        <x:v>EV-AR-RT-B-C-TECH-4-B2-INT-G0-ST03</x:v>
      </x:c>
      <x:c r="B899" s="9" t="str">
        <x:v>EV-AR-RT-B-C-TECH-4-B2-INT-G0</x:v>
      </x:c>
      <x:c r="C899" s="9" t="str">
        <x:v>EOW-AR-RT-B-C-TECH-4-B2-INT-G0</x:v>
      </x:c>
      <x:c r="D899" s="9" t="str">
        <x:v>AR-RT-B-C-TECH-4-B2-INT-G0</x:v>
      </x:c>
      <x:c r="E899" s="9" t="str">
        <x:v>RT-B-C-TECH-4</x:v>
      </x:c>
      <x:c r="F899" s="9" t="str">
        <x:v>RT-B-C</x:v>
      </x:c>
      <x:c r="G899" s="9" t="str">
        <x:v>B2</x:v>
      </x:c>
      <x:c r="H899" s="9" t="str">
        <x:v>INT</x:v>
      </x:c>
      <x:c r="I899" s="9" t="n">
        <x:v>4</x:v>
      </x:c>
      <x:c r="J899" s="9" t="n">
        <x:v>3</x:v>
      </x:c>
      <x:c r="K899" s="9" t="str">
        <x:v>RT-B-C-N1</x:v>
      </x:c>
      <x:c r="L899" s="9" t="str">
        <x:v>ST03</x:v>
      </x:c>
      <x:c r="M899" s="17" t="str">
        <x:v>Receiver receipt</x:v>
      </x:c>
      <x:c r="N899" s="17" t="str">
        <x:v>denominator, counterfactual, rights and stop receipt remain unchanged</x:v>
      </x:c>
      <x:c r="O899" s="17" t="str">
        <x:v>Receiver authority</x:v>
      </x:c>
      <x:c r="P899" s="9" t="n">
        <x:v>0</x:v>
      </x:c>
      <x:c r="Q899" s="9" t="n">
        <x:v>0</x:v>
      </x:c>
      <x:c r="R899" s="9" t="str">
        <x:v>OPEN / UNSTARTED</x:v>
      </x:c>
      <x:c r="S899" s="9" t="n">
        <x:f>COUNTIFS($A$7:$A$1446,A899)</x:f>
        <x:v>1</x:v>
      </x:c>
    </x:row>
    <x:row r="900">
      <x:c r="A900" s="9" t="str">
        <x:v>EV-AR-RT-B-C-TECH-4-B2-INT-G0-ST04</x:v>
      </x:c>
      <x:c r="B900" s="9" t="str">
        <x:v>EV-AR-RT-B-C-TECH-4-B2-INT-G0</x:v>
      </x:c>
      <x:c r="C900" s="9" t="str">
        <x:v>EOW-AR-RT-B-C-TECH-4-B2-INT-G0</x:v>
      </x:c>
      <x:c r="D900" s="9" t="str">
        <x:v>AR-RT-B-C-TECH-4-B2-INT-G0</x:v>
      </x:c>
      <x:c r="E900" s="9" t="str">
        <x:v>RT-B-C-TECH-4</x:v>
      </x:c>
      <x:c r="F900" s="9" t="str">
        <x:v>RT-B-C</x:v>
      </x:c>
      <x:c r="G900" s="9" t="str">
        <x:v>B2</x:v>
      </x:c>
      <x:c r="H900" s="9" t="str">
        <x:v>INT</x:v>
      </x:c>
      <x:c r="I900" s="9" t="n">
        <x:v>4</x:v>
      </x:c>
      <x:c r="J900" s="9" t="n">
        <x:v>3</x:v>
      </x:c>
      <x:c r="K900" s="9" t="str">
        <x:v>RT-B-C-N1</x:v>
      </x:c>
      <x:c r="L900" s="9" t="str">
        <x:v>ST04</x:v>
      </x:c>
      <x:c r="M900" s="17" t="str">
        <x:v>Primary capture armed</x:v>
      </x:c>
      <x:c r="N900" s="17" t="str">
        <x:v>primary chain records sealed reference and live time</x:v>
      </x:c>
      <x:c r="O900" s="17" t="str">
        <x:v>Primary metrology</x:v>
      </x:c>
      <x:c r="P900" s="9" t="n">
        <x:v>0</x:v>
      </x:c>
      <x:c r="Q900" s="9" t="n">
        <x:v>0</x:v>
      </x:c>
      <x:c r="R900" s="9" t="str">
        <x:v>OPEN / UNSTARTED</x:v>
      </x:c>
      <x:c r="S900" s="9" t="n">
        <x:f>COUNTIFS($A$7:$A$1446,A900)</x:f>
        <x:v>1</x:v>
      </x:c>
    </x:row>
    <x:row r="901">
      <x:c r="A901" s="9" t="str">
        <x:v>EV-AR-RT-B-C-TECH-4-B2-INT-G0-ST05</x:v>
      </x:c>
      <x:c r="B901" s="9" t="str">
        <x:v>EV-AR-RT-B-C-TECH-4-B2-INT-G0</x:v>
      </x:c>
      <x:c r="C901" s="9" t="str">
        <x:v>EOW-AR-RT-B-C-TECH-4-B2-INT-G0</x:v>
      </x:c>
      <x:c r="D901" s="9" t="str">
        <x:v>AR-RT-B-C-TECH-4-B2-INT-G0</x:v>
      </x:c>
      <x:c r="E901" s="9" t="str">
        <x:v>RT-B-C-TECH-4</x:v>
      </x:c>
      <x:c r="F901" s="9" t="str">
        <x:v>RT-B-C</x:v>
      </x:c>
      <x:c r="G901" s="9" t="str">
        <x:v>B2</x:v>
      </x:c>
      <x:c r="H901" s="9" t="str">
        <x:v>INT</x:v>
      </x:c>
      <x:c r="I901" s="9" t="n">
        <x:v>4</x:v>
      </x:c>
      <x:c r="J901" s="9" t="n">
        <x:v>3</x:v>
      </x:c>
      <x:c r="K901" s="9" t="str">
        <x:v>RT-B-C-N1</x:v>
      </x:c>
      <x:c r="L901" s="9" t="str">
        <x:v>ST05</x:v>
      </x:c>
      <x:c r="M901" s="17" t="str">
        <x:v>Witness capture armed</x:v>
      </x:c>
      <x:c r="N901" s="17" t="str">
        <x:v>unlike witness records independent reference and live time</x:v>
      </x:c>
      <x:c r="O901" s="17" t="str">
        <x:v>Witness metrology</x:v>
      </x:c>
      <x:c r="P901" s="9" t="n">
        <x:v>0</x:v>
      </x:c>
      <x:c r="Q901" s="9" t="n">
        <x:v>0</x:v>
      </x:c>
      <x:c r="R901" s="9" t="str">
        <x:v>OPEN / UNSTARTED</x:v>
      </x:c>
      <x:c r="S901" s="9" t="n">
        <x:f>COUNTIFS($A$7:$A$1446,A901)</x:f>
        <x:v>1</x:v>
      </x:c>
    </x:row>
    <x:row r="902">
      <x:c r="A902" s="9" t="str">
        <x:v>EV-AR-RT-B-C-TECH-4-B2-INT-G0-ST06</x:v>
      </x:c>
      <x:c r="B902" s="9" t="str">
        <x:v>EV-AR-RT-B-C-TECH-4-B2-INT-G0</x:v>
      </x:c>
      <x:c r="C902" s="9" t="str">
        <x:v>EOW-AR-RT-B-C-TECH-4-B2-INT-G0</x:v>
      </x:c>
      <x:c r="D902" s="9" t="str">
        <x:v>AR-RT-B-C-TECH-4-B2-INT-G0</x:v>
      </x:c>
      <x:c r="E902" s="9" t="str">
        <x:v>RT-B-C-TECH-4</x:v>
      </x:c>
      <x:c r="F902" s="9" t="str">
        <x:v>RT-B-C</x:v>
      </x:c>
      <x:c r="G902" s="9" t="str">
        <x:v>B2</x:v>
      </x:c>
      <x:c r="H902" s="9" t="str">
        <x:v>INT</x:v>
      </x:c>
      <x:c r="I902" s="9" t="n">
        <x:v>4</x:v>
      </x:c>
      <x:c r="J902" s="9" t="n">
        <x:v>3</x:v>
      </x:c>
      <x:c r="K902" s="9" t="str">
        <x:v>RT-B-C-N1</x:v>
      </x:c>
      <x:c r="L902" s="9" t="str">
        <x:v>ST06</x:v>
      </x:c>
      <x:c r="M902" s="17" t="str">
        <x:v>Public custody armed</x:v>
      </x:c>
      <x:c r="N902" s="17" t="str">
        <x:v>eight raw origins have separated hash and replica routes</x:v>
      </x:c>
      <x:c r="O902" s="17" t="str">
        <x:v>Custody authority</x:v>
      </x:c>
      <x:c r="P902" s="9" t="n">
        <x:v>0</x:v>
      </x:c>
      <x:c r="Q902" s="9" t="n">
        <x:v>0</x:v>
      </x:c>
      <x:c r="R902" s="9" t="str">
        <x:v>OPEN / UNSTARTED</x:v>
      </x:c>
      <x:c r="S902" s="9" t="n">
        <x:f>COUNTIFS($A$7:$A$1446,A902)</x:f>
        <x:v>1</x:v>
      </x:c>
    </x:row>
    <x:row r="903">
      <x:c r="A903" s="9" t="str">
        <x:v>EV-AR-RT-B-C-TECH-4-B2-INT-G0-ST07</x:v>
      </x:c>
      <x:c r="B903" s="9" t="str">
        <x:v>EV-AR-RT-B-C-TECH-4-B2-INT-G0</x:v>
      </x:c>
      <x:c r="C903" s="9" t="str">
        <x:v>EOW-AR-RT-B-C-TECH-4-B2-INT-G0</x:v>
      </x:c>
      <x:c r="D903" s="9" t="str">
        <x:v>AR-RT-B-C-TECH-4-B2-INT-G0</x:v>
      </x:c>
      <x:c r="E903" s="9" t="str">
        <x:v>RT-B-C-TECH-4</x:v>
      </x:c>
      <x:c r="F903" s="9" t="str">
        <x:v>RT-B-C</x:v>
      </x:c>
      <x:c r="G903" s="9" t="str">
        <x:v>B2</x:v>
      </x:c>
      <x:c r="H903" s="9" t="str">
        <x:v>INT</x:v>
      </x:c>
      <x:c r="I903" s="9" t="n">
        <x:v>4</x:v>
      </x:c>
      <x:c r="J903" s="9" t="n">
        <x:v>3</x:v>
      </x:c>
      <x:c r="K903" s="9" t="str">
        <x:v>RT-B-C-N1</x:v>
      </x:c>
      <x:c r="L903" s="9" t="str">
        <x:v>ST07</x:v>
      </x:c>
      <x:c r="M903" s="17" t="str">
        <x:v>Environmental baseline</x:v>
      </x:c>
      <x:c r="N903" s="17" t="str">
        <x:v>pre-event boundary state is sealed before decisive operation</x:v>
      </x:c>
      <x:c r="O903" s="17" t="str">
        <x:v>Site metrology</x:v>
      </x:c>
      <x:c r="P903" s="9" t="n">
        <x:v>0</x:v>
      </x:c>
      <x:c r="Q903" s="9" t="n">
        <x:v>0</x:v>
      </x:c>
      <x:c r="R903" s="9" t="str">
        <x:v>OPEN / UNSTARTED</x:v>
      </x:c>
      <x:c r="S903" s="9" t="n">
        <x:f>COUNTIFS($A$7:$A$1446,A903)</x:f>
        <x:v>1</x:v>
      </x:c>
    </x:row>
    <x:row r="904">
      <x:c r="A904" s="9" t="str">
        <x:v>EV-AR-RT-B-C-TECH-4-B2-INT-G0-ST08</x:v>
      </x:c>
      <x:c r="B904" s="9" t="str">
        <x:v>EV-AR-RT-B-C-TECH-4-B2-INT-G0</x:v>
      </x:c>
      <x:c r="C904" s="9" t="str">
        <x:v>EOW-AR-RT-B-C-TECH-4-B2-INT-G0</x:v>
      </x:c>
      <x:c r="D904" s="9" t="str">
        <x:v>AR-RT-B-C-TECH-4-B2-INT-G0</x:v>
      </x:c>
      <x:c r="E904" s="9" t="str">
        <x:v>RT-B-C-TECH-4</x:v>
      </x:c>
      <x:c r="F904" s="9" t="str">
        <x:v>RT-B-C</x:v>
      </x:c>
      <x:c r="G904" s="9" t="str">
        <x:v>B2</x:v>
      </x:c>
      <x:c r="H904" s="9" t="str">
        <x:v>INT</x:v>
      </x:c>
      <x:c r="I904" s="9" t="n">
        <x:v>4</x:v>
      </x:c>
      <x:c r="J904" s="9" t="n">
        <x:v>3</x:v>
      </x:c>
      <x:c r="K904" s="9" t="str">
        <x:v>RT-B-C-N1</x:v>
      </x:c>
      <x:c r="L904" s="9" t="str">
        <x:v>ST08</x:v>
      </x:c>
      <x:c r="M904" s="17" t="str">
        <x:v>Manual stop and safety</x:v>
      </x:c>
      <x:c r="N904" s="17" t="str">
        <x:v>local stop, evacuation and protection routes are active</x:v>
      </x:c>
      <x:c r="O904" s="17" t="str">
        <x:v>Safety authority</x:v>
      </x:c>
      <x:c r="P904" s="9" t="n">
        <x:v>0</x:v>
      </x:c>
      <x:c r="Q904" s="9" t="n">
        <x:v>0</x:v>
      </x:c>
      <x:c r="R904" s="9" t="str">
        <x:v>OPEN / UNSTARTED</x:v>
      </x:c>
      <x:c r="S904" s="9" t="n">
        <x:f>COUNTIFS($A$7:$A$1446,A904)</x:f>
        <x:v>1</x:v>
      </x:c>
    </x:row>
    <x:row r="905">
      <x:c r="A905" s="9" t="str">
        <x:v>EV-AR-RT-B-C-TECH-4-B2-INT-G0-ST09</x:v>
      </x:c>
      <x:c r="B905" s="9" t="str">
        <x:v>EV-AR-RT-B-C-TECH-4-B2-INT-G0</x:v>
      </x:c>
      <x:c r="C905" s="9" t="str">
        <x:v>EOW-AR-RT-B-C-TECH-4-B2-INT-G0</x:v>
      </x:c>
      <x:c r="D905" s="9" t="str">
        <x:v>AR-RT-B-C-TECH-4-B2-INT-G0</x:v>
      </x:c>
      <x:c r="E905" s="9" t="str">
        <x:v>RT-B-C-TECH-4</x:v>
      </x:c>
      <x:c r="F905" s="9" t="str">
        <x:v>RT-B-C</x:v>
      </x:c>
      <x:c r="G905" s="9" t="str">
        <x:v>B2</x:v>
      </x:c>
      <x:c r="H905" s="9" t="str">
        <x:v>INT</x:v>
      </x:c>
      <x:c r="I905" s="9" t="n">
        <x:v>4</x:v>
      </x:c>
      <x:c r="J905" s="9" t="n">
        <x:v>3</x:v>
      </x:c>
      <x:c r="K905" s="9" t="str">
        <x:v>RT-B-C-N1</x:v>
      </x:c>
      <x:c r="L905" s="9" t="str">
        <x:v>ST09</x:v>
      </x:c>
      <x:c r="M905" s="17" t="str">
        <x:v>Operator conflict clear</x:v>
      </x:c>
      <x:c r="N905" s="17" t="str">
        <x:v>candidate, fixture, safety and measurement control edges remain separated</x:v>
      </x:c>
      <x:c r="O905" s="17" t="str">
        <x:v>Conflict registrar</x:v>
      </x:c>
      <x:c r="P905" s="9" t="n">
        <x:v>0</x:v>
      </x:c>
      <x:c r="Q905" s="9" t="n">
        <x:v>0</x:v>
      </x:c>
      <x:c r="R905" s="9" t="str">
        <x:v>OPEN / UNSTARTED</x:v>
      </x:c>
      <x:c r="S905" s="9" t="n">
        <x:f>COUNTIFS($A$7:$A$1446,A905)</x:f>
        <x:v>1</x:v>
      </x:c>
    </x:row>
    <x:row r="906">
      <x:c r="A906" s="9" t="str">
        <x:v>EV-AR-RT-B-C-TECH-4-B2-INT-G0-ST10</x:v>
      </x:c>
      <x:c r="B906" s="9" t="str">
        <x:v>EV-AR-RT-B-C-TECH-4-B2-INT-G0</x:v>
      </x:c>
      <x:c r="C906" s="9" t="str">
        <x:v>EOW-AR-RT-B-C-TECH-4-B2-INT-G0</x:v>
      </x:c>
      <x:c r="D906" s="9" t="str">
        <x:v>AR-RT-B-C-TECH-4-B2-INT-G0</x:v>
      </x:c>
      <x:c r="E906" s="9" t="str">
        <x:v>RT-B-C-TECH-4</x:v>
      </x:c>
      <x:c r="F906" s="9" t="str">
        <x:v>RT-B-C</x:v>
      </x:c>
      <x:c r="G906" s="9" t="str">
        <x:v>B2</x:v>
      </x:c>
      <x:c r="H906" s="9" t="str">
        <x:v>INT</x:v>
      </x:c>
      <x:c r="I906" s="9" t="n">
        <x:v>4</x:v>
      </x:c>
      <x:c r="J906" s="9" t="n">
        <x:v>3</x:v>
      </x:c>
      <x:c r="K906" s="9" t="str">
        <x:v>RT-B-C-N1</x:v>
      </x:c>
      <x:c r="L906" s="9" t="str">
        <x:v>ST10</x:v>
      </x:c>
      <x:c r="M906" s="17" t="str">
        <x:v>Window and common clock</x:v>
      </x:c>
      <x:c r="N906" s="17" t="str">
        <x:v>epoch, window and public time origin match the issued warrant</x:v>
      </x:c>
      <x:c r="O906" s="17" t="str">
        <x:v>Event clock authority</x:v>
      </x:c>
      <x:c r="P906" s="9" t="n">
        <x:v>0</x:v>
      </x:c>
      <x:c r="Q906" s="9" t="n">
        <x:v>0</x:v>
      </x:c>
      <x:c r="R906" s="9" t="str">
        <x:v>OPEN / UNSTARTED</x:v>
      </x:c>
      <x:c r="S906" s="9" t="n">
        <x:f>COUNTIFS($A$7:$A$1446,A906)</x:f>
        <x:v>1</x:v>
      </x:c>
    </x:row>
    <x:row r="907">
      <x:c r="A907" s="9" t="str">
        <x:v>EV-AR-CT-C-B-TECH-4-B2-RCN-G0-ST01</x:v>
      </x:c>
      <x:c r="B907" s="9" t="str">
        <x:v>EV-AR-CT-C-B-TECH-4-B2-RCN-G0</x:v>
      </x:c>
      <x:c r="C907" s="9" t="str">
        <x:v>EOW-AR-CT-C-B-TECH-4-B2-RCN-G0</x:v>
      </x:c>
      <x:c r="D907" s="9" t="str">
        <x:v>AR-CT-C-B-TECH-4-B2-RCN-G0</x:v>
      </x:c>
      <x:c r="E907" s="9" t="str">
        <x:v>CT-C-B-TECH-4</x:v>
      </x:c>
      <x:c r="F907" s="9" t="str">
        <x:v>CT-C-B</x:v>
      </x:c>
      <x:c r="G907" s="9" t="str">
        <x:v>B2</x:v>
      </x:c>
      <x:c r="H907" s="9" t="str">
        <x:v>RCN</x:v>
      </x:c>
      <x:c r="I907" s="9" t="n">
        <x:v>4</x:v>
      </x:c>
      <x:c r="J907" s="9" t="n">
        <x:v>4</x:v>
      </x:c>
      <x:c r="K907" s="9" t="str">
        <x:v>CT-C-B-N1</x:v>
      </x:c>
      <x:c r="L907" s="9" t="str">
        <x:v>ST01</x:v>
      </x:c>
      <x:c r="M907" s="17" t="str">
        <x:v>Active opportunity warrant</x:v>
      </x:c>
      <x:c r="N907" s="17" t="str">
        <x:v>configuration-bound EOW is within its thirty-six-hour validity</x:v>
      </x:c>
      <x:c r="O907" s="17" t="str">
        <x:v>Start registrar</x:v>
      </x:c>
      <x:c r="P907" s="9" t="n">
        <x:v>0</x:v>
      </x:c>
      <x:c r="Q907" s="9" t="n">
        <x:v>0</x:v>
      </x:c>
      <x:c r="R907" s="9" t="str">
        <x:v>OPEN / UNSTARTED</x:v>
      </x:c>
      <x:c r="S907" s="9" t="n">
        <x:f>COUNTIFS($A$7:$A$1446,A907)</x:f>
        <x:v>1</x:v>
      </x:c>
    </x:row>
    <x:row r="908">
      <x:c r="A908" s="9" t="str">
        <x:v>EV-AR-CT-C-B-TECH-4-B2-RCN-G0-ST02</x:v>
      </x:c>
      <x:c r="B908" s="9" t="str">
        <x:v>EV-AR-CT-C-B-TECH-4-B2-RCN-G0</x:v>
      </x:c>
      <x:c r="C908" s="9" t="str">
        <x:v>EOW-AR-CT-C-B-TECH-4-B2-RCN-G0</x:v>
      </x:c>
      <x:c r="D908" s="9" t="str">
        <x:v>AR-CT-C-B-TECH-4-B2-RCN-G0</x:v>
      </x:c>
      <x:c r="E908" s="9" t="str">
        <x:v>CT-C-B-TECH-4</x:v>
      </x:c>
      <x:c r="F908" s="9" t="str">
        <x:v>CT-C-B</x:v>
      </x:c>
      <x:c r="G908" s="9" t="str">
        <x:v>B2</x:v>
      </x:c>
      <x:c r="H908" s="9" t="str">
        <x:v>RCN</x:v>
      </x:c>
      <x:c r="I908" s="9" t="n">
        <x:v>4</x:v>
      </x:c>
      <x:c r="J908" s="9" t="n">
        <x:v>4</x:v>
      </x:c>
      <x:c r="K908" s="9" t="str">
        <x:v>CT-C-B-N1</x:v>
      </x:c>
      <x:c r="L908" s="9" t="str">
        <x:v>ST02</x:v>
      </x:c>
      <x:c r="M908" s="17" t="str">
        <x:v>Frozen identity</x:v>
      </x:c>
      <x:c r="N908" s="17" t="str">
        <x:v>serial, generation, fixture, site, receiver and digest match the warrant</x:v>
      </x:c>
      <x:c r="O908" s="17" t="str">
        <x:v>Custody authority</x:v>
      </x:c>
      <x:c r="P908" s="9" t="n">
        <x:v>0</x:v>
      </x:c>
      <x:c r="Q908" s="9" t="n">
        <x:v>0</x:v>
      </x:c>
      <x:c r="R908" s="9" t="str">
        <x:v>OPEN / UNSTARTED</x:v>
      </x:c>
      <x:c r="S908" s="9" t="n">
        <x:f>COUNTIFS($A$7:$A$1446,A908)</x:f>
        <x:v>1</x:v>
      </x:c>
    </x:row>
    <x:row r="909">
      <x:c r="A909" s="9" t="str">
        <x:v>EV-AR-CT-C-B-TECH-4-B2-RCN-G0-ST03</x:v>
      </x:c>
      <x:c r="B909" s="9" t="str">
        <x:v>EV-AR-CT-C-B-TECH-4-B2-RCN-G0</x:v>
      </x:c>
      <x:c r="C909" s="9" t="str">
        <x:v>EOW-AR-CT-C-B-TECH-4-B2-RCN-G0</x:v>
      </x:c>
      <x:c r="D909" s="9" t="str">
        <x:v>AR-CT-C-B-TECH-4-B2-RCN-G0</x:v>
      </x:c>
      <x:c r="E909" s="9" t="str">
        <x:v>CT-C-B-TECH-4</x:v>
      </x:c>
      <x:c r="F909" s="9" t="str">
        <x:v>CT-C-B</x:v>
      </x:c>
      <x:c r="G909" s="9" t="str">
        <x:v>B2</x:v>
      </x:c>
      <x:c r="H909" s="9" t="str">
        <x:v>RCN</x:v>
      </x:c>
      <x:c r="I909" s="9" t="n">
        <x:v>4</x:v>
      </x:c>
      <x:c r="J909" s="9" t="n">
        <x:v>4</x:v>
      </x:c>
      <x:c r="K909" s="9" t="str">
        <x:v>CT-C-B-N1</x:v>
      </x:c>
      <x:c r="L909" s="9" t="str">
        <x:v>ST03</x:v>
      </x:c>
      <x:c r="M909" s="17" t="str">
        <x:v>Receiver receipt</x:v>
      </x:c>
      <x:c r="N909" s="17" t="str">
        <x:v>denominator, counterfactual, rights and stop receipt remain unchanged</x:v>
      </x:c>
      <x:c r="O909" s="17" t="str">
        <x:v>Receiver authority</x:v>
      </x:c>
      <x:c r="P909" s="9" t="n">
        <x:v>0</x:v>
      </x:c>
      <x:c r="Q909" s="9" t="n">
        <x:v>0</x:v>
      </x:c>
      <x:c r="R909" s="9" t="str">
        <x:v>OPEN / UNSTARTED</x:v>
      </x:c>
      <x:c r="S909" s="9" t="n">
        <x:f>COUNTIFS($A$7:$A$1446,A909)</x:f>
        <x:v>1</x:v>
      </x:c>
    </x:row>
    <x:row r="910">
      <x:c r="A910" s="9" t="str">
        <x:v>EV-AR-CT-C-B-TECH-4-B2-RCN-G0-ST04</x:v>
      </x:c>
      <x:c r="B910" s="9" t="str">
        <x:v>EV-AR-CT-C-B-TECH-4-B2-RCN-G0</x:v>
      </x:c>
      <x:c r="C910" s="9" t="str">
        <x:v>EOW-AR-CT-C-B-TECH-4-B2-RCN-G0</x:v>
      </x:c>
      <x:c r="D910" s="9" t="str">
        <x:v>AR-CT-C-B-TECH-4-B2-RCN-G0</x:v>
      </x:c>
      <x:c r="E910" s="9" t="str">
        <x:v>CT-C-B-TECH-4</x:v>
      </x:c>
      <x:c r="F910" s="9" t="str">
        <x:v>CT-C-B</x:v>
      </x:c>
      <x:c r="G910" s="9" t="str">
        <x:v>B2</x:v>
      </x:c>
      <x:c r="H910" s="9" t="str">
        <x:v>RCN</x:v>
      </x:c>
      <x:c r="I910" s="9" t="n">
        <x:v>4</x:v>
      </x:c>
      <x:c r="J910" s="9" t="n">
        <x:v>4</x:v>
      </x:c>
      <x:c r="K910" s="9" t="str">
        <x:v>CT-C-B-N1</x:v>
      </x:c>
      <x:c r="L910" s="9" t="str">
        <x:v>ST04</x:v>
      </x:c>
      <x:c r="M910" s="17" t="str">
        <x:v>Primary capture armed</x:v>
      </x:c>
      <x:c r="N910" s="17" t="str">
        <x:v>primary chain records sealed reference and live time</x:v>
      </x:c>
      <x:c r="O910" s="17" t="str">
        <x:v>Primary metrology</x:v>
      </x:c>
      <x:c r="P910" s="9" t="n">
        <x:v>0</x:v>
      </x:c>
      <x:c r="Q910" s="9" t="n">
        <x:v>0</x:v>
      </x:c>
      <x:c r="R910" s="9" t="str">
        <x:v>OPEN / UNSTARTED</x:v>
      </x:c>
      <x:c r="S910" s="9" t="n">
        <x:f>COUNTIFS($A$7:$A$1446,A910)</x:f>
        <x:v>1</x:v>
      </x:c>
    </x:row>
    <x:row r="911">
      <x:c r="A911" s="9" t="str">
        <x:v>EV-AR-CT-C-B-TECH-4-B2-RCN-G0-ST05</x:v>
      </x:c>
      <x:c r="B911" s="9" t="str">
        <x:v>EV-AR-CT-C-B-TECH-4-B2-RCN-G0</x:v>
      </x:c>
      <x:c r="C911" s="9" t="str">
        <x:v>EOW-AR-CT-C-B-TECH-4-B2-RCN-G0</x:v>
      </x:c>
      <x:c r="D911" s="9" t="str">
        <x:v>AR-CT-C-B-TECH-4-B2-RCN-G0</x:v>
      </x:c>
      <x:c r="E911" s="9" t="str">
        <x:v>CT-C-B-TECH-4</x:v>
      </x:c>
      <x:c r="F911" s="9" t="str">
        <x:v>CT-C-B</x:v>
      </x:c>
      <x:c r="G911" s="9" t="str">
        <x:v>B2</x:v>
      </x:c>
      <x:c r="H911" s="9" t="str">
        <x:v>RCN</x:v>
      </x:c>
      <x:c r="I911" s="9" t="n">
        <x:v>4</x:v>
      </x:c>
      <x:c r="J911" s="9" t="n">
        <x:v>4</x:v>
      </x:c>
      <x:c r="K911" s="9" t="str">
        <x:v>CT-C-B-N1</x:v>
      </x:c>
      <x:c r="L911" s="9" t="str">
        <x:v>ST05</x:v>
      </x:c>
      <x:c r="M911" s="17" t="str">
        <x:v>Witness capture armed</x:v>
      </x:c>
      <x:c r="N911" s="17" t="str">
        <x:v>unlike witness records independent reference and live time</x:v>
      </x:c>
      <x:c r="O911" s="17" t="str">
        <x:v>Witness metrology</x:v>
      </x:c>
      <x:c r="P911" s="9" t="n">
        <x:v>0</x:v>
      </x:c>
      <x:c r="Q911" s="9" t="n">
        <x:v>0</x:v>
      </x:c>
      <x:c r="R911" s="9" t="str">
        <x:v>OPEN / UNSTARTED</x:v>
      </x:c>
      <x:c r="S911" s="9" t="n">
        <x:f>COUNTIFS($A$7:$A$1446,A911)</x:f>
        <x:v>1</x:v>
      </x:c>
    </x:row>
    <x:row r="912">
      <x:c r="A912" s="9" t="str">
        <x:v>EV-AR-CT-C-B-TECH-4-B2-RCN-G0-ST06</x:v>
      </x:c>
      <x:c r="B912" s="9" t="str">
        <x:v>EV-AR-CT-C-B-TECH-4-B2-RCN-G0</x:v>
      </x:c>
      <x:c r="C912" s="9" t="str">
        <x:v>EOW-AR-CT-C-B-TECH-4-B2-RCN-G0</x:v>
      </x:c>
      <x:c r="D912" s="9" t="str">
        <x:v>AR-CT-C-B-TECH-4-B2-RCN-G0</x:v>
      </x:c>
      <x:c r="E912" s="9" t="str">
        <x:v>CT-C-B-TECH-4</x:v>
      </x:c>
      <x:c r="F912" s="9" t="str">
        <x:v>CT-C-B</x:v>
      </x:c>
      <x:c r="G912" s="9" t="str">
        <x:v>B2</x:v>
      </x:c>
      <x:c r="H912" s="9" t="str">
        <x:v>RCN</x:v>
      </x:c>
      <x:c r="I912" s="9" t="n">
        <x:v>4</x:v>
      </x:c>
      <x:c r="J912" s="9" t="n">
        <x:v>4</x:v>
      </x:c>
      <x:c r="K912" s="9" t="str">
        <x:v>CT-C-B-N1</x:v>
      </x:c>
      <x:c r="L912" s="9" t="str">
        <x:v>ST06</x:v>
      </x:c>
      <x:c r="M912" s="17" t="str">
        <x:v>Public custody armed</x:v>
      </x:c>
      <x:c r="N912" s="17" t="str">
        <x:v>eight raw origins have separated hash and replica routes</x:v>
      </x:c>
      <x:c r="O912" s="17" t="str">
        <x:v>Custody authority</x:v>
      </x:c>
      <x:c r="P912" s="9" t="n">
        <x:v>0</x:v>
      </x:c>
      <x:c r="Q912" s="9" t="n">
        <x:v>0</x:v>
      </x:c>
      <x:c r="R912" s="9" t="str">
        <x:v>OPEN / UNSTARTED</x:v>
      </x:c>
      <x:c r="S912" s="9" t="n">
        <x:f>COUNTIFS($A$7:$A$1446,A912)</x:f>
        <x:v>1</x:v>
      </x:c>
    </x:row>
    <x:row r="913">
      <x:c r="A913" s="9" t="str">
        <x:v>EV-AR-CT-C-B-TECH-4-B2-RCN-G0-ST07</x:v>
      </x:c>
      <x:c r="B913" s="9" t="str">
        <x:v>EV-AR-CT-C-B-TECH-4-B2-RCN-G0</x:v>
      </x:c>
      <x:c r="C913" s="9" t="str">
        <x:v>EOW-AR-CT-C-B-TECH-4-B2-RCN-G0</x:v>
      </x:c>
      <x:c r="D913" s="9" t="str">
        <x:v>AR-CT-C-B-TECH-4-B2-RCN-G0</x:v>
      </x:c>
      <x:c r="E913" s="9" t="str">
        <x:v>CT-C-B-TECH-4</x:v>
      </x:c>
      <x:c r="F913" s="9" t="str">
        <x:v>CT-C-B</x:v>
      </x:c>
      <x:c r="G913" s="9" t="str">
        <x:v>B2</x:v>
      </x:c>
      <x:c r="H913" s="9" t="str">
        <x:v>RCN</x:v>
      </x:c>
      <x:c r="I913" s="9" t="n">
        <x:v>4</x:v>
      </x:c>
      <x:c r="J913" s="9" t="n">
        <x:v>4</x:v>
      </x:c>
      <x:c r="K913" s="9" t="str">
        <x:v>CT-C-B-N1</x:v>
      </x:c>
      <x:c r="L913" s="9" t="str">
        <x:v>ST07</x:v>
      </x:c>
      <x:c r="M913" s="17" t="str">
        <x:v>Environmental baseline</x:v>
      </x:c>
      <x:c r="N913" s="17" t="str">
        <x:v>pre-event boundary state is sealed before decisive operation</x:v>
      </x:c>
      <x:c r="O913" s="17" t="str">
        <x:v>Site metrology</x:v>
      </x:c>
      <x:c r="P913" s="9" t="n">
        <x:v>0</x:v>
      </x:c>
      <x:c r="Q913" s="9" t="n">
        <x:v>0</x:v>
      </x:c>
      <x:c r="R913" s="9" t="str">
        <x:v>OPEN / UNSTARTED</x:v>
      </x:c>
      <x:c r="S913" s="9" t="n">
        <x:f>COUNTIFS($A$7:$A$1446,A913)</x:f>
        <x:v>1</x:v>
      </x:c>
    </x:row>
    <x:row r="914">
      <x:c r="A914" s="9" t="str">
        <x:v>EV-AR-CT-C-B-TECH-4-B2-RCN-G0-ST08</x:v>
      </x:c>
      <x:c r="B914" s="9" t="str">
        <x:v>EV-AR-CT-C-B-TECH-4-B2-RCN-G0</x:v>
      </x:c>
      <x:c r="C914" s="9" t="str">
        <x:v>EOW-AR-CT-C-B-TECH-4-B2-RCN-G0</x:v>
      </x:c>
      <x:c r="D914" s="9" t="str">
        <x:v>AR-CT-C-B-TECH-4-B2-RCN-G0</x:v>
      </x:c>
      <x:c r="E914" s="9" t="str">
        <x:v>CT-C-B-TECH-4</x:v>
      </x:c>
      <x:c r="F914" s="9" t="str">
        <x:v>CT-C-B</x:v>
      </x:c>
      <x:c r="G914" s="9" t="str">
        <x:v>B2</x:v>
      </x:c>
      <x:c r="H914" s="9" t="str">
        <x:v>RCN</x:v>
      </x:c>
      <x:c r="I914" s="9" t="n">
        <x:v>4</x:v>
      </x:c>
      <x:c r="J914" s="9" t="n">
        <x:v>4</x:v>
      </x:c>
      <x:c r="K914" s="9" t="str">
        <x:v>CT-C-B-N1</x:v>
      </x:c>
      <x:c r="L914" s="9" t="str">
        <x:v>ST08</x:v>
      </x:c>
      <x:c r="M914" s="17" t="str">
        <x:v>Manual stop and safety</x:v>
      </x:c>
      <x:c r="N914" s="17" t="str">
        <x:v>local stop, evacuation and protection routes are active</x:v>
      </x:c>
      <x:c r="O914" s="17" t="str">
        <x:v>Safety authority</x:v>
      </x:c>
      <x:c r="P914" s="9" t="n">
        <x:v>0</x:v>
      </x:c>
      <x:c r="Q914" s="9" t="n">
        <x:v>0</x:v>
      </x:c>
      <x:c r="R914" s="9" t="str">
        <x:v>OPEN / UNSTARTED</x:v>
      </x:c>
      <x:c r="S914" s="9" t="n">
        <x:f>COUNTIFS($A$7:$A$1446,A914)</x:f>
        <x:v>1</x:v>
      </x:c>
    </x:row>
    <x:row r="915">
      <x:c r="A915" s="9" t="str">
        <x:v>EV-AR-CT-C-B-TECH-4-B2-RCN-G0-ST09</x:v>
      </x:c>
      <x:c r="B915" s="9" t="str">
        <x:v>EV-AR-CT-C-B-TECH-4-B2-RCN-G0</x:v>
      </x:c>
      <x:c r="C915" s="9" t="str">
        <x:v>EOW-AR-CT-C-B-TECH-4-B2-RCN-G0</x:v>
      </x:c>
      <x:c r="D915" s="9" t="str">
        <x:v>AR-CT-C-B-TECH-4-B2-RCN-G0</x:v>
      </x:c>
      <x:c r="E915" s="9" t="str">
        <x:v>CT-C-B-TECH-4</x:v>
      </x:c>
      <x:c r="F915" s="9" t="str">
        <x:v>CT-C-B</x:v>
      </x:c>
      <x:c r="G915" s="9" t="str">
        <x:v>B2</x:v>
      </x:c>
      <x:c r="H915" s="9" t="str">
        <x:v>RCN</x:v>
      </x:c>
      <x:c r="I915" s="9" t="n">
        <x:v>4</x:v>
      </x:c>
      <x:c r="J915" s="9" t="n">
        <x:v>4</x:v>
      </x:c>
      <x:c r="K915" s="9" t="str">
        <x:v>CT-C-B-N1</x:v>
      </x:c>
      <x:c r="L915" s="9" t="str">
        <x:v>ST09</x:v>
      </x:c>
      <x:c r="M915" s="17" t="str">
        <x:v>Operator conflict clear</x:v>
      </x:c>
      <x:c r="N915" s="17" t="str">
        <x:v>candidate, fixture, safety and measurement control edges remain separated</x:v>
      </x:c>
      <x:c r="O915" s="17" t="str">
        <x:v>Conflict registrar</x:v>
      </x:c>
      <x:c r="P915" s="9" t="n">
        <x:v>0</x:v>
      </x:c>
      <x:c r="Q915" s="9" t="n">
        <x:v>0</x:v>
      </x:c>
      <x:c r="R915" s="9" t="str">
        <x:v>OPEN / UNSTARTED</x:v>
      </x:c>
      <x:c r="S915" s="9" t="n">
        <x:f>COUNTIFS($A$7:$A$1446,A915)</x:f>
        <x:v>1</x:v>
      </x:c>
    </x:row>
    <x:row r="916">
      <x:c r="A916" s="9" t="str">
        <x:v>EV-AR-CT-C-B-TECH-4-B2-RCN-G0-ST10</x:v>
      </x:c>
      <x:c r="B916" s="9" t="str">
        <x:v>EV-AR-CT-C-B-TECH-4-B2-RCN-G0</x:v>
      </x:c>
      <x:c r="C916" s="9" t="str">
        <x:v>EOW-AR-CT-C-B-TECH-4-B2-RCN-G0</x:v>
      </x:c>
      <x:c r="D916" s="9" t="str">
        <x:v>AR-CT-C-B-TECH-4-B2-RCN-G0</x:v>
      </x:c>
      <x:c r="E916" s="9" t="str">
        <x:v>CT-C-B-TECH-4</x:v>
      </x:c>
      <x:c r="F916" s="9" t="str">
        <x:v>CT-C-B</x:v>
      </x:c>
      <x:c r="G916" s="9" t="str">
        <x:v>B2</x:v>
      </x:c>
      <x:c r="H916" s="9" t="str">
        <x:v>RCN</x:v>
      </x:c>
      <x:c r="I916" s="9" t="n">
        <x:v>4</x:v>
      </x:c>
      <x:c r="J916" s="9" t="n">
        <x:v>4</x:v>
      </x:c>
      <x:c r="K916" s="9" t="str">
        <x:v>CT-C-B-N1</x:v>
      </x:c>
      <x:c r="L916" s="9" t="str">
        <x:v>ST10</x:v>
      </x:c>
      <x:c r="M916" s="17" t="str">
        <x:v>Window and common clock</x:v>
      </x:c>
      <x:c r="N916" s="17" t="str">
        <x:v>epoch, window and public time origin match the issued warrant</x:v>
      </x:c>
      <x:c r="O916" s="17" t="str">
        <x:v>Event clock authority</x:v>
      </x:c>
      <x:c r="P916" s="9" t="n">
        <x:v>0</x:v>
      </x:c>
      <x:c r="Q916" s="9" t="n">
        <x:v>0</x:v>
      </x:c>
      <x:c r="R916" s="9" t="str">
        <x:v>OPEN / UNSTARTED</x:v>
      </x:c>
      <x:c r="S916" s="9" t="n">
        <x:f>COUNTIFS($A$7:$A$1446,A916)</x:f>
        <x:v>1</x:v>
      </x:c>
    </x:row>
    <x:row r="917">
      <x:c r="A917" s="9" t="str">
        <x:v>EV-AR-CT-C-B-TECH-1-B1-BRK-G0-ST01</x:v>
      </x:c>
      <x:c r="B917" s="9" t="str">
        <x:v>EV-AR-CT-C-B-TECH-1-B1-BRK-G0</x:v>
      </x:c>
      <x:c r="C917" s="9" t="str">
        <x:v>EOW-AR-CT-C-B-TECH-1-B1-BRK-G0</x:v>
      </x:c>
      <x:c r="D917" s="9" t="str">
        <x:v>AR-CT-C-B-TECH-1-B1-BRK-G0</x:v>
      </x:c>
      <x:c r="E917" s="9" t="str">
        <x:v>CT-C-B-TECH-1</x:v>
      </x:c>
      <x:c r="F917" s="9" t="str">
        <x:v>CT-C-B</x:v>
      </x:c>
      <x:c r="G917" s="9" t="str">
        <x:v>B1</x:v>
      </x:c>
      <x:c r="H917" s="9" t="str">
        <x:v>BRK</x:v>
      </x:c>
      <x:c r="I917" s="9" t="n">
        <x:v>4</x:v>
      </x:c>
      <x:c r="J917" s="9" t="n">
        <x:v>4</x:v>
      </x:c>
      <x:c r="K917" s="9" t="str">
        <x:v>CT-C-B-N2</x:v>
      </x:c>
      <x:c r="L917" s="9" t="str">
        <x:v>ST01</x:v>
      </x:c>
      <x:c r="M917" s="17" t="str">
        <x:v>Active opportunity warrant</x:v>
      </x:c>
      <x:c r="N917" s="17" t="str">
        <x:v>configuration-bound EOW is within its thirty-six-hour validity</x:v>
      </x:c>
      <x:c r="O917" s="17" t="str">
        <x:v>Start registrar</x:v>
      </x:c>
      <x:c r="P917" s="9" t="n">
        <x:v>0</x:v>
      </x:c>
      <x:c r="Q917" s="9" t="n">
        <x:v>0</x:v>
      </x:c>
      <x:c r="R917" s="9" t="str">
        <x:v>OPEN / UNSTARTED</x:v>
      </x:c>
      <x:c r="S917" s="9" t="n">
        <x:f>COUNTIFS($A$7:$A$1446,A917)</x:f>
        <x:v>1</x:v>
      </x:c>
    </x:row>
    <x:row r="918">
      <x:c r="A918" s="9" t="str">
        <x:v>EV-AR-CT-C-B-TECH-1-B1-BRK-G0-ST02</x:v>
      </x:c>
      <x:c r="B918" s="9" t="str">
        <x:v>EV-AR-CT-C-B-TECH-1-B1-BRK-G0</x:v>
      </x:c>
      <x:c r="C918" s="9" t="str">
        <x:v>EOW-AR-CT-C-B-TECH-1-B1-BRK-G0</x:v>
      </x:c>
      <x:c r="D918" s="9" t="str">
        <x:v>AR-CT-C-B-TECH-1-B1-BRK-G0</x:v>
      </x:c>
      <x:c r="E918" s="9" t="str">
        <x:v>CT-C-B-TECH-1</x:v>
      </x:c>
      <x:c r="F918" s="9" t="str">
        <x:v>CT-C-B</x:v>
      </x:c>
      <x:c r="G918" s="9" t="str">
        <x:v>B1</x:v>
      </x:c>
      <x:c r="H918" s="9" t="str">
        <x:v>BRK</x:v>
      </x:c>
      <x:c r="I918" s="9" t="n">
        <x:v>4</x:v>
      </x:c>
      <x:c r="J918" s="9" t="n">
        <x:v>4</x:v>
      </x:c>
      <x:c r="K918" s="9" t="str">
        <x:v>CT-C-B-N2</x:v>
      </x:c>
      <x:c r="L918" s="9" t="str">
        <x:v>ST02</x:v>
      </x:c>
      <x:c r="M918" s="17" t="str">
        <x:v>Frozen identity</x:v>
      </x:c>
      <x:c r="N918" s="17" t="str">
        <x:v>serial, generation, fixture, site, receiver and digest match the warrant</x:v>
      </x:c>
      <x:c r="O918" s="17" t="str">
        <x:v>Custody authority</x:v>
      </x:c>
      <x:c r="P918" s="9" t="n">
        <x:v>0</x:v>
      </x:c>
      <x:c r="Q918" s="9" t="n">
        <x:v>0</x:v>
      </x:c>
      <x:c r="R918" s="9" t="str">
        <x:v>OPEN / UNSTARTED</x:v>
      </x:c>
      <x:c r="S918" s="9" t="n">
        <x:f>COUNTIFS($A$7:$A$1446,A918)</x:f>
        <x:v>1</x:v>
      </x:c>
    </x:row>
    <x:row r="919">
      <x:c r="A919" s="9" t="str">
        <x:v>EV-AR-CT-C-B-TECH-1-B1-BRK-G0-ST03</x:v>
      </x:c>
      <x:c r="B919" s="9" t="str">
        <x:v>EV-AR-CT-C-B-TECH-1-B1-BRK-G0</x:v>
      </x:c>
      <x:c r="C919" s="9" t="str">
        <x:v>EOW-AR-CT-C-B-TECH-1-B1-BRK-G0</x:v>
      </x:c>
      <x:c r="D919" s="9" t="str">
        <x:v>AR-CT-C-B-TECH-1-B1-BRK-G0</x:v>
      </x:c>
      <x:c r="E919" s="9" t="str">
        <x:v>CT-C-B-TECH-1</x:v>
      </x:c>
      <x:c r="F919" s="9" t="str">
        <x:v>CT-C-B</x:v>
      </x:c>
      <x:c r="G919" s="9" t="str">
        <x:v>B1</x:v>
      </x:c>
      <x:c r="H919" s="9" t="str">
        <x:v>BRK</x:v>
      </x:c>
      <x:c r="I919" s="9" t="n">
        <x:v>4</x:v>
      </x:c>
      <x:c r="J919" s="9" t="n">
        <x:v>4</x:v>
      </x:c>
      <x:c r="K919" s="9" t="str">
        <x:v>CT-C-B-N2</x:v>
      </x:c>
      <x:c r="L919" s="9" t="str">
        <x:v>ST03</x:v>
      </x:c>
      <x:c r="M919" s="17" t="str">
        <x:v>Receiver receipt</x:v>
      </x:c>
      <x:c r="N919" s="17" t="str">
        <x:v>denominator, counterfactual, rights and stop receipt remain unchanged</x:v>
      </x:c>
      <x:c r="O919" s="17" t="str">
        <x:v>Receiver authority</x:v>
      </x:c>
      <x:c r="P919" s="9" t="n">
        <x:v>0</x:v>
      </x:c>
      <x:c r="Q919" s="9" t="n">
        <x:v>0</x:v>
      </x:c>
      <x:c r="R919" s="9" t="str">
        <x:v>OPEN / UNSTARTED</x:v>
      </x:c>
      <x:c r="S919" s="9" t="n">
        <x:f>COUNTIFS($A$7:$A$1446,A919)</x:f>
        <x:v>1</x:v>
      </x:c>
    </x:row>
    <x:row r="920">
      <x:c r="A920" s="9" t="str">
        <x:v>EV-AR-CT-C-B-TECH-1-B1-BRK-G0-ST04</x:v>
      </x:c>
      <x:c r="B920" s="9" t="str">
        <x:v>EV-AR-CT-C-B-TECH-1-B1-BRK-G0</x:v>
      </x:c>
      <x:c r="C920" s="9" t="str">
        <x:v>EOW-AR-CT-C-B-TECH-1-B1-BRK-G0</x:v>
      </x:c>
      <x:c r="D920" s="9" t="str">
        <x:v>AR-CT-C-B-TECH-1-B1-BRK-G0</x:v>
      </x:c>
      <x:c r="E920" s="9" t="str">
        <x:v>CT-C-B-TECH-1</x:v>
      </x:c>
      <x:c r="F920" s="9" t="str">
        <x:v>CT-C-B</x:v>
      </x:c>
      <x:c r="G920" s="9" t="str">
        <x:v>B1</x:v>
      </x:c>
      <x:c r="H920" s="9" t="str">
        <x:v>BRK</x:v>
      </x:c>
      <x:c r="I920" s="9" t="n">
        <x:v>4</x:v>
      </x:c>
      <x:c r="J920" s="9" t="n">
        <x:v>4</x:v>
      </x:c>
      <x:c r="K920" s="9" t="str">
        <x:v>CT-C-B-N2</x:v>
      </x:c>
      <x:c r="L920" s="9" t="str">
        <x:v>ST04</x:v>
      </x:c>
      <x:c r="M920" s="17" t="str">
        <x:v>Primary capture armed</x:v>
      </x:c>
      <x:c r="N920" s="17" t="str">
        <x:v>primary chain records sealed reference and live time</x:v>
      </x:c>
      <x:c r="O920" s="17" t="str">
        <x:v>Primary metrology</x:v>
      </x:c>
      <x:c r="P920" s="9" t="n">
        <x:v>0</x:v>
      </x:c>
      <x:c r="Q920" s="9" t="n">
        <x:v>0</x:v>
      </x:c>
      <x:c r="R920" s="9" t="str">
        <x:v>OPEN / UNSTARTED</x:v>
      </x:c>
      <x:c r="S920" s="9" t="n">
        <x:f>COUNTIFS($A$7:$A$1446,A920)</x:f>
        <x:v>1</x:v>
      </x:c>
    </x:row>
    <x:row r="921">
      <x:c r="A921" s="9" t="str">
        <x:v>EV-AR-CT-C-B-TECH-1-B1-BRK-G0-ST05</x:v>
      </x:c>
      <x:c r="B921" s="9" t="str">
        <x:v>EV-AR-CT-C-B-TECH-1-B1-BRK-G0</x:v>
      </x:c>
      <x:c r="C921" s="9" t="str">
        <x:v>EOW-AR-CT-C-B-TECH-1-B1-BRK-G0</x:v>
      </x:c>
      <x:c r="D921" s="9" t="str">
        <x:v>AR-CT-C-B-TECH-1-B1-BRK-G0</x:v>
      </x:c>
      <x:c r="E921" s="9" t="str">
        <x:v>CT-C-B-TECH-1</x:v>
      </x:c>
      <x:c r="F921" s="9" t="str">
        <x:v>CT-C-B</x:v>
      </x:c>
      <x:c r="G921" s="9" t="str">
        <x:v>B1</x:v>
      </x:c>
      <x:c r="H921" s="9" t="str">
        <x:v>BRK</x:v>
      </x:c>
      <x:c r="I921" s="9" t="n">
        <x:v>4</x:v>
      </x:c>
      <x:c r="J921" s="9" t="n">
        <x:v>4</x:v>
      </x:c>
      <x:c r="K921" s="9" t="str">
        <x:v>CT-C-B-N2</x:v>
      </x:c>
      <x:c r="L921" s="9" t="str">
        <x:v>ST05</x:v>
      </x:c>
      <x:c r="M921" s="17" t="str">
        <x:v>Witness capture armed</x:v>
      </x:c>
      <x:c r="N921" s="17" t="str">
        <x:v>unlike witness records independent reference and live time</x:v>
      </x:c>
      <x:c r="O921" s="17" t="str">
        <x:v>Witness metrology</x:v>
      </x:c>
      <x:c r="P921" s="9" t="n">
        <x:v>0</x:v>
      </x:c>
      <x:c r="Q921" s="9" t="n">
        <x:v>0</x:v>
      </x:c>
      <x:c r="R921" s="9" t="str">
        <x:v>OPEN / UNSTARTED</x:v>
      </x:c>
      <x:c r="S921" s="9" t="n">
        <x:f>COUNTIFS($A$7:$A$1446,A921)</x:f>
        <x:v>1</x:v>
      </x:c>
    </x:row>
    <x:row r="922">
      <x:c r="A922" s="9" t="str">
        <x:v>EV-AR-CT-C-B-TECH-1-B1-BRK-G0-ST06</x:v>
      </x:c>
      <x:c r="B922" s="9" t="str">
        <x:v>EV-AR-CT-C-B-TECH-1-B1-BRK-G0</x:v>
      </x:c>
      <x:c r="C922" s="9" t="str">
        <x:v>EOW-AR-CT-C-B-TECH-1-B1-BRK-G0</x:v>
      </x:c>
      <x:c r="D922" s="9" t="str">
        <x:v>AR-CT-C-B-TECH-1-B1-BRK-G0</x:v>
      </x:c>
      <x:c r="E922" s="9" t="str">
        <x:v>CT-C-B-TECH-1</x:v>
      </x:c>
      <x:c r="F922" s="9" t="str">
        <x:v>CT-C-B</x:v>
      </x:c>
      <x:c r="G922" s="9" t="str">
        <x:v>B1</x:v>
      </x:c>
      <x:c r="H922" s="9" t="str">
        <x:v>BRK</x:v>
      </x:c>
      <x:c r="I922" s="9" t="n">
        <x:v>4</x:v>
      </x:c>
      <x:c r="J922" s="9" t="n">
        <x:v>4</x:v>
      </x:c>
      <x:c r="K922" s="9" t="str">
        <x:v>CT-C-B-N2</x:v>
      </x:c>
      <x:c r="L922" s="9" t="str">
        <x:v>ST06</x:v>
      </x:c>
      <x:c r="M922" s="17" t="str">
        <x:v>Public custody armed</x:v>
      </x:c>
      <x:c r="N922" s="17" t="str">
        <x:v>eight raw origins have separated hash and replica routes</x:v>
      </x:c>
      <x:c r="O922" s="17" t="str">
        <x:v>Custody authority</x:v>
      </x:c>
      <x:c r="P922" s="9" t="n">
        <x:v>0</x:v>
      </x:c>
      <x:c r="Q922" s="9" t="n">
        <x:v>0</x:v>
      </x:c>
      <x:c r="R922" s="9" t="str">
        <x:v>OPEN / UNSTARTED</x:v>
      </x:c>
      <x:c r="S922" s="9" t="n">
        <x:f>COUNTIFS($A$7:$A$1446,A922)</x:f>
        <x:v>1</x:v>
      </x:c>
    </x:row>
    <x:row r="923">
      <x:c r="A923" s="9" t="str">
        <x:v>EV-AR-CT-C-B-TECH-1-B1-BRK-G0-ST07</x:v>
      </x:c>
      <x:c r="B923" s="9" t="str">
        <x:v>EV-AR-CT-C-B-TECH-1-B1-BRK-G0</x:v>
      </x:c>
      <x:c r="C923" s="9" t="str">
        <x:v>EOW-AR-CT-C-B-TECH-1-B1-BRK-G0</x:v>
      </x:c>
      <x:c r="D923" s="9" t="str">
        <x:v>AR-CT-C-B-TECH-1-B1-BRK-G0</x:v>
      </x:c>
      <x:c r="E923" s="9" t="str">
        <x:v>CT-C-B-TECH-1</x:v>
      </x:c>
      <x:c r="F923" s="9" t="str">
        <x:v>CT-C-B</x:v>
      </x:c>
      <x:c r="G923" s="9" t="str">
        <x:v>B1</x:v>
      </x:c>
      <x:c r="H923" s="9" t="str">
        <x:v>BRK</x:v>
      </x:c>
      <x:c r="I923" s="9" t="n">
        <x:v>4</x:v>
      </x:c>
      <x:c r="J923" s="9" t="n">
        <x:v>4</x:v>
      </x:c>
      <x:c r="K923" s="9" t="str">
        <x:v>CT-C-B-N2</x:v>
      </x:c>
      <x:c r="L923" s="9" t="str">
        <x:v>ST07</x:v>
      </x:c>
      <x:c r="M923" s="17" t="str">
        <x:v>Environmental baseline</x:v>
      </x:c>
      <x:c r="N923" s="17" t="str">
        <x:v>pre-event boundary state is sealed before decisive operation</x:v>
      </x:c>
      <x:c r="O923" s="17" t="str">
        <x:v>Site metrology</x:v>
      </x:c>
      <x:c r="P923" s="9" t="n">
        <x:v>0</x:v>
      </x:c>
      <x:c r="Q923" s="9" t="n">
        <x:v>0</x:v>
      </x:c>
      <x:c r="R923" s="9" t="str">
        <x:v>OPEN / UNSTARTED</x:v>
      </x:c>
      <x:c r="S923" s="9" t="n">
        <x:f>COUNTIFS($A$7:$A$1446,A923)</x:f>
        <x:v>1</x:v>
      </x:c>
    </x:row>
    <x:row r="924">
      <x:c r="A924" s="9" t="str">
        <x:v>EV-AR-CT-C-B-TECH-1-B1-BRK-G0-ST08</x:v>
      </x:c>
      <x:c r="B924" s="9" t="str">
        <x:v>EV-AR-CT-C-B-TECH-1-B1-BRK-G0</x:v>
      </x:c>
      <x:c r="C924" s="9" t="str">
        <x:v>EOW-AR-CT-C-B-TECH-1-B1-BRK-G0</x:v>
      </x:c>
      <x:c r="D924" s="9" t="str">
        <x:v>AR-CT-C-B-TECH-1-B1-BRK-G0</x:v>
      </x:c>
      <x:c r="E924" s="9" t="str">
        <x:v>CT-C-B-TECH-1</x:v>
      </x:c>
      <x:c r="F924" s="9" t="str">
        <x:v>CT-C-B</x:v>
      </x:c>
      <x:c r="G924" s="9" t="str">
        <x:v>B1</x:v>
      </x:c>
      <x:c r="H924" s="9" t="str">
        <x:v>BRK</x:v>
      </x:c>
      <x:c r="I924" s="9" t="n">
        <x:v>4</x:v>
      </x:c>
      <x:c r="J924" s="9" t="n">
        <x:v>4</x:v>
      </x:c>
      <x:c r="K924" s="9" t="str">
        <x:v>CT-C-B-N2</x:v>
      </x:c>
      <x:c r="L924" s="9" t="str">
        <x:v>ST08</x:v>
      </x:c>
      <x:c r="M924" s="17" t="str">
        <x:v>Manual stop and safety</x:v>
      </x:c>
      <x:c r="N924" s="17" t="str">
        <x:v>local stop, evacuation and protection routes are active</x:v>
      </x:c>
      <x:c r="O924" s="17" t="str">
        <x:v>Safety authority</x:v>
      </x:c>
      <x:c r="P924" s="9" t="n">
        <x:v>0</x:v>
      </x:c>
      <x:c r="Q924" s="9" t="n">
        <x:v>0</x:v>
      </x:c>
      <x:c r="R924" s="9" t="str">
        <x:v>OPEN / UNSTARTED</x:v>
      </x:c>
      <x:c r="S924" s="9" t="n">
        <x:f>COUNTIFS($A$7:$A$1446,A924)</x:f>
        <x:v>1</x:v>
      </x:c>
    </x:row>
    <x:row r="925">
      <x:c r="A925" s="9" t="str">
        <x:v>EV-AR-CT-C-B-TECH-1-B1-BRK-G0-ST09</x:v>
      </x:c>
      <x:c r="B925" s="9" t="str">
        <x:v>EV-AR-CT-C-B-TECH-1-B1-BRK-G0</x:v>
      </x:c>
      <x:c r="C925" s="9" t="str">
        <x:v>EOW-AR-CT-C-B-TECH-1-B1-BRK-G0</x:v>
      </x:c>
      <x:c r="D925" s="9" t="str">
        <x:v>AR-CT-C-B-TECH-1-B1-BRK-G0</x:v>
      </x:c>
      <x:c r="E925" s="9" t="str">
        <x:v>CT-C-B-TECH-1</x:v>
      </x:c>
      <x:c r="F925" s="9" t="str">
        <x:v>CT-C-B</x:v>
      </x:c>
      <x:c r="G925" s="9" t="str">
        <x:v>B1</x:v>
      </x:c>
      <x:c r="H925" s="9" t="str">
        <x:v>BRK</x:v>
      </x:c>
      <x:c r="I925" s="9" t="n">
        <x:v>4</x:v>
      </x:c>
      <x:c r="J925" s="9" t="n">
        <x:v>4</x:v>
      </x:c>
      <x:c r="K925" s="9" t="str">
        <x:v>CT-C-B-N2</x:v>
      </x:c>
      <x:c r="L925" s="9" t="str">
        <x:v>ST09</x:v>
      </x:c>
      <x:c r="M925" s="17" t="str">
        <x:v>Operator conflict clear</x:v>
      </x:c>
      <x:c r="N925" s="17" t="str">
        <x:v>candidate, fixture, safety and measurement control edges remain separated</x:v>
      </x:c>
      <x:c r="O925" s="17" t="str">
        <x:v>Conflict registrar</x:v>
      </x:c>
      <x:c r="P925" s="9" t="n">
        <x:v>0</x:v>
      </x:c>
      <x:c r="Q925" s="9" t="n">
        <x:v>0</x:v>
      </x:c>
      <x:c r="R925" s="9" t="str">
        <x:v>OPEN / UNSTARTED</x:v>
      </x:c>
      <x:c r="S925" s="9" t="n">
        <x:f>COUNTIFS($A$7:$A$1446,A925)</x:f>
        <x:v>1</x:v>
      </x:c>
    </x:row>
    <x:row r="926">
      <x:c r="A926" s="9" t="str">
        <x:v>EV-AR-CT-C-B-TECH-1-B1-BRK-G0-ST10</x:v>
      </x:c>
      <x:c r="B926" s="9" t="str">
        <x:v>EV-AR-CT-C-B-TECH-1-B1-BRK-G0</x:v>
      </x:c>
      <x:c r="C926" s="9" t="str">
        <x:v>EOW-AR-CT-C-B-TECH-1-B1-BRK-G0</x:v>
      </x:c>
      <x:c r="D926" s="9" t="str">
        <x:v>AR-CT-C-B-TECH-1-B1-BRK-G0</x:v>
      </x:c>
      <x:c r="E926" s="9" t="str">
        <x:v>CT-C-B-TECH-1</x:v>
      </x:c>
      <x:c r="F926" s="9" t="str">
        <x:v>CT-C-B</x:v>
      </x:c>
      <x:c r="G926" s="9" t="str">
        <x:v>B1</x:v>
      </x:c>
      <x:c r="H926" s="9" t="str">
        <x:v>BRK</x:v>
      </x:c>
      <x:c r="I926" s="9" t="n">
        <x:v>4</x:v>
      </x:c>
      <x:c r="J926" s="9" t="n">
        <x:v>4</x:v>
      </x:c>
      <x:c r="K926" s="9" t="str">
        <x:v>CT-C-B-N2</x:v>
      </x:c>
      <x:c r="L926" s="9" t="str">
        <x:v>ST10</x:v>
      </x:c>
      <x:c r="M926" s="17" t="str">
        <x:v>Window and common clock</x:v>
      </x:c>
      <x:c r="N926" s="17" t="str">
        <x:v>epoch, window and public time origin match the issued warrant</x:v>
      </x:c>
      <x:c r="O926" s="17" t="str">
        <x:v>Event clock authority</x:v>
      </x:c>
      <x:c r="P926" s="9" t="n">
        <x:v>0</x:v>
      </x:c>
      <x:c r="Q926" s="9" t="n">
        <x:v>0</x:v>
      </x:c>
      <x:c r="R926" s="9" t="str">
        <x:v>OPEN / UNSTARTED</x:v>
      </x:c>
      <x:c r="S926" s="9" t="n">
        <x:f>COUNTIFS($A$7:$A$1446,A926)</x:f>
        <x:v>1</x:v>
      </x:c>
    </x:row>
    <x:row r="927">
      <x:c r="A927" s="9" t="str">
        <x:v>EV-AR-ET-A-A-TECH-2-B1-BRK-G0-ST01</x:v>
      </x:c>
      <x:c r="B927" s="9" t="str">
        <x:v>EV-AR-ET-A-A-TECH-2-B1-BRK-G0</x:v>
      </x:c>
      <x:c r="C927" s="9" t="str">
        <x:v>EOW-AR-ET-A-A-TECH-2-B1-BRK-G0</x:v>
      </x:c>
      <x:c r="D927" s="9" t="str">
        <x:v>AR-ET-A-A-TECH-2-B1-BRK-G0</x:v>
      </x:c>
      <x:c r="E927" s="9" t="str">
        <x:v>ET-A-A-TECH-2</x:v>
      </x:c>
      <x:c r="F927" s="9" t="str">
        <x:v>ET-A-A</x:v>
      </x:c>
      <x:c r="G927" s="9" t="str">
        <x:v>B1</x:v>
      </x:c>
      <x:c r="H927" s="9" t="str">
        <x:v>BRK</x:v>
      </x:c>
      <x:c r="I927" s="9" t="n">
        <x:v>4</x:v>
      </x:c>
      <x:c r="J927" s="9" t="n">
        <x:v>4</x:v>
      </x:c>
      <x:c r="K927" s="9" t="str">
        <x:v>ET-A-A-N2</x:v>
      </x:c>
      <x:c r="L927" s="9" t="str">
        <x:v>ST01</x:v>
      </x:c>
      <x:c r="M927" s="17" t="str">
        <x:v>Active opportunity warrant</x:v>
      </x:c>
      <x:c r="N927" s="17" t="str">
        <x:v>configuration-bound EOW is within its thirty-six-hour validity</x:v>
      </x:c>
      <x:c r="O927" s="17" t="str">
        <x:v>Start registrar</x:v>
      </x:c>
      <x:c r="P927" s="9" t="n">
        <x:v>0</x:v>
      </x:c>
      <x:c r="Q927" s="9" t="n">
        <x:v>0</x:v>
      </x:c>
      <x:c r="R927" s="9" t="str">
        <x:v>OPEN / UNSTARTED</x:v>
      </x:c>
      <x:c r="S927" s="9" t="n">
        <x:f>COUNTIFS($A$7:$A$1446,A927)</x:f>
        <x:v>1</x:v>
      </x:c>
    </x:row>
    <x:row r="928">
      <x:c r="A928" s="9" t="str">
        <x:v>EV-AR-ET-A-A-TECH-2-B1-BRK-G0-ST02</x:v>
      </x:c>
      <x:c r="B928" s="9" t="str">
        <x:v>EV-AR-ET-A-A-TECH-2-B1-BRK-G0</x:v>
      </x:c>
      <x:c r="C928" s="9" t="str">
        <x:v>EOW-AR-ET-A-A-TECH-2-B1-BRK-G0</x:v>
      </x:c>
      <x:c r="D928" s="9" t="str">
        <x:v>AR-ET-A-A-TECH-2-B1-BRK-G0</x:v>
      </x:c>
      <x:c r="E928" s="9" t="str">
        <x:v>ET-A-A-TECH-2</x:v>
      </x:c>
      <x:c r="F928" s="9" t="str">
        <x:v>ET-A-A</x:v>
      </x:c>
      <x:c r="G928" s="9" t="str">
        <x:v>B1</x:v>
      </x:c>
      <x:c r="H928" s="9" t="str">
        <x:v>BRK</x:v>
      </x:c>
      <x:c r="I928" s="9" t="n">
        <x:v>4</x:v>
      </x:c>
      <x:c r="J928" s="9" t="n">
        <x:v>4</x:v>
      </x:c>
      <x:c r="K928" s="9" t="str">
        <x:v>ET-A-A-N2</x:v>
      </x:c>
      <x:c r="L928" s="9" t="str">
        <x:v>ST02</x:v>
      </x:c>
      <x:c r="M928" s="17" t="str">
        <x:v>Frozen identity</x:v>
      </x:c>
      <x:c r="N928" s="17" t="str">
        <x:v>serial, generation, fixture, site, receiver and digest match the warrant</x:v>
      </x:c>
      <x:c r="O928" s="17" t="str">
        <x:v>Custody authority</x:v>
      </x:c>
      <x:c r="P928" s="9" t="n">
        <x:v>0</x:v>
      </x:c>
      <x:c r="Q928" s="9" t="n">
        <x:v>0</x:v>
      </x:c>
      <x:c r="R928" s="9" t="str">
        <x:v>OPEN / UNSTARTED</x:v>
      </x:c>
      <x:c r="S928" s="9" t="n">
        <x:f>COUNTIFS($A$7:$A$1446,A928)</x:f>
        <x:v>1</x:v>
      </x:c>
    </x:row>
    <x:row r="929">
      <x:c r="A929" s="9" t="str">
        <x:v>EV-AR-ET-A-A-TECH-2-B1-BRK-G0-ST03</x:v>
      </x:c>
      <x:c r="B929" s="9" t="str">
        <x:v>EV-AR-ET-A-A-TECH-2-B1-BRK-G0</x:v>
      </x:c>
      <x:c r="C929" s="9" t="str">
        <x:v>EOW-AR-ET-A-A-TECH-2-B1-BRK-G0</x:v>
      </x:c>
      <x:c r="D929" s="9" t="str">
        <x:v>AR-ET-A-A-TECH-2-B1-BRK-G0</x:v>
      </x:c>
      <x:c r="E929" s="9" t="str">
        <x:v>ET-A-A-TECH-2</x:v>
      </x:c>
      <x:c r="F929" s="9" t="str">
        <x:v>ET-A-A</x:v>
      </x:c>
      <x:c r="G929" s="9" t="str">
        <x:v>B1</x:v>
      </x:c>
      <x:c r="H929" s="9" t="str">
        <x:v>BRK</x:v>
      </x:c>
      <x:c r="I929" s="9" t="n">
        <x:v>4</x:v>
      </x:c>
      <x:c r="J929" s="9" t="n">
        <x:v>4</x:v>
      </x:c>
      <x:c r="K929" s="9" t="str">
        <x:v>ET-A-A-N2</x:v>
      </x:c>
      <x:c r="L929" s="9" t="str">
        <x:v>ST03</x:v>
      </x:c>
      <x:c r="M929" s="17" t="str">
        <x:v>Receiver receipt</x:v>
      </x:c>
      <x:c r="N929" s="17" t="str">
        <x:v>denominator, counterfactual, rights and stop receipt remain unchanged</x:v>
      </x:c>
      <x:c r="O929" s="17" t="str">
        <x:v>Receiver authority</x:v>
      </x:c>
      <x:c r="P929" s="9" t="n">
        <x:v>0</x:v>
      </x:c>
      <x:c r="Q929" s="9" t="n">
        <x:v>0</x:v>
      </x:c>
      <x:c r="R929" s="9" t="str">
        <x:v>OPEN / UNSTARTED</x:v>
      </x:c>
      <x:c r="S929" s="9" t="n">
        <x:f>COUNTIFS($A$7:$A$1446,A929)</x:f>
        <x:v>1</x:v>
      </x:c>
    </x:row>
    <x:row r="930">
      <x:c r="A930" s="9" t="str">
        <x:v>EV-AR-ET-A-A-TECH-2-B1-BRK-G0-ST04</x:v>
      </x:c>
      <x:c r="B930" s="9" t="str">
        <x:v>EV-AR-ET-A-A-TECH-2-B1-BRK-G0</x:v>
      </x:c>
      <x:c r="C930" s="9" t="str">
        <x:v>EOW-AR-ET-A-A-TECH-2-B1-BRK-G0</x:v>
      </x:c>
      <x:c r="D930" s="9" t="str">
        <x:v>AR-ET-A-A-TECH-2-B1-BRK-G0</x:v>
      </x:c>
      <x:c r="E930" s="9" t="str">
        <x:v>ET-A-A-TECH-2</x:v>
      </x:c>
      <x:c r="F930" s="9" t="str">
        <x:v>ET-A-A</x:v>
      </x:c>
      <x:c r="G930" s="9" t="str">
        <x:v>B1</x:v>
      </x:c>
      <x:c r="H930" s="9" t="str">
        <x:v>BRK</x:v>
      </x:c>
      <x:c r="I930" s="9" t="n">
        <x:v>4</x:v>
      </x:c>
      <x:c r="J930" s="9" t="n">
        <x:v>4</x:v>
      </x:c>
      <x:c r="K930" s="9" t="str">
        <x:v>ET-A-A-N2</x:v>
      </x:c>
      <x:c r="L930" s="9" t="str">
        <x:v>ST04</x:v>
      </x:c>
      <x:c r="M930" s="17" t="str">
        <x:v>Primary capture armed</x:v>
      </x:c>
      <x:c r="N930" s="17" t="str">
        <x:v>primary chain records sealed reference and live time</x:v>
      </x:c>
      <x:c r="O930" s="17" t="str">
        <x:v>Primary metrology</x:v>
      </x:c>
      <x:c r="P930" s="9" t="n">
        <x:v>0</x:v>
      </x:c>
      <x:c r="Q930" s="9" t="n">
        <x:v>0</x:v>
      </x:c>
      <x:c r="R930" s="9" t="str">
        <x:v>OPEN / UNSTARTED</x:v>
      </x:c>
      <x:c r="S930" s="9" t="n">
        <x:f>COUNTIFS($A$7:$A$1446,A930)</x:f>
        <x:v>1</x:v>
      </x:c>
    </x:row>
    <x:row r="931">
      <x:c r="A931" s="9" t="str">
        <x:v>EV-AR-ET-A-A-TECH-2-B1-BRK-G0-ST05</x:v>
      </x:c>
      <x:c r="B931" s="9" t="str">
        <x:v>EV-AR-ET-A-A-TECH-2-B1-BRK-G0</x:v>
      </x:c>
      <x:c r="C931" s="9" t="str">
        <x:v>EOW-AR-ET-A-A-TECH-2-B1-BRK-G0</x:v>
      </x:c>
      <x:c r="D931" s="9" t="str">
        <x:v>AR-ET-A-A-TECH-2-B1-BRK-G0</x:v>
      </x:c>
      <x:c r="E931" s="9" t="str">
        <x:v>ET-A-A-TECH-2</x:v>
      </x:c>
      <x:c r="F931" s="9" t="str">
        <x:v>ET-A-A</x:v>
      </x:c>
      <x:c r="G931" s="9" t="str">
        <x:v>B1</x:v>
      </x:c>
      <x:c r="H931" s="9" t="str">
        <x:v>BRK</x:v>
      </x:c>
      <x:c r="I931" s="9" t="n">
        <x:v>4</x:v>
      </x:c>
      <x:c r="J931" s="9" t="n">
        <x:v>4</x:v>
      </x:c>
      <x:c r="K931" s="9" t="str">
        <x:v>ET-A-A-N2</x:v>
      </x:c>
      <x:c r="L931" s="9" t="str">
        <x:v>ST05</x:v>
      </x:c>
      <x:c r="M931" s="17" t="str">
        <x:v>Witness capture armed</x:v>
      </x:c>
      <x:c r="N931" s="17" t="str">
        <x:v>unlike witness records independent reference and live time</x:v>
      </x:c>
      <x:c r="O931" s="17" t="str">
        <x:v>Witness metrology</x:v>
      </x:c>
      <x:c r="P931" s="9" t="n">
        <x:v>0</x:v>
      </x:c>
      <x:c r="Q931" s="9" t="n">
        <x:v>0</x:v>
      </x:c>
      <x:c r="R931" s="9" t="str">
        <x:v>OPEN / UNSTARTED</x:v>
      </x:c>
      <x:c r="S931" s="9" t="n">
        <x:f>COUNTIFS($A$7:$A$1446,A931)</x:f>
        <x:v>1</x:v>
      </x:c>
    </x:row>
    <x:row r="932">
      <x:c r="A932" s="9" t="str">
        <x:v>EV-AR-ET-A-A-TECH-2-B1-BRK-G0-ST06</x:v>
      </x:c>
      <x:c r="B932" s="9" t="str">
        <x:v>EV-AR-ET-A-A-TECH-2-B1-BRK-G0</x:v>
      </x:c>
      <x:c r="C932" s="9" t="str">
        <x:v>EOW-AR-ET-A-A-TECH-2-B1-BRK-G0</x:v>
      </x:c>
      <x:c r="D932" s="9" t="str">
        <x:v>AR-ET-A-A-TECH-2-B1-BRK-G0</x:v>
      </x:c>
      <x:c r="E932" s="9" t="str">
        <x:v>ET-A-A-TECH-2</x:v>
      </x:c>
      <x:c r="F932" s="9" t="str">
        <x:v>ET-A-A</x:v>
      </x:c>
      <x:c r="G932" s="9" t="str">
        <x:v>B1</x:v>
      </x:c>
      <x:c r="H932" s="9" t="str">
        <x:v>BRK</x:v>
      </x:c>
      <x:c r="I932" s="9" t="n">
        <x:v>4</x:v>
      </x:c>
      <x:c r="J932" s="9" t="n">
        <x:v>4</x:v>
      </x:c>
      <x:c r="K932" s="9" t="str">
        <x:v>ET-A-A-N2</x:v>
      </x:c>
      <x:c r="L932" s="9" t="str">
        <x:v>ST06</x:v>
      </x:c>
      <x:c r="M932" s="17" t="str">
        <x:v>Public custody armed</x:v>
      </x:c>
      <x:c r="N932" s="17" t="str">
        <x:v>eight raw origins have separated hash and replica routes</x:v>
      </x:c>
      <x:c r="O932" s="17" t="str">
        <x:v>Custody authority</x:v>
      </x:c>
      <x:c r="P932" s="9" t="n">
        <x:v>0</x:v>
      </x:c>
      <x:c r="Q932" s="9" t="n">
        <x:v>0</x:v>
      </x:c>
      <x:c r="R932" s="9" t="str">
        <x:v>OPEN / UNSTARTED</x:v>
      </x:c>
      <x:c r="S932" s="9" t="n">
        <x:f>COUNTIFS($A$7:$A$1446,A932)</x:f>
        <x:v>1</x:v>
      </x:c>
    </x:row>
    <x:row r="933">
      <x:c r="A933" s="9" t="str">
        <x:v>EV-AR-ET-A-A-TECH-2-B1-BRK-G0-ST07</x:v>
      </x:c>
      <x:c r="B933" s="9" t="str">
        <x:v>EV-AR-ET-A-A-TECH-2-B1-BRK-G0</x:v>
      </x:c>
      <x:c r="C933" s="9" t="str">
        <x:v>EOW-AR-ET-A-A-TECH-2-B1-BRK-G0</x:v>
      </x:c>
      <x:c r="D933" s="9" t="str">
        <x:v>AR-ET-A-A-TECH-2-B1-BRK-G0</x:v>
      </x:c>
      <x:c r="E933" s="9" t="str">
        <x:v>ET-A-A-TECH-2</x:v>
      </x:c>
      <x:c r="F933" s="9" t="str">
        <x:v>ET-A-A</x:v>
      </x:c>
      <x:c r="G933" s="9" t="str">
        <x:v>B1</x:v>
      </x:c>
      <x:c r="H933" s="9" t="str">
        <x:v>BRK</x:v>
      </x:c>
      <x:c r="I933" s="9" t="n">
        <x:v>4</x:v>
      </x:c>
      <x:c r="J933" s="9" t="n">
        <x:v>4</x:v>
      </x:c>
      <x:c r="K933" s="9" t="str">
        <x:v>ET-A-A-N2</x:v>
      </x:c>
      <x:c r="L933" s="9" t="str">
        <x:v>ST07</x:v>
      </x:c>
      <x:c r="M933" s="17" t="str">
        <x:v>Environmental baseline</x:v>
      </x:c>
      <x:c r="N933" s="17" t="str">
        <x:v>pre-event boundary state is sealed before decisive operation</x:v>
      </x:c>
      <x:c r="O933" s="17" t="str">
        <x:v>Site metrology</x:v>
      </x:c>
      <x:c r="P933" s="9" t="n">
        <x:v>0</x:v>
      </x:c>
      <x:c r="Q933" s="9" t="n">
        <x:v>0</x:v>
      </x:c>
      <x:c r="R933" s="9" t="str">
        <x:v>OPEN / UNSTARTED</x:v>
      </x:c>
      <x:c r="S933" s="9" t="n">
        <x:f>COUNTIFS($A$7:$A$1446,A933)</x:f>
        <x:v>1</x:v>
      </x:c>
    </x:row>
    <x:row r="934">
      <x:c r="A934" s="9" t="str">
        <x:v>EV-AR-ET-A-A-TECH-2-B1-BRK-G0-ST08</x:v>
      </x:c>
      <x:c r="B934" s="9" t="str">
        <x:v>EV-AR-ET-A-A-TECH-2-B1-BRK-G0</x:v>
      </x:c>
      <x:c r="C934" s="9" t="str">
        <x:v>EOW-AR-ET-A-A-TECH-2-B1-BRK-G0</x:v>
      </x:c>
      <x:c r="D934" s="9" t="str">
        <x:v>AR-ET-A-A-TECH-2-B1-BRK-G0</x:v>
      </x:c>
      <x:c r="E934" s="9" t="str">
        <x:v>ET-A-A-TECH-2</x:v>
      </x:c>
      <x:c r="F934" s="9" t="str">
        <x:v>ET-A-A</x:v>
      </x:c>
      <x:c r="G934" s="9" t="str">
        <x:v>B1</x:v>
      </x:c>
      <x:c r="H934" s="9" t="str">
        <x:v>BRK</x:v>
      </x:c>
      <x:c r="I934" s="9" t="n">
        <x:v>4</x:v>
      </x:c>
      <x:c r="J934" s="9" t="n">
        <x:v>4</x:v>
      </x:c>
      <x:c r="K934" s="9" t="str">
        <x:v>ET-A-A-N2</x:v>
      </x:c>
      <x:c r="L934" s="9" t="str">
        <x:v>ST08</x:v>
      </x:c>
      <x:c r="M934" s="17" t="str">
        <x:v>Manual stop and safety</x:v>
      </x:c>
      <x:c r="N934" s="17" t="str">
        <x:v>local stop, evacuation and protection routes are active</x:v>
      </x:c>
      <x:c r="O934" s="17" t="str">
        <x:v>Safety authority</x:v>
      </x:c>
      <x:c r="P934" s="9" t="n">
        <x:v>0</x:v>
      </x:c>
      <x:c r="Q934" s="9" t="n">
        <x:v>0</x:v>
      </x:c>
      <x:c r="R934" s="9" t="str">
        <x:v>OPEN / UNSTARTED</x:v>
      </x:c>
      <x:c r="S934" s="9" t="n">
        <x:f>COUNTIFS($A$7:$A$1446,A934)</x:f>
        <x:v>1</x:v>
      </x:c>
    </x:row>
    <x:row r="935">
      <x:c r="A935" s="9" t="str">
        <x:v>EV-AR-ET-A-A-TECH-2-B1-BRK-G0-ST09</x:v>
      </x:c>
      <x:c r="B935" s="9" t="str">
        <x:v>EV-AR-ET-A-A-TECH-2-B1-BRK-G0</x:v>
      </x:c>
      <x:c r="C935" s="9" t="str">
        <x:v>EOW-AR-ET-A-A-TECH-2-B1-BRK-G0</x:v>
      </x:c>
      <x:c r="D935" s="9" t="str">
        <x:v>AR-ET-A-A-TECH-2-B1-BRK-G0</x:v>
      </x:c>
      <x:c r="E935" s="9" t="str">
        <x:v>ET-A-A-TECH-2</x:v>
      </x:c>
      <x:c r="F935" s="9" t="str">
        <x:v>ET-A-A</x:v>
      </x:c>
      <x:c r="G935" s="9" t="str">
        <x:v>B1</x:v>
      </x:c>
      <x:c r="H935" s="9" t="str">
        <x:v>BRK</x:v>
      </x:c>
      <x:c r="I935" s="9" t="n">
        <x:v>4</x:v>
      </x:c>
      <x:c r="J935" s="9" t="n">
        <x:v>4</x:v>
      </x:c>
      <x:c r="K935" s="9" t="str">
        <x:v>ET-A-A-N2</x:v>
      </x:c>
      <x:c r="L935" s="9" t="str">
        <x:v>ST09</x:v>
      </x:c>
      <x:c r="M935" s="17" t="str">
        <x:v>Operator conflict clear</x:v>
      </x:c>
      <x:c r="N935" s="17" t="str">
        <x:v>candidate, fixture, safety and measurement control edges remain separated</x:v>
      </x:c>
      <x:c r="O935" s="17" t="str">
        <x:v>Conflict registrar</x:v>
      </x:c>
      <x:c r="P935" s="9" t="n">
        <x:v>0</x:v>
      </x:c>
      <x:c r="Q935" s="9" t="n">
        <x:v>0</x:v>
      </x:c>
      <x:c r="R935" s="9" t="str">
        <x:v>OPEN / UNSTARTED</x:v>
      </x:c>
      <x:c r="S935" s="9" t="n">
        <x:f>COUNTIFS($A$7:$A$1446,A935)</x:f>
        <x:v>1</x:v>
      </x:c>
    </x:row>
    <x:row r="936">
      <x:c r="A936" s="9" t="str">
        <x:v>EV-AR-ET-A-A-TECH-2-B1-BRK-G0-ST10</x:v>
      </x:c>
      <x:c r="B936" s="9" t="str">
        <x:v>EV-AR-ET-A-A-TECH-2-B1-BRK-G0</x:v>
      </x:c>
      <x:c r="C936" s="9" t="str">
        <x:v>EOW-AR-ET-A-A-TECH-2-B1-BRK-G0</x:v>
      </x:c>
      <x:c r="D936" s="9" t="str">
        <x:v>AR-ET-A-A-TECH-2-B1-BRK-G0</x:v>
      </x:c>
      <x:c r="E936" s="9" t="str">
        <x:v>ET-A-A-TECH-2</x:v>
      </x:c>
      <x:c r="F936" s="9" t="str">
        <x:v>ET-A-A</x:v>
      </x:c>
      <x:c r="G936" s="9" t="str">
        <x:v>B1</x:v>
      </x:c>
      <x:c r="H936" s="9" t="str">
        <x:v>BRK</x:v>
      </x:c>
      <x:c r="I936" s="9" t="n">
        <x:v>4</x:v>
      </x:c>
      <x:c r="J936" s="9" t="n">
        <x:v>4</x:v>
      </x:c>
      <x:c r="K936" s="9" t="str">
        <x:v>ET-A-A-N2</x:v>
      </x:c>
      <x:c r="L936" s="9" t="str">
        <x:v>ST10</x:v>
      </x:c>
      <x:c r="M936" s="17" t="str">
        <x:v>Window and common clock</x:v>
      </x:c>
      <x:c r="N936" s="17" t="str">
        <x:v>epoch, window and public time origin match the issued warrant</x:v>
      </x:c>
      <x:c r="O936" s="17" t="str">
        <x:v>Event clock authority</x:v>
      </x:c>
      <x:c r="P936" s="9" t="n">
        <x:v>0</x:v>
      </x:c>
      <x:c r="Q936" s="9" t="n">
        <x:v>0</x:v>
      </x:c>
      <x:c r="R936" s="9" t="str">
        <x:v>OPEN / UNSTARTED</x:v>
      </x:c>
      <x:c r="S936" s="9" t="n">
        <x:f>COUNTIFS($A$7:$A$1446,A936)</x:f>
        <x:v>1</x:v>
      </x:c>
    </x:row>
    <x:row r="937">
      <x:c r="A937" s="9" t="str">
        <x:v>EV-AR-HU-A-B-TECH-4-B1-BRK-G0-ST01</x:v>
      </x:c>
      <x:c r="B937" s="9" t="str">
        <x:v>EV-AR-HU-A-B-TECH-4-B1-BRK-G0</x:v>
      </x:c>
      <x:c r="C937" s="9" t="str">
        <x:v>EOW-AR-HU-A-B-TECH-4-B1-BRK-G0</x:v>
      </x:c>
      <x:c r="D937" s="9" t="str">
        <x:v>AR-HU-A-B-TECH-4-B1-BRK-G0</x:v>
      </x:c>
      <x:c r="E937" s="9" t="str">
        <x:v>HU-A-B-TECH-4</x:v>
      </x:c>
      <x:c r="F937" s="9" t="str">
        <x:v>HU-A-B</x:v>
      </x:c>
      <x:c r="G937" s="9" t="str">
        <x:v>B1</x:v>
      </x:c>
      <x:c r="H937" s="9" t="str">
        <x:v>BRK</x:v>
      </x:c>
      <x:c r="I937" s="9" t="n">
        <x:v>4</x:v>
      </x:c>
      <x:c r="J937" s="9" t="n">
        <x:v>4</x:v>
      </x:c>
      <x:c r="K937" s="9" t="str">
        <x:v>HU-A-B-N1</x:v>
      </x:c>
      <x:c r="L937" s="9" t="str">
        <x:v>ST01</x:v>
      </x:c>
      <x:c r="M937" s="17" t="str">
        <x:v>Active opportunity warrant</x:v>
      </x:c>
      <x:c r="N937" s="17" t="str">
        <x:v>configuration-bound EOW is within its thirty-six-hour validity</x:v>
      </x:c>
      <x:c r="O937" s="17" t="str">
        <x:v>Start registrar</x:v>
      </x:c>
      <x:c r="P937" s="9" t="n">
        <x:v>0</x:v>
      </x:c>
      <x:c r="Q937" s="9" t="n">
        <x:v>0</x:v>
      </x:c>
      <x:c r="R937" s="9" t="str">
        <x:v>OPEN / UNSTARTED</x:v>
      </x:c>
      <x:c r="S937" s="9" t="n">
        <x:f>COUNTIFS($A$7:$A$1446,A937)</x:f>
        <x:v>1</x:v>
      </x:c>
    </x:row>
    <x:row r="938">
      <x:c r="A938" s="9" t="str">
        <x:v>EV-AR-HU-A-B-TECH-4-B1-BRK-G0-ST02</x:v>
      </x:c>
      <x:c r="B938" s="9" t="str">
        <x:v>EV-AR-HU-A-B-TECH-4-B1-BRK-G0</x:v>
      </x:c>
      <x:c r="C938" s="9" t="str">
        <x:v>EOW-AR-HU-A-B-TECH-4-B1-BRK-G0</x:v>
      </x:c>
      <x:c r="D938" s="9" t="str">
        <x:v>AR-HU-A-B-TECH-4-B1-BRK-G0</x:v>
      </x:c>
      <x:c r="E938" s="9" t="str">
        <x:v>HU-A-B-TECH-4</x:v>
      </x:c>
      <x:c r="F938" s="9" t="str">
        <x:v>HU-A-B</x:v>
      </x:c>
      <x:c r="G938" s="9" t="str">
        <x:v>B1</x:v>
      </x:c>
      <x:c r="H938" s="9" t="str">
        <x:v>BRK</x:v>
      </x:c>
      <x:c r="I938" s="9" t="n">
        <x:v>4</x:v>
      </x:c>
      <x:c r="J938" s="9" t="n">
        <x:v>4</x:v>
      </x:c>
      <x:c r="K938" s="9" t="str">
        <x:v>HU-A-B-N1</x:v>
      </x:c>
      <x:c r="L938" s="9" t="str">
        <x:v>ST02</x:v>
      </x:c>
      <x:c r="M938" s="17" t="str">
        <x:v>Frozen identity</x:v>
      </x:c>
      <x:c r="N938" s="17" t="str">
        <x:v>serial, generation, fixture, site, receiver and digest match the warrant</x:v>
      </x:c>
      <x:c r="O938" s="17" t="str">
        <x:v>Custody authority</x:v>
      </x:c>
      <x:c r="P938" s="9" t="n">
        <x:v>0</x:v>
      </x:c>
      <x:c r="Q938" s="9" t="n">
        <x:v>0</x:v>
      </x:c>
      <x:c r="R938" s="9" t="str">
        <x:v>OPEN / UNSTARTED</x:v>
      </x:c>
      <x:c r="S938" s="9" t="n">
        <x:f>COUNTIFS($A$7:$A$1446,A938)</x:f>
        <x:v>1</x:v>
      </x:c>
    </x:row>
    <x:row r="939">
      <x:c r="A939" s="9" t="str">
        <x:v>EV-AR-HU-A-B-TECH-4-B1-BRK-G0-ST03</x:v>
      </x:c>
      <x:c r="B939" s="9" t="str">
        <x:v>EV-AR-HU-A-B-TECH-4-B1-BRK-G0</x:v>
      </x:c>
      <x:c r="C939" s="9" t="str">
        <x:v>EOW-AR-HU-A-B-TECH-4-B1-BRK-G0</x:v>
      </x:c>
      <x:c r="D939" s="9" t="str">
        <x:v>AR-HU-A-B-TECH-4-B1-BRK-G0</x:v>
      </x:c>
      <x:c r="E939" s="9" t="str">
        <x:v>HU-A-B-TECH-4</x:v>
      </x:c>
      <x:c r="F939" s="9" t="str">
        <x:v>HU-A-B</x:v>
      </x:c>
      <x:c r="G939" s="9" t="str">
        <x:v>B1</x:v>
      </x:c>
      <x:c r="H939" s="9" t="str">
        <x:v>BRK</x:v>
      </x:c>
      <x:c r="I939" s="9" t="n">
        <x:v>4</x:v>
      </x:c>
      <x:c r="J939" s="9" t="n">
        <x:v>4</x:v>
      </x:c>
      <x:c r="K939" s="9" t="str">
        <x:v>HU-A-B-N1</x:v>
      </x:c>
      <x:c r="L939" s="9" t="str">
        <x:v>ST03</x:v>
      </x:c>
      <x:c r="M939" s="17" t="str">
        <x:v>Receiver receipt</x:v>
      </x:c>
      <x:c r="N939" s="17" t="str">
        <x:v>denominator, counterfactual, rights and stop receipt remain unchanged</x:v>
      </x:c>
      <x:c r="O939" s="17" t="str">
        <x:v>Receiver authority</x:v>
      </x:c>
      <x:c r="P939" s="9" t="n">
        <x:v>0</x:v>
      </x:c>
      <x:c r="Q939" s="9" t="n">
        <x:v>0</x:v>
      </x:c>
      <x:c r="R939" s="9" t="str">
        <x:v>OPEN / UNSTARTED</x:v>
      </x:c>
      <x:c r="S939" s="9" t="n">
        <x:f>COUNTIFS($A$7:$A$1446,A939)</x:f>
        <x:v>1</x:v>
      </x:c>
    </x:row>
    <x:row r="940">
      <x:c r="A940" s="9" t="str">
        <x:v>EV-AR-HU-A-B-TECH-4-B1-BRK-G0-ST04</x:v>
      </x:c>
      <x:c r="B940" s="9" t="str">
        <x:v>EV-AR-HU-A-B-TECH-4-B1-BRK-G0</x:v>
      </x:c>
      <x:c r="C940" s="9" t="str">
        <x:v>EOW-AR-HU-A-B-TECH-4-B1-BRK-G0</x:v>
      </x:c>
      <x:c r="D940" s="9" t="str">
        <x:v>AR-HU-A-B-TECH-4-B1-BRK-G0</x:v>
      </x:c>
      <x:c r="E940" s="9" t="str">
        <x:v>HU-A-B-TECH-4</x:v>
      </x:c>
      <x:c r="F940" s="9" t="str">
        <x:v>HU-A-B</x:v>
      </x:c>
      <x:c r="G940" s="9" t="str">
        <x:v>B1</x:v>
      </x:c>
      <x:c r="H940" s="9" t="str">
        <x:v>BRK</x:v>
      </x:c>
      <x:c r="I940" s="9" t="n">
        <x:v>4</x:v>
      </x:c>
      <x:c r="J940" s="9" t="n">
        <x:v>4</x:v>
      </x:c>
      <x:c r="K940" s="9" t="str">
        <x:v>HU-A-B-N1</x:v>
      </x:c>
      <x:c r="L940" s="9" t="str">
        <x:v>ST04</x:v>
      </x:c>
      <x:c r="M940" s="17" t="str">
        <x:v>Primary capture armed</x:v>
      </x:c>
      <x:c r="N940" s="17" t="str">
        <x:v>primary chain records sealed reference and live time</x:v>
      </x:c>
      <x:c r="O940" s="17" t="str">
        <x:v>Primary metrology</x:v>
      </x:c>
      <x:c r="P940" s="9" t="n">
        <x:v>0</x:v>
      </x:c>
      <x:c r="Q940" s="9" t="n">
        <x:v>0</x:v>
      </x:c>
      <x:c r="R940" s="9" t="str">
        <x:v>OPEN / UNSTARTED</x:v>
      </x:c>
      <x:c r="S940" s="9" t="n">
        <x:f>COUNTIFS($A$7:$A$1446,A940)</x:f>
        <x:v>1</x:v>
      </x:c>
    </x:row>
    <x:row r="941">
      <x:c r="A941" s="9" t="str">
        <x:v>EV-AR-HU-A-B-TECH-4-B1-BRK-G0-ST05</x:v>
      </x:c>
      <x:c r="B941" s="9" t="str">
        <x:v>EV-AR-HU-A-B-TECH-4-B1-BRK-G0</x:v>
      </x:c>
      <x:c r="C941" s="9" t="str">
        <x:v>EOW-AR-HU-A-B-TECH-4-B1-BRK-G0</x:v>
      </x:c>
      <x:c r="D941" s="9" t="str">
        <x:v>AR-HU-A-B-TECH-4-B1-BRK-G0</x:v>
      </x:c>
      <x:c r="E941" s="9" t="str">
        <x:v>HU-A-B-TECH-4</x:v>
      </x:c>
      <x:c r="F941" s="9" t="str">
        <x:v>HU-A-B</x:v>
      </x:c>
      <x:c r="G941" s="9" t="str">
        <x:v>B1</x:v>
      </x:c>
      <x:c r="H941" s="9" t="str">
        <x:v>BRK</x:v>
      </x:c>
      <x:c r="I941" s="9" t="n">
        <x:v>4</x:v>
      </x:c>
      <x:c r="J941" s="9" t="n">
        <x:v>4</x:v>
      </x:c>
      <x:c r="K941" s="9" t="str">
        <x:v>HU-A-B-N1</x:v>
      </x:c>
      <x:c r="L941" s="9" t="str">
        <x:v>ST05</x:v>
      </x:c>
      <x:c r="M941" s="17" t="str">
        <x:v>Witness capture armed</x:v>
      </x:c>
      <x:c r="N941" s="17" t="str">
        <x:v>unlike witness records independent reference and live time</x:v>
      </x:c>
      <x:c r="O941" s="17" t="str">
        <x:v>Witness metrology</x:v>
      </x:c>
      <x:c r="P941" s="9" t="n">
        <x:v>0</x:v>
      </x:c>
      <x:c r="Q941" s="9" t="n">
        <x:v>0</x:v>
      </x:c>
      <x:c r="R941" s="9" t="str">
        <x:v>OPEN / UNSTARTED</x:v>
      </x:c>
      <x:c r="S941" s="9" t="n">
        <x:f>COUNTIFS($A$7:$A$1446,A941)</x:f>
        <x:v>1</x:v>
      </x:c>
    </x:row>
    <x:row r="942">
      <x:c r="A942" s="9" t="str">
        <x:v>EV-AR-HU-A-B-TECH-4-B1-BRK-G0-ST06</x:v>
      </x:c>
      <x:c r="B942" s="9" t="str">
        <x:v>EV-AR-HU-A-B-TECH-4-B1-BRK-G0</x:v>
      </x:c>
      <x:c r="C942" s="9" t="str">
        <x:v>EOW-AR-HU-A-B-TECH-4-B1-BRK-G0</x:v>
      </x:c>
      <x:c r="D942" s="9" t="str">
        <x:v>AR-HU-A-B-TECH-4-B1-BRK-G0</x:v>
      </x:c>
      <x:c r="E942" s="9" t="str">
        <x:v>HU-A-B-TECH-4</x:v>
      </x:c>
      <x:c r="F942" s="9" t="str">
        <x:v>HU-A-B</x:v>
      </x:c>
      <x:c r="G942" s="9" t="str">
        <x:v>B1</x:v>
      </x:c>
      <x:c r="H942" s="9" t="str">
        <x:v>BRK</x:v>
      </x:c>
      <x:c r="I942" s="9" t="n">
        <x:v>4</x:v>
      </x:c>
      <x:c r="J942" s="9" t="n">
        <x:v>4</x:v>
      </x:c>
      <x:c r="K942" s="9" t="str">
        <x:v>HU-A-B-N1</x:v>
      </x:c>
      <x:c r="L942" s="9" t="str">
        <x:v>ST06</x:v>
      </x:c>
      <x:c r="M942" s="17" t="str">
        <x:v>Public custody armed</x:v>
      </x:c>
      <x:c r="N942" s="17" t="str">
        <x:v>eight raw origins have separated hash and replica routes</x:v>
      </x:c>
      <x:c r="O942" s="17" t="str">
        <x:v>Custody authority</x:v>
      </x:c>
      <x:c r="P942" s="9" t="n">
        <x:v>0</x:v>
      </x:c>
      <x:c r="Q942" s="9" t="n">
        <x:v>0</x:v>
      </x:c>
      <x:c r="R942" s="9" t="str">
        <x:v>OPEN / UNSTARTED</x:v>
      </x:c>
      <x:c r="S942" s="9" t="n">
        <x:f>COUNTIFS($A$7:$A$1446,A942)</x:f>
        <x:v>1</x:v>
      </x:c>
    </x:row>
    <x:row r="943">
      <x:c r="A943" s="9" t="str">
        <x:v>EV-AR-HU-A-B-TECH-4-B1-BRK-G0-ST07</x:v>
      </x:c>
      <x:c r="B943" s="9" t="str">
        <x:v>EV-AR-HU-A-B-TECH-4-B1-BRK-G0</x:v>
      </x:c>
      <x:c r="C943" s="9" t="str">
        <x:v>EOW-AR-HU-A-B-TECH-4-B1-BRK-G0</x:v>
      </x:c>
      <x:c r="D943" s="9" t="str">
        <x:v>AR-HU-A-B-TECH-4-B1-BRK-G0</x:v>
      </x:c>
      <x:c r="E943" s="9" t="str">
        <x:v>HU-A-B-TECH-4</x:v>
      </x:c>
      <x:c r="F943" s="9" t="str">
        <x:v>HU-A-B</x:v>
      </x:c>
      <x:c r="G943" s="9" t="str">
        <x:v>B1</x:v>
      </x:c>
      <x:c r="H943" s="9" t="str">
        <x:v>BRK</x:v>
      </x:c>
      <x:c r="I943" s="9" t="n">
        <x:v>4</x:v>
      </x:c>
      <x:c r="J943" s="9" t="n">
        <x:v>4</x:v>
      </x:c>
      <x:c r="K943" s="9" t="str">
        <x:v>HU-A-B-N1</x:v>
      </x:c>
      <x:c r="L943" s="9" t="str">
        <x:v>ST07</x:v>
      </x:c>
      <x:c r="M943" s="17" t="str">
        <x:v>Environmental baseline</x:v>
      </x:c>
      <x:c r="N943" s="17" t="str">
        <x:v>pre-event boundary state is sealed before decisive operation</x:v>
      </x:c>
      <x:c r="O943" s="17" t="str">
        <x:v>Site metrology</x:v>
      </x:c>
      <x:c r="P943" s="9" t="n">
        <x:v>0</x:v>
      </x:c>
      <x:c r="Q943" s="9" t="n">
        <x:v>0</x:v>
      </x:c>
      <x:c r="R943" s="9" t="str">
        <x:v>OPEN / UNSTARTED</x:v>
      </x:c>
      <x:c r="S943" s="9" t="n">
        <x:f>COUNTIFS($A$7:$A$1446,A943)</x:f>
        <x:v>1</x:v>
      </x:c>
    </x:row>
    <x:row r="944">
      <x:c r="A944" s="9" t="str">
        <x:v>EV-AR-HU-A-B-TECH-4-B1-BRK-G0-ST08</x:v>
      </x:c>
      <x:c r="B944" s="9" t="str">
        <x:v>EV-AR-HU-A-B-TECH-4-B1-BRK-G0</x:v>
      </x:c>
      <x:c r="C944" s="9" t="str">
        <x:v>EOW-AR-HU-A-B-TECH-4-B1-BRK-G0</x:v>
      </x:c>
      <x:c r="D944" s="9" t="str">
        <x:v>AR-HU-A-B-TECH-4-B1-BRK-G0</x:v>
      </x:c>
      <x:c r="E944" s="9" t="str">
        <x:v>HU-A-B-TECH-4</x:v>
      </x:c>
      <x:c r="F944" s="9" t="str">
        <x:v>HU-A-B</x:v>
      </x:c>
      <x:c r="G944" s="9" t="str">
        <x:v>B1</x:v>
      </x:c>
      <x:c r="H944" s="9" t="str">
        <x:v>BRK</x:v>
      </x:c>
      <x:c r="I944" s="9" t="n">
        <x:v>4</x:v>
      </x:c>
      <x:c r="J944" s="9" t="n">
        <x:v>4</x:v>
      </x:c>
      <x:c r="K944" s="9" t="str">
        <x:v>HU-A-B-N1</x:v>
      </x:c>
      <x:c r="L944" s="9" t="str">
        <x:v>ST08</x:v>
      </x:c>
      <x:c r="M944" s="17" t="str">
        <x:v>Manual stop and safety</x:v>
      </x:c>
      <x:c r="N944" s="17" t="str">
        <x:v>local stop, evacuation and protection routes are active</x:v>
      </x:c>
      <x:c r="O944" s="17" t="str">
        <x:v>Safety authority</x:v>
      </x:c>
      <x:c r="P944" s="9" t="n">
        <x:v>0</x:v>
      </x:c>
      <x:c r="Q944" s="9" t="n">
        <x:v>0</x:v>
      </x:c>
      <x:c r="R944" s="9" t="str">
        <x:v>OPEN / UNSTARTED</x:v>
      </x:c>
      <x:c r="S944" s="9" t="n">
        <x:f>COUNTIFS($A$7:$A$1446,A944)</x:f>
        <x:v>1</x:v>
      </x:c>
    </x:row>
    <x:row r="945">
      <x:c r="A945" s="9" t="str">
        <x:v>EV-AR-HU-A-B-TECH-4-B1-BRK-G0-ST09</x:v>
      </x:c>
      <x:c r="B945" s="9" t="str">
        <x:v>EV-AR-HU-A-B-TECH-4-B1-BRK-G0</x:v>
      </x:c>
      <x:c r="C945" s="9" t="str">
        <x:v>EOW-AR-HU-A-B-TECH-4-B1-BRK-G0</x:v>
      </x:c>
      <x:c r="D945" s="9" t="str">
        <x:v>AR-HU-A-B-TECH-4-B1-BRK-G0</x:v>
      </x:c>
      <x:c r="E945" s="9" t="str">
        <x:v>HU-A-B-TECH-4</x:v>
      </x:c>
      <x:c r="F945" s="9" t="str">
        <x:v>HU-A-B</x:v>
      </x:c>
      <x:c r="G945" s="9" t="str">
        <x:v>B1</x:v>
      </x:c>
      <x:c r="H945" s="9" t="str">
        <x:v>BRK</x:v>
      </x:c>
      <x:c r="I945" s="9" t="n">
        <x:v>4</x:v>
      </x:c>
      <x:c r="J945" s="9" t="n">
        <x:v>4</x:v>
      </x:c>
      <x:c r="K945" s="9" t="str">
        <x:v>HU-A-B-N1</x:v>
      </x:c>
      <x:c r="L945" s="9" t="str">
        <x:v>ST09</x:v>
      </x:c>
      <x:c r="M945" s="17" t="str">
        <x:v>Operator conflict clear</x:v>
      </x:c>
      <x:c r="N945" s="17" t="str">
        <x:v>candidate, fixture, safety and measurement control edges remain separated</x:v>
      </x:c>
      <x:c r="O945" s="17" t="str">
        <x:v>Conflict registrar</x:v>
      </x:c>
      <x:c r="P945" s="9" t="n">
        <x:v>0</x:v>
      </x:c>
      <x:c r="Q945" s="9" t="n">
        <x:v>0</x:v>
      </x:c>
      <x:c r="R945" s="9" t="str">
        <x:v>OPEN / UNSTARTED</x:v>
      </x:c>
      <x:c r="S945" s="9" t="n">
        <x:f>COUNTIFS($A$7:$A$1446,A945)</x:f>
        <x:v>1</x:v>
      </x:c>
    </x:row>
    <x:row r="946">
      <x:c r="A946" s="9" t="str">
        <x:v>EV-AR-HU-A-B-TECH-4-B1-BRK-G0-ST10</x:v>
      </x:c>
      <x:c r="B946" s="9" t="str">
        <x:v>EV-AR-HU-A-B-TECH-4-B1-BRK-G0</x:v>
      </x:c>
      <x:c r="C946" s="9" t="str">
        <x:v>EOW-AR-HU-A-B-TECH-4-B1-BRK-G0</x:v>
      </x:c>
      <x:c r="D946" s="9" t="str">
        <x:v>AR-HU-A-B-TECH-4-B1-BRK-G0</x:v>
      </x:c>
      <x:c r="E946" s="9" t="str">
        <x:v>HU-A-B-TECH-4</x:v>
      </x:c>
      <x:c r="F946" s="9" t="str">
        <x:v>HU-A-B</x:v>
      </x:c>
      <x:c r="G946" s="9" t="str">
        <x:v>B1</x:v>
      </x:c>
      <x:c r="H946" s="9" t="str">
        <x:v>BRK</x:v>
      </x:c>
      <x:c r="I946" s="9" t="n">
        <x:v>4</x:v>
      </x:c>
      <x:c r="J946" s="9" t="n">
        <x:v>4</x:v>
      </x:c>
      <x:c r="K946" s="9" t="str">
        <x:v>HU-A-B-N1</x:v>
      </x:c>
      <x:c r="L946" s="9" t="str">
        <x:v>ST10</x:v>
      </x:c>
      <x:c r="M946" s="17" t="str">
        <x:v>Window and common clock</x:v>
      </x:c>
      <x:c r="N946" s="17" t="str">
        <x:v>epoch, window and public time origin match the issued warrant</x:v>
      </x:c>
      <x:c r="O946" s="17" t="str">
        <x:v>Event clock authority</x:v>
      </x:c>
      <x:c r="P946" s="9" t="n">
        <x:v>0</x:v>
      </x:c>
      <x:c r="Q946" s="9" t="n">
        <x:v>0</x:v>
      </x:c>
      <x:c r="R946" s="9" t="str">
        <x:v>OPEN / UNSTARTED</x:v>
      </x:c>
      <x:c r="S946" s="9" t="n">
        <x:f>COUNTIFS($A$7:$A$1446,A946)</x:f>
        <x:v>1</x:v>
      </x:c>
    </x:row>
    <x:row r="947">
      <x:c r="A947" s="9" t="str">
        <x:v>EV-AR-HU-A-B-TECH-2-B1-RCN-G0-ST01</x:v>
      </x:c>
      <x:c r="B947" s="9" t="str">
        <x:v>EV-AR-HU-A-B-TECH-2-B1-RCN-G0</x:v>
      </x:c>
      <x:c r="C947" s="9" t="str">
        <x:v>EOW-AR-HU-A-B-TECH-2-B1-RCN-G0</x:v>
      </x:c>
      <x:c r="D947" s="9" t="str">
        <x:v>AR-HU-A-B-TECH-2-B1-RCN-G0</x:v>
      </x:c>
      <x:c r="E947" s="9" t="str">
        <x:v>HU-A-B-TECH-2</x:v>
      </x:c>
      <x:c r="F947" s="9" t="str">
        <x:v>HU-A-B</x:v>
      </x:c>
      <x:c r="G947" s="9" t="str">
        <x:v>B1</x:v>
      </x:c>
      <x:c r="H947" s="9" t="str">
        <x:v>RCN</x:v>
      </x:c>
      <x:c r="I947" s="9" t="n">
        <x:v>4</x:v>
      </x:c>
      <x:c r="J947" s="9" t="n">
        <x:v>4</x:v>
      </x:c>
      <x:c r="K947" s="9" t="str">
        <x:v>HU-A-B-N3</x:v>
      </x:c>
      <x:c r="L947" s="9" t="str">
        <x:v>ST01</x:v>
      </x:c>
      <x:c r="M947" s="17" t="str">
        <x:v>Active opportunity warrant</x:v>
      </x:c>
      <x:c r="N947" s="17" t="str">
        <x:v>configuration-bound EOW is within its thirty-six-hour validity</x:v>
      </x:c>
      <x:c r="O947" s="17" t="str">
        <x:v>Start registrar</x:v>
      </x:c>
      <x:c r="P947" s="9" t="n">
        <x:v>0</x:v>
      </x:c>
      <x:c r="Q947" s="9" t="n">
        <x:v>0</x:v>
      </x:c>
      <x:c r="R947" s="9" t="str">
        <x:v>OPEN / UNSTARTED</x:v>
      </x:c>
      <x:c r="S947" s="9" t="n">
        <x:f>COUNTIFS($A$7:$A$1446,A947)</x:f>
        <x:v>1</x:v>
      </x:c>
    </x:row>
    <x:row r="948">
      <x:c r="A948" s="9" t="str">
        <x:v>EV-AR-HU-A-B-TECH-2-B1-RCN-G0-ST02</x:v>
      </x:c>
      <x:c r="B948" s="9" t="str">
        <x:v>EV-AR-HU-A-B-TECH-2-B1-RCN-G0</x:v>
      </x:c>
      <x:c r="C948" s="9" t="str">
        <x:v>EOW-AR-HU-A-B-TECH-2-B1-RCN-G0</x:v>
      </x:c>
      <x:c r="D948" s="9" t="str">
        <x:v>AR-HU-A-B-TECH-2-B1-RCN-G0</x:v>
      </x:c>
      <x:c r="E948" s="9" t="str">
        <x:v>HU-A-B-TECH-2</x:v>
      </x:c>
      <x:c r="F948" s="9" t="str">
        <x:v>HU-A-B</x:v>
      </x:c>
      <x:c r="G948" s="9" t="str">
        <x:v>B1</x:v>
      </x:c>
      <x:c r="H948" s="9" t="str">
        <x:v>RCN</x:v>
      </x:c>
      <x:c r="I948" s="9" t="n">
        <x:v>4</x:v>
      </x:c>
      <x:c r="J948" s="9" t="n">
        <x:v>4</x:v>
      </x:c>
      <x:c r="K948" s="9" t="str">
        <x:v>HU-A-B-N3</x:v>
      </x:c>
      <x:c r="L948" s="9" t="str">
        <x:v>ST02</x:v>
      </x:c>
      <x:c r="M948" s="17" t="str">
        <x:v>Frozen identity</x:v>
      </x:c>
      <x:c r="N948" s="17" t="str">
        <x:v>serial, generation, fixture, site, receiver and digest match the warrant</x:v>
      </x:c>
      <x:c r="O948" s="17" t="str">
        <x:v>Custody authority</x:v>
      </x:c>
      <x:c r="P948" s="9" t="n">
        <x:v>0</x:v>
      </x:c>
      <x:c r="Q948" s="9" t="n">
        <x:v>0</x:v>
      </x:c>
      <x:c r="R948" s="9" t="str">
        <x:v>OPEN / UNSTARTED</x:v>
      </x:c>
      <x:c r="S948" s="9" t="n">
        <x:f>COUNTIFS($A$7:$A$1446,A948)</x:f>
        <x:v>1</x:v>
      </x:c>
    </x:row>
    <x:row r="949">
      <x:c r="A949" s="9" t="str">
        <x:v>EV-AR-HU-A-B-TECH-2-B1-RCN-G0-ST03</x:v>
      </x:c>
      <x:c r="B949" s="9" t="str">
        <x:v>EV-AR-HU-A-B-TECH-2-B1-RCN-G0</x:v>
      </x:c>
      <x:c r="C949" s="9" t="str">
        <x:v>EOW-AR-HU-A-B-TECH-2-B1-RCN-G0</x:v>
      </x:c>
      <x:c r="D949" s="9" t="str">
        <x:v>AR-HU-A-B-TECH-2-B1-RCN-G0</x:v>
      </x:c>
      <x:c r="E949" s="9" t="str">
        <x:v>HU-A-B-TECH-2</x:v>
      </x:c>
      <x:c r="F949" s="9" t="str">
        <x:v>HU-A-B</x:v>
      </x:c>
      <x:c r="G949" s="9" t="str">
        <x:v>B1</x:v>
      </x:c>
      <x:c r="H949" s="9" t="str">
        <x:v>RCN</x:v>
      </x:c>
      <x:c r="I949" s="9" t="n">
        <x:v>4</x:v>
      </x:c>
      <x:c r="J949" s="9" t="n">
        <x:v>4</x:v>
      </x:c>
      <x:c r="K949" s="9" t="str">
        <x:v>HU-A-B-N3</x:v>
      </x:c>
      <x:c r="L949" s="9" t="str">
        <x:v>ST03</x:v>
      </x:c>
      <x:c r="M949" s="17" t="str">
        <x:v>Receiver receipt</x:v>
      </x:c>
      <x:c r="N949" s="17" t="str">
        <x:v>denominator, counterfactual, rights and stop receipt remain unchanged</x:v>
      </x:c>
      <x:c r="O949" s="17" t="str">
        <x:v>Receiver authority</x:v>
      </x:c>
      <x:c r="P949" s="9" t="n">
        <x:v>0</x:v>
      </x:c>
      <x:c r="Q949" s="9" t="n">
        <x:v>0</x:v>
      </x:c>
      <x:c r="R949" s="9" t="str">
        <x:v>OPEN / UNSTARTED</x:v>
      </x:c>
      <x:c r="S949" s="9" t="n">
        <x:f>COUNTIFS($A$7:$A$1446,A949)</x:f>
        <x:v>1</x:v>
      </x:c>
    </x:row>
    <x:row r="950">
      <x:c r="A950" s="9" t="str">
        <x:v>EV-AR-HU-A-B-TECH-2-B1-RCN-G0-ST04</x:v>
      </x:c>
      <x:c r="B950" s="9" t="str">
        <x:v>EV-AR-HU-A-B-TECH-2-B1-RCN-G0</x:v>
      </x:c>
      <x:c r="C950" s="9" t="str">
        <x:v>EOW-AR-HU-A-B-TECH-2-B1-RCN-G0</x:v>
      </x:c>
      <x:c r="D950" s="9" t="str">
        <x:v>AR-HU-A-B-TECH-2-B1-RCN-G0</x:v>
      </x:c>
      <x:c r="E950" s="9" t="str">
        <x:v>HU-A-B-TECH-2</x:v>
      </x:c>
      <x:c r="F950" s="9" t="str">
        <x:v>HU-A-B</x:v>
      </x:c>
      <x:c r="G950" s="9" t="str">
        <x:v>B1</x:v>
      </x:c>
      <x:c r="H950" s="9" t="str">
        <x:v>RCN</x:v>
      </x:c>
      <x:c r="I950" s="9" t="n">
        <x:v>4</x:v>
      </x:c>
      <x:c r="J950" s="9" t="n">
        <x:v>4</x:v>
      </x:c>
      <x:c r="K950" s="9" t="str">
        <x:v>HU-A-B-N3</x:v>
      </x:c>
      <x:c r="L950" s="9" t="str">
        <x:v>ST04</x:v>
      </x:c>
      <x:c r="M950" s="17" t="str">
        <x:v>Primary capture armed</x:v>
      </x:c>
      <x:c r="N950" s="17" t="str">
        <x:v>primary chain records sealed reference and live time</x:v>
      </x:c>
      <x:c r="O950" s="17" t="str">
        <x:v>Primary metrology</x:v>
      </x:c>
      <x:c r="P950" s="9" t="n">
        <x:v>0</x:v>
      </x:c>
      <x:c r="Q950" s="9" t="n">
        <x:v>0</x:v>
      </x:c>
      <x:c r="R950" s="9" t="str">
        <x:v>OPEN / UNSTARTED</x:v>
      </x:c>
      <x:c r="S950" s="9" t="n">
        <x:f>COUNTIFS($A$7:$A$1446,A950)</x:f>
        <x:v>1</x:v>
      </x:c>
    </x:row>
    <x:row r="951">
      <x:c r="A951" s="9" t="str">
        <x:v>EV-AR-HU-A-B-TECH-2-B1-RCN-G0-ST05</x:v>
      </x:c>
      <x:c r="B951" s="9" t="str">
        <x:v>EV-AR-HU-A-B-TECH-2-B1-RCN-G0</x:v>
      </x:c>
      <x:c r="C951" s="9" t="str">
        <x:v>EOW-AR-HU-A-B-TECH-2-B1-RCN-G0</x:v>
      </x:c>
      <x:c r="D951" s="9" t="str">
        <x:v>AR-HU-A-B-TECH-2-B1-RCN-G0</x:v>
      </x:c>
      <x:c r="E951" s="9" t="str">
        <x:v>HU-A-B-TECH-2</x:v>
      </x:c>
      <x:c r="F951" s="9" t="str">
        <x:v>HU-A-B</x:v>
      </x:c>
      <x:c r="G951" s="9" t="str">
        <x:v>B1</x:v>
      </x:c>
      <x:c r="H951" s="9" t="str">
        <x:v>RCN</x:v>
      </x:c>
      <x:c r="I951" s="9" t="n">
        <x:v>4</x:v>
      </x:c>
      <x:c r="J951" s="9" t="n">
        <x:v>4</x:v>
      </x:c>
      <x:c r="K951" s="9" t="str">
        <x:v>HU-A-B-N3</x:v>
      </x:c>
      <x:c r="L951" s="9" t="str">
        <x:v>ST05</x:v>
      </x:c>
      <x:c r="M951" s="17" t="str">
        <x:v>Witness capture armed</x:v>
      </x:c>
      <x:c r="N951" s="17" t="str">
        <x:v>unlike witness records independent reference and live time</x:v>
      </x:c>
      <x:c r="O951" s="17" t="str">
        <x:v>Witness metrology</x:v>
      </x:c>
      <x:c r="P951" s="9" t="n">
        <x:v>0</x:v>
      </x:c>
      <x:c r="Q951" s="9" t="n">
        <x:v>0</x:v>
      </x:c>
      <x:c r="R951" s="9" t="str">
        <x:v>OPEN / UNSTARTED</x:v>
      </x:c>
      <x:c r="S951" s="9" t="n">
        <x:f>COUNTIFS($A$7:$A$1446,A951)</x:f>
        <x:v>1</x:v>
      </x:c>
    </x:row>
    <x:row r="952">
      <x:c r="A952" s="9" t="str">
        <x:v>EV-AR-HU-A-B-TECH-2-B1-RCN-G0-ST06</x:v>
      </x:c>
      <x:c r="B952" s="9" t="str">
        <x:v>EV-AR-HU-A-B-TECH-2-B1-RCN-G0</x:v>
      </x:c>
      <x:c r="C952" s="9" t="str">
        <x:v>EOW-AR-HU-A-B-TECH-2-B1-RCN-G0</x:v>
      </x:c>
      <x:c r="D952" s="9" t="str">
        <x:v>AR-HU-A-B-TECH-2-B1-RCN-G0</x:v>
      </x:c>
      <x:c r="E952" s="9" t="str">
        <x:v>HU-A-B-TECH-2</x:v>
      </x:c>
      <x:c r="F952" s="9" t="str">
        <x:v>HU-A-B</x:v>
      </x:c>
      <x:c r="G952" s="9" t="str">
        <x:v>B1</x:v>
      </x:c>
      <x:c r="H952" s="9" t="str">
        <x:v>RCN</x:v>
      </x:c>
      <x:c r="I952" s="9" t="n">
        <x:v>4</x:v>
      </x:c>
      <x:c r="J952" s="9" t="n">
        <x:v>4</x:v>
      </x:c>
      <x:c r="K952" s="9" t="str">
        <x:v>HU-A-B-N3</x:v>
      </x:c>
      <x:c r="L952" s="9" t="str">
        <x:v>ST06</x:v>
      </x:c>
      <x:c r="M952" s="17" t="str">
        <x:v>Public custody armed</x:v>
      </x:c>
      <x:c r="N952" s="17" t="str">
        <x:v>eight raw origins have separated hash and replica routes</x:v>
      </x:c>
      <x:c r="O952" s="17" t="str">
        <x:v>Custody authority</x:v>
      </x:c>
      <x:c r="P952" s="9" t="n">
        <x:v>0</x:v>
      </x:c>
      <x:c r="Q952" s="9" t="n">
        <x:v>0</x:v>
      </x:c>
      <x:c r="R952" s="9" t="str">
        <x:v>OPEN / UNSTARTED</x:v>
      </x:c>
      <x:c r="S952" s="9" t="n">
        <x:f>COUNTIFS($A$7:$A$1446,A952)</x:f>
        <x:v>1</x:v>
      </x:c>
    </x:row>
    <x:row r="953">
      <x:c r="A953" s="9" t="str">
        <x:v>EV-AR-HU-A-B-TECH-2-B1-RCN-G0-ST07</x:v>
      </x:c>
      <x:c r="B953" s="9" t="str">
        <x:v>EV-AR-HU-A-B-TECH-2-B1-RCN-G0</x:v>
      </x:c>
      <x:c r="C953" s="9" t="str">
        <x:v>EOW-AR-HU-A-B-TECH-2-B1-RCN-G0</x:v>
      </x:c>
      <x:c r="D953" s="9" t="str">
        <x:v>AR-HU-A-B-TECH-2-B1-RCN-G0</x:v>
      </x:c>
      <x:c r="E953" s="9" t="str">
        <x:v>HU-A-B-TECH-2</x:v>
      </x:c>
      <x:c r="F953" s="9" t="str">
        <x:v>HU-A-B</x:v>
      </x:c>
      <x:c r="G953" s="9" t="str">
        <x:v>B1</x:v>
      </x:c>
      <x:c r="H953" s="9" t="str">
        <x:v>RCN</x:v>
      </x:c>
      <x:c r="I953" s="9" t="n">
        <x:v>4</x:v>
      </x:c>
      <x:c r="J953" s="9" t="n">
        <x:v>4</x:v>
      </x:c>
      <x:c r="K953" s="9" t="str">
        <x:v>HU-A-B-N3</x:v>
      </x:c>
      <x:c r="L953" s="9" t="str">
        <x:v>ST07</x:v>
      </x:c>
      <x:c r="M953" s="17" t="str">
        <x:v>Environmental baseline</x:v>
      </x:c>
      <x:c r="N953" s="17" t="str">
        <x:v>pre-event boundary state is sealed before decisive operation</x:v>
      </x:c>
      <x:c r="O953" s="17" t="str">
        <x:v>Site metrology</x:v>
      </x:c>
      <x:c r="P953" s="9" t="n">
        <x:v>0</x:v>
      </x:c>
      <x:c r="Q953" s="9" t="n">
        <x:v>0</x:v>
      </x:c>
      <x:c r="R953" s="9" t="str">
        <x:v>OPEN / UNSTARTED</x:v>
      </x:c>
      <x:c r="S953" s="9" t="n">
        <x:f>COUNTIFS($A$7:$A$1446,A953)</x:f>
        <x:v>1</x:v>
      </x:c>
    </x:row>
    <x:row r="954">
      <x:c r="A954" s="9" t="str">
        <x:v>EV-AR-HU-A-B-TECH-2-B1-RCN-G0-ST08</x:v>
      </x:c>
      <x:c r="B954" s="9" t="str">
        <x:v>EV-AR-HU-A-B-TECH-2-B1-RCN-G0</x:v>
      </x:c>
      <x:c r="C954" s="9" t="str">
        <x:v>EOW-AR-HU-A-B-TECH-2-B1-RCN-G0</x:v>
      </x:c>
      <x:c r="D954" s="9" t="str">
        <x:v>AR-HU-A-B-TECH-2-B1-RCN-G0</x:v>
      </x:c>
      <x:c r="E954" s="9" t="str">
        <x:v>HU-A-B-TECH-2</x:v>
      </x:c>
      <x:c r="F954" s="9" t="str">
        <x:v>HU-A-B</x:v>
      </x:c>
      <x:c r="G954" s="9" t="str">
        <x:v>B1</x:v>
      </x:c>
      <x:c r="H954" s="9" t="str">
        <x:v>RCN</x:v>
      </x:c>
      <x:c r="I954" s="9" t="n">
        <x:v>4</x:v>
      </x:c>
      <x:c r="J954" s="9" t="n">
        <x:v>4</x:v>
      </x:c>
      <x:c r="K954" s="9" t="str">
        <x:v>HU-A-B-N3</x:v>
      </x:c>
      <x:c r="L954" s="9" t="str">
        <x:v>ST08</x:v>
      </x:c>
      <x:c r="M954" s="17" t="str">
        <x:v>Manual stop and safety</x:v>
      </x:c>
      <x:c r="N954" s="17" t="str">
        <x:v>local stop, evacuation and protection routes are active</x:v>
      </x:c>
      <x:c r="O954" s="17" t="str">
        <x:v>Safety authority</x:v>
      </x:c>
      <x:c r="P954" s="9" t="n">
        <x:v>0</x:v>
      </x:c>
      <x:c r="Q954" s="9" t="n">
        <x:v>0</x:v>
      </x:c>
      <x:c r="R954" s="9" t="str">
        <x:v>OPEN / UNSTARTED</x:v>
      </x:c>
      <x:c r="S954" s="9" t="n">
        <x:f>COUNTIFS($A$7:$A$1446,A954)</x:f>
        <x:v>1</x:v>
      </x:c>
    </x:row>
    <x:row r="955">
      <x:c r="A955" s="9" t="str">
        <x:v>EV-AR-HU-A-B-TECH-2-B1-RCN-G0-ST09</x:v>
      </x:c>
      <x:c r="B955" s="9" t="str">
        <x:v>EV-AR-HU-A-B-TECH-2-B1-RCN-G0</x:v>
      </x:c>
      <x:c r="C955" s="9" t="str">
        <x:v>EOW-AR-HU-A-B-TECH-2-B1-RCN-G0</x:v>
      </x:c>
      <x:c r="D955" s="9" t="str">
        <x:v>AR-HU-A-B-TECH-2-B1-RCN-G0</x:v>
      </x:c>
      <x:c r="E955" s="9" t="str">
        <x:v>HU-A-B-TECH-2</x:v>
      </x:c>
      <x:c r="F955" s="9" t="str">
        <x:v>HU-A-B</x:v>
      </x:c>
      <x:c r="G955" s="9" t="str">
        <x:v>B1</x:v>
      </x:c>
      <x:c r="H955" s="9" t="str">
        <x:v>RCN</x:v>
      </x:c>
      <x:c r="I955" s="9" t="n">
        <x:v>4</x:v>
      </x:c>
      <x:c r="J955" s="9" t="n">
        <x:v>4</x:v>
      </x:c>
      <x:c r="K955" s="9" t="str">
        <x:v>HU-A-B-N3</x:v>
      </x:c>
      <x:c r="L955" s="9" t="str">
        <x:v>ST09</x:v>
      </x:c>
      <x:c r="M955" s="17" t="str">
        <x:v>Operator conflict clear</x:v>
      </x:c>
      <x:c r="N955" s="17" t="str">
        <x:v>candidate, fixture, safety and measurement control edges remain separated</x:v>
      </x:c>
      <x:c r="O955" s="17" t="str">
        <x:v>Conflict registrar</x:v>
      </x:c>
      <x:c r="P955" s="9" t="n">
        <x:v>0</x:v>
      </x:c>
      <x:c r="Q955" s="9" t="n">
        <x:v>0</x:v>
      </x:c>
      <x:c r="R955" s="9" t="str">
        <x:v>OPEN / UNSTARTED</x:v>
      </x:c>
      <x:c r="S955" s="9" t="n">
        <x:f>COUNTIFS($A$7:$A$1446,A955)</x:f>
        <x:v>1</x:v>
      </x:c>
    </x:row>
    <x:row r="956">
      <x:c r="A956" s="9" t="str">
        <x:v>EV-AR-HU-A-B-TECH-2-B1-RCN-G0-ST10</x:v>
      </x:c>
      <x:c r="B956" s="9" t="str">
        <x:v>EV-AR-HU-A-B-TECH-2-B1-RCN-G0</x:v>
      </x:c>
      <x:c r="C956" s="9" t="str">
        <x:v>EOW-AR-HU-A-B-TECH-2-B1-RCN-G0</x:v>
      </x:c>
      <x:c r="D956" s="9" t="str">
        <x:v>AR-HU-A-B-TECH-2-B1-RCN-G0</x:v>
      </x:c>
      <x:c r="E956" s="9" t="str">
        <x:v>HU-A-B-TECH-2</x:v>
      </x:c>
      <x:c r="F956" s="9" t="str">
        <x:v>HU-A-B</x:v>
      </x:c>
      <x:c r="G956" s="9" t="str">
        <x:v>B1</x:v>
      </x:c>
      <x:c r="H956" s="9" t="str">
        <x:v>RCN</x:v>
      </x:c>
      <x:c r="I956" s="9" t="n">
        <x:v>4</x:v>
      </x:c>
      <x:c r="J956" s="9" t="n">
        <x:v>4</x:v>
      </x:c>
      <x:c r="K956" s="9" t="str">
        <x:v>HU-A-B-N3</x:v>
      </x:c>
      <x:c r="L956" s="9" t="str">
        <x:v>ST10</x:v>
      </x:c>
      <x:c r="M956" s="17" t="str">
        <x:v>Window and common clock</x:v>
      </x:c>
      <x:c r="N956" s="17" t="str">
        <x:v>epoch, window and public time origin match the issued warrant</x:v>
      </x:c>
      <x:c r="O956" s="17" t="str">
        <x:v>Event clock authority</x:v>
      </x:c>
      <x:c r="P956" s="9" t="n">
        <x:v>0</x:v>
      </x:c>
      <x:c r="Q956" s="9" t="n">
        <x:v>0</x:v>
      </x:c>
      <x:c r="R956" s="9" t="str">
        <x:v>OPEN / UNSTARTED</x:v>
      </x:c>
      <x:c r="S956" s="9" t="n">
        <x:f>COUNTIFS($A$7:$A$1446,A956)</x:f>
        <x:v>1</x:v>
      </x:c>
    </x:row>
    <x:row r="957">
      <x:c r="A957" s="9" t="str">
        <x:v>EV-AR-RT-B-C-TECH-2-B2-BRK-G0-ST01</x:v>
      </x:c>
      <x:c r="B957" s="9" t="str">
        <x:v>EV-AR-RT-B-C-TECH-2-B2-BRK-G0</x:v>
      </x:c>
      <x:c r="C957" s="9" t="str">
        <x:v>EOW-AR-RT-B-C-TECH-2-B2-BRK-G0</x:v>
      </x:c>
      <x:c r="D957" s="9" t="str">
        <x:v>AR-RT-B-C-TECH-2-B2-BRK-G0</x:v>
      </x:c>
      <x:c r="E957" s="9" t="str">
        <x:v>RT-B-C-TECH-2</x:v>
      </x:c>
      <x:c r="F957" s="9" t="str">
        <x:v>RT-B-C</x:v>
      </x:c>
      <x:c r="G957" s="9" t="str">
        <x:v>B2</x:v>
      </x:c>
      <x:c r="H957" s="9" t="str">
        <x:v>BRK</x:v>
      </x:c>
      <x:c r="I957" s="9" t="n">
        <x:v>4</x:v>
      </x:c>
      <x:c r="J957" s="9" t="n">
        <x:v>4</x:v>
      </x:c>
      <x:c r="K957" s="9" t="str">
        <x:v>RT-B-C-N3</x:v>
      </x:c>
      <x:c r="L957" s="9" t="str">
        <x:v>ST01</x:v>
      </x:c>
      <x:c r="M957" s="17" t="str">
        <x:v>Active opportunity warrant</x:v>
      </x:c>
      <x:c r="N957" s="17" t="str">
        <x:v>configuration-bound EOW is within its thirty-six-hour validity</x:v>
      </x:c>
      <x:c r="O957" s="17" t="str">
        <x:v>Start registrar</x:v>
      </x:c>
      <x:c r="P957" s="9" t="n">
        <x:v>0</x:v>
      </x:c>
      <x:c r="Q957" s="9" t="n">
        <x:v>0</x:v>
      </x:c>
      <x:c r="R957" s="9" t="str">
        <x:v>OPEN / UNSTARTED</x:v>
      </x:c>
      <x:c r="S957" s="9" t="n">
        <x:f>COUNTIFS($A$7:$A$1446,A957)</x:f>
        <x:v>1</x:v>
      </x:c>
    </x:row>
    <x:row r="958">
      <x:c r="A958" s="9" t="str">
        <x:v>EV-AR-RT-B-C-TECH-2-B2-BRK-G0-ST02</x:v>
      </x:c>
      <x:c r="B958" s="9" t="str">
        <x:v>EV-AR-RT-B-C-TECH-2-B2-BRK-G0</x:v>
      </x:c>
      <x:c r="C958" s="9" t="str">
        <x:v>EOW-AR-RT-B-C-TECH-2-B2-BRK-G0</x:v>
      </x:c>
      <x:c r="D958" s="9" t="str">
        <x:v>AR-RT-B-C-TECH-2-B2-BRK-G0</x:v>
      </x:c>
      <x:c r="E958" s="9" t="str">
        <x:v>RT-B-C-TECH-2</x:v>
      </x:c>
      <x:c r="F958" s="9" t="str">
        <x:v>RT-B-C</x:v>
      </x:c>
      <x:c r="G958" s="9" t="str">
        <x:v>B2</x:v>
      </x:c>
      <x:c r="H958" s="9" t="str">
        <x:v>BRK</x:v>
      </x:c>
      <x:c r="I958" s="9" t="n">
        <x:v>4</x:v>
      </x:c>
      <x:c r="J958" s="9" t="n">
        <x:v>4</x:v>
      </x:c>
      <x:c r="K958" s="9" t="str">
        <x:v>RT-B-C-N3</x:v>
      </x:c>
      <x:c r="L958" s="9" t="str">
        <x:v>ST02</x:v>
      </x:c>
      <x:c r="M958" s="17" t="str">
        <x:v>Frozen identity</x:v>
      </x:c>
      <x:c r="N958" s="17" t="str">
        <x:v>serial, generation, fixture, site, receiver and digest match the warrant</x:v>
      </x:c>
      <x:c r="O958" s="17" t="str">
        <x:v>Custody authority</x:v>
      </x:c>
      <x:c r="P958" s="9" t="n">
        <x:v>0</x:v>
      </x:c>
      <x:c r="Q958" s="9" t="n">
        <x:v>0</x:v>
      </x:c>
      <x:c r="R958" s="9" t="str">
        <x:v>OPEN / UNSTARTED</x:v>
      </x:c>
      <x:c r="S958" s="9" t="n">
        <x:f>COUNTIFS($A$7:$A$1446,A958)</x:f>
        <x:v>1</x:v>
      </x:c>
    </x:row>
    <x:row r="959">
      <x:c r="A959" s="9" t="str">
        <x:v>EV-AR-RT-B-C-TECH-2-B2-BRK-G0-ST03</x:v>
      </x:c>
      <x:c r="B959" s="9" t="str">
        <x:v>EV-AR-RT-B-C-TECH-2-B2-BRK-G0</x:v>
      </x:c>
      <x:c r="C959" s="9" t="str">
        <x:v>EOW-AR-RT-B-C-TECH-2-B2-BRK-G0</x:v>
      </x:c>
      <x:c r="D959" s="9" t="str">
        <x:v>AR-RT-B-C-TECH-2-B2-BRK-G0</x:v>
      </x:c>
      <x:c r="E959" s="9" t="str">
        <x:v>RT-B-C-TECH-2</x:v>
      </x:c>
      <x:c r="F959" s="9" t="str">
        <x:v>RT-B-C</x:v>
      </x:c>
      <x:c r="G959" s="9" t="str">
        <x:v>B2</x:v>
      </x:c>
      <x:c r="H959" s="9" t="str">
        <x:v>BRK</x:v>
      </x:c>
      <x:c r="I959" s="9" t="n">
        <x:v>4</x:v>
      </x:c>
      <x:c r="J959" s="9" t="n">
        <x:v>4</x:v>
      </x:c>
      <x:c r="K959" s="9" t="str">
        <x:v>RT-B-C-N3</x:v>
      </x:c>
      <x:c r="L959" s="9" t="str">
        <x:v>ST03</x:v>
      </x:c>
      <x:c r="M959" s="17" t="str">
        <x:v>Receiver receipt</x:v>
      </x:c>
      <x:c r="N959" s="17" t="str">
        <x:v>denominator, counterfactual, rights and stop receipt remain unchanged</x:v>
      </x:c>
      <x:c r="O959" s="17" t="str">
        <x:v>Receiver authority</x:v>
      </x:c>
      <x:c r="P959" s="9" t="n">
        <x:v>0</x:v>
      </x:c>
      <x:c r="Q959" s="9" t="n">
        <x:v>0</x:v>
      </x:c>
      <x:c r="R959" s="9" t="str">
        <x:v>OPEN / UNSTARTED</x:v>
      </x:c>
      <x:c r="S959" s="9" t="n">
        <x:f>COUNTIFS($A$7:$A$1446,A959)</x:f>
        <x:v>1</x:v>
      </x:c>
    </x:row>
    <x:row r="960">
      <x:c r="A960" s="9" t="str">
        <x:v>EV-AR-RT-B-C-TECH-2-B2-BRK-G0-ST04</x:v>
      </x:c>
      <x:c r="B960" s="9" t="str">
        <x:v>EV-AR-RT-B-C-TECH-2-B2-BRK-G0</x:v>
      </x:c>
      <x:c r="C960" s="9" t="str">
        <x:v>EOW-AR-RT-B-C-TECH-2-B2-BRK-G0</x:v>
      </x:c>
      <x:c r="D960" s="9" t="str">
        <x:v>AR-RT-B-C-TECH-2-B2-BRK-G0</x:v>
      </x:c>
      <x:c r="E960" s="9" t="str">
        <x:v>RT-B-C-TECH-2</x:v>
      </x:c>
      <x:c r="F960" s="9" t="str">
        <x:v>RT-B-C</x:v>
      </x:c>
      <x:c r="G960" s="9" t="str">
        <x:v>B2</x:v>
      </x:c>
      <x:c r="H960" s="9" t="str">
        <x:v>BRK</x:v>
      </x:c>
      <x:c r="I960" s="9" t="n">
        <x:v>4</x:v>
      </x:c>
      <x:c r="J960" s="9" t="n">
        <x:v>4</x:v>
      </x:c>
      <x:c r="K960" s="9" t="str">
        <x:v>RT-B-C-N3</x:v>
      </x:c>
      <x:c r="L960" s="9" t="str">
        <x:v>ST04</x:v>
      </x:c>
      <x:c r="M960" s="17" t="str">
        <x:v>Primary capture armed</x:v>
      </x:c>
      <x:c r="N960" s="17" t="str">
        <x:v>primary chain records sealed reference and live time</x:v>
      </x:c>
      <x:c r="O960" s="17" t="str">
        <x:v>Primary metrology</x:v>
      </x:c>
      <x:c r="P960" s="9" t="n">
        <x:v>0</x:v>
      </x:c>
      <x:c r="Q960" s="9" t="n">
        <x:v>0</x:v>
      </x:c>
      <x:c r="R960" s="9" t="str">
        <x:v>OPEN / UNSTARTED</x:v>
      </x:c>
      <x:c r="S960" s="9" t="n">
        <x:f>COUNTIFS($A$7:$A$1446,A960)</x:f>
        <x:v>1</x:v>
      </x:c>
    </x:row>
    <x:row r="961">
      <x:c r="A961" s="9" t="str">
        <x:v>EV-AR-RT-B-C-TECH-2-B2-BRK-G0-ST05</x:v>
      </x:c>
      <x:c r="B961" s="9" t="str">
        <x:v>EV-AR-RT-B-C-TECH-2-B2-BRK-G0</x:v>
      </x:c>
      <x:c r="C961" s="9" t="str">
        <x:v>EOW-AR-RT-B-C-TECH-2-B2-BRK-G0</x:v>
      </x:c>
      <x:c r="D961" s="9" t="str">
        <x:v>AR-RT-B-C-TECH-2-B2-BRK-G0</x:v>
      </x:c>
      <x:c r="E961" s="9" t="str">
        <x:v>RT-B-C-TECH-2</x:v>
      </x:c>
      <x:c r="F961" s="9" t="str">
        <x:v>RT-B-C</x:v>
      </x:c>
      <x:c r="G961" s="9" t="str">
        <x:v>B2</x:v>
      </x:c>
      <x:c r="H961" s="9" t="str">
        <x:v>BRK</x:v>
      </x:c>
      <x:c r="I961" s="9" t="n">
        <x:v>4</x:v>
      </x:c>
      <x:c r="J961" s="9" t="n">
        <x:v>4</x:v>
      </x:c>
      <x:c r="K961" s="9" t="str">
        <x:v>RT-B-C-N3</x:v>
      </x:c>
      <x:c r="L961" s="9" t="str">
        <x:v>ST05</x:v>
      </x:c>
      <x:c r="M961" s="17" t="str">
        <x:v>Witness capture armed</x:v>
      </x:c>
      <x:c r="N961" s="17" t="str">
        <x:v>unlike witness records independent reference and live time</x:v>
      </x:c>
      <x:c r="O961" s="17" t="str">
        <x:v>Witness metrology</x:v>
      </x:c>
      <x:c r="P961" s="9" t="n">
        <x:v>0</x:v>
      </x:c>
      <x:c r="Q961" s="9" t="n">
        <x:v>0</x:v>
      </x:c>
      <x:c r="R961" s="9" t="str">
        <x:v>OPEN / UNSTARTED</x:v>
      </x:c>
      <x:c r="S961" s="9" t="n">
        <x:f>COUNTIFS($A$7:$A$1446,A961)</x:f>
        <x:v>1</x:v>
      </x:c>
    </x:row>
    <x:row r="962">
      <x:c r="A962" s="9" t="str">
        <x:v>EV-AR-RT-B-C-TECH-2-B2-BRK-G0-ST06</x:v>
      </x:c>
      <x:c r="B962" s="9" t="str">
        <x:v>EV-AR-RT-B-C-TECH-2-B2-BRK-G0</x:v>
      </x:c>
      <x:c r="C962" s="9" t="str">
        <x:v>EOW-AR-RT-B-C-TECH-2-B2-BRK-G0</x:v>
      </x:c>
      <x:c r="D962" s="9" t="str">
        <x:v>AR-RT-B-C-TECH-2-B2-BRK-G0</x:v>
      </x:c>
      <x:c r="E962" s="9" t="str">
        <x:v>RT-B-C-TECH-2</x:v>
      </x:c>
      <x:c r="F962" s="9" t="str">
        <x:v>RT-B-C</x:v>
      </x:c>
      <x:c r="G962" s="9" t="str">
        <x:v>B2</x:v>
      </x:c>
      <x:c r="H962" s="9" t="str">
        <x:v>BRK</x:v>
      </x:c>
      <x:c r="I962" s="9" t="n">
        <x:v>4</x:v>
      </x:c>
      <x:c r="J962" s="9" t="n">
        <x:v>4</x:v>
      </x:c>
      <x:c r="K962" s="9" t="str">
        <x:v>RT-B-C-N3</x:v>
      </x:c>
      <x:c r="L962" s="9" t="str">
        <x:v>ST06</x:v>
      </x:c>
      <x:c r="M962" s="17" t="str">
        <x:v>Public custody armed</x:v>
      </x:c>
      <x:c r="N962" s="17" t="str">
        <x:v>eight raw origins have separated hash and replica routes</x:v>
      </x:c>
      <x:c r="O962" s="17" t="str">
        <x:v>Custody authority</x:v>
      </x:c>
      <x:c r="P962" s="9" t="n">
        <x:v>0</x:v>
      </x:c>
      <x:c r="Q962" s="9" t="n">
        <x:v>0</x:v>
      </x:c>
      <x:c r="R962" s="9" t="str">
        <x:v>OPEN / UNSTARTED</x:v>
      </x:c>
      <x:c r="S962" s="9" t="n">
        <x:f>COUNTIFS($A$7:$A$1446,A962)</x:f>
        <x:v>1</x:v>
      </x:c>
    </x:row>
    <x:row r="963">
      <x:c r="A963" s="9" t="str">
        <x:v>EV-AR-RT-B-C-TECH-2-B2-BRK-G0-ST07</x:v>
      </x:c>
      <x:c r="B963" s="9" t="str">
        <x:v>EV-AR-RT-B-C-TECH-2-B2-BRK-G0</x:v>
      </x:c>
      <x:c r="C963" s="9" t="str">
        <x:v>EOW-AR-RT-B-C-TECH-2-B2-BRK-G0</x:v>
      </x:c>
      <x:c r="D963" s="9" t="str">
        <x:v>AR-RT-B-C-TECH-2-B2-BRK-G0</x:v>
      </x:c>
      <x:c r="E963" s="9" t="str">
        <x:v>RT-B-C-TECH-2</x:v>
      </x:c>
      <x:c r="F963" s="9" t="str">
        <x:v>RT-B-C</x:v>
      </x:c>
      <x:c r="G963" s="9" t="str">
        <x:v>B2</x:v>
      </x:c>
      <x:c r="H963" s="9" t="str">
        <x:v>BRK</x:v>
      </x:c>
      <x:c r="I963" s="9" t="n">
        <x:v>4</x:v>
      </x:c>
      <x:c r="J963" s="9" t="n">
        <x:v>4</x:v>
      </x:c>
      <x:c r="K963" s="9" t="str">
        <x:v>RT-B-C-N3</x:v>
      </x:c>
      <x:c r="L963" s="9" t="str">
        <x:v>ST07</x:v>
      </x:c>
      <x:c r="M963" s="17" t="str">
        <x:v>Environmental baseline</x:v>
      </x:c>
      <x:c r="N963" s="17" t="str">
        <x:v>pre-event boundary state is sealed before decisive operation</x:v>
      </x:c>
      <x:c r="O963" s="17" t="str">
        <x:v>Site metrology</x:v>
      </x:c>
      <x:c r="P963" s="9" t="n">
        <x:v>0</x:v>
      </x:c>
      <x:c r="Q963" s="9" t="n">
        <x:v>0</x:v>
      </x:c>
      <x:c r="R963" s="9" t="str">
        <x:v>OPEN / UNSTARTED</x:v>
      </x:c>
      <x:c r="S963" s="9" t="n">
        <x:f>COUNTIFS($A$7:$A$1446,A963)</x:f>
        <x:v>1</x:v>
      </x:c>
    </x:row>
    <x:row r="964">
      <x:c r="A964" s="9" t="str">
        <x:v>EV-AR-RT-B-C-TECH-2-B2-BRK-G0-ST08</x:v>
      </x:c>
      <x:c r="B964" s="9" t="str">
        <x:v>EV-AR-RT-B-C-TECH-2-B2-BRK-G0</x:v>
      </x:c>
      <x:c r="C964" s="9" t="str">
        <x:v>EOW-AR-RT-B-C-TECH-2-B2-BRK-G0</x:v>
      </x:c>
      <x:c r="D964" s="9" t="str">
        <x:v>AR-RT-B-C-TECH-2-B2-BRK-G0</x:v>
      </x:c>
      <x:c r="E964" s="9" t="str">
        <x:v>RT-B-C-TECH-2</x:v>
      </x:c>
      <x:c r="F964" s="9" t="str">
        <x:v>RT-B-C</x:v>
      </x:c>
      <x:c r="G964" s="9" t="str">
        <x:v>B2</x:v>
      </x:c>
      <x:c r="H964" s="9" t="str">
        <x:v>BRK</x:v>
      </x:c>
      <x:c r="I964" s="9" t="n">
        <x:v>4</x:v>
      </x:c>
      <x:c r="J964" s="9" t="n">
        <x:v>4</x:v>
      </x:c>
      <x:c r="K964" s="9" t="str">
        <x:v>RT-B-C-N3</x:v>
      </x:c>
      <x:c r="L964" s="9" t="str">
        <x:v>ST08</x:v>
      </x:c>
      <x:c r="M964" s="17" t="str">
        <x:v>Manual stop and safety</x:v>
      </x:c>
      <x:c r="N964" s="17" t="str">
        <x:v>local stop, evacuation and protection routes are active</x:v>
      </x:c>
      <x:c r="O964" s="17" t="str">
        <x:v>Safety authority</x:v>
      </x:c>
      <x:c r="P964" s="9" t="n">
        <x:v>0</x:v>
      </x:c>
      <x:c r="Q964" s="9" t="n">
        <x:v>0</x:v>
      </x:c>
      <x:c r="R964" s="9" t="str">
        <x:v>OPEN / UNSTARTED</x:v>
      </x:c>
      <x:c r="S964" s="9" t="n">
        <x:f>COUNTIFS($A$7:$A$1446,A964)</x:f>
        <x:v>1</x:v>
      </x:c>
    </x:row>
    <x:row r="965">
      <x:c r="A965" s="9" t="str">
        <x:v>EV-AR-RT-B-C-TECH-2-B2-BRK-G0-ST09</x:v>
      </x:c>
      <x:c r="B965" s="9" t="str">
        <x:v>EV-AR-RT-B-C-TECH-2-B2-BRK-G0</x:v>
      </x:c>
      <x:c r="C965" s="9" t="str">
        <x:v>EOW-AR-RT-B-C-TECH-2-B2-BRK-G0</x:v>
      </x:c>
      <x:c r="D965" s="9" t="str">
        <x:v>AR-RT-B-C-TECH-2-B2-BRK-G0</x:v>
      </x:c>
      <x:c r="E965" s="9" t="str">
        <x:v>RT-B-C-TECH-2</x:v>
      </x:c>
      <x:c r="F965" s="9" t="str">
        <x:v>RT-B-C</x:v>
      </x:c>
      <x:c r="G965" s="9" t="str">
        <x:v>B2</x:v>
      </x:c>
      <x:c r="H965" s="9" t="str">
        <x:v>BRK</x:v>
      </x:c>
      <x:c r="I965" s="9" t="n">
        <x:v>4</x:v>
      </x:c>
      <x:c r="J965" s="9" t="n">
        <x:v>4</x:v>
      </x:c>
      <x:c r="K965" s="9" t="str">
        <x:v>RT-B-C-N3</x:v>
      </x:c>
      <x:c r="L965" s="9" t="str">
        <x:v>ST09</x:v>
      </x:c>
      <x:c r="M965" s="17" t="str">
        <x:v>Operator conflict clear</x:v>
      </x:c>
      <x:c r="N965" s="17" t="str">
        <x:v>candidate, fixture, safety and measurement control edges remain separated</x:v>
      </x:c>
      <x:c r="O965" s="17" t="str">
        <x:v>Conflict registrar</x:v>
      </x:c>
      <x:c r="P965" s="9" t="n">
        <x:v>0</x:v>
      </x:c>
      <x:c r="Q965" s="9" t="n">
        <x:v>0</x:v>
      </x:c>
      <x:c r="R965" s="9" t="str">
        <x:v>OPEN / UNSTARTED</x:v>
      </x:c>
      <x:c r="S965" s="9" t="n">
        <x:f>COUNTIFS($A$7:$A$1446,A965)</x:f>
        <x:v>1</x:v>
      </x:c>
    </x:row>
    <x:row r="966">
      <x:c r="A966" s="9" t="str">
        <x:v>EV-AR-RT-B-C-TECH-2-B2-BRK-G0-ST10</x:v>
      </x:c>
      <x:c r="B966" s="9" t="str">
        <x:v>EV-AR-RT-B-C-TECH-2-B2-BRK-G0</x:v>
      </x:c>
      <x:c r="C966" s="9" t="str">
        <x:v>EOW-AR-RT-B-C-TECH-2-B2-BRK-G0</x:v>
      </x:c>
      <x:c r="D966" s="9" t="str">
        <x:v>AR-RT-B-C-TECH-2-B2-BRK-G0</x:v>
      </x:c>
      <x:c r="E966" s="9" t="str">
        <x:v>RT-B-C-TECH-2</x:v>
      </x:c>
      <x:c r="F966" s="9" t="str">
        <x:v>RT-B-C</x:v>
      </x:c>
      <x:c r="G966" s="9" t="str">
        <x:v>B2</x:v>
      </x:c>
      <x:c r="H966" s="9" t="str">
        <x:v>BRK</x:v>
      </x:c>
      <x:c r="I966" s="9" t="n">
        <x:v>4</x:v>
      </x:c>
      <x:c r="J966" s="9" t="n">
        <x:v>4</x:v>
      </x:c>
      <x:c r="K966" s="9" t="str">
        <x:v>RT-B-C-N3</x:v>
      </x:c>
      <x:c r="L966" s="9" t="str">
        <x:v>ST10</x:v>
      </x:c>
      <x:c r="M966" s="17" t="str">
        <x:v>Window and common clock</x:v>
      </x:c>
      <x:c r="N966" s="17" t="str">
        <x:v>epoch, window and public time origin match the issued warrant</x:v>
      </x:c>
      <x:c r="O966" s="17" t="str">
        <x:v>Event clock authority</x:v>
      </x:c>
      <x:c r="P966" s="9" t="n">
        <x:v>0</x:v>
      </x:c>
      <x:c r="Q966" s="9" t="n">
        <x:v>0</x:v>
      </x:c>
      <x:c r="R966" s="9" t="str">
        <x:v>OPEN / UNSTARTED</x:v>
      </x:c>
      <x:c r="S966" s="9" t="n">
        <x:f>COUNTIFS($A$7:$A$1446,A966)</x:f>
        <x:v>1</x:v>
      </x:c>
    </x:row>
    <x:row r="967">
      <x:c r="A967" s="9" t="str">
        <x:v>EV-AR-CT-C-B-TECH-3-B2-INT-G0-ST01</x:v>
      </x:c>
      <x:c r="B967" s="9" t="str">
        <x:v>EV-AR-CT-C-B-TECH-3-B2-INT-G0</x:v>
      </x:c>
      <x:c r="C967" s="9" t="str">
        <x:v>EOW-AR-CT-C-B-TECH-3-B2-INT-G0</x:v>
      </x:c>
      <x:c r="D967" s="9" t="str">
        <x:v>AR-CT-C-B-TECH-3-B2-INT-G0</x:v>
      </x:c>
      <x:c r="E967" s="9" t="str">
        <x:v>CT-C-B-TECH-3</x:v>
      </x:c>
      <x:c r="F967" s="9" t="str">
        <x:v>CT-C-B</x:v>
      </x:c>
      <x:c r="G967" s="9" t="str">
        <x:v>B2</x:v>
      </x:c>
      <x:c r="H967" s="9" t="str">
        <x:v>INT</x:v>
      </x:c>
      <x:c r="I967" s="9" t="n">
        <x:v>5</x:v>
      </x:c>
      <x:c r="J967" s="9" t="n">
        <x:v>1</x:v>
      </x:c>
      <x:c r="K967" s="9" t="str">
        <x:v>CT-C-B-N1</x:v>
      </x:c>
      <x:c r="L967" s="9" t="str">
        <x:v>ST01</x:v>
      </x:c>
      <x:c r="M967" s="17" t="str">
        <x:v>Active opportunity warrant</x:v>
      </x:c>
      <x:c r="N967" s="17" t="str">
        <x:v>configuration-bound EOW is within its thirty-six-hour validity</x:v>
      </x:c>
      <x:c r="O967" s="17" t="str">
        <x:v>Start registrar</x:v>
      </x:c>
      <x:c r="P967" s="9" t="n">
        <x:v>0</x:v>
      </x:c>
      <x:c r="Q967" s="9" t="n">
        <x:v>0</x:v>
      </x:c>
      <x:c r="R967" s="9" t="str">
        <x:v>OPEN / UNSTARTED</x:v>
      </x:c>
      <x:c r="S967" s="9" t="n">
        <x:f>COUNTIFS($A$7:$A$1446,A967)</x:f>
        <x:v>1</x:v>
      </x:c>
    </x:row>
    <x:row r="968">
      <x:c r="A968" s="9" t="str">
        <x:v>EV-AR-CT-C-B-TECH-3-B2-INT-G0-ST02</x:v>
      </x:c>
      <x:c r="B968" s="9" t="str">
        <x:v>EV-AR-CT-C-B-TECH-3-B2-INT-G0</x:v>
      </x:c>
      <x:c r="C968" s="9" t="str">
        <x:v>EOW-AR-CT-C-B-TECH-3-B2-INT-G0</x:v>
      </x:c>
      <x:c r="D968" s="9" t="str">
        <x:v>AR-CT-C-B-TECH-3-B2-INT-G0</x:v>
      </x:c>
      <x:c r="E968" s="9" t="str">
        <x:v>CT-C-B-TECH-3</x:v>
      </x:c>
      <x:c r="F968" s="9" t="str">
        <x:v>CT-C-B</x:v>
      </x:c>
      <x:c r="G968" s="9" t="str">
        <x:v>B2</x:v>
      </x:c>
      <x:c r="H968" s="9" t="str">
        <x:v>INT</x:v>
      </x:c>
      <x:c r="I968" s="9" t="n">
        <x:v>5</x:v>
      </x:c>
      <x:c r="J968" s="9" t="n">
        <x:v>1</x:v>
      </x:c>
      <x:c r="K968" s="9" t="str">
        <x:v>CT-C-B-N1</x:v>
      </x:c>
      <x:c r="L968" s="9" t="str">
        <x:v>ST02</x:v>
      </x:c>
      <x:c r="M968" s="17" t="str">
        <x:v>Frozen identity</x:v>
      </x:c>
      <x:c r="N968" s="17" t="str">
        <x:v>serial, generation, fixture, site, receiver and digest match the warrant</x:v>
      </x:c>
      <x:c r="O968" s="17" t="str">
        <x:v>Custody authority</x:v>
      </x:c>
      <x:c r="P968" s="9" t="n">
        <x:v>0</x:v>
      </x:c>
      <x:c r="Q968" s="9" t="n">
        <x:v>0</x:v>
      </x:c>
      <x:c r="R968" s="9" t="str">
        <x:v>OPEN / UNSTARTED</x:v>
      </x:c>
      <x:c r="S968" s="9" t="n">
        <x:f>COUNTIFS($A$7:$A$1446,A968)</x:f>
        <x:v>1</x:v>
      </x:c>
    </x:row>
    <x:row r="969">
      <x:c r="A969" s="9" t="str">
        <x:v>EV-AR-CT-C-B-TECH-3-B2-INT-G0-ST03</x:v>
      </x:c>
      <x:c r="B969" s="9" t="str">
        <x:v>EV-AR-CT-C-B-TECH-3-B2-INT-G0</x:v>
      </x:c>
      <x:c r="C969" s="9" t="str">
        <x:v>EOW-AR-CT-C-B-TECH-3-B2-INT-G0</x:v>
      </x:c>
      <x:c r="D969" s="9" t="str">
        <x:v>AR-CT-C-B-TECH-3-B2-INT-G0</x:v>
      </x:c>
      <x:c r="E969" s="9" t="str">
        <x:v>CT-C-B-TECH-3</x:v>
      </x:c>
      <x:c r="F969" s="9" t="str">
        <x:v>CT-C-B</x:v>
      </x:c>
      <x:c r="G969" s="9" t="str">
        <x:v>B2</x:v>
      </x:c>
      <x:c r="H969" s="9" t="str">
        <x:v>INT</x:v>
      </x:c>
      <x:c r="I969" s="9" t="n">
        <x:v>5</x:v>
      </x:c>
      <x:c r="J969" s="9" t="n">
        <x:v>1</x:v>
      </x:c>
      <x:c r="K969" s="9" t="str">
        <x:v>CT-C-B-N1</x:v>
      </x:c>
      <x:c r="L969" s="9" t="str">
        <x:v>ST03</x:v>
      </x:c>
      <x:c r="M969" s="17" t="str">
        <x:v>Receiver receipt</x:v>
      </x:c>
      <x:c r="N969" s="17" t="str">
        <x:v>denominator, counterfactual, rights and stop receipt remain unchanged</x:v>
      </x:c>
      <x:c r="O969" s="17" t="str">
        <x:v>Receiver authority</x:v>
      </x:c>
      <x:c r="P969" s="9" t="n">
        <x:v>0</x:v>
      </x:c>
      <x:c r="Q969" s="9" t="n">
        <x:v>0</x:v>
      </x:c>
      <x:c r="R969" s="9" t="str">
        <x:v>OPEN / UNSTARTED</x:v>
      </x:c>
      <x:c r="S969" s="9" t="n">
        <x:f>COUNTIFS($A$7:$A$1446,A969)</x:f>
        <x:v>1</x:v>
      </x:c>
    </x:row>
    <x:row r="970">
      <x:c r="A970" s="9" t="str">
        <x:v>EV-AR-CT-C-B-TECH-3-B2-INT-G0-ST04</x:v>
      </x:c>
      <x:c r="B970" s="9" t="str">
        <x:v>EV-AR-CT-C-B-TECH-3-B2-INT-G0</x:v>
      </x:c>
      <x:c r="C970" s="9" t="str">
        <x:v>EOW-AR-CT-C-B-TECH-3-B2-INT-G0</x:v>
      </x:c>
      <x:c r="D970" s="9" t="str">
        <x:v>AR-CT-C-B-TECH-3-B2-INT-G0</x:v>
      </x:c>
      <x:c r="E970" s="9" t="str">
        <x:v>CT-C-B-TECH-3</x:v>
      </x:c>
      <x:c r="F970" s="9" t="str">
        <x:v>CT-C-B</x:v>
      </x:c>
      <x:c r="G970" s="9" t="str">
        <x:v>B2</x:v>
      </x:c>
      <x:c r="H970" s="9" t="str">
        <x:v>INT</x:v>
      </x:c>
      <x:c r="I970" s="9" t="n">
        <x:v>5</x:v>
      </x:c>
      <x:c r="J970" s="9" t="n">
        <x:v>1</x:v>
      </x:c>
      <x:c r="K970" s="9" t="str">
        <x:v>CT-C-B-N1</x:v>
      </x:c>
      <x:c r="L970" s="9" t="str">
        <x:v>ST04</x:v>
      </x:c>
      <x:c r="M970" s="17" t="str">
        <x:v>Primary capture armed</x:v>
      </x:c>
      <x:c r="N970" s="17" t="str">
        <x:v>primary chain records sealed reference and live time</x:v>
      </x:c>
      <x:c r="O970" s="17" t="str">
        <x:v>Primary metrology</x:v>
      </x:c>
      <x:c r="P970" s="9" t="n">
        <x:v>0</x:v>
      </x:c>
      <x:c r="Q970" s="9" t="n">
        <x:v>0</x:v>
      </x:c>
      <x:c r="R970" s="9" t="str">
        <x:v>OPEN / UNSTARTED</x:v>
      </x:c>
      <x:c r="S970" s="9" t="n">
        <x:f>COUNTIFS($A$7:$A$1446,A970)</x:f>
        <x:v>1</x:v>
      </x:c>
    </x:row>
    <x:row r="971">
      <x:c r="A971" s="9" t="str">
        <x:v>EV-AR-CT-C-B-TECH-3-B2-INT-G0-ST05</x:v>
      </x:c>
      <x:c r="B971" s="9" t="str">
        <x:v>EV-AR-CT-C-B-TECH-3-B2-INT-G0</x:v>
      </x:c>
      <x:c r="C971" s="9" t="str">
        <x:v>EOW-AR-CT-C-B-TECH-3-B2-INT-G0</x:v>
      </x:c>
      <x:c r="D971" s="9" t="str">
        <x:v>AR-CT-C-B-TECH-3-B2-INT-G0</x:v>
      </x:c>
      <x:c r="E971" s="9" t="str">
        <x:v>CT-C-B-TECH-3</x:v>
      </x:c>
      <x:c r="F971" s="9" t="str">
        <x:v>CT-C-B</x:v>
      </x:c>
      <x:c r="G971" s="9" t="str">
        <x:v>B2</x:v>
      </x:c>
      <x:c r="H971" s="9" t="str">
        <x:v>INT</x:v>
      </x:c>
      <x:c r="I971" s="9" t="n">
        <x:v>5</x:v>
      </x:c>
      <x:c r="J971" s="9" t="n">
        <x:v>1</x:v>
      </x:c>
      <x:c r="K971" s="9" t="str">
        <x:v>CT-C-B-N1</x:v>
      </x:c>
      <x:c r="L971" s="9" t="str">
        <x:v>ST05</x:v>
      </x:c>
      <x:c r="M971" s="17" t="str">
        <x:v>Witness capture armed</x:v>
      </x:c>
      <x:c r="N971" s="17" t="str">
        <x:v>unlike witness records independent reference and live time</x:v>
      </x:c>
      <x:c r="O971" s="17" t="str">
        <x:v>Witness metrology</x:v>
      </x:c>
      <x:c r="P971" s="9" t="n">
        <x:v>0</x:v>
      </x:c>
      <x:c r="Q971" s="9" t="n">
        <x:v>0</x:v>
      </x:c>
      <x:c r="R971" s="9" t="str">
        <x:v>OPEN / UNSTARTED</x:v>
      </x:c>
      <x:c r="S971" s="9" t="n">
        <x:f>COUNTIFS($A$7:$A$1446,A971)</x:f>
        <x:v>1</x:v>
      </x:c>
    </x:row>
    <x:row r="972">
      <x:c r="A972" s="9" t="str">
        <x:v>EV-AR-CT-C-B-TECH-3-B2-INT-G0-ST06</x:v>
      </x:c>
      <x:c r="B972" s="9" t="str">
        <x:v>EV-AR-CT-C-B-TECH-3-B2-INT-G0</x:v>
      </x:c>
      <x:c r="C972" s="9" t="str">
        <x:v>EOW-AR-CT-C-B-TECH-3-B2-INT-G0</x:v>
      </x:c>
      <x:c r="D972" s="9" t="str">
        <x:v>AR-CT-C-B-TECH-3-B2-INT-G0</x:v>
      </x:c>
      <x:c r="E972" s="9" t="str">
        <x:v>CT-C-B-TECH-3</x:v>
      </x:c>
      <x:c r="F972" s="9" t="str">
        <x:v>CT-C-B</x:v>
      </x:c>
      <x:c r="G972" s="9" t="str">
        <x:v>B2</x:v>
      </x:c>
      <x:c r="H972" s="9" t="str">
        <x:v>INT</x:v>
      </x:c>
      <x:c r="I972" s="9" t="n">
        <x:v>5</x:v>
      </x:c>
      <x:c r="J972" s="9" t="n">
        <x:v>1</x:v>
      </x:c>
      <x:c r="K972" s="9" t="str">
        <x:v>CT-C-B-N1</x:v>
      </x:c>
      <x:c r="L972" s="9" t="str">
        <x:v>ST06</x:v>
      </x:c>
      <x:c r="M972" s="17" t="str">
        <x:v>Public custody armed</x:v>
      </x:c>
      <x:c r="N972" s="17" t="str">
        <x:v>eight raw origins have separated hash and replica routes</x:v>
      </x:c>
      <x:c r="O972" s="17" t="str">
        <x:v>Custody authority</x:v>
      </x:c>
      <x:c r="P972" s="9" t="n">
        <x:v>0</x:v>
      </x:c>
      <x:c r="Q972" s="9" t="n">
        <x:v>0</x:v>
      </x:c>
      <x:c r="R972" s="9" t="str">
        <x:v>OPEN / UNSTARTED</x:v>
      </x:c>
      <x:c r="S972" s="9" t="n">
        <x:f>COUNTIFS($A$7:$A$1446,A972)</x:f>
        <x:v>1</x:v>
      </x:c>
    </x:row>
    <x:row r="973">
      <x:c r="A973" s="9" t="str">
        <x:v>EV-AR-CT-C-B-TECH-3-B2-INT-G0-ST07</x:v>
      </x:c>
      <x:c r="B973" s="9" t="str">
        <x:v>EV-AR-CT-C-B-TECH-3-B2-INT-G0</x:v>
      </x:c>
      <x:c r="C973" s="9" t="str">
        <x:v>EOW-AR-CT-C-B-TECH-3-B2-INT-G0</x:v>
      </x:c>
      <x:c r="D973" s="9" t="str">
        <x:v>AR-CT-C-B-TECH-3-B2-INT-G0</x:v>
      </x:c>
      <x:c r="E973" s="9" t="str">
        <x:v>CT-C-B-TECH-3</x:v>
      </x:c>
      <x:c r="F973" s="9" t="str">
        <x:v>CT-C-B</x:v>
      </x:c>
      <x:c r="G973" s="9" t="str">
        <x:v>B2</x:v>
      </x:c>
      <x:c r="H973" s="9" t="str">
        <x:v>INT</x:v>
      </x:c>
      <x:c r="I973" s="9" t="n">
        <x:v>5</x:v>
      </x:c>
      <x:c r="J973" s="9" t="n">
        <x:v>1</x:v>
      </x:c>
      <x:c r="K973" s="9" t="str">
        <x:v>CT-C-B-N1</x:v>
      </x:c>
      <x:c r="L973" s="9" t="str">
        <x:v>ST07</x:v>
      </x:c>
      <x:c r="M973" s="17" t="str">
        <x:v>Environmental baseline</x:v>
      </x:c>
      <x:c r="N973" s="17" t="str">
        <x:v>pre-event boundary state is sealed before decisive operation</x:v>
      </x:c>
      <x:c r="O973" s="17" t="str">
        <x:v>Site metrology</x:v>
      </x:c>
      <x:c r="P973" s="9" t="n">
        <x:v>0</x:v>
      </x:c>
      <x:c r="Q973" s="9" t="n">
        <x:v>0</x:v>
      </x:c>
      <x:c r="R973" s="9" t="str">
        <x:v>OPEN / UNSTARTED</x:v>
      </x:c>
      <x:c r="S973" s="9" t="n">
        <x:f>COUNTIFS($A$7:$A$1446,A973)</x:f>
        <x:v>1</x:v>
      </x:c>
    </x:row>
    <x:row r="974">
      <x:c r="A974" s="9" t="str">
        <x:v>EV-AR-CT-C-B-TECH-3-B2-INT-G0-ST08</x:v>
      </x:c>
      <x:c r="B974" s="9" t="str">
        <x:v>EV-AR-CT-C-B-TECH-3-B2-INT-G0</x:v>
      </x:c>
      <x:c r="C974" s="9" t="str">
        <x:v>EOW-AR-CT-C-B-TECH-3-B2-INT-G0</x:v>
      </x:c>
      <x:c r="D974" s="9" t="str">
        <x:v>AR-CT-C-B-TECH-3-B2-INT-G0</x:v>
      </x:c>
      <x:c r="E974" s="9" t="str">
        <x:v>CT-C-B-TECH-3</x:v>
      </x:c>
      <x:c r="F974" s="9" t="str">
        <x:v>CT-C-B</x:v>
      </x:c>
      <x:c r="G974" s="9" t="str">
        <x:v>B2</x:v>
      </x:c>
      <x:c r="H974" s="9" t="str">
        <x:v>INT</x:v>
      </x:c>
      <x:c r="I974" s="9" t="n">
        <x:v>5</x:v>
      </x:c>
      <x:c r="J974" s="9" t="n">
        <x:v>1</x:v>
      </x:c>
      <x:c r="K974" s="9" t="str">
        <x:v>CT-C-B-N1</x:v>
      </x:c>
      <x:c r="L974" s="9" t="str">
        <x:v>ST08</x:v>
      </x:c>
      <x:c r="M974" s="17" t="str">
        <x:v>Manual stop and safety</x:v>
      </x:c>
      <x:c r="N974" s="17" t="str">
        <x:v>local stop, evacuation and protection routes are active</x:v>
      </x:c>
      <x:c r="O974" s="17" t="str">
        <x:v>Safety authority</x:v>
      </x:c>
      <x:c r="P974" s="9" t="n">
        <x:v>0</x:v>
      </x:c>
      <x:c r="Q974" s="9" t="n">
        <x:v>0</x:v>
      </x:c>
      <x:c r="R974" s="9" t="str">
        <x:v>OPEN / UNSTARTED</x:v>
      </x:c>
      <x:c r="S974" s="9" t="n">
        <x:f>COUNTIFS($A$7:$A$1446,A974)</x:f>
        <x:v>1</x:v>
      </x:c>
    </x:row>
    <x:row r="975">
      <x:c r="A975" s="9" t="str">
        <x:v>EV-AR-CT-C-B-TECH-3-B2-INT-G0-ST09</x:v>
      </x:c>
      <x:c r="B975" s="9" t="str">
        <x:v>EV-AR-CT-C-B-TECH-3-B2-INT-G0</x:v>
      </x:c>
      <x:c r="C975" s="9" t="str">
        <x:v>EOW-AR-CT-C-B-TECH-3-B2-INT-G0</x:v>
      </x:c>
      <x:c r="D975" s="9" t="str">
        <x:v>AR-CT-C-B-TECH-3-B2-INT-G0</x:v>
      </x:c>
      <x:c r="E975" s="9" t="str">
        <x:v>CT-C-B-TECH-3</x:v>
      </x:c>
      <x:c r="F975" s="9" t="str">
        <x:v>CT-C-B</x:v>
      </x:c>
      <x:c r="G975" s="9" t="str">
        <x:v>B2</x:v>
      </x:c>
      <x:c r="H975" s="9" t="str">
        <x:v>INT</x:v>
      </x:c>
      <x:c r="I975" s="9" t="n">
        <x:v>5</x:v>
      </x:c>
      <x:c r="J975" s="9" t="n">
        <x:v>1</x:v>
      </x:c>
      <x:c r="K975" s="9" t="str">
        <x:v>CT-C-B-N1</x:v>
      </x:c>
      <x:c r="L975" s="9" t="str">
        <x:v>ST09</x:v>
      </x:c>
      <x:c r="M975" s="17" t="str">
        <x:v>Operator conflict clear</x:v>
      </x:c>
      <x:c r="N975" s="17" t="str">
        <x:v>candidate, fixture, safety and measurement control edges remain separated</x:v>
      </x:c>
      <x:c r="O975" s="17" t="str">
        <x:v>Conflict registrar</x:v>
      </x:c>
      <x:c r="P975" s="9" t="n">
        <x:v>0</x:v>
      </x:c>
      <x:c r="Q975" s="9" t="n">
        <x:v>0</x:v>
      </x:c>
      <x:c r="R975" s="9" t="str">
        <x:v>OPEN / UNSTARTED</x:v>
      </x:c>
      <x:c r="S975" s="9" t="n">
        <x:f>COUNTIFS($A$7:$A$1446,A975)</x:f>
        <x:v>1</x:v>
      </x:c>
    </x:row>
    <x:row r="976">
      <x:c r="A976" s="9" t="str">
        <x:v>EV-AR-CT-C-B-TECH-3-B2-INT-G0-ST10</x:v>
      </x:c>
      <x:c r="B976" s="9" t="str">
        <x:v>EV-AR-CT-C-B-TECH-3-B2-INT-G0</x:v>
      </x:c>
      <x:c r="C976" s="9" t="str">
        <x:v>EOW-AR-CT-C-B-TECH-3-B2-INT-G0</x:v>
      </x:c>
      <x:c r="D976" s="9" t="str">
        <x:v>AR-CT-C-B-TECH-3-B2-INT-G0</x:v>
      </x:c>
      <x:c r="E976" s="9" t="str">
        <x:v>CT-C-B-TECH-3</x:v>
      </x:c>
      <x:c r="F976" s="9" t="str">
        <x:v>CT-C-B</x:v>
      </x:c>
      <x:c r="G976" s="9" t="str">
        <x:v>B2</x:v>
      </x:c>
      <x:c r="H976" s="9" t="str">
        <x:v>INT</x:v>
      </x:c>
      <x:c r="I976" s="9" t="n">
        <x:v>5</x:v>
      </x:c>
      <x:c r="J976" s="9" t="n">
        <x:v>1</x:v>
      </x:c>
      <x:c r="K976" s="9" t="str">
        <x:v>CT-C-B-N1</x:v>
      </x:c>
      <x:c r="L976" s="9" t="str">
        <x:v>ST10</x:v>
      </x:c>
      <x:c r="M976" s="17" t="str">
        <x:v>Window and common clock</x:v>
      </x:c>
      <x:c r="N976" s="17" t="str">
        <x:v>epoch, window and public time origin match the issued warrant</x:v>
      </x:c>
      <x:c r="O976" s="17" t="str">
        <x:v>Event clock authority</x:v>
      </x:c>
      <x:c r="P976" s="9" t="n">
        <x:v>0</x:v>
      </x:c>
      <x:c r="Q976" s="9" t="n">
        <x:v>0</x:v>
      </x:c>
      <x:c r="R976" s="9" t="str">
        <x:v>OPEN / UNSTARTED</x:v>
      </x:c>
      <x:c r="S976" s="9" t="n">
        <x:f>COUNTIFS($A$7:$A$1446,A976)</x:f>
        <x:v>1</x:v>
      </x:c>
    </x:row>
    <x:row r="977">
      <x:c r="A977" s="9" t="str">
        <x:v>EV-AR-ET-A-A-TECH-1-B1-RCN-G0-ST01</x:v>
      </x:c>
      <x:c r="B977" s="9" t="str">
        <x:v>EV-AR-ET-A-A-TECH-1-B1-RCN-G0</x:v>
      </x:c>
      <x:c r="C977" s="9" t="str">
        <x:v>EOW-AR-ET-A-A-TECH-1-B1-RCN-G0</x:v>
      </x:c>
      <x:c r="D977" s="9" t="str">
        <x:v>AR-ET-A-A-TECH-1-B1-RCN-G0</x:v>
      </x:c>
      <x:c r="E977" s="9" t="str">
        <x:v>ET-A-A-TECH-1</x:v>
      </x:c>
      <x:c r="F977" s="9" t="str">
        <x:v>ET-A-A</x:v>
      </x:c>
      <x:c r="G977" s="9" t="str">
        <x:v>B1</x:v>
      </x:c>
      <x:c r="H977" s="9" t="str">
        <x:v>RCN</x:v>
      </x:c>
      <x:c r="I977" s="9" t="n">
        <x:v>5</x:v>
      </x:c>
      <x:c r="J977" s="9" t="n">
        <x:v>1</x:v>
      </x:c>
      <x:c r="K977" s="9" t="str">
        <x:v>ET-A-A-N1</x:v>
      </x:c>
      <x:c r="L977" s="9" t="str">
        <x:v>ST01</x:v>
      </x:c>
      <x:c r="M977" s="17" t="str">
        <x:v>Active opportunity warrant</x:v>
      </x:c>
      <x:c r="N977" s="17" t="str">
        <x:v>configuration-bound EOW is within its thirty-six-hour validity</x:v>
      </x:c>
      <x:c r="O977" s="17" t="str">
        <x:v>Start registrar</x:v>
      </x:c>
      <x:c r="P977" s="9" t="n">
        <x:v>0</x:v>
      </x:c>
      <x:c r="Q977" s="9" t="n">
        <x:v>0</x:v>
      </x:c>
      <x:c r="R977" s="9" t="str">
        <x:v>OPEN / UNSTARTED</x:v>
      </x:c>
      <x:c r="S977" s="9" t="n">
        <x:f>COUNTIFS($A$7:$A$1446,A977)</x:f>
        <x:v>1</x:v>
      </x:c>
    </x:row>
    <x:row r="978">
      <x:c r="A978" s="9" t="str">
        <x:v>EV-AR-ET-A-A-TECH-1-B1-RCN-G0-ST02</x:v>
      </x:c>
      <x:c r="B978" s="9" t="str">
        <x:v>EV-AR-ET-A-A-TECH-1-B1-RCN-G0</x:v>
      </x:c>
      <x:c r="C978" s="9" t="str">
        <x:v>EOW-AR-ET-A-A-TECH-1-B1-RCN-G0</x:v>
      </x:c>
      <x:c r="D978" s="9" t="str">
        <x:v>AR-ET-A-A-TECH-1-B1-RCN-G0</x:v>
      </x:c>
      <x:c r="E978" s="9" t="str">
        <x:v>ET-A-A-TECH-1</x:v>
      </x:c>
      <x:c r="F978" s="9" t="str">
        <x:v>ET-A-A</x:v>
      </x:c>
      <x:c r="G978" s="9" t="str">
        <x:v>B1</x:v>
      </x:c>
      <x:c r="H978" s="9" t="str">
        <x:v>RCN</x:v>
      </x:c>
      <x:c r="I978" s="9" t="n">
        <x:v>5</x:v>
      </x:c>
      <x:c r="J978" s="9" t="n">
        <x:v>1</x:v>
      </x:c>
      <x:c r="K978" s="9" t="str">
        <x:v>ET-A-A-N1</x:v>
      </x:c>
      <x:c r="L978" s="9" t="str">
        <x:v>ST02</x:v>
      </x:c>
      <x:c r="M978" s="17" t="str">
        <x:v>Frozen identity</x:v>
      </x:c>
      <x:c r="N978" s="17" t="str">
        <x:v>serial, generation, fixture, site, receiver and digest match the warrant</x:v>
      </x:c>
      <x:c r="O978" s="17" t="str">
        <x:v>Custody authority</x:v>
      </x:c>
      <x:c r="P978" s="9" t="n">
        <x:v>0</x:v>
      </x:c>
      <x:c r="Q978" s="9" t="n">
        <x:v>0</x:v>
      </x:c>
      <x:c r="R978" s="9" t="str">
        <x:v>OPEN / UNSTARTED</x:v>
      </x:c>
      <x:c r="S978" s="9" t="n">
        <x:f>COUNTIFS($A$7:$A$1446,A978)</x:f>
        <x:v>1</x:v>
      </x:c>
    </x:row>
    <x:row r="979">
      <x:c r="A979" s="9" t="str">
        <x:v>EV-AR-ET-A-A-TECH-1-B1-RCN-G0-ST03</x:v>
      </x:c>
      <x:c r="B979" s="9" t="str">
        <x:v>EV-AR-ET-A-A-TECH-1-B1-RCN-G0</x:v>
      </x:c>
      <x:c r="C979" s="9" t="str">
        <x:v>EOW-AR-ET-A-A-TECH-1-B1-RCN-G0</x:v>
      </x:c>
      <x:c r="D979" s="9" t="str">
        <x:v>AR-ET-A-A-TECH-1-B1-RCN-G0</x:v>
      </x:c>
      <x:c r="E979" s="9" t="str">
        <x:v>ET-A-A-TECH-1</x:v>
      </x:c>
      <x:c r="F979" s="9" t="str">
        <x:v>ET-A-A</x:v>
      </x:c>
      <x:c r="G979" s="9" t="str">
        <x:v>B1</x:v>
      </x:c>
      <x:c r="H979" s="9" t="str">
        <x:v>RCN</x:v>
      </x:c>
      <x:c r="I979" s="9" t="n">
        <x:v>5</x:v>
      </x:c>
      <x:c r="J979" s="9" t="n">
        <x:v>1</x:v>
      </x:c>
      <x:c r="K979" s="9" t="str">
        <x:v>ET-A-A-N1</x:v>
      </x:c>
      <x:c r="L979" s="9" t="str">
        <x:v>ST03</x:v>
      </x:c>
      <x:c r="M979" s="17" t="str">
        <x:v>Receiver receipt</x:v>
      </x:c>
      <x:c r="N979" s="17" t="str">
        <x:v>denominator, counterfactual, rights and stop receipt remain unchanged</x:v>
      </x:c>
      <x:c r="O979" s="17" t="str">
        <x:v>Receiver authority</x:v>
      </x:c>
      <x:c r="P979" s="9" t="n">
        <x:v>0</x:v>
      </x:c>
      <x:c r="Q979" s="9" t="n">
        <x:v>0</x:v>
      </x:c>
      <x:c r="R979" s="9" t="str">
        <x:v>OPEN / UNSTARTED</x:v>
      </x:c>
      <x:c r="S979" s="9" t="n">
        <x:f>COUNTIFS($A$7:$A$1446,A979)</x:f>
        <x:v>1</x:v>
      </x:c>
    </x:row>
    <x:row r="980">
      <x:c r="A980" s="9" t="str">
        <x:v>EV-AR-ET-A-A-TECH-1-B1-RCN-G0-ST04</x:v>
      </x:c>
      <x:c r="B980" s="9" t="str">
        <x:v>EV-AR-ET-A-A-TECH-1-B1-RCN-G0</x:v>
      </x:c>
      <x:c r="C980" s="9" t="str">
        <x:v>EOW-AR-ET-A-A-TECH-1-B1-RCN-G0</x:v>
      </x:c>
      <x:c r="D980" s="9" t="str">
        <x:v>AR-ET-A-A-TECH-1-B1-RCN-G0</x:v>
      </x:c>
      <x:c r="E980" s="9" t="str">
        <x:v>ET-A-A-TECH-1</x:v>
      </x:c>
      <x:c r="F980" s="9" t="str">
        <x:v>ET-A-A</x:v>
      </x:c>
      <x:c r="G980" s="9" t="str">
        <x:v>B1</x:v>
      </x:c>
      <x:c r="H980" s="9" t="str">
        <x:v>RCN</x:v>
      </x:c>
      <x:c r="I980" s="9" t="n">
        <x:v>5</x:v>
      </x:c>
      <x:c r="J980" s="9" t="n">
        <x:v>1</x:v>
      </x:c>
      <x:c r="K980" s="9" t="str">
        <x:v>ET-A-A-N1</x:v>
      </x:c>
      <x:c r="L980" s="9" t="str">
        <x:v>ST04</x:v>
      </x:c>
      <x:c r="M980" s="17" t="str">
        <x:v>Primary capture armed</x:v>
      </x:c>
      <x:c r="N980" s="17" t="str">
        <x:v>primary chain records sealed reference and live time</x:v>
      </x:c>
      <x:c r="O980" s="17" t="str">
        <x:v>Primary metrology</x:v>
      </x:c>
      <x:c r="P980" s="9" t="n">
        <x:v>0</x:v>
      </x:c>
      <x:c r="Q980" s="9" t="n">
        <x:v>0</x:v>
      </x:c>
      <x:c r="R980" s="9" t="str">
        <x:v>OPEN / UNSTARTED</x:v>
      </x:c>
      <x:c r="S980" s="9" t="n">
        <x:f>COUNTIFS($A$7:$A$1446,A980)</x:f>
        <x:v>1</x:v>
      </x:c>
    </x:row>
    <x:row r="981">
      <x:c r="A981" s="9" t="str">
        <x:v>EV-AR-ET-A-A-TECH-1-B1-RCN-G0-ST05</x:v>
      </x:c>
      <x:c r="B981" s="9" t="str">
        <x:v>EV-AR-ET-A-A-TECH-1-B1-RCN-G0</x:v>
      </x:c>
      <x:c r="C981" s="9" t="str">
        <x:v>EOW-AR-ET-A-A-TECH-1-B1-RCN-G0</x:v>
      </x:c>
      <x:c r="D981" s="9" t="str">
        <x:v>AR-ET-A-A-TECH-1-B1-RCN-G0</x:v>
      </x:c>
      <x:c r="E981" s="9" t="str">
        <x:v>ET-A-A-TECH-1</x:v>
      </x:c>
      <x:c r="F981" s="9" t="str">
        <x:v>ET-A-A</x:v>
      </x:c>
      <x:c r="G981" s="9" t="str">
        <x:v>B1</x:v>
      </x:c>
      <x:c r="H981" s="9" t="str">
        <x:v>RCN</x:v>
      </x:c>
      <x:c r="I981" s="9" t="n">
        <x:v>5</x:v>
      </x:c>
      <x:c r="J981" s="9" t="n">
        <x:v>1</x:v>
      </x:c>
      <x:c r="K981" s="9" t="str">
        <x:v>ET-A-A-N1</x:v>
      </x:c>
      <x:c r="L981" s="9" t="str">
        <x:v>ST05</x:v>
      </x:c>
      <x:c r="M981" s="17" t="str">
        <x:v>Witness capture armed</x:v>
      </x:c>
      <x:c r="N981" s="17" t="str">
        <x:v>unlike witness records independent reference and live time</x:v>
      </x:c>
      <x:c r="O981" s="17" t="str">
        <x:v>Witness metrology</x:v>
      </x:c>
      <x:c r="P981" s="9" t="n">
        <x:v>0</x:v>
      </x:c>
      <x:c r="Q981" s="9" t="n">
        <x:v>0</x:v>
      </x:c>
      <x:c r="R981" s="9" t="str">
        <x:v>OPEN / UNSTARTED</x:v>
      </x:c>
      <x:c r="S981" s="9" t="n">
        <x:f>COUNTIFS($A$7:$A$1446,A981)</x:f>
        <x:v>1</x:v>
      </x:c>
    </x:row>
    <x:row r="982">
      <x:c r="A982" s="9" t="str">
        <x:v>EV-AR-ET-A-A-TECH-1-B1-RCN-G0-ST06</x:v>
      </x:c>
      <x:c r="B982" s="9" t="str">
        <x:v>EV-AR-ET-A-A-TECH-1-B1-RCN-G0</x:v>
      </x:c>
      <x:c r="C982" s="9" t="str">
        <x:v>EOW-AR-ET-A-A-TECH-1-B1-RCN-G0</x:v>
      </x:c>
      <x:c r="D982" s="9" t="str">
        <x:v>AR-ET-A-A-TECH-1-B1-RCN-G0</x:v>
      </x:c>
      <x:c r="E982" s="9" t="str">
        <x:v>ET-A-A-TECH-1</x:v>
      </x:c>
      <x:c r="F982" s="9" t="str">
        <x:v>ET-A-A</x:v>
      </x:c>
      <x:c r="G982" s="9" t="str">
        <x:v>B1</x:v>
      </x:c>
      <x:c r="H982" s="9" t="str">
        <x:v>RCN</x:v>
      </x:c>
      <x:c r="I982" s="9" t="n">
        <x:v>5</x:v>
      </x:c>
      <x:c r="J982" s="9" t="n">
        <x:v>1</x:v>
      </x:c>
      <x:c r="K982" s="9" t="str">
        <x:v>ET-A-A-N1</x:v>
      </x:c>
      <x:c r="L982" s="9" t="str">
        <x:v>ST06</x:v>
      </x:c>
      <x:c r="M982" s="17" t="str">
        <x:v>Public custody armed</x:v>
      </x:c>
      <x:c r="N982" s="17" t="str">
        <x:v>eight raw origins have separated hash and replica routes</x:v>
      </x:c>
      <x:c r="O982" s="17" t="str">
        <x:v>Custody authority</x:v>
      </x:c>
      <x:c r="P982" s="9" t="n">
        <x:v>0</x:v>
      </x:c>
      <x:c r="Q982" s="9" t="n">
        <x:v>0</x:v>
      </x:c>
      <x:c r="R982" s="9" t="str">
        <x:v>OPEN / UNSTARTED</x:v>
      </x:c>
      <x:c r="S982" s="9" t="n">
        <x:f>COUNTIFS($A$7:$A$1446,A982)</x:f>
        <x:v>1</x:v>
      </x:c>
    </x:row>
    <x:row r="983">
      <x:c r="A983" s="9" t="str">
        <x:v>EV-AR-ET-A-A-TECH-1-B1-RCN-G0-ST07</x:v>
      </x:c>
      <x:c r="B983" s="9" t="str">
        <x:v>EV-AR-ET-A-A-TECH-1-B1-RCN-G0</x:v>
      </x:c>
      <x:c r="C983" s="9" t="str">
        <x:v>EOW-AR-ET-A-A-TECH-1-B1-RCN-G0</x:v>
      </x:c>
      <x:c r="D983" s="9" t="str">
        <x:v>AR-ET-A-A-TECH-1-B1-RCN-G0</x:v>
      </x:c>
      <x:c r="E983" s="9" t="str">
        <x:v>ET-A-A-TECH-1</x:v>
      </x:c>
      <x:c r="F983" s="9" t="str">
        <x:v>ET-A-A</x:v>
      </x:c>
      <x:c r="G983" s="9" t="str">
        <x:v>B1</x:v>
      </x:c>
      <x:c r="H983" s="9" t="str">
        <x:v>RCN</x:v>
      </x:c>
      <x:c r="I983" s="9" t="n">
        <x:v>5</x:v>
      </x:c>
      <x:c r="J983" s="9" t="n">
        <x:v>1</x:v>
      </x:c>
      <x:c r="K983" s="9" t="str">
        <x:v>ET-A-A-N1</x:v>
      </x:c>
      <x:c r="L983" s="9" t="str">
        <x:v>ST07</x:v>
      </x:c>
      <x:c r="M983" s="17" t="str">
        <x:v>Environmental baseline</x:v>
      </x:c>
      <x:c r="N983" s="17" t="str">
        <x:v>pre-event boundary state is sealed before decisive operation</x:v>
      </x:c>
      <x:c r="O983" s="17" t="str">
        <x:v>Site metrology</x:v>
      </x:c>
      <x:c r="P983" s="9" t="n">
        <x:v>0</x:v>
      </x:c>
      <x:c r="Q983" s="9" t="n">
        <x:v>0</x:v>
      </x:c>
      <x:c r="R983" s="9" t="str">
        <x:v>OPEN / UNSTARTED</x:v>
      </x:c>
      <x:c r="S983" s="9" t="n">
        <x:f>COUNTIFS($A$7:$A$1446,A983)</x:f>
        <x:v>1</x:v>
      </x:c>
    </x:row>
    <x:row r="984">
      <x:c r="A984" s="9" t="str">
        <x:v>EV-AR-ET-A-A-TECH-1-B1-RCN-G0-ST08</x:v>
      </x:c>
      <x:c r="B984" s="9" t="str">
        <x:v>EV-AR-ET-A-A-TECH-1-B1-RCN-G0</x:v>
      </x:c>
      <x:c r="C984" s="9" t="str">
        <x:v>EOW-AR-ET-A-A-TECH-1-B1-RCN-G0</x:v>
      </x:c>
      <x:c r="D984" s="9" t="str">
        <x:v>AR-ET-A-A-TECH-1-B1-RCN-G0</x:v>
      </x:c>
      <x:c r="E984" s="9" t="str">
        <x:v>ET-A-A-TECH-1</x:v>
      </x:c>
      <x:c r="F984" s="9" t="str">
        <x:v>ET-A-A</x:v>
      </x:c>
      <x:c r="G984" s="9" t="str">
        <x:v>B1</x:v>
      </x:c>
      <x:c r="H984" s="9" t="str">
        <x:v>RCN</x:v>
      </x:c>
      <x:c r="I984" s="9" t="n">
        <x:v>5</x:v>
      </x:c>
      <x:c r="J984" s="9" t="n">
        <x:v>1</x:v>
      </x:c>
      <x:c r="K984" s="9" t="str">
        <x:v>ET-A-A-N1</x:v>
      </x:c>
      <x:c r="L984" s="9" t="str">
        <x:v>ST08</x:v>
      </x:c>
      <x:c r="M984" s="17" t="str">
        <x:v>Manual stop and safety</x:v>
      </x:c>
      <x:c r="N984" s="17" t="str">
        <x:v>local stop, evacuation and protection routes are active</x:v>
      </x:c>
      <x:c r="O984" s="17" t="str">
        <x:v>Safety authority</x:v>
      </x:c>
      <x:c r="P984" s="9" t="n">
        <x:v>0</x:v>
      </x:c>
      <x:c r="Q984" s="9" t="n">
        <x:v>0</x:v>
      </x:c>
      <x:c r="R984" s="9" t="str">
        <x:v>OPEN / UNSTARTED</x:v>
      </x:c>
      <x:c r="S984" s="9" t="n">
        <x:f>COUNTIFS($A$7:$A$1446,A984)</x:f>
        <x:v>1</x:v>
      </x:c>
    </x:row>
    <x:row r="985">
      <x:c r="A985" s="9" t="str">
        <x:v>EV-AR-ET-A-A-TECH-1-B1-RCN-G0-ST09</x:v>
      </x:c>
      <x:c r="B985" s="9" t="str">
        <x:v>EV-AR-ET-A-A-TECH-1-B1-RCN-G0</x:v>
      </x:c>
      <x:c r="C985" s="9" t="str">
        <x:v>EOW-AR-ET-A-A-TECH-1-B1-RCN-G0</x:v>
      </x:c>
      <x:c r="D985" s="9" t="str">
        <x:v>AR-ET-A-A-TECH-1-B1-RCN-G0</x:v>
      </x:c>
      <x:c r="E985" s="9" t="str">
        <x:v>ET-A-A-TECH-1</x:v>
      </x:c>
      <x:c r="F985" s="9" t="str">
        <x:v>ET-A-A</x:v>
      </x:c>
      <x:c r="G985" s="9" t="str">
        <x:v>B1</x:v>
      </x:c>
      <x:c r="H985" s="9" t="str">
        <x:v>RCN</x:v>
      </x:c>
      <x:c r="I985" s="9" t="n">
        <x:v>5</x:v>
      </x:c>
      <x:c r="J985" s="9" t="n">
        <x:v>1</x:v>
      </x:c>
      <x:c r="K985" s="9" t="str">
        <x:v>ET-A-A-N1</x:v>
      </x:c>
      <x:c r="L985" s="9" t="str">
        <x:v>ST09</x:v>
      </x:c>
      <x:c r="M985" s="17" t="str">
        <x:v>Operator conflict clear</x:v>
      </x:c>
      <x:c r="N985" s="17" t="str">
        <x:v>candidate, fixture, safety and measurement control edges remain separated</x:v>
      </x:c>
      <x:c r="O985" s="17" t="str">
        <x:v>Conflict registrar</x:v>
      </x:c>
      <x:c r="P985" s="9" t="n">
        <x:v>0</x:v>
      </x:c>
      <x:c r="Q985" s="9" t="n">
        <x:v>0</x:v>
      </x:c>
      <x:c r="R985" s="9" t="str">
        <x:v>OPEN / UNSTARTED</x:v>
      </x:c>
      <x:c r="S985" s="9" t="n">
        <x:f>COUNTIFS($A$7:$A$1446,A985)</x:f>
        <x:v>1</x:v>
      </x:c>
    </x:row>
    <x:row r="986">
      <x:c r="A986" s="9" t="str">
        <x:v>EV-AR-ET-A-A-TECH-1-B1-RCN-G0-ST10</x:v>
      </x:c>
      <x:c r="B986" s="9" t="str">
        <x:v>EV-AR-ET-A-A-TECH-1-B1-RCN-G0</x:v>
      </x:c>
      <x:c r="C986" s="9" t="str">
        <x:v>EOW-AR-ET-A-A-TECH-1-B1-RCN-G0</x:v>
      </x:c>
      <x:c r="D986" s="9" t="str">
        <x:v>AR-ET-A-A-TECH-1-B1-RCN-G0</x:v>
      </x:c>
      <x:c r="E986" s="9" t="str">
        <x:v>ET-A-A-TECH-1</x:v>
      </x:c>
      <x:c r="F986" s="9" t="str">
        <x:v>ET-A-A</x:v>
      </x:c>
      <x:c r="G986" s="9" t="str">
        <x:v>B1</x:v>
      </x:c>
      <x:c r="H986" s="9" t="str">
        <x:v>RCN</x:v>
      </x:c>
      <x:c r="I986" s="9" t="n">
        <x:v>5</x:v>
      </x:c>
      <x:c r="J986" s="9" t="n">
        <x:v>1</x:v>
      </x:c>
      <x:c r="K986" s="9" t="str">
        <x:v>ET-A-A-N1</x:v>
      </x:c>
      <x:c r="L986" s="9" t="str">
        <x:v>ST10</x:v>
      </x:c>
      <x:c r="M986" s="17" t="str">
        <x:v>Window and common clock</x:v>
      </x:c>
      <x:c r="N986" s="17" t="str">
        <x:v>epoch, window and public time origin match the issued warrant</x:v>
      </x:c>
      <x:c r="O986" s="17" t="str">
        <x:v>Event clock authority</x:v>
      </x:c>
      <x:c r="P986" s="9" t="n">
        <x:v>0</x:v>
      </x:c>
      <x:c r="Q986" s="9" t="n">
        <x:v>0</x:v>
      </x:c>
      <x:c r="R986" s="9" t="str">
        <x:v>OPEN / UNSTARTED</x:v>
      </x:c>
      <x:c r="S986" s="9" t="n">
        <x:f>COUNTIFS($A$7:$A$1446,A986)</x:f>
        <x:v>1</x:v>
      </x:c>
    </x:row>
    <x:row r="987">
      <x:c r="A987" s="9" t="str">
        <x:v>EV-AR-HC-A-C-TECH-4-B2-RCN-G0-ST01</x:v>
      </x:c>
      <x:c r="B987" s="9" t="str">
        <x:v>EV-AR-HC-A-C-TECH-4-B2-RCN-G0</x:v>
      </x:c>
      <x:c r="C987" s="9" t="str">
        <x:v>EOW-AR-HC-A-C-TECH-4-B2-RCN-G0</x:v>
      </x:c>
      <x:c r="D987" s="9" t="str">
        <x:v>AR-HC-A-C-TECH-4-B2-RCN-G0</x:v>
      </x:c>
      <x:c r="E987" s="9" t="str">
        <x:v>HC-A-C-TECH-4</x:v>
      </x:c>
      <x:c r="F987" s="9" t="str">
        <x:v>HC-A-C</x:v>
      </x:c>
      <x:c r="G987" s="9" t="str">
        <x:v>B2</x:v>
      </x:c>
      <x:c r="H987" s="9" t="str">
        <x:v>RCN</x:v>
      </x:c>
      <x:c r="I987" s="9" t="n">
        <x:v>5</x:v>
      </x:c>
      <x:c r="J987" s="9" t="n">
        <x:v>1</x:v>
      </x:c>
      <x:c r="K987" s="9" t="str">
        <x:v>HC-A-C-N1</x:v>
      </x:c>
      <x:c r="L987" s="9" t="str">
        <x:v>ST01</x:v>
      </x:c>
      <x:c r="M987" s="17" t="str">
        <x:v>Active opportunity warrant</x:v>
      </x:c>
      <x:c r="N987" s="17" t="str">
        <x:v>configuration-bound EOW is within its thirty-six-hour validity</x:v>
      </x:c>
      <x:c r="O987" s="17" t="str">
        <x:v>Start registrar</x:v>
      </x:c>
      <x:c r="P987" s="9" t="n">
        <x:v>0</x:v>
      </x:c>
      <x:c r="Q987" s="9" t="n">
        <x:v>0</x:v>
      </x:c>
      <x:c r="R987" s="9" t="str">
        <x:v>OPEN / UNSTARTED</x:v>
      </x:c>
      <x:c r="S987" s="9" t="n">
        <x:f>COUNTIFS($A$7:$A$1446,A987)</x:f>
        <x:v>1</x:v>
      </x:c>
    </x:row>
    <x:row r="988">
      <x:c r="A988" s="9" t="str">
        <x:v>EV-AR-HC-A-C-TECH-4-B2-RCN-G0-ST02</x:v>
      </x:c>
      <x:c r="B988" s="9" t="str">
        <x:v>EV-AR-HC-A-C-TECH-4-B2-RCN-G0</x:v>
      </x:c>
      <x:c r="C988" s="9" t="str">
        <x:v>EOW-AR-HC-A-C-TECH-4-B2-RCN-G0</x:v>
      </x:c>
      <x:c r="D988" s="9" t="str">
        <x:v>AR-HC-A-C-TECH-4-B2-RCN-G0</x:v>
      </x:c>
      <x:c r="E988" s="9" t="str">
        <x:v>HC-A-C-TECH-4</x:v>
      </x:c>
      <x:c r="F988" s="9" t="str">
        <x:v>HC-A-C</x:v>
      </x:c>
      <x:c r="G988" s="9" t="str">
        <x:v>B2</x:v>
      </x:c>
      <x:c r="H988" s="9" t="str">
        <x:v>RCN</x:v>
      </x:c>
      <x:c r="I988" s="9" t="n">
        <x:v>5</x:v>
      </x:c>
      <x:c r="J988" s="9" t="n">
        <x:v>1</x:v>
      </x:c>
      <x:c r="K988" s="9" t="str">
        <x:v>HC-A-C-N1</x:v>
      </x:c>
      <x:c r="L988" s="9" t="str">
        <x:v>ST02</x:v>
      </x:c>
      <x:c r="M988" s="17" t="str">
        <x:v>Frozen identity</x:v>
      </x:c>
      <x:c r="N988" s="17" t="str">
        <x:v>serial, generation, fixture, site, receiver and digest match the warrant</x:v>
      </x:c>
      <x:c r="O988" s="17" t="str">
        <x:v>Custody authority</x:v>
      </x:c>
      <x:c r="P988" s="9" t="n">
        <x:v>0</x:v>
      </x:c>
      <x:c r="Q988" s="9" t="n">
        <x:v>0</x:v>
      </x:c>
      <x:c r="R988" s="9" t="str">
        <x:v>OPEN / UNSTARTED</x:v>
      </x:c>
      <x:c r="S988" s="9" t="n">
        <x:f>COUNTIFS($A$7:$A$1446,A988)</x:f>
        <x:v>1</x:v>
      </x:c>
    </x:row>
    <x:row r="989">
      <x:c r="A989" s="9" t="str">
        <x:v>EV-AR-HC-A-C-TECH-4-B2-RCN-G0-ST03</x:v>
      </x:c>
      <x:c r="B989" s="9" t="str">
        <x:v>EV-AR-HC-A-C-TECH-4-B2-RCN-G0</x:v>
      </x:c>
      <x:c r="C989" s="9" t="str">
        <x:v>EOW-AR-HC-A-C-TECH-4-B2-RCN-G0</x:v>
      </x:c>
      <x:c r="D989" s="9" t="str">
        <x:v>AR-HC-A-C-TECH-4-B2-RCN-G0</x:v>
      </x:c>
      <x:c r="E989" s="9" t="str">
        <x:v>HC-A-C-TECH-4</x:v>
      </x:c>
      <x:c r="F989" s="9" t="str">
        <x:v>HC-A-C</x:v>
      </x:c>
      <x:c r="G989" s="9" t="str">
        <x:v>B2</x:v>
      </x:c>
      <x:c r="H989" s="9" t="str">
        <x:v>RCN</x:v>
      </x:c>
      <x:c r="I989" s="9" t="n">
        <x:v>5</x:v>
      </x:c>
      <x:c r="J989" s="9" t="n">
        <x:v>1</x:v>
      </x:c>
      <x:c r="K989" s="9" t="str">
        <x:v>HC-A-C-N1</x:v>
      </x:c>
      <x:c r="L989" s="9" t="str">
        <x:v>ST03</x:v>
      </x:c>
      <x:c r="M989" s="17" t="str">
        <x:v>Receiver receipt</x:v>
      </x:c>
      <x:c r="N989" s="17" t="str">
        <x:v>denominator, counterfactual, rights and stop receipt remain unchanged</x:v>
      </x:c>
      <x:c r="O989" s="17" t="str">
        <x:v>Receiver authority</x:v>
      </x:c>
      <x:c r="P989" s="9" t="n">
        <x:v>0</x:v>
      </x:c>
      <x:c r="Q989" s="9" t="n">
        <x:v>0</x:v>
      </x:c>
      <x:c r="R989" s="9" t="str">
        <x:v>OPEN / UNSTARTED</x:v>
      </x:c>
      <x:c r="S989" s="9" t="n">
        <x:f>COUNTIFS($A$7:$A$1446,A989)</x:f>
        <x:v>1</x:v>
      </x:c>
    </x:row>
    <x:row r="990">
      <x:c r="A990" s="9" t="str">
        <x:v>EV-AR-HC-A-C-TECH-4-B2-RCN-G0-ST04</x:v>
      </x:c>
      <x:c r="B990" s="9" t="str">
        <x:v>EV-AR-HC-A-C-TECH-4-B2-RCN-G0</x:v>
      </x:c>
      <x:c r="C990" s="9" t="str">
        <x:v>EOW-AR-HC-A-C-TECH-4-B2-RCN-G0</x:v>
      </x:c>
      <x:c r="D990" s="9" t="str">
        <x:v>AR-HC-A-C-TECH-4-B2-RCN-G0</x:v>
      </x:c>
      <x:c r="E990" s="9" t="str">
        <x:v>HC-A-C-TECH-4</x:v>
      </x:c>
      <x:c r="F990" s="9" t="str">
        <x:v>HC-A-C</x:v>
      </x:c>
      <x:c r="G990" s="9" t="str">
        <x:v>B2</x:v>
      </x:c>
      <x:c r="H990" s="9" t="str">
        <x:v>RCN</x:v>
      </x:c>
      <x:c r="I990" s="9" t="n">
        <x:v>5</x:v>
      </x:c>
      <x:c r="J990" s="9" t="n">
        <x:v>1</x:v>
      </x:c>
      <x:c r="K990" s="9" t="str">
        <x:v>HC-A-C-N1</x:v>
      </x:c>
      <x:c r="L990" s="9" t="str">
        <x:v>ST04</x:v>
      </x:c>
      <x:c r="M990" s="17" t="str">
        <x:v>Primary capture armed</x:v>
      </x:c>
      <x:c r="N990" s="17" t="str">
        <x:v>primary chain records sealed reference and live time</x:v>
      </x:c>
      <x:c r="O990" s="17" t="str">
        <x:v>Primary metrology</x:v>
      </x:c>
      <x:c r="P990" s="9" t="n">
        <x:v>0</x:v>
      </x:c>
      <x:c r="Q990" s="9" t="n">
        <x:v>0</x:v>
      </x:c>
      <x:c r="R990" s="9" t="str">
        <x:v>OPEN / UNSTARTED</x:v>
      </x:c>
      <x:c r="S990" s="9" t="n">
        <x:f>COUNTIFS($A$7:$A$1446,A990)</x:f>
        <x:v>1</x:v>
      </x:c>
    </x:row>
    <x:row r="991">
      <x:c r="A991" s="9" t="str">
        <x:v>EV-AR-HC-A-C-TECH-4-B2-RCN-G0-ST05</x:v>
      </x:c>
      <x:c r="B991" s="9" t="str">
        <x:v>EV-AR-HC-A-C-TECH-4-B2-RCN-G0</x:v>
      </x:c>
      <x:c r="C991" s="9" t="str">
        <x:v>EOW-AR-HC-A-C-TECH-4-B2-RCN-G0</x:v>
      </x:c>
      <x:c r="D991" s="9" t="str">
        <x:v>AR-HC-A-C-TECH-4-B2-RCN-G0</x:v>
      </x:c>
      <x:c r="E991" s="9" t="str">
        <x:v>HC-A-C-TECH-4</x:v>
      </x:c>
      <x:c r="F991" s="9" t="str">
        <x:v>HC-A-C</x:v>
      </x:c>
      <x:c r="G991" s="9" t="str">
        <x:v>B2</x:v>
      </x:c>
      <x:c r="H991" s="9" t="str">
        <x:v>RCN</x:v>
      </x:c>
      <x:c r="I991" s="9" t="n">
        <x:v>5</x:v>
      </x:c>
      <x:c r="J991" s="9" t="n">
        <x:v>1</x:v>
      </x:c>
      <x:c r="K991" s="9" t="str">
        <x:v>HC-A-C-N1</x:v>
      </x:c>
      <x:c r="L991" s="9" t="str">
        <x:v>ST05</x:v>
      </x:c>
      <x:c r="M991" s="17" t="str">
        <x:v>Witness capture armed</x:v>
      </x:c>
      <x:c r="N991" s="17" t="str">
        <x:v>unlike witness records independent reference and live time</x:v>
      </x:c>
      <x:c r="O991" s="17" t="str">
        <x:v>Witness metrology</x:v>
      </x:c>
      <x:c r="P991" s="9" t="n">
        <x:v>0</x:v>
      </x:c>
      <x:c r="Q991" s="9" t="n">
        <x:v>0</x:v>
      </x:c>
      <x:c r="R991" s="9" t="str">
        <x:v>OPEN / UNSTARTED</x:v>
      </x:c>
      <x:c r="S991" s="9" t="n">
        <x:f>COUNTIFS($A$7:$A$1446,A991)</x:f>
        <x:v>1</x:v>
      </x:c>
    </x:row>
    <x:row r="992">
      <x:c r="A992" s="9" t="str">
        <x:v>EV-AR-HC-A-C-TECH-4-B2-RCN-G0-ST06</x:v>
      </x:c>
      <x:c r="B992" s="9" t="str">
        <x:v>EV-AR-HC-A-C-TECH-4-B2-RCN-G0</x:v>
      </x:c>
      <x:c r="C992" s="9" t="str">
        <x:v>EOW-AR-HC-A-C-TECH-4-B2-RCN-G0</x:v>
      </x:c>
      <x:c r="D992" s="9" t="str">
        <x:v>AR-HC-A-C-TECH-4-B2-RCN-G0</x:v>
      </x:c>
      <x:c r="E992" s="9" t="str">
        <x:v>HC-A-C-TECH-4</x:v>
      </x:c>
      <x:c r="F992" s="9" t="str">
        <x:v>HC-A-C</x:v>
      </x:c>
      <x:c r="G992" s="9" t="str">
        <x:v>B2</x:v>
      </x:c>
      <x:c r="H992" s="9" t="str">
        <x:v>RCN</x:v>
      </x:c>
      <x:c r="I992" s="9" t="n">
        <x:v>5</x:v>
      </x:c>
      <x:c r="J992" s="9" t="n">
        <x:v>1</x:v>
      </x:c>
      <x:c r="K992" s="9" t="str">
        <x:v>HC-A-C-N1</x:v>
      </x:c>
      <x:c r="L992" s="9" t="str">
        <x:v>ST06</x:v>
      </x:c>
      <x:c r="M992" s="17" t="str">
        <x:v>Public custody armed</x:v>
      </x:c>
      <x:c r="N992" s="17" t="str">
        <x:v>eight raw origins have separated hash and replica routes</x:v>
      </x:c>
      <x:c r="O992" s="17" t="str">
        <x:v>Custody authority</x:v>
      </x:c>
      <x:c r="P992" s="9" t="n">
        <x:v>0</x:v>
      </x:c>
      <x:c r="Q992" s="9" t="n">
        <x:v>0</x:v>
      </x:c>
      <x:c r="R992" s="9" t="str">
        <x:v>OPEN / UNSTARTED</x:v>
      </x:c>
      <x:c r="S992" s="9" t="n">
        <x:f>COUNTIFS($A$7:$A$1446,A992)</x:f>
        <x:v>1</x:v>
      </x:c>
    </x:row>
    <x:row r="993">
      <x:c r="A993" s="9" t="str">
        <x:v>EV-AR-HC-A-C-TECH-4-B2-RCN-G0-ST07</x:v>
      </x:c>
      <x:c r="B993" s="9" t="str">
        <x:v>EV-AR-HC-A-C-TECH-4-B2-RCN-G0</x:v>
      </x:c>
      <x:c r="C993" s="9" t="str">
        <x:v>EOW-AR-HC-A-C-TECH-4-B2-RCN-G0</x:v>
      </x:c>
      <x:c r="D993" s="9" t="str">
        <x:v>AR-HC-A-C-TECH-4-B2-RCN-G0</x:v>
      </x:c>
      <x:c r="E993" s="9" t="str">
        <x:v>HC-A-C-TECH-4</x:v>
      </x:c>
      <x:c r="F993" s="9" t="str">
        <x:v>HC-A-C</x:v>
      </x:c>
      <x:c r="G993" s="9" t="str">
        <x:v>B2</x:v>
      </x:c>
      <x:c r="H993" s="9" t="str">
        <x:v>RCN</x:v>
      </x:c>
      <x:c r="I993" s="9" t="n">
        <x:v>5</x:v>
      </x:c>
      <x:c r="J993" s="9" t="n">
        <x:v>1</x:v>
      </x:c>
      <x:c r="K993" s="9" t="str">
        <x:v>HC-A-C-N1</x:v>
      </x:c>
      <x:c r="L993" s="9" t="str">
        <x:v>ST07</x:v>
      </x:c>
      <x:c r="M993" s="17" t="str">
        <x:v>Environmental baseline</x:v>
      </x:c>
      <x:c r="N993" s="17" t="str">
        <x:v>pre-event boundary state is sealed before decisive operation</x:v>
      </x:c>
      <x:c r="O993" s="17" t="str">
        <x:v>Site metrology</x:v>
      </x:c>
      <x:c r="P993" s="9" t="n">
        <x:v>0</x:v>
      </x:c>
      <x:c r="Q993" s="9" t="n">
        <x:v>0</x:v>
      </x:c>
      <x:c r="R993" s="9" t="str">
        <x:v>OPEN / UNSTARTED</x:v>
      </x:c>
      <x:c r="S993" s="9" t="n">
        <x:f>COUNTIFS($A$7:$A$1446,A993)</x:f>
        <x:v>1</x:v>
      </x:c>
    </x:row>
    <x:row r="994">
      <x:c r="A994" s="9" t="str">
        <x:v>EV-AR-HC-A-C-TECH-4-B2-RCN-G0-ST08</x:v>
      </x:c>
      <x:c r="B994" s="9" t="str">
        <x:v>EV-AR-HC-A-C-TECH-4-B2-RCN-G0</x:v>
      </x:c>
      <x:c r="C994" s="9" t="str">
        <x:v>EOW-AR-HC-A-C-TECH-4-B2-RCN-G0</x:v>
      </x:c>
      <x:c r="D994" s="9" t="str">
        <x:v>AR-HC-A-C-TECH-4-B2-RCN-G0</x:v>
      </x:c>
      <x:c r="E994" s="9" t="str">
        <x:v>HC-A-C-TECH-4</x:v>
      </x:c>
      <x:c r="F994" s="9" t="str">
        <x:v>HC-A-C</x:v>
      </x:c>
      <x:c r="G994" s="9" t="str">
        <x:v>B2</x:v>
      </x:c>
      <x:c r="H994" s="9" t="str">
        <x:v>RCN</x:v>
      </x:c>
      <x:c r="I994" s="9" t="n">
        <x:v>5</x:v>
      </x:c>
      <x:c r="J994" s="9" t="n">
        <x:v>1</x:v>
      </x:c>
      <x:c r="K994" s="9" t="str">
        <x:v>HC-A-C-N1</x:v>
      </x:c>
      <x:c r="L994" s="9" t="str">
        <x:v>ST08</x:v>
      </x:c>
      <x:c r="M994" s="17" t="str">
        <x:v>Manual stop and safety</x:v>
      </x:c>
      <x:c r="N994" s="17" t="str">
        <x:v>local stop, evacuation and protection routes are active</x:v>
      </x:c>
      <x:c r="O994" s="17" t="str">
        <x:v>Safety authority</x:v>
      </x:c>
      <x:c r="P994" s="9" t="n">
        <x:v>0</x:v>
      </x:c>
      <x:c r="Q994" s="9" t="n">
        <x:v>0</x:v>
      </x:c>
      <x:c r="R994" s="9" t="str">
        <x:v>OPEN / UNSTARTED</x:v>
      </x:c>
      <x:c r="S994" s="9" t="n">
        <x:f>COUNTIFS($A$7:$A$1446,A994)</x:f>
        <x:v>1</x:v>
      </x:c>
    </x:row>
    <x:row r="995">
      <x:c r="A995" s="9" t="str">
        <x:v>EV-AR-HC-A-C-TECH-4-B2-RCN-G0-ST09</x:v>
      </x:c>
      <x:c r="B995" s="9" t="str">
        <x:v>EV-AR-HC-A-C-TECH-4-B2-RCN-G0</x:v>
      </x:c>
      <x:c r="C995" s="9" t="str">
        <x:v>EOW-AR-HC-A-C-TECH-4-B2-RCN-G0</x:v>
      </x:c>
      <x:c r="D995" s="9" t="str">
        <x:v>AR-HC-A-C-TECH-4-B2-RCN-G0</x:v>
      </x:c>
      <x:c r="E995" s="9" t="str">
        <x:v>HC-A-C-TECH-4</x:v>
      </x:c>
      <x:c r="F995" s="9" t="str">
        <x:v>HC-A-C</x:v>
      </x:c>
      <x:c r="G995" s="9" t="str">
        <x:v>B2</x:v>
      </x:c>
      <x:c r="H995" s="9" t="str">
        <x:v>RCN</x:v>
      </x:c>
      <x:c r="I995" s="9" t="n">
        <x:v>5</x:v>
      </x:c>
      <x:c r="J995" s="9" t="n">
        <x:v>1</x:v>
      </x:c>
      <x:c r="K995" s="9" t="str">
        <x:v>HC-A-C-N1</x:v>
      </x:c>
      <x:c r="L995" s="9" t="str">
        <x:v>ST09</x:v>
      </x:c>
      <x:c r="M995" s="17" t="str">
        <x:v>Operator conflict clear</x:v>
      </x:c>
      <x:c r="N995" s="17" t="str">
        <x:v>candidate, fixture, safety and measurement control edges remain separated</x:v>
      </x:c>
      <x:c r="O995" s="17" t="str">
        <x:v>Conflict registrar</x:v>
      </x:c>
      <x:c r="P995" s="9" t="n">
        <x:v>0</x:v>
      </x:c>
      <x:c r="Q995" s="9" t="n">
        <x:v>0</x:v>
      </x:c>
      <x:c r="R995" s="9" t="str">
        <x:v>OPEN / UNSTARTED</x:v>
      </x:c>
      <x:c r="S995" s="9" t="n">
        <x:f>COUNTIFS($A$7:$A$1446,A995)</x:f>
        <x:v>1</x:v>
      </x:c>
    </x:row>
    <x:row r="996">
      <x:c r="A996" s="9" t="str">
        <x:v>EV-AR-HC-A-C-TECH-4-B2-RCN-G0-ST10</x:v>
      </x:c>
      <x:c r="B996" s="9" t="str">
        <x:v>EV-AR-HC-A-C-TECH-4-B2-RCN-G0</x:v>
      </x:c>
      <x:c r="C996" s="9" t="str">
        <x:v>EOW-AR-HC-A-C-TECH-4-B2-RCN-G0</x:v>
      </x:c>
      <x:c r="D996" s="9" t="str">
        <x:v>AR-HC-A-C-TECH-4-B2-RCN-G0</x:v>
      </x:c>
      <x:c r="E996" s="9" t="str">
        <x:v>HC-A-C-TECH-4</x:v>
      </x:c>
      <x:c r="F996" s="9" t="str">
        <x:v>HC-A-C</x:v>
      </x:c>
      <x:c r="G996" s="9" t="str">
        <x:v>B2</x:v>
      </x:c>
      <x:c r="H996" s="9" t="str">
        <x:v>RCN</x:v>
      </x:c>
      <x:c r="I996" s="9" t="n">
        <x:v>5</x:v>
      </x:c>
      <x:c r="J996" s="9" t="n">
        <x:v>1</x:v>
      </x:c>
      <x:c r="K996" s="9" t="str">
        <x:v>HC-A-C-N1</x:v>
      </x:c>
      <x:c r="L996" s="9" t="str">
        <x:v>ST10</x:v>
      </x:c>
      <x:c r="M996" s="17" t="str">
        <x:v>Window and common clock</x:v>
      </x:c>
      <x:c r="N996" s="17" t="str">
        <x:v>epoch, window and public time origin match the issued warrant</x:v>
      </x:c>
      <x:c r="O996" s="17" t="str">
        <x:v>Event clock authority</x:v>
      </x:c>
      <x:c r="P996" s="9" t="n">
        <x:v>0</x:v>
      </x:c>
      <x:c r="Q996" s="9" t="n">
        <x:v>0</x:v>
      </x:c>
      <x:c r="R996" s="9" t="str">
        <x:v>OPEN / UNSTARTED</x:v>
      </x:c>
      <x:c r="S996" s="9" t="n">
        <x:f>COUNTIFS($A$7:$A$1446,A996)</x:f>
        <x:v>1</x:v>
      </x:c>
    </x:row>
    <x:row r="997">
      <x:c r="A997" s="9" t="str">
        <x:v>EV-AR-HC-A-C-TECH-2-B2-INT-G0-ST01</x:v>
      </x:c>
      <x:c r="B997" s="9" t="str">
        <x:v>EV-AR-HC-A-C-TECH-2-B2-INT-G0</x:v>
      </x:c>
      <x:c r="C997" s="9" t="str">
        <x:v>EOW-AR-HC-A-C-TECH-2-B2-INT-G0</x:v>
      </x:c>
      <x:c r="D997" s="9" t="str">
        <x:v>AR-HC-A-C-TECH-2-B2-INT-G0</x:v>
      </x:c>
      <x:c r="E997" s="9" t="str">
        <x:v>HC-A-C-TECH-2</x:v>
      </x:c>
      <x:c r="F997" s="9" t="str">
        <x:v>HC-A-C</x:v>
      </x:c>
      <x:c r="G997" s="9" t="str">
        <x:v>B2</x:v>
      </x:c>
      <x:c r="H997" s="9" t="str">
        <x:v>INT</x:v>
      </x:c>
      <x:c r="I997" s="9" t="n">
        <x:v>5</x:v>
      </x:c>
      <x:c r="J997" s="9" t="n">
        <x:v>1</x:v>
      </x:c>
      <x:c r="K997" s="9" t="str">
        <x:v>HC-A-C-N2</x:v>
      </x:c>
      <x:c r="L997" s="9" t="str">
        <x:v>ST01</x:v>
      </x:c>
      <x:c r="M997" s="17" t="str">
        <x:v>Active opportunity warrant</x:v>
      </x:c>
      <x:c r="N997" s="17" t="str">
        <x:v>configuration-bound EOW is within its thirty-six-hour validity</x:v>
      </x:c>
      <x:c r="O997" s="17" t="str">
        <x:v>Start registrar</x:v>
      </x:c>
      <x:c r="P997" s="9" t="n">
        <x:v>0</x:v>
      </x:c>
      <x:c r="Q997" s="9" t="n">
        <x:v>0</x:v>
      </x:c>
      <x:c r="R997" s="9" t="str">
        <x:v>OPEN / UNSTARTED</x:v>
      </x:c>
      <x:c r="S997" s="9" t="n">
        <x:f>COUNTIFS($A$7:$A$1446,A997)</x:f>
        <x:v>1</x:v>
      </x:c>
    </x:row>
    <x:row r="998">
      <x:c r="A998" s="9" t="str">
        <x:v>EV-AR-HC-A-C-TECH-2-B2-INT-G0-ST02</x:v>
      </x:c>
      <x:c r="B998" s="9" t="str">
        <x:v>EV-AR-HC-A-C-TECH-2-B2-INT-G0</x:v>
      </x:c>
      <x:c r="C998" s="9" t="str">
        <x:v>EOW-AR-HC-A-C-TECH-2-B2-INT-G0</x:v>
      </x:c>
      <x:c r="D998" s="9" t="str">
        <x:v>AR-HC-A-C-TECH-2-B2-INT-G0</x:v>
      </x:c>
      <x:c r="E998" s="9" t="str">
        <x:v>HC-A-C-TECH-2</x:v>
      </x:c>
      <x:c r="F998" s="9" t="str">
        <x:v>HC-A-C</x:v>
      </x:c>
      <x:c r="G998" s="9" t="str">
        <x:v>B2</x:v>
      </x:c>
      <x:c r="H998" s="9" t="str">
        <x:v>INT</x:v>
      </x:c>
      <x:c r="I998" s="9" t="n">
        <x:v>5</x:v>
      </x:c>
      <x:c r="J998" s="9" t="n">
        <x:v>1</x:v>
      </x:c>
      <x:c r="K998" s="9" t="str">
        <x:v>HC-A-C-N2</x:v>
      </x:c>
      <x:c r="L998" s="9" t="str">
        <x:v>ST02</x:v>
      </x:c>
      <x:c r="M998" s="17" t="str">
        <x:v>Frozen identity</x:v>
      </x:c>
      <x:c r="N998" s="17" t="str">
        <x:v>serial, generation, fixture, site, receiver and digest match the warrant</x:v>
      </x:c>
      <x:c r="O998" s="17" t="str">
        <x:v>Custody authority</x:v>
      </x:c>
      <x:c r="P998" s="9" t="n">
        <x:v>0</x:v>
      </x:c>
      <x:c r="Q998" s="9" t="n">
        <x:v>0</x:v>
      </x:c>
      <x:c r="R998" s="9" t="str">
        <x:v>OPEN / UNSTARTED</x:v>
      </x:c>
      <x:c r="S998" s="9" t="n">
        <x:f>COUNTIFS($A$7:$A$1446,A998)</x:f>
        <x:v>1</x:v>
      </x:c>
    </x:row>
    <x:row r="999">
      <x:c r="A999" s="9" t="str">
        <x:v>EV-AR-HC-A-C-TECH-2-B2-INT-G0-ST03</x:v>
      </x:c>
      <x:c r="B999" s="9" t="str">
        <x:v>EV-AR-HC-A-C-TECH-2-B2-INT-G0</x:v>
      </x:c>
      <x:c r="C999" s="9" t="str">
        <x:v>EOW-AR-HC-A-C-TECH-2-B2-INT-G0</x:v>
      </x:c>
      <x:c r="D999" s="9" t="str">
        <x:v>AR-HC-A-C-TECH-2-B2-INT-G0</x:v>
      </x:c>
      <x:c r="E999" s="9" t="str">
        <x:v>HC-A-C-TECH-2</x:v>
      </x:c>
      <x:c r="F999" s="9" t="str">
        <x:v>HC-A-C</x:v>
      </x:c>
      <x:c r="G999" s="9" t="str">
        <x:v>B2</x:v>
      </x:c>
      <x:c r="H999" s="9" t="str">
        <x:v>INT</x:v>
      </x:c>
      <x:c r="I999" s="9" t="n">
        <x:v>5</x:v>
      </x:c>
      <x:c r="J999" s="9" t="n">
        <x:v>1</x:v>
      </x:c>
      <x:c r="K999" s="9" t="str">
        <x:v>HC-A-C-N2</x:v>
      </x:c>
      <x:c r="L999" s="9" t="str">
        <x:v>ST03</x:v>
      </x:c>
      <x:c r="M999" s="17" t="str">
        <x:v>Receiver receipt</x:v>
      </x:c>
      <x:c r="N999" s="17" t="str">
        <x:v>denominator, counterfactual, rights and stop receipt remain unchanged</x:v>
      </x:c>
      <x:c r="O999" s="17" t="str">
        <x:v>Receiver authority</x:v>
      </x:c>
      <x:c r="P999" s="9" t="n">
        <x:v>0</x:v>
      </x:c>
      <x:c r="Q999" s="9" t="n">
        <x:v>0</x:v>
      </x:c>
      <x:c r="R999" s="9" t="str">
        <x:v>OPEN / UNSTARTED</x:v>
      </x:c>
      <x:c r="S999" s="9" t="n">
        <x:f>COUNTIFS($A$7:$A$1446,A999)</x:f>
        <x:v>1</x:v>
      </x:c>
    </x:row>
    <x:row r="1000">
      <x:c r="A1000" s="9" t="str">
        <x:v>EV-AR-HC-A-C-TECH-2-B2-INT-G0-ST04</x:v>
      </x:c>
      <x:c r="B1000" s="9" t="str">
        <x:v>EV-AR-HC-A-C-TECH-2-B2-INT-G0</x:v>
      </x:c>
      <x:c r="C1000" s="9" t="str">
        <x:v>EOW-AR-HC-A-C-TECH-2-B2-INT-G0</x:v>
      </x:c>
      <x:c r="D1000" s="9" t="str">
        <x:v>AR-HC-A-C-TECH-2-B2-INT-G0</x:v>
      </x:c>
      <x:c r="E1000" s="9" t="str">
        <x:v>HC-A-C-TECH-2</x:v>
      </x:c>
      <x:c r="F1000" s="9" t="str">
        <x:v>HC-A-C</x:v>
      </x:c>
      <x:c r="G1000" s="9" t="str">
        <x:v>B2</x:v>
      </x:c>
      <x:c r="H1000" s="9" t="str">
        <x:v>INT</x:v>
      </x:c>
      <x:c r="I1000" s="9" t="n">
        <x:v>5</x:v>
      </x:c>
      <x:c r="J1000" s="9" t="n">
        <x:v>1</x:v>
      </x:c>
      <x:c r="K1000" s="9" t="str">
        <x:v>HC-A-C-N2</x:v>
      </x:c>
      <x:c r="L1000" s="9" t="str">
        <x:v>ST04</x:v>
      </x:c>
      <x:c r="M1000" s="17" t="str">
        <x:v>Primary capture armed</x:v>
      </x:c>
      <x:c r="N1000" s="17" t="str">
        <x:v>primary chain records sealed reference and live time</x:v>
      </x:c>
      <x:c r="O1000" s="17" t="str">
        <x:v>Primary metrology</x:v>
      </x:c>
      <x:c r="P1000" s="9" t="n">
        <x:v>0</x:v>
      </x:c>
      <x:c r="Q1000" s="9" t="n">
        <x:v>0</x:v>
      </x:c>
      <x:c r="R1000" s="9" t="str">
        <x:v>OPEN / UNSTARTED</x:v>
      </x:c>
      <x:c r="S1000" s="9" t="n">
        <x:f>COUNTIFS($A$7:$A$1446,A1000)</x:f>
        <x:v>1</x:v>
      </x:c>
    </x:row>
    <x:row r="1001">
      <x:c r="A1001" s="9" t="str">
        <x:v>EV-AR-HC-A-C-TECH-2-B2-INT-G0-ST05</x:v>
      </x:c>
      <x:c r="B1001" s="9" t="str">
        <x:v>EV-AR-HC-A-C-TECH-2-B2-INT-G0</x:v>
      </x:c>
      <x:c r="C1001" s="9" t="str">
        <x:v>EOW-AR-HC-A-C-TECH-2-B2-INT-G0</x:v>
      </x:c>
      <x:c r="D1001" s="9" t="str">
        <x:v>AR-HC-A-C-TECH-2-B2-INT-G0</x:v>
      </x:c>
      <x:c r="E1001" s="9" t="str">
        <x:v>HC-A-C-TECH-2</x:v>
      </x:c>
      <x:c r="F1001" s="9" t="str">
        <x:v>HC-A-C</x:v>
      </x:c>
      <x:c r="G1001" s="9" t="str">
        <x:v>B2</x:v>
      </x:c>
      <x:c r="H1001" s="9" t="str">
        <x:v>INT</x:v>
      </x:c>
      <x:c r="I1001" s="9" t="n">
        <x:v>5</x:v>
      </x:c>
      <x:c r="J1001" s="9" t="n">
        <x:v>1</x:v>
      </x:c>
      <x:c r="K1001" s="9" t="str">
        <x:v>HC-A-C-N2</x:v>
      </x:c>
      <x:c r="L1001" s="9" t="str">
        <x:v>ST05</x:v>
      </x:c>
      <x:c r="M1001" s="17" t="str">
        <x:v>Witness capture armed</x:v>
      </x:c>
      <x:c r="N1001" s="17" t="str">
        <x:v>unlike witness records independent reference and live time</x:v>
      </x:c>
      <x:c r="O1001" s="17" t="str">
        <x:v>Witness metrology</x:v>
      </x:c>
      <x:c r="P1001" s="9" t="n">
        <x:v>0</x:v>
      </x:c>
      <x:c r="Q1001" s="9" t="n">
        <x:v>0</x:v>
      </x:c>
      <x:c r="R1001" s="9" t="str">
        <x:v>OPEN / UNSTARTED</x:v>
      </x:c>
      <x:c r="S1001" s="9" t="n">
        <x:f>COUNTIFS($A$7:$A$1446,A1001)</x:f>
        <x:v>1</x:v>
      </x:c>
    </x:row>
    <x:row r="1002">
      <x:c r="A1002" s="9" t="str">
        <x:v>EV-AR-HC-A-C-TECH-2-B2-INT-G0-ST06</x:v>
      </x:c>
      <x:c r="B1002" s="9" t="str">
        <x:v>EV-AR-HC-A-C-TECH-2-B2-INT-G0</x:v>
      </x:c>
      <x:c r="C1002" s="9" t="str">
        <x:v>EOW-AR-HC-A-C-TECH-2-B2-INT-G0</x:v>
      </x:c>
      <x:c r="D1002" s="9" t="str">
        <x:v>AR-HC-A-C-TECH-2-B2-INT-G0</x:v>
      </x:c>
      <x:c r="E1002" s="9" t="str">
        <x:v>HC-A-C-TECH-2</x:v>
      </x:c>
      <x:c r="F1002" s="9" t="str">
        <x:v>HC-A-C</x:v>
      </x:c>
      <x:c r="G1002" s="9" t="str">
        <x:v>B2</x:v>
      </x:c>
      <x:c r="H1002" s="9" t="str">
        <x:v>INT</x:v>
      </x:c>
      <x:c r="I1002" s="9" t="n">
        <x:v>5</x:v>
      </x:c>
      <x:c r="J1002" s="9" t="n">
        <x:v>1</x:v>
      </x:c>
      <x:c r="K1002" s="9" t="str">
        <x:v>HC-A-C-N2</x:v>
      </x:c>
      <x:c r="L1002" s="9" t="str">
        <x:v>ST06</x:v>
      </x:c>
      <x:c r="M1002" s="17" t="str">
        <x:v>Public custody armed</x:v>
      </x:c>
      <x:c r="N1002" s="17" t="str">
        <x:v>eight raw origins have separated hash and replica routes</x:v>
      </x:c>
      <x:c r="O1002" s="17" t="str">
        <x:v>Custody authority</x:v>
      </x:c>
      <x:c r="P1002" s="9" t="n">
        <x:v>0</x:v>
      </x:c>
      <x:c r="Q1002" s="9" t="n">
        <x:v>0</x:v>
      </x:c>
      <x:c r="R1002" s="9" t="str">
        <x:v>OPEN / UNSTARTED</x:v>
      </x:c>
      <x:c r="S1002" s="9" t="n">
        <x:f>COUNTIFS($A$7:$A$1446,A1002)</x:f>
        <x:v>1</x:v>
      </x:c>
    </x:row>
    <x:row r="1003">
      <x:c r="A1003" s="9" t="str">
        <x:v>EV-AR-HC-A-C-TECH-2-B2-INT-G0-ST07</x:v>
      </x:c>
      <x:c r="B1003" s="9" t="str">
        <x:v>EV-AR-HC-A-C-TECH-2-B2-INT-G0</x:v>
      </x:c>
      <x:c r="C1003" s="9" t="str">
        <x:v>EOW-AR-HC-A-C-TECH-2-B2-INT-G0</x:v>
      </x:c>
      <x:c r="D1003" s="9" t="str">
        <x:v>AR-HC-A-C-TECH-2-B2-INT-G0</x:v>
      </x:c>
      <x:c r="E1003" s="9" t="str">
        <x:v>HC-A-C-TECH-2</x:v>
      </x:c>
      <x:c r="F1003" s="9" t="str">
        <x:v>HC-A-C</x:v>
      </x:c>
      <x:c r="G1003" s="9" t="str">
        <x:v>B2</x:v>
      </x:c>
      <x:c r="H1003" s="9" t="str">
        <x:v>INT</x:v>
      </x:c>
      <x:c r="I1003" s="9" t="n">
        <x:v>5</x:v>
      </x:c>
      <x:c r="J1003" s="9" t="n">
        <x:v>1</x:v>
      </x:c>
      <x:c r="K1003" s="9" t="str">
        <x:v>HC-A-C-N2</x:v>
      </x:c>
      <x:c r="L1003" s="9" t="str">
        <x:v>ST07</x:v>
      </x:c>
      <x:c r="M1003" s="17" t="str">
        <x:v>Environmental baseline</x:v>
      </x:c>
      <x:c r="N1003" s="17" t="str">
        <x:v>pre-event boundary state is sealed before decisive operation</x:v>
      </x:c>
      <x:c r="O1003" s="17" t="str">
        <x:v>Site metrology</x:v>
      </x:c>
      <x:c r="P1003" s="9" t="n">
        <x:v>0</x:v>
      </x:c>
      <x:c r="Q1003" s="9" t="n">
        <x:v>0</x:v>
      </x:c>
      <x:c r="R1003" s="9" t="str">
        <x:v>OPEN / UNSTARTED</x:v>
      </x:c>
      <x:c r="S1003" s="9" t="n">
        <x:f>COUNTIFS($A$7:$A$1446,A1003)</x:f>
        <x:v>1</x:v>
      </x:c>
    </x:row>
    <x:row r="1004">
      <x:c r="A1004" s="9" t="str">
        <x:v>EV-AR-HC-A-C-TECH-2-B2-INT-G0-ST08</x:v>
      </x:c>
      <x:c r="B1004" s="9" t="str">
        <x:v>EV-AR-HC-A-C-TECH-2-B2-INT-G0</x:v>
      </x:c>
      <x:c r="C1004" s="9" t="str">
        <x:v>EOW-AR-HC-A-C-TECH-2-B2-INT-G0</x:v>
      </x:c>
      <x:c r="D1004" s="9" t="str">
        <x:v>AR-HC-A-C-TECH-2-B2-INT-G0</x:v>
      </x:c>
      <x:c r="E1004" s="9" t="str">
        <x:v>HC-A-C-TECH-2</x:v>
      </x:c>
      <x:c r="F1004" s="9" t="str">
        <x:v>HC-A-C</x:v>
      </x:c>
      <x:c r="G1004" s="9" t="str">
        <x:v>B2</x:v>
      </x:c>
      <x:c r="H1004" s="9" t="str">
        <x:v>INT</x:v>
      </x:c>
      <x:c r="I1004" s="9" t="n">
        <x:v>5</x:v>
      </x:c>
      <x:c r="J1004" s="9" t="n">
        <x:v>1</x:v>
      </x:c>
      <x:c r="K1004" s="9" t="str">
        <x:v>HC-A-C-N2</x:v>
      </x:c>
      <x:c r="L1004" s="9" t="str">
        <x:v>ST08</x:v>
      </x:c>
      <x:c r="M1004" s="17" t="str">
        <x:v>Manual stop and safety</x:v>
      </x:c>
      <x:c r="N1004" s="17" t="str">
        <x:v>local stop, evacuation and protection routes are active</x:v>
      </x:c>
      <x:c r="O1004" s="17" t="str">
        <x:v>Safety authority</x:v>
      </x:c>
      <x:c r="P1004" s="9" t="n">
        <x:v>0</x:v>
      </x:c>
      <x:c r="Q1004" s="9" t="n">
        <x:v>0</x:v>
      </x:c>
      <x:c r="R1004" s="9" t="str">
        <x:v>OPEN / UNSTARTED</x:v>
      </x:c>
      <x:c r="S1004" s="9" t="n">
        <x:f>COUNTIFS($A$7:$A$1446,A1004)</x:f>
        <x:v>1</x:v>
      </x:c>
    </x:row>
    <x:row r="1005">
      <x:c r="A1005" s="9" t="str">
        <x:v>EV-AR-HC-A-C-TECH-2-B2-INT-G0-ST09</x:v>
      </x:c>
      <x:c r="B1005" s="9" t="str">
        <x:v>EV-AR-HC-A-C-TECH-2-B2-INT-G0</x:v>
      </x:c>
      <x:c r="C1005" s="9" t="str">
        <x:v>EOW-AR-HC-A-C-TECH-2-B2-INT-G0</x:v>
      </x:c>
      <x:c r="D1005" s="9" t="str">
        <x:v>AR-HC-A-C-TECH-2-B2-INT-G0</x:v>
      </x:c>
      <x:c r="E1005" s="9" t="str">
        <x:v>HC-A-C-TECH-2</x:v>
      </x:c>
      <x:c r="F1005" s="9" t="str">
        <x:v>HC-A-C</x:v>
      </x:c>
      <x:c r="G1005" s="9" t="str">
        <x:v>B2</x:v>
      </x:c>
      <x:c r="H1005" s="9" t="str">
        <x:v>INT</x:v>
      </x:c>
      <x:c r="I1005" s="9" t="n">
        <x:v>5</x:v>
      </x:c>
      <x:c r="J1005" s="9" t="n">
        <x:v>1</x:v>
      </x:c>
      <x:c r="K1005" s="9" t="str">
        <x:v>HC-A-C-N2</x:v>
      </x:c>
      <x:c r="L1005" s="9" t="str">
        <x:v>ST09</x:v>
      </x:c>
      <x:c r="M1005" s="17" t="str">
        <x:v>Operator conflict clear</x:v>
      </x:c>
      <x:c r="N1005" s="17" t="str">
        <x:v>candidate, fixture, safety and measurement control edges remain separated</x:v>
      </x:c>
      <x:c r="O1005" s="17" t="str">
        <x:v>Conflict registrar</x:v>
      </x:c>
      <x:c r="P1005" s="9" t="n">
        <x:v>0</x:v>
      </x:c>
      <x:c r="Q1005" s="9" t="n">
        <x:v>0</x:v>
      </x:c>
      <x:c r="R1005" s="9" t="str">
        <x:v>OPEN / UNSTARTED</x:v>
      </x:c>
      <x:c r="S1005" s="9" t="n">
        <x:f>COUNTIFS($A$7:$A$1446,A1005)</x:f>
        <x:v>1</x:v>
      </x:c>
    </x:row>
    <x:row r="1006">
      <x:c r="A1006" s="9" t="str">
        <x:v>EV-AR-HC-A-C-TECH-2-B2-INT-G0-ST10</x:v>
      </x:c>
      <x:c r="B1006" s="9" t="str">
        <x:v>EV-AR-HC-A-C-TECH-2-B2-INT-G0</x:v>
      </x:c>
      <x:c r="C1006" s="9" t="str">
        <x:v>EOW-AR-HC-A-C-TECH-2-B2-INT-G0</x:v>
      </x:c>
      <x:c r="D1006" s="9" t="str">
        <x:v>AR-HC-A-C-TECH-2-B2-INT-G0</x:v>
      </x:c>
      <x:c r="E1006" s="9" t="str">
        <x:v>HC-A-C-TECH-2</x:v>
      </x:c>
      <x:c r="F1006" s="9" t="str">
        <x:v>HC-A-C</x:v>
      </x:c>
      <x:c r="G1006" s="9" t="str">
        <x:v>B2</x:v>
      </x:c>
      <x:c r="H1006" s="9" t="str">
        <x:v>INT</x:v>
      </x:c>
      <x:c r="I1006" s="9" t="n">
        <x:v>5</x:v>
      </x:c>
      <x:c r="J1006" s="9" t="n">
        <x:v>1</x:v>
      </x:c>
      <x:c r="K1006" s="9" t="str">
        <x:v>HC-A-C-N2</x:v>
      </x:c>
      <x:c r="L1006" s="9" t="str">
        <x:v>ST10</x:v>
      </x:c>
      <x:c r="M1006" s="17" t="str">
        <x:v>Window and common clock</x:v>
      </x:c>
      <x:c r="N1006" s="17" t="str">
        <x:v>epoch, window and public time origin match the issued warrant</x:v>
      </x:c>
      <x:c r="O1006" s="17" t="str">
        <x:v>Event clock authority</x:v>
      </x:c>
      <x:c r="P1006" s="9" t="n">
        <x:v>0</x:v>
      </x:c>
      <x:c r="Q1006" s="9" t="n">
        <x:v>0</x:v>
      </x:c>
      <x:c r="R1006" s="9" t="str">
        <x:v>OPEN / UNSTARTED</x:v>
      </x:c>
      <x:c r="S1006" s="9" t="n">
        <x:f>COUNTIFS($A$7:$A$1446,A1006)</x:f>
        <x:v>1</x:v>
      </x:c>
    </x:row>
    <x:row r="1007">
      <x:c r="A1007" s="9" t="str">
        <x:v>EV-AR-LF-B-A-TECH-3-B2-RCN-G0-ST01</x:v>
      </x:c>
      <x:c r="B1007" s="9" t="str">
        <x:v>EV-AR-LF-B-A-TECH-3-B2-RCN-G0</x:v>
      </x:c>
      <x:c r="C1007" s="9" t="str">
        <x:v>EOW-AR-LF-B-A-TECH-3-B2-RCN-G0</x:v>
      </x:c>
      <x:c r="D1007" s="9" t="str">
        <x:v>AR-LF-B-A-TECH-3-B2-RCN-G0</x:v>
      </x:c>
      <x:c r="E1007" s="9" t="str">
        <x:v>LF-B-A-TECH-3</x:v>
      </x:c>
      <x:c r="F1007" s="9" t="str">
        <x:v>LF-B-A</x:v>
      </x:c>
      <x:c r="G1007" s="9" t="str">
        <x:v>B2</x:v>
      </x:c>
      <x:c r="H1007" s="9" t="str">
        <x:v>RCN</x:v>
      </x:c>
      <x:c r="I1007" s="9" t="n">
        <x:v>5</x:v>
      </x:c>
      <x:c r="J1007" s="9" t="n">
        <x:v>1</x:v>
      </x:c>
      <x:c r="K1007" s="9" t="str">
        <x:v>LF-B-A-N1</x:v>
      </x:c>
      <x:c r="L1007" s="9" t="str">
        <x:v>ST01</x:v>
      </x:c>
      <x:c r="M1007" s="17" t="str">
        <x:v>Active opportunity warrant</x:v>
      </x:c>
      <x:c r="N1007" s="17" t="str">
        <x:v>configuration-bound EOW is within its thirty-six-hour validity</x:v>
      </x:c>
      <x:c r="O1007" s="17" t="str">
        <x:v>Start registrar</x:v>
      </x:c>
      <x:c r="P1007" s="9" t="n">
        <x:v>0</x:v>
      </x:c>
      <x:c r="Q1007" s="9" t="n">
        <x:v>0</x:v>
      </x:c>
      <x:c r="R1007" s="9" t="str">
        <x:v>OPEN / UNSTARTED</x:v>
      </x:c>
      <x:c r="S1007" s="9" t="n">
        <x:f>COUNTIFS($A$7:$A$1446,A1007)</x:f>
        <x:v>1</x:v>
      </x:c>
    </x:row>
    <x:row r="1008">
      <x:c r="A1008" s="9" t="str">
        <x:v>EV-AR-LF-B-A-TECH-3-B2-RCN-G0-ST02</x:v>
      </x:c>
      <x:c r="B1008" s="9" t="str">
        <x:v>EV-AR-LF-B-A-TECH-3-B2-RCN-G0</x:v>
      </x:c>
      <x:c r="C1008" s="9" t="str">
        <x:v>EOW-AR-LF-B-A-TECH-3-B2-RCN-G0</x:v>
      </x:c>
      <x:c r="D1008" s="9" t="str">
        <x:v>AR-LF-B-A-TECH-3-B2-RCN-G0</x:v>
      </x:c>
      <x:c r="E1008" s="9" t="str">
        <x:v>LF-B-A-TECH-3</x:v>
      </x:c>
      <x:c r="F1008" s="9" t="str">
        <x:v>LF-B-A</x:v>
      </x:c>
      <x:c r="G1008" s="9" t="str">
        <x:v>B2</x:v>
      </x:c>
      <x:c r="H1008" s="9" t="str">
        <x:v>RCN</x:v>
      </x:c>
      <x:c r="I1008" s="9" t="n">
        <x:v>5</x:v>
      </x:c>
      <x:c r="J1008" s="9" t="n">
        <x:v>1</x:v>
      </x:c>
      <x:c r="K1008" s="9" t="str">
        <x:v>LF-B-A-N1</x:v>
      </x:c>
      <x:c r="L1008" s="9" t="str">
        <x:v>ST02</x:v>
      </x:c>
      <x:c r="M1008" s="17" t="str">
        <x:v>Frozen identity</x:v>
      </x:c>
      <x:c r="N1008" s="17" t="str">
        <x:v>serial, generation, fixture, site, receiver and digest match the warrant</x:v>
      </x:c>
      <x:c r="O1008" s="17" t="str">
        <x:v>Custody authority</x:v>
      </x:c>
      <x:c r="P1008" s="9" t="n">
        <x:v>0</x:v>
      </x:c>
      <x:c r="Q1008" s="9" t="n">
        <x:v>0</x:v>
      </x:c>
      <x:c r="R1008" s="9" t="str">
        <x:v>OPEN / UNSTARTED</x:v>
      </x:c>
      <x:c r="S1008" s="9" t="n">
        <x:f>COUNTIFS($A$7:$A$1446,A1008)</x:f>
        <x:v>1</x:v>
      </x:c>
    </x:row>
    <x:row r="1009">
      <x:c r="A1009" s="9" t="str">
        <x:v>EV-AR-LF-B-A-TECH-3-B2-RCN-G0-ST03</x:v>
      </x:c>
      <x:c r="B1009" s="9" t="str">
        <x:v>EV-AR-LF-B-A-TECH-3-B2-RCN-G0</x:v>
      </x:c>
      <x:c r="C1009" s="9" t="str">
        <x:v>EOW-AR-LF-B-A-TECH-3-B2-RCN-G0</x:v>
      </x:c>
      <x:c r="D1009" s="9" t="str">
        <x:v>AR-LF-B-A-TECH-3-B2-RCN-G0</x:v>
      </x:c>
      <x:c r="E1009" s="9" t="str">
        <x:v>LF-B-A-TECH-3</x:v>
      </x:c>
      <x:c r="F1009" s="9" t="str">
        <x:v>LF-B-A</x:v>
      </x:c>
      <x:c r="G1009" s="9" t="str">
        <x:v>B2</x:v>
      </x:c>
      <x:c r="H1009" s="9" t="str">
        <x:v>RCN</x:v>
      </x:c>
      <x:c r="I1009" s="9" t="n">
        <x:v>5</x:v>
      </x:c>
      <x:c r="J1009" s="9" t="n">
        <x:v>1</x:v>
      </x:c>
      <x:c r="K1009" s="9" t="str">
        <x:v>LF-B-A-N1</x:v>
      </x:c>
      <x:c r="L1009" s="9" t="str">
        <x:v>ST03</x:v>
      </x:c>
      <x:c r="M1009" s="17" t="str">
        <x:v>Receiver receipt</x:v>
      </x:c>
      <x:c r="N1009" s="17" t="str">
        <x:v>denominator, counterfactual, rights and stop receipt remain unchanged</x:v>
      </x:c>
      <x:c r="O1009" s="17" t="str">
        <x:v>Receiver authority</x:v>
      </x:c>
      <x:c r="P1009" s="9" t="n">
        <x:v>0</x:v>
      </x:c>
      <x:c r="Q1009" s="9" t="n">
        <x:v>0</x:v>
      </x:c>
      <x:c r="R1009" s="9" t="str">
        <x:v>OPEN / UNSTARTED</x:v>
      </x:c>
      <x:c r="S1009" s="9" t="n">
        <x:f>COUNTIFS($A$7:$A$1446,A1009)</x:f>
        <x:v>1</x:v>
      </x:c>
    </x:row>
    <x:row r="1010">
      <x:c r="A1010" s="9" t="str">
        <x:v>EV-AR-LF-B-A-TECH-3-B2-RCN-G0-ST04</x:v>
      </x:c>
      <x:c r="B1010" s="9" t="str">
        <x:v>EV-AR-LF-B-A-TECH-3-B2-RCN-G0</x:v>
      </x:c>
      <x:c r="C1010" s="9" t="str">
        <x:v>EOW-AR-LF-B-A-TECH-3-B2-RCN-G0</x:v>
      </x:c>
      <x:c r="D1010" s="9" t="str">
        <x:v>AR-LF-B-A-TECH-3-B2-RCN-G0</x:v>
      </x:c>
      <x:c r="E1010" s="9" t="str">
        <x:v>LF-B-A-TECH-3</x:v>
      </x:c>
      <x:c r="F1010" s="9" t="str">
        <x:v>LF-B-A</x:v>
      </x:c>
      <x:c r="G1010" s="9" t="str">
        <x:v>B2</x:v>
      </x:c>
      <x:c r="H1010" s="9" t="str">
        <x:v>RCN</x:v>
      </x:c>
      <x:c r="I1010" s="9" t="n">
        <x:v>5</x:v>
      </x:c>
      <x:c r="J1010" s="9" t="n">
        <x:v>1</x:v>
      </x:c>
      <x:c r="K1010" s="9" t="str">
        <x:v>LF-B-A-N1</x:v>
      </x:c>
      <x:c r="L1010" s="9" t="str">
        <x:v>ST04</x:v>
      </x:c>
      <x:c r="M1010" s="17" t="str">
        <x:v>Primary capture armed</x:v>
      </x:c>
      <x:c r="N1010" s="17" t="str">
        <x:v>primary chain records sealed reference and live time</x:v>
      </x:c>
      <x:c r="O1010" s="17" t="str">
        <x:v>Primary metrology</x:v>
      </x:c>
      <x:c r="P1010" s="9" t="n">
        <x:v>0</x:v>
      </x:c>
      <x:c r="Q1010" s="9" t="n">
        <x:v>0</x:v>
      </x:c>
      <x:c r="R1010" s="9" t="str">
        <x:v>OPEN / UNSTARTED</x:v>
      </x:c>
      <x:c r="S1010" s="9" t="n">
        <x:f>COUNTIFS($A$7:$A$1446,A1010)</x:f>
        <x:v>1</x:v>
      </x:c>
    </x:row>
    <x:row r="1011">
      <x:c r="A1011" s="9" t="str">
        <x:v>EV-AR-LF-B-A-TECH-3-B2-RCN-G0-ST05</x:v>
      </x:c>
      <x:c r="B1011" s="9" t="str">
        <x:v>EV-AR-LF-B-A-TECH-3-B2-RCN-G0</x:v>
      </x:c>
      <x:c r="C1011" s="9" t="str">
        <x:v>EOW-AR-LF-B-A-TECH-3-B2-RCN-G0</x:v>
      </x:c>
      <x:c r="D1011" s="9" t="str">
        <x:v>AR-LF-B-A-TECH-3-B2-RCN-G0</x:v>
      </x:c>
      <x:c r="E1011" s="9" t="str">
        <x:v>LF-B-A-TECH-3</x:v>
      </x:c>
      <x:c r="F1011" s="9" t="str">
        <x:v>LF-B-A</x:v>
      </x:c>
      <x:c r="G1011" s="9" t="str">
        <x:v>B2</x:v>
      </x:c>
      <x:c r="H1011" s="9" t="str">
        <x:v>RCN</x:v>
      </x:c>
      <x:c r="I1011" s="9" t="n">
        <x:v>5</x:v>
      </x:c>
      <x:c r="J1011" s="9" t="n">
        <x:v>1</x:v>
      </x:c>
      <x:c r="K1011" s="9" t="str">
        <x:v>LF-B-A-N1</x:v>
      </x:c>
      <x:c r="L1011" s="9" t="str">
        <x:v>ST05</x:v>
      </x:c>
      <x:c r="M1011" s="17" t="str">
        <x:v>Witness capture armed</x:v>
      </x:c>
      <x:c r="N1011" s="17" t="str">
        <x:v>unlike witness records independent reference and live time</x:v>
      </x:c>
      <x:c r="O1011" s="17" t="str">
        <x:v>Witness metrology</x:v>
      </x:c>
      <x:c r="P1011" s="9" t="n">
        <x:v>0</x:v>
      </x:c>
      <x:c r="Q1011" s="9" t="n">
        <x:v>0</x:v>
      </x:c>
      <x:c r="R1011" s="9" t="str">
        <x:v>OPEN / UNSTARTED</x:v>
      </x:c>
      <x:c r="S1011" s="9" t="n">
        <x:f>COUNTIFS($A$7:$A$1446,A1011)</x:f>
        <x:v>1</x:v>
      </x:c>
    </x:row>
    <x:row r="1012">
      <x:c r="A1012" s="9" t="str">
        <x:v>EV-AR-LF-B-A-TECH-3-B2-RCN-G0-ST06</x:v>
      </x:c>
      <x:c r="B1012" s="9" t="str">
        <x:v>EV-AR-LF-B-A-TECH-3-B2-RCN-G0</x:v>
      </x:c>
      <x:c r="C1012" s="9" t="str">
        <x:v>EOW-AR-LF-B-A-TECH-3-B2-RCN-G0</x:v>
      </x:c>
      <x:c r="D1012" s="9" t="str">
        <x:v>AR-LF-B-A-TECH-3-B2-RCN-G0</x:v>
      </x:c>
      <x:c r="E1012" s="9" t="str">
        <x:v>LF-B-A-TECH-3</x:v>
      </x:c>
      <x:c r="F1012" s="9" t="str">
        <x:v>LF-B-A</x:v>
      </x:c>
      <x:c r="G1012" s="9" t="str">
        <x:v>B2</x:v>
      </x:c>
      <x:c r="H1012" s="9" t="str">
        <x:v>RCN</x:v>
      </x:c>
      <x:c r="I1012" s="9" t="n">
        <x:v>5</x:v>
      </x:c>
      <x:c r="J1012" s="9" t="n">
        <x:v>1</x:v>
      </x:c>
      <x:c r="K1012" s="9" t="str">
        <x:v>LF-B-A-N1</x:v>
      </x:c>
      <x:c r="L1012" s="9" t="str">
        <x:v>ST06</x:v>
      </x:c>
      <x:c r="M1012" s="17" t="str">
        <x:v>Public custody armed</x:v>
      </x:c>
      <x:c r="N1012" s="17" t="str">
        <x:v>eight raw origins have separated hash and replica routes</x:v>
      </x:c>
      <x:c r="O1012" s="17" t="str">
        <x:v>Custody authority</x:v>
      </x:c>
      <x:c r="P1012" s="9" t="n">
        <x:v>0</x:v>
      </x:c>
      <x:c r="Q1012" s="9" t="n">
        <x:v>0</x:v>
      </x:c>
      <x:c r="R1012" s="9" t="str">
        <x:v>OPEN / UNSTARTED</x:v>
      </x:c>
      <x:c r="S1012" s="9" t="n">
        <x:f>COUNTIFS($A$7:$A$1446,A1012)</x:f>
        <x:v>1</x:v>
      </x:c>
    </x:row>
    <x:row r="1013">
      <x:c r="A1013" s="9" t="str">
        <x:v>EV-AR-LF-B-A-TECH-3-B2-RCN-G0-ST07</x:v>
      </x:c>
      <x:c r="B1013" s="9" t="str">
        <x:v>EV-AR-LF-B-A-TECH-3-B2-RCN-G0</x:v>
      </x:c>
      <x:c r="C1013" s="9" t="str">
        <x:v>EOW-AR-LF-B-A-TECH-3-B2-RCN-G0</x:v>
      </x:c>
      <x:c r="D1013" s="9" t="str">
        <x:v>AR-LF-B-A-TECH-3-B2-RCN-G0</x:v>
      </x:c>
      <x:c r="E1013" s="9" t="str">
        <x:v>LF-B-A-TECH-3</x:v>
      </x:c>
      <x:c r="F1013" s="9" t="str">
        <x:v>LF-B-A</x:v>
      </x:c>
      <x:c r="G1013" s="9" t="str">
        <x:v>B2</x:v>
      </x:c>
      <x:c r="H1013" s="9" t="str">
        <x:v>RCN</x:v>
      </x:c>
      <x:c r="I1013" s="9" t="n">
        <x:v>5</x:v>
      </x:c>
      <x:c r="J1013" s="9" t="n">
        <x:v>1</x:v>
      </x:c>
      <x:c r="K1013" s="9" t="str">
        <x:v>LF-B-A-N1</x:v>
      </x:c>
      <x:c r="L1013" s="9" t="str">
        <x:v>ST07</x:v>
      </x:c>
      <x:c r="M1013" s="17" t="str">
        <x:v>Environmental baseline</x:v>
      </x:c>
      <x:c r="N1013" s="17" t="str">
        <x:v>pre-event boundary state is sealed before decisive operation</x:v>
      </x:c>
      <x:c r="O1013" s="17" t="str">
        <x:v>Site metrology</x:v>
      </x:c>
      <x:c r="P1013" s="9" t="n">
        <x:v>0</x:v>
      </x:c>
      <x:c r="Q1013" s="9" t="n">
        <x:v>0</x:v>
      </x:c>
      <x:c r="R1013" s="9" t="str">
        <x:v>OPEN / UNSTARTED</x:v>
      </x:c>
      <x:c r="S1013" s="9" t="n">
        <x:f>COUNTIFS($A$7:$A$1446,A1013)</x:f>
        <x:v>1</x:v>
      </x:c>
    </x:row>
    <x:row r="1014">
      <x:c r="A1014" s="9" t="str">
        <x:v>EV-AR-LF-B-A-TECH-3-B2-RCN-G0-ST08</x:v>
      </x:c>
      <x:c r="B1014" s="9" t="str">
        <x:v>EV-AR-LF-B-A-TECH-3-B2-RCN-G0</x:v>
      </x:c>
      <x:c r="C1014" s="9" t="str">
        <x:v>EOW-AR-LF-B-A-TECH-3-B2-RCN-G0</x:v>
      </x:c>
      <x:c r="D1014" s="9" t="str">
        <x:v>AR-LF-B-A-TECH-3-B2-RCN-G0</x:v>
      </x:c>
      <x:c r="E1014" s="9" t="str">
        <x:v>LF-B-A-TECH-3</x:v>
      </x:c>
      <x:c r="F1014" s="9" t="str">
        <x:v>LF-B-A</x:v>
      </x:c>
      <x:c r="G1014" s="9" t="str">
        <x:v>B2</x:v>
      </x:c>
      <x:c r="H1014" s="9" t="str">
        <x:v>RCN</x:v>
      </x:c>
      <x:c r="I1014" s="9" t="n">
        <x:v>5</x:v>
      </x:c>
      <x:c r="J1014" s="9" t="n">
        <x:v>1</x:v>
      </x:c>
      <x:c r="K1014" s="9" t="str">
        <x:v>LF-B-A-N1</x:v>
      </x:c>
      <x:c r="L1014" s="9" t="str">
        <x:v>ST08</x:v>
      </x:c>
      <x:c r="M1014" s="17" t="str">
        <x:v>Manual stop and safety</x:v>
      </x:c>
      <x:c r="N1014" s="17" t="str">
        <x:v>local stop, evacuation and protection routes are active</x:v>
      </x:c>
      <x:c r="O1014" s="17" t="str">
        <x:v>Safety authority</x:v>
      </x:c>
      <x:c r="P1014" s="9" t="n">
        <x:v>0</x:v>
      </x:c>
      <x:c r="Q1014" s="9" t="n">
        <x:v>0</x:v>
      </x:c>
      <x:c r="R1014" s="9" t="str">
        <x:v>OPEN / UNSTARTED</x:v>
      </x:c>
      <x:c r="S1014" s="9" t="n">
        <x:f>COUNTIFS($A$7:$A$1446,A1014)</x:f>
        <x:v>1</x:v>
      </x:c>
    </x:row>
    <x:row r="1015">
      <x:c r="A1015" s="9" t="str">
        <x:v>EV-AR-LF-B-A-TECH-3-B2-RCN-G0-ST09</x:v>
      </x:c>
      <x:c r="B1015" s="9" t="str">
        <x:v>EV-AR-LF-B-A-TECH-3-B2-RCN-G0</x:v>
      </x:c>
      <x:c r="C1015" s="9" t="str">
        <x:v>EOW-AR-LF-B-A-TECH-3-B2-RCN-G0</x:v>
      </x:c>
      <x:c r="D1015" s="9" t="str">
        <x:v>AR-LF-B-A-TECH-3-B2-RCN-G0</x:v>
      </x:c>
      <x:c r="E1015" s="9" t="str">
        <x:v>LF-B-A-TECH-3</x:v>
      </x:c>
      <x:c r="F1015" s="9" t="str">
        <x:v>LF-B-A</x:v>
      </x:c>
      <x:c r="G1015" s="9" t="str">
        <x:v>B2</x:v>
      </x:c>
      <x:c r="H1015" s="9" t="str">
        <x:v>RCN</x:v>
      </x:c>
      <x:c r="I1015" s="9" t="n">
        <x:v>5</x:v>
      </x:c>
      <x:c r="J1015" s="9" t="n">
        <x:v>1</x:v>
      </x:c>
      <x:c r="K1015" s="9" t="str">
        <x:v>LF-B-A-N1</x:v>
      </x:c>
      <x:c r="L1015" s="9" t="str">
        <x:v>ST09</x:v>
      </x:c>
      <x:c r="M1015" s="17" t="str">
        <x:v>Operator conflict clear</x:v>
      </x:c>
      <x:c r="N1015" s="17" t="str">
        <x:v>candidate, fixture, safety and measurement control edges remain separated</x:v>
      </x:c>
      <x:c r="O1015" s="17" t="str">
        <x:v>Conflict registrar</x:v>
      </x:c>
      <x:c r="P1015" s="9" t="n">
        <x:v>0</x:v>
      </x:c>
      <x:c r="Q1015" s="9" t="n">
        <x:v>0</x:v>
      </x:c>
      <x:c r="R1015" s="9" t="str">
        <x:v>OPEN / UNSTARTED</x:v>
      </x:c>
      <x:c r="S1015" s="9" t="n">
        <x:f>COUNTIFS($A$7:$A$1446,A1015)</x:f>
        <x:v>1</x:v>
      </x:c>
    </x:row>
    <x:row r="1016">
      <x:c r="A1016" s="9" t="str">
        <x:v>EV-AR-LF-B-A-TECH-3-B2-RCN-G0-ST10</x:v>
      </x:c>
      <x:c r="B1016" s="9" t="str">
        <x:v>EV-AR-LF-B-A-TECH-3-B2-RCN-G0</x:v>
      </x:c>
      <x:c r="C1016" s="9" t="str">
        <x:v>EOW-AR-LF-B-A-TECH-3-B2-RCN-G0</x:v>
      </x:c>
      <x:c r="D1016" s="9" t="str">
        <x:v>AR-LF-B-A-TECH-3-B2-RCN-G0</x:v>
      </x:c>
      <x:c r="E1016" s="9" t="str">
        <x:v>LF-B-A-TECH-3</x:v>
      </x:c>
      <x:c r="F1016" s="9" t="str">
        <x:v>LF-B-A</x:v>
      </x:c>
      <x:c r="G1016" s="9" t="str">
        <x:v>B2</x:v>
      </x:c>
      <x:c r="H1016" s="9" t="str">
        <x:v>RCN</x:v>
      </x:c>
      <x:c r="I1016" s="9" t="n">
        <x:v>5</x:v>
      </x:c>
      <x:c r="J1016" s="9" t="n">
        <x:v>1</x:v>
      </x:c>
      <x:c r="K1016" s="9" t="str">
        <x:v>LF-B-A-N1</x:v>
      </x:c>
      <x:c r="L1016" s="9" t="str">
        <x:v>ST10</x:v>
      </x:c>
      <x:c r="M1016" s="17" t="str">
        <x:v>Window and common clock</x:v>
      </x:c>
      <x:c r="N1016" s="17" t="str">
        <x:v>epoch, window and public time origin match the issued warrant</x:v>
      </x:c>
      <x:c r="O1016" s="17" t="str">
        <x:v>Event clock authority</x:v>
      </x:c>
      <x:c r="P1016" s="9" t="n">
        <x:v>0</x:v>
      </x:c>
      <x:c r="Q1016" s="9" t="n">
        <x:v>0</x:v>
      </x:c>
      <x:c r="R1016" s="9" t="str">
        <x:v>OPEN / UNSTARTED</x:v>
      </x:c>
      <x:c r="S1016" s="9" t="n">
        <x:f>COUNTIFS($A$7:$A$1446,A1016)</x:f>
        <x:v>1</x:v>
      </x:c>
    </x:row>
    <x:row r="1017">
      <x:c r="A1017" s="9" t="str">
        <x:v>EV-AR-LF-B-A-TECH-4-B1-RCN-G0-ST01</x:v>
      </x:c>
      <x:c r="B1017" s="9" t="str">
        <x:v>EV-AR-LF-B-A-TECH-4-B1-RCN-G0</x:v>
      </x:c>
      <x:c r="C1017" s="9" t="str">
        <x:v>EOW-AR-LF-B-A-TECH-4-B1-RCN-G0</x:v>
      </x:c>
      <x:c r="D1017" s="9" t="str">
        <x:v>AR-LF-B-A-TECH-4-B1-RCN-G0</x:v>
      </x:c>
      <x:c r="E1017" s="9" t="str">
        <x:v>LF-B-A-TECH-4</x:v>
      </x:c>
      <x:c r="F1017" s="9" t="str">
        <x:v>LF-B-A</x:v>
      </x:c>
      <x:c r="G1017" s="9" t="str">
        <x:v>B1</x:v>
      </x:c>
      <x:c r="H1017" s="9" t="str">
        <x:v>RCN</x:v>
      </x:c>
      <x:c r="I1017" s="9" t="n">
        <x:v>5</x:v>
      </x:c>
      <x:c r="J1017" s="9" t="n">
        <x:v>1</x:v>
      </x:c>
      <x:c r="K1017" s="9" t="str">
        <x:v>LF-B-A-N2</x:v>
      </x:c>
      <x:c r="L1017" s="9" t="str">
        <x:v>ST01</x:v>
      </x:c>
      <x:c r="M1017" s="17" t="str">
        <x:v>Active opportunity warrant</x:v>
      </x:c>
      <x:c r="N1017" s="17" t="str">
        <x:v>configuration-bound EOW is within its thirty-six-hour validity</x:v>
      </x:c>
      <x:c r="O1017" s="17" t="str">
        <x:v>Start registrar</x:v>
      </x:c>
      <x:c r="P1017" s="9" t="n">
        <x:v>0</x:v>
      </x:c>
      <x:c r="Q1017" s="9" t="n">
        <x:v>0</x:v>
      </x:c>
      <x:c r="R1017" s="9" t="str">
        <x:v>OPEN / UNSTARTED</x:v>
      </x:c>
      <x:c r="S1017" s="9" t="n">
        <x:f>COUNTIFS($A$7:$A$1446,A1017)</x:f>
        <x:v>1</x:v>
      </x:c>
    </x:row>
    <x:row r="1018">
      <x:c r="A1018" s="9" t="str">
        <x:v>EV-AR-LF-B-A-TECH-4-B1-RCN-G0-ST02</x:v>
      </x:c>
      <x:c r="B1018" s="9" t="str">
        <x:v>EV-AR-LF-B-A-TECH-4-B1-RCN-G0</x:v>
      </x:c>
      <x:c r="C1018" s="9" t="str">
        <x:v>EOW-AR-LF-B-A-TECH-4-B1-RCN-G0</x:v>
      </x:c>
      <x:c r="D1018" s="9" t="str">
        <x:v>AR-LF-B-A-TECH-4-B1-RCN-G0</x:v>
      </x:c>
      <x:c r="E1018" s="9" t="str">
        <x:v>LF-B-A-TECH-4</x:v>
      </x:c>
      <x:c r="F1018" s="9" t="str">
        <x:v>LF-B-A</x:v>
      </x:c>
      <x:c r="G1018" s="9" t="str">
        <x:v>B1</x:v>
      </x:c>
      <x:c r="H1018" s="9" t="str">
        <x:v>RCN</x:v>
      </x:c>
      <x:c r="I1018" s="9" t="n">
        <x:v>5</x:v>
      </x:c>
      <x:c r="J1018" s="9" t="n">
        <x:v>1</x:v>
      </x:c>
      <x:c r="K1018" s="9" t="str">
        <x:v>LF-B-A-N2</x:v>
      </x:c>
      <x:c r="L1018" s="9" t="str">
        <x:v>ST02</x:v>
      </x:c>
      <x:c r="M1018" s="17" t="str">
        <x:v>Frozen identity</x:v>
      </x:c>
      <x:c r="N1018" s="17" t="str">
        <x:v>serial, generation, fixture, site, receiver and digest match the warrant</x:v>
      </x:c>
      <x:c r="O1018" s="17" t="str">
        <x:v>Custody authority</x:v>
      </x:c>
      <x:c r="P1018" s="9" t="n">
        <x:v>0</x:v>
      </x:c>
      <x:c r="Q1018" s="9" t="n">
        <x:v>0</x:v>
      </x:c>
      <x:c r="R1018" s="9" t="str">
        <x:v>OPEN / UNSTARTED</x:v>
      </x:c>
      <x:c r="S1018" s="9" t="n">
        <x:f>COUNTIFS($A$7:$A$1446,A1018)</x:f>
        <x:v>1</x:v>
      </x:c>
    </x:row>
    <x:row r="1019">
      <x:c r="A1019" s="9" t="str">
        <x:v>EV-AR-LF-B-A-TECH-4-B1-RCN-G0-ST03</x:v>
      </x:c>
      <x:c r="B1019" s="9" t="str">
        <x:v>EV-AR-LF-B-A-TECH-4-B1-RCN-G0</x:v>
      </x:c>
      <x:c r="C1019" s="9" t="str">
        <x:v>EOW-AR-LF-B-A-TECH-4-B1-RCN-G0</x:v>
      </x:c>
      <x:c r="D1019" s="9" t="str">
        <x:v>AR-LF-B-A-TECH-4-B1-RCN-G0</x:v>
      </x:c>
      <x:c r="E1019" s="9" t="str">
        <x:v>LF-B-A-TECH-4</x:v>
      </x:c>
      <x:c r="F1019" s="9" t="str">
        <x:v>LF-B-A</x:v>
      </x:c>
      <x:c r="G1019" s="9" t="str">
        <x:v>B1</x:v>
      </x:c>
      <x:c r="H1019" s="9" t="str">
        <x:v>RCN</x:v>
      </x:c>
      <x:c r="I1019" s="9" t="n">
        <x:v>5</x:v>
      </x:c>
      <x:c r="J1019" s="9" t="n">
        <x:v>1</x:v>
      </x:c>
      <x:c r="K1019" s="9" t="str">
        <x:v>LF-B-A-N2</x:v>
      </x:c>
      <x:c r="L1019" s="9" t="str">
        <x:v>ST03</x:v>
      </x:c>
      <x:c r="M1019" s="17" t="str">
        <x:v>Receiver receipt</x:v>
      </x:c>
      <x:c r="N1019" s="17" t="str">
        <x:v>denominator, counterfactual, rights and stop receipt remain unchanged</x:v>
      </x:c>
      <x:c r="O1019" s="17" t="str">
        <x:v>Receiver authority</x:v>
      </x:c>
      <x:c r="P1019" s="9" t="n">
        <x:v>0</x:v>
      </x:c>
      <x:c r="Q1019" s="9" t="n">
        <x:v>0</x:v>
      </x:c>
      <x:c r="R1019" s="9" t="str">
        <x:v>OPEN / UNSTARTED</x:v>
      </x:c>
      <x:c r="S1019" s="9" t="n">
        <x:f>COUNTIFS($A$7:$A$1446,A1019)</x:f>
        <x:v>1</x:v>
      </x:c>
    </x:row>
    <x:row r="1020">
      <x:c r="A1020" s="9" t="str">
        <x:v>EV-AR-LF-B-A-TECH-4-B1-RCN-G0-ST04</x:v>
      </x:c>
      <x:c r="B1020" s="9" t="str">
        <x:v>EV-AR-LF-B-A-TECH-4-B1-RCN-G0</x:v>
      </x:c>
      <x:c r="C1020" s="9" t="str">
        <x:v>EOW-AR-LF-B-A-TECH-4-B1-RCN-G0</x:v>
      </x:c>
      <x:c r="D1020" s="9" t="str">
        <x:v>AR-LF-B-A-TECH-4-B1-RCN-G0</x:v>
      </x:c>
      <x:c r="E1020" s="9" t="str">
        <x:v>LF-B-A-TECH-4</x:v>
      </x:c>
      <x:c r="F1020" s="9" t="str">
        <x:v>LF-B-A</x:v>
      </x:c>
      <x:c r="G1020" s="9" t="str">
        <x:v>B1</x:v>
      </x:c>
      <x:c r="H1020" s="9" t="str">
        <x:v>RCN</x:v>
      </x:c>
      <x:c r="I1020" s="9" t="n">
        <x:v>5</x:v>
      </x:c>
      <x:c r="J1020" s="9" t="n">
        <x:v>1</x:v>
      </x:c>
      <x:c r="K1020" s="9" t="str">
        <x:v>LF-B-A-N2</x:v>
      </x:c>
      <x:c r="L1020" s="9" t="str">
        <x:v>ST04</x:v>
      </x:c>
      <x:c r="M1020" s="17" t="str">
        <x:v>Primary capture armed</x:v>
      </x:c>
      <x:c r="N1020" s="17" t="str">
        <x:v>primary chain records sealed reference and live time</x:v>
      </x:c>
      <x:c r="O1020" s="17" t="str">
        <x:v>Primary metrology</x:v>
      </x:c>
      <x:c r="P1020" s="9" t="n">
        <x:v>0</x:v>
      </x:c>
      <x:c r="Q1020" s="9" t="n">
        <x:v>0</x:v>
      </x:c>
      <x:c r="R1020" s="9" t="str">
        <x:v>OPEN / UNSTARTED</x:v>
      </x:c>
      <x:c r="S1020" s="9" t="n">
        <x:f>COUNTIFS($A$7:$A$1446,A1020)</x:f>
        <x:v>1</x:v>
      </x:c>
    </x:row>
    <x:row r="1021">
      <x:c r="A1021" s="9" t="str">
        <x:v>EV-AR-LF-B-A-TECH-4-B1-RCN-G0-ST05</x:v>
      </x:c>
      <x:c r="B1021" s="9" t="str">
        <x:v>EV-AR-LF-B-A-TECH-4-B1-RCN-G0</x:v>
      </x:c>
      <x:c r="C1021" s="9" t="str">
        <x:v>EOW-AR-LF-B-A-TECH-4-B1-RCN-G0</x:v>
      </x:c>
      <x:c r="D1021" s="9" t="str">
        <x:v>AR-LF-B-A-TECH-4-B1-RCN-G0</x:v>
      </x:c>
      <x:c r="E1021" s="9" t="str">
        <x:v>LF-B-A-TECH-4</x:v>
      </x:c>
      <x:c r="F1021" s="9" t="str">
        <x:v>LF-B-A</x:v>
      </x:c>
      <x:c r="G1021" s="9" t="str">
        <x:v>B1</x:v>
      </x:c>
      <x:c r="H1021" s="9" t="str">
        <x:v>RCN</x:v>
      </x:c>
      <x:c r="I1021" s="9" t="n">
        <x:v>5</x:v>
      </x:c>
      <x:c r="J1021" s="9" t="n">
        <x:v>1</x:v>
      </x:c>
      <x:c r="K1021" s="9" t="str">
        <x:v>LF-B-A-N2</x:v>
      </x:c>
      <x:c r="L1021" s="9" t="str">
        <x:v>ST05</x:v>
      </x:c>
      <x:c r="M1021" s="17" t="str">
        <x:v>Witness capture armed</x:v>
      </x:c>
      <x:c r="N1021" s="17" t="str">
        <x:v>unlike witness records independent reference and live time</x:v>
      </x:c>
      <x:c r="O1021" s="17" t="str">
        <x:v>Witness metrology</x:v>
      </x:c>
      <x:c r="P1021" s="9" t="n">
        <x:v>0</x:v>
      </x:c>
      <x:c r="Q1021" s="9" t="n">
        <x:v>0</x:v>
      </x:c>
      <x:c r="R1021" s="9" t="str">
        <x:v>OPEN / UNSTARTED</x:v>
      </x:c>
      <x:c r="S1021" s="9" t="n">
        <x:f>COUNTIFS($A$7:$A$1446,A1021)</x:f>
        <x:v>1</x:v>
      </x:c>
    </x:row>
    <x:row r="1022">
      <x:c r="A1022" s="9" t="str">
        <x:v>EV-AR-LF-B-A-TECH-4-B1-RCN-G0-ST06</x:v>
      </x:c>
      <x:c r="B1022" s="9" t="str">
        <x:v>EV-AR-LF-B-A-TECH-4-B1-RCN-G0</x:v>
      </x:c>
      <x:c r="C1022" s="9" t="str">
        <x:v>EOW-AR-LF-B-A-TECH-4-B1-RCN-G0</x:v>
      </x:c>
      <x:c r="D1022" s="9" t="str">
        <x:v>AR-LF-B-A-TECH-4-B1-RCN-G0</x:v>
      </x:c>
      <x:c r="E1022" s="9" t="str">
        <x:v>LF-B-A-TECH-4</x:v>
      </x:c>
      <x:c r="F1022" s="9" t="str">
        <x:v>LF-B-A</x:v>
      </x:c>
      <x:c r="G1022" s="9" t="str">
        <x:v>B1</x:v>
      </x:c>
      <x:c r="H1022" s="9" t="str">
        <x:v>RCN</x:v>
      </x:c>
      <x:c r="I1022" s="9" t="n">
        <x:v>5</x:v>
      </x:c>
      <x:c r="J1022" s="9" t="n">
        <x:v>1</x:v>
      </x:c>
      <x:c r="K1022" s="9" t="str">
        <x:v>LF-B-A-N2</x:v>
      </x:c>
      <x:c r="L1022" s="9" t="str">
        <x:v>ST06</x:v>
      </x:c>
      <x:c r="M1022" s="17" t="str">
        <x:v>Public custody armed</x:v>
      </x:c>
      <x:c r="N1022" s="17" t="str">
        <x:v>eight raw origins have separated hash and replica routes</x:v>
      </x:c>
      <x:c r="O1022" s="17" t="str">
        <x:v>Custody authority</x:v>
      </x:c>
      <x:c r="P1022" s="9" t="n">
        <x:v>0</x:v>
      </x:c>
      <x:c r="Q1022" s="9" t="n">
        <x:v>0</x:v>
      </x:c>
      <x:c r="R1022" s="9" t="str">
        <x:v>OPEN / UNSTARTED</x:v>
      </x:c>
      <x:c r="S1022" s="9" t="n">
        <x:f>COUNTIFS($A$7:$A$1446,A1022)</x:f>
        <x:v>1</x:v>
      </x:c>
    </x:row>
    <x:row r="1023">
      <x:c r="A1023" s="9" t="str">
        <x:v>EV-AR-LF-B-A-TECH-4-B1-RCN-G0-ST07</x:v>
      </x:c>
      <x:c r="B1023" s="9" t="str">
        <x:v>EV-AR-LF-B-A-TECH-4-B1-RCN-G0</x:v>
      </x:c>
      <x:c r="C1023" s="9" t="str">
        <x:v>EOW-AR-LF-B-A-TECH-4-B1-RCN-G0</x:v>
      </x:c>
      <x:c r="D1023" s="9" t="str">
        <x:v>AR-LF-B-A-TECH-4-B1-RCN-G0</x:v>
      </x:c>
      <x:c r="E1023" s="9" t="str">
        <x:v>LF-B-A-TECH-4</x:v>
      </x:c>
      <x:c r="F1023" s="9" t="str">
        <x:v>LF-B-A</x:v>
      </x:c>
      <x:c r="G1023" s="9" t="str">
        <x:v>B1</x:v>
      </x:c>
      <x:c r="H1023" s="9" t="str">
        <x:v>RCN</x:v>
      </x:c>
      <x:c r="I1023" s="9" t="n">
        <x:v>5</x:v>
      </x:c>
      <x:c r="J1023" s="9" t="n">
        <x:v>1</x:v>
      </x:c>
      <x:c r="K1023" s="9" t="str">
        <x:v>LF-B-A-N2</x:v>
      </x:c>
      <x:c r="L1023" s="9" t="str">
        <x:v>ST07</x:v>
      </x:c>
      <x:c r="M1023" s="17" t="str">
        <x:v>Environmental baseline</x:v>
      </x:c>
      <x:c r="N1023" s="17" t="str">
        <x:v>pre-event boundary state is sealed before decisive operation</x:v>
      </x:c>
      <x:c r="O1023" s="17" t="str">
        <x:v>Site metrology</x:v>
      </x:c>
      <x:c r="P1023" s="9" t="n">
        <x:v>0</x:v>
      </x:c>
      <x:c r="Q1023" s="9" t="n">
        <x:v>0</x:v>
      </x:c>
      <x:c r="R1023" s="9" t="str">
        <x:v>OPEN / UNSTARTED</x:v>
      </x:c>
      <x:c r="S1023" s="9" t="n">
        <x:f>COUNTIFS($A$7:$A$1446,A1023)</x:f>
        <x:v>1</x:v>
      </x:c>
    </x:row>
    <x:row r="1024">
      <x:c r="A1024" s="9" t="str">
        <x:v>EV-AR-LF-B-A-TECH-4-B1-RCN-G0-ST08</x:v>
      </x:c>
      <x:c r="B1024" s="9" t="str">
        <x:v>EV-AR-LF-B-A-TECH-4-B1-RCN-G0</x:v>
      </x:c>
      <x:c r="C1024" s="9" t="str">
        <x:v>EOW-AR-LF-B-A-TECH-4-B1-RCN-G0</x:v>
      </x:c>
      <x:c r="D1024" s="9" t="str">
        <x:v>AR-LF-B-A-TECH-4-B1-RCN-G0</x:v>
      </x:c>
      <x:c r="E1024" s="9" t="str">
        <x:v>LF-B-A-TECH-4</x:v>
      </x:c>
      <x:c r="F1024" s="9" t="str">
        <x:v>LF-B-A</x:v>
      </x:c>
      <x:c r="G1024" s="9" t="str">
        <x:v>B1</x:v>
      </x:c>
      <x:c r="H1024" s="9" t="str">
        <x:v>RCN</x:v>
      </x:c>
      <x:c r="I1024" s="9" t="n">
        <x:v>5</x:v>
      </x:c>
      <x:c r="J1024" s="9" t="n">
        <x:v>1</x:v>
      </x:c>
      <x:c r="K1024" s="9" t="str">
        <x:v>LF-B-A-N2</x:v>
      </x:c>
      <x:c r="L1024" s="9" t="str">
        <x:v>ST08</x:v>
      </x:c>
      <x:c r="M1024" s="17" t="str">
        <x:v>Manual stop and safety</x:v>
      </x:c>
      <x:c r="N1024" s="17" t="str">
        <x:v>local stop, evacuation and protection routes are active</x:v>
      </x:c>
      <x:c r="O1024" s="17" t="str">
        <x:v>Safety authority</x:v>
      </x:c>
      <x:c r="P1024" s="9" t="n">
        <x:v>0</x:v>
      </x:c>
      <x:c r="Q1024" s="9" t="n">
        <x:v>0</x:v>
      </x:c>
      <x:c r="R1024" s="9" t="str">
        <x:v>OPEN / UNSTARTED</x:v>
      </x:c>
      <x:c r="S1024" s="9" t="n">
        <x:f>COUNTIFS($A$7:$A$1446,A1024)</x:f>
        <x:v>1</x:v>
      </x:c>
    </x:row>
    <x:row r="1025">
      <x:c r="A1025" s="9" t="str">
        <x:v>EV-AR-LF-B-A-TECH-4-B1-RCN-G0-ST09</x:v>
      </x:c>
      <x:c r="B1025" s="9" t="str">
        <x:v>EV-AR-LF-B-A-TECH-4-B1-RCN-G0</x:v>
      </x:c>
      <x:c r="C1025" s="9" t="str">
        <x:v>EOW-AR-LF-B-A-TECH-4-B1-RCN-G0</x:v>
      </x:c>
      <x:c r="D1025" s="9" t="str">
        <x:v>AR-LF-B-A-TECH-4-B1-RCN-G0</x:v>
      </x:c>
      <x:c r="E1025" s="9" t="str">
        <x:v>LF-B-A-TECH-4</x:v>
      </x:c>
      <x:c r="F1025" s="9" t="str">
        <x:v>LF-B-A</x:v>
      </x:c>
      <x:c r="G1025" s="9" t="str">
        <x:v>B1</x:v>
      </x:c>
      <x:c r="H1025" s="9" t="str">
        <x:v>RCN</x:v>
      </x:c>
      <x:c r="I1025" s="9" t="n">
        <x:v>5</x:v>
      </x:c>
      <x:c r="J1025" s="9" t="n">
        <x:v>1</x:v>
      </x:c>
      <x:c r="K1025" s="9" t="str">
        <x:v>LF-B-A-N2</x:v>
      </x:c>
      <x:c r="L1025" s="9" t="str">
        <x:v>ST09</x:v>
      </x:c>
      <x:c r="M1025" s="17" t="str">
        <x:v>Operator conflict clear</x:v>
      </x:c>
      <x:c r="N1025" s="17" t="str">
        <x:v>candidate, fixture, safety and measurement control edges remain separated</x:v>
      </x:c>
      <x:c r="O1025" s="17" t="str">
        <x:v>Conflict registrar</x:v>
      </x:c>
      <x:c r="P1025" s="9" t="n">
        <x:v>0</x:v>
      </x:c>
      <x:c r="Q1025" s="9" t="n">
        <x:v>0</x:v>
      </x:c>
      <x:c r="R1025" s="9" t="str">
        <x:v>OPEN / UNSTARTED</x:v>
      </x:c>
      <x:c r="S1025" s="9" t="n">
        <x:f>COUNTIFS($A$7:$A$1446,A1025)</x:f>
        <x:v>1</x:v>
      </x:c>
    </x:row>
    <x:row r="1026">
      <x:c r="A1026" s="9" t="str">
        <x:v>EV-AR-LF-B-A-TECH-4-B1-RCN-G0-ST10</x:v>
      </x:c>
      <x:c r="B1026" s="9" t="str">
        <x:v>EV-AR-LF-B-A-TECH-4-B1-RCN-G0</x:v>
      </x:c>
      <x:c r="C1026" s="9" t="str">
        <x:v>EOW-AR-LF-B-A-TECH-4-B1-RCN-G0</x:v>
      </x:c>
      <x:c r="D1026" s="9" t="str">
        <x:v>AR-LF-B-A-TECH-4-B1-RCN-G0</x:v>
      </x:c>
      <x:c r="E1026" s="9" t="str">
        <x:v>LF-B-A-TECH-4</x:v>
      </x:c>
      <x:c r="F1026" s="9" t="str">
        <x:v>LF-B-A</x:v>
      </x:c>
      <x:c r="G1026" s="9" t="str">
        <x:v>B1</x:v>
      </x:c>
      <x:c r="H1026" s="9" t="str">
        <x:v>RCN</x:v>
      </x:c>
      <x:c r="I1026" s="9" t="n">
        <x:v>5</x:v>
      </x:c>
      <x:c r="J1026" s="9" t="n">
        <x:v>1</x:v>
      </x:c>
      <x:c r="K1026" s="9" t="str">
        <x:v>LF-B-A-N2</x:v>
      </x:c>
      <x:c r="L1026" s="9" t="str">
        <x:v>ST10</x:v>
      </x:c>
      <x:c r="M1026" s="17" t="str">
        <x:v>Window and common clock</x:v>
      </x:c>
      <x:c r="N1026" s="17" t="str">
        <x:v>epoch, window and public time origin match the issued warrant</x:v>
      </x:c>
      <x:c r="O1026" s="17" t="str">
        <x:v>Event clock authority</x:v>
      </x:c>
      <x:c r="P1026" s="9" t="n">
        <x:v>0</x:v>
      </x:c>
      <x:c r="Q1026" s="9" t="n">
        <x:v>0</x:v>
      </x:c>
      <x:c r="R1026" s="9" t="str">
        <x:v>OPEN / UNSTARTED</x:v>
      </x:c>
      <x:c r="S1026" s="9" t="n">
        <x:f>COUNTIFS($A$7:$A$1446,A1026)</x:f>
        <x:v>1</x:v>
      </x:c>
    </x:row>
    <x:row r="1027">
      <x:c r="A1027" s="9" t="str">
        <x:v>EV-AR-CT-C-B-TECH-2-B1-BRK-G0-ST01</x:v>
      </x:c>
      <x:c r="B1027" s="9" t="str">
        <x:v>EV-AR-CT-C-B-TECH-2-B1-BRK-G0</x:v>
      </x:c>
      <x:c r="C1027" s="9" t="str">
        <x:v>EOW-AR-CT-C-B-TECH-2-B1-BRK-G0</x:v>
      </x:c>
      <x:c r="D1027" s="9" t="str">
        <x:v>AR-CT-C-B-TECH-2-B1-BRK-G0</x:v>
      </x:c>
      <x:c r="E1027" s="9" t="str">
        <x:v>CT-C-B-TECH-2</x:v>
      </x:c>
      <x:c r="F1027" s="9" t="str">
        <x:v>CT-C-B</x:v>
      </x:c>
      <x:c r="G1027" s="9" t="str">
        <x:v>B1</x:v>
      </x:c>
      <x:c r="H1027" s="9" t="str">
        <x:v>BRK</x:v>
      </x:c>
      <x:c r="I1027" s="9" t="n">
        <x:v>5</x:v>
      </x:c>
      <x:c r="J1027" s="9" t="n">
        <x:v>2</x:v>
      </x:c>
      <x:c r="K1027" s="9" t="str">
        <x:v>CT-C-B-N2</x:v>
      </x:c>
      <x:c r="L1027" s="9" t="str">
        <x:v>ST01</x:v>
      </x:c>
      <x:c r="M1027" s="17" t="str">
        <x:v>Active opportunity warrant</x:v>
      </x:c>
      <x:c r="N1027" s="17" t="str">
        <x:v>configuration-bound EOW is within its thirty-six-hour validity</x:v>
      </x:c>
      <x:c r="O1027" s="17" t="str">
        <x:v>Start registrar</x:v>
      </x:c>
      <x:c r="P1027" s="9" t="n">
        <x:v>0</x:v>
      </x:c>
      <x:c r="Q1027" s="9" t="n">
        <x:v>0</x:v>
      </x:c>
      <x:c r="R1027" s="9" t="str">
        <x:v>OPEN / UNSTARTED</x:v>
      </x:c>
      <x:c r="S1027" s="9" t="n">
        <x:f>COUNTIFS($A$7:$A$1446,A1027)</x:f>
        <x:v>1</x:v>
      </x:c>
    </x:row>
    <x:row r="1028">
      <x:c r="A1028" s="9" t="str">
        <x:v>EV-AR-CT-C-B-TECH-2-B1-BRK-G0-ST02</x:v>
      </x:c>
      <x:c r="B1028" s="9" t="str">
        <x:v>EV-AR-CT-C-B-TECH-2-B1-BRK-G0</x:v>
      </x:c>
      <x:c r="C1028" s="9" t="str">
        <x:v>EOW-AR-CT-C-B-TECH-2-B1-BRK-G0</x:v>
      </x:c>
      <x:c r="D1028" s="9" t="str">
        <x:v>AR-CT-C-B-TECH-2-B1-BRK-G0</x:v>
      </x:c>
      <x:c r="E1028" s="9" t="str">
        <x:v>CT-C-B-TECH-2</x:v>
      </x:c>
      <x:c r="F1028" s="9" t="str">
        <x:v>CT-C-B</x:v>
      </x:c>
      <x:c r="G1028" s="9" t="str">
        <x:v>B1</x:v>
      </x:c>
      <x:c r="H1028" s="9" t="str">
        <x:v>BRK</x:v>
      </x:c>
      <x:c r="I1028" s="9" t="n">
        <x:v>5</x:v>
      </x:c>
      <x:c r="J1028" s="9" t="n">
        <x:v>2</x:v>
      </x:c>
      <x:c r="K1028" s="9" t="str">
        <x:v>CT-C-B-N2</x:v>
      </x:c>
      <x:c r="L1028" s="9" t="str">
        <x:v>ST02</x:v>
      </x:c>
      <x:c r="M1028" s="17" t="str">
        <x:v>Frozen identity</x:v>
      </x:c>
      <x:c r="N1028" s="17" t="str">
        <x:v>serial, generation, fixture, site, receiver and digest match the warrant</x:v>
      </x:c>
      <x:c r="O1028" s="17" t="str">
        <x:v>Custody authority</x:v>
      </x:c>
      <x:c r="P1028" s="9" t="n">
        <x:v>0</x:v>
      </x:c>
      <x:c r="Q1028" s="9" t="n">
        <x:v>0</x:v>
      </x:c>
      <x:c r="R1028" s="9" t="str">
        <x:v>OPEN / UNSTARTED</x:v>
      </x:c>
      <x:c r="S1028" s="9" t="n">
        <x:f>COUNTIFS($A$7:$A$1446,A1028)</x:f>
        <x:v>1</x:v>
      </x:c>
    </x:row>
    <x:row r="1029">
      <x:c r="A1029" s="9" t="str">
        <x:v>EV-AR-CT-C-B-TECH-2-B1-BRK-G0-ST03</x:v>
      </x:c>
      <x:c r="B1029" s="9" t="str">
        <x:v>EV-AR-CT-C-B-TECH-2-B1-BRK-G0</x:v>
      </x:c>
      <x:c r="C1029" s="9" t="str">
        <x:v>EOW-AR-CT-C-B-TECH-2-B1-BRK-G0</x:v>
      </x:c>
      <x:c r="D1029" s="9" t="str">
        <x:v>AR-CT-C-B-TECH-2-B1-BRK-G0</x:v>
      </x:c>
      <x:c r="E1029" s="9" t="str">
        <x:v>CT-C-B-TECH-2</x:v>
      </x:c>
      <x:c r="F1029" s="9" t="str">
        <x:v>CT-C-B</x:v>
      </x:c>
      <x:c r="G1029" s="9" t="str">
        <x:v>B1</x:v>
      </x:c>
      <x:c r="H1029" s="9" t="str">
        <x:v>BRK</x:v>
      </x:c>
      <x:c r="I1029" s="9" t="n">
        <x:v>5</x:v>
      </x:c>
      <x:c r="J1029" s="9" t="n">
        <x:v>2</x:v>
      </x:c>
      <x:c r="K1029" s="9" t="str">
        <x:v>CT-C-B-N2</x:v>
      </x:c>
      <x:c r="L1029" s="9" t="str">
        <x:v>ST03</x:v>
      </x:c>
      <x:c r="M1029" s="17" t="str">
        <x:v>Receiver receipt</x:v>
      </x:c>
      <x:c r="N1029" s="17" t="str">
        <x:v>denominator, counterfactual, rights and stop receipt remain unchanged</x:v>
      </x:c>
      <x:c r="O1029" s="17" t="str">
        <x:v>Receiver authority</x:v>
      </x:c>
      <x:c r="P1029" s="9" t="n">
        <x:v>0</x:v>
      </x:c>
      <x:c r="Q1029" s="9" t="n">
        <x:v>0</x:v>
      </x:c>
      <x:c r="R1029" s="9" t="str">
        <x:v>OPEN / UNSTARTED</x:v>
      </x:c>
      <x:c r="S1029" s="9" t="n">
        <x:f>COUNTIFS($A$7:$A$1446,A1029)</x:f>
        <x:v>1</x:v>
      </x:c>
    </x:row>
    <x:row r="1030">
      <x:c r="A1030" s="9" t="str">
        <x:v>EV-AR-CT-C-B-TECH-2-B1-BRK-G0-ST04</x:v>
      </x:c>
      <x:c r="B1030" s="9" t="str">
        <x:v>EV-AR-CT-C-B-TECH-2-B1-BRK-G0</x:v>
      </x:c>
      <x:c r="C1030" s="9" t="str">
        <x:v>EOW-AR-CT-C-B-TECH-2-B1-BRK-G0</x:v>
      </x:c>
      <x:c r="D1030" s="9" t="str">
        <x:v>AR-CT-C-B-TECH-2-B1-BRK-G0</x:v>
      </x:c>
      <x:c r="E1030" s="9" t="str">
        <x:v>CT-C-B-TECH-2</x:v>
      </x:c>
      <x:c r="F1030" s="9" t="str">
        <x:v>CT-C-B</x:v>
      </x:c>
      <x:c r="G1030" s="9" t="str">
        <x:v>B1</x:v>
      </x:c>
      <x:c r="H1030" s="9" t="str">
        <x:v>BRK</x:v>
      </x:c>
      <x:c r="I1030" s="9" t="n">
        <x:v>5</x:v>
      </x:c>
      <x:c r="J1030" s="9" t="n">
        <x:v>2</x:v>
      </x:c>
      <x:c r="K1030" s="9" t="str">
        <x:v>CT-C-B-N2</x:v>
      </x:c>
      <x:c r="L1030" s="9" t="str">
        <x:v>ST04</x:v>
      </x:c>
      <x:c r="M1030" s="17" t="str">
        <x:v>Primary capture armed</x:v>
      </x:c>
      <x:c r="N1030" s="17" t="str">
        <x:v>primary chain records sealed reference and live time</x:v>
      </x:c>
      <x:c r="O1030" s="17" t="str">
        <x:v>Primary metrology</x:v>
      </x:c>
      <x:c r="P1030" s="9" t="n">
        <x:v>0</x:v>
      </x:c>
      <x:c r="Q1030" s="9" t="n">
        <x:v>0</x:v>
      </x:c>
      <x:c r="R1030" s="9" t="str">
        <x:v>OPEN / UNSTARTED</x:v>
      </x:c>
      <x:c r="S1030" s="9" t="n">
        <x:f>COUNTIFS($A$7:$A$1446,A1030)</x:f>
        <x:v>1</x:v>
      </x:c>
    </x:row>
    <x:row r="1031">
      <x:c r="A1031" s="9" t="str">
        <x:v>EV-AR-CT-C-B-TECH-2-B1-BRK-G0-ST05</x:v>
      </x:c>
      <x:c r="B1031" s="9" t="str">
        <x:v>EV-AR-CT-C-B-TECH-2-B1-BRK-G0</x:v>
      </x:c>
      <x:c r="C1031" s="9" t="str">
        <x:v>EOW-AR-CT-C-B-TECH-2-B1-BRK-G0</x:v>
      </x:c>
      <x:c r="D1031" s="9" t="str">
        <x:v>AR-CT-C-B-TECH-2-B1-BRK-G0</x:v>
      </x:c>
      <x:c r="E1031" s="9" t="str">
        <x:v>CT-C-B-TECH-2</x:v>
      </x:c>
      <x:c r="F1031" s="9" t="str">
        <x:v>CT-C-B</x:v>
      </x:c>
      <x:c r="G1031" s="9" t="str">
        <x:v>B1</x:v>
      </x:c>
      <x:c r="H1031" s="9" t="str">
        <x:v>BRK</x:v>
      </x:c>
      <x:c r="I1031" s="9" t="n">
        <x:v>5</x:v>
      </x:c>
      <x:c r="J1031" s="9" t="n">
        <x:v>2</x:v>
      </x:c>
      <x:c r="K1031" s="9" t="str">
        <x:v>CT-C-B-N2</x:v>
      </x:c>
      <x:c r="L1031" s="9" t="str">
        <x:v>ST05</x:v>
      </x:c>
      <x:c r="M1031" s="17" t="str">
        <x:v>Witness capture armed</x:v>
      </x:c>
      <x:c r="N1031" s="17" t="str">
        <x:v>unlike witness records independent reference and live time</x:v>
      </x:c>
      <x:c r="O1031" s="17" t="str">
        <x:v>Witness metrology</x:v>
      </x:c>
      <x:c r="P1031" s="9" t="n">
        <x:v>0</x:v>
      </x:c>
      <x:c r="Q1031" s="9" t="n">
        <x:v>0</x:v>
      </x:c>
      <x:c r="R1031" s="9" t="str">
        <x:v>OPEN / UNSTARTED</x:v>
      </x:c>
      <x:c r="S1031" s="9" t="n">
        <x:f>COUNTIFS($A$7:$A$1446,A1031)</x:f>
        <x:v>1</x:v>
      </x:c>
    </x:row>
    <x:row r="1032">
      <x:c r="A1032" s="9" t="str">
        <x:v>EV-AR-CT-C-B-TECH-2-B1-BRK-G0-ST06</x:v>
      </x:c>
      <x:c r="B1032" s="9" t="str">
        <x:v>EV-AR-CT-C-B-TECH-2-B1-BRK-G0</x:v>
      </x:c>
      <x:c r="C1032" s="9" t="str">
        <x:v>EOW-AR-CT-C-B-TECH-2-B1-BRK-G0</x:v>
      </x:c>
      <x:c r="D1032" s="9" t="str">
        <x:v>AR-CT-C-B-TECH-2-B1-BRK-G0</x:v>
      </x:c>
      <x:c r="E1032" s="9" t="str">
        <x:v>CT-C-B-TECH-2</x:v>
      </x:c>
      <x:c r="F1032" s="9" t="str">
        <x:v>CT-C-B</x:v>
      </x:c>
      <x:c r="G1032" s="9" t="str">
        <x:v>B1</x:v>
      </x:c>
      <x:c r="H1032" s="9" t="str">
        <x:v>BRK</x:v>
      </x:c>
      <x:c r="I1032" s="9" t="n">
        <x:v>5</x:v>
      </x:c>
      <x:c r="J1032" s="9" t="n">
        <x:v>2</x:v>
      </x:c>
      <x:c r="K1032" s="9" t="str">
        <x:v>CT-C-B-N2</x:v>
      </x:c>
      <x:c r="L1032" s="9" t="str">
        <x:v>ST06</x:v>
      </x:c>
      <x:c r="M1032" s="17" t="str">
        <x:v>Public custody armed</x:v>
      </x:c>
      <x:c r="N1032" s="17" t="str">
        <x:v>eight raw origins have separated hash and replica routes</x:v>
      </x:c>
      <x:c r="O1032" s="17" t="str">
        <x:v>Custody authority</x:v>
      </x:c>
      <x:c r="P1032" s="9" t="n">
        <x:v>0</x:v>
      </x:c>
      <x:c r="Q1032" s="9" t="n">
        <x:v>0</x:v>
      </x:c>
      <x:c r="R1032" s="9" t="str">
        <x:v>OPEN / UNSTARTED</x:v>
      </x:c>
      <x:c r="S1032" s="9" t="n">
        <x:f>COUNTIFS($A$7:$A$1446,A1032)</x:f>
        <x:v>1</x:v>
      </x:c>
    </x:row>
    <x:row r="1033">
      <x:c r="A1033" s="9" t="str">
        <x:v>EV-AR-CT-C-B-TECH-2-B1-BRK-G0-ST07</x:v>
      </x:c>
      <x:c r="B1033" s="9" t="str">
        <x:v>EV-AR-CT-C-B-TECH-2-B1-BRK-G0</x:v>
      </x:c>
      <x:c r="C1033" s="9" t="str">
        <x:v>EOW-AR-CT-C-B-TECH-2-B1-BRK-G0</x:v>
      </x:c>
      <x:c r="D1033" s="9" t="str">
        <x:v>AR-CT-C-B-TECH-2-B1-BRK-G0</x:v>
      </x:c>
      <x:c r="E1033" s="9" t="str">
        <x:v>CT-C-B-TECH-2</x:v>
      </x:c>
      <x:c r="F1033" s="9" t="str">
        <x:v>CT-C-B</x:v>
      </x:c>
      <x:c r="G1033" s="9" t="str">
        <x:v>B1</x:v>
      </x:c>
      <x:c r="H1033" s="9" t="str">
        <x:v>BRK</x:v>
      </x:c>
      <x:c r="I1033" s="9" t="n">
        <x:v>5</x:v>
      </x:c>
      <x:c r="J1033" s="9" t="n">
        <x:v>2</x:v>
      </x:c>
      <x:c r="K1033" s="9" t="str">
        <x:v>CT-C-B-N2</x:v>
      </x:c>
      <x:c r="L1033" s="9" t="str">
        <x:v>ST07</x:v>
      </x:c>
      <x:c r="M1033" s="17" t="str">
        <x:v>Environmental baseline</x:v>
      </x:c>
      <x:c r="N1033" s="17" t="str">
        <x:v>pre-event boundary state is sealed before decisive operation</x:v>
      </x:c>
      <x:c r="O1033" s="17" t="str">
        <x:v>Site metrology</x:v>
      </x:c>
      <x:c r="P1033" s="9" t="n">
        <x:v>0</x:v>
      </x:c>
      <x:c r="Q1033" s="9" t="n">
        <x:v>0</x:v>
      </x:c>
      <x:c r="R1033" s="9" t="str">
        <x:v>OPEN / UNSTARTED</x:v>
      </x:c>
      <x:c r="S1033" s="9" t="n">
        <x:f>COUNTIFS($A$7:$A$1446,A1033)</x:f>
        <x:v>1</x:v>
      </x:c>
    </x:row>
    <x:row r="1034">
      <x:c r="A1034" s="9" t="str">
        <x:v>EV-AR-CT-C-B-TECH-2-B1-BRK-G0-ST08</x:v>
      </x:c>
      <x:c r="B1034" s="9" t="str">
        <x:v>EV-AR-CT-C-B-TECH-2-B1-BRK-G0</x:v>
      </x:c>
      <x:c r="C1034" s="9" t="str">
        <x:v>EOW-AR-CT-C-B-TECH-2-B1-BRK-G0</x:v>
      </x:c>
      <x:c r="D1034" s="9" t="str">
        <x:v>AR-CT-C-B-TECH-2-B1-BRK-G0</x:v>
      </x:c>
      <x:c r="E1034" s="9" t="str">
        <x:v>CT-C-B-TECH-2</x:v>
      </x:c>
      <x:c r="F1034" s="9" t="str">
        <x:v>CT-C-B</x:v>
      </x:c>
      <x:c r="G1034" s="9" t="str">
        <x:v>B1</x:v>
      </x:c>
      <x:c r="H1034" s="9" t="str">
        <x:v>BRK</x:v>
      </x:c>
      <x:c r="I1034" s="9" t="n">
        <x:v>5</x:v>
      </x:c>
      <x:c r="J1034" s="9" t="n">
        <x:v>2</x:v>
      </x:c>
      <x:c r="K1034" s="9" t="str">
        <x:v>CT-C-B-N2</x:v>
      </x:c>
      <x:c r="L1034" s="9" t="str">
        <x:v>ST08</x:v>
      </x:c>
      <x:c r="M1034" s="17" t="str">
        <x:v>Manual stop and safety</x:v>
      </x:c>
      <x:c r="N1034" s="17" t="str">
        <x:v>local stop, evacuation and protection routes are active</x:v>
      </x:c>
      <x:c r="O1034" s="17" t="str">
        <x:v>Safety authority</x:v>
      </x:c>
      <x:c r="P1034" s="9" t="n">
        <x:v>0</x:v>
      </x:c>
      <x:c r="Q1034" s="9" t="n">
        <x:v>0</x:v>
      </x:c>
      <x:c r="R1034" s="9" t="str">
        <x:v>OPEN / UNSTARTED</x:v>
      </x:c>
      <x:c r="S1034" s="9" t="n">
        <x:f>COUNTIFS($A$7:$A$1446,A1034)</x:f>
        <x:v>1</x:v>
      </x:c>
    </x:row>
    <x:row r="1035">
      <x:c r="A1035" s="9" t="str">
        <x:v>EV-AR-CT-C-B-TECH-2-B1-BRK-G0-ST09</x:v>
      </x:c>
      <x:c r="B1035" s="9" t="str">
        <x:v>EV-AR-CT-C-B-TECH-2-B1-BRK-G0</x:v>
      </x:c>
      <x:c r="C1035" s="9" t="str">
        <x:v>EOW-AR-CT-C-B-TECH-2-B1-BRK-G0</x:v>
      </x:c>
      <x:c r="D1035" s="9" t="str">
        <x:v>AR-CT-C-B-TECH-2-B1-BRK-G0</x:v>
      </x:c>
      <x:c r="E1035" s="9" t="str">
        <x:v>CT-C-B-TECH-2</x:v>
      </x:c>
      <x:c r="F1035" s="9" t="str">
        <x:v>CT-C-B</x:v>
      </x:c>
      <x:c r="G1035" s="9" t="str">
        <x:v>B1</x:v>
      </x:c>
      <x:c r="H1035" s="9" t="str">
        <x:v>BRK</x:v>
      </x:c>
      <x:c r="I1035" s="9" t="n">
        <x:v>5</x:v>
      </x:c>
      <x:c r="J1035" s="9" t="n">
        <x:v>2</x:v>
      </x:c>
      <x:c r="K1035" s="9" t="str">
        <x:v>CT-C-B-N2</x:v>
      </x:c>
      <x:c r="L1035" s="9" t="str">
        <x:v>ST09</x:v>
      </x:c>
      <x:c r="M1035" s="17" t="str">
        <x:v>Operator conflict clear</x:v>
      </x:c>
      <x:c r="N1035" s="17" t="str">
        <x:v>candidate, fixture, safety and measurement control edges remain separated</x:v>
      </x:c>
      <x:c r="O1035" s="17" t="str">
        <x:v>Conflict registrar</x:v>
      </x:c>
      <x:c r="P1035" s="9" t="n">
        <x:v>0</x:v>
      </x:c>
      <x:c r="Q1035" s="9" t="n">
        <x:v>0</x:v>
      </x:c>
      <x:c r="R1035" s="9" t="str">
        <x:v>OPEN / UNSTARTED</x:v>
      </x:c>
      <x:c r="S1035" s="9" t="n">
        <x:f>COUNTIFS($A$7:$A$1446,A1035)</x:f>
        <x:v>1</x:v>
      </x:c>
    </x:row>
    <x:row r="1036">
      <x:c r="A1036" s="9" t="str">
        <x:v>EV-AR-CT-C-B-TECH-2-B1-BRK-G0-ST10</x:v>
      </x:c>
      <x:c r="B1036" s="9" t="str">
        <x:v>EV-AR-CT-C-B-TECH-2-B1-BRK-G0</x:v>
      </x:c>
      <x:c r="C1036" s="9" t="str">
        <x:v>EOW-AR-CT-C-B-TECH-2-B1-BRK-G0</x:v>
      </x:c>
      <x:c r="D1036" s="9" t="str">
        <x:v>AR-CT-C-B-TECH-2-B1-BRK-G0</x:v>
      </x:c>
      <x:c r="E1036" s="9" t="str">
        <x:v>CT-C-B-TECH-2</x:v>
      </x:c>
      <x:c r="F1036" s="9" t="str">
        <x:v>CT-C-B</x:v>
      </x:c>
      <x:c r="G1036" s="9" t="str">
        <x:v>B1</x:v>
      </x:c>
      <x:c r="H1036" s="9" t="str">
        <x:v>BRK</x:v>
      </x:c>
      <x:c r="I1036" s="9" t="n">
        <x:v>5</x:v>
      </x:c>
      <x:c r="J1036" s="9" t="n">
        <x:v>2</x:v>
      </x:c>
      <x:c r="K1036" s="9" t="str">
        <x:v>CT-C-B-N2</x:v>
      </x:c>
      <x:c r="L1036" s="9" t="str">
        <x:v>ST10</x:v>
      </x:c>
      <x:c r="M1036" s="17" t="str">
        <x:v>Window and common clock</x:v>
      </x:c>
      <x:c r="N1036" s="17" t="str">
        <x:v>epoch, window and public time origin match the issued warrant</x:v>
      </x:c>
      <x:c r="O1036" s="17" t="str">
        <x:v>Event clock authority</x:v>
      </x:c>
      <x:c r="P1036" s="9" t="n">
        <x:v>0</x:v>
      </x:c>
      <x:c r="Q1036" s="9" t="n">
        <x:v>0</x:v>
      </x:c>
      <x:c r="R1036" s="9" t="str">
        <x:v>OPEN / UNSTARTED</x:v>
      </x:c>
      <x:c r="S1036" s="9" t="n">
        <x:f>COUNTIFS($A$7:$A$1446,A1036)</x:f>
        <x:v>1</x:v>
      </x:c>
    </x:row>
    <x:row r="1037">
      <x:c r="A1037" s="9" t="str">
        <x:v>EV-AR-ET-A-A-TECH-3-B1-BRK-G0-ST01</x:v>
      </x:c>
      <x:c r="B1037" s="9" t="str">
        <x:v>EV-AR-ET-A-A-TECH-3-B1-BRK-G0</x:v>
      </x:c>
      <x:c r="C1037" s="9" t="str">
        <x:v>EOW-AR-ET-A-A-TECH-3-B1-BRK-G0</x:v>
      </x:c>
      <x:c r="D1037" s="9" t="str">
        <x:v>AR-ET-A-A-TECH-3-B1-BRK-G0</x:v>
      </x:c>
      <x:c r="E1037" s="9" t="str">
        <x:v>ET-A-A-TECH-3</x:v>
      </x:c>
      <x:c r="F1037" s="9" t="str">
        <x:v>ET-A-A</x:v>
      </x:c>
      <x:c r="G1037" s="9" t="str">
        <x:v>B1</x:v>
      </x:c>
      <x:c r="H1037" s="9" t="str">
        <x:v>BRK</x:v>
      </x:c>
      <x:c r="I1037" s="9" t="n">
        <x:v>5</x:v>
      </x:c>
      <x:c r="J1037" s="9" t="n">
        <x:v>2</x:v>
      </x:c>
      <x:c r="K1037" s="9" t="str">
        <x:v>ET-A-A-N1</x:v>
      </x:c>
      <x:c r="L1037" s="9" t="str">
        <x:v>ST01</x:v>
      </x:c>
      <x:c r="M1037" s="17" t="str">
        <x:v>Active opportunity warrant</x:v>
      </x:c>
      <x:c r="N1037" s="17" t="str">
        <x:v>configuration-bound EOW is within its thirty-six-hour validity</x:v>
      </x:c>
      <x:c r="O1037" s="17" t="str">
        <x:v>Start registrar</x:v>
      </x:c>
      <x:c r="P1037" s="9" t="n">
        <x:v>0</x:v>
      </x:c>
      <x:c r="Q1037" s="9" t="n">
        <x:v>0</x:v>
      </x:c>
      <x:c r="R1037" s="9" t="str">
        <x:v>OPEN / UNSTARTED</x:v>
      </x:c>
      <x:c r="S1037" s="9" t="n">
        <x:f>COUNTIFS($A$7:$A$1446,A1037)</x:f>
        <x:v>1</x:v>
      </x:c>
    </x:row>
    <x:row r="1038">
      <x:c r="A1038" s="9" t="str">
        <x:v>EV-AR-ET-A-A-TECH-3-B1-BRK-G0-ST02</x:v>
      </x:c>
      <x:c r="B1038" s="9" t="str">
        <x:v>EV-AR-ET-A-A-TECH-3-B1-BRK-G0</x:v>
      </x:c>
      <x:c r="C1038" s="9" t="str">
        <x:v>EOW-AR-ET-A-A-TECH-3-B1-BRK-G0</x:v>
      </x:c>
      <x:c r="D1038" s="9" t="str">
        <x:v>AR-ET-A-A-TECH-3-B1-BRK-G0</x:v>
      </x:c>
      <x:c r="E1038" s="9" t="str">
        <x:v>ET-A-A-TECH-3</x:v>
      </x:c>
      <x:c r="F1038" s="9" t="str">
        <x:v>ET-A-A</x:v>
      </x:c>
      <x:c r="G1038" s="9" t="str">
        <x:v>B1</x:v>
      </x:c>
      <x:c r="H1038" s="9" t="str">
        <x:v>BRK</x:v>
      </x:c>
      <x:c r="I1038" s="9" t="n">
        <x:v>5</x:v>
      </x:c>
      <x:c r="J1038" s="9" t="n">
        <x:v>2</x:v>
      </x:c>
      <x:c r="K1038" s="9" t="str">
        <x:v>ET-A-A-N1</x:v>
      </x:c>
      <x:c r="L1038" s="9" t="str">
        <x:v>ST02</x:v>
      </x:c>
      <x:c r="M1038" s="17" t="str">
        <x:v>Frozen identity</x:v>
      </x:c>
      <x:c r="N1038" s="17" t="str">
        <x:v>serial, generation, fixture, site, receiver and digest match the warrant</x:v>
      </x:c>
      <x:c r="O1038" s="17" t="str">
        <x:v>Custody authority</x:v>
      </x:c>
      <x:c r="P1038" s="9" t="n">
        <x:v>0</x:v>
      </x:c>
      <x:c r="Q1038" s="9" t="n">
        <x:v>0</x:v>
      </x:c>
      <x:c r="R1038" s="9" t="str">
        <x:v>OPEN / UNSTARTED</x:v>
      </x:c>
      <x:c r="S1038" s="9" t="n">
        <x:f>COUNTIFS($A$7:$A$1446,A1038)</x:f>
        <x:v>1</x:v>
      </x:c>
    </x:row>
    <x:row r="1039">
      <x:c r="A1039" s="9" t="str">
        <x:v>EV-AR-ET-A-A-TECH-3-B1-BRK-G0-ST03</x:v>
      </x:c>
      <x:c r="B1039" s="9" t="str">
        <x:v>EV-AR-ET-A-A-TECH-3-B1-BRK-G0</x:v>
      </x:c>
      <x:c r="C1039" s="9" t="str">
        <x:v>EOW-AR-ET-A-A-TECH-3-B1-BRK-G0</x:v>
      </x:c>
      <x:c r="D1039" s="9" t="str">
        <x:v>AR-ET-A-A-TECH-3-B1-BRK-G0</x:v>
      </x:c>
      <x:c r="E1039" s="9" t="str">
        <x:v>ET-A-A-TECH-3</x:v>
      </x:c>
      <x:c r="F1039" s="9" t="str">
        <x:v>ET-A-A</x:v>
      </x:c>
      <x:c r="G1039" s="9" t="str">
        <x:v>B1</x:v>
      </x:c>
      <x:c r="H1039" s="9" t="str">
        <x:v>BRK</x:v>
      </x:c>
      <x:c r="I1039" s="9" t="n">
        <x:v>5</x:v>
      </x:c>
      <x:c r="J1039" s="9" t="n">
        <x:v>2</x:v>
      </x:c>
      <x:c r="K1039" s="9" t="str">
        <x:v>ET-A-A-N1</x:v>
      </x:c>
      <x:c r="L1039" s="9" t="str">
        <x:v>ST03</x:v>
      </x:c>
      <x:c r="M1039" s="17" t="str">
        <x:v>Receiver receipt</x:v>
      </x:c>
      <x:c r="N1039" s="17" t="str">
        <x:v>denominator, counterfactual, rights and stop receipt remain unchanged</x:v>
      </x:c>
      <x:c r="O1039" s="17" t="str">
        <x:v>Receiver authority</x:v>
      </x:c>
      <x:c r="P1039" s="9" t="n">
        <x:v>0</x:v>
      </x:c>
      <x:c r="Q1039" s="9" t="n">
        <x:v>0</x:v>
      </x:c>
      <x:c r="R1039" s="9" t="str">
        <x:v>OPEN / UNSTARTED</x:v>
      </x:c>
      <x:c r="S1039" s="9" t="n">
        <x:f>COUNTIFS($A$7:$A$1446,A1039)</x:f>
        <x:v>1</x:v>
      </x:c>
    </x:row>
    <x:row r="1040">
      <x:c r="A1040" s="9" t="str">
        <x:v>EV-AR-ET-A-A-TECH-3-B1-BRK-G0-ST04</x:v>
      </x:c>
      <x:c r="B1040" s="9" t="str">
        <x:v>EV-AR-ET-A-A-TECH-3-B1-BRK-G0</x:v>
      </x:c>
      <x:c r="C1040" s="9" t="str">
        <x:v>EOW-AR-ET-A-A-TECH-3-B1-BRK-G0</x:v>
      </x:c>
      <x:c r="D1040" s="9" t="str">
        <x:v>AR-ET-A-A-TECH-3-B1-BRK-G0</x:v>
      </x:c>
      <x:c r="E1040" s="9" t="str">
        <x:v>ET-A-A-TECH-3</x:v>
      </x:c>
      <x:c r="F1040" s="9" t="str">
        <x:v>ET-A-A</x:v>
      </x:c>
      <x:c r="G1040" s="9" t="str">
        <x:v>B1</x:v>
      </x:c>
      <x:c r="H1040" s="9" t="str">
        <x:v>BRK</x:v>
      </x:c>
      <x:c r="I1040" s="9" t="n">
        <x:v>5</x:v>
      </x:c>
      <x:c r="J1040" s="9" t="n">
        <x:v>2</x:v>
      </x:c>
      <x:c r="K1040" s="9" t="str">
        <x:v>ET-A-A-N1</x:v>
      </x:c>
      <x:c r="L1040" s="9" t="str">
        <x:v>ST04</x:v>
      </x:c>
      <x:c r="M1040" s="17" t="str">
        <x:v>Primary capture armed</x:v>
      </x:c>
      <x:c r="N1040" s="17" t="str">
        <x:v>primary chain records sealed reference and live time</x:v>
      </x:c>
      <x:c r="O1040" s="17" t="str">
        <x:v>Primary metrology</x:v>
      </x:c>
      <x:c r="P1040" s="9" t="n">
        <x:v>0</x:v>
      </x:c>
      <x:c r="Q1040" s="9" t="n">
        <x:v>0</x:v>
      </x:c>
      <x:c r="R1040" s="9" t="str">
        <x:v>OPEN / UNSTARTED</x:v>
      </x:c>
      <x:c r="S1040" s="9" t="n">
        <x:f>COUNTIFS($A$7:$A$1446,A1040)</x:f>
        <x:v>1</x:v>
      </x:c>
    </x:row>
    <x:row r="1041">
      <x:c r="A1041" s="9" t="str">
        <x:v>EV-AR-ET-A-A-TECH-3-B1-BRK-G0-ST05</x:v>
      </x:c>
      <x:c r="B1041" s="9" t="str">
        <x:v>EV-AR-ET-A-A-TECH-3-B1-BRK-G0</x:v>
      </x:c>
      <x:c r="C1041" s="9" t="str">
        <x:v>EOW-AR-ET-A-A-TECH-3-B1-BRK-G0</x:v>
      </x:c>
      <x:c r="D1041" s="9" t="str">
        <x:v>AR-ET-A-A-TECH-3-B1-BRK-G0</x:v>
      </x:c>
      <x:c r="E1041" s="9" t="str">
        <x:v>ET-A-A-TECH-3</x:v>
      </x:c>
      <x:c r="F1041" s="9" t="str">
        <x:v>ET-A-A</x:v>
      </x:c>
      <x:c r="G1041" s="9" t="str">
        <x:v>B1</x:v>
      </x:c>
      <x:c r="H1041" s="9" t="str">
        <x:v>BRK</x:v>
      </x:c>
      <x:c r="I1041" s="9" t="n">
        <x:v>5</x:v>
      </x:c>
      <x:c r="J1041" s="9" t="n">
        <x:v>2</x:v>
      </x:c>
      <x:c r="K1041" s="9" t="str">
        <x:v>ET-A-A-N1</x:v>
      </x:c>
      <x:c r="L1041" s="9" t="str">
        <x:v>ST05</x:v>
      </x:c>
      <x:c r="M1041" s="17" t="str">
        <x:v>Witness capture armed</x:v>
      </x:c>
      <x:c r="N1041" s="17" t="str">
        <x:v>unlike witness records independent reference and live time</x:v>
      </x:c>
      <x:c r="O1041" s="17" t="str">
        <x:v>Witness metrology</x:v>
      </x:c>
      <x:c r="P1041" s="9" t="n">
        <x:v>0</x:v>
      </x:c>
      <x:c r="Q1041" s="9" t="n">
        <x:v>0</x:v>
      </x:c>
      <x:c r="R1041" s="9" t="str">
        <x:v>OPEN / UNSTARTED</x:v>
      </x:c>
      <x:c r="S1041" s="9" t="n">
        <x:f>COUNTIFS($A$7:$A$1446,A1041)</x:f>
        <x:v>1</x:v>
      </x:c>
    </x:row>
    <x:row r="1042">
      <x:c r="A1042" s="9" t="str">
        <x:v>EV-AR-ET-A-A-TECH-3-B1-BRK-G0-ST06</x:v>
      </x:c>
      <x:c r="B1042" s="9" t="str">
        <x:v>EV-AR-ET-A-A-TECH-3-B1-BRK-G0</x:v>
      </x:c>
      <x:c r="C1042" s="9" t="str">
        <x:v>EOW-AR-ET-A-A-TECH-3-B1-BRK-G0</x:v>
      </x:c>
      <x:c r="D1042" s="9" t="str">
        <x:v>AR-ET-A-A-TECH-3-B1-BRK-G0</x:v>
      </x:c>
      <x:c r="E1042" s="9" t="str">
        <x:v>ET-A-A-TECH-3</x:v>
      </x:c>
      <x:c r="F1042" s="9" t="str">
        <x:v>ET-A-A</x:v>
      </x:c>
      <x:c r="G1042" s="9" t="str">
        <x:v>B1</x:v>
      </x:c>
      <x:c r="H1042" s="9" t="str">
        <x:v>BRK</x:v>
      </x:c>
      <x:c r="I1042" s="9" t="n">
        <x:v>5</x:v>
      </x:c>
      <x:c r="J1042" s="9" t="n">
        <x:v>2</x:v>
      </x:c>
      <x:c r="K1042" s="9" t="str">
        <x:v>ET-A-A-N1</x:v>
      </x:c>
      <x:c r="L1042" s="9" t="str">
        <x:v>ST06</x:v>
      </x:c>
      <x:c r="M1042" s="17" t="str">
        <x:v>Public custody armed</x:v>
      </x:c>
      <x:c r="N1042" s="17" t="str">
        <x:v>eight raw origins have separated hash and replica routes</x:v>
      </x:c>
      <x:c r="O1042" s="17" t="str">
        <x:v>Custody authority</x:v>
      </x:c>
      <x:c r="P1042" s="9" t="n">
        <x:v>0</x:v>
      </x:c>
      <x:c r="Q1042" s="9" t="n">
        <x:v>0</x:v>
      </x:c>
      <x:c r="R1042" s="9" t="str">
        <x:v>OPEN / UNSTARTED</x:v>
      </x:c>
      <x:c r="S1042" s="9" t="n">
        <x:f>COUNTIFS($A$7:$A$1446,A1042)</x:f>
        <x:v>1</x:v>
      </x:c>
    </x:row>
    <x:row r="1043">
      <x:c r="A1043" s="9" t="str">
        <x:v>EV-AR-ET-A-A-TECH-3-B1-BRK-G0-ST07</x:v>
      </x:c>
      <x:c r="B1043" s="9" t="str">
        <x:v>EV-AR-ET-A-A-TECH-3-B1-BRK-G0</x:v>
      </x:c>
      <x:c r="C1043" s="9" t="str">
        <x:v>EOW-AR-ET-A-A-TECH-3-B1-BRK-G0</x:v>
      </x:c>
      <x:c r="D1043" s="9" t="str">
        <x:v>AR-ET-A-A-TECH-3-B1-BRK-G0</x:v>
      </x:c>
      <x:c r="E1043" s="9" t="str">
        <x:v>ET-A-A-TECH-3</x:v>
      </x:c>
      <x:c r="F1043" s="9" t="str">
        <x:v>ET-A-A</x:v>
      </x:c>
      <x:c r="G1043" s="9" t="str">
        <x:v>B1</x:v>
      </x:c>
      <x:c r="H1043" s="9" t="str">
        <x:v>BRK</x:v>
      </x:c>
      <x:c r="I1043" s="9" t="n">
        <x:v>5</x:v>
      </x:c>
      <x:c r="J1043" s="9" t="n">
        <x:v>2</x:v>
      </x:c>
      <x:c r="K1043" s="9" t="str">
        <x:v>ET-A-A-N1</x:v>
      </x:c>
      <x:c r="L1043" s="9" t="str">
        <x:v>ST07</x:v>
      </x:c>
      <x:c r="M1043" s="17" t="str">
        <x:v>Environmental baseline</x:v>
      </x:c>
      <x:c r="N1043" s="17" t="str">
        <x:v>pre-event boundary state is sealed before decisive operation</x:v>
      </x:c>
      <x:c r="O1043" s="17" t="str">
        <x:v>Site metrology</x:v>
      </x:c>
      <x:c r="P1043" s="9" t="n">
        <x:v>0</x:v>
      </x:c>
      <x:c r="Q1043" s="9" t="n">
        <x:v>0</x:v>
      </x:c>
      <x:c r="R1043" s="9" t="str">
        <x:v>OPEN / UNSTARTED</x:v>
      </x:c>
      <x:c r="S1043" s="9" t="n">
        <x:f>COUNTIFS($A$7:$A$1446,A1043)</x:f>
        <x:v>1</x:v>
      </x:c>
    </x:row>
    <x:row r="1044">
      <x:c r="A1044" s="9" t="str">
        <x:v>EV-AR-ET-A-A-TECH-3-B1-BRK-G0-ST08</x:v>
      </x:c>
      <x:c r="B1044" s="9" t="str">
        <x:v>EV-AR-ET-A-A-TECH-3-B1-BRK-G0</x:v>
      </x:c>
      <x:c r="C1044" s="9" t="str">
        <x:v>EOW-AR-ET-A-A-TECH-3-B1-BRK-G0</x:v>
      </x:c>
      <x:c r="D1044" s="9" t="str">
        <x:v>AR-ET-A-A-TECH-3-B1-BRK-G0</x:v>
      </x:c>
      <x:c r="E1044" s="9" t="str">
        <x:v>ET-A-A-TECH-3</x:v>
      </x:c>
      <x:c r="F1044" s="9" t="str">
        <x:v>ET-A-A</x:v>
      </x:c>
      <x:c r="G1044" s="9" t="str">
        <x:v>B1</x:v>
      </x:c>
      <x:c r="H1044" s="9" t="str">
        <x:v>BRK</x:v>
      </x:c>
      <x:c r="I1044" s="9" t="n">
        <x:v>5</x:v>
      </x:c>
      <x:c r="J1044" s="9" t="n">
        <x:v>2</x:v>
      </x:c>
      <x:c r="K1044" s="9" t="str">
        <x:v>ET-A-A-N1</x:v>
      </x:c>
      <x:c r="L1044" s="9" t="str">
        <x:v>ST08</x:v>
      </x:c>
      <x:c r="M1044" s="17" t="str">
        <x:v>Manual stop and safety</x:v>
      </x:c>
      <x:c r="N1044" s="17" t="str">
        <x:v>local stop, evacuation and protection routes are active</x:v>
      </x:c>
      <x:c r="O1044" s="17" t="str">
        <x:v>Safety authority</x:v>
      </x:c>
      <x:c r="P1044" s="9" t="n">
        <x:v>0</x:v>
      </x:c>
      <x:c r="Q1044" s="9" t="n">
        <x:v>0</x:v>
      </x:c>
      <x:c r="R1044" s="9" t="str">
        <x:v>OPEN / UNSTARTED</x:v>
      </x:c>
      <x:c r="S1044" s="9" t="n">
        <x:f>COUNTIFS($A$7:$A$1446,A1044)</x:f>
        <x:v>1</x:v>
      </x:c>
    </x:row>
    <x:row r="1045">
      <x:c r="A1045" s="9" t="str">
        <x:v>EV-AR-ET-A-A-TECH-3-B1-BRK-G0-ST09</x:v>
      </x:c>
      <x:c r="B1045" s="9" t="str">
        <x:v>EV-AR-ET-A-A-TECH-3-B1-BRK-G0</x:v>
      </x:c>
      <x:c r="C1045" s="9" t="str">
        <x:v>EOW-AR-ET-A-A-TECH-3-B1-BRK-G0</x:v>
      </x:c>
      <x:c r="D1045" s="9" t="str">
        <x:v>AR-ET-A-A-TECH-3-B1-BRK-G0</x:v>
      </x:c>
      <x:c r="E1045" s="9" t="str">
        <x:v>ET-A-A-TECH-3</x:v>
      </x:c>
      <x:c r="F1045" s="9" t="str">
        <x:v>ET-A-A</x:v>
      </x:c>
      <x:c r="G1045" s="9" t="str">
        <x:v>B1</x:v>
      </x:c>
      <x:c r="H1045" s="9" t="str">
        <x:v>BRK</x:v>
      </x:c>
      <x:c r="I1045" s="9" t="n">
        <x:v>5</x:v>
      </x:c>
      <x:c r="J1045" s="9" t="n">
        <x:v>2</x:v>
      </x:c>
      <x:c r="K1045" s="9" t="str">
        <x:v>ET-A-A-N1</x:v>
      </x:c>
      <x:c r="L1045" s="9" t="str">
        <x:v>ST09</x:v>
      </x:c>
      <x:c r="M1045" s="17" t="str">
        <x:v>Operator conflict clear</x:v>
      </x:c>
      <x:c r="N1045" s="17" t="str">
        <x:v>candidate, fixture, safety and measurement control edges remain separated</x:v>
      </x:c>
      <x:c r="O1045" s="17" t="str">
        <x:v>Conflict registrar</x:v>
      </x:c>
      <x:c r="P1045" s="9" t="n">
        <x:v>0</x:v>
      </x:c>
      <x:c r="Q1045" s="9" t="n">
        <x:v>0</x:v>
      </x:c>
      <x:c r="R1045" s="9" t="str">
        <x:v>OPEN / UNSTARTED</x:v>
      </x:c>
      <x:c r="S1045" s="9" t="n">
        <x:f>COUNTIFS($A$7:$A$1446,A1045)</x:f>
        <x:v>1</x:v>
      </x:c>
    </x:row>
    <x:row r="1046">
      <x:c r="A1046" s="9" t="str">
        <x:v>EV-AR-ET-A-A-TECH-3-B1-BRK-G0-ST10</x:v>
      </x:c>
      <x:c r="B1046" s="9" t="str">
        <x:v>EV-AR-ET-A-A-TECH-3-B1-BRK-G0</x:v>
      </x:c>
      <x:c r="C1046" s="9" t="str">
        <x:v>EOW-AR-ET-A-A-TECH-3-B1-BRK-G0</x:v>
      </x:c>
      <x:c r="D1046" s="9" t="str">
        <x:v>AR-ET-A-A-TECH-3-B1-BRK-G0</x:v>
      </x:c>
      <x:c r="E1046" s="9" t="str">
        <x:v>ET-A-A-TECH-3</x:v>
      </x:c>
      <x:c r="F1046" s="9" t="str">
        <x:v>ET-A-A</x:v>
      </x:c>
      <x:c r="G1046" s="9" t="str">
        <x:v>B1</x:v>
      </x:c>
      <x:c r="H1046" s="9" t="str">
        <x:v>BRK</x:v>
      </x:c>
      <x:c r="I1046" s="9" t="n">
        <x:v>5</x:v>
      </x:c>
      <x:c r="J1046" s="9" t="n">
        <x:v>2</x:v>
      </x:c>
      <x:c r="K1046" s="9" t="str">
        <x:v>ET-A-A-N1</x:v>
      </x:c>
      <x:c r="L1046" s="9" t="str">
        <x:v>ST10</x:v>
      </x:c>
      <x:c r="M1046" s="17" t="str">
        <x:v>Window and common clock</x:v>
      </x:c>
      <x:c r="N1046" s="17" t="str">
        <x:v>epoch, window and public time origin match the issued warrant</x:v>
      </x:c>
      <x:c r="O1046" s="17" t="str">
        <x:v>Event clock authority</x:v>
      </x:c>
      <x:c r="P1046" s="9" t="n">
        <x:v>0</x:v>
      </x:c>
      <x:c r="Q1046" s="9" t="n">
        <x:v>0</x:v>
      </x:c>
      <x:c r="R1046" s="9" t="str">
        <x:v>OPEN / UNSTARTED</x:v>
      </x:c>
      <x:c r="S1046" s="9" t="n">
        <x:f>COUNTIFS($A$7:$A$1446,A1046)</x:f>
        <x:v>1</x:v>
      </x:c>
    </x:row>
    <x:row r="1047">
      <x:c r="A1047" s="9" t="str">
        <x:v>EV-AR-HC-A-C-TECH-3-B1-INT-G0-ST01</x:v>
      </x:c>
      <x:c r="B1047" s="9" t="str">
        <x:v>EV-AR-HC-A-C-TECH-3-B1-INT-G0</x:v>
      </x:c>
      <x:c r="C1047" s="9" t="str">
        <x:v>EOW-AR-HC-A-C-TECH-3-B1-INT-G0</x:v>
      </x:c>
      <x:c r="D1047" s="9" t="str">
        <x:v>AR-HC-A-C-TECH-3-B1-INT-G0</x:v>
      </x:c>
      <x:c r="E1047" s="9" t="str">
        <x:v>HC-A-C-TECH-3</x:v>
      </x:c>
      <x:c r="F1047" s="9" t="str">
        <x:v>HC-A-C</x:v>
      </x:c>
      <x:c r="G1047" s="9" t="str">
        <x:v>B1</x:v>
      </x:c>
      <x:c r="H1047" s="9" t="str">
        <x:v>INT</x:v>
      </x:c>
      <x:c r="I1047" s="9" t="n">
        <x:v>5</x:v>
      </x:c>
      <x:c r="J1047" s="9" t="n">
        <x:v>2</x:v>
      </x:c>
      <x:c r="K1047" s="9" t="str">
        <x:v>HC-A-C-N3</x:v>
      </x:c>
      <x:c r="L1047" s="9" t="str">
        <x:v>ST01</x:v>
      </x:c>
      <x:c r="M1047" s="17" t="str">
        <x:v>Active opportunity warrant</x:v>
      </x:c>
      <x:c r="N1047" s="17" t="str">
        <x:v>configuration-bound EOW is within its thirty-six-hour validity</x:v>
      </x:c>
      <x:c r="O1047" s="17" t="str">
        <x:v>Start registrar</x:v>
      </x:c>
      <x:c r="P1047" s="9" t="n">
        <x:v>0</x:v>
      </x:c>
      <x:c r="Q1047" s="9" t="n">
        <x:v>0</x:v>
      </x:c>
      <x:c r="R1047" s="9" t="str">
        <x:v>OPEN / UNSTARTED</x:v>
      </x:c>
      <x:c r="S1047" s="9" t="n">
        <x:f>COUNTIFS($A$7:$A$1446,A1047)</x:f>
        <x:v>1</x:v>
      </x:c>
    </x:row>
    <x:row r="1048">
      <x:c r="A1048" s="9" t="str">
        <x:v>EV-AR-HC-A-C-TECH-3-B1-INT-G0-ST02</x:v>
      </x:c>
      <x:c r="B1048" s="9" t="str">
        <x:v>EV-AR-HC-A-C-TECH-3-B1-INT-G0</x:v>
      </x:c>
      <x:c r="C1048" s="9" t="str">
        <x:v>EOW-AR-HC-A-C-TECH-3-B1-INT-G0</x:v>
      </x:c>
      <x:c r="D1048" s="9" t="str">
        <x:v>AR-HC-A-C-TECH-3-B1-INT-G0</x:v>
      </x:c>
      <x:c r="E1048" s="9" t="str">
        <x:v>HC-A-C-TECH-3</x:v>
      </x:c>
      <x:c r="F1048" s="9" t="str">
        <x:v>HC-A-C</x:v>
      </x:c>
      <x:c r="G1048" s="9" t="str">
        <x:v>B1</x:v>
      </x:c>
      <x:c r="H1048" s="9" t="str">
        <x:v>INT</x:v>
      </x:c>
      <x:c r="I1048" s="9" t="n">
        <x:v>5</x:v>
      </x:c>
      <x:c r="J1048" s="9" t="n">
        <x:v>2</x:v>
      </x:c>
      <x:c r="K1048" s="9" t="str">
        <x:v>HC-A-C-N3</x:v>
      </x:c>
      <x:c r="L1048" s="9" t="str">
        <x:v>ST02</x:v>
      </x:c>
      <x:c r="M1048" s="17" t="str">
        <x:v>Frozen identity</x:v>
      </x:c>
      <x:c r="N1048" s="17" t="str">
        <x:v>serial, generation, fixture, site, receiver and digest match the warrant</x:v>
      </x:c>
      <x:c r="O1048" s="17" t="str">
        <x:v>Custody authority</x:v>
      </x:c>
      <x:c r="P1048" s="9" t="n">
        <x:v>0</x:v>
      </x:c>
      <x:c r="Q1048" s="9" t="n">
        <x:v>0</x:v>
      </x:c>
      <x:c r="R1048" s="9" t="str">
        <x:v>OPEN / UNSTARTED</x:v>
      </x:c>
      <x:c r="S1048" s="9" t="n">
        <x:f>COUNTIFS($A$7:$A$1446,A1048)</x:f>
        <x:v>1</x:v>
      </x:c>
    </x:row>
    <x:row r="1049">
      <x:c r="A1049" s="9" t="str">
        <x:v>EV-AR-HC-A-C-TECH-3-B1-INT-G0-ST03</x:v>
      </x:c>
      <x:c r="B1049" s="9" t="str">
        <x:v>EV-AR-HC-A-C-TECH-3-B1-INT-G0</x:v>
      </x:c>
      <x:c r="C1049" s="9" t="str">
        <x:v>EOW-AR-HC-A-C-TECH-3-B1-INT-G0</x:v>
      </x:c>
      <x:c r="D1049" s="9" t="str">
        <x:v>AR-HC-A-C-TECH-3-B1-INT-G0</x:v>
      </x:c>
      <x:c r="E1049" s="9" t="str">
        <x:v>HC-A-C-TECH-3</x:v>
      </x:c>
      <x:c r="F1049" s="9" t="str">
        <x:v>HC-A-C</x:v>
      </x:c>
      <x:c r="G1049" s="9" t="str">
        <x:v>B1</x:v>
      </x:c>
      <x:c r="H1049" s="9" t="str">
        <x:v>INT</x:v>
      </x:c>
      <x:c r="I1049" s="9" t="n">
        <x:v>5</x:v>
      </x:c>
      <x:c r="J1049" s="9" t="n">
        <x:v>2</x:v>
      </x:c>
      <x:c r="K1049" s="9" t="str">
        <x:v>HC-A-C-N3</x:v>
      </x:c>
      <x:c r="L1049" s="9" t="str">
        <x:v>ST03</x:v>
      </x:c>
      <x:c r="M1049" s="17" t="str">
        <x:v>Receiver receipt</x:v>
      </x:c>
      <x:c r="N1049" s="17" t="str">
        <x:v>denominator, counterfactual, rights and stop receipt remain unchanged</x:v>
      </x:c>
      <x:c r="O1049" s="17" t="str">
        <x:v>Receiver authority</x:v>
      </x:c>
      <x:c r="P1049" s="9" t="n">
        <x:v>0</x:v>
      </x:c>
      <x:c r="Q1049" s="9" t="n">
        <x:v>0</x:v>
      </x:c>
      <x:c r="R1049" s="9" t="str">
        <x:v>OPEN / UNSTARTED</x:v>
      </x:c>
      <x:c r="S1049" s="9" t="n">
        <x:f>COUNTIFS($A$7:$A$1446,A1049)</x:f>
        <x:v>1</x:v>
      </x:c>
    </x:row>
    <x:row r="1050">
      <x:c r="A1050" s="9" t="str">
        <x:v>EV-AR-HC-A-C-TECH-3-B1-INT-G0-ST04</x:v>
      </x:c>
      <x:c r="B1050" s="9" t="str">
        <x:v>EV-AR-HC-A-C-TECH-3-B1-INT-G0</x:v>
      </x:c>
      <x:c r="C1050" s="9" t="str">
        <x:v>EOW-AR-HC-A-C-TECH-3-B1-INT-G0</x:v>
      </x:c>
      <x:c r="D1050" s="9" t="str">
        <x:v>AR-HC-A-C-TECH-3-B1-INT-G0</x:v>
      </x:c>
      <x:c r="E1050" s="9" t="str">
        <x:v>HC-A-C-TECH-3</x:v>
      </x:c>
      <x:c r="F1050" s="9" t="str">
        <x:v>HC-A-C</x:v>
      </x:c>
      <x:c r="G1050" s="9" t="str">
        <x:v>B1</x:v>
      </x:c>
      <x:c r="H1050" s="9" t="str">
        <x:v>INT</x:v>
      </x:c>
      <x:c r="I1050" s="9" t="n">
        <x:v>5</x:v>
      </x:c>
      <x:c r="J1050" s="9" t="n">
        <x:v>2</x:v>
      </x:c>
      <x:c r="K1050" s="9" t="str">
        <x:v>HC-A-C-N3</x:v>
      </x:c>
      <x:c r="L1050" s="9" t="str">
        <x:v>ST04</x:v>
      </x:c>
      <x:c r="M1050" s="17" t="str">
        <x:v>Primary capture armed</x:v>
      </x:c>
      <x:c r="N1050" s="17" t="str">
        <x:v>primary chain records sealed reference and live time</x:v>
      </x:c>
      <x:c r="O1050" s="17" t="str">
        <x:v>Primary metrology</x:v>
      </x:c>
      <x:c r="P1050" s="9" t="n">
        <x:v>0</x:v>
      </x:c>
      <x:c r="Q1050" s="9" t="n">
        <x:v>0</x:v>
      </x:c>
      <x:c r="R1050" s="9" t="str">
        <x:v>OPEN / UNSTARTED</x:v>
      </x:c>
      <x:c r="S1050" s="9" t="n">
        <x:f>COUNTIFS($A$7:$A$1446,A1050)</x:f>
        <x:v>1</x:v>
      </x:c>
    </x:row>
    <x:row r="1051">
      <x:c r="A1051" s="9" t="str">
        <x:v>EV-AR-HC-A-C-TECH-3-B1-INT-G0-ST05</x:v>
      </x:c>
      <x:c r="B1051" s="9" t="str">
        <x:v>EV-AR-HC-A-C-TECH-3-B1-INT-G0</x:v>
      </x:c>
      <x:c r="C1051" s="9" t="str">
        <x:v>EOW-AR-HC-A-C-TECH-3-B1-INT-G0</x:v>
      </x:c>
      <x:c r="D1051" s="9" t="str">
        <x:v>AR-HC-A-C-TECH-3-B1-INT-G0</x:v>
      </x:c>
      <x:c r="E1051" s="9" t="str">
        <x:v>HC-A-C-TECH-3</x:v>
      </x:c>
      <x:c r="F1051" s="9" t="str">
        <x:v>HC-A-C</x:v>
      </x:c>
      <x:c r="G1051" s="9" t="str">
        <x:v>B1</x:v>
      </x:c>
      <x:c r="H1051" s="9" t="str">
        <x:v>INT</x:v>
      </x:c>
      <x:c r="I1051" s="9" t="n">
        <x:v>5</x:v>
      </x:c>
      <x:c r="J1051" s="9" t="n">
        <x:v>2</x:v>
      </x:c>
      <x:c r="K1051" s="9" t="str">
        <x:v>HC-A-C-N3</x:v>
      </x:c>
      <x:c r="L1051" s="9" t="str">
        <x:v>ST05</x:v>
      </x:c>
      <x:c r="M1051" s="17" t="str">
        <x:v>Witness capture armed</x:v>
      </x:c>
      <x:c r="N1051" s="17" t="str">
        <x:v>unlike witness records independent reference and live time</x:v>
      </x:c>
      <x:c r="O1051" s="17" t="str">
        <x:v>Witness metrology</x:v>
      </x:c>
      <x:c r="P1051" s="9" t="n">
        <x:v>0</x:v>
      </x:c>
      <x:c r="Q1051" s="9" t="n">
        <x:v>0</x:v>
      </x:c>
      <x:c r="R1051" s="9" t="str">
        <x:v>OPEN / UNSTARTED</x:v>
      </x:c>
      <x:c r="S1051" s="9" t="n">
        <x:f>COUNTIFS($A$7:$A$1446,A1051)</x:f>
        <x:v>1</x:v>
      </x:c>
    </x:row>
    <x:row r="1052">
      <x:c r="A1052" s="9" t="str">
        <x:v>EV-AR-HC-A-C-TECH-3-B1-INT-G0-ST06</x:v>
      </x:c>
      <x:c r="B1052" s="9" t="str">
        <x:v>EV-AR-HC-A-C-TECH-3-B1-INT-G0</x:v>
      </x:c>
      <x:c r="C1052" s="9" t="str">
        <x:v>EOW-AR-HC-A-C-TECH-3-B1-INT-G0</x:v>
      </x:c>
      <x:c r="D1052" s="9" t="str">
        <x:v>AR-HC-A-C-TECH-3-B1-INT-G0</x:v>
      </x:c>
      <x:c r="E1052" s="9" t="str">
        <x:v>HC-A-C-TECH-3</x:v>
      </x:c>
      <x:c r="F1052" s="9" t="str">
        <x:v>HC-A-C</x:v>
      </x:c>
      <x:c r="G1052" s="9" t="str">
        <x:v>B1</x:v>
      </x:c>
      <x:c r="H1052" s="9" t="str">
        <x:v>INT</x:v>
      </x:c>
      <x:c r="I1052" s="9" t="n">
        <x:v>5</x:v>
      </x:c>
      <x:c r="J1052" s="9" t="n">
        <x:v>2</x:v>
      </x:c>
      <x:c r="K1052" s="9" t="str">
        <x:v>HC-A-C-N3</x:v>
      </x:c>
      <x:c r="L1052" s="9" t="str">
        <x:v>ST06</x:v>
      </x:c>
      <x:c r="M1052" s="17" t="str">
        <x:v>Public custody armed</x:v>
      </x:c>
      <x:c r="N1052" s="17" t="str">
        <x:v>eight raw origins have separated hash and replica routes</x:v>
      </x:c>
      <x:c r="O1052" s="17" t="str">
        <x:v>Custody authority</x:v>
      </x:c>
      <x:c r="P1052" s="9" t="n">
        <x:v>0</x:v>
      </x:c>
      <x:c r="Q1052" s="9" t="n">
        <x:v>0</x:v>
      </x:c>
      <x:c r="R1052" s="9" t="str">
        <x:v>OPEN / UNSTARTED</x:v>
      </x:c>
      <x:c r="S1052" s="9" t="n">
        <x:f>COUNTIFS($A$7:$A$1446,A1052)</x:f>
        <x:v>1</x:v>
      </x:c>
    </x:row>
    <x:row r="1053">
      <x:c r="A1053" s="9" t="str">
        <x:v>EV-AR-HC-A-C-TECH-3-B1-INT-G0-ST07</x:v>
      </x:c>
      <x:c r="B1053" s="9" t="str">
        <x:v>EV-AR-HC-A-C-TECH-3-B1-INT-G0</x:v>
      </x:c>
      <x:c r="C1053" s="9" t="str">
        <x:v>EOW-AR-HC-A-C-TECH-3-B1-INT-G0</x:v>
      </x:c>
      <x:c r="D1053" s="9" t="str">
        <x:v>AR-HC-A-C-TECH-3-B1-INT-G0</x:v>
      </x:c>
      <x:c r="E1053" s="9" t="str">
        <x:v>HC-A-C-TECH-3</x:v>
      </x:c>
      <x:c r="F1053" s="9" t="str">
        <x:v>HC-A-C</x:v>
      </x:c>
      <x:c r="G1053" s="9" t="str">
        <x:v>B1</x:v>
      </x:c>
      <x:c r="H1053" s="9" t="str">
        <x:v>INT</x:v>
      </x:c>
      <x:c r="I1053" s="9" t="n">
        <x:v>5</x:v>
      </x:c>
      <x:c r="J1053" s="9" t="n">
        <x:v>2</x:v>
      </x:c>
      <x:c r="K1053" s="9" t="str">
        <x:v>HC-A-C-N3</x:v>
      </x:c>
      <x:c r="L1053" s="9" t="str">
        <x:v>ST07</x:v>
      </x:c>
      <x:c r="M1053" s="17" t="str">
        <x:v>Environmental baseline</x:v>
      </x:c>
      <x:c r="N1053" s="17" t="str">
        <x:v>pre-event boundary state is sealed before decisive operation</x:v>
      </x:c>
      <x:c r="O1053" s="17" t="str">
        <x:v>Site metrology</x:v>
      </x:c>
      <x:c r="P1053" s="9" t="n">
        <x:v>0</x:v>
      </x:c>
      <x:c r="Q1053" s="9" t="n">
        <x:v>0</x:v>
      </x:c>
      <x:c r="R1053" s="9" t="str">
        <x:v>OPEN / UNSTARTED</x:v>
      </x:c>
      <x:c r="S1053" s="9" t="n">
        <x:f>COUNTIFS($A$7:$A$1446,A1053)</x:f>
        <x:v>1</x:v>
      </x:c>
    </x:row>
    <x:row r="1054">
      <x:c r="A1054" s="9" t="str">
        <x:v>EV-AR-HC-A-C-TECH-3-B1-INT-G0-ST08</x:v>
      </x:c>
      <x:c r="B1054" s="9" t="str">
        <x:v>EV-AR-HC-A-C-TECH-3-B1-INT-G0</x:v>
      </x:c>
      <x:c r="C1054" s="9" t="str">
        <x:v>EOW-AR-HC-A-C-TECH-3-B1-INT-G0</x:v>
      </x:c>
      <x:c r="D1054" s="9" t="str">
        <x:v>AR-HC-A-C-TECH-3-B1-INT-G0</x:v>
      </x:c>
      <x:c r="E1054" s="9" t="str">
        <x:v>HC-A-C-TECH-3</x:v>
      </x:c>
      <x:c r="F1054" s="9" t="str">
        <x:v>HC-A-C</x:v>
      </x:c>
      <x:c r="G1054" s="9" t="str">
        <x:v>B1</x:v>
      </x:c>
      <x:c r="H1054" s="9" t="str">
        <x:v>INT</x:v>
      </x:c>
      <x:c r="I1054" s="9" t="n">
        <x:v>5</x:v>
      </x:c>
      <x:c r="J1054" s="9" t="n">
        <x:v>2</x:v>
      </x:c>
      <x:c r="K1054" s="9" t="str">
        <x:v>HC-A-C-N3</x:v>
      </x:c>
      <x:c r="L1054" s="9" t="str">
        <x:v>ST08</x:v>
      </x:c>
      <x:c r="M1054" s="17" t="str">
        <x:v>Manual stop and safety</x:v>
      </x:c>
      <x:c r="N1054" s="17" t="str">
        <x:v>local stop, evacuation and protection routes are active</x:v>
      </x:c>
      <x:c r="O1054" s="17" t="str">
        <x:v>Safety authority</x:v>
      </x:c>
      <x:c r="P1054" s="9" t="n">
        <x:v>0</x:v>
      </x:c>
      <x:c r="Q1054" s="9" t="n">
        <x:v>0</x:v>
      </x:c>
      <x:c r="R1054" s="9" t="str">
        <x:v>OPEN / UNSTARTED</x:v>
      </x:c>
      <x:c r="S1054" s="9" t="n">
        <x:f>COUNTIFS($A$7:$A$1446,A1054)</x:f>
        <x:v>1</x:v>
      </x:c>
    </x:row>
    <x:row r="1055">
      <x:c r="A1055" s="9" t="str">
        <x:v>EV-AR-HC-A-C-TECH-3-B1-INT-G0-ST09</x:v>
      </x:c>
      <x:c r="B1055" s="9" t="str">
        <x:v>EV-AR-HC-A-C-TECH-3-B1-INT-G0</x:v>
      </x:c>
      <x:c r="C1055" s="9" t="str">
        <x:v>EOW-AR-HC-A-C-TECH-3-B1-INT-G0</x:v>
      </x:c>
      <x:c r="D1055" s="9" t="str">
        <x:v>AR-HC-A-C-TECH-3-B1-INT-G0</x:v>
      </x:c>
      <x:c r="E1055" s="9" t="str">
        <x:v>HC-A-C-TECH-3</x:v>
      </x:c>
      <x:c r="F1055" s="9" t="str">
        <x:v>HC-A-C</x:v>
      </x:c>
      <x:c r="G1055" s="9" t="str">
        <x:v>B1</x:v>
      </x:c>
      <x:c r="H1055" s="9" t="str">
        <x:v>INT</x:v>
      </x:c>
      <x:c r="I1055" s="9" t="n">
        <x:v>5</x:v>
      </x:c>
      <x:c r="J1055" s="9" t="n">
        <x:v>2</x:v>
      </x:c>
      <x:c r="K1055" s="9" t="str">
        <x:v>HC-A-C-N3</x:v>
      </x:c>
      <x:c r="L1055" s="9" t="str">
        <x:v>ST09</x:v>
      </x:c>
      <x:c r="M1055" s="17" t="str">
        <x:v>Operator conflict clear</x:v>
      </x:c>
      <x:c r="N1055" s="17" t="str">
        <x:v>candidate, fixture, safety and measurement control edges remain separated</x:v>
      </x:c>
      <x:c r="O1055" s="17" t="str">
        <x:v>Conflict registrar</x:v>
      </x:c>
      <x:c r="P1055" s="9" t="n">
        <x:v>0</x:v>
      </x:c>
      <x:c r="Q1055" s="9" t="n">
        <x:v>0</x:v>
      </x:c>
      <x:c r="R1055" s="9" t="str">
        <x:v>OPEN / UNSTARTED</x:v>
      </x:c>
      <x:c r="S1055" s="9" t="n">
        <x:f>COUNTIFS($A$7:$A$1446,A1055)</x:f>
        <x:v>1</x:v>
      </x:c>
    </x:row>
    <x:row r="1056">
      <x:c r="A1056" s="9" t="str">
        <x:v>EV-AR-HC-A-C-TECH-3-B1-INT-G0-ST10</x:v>
      </x:c>
      <x:c r="B1056" s="9" t="str">
        <x:v>EV-AR-HC-A-C-TECH-3-B1-INT-G0</x:v>
      </x:c>
      <x:c r="C1056" s="9" t="str">
        <x:v>EOW-AR-HC-A-C-TECH-3-B1-INT-G0</x:v>
      </x:c>
      <x:c r="D1056" s="9" t="str">
        <x:v>AR-HC-A-C-TECH-3-B1-INT-G0</x:v>
      </x:c>
      <x:c r="E1056" s="9" t="str">
        <x:v>HC-A-C-TECH-3</x:v>
      </x:c>
      <x:c r="F1056" s="9" t="str">
        <x:v>HC-A-C</x:v>
      </x:c>
      <x:c r="G1056" s="9" t="str">
        <x:v>B1</x:v>
      </x:c>
      <x:c r="H1056" s="9" t="str">
        <x:v>INT</x:v>
      </x:c>
      <x:c r="I1056" s="9" t="n">
        <x:v>5</x:v>
      </x:c>
      <x:c r="J1056" s="9" t="n">
        <x:v>2</x:v>
      </x:c>
      <x:c r="K1056" s="9" t="str">
        <x:v>HC-A-C-N3</x:v>
      </x:c>
      <x:c r="L1056" s="9" t="str">
        <x:v>ST10</x:v>
      </x:c>
      <x:c r="M1056" s="17" t="str">
        <x:v>Window and common clock</x:v>
      </x:c>
      <x:c r="N1056" s="17" t="str">
        <x:v>epoch, window and public time origin match the issued warrant</x:v>
      </x:c>
      <x:c r="O1056" s="17" t="str">
        <x:v>Event clock authority</x:v>
      </x:c>
      <x:c r="P1056" s="9" t="n">
        <x:v>0</x:v>
      </x:c>
      <x:c r="Q1056" s="9" t="n">
        <x:v>0</x:v>
      </x:c>
      <x:c r="R1056" s="9" t="str">
        <x:v>OPEN / UNSTARTED</x:v>
      </x:c>
      <x:c r="S1056" s="9" t="n">
        <x:f>COUNTIFS($A$7:$A$1446,A1056)</x:f>
        <x:v>1</x:v>
      </x:c>
    </x:row>
    <x:row r="1057">
      <x:c r="A1057" s="9" t="str">
        <x:v>EV-AR-HU-A-B-TECH-2-B2-RCN-G0-ST01</x:v>
      </x:c>
      <x:c r="B1057" s="9" t="str">
        <x:v>EV-AR-HU-A-B-TECH-2-B2-RCN-G0</x:v>
      </x:c>
      <x:c r="C1057" s="9" t="str">
        <x:v>EOW-AR-HU-A-B-TECH-2-B2-RCN-G0</x:v>
      </x:c>
      <x:c r="D1057" s="9" t="str">
        <x:v>AR-HU-A-B-TECH-2-B2-RCN-G0</x:v>
      </x:c>
      <x:c r="E1057" s="9" t="str">
        <x:v>HU-A-B-TECH-2</x:v>
      </x:c>
      <x:c r="F1057" s="9" t="str">
        <x:v>HU-A-B</x:v>
      </x:c>
      <x:c r="G1057" s="9" t="str">
        <x:v>B2</x:v>
      </x:c>
      <x:c r="H1057" s="9" t="str">
        <x:v>RCN</x:v>
      </x:c>
      <x:c r="I1057" s="9" t="n">
        <x:v>5</x:v>
      </x:c>
      <x:c r="J1057" s="9" t="n">
        <x:v>2</x:v>
      </x:c>
      <x:c r="K1057" s="9" t="str">
        <x:v>HU-A-B-N2</x:v>
      </x:c>
      <x:c r="L1057" s="9" t="str">
        <x:v>ST01</x:v>
      </x:c>
      <x:c r="M1057" s="17" t="str">
        <x:v>Active opportunity warrant</x:v>
      </x:c>
      <x:c r="N1057" s="17" t="str">
        <x:v>configuration-bound EOW is within its thirty-six-hour validity</x:v>
      </x:c>
      <x:c r="O1057" s="17" t="str">
        <x:v>Start registrar</x:v>
      </x:c>
      <x:c r="P1057" s="9" t="n">
        <x:v>0</x:v>
      </x:c>
      <x:c r="Q1057" s="9" t="n">
        <x:v>0</x:v>
      </x:c>
      <x:c r="R1057" s="9" t="str">
        <x:v>OPEN / UNSTARTED</x:v>
      </x:c>
      <x:c r="S1057" s="9" t="n">
        <x:f>COUNTIFS($A$7:$A$1446,A1057)</x:f>
        <x:v>1</x:v>
      </x:c>
    </x:row>
    <x:row r="1058">
      <x:c r="A1058" s="9" t="str">
        <x:v>EV-AR-HU-A-B-TECH-2-B2-RCN-G0-ST02</x:v>
      </x:c>
      <x:c r="B1058" s="9" t="str">
        <x:v>EV-AR-HU-A-B-TECH-2-B2-RCN-G0</x:v>
      </x:c>
      <x:c r="C1058" s="9" t="str">
        <x:v>EOW-AR-HU-A-B-TECH-2-B2-RCN-G0</x:v>
      </x:c>
      <x:c r="D1058" s="9" t="str">
        <x:v>AR-HU-A-B-TECH-2-B2-RCN-G0</x:v>
      </x:c>
      <x:c r="E1058" s="9" t="str">
        <x:v>HU-A-B-TECH-2</x:v>
      </x:c>
      <x:c r="F1058" s="9" t="str">
        <x:v>HU-A-B</x:v>
      </x:c>
      <x:c r="G1058" s="9" t="str">
        <x:v>B2</x:v>
      </x:c>
      <x:c r="H1058" s="9" t="str">
        <x:v>RCN</x:v>
      </x:c>
      <x:c r="I1058" s="9" t="n">
        <x:v>5</x:v>
      </x:c>
      <x:c r="J1058" s="9" t="n">
        <x:v>2</x:v>
      </x:c>
      <x:c r="K1058" s="9" t="str">
        <x:v>HU-A-B-N2</x:v>
      </x:c>
      <x:c r="L1058" s="9" t="str">
        <x:v>ST02</x:v>
      </x:c>
      <x:c r="M1058" s="17" t="str">
        <x:v>Frozen identity</x:v>
      </x:c>
      <x:c r="N1058" s="17" t="str">
        <x:v>serial, generation, fixture, site, receiver and digest match the warrant</x:v>
      </x:c>
      <x:c r="O1058" s="17" t="str">
        <x:v>Custody authority</x:v>
      </x:c>
      <x:c r="P1058" s="9" t="n">
        <x:v>0</x:v>
      </x:c>
      <x:c r="Q1058" s="9" t="n">
        <x:v>0</x:v>
      </x:c>
      <x:c r="R1058" s="9" t="str">
        <x:v>OPEN / UNSTARTED</x:v>
      </x:c>
      <x:c r="S1058" s="9" t="n">
        <x:f>COUNTIFS($A$7:$A$1446,A1058)</x:f>
        <x:v>1</x:v>
      </x:c>
    </x:row>
    <x:row r="1059">
      <x:c r="A1059" s="9" t="str">
        <x:v>EV-AR-HU-A-B-TECH-2-B2-RCN-G0-ST03</x:v>
      </x:c>
      <x:c r="B1059" s="9" t="str">
        <x:v>EV-AR-HU-A-B-TECH-2-B2-RCN-G0</x:v>
      </x:c>
      <x:c r="C1059" s="9" t="str">
        <x:v>EOW-AR-HU-A-B-TECH-2-B2-RCN-G0</x:v>
      </x:c>
      <x:c r="D1059" s="9" t="str">
        <x:v>AR-HU-A-B-TECH-2-B2-RCN-G0</x:v>
      </x:c>
      <x:c r="E1059" s="9" t="str">
        <x:v>HU-A-B-TECH-2</x:v>
      </x:c>
      <x:c r="F1059" s="9" t="str">
        <x:v>HU-A-B</x:v>
      </x:c>
      <x:c r="G1059" s="9" t="str">
        <x:v>B2</x:v>
      </x:c>
      <x:c r="H1059" s="9" t="str">
        <x:v>RCN</x:v>
      </x:c>
      <x:c r="I1059" s="9" t="n">
        <x:v>5</x:v>
      </x:c>
      <x:c r="J1059" s="9" t="n">
        <x:v>2</x:v>
      </x:c>
      <x:c r="K1059" s="9" t="str">
        <x:v>HU-A-B-N2</x:v>
      </x:c>
      <x:c r="L1059" s="9" t="str">
        <x:v>ST03</x:v>
      </x:c>
      <x:c r="M1059" s="17" t="str">
        <x:v>Receiver receipt</x:v>
      </x:c>
      <x:c r="N1059" s="17" t="str">
        <x:v>denominator, counterfactual, rights and stop receipt remain unchanged</x:v>
      </x:c>
      <x:c r="O1059" s="17" t="str">
        <x:v>Receiver authority</x:v>
      </x:c>
      <x:c r="P1059" s="9" t="n">
        <x:v>0</x:v>
      </x:c>
      <x:c r="Q1059" s="9" t="n">
        <x:v>0</x:v>
      </x:c>
      <x:c r="R1059" s="9" t="str">
        <x:v>OPEN / UNSTARTED</x:v>
      </x:c>
      <x:c r="S1059" s="9" t="n">
        <x:f>COUNTIFS($A$7:$A$1446,A1059)</x:f>
        <x:v>1</x:v>
      </x:c>
    </x:row>
    <x:row r="1060">
      <x:c r="A1060" s="9" t="str">
        <x:v>EV-AR-HU-A-B-TECH-2-B2-RCN-G0-ST04</x:v>
      </x:c>
      <x:c r="B1060" s="9" t="str">
        <x:v>EV-AR-HU-A-B-TECH-2-B2-RCN-G0</x:v>
      </x:c>
      <x:c r="C1060" s="9" t="str">
        <x:v>EOW-AR-HU-A-B-TECH-2-B2-RCN-G0</x:v>
      </x:c>
      <x:c r="D1060" s="9" t="str">
        <x:v>AR-HU-A-B-TECH-2-B2-RCN-G0</x:v>
      </x:c>
      <x:c r="E1060" s="9" t="str">
        <x:v>HU-A-B-TECH-2</x:v>
      </x:c>
      <x:c r="F1060" s="9" t="str">
        <x:v>HU-A-B</x:v>
      </x:c>
      <x:c r="G1060" s="9" t="str">
        <x:v>B2</x:v>
      </x:c>
      <x:c r="H1060" s="9" t="str">
        <x:v>RCN</x:v>
      </x:c>
      <x:c r="I1060" s="9" t="n">
        <x:v>5</x:v>
      </x:c>
      <x:c r="J1060" s="9" t="n">
        <x:v>2</x:v>
      </x:c>
      <x:c r="K1060" s="9" t="str">
        <x:v>HU-A-B-N2</x:v>
      </x:c>
      <x:c r="L1060" s="9" t="str">
        <x:v>ST04</x:v>
      </x:c>
      <x:c r="M1060" s="17" t="str">
        <x:v>Primary capture armed</x:v>
      </x:c>
      <x:c r="N1060" s="17" t="str">
        <x:v>primary chain records sealed reference and live time</x:v>
      </x:c>
      <x:c r="O1060" s="17" t="str">
        <x:v>Primary metrology</x:v>
      </x:c>
      <x:c r="P1060" s="9" t="n">
        <x:v>0</x:v>
      </x:c>
      <x:c r="Q1060" s="9" t="n">
        <x:v>0</x:v>
      </x:c>
      <x:c r="R1060" s="9" t="str">
        <x:v>OPEN / UNSTARTED</x:v>
      </x:c>
      <x:c r="S1060" s="9" t="n">
        <x:f>COUNTIFS($A$7:$A$1446,A1060)</x:f>
        <x:v>1</x:v>
      </x:c>
    </x:row>
    <x:row r="1061">
      <x:c r="A1061" s="9" t="str">
        <x:v>EV-AR-HU-A-B-TECH-2-B2-RCN-G0-ST05</x:v>
      </x:c>
      <x:c r="B1061" s="9" t="str">
        <x:v>EV-AR-HU-A-B-TECH-2-B2-RCN-G0</x:v>
      </x:c>
      <x:c r="C1061" s="9" t="str">
        <x:v>EOW-AR-HU-A-B-TECH-2-B2-RCN-G0</x:v>
      </x:c>
      <x:c r="D1061" s="9" t="str">
        <x:v>AR-HU-A-B-TECH-2-B2-RCN-G0</x:v>
      </x:c>
      <x:c r="E1061" s="9" t="str">
        <x:v>HU-A-B-TECH-2</x:v>
      </x:c>
      <x:c r="F1061" s="9" t="str">
        <x:v>HU-A-B</x:v>
      </x:c>
      <x:c r="G1061" s="9" t="str">
        <x:v>B2</x:v>
      </x:c>
      <x:c r="H1061" s="9" t="str">
        <x:v>RCN</x:v>
      </x:c>
      <x:c r="I1061" s="9" t="n">
        <x:v>5</x:v>
      </x:c>
      <x:c r="J1061" s="9" t="n">
        <x:v>2</x:v>
      </x:c>
      <x:c r="K1061" s="9" t="str">
        <x:v>HU-A-B-N2</x:v>
      </x:c>
      <x:c r="L1061" s="9" t="str">
        <x:v>ST05</x:v>
      </x:c>
      <x:c r="M1061" s="17" t="str">
        <x:v>Witness capture armed</x:v>
      </x:c>
      <x:c r="N1061" s="17" t="str">
        <x:v>unlike witness records independent reference and live time</x:v>
      </x:c>
      <x:c r="O1061" s="17" t="str">
        <x:v>Witness metrology</x:v>
      </x:c>
      <x:c r="P1061" s="9" t="n">
        <x:v>0</x:v>
      </x:c>
      <x:c r="Q1061" s="9" t="n">
        <x:v>0</x:v>
      </x:c>
      <x:c r="R1061" s="9" t="str">
        <x:v>OPEN / UNSTARTED</x:v>
      </x:c>
      <x:c r="S1061" s="9" t="n">
        <x:f>COUNTIFS($A$7:$A$1446,A1061)</x:f>
        <x:v>1</x:v>
      </x:c>
    </x:row>
    <x:row r="1062">
      <x:c r="A1062" s="9" t="str">
        <x:v>EV-AR-HU-A-B-TECH-2-B2-RCN-G0-ST06</x:v>
      </x:c>
      <x:c r="B1062" s="9" t="str">
        <x:v>EV-AR-HU-A-B-TECH-2-B2-RCN-G0</x:v>
      </x:c>
      <x:c r="C1062" s="9" t="str">
        <x:v>EOW-AR-HU-A-B-TECH-2-B2-RCN-G0</x:v>
      </x:c>
      <x:c r="D1062" s="9" t="str">
        <x:v>AR-HU-A-B-TECH-2-B2-RCN-G0</x:v>
      </x:c>
      <x:c r="E1062" s="9" t="str">
        <x:v>HU-A-B-TECH-2</x:v>
      </x:c>
      <x:c r="F1062" s="9" t="str">
        <x:v>HU-A-B</x:v>
      </x:c>
      <x:c r="G1062" s="9" t="str">
        <x:v>B2</x:v>
      </x:c>
      <x:c r="H1062" s="9" t="str">
        <x:v>RCN</x:v>
      </x:c>
      <x:c r="I1062" s="9" t="n">
        <x:v>5</x:v>
      </x:c>
      <x:c r="J1062" s="9" t="n">
        <x:v>2</x:v>
      </x:c>
      <x:c r="K1062" s="9" t="str">
        <x:v>HU-A-B-N2</x:v>
      </x:c>
      <x:c r="L1062" s="9" t="str">
        <x:v>ST06</x:v>
      </x:c>
      <x:c r="M1062" s="17" t="str">
        <x:v>Public custody armed</x:v>
      </x:c>
      <x:c r="N1062" s="17" t="str">
        <x:v>eight raw origins have separated hash and replica routes</x:v>
      </x:c>
      <x:c r="O1062" s="17" t="str">
        <x:v>Custody authority</x:v>
      </x:c>
      <x:c r="P1062" s="9" t="n">
        <x:v>0</x:v>
      </x:c>
      <x:c r="Q1062" s="9" t="n">
        <x:v>0</x:v>
      </x:c>
      <x:c r="R1062" s="9" t="str">
        <x:v>OPEN / UNSTARTED</x:v>
      </x:c>
      <x:c r="S1062" s="9" t="n">
        <x:f>COUNTIFS($A$7:$A$1446,A1062)</x:f>
        <x:v>1</x:v>
      </x:c>
    </x:row>
    <x:row r="1063">
      <x:c r="A1063" s="9" t="str">
        <x:v>EV-AR-HU-A-B-TECH-2-B2-RCN-G0-ST07</x:v>
      </x:c>
      <x:c r="B1063" s="9" t="str">
        <x:v>EV-AR-HU-A-B-TECH-2-B2-RCN-G0</x:v>
      </x:c>
      <x:c r="C1063" s="9" t="str">
        <x:v>EOW-AR-HU-A-B-TECH-2-B2-RCN-G0</x:v>
      </x:c>
      <x:c r="D1063" s="9" t="str">
        <x:v>AR-HU-A-B-TECH-2-B2-RCN-G0</x:v>
      </x:c>
      <x:c r="E1063" s="9" t="str">
        <x:v>HU-A-B-TECH-2</x:v>
      </x:c>
      <x:c r="F1063" s="9" t="str">
        <x:v>HU-A-B</x:v>
      </x:c>
      <x:c r="G1063" s="9" t="str">
        <x:v>B2</x:v>
      </x:c>
      <x:c r="H1063" s="9" t="str">
        <x:v>RCN</x:v>
      </x:c>
      <x:c r="I1063" s="9" t="n">
        <x:v>5</x:v>
      </x:c>
      <x:c r="J1063" s="9" t="n">
        <x:v>2</x:v>
      </x:c>
      <x:c r="K1063" s="9" t="str">
        <x:v>HU-A-B-N2</x:v>
      </x:c>
      <x:c r="L1063" s="9" t="str">
        <x:v>ST07</x:v>
      </x:c>
      <x:c r="M1063" s="17" t="str">
        <x:v>Environmental baseline</x:v>
      </x:c>
      <x:c r="N1063" s="17" t="str">
        <x:v>pre-event boundary state is sealed before decisive operation</x:v>
      </x:c>
      <x:c r="O1063" s="17" t="str">
        <x:v>Site metrology</x:v>
      </x:c>
      <x:c r="P1063" s="9" t="n">
        <x:v>0</x:v>
      </x:c>
      <x:c r="Q1063" s="9" t="n">
        <x:v>0</x:v>
      </x:c>
      <x:c r="R1063" s="9" t="str">
        <x:v>OPEN / UNSTARTED</x:v>
      </x:c>
      <x:c r="S1063" s="9" t="n">
        <x:f>COUNTIFS($A$7:$A$1446,A1063)</x:f>
        <x:v>1</x:v>
      </x:c>
    </x:row>
    <x:row r="1064">
      <x:c r="A1064" s="9" t="str">
        <x:v>EV-AR-HU-A-B-TECH-2-B2-RCN-G0-ST08</x:v>
      </x:c>
      <x:c r="B1064" s="9" t="str">
        <x:v>EV-AR-HU-A-B-TECH-2-B2-RCN-G0</x:v>
      </x:c>
      <x:c r="C1064" s="9" t="str">
        <x:v>EOW-AR-HU-A-B-TECH-2-B2-RCN-G0</x:v>
      </x:c>
      <x:c r="D1064" s="9" t="str">
        <x:v>AR-HU-A-B-TECH-2-B2-RCN-G0</x:v>
      </x:c>
      <x:c r="E1064" s="9" t="str">
        <x:v>HU-A-B-TECH-2</x:v>
      </x:c>
      <x:c r="F1064" s="9" t="str">
        <x:v>HU-A-B</x:v>
      </x:c>
      <x:c r="G1064" s="9" t="str">
        <x:v>B2</x:v>
      </x:c>
      <x:c r="H1064" s="9" t="str">
        <x:v>RCN</x:v>
      </x:c>
      <x:c r="I1064" s="9" t="n">
        <x:v>5</x:v>
      </x:c>
      <x:c r="J1064" s="9" t="n">
        <x:v>2</x:v>
      </x:c>
      <x:c r="K1064" s="9" t="str">
        <x:v>HU-A-B-N2</x:v>
      </x:c>
      <x:c r="L1064" s="9" t="str">
        <x:v>ST08</x:v>
      </x:c>
      <x:c r="M1064" s="17" t="str">
        <x:v>Manual stop and safety</x:v>
      </x:c>
      <x:c r="N1064" s="17" t="str">
        <x:v>local stop, evacuation and protection routes are active</x:v>
      </x:c>
      <x:c r="O1064" s="17" t="str">
        <x:v>Safety authority</x:v>
      </x:c>
      <x:c r="P1064" s="9" t="n">
        <x:v>0</x:v>
      </x:c>
      <x:c r="Q1064" s="9" t="n">
        <x:v>0</x:v>
      </x:c>
      <x:c r="R1064" s="9" t="str">
        <x:v>OPEN / UNSTARTED</x:v>
      </x:c>
      <x:c r="S1064" s="9" t="n">
        <x:f>COUNTIFS($A$7:$A$1446,A1064)</x:f>
        <x:v>1</x:v>
      </x:c>
    </x:row>
    <x:row r="1065">
      <x:c r="A1065" s="9" t="str">
        <x:v>EV-AR-HU-A-B-TECH-2-B2-RCN-G0-ST09</x:v>
      </x:c>
      <x:c r="B1065" s="9" t="str">
        <x:v>EV-AR-HU-A-B-TECH-2-B2-RCN-G0</x:v>
      </x:c>
      <x:c r="C1065" s="9" t="str">
        <x:v>EOW-AR-HU-A-B-TECH-2-B2-RCN-G0</x:v>
      </x:c>
      <x:c r="D1065" s="9" t="str">
        <x:v>AR-HU-A-B-TECH-2-B2-RCN-G0</x:v>
      </x:c>
      <x:c r="E1065" s="9" t="str">
        <x:v>HU-A-B-TECH-2</x:v>
      </x:c>
      <x:c r="F1065" s="9" t="str">
        <x:v>HU-A-B</x:v>
      </x:c>
      <x:c r="G1065" s="9" t="str">
        <x:v>B2</x:v>
      </x:c>
      <x:c r="H1065" s="9" t="str">
        <x:v>RCN</x:v>
      </x:c>
      <x:c r="I1065" s="9" t="n">
        <x:v>5</x:v>
      </x:c>
      <x:c r="J1065" s="9" t="n">
        <x:v>2</x:v>
      </x:c>
      <x:c r="K1065" s="9" t="str">
        <x:v>HU-A-B-N2</x:v>
      </x:c>
      <x:c r="L1065" s="9" t="str">
        <x:v>ST09</x:v>
      </x:c>
      <x:c r="M1065" s="17" t="str">
        <x:v>Operator conflict clear</x:v>
      </x:c>
      <x:c r="N1065" s="17" t="str">
        <x:v>candidate, fixture, safety and measurement control edges remain separated</x:v>
      </x:c>
      <x:c r="O1065" s="17" t="str">
        <x:v>Conflict registrar</x:v>
      </x:c>
      <x:c r="P1065" s="9" t="n">
        <x:v>0</x:v>
      </x:c>
      <x:c r="Q1065" s="9" t="n">
        <x:v>0</x:v>
      </x:c>
      <x:c r="R1065" s="9" t="str">
        <x:v>OPEN / UNSTARTED</x:v>
      </x:c>
      <x:c r="S1065" s="9" t="n">
        <x:f>COUNTIFS($A$7:$A$1446,A1065)</x:f>
        <x:v>1</x:v>
      </x:c>
    </x:row>
    <x:row r="1066">
      <x:c r="A1066" s="9" t="str">
        <x:v>EV-AR-HU-A-B-TECH-2-B2-RCN-G0-ST10</x:v>
      </x:c>
      <x:c r="B1066" s="9" t="str">
        <x:v>EV-AR-HU-A-B-TECH-2-B2-RCN-G0</x:v>
      </x:c>
      <x:c r="C1066" s="9" t="str">
        <x:v>EOW-AR-HU-A-B-TECH-2-B2-RCN-G0</x:v>
      </x:c>
      <x:c r="D1066" s="9" t="str">
        <x:v>AR-HU-A-B-TECH-2-B2-RCN-G0</x:v>
      </x:c>
      <x:c r="E1066" s="9" t="str">
        <x:v>HU-A-B-TECH-2</x:v>
      </x:c>
      <x:c r="F1066" s="9" t="str">
        <x:v>HU-A-B</x:v>
      </x:c>
      <x:c r="G1066" s="9" t="str">
        <x:v>B2</x:v>
      </x:c>
      <x:c r="H1066" s="9" t="str">
        <x:v>RCN</x:v>
      </x:c>
      <x:c r="I1066" s="9" t="n">
        <x:v>5</x:v>
      </x:c>
      <x:c r="J1066" s="9" t="n">
        <x:v>2</x:v>
      </x:c>
      <x:c r="K1066" s="9" t="str">
        <x:v>HU-A-B-N2</x:v>
      </x:c>
      <x:c r="L1066" s="9" t="str">
        <x:v>ST10</x:v>
      </x:c>
      <x:c r="M1066" s="17" t="str">
        <x:v>Window and common clock</x:v>
      </x:c>
      <x:c r="N1066" s="17" t="str">
        <x:v>epoch, window and public time origin match the issued warrant</x:v>
      </x:c>
      <x:c r="O1066" s="17" t="str">
        <x:v>Event clock authority</x:v>
      </x:c>
      <x:c r="P1066" s="9" t="n">
        <x:v>0</x:v>
      </x:c>
      <x:c r="Q1066" s="9" t="n">
        <x:v>0</x:v>
      </x:c>
      <x:c r="R1066" s="9" t="str">
        <x:v>OPEN / UNSTARTED</x:v>
      </x:c>
      <x:c r="S1066" s="9" t="n">
        <x:f>COUNTIFS($A$7:$A$1446,A1066)</x:f>
        <x:v>1</x:v>
      </x:c>
    </x:row>
    <x:row r="1067">
      <x:c r="A1067" s="9" t="str">
        <x:v>EV-AR-LF-B-A-TECH-2-B1-INT-G0-ST01</x:v>
      </x:c>
      <x:c r="B1067" s="9" t="str">
        <x:v>EV-AR-LF-B-A-TECH-2-B1-INT-G0</x:v>
      </x:c>
      <x:c r="C1067" s="9" t="str">
        <x:v>EOW-AR-LF-B-A-TECH-2-B1-INT-G0</x:v>
      </x:c>
      <x:c r="D1067" s="9" t="str">
        <x:v>AR-LF-B-A-TECH-2-B1-INT-G0</x:v>
      </x:c>
      <x:c r="E1067" s="9" t="str">
        <x:v>LF-B-A-TECH-2</x:v>
      </x:c>
      <x:c r="F1067" s="9" t="str">
        <x:v>LF-B-A</x:v>
      </x:c>
      <x:c r="G1067" s="9" t="str">
        <x:v>B1</x:v>
      </x:c>
      <x:c r="H1067" s="9" t="str">
        <x:v>INT</x:v>
      </x:c>
      <x:c r="I1067" s="9" t="n">
        <x:v>5</x:v>
      </x:c>
      <x:c r="J1067" s="9" t="n">
        <x:v>2</x:v>
      </x:c>
      <x:c r="K1067" s="9" t="str">
        <x:v>LF-B-A-N3</x:v>
      </x:c>
      <x:c r="L1067" s="9" t="str">
        <x:v>ST01</x:v>
      </x:c>
      <x:c r="M1067" s="17" t="str">
        <x:v>Active opportunity warrant</x:v>
      </x:c>
      <x:c r="N1067" s="17" t="str">
        <x:v>configuration-bound EOW is within its thirty-six-hour validity</x:v>
      </x:c>
      <x:c r="O1067" s="17" t="str">
        <x:v>Start registrar</x:v>
      </x:c>
      <x:c r="P1067" s="9" t="n">
        <x:v>0</x:v>
      </x:c>
      <x:c r="Q1067" s="9" t="n">
        <x:v>0</x:v>
      </x:c>
      <x:c r="R1067" s="9" t="str">
        <x:v>OPEN / UNSTARTED</x:v>
      </x:c>
      <x:c r="S1067" s="9" t="n">
        <x:f>COUNTIFS($A$7:$A$1446,A1067)</x:f>
        <x:v>1</x:v>
      </x:c>
    </x:row>
    <x:row r="1068">
      <x:c r="A1068" s="9" t="str">
        <x:v>EV-AR-LF-B-A-TECH-2-B1-INT-G0-ST02</x:v>
      </x:c>
      <x:c r="B1068" s="9" t="str">
        <x:v>EV-AR-LF-B-A-TECH-2-B1-INT-G0</x:v>
      </x:c>
      <x:c r="C1068" s="9" t="str">
        <x:v>EOW-AR-LF-B-A-TECH-2-B1-INT-G0</x:v>
      </x:c>
      <x:c r="D1068" s="9" t="str">
        <x:v>AR-LF-B-A-TECH-2-B1-INT-G0</x:v>
      </x:c>
      <x:c r="E1068" s="9" t="str">
        <x:v>LF-B-A-TECH-2</x:v>
      </x:c>
      <x:c r="F1068" s="9" t="str">
        <x:v>LF-B-A</x:v>
      </x:c>
      <x:c r="G1068" s="9" t="str">
        <x:v>B1</x:v>
      </x:c>
      <x:c r="H1068" s="9" t="str">
        <x:v>INT</x:v>
      </x:c>
      <x:c r="I1068" s="9" t="n">
        <x:v>5</x:v>
      </x:c>
      <x:c r="J1068" s="9" t="n">
        <x:v>2</x:v>
      </x:c>
      <x:c r="K1068" s="9" t="str">
        <x:v>LF-B-A-N3</x:v>
      </x:c>
      <x:c r="L1068" s="9" t="str">
        <x:v>ST02</x:v>
      </x:c>
      <x:c r="M1068" s="17" t="str">
        <x:v>Frozen identity</x:v>
      </x:c>
      <x:c r="N1068" s="17" t="str">
        <x:v>serial, generation, fixture, site, receiver and digest match the warrant</x:v>
      </x:c>
      <x:c r="O1068" s="17" t="str">
        <x:v>Custody authority</x:v>
      </x:c>
      <x:c r="P1068" s="9" t="n">
        <x:v>0</x:v>
      </x:c>
      <x:c r="Q1068" s="9" t="n">
        <x:v>0</x:v>
      </x:c>
      <x:c r="R1068" s="9" t="str">
        <x:v>OPEN / UNSTARTED</x:v>
      </x:c>
      <x:c r="S1068" s="9" t="n">
        <x:f>COUNTIFS($A$7:$A$1446,A1068)</x:f>
        <x:v>1</x:v>
      </x:c>
    </x:row>
    <x:row r="1069">
      <x:c r="A1069" s="9" t="str">
        <x:v>EV-AR-LF-B-A-TECH-2-B1-INT-G0-ST03</x:v>
      </x:c>
      <x:c r="B1069" s="9" t="str">
        <x:v>EV-AR-LF-B-A-TECH-2-B1-INT-G0</x:v>
      </x:c>
      <x:c r="C1069" s="9" t="str">
        <x:v>EOW-AR-LF-B-A-TECH-2-B1-INT-G0</x:v>
      </x:c>
      <x:c r="D1069" s="9" t="str">
        <x:v>AR-LF-B-A-TECH-2-B1-INT-G0</x:v>
      </x:c>
      <x:c r="E1069" s="9" t="str">
        <x:v>LF-B-A-TECH-2</x:v>
      </x:c>
      <x:c r="F1069" s="9" t="str">
        <x:v>LF-B-A</x:v>
      </x:c>
      <x:c r="G1069" s="9" t="str">
        <x:v>B1</x:v>
      </x:c>
      <x:c r="H1069" s="9" t="str">
        <x:v>INT</x:v>
      </x:c>
      <x:c r="I1069" s="9" t="n">
        <x:v>5</x:v>
      </x:c>
      <x:c r="J1069" s="9" t="n">
        <x:v>2</x:v>
      </x:c>
      <x:c r="K1069" s="9" t="str">
        <x:v>LF-B-A-N3</x:v>
      </x:c>
      <x:c r="L1069" s="9" t="str">
        <x:v>ST03</x:v>
      </x:c>
      <x:c r="M1069" s="17" t="str">
        <x:v>Receiver receipt</x:v>
      </x:c>
      <x:c r="N1069" s="17" t="str">
        <x:v>denominator, counterfactual, rights and stop receipt remain unchanged</x:v>
      </x:c>
      <x:c r="O1069" s="17" t="str">
        <x:v>Receiver authority</x:v>
      </x:c>
      <x:c r="P1069" s="9" t="n">
        <x:v>0</x:v>
      </x:c>
      <x:c r="Q1069" s="9" t="n">
        <x:v>0</x:v>
      </x:c>
      <x:c r="R1069" s="9" t="str">
        <x:v>OPEN / UNSTARTED</x:v>
      </x:c>
      <x:c r="S1069" s="9" t="n">
        <x:f>COUNTIFS($A$7:$A$1446,A1069)</x:f>
        <x:v>1</x:v>
      </x:c>
    </x:row>
    <x:row r="1070">
      <x:c r="A1070" s="9" t="str">
        <x:v>EV-AR-LF-B-A-TECH-2-B1-INT-G0-ST04</x:v>
      </x:c>
      <x:c r="B1070" s="9" t="str">
        <x:v>EV-AR-LF-B-A-TECH-2-B1-INT-G0</x:v>
      </x:c>
      <x:c r="C1070" s="9" t="str">
        <x:v>EOW-AR-LF-B-A-TECH-2-B1-INT-G0</x:v>
      </x:c>
      <x:c r="D1070" s="9" t="str">
        <x:v>AR-LF-B-A-TECH-2-B1-INT-G0</x:v>
      </x:c>
      <x:c r="E1070" s="9" t="str">
        <x:v>LF-B-A-TECH-2</x:v>
      </x:c>
      <x:c r="F1070" s="9" t="str">
        <x:v>LF-B-A</x:v>
      </x:c>
      <x:c r="G1070" s="9" t="str">
        <x:v>B1</x:v>
      </x:c>
      <x:c r="H1070" s="9" t="str">
        <x:v>INT</x:v>
      </x:c>
      <x:c r="I1070" s="9" t="n">
        <x:v>5</x:v>
      </x:c>
      <x:c r="J1070" s="9" t="n">
        <x:v>2</x:v>
      </x:c>
      <x:c r="K1070" s="9" t="str">
        <x:v>LF-B-A-N3</x:v>
      </x:c>
      <x:c r="L1070" s="9" t="str">
        <x:v>ST04</x:v>
      </x:c>
      <x:c r="M1070" s="17" t="str">
        <x:v>Primary capture armed</x:v>
      </x:c>
      <x:c r="N1070" s="17" t="str">
        <x:v>primary chain records sealed reference and live time</x:v>
      </x:c>
      <x:c r="O1070" s="17" t="str">
        <x:v>Primary metrology</x:v>
      </x:c>
      <x:c r="P1070" s="9" t="n">
        <x:v>0</x:v>
      </x:c>
      <x:c r="Q1070" s="9" t="n">
        <x:v>0</x:v>
      </x:c>
      <x:c r="R1070" s="9" t="str">
        <x:v>OPEN / UNSTARTED</x:v>
      </x:c>
      <x:c r="S1070" s="9" t="n">
        <x:f>COUNTIFS($A$7:$A$1446,A1070)</x:f>
        <x:v>1</x:v>
      </x:c>
    </x:row>
    <x:row r="1071">
      <x:c r="A1071" s="9" t="str">
        <x:v>EV-AR-LF-B-A-TECH-2-B1-INT-G0-ST05</x:v>
      </x:c>
      <x:c r="B1071" s="9" t="str">
        <x:v>EV-AR-LF-B-A-TECH-2-B1-INT-G0</x:v>
      </x:c>
      <x:c r="C1071" s="9" t="str">
        <x:v>EOW-AR-LF-B-A-TECH-2-B1-INT-G0</x:v>
      </x:c>
      <x:c r="D1071" s="9" t="str">
        <x:v>AR-LF-B-A-TECH-2-B1-INT-G0</x:v>
      </x:c>
      <x:c r="E1071" s="9" t="str">
        <x:v>LF-B-A-TECH-2</x:v>
      </x:c>
      <x:c r="F1071" s="9" t="str">
        <x:v>LF-B-A</x:v>
      </x:c>
      <x:c r="G1071" s="9" t="str">
        <x:v>B1</x:v>
      </x:c>
      <x:c r="H1071" s="9" t="str">
        <x:v>INT</x:v>
      </x:c>
      <x:c r="I1071" s="9" t="n">
        <x:v>5</x:v>
      </x:c>
      <x:c r="J1071" s="9" t="n">
        <x:v>2</x:v>
      </x:c>
      <x:c r="K1071" s="9" t="str">
        <x:v>LF-B-A-N3</x:v>
      </x:c>
      <x:c r="L1071" s="9" t="str">
        <x:v>ST05</x:v>
      </x:c>
      <x:c r="M1071" s="17" t="str">
        <x:v>Witness capture armed</x:v>
      </x:c>
      <x:c r="N1071" s="17" t="str">
        <x:v>unlike witness records independent reference and live time</x:v>
      </x:c>
      <x:c r="O1071" s="17" t="str">
        <x:v>Witness metrology</x:v>
      </x:c>
      <x:c r="P1071" s="9" t="n">
        <x:v>0</x:v>
      </x:c>
      <x:c r="Q1071" s="9" t="n">
        <x:v>0</x:v>
      </x:c>
      <x:c r="R1071" s="9" t="str">
        <x:v>OPEN / UNSTARTED</x:v>
      </x:c>
      <x:c r="S1071" s="9" t="n">
        <x:f>COUNTIFS($A$7:$A$1446,A1071)</x:f>
        <x:v>1</x:v>
      </x:c>
    </x:row>
    <x:row r="1072">
      <x:c r="A1072" s="9" t="str">
        <x:v>EV-AR-LF-B-A-TECH-2-B1-INT-G0-ST06</x:v>
      </x:c>
      <x:c r="B1072" s="9" t="str">
        <x:v>EV-AR-LF-B-A-TECH-2-B1-INT-G0</x:v>
      </x:c>
      <x:c r="C1072" s="9" t="str">
        <x:v>EOW-AR-LF-B-A-TECH-2-B1-INT-G0</x:v>
      </x:c>
      <x:c r="D1072" s="9" t="str">
        <x:v>AR-LF-B-A-TECH-2-B1-INT-G0</x:v>
      </x:c>
      <x:c r="E1072" s="9" t="str">
        <x:v>LF-B-A-TECH-2</x:v>
      </x:c>
      <x:c r="F1072" s="9" t="str">
        <x:v>LF-B-A</x:v>
      </x:c>
      <x:c r="G1072" s="9" t="str">
        <x:v>B1</x:v>
      </x:c>
      <x:c r="H1072" s="9" t="str">
        <x:v>INT</x:v>
      </x:c>
      <x:c r="I1072" s="9" t="n">
        <x:v>5</x:v>
      </x:c>
      <x:c r="J1072" s="9" t="n">
        <x:v>2</x:v>
      </x:c>
      <x:c r="K1072" s="9" t="str">
        <x:v>LF-B-A-N3</x:v>
      </x:c>
      <x:c r="L1072" s="9" t="str">
        <x:v>ST06</x:v>
      </x:c>
      <x:c r="M1072" s="17" t="str">
        <x:v>Public custody armed</x:v>
      </x:c>
      <x:c r="N1072" s="17" t="str">
        <x:v>eight raw origins have separated hash and replica routes</x:v>
      </x:c>
      <x:c r="O1072" s="17" t="str">
        <x:v>Custody authority</x:v>
      </x:c>
      <x:c r="P1072" s="9" t="n">
        <x:v>0</x:v>
      </x:c>
      <x:c r="Q1072" s="9" t="n">
        <x:v>0</x:v>
      </x:c>
      <x:c r="R1072" s="9" t="str">
        <x:v>OPEN / UNSTARTED</x:v>
      </x:c>
      <x:c r="S1072" s="9" t="n">
        <x:f>COUNTIFS($A$7:$A$1446,A1072)</x:f>
        <x:v>1</x:v>
      </x:c>
    </x:row>
    <x:row r="1073">
      <x:c r="A1073" s="9" t="str">
        <x:v>EV-AR-LF-B-A-TECH-2-B1-INT-G0-ST07</x:v>
      </x:c>
      <x:c r="B1073" s="9" t="str">
        <x:v>EV-AR-LF-B-A-TECH-2-B1-INT-G0</x:v>
      </x:c>
      <x:c r="C1073" s="9" t="str">
        <x:v>EOW-AR-LF-B-A-TECH-2-B1-INT-G0</x:v>
      </x:c>
      <x:c r="D1073" s="9" t="str">
        <x:v>AR-LF-B-A-TECH-2-B1-INT-G0</x:v>
      </x:c>
      <x:c r="E1073" s="9" t="str">
        <x:v>LF-B-A-TECH-2</x:v>
      </x:c>
      <x:c r="F1073" s="9" t="str">
        <x:v>LF-B-A</x:v>
      </x:c>
      <x:c r="G1073" s="9" t="str">
        <x:v>B1</x:v>
      </x:c>
      <x:c r="H1073" s="9" t="str">
        <x:v>INT</x:v>
      </x:c>
      <x:c r="I1073" s="9" t="n">
        <x:v>5</x:v>
      </x:c>
      <x:c r="J1073" s="9" t="n">
        <x:v>2</x:v>
      </x:c>
      <x:c r="K1073" s="9" t="str">
        <x:v>LF-B-A-N3</x:v>
      </x:c>
      <x:c r="L1073" s="9" t="str">
        <x:v>ST07</x:v>
      </x:c>
      <x:c r="M1073" s="17" t="str">
        <x:v>Environmental baseline</x:v>
      </x:c>
      <x:c r="N1073" s="17" t="str">
        <x:v>pre-event boundary state is sealed before decisive operation</x:v>
      </x:c>
      <x:c r="O1073" s="17" t="str">
        <x:v>Site metrology</x:v>
      </x:c>
      <x:c r="P1073" s="9" t="n">
        <x:v>0</x:v>
      </x:c>
      <x:c r="Q1073" s="9" t="n">
        <x:v>0</x:v>
      </x:c>
      <x:c r="R1073" s="9" t="str">
        <x:v>OPEN / UNSTARTED</x:v>
      </x:c>
      <x:c r="S1073" s="9" t="n">
        <x:f>COUNTIFS($A$7:$A$1446,A1073)</x:f>
        <x:v>1</x:v>
      </x:c>
    </x:row>
    <x:row r="1074">
      <x:c r="A1074" s="9" t="str">
        <x:v>EV-AR-LF-B-A-TECH-2-B1-INT-G0-ST08</x:v>
      </x:c>
      <x:c r="B1074" s="9" t="str">
        <x:v>EV-AR-LF-B-A-TECH-2-B1-INT-G0</x:v>
      </x:c>
      <x:c r="C1074" s="9" t="str">
        <x:v>EOW-AR-LF-B-A-TECH-2-B1-INT-G0</x:v>
      </x:c>
      <x:c r="D1074" s="9" t="str">
        <x:v>AR-LF-B-A-TECH-2-B1-INT-G0</x:v>
      </x:c>
      <x:c r="E1074" s="9" t="str">
        <x:v>LF-B-A-TECH-2</x:v>
      </x:c>
      <x:c r="F1074" s="9" t="str">
        <x:v>LF-B-A</x:v>
      </x:c>
      <x:c r="G1074" s="9" t="str">
        <x:v>B1</x:v>
      </x:c>
      <x:c r="H1074" s="9" t="str">
        <x:v>INT</x:v>
      </x:c>
      <x:c r="I1074" s="9" t="n">
        <x:v>5</x:v>
      </x:c>
      <x:c r="J1074" s="9" t="n">
        <x:v>2</x:v>
      </x:c>
      <x:c r="K1074" s="9" t="str">
        <x:v>LF-B-A-N3</x:v>
      </x:c>
      <x:c r="L1074" s="9" t="str">
        <x:v>ST08</x:v>
      </x:c>
      <x:c r="M1074" s="17" t="str">
        <x:v>Manual stop and safety</x:v>
      </x:c>
      <x:c r="N1074" s="17" t="str">
        <x:v>local stop, evacuation and protection routes are active</x:v>
      </x:c>
      <x:c r="O1074" s="17" t="str">
        <x:v>Safety authority</x:v>
      </x:c>
      <x:c r="P1074" s="9" t="n">
        <x:v>0</x:v>
      </x:c>
      <x:c r="Q1074" s="9" t="n">
        <x:v>0</x:v>
      </x:c>
      <x:c r="R1074" s="9" t="str">
        <x:v>OPEN / UNSTARTED</x:v>
      </x:c>
      <x:c r="S1074" s="9" t="n">
        <x:f>COUNTIFS($A$7:$A$1446,A1074)</x:f>
        <x:v>1</x:v>
      </x:c>
    </x:row>
    <x:row r="1075">
      <x:c r="A1075" s="9" t="str">
        <x:v>EV-AR-LF-B-A-TECH-2-B1-INT-G0-ST09</x:v>
      </x:c>
      <x:c r="B1075" s="9" t="str">
        <x:v>EV-AR-LF-B-A-TECH-2-B1-INT-G0</x:v>
      </x:c>
      <x:c r="C1075" s="9" t="str">
        <x:v>EOW-AR-LF-B-A-TECH-2-B1-INT-G0</x:v>
      </x:c>
      <x:c r="D1075" s="9" t="str">
        <x:v>AR-LF-B-A-TECH-2-B1-INT-G0</x:v>
      </x:c>
      <x:c r="E1075" s="9" t="str">
        <x:v>LF-B-A-TECH-2</x:v>
      </x:c>
      <x:c r="F1075" s="9" t="str">
        <x:v>LF-B-A</x:v>
      </x:c>
      <x:c r="G1075" s="9" t="str">
        <x:v>B1</x:v>
      </x:c>
      <x:c r="H1075" s="9" t="str">
        <x:v>INT</x:v>
      </x:c>
      <x:c r="I1075" s="9" t="n">
        <x:v>5</x:v>
      </x:c>
      <x:c r="J1075" s="9" t="n">
        <x:v>2</x:v>
      </x:c>
      <x:c r="K1075" s="9" t="str">
        <x:v>LF-B-A-N3</x:v>
      </x:c>
      <x:c r="L1075" s="9" t="str">
        <x:v>ST09</x:v>
      </x:c>
      <x:c r="M1075" s="17" t="str">
        <x:v>Operator conflict clear</x:v>
      </x:c>
      <x:c r="N1075" s="17" t="str">
        <x:v>candidate, fixture, safety and measurement control edges remain separated</x:v>
      </x:c>
      <x:c r="O1075" s="17" t="str">
        <x:v>Conflict registrar</x:v>
      </x:c>
      <x:c r="P1075" s="9" t="n">
        <x:v>0</x:v>
      </x:c>
      <x:c r="Q1075" s="9" t="n">
        <x:v>0</x:v>
      </x:c>
      <x:c r="R1075" s="9" t="str">
        <x:v>OPEN / UNSTARTED</x:v>
      </x:c>
      <x:c r="S1075" s="9" t="n">
        <x:f>COUNTIFS($A$7:$A$1446,A1075)</x:f>
        <x:v>1</x:v>
      </x:c>
    </x:row>
    <x:row r="1076">
      <x:c r="A1076" s="9" t="str">
        <x:v>EV-AR-LF-B-A-TECH-2-B1-INT-G0-ST10</x:v>
      </x:c>
      <x:c r="B1076" s="9" t="str">
        <x:v>EV-AR-LF-B-A-TECH-2-B1-INT-G0</x:v>
      </x:c>
      <x:c r="C1076" s="9" t="str">
        <x:v>EOW-AR-LF-B-A-TECH-2-B1-INT-G0</x:v>
      </x:c>
      <x:c r="D1076" s="9" t="str">
        <x:v>AR-LF-B-A-TECH-2-B1-INT-G0</x:v>
      </x:c>
      <x:c r="E1076" s="9" t="str">
        <x:v>LF-B-A-TECH-2</x:v>
      </x:c>
      <x:c r="F1076" s="9" t="str">
        <x:v>LF-B-A</x:v>
      </x:c>
      <x:c r="G1076" s="9" t="str">
        <x:v>B1</x:v>
      </x:c>
      <x:c r="H1076" s="9" t="str">
        <x:v>INT</x:v>
      </x:c>
      <x:c r="I1076" s="9" t="n">
        <x:v>5</x:v>
      </x:c>
      <x:c r="J1076" s="9" t="n">
        <x:v>2</x:v>
      </x:c>
      <x:c r="K1076" s="9" t="str">
        <x:v>LF-B-A-N3</x:v>
      </x:c>
      <x:c r="L1076" s="9" t="str">
        <x:v>ST10</x:v>
      </x:c>
      <x:c r="M1076" s="17" t="str">
        <x:v>Window and common clock</x:v>
      </x:c>
      <x:c r="N1076" s="17" t="str">
        <x:v>epoch, window and public time origin match the issued warrant</x:v>
      </x:c>
      <x:c r="O1076" s="17" t="str">
        <x:v>Event clock authority</x:v>
      </x:c>
      <x:c r="P1076" s="9" t="n">
        <x:v>0</x:v>
      </x:c>
      <x:c r="Q1076" s="9" t="n">
        <x:v>0</x:v>
      </x:c>
      <x:c r="R1076" s="9" t="str">
        <x:v>OPEN / UNSTARTED</x:v>
      </x:c>
      <x:c r="S1076" s="9" t="n">
        <x:f>COUNTIFS($A$7:$A$1446,A1076)</x:f>
        <x:v>1</x:v>
      </x:c>
    </x:row>
    <x:row r="1077">
      <x:c r="A1077" s="9" t="str">
        <x:v>EV-AR-RT-B-C-TECH-2-B1-RCN-G0-ST01</x:v>
      </x:c>
      <x:c r="B1077" s="9" t="str">
        <x:v>EV-AR-RT-B-C-TECH-2-B1-RCN-G0</x:v>
      </x:c>
      <x:c r="C1077" s="9" t="str">
        <x:v>EOW-AR-RT-B-C-TECH-2-B1-RCN-G0</x:v>
      </x:c>
      <x:c r="D1077" s="9" t="str">
        <x:v>AR-RT-B-C-TECH-2-B1-RCN-G0</x:v>
      </x:c>
      <x:c r="E1077" s="9" t="str">
        <x:v>RT-B-C-TECH-2</x:v>
      </x:c>
      <x:c r="F1077" s="9" t="str">
        <x:v>RT-B-C</x:v>
      </x:c>
      <x:c r="G1077" s="9" t="str">
        <x:v>B1</x:v>
      </x:c>
      <x:c r="H1077" s="9" t="str">
        <x:v>RCN</x:v>
      </x:c>
      <x:c r="I1077" s="9" t="n">
        <x:v>5</x:v>
      </x:c>
      <x:c r="J1077" s="9" t="n">
        <x:v>2</x:v>
      </x:c>
      <x:c r="K1077" s="9" t="str">
        <x:v>RT-B-C-N3</x:v>
      </x:c>
      <x:c r="L1077" s="9" t="str">
        <x:v>ST01</x:v>
      </x:c>
      <x:c r="M1077" s="17" t="str">
        <x:v>Active opportunity warrant</x:v>
      </x:c>
      <x:c r="N1077" s="17" t="str">
        <x:v>configuration-bound EOW is within its thirty-six-hour validity</x:v>
      </x:c>
      <x:c r="O1077" s="17" t="str">
        <x:v>Start registrar</x:v>
      </x:c>
      <x:c r="P1077" s="9" t="n">
        <x:v>0</x:v>
      </x:c>
      <x:c r="Q1077" s="9" t="n">
        <x:v>0</x:v>
      </x:c>
      <x:c r="R1077" s="9" t="str">
        <x:v>OPEN / UNSTARTED</x:v>
      </x:c>
      <x:c r="S1077" s="9" t="n">
        <x:f>COUNTIFS($A$7:$A$1446,A1077)</x:f>
        <x:v>1</x:v>
      </x:c>
    </x:row>
    <x:row r="1078">
      <x:c r="A1078" s="9" t="str">
        <x:v>EV-AR-RT-B-C-TECH-2-B1-RCN-G0-ST02</x:v>
      </x:c>
      <x:c r="B1078" s="9" t="str">
        <x:v>EV-AR-RT-B-C-TECH-2-B1-RCN-G0</x:v>
      </x:c>
      <x:c r="C1078" s="9" t="str">
        <x:v>EOW-AR-RT-B-C-TECH-2-B1-RCN-G0</x:v>
      </x:c>
      <x:c r="D1078" s="9" t="str">
        <x:v>AR-RT-B-C-TECH-2-B1-RCN-G0</x:v>
      </x:c>
      <x:c r="E1078" s="9" t="str">
        <x:v>RT-B-C-TECH-2</x:v>
      </x:c>
      <x:c r="F1078" s="9" t="str">
        <x:v>RT-B-C</x:v>
      </x:c>
      <x:c r="G1078" s="9" t="str">
        <x:v>B1</x:v>
      </x:c>
      <x:c r="H1078" s="9" t="str">
        <x:v>RCN</x:v>
      </x:c>
      <x:c r="I1078" s="9" t="n">
        <x:v>5</x:v>
      </x:c>
      <x:c r="J1078" s="9" t="n">
        <x:v>2</x:v>
      </x:c>
      <x:c r="K1078" s="9" t="str">
        <x:v>RT-B-C-N3</x:v>
      </x:c>
      <x:c r="L1078" s="9" t="str">
        <x:v>ST02</x:v>
      </x:c>
      <x:c r="M1078" s="17" t="str">
        <x:v>Frozen identity</x:v>
      </x:c>
      <x:c r="N1078" s="17" t="str">
        <x:v>serial, generation, fixture, site, receiver and digest match the warrant</x:v>
      </x:c>
      <x:c r="O1078" s="17" t="str">
        <x:v>Custody authority</x:v>
      </x:c>
      <x:c r="P1078" s="9" t="n">
        <x:v>0</x:v>
      </x:c>
      <x:c r="Q1078" s="9" t="n">
        <x:v>0</x:v>
      </x:c>
      <x:c r="R1078" s="9" t="str">
        <x:v>OPEN / UNSTARTED</x:v>
      </x:c>
      <x:c r="S1078" s="9" t="n">
        <x:f>COUNTIFS($A$7:$A$1446,A1078)</x:f>
        <x:v>1</x:v>
      </x:c>
    </x:row>
    <x:row r="1079">
      <x:c r="A1079" s="9" t="str">
        <x:v>EV-AR-RT-B-C-TECH-2-B1-RCN-G0-ST03</x:v>
      </x:c>
      <x:c r="B1079" s="9" t="str">
        <x:v>EV-AR-RT-B-C-TECH-2-B1-RCN-G0</x:v>
      </x:c>
      <x:c r="C1079" s="9" t="str">
        <x:v>EOW-AR-RT-B-C-TECH-2-B1-RCN-G0</x:v>
      </x:c>
      <x:c r="D1079" s="9" t="str">
        <x:v>AR-RT-B-C-TECH-2-B1-RCN-G0</x:v>
      </x:c>
      <x:c r="E1079" s="9" t="str">
        <x:v>RT-B-C-TECH-2</x:v>
      </x:c>
      <x:c r="F1079" s="9" t="str">
        <x:v>RT-B-C</x:v>
      </x:c>
      <x:c r="G1079" s="9" t="str">
        <x:v>B1</x:v>
      </x:c>
      <x:c r="H1079" s="9" t="str">
        <x:v>RCN</x:v>
      </x:c>
      <x:c r="I1079" s="9" t="n">
        <x:v>5</x:v>
      </x:c>
      <x:c r="J1079" s="9" t="n">
        <x:v>2</x:v>
      </x:c>
      <x:c r="K1079" s="9" t="str">
        <x:v>RT-B-C-N3</x:v>
      </x:c>
      <x:c r="L1079" s="9" t="str">
        <x:v>ST03</x:v>
      </x:c>
      <x:c r="M1079" s="17" t="str">
        <x:v>Receiver receipt</x:v>
      </x:c>
      <x:c r="N1079" s="17" t="str">
        <x:v>denominator, counterfactual, rights and stop receipt remain unchanged</x:v>
      </x:c>
      <x:c r="O1079" s="17" t="str">
        <x:v>Receiver authority</x:v>
      </x:c>
      <x:c r="P1079" s="9" t="n">
        <x:v>0</x:v>
      </x:c>
      <x:c r="Q1079" s="9" t="n">
        <x:v>0</x:v>
      </x:c>
      <x:c r="R1079" s="9" t="str">
        <x:v>OPEN / UNSTARTED</x:v>
      </x:c>
      <x:c r="S1079" s="9" t="n">
        <x:f>COUNTIFS($A$7:$A$1446,A1079)</x:f>
        <x:v>1</x:v>
      </x:c>
    </x:row>
    <x:row r="1080">
      <x:c r="A1080" s="9" t="str">
        <x:v>EV-AR-RT-B-C-TECH-2-B1-RCN-G0-ST04</x:v>
      </x:c>
      <x:c r="B1080" s="9" t="str">
        <x:v>EV-AR-RT-B-C-TECH-2-B1-RCN-G0</x:v>
      </x:c>
      <x:c r="C1080" s="9" t="str">
        <x:v>EOW-AR-RT-B-C-TECH-2-B1-RCN-G0</x:v>
      </x:c>
      <x:c r="D1080" s="9" t="str">
        <x:v>AR-RT-B-C-TECH-2-B1-RCN-G0</x:v>
      </x:c>
      <x:c r="E1080" s="9" t="str">
        <x:v>RT-B-C-TECH-2</x:v>
      </x:c>
      <x:c r="F1080" s="9" t="str">
        <x:v>RT-B-C</x:v>
      </x:c>
      <x:c r="G1080" s="9" t="str">
        <x:v>B1</x:v>
      </x:c>
      <x:c r="H1080" s="9" t="str">
        <x:v>RCN</x:v>
      </x:c>
      <x:c r="I1080" s="9" t="n">
        <x:v>5</x:v>
      </x:c>
      <x:c r="J1080" s="9" t="n">
        <x:v>2</x:v>
      </x:c>
      <x:c r="K1080" s="9" t="str">
        <x:v>RT-B-C-N3</x:v>
      </x:c>
      <x:c r="L1080" s="9" t="str">
        <x:v>ST04</x:v>
      </x:c>
      <x:c r="M1080" s="17" t="str">
        <x:v>Primary capture armed</x:v>
      </x:c>
      <x:c r="N1080" s="17" t="str">
        <x:v>primary chain records sealed reference and live time</x:v>
      </x:c>
      <x:c r="O1080" s="17" t="str">
        <x:v>Primary metrology</x:v>
      </x:c>
      <x:c r="P1080" s="9" t="n">
        <x:v>0</x:v>
      </x:c>
      <x:c r="Q1080" s="9" t="n">
        <x:v>0</x:v>
      </x:c>
      <x:c r="R1080" s="9" t="str">
        <x:v>OPEN / UNSTARTED</x:v>
      </x:c>
      <x:c r="S1080" s="9" t="n">
        <x:f>COUNTIFS($A$7:$A$1446,A1080)</x:f>
        <x:v>1</x:v>
      </x:c>
    </x:row>
    <x:row r="1081">
      <x:c r="A1081" s="9" t="str">
        <x:v>EV-AR-RT-B-C-TECH-2-B1-RCN-G0-ST05</x:v>
      </x:c>
      <x:c r="B1081" s="9" t="str">
        <x:v>EV-AR-RT-B-C-TECH-2-B1-RCN-G0</x:v>
      </x:c>
      <x:c r="C1081" s="9" t="str">
        <x:v>EOW-AR-RT-B-C-TECH-2-B1-RCN-G0</x:v>
      </x:c>
      <x:c r="D1081" s="9" t="str">
        <x:v>AR-RT-B-C-TECH-2-B1-RCN-G0</x:v>
      </x:c>
      <x:c r="E1081" s="9" t="str">
        <x:v>RT-B-C-TECH-2</x:v>
      </x:c>
      <x:c r="F1081" s="9" t="str">
        <x:v>RT-B-C</x:v>
      </x:c>
      <x:c r="G1081" s="9" t="str">
        <x:v>B1</x:v>
      </x:c>
      <x:c r="H1081" s="9" t="str">
        <x:v>RCN</x:v>
      </x:c>
      <x:c r="I1081" s="9" t="n">
        <x:v>5</x:v>
      </x:c>
      <x:c r="J1081" s="9" t="n">
        <x:v>2</x:v>
      </x:c>
      <x:c r="K1081" s="9" t="str">
        <x:v>RT-B-C-N3</x:v>
      </x:c>
      <x:c r="L1081" s="9" t="str">
        <x:v>ST05</x:v>
      </x:c>
      <x:c r="M1081" s="17" t="str">
        <x:v>Witness capture armed</x:v>
      </x:c>
      <x:c r="N1081" s="17" t="str">
        <x:v>unlike witness records independent reference and live time</x:v>
      </x:c>
      <x:c r="O1081" s="17" t="str">
        <x:v>Witness metrology</x:v>
      </x:c>
      <x:c r="P1081" s="9" t="n">
        <x:v>0</x:v>
      </x:c>
      <x:c r="Q1081" s="9" t="n">
        <x:v>0</x:v>
      </x:c>
      <x:c r="R1081" s="9" t="str">
        <x:v>OPEN / UNSTARTED</x:v>
      </x:c>
      <x:c r="S1081" s="9" t="n">
        <x:f>COUNTIFS($A$7:$A$1446,A1081)</x:f>
        <x:v>1</x:v>
      </x:c>
    </x:row>
    <x:row r="1082">
      <x:c r="A1082" s="9" t="str">
        <x:v>EV-AR-RT-B-C-TECH-2-B1-RCN-G0-ST06</x:v>
      </x:c>
      <x:c r="B1082" s="9" t="str">
        <x:v>EV-AR-RT-B-C-TECH-2-B1-RCN-G0</x:v>
      </x:c>
      <x:c r="C1082" s="9" t="str">
        <x:v>EOW-AR-RT-B-C-TECH-2-B1-RCN-G0</x:v>
      </x:c>
      <x:c r="D1082" s="9" t="str">
        <x:v>AR-RT-B-C-TECH-2-B1-RCN-G0</x:v>
      </x:c>
      <x:c r="E1082" s="9" t="str">
        <x:v>RT-B-C-TECH-2</x:v>
      </x:c>
      <x:c r="F1082" s="9" t="str">
        <x:v>RT-B-C</x:v>
      </x:c>
      <x:c r="G1082" s="9" t="str">
        <x:v>B1</x:v>
      </x:c>
      <x:c r="H1082" s="9" t="str">
        <x:v>RCN</x:v>
      </x:c>
      <x:c r="I1082" s="9" t="n">
        <x:v>5</x:v>
      </x:c>
      <x:c r="J1082" s="9" t="n">
        <x:v>2</x:v>
      </x:c>
      <x:c r="K1082" s="9" t="str">
        <x:v>RT-B-C-N3</x:v>
      </x:c>
      <x:c r="L1082" s="9" t="str">
        <x:v>ST06</x:v>
      </x:c>
      <x:c r="M1082" s="17" t="str">
        <x:v>Public custody armed</x:v>
      </x:c>
      <x:c r="N1082" s="17" t="str">
        <x:v>eight raw origins have separated hash and replica routes</x:v>
      </x:c>
      <x:c r="O1082" s="17" t="str">
        <x:v>Custody authority</x:v>
      </x:c>
      <x:c r="P1082" s="9" t="n">
        <x:v>0</x:v>
      </x:c>
      <x:c r="Q1082" s="9" t="n">
        <x:v>0</x:v>
      </x:c>
      <x:c r="R1082" s="9" t="str">
        <x:v>OPEN / UNSTARTED</x:v>
      </x:c>
      <x:c r="S1082" s="9" t="n">
        <x:f>COUNTIFS($A$7:$A$1446,A1082)</x:f>
        <x:v>1</x:v>
      </x:c>
    </x:row>
    <x:row r="1083">
      <x:c r="A1083" s="9" t="str">
        <x:v>EV-AR-RT-B-C-TECH-2-B1-RCN-G0-ST07</x:v>
      </x:c>
      <x:c r="B1083" s="9" t="str">
        <x:v>EV-AR-RT-B-C-TECH-2-B1-RCN-G0</x:v>
      </x:c>
      <x:c r="C1083" s="9" t="str">
        <x:v>EOW-AR-RT-B-C-TECH-2-B1-RCN-G0</x:v>
      </x:c>
      <x:c r="D1083" s="9" t="str">
        <x:v>AR-RT-B-C-TECH-2-B1-RCN-G0</x:v>
      </x:c>
      <x:c r="E1083" s="9" t="str">
        <x:v>RT-B-C-TECH-2</x:v>
      </x:c>
      <x:c r="F1083" s="9" t="str">
        <x:v>RT-B-C</x:v>
      </x:c>
      <x:c r="G1083" s="9" t="str">
        <x:v>B1</x:v>
      </x:c>
      <x:c r="H1083" s="9" t="str">
        <x:v>RCN</x:v>
      </x:c>
      <x:c r="I1083" s="9" t="n">
        <x:v>5</x:v>
      </x:c>
      <x:c r="J1083" s="9" t="n">
        <x:v>2</x:v>
      </x:c>
      <x:c r="K1083" s="9" t="str">
        <x:v>RT-B-C-N3</x:v>
      </x:c>
      <x:c r="L1083" s="9" t="str">
        <x:v>ST07</x:v>
      </x:c>
      <x:c r="M1083" s="17" t="str">
        <x:v>Environmental baseline</x:v>
      </x:c>
      <x:c r="N1083" s="17" t="str">
        <x:v>pre-event boundary state is sealed before decisive operation</x:v>
      </x:c>
      <x:c r="O1083" s="17" t="str">
        <x:v>Site metrology</x:v>
      </x:c>
      <x:c r="P1083" s="9" t="n">
        <x:v>0</x:v>
      </x:c>
      <x:c r="Q1083" s="9" t="n">
        <x:v>0</x:v>
      </x:c>
      <x:c r="R1083" s="9" t="str">
        <x:v>OPEN / UNSTARTED</x:v>
      </x:c>
      <x:c r="S1083" s="9" t="n">
        <x:f>COUNTIFS($A$7:$A$1446,A1083)</x:f>
        <x:v>1</x:v>
      </x:c>
    </x:row>
    <x:row r="1084">
      <x:c r="A1084" s="9" t="str">
        <x:v>EV-AR-RT-B-C-TECH-2-B1-RCN-G0-ST08</x:v>
      </x:c>
      <x:c r="B1084" s="9" t="str">
        <x:v>EV-AR-RT-B-C-TECH-2-B1-RCN-G0</x:v>
      </x:c>
      <x:c r="C1084" s="9" t="str">
        <x:v>EOW-AR-RT-B-C-TECH-2-B1-RCN-G0</x:v>
      </x:c>
      <x:c r="D1084" s="9" t="str">
        <x:v>AR-RT-B-C-TECH-2-B1-RCN-G0</x:v>
      </x:c>
      <x:c r="E1084" s="9" t="str">
        <x:v>RT-B-C-TECH-2</x:v>
      </x:c>
      <x:c r="F1084" s="9" t="str">
        <x:v>RT-B-C</x:v>
      </x:c>
      <x:c r="G1084" s="9" t="str">
        <x:v>B1</x:v>
      </x:c>
      <x:c r="H1084" s="9" t="str">
        <x:v>RCN</x:v>
      </x:c>
      <x:c r="I1084" s="9" t="n">
        <x:v>5</x:v>
      </x:c>
      <x:c r="J1084" s="9" t="n">
        <x:v>2</x:v>
      </x:c>
      <x:c r="K1084" s="9" t="str">
        <x:v>RT-B-C-N3</x:v>
      </x:c>
      <x:c r="L1084" s="9" t="str">
        <x:v>ST08</x:v>
      </x:c>
      <x:c r="M1084" s="17" t="str">
        <x:v>Manual stop and safety</x:v>
      </x:c>
      <x:c r="N1084" s="17" t="str">
        <x:v>local stop, evacuation and protection routes are active</x:v>
      </x:c>
      <x:c r="O1084" s="17" t="str">
        <x:v>Safety authority</x:v>
      </x:c>
      <x:c r="P1084" s="9" t="n">
        <x:v>0</x:v>
      </x:c>
      <x:c r="Q1084" s="9" t="n">
        <x:v>0</x:v>
      </x:c>
      <x:c r="R1084" s="9" t="str">
        <x:v>OPEN / UNSTARTED</x:v>
      </x:c>
      <x:c r="S1084" s="9" t="n">
        <x:f>COUNTIFS($A$7:$A$1446,A1084)</x:f>
        <x:v>1</x:v>
      </x:c>
    </x:row>
    <x:row r="1085">
      <x:c r="A1085" s="9" t="str">
        <x:v>EV-AR-RT-B-C-TECH-2-B1-RCN-G0-ST09</x:v>
      </x:c>
      <x:c r="B1085" s="9" t="str">
        <x:v>EV-AR-RT-B-C-TECH-2-B1-RCN-G0</x:v>
      </x:c>
      <x:c r="C1085" s="9" t="str">
        <x:v>EOW-AR-RT-B-C-TECH-2-B1-RCN-G0</x:v>
      </x:c>
      <x:c r="D1085" s="9" t="str">
        <x:v>AR-RT-B-C-TECH-2-B1-RCN-G0</x:v>
      </x:c>
      <x:c r="E1085" s="9" t="str">
        <x:v>RT-B-C-TECH-2</x:v>
      </x:c>
      <x:c r="F1085" s="9" t="str">
        <x:v>RT-B-C</x:v>
      </x:c>
      <x:c r="G1085" s="9" t="str">
        <x:v>B1</x:v>
      </x:c>
      <x:c r="H1085" s="9" t="str">
        <x:v>RCN</x:v>
      </x:c>
      <x:c r="I1085" s="9" t="n">
        <x:v>5</x:v>
      </x:c>
      <x:c r="J1085" s="9" t="n">
        <x:v>2</x:v>
      </x:c>
      <x:c r="K1085" s="9" t="str">
        <x:v>RT-B-C-N3</x:v>
      </x:c>
      <x:c r="L1085" s="9" t="str">
        <x:v>ST09</x:v>
      </x:c>
      <x:c r="M1085" s="17" t="str">
        <x:v>Operator conflict clear</x:v>
      </x:c>
      <x:c r="N1085" s="17" t="str">
        <x:v>candidate, fixture, safety and measurement control edges remain separated</x:v>
      </x:c>
      <x:c r="O1085" s="17" t="str">
        <x:v>Conflict registrar</x:v>
      </x:c>
      <x:c r="P1085" s="9" t="n">
        <x:v>0</x:v>
      </x:c>
      <x:c r="Q1085" s="9" t="n">
        <x:v>0</x:v>
      </x:c>
      <x:c r="R1085" s="9" t="str">
        <x:v>OPEN / UNSTARTED</x:v>
      </x:c>
      <x:c r="S1085" s="9" t="n">
        <x:f>COUNTIFS($A$7:$A$1446,A1085)</x:f>
        <x:v>1</x:v>
      </x:c>
    </x:row>
    <x:row r="1086">
      <x:c r="A1086" s="9" t="str">
        <x:v>EV-AR-RT-B-C-TECH-2-B1-RCN-G0-ST10</x:v>
      </x:c>
      <x:c r="B1086" s="9" t="str">
        <x:v>EV-AR-RT-B-C-TECH-2-B1-RCN-G0</x:v>
      </x:c>
      <x:c r="C1086" s="9" t="str">
        <x:v>EOW-AR-RT-B-C-TECH-2-B1-RCN-G0</x:v>
      </x:c>
      <x:c r="D1086" s="9" t="str">
        <x:v>AR-RT-B-C-TECH-2-B1-RCN-G0</x:v>
      </x:c>
      <x:c r="E1086" s="9" t="str">
        <x:v>RT-B-C-TECH-2</x:v>
      </x:c>
      <x:c r="F1086" s="9" t="str">
        <x:v>RT-B-C</x:v>
      </x:c>
      <x:c r="G1086" s="9" t="str">
        <x:v>B1</x:v>
      </x:c>
      <x:c r="H1086" s="9" t="str">
        <x:v>RCN</x:v>
      </x:c>
      <x:c r="I1086" s="9" t="n">
        <x:v>5</x:v>
      </x:c>
      <x:c r="J1086" s="9" t="n">
        <x:v>2</x:v>
      </x:c>
      <x:c r="K1086" s="9" t="str">
        <x:v>RT-B-C-N3</x:v>
      </x:c>
      <x:c r="L1086" s="9" t="str">
        <x:v>ST10</x:v>
      </x:c>
      <x:c r="M1086" s="17" t="str">
        <x:v>Window and common clock</x:v>
      </x:c>
      <x:c r="N1086" s="17" t="str">
        <x:v>epoch, window and public time origin match the issued warrant</x:v>
      </x:c>
      <x:c r="O1086" s="17" t="str">
        <x:v>Event clock authority</x:v>
      </x:c>
      <x:c r="P1086" s="9" t="n">
        <x:v>0</x:v>
      </x:c>
      <x:c r="Q1086" s="9" t="n">
        <x:v>0</x:v>
      </x:c>
      <x:c r="R1086" s="9" t="str">
        <x:v>OPEN / UNSTARTED</x:v>
      </x:c>
      <x:c r="S1086" s="9" t="n">
        <x:f>COUNTIFS($A$7:$A$1446,A1086)</x:f>
        <x:v>1</x:v>
      </x:c>
    </x:row>
    <x:row r="1087">
      <x:c r="A1087" s="9" t="str">
        <x:v>EV-AR-CT-C-B-TECH-4-B1-INT-G0-ST01</x:v>
      </x:c>
      <x:c r="B1087" s="9" t="str">
        <x:v>EV-AR-CT-C-B-TECH-4-B1-INT-G0</x:v>
      </x:c>
      <x:c r="C1087" s="9" t="str">
        <x:v>EOW-AR-CT-C-B-TECH-4-B1-INT-G0</x:v>
      </x:c>
      <x:c r="D1087" s="9" t="str">
        <x:v>AR-CT-C-B-TECH-4-B1-INT-G0</x:v>
      </x:c>
      <x:c r="E1087" s="9" t="str">
        <x:v>CT-C-B-TECH-4</x:v>
      </x:c>
      <x:c r="F1087" s="9" t="str">
        <x:v>CT-C-B</x:v>
      </x:c>
      <x:c r="G1087" s="9" t="str">
        <x:v>B1</x:v>
      </x:c>
      <x:c r="H1087" s="9" t="str">
        <x:v>INT</x:v>
      </x:c>
      <x:c r="I1087" s="9" t="n">
        <x:v>5</x:v>
      </x:c>
      <x:c r="J1087" s="9" t="n">
        <x:v>3</x:v>
      </x:c>
      <x:c r="K1087" s="9" t="str">
        <x:v>CT-C-B-N2</x:v>
      </x:c>
      <x:c r="L1087" s="9" t="str">
        <x:v>ST01</x:v>
      </x:c>
      <x:c r="M1087" s="17" t="str">
        <x:v>Active opportunity warrant</x:v>
      </x:c>
      <x:c r="N1087" s="17" t="str">
        <x:v>configuration-bound EOW is within its thirty-six-hour validity</x:v>
      </x:c>
      <x:c r="O1087" s="17" t="str">
        <x:v>Start registrar</x:v>
      </x:c>
      <x:c r="P1087" s="9" t="n">
        <x:v>0</x:v>
      </x:c>
      <x:c r="Q1087" s="9" t="n">
        <x:v>0</x:v>
      </x:c>
      <x:c r="R1087" s="9" t="str">
        <x:v>OPEN / UNSTARTED</x:v>
      </x:c>
      <x:c r="S1087" s="9" t="n">
        <x:f>COUNTIFS($A$7:$A$1446,A1087)</x:f>
        <x:v>1</x:v>
      </x:c>
    </x:row>
    <x:row r="1088">
      <x:c r="A1088" s="9" t="str">
        <x:v>EV-AR-CT-C-B-TECH-4-B1-INT-G0-ST02</x:v>
      </x:c>
      <x:c r="B1088" s="9" t="str">
        <x:v>EV-AR-CT-C-B-TECH-4-B1-INT-G0</x:v>
      </x:c>
      <x:c r="C1088" s="9" t="str">
        <x:v>EOW-AR-CT-C-B-TECH-4-B1-INT-G0</x:v>
      </x:c>
      <x:c r="D1088" s="9" t="str">
        <x:v>AR-CT-C-B-TECH-4-B1-INT-G0</x:v>
      </x:c>
      <x:c r="E1088" s="9" t="str">
        <x:v>CT-C-B-TECH-4</x:v>
      </x:c>
      <x:c r="F1088" s="9" t="str">
        <x:v>CT-C-B</x:v>
      </x:c>
      <x:c r="G1088" s="9" t="str">
        <x:v>B1</x:v>
      </x:c>
      <x:c r="H1088" s="9" t="str">
        <x:v>INT</x:v>
      </x:c>
      <x:c r="I1088" s="9" t="n">
        <x:v>5</x:v>
      </x:c>
      <x:c r="J1088" s="9" t="n">
        <x:v>3</x:v>
      </x:c>
      <x:c r="K1088" s="9" t="str">
        <x:v>CT-C-B-N2</x:v>
      </x:c>
      <x:c r="L1088" s="9" t="str">
        <x:v>ST02</x:v>
      </x:c>
      <x:c r="M1088" s="17" t="str">
        <x:v>Frozen identity</x:v>
      </x:c>
      <x:c r="N1088" s="17" t="str">
        <x:v>serial, generation, fixture, site, receiver and digest match the warrant</x:v>
      </x:c>
      <x:c r="O1088" s="17" t="str">
        <x:v>Custody authority</x:v>
      </x:c>
      <x:c r="P1088" s="9" t="n">
        <x:v>0</x:v>
      </x:c>
      <x:c r="Q1088" s="9" t="n">
        <x:v>0</x:v>
      </x:c>
      <x:c r="R1088" s="9" t="str">
        <x:v>OPEN / UNSTARTED</x:v>
      </x:c>
      <x:c r="S1088" s="9" t="n">
        <x:f>COUNTIFS($A$7:$A$1446,A1088)</x:f>
        <x:v>1</x:v>
      </x:c>
    </x:row>
    <x:row r="1089">
      <x:c r="A1089" s="9" t="str">
        <x:v>EV-AR-CT-C-B-TECH-4-B1-INT-G0-ST03</x:v>
      </x:c>
      <x:c r="B1089" s="9" t="str">
        <x:v>EV-AR-CT-C-B-TECH-4-B1-INT-G0</x:v>
      </x:c>
      <x:c r="C1089" s="9" t="str">
        <x:v>EOW-AR-CT-C-B-TECH-4-B1-INT-G0</x:v>
      </x:c>
      <x:c r="D1089" s="9" t="str">
        <x:v>AR-CT-C-B-TECH-4-B1-INT-G0</x:v>
      </x:c>
      <x:c r="E1089" s="9" t="str">
        <x:v>CT-C-B-TECH-4</x:v>
      </x:c>
      <x:c r="F1089" s="9" t="str">
        <x:v>CT-C-B</x:v>
      </x:c>
      <x:c r="G1089" s="9" t="str">
        <x:v>B1</x:v>
      </x:c>
      <x:c r="H1089" s="9" t="str">
        <x:v>INT</x:v>
      </x:c>
      <x:c r="I1089" s="9" t="n">
        <x:v>5</x:v>
      </x:c>
      <x:c r="J1089" s="9" t="n">
        <x:v>3</x:v>
      </x:c>
      <x:c r="K1089" s="9" t="str">
        <x:v>CT-C-B-N2</x:v>
      </x:c>
      <x:c r="L1089" s="9" t="str">
        <x:v>ST03</x:v>
      </x:c>
      <x:c r="M1089" s="17" t="str">
        <x:v>Receiver receipt</x:v>
      </x:c>
      <x:c r="N1089" s="17" t="str">
        <x:v>denominator, counterfactual, rights and stop receipt remain unchanged</x:v>
      </x:c>
      <x:c r="O1089" s="17" t="str">
        <x:v>Receiver authority</x:v>
      </x:c>
      <x:c r="P1089" s="9" t="n">
        <x:v>0</x:v>
      </x:c>
      <x:c r="Q1089" s="9" t="n">
        <x:v>0</x:v>
      </x:c>
      <x:c r="R1089" s="9" t="str">
        <x:v>OPEN / UNSTARTED</x:v>
      </x:c>
      <x:c r="S1089" s="9" t="n">
        <x:f>COUNTIFS($A$7:$A$1446,A1089)</x:f>
        <x:v>1</x:v>
      </x:c>
    </x:row>
    <x:row r="1090">
      <x:c r="A1090" s="9" t="str">
        <x:v>EV-AR-CT-C-B-TECH-4-B1-INT-G0-ST04</x:v>
      </x:c>
      <x:c r="B1090" s="9" t="str">
        <x:v>EV-AR-CT-C-B-TECH-4-B1-INT-G0</x:v>
      </x:c>
      <x:c r="C1090" s="9" t="str">
        <x:v>EOW-AR-CT-C-B-TECH-4-B1-INT-G0</x:v>
      </x:c>
      <x:c r="D1090" s="9" t="str">
        <x:v>AR-CT-C-B-TECH-4-B1-INT-G0</x:v>
      </x:c>
      <x:c r="E1090" s="9" t="str">
        <x:v>CT-C-B-TECH-4</x:v>
      </x:c>
      <x:c r="F1090" s="9" t="str">
        <x:v>CT-C-B</x:v>
      </x:c>
      <x:c r="G1090" s="9" t="str">
        <x:v>B1</x:v>
      </x:c>
      <x:c r="H1090" s="9" t="str">
        <x:v>INT</x:v>
      </x:c>
      <x:c r="I1090" s="9" t="n">
        <x:v>5</x:v>
      </x:c>
      <x:c r="J1090" s="9" t="n">
        <x:v>3</x:v>
      </x:c>
      <x:c r="K1090" s="9" t="str">
        <x:v>CT-C-B-N2</x:v>
      </x:c>
      <x:c r="L1090" s="9" t="str">
        <x:v>ST04</x:v>
      </x:c>
      <x:c r="M1090" s="17" t="str">
        <x:v>Primary capture armed</x:v>
      </x:c>
      <x:c r="N1090" s="17" t="str">
        <x:v>primary chain records sealed reference and live time</x:v>
      </x:c>
      <x:c r="O1090" s="17" t="str">
        <x:v>Primary metrology</x:v>
      </x:c>
      <x:c r="P1090" s="9" t="n">
        <x:v>0</x:v>
      </x:c>
      <x:c r="Q1090" s="9" t="n">
        <x:v>0</x:v>
      </x:c>
      <x:c r="R1090" s="9" t="str">
        <x:v>OPEN / UNSTARTED</x:v>
      </x:c>
      <x:c r="S1090" s="9" t="n">
        <x:f>COUNTIFS($A$7:$A$1446,A1090)</x:f>
        <x:v>1</x:v>
      </x:c>
    </x:row>
    <x:row r="1091">
      <x:c r="A1091" s="9" t="str">
        <x:v>EV-AR-CT-C-B-TECH-4-B1-INT-G0-ST05</x:v>
      </x:c>
      <x:c r="B1091" s="9" t="str">
        <x:v>EV-AR-CT-C-B-TECH-4-B1-INT-G0</x:v>
      </x:c>
      <x:c r="C1091" s="9" t="str">
        <x:v>EOW-AR-CT-C-B-TECH-4-B1-INT-G0</x:v>
      </x:c>
      <x:c r="D1091" s="9" t="str">
        <x:v>AR-CT-C-B-TECH-4-B1-INT-G0</x:v>
      </x:c>
      <x:c r="E1091" s="9" t="str">
        <x:v>CT-C-B-TECH-4</x:v>
      </x:c>
      <x:c r="F1091" s="9" t="str">
        <x:v>CT-C-B</x:v>
      </x:c>
      <x:c r="G1091" s="9" t="str">
        <x:v>B1</x:v>
      </x:c>
      <x:c r="H1091" s="9" t="str">
        <x:v>INT</x:v>
      </x:c>
      <x:c r="I1091" s="9" t="n">
        <x:v>5</x:v>
      </x:c>
      <x:c r="J1091" s="9" t="n">
        <x:v>3</x:v>
      </x:c>
      <x:c r="K1091" s="9" t="str">
        <x:v>CT-C-B-N2</x:v>
      </x:c>
      <x:c r="L1091" s="9" t="str">
        <x:v>ST05</x:v>
      </x:c>
      <x:c r="M1091" s="17" t="str">
        <x:v>Witness capture armed</x:v>
      </x:c>
      <x:c r="N1091" s="17" t="str">
        <x:v>unlike witness records independent reference and live time</x:v>
      </x:c>
      <x:c r="O1091" s="17" t="str">
        <x:v>Witness metrology</x:v>
      </x:c>
      <x:c r="P1091" s="9" t="n">
        <x:v>0</x:v>
      </x:c>
      <x:c r="Q1091" s="9" t="n">
        <x:v>0</x:v>
      </x:c>
      <x:c r="R1091" s="9" t="str">
        <x:v>OPEN / UNSTARTED</x:v>
      </x:c>
      <x:c r="S1091" s="9" t="n">
        <x:f>COUNTIFS($A$7:$A$1446,A1091)</x:f>
        <x:v>1</x:v>
      </x:c>
    </x:row>
    <x:row r="1092">
      <x:c r="A1092" s="9" t="str">
        <x:v>EV-AR-CT-C-B-TECH-4-B1-INT-G0-ST06</x:v>
      </x:c>
      <x:c r="B1092" s="9" t="str">
        <x:v>EV-AR-CT-C-B-TECH-4-B1-INT-G0</x:v>
      </x:c>
      <x:c r="C1092" s="9" t="str">
        <x:v>EOW-AR-CT-C-B-TECH-4-B1-INT-G0</x:v>
      </x:c>
      <x:c r="D1092" s="9" t="str">
        <x:v>AR-CT-C-B-TECH-4-B1-INT-G0</x:v>
      </x:c>
      <x:c r="E1092" s="9" t="str">
        <x:v>CT-C-B-TECH-4</x:v>
      </x:c>
      <x:c r="F1092" s="9" t="str">
        <x:v>CT-C-B</x:v>
      </x:c>
      <x:c r="G1092" s="9" t="str">
        <x:v>B1</x:v>
      </x:c>
      <x:c r="H1092" s="9" t="str">
        <x:v>INT</x:v>
      </x:c>
      <x:c r="I1092" s="9" t="n">
        <x:v>5</x:v>
      </x:c>
      <x:c r="J1092" s="9" t="n">
        <x:v>3</x:v>
      </x:c>
      <x:c r="K1092" s="9" t="str">
        <x:v>CT-C-B-N2</x:v>
      </x:c>
      <x:c r="L1092" s="9" t="str">
        <x:v>ST06</x:v>
      </x:c>
      <x:c r="M1092" s="17" t="str">
        <x:v>Public custody armed</x:v>
      </x:c>
      <x:c r="N1092" s="17" t="str">
        <x:v>eight raw origins have separated hash and replica routes</x:v>
      </x:c>
      <x:c r="O1092" s="17" t="str">
        <x:v>Custody authority</x:v>
      </x:c>
      <x:c r="P1092" s="9" t="n">
        <x:v>0</x:v>
      </x:c>
      <x:c r="Q1092" s="9" t="n">
        <x:v>0</x:v>
      </x:c>
      <x:c r="R1092" s="9" t="str">
        <x:v>OPEN / UNSTARTED</x:v>
      </x:c>
      <x:c r="S1092" s="9" t="n">
        <x:f>COUNTIFS($A$7:$A$1446,A1092)</x:f>
        <x:v>1</x:v>
      </x:c>
    </x:row>
    <x:row r="1093">
      <x:c r="A1093" s="9" t="str">
        <x:v>EV-AR-CT-C-B-TECH-4-B1-INT-G0-ST07</x:v>
      </x:c>
      <x:c r="B1093" s="9" t="str">
        <x:v>EV-AR-CT-C-B-TECH-4-B1-INT-G0</x:v>
      </x:c>
      <x:c r="C1093" s="9" t="str">
        <x:v>EOW-AR-CT-C-B-TECH-4-B1-INT-G0</x:v>
      </x:c>
      <x:c r="D1093" s="9" t="str">
        <x:v>AR-CT-C-B-TECH-4-B1-INT-G0</x:v>
      </x:c>
      <x:c r="E1093" s="9" t="str">
        <x:v>CT-C-B-TECH-4</x:v>
      </x:c>
      <x:c r="F1093" s="9" t="str">
        <x:v>CT-C-B</x:v>
      </x:c>
      <x:c r="G1093" s="9" t="str">
        <x:v>B1</x:v>
      </x:c>
      <x:c r="H1093" s="9" t="str">
        <x:v>INT</x:v>
      </x:c>
      <x:c r="I1093" s="9" t="n">
        <x:v>5</x:v>
      </x:c>
      <x:c r="J1093" s="9" t="n">
        <x:v>3</x:v>
      </x:c>
      <x:c r="K1093" s="9" t="str">
        <x:v>CT-C-B-N2</x:v>
      </x:c>
      <x:c r="L1093" s="9" t="str">
        <x:v>ST07</x:v>
      </x:c>
      <x:c r="M1093" s="17" t="str">
        <x:v>Environmental baseline</x:v>
      </x:c>
      <x:c r="N1093" s="17" t="str">
        <x:v>pre-event boundary state is sealed before decisive operation</x:v>
      </x:c>
      <x:c r="O1093" s="17" t="str">
        <x:v>Site metrology</x:v>
      </x:c>
      <x:c r="P1093" s="9" t="n">
        <x:v>0</x:v>
      </x:c>
      <x:c r="Q1093" s="9" t="n">
        <x:v>0</x:v>
      </x:c>
      <x:c r="R1093" s="9" t="str">
        <x:v>OPEN / UNSTARTED</x:v>
      </x:c>
      <x:c r="S1093" s="9" t="n">
        <x:f>COUNTIFS($A$7:$A$1446,A1093)</x:f>
        <x:v>1</x:v>
      </x:c>
    </x:row>
    <x:row r="1094">
      <x:c r="A1094" s="9" t="str">
        <x:v>EV-AR-CT-C-B-TECH-4-B1-INT-G0-ST08</x:v>
      </x:c>
      <x:c r="B1094" s="9" t="str">
        <x:v>EV-AR-CT-C-B-TECH-4-B1-INT-G0</x:v>
      </x:c>
      <x:c r="C1094" s="9" t="str">
        <x:v>EOW-AR-CT-C-B-TECH-4-B1-INT-G0</x:v>
      </x:c>
      <x:c r="D1094" s="9" t="str">
        <x:v>AR-CT-C-B-TECH-4-B1-INT-G0</x:v>
      </x:c>
      <x:c r="E1094" s="9" t="str">
        <x:v>CT-C-B-TECH-4</x:v>
      </x:c>
      <x:c r="F1094" s="9" t="str">
        <x:v>CT-C-B</x:v>
      </x:c>
      <x:c r="G1094" s="9" t="str">
        <x:v>B1</x:v>
      </x:c>
      <x:c r="H1094" s="9" t="str">
        <x:v>INT</x:v>
      </x:c>
      <x:c r="I1094" s="9" t="n">
        <x:v>5</x:v>
      </x:c>
      <x:c r="J1094" s="9" t="n">
        <x:v>3</x:v>
      </x:c>
      <x:c r="K1094" s="9" t="str">
        <x:v>CT-C-B-N2</x:v>
      </x:c>
      <x:c r="L1094" s="9" t="str">
        <x:v>ST08</x:v>
      </x:c>
      <x:c r="M1094" s="17" t="str">
        <x:v>Manual stop and safety</x:v>
      </x:c>
      <x:c r="N1094" s="17" t="str">
        <x:v>local stop, evacuation and protection routes are active</x:v>
      </x:c>
      <x:c r="O1094" s="17" t="str">
        <x:v>Safety authority</x:v>
      </x:c>
      <x:c r="P1094" s="9" t="n">
        <x:v>0</x:v>
      </x:c>
      <x:c r="Q1094" s="9" t="n">
        <x:v>0</x:v>
      </x:c>
      <x:c r="R1094" s="9" t="str">
        <x:v>OPEN / UNSTARTED</x:v>
      </x:c>
      <x:c r="S1094" s="9" t="n">
        <x:f>COUNTIFS($A$7:$A$1446,A1094)</x:f>
        <x:v>1</x:v>
      </x:c>
    </x:row>
    <x:row r="1095">
      <x:c r="A1095" s="9" t="str">
        <x:v>EV-AR-CT-C-B-TECH-4-B1-INT-G0-ST09</x:v>
      </x:c>
      <x:c r="B1095" s="9" t="str">
        <x:v>EV-AR-CT-C-B-TECH-4-B1-INT-G0</x:v>
      </x:c>
      <x:c r="C1095" s="9" t="str">
        <x:v>EOW-AR-CT-C-B-TECH-4-B1-INT-G0</x:v>
      </x:c>
      <x:c r="D1095" s="9" t="str">
        <x:v>AR-CT-C-B-TECH-4-B1-INT-G0</x:v>
      </x:c>
      <x:c r="E1095" s="9" t="str">
        <x:v>CT-C-B-TECH-4</x:v>
      </x:c>
      <x:c r="F1095" s="9" t="str">
        <x:v>CT-C-B</x:v>
      </x:c>
      <x:c r="G1095" s="9" t="str">
        <x:v>B1</x:v>
      </x:c>
      <x:c r="H1095" s="9" t="str">
        <x:v>INT</x:v>
      </x:c>
      <x:c r="I1095" s="9" t="n">
        <x:v>5</x:v>
      </x:c>
      <x:c r="J1095" s="9" t="n">
        <x:v>3</x:v>
      </x:c>
      <x:c r="K1095" s="9" t="str">
        <x:v>CT-C-B-N2</x:v>
      </x:c>
      <x:c r="L1095" s="9" t="str">
        <x:v>ST09</x:v>
      </x:c>
      <x:c r="M1095" s="17" t="str">
        <x:v>Operator conflict clear</x:v>
      </x:c>
      <x:c r="N1095" s="17" t="str">
        <x:v>candidate, fixture, safety and measurement control edges remain separated</x:v>
      </x:c>
      <x:c r="O1095" s="17" t="str">
        <x:v>Conflict registrar</x:v>
      </x:c>
      <x:c r="P1095" s="9" t="n">
        <x:v>0</x:v>
      </x:c>
      <x:c r="Q1095" s="9" t="n">
        <x:v>0</x:v>
      </x:c>
      <x:c r="R1095" s="9" t="str">
        <x:v>OPEN / UNSTARTED</x:v>
      </x:c>
      <x:c r="S1095" s="9" t="n">
        <x:f>COUNTIFS($A$7:$A$1446,A1095)</x:f>
        <x:v>1</x:v>
      </x:c>
    </x:row>
    <x:row r="1096">
      <x:c r="A1096" s="9" t="str">
        <x:v>EV-AR-CT-C-B-TECH-4-B1-INT-G0-ST10</x:v>
      </x:c>
      <x:c r="B1096" s="9" t="str">
        <x:v>EV-AR-CT-C-B-TECH-4-B1-INT-G0</x:v>
      </x:c>
      <x:c r="C1096" s="9" t="str">
        <x:v>EOW-AR-CT-C-B-TECH-4-B1-INT-G0</x:v>
      </x:c>
      <x:c r="D1096" s="9" t="str">
        <x:v>AR-CT-C-B-TECH-4-B1-INT-G0</x:v>
      </x:c>
      <x:c r="E1096" s="9" t="str">
        <x:v>CT-C-B-TECH-4</x:v>
      </x:c>
      <x:c r="F1096" s="9" t="str">
        <x:v>CT-C-B</x:v>
      </x:c>
      <x:c r="G1096" s="9" t="str">
        <x:v>B1</x:v>
      </x:c>
      <x:c r="H1096" s="9" t="str">
        <x:v>INT</x:v>
      </x:c>
      <x:c r="I1096" s="9" t="n">
        <x:v>5</x:v>
      </x:c>
      <x:c r="J1096" s="9" t="n">
        <x:v>3</x:v>
      </x:c>
      <x:c r="K1096" s="9" t="str">
        <x:v>CT-C-B-N2</x:v>
      </x:c>
      <x:c r="L1096" s="9" t="str">
        <x:v>ST10</x:v>
      </x:c>
      <x:c r="M1096" s="17" t="str">
        <x:v>Window and common clock</x:v>
      </x:c>
      <x:c r="N1096" s="17" t="str">
        <x:v>epoch, window and public time origin match the issued warrant</x:v>
      </x:c>
      <x:c r="O1096" s="17" t="str">
        <x:v>Event clock authority</x:v>
      </x:c>
      <x:c r="P1096" s="9" t="n">
        <x:v>0</x:v>
      </x:c>
      <x:c r="Q1096" s="9" t="n">
        <x:v>0</x:v>
      </x:c>
      <x:c r="R1096" s="9" t="str">
        <x:v>OPEN / UNSTARTED</x:v>
      </x:c>
      <x:c r="S1096" s="9" t="n">
        <x:f>COUNTIFS($A$7:$A$1446,A1096)</x:f>
        <x:v>1</x:v>
      </x:c>
    </x:row>
    <x:row r="1097">
      <x:c r="A1097" s="9" t="str">
        <x:v>EV-AR-ET-A-A-TECH-4-B2-INT-G0-ST01</x:v>
      </x:c>
      <x:c r="B1097" s="9" t="str">
        <x:v>EV-AR-ET-A-A-TECH-4-B2-INT-G0</x:v>
      </x:c>
      <x:c r="C1097" s="9" t="str">
        <x:v>EOW-AR-ET-A-A-TECH-4-B2-INT-G0</x:v>
      </x:c>
      <x:c r="D1097" s="9" t="str">
        <x:v>AR-ET-A-A-TECH-4-B2-INT-G0</x:v>
      </x:c>
      <x:c r="E1097" s="9" t="str">
        <x:v>ET-A-A-TECH-4</x:v>
      </x:c>
      <x:c r="F1097" s="9" t="str">
        <x:v>ET-A-A</x:v>
      </x:c>
      <x:c r="G1097" s="9" t="str">
        <x:v>B2</x:v>
      </x:c>
      <x:c r="H1097" s="9" t="str">
        <x:v>INT</x:v>
      </x:c>
      <x:c r="I1097" s="9" t="n">
        <x:v>5</x:v>
      </x:c>
      <x:c r="J1097" s="9" t="n">
        <x:v>3</x:v>
      </x:c>
      <x:c r="K1097" s="9" t="str">
        <x:v>ET-A-A-N1</x:v>
      </x:c>
      <x:c r="L1097" s="9" t="str">
        <x:v>ST01</x:v>
      </x:c>
      <x:c r="M1097" s="17" t="str">
        <x:v>Active opportunity warrant</x:v>
      </x:c>
      <x:c r="N1097" s="17" t="str">
        <x:v>configuration-bound EOW is within its thirty-six-hour validity</x:v>
      </x:c>
      <x:c r="O1097" s="17" t="str">
        <x:v>Start registrar</x:v>
      </x:c>
      <x:c r="P1097" s="9" t="n">
        <x:v>0</x:v>
      </x:c>
      <x:c r="Q1097" s="9" t="n">
        <x:v>0</x:v>
      </x:c>
      <x:c r="R1097" s="9" t="str">
        <x:v>OPEN / UNSTARTED</x:v>
      </x:c>
      <x:c r="S1097" s="9" t="n">
        <x:f>COUNTIFS($A$7:$A$1446,A1097)</x:f>
        <x:v>1</x:v>
      </x:c>
    </x:row>
    <x:row r="1098">
      <x:c r="A1098" s="9" t="str">
        <x:v>EV-AR-ET-A-A-TECH-4-B2-INT-G0-ST02</x:v>
      </x:c>
      <x:c r="B1098" s="9" t="str">
        <x:v>EV-AR-ET-A-A-TECH-4-B2-INT-G0</x:v>
      </x:c>
      <x:c r="C1098" s="9" t="str">
        <x:v>EOW-AR-ET-A-A-TECH-4-B2-INT-G0</x:v>
      </x:c>
      <x:c r="D1098" s="9" t="str">
        <x:v>AR-ET-A-A-TECH-4-B2-INT-G0</x:v>
      </x:c>
      <x:c r="E1098" s="9" t="str">
        <x:v>ET-A-A-TECH-4</x:v>
      </x:c>
      <x:c r="F1098" s="9" t="str">
        <x:v>ET-A-A</x:v>
      </x:c>
      <x:c r="G1098" s="9" t="str">
        <x:v>B2</x:v>
      </x:c>
      <x:c r="H1098" s="9" t="str">
        <x:v>INT</x:v>
      </x:c>
      <x:c r="I1098" s="9" t="n">
        <x:v>5</x:v>
      </x:c>
      <x:c r="J1098" s="9" t="n">
        <x:v>3</x:v>
      </x:c>
      <x:c r="K1098" s="9" t="str">
        <x:v>ET-A-A-N1</x:v>
      </x:c>
      <x:c r="L1098" s="9" t="str">
        <x:v>ST02</x:v>
      </x:c>
      <x:c r="M1098" s="17" t="str">
        <x:v>Frozen identity</x:v>
      </x:c>
      <x:c r="N1098" s="17" t="str">
        <x:v>serial, generation, fixture, site, receiver and digest match the warrant</x:v>
      </x:c>
      <x:c r="O1098" s="17" t="str">
        <x:v>Custody authority</x:v>
      </x:c>
      <x:c r="P1098" s="9" t="n">
        <x:v>0</x:v>
      </x:c>
      <x:c r="Q1098" s="9" t="n">
        <x:v>0</x:v>
      </x:c>
      <x:c r="R1098" s="9" t="str">
        <x:v>OPEN / UNSTARTED</x:v>
      </x:c>
      <x:c r="S1098" s="9" t="n">
        <x:f>COUNTIFS($A$7:$A$1446,A1098)</x:f>
        <x:v>1</x:v>
      </x:c>
    </x:row>
    <x:row r="1099">
      <x:c r="A1099" s="9" t="str">
        <x:v>EV-AR-ET-A-A-TECH-4-B2-INT-G0-ST03</x:v>
      </x:c>
      <x:c r="B1099" s="9" t="str">
        <x:v>EV-AR-ET-A-A-TECH-4-B2-INT-G0</x:v>
      </x:c>
      <x:c r="C1099" s="9" t="str">
        <x:v>EOW-AR-ET-A-A-TECH-4-B2-INT-G0</x:v>
      </x:c>
      <x:c r="D1099" s="9" t="str">
        <x:v>AR-ET-A-A-TECH-4-B2-INT-G0</x:v>
      </x:c>
      <x:c r="E1099" s="9" t="str">
        <x:v>ET-A-A-TECH-4</x:v>
      </x:c>
      <x:c r="F1099" s="9" t="str">
        <x:v>ET-A-A</x:v>
      </x:c>
      <x:c r="G1099" s="9" t="str">
        <x:v>B2</x:v>
      </x:c>
      <x:c r="H1099" s="9" t="str">
        <x:v>INT</x:v>
      </x:c>
      <x:c r="I1099" s="9" t="n">
        <x:v>5</x:v>
      </x:c>
      <x:c r="J1099" s="9" t="n">
        <x:v>3</x:v>
      </x:c>
      <x:c r="K1099" s="9" t="str">
        <x:v>ET-A-A-N1</x:v>
      </x:c>
      <x:c r="L1099" s="9" t="str">
        <x:v>ST03</x:v>
      </x:c>
      <x:c r="M1099" s="17" t="str">
        <x:v>Receiver receipt</x:v>
      </x:c>
      <x:c r="N1099" s="17" t="str">
        <x:v>denominator, counterfactual, rights and stop receipt remain unchanged</x:v>
      </x:c>
      <x:c r="O1099" s="17" t="str">
        <x:v>Receiver authority</x:v>
      </x:c>
      <x:c r="P1099" s="9" t="n">
        <x:v>0</x:v>
      </x:c>
      <x:c r="Q1099" s="9" t="n">
        <x:v>0</x:v>
      </x:c>
      <x:c r="R1099" s="9" t="str">
        <x:v>OPEN / UNSTARTED</x:v>
      </x:c>
      <x:c r="S1099" s="9" t="n">
        <x:f>COUNTIFS($A$7:$A$1446,A1099)</x:f>
        <x:v>1</x:v>
      </x:c>
    </x:row>
    <x:row r="1100">
      <x:c r="A1100" s="9" t="str">
        <x:v>EV-AR-ET-A-A-TECH-4-B2-INT-G0-ST04</x:v>
      </x:c>
      <x:c r="B1100" s="9" t="str">
        <x:v>EV-AR-ET-A-A-TECH-4-B2-INT-G0</x:v>
      </x:c>
      <x:c r="C1100" s="9" t="str">
        <x:v>EOW-AR-ET-A-A-TECH-4-B2-INT-G0</x:v>
      </x:c>
      <x:c r="D1100" s="9" t="str">
        <x:v>AR-ET-A-A-TECH-4-B2-INT-G0</x:v>
      </x:c>
      <x:c r="E1100" s="9" t="str">
        <x:v>ET-A-A-TECH-4</x:v>
      </x:c>
      <x:c r="F1100" s="9" t="str">
        <x:v>ET-A-A</x:v>
      </x:c>
      <x:c r="G1100" s="9" t="str">
        <x:v>B2</x:v>
      </x:c>
      <x:c r="H1100" s="9" t="str">
        <x:v>INT</x:v>
      </x:c>
      <x:c r="I1100" s="9" t="n">
        <x:v>5</x:v>
      </x:c>
      <x:c r="J1100" s="9" t="n">
        <x:v>3</x:v>
      </x:c>
      <x:c r="K1100" s="9" t="str">
        <x:v>ET-A-A-N1</x:v>
      </x:c>
      <x:c r="L1100" s="9" t="str">
        <x:v>ST04</x:v>
      </x:c>
      <x:c r="M1100" s="17" t="str">
        <x:v>Primary capture armed</x:v>
      </x:c>
      <x:c r="N1100" s="17" t="str">
        <x:v>primary chain records sealed reference and live time</x:v>
      </x:c>
      <x:c r="O1100" s="17" t="str">
        <x:v>Primary metrology</x:v>
      </x:c>
      <x:c r="P1100" s="9" t="n">
        <x:v>0</x:v>
      </x:c>
      <x:c r="Q1100" s="9" t="n">
        <x:v>0</x:v>
      </x:c>
      <x:c r="R1100" s="9" t="str">
        <x:v>OPEN / UNSTARTED</x:v>
      </x:c>
      <x:c r="S1100" s="9" t="n">
        <x:f>COUNTIFS($A$7:$A$1446,A1100)</x:f>
        <x:v>1</x:v>
      </x:c>
    </x:row>
    <x:row r="1101">
      <x:c r="A1101" s="9" t="str">
        <x:v>EV-AR-ET-A-A-TECH-4-B2-INT-G0-ST05</x:v>
      </x:c>
      <x:c r="B1101" s="9" t="str">
        <x:v>EV-AR-ET-A-A-TECH-4-B2-INT-G0</x:v>
      </x:c>
      <x:c r="C1101" s="9" t="str">
        <x:v>EOW-AR-ET-A-A-TECH-4-B2-INT-G0</x:v>
      </x:c>
      <x:c r="D1101" s="9" t="str">
        <x:v>AR-ET-A-A-TECH-4-B2-INT-G0</x:v>
      </x:c>
      <x:c r="E1101" s="9" t="str">
        <x:v>ET-A-A-TECH-4</x:v>
      </x:c>
      <x:c r="F1101" s="9" t="str">
        <x:v>ET-A-A</x:v>
      </x:c>
      <x:c r="G1101" s="9" t="str">
        <x:v>B2</x:v>
      </x:c>
      <x:c r="H1101" s="9" t="str">
        <x:v>INT</x:v>
      </x:c>
      <x:c r="I1101" s="9" t="n">
        <x:v>5</x:v>
      </x:c>
      <x:c r="J1101" s="9" t="n">
        <x:v>3</x:v>
      </x:c>
      <x:c r="K1101" s="9" t="str">
        <x:v>ET-A-A-N1</x:v>
      </x:c>
      <x:c r="L1101" s="9" t="str">
        <x:v>ST05</x:v>
      </x:c>
      <x:c r="M1101" s="17" t="str">
        <x:v>Witness capture armed</x:v>
      </x:c>
      <x:c r="N1101" s="17" t="str">
        <x:v>unlike witness records independent reference and live time</x:v>
      </x:c>
      <x:c r="O1101" s="17" t="str">
        <x:v>Witness metrology</x:v>
      </x:c>
      <x:c r="P1101" s="9" t="n">
        <x:v>0</x:v>
      </x:c>
      <x:c r="Q1101" s="9" t="n">
        <x:v>0</x:v>
      </x:c>
      <x:c r="R1101" s="9" t="str">
        <x:v>OPEN / UNSTARTED</x:v>
      </x:c>
      <x:c r="S1101" s="9" t="n">
        <x:f>COUNTIFS($A$7:$A$1446,A1101)</x:f>
        <x:v>1</x:v>
      </x:c>
    </x:row>
    <x:row r="1102">
      <x:c r="A1102" s="9" t="str">
        <x:v>EV-AR-ET-A-A-TECH-4-B2-INT-G0-ST06</x:v>
      </x:c>
      <x:c r="B1102" s="9" t="str">
        <x:v>EV-AR-ET-A-A-TECH-4-B2-INT-G0</x:v>
      </x:c>
      <x:c r="C1102" s="9" t="str">
        <x:v>EOW-AR-ET-A-A-TECH-4-B2-INT-G0</x:v>
      </x:c>
      <x:c r="D1102" s="9" t="str">
        <x:v>AR-ET-A-A-TECH-4-B2-INT-G0</x:v>
      </x:c>
      <x:c r="E1102" s="9" t="str">
        <x:v>ET-A-A-TECH-4</x:v>
      </x:c>
      <x:c r="F1102" s="9" t="str">
        <x:v>ET-A-A</x:v>
      </x:c>
      <x:c r="G1102" s="9" t="str">
        <x:v>B2</x:v>
      </x:c>
      <x:c r="H1102" s="9" t="str">
        <x:v>INT</x:v>
      </x:c>
      <x:c r="I1102" s="9" t="n">
        <x:v>5</x:v>
      </x:c>
      <x:c r="J1102" s="9" t="n">
        <x:v>3</x:v>
      </x:c>
      <x:c r="K1102" s="9" t="str">
        <x:v>ET-A-A-N1</x:v>
      </x:c>
      <x:c r="L1102" s="9" t="str">
        <x:v>ST06</x:v>
      </x:c>
      <x:c r="M1102" s="17" t="str">
        <x:v>Public custody armed</x:v>
      </x:c>
      <x:c r="N1102" s="17" t="str">
        <x:v>eight raw origins have separated hash and replica routes</x:v>
      </x:c>
      <x:c r="O1102" s="17" t="str">
        <x:v>Custody authority</x:v>
      </x:c>
      <x:c r="P1102" s="9" t="n">
        <x:v>0</x:v>
      </x:c>
      <x:c r="Q1102" s="9" t="n">
        <x:v>0</x:v>
      </x:c>
      <x:c r="R1102" s="9" t="str">
        <x:v>OPEN / UNSTARTED</x:v>
      </x:c>
      <x:c r="S1102" s="9" t="n">
        <x:f>COUNTIFS($A$7:$A$1446,A1102)</x:f>
        <x:v>1</x:v>
      </x:c>
    </x:row>
    <x:row r="1103">
      <x:c r="A1103" s="9" t="str">
        <x:v>EV-AR-ET-A-A-TECH-4-B2-INT-G0-ST07</x:v>
      </x:c>
      <x:c r="B1103" s="9" t="str">
        <x:v>EV-AR-ET-A-A-TECH-4-B2-INT-G0</x:v>
      </x:c>
      <x:c r="C1103" s="9" t="str">
        <x:v>EOW-AR-ET-A-A-TECH-4-B2-INT-G0</x:v>
      </x:c>
      <x:c r="D1103" s="9" t="str">
        <x:v>AR-ET-A-A-TECH-4-B2-INT-G0</x:v>
      </x:c>
      <x:c r="E1103" s="9" t="str">
        <x:v>ET-A-A-TECH-4</x:v>
      </x:c>
      <x:c r="F1103" s="9" t="str">
        <x:v>ET-A-A</x:v>
      </x:c>
      <x:c r="G1103" s="9" t="str">
        <x:v>B2</x:v>
      </x:c>
      <x:c r="H1103" s="9" t="str">
        <x:v>INT</x:v>
      </x:c>
      <x:c r="I1103" s="9" t="n">
        <x:v>5</x:v>
      </x:c>
      <x:c r="J1103" s="9" t="n">
        <x:v>3</x:v>
      </x:c>
      <x:c r="K1103" s="9" t="str">
        <x:v>ET-A-A-N1</x:v>
      </x:c>
      <x:c r="L1103" s="9" t="str">
        <x:v>ST07</x:v>
      </x:c>
      <x:c r="M1103" s="17" t="str">
        <x:v>Environmental baseline</x:v>
      </x:c>
      <x:c r="N1103" s="17" t="str">
        <x:v>pre-event boundary state is sealed before decisive operation</x:v>
      </x:c>
      <x:c r="O1103" s="17" t="str">
        <x:v>Site metrology</x:v>
      </x:c>
      <x:c r="P1103" s="9" t="n">
        <x:v>0</x:v>
      </x:c>
      <x:c r="Q1103" s="9" t="n">
        <x:v>0</x:v>
      </x:c>
      <x:c r="R1103" s="9" t="str">
        <x:v>OPEN / UNSTARTED</x:v>
      </x:c>
      <x:c r="S1103" s="9" t="n">
        <x:f>COUNTIFS($A$7:$A$1446,A1103)</x:f>
        <x:v>1</x:v>
      </x:c>
    </x:row>
    <x:row r="1104">
      <x:c r="A1104" s="9" t="str">
        <x:v>EV-AR-ET-A-A-TECH-4-B2-INT-G0-ST08</x:v>
      </x:c>
      <x:c r="B1104" s="9" t="str">
        <x:v>EV-AR-ET-A-A-TECH-4-B2-INT-G0</x:v>
      </x:c>
      <x:c r="C1104" s="9" t="str">
        <x:v>EOW-AR-ET-A-A-TECH-4-B2-INT-G0</x:v>
      </x:c>
      <x:c r="D1104" s="9" t="str">
        <x:v>AR-ET-A-A-TECH-4-B2-INT-G0</x:v>
      </x:c>
      <x:c r="E1104" s="9" t="str">
        <x:v>ET-A-A-TECH-4</x:v>
      </x:c>
      <x:c r="F1104" s="9" t="str">
        <x:v>ET-A-A</x:v>
      </x:c>
      <x:c r="G1104" s="9" t="str">
        <x:v>B2</x:v>
      </x:c>
      <x:c r="H1104" s="9" t="str">
        <x:v>INT</x:v>
      </x:c>
      <x:c r="I1104" s="9" t="n">
        <x:v>5</x:v>
      </x:c>
      <x:c r="J1104" s="9" t="n">
        <x:v>3</x:v>
      </x:c>
      <x:c r="K1104" s="9" t="str">
        <x:v>ET-A-A-N1</x:v>
      </x:c>
      <x:c r="L1104" s="9" t="str">
        <x:v>ST08</x:v>
      </x:c>
      <x:c r="M1104" s="17" t="str">
        <x:v>Manual stop and safety</x:v>
      </x:c>
      <x:c r="N1104" s="17" t="str">
        <x:v>local stop, evacuation and protection routes are active</x:v>
      </x:c>
      <x:c r="O1104" s="17" t="str">
        <x:v>Safety authority</x:v>
      </x:c>
      <x:c r="P1104" s="9" t="n">
        <x:v>0</x:v>
      </x:c>
      <x:c r="Q1104" s="9" t="n">
        <x:v>0</x:v>
      </x:c>
      <x:c r="R1104" s="9" t="str">
        <x:v>OPEN / UNSTARTED</x:v>
      </x:c>
      <x:c r="S1104" s="9" t="n">
        <x:f>COUNTIFS($A$7:$A$1446,A1104)</x:f>
        <x:v>1</x:v>
      </x:c>
    </x:row>
    <x:row r="1105">
      <x:c r="A1105" s="9" t="str">
        <x:v>EV-AR-ET-A-A-TECH-4-B2-INT-G0-ST09</x:v>
      </x:c>
      <x:c r="B1105" s="9" t="str">
        <x:v>EV-AR-ET-A-A-TECH-4-B2-INT-G0</x:v>
      </x:c>
      <x:c r="C1105" s="9" t="str">
        <x:v>EOW-AR-ET-A-A-TECH-4-B2-INT-G0</x:v>
      </x:c>
      <x:c r="D1105" s="9" t="str">
        <x:v>AR-ET-A-A-TECH-4-B2-INT-G0</x:v>
      </x:c>
      <x:c r="E1105" s="9" t="str">
        <x:v>ET-A-A-TECH-4</x:v>
      </x:c>
      <x:c r="F1105" s="9" t="str">
        <x:v>ET-A-A</x:v>
      </x:c>
      <x:c r="G1105" s="9" t="str">
        <x:v>B2</x:v>
      </x:c>
      <x:c r="H1105" s="9" t="str">
        <x:v>INT</x:v>
      </x:c>
      <x:c r="I1105" s="9" t="n">
        <x:v>5</x:v>
      </x:c>
      <x:c r="J1105" s="9" t="n">
        <x:v>3</x:v>
      </x:c>
      <x:c r="K1105" s="9" t="str">
        <x:v>ET-A-A-N1</x:v>
      </x:c>
      <x:c r="L1105" s="9" t="str">
        <x:v>ST09</x:v>
      </x:c>
      <x:c r="M1105" s="17" t="str">
        <x:v>Operator conflict clear</x:v>
      </x:c>
      <x:c r="N1105" s="17" t="str">
        <x:v>candidate, fixture, safety and measurement control edges remain separated</x:v>
      </x:c>
      <x:c r="O1105" s="17" t="str">
        <x:v>Conflict registrar</x:v>
      </x:c>
      <x:c r="P1105" s="9" t="n">
        <x:v>0</x:v>
      </x:c>
      <x:c r="Q1105" s="9" t="n">
        <x:v>0</x:v>
      </x:c>
      <x:c r="R1105" s="9" t="str">
        <x:v>OPEN / UNSTARTED</x:v>
      </x:c>
      <x:c r="S1105" s="9" t="n">
        <x:f>COUNTIFS($A$7:$A$1446,A1105)</x:f>
        <x:v>1</x:v>
      </x:c>
    </x:row>
    <x:row r="1106">
      <x:c r="A1106" s="9" t="str">
        <x:v>EV-AR-ET-A-A-TECH-4-B2-INT-G0-ST10</x:v>
      </x:c>
      <x:c r="B1106" s="9" t="str">
        <x:v>EV-AR-ET-A-A-TECH-4-B2-INT-G0</x:v>
      </x:c>
      <x:c r="C1106" s="9" t="str">
        <x:v>EOW-AR-ET-A-A-TECH-4-B2-INT-G0</x:v>
      </x:c>
      <x:c r="D1106" s="9" t="str">
        <x:v>AR-ET-A-A-TECH-4-B2-INT-G0</x:v>
      </x:c>
      <x:c r="E1106" s="9" t="str">
        <x:v>ET-A-A-TECH-4</x:v>
      </x:c>
      <x:c r="F1106" s="9" t="str">
        <x:v>ET-A-A</x:v>
      </x:c>
      <x:c r="G1106" s="9" t="str">
        <x:v>B2</x:v>
      </x:c>
      <x:c r="H1106" s="9" t="str">
        <x:v>INT</x:v>
      </x:c>
      <x:c r="I1106" s="9" t="n">
        <x:v>5</x:v>
      </x:c>
      <x:c r="J1106" s="9" t="n">
        <x:v>3</x:v>
      </x:c>
      <x:c r="K1106" s="9" t="str">
        <x:v>ET-A-A-N1</x:v>
      </x:c>
      <x:c r="L1106" s="9" t="str">
        <x:v>ST10</x:v>
      </x:c>
      <x:c r="M1106" s="17" t="str">
        <x:v>Window and common clock</x:v>
      </x:c>
      <x:c r="N1106" s="17" t="str">
        <x:v>epoch, window and public time origin match the issued warrant</x:v>
      </x:c>
      <x:c r="O1106" s="17" t="str">
        <x:v>Event clock authority</x:v>
      </x:c>
      <x:c r="P1106" s="9" t="n">
        <x:v>0</x:v>
      </x:c>
      <x:c r="Q1106" s="9" t="n">
        <x:v>0</x:v>
      </x:c>
      <x:c r="R1106" s="9" t="str">
        <x:v>OPEN / UNSTARTED</x:v>
      </x:c>
      <x:c r="S1106" s="9" t="n">
        <x:f>COUNTIFS($A$7:$A$1446,A1106)</x:f>
        <x:v>1</x:v>
      </x:c>
    </x:row>
    <x:row r="1107">
      <x:c r="A1107" s="9" t="str">
        <x:v>EV-AR-HU-A-B-TECH-1-B1-INT-G0-ST01</x:v>
      </x:c>
      <x:c r="B1107" s="9" t="str">
        <x:v>EV-AR-HU-A-B-TECH-1-B1-INT-G0</x:v>
      </x:c>
      <x:c r="C1107" s="9" t="str">
        <x:v>EOW-AR-HU-A-B-TECH-1-B1-INT-G0</x:v>
      </x:c>
      <x:c r="D1107" s="9" t="str">
        <x:v>AR-HU-A-B-TECH-1-B1-INT-G0</x:v>
      </x:c>
      <x:c r="E1107" s="9" t="str">
        <x:v>HU-A-B-TECH-1</x:v>
      </x:c>
      <x:c r="F1107" s="9" t="str">
        <x:v>HU-A-B</x:v>
      </x:c>
      <x:c r="G1107" s="9" t="str">
        <x:v>B1</x:v>
      </x:c>
      <x:c r="H1107" s="9" t="str">
        <x:v>INT</x:v>
      </x:c>
      <x:c r="I1107" s="9" t="n">
        <x:v>5</x:v>
      </x:c>
      <x:c r="J1107" s="9" t="n">
        <x:v>3</x:v>
      </x:c>
      <x:c r="K1107" s="9" t="str">
        <x:v>HU-A-B-N1</x:v>
      </x:c>
      <x:c r="L1107" s="9" t="str">
        <x:v>ST01</x:v>
      </x:c>
      <x:c r="M1107" s="17" t="str">
        <x:v>Active opportunity warrant</x:v>
      </x:c>
      <x:c r="N1107" s="17" t="str">
        <x:v>configuration-bound EOW is within its thirty-six-hour validity</x:v>
      </x:c>
      <x:c r="O1107" s="17" t="str">
        <x:v>Start registrar</x:v>
      </x:c>
      <x:c r="P1107" s="9" t="n">
        <x:v>0</x:v>
      </x:c>
      <x:c r="Q1107" s="9" t="n">
        <x:v>0</x:v>
      </x:c>
      <x:c r="R1107" s="9" t="str">
        <x:v>OPEN / UNSTARTED</x:v>
      </x:c>
      <x:c r="S1107" s="9" t="n">
        <x:f>COUNTIFS($A$7:$A$1446,A1107)</x:f>
        <x:v>1</x:v>
      </x:c>
    </x:row>
    <x:row r="1108">
      <x:c r="A1108" s="9" t="str">
        <x:v>EV-AR-HU-A-B-TECH-1-B1-INT-G0-ST02</x:v>
      </x:c>
      <x:c r="B1108" s="9" t="str">
        <x:v>EV-AR-HU-A-B-TECH-1-B1-INT-G0</x:v>
      </x:c>
      <x:c r="C1108" s="9" t="str">
        <x:v>EOW-AR-HU-A-B-TECH-1-B1-INT-G0</x:v>
      </x:c>
      <x:c r="D1108" s="9" t="str">
        <x:v>AR-HU-A-B-TECH-1-B1-INT-G0</x:v>
      </x:c>
      <x:c r="E1108" s="9" t="str">
        <x:v>HU-A-B-TECH-1</x:v>
      </x:c>
      <x:c r="F1108" s="9" t="str">
        <x:v>HU-A-B</x:v>
      </x:c>
      <x:c r="G1108" s="9" t="str">
        <x:v>B1</x:v>
      </x:c>
      <x:c r="H1108" s="9" t="str">
        <x:v>INT</x:v>
      </x:c>
      <x:c r="I1108" s="9" t="n">
        <x:v>5</x:v>
      </x:c>
      <x:c r="J1108" s="9" t="n">
        <x:v>3</x:v>
      </x:c>
      <x:c r="K1108" s="9" t="str">
        <x:v>HU-A-B-N1</x:v>
      </x:c>
      <x:c r="L1108" s="9" t="str">
        <x:v>ST02</x:v>
      </x:c>
      <x:c r="M1108" s="17" t="str">
        <x:v>Frozen identity</x:v>
      </x:c>
      <x:c r="N1108" s="17" t="str">
        <x:v>serial, generation, fixture, site, receiver and digest match the warrant</x:v>
      </x:c>
      <x:c r="O1108" s="17" t="str">
        <x:v>Custody authority</x:v>
      </x:c>
      <x:c r="P1108" s="9" t="n">
        <x:v>0</x:v>
      </x:c>
      <x:c r="Q1108" s="9" t="n">
        <x:v>0</x:v>
      </x:c>
      <x:c r="R1108" s="9" t="str">
        <x:v>OPEN / UNSTARTED</x:v>
      </x:c>
      <x:c r="S1108" s="9" t="n">
        <x:f>COUNTIFS($A$7:$A$1446,A1108)</x:f>
        <x:v>1</x:v>
      </x:c>
    </x:row>
    <x:row r="1109">
      <x:c r="A1109" s="9" t="str">
        <x:v>EV-AR-HU-A-B-TECH-1-B1-INT-G0-ST03</x:v>
      </x:c>
      <x:c r="B1109" s="9" t="str">
        <x:v>EV-AR-HU-A-B-TECH-1-B1-INT-G0</x:v>
      </x:c>
      <x:c r="C1109" s="9" t="str">
        <x:v>EOW-AR-HU-A-B-TECH-1-B1-INT-G0</x:v>
      </x:c>
      <x:c r="D1109" s="9" t="str">
        <x:v>AR-HU-A-B-TECH-1-B1-INT-G0</x:v>
      </x:c>
      <x:c r="E1109" s="9" t="str">
        <x:v>HU-A-B-TECH-1</x:v>
      </x:c>
      <x:c r="F1109" s="9" t="str">
        <x:v>HU-A-B</x:v>
      </x:c>
      <x:c r="G1109" s="9" t="str">
        <x:v>B1</x:v>
      </x:c>
      <x:c r="H1109" s="9" t="str">
        <x:v>INT</x:v>
      </x:c>
      <x:c r="I1109" s="9" t="n">
        <x:v>5</x:v>
      </x:c>
      <x:c r="J1109" s="9" t="n">
        <x:v>3</x:v>
      </x:c>
      <x:c r="K1109" s="9" t="str">
        <x:v>HU-A-B-N1</x:v>
      </x:c>
      <x:c r="L1109" s="9" t="str">
        <x:v>ST03</x:v>
      </x:c>
      <x:c r="M1109" s="17" t="str">
        <x:v>Receiver receipt</x:v>
      </x:c>
      <x:c r="N1109" s="17" t="str">
        <x:v>denominator, counterfactual, rights and stop receipt remain unchanged</x:v>
      </x:c>
      <x:c r="O1109" s="17" t="str">
        <x:v>Receiver authority</x:v>
      </x:c>
      <x:c r="P1109" s="9" t="n">
        <x:v>0</x:v>
      </x:c>
      <x:c r="Q1109" s="9" t="n">
        <x:v>0</x:v>
      </x:c>
      <x:c r="R1109" s="9" t="str">
        <x:v>OPEN / UNSTARTED</x:v>
      </x:c>
      <x:c r="S1109" s="9" t="n">
        <x:f>COUNTIFS($A$7:$A$1446,A1109)</x:f>
        <x:v>1</x:v>
      </x:c>
    </x:row>
    <x:row r="1110">
      <x:c r="A1110" s="9" t="str">
        <x:v>EV-AR-HU-A-B-TECH-1-B1-INT-G0-ST04</x:v>
      </x:c>
      <x:c r="B1110" s="9" t="str">
        <x:v>EV-AR-HU-A-B-TECH-1-B1-INT-G0</x:v>
      </x:c>
      <x:c r="C1110" s="9" t="str">
        <x:v>EOW-AR-HU-A-B-TECH-1-B1-INT-G0</x:v>
      </x:c>
      <x:c r="D1110" s="9" t="str">
        <x:v>AR-HU-A-B-TECH-1-B1-INT-G0</x:v>
      </x:c>
      <x:c r="E1110" s="9" t="str">
        <x:v>HU-A-B-TECH-1</x:v>
      </x:c>
      <x:c r="F1110" s="9" t="str">
        <x:v>HU-A-B</x:v>
      </x:c>
      <x:c r="G1110" s="9" t="str">
        <x:v>B1</x:v>
      </x:c>
      <x:c r="H1110" s="9" t="str">
        <x:v>INT</x:v>
      </x:c>
      <x:c r="I1110" s="9" t="n">
        <x:v>5</x:v>
      </x:c>
      <x:c r="J1110" s="9" t="n">
        <x:v>3</x:v>
      </x:c>
      <x:c r="K1110" s="9" t="str">
        <x:v>HU-A-B-N1</x:v>
      </x:c>
      <x:c r="L1110" s="9" t="str">
        <x:v>ST04</x:v>
      </x:c>
      <x:c r="M1110" s="17" t="str">
        <x:v>Primary capture armed</x:v>
      </x:c>
      <x:c r="N1110" s="17" t="str">
        <x:v>primary chain records sealed reference and live time</x:v>
      </x:c>
      <x:c r="O1110" s="17" t="str">
        <x:v>Primary metrology</x:v>
      </x:c>
      <x:c r="P1110" s="9" t="n">
        <x:v>0</x:v>
      </x:c>
      <x:c r="Q1110" s="9" t="n">
        <x:v>0</x:v>
      </x:c>
      <x:c r="R1110" s="9" t="str">
        <x:v>OPEN / UNSTARTED</x:v>
      </x:c>
      <x:c r="S1110" s="9" t="n">
        <x:f>COUNTIFS($A$7:$A$1446,A1110)</x:f>
        <x:v>1</x:v>
      </x:c>
    </x:row>
    <x:row r="1111">
      <x:c r="A1111" s="9" t="str">
        <x:v>EV-AR-HU-A-B-TECH-1-B1-INT-G0-ST05</x:v>
      </x:c>
      <x:c r="B1111" s="9" t="str">
        <x:v>EV-AR-HU-A-B-TECH-1-B1-INT-G0</x:v>
      </x:c>
      <x:c r="C1111" s="9" t="str">
        <x:v>EOW-AR-HU-A-B-TECH-1-B1-INT-G0</x:v>
      </x:c>
      <x:c r="D1111" s="9" t="str">
        <x:v>AR-HU-A-B-TECH-1-B1-INT-G0</x:v>
      </x:c>
      <x:c r="E1111" s="9" t="str">
        <x:v>HU-A-B-TECH-1</x:v>
      </x:c>
      <x:c r="F1111" s="9" t="str">
        <x:v>HU-A-B</x:v>
      </x:c>
      <x:c r="G1111" s="9" t="str">
        <x:v>B1</x:v>
      </x:c>
      <x:c r="H1111" s="9" t="str">
        <x:v>INT</x:v>
      </x:c>
      <x:c r="I1111" s="9" t="n">
        <x:v>5</x:v>
      </x:c>
      <x:c r="J1111" s="9" t="n">
        <x:v>3</x:v>
      </x:c>
      <x:c r="K1111" s="9" t="str">
        <x:v>HU-A-B-N1</x:v>
      </x:c>
      <x:c r="L1111" s="9" t="str">
        <x:v>ST05</x:v>
      </x:c>
      <x:c r="M1111" s="17" t="str">
        <x:v>Witness capture armed</x:v>
      </x:c>
      <x:c r="N1111" s="17" t="str">
        <x:v>unlike witness records independent reference and live time</x:v>
      </x:c>
      <x:c r="O1111" s="17" t="str">
        <x:v>Witness metrology</x:v>
      </x:c>
      <x:c r="P1111" s="9" t="n">
        <x:v>0</x:v>
      </x:c>
      <x:c r="Q1111" s="9" t="n">
        <x:v>0</x:v>
      </x:c>
      <x:c r="R1111" s="9" t="str">
        <x:v>OPEN / UNSTARTED</x:v>
      </x:c>
      <x:c r="S1111" s="9" t="n">
        <x:f>COUNTIFS($A$7:$A$1446,A1111)</x:f>
        <x:v>1</x:v>
      </x:c>
    </x:row>
    <x:row r="1112">
      <x:c r="A1112" s="9" t="str">
        <x:v>EV-AR-HU-A-B-TECH-1-B1-INT-G0-ST06</x:v>
      </x:c>
      <x:c r="B1112" s="9" t="str">
        <x:v>EV-AR-HU-A-B-TECH-1-B1-INT-G0</x:v>
      </x:c>
      <x:c r="C1112" s="9" t="str">
        <x:v>EOW-AR-HU-A-B-TECH-1-B1-INT-G0</x:v>
      </x:c>
      <x:c r="D1112" s="9" t="str">
        <x:v>AR-HU-A-B-TECH-1-B1-INT-G0</x:v>
      </x:c>
      <x:c r="E1112" s="9" t="str">
        <x:v>HU-A-B-TECH-1</x:v>
      </x:c>
      <x:c r="F1112" s="9" t="str">
        <x:v>HU-A-B</x:v>
      </x:c>
      <x:c r="G1112" s="9" t="str">
        <x:v>B1</x:v>
      </x:c>
      <x:c r="H1112" s="9" t="str">
        <x:v>INT</x:v>
      </x:c>
      <x:c r="I1112" s="9" t="n">
        <x:v>5</x:v>
      </x:c>
      <x:c r="J1112" s="9" t="n">
        <x:v>3</x:v>
      </x:c>
      <x:c r="K1112" s="9" t="str">
        <x:v>HU-A-B-N1</x:v>
      </x:c>
      <x:c r="L1112" s="9" t="str">
        <x:v>ST06</x:v>
      </x:c>
      <x:c r="M1112" s="17" t="str">
        <x:v>Public custody armed</x:v>
      </x:c>
      <x:c r="N1112" s="17" t="str">
        <x:v>eight raw origins have separated hash and replica routes</x:v>
      </x:c>
      <x:c r="O1112" s="17" t="str">
        <x:v>Custody authority</x:v>
      </x:c>
      <x:c r="P1112" s="9" t="n">
        <x:v>0</x:v>
      </x:c>
      <x:c r="Q1112" s="9" t="n">
        <x:v>0</x:v>
      </x:c>
      <x:c r="R1112" s="9" t="str">
        <x:v>OPEN / UNSTARTED</x:v>
      </x:c>
      <x:c r="S1112" s="9" t="n">
        <x:f>COUNTIFS($A$7:$A$1446,A1112)</x:f>
        <x:v>1</x:v>
      </x:c>
    </x:row>
    <x:row r="1113">
      <x:c r="A1113" s="9" t="str">
        <x:v>EV-AR-HU-A-B-TECH-1-B1-INT-G0-ST07</x:v>
      </x:c>
      <x:c r="B1113" s="9" t="str">
        <x:v>EV-AR-HU-A-B-TECH-1-B1-INT-G0</x:v>
      </x:c>
      <x:c r="C1113" s="9" t="str">
        <x:v>EOW-AR-HU-A-B-TECH-1-B1-INT-G0</x:v>
      </x:c>
      <x:c r="D1113" s="9" t="str">
        <x:v>AR-HU-A-B-TECH-1-B1-INT-G0</x:v>
      </x:c>
      <x:c r="E1113" s="9" t="str">
        <x:v>HU-A-B-TECH-1</x:v>
      </x:c>
      <x:c r="F1113" s="9" t="str">
        <x:v>HU-A-B</x:v>
      </x:c>
      <x:c r="G1113" s="9" t="str">
        <x:v>B1</x:v>
      </x:c>
      <x:c r="H1113" s="9" t="str">
        <x:v>INT</x:v>
      </x:c>
      <x:c r="I1113" s="9" t="n">
        <x:v>5</x:v>
      </x:c>
      <x:c r="J1113" s="9" t="n">
        <x:v>3</x:v>
      </x:c>
      <x:c r="K1113" s="9" t="str">
        <x:v>HU-A-B-N1</x:v>
      </x:c>
      <x:c r="L1113" s="9" t="str">
        <x:v>ST07</x:v>
      </x:c>
      <x:c r="M1113" s="17" t="str">
        <x:v>Environmental baseline</x:v>
      </x:c>
      <x:c r="N1113" s="17" t="str">
        <x:v>pre-event boundary state is sealed before decisive operation</x:v>
      </x:c>
      <x:c r="O1113" s="17" t="str">
        <x:v>Site metrology</x:v>
      </x:c>
      <x:c r="P1113" s="9" t="n">
        <x:v>0</x:v>
      </x:c>
      <x:c r="Q1113" s="9" t="n">
        <x:v>0</x:v>
      </x:c>
      <x:c r="R1113" s="9" t="str">
        <x:v>OPEN / UNSTARTED</x:v>
      </x:c>
      <x:c r="S1113" s="9" t="n">
        <x:f>COUNTIFS($A$7:$A$1446,A1113)</x:f>
        <x:v>1</x:v>
      </x:c>
    </x:row>
    <x:row r="1114">
      <x:c r="A1114" s="9" t="str">
        <x:v>EV-AR-HU-A-B-TECH-1-B1-INT-G0-ST08</x:v>
      </x:c>
      <x:c r="B1114" s="9" t="str">
        <x:v>EV-AR-HU-A-B-TECH-1-B1-INT-G0</x:v>
      </x:c>
      <x:c r="C1114" s="9" t="str">
        <x:v>EOW-AR-HU-A-B-TECH-1-B1-INT-G0</x:v>
      </x:c>
      <x:c r="D1114" s="9" t="str">
        <x:v>AR-HU-A-B-TECH-1-B1-INT-G0</x:v>
      </x:c>
      <x:c r="E1114" s="9" t="str">
        <x:v>HU-A-B-TECH-1</x:v>
      </x:c>
      <x:c r="F1114" s="9" t="str">
        <x:v>HU-A-B</x:v>
      </x:c>
      <x:c r="G1114" s="9" t="str">
        <x:v>B1</x:v>
      </x:c>
      <x:c r="H1114" s="9" t="str">
        <x:v>INT</x:v>
      </x:c>
      <x:c r="I1114" s="9" t="n">
        <x:v>5</x:v>
      </x:c>
      <x:c r="J1114" s="9" t="n">
        <x:v>3</x:v>
      </x:c>
      <x:c r="K1114" s="9" t="str">
        <x:v>HU-A-B-N1</x:v>
      </x:c>
      <x:c r="L1114" s="9" t="str">
        <x:v>ST08</x:v>
      </x:c>
      <x:c r="M1114" s="17" t="str">
        <x:v>Manual stop and safety</x:v>
      </x:c>
      <x:c r="N1114" s="17" t="str">
        <x:v>local stop, evacuation and protection routes are active</x:v>
      </x:c>
      <x:c r="O1114" s="17" t="str">
        <x:v>Safety authority</x:v>
      </x:c>
      <x:c r="P1114" s="9" t="n">
        <x:v>0</x:v>
      </x:c>
      <x:c r="Q1114" s="9" t="n">
        <x:v>0</x:v>
      </x:c>
      <x:c r="R1114" s="9" t="str">
        <x:v>OPEN / UNSTARTED</x:v>
      </x:c>
      <x:c r="S1114" s="9" t="n">
        <x:f>COUNTIFS($A$7:$A$1446,A1114)</x:f>
        <x:v>1</x:v>
      </x:c>
    </x:row>
    <x:row r="1115">
      <x:c r="A1115" s="9" t="str">
        <x:v>EV-AR-HU-A-B-TECH-1-B1-INT-G0-ST09</x:v>
      </x:c>
      <x:c r="B1115" s="9" t="str">
        <x:v>EV-AR-HU-A-B-TECH-1-B1-INT-G0</x:v>
      </x:c>
      <x:c r="C1115" s="9" t="str">
        <x:v>EOW-AR-HU-A-B-TECH-1-B1-INT-G0</x:v>
      </x:c>
      <x:c r="D1115" s="9" t="str">
        <x:v>AR-HU-A-B-TECH-1-B1-INT-G0</x:v>
      </x:c>
      <x:c r="E1115" s="9" t="str">
        <x:v>HU-A-B-TECH-1</x:v>
      </x:c>
      <x:c r="F1115" s="9" t="str">
        <x:v>HU-A-B</x:v>
      </x:c>
      <x:c r="G1115" s="9" t="str">
        <x:v>B1</x:v>
      </x:c>
      <x:c r="H1115" s="9" t="str">
        <x:v>INT</x:v>
      </x:c>
      <x:c r="I1115" s="9" t="n">
        <x:v>5</x:v>
      </x:c>
      <x:c r="J1115" s="9" t="n">
        <x:v>3</x:v>
      </x:c>
      <x:c r="K1115" s="9" t="str">
        <x:v>HU-A-B-N1</x:v>
      </x:c>
      <x:c r="L1115" s="9" t="str">
        <x:v>ST09</x:v>
      </x:c>
      <x:c r="M1115" s="17" t="str">
        <x:v>Operator conflict clear</x:v>
      </x:c>
      <x:c r="N1115" s="17" t="str">
        <x:v>candidate, fixture, safety and measurement control edges remain separated</x:v>
      </x:c>
      <x:c r="O1115" s="17" t="str">
        <x:v>Conflict registrar</x:v>
      </x:c>
      <x:c r="P1115" s="9" t="n">
        <x:v>0</x:v>
      </x:c>
      <x:c r="Q1115" s="9" t="n">
        <x:v>0</x:v>
      </x:c>
      <x:c r="R1115" s="9" t="str">
        <x:v>OPEN / UNSTARTED</x:v>
      </x:c>
      <x:c r="S1115" s="9" t="n">
        <x:f>COUNTIFS($A$7:$A$1446,A1115)</x:f>
        <x:v>1</x:v>
      </x:c>
    </x:row>
    <x:row r="1116">
      <x:c r="A1116" s="9" t="str">
        <x:v>EV-AR-HU-A-B-TECH-1-B1-INT-G0-ST10</x:v>
      </x:c>
      <x:c r="B1116" s="9" t="str">
        <x:v>EV-AR-HU-A-B-TECH-1-B1-INT-G0</x:v>
      </x:c>
      <x:c r="C1116" s="9" t="str">
        <x:v>EOW-AR-HU-A-B-TECH-1-B1-INT-G0</x:v>
      </x:c>
      <x:c r="D1116" s="9" t="str">
        <x:v>AR-HU-A-B-TECH-1-B1-INT-G0</x:v>
      </x:c>
      <x:c r="E1116" s="9" t="str">
        <x:v>HU-A-B-TECH-1</x:v>
      </x:c>
      <x:c r="F1116" s="9" t="str">
        <x:v>HU-A-B</x:v>
      </x:c>
      <x:c r="G1116" s="9" t="str">
        <x:v>B1</x:v>
      </x:c>
      <x:c r="H1116" s="9" t="str">
        <x:v>INT</x:v>
      </x:c>
      <x:c r="I1116" s="9" t="n">
        <x:v>5</x:v>
      </x:c>
      <x:c r="J1116" s="9" t="n">
        <x:v>3</x:v>
      </x:c>
      <x:c r="K1116" s="9" t="str">
        <x:v>HU-A-B-N1</x:v>
      </x:c>
      <x:c r="L1116" s="9" t="str">
        <x:v>ST10</x:v>
      </x:c>
      <x:c r="M1116" s="17" t="str">
        <x:v>Window and common clock</x:v>
      </x:c>
      <x:c r="N1116" s="17" t="str">
        <x:v>epoch, window and public time origin match the issued warrant</x:v>
      </x:c>
      <x:c r="O1116" s="17" t="str">
        <x:v>Event clock authority</x:v>
      </x:c>
      <x:c r="P1116" s="9" t="n">
        <x:v>0</x:v>
      </x:c>
      <x:c r="Q1116" s="9" t="n">
        <x:v>0</x:v>
      </x:c>
      <x:c r="R1116" s="9" t="str">
        <x:v>OPEN / UNSTARTED</x:v>
      </x:c>
      <x:c r="S1116" s="9" t="n">
        <x:f>COUNTIFS($A$7:$A$1446,A1116)</x:f>
        <x:v>1</x:v>
      </x:c>
    </x:row>
    <x:row r="1117">
      <x:c r="A1117" s="9" t="str">
        <x:v>EV-AR-HU-A-B-TECH-4-B2-BRK-G0-ST01</x:v>
      </x:c>
      <x:c r="B1117" s="9" t="str">
        <x:v>EV-AR-HU-A-B-TECH-4-B2-BRK-G0</x:v>
      </x:c>
      <x:c r="C1117" s="9" t="str">
        <x:v>EOW-AR-HU-A-B-TECH-4-B2-BRK-G0</x:v>
      </x:c>
      <x:c r="D1117" s="9" t="str">
        <x:v>AR-HU-A-B-TECH-4-B2-BRK-G0</x:v>
      </x:c>
      <x:c r="E1117" s="9" t="str">
        <x:v>HU-A-B-TECH-4</x:v>
      </x:c>
      <x:c r="F1117" s="9" t="str">
        <x:v>HU-A-B</x:v>
      </x:c>
      <x:c r="G1117" s="9" t="str">
        <x:v>B2</x:v>
      </x:c>
      <x:c r="H1117" s="9" t="str">
        <x:v>BRK</x:v>
      </x:c>
      <x:c r="I1117" s="9" t="n">
        <x:v>5</x:v>
      </x:c>
      <x:c r="J1117" s="9" t="n">
        <x:v>3</x:v>
      </x:c>
      <x:c r="K1117" s="9" t="str">
        <x:v>HU-A-B-N2</x:v>
      </x:c>
      <x:c r="L1117" s="9" t="str">
        <x:v>ST01</x:v>
      </x:c>
      <x:c r="M1117" s="17" t="str">
        <x:v>Active opportunity warrant</x:v>
      </x:c>
      <x:c r="N1117" s="17" t="str">
        <x:v>configuration-bound EOW is within its thirty-six-hour validity</x:v>
      </x:c>
      <x:c r="O1117" s="17" t="str">
        <x:v>Start registrar</x:v>
      </x:c>
      <x:c r="P1117" s="9" t="n">
        <x:v>0</x:v>
      </x:c>
      <x:c r="Q1117" s="9" t="n">
        <x:v>0</x:v>
      </x:c>
      <x:c r="R1117" s="9" t="str">
        <x:v>OPEN / UNSTARTED</x:v>
      </x:c>
      <x:c r="S1117" s="9" t="n">
        <x:f>COUNTIFS($A$7:$A$1446,A1117)</x:f>
        <x:v>1</x:v>
      </x:c>
    </x:row>
    <x:row r="1118">
      <x:c r="A1118" s="9" t="str">
        <x:v>EV-AR-HU-A-B-TECH-4-B2-BRK-G0-ST02</x:v>
      </x:c>
      <x:c r="B1118" s="9" t="str">
        <x:v>EV-AR-HU-A-B-TECH-4-B2-BRK-G0</x:v>
      </x:c>
      <x:c r="C1118" s="9" t="str">
        <x:v>EOW-AR-HU-A-B-TECH-4-B2-BRK-G0</x:v>
      </x:c>
      <x:c r="D1118" s="9" t="str">
        <x:v>AR-HU-A-B-TECH-4-B2-BRK-G0</x:v>
      </x:c>
      <x:c r="E1118" s="9" t="str">
        <x:v>HU-A-B-TECH-4</x:v>
      </x:c>
      <x:c r="F1118" s="9" t="str">
        <x:v>HU-A-B</x:v>
      </x:c>
      <x:c r="G1118" s="9" t="str">
        <x:v>B2</x:v>
      </x:c>
      <x:c r="H1118" s="9" t="str">
        <x:v>BRK</x:v>
      </x:c>
      <x:c r="I1118" s="9" t="n">
        <x:v>5</x:v>
      </x:c>
      <x:c r="J1118" s="9" t="n">
        <x:v>3</x:v>
      </x:c>
      <x:c r="K1118" s="9" t="str">
        <x:v>HU-A-B-N2</x:v>
      </x:c>
      <x:c r="L1118" s="9" t="str">
        <x:v>ST02</x:v>
      </x:c>
      <x:c r="M1118" s="17" t="str">
        <x:v>Frozen identity</x:v>
      </x:c>
      <x:c r="N1118" s="17" t="str">
        <x:v>serial, generation, fixture, site, receiver and digest match the warrant</x:v>
      </x:c>
      <x:c r="O1118" s="17" t="str">
        <x:v>Custody authority</x:v>
      </x:c>
      <x:c r="P1118" s="9" t="n">
        <x:v>0</x:v>
      </x:c>
      <x:c r="Q1118" s="9" t="n">
        <x:v>0</x:v>
      </x:c>
      <x:c r="R1118" s="9" t="str">
        <x:v>OPEN / UNSTARTED</x:v>
      </x:c>
      <x:c r="S1118" s="9" t="n">
        <x:f>COUNTIFS($A$7:$A$1446,A1118)</x:f>
        <x:v>1</x:v>
      </x:c>
    </x:row>
    <x:row r="1119">
      <x:c r="A1119" s="9" t="str">
        <x:v>EV-AR-HU-A-B-TECH-4-B2-BRK-G0-ST03</x:v>
      </x:c>
      <x:c r="B1119" s="9" t="str">
        <x:v>EV-AR-HU-A-B-TECH-4-B2-BRK-G0</x:v>
      </x:c>
      <x:c r="C1119" s="9" t="str">
        <x:v>EOW-AR-HU-A-B-TECH-4-B2-BRK-G0</x:v>
      </x:c>
      <x:c r="D1119" s="9" t="str">
        <x:v>AR-HU-A-B-TECH-4-B2-BRK-G0</x:v>
      </x:c>
      <x:c r="E1119" s="9" t="str">
        <x:v>HU-A-B-TECH-4</x:v>
      </x:c>
      <x:c r="F1119" s="9" t="str">
        <x:v>HU-A-B</x:v>
      </x:c>
      <x:c r="G1119" s="9" t="str">
        <x:v>B2</x:v>
      </x:c>
      <x:c r="H1119" s="9" t="str">
        <x:v>BRK</x:v>
      </x:c>
      <x:c r="I1119" s="9" t="n">
        <x:v>5</x:v>
      </x:c>
      <x:c r="J1119" s="9" t="n">
        <x:v>3</x:v>
      </x:c>
      <x:c r="K1119" s="9" t="str">
        <x:v>HU-A-B-N2</x:v>
      </x:c>
      <x:c r="L1119" s="9" t="str">
        <x:v>ST03</x:v>
      </x:c>
      <x:c r="M1119" s="17" t="str">
        <x:v>Receiver receipt</x:v>
      </x:c>
      <x:c r="N1119" s="17" t="str">
        <x:v>denominator, counterfactual, rights and stop receipt remain unchanged</x:v>
      </x:c>
      <x:c r="O1119" s="17" t="str">
        <x:v>Receiver authority</x:v>
      </x:c>
      <x:c r="P1119" s="9" t="n">
        <x:v>0</x:v>
      </x:c>
      <x:c r="Q1119" s="9" t="n">
        <x:v>0</x:v>
      </x:c>
      <x:c r="R1119" s="9" t="str">
        <x:v>OPEN / UNSTARTED</x:v>
      </x:c>
      <x:c r="S1119" s="9" t="n">
        <x:f>COUNTIFS($A$7:$A$1446,A1119)</x:f>
        <x:v>1</x:v>
      </x:c>
    </x:row>
    <x:row r="1120">
      <x:c r="A1120" s="9" t="str">
        <x:v>EV-AR-HU-A-B-TECH-4-B2-BRK-G0-ST04</x:v>
      </x:c>
      <x:c r="B1120" s="9" t="str">
        <x:v>EV-AR-HU-A-B-TECH-4-B2-BRK-G0</x:v>
      </x:c>
      <x:c r="C1120" s="9" t="str">
        <x:v>EOW-AR-HU-A-B-TECH-4-B2-BRK-G0</x:v>
      </x:c>
      <x:c r="D1120" s="9" t="str">
        <x:v>AR-HU-A-B-TECH-4-B2-BRK-G0</x:v>
      </x:c>
      <x:c r="E1120" s="9" t="str">
        <x:v>HU-A-B-TECH-4</x:v>
      </x:c>
      <x:c r="F1120" s="9" t="str">
        <x:v>HU-A-B</x:v>
      </x:c>
      <x:c r="G1120" s="9" t="str">
        <x:v>B2</x:v>
      </x:c>
      <x:c r="H1120" s="9" t="str">
        <x:v>BRK</x:v>
      </x:c>
      <x:c r="I1120" s="9" t="n">
        <x:v>5</x:v>
      </x:c>
      <x:c r="J1120" s="9" t="n">
        <x:v>3</x:v>
      </x:c>
      <x:c r="K1120" s="9" t="str">
        <x:v>HU-A-B-N2</x:v>
      </x:c>
      <x:c r="L1120" s="9" t="str">
        <x:v>ST04</x:v>
      </x:c>
      <x:c r="M1120" s="17" t="str">
        <x:v>Primary capture armed</x:v>
      </x:c>
      <x:c r="N1120" s="17" t="str">
        <x:v>primary chain records sealed reference and live time</x:v>
      </x:c>
      <x:c r="O1120" s="17" t="str">
        <x:v>Primary metrology</x:v>
      </x:c>
      <x:c r="P1120" s="9" t="n">
        <x:v>0</x:v>
      </x:c>
      <x:c r="Q1120" s="9" t="n">
        <x:v>0</x:v>
      </x:c>
      <x:c r="R1120" s="9" t="str">
        <x:v>OPEN / UNSTARTED</x:v>
      </x:c>
      <x:c r="S1120" s="9" t="n">
        <x:f>COUNTIFS($A$7:$A$1446,A1120)</x:f>
        <x:v>1</x:v>
      </x:c>
    </x:row>
    <x:row r="1121">
      <x:c r="A1121" s="9" t="str">
        <x:v>EV-AR-HU-A-B-TECH-4-B2-BRK-G0-ST05</x:v>
      </x:c>
      <x:c r="B1121" s="9" t="str">
        <x:v>EV-AR-HU-A-B-TECH-4-B2-BRK-G0</x:v>
      </x:c>
      <x:c r="C1121" s="9" t="str">
        <x:v>EOW-AR-HU-A-B-TECH-4-B2-BRK-G0</x:v>
      </x:c>
      <x:c r="D1121" s="9" t="str">
        <x:v>AR-HU-A-B-TECH-4-B2-BRK-G0</x:v>
      </x:c>
      <x:c r="E1121" s="9" t="str">
        <x:v>HU-A-B-TECH-4</x:v>
      </x:c>
      <x:c r="F1121" s="9" t="str">
        <x:v>HU-A-B</x:v>
      </x:c>
      <x:c r="G1121" s="9" t="str">
        <x:v>B2</x:v>
      </x:c>
      <x:c r="H1121" s="9" t="str">
        <x:v>BRK</x:v>
      </x:c>
      <x:c r="I1121" s="9" t="n">
        <x:v>5</x:v>
      </x:c>
      <x:c r="J1121" s="9" t="n">
        <x:v>3</x:v>
      </x:c>
      <x:c r="K1121" s="9" t="str">
        <x:v>HU-A-B-N2</x:v>
      </x:c>
      <x:c r="L1121" s="9" t="str">
        <x:v>ST05</x:v>
      </x:c>
      <x:c r="M1121" s="17" t="str">
        <x:v>Witness capture armed</x:v>
      </x:c>
      <x:c r="N1121" s="17" t="str">
        <x:v>unlike witness records independent reference and live time</x:v>
      </x:c>
      <x:c r="O1121" s="17" t="str">
        <x:v>Witness metrology</x:v>
      </x:c>
      <x:c r="P1121" s="9" t="n">
        <x:v>0</x:v>
      </x:c>
      <x:c r="Q1121" s="9" t="n">
        <x:v>0</x:v>
      </x:c>
      <x:c r="R1121" s="9" t="str">
        <x:v>OPEN / UNSTARTED</x:v>
      </x:c>
      <x:c r="S1121" s="9" t="n">
        <x:f>COUNTIFS($A$7:$A$1446,A1121)</x:f>
        <x:v>1</x:v>
      </x:c>
    </x:row>
    <x:row r="1122">
      <x:c r="A1122" s="9" t="str">
        <x:v>EV-AR-HU-A-B-TECH-4-B2-BRK-G0-ST06</x:v>
      </x:c>
      <x:c r="B1122" s="9" t="str">
        <x:v>EV-AR-HU-A-B-TECH-4-B2-BRK-G0</x:v>
      </x:c>
      <x:c r="C1122" s="9" t="str">
        <x:v>EOW-AR-HU-A-B-TECH-4-B2-BRK-G0</x:v>
      </x:c>
      <x:c r="D1122" s="9" t="str">
        <x:v>AR-HU-A-B-TECH-4-B2-BRK-G0</x:v>
      </x:c>
      <x:c r="E1122" s="9" t="str">
        <x:v>HU-A-B-TECH-4</x:v>
      </x:c>
      <x:c r="F1122" s="9" t="str">
        <x:v>HU-A-B</x:v>
      </x:c>
      <x:c r="G1122" s="9" t="str">
        <x:v>B2</x:v>
      </x:c>
      <x:c r="H1122" s="9" t="str">
        <x:v>BRK</x:v>
      </x:c>
      <x:c r="I1122" s="9" t="n">
        <x:v>5</x:v>
      </x:c>
      <x:c r="J1122" s="9" t="n">
        <x:v>3</x:v>
      </x:c>
      <x:c r="K1122" s="9" t="str">
        <x:v>HU-A-B-N2</x:v>
      </x:c>
      <x:c r="L1122" s="9" t="str">
        <x:v>ST06</x:v>
      </x:c>
      <x:c r="M1122" s="17" t="str">
        <x:v>Public custody armed</x:v>
      </x:c>
      <x:c r="N1122" s="17" t="str">
        <x:v>eight raw origins have separated hash and replica routes</x:v>
      </x:c>
      <x:c r="O1122" s="17" t="str">
        <x:v>Custody authority</x:v>
      </x:c>
      <x:c r="P1122" s="9" t="n">
        <x:v>0</x:v>
      </x:c>
      <x:c r="Q1122" s="9" t="n">
        <x:v>0</x:v>
      </x:c>
      <x:c r="R1122" s="9" t="str">
        <x:v>OPEN / UNSTARTED</x:v>
      </x:c>
      <x:c r="S1122" s="9" t="n">
        <x:f>COUNTIFS($A$7:$A$1446,A1122)</x:f>
        <x:v>1</x:v>
      </x:c>
    </x:row>
    <x:row r="1123">
      <x:c r="A1123" s="9" t="str">
        <x:v>EV-AR-HU-A-B-TECH-4-B2-BRK-G0-ST07</x:v>
      </x:c>
      <x:c r="B1123" s="9" t="str">
        <x:v>EV-AR-HU-A-B-TECH-4-B2-BRK-G0</x:v>
      </x:c>
      <x:c r="C1123" s="9" t="str">
        <x:v>EOW-AR-HU-A-B-TECH-4-B2-BRK-G0</x:v>
      </x:c>
      <x:c r="D1123" s="9" t="str">
        <x:v>AR-HU-A-B-TECH-4-B2-BRK-G0</x:v>
      </x:c>
      <x:c r="E1123" s="9" t="str">
        <x:v>HU-A-B-TECH-4</x:v>
      </x:c>
      <x:c r="F1123" s="9" t="str">
        <x:v>HU-A-B</x:v>
      </x:c>
      <x:c r="G1123" s="9" t="str">
        <x:v>B2</x:v>
      </x:c>
      <x:c r="H1123" s="9" t="str">
        <x:v>BRK</x:v>
      </x:c>
      <x:c r="I1123" s="9" t="n">
        <x:v>5</x:v>
      </x:c>
      <x:c r="J1123" s="9" t="n">
        <x:v>3</x:v>
      </x:c>
      <x:c r="K1123" s="9" t="str">
        <x:v>HU-A-B-N2</x:v>
      </x:c>
      <x:c r="L1123" s="9" t="str">
        <x:v>ST07</x:v>
      </x:c>
      <x:c r="M1123" s="17" t="str">
        <x:v>Environmental baseline</x:v>
      </x:c>
      <x:c r="N1123" s="17" t="str">
        <x:v>pre-event boundary state is sealed before decisive operation</x:v>
      </x:c>
      <x:c r="O1123" s="17" t="str">
        <x:v>Site metrology</x:v>
      </x:c>
      <x:c r="P1123" s="9" t="n">
        <x:v>0</x:v>
      </x:c>
      <x:c r="Q1123" s="9" t="n">
        <x:v>0</x:v>
      </x:c>
      <x:c r="R1123" s="9" t="str">
        <x:v>OPEN / UNSTARTED</x:v>
      </x:c>
      <x:c r="S1123" s="9" t="n">
        <x:f>COUNTIFS($A$7:$A$1446,A1123)</x:f>
        <x:v>1</x:v>
      </x:c>
    </x:row>
    <x:row r="1124">
      <x:c r="A1124" s="9" t="str">
        <x:v>EV-AR-HU-A-B-TECH-4-B2-BRK-G0-ST08</x:v>
      </x:c>
      <x:c r="B1124" s="9" t="str">
        <x:v>EV-AR-HU-A-B-TECH-4-B2-BRK-G0</x:v>
      </x:c>
      <x:c r="C1124" s="9" t="str">
        <x:v>EOW-AR-HU-A-B-TECH-4-B2-BRK-G0</x:v>
      </x:c>
      <x:c r="D1124" s="9" t="str">
        <x:v>AR-HU-A-B-TECH-4-B2-BRK-G0</x:v>
      </x:c>
      <x:c r="E1124" s="9" t="str">
        <x:v>HU-A-B-TECH-4</x:v>
      </x:c>
      <x:c r="F1124" s="9" t="str">
        <x:v>HU-A-B</x:v>
      </x:c>
      <x:c r="G1124" s="9" t="str">
        <x:v>B2</x:v>
      </x:c>
      <x:c r="H1124" s="9" t="str">
        <x:v>BRK</x:v>
      </x:c>
      <x:c r="I1124" s="9" t="n">
        <x:v>5</x:v>
      </x:c>
      <x:c r="J1124" s="9" t="n">
        <x:v>3</x:v>
      </x:c>
      <x:c r="K1124" s="9" t="str">
        <x:v>HU-A-B-N2</x:v>
      </x:c>
      <x:c r="L1124" s="9" t="str">
        <x:v>ST08</x:v>
      </x:c>
      <x:c r="M1124" s="17" t="str">
        <x:v>Manual stop and safety</x:v>
      </x:c>
      <x:c r="N1124" s="17" t="str">
        <x:v>local stop, evacuation and protection routes are active</x:v>
      </x:c>
      <x:c r="O1124" s="17" t="str">
        <x:v>Safety authority</x:v>
      </x:c>
      <x:c r="P1124" s="9" t="n">
        <x:v>0</x:v>
      </x:c>
      <x:c r="Q1124" s="9" t="n">
        <x:v>0</x:v>
      </x:c>
      <x:c r="R1124" s="9" t="str">
        <x:v>OPEN / UNSTARTED</x:v>
      </x:c>
      <x:c r="S1124" s="9" t="n">
        <x:f>COUNTIFS($A$7:$A$1446,A1124)</x:f>
        <x:v>1</x:v>
      </x:c>
    </x:row>
    <x:row r="1125">
      <x:c r="A1125" s="9" t="str">
        <x:v>EV-AR-HU-A-B-TECH-4-B2-BRK-G0-ST09</x:v>
      </x:c>
      <x:c r="B1125" s="9" t="str">
        <x:v>EV-AR-HU-A-B-TECH-4-B2-BRK-G0</x:v>
      </x:c>
      <x:c r="C1125" s="9" t="str">
        <x:v>EOW-AR-HU-A-B-TECH-4-B2-BRK-G0</x:v>
      </x:c>
      <x:c r="D1125" s="9" t="str">
        <x:v>AR-HU-A-B-TECH-4-B2-BRK-G0</x:v>
      </x:c>
      <x:c r="E1125" s="9" t="str">
        <x:v>HU-A-B-TECH-4</x:v>
      </x:c>
      <x:c r="F1125" s="9" t="str">
        <x:v>HU-A-B</x:v>
      </x:c>
      <x:c r="G1125" s="9" t="str">
        <x:v>B2</x:v>
      </x:c>
      <x:c r="H1125" s="9" t="str">
        <x:v>BRK</x:v>
      </x:c>
      <x:c r="I1125" s="9" t="n">
        <x:v>5</x:v>
      </x:c>
      <x:c r="J1125" s="9" t="n">
        <x:v>3</x:v>
      </x:c>
      <x:c r="K1125" s="9" t="str">
        <x:v>HU-A-B-N2</x:v>
      </x:c>
      <x:c r="L1125" s="9" t="str">
        <x:v>ST09</x:v>
      </x:c>
      <x:c r="M1125" s="17" t="str">
        <x:v>Operator conflict clear</x:v>
      </x:c>
      <x:c r="N1125" s="17" t="str">
        <x:v>candidate, fixture, safety and measurement control edges remain separated</x:v>
      </x:c>
      <x:c r="O1125" s="17" t="str">
        <x:v>Conflict registrar</x:v>
      </x:c>
      <x:c r="P1125" s="9" t="n">
        <x:v>0</x:v>
      </x:c>
      <x:c r="Q1125" s="9" t="n">
        <x:v>0</x:v>
      </x:c>
      <x:c r="R1125" s="9" t="str">
        <x:v>OPEN / UNSTARTED</x:v>
      </x:c>
      <x:c r="S1125" s="9" t="n">
        <x:f>COUNTIFS($A$7:$A$1446,A1125)</x:f>
        <x:v>1</x:v>
      </x:c>
    </x:row>
    <x:row r="1126">
      <x:c r="A1126" s="9" t="str">
        <x:v>EV-AR-HU-A-B-TECH-4-B2-BRK-G0-ST10</x:v>
      </x:c>
      <x:c r="B1126" s="9" t="str">
        <x:v>EV-AR-HU-A-B-TECH-4-B2-BRK-G0</x:v>
      </x:c>
      <x:c r="C1126" s="9" t="str">
        <x:v>EOW-AR-HU-A-B-TECH-4-B2-BRK-G0</x:v>
      </x:c>
      <x:c r="D1126" s="9" t="str">
        <x:v>AR-HU-A-B-TECH-4-B2-BRK-G0</x:v>
      </x:c>
      <x:c r="E1126" s="9" t="str">
        <x:v>HU-A-B-TECH-4</x:v>
      </x:c>
      <x:c r="F1126" s="9" t="str">
        <x:v>HU-A-B</x:v>
      </x:c>
      <x:c r="G1126" s="9" t="str">
        <x:v>B2</x:v>
      </x:c>
      <x:c r="H1126" s="9" t="str">
        <x:v>BRK</x:v>
      </x:c>
      <x:c r="I1126" s="9" t="n">
        <x:v>5</x:v>
      </x:c>
      <x:c r="J1126" s="9" t="n">
        <x:v>3</x:v>
      </x:c>
      <x:c r="K1126" s="9" t="str">
        <x:v>HU-A-B-N2</x:v>
      </x:c>
      <x:c r="L1126" s="9" t="str">
        <x:v>ST10</x:v>
      </x:c>
      <x:c r="M1126" s="17" t="str">
        <x:v>Window and common clock</x:v>
      </x:c>
      <x:c r="N1126" s="17" t="str">
        <x:v>epoch, window and public time origin match the issued warrant</x:v>
      </x:c>
      <x:c r="O1126" s="17" t="str">
        <x:v>Event clock authority</x:v>
      </x:c>
      <x:c r="P1126" s="9" t="n">
        <x:v>0</x:v>
      </x:c>
      <x:c r="Q1126" s="9" t="n">
        <x:v>0</x:v>
      </x:c>
      <x:c r="R1126" s="9" t="str">
        <x:v>OPEN / UNSTARTED</x:v>
      </x:c>
      <x:c r="S1126" s="9" t="n">
        <x:f>COUNTIFS($A$7:$A$1446,A1126)</x:f>
        <x:v>1</x:v>
      </x:c>
    </x:row>
    <x:row r="1127">
      <x:c r="A1127" s="9" t="str">
        <x:v>EV-AR-RT-B-C-TECH-4-B1-BRK-G0-ST01</x:v>
      </x:c>
      <x:c r="B1127" s="9" t="str">
        <x:v>EV-AR-RT-B-C-TECH-4-B1-BRK-G0</x:v>
      </x:c>
      <x:c r="C1127" s="9" t="str">
        <x:v>EOW-AR-RT-B-C-TECH-4-B1-BRK-G0</x:v>
      </x:c>
      <x:c r="D1127" s="9" t="str">
        <x:v>AR-RT-B-C-TECH-4-B1-BRK-G0</x:v>
      </x:c>
      <x:c r="E1127" s="9" t="str">
        <x:v>RT-B-C-TECH-4</x:v>
      </x:c>
      <x:c r="F1127" s="9" t="str">
        <x:v>RT-B-C</x:v>
      </x:c>
      <x:c r="G1127" s="9" t="str">
        <x:v>B1</x:v>
      </x:c>
      <x:c r="H1127" s="9" t="str">
        <x:v>BRK</x:v>
      </x:c>
      <x:c r="I1127" s="9" t="n">
        <x:v>5</x:v>
      </x:c>
      <x:c r="J1127" s="9" t="n">
        <x:v>3</x:v>
      </x:c>
      <x:c r="K1127" s="9" t="str">
        <x:v>RT-B-C-N1</x:v>
      </x:c>
      <x:c r="L1127" s="9" t="str">
        <x:v>ST01</x:v>
      </x:c>
      <x:c r="M1127" s="17" t="str">
        <x:v>Active opportunity warrant</x:v>
      </x:c>
      <x:c r="N1127" s="17" t="str">
        <x:v>configuration-bound EOW is within its thirty-six-hour validity</x:v>
      </x:c>
      <x:c r="O1127" s="17" t="str">
        <x:v>Start registrar</x:v>
      </x:c>
      <x:c r="P1127" s="9" t="n">
        <x:v>0</x:v>
      </x:c>
      <x:c r="Q1127" s="9" t="n">
        <x:v>0</x:v>
      </x:c>
      <x:c r="R1127" s="9" t="str">
        <x:v>OPEN / UNSTARTED</x:v>
      </x:c>
      <x:c r="S1127" s="9" t="n">
        <x:f>COUNTIFS($A$7:$A$1446,A1127)</x:f>
        <x:v>1</x:v>
      </x:c>
    </x:row>
    <x:row r="1128">
      <x:c r="A1128" s="9" t="str">
        <x:v>EV-AR-RT-B-C-TECH-4-B1-BRK-G0-ST02</x:v>
      </x:c>
      <x:c r="B1128" s="9" t="str">
        <x:v>EV-AR-RT-B-C-TECH-4-B1-BRK-G0</x:v>
      </x:c>
      <x:c r="C1128" s="9" t="str">
        <x:v>EOW-AR-RT-B-C-TECH-4-B1-BRK-G0</x:v>
      </x:c>
      <x:c r="D1128" s="9" t="str">
        <x:v>AR-RT-B-C-TECH-4-B1-BRK-G0</x:v>
      </x:c>
      <x:c r="E1128" s="9" t="str">
        <x:v>RT-B-C-TECH-4</x:v>
      </x:c>
      <x:c r="F1128" s="9" t="str">
        <x:v>RT-B-C</x:v>
      </x:c>
      <x:c r="G1128" s="9" t="str">
        <x:v>B1</x:v>
      </x:c>
      <x:c r="H1128" s="9" t="str">
        <x:v>BRK</x:v>
      </x:c>
      <x:c r="I1128" s="9" t="n">
        <x:v>5</x:v>
      </x:c>
      <x:c r="J1128" s="9" t="n">
        <x:v>3</x:v>
      </x:c>
      <x:c r="K1128" s="9" t="str">
        <x:v>RT-B-C-N1</x:v>
      </x:c>
      <x:c r="L1128" s="9" t="str">
        <x:v>ST02</x:v>
      </x:c>
      <x:c r="M1128" s="17" t="str">
        <x:v>Frozen identity</x:v>
      </x:c>
      <x:c r="N1128" s="17" t="str">
        <x:v>serial, generation, fixture, site, receiver and digest match the warrant</x:v>
      </x:c>
      <x:c r="O1128" s="17" t="str">
        <x:v>Custody authority</x:v>
      </x:c>
      <x:c r="P1128" s="9" t="n">
        <x:v>0</x:v>
      </x:c>
      <x:c r="Q1128" s="9" t="n">
        <x:v>0</x:v>
      </x:c>
      <x:c r="R1128" s="9" t="str">
        <x:v>OPEN / UNSTARTED</x:v>
      </x:c>
      <x:c r="S1128" s="9" t="n">
        <x:f>COUNTIFS($A$7:$A$1446,A1128)</x:f>
        <x:v>1</x:v>
      </x:c>
    </x:row>
    <x:row r="1129">
      <x:c r="A1129" s="9" t="str">
        <x:v>EV-AR-RT-B-C-TECH-4-B1-BRK-G0-ST03</x:v>
      </x:c>
      <x:c r="B1129" s="9" t="str">
        <x:v>EV-AR-RT-B-C-TECH-4-B1-BRK-G0</x:v>
      </x:c>
      <x:c r="C1129" s="9" t="str">
        <x:v>EOW-AR-RT-B-C-TECH-4-B1-BRK-G0</x:v>
      </x:c>
      <x:c r="D1129" s="9" t="str">
        <x:v>AR-RT-B-C-TECH-4-B1-BRK-G0</x:v>
      </x:c>
      <x:c r="E1129" s="9" t="str">
        <x:v>RT-B-C-TECH-4</x:v>
      </x:c>
      <x:c r="F1129" s="9" t="str">
        <x:v>RT-B-C</x:v>
      </x:c>
      <x:c r="G1129" s="9" t="str">
        <x:v>B1</x:v>
      </x:c>
      <x:c r="H1129" s="9" t="str">
        <x:v>BRK</x:v>
      </x:c>
      <x:c r="I1129" s="9" t="n">
        <x:v>5</x:v>
      </x:c>
      <x:c r="J1129" s="9" t="n">
        <x:v>3</x:v>
      </x:c>
      <x:c r="K1129" s="9" t="str">
        <x:v>RT-B-C-N1</x:v>
      </x:c>
      <x:c r="L1129" s="9" t="str">
        <x:v>ST03</x:v>
      </x:c>
      <x:c r="M1129" s="17" t="str">
        <x:v>Receiver receipt</x:v>
      </x:c>
      <x:c r="N1129" s="17" t="str">
        <x:v>denominator, counterfactual, rights and stop receipt remain unchanged</x:v>
      </x:c>
      <x:c r="O1129" s="17" t="str">
        <x:v>Receiver authority</x:v>
      </x:c>
      <x:c r="P1129" s="9" t="n">
        <x:v>0</x:v>
      </x:c>
      <x:c r="Q1129" s="9" t="n">
        <x:v>0</x:v>
      </x:c>
      <x:c r="R1129" s="9" t="str">
        <x:v>OPEN / UNSTARTED</x:v>
      </x:c>
      <x:c r="S1129" s="9" t="n">
        <x:f>COUNTIFS($A$7:$A$1446,A1129)</x:f>
        <x:v>1</x:v>
      </x:c>
    </x:row>
    <x:row r="1130">
      <x:c r="A1130" s="9" t="str">
        <x:v>EV-AR-RT-B-C-TECH-4-B1-BRK-G0-ST04</x:v>
      </x:c>
      <x:c r="B1130" s="9" t="str">
        <x:v>EV-AR-RT-B-C-TECH-4-B1-BRK-G0</x:v>
      </x:c>
      <x:c r="C1130" s="9" t="str">
        <x:v>EOW-AR-RT-B-C-TECH-4-B1-BRK-G0</x:v>
      </x:c>
      <x:c r="D1130" s="9" t="str">
        <x:v>AR-RT-B-C-TECH-4-B1-BRK-G0</x:v>
      </x:c>
      <x:c r="E1130" s="9" t="str">
        <x:v>RT-B-C-TECH-4</x:v>
      </x:c>
      <x:c r="F1130" s="9" t="str">
        <x:v>RT-B-C</x:v>
      </x:c>
      <x:c r="G1130" s="9" t="str">
        <x:v>B1</x:v>
      </x:c>
      <x:c r="H1130" s="9" t="str">
        <x:v>BRK</x:v>
      </x:c>
      <x:c r="I1130" s="9" t="n">
        <x:v>5</x:v>
      </x:c>
      <x:c r="J1130" s="9" t="n">
        <x:v>3</x:v>
      </x:c>
      <x:c r="K1130" s="9" t="str">
        <x:v>RT-B-C-N1</x:v>
      </x:c>
      <x:c r="L1130" s="9" t="str">
        <x:v>ST04</x:v>
      </x:c>
      <x:c r="M1130" s="17" t="str">
        <x:v>Primary capture armed</x:v>
      </x:c>
      <x:c r="N1130" s="17" t="str">
        <x:v>primary chain records sealed reference and live time</x:v>
      </x:c>
      <x:c r="O1130" s="17" t="str">
        <x:v>Primary metrology</x:v>
      </x:c>
      <x:c r="P1130" s="9" t="n">
        <x:v>0</x:v>
      </x:c>
      <x:c r="Q1130" s="9" t="n">
        <x:v>0</x:v>
      </x:c>
      <x:c r="R1130" s="9" t="str">
        <x:v>OPEN / UNSTARTED</x:v>
      </x:c>
      <x:c r="S1130" s="9" t="n">
        <x:f>COUNTIFS($A$7:$A$1446,A1130)</x:f>
        <x:v>1</x:v>
      </x:c>
    </x:row>
    <x:row r="1131">
      <x:c r="A1131" s="9" t="str">
        <x:v>EV-AR-RT-B-C-TECH-4-B1-BRK-G0-ST05</x:v>
      </x:c>
      <x:c r="B1131" s="9" t="str">
        <x:v>EV-AR-RT-B-C-TECH-4-B1-BRK-G0</x:v>
      </x:c>
      <x:c r="C1131" s="9" t="str">
        <x:v>EOW-AR-RT-B-C-TECH-4-B1-BRK-G0</x:v>
      </x:c>
      <x:c r="D1131" s="9" t="str">
        <x:v>AR-RT-B-C-TECH-4-B1-BRK-G0</x:v>
      </x:c>
      <x:c r="E1131" s="9" t="str">
        <x:v>RT-B-C-TECH-4</x:v>
      </x:c>
      <x:c r="F1131" s="9" t="str">
        <x:v>RT-B-C</x:v>
      </x:c>
      <x:c r="G1131" s="9" t="str">
        <x:v>B1</x:v>
      </x:c>
      <x:c r="H1131" s="9" t="str">
        <x:v>BRK</x:v>
      </x:c>
      <x:c r="I1131" s="9" t="n">
        <x:v>5</x:v>
      </x:c>
      <x:c r="J1131" s="9" t="n">
        <x:v>3</x:v>
      </x:c>
      <x:c r="K1131" s="9" t="str">
        <x:v>RT-B-C-N1</x:v>
      </x:c>
      <x:c r="L1131" s="9" t="str">
        <x:v>ST05</x:v>
      </x:c>
      <x:c r="M1131" s="17" t="str">
        <x:v>Witness capture armed</x:v>
      </x:c>
      <x:c r="N1131" s="17" t="str">
        <x:v>unlike witness records independent reference and live time</x:v>
      </x:c>
      <x:c r="O1131" s="17" t="str">
        <x:v>Witness metrology</x:v>
      </x:c>
      <x:c r="P1131" s="9" t="n">
        <x:v>0</x:v>
      </x:c>
      <x:c r="Q1131" s="9" t="n">
        <x:v>0</x:v>
      </x:c>
      <x:c r="R1131" s="9" t="str">
        <x:v>OPEN / UNSTARTED</x:v>
      </x:c>
      <x:c r="S1131" s="9" t="n">
        <x:f>COUNTIFS($A$7:$A$1446,A1131)</x:f>
        <x:v>1</x:v>
      </x:c>
    </x:row>
    <x:row r="1132">
      <x:c r="A1132" s="9" t="str">
        <x:v>EV-AR-RT-B-C-TECH-4-B1-BRK-G0-ST06</x:v>
      </x:c>
      <x:c r="B1132" s="9" t="str">
        <x:v>EV-AR-RT-B-C-TECH-4-B1-BRK-G0</x:v>
      </x:c>
      <x:c r="C1132" s="9" t="str">
        <x:v>EOW-AR-RT-B-C-TECH-4-B1-BRK-G0</x:v>
      </x:c>
      <x:c r="D1132" s="9" t="str">
        <x:v>AR-RT-B-C-TECH-4-B1-BRK-G0</x:v>
      </x:c>
      <x:c r="E1132" s="9" t="str">
        <x:v>RT-B-C-TECH-4</x:v>
      </x:c>
      <x:c r="F1132" s="9" t="str">
        <x:v>RT-B-C</x:v>
      </x:c>
      <x:c r="G1132" s="9" t="str">
        <x:v>B1</x:v>
      </x:c>
      <x:c r="H1132" s="9" t="str">
        <x:v>BRK</x:v>
      </x:c>
      <x:c r="I1132" s="9" t="n">
        <x:v>5</x:v>
      </x:c>
      <x:c r="J1132" s="9" t="n">
        <x:v>3</x:v>
      </x:c>
      <x:c r="K1132" s="9" t="str">
        <x:v>RT-B-C-N1</x:v>
      </x:c>
      <x:c r="L1132" s="9" t="str">
        <x:v>ST06</x:v>
      </x:c>
      <x:c r="M1132" s="17" t="str">
        <x:v>Public custody armed</x:v>
      </x:c>
      <x:c r="N1132" s="17" t="str">
        <x:v>eight raw origins have separated hash and replica routes</x:v>
      </x:c>
      <x:c r="O1132" s="17" t="str">
        <x:v>Custody authority</x:v>
      </x:c>
      <x:c r="P1132" s="9" t="n">
        <x:v>0</x:v>
      </x:c>
      <x:c r="Q1132" s="9" t="n">
        <x:v>0</x:v>
      </x:c>
      <x:c r="R1132" s="9" t="str">
        <x:v>OPEN / UNSTARTED</x:v>
      </x:c>
      <x:c r="S1132" s="9" t="n">
        <x:f>COUNTIFS($A$7:$A$1446,A1132)</x:f>
        <x:v>1</x:v>
      </x:c>
    </x:row>
    <x:row r="1133">
      <x:c r="A1133" s="9" t="str">
        <x:v>EV-AR-RT-B-C-TECH-4-B1-BRK-G0-ST07</x:v>
      </x:c>
      <x:c r="B1133" s="9" t="str">
        <x:v>EV-AR-RT-B-C-TECH-4-B1-BRK-G0</x:v>
      </x:c>
      <x:c r="C1133" s="9" t="str">
        <x:v>EOW-AR-RT-B-C-TECH-4-B1-BRK-G0</x:v>
      </x:c>
      <x:c r="D1133" s="9" t="str">
        <x:v>AR-RT-B-C-TECH-4-B1-BRK-G0</x:v>
      </x:c>
      <x:c r="E1133" s="9" t="str">
        <x:v>RT-B-C-TECH-4</x:v>
      </x:c>
      <x:c r="F1133" s="9" t="str">
        <x:v>RT-B-C</x:v>
      </x:c>
      <x:c r="G1133" s="9" t="str">
        <x:v>B1</x:v>
      </x:c>
      <x:c r="H1133" s="9" t="str">
        <x:v>BRK</x:v>
      </x:c>
      <x:c r="I1133" s="9" t="n">
        <x:v>5</x:v>
      </x:c>
      <x:c r="J1133" s="9" t="n">
        <x:v>3</x:v>
      </x:c>
      <x:c r="K1133" s="9" t="str">
        <x:v>RT-B-C-N1</x:v>
      </x:c>
      <x:c r="L1133" s="9" t="str">
        <x:v>ST07</x:v>
      </x:c>
      <x:c r="M1133" s="17" t="str">
        <x:v>Environmental baseline</x:v>
      </x:c>
      <x:c r="N1133" s="17" t="str">
        <x:v>pre-event boundary state is sealed before decisive operation</x:v>
      </x:c>
      <x:c r="O1133" s="17" t="str">
        <x:v>Site metrology</x:v>
      </x:c>
      <x:c r="P1133" s="9" t="n">
        <x:v>0</x:v>
      </x:c>
      <x:c r="Q1133" s="9" t="n">
        <x:v>0</x:v>
      </x:c>
      <x:c r="R1133" s="9" t="str">
        <x:v>OPEN / UNSTARTED</x:v>
      </x:c>
      <x:c r="S1133" s="9" t="n">
        <x:f>COUNTIFS($A$7:$A$1446,A1133)</x:f>
        <x:v>1</x:v>
      </x:c>
    </x:row>
    <x:row r="1134">
      <x:c r="A1134" s="9" t="str">
        <x:v>EV-AR-RT-B-C-TECH-4-B1-BRK-G0-ST08</x:v>
      </x:c>
      <x:c r="B1134" s="9" t="str">
        <x:v>EV-AR-RT-B-C-TECH-4-B1-BRK-G0</x:v>
      </x:c>
      <x:c r="C1134" s="9" t="str">
        <x:v>EOW-AR-RT-B-C-TECH-4-B1-BRK-G0</x:v>
      </x:c>
      <x:c r="D1134" s="9" t="str">
        <x:v>AR-RT-B-C-TECH-4-B1-BRK-G0</x:v>
      </x:c>
      <x:c r="E1134" s="9" t="str">
        <x:v>RT-B-C-TECH-4</x:v>
      </x:c>
      <x:c r="F1134" s="9" t="str">
        <x:v>RT-B-C</x:v>
      </x:c>
      <x:c r="G1134" s="9" t="str">
        <x:v>B1</x:v>
      </x:c>
      <x:c r="H1134" s="9" t="str">
        <x:v>BRK</x:v>
      </x:c>
      <x:c r="I1134" s="9" t="n">
        <x:v>5</x:v>
      </x:c>
      <x:c r="J1134" s="9" t="n">
        <x:v>3</x:v>
      </x:c>
      <x:c r="K1134" s="9" t="str">
        <x:v>RT-B-C-N1</x:v>
      </x:c>
      <x:c r="L1134" s="9" t="str">
        <x:v>ST08</x:v>
      </x:c>
      <x:c r="M1134" s="17" t="str">
        <x:v>Manual stop and safety</x:v>
      </x:c>
      <x:c r="N1134" s="17" t="str">
        <x:v>local stop, evacuation and protection routes are active</x:v>
      </x:c>
      <x:c r="O1134" s="17" t="str">
        <x:v>Safety authority</x:v>
      </x:c>
      <x:c r="P1134" s="9" t="n">
        <x:v>0</x:v>
      </x:c>
      <x:c r="Q1134" s="9" t="n">
        <x:v>0</x:v>
      </x:c>
      <x:c r="R1134" s="9" t="str">
        <x:v>OPEN / UNSTARTED</x:v>
      </x:c>
      <x:c r="S1134" s="9" t="n">
        <x:f>COUNTIFS($A$7:$A$1446,A1134)</x:f>
        <x:v>1</x:v>
      </x:c>
    </x:row>
    <x:row r="1135">
      <x:c r="A1135" s="9" t="str">
        <x:v>EV-AR-RT-B-C-TECH-4-B1-BRK-G0-ST09</x:v>
      </x:c>
      <x:c r="B1135" s="9" t="str">
        <x:v>EV-AR-RT-B-C-TECH-4-B1-BRK-G0</x:v>
      </x:c>
      <x:c r="C1135" s="9" t="str">
        <x:v>EOW-AR-RT-B-C-TECH-4-B1-BRK-G0</x:v>
      </x:c>
      <x:c r="D1135" s="9" t="str">
        <x:v>AR-RT-B-C-TECH-4-B1-BRK-G0</x:v>
      </x:c>
      <x:c r="E1135" s="9" t="str">
        <x:v>RT-B-C-TECH-4</x:v>
      </x:c>
      <x:c r="F1135" s="9" t="str">
        <x:v>RT-B-C</x:v>
      </x:c>
      <x:c r="G1135" s="9" t="str">
        <x:v>B1</x:v>
      </x:c>
      <x:c r="H1135" s="9" t="str">
        <x:v>BRK</x:v>
      </x:c>
      <x:c r="I1135" s="9" t="n">
        <x:v>5</x:v>
      </x:c>
      <x:c r="J1135" s="9" t="n">
        <x:v>3</x:v>
      </x:c>
      <x:c r="K1135" s="9" t="str">
        <x:v>RT-B-C-N1</x:v>
      </x:c>
      <x:c r="L1135" s="9" t="str">
        <x:v>ST09</x:v>
      </x:c>
      <x:c r="M1135" s="17" t="str">
        <x:v>Operator conflict clear</x:v>
      </x:c>
      <x:c r="N1135" s="17" t="str">
        <x:v>candidate, fixture, safety and measurement control edges remain separated</x:v>
      </x:c>
      <x:c r="O1135" s="17" t="str">
        <x:v>Conflict registrar</x:v>
      </x:c>
      <x:c r="P1135" s="9" t="n">
        <x:v>0</x:v>
      </x:c>
      <x:c r="Q1135" s="9" t="n">
        <x:v>0</x:v>
      </x:c>
      <x:c r="R1135" s="9" t="str">
        <x:v>OPEN / UNSTARTED</x:v>
      </x:c>
      <x:c r="S1135" s="9" t="n">
        <x:f>COUNTIFS($A$7:$A$1446,A1135)</x:f>
        <x:v>1</x:v>
      </x:c>
    </x:row>
    <x:row r="1136">
      <x:c r="A1136" s="9" t="str">
        <x:v>EV-AR-RT-B-C-TECH-4-B1-BRK-G0-ST10</x:v>
      </x:c>
      <x:c r="B1136" s="9" t="str">
        <x:v>EV-AR-RT-B-C-TECH-4-B1-BRK-G0</x:v>
      </x:c>
      <x:c r="C1136" s="9" t="str">
        <x:v>EOW-AR-RT-B-C-TECH-4-B1-BRK-G0</x:v>
      </x:c>
      <x:c r="D1136" s="9" t="str">
        <x:v>AR-RT-B-C-TECH-4-B1-BRK-G0</x:v>
      </x:c>
      <x:c r="E1136" s="9" t="str">
        <x:v>RT-B-C-TECH-4</x:v>
      </x:c>
      <x:c r="F1136" s="9" t="str">
        <x:v>RT-B-C</x:v>
      </x:c>
      <x:c r="G1136" s="9" t="str">
        <x:v>B1</x:v>
      </x:c>
      <x:c r="H1136" s="9" t="str">
        <x:v>BRK</x:v>
      </x:c>
      <x:c r="I1136" s="9" t="n">
        <x:v>5</x:v>
      </x:c>
      <x:c r="J1136" s="9" t="n">
        <x:v>3</x:v>
      </x:c>
      <x:c r="K1136" s="9" t="str">
        <x:v>RT-B-C-N1</x:v>
      </x:c>
      <x:c r="L1136" s="9" t="str">
        <x:v>ST10</x:v>
      </x:c>
      <x:c r="M1136" s="17" t="str">
        <x:v>Window and common clock</x:v>
      </x:c>
      <x:c r="N1136" s="17" t="str">
        <x:v>epoch, window and public time origin match the issued warrant</x:v>
      </x:c>
      <x:c r="O1136" s="17" t="str">
        <x:v>Event clock authority</x:v>
      </x:c>
      <x:c r="P1136" s="9" t="n">
        <x:v>0</x:v>
      </x:c>
      <x:c r="Q1136" s="9" t="n">
        <x:v>0</x:v>
      </x:c>
      <x:c r="R1136" s="9" t="str">
        <x:v>OPEN / UNSTARTED</x:v>
      </x:c>
      <x:c r="S1136" s="9" t="n">
        <x:f>COUNTIFS($A$7:$A$1446,A1136)</x:f>
        <x:v>1</x:v>
      </x:c>
    </x:row>
    <x:row r="1137">
      <x:c r="A1137" s="9" t="str">
        <x:v>EV-AR-RT-B-C-TECH-3-B2-BRK-G0-ST01</x:v>
      </x:c>
      <x:c r="B1137" s="9" t="str">
        <x:v>EV-AR-RT-B-C-TECH-3-B2-BRK-G0</x:v>
      </x:c>
      <x:c r="C1137" s="9" t="str">
        <x:v>EOW-AR-RT-B-C-TECH-3-B2-BRK-G0</x:v>
      </x:c>
      <x:c r="D1137" s="9" t="str">
        <x:v>AR-RT-B-C-TECH-3-B2-BRK-G0</x:v>
      </x:c>
      <x:c r="E1137" s="9" t="str">
        <x:v>RT-B-C-TECH-3</x:v>
      </x:c>
      <x:c r="F1137" s="9" t="str">
        <x:v>RT-B-C</x:v>
      </x:c>
      <x:c r="G1137" s="9" t="str">
        <x:v>B2</x:v>
      </x:c>
      <x:c r="H1137" s="9" t="str">
        <x:v>BRK</x:v>
      </x:c>
      <x:c r="I1137" s="9" t="n">
        <x:v>5</x:v>
      </x:c>
      <x:c r="J1137" s="9" t="n">
        <x:v>3</x:v>
      </x:c>
      <x:c r="K1137" s="9" t="str">
        <x:v>RT-B-C-N3</x:v>
      </x:c>
      <x:c r="L1137" s="9" t="str">
        <x:v>ST01</x:v>
      </x:c>
      <x:c r="M1137" s="17" t="str">
        <x:v>Active opportunity warrant</x:v>
      </x:c>
      <x:c r="N1137" s="17" t="str">
        <x:v>configuration-bound EOW is within its thirty-six-hour validity</x:v>
      </x:c>
      <x:c r="O1137" s="17" t="str">
        <x:v>Start registrar</x:v>
      </x:c>
      <x:c r="P1137" s="9" t="n">
        <x:v>0</x:v>
      </x:c>
      <x:c r="Q1137" s="9" t="n">
        <x:v>0</x:v>
      </x:c>
      <x:c r="R1137" s="9" t="str">
        <x:v>OPEN / UNSTARTED</x:v>
      </x:c>
      <x:c r="S1137" s="9" t="n">
        <x:f>COUNTIFS($A$7:$A$1446,A1137)</x:f>
        <x:v>1</x:v>
      </x:c>
    </x:row>
    <x:row r="1138">
      <x:c r="A1138" s="9" t="str">
        <x:v>EV-AR-RT-B-C-TECH-3-B2-BRK-G0-ST02</x:v>
      </x:c>
      <x:c r="B1138" s="9" t="str">
        <x:v>EV-AR-RT-B-C-TECH-3-B2-BRK-G0</x:v>
      </x:c>
      <x:c r="C1138" s="9" t="str">
        <x:v>EOW-AR-RT-B-C-TECH-3-B2-BRK-G0</x:v>
      </x:c>
      <x:c r="D1138" s="9" t="str">
        <x:v>AR-RT-B-C-TECH-3-B2-BRK-G0</x:v>
      </x:c>
      <x:c r="E1138" s="9" t="str">
        <x:v>RT-B-C-TECH-3</x:v>
      </x:c>
      <x:c r="F1138" s="9" t="str">
        <x:v>RT-B-C</x:v>
      </x:c>
      <x:c r="G1138" s="9" t="str">
        <x:v>B2</x:v>
      </x:c>
      <x:c r="H1138" s="9" t="str">
        <x:v>BRK</x:v>
      </x:c>
      <x:c r="I1138" s="9" t="n">
        <x:v>5</x:v>
      </x:c>
      <x:c r="J1138" s="9" t="n">
        <x:v>3</x:v>
      </x:c>
      <x:c r="K1138" s="9" t="str">
        <x:v>RT-B-C-N3</x:v>
      </x:c>
      <x:c r="L1138" s="9" t="str">
        <x:v>ST02</x:v>
      </x:c>
      <x:c r="M1138" s="17" t="str">
        <x:v>Frozen identity</x:v>
      </x:c>
      <x:c r="N1138" s="17" t="str">
        <x:v>serial, generation, fixture, site, receiver and digest match the warrant</x:v>
      </x:c>
      <x:c r="O1138" s="17" t="str">
        <x:v>Custody authority</x:v>
      </x:c>
      <x:c r="P1138" s="9" t="n">
        <x:v>0</x:v>
      </x:c>
      <x:c r="Q1138" s="9" t="n">
        <x:v>0</x:v>
      </x:c>
      <x:c r="R1138" s="9" t="str">
        <x:v>OPEN / UNSTARTED</x:v>
      </x:c>
      <x:c r="S1138" s="9" t="n">
        <x:f>COUNTIFS($A$7:$A$1446,A1138)</x:f>
        <x:v>1</x:v>
      </x:c>
    </x:row>
    <x:row r="1139">
      <x:c r="A1139" s="9" t="str">
        <x:v>EV-AR-RT-B-C-TECH-3-B2-BRK-G0-ST03</x:v>
      </x:c>
      <x:c r="B1139" s="9" t="str">
        <x:v>EV-AR-RT-B-C-TECH-3-B2-BRK-G0</x:v>
      </x:c>
      <x:c r="C1139" s="9" t="str">
        <x:v>EOW-AR-RT-B-C-TECH-3-B2-BRK-G0</x:v>
      </x:c>
      <x:c r="D1139" s="9" t="str">
        <x:v>AR-RT-B-C-TECH-3-B2-BRK-G0</x:v>
      </x:c>
      <x:c r="E1139" s="9" t="str">
        <x:v>RT-B-C-TECH-3</x:v>
      </x:c>
      <x:c r="F1139" s="9" t="str">
        <x:v>RT-B-C</x:v>
      </x:c>
      <x:c r="G1139" s="9" t="str">
        <x:v>B2</x:v>
      </x:c>
      <x:c r="H1139" s="9" t="str">
        <x:v>BRK</x:v>
      </x:c>
      <x:c r="I1139" s="9" t="n">
        <x:v>5</x:v>
      </x:c>
      <x:c r="J1139" s="9" t="n">
        <x:v>3</x:v>
      </x:c>
      <x:c r="K1139" s="9" t="str">
        <x:v>RT-B-C-N3</x:v>
      </x:c>
      <x:c r="L1139" s="9" t="str">
        <x:v>ST03</x:v>
      </x:c>
      <x:c r="M1139" s="17" t="str">
        <x:v>Receiver receipt</x:v>
      </x:c>
      <x:c r="N1139" s="17" t="str">
        <x:v>denominator, counterfactual, rights and stop receipt remain unchanged</x:v>
      </x:c>
      <x:c r="O1139" s="17" t="str">
        <x:v>Receiver authority</x:v>
      </x:c>
      <x:c r="P1139" s="9" t="n">
        <x:v>0</x:v>
      </x:c>
      <x:c r="Q1139" s="9" t="n">
        <x:v>0</x:v>
      </x:c>
      <x:c r="R1139" s="9" t="str">
        <x:v>OPEN / UNSTARTED</x:v>
      </x:c>
      <x:c r="S1139" s="9" t="n">
        <x:f>COUNTIFS($A$7:$A$1446,A1139)</x:f>
        <x:v>1</x:v>
      </x:c>
    </x:row>
    <x:row r="1140">
      <x:c r="A1140" s="9" t="str">
        <x:v>EV-AR-RT-B-C-TECH-3-B2-BRK-G0-ST04</x:v>
      </x:c>
      <x:c r="B1140" s="9" t="str">
        <x:v>EV-AR-RT-B-C-TECH-3-B2-BRK-G0</x:v>
      </x:c>
      <x:c r="C1140" s="9" t="str">
        <x:v>EOW-AR-RT-B-C-TECH-3-B2-BRK-G0</x:v>
      </x:c>
      <x:c r="D1140" s="9" t="str">
        <x:v>AR-RT-B-C-TECH-3-B2-BRK-G0</x:v>
      </x:c>
      <x:c r="E1140" s="9" t="str">
        <x:v>RT-B-C-TECH-3</x:v>
      </x:c>
      <x:c r="F1140" s="9" t="str">
        <x:v>RT-B-C</x:v>
      </x:c>
      <x:c r="G1140" s="9" t="str">
        <x:v>B2</x:v>
      </x:c>
      <x:c r="H1140" s="9" t="str">
        <x:v>BRK</x:v>
      </x:c>
      <x:c r="I1140" s="9" t="n">
        <x:v>5</x:v>
      </x:c>
      <x:c r="J1140" s="9" t="n">
        <x:v>3</x:v>
      </x:c>
      <x:c r="K1140" s="9" t="str">
        <x:v>RT-B-C-N3</x:v>
      </x:c>
      <x:c r="L1140" s="9" t="str">
        <x:v>ST04</x:v>
      </x:c>
      <x:c r="M1140" s="17" t="str">
        <x:v>Primary capture armed</x:v>
      </x:c>
      <x:c r="N1140" s="17" t="str">
        <x:v>primary chain records sealed reference and live time</x:v>
      </x:c>
      <x:c r="O1140" s="17" t="str">
        <x:v>Primary metrology</x:v>
      </x:c>
      <x:c r="P1140" s="9" t="n">
        <x:v>0</x:v>
      </x:c>
      <x:c r="Q1140" s="9" t="n">
        <x:v>0</x:v>
      </x:c>
      <x:c r="R1140" s="9" t="str">
        <x:v>OPEN / UNSTARTED</x:v>
      </x:c>
      <x:c r="S1140" s="9" t="n">
        <x:f>COUNTIFS($A$7:$A$1446,A1140)</x:f>
        <x:v>1</x:v>
      </x:c>
    </x:row>
    <x:row r="1141">
      <x:c r="A1141" s="9" t="str">
        <x:v>EV-AR-RT-B-C-TECH-3-B2-BRK-G0-ST05</x:v>
      </x:c>
      <x:c r="B1141" s="9" t="str">
        <x:v>EV-AR-RT-B-C-TECH-3-B2-BRK-G0</x:v>
      </x:c>
      <x:c r="C1141" s="9" t="str">
        <x:v>EOW-AR-RT-B-C-TECH-3-B2-BRK-G0</x:v>
      </x:c>
      <x:c r="D1141" s="9" t="str">
        <x:v>AR-RT-B-C-TECH-3-B2-BRK-G0</x:v>
      </x:c>
      <x:c r="E1141" s="9" t="str">
        <x:v>RT-B-C-TECH-3</x:v>
      </x:c>
      <x:c r="F1141" s="9" t="str">
        <x:v>RT-B-C</x:v>
      </x:c>
      <x:c r="G1141" s="9" t="str">
        <x:v>B2</x:v>
      </x:c>
      <x:c r="H1141" s="9" t="str">
        <x:v>BRK</x:v>
      </x:c>
      <x:c r="I1141" s="9" t="n">
        <x:v>5</x:v>
      </x:c>
      <x:c r="J1141" s="9" t="n">
        <x:v>3</x:v>
      </x:c>
      <x:c r="K1141" s="9" t="str">
        <x:v>RT-B-C-N3</x:v>
      </x:c>
      <x:c r="L1141" s="9" t="str">
        <x:v>ST05</x:v>
      </x:c>
      <x:c r="M1141" s="17" t="str">
        <x:v>Witness capture armed</x:v>
      </x:c>
      <x:c r="N1141" s="17" t="str">
        <x:v>unlike witness records independent reference and live time</x:v>
      </x:c>
      <x:c r="O1141" s="17" t="str">
        <x:v>Witness metrology</x:v>
      </x:c>
      <x:c r="P1141" s="9" t="n">
        <x:v>0</x:v>
      </x:c>
      <x:c r="Q1141" s="9" t="n">
        <x:v>0</x:v>
      </x:c>
      <x:c r="R1141" s="9" t="str">
        <x:v>OPEN / UNSTARTED</x:v>
      </x:c>
      <x:c r="S1141" s="9" t="n">
        <x:f>COUNTIFS($A$7:$A$1446,A1141)</x:f>
        <x:v>1</x:v>
      </x:c>
    </x:row>
    <x:row r="1142">
      <x:c r="A1142" s="9" t="str">
        <x:v>EV-AR-RT-B-C-TECH-3-B2-BRK-G0-ST06</x:v>
      </x:c>
      <x:c r="B1142" s="9" t="str">
        <x:v>EV-AR-RT-B-C-TECH-3-B2-BRK-G0</x:v>
      </x:c>
      <x:c r="C1142" s="9" t="str">
        <x:v>EOW-AR-RT-B-C-TECH-3-B2-BRK-G0</x:v>
      </x:c>
      <x:c r="D1142" s="9" t="str">
        <x:v>AR-RT-B-C-TECH-3-B2-BRK-G0</x:v>
      </x:c>
      <x:c r="E1142" s="9" t="str">
        <x:v>RT-B-C-TECH-3</x:v>
      </x:c>
      <x:c r="F1142" s="9" t="str">
        <x:v>RT-B-C</x:v>
      </x:c>
      <x:c r="G1142" s="9" t="str">
        <x:v>B2</x:v>
      </x:c>
      <x:c r="H1142" s="9" t="str">
        <x:v>BRK</x:v>
      </x:c>
      <x:c r="I1142" s="9" t="n">
        <x:v>5</x:v>
      </x:c>
      <x:c r="J1142" s="9" t="n">
        <x:v>3</x:v>
      </x:c>
      <x:c r="K1142" s="9" t="str">
        <x:v>RT-B-C-N3</x:v>
      </x:c>
      <x:c r="L1142" s="9" t="str">
        <x:v>ST06</x:v>
      </x:c>
      <x:c r="M1142" s="17" t="str">
        <x:v>Public custody armed</x:v>
      </x:c>
      <x:c r="N1142" s="17" t="str">
        <x:v>eight raw origins have separated hash and replica routes</x:v>
      </x:c>
      <x:c r="O1142" s="17" t="str">
        <x:v>Custody authority</x:v>
      </x:c>
      <x:c r="P1142" s="9" t="n">
        <x:v>0</x:v>
      </x:c>
      <x:c r="Q1142" s="9" t="n">
        <x:v>0</x:v>
      </x:c>
      <x:c r="R1142" s="9" t="str">
        <x:v>OPEN / UNSTARTED</x:v>
      </x:c>
      <x:c r="S1142" s="9" t="n">
        <x:f>COUNTIFS($A$7:$A$1446,A1142)</x:f>
        <x:v>1</x:v>
      </x:c>
    </x:row>
    <x:row r="1143">
      <x:c r="A1143" s="9" t="str">
        <x:v>EV-AR-RT-B-C-TECH-3-B2-BRK-G0-ST07</x:v>
      </x:c>
      <x:c r="B1143" s="9" t="str">
        <x:v>EV-AR-RT-B-C-TECH-3-B2-BRK-G0</x:v>
      </x:c>
      <x:c r="C1143" s="9" t="str">
        <x:v>EOW-AR-RT-B-C-TECH-3-B2-BRK-G0</x:v>
      </x:c>
      <x:c r="D1143" s="9" t="str">
        <x:v>AR-RT-B-C-TECH-3-B2-BRK-G0</x:v>
      </x:c>
      <x:c r="E1143" s="9" t="str">
        <x:v>RT-B-C-TECH-3</x:v>
      </x:c>
      <x:c r="F1143" s="9" t="str">
        <x:v>RT-B-C</x:v>
      </x:c>
      <x:c r="G1143" s="9" t="str">
        <x:v>B2</x:v>
      </x:c>
      <x:c r="H1143" s="9" t="str">
        <x:v>BRK</x:v>
      </x:c>
      <x:c r="I1143" s="9" t="n">
        <x:v>5</x:v>
      </x:c>
      <x:c r="J1143" s="9" t="n">
        <x:v>3</x:v>
      </x:c>
      <x:c r="K1143" s="9" t="str">
        <x:v>RT-B-C-N3</x:v>
      </x:c>
      <x:c r="L1143" s="9" t="str">
        <x:v>ST07</x:v>
      </x:c>
      <x:c r="M1143" s="17" t="str">
        <x:v>Environmental baseline</x:v>
      </x:c>
      <x:c r="N1143" s="17" t="str">
        <x:v>pre-event boundary state is sealed before decisive operation</x:v>
      </x:c>
      <x:c r="O1143" s="17" t="str">
        <x:v>Site metrology</x:v>
      </x:c>
      <x:c r="P1143" s="9" t="n">
        <x:v>0</x:v>
      </x:c>
      <x:c r="Q1143" s="9" t="n">
        <x:v>0</x:v>
      </x:c>
      <x:c r="R1143" s="9" t="str">
        <x:v>OPEN / UNSTARTED</x:v>
      </x:c>
      <x:c r="S1143" s="9" t="n">
        <x:f>COUNTIFS($A$7:$A$1446,A1143)</x:f>
        <x:v>1</x:v>
      </x:c>
    </x:row>
    <x:row r="1144">
      <x:c r="A1144" s="9" t="str">
        <x:v>EV-AR-RT-B-C-TECH-3-B2-BRK-G0-ST08</x:v>
      </x:c>
      <x:c r="B1144" s="9" t="str">
        <x:v>EV-AR-RT-B-C-TECH-3-B2-BRK-G0</x:v>
      </x:c>
      <x:c r="C1144" s="9" t="str">
        <x:v>EOW-AR-RT-B-C-TECH-3-B2-BRK-G0</x:v>
      </x:c>
      <x:c r="D1144" s="9" t="str">
        <x:v>AR-RT-B-C-TECH-3-B2-BRK-G0</x:v>
      </x:c>
      <x:c r="E1144" s="9" t="str">
        <x:v>RT-B-C-TECH-3</x:v>
      </x:c>
      <x:c r="F1144" s="9" t="str">
        <x:v>RT-B-C</x:v>
      </x:c>
      <x:c r="G1144" s="9" t="str">
        <x:v>B2</x:v>
      </x:c>
      <x:c r="H1144" s="9" t="str">
        <x:v>BRK</x:v>
      </x:c>
      <x:c r="I1144" s="9" t="n">
        <x:v>5</x:v>
      </x:c>
      <x:c r="J1144" s="9" t="n">
        <x:v>3</x:v>
      </x:c>
      <x:c r="K1144" s="9" t="str">
        <x:v>RT-B-C-N3</x:v>
      </x:c>
      <x:c r="L1144" s="9" t="str">
        <x:v>ST08</x:v>
      </x:c>
      <x:c r="M1144" s="17" t="str">
        <x:v>Manual stop and safety</x:v>
      </x:c>
      <x:c r="N1144" s="17" t="str">
        <x:v>local stop, evacuation and protection routes are active</x:v>
      </x:c>
      <x:c r="O1144" s="17" t="str">
        <x:v>Safety authority</x:v>
      </x:c>
      <x:c r="P1144" s="9" t="n">
        <x:v>0</x:v>
      </x:c>
      <x:c r="Q1144" s="9" t="n">
        <x:v>0</x:v>
      </x:c>
      <x:c r="R1144" s="9" t="str">
        <x:v>OPEN / UNSTARTED</x:v>
      </x:c>
      <x:c r="S1144" s="9" t="n">
        <x:f>COUNTIFS($A$7:$A$1446,A1144)</x:f>
        <x:v>1</x:v>
      </x:c>
    </x:row>
    <x:row r="1145">
      <x:c r="A1145" s="9" t="str">
        <x:v>EV-AR-RT-B-C-TECH-3-B2-BRK-G0-ST09</x:v>
      </x:c>
      <x:c r="B1145" s="9" t="str">
        <x:v>EV-AR-RT-B-C-TECH-3-B2-BRK-G0</x:v>
      </x:c>
      <x:c r="C1145" s="9" t="str">
        <x:v>EOW-AR-RT-B-C-TECH-3-B2-BRK-G0</x:v>
      </x:c>
      <x:c r="D1145" s="9" t="str">
        <x:v>AR-RT-B-C-TECH-3-B2-BRK-G0</x:v>
      </x:c>
      <x:c r="E1145" s="9" t="str">
        <x:v>RT-B-C-TECH-3</x:v>
      </x:c>
      <x:c r="F1145" s="9" t="str">
        <x:v>RT-B-C</x:v>
      </x:c>
      <x:c r="G1145" s="9" t="str">
        <x:v>B2</x:v>
      </x:c>
      <x:c r="H1145" s="9" t="str">
        <x:v>BRK</x:v>
      </x:c>
      <x:c r="I1145" s="9" t="n">
        <x:v>5</x:v>
      </x:c>
      <x:c r="J1145" s="9" t="n">
        <x:v>3</x:v>
      </x:c>
      <x:c r="K1145" s="9" t="str">
        <x:v>RT-B-C-N3</x:v>
      </x:c>
      <x:c r="L1145" s="9" t="str">
        <x:v>ST09</x:v>
      </x:c>
      <x:c r="M1145" s="17" t="str">
        <x:v>Operator conflict clear</x:v>
      </x:c>
      <x:c r="N1145" s="17" t="str">
        <x:v>candidate, fixture, safety and measurement control edges remain separated</x:v>
      </x:c>
      <x:c r="O1145" s="17" t="str">
        <x:v>Conflict registrar</x:v>
      </x:c>
      <x:c r="P1145" s="9" t="n">
        <x:v>0</x:v>
      </x:c>
      <x:c r="Q1145" s="9" t="n">
        <x:v>0</x:v>
      </x:c>
      <x:c r="R1145" s="9" t="str">
        <x:v>OPEN / UNSTARTED</x:v>
      </x:c>
      <x:c r="S1145" s="9" t="n">
        <x:f>COUNTIFS($A$7:$A$1446,A1145)</x:f>
        <x:v>1</x:v>
      </x:c>
    </x:row>
    <x:row r="1146">
      <x:c r="A1146" s="9" t="str">
        <x:v>EV-AR-RT-B-C-TECH-3-B2-BRK-G0-ST10</x:v>
      </x:c>
      <x:c r="B1146" s="9" t="str">
        <x:v>EV-AR-RT-B-C-TECH-3-B2-BRK-G0</x:v>
      </x:c>
      <x:c r="C1146" s="9" t="str">
        <x:v>EOW-AR-RT-B-C-TECH-3-B2-BRK-G0</x:v>
      </x:c>
      <x:c r="D1146" s="9" t="str">
        <x:v>AR-RT-B-C-TECH-3-B2-BRK-G0</x:v>
      </x:c>
      <x:c r="E1146" s="9" t="str">
        <x:v>RT-B-C-TECH-3</x:v>
      </x:c>
      <x:c r="F1146" s="9" t="str">
        <x:v>RT-B-C</x:v>
      </x:c>
      <x:c r="G1146" s="9" t="str">
        <x:v>B2</x:v>
      </x:c>
      <x:c r="H1146" s="9" t="str">
        <x:v>BRK</x:v>
      </x:c>
      <x:c r="I1146" s="9" t="n">
        <x:v>5</x:v>
      </x:c>
      <x:c r="J1146" s="9" t="n">
        <x:v>3</x:v>
      </x:c>
      <x:c r="K1146" s="9" t="str">
        <x:v>RT-B-C-N3</x:v>
      </x:c>
      <x:c r="L1146" s="9" t="str">
        <x:v>ST10</x:v>
      </x:c>
      <x:c r="M1146" s="17" t="str">
        <x:v>Window and common clock</x:v>
      </x:c>
      <x:c r="N1146" s="17" t="str">
        <x:v>epoch, window and public time origin match the issued warrant</x:v>
      </x:c>
      <x:c r="O1146" s="17" t="str">
        <x:v>Event clock authority</x:v>
      </x:c>
      <x:c r="P1146" s="9" t="n">
        <x:v>0</x:v>
      </x:c>
      <x:c r="Q1146" s="9" t="n">
        <x:v>0</x:v>
      </x:c>
      <x:c r="R1146" s="9" t="str">
        <x:v>OPEN / UNSTARTED</x:v>
      </x:c>
      <x:c r="S1146" s="9" t="n">
        <x:f>COUNTIFS($A$7:$A$1446,A1146)</x:f>
        <x:v>1</x:v>
      </x:c>
    </x:row>
    <x:row r="1147">
      <x:c r="A1147" s="9" t="str">
        <x:v>EV-AR-CT-C-B-TECH-1-B2-BRK-G0-ST01</x:v>
      </x:c>
      <x:c r="B1147" s="9" t="str">
        <x:v>EV-AR-CT-C-B-TECH-1-B2-BRK-G0</x:v>
      </x:c>
      <x:c r="C1147" s="9" t="str">
        <x:v>EOW-AR-CT-C-B-TECH-1-B2-BRK-G0</x:v>
      </x:c>
      <x:c r="D1147" s="9" t="str">
        <x:v>AR-CT-C-B-TECH-1-B2-BRK-G0</x:v>
      </x:c>
      <x:c r="E1147" s="9" t="str">
        <x:v>CT-C-B-TECH-1</x:v>
      </x:c>
      <x:c r="F1147" s="9" t="str">
        <x:v>CT-C-B</x:v>
      </x:c>
      <x:c r="G1147" s="9" t="str">
        <x:v>B2</x:v>
      </x:c>
      <x:c r="H1147" s="9" t="str">
        <x:v>BRK</x:v>
      </x:c>
      <x:c r="I1147" s="9" t="n">
        <x:v>5</x:v>
      </x:c>
      <x:c r="J1147" s="9" t="n">
        <x:v>4</x:v>
      </x:c>
      <x:c r="K1147" s="9" t="str">
        <x:v>CT-C-B-N1</x:v>
      </x:c>
      <x:c r="L1147" s="9" t="str">
        <x:v>ST01</x:v>
      </x:c>
      <x:c r="M1147" s="17" t="str">
        <x:v>Active opportunity warrant</x:v>
      </x:c>
      <x:c r="N1147" s="17" t="str">
        <x:v>configuration-bound EOW is within its thirty-six-hour validity</x:v>
      </x:c>
      <x:c r="O1147" s="17" t="str">
        <x:v>Start registrar</x:v>
      </x:c>
      <x:c r="P1147" s="9" t="n">
        <x:v>0</x:v>
      </x:c>
      <x:c r="Q1147" s="9" t="n">
        <x:v>0</x:v>
      </x:c>
      <x:c r="R1147" s="9" t="str">
        <x:v>OPEN / UNSTARTED</x:v>
      </x:c>
      <x:c r="S1147" s="9" t="n">
        <x:f>COUNTIFS($A$7:$A$1446,A1147)</x:f>
        <x:v>1</x:v>
      </x:c>
    </x:row>
    <x:row r="1148">
      <x:c r="A1148" s="9" t="str">
        <x:v>EV-AR-CT-C-B-TECH-1-B2-BRK-G0-ST02</x:v>
      </x:c>
      <x:c r="B1148" s="9" t="str">
        <x:v>EV-AR-CT-C-B-TECH-1-B2-BRK-G0</x:v>
      </x:c>
      <x:c r="C1148" s="9" t="str">
        <x:v>EOW-AR-CT-C-B-TECH-1-B2-BRK-G0</x:v>
      </x:c>
      <x:c r="D1148" s="9" t="str">
        <x:v>AR-CT-C-B-TECH-1-B2-BRK-G0</x:v>
      </x:c>
      <x:c r="E1148" s="9" t="str">
        <x:v>CT-C-B-TECH-1</x:v>
      </x:c>
      <x:c r="F1148" s="9" t="str">
        <x:v>CT-C-B</x:v>
      </x:c>
      <x:c r="G1148" s="9" t="str">
        <x:v>B2</x:v>
      </x:c>
      <x:c r="H1148" s="9" t="str">
        <x:v>BRK</x:v>
      </x:c>
      <x:c r="I1148" s="9" t="n">
        <x:v>5</x:v>
      </x:c>
      <x:c r="J1148" s="9" t="n">
        <x:v>4</x:v>
      </x:c>
      <x:c r="K1148" s="9" t="str">
        <x:v>CT-C-B-N1</x:v>
      </x:c>
      <x:c r="L1148" s="9" t="str">
        <x:v>ST02</x:v>
      </x:c>
      <x:c r="M1148" s="17" t="str">
        <x:v>Frozen identity</x:v>
      </x:c>
      <x:c r="N1148" s="17" t="str">
        <x:v>serial, generation, fixture, site, receiver and digest match the warrant</x:v>
      </x:c>
      <x:c r="O1148" s="17" t="str">
        <x:v>Custody authority</x:v>
      </x:c>
      <x:c r="P1148" s="9" t="n">
        <x:v>0</x:v>
      </x:c>
      <x:c r="Q1148" s="9" t="n">
        <x:v>0</x:v>
      </x:c>
      <x:c r="R1148" s="9" t="str">
        <x:v>OPEN / UNSTARTED</x:v>
      </x:c>
      <x:c r="S1148" s="9" t="n">
        <x:f>COUNTIFS($A$7:$A$1446,A1148)</x:f>
        <x:v>1</x:v>
      </x:c>
    </x:row>
    <x:row r="1149">
      <x:c r="A1149" s="9" t="str">
        <x:v>EV-AR-CT-C-B-TECH-1-B2-BRK-G0-ST03</x:v>
      </x:c>
      <x:c r="B1149" s="9" t="str">
        <x:v>EV-AR-CT-C-B-TECH-1-B2-BRK-G0</x:v>
      </x:c>
      <x:c r="C1149" s="9" t="str">
        <x:v>EOW-AR-CT-C-B-TECH-1-B2-BRK-G0</x:v>
      </x:c>
      <x:c r="D1149" s="9" t="str">
        <x:v>AR-CT-C-B-TECH-1-B2-BRK-G0</x:v>
      </x:c>
      <x:c r="E1149" s="9" t="str">
        <x:v>CT-C-B-TECH-1</x:v>
      </x:c>
      <x:c r="F1149" s="9" t="str">
        <x:v>CT-C-B</x:v>
      </x:c>
      <x:c r="G1149" s="9" t="str">
        <x:v>B2</x:v>
      </x:c>
      <x:c r="H1149" s="9" t="str">
        <x:v>BRK</x:v>
      </x:c>
      <x:c r="I1149" s="9" t="n">
        <x:v>5</x:v>
      </x:c>
      <x:c r="J1149" s="9" t="n">
        <x:v>4</x:v>
      </x:c>
      <x:c r="K1149" s="9" t="str">
        <x:v>CT-C-B-N1</x:v>
      </x:c>
      <x:c r="L1149" s="9" t="str">
        <x:v>ST03</x:v>
      </x:c>
      <x:c r="M1149" s="17" t="str">
        <x:v>Receiver receipt</x:v>
      </x:c>
      <x:c r="N1149" s="17" t="str">
        <x:v>denominator, counterfactual, rights and stop receipt remain unchanged</x:v>
      </x:c>
      <x:c r="O1149" s="17" t="str">
        <x:v>Receiver authority</x:v>
      </x:c>
      <x:c r="P1149" s="9" t="n">
        <x:v>0</x:v>
      </x:c>
      <x:c r="Q1149" s="9" t="n">
        <x:v>0</x:v>
      </x:c>
      <x:c r="R1149" s="9" t="str">
        <x:v>OPEN / UNSTARTED</x:v>
      </x:c>
      <x:c r="S1149" s="9" t="n">
        <x:f>COUNTIFS($A$7:$A$1446,A1149)</x:f>
        <x:v>1</x:v>
      </x:c>
    </x:row>
    <x:row r="1150">
      <x:c r="A1150" s="9" t="str">
        <x:v>EV-AR-CT-C-B-TECH-1-B2-BRK-G0-ST04</x:v>
      </x:c>
      <x:c r="B1150" s="9" t="str">
        <x:v>EV-AR-CT-C-B-TECH-1-B2-BRK-G0</x:v>
      </x:c>
      <x:c r="C1150" s="9" t="str">
        <x:v>EOW-AR-CT-C-B-TECH-1-B2-BRK-G0</x:v>
      </x:c>
      <x:c r="D1150" s="9" t="str">
        <x:v>AR-CT-C-B-TECH-1-B2-BRK-G0</x:v>
      </x:c>
      <x:c r="E1150" s="9" t="str">
        <x:v>CT-C-B-TECH-1</x:v>
      </x:c>
      <x:c r="F1150" s="9" t="str">
        <x:v>CT-C-B</x:v>
      </x:c>
      <x:c r="G1150" s="9" t="str">
        <x:v>B2</x:v>
      </x:c>
      <x:c r="H1150" s="9" t="str">
        <x:v>BRK</x:v>
      </x:c>
      <x:c r="I1150" s="9" t="n">
        <x:v>5</x:v>
      </x:c>
      <x:c r="J1150" s="9" t="n">
        <x:v>4</x:v>
      </x:c>
      <x:c r="K1150" s="9" t="str">
        <x:v>CT-C-B-N1</x:v>
      </x:c>
      <x:c r="L1150" s="9" t="str">
        <x:v>ST04</x:v>
      </x:c>
      <x:c r="M1150" s="17" t="str">
        <x:v>Primary capture armed</x:v>
      </x:c>
      <x:c r="N1150" s="17" t="str">
        <x:v>primary chain records sealed reference and live time</x:v>
      </x:c>
      <x:c r="O1150" s="17" t="str">
        <x:v>Primary metrology</x:v>
      </x:c>
      <x:c r="P1150" s="9" t="n">
        <x:v>0</x:v>
      </x:c>
      <x:c r="Q1150" s="9" t="n">
        <x:v>0</x:v>
      </x:c>
      <x:c r="R1150" s="9" t="str">
        <x:v>OPEN / UNSTARTED</x:v>
      </x:c>
      <x:c r="S1150" s="9" t="n">
        <x:f>COUNTIFS($A$7:$A$1446,A1150)</x:f>
        <x:v>1</x:v>
      </x:c>
    </x:row>
    <x:row r="1151">
      <x:c r="A1151" s="9" t="str">
        <x:v>EV-AR-CT-C-B-TECH-1-B2-BRK-G0-ST05</x:v>
      </x:c>
      <x:c r="B1151" s="9" t="str">
        <x:v>EV-AR-CT-C-B-TECH-1-B2-BRK-G0</x:v>
      </x:c>
      <x:c r="C1151" s="9" t="str">
        <x:v>EOW-AR-CT-C-B-TECH-1-B2-BRK-G0</x:v>
      </x:c>
      <x:c r="D1151" s="9" t="str">
        <x:v>AR-CT-C-B-TECH-1-B2-BRK-G0</x:v>
      </x:c>
      <x:c r="E1151" s="9" t="str">
        <x:v>CT-C-B-TECH-1</x:v>
      </x:c>
      <x:c r="F1151" s="9" t="str">
        <x:v>CT-C-B</x:v>
      </x:c>
      <x:c r="G1151" s="9" t="str">
        <x:v>B2</x:v>
      </x:c>
      <x:c r="H1151" s="9" t="str">
        <x:v>BRK</x:v>
      </x:c>
      <x:c r="I1151" s="9" t="n">
        <x:v>5</x:v>
      </x:c>
      <x:c r="J1151" s="9" t="n">
        <x:v>4</x:v>
      </x:c>
      <x:c r="K1151" s="9" t="str">
        <x:v>CT-C-B-N1</x:v>
      </x:c>
      <x:c r="L1151" s="9" t="str">
        <x:v>ST05</x:v>
      </x:c>
      <x:c r="M1151" s="17" t="str">
        <x:v>Witness capture armed</x:v>
      </x:c>
      <x:c r="N1151" s="17" t="str">
        <x:v>unlike witness records independent reference and live time</x:v>
      </x:c>
      <x:c r="O1151" s="17" t="str">
        <x:v>Witness metrology</x:v>
      </x:c>
      <x:c r="P1151" s="9" t="n">
        <x:v>0</x:v>
      </x:c>
      <x:c r="Q1151" s="9" t="n">
        <x:v>0</x:v>
      </x:c>
      <x:c r="R1151" s="9" t="str">
        <x:v>OPEN / UNSTARTED</x:v>
      </x:c>
      <x:c r="S1151" s="9" t="n">
        <x:f>COUNTIFS($A$7:$A$1446,A1151)</x:f>
        <x:v>1</x:v>
      </x:c>
    </x:row>
    <x:row r="1152">
      <x:c r="A1152" s="9" t="str">
        <x:v>EV-AR-CT-C-B-TECH-1-B2-BRK-G0-ST06</x:v>
      </x:c>
      <x:c r="B1152" s="9" t="str">
        <x:v>EV-AR-CT-C-B-TECH-1-B2-BRK-G0</x:v>
      </x:c>
      <x:c r="C1152" s="9" t="str">
        <x:v>EOW-AR-CT-C-B-TECH-1-B2-BRK-G0</x:v>
      </x:c>
      <x:c r="D1152" s="9" t="str">
        <x:v>AR-CT-C-B-TECH-1-B2-BRK-G0</x:v>
      </x:c>
      <x:c r="E1152" s="9" t="str">
        <x:v>CT-C-B-TECH-1</x:v>
      </x:c>
      <x:c r="F1152" s="9" t="str">
        <x:v>CT-C-B</x:v>
      </x:c>
      <x:c r="G1152" s="9" t="str">
        <x:v>B2</x:v>
      </x:c>
      <x:c r="H1152" s="9" t="str">
        <x:v>BRK</x:v>
      </x:c>
      <x:c r="I1152" s="9" t="n">
        <x:v>5</x:v>
      </x:c>
      <x:c r="J1152" s="9" t="n">
        <x:v>4</x:v>
      </x:c>
      <x:c r="K1152" s="9" t="str">
        <x:v>CT-C-B-N1</x:v>
      </x:c>
      <x:c r="L1152" s="9" t="str">
        <x:v>ST06</x:v>
      </x:c>
      <x:c r="M1152" s="17" t="str">
        <x:v>Public custody armed</x:v>
      </x:c>
      <x:c r="N1152" s="17" t="str">
        <x:v>eight raw origins have separated hash and replica routes</x:v>
      </x:c>
      <x:c r="O1152" s="17" t="str">
        <x:v>Custody authority</x:v>
      </x:c>
      <x:c r="P1152" s="9" t="n">
        <x:v>0</x:v>
      </x:c>
      <x:c r="Q1152" s="9" t="n">
        <x:v>0</x:v>
      </x:c>
      <x:c r="R1152" s="9" t="str">
        <x:v>OPEN / UNSTARTED</x:v>
      </x:c>
      <x:c r="S1152" s="9" t="n">
        <x:f>COUNTIFS($A$7:$A$1446,A1152)</x:f>
        <x:v>1</x:v>
      </x:c>
    </x:row>
    <x:row r="1153">
      <x:c r="A1153" s="9" t="str">
        <x:v>EV-AR-CT-C-B-TECH-1-B2-BRK-G0-ST07</x:v>
      </x:c>
      <x:c r="B1153" s="9" t="str">
        <x:v>EV-AR-CT-C-B-TECH-1-B2-BRK-G0</x:v>
      </x:c>
      <x:c r="C1153" s="9" t="str">
        <x:v>EOW-AR-CT-C-B-TECH-1-B2-BRK-G0</x:v>
      </x:c>
      <x:c r="D1153" s="9" t="str">
        <x:v>AR-CT-C-B-TECH-1-B2-BRK-G0</x:v>
      </x:c>
      <x:c r="E1153" s="9" t="str">
        <x:v>CT-C-B-TECH-1</x:v>
      </x:c>
      <x:c r="F1153" s="9" t="str">
        <x:v>CT-C-B</x:v>
      </x:c>
      <x:c r="G1153" s="9" t="str">
        <x:v>B2</x:v>
      </x:c>
      <x:c r="H1153" s="9" t="str">
        <x:v>BRK</x:v>
      </x:c>
      <x:c r="I1153" s="9" t="n">
        <x:v>5</x:v>
      </x:c>
      <x:c r="J1153" s="9" t="n">
        <x:v>4</x:v>
      </x:c>
      <x:c r="K1153" s="9" t="str">
        <x:v>CT-C-B-N1</x:v>
      </x:c>
      <x:c r="L1153" s="9" t="str">
        <x:v>ST07</x:v>
      </x:c>
      <x:c r="M1153" s="17" t="str">
        <x:v>Environmental baseline</x:v>
      </x:c>
      <x:c r="N1153" s="17" t="str">
        <x:v>pre-event boundary state is sealed before decisive operation</x:v>
      </x:c>
      <x:c r="O1153" s="17" t="str">
        <x:v>Site metrology</x:v>
      </x:c>
      <x:c r="P1153" s="9" t="n">
        <x:v>0</x:v>
      </x:c>
      <x:c r="Q1153" s="9" t="n">
        <x:v>0</x:v>
      </x:c>
      <x:c r="R1153" s="9" t="str">
        <x:v>OPEN / UNSTARTED</x:v>
      </x:c>
      <x:c r="S1153" s="9" t="n">
        <x:f>COUNTIFS($A$7:$A$1446,A1153)</x:f>
        <x:v>1</x:v>
      </x:c>
    </x:row>
    <x:row r="1154">
      <x:c r="A1154" s="9" t="str">
        <x:v>EV-AR-CT-C-B-TECH-1-B2-BRK-G0-ST08</x:v>
      </x:c>
      <x:c r="B1154" s="9" t="str">
        <x:v>EV-AR-CT-C-B-TECH-1-B2-BRK-G0</x:v>
      </x:c>
      <x:c r="C1154" s="9" t="str">
        <x:v>EOW-AR-CT-C-B-TECH-1-B2-BRK-G0</x:v>
      </x:c>
      <x:c r="D1154" s="9" t="str">
        <x:v>AR-CT-C-B-TECH-1-B2-BRK-G0</x:v>
      </x:c>
      <x:c r="E1154" s="9" t="str">
        <x:v>CT-C-B-TECH-1</x:v>
      </x:c>
      <x:c r="F1154" s="9" t="str">
        <x:v>CT-C-B</x:v>
      </x:c>
      <x:c r="G1154" s="9" t="str">
        <x:v>B2</x:v>
      </x:c>
      <x:c r="H1154" s="9" t="str">
        <x:v>BRK</x:v>
      </x:c>
      <x:c r="I1154" s="9" t="n">
        <x:v>5</x:v>
      </x:c>
      <x:c r="J1154" s="9" t="n">
        <x:v>4</x:v>
      </x:c>
      <x:c r="K1154" s="9" t="str">
        <x:v>CT-C-B-N1</x:v>
      </x:c>
      <x:c r="L1154" s="9" t="str">
        <x:v>ST08</x:v>
      </x:c>
      <x:c r="M1154" s="17" t="str">
        <x:v>Manual stop and safety</x:v>
      </x:c>
      <x:c r="N1154" s="17" t="str">
        <x:v>local stop, evacuation and protection routes are active</x:v>
      </x:c>
      <x:c r="O1154" s="17" t="str">
        <x:v>Safety authority</x:v>
      </x:c>
      <x:c r="P1154" s="9" t="n">
        <x:v>0</x:v>
      </x:c>
      <x:c r="Q1154" s="9" t="n">
        <x:v>0</x:v>
      </x:c>
      <x:c r="R1154" s="9" t="str">
        <x:v>OPEN / UNSTARTED</x:v>
      </x:c>
      <x:c r="S1154" s="9" t="n">
        <x:f>COUNTIFS($A$7:$A$1446,A1154)</x:f>
        <x:v>1</x:v>
      </x:c>
    </x:row>
    <x:row r="1155">
      <x:c r="A1155" s="9" t="str">
        <x:v>EV-AR-CT-C-B-TECH-1-B2-BRK-G0-ST09</x:v>
      </x:c>
      <x:c r="B1155" s="9" t="str">
        <x:v>EV-AR-CT-C-B-TECH-1-B2-BRK-G0</x:v>
      </x:c>
      <x:c r="C1155" s="9" t="str">
        <x:v>EOW-AR-CT-C-B-TECH-1-B2-BRK-G0</x:v>
      </x:c>
      <x:c r="D1155" s="9" t="str">
        <x:v>AR-CT-C-B-TECH-1-B2-BRK-G0</x:v>
      </x:c>
      <x:c r="E1155" s="9" t="str">
        <x:v>CT-C-B-TECH-1</x:v>
      </x:c>
      <x:c r="F1155" s="9" t="str">
        <x:v>CT-C-B</x:v>
      </x:c>
      <x:c r="G1155" s="9" t="str">
        <x:v>B2</x:v>
      </x:c>
      <x:c r="H1155" s="9" t="str">
        <x:v>BRK</x:v>
      </x:c>
      <x:c r="I1155" s="9" t="n">
        <x:v>5</x:v>
      </x:c>
      <x:c r="J1155" s="9" t="n">
        <x:v>4</x:v>
      </x:c>
      <x:c r="K1155" s="9" t="str">
        <x:v>CT-C-B-N1</x:v>
      </x:c>
      <x:c r="L1155" s="9" t="str">
        <x:v>ST09</x:v>
      </x:c>
      <x:c r="M1155" s="17" t="str">
        <x:v>Operator conflict clear</x:v>
      </x:c>
      <x:c r="N1155" s="17" t="str">
        <x:v>candidate, fixture, safety and measurement control edges remain separated</x:v>
      </x:c>
      <x:c r="O1155" s="17" t="str">
        <x:v>Conflict registrar</x:v>
      </x:c>
      <x:c r="P1155" s="9" t="n">
        <x:v>0</x:v>
      </x:c>
      <x:c r="Q1155" s="9" t="n">
        <x:v>0</x:v>
      </x:c>
      <x:c r="R1155" s="9" t="str">
        <x:v>OPEN / UNSTARTED</x:v>
      </x:c>
      <x:c r="S1155" s="9" t="n">
        <x:f>COUNTIFS($A$7:$A$1446,A1155)</x:f>
        <x:v>1</x:v>
      </x:c>
    </x:row>
    <x:row r="1156">
      <x:c r="A1156" s="9" t="str">
        <x:v>EV-AR-CT-C-B-TECH-1-B2-BRK-G0-ST10</x:v>
      </x:c>
      <x:c r="B1156" s="9" t="str">
        <x:v>EV-AR-CT-C-B-TECH-1-B2-BRK-G0</x:v>
      </x:c>
      <x:c r="C1156" s="9" t="str">
        <x:v>EOW-AR-CT-C-B-TECH-1-B2-BRK-G0</x:v>
      </x:c>
      <x:c r="D1156" s="9" t="str">
        <x:v>AR-CT-C-B-TECH-1-B2-BRK-G0</x:v>
      </x:c>
      <x:c r="E1156" s="9" t="str">
        <x:v>CT-C-B-TECH-1</x:v>
      </x:c>
      <x:c r="F1156" s="9" t="str">
        <x:v>CT-C-B</x:v>
      </x:c>
      <x:c r="G1156" s="9" t="str">
        <x:v>B2</x:v>
      </x:c>
      <x:c r="H1156" s="9" t="str">
        <x:v>BRK</x:v>
      </x:c>
      <x:c r="I1156" s="9" t="n">
        <x:v>5</x:v>
      </x:c>
      <x:c r="J1156" s="9" t="n">
        <x:v>4</x:v>
      </x:c>
      <x:c r="K1156" s="9" t="str">
        <x:v>CT-C-B-N1</x:v>
      </x:c>
      <x:c r="L1156" s="9" t="str">
        <x:v>ST10</x:v>
      </x:c>
      <x:c r="M1156" s="17" t="str">
        <x:v>Window and common clock</x:v>
      </x:c>
      <x:c r="N1156" s="17" t="str">
        <x:v>epoch, window and public time origin match the issued warrant</x:v>
      </x:c>
      <x:c r="O1156" s="17" t="str">
        <x:v>Event clock authority</x:v>
      </x:c>
      <x:c r="P1156" s="9" t="n">
        <x:v>0</x:v>
      </x:c>
      <x:c r="Q1156" s="9" t="n">
        <x:v>0</x:v>
      </x:c>
      <x:c r="R1156" s="9" t="str">
        <x:v>OPEN / UNSTARTED</x:v>
      </x:c>
      <x:c r="S1156" s="9" t="n">
        <x:f>COUNTIFS($A$7:$A$1446,A1156)</x:f>
        <x:v>1</x:v>
      </x:c>
    </x:row>
    <x:row r="1157">
      <x:c r="A1157" s="9" t="str">
        <x:v>EV-AR-ET-A-A-TECH-2-B2-BRK-G0-ST01</x:v>
      </x:c>
      <x:c r="B1157" s="9" t="str">
        <x:v>EV-AR-ET-A-A-TECH-2-B2-BRK-G0</x:v>
      </x:c>
      <x:c r="C1157" s="9" t="str">
        <x:v>EOW-AR-ET-A-A-TECH-2-B2-BRK-G0</x:v>
      </x:c>
      <x:c r="D1157" s="9" t="str">
        <x:v>AR-ET-A-A-TECH-2-B2-BRK-G0</x:v>
      </x:c>
      <x:c r="E1157" s="9" t="str">
        <x:v>ET-A-A-TECH-2</x:v>
      </x:c>
      <x:c r="F1157" s="9" t="str">
        <x:v>ET-A-A</x:v>
      </x:c>
      <x:c r="G1157" s="9" t="str">
        <x:v>B2</x:v>
      </x:c>
      <x:c r="H1157" s="9" t="str">
        <x:v>BRK</x:v>
      </x:c>
      <x:c r="I1157" s="9" t="n">
        <x:v>5</x:v>
      </x:c>
      <x:c r="J1157" s="9" t="n">
        <x:v>4</x:v>
      </x:c>
      <x:c r="K1157" s="9" t="str">
        <x:v>ET-A-A-N3</x:v>
      </x:c>
      <x:c r="L1157" s="9" t="str">
        <x:v>ST01</x:v>
      </x:c>
      <x:c r="M1157" s="17" t="str">
        <x:v>Active opportunity warrant</x:v>
      </x:c>
      <x:c r="N1157" s="17" t="str">
        <x:v>configuration-bound EOW is within its thirty-six-hour validity</x:v>
      </x:c>
      <x:c r="O1157" s="17" t="str">
        <x:v>Start registrar</x:v>
      </x:c>
      <x:c r="P1157" s="9" t="n">
        <x:v>0</x:v>
      </x:c>
      <x:c r="Q1157" s="9" t="n">
        <x:v>0</x:v>
      </x:c>
      <x:c r="R1157" s="9" t="str">
        <x:v>OPEN / UNSTARTED</x:v>
      </x:c>
      <x:c r="S1157" s="9" t="n">
        <x:f>COUNTIFS($A$7:$A$1446,A1157)</x:f>
        <x:v>1</x:v>
      </x:c>
    </x:row>
    <x:row r="1158">
      <x:c r="A1158" s="9" t="str">
        <x:v>EV-AR-ET-A-A-TECH-2-B2-BRK-G0-ST02</x:v>
      </x:c>
      <x:c r="B1158" s="9" t="str">
        <x:v>EV-AR-ET-A-A-TECH-2-B2-BRK-G0</x:v>
      </x:c>
      <x:c r="C1158" s="9" t="str">
        <x:v>EOW-AR-ET-A-A-TECH-2-B2-BRK-G0</x:v>
      </x:c>
      <x:c r="D1158" s="9" t="str">
        <x:v>AR-ET-A-A-TECH-2-B2-BRK-G0</x:v>
      </x:c>
      <x:c r="E1158" s="9" t="str">
        <x:v>ET-A-A-TECH-2</x:v>
      </x:c>
      <x:c r="F1158" s="9" t="str">
        <x:v>ET-A-A</x:v>
      </x:c>
      <x:c r="G1158" s="9" t="str">
        <x:v>B2</x:v>
      </x:c>
      <x:c r="H1158" s="9" t="str">
        <x:v>BRK</x:v>
      </x:c>
      <x:c r="I1158" s="9" t="n">
        <x:v>5</x:v>
      </x:c>
      <x:c r="J1158" s="9" t="n">
        <x:v>4</x:v>
      </x:c>
      <x:c r="K1158" s="9" t="str">
        <x:v>ET-A-A-N3</x:v>
      </x:c>
      <x:c r="L1158" s="9" t="str">
        <x:v>ST02</x:v>
      </x:c>
      <x:c r="M1158" s="17" t="str">
        <x:v>Frozen identity</x:v>
      </x:c>
      <x:c r="N1158" s="17" t="str">
        <x:v>serial, generation, fixture, site, receiver and digest match the warrant</x:v>
      </x:c>
      <x:c r="O1158" s="17" t="str">
        <x:v>Custody authority</x:v>
      </x:c>
      <x:c r="P1158" s="9" t="n">
        <x:v>0</x:v>
      </x:c>
      <x:c r="Q1158" s="9" t="n">
        <x:v>0</x:v>
      </x:c>
      <x:c r="R1158" s="9" t="str">
        <x:v>OPEN / UNSTARTED</x:v>
      </x:c>
      <x:c r="S1158" s="9" t="n">
        <x:f>COUNTIFS($A$7:$A$1446,A1158)</x:f>
        <x:v>1</x:v>
      </x:c>
    </x:row>
    <x:row r="1159">
      <x:c r="A1159" s="9" t="str">
        <x:v>EV-AR-ET-A-A-TECH-2-B2-BRK-G0-ST03</x:v>
      </x:c>
      <x:c r="B1159" s="9" t="str">
        <x:v>EV-AR-ET-A-A-TECH-2-B2-BRK-G0</x:v>
      </x:c>
      <x:c r="C1159" s="9" t="str">
        <x:v>EOW-AR-ET-A-A-TECH-2-B2-BRK-G0</x:v>
      </x:c>
      <x:c r="D1159" s="9" t="str">
        <x:v>AR-ET-A-A-TECH-2-B2-BRK-G0</x:v>
      </x:c>
      <x:c r="E1159" s="9" t="str">
        <x:v>ET-A-A-TECH-2</x:v>
      </x:c>
      <x:c r="F1159" s="9" t="str">
        <x:v>ET-A-A</x:v>
      </x:c>
      <x:c r="G1159" s="9" t="str">
        <x:v>B2</x:v>
      </x:c>
      <x:c r="H1159" s="9" t="str">
        <x:v>BRK</x:v>
      </x:c>
      <x:c r="I1159" s="9" t="n">
        <x:v>5</x:v>
      </x:c>
      <x:c r="J1159" s="9" t="n">
        <x:v>4</x:v>
      </x:c>
      <x:c r="K1159" s="9" t="str">
        <x:v>ET-A-A-N3</x:v>
      </x:c>
      <x:c r="L1159" s="9" t="str">
        <x:v>ST03</x:v>
      </x:c>
      <x:c r="M1159" s="17" t="str">
        <x:v>Receiver receipt</x:v>
      </x:c>
      <x:c r="N1159" s="17" t="str">
        <x:v>denominator, counterfactual, rights and stop receipt remain unchanged</x:v>
      </x:c>
      <x:c r="O1159" s="17" t="str">
        <x:v>Receiver authority</x:v>
      </x:c>
      <x:c r="P1159" s="9" t="n">
        <x:v>0</x:v>
      </x:c>
      <x:c r="Q1159" s="9" t="n">
        <x:v>0</x:v>
      </x:c>
      <x:c r="R1159" s="9" t="str">
        <x:v>OPEN / UNSTARTED</x:v>
      </x:c>
      <x:c r="S1159" s="9" t="n">
        <x:f>COUNTIFS($A$7:$A$1446,A1159)</x:f>
        <x:v>1</x:v>
      </x:c>
    </x:row>
    <x:row r="1160">
      <x:c r="A1160" s="9" t="str">
        <x:v>EV-AR-ET-A-A-TECH-2-B2-BRK-G0-ST04</x:v>
      </x:c>
      <x:c r="B1160" s="9" t="str">
        <x:v>EV-AR-ET-A-A-TECH-2-B2-BRK-G0</x:v>
      </x:c>
      <x:c r="C1160" s="9" t="str">
        <x:v>EOW-AR-ET-A-A-TECH-2-B2-BRK-G0</x:v>
      </x:c>
      <x:c r="D1160" s="9" t="str">
        <x:v>AR-ET-A-A-TECH-2-B2-BRK-G0</x:v>
      </x:c>
      <x:c r="E1160" s="9" t="str">
        <x:v>ET-A-A-TECH-2</x:v>
      </x:c>
      <x:c r="F1160" s="9" t="str">
        <x:v>ET-A-A</x:v>
      </x:c>
      <x:c r="G1160" s="9" t="str">
        <x:v>B2</x:v>
      </x:c>
      <x:c r="H1160" s="9" t="str">
        <x:v>BRK</x:v>
      </x:c>
      <x:c r="I1160" s="9" t="n">
        <x:v>5</x:v>
      </x:c>
      <x:c r="J1160" s="9" t="n">
        <x:v>4</x:v>
      </x:c>
      <x:c r="K1160" s="9" t="str">
        <x:v>ET-A-A-N3</x:v>
      </x:c>
      <x:c r="L1160" s="9" t="str">
        <x:v>ST04</x:v>
      </x:c>
      <x:c r="M1160" s="17" t="str">
        <x:v>Primary capture armed</x:v>
      </x:c>
      <x:c r="N1160" s="17" t="str">
        <x:v>primary chain records sealed reference and live time</x:v>
      </x:c>
      <x:c r="O1160" s="17" t="str">
        <x:v>Primary metrology</x:v>
      </x:c>
      <x:c r="P1160" s="9" t="n">
        <x:v>0</x:v>
      </x:c>
      <x:c r="Q1160" s="9" t="n">
        <x:v>0</x:v>
      </x:c>
      <x:c r="R1160" s="9" t="str">
        <x:v>OPEN / UNSTARTED</x:v>
      </x:c>
      <x:c r="S1160" s="9" t="n">
        <x:f>COUNTIFS($A$7:$A$1446,A1160)</x:f>
        <x:v>1</x:v>
      </x:c>
    </x:row>
    <x:row r="1161">
      <x:c r="A1161" s="9" t="str">
        <x:v>EV-AR-ET-A-A-TECH-2-B2-BRK-G0-ST05</x:v>
      </x:c>
      <x:c r="B1161" s="9" t="str">
        <x:v>EV-AR-ET-A-A-TECH-2-B2-BRK-G0</x:v>
      </x:c>
      <x:c r="C1161" s="9" t="str">
        <x:v>EOW-AR-ET-A-A-TECH-2-B2-BRK-G0</x:v>
      </x:c>
      <x:c r="D1161" s="9" t="str">
        <x:v>AR-ET-A-A-TECH-2-B2-BRK-G0</x:v>
      </x:c>
      <x:c r="E1161" s="9" t="str">
        <x:v>ET-A-A-TECH-2</x:v>
      </x:c>
      <x:c r="F1161" s="9" t="str">
        <x:v>ET-A-A</x:v>
      </x:c>
      <x:c r="G1161" s="9" t="str">
        <x:v>B2</x:v>
      </x:c>
      <x:c r="H1161" s="9" t="str">
        <x:v>BRK</x:v>
      </x:c>
      <x:c r="I1161" s="9" t="n">
        <x:v>5</x:v>
      </x:c>
      <x:c r="J1161" s="9" t="n">
        <x:v>4</x:v>
      </x:c>
      <x:c r="K1161" s="9" t="str">
        <x:v>ET-A-A-N3</x:v>
      </x:c>
      <x:c r="L1161" s="9" t="str">
        <x:v>ST05</x:v>
      </x:c>
      <x:c r="M1161" s="17" t="str">
        <x:v>Witness capture armed</x:v>
      </x:c>
      <x:c r="N1161" s="17" t="str">
        <x:v>unlike witness records independent reference and live time</x:v>
      </x:c>
      <x:c r="O1161" s="17" t="str">
        <x:v>Witness metrology</x:v>
      </x:c>
      <x:c r="P1161" s="9" t="n">
        <x:v>0</x:v>
      </x:c>
      <x:c r="Q1161" s="9" t="n">
        <x:v>0</x:v>
      </x:c>
      <x:c r="R1161" s="9" t="str">
        <x:v>OPEN / UNSTARTED</x:v>
      </x:c>
      <x:c r="S1161" s="9" t="n">
        <x:f>COUNTIFS($A$7:$A$1446,A1161)</x:f>
        <x:v>1</x:v>
      </x:c>
    </x:row>
    <x:row r="1162">
      <x:c r="A1162" s="9" t="str">
        <x:v>EV-AR-ET-A-A-TECH-2-B2-BRK-G0-ST06</x:v>
      </x:c>
      <x:c r="B1162" s="9" t="str">
        <x:v>EV-AR-ET-A-A-TECH-2-B2-BRK-G0</x:v>
      </x:c>
      <x:c r="C1162" s="9" t="str">
        <x:v>EOW-AR-ET-A-A-TECH-2-B2-BRK-G0</x:v>
      </x:c>
      <x:c r="D1162" s="9" t="str">
        <x:v>AR-ET-A-A-TECH-2-B2-BRK-G0</x:v>
      </x:c>
      <x:c r="E1162" s="9" t="str">
        <x:v>ET-A-A-TECH-2</x:v>
      </x:c>
      <x:c r="F1162" s="9" t="str">
        <x:v>ET-A-A</x:v>
      </x:c>
      <x:c r="G1162" s="9" t="str">
        <x:v>B2</x:v>
      </x:c>
      <x:c r="H1162" s="9" t="str">
        <x:v>BRK</x:v>
      </x:c>
      <x:c r="I1162" s="9" t="n">
        <x:v>5</x:v>
      </x:c>
      <x:c r="J1162" s="9" t="n">
        <x:v>4</x:v>
      </x:c>
      <x:c r="K1162" s="9" t="str">
        <x:v>ET-A-A-N3</x:v>
      </x:c>
      <x:c r="L1162" s="9" t="str">
        <x:v>ST06</x:v>
      </x:c>
      <x:c r="M1162" s="17" t="str">
        <x:v>Public custody armed</x:v>
      </x:c>
      <x:c r="N1162" s="17" t="str">
        <x:v>eight raw origins have separated hash and replica routes</x:v>
      </x:c>
      <x:c r="O1162" s="17" t="str">
        <x:v>Custody authority</x:v>
      </x:c>
      <x:c r="P1162" s="9" t="n">
        <x:v>0</x:v>
      </x:c>
      <x:c r="Q1162" s="9" t="n">
        <x:v>0</x:v>
      </x:c>
      <x:c r="R1162" s="9" t="str">
        <x:v>OPEN / UNSTARTED</x:v>
      </x:c>
      <x:c r="S1162" s="9" t="n">
        <x:f>COUNTIFS($A$7:$A$1446,A1162)</x:f>
        <x:v>1</x:v>
      </x:c>
    </x:row>
    <x:row r="1163">
      <x:c r="A1163" s="9" t="str">
        <x:v>EV-AR-ET-A-A-TECH-2-B2-BRK-G0-ST07</x:v>
      </x:c>
      <x:c r="B1163" s="9" t="str">
        <x:v>EV-AR-ET-A-A-TECH-2-B2-BRK-G0</x:v>
      </x:c>
      <x:c r="C1163" s="9" t="str">
        <x:v>EOW-AR-ET-A-A-TECH-2-B2-BRK-G0</x:v>
      </x:c>
      <x:c r="D1163" s="9" t="str">
        <x:v>AR-ET-A-A-TECH-2-B2-BRK-G0</x:v>
      </x:c>
      <x:c r="E1163" s="9" t="str">
        <x:v>ET-A-A-TECH-2</x:v>
      </x:c>
      <x:c r="F1163" s="9" t="str">
        <x:v>ET-A-A</x:v>
      </x:c>
      <x:c r="G1163" s="9" t="str">
        <x:v>B2</x:v>
      </x:c>
      <x:c r="H1163" s="9" t="str">
        <x:v>BRK</x:v>
      </x:c>
      <x:c r="I1163" s="9" t="n">
        <x:v>5</x:v>
      </x:c>
      <x:c r="J1163" s="9" t="n">
        <x:v>4</x:v>
      </x:c>
      <x:c r="K1163" s="9" t="str">
        <x:v>ET-A-A-N3</x:v>
      </x:c>
      <x:c r="L1163" s="9" t="str">
        <x:v>ST07</x:v>
      </x:c>
      <x:c r="M1163" s="17" t="str">
        <x:v>Environmental baseline</x:v>
      </x:c>
      <x:c r="N1163" s="17" t="str">
        <x:v>pre-event boundary state is sealed before decisive operation</x:v>
      </x:c>
      <x:c r="O1163" s="17" t="str">
        <x:v>Site metrology</x:v>
      </x:c>
      <x:c r="P1163" s="9" t="n">
        <x:v>0</x:v>
      </x:c>
      <x:c r="Q1163" s="9" t="n">
        <x:v>0</x:v>
      </x:c>
      <x:c r="R1163" s="9" t="str">
        <x:v>OPEN / UNSTARTED</x:v>
      </x:c>
      <x:c r="S1163" s="9" t="n">
        <x:f>COUNTIFS($A$7:$A$1446,A1163)</x:f>
        <x:v>1</x:v>
      </x:c>
    </x:row>
    <x:row r="1164">
      <x:c r="A1164" s="9" t="str">
        <x:v>EV-AR-ET-A-A-TECH-2-B2-BRK-G0-ST08</x:v>
      </x:c>
      <x:c r="B1164" s="9" t="str">
        <x:v>EV-AR-ET-A-A-TECH-2-B2-BRK-G0</x:v>
      </x:c>
      <x:c r="C1164" s="9" t="str">
        <x:v>EOW-AR-ET-A-A-TECH-2-B2-BRK-G0</x:v>
      </x:c>
      <x:c r="D1164" s="9" t="str">
        <x:v>AR-ET-A-A-TECH-2-B2-BRK-G0</x:v>
      </x:c>
      <x:c r="E1164" s="9" t="str">
        <x:v>ET-A-A-TECH-2</x:v>
      </x:c>
      <x:c r="F1164" s="9" t="str">
        <x:v>ET-A-A</x:v>
      </x:c>
      <x:c r="G1164" s="9" t="str">
        <x:v>B2</x:v>
      </x:c>
      <x:c r="H1164" s="9" t="str">
        <x:v>BRK</x:v>
      </x:c>
      <x:c r="I1164" s="9" t="n">
        <x:v>5</x:v>
      </x:c>
      <x:c r="J1164" s="9" t="n">
        <x:v>4</x:v>
      </x:c>
      <x:c r="K1164" s="9" t="str">
        <x:v>ET-A-A-N3</x:v>
      </x:c>
      <x:c r="L1164" s="9" t="str">
        <x:v>ST08</x:v>
      </x:c>
      <x:c r="M1164" s="17" t="str">
        <x:v>Manual stop and safety</x:v>
      </x:c>
      <x:c r="N1164" s="17" t="str">
        <x:v>local stop, evacuation and protection routes are active</x:v>
      </x:c>
      <x:c r="O1164" s="17" t="str">
        <x:v>Safety authority</x:v>
      </x:c>
      <x:c r="P1164" s="9" t="n">
        <x:v>0</x:v>
      </x:c>
      <x:c r="Q1164" s="9" t="n">
        <x:v>0</x:v>
      </x:c>
      <x:c r="R1164" s="9" t="str">
        <x:v>OPEN / UNSTARTED</x:v>
      </x:c>
      <x:c r="S1164" s="9" t="n">
        <x:f>COUNTIFS($A$7:$A$1446,A1164)</x:f>
        <x:v>1</x:v>
      </x:c>
    </x:row>
    <x:row r="1165">
      <x:c r="A1165" s="9" t="str">
        <x:v>EV-AR-ET-A-A-TECH-2-B2-BRK-G0-ST09</x:v>
      </x:c>
      <x:c r="B1165" s="9" t="str">
        <x:v>EV-AR-ET-A-A-TECH-2-B2-BRK-G0</x:v>
      </x:c>
      <x:c r="C1165" s="9" t="str">
        <x:v>EOW-AR-ET-A-A-TECH-2-B2-BRK-G0</x:v>
      </x:c>
      <x:c r="D1165" s="9" t="str">
        <x:v>AR-ET-A-A-TECH-2-B2-BRK-G0</x:v>
      </x:c>
      <x:c r="E1165" s="9" t="str">
        <x:v>ET-A-A-TECH-2</x:v>
      </x:c>
      <x:c r="F1165" s="9" t="str">
        <x:v>ET-A-A</x:v>
      </x:c>
      <x:c r="G1165" s="9" t="str">
        <x:v>B2</x:v>
      </x:c>
      <x:c r="H1165" s="9" t="str">
        <x:v>BRK</x:v>
      </x:c>
      <x:c r="I1165" s="9" t="n">
        <x:v>5</x:v>
      </x:c>
      <x:c r="J1165" s="9" t="n">
        <x:v>4</x:v>
      </x:c>
      <x:c r="K1165" s="9" t="str">
        <x:v>ET-A-A-N3</x:v>
      </x:c>
      <x:c r="L1165" s="9" t="str">
        <x:v>ST09</x:v>
      </x:c>
      <x:c r="M1165" s="17" t="str">
        <x:v>Operator conflict clear</x:v>
      </x:c>
      <x:c r="N1165" s="17" t="str">
        <x:v>candidate, fixture, safety and measurement control edges remain separated</x:v>
      </x:c>
      <x:c r="O1165" s="17" t="str">
        <x:v>Conflict registrar</x:v>
      </x:c>
      <x:c r="P1165" s="9" t="n">
        <x:v>0</x:v>
      </x:c>
      <x:c r="Q1165" s="9" t="n">
        <x:v>0</x:v>
      </x:c>
      <x:c r="R1165" s="9" t="str">
        <x:v>OPEN / UNSTARTED</x:v>
      </x:c>
      <x:c r="S1165" s="9" t="n">
        <x:f>COUNTIFS($A$7:$A$1446,A1165)</x:f>
        <x:v>1</x:v>
      </x:c>
    </x:row>
    <x:row r="1166">
      <x:c r="A1166" s="9" t="str">
        <x:v>EV-AR-ET-A-A-TECH-2-B2-BRK-G0-ST10</x:v>
      </x:c>
      <x:c r="B1166" s="9" t="str">
        <x:v>EV-AR-ET-A-A-TECH-2-B2-BRK-G0</x:v>
      </x:c>
      <x:c r="C1166" s="9" t="str">
        <x:v>EOW-AR-ET-A-A-TECH-2-B2-BRK-G0</x:v>
      </x:c>
      <x:c r="D1166" s="9" t="str">
        <x:v>AR-ET-A-A-TECH-2-B2-BRK-G0</x:v>
      </x:c>
      <x:c r="E1166" s="9" t="str">
        <x:v>ET-A-A-TECH-2</x:v>
      </x:c>
      <x:c r="F1166" s="9" t="str">
        <x:v>ET-A-A</x:v>
      </x:c>
      <x:c r="G1166" s="9" t="str">
        <x:v>B2</x:v>
      </x:c>
      <x:c r="H1166" s="9" t="str">
        <x:v>BRK</x:v>
      </x:c>
      <x:c r="I1166" s="9" t="n">
        <x:v>5</x:v>
      </x:c>
      <x:c r="J1166" s="9" t="n">
        <x:v>4</x:v>
      </x:c>
      <x:c r="K1166" s="9" t="str">
        <x:v>ET-A-A-N3</x:v>
      </x:c>
      <x:c r="L1166" s="9" t="str">
        <x:v>ST10</x:v>
      </x:c>
      <x:c r="M1166" s="17" t="str">
        <x:v>Window and common clock</x:v>
      </x:c>
      <x:c r="N1166" s="17" t="str">
        <x:v>epoch, window and public time origin match the issued warrant</x:v>
      </x:c>
      <x:c r="O1166" s="17" t="str">
        <x:v>Event clock authority</x:v>
      </x:c>
      <x:c r="P1166" s="9" t="n">
        <x:v>0</x:v>
      </x:c>
      <x:c r="Q1166" s="9" t="n">
        <x:v>0</x:v>
      </x:c>
      <x:c r="R1166" s="9" t="str">
        <x:v>OPEN / UNSTARTED</x:v>
      </x:c>
      <x:c r="S1166" s="9" t="n">
        <x:f>COUNTIFS($A$7:$A$1446,A1166)</x:f>
        <x:v>1</x:v>
      </x:c>
    </x:row>
    <x:row r="1167">
      <x:c r="A1167" s="9" t="str">
        <x:v>EV-AR-HC-A-C-TECH-1-B1-BRK-G0-ST01</x:v>
      </x:c>
      <x:c r="B1167" s="9" t="str">
        <x:v>EV-AR-HC-A-C-TECH-1-B1-BRK-G0</x:v>
      </x:c>
      <x:c r="C1167" s="9" t="str">
        <x:v>EOW-AR-HC-A-C-TECH-1-B1-BRK-G0</x:v>
      </x:c>
      <x:c r="D1167" s="9" t="str">
        <x:v>AR-HC-A-C-TECH-1-B1-BRK-G0</x:v>
      </x:c>
      <x:c r="E1167" s="9" t="str">
        <x:v>HC-A-C-TECH-1</x:v>
      </x:c>
      <x:c r="F1167" s="9" t="str">
        <x:v>HC-A-C</x:v>
      </x:c>
      <x:c r="G1167" s="9" t="str">
        <x:v>B1</x:v>
      </x:c>
      <x:c r="H1167" s="9" t="str">
        <x:v>BRK</x:v>
      </x:c>
      <x:c r="I1167" s="9" t="n">
        <x:v>5</x:v>
      </x:c>
      <x:c r="J1167" s="9" t="n">
        <x:v>4</x:v>
      </x:c>
      <x:c r="K1167" s="9" t="str">
        <x:v>HC-A-C-N2</x:v>
      </x:c>
      <x:c r="L1167" s="9" t="str">
        <x:v>ST01</x:v>
      </x:c>
      <x:c r="M1167" s="17" t="str">
        <x:v>Active opportunity warrant</x:v>
      </x:c>
      <x:c r="N1167" s="17" t="str">
        <x:v>configuration-bound EOW is within its thirty-six-hour validity</x:v>
      </x:c>
      <x:c r="O1167" s="17" t="str">
        <x:v>Start registrar</x:v>
      </x:c>
      <x:c r="P1167" s="9" t="n">
        <x:v>0</x:v>
      </x:c>
      <x:c r="Q1167" s="9" t="n">
        <x:v>0</x:v>
      </x:c>
      <x:c r="R1167" s="9" t="str">
        <x:v>OPEN / UNSTARTED</x:v>
      </x:c>
      <x:c r="S1167" s="9" t="n">
        <x:f>COUNTIFS($A$7:$A$1446,A1167)</x:f>
        <x:v>1</x:v>
      </x:c>
    </x:row>
    <x:row r="1168">
      <x:c r="A1168" s="9" t="str">
        <x:v>EV-AR-HC-A-C-TECH-1-B1-BRK-G0-ST02</x:v>
      </x:c>
      <x:c r="B1168" s="9" t="str">
        <x:v>EV-AR-HC-A-C-TECH-1-B1-BRK-G0</x:v>
      </x:c>
      <x:c r="C1168" s="9" t="str">
        <x:v>EOW-AR-HC-A-C-TECH-1-B1-BRK-G0</x:v>
      </x:c>
      <x:c r="D1168" s="9" t="str">
        <x:v>AR-HC-A-C-TECH-1-B1-BRK-G0</x:v>
      </x:c>
      <x:c r="E1168" s="9" t="str">
        <x:v>HC-A-C-TECH-1</x:v>
      </x:c>
      <x:c r="F1168" s="9" t="str">
        <x:v>HC-A-C</x:v>
      </x:c>
      <x:c r="G1168" s="9" t="str">
        <x:v>B1</x:v>
      </x:c>
      <x:c r="H1168" s="9" t="str">
        <x:v>BRK</x:v>
      </x:c>
      <x:c r="I1168" s="9" t="n">
        <x:v>5</x:v>
      </x:c>
      <x:c r="J1168" s="9" t="n">
        <x:v>4</x:v>
      </x:c>
      <x:c r="K1168" s="9" t="str">
        <x:v>HC-A-C-N2</x:v>
      </x:c>
      <x:c r="L1168" s="9" t="str">
        <x:v>ST02</x:v>
      </x:c>
      <x:c r="M1168" s="17" t="str">
        <x:v>Frozen identity</x:v>
      </x:c>
      <x:c r="N1168" s="17" t="str">
        <x:v>serial, generation, fixture, site, receiver and digest match the warrant</x:v>
      </x:c>
      <x:c r="O1168" s="17" t="str">
        <x:v>Custody authority</x:v>
      </x:c>
      <x:c r="P1168" s="9" t="n">
        <x:v>0</x:v>
      </x:c>
      <x:c r="Q1168" s="9" t="n">
        <x:v>0</x:v>
      </x:c>
      <x:c r="R1168" s="9" t="str">
        <x:v>OPEN / UNSTARTED</x:v>
      </x:c>
      <x:c r="S1168" s="9" t="n">
        <x:f>COUNTIFS($A$7:$A$1446,A1168)</x:f>
        <x:v>1</x:v>
      </x:c>
    </x:row>
    <x:row r="1169">
      <x:c r="A1169" s="9" t="str">
        <x:v>EV-AR-HC-A-C-TECH-1-B1-BRK-G0-ST03</x:v>
      </x:c>
      <x:c r="B1169" s="9" t="str">
        <x:v>EV-AR-HC-A-C-TECH-1-B1-BRK-G0</x:v>
      </x:c>
      <x:c r="C1169" s="9" t="str">
        <x:v>EOW-AR-HC-A-C-TECH-1-B1-BRK-G0</x:v>
      </x:c>
      <x:c r="D1169" s="9" t="str">
        <x:v>AR-HC-A-C-TECH-1-B1-BRK-G0</x:v>
      </x:c>
      <x:c r="E1169" s="9" t="str">
        <x:v>HC-A-C-TECH-1</x:v>
      </x:c>
      <x:c r="F1169" s="9" t="str">
        <x:v>HC-A-C</x:v>
      </x:c>
      <x:c r="G1169" s="9" t="str">
        <x:v>B1</x:v>
      </x:c>
      <x:c r="H1169" s="9" t="str">
        <x:v>BRK</x:v>
      </x:c>
      <x:c r="I1169" s="9" t="n">
        <x:v>5</x:v>
      </x:c>
      <x:c r="J1169" s="9" t="n">
        <x:v>4</x:v>
      </x:c>
      <x:c r="K1169" s="9" t="str">
        <x:v>HC-A-C-N2</x:v>
      </x:c>
      <x:c r="L1169" s="9" t="str">
        <x:v>ST03</x:v>
      </x:c>
      <x:c r="M1169" s="17" t="str">
        <x:v>Receiver receipt</x:v>
      </x:c>
      <x:c r="N1169" s="17" t="str">
        <x:v>denominator, counterfactual, rights and stop receipt remain unchanged</x:v>
      </x:c>
      <x:c r="O1169" s="17" t="str">
        <x:v>Receiver authority</x:v>
      </x:c>
      <x:c r="P1169" s="9" t="n">
        <x:v>0</x:v>
      </x:c>
      <x:c r="Q1169" s="9" t="n">
        <x:v>0</x:v>
      </x:c>
      <x:c r="R1169" s="9" t="str">
        <x:v>OPEN / UNSTARTED</x:v>
      </x:c>
      <x:c r="S1169" s="9" t="n">
        <x:f>COUNTIFS($A$7:$A$1446,A1169)</x:f>
        <x:v>1</x:v>
      </x:c>
    </x:row>
    <x:row r="1170">
      <x:c r="A1170" s="9" t="str">
        <x:v>EV-AR-HC-A-C-TECH-1-B1-BRK-G0-ST04</x:v>
      </x:c>
      <x:c r="B1170" s="9" t="str">
        <x:v>EV-AR-HC-A-C-TECH-1-B1-BRK-G0</x:v>
      </x:c>
      <x:c r="C1170" s="9" t="str">
        <x:v>EOW-AR-HC-A-C-TECH-1-B1-BRK-G0</x:v>
      </x:c>
      <x:c r="D1170" s="9" t="str">
        <x:v>AR-HC-A-C-TECH-1-B1-BRK-G0</x:v>
      </x:c>
      <x:c r="E1170" s="9" t="str">
        <x:v>HC-A-C-TECH-1</x:v>
      </x:c>
      <x:c r="F1170" s="9" t="str">
        <x:v>HC-A-C</x:v>
      </x:c>
      <x:c r="G1170" s="9" t="str">
        <x:v>B1</x:v>
      </x:c>
      <x:c r="H1170" s="9" t="str">
        <x:v>BRK</x:v>
      </x:c>
      <x:c r="I1170" s="9" t="n">
        <x:v>5</x:v>
      </x:c>
      <x:c r="J1170" s="9" t="n">
        <x:v>4</x:v>
      </x:c>
      <x:c r="K1170" s="9" t="str">
        <x:v>HC-A-C-N2</x:v>
      </x:c>
      <x:c r="L1170" s="9" t="str">
        <x:v>ST04</x:v>
      </x:c>
      <x:c r="M1170" s="17" t="str">
        <x:v>Primary capture armed</x:v>
      </x:c>
      <x:c r="N1170" s="17" t="str">
        <x:v>primary chain records sealed reference and live time</x:v>
      </x:c>
      <x:c r="O1170" s="17" t="str">
        <x:v>Primary metrology</x:v>
      </x:c>
      <x:c r="P1170" s="9" t="n">
        <x:v>0</x:v>
      </x:c>
      <x:c r="Q1170" s="9" t="n">
        <x:v>0</x:v>
      </x:c>
      <x:c r="R1170" s="9" t="str">
        <x:v>OPEN / UNSTARTED</x:v>
      </x:c>
      <x:c r="S1170" s="9" t="n">
        <x:f>COUNTIFS($A$7:$A$1446,A1170)</x:f>
        <x:v>1</x:v>
      </x:c>
    </x:row>
    <x:row r="1171">
      <x:c r="A1171" s="9" t="str">
        <x:v>EV-AR-HC-A-C-TECH-1-B1-BRK-G0-ST05</x:v>
      </x:c>
      <x:c r="B1171" s="9" t="str">
        <x:v>EV-AR-HC-A-C-TECH-1-B1-BRK-G0</x:v>
      </x:c>
      <x:c r="C1171" s="9" t="str">
        <x:v>EOW-AR-HC-A-C-TECH-1-B1-BRK-G0</x:v>
      </x:c>
      <x:c r="D1171" s="9" t="str">
        <x:v>AR-HC-A-C-TECH-1-B1-BRK-G0</x:v>
      </x:c>
      <x:c r="E1171" s="9" t="str">
        <x:v>HC-A-C-TECH-1</x:v>
      </x:c>
      <x:c r="F1171" s="9" t="str">
        <x:v>HC-A-C</x:v>
      </x:c>
      <x:c r="G1171" s="9" t="str">
        <x:v>B1</x:v>
      </x:c>
      <x:c r="H1171" s="9" t="str">
        <x:v>BRK</x:v>
      </x:c>
      <x:c r="I1171" s="9" t="n">
        <x:v>5</x:v>
      </x:c>
      <x:c r="J1171" s="9" t="n">
        <x:v>4</x:v>
      </x:c>
      <x:c r="K1171" s="9" t="str">
        <x:v>HC-A-C-N2</x:v>
      </x:c>
      <x:c r="L1171" s="9" t="str">
        <x:v>ST05</x:v>
      </x:c>
      <x:c r="M1171" s="17" t="str">
        <x:v>Witness capture armed</x:v>
      </x:c>
      <x:c r="N1171" s="17" t="str">
        <x:v>unlike witness records independent reference and live time</x:v>
      </x:c>
      <x:c r="O1171" s="17" t="str">
        <x:v>Witness metrology</x:v>
      </x:c>
      <x:c r="P1171" s="9" t="n">
        <x:v>0</x:v>
      </x:c>
      <x:c r="Q1171" s="9" t="n">
        <x:v>0</x:v>
      </x:c>
      <x:c r="R1171" s="9" t="str">
        <x:v>OPEN / UNSTARTED</x:v>
      </x:c>
      <x:c r="S1171" s="9" t="n">
        <x:f>COUNTIFS($A$7:$A$1446,A1171)</x:f>
        <x:v>1</x:v>
      </x:c>
    </x:row>
    <x:row r="1172">
      <x:c r="A1172" s="9" t="str">
        <x:v>EV-AR-HC-A-C-TECH-1-B1-BRK-G0-ST06</x:v>
      </x:c>
      <x:c r="B1172" s="9" t="str">
        <x:v>EV-AR-HC-A-C-TECH-1-B1-BRK-G0</x:v>
      </x:c>
      <x:c r="C1172" s="9" t="str">
        <x:v>EOW-AR-HC-A-C-TECH-1-B1-BRK-G0</x:v>
      </x:c>
      <x:c r="D1172" s="9" t="str">
        <x:v>AR-HC-A-C-TECH-1-B1-BRK-G0</x:v>
      </x:c>
      <x:c r="E1172" s="9" t="str">
        <x:v>HC-A-C-TECH-1</x:v>
      </x:c>
      <x:c r="F1172" s="9" t="str">
        <x:v>HC-A-C</x:v>
      </x:c>
      <x:c r="G1172" s="9" t="str">
        <x:v>B1</x:v>
      </x:c>
      <x:c r="H1172" s="9" t="str">
        <x:v>BRK</x:v>
      </x:c>
      <x:c r="I1172" s="9" t="n">
        <x:v>5</x:v>
      </x:c>
      <x:c r="J1172" s="9" t="n">
        <x:v>4</x:v>
      </x:c>
      <x:c r="K1172" s="9" t="str">
        <x:v>HC-A-C-N2</x:v>
      </x:c>
      <x:c r="L1172" s="9" t="str">
        <x:v>ST06</x:v>
      </x:c>
      <x:c r="M1172" s="17" t="str">
        <x:v>Public custody armed</x:v>
      </x:c>
      <x:c r="N1172" s="17" t="str">
        <x:v>eight raw origins have separated hash and replica routes</x:v>
      </x:c>
      <x:c r="O1172" s="17" t="str">
        <x:v>Custody authority</x:v>
      </x:c>
      <x:c r="P1172" s="9" t="n">
        <x:v>0</x:v>
      </x:c>
      <x:c r="Q1172" s="9" t="n">
        <x:v>0</x:v>
      </x:c>
      <x:c r="R1172" s="9" t="str">
        <x:v>OPEN / UNSTARTED</x:v>
      </x:c>
      <x:c r="S1172" s="9" t="n">
        <x:f>COUNTIFS($A$7:$A$1446,A1172)</x:f>
        <x:v>1</x:v>
      </x:c>
    </x:row>
    <x:row r="1173">
      <x:c r="A1173" s="9" t="str">
        <x:v>EV-AR-HC-A-C-TECH-1-B1-BRK-G0-ST07</x:v>
      </x:c>
      <x:c r="B1173" s="9" t="str">
        <x:v>EV-AR-HC-A-C-TECH-1-B1-BRK-G0</x:v>
      </x:c>
      <x:c r="C1173" s="9" t="str">
        <x:v>EOW-AR-HC-A-C-TECH-1-B1-BRK-G0</x:v>
      </x:c>
      <x:c r="D1173" s="9" t="str">
        <x:v>AR-HC-A-C-TECH-1-B1-BRK-G0</x:v>
      </x:c>
      <x:c r="E1173" s="9" t="str">
        <x:v>HC-A-C-TECH-1</x:v>
      </x:c>
      <x:c r="F1173" s="9" t="str">
        <x:v>HC-A-C</x:v>
      </x:c>
      <x:c r="G1173" s="9" t="str">
        <x:v>B1</x:v>
      </x:c>
      <x:c r="H1173" s="9" t="str">
        <x:v>BRK</x:v>
      </x:c>
      <x:c r="I1173" s="9" t="n">
        <x:v>5</x:v>
      </x:c>
      <x:c r="J1173" s="9" t="n">
        <x:v>4</x:v>
      </x:c>
      <x:c r="K1173" s="9" t="str">
        <x:v>HC-A-C-N2</x:v>
      </x:c>
      <x:c r="L1173" s="9" t="str">
        <x:v>ST07</x:v>
      </x:c>
      <x:c r="M1173" s="17" t="str">
        <x:v>Environmental baseline</x:v>
      </x:c>
      <x:c r="N1173" s="17" t="str">
        <x:v>pre-event boundary state is sealed before decisive operation</x:v>
      </x:c>
      <x:c r="O1173" s="17" t="str">
        <x:v>Site metrology</x:v>
      </x:c>
      <x:c r="P1173" s="9" t="n">
        <x:v>0</x:v>
      </x:c>
      <x:c r="Q1173" s="9" t="n">
        <x:v>0</x:v>
      </x:c>
      <x:c r="R1173" s="9" t="str">
        <x:v>OPEN / UNSTARTED</x:v>
      </x:c>
      <x:c r="S1173" s="9" t="n">
        <x:f>COUNTIFS($A$7:$A$1446,A1173)</x:f>
        <x:v>1</x:v>
      </x:c>
    </x:row>
    <x:row r="1174">
      <x:c r="A1174" s="9" t="str">
        <x:v>EV-AR-HC-A-C-TECH-1-B1-BRK-G0-ST08</x:v>
      </x:c>
      <x:c r="B1174" s="9" t="str">
        <x:v>EV-AR-HC-A-C-TECH-1-B1-BRK-G0</x:v>
      </x:c>
      <x:c r="C1174" s="9" t="str">
        <x:v>EOW-AR-HC-A-C-TECH-1-B1-BRK-G0</x:v>
      </x:c>
      <x:c r="D1174" s="9" t="str">
        <x:v>AR-HC-A-C-TECH-1-B1-BRK-G0</x:v>
      </x:c>
      <x:c r="E1174" s="9" t="str">
        <x:v>HC-A-C-TECH-1</x:v>
      </x:c>
      <x:c r="F1174" s="9" t="str">
        <x:v>HC-A-C</x:v>
      </x:c>
      <x:c r="G1174" s="9" t="str">
        <x:v>B1</x:v>
      </x:c>
      <x:c r="H1174" s="9" t="str">
        <x:v>BRK</x:v>
      </x:c>
      <x:c r="I1174" s="9" t="n">
        <x:v>5</x:v>
      </x:c>
      <x:c r="J1174" s="9" t="n">
        <x:v>4</x:v>
      </x:c>
      <x:c r="K1174" s="9" t="str">
        <x:v>HC-A-C-N2</x:v>
      </x:c>
      <x:c r="L1174" s="9" t="str">
        <x:v>ST08</x:v>
      </x:c>
      <x:c r="M1174" s="17" t="str">
        <x:v>Manual stop and safety</x:v>
      </x:c>
      <x:c r="N1174" s="17" t="str">
        <x:v>local stop, evacuation and protection routes are active</x:v>
      </x:c>
      <x:c r="O1174" s="17" t="str">
        <x:v>Safety authority</x:v>
      </x:c>
      <x:c r="P1174" s="9" t="n">
        <x:v>0</x:v>
      </x:c>
      <x:c r="Q1174" s="9" t="n">
        <x:v>0</x:v>
      </x:c>
      <x:c r="R1174" s="9" t="str">
        <x:v>OPEN / UNSTARTED</x:v>
      </x:c>
      <x:c r="S1174" s="9" t="n">
        <x:f>COUNTIFS($A$7:$A$1446,A1174)</x:f>
        <x:v>1</x:v>
      </x:c>
    </x:row>
    <x:row r="1175">
      <x:c r="A1175" s="9" t="str">
        <x:v>EV-AR-HC-A-C-TECH-1-B1-BRK-G0-ST09</x:v>
      </x:c>
      <x:c r="B1175" s="9" t="str">
        <x:v>EV-AR-HC-A-C-TECH-1-B1-BRK-G0</x:v>
      </x:c>
      <x:c r="C1175" s="9" t="str">
        <x:v>EOW-AR-HC-A-C-TECH-1-B1-BRK-G0</x:v>
      </x:c>
      <x:c r="D1175" s="9" t="str">
        <x:v>AR-HC-A-C-TECH-1-B1-BRK-G0</x:v>
      </x:c>
      <x:c r="E1175" s="9" t="str">
        <x:v>HC-A-C-TECH-1</x:v>
      </x:c>
      <x:c r="F1175" s="9" t="str">
        <x:v>HC-A-C</x:v>
      </x:c>
      <x:c r="G1175" s="9" t="str">
        <x:v>B1</x:v>
      </x:c>
      <x:c r="H1175" s="9" t="str">
        <x:v>BRK</x:v>
      </x:c>
      <x:c r="I1175" s="9" t="n">
        <x:v>5</x:v>
      </x:c>
      <x:c r="J1175" s="9" t="n">
        <x:v>4</x:v>
      </x:c>
      <x:c r="K1175" s="9" t="str">
        <x:v>HC-A-C-N2</x:v>
      </x:c>
      <x:c r="L1175" s="9" t="str">
        <x:v>ST09</x:v>
      </x:c>
      <x:c r="M1175" s="17" t="str">
        <x:v>Operator conflict clear</x:v>
      </x:c>
      <x:c r="N1175" s="17" t="str">
        <x:v>candidate, fixture, safety and measurement control edges remain separated</x:v>
      </x:c>
      <x:c r="O1175" s="17" t="str">
        <x:v>Conflict registrar</x:v>
      </x:c>
      <x:c r="P1175" s="9" t="n">
        <x:v>0</x:v>
      </x:c>
      <x:c r="Q1175" s="9" t="n">
        <x:v>0</x:v>
      </x:c>
      <x:c r="R1175" s="9" t="str">
        <x:v>OPEN / UNSTARTED</x:v>
      </x:c>
      <x:c r="S1175" s="9" t="n">
        <x:f>COUNTIFS($A$7:$A$1446,A1175)</x:f>
        <x:v>1</x:v>
      </x:c>
    </x:row>
    <x:row r="1176">
      <x:c r="A1176" s="9" t="str">
        <x:v>EV-AR-HC-A-C-TECH-1-B1-BRK-G0-ST10</x:v>
      </x:c>
      <x:c r="B1176" s="9" t="str">
        <x:v>EV-AR-HC-A-C-TECH-1-B1-BRK-G0</x:v>
      </x:c>
      <x:c r="C1176" s="9" t="str">
        <x:v>EOW-AR-HC-A-C-TECH-1-B1-BRK-G0</x:v>
      </x:c>
      <x:c r="D1176" s="9" t="str">
        <x:v>AR-HC-A-C-TECH-1-B1-BRK-G0</x:v>
      </x:c>
      <x:c r="E1176" s="9" t="str">
        <x:v>HC-A-C-TECH-1</x:v>
      </x:c>
      <x:c r="F1176" s="9" t="str">
        <x:v>HC-A-C</x:v>
      </x:c>
      <x:c r="G1176" s="9" t="str">
        <x:v>B1</x:v>
      </x:c>
      <x:c r="H1176" s="9" t="str">
        <x:v>BRK</x:v>
      </x:c>
      <x:c r="I1176" s="9" t="n">
        <x:v>5</x:v>
      </x:c>
      <x:c r="J1176" s="9" t="n">
        <x:v>4</x:v>
      </x:c>
      <x:c r="K1176" s="9" t="str">
        <x:v>HC-A-C-N2</x:v>
      </x:c>
      <x:c r="L1176" s="9" t="str">
        <x:v>ST10</x:v>
      </x:c>
      <x:c r="M1176" s="17" t="str">
        <x:v>Window and common clock</x:v>
      </x:c>
      <x:c r="N1176" s="17" t="str">
        <x:v>epoch, window and public time origin match the issued warrant</x:v>
      </x:c>
      <x:c r="O1176" s="17" t="str">
        <x:v>Event clock authority</x:v>
      </x:c>
      <x:c r="P1176" s="9" t="n">
        <x:v>0</x:v>
      </x:c>
      <x:c r="Q1176" s="9" t="n">
        <x:v>0</x:v>
      </x:c>
      <x:c r="R1176" s="9" t="str">
        <x:v>OPEN / UNSTARTED</x:v>
      </x:c>
      <x:c r="S1176" s="9" t="n">
        <x:f>COUNTIFS($A$7:$A$1446,A1176)</x:f>
        <x:v>1</x:v>
      </x:c>
    </x:row>
    <x:row r="1177">
      <x:c r="A1177" s="9" t="str">
        <x:v>EV-AR-HU-A-B-TECH-3-B1-RCN-G0-ST01</x:v>
      </x:c>
      <x:c r="B1177" s="9" t="str">
        <x:v>EV-AR-HU-A-B-TECH-3-B1-RCN-G0</x:v>
      </x:c>
      <x:c r="C1177" s="9" t="str">
        <x:v>EOW-AR-HU-A-B-TECH-3-B1-RCN-G0</x:v>
      </x:c>
      <x:c r="D1177" s="9" t="str">
        <x:v>AR-HU-A-B-TECH-3-B1-RCN-G0</x:v>
      </x:c>
      <x:c r="E1177" s="9" t="str">
        <x:v>HU-A-B-TECH-3</x:v>
      </x:c>
      <x:c r="F1177" s="9" t="str">
        <x:v>HU-A-B</x:v>
      </x:c>
      <x:c r="G1177" s="9" t="str">
        <x:v>B1</x:v>
      </x:c>
      <x:c r="H1177" s="9" t="str">
        <x:v>RCN</x:v>
      </x:c>
      <x:c r="I1177" s="9" t="n">
        <x:v>5</x:v>
      </x:c>
      <x:c r="J1177" s="9" t="n">
        <x:v>4</x:v>
      </x:c>
      <x:c r="K1177" s="9" t="str">
        <x:v>HU-A-B-N3</x:v>
      </x:c>
      <x:c r="L1177" s="9" t="str">
        <x:v>ST01</x:v>
      </x:c>
      <x:c r="M1177" s="17" t="str">
        <x:v>Active opportunity warrant</x:v>
      </x:c>
      <x:c r="N1177" s="17" t="str">
        <x:v>configuration-bound EOW is within its thirty-six-hour validity</x:v>
      </x:c>
      <x:c r="O1177" s="17" t="str">
        <x:v>Start registrar</x:v>
      </x:c>
      <x:c r="P1177" s="9" t="n">
        <x:v>0</x:v>
      </x:c>
      <x:c r="Q1177" s="9" t="n">
        <x:v>0</x:v>
      </x:c>
      <x:c r="R1177" s="9" t="str">
        <x:v>OPEN / UNSTARTED</x:v>
      </x:c>
      <x:c r="S1177" s="9" t="n">
        <x:f>COUNTIFS($A$7:$A$1446,A1177)</x:f>
        <x:v>1</x:v>
      </x:c>
    </x:row>
    <x:row r="1178">
      <x:c r="A1178" s="9" t="str">
        <x:v>EV-AR-HU-A-B-TECH-3-B1-RCN-G0-ST02</x:v>
      </x:c>
      <x:c r="B1178" s="9" t="str">
        <x:v>EV-AR-HU-A-B-TECH-3-B1-RCN-G0</x:v>
      </x:c>
      <x:c r="C1178" s="9" t="str">
        <x:v>EOW-AR-HU-A-B-TECH-3-B1-RCN-G0</x:v>
      </x:c>
      <x:c r="D1178" s="9" t="str">
        <x:v>AR-HU-A-B-TECH-3-B1-RCN-G0</x:v>
      </x:c>
      <x:c r="E1178" s="9" t="str">
        <x:v>HU-A-B-TECH-3</x:v>
      </x:c>
      <x:c r="F1178" s="9" t="str">
        <x:v>HU-A-B</x:v>
      </x:c>
      <x:c r="G1178" s="9" t="str">
        <x:v>B1</x:v>
      </x:c>
      <x:c r="H1178" s="9" t="str">
        <x:v>RCN</x:v>
      </x:c>
      <x:c r="I1178" s="9" t="n">
        <x:v>5</x:v>
      </x:c>
      <x:c r="J1178" s="9" t="n">
        <x:v>4</x:v>
      </x:c>
      <x:c r="K1178" s="9" t="str">
        <x:v>HU-A-B-N3</x:v>
      </x:c>
      <x:c r="L1178" s="9" t="str">
        <x:v>ST02</x:v>
      </x:c>
      <x:c r="M1178" s="17" t="str">
        <x:v>Frozen identity</x:v>
      </x:c>
      <x:c r="N1178" s="17" t="str">
        <x:v>serial, generation, fixture, site, receiver and digest match the warrant</x:v>
      </x:c>
      <x:c r="O1178" s="17" t="str">
        <x:v>Custody authority</x:v>
      </x:c>
      <x:c r="P1178" s="9" t="n">
        <x:v>0</x:v>
      </x:c>
      <x:c r="Q1178" s="9" t="n">
        <x:v>0</x:v>
      </x:c>
      <x:c r="R1178" s="9" t="str">
        <x:v>OPEN / UNSTARTED</x:v>
      </x:c>
      <x:c r="S1178" s="9" t="n">
        <x:f>COUNTIFS($A$7:$A$1446,A1178)</x:f>
        <x:v>1</x:v>
      </x:c>
    </x:row>
    <x:row r="1179">
      <x:c r="A1179" s="9" t="str">
        <x:v>EV-AR-HU-A-B-TECH-3-B1-RCN-G0-ST03</x:v>
      </x:c>
      <x:c r="B1179" s="9" t="str">
        <x:v>EV-AR-HU-A-B-TECH-3-B1-RCN-G0</x:v>
      </x:c>
      <x:c r="C1179" s="9" t="str">
        <x:v>EOW-AR-HU-A-B-TECH-3-B1-RCN-G0</x:v>
      </x:c>
      <x:c r="D1179" s="9" t="str">
        <x:v>AR-HU-A-B-TECH-3-B1-RCN-G0</x:v>
      </x:c>
      <x:c r="E1179" s="9" t="str">
        <x:v>HU-A-B-TECH-3</x:v>
      </x:c>
      <x:c r="F1179" s="9" t="str">
        <x:v>HU-A-B</x:v>
      </x:c>
      <x:c r="G1179" s="9" t="str">
        <x:v>B1</x:v>
      </x:c>
      <x:c r="H1179" s="9" t="str">
        <x:v>RCN</x:v>
      </x:c>
      <x:c r="I1179" s="9" t="n">
        <x:v>5</x:v>
      </x:c>
      <x:c r="J1179" s="9" t="n">
        <x:v>4</x:v>
      </x:c>
      <x:c r="K1179" s="9" t="str">
        <x:v>HU-A-B-N3</x:v>
      </x:c>
      <x:c r="L1179" s="9" t="str">
        <x:v>ST03</x:v>
      </x:c>
      <x:c r="M1179" s="17" t="str">
        <x:v>Receiver receipt</x:v>
      </x:c>
      <x:c r="N1179" s="17" t="str">
        <x:v>denominator, counterfactual, rights and stop receipt remain unchanged</x:v>
      </x:c>
      <x:c r="O1179" s="17" t="str">
        <x:v>Receiver authority</x:v>
      </x:c>
      <x:c r="P1179" s="9" t="n">
        <x:v>0</x:v>
      </x:c>
      <x:c r="Q1179" s="9" t="n">
        <x:v>0</x:v>
      </x:c>
      <x:c r="R1179" s="9" t="str">
        <x:v>OPEN / UNSTARTED</x:v>
      </x:c>
      <x:c r="S1179" s="9" t="n">
        <x:f>COUNTIFS($A$7:$A$1446,A1179)</x:f>
        <x:v>1</x:v>
      </x:c>
    </x:row>
    <x:row r="1180">
      <x:c r="A1180" s="9" t="str">
        <x:v>EV-AR-HU-A-B-TECH-3-B1-RCN-G0-ST04</x:v>
      </x:c>
      <x:c r="B1180" s="9" t="str">
        <x:v>EV-AR-HU-A-B-TECH-3-B1-RCN-G0</x:v>
      </x:c>
      <x:c r="C1180" s="9" t="str">
        <x:v>EOW-AR-HU-A-B-TECH-3-B1-RCN-G0</x:v>
      </x:c>
      <x:c r="D1180" s="9" t="str">
        <x:v>AR-HU-A-B-TECH-3-B1-RCN-G0</x:v>
      </x:c>
      <x:c r="E1180" s="9" t="str">
        <x:v>HU-A-B-TECH-3</x:v>
      </x:c>
      <x:c r="F1180" s="9" t="str">
        <x:v>HU-A-B</x:v>
      </x:c>
      <x:c r="G1180" s="9" t="str">
        <x:v>B1</x:v>
      </x:c>
      <x:c r="H1180" s="9" t="str">
        <x:v>RCN</x:v>
      </x:c>
      <x:c r="I1180" s="9" t="n">
        <x:v>5</x:v>
      </x:c>
      <x:c r="J1180" s="9" t="n">
        <x:v>4</x:v>
      </x:c>
      <x:c r="K1180" s="9" t="str">
        <x:v>HU-A-B-N3</x:v>
      </x:c>
      <x:c r="L1180" s="9" t="str">
        <x:v>ST04</x:v>
      </x:c>
      <x:c r="M1180" s="17" t="str">
        <x:v>Primary capture armed</x:v>
      </x:c>
      <x:c r="N1180" s="17" t="str">
        <x:v>primary chain records sealed reference and live time</x:v>
      </x:c>
      <x:c r="O1180" s="17" t="str">
        <x:v>Primary metrology</x:v>
      </x:c>
      <x:c r="P1180" s="9" t="n">
        <x:v>0</x:v>
      </x:c>
      <x:c r="Q1180" s="9" t="n">
        <x:v>0</x:v>
      </x:c>
      <x:c r="R1180" s="9" t="str">
        <x:v>OPEN / UNSTARTED</x:v>
      </x:c>
      <x:c r="S1180" s="9" t="n">
        <x:f>COUNTIFS($A$7:$A$1446,A1180)</x:f>
        <x:v>1</x:v>
      </x:c>
    </x:row>
    <x:row r="1181">
      <x:c r="A1181" s="9" t="str">
        <x:v>EV-AR-HU-A-B-TECH-3-B1-RCN-G0-ST05</x:v>
      </x:c>
      <x:c r="B1181" s="9" t="str">
        <x:v>EV-AR-HU-A-B-TECH-3-B1-RCN-G0</x:v>
      </x:c>
      <x:c r="C1181" s="9" t="str">
        <x:v>EOW-AR-HU-A-B-TECH-3-B1-RCN-G0</x:v>
      </x:c>
      <x:c r="D1181" s="9" t="str">
        <x:v>AR-HU-A-B-TECH-3-B1-RCN-G0</x:v>
      </x:c>
      <x:c r="E1181" s="9" t="str">
        <x:v>HU-A-B-TECH-3</x:v>
      </x:c>
      <x:c r="F1181" s="9" t="str">
        <x:v>HU-A-B</x:v>
      </x:c>
      <x:c r="G1181" s="9" t="str">
        <x:v>B1</x:v>
      </x:c>
      <x:c r="H1181" s="9" t="str">
        <x:v>RCN</x:v>
      </x:c>
      <x:c r="I1181" s="9" t="n">
        <x:v>5</x:v>
      </x:c>
      <x:c r="J1181" s="9" t="n">
        <x:v>4</x:v>
      </x:c>
      <x:c r="K1181" s="9" t="str">
        <x:v>HU-A-B-N3</x:v>
      </x:c>
      <x:c r="L1181" s="9" t="str">
        <x:v>ST05</x:v>
      </x:c>
      <x:c r="M1181" s="17" t="str">
        <x:v>Witness capture armed</x:v>
      </x:c>
      <x:c r="N1181" s="17" t="str">
        <x:v>unlike witness records independent reference and live time</x:v>
      </x:c>
      <x:c r="O1181" s="17" t="str">
        <x:v>Witness metrology</x:v>
      </x:c>
      <x:c r="P1181" s="9" t="n">
        <x:v>0</x:v>
      </x:c>
      <x:c r="Q1181" s="9" t="n">
        <x:v>0</x:v>
      </x:c>
      <x:c r="R1181" s="9" t="str">
        <x:v>OPEN / UNSTARTED</x:v>
      </x:c>
      <x:c r="S1181" s="9" t="n">
        <x:f>COUNTIFS($A$7:$A$1446,A1181)</x:f>
        <x:v>1</x:v>
      </x:c>
    </x:row>
    <x:row r="1182">
      <x:c r="A1182" s="9" t="str">
        <x:v>EV-AR-HU-A-B-TECH-3-B1-RCN-G0-ST06</x:v>
      </x:c>
      <x:c r="B1182" s="9" t="str">
        <x:v>EV-AR-HU-A-B-TECH-3-B1-RCN-G0</x:v>
      </x:c>
      <x:c r="C1182" s="9" t="str">
        <x:v>EOW-AR-HU-A-B-TECH-3-B1-RCN-G0</x:v>
      </x:c>
      <x:c r="D1182" s="9" t="str">
        <x:v>AR-HU-A-B-TECH-3-B1-RCN-G0</x:v>
      </x:c>
      <x:c r="E1182" s="9" t="str">
        <x:v>HU-A-B-TECH-3</x:v>
      </x:c>
      <x:c r="F1182" s="9" t="str">
        <x:v>HU-A-B</x:v>
      </x:c>
      <x:c r="G1182" s="9" t="str">
        <x:v>B1</x:v>
      </x:c>
      <x:c r="H1182" s="9" t="str">
        <x:v>RCN</x:v>
      </x:c>
      <x:c r="I1182" s="9" t="n">
        <x:v>5</x:v>
      </x:c>
      <x:c r="J1182" s="9" t="n">
        <x:v>4</x:v>
      </x:c>
      <x:c r="K1182" s="9" t="str">
        <x:v>HU-A-B-N3</x:v>
      </x:c>
      <x:c r="L1182" s="9" t="str">
        <x:v>ST06</x:v>
      </x:c>
      <x:c r="M1182" s="17" t="str">
        <x:v>Public custody armed</x:v>
      </x:c>
      <x:c r="N1182" s="17" t="str">
        <x:v>eight raw origins have separated hash and replica routes</x:v>
      </x:c>
      <x:c r="O1182" s="17" t="str">
        <x:v>Custody authority</x:v>
      </x:c>
      <x:c r="P1182" s="9" t="n">
        <x:v>0</x:v>
      </x:c>
      <x:c r="Q1182" s="9" t="n">
        <x:v>0</x:v>
      </x:c>
      <x:c r="R1182" s="9" t="str">
        <x:v>OPEN / UNSTARTED</x:v>
      </x:c>
      <x:c r="S1182" s="9" t="n">
        <x:f>COUNTIFS($A$7:$A$1446,A1182)</x:f>
        <x:v>1</x:v>
      </x:c>
    </x:row>
    <x:row r="1183">
      <x:c r="A1183" s="9" t="str">
        <x:v>EV-AR-HU-A-B-TECH-3-B1-RCN-G0-ST07</x:v>
      </x:c>
      <x:c r="B1183" s="9" t="str">
        <x:v>EV-AR-HU-A-B-TECH-3-B1-RCN-G0</x:v>
      </x:c>
      <x:c r="C1183" s="9" t="str">
        <x:v>EOW-AR-HU-A-B-TECH-3-B1-RCN-G0</x:v>
      </x:c>
      <x:c r="D1183" s="9" t="str">
        <x:v>AR-HU-A-B-TECH-3-B1-RCN-G0</x:v>
      </x:c>
      <x:c r="E1183" s="9" t="str">
        <x:v>HU-A-B-TECH-3</x:v>
      </x:c>
      <x:c r="F1183" s="9" t="str">
        <x:v>HU-A-B</x:v>
      </x:c>
      <x:c r="G1183" s="9" t="str">
        <x:v>B1</x:v>
      </x:c>
      <x:c r="H1183" s="9" t="str">
        <x:v>RCN</x:v>
      </x:c>
      <x:c r="I1183" s="9" t="n">
        <x:v>5</x:v>
      </x:c>
      <x:c r="J1183" s="9" t="n">
        <x:v>4</x:v>
      </x:c>
      <x:c r="K1183" s="9" t="str">
        <x:v>HU-A-B-N3</x:v>
      </x:c>
      <x:c r="L1183" s="9" t="str">
        <x:v>ST07</x:v>
      </x:c>
      <x:c r="M1183" s="17" t="str">
        <x:v>Environmental baseline</x:v>
      </x:c>
      <x:c r="N1183" s="17" t="str">
        <x:v>pre-event boundary state is sealed before decisive operation</x:v>
      </x:c>
      <x:c r="O1183" s="17" t="str">
        <x:v>Site metrology</x:v>
      </x:c>
      <x:c r="P1183" s="9" t="n">
        <x:v>0</x:v>
      </x:c>
      <x:c r="Q1183" s="9" t="n">
        <x:v>0</x:v>
      </x:c>
      <x:c r="R1183" s="9" t="str">
        <x:v>OPEN / UNSTARTED</x:v>
      </x:c>
      <x:c r="S1183" s="9" t="n">
        <x:f>COUNTIFS($A$7:$A$1446,A1183)</x:f>
        <x:v>1</x:v>
      </x:c>
    </x:row>
    <x:row r="1184">
      <x:c r="A1184" s="9" t="str">
        <x:v>EV-AR-HU-A-B-TECH-3-B1-RCN-G0-ST08</x:v>
      </x:c>
      <x:c r="B1184" s="9" t="str">
        <x:v>EV-AR-HU-A-B-TECH-3-B1-RCN-G0</x:v>
      </x:c>
      <x:c r="C1184" s="9" t="str">
        <x:v>EOW-AR-HU-A-B-TECH-3-B1-RCN-G0</x:v>
      </x:c>
      <x:c r="D1184" s="9" t="str">
        <x:v>AR-HU-A-B-TECH-3-B1-RCN-G0</x:v>
      </x:c>
      <x:c r="E1184" s="9" t="str">
        <x:v>HU-A-B-TECH-3</x:v>
      </x:c>
      <x:c r="F1184" s="9" t="str">
        <x:v>HU-A-B</x:v>
      </x:c>
      <x:c r="G1184" s="9" t="str">
        <x:v>B1</x:v>
      </x:c>
      <x:c r="H1184" s="9" t="str">
        <x:v>RCN</x:v>
      </x:c>
      <x:c r="I1184" s="9" t="n">
        <x:v>5</x:v>
      </x:c>
      <x:c r="J1184" s="9" t="n">
        <x:v>4</x:v>
      </x:c>
      <x:c r="K1184" s="9" t="str">
        <x:v>HU-A-B-N3</x:v>
      </x:c>
      <x:c r="L1184" s="9" t="str">
        <x:v>ST08</x:v>
      </x:c>
      <x:c r="M1184" s="17" t="str">
        <x:v>Manual stop and safety</x:v>
      </x:c>
      <x:c r="N1184" s="17" t="str">
        <x:v>local stop, evacuation and protection routes are active</x:v>
      </x:c>
      <x:c r="O1184" s="17" t="str">
        <x:v>Safety authority</x:v>
      </x:c>
      <x:c r="P1184" s="9" t="n">
        <x:v>0</x:v>
      </x:c>
      <x:c r="Q1184" s="9" t="n">
        <x:v>0</x:v>
      </x:c>
      <x:c r="R1184" s="9" t="str">
        <x:v>OPEN / UNSTARTED</x:v>
      </x:c>
      <x:c r="S1184" s="9" t="n">
        <x:f>COUNTIFS($A$7:$A$1446,A1184)</x:f>
        <x:v>1</x:v>
      </x:c>
    </x:row>
    <x:row r="1185">
      <x:c r="A1185" s="9" t="str">
        <x:v>EV-AR-HU-A-B-TECH-3-B1-RCN-G0-ST09</x:v>
      </x:c>
      <x:c r="B1185" s="9" t="str">
        <x:v>EV-AR-HU-A-B-TECH-3-B1-RCN-G0</x:v>
      </x:c>
      <x:c r="C1185" s="9" t="str">
        <x:v>EOW-AR-HU-A-B-TECH-3-B1-RCN-G0</x:v>
      </x:c>
      <x:c r="D1185" s="9" t="str">
        <x:v>AR-HU-A-B-TECH-3-B1-RCN-G0</x:v>
      </x:c>
      <x:c r="E1185" s="9" t="str">
        <x:v>HU-A-B-TECH-3</x:v>
      </x:c>
      <x:c r="F1185" s="9" t="str">
        <x:v>HU-A-B</x:v>
      </x:c>
      <x:c r="G1185" s="9" t="str">
        <x:v>B1</x:v>
      </x:c>
      <x:c r="H1185" s="9" t="str">
        <x:v>RCN</x:v>
      </x:c>
      <x:c r="I1185" s="9" t="n">
        <x:v>5</x:v>
      </x:c>
      <x:c r="J1185" s="9" t="n">
        <x:v>4</x:v>
      </x:c>
      <x:c r="K1185" s="9" t="str">
        <x:v>HU-A-B-N3</x:v>
      </x:c>
      <x:c r="L1185" s="9" t="str">
        <x:v>ST09</x:v>
      </x:c>
      <x:c r="M1185" s="17" t="str">
        <x:v>Operator conflict clear</x:v>
      </x:c>
      <x:c r="N1185" s="17" t="str">
        <x:v>candidate, fixture, safety and measurement control edges remain separated</x:v>
      </x:c>
      <x:c r="O1185" s="17" t="str">
        <x:v>Conflict registrar</x:v>
      </x:c>
      <x:c r="P1185" s="9" t="n">
        <x:v>0</x:v>
      </x:c>
      <x:c r="Q1185" s="9" t="n">
        <x:v>0</x:v>
      </x:c>
      <x:c r="R1185" s="9" t="str">
        <x:v>OPEN / UNSTARTED</x:v>
      </x:c>
      <x:c r="S1185" s="9" t="n">
        <x:f>COUNTIFS($A$7:$A$1446,A1185)</x:f>
        <x:v>1</x:v>
      </x:c>
    </x:row>
    <x:row r="1186">
      <x:c r="A1186" s="9" t="str">
        <x:v>EV-AR-HU-A-B-TECH-3-B1-RCN-G0-ST10</x:v>
      </x:c>
      <x:c r="B1186" s="9" t="str">
        <x:v>EV-AR-HU-A-B-TECH-3-B1-RCN-G0</x:v>
      </x:c>
      <x:c r="C1186" s="9" t="str">
        <x:v>EOW-AR-HU-A-B-TECH-3-B1-RCN-G0</x:v>
      </x:c>
      <x:c r="D1186" s="9" t="str">
        <x:v>AR-HU-A-B-TECH-3-B1-RCN-G0</x:v>
      </x:c>
      <x:c r="E1186" s="9" t="str">
        <x:v>HU-A-B-TECH-3</x:v>
      </x:c>
      <x:c r="F1186" s="9" t="str">
        <x:v>HU-A-B</x:v>
      </x:c>
      <x:c r="G1186" s="9" t="str">
        <x:v>B1</x:v>
      </x:c>
      <x:c r="H1186" s="9" t="str">
        <x:v>RCN</x:v>
      </x:c>
      <x:c r="I1186" s="9" t="n">
        <x:v>5</x:v>
      </x:c>
      <x:c r="J1186" s="9" t="n">
        <x:v>4</x:v>
      </x:c>
      <x:c r="K1186" s="9" t="str">
        <x:v>HU-A-B-N3</x:v>
      </x:c>
      <x:c r="L1186" s="9" t="str">
        <x:v>ST10</x:v>
      </x:c>
      <x:c r="M1186" s="17" t="str">
        <x:v>Window and common clock</x:v>
      </x:c>
      <x:c r="N1186" s="17" t="str">
        <x:v>epoch, window and public time origin match the issued warrant</x:v>
      </x:c>
      <x:c r="O1186" s="17" t="str">
        <x:v>Event clock authority</x:v>
      </x:c>
      <x:c r="P1186" s="9" t="n">
        <x:v>0</x:v>
      </x:c>
      <x:c r="Q1186" s="9" t="n">
        <x:v>0</x:v>
      </x:c>
      <x:c r="R1186" s="9" t="str">
        <x:v>OPEN / UNSTARTED</x:v>
      </x:c>
      <x:c r="S1186" s="9" t="n">
        <x:f>COUNTIFS($A$7:$A$1446,A1186)</x:f>
        <x:v>1</x:v>
      </x:c>
    </x:row>
    <x:row r="1187">
      <x:c r="A1187" s="9" t="str">
        <x:v>EV-AR-LF-B-A-TECH-1-B2-INT-G0-ST01</x:v>
      </x:c>
      <x:c r="B1187" s="9" t="str">
        <x:v>EV-AR-LF-B-A-TECH-1-B2-INT-G0</x:v>
      </x:c>
      <x:c r="C1187" s="9" t="str">
        <x:v>EOW-AR-LF-B-A-TECH-1-B2-INT-G0</x:v>
      </x:c>
      <x:c r="D1187" s="9" t="str">
        <x:v>AR-LF-B-A-TECH-1-B2-INT-G0</x:v>
      </x:c>
      <x:c r="E1187" s="9" t="str">
        <x:v>LF-B-A-TECH-1</x:v>
      </x:c>
      <x:c r="F1187" s="9" t="str">
        <x:v>LF-B-A</x:v>
      </x:c>
      <x:c r="G1187" s="9" t="str">
        <x:v>B2</x:v>
      </x:c>
      <x:c r="H1187" s="9" t="str">
        <x:v>INT</x:v>
      </x:c>
      <x:c r="I1187" s="9" t="n">
        <x:v>5</x:v>
      </x:c>
      <x:c r="J1187" s="9" t="n">
        <x:v>4</x:v>
      </x:c>
      <x:c r="K1187" s="9" t="str">
        <x:v>LF-B-A-N2</x:v>
      </x:c>
      <x:c r="L1187" s="9" t="str">
        <x:v>ST01</x:v>
      </x:c>
      <x:c r="M1187" s="17" t="str">
        <x:v>Active opportunity warrant</x:v>
      </x:c>
      <x:c r="N1187" s="17" t="str">
        <x:v>configuration-bound EOW is within its thirty-six-hour validity</x:v>
      </x:c>
      <x:c r="O1187" s="17" t="str">
        <x:v>Start registrar</x:v>
      </x:c>
      <x:c r="P1187" s="9" t="n">
        <x:v>0</x:v>
      </x:c>
      <x:c r="Q1187" s="9" t="n">
        <x:v>0</x:v>
      </x:c>
      <x:c r="R1187" s="9" t="str">
        <x:v>OPEN / UNSTARTED</x:v>
      </x:c>
      <x:c r="S1187" s="9" t="n">
        <x:f>COUNTIFS($A$7:$A$1446,A1187)</x:f>
        <x:v>1</x:v>
      </x:c>
    </x:row>
    <x:row r="1188">
      <x:c r="A1188" s="9" t="str">
        <x:v>EV-AR-LF-B-A-TECH-1-B2-INT-G0-ST02</x:v>
      </x:c>
      <x:c r="B1188" s="9" t="str">
        <x:v>EV-AR-LF-B-A-TECH-1-B2-INT-G0</x:v>
      </x:c>
      <x:c r="C1188" s="9" t="str">
        <x:v>EOW-AR-LF-B-A-TECH-1-B2-INT-G0</x:v>
      </x:c>
      <x:c r="D1188" s="9" t="str">
        <x:v>AR-LF-B-A-TECH-1-B2-INT-G0</x:v>
      </x:c>
      <x:c r="E1188" s="9" t="str">
        <x:v>LF-B-A-TECH-1</x:v>
      </x:c>
      <x:c r="F1188" s="9" t="str">
        <x:v>LF-B-A</x:v>
      </x:c>
      <x:c r="G1188" s="9" t="str">
        <x:v>B2</x:v>
      </x:c>
      <x:c r="H1188" s="9" t="str">
        <x:v>INT</x:v>
      </x:c>
      <x:c r="I1188" s="9" t="n">
        <x:v>5</x:v>
      </x:c>
      <x:c r="J1188" s="9" t="n">
        <x:v>4</x:v>
      </x:c>
      <x:c r="K1188" s="9" t="str">
        <x:v>LF-B-A-N2</x:v>
      </x:c>
      <x:c r="L1188" s="9" t="str">
        <x:v>ST02</x:v>
      </x:c>
      <x:c r="M1188" s="17" t="str">
        <x:v>Frozen identity</x:v>
      </x:c>
      <x:c r="N1188" s="17" t="str">
        <x:v>serial, generation, fixture, site, receiver and digest match the warrant</x:v>
      </x:c>
      <x:c r="O1188" s="17" t="str">
        <x:v>Custody authority</x:v>
      </x:c>
      <x:c r="P1188" s="9" t="n">
        <x:v>0</x:v>
      </x:c>
      <x:c r="Q1188" s="9" t="n">
        <x:v>0</x:v>
      </x:c>
      <x:c r="R1188" s="9" t="str">
        <x:v>OPEN / UNSTARTED</x:v>
      </x:c>
      <x:c r="S1188" s="9" t="n">
        <x:f>COUNTIFS($A$7:$A$1446,A1188)</x:f>
        <x:v>1</x:v>
      </x:c>
    </x:row>
    <x:row r="1189">
      <x:c r="A1189" s="9" t="str">
        <x:v>EV-AR-LF-B-A-TECH-1-B2-INT-G0-ST03</x:v>
      </x:c>
      <x:c r="B1189" s="9" t="str">
        <x:v>EV-AR-LF-B-A-TECH-1-B2-INT-G0</x:v>
      </x:c>
      <x:c r="C1189" s="9" t="str">
        <x:v>EOW-AR-LF-B-A-TECH-1-B2-INT-G0</x:v>
      </x:c>
      <x:c r="D1189" s="9" t="str">
        <x:v>AR-LF-B-A-TECH-1-B2-INT-G0</x:v>
      </x:c>
      <x:c r="E1189" s="9" t="str">
        <x:v>LF-B-A-TECH-1</x:v>
      </x:c>
      <x:c r="F1189" s="9" t="str">
        <x:v>LF-B-A</x:v>
      </x:c>
      <x:c r="G1189" s="9" t="str">
        <x:v>B2</x:v>
      </x:c>
      <x:c r="H1189" s="9" t="str">
        <x:v>INT</x:v>
      </x:c>
      <x:c r="I1189" s="9" t="n">
        <x:v>5</x:v>
      </x:c>
      <x:c r="J1189" s="9" t="n">
        <x:v>4</x:v>
      </x:c>
      <x:c r="K1189" s="9" t="str">
        <x:v>LF-B-A-N2</x:v>
      </x:c>
      <x:c r="L1189" s="9" t="str">
        <x:v>ST03</x:v>
      </x:c>
      <x:c r="M1189" s="17" t="str">
        <x:v>Receiver receipt</x:v>
      </x:c>
      <x:c r="N1189" s="17" t="str">
        <x:v>denominator, counterfactual, rights and stop receipt remain unchanged</x:v>
      </x:c>
      <x:c r="O1189" s="17" t="str">
        <x:v>Receiver authority</x:v>
      </x:c>
      <x:c r="P1189" s="9" t="n">
        <x:v>0</x:v>
      </x:c>
      <x:c r="Q1189" s="9" t="n">
        <x:v>0</x:v>
      </x:c>
      <x:c r="R1189" s="9" t="str">
        <x:v>OPEN / UNSTARTED</x:v>
      </x:c>
      <x:c r="S1189" s="9" t="n">
        <x:f>COUNTIFS($A$7:$A$1446,A1189)</x:f>
        <x:v>1</x:v>
      </x:c>
    </x:row>
    <x:row r="1190">
      <x:c r="A1190" s="9" t="str">
        <x:v>EV-AR-LF-B-A-TECH-1-B2-INT-G0-ST04</x:v>
      </x:c>
      <x:c r="B1190" s="9" t="str">
        <x:v>EV-AR-LF-B-A-TECH-1-B2-INT-G0</x:v>
      </x:c>
      <x:c r="C1190" s="9" t="str">
        <x:v>EOW-AR-LF-B-A-TECH-1-B2-INT-G0</x:v>
      </x:c>
      <x:c r="D1190" s="9" t="str">
        <x:v>AR-LF-B-A-TECH-1-B2-INT-G0</x:v>
      </x:c>
      <x:c r="E1190" s="9" t="str">
        <x:v>LF-B-A-TECH-1</x:v>
      </x:c>
      <x:c r="F1190" s="9" t="str">
        <x:v>LF-B-A</x:v>
      </x:c>
      <x:c r="G1190" s="9" t="str">
        <x:v>B2</x:v>
      </x:c>
      <x:c r="H1190" s="9" t="str">
        <x:v>INT</x:v>
      </x:c>
      <x:c r="I1190" s="9" t="n">
        <x:v>5</x:v>
      </x:c>
      <x:c r="J1190" s="9" t="n">
        <x:v>4</x:v>
      </x:c>
      <x:c r="K1190" s="9" t="str">
        <x:v>LF-B-A-N2</x:v>
      </x:c>
      <x:c r="L1190" s="9" t="str">
        <x:v>ST04</x:v>
      </x:c>
      <x:c r="M1190" s="17" t="str">
        <x:v>Primary capture armed</x:v>
      </x:c>
      <x:c r="N1190" s="17" t="str">
        <x:v>primary chain records sealed reference and live time</x:v>
      </x:c>
      <x:c r="O1190" s="17" t="str">
        <x:v>Primary metrology</x:v>
      </x:c>
      <x:c r="P1190" s="9" t="n">
        <x:v>0</x:v>
      </x:c>
      <x:c r="Q1190" s="9" t="n">
        <x:v>0</x:v>
      </x:c>
      <x:c r="R1190" s="9" t="str">
        <x:v>OPEN / UNSTARTED</x:v>
      </x:c>
      <x:c r="S1190" s="9" t="n">
        <x:f>COUNTIFS($A$7:$A$1446,A1190)</x:f>
        <x:v>1</x:v>
      </x:c>
    </x:row>
    <x:row r="1191">
      <x:c r="A1191" s="9" t="str">
        <x:v>EV-AR-LF-B-A-TECH-1-B2-INT-G0-ST05</x:v>
      </x:c>
      <x:c r="B1191" s="9" t="str">
        <x:v>EV-AR-LF-B-A-TECH-1-B2-INT-G0</x:v>
      </x:c>
      <x:c r="C1191" s="9" t="str">
        <x:v>EOW-AR-LF-B-A-TECH-1-B2-INT-G0</x:v>
      </x:c>
      <x:c r="D1191" s="9" t="str">
        <x:v>AR-LF-B-A-TECH-1-B2-INT-G0</x:v>
      </x:c>
      <x:c r="E1191" s="9" t="str">
        <x:v>LF-B-A-TECH-1</x:v>
      </x:c>
      <x:c r="F1191" s="9" t="str">
        <x:v>LF-B-A</x:v>
      </x:c>
      <x:c r="G1191" s="9" t="str">
        <x:v>B2</x:v>
      </x:c>
      <x:c r="H1191" s="9" t="str">
        <x:v>INT</x:v>
      </x:c>
      <x:c r="I1191" s="9" t="n">
        <x:v>5</x:v>
      </x:c>
      <x:c r="J1191" s="9" t="n">
        <x:v>4</x:v>
      </x:c>
      <x:c r="K1191" s="9" t="str">
        <x:v>LF-B-A-N2</x:v>
      </x:c>
      <x:c r="L1191" s="9" t="str">
        <x:v>ST05</x:v>
      </x:c>
      <x:c r="M1191" s="17" t="str">
        <x:v>Witness capture armed</x:v>
      </x:c>
      <x:c r="N1191" s="17" t="str">
        <x:v>unlike witness records independent reference and live time</x:v>
      </x:c>
      <x:c r="O1191" s="17" t="str">
        <x:v>Witness metrology</x:v>
      </x:c>
      <x:c r="P1191" s="9" t="n">
        <x:v>0</x:v>
      </x:c>
      <x:c r="Q1191" s="9" t="n">
        <x:v>0</x:v>
      </x:c>
      <x:c r="R1191" s="9" t="str">
        <x:v>OPEN / UNSTARTED</x:v>
      </x:c>
      <x:c r="S1191" s="9" t="n">
        <x:f>COUNTIFS($A$7:$A$1446,A1191)</x:f>
        <x:v>1</x:v>
      </x:c>
    </x:row>
    <x:row r="1192">
      <x:c r="A1192" s="9" t="str">
        <x:v>EV-AR-LF-B-A-TECH-1-B2-INT-G0-ST06</x:v>
      </x:c>
      <x:c r="B1192" s="9" t="str">
        <x:v>EV-AR-LF-B-A-TECH-1-B2-INT-G0</x:v>
      </x:c>
      <x:c r="C1192" s="9" t="str">
        <x:v>EOW-AR-LF-B-A-TECH-1-B2-INT-G0</x:v>
      </x:c>
      <x:c r="D1192" s="9" t="str">
        <x:v>AR-LF-B-A-TECH-1-B2-INT-G0</x:v>
      </x:c>
      <x:c r="E1192" s="9" t="str">
        <x:v>LF-B-A-TECH-1</x:v>
      </x:c>
      <x:c r="F1192" s="9" t="str">
        <x:v>LF-B-A</x:v>
      </x:c>
      <x:c r="G1192" s="9" t="str">
        <x:v>B2</x:v>
      </x:c>
      <x:c r="H1192" s="9" t="str">
        <x:v>INT</x:v>
      </x:c>
      <x:c r="I1192" s="9" t="n">
        <x:v>5</x:v>
      </x:c>
      <x:c r="J1192" s="9" t="n">
        <x:v>4</x:v>
      </x:c>
      <x:c r="K1192" s="9" t="str">
        <x:v>LF-B-A-N2</x:v>
      </x:c>
      <x:c r="L1192" s="9" t="str">
        <x:v>ST06</x:v>
      </x:c>
      <x:c r="M1192" s="17" t="str">
        <x:v>Public custody armed</x:v>
      </x:c>
      <x:c r="N1192" s="17" t="str">
        <x:v>eight raw origins have separated hash and replica routes</x:v>
      </x:c>
      <x:c r="O1192" s="17" t="str">
        <x:v>Custody authority</x:v>
      </x:c>
      <x:c r="P1192" s="9" t="n">
        <x:v>0</x:v>
      </x:c>
      <x:c r="Q1192" s="9" t="n">
        <x:v>0</x:v>
      </x:c>
      <x:c r="R1192" s="9" t="str">
        <x:v>OPEN / UNSTARTED</x:v>
      </x:c>
      <x:c r="S1192" s="9" t="n">
        <x:f>COUNTIFS($A$7:$A$1446,A1192)</x:f>
        <x:v>1</x:v>
      </x:c>
    </x:row>
    <x:row r="1193">
      <x:c r="A1193" s="9" t="str">
        <x:v>EV-AR-LF-B-A-TECH-1-B2-INT-G0-ST07</x:v>
      </x:c>
      <x:c r="B1193" s="9" t="str">
        <x:v>EV-AR-LF-B-A-TECH-1-B2-INT-G0</x:v>
      </x:c>
      <x:c r="C1193" s="9" t="str">
        <x:v>EOW-AR-LF-B-A-TECH-1-B2-INT-G0</x:v>
      </x:c>
      <x:c r="D1193" s="9" t="str">
        <x:v>AR-LF-B-A-TECH-1-B2-INT-G0</x:v>
      </x:c>
      <x:c r="E1193" s="9" t="str">
        <x:v>LF-B-A-TECH-1</x:v>
      </x:c>
      <x:c r="F1193" s="9" t="str">
        <x:v>LF-B-A</x:v>
      </x:c>
      <x:c r="G1193" s="9" t="str">
        <x:v>B2</x:v>
      </x:c>
      <x:c r="H1193" s="9" t="str">
        <x:v>INT</x:v>
      </x:c>
      <x:c r="I1193" s="9" t="n">
        <x:v>5</x:v>
      </x:c>
      <x:c r="J1193" s="9" t="n">
        <x:v>4</x:v>
      </x:c>
      <x:c r="K1193" s="9" t="str">
        <x:v>LF-B-A-N2</x:v>
      </x:c>
      <x:c r="L1193" s="9" t="str">
        <x:v>ST07</x:v>
      </x:c>
      <x:c r="M1193" s="17" t="str">
        <x:v>Environmental baseline</x:v>
      </x:c>
      <x:c r="N1193" s="17" t="str">
        <x:v>pre-event boundary state is sealed before decisive operation</x:v>
      </x:c>
      <x:c r="O1193" s="17" t="str">
        <x:v>Site metrology</x:v>
      </x:c>
      <x:c r="P1193" s="9" t="n">
        <x:v>0</x:v>
      </x:c>
      <x:c r="Q1193" s="9" t="n">
        <x:v>0</x:v>
      </x:c>
      <x:c r="R1193" s="9" t="str">
        <x:v>OPEN / UNSTARTED</x:v>
      </x:c>
      <x:c r="S1193" s="9" t="n">
        <x:f>COUNTIFS($A$7:$A$1446,A1193)</x:f>
        <x:v>1</x:v>
      </x:c>
    </x:row>
    <x:row r="1194">
      <x:c r="A1194" s="9" t="str">
        <x:v>EV-AR-LF-B-A-TECH-1-B2-INT-G0-ST08</x:v>
      </x:c>
      <x:c r="B1194" s="9" t="str">
        <x:v>EV-AR-LF-B-A-TECH-1-B2-INT-G0</x:v>
      </x:c>
      <x:c r="C1194" s="9" t="str">
        <x:v>EOW-AR-LF-B-A-TECH-1-B2-INT-G0</x:v>
      </x:c>
      <x:c r="D1194" s="9" t="str">
        <x:v>AR-LF-B-A-TECH-1-B2-INT-G0</x:v>
      </x:c>
      <x:c r="E1194" s="9" t="str">
        <x:v>LF-B-A-TECH-1</x:v>
      </x:c>
      <x:c r="F1194" s="9" t="str">
        <x:v>LF-B-A</x:v>
      </x:c>
      <x:c r="G1194" s="9" t="str">
        <x:v>B2</x:v>
      </x:c>
      <x:c r="H1194" s="9" t="str">
        <x:v>INT</x:v>
      </x:c>
      <x:c r="I1194" s="9" t="n">
        <x:v>5</x:v>
      </x:c>
      <x:c r="J1194" s="9" t="n">
        <x:v>4</x:v>
      </x:c>
      <x:c r="K1194" s="9" t="str">
        <x:v>LF-B-A-N2</x:v>
      </x:c>
      <x:c r="L1194" s="9" t="str">
        <x:v>ST08</x:v>
      </x:c>
      <x:c r="M1194" s="17" t="str">
        <x:v>Manual stop and safety</x:v>
      </x:c>
      <x:c r="N1194" s="17" t="str">
        <x:v>local stop, evacuation and protection routes are active</x:v>
      </x:c>
      <x:c r="O1194" s="17" t="str">
        <x:v>Safety authority</x:v>
      </x:c>
      <x:c r="P1194" s="9" t="n">
        <x:v>0</x:v>
      </x:c>
      <x:c r="Q1194" s="9" t="n">
        <x:v>0</x:v>
      </x:c>
      <x:c r="R1194" s="9" t="str">
        <x:v>OPEN / UNSTARTED</x:v>
      </x:c>
      <x:c r="S1194" s="9" t="n">
        <x:f>COUNTIFS($A$7:$A$1446,A1194)</x:f>
        <x:v>1</x:v>
      </x:c>
    </x:row>
    <x:row r="1195">
      <x:c r="A1195" s="9" t="str">
        <x:v>EV-AR-LF-B-A-TECH-1-B2-INT-G0-ST09</x:v>
      </x:c>
      <x:c r="B1195" s="9" t="str">
        <x:v>EV-AR-LF-B-A-TECH-1-B2-INT-G0</x:v>
      </x:c>
      <x:c r="C1195" s="9" t="str">
        <x:v>EOW-AR-LF-B-A-TECH-1-B2-INT-G0</x:v>
      </x:c>
      <x:c r="D1195" s="9" t="str">
        <x:v>AR-LF-B-A-TECH-1-B2-INT-G0</x:v>
      </x:c>
      <x:c r="E1195" s="9" t="str">
        <x:v>LF-B-A-TECH-1</x:v>
      </x:c>
      <x:c r="F1195" s="9" t="str">
        <x:v>LF-B-A</x:v>
      </x:c>
      <x:c r="G1195" s="9" t="str">
        <x:v>B2</x:v>
      </x:c>
      <x:c r="H1195" s="9" t="str">
        <x:v>INT</x:v>
      </x:c>
      <x:c r="I1195" s="9" t="n">
        <x:v>5</x:v>
      </x:c>
      <x:c r="J1195" s="9" t="n">
        <x:v>4</x:v>
      </x:c>
      <x:c r="K1195" s="9" t="str">
        <x:v>LF-B-A-N2</x:v>
      </x:c>
      <x:c r="L1195" s="9" t="str">
        <x:v>ST09</x:v>
      </x:c>
      <x:c r="M1195" s="17" t="str">
        <x:v>Operator conflict clear</x:v>
      </x:c>
      <x:c r="N1195" s="17" t="str">
        <x:v>candidate, fixture, safety and measurement control edges remain separated</x:v>
      </x:c>
      <x:c r="O1195" s="17" t="str">
        <x:v>Conflict registrar</x:v>
      </x:c>
      <x:c r="P1195" s="9" t="n">
        <x:v>0</x:v>
      </x:c>
      <x:c r="Q1195" s="9" t="n">
        <x:v>0</x:v>
      </x:c>
      <x:c r="R1195" s="9" t="str">
        <x:v>OPEN / UNSTARTED</x:v>
      </x:c>
      <x:c r="S1195" s="9" t="n">
        <x:f>COUNTIFS($A$7:$A$1446,A1195)</x:f>
        <x:v>1</x:v>
      </x:c>
    </x:row>
    <x:row r="1196">
      <x:c r="A1196" s="9" t="str">
        <x:v>EV-AR-LF-B-A-TECH-1-B2-INT-G0-ST10</x:v>
      </x:c>
      <x:c r="B1196" s="9" t="str">
        <x:v>EV-AR-LF-B-A-TECH-1-B2-INT-G0</x:v>
      </x:c>
      <x:c r="C1196" s="9" t="str">
        <x:v>EOW-AR-LF-B-A-TECH-1-B2-INT-G0</x:v>
      </x:c>
      <x:c r="D1196" s="9" t="str">
        <x:v>AR-LF-B-A-TECH-1-B2-INT-G0</x:v>
      </x:c>
      <x:c r="E1196" s="9" t="str">
        <x:v>LF-B-A-TECH-1</x:v>
      </x:c>
      <x:c r="F1196" s="9" t="str">
        <x:v>LF-B-A</x:v>
      </x:c>
      <x:c r="G1196" s="9" t="str">
        <x:v>B2</x:v>
      </x:c>
      <x:c r="H1196" s="9" t="str">
        <x:v>INT</x:v>
      </x:c>
      <x:c r="I1196" s="9" t="n">
        <x:v>5</x:v>
      </x:c>
      <x:c r="J1196" s="9" t="n">
        <x:v>4</x:v>
      </x:c>
      <x:c r="K1196" s="9" t="str">
        <x:v>LF-B-A-N2</x:v>
      </x:c>
      <x:c r="L1196" s="9" t="str">
        <x:v>ST10</x:v>
      </x:c>
      <x:c r="M1196" s="17" t="str">
        <x:v>Window and common clock</x:v>
      </x:c>
      <x:c r="N1196" s="17" t="str">
        <x:v>epoch, window and public time origin match the issued warrant</x:v>
      </x:c>
      <x:c r="O1196" s="17" t="str">
        <x:v>Event clock authority</x:v>
      </x:c>
      <x:c r="P1196" s="9" t="n">
        <x:v>0</x:v>
      </x:c>
      <x:c r="Q1196" s="9" t="n">
        <x:v>0</x:v>
      </x:c>
      <x:c r="R1196" s="9" t="str">
        <x:v>OPEN / UNSTARTED</x:v>
      </x:c>
      <x:c r="S1196" s="9" t="n">
        <x:f>COUNTIFS($A$7:$A$1446,A1196)</x:f>
        <x:v>1</x:v>
      </x:c>
    </x:row>
    <x:row r="1197">
      <x:c r="A1197" s="9" t="str">
        <x:v>EV-AR-RT-B-C-TECH-1-B2-RCN-G0-ST01</x:v>
      </x:c>
      <x:c r="B1197" s="9" t="str">
        <x:v>EV-AR-RT-B-C-TECH-1-B2-RCN-G0</x:v>
      </x:c>
      <x:c r="C1197" s="9" t="str">
        <x:v>EOW-AR-RT-B-C-TECH-1-B2-RCN-G0</x:v>
      </x:c>
      <x:c r="D1197" s="9" t="str">
        <x:v>AR-RT-B-C-TECH-1-B2-RCN-G0</x:v>
      </x:c>
      <x:c r="E1197" s="9" t="str">
        <x:v>RT-B-C-TECH-1</x:v>
      </x:c>
      <x:c r="F1197" s="9" t="str">
        <x:v>RT-B-C</x:v>
      </x:c>
      <x:c r="G1197" s="9" t="str">
        <x:v>B2</x:v>
      </x:c>
      <x:c r="H1197" s="9" t="str">
        <x:v>RCN</x:v>
      </x:c>
      <x:c r="I1197" s="9" t="n">
        <x:v>5</x:v>
      </x:c>
      <x:c r="J1197" s="9" t="n">
        <x:v>4</x:v>
      </x:c>
      <x:c r="K1197" s="9" t="str">
        <x:v>RT-B-C-N2</x:v>
      </x:c>
      <x:c r="L1197" s="9" t="str">
        <x:v>ST01</x:v>
      </x:c>
      <x:c r="M1197" s="17" t="str">
        <x:v>Active opportunity warrant</x:v>
      </x:c>
      <x:c r="N1197" s="17" t="str">
        <x:v>configuration-bound EOW is within its thirty-six-hour validity</x:v>
      </x:c>
      <x:c r="O1197" s="17" t="str">
        <x:v>Start registrar</x:v>
      </x:c>
      <x:c r="P1197" s="9" t="n">
        <x:v>0</x:v>
      </x:c>
      <x:c r="Q1197" s="9" t="n">
        <x:v>0</x:v>
      </x:c>
      <x:c r="R1197" s="9" t="str">
        <x:v>OPEN / UNSTARTED</x:v>
      </x:c>
      <x:c r="S1197" s="9" t="n">
        <x:f>COUNTIFS($A$7:$A$1446,A1197)</x:f>
        <x:v>1</x:v>
      </x:c>
    </x:row>
    <x:row r="1198">
      <x:c r="A1198" s="9" t="str">
        <x:v>EV-AR-RT-B-C-TECH-1-B2-RCN-G0-ST02</x:v>
      </x:c>
      <x:c r="B1198" s="9" t="str">
        <x:v>EV-AR-RT-B-C-TECH-1-B2-RCN-G0</x:v>
      </x:c>
      <x:c r="C1198" s="9" t="str">
        <x:v>EOW-AR-RT-B-C-TECH-1-B2-RCN-G0</x:v>
      </x:c>
      <x:c r="D1198" s="9" t="str">
        <x:v>AR-RT-B-C-TECH-1-B2-RCN-G0</x:v>
      </x:c>
      <x:c r="E1198" s="9" t="str">
        <x:v>RT-B-C-TECH-1</x:v>
      </x:c>
      <x:c r="F1198" s="9" t="str">
        <x:v>RT-B-C</x:v>
      </x:c>
      <x:c r="G1198" s="9" t="str">
        <x:v>B2</x:v>
      </x:c>
      <x:c r="H1198" s="9" t="str">
        <x:v>RCN</x:v>
      </x:c>
      <x:c r="I1198" s="9" t="n">
        <x:v>5</x:v>
      </x:c>
      <x:c r="J1198" s="9" t="n">
        <x:v>4</x:v>
      </x:c>
      <x:c r="K1198" s="9" t="str">
        <x:v>RT-B-C-N2</x:v>
      </x:c>
      <x:c r="L1198" s="9" t="str">
        <x:v>ST02</x:v>
      </x:c>
      <x:c r="M1198" s="17" t="str">
        <x:v>Frozen identity</x:v>
      </x:c>
      <x:c r="N1198" s="17" t="str">
        <x:v>serial, generation, fixture, site, receiver and digest match the warrant</x:v>
      </x:c>
      <x:c r="O1198" s="17" t="str">
        <x:v>Custody authority</x:v>
      </x:c>
      <x:c r="P1198" s="9" t="n">
        <x:v>0</x:v>
      </x:c>
      <x:c r="Q1198" s="9" t="n">
        <x:v>0</x:v>
      </x:c>
      <x:c r="R1198" s="9" t="str">
        <x:v>OPEN / UNSTARTED</x:v>
      </x:c>
      <x:c r="S1198" s="9" t="n">
        <x:f>COUNTIFS($A$7:$A$1446,A1198)</x:f>
        <x:v>1</x:v>
      </x:c>
    </x:row>
    <x:row r="1199">
      <x:c r="A1199" s="9" t="str">
        <x:v>EV-AR-RT-B-C-TECH-1-B2-RCN-G0-ST03</x:v>
      </x:c>
      <x:c r="B1199" s="9" t="str">
        <x:v>EV-AR-RT-B-C-TECH-1-B2-RCN-G0</x:v>
      </x:c>
      <x:c r="C1199" s="9" t="str">
        <x:v>EOW-AR-RT-B-C-TECH-1-B2-RCN-G0</x:v>
      </x:c>
      <x:c r="D1199" s="9" t="str">
        <x:v>AR-RT-B-C-TECH-1-B2-RCN-G0</x:v>
      </x:c>
      <x:c r="E1199" s="9" t="str">
        <x:v>RT-B-C-TECH-1</x:v>
      </x:c>
      <x:c r="F1199" s="9" t="str">
        <x:v>RT-B-C</x:v>
      </x:c>
      <x:c r="G1199" s="9" t="str">
        <x:v>B2</x:v>
      </x:c>
      <x:c r="H1199" s="9" t="str">
        <x:v>RCN</x:v>
      </x:c>
      <x:c r="I1199" s="9" t="n">
        <x:v>5</x:v>
      </x:c>
      <x:c r="J1199" s="9" t="n">
        <x:v>4</x:v>
      </x:c>
      <x:c r="K1199" s="9" t="str">
        <x:v>RT-B-C-N2</x:v>
      </x:c>
      <x:c r="L1199" s="9" t="str">
        <x:v>ST03</x:v>
      </x:c>
      <x:c r="M1199" s="17" t="str">
        <x:v>Receiver receipt</x:v>
      </x:c>
      <x:c r="N1199" s="17" t="str">
        <x:v>denominator, counterfactual, rights and stop receipt remain unchanged</x:v>
      </x:c>
      <x:c r="O1199" s="17" t="str">
        <x:v>Receiver authority</x:v>
      </x:c>
      <x:c r="P1199" s="9" t="n">
        <x:v>0</x:v>
      </x:c>
      <x:c r="Q1199" s="9" t="n">
        <x:v>0</x:v>
      </x:c>
      <x:c r="R1199" s="9" t="str">
        <x:v>OPEN / UNSTARTED</x:v>
      </x:c>
      <x:c r="S1199" s="9" t="n">
        <x:f>COUNTIFS($A$7:$A$1446,A1199)</x:f>
        <x:v>1</x:v>
      </x:c>
    </x:row>
    <x:row r="1200">
      <x:c r="A1200" s="9" t="str">
        <x:v>EV-AR-RT-B-C-TECH-1-B2-RCN-G0-ST04</x:v>
      </x:c>
      <x:c r="B1200" s="9" t="str">
        <x:v>EV-AR-RT-B-C-TECH-1-B2-RCN-G0</x:v>
      </x:c>
      <x:c r="C1200" s="9" t="str">
        <x:v>EOW-AR-RT-B-C-TECH-1-B2-RCN-G0</x:v>
      </x:c>
      <x:c r="D1200" s="9" t="str">
        <x:v>AR-RT-B-C-TECH-1-B2-RCN-G0</x:v>
      </x:c>
      <x:c r="E1200" s="9" t="str">
        <x:v>RT-B-C-TECH-1</x:v>
      </x:c>
      <x:c r="F1200" s="9" t="str">
        <x:v>RT-B-C</x:v>
      </x:c>
      <x:c r="G1200" s="9" t="str">
        <x:v>B2</x:v>
      </x:c>
      <x:c r="H1200" s="9" t="str">
        <x:v>RCN</x:v>
      </x:c>
      <x:c r="I1200" s="9" t="n">
        <x:v>5</x:v>
      </x:c>
      <x:c r="J1200" s="9" t="n">
        <x:v>4</x:v>
      </x:c>
      <x:c r="K1200" s="9" t="str">
        <x:v>RT-B-C-N2</x:v>
      </x:c>
      <x:c r="L1200" s="9" t="str">
        <x:v>ST04</x:v>
      </x:c>
      <x:c r="M1200" s="17" t="str">
        <x:v>Primary capture armed</x:v>
      </x:c>
      <x:c r="N1200" s="17" t="str">
        <x:v>primary chain records sealed reference and live time</x:v>
      </x:c>
      <x:c r="O1200" s="17" t="str">
        <x:v>Primary metrology</x:v>
      </x:c>
      <x:c r="P1200" s="9" t="n">
        <x:v>0</x:v>
      </x:c>
      <x:c r="Q1200" s="9" t="n">
        <x:v>0</x:v>
      </x:c>
      <x:c r="R1200" s="9" t="str">
        <x:v>OPEN / UNSTARTED</x:v>
      </x:c>
      <x:c r="S1200" s="9" t="n">
        <x:f>COUNTIFS($A$7:$A$1446,A1200)</x:f>
        <x:v>1</x:v>
      </x:c>
    </x:row>
    <x:row r="1201">
      <x:c r="A1201" s="9" t="str">
        <x:v>EV-AR-RT-B-C-TECH-1-B2-RCN-G0-ST05</x:v>
      </x:c>
      <x:c r="B1201" s="9" t="str">
        <x:v>EV-AR-RT-B-C-TECH-1-B2-RCN-G0</x:v>
      </x:c>
      <x:c r="C1201" s="9" t="str">
        <x:v>EOW-AR-RT-B-C-TECH-1-B2-RCN-G0</x:v>
      </x:c>
      <x:c r="D1201" s="9" t="str">
        <x:v>AR-RT-B-C-TECH-1-B2-RCN-G0</x:v>
      </x:c>
      <x:c r="E1201" s="9" t="str">
        <x:v>RT-B-C-TECH-1</x:v>
      </x:c>
      <x:c r="F1201" s="9" t="str">
        <x:v>RT-B-C</x:v>
      </x:c>
      <x:c r="G1201" s="9" t="str">
        <x:v>B2</x:v>
      </x:c>
      <x:c r="H1201" s="9" t="str">
        <x:v>RCN</x:v>
      </x:c>
      <x:c r="I1201" s="9" t="n">
        <x:v>5</x:v>
      </x:c>
      <x:c r="J1201" s="9" t="n">
        <x:v>4</x:v>
      </x:c>
      <x:c r="K1201" s="9" t="str">
        <x:v>RT-B-C-N2</x:v>
      </x:c>
      <x:c r="L1201" s="9" t="str">
        <x:v>ST05</x:v>
      </x:c>
      <x:c r="M1201" s="17" t="str">
        <x:v>Witness capture armed</x:v>
      </x:c>
      <x:c r="N1201" s="17" t="str">
        <x:v>unlike witness records independent reference and live time</x:v>
      </x:c>
      <x:c r="O1201" s="17" t="str">
        <x:v>Witness metrology</x:v>
      </x:c>
      <x:c r="P1201" s="9" t="n">
        <x:v>0</x:v>
      </x:c>
      <x:c r="Q1201" s="9" t="n">
        <x:v>0</x:v>
      </x:c>
      <x:c r="R1201" s="9" t="str">
        <x:v>OPEN / UNSTARTED</x:v>
      </x:c>
      <x:c r="S1201" s="9" t="n">
        <x:f>COUNTIFS($A$7:$A$1446,A1201)</x:f>
        <x:v>1</x:v>
      </x:c>
    </x:row>
    <x:row r="1202">
      <x:c r="A1202" s="9" t="str">
        <x:v>EV-AR-RT-B-C-TECH-1-B2-RCN-G0-ST06</x:v>
      </x:c>
      <x:c r="B1202" s="9" t="str">
        <x:v>EV-AR-RT-B-C-TECH-1-B2-RCN-G0</x:v>
      </x:c>
      <x:c r="C1202" s="9" t="str">
        <x:v>EOW-AR-RT-B-C-TECH-1-B2-RCN-G0</x:v>
      </x:c>
      <x:c r="D1202" s="9" t="str">
        <x:v>AR-RT-B-C-TECH-1-B2-RCN-G0</x:v>
      </x:c>
      <x:c r="E1202" s="9" t="str">
        <x:v>RT-B-C-TECH-1</x:v>
      </x:c>
      <x:c r="F1202" s="9" t="str">
        <x:v>RT-B-C</x:v>
      </x:c>
      <x:c r="G1202" s="9" t="str">
        <x:v>B2</x:v>
      </x:c>
      <x:c r="H1202" s="9" t="str">
        <x:v>RCN</x:v>
      </x:c>
      <x:c r="I1202" s="9" t="n">
        <x:v>5</x:v>
      </x:c>
      <x:c r="J1202" s="9" t="n">
        <x:v>4</x:v>
      </x:c>
      <x:c r="K1202" s="9" t="str">
        <x:v>RT-B-C-N2</x:v>
      </x:c>
      <x:c r="L1202" s="9" t="str">
        <x:v>ST06</x:v>
      </x:c>
      <x:c r="M1202" s="17" t="str">
        <x:v>Public custody armed</x:v>
      </x:c>
      <x:c r="N1202" s="17" t="str">
        <x:v>eight raw origins have separated hash and replica routes</x:v>
      </x:c>
      <x:c r="O1202" s="17" t="str">
        <x:v>Custody authority</x:v>
      </x:c>
      <x:c r="P1202" s="9" t="n">
        <x:v>0</x:v>
      </x:c>
      <x:c r="Q1202" s="9" t="n">
        <x:v>0</x:v>
      </x:c>
      <x:c r="R1202" s="9" t="str">
        <x:v>OPEN / UNSTARTED</x:v>
      </x:c>
      <x:c r="S1202" s="9" t="n">
        <x:f>COUNTIFS($A$7:$A$1446,A1202)</x:f>
        <x:v>1</x:v>
      </x:c>
    </x:row>
    <x:row r="1203">
      <x:c r="A1203" s="9" t="str">
        <x:v>EV-AR-RT-B-C-TECH-1-B2-RCN-G0-ST07</x:v>
      </x:c>
      <x:c r="B1203" s="9" t="str">
        <x:v>EV-AR-RT-B-C-TECH-1-B2-RCN-G0</x:v>
      </x:c>
      <x:c r="C1203" s="9" t="str">
        <x:v>EOW-AR-RT-B-C-TECH-1-B2-RCN-G0</x:v>
      </x:c>
      <x:c r="D1203" s="9" t="str">
        <x:v>AR-RT-B-C-TECH-1-B2-RCN-G0</x:v>
      </x:c>
      <x:c r="E1203" s="9" t="str">
        <x:v>RT-B-C-TECH-1</x:v>
      </x:c>
      <x:c r="F1203" s="9" t="str">
        <x:v>RT-B-C</x:v>
      </x:c>
      <x:c r="G1203" s="9" t="str">
        <x:v>B2</x:v>
      </x:c>
      <x:c r="H1203" s="9" t="str">
        <x:v>RCN</x:v>
      </x:c>
      <x:c r="I1203" s="9" t="n">
        <x:v>5</x:v>
      </x:c>
      <x:c r="J1203" s="9" t="n">
        <x:v>4</x:v>
      </x:c>
      <x:c r="K1203" s="9" t="str">
        <x:v>RT-B-C-N2</x:v>
      </x:c>
      <x:c r="L1203" s="9" t="str">
        <x:v>ST07</x:v>
      </x:c>
      <x:c r="M1203" s="17" t="str">
        <x:v>Environmental baseline</x:v>
      </x:c>
      <x:c r="N1203" s="17" t="str">
        <x:v>pre-event boundary state is sealed before decisive operation</x:v>
      </x:c>
      <x:c r="O1203" s="17" t="str">
        <x:v>Site metrology</x:v>
      </x:c>
      <x:c r="P1203" s="9" t="n">
        <x:v>0</x:v>
      </x:c>
      <x:c r="Q1203" s="9" t="n">
        <x:v>0</x:v>
      </x:c>
      <x:c r="R1203" s="9" t="str">
        <x:v>OPEN / UNSTARTED</x:v>
      </x:c>
      <x:c r="S1203" s="9" t="n">
        <x:f>COUNTIFS($A$7:$A$1446,A1203)</x:f>
        <x:v>1</x:v>
      </x:c>
    </x:row>
    <x:row r="1204">
      <x:c r="A1204" s="9" t="str">
        <x:v>EV-AR-RT-B-C-TECH-1-B2-RCN-G0-ST08</x:v>
      </x:c>
      <x:c r="B1204" s="9" t="str">
        <x:v>EV-AR-RT-B-C-TECH-1-B2-RCN-G0</x:v>
      </x:c>
      <x:c r="C1204" s="9" t="str">
        <x:v>EOW-AR-RT-B-C-TECH-1-B2-RCN-G0</x:v>
      </x:c>
      <x:c r="D1204" s="9" t="str">
        <x:v>AR-RT-B-C-TECH-1-B2-RCN-G0</x:v>
      </x:c>
      <x:c r="E1204" s="9" t="str">
        <x:v>RT-B-C-TECH-1</x:v>
      </x:c>
      <x:c r="F1204" s="9" t="str">
        <x:v>RT-B-C</x:v>
      </x:c>
      <x:c r="G1204" s="9" t="str">
        <x:v>B2</x:v>
      </x:c>
      <x:c r="H1204" s="9" t="str">
        <x:v>RCN</x:v>
      </x:c>
      <x:c r="I1204" s="9" t="n">
        <x:v>5</x:v>
      </x:c>
      <x:c r="J1204" s="9" t="n">
        <x:v>4</x:v>
      </x:c>
      <x:c r="K1204" s="9" t="str">
        <x:v>RT-B-C-N2</x:v>
      </x:c>
      <x:c r="L1204" s="9" t="str">
        <x:v>ST08</x:v>
      </x:c>
      <x:c r="M1204" s="17" t="str">
        <x:v>Manual stop and safety</x:v>
      </x:c>
      <x:c r="N1204" s="17" t="str">
        <x:v>local stop, evacuation and protection routes are active</x:v>
      </x:c>
      <x:c r="O1204" s="17" t="str">
        <x:v>Safety authority</x:v>
      </x:c>
      <x:c r="P1204" s="9" t="n">
        <x:v>0</x:v>
      </x:c>
      <x:c r="Q1204" s="9" t="n">
        <x:v>0</x:v>
      </x:c>
      <x:c r="R1204" s="9" t="str">
        <x:v>OPEN / UNSTARTED</x:v>
      </x:c>
      <x:c r="S1204" s="9" t="n">
        <x:f>COUNTIFS($A$7:$A$1446,A1204)</x:f>
        <x:v>1</x:v>
      </x:c>
    </x:row>
    <x:row r="1205">
      <x:c r="A1205" s="9" t="str">
        <x:v>EV-AR-RT-B-C-TECH-1-B2-RCN-G0-ST09</x:v>
      </x:c>
      <x:c r="B1205" s="9" t="str">
        <x:v>EV-AR-RT-B-C-TECH-1-B2-RCN-G0</x:v>
      </x:c>
      <x:c r="C1205" s="9" t="str">
        <x:v>EOW-AR-RT-B-C-TECH-1-B2-RCN-G0</x:v>
      </x:c>
      <x:c r="D1205" s="9" t="str">
        <x:v>AR-RT-B-C-TECH-1-B2-RCN-G0</x:v>
      </x:c>
      <x:c r="E1205" s="9" t="str">
        <x:v>RT-B-C-TECH-1</x:v>
      </x:c>
      <x:c r="F1205" s="9" t="str">
        <x:v>RT-B-C</x:v>
      </x:c>
      <x:c r="G1205" s="9" t="str">
        <x:v>B2</x:v>
      </x:c>
      <x:c r="H1205" s="9" t="str">
        <x:v>RCN</x:v>
      </x:c>
      <x:c r="I1205" s="9" t="n">
        <x:v>5</x:v>
      </x:c>
      <x:c r="J1205" s="9" t="n">
        <x:v>4</x:v>
      </x:c>
      <x:c r="K1205" s="9" t="str">
        <x:v>RT-B-C-N2</x:v>
      </x:c>
      <x:c r="L1205" s="9" t="str">
        <x:v>ST09</x:v>
      </x:c>
      <x:c r="M1205" s="17" t="str">
        <x:v>Operator conflict clear</x:v>
      </x:c>
      <x:c r="N1205" s="17" t="str">
        <x:v>candidate, fixture, safety and measurement control edges remain separated</x:v>
      </x:c>
      <x:c r="O1205" s="17" t="str">
        <x:v>Conflict registrar</x:v>
      </x:c>
      <x:c r="P1205" s="9" t="n">
        <x:v>0</x:v>
      </x:c>
      <x:c r="Q1205" s="9" t="n">
        <x:v>0</x:v>
      </x:c>
      <x:c r="R1205" s="9" t="str">
        <x:v>OPEN / UNSTARTED</x:v>
      </x:c>
      <x:c r="S1205" s="9" t="n">
        <x:f>COUNTIFS($A$7:$A$1446,A1205)</x:f>
        <x:v>1</x:v>
      </x:c>
    </x:row>
    <x:row r="1206">
      <x:c r="A1206" s="9" t="str">
        <x:v>EV-AR-RT-B-C-TECH-1-B2-RCN-G0-ST10</x:v>
      </x:c>
      <x:c r="B1206" s="9" t="str">
        <x:v>EV-AR-RT-B-C-TECH-1-B2-RCN-G0</x:v>
      </x:c>
      <x:c r="C1206" s="9" t="str">
        <x:v>EOW-AR-RT-B-C-TECH-1-B2-RCN-G0</x:v>
      </x:c>
      <x:c r="D1206" s="9" t="str">
        <x:v>AR-RT-B-C-TECH-1-B2-RCN-G0</x:v>
      </x:c>
      <x:c r="E1206" s="9" t="str">
        <x:v>RT-B-C-TECH-1</x:v>
      </x:c>
      <x:c r="F1206" s="9" t="str">
        <x:v>RT-B-C</x:v>
      </x:c>
      <x:c r="G1206" s="9" t="str">
        <x:v>B2</x:v>
      </x:c>
      <x:c r="H1206" s="9" t="str">
        <x:v>RCN</x:v>
      </x:c>
      <x:c r="I1206" s="9" t="n">
        <x:v>5</x:v>
      </x:c>
      <x:c r="J1206" s="9" t="n">
        <x:v>4</x:v>
      </x:c>
      <x:c r="K1206" s="9" t="str">
        <x:v>RT-B-C-N2</x:v>
      </x:c>
      <x:c r="L1206" s="9" t="str">
        <x:v>ST10</x:v>
      </x:c>
      <x:c r="M1206" s="17" t="str">
        <x:v>Window and common clock</x:v>
      </x:c>
      <x:c r="N1206" s="17" t="str">
        <x:v>epoch, window and public time origin match the issued warrant</x:v>
      </x:c>
      <x:c r="O1206" s="17" t="str">
        <x:v>Event clock authority</x:v>
      </x:c>
      <x:c r="P1206" s="9" t="n">
        <x:v>0</x:v>
      </x:c>
      <x:c r="Q1206" s="9" t="n">
        <x:v>0</x:v>
      </x:c>
      <x:c r="R1206" s="9" t="str">
        <x:v>OPEN / UNSTARTED</x:v>
      </x:c>
      <x:c r="S1206" s="9" t="n">
        <x:f>COUNTIFS($A$7:$A$1446,A1206)</x:f>
        <x:v>1</x:v>
      </x:c>
    </x:row>
    <x:row r="1207">
      <x:c r="A1207" s="9" t="str">
        <x:v>EV-AR-CT-C-B-TECH-1-B1-RCN-G0-ST01</x:v>
      </x:c>
      <x:c r="B1207" s="9" t="str">
        <x:v>EV-AR-CT-C-B-TECH-1-B1-RCN-G0</x:v>
      </x:c>
      <x:c r="C1207" s="9" t="str">
        <x:v>EOW-AR-CT-C-B-TECH-1-B1-RCN-G0</x:v>
      </x:c>
      <x:c r="D1207" s="9" t="str">
        <x:v>AR-CT-C-B-TECH-1-B1-RCN-G0</x:v>
      </x:c>
      <x:c r="E1207" s="9" t="str">
        <x:v>CT-C-B-TECH-1</x:v>
      </x:c>
      <x:c r="F1207" s="9" t="str">
        <x:v>CT-C-B</x:v>
      </x:c>
      <x:c r="G1207" s="9" t="str">
        <x:v>B1</x:v>
      </x:c>
      <x:c r="H1207" s="9" t="str">
        <x:v>RCN</x:v>
      </x:c>
      <x:c r="I1207" s="9" t="n">
        <x:v>6</x:v>
      </x:c>
      <x:c r="J1207" s="9" t="n">
        <x:v>1</x:v>
      </x:c>
      <x:c r="K1207" s="9" t="str">
        <x:v>CT-C-B-N1</x:v>
      </x:c>
      <x:c r="L1207" s="9" t="str">
        <x:v>ST01</x:v>
      </x:c>
      <x:c r="M1207" s="17" t="str">
        <x:v>Active opportunity warrant</x:v>
      </x:c>
      <x:c r="N1207" s="17" t="str">
        <x:v>configuration-bound EOW is within its thirty-six-hour validity</x:v>
      </x:c>
      <x:c r="O1207" s="17" t="str">
        <x:v>Start registrar</x:v>
      </x:c>
      <x:c r="P1207" s="9" t="n">
        <x:v>0</x:v>
      </x:c>
      <x:c r="Q1207" s="9" t="n">
        <x:v>0</x:v>
      </x:c>
      <x:c r="R1207" s="9" t="str">
        <x:v>OPEN / UNSTARTED</x:v>
      </x:c>
      <x:c r="S1207" s="9" t="n">
        <x:f>COUNTIFS($A$7:$A$1446,A1207)</x:f>
        <x:v>1</x:v>
      </x:c>
    </x:row>
    <x:row r="1208">
      <x:c r="A1208" s="9" t="str">
        <x:v>EV-AR-CT-C-B-TECH-1-B1-RCN-G0-ST02</x:v>
      </x:c>
      <x:c r="B1208" s="9" t="str">
        <x:v>EV-AR-CT-C-B-TECH-1-B1-RCN-G0</x:v>
      </x:c>
      <x:c r="C1208" s="9" t="str">
        <x:v>EOW-AR-CT-C-B-TECH-1-B1-RCN-G0</x:v>
      </x:c>
      <x:c r="D1208" s="9" t="str">
        <x:v>AR-CT-C-B-TECH-1-B1-RCN-G0</x:v>
      </x:c>
      <x:c r="E1208" s="9" t="str">
        <x:v>CT-C-B-TECH-1</x:v>
      </x:c>
      <x:c r="F1208" s="9" t="str">
        <x:v>CT-C-B</x:v>
      </x:c>
      <x:c r="G1208" s="9" t="str">
        <x:v>B1</x:v>
      </x:c>
      <x:c r="H1208" s="9" t="str">
        <x:v>RCN</x:v>
      </x:c>
      <x:c r="I1208" s="9" t="n">
        <x:v>6</x:v>
      </x:c>
      <x:c r="J1208" s="9" t="n">
        <x:v>1</x:v>
      </x:c>
      <x:c r="K1208" s="9" t="str">
        <x:v>CT-C-B-N1</x:v>
      </x:c>
      <x:c r="L1208" s="9" t="str">
        <x:v>ST02</x:v>
      </x:c>
      <x:c r="M1208" s="17" t="str">
        <x:v>Frozen identity</x:v>
      </x:c>
      <x:c r="N1208" s="17" t="str">
        <x:v>serial, generation, fixture, site, receiver and digest match the warrant</x:v>
      </x:c>
      <x:c r="O1208" s="17" t="str">
        <x:v>Custody authority</x:v>
      </x:c>
      <x:c r="P1208" s="9" t="n">
        <x:v>0</x:v>
      </x:c>
      <x:c r="Q1208" s="9" t="n">
        <x:v>0</x:v>
      </x:c>
      <x:c r="R1208" s="9" t="str">
        <x:v>OPEN / UNSTARTED</x:v>
      </x:c>
      <x:c r="S1208" s="9" t="n">
        <x:f>COUNTIFS($A$7:$A$1446,A1208)</x:f>
        <x:v>1</x:v>
      </x:c>
    </x:row>
    <x:row r="1209">
      <x:c r="A1209" s="9" t="str">
        <x:v>EV-AR-CT-C-B-TECH-1-B1-RCN-G0-ST03</x:v>
      </x:c>
      <x:c r="B1209" s="9" t="str">
        <x:v>EV-AR-CT-C-B-TECH-1-B1-RCN-G0</x:v>
      </x:c>
      <x:c r="C1209" s="9" t="str">
        <x:v>EOW-AR-CT-C-B-TECH-1-B1-RCN-G0</x:v>
      </x:c>
      <x:c r="D1209" s="9" t="str">
        <x:v>AR-CT-C-B-TECH-1-B1-RCN-G0</x:v>
      </x:c>
      <x:c r="E1209" s="9" t="str">
        <x:v>CT-C-B-TECH-1</x:v>
      </x:c>
      <x:c r="F1209" s="9" t="str">
        <x:v>CT-C-B</x:v>
      </x:c>
      <x:c r="G1209" s="9" t="str">
        <x:v>B1</x:v>
      </x:c>
      <x:c r="H1209" s="9" t="str">
        <x:v>RCN</x:v>
      </x:c>
      <x:c r="I1209" s="9" t="n">
        <x:v>6</x:v>
      </x:c>
      <x:c r="J1209" s="9" t="n">
        <x:v>1</x:v>
      </x:c>
      <x:c r="K1209" s="9" t="str">
        <x:v>CT-C-B-N1</x:v>
      </x:c>
      <x:c r="L1209" s="9" t="str">
        <x:v>ST03</x:v>
      </x:c>
      <x:c r="M1209" s="17" t="str">
        <x:v>Receiver receipt</x:v>
      </x:c>
      <x:c r="N1209" s="17" t="str">
        <x:v>denominator, counterfactual, rights and stop receipt remain unchanged</x:v>
      </x:c>
      <x:c r="O1209" s="17" t="str">
        <x:v>Receiver authority</x:v>
      </x:c>
      <x:c r="P1209" s="9" t="n">
        <x:v>0</x:v>
      </x:c>
      <x:c r="Q1209" s="9" t="n">
        <x:v>0</x:v>
      </x:c>
      <x:c r="R1209" s="9" t="str">
        <x:v>OPEN / UNSTARTED</x:v>
      </x:c>
      <x:c r="S1209" s="9" t="n">
        <x:f>COUNTIFS($A$7:$A$1446,A1209)</x:f>
        <x:v>1</x:v>
      </x:c>
    </x:row>
    <x:row r="1210">
      <x:c r="A1210" s="9" t="str">
        <x:v>EV-AR-CT-C-B-TECH-1-B1-RCN-G0-ST04</x:v>
      </x:c>
      <x:c r="B1210" s="9" t="str">
        <x:v>EV-AR-CT-C-B-TECH-1-B1-RCN-G0</x:v>
      </x:c>
      <x:c r="C1210" s="9" t="str">
        <x:v>EOW-AR-CT-C-B-TECH-1-B1-RCN-G0</x:v>
      </x:c>
      <x:c r="D1210" s="9" t="str">
        <x:v>AR-CT-C-B-TECH-1-B1-RCN-G0</x:v>
      </x:c>
      <x:c r="E1210" s="9" t="str">
        <x:v>CT-C-B-TECH-1</x:v>
      </x:c>
      <x:c r="F1210" s="9" t="str">
        <x:v>CT-C-B</x:v>
      </x:c>
      <x:c r="G1210" s="9" t="str">
        <x:v>B1</x:v>
      </x:c>
      <x:c r="H1210" s="9" t="str">
        <x:v>RCN</x:v>
      </x:c>
      <x:c r="I1210" s="9" t="n">
        <x:v>6</x:v>
      </x:c>
      <x:c r="J1210" s="9" t="n">
        <x:v>1</x:v>
      </x:c>
      <x:c r="K1210" s="9" t="str">
        <x:v>CT-C-B-N1</x:v>
      </x:c>
      <x:c r="L1210" s="9" t="str">
        <x:v>ST04</x:v>
      </x:c>
      <x:c r="M1210" s="17" t="str">
        <x:v>Primary capture armed</x:v>
      </x:c>
      <x:c r="N1210" s="17" t="str">
        <x:v>primary chain records sealed reference and live time</x:v>
      </x:c>
      <x:c r="O1210" s="17" t="str">
        <x:v>Primary metrology</x:v>
      </x:c>
      <x:c r="P1210" s="9" t="n">
        <x:v>0</x:v>
      </x:c>
      <x:c r="Q1210" s="9" t="n">
        <x:v>0</x:v>
      </x:c>
      <x:c r="R1210" s="9" t="str">
        <x:v>OPEN / UNSTARTED</x:v>
      </x:c>
      <x:c r="S1210" s="9" t="n">
        <x:f>COUNTIFS($A$7:$A$1446,A1210)</x:f>
        <x:v>1</x:v>
      </x:c>
    </x:row>
    <x:row r="1211">
      <x:c r="A1211" s="9" t="str">
        <x:v>EV-AR-CT-C-B-TECH-1-B1-RCN-G0-ST05</x:v>
      </x:c>
      <x:c r="B1211" s="9" t="str">
        <x:v>EV-AR-CT-C-B-TECH-1-B1-RCN-G0</x:v>
      </x:c>
      <x:c r="C1211" s="9" t="str">
        <x:v>EOW-AR-CT-C-B-TECH-1-B1-RCN-G0</x:v>
      </x:c>
      <x:c r="D1211" s="9" t="str">
        <x:v>AR-CT-C-B-TECH-1-B1-RCN-G0</x:v>
      </x:c>
      <x:c r="E1211" s="9" t="str">
        <x:v>CT-C-B-TECH-1</x:v>
      </x:c>
      <x:c r="F1211" s="9" t="str">
        <x:v>CT-C-B</x:v>
      </x:c>
      <x:c r="G1211" s="9" t="str">
        <x:v>B1</x:v>
      </x:c>
      <x:c r="H1211" s="9" t="str">
        <x:v>RCN</x:v>
      </x:c>
      <x:c r="I1211" s="9" t="n">
        <x:v>6</x:v>
      </x:c>
      <x:c r="J1211" s="9" t="n">
        <x:v>1</x:v>
      </x:c>
      <x:c r="K1211" s="9" t="str">
        <x:v>CT-C-B-N1</x:v>
      </x:c>
      <x:c r="L1211" s="9" t="str">
        <x:v>ST05</x:v>
      </x:c>
      <x:c r="M1211" s="17" t="str">
        <x:v>Witness capture armed</x:v>
      </x:c>
      <x:c r="N1211" s="17" t="str">
        <x:v>unlike witness records independent reference and live time</x:v>
      </x:c>
      <x:c r="O1211" s="17" t="str">
        <x:v>Witness metrology</x:v>
      </x:c>
      <x:c r="P1211" s="9" t="n">
        <x:v>0</x:v>
      </x:c>
      <x:c r="Q1211" s="9" t="n">
        <x:v>0</x:v>
      </x:c>
      <x:c r="R1211" s="9" t="str">
        <x:v>OPEN / UNSTARTED</x:v>
      </x:c>
      <x:c r="S1211" s="9" t="n">
        <x:f>COUNTIFS($A$7:$A$1446,A1211)</x:f>
        <x:v>1</x:v>
      </x:c>
    </x:row>
    <x:row r="1212">
      <x:c r="A1212" s="9" t="str">
        <x:v>EV-AR-CT-C-B-TECH-1-B1-RCN-G0-ST06</x:v>
      </x:c>
      <x:c r="B1212" s="9" t="str">
        <x:v>EV-AR-CT-C-B-TECH-1-B1-RCN-G0</x:v>
      </x:c>
      <x:c r="C1212" s="9" t="str">
        <x:v>EOW-AR-CT-C-B-TECH-1-B1-RCN-G0</x:v>
      </x:c>
      <x:c r="D1212" s="9" t="str">
        <x:v>AR-CT-C-B-TECH-1-B1-RCN-G0</x:v>
      </x:c>
      <x:c r="E1212" s="9" t="str">
        <x:v>CT-C-B-TECH-1</x:v>
      </x:c>
      <x:c r="F1212" s="9" t="str">
        <x:v>CT-C-B</x:v>
      </x:c>
      <x:c r="G1212" s="9" t="str">
        <x:v>B1</x:v>
      </x:c>
      <x:c r="H1212" s="9" t="str">
        <x:v>RCN</x:v>
      </x:c>
      <x:c r="I1212" s="9" t="n">
        <x:v>6</x:v>
      </x:c>
      <x:c r="J1212" s="9" t="n">
        <x:v>1</x:v>
      </x:c>
      <x:c r="K1212" s="9" t="str">
        <x:v>CT-C-B-N1</x:v>
      </x:c>
      <x:c r="L1212" s="9" t="str">
        <x:v>ST06</x:v>
      </x:c>
      <x:c r="M1212" s="17" t="str">
        <x:v>Public custody armed</x:v>
      </x:c>
      <x:c r="N1212" s="17" t="str">
        <x:v>eight raw origins have separated hash and replica routes</x:v>
      </x:c>
      <x:c r="O1212" s="17" t="str">
        <x:v>Custody authority</x:v>
      </x:c>
      <x:c r="P1212" s="9" t="n">
        <x:v>0</x:v>
      </x:c>
      <x:c r="Q1212" s="9" t="n">
        <x:v>0</x:v>
      </x:c>
      <x:c r="R1212" s="9" t="str">
        <x:v>OPEN / UNSTARTED</x:v>
      </x:c>
      <x:c r="S1212" s="9" t="n">
        <x:f>COUNTIFS($A$7:$A$1446,A1212)</x:f>
        <x:v>1</x:v>
      </x:c>
    </x:row>
    <x:row r="1213">
      <x:c r="A1213" s="9" t="str">
        <x:v>EV-AR-CT-C-B-TECH-1-B1-RCN-G0-ST07</x:v>
      </x:c>
      <x:c r="B1213" s="9" t="str">
        <x:v>EV-AR-CT-C-B-TECH-1-B1-RCN-G0</x:v>
      </x:c>
      <x:c r="C1213" s="9" t="str">
        <x:v>EOW-AR-CT-C-B-TECH-1-B1-RCN-G0</x:v>
      </x:c>
      <x:c r="D1213" s="9" t="str">
        <x:v>AR-CT-C-B-TECH-1-B1-RCN-G0</x:v>
      </x:c>
      <x:c r="E1213" s="9" t="str">
        <x:v>CT-C-B-TECH-1</x:v>
      </x:c>
      <x:c r="F1213" s="9" t="str">
        <x:v>CT-C-B</x:v>
      </x:c>
      <x:c r="G1213" s="9" t="str">
        <x:v>B1</x:v>
      </x:c>
      <x:c r="H1213" s="9" t="str">
        <x:v>RCN</x:v>
      </x:c>
      <x:c r="I1213" s="9" t="n">
        <x:v>6</x:v>
      </x:c>
      <x:c r="J1213" s="9" t="n">
        <x:v>1</x:v>
      </x:c>
      <x:c r="K1213" s="9" t="str">
        <x:v>CT-C-B-N1</x:v>
      </x:c>
      <x:c r="L1213" s="9" t="str">
        <x:v>ST07</x:v>
      </x:c>
      <x:c r="M1213" s="17" t="str">
        <x:v>Environmental baseline</x:v>
      </x:c>
      <x:c r="N1213" s="17" t="str">
        <x:v>pre-event boundary state is sealed before decisive operation</x:v>
      </x:c>
      <x:c r="O1213" s="17" t="str">
        <x:v>Site metrology</x:v>
      </x:c>
      <x:c r="P1213" s="9" t="n">
        <x:v>0</x:v>
      </x:c>
      <x:c r="Q1213" s="9" t="n">
        <x:v>0</x:v>
      </x:c>
      <x:c r="R1213" s="9" t="str">
        <x:v>OPEN / UNSTARTED</x:v>
      </x:c>
      <x:c r="S1213" s="9" t="n">
        <x:f>COUNTIFS($A$7:$A$1446,A1213)</x:f>
        <x:v>1</x:v>
      </x:c>
    </x:row>
    <x:row r="1214">
      <x:c r="A1214" s="9" t="str">
        <x:v>EV-AR-CT-C-B-TECH-1-B1-RCN-G0-ST08</x:v>
      </x:c>
      <x:c r="B1214" s="9" t="str">
        <x:v>EV-AR-CT-C-B-TECH-1-B1-RCN-G0</x:v>
      </x:c>
      <x:c r="C1214" s="9" t="str">
        <x:v>EOW-AR-CT-C-B-TECH-1-B1-RCN-G0</x:v>
      </x:c>
      <x:c r="D1214" s="9" t="str">
        <x:v>AR-CT-C-B-TECH-1-B1-RCN-G0</x:v>
      </x:c>
      <x:c r="E1214" s="9" t="str">
        <x:v>CT-C-B-TECH-1</x:v>
      </x:c>
      <x:c r="F1214" s="9" t="str">
        <x:v>CT-C-B</x:v>
      </x:c>
      <x:c r="G1214" s="9" t="str">
        <x:v>B1</x:v>
      </x:c>
      <x:c r="H1214" s="9" t="str">
        <x:v>RCN</x:v>
      </x:c>
      <x:c r="I1214" s="9" t="n">
        <x:v>6</x:v>
      </x:c>
      <x:c r="J1214" s="9" t="n">
        <x:v>1</x:v>
      </x:c>
      <x:c r="K1214" s="9" t="str">
        <x:v>CT-C-B-N1</x:v>
      </x:c>
      <x:c r="L1214" s="9" t="str">
        <x:v>ST08</x:v>
      </x:c>
      <x:c r="M1214" s="17" t="str">
        <x:v>Manual stop and safety</x:v>
      </x:c>
      <x:c r="N1214" s="17" t="str">
        <x:v>local stop, evacuation and protection routes are active</x:v>
      </x:c>
      <x:c r="O1214" s="17" t="str">
        <x:v>Safety authority</x:v>
      </x:c>
      <x:c r="P1214" s="9" t="n">
        <x:v>0</x:v>
      </x:c>
      <x:c r="Q1214" s="9" t="n">
        <x:v>0</x:v>
      </x:c>
      <x:c r="R1214" s="9" t="str">
        <x:v>OPEN / UNSTARTED</x:v>
      </x:c>
      <x:c r="S1214" s="9" t="n">
        <x:f>COUNTIFS($A$7:$A$1446,A1214)</x:f>
        <x:v>1</x:v>
      </x:c>
    </x:row>
    <x:row r="1215">
      <x:c r="A1215" s="9" t="str">
        <x:v>EV-AR-CT-C-B-TECH-1-B1-RCN-G0-ST09</x:v>
      </x:c>
      <x:c r="B1215" s="9" t="str">
        <x:v>EV-AR-CT-C-B-TECH-1-B1-RCN-G0</x:v>
      </x:c>
      <x:c r="C1215" s="9" t="str">
        <x:v>EOW-AR-CT-C-B-TECH-1-B1-RCN-G0</x:v>
      </x:c>
      <x:c r="D1215" s="9" t="str">
        <x:v>AR-CT-C-B-TECH-1-B1-RCN-G0</x:v>
      </x:c>
      <x:c r="E1215" s="9" t="str">
        <x:v>CT-C-B-TECH-1</x:v>
      </x:c>
      <x:c r="F1215" s="9" t="str">
        <x:v>CT-C-B</x:v>
      </x:c>
      <x:c r="G1215" s="9" t="str">
        <x:v>B1</x:v>
      </x:c>
      <x:c r="H1215" s="9" t="str">
        <x:v>RCN</x:v>
      </x:c>
      <x:c r="I1215" s="9" t="n">
        <x:v>6</x:v>
      </x:c>
      <x:c r="J1215" s="9" t="n">
        <x:v>1</x:v>
      </x:c>
      <x:c r="K1215" s="9" t="str">
        <x:v>CT-C-B-N1</x:v>
      </x:c>
      <x:c r="L1215" s="9" t="str">
        <x:v>ST09</x:v>
      </x:c>
      <x:c r="M1215" s="17" t="str">
        <x:v>Operator conflict clear</x:v>
      </x:c>
      <x:c r="N1215" s="17" t="str">
        <x:v>candidate, fixture, safety and measurement control edges remain separated</x:v>
      </x:c>
      <x:c r="O1215" s="17" t="str">
        <x:v>Conflict registrar</x:v>
      </x:c>
      <x:c r="P1215" s="9" t="n">
        <x:v>0</x:v>
      </x:c>
      <x:c r="Q1215" s="9" t="n">
        <x:v>0</x:v>
      </x:c>
      <x:c r="R1215" s="9" t="str">
        <x:v>OPEN / UNSTARTED</x:v>
      </x:c>
      <x:c r="S1215" s="9" t="n">
        <x:f>COUNTIFS($A$7:$A$1446,A1215)</x:f>
        <x:v>1</x:v>
      </x:c>
    </x:row>
    <x:row r="1216">
      <x:c r="A1216" s="9" t="str">
        <x:v>EV-AR-CT-C-B-TECH-1-B1-RCN-G0-ST10</x:v>
      </x:c>
      <x:c r="B1216" s="9" t="str">
        <x:v>EV-AR-CT-C-B-TECH-1-B1-RCN-G0</x:v>
      </x:c>
      <x:c r="C1216" s="9" t="str">
        <x:v>EOW-AR-CT-C-B-TECH-1-B1-RCN-G0</x:v>
      </x:c>
      <x:c r="D1216" s="9" t="str">
        <x:v>AR-CT-C-B-TECH-1-B1-RCN-G0</x:v>
      </x:c>
      <x:c r="E1216" s="9" t="str">
        <x:v>CT-C-B-TECH-1</x:v>
      </x:c>
      <x:c r="F1216" s="9" t="str">
        <x:v>CT-C-B</x:v>
      </x:c>
      <x:c r="G1216" s="9" t="str">
        <x:v>B1</x:v>
      </x:c>
      <x:c r="H1216" s="9" t="str">
        <x:v>RCN</x:v>
      </x:c>
      <x:c r="I1216" s="9" t="n">
        <x:v>6</x:v>
      </x:c>
      <x:c r="J1216" s="9" t="n">
        <x:v>1</x:v>
      </x:c>
      <x:c r="K1216" s="9" t="str">
        <x:v>CT-C-B-N1</x:v>
      </x:c>
      <x:c r="L1216" s="9" t="str">
        <x:v>ST10</x:v>
      </x:c>
      <x:c r="M1216" s="17" t="str">
        <x:v>Window and common clock</x:v>
      </x:c>
      <x:c r="N1216" s="17" t="str">
        <x:v>epoch, window and public time origin match the issued warrant</x:v>
      </x:c>
      <x:c r="O1216" s="17" t="str">
        <x:v>Event clock authority</x:v>
      </x:c>
      <x:c r="P1216" s="9" t="n">
        <x:v>0</x:v>
      </x:c>
      <x:c r="Q1216" s="9" t="n">
        <x:v>0</x:v>
      </x:c>
      <x:c r="R1216" s="9" t="str">
        <x:v>OPEN / UNSTARTED</x:v>
      </x:c>
      <x:c r="S1216" s="9" t="n">
        <x:f>COUNTIFS($A$7:$A$1446,A1216)</x:f>
        <x:v>1</x:v>
      </x:c>
    </x:row>
    <x:row r="1217">
      <x:c r="A1217" s="9" t="str">
        <x:v>EV-AR-ET-A-A-TECH-4-B1-BRK-G0-ST01</x:v>
      </x:c>
      <x:c r="B1217" s="9" t="str">
        <x:v>EV-AR-ET-A-A-TECH-4-B1-BRK-G0</x:v>
      </x:c>
      <x:c r="C1217" s="9" t="str">
        <x:v>EOW-AR-ET-A-A-TECH-4-B1-BRK-G0</x:v>
      </x:c>
      <x:c r="D1217" s="9" t="str">
        <x:v>AR-ET-A-A-TECH-4-B1-BRK-G0</x:v>
      </x:c>
      <x:c r="E1217" s="9" t="str">
        <x:v>ET-A-A-TECH-4</x:v>
      </x:c>
      <x:c r="F1217" s="9" t="str">
        <x:v>ET-A-A</x:v>
      </x:c>
      <x:c r="G1217" s="9" t="str">
        <x:v>B1</x:v>
      </x:c>
      <x:c r="H1217" s="9" t="str">
        <x:v>BRK</x:v>
      </x:c>
      <x:c r="I1217" s="9" t="n">
        <x:v>6</x:v>
      </x:c>
      <x:c r="J1217" s="9" t="n">
        <x:v>1</x:v>
      </x:c>
      <x:c r="K1217" s="9" t="str">
        <x:v>ET-A-A-N1</x:v>
      </x:c>
      <x:c r="L1217" s="9" t="str">
        <x:v>ST01</x:v>
      </x:c>
      <x:c r="M1217" s="17" t="str">
        <x:v>Active opportunity warrant</x:v>
      </x:c>
      <x:c r="N1217" s="17" t="str">
        <x:v>configuration-bound EOW is within its thirty-six-hour validity</x:v>
      </x:c>
      <x:c r="O1217" s="17" t="str">
        <x:v>Start registrar</x:v>
      </x:c>
      <x:c r="P1217" s="9" t="n">
        <x:v>0</x:v>
      </x:c>
      <x:c r="Q1217" s="9" t="n">
        <x:v>0</x:v>
      </x:c>
      <x:c r="R1217" s="9" t="str">
        <x:v>OPEN / UNSTARTED</x:v>
      </x:c>
      <x:c r="S1217" s="9" t="n">
        <x:f>COUNTIFS($A$7:$A$1446,A1217)</x:f>
        <x:v>1</x:v>
      </x:c>
    </x:row>
    <x:row r="1218">
      <x:c r="A1218" s="9" t="str">
        <x:v>EV-AR-ET-A-A-TECH-4-B1-BRK-G0-ST02</x:v>
      </x:c>
      <x:c r="B1218" s="9" t="str">
        <x:v>EV-AR-ET-A-A-TECH-4-B1-BRK-G0</x:v>
      </x:c>
      <x:c r="C1218" s="9" t="str">
        <x:v>EOW-AR-ET-A-A-TECH-4-B1-BRK-G0</x:v>
      </x:c>
      <x:c r="D1218" s="9" t="str">
        <x:v>AR-ET-A-A-TECH-4-B1-BRK-G0</x:v>
      </x:c>
      <x:c r="E1218" s="9" t="str">
        <x:v>ET-A-A-TECH-4</x:v>
      </x:c>
      <x:c r="F1218" s="9" t="str">
        <x:v>ET-A-A</x:v>
      </x:c>
      <x:c r="G1218" s="9" t="str">
        <x:v>B1</x:v>
      </x:c>
      <x:c r="H1218" s="9" t="str">
        <x:v>BRK</x:v>
      </x:c>
      <x:c r="I1218" s="9" t="n">
        <x:v>6</x:v>
      </x:c>
      <x:c r="J1218" s="9" t="n">
        <x:v>1</x:v>
      </x:c>
      <x:c r="K1218" s="9" t="str">
        <x:v>ET-A-A-N1</x:v>
      </x:c>
      <x:c r="L1218" s="9" t="str">
        <x:v>ST02</x:v>
      </x:c>
      <x:c r="M1218" s="17" t="str">
        <x:v>Frozen identity</x:v>
      </x:c>
      <x:c r="N1218" s="17" t="str">
        <x:v>serial, generation, fixture, site, receiver and digest match the warrant</x:v>
      </x:c>
      <x:c r="O1218" s="17" t="str">
        <x:v>Custody authority</x:v>
      </x:c>
      <x:c r="P1218" s="9" t="n">
        <x:v>0</x:v>
      </x:c>
      <x:c r="Q1218" s="9" t="n">
        <x:v>0</x:v>
      </x:c>
      <x:c r="R1218" s="9" t="str">
        <x:v>OPEN / UNSTARTED</x:v>
      </x:c>
      <x:c r="S1218" s="9" t="n">
        <x:f>COUNTIFS($A$7:$A$1446,A1218)</x:f>
        <x:v>1</x:v>
      </x:c>
    </x:row>
    <x:row r="1219">
      <x:c r="A1219" s="9" t="str">
        <x:v>EV-AR-ET-A-A-TECH-4-B1-BRK-G0-ST03</x:v>
      </x:c>
      <x:c r="B1219" s="9" t="str">
        <x:v>EV-AR-ET-A-A-TECH-4-B1-BRK-G0</x:v>
      </x:c>
      <x:c r="C1219" s="9" t="str">
        <x:v>EOW-AR-ET-A-A-TECH-4-B1-BRK-G0</x:v>
      </x:c>
      <x:c r="D1219" s="9" t="str">
        <x:v>AR-ET-A-A-TECH-4-B1-BRK-G0</x:v>
      </x:c>
      <x:c r="E1219" s="9" t="str">
        <x:v>ET-A-A-TECH-4</x:v>
      </x:c>
      <x:c r="F1219" s="9" t="str">
        <x:v>ET-A-A</x:v>
      </x:c>
      <x:c r="G1219" s="9" t="str">
        <x:v>B1</x:v>
      </x:c>
      <x:c r="H1219" s="9" t="str">
        <x:v>BRK</x:v>
      </x:c>
      <x:c r="I1219" s="9" t="n">
        <x:v>6</x:v>
      </x:c>
      <x:c r="J1219" s="9" t="n">
        <x:v>1</x:v>
      </x:c>
      <x:c r="K1219" s="9" t="str">
        <x:v>ET-A-A-N1</x:v>
      </x:c>
      <x:c r="L1219" s="9" t="str">
        <x:v>ST03</x:v>
      </x:c>
      <x:c r="M1219" s="17" t="str">
        <x:v>Receiver receipt</x:v>
      </x:c>
      <x:c r="N1219" s="17" t="str">
        <x:v>denominator, counterfactual, rights and stop receipt remain unchanged</x:v>
      </x:c>
      <x:c r="O1219" s="17" t="str">
        <x:v>Receiver authority</x:v>
      </x:c>
      <x:c r="P1219" s="9" t="n">
        <x:v>0</x:v>
      </x:c>
      <x:c r="Q1219" s="9" t="n">
        <x:v>0</x:v>
      </x:c>
      <x:c r="R1219" s="9" t="str">
        <x:v>OPEN / UNSTARTED</x:v>
      </x:c>
      <x:c r="S1219" s="9" t="n">
        <x:f>COUNTIFS($A$7:$A$1446,A1219)</x:f>
        <x:v>1</x:v>
      </x:c>
    </x:row>
    <x:row r="1220">
      <x:c r="A1220" s="9" t="str">
        <x:v>EV-AR-ET-A-A-TECH-4-B1-BRK-G0-ST04</x:v>
      </x:c>
      <x:c r="B1220" s="9" t="str">
        <x:v>EV-AR-ET-A-A-TECH-4-B1-BRK-G0</x:v>
      </x:c>
      <x:c r="C1220" s="9" t="str">
        <x:v>EOW-AR-ET-A-A-TECH-4-B1-BRK-G0</x:v>
      </x:c>
      <x:c r="D1220" s="9" t="str">
        <x:v>AR-ET-A-A-TECH-4-B1-BRK-G0</x:v>
      </x:c>
      <x:c r="E1220" s="9" t="str">
        <x:v>ET-A-A-TECH-4</x:v>
      </x:c>
      <x:c r="F1220" s="9" t="str">
        <x:v>ET-A-A</x:v>
      </x:c>
      <x:c r="G1220" s="9" t="str">
        <x:v>B1</x:v>
      </x:c>
      <x:c r="H1220" s="9" t="str">
        <x:v>BRK</x:v>
      </x:c>
      <x:c r="I1220" s="9" t="n">
        <x:v>6</x:v>
      </x:c>
      <x:c r="J1220" s="9" t="n">
        <x:v>1</x:v>
      </x:c>
      <x:c r="K1220" s="9" t="str">
        <x:v>ET-A-A-N1</x:v>
      </x:c>
      <x:c r="L1220" s="9" t="str">
        <x:v>ST04</x:v>
      </x:c>
      <x:c r="M1220" s="17" t="str">
        <x:v>Primary capture armed</x:v>
      </x:c>
      <x:c r="N1220" s="17" t="str">
        <x:v>primary chain records sealed reference and live time</x:v>
      </x:c>
      <x:c r="O1220" s="17" t="str">
        <x:v>Primary metrology</x:v>
      </x:c>
      <x:c r="P1220" s="9" t="n">
        <x:v>0</x:v>
      </x:c>
      <x:c r="Q1220" s="9" t="n">
        <x:v>0</x:v>
      </x:c>
      <x:c r="R1220" s="9" t="str">
        <x:v>OPEN / UNSTARTED</x:v>
      </x:c>
      <x:c r="S1220" s="9" t="n">
        <x:f>COUNTIFS($A$7:$A$1446,A1220)</x:f>
        <x:v>1</x:v>
      </x:c>
    </x:row>
    <x:row r="1221">
      <x:c r="A1221" s="9" t="str">
        <x:v>EV-AR-ET-A-A-TECH-4-B1-BRK-G0-ST05</x:v>
      </x:c>
      <x:c r="B1221" s="9" t="str">
        <x:v>EV-AR-ET-A-A-TECH-4-B1-BRK-G0</x:v>
      </x:c>
      <x:c r="C1221" s="9" t="str">
        <x:v>EOW-AR-ET-A-A-TECH-4-B1-BRK-G0</x:v>
      </x:c>
      <x:c r="D1221" s="9" t="str">
        <x:v>AR-ET-A-A-TECH-4-B1-BRK-G0</x:v>
      </x:c>
      <x:c r="E1221" s="9" t="str">
        <x:v>ET-A-A-TECH-4</x:v>
      </x:c>
      <x:c r="F1221" s="9" t="str">
        <x:v>ET-A-A</x:v>
      </x:c>
      <x:c r="G1221" s="9" t="str">
        <x:v>B1</x:v>
      </x:c>
      <x:c r="H1221" s="9" t="str">
        <x:v>BRK</x:v>
      </x:c>
      <x:c r="I1221" s="9" t="n">
        <x:v>6</x:v>
      </x:c>
      <x:c r="J1221" s="9" t="n">
        <x:v>1</x:v>
      </x:c>
      <x:c r="K1221" s="9" t="str">
        <x:v>ET-A-A-N1</x:v>
      </x:c>
      <x:c r="L1221" s="9" t="str">
        <x:v>ST05</x:v>
      </x:c>
      <x:c r="M1221" s="17" t="str">
        <x:v>Witness capture armed</x:v>
      </x:c>
      <x:c r="N1221" s="17" t="str">
        <x:v>unlike witness records independent reference and live time</x:v>
      </x:c>
      <x:c r="O1221" s="17" t="str">
        <x:v>Witness metrology</x:v>
      </x:c>
      <x:c r="P1221" s="9" t="n">
        <x:v>0</x:v>
      </x:c>
      <x:c r="Q1221" s="9" t="n">
        <x:v>0</x:v>
      </x:c>
      <x:c r="R1221" s="9" t="str">
        <x:v>OPEN / UNSTARTED</x:v>
      </x:c>
      <x:c r="S1221" s="9" t="n">
        <x:f>COUNTIFS($A$7:$A$1446,A1221)</x:f>
        <x:v>1</x:v>
      </x:c>
    </x:row>
    <x:row r="1222">
      <x:c r="A1222" s="9" t="str">
        <x:v>EV-AR-ET-A-A-TECH-4-B1-BRK-G0-ST06</x:v>
      </x:c>
      <x:c r="B1222" s="9" t="str">
        <x:v>EV-AR-ET-A-A-TECH-4-B1-BRK-G0</x:v>
      </x:c>
      <x:c r="C1222" s="9" t="str">
        <x:v>EOW-AR-ET-A-A-TECH-4-B1-BRK-G0</x:v>
      </x:c>
      <x:c r="D1222" s="9" t="str">
        <x:v>AR-ET-A-A-TECH-4-B1-BRK-G0</x:v>
      </x:c>
      <x:c r="E1222" s="9" t="str">
        <x:v>ET-A-A-TECH-4</x:v>
      </x:c>
      <x:c r="F1222" s="9" t="str">
        <x:v>ET-A-A</x:v>
      </x:c>
      <x:c r="G1222" s="9" t="str">
        <x:v>B1</x:v>
      </x:c>
      <x:c r="H1222" s="9" t="str">
        <x:v>BRK</x:v>
      </x:c>
      <x:c r="I1222" s="9" t="n">
        <x:v>6</x:v>
      </x:c>
      <x:c r="J1222" s="9" t="n">
        <x:v>1</x:v>
      </x:c>
      <x:c r="K1222" s="9" t="str">
        <x:v>ET-A-A-N1</x:v>
      </x:c>
      <x:c r="L1222" s="9" t="str">
        <x:v>ST06</x:v>
      </x:c>
      <x:c r="M1222" s="17" t="str">
        <x:v>Public custody armed</x:v>
      </x:c>
      <x:c r="N1222" s="17" t="str">
        <x:v>eight raw origins have separated hash and replica routes</x:v>
      </x:c>
      <x:c r="O1222" s="17" t="str">
        <x:v>Custody authority</x:v>
      </x:c>
      <x:c r="P1222" s="9" t="n">
        <x:v>0</x:v>
      </x:c>
      <x:c r="Q1222" s="9" t="n">
        <x:v>0</x:v>
      </x:c>
      <x:c r="R1222" s="9" t="str">
        <x:v>OPEN / UNSTARTED</x:v>
      </x:c>
      <x:c r="S1222" s="9" t="n">
        <x:f>COUNTIFS($A$7:$A$1446,A1222)</x:f>
        <x:v>1</x:v>
      </x:c>
    </x:row>
    <x:row r="1223">
      <x:c r="A1223" s="9" t="str">
        <x:v>EV-AR-ET-A-A-TECH-4-B1-BRK-G0-ST07</x:v>
      </x:c>
      <x:c r="B1223" s="9" t="str">
        <x:v>EV-AR-ET-A-A-TECH-4-B1-BRK-G0</x:v>
      </x:c>
      <x:c r="C1223" s="9" t="str">
        <x:v>EOW-AR-ET-A-A-TECH-4-B1-BRK-G0</x:v>
      </x:c>
      <x:c r="D1223" s="9" t="str">
        <x:v>AR-ET-A-A-TECH-4-B1-BRK-G0</x:v>
      </x:c>
      <x:c r="E1223" s="9" t="str">
        <x:v>ET-A-A-TECH-4</x:v>
      </x:c>
      <x:c r="F1223" s="9" t="str">
        <x:v>ET-A-A</x:v>
      </x:c>
      <x:c r="G1223" s="9" t="str">
        <x:v>B1</x:v>
      </x:c>
      <x:c r="H1223" s="9" t="str">
        <x:v>BRK</x:v>
      </x:c>
      <x:c r="I1223" s="9" t="n">
        <x:v>6</x:v>
      </x:c>
      <x:c r="J1223" s="9" t="n">
        <x:v>1</x:v>
      </x:c>
      <x:c r="K1223" s="9" t="str">
        <x:v>ET-A-A-N1</x:v>
      </x:c>
      <x:c r="L1223" s="9" t="str">
        <x:v>ST07</x:v>
      </x:c>
      <x:c r="M1223" s="17" t="str">
        <x:v>Environmental baseline</x:v>
      </x:c>
      <x:c r="N1223" s="17" t="str">
        <x:v>pre-event boundary state is sealed before decisive operation</x:v>
      </x:c>
      <x:c r="O1223" s="17" t="str">
        <x:v>Site metrology</x:v>
      </x:c>
      <x:c r="P1223" s="9" t="n">
        <x:v>0</x:v>
      </x:c>
      <x:c r="Q1223" s="9" t="n">
        <x:v>0</x:v>
      </x:c>
      <x:c r="R1223" s="9" t="str">
        <x:v>OPEN / UNSTARTED</x:v>
      </x:c>
      <x:c r="S1223" s="9" t="n">
        <x:f>COUNTIFS($A$7:$A$1446,A1223)</x:f>
        <x:v>1</x:v>
      </x:c>
    </x:row>
    <x:row r="1224">
      <x:c r="A1224" s="9" t="str">
        <x:v>EV-AR-ET-A-A-TECH-4-B1-BRK-G0-ST08</x:v>
      </x:c>
      <x:c r="B1224" s="9" t="str">
        <x:v>EV-AR-ET-A-A-TECH-4-B1-BRK-G0</x:v>
      </x:c>
      <x:c r="C1224" s="9" t="str">
        <x:v>EOW-AR-ET-A-A-TECH-4-B1-BRK-G0</x:v>
      </x:c>
      <x:c r="D1224" s="9" t="str">
        <x:v>AR-ET-A-A-TECH-4-B1-BRK-G0</x:v>
      </x:c>
      <x:c r="E1224" s="9" t="str">
        <x:v>ET-A-A-TECH-4</x:v>
      </x:c>
      <x:c r="F1224" s="9" t="str">
        <x:v>ET-A-A</x:v>
      </x:c>
      <x:c r="G1224" s="9" t="str">
        <x:v>B1</x:v>
      </x:c>
      <x:c r="H1224" s="9" t="str">
        <x:v>BRK</x:v>
      </x:c>
      <x:c r="I1224" s="9" t="n">
        <x:v>6</x:v>
      </x:c>
      <x:c r="J1224" s="9" t="n">
        <x:v>1</x:v>
      </x:c>
      <x:c r="K1224" s="9" t="str">
        <x:v>ET-A-A-N1</x:v>
      </x:c>
      <x:c r="L1224" s="9" t="str">
        <x:v>ST08</x:v>
      </x:c>
      <x:c r="M1224" s="17" t="str">
        <x:v>Manual stop and safety</x:v>
      </x:c>
      <x:c r="N1224" s="17" t="str">
        <x:v>local stop, evacuation and protection routes are active</x:v>
      </x:c>
      <x:c r="O1224" s="17" t="str">
        <x:v>Safety authority</x:v>
      </x:c>
      <x:c r="P1224" s="9" t="n">
        <x:v>0</x:v>
      </x:c>
      <x:c r="Q1224" s="9" t="n">
        <x:v>0</x:v>
      </x:c>
      <x:c r="R1224" s="9" t="str">
        <x:v>OPEN / UNSTARTED</x:v>
      </x:c>
      <x:c r="S1224" s="9" t="n">
        <x:f>COUNTIFS($A$7:$A$1446,A1224)</x:f>
        <x:v>1</x:v>
      </x:c>
    </x:row>
    <x:row r="1225">
      <x:c r="A1225" s="9" t="str">
        <x:v>EV-AR-ET-A-A-TECH-4-B1-BRK-G0-ST09</x:v>
      </x:c>
      <x:c r="B1225" s="9" t="str">
        <x:v>EV-AR-ET-A-A-TECH-4-B1-BRK-G0</x:v>
      </x:c>
      <x:c r="C1225" s="9" t="str">
        <x:v>EOW-AR-ET-A-A-TECH-4-B1-BRK-G0</x:v>
      </x:c>
      <x:c r="D1225" s="9" t="str">
        <x:v>AR-ET-A-A-TECH-4-B1-BRK-G0</x:v>
      </x:c>
      <x:c r="E1225" s="9" t="str">
        <x:v>ET-A-A-TECH-4</x:v>
      </x:c>
      <x:c r="F1225" s="9" t="str">
        <x:v>ET-A-A</x:v>
      </x:c>
      <x:c r="G1225" s="9" t="str">
        <x:v>B1</x:v>
      </x:c>
      <x:c r="H1225" s="9" t="str">
        <x:v>BRK</x:v>
      </x:c>
      <x:c r="I1225" s="9" t="n">
        <x:v>6</x:v>
      </x:c>
      <x:c r="J1225" s="9" t="n">
        <x:v>1</x:v>
      </x:c>
      <x:c r="K1225" s="9" t="str">
        <x:v>ET-A-A-N1</x:v>
      </x:c>
      <x:c r="L1225" s="9" t="str">
        <x:v>ST09</x:v>
      </x:c>
      <x:c r="M1225" s="17" t="str">
        <x:v>Operator conflict clear</x:v>
      </x:c>
      <x:c r="N1225" s="17" t="str">
        <x:v>candidate, fixture, safety and measurement control edges remain separated</x:v>
      </x:c>
      <x:c r="O1225" s="17" t="str">
        <x:v>Conflict registrar</x:v>
      </x:c>
      <x:c r="P1225" s="9" t="n">
        <x:v>0</x:v>
      </x:c>
      <x:c r="Q1225" s="9" t="n">
        <x:v>0</x:v>
      </x:c>
      <x:c r="R1225" s="9" t="str">
        <x:v>OPEN / UNSTARTED</x:v>
      </x:c>
      <x:c r="S1225" s="9" t="n">
        <x:f>COUNTIFS($A$7:$A$1446,A1225)</x:f>
        <x:v>1</x:v>
      </x:c>
    </x:row>
    <x:row r="1226">
      <x:c r="A1226" s="9" t="str">
        <x:v>EV-AR-ET-A-A-TECH-4-B1-BRK-G0-ST10</x:v>
      </x:c>
      <x:c r="B1226" s="9" t="str">
        <x:v>EV-AR-ET-A-A-TECH-4-B1-BRK-G0</x:v>
      </x:c>
      <x:c r="C1226" s="9" t="str">
        <x:v>EOW-AR-ET-A-A-TECH-4-B1-BRK-G0</x:v>
      </x:c>
      <x:c r="D1226" s="9" t="str">
        <x:v>AR-ET-A-A-TECH-4-B1-BRK-G0</x:v>
      </x:c>
      <x:c r="E1226" s="9" t="str">
        <x:v>ET-A-A-TECH-4</x:v>
      </x:c>
      <x:c r="F1226" s="9" t="str">
        <x:v>ET-A-A</x:v>
      </x:c>
      <x:c r="G1226" s="9" t="str">
        <x:v>B1</x:v>
      </x:c>
      <x:c r="H1226" s="9" t="str">
        <x:v>BRK</x:v>
      </x:c>
      <x:c r="I1226" s="9" t="n">
        <x:v>6</x:v>
      </x:c>
      <x:c r="J1226" s="9" t="n">
        <x:v>1</x:v>
      </x:c>
      <x:c r="K1226" s="9" t="str">
        <x:v>ET-A-A-N1</x:v>
      </x:c>
      <x:c r="L1226" s="9" t="str">
        <x:v>ST10</x:v>
      </x:c>
      <x:c r="M1226" s="17" t="str">
        <x:v>Window and common clock</x:v>
      </x:c>
      <x:c r="N1226" s="17" t="str">
        <x:v>epoch, window and public time origin match the issued warrant</x:v>
      </x:c>
      <x:c r="O1226" s="17" t="str">
        <x:v>Event clock authority</x:v>
      </x:c>
      <x:c r="P1226" s="9" t="n">
        <x:v>0</x:v>
      </x:c>
      <x:c r="Q1226" s="9" t="n">
        <x:v>0</x:v>
      </x:c>
      <x:c r="R1226" s="9" t="str">
        <x:v>OPEN / UNSTARTED</x:v>
      </x:c>
      <x:c r="S1226" s="9" t="n">
        <x:f>COUNTIFS($A$7:$A$1446,A1226)</x:f>
        <x:v>1</x:v>
      </x:c>
    </x:row>
    <x:row r="1227">
      <x:c r="A1227" s="9" t="str">
        <x:v>EV-AR-ET-A-A-TECH-3-B2-BRK-G0-ST01</x:v>
      </x:c>
      <x:c r="B1227" s="9" t="str">
        <x:v>EV-AR-ET-A-A-TECH-3-B2-BRK-G0</x:v>
      </x:c>
      <x:c r="C1227" s="9" t="str">
        <x:v>EOW-AR-ET-A-A-TECH-3-B2-BRK-G0</x:v>
      </x:c>
      <x:c r="D1227" s="9" t="str">
        <x:v>AR-ET-A-A-TECH-3-B2-BRK-G0</x:v>
      </x:c>
      <x:c r="E1227" s="9" t="str">
        <x:v>ET-A-A-TECH-3</x:v>
      </x:c>
      <x:c r="F1227" s="9" t="str">
        <x:v>ET-A-A</x:v>
      </x:c>
      <x:c r="G1227" s="9" t="str">
        <x:v>B2</x:v>
      </x:c>
      <x:c r="H1227" s="9" t="str">
        <x:v>BRK</x:v>
      </x:c>
      <x:c r="I1227" s="9" t="n">
        <x:v>6</x:v>
      </x:c>
      <x:c r="J1227" s="9" t="n">
        <x:v>1</x:v>
      </x:c>
      <x:c r="K1227" s="9" t="str">
        <x:v>ET-A-A-N3</x:v>
      </x:c>
      <x:c r="L1227" s="9" t="str">
        <x:v>ST01</x:v>
      </x:c>
      <x:c r="M1227" s="17" t="str">
        <x:v>Active opportunity warrant</x:v>
      </x:c>
      <x:c r="N1227" s="17" t="str">
        <x:v>configuration-bound EOW is within its thirty-six-hour validity</x:v>
      </x:c>
      <x:c r="O1227" s="17" t="str">
        <x:v>Start registrar</x:v>
      </x:c>
      <x:c r="P1227" s="9" t="n">
        <x:v>0</x:v>
      </x:c>
      <x:c r="Q1227" s="9" t="n">
        <x:v>0</x:v>
      </x:c>
      <x:c r="R1227" s="9" t="str">
        <x:v>OPEN / UNSTARTED</x:v>
      </x:c>
      <x:c r="S1227" s="9" t="n">
        <x:f>COUNTIFS($A$7:$A$1446,A1227)</x:f>
        <x:v>1</x:v>
      </x:c>
    </x:row>
    <x:row r="1228">
      <x:c r="A1228" s="9" t="str">
        <x:v>EV-AR-ET-A-A-TECH-3-B2-BRK-G0-ST02</x:v>
      </x:c>
      <x:c r="B1228" s="9" t="str">
        <x:v>EV-AR-ET-A-A-TECH-3-B2-BRK-G0</x:v>
      </x:c>
      <x:c r="C1228" s="9" t="str">
        <x:v>EOW-AR-ET-A-A-TECH-3-B2-BRK-G0</x:v>
      </x:c>
      <x:c r="D1228" s="9" t="str">
        <x:v>AR-ET-A-A-TECH-3-B2-BRK-G0</x:v>
      </x:c>
      <x:c r="E1228" s="9" t="str">
        <x:v>ET-A-A-TECH-3</x:v>
      </x:c>
      <x:c r="F1228" s="9" t="str">
        <x:v>ET-A-A</x:v>
      </x:c>
      <x:c r="G1228" s="9" t="str">
        <x:v>B2</x:v>
      </x:c>
      <x:c r="H1228" s="9" t="str">
        <x:v>BRK</x:v>
      </x:c>
      <x:c r="I1228" s="9" t="n">
        <x:v>6</x:v>
      </x:c>
      <x:c r="J1228" s="9" t="n">
        <x:v>1</x:v>
      </x:c>
      <x:c r="K1228" s="9" t="str">
        <x:v>ET-A-A-N3</x:v>
      </x:c>
      <x:c r="L1228" s="9" t="str">
        <x:v>ST02</x:v>
      </x:c>
      <x:c r="M1228" s="17" t="str">
        <x:v>Frozen identity</x:v>
      </x:c>
      <x:c r="N1228" s="17" t="str">
        <x:v>serial, generation, fixture, site, receiver and digest match the warrant</x:v>
      </x:c>
      <x:c r="O1228" s="17" t="str">
        <x:v>Custody authority</x:v>
      </x:c>
      <x:c r="P1228" s="9" t="n">
        <x:v>0</x:v>
      </x:c>
      <x:c r="Q1228" s="9" t="n">
        <x:v>0</x:v>
      </x:c>
      <x:c r="R1228" s="9" t="str">
        <x:v>OPEN / UNSTARTED</x:v>
      </x:c>
      <x:c r="S1228" s="9" t="n">
        <x:f>COUNTIFS($A$7:$A$1446,A1228)</x:f>
        <x:v>1</x:v>
      </x:c>
    </x:row>
    <x:row r="1229">
      <x:c r="A1229" s="9" t="str">
        <x:v>EV-AR-ET-A-A-TECH-3-B2-BRK-G0-ST03</x:v>
      </x:c>
      <x:c r="B1229" s="9" t="str">
        <x:v>EV-AR-ET-A-A-TECH-3-B2-BRK-G0</x:v>
      </x:c>
      <x:c r="C1229" s="9" t="str">
        <x:v>EOW-AR-ET-A-A-TECH-3-B2-BRK-G0</x:v>
      </x:c>
      <x:c r="D1229" s="9" t="str">
        <x:v>AR-ET-A-A-TECH-3-B2-BRK-G0</x:v>
      </x:c>
      <x:c r="E1229" s="9" t="str">
        <x:v>ET-A-A-TECH-3</x:v>
      </x:c>
      <x:c r="F1229" s="9" t="str">
        <x:v>ET-A-A</x:v>
      </x:c>
      <x:c r="G1229" s="9" t="str">
        <x:v>B2</x:v>
      </x:c>
      <x:c r="H1229" s="9" t="str">
        <x:v>BRK</x:v>
      </x:c>
      <x:c r="I1229" s="9" t="n">
        <x:v>6</x:v>
      </x:c>
      <x:c r="J1229" s="9" t="n">
        <x:v>1</x:v>
      </x:c>
      <x:c r="K1229" s="9" t="str">
        <x:v>ET-A-A-N3</x:v>
      </x:c>
      <x:c r="L1229" s="9" t="str">
        <x:v>ST03</x:v>
      </x:c>
      <x:c r="M1229" s="17" t="str">
        <x:v>Receiver receipt</x:v>
      </x:c>
      <x:c r="N1229" s="17" t="str">
        <x:v>denominator, counterfactual, rights and stop receipt remain unchanged</x:v>
      </x:c>
      <x:c r="O1229" s="17" t="str">
        <x:v>Receiver authority</x:v>
      </x:c>
      <x:c r="P1229" s="9" t="n">
        <x:v>0</x:v>
      </x:c>
      <x:c r="Q1229" s="9" t="n">
        <x:v>0</x:v>
      </x:c>
      <x:c r="R1229" s="9" t="str">
        <x:v>OPEN / UNSTARTED</x:v>
      </x:c>
      <x:c r="S1229" s="9" t="n">
        <x:f>COUNTIFS($A$7:$A$1446,A1229)</x:f>
        <x:v>1</x:v>
      </x:c>
    </x:row>
    <x:row r="1230">
      <x:c r="A1230" s="9" t="str">
        <x:v>EV-AR-ET-A-A-TECH-3-B2-BRK-G0-ST04</x:v>
      </x:c>
      <x:c r="B1230" s="9" t="str">
        <x:v>EV-AR-ET-A-A-TECH-3-B2-BRK-G0</x:v>
      </x:c>
      <x:c r="C1230" s="9" t="str">
        <x:v>EOW-AR-ET-A-A-TECH-3-B2-BRK-G0</x:v>
      </x:c>
      <x:c r="D1230" s="9" t="str">
        <x:v>AR-ET-A-A-TECH-3-B2-BRK-G0</x:v>
      </x:c>
      <x:c r="E1230" s="9" t="str">
        <x:v>ET-A-A-TECH-3</x:v>
      </x:c>
      <x:c r="F1230" s="9" t="str">
        <x:v>ET-A-A</x:v>
      </x:c>
      <x:c r="G1230" s="9" t="str">
        <x:v>B2</x:v>
      </x:c>
      <x:c r="H1230" s="9" t="str">
        <x:v>BRK</x:v>
      </x:c>
      <x:c r="I1230" s="9" t="n">
        <x:v>6</x:v>
      </x:c>
      <x:c r="J1230" s="9" t="n">
        <x:v>1</x:v>
      </x:c>
      <x:c r="K1230" s="9" t="str">
        <x:v>ET-A-A-N3</x:v>
      </x:c>
      <x:c r="L1230" s="9" t="str">
        <x:v>ST04</x:v>
      </x:c>
      <x:c r="M1230" s="17" t="str">
        <x:v>Primary capture armed</x:v>
      </x:c>
      <x:c r="N1230" s="17" t="str">
        <x:v>primary chain records sealed reference and live time</x:v>
      </x:c>
      <x:c r="O1230" s="17" t="str">
        <x:v>Primary metrology</x:v>
      </x:c>
      <x:c r="P1230" s="9" t="n">
        <x:v>0</x:v>
      </x:c>
      <x:c r="Q1230" s="9" t="n">
        <x:v>0</x:v>
      </x:c>
      <x:c r="R1230" s="9" t="str">
        <x:v>OPEN / UNSTARTED</x:v>
      </x:c>
      <x:c r="S1230" s="9" t="n">
        <x:f>COUNTIFS($A$7:$A$1446,A1230)</x:f>
        <x:v>1</x:v>
      </x:c>
    </x:row>
    <x:row r="1231">
      <x:c r="A1231" s="9" t="str">
        <x:v>EV-AR-ET-A-A-TECH-3-B2-BRK-G0-ST05</x:v>
      </x:c>
      <x:c r="B1231" s="9" t="str">
        <x:v>EV-AR-ET-A-A-TECH-3-B2-BRK-G0</x:v>
      </x:c>
      <x:c r="C1231" s="9" t="str">
        <x:v>EOW-AR-ET-A-A-TECH-3-B2-BRK-G0</x:v>
      </x:c>
      <x:c r="D1231" s="9" t="str">
        <x:v>AR-ET-A-A-TECH-3-B2-BRK-G0</x:v>
      </x:c>
      <x:c r="E1231" s="9" t="str">
        <x:v>ET-A-A-TECH-3</x:v>
      </x:c>
      <x:c r="F1231" s="9" t="str">
        <x:v>ET-A-A</x:v>
      </x:c>
      <x:c r="G1231" s="9" t="str">
        <x:v>B2</x:v>
      </x:c>
      <x:c r="H1231" s="9" t="str">
        <x:v>BRK</x:v>
      </x:c>
      <x:c r="I1231" s="9" t="n">
        <x:v>6</x:v>
      </x:c>
      <x:c r="J1231" s="9" t="n">
        <x:v>1</x:v>
      </x:c>
      <x:c r="K1231" s="9" t="str">
        <x:v>ET-A-A-N3</x:v>
      </x:c>
      <x:c r="L1231" s="9" t="str">
        <x:v>ST05</x:v>
      </x:c>
      <x:c r="M1231" s="17" t="str">
        <x:v>Witness capture armed</x:v>
      </x:c>
      <x:c r="N1231" s="17" t="str">
        <x:v>unlike witness records independent reference and live time</x:v>
      </x:c>
      <x:c r="O1231" s="17" t="str">
        <x:v>Witness metrology</x:v>
      </x:c>
      <x:c r="P1231" s="9" t="n">
        <x:v>0</x:v>
      </x:c>
      <x:c r="Q1231" s="9" t="n">
        <x:v>0</x:v>
      </x:c>
      <x:c r="R1231" s="9" t="str">
        <x:v>OPEN / UNSTARTED</x:v>
      </x:c>
      <x:c r="S1231" s="9" t="n">
        <x:f>COUNTIFS($A$7:$A$1446,A1231)</x:f>
        <x:v>1</x:v>
      </x:c>
    </x:row>
    <x:row r="1232">
      <x:c r="A1232" s="9" t="str">
        <x:v>EV-AR-ET-A-A-TECH-3-B2-BRK-G0-ST06</x:v>
      </x:c>
      <x:c r="B1232" s="9" t="str">
        <x:v>EV-AR-ET-A-A-TECH-3-B2-BRK-G0</x:v>
      </x:c>
      <x:c r="C1232" s="9" t="str">
        <x:v>EOW-AR-ET-A-A-TECH-3-B2-BRK-G0</x:v>
      </x:c>
      <x:c r="D1232" s="9" t="str">
        <x:v>AR-ET-A-A-TECH-3-B2-BRK-G0</x:v>
      </x:c>
      <x:c r="E1232" s="9" t="str">
        <x:v>ET-A-A-TECH-3</x:v>
      </x:c>
      <x:c r="F1232" s="9" t="str">
        <x:v>ET-A-A</x:v>
      </x:c>
      <x:c r="G1232" s="9" t="str">
        <x:v>B2</x:v>
      </x:c>
      <x:c r="H1232" s="9" t="str">
        <x:v>BRK</x:v>
      </x:c>
      <x:c r="I1232" s="9" t="n">
        <x:v>6</x:v>
      </x:c>
      <x:c r="J1232" s="9" t="n">
        <x:v>1</x:v>
      </x:c>
      <x:c r="K1232" s="9" t="str">
        <x:v>ET-A-A-N3</x:v>
      </x:c>
      <x:c r="L1232" s="9" t="str">
        <x:v>ST06</x:v>
      </x:c>
      <x:c r="M1232" s="17" t="str">
        <x:v>Public custody armed</x:v>
      </x:c>
      <x:c r="N1232" s="17" t="str">
        <x:v>eight raw origins have separated hash and replica routes</x:v>
      </x:c>
      <x:c r="O1232" s="17" t="str">
        <x:v>Custody authority</x:v>
      </x:c>
      <x:c r="P1232" s="9" t="n">
        <x:v>0</x:v>
      </x:c>
      <x:c r="Q1232" s="9" t="n">
        <x:v>0</x:v>
      </x:c>
      <x:c r="R1232" s="9" t="str">
        <x:v>OPEN / UNSTARTED</x:v>
      </x:c>
      <x:c r="S1232" s="9" t="n">
        <x:f>COUNTIFS($A$7:$A$1446,A1232)</x:f>
        <x:v>1</x:v>
      </x:c>
    </x:row>
    <x:row r="1233">
      <x:c r="A1233" s="9" t="str">
        <x:v>EV-AR-ET-A-A-TECH-3-B2-BRK-G0-ST07</x:v>
      </x:c>
      <x:c r="B1233" s="9" t="str">
        <x:v>EV-AR-ET-A-A-TECH-3-B2-BRK-G0</x:v>
      </x:c>
      <x:c r="C1233" s="9" t="str">
        <x:v>EOW-AR-ET-A-A-TECH-3-B2-BRK-G0</x:v>
      </x:c>
      <x:c r="D1233" s="9" t="str">
        <x:v>AR-ET-A-A-TECH-3-B2-BRK-G0</x:v>
      </x:c>
      <x:c r="E1233" s="9" t="str">
        <x:v>ET-A-A-TECH-3</x:v>
      </x:c>
      <x:c r="F1233" s="9" t="str">
        <x:v>ET-A-A</x:v>
      </x:c>
      <x:c r="G1233" s="9" t="str">
        <x:v>B2</x:v>
      </x:c>
      <x:c r="H1233" s="9" t="str">
        <x:v>BRK</x:v>
      </x:c>
      <x:c r="I1233" s="9" t="n">
        <x:v>6</x:v>
      </x:c>
      <x:c r="J1233" s="9" t="n">
        <x:v>1</x:v>
      </x:c>
      <x:c r="K1233" s="9" t="str">
        <x:v>ET-A-A-N3</x:v>
      </x:c>
      <x:c r="L1233" s="9" t="str">
        <x:v>ST07</x:v>
      </x:c>
      <x:c r="M1233" s="17" t="str">
        <x:v>Environmental baseline</x:v>
      </x:c>
      <x:c r="N1233" s="17" t="str">
        <x:v>pre-event boundary state is sealed before decisive operation</x:v>
      </x:c>
      <x:c r="O1233" s="17" t="str">
        <x:v>Site metrology</x:v>
      </x:c>
      <x:c r="P1233" s="9" t="n">
        <x:v>0</x:v>
      </x:c>
      <x:c r="Q1233" s="9" t="n">
        <x:v>0</x:v>
      </x:c>
      <x:c r="R1233" s="9" t="str">
        <x:v>OPEN / UNSTARTED</x:v>
      </x:c>
      <x:c r="S1233" s="9" t="n">
        <x:f>COUNTIFS($A$7:$A$1446,A1233)</x:f>
        <x:v>1</x:v>
      </x:c>
    </x:row>
    <x:row r="1234">
      <x:c r="A1234" s="9" t="str">
        <x:v>EV-AR-ET-A-A-TECH-3-B2-BRK-G0-ST08</x:v>
      </x:c>
      <x:c r="B1234" s="9" t="str">
        <x:v>EV-AR-ET-A-A-TECH-3-B2-BRK-G0</x:v>
      </x:c>
      <x:c r="C1234" s="9" t="str">
        <x:v>EOW-AR-ET-A-A-TECH-3-B2-BRK-G0</x:v>
      </x:c>
      <x:c r="D1234" s="9" t="str">
        <x:v>AR-ET-A-A-TECH-3-B2-BRK-G0</x:v>
      </x:c>
      <x:c r="E1234" s="9" t="str">
        <x:v>ET-A-A-TECH-3</x:v>
      </x:c>
      <x:c r="F1234" s="9" t="str">
        <x:v>ET-A-A</x:v>
      </x:c>
      <x:c r="G1234" s="9" t="str">
        <x:v>B2</x:v>
      </x:c>
      <x:c r="H1234" s="9" t="str">
        <x:v>BRK</x:v>
      </x:c>
      <x:c r="I1234" s="9" t="n">
        <x:v>6</x:v>
      </x:c>
      <x:c r="J1234" s="9" t="n">
        <x:v>1</x:v>
      </x:c>
      <x:c r="K1234" s="9" t="str">
        <x:v>ET-A-A-N3</x:v>
      </x:c>
      <x:c r="L1234" s="9" t="str">
        <x:v>ST08</x:v>
      </x:c>
      <x:c r="M1234" s="17" t="str">
        <x:v>Manual stop and safety</x:v>
      </x:c>
      <x:c r="N1234" s="17" t="str">
        <x:v>local stop, evacuation and protection routes are active</x:v>
      </x:c>
      <x:c r="O1234" s="17" t="str">
        <x:v>Safety authority</x:v>
      </x:c>
      <x:c r="P1234" s="9" t="n">
        <x:v>0</x:v>
      </x:c>
      <x:c r="Q1234" s="9" t="n">
        <x:v>0</x:v>
      </x:c>
      <x:c r="R1234" s="9" t="str">
        <x:v>OPEN / UNSTARTED</x:v>
      </x:c>
      <x:c r="S1234" s="9" t="n">
        <x:f>COUNTIFS($A$7:$A$1446,A1234)</x:f>
        <x:v>1</x:v>
      </x:c>
    </x:row>
    <x:row r="1235">
      <x:c r="A1235" s="9" t="str">
        <x:v>EV-AR-ET-A-A-TECH-3-B2-BRK-G0-ST09</x:v>
      </x:c>
      <x:c r="B1235" s="9" t="str">
        <x:v>EV-AR-ET-A-A-TECH-3-B2-BRK-G0</x:v>
      </x:c>
      <x:c r="C1235" s="9" t="str">
        <x:v>EOW-AR-ET-A-A-TECH-3-B2-BRK-G0</x:v>
      </x:c>
      <x:c r="D1235" s="9" t="str">
        <x:v>AR-ET-A-A-TECH-3-B2-BRK-G0</x:v>
      </x:c>
      <x:c r="E1235" s="9" t="str">
        <x:v>ET-A-A-TECH-3</x:v>
      </x:c>
      <x:c r="F1235" s="9" t="str">
        <x:v>ET-A-A</x:v>
      </x:c>
      <x:c r="G1235" s="9" t="str">
        <x:v>B2</x:v>
      </x:c>
      <x:c r="H1235" s="9" t="str">
        <x:v>BRK</x:v>
      </x:c>
      <x:c r="I1235" s="9" t="n">
        <x:v>6</x:v>
      </x:c>
      <x:c r="J1235" s="9" t="n">
        <x:v>1</x:v>
      </x:c>
      <x:c r="K1235" s="9" t="str">
        <x:v>ET-A-A-N3</x:v>
      </x:c>
      <x:c r="L1235" s="9" t="str">
        <x:v>ST09</x:v>
      </x:c>
      <x:c r="M1235" s="17" t="str">
        <x:v>Operator conflict clear</x:v>
      </x:c>
      <x:c r="N1235" s="17" t="str">
        <x:v>candidate, fixture, safety and measurement control edges remain separated</x:v>
      </x:c>
      <x:c r="O1235" s="17" t="str">
        <x:v>Conflict registrar</x:v>
      </x:c>
      <x:c r="P1235" s="9" t="n">
        <x:v>0</x:v>
      </x:c>
      <x:c r="Q1235" s="9" t="n">
        <x:v>0</x:v>
      </x:c>
      <x:c r="R1235" s="9" t="str">
        <x:v>OPEN / UNSTARTED</x:v>
      </x:c>
      <x:c r="S1235" s="9" t="n">
        <x:f>COUNTIFS($A$7:$A$1446,A1235)</x:f>
        <x:v>1</x:v>
      </x:c>
    </x:row>
    <x:row r="1236">
      <x:c r="A1236" s="9" t="str">
        <x:v>EV-AR-ET-A-A-TECH-3-B2-BRK-G0-ST10</x:v>
      </x:c>
      <x:c r="B1236" s="9" t="str">
        <x:v>EV-AR-ET-A-A-TECH-3-B2-BRK-G0</x:v>
      </x:c>
      <x:c r="C1236" s="9" t="str">
        <x:v>EOW-AR-ET-A-A-TECH-3-B2-BRK-G0</x:v>
      </x:c>
      <x:c r="D1236" s="9" t="str">
        <x:v>AR-ET-A-A-TECH-3-B2-BRK-G0</x:v>
      </x:c>
      <x:c r="E1236" s="9" t="str">
        <x:v>ET-A-A-TECH-3</x:v>
      </x:c>
      <x:c r="F1236" s="9" t="str">
        <x:v>ET-A-A</x:v>
      </x:c>
      <x:c r="G1236" s="9" t="str">
        <x:v>B2</x:v>
      </x:c>
      <x:c r="H1236" s="9" t="str">
        <x:v>BRK</x:v>
      </x:c>
      <x:c r="I1236" s="9" t="n">
        <x:v>6</x:v>
      </x:c>
      <x:c r="J1236" s="9" t="n">
        <x:v>1</x:v>
      </x:c>
      <x:c r="K1236" s="9" t="str">
        <x:v>ET-A-A-N3</x:v>
      </x:c>
      <x:c r="L1236" s="9" t="str">
        <x:v>ST10</x:v>
      </x:c>
      <x:c r="M1236" s="17" t="str">
        <x:v>Window and common clock</x:v>
      </x:c>
      <x:c r="N1236" s="17" t="str">
        <x:v>epoch, window and public time origin match the issued warrant</x:v>
      </x:c>
      <x:c r="O1236" s="17" t="str">
        <x:v>Event clock authority</x:v>
      </x:c>
      <x:c r="P1236" s="9" t="n">
        <x:v>0</x:v>
      </x:c>
      <x:c r="Q1236" s="9" t="n">
        <x:v>0</x:v>
      </x:c>
      <x:c r="R1236" s="9" t="str">
        <x:v>OPEN / UNSTARTED</x:v>
      </x:c>
      <x:c r="S1236" s="9" t="n">
        <x:f>COUNTIFS($A$7:$A$1446,A1236)</x:f>
        <x:v>1</x:v>
      </x:c>
    </x:row>
    <x:row r="1237">
      <x:c r="A1237" s="9" t="str">
        <x:v>EV-AR-HC-A-C-TECH-4-B1-INT-G0-ST01</x:v>
      </x:c>
      <x:c r="B1237" s="9" t="str">
        <x:v>EV-AR-HC-A-C-TECH-4-B1-INT-G0</x:v>
      </x:c>
      <x:c r="C1237" s="9" t="str">
        <x:v>EOW-AR-HC-A-C-TECH-4-B1-INT-G0</x:v>
      </x:c>
      <x:c r="D1237" s="9" t="str">
        <x:v>AR-HC-A-C-TECH-4-B1-INT-G0</x:v>
      </x:c>
      <x:c r="E1237" s="9" t="str">
        <x:v>HC-A-C-TECH-4</x:v>
      </x:c>
      <x:c r="F1237" s="9" t="str">
        <x:v>HC-A-C</x:v>
      </x:c>
      <x:c r="G1237" s="9" t="str">
        <x:v>B1</x:v>
      </x:c>
      <x:c r="H1237" s="9" t="str">
        <x:v>INT</x:v>
      </x:c>
      <x:c r="I1237" s="9" t="n">
        <x:v>6</x:v>
      </x:c>
      <x:c r="J1237" s="9" t="n">
        <x:v>1</x:v>
      </x:c>
      <x:c r="K1237" s="9" t="str">
        <x:v>HC-A-C-N2</x:v>
      </x:c>
      <x:c r="L1237" s="9" t="str">
        <x:v>ST01</x:v>
      </x:c>
      <x:c r="M1237" s="17" t="str">
        <x:v>Active opportunity warrant</x:v>
      </x:c>
      <x:c r="N1237" s="17" t="str">
        <x:v>configuration-bound EOW is within its thirty-six-hour validity</x:v>
      </x:c>
      <x:c r="O1237" s="17" t="str">
        <x:v>Start registrar</x:v>
      </x:c>
      <x:c r="P1237" s="9" t="n">
        <x:v>0</x:v>
      </x:c>
      <x:c r="Q1237" s="9" t="n">
        <x:v>0</x:v>
      </x:c>
      <x:c r="R1237" s="9" t="str">
        <x:v>OPEN / UNSTARTED</x:v>
      </x:c>
      <x:c r="S1237" s="9" t="n">
        <x:f>COUNTIFS($A$7:$A$1446,A1237)</x:f>
        <x:v>1</x:v>
      </x:c>
    </x:row>
    <x:row r="1238">
      <x:c r="A1238" s="9" t="str">
        <x:v>EV-AR-HC-A-C-TECH-4-B1-INT-G0-ST02</x:v>
      </x:c>
      <x:c r="B1238" s="9" t="str">
        <x:v>EV-AR-HC-A-C-TECH-4-B1-INT-G0</x:v>
      </x:c>
      <x:c r="C1238" s="9" t="str">
        <x:v>EOW-AR-HC-A-C-TECH-4-B1-INT-G0</x:v>
      </x:c>
      <x:c r="D1238" s="9" t="str">
        <x:v>AR-HC-A-C-TECH-4-B1-INT-G0</x:v>
      </x:c>
      <x:c r="E1238" s="9" t="str">
        <x:v>HC-A-C-TECH-4</x:v>
      </x:c>
      <x:c r="F1238" s="9" t="str">
        <x:v>HC-A-C</x:v>
      </x:c>
      <x:c r="G1238" s="9" t="str">
        <x:v>B1</x:v>
      </x:c>
      <x:c r="H1238" s="9" t="str">
        <x:v>INT</x:v>
      </x:c>
      <x:c r="I1238" s="9" t="n">
        <x:v>6</x:v>
      </x:c>
      <x:c r="J1238" s="9" t="n">
        <x:v>1</x:v>
      </x:c>
      <x:c r="K1238" s="9" t="str">
        <x:v>HC-A-C-N2</x:v>
      </x:c>
      <x:c r="L1238" s="9" t="str">
        <x:v>ST02</x:v>
      </x:c>
      <x:c r="M1238" s="17" t="str">
        <x:v>Frozen identity</x:v>
      </x:c>
      <x:c r="N1238" s="17" t="str">
        <x:v>serial, generation, fixture, site, receiver and digest match the warrant</x:v>
      </x:c>
      <x:c r="O1238" s="17" t="str">
        <x:v>Custody authority</x:v>
      </x:c>
      <x:c r="P1238" s="9" t="n">
        <x:v>0</x:v>
      </x:c>
      <x:c r="Q1238" s="9" t="n">
        <x:v>0</x:v>
      </x:c>
      <x:c r="R1238" s="9" t="str">
        <x:v>OPEN / UNSTARTED</x:v>
      </x:c>
      <x:c r="S1238" s="9" t="n">
        <x:f>COUNTIFS($A$7:$A$1446,A1238)</x:f>
        <x:v>1</x:v>
      </x:c>
    </x:row>
    <x:row r="1239">
      <x:c r="A1239" s="9" t="str">
        <x:v>EV-AR-HC-A-C-TECH-4-B1-INT-G0-ST03</x:v>
      </x:c>
      <x:c r="B1239" s="9" t="str">
        <x:v>EV-AR-HC-A-C-TECH-4-B1-INT-G0</x:v>
      </x:c>
      <x:c r="C1239" s="9" t="str">
        <x:v>EOW-AR-HC-A-C-TECH-4-B1-INT-G0</x:v>
      </x:c>
      <x:c r="D1239" s="9" t="str">
        <x:v>AR-HC-A-C-TECH-4-B1-INT-G0</x:v>
      </x:c>
      <x:c r="E1239" s="9" t="str">
        <x:v>HC-A-C-TECH-4</x:v>
      </x:c>
      <x:c r="F1239" s="9" t="str">
        <x:v>HC-A-C</x:v>
      </x:c>
      <x:c r="G1239" s="9" t="str">
        <x:v>B1</x:v>
      </x:c>
      <x:c r="H1239" s="9" t="str">
        <x:v>INT</x:v>
      </x:c>
      <x:c r="I1239" s="9" t="n">
        <x:v>6</x:v>
      </x:c>
      <x:c r="J1239" s="9" t="n">
        <x:v>1</x:v>
      </x:c>
      <x:c r="K1239" s="9" t="str">
        <x:v>HC-A-C-N2</x:v>
      </x:c>
      <x:c r="L1239" s="9" t="str">
        <x:v>ST03</x:v>
      </x:c>
      <x:c r="M1239" s="17" t="str">
        <x:v>Receiver receipt</x:v>
      </x:c>
      <x:c r="N1239" s="17" t="str">
        <x:v>denominator, counterfactual, rights and stop receipt remain unchanged</x:v>
      </x:c>
      <x:c r="O1239" s="17" t="str">
        <x:v>Receiver authority</x:v>
      </x:c>
      <x:c r="P1239" s="9" t="n">
        <x:v>0</x:v>
      </x:c>
      <x:c r="Q1239" s="9" t="n">
        <x:v>0</x:v>
      </x:c>
      <x:c r="R1239" s="9" t="str">
        <x:v>OPEN / UNSTARTED</x:v>
      </x:c>
      <x:c r="S1239" s="9" t="n">
        <x:f>COUNTIFS($A$7:$A$1446,A1239)</x:f>
        <x:v>1</x:v>
      </x:c>
    </x:row>
    <x:row r="1240">
      <x:c r="A1240" s="9" t="str">
        <x:v>EV-AR-HC-A-C-TECH-4-B1-INT-G0-ST04</x:v>
      </x:c>
      <x:c r="B1240" s="9" t="str">
        <x:v>EV-AR-HC-A-C-TECH-4-B1-INT-G0</x:v>
      </x:c>
      <x:c r="C1240" s="9" t="str">
        <x:v>EOW-AR-HC-A-C-TECH-4-B1-INT-G0</x:v>
      </x:c>
      <x:c r="D1240" s="9" t="str">
        <x:v>AR-HC-A-C-TECH-4-B1-INT-G0</x:v>
      </x:c>
      <x:c r="E1240" s="9" t="str">
        <x:v>HC-A-C-TECH-4</x:v>
      </x:c>
      <x:c r="F1240" s="9" t="str">
        <x:v>HC-A-C</x:v>
      </x:c>
      <x:c r="G1240" s="9" t="str">
        <x:v>B1</x:v>
      </x:c>
      <x:c r="H1240" s="9" t="str">
        <x:v>INT</x:v>
      </x:c>
      <x:c r="I1240" s="9" t="n">
        <x:v>6</x:v>
      </x:c>
      <x:c r="J1240" s="9" t="n">
        <x:v>1</x:v>
      </x:c>
      <x:c r="K1240" s="9" t="str">
        <x:v>HC-A-C-N2</x:v>
      </x:c>
      <x:c r="L1240" s="9" t="str">
        <x:v>ST04</x:v>
      </x:c>
      <x:c r="M1240" s="17" t="str">
        <x:v>Primary capture armed</x:v>
      </x:c>
      <x:c r="N1240" s="17" t="str">
        <x:v>primary chain records sealed reference and live time</x:v>
      </x:c>
      <x:c r="O1240" s="17" t="str">
        <x:v>Primary metrology</x:v>
      </x:c>
      <x:c r="P1240" s="9" t="n">
        <x:v>0</x:v>
      </x:c>
      <x:c r="Q1240" s="9" t="n">
        <x:v>0</x:v>
      </x:c>
      <x:c r="R1240" s="9" t="str">
        <x:v>OPEN / UNSTARTED</x:v>
      </x:c>
      <x:c r="S1240" s="9" t="n">
        <x:f>COUNTIFS($A$7:$A$1446,A1240)</x:f>
        <x:v>1</x:v>
      </x:c>
    </x:row>
    <x:row r="1241">
      <x:c r="A1241" s="9" t="str">
        <x:v>EV-AR-HC-A-C-TECH-4-B1-INT-G0-ST05</x:v>
      </x:c>
      <x:c r="B1241" s="9" t="str">
        <x:v>EV-AR-HC-A-C-TECH-4-B1-INT-G0</x:v>
      </x:c>
      <x:c r="C1241" s="9" t="str">
        <x:v>EOW-AR-HC-A-C-TECH-4-B1-INT-G0</x:v>
      </x:c>
      <x:c r="D1241" s="9" t="str">
        <x:v>AR-HC-A-C-TECH-4-B1-INT-G0</x:v>
      </x:c>
      <x:c r="E1241" s="9" t="str">
        <x:v>HC-A-C-TECH-4</x:v>
      </x:c>
      <x:c r="F1241" s="9" t="str">
        <x:v>HC-A-C</x:v>
      </x:c>
      <x:c r="G1241" s="9" t="str">
        <x:v>B1</x:v>
      </x:c>
      <x:c r="H1241" s="9" t="str">
        <x:v>INT</x:v>
      </x:c>
      <x:c r="I1241" s="9" t="n">
        <x:v>6</x:v>
      </x:c>
      <x:c r="J1241" s="9" t="n">
        <x:v>1</x:v>
      </x:c>
      <x:c r="K1241" s="9" t="str">
        <x:v>HC-A-C-N2</x:v>
      </x:c>
      <x:c r="L1241" s="9" t="str">
        <x:v>ST05</x:v>
      </x:c>
      <x:c r="M1241" s="17" t="str">
        <x:v>Witness capture armed</x:v>
      </x:c>
      <x:c r="N1241" s="17" t="str">
        <x:v>unlike witness records independent reference and live time</x:v>
      </x:c>
      <x:c r="O1241" s="17" t="str">
        <x:v>Witness metrology</x:v>
      </x:c>
      <x:c r="P1241" s="9" t="n">
        <x:v>0</x:v>
      </x:c>
      <x:c r="Q1241" s="9" t="n">
        <x:v>0</x:v>
      </x:c>
      <x:c r="R1241" s="9" t="str">
        <x:v>OPEN / UNSTARTED</x:v>
      </x:c>
      <x:c r="S1241" s="9" t="n">
        <x:f>COUNTIFS($A$7:$A$1446,A1241)</x:f>
        <x:v>1</x:v>
      </x:c>
    </x:row>
    <x:row r="1242">
      <x:c r="A1242" s="9" t="str">
        <x:v>EV-AR-HC-A-C-TECH-4-B1-INT-G0-ST06</x:v>
      </x:c>
      <x:c r="B1242" s="9" t="str">
        <x:v>EV-AR-HC-A-C-TECH-4-B1-INT-G0</x:v>
      </x:c>
      <x:c r="C1242" s="9" t="str">
        <x:v>EOW-AR-HC-A-C-TECH-4-B1-INT-G0</x:v>
      </x:c>
      <x:c r="D1242" s="9" t="str">
        <x:v>AR-HC-A-C-TECH-4-B1-INT-G0</x:v>
      </x:c>
      <x:c r="E1242" s="9" t="str">
        <x:v>HC-A-C-TECH-4</x:v>
      </x:c>
      <x:c r="F1242" s="9" t="str">
        <x:v>HC-A-C</x:v>
      </x:c>
      <x:c r="G1242" s="9" t="str">
        <x:v>B1</x:v>
      </x:c>
      <x:c r="H1242" s="9" t="str">
        <x:v>INT</x:v>
      </x:c>
      <x:c r="I1242" s="9" t="n">
        <x:v>6</x:v>
      </x:c>
      <x:c r="J1242" s="9" t="n">
        <x:v>1</x:v>
      </x:c>
      <x:c r="K1242" s="9" t="str">
        <x:v>HC-A-C-N2</x:v>
      </x:c>
      <x:c r="L1242" s="9" t="str">
        <x:v>ST06</x:v>
      </x:c>
      <x:c r="M1242" s="17" t="str">
        <x:v>Public custody armed</x:v>
      </x:c>
      <x:c r="N1242" s="17" t="str">
        <x:v>eight raw origins have separated hash and replica routes</x:v>
      </x:c>
      <x:c r="O1242" s="17" t="str">
        <x:v>Custody authority</x:v>
      </x:c>
      <x:c r="P1242" s="9" t="n">
        <x:v>0</x:v>
      </x:c>
      <x:c r="Q1242" s="9" t="n">
        <x:v>0</x:v>
      </x:c>
      <x:c r="R1242" s="9" t="str">
        <x:v>OPEN / UNSTARTED</x:v>
      </x:c>
      <x:c r="S1242" s="9" t="n">
        <x:f>COUNTIFS($A$7:$A$1446,A1242)</x:f>
        <x:v>1</x:v>
      </x:c>
    </x:row>
    <x:row r="1243">
      <x:c r="A1243" s="9" t="str">
        <x:v>EV-AR-HC-A-C-TECH-4-B1-INT-G0-ST07</x:v>
      </x:c>
      <x:c r="B1243" s="9" t="str">
        <x:v>EV-AR-HC-A-C-TECH-4-B1-INT-G0</x:v>
      </x:c>
      <x:c r="C1243" s="9" t="str">
        <x:v>EOW-AR-HC-A-C-TECH-4-B1-INT-G0</x:v>
      </x:c>
      <x:c r="D1243" s="9" t="str">
        <x:v>AR-HC-A-C-TECH-4-B1-INT-G0</x:v>
      </x:c>
      <x:c r="E1243" s="9" t="str">
        <x:v>HC-A-C-TECH-4</x:v>
      </x:c>
      <x:c r="F1243" s="9" t="str">
        <x:v>HC-A-C</x:v>
      </x:c>
      <x:c r="G1243" s="9" t="str">
        <x:v>B1</x:v>
      </x:c>
      <x:c r="H1243" s="9" t="str">
        <x:v>INT</x:v>
      </x:c>
      <x:c r="I1243" s="9" t="n">
        <x:v>6</x:v>
      </x:c>
      <x:c r="J1243" s="9" t="n">
        <x:v>1</x:v>
      </x:c>
      <x:c r="K1243" s="9" t="str">
        <x:v>HC-A-C-N2</x:v>
      </x:c>
      <x:c r="L1243" s="9" t="str">
        <x:v>ST07</x:v>
      </x:c>
      <x:c r="M1243" s="17" t="str">
        <x:v>Environmental baseline</x:v>
      </x:c>
      <x:c r="N1243" s="17" t="str">
        <x:v>pre-event boundary state is sealed before decisive operation</x:v>
      </x:c>
      <x:c r="O1243" s="17" t="str">
        <x:v>Site metrology</x:v>
      </x:c>
      <x:c r="P1243" s="9" t="n">
        <x:v>0</x:v>
      </x:c>
      <x:c r="Q1243" s="9" t="n">
        <x:v>0</x:v>
      </x:c>
      <x:c r="R1243" s="9" t="str">
        <x:v>OPEN / UNSTARTED</x:v>
      </x:c>
      <x:c r="S1243" s="9" t="n">
        <x:f>COUNTIFS($A$7:$A$1446,A1243)</x:f>
        <x:v>1</x:v>
      </x:c>
    </x:row>
    <x:row r="1244">
      <x:c r="A1244" s="9" t="str">
        <x:v>EV-AR-HC-A-C-TECH-4-B1-INT-G0-ST08</x:v>
      </x:c>
      <x:c r="B1244" s="9" t="str">
        <x:v>EV-AR-HC-A-C-TECH-4-B1-INT-G0</x:v>
      </x:c>
      <x:c r="C1244" s="9" t="str">
        <x:v>EOW-AR-HC-A-C-TECH-4-B1-INT-G0</x:v>
      </x:c>
      <x:c r="D1244" s="9" t="str">
        <x:v>AR-HC-A-C-TECH-4-B1-INT-G0</x:v>
      </x:c>
      <x:c r="E1244" s="9" t="str">
        <x:v>HC-A-C-TECH-4</x:v>
      </x:c>
      <x:c r="F1244" s="9" t="str">
        <x:v>HC-A-C</x:v>
      </x:c>
      <x:c r="G1244" s="9" t="str">
        <x:v>B1</x:v>
      </x:c>
      <x:c r="H1244" s="9" t="str">
        <x:v>INT</x:v>
      </x:c>
      <x:c r="I1244" s="9" t="n">
        <x:v>6</x:v>
      </x:c>
      <x:c r="J1244" s="9" t="n">
        <x:v>1</x:v>
      </x:c>
      <x:c r="K1244" s="9" t="str">
        <x:v>HC-A-C-N2</x:v>
      </x:c>
      <x:c r="L1244" s="9" t="str">
        <x:v>ST08</x:v>
      </x:c>
      <x:c r="M1244" s="17" t="str">
        <x:v>Manual stop and safety</x:v>
      </x:c>
      <x:c r="N1244" s="17" t="str">
        <x:v>local stop, evacuation and protection routes are active</x:v>
      </x:c>
      <x:c r="O1244" s="17" t="str">
        <x:v>Safety authority</x:v>
      </x:c>
      <x:c r="P1244" s="9" t="n">
        <x:v>0</x:v>
      </x:c>
      <x:c r="Q1244" s="9" t="n">
        <x:v>0</x:v>
      </x:c>
      <x:c r="R1244" s="9" t="str">
        <x:v>OPEN / UNSTARTED</x:v>
      </x:c>
      <x:c r="S1244" s="9" t="n">
        <x:f>COUNTIFS($A$7:$A$1446,A1244)</x:f>
        <x:v>1</x:v>
      </x:c>
    </x:row>
    <x:row r="1245">
      <x:c r="A1245" s="9" t="str">
        <x:v>EV-AR-HC-A-C-TECH-4-B1-INT-G0-ST09</x:v>
      </x:c>
      <x:c r="B1245" s="9" t="str">
        <x:v>EV-AR-HC-A-C-TECH-4-B1-INT-G0</x:v>
      </x:c>
      <x:c r="C1245" s="9" t="str">
        <x:v>EOW-AR-HC-A-C-TECH-4-B1-INT-G0</x:v>
      </x:c>
      <x:c r="D1245" s="9" t="str">
        <x:v>AR-HC-A-C-TECH-4-B1-INT-G0</x:v>
      </x:c>
      <x:c r="E1245" s="9" t="str">
        <x:v>HC-A-C-TECH-4</x:v>
      </x:c>
      <x:c r="F1245" s="9" t="str">
        <x:v>HC-A-C</x:v>
      </x:c>
      <x:c r="G1245" s="9" t="str">
        <x:v>B1</x:v>
      </x:c>
      <x:c r="H1245" s="9" t="str">
        <x:v>INT</x:v>
      </x:c>
      <x:c r="I1245" s="9" t="n">
        <x:v>6</x:v>
      </x:c>
      <x:c r="J1245" s="9" t="n">
        <x:v>1</x:v>
      </x:c>
      <x:c r="K1245" s="9" t="str">
        <x:v>HC-A-C-N2</x:v>
      </x:c>
      <x:c r="L1245" s="9" t="str">
        <x:v>ST09</x:v>
      </x:c>
      <x:c r="M1245" s="17" t="str">
        <x:v>Operator conflict clear</x:v>
      </x:c>
      <x:c r="N1245" s="17" t="str">
        <x:v>candidate, fixture, safety and measurement control edges remain separated</x:v>
      </x:c>
      <x:c r="O1245" s="17" t="str">
        <x:v>Conflict registrar</x:v>
      </x:c>
      <x:c r="P1245" s="9" t="n">
        <x:v>0</x:v>
      </x:c>
      <x:c r="Q1245" s="9" t="n">
        <x:v>0</x:v>
      </x:c>
      <x:c r="R1245" s="9" t="str">
        <x:v>OPEN / UNSTARTED</x:v>
      </x:c>
      <x:c r="S1245" s="9" t="n">
        <x:f>COUNTIFS($A$7:$A$1446,A1245)</x:f>
        <x:v>1</x:v>
      </x:c>
    </x:row>
    <x:row r="1246">
      <x:c r="A1246" s="9" t="str">
        <x:v>EV-AR-HC-A-C-TECH-4-B1-INT-G0-ST10</x:v>
      </x:c>
      <x:c r="B1246" s="9" t="str">
        <x:v>EV-AR-HC-A-C-TECH-4-B1-INT-G0</x:v>
      </x:c>
      <x:c r="C1246" s="9" t="str">
        <x:v>EOW-AR-HC-A-C-TECH-4-B1-INT-G0</x:v>
      </x:c>
      <x:c r="D1246" s="9" t="str">
        <x:v>AR-HC-A-C-TECH-4-B1-INT-G0</x:v>
      </x:c>
      <x:c r="E1246" s="9" t="str">
        <x:v>HC-A-C-TECH-4</x:v>
      </x:c>
      <x:c r="F1246" s="9" t="str">
        <x:v>HC-A-C</x:v>
      </x:c>
      <x:c r="G1246" s="9" t="str">
        <x:v>B1</x:v>
      </x:c>
      <x:c r="H1246" s="9" t="str">
        <x:v>INT</x:v>
      </x:c>
      <x:c r="I1246" s="9" t="n">
        <x:v>6</x:v>
      </x:c>
      <x:c r="J1246" s="9" t="n">
        <x:v>1</x:v>
      </x:c>
      <x:c r="K1246" s="9" t="str">
        <x:v>HC-A-C-N2</x:v>
      </x:c>
      <x:c r="L1246" s="9" t="str">
        <x:v>ST10</x:v>
      </x:c>
      <x:c r="M1246" s="17" t="str">
        <x:v>Window and common clock</x:v>
      </x:c>
      <x:c r="N1246" s="17" t="str">
        <x:v>epoch, window and public time origin match the issued warrant</x:v>
      </x:c>
      <x:c r="O1246" s="17" t="str">
        <x:v>Event clock authority</x:v>
      </x:c>
      <x:c r="P1246" s="9" t="n">
        <x:v>0</x:v>
      </x:c>
      <x:c r="Q1246" s="9" t="n">
        <x:v>0</x:v>
      </x:c>
      <x:c r="R1246" s="9" t="str">
        <x:v>OPEN / UNSTARTED</x:v>
      </x:c>
      <x:c r="S1246" s="9" t="n">
        <x:f>COUNTIFS($A$7:$A$1446,A1246)</x:f>
        <x:v>1</x:v>
      </x:c>
    </x:row>
    <x:row r="1247">
      <x:c r="A1247" s="9" t="str">
        <x:v>EV-AR-LF-B-A-TECH-4-B2-RCN-G0-ST01</x:v>
      </x:c>
      <x:c r="B1247" s="9" t="str">
        <x:v>EV-AR-LF-B-A-TECH-4-B2-RCN-G0</x:v>
      </x:c>
      <x:c r="C1247" s="9" t="str">
        <x:v>EOW-AR-LF-B-A-TECH-4-B2-RCN-G0</x:v>
      </x:c>
      <x:c r="D1247" s="9" t="str">
        <x:v>AR-LF-B-A-TECH-4-B2-RCN-G0</x:v>
      </x:c>
      <x:c r="E1247" s="9" t="str">
        <x:v>LF-B-A-TECH-4</x:v>
      </x:c>
      <x:c r="F1247" s="9" t="str">
        <x:v>LF-B-A</x:v>
      </x:c>
      <x:c r="G1247" s="9" t="str">
        <x:v>B2</x:v>
      </x:c>
      <x:c r="H1247" s="9" t="str">
        <x:v>RCN</x:v>
      </x:c>
      <x:c r="I1247" s="9" t="n">
        <x:v>6</x:v>
      </x:c>
      <x:c r="J1247" s="9" t="n">
        <x:v>1</x:v>
      </x:c>
      <x:c r="K1247" s="9" t="str">
        <x:v>LF-B-A-N1</x:v>
      </x:c>
      <x:c r="L1247" s="9" t="str">
        <x:v>ST01</x:v>
      </x:c>
      <x:c r="M1247" s="17" t="str">
        <x:v>Active opportunity warrant</x:v>
      </x:c>
      <x:c r="N1247" s="17" t="str">
        <x:v>configuration-bound EOW is within its thirty-six-hour validity</x:v>
      </x:c>
      <x:c r="O1247" s="17" t="str">
        <x:v>Start registrar</x:v>
      </x:c>
      <x:c r="P1247" s="9" t="n">
        <x:v>0</x:v>
      </x:c>
      <x:c r="Q1247" s="9" t="n">
        <x:v>0</x:v>
      </x:c>
      <x:c r="R1247" s="9" t="str">
        <x:v>OPEN / UNSTARTED</x:v>
      </x:c>
      <x:c r="S1247" s="9" t="n">
        <x:f>COUNTIFS($A$7:$A$1446,A1247)</x:f>
        <x:v>1</x:v>
      </x:c>
    </x:row>
    <x:row r="1248">
      <x:c r="A1248" s="9" t="str">
        <x:v>EV-AR-LF-B-A-TECH-4-B2-RCN-G0-ST02</x:v>
      </x:c>
      <x:c r="B1248" s="9" t="str">
        <x:v>EV-AR-LF-B-A-TECH-4-B2-RCN-G0</x:v>
      </x:c>
      <x:c r="C1248" s="9" t="str">
        <x:v>EOW-AR-LF-B-A-TECH-4-B2-RCN-G0</x:v>
      </x:c>
      <x:c r="D1248" s="9" t="str">
        <x:v>AR-LF-B-A-TECH-4-B2-RCN-G0</x:v>
      </x:c>
      <x:c r="E1248" s="9" t="str">
        <x:v>LF-B-A-TECH-4</x:v>
      </x:c>
      <x:c r="F1248" s="9" t="str">
        <x:v>LF-B-A</x:v>
      </x:c>
      <x:c r="G1248" s="9" t="str">
        <x:v>B2</x:v>
      </x:c>
      <x:c r="H1248" s="9" t="str">
        <x:v>RCN</x:v>
      </x:c>
      <x:c r="I1248" s="9" t="n">
        <x:v>6</x:v>
      </x:c>
      <x:c r="J1248" s="9" t="n">
        <x:v>1</x:v>
      </x:c>
      <x:c r="K1248" s="9" t="str">
        <x:v>LF-B-A-N1</x:v>
      </x:c>
      <x:c r="L1248" s="9" t="str">
        <x:v>ST02</x:v>
      </x:c>
      <x:c r="M1248" s="17" t="str">
        <x:v>Frozen identity</x:v>
      </x:c>
      <x:c r="N1248" s="17" t="str">
        <x:v>serial, generation, fixture, site, receiver and digest match the warrant</x:v>
      </x:c>
      <x:c r="O1248" s="17" t="str">
        <x:v>Custody authority</x:v>
      </x:c>
      <x:c r="P1248" s="9" t="n">
        <x:v>0</x:v>
      </x:c>
      <x:c r="Q1248" s="9" t="n">
        <x:v>0</x:v>
      </x:c>
      <x:c r="R1248" s="9" t="str">
        <x:v>OPEN / UNSTARTED</x:v>
      </x:c>
      <x:c r="S1248" s="9" t="n">
        <x:f>COUNTIFS($A$7:$A$1446,A1248)</x:f>
        <x:v>1</x:v>
      </x:c>
    </x:row>
    <x:row r="1249">
      <x:c r="A1249" s="9" t="str">
        <x:v>EV-AR-LF-B-A-TECH-4-B2-RCN-G0-ST03</x:v>
      </x:c>
      <x:c r="B1249" s="9" t="str">
        <x:v>EV-AR-LF-B-A-TECH-4-B2-RCN-G0</x:v>
      </x:c>
      <x:c r="C1249" s="9" t="str">
        <x:v>EOW-AR-LF-B-A-TECH-4-B2-RCN-G0</x:v>
      </x:c>
      <x:c r="D1249" s="9" t="str">
        <x:v>AR-LF-B-A-TECH-4-B2-RCN-G0</x:v>
      </x:c>
      <x:c r="E1249" s="9" t="str">
        <x:v>LF-B-A-TECH-4</x:v>
      </x:c>
      <x:c r="F1249" s="9" t="str">
        <x:v>LF-B-A</x:v>
      </x:c>
      <x:c r="G1249" s="9" t="str">
        <x:v>B2</x:v>
      </x:c>
      <x:c r="H1249" s="9" t="str">
        <x:v>RCN</x:v>
      </x:c>
      <x:c r="I1249" s="9" t="n">
        <x:v>6</x:v>
      </x:c>
      <x:c r="J1249" s="9" t="n">
        <x:v>1</x:v>
      </x:c>
      <x:c r="K1249" s="9" t="str">
        <x:v>LF-B-A-N1</x:v>
      </x:c>
      <x:c r="L1249" s="9" t="str">
        <x:v>ST03</x:v>
      </x:c>
      <x:c r="M1249" s="17" t="str">
        <x:v>Receiver receipt</x:v>
      </x:c>
      <x:c r="N1249" s="17" t="str">
        <x:v>denominator, counterfactual, rights and stop receipt remain unchanged</x:v>
      </x:c>
      <x:c r="O1249" s="17" t="str">
        <x:v>Receiver authority</x:v>
      </x:c>
      <x:c r="P1249" s="9" t="n">
        <x:v>0</x:v>
      </x:c>
      <x:c r="Q1249" s="9" t="n">
        <x:v>0</x:v>
      </x:c>
      <x:c r="R1249" s="9" t="str">
        <x:v>OPEN / UNSTARTED</x:v>
      </x:c>
      <x:c r="S1249" s="9" t="n">
        <x:f>COUNTIFS($A$7:$A$1446,A1249)</x:f>
        <x:v>1</x:v>
      </x:c>
    </x:row>
    <x:row r="1250">
      <x:c r="A1250" s="9" t="str">
        <x:v>EV-AR-LF-B-A-TECH-4-B2-RCN-G0-ST04</x:v>
      </x:c>
      <x:c r="B1250" s="9" t="str">
        <x:v>EV-AR-LF-B-A-TECH-4-B2-RCN-G0</x:v>
      </x:c>
      <x:c r="C1250" s="9" t="str">
        <x:v>EOW-AR-LF-B-A-TECH-4-B2-RCN-G0</x:v>
      </x:c>
      <x:c r="D1250" s="9" t="str">
        <x:v>AR-LF-B-A-TECH-4-B2-RCN-G0</x:v>
      </x:c>
      <x:c r="E1250" s="9" t="str">
        <x:v>LF-B-A-TECH-4</x:v>
      </x:c>
      <x:c r="F1250" s="9" t="str">
        <x:v>LF-B-A</x:v>
      </x:c>
      <x:c r="G1250" s="9" t="str">
        <x:v>B2</x:v>
      </x:c>
      <x:c r="H1250" s="9" t="str">
        <x:v>RCN</x:v>
      </x:c>
      <x:c r="I1250" s="9" t="n">
        <x:v>6</x:v>
      </x:c>
      <x:c r="J1250" s="9" t="n">
        <x:v>1</x:v>
      </x:c>
      <x:c r="K1250" s="9" t="str">
        <x:v>LF-B-A-N1</x:v>
      </x:c>
      <x:c r="L1250" s="9" t="str">
        <x:v>ST04</x:v>
      </x:c>
      <x:c r="M1250" s="17" t="str">
        <x:v>Primary capture armed</x:v>
      </x:c>
      <x:c r="N1250" s="17" t="str">
        <x:v>primary chain records sealed reference and live time</x:v>
      </x:c>
      <x:c r="O1250" s="17" t="str">
        <x:v>Primary metrology</x:v>
      </x:c>
      <x:c r="P1250" s="9" t="n">
        <x:v>0</x:v>
      </x:c>
      <x:c r="Q1250" s="9" t="n">
        <x:v>0</x:v>
      </x:c>
      <x:c r="R1250" s="9" t="str">
        <x:v>OPEN / UNSTARTED</x:v>
      </x:c>
      <x:c r="S1250" s="9" t="n">
        <x:f>COUNTIFS($A$7:$A$1446,A1250)</x:f>
        <x:v>1</x:v>
      </x:c>
    </x:row>
    <x:row r="1251">
      <x:c r="A1251" s="9" t="str">
        <x:v>EV-AR-LF-B-A-TECH-4-B2-RCN-G0-ST05</x:v>
      </x:c>
      <x:c r="B1251" s="9" t="str">
        <x:v>EV-AR-LF-B-A-TECH-4-B2-RCN-G0</x:v>
      </x:c>
      <x:c r="C1251" s="9" t="str">
        <x:v>EOW-AR-LF-B-A-TECH-4-B2-RCN-G0</x:v>
      </x:c>
      <x:c r="D1251" s="9" t="str">
        <x:v>AR-LF-B-A-TECH-4-B2-RCN-G0</x:v>
      </x:c>
      <x:c r="E1251" s="9" t="str">
        <x:v>LF-B-A-TECH-4</x:v>
      </x:c>
      <x:c r="F1251" s="9" t="str">
        <x:v>LF-B-A</x:v>
      </x:c>
      <x:c r="G1251" s="9" t="str">
        <x:v>B2</x:v>
      </x:c>
      <x:c r="H1251" s="9" t="str">
        <x:v>RCN</x:v>
      </x:c>
      <x:c r="I1251" s="9" t="n">
        <x:v>6</x:v>
      </x:c>
      <x:c r="J1251" s="9" t="n">
        <x:v>1</x:v>
      </x:c>
      <x:c r="K1251" s="9" t="str">
        <x:v>LF-B-A-N1</x:v>
      </x:c>
      <x:c r="L1251" s="9" t="str">
        <x:v>ST05</x:v>
      </x:c>
      <x:c r="M1251" s="17" t="str">
        <x:v>Witness capture armed</x:v>
      </x:c>
      <x:c r="N1251" s="17" t="str">
        <x:v>unlike witness records independent reference and live time</x:v>
      </x:c>
      <x:c r="O1251" s="17" t="str">
        <x:v>Witness metrology</x:v>
      </x:c>
      <x:c r="P1251" s="9" t="n">
        <x:v>0</x:v>
      </x:c>
      <x:c r="Q1251" s="9" t="n">
        <x:v>0</x:v>
      </x:c>
      <x:c r="R1251" s="9" t="str">
        <x:v>OPEN / UNSTARTED</x:v>
      </x:c>
      <x:c r="S1251" s="9" t="n">
        <x:f>COUNTIFS($A$7:$A$1446,A1251)</x:f>
        <x:v>1</x:v>
      </x:c>
    </x:row>
    <x:row r="1252">
      <x:c r="A1252" s="9" t="str">
        <x:v>EV-AR-LF-B-A-TECH-4-B2-RCN-G0-ST06</x:v>
      </x:c>
      <x:c r="B1252" s="9" t="str">
        <x:v>EV-AR-LF-B-A-TECH-4-B2-RCN-G0</x:v>
      </x:c>
      <x:c r="C1252" s="9" t="str">
        <x:v>EOW-AR-LF-B-A-TECH-4-B2-RCN-G0</x:v>
      </x:c>
      <x:c r="D1252" s="9" t="str">
        <x:v>AR-LF-B-A-TECH-4-B2-RCN-G0</x:v>
      </x:c>
      <x:c r="E1252" s="9" t="str">
        <x:v>LF-B-A-TECH-4</x:v>
      </x:c>
      <x:c r="F1252" s="9" t="str">
        <x:v>LF-B-A</x:v>
      </x:c>
      <x:c r="G1252" s="9" t="str">
        <x:v>B2</x:v>
      </x:c>
      <x:c r="H1252" s="9" t="str">
        <x:v>RCN</x:v>
      </x:c>
      <x:c r="I1252" s="9" t="n">
        <x:v>6</x:v>
      </x:c>
      <x:c r="J1252" s="9" t="n">
        <x:v>1</x:v>
      </x:c>
      <x:c r="K1252" s="9" t="str">
        <x:v>LF-B-A-N1</x:v>
      </x:c>
      <x:c r="L1252" s="9" t="str">
        <x:v>ST06</x:v>
      </x:c>
      <x:c r="M1252" s="17" t="str">
        <x:v>Public custody armed</x:v>
      </x:c>
      <x:c r="N1252" s="17" t="str">
        <x:v>eight raw origins have separated hash and replica routes</x:v>
      </x:c>
      <x:c r="O1252" s="17" t="str">
        <x:v>Custody authority</x:v>
      </x:c>
      <x:c r="P1252" s="9" t="n">
        <x:v>0</x:v>
      </x:c>
      <x:c r="Q1252" s="9" t="n">
        <x:v>0</x:v>
      </x:c>
      <x:c r="R1252" s="9" t="str">
        <x:v>OPEN / UNSTARTED</x:v>
      </x:c>
      <x:c r="S1252" s="9" t="n">
        <x:f>COUNTIFS($A$7:$A$1446,A1252)</x:f>
        <x:v>1</x:v>
      </x:c>
    </x:row>
    <x:row r="1253">
      <x:c r="A1253" s="9" t="str">
        <x:v>EV-AR-LF-B-A-TECH-4-B2-RCN-G0-ST07</x:v>
      </x:c>
      <x:c r="B1253" s="9" t="str">
        <x:v>EV-AR-LF-B-A-TECH-4-B2-RCN-G0</x:v>
      </x:c>
      <x:c r="C1253" s="9" t="str">
        <x:v>EOW-AR-LF-B-A-TECH-4-B2-RCN-G0</x:v>
      </x:c>
      <x:c r="D1253" s="9" t="str">
        <x:v>AR-LF-B-A-TECH-4-B2-RCN-G0</x:v>
      </x:c>
      <x:c r="E1253" s="9" t="str">
        <x:v>LF-B-A-TECH-4</x:v>
      </x:c>
      <x:c r="F1253" s="9" t="str">
        <x:v>LF-B-A</x:v>
      </x:c>
      <x:c r="G1253" s="9" t="str">
        <x:v>B2</x:v>
      </x:c>
      <x:c r="H1253" s="9" t="str">
        <x:v>RCN</x:v>
      </x:c>
      <x:c r="I1253" s="9" t="n">
        <x:v>6</x:v>
      </x:c>
      <x:c r="J1253" s="9" t="n">
        <x:v>1</x:v>
      </x:c>
      <x:c r="K1253" s="9" t="str">
        <x:v>LF-B-A-N1</x:v>
      </x:c>
      <x:c r="L1253" s="9" t="str">
        <x:v>ST07</x:v>
      </x:c>
      <x:c r="M1253" s="17" t="str">
        <x:v>Environmental baseline</x:v>
      </x:c>
      <x:c r="N1253" s="17" t="str">
        <x:v>pre-event boundary state is sealed before decisive operation</x:v>
      </x:c>
      <x:c r="O1253" s="17" t="str">
        <x:v>Site metrology</x:v>
      </x:c>
      <x:c r="P1253" s="9" t="n">
        <x:v>0</x:v>
      </x:c>
      <x:c r="Q1253" s="9" t="n">
        <x:v>0</x:v>
      </x:c>
      <x:c r="R1253" s="9" t="str">
        <x:v>OPEN / UNSTARTED</x:v>
      </x:c>
      <x:c r="S1253" s="9" t="n">
        <x:f>COUNTIFS($A$7:$A$1446,A1253)</x:f>
        <x:v>1</x:v>
      </x:c>
    </x:row>
    <x:row r="1254">
      <x:c r="A1254" s="9" t="str">
        <x:v>EV-AR-LF-B-A-TECH-4-B2-RCN-G0-ST08</x:v>
      </x:c>
      <x:c r="B1254" s="9" t="str">
        <x:v>EV-AR-LF-B-A-TECH-4-B2-RCN-G0</x:v>
      </x:c>
      <x:c r="C1254" s="9" t="str">
        <x:v>EOW-AR-LF-B-A-TECH-4-B2-RCN-G0</x:v>
      </x:c>
      <x:c r="D1254" s="9" t="str">
        <x:v>AR-LF-B-A-TECH-4-B2-RCN-G0</x:v>
      </x:c>
      <x:c r="E1254" s="9" t="str">
        <x:v>LF-B-A-TECH-4</x:v>
      </x:c>
      <x:c r="F1254" s="9" t="str">
        <x:v>LF-B-A</x:v>
      </x:c>
      <x:c r="G1254" s="9" t="str">
        <x:v>B2</x:v>
      </x:c>
      <x:c r="H1254" s="9" t="str">
        <x:v>RCN</x:v>
      </x:c>
      <x:c r="I1254" s="9" t="n">
        <x:v>6</x:v>
      </x:c>
      <x:c r="J1254" s="9" t="n">
        <x:v>1</x:v>
      </x:c>
      <x:c r="K1254" s="9" t="str">
        <x:v>LF-B-A-N1</x:v>
      </x:c>
      <x:c r="L1254" s="9" t="str">
        <x:v>ST08</x:v>
      </x:c>
      <x:c r="M1254" s="17" t="str">
        <x:v>Manual stop and safety</x:v>
      </x:c>
      <x:c r="N1254" s="17" t="str">
        <x:v>local stop, evacuation and protection routes are active</x:v>
      </x:c>
      <x:c r="O1254" s="17" t="str">
        <x:v>Safety authority</x:v>
      </x:c>
      <x:c r="P1254" s="9" t="n">
        <x:v>0</x:v>
      </x:c>
      <x:c r="Q1254" s="9" t="n">
        <x:v>0</x:v>
      </x:c>
      <x:c r="R1254" s="9" t="str">
        <x:v>OPEN / UNSTARTED</x:v>
      </x:c>
      <x:c r="S1254" s="9" t="n">
        <x:f>COUNTIFS($A$7:$A$1446,A1254)</x:f>
        <x:v>1</x:v>
      </x:c>
    </x:row>
    <x:row r="1255">
      <x:c r="A1255" s="9" t="str">
        <x:v>EV-AR-LF-B-A-TECH-4-B2-RCN-G0-ST09</x:v>
      </x:c>
      <x:c r="B1255" s="9" t="str">
        <x:v>EV-AR-LF-B-A-TECH-4-B2-RCN-G0</x:v>
      </x:c>
      <x:c r="C1255" s="9" t="str">
        <x:v>EOW-AR-LF-B-A-TECH-4-B2-RCN-G0</x:v>
      </x:c>
      <x:c r="D1255" s="9" t="str">
        <x:v>AR-LF-B-A-TECH-4-B2-RCN-G0</x:v>
      </x:c>
      <x:c r="E1255" s="9" t="str">
        <x:v>LF-B-A-TECH-4</x:v>
      </x:c>
      <x:c r="F1255" s="9" t="str">
        <x:v>LF-B-A</x:v>
      </x:c>
      <x:c r="G1255" s="9" t="str">
        <x:v>B2</x:v>
      </x:c>
      <x:c r="H1255" s="9" t="str">
        <x:v>RCN</x:v>
      </x:c>
      <x:c r="I1255" s="9" t="n">
        <x:v>6</x:v>
      </x:c>
      <x:c r="J1255" s="9" t="n">
        <x:v>1</x:v>
      </x:c>
      <x:c r="K1255" s="9" t="str">
        <x:v>LF-B-A-N1</x:v>
      </x:c>
      <x:c r="L1255" s="9" t="str">
        <x:v>ST09</x:v>
      </x:c>
      <x:c r="M1255" s="17" t="str">
        <x:v>Operator conflict clear</x:v>
      </x:c>
      <x:c r="N1255" s="17" t="str">
        <x:v>candidate, fixture, safety and measurement control edges remain separated</x:v>
      </x:c>
      <x:c r="O1255" s="17" t="str">
        <x:v>Conflict registrar</x:v>
      </x:c>
      <x:c r="P1255" s="9" t="n">
        <x:v>0</x:v>
      </x:c>
      <x:c r="Q1255" s="9" t="n">
        <x:v>0</x:v>
      </x:c>
      <x:c r="R1255" s="9" t="str">
        <x:v>OPEN / UNSTARTED</x:v>
      </x:c>
      <x:c r="S1255" s="9" t="n">
        <x:f>COUNTIFS($A$7:$A$1446,A1255)</x:f>
        <x:v>1</x:v>
      </x:c>
    </x:row>
    <x:row r="1256">
      <x:c r="A1256" s="9" t="str">
        <x:v>EV-AR-LF-B-A-TECH-4-B2-RCN-G0-ST10</x:v>
      </x:c>
      <x:c r="B1256" s="9" t="str">
        <x:v>EV-AR-LF-B-A-TECH-4-B2-RCN-G0</x:v>
      </x:c>
      <x:c r="C1256" s="9" t="str">
        <x:v>EOW-AR-LF-B-A-TECH-4-B2-RCN-G0</x:v>
      </x:c>
      <x:c r="D1256" s="9" t="str">
        <x:v>AR-LF-B-A-TECH-4-B2-RCN-G0</x:v>
      </x:c>
      <x:c r="E1256" s="9" t="str">
        <x:v>LF-B-A-TECH-4</x:v>
      </x:c>
      <x:c r="F1256" s="9" t="str">
        <x:v>LF-B-A</x:v>
      </x:c>
      <x:c r="G1256" s="9" t="str">
        <x:v>B2</x:v>
      </x:c>
      <x:c r="H1256" s="9" t="str">
        <x:v>RCN</x:v>
      </x:c>
      <x:c r="I1256" s="9" t="n">
        <x:v>6</x:v>
      </x:c>
      <x:c r="J1256" s="9" t="n">
        <x:v>1</x:v>
      </x:c>
      <x:c r="K1256" s="9" t="str">
        <x:v>LF-B-A-N1</x:v>
      </x:c>
      <x:c r="L1256" s="9" t="str">
        <x:v>ST10</x:v>
      </x:c>
      <x:c r="M1256" s="17" t="str">
        <x:v>Window and common clock</x:v>
      </x:c>
      <x:c r="N1256" s="17" t="str">
        <x:v>epoch, window and public time origin match the issued warrant</x:v>
      </x:c>
      <x:c r="O1256" s="17" t="str">
        <x:v>Event clock authority</x:v>
      </x:c>
      <x:c r="P1256" s="9" t="n">
        <x:v>0</x:v>
      </x:c>
      <x:c r="Q1256" s="9" t="n">
        <x:v>0</x:v>
      </x:c>
      <x:c r="R1256" s="9" t="str">
        <x:v>OPEN / UNSTARTED</x:v>
      </x:c>
      <x:c r="S1256" s="9" t="n">
        <x:f>COUNTIFS($A$7:$A$1446,A1256)</x:f>
        <x:v>1</x:v>
      </x:c>
    </x:row>
    <x:row r="1257">
      <x:c r="A1257" s="9" t="str">
        <x:v>EV-AR-LF-B-A-TECH-2-B2-INT-G0-ST01</x:v>
      </x:c>
      <x:c r="B1257" s="9" t="str">
        <x:v>EV-AR-LF-B-A-TECH-2-B2-INT-G0</x:v>
      </x:c>
      <x:c r="C1257" s="9" t="str">
        <x:v>EOW-AR-LF-B-A-TECH-2-B2-INT-G0</x:v>
      </x:c>
      <x:c r="D1257" s="9" t="str">
        <x:v>AR-LF-B-A-TECH-2-B2-INT-G0</x:v>
      </x:c>
      <x:c r="E1257" s="9" t="str">
        <x:v>LF-B-A-TECH-2</x:v>
      </x:c>
      <x:c r="F1257" s="9" t="str">
        <x:v>LF-B-A</x:v>
      </x:c>
      <x:c r="G1257" s="9" t="str">
        <x:v>B2</x:v>
      </x:c>
      <x:c r="H1257" s="9" t="str">
        <x:v>INT</x:v>
      </x:c>
      <x:c r="I1257" s="9" t="n">
        <x:v>6</x:v>
      </x:c>
      <x:c r="J1257" s="9" t="n">
        <x:v>1</x:v>
      </x:c>
      <x:c r="K1257" s="9" t="str">
        <x:v>LF-B-A-N2</x:v>
      </x:c>
      <x:c r="L1257" s="9" t="str">
        <x:v>ST01</x:v>
      </x:c>
      <x:c r="M1257" s="17" t="str">
        <x:v>Active opportunity warrant</x:v>
      </x:c>
      <x:c r="N1257" s="17" t="str">
        <x:v>configuration-bound EOW is within its thirty-six-hour validity</x:v>
      </x:c>
      <x:c r="O1257" s="17" t="str">
        <x:v>Start registrar</x:v>
      </x:c>
      <x:c r="P1257" s="9" t="n">
        <x:v>0</x:v>
      </x:c>
      <x:c r="Q1257" s="9" t="n">
        <x:v>0</x:v>
      </x:c>
      <x:c r="R1257" s="9" t="str">
        <x:v>OPEN / UNSTARTED</x:v>
      </x:c>
      <x:c r="S1257" s="9" t="n">
        <x:f>COUNTIFS($A$7:$A$1446,A1257)</x:f>
        <x:v>1</x:v>
      </x:c>
    </x:row>
    <x:row r="1258">
      <x:c r="A1258" s="9" t="str">
        <x:v>EV-AR-LF-B-A-TECH-2-B2-INT-G0-ST02</x:v>
      </x:c>
      <x:c r="B1258" s="9" t="str">
        <x:v>EV-AR-LF-B-A-TECH-2-B2-INT-G0</x:v>
      </x:c>
      <x:c r="C1258" s="9" t="str">
        <x:v>EOW-AR-LF-B-A-TECH-2-B2-INT-G0</x:v>
      </x:c>
      <x:c r="D1258" s="9" t="str">
        <x:v>AR-LF-B-A-TECH-2-B2-INT-G0</x:v>
      </x:c>
      <x:c r="E1258" s="9" t="str">
        <x:v>LF-B-A-TECH-2</x:v>
      </x:c>
      <x:c r="F1258" s="9" t="str">
        <x:v>LF-B-A</x:v>
      </x:c>
      <x:c r="G1258" s="9" t="str">
        <x:v>B2</x:v>
      </x:c>
      <x:c r="H1258" s="9" t="str">
        <x:v>INT</x:v>
      </x:c>
      <x:c r="I1258" s="9" t="n">
        <x:v>6</x:v>
      </x:c>
      <x:c r="J1258" s="9" t="n">
        <x:v>1</x:v>
      </x:c>
      <x:c r="K1258" s="9" t="str">
        <x:v>LF-B-A-N2</x:v>
      </x:c>
      <x:c r="L1258" s="9" t="str">
        <x:v>ST02</x:v>
      </x:c>
      <x:c r="M1258" s="17" t="str">
        <x:v>Frozen identity</x:v>
      </x:c>
      <x:c r="N1258" s="17" t="str">
        <x:v>serial, generation, fixture, site, receiver and digest match the warrant</x:v>
      </x:c>
      <x:c r="O1258" s="17" t="str">
        <x:v>Custody authority</x:v>
      </x:c>
      <x:c r="P1258" s="9" t="n">
        <x:v>0</x:v>
      </x:c>
      <x:c r="Q1258" s="9" t="n">
        <x:v>0</x:v>
      </x:c>
      <x:c r="R1258" s="9" t="str">
        <x:v>OPEN / UNSTARTED</x:v>
      </x:c>
      <x:c r="S1258" s="9" t="n">
        <x:f>COUNTIFS($A$7:$A$1446,A1258)</x:f>
        <x:v>1</x:v>
      </x:c>
    </x:row>
    <x:row r="1259">
      <x:c r="A1259" s="9" t="str">
        <x:v>EV-AR-LF-B-A-TECH-2-B2-INT-G0-ST03</x:v>
      </x:c>
      <x:c r="B1259" s="9" t="str">
        <x:v>EV-AR-LF-B-A-TECH-2-B2-INT-G0</x:v>
      </x:c>
      <x:c r="C1259" s="9" t="str">
        <x:v>EOW-AR-LF-B-A-TECH-2-B2-INT-G0</x:v>
      </x:c>
      <x:c r="D1259" s="9" t="str">
        <x:v>AR-LF-B-A-TECH-2-B2-INT-G0</x:v>
      </x:c>
      <x:c r="E1259" s="9" t="str">
        <x:v>LF-B-A-TECH-2</x:v>
      </x:c>
      <x:c r="F1259" s="9" t="str">
        <x:v>LF-B-A</x:v>
      </x:c>
      <x:c r="G1259" s="9" t="str">
        <x:v>B2</x:v>
      </x:c>
      <x:c r="H1259" s="9" t="str">
        <x:v>INT</x:v>
      </x:c>
      <x:c r="I1259" s="9" t="n">
        <x:v>6</x:v>
      </x:c>
      <x:c r="J1259" s="9" t="n">
        <x:v>1</x:v>
      </x:c>
      <x:c r="K1259" s="9" t="str">
        <x:v>LF-B-A-N2</x:v>
      </x:c>
      <x:c r="L1259" s="9" t="str">
        <x:v>ST03</x:v>
      </x:c>
      <x:c r="M1259" s="17" t="str">
        <x:v>Receiver receipt</x:v>
      </x:c>
      <x:c r="N1259" s="17" t="str">
        <x:v>denominator, counterfactual, rights and stop receipt remain unchanged</x:v>
      </x:c>
      <x:c r="O1259" s="17" t="str">
        <x:v>Receiver authority</x:v>
      </x:c>
      <x:c r="P1259" s="9" t="n">
        <x:v>0</x:v>
      </x:c>
      <x:c r="Q1259" s="9" t="n">
        <x:v>0</x:v>
      </x:c>
      <x:c r="R1259" s="9" t="str">
        <x:v>OPEN / UNSTARTED</x:v>
      </x:c>
      <x:c r="S1259" s="9" t="n">
        <x:f>COUNTIFS($A$7:$A$1446,A1259)</x:f>
        <x:v>1</x:v>
      </x:c>
    </x:row>
    <x:row r="1260">
      <x:c r="A1260" s="9" t="str">
        <x:v>EV-AR-LF-B-A-TECH-2-B2-INT-G0-ST04</x:v>
      </x:c>
      <x:c r="B1260" s="9" t="str">
        <x:v>EV-AR-LF-B-A-TECH-2-B2-INT-G0</x:v>
      </x:c>
      <x:c r="C1260" s="9" t="str">
        <x:v>EOW-AR-LF-B-A-TECH-2-B2-INT-G0</x:v>
      </x:c>
      <x:c r="D1260" s="9" t="str">
        <x:v>AR-LF-B-A-TECH-2-B2-INT-G0</x:v>
      </x:c>
      <x:c r="E1260" s="9" t="str">
        <x:v>LF-B-A-TECH-2</x:v>
      </x:c>
      <x:c r="F1260" s="9" t="str">
        <x:v>LF-B-A</x:v>
      </x:c>
      <x:c r="G1260" s="9" t="str">
        <x:v>B2</x:v>
      </x:c>
      <x:c r="H1260" s="9" t="str">
        <x:v>INT</x:v>
      </x:c>
      <x:c r="I1260" s="9" t="n">
        <x:v>6</x:v>
      </x:c>
      <x:c r="J1260" s="9" t="n">
        <x:v>1</x:v>
      </x:c>
      <x:c r="K1260" s="9" t="str">
        <x:v>LF-B-A-N2</x:v>
      </x:c>
      <x:c r="L1260" s="9" t="str">
        <x:v>ST04</x:v>
      </x:c>
      <x:c r="M1260" s="17" t="str">
        <x:v>Primary capture armed</x:v>
      </x:c>
      <x:c r="N1260" s="17" t="str">
        <x:v>primary chain records sealed reference and live time</x:v>
      </x:c>
      <x:c r="O1260" s="17" t="str">
        <x:v>Primary metrology</x:v>
      </x:c>
      <x:c r="P1260" s="9" t="n">
        <x:v>0</x:v>
      </x:c>
      <x:c r="Q1260" s="9" t="n">
        <x:v>0</x:v>
      </x:c>
      <x:c r="R1260" s="9" t="str">
        <x:v>OPEN / UNSTARTED</x:v>
      </x:c>
      <x:c r="S1260" s="9" t="n">
        <x:f>COUNTIFS($A$7:$A$1446,A1260)</x:f>
        <x:v>1</x:v>
      </x:c>
    </x:row>
    <x:row r="1261">
      <x:c r="A1261" s="9" t="str">
        <x:v>EV-AR-LF-B-A-TECH-2-B2-INT-G0-ST05</x:v>
      </x:c>
      <x:c r="B1261" s="9" t="str">
        <x:v>EV-AR-LF-B-A-TECH-2-B2-INT-G0</x:v>
      </x:c>
      <x:c r="C1261" s="9" t="str">
        <x:v>EOW-AR-LF-B-A-TECH-2-B2-INT-G0</x:v>
      </x:c>
      <x:c r="D1261" s="9" t="str">
        <x:v>AR-LF-B-A-TECH-2-B2-INT-G0</x:v>
      </x:c>
      <x:c r="E1261" s="9" t="str">
        <x:v>LF-B-A-TECH-2</x:v>
      </x:c>
      <x:c r="F1261" s="9" t="str">
        <x:v>LF-B-A</x:v>
      </x:c>
      <x:c r="G1261" s="9" t="str">
        <x:v>B2</x:v>
      </x:c>
      <x:c r="H1261" s="9" t="str">
        <x:v>INT</x:v>
      </x:c>
      <x:c r="I1261" s="9" t="n">
        <x:v>6</x:v>
      </x:c>
      <x:c r="J1261" s="9" t="n">
        <x:v>1</x:v>
      </x:c>
      <x:c r="K1261" s="9" t="str">
        <x:v>LF-B-A-N2</x:v>
      </x:c>
      <x:c r="L1261" s="9" t="str">
        <x:v>ST05</x:v>
      </x:c>
      <x:c r="M1261" s="17" t="str">
        <x:v>Witness capture armed</x:v>
      </x:c>
      <x:c r="N1261" s="17" t="str">
        <x:v>unlike witness records independent reference and live time</x:v>
      </x:c>
      <x:c r="O1261" s="17" t="str">
        <x:v>Witness metrology</x:v>
      </x:c>
      <x:c r="P1261" s="9" t="n">
        <x:v>0</x:v>
      </x:c>
      <x:c r="Q1261" s="9" t="n">
        <x:v>0</x:v>
      </x:c>
      <x:c r="R1261" s="9" t="str">
        <x:v>OPEN / UNSTARTED</x:v>
      </x:c>
      <x:c r="S1261" s="9" t="n">
        <x:f>COUNTIFS($A$7:$A$1446,A1261)</x:f>
        <x:v>1</x:v>
      </x:c>
    </x:row>
    <x:row r="1262">
      <x:c r="A1262" s="9" t="str">
        <x:v>EV-AR-LF-B-A-TECH-2-B2-INT-G0-ST06</x:v>
      </x:c>
      <x:c r="B1262" s="9" t="str">
        <x:v>EV-AR-LF-B-A-TECH-2-B2-INT-G0</x:v>
      </x:c>
      <x:c r="C1262" s="9" t="str">
        <x:v>EOW-AR-LF-B-A-TECH-2-B2-INT-G0</x:v>
      </x:c>
      <x:c r="D1262" s="9" t="str">
        <x:v>AR-LF-B-A-TECH-2-B2-INT-G0</x:v>
      </x:c>
      <x:c r="E1262" s="9" t="str">
        <x:v>LF-B-A-TECH-2</x:v>
      </x:c>
      <x:c r="F1262" s="9" t="str">
        <x:v>LF-B-A</x:v>
      </x:c>
      <x:c r="G1262" s="9" t="str">
        <x:v>B2</x:v>
      </x:c>
      <x:c r="H1262" s="9" t="str">
        <x:v>INT</x:v>
      </x:c>
      <x:c r="I1262" s="9" t="n">
        <x:v>6</x:v>
      </x:c>
      <x:c r="J1262" s="9" t="n">
        <x:v>1</x:v>
      </x:c>
      <x:c r="K1262" s="9" t="str">
        <x:v>LF-B-A-N2</x:v>
      </x:c>
      <x:c r="L1262" s="9" t="str">
        <x:v>ST06</x:v>
      </x:c>
      <x:c r="M1262" s="17" t="str">
        <x:v>Public custody armed</x:v>
      </x:c>
      <x:c r="N1262" s="17" t="str">
        <x:v>eight raw origins have separated hash and replica routes</x:v>
      </x:c>
      <x:c r="O1262" s="17" t="str">
        <x:v>Custody authority</x:v>
      </x:c>
      <x:c r="P1262" s="9" t="n">
        <x:v>0</x:v>
      </x:c>
      <x:c r="Q1262" s="9" t="n">
        <x:v>0</x:v>
      </x:c>
      <x:c r="R1262" s="9" t="str">
        <x:v>OPEN / UNSTARTED</x:v>
      </x:c>
      <x:c r="S1262" s="9" t="n">
        <x:f>COUNTIFS($A$7:$A$1446,A1262)</x:f>
        <x:v>1</x:v>
      </x:c>
    </x:row>
    <x:row r="1263">
      <x:c r="A1263" s="9" t="str">
        <x:v>EV-AR-LF-B-A-TECH-2-B2-INT-G0-ST07</x:v>
      </x:c>
      <x:c r="B1263" s="9" t="str">
        <x:v>EV-AR-LF-B-A-TECH-2-B2-INT-G0</x:v>
      </x:c>
      <x:c r="C1263" s="9" t="str">
        <x:v>EOW-AR-LF-B-A-TECH-2-B2-INT-G0</x:v>
      </x:c>
      <x:c r="D1263" s="9" t="str">
        <x:v>AR-LF-B-A-TECH-2-B2-INT-G0</x:v>
      </x:c>
      <x:c r="E1263" s="9" t="str">
        <x:v>LF-B-A-TECH-2</x:v>
      </x:c>
      <x:c r="F1263" s="9" t="str">
        <x:v>LF-B-A</x:v>
      </x:c>
      <x:c r="G1263" s="9" t="str">
        <x:v>B2</x:v>
      </x:c>
      <x:c r="H1263" s="9" t="str">
        <x:v>INT</x:v>
      </x:c>
      <x:c r="I1263" s="9" t="n">
        <x:v>6</x:v>
      </x:c>
      <x:c r="J1263" s="9" t="n">
        <x:v>1</x:v>
      </x:c>
      <x:c r="K1263" s="9" t="str">
        <x:v>LF-B-A-N2</x:v>
      </x:c>
      <x:c r="L1263" s="9" t="str">
        <x:v>ST07</x:v>
      </x:c>
      <x:c r="M1263" s="17" t="str">
        <x:v>Environmental baseline</x:v>
      </x:c>
      <x:c r="N1263" s="17" t="str">
        <x:v>pre-event boundary state is sealed before decisive operation</x:v>
      </x:c>
      <x:c r="O1263" s="17" t="str">
        <x:v>Site metrology</x:v>
      </x:c>
      <x:c r="P1263" s="9" t="n">
        <x:v>0</x:v>
      </x:c>
      <x:c r="Q1263" s="9" t="n">
        <x:v>0</x:v>
      </x:c>
      <x:c r="R1263" s="9" t="str">
        <x:v>OPEN / UNSTARTED</x:v>
      </x:c>
      <x:c r="S1263" s="9" t="n">
        <x:f>COUNTIFS($A$7:$A$1446,A1263)</x:f>
        <x:v>1</x:v>
      </x:c>
    </x:row>
    <x:row r="1264">
      <x:c r="A1264" s="9" t="str">
        <x:v>EV-AR-LF-B-A-TECH-2-B2-INT-G0-ST08</x:v>
      </x:c>
      <x:c r="B1264" s="9" t="str">
        <x:v>EV-AR-LF-B-A-TECH-2-B2-INT-G0</x:v>
      </x:c>
      <x:c r="C1264" s="9" t="str">
        <x:v>EOW-AR-LF-B-A-TECH-2-B2-INT-G0</x:v>
      </x:c>
      <x:c r="D1264" s="9" t="str">
        <x:v>AR-LF-B-A-TECH-2-B2-INT-G0</x:v>
      </x:c>
      <x:c r="E1264" s="9" t="str">
        <x:v>LF-B-A-TECH-2</x:v>
      </x:c>
      <x:c r="F1264" s="9" t="str">
        <x:v>LF-B-A</x:v>
      </x:c>
      <x:c r="G1264" s="9" t="str">
        <x:v>B2</x:v>
      </x:c>
      <x:c r="H1264" s="9" t="str">
        <x:v>INT</x:v>
      </x:c>
      <x:c r="I1264" s="9" t="n">
        <x:v>6</x:v>
      </x:c>
      <x:c r="J1264" s="9" t="n">
        <x:v>1</x:v>
      </x:c>
      <x:c r="K1264" s="9" t="str">
        <x:v>LF-B-A-N2</x:v>
      </x:c>
      <x:c r="L1264" s="9" t="str">
        <x:v>ST08</x:v>
      </x:c>
      <x:c r="M1264" s="17" t="str">
        <x:v>Manual stop and safety</x:v>
      </x:c>
      <x:c r="N1264" s="17" t="str">
        <x:v>local stop, evacuation and protection routes are active</x:v>
      </x:c>
      <x:c r="O1264" s="17" t="str">
        <x:v>Safety authority</x:v>
      </x:c>
      <x:c r="P1264" s="9" t="n">
        <x:v>0</x:v>
      </x:c>
      <x:c r="Q1264" s="9" t="n">
        <x:v>0</x:v>
      </x:c>
      <x:c r="R1264" s="9" t="str">
        <x:v>OPEN / UNSTARTED</x:v>
      </x:c>
      <x:c r="S1264" s="9" t="n">
        <x:f>COUNTIFS($A$7:$A$1446,A1264)</x:f>
        <x:v>1</x:v>
      </x:c>
    </x:row>
    <x:row r="1265">
      <x:c r="A1265" s="9" t="str">
        <x:v>EV-AR-LF-B-A-TECH-2-B2-INT-G0-ST09</x:v>
      </x:c>
      <x:c r="B1265" s="9" t="str">
        <x:v>EV-AR-LF-B-A-TECH-2-B2-INT-G0</x:v>
      </x:c>
      <x:c r="C1265" s="9" t="str">
        <x:v>EOW-AR-LF-B-A-TECH-2-B2-INT-G0</x:v>
      </x:c>
      <x:c r="D1265" s="9" t="str">
        <x:v>AR-LF-B-A-TECH-2-B2-INT-G0</x:v>
      </x:c>
      <x:c r="E1265" s="9" t="str">
        <x:v>LF-B-A-TECH-2</x:v>
      </x:c>
      <x:c r="F1265" s="9" t="str">
        <x:v>LF-B-A</x:v>
      </x:c>
      <x:c r="G1265" s="9" t="str">
        <x:v>B2</x:v>
      </x:c>
      <x:c r="H1265" s="9" t="str">
        <x:v>INT</x:v>
      </x:c>
      <x:c r="I1265" s="9" t="n">
        <x:v>6</x:v>
      </x:c>
      <x:c r="J1265" s="9" t="n">
        <x:v>1</x:v>
      </x:c>
      <x:c r="K1265" s="9" t="str">
        <x:v>LF-B-A-N2</x:v>
      </x:c>
      <x:c r="L1265" s="9" t="str">
        <x:v>ST09</x:v>
      </x:c>
      <x:c r="M1265" s="17" t="str">
        <x:v>Operator conflict clear</x:v>
      </x:c>
      <x:c r="N1265" s="17" t="str">
        <x:v>candidate, fixture, safety and measurement control edges remain separated</x:v>
      </x:c>
      <x:c r="O1265" s="17" t="str">
        <x:v>Conflict registrar</x:v>
      </x:c>
      <x:c r="P1265" s="9" t="n">
        <x:v>0</x:v>
      </x:c>
      <x:c r="Q1265" s="9" t="n">
        <x:v>0</x:v>
      </x:c>
      <x:c r="R1265" s="9" t="str">
        <x:v>OPEN / UNSTARTED</x:v>
      </x:c>
      <x:c r="S1265" s="9" t="n">
        <x:f>COUNTIFS($A$7:$A$1446,A1265)</x:f>
        <x:v>1</x:v>
      </x:c>
    </x:row>
    <x:row r="1266">
      <x:c r="A1266" s="9" t="str">
        <x:v>EV-AR-LF-B-A-TECH-2-B2-INT-G0-ST10</x:v>
      </x:c>
      <x:c r="B1266" s="9" t="str">
        <x:v>EV-AR-LF-B-A-TECH-2-B2-INT-G0</x:v>
      </x:c>
      <x:c r="C1266" s="9" t="str">
        <x:v>EOW-AR-LF-B-A-TECH-2-B2-INT-G0</x:v>
      </x:c>
      <x:c r="D1266" s="9" t="str">
        <x:v>AR-LF-B-A-TECH-2-B2-INT-G0</x:v>
      </x:c>
      <x:c r="E1266" s="9" t="str">
        <x:v>LF-B-A-TECH-2</x:v>
      </x:c>
      <x:c r="F1266" s="9" t="str">
        <x:v>LF-B-A</x:v>
      </x:c>
      <x:c r="G1266" s="9" t="str">
        <x:v>B2</x:v>
      </x:c>
      <x:c r="H1266" s="9" t="str">
        <x:v>INT</x:v>
      </x:c>
      <x:c r="I1266" s="9" t="n">
        <x:v>6</x:v>
      </x:c>
      <x:c r="J1266" s="9" t="n">
        <x:v>1</x:v>
      </x:c>
      <x:c r="K1266" s="9" t="str">
        <x:v>LF-B-A-N2</x:v>
      </x:c>
      <x:c r="L1266" s="9" t="str">
        <x:v>ST10</x:v>
      </x:c>
      <x:c r="M1266" s="17" t="str">
        <x:v>Window and common clock</x:v>
      </x:c>
      <x:c r="N1266" s="17" t="str">
        <x:v>epoch, window and public time origin match the issued warrant</x:v>
      </x:c>
      <x:c r="O1266" s="17" t="str">
        <x:v>Event clock authority</x:v>
      </x:c>
      <x:c r="P1266" s="9" t="n">
        <x:v>0</x:v>
      </x:c>
      <x:c r="Q1266" s="9" t="n">
        <x:v>0</x:v>
      </x:c>
      <x:c r="R1266" s="9" t="str">
        <x:v>OPEN / UNSTARTED</x:v>
      </x:c>
      <x:c r="S1266" s="9" t="n">
        <x:f>COUNTIFS($A$7:$A$1446,A1266)</x:f>
        <x:v>1</x:v>
      </x:c>
    </x:row>
    <x:row r="1267">
      <x:c r="A1267" s="9" t="str">
        <x:v>EV-AR-CT-C-B-TECH-3-B1-BRK-G0-ST01</x:v>
      </x:c>
      <x:c r="B1267" s="9" t="str">
        <x:v>EV-AR-CT-C-B-TECH-3-B1-BRK-G0</x:v>
      </x:c>
      <x:c r="C1267" s="9" t="str">
        <x:v>EOW-AR-CT-C-B-TECH-3-B1-BRK-G0</x:v>
      </x:c>
      <x:c r="D1267" s="9" t="str">
        <x:v>AR-CT-C-B-TECH-3-B1-BRK-G0</x:v>
      </x:c>
      <x:c r="E1267" s="9" t="str">
        <x:v>CT-C-B-TECH-3</x:v>
      </x:c>
      <x:c r="F1267" s="9" t="str">
        <x:v>CT-C-B</x:v>
      </x:c>
      <x:c r="G1267" s="9" t="str">
        <x:v>B1</x:v>
      </x:c>
      <x:c r="H1267" s="9" t="str">
        <x:v>BRK</x:v>
      </x:c>
      <x:c r="I1267" s="9" t="n">
        <x:v>6</x:v>
      </x:c>
      <x:c r="J1267" s="9" t="n">
        <x:v>2</x:v>
      </x:c>
      <x:c r="K1267" s="9" t="str">
        <x:v>CT-C-B-N1</x:v>
      </x:c>
      <x:c r="L1267" s="9" t="str">
        <x:v>ST01</x:v>
      </x:c>
      <x:c r="M1267" s="17" t="str">
        <x:v>Active opportunity warrant</x:v>
      </x:c>
      <x:c r="N1267" s="17" t="str">
        <x:v>configuration-bound EOW is within its thirty-six-hour validity</x:v>
      </x:c>
      <x:c r="O1267" s="17" t="str">
        <x:v>Start registrar</x:v>
      </x:c>
      <x:c r="P1267" s="9" t="n">
        <x:v>0</x:v>
      </x:c>
      <x:c r="Q1267" s="9" t="n">
        <x:v>0</x:v>
      </x:c>
      <x:c r="R1267" s="9" t="str">
        <x:v>OPEN / UNSTARTED</x:v>
      </x:c>
      <x:c r="S1267" s="9" t="n">
        <x:f>COUNTIFS($A$7:$A$1446,A1267)</x:f>
        <x:v>1</x:v>
      </x:c>
    </x:row>
    <x:row r="1268">
      <x:c r="A1268" s="9" t="str">
        <x:v>EV-AR-CT-C-B-TECH-3-B1-BRK-G0-ST02</x:v>
      </x:c>
      <x:c r="B1268" s="9" t="str">
        <x:v>EV-AR-CT-C-B-TECH-3-B1-BRK-G0</x:v>
      </x:c>
      <x:c r="C1268" s="9" t="str">
        <x:v>EOW-AR-CT-C-B-TECH-3-B1-BRK-G0</x:v>
      </x:c>
      <x:c r="D1268" s="9" t="str">
        <x:v>AR-CT-C-B-TECH-3-B1-BRK-G0</x:v>
      </x:c>
      <x:c r="E1268" s="9" t="str">
        <x:v>CT-C-B-TECH-3</x:v>
      </x:c>
      <x:c r="F1268" s="9" t="str">
        <x:v>CT-C-B</x:v>
      </x:c>
      <x:c r="G1268" s="9" t="str">
        <x:v>B1</x:v>
      </x:c>
      <x:c r="H1268" s="9" t="str">
        <x:v>BRK</x:v>
      </x:c>
      <x:c r="I1268" s="9" t="n">
        <x:v>6</x:v>
      </x:c>
      <x:c r="J1268" s="9" t="n">
        <x:v>2</x:v>
      </x:c>
      <x:c r="K1268" s="9" t="str">
        <x:v>CT-C-B-N1</x:v>
      </x:c>
      <x:c r="L1268" s="9" t="str">
        <x:v>ST02</x:v>
      </x:c>
      <x:c r="M1268" s="17" t="str">
        <x:v>Frozen identity</x:v>
      </x:c>
      <x:c r="N1268" s="17" t="str">
        <x:v>serial, generation, fixture, site, receiver and digest match the warrant</x:v>
      </x:c>
      <x:c r="O1268" s="17" t="str">
        <x:v>Custody authority</x:v>
      </x:c>
      <x:c r="P1268" s="9" t="n">
        <x:v>0</x:v>
      </x:c>
      <x:c r="Q1268" s="9" t="n">
        <x:v>0</x:v>
      </x:c>
      <x:c r="R1268" s="9" t="str">
        <x:v>OPEN / UNSTARTED</x:v>
      </x:c>
      <x:c r="S1268" s="9" t="n">
        <x:f>COUNTIFS($A$7:$A$1446,A1268)</x:f>
        <x:v>1</x:v>
      </x:c>
    </x:row>
    <x:row r="1269">
      <x:c r="A1269" s="9" t="str">
        <x:v>EV-AR-CT-C-B-TECH-3-B1-BRK-G0-ST03</x:v>
      </x:c>
      <x:c r="B1269" s="9" t="str">
        <x:v>EV-AR-CT-C-B-TECH-3-B1-BRK-G0</x:v>
      </x:c>
      <x:c r="C1269" s="9" t="str">
        <x:v>EOW-AR-CT-C-B-TECH-3-B1-BRK-G0</x:v>
      </x:c>
      <x:c r="D1269" s="9" t="str">
        <x:v>AR-CT-C-B-TECH-3-B1-BRK-G0</x:v>
      </x:c>
      <x:c r="E1269" s="9" t="str">
        <x:v>CT-C-B-TECH-3</x:v>
      </x:c>
      <x:c r="F1269" s="9" t="str">
        <x:v>CT-C-B</x:v>
      </x:c>
      <x:c r="G1269" s="9" t="str">
        <x:v>B1</x:v>
      </x:c>
      <x:c r="H1269" s="9" t="str">
        <x:v>BRK</x:v>
      </x:c>
      <x:c r="I1269" s="9" t="n">
        <x:v>6</x:v>
      </x:c>
      <x:c r="J1269" s="9" t="n">
        <x:v>2</x:v>
      </x:c>
      <x:c r="K1269" s="9" t="str">
        <x:v>CT-C-B-N1</x:v>
      </x:c>
      <x:c r="L1269" s="9" t="str">
        <x:v>ST03</x:v>
      </x:c>
      <x:c r="M1269" s="17" t="str">
        <x:v>Receiver receipt</x:v>
      </x:c>
      <x:c r="N1269" s="17" t="str">
        <x:v>denominator, counterfactual, rights and stop receipt remain unchanged</x:v>
      </x:c>
      <x:c r="O1269" s="17" t="str">
        <x:v>Receiver authority</x:v>
      </x:c>
      <x:c r="P1269" s="9" t="n">
        <x:v>0</x:v>
      </x:c>
      <x:c r="Q1269" s="9" t="n">
        <x:v>0</x:v>
      </x:c>
      <x:c r="R1269" s="9" t="str">
        <x:v>OPEN / UNSTARTED</x:v>
      </x:c>
      <x:c r="S1269" s="9" t="n">
        <x:f>COUNTIFS($A$7:$A$1446,A1269)</x:f>
        <x:v>1</x:v>
      </x:c>
    </x:row>
    <x:row r="1270">
      <x:c r="A1270" s="9" t="str">
        <x:v>EV-AR-CT-C-B-TECH-3-B1-BRK-G0-ST04</x:v>
      </x:c>
      <x:c r="B1270" s="9" t="str">
        <x:v>EV-AR-CT-C-B-TECH-3-B1-BRK-G0</x:v>
      </x:c>
      <x:c r="C1270" s="9" t="str">
        <x:v>EOW-AR-CT-C-B-TECH-3-B1-BRK-G0</x:v>
      </x:c>
      <x:c r="D1270" s="9" t="str">
        <x:v>AR-CT-C-B-TECH-3-B1-BRK-G0</x:v>
      </x:c>
      <x:c r="E1270" s="9" t="str">
        <x:v>CT-C-B-TECH-3</x:v>
      </x:c>
      <x:c r="F1270" s="9" t="str">
        <x:v>CT-C-B</x:v>
      </x:c>
      <x:c r="G1270" s="9" t="str">
        <x:v>B1</x:v>
      </x:c>
      <x:c r="H1270" s="9" t="str">
        <x:v>BRK</x:v>
      </x:c>
      <x:c r="I1270" s="9" t="n">
        <x:v>6</x:v>
      </x:c>
      <x:c r="J1270" s="9" t="n">
        <x:v>2</x:v>
      </x:c>
      <x:c r="K1270" s="9" t="str">
        <x:v>CT-C-B-N1</x:v>
      </x:c>
      <x:c r="L1270" s="9" t="str">
        <x:v>ST04</x:v>
      </x:c>
      <x:c r="M1270" s="17" t="str">
        <x:v>Primary capture armed</x:v>
      </x:c>
      <x:c r="N1270" s="17" t="str">
        <x:v>primary chain records sealed reference and live time</x:v>
      </x:c>
      <x:c r="O1270" s="17" t="str">
        <x:v>Primary metrology</x:v>
      </x:c>
      <x:c r="P1270" s="9" t="n">
        <x:v>0</x:v>
      </x:c>
      <x:c r="Q1270" s="9" t="n">
        <x:v>0</x:v>
      </x:c>
      <x:c r="R1270" s="9" t="str">
        <x:v>OPEN / UNSTARTED</x:v>
      </x:c>
      <x:c r="S1270" s="9" t="n">
        <x:f>COUNTIFS($A$7:$A$1446,A1270)</x:f>
        <x:v>1</x:v>
      </x:c>
    </x:row>
    <x:row r="1271">
      <x:c r="A1271" s="9" t="str">
        <x:v>EV-AR-CT-C-B-TECH-3-B1-BRK-G0-ST05</x:v>
      </x:c>
      <x:c r="B1271" s="9" t="str">
        <x:v>EV-AR-CT-C-B-TECH-3-B1-BRK-G0</x:v>
      </x:c>
      <x:c r="C1271" s="9" t="str">
        <x:v>EOW-AR-CT-C-B-TECH-3-B1-BRK-G0</x:v>
      </x:c>
      <x:c r="D1271" s="9" t="str">
        <x:v>AR-CT-C-B-TECH-3-B1-BRK-G0</x:v>
      </x:c>
      <x:c r="E1271" s="9" t="str">
        <x:v>CT-C-B-TECH-3</x:v>
      </x:c>
      <x:c r="F1271" s="9" t="str">
        <x:v>CT-C-B</x:v>
      </x:c>
      <x:c r="G1271" s="9" t="str">
        <x:v>B1</x:v>
      </x:c>
      <x:c r="H1271" s="9" t="str">
        <x:v>BRK</x:v>
      </x:c>
      <x:c r="I1271" s="9" t="n">
        <x:v>6</x:v>
      </x:c>
      <x:c r="J1271" s="9" t="n">
        <x:v>2</x:v>
      </x:c>
      <x:c r="K1271" s="9" t="str">
        <x:v>CT-C-B-N1</x:v>
      </x:c>
      <x:c r="L1271" s="9" t="str">
        <x:v>ST05</x:v>
      </x:c>
      <x:c r="M1271" s="17" t="str">
        <x:v>Witness capture armed</x:v>
      </x:c>
      <x:c r="N1271" s="17" t="str">
        <x:v>unlike witness records independent reference and live time</x:v>
      </x:c>
      <x:c r="O1271" s="17" t="str">
        <x:v>Witness metrology</x:v>
      </x:c>
      <x:c r="P1271" s="9" t="n">
        <x:v>0</x:v>
      </x:c>
      <x:c r="Q1271" s="9" t="n">
        <x:v>0</x:v>
      </x:c>
      <x:c r="R1271" s="9" t="str">
        <x:v>OPEN / UNSTARTED</x:v>
      </x:c>
      <x:c r="S1271" s="9" t="n">
        <x:f>COUNTIFS($A$7:$A$1446,A1271)</x:f>
        <x:v>1</x:v>
      </x:c>
    </x:row>
    <x:row r="1272">
      <x:c r="A1272" s="9" t="str">
        <x:v>EV-AR-CT-C-B-TECH-3-B1-BRK-G0-ST06</x:v>
      </x:c>
      <x:c r="B1272" s="9" t="str">
        <x:v>EV-AR-CT-C-B-TECH-3-B1-BRK-G0</x:v>
      </x:c>
      <x:c r="C1272" s="9" t="str">
        <x:v>EOW-AR-CT-C-B-TECH-3-B1-BRK-G0</x:v>
      </x:c>
      <x:c r="D1272" s="9" t="str">
        <x:v>AR-CT-C-B-TECH-3-B1-BRK-G0</x:v>
      </x:c>
      <x:c r="E1272" s="9" t="str">
        <x:v>CT-C-B-TECH-3</x:v>
      </x:c>
      <x:c r="F1272" s="9" t="str">
        <x:v>CT-C-B</x:v>
      </x:c>
      <x:c r="G1272" s="9" t="str">
        <x:v>B1</x:v>
      </x:c>
      <x:c r="H1272" s="9" t="str">
        <x:v>BRK</x:v>
      </x:c>
      <x:c r="I1272" s="9" t="n">
        <x:v>6</x:v>
      </x:c>
      <x:c r="J1272" s="9" t="n">
        <x:v>2</x:v>
      </x:c>
      <x:c r="K1272" s="9" t="str">
        <x:v>CT-C-B-N1</x:v>
      </x:c>
      <x:c r="L1272" s="9" t="str">
        <x:v>ST06</x:v>
      </x:c>
      <x:c r="M1272" s="17" t="str">
        <x:v>Public custody armed</x:v>
      </x:c>
      <x:c r="N1272" s="17" t="str">
        <x:v>eight raw origins have separated hash and replica routes</x:v>
      </x:c>
      <x:c r="O1272" s="17" t="str">
        <x:v>Custody authority</x:v>
      </x:c>
      <x:c r="P1272" s="9" t="n">
        <x:v>0</x:v>
      </x:c>
      <x:c r="Q1272" s="9" t="n">
        <x:v>0</x:v>
      </x:c>
      <x:c r="R1272" s="9" t="str">
        <x:v>OPEN / UNSTARTED</x:v>
      </x:c>
      <x:c r="S1272" s="9" t="n">
        <x:f>COUNTIFS($A$7:$A$1446,A1272)</x:f>
        <x:v>1</x:v>
      </x:c>
    </x:row>
    <x:row r="1273">
      <x:c r="A1273" s="9" t="str">
        <x:v>EV-AR-CT-C-B-TECH-3-B1-BRK-G0-ST07</x:v>
      </x:c>
      <x:c r="B1273" s="9" t="str">
        <x:v>EV-AR-CT-C-B-TECH-3-B1-BRK-G0</x:v>
      </x:c>
      <x:c r="C1273" s="9" t="str">
        <x:v>EOW-AR-CT-C-B-TECH-3-B1-BRK-G0</x:v>
      </x:c>
      <x:c r="D1273" s="9" t="str">
        <x:v>AR-CT-C-B-TECH-3-B1-BRK-G0</x:v>
      </x:c>
      <x:c r="E1273" s="9" t="str">
        <x:v>CT-C-B-TECH-3</x:v>
      </x:c>
      <x:c r="F1273" s="9" t="str">
        <x:v>CT-C-B</x:v>
      </x:c>
      <x:c r="G1273" s="9" t="str">
        <x:v>B1</x:v>
      </x:c>
      <x:c r="H1273" s="9" t="str">
        <x:v>BRK</x:v>
      </x:c>
      <x:c r="I1273" s="9" t="n">
        <x:v>6</x:v>
      </x:c>
      <x:c r="J1273" s="9" t="n">
        <x:v>2</x:v>
      </x:c>
      <x:c r="K1273" s="9" t="str">
        <x:v>CT-C-B-N1</x:v>
      </x:c>
      <x:c r="L1273" s="9" t="str">
        <x:v>ST07</x:v>
      </x:c>
      <x:c r="M1273" s="17" t="str">
        <x:v>Environmental baseline</x:v>
      </x:c>
      <x:c r="N1273" s="17" t="str">
        <x:v>pre-event boundary state is sealed before decisive operation</x:v>
      </x:c>
      <x:c r="O1273" s="17" t="str">
        <x:v>Site metrology</x:v>
      </x:c>
      <x:c r="P1273" s="9" t="n">
        <x:v>0</x:v>
      </x:c>
      <x:c r="Q1273" s="9" t="n">
        <x:v>0</x:v>
      </x:c>
      <x:c r="R1273" s="9" t="str">
        <x:v>OPEN / UNSTARTED</x:v>
      </x:c>
      <x:c r="S1273" s="9" t="n">
        <x:f>COUNTIFS($A$7:$A$1446,A1273)</x:f>
        <x:v>1</x:v>
      </x:c>
    </x:row>
    <x:row r="1274">
      <x:c r="A1274" s="9" t="str">
        <x:v>EV-AR-CT-C-B-TECH-3-B1-BRK-G0-ST08</x:v>
      </x:c>
      <x:c r="B1274" s="9" t="str">
        <x:v>EV-AR-CT-C-B-TECH-3-B1-BRK-G0</x:v>
      </x:c>
      <x:c r="C1274" s="9" t="str">
        <x:v>EOW-AR-CT-C-B-TECH-3-B1-BRK-G0</x:v>
      </x:c>
      <x:c r="D1274" s="9" t="str">
        <x:v>AR-CT-C-B-TECH-3-B1-BRK-G0</x:v>
      </x:c>
      <x:c r="E1274" s="9" t="str">
        <x:v>CT-C-B-TECH-3</x:v>
      </x:c>
      <x:c r="F1274" s="9" t="str">
        <x:v>CT-C-B</x:v>
      </x:c>
      <x:c r="G1274" s="9" t="str">
        <x:v>B1</x:v>
      </x:c>
      <x:c r="H1274" s="9" t="str">
        <x:v>BRK</x:v>
      </x:c>
      <x:c r="I1274" s="9" t="n">
        <x:v>6</x:v>
      </x:c>
      <x:c r="J1274" s="9" t="n">
        <x:v>2</x:v>
      </x:c>
      <x:c r="K1274" s="9" t="str">
        <x:v>CT-C-B-N1</x:v>
      </x:c>
      <x:c r="L1274" s="9" t="str">
        <x:v>ST08</x:v>
      </x:c>
      <x:c r="M1274" s="17" t="str">
        <x:v>Manual stop and safety</x:v>
      </x:c>
      <x:c r="N1274" s="17" t="str">
        <x:v>local stop, evacuation and protection routes are active</x:v>
      </x:c>
      <x:c r="O1274" s="17" t="str">
        <x:v>Safety authority</x:v>
      </x:c>
      <x:c r="P1274" s="9" t="n">
        <x:v>0</x:v>
      </x:c>
      <x:c r="Q1274" s="9" t="n">
        <x:v>0</x:v>
      </x:c>
      <x:c r="R1274" s="9" t="str">
        <x:v>OPEN / UNSTARTED</x:v>
      </x:c>
      <x:c r="S1274" s="9" t="n">
        <x:f>COUNTIFS($A$7:$A$1446,A1274)</x:f>
        <x:v>1</x:v>
      </x:c>
    </x:row>
    <x:row r="1275">
      <x:c r="A1275" s="9" t="str">
        <x:v>EV-AR-CT-C-B-TECH-3-B1-BRK-G0-ST09</x:v>
      </x:c>
      <x:c r="B1275" s="9" t="str">
        <x:v>EV-AR-CT-C-B-TECH-3-B1-BRK-G0</x:v>
      </x:c>
      <x:c r="C1275" s="9" t="str">
        <x:v>EOW-AR-CT-C-B-TECH-3-B1-BRK-G0</x:v>
      </x:c>
      <x:c r="D1275" s="9" t="str">
        <x:v>AR-CT-C-B-TECH-3-B1-BRK-G0</x:v>
      </x:c>
      <x:c r="E1275" s="9" t="str">
        <x:v>CT-C-B-TECH-3</x:v>
      </x:c>
      <x:c r="F1275" s="9" t="str">
        <x:v>CT-C-B</x:v>
      </x:c>
      <x:c r="G1275" s="9" t="str">
        <x:v>B1</x:v>
      </x:c>
      <x:c r="H1275" s="9" t="str">
        <x:v>BRK</x:v>
      </x:c>
      <x:c r="I1275" s="9" t="n">
        <x:v>6</x:v>
      </x:c>
      <x:c r="J1275" s="9" t="n">
        <x:v>2</x:v>
      </x:c>
      <x:c r="K1275" s="9" t="str">
        <x:v>CT-C-B-N1</x:v>
      </x:c>
      <x:c r="L1275" s="9" t="str">
        <x:v>ST09</x:v>
      </x:c>
      <x:c r="M1275" s="17" t="str">
        <x:v>Operator conflict clear</x:v>
      </x:c>
      <x:c r="N1275" s="17" t="str">
        <x:v>candidate, fixture, safety and measurement control edges remain separated</x:v>
      </x:c>
      <x:c r="O1275" s="17" t="str">
        <x:v>Conflict registrar</x:v>
      </x:c>
      <x:c r="P1275" s="9" t="n">
        <x:v>0</x:v>
      </x:c>
      <x:c r="Q1275" s="9" t="n">
        <x:v>0</x:v>
      </x:c>
      <x:c r="R1275" s="9" t="str">
        <x:v>OPEN / UNSTARTED</x:v>
      </x:c>
      <x:c r="S1275" s="9" t="n">
        <x:f>COUNTIFS($A$7:$A$1446,A1275)</x:f>
        <x:v>1</x:v>
      </x:c>
    </x:row>
    <x:row r="1276">
      <x:c r="A1276" s="9" t="str">
        <x:v>EV-AR-CT-C-B-TECH-3-B1-BRK-G0-ST10</x:v>
      </x:c>
      <x:c r="B1276" s="9" t="str">
        <x:v>EV-AR-CT-C-B-TECH-3-B1-BRK-G0</x:v>
      </x:c>
      <x:c r="C1276" s="9" t="str">
        <x:v>EOW-AR-CT-C-B-TECH-3-B1-BRK-G0</x:v>
      </x:c>
      <x:c r="D1276" s="9" t="str">
        <x:v>AR-CT-C-B-TECH-3-B1-BRK-G0</x:v>
      </x:c>
      <x:c r="E1276" s="9" t="str">
        <x:v>CT-C-B-TECH-3</x:v>
      </x:c>
      <x:c r="F1276" s="9" t="str">
        <x:v>CT-C-B</x:v>
      </x:c>
      <x:c r="G1276" s="9" t="str">
        <x:v>B1</x:v>
      </x:c>
      <x:c r="H1276" s="9" t="str">
        <x:v>BRK</x:v>
      </x:c>
      <x:c r="I1276" s="9" t="n">
        <x:v>6</x:v>
      </x:c>
      <x:c r="J1276" s="9" t="n">
        <x:v>2</x:v>
      </x:c>
      <x:c r="K1276" s="9" t="str">
        <x:v>CT-C-B-N1</x:v>
      </x:c>
      <x:c r="L1276" s="9" t="str">
        <x:v>ST10</x:v>
      </x:c>
      <x:c r="M1276" s="17" t="str">
        <x:v>Window and common clock</x:v>
      </x:c>
      <x:c r="N1276" s="17" t="str">
        <x:v>epoch, window and public time origin match the issued warrant</x:v>
      </x:c>
      <x:c r="O1276" s="17" t="str">
        <x:v>Event clock authority</x:v>
      </x:c>
      <x:c r="P1276" s="9" t="n">
        <x:v>0</x:v>
      </x:c>
      <x:c r="Q1276" s="9" t="n">
        <x:v>0</x:v>
      </x:c>
      <x:c r="R1276" s="9" t="str">
        <x:v>OPEN / UNSTARTED</x:v>
      </x:c>
      <x:c r="S1276" s="9" t="n">
        <x:f>COUNTIFS($A$7:$A$1446,A1276)</x:f>
        <x:v>1</x:v>
      </x:c>
    </x:row>
    <x:row r="1277">
      <x:c r="A1277" s="9" t="str">
        <x:v>EV-AR-ET-A-A-TECH-1-B2-RCN-G0-ST01</x:v>
      </x:c>
      <x:c r="B1277" s="9" t="str">
        <x:v>EV-AR-ET-A-A-TECH-1-B2-RCN-G0</x:v>
      </x:c>
      <x:c r="C1277" s="9" t="str">
        <x:v>EOW-AR-ET-A-A-TECH-1-B2-RCN-G0</x:v>
      </x:c>
      <x:c r="D1277" s="9" t="str">
        <x:v>AR-ET-A-A-TECH-1-B2-RCN-G0</x:v>
      </x:c>
      <x:c r="E1277" s="9" t="str">
        <x:v>ET-A-A-TECH-1</x:v>
      </x:c>
      <x:c r="F1277" s="9" t="str">
        <x:v>ET-A-A</x:v>
      </x:c>
      <x:c r="G1277" s="9" t="str">
        <x:v>B2</x:v>
      </x:c>
      <x:c r="H1277" s="9" t="str">
        <x:v>RCN</x:v>
      </x:c>
      <x:c r="I1277" s="9" t="n">
        <x:v>6</x:v>
      </x:c>
      <x:c r="J1277" s="9" t="n">
        <x:v>2</x:v>
      </x:c>
      <x:c r="K1277" s="9" t="str">
        <x:v>ET-A-A-N2</x:v>
      </x:c>
      <x:c r="L1277" s="9" t="str">
        <x:v>ST01</x:v>
      </x:c>
      <x:c r="M1277" s="17" t="str">
        <x:v>Active opportunity warrant</x:v>
      </x:c>
      <x:c r="N1277" s="17" t="str">
        <x:v>configuration-bound EOW is within its thirty-six-hour validity</x:v>
      </x:c>
      <x:c r="O1277" s="17" t="str">
        <x:v>Start registrar</x:v>
      </x:c>
      <x:c r="P1277" s="9" t="n">
        <x:v>0</x:v>
      </x:c>
      <x:c r="Q1277" s="9" t="n">
        <x:v>0</x:v>
      </x:c>
      <x:c r="R1277" s="9" t="str">
        <x:v>OPEN / UNSTARTED</x:v>
      </x:c>
      <x:c r="S1277" s="9" t="n">
        <x:f>COUNTIFS($A$7:$A$1446,A1277)</x:f>
        <x:v>1</x:v>
      </x:c>
    </x:row>
    <x:row r="1278">
      <x:c r="A1278" s="9" t="str">
        <x:v>EV-AR-ET-A-A-TECH-1-B2-RCN-G0-ST02</x:v>
      </x:c>
      <x:c r="B1278" s="9" t="str">
        <x:v>EV-AR-ET-A-A-TECH-1-B2-RCN-G0</x:v>
      </x:c>
      <x:c r="C1278" s="9" t="str">
        <x:v>EOW-AR-ET-A-A-TECH-1-B2-RCN-G0</x:v>
      </x:c>
      <x:c r="D1278" s="9" t="str">
        <x:v>AR-ET-A-A-TECH-1-B2-RCN-G0</x:v>
      </x:c>
      <x:c r="E1278" s="9" t="str">
        <x:v>ET-A-A-TECH-1</x:v>
      </x:c>
      <x:c r="F1278" s="9" t="str">
        <x:v>ET-A-A</x:v>
      </x:c>
      <x:c r="G1278" s="9" t="str">
        <x:v>B2</x:v>
      </x:c>
      <x:c r="H1278" s="9" t="str">
        <x:v>RCN</x:v>
      </x:c>
      <x:c r="I1278" s="9" t="n">
        <x:v>6</x:v>
      </x:c>
      <x:c r="J1278" s="9" t="n">
        <x:v>2</x:v>
      </x:c>
      <x:c r="K1278" s="9" t="str">
        <x:v>ET-A-A-N2</x:v>
      </x:c>
      <x:c r="L1278" s="9" t="str">
        <x:v>ST02</x:v>
      </x:c>
      <x:c r="M1278" s="17" t="str">
        <x:v>Frozen identity</x:v>
      </x:c>
      <x:c r="N1278" s="17" t="str">
        <x:v>serial, generation, fixture, site, receiver and digest match the warrant</x:v>
      </x:c>
      <x:c r="O1278" s="17" t="str">
        <x:v>Custody authority</x:v>
      </x:c>
      <x:c r="P1278" s="9" t="n">
        <x:v>0</x:v>
      </x:c>
      <x:c r="Q1278" s="9" t="n">
        <x:v>0</x:v>
      </x:c>
      <x:c r="R1278" s="9" t="str">
        <x:v>OPEN / UNSTARTED</x:v>
      </x:c>
      <x:c r="S1278" s="9" t="n">
        <x:f>COUNTIFS($A$7:$A$1446,A1278)</x:f>
        <x:v>1</x:v>
      </x:c>
    </x:row>
    <x:row r="1279">
      <x:c r="A1279" s="9" t="str">
        <x:v>EV-AR-ET-A-A-TECH-1-B2-RCN-G0-ST03</x:v>
      </x:c>
      <x:c r="B1279" s="9" t="str">
        <x:v>EV-AR-ET-A-A-TECH-1-B2-RCN-G0</x:v>
      </x:c>
      <x:c r="C1279" s="9" t="str">
        <x:v>EOW-AR-ET-A-A-TECH-1-B2-RCN-G0</x:v>
      </x:c>
      <x:c r="D1279" s="9" t="str">
        <x:v>AR-ET-A-A-TECH-1-B2-RCN-G0</x:v>
      </x:c>
      <x:c r="E1279" s="9" t="str">
        <x:v>ET-A-A-TECH-1</x:v>
      </x:c>
      <x:c r="F1279" s="9" t="str">
        <x:v>ET-A-A</x:v>
      </x:c>
      <x:c r="G1279" s="9" t="str">
        <x:v>B2</x:v>
      </x:c>
      <x:c r="H1279" s="9" t="str">
        <x:v>RCN</x:v>
      </x:c>
      <x:c r="I1279" s="9" t="n">
        <x:v>6</x:v>
      </x:c>
      <x:c r="J1279" s="9" t="n">
        <x:v>2</x:v>
      </x:c>
      <x:c r="K1279" s="9" t="str">
        <x:v>ET-A-A-N2</x:v>
      </x:c>
      <x:c r="L1279" s="9" t="str">
        <x:v>ST03</x:v>
      </x:c>
      <x:c r="M1279" s="17" t="str">
        <x:v>Receiver receipt</x:v>
      </x:c>
      <x:c r="N1279" s="17" t="str">
        <x:v>denominator, counterfactual, rights and stop receipt remain unchanged</x:v>
      </x:c>
      <x:c r="O1279" s="17" t="str">
        <x:v>Receiver authority</x:v>
      </x:c>
      <x:c r="P1279" s="9" t="n">
        <x:v>0</x:v>
      </x:c>
      <x:c r="Q1279" s="9" t="n">
        <x:v>0</x:v>
      </x:c>
      <x:c r="R1279" s="9" t="str">
        <x:v>OPEN / UNSTARTED</x:v>
      </x:c>
      <x:c r="S1279" s="9" t="n">
        <x:f>COUNTIFS($A$7:$A$1446,A1279)</x:f>
        <x:v>1</x:v>
      </x:c>
    </x:row>
    <x:row r="1280">
      <x:c r="A1280" s="9" t="str">
        <x:v>EV-AR-ET-A-A-TECH-1-B2-RCN-G0-ST04</x:v>
      </x:c>
      <x:c r="B1280" s="9" t="str">
        <x:v>EV-AR-ET-A-A-TECH-1-B2-RCN-G0</x:v>
      </x:c>
      <x:c r="C1280" s="9" t="str">
        <x:v>EOW-AR-ET-A-A-TECH-1-B2-RCN-G0</x:v>
      </x:c>
      <x:c r="D1280" s="9" t="str">
        <x:v>AR-ET-A-A-TECH-1-B2-RCN-G0</x:v>
      </x:c>
      <x:c r="E1280" s="9" t="str">
        <x:v>ET-A-A-TECH-1</x:v>
      </x:c>
      <x:c r="F1280" s="9" t="str">
        <x:v>ET-A-A</x:v>
      </x:c>
      <x:c r="G1280" s="9" t="str">
        <x:v>B2</x:v>
      </x:c>
      <x:c r="H1280" s="9" t="str">
        <x:v>RCN</x:v>
      </x:c>
      <x:c r="I1280" s="9" t="n">
        <x:v>6</x:v>
      </x:c>
      <x:c r="J1280" s="9" t="n">
        <x:v>2</x:v>
      </x:c>
      <x:c r="K1280" s="9" t="str">
        <x:v>ET-A-A-N2</x:v>
      </x:c>
      <x:c r="L1280" s="9" t="str">
        <x:v>ST04</x:v>
      </x:c>
      <x:c r="M1280" s="17" t="str">
        <x:v>Primary capture armed</x:v>
      </x:c>
      <x:c r="N1280" s="17" t="str">
        <x:v>primary chain records sealed reference and live time</x:v>
      </x:c>
      <x:c r="O1280" s="17" t="str">
        <x:v>Primary metrology</x:v>
      </x:c>
      <x:c r="P1280" s="9" t="n">
        <x:v>0</x:v>
      </x:c>
      <x:c r="Q1280" s="9" t="n">
        <x:v>0</x:v>
      </x:c>
      <x:c r="R1280" s="9" t="str">
        <x:v>OPEN / UNSTARTED</x:v>
      </x:c>
      <x:c r="S1280" s="9" t="n">
        <x:f>COUNTIFS($A$7:$A$1446,A1280)</x:f>
        <x:v>1</x:v>
      </x:c>
    </x:row>
    <x:row r="1281">
      <x:c r="A1281" s="9" t="str">
        <x:v>EV-AR-ET-A-A-TECH-1-B2-RCN-G0-ST05</x:v>
      </x:c>
      <x:c r="B1281" s="9" t="str">
        <x:v>EV-AR-ET-A-A-TECH-1-B2-RCN-G0</x:v>
      </x:c>
      <x:c r="C1281" s="9" t="str">
        <x:v>EOW-AR-ET-A-A-TECH-1-B2-RCN-G0</x:v>
      </x:c>
      <x:c r="D1281" s="9" t="str">
        <x:v>AR-ET-A-A-TECH-1-B2-RCN-G0</x:v>
      </x:c>
      <x:c r="E1281" s="9" t="str">
        <x:v>ET-A-A-TECH-1</x:v>
      </x:c>
      <x:c r="F1281" s="9" t="str">
        <x:v>ET-A-A</x:v>
      </x:c>
      <x:c r="G1281" s="9" t="str">
        <x:v>B2</x:v>
      </x:c>
      <x:c r="H1281" s="9" t="str">
        <x:v>RCN</x:v>
      </x:c>
      <x:c r="I1281" s="9" t="n">
        <x:v>6</x:v>
      </x:c>
      <x:c r="J1281" s="9" t="n">
        <x:v>2</x:v>
      </x:c>
      <x:c r="K1281" s="9" t="str">
        <x:v>ET-A-A-N2</x:v>
      </x:c>
      <x:c r="L1281" s="9" t="str">
        <x:v>ST05</x:v>
      </x:c>
      <x:c r="M1281" s="17" t="str">
        <x:v>Witness capture armed</x:v>
      </x:c>
      <x:c r="N1281" s="17" t="str">
        <x:v>unlike witness records independent reference and live time</x:v>
      </x:c>
      <x:c r="O1281" s="17" t="str">
        <x:v>Witness metrology</x:v>
      </x:c>
      <x:c r="P1281" s="9" t="n">
        <x:v>0</x:v>
      </x:c>
      <x:c r="Q1281" s="9" t="n">
        <x:v>0</x:v>
      </x:c>
      <x:c r="R1281" s="9" t="str">
        <x:v>OPEN / UNSTARTED</x:v>
      </x:c>
      <x:c r="S1281" s="9" t="n">
        <x:f>COUNTIFS($A$7:$A$1446,A1281)</x:f>
        <x:v>1</x:v>
      </x:c>
    </x:row>
    <x:row r="1282">
      <x:c r="A1282" s="9" t="str">
        <x:v>EV-AR-ET-A-A-TECH-1-B2-RCN-G0-ST06</x:v>
      </x:c>
      <x:c r="B1282" s="9" t="str">
        <x:v>EV-AR-ET-A-A-TECH-1-B2-RCN-G0</x:v>
      </x:c>
      <x:c r="C1282" s="9" t="str">
        <x:v>EOW-AR-ET-A-A-TECH-1-B2-RCN-G0</x:v>
      </x:c>
      <x:c r="D1282" s="9" t="str">
        <x:v>AR-ET-A-A-TECH-1-B2-RCN-G0</x:v>
      </x:c>
      <x:c r="E1282" s="9" t="str">
        <x:v>ET-A-A-TECH-1</x:v>
      </x:c>
      <x:c r="F1282" s="9" t="str">
        <x:v>ET-A-A</x:v>
      </x:c>
      <x:c r="G1282" s="9" t="str">
        <x:v>B2</x:v>
      </x:c>
      <x:c r="H1282" s="9" t="str">
        <x:v>RCN</x:v>
      </x:c>
      <x:c r="I1282" s="9" t="n">
        <x:v>6</x:v>
      </x:c>
      <x:c r="J1282" s="9" t="n">
        <x:v>2</x:v>
      </x:c>
      <x:c r="K1282" s="9" t="str">
        <x:v>ET-A-A-N2</x:v>
      </x:c>
      <x:c r="L1282" s="9" t="str">
        <x:v>ST06</x:v>
      </x:c>
      <x:c r="M1282" s="17" t="str">
        <x:v>Public custody armed</x:v>
      </x:c>
      <x:c r="N1282" s="17" t="str">
        <x:v>eight raw origins have separated hash and replica routes</x:v>
      </x:c>
      <x:c r="O1282" s="17" t="str">
        <x:v>Custody authority</x:v>
      </x:c>
      <x:c r="P1282" s="9" t="n">
        <x:v>0</x:v>
      </x:c>
      <x:c r="Q1282" s="9" t="n">
        <x:v>0</x:v>
      </x:c>
      <x:c r="R1282" s="9" t="str">
        <x:v>OPEN / UNSTARTED</x:v>
      </x:c>
      <x:c r="S1282" s="9" t="n">
        <x:f>COUNTIFS($A$7:$A$1446,A1282)</x:f>
        <x:v>1</x:v>
      </x:c>
    </x:row>
    <x:row r="1283">
      <x:c r="A1283" s="9" t="str">
        <x:v>EV-AR-ET-A-A-TECH-1-B2-RCN-G0-ST07</x:v>
      </x:c>
      <x:c r="B1283" s="9" t="str">
        <x:v>EV-AR-ET-A-A-TECH-1-B2-RCN-G0</x:v>
      </x:c>
      <x:c r="C1283" s="9" t="str">
        <x:v>EOW-AR-ET-A-A-TECH-1-B2-RCN-G0</x:v>
      </x:c>
      <x:c r="D1283" s="9" t="str">
        <x:v>AR-ET-A-A-TECH-1-B2-RCN-G0</x:v>
      </x:c>
      <x:c r="E1283" s="9" t="str">
        <x:v>ET-A-A-TECH-1</x:v>
      </x:c>
      <x:c r="F1283" s="9" t="str">
        <x:v>ET-A-A</x:v>
      </x:c>
      <x:c r="G1283" s="9" t="str">
        <x:v>B2</x:v>
      </x:c>
      <x:c r="H1283" s="9" t="str">
        <x:v>RCN</x:v>
      </x:c>
      <x:c r="I1283" s="9" t="n">
        <x:v>6</x:v>
      </x:c>
      <x:c r="J1283" s="9" t="n">
        <x:v>2</x:v>
      </x:c>
      <x:c r="K1283" s="9" t="str">
        <x:v>ET-A-A-N2</x:v>
      </x:c>
      <x:c r="L1283" s="9" t="str">
        <x:v>ST07</x:v>
      </x:c>
      <x:c r="M1283" s="17" t="str">
        <x:v>Environmental baseline</x:v>
      </x:c>
      <x:c r="N1283" s="17" t="str">
        <x:v>pre-event boundary state is sealed before decisive operation</x:v>
      </x:c>
      <x:c r="O1283" s="17" t="str">
        <x:v>Site metrology</x:v>
      </x:c>
      <x:c r="P1283" s="9" t="n">
        <x:v>0</x:v>
      </x:c>
      <x:c r="Q1283" s="9" t="n">
        <x:v>0</x:v>
      </x:c>
      <x:c r="R1283" s="9" t="str">
        <x:v>OPEN / UNSTARTED</x:v>
      </x:c>
      <x:c r="S1283" s="9" t="n">
        <x:f>COUNTIFS($A$7:$A$1446,A1283)</x:f>
        <x:v>1</x:v>
      </x:c>
    </x:row>
    <x:row r="1284">
      <x:c r="A1284" s="9" t="str">
        <x:v>EV-AR-ET-A-A-TECH-1-B2-RCN-G0-ST08</x:v>
      </x:c>
      <x:c r="B1284" s="9" t="str">
        <x:v>EV-AR-ET-A-A-TECH-1-B2-RCN-G0</x:v>
      </x:c>
      <x:c r="C1284" s="9" t="str">
        <x:v>EOW-AR-ET-A-A-TECH-1-B2-RCN-G0</x:v>
      </x:c>
      <x:c r="D1284" s="9" t="str">
        <x:v>AR-ET-A-A-TECH-1-B2-RCN-G0</x:v>
      </x:c>
      <x:c r="E1284" s="9" t="str">
        <x:v>ET-A-A-TECH-1</x:v>
      </x:c>
      <x:c r="F1284" s="9" t="str">
        <x:v>ET-A-A</x:v>
      </x:c>
      <x:c r="G1284" s="9" t="str">
        <x:v>B2</x:v>
      </x:c>
      <x:c r="H1284" s="9" t="str">
        <x:v>RCN</x:v>
      </x:c>
      <x:c r="I1284" s="9" t="n">
        <x:v>6</x:v>
      </x:c>
      <x:c r="J1284" s="9" t="n">
        <x:v>2</x:v>
      </x:c>
      <x:c r="K1284" s="9" t="str">
        <x:v>ET-A-A-N2</x:v>
      </x:c>
      <x:c r="L1284" s="9" t="str">
        <x:v>ST08</x:v>
      </x:c>
      <x:c r="M1284" s="17" t="str">
        <x:v>Manual stop and safety</x:v>
      </x:c>
      <x:c r="N1284" s="17" t="str">
        <x:v>local stop, evacuation and protection routes are active</x:v>
      </x:c>
      <x:c r="O1284" s="17" t="str">
        <x:v>Safety authority</x:v>
      </x:c>
      <x:c r="P1284" s="9" t="n">
        <x:v>0</x:v>
      </x:c>
      <x:c r="Q1284" s="9" t="n">
        <x:v>0</x:v>
      </x:c>
      <x:c r="R1284" s="9" t="str">
        <x:v>OPEN / UNSTARTED</x:v>
      </x:c>
      <x:c r="S1284" s="9" t="n">
        <x:f>COUNTIFS($A$7:$A$1446,A1284)</x:f>
        <x:v>1</x:v>
      </x:c>
    </x:row>
    <x:row r="1285">
      <x:c r="A1285" s="9" t="str">
        <x:v>EV-AR-ET-A-A-TECH-1-B2-RCN-G0-ST09</x:v>
      </x:c>
      <x:c r="B1285" s="9" t="str">
        <x:v>EV-AR-ET-A-A-TECH-1-B2-RCN-G0</x:v>
      </x:c>
      <x:c r="C1285" s="9" t="str">
        <x:v>EOW-AR-ET-A-A-TECH-1-B2-RCN-G0</x:v>
      </x:c>
      <x:c r="D1285" s="9" t="str">
        <x:v>AR-ET-A-A-TECH-1-B2-RCN-G0</x:v>
      </x:c>
      <x:c r="E1285" s="9" t="str">
        <x:v>ET-A-A-TECH-1</x:v>
      </x:c>
      <x:c r="F1285" s="9" t="str">
        <x:v>ET-A-A</x:v>
      </x:c>
      <x:c r="G1285" s="9" t="str">
        <x:v>B2</x:v>
      </x:c>
      <x:c r="H1285" s="9" t="str">
        <x:v>RCN</x:v>
      </x:c>
      <x:c r="I1285" s="9" t="n">
        <x:v>6</x:v>
      </x:c>
      <x:c r="J1285" s="9" t="n">
        <x:v>2</x:v>
      </x:c>
      <x:c r="K1285" s="9" t="str">
        <x:v>ET-A-A-N2</x:v>
      </x:c>
      <x:c r="L1285" s="9" t="str">
        <x:v>ST09</x:v>
      </x:c>
      <x:c r="M1285" s="17" t="str">
        <x:v>Operator conflict clear</x:v>
      </x:c>
      <x:c r="N1285" s="17" t="str">
        <x:v>candidate, fixture, safety and measurement control edges remain separated</x:v>
      </x:c>
      <x:c r="O1285" s="17" t="str">
        <x:v>Conflict registrar</x:v>
      </x:c>
      <x:c r="P1285" s="9" t="n">
        <x:v>0</x:v>
      </x:c>
      <x:c r="Q1285" s="9" t="n">
        <x:v>0</x:v>
      </x:c>
      <x:c r="R1285" s="9" t="str">
        <x:v>OPEN / UNSTARTED</x:v>
      </x:c>
      <x:c r="S1285" s="9" t="n">
        <x:f>COUNTIFS($A$7:$A$1446,A1285)</x:f>
        <x:v>1</x:v>
      </x:c>
    </x:row>
    <x:row r="1286">
      <x:c r="A1286" s="9" t="str">
        <x:v>EV-AR-ET-A-A-TECH-1-B2-RCN-G0-ST10</x:v>
      </x:c>
      <x:c r="B1286" s="9" t="str">
        <x:v>EV-AR-ET-A-A-TECH-1-B2-RCN-G0</x:v>
      </x:c>
      <x:c r="C1286" s="9" t="str">
        <x:v>EOW-AR-ET-A-A-TECH-1-B2-RCN-G0</x:v>
      </x:c>
      <x:c r="D1286" s="9" t="str">
        <x:v>AR-ET-A-A-TECH-1-B2-RCN-G0</x:v>
      </x:c>
      <x:c r="E1286" s="9" t="str">
        <x:v>ET-A-A-TECH-1</x:v>
      </x:c>
      <x:c r="F1286" s="9" t="str">
        <x:v>ET-A-A</x:v>
      </x:c>
      <x:c r="G1286" s="9" t="str">
        <x:v>B2</x:v>
      </x:c>
      <x:c r="H1286" s="9" t="str">
        <x:v>RCN</x:v>
      </x:c>
      <x:c r="I1286" s="9" t="n">
        <x:v>6</x:v>
      </x:c>
      <x:c r="J1286" s="9" t="n">
        <x:v>2</x:v>
      </x:c>
      <x:c r="K1286" s="9" t="str">
        <x:v>ET-A-A-N2</x:v>
      </x:c>
      <x:c r="L1286" s="9" t="str">
        <x:v>ST10</x:v>
      </x:c>
      <x:c r="M1286" s="17" t="str">
        <x:v>Window and common clock</x:v>
      </x:c>
      <x:c r="N1286" s="17" t="str">
        <x:v>epoch, window and public time origin match the issued warrant</x:v>
      </x:c>
      <x:c r="O1286" s="17" t="str">
        <x:v>Event clock authority</x:v>
      </x:c>
      <x:c r="P1286" s="9" t="n">
        <x:v>0</x:v>
      </x:c>
      <x:c r="Q1286" s="9" t="n">
        <x:v>0</x:v>
      </x:c>
      <x:c r="R1286" s="9" t="str">
        <x:v>OPEN / UNSTARTED</x:v>
      </x:c>
      <x:c r="S1286" s="9" t="n">
        <x:f>COUNTIFS($A$7:$A$1446,A1286)</x:f>
        <x:v>1</x:v>
      </x:c>
    </x:row>
    <x:row r="1287">
      <x:c r="A1287" s="9" t="str">
        <x:v>EV-AR-HC-A-C-TECH-1-B2-BRK-G0-ST01</x:v>
      </x:c>
      <x:c r="B1287" s="9" t="str">
        <x:v>EV-AR-HC-A-C-TECH-1-B2-BRK-G0</x:v>
      </x:c>
      <x:c r="C1287" s="9" t="str">
        <x:v>EOW-AR-HC-A-C-TECH-1-B2-BRK-G0</x:v>
      </x:c>
      <x:c r="D1287" s="9" t="str">
        <x:v>AR-HC-A-C-TECH-1-B2-BRK-G0</x:v>
      </x:c>
      <x:c r="E1287" s="9" t="str">
        <x:v>HC-A-C-TECH-1</x:v>
      </x:c>
      <x:c r="F1287" s="9" t="str">
        <x:v>HC-A-C</x:v>
      </x:c>
      <x:c r="G1287" s="9" t="str">
        <x:v>B2</x:v>
      </x:c>
      <x:c r="H1287" s="9" t="str">
        <x:v>BRK</x:v>
      </x:c>
      <x:c r="I1287" s="9" t="n">
        <x:v>6</x:v>
      </x:c>
      <x:c r="J1287" s="9" t="n">
        <x:v>2</x:v>
      </x:c>
      <x:c r="K1287" s="9" t="str">
        <x:v>HC-A-C-N1</x:v>
      </x:c>
      <x:c r="L1287" s="9" t="str">
        <x:v>ST01</x:v>
      </x:c>
      <x:c r="M1287" s="17" t="str">
        <x:v>Active opportunity warrant</x:v>
      </x:c>
      <x:c r="N1287" s="17" t="str">
        <x:v>configuration-bound EOW is within its thirty-six-hour validity</x:v>
      </x:c>
      <x:c r="O1287" s="17" t="str">
        <x:v>Start registrar</x:v>
      </x:c>
      <x:c r="P1287" s="9" t="n">
        <x:v>0</x:v>
      </x:c>
      <x:c r="Q1287" s="9" t="n">
        <x:v>0</x:v>
      </x:c>
      <x:c r="R1287" s="9" t="str">
        <x:v>OPEN / UNSTARTED</x:v>
      </x:c>
      <x:c r="S1287" s="9" t="n">
        <x:f>COUNTIFS($A$7:$A$1446,A1287)</x:f>
        <x:v>1</x:v>
      </x:c>
    </x:row>
    <x:row r="1288">
      <x:c r="A1288" s="9" t="str">
        <x:v>EV-AR-HC-A-C-TECH-1-B2-BRK-G0-ST02</x:v>
      </x:c>
      <x:c r="B1288" s="9" t="str">
        <x:v>EV-AR-HC-A-C-TECH-1-B2-BRK-G0</x:v>
      </x:c>
      <x:c r="C1288" s="9" t="str">
        <x:v>EOW-AR-HC-A-C-TECH-1-B2-BRK-G0</x:v>
      </x:c>
      <x:c r="D1288" s="9" t="str">
        <x:v>AR-HC-A-C-TECH-1-B2-BRK-G0</x:v>
      </x:c>
      <x:c r="E1288" s="9" t="str">
        <x:v>HC-A-C-TECH-1</x:v>
      </x:c>
      <x:c r="F1288" s="9" t="str">
        <x:v>HC-A-C</x:v>
      </x:c>
      <x:c r="G1288" s="9" t="str">
        <x:v>B2</x:v>
      </x:c>
      <x:c r="H1288" s="9" t="str">
        <x:v>BRK</x:v>
      </x:c>
      <x:c r="I1288" s="9" t="n">
        <x:v>6</x:v>
      </x:c>
      <x:c r="J1288" s="9" t="n">
        <x:v>2</x:v>
      </x:c>
      <x:c r="K1288" s="9" t="str">
        <x:v>HC-A-C-N1</x:v>
      </x:c>
      <x:c r="L1288" s="9" t="str">
        <x:v>ST02</x:v>
      </x:c>
      <x:c r="M1288" s="17" t="str">
        <x:v>Frozen identity</x:v>
      </x:c>
      <x:c r="N1288" s="17" t="str">
        <x:v>serial, generation, fixture, site, receiver and digest match the warrant</x:v>
      </x:c>
      <x:c r="O1288" s="17" t="str">
        <x:v>Custody authority</x:v>
      </x:c>
      <x:c r="P1288" s="9" t="n">
        <x:v>0</x:v>
      </x:c>
      <x:c r="Q1288" s="9" t="n">
        <x:v>0</x:v>
      </x:c>
      <x:c r="R1288" s="9" t="str">
        <x:v>OPEN / UNSTARTED</x:v>
      </x:c>
      <x:c r="S1288" s="9" t="n">
        <x:f>COUNTIFS($A$7:$A$1446,A1288)</x:f>
        <x:v>1</x:v>
      </x:c>
    </x:row>
    <x:row r="1289">
      <x:c r="A1289" s="9" t="str">
        <x:v>EV-AR-HC-A-C-TECH-1-B2-BRK-G0-ST03</x:v>
      </x:c>
      <x:c r="B1289" s="9" t="str">
        <x:v>EV-AR-HC-A-C-TECH-1-B2-BRK-G0</x:v>
      </x:c>
      <x:c r="C1289" s="9" t="str">
        <x:v>EOW-AR-HC-A-C-TECH-1-B2-BRK-G0</x:v>
      </x:c>
      <x:c r="D1289" s="9" t="str">
        <x:v>AR-HC-A-C-TECH-1-B2-BRK-G0</x:v>
      </x:c>
      <x:c r="E1289" s="9" t="str">
        <x:v>HC-A-C-TECH-1</x:v>
      </x:c>
      <x:c r="F1289" s="9" t="str">
        <x:v>HC-A-C</x:v>
      </x:c>
      <x:c r="G1289" s="9" t="str">
        <x:v>B2</x:v>
      </x:c>
      <x:c r="H1289" s="9" t="str">
        <x:v>BRK</x:v>
      </x:c>
      <x:c r="I1289" s="9" t="n">
        <x:v>6</x:v>
      </x:c>
      <x:c r="J1289" s="9" t="n">
        <x:v>2</x:v>
      </x:c>
      <x:c r="K1289" s="9" t="str">
        <x:v>HC-A-C-N1</x:v>
      </x:c>
      <x:c r="L1289" s="9" t="str">
        <x:v>ST03</x:v>
      </x:c>
      <x:c r="M1289" s="17" t="str">
        <x:v>Receiver receipt</x:v>
      </x:c>
      <x:c r="N1289" s="17" t="str">
        <x:v>denominator, counterfactual, rights and stop receipt remain unchanged</x:v>
      </x:c>
      <x:c r="O1289" s="17" t="str">
        <x:v>Receiver authority</x:v>
      </x:c>
      <x:c r="P1289" s="9" t="n">
        <x:v>0</x:v>
      </x:c>
      <x:c r="Q1289" s="9" t="n">
        <x:v>0</x:v>
      </x:c>
      <x:c r="R1289" s="9" t="str">
        <x:v>OPEN / UNSTARTED</x:v>
      </x:c>
      <x:c r="S1289" s="9" t="n">
        <x:f>COUNTIFS($A$7:$A$1446,A1289)</x:f>
        <x:v>1</x:v>
      </x:c>
    </x:row>
    <x:row r="1290">
      <x:c r="A1290" s="9" t="str">
        <x:v>EV-AR-HC-A-C-TECH-1-B2-BRK-G0-ST04</x:v>
      </x:c>
      <x:c r="B1290" s="9" t="str">
        <x:v>EV-AR-HC-A-C-TECH-1-B2-BRK-G0</x:v>
      </x:c>
      <x:c r="C1290" s="9" t="str">
        <x:v>EOW-AR-HC-A-C-TECH-1-B2-BRK-G0</x:v>
      </x:c>
      <x:c r="D1290" s="9" t="str">
        <x:v>AR-HC-A-C-TECH-1-B2-BRK-G0</x:v>
      </x:c>
      <x:c r="E1290" s="9" t="str">
        <x:v>HC-A-C-TECH-1</x:v>
      </x:c>
      <x:c r="F1290" s="9" t="str">
        <x:v>HC-A-C</x:v>
      </x:c>
      <x:c r="G1290" s="9" t="str">
        <x:v>B2</x:v>
      </x:c>
      <x:c r="H1290" s="9" t="str">
        <x:v>BRK</x:v>
      </x:c>
      <x:c r="I1290" s="9" t="n">
        <x:v>6</x:v>
      </x:c>
      <x:c r="J1290" s="9" t="n">
        <x:v>2</x:v>
      </x:c>
      <x:c r="K1290" s="9" t="str">
        <x:v>HC-A-C-N1</x:v>
      </x:c>
      <x:c r="L1290" s="9" t="str">
        <x:v>ST04</x:v>
      </x:c>
      <x:c r="M1290" s="17" t="str">
        <x:v>Primary capture armed</x:v>
      </x:c>
      <x:c r="N1290" s="17" t="str">
        <x:v>primary chain records sealed reference and live time</x:v>
      </x:c>
      <x:c r="O1290" s="17" t="str">
        <x:v>Primary metrology</x:v>
      </x:c>
      <x:c r="P1290" s="9" t="n">
        <x:v>0</x:v>
      </x:c>
      <x:c r="Q1290" s="9" t="n">
        <x:v>0</x:v>
      </x:c>
      <x:c r="R1290" s="9" t="str">
        <x:v>OPEN / UNSTARTED</x:v>
      </x:c>
      <x:c r="S1290" s="9" t="n">
        <x:f>COUNTIFS($A$7:$A$1446,A1290)</x:f>
        <x:v>1</x:v>
      </x:c>
    </x:row>
    <x:row r="1291">
      <x:c r="A1291" s="9" t="str">
        <x:v>EV-AR-HC-A-C-TECH-1-B2-BRK-G0-ST05</x:v>
      </x:c>
      <x:c r="B1291" s="9" t="str">
        <x:v>EV-AR-HC-A-C-TECH-1-B2-BRK-G0</x:v>
      </x:c>
      <x:c r="C1291" s="9" t="str">
        <x:v>EOW-AR-HC-A-C-TECH-1-B2-BRK-G0</x:v>
      </x:c>
      <x:c r="D1291" s="9" t="str">
        <x:v>AR-HC-A-C-TECH-1-B2-BRK-G0</x:v>
      </x:c>
      <x:c r="E1291" s="9" t="str">
        <x:v>HC-A-C-TECH-1</x:v>
      </x:c>
      <x:c r="F1291" s="9" t="str">
        <x:v>HC-A-C</x:v>
      </x:c>
      <x:c r="G1291" s="9" t="str">
        <x:v>B2</x:v>
      </x:c>
      <x:c r="H1291" s="9" t="str">
        <x:v>BRK</x:v>
      </x:c>
      <x:c r="I1291" s="9" t="n">
        <x:v>6</x:v>
      </x:c>
      <x:c r="J1291" s="9" t="n">
        <x:v>2</x:v>
      </x:c>
      <x:c r="K1291" s="9" t="str">
        <x:v>HC-A-C-N1</x:v>
      </x:c>
      <x:c r="L1291" s="9" t="str">
        <x:v>ST05</x:v>
      </x:c>
      <x:c r="M1291" s="17" t="str">
        <x:v>Witness capture armed</x:v>
      </x:c>
      <x:c r="N1291" s="17" t="str">
        <x:v>unlike witness records independent reference and live time</x:v>
      </x:c>
      <x:c r="O1291" s="17" t="str">
        <x:v>Witness metrology</x:v>
      </x:c>
      <x:c r="P1291" s="9" t="n">
        <x:v>0</x:v>
      </x:c>
      <x:c r="Q1291" s="9" t="n">
        <x:v>0</x:v>
      </x:c>
      <x:c r="R1291" s="9" t="str">
        <x:v>OPEN / UNSTARTED</x:v>
      </x:c>
      <x:c r="S1291" s="9" t="n">
        <x:f>COUNTIFS($A$7:$A$1446,A1291)</x:f>
        <x:v>1</x:v>
      </x:c>
    </x:row>
    <x:row r="1292">
      <x:c r="A1292" s="9" t="str">
        <x:v>EV-AR-HC-A-C-TECH-1-B2-BRK-G0-ST06</x:v>
      </x:c>
      <x:c r="B1292" s="9" t="str">
        <x:v>EV-AR-HC-A-C-TECH-1-B2-BRK-G0</x:v>
      </x:c>
      <x:c r="C1292" s="9" t="str">
        <x:v>EOW-AR-HC-A-C-TECH-1-B2-BRK-G0</x:v>
      </x:c>
      <x:c r="D1292" s="9" t="str">
        <x:v>AR-HC-A-C-TECH-1-B2-BRK-G0</x:v>
      </x:c>
      <x:c r="E1292" s="9" t="str">
        <x:v>HC-A-C-TECH-1</x:v>
      </x:c>
      <x:c r="F1292" s="9" t="str">
        <x:v>HC-A-C</x:v>
      </x:c>
      <x:c r="G1292" s="9" t="str">
        <x:v>B2</x:v>
      </x:c>
      <x:c r="H1292" s="9" t="str">
        <x:v>BRK</x:v>
      </x:c>
      <x:c r="I1292" s="9" t="n">
        <x:v>6</x:v>
      </x:c>
      <x:c r="J1292" s="9" t="n">
        <x:v>2</x:v>
      </x:c>
      <x:c r="K1292" s="9" t="str">
        <x:v>HC-A-C-N1</x:v>
      </x:c>
      <x:c r="L1292" s="9" t="str">
        <x:v>ST06</x:v>
      </x:c>
      <x:c r="M1292" s="17" t="str">
        <x:v>Public custody armed</x:v>
      </x:c>
      <x:c r="N1292" s="17" t="str">
        <x:v>eight raw origins have separated hash and replica routes</x:v>
      </x:c>
      <x:c r="O1292" s="17" t="str">
        <x:v>Custody authority</x:v>
      </x:c>
      <x:c r="P1292" s="9" t="n">
        <x:v>0</x:v>
      </x:c>
      <x:c r="Q1292" s="9" t="n">
        <x:v>0</x:v>
      </x:c>
      <x:c r="R1292" s="9" t="str">
        <x:v>OPEN / UNSTARTED</x:v>
      </x:c>
      <x:c r="S1292" s="9" t="n">
        <x:f>COUNTIFS($A$7:$A$1446,A1292)</x:f>
        <x:v>1</x:v>
      </x:c>
    </x:row>
    <x:row r="1293">
      <x:c r="A1293" s="9" t="str">
        <x:v>EV-AR-HC-A-C-TECH-1-B2-BRK-G0-ST07</x:v>
      </x:c>
      <x:c r="B1293" s="9" t="str">
        <x:v>EV-AR-HC-A-C-TECH-1-B2-BRK-G0</x:v>
      </x:c>
      <x:c r="C1293" s="9" t="str">
        <x:v>EOW-AR-HC-A-C-TECH-1-B2-BRK-G0</x:v>
      </x:c>
      <x:c r="D1293" s="9" t="str">
        <x:v>AR-HC-A-C-TECH-1-B2-BRK-G0</x:v>
      </x:c>
      <x:c r="E1293" s="9" t="str">
        <x:v>HC-A-C-TECH-1</x:v>
      </x:c>
      <x:c r="F1293" s="9" t="str">
        <x:v>HC-A-C</x:v>
      </x:c>
      <x:c r="G1293" s="9" t="str">
        <x:v>B2</x:v>
      </x:c>
      <x:c r="H1293" s="9" t="str">
        <x:v>BRK</x:v>
      </x:c>
      <x:c r="I1293" s="9" t="n">
        <x:v>6</x:v>
      </x:c>
      <x:c r="J1293" s="9" t="n">
        <x:v>2</x:v>
      </x:c>
      <x:c r="K1293" s="9" t="str">
        <x:v>HC-A-C-N1</x:v>
      </x:c>
      <x:c r="L1293" s="9" t="str">
        <x:v>ST07</x:v>
      </x:c>
      <x:c r="M1293" s="17" t="str">
        <x:v>Environmental baseline</x:v>
      </x:c>
      <x:c r="N1293" s="17" t="str">
        <x:v>pre-event boundary state is sealed before decisive operation</x:v>
      </x:c>
      <x:c r="O1293" s="17" t="str">
        <x:v>Site metrology</x:v>
      </x:c>
      <x:c r="P1293" s="9" t="n">
        <x:v>0</x:v>
      </x:c>
      <x:c r="Q1293" s="9" t="n">
        <x:v>0</x:v>
      </x:c>
      <x:c r="R1293" s="9" t="str">
        <x:v>OPEN / UNSTARTED</x:v>
      </x:c>
      <x:c r="S1293" s="9" t="n">
        <x:f>COUNTIFS($A$7:$A$1446,A1293)</x:f>
        <x:v>1</x:v>
      </x:c>
    </x:row>
    <x:row r="1294">
      <x:c r="A1294" s="9" t="str">
        <x:v>EV-AR-HC-A-C-TECH-1-B2-BRK-G0-ST08</x:v>
      </x:c>
      <x:c r="B1294" s="9" t="str">
        <x:v>EV-AR-HC-A-C-TECH-1-B2-BRK-G0</x:v>
      </x:c>
      <x:c r="C1294" s="9" t="str">
        <x:v>EOW-AR-HC-A-C-TECH-1-B2-BRK-G0</x:v>
      </x:c>
      <x:c r="D1294" s="9" t="str">
        <x:v>AR-HC-A-C-TECH-1-B2-BRK-G0</x:v>
      </x:c>
      <x:c r="E1294" s="9" t="str">
        <x:v>HC-A-C-TECH-1</x:v>
      </x:c>
      <x:c r="F1294" s="9" t="str">
        <x:v>HC-A-C</x:v>
      </x:c>
      <x:c r="G1294" s="9" t="str">
        <x:v>B2</x:v>
      </x:c>
      <x:c r="H1294" s="9" t="str">
        <x:v>BRK</x:v>
      </x:c>
      <x:c r="I1294" s="9" t="n">
        <x:v>6</x:v>
      </x:c>
      <x:c r="J1294" s="9" t="n">
        <x:v>2</x:v>
      </x:c>
      <x:c r="K1294" s="9" t="str">
        <x:v>HC-A-C-N1</x:v>
      </x:c>
      <x:c r="L1294" s="9" t="str">
        <x:v>ST08</x:v>
      </x:c>
      <x:c r="M1294" s="17" t="str">
        <x:v>Manual stop and safety</x:v>
      </x:c>
      <x:c r="N1294" s="17" t="str">
        <x:v>local stop, evacuation and protection routes are active</x:v>
      </x:c>
      <x:c r="O1294" s="17" t="str">
        <x:v>Safety authority</x:v>
      </x:c>
      <x:c r="P1294" s="9" t="n">
        <x:v>0</x:v>
      </x:c>
      <x:c r="Q1294" s="9" t="n">
        <x:v>0</x:v>
      </x:c>
      <x:c r="R1294" s="9" t="str">
        <x:v>OPEN / UNSTARTED</x:v>
      </x:c>
      <x:c r="S1294" s="9" t="n">
        <x:f>COUNTIFS($A$7:$A$1446,A1294)</x:f>
        <x:v>1</x:v>
      </x:c>
    </x:row>
    <x:row r="1295">
      <x:c r="A1295" s="9" t="str">
        <x:v>EV-AR-HC-A-C-TECH-1-B2-BRK-G0-ST09</x:v>
      </x:c>
      <x:c r="B1295" s="9" t="str">
        <x:v>EV-AR-HC-A-C-TECH-1-B2-BRK-G0</x:v>
      </x:c>
      <x:c r="C1295" s="9" t="str">
        <x:v>EOW-AR-HC-A-C-TECH-1-B2-BRK-G0</x:v>
      </x:c>
      <x:c r="D1295" s="9" t="str">
        <x:v>AR-HC-A-C-TECH-1-B2-BRK-G0</x:v>
      </x:c>
      <x:c r="E1295" s="9" t="str">
        <x:v>HC-A-C-TECH-1</x:v>
      </x:c>
      <x:c r="F1295" s="9" t="str">
        <x:v>HC-A-C</x:v>
      </x:c>
      <x:c r="G1295" s="9" t="str">
        <x:v>B2</x:v>
      </x:c>
      <x:c r="H1295" s="9" t="str">
        <x:v>BRK</x:v>
      </x:c>
      <x:c r="I1295" s="9" t="n">
        <x:v>6</x:v>
      </x:c>
      <x:c r="J1295" s="9" t="n">
        <x:v>2</x:v>
      </x:c>
      <x:c r="K1295" s="9" t="str">
        <x:v>HC-A-C-N1</x:v>
      </x:c>
      <x:c r="L1295" s="9" t="str">
        <x:v>ST09</x:v>
      </x:c>
      <x:c r="M1295" s="17" t="str">
        <x:v>Operator conflict clear</x:v>
      </x:c>
      <x:c r="N1295" s="17" t="str">
        <x:v>candidate, fixture, safety and measurement control edges remain separated</x:v>
      </x:c>
      <x:c r="O1295" s="17" t="str">
        <x:v>Conflict registrar</x:v>
      </x:c>
      <x:c r="P1295" s="9" t="n">
        <x:v>0</x:v>
      </x:c>
      <x:c r="Q1295" s="9" t="n">
        <x:v>0</x:v>
      </x:c>
      <x:c r="R1295" s="9" t="str">
        <x:v>OPEN / UNSTARTED</x:v>
      </x:c>
      <x:c r="S1295" s="9" t="n">
        <x:f>COUNTIFS($A$7:$A$1446,A1295)</x:f>
        <x:v>1</x:v>
      </x:c>
    </x:row>
    <x:row r="1296">
      <x:c r="A1296" s="9" t="str">
        <x:v>EV-AR-HC-A-C-TECH-1-B2-BRK-G0-ST10</x:v>
      </x:c>
      <x:c r="B1296" s="9" t="str">
        <x:v>EV-AR-HC-A-C-TECH-1-B2-BRK-G0</x:v>
      </x:c>
      <x:c r="C1296" s="9" t="str">
        <x:v>EOW-AR-HC-A-C-TECH-1-B2-BRK-G0</x:v>
      </x:c>
      <x:c r="D1296" s="9" t="str">
        <x:v>AR-HC-A-C-TECH-1-B2-BRK-G0</x:v>
      </x:c>
      <x:c r="E1296" s="9" t="str">
        <x:v>HC-A-C-TECH-1</x:v>
      </x:c>
      <x:c r="F1296" s="9" t="str">
        <x:v>HC-A-C</x:v>
      </x:c>
      <x:c r="G1296" s="9" t="str">
        <x:v>B2</x:v>
      </x:c>
      <x:c r="H1296" s="9" t="str">
        <x:v>BRK</x:v>
      </x:c>
      <x:c r="I1296" s="9" t="n">
        <x:v>6</x:v>
      </x:c>
      <x:c r="J1296" s="9" t="n">
        <x:v>2</x:v>
      </x:c>
      <x:c r="K1296" s="9" t="str">
        <x:v>HC-A-C-N1</x:v>
      </x:c>
      <x:c r="L1296" s="9" t="str">
        <x:v>ST10</x:v>
      </x:c>
      <x:c r="M1296" s="17" t="str">
        <x:v>Window and common clock</x:v>
      </x:c>
      <x:c r="N1296" s="17" t="str">
        <x:v>epoch, window and public time origin match the issued warrant</x:v>
      </x:c>
      <x:c r="O1296" s="17" t="str">
        <x:v>Event clock authority</x:v>
      </x:c>
      <x:c r="P1296" s="9" t="n">
        <x:v>0</x:v>
      </x:c>
      <x:c r="Q1296" s="9" t="n">
        <x:v>0</x:v>
      </x:c>
      <x:c r="R1296" s="9" t="str">
        <x:v>OPEN / UNSTARTED</x:v>
      </x:c>
      <x:c r="S1296" s="9" t="n">
        <x:f>COUNTIFS($A$7:$A$1446,A1296)</x:f>
        <x:v>1</x:v>
      </x:c>
    </x:row>
    <x:row r="1297">
      <x:c r="A1297" s="9" t="str">
        <x:v>EV-AR-HU-A-B-TECH-1-B2-INT-G0-ST01</x:v>
      </x:c>
      <x:c r="B1297" s="9" t="str">
        <x:v>EV-AR-HU-A-B-TECH-1-B2-INT-G0</x:v>
      </x:c>
      <x:c r="C1297" s="9" t="str">
        <x:v>EOW-AR-HU-A-B-TECH-1-B2-INT-G0</x:v>
      </x:c>
      <x:c r="D1297" s="9" t="str">
        <x:v>AR-HU-A-B-TECH-1-B2-INT-G0</x:v>
      </x:c>
      <x:c r="E1297" s="9" t="str">
        <x:v>HU-A-B-TECH-1</x:v>
      </x:c>
      <x:c r="F1297" s="9" t="str">
        <x:v>HU-A-B</x:v>
      </x:c>
      <x:c r="G1297" s="9" t="str">
        <x:v>B2</x:v>
      </x:c>
      <x:c r="H1297" s="9" t="str">
        <x:v>INT</x:v>
      </x:c>
      <x:c r="I1297" s="9" t="n">
        <x:v>6</x:v>
      </x:c>
      <x:c r="J1297" s="9" t="n">
        <x:v>2</x:v>
      </x:c>
      <x:c r="K1297" s="9" t="str">
        <x:v>HU-A-B-N2</x:v>
      </x:c>
      <x:c r="L1297" s="9" t="str">
        <x:v>ST01</x:v>
      </x:c>
      <x:c r="M1297" s="17" t="str">
        <x:v>Active opportunity warrant</x:v>
      </x:c>
      <x:c r="N1297" s="17" t="str">
        <x:v>configuration-bound EOW is within its thirty-six-hour validity</x:v>
      </x:c>
      <x:c r="O1297" s="17" t="str">
        <x:v>Start registrar</x:v>
      </x:c>
      <x:c r="P1297" s="9" t="n">
        <x:v>0</x:v>
      </x:c>
      <x:c r="Q1297" s="9" t="n">
        <x:v>0</x:v>
      </x:c>
      <x:c r="R1297" s="9" t="str">
        <x:v>OPEN / UNSTARTED</x:v>
      </x:c>
      <x:c r="S1297" s="9" t="n">
        <x:f>COUNTIFS($A$7:$A$1446,A1297)</x:f>
        <x:v>1</x:v>
      </x:c>
    </x:row>
    <x:row r="1298">
      <x:c r="A1298" s="9" t="str">
        <x:v>EV-AR-HU-A-B-TECH-1-B2-INT-G0-ST02</x:v>
      </x:c>
      <x:c r="B1298" s="9" t="str">
        <x:v>EV-AR-HU-A-B-TECH-1-B2-INT-G0</x:v>
      </x:c>
      <x:c r="C1298" s="9" t="str">
        <x:v>EOW-AR-HU-A-B-TECH-1-B2-INT-G0</x:v>
      </x:c>
      <x:c r="D1298" s="9" t="str">
        <x:v>AR-HU-A-B-TECH-1-B2-INT-G0</x:v>
      </x:c>
      <x:c r="E1298" s="9" t="str">
        <x:v>HU-A-B-TECH-1</x:v>
      </x:c>
      <x:c r="F1298" s="9" t="str">
        <x:v>HU-A-B</x:v>
      </x:c>
      <x:c r="G1298" s="9" t="str">
        <x:v>B2</x:v>
      </x:c>
      <x:c r="H1298" s="9" t="str">
        <x:v>INT</x:v>
      </x:c>
      <x:c r="I1298" s="9" t="n">
        <x:v>6</x:v>
      </x:c>
      <x:c r="J1298" s="9" t="n">
        <x:v>2</x:v>
      </x:c>
      <x:c r="K1298" s="9" t="str">
        <x:v>HU-A-B-N2</x:v>
      </x:c>
      <x:c r="L1298" s="9" t="str">
        <x:v>ST02</x:v>
      </x:c>
      <x:c r="M1298" s="17" t="str">
        <x:v>Frozen identity</x:v>
      </x:c>
      <x:c r="N1298" s="17" t="str">
        <x:v>serial, generation, fixture, site, receiver and digest match the warrant</x:v>
      </x:c>
      <x:c r="O1298" s="17" t="str">
        <x:v>Custody authority</x:v>
      </x:c>
      <x:c r="P1298" s="9" t="n">
        <x:v>0</x:v>
      </x:c>
      <x:c r="Q1298" s="9" t="n">
        <x:v>0</x:v>
      </x:c>
      <x:c r="R1298" s="9" t="str">
        <x:v>OPEN / UNSTARTED</x:v>
      </x:c>
      <x:c r="S1298" s="9" t="n">
        <x:f>COUNTIFS($A$7:$A$1446,A1298)</x:f>
        <x:v>1</x:v>
      </x:c>
    </x:row>
    <x:row r="1299">
      <x:c r="A1299" s="9" t="str">
        <x:v>EV-AR-HU-A-B-TECH-1-B2-INT-G0-ST03</x:v>
      </x:c>
      <x:c r="B1299" s="9" t="str">
        <x:v>EV-AR-HU-A-B-TECH-1-B2-INT-G0</x:v>
      </x:c>
      <x:c r="C1299" s="9" t="str">
        <x:v>EOW-AR-HU-A-B-TECH-1-B2-INT-G0</x:v>
      </x:c>
      <x:c r="D1299" s="9" t="str">
        <x:v>AR-HU-A-B-TECH-1-B2-INT-G0</x:v>
      </x:c>
      <x:c r="E1299" s="9" t="str">
        <x:v>HU-A-B-TECH-1</x:v>
      </x:c>
      <x:c r="F1299" s="9" t="str">
        <x:v>HU-A-B</x:v>
      </x:c>
      <x:c r="G1299" s="9" t="str">
        <x:v>B2</x:v>
      </x:c>
      <x:c r="H1299" s="9" t="str">
        <x:v>INT</x:v>
      </x:c>
      <x:c r="I1299" s="9" t="n">
        <x:v>6</x:v>
      </x:c>
      <x:c r="J1299" s="9" t="n">
        <x:v>2</x:v>
      </x:c>
      <x:c r="K1299" s="9" t="str">
        <x:v>HU-A-B-N2</x:v>
      </x:c>
      <x:c r="L1299" s="9" t="str">
        <x:v>ST03</x:v>
      </x:c>
      <x:c r="M1299" s="17" t="str">
        <x:v>Receiver receipt</x:v>
      </x:c>
      <x:c r="N1299" s="17" t="str">
        <x:v>denominator, counterfactual, rights and stop receipt remain unchanged</x:v>
      </x:c>
      <x:c r="O1299" s="17" t="str">
        <x:v>Receiver authority</x:v>
      </x:c>
      <x:c r="P1299" s="9" t="n">
        <x:v>0</x:v>
      </x:c>
      <x:c r="Q1299" s="9" t="n">
        <x:v>0</x:v>
      </x:c>
      <x:c r="R1299" s="9" t="str">
        <x:v>OPEN / UNSTARTED</x:v>
      </x:c>
      <x:c r="S1299" s="9" t="n">
        <x:f>COUNTIFS($A$7:$A$1446,A1299)</x:f>
        <x:v>1</x:v>
      </x:c>
    </x:row>
    <x:row r="1300">
      <x:c r="A1300" s="9" t="str">
        <x:v>EV-AR-HU-A-B-TECH-1-B2-INT-G0-ST04</x:v>
      </x:c>
      <x:c r="B1300" s="9" t="str">
        <x:v>EV-AR-HU-A-B-TECH-1-B2-INT-G0</x:v>
      </x:c>
      <x:c r="C1300" s="9" t="str">
        <x:v>EOW-AR-HU-A-B-TECH-1-B2-INT-G0</x:v>
      </x:c>
      <x:c r="D1300" s="9" t="str">
        <x:v>AR-HU-A-B-TECH-1-B2-INT-G0</x:v>
      </x:c>
      <x:c r="E1300" s="9" t="str">
        <x:v>HU-A-B-TECH-1</x:v>
      </x:c>
      <x:c r="F1300" s="9" t="str">
        <x:v>HU-A-B</x:v>
      </x:c>
      <x:c r="G1300" s="9" t="str">
        <x:v>B2</x:v>
      </x:c>
      <x:c r="H1300" s="9" t="str">
        <x:v>INT</x:v>
      </x:c>
      <x:c r="I1300" s="9" t="n">
        <x:v>6</x:v>
      </x:c>
      <x:c r="J1300" s="9" t="n">
        <x:v>2</x:v>
      </x:c>
      <x:c r="K1300" s="9" t="str">
        <x:v>HU-A-B-N2</x:v>
      </x:c>
      <x:c r="L1300" s="9" t="str">
        <x:v>ST04</x:v>
      </x:c>
      <x:c r="M1300" s="17" t="str">
        <x:v>Primary capture armed</x:v>
      </x:c>
      <x:c r="N1300" s="17" t="str">
        <x:v>primary chain records sealed reference and live time</x:v>
      </x:c>
      <x:c r="O1300" s="17" t="str">
        <x:v>Primary metrology</x:v>
      </x:c>
      <x:c r="P1300" s="9" t="n">
        <x:v>0</x:v>
      </x:c>
      <x:c r="Q1300" s="9" t="n">
        <x:v>0</x:v>
      </x:c>
      <x:c r="R1300" s="9" t="str">
        <x:v>OPEN / UNSTARTED</x:v>
      </x:c>
      <x:c r="S1300" s="9" t="n">
        <x:f>COUNTIFS($A$7:$A$1446,A1300)</x:f>
        <x:v>1</x:v>
      </x:c>
    </x:row>
    <x:row r="1301">
      <x:c r="A1301" s="9" t="str">
        <x:v>EV-AR-HU-A-B-TECH-1-B2-INT-G0-ST05</x:v>
      </x:c>
      <x:c r="B1301" s="9" t="str">
        <x:v>EV-AR-HU-A-B-TECH-1-B2-INT-G0</x:v>
      </x:c>
      <x:c r="C1301" s="9" t="str">
        <x:v>EOW-AR-HU-A-B-TECH-1-B2-INT-G0</x:v>
      </x:c>
      <x:c r="D1301" s="9" t="str">
        <x:v>AR-HU-A-B-TECH-1-B2-INT-G0</x:v>
      </x:c>
      <x:c r="E1301" s="9" t="str">
        <x:v>HU-A-B-TECH-1</x:v>
      </x:c>
      <x:c r="F1301" s="9" t="str">
        <x:v>HU-A-B</x:v>
      </x:c>
      <x:c r="G1301" s="9" t="str">
        <x:v>B2</x:v>
      </x:c>
      <x:c r="H1301" s="9" t="str">
        <x:v>INT</x:v>
      </x:c>
      <x:c r="I1301" s="9" t="n">
        <x:v>6</x:v>
      </x:c>
      <x:c r="J1301" s="9" t="n">
        <x:v>2</x:v>
      </x:c>
      <x:c r="K1301" s="9" t="str">
        <x:v>HU-A-B-N2</x:v>
      </x:c>
      <x:c r="L1301" s="9" t="str">
        <x:v>ST05</x:v>
      </x:c>
      <x:c r="M1301" s="17" t="str">
        <x:v>Witness capture armed</x:v>
      </x:c>
      <x:c r="N1301" s="17" t="str">
        <x:v>unlike witness records independent reference and live time</x:v>
      </x:c>
      <x:c r="O1301" s="17" t="str">
        <x:v>Witness metrology</x:v>
      </x:c>
      <x:c r="P1301" s="9" t="n">
        <x:v>0</x:v>
      </x:c>
      <x:c r="Q1301" s="9" t="n">
        <x:v>0</x:v>
      </x:c>
      <x:c r="R1301" s="9" t="str">
        <x:v>OPEN / UNSTARTED</x:v>
      </x:c>
      <x:c r="S1301" s="9" t="n">
        <x:f>COUNTIFS($A$7:$A$1446,A1301)</x:f>
        <x:v>1</x:v>
      </x:c>
    </x:row>
    <x:row r="1302">
      <x:c r="A1302" s="9" t="str">
        <x:v>EV-AR-HU-A-B-TECH-1-B2-INT-G0-ST06</x:v>
      </x:c>
      <x:c r="B1302" s="9" t="str">
        <x:v>EV-AR-HU-A-B-TECH-1-B2-INT-G0</x:v>
      </x:c>
      <x:c r="C1302" s="9" t="str">
        <x:v>EOW-AR-HU-A-B-TECH-1-B2-INT-G0</x:v>
      </x:c>
      <x:c r="D1302" s="9" t="str">
        <x:v>AR-HU-A-B-TECH-1-B2-INT-G0</x:v>
      </x:c>
      <x:c r="E1302" s="9" t="str">
        <x:v>HU-A-B-TECH-1</x:v>
      </x:c>
      <x:c r="F1302" s="9" t="str">
        <x:v>HU-A-B</x:v>
      </x:c>
      <x:c r="G1302" s="9" t="str">
        <x:v>B2</x:v>
      </x:c>
      <x:c r="H1302" s="9" t="str">
        <x:v>INT</x:v>
      </x:c>
      <x:c r="I1302" s="9" t="n">
        <x:v>6</x:v>
      </x:c>
      <x:c r="J1302" s="9" t="n">
        <x:v>2</x:v>
      </x:c>
      <x:c r="K1302" s="9" t="str">
        <x:v>HU-A-B-N2</x:v>
      </x:c>
      <x:c r="L1302" s="9" t="str">
        <x:v>ST06</x:v>
      </x:c>
      <x:c r="M1302" s="17" t="str">
        <x:v>Public custody armed</x:v>
      </x:c>
      <x:c r="N1302" s="17" t="str">
        <x:v>eight raw origins have separated hash and replica routes</x:v>
      </x:c>
      <x:c r="O1302" s="17" t="str">
        <x:v>Custody authority</x:v>
      </x:c>
      <x:c r="P1302" s="9" t="n">
        <x:v>0</x:v>
      </x:c>
      <x:c r="Q1302" s="9" t="n">
        <x:v>0</x:v>
      </x:c>
      <x:c r="R1302" s="9" t="str">
        <x:v>OPEN / UNSTARTED</x:v>
      </x:c>
      <x:c r="S1302" s="9" t="n">
        <x:f>COUNTIFS($A$7:$A$1446,A1302)</x:f>
        <x:v>1</x:v>
      </x:c>
    </x:row>
    <x:row r="1303">
      <x:c r="A1303" s="9" t="str">
        <x:v>EV-AR-HU-A-B-TECH-1-B2-INT-G0-ST07</x:v>
      </x:c>
      <x:c r="B1303" s="9" t="str">
        <x:v>EV-AR-HU-A-B-TECH-1-B2-INT-G0</x:v>
      </x:c>
      <x:c r="C1303" s="9" t="str">
        <x:v>EOW-AR-HU-A-B-TECH-1-B2-INT-G0</x:v>
      </x:c>
      <x:c r="D1303" s="9" t="str">
        <x:v>AR-HU-A-B-TECH-1-B2-INT-G0</x:v>
      </x:c>
      <x:c r="E1303" s="9" t="str">
        <x:v>HU-A-B-TECH-1</x:v>
      </x:c>
      <x:c r="F1303" s="9" t="str">
        <x:v>HU-A-B</x:v>
      </x:c>
      <x:c r="G1303" s="9" t="str">
        <x:v>B2</x:v>
      </x:c>
      <x:c r="H1303" s="9" t="str">
        <x:v>INT</x:v>
      </x:c>
      <x:c r="I1303" s="9" t="n">
        <x:v>6</x:v>
      </x:c>
      <x:c r="J1303" s="9" t="n">
        <x:v>2</x:v>
      </x:c>
      <x:c r="K1303" s="9" t="str">
        <x:v>HU-A-B-N2</x:v>
      </x:c>
      <x:c r="L1303" s="9" t="str">
        <x:v>ST07</x:v>
      </x:c>
      <x:c r="M1303" s="17" t="str">
        <x:v>Environmental baseline</x:v>
      </x:c>
      <x:c r="N1303" s="17" t="str">
        <x:v>pre-event boundary state is sealed before decisive operation</x:v>
      </x:c>
      <x:c r="O1303" s="17" t="str">
        <x:v>Site metrology</x:v>
      </x:c>
      <x:c r="P1303" s="9" t="n">
        <x:v>0</x:v>
      </x:c>
      <x:c r="Q1303" s="9" t="n">
        <x:v>0</x:v>
      </x:c>
      <x:c r="R1303" s="9" t="str">
        <x:v>OPEN / UNSTARTED</x:v>
      </x:c>
      <x:c r="S1303" s="9" t="n">
        <x:f>COUNTIFS($A$7:$A$1446,A1303)</x:f>
        <x:v>1</x:v>
      </x:c>
    </x:row>
    <x:row r="1304">
      <x:c r="A1304" s="9" t="str">
        <x:v>EV-AR-HU-A-B-TECH-1-B2-INT-G0-ST08</x:v>
      </x:c>
      <x:c r="B1304" s="9" t="str">
        <x:v>EV-AR-HU-A-B-TECH-1-B2-INT-G0</x:v>
      </x:c>
      <x:c r="C1304" s="9" t="str">
        <x:v>EOW-AR-HU-A-B-TECH-1-B2-INT-G0</x:v>
      </x:c>
      <x:c r="D1304" s="9" t="str">
        <x:v>AR-HU-A-B-TECH-1-B2-INT-G0</x:v>
      </x:c>
      <x:c r="E1304" s="9" t="str">
        <x:v>HU-A-B-TECH-1</x:v>
      </x:c>
      <x:c r="F1304" s="9" t="str">
        <x:v>HU-A-B</x:v>
      </x:c>
      <x:c r="G1304" s="9" t="str">
        <x:v>B2</x:v>
      </x:c>
      <x:c r="H1304" s="9" t="str">
        <x:v>INT</x:v>
      </x:c>
      <x:c r="I1304" s="9" t="n">
        <x:v>6</x:v>
      </x:c>
      <x:c r="J1304" s="9" t="n">
        <x:v>2</x:v>
      </x:c>
      <x:c r="K1304" s="9" t="str">
        <x:v>HU-A-B-N2</x:v>
      </x:c>
      <x:c r="L1304" s="9" t="str">
        <x:v>ST08</x:v>
      </x:c>
      <x:c r="M1304" s="17" t="str">
        <x:v>Manual stop and safety</x:v>
      </x:c>
      <x:c r="N1304" s="17" t="str">
        <x:v>local stop, evacuation and protection routes are active</x:v>
      </x:c>
      <x:c r="O1304" s="17" t="str">
        <x:v>Safety authority</x:v>
      </x:c>
      <x:c r="P1304" s="9" t="n">
        <x:v>0</x:v>
      </x:c>
      <x:c r="Q1304" s="9" t="n">
        <x:v>0</x:v>
      </x:c>
      <x:c r="R1304" s="9" t="str">
        <x:v>OPEN / UNSTARTED</x:v>
      </x:c>
      <x:c r="S1304" s="9" t="n">
        <x:f>COUNTIFS($A$7:$A$1446,A1304)</x:f>
        <x:v>1</x:v>
      </x:c>
    </x:row>
    <x:row r="1305">
      <x:c r="A1305" s="9" t="str">
        <x:v>EV-AR-HU-A-B-TECH-1-B2-INT-G0-ST09</x:v>
      </x:c>
      <x:c r="B1305" s="9" t="str">
        <x:v>EV-AR-HU-A-B-TECH-1-B2-INT-G0</x:v>
      </x:c>
      <x:c r="C1305" s="9" t="str">
        <x:v>EOW-AR-HU-A-B-TECH-1-B2-INT-G0</x:v>
      </x:c>
      <x:c r="D1305" s="9" t="str">
        <x:v>AR-HU-A-B-TECH-1-B2-INT-G0</x:v>
      </x:c>
      <x:c r="E1305" s="9" t="str">
        <x:v>HU-A-B-TECH-1</x:v>
      </x:c>
      <x:c r="F1305" s="9" t="str">
        <x:v>HU-A-B</x:v>
      </x:c>
      <x:c r="G1305" s="9" t="str">
        <x:v>B2</x:v>
      </x:c>
      <x:c r="H1305" s="9" t="str">
        <x:v>INT</x:v>
      </x:c>
      <x:c r="I1305" s="9" t="n">
        <x:v>6</x:v>
      </x:c>
      <x:c r="J1305" s="9" t="n">
        <x:v>2</x:v>
      </x:c>
      <x:c r="K1305" s="9" t="str">
        <x:v>HU-A-B-N2</x:v>
      </x:c>
      <x:c r="L1305" s="9" t="str">
        <x:v>ST09</x:v>
      </x:c>
      <x:c r="M1305" s="17" t="str">
        <x:v>Operator conflict clear</x:v>
      </x:c>
      <x:c r="N1305" s="17" t="str">
        <x:v>candidate, fixture, safety and measurement control edges remain separated</x:v>
      </x:c>
      <x:c r="O1305" s="17" t="str">
        <x:v>Conflict registrar</x:v>
      </x:c>
      <x:c r="P1305" s="9" t="n">
        <x:v>0</x:v>
      </x:c>
      <x:c r="Q1305" s="9" t="n">
        <x:v>0</x:v>
      </x:c>
      <x:c r="R1305" s="9" t="str">
        <x:v>OPEN / UNSTARTED</x:v>
      </x:c>
      <x:c r="S1305" s="9" t="n">
        <x:f>COUNTIFS($A$7:$A$1446,A1305)</x:f>
        <x:v>1</x:v>
      </x:c>
    </x:row>
    <x:row r="1306">
      <x:c r="A1306" s="9" t="str">
        <x:v>EV-AR-HU-A-B-TECH-1-B2-INT-G0-ST10</x:v>
      </x:c>
      <x:c r="B1306" s="9" t="str">
        <x:v>EV-AR-HU-A-B-TECH-1-B2-INT-G0</x:v>
      </x:c>
      <x:c r="C1306" s="9" t="str">
        <x:v>EOW-AR-HU-A-B-TECH-1-B2-INT-G0</x:v>
      </x:c>
      <x:c r="D1306" s="9" t="str">
        <x:v>AR-HU-A-B-TECH-1-B2-INT-G0</x:v>
      </x:c>
      <x:c r="E1306" s="9" t="str">
        <x:v>HU-A-B-TECH-1</x:v>
      </x:c>
      <x:c r="F1306" s="9" t="str">
        <x:v>HU-A-B</x:v>
      </x:c>
      <x:c r="G1306" s="9" t="str">
        <x:v>B2</x:v>
      </x:c>
      <x:c r="H1306" s="9" t="str">
        <x:v>INT</x:v>
      </x:c>
      <x:c r="I1306" s="9" t="n">
        <x:v>6</x:v>
      </x:c>
      <x:c r="J1306" s="9" t="n">
        <x:v>2</x:v>
      </x:c>
      <x:c r="K1306" s="9" t="str">
        <x:v>HU-A-B-N2</x:v>
      </x:c>
      <x:c r="L1306" s="9" t="str">
        <x:v>ST10</x:v>
      </x:c>
      <x:c r="M1306" s="17" t="str">
        <x:v>Window and common clock</x:v>
      </x:c>
      <x:c r="N1306" s="17" t="str">
        <x:v>epoch, window and public time origin match the issued warrant</x:v>
      </x:c>
      <x:c r="O1306" s="17" t="str">
        <x:v>Event clock authority</x:v>
      </x:c>
      <x:c r="P1306" s="9" t="n">
        <x:v>0</x:v>
      </x:c>
      <x:c r="Q1306" s="9" t="n">
        <x:v>0</x:v>
      </x:c>
      <x:c r="R1306" s="9" t="str">
        <x:v>OPEN / UNSTARTED</x:v>
      </x:c>
      <x:c r="S1306" s="9" t="n">
        <x:f>COUNTIFS($A$7:$A$1446,A1306)</x:f>
        <x:v>1</x:v>
      </x:c>
    </x:row>
    <x:row r="1307">
      <x:c r="A1307" s="9" t="str">
        <x:v>EV-AR-LF-B-A-TECH-3-B1-INT-G0-ST01</x:v>
      </x:c>
      <x:c r="B1307" s="9" t="str">
        <x:v>EV-AR-LF-B-A-TECH-3-B1-INT-G0</x:v>
      </x:c>
      <x:c r="C1307" s="9" t="str">
        <x:v>EOW-AR-LF-B-A-TECH-3-B1-INT-G0</x:v>
      </x:c>
      <x:c r="D1307" s="9" t="str">
        <x:v>AR-LF-B-A-TECH-3-B1-INT-G0</x:v>
      </x:c>
      <x:c r="E1307" s="9" t="str">
        <x:v>LF-B-A-TECH-3</x:v>
      </x:c>
      <x:c r="F1307" s="9" t="str">
        <x:v>LF-B-A</x:v>
      </x:c>
      <x:c r="G1307" s="9" t="str">
        <x:v>B1</x:v>
      </x:c>
      <x:c r="H1307" s="9" t="str">
        <x:v>INT</x:v>
      </x:c>
      <x:c r="I1307" s="9" t="n">
        <x:v>6</x:v>
      </x:c>
      <x:c r="J1307" s="9" t="n">
        <x:v>2</x:v>
      </x:c>
      <x:c r="K1307" s="9" t="str">
        <x:v>LF-B-A-N3</x:v>
      </x:c>
      <x:c r="L1307" s="9" t="str">
        <x:v>ST01</x:v>
      </x:c>
      <x:c r="M1307" s="17" t="str">
        <x:v>Active opportunity warrant</x:v>
      </x:c>
      <x:c r="N1307" s="17" t="str">
        <x:v>configuration-bound EOW is within its thirty-six-hour validity</x:v>
      </x:c>
      <x:c r="O1307" s="17" t="str">
        <x:v>Start registrar</x:v>
      </x:c>
      <x:c r="P1307" s="9" t="n">
        <x:v>0</x:v>
      </x:c>
      <x:c r="Q1307" s="9" t="n">
        <x:v>0</x:v>
      </x:c>
      <x:c r="R1307" s="9" t="str">
        <x:v>OPEN / UNSTARTED</x:v>
      </x:c>
      <x:c r="S1307" s="9" t="n">
        <x:f>COUNTIFS($A$7:$A$1446,A1307)</x:f>
        <x:v>1</x:v>
      </x:c>
    </x:row>
    <x:row r="1308">
      <x:c r="A1308" s="9" t="str">
        <x:v>EV-AR-LF-B-A-TECH-3-B1-INT-G0-ST02</x:v>
      </x:c>
      <x:c r="B1308" s="9" t="str">
        <x:v>EV-AR-LF-B-A-TECH-3-B1-INT-G0</x:v>
      </x:c>
      <x:c r="C1308" s="9" t="str">
        <x:v>EOW-AR-LF-B-A-TECH-3-B1-INT-G0</x:v>
      </x:c>
      <x:c r="D1308" s="9" t="str">
        <x:v>AR-LF-B-A-TECH-3-B1-INT-G0</x:v>
      </x:c>
      <x:c r="E1308" s="9" t="str">
        <x:v>LF-B-A-TECH-3</x:v>
      </x:c>
      <x:c r="F1308" s="9" t="str">
        <x:v>LF-B-A</x:v>
      </x:c>
      <x:c r="G1308" s="9" t="str">
        <x:v>B1</x:v>
      </x:c>
      <x:c r="H1308" s="9" t="str">
        <x:v>INT</x:v>
      </x:c>
      <x:c r="I1308" s="9" t="n">
        <x:v>6</x:v>
      </x:c>
      <x:c r="J1308" s="9" t="n">
        <x:v>2</x:v>
      </x:c>
      <x:c r="K1308" s="9" t="str">
        <x:v>LF-B-A-N3</x:v>
      </x:c>
      <x:c r="L1308" s="9" t="str">
        <x:v>ST02</x:v>
      </x:c>
      <x:c r="M1308" s="17" t="str">
        <x:v>Frozen identity</x:v>
      </x:c>
      <x:c r="N1308" s="17" t="str">
        <x:v>serial, generation, fixture, site, receiver and digest match the warrant</x:v>
      </x:c>
      <x:c r="O1308" s="17" t="str">
        <x:v>Custody authority</x:v>
      </x:c>
      <x:c r="P1308" s="9" t="n">
        <x:v>0</x:v>
      </x:c>
      <x:c r="Q1308" s="9" t="n">
        <x:v>0</x:v>
      </x:c>
      <x:c r="R1308" s="9" t="str">
        <x:v>OPEN / UNSTARTED</x:v>
      </x:c>
      <x:c r="S1308" s="9" t="n">
        <x:f>COUNTIFS($A$7:$A$1446,A1308)</x:f>
        <x:v>1</x:v>
      </x:c>
    </x:row>
    <x:row r="1309">
      <x:c r="A1309" s="9" t="str">
        <x:v>EV-AR-LF-B-A-TECH-3-B1-INT-G0-ST03</x:v>
      </x:c>
      <x:c r="B1309" s="9" t="str">
        <x:v>EV-AR-LF-B-A-TECH-3-B1-INT-G0</x:v>
      </x:c>
      <x:c r="C1309" s="9" t="str">
        <x:v>EOW-AR-LF-B-A-TECH-3-B1-INT-G0</x:v>
      </x:c>
      <x:c r="D1309" s="9" t="str">
        <x:v>AR-LF-B-A-TECH-3-B1-INT-G0</x:v>
      </x:c>
      <x:c r="E1309" s="9" t="str">
        <x:v>LF-B-A-TECH-3</x:v>
      </x:c>
      <x:c r="F1309" s="9" t="str">
        <x:v>LF-B-A</x:v>
      </x:c>
      <x:c r="G1309" s="9" t="str">
        <x:v>B1</x:v>
      </x:c>
      <x:c r="H1309" s="9" t="str">
        <x:v>INT</x:v>
      </x:c>
      <x:c r="I1309" s="9" t="n">
        <x:v>6</x:v>
      </x:c>
      <x:c r="J1309" s="9" t="n">
        <x:v>2</x:v>
      </x:c>
      <x:c r="K1309" s="9" t="str">
        <x:v>LF-B-A-N3</x:v>
      </x:c>
      <x:c r="L1309" s="9" t="str">
        <x:v>ST03</x:v>
      </x:c>
      <x:c r="M1309" s="17" t="str">
        <x:v>Receiver receipt</x:v>
      </x:c>
      <x:c r="N1309" s="17" t="str">
        <x:v>denominator, counterfactual, rights and stop receipt remain unchanged</x:v>
      </x:c>
      <x:c r="O1309" s="17" t="str">
        <x:v>Receiver authority</x:v>
      </x:c>
      <x:c r="P1309" s="9" t="n">
        <x:v>0</x:v>
      </x:c>
      <x:c r="Q1309" s="9" t="n">
        <x:v>0</x:v>
      </x:c>
      <x:c r="R1309" s="9" t="str">
        <x:v>OPEN / UNSTARTED</x:v>
      </x:c>
      <x:c r="S1309" s="9" t="n">
        <x:f>COUNTIFS($A$7:$A$1446,A1309)</x:f>
        <x:v>1</x:v>
      </x:c>
    </x:row>
    <x:row r="1310">
      <x:c r="A1310" s="9" t="str">
        <x:v>EV-AR-LF-B-A-TECH-3-B1-INT-G0-ST04</x:v>
      </x:c>
      <x:c r="B1310" s="9" t="str">
        <x:v>EV-AR-LF-B-A-TECH-3-B1-INT-G0</x:v>
      </x:c>
      <x:c r="C1310" s="9" t="str">
        <x:v>EOW-AR-LF-B-A-TECH-3-B1-INT-G0</x:v>
      </x:c>
      <x:c r="D1310" s="9" t="str">
        <x:v>AR-LF-B-A-TECH-3-B1-INT-G0</x:v>
      </x:c>
      <x:c r="E1310" s="9" t="str">
        <x:v>LF-B-A-TECH-3</x:v>
      </x:c>
      <x:c r="F1310" s="9" t="str">
        <x:v>LF-B-A</x:v>
      </x:c>
      <x:c r="G1310" s="9" t="str">
        <x:v>B1</x:v>
      </x:c>
      <x:c r="H1310" s="9" t="str">
        <x:v>INT</x:v>
      </x:c>
      <x:c r="I1310" s="9" t="n">
        <x:v>6</x:v>
      </x:c>
      <x:c r="J1310" s="9" t="n">
        <x:v>2</x:v>
      </x:c>
      <x:c r="K1310" s="9" t="str">
        <x:v>LF-B-A-N3</x:v>
      </x:c>
      <x:c r="L1310" s="9" t="str">
        <x:v>ST04</x:v>
      </x:c>
      <x:c r="M1310" s="17" t="str">
        <x:v>Primary capture armed</x:v>
      </x:c>
      <x:c r="N1310" s="17" t="str">
        <x:v>primary chain records sealed reference and live time</x:v>
      </x:c>
      <x:c r="O1310" s="17" t="str">
        <x:v>Primary metrology</x:v>
      </x:c>
      <x:c r="P1310" s="9" t="n">
        <x:v>0</x:v>
      </x:c>
      <x:c r="Q1310" s="9" t="n">
        <x:v>0</x:v>
      </x:c>
      <x:c r="R1310" s="9" t="str">
        <x:v>OPEN / UNSTARTED</x:v>
      </x:c>
      <x:c r="S1310" s="9" t="n">
        <x:f>COUNTIFS($A$7:$A$1446,A1310)</x:f>
        <x:v>1</x:v>
      </x:c>
    </x:row>
    <x:row r="1311">
      <x:c r="A1311" s="9" t="str">
        <x:v>EV-AR-LF-B-A-TECH-3-B1-INT-G0-ST05</x:v>
      </x:c>
      <x:c r="B1311" s="9" t="str">
        <x:v>EV-AR-LF-B-A-TECH-3-B1-INT-G0</x:v>
      </x:c>
      <x:c r="C1311" s="9" t="str">
        <x:v>EOW-AR-LF-B-A-TECH-3-B1-INT-G0</x:v>
      </x:c>
      <x:c r="D1311" s="9" t="str">
        <x:v>AR-LF-B-A-TECH-3-B1-INT-G0</x:v>
      </x:c>
      <x:c r="E1311" s="9" t="str">
        <x:v>LF-B-A-TECH-3</x:v>
      </x:c>
      <x:c r="F1311" s="9" t="str">
        <x:v>LF-B-A</x:v>
      </x:c>
      <x:c r="G1311" s="9" t="str">
        <x:v>B1</x:v>
      </x:c>
      <x:c r="H1311" s="9" t="str">
        <x:v>INT</x:v>
      </x:c>
      <x:c r="I1311" s="9" t="n">
        <x:v>6</x:v>
      </x:c>
      <x:c r="J1311" s="9" t="n">
        <x:v>2</x:v>
      </x:c>
      <x:c r="K1311" s="9" t="str">
        <x:v>LF-B-A-N3</x:v>
      </x:c>
      <x:c r="L1311" s="9" t="str">
        <x:v>ST05</x:v>
      </x:c>
      <x:c r="M1311" s="17" t="str">
        <x:v>Witness capture armed</x:v>
      </x:c>
      <x:c r="N1311" s="17" t="str">
        <x:v>unlike witness records independent reference and live time</x:v>
      </x:c>
      <x:c r="O1311" s="17" t="str">
        <x:v>Witness metrology</x:v>
      </x:c>
      <x:c r="P1311" s="9" t="n">
        <x:v>0</x:v>
      </x:c>
      <x:c r="Q1311" s="9" t="n">
        <x:v>0</x:v>
      </x:c>
      <x:c r="R1311" s="9" t="str">
        <x:v>OPEN / UNSTARTED</x:v>
      </x:c>
      <x:c r="S1311" s="9" t="n">
        <x:f>COUNTIFS($A$7:$A$1446,A1311)</x:f>
        <x:v>1</x:v>
      </x:c>
    </x:row>
    <x:row r="1312">
      <x:c r="A1312" s="9" t="str">
        <x:v>EV-AR-LF-B-A-TECH-3-B1-INT-G0-ST06</x:v>
      </x:c>
      <x:c r="B1312" s="9" t="str">
        <x:v>EV-AR-LF-B-A-TECH-3-B1-INT-G0</x:v>
      </x:c>
      <x:c r="C1312" s="9" t="str">
        <x:v>EOW-AR-LF-B-A-TECH-3-B1-INT-G0</x:v>
      </x:c>
      <x:c r="D1312" s="9" t="str">
        <x:v>AR-LF-B-A-TECH-3-B1-INT-G0</x:v>
      </x:c>
      <x:c r="E1312" s="9" t="str">
        <x:v>LF-B-A-TECH-3</x:v>
      </x:c>
      <x:c r="F1312" s="9" t="str">
        <x:v>LF-B-A</x:v>
      </x:c>
      <x:c r="G1312" s="9" t="str">
        <x:v>B1</x:v>
      </x:c>
      <x:c r="H1312" s="9" t="str">
        <x:v>INT</x:v>
      </x:c>
      <x:c r="I1312" s="9" t="n">
        <x:v>6</x:v>
      </x:c>
      <x:c r="J1312" s="9" t="n">
        <x:v>2</x:v>
      </x:c>
      <x:c r="K1312" s="9" t="str">
        <x:v>LF-B-A-N3</x:v>
      </x:c>
      <x:c r="L1312" s="9" t="str">
        <x:v>ST06</x:v>
      </x:c>
      <x:c r="M1312" s="17" t="str">
        <x:v>Public custody armed</x:v>
      </x:c>
      <x:c r="N1312" s="17" t="str">
        <x:v>eight raw origins have separated hash and replica routes</x:v>
      </x:c>
      <x:c r="O1312" s="17" t="str">
        <x:v>Custody authority</x:v>
      </x:c>
      <x:c r="P1312" s="9" t="n">
        <x:v>0</x:v>
      </x:c>
      <x:c r="Q1312" s="9" t="n">
        <x:v>0</x:v>
      </x:c>
      <x:c r="R1312" s="9" t="str">
        <x:v>OPEN / UNSTARTED</x:v>
      </x:c>
      <x:c r="S1312" s="9" t="n">
        <x:f>COUNTIFS($A$7:$A$1446,A1312)</x:f>
        <x:v>1</x:v>
      </x:c>
    </x:row>
    <x:row r="1313">
      <x:c r="A1313" s="9" t="str">
        <x:v>EV-AR-LF-B-A-TECH-3-B1-INT-G0-ST07</x:v>
      </x:c>
      <x:c r="B1313" s="9" t="str">
        <x:v>EV-AR-LF-B-A-TECH-3-B1-INT-G0</x:v>
      </x:c>
      <x:c r="C1313" s="9" t="str">
        <x:v>EOW-AR-LF-B-A-TECH-3-B1-INT-G0</x:v>
      </x:c>
      <x:c r="D1313" s="9" t="str">
        <x:v>AR-LF-B-A-TECH-3-B1-INT-G0</x:v>
      </x:c>
      <x:c r="E1313" s="9" t="str">
        <x:v>LF-B-A-TECH-3</x:v>
      </x:c>
      <x:c r="F1313" s="9" t="str">
        <x:v>LF-B-A</x:v>
      </x:c>
      <x:c r="G1313" s="9" t="str">
        <x:v>B1</x:v>
      </x:c>
      <x:c r="H1313" s="9" t="str">
        <x:v>INT</x:v>
      </x:c>
      <x:c r="I1313" s="9" t="n">
        <x:v>6</x:v>
      </x:c>
      <x:c r="J1313" s="9" t="n">
        <x:v>2</x:v>
      </x:c>
      <x:c r="K1313" s="9" t="str">
        <x:v>LF-B-A-N3</x:v>
      </x:c>
      <x:c r="L1313" s="9" t="str">
        <x:v>ST07</x:v>
      </x:c>
      <x:c r="M1313" s="17" t="str">
        <x:v>Environmental baseline</x:v>
      </x:c>
      <x:c r="N1313" s="17" t="str">
        <x:v>pre-event boundary state is sealed before decisive operation</x:v>
      </x:c>
      <x:c r="O1313" s="17" t="str">
        <x:v>Site metrology</x:v>
      </x:c>
      <x:c r="P1313" s="9" t="n">
        <x:v>0</x:v>
      </x:c>
      <x:c r="Q1313" s="9" t="n">
        <x:v>0</x:v>
      </x:c>
      <x:c r="R1313" s="9" t="str">
        <x:v>OPEN / UNSTARTED</x:v>
      </x:c>
      <x:c r="S1313" s="9" t="n">
        <x:f>COUNTIFS($A$7:$A$1446,A1313)</x:f>
        <x:v>1</x:v>
      </x:c>
    </x:row>
    <x:row r="1314">
      <x:c r="A1314" s="9" t="str">
        <x:v>EV-AR-LF-B-A-TECH-3-B1-INT-G0-ST08</x:v>
      </x:c>
      <x:c r="B1314" s="9" t="str">
        <x:v>EV-AR-LF-B-A-TECH-3-B1-INT-G0</x:v>
      </x:c>
      <x:c r="C1314" s="9" t="str">
        <x:v>EOW-AR-LF-B-A-TECH-3-B1-INT-G0</x:v>
      </x:c>
      <x:c r="D1314" s="9" t="str">
        <x:v>AR-LF-B-A-TECH-3-B1-INT-G0</x:v>
      </x:c>
      <x:c r="E1314" s="9" t="str">
        <x:v>LF-B-A-TECH-3</x:v>
      </x:c>
      <x:c r="F1314" s="9" t="str">
        <x:v>LF-B-A</x:v>
      </x:c>
      <x:c r="G1314" s="9" t="str">
        <x:v>B1</x:v>
      </x:c>
      <x:c r="H1314" s="9" t="str">
        <x:v>INT</x:v>
      </x:c>
      <x:c r="I1314" s="9" t="n">
        <x:v>6</x:v>
      </x:c>
      <x:c r="J1314" s="9" t="n">
        <x:v>2</x:v>
      </x:c>
      <x:c r="K1314" s="9" t="str">
        <x:v>LF-B-A-N3</x:v>
      </x:c>
      <x:c r="L1314" s="9" t="str">
        <x:v>ST08</x:v>
      </x:c>
      <x:c r="M1314" s="17" t="str">
        <x:v>Manual stop and safety</x:v>
      </x:c>
      <x:c r="N1314" s="17" t="str">
        <x:v>local stop, evacuation and protection routes are active</x:v>
      </x:c>
      <x:c r="O1314" s="17" t="str">
        <x:v>Safety authority</x:v>
      </x:c>
      <x:c r="P1314" s="9" t="n">
        <x:v>0</x:v>
      </x:c>
      <x:c r="Q1314" s="9" t="n">
        <x:v>0</x:v>
      </x:c>
      <x:c r="R1314" s="9" t="str">
        <x:v>OPEN / UNSTARTED</x:v>
      </x:c>
      <x:c r="S1314" s="9" t="n">
        <x:f>COUNTIFS($A$7:$A$1446,A1314)</x:f>
        <x:v>1</x:v>
      </x:c>
    </x:row>
    <x:row r="1315">
      <x:c r="A1315" s="9" t="str">
        <x:v>EV-AR-LF-B-A-TECH-3-B1-INT-G0-ST09</x:v>
      </x:c>
      <x:c r="B1315" s="9" t="str">
        <x:v>EV-AR-LF-B-A-TECH-3-B1-INT-G0</x:v>
      </x:c>
      <x:c r="C1315" s="9" t="str">
        <x:v>EOW-AR-LF-B-A-TECH-3-B1-INT-G0</x:v>
      </x:c>
      <x:c r="D1315" s="9" t="str">
        <x:v>AR-LF-B-A-TECH-3-B1-INT-G0</x:v>
      </x:c>
      <x:c r="E1315" s="9" t="str">
        <x:v>LF-B-A-TECH-3</x:v>
      </x:c>
      <x:c r="F1315" s="9" t="str">
        <x:v>LF-B-A</x:v>
      </x:c>
      <x:c r="G1315" s="9" t="str">
        <x:v>B1</x:v>
      </x:c>
      <x:c r="H1315" s="9" t="str">
        <x:v>INT</x:v>
      </x:c>
      <x:c r="I1315" s="9" t="n">
        <x:v>6</x:v>
      </x:c>
      <x:c r="J1315" s="9" t="n">
        <x:v>2</x:v>
      </x:c>
      <x:c r="K1315" s="9" t="str">
        <x:v>LF-B-A-N3</x:v>
      </x:c>
      <x:c r="L1315" s="9" t="str">
        <x:v>ST09</x:v>
      </x:c>
      <x:c r="M1315" s="17" t="str">
        <x:v>Operator conflict clear</x:v>
      </x:c>
      <x:c r="N1315" s="17" t="str">
        <x:v>candidate, fixture, safety and measurement control edges remain separated</x:v>
      </x:c>
      <x:c r="O1315" s="17" t="str">
        <x:v>Conflict registrar</x:v>
      </x:c>
      <x:c r="P1315" s="9" t="n">
        <x:v>0</x:v>
      </x:c>
      <x:c r="Q1315" s="9" t="n">
        <x:v>0</x:v>
      </x:c>
      <x:c r="R1315" s="9" t="str">
        <x:v>OPEN / UNSTARTED</x:v>
      </x:c>
      <x:c r="S1315" s="9" t="n">
        <x:f>COUNTIFS($A$7:$A$1446,A1315)</x:f>
        <x:v>1</x:v>
      </x:c>
    </x:row>
    <x:row r="1316">
      <x:c r="A1316" s="9" t="str">
        <x:v>EV-AR-LF-B-A-TECH-3-B1-INT-G0-ST10</x:v>
      </x:c>
      <x:c r="B1316" s="9" t="str">
        <x:v>EV-AR-LF-B-A-TECH-3-B1-INT-G0</x:v>
      </x:c>
      <x:c r="C1316" s="9" t="str">
        <x:v>EOW-AR-LF-B-A-TECH-3-B1-INT-G0</x:v>
      </x:c>
      <x:c r="D1316" s="9" t="str">
        <x:v>AR-LF-B-A-TECH-3-B1-INT-G0</x:v>
      </x:c>
      <x:c r="E1316" s="9" t="str">
        <x:v>LF-B-A-TECH-3</x:v>
      </x:c>
      <x:c r="F1316" s="9" t="str">
        <x:v>LF-B-A</x:v>
      </x:c>
      <x:c r="G1316" s="9" t="str">
        <x:v>B1</x:v>
      </x:c>
      <x:c r="H1316" s="9" t="str">
        <x:v>INT</x:v>
      </x:c>
      <x:c r="I1316" s="9" t="n">
        <x:v>6</x:v>
      </x:c>
      <x:c r="J1316" s="9" t="n">
        <x:v>2</x:v>
      </x:c>
      <x:c r="K1316" s="9" t="str">
        <x:v>LF-B-A-N3</x:v>
      </x:c>
      <x:c r="L1316" s="9" t="str">
        <x:v>ST10</x:v>
      </x:c>
      <x:c r="M1316" s="17" t="str">
        <x:v>Window and common clock</x:v>
      </x:c>
      <x:c r="N1316" s="17" t="str">
        <x:v>epoch, window and public time origin match the issued warrant</x:v>
      </x:c>
      <x:c r="O1316" s="17" t="str">
        <x:v>Event clock authority</x:v>
      </x:c>
      <x:c r="P1316" s="9" t="n">
        <x:v>0</x:v>
      </x:c>
      <x:c r="Q1316" s="9" t="n">
        <x:v>0</x:v>
      </x:c>
      <x:c r="R1316" s="9" t="str">
        <x:v>OPEN / UNSTARTED</x:v>
      </x:c>
      <x:c r="S1316" s="9" t="n">
        <x:f>COUNTIFS($A$7:$A$1446,A1316)</x:f>
        <x:v>1</x:v>
      </x:c>
    </x:row>
    <x:row r="1317">
      <x:c r="A1317" s="9" t="str">
        <x:v>EV-AR-RT-B-C-TECH-2-B2-RCN-G0-ST01</x:v>
      </x:c>
      <x:c r="B1317" s="9" t="str">
        <x:v>EV-AR-RT-B-C-TECH-2-B2-RCN-G0</x:v>
      </x:c>
      <x:c r="C1317" s="9" t="str">
        <x:v>EOW-AR-RT-B-C-TECH-2-B2-RCN-G0</x:v>
      </x:c>
      <x:c r="D1317" s="9" t="str">
        <x:v>AR-RT-B-C-TECH-2-B2-RCN-G0</x:v>
      </x:c>
      <x:c r="E1317" s="9" t="str">
        <x:v>RT-B-C-TECH-2</x:v>
      </x:c>
      <x:c r="F1317" s="9" t="str">
        <x:v>RT-B-C</x:v>
      </x:c>
      <x:c r="G1317" s="9" t="str">
        <x:v>B2</x:v>
      </x:c>
      <x:c r="H1317" s="9" t="str">
        <x:v>RCN</x:v>
      </x:c>
      <x:c r="I1317" s="9" t="n">
        <x:v>6</x:v>
      </x:c>
      <x:c r="J1317" s="9" t="n">
        <x:v>2</x:v>
      </x:c>
      <x:c r="K1317" s="9" t="str">
        <x:v>RT-B-C-N2</x:v>
      </x:c>
      <x:c r="L1317" s="9" t="str">
        <x:v>ST01</x:v>
      </x:c>
      <x:c r="M1317" s="17" t="str">
        <x:v>Active opportunity warrant</x:v>
      </x:c>
      <x:c r="N1317" s="17" t="str">
        <x:v>configuration-bound EOW is within its thirty-six-hour validity</x:v>
      </x:c>
      <x:c r="O1317" s="17" t="str">
        <x:v>Start registrar</x:v>
      </x:c>
      <x:c r="P1317" s="9" t="n">
        <x:v>0</x:v>
      </x:c>
      <x:c r="Q1317" s="9" t="n">
        <x:v>0</x:v>
      </x:c>
      <x:c r="R1317" s="9" t="str">
        <x:v>OPEN / UNSTARTED</x:v>
      </x:c>
      <x:c r="S1317" s="9" t="n">
        <x:f>COUNTIFS($A$7:$A$1446,A1317)</x:f>
        <x:v>1</x:v>
      </x:c>
    </x:row>
    <x:row r="1318">
      <x:c r="A1318" s="9" t="str">
        <x:v>EV-AR-RT-B-C-TECH-2-B2-RCN-G0-ST02</x:v>
      </x:c>
      <x:c r="B1318" s="9" t="str">
        <x:v>EV-AR-RT-B-C-TECH-2-B2-RCN-G0</x:v>
      </x:c>
      <x:c r="C1318" s="9" t="str">
        <x:v>EOW-AR-RT-B-C-TECH-2-B2-RCN-G0</x:v>
      </x:c>
      <x:c r="D1318" s="9" t="str">
        <x:v>AR-RT-B-C-TECH-2-B2-RCN-G0</x:v>
      </x:c>
      <x:c r="E1318" s="9" t="str">
        <x:v>RT-B-C-TECH-2</x:v>
      </x:c>
      <x:c r="F1318" s="9" t="str">
        <x:v>RT-B-C</x:v>
      </x:c>
      <x:c r="G1318" s="9" t="str">
        <x:v>B2</x:v>
      </x:c>
      <x:c r="H1318" s="9" t="str">
        <x:v>RCN</x:v>
      </x:c>
      <x:c r="I1318" s="9" t="n">
        <x:v>6</x:v>
      </x:c>
      <x:c r="J1318" s="9" t="n">
        <x:v>2</x:v>
      </x:c>
      <x:c r="K1318" s="9" t="str">
        <x:v>RT-B-C-N2</x:v>
      </x:c>
      <x:c r="L1318" s="9" t="str">
        <x:v>ST02</x:v>
      </x:c>
      <x:c r="M1318" s="17" t="str">
        <x:v>Frozen identity</x:v>
      </x:c>
      <x:c r="N1318" s="17" t="str">
        <x:v>serial, generation, fixture, site, receiver and digest match the warrant</x:v>
      </x:c>
      <x:c r="O1318" s="17" t="str">
        <x:v>Custody authority</x:v>
      </x:c>
      <x:c r="P1318" s="9" t="n">
        <x:v>0</x:v>
      </x:c>
      <x:c r="Q1318" s="9" t="n">
        <x:v>0</x:v>
      </x:c>
      <x:c r="R1318" s="9" t="str">
        <x:v>OPEN / UNSTARTED</x:v>
      </x:c>
      <x:c r="S1318" s="9" t="n">
        <x:f>COUNTIFS($A$7:$A$1446,A1318)</x:f>
        <x:v>1</x:v>
      </x:c>
    </x:row>
    <x:row r="1319">
      <x:c r="A1319" s="9" t="str">
        <x:v>EV-AR-RT-B-C-TECH-2-B2-RCN-G0-ST03</x:v>
      </x:c>
      <x:c r="B1319" s="9" t="str">
        <x:v>EV-AR-RT-B-C-TECH-2-B2-RCN-G0</x:v>
      </x:c>
      <x:c r="C1319" s="9" t="str">
        <x:v>EOW-AR-RT-B-C-TECH-2-B2-RCN-G0</x:v>
      </x:c>
      <x:c r="D1319" s="9" t="str">
        <x:v>AR-RT-B-C-TECH-2-B2-RCN-G0</x:v>
      </x:c>
      <x:c r="E1319" s="9" t="str">
        <x:v>RT-B-C-TECH-2</x:v>
      </x:c>
      <x:c r="F1319" s="9" t="str">
        <x:v>RT-B-C</x:v>
      </x:c>
      <x:c r="G1319" s="9" t="str">
        <x:v>B2</x:v>
      </x:c>
      <x:c r="H1319" s="9" t="str">
        <x:v>RCN</x:v>
      </x:c>
      <x:c r="I1319" s="9" t="n">
        <x:v>6</x:v>
      </x:c>
      <x:c r="J1319" s="9" t="n">
        <x:v>2</x:v>
      </x:c>
      <x:c r="K1319" s="9" t="str">
        <x:v>RT-B-C-N2</x:v>
      </x:c>
      <x:c r="L1319" s="9" t="str">
        <x:v>ST03</x:v>
      </x:c>
      <x:c r="M1319" s="17" t="str">
        <x:v>Receiver receipt</x:v>
      </x:c>
      <x:c r="N1319" s="17" t="str">
        <x:v>denominator, counterfactual, rights and stop receipt remain unchanged</x:v>
      </x:c>
      <x:c r="O1319" s="17" t="str">
        <x:v>Receiver authority</x:v>
      </x:c>
      <x:c r="P1319" s="9" t="n">
        <x:v>0</x:v>
      </x:c>
      <x:c r="Q1319" s="9" t="n">
        <x:v>0</x:v>
      </x:c>
      <x:c r="R1319" s="9" t="str">
        <x:v>OPEN / UNSTARTED</x:v>
      </x:c>
      <x:c r="S1319" s="9" t="n">
        <x:f>COUNTIFS($A$7:$A$1446,A1319)</x:f>
        <x:v>1</x:v>
      </x:c>
    </x:row>
    <x:row r="1320">
      <x:c r="A1320" s="9" t="str">
        <x:v>EV-AR-RT-B-C-TECH-2-B2-RCN-G0-ST04</x:v>
      </x:c>
      <x:c r="B1320" s="9" t="str">
        <x:v>EV-AR-RT-B-C-TECH-2-B2-RCN-G0</x:v>
      </x:c>
      <x:c r="C1320" s="9" t="str">
        <x:v>EOW-AR-RT-B-C-TECH-2-B2-RCN-G0</x:v>
      </x:c>
      <x:c r="D1320" s="9" t="str">
        <x:v>AR-RT-B-C-TECH-2-B2-RCN-G0</x:v>
      </x:c>
      <x:c r="E1320" s="9" t="str">
        <x:v>RT-B-C-TECH-2</x:v>
      </x:c>
      <x:c r="F1320" s="9" t="str">
        <x:v>RT-B-C</x:v>
      </x:c>
      <x:c r="G1320" s="9" t="str">
        <x:v>B2</x:v>
      </x:c>
      <x:c r="H1320" s="9" t="str">
        <x:v>RCN</x:v>
      </x:c>
      <x:c r="I1320" s="9" t="n">
        <x:v>6</x:v>
      </x:c>
      <x:c r="J1320" s="9" t="n">
        <x:v>2</x:v>
      </x:c>
      <x:c r="K1320" s="9" t="str">
        <x:v>RT-B-C-N2</x:v>
      </x:c>
      <x:c r="L1320" s="9" t="str">
        <x:v>ST04</x:v>
      </x:c>
      <x:c r="M1320" s="17" t="str">
        <x:v>Primary capture armed</x:v>
      </x:c>
      <x:c r="N1320" s="17" t="str">
        <x:v>primary chain records sealed reference and live time</x:v>
      </x:c>
      <x:c r="O1320" s="17" t="str">
        <x:v>Primary metrology</x:v>
      </x:c>
      <x:c r="P1320" s="9" t="n">
        <x:v>0</x:v>
      </x:c>
      <x:c r="Q1320" s="9" t="n">
        <x:v>0</x:v>
      </x:c>
      <x:c r="R1320" s="9" t="str">
        <x:v>OPEN / UNSTARTED</x:v>
      </x:c>
      <x:c r="S1320" s="9" t="n">
        <x:f>COUNTIFS($A$7:$A$1446,A1320)</x:f>
        <x:v>1</x:v>
      </x:c>
    </x:row>
    <x:row r="1321">
      <x:c r="A1321" s="9" t="str">
        <x:v>EV-AR-RT-B-C-TECH-2-B2-RCN-G0-ST05</x:v>
      </x:c>
      <x:c r="B1321" s="9" t="str">
        <x:v>EV-AR-RT-B-C-TECH-2-B2-RCN-G0</x:v>
      </x:c>
      <x:c r="C1321" s="9" t="str">
        <x:v>EOW-AR-RT-B-C-TECH-2-B2-RCN-G0</x:v>
      </x:c>
      <x:c r="D1321" s="9" t="str">
        <x:v>AR-RT-B-C-TECH-2-B2-RCN-G0</x:v>
      </x:c>
      <x:c r="E1321" s="9" t="str">
        <x:v>RT-B-C-TECH-2</x:v>
      </x:c>
      <x:c r="F1321" s="9" t="str">
        <x:v>RT-B-C</x:v>
      </x:c>
      <x:c r="G1321" s="9" t="str">
        <x:v>B2</x:v>
      </x:c>
      <x:c r="H1321" s="9" t="str">
        <x:v>RCN</x:v>
      </x:c>
      <x:c r="I1321" s="9" t="n">
        <x:v>6</x:v>
      </x:c>
      <x:c r="J1321" s="9" t="n">
        <x:v>2</x:v>
      </x:c>
      <x:c r="K1321" s="9" t="str">
        <x:v>RT-B-C-N2</x:v>
      </x:c>
      <x:c r="L1321" s="9" t="str">
        <x:v>ST05</x:v>
      </x:c>
      <x:c r="M1321" s="17" t="str">
        <x:v>Witness capture armed</x:v>
      </x:c>
      <x:c r="N1321" s="17" t="str">
        <x:v>unlike witness records independent reference and live time</x:v>
      </x:c>
      <x:c r="O1321" s="17" t="str">
        <x:v>Witness metrology</x:v>
      </x:c>
      <x:c r="P1321" s="9" t="n">
        <x:v>0</x:v>
      </x:c>
      <x:c r="Q1321" s="9" t="n">
        <x:v>0</x:v>
      </x:c>
      <x:c r="R1321" s="9" t="str">
        <x:v>OPEN / UNSTARTED</x:v>
      </x:c>
      <x:c r="S1321" s="9" t="n">
        <x:f>COUNTIFS($A$7:$A$1446,A1321)</x:f>
        <x:v>1</x:v>
      </x:c>
    </x:row>
    <x:row r="1322">
      <x:c r="A1322" s="9" t="str">
        <x:v>EV-AR-RT-B-C-TECH-2-B2-RCN-G0-ST06</x:v>
      </x:c>
      <x:c r="B1322" s="9" t="str">
        <x:v>EV-AR-RT-B-C-TECH-2-B2-RCN-G0</x:v>
      </x:c>
      <x:c r="C1322" s="9" t="str">
        <x:v>EOW-AR-RT-B-C-TECH-2-B2-RCN-G0</x:v>
      </x:c>
      <x:c r="D1322" s="9" t="str">
        <x:v>AR-RT-B-C-TECH-2-B2-RCN-G0</x:v>
      </x:c>
      <x:c r="E1322" s="9" t="str">
        <x:v>RT-B-C-TECH-2</x:v>
      </x:c>
      <x:c r="F1322" s="9" t="str">
        <x:v>RT-B-C</x:v>
      </x:c>
      <x:c r="G1322" s="9" t="str">
        <x:v>B2</x:v>
      </x:c>
      <x:c r="H1322" s="9" t="str">
        <x:v>RCN</x:v>
      </x:c>
      <x:c r="I1322" s="9" t="n">
        <x:v>6</x:v>
      </x:c>
      <x:c r="J1322" s="9" t="n">
        <x:v>2</x:v>
      </x:c>
      <x:c r="K1322" s="9" t="str">
        <x:v>RT-B-C-N2</x:v>
      </x:c>
      <x:c r="L1322" s="9" t="str">
        <x:v>ST06</x:v>
      </x:c>
      <x:c r="M1322" s="17" t="str">
        <x:v>Public custody armed</x:v>
      </x:c>
      <x:c r="N1322" s="17" t="str">
        <x:v>eight raw origins have separated hash and replica routes</x:v>
      </x:c>
      <x:c r="O1322" s="17" t="str">
        <x:v>Custody authority</x:v>
      </x:c>
      <x:c r="P1322" s="9" t="n">
        <x:v>0</x:v>
      </x:c>
      <x:c r="Q1322" s="9" t="n">
        <x:v>0</x:v>
      </x:c>
      <x:c r="R1322" s="9" t="str">
        <x:v>OPEN / UNSTARTED</x:v>
      </x:c>
      <x:c r="S1322" s="9" t="n">
        <x:f>COUNTIFS($A$7:$A$1446,A1322)</x:f>
        <x:v>1</x:v>
      </x:c>
    </x:row>
    <x:row r="1323">
      <x:c r="A1323" s="9" t="str">
        <x:v>EV-AR-RT-B-C-TECH-2-B2-RCN-G0-ST07</x:v>
      </x:c>
      <x:c r="B1323" s="9" t="str">
        <x:v>EV-AR-RT-B-C-TECH-2-B2-RCN-G0</x:v>
      </x:c>
      <x:c r="C1323" s="9" t="str">
        <x:v>EOW-AR-RT-B-C-TECH-2-B2-RCN-G0</x:v>
      </x:c>
      <x:c r="D1323" s="9" t="str">
        <x:v>AR-RT-B-C-TECH-2-B2-RCN-G0</x:v>
      </x:c>
      <x:c r="E1323" s="9" t="str">
        <x:v>RT-B-C-TECH-2</x:v>
      </x:c>
      <x:c r="F1323" s="9" t="str">
        <x:v>RT-B-C</x:v>
      </x:c>
      <x:c r="G1323" s="9" t="str">
        <x:v>B2</x:v>
      </x:c>
      <x:c r="H1323" s="9" t="str">
        <x:v>RCN</x:v>
      </x:c>
      <x:c r="I1323" s="9" t="n">
        <x:v>6</x:v>
      </x:c>
      <x:c r="J1323" s="9" t="n">
        <x:v>2</x:v>
      </x:c>
      <x:c r="K1323" s="9" t="str">
        <x:v>RT-B-C-N2</x:v>
      </x:c>
      <x:c r="L1323" s="9" t="str">
        <x:v>ST07</x:v>
      </x:c>
      <x:c r="M1323" s="17" t="str">
        <x:v>Environmental baseline</x:v>
      </x:c>
      <x:c r="N1323" s="17" t="str">
        <x:v>pre-event boundary state is sealed before decisive operation</x:v>
      </x:c>
      <x:c r="O1323" s="17" t="str">
        <x:v>Site metrology</x:v>
      </x:c>
      <x:c r="P1323" s="9" t="n">
        <x:v>0</x:v>
      </x:c>
      <x:c r="Q1323" s="9" t="n">
        <x:v>0</x:v>
      </x:c>
      <x:c r="R1323" s="9" t="str">
        <x:v>OPEN / UNSTARTED</x:v>
      </x:c>
      <x:c r="S1323" s="9" t="n">
        <x:f>COUNTIFS($A$7:$A$1446,A1323)</x:f>
        <x:v>1</x:v>
      </x:c>
    </x:row>
    <x:row r="1324">
      <x:c r="A1324" s="9" t="str">
        <x:v>EV-AR-RT-B-C-TECH-2-B2-RCN-G0-ST08</x:v>
      </x:c>
      <x:c r="B1324" s="9" t="str">
        <x:v>EV-AR-RT-B-C-TECH-2-B2-RCN-G0</x:v>
      </x:c>
      <x:c r="C1324" s="9" t="str">
        <x:v>EOW-AR-RT-B-C-TECH-2-B2-RCN-G0</x:v>
      </x:c>
      <x:c r="D1324" s="9" t="str">
        <x:v>AR-RT-B-C-TECH-2-B2-RCN-G0</x:v>
      </x:c>
      <x:c r="E1324" s="9" t="str">
        <x:v>RT-B-C-TECH-2</x:v>
      </x:c>
      <x:c r="F1324" s="9" t="str">
        <x:v>RT-B-C</x:v>
      </x:c>
      <x:c r="G1324" s="9" t="str">
        <x:v>B2</x:v>
      </x:c>
      <x:c r="H1324" s="9" t="str">
        <x:v>RCN</x:v>
      </x:c>
      <x:c r="I1324" s="9" t="n">
        <x:v>6</x:v>
      </x:c>
      <x:c r="J1324" s="9" t="n">
        <x:v>2</x:v>
      </x:c>
      <x:c r="K1324" s="9" t="str">
        <x:v>RT-B-C-N2</x:v>
      </x:c>
      <x:c r="L1324" s="9" t="str">
        <x:v>ST08</x:v>
      </x:c>
      <x:c r="M1324" s="17" t="str">
        <x:v>Manual stop and safety</x:v>
      </x:c>
      <x:c r="N1324" s="17" t="str">
        <x:v>local stop, evacuation and protection routes are active</x:v>
      </x:c>
      <x:c r="O1324" s="17" t="str">
        <x:v>Safety authority</x:v>
      </x:c>
      <x:c r="P1324" s="9" t="n">
        <x:v>0</x:v>
      </x:c>
      <x:c r="Q1324" s="9" t="n">
        <x:v>0</x:v>
      </x:c>
      <x:c r="R1324" s="9" t="str">
        <x:v>OPEN / UNSTARTED</x:v>
      </x:c>
      <x:c r="S1324" s="9" t="n">
        <x:f>COUNTIFS($A$7:$A$1446,A1324)</x:f>
        <x:v>1</x:v>
      </x:c>
    </x:row>
    <x:row r="1325">
      <x:c r="A1325" s="9" t="str">
        <x:v>EV-AR-RT-B-C-TECH-2-B2-RCN-G0-ST09</x:v>
      </x:c>
      <x:c r="B1325" s="9" t="str">
        <x:v>EV-AR-RT-B-C-TECH-2-B2-RCN-G0</x:v>
      </x:c>
      <x:c r="C1325" s="9" t="str">
        <x:v>EOW-AR-RT-B-C-TECH-2-B2-RCN-G0</x:v>
      </x:c>
      <x:c r="D1325" s="9" t="str">
        <x:v>AR-RT-B-C-TECH-2-B2-RCN-G0</x:v>
      </x:c>
      <x:c r="E1325" s="9" t="str">
        <x:v>RT-B-C-TECH-2</x:v>
      </x:c>
      <x:c r="F1325" s="9" t="str">
        <x:v>RT-B-C</x:v>
      </x:c>
      <x:c r="G1325" s="9" t="str">
        <x:v>B2</x:v>
      </x:c>
      <x:c r="H1325" s="9" t="str">
        <x:v>RCN</x:v>
      </x:c>
      <x:c r="I1325" s="9" t="n">
        <x:v>6</x:v>
      </x:c>
      <x:c r="J1325" s="9" t="n">
        <x:v>2</x:v>
      </x:c>
      <x:c r="K1325" s="9" t="str">
        <x:v>RT-B-C-N2</x:v>
      </x:c>
      <x:c r="L1325" s="9" t="str">
        <x:v>ST09</x:v>
      </x:c>
      <x:c r="M1325" s="17" t="str">
        <x:v>Operator conflict clear</x:v>
      </x:c>
      <x:c r="N1325" s="17" t="str">
        <x:v>candidate, fixture, safety and measurement control edges remain separated</x:v>
      </x:c>
      <x:c r="O1325" s="17" t="str">
        <x:v>Conflict registrar</x:v>
      </x:c>
      <x:c r="P1325" s="9" t="n">
        <x:v>0</x:v>
      </x:c>
      <x:c r="Q1325" s="9" t="n">
        <x:v>0</x:v>
      </x:c>
      <x:c r="R1325" s="9" t="str">
        <x:v>OPEN / UNSTARTED</x:v>
      </x:c>
      <x:c r="S1325" s="9" t="n">
        <x:f>COUNTIFS($A$7:$A$1446,A1325)</x:f>
        <x:v>1</x:v>
      </x:c>
    </x:row>
    <x:row r="1326">
      <x:c r="A1326" s="9" t="str">
        <x:v>EV-AR-RT-B-C-TECH-2-B2-RCN-G0-ST10</x:v>
      </x:c>
      <x:c r="B1326" s="9" t="str">
        <x:v>EV-AR-RT-B-C-TECH-2-B2-RCN-G0</x:v>
      </x:c>
      <x:c r="C1326" s="9" t="str">
        <x:v>EOW-AR-RT-B-C-TECH-2-B2-RCN-G0</x:v>
      </x:c>
      <x:c r="D1326" s="9" t="str">
        <x:v>AR-RT-B-C-TECH-2-B2-RCN-G0</x:v>
      </x:c>
      <x:c r="E1326" s="9" t="str">
        <x:v>RT-B-C-TECH-2</x:v>
      </x:c>
      <x:c r="F1326" s="9" t="str">
        <x:v>RT-B-C</x:v>
      </x:c>
      <x:c r="G1326" s="9" t="str">
        <x:v>B2</x:v>
      </x:c>
      <x:c r="H1326" s="9" t="str">
        <x:v>RCN</x:v>
      </x:c>
      <x:c r="I1326" s="9" t="n">
        <x:v>6</x:v>
      </x:c>
      <x:c r="J1326" s="9" t="n">
        <x:v>2</x:v>
      </x:c>
      <x:c r="K1326" s="9" t="str">
        <x:v>RT-B-C-N2</x:v>
      </x:c>
      <x:c r="L1326" s="9" t="str">
        <x:v>ST10</x:v>
      </x:c>
      <x:c r="M1326" s="17" t="str">
        <x:v>Window and common clock</x:v>
      </x:c>
      <x:c r="N1326" s="17" t="str">
        <x:v>epoch, window and public time origin match the issued warrant</x:v>
      </x:c>
      <x:c r="O1326" s="17" t="str">
        <x:v>Event clock authority</x:v>
      </x:c>
      <x:c r="P1326" s="9" t="n">
        <x:v>0</x:v>
      </x:c>
      <x:c r="Q1326" s="9" t="n">
        <x:v>0</x:v>
      </x:c>
      <x:c r="R1326" s="9" t="str">
        <x:v>OPEN / UNSTARTED</x:v>
      </x:c>
      <x:c r="S1326" s="9" t="n">
        <x:f>COUNTIFS($A$7:$A$1446,A1326)</x:f>
        <x:v>1</x:v>
      </x:c>
    </x:row>
    <x:row r="1327">
      <x:c r="A1327" s="9" t="str">
        <x:v>EV-AR-CT-C-B-TECH-4-B2-INT-G0-ST01</x:v>
      </x:c>
      <x:c r="B1327" s="9" t="str">
        <x:v>EV-AR-CT-C-B-TECH-4-B2-INT-G0</x:v>
      </x:c>
      <x:c r="C1327" s="9" t="str">
        <x:v>EOW-AR-CT-C-B-TECH-4-B2-INT-G0</x:v>
      </x:c>
      <x:c r="D1327" s="9" t="str">
        <x:v>AR-CT-C-B-TECH-4-B2-INT-G0</x:v>
      </x:c>
      <x:c r="E1327" s="9" t="str">
        <x:v>CT-C-B-TECH-4</x:v>
      </x:c>
      <x:c r="F1327" s="9" t="str">
        <x:v>CT-C-B</x:v>
      </x:c>
      <x:c r="G1327" s="9" t="str">
        <x:v>B2</x:v>
      </x:c>
      <x:c r="H1327" s="9" t="str">
        <x:v>INT</x:v>
      </x:c>
      <x:c r="I1327" s="9" t="n">
        <x:v>6</x:v>
      </x:c>
      <x:c r="J1327" s="9" t="n">
        <x:v>3</x:v>
      </x:c>
      <x:c r="K1327" s="9" t="str">
        <x:v>CT-C-B-N1</x:v>
      </x:c>
      <x:c r="L1327" s="9" t="str">
        <x:v>ST01</x:v>
      </x:c>
      <x:c r="M1327" s="17" t="str">
        <x:v>Active opportunity warrant</x:v>
      </x:c>
      <x:c r="N1327" s="17" t="str">
        <x:v>configuration-bound EOW is within its thirty-six-hour validity</x:v>
      </x:c>
      <x:c r="O1327" s="17" t="str">
        <x:v>Start registrar</x:v>
      </x:c>
      <x:c r="P1327" s="9" t="n">
        <x:v>0</x:v>
      </x:c>
      <x:c r="Q1327" s="9" t="n">
        <x:v>0</x:v>
      </x:c>
      <x:c r="R1327" s="9" t="str">
        <x:v>OPEN / UNSTARTED</x:v>
      </x:c>
      <x:c r="S1327" s="9" t="n">
        <x:f>COUNTIFS($A$7:$A$1446,A1327)</x:f>
        <x:v>1</x:v>
      </x:c>
    </x:row>
    <x:row r="1328">
      <x:c r="A1328" s="9" t="str">
        <x:v>EV-AR-CT-C-B-TECH-4-B2-INT-G0-ST02</x:v>
      </x:c>
      <x:c r="B1328" s="9" t="str">
        <x:v>EV-AR-CT-C-B-TECH-4-B2-INT-G0</x:v>
      </x:c>
      <x:c r="C1328" s="9" t="str">
        <x:v>EOW-AR-CT-C-B-TECH-4-B2-INT-G0</x:v>
      </x:c>
      <x:c r="D1328" s="9" t="str">
        <x:v>AR-CT-C-B-TECH-4-B2-INT-G0</x:v>
      </x:c>
      <x:c r="E1328" s="9" t="str">
        <x:v>CT-C-B-TECH-4</x:v>
      </x:c>
      <x:c r="F1328" s="9" t="str">
        <x:v>CT-C-B</x:v>
      </x:c>
      <x:c r="G1328" s="9" t="str">
        <x:v>B2</x:v>
      </x:c>
      <x:c r="H1328" s="9" t="str">
        <x:v>INT</x:v>
      </x:c>
      <x:c r="I1328" s="9" t="n">
        <x:v>6</x:v>
      </x:c>
      <x:c r="J1328" s="9" t="n">
        <x:v>3</x:v>
      </x:c>
      <x:c r="K1328" s="9" t="str">
        <x:v>CT-C-B-N1</x:v>
      </x:c>
      <x:c r="L1328" s="9" t="str">
        <x:v>ST02</x:v>
      </x:c>
      <x:c r="M1328" s="17" t="str">
        <x:v>Frozen identity</x:v>
      </x:c>
      <x:c r="N1328" s="17" t="str">
        <x:v>serial, generation, fixture, site, receiver and digest match the warrant</x:v>
      </x:c>
      <x:c r="O1328" s="17" t="str">
        <x:v>Custody authority</x:v>
      </x:c>
      <x:c r="P1328" s="9" t="n">
        <x:v>0</x:v>
      </x:c>
      <x:c r="Q1328" s="9" t="n">
        <x:v>0</x:v>
      </x:c>
      <x:c r="R1328" s="9" t="str">
        <x:v>OPEN / UNSTARTED</x:v>
      </x:c>
      <x:c r="S1328" s="9" t="n">
        <x:f>COUNTIFS($A$7:$A$1446,A1328)</x:f>
        <x:v>1</x:v>
      </x:c>
    </x:row>
    <x:row r="1329">
      <x:c r="A1329" s="9" t="str">
        <x:v>EV-AR-CT-C-B-TECH-4-B2-INT-G0-ST03</x:v>
      </x:c>
      <x:c r="B1329" s="9" t="str">
        <x:v>EV-AR-CT-C-B-TECH-4-B2-INT-G0</x:v>
      </x:c>
      <x:c r="C1329" s="9" t="str">
        <x:v>EOW-AR-CT-C-B-TECH-4-B2-INT-G0</x:v>
      </x:c>
      <x:c r="D1329" s="9" t="str">
        <x:v>AR-CT-C-B-TECH-4-B2-INT-G0</x:v>
      </x:c>
      <x:c r="E1329" s="9" t="str">
        <x:v>CT-C-B-TECH-4</x:v>
      </x:c>
      <x:c r="F1329" s="9" t="str">
        <x:v>CT-C-B</x:v>
      </x:c>
      <x:c r="G1329" s="9" t="str">
        <x:v>B2</x:v>
      </x:c>
      <x:c r="H1329" s="9" t="str">
        <x:v>INT</x:v>
      </x:c>
      <x:c r="I1329" s="9" t="n">
        <x:v>6</x:v>
      </x:c>
      <x:c r="J1329" s="9" t="n">
        <x:v>3</x:v>
      </x:c>
      <x:c r="K1329" s="9" t="str">
        <x:v>CT-C-B-N1</x:v>
      </x:c>
      <x:c r="L1329" s="9" t="str">
        <x:v>ST03</x:v>
      </x:c>
      <x:c r="M1329" s="17" t="str">
        <x:v>Receiver receipt</x:v>
      </x:c>
      <x:c r="N1329" s="17" t="str">
        <x:v>denominator, counterfactual, rights and stop receipt remain unchanged</x:v>
      </x:c>
      <x:c r="O1329" s="17" t="str">
        <x:v>Receiver authority</x:v>
      </x:c>
      <x:c r="P1329" s="9" t="n">
        <x:v>0</x:v>
      </x:c>
      <x:c r="Q1329" s="9" t="n">
        <x:v>0</x:v>
      </x:c>
      <x:c r="R1329" s="9" t="str">
        <x:v>OPEN / UNSTARTED</x:v>
      </x:c>
      <x:c r="S1329" s="9" t="n">
        <x:f>COUNTIFS($A$7:$A$1446,A1329)</x:f>
        <x:v>1</x:v>
      </x:c>
    </x:row>
    <x:row r="1330">
      <x:c r="A1330" s="9" t="str">
        <x:v>EV-AR-CT-C-B-TECH-4-B2-INT-G0-ST04</x:v>
      </x:c>
      <x:c r="B1330" s="9" t="str">
        <x:v>EV-AR-CT-C-B-TECH-4-B2-INT-G0</x:v>
      </x:c>
      <x:c r="C1330" s="9" t="str">
        <x:v>EOW-AR-CT-C-B-TECH-4-B2-INT-G0</x:v>
      </x:c>
      <x:c r="D1330" s="9" t="str">
        <x:v>AR-CT-C-B-TECH-4-B2-INT-G0</x:v>
      </x:c>
      <x:c r="E1330" s="9" t="str">
        <x:v>CT-C-B-TECH-4</x:v>
      </x:c>
      <x:c r="F1330" s="9" t="str">
        <x:v>CT-C-B</x:v>
      </x:c>
      <x:c r="G1330" s="9" t="str">
        <x:v>B2</x:v>
      </x:c>
      <x:c r="H1330" s="9" t="str">
        <x:v>INT</x:v>
      </x:c>
      <x:c r="I1330" s="9" t="n">
        <x:v>6</x:v>
      </x:c>
      <x:c r="J1330" s="9" t="n">
        <x:v>3</x:v>
      </x:c>
      <x:c r="K1330" s="9" t="str">
        <x:v>CT-C-B-N1</x:v>
      </x:c>
      <x:c r="L1330" s="9" t="str">
        <x:v>ST04</x:v>
      </x:c>
      <x:c r="M1330" s="17" t="str">
        <x:v>Primary capture armed</x:v>
      </x:c>
      <x:c r="N1330" s="17" t="str">
        <x:v>primary chain records sealed reference and live time</x:v>
      </x:c>
      <x:c r="O1330" s="17" t="str">
        <x:v>Primary metrology</x:v>
      </x:c>
      <x:c r="P1330" s="9" t="n">
        <x:v>0</x:v>
      </x:c>
      <x:c r="Q1330" s="9" t="n">
        <x:v>0</x:v>
      </x:c>
      <x:c r="R1330" s="9" t="str">
        <x:v>OPEN / UNSTARTED</x:v>
      </x:c>
      <x:c r="S1330" s="9" t="n">
        <x:f>COUNTIFS($A$7:$A$1446,A1330)</x:f>
        <x:v>1</x:v>
      </x:c>
    </x:row>
    <x:row r="1331">
      <x:c r="A1331" s="9" t="str">
        <x:v>EV-AR-CT-C-B-TECH-4-B2-INT-G0-ST05</x:v>
      </x:c>
      <x:c r="B1331" s="9" t="str">
        <x:v>EV-AR-CT-C-B-TECH-4-B2-INT-G0</x:v>
      </x:c>
      <x:c r="C1331" s="9" t="str">
        <x:v>EOW-AR-CT-C-B-TECH-4-B2-INT-G0</x:v>
      </x:c>
      <x:c r="D1331" s="9" t="str">
        <x:v>AR-CT-C-B-TECH-4-B2-INT-G0</x:v>
      </x:c>
      <x:c r="E1331" s="9" t="str">
        <x:v>CT-C-B-TECH-4</x:v>
      </x:c>
      <x:c r="F1331" s="9" t="str">
        <x:v>CT-C-B</x:v>
      </x:c>
      <x:c r="G1331" s="9" t="str">
        <x:v>B2</x:v>
      </x:c>
      <x:c r="H1331" s="9" t="str">
        <x:v>INT</x:v>
      </x:c>
      <x:c r="I1331" s="9" t="n">
        <x:v>6</x:v>
      </x:c>
      <x:c r="J1331" s="9" t="n">
        <x:v>3</x:v>
      </x:c>
      <x:c r="K1331" s="9" t="str">
        <x:v>CT-C-B-N1</x:v>
      </x:c>
      <x:c r="L1331" s="9" t="str">
        <x:v>ST05</x:v>
      </x:c>
      <x:c r="M1331" s="17" t="str">
        <x:v>Witness capture armed</x:v>
      </x:c>
      <x:c r="N1331" s="17" t="str">
        <x:v>unlike witness records independent reference and live time</x:v>
      </x:c>
      <x:c r="O1331" s="17" t="str">
        <x:v>Witness metrology</x:v>
      </x:c>
      <x:c r="P1331" s="9" t="n">
        <x:v>0</x:v>
      </x:c>
      <x:c r="Q1331" s="9" t="n">
        <x:v>0</x:v>
      </x:c>
      <x:c r="R1331" s="9" t="str">
        <x:v>OPEN / UNSTARTED</x:v>
      </x:c>
      <x:c r="S1331" s="9" t="n">
        <x:f>COUNTIFS($A$7:$A$1446,A1331)</x:f>
        <x:v>1</x:v>
      </x:c>
    </x:row>
    <x:row r="1332">
      <x:c r="A1332" s="9" t="str">
        <x:v>EV-AR-CT-C-B-TECH-4-B2-INT-G0-ST06</x:v>
      </x:c>
      <x:c r="B1332" s="9" t="str">
        <x:v>EV-AR-CT-C-B-TECH-4-B2-INT-G0</x:v>
      </x:c>
      <x:c r="C1332" s="9" t="str">
        <x:v>EOW-AR-CT-C-B-TECH-4-B2-INT-G0</x:v>
      </x:c>
      <x:c r="D1332" s="9" t="str">
        <x:v>AR-CT-C-B-TECH-4-B2-INT-G0</x:v>
      </x:c>
      <x:c r="E1332" s="9" t="str">
        <x:v>CT-C-B-TECH-4</x:v>
      </x:c>
      <x:c r="F1332" s="9" t="str">
        <x:v>CT-C-B</x:v>
      </x:c>
      <x:c r="G1332" s="9" t="str">
        <x:v>B2</x:v>
      </x:c>
      <x:c r="H1332" s="9" t="str">
        <x:v>INT</x:v>
      </x:c>
      <x:c r="I1332" s="9" t="n">
        <x:v>6</x:v>
      </x:c>
      <x:c r="J1332" s="9" t="n">
        <x:v>3</x:v>
      </x:c>
      <x:c r="K1332" s="9" t="str">
        <x:v>CT-C-B-N1</x:v>
      </x:c>
      <x:c r="L1332" s="9" t="str">
        <x:v>ST06</x:v>
      </x:c>
      <x:c r="M1332" s="17" t="str">
        <x:v>Public custody armed</x:v>
      </x:c>
      <x:c r="N1332" s="17" t="str">
        <x:v>eight raw origins have separated hash and replica routes</x:v>
      </x:c>
      <x:c r="O1332" s="17" t="str">
        <x:v>Custody authority</x:v>
      </x:c>
      <x:c r="P1332" s="9" t="n">
        <x:v>0</x:v>
      </x:c>
      <x:c r="Q1332" s="9" t="n">
        <x:v>0</x:v>
      </x:c>
      <x:c r="R1332" s="9" t="str">
        <x:v>OPEN / UNSTARTED</x:v>
      </x:c>
      <x:c r="S1332" s="9" t="n">
        <x:f>COUNTIFS($A$7:$A$1446,A1332)</x:f>
        <x:v>1</x:v>
      </x:c>
    </x:row>
    <x:row r="1333">
      <x:c r="A1333" s="9" t="str">
        <x:v>EV-AR-CT-C-B-TECH-4-B2-INT-G0-ST07</x:v>
      </x:c>
      <x:c r="B1333" s="9" t="str">
        <x:v>EV-AR-CT-C-B-TECH-4-B2-INT-G0</x:v>
      </x:c>
      <x:c r="C1333" s="9" t="str">
        <x:v>EOW-AR-CT-C-B-TECH-4-B2-INT-G0</x:v>
      </x:c>
      <x:c r="D1333" s="9" t="str">
        <x:v>AR-CT-C-B-TECH-4-B2-INT-G0</x:v>
      </x:c>
      <x:c r="E1333" s="9" t="str">
        <x:v>CT-C-B-TECH-4</x:v>
      </x:c>
      <x:c r="F1333" s="9" t="str">
        <x:v>CT-C-B</x:v>
      </x:c>
      <x:c r="G1333" s="9" t="str">
        <x:v>B2</x:v>
      </x:c>
      <x:c r="H1333" s="9" t="str">
        <x:v>INT</x:v>
      </x:c>
      <x:c r="I1333" s="9" t="n">
        <x:v>6</x:v>
      </x:c>
      <x:c r="J1333" s="9" t="n">
        <x:v>3</x:v>
      </x:c>
      <x:c r="K1333" s="9" t="str">
        <x:v>CT-C-B-N1</x:v>
      </x:c>
      <x:c r="L1333" s="9" t="str">
        <x:v>ST07</x:v>
      </x:c>
      <x:c r="M1333" s="17" t="str">
        <x:v>Environmental baseline</x:v>
      </x:c>
      <x:c r="N1333" s="17" t="str">
        <x:v>pre-event boundary state is sealed before decisive operation</x:v>
      </x:c>
      <x:c r="O1333" s="17" t="str">
        <x:v>Site metrology</x:v>
      </x:c>
      <x:c r="P1333" s="9" t="n">
        <x:v>0</x:v>
      </x:c>
      <x:c r="Q1333" s="9" t="n">
        <x:v>0</x:v>
      </x:c>
      <x:c r="R1333" s="9" t="str">
        <x:v>OPEN / UNSTARTED</x:v>
      </x:c>
      <x:c r="S1333" s="9" t="n">
        <x:f>COUNTIFS($A$7:$A$1446,A1333)</x:f>
        <x:v>1</x:v>
      </x:c>
    </x:row>
    <x:row r="1334">
      <x:c r="A1334" s="9" t="str">
        <x:v>EV-AR-CT-C-B-TECH-4-B2-INT-G0-ST08</x:v>
      </x:c>
      <x:c r="B1334" s="9" t="str">
        <x:v>EV-AR-CT-C-B-TECH-4-B2-INT-G0</x:v>
      </x:c>
      <x:c r="C1334" s="9" t="str">
        <x:v>EOW-AR-CT-C-B-TECH-4-B2-INT-G0</x:v>
      </x:c>
      <x:c r="D1334" s="9" t="str">
        <x:v>AR-CT-C-B-TECH-4-B2-INT-G0</x:v>
      </x:c>
      <x:c r="E1334" s="9" t="str">
        <x:v>CT-C-B-TECH-4</x:v>
      </x:c>
      <x:c r="F1334" s="9" t="str">
        <x:v>CT-C-B</x:v>
      </x:c>
      <x:c r="G1334" s="9" t="str">
        <x:v>B2</x:v>
      </x:c>
      <x:c r="H1334" s="9" t="str">
        <x:v>INT</x:v>
      </x:c>
      <x:c r="I1334" s="9" t="n">
        <x:v>6</x:v>
      </x:c>
      <x:c r="J1334" s="9" t="n">
        <x:v>3</x:v>
      </x:c>
      <x:c r="K1334" s="9" t="str">
        <x:v>CT-C-B-N1</x:v>
      </x:c>
      <x:c r="L1334" s="9" t="str">
        <x:v>ST08</x:v>
      </x:c>
      <x:c r="M1334" s="17" t="str">
        <x:v>Manual stop and safety</x:v>
      </x:c>
      <x:c r="N1334" s="17" t="str">
        <x:v>local stop, evacuation and protection routes are active</x:v>
      </x:c>
      <x:c r="O1334" s="17" t="str">
        <x:v>Safety authority</x:v>
      </x:c>
      <x:c r="P1334" s="9" t="n">
        <x:v>0</x:v>
      </x:c>
      <x:c r="Q1334" s="9" t="n">
        <x:v>0</x:v>
      </x:c>
      <x:c r="R1334" s="9" t="str">
        <x:v>OPEN / UNSTARTED</x:v>
      </x:c>
      <x:c r="S1334" s="9" t="n">
        <x:f>COUNTIFS($A$7:$A$1446,A1334)</x:f>
        <x:v>1</x:v>
      </x:c>
    </x:row>
    <x:row r="1335">
      <x:c r="A1335" s="9" t="str">
        <x:v>EV-AR-CT-C-B-TECH-4-B2-INT-G0-ST09</x:v>
      </x:c>
      <x:c r="B1335" s="9" t="str">
        <x:v>EV-AR-CT-C-B-TECH-4-B2-INT-G0</x:v>
      </x:c>
      <x:c r="C1335" s="9" t="str">
        <x:v>EOW-AR-CT-C-B-TECH-4-B2-INT-G0</x:v>
      </x:c>
      <x:c r="D1335" s="9" t="str">
        <x:v>AR-CT-C-B-TECH-4-B2-INT-G0</x:v>
      </x:c>
      <x:c r="E1335" s="9" t="str">
        <x:v>CT-C-B-TECH-4</x:v>
      </x:c>
      <x:c r="F1335" s="9" t="str">
        <x:v>CT-C-B</x:v>
      </x:c>
      <x:c r="G1335" s="9" t="str">
        <x:v>B2</x:v>
      </x:c>
      <x:c r="H1335" s="9" t="str">
        <x:v>INT</x:v>
      </x:c>
      <x:c r="I1335" s="9" t="n">
        <x:v>6</x:v>
      </x:c>
      <x:c r="J1335" s="9" t="n">
        <x:v>3</x:v>
      </x:c>
      <x:c r="K1335" s="9" t="str">
        <x:v>CT-C-B-N1</x:v>
      </x:c>
      <x:c r="L1335" s="9" t="str">
        <x:v>ST09</x:v>
      </x:c>
      <x:c r="M1335" s="17" t="str">
        <x:v>Operator conflict clear</x:v>
      </x:c>
      <x:c r="N1335" s="17" t="str">
        <x:v>candidate, fixture, safety and measurement control edges remain separated</x:v>
      </x:c>
      <x:c r="O1335" s="17" t="str">
        <x:v>Conflict registrar</x:v>
      </x:c>
      <x:c r="P1335" s="9" t="n">
        <x:v>0</x:v>
      </x:c>
      <x:c r="Q1335" s="9" t="n">
        <x:v>0</x:v>
      </x:c>
      <x:c r="R1335" s="9" t="str">
        <x:v>OPEN / UNSTARTED</x:v>
      </x:c>
      <x:c r="S1335" s="9" t="n">
        <x:f>COUNTIFS($A$7:$A$1446,A1335)</x:f>
        <x:v>1</x:v>
      </x:c>
    </x:row>
    <x:row r="1336">
      <x:c r="A1336" s="9" t="str">
        <x:v>EV-AR-CT-C-B-TECH-4-B2-INT-G0-ST10</x:v>
      </x:c>
      <x:c r="B1336" s="9" t="str">
        <x:v>EV-AR-CT-C-B-TECH-4-B2-INT-G0</x:v>
      </x:c>
      <x:c r="C1336" s="9" t="str">
        <x:v>EOW-AR-CT-C-B-TECH-4-B2-INT-G0</x:v>
      </x:c>
      <x:c r="D1336" s="9" t="str">
        <x:v>AR-CT-C-B-TECH-4-B2-INT-G0</x:v>
      </x:c>
      <x:c r="E1336" s="9" t="str">
        <x:v>CT-C-B-TECH-4</x:v>
      </x:c>
      <x:c r="F1336" s="9" t="str">
        <x:v>CT-C-B</x:v>
      </x:c>
      <x:c r="G1336" s="9" t="str">
        <x:v>B2</x:v>
      </x:c>
      <x:c r="H1336" s="9" t="str">
        <x:v>INT</x:v>
      </x:c>
      <x:c r="I1336" s="9" t="n">
        <x:v>6</x:v>
      </x:c>
      <x:c r="J1336" s="9" t="n">
        <x:v>3</x:v>
      </x:c>
      <x:c r="K1336" s="9" t="str">
        <x:v>CT-C-B-N1</x:v>
      </x:c>
      <x:c r="L1336" s="9" t="str">
        <x:v>ST10</x:v>
      </x:c>
      <x:c r="M1336" s="17" t="str">
        <x:v>Window and common clock</x:v>
      </x:c>
      <x:c r="N1336" s="17" t="str">
        <x:v>epoch, window and public time origin match the issued warrant</x:v>
      </x:c>
      <x:c r="O1336" s="17" t="str">
        <x:v>Event clock authority</x:v>
      </x:c>
      <x:c r="P1336" s="9" t="n">
        <x:v>0</x:v>
      </x:c>
      <x:c r="Q1336" s="9" t="n">
        <x:v>0</x:v>
      </x:c>
      <x:c r="R1336" s="9" t="str">
        <x:v>OPEN / UNSTARTED</x:v>
      </x:c>
      <x:c r="S1336" s="9" t="n">
        <x:f>COUNTIFS($A$7:$A$1446,A1336)</x:f>
        <x:v>1</x:v>
      </x:c>
    </x:row>
    <x:row r="1337">
      <x:c r="A1337" s="9" t="str">
        <x:v>EV-AR-HC-A-C-TECH-3-B2-INT-G0-ST01</x:v>
      </x:c>
      <x:c r="B1337" s="9" t="str">
        <x:v>EV-AR-HC-A-C-TECH-3-B2-INT-G0</x:v>
      </x:c>
      <x:c r="C1337" s="9" t="str">
        <x:v>EOW-AR-HC-A-C-TECH-3-B2-INT-G0</x:v>
      </x:c>
      <x:c r="D1337" s="9" t="str">
        <x:v>AR-HC-A-C-TECH-3-B2-INT-G0</x:v>
      </x:c>
      <x:c r="E1337" s="9" t="str">
        <x:v>HC-A-C-TECH-3</x:v>
      </x:c>
      <x:c r="F1337" s="9" t="str">
        <x:v>HC-A-C</x:v>
      </x:c>
      <x:c r="G1337" s="9" t="str">
        <x:v>B2</x:v>
      </x:c>
      <x:c r="H1337" s="9" t="str">
        <x:v>INT</x:v>
      </x:c>
      <x:c r="I1337" s="9" t="n">
        <x:v>6</x:v>
      </x:c>
      <x:c r="J1337" s="9" t="n">
        <x:v>3</x:v>
      </x:c>
      <x:c r="K1337" s="9" t="str">
        <x:v>HC-A-C-N1</x:v>
      </x:c>
      <x:c r="L1337" s="9" t="str">
        <x:v>ST01</x:v>
      </x:c>
      <x:c r="M1337" s="17" t="str">
        <x:v>Active opportunity warrant</x:v>
      </x:c>
      <x:c r="N1337" s="17" t="str">
        <x:v>configuration-bound EOW is within its thirty-six-hour validity</x:v>
      </x:c>
      <x:c r="O1337" s="17" t="str">
        <x:v>Start registrar</x:v>
      </x:c>
      <x:c r="P1337" s="9" t="n">
        <x:v>0</x:v>
      </x:c>
      <x:c r="Q1337" s="9" t="n">
        <x:v>0</x:v>
      </x:c>
      <x:c r="R1337" s="9" t="str">
        <x:v>OPEN / UNSTARTED</x:v>
      </x:c>
      <x:c r="S1337" s="9" t="n">
        <x:f>COUNTIFS($A$7:$A$1446,A1337)</x:f>
        <x:v>1</x:v>
      </x:c>
    </x:row>
    <x:row r="1338">
      <x:c r="A1338" s="9" t="str">
        <x:v>EV-AR-HC-A-C-TECH-3-B2-INT-G0-ST02</x:v>
      </x:c>
      <x:c r="B1338" s="9" t="str">
        <x:v>EV-AR-HC-A-C-TECH-3-B2-INT-G0</x:v>
      </x:c>
      <x:c r="C1338" s="9" t="str">
        <x:v>EOW-AR-HC-A-C-TECH-3-B2-INT-G0</x:v>
      </x:c>
      <x:c r="D1338" s="9" t="str">
        <x:v>AR-HC-A-C-TECH-3-B2-INT-G0</x:v>
      </x:c>
      <x:c r="E1338" s="9" t="str">
        <x:v>HC-A-C-TECH-3</x:v>
      </x:c>
      <x:c r="F1338" s="9" t="str">
        <x:v>HC-A-C</x:v>
      </x:c>
      <x:c r="G1338" s="9" t="str">
        <x:v>B2</x:v>
      </x:c>
      <x:c r="H1338" s="9" t="str">
        <x:v>INT</x:v>
      </x:c>
      <x:c r="I1338" s="9" t="n">
        <x:v>6</x:v>
      </x:c>
      <x:c r="J1338" s="9" t="n">
        <x:v>3</x:v>
      </x:c>
      <x:c r="K1338" s="9" t="str">
        <x:v>HC-A-C-N1</x:v>
      </x:c>
      <x:c r="L1338" s="9" t="str">
        <x:v>ST02</x:v>
      </x:c>
      <x:c r="M1338" s="17" t="str">
        <x:v>Frozen identity</x:v>
      </x:c>
      <x:c r="N1338" s="17" t="str">
        <x:v>serial, generation, fixture, site, receiver and digest match the warrant</x:v>
      </x:c>
      <x:c r="O1338" s="17" t="str">
        <x:v>Custody authority</x:v>
      </x:c>
      <x:c r="P1338" s="9" t="n">
        <x:v>0</x:v>
      </x:c>
      <x:c r="Q1338" s="9" t="n">
        <x:v>0</x:v>
      </x:c>
      <x:c r="R1338" s="9" t="str">
        <x:v>OPEN / UNSTARTED</x:v>
      </x:c>
      <x:c r="S1338" s="9" t="n">
        <x:f>COUNTIFS($A$7:$A$1446,A1338)</x:f>
        <x:v>1</x:v>
      </x:c>
    </x:row>
    <x:row r="1339">
      <x:c r="A1339" s="9" t="str">
        <x:v>EV-AR-HC-A-C-TECH-3-B2-INT-G0-ST03</x:v>
      </x:c>
      <x:c r="B1339" s="9" t="str">
        <x:v>EV-AR-HC-A-C-TECH-3-B2-INT-G0</x:v>
      </x:c>
      <x:c r="C1339" s="9" t="str">
        <x:v>EOW-AR-HC-A-C-TECH-3-B2-INT-G0</x:v>
      </x:c>
      <x:c r="D1339" s="9" t="str">
        <x:v>AR-HC-A-C-TECH-3-B2-INT-G0</x:v>
      </x:c>
      <x:c r="E1339" s="9" t="str">
        <x:v>HC-A-C-TECH-3</x:v>
      </x:c>
      <x:c r="F1339" s="9" t="str">
        <x:v>HC-A-C</x:v>
      </x:c>
      <x:c r="G1339" s="9" t="str">
        <x:v>B2</x:v>
      </x:c>
      <x:c r="H1339" s="9" t="str">
        <x:v>INT</x:v>
      </x:c>
      <x:c r="I1339" s="9" t="n">
        <x:v>6</x:v>
      </x:c>
      <x:c r="J1339" s="9" t="n">
        <x:v>3</x:v>
      </x:c>
      <x:c r="K1339" s="9" t="str">
        <x:v>HC-A-C-N1</x:v>
      </x:c>
      <x:c r="L1339" s="9" t="str">
        <x:v>ST03</x:v>
      </x:c>
      <x:c r="M1339" s="17" t="str">
        <x:v>Receiver receipt</x:v>
      </x:c>
      <x:c r="N1339" s="17" t="str">
        <x:v>denominator, counterfactual, rights and stop receipt remain unchanged</x:v>
      </x:c>
      <x:c r="O1339" s="17" t="str">
        <x:v>Receiver authority</x:v>
      </x:c>
      <x:c r="P1339" s="9" t="n">
        <x:v>0</x:v>
      </x:c>
      <x:c r="Q1339" s="9" t="n">
        <x:v>0</x:v>
      </x:c>
      <x:c r="R1339" s="9" t="str">
        <x:v>OPEN / UNSTARTED</x:v>
      </x:c>
      <x:c r="S1339" s="9" t="n">
        <x:f>COUNTIFS($A$7:$A$1446,A1339)</x:f>
        <x:v>1</x:v>
      </x:c>
    </x:row>
    <x:row r="1340">
      <x:c r="A1340" s="9" t="str">
        <x:v>EV-AR-HC-A-C-TECH-3-B2-INT-G0-ST04</x:v>
      </x:c>
      <x:c r="B1340" s="9" t="str">
        <x:v>EV-AR-HC-A-C-TECH-3-B2-INT-G0</x:v>
      </x:c>
      <x:c r="C1340" s="9" t="str">
        <x:v>EOW-AR-HC-A-C-TECH-3-B2-INT-G0</x:v>
      </x:c>
      <x:c r="D1340" s="9" t="str">
        <x:v>AR-HC-A-C-TECH-3-B2-INT-G0</x:v>
      </x:c>
      <x:c r="E1340" s="9" t="str">
        <x:v>HC-A-C-TECH-3</x:v>
      </x:c>
      <x:c r="F1340" s="9" t="str">
        <x:v>HC-A-C</x:v>
      </x:c>
      <x:c r="G1340" s="9" t="str">
        <x:v>B2</x:v>
      </x:c>
      <x:c r="H1340" s="9" t="str">
        <x:v>INT</x:v>
      </x:c>
      <x:c r="I1340" s="9" t="n">
        <x:v>6</x:v>
      </x:c>
      <x:c r="J1340" s="9" t="n">
        <x:v>3</x:v>
      </x:c>
      <x:c r="K1340" s="9" t="str">
        <x:v>HC-A-C-N1</x:v>
      </x:c>
      <x:c r="L1340" s="9" t="str">
        <x:v>ST04</x:v>
      </x:c>
      <x:c r="M1340" s="17" t="str">
        <x:v>Primary capture armed</x:v>
      </x:c>
      <x:c r="N1340" s="17" t="str">
        <x:v>primary chain records sealed reference and live time</x:v>
      </x:c>
      <x:c r="O1340" s="17" t="str">
        <x:v>Primary metrology</x:v>
      </x:c>
      <x:c r="P1340" s="9" t="n">
        <x:v>0</x:v>
      </x:c>
      <x:c r="Q1340" s="9" t="n">
        <x:v>0</x:v>
      </x:c>
      <x:c r="R1340" s="9" t="str">
        <x:v>OPEN / UNSTARTED</x:v>
      </x:c>
      <x:c r="S1340" s="9" t="n">
        <x:f>COUNTIFS($A$7:$A$1446,A1340)</x:f>
        <x:v>1</x:v>
      </x:c>
    </x:row>
    <x:row r="1341">
      <x:c r="A1341" s="9" t="str">
        <x:v>EV-AR-HC-A-C-TECH-3-B2-INT-G0-ST05</x:v>
      </x:c>
      <x:c r="B1341" s="9" t="str">
        <x:v>EV-AR-HC-A-C-TECH-3-B2-INT-G0</x:v>
      </x:c>
      <x:c r="C1341" s="9" t="str">
        <x:v>EOW-AR-HC-A-C-TECH-3-B2-INT-G0</x:v>
      </x:c>
      <x:c r="D1341" s="9" t="str">
        <x:v>AR-HC-A-C-TECH-3-B2-INT-G0</x:v>
      </x:c>
      <x:c r="E1341" s="9" t="str">
        <x:v>HC-A-C-TECH-3</x:v>
      </x:c>
      <x:c r="F1341" s="9" t="str">
        <x:v>HC-A-C</x:v>
      </x:c>
      <x:c r="G1341" s="9" t="str">
        <x:v>B2</x:v>
      </x:c>
      <x:c r="H1341" s="9" t="str">
        <x:v>INT</x:v>
      </x:c>
      <x:c r="I1341" s="9" t="n">
        <x:v>6</x:v>
      </x:c>
      <x:c r="J1341" s="9" t="n">
        <x:v>3</x:v>
      </x:c>
      <x:c r="K1341" s="9" t="str">
        <x:v>HC-A-C-N1</x:v>
      </x:c>
      <x:c r="L1341" s="9" t="str">
        <x:v>ST05</x:v>
      </x:c>
      <x:c r="M1341" s="17" t="str">
        <x:v>Witness capture armed</x:v>
      </x:c>
      <x:c r="N1341" s="17" t="str">
        <x:v>unlike witness records independent reference and live time</x:v>
      </x:c>
      <x:c r="O1341" s="17" t="str">
        <x:v>Witness metrology</x:v>
      </x:c>
      <x:c r="P1341" s="9" t="n">
        <x:v>0</x:v>
      </x:c>
      <x:c r="Q1341" s="9" t="n">
        <x:v>0</x:v>
      </x:c>
      <x:c r="R1341" s="9" t="str">
        <x:v>OPEN / UNSTARTED</x:v>
      </x:c>
      <x:c r="S1341" s="9" t="n">
        <x:f>COUNTIFS($A$7:$A$1446,A1341)</x:f>
        <x:v>1</x:v>
      </x:c>
    </x:row>
    <x:row r="1342">
      <x:c r="A1342" s="9" t="str">
        <x:v>EV-AR-HC-A-C-TECH-3-B2-INT-G0-ST06</x:v>
      </x:c>
      <x:c r="B1342" s="9" t="str">
        <x:v>EV-AR-HC-A-C-TECH-3-B2-INT-G0</x:v>
      </x:c>
      <x:c r="C1342" s="9" t="str">
        <x:v>EOW-AR-HC-A-C-TECH-3-B2-INT-G0</x:v>
      </x:c>
      <x:c r="D1342" s="9" t="str">
        <x:v>AR-HC-A-C-TECH-3-B2-INT-G0</x:v>
      </x:c>
      <x:c r="E1342" s="9" t="str">
        <x:v>HC-A-C-TECH-3</x:v>
      </x:c>
      <x:c r="F1342" s="9" t="str">
        <x:v>HC-A-C</x:v>
      </x:c>
      <x:c r="G1342" s="9" t="str">
        <x:v>B2</x:v>
      </x:c>
      <x:c r="H1342" s="9" t="str">
        <x:v>INT</x:v>
      </x:c>
      <x:c r="I1342" s="9" t="n">
        <x:v>6</x:v>
      </x:c>
      <x:c r="J1342" s="9" t="n">
        <x:v>3</x:v>
      </x:c>
      <x:c r="K1342" s="9" t="str">
        <x:v>HC-A-C-N1</x:v>
      </x:c>
      <x:c r="L1342" s="9" t="str">
        <x:v>ST06</x:v>
      </x:c>
      <x:c r="M1342" s="17" t="str">
        <x:v>Public custody armed</x:v>
      </x:c>
      <x:c r="N1342" s="17" t="str">
        <x:v>eight raw origins have separated hash and replica routes</x:v>
      </x:c>
      <x:c r="O1342" s="17" t="str">
        <x:v>Custody authority</x:v>
      </x:c>
      <x:c r="P1342" s="9" t="n">
        <x:v>0</x:v>
      </x:c>
      <x:c r="Q1342" s="9" t="n">
        <x:v>0</x:v>
      </x:c>
      <x:c r="R1342" s="9" t="str">
        <x:v>OPEN / UNSTARTED</x:v>
      </x:c>
      <x:c r="S1342" s="9" t="n">
        <x:f>COUNTIFS($A$7:$A$1446,A1342)</x:f>
        <x:v>1</x:v>
      </x:c>
    </x:row>
    <x:row r="1343">
      <x:c r="A1343" s="9" t="str">
        <x:v>EV-AR-HC-A-C-TECH-3-B2-INT-G0-ST07</x:v>
      </x:c>
      <x:c r="B1343" s="9" t="str">
        <x:v>EV-AR-HC-A-C-TECH-3-B2-INT-G0</x:v>
      </x:c>
      <x:c r="C1343" s="9" t="str">
        <x:v>EOW-AR-HC-A-C-TECH-3-B2-INT-G0</x:v>
      </x:c>
      <x:c r="D1343" s="9" t="str">
        <x:v>AR-HC-A-C-TECH-3-B2-INT-G0</x:v>
      </x:c>
      <x:c r="E1343" s="9" t="str">
        <x:v>HC-A-C-TECH-3</x:v>
      </x:c>
      <x:c r="F1343" s="9" t="str">
        <x:v>HC-A-C</x:v>
      </x:c>
      <x:c r="G1343" s="9" t="str">
        <x:v>B2</x:v>
      </x:c>
      <x:c r="H1343" s="9" t="str">
        <x:v>INT</x:v>
      </x:c>
      <x:c r="I1343" s="9" t="n">
        <x:v>6</x:v>
      </x:c>
      <x:c r="J1343" s="9" t="n">
        <x:v>3</x:v>
      </x:c>
      <x:c r="K1343" s="9" t="str">
        <x:v>HC-A-C-N1</x:v>
      </x:c>
      <x:c r="L1343" s="9" t="str">
        <x:v>ST07</x:v>
      </x:c>
      <x:c r="M1343" s="17" t="str">
        <x:v>Environmental baseline</x:v>
      </x:c>
      <x:c r="N1343" s="17" t="str">
        <x:v>pre-event boundary state is sealed before decisive operation</x:v>
      </x:c>
      <x:c r="O1343" s="17" t="str">
        <x:v>Site metrology</x:v>
      </x:c>
      <x:c r="P1343" s="9" t="n">
        <x:v>0</x:v>
      </x:c>
      <x:c r="Q1343" s="9" t="n">
        <x:v>0</x:v>
      </x:c>
      <x:c r="R1343" s="9" t="str">
        <x:v>OPEN / UNSTARTED</x:v>
      </x:c>
      <x:c r="S1343" s="9" t="n">
        <x:f>COUNTIFS($A$7:$A$1446,A1343)</x:f>
        <x:v>1</x:v>
      </x:c>
    </x:row>
    <x:row r="1344">
      <x:c r="A1344" s="9" t="str">
        <x:v>EV-AR-HC-A-C-TECH-3-B2-INT-G0-ST08</x:v>
      </x:c>
      <x:c r="B1344" s="9" t="str">
        <x:v>EV-AR-HC-A-C-TECH-3-B2-INT-G0</x:v>
      </x:c>
      <x:c r="C1344" s="9" t="str">
        <x:v>EOW-AR-HC-A-C-TECH-3-B2-INT-G0</x:v>
      </x:c>
      <x:c r="D1344" s="9" t="str">
        <x:v>AR-HC-A-C-TECH-3-B2-INT-G0</x:v>
      </x:c>
      <x:c r="E1344" s="9" t="str">
        <x:v>HC-A-C-TECH-3</x:v>
      </x:c>
      <x:c r="F1344" s="9" t="str">
        <x:v>HC-A-C</x:v>
      </x:c>
      <x:c r="G1344" s="9" t="str">
        <x:v>B2</x:v>
      </x:c>
      <x:c r="H1344" s="9" t="str">
        <x:v>INT</x:v>
      </x:c>
      <x:c r="I1344" s="9" t="n">
        <x:v>6</x:v>
      </x:c>
      <x:c r="J1344" s="9" t="n">
        <x:v>3</x:v>
      </x:c>
      <x:c r="K1344" s="9" t="str">
        <x:v>HC-A-C-N1</x:v>
      </x:c>
      <x:c r="L1344" s="9" t="str">
        <x:v>ST08</x:v>
      </x:c>
      <x:c r="M1344" s="17" t="str">
        <x:v>Manual stop and safety</x:v>
      </x:c>
      <x:c r="N1344" s="17" t="str">
        <x:v>local stop, evacuation and protection routes are active</x:v>
      </x:c>
      <x:c r="O1344" s="17" t="str">
        <x:v>Safety authority</x:v>
      </x:c>
      <x:c r="P1344" s="9" t="n">
        <x:v>0</x:v>
      </x:c>
      <x:c r="Q1344" s="9" t="n">
        <x:v>0</x:v>
      </x:c>
      <x:c r="R1344" s="9" t="str">
        <x:v>OPEN / UNSTARTED</x:v>
      </x:c>
      <x:c r="S1344" s="9" t="n">
        <x:f>COUNTIFS($A$7:$A$1446,A1344)</x:f>
        <x:v>1</x:v>
      </x:c>
    </x:row>
    <x:row r="1345">
      <x:c r="A1345" s="9" t="str">
        <x:v>EV-AR-HC-A-C-TECH-3-B2-INT-G0-ST09</x:v>
      </x:c>
      <x:c r="B1345" s="9" t="str">
        <x:v>EV-AR-HC-A-C-TECH-3-B2-INT-G0</x:v>
      </x:c>
      <x:c r="C1345" s="9" t="str">
        <x:v>EOW-AR-HC-A-C-TECH-3-B2-INT-G0</x:v>
      </x:c>
      <x:c r="D1345" s="9" t="str">
        <x:v>AR-HC-A-C-TECH-3-B2-INT-G0</x:v>
      </x:c>
      <x:c r="E1345" s="9" t="str">
        <x:v>HC-A-C-TECH-3</x:v>
      </x:c>
      <x:c r="F1345" s="9" t="str">
        <x:v>HC-A-C</x:v>
      </x:c>
      <x:c r="G1345" s="9" t="str">
        <x:v>B2</x:v>
      </x:c>
      <x:c r="H1345" s="9" t="str">
        <x:v>INT</x:v>
      </x:c>
      <x:c r="I1345" s="9" t="n">
        <x:v>6</x:v>
      </x:c>
      <x:c r="J1345" s="9" t="n">
        <x:v>3</x:v>
      </x:c>
      <x:c r="K1345" s="9" t="str">
        <x:v>HC-A-C-N1</x:v>
      </x:c>
      <x:c r="L1345" s="9" t="str">
        <x:v>ST09</x:v>
      </x:c>
      <x:c r="M1345" s="17" t="str">
        <x:v>Operator conflict clear</x:v>
      </x:c>
      <x:c r="N1345" s="17" t="str">
        <x:v>candidate, fixture, safety and measurement control edges remain separated</x:v>
      </x:c>
      <x:c r="O1345" s="17" t="str">
        <x:v>Conflict registrar</x:v>
      </x:c>
      <x:c r="P1345" s="9" t="n">
        <x:v>0</x:v>
      </x:c>
      <x:c r="Q1345" s="9" t="n">
        <x:v>0</x:v>
      </x:c>
      <x:c r="R1345" s="9" t="str">
        <x:v>OPEN / UNSTARTED</x:v>
      </x:c>
      <x:c r="S1345" s="9" t="n">
        <x:f>COUNTIFS($A$7:$A$1446,A1345)</x:f>
        <x:v>1</x:v>
      </x:c>
    </x:row>
    <x:row r="1346">
      <x:c r="A1346" s="9" t="str">
        <x:v>EV-AR-HC-A-C-TECH-3-B2-INT-G0-ST10</x:v>
      </x:c>
      <x:c r="B1346" s="9" t="str">
        <x:v>EV-AR-HC-A-C-TECH-3-B2-INT-G0</x:v>
      </x:c>
      <x:c r="C1346" s="9" t="str">
        <x:v>EOW-AR-HC-A-C-TECH-3-B2-INT-G0</x:v>
      </x:c>
      <x:c r="D1346" s="9" t="str">
        <x:v>AR-HC-A-C-TECH-3-B2-INT-G0</x:v>
      </x:c>
      <x:c r="E1346" s="9" t="str">
        <x:v>HC-A-C-TECH-3</x:v>
      </x:c>
      <x:c r="F1346" s="9" t="str">
        <x:v>HC-A-C</x:v>
      </x:c>
      <x:c r="G1346" s="9" t="str">
        <x:v>B2</x:v>
      </x:c>
      <x:c r="H1346" s="9" t="str">
        <x:v>INT</x:v>
      </x:c>
      <x:c r="I1346" s="9" t="n">
        <x:v>6</x:v>
      </x:c>
      <x:c r="J1346" s="9" t="n">
        <x:v>3</x:v>
      </x:c>
      <x:c r="K1346" s="9" t="str">
        <x:v>HC-A-C-N1</x:v>
      </x:c>
      <x:c r="L1346" s="9" t="str">
        <x:v>ST10</x:v>
      </x:c>
      <x:c r="M1346" s="17" t="str">
        <x:v>Window and common clock</x:v>
      </x:c>
      <x:c r="N1346" s="17" t="str">
        <x:v>epoch, window and public time origin match the issued warrant</x:v>
      </x:c>
      <x:c r="O1346" s="17" t="str">
        <x:v>Event clock authority</x:v>
      </x:c>
      <x:c r="P1346" s="9" t="n">
        <x:v>0</x:v>
      </x:c>
      <x:c r="Q1346" s="9" t="n">
        <x:v>0</x:v>
      </x:c>
      <x:c r="R1346" s="9" t="str">
        <x:v>OPEN / UNSTARTED</x:v>
      </x:c>
      <x:c r="S1346" s="9" t="n">
        <x:f>COUNTIFS($A$7:$A$1446,A1346)</x:f>
        <x:v>1</x:v>
      </x:c>
    </x:row>
    <x:row r="1347">
      <x:c r="A1347" s="9" t="str">
        <x:v>EV-AR-HU-A-B-TECH-3-B2-RCN-G0-ST01</x:v>
      </x:c>
      <x:c r="B1347" s="9" t="str">
        <x:v>EV-AR-HU-A-B-TECH-3-B2-RCN-G0</x:v>
      </x:c>
      <x:c r="C1347" s="9" t="str">
        <x:v>EOW-AR-HU-A-B-TECH-3-B2-RCN-G0</x:v>
      </x:c>
      <x:c r="D1347" s="9" t="str">
        <x:v>AR-HU-A-B-TECH-3-B2-RCN-G0</x:v>
      </x:c>
      <x:c r="E1347" s="9" t="str">
        <x:v>HU-A-B-TECH-3</x:v>
      </x:c>
      <x:c r="F1347" s="9" t="str">
        <x:v>HU-A-B</x:v>
      </x:c>
      <x:c r="G1347" s="9" t="str">
        <x:v>B2</x:v>
      </x:c>
      <x:c r="H1347" s="9" t="str">
        <x:v>RCN</x:v>
      </x:c>
      <x:c r="I1347" s="9" t="n">
        <x:v>6</x:v>
      </x:c>
      <x:c r="J1347" s="9" t="n">
        <x:v>3</x:v>
      </x:c>
      <x:c r="K1347" s="9" t="str">
        <x:v>HU-A-B-N1</x:v>
      </x:c>
      <x:c r="L1347" s="9" t="str">
        <x:v>ST01</x:v>
      </x:c>
      <x:c r="M1347" s="17" t="str">
        <x:v>Active opportunity warrant</x:v>
      </x:c>
      <x:c r="N1347" s="17" t="str">
        <x:v>configuration-bound EOW is within its thirty-six-hour validity</x:v>
      </x:c>
      <x:c r="O1347" s="17" t="str">
        <x:v>Start registrar</x:v>
      </x:c>
      <x:c r="P1347" s="9" t="n">
        <x:v>0</x:v>
      </x:c>
      <x:c r="Q1347" s="9" t="n">
        <x:v>0</x:v>
      </x:c>
      <x:c r="R1347" s="9" t="str">
        <x:v>OPEN / UNSTARTED</x:v>
      </x:c>
      <x:c r="S1347" s="9" t="n">
        <x:f>COUNTIFS($A$7:$A$1446,A1347)</x:f>
        <x:v>1</x:v>
      </x:c>
    </x:row>
    <x:row r="1348">
      <x:c r="A1348" s="9" t="str">
        <x:v>EV-AR-HU-A-B-TECH-3-B2-RCN-G0-ST02</x:v>
      </x:c>
      <x:c r="B1348" s="9" t="str">
        <x:v>EV-AR-HU-A-B-TECH-3-B2-RCN-G0</x:v>
      </x:c>
      <x:c r="C1348" s="9" t="str">
        <x:v>EOW-AR-HU-A-B-TECH-3-B2-RCN-G0</x:v>
      </x:c>
      <x:c r="D1348" s="9" t="str">
        <x:v>AR-HU-A-B-TECH-3-B2-RCN-G0</x:v>
      </x:c>
      <x:c r="E1348" s="9" t="str">
        <x:v>HU-A-B-TECH-3</x:v>
      </x:c>
      <x:c r="F1348" s="9" t="str">
        <x:v>HU-A-B</x:v>
      </x:c>
      <x:c r="G1348" s="9" t="str">
        <x:v>B2</x:v>
      </x:c>
      <x:c r="H1348" s="9" t="str">
        <x:v>RCN</x:v>
      </x:c>
      <x:c r="I1348" s="9" t="n">
        <x:v>6</x:v>
      </x:c>
      <x:c r="J1348" s="9" t="n">
        <x:v>3</x:v>
      </x:c>
      <x:c r="K1348" s="9" t="str">
        <x:v>HU-A-B-N1</x:v>
      </x:c>
      <x:c r="L1348" s="9" t="str">
        <x:v>ST02</x:v>
      </x:c>
      <x:c r="M1348" s="17" t="str">
        <x:v>Frozen identity</x:v>
      </x:c>
      <x:c r="N1348" s="17" t="str">
        <x:v>serial, generation, fixture, site, receiver and digest match the warrant</x:v>
      </x:c>
      <x:c r="O1348" s="17" t="str">
        <x:v>Custody authority</x:v>
      </x:c>
      <x:c r="P1348" s="9" t="n">
        <x:v>0</x:v>
      </x:c>
      <x:c r="Q1348" s="9" t="n">
        <x:v>0</x:v>
      </x:c>
      <x:c r="R1348" s="9" t="str">
        <x:v>OPEN / UNSTARTED</x:v>
      </x:c>
      <x:c r="S1348" s="9" t="n">
        <x:f>COUNTIFS($A$7:$A$1446,A1348)</x:f>
        <x:v>1</x:v>
      </x:c>
    </x:row>
    <x:row r="1349">
      <x:c r="A1349" s="9" t="str">
        <x:v>EV-AR-HU-A-B-TECH-3-B2-RCN-G0-ST03</x:v>
      </x:c>
      <x:c r="B1349" s="9" t="str">
        <x:v>EV-AR-HU-A-B-TECH-3-B2-RCN-G0</x:v>
      </x:c>
      <x:c r="C1349" s="9" t="str">
        <x:v>EOW-AR-HU-A-B-TECH-3-B2-RCN-G0</x:v>
      </x:c>
      <x:c r="D1349" s="9" t="str">
        <x:v>AR-HU-A-B-TECH-3-B2-RCN-G0</x:v>
      </x:c>
      <x:c r="E1349" s="9" t="str">
        <x:v>HU-A-B-TECH-3</x:v>
      </x:c>
      <x:c r="F1349" s="9" t="str">
        <x:v>HU-A-B</x:v>
      </x:c>
      <x:c r="G1349" s="9" t="str">
        <x:v>B2</x:v>
      </x:c>
      <x:c r="H1349" s="9" t="str">
        <x:v>RCN</x:v>
      </x:c>
      <x:c r="I1349" s="9" t="n">
        <x:v>6</x:v>
      </x:c>
      <x:c r="J1349" s="9" t="n">
        <x:v>3</x:v>
      </x:c>
      <x:c r="K1349" s="9" t="str">
        <x:v>HU-A-B-N1</x:v>
      </x:c>
      <x:c r="L1349" s="9" t="str">
        <x:v>ST03</x:v>
      </x:c>
      <x:c r="M1349" s="17" t="str">
        <x:v>Receiver receipt</x:v>
      </x:c>
      <x:c r="N1349" s="17" t="str">
        <x:v>denominator, counterfactual, rights and stop receipt remain unchanged</x:v>
      </x:c>
      <x:c r="O1349" s="17" t="str">
        <x:v>Receiver authority</x:v>
      </x:c>
      <x:c r="P1349" s="9" t="n">
        <x:v>0</x:v>
      </x:c>
      <x:c r="Q1349" s="9" t="n">
        <x:v>0</x:v>
      </x:c>
      <x:c r="R1349" s="9" t="str">
        <x:v>OPEN / UNSTARTED</x:v>
      </x:c>
      <x:c r="S1349" s="9" t="n">
        <x:f>COUNTIFS($A$7:$A$1446,A1349)</x:f>
        <x:v>1</x:v>
      </x:c>
    </x:row>
    <x:row r="1350">
      <x:c r="A1350" s="9" t="str">
        <x:v>EV-AR-HU-A-B-TECH-3-B2-RCN-G0-ST04</x:v>
      </x:c>
      <x:c r="B1350" s="9" t="str">
        <x:v>EV-AR-HU-A-B-TECH-3-B2-RCN-G0</x:v>
      </x:c>
      <x:c r="C1350" s="9" t="str">
        <x:v>EOW-AR-HU-A-B-TECH-3-B2-RCN-G0</x:v>
      </x:c>
      <x:c r="D1350" s="9" t="str">
        <x:v>AR-HU-A-B-TECH-3-B2-RCN-G0</x:v>
      </x:c>
      <x:c r="E1350" s="9" t="str">
        <x:v>HU-A-B-TECH-3</x:v>
      </x:c>
      <x:c r="F1350" s="9" t="str">
        <x:v>HU-A-B</x:v>
      </x:c>
      <x:c r="G1350" s="9" t="str">
        <x:v>B2</x:v>
      </x:c>
      <x:c r="H1350" s="9" t="str">
        <x:v>RCN</x:v>
      </x:c>
      <x:c r="I1350" s="9" t="n">
        <x:v>6</x:v>
      </x:c>
      <x:c r="J1350" s="9" t="n">
        <x:v>3</x:v>
      </x:c>
      <x:c r="K1350" s="9" t="str">
        <x:v>HU-A-B-N1</x:v>
      </x:c>
      <x:c r="L1350" s="9" t="str">
        <x:v>ST04</x:v>
      </x:c>
      <x:c r="M1350" s="17" t="str">
        <x:v>Primary capture armed</x:v>
      </x:c>
      <x:c r="N1350" s="17" t="str">
        <x:v>primary chain records sealed reference and live time</x:v>
      </x:c>
      <x:c r="O1350" s="17" t="str">
        <x:v>Primary metrology</x:v>
      </x:c>
      <x:c r="P1350" s="9" t="n">
        <x:v>0</x:v>
      </x:c>
      <x:c r="Q1350" s="9" t="n">
        <x:v>0</x:v>
      </x:c>
      <x:c r="R1350" s="9" t="str">
        <x:v>OPEN / UNSTARTED</x:v>
      </x:c>
      <x:c r="S1350" s="9" t="n">
        <x:f>COUNTIFS($A$7:$A$1446,A1350)</x:f>
        <x:v>1</x:v>
      </x:c>
    </x:row>
    <x:row r="1351">
      <x:c r="A1351" s="9" t="str">
        <x:v>EV-AR-HU-A-B-TECH-3-B2-RCN-G0-ST05</x:v>
      </x:c>
      <x:c r="B1351" s="9" t="str">
        <x:v>EV-AR-HU-A-B-TECH-3-B2-RCN-G0</x:v>
      </x:c>
      <x:c r="C1351" s="9" t="str">
        <x:v>EOW-AR-HU-A-B-TECH-3-B2-RCN-G0</x:v>
      </x:c>
      <x:c r="D1351" s="9" t="str">
        <x:v>AR-HU-A-B-TECH-3-B2-RCN-G0</x:v>
      </x:c>
      <x:c r="E1351" s="9" t="str">
        <x:v>HU-A-B-TECH-3</x:v>
      </x:c>
      <x:c r="F1351" s="9" t="str">
        <x:v>HU-A-B</x:v>
      </x:c>
      <x:c r="G1351" s="9" t="str">
        <x:v>B2</x:v>
      </x:c>
      <x:c r="H1351" s="9" t="str">
        <x:v>RCN</x:v>
      </x:c>
      <x:c r="I1351" s="9" t="n">
        <x:v>6</x:v>
      </x:c>
      <x:c r="J1351" s="9" t="n">
        <x:v>3</x:v>
      </x:c>
      <x:c r="K1351" s="9" t="str">
        <x:v>HU-A-B-N1</x:v>
      </x:c>
      <x:c r="L1351" s="9" t="str">
        <x:v>ST05</x:v>
      </x:c>
      <x:c r="M1351" s="17" t="str">
        <x:v>Witness capture armed</x:v>
      </x:c>
      <x:c r="N1351" s="17" t="str">
        <x:v>unlike witness records independent reference and live time</x:v>
      </x:c>
      <x:c r="O1351" s="17" t="str">
        <x:v>Witness metrology</x:v>
      </x:c>
      <x:c r="P1351" s="9" t="n">
        <x:v>0</x:v>
      </x:c>
      <x:c r="Q1351" s="9" t="n">
        <x:v>0</x:v>
      </x:c>
      <x:c r="R1351" s="9" t="str">
        <x:v>OPEN / UNSTARTED</x:v>
      </x:c>
      <x:c r="S1351" s="9" t="n">
        <x:f>COUNTIFS($A$7:$A$1446,A1351)</x:f>
        <x:v>1</x:v>
      </x:c>
    </x:row>
    <x:row r="1352">
      <x:c r="A1352" s="9" t="str">
        <x:v>EV-AR-HU-A-B-TECH-3-B2-RCN-G0-ST06</x:v>
      </x:c>
      <x:c r="B1352" s="9" t="str">
        <x:v>EV-AR-HU-A-B-TECH-3-B2-RCN-G0</x:v>
      </x:c>
      <x:c r="C1352" s="9" t="str">
        <x:v>EOW-AR-HU-A-B-TECH-3-B2-RCN-G0</x:v>
      </x:c>
      <x:c r="D1352" s="9" t="str">
        <x:v>AR-HU-A-B-TECH-3-B2-RCN-G0</x:v>
      </x:c>
      <x:c r="E1352" s="9" t="str">
        <x:v>HU-A-B-TECH-3</x:v>
      </x:c>
      <x:c r="F1352" s="9" t="str">
        <x:v>HU-A-B</x:v>
      </x:c>
      <x:c r="G1352" s="9" t="str">
        <x:v>B2</x:v>
      </x:c>
      <x:c r="H1352" s="9" t="str">
        <x:v>RCN</x:v>
      </x:c>
      <x:c r="I1352" s="9" t="n">
        <x:v>6</x:v>
      </x:c>
      <x:c r="J1352" s="9" t="n">
        <x:v>3</x:v>
      </x:c>
      <x:c r="K1352" s="9" t="str">
        <x:v>HU-A-B-N1</x:v>
      </x:c>
      <x:c r="L1352" s="9" t="str">
        <x:v>ST06</x:v>
      </x:c>
      <x:c r="M1352" s="17" t="str">
        <x:v>Public custody armed</x:v>
      </x:c>
      <x:c r="N1352" s="17" t="str">
        <x:v>eight raw origins have separated hash and replica routes</x:v>
      </x:c>
      <x:c r="O1352" s="17" t="str">
        <x:v>Custody authority</x:v>
      </x:c>
      <x:c r="P1352" s="9" t="n">
        <x:v>0</x:v>
      </x:c>
      <x:c r="Q1352" s="9" t="n">
        <x:v>0</x:v>
      </x:c>
      <x:c r="R1352" s="9" t="str">
        <x:v>OPEN / UNSTARTED</x:v>
      </x:c>
      <x:c r="S1352" s="9" t="n">
        <x:f>COUNTIFS($A$7:$A$1446,A1352)</x:f>
        <x:v>1</x:v>
      </x:c>
    </x:row>
    <x:row r="1353">
      <x:c r="A1353" s="9" t="str">
        <x:v>EV-AR-HU-A-B-TECH-3-B2-RCN-G0-ST07</x:v>
      </x:c>
      <x:c r="B1353" s="9" t="str">
        <x:v>EV-AR-HU-A-B-TECH-3-B2-RCN-G0</x:v>
      </x:c>
      <x:c r="C1353" s="9" t="str">
        <x:v>EOW-AR-HU-A-B-TECH-3-B2-RCN-G0</x:v>
      </x:c>
      <x:c r="D1353" s="9" t="str">
        <x:v>AR-HU-A-B-TECH-3-B2-RCN-G0</x:v>
      </x:c>
      <x:c r="E1353" s="9" t="str">
        <x:v>HU-A-B-TECH-3</x:v>
      </x:c>
      <x:c r="F1353" s="9" t="str">
        <x:v>HU-A-B</x:v>
      </x:c>
      <x:c r="G1353" s="9" t="str">
        <x:v>B2</x:v>
      </x:c>
      <x:c r="H1353" s="9" t="str">
        <x:v>RCN</x:v>
      </x:c>
      <x:c r="I1353" s="9" t="n">
        <x:v>6</x:v>
      </x:c>
      <x:c r="J1353" s="9" t="n">
        <x:v>3</x:v>
      </x:c>
      <x:c r="K1353" s="9" t="str">
        <x:v>HU-A-B-N1</x:v>
      </x:c>
      <x:c r="L1353" s="9" t="str">
        <x:v>ST07</x:v>
      </x:c>
      <x:c r="M1353" s="17" t="str">
        <x:v>Environmental baseline</x:v>
      </x:c>
      <x:c r="N1353" s="17" t="str">
        <x:v>pre-event boundary state is sealed before decisive operation</x:v>
      </x:c>
      <x:c r="O1353" s="17" t="str">
        <x:v>Site metrology</x:v>
      </x:c>
      <x:c r="P1353" s="9" t="n">
        <x:v>0</x:v>
      </x:c>
      <x:c r="Q1353" s="9" t="n">
        <x:v>0</x:v>
      </x:c>
      <x:c r="R1353" s="9" t="str">
        <x:v>OPEN / UNSTARTED</x:v>
      </x:c>
      <x:c r="S1353" s="9" t="n">
        <x:f>COUNTIFS($A$7:$A$1446,A1353)</x:f>
        <x:v>1</x:v>
      </x:c>
    </x:row>
    <x:row r="1354">
      <x:c r="A1354" s="9" t="str">
        <x:v>EV-AR-HU-A-B-TECH-3-B2-RCN-G0-ST08</x:v>
      </x:c>
      <x:c r="B1354" s="9" t="str">
        <x:v>EV-AR-HU-A-B-TECH-3-B2-RCN-G0</x:v>
      </x:c>
      <x:c r="C1354" s="9" t="str">
        <x:v>EOW-AR-HU-A-B-TECH-3-B2-RCN-G0</x:v>
      </x:c>
      <x:c r="D1354" s="9" t="str">
        <x:v>AR-HU-A-B-TECH-3-B2-RCN-G0</x:v>
      </x:c>
      <x:c r="E1354" s="9" t="str">
        <x:v>HU-A-B-TECH-3</x:v>
      </x:c>
      <x:c r="F1354" s="9" t="str">
        <x:v>HU-A-B</x:v>
      </x:c>
      <x:c r="G1354" s="9" t="str">
        <x:v>B2</x:v>
      </x:c>
      <x:c r="H1354" s="9" t="str">
        <x:v>RCN</x:v>
      </x:c>
      <x:c r="I1354" s="9" t="n">
        <x:v>6</x:v>
      </x:c>
      <x:c r="J1354" s="9" t="n">
        <x:v>3</x:v>
      </x:c>
      <x:c r="K1354" s="9" t="str">
        <x:v>HU-A-B-N1</x:v>
      </x:c>
      <x:c r="L1354" s="9" t="str">
        <x:v>ST08</x:v>
      </x:c>
      <x:c r="M1354" s="17" t="str">
        <x:v>Manual stop and safety</x:v>
      </x:c>
      <x:c r="N1354" s="17" t="str">
        <x:v>local stop, evacuation and protection routes are active</x:v>
      </x:c>
      <x:c r="O1354" s="17" t="str">
        <x:v>Safety authority</x:v>
      </x:c>
      <x:c r="P1354" s="9" t="n">
        <x:v>0</x:v>
      </x:c>
      <x:c r="Q1354" s="9" t="n">
        <x:v>0</x:v>
      </x:c>
      <x:c r="R1354" s="9" t="str">
        <x:v>OPEN / UNSTARTED</x:v>
      </x:c>
      <x:c r="S1354" s="9" t="n">
        <x:f>COUNTIFS($A$7:$A$1446,A1354)</x:f>
        <x:v>1</x:v>
      </x:c>
    </x:row>
    <x:row r="1355">
      <x:c r="A1355" s="9" t="str">
        <x:v>EV-AR-HU-A-B-TECH-3-B2-RCN-G0-ST09</x:v>
      </x:c>
      <x:c r="B1355" s="9" t="str">
        <x:v>EV-AR-HU-A-B-TECH-3-B2-RCN-G0</x:v>
      </x:c>
      <x:c r="C1355" s="9" t="str">
        <x:v>EOW-AR-HU-A-B-TECH-3-B2-RCN-G0</x:v>
      </x:c>
      <x:c r="D1355" s="9" t="str">
        <x:v>AR-HU-A-B-TECH-3-B2-RCN-G0</x:v>
      </x:c>
      <x:c r="E1355" s="9" t="str">
        <x:v>HU-A-B-TECH-3</x:v>
      </x:c>
      <x:c r="F1355" s="9" t="str">
        <x:v>HU-A-B</x:v>
      </x:c>
      <x:c r="G1355" s="9" t="str">
        <x:v>B2</x:v>
      </x:c>
      <x:c r="H1355" s="9" t="str">
        <x:v>RCN</x:v>
      </x:c>
      <x:c r="I1355" s="9" t="n">
        <x:v>6</x:v>
      </x:c>
      <x:c r="J1355" s="9" t="n">
        <x:v>3</x:v>
      </x:c>
      <x:c r="K1355" s="9" t="str">
        <x:v>HU-A-B-N1</x:v>
      </x:c>
      <x:c r="L1355" s="9" t="str">
        <x:v>ST09</x:v>
      </x:c>
      <x:c r="M1355" s="17" t="str">
        <x:v>Operator conflict clear</x:v>
      </x:c>
      <x:c r="N1355" s="17" t="str">
        <x:v>candidate, fixture, safety and measurement control edges remain separated</x:v>
      </x:c>
      <x:c r="O1355" s="17" t="str">
        <x:v>Conflict registrar</x:v>
      </x:c>
      <x:c r="P1355" s="9" t="n">
        <x:v>0</x:v>
      </x:c>
      <x:c r="Q1355" s="9" t="n">
        <x:v>0</x:v>
      </x:c>
      <x:c r="R1355" s="9" t="str">
        <x:v>OPEN / UNSTARTED</x:v>
      </x:c>
      <x:c r="S1355" s="9" t="n">
        <x:f>COUNTIFS($A$7:$A$1446,A1355)</x:f>
        <x:v>1</x:v>
      </x:c>
    </x:row>
    <x:row r="1356">
      <x:c r="A1356" s="9" t="str">
        <x:v>EV-AR-HU-A-B-TECH-3-B2-RCN-G0-ST10</x:v>
      </x:c>
      <x:c r="B1356" s="9" t="str">
        <x:v>EV-AR-HU-A-B-TECH-3-B2-RCN-G0</x:v>
      </x:c>
      <x:c r="C1356" s="9" t="str">
        <x:v>EOW-AR-HU-A-B-TECH-3-B2-RCN-G0</x:v>
      </x:c>
      <x:c r="D1356" s="9" t="str">
        <x:v>AR-HU-A-B-TECH-3-B2-RCN-G0</x:v>
      </x:c>
      <x:c r="E1356" s="9" t="str">
        <x:v>HU-A-B-TECH-3</x:v>
      </x:c>
      <x:c r="F1356" s="9" t="str">
        <x:v>HU-A-B</x:v>
      </x:c>
      <x:c r="G1356" s="9" t="str">
        <x:v>B2</x:v>
      </x:c>
      <x:c r="H1356" s="9" t="str">
        <x:v>RCN</x:v>
      </x:c>
      <x:c r="I1356" s="9" t="n">
        <x:v>6</x:v>
      </x:c>
      <x:c r="J1356" s="9" t="n">
        <x:v>3</x:v>
      </x:c>
      <x:c r="K1356" s="9" t="str">
        <x:v>HU-A-B-N1</x:v>
      </x:c>
      <x:c r="L1356" s="9" t="str">
        <x:v>ST10</x:v>
      </x:c>
      <x:c r="M1356" s="17" t="str">
        <x:v>Window and common clock</x:v>
      </x:c>
      <x:c r="N1356" s="17" t="str">
        <x:v>epoch, window and public time origin match the issued warrant</x:v>
      </x:c>
      <x:c r="O1356" s="17" t="str">
        <x:v>Event clock authority</x:v>
      </x:c>
      <x:c r="P1356" s="9" t="n">
        <x:v>0</x:v>
      </x:c>
      <x:c r="Q1356" s="9" t="n">
        <x:v>0</x:v>
      </x:c>
      <x:c r="R1356" s="9" t="str">
        <x:v>OPEN / UNSTARTED</x:v>
      </x:c>
      <x:c r="S1356" s="9" t="n">
        <x:f>COUNTIFS($A$7:$A$1446,A1356)</x:f>
        <x:v>1</x:v>
      </x:c>
    </x:row>
    <x:row r="1357">
      <x:c r="A1357" s="9" t="str">
        <x:v>EV-AR-HU-A-B-TECH-4-B1-RCN-G0-ST01</x:v>
      </x:c>
      <x:c r="B1357" s="9" t="str">
        <x:v>EV-AR-HU-A-B-TECH-4-B1-RCN-G0</x:v>
      </x:c>
      <x:c r="C1357" s="9" t="str">
        <x:v>EOW-AR-HU-A-B-TECH-4-B1-RCN-G0</x:v>
      </x:c>
      <x:c r="D1357" s="9" t="str">
        <x:v>AR-HU-A-B-TECH-4-B1-RCN-G0</x:v>
      </x:c>
      <x:c r="E1357" s="9" t="str">
        <x:v>HU-A-B-TECH-4</x:v>
      </x:c>
      <x:c r="F1357" s="9" t="str">
        <x:v>HU-A-B</x:v>
      </x:c>
      <x:c r="G1357" s="9" t="str">
        <x:v>B1</x:v>
      </x:c>
      <x:c r="H1357" s="9" t="str">
        <x:v>RCN</x:v>
      </x:c>
      <x:c r="I1357" s="9" t="n">
        <x:v>6</x:v>
      </x:c>
      <x:c r="J1357" s="9" t="n">
        <x:v>3</x:v>
      </x:c>
      <x:c r="K1357" s="9" t="str">
        <x:v>HU-A-B-N2</x:v>
      </x:c>
      <x:c r="L1357" s="9" t="str">
        <x:v>ST01</x:v>
      </x:c>
      <x:c r="M1357" s="17" t="str">
        <x:v>Active opportunity warrant</x:v>
      </x:c>
      <x:c r="N1357" s="17" t="str">
        <x:v>configuration-bound EOW is within its thirty-six-hour validity</x:v>
      </x:c>
      <x:c r="O1357" s="17" t="str">
        <x:v>Start registrar</x:v>
      </x:c>
      <x:c r="P1357" s="9" t="n">
        <x:v>0</x:v>
      </x:c>
      <x:c r="Q1357" s="9" t="n">
        <x:v>0</x:v>
      </x:c>
      <x:c r="R1357" s="9" t="str">
        <x:v>OPEN / UNSTARTED</x:v>
      </x:c>
      <x:c r="S1357" s="9" t="n">
        <x:f>COUNTIFS($A$7:$A$1446,A1357)</x:f>
        <x:v>1</x:v>
      </x:c>
    </x:row>
    <x:row r="1358">
      <x:c r="A1358" s="9" t="str">
        <x:v>EV-AR-HU-A-B-TECH-4-B1-RCN-G0-ST02</x:v>
      </x:c>
      <x:c r="B1358" s="9" t="str">
        <x:v>EV-AR-HU-A-B-TECH-4-B1-RCN-G0</x:v>
      </x:c>
      <x:c r="C1358" s="9" t="str">
        <x:v>EOW-AR-HU-A-B-TECH-4-B1-RCN-G0</x:v>
      </x:c>
      <x:c r="D1358" s="9" t="str">
        <x:v>AR-HU-A-B-TECH-4-B1-RCN-G0</x:v>
      </x:c>
      <x:c r="E1358" s="9" t="str">
        <x:v>HU-A-B-TECH-4</x:v>
      </x:c>
      <x:c r="F1358" s="9" t="str">
        <x:v>HU-A-B</x:v>
      </x:c>
      <x:c r="G1358" s="9" t="str">
        <x:v>B1</x:v>
      </x:c>
      <x:c r="H1358" s="9" t="str">
        <x:v>RCN</x:v>
      </x:c>
      <x:c r="I1358" s="9" t="n">
        <x:v>6</x:v>
      </x:c>
      <x:c r="J1358" s="9" t="n">
        <x:v>3</x:v>
      </x:c>
      <x:c r="K1358" s="9" t="str">
        <x:v>HU-A-B-N2</x:v>
      </x:c>
      <x:c r="L1358" s="9" t="str">
        <x:v>ST02</x:v>
      </x:c>
      <x:c r="M1358" s="17" t="str">
        <x:v>Frozen identity</x:v>
      </x:c>
      <x:c r="N1358" s="17" t="str">
        <x:v>serial, generation, fixture, site, receiver and digest match the warrant</x:v>
      </x:c>
      <x:c r="O1358" s="17" t="str">
        <x:v>Custody authority</x:v>
      </x:c>
      <x:c r="P1358" s="9" t="n">
        <x:v>0</x:v>
      </x:c>
      <x:c r="Q1358" s="9" t="n">
        <x:v>0</x:v>
      </x:c>
      <x:c r="R1358" s="9" t="str">
        <x:v>OPEN / UNSTARTED</x:v>
      </x:c>
      <x:c r="S1358" s="9" t="n">
        <x:f>COUNTIFS($A$7:$A$1446,A1358)</x:f>
        <x:v>1</x:v>
      </x:c>
    </x:row>
    <x:row r="1359">
      <x:c r="A1359" s="9" t="str">
        <x:v>EV-AR-HU-A-B-TECH-4-B1-RCN-G0-ST03</x:v>
      </x:c>
      <x:c r="B1359" s="9" t="str">
        <x:v>EV-AR-HU-A-B-TECH-4-B1-RCN-G0</x:v>
      </x:c>
      <x:c r="C1359" s="9" t="str">
        <x:v>EOW-AR-HU-A-B-TECH-4-B1-RCN-G0</x:v>
      </x:c>
      <x:c r="D1359" s="9" t="str">
        <x:v>AR-HU-A-B-TECH-4-B1-RCN-G0</x:v>
      </x:c>
      <x:c r="E1359" s="9" t="str">
        <x:v>HU-A-B-TECH-4</x:v>
      </x:c>
      <x:c r="F1359" s="9" t="str">
        <x:v>HU-A-B</x:v>
      </x:c>
      <x:c r="G1359" s="9" t="str">
        <x:v>B1</x:v>
      </x:c>
      <x:c r="H1359" s="9" t="str">
        <x:v>RCN</x:v>
      </x:c>
      <x:c r="I1359" s="9" t="n">
        <x:v>6</x:v>
      </x:c>
      <x:c r="J1359" s="9" t="n">
        <x:v>3</x:v>
      </x:c>
      <x:c r="K1359" s="9" t="str">
        <x:v>HU-A-B-N2</x:v>
      </x:c>
      <x:c r="L1359" s="9" t="str">
        <x:v>ST03</x:v>
      </x:c>
      <x:c r="M1359" s="17" t="str">
        <x:v>Receiver receipt</x:v>
      </x:c>
      <x:c r="N1359" s="17" t="str">
        <x:v>denominator, counterfactual, rights and stop receipt remain unchanged</x:v>
      </x:c>
      <x:c r="O1359" s="17" t="str">
        <x:v>Receiver authority</x:v>
      </x:c>
      <x:c r="P1359" s="9" t="n">
        <x:v>0</x:v>
      </x:c>
      <x:c r="Q1359" s="9" t="n">
        <x:v>0</x:v>
      </x:c>
      <x:c r="R1359" s="9" t="str">
        <x:v>OPEN / UNSTARTED</x:v>
      </x:c>
      <x:c r="S1359" s="9" t="n">
        <x:f>COUNTIFS($A$7:$A$1446,A1359)</x:f>
        <x:v>1</x:v>
      </x:c>
    </x:row>
    <x:row r="1360">
      <x:c r="A1360" s="9" t="str">
        <x:v>EV-AR-HU-A-B-TECH-4-B1-RCN-G0-ST04</x:v>
      </x:c>
      <x:c r="B1360" s="9" t="str">
        <x:v>EV-AR-HU-A-B-TECH-4-B1-RCN-G0</x:v>
      </x:c>
      <x:c r="C1360" s="9" t="str">
        <x:v>EOW-AR-HU-A-B-TECH-4-B1-RCN-G0</x:v>
      </x:c>
      <x:c r="D1360" s="9" t="str">
        <x:v>AR-HU-A-B-TECH-4-B1-RCN-G0</x:v>
      </x:c>
      <x:c r="E1360" s="9" t="str">
        <x:v>HU-A-B-TECH-4</x:v>
      </x:c>
      <x:c r="F1360" s="9" t="str">
        <x:v>HU-A-B</x:v>
      </x:c>
      <x:c r="G1360" s="9" t="str">
        <x:v>B1</x:v>
      </x:c>
      <x:c r="H1360" s="9" t="str">
        <x:v>RCN</x:v>
      </x:c>
      <x:c r="I1360" s="9" t="n">
        <x:v>6</x:v>
      </x:c>
      <x:c r="J1360" s="9" t="n">
        <x:v>3</x:v>
      </x:c>
      <x:c r="K1360" s="9" t="str">
        <x:v>HU-A-B-N2</x:v>
      </x:c>
      <x:c r="L1360" s="9" t="str">
        <x:v>ST04</x:v>
      </x:c>
      <x:c r="M1360" s="17" t="str">
        <x:v>Primary capture armed</x:v>
      </x:c>
      <x:c r="N1360" s="17" t="str">
        <x:v>primary chain records sealed reference and live time</x:v>
      </x:c>
      <x:c r="O1360" s="17" t="str">
        <x:v>Primary metrology</x:v>
      </x:c>
      <x:c r="P1360" s="9" t="n">
        <x:v>0</x:v>
      </x:c>
      <x:c r="Q1360" s="9" t="n">
        <x:v>0</x:v>
      </x:c>
      <x:c r="R1360" s="9" t="str">
        <x:v>OPEN / UNSTARTED</x:v>
      </x:c>
      <x:c r="S1360" s="9" t="n">
        <x:f>COUNTIFS($A$7:$A$1446,A1360)</x:f>
        <x:v>1</x:v>
      </x:c>
    </x:row>
    <x:row r="1361">
      <x:c r="A1361" s="9" t="str">
        <x:v>EV-AR-HU-A-B-TECH-4-B1-RCN-G0-ST05</x:v>
      </x:c>
      <x:c r="B1361" s="9" t="str">
        <x:v>EV-AR-HU-A-B-TECH-4-B1-RCN-G0</x:v>
      </x:c>
      <x:c r="C1361" s="9" t="str">
        <x:v>EOW-AR-HU-A-B-TECH-4-B1-RCN-G0</x:v>
      </x:c>
      <x:c r="D1361" s="9" t="str">
        <x:v>AR-HU-A-B-TECH-4-B1-RCN-G0</x:v>
      </x:c>
      <x:c r="E1361" s="9" t="str">
        <x:v>HU-A-B-TECH-4</x:v>
      </x:c>
      <x:c r="F1361" s="9" t="str">
        <x:v>HU-A-B</x:v>
      </x:c>
      <x:c r="G1361" s="9" t="str">
        <x:v>B1</x:v>
      </x:c>
      <x:c r="H1361" s="9" t="str">
        <x:v>RCN</x:v>
      </x:c>
      <x:c r="I1361" s="9" t="n">
        <x:v>6</x:v>
      </x:c>
      <x:c r="J1361" s="9" t="n">
        <x:v>3</x:v>
      </x:c>
      <x:c r="K1361" s="9" t="str">
        <x:v>HU-A-B-N2</x:v>
      </x:c>
      <x:c r="L1361" s="9" t="str">
        <x:v>ST05</x:v>
      </x:c>
      <x:c r="M1361" s="17" t="str">
        <x:v>Witness capture armed</x:v>
      </x:c>
      <x:c r="N1361" s="17" t="str">
        <x:v>unlike witness records independent reference and live time</x:v>
      </x:c>
      <x:c r="O1361" s="17" t="str">
        <x:v>Witness metrology</x:v>
      </x:c>
      <x:c r="P1361" s="9" t="n">
        <x:v>0</x:v>
      </x:c>
      <x:c r="Q1361" s="9" t="n">
        <x:v>0</x:v>
      </x:c>
      <x:c r="R1361" s="9" t="str">
        <x:v>OPEN / UNSTARTED</x:v>
      </x:c>
      <x:c r="S1361" s="9" t="n">
        <x:f>COUNTIFS($A$7:$A$1446,A1361)</x:f>
        <x:v>1</x:v>
      </x:c>
    </x:row>
    <x:row r="1362">
      <x:c r="A1362" s="9" t="str">
        <x:v>EV-AR-HU-A-B-TECH-4-B1-RCN-G0-ST06</x:v>
      </x:c>
      <x:c r="B1362" s="9" t="str">
        <x:v>EV-AR-HU-A-B-TECH-4-B1-RCN-G0</x:v>
      </x:c>
      <x:c r="C1362" s="9" t="str">
        <x:v>EOW-AR-HU-A-B-TECH-4-B1-RCN-G0</x:v>
      </x:c>
      <x:c r="D1362" s="9" t="str">
        <x:v>AR-HU-A-B-TECH-4-B1-RCN-G0</x:v>
      </x:c>
      <x:c r="E1362" s="9" t="str">
        <x:v>HU-A-B-TECH-4</x:v>
      </x:c>
      <x:c r="F1362" s="9" t="str">
        <x:v>HU-A-B</x:v>
      </x:c>
      <x:c r="G1362" s="9" t="str">
        <x:v>B1</x:v>
      </x:c>
      <x:c r="H1362" s="9" t="str">
        <x:v>RCN</x:v>
      </x:c>
      <x:c r="I1362" s="9" t="n">
        <x:v>6</x:v>
      </x:c>
      <x:c r="J1362" s="9" t="n">
        <x:v>3</x:v>
      </x:c>
      <x:c r="K1362" s="9" t="str">
        <x:v>HU-A-B-N2</x:v>
      </x:c>
      <x:c r="L1362" s="9" t="str">
        <x:v>ST06</x:v>
      </x:c>
      <x:c r="M1362" s="17" t="str">
        <x:v>Public custody armed</x:v>
      </x:c>
      <x:c r="N1362" s="17" t="str">
        <x:v>eight raw origins have separated hash and replica routes</x:v>
      </x:c>
      <x:c r="O1362" s="17" t="str">
        <x:v>Custody authority</x:v>
      </x:c>
      <x:c r="P1362" s="9" t="n">
        <x:v>0</x:v>
      </x:c>
      <x:c r="Q1362" s="9" t="n">
        <x:v>0</x:v>
      </x:c>
      <x:c r="R1362" s="9" t="str">
        <x:v>OPEN / UNSTARTED</x:v>
      </x:c>
      <x:c r="S1362" s="9" t="n">
        <x:f>COUNTIFS($A$7:$A$1446,A1362)</x:f>
        <x:v>1</x:v>
      </x:c>
    </x:row>
    <x:row r="1363">
      <x:c r="A1363" s="9" t="str">
        <x:v>EV-AR-HU-A-B-TECH-4-B1-RCN-G0-ST07</x:v>
      </x:c>
      <x:c r="B1363" s="9" t="str">
        <x:v>EV-AR-HU-A-B-TECH-4-B1-RCN-G0</x:v>
      </x:c>
      <x:c r="C1363" s="9" t="str">
        <x:v>EOW-AR-HU-A-B-TECH-4-B1-RCN-G0</x:v>
      </x:c>
      <x:c r="D1363" s="9" t="str">
        <x:v>AR-HU-A-B-TECH-4-B1-RCN-G0</x:v>
      </x:c>
      <x:c r="E1363" s="9" t="str">
        <x:v>HU-A-B-TECH-4</x:v>
      </x:c>
      <x:c r="F1363" s="9" t="str">
        <x:v>HU-A-B</x:v>
      </x:c>
      <x:c r="G1363" s="9" t="str">
        <x:v>B1</x:v>
      </x:c>
      <x:c r="H1363" s="9" t="str">
        <x:v>RCN</x:v>
      </x:c>
      <x:c r="I1363" s="9" t="n">
        <x:v>6</x:v>
      </x:c>
      <x:c r="J1363" s="9" t="n">
        <x:v>3</x:v>
      </x:c>
      <x:c r="K1363" s="9" t="str">
        <x:v>HU-A-B-N2</x:v>
      </x:c>
      <x:c r="L1363" s="9" t="str">
        <x:v>ST07</x:v>
      </x:c>
      <x:c r="M1363" s="17" t="str">
        <x:v>Environmental baseline</x:v>
      </x:c>
      <x:c r="N1363" s="17" t="str">
        <x:v>pre-event boundary state is sealed before decisive operation</x:v>
      </x:c>
      <x:c r="O1363" s="17" t="str">
        <x:v>Site metrology</x:v>
      </x:c>
      <x:c r="P1363" s="9" t="n">
        <x:v>0</x:v>
      </x:c>
      <x:c r="Q1363" s="9" t="n">
        <x:v>0</x:v>
      </x:c>
      <x:c r="R1363" s="9" t="str">
        <x:v>OPEN / UNSTARTED</x:v>
      </x:c>
      <x:c r="S1363" s="9" t="n">
        <x:f>COUNTIFS($A$7:$A$1446,A1363)</x:f>
        <x:v>1</x:v>
      </x:c>
    </x:row>
    <x:row r="1364">
      <x:c r="A1364" s="9" t="str">
        <x:v>EV-AR-HU-A-B-TECH-4-B1-RCN-G0-ST08</x:v>
      </x:c>
      <x:c r="B1364" s="9" t="str">
        <x:v>EV-AR-HU-A-B-TECH-4-B1-RCN-G0</x:v>
      </x:c>
      <x:c r="C1364" s="9" t="str">
        <x:v>EOW-AR-HU-A-B-TECH-4-B1-RCN-G0</x:v>
      </x:c>
      <x:c r="D1364" s="9" t="str">
        <x:v>AR-HU-A-B-TECH-4-B1-RCN-G0</x:v>
      </x:c>
      <x:c r="E1364" s="9" t="str">
        <x:v>HU-A-B-TECH-4</x:v>
      </x:c>
      <x:c r="F1364" s="9" t="str">
        <x:v>HU-A-B</x:v>
      </x:c>
      <x:c r="G1364" s="9" t="str">
        <x:v>B1</x:v>
      </x:c>
      <x:c r="H1364" s="9" t="str">
        <x:v>RCN</x:v>
      </x:c>
      <x:c r="I1364" s="9" t="n">
        <x:v>6</x:v>
      </x:c>
      <x:c r="J1364" s="9" t="n">
        <x:v>3</x:v>
      </x:c>
      <x:c r="K1364" s="9" t="str">
        <x:v>HU-A-B-N2</x:v>
      </x:c>
      <x:c r="L1364" s="9" t="str">
        <x:v>ST08</x:v>
      </x:c>
      <x:c r="M1364" s="17" t="str">
        <x:v>Manual stop and safety</x:v>
      </x:c>
      <x:c r="N1364" s="17" t="str">
        <x:v>local stop, evacuation and protection routes are active</x:v>
      </x:c>
      <x:c r="O1364" s="17" t="str">
        <x:v>Safety authority</x:v>
      </x:c>
      <x:c r="P1364" s="9" t="n">
        <x:v>0</x:v>
      </x:c>
      <x:c r="Q1364" s="9" t="n">
        <x:v>0</x:v>
      </x:c>
      <x:c r="R1364" s="9" t="str">
        <x:v>OPEN / UNSTARTED</x:v>
      </x:c>
      <x:c r="S1364" s="9" t="n">
        <x:f>COUNTIFS($A$7:$A$1446,A1364)</x:f>
        <x:v>1</x:v>
      </x:c>
    </x:row>
    <x:row r="1365">
      <x:c r="A1365" s="9" t="str">
        <x:v>EV-AR-HU-A-B-TECH-4-B1-RCN-G0-ST09</x:v>
      </x:c>
      <x:c r="B1365" s="9" t="str">
        <x:v>EV-AR-HU-A-B-TECH-4-B1-RCN-G0</x:v>
      </x:c>
      <x:c r="C1365" s="9" t="str">
        <x:v>EOW-AR-HU-A-B-TECH-4-B1-RCN-G0</x:v>
      </x:c>
      <x:c r="D1365" s="9" t="str">
        <x:v>AR-HU-A-B-TECH-4-B1-RCN-G0</x:v>
      </x:c>
      <x:c r="E1365" s="9" t="str">
        <x:v>HU-A-B-TECH-4</x:v>
      </x:c>
      <x:c r="F1365" s="9" t="str">
        <x:v>HU-A-B</x:v>
      </x:c>
      <x:c r="G1365" s="9" t="str">
        <x:v>B1</x:v>
      </x:c>
      <x:c r="H1365" s="9" t="str">
        <x:v>RCN</x:v>
      </x:c>
      <x:c r="I1365" s="9" t="n">
        <x:v>6</x:v>
      </x:c>
      <x:c r="J1365" s="9" t="n">
        <x:v>3</x:v>
      </x:c>
      <x:c r="K1365" s="9" t="str">
        <x:v>HU-A-B-N2</x:v>
      </x:c>
      <x:c r="L1365" s="9" t="str">
        <x:v>ST09</x:v>
      </x:c>
      <x:c r="M1365" s="17" t="str">
        <x:v>Operator conflict clear</x:v>
      </x:c>
      <x:c r="N1365" s="17" t="str">
        <x:v>candidate, fixture, safety and measurement control edges remain separated</x:v>
      </x:c>
      <x:c r="O1365" s="17" t="str">
        <x:v>Conflict registrar</x:v>
      </x:c>
      <x:c r="P1365" s="9" t="n">
        <x:v>0</x:v>
      </x:c>
      <x:c r="Q1365" s="9" t="n">
        <x:v>0</x:v>
      </x:c>
      <x:c r="R1365" s="9" t="str">
        <x:v>OPEN / UNSTARTED</x:v>
      </x:c>
      <x:c r="S1365" s="9" t="n">
        <x:f>COUNTIFS($A$7:$A$1446,A1365)</x:f>
        <x:v>1</x:v>
      </x:c>
    </x:row>
    <x:row r="1366">
      <x:c r="A1366" s="9" t="str">
        <x:v>EV-AR-HU-A-B-TECH-4-B1-RCN-G0-ST10</x:v>
      </x:c>
      <x:c r="B1366" s="9" t="str">
        <x:v>EV-AR-HU-A-B-TECH-4-B1-RCN-G0</x:v>
      </x:c>
      <x:c r="C1366" s="9" t="str">
        <x:v>EOW-AR-HU-A-B-TECH-4-B1-RCN-G0</x:v>
      </x:c>
      <x:c r="D1366" s="9" t="str">
        <x:v>AR-HU-A-B-TECH-4-B1-RCN-G0</x:v>
      </x:c>
      <x:c r="E1366" s="9" t="str">
        <x:v>HU-A-B-TECH-4</x:v>
      </x:c>
      <x:c r="F1366" s="9" t="str">
        <x:v>HU-A-B</x:v>
      </x:c>
      <x:c r="G1366" s="9" t="str">
        <x:v>B1</x:v>
      </x:c>
      <x:c r="H1366" s="9" t="str">
        <x:v>RCN</x:v>
      </x:c>
      <x:c r="I1366" s="9" t="n">
        <x:v>6</x:v>
      </x:c>
      <x:c r="J1366" s="9" t="n">
        <x:v>3</x:v>
      </x:c>
      <x:c r="K1366" s="9" t="str">
        <x:v>HU-A-B-N2</x:v>
      </x:c>
      <x:c r="L1366" s="9" t="str">
        <x:v>ST10</x:v>
      </x:c>
      <x:c r="M1366" s="17" t="str">
        <x:v>Window and common clock</x:v>
      </x:c>
      <x:c r="N1366" s="17" t="str">
        <x:v>epoch, window and public time origin match the issued warrant</x:v>
      </x:c>
      <x:c r="O1366" s="17" t="str">
        <x:v>Event clock authority</x:v>
      </x:c>
      <x:c r="P1366" s="9" t="n">
        <x:v>0</x:v>
      </x:c>
      <x:c r="Q1366" s="9" t="n">
        <x:v>0</x:v>
      </x:c>
      <x:c r="R1366" s="9" t="str">
        <x:v>OPEN / UNSTARTED</x:v>
      </x:c>
      <x:c r="S1366" s="9" t="n">
        <x:f>COUNTIFS($A$7:$A$1446,A1366)</x:f>
        <x:v>1</x:v>
      </x:c>
    </x:row>
    <x:row r="1367">
      <x:c r="A1367" s="9" t="str">
        <x:v>EV-AR-RT-B-C-TECH-1-B1-INT-G0-ST01</x:v>
      </x:c>
      <x:c r="B1367" s="9" t="str">
        <x:v>EV-AR-RT-B-C-TECH-1-B1-INT-G0</x:v>
      </x:c>
      <x:c r="C1367" s="9" t="str">
        <x:v>EOW-AR-RT-B-C-TECH-1-B1-INT-G0</x:v>
      </x:c>
      <x:c r="D1367" s="9" t="str">
        <x:v>AR-RT-B-C-TECH-1-B1-INT-G0</x:v>
      </x:c>
      <x:c r="E1367" s="9" t="str">
        <x:v>RT-B-C-TECH-1</x:v>
      </x:c>
      <x:c r="F1367" s="9" t="str">
        <x:v>RT-B-C</x:v>
      </x:c>
      <x:c r="G1367" s="9" t="str">
        <x:v>B1</x:v>
      </x:c>
      <x:c r="H1367" s="9" t="str">
        <x:v>INT</x:v>
      </x:c>
      <x:c r="I1367" s="9" t="n">
        <x:v>6</x:v>
      </x:c>
      <x:c r="J1367" s="9" t="n">
        <x:v>3</x:v>
      </x:c>
      <x:c r="K1367" s="9" t="str">
        <x:v>RT-B-C-N1</x:v>
      </x:c>
      <x:c r="L1367" s="9" t="str">
        <x:v>ST01</x:v>
      </x:c>
      <x:c r="M1367" s="17" t="str">
        <x:v>Active opportunity warrant</x:v>
      </x:c>
      <x:c r="N1367" s="17" t="str">
        <x:v>configuration-bound EOW is within its thirty-six-hour validity</x:v>
      </x:c>
      <x:c r="O1367" s="17" t="str">
        <x:v>Start registrar</x:v>
      </x:c>
      <x:c r="P1367" s="9" t="n">
        <x:v>0</x:v>
      </x:c>
      <x:c r="Q1367" s="9" t="n">
        <x:v>0</x:v>
      </x:c>
      <x:c r="R1367" s="9" t="str">
        <x:v>OPEN / UNSTARTED</x:v>
      </x:c>
      <x:c r="S1367" s="9" t="n">
        <x:f>COUNTIFS($A$7:$A$1446,A1367)</x:f>
        <x:v>1</x:v>
      </x:c>
    </x:row>
    <x:row r="1368">
      <x:c r="A1368" s="9" t="str">
        <x:v>EV-AR-RT-B-C-TECH-1-B1-INT-G0-ST02</x:v>
      </x:c>
      <x:c r="B1368" s="9" t="str">
        <x:v>EV-AR-RT-B-C-TECH-1-B1-INT-G0</x:v>
      </x:c>
      <x:c r="C1368" s="9" t="str">
        <x:v>EOW-AR-RT-B-C-TECH-1-B1-INT-G0</x:v>
      </x:c>
      <x:c r="D1368" s="9" t="str">
        <x:v>AR-RT-B-C-TECH-1-B1-INT-G0</x:v>
      </x:c>
      <x:c r="E1368" s="9" t="str">
        <x:v>RT-B-C-TECH-1</x:v>
      </x:c>
      <x:c r="F1368" s="9" t="str">
        <x:v>RT-B-C</x:v>
      </x:c>
      <x:c r="G1368" s="9" t="str">
        <x:v>B1</x:v>
      </x:c>
      <x:c r="H1368" s="9" t="str">
        <x:v>INT</x:v>
      </x:c>
      <x:c r="I1368" s="9" t="n">
        <x:v>6</x:v>
      </x:c>
      <x:c r="J1368" s="9" t="n">
        <x:v>3</x:v>
      </x:c>
      <x:c r="K1368" s="9" t="str">
        <x:v>RT-B-C-N1</x:v>
      </x:c>
      <x:c r="L1368" s="9" t="str">
        <x:v>ST02</x:v>
      </x:c>
      <x:c r="M1368" s="17" t="str">
        <x:v>Frozen identity</x:v>
      </x:c>
      <x:c r="N1368" s="17" t="str">
        <x:v>serial, generation, fixture, site, receiver and digest match the warrant</x:v>
      </x:c>
      <x:c r="O1368" s="17" t="str">
        <x:v>Custody authority</x:v>
      </x:c>
      <x:c r="P1368" s="9" t="n">
        <x:v>0</x:v>
      </x:c>
      <x:c r="Q1368" s="9" t="n">
        <x:v>0</x:v>
      </x:c>
      <x:c r="R1368" s="9" t="str">
        <x:v>OPEN / UNSTARTED</x:v>
      </x:c>
      <x:c r="S1368" s="9" t="n">
        <x:f>COUNTIFS($A$7:$A$1446,A1368)</x:f>
        <x:v>1</x:v>
      </x:c>
    </x:row>
    <x:row r="1369">
      <x:c r="A1369" s="9" t="str">
        <x:v>EV-AR-RT-B-C-TECH-1-B1-INT-G0-ST03</x:v>
      </x:c>
      <x:c r="B1369" s="9" t="str">
        <x:v>EV-AR-RT-B-C-TECH-1-B1-INT-G0</x:v>
      </x:c>
      <x:c r="C1369" s="9" t="str">
        <x:v>EOW-AR-RT-B-C-TECH-1-B1-INT-G0</x:v>
      </x:c>
      <x:c r="D1369" s="9" t="str">
        <x:v>AR-RT-B-C-TECH-1-B1-INT-G0</x:v>
      </x:c>
      <x:c r="E1369" s="9" t="str">
        <x:v>RT-B-C-TECH-1</x:v>
      </x:c>
      <x:c r="F1369" s="9" t="str">
        <x:v>RT-B-C</x:v>
      </x:c>
      <x:c r="G1369" s="9" t="str">
        <x:v>B1</x:v>
      </x:c>
      <x:c r="H1369" s="9" t="str">
        <x:v>INT</x:v>
      </x:c>
      <x:c r="I1369" s="9" t="n">
        <x:v>6</x:v>
      </x:c>
      <x:c r="J1369" s="9" t="n">
        <x:v>3</x:v>
      </x:c>
      <x:c r="K1369" s="9" t="str">
        <x:v>RT-B-C-N1</x:v>
      </x:c>
      <x:c r="L1369" s="9" t="str">
        <x:v>ST03</x:v>
      </x:c>
      <x:c r="M1369" s="17" t="str">
        <x:v>Receiver receipt</x:v>
      </x:c>
      <x:c r="N1369" s="17" t="str">
        <x:v>denominator, counterfactual, rights and stop receipt remain unchanged</x:v>
      </x:c>
      <x:c r="O1369" s="17" t="str">
        <x:v>Receiver authority</x:v>
      </x:c>
      <x:c r="P1369" s="9" t="n">
        <x:v>0</x:v>
      </x:c>
      <x:c r="Q1369" s="9" t="n">
        <x:v>0</x:v>
      </x:c>
      <x:c r="R1369" s="9" t="str">
        <x:v>OPEN / UNSTARTED</x:v>
      </x:c>
      <x:c r="S1369" s="9" t="n">
        <x:f>COUNTIFS($A$7:$A$1446,A1369)</x:f>
        <x:v>1</x:v>
      </x:c>
    </x:row>
    <x:row r="1370">
      <x:c r="A1370" s="9" t="str">
        <x:v>EV-AR-RT-B-C-TECH-1-B1-INT-G0-ST04</x:v>
      </x:c>
      <x:c r="B1370" s="9" t="str">
        <x:v>EV-AR-RT-B-C-TECH-1-B1-INT-G0</x:v>
      </x:c>
      <x:c r="C1370" s="9" t="str">
        <x:v>EOW-AR-RT-B-C-TECH-1-B1-INT-G0</x:v>
      </x:c>
      <x:c r="D1370" s="9" t="str">
        <x:v>AR-RT-B-C-TECH-1-B1-INT-G0</x:v>
      </x:c>
      <x:c r="E1370" s="9" t="str">
        <x:v>RT-B-C-TECH-1</x:v>
      </x:c>
      <x:c r="F1370" s="9" t="str">
        <x:v>RT-B-C</x:v>
      </x:c>
      <x:c r="G1370" s="9" t="str">
        <x:v>B1</x:v>
      </x:c>
      <x:c r="H1370" s="9" t="str">
        <x:v>INT</x:v>
      </x:c>
      <x:c r="I1370" s="9" t="n">
        <x:v>6</x:v>
      </x:c>
      <x:c r="J1370" s="9" t="n">
        <x:v>3</x:v>
      </x:c>
      <x:c r="K1370" s="9" t="str">
        <x:v>RT-B-C-N1</x:v>
      </x:c>
      <x:c r="L1370" s="9" t="str">
        <x:v>ST04</x:v>
      </x:c>
      <x:c r="M1370" s="17" t="str">
        <x:v>Primary capture armed</x:v>
      </x:c>
      <x:c r="N1370" s="17" t="str">
        <x:v>primary chain records sealed reference and live time</x:v>
      </x:c>
      <x:c r="O1370" s="17" t="str">
        <x:v>Primary metrology</x:v>
      </x:c>
      <x:c r="P1370" s="9" t="n">
        <x:v>0</x:v>
      </x:c>
      <x:c r="Q1370" s="9" t="n">
        <x:v>0</x:v>
      </x:c>
      <x:c r="R1370" s="9" t="str">
        <x:v>OPEN / UNSTARTED</x:v>
      </x:c>
      <x:c r="S1370" s="9" t="n">
        <x:f>COUNTIFS($A$7:$A$1446,A1370)</x:f>
        <x:v>1</x:v>
      </x:c>
    </x:row>
    <x:row r="1371">
      <x:c r="A1371" s="9" t="str">
        <x:v>EV-AR-RT-B-C-TECH-1-B1-INT-G0-ST05</x:v>
      </x:c>
      <x:c r="B1371" s="9" t="str">
        <x:v>EV-AR-RT-B-C-TECH-1-B1-INT-G0</x:v>
      </x:c>
      <x:c r="C1371" s="9" t="str">
        <x:v>EOW-AR-RT-B-C-TECH-1-B1-INT-G0</x:v>
      </x:c>
      <x:c r="D1371" s="9" t="str">
        <x:v>AR-RT-B-C-TECH-1-B1-INT-G0</x:v>
      </x:c>
      <x:c r="E1371" s="9" t="str">
        <x:v>RT-B-C-TECH-1</x:v>
      </x:c>
      <x:c r="F1371" s="9" t="str">
        <x:v>RT-B-C</x:v>
      </x:c>
      <x:c r="G1371" s="9" t="str">
        <x:v>B1</x:v>
      </x:c>
      <x:c r="H1371" s="9" t="str">
        <x:v>INT</x:v>
      </x:c>
      <x:c r="I1371" s="9" t="n">
        <x:v>6</x:v>
      </x:c>
      <x:c r="J1371" s="9" t="n">
        <x:v>3</x:v>
      </x:c>
      <x:c r="K1371" s="9" t="str">
        <x:v>RT-B-C-N1</x:v>
      </x:c>
      <x:c r="L1371" s="9" t="str">
        <x:v>ST05</x:v>
      </x:c>
      <x:c r="M1371" s="17" t="str">
        <x:v>Witness capture armed</x:v>
      </x:c>
      <x:c r="N1371" s="17" t="str">
        <x:v>unlike witness records independent reference and live time</x:v>
      </x:c>
      <x:c r="O1371" s="17" t="str">
        <x:v>Witness metrology</x:v>
      </x:c>
      <x:c r="P1371" s="9" t="n">
        <x:v>0</x:v>
      </x:c>
      <x:c r="Q1371" s="9" t="n">
        <x:v>0</x:v>
      </x:c>
      <x:c r="R1371" s="9" t="str">
        <x:v>OPEN / UNSTARTED</x:v>
      </x:c>
      <x:c r="S1371" s="9" t="n">
        <x:f>COUNTIFS($A$7:$A$1446,A1371)</x:f>
        <x:v>1</x:v>
      </x:c>
    </x:row>
    <x:row r="1372">
      <x:c r="A1372" s="9" t="str">
        <x:v>EV-AR-RT-B-C-TECH-1-B1-INT-G0-ST06</x:v>
      </x:c>
      <x:c r="B1372" s="9" t="str">
        <x:v>EV-AR-RT-B-C-TECH-1-B1-INT-G0</x:v>
      </x:c>
      <x:c r="C1372" s="9" t="str">
        <x:v>EOW-AR-RT-B-C-TECH-1-B1-INT-G0</x:v>
      </x:c>
      <x:c r="D1372" s="9" t="str">
        <x:v>AR-RT-B-C-TECH-1-B1-INT-G0</x:v>
      </x:c>
      <x:c r="E1372" s="9" t="str">
        <x:v>RT-B-C-TECH-1</x:v>
      </x:c>
      <x:c r="F1372" s="9" t="str">
        <x:v>RT-B-C</x:v>
      </x:c>
      <x:c r="G1372" s="9" t="str">
        <x:v>B1</x:v>
      </x:c>
      <x:c r="H1372" s="9" t="str">
        <x:v>INT</x:v>
      </x:c>
      <x:c r="I1372" s="9" t="n">
        <x:v>6</x:v>
      </x:c>
      <x:c r="J1372" s="9" t="n">
        <x:v>3</x:v>
      </x:c>
      <x:c r="K1372" s="9" t="str">
        <x:v>RT-B-C-N1</x:v>
      </x:c>
      <x:c r="L1372" s="9" t="str">
        <x:v>ST06</x:v>
      </x:c>
      <x:c r="M1372" s="17" t="str">
        <x:v>Public custody armed</x:v>
      </x:c>
      <x:c r="N1372" s="17" t="str">
        <x:v>eight raw origins have separated hash and replica routes</x:v>
      </x:c>
      <x:c r="O1372" s="17" t="str">
        <x:v>Custody authority</x:v>
      </x:c>
      <x:c r="P1372" s="9" t="n">
        <x:v>0</x:v>
      </x:c>
      <x:c r="Q1372" s="9" t="n">
        <x:v>0</x:v>
      </x:c>
      <x:c r="R1372" s="9" t="str">
        <x:v>OPEN / UNSTARTED</x:v>
      </x:c>
      <x:c r="S1372" s="9" t="n">
        <x:f>COUNTIFS($A$7:$A$1446,A1372)</x:f>
        <x:v>1</x:v>
      </x:c>
    </x:row>
    <x:row r="1373">
      <x:c r="A1373" s="9" t="str">
        <x:v>EV-AR-RT-B-C-TECH-1-B1-INT-G0-ST07</x:v>
      </x:c>
      <x:c r="B1373" s="9" t="str">
        <x:v>EV-AR-RT-B-C-TECH-1-B1-INT-G0</x:v>
      </x:c>
      <x:c r="C1373" s="9" t="str">
        <x:v>EOW-AR-RT-B-C-TECH-1-B1-INT-G0</x:v>
      </x:c>
      <x:c r="D1373" s="9" t="str">
        <x:v>AR-RT-B-C-TECH-1-B1-INT-G0</x:v>
      </x:c>
      <x:c r="E1373" s="9" t="str">
        <x:v>RT-B-C-TECH-1</x:v>
      </x:c>
      <x:c r="F1373" s="9" t="str">
        <x:v>RT-B-C</x:v>
      </x:c>
      <x:c r="G1373" s="9" t="str">
        <x:v>B1</x:v>
      </x:c>
      <x:c r="H1373" s="9" t="str">
        <x:v>INT</x:v>
      </x:c>
      <x:c r="I1373" s="9" t="n">
        <x:v>6</x:v>
      </x:c>
      <x:c r="J1373" s="9" t="n">
        <x:v>3</x:v>
      </x:c>
      <x:c r="K1373" s="9" t="str">
        <x:v>RT-B-C-N1</x:v>
      </x:c>
      <x:c r="L1373" s="9" t="str">
        <x:v>ST07</x:v>
      </x:c>
      <x:c r="M1373" s="17" t="str">
        <x:v>Environmental baseline</x:v>
      </x:c>
      <x:c r="N1373" s="17" t="str">
        <x:v>pre-event boundary state is sealed before decisive operation</x:v>
      </x:c>
      <x:c r="O1373" s="17" t="str">
        <x:v>Site metrology</x:v>
      </x:c>
      <x:c r="P1373" s="9" t="n">
        <x:v>0</x:v>
      </x:c>
      <x:c r="Q1373" s="9" t="n">
        <x:v>0</x:v>
      </x:c>
      <x:c r="R1373" s="9" t="str">
        <x:v>OPEN / UNSTARTED</x:v>
      </x:c>
      <x:c r="S1373" s="9" t="n">
        <x:f>COUNTIFS($A$7:$A$1446,A1373)</x:f>
        <x:v>1</x:v>
      </x:c>
    </x:row>
    <x:row r="1374">
      <x:c r="A1374" s="9" t="str">
        <x:v>EV-AR-RT-B-C-TECH-1-B1-INT-G0-ST08</x:v>
      </x:c>
      <x:c r="B1374" s="9" t="str">
        <x:v>EV-AR-RT-B-C-TECH-1-B1-INT-G0</x:v>
      </x:c>
      <x:c r="C1374" s="9" t="str">
        <x:v>EOW-AR-RT-B-C-TECH-1-B1-INT-G0</x:v>
      </x:c>
      <x:c r="D1374" s="9" t="str">
        <x:v>AR-RT-B-C-TECH-1-B1-INT-G0</x:v>
      </x:c>
      <x:c r="E1374" s="9" t="str">
        <x:v>RT-B-C-TECH-1</x:v>
      </x:c>
      <x:c r="F1374" s="9" t="str">
        <x:v>RT-B-C</x:v>
      </x:c>
      <x:c r="G1374" s="9" t="str">
        <x:v>B1</x:v>
      </x:c>
      <x:c r="H1374" s="9" t="str">
        <x:v>INT</x:v>
      </x:c>
      <x:c r="I1374" s="9" t="n">
        <x:v>6</x:v>
      </x:c>
      <x:c r="J1374" s="9" t="n">
        <x:v>3</x:v>
      </x:c>
      <x:c r="K1374" s="9" t="str">
        <x:v>RT-B-C-N1</x:v>
      </x:c>
      <x:c r="L1374" s="9" t="str">
        <x:v>ST08</x:v>
      </x:c>
      <x:c r="M1374" s="17" t="str">
        <x:v>Manual stop and safety</x:v>
      </x:c>
      <x:c r="N1374" s="17" t="str">
        <x:v>local stop, evacuation and protection routes are active</x:v>
      </x:c>
      <x:c r="O1374" s="17" t="str">
        <x:v>Safety authority</x:v>
      </x:c>
      <x:c r="P1374" s="9" t="n">
        <x:v>0</x:v>
      </x:c>
      <x:c r="Q1374" s="9" t="n">
        <x:v>0</x:v>
      </x:c>
      <x:c r="R1374" s="9" t="str">
        <x:v>OPEN / UNSTARTED</x:v>
      </x:c>
      <x:c r="S1374" s="9" t="n">
        <x:f>COUNTIFS($A$7:$A$1446,A1374)</x:f>
        <x:v>1</x:v>
      </x:c>
    </x:row>
    <x:row r="1375">
      <x:c r="A1375" s="9" t="str">
        <x:v>EV-AR-RT-B-C-TECH-1-B1-INT-G0-ST09</x:v>
      </x:c>
      <x:c r="B1375" s="9" t="str">
        <x:v>EV-AR-RT-B-C-TECH-1-B1-INT-G0</x:v>
      </x:c>
      <x:c r="C1375" s="9" t="str">
        <x:v>EOW-AR-RT-B-C-TECH-1-B1-INT-G0</x:v>
      </x:c>
      <x:c r="D1375" s="9" t="str">
        <x:v>AR-RT-B-C-TECH-1-B1-INT-G0</x:v>
      </x:c>
      <x:c r="E1375" s="9" t="str">
        <x:v>RT-B-C-TECH-1</x:v>
      </x:c>
      <x:c r="F1375" s="9" t="str">
        <x:v>RT-B-C</x:v>
      </x:c>
      <x:c r="G1375" s="9" t="str">
        <x:v>B1</x:v>
      </x:c>
      <x:c r="H1375" s="9" t="str">
        <x:v>INT</x:v>
      </x:c>
      <x:c r="I1375" s="9" t="n">
        <x:v>6</x:v>
      </x:c>
      <x:c r="J1375" s="9" t="n">
        <x:v>3</x:v>
      </x:c>
      <x:c r="K1375" s="9" t="str">
        <x:v>RT-B-C-N1</x:v>
      </x:c>
      <x:c r="L1375" s="9" t="str">
        <x:v>ST09</x:v>
      </x:c>
      <x:c r="M1375" s="17" t="str">
        <x:v>Operator conflict clear</x:v>
      </x:c>
      <x:c r="N1375" s="17" t="str">
        <x:v>candidate, fixture, safety and measurement control edges remain separated</x:v>
      </x:c>
      <x:c r="O1375" s="17" t="str">
        <x:v>Conflict registrar</x:v>
      </x:c>
      <x:c r="P1375" s="9" t="n">
        <x:v>0</x:v>
      </x:c>
      <x:c r="Q1375" s="9" t="n">
        <x:v>0</x:v>
      </x:c>
      <x:c r="R1375" s="9" t="str">
        <x:v>OPEN / UNSTARTED</x:v>
      </x:c>
      <x:c r="S1375" s="9" t="n">
        <x:f>COUNTIFS($A$7:$A$1446,A1375)</x:f>
        <x:v>1</x:v>
      </x:c>
    </x:row>
    <x:row r="1376">
      <x:c r="A1376" s="9" t="str">
        <x:v>EV-AR-RT-B-C-TECH-1-B1-INT-G0-ST10</x:v>
      </x:c>
      <x:c r="B1376" s="9" t="str">
        <x:v>EV-AR-RT-B-C-TECH-1-B1-INT-G0</x:v>
      </x:c>
      <x:c r="C1376" s="9" t="str">
        <x:v>EOW-AR-RT-B-C-TECH-1-B1-INT-G0</x:v>
      </x:c>
      <x:c r="D1376" s="9" t="str">
        <x:v>AR-RT-B-C-TECH-1-B1-INT-G0</x:v>
      </x:c>
      <x:c r="E1376" s="9" t="str">
        <x:v>RT-B-C-TECH-1</x:v>
      </x:c>
      <x:c r="F1376" s="9" t="str">
        <x:v>RT-B-C</x:v>
      </x:c>
      <x:c r="G1376" s="9" t="str">
        <x:v>B1</x:v>
      </x:c>
      <x:c r="H1376" s="9" t="str">
        <x:v>INT</x:v>
      </x:c>
      <x:c r="I1376" s="9" t="n">
        <x:v>6</x:v>
      </x:c>
      <x:c r="J1376" s="9" t="n">
        <x:v>3</x:v>
      </x:c>
      <x:c r="K1376" s="9" t="str">
        <x:v>RT-B-C-N1</x:v>
      </x:c>
      <x:c r="L1376" s="9" t="str">
        <x:v>ST10</x:v>
      </x:c>
      <x:c r="M1376" s="17" t="str">
        <x:v>Window and common clock</x:v>
      </x:c>
      <x:c r="N1376" s="17" t="str">
        <x:v>epoch, window and public time origin match the issued warrant</x:v>
      </x:c>
      <x:c r="O1376" s="17" t="str">
        <x:v>Event clock authority</x:v>
      </x:c>
      <x:c r="P1376" s="9" t="n">
        <x:v>0</x:v>
      </x:c>
      <x:c r="Q1376" s="9" t="n">
        <x:v>0</x:v>
      </x:c>
      <x:c r="R1376" s="9" t="str">
        <x:v>OPEN / UNSTARTED</x:v>
      </x:c>
      <x:c r="S1376" s="9" t="n">
        <x:f>COUNTIFS($A$7:$A$1446,A1376)</x:f>
        <x:v>1</x:v>
      </x:c>
    </x:row>
    <x:row r="1377">
      <x:c r="A1377" s="9" t="str">
        <x:v>EV-AR-RT-B-C-TECH-4-B2-BRK-G0-ST01</x:v>
      </x:c>
      <x:c r="B1377" s="9" t="str">
        <x:v>EV-AR-RT-B-C-TECH-4-B2-BRK-G0</x:v>
      </x:c>
      <x:c r="C1377" s="9" t="str">
        <x:v>EOW-AR-RT-B-C-TECH-4-B2-BRK-G0</x:v>
      </x:c>
      <x:c r="D1377" s="9" t="str">
        <x:v>AR-RT-B-C-TECH-4-B2-BRK-G0</x:v>
      </x:c>
      <x:c r="E1377" s="9" t="str">
        <x:v>RT-B-C-TECH-4</x:v>
      </x:c>
      <x:c r="F1377" s="9" t="str">
        <x:v>RT-B-C</x:v>
      </x:c>
      <x:c r="G1377" s="9" t="str">
        <x:v>B2</x:v>
      </x:c>
      <x:c r="H1377" s="9" t="str">
        <x:v>BRK</x:v>
      </x:c>
      <x:c r="I1377" s="9" t="n">
        <x:v>6</x:v>
      </x:c>
      <x:c r="J1377" s="9" t="n">
        <x:v>3</x:v>
      </x:c>
      <x:c r="K1377" s="9" t="str">
        <x:v>RT-B-C-N2</x:v>
      </x:c>
      <x:c r="L1377" s="9" t="str">
        <x:v>ST01</x:v>
      </x:c>
      <x:c r="M1377" s="17" t="str">
        <x:v>Active opportunity warrant</x:v>
      </x:c>
      <x:c r="N1377" s="17" t="str">
        <x:v>configuration-bound EOW is within its thirty-six-hour validity</x:v>
      </x:c>
      <x:c r="O1377" s="17" t="str">
        <x:v>Start registrar</x:v>
      </x:c>
      <x:c r="P1377" s="9" t="n">
        <x:v>0</x:v>
      </x:c>
      <x:c r="Q1377" s="9" t="n">
        <x:v>0</x:v>
      </x:c>
      <x:c r="R1377" s="9" t="str">
        <x:v>OPEN / UNSTARTED</x:v>
      </x:c>
      <x:c r="S1377" s="9" t="n">
        <x:f>COUNTIFS($A$7:$A$1446,A1377)</x:f>
        <x:v>1</x:v>
      </x:c>
    </x:row>
    <x:row r="1378">
      <x:c r="A1378" s="9" t="str">
        <x:v>EV-AR-RT-B-C-TECH-4-B2-BRK-G0-ST02</x:v>
      </x:c>
      <x:c r="B1378" s="9" t="str">
        <x:v>EV-AR-RT-B-C-TECH-4-B2-BRK-G0</x:v>
      </x:c>
      <x:c r="C1378" s="9" t="str">
        <x:v>EOW-AR-RT-B-C-TECH-4-B2-BRK-G0</x:v>
      </x:c>
      <x:c r="D1378" s="9" t="str">
        <x:v>AR-RT-B-C-TECH-4-B2-BRK-G0</x:v>
      </x:c>
      <x:c r="E1378" s="9" t="str">
        <x:v>RT-B-C-TECH-4</x:v>
      </x:c>
      <x:c r="F1378" s="9" t="str">
        <x:v>RT-B-C</x:v>
      </x:c>
      <x:c r="G1378" s="9" t="str">
        <x:v>B2</x:v>
      </x:c>
      <x:c r="H1378" s="9" t="str">
        <x:v>BRK</x:v>
      </x:c>
      <x:c r="I1378" s="9" t="n">
        <x:v>6</x:v>
      </x:c>
      <x:c r="J1378" s="9" t="n">
        <x:v>3</x:v>
      </x:c>
      <x:c r="K1378" s="9" t="str">
        <x:v>RT-B-C-N2</x:v>
      </x:c>
      <x:c r="L1378" s="9" t="str">
        <x:v>ST02</x:v>
      </x:c>
      <x:c r="M1378" s="17" t="str">
        <x:v>Frozen identity</x:v>
      </x:c>
      <x:c r="N1378" s="17" t="str">
        <x:v>serial, generation, fixture, site, receiver and digest match the warrant</x:v>
      </x:c>
      <x:c r="O1378" s="17" t="str">
        <x:v>Custody authority</x:v>
      </x:c>
      <x:c r="P1378" s="9" t="n">
        <x:v>0</x:v>
      </x:c>
      <x:c r="Q1378" s="9" t="n">
        <x:v>0</x:v>
      </x:c>
      <x:c r="R1378" s="9" t="str">
        <x:v>OPEN / UNSTARTED</x:v>
      </x:c>
      <x:c r="S1378" s="9" t="n">
        <x:f>COUNTIFS($A$7:$A$1446,A1378)</x:f>
        <x:v>1</x:v>
      </x:c>
    </x:row>
    <x:row r="1379">
      <x:c r="A1379" s="9" t="str">
        <x:v>EV-AR-RT-B-C-TECH-4-B2-BRK-G0-ST03</x:v>
      </x:c>
      <x:c r="B1379" s="9" t="str">
        <x:v>EV-AR-RT-B-C-TECH-4-B2-BRK-G0</x:v>
      </x:c>
      <x:c r="C1379" s="9" t="str">
        <x:v>EOW-AR-RT-B-C-TECH-4-B2-BRK-G0</x:v>
      </x:c>
      <x:c r="D1379" s="9" t="str">
        <x:v>AR-RT-B-C-TECH-4-B2-BRK-G0</x:v>
      </x:c>
      <x:c r="E1379" s="9" t="str">
        <x:v>RT-B-C-TECH-4</x:v>
      </x:c>
      <x:c r="F1379" s="9" t="str">
        <x:v>RT-B-C</x:v>
      </x:c>
      <x:c r="G1379" s="9" t="str">
        <x:v>B2</x:v>
      </x:c>
      <x:c r="H1379" s="9" t="str">
        <x:v>BRK</x:v>
      </x:c>
      <x:c r="I1379" s="9" t="n">
        <x:v>6</x:v>
      </x:c>
      <x:c r="J1379" s="9" t="n">
        <x:v>3</x:v>
      </x:c>
      <x:c r="K1379" s="9" t="str">
        <x:v>RT-B-C-N2</x:v>
      </x:c>
      <x:c r="L1379" s="9" t="str">
        <x:v>ST03</x:v>
      </x:c>
      <x:c r="M1379" s="17" t="str">
        <x:v>Receiver receipt</x:v>
      </x:c>
      <x:c r="N1379" s="17" t="str">
        <x:v>denominator, counterfactual, rights and stop receipt remain unchanged</x:v>
      </x:c>
      <x:c r="O1379" s="17" t="str">
        <x:v>Receiver authority</x:v>
      </x:c>
      <x:c r="P1379" s="9" t="n">
        <x:v>0</x:v>
      </x:c>
      <x:c r="Q1379" s="9" t="n">
        <x:v>0</x:v>
      </x:c>
      <x:c r="R1379" s="9" t="str">
        <x:v>OPEN / UNSTARTED</x:v>
      </x:c>
      <x:c r="S1379" s="9" t="n">
        <x:f>COUNTIFS($A$7:$A$1446,A1379)</x:f>
        <x:v>1</x:v>
      </x:c>
    </x:row>
    <x:row r="1380">
      <x:c r="A1380" s="9" t="str">
        <x:v>EV-AR-RT-B-C-TECH-4-B2-BRK-G0-ST04</x:v>
      </x:c>
      <x:c r="B1380" s="9" t="str">
        <x:v>EV-AR-RT-B-C-TECH-4-B2-BRK-G0</x:v>
      </x:c>
      <x:c r="C1380" s="9" t="str">
        <x:v>EOW-AR-RT-B-C-TECH-4-B2-BRK-G0</x:v>
      </x:c>
      <x:c r="D1380" s="9" t="str">
        <x:v>AR-RT-B-C-TECH-4-B2-BRK-G0</x:v>
      </x:c>
      <x:c r="E1380" s="9" t="str">
        <x:v>RT-B-C-TECH-4</x:v>
      </x:c>
      <x:c r="F1380" s="9" t="str">
        <x:v>RT-B-C</x:v>
      </x:c>
      <x:c r="G1380" s="9" t="str">
        <x:v>B2</x:v>
      </x:c>
      <x:c r="H1380" s="9" t="str">
        <x:v>BRK</x:v>
      </x:c>
      <x:c r="I1380" s="9" t="n">
        <x:v>6</x:v>
      </x:c>
      <x:c r="J1380" s="9" t="n">
        <x:v>3</x:v>
      </x:c>
      <x:c r="K1380" s="9" t="str">
        <x:v>RT-B-C-N2</x:v>
      </x:c>
      <x:c r="L1380" s="9" t="str">
        <x:v>ST04</x:v>
      </x:c>
      <x:c r="M1380" s="17" t="str">
        <x:v>Primary capture armed</x:v>
      </x:c>
      <x:c r="N1380" s="17" t="str">
        <x:v>primary chain records sealed reference and live time</x:v>
      </x:c>
      <x:c r="O1380" s="17" t="str">
        <x:v>Primary metrology</x:v>
      </x:c>
      <x:c r="P1380" s="9" t="n">
        <x:v>0</x:v>
      </x:c>
      <x:c r="Q1380" s="9" t="n">
        <x:v>0</x:v>
      </x:c>
      <x:c r="R1380" s="9" t="str">
        <x:v>OPEN / UNSTARTED</x:v>
      </x:c>
      <x:c r="S1380" s="9" t="n">
        <x:f>COUNTIFS($A$7:$A$1446,A1380)</x:f>
        <x:v>1</x:v>
      </x:c>
    </x:row>
    <x:row r="1381">
      <x:c r="A1381" s="9" t="str">
        <x:v>EV-AR-RT-B-C-TECH-4-B2-BRK-G0-ST05</x:v>
      </x:c>
      <x:c r="B1381" s="9" t="str">
        <x:v>EV-AR-RT-B-C-TECH-4-B2-BRK-G0</x:v>
      </x:c>
      <x:c r="C1381" s="9" t="str">
        <x:v>EOW-AR-RT-B-C-TECH-4-B2-BRK-G0</x:v>
      </x:c>
      <x:c r="D1381" s="9" t="str">
        <x:v>AR-RT-B-C-TECH-4-B2-BRK-G0</x:v>
      </x:c>
      <x:c r="E1381" s="9" t="str">
        <x:v>RT-B-C-TECH-4</x:v>
      </x:c>
      <x:c r="F1381" s="9" t="str">
        <x:v>RT-B-C</x:v>
      </x:c>
      <x:c r="G1381" s="9" t="str">
        <x:v>B2</x:v>
      </x:c>
      <x:c r="H1381" s="9" t="str">
        <x:v>BRK</x:v>
      </x:c>
      <x:c r="I1381" s="9" t="n">
        <x:v>6</x:v>
      </x:c>
      <x:c r="J1381" s="9" t="n">
        <x:v>3</x:v>
      </x:c>
      <x:c r="K1381" s="9" t="str">
        <x:v>RT-B-C-N2</x:v>
      </x:c>
      <x:c r="L1381" s="9" t="str">
        <x:v>ST05</x:v>
      </x:c>
      <x:c r="M1381" s="17" t="str">
        <x:v>Witness capture armed</x:v>
      </x:c>
      <x:c r="N1381" s="17" t="str">
        <x:v>unlike witness records independent reference and live time</x:v>
      </x:c>
      <x:c r="O1381" s="17" t="str">
        <x:v>Witness metrology</x:v>
      </x:c>
      <x:c r="P1381" s="9" t="n">
        <x:v>0</x:v>
      </x:c>
      <x:c r="Q1381" s="9" t="n">
        <x:v>0</x:v>
      </x:c>
      <x:c r="R1381" s="9" t="str">
        <x:v>OPEN / UNSTARTED</x:v>
      </x:c>
      <x:c r="S1381" s="9" t="n">
        <x:f>COUNTIFS($A$7:$A$1446,A1381)</x:f>
        <x:v>1</x:v>
      </x:c>
    </x:row>
    <x:row r="1382">
      <x:c r="A1382" s="9" t="str">
        <x:v>EV-AR-RT-B-C-TECH-4-B2-BRK-G0-ST06</x:v>
      </x:c>
      <x:c r="B1382" s="9" t="str">
        <x:v>EV-AR-RT-B-C-TECH-4-B2-BRK-G0</x:v>
      </x:c>
      <x:c r="C1382" s="9" t="str">
        <x:v>EOW-AR-RT-B-C-TECH-4-B2-BRK-G0</x:v>
      </x:c>
      <x:c r="D1382" s="9" t="str">
        <x:v>AR-RT-B-C-TECH-4-B2-BRK-G0</x:v>
      </x:c>
      <x:c r="E1382" s="9" t="str">
        <x:v>RT-B-C-TECH-4</x:v>
      </x:c>
      <x:c r="F1382" s="9" t="str">
        <x:v>RT-B-C</x:v>
      </x:c>
      <x:c r="G1382" s="9" t="str">
        <x:v>B2</x:v>
      </x:c>
      <x:c r="H1382" s="9" t="str">
        <x:v>BRK</x:v>
      </x:c>
      <x:c r="I1382" s="9" t="n">
        <x:v>6</x:v>
      </x:c>
      <x:c r="J1382" s="9" t="n">
        <x:v>3</x:v>
      </x:c>
      <x:c r="K1382" s="9" t="str">
        <x:v>RT-B-C-N2</x:v>
      </x:c>
      <x:c r="L1382" s="9" t="str">
        <x:v>ST06</x:v>
      </x:c>
      <x:c r="M1382" s="17" t="str">
        <x:v>Public custody armed</x:v>
      </x:c>
      <x:c r="N1382" s="17" t="str">
        <x:v>eight raw origins have separated hash and replica routes</x:v>
      </x:c>
      <x:c r="O1382" s="17" t="str">
        <x:v>Custody authority</x:v>
      </x:c>
      <x:c r="P1382" s="9" t="n">
        <x:v>0</x:v>
      </x:c>
      <x:c r="Q1382" s="9" t="n">
        <x:v>0</x:v>
      </x:c>
      <x:c r="R1382" s="9" t="str">
        <x:v>OPEN / UNSTARTED</x:v>
      </x:c>
      <x:c r="S1382" s="9" t="n">
        <x:f>COUNTIFS($A$7:$A$1446,A1382)</x:f>
        <x:v>1</x:v>
      </x:c>
    </x:row>
    <x:row r="1383">
      <x:c r="A1383" s="9" t="str">
        <x:v>EV-AR-RT-B-C-TECH-4-B2-BRK-G0-ST07</x:v>
      </x:c>
      <x:c r="B1383" s="9" t="str">
        <x:v>EV-AR-RT-B-C-TECH-4-B2-BRK-G0</x:v>
      </x:c>
      <x:c r="C1383" s="9" t="str">
        <x:v>EOW-AR-RT-B-C-TECH-4-B2-BRK-G0</x:v>
      </x:c>
      <x:c r="D1383" s="9" t="str">
        <x:v>AR-RT-B-C-TECH-4-B2-BRK-G0</x:v>
      </x:c>
      <x:c r="E1383" s="9" t="str">
        <x:v>RT-B-C-TECH-4</x:v>
      </x:c>
      <x:c r="F1383" s="9" t="str">
        <x:v>RT-B-C</x:v>
      </x:c>
      <x:c r="G1383" s="9" t="str">
        <x:v>B2</x:v>
      </x:c>
      <x:c r="H1383" s="9" t="str">
        <x:v>BRK</x:v>
      </x:c>
      <x:c r="I1383" s="9" t="n">
        <x:v>6</x:v>
      </x:c>
      <x:c r="J1383" s="9" t="n">
        <x:v>3</x:v>
      </x:c>
      <x:c r="K1383" s="9" t="str">
        <x:v>RT-B-C-N2</x:v>
      </x:c>
      <x:c r="L1383" s="9" t="str">
        <x:v>ST07</x:v>
      </x:c>
      <x:c r="M1383" s="17" t="str">
        <x:v>Environmental baseline</x:v>
      </x:c>
      <x:c r="N1383" s="17" t="str">
        <x:v>pre-event boundary state is sealed before decisive operation</x:v>
      </x:c>
      <x:c r="O1383" s="17" t="str">
        <x:v>Site metrology</x:v>
      </x:c>
      <x:c r="P1383" s="9" t="n">
        <x:v>0</x:v>
      </x:c>
      <x:c r="Q1383" s="9" t="n">
        <x:v>0</x:v>
      </x:c>
      <x:c r="R1383" s="9" t="str">
        <x:v>OPEN / UNSTARTED</x:v>
      </x:c>
      <x:c r="S1383" s="9" t="n">
        <x:f>COUNTIFS($A$7:$A$1446,A1383)</x:f>
        <x:v>1</x:v>
      </x:c>
    </x:row>
    <x:row r="1384">
      <x:c r="A1384" s="9" t="str">
        <x:v>EV-AR-RT-B-C-TECH-4-B2-BRK-G0-ST08</x:v>
      </x:c>
      <x:c r="B1384" s="9" t="str">
        <x:v>EV-AR-RT-B-C-TECH-4-B2-BRK-G0</x:v>
      </x:c>
      <x:c r="C1384" s="9" t="str">
        <x:v>EOW-AR-RT-B-C-TECH-4-B2-BRK-G0</x:v>
      </x:c>
      <x:c r="D1384" s="9" t="str">
        <x:v>AR-RT-B-C-TECH-4-B2-BRK-G0</x:v>
      </x:c>
      <x:c r="E1384" s="9" t="str">
        <x:v>RT-B-C-TECH-4</x:v>
      </x:c>
      <x:c r="F1384" s="9" t="str">
        <x:v>RT-B-C</x:v>
      </x:c>
      <x:c r="G1384" s="9" t="str">
        <x:v>B2</x:v>
      </x:c>
      <x:c r="H1384" s="9" t="str">
        <x:v>BRK</x:v>
      </x:c>
      <x:c r="I1384" s="9" t="n">
        <x:v>6</x:v>
      </x:c>
      <x:c r="J1384" s="9" t="n">
        <x:v>3</x:v>
      </x:c>
      <x:c r="K1384" s="9" t="str">
        <x:v>RT-B-C-N2</x:v>
      </x:c>
      <x:c r="L1384" s="9" t="str">
        <x:v>ST08</x:v>
      </x:c>
      <x:c r="M1384" s="17" t="str">
        <x:v>Manual stop and safety</x:v>
      </x:c>
      <x:c r="N1384" s="17" t="str">
        <x:v>local stop, evacuation and protection routes are active</x:v>
      </x:c>
      <x:c r="O1384" s="17" t="str">
        <x:v>Safety authority</x:v>
      </x:c>
      <x:c r="P1384" s="9" t="n">
        <x:v>0</x:v>
      </x:c>
      <x:c r="Q1384" s="9" t="n">
        <x:v>0</x:v>
      </x:c>
      <x:c r="R1384" s="9" t="str">
        <x:v>OPEN / UNSTARTED</x:v>
      </x:c>
      <x:c r="S1384" s="9" t="n">
        <x:f>COUNTIFS($A$7:$A$1446,A1384)</x:f>
        <x:v>1</x:v>
      </x:c>
    </x:row>
    <x:row r="1385">
      <x:c r="A1385" s="9" t="str">
        <x:v>EV-AR-RT-B-C-TECH-4-B2-BRK-G0-ST09</x:v>
      </x:c>
      <x:c r="B1385" s="9" t="str">
        <x:v>EV-AR-RT-B-C-TECH-4-B2-BRK-G0</x:v>
      </x:c>
      <x:c r="C1385" s="9" t="str">
        <x:v>EOW-AR-RT-B-C-TECH-4-B2-BRK-G0</x:v>
      </x:c>
      <x:c r="D1385" s="9" t="str">
        <x:v>AR-RT-B-C-TECH-4-B2-BRK-G0</x:v>
      </x:c>
      <x:c r="E1385" s="9" t="str">
        <x:v>RT-B-C-TECH-4</x:v>
      </x:c>
      <x:c r="F1385" s="9" t="str">
        <x:v>RT-B-C</x:v>
      </x:c>
      <x:c r="G1385" s="9" t="str">
        <x:v>B2</x:v>
      </x:c>
      <x:c r="H1385" s="9" t="str">
        <x:v>BRK</x:v>
      </x:c>
      <x:c r="I1385" s="9" t="n">
        <x:v>6</x:v>
      </x:c>
      <x:c r="J1385" s="9" t="n">
        <x:v>3</x:v>
      </x:c>
      <x:c r="K1385" s="9" t="str">
        <x:v>RT-B-C-N2</x:v>
      </x:c>
      <x:c r="L1385" s="9" t="str">
        <x:v>ST09</x:v>
      </x:c>
      <x:c r="M1385" s="17" t="str">
        <x:v>Operator conflict clear</x:v>
      </x:c>
      <x:c r="N1385" s="17" t="str">
        <x:v>candidate, fixture, safety and measurement control edges remain separated</x:v>
      </x:c>
      <x:c r="O1385" s="17" t="str">
        <x:v>Conflict registrar</x:v>
      </x:c>
      <x:c r="P1385" s="9" t="n">
        <x:v>0</x:v>
      </x:c>
      <x:c r="Q1385" s="9" t="n">
        <x:v>0</x:v>
      </x:c>
      <x:c r="R1385" s="9" t="str">
        <x:v>OPEN / UNSTARTED</x:v>
      </x:c>
      <x:c r="S1385" s="9" t="n">
        <x:f>COUNTIFS($A$7:$A$1446,A1385)</x:f>
        <x:v>1</x:v>
      </x:c>
    </x:row>
    <x:row r="1386">
      <x:c r="A1386" s="9" t="str">
        <x:v>EV-AR-RT-B-C-TECH-4-B2-BRK-G0-ST10</x:v>
      </x:c>
      <x:c r="B1386" s="9" t="str">
        <x:v>EV-AR-RT-B-C-TECH-4-B2-BRK-G0</x:v>
      </x:c>
      <x:c r="C1386" s="9" t="str">
        <x:v>EOW-AR-RT-B-C-TECH-4-B2-BRK-G0</x:v>
      </x:c>
      <x:c r="D1386" s="9" t="str">
        <x:v>AR-RT-B-C-TECH-4-B2-BRK-G0</x:v>
      </x:c>
      <x:c r="E1386" s="9" t="str">
        <x:v>RT-B-C-TECH-4</x:v>
      </x:c>
      <x:c r="F1386" s="9" t="str">
        <x:v>RT-B-C</x:v>
      </x:c>
      <x:c r="G1386" s="9" t="str">
        <x:v>B2</x:v>
      </x:c>
      <x:c r="H1386" s="9" t="str">
        <x:v>BRK</x:v>
      </x:c>
      <x:c r="I1386" s="9" t="n">
        <x:v>6</x:v>
      </x:c>
      <x:c r="J1386" s="9" t="n">
        <x:v>3</x:v>
      </x:c>
      <x:c r="K1386" s="9" t="str">
        <x:v>RT-B-C-N2</x:v>
      </x:c>
      <x:c r="L1386" s="9" t="str">
        <x:v>ST10</x:v>
      </x:c>
      <x:c r="M1386" s="17" t="str">
        <x:v>Window and common clock</x:v>
      </x:c>
      <x:c r="N1386" s="17" t="str">
        <x:v>epoch, window and public time origin match the issued warrant</x:v>
      </x:c>
      <x:c r="O1386" s="17" t="str">
        <x:v>Event clock authority</x:v>
      </x:c>
      <x:c r="P1386" s="9" t="n">
        <x:v>0</x:v>
      </x:c>
      <x:c r="Q1386" s="9" t="n">
        <x:v>0</x:v>
      </x:c>
      <x:c r="R1386" s="9" t="str">
        <x:v>OPEN / UNSTARTED</x:v>
      </x:c>
      <x:c r="S1386" s="9" t="n">
        <x:f>COUNTIFS($A$7:$A$1446,A1386)</x:f>
        <x:v>1</x:v>
      </x:c>
    </x:row>
    <x:row r="1387">
      <x:c r="A1387" s="9" t="str">
        <x:v>EV-AR-CT-C-B-TECH-2-B2-BRK-G0-ST01</x:v>
      </x:c>
      <x:c r="B1387" s="9" t="str">
        <x:v>EV-AR-CT-C-B-TECH-2-B2-BRK-G0</x:v>
      </x:c>
      <x:c r="C1387" s="9" t="str">
        <x:v>EOW-AR-CT-C-B-TECH-2-B2-BRK-G0</x:v>
      </x:c>
      <x:c r="D1387" s="9" t="str">
        <x:v>AR-CT-C-B-TECH-2-B2-BRK-G0</x:v>
      </x:c>
      <x:c r="E1387" s="9" t="str">
        <x:v>CT-C-B-TECH-2</x:v>
      </x:c>
      <x:c r="F1387" s="9" t="str">
        <x:v>CT-C-B</x:v>
      </x:c>
      <x:c r="G1387" s="9" t="str">
        <x:v>B2</x:v>
      </x:c>
      <x:c r="H1387" s="9" t="str">
        <x:v>BRK</x:v>
      </x:c>
      <x:c r="I1387" s="9" t="n">
        <x:v>6</x:v>
      </x:c>
      <x:c r="J1387" s="9" t="n">
        <x:v>4</x:v>
      </x:c>
      <x:c r="K1387" s="9" t="str">
        <x:v>CT-C-B-N3</x:v>
      </x:c>
      <x:c r="L1387" s="9" t="str">
        <x:v>ST01</x:v>
      </x:c>
      <x:c r="M1387" s="17" t="str">
        <x:v>Active opportunity warrant</x:v>
      </x:c>
      <x:c r="N1387" s="17" t="str">
        <x:v>configuration-bound EOW is within its thirty-six-hour validity</x:v>
      </x:c>
      <x:c r="O1387" s="17" t="str">
        <x:v>Start registrar</x:v>
      </x:c>
      <x:c r="P1387" s="9" t="n">
        <x:v>0</x:v>
      </x:c>
      <x:c r="Q1387" s="9" t="n">
        <x:v>0</x:v>
      </x:c>
      <x:c r="R1387" s="9" t="str">
        <x:v>OPEN / UNSTARTED</x:v>
      </x:c>
      <x:c r="S1387" s="9" t="n">
        <x:f>COUNTIFS($A$7:$A$1446,A1387)</x:f>
        <x:v>1</x:v>
      </x:c>
    </x:row>
    <x:row r="1388">
      <x:c r="A1388" s="9" t="str">
        <x:v>EV-AR-CT-C-B-TECH-2-B2-BRK-G0-ST02</x:v>
      </x:c>
      <x:c r="B1388" s="9" t="str">
        <x:v>EV-AR-CT-C-B-TECH-2-B2-BRK-G0</x:v>
      </x:c>
      <x:c r="C1388" s="9" t="str">
        <x:v>EOW-AR-CT-C-B-TECH-2-B2-BRK-G0</x:v>
      </x:c>
      <x:c r="D1388" s="9" t="str">
        <x:v>AR-CT-C-B-TECH-2-B2-BRK-G0</x:v>
      </x:c>
      <x:c r="E1388" s="9" t="str">
        <x:v>CT-C-B-TECH-2</x:v>
      </x:c>
      <x:c r="F1388" s="9" t="str">
        <x:v>CT-C-B</x:v>
      </x:c>
      <x:c r="G1388" s="9" t="str">
        <x:v>B2</x:v>
      </x:c>
      <x:c r="H1388" s="9" t="str">
        <x:v>BRK</x:v>
      </x:c>
      <x:c r="I1388" s="9" t="n">
        <x:v>6</x:v>
      </x:c>
      <x:c r="J1388" s="9" t="n">
        <x:v>4</x:v>
      </x:c>
      <x:c r="K1388" s="9" t="str">
        <x:v>CT-C-B-N3</x:v>
      </x:c>
      <x:c r="L1388" s="9" t="str">
        <x:v>ST02</x:v>
      </x:c>
      <x:c r="M1388" s="17" t="str">
        <x:v>Frozen identity</x:v>
      </x:c>
      <x:c r="N1388" s="17" t="str">
        <x:v>serial, generation, fixture, site, receiver and digest match the warrant</x:v>
      </x:c>
      <x:c r="O1388" s="17" t="str">
        <x:v>Custody authority</x:v>
      </x:c>
      <x:c r="P1388" s="9" t="n">
        <x:v>0</x:v>
      </x:c>
      <x:c r="Q1388" s="9" t="n">
        <x:v>0</x:v>
      </x:c>
      <x:c r="R1388" s="9" t="str">
        <x:v>OPEN / UNSTARTED</x:v>
      </x:c>
      <x:c r="S1388" s="9" t="n">
        <x:f>COUNTIFS($A$7:$A$1446,A1388)</x:f>
        <x:v>1</x:v>
      </x:c>
    </x:row>
    <x:row r="1389">
      <x:c r="A1389" s="9" t="str">
        <x:v>EV-AR-CT-C-B-TECH-2-B2-BRK-G0-ST03</x:v>
      </x:c>
      <x:c r="B1389" s="9" t="str">
        <x:v>EV-AR-CT-C-B-TECH-2-B2-BRK-G0</x:v>
      </x:c>
      <x:c r="C1389" s="9" t="str">
        <x:v>EOW-AR-CT-C-B-TECH-2-B2-BRK-G0</x:v>
      </x:c>
      <x:c r="D1389" s="9" t="str">
        <x:v>AR-CT-C-B-TECH-2-B2-BRK-G0</x:v>
      </x:c>
      <x:c r="E1389" s="9" t="str">
        <x:v>CT-C-B-TECH-2</x:v>
      </x:c>
      <x:c r="F1389" s="9" t="str">
        <x:v>CT-C-B</x:v>
      </x:c>
      <x:c r="G1389" s="9" t="str">
        <x:v>B2</x:v>
      </x:c>
      <x:c r="H1389" s="9" t="str">
        <x:v>BRK</x:v>
      </x:c>
      <x:c r="I1389" s="9" t="n">
        <x:v>6</x:v>
      </x:c>
      <x:c r="J1389" s="9" t="n">
        <x:v>4</x:v>
      </x:c>
      <x:c r="K1389" s="9" t="str">
        <x:v>CT-C-B-N3</x:v>
      </x:c>
      <x:c r="L1389" s="9" t="str">
        <x:v>ST03</x:v>
      </x:c>
      <x:c r="M1389" s="17" t="str">
        <x:v>Receiver receipt</x:v>
      </x:c>
      <x:c r="N1389" s="17" t="str">
        <x:v>denominator, counterfactual, rights and stop receipt remain unchanged</x:v>
      </x:c>
      <x:c r="O1389" s="17" t="str">
        <x:v>Receiver authority</x:v>
      </x:c>
      <x:c r="P1389" s="9" t="n">
        <x:v>0</x:v>
      </x:c>
      <x:c r="Q1389" s="9" t="n">
        <x:v>0</x:v>
      </x:c>
      <x:c r="R1389" s="9" t="str">
        <x:v>OPEN / UNSTARTED</x:v>
      </x:c>
      <x:c r="S1389" s="9" t="n">
        <x:f>COUNTIFS($A$7:$A$1446,A1389)</x:f>
        <x:v>1</x:v>
      </x:c>
    </x:row>
    <x:row r="1390">
      <x:c r="A1390" s="9" t="str">
        <x:v>EV-AR-CT-C-B-TECH-2-B2-BRK-G0-ST04</x:v>
      </x:c>
      <x:c r="B1390" s="9" t="str">
        <x:v>EV-AR-CT-C-B-TECH-2-B2-BRK-G0</x:v>
      </x:c>
      <x:c r="C1390" s="9" t="str">
        <x:v>EOW-AR-CT-C-B-TECH-2-B2-BRK-G0</x:v>
      </x:c>
      <x:c r="D1390" s="9" t="str">
        <x:v>AR-CT-C-B-TECH-2-B2-BRK-G0</x:v>
      </x:c>
      <x:c r="E1390" s="9" t="str">
        <x:v>CT-C-B-TECH-2</x:v>
      </x:c>
      <x:c r="F1390" s="9" t="str">
        <x:v>CT-C-B</x:v>
      </x:c>
      <x:c r="G1390" s="9" t="str">
        <x:v>B2</x:v>
      </x:c>
      <x:c r="H1390" s="9" t="str">
        <x:v>BRK</x:v>
      </x:c>
      <x:c r="I1390" s="9" t="n">
        <x:v>6</x:v>
      </x:c>
      <x:c r="J1390" s="9" t="n">
        <x:v>4</x:v>
      </x:c>
      <x:c r="K1390" s="9" t="str">
        <x:v>CT-C-B-N3</x:v>
      </x:c>
      <x:c r="L1390" s="9" t="str">
        <x:v>ST04</x:v>
      </x:c>
      <x:c r="M1390" s="17" t="str">
        <x:v>Primary capture armed</x:v>
      </x:c>
      <x:c r="N1390" s="17" t="str">
        <x:v>primary chain records sealed reference and live time</x:v>
      </x:c>
      <x:c r="O1390" s="17" t="str">
        <x:v>Primary metrology</x:v>
      </x:c>
      <x:c r="P1390" s="9" t="n">
        <x:v>0</x:v>
      </x:c>
      <x:c r="Q1390" s="9" t="n">
        <x:v>0</x:v>
      </x:c>
      <x:c r="R1390" s="9" t="str">
        <x:v>OPEN / UNSTARTED</x:v>
      </x:c>
      <x:c r="S1390" s="9" t="n">
        <x:f>COUNTIFS($A$7:$A$1446,A1390)</x:f>
        <x:v>1</x:v>
      </x:c>
    </x:row>
    <x:row r="1391">
      <x:c r="A1391" s="9" t="str">
        <x:v>EV-AR-CT-C-B-TECH-2-B2-BRK-G0-ST05</x:v>
      </x:c>
      <x:c r="B1391" s="9" t="str">
        <x:v>EV-AR-CT-C-B-TECH-2-B2-BRK-G0</x:v>
      </x:c>
      <x:c r="C1391" s="9" t="str">
        <x:v>EOW-AR-CT-C-B-TECH-2-B2-BRK-G0</x:v>
      </x:c>
      <x:c r="D1391" s="9" t="str">
        <x:v>AR-CT-C-B-TECH-2-B2-BRK-G0</x:v>
      </x:c>
      <x:c r="E1391" s="9" t="str">
        <x:v>CT-C-B-TECH-2</x:v>
      </x:c>
      <x:c r="F1391" s="9" t="str">
        <x:v>CT-C-B</x:v>
      </x:c>
      <x:c r="G1391" s="9" t="str">
        <x:v>B2</x:v>
      </x:c>
      <x:c r="H1391" s="9" t="str">
        <x:v>BRK</x:v>
      </x:c>
      <x:c r="I1391" s="9" t="n">
        <x:v>6</x:v>
      </x:c>
      <x:c r="J1391" s="9" t="n">
        <x:v>4</x:v>
      </x:c>
      <x:c r="K1391" s="9" t="str">
        <x:v>CT-C-B-N3</x:v>
      </x:c>
      <x:c r="L1391" s="9" t="str">
        <x:v>ST05</x:v>
      </x:c>
      <x:c r="M1391" s="17" t="str">
        <x:v>Witness capture armed</x:v>
      </x:c>
      <x:c r="N1391" s="17" t="str">
        <x:v>unlike witness records independent reference and live time</x:v>
      </x:c>
      <x:c r="O1391" s="17" t="str">
        <x:v>Witness metrology</x:v>
      </x:c>
      <x:c r="P1391" s="9" t="n">
        <x:v>0</x:v>
      </x:c>
      <x:c r="Q1391" s="9" t="n">
        <x:v>0</x:v>
      </x:c>
      <x:c r="R1391" s="9" t="str">
        <x:v>OPEN / UNSTARTED</x:v>
      </x:c>
      <x:c r="S1391" s="9" t="n">
        <x:f>COUNTIFS($A$7:$A$1446,A1391)</x:f>
        <x:v>1</x:v>
      </x:c>
    </x:row>
    <x:row r="1392">
      <x:c r="A1392" s="9" t="str">
        <x:v>EV-AR-CT-C-B-TECH-2-B2-BRK-G0-ST06</x:v>
      </x:c>
      <x:c r="B1392" s="9" t="str">
        <x:v>EV-AR-CT-C-B-TECH-2-B2-BRK-G0</x:v>
      </x:c>
      <x:c r="C1392" s="9" t="str">
        <x:v>EOW-AR-CT-C-B-TECH-2-B2-BRK-G0</x:v>
      </x:c>
      <x:c r="D1392" s="9" t="str">
        <x:v>AR-CT-C-B-TECH-2-B2-BRK-G0</x:v>
      </x:c>
      <x:c r="E1392" s="9" t="str">
        <x:v>CT-C-B-TECH-2</x:v>
      </x:c>
      <x:c r="F1392" s="9" t="str">
        <x:v>CT-C-B</x:v>
      </x:c>
      <x:c r="G1392" s="9" t="str">
        <x:v>B2</x:v>
      </x:c>
      <x:c r="H1392" s="9" t="str">
        <x:v>BRK</x:v>
      </x:c>
      <x:c r="I1392" s="9" t="n">
        <x:v>6</x:v>
      </x:c>
      <x:c r="J1392" s="9" t="n">
        <x:v>4</x:v>
      </x:c>
      <x:c r="K1392" s="9" t="str">
        <x:v>CT-C-B-N3</x:v>
      </x:c>
      <x:c r="L1392" s="9" t="str">
        <x:v>ST06</x:v>
      </x:c>
      <x:c r="M1392" s="17" t="str">
        <x:v>Public custody armed</x:v>
      </x:c>
      <x:c r="N1392" s="17" t="str">
        <x:v>eight raw origins have separated hash and replica routes</x:v>
      </x:c>
      <x:c r="O1392" s="17" t="str">
        <x:v>Custody authority</x:v>
      </x:c>
      <x:c r="P1392" s="9" t="n">
        <x:v>0</x:v>
      </x:c>
      <x:c r="Q1392" s="9" t="n">
        <x:v>0</x:v>
      </x:c>
      <x:c r="R1392" s="9" t="str">
        <x:v>OPEN / UNSTARTED</x:v>
      </x:c>
      <x:c r="S1392" s="9" t="n">
        <x:f>COUNTIFS($A$7:$A$1446,A1392)</x:f>
        <x:v>1</x:v>
      </x:c>
    </x:row>
    <x:row r="1393">
      <x:c r="A1393" s="9" t="str">
        <x:v>EV-AR-CT-C-B-TECH-2-B2-BRK-G0-ST07</x:v>
      </x:c>
      <x:c r="B1393" s="9" t="str">
        <x:v>EV-AR-CT-C-B-TECH-2-B2-BRK-G0</x:v>
      </x:c>
      <x:c r="C1393" s="9" t="str">
        <x:v>EOW-AR-CT-C-B-TECH-2-B2-BRK-G0</x:v>
      </x:c>
      <x:c r="D1393" s="9" t="str">
        <x:v>AR-CT-C-B-TECH-2-B2-BRK-G0</x:v>
      </x:c>
      <x:c r="E1393" s="9" t="str">
        <x:v>CT-C-B-TECH-2</x:v>
      </x:c>
      <x:c r="F1393" s="9" t="str">
        <x:v>CT-C-B</x:v>
      </x:c>
      <x:c r="G1393" s="9" t="str">
        <x:v>B2</x:v>
      </x:c>
      <x:c r="H1393" s="9" t="str">
        <x:v>BRK</x:v>
      </x:c>
      <x:c r="I1393" s="9" t="n">
        <x:v>6</x:v>
      </x:c>
      <x:c r="J1393" s="9" t="n">
        <x:v>4</x:v>
      </x:c>
      <x:c r="K1393" s="9" t="str">
        <x:v>CT-C-B-N3</x:v>
      </x:c>
      <x:c r="L1393" s="9" t="str">
        <x:v>ST07</x:v>
      </x:c>
      <x:c r="M1393" s="17" t="str">
        <x:v>Environmental baseline</x:v>
      </x:c>
      <x:c r="N1393" s="17" t="str">
        <x:v>pre-event boundary state is sealed before decisive operation</x:v>
      </x:c>
      <x:c r="O1393" s="17" t="str">
        <x:v>Site metrology</x:v>
      </x:c>
      <x:c r="P1393" s="9" t="n">
        <x:v>0</x:v>
      </x:c>
      <x:c r="Q1393" s="9" t="n">
        <x:v>0</x:v>
      </x:c>
      <x:c r="R1393" s="9" t="str">
        <x:v>OPEN / UNSTARTED</x:v>
      </x:c>
      <x:c r="S1393" s="9" t="n">
        <x:f>COUNTIFS($A$7:$A$1446,A1393)</x:f>
        <x:v>1</x:v>
      </x:c>
    </x:row>
    <x:row r="1394">
      <x:c r="A1394" s="9" t="str">
        <x:v>EV-AR-CT-C-B-TECH-2-B2-BRK-G0-ST08</x:v>
      </x:c>
      <x:c r="B1394" s="9" t="str">
        <x:v>EV-AR-CT-C-B-TECH-2-B2-BRK-G0</x:v>
      </x:c>
      <x:c r="C1394" s="9" t="str">
        <x:v>EOW-AR-CT-C-B-TECH-2-B2-BRK-G0</x:v>
      </x:c>
      <x:c r="D1394" s="9" t="str">
        <x:v>AR-CT-C-B-TECH-2-B2-BRK-G0</x:v>
      </x:c>
      <x:c r="E1394" s="9" t="str">
        <x:v>CT-C-B-TECH-2</x:v>
      </x:c>
      <x:c r="F1394" s="9" t="str">
        <x:v>CT-C-B</x:v>
      </x:c>
      <x:c r="G1394" s="9" t="str">
        <x:v>B2</x:v>
      </x:c>
      <x:c r="H1394" s="9" t="str">
        <x:v>BRK</x:v>
      </x:c>
      <x:c r="I1394" s="9" t="n">
        <x:v>6</x:v>
      </x:c>
      <x:c r="J1394" s="9" t="n">
        <x:v>4</x:v>
      </x:c>
      <x:c r="K1394" s="9" t="str">
        <x:v>CT-C-B-N3</x:v>
      </x:c>
      <x:c r="L1394" s="9" t="str">
        <x:v>ST08</x:v>
      </x:c>
      <x:c r="M1394" s="17" t="str">
        <x:v>Manual stop and safety</x:v>
      </x:c>
      <x:c r="N1394" s="17" t="str">
        <x:v>local stop, evacuation and protection routes are active</x:v>
      </x:c>
      <x:c r="O1394" s="17" t="str">
        <x:v>Safety authority</x:v>
      </x:c>
      <x:c r="P1394" s="9" t="n">
        <x:v>0</x:v>
      </x:c>
      <x:c r="Q1394" s="9" t="n">
        <x:v>0</x:v>
      </x:c>
      <x:c r="R1394" s="9" t="str">
        <x:v>OPEN / UNSTARTED</x:v>
      </x:c>
      <x:c r="S1394" s="9" t="n">
        <x:f>COUNTIFS($A$7:$A$1446,A1394)</x:f>
        <x:v>1</x:v>
      </x:c>
    </x:row>
    <x:row r="1395">
      <x:c r="A1395" s="9" t="str">
        <x:v>EV-AR-CT-C-B-TECH-2-B2-BRK-G0-ST09</x:v>
      </x:c>
      <x:c r="B1395" s="9" t="str">
        <x:v>EV-AR-CT-C-B-TECH-2-B2-BRK-G0</x:v>
      </x:c>
      <x:c r="C1395" s="9" t="str">
        <x:v>EOW-AR-CT-C-B-TECH-2-B2-BRK-G0</x:v>
      </x:c>
      <x:c r="D1395" s="9" t="str">
        <x:v>AR-CT-C-B-TECH-2-B2-BRK-G0</x:v>
      </x:c>
      <x:c r="E1395" s="9" t="str">
        <x:v>CT-C-B-TECH-2</x:v>
      </x:c>
      <x:c r="F1395" s="9" t="str">
        <x:v>CT-C-B</x:v>
      </x:c>
      <x:c r="G1395" s="9" t="str">
        <x:v>B2</x:v>
      </x:c>
      <x:c r="H1395" s="9" t="str">
        <x:v>BRK</x:v>
      </x:c>
      <x:c r="I1395" s="9" t="n">
        <x:v>6</x:v>
      </x:c>
      <x:c r="J1395" s="9" t="n">
        <x:v>4</x:v>
      </x:c>
      <x:c r="K1395" s="9" t="str">
        <x:v>CT-C-B-N3</x:v>
      </x:c>
      <x:c r="L1395" s="9" t="str">
        <x:v>ST09</x:v>
      </x:c>
      <x:c r="M1395" s="17" t="str">
        <x:v>Operator conflict clear</x:v>
      </x:c>
      <x:c r="N1395" s="17" t="str">
        <x:v>candidate, fixture, safety and measurement control edges remain separated</x:v>
      </x:c>
      <x:c r="O1395" s="17" t="str">
        <x:v>Conflict registrar</x:v>
      </x:c>
      <x:c r="P1395" s="9" t="n">
        <x:v>0</x:v>
      </x:c>
      <x:c r="Q1395" s="9" t="n">
        <x:v>0</x:v>
      </x:c>
      <x:c r="R1395" s="9" t="str">
        <x:v>OPEN / UNSTARTED</x:v>
      </x:c>
      <x:c r="S1395" s="9" t="n">
        <x:f>COUNTIFS($A$7:$A$1446,A1395)</x:f>
        <x:v>1</x:v>
      </x:c>
    </x:row>
    <x:row r="1396">
      <x:c r="A1396" s="9" t="str">
        <x:v>EV-AR-CT-C-B-TECH-2-B2-BRK-G0-ST10</x:v>
      </x:c>
      <x:c r="B1396" s="9" t="str">
        <x:v>EV-AR-CT-C-B-TECH-2-B2-BRK-G0</x:v>
      </x:c>
      <x:c r="C1396" s="9" t="str">
        <x:v>EOW-AR-CT-C-B-TECH-2-B2-BRK-G0</x:v>
      </x:c>
      <x:c r="D1396" s="9" t="str">
        <x:v>AR-CT-C-B-TECH-2-B2-BRK-G0</x:v>
      </x:c>
      <x:c r="E1396" s="9" t="str">
        <x:v>CT-C-B-TECH-2</x:v>
      </x:c>
      <x:c r="F1396" s="9" t="str">
        <x:v>CT-C-B</x:v>
      </x:c>
      <x:c r="G1396" s="9" t="str">
        <x:v>B2</x:v>
      </x:c>
      <x:c r="H1396" s="9" t="str">
        <x:v>BRK</x:v>
      </x:c>
      <x:c r="I1396" s="9" t="n">
        <x:v>6</x:v>
      </x:c>
      <x:c r="J1396" s="9" t="n">
        <x:v>4</x:v>
      </x:c>
      <x:c r="K1396" s="9" t="str">
        <x:v>CT-C-B-N3</x:v>
      </x:c>
      <x:c r="L1396" s="9" t="str">
        <x:v>ST10</x:v>
      </x:c>
      <x:c r="M1396" s="17" t="str">
        <x:v>Window and common clock</x:v>
      </x:c>
      <x:c r="N1396" s="17" t="str">
        <x:v>epoch, window and public time origin match the issued warrant</x:v>
      </x:c>
      <x:c r="O1396" s="17" t="str">
        <x:v>Event clock authority</x:v>
      </x:c>
      <x:c r="P1396" s="9" t="n">
        <x:v>0</x:v>
      </x:c>
      <x:c r="Q1396" s="9" t="n">
        <x:v>0</x:v>
      </x:c>
      <x:c r="R1396" s="9" t="str">
        <x:v>OPEN / UNSTARTED</x:v>
      </x:c>
      <x:c r="S1396" s="9" t="n">
        <x:f>COUNTIFS($A$7:$A$1446,A1396)</x:f>
        <x:v>1</x:v>
      </x:c>
    </x:row>
    <x:row r="1397">
      <x:c r="A1397" s="9" t="str">
        <x:v>EV-AR-ET-A-A-TECH-2-B1-RCN-G0-ST01</x:v>
      </x:c>
      <x:c r="B1397" s="9" t="str">
        <x:v>EV-AR-ET-A-A-TECH-2-B1-RCN-G0</x:v>
      </x:c>
      <x:c r="C1397" s="9" t="str">
        <x:v>EOW-AR-ET-A-A-TECH-2-B1-RCN-G0</x:v>
      </x:c>
      <x:c r="D1397" s="9" t="str">
        <x:v>AR-ET-A-A-TECH-2-B1-RCN-G0</x:v>
      </x:c>
      <x:c r="E1397" s="9" t="str">
        <x:v>ET-A-A-TECH-2</x:v>
      </x:c>
      <x:c r="F1397" s="9" t="str">
        <x:v>ET-A-A</x:v>
      </x:c>
      <x:c r="G1397" s="9" t="str">
        <x:v>B1</x:v>
      </x:c>
      <x:c r="H1397" s="9" t="str">
        <x:v>RCN</x:v>
      </x:c>
      <x:c r="I1397" s="9" t="n">
        <x:v>6</x:v>
      </x:c>
      <x:c r="J1397" s="9" t="n">
        <x:v>4</x:v>
      </x:c>
      <x:c r="K1397" s="9" t="str">
        <x:v>ET-A-A-N3</x:v>
      </x:c>
      <x:c r="L1397" s="9" t="str">
        <x:v>ST01</x:v>
      </x:c>
      <x:c r="M1397" s="17" t="str">
        <x:v>Active opportunity warrant</x:v>
      </x:c>
      <x:c r="N1397" s="17" t="str">
        <x:v>configuration-bound EOW is within its thirty-six-hour validity</x:v>
      </x:c>
      <x:c r="O1397" s="17" t="str">
        <x:v>Start registrar</x:v>
      </x:c>
      <x:c r="P1397" s="9" t="n">
        <x:v>0</x:v>
      </x:c>
      <x:c r="Q1397" s="9" t="n">
        <x:v>0</x:v>
      </x:c>
      <x:c r="R1397" s="9" t="str">
        <x:v>OPEN / UNSTARTED</x:v>
      </x:c>
      <x:c r="S1397" s="9" t="n">
        <x:f>COUNTIFS($A$7:$A$1446,A1397)</x:f>
        <x:v>1</x:v>
      </x:c>
    </x:row>
    <x:row r="1398">
      <x:c r="A1398" s="9" t="str">
        <x:v>EV-AR-ET-A-A-TECH-2-B1-RCN-G0-ST02</x:v>
      </x:c>
      <x:c r="B1398" s="9" t="str">
        <x:v>EV-AR-ET-A-A-TECH-2-B1-RCN-G0</x:v>
      </x:c>
      <x:c r="C1398" s="9" t="str">
        <x:v>EOW-AR-ET-A-A-TECH-2-B1-RCN-G0</x:v>
      </x:c>
      <x:c r="D1398" s="9" t="str">
        <x:v>AR-ET-A-A-TECH-2-B1-RCN-G0</x:v>
      </x:c>
      <x:c r="E1398" s="9" t="str">
        <x:v>ET-A-A-TECH-2</x:v>
      </x:c>
      <x:c r="F1398" s="9" t="str">
        <x:v>ET-A-A</x:v>
      </x:c>
      <x:c r="G1398" s="9" t="str">
        <x:v>B1</x:v>
      </x:c>
      <x:c r="H1398" s="9" t="str">
        <x:v>RCN</x:v>
      </x:c>
      <x:c r="I1398" s="9" t="n">
        <x:v>6</x:v>
      </x:c>
      <x:c r="J1398" s="9" t="n">
        <x:v>4</x:v>
      </x:c>
      <x:c r="K1398" s="9" t="str">
        <x:v>ET-A-A-N3</x:v>
      </x:c>
      <x:c r="L1398" s="9" t="str">
        <x:v>ST02</x:v>
      </x:c>
      <x:c r="M1398" s="17" t="str">
        <x:v>Frozen identity</x:v>
      </x:c>
      <x:c r="N1398" s="17" t="str">
        <x:v>serial, generation, fixture, site, receiver and digest match the warrant</x:v>
      </x:c>
      <x:c r="O1398" s="17" t="str">
        <x:v>Custody authority</x:v>
      </x:c>
      <x:c r="P1398" s="9" t="n">
        <x:v>0</x:v>
      </x:c>
      <x:c r="Q1398" s="9" t="n">
        <x:v>0</x:v>
      </x:c>
      <x:c r="R1398" s="9" t="str">
        <x:v>OPEN / UNSTARTED</x:v>
      </x:c>
      <x:c r="S1398" s="9" t="n">
        <x:f>COUNTIFS($A$7:$A$1446,A1398)</x:f>
        <x:v>1</x:v>
      </x:c>
    </x:row>
    <x:row r="1399">
      <x:c r="A1399" s="9" t="str">
        <x:v>EV-AR-ET-A-A-TECH-2-B1-RCN-G0-ST03</x:v>
      </x:c>
      <x:c r="B1399" s="9" t="str">
        <x:v>EV-AR-ET-A-A-TECH-2-B1-RCN-G0</x:v>
      </x:c>
      <x:c r="C1399" s="9" t="str">
        <x:v>EOW-AR-ET-A-A-TECH-2-B1-RCN-G0</x:v>
      </x:c>
      <x:c r="D1399" s="9" t="str">
        <x:v>AR-ET-A-A-TECH-2-B1-RCN-G0</x:v>
      </x:c>
      <x:c r="E1399" s="9" t="str">
        <x:v>ET-A-A-TECH-2</x:v>
      </x:c>
      <x:c r="F1399" s="9" t="str">
        <x:v>ET-A-A</x:v>
      </x:c>
      <x:c r="G1399" s="9" t="str">
        <x:v>B1</x:v>
      </x:c>
      <x:c r="H1399" s="9" t="str">
        <x:v>RCN</x:v>
      </x:c>
      <x:c r="I1399" s="9" t="n">
        <x:v>6</x:v>
      </x:c>
      <x:c r="J1399" s="9" t="n">
        <x:v>4</x:v>
      </x:c>
      <x:c r="K1399" s="9" t="str">
        <x:v>ET-A-A-N3</x:v>
      </x:c>
      <x:c r="L1399" s="9" t="str">
        <x:v>ST03</x:v>
      </x:c>
      <x:c r="M1399" s="17" t="str">
        <x:v>Receiver receipt</x:v>
      </x:c>
      <x:c r="N1399" s="17" t="str">
        <x:v>denominator, counterfactual, rights and stop receipt remain unchanged</x:v>
      </x:c>
      <x:c r="O1399" s="17" t="str">
        <x:v>Receiver authority</x:v>
      </x:c>
      <x:c r="P1399" s="9" t="n">
        <x:v>0</x:v>
      </x:c>
      <x:c r="Q1399" s="9" t="n">
        <x:v>0</x:v>
      </x:c>
      <x:c r="R1399" s="9" t="str">
        <x:v>OPEN / UNSTARTED</x:v>
      </x:c>
      <x:c r="S1399" s="9" t="n">
        <x:f>COUNTIFS($A$7:$A$1446,A1399)</x:f>
        <x:v>1</x:v>
      </x:c>
    </x:row>
    <x:row r="1400">
      <x:c r="A1400" s="9" t="str">
        <x:v>EV-AR-ET-A-A-TECH-2-B1-RCN-G0-ST04</x:v>
      </x:c>
      <x:c r="B1400" s="9" t="str">
        <x:v>EV-AR-ET-A-A-TECH-2-B1-RCN-G0</x:v>
      </x:c>
      <x:c r="C1400" s="9" t="str">
        <x:v>EOW-AR-ET-A-A-TECH-2-B1-RCN-G0</x:v>
      </x:c>
      <x:c r="D1400" s="9" t="str">
        <x:v>AR-ET-A-A-TECH-2-B1-RCN-G0</x:v>
      </x:c>
      <x:c r="E1400" s="9" t="str">
        <x:v>ET-A-A-TECH-2</x:v>
      </x:c>
      <x:c r="F1400" s="9" t="str">
        <x:v>ET-A-A</x:v>
      </x:c>
      <x:c r="G1400" s="9" t="str">
        <x:v>B1</x:v>
      </x:c>
      <x:c r="H1400" s="9" t="str">
        <x:v>RCN</x:v>
      </x:c>
      <x:c r="I1400" s="9" t="n">
        <x:v>6</x:v>
      </x:c>
      <x:c r="J1400" s="9" t="n">
        <x:v>4</x:v>
      </x:c>
      <x:c r="K1400" s="9" t="str">
        <x:v>ET-A-A-N3</x:v>
      </x:c>
      <x:c r="L1400" s="9" t="str">
        <x:v>ST04</x:v>
      </x:c>
      <x:c r="M1400" s="17" t="str">
        <x:v>Primary capture armed</x:v>
      </x:c>
      <x:c r="N1400" s="17" t="str">
        <x:v>primary chain records sealed reference and live time</x:v>
      </x:c>
      <x:c r="O1400" s="17" t="str">
        <x:v>Primary metrology</x:v>
      </x:c>
      <x:c r="P1400" s="9" t="n">
        <x:v>0</x:v>
      </x:c>
      <x:c r="Q1400" s="9" t="n">
        <x:v>0</x:v>
      </x:c>
      <x:c r="R1400" s="9" t="str">
        <x:v>OPEN / UNSTARTED</x:v>
      </x:c>
      <x:c r="S1400" s="9" t="n">
        <x:f>COUNTIFS($A$7:$A$1446,A1400)</x:f>
        <x:v>1</x:v>
      </x:c>
    </x:row>
    <x:row r="1401">
      <x:c r="A1401" s="9" t="str">
        <x:v>EV-AR-ET-A-A-TECH-2-B1-RCN-G0-ST05</x:v>
      </x:c>
      <x:c r="B1401" s="9" t="str">
        <x:v>EV-AR-ET-A-A-TECH-2-B1-RCN-G0</x:v>
      </x:c>
      <x:c r="C1401" s="9" t="str">
        <x:v>EOW-AR-ET-A-A-TECH-2-B1-RCN-G0</x:v>
      </x:c>
      <x:c r="D1401" s="9" t="str">
        <x:v>AR-ET-A-A-TECH-2-B1-RCN-G0</x:v>
      </x:c>
      <x:c r="E1401" s="9" t="str">
        <x:v>ET-A-A-TECH-2</x:v>
      </x:c>
      <x:c r="F1401" s="9" t="str">
        <x:v>ET-A-A</x:v>
      </x:c>
      <x:c r="G1401" s="9" t="str">
        <x:v>B1</x:v>
      </x:c>
      <x:c r="H1401" s="9" t="str">
        <x:v>RCN</x:v>
      </x:c>
      <x:c r="I1401" s="9" t="n">
        <x:v>6</x:v>
      </x:c>
      <x:c r="J1401" s="9" t="n">
        <x:v>4</x:v>
      </x:c>
      <x:c r="K1401" s="9" t="str">
        <x:v>ET-A-A-N3</x:v>
      </x:c>
      <x:c r="L1401" s="9" t="str">
        <x:v>ST05</x:v>
      </x:c>
      <x:c r="M1401" s="17" t="str">
        <x:v>Witness capture armed</x:v>
      </x:c>
      <x:c r="N1401" s="17" t="str">
        <x:v>unlike witness records independent reference and live time</x:v>
      </x:c>
      <x:c r="O1401" s="17" t="str">
        <x:v>Witness metrology</x:v>
      </x:c>
      <x:c r="P1401" s="9" t="n">
        <x:v>0</x:v>
      </x:c>
      <x:c r="Q1401" s="9" t="n">
        <x:v>0</x:v>
      </x:c>
      <x:c r="R1401" s="9" t="str">
        <x:v>OPEN / UNSTARTED</x:v>
      </x:c>
      <x:c r="S1401" s="9" t="n">
        <x:f>COUNTIFS($A$7:$A$1446,A1401)</x:f>
        <x:v>1</x:v>
      </x:c>
    </x:row>
    <x:row r="1402">
      <x:c r="A1402" s="9" t="str">
        <x:v>EV-AR-ET-A-A-TECH-2-B1-RCN-G0-ST06</x:v>
      </x:c>
      <x:c r="B1402" s="9" t="str">
        <x:v>EV-AR-ET-A-A-TECH-2-B1-RCN-G0</x:v>
      </x:c>
      <x:c r="C1402" s="9" t="str">
        <x:v>EOW-AR-ET-A-A-TECH-2-B1-RCN-G0</x:v>
      </x:c>
      <x:c r="D1402" s="9" t="str">
        <x:v>AR-ET-A-A-TECH-2-B1-RCN-G0</x:v>
      </x:c>
      <x:c r="E1402" s="9" t="str">
        <x:v>ET-A-A-TECH-2</x:v>
      </x:c>
      <x:c r="F1402" s="9" t="str">
        <x:v>ET-A-A</x:v>
      </x:c>
      <x:c r="G1402" s="9" t="str">
        <x:v>B1</x:v>
      </x:c>
      <x:c r="H1402" s="9" t="str">
        <x:v>RCN</x:v>
      </x:c>
      <x:c r="I1402" s="9" t="n">
        <x:v>6</x:v>
      </x:c>
      <x:c r="J1402" s="9" t="n">
        <x:v>4</x:v>
      </x:c>
      <x:c r="K1402" s="9" t="str">
        <x:v>ET-A-A-N3</x:v>
      </x:c>
      <x:c r="L1402" s="9" t="str">
        <x:v>ST06</x:v>
      </x:c>
      <x:c r="M1402" s="17" t="str">
        <x:v>Public custody armed</x:v>
      </x:c>
      <x:c r="N1402" s="17" t="str">
        <x:v>eight raw origins have separated hash and replica routes</x:v>
      </x:c>
      <x:c r="O1402" s="17" t="str">
        <x:v>Custody authority</x:v>
      </x:c>
      <x:c r="P1402" s="9" t="n">
        <x:v>0</x:v>
      </x:c>
      <x:c r="Q1402" s="9" t="n">
        <x:v>0</x:v>
      </x:c>
      <x:c r="R1402" s="9" t="str">
        <x:v>OPEN / UNSTARTED</x:v>
      </x:c>
      <x:c r="S1402" s="9" t="n">
        <x:f>COUNTIFS($A$7:$A$1446,A1402)</x:f>
        <x:v>1</x:v>
      </x:c>
    </x:row>
    <x:row r="1403">
      <x:c r="A1403" s="9" t="str">
        <x:v>EV-AR-ET-A-A-TECH-2-B1-RCN-G0-ST07</x:v>
      </x:c>
      <x:c r="B1403" s="9" t="str">
        <x:v>EV-AR-ET-A-A-TECH-2-B1-RCN-G0</x:v>
      </x:c>
      <x:c r="C1403" s="9" t="str">
        <x:v>EOW-AR-ET-A-A-TECH-2-B1-RCN-G0</x:v>
      </x:c>
      <x:c r="D1403" s="9" t="str">
        <x:v>AR-ET-A-A-TECH-2-B1-RCN-G0</x:v>
      </x:c>
      <x:c r="E1403" s="9" t="str">
        <x:v>ET-A-A-TECH-2</x:v>
      </x:c>
      <x:c r="F1403" s="9" t="str">
        <x:v>ET-A-A</x:v>
      </x:c>
      <x:c r="G1403" s="9" t="str">
        <x:v>B1</x:v>
      </x:c>
      <x:c r="H1403" s="9" t="str">
        <x:v>RCN</x:v>
      </x:c>
      <x:c r="I1403" s="9" t="n">
        <x:v>6</x:v>
      </x:c>
      <x:c r="J1403" s="9" t="n">
        <x:v>4</x:v>
      </x:c>
      <x:c r="K1403" s="9" t="str">
        <x:v>ET-A-A-N3</x:v>
      </x:c>
      <x:c r="L1403" s="9" t="str">
        <x:v>ST07</x:v>
      </x:c>
      <x:c r="M1403" s="17" t="str">
        <x:v>Environmental baseline</x:v>
      </x:c>
      <x:c r="N1403" s="17" t="str">
        <x:v>pre-event boundary state is sealed before decisive operation</x:v>
      </x:c>
      <x:c r="O1403" s="17" t="str">
        <x:v>Site metrology</x:v>
      </x:c>
      <x:c r="P1403" s="9" t="n">
        <x:v>0</x:v>
      </x:c>
      <x:c r="Q1403" s="9" t="n">
        <x:v>0</x:v>
      </x:c>
      <x:c r="R1403" s="9" t="str">
        <x:v>OPEN / UNSTARTED</x:v>
      </x:c>
      <x:c r="S1403" s="9" t="n">
        <x:f>COUNTIFS($A$7:$A$1446,A1403)</x:f>
        <x:v>1</x:v>
      </x:c>
    </x:row>
    <x:row r="1404">
      <x:c r="A1404" s="9" t="str">
        <x:v>EV-AR-ET-A-A-TECH-2-B1-RCN-G0-ST08</x:v>
      </x:c>
      <x:c r="B1404" s="9" t="str">
        <x:v>EV-AR-ET-A-A-TECH-2-B1-RCN-G0</x:v>
      </x:c>
      <x:c r="C1404" s="9" t="str">
        <x:v>EOW-AR-ET-A-A-TECH-2-B1-RCN-G0</x:v>
      </x:c>
      <x:c r="D1404" s="9" t="str">
        <x:v>AR-ET-A-A-TECH-2-B1-RCN-G0</x:v>
      </x:c>
      <x:c r="E1404" s="9" t="str">
        <x:v>ET-A-A-TECH-2</x:v>
      </x:c>
      <x:c r="F1404" s="9" t="str">
        <x:v>ET-A-A</x:v>
      </x:c>
      <x:c r="G1404" s="9" t="str">
        <x:v>B1</x:v>
      </x:c>
      <x:c r="H1404" s="9" t="str">
        <x:v>RCN</x:v>
      </x:c>
      <x:c r="I1404" s="9" t="n">
        <x:v>6</x:v>
      </x:c>
      <x:c r="J1404" s="9" t="n">
        <x:v>4</x:v>
      </x:c>
      <x:c r="K1404" s="9" t="str">
        <x:v>ET-A-A-N3</x:v>
      </x:c>
      <x:c r="L1404" s="9" t="str">
        <x:v>ST08</x:v>
      </x:c>
      <x:c r="M1404" s="17" t="str">
        <x:v>Manual stop and safety</x:v>
      </x:c>
      <x:c r="N1404" s="17" t="str">
        <x:v>local stop, evacuation and protection routes are active</x:v>
      </x:c>
      <x:c r="O1404" s="17" t="str">
        <x:v>Safety authority</x:v>
      </x:c>
      <x:c r="P1404" s="9" t="n">
        <x:v>0</x:v>
      </x:c>
      <x:c r="Q1404" s="9" t="n">
        <x:v>0</x:v>
      </x:c>
      <x:c r="R1404" s="9" t="str">
        <x:v>OPEN / UNSTARTED</x:v>
      </x:c>
      <x:c r="S1404" s="9" t="n">
        <x:f>COUNTIFS($A$7:$A$1446,A1404)</x:f>
        <x:v>1</x:v>
      </x:c>
    </x:row>
    <x:row r="1405">
      <x:c r="A1405" s="9" t="str">
        <x:v>EV-AR-ET-A-A-TECH-2-B1-RCN-G0-ST09</x:v>
      </x:c>
      <x:c r="B1405" s="9" t="str">
        <x:v>EV-AR-ET-A-A-TECH-2-B1-RCN-G0</x:v>
      </x:c>
      <x:c r="C1405" s="9" t="str">
        <x:v>EOW-AR-ET-A-A-TECH-2-B1-RCN-G0</x:v>
      </x:c>
      <x:c r="D1405" s="9" t="str">
        <x:v>AR-ET-A-A-TECH-2-B1-RCN-G0</x:v>
      </x:c>
      <x:c r="E1405" s="9" t="str">
        <x:v>ET-A-A-TECH-2</x:v>
      </x:c>
      <x:c r="F1405" s="9" t="str">
        <x:v>ET-A-A</x:v>
      </x:c>
      <x:c r="G1405" s="9" t="str">
        <x:v>B1</x:v>
      </x:c>
      <x:c r="H1405" s="9" t="str">
        <x:v>RCN</x:v>
      </x:c>
      <x:c r="I1405" s="9" t="n">
        <x:v>6</x:v>
      </x:c>
      <x:c r="J1405" s="9" t="n">
        <x:v>4</x:v>
      </x:c>
      <x:c r="K1405" s="9" t="str">
        <x:v>ET-A-A-N3</x:v>
      </x:c>
      <x:c r="L1405" s="9" t="str">
        <x:v>ST09</x:v>
      </x:c>
      <x:c r="M1405" s="17" t="str">
        <x:v>Operator conflict clear</x:v>
      </x:c>
      <x:c r="N1405" s="17" t="str">
        <x:v>candidate, fixture, safety and measurement control edges remain separated</x:v>
      </x:c>
      <x:c r="O1405" s="17" t="str">
        <x:v>Conflict registrar</x:v>
      </x:c>
      <x:c r="P1405" s="9" t="n">
        <x:v>0</x:v>
      </x:c>
      <x:c r="Q1405" s="9" t="n">
        <x:v>0</x:v>
      </x:c>
      <x:c r="R1405" s="9" t="str">
        <x:v>OPEN / UNSTARTED</x:v>
      </x:c>
      <x:c r="S1405" s="9" t="n">
        <x:f>COUNTIFS($A$7:$A$1446,A1405)</x:f>
        <x:v>1</x:v>
      </x:c>
    </x:row>
    <x:row r="1406">
      <x:c r="A1406" s="9" t="str">
        <x:v>EV-AR-ET-A-A-TECH-2-B1-RCN-G0-ST10</x:v>
      </x:c>
      <x:c r="B1406" s="9" t="str">
        <x:v>EV-AR-ET-A-A-TECH-2-B1-RCN-G0</x:v>
      </x:c>
      <x:c r="C1406" s="9" t="str">
        <x:v>EOW-AR-ET-A-A-TECH-2-B1-RCN-G0</x:v>
      </x:c>
      <x:c r="D1406" s="9" t="str">
        <x:v>AR-ET-A-A-TECH-2-B1-RCN-G0</x:v>
      </x:c>
      <x:c r="E1406" s="9" t="str">
        <x:v>ET-A-A-TECH-2</x:v>
      </x:c>
      <x:c r="F1406" s="9" t="str">
        <x:v>ET-A-A</x:v>
      </x:c>
      <x:c r="G1406" s="9" t="str">
        <x:v>B1</x:v>
      </x:c>
      <x:c r="H1406" s="9" t="str">
        <x:v>RCN</x:v>
      </x:c>
      <x:c r="I1406" s="9" t="n">
        <x:v>6</x:v>
      </x:c>
      <x:c r="J1406" s="9" t="n">
        <x:v>4</x:v>
      </x:c>
      <x:c r="K1406" s="9" t="str">
        <x:v>ET-A-A-N3</x:v>
      </x:c>
      <x:c r="L1406" s="9" t="str">
        <x:v>ST10</x:v>
      </x:c>
      <x:c r="M1406" s="17" t="str">
        <x:v>Window and common clock</x:v>
      </x:c>
      <x:c r="N1406" s="17" t="str">
        <x:v>epoch, window and public time origin match the issued warrant</x:v>
      </x:c>
      <x:c r="O1406" s="17" t="str">
        <x:v>Event clock authority</x:v>
      </x:c>
      <x:c r="P1406" s="9" t="n">
        <x:v>0</x:v>
      </x:c>
      <x:c r="Q1406" s="9" t="n">
        <x:v>0</x:v>
      </x:c>
      <x:c r="R1406" s="9" t="str">
        <x:v>OPEN / UNSTARTED</x:v>
      </x:c>
      <x:c r="S1406" s="9" t="n">
        <x:f>COUNTIFS($A$7:$A$1446,A1406)</x:f>
        <x:v>1</x:v>
      </x:c>
    </x:row>
    <x:row r="1407">
      <x:c r="A1407" s="9" t="str">
        <x:v>EV-AR-HC-A-C-TECH-2-B1-BRK-G0-ST01</x:v>
      </x:c>
      <x:c r="B1407" s="9" t="str">
        <x:v>EV-AR-HC-A-C-TECH-2-B1-BRK-G0</x:v>
      </x:c>
      <x:c r="C1407" s="9" t="str">
        <x:v>EOW-AR-HC-A-C-TECH-2-B1-BRK-G0</x:v>
      </x:c>
      <x:c r="D1407" s="9" t="str">
        <x:v>AR-HC-A-C-TECH-2-B1-BRK-G0</x:v>
      </x:c>
      <x:c r="E1407" s="9" t="str">
        <x:v>HC-A-C-TECH-2</x:v>
      </x:c>
      <x:c r="F1407" s="9" t="str">
        <x:v>HC-A-C</x:v>
      </x:c>
      <x:c r="G1407" s="9" t="str">
        <x:v>B1</x:v>
      </x:c>
      <x:c r="H1407" s="9" t="str">
        <x:v>BRK</x:v>
      </x:c>
      <x:c r="I1407" s="9" t="n">
        <x:v>6</x:v>
      </x:c>
      <x:c r="J1407" s="9" t="n">
        <x:v>4</x:v>
      </x:c>
      <x:c r="K1407" s="9" t="str">
        <x:v>HC-A-C-N2</x:v>
      </x:c>
      <x:c r="L1407" s="9" t="str">
        <x:v>ST01</x:v>
      </x:c>
      <x:c r="M1407" s="17" t="str">
        <x:v>Active opportunity warrant</x:v>
      </x:c>
      <x:c r="N1407" s="17" t="str">
        <x:v>configuration-bound EOW is within its thirty-six-hour validity</x:v>
      </x:c>
      <x:c r="O1407" s="17" t="str">
        <x:v>Start registrar</x:v>
      </x:c>
      <x:c r="P1407" s="9" t="n">
        <x:v>0</x:v>
      </x:c>
      <x:c r="Q1407" s="9" t="n">
        <x:v>0</x:v>
      </x:c>
      <x:c r="R1407" s="9" t="str">
        <x:v>OPEN / UNSTARTED</x:v>
      </x:c>
      <x:c r="S1407" s="9" t="n">
        <x:f>COUNTIFS($A$7:$A$1446,A1407)</x:f>
        <x:v>1</x:v>
      </x:c>
    </x:row>
    <x:row r="1408">
      <x:c r="A1408" s="9" t="str">
        <x:v>EV-AR-HC-A-C-TECH-2-B1-BRK-G0-ST02</x:v>
      </x:c>
      <x:c r="B1408" s="9" t="str">
        <x:v>EV-AR-HC-A-C-TECH-2-B1-BRK-G0</x:v>
      </x:c>
      <x:c r="C1408" s="9" t="str">
        <x:v>EOW-AR-HC-A-C-TECH-2-B1-BRK-G0</x:v>
      </x:c>
      <x:c r="D1408" s="9" t="str">
        <x:v>AR-HC-A-C-TECH-2-B1-BRK-G0</x:v>
      </x:c>
      <x:c r="E1408" s="9" t="str">
        <x:v>HC-A-C-TECH-2</x:v>
      </x:c>
      <x:c r="F1408" s="9" t="str">
        <x:v>HC-A-C</x:v>
      </x:c>
      <x:c r="G1408" s="9" t="str">
        <x:v>B1</x:v>
      </x:c>
      <x:c r="H1408" s="9" t="str">
        <x:v>BRK</x:v>
      </x:c>
      <x:c r="I1408" s="9" t="n">
        <x:v>6</x:v>
      </x:c>
      <x:c r="J1408" s="9" t="n">
        <x:v>4</x:v>
      </x:c>
      <x:c r="K1408" s="9" t="str">
        <x:v>HC-A-C-N2</x:v>
      </x:c>
      <x:c r="L1408" s="9" t="str">
        <x:v>ST02</x:v>
      </x:c>
      <x:c r="M1408" s="17" t="str">
        <x:v>Frozen identity</x:v>
      </x:c>
      <x:c r="N1408" s="17" t="str">
        <x:v>serial, generation, fixture, site, receiver and digest match the warrant</x:v>
      </x:c>
      <x:c r="O1408" s="17" t="str">
        <x:v>Custody authority</x:v>
      </x:c>
      <x:c r="P1408" s="9" t="n">
        <x:v>0</x:v>
      </x:c>
      <x:c r="Q1408" s="9" t="n">
        <x:v>0</x:v>
      </x:c>
      <x:c r="R1408" s="9" t="str">
        <x:v>OPEN / UNSTARTED</x:v>
      </x:c>
      <x:c r="S1408" s="9" t="n">
        <x:f>COUNTIFS($A$7:$A$1446,A1408)</x:f>
        <x:v>1</x:v>
      </x:c>
    </x:row>
    <x:row r="1409">
      <x:c r="A1409" s="9" t="str">
        <x:v>EV-AR-HC-A-C-TECH-2-B1-BRK-G0-ST03</x:v>
      </x:c>
      <x:c r="B1409" s="9" t="str">
        <x:v>EV-AR-HC-A-C-TECH-2-B1-BRK-G0</x:v>
      </x:c>
      <x:c r="C1409" s="9" t="str">
        <x:v>EOW-AR-HC-A-C-TECH-2-B1-BRK-G0</x:v>
      </x:c>
      <x:c r="D1409" s="9" t="str">
        <x:v>AR-HC-A-C-TECH-2-B1-BRK-G0</x:v>
      </x:c>
      <x:c r="E1409" s="9" t="str">
        <x:v>HC-A-C-TECH-2</x:v>
      </x:c>
      <x:c r="F1409" s="9" t="str">
        <x:v>HC-A-C</x:v>
      </x:c>
      <x:c r="G1409" s="9" t="str">
        <x:v>B1</x:v>
      </x:c>
      <x:c r="H1409" s="9" t="str">
        <x:v>BRK</x:v>
      </x:c>
      <x:c r="I1409" s="9" t="n">
        <x:v>6</x:v>
      </x:c>
      <x:c r="J1409" s="9" t="n">
        <x:v>4</x:v>
      </x:c>
      <x:c r="K1409" s="9" t="str">
        <x:v>HC-A-C-N2</x:v>
      </x:c>
      <x:c r="L1409" s="9" t="str">
        <x:v>ST03</x:v>
      </x:c>
      <x:c r="M1409" s="17" t="str">
        <x:v>Receiver receipt</x:v>
      </x:c>
      <x:c r="N1409" s="17" t="str">
        <x:v>denominator, counterfactual, rights and stop receipt remain unchanged</x:v>
      </x:c>
      <x:c r="O1409" s="17" t="str">
        <x:v>Receiver authority</x:v>
      </x:c>
      <x:c r="P1409" s="9" t="n">
        <x:v>0</x:v>
      </x:c>
      <x:c r="Q1409" s="9" t="n">
        <x:v>0</x:v>
      </x:c>
      <x:c r="R1409" s="9" t="str">
        <x:v>OPEN / UNSTARTED</x:v>
      </x:c>
      <x:c r="S1409" s="9" t="n">
        <x:f>COUNTIFS($A$7:$A$1446,A1409)</x:f>
        <x:v>1</x:v>
      </x:c>
    </x:row>
    <x:row r="1410">
      <x:c r="A1410" s="9" t="str">
        <x:v>EV-AR-HC-A-C-TECH-2-B1-BRK-G0-ST04</x:v>
      </x:c>
      <x:c r="B1410" s="9" t="str">
        <x:v>EV-AR-HC-A-C-TECH-2-B1-BRK-G0</x:v>
      </x:c>
      <x:c r="C1410" s="9" t="str">
        <x:v>EOW-AR-HC-A-C-TECH-2-B1-BRK-G0</x:v>
      </x:c>
      <x:c r="D1410" s="9" t="str">
        <x:v>AR-HC-A-C-TECH-2-B1-BRK-G0</x:v>
      </x:c>
      <x:c r="E1410" s="9" t="str">
        <x:v>HC-A-C-TECH-2</x:v>
      </x:c>
      <x:c r="F1410" s="9" t="str">
        <x:v>HC-A-C</x:v>
      </x:c>
      <x:c r="G1410" s="9" t="str">
        <x:v>B1</x:v>
      </x:c>
      <x:c r="H1410" s="9" t="str">
        <x:v>BRK</x:v>
      </x:c>
      <x:c r="I1410" s="9" t="n">
        <x:v>6</x:v>
      </x:c>
      <x:c r="J1410" s="9" t="n">
        <x:v>4</x:v>
      </x:c>
      <x:c r="K1410" s="9" t="str">
        <x:v>HC-A-C-N2</x:v>
      </x:c>
      <x:c r="L1410" s="9" t="str">
        <x:v>ST04</x:v>
      </x:c>
      <x:c r="M1410" s="17" t="str">
        <x:v>Primary capture armed</x:v>
      </x:c>
      <x:c r="N1410" s="17" t="str">
        <x:v>primary chain records sealed reference and live time</x:v>
      </x:c>
      <x:c r="O1410" s="17" t="str">
        <x:v>Primary metrology</x:v>
      </x:c>
      <x:c r="P1410" s="9" t="n">
        <x:v>0</x:v>
      </x:c>
      <x:c r="Q1410" s="9" t="n">
        <x:v>0</x:v>
      </x:c>
      <x:c r="R1410" s="9" t="str">
        <x:v>OPEN / UNSTARTED</x:v>
      </x:c>
      <x:c r="S1410" s="9" t="n">
        <x:f>COUNTIFS($A$7:$A$1446,A1410)</x:f>
        <x:v>1</x:v>
      </x:c>
    </x:row>
    <x:row r="1411">
      <x:c r="A1411" s="9" t="str">
        <x:v>EV-AR-HC-A-C-TECH-2-B1-BRK-G0-ST05</x:v>
      </x:c>
      <x:c r="B1411" s="9" t="str">
        <x:v>EV-AR-HC-A-C-TECH-2-B1-BRK-G0</x:v>
      </x:c>
      <x:c r="C1411" s="9" t="str">
        <x:v>EOW-AR-HC-A-C-TECH-2-B1-BRK-G0</x:v>
      </x:c>
      <x:c r="D1411" s="9" t="str">
        <x:v>AR-HC-A-C-TECH-2-B1-BRK-G0</x:v>
      </x:c>
      <x:c r="E1411" s="9" t="str">
        <x:v>HC-A-C-TECH-2</x:v>
      </x:c>
      <x:c r="F1411" s="9" t="str">
        <x:v>HC-A-C</x:v>
      </x:c>
      <x:c r="G1411" s="9" t="str">
        <x:v>B1</x:v>
      </x:c>
      <x:c r="H1411" s="9" t="str">
        <x:v>BRK</x:v>
      </x:c>
      <x:c r="I1411" s="9" t="n">
        <x:v>6</x:v>
      </x:c>
      <x:c r="J1411" s="9" t="n">
        <x:v>4</x:v>
      </x:c>
      <x:c r="K1411" s="9" t="str">
        <x:v>HC-A-C-N2</x:v>
      </x:c>
      <x:c r="L1411" s="9" t="str">
        <x:v>ST05</x:v>
      </x:c>
      <x:c r="M1411" s="17" t="str">
        <x:v>Witness capture armed</x:v>
      </x:c>
      <x:c r="N1411" s="17" t="str">
        <x:v>unlike witness records independent reference and live time</x:v>
      </x:c>
      <x:c r="O1411" s="17" t="str">
        <x:v>Witness metrology</x:v>
      </x:c>
      <x:c r="P1411" s="9" t="n">
        <x:v>0</x:v>
      </x:c>
      <x:c r="Q1411" s="9" t="n">
        <x:v>0</x:v>
      </x:c>
      <x:c r="R1411" s="9" t="str">
        <x:v>OPEN / UNSTARTED</x:v>
      </x:c>
      <x:c r="S1411" s="9" t="n">
        <x:f>COUNTIFS($A$7:$A$1446,A1411)</x:f>
        <x:v>1</x:v>
      </x:c>
    </x:row>
    <x:row r="1412">
      <x:c r="A1412" s="9" t="str">
        <x:v>EV-AR-HC-A-C-TECH-2-B1-BRK-G0-ST06</x:v>
      </x:c>
      <x:c r="B1412" s="9" t="str">
        <x:v>EV-AR-HC-A-C-TECH-2-B1-BRK-G0</x:v>
      </x:c>
      <x:c r="C1412" s="9" t="str">
        <x:v>EOW-AR-HC-A-C-TECH-2-B1-BRK-G0</x:v>
      </x:c>
      <x:c r="D1412" s="9" t="str">
        <x:v>AR-HC-A-C-TECH-2-B1-BRK-G0</x:v>
      </x:c>
      <x:c r="E1412" s="9" t="str">
        <x:v>HC-A-C-TECH-2</x:v>
      </x:c>
      <x:c r="F1412" s="9" t="str">
        <x:v>HC-A-C</x:v>
      </x:c>
      <x:c r="G1412" s="9" t="str">
        <x:v>B1</x:v>
      </x:c>
      <x:c r="H1412" s="9" t="str">
        <x:v>BRK</x:v>
      </x:c>
      <x:c r="I1412" s="9" t="n">
        <x:v>6</x:v>
      </x:c>
      <x:c r="J1412" s="9" t="n">
        <x:v>4</x:v>
      </x:c>
      <x:c r="K1412" s="9" t="str">
        <x:v>HC-A-C-N2</x:v>
      </x:c>
      <x:c r="L1412" s="9" t="str">
        <x:v>ST06</x:v>
      </x:c>
      <x:c r="M1412" s="17" t="str">
        <x:v>Public custody armed</x:v>
      </x:c>
      <x:c r="N1412" s="17" t="str">
        <x:v>eight raw origins have separated hash and replica routes</x:v>
      </x:c>
      <x:c r="O1412" s="17" t="str">
        <x:v>Custody authority</x:v>
      </x:c>
      <x:c r="P1412" s="9" t="n">
        <x:v>0</x:v>
      </x:c>
      <x:c r="Q1412" s="9" t="n">
        <x:v>0</x:v>
      </x:c>
      <x:c r="R1412" s="9" t="str">
        <x:v>OPEN / UNSTARTED</x:v>
      </x:c>
      <x:c r="S1412" s="9" t="n">
        <x:f>COUNTIFS($A$7:$A$1446,A1412)</x:f>
        <x:v>1</x:v>
      </x:c>
    </x:row>
    <x:row r="1413">
      <x:c r="A1413" s="9" t="str">
        <x:v>EV-AR-HC-A-C-TECH-2-B1-BRK-G0-ST07</x:v>
      </x:c>
      <x:c r="B1413" s="9" t="str">
        <x:v>EV-AR-HC-A-C-TECH-2-B1-BRK-G0</x:v>
      </x:c>
      <x:c r="C1413" s="9" t="str">
        <x:v>EOW-AR-HC-A-C-TECH-2-B1-BRK-G0</x:v>
      </x:c>
      <x:c r="D1413" s="9" t="str">
        <x:v>AR-HC-A-C-TECH-2-B1-BRK-G0</x:v>
      </x:c>
      <x:c r="E1413" s="9" t="str">
        <x:v>HC-A-C-TECH-2</x:v>
      </x:c>
      <x:c r="F1413" s="9" t="str">
        <x:v>HC-A-C</x:v>
      </x:c>
      <x:c r="G1413" s="9" t="str">
        <x:v>B1</x:v>
      </x:c>
      <x:c r="H1413" s="9" t="str">
        <x:v>BRK</x:v>
      </x:c>
      <x:c r="I1413" s="9" t="n">
        <x:v>6</x:v>
      </x:c>
      <x:c r="J1413" s="9" t="n">
        <x:v>4</x:v>
      </x:c>
      <x:c r="K1413" s="9" t="str">
        <x:v>HC-A-C-N2</x:v>
      </x:c>
      <x:c r="L1413" s="9" t="str">
        <x:v>ST07</x:v>
      </x:c>
      <x:c r="M1413" s="17" t="str">
        <x:v>Environmental baseline</x:v>
      </x:c>
      <x:c r="N1413" s="17" t="str">
        <x:v>pre-event boundary state is sealed before decisive operation</x:v>
      </x:c>
      <x:c r="O1413" s="17" t="str">
        <x:v>Site metrology</x:v>
      </x:c>
      <x:c r="P1413" s="9" t="n">
        <x:v>0</x:v>
      </x:c>
      <x:c r="Q1413" s="9" t="n">
        <x:v>0</x:v>
      </x:c>
      <x:c r="R1413" s="9" t="str">
        <x:v>OPEN / UNSTARTED</x:v>
      </x:c>
      <x:c r="S1413" s="9" t="n">
        <x:f>COUNTIFS($A$7:$A$1446,A1413)</x:f>
        <x:v>1</x:v>
      </x:c>
    </x:row>
    <x:row r="1414">
      <x:c r="A1414" s="9" t="str">
        <x:v>EV-AR-HC-A-C-TECH-2-B1-BRK-G0-ST08</x:v>
      </x:c>
      <x:c r="B1414" s="9" t="str">
        <x:v>EV-AR-HC-A-C-TECH-2-B1-BRK-G0</x:v>
      </x:c>
      <x:c r="C1414" s="9" t="str">
        <x:v>EOW-AR-HC-A-C-TECH-2-B1-BRK-G0</x:v>
      </x:c>
      <x:c r="D1414" s="9" t="str">
        <x:v>AR-HC-A-C-TECH-2-B1-BRK-G0</x:v>
      </x:c>
      <x:c r="E1414" s="9" t="str">
        <x:v>HC-A-C-TECH-2</x:v>
      </x:c>
      <x:c r="F1414" s="9" t="str">
        <x:v>HC-A-C</x:v>
      </x:c>
      <x:c r="G1414" s="9" t="str">
        <x:v>B1</x:v>
      </x:c>
      <x:c r="H1414" s="9" t="str">
        <x:v>BRK</x:v>
      </x:c>
      <x:c r="I1414" s="9" t="n">
        <x:v>6</x:v>
      </x:c>
      <x:c r="J1414" s="9" t="n">
        <x:v>4</x:v>
      </x:c>
      <x:c r="K1414" s="9" t="str">
        <x:v>HC-A-C-N2</x:v>
      </x:c>
      <x:c r="L1414" s="9" t="str">
        <x:v>ST08</x:v>
      </x:c>
      <x:c r="M1414" s="17" t="str">
        <x:v>Manual stop and safety</x:v>
      </x:c>
      <x:c r="N1414" s="17" t="str">
        <x:v>local stop, evacuation and protection routes are active</x:v>
      </x:c>
      <x:c r="O1414" s="17" t="str">
        <x:v>Safety authority</x:v>
      </x:c>
      <x:c r="P1414" s="9" t="n">
        <x:v>0</x:v>
      </x:c>
      <x:c r="Q1414" s="9" t="n">
        <x:v>0</x:v>
      </x:c>
      <x:c r="R1414" s="9" t="str">
        <x:v>OPEN / UNSTARTED</x:v>
      </x:c>
      <x:c r="S1414" s="9" t="n">
        <x:f>COUNTIFS($A$7:$A$1446,A1414)</x:f>
        <x:v>1</x:v>
      </x:c>
    </x:row>
    <x:row r="1415">
      <x:c r="A1415" s="9" t="str">
        <x:v>EV-AR-HC-A-C-TECH-2-B1-BRK-G0-ST09</x:v>
      </x:c>
      <x:c r="B1415" s="9" t="str">
        <x:v>EV-AR-HC-A-C-TECH-2-B1-BRK-G0</x:v>
      </x:c>
      <x:c r="C1415" s="9" t="str">
        <x:v>EOW-AR-HC-A-C-TECH-2-B1-BRK-G0</x:v>
      </x:c>
      <x:c r="D1415" s="9" t="str">
        <x:v>AR-HC-A-C-TECH-2-B1-BRK-G0</x:v>
      </x:c>
      <x:c r="E1415" s="9" t="str">
        <x:v>HC-A-C-TECH-2</x:v>
      </x:c>
      <x:c r="F1415" s="9" t="str">
        <x:v>HC-A-C</x:v>
      </x:c>
      <x:c r="G1415" s="9" t="str">
        <x:v>B1</x:v>
      </x:c>
      <x:c r="H1415" s="9" t="str">
        <x:v>BRK</x:v>
      </x:c>
      <x:c r="I1415" s="9" t="n">
        <x:v>6</x:v>
      </x:c>
      <x:c r="J1415" s="9" t="n">
        <x:v>4</x:v>
      </x:c>
      <x:c r="K1415" s="9" t="str">
        <x:v>HC-A-C-N2</x:v>
      </x:c>
      <x:c r="L1415" s="9" t="str">
        <x:v>ST09</x:v>
      </x:c>
      <x:c r="M1415" s="17" t="str">
        <x:v>Operator conflict clear</x:v>
      </x:c>
      <x:c r="N1415" s="17" t="str">
        <x:v>candidate, fixture, safety and measurement control edges remain separated</x:v>
      </x:c>
      <x:c r="O1415" s="17" t="str">
        <x:v>Conflict registrar</x:v>
      </x:c>
      <x:c r="P1415" s="9" t="n">
        <x:v>0</x:v>
      </x:c>
      <x:c r="Q1415" s="9" t="n">
        <x:v>0</x:v>
      </x:c>
      <x:c r="R1415" s="9" t="str">
        <x:v>OPEN / UNSTARTED</x:v>
      </x:c>
      <x:c r="S1415" s="9" t="n">
        <x:f>COUNTIFS($A$7:$A$1446,A1415)</x:f>
        <x:v>1</x:v>
      </x:c>
    </x:row>
    <x:row r="1416">
      <x:c r="A1416" s="9" t="str">
        <x:v>EV-AR-HC-A-C-TECH-2-B1-BRK-G0-ST10</x:v>
      </x:c>
      <x:c r="B1416" s="9" t="str">
        <x:v>EV-AR-HC-A-C-TECH-2-B1-BRK-G0</x:v>
      </x:c>
      <x:c r="C1416" s="9" t="str">
        <x:v>EOW-AR-HC-A-C-TECH-2-B1-BRK-G0</x:v>
      </x:c>
      <x:c r="D1416" s="9" t="str">
        <x:v>AR-HC-A-C-TECH-2-B1-BRK-G0</x:v>
      </x:c>
      <x:c r="E1416" s="9" t="str">
        <x:v>HC-A-C-TECH-2</x:v>
      </x:c>
      <x:c r="F1416" s="9" t="str">
        <x:v>HC-A-C</x:v>
      </x:c>
      <x:c r="G1416" s="9" t="str">
        <x:v>B1</x:v>
      </x:c>
      <x:c r="H1416" s="9" t="str">
        <x:v>BRK</x:v>
      </x:c>
      <x:c r="I1416" s="9" t="n">
        <x:v>6</x:v>
      </x:c>
      <x:c r="J1416" s="9" t="n">
        <x:v>4</x:v>
      </x:c>
      <x:c r="K1416" s="9" t="str">
        <x:v>HC-A-C-N2</x:v>
      </x:c>
      <x:c r="L1416" s="9" t="str">
        <x:v>ST10</x:v>
      </x:c>
      <x:c r="M1416" s="17" t="str">
        <x:v>Window and common clock</x:v>
      </x:c>
      <x:c r="N1416" s="17" t="str">
        <x:v>epoch, window and public time origin match the issued warrant</x:v>
      </x:c>
      <x:c r="O1416" s="17" t="str">
        <x:v>Event clock authority</x:v>
      </x:c>
      <x:c r="P1416" s="9" t="n">
        <x:v>0</x:v>
      </x:c>
      <x:c r="Q1416" s="9" t="n">
        <x:v>0</x:v>
      </x:c>
      <x:c r="R1416" s="9" t="str">
        <x:v>OPEN / UNSTARTED</x:v>
      </x:c>
      <x:c r="S1416" s="9" t="n">
        <x:f>COUNTIFS($A$7:$A$1446,A1416)</x:f>
        <x:v>1</x:v>
      </x:c>
    </x:row>
    <x:row r="1417">
      <x:c r="A1417" s="9" t="str">
        <x:v>EV-AR-HU-A-B-TECH-2-B1-INT-G0-ST01</x:v>
      </x:c>
      <x:c r="B1417" s="9" t="str">
        <x:v>EV-AR-HU-A-B-TECH-2-B1-INT-G0</x:v>
      </x:c>
      <x:c r="C1417" s="9" t="str">
        <x:v>EOW-AR-HU-A-B-TECH-2-B1-INT-G0</x:v>
      </x:c>
      <x:c r="D1417" s="9" t="str">
        <x:v>AR-HU-A-B-TECH-2-B1-INT-G0</x:v>
      </x:c>
      <x:c r="E1417" s="9" t="str">
        <x:v>HU-A-B-TECH-2</x:v>
      </x:c>
      <x:c r="F1417" s="9" t="str">
        <x:v>HU-A-B</x:v>
      </x:c>
      <x:c r="G1417" s="9" t="str">
        <x:v>B1</x:v>
      </x:c>
      <x:c r="H1417" s="9" t="str">
        <x:v>INT</x:v>
      </x:c>
      <x:c r="I1417" s="9" t="n">
        <x:v>6</x:v>
      </x:c>
      <x:c r="J1417" s="9" t="n">
        <x:v>4</x:v>
      </x:c>
      <x:c r="K1417" s="9" t="str">
        <x:v>HU-A-B-N3</x:v>
      </x:c>
      <x:c r="L1417" s="9" t="str">
        <x:v>ST01</x:v>
      </x:c>
      <x:c r="M1417" s="17" t="str">
        <x:v>Active opportunity warrant</x:v>
      </x:c>
      <x:c r="N1417" s="17" t="str">
        <x:v>configuration-bound EOW is within its thirty-six-hour validity</x:v>
      </x:c>
      <x:c r="O1417" s="17" t="str">
        <x:v>Start registrar</x:v>
      </x:c>
      <x:c r="P1417" s="9" t="n">
        <x:v>0</x:v>
      </x:c>
      <x:c r="Q1417" s="9" t="n">
        <x:v>0</x:v>
      </x:c>
      <x:c r="R1417" s="9" t="str">
        <x:v>OPEN / UNSTARTED</x:v>
      </x:c>
      <x:c r="S1417" s="9" t="n">
        <x:f>COUNTIFS($A$7:$A$1446,A1417)</x:f>
        <x:v>1</x:v>
      </x:c>
    </x:row>
    <x:row r="1418">
      <x:c r="A1418" s="9" t="str">
        <x:v>EV-AR-HU-A-B-TECH-2-B1-INT-G0-ST02</x:v>
      </x:c>
      <x:c r="B1418" s="9" t="str">
        <x:v>EV-AR-HU-A-B-TECH-2-B1-INT-G0</x:v>
      </x:c>
      <x:c r="C1418" s="9" t="str">
        <x:v>EOW-AR-HU-A-B-TECH-2-B1-INT-G0</x:v>
      </x:c>
      <x:c r="D1418" s="9" t="str">
        <x:v>AR-HU-A-B-TECH-2-B1-INT-G0</x:v>
      </x:c>
      <x:c r="E1418" s="9" t="str">
        <x:v>HU-A-B-TECH-2</x:v>
      </x:c>
      <x:c r="F1418" s="9" t="str">
        <x:v>HU-A-B</x:v>
      </x:c>
      <x:c r="G1418" s="9" t="str">
        <x:v>B1</x:v>
      </x:c>
      <x:c r="H1418" s="9" t="str">
        <x:v>INT</x:v>
      </x:c>
      <x:c r="I1418" s="9" t="n">
        <x:v>6</x:v>
      </x:c>
      <x:c r="J1418" s="9" t="n">
        <x:v>4</x:v>
      </x:c>
      <x:c r="K1418" s="9" t="str">
        <x:v>HU-A-B-N3</x:v>
      </x:c>
      <x:c r="L1418" s="9" t="str">
        <x:v>ST02</x:v>
      </x:c>
      <x:c r="M1418" s="17" t="str">
        <x:v>Frozen identity</x:v>
      </x:c>
      <x:c r="N1418" s="17" t="str">
        <x:v>serial, generation, fixture, site, receiver and digest match the warrant</x:v>
      </x:c>
      <x:c r="O1418" s="17" t="str">
        <x:v>Custody authority</x:v>
      </x:c>
      <x:c r="P1418" s="9" t="n">
        <x:v>0</x:v>
      </x:c>
      <x:c r="Q1418" s="9" t="n">
        <x:v>0</x:v>
      </x:c>
      <x:c r="R1418" s="9" t="str">
        <x:v>OPEN / UNSTARTED</x:v>
      </x:c>
      <x:c r="S1418" s="9" t="n">
        <x:f>COUNTIFS($A$7:$A$1446,A1418)</x:f>
        <x:v>1</x:v>
      </x:c>
    </x:row>
    <x:row r="1419">
      <x:c r="A1419" s="9" t="str">
        <x:v>EV-AR-HU-A-B-TECH-2-B1-INT-G0-ST03</x:v>
      </x:c>
      <x:c r="B1419" s="9" t="str">
        <x:v>EV-AR-HU-A-B-TECH-2-B1-INT-G0</x:v>
      </x:c>
      <x:c r="C1419" s="9" t="str">
        <x:v>EOW-AR-HU-A-B-TECH-2-B1-INT-G0</x:v>
      </x:c>
      <x:c r="D1419" s="9" t="str">
        <x:v>AR-HU-A-B-TECH-2-B1-INT-G0</x:v>
      </x:c>
      <x:c r="E1419" s="9" t="str">
        <x:v>HU-A-B-TECH-2</x:v>
      </x:c>
      <x:c r="F1419" s="9" t="str">
        <x:v>HU-A-B</x:v>
      </x:c>
      <x:c r="G1419" s="9" t="str">
        <x:v>B1</x:v>
      </x:c>
      <x:c r="H1419" s="9" t="str">
        <x:v>INT</x:v>
      </x:c>
      <x:c r="I1419" s="9" t="n">
        <x:v>6</x:v>
      </x:c>
      <x:c r="J1419" s="9" t="n">
        <x:v>4</x:v>
      </x:c>
      <x:c r="K1419" s="9" t="str">
        <x:v>HU-A-B-N3</x:v>
      </x:c>
      <x:c r="L1419" s="9" t="str">
        <x:v>ST03</x:v>
      </x:c>
      <x:c r="M1419" s="17" t="str">
        <x:v>Receiver receipt</x:v>
      </x:c>
      <x:c r="N1419" s="17" t="str">
        <x:v>denominator, counterfactual, rights and stop receipt remain unchanged</x:v>
      </x:c>
      <x:c r="O1419" s="17" t="str">
        <x:v>Receiver authority</x:v>
      </x:c>
      <x:c r="P1419" s="9" t="n">
        <x:v>0</x:v>
      </x:c>
      <x:c r="Q1419" s="9" t="n">
        <x:v>0</x:v>
      </x:c>
      <x:c r="R1419" s="9" t="str">
        <x:v>OPEN / UNSTARTED</x:v>
      </x:c>
      <x:c r="S1419" s="9" t="n">
        <x:f>COUNTIFS($A$7:$A$1446,A1419)</x:f>
        <x:v>1</x:v>
      </x:c>
    </x:row>
    <x:row r="1420">
      <x:c r="A1420" s="9" t="str">
        <x:v>EV-AR-HU-A-B-TECH-2-B1-INT-G0-ST04</x:v>
      </x:c>
      <x:c r="B1420" s="9" t="str">
        <x:v>EV-AR-HU-A-B-TECH-2-B1-INT-G0</x:v>
      </x:c>
      <x:c r="C1420" s="9" t="str">
        <x:v>EOW-AR-HU-A-B-TECH-2-B1-INT-G0</x:v>
      </x:c>
      <x:c r="D1420" s="9" t="str">
        <x:v>AR-HU-A-B-TECH-2-B1-INT-G0</x:v>
      </x:c>
      <x:c r="E1420" s="9" t="str">
        <x:v>HU-A-B-TECH-2</x:v>
      </x:c>
      <x:c r="F1420" s="9" t="str">
        <x:v>HU-A-B</x:v>
      </x:c>
      <x:c r="G1420" s="9" t="str">
        <x:v>B1</x:v>
      </x:c>
      <x:c r="H1420" s="9" t="str">
        <x:v>INT</x:v>
      </x:c>
      <x:c r="I1420" s="9" t="n">
        <x:v>6</x:v>
      </x:c>
      <x:c r="J1420" s="9" t="n">
        <x:v>4</x:v>
      </x:c>
      <x:c r="K1420" s="9" t="str">
        <x:v>HU-A-B-N3</x:v>
      </x:c>
      <x:c r="L1420" s="9" t="str">
        <x:v>ST04</x:v>
      </x:c>
      <x:c r="M1420" s="17" t="str">
        <x:v>Primary capture armed</x:v>
      </x:c>
      <x:c r="N1420" s="17" t="str">
        <x:v>primary chain records sealed reference and live time</x:v>
      </x:c>
      <x:c r="O1420" s="17" t="str">
        <x:v>Primary metrology</x:v>
      </x:c>
      <x:c r="P1420" s="9" t="n">
        <x:v>0</x:v>
      </x:c>
      <x:c r="Q1420" s="9" t="n">
        <x:v>0</x:v>
      </x:c>
      <x:c r="R1420" s="9" t="str">
        <x:v>OPEN / UNSTARTED</x:v>
      </x:c>
      <x:c r="S1420" s="9" t="n">
        <x:f>COUNTIFS($A$7:$A$1446,A1420)</x:f>
        <x:v>1</x:v>
      </x:c>
    </x:row>
    <x:row r="1421">
      <x:c r="A1421" s="9" t="str">
        <x:v>EV-AR-HU-A-B-TECH-2-B1-INT-G0-ST05</x:v>
      </x:c>
      <x:c r="B1421" s="9" t="str">
        <x:v>EV-AR-HU-A-B-TECH-2-B1-INT-G0</x:v>
      </x:c>
      <x:c r="C1421" s="9" t="str">
        <x:v>EOW-AR-HU-A-B-TECH-2-B1-INT-G0</x:v>
      </x:c>
      <x:c r="D1421" s="9" t="str">
        <x:v>AR-HU-A-B-TECH-2-B1-INT-G0</x:v>
      </x:c>
      <x:c r="E1421" s="9" t="str">
        <x:v>HU-A-B-TECH-2</x:v>
      </x:c>
      <x:c r="F1421" s="9" t="str">
        <x:v>HU-A-B</x:v>
      </x:c>
      <x:c r="G1421" s="9" t="str">
        <x:v>B1</x:v>
      </x:c>
      <x:c r="H1421" s="9" t="str">
        <x:v>INT</x:v>
      </x:c>
      <x:c r="I1421" s="9" t="n">
        <x:v>6</x:v>
      </x:c>
      <x:c r="J1421" s="9" t="n">
        <x:v>4</x:v>
      </x:c>
      <x:c r="K1421" s="9" t="str">
        <x:v>HU-A-B-N3</x:v>
      </x:c>
      <x:c r="L1421" s="9" t="str">
        <x:v>ST05</x:v>
      </x:c>
      <x:c r="M1421" s="17" t="str">
        <x:v>Witness capture armed</x:v>
      </x:c>
      <x:c r="N1421" s="17" t="str">
        <x:v>unlike witness records independent reference and live time</x:v>
      </x:c>
      <x:c r="O1421" s="17" t="str">
        <x:v>Witness metrology</x:v>
      </x:c>
      <x:c r="P1421" s="9" t="n">
        <x:v>0</x:v>
      </x:c>
      <x:c r="Q1421" s="9" t="n">
        <x:v>0</x:v>
      </x:c>
      <x:c r="R1421" s="9" t="str">
        <x:v>OPEN / UNSTARTED</x:v>
      </x:c>
      <x:c r="S1421" s="9" t="n">
        <x:f>COUNTIFS($A$7:$A$1446,A1421)</x:f>
        <x:v>1</x:v>
      </x:c>
    </x:row>
    <x:row r="1422">
      <x:c r="A1422" s="9" t="str">
        <x:v>EV-AR-HU-A-B-TECH-2-B1-INT-G0-ST06</x:v>
      </x:c>
      <x:c r="B1422" s="9" t="str">
        <x:v>EV-AR-HU-A-B-TECH-2-B1-INT-G0</x:v>
      </x:c>
      <x:c r="C1422" s="9" t="str">
        <x:v>EOW-AR-HU-A-B-TECH-2-B1-INT-G0</x:v>
      </x:c>
      <x:c r="D1422" s="9" t="str">
        <x:v>AR-HU-A-B-TECH-2-B1-INT-G0</x:v>
      </x:c>
      <x:c r="E1422" s="9" t="str">
        <x:v>HU-A-B-TECH-2</x:v>
      </x:c>
      <x:c r="F1422" s="9" t="str">
        <x:v>HU-A-B</x:v>
      </x:c>
      <x:c r="G1422" s="9" t="str">
        <x:v>B1</x:v>
      </x:c>
      <x:c r="H1422" s="9" t="str">
        <x:v>INT</x:v>
      </x:c>
      <x:c r="I1422" s="9" t="n">
        <x:v>6</x:v>
      </x:c>
      <x:c r="J1422" s="9" t="n">
        <x:v>4</x:v>
      </x:c>
      <x:c r="K1422" s="9" t="str">
        <x:v>HU-A-B-N3</x:v>
      </x:c>
      <x:c r="L1422" s="9" t="str">
        <x:v>ST06</x:v>
      </x:c>
      <x:c r="M1422" s="17" t="str">
        <x:v>Public custody armed</x:v>
      </x:c>
      <x:c r="N1422" s="17" t="str">
        <x:v>eight raw origins have separated hash and replica routes</x:v>
      </x:c>
      <x:c r="O1422" s="17" t="str">
        <x:v>Custody authority</x:v>
      </x:c>
      <x:c r="P1422" s="9" t="n">
        <x:v>0</x:v>
      </x:c>
      <x:c r="Q1422" s="9" t="n">
        <x:v>0</x:v>
      </x:c>
      <x:c r="R1422" s="9" t="str">
        <x:v>OPEN / UNSTARTED</x:v>
      </x:c>
      <x:c r="S1422" s="9" t="n">
        <x:f>COUNTIFS($A$7:$A$1446,A1422)</x:f>
        <x:v>1</x:v>
      </x:c>
    </x:row>
    <x:row r="1423">
      <x:c r="A1423" s="9" t="str">
        <x:v>EV-AR-HU-A-B-TECH-2-B1-INT-G0-ST07</x:v>
      </x:c>
      <x:c r="B1423" s="9" t="str">
        <x:v>EV-AR-HU-A-B-TECH-2-B1-INT-G0</x:v>
      </x:c>
      <x:c r="C1423" s="9" t="str">
        <x:v>EOW-AR-HU-A-B-TECH-2-B1-INT-G0</x:v>
      </x:c>
      <x:c r="D1423" s="9" t="str">
        <x:v>AR-HU-A-B-TECH-2-B1-INT-G0</x:v>
      </x:c>
      <x:c r="E1423" s="9" t="str">
        <x:v>HU-A-B-TECH-2</x:v>
      </x:c>
      <x:c r="F1423" s="9" t="str">
        <x:v>HU-A-B</x:v>
      </x:c>
      <x:c r="G1423" s="9" t="str">
        <x:v>B1</x:v>
      </x:c>
      <x:c r="H1423" s="9" t="str">
        <x:v>INT</x:v>
      </x:c>
      <x:c r="I1423" s="9" t="n">
        <x:v>6</x:v>
      </x:c>
      <x:c r="J1423" s="9" t="n">
        <x:v>4</x:v>
      </x:c>
      <x:c r="K1423" s="9" t="str">
        <x:v>HU-A-B-N3</x:v>
      </x:c>
      <x:c r="L1423" s="9" t="str">
        <x:v>ST07</x:v>
      </x:c>
      <x:c r="M1423" s="17" t="str">
        <x:v>Environmental baseline</x:v>
      </x:c>
      <x:c r="N1423" s="17" t="str">
        <x:v>pre-event boundary state is sealed before decisive operation</x:v>
      </x:c>
      <x:c r="O1423" s="17" t="str">
        <x:v>Site metrology</x:v>
      </x:c>
      <x:c r="P1423" s="9" t="n">
        <x:v>0</x:v>
      </x:c>
      <x:c r="Q1423" s="9" t="n">
        <x:v>0</x:v>
      </x:c>
      <x:c r="R1423" s="9" t="str">
        <x:v>OPEN / UNSTARTED</x:v>
      </x:c>
      <x:c r="S1423" s="9" t="n">
        <x:f>COUNTIFS($A$7:$A$1446,A1423)</x:f>
        <x:v>1</x:v>
      </x:c>
    </x:row>
    <x:row r="1424">
      <x:c r="A1424" s="9" t="str">
        <x:v>EV-AR-HU-A-B-TECH-2-B1-INT-G0-ST08</x:v>
      </x:c>
      <x:c r="B1424" s="9" t="str">
        <x:v>EV-AR-HU-A-B-TECH-2-B1-INT-G0</x:v>
      </x:c>
      <x:c r="C1424" s="9" t="str">
        <x:v>EOW-AR-HU-A-B-TECH-2-B1-INT-G0</x:v>
      </x:c>
      <x:c r="D1424" s="9" t="str">
        <x:v>AR-HU-A-B-TECH-2-B1-INT-G0</x:v>
      </x:c>
      <x:c r="E1424" s="9" t="str">
        <x:v>HU-A-B-TECH-2</x:v>
      </x:c>
      <x:c r="F1424" s="9" t="str">
        <x:v>HU-A-B</x:v>
      </x:c>
      <x:c r="G1424" s="9" t="str">
        <x:v>B1</x:v>
      </x:c>
      <x:c r="H1424" s="9" t="str">
        <x:v>INT</x:v>
      </x:c>
      <x:c r="I1424" s="9" t="n">
        <x:v>6</x:v>
      </x:c>
      <x:c r="J1424" s="9" t="n">
        <x:v>4</x:v>
      </x:c>
      <x:c r="K1424" s="9" t="str">
        <x:v>HU-A-B-N3</x:v>
      </x:c>
      <x:c r="L1424" s="9" t="str">
        <x:v>ST08</x:v>
      </x:c>
      <x:c r="M1424" s="17" t="str">
        <x:v>Manual stop and safety</x:v>
      </x:c>
      <x:c r="N1424" s="17" t="str">
        <x:v>local stop, evacuation and protection routes are active</x:v>
      </x:c>
      <x:c r="O1424" s="17" t="str">
        <x:v>Safety authority</x:v>
      </x:c>
      <x:c r="P1424" s="9" t="n">
        <x:v>0</x:v>
      </x:c>
      <x:c r="Q1424" s="9" t="n">
        <x:v>0</x:v>
      </x:c>
      <x:c r="R1424" s="9" t="str">
        <x:v>OPEN / UNSTARTED</x:v>
      </x:c>
      <x:c r="S1424" s="9" t="n">
        <x:f>COUNTIFS($A$7:$A$1446,A1424)</x:f>
        <x:v>1</x:v>
      </x:c>
    </x:row>
    <x:row r="1425">
      <x:c r="A1425" s="9" t="str">
        <x:v>EV-AR-HU-A-B-TECH-2-B1-INT-G0-ST09</x:v>
      </x:c>
      <x:c r="B1425" s="9" t="str">
        <x:v>EV-AR-HU-A-B-TECH-2-B1-INT-G0</x:v>
      </x:c>
      <x:c r="C1425" s="9" t="str">
        <x:v>EOW-AR-HU-A-B-TECH-2-B1-INT-G0</x:v>
      </x:c>
      <x:c r="D1425" s="9" t="str">
        <x:v>AR-HU-A-B-TECH-2-B1-INT-G0</x:v>
      </x:c>
      <x:c r="E1425" s="9" t="str">
        <x:v>HU-A-B-TECH-2</x:v>
      </x:c>
      <x:c r="F1425" s="9" t="str">
        <x:v>HU-A-B</x:v>
      </x:c>
      <x:c r="G1425" s="9" t="str">
        <x:v>B1</x:v>
      </x:c>
      <x:c r="H1425" s="9" t="str">
        <x:v>INT</x:v>
      </x:c>
      <x:c r="I1425" s="9" t="n">
        <x:v>6</x:v>
      </x:c>
      <x:c r="J1425" s="9" t="n">
        <x:v>4</x:v>
      </x:c>
      <x:c r="K1425" s="9" t="str">
        <x:v>HU-A-B-N3</x:v>
      </x:c>
      <x:c r="L1425" s="9" t="str">
        <x:v>ST09</x:v>
      </x:c>
      <x:c r="M1425" s="17" t="str">
        <x:v>Operator conflict clear</x:v>
      </x:c>
      <x:c r="N1425" s="17" t="str">
        <x:v>candidate, fixture, safety and measurement control edges remain separated</x:v>
      </x:c>
      <x:c r="O1425" s="17" t="str">
        <x:v>Conflict registrar</x:v>
      </x:c>
      <x:c r="P1425" s="9" t="n">
        <x:v>0</x:v>
      </x:c>
      <x:c r="Q1425" s="9" t="n">
        <x:v>0</x:v>
      </x:c>
      <x:c r="R1425" s="9" t="str">
        <x:v>OPEN / UNSTARTED</x:v>
      </x:c>
      <x:c r="S1425" s="9" t="n">
        <x:f>COUNTIFS($A$7:$A$1446,A1425)</x:f>
        <x:v>1</x:v>
      </x:c>
    </x:row>
    <x:row r="1426">
      <x:c r="A1426" s="9" t="str">
        <x:v>EV-AR-HU-A-B-TECH-2-B1-INT-G0-ST10</x:v>
      </x:c>
      <x:c r="B1426" s="9" t="str">
        <x:v>EV-AR-HU-A-B-TECH-2-B1-INT-G0</x:v>
      </x:c>
      <x:c r="C1426" s="9" t="str">
        <x:v>EOW-AR-HU-A-B-TECH-2-B1-INT-G0</x:v>
      </x:c>
      <x:c r="D1426" s="9" t="str">
        <x:v>AR-HU-A-B-TECH-2-B1-INT-G0</x:v>
      </x:c>
      <x:c r="E1426" s="9" t="str">
        <x:v>HU-A-B-TECH-2</x:v>
      </x:c>
      <x:c r="F1426" s="9" t="str">
        <x:v>HU-A-B</x:v>
      </x:c>
      <x:c r="G1426" s="9" t="str">
        <x:v>B1</x:v>
      </x:c>
      <x:c r="H1426" s="9" t="str">
        <x:v>INT</x:v>
      </x:c>
      <x:c r="I1426" s="9" t="n">
        <x:v>6</x:v>
      </x:c>
      <x:c r="J1426" s="9" t="n">
        <x:v>4</x:v>
      </x:c>
      <x:c r="K1426" s="9" t="str">
        <x:v>HU-A-B-N3</x:v>
      </x:c>
      <x:c r="L1426" s="9" t="str">
        <x:v>ST10</x:v>
      </x:c>
      <x:c r="M1426" s="17" t="str">
        <x:v>Window and common clock</x:v>
      </x:c>
      <x:c r="N1426" s="17" t="str">
        <x:v>epoch, window and public time origin match the issued warrant</x:v>
      </x:c>
      <x:c r="O1426" s="17" t="str">
        <x:v>Event clock authority</x:v>
      </x:c>
      <x:c r="P1426" s="9" t="n">
        <x:v>0</x:v>
      </x:c>
      <x:c r="Q1426" s="9" t="n">
        <x:v>0</x:v>
      </x:c>
      <x:c r="R1426" s="9" t="str">
        <x:v>OPEN / UNSTARTED</x:v>
      </x:c>
      <x:c r="S1426" s="9" t="n">
        <x:f>COUNTIFS($A$7:$A$1446,A1426)</x:f>
        <x:v>1</x:v>
      </x:c>
    </x:row>
    <x:row r="1427">
      <x:c r="A1427" s="9" t="str">
        <x:v>EV-AR-LF-B-A-TECH-1-B1-BRK-G0-ST01</x:v>
      </x:c>
      <x:c r="B1427" s="9" t="str">
        <x:v>EV-AR-LF-B-A-TECH-1-B1-BRK-G0</x:v>
      </x:c>
      <x:c r="C1427" s="9" t="str">
        <x:v>EOW-AR-LF-B-A-TECH-1-B1-BRK-G0</x:v>
      </x:c>
      <x:c r="D1427" s="9" t="str">
        <x:v>AR-LF-B-A-TECH-1-B1-BRK-G0</x:v>
      </x:c>
      <x:c r="E1427" s="9" t="str">
        <x:v>LF-B-A-TECH-1</x:v>
      </x:c>
      <x:c r="F1427" s="9" t="str">
        <x:v>LF-B-A</x:v>
      </x:c>
      <x:c r="G1427" s="9" t="str">
        <x:v>B1</x:v>
      </x:c>
      <x:c r="H1427" s="9" t="str">
        <x:v>BRK</x:v>
      </x:c>
      <x:c r="I1427" s="9" t="n">
        <x:v>6</x:v>
      </x:c>
      <x:c r="J1427" s="9" t="n">
        <x:v>4</x:v>
      </x:c>
      <x:c r="K1427" s="9" t="str">
        <x:v>LF-B-A-N2</x:v>
      </x:c>
      <x:c r="L1427" s="9" t="str">
        <x:v>ST01</x:v>
      </x:c>
      <x:c r="M1427" s="17" t="str">
        <x:v>Active opportunity warrant</x:v>
      </x:c>
      <x:c r="N1427" s="17" t="str">
        <x:v>configuration-bound EOW is within its thirty-six-hour validity</x:v>
      </x:c>
      <x:c r="O1427" s="17" t="str">
        <x:v>Start registrar</x:v>
      </x:c>
      <x:c r="P1427" s="9" t="n">
        <x:v>0</x:v>
      </x:c>
      <x:c r="Q1427" s="9" t="n">
        <x:v>0</x:v>
      </x:c>
      <x:c r="R1427" s="9" t="str">
        <x:v>OPEN / UNSTARTED</x:v>
      </x:c>
      <x:c r="S1427" s="9" t="n">
        <x:f>COUNTIFS($A$7:$A$1446,A1427)</x:f>
        <x:v>1</x:v>
      </x:c>
    </x:row>
    <x:row r="1428">
      <x:c r="A1428" s="9" t="str">
        <x:v>EV-AR-LF-B-A-TECH-1-B1-BRK-G0-ST02</x:v>
      </x:c>
      <x:c r="B1428" s="9" t="str">
        <x:v>EV-AR-LF-B-A-TECH-1-B1-BRK-G0</x:v>
      </x:c>
      <x:c r="C1428" s="9" t="str">
        <x:v>EOW-AR-LF-B-A-TECH-1-B1-BRK-G0</x:v>
      </x:c>
      <x:c r="D1428" s="9" t="str">
        <x:v>AR-LF-B-A-TECH-1-B1-BRK-G0</x:v>
      </x:c>
      <x:c r="E1428" s="9" t="str">
        <x:v>LF-B-A-TECH-1</x:v>
      </x:c>
      <x:c r="F1428" s="9" t="str">
        <x:v>LF-B-A</x:v>
      </x:c>
      <x:c r="G1428" s="9" t="str">
        <x:v>B1</x:v>
      </x:c>
      <x:c r="H1428" s="9" t="str">
        <x:v>BRK</x:v>
      </x:c>
      <x:c r="I1428" s="9" t="n">
        <x:v>6</x:v>
      </x:c>
      <x:c r="J1428" s="9" t="n">
        <x:v>4</x:v>
      </x:c>
      <x:c r="K1428" s="9" t="str">
        <x:v>LF-B-A-N2</x:v>
      </x:c>
      <x:c r="L1428" s="9" t="str">
        <x:v>ST02</x:v>
      </x:c>
      <x:c r="M1428" s="17" t="str">
        <x:v>Frozen identity</x:v>
      </x:c>
      <x:c r="N1428" s="17" t="str">
        <x:v>serial, generation, fixture, site, receiver and digest match the warrant</x:v>
      </x:c>
      <x:c r="O1428" s="17" t="str">
        <x:v>Custody authority</x:v>
      </x:c>
      <x:c r="P1428" s="9" t="n">
        <x:v>0</x:v>
      </x:c>
      <x:c r="Q1428" s="9" t="n">
        <x:v>0</x:v>
      </x:c>
      <x:c r="R1428" s="9" t="str">
        <x:v>OPEN / UNSTARTED</x:v>
      </x:c>
      <x:c r="S1428" s="9" t="n">
        <x:f>COUNTIFS($A$7:$A$1446,A1428)</x:f>
        <x:v>1</x:v>
      </x:c>
    </x:row>
    <x:row r="1429">
      <x:c r="A1429" s="9" t="str">
        <x:v>EV-AR-LF-B-A-TECH-1-B1-BRK-G0-ST03</x:v>
      </x:c>
      <x:c r="B1429" s="9" t="str">
        <x:v>EV-AR-LF-B-A-TECH-1-B1-BRK-G0</x:v>
      </x:c>
      <x:c r="C1429" s="9" t="str">
        <x:v>EOW-AR-LF-B-A-TECH-1-B1-BRK-G0</x:v>
      </x:c>
      <x:c r="D1429" s="9" t="str">
        <x:v>AR-LF-B-A-TECH-1-B1-BRK-G0</x:v>
      </x:c>
      <x:c r="E1429" s="9" t="str">
        <x:v>LF-B-A-TECH-1</x:v>
      </x:c>
      <x:c r="F1429" s="9" t="str">
        <x:v>LF-B-A</x:v>
      </x:c>
      <x:c r="G1429" s="9" t="str">
        <x:v>B1</x:v>
      </x:c>
      <x:c r="H1429" s="9" t="str">
        <x:v>BRK</x:v>
      </x:c>
      <x:c r="I1429" s="9" t="n">
        <x:v>6</x:v>
      </x:c>
      <x:c r="J1429" s="9" t="n">
        <x:v>4</x:v>
      </x:c>
      <x:c r="K1429" s="9" t="str">
        <x:v>LF-B-A-N2</x:v>
      </x:c>
      <x:c r="L1429" s="9" t="str">
        <x:v>ST03</x:v>
      </x:c>
      <x:c r="M1429" s="17" t="str">
        <x:v>Receiver receipt</x:v>
      </x:c>
      <x:c r="N1429" s="17" t="str">
        <x:v>denominator, counterfactual, rights and stop receipt remain unchanged</x:v>
      </x:c>
      <x:c r="O1429" s="17" t="str">
        <x:v>Receiver authority</x:v>
      </x:c>
      <x:c r="P1429" s="9" t="n">
        <x:v>0</x:v>
      </x:c>
      <x:c r="Q1429" s="9" t="n">
        <x:v>0</x:v>
      </x:c>
      <x:c r="R1429" s="9" t="str">
        <x:v>OPEN / UNSTARTED</x:v>
      </x:c>
      <x:c r="S1429" s="9" t="n">
        <x:f>COUNTIFS($A$7:$A$1446,A1429)</x:f>
        <x:v>1</x:v>
      </x:c>
    </x:row>
    <x:row r="1430">
      <x:c r="A1430" s="9" t="str">
        <x:v>EV-AR-LF-B-A-TECH-1-B1-BRK-G0-ST04</x:v>
      </x:c>
      <x:c r="B1430" s="9" t="str">
        <x:v>EV-AR-LF-B-A-TECH-1-B1-BRK-G0</x:v>
      </x:c>
      <x:c r="C1430" s="9" t="str">
        <x:v>EOW-AR-LF-B-A-TECH-1-B1-BRK-G0</x:v>
      </x:c>
      <x:c r="D1430" s="9" t="str">
        <x:v>AR-LF-B-A-TECH-1-B1-BRK-G0</x:v>
      </x:c>
      <x:c r="E1430" s="9" t="str">
        <x:v>LF-B-A-TECH-1</x:v>
      </x:c>
      <x:c r="F1430" s="9" t="str">
        <x:v>LF-B-A</x:v>
      </x:c>
      <x:c r="G1430" s="9" t="str">
        <x:v>B1</x:v>
      </x:c>
      <x:c r="H1430" s="9" t="str">
        <x:v>BRK</x:v>
      </x:c>
      <x:c r="I1430" s="9" t="n">
        <x:v>6</x:v>
      </x:c>
      <x:c r="J1430" s="9" t="n">
        <x:v>4</x:v>
      </x:c>
      <x:c r="K1430" s="9" t="str">
        <x:v>LF-B-A-N2</x:v>
      </x:c>
      <x:c r="L1430" s="9" t="str">
        <x:v>ST04</x:v>
      </x:c>
      <x:c r="M1430" s="17" t="str">
        <x:v>Primary capture armed</x:v>
      </x:c>
      <x:c r="N1430" s="17" t="str">
        <x:v>primary chain records sealed reference and live time</x:v>
      </x:c>
      <x:c r="O1430" s="17" t="str">
        <x:v>Primary metrology</x:v>
      </x:c>
      <x:c r="P1430" s="9" t="n">
        <x:v>0</x:v>
      </x:c>
      <x:c r="Q1430" s="9" t="n">
        <x:v>0</x:v>
      </x:c>
      <x:c r="R1430" s="9" t="str">
        <x:v>OPEN / UNSTARTED</x:v>
      </x:c>
      <x:c r="S1430" s="9" t="n">
        <x:f>COUNTIFS($A$7:$A$1446,A1430)</x:f>
        <x:v>1</x:v>
      </x:c>
    </x:row>
    <x:row r="1431">
      <x:c r="A1431" s="9" t="str">
        <x:v>EV-AR-LF-B-A-TECH-1-B1-BRK-G0-ST05</x:v>
      </x:c>
      <x:c r="B1431" s="9" t="str">
        <x:v>EV-AR-LF-B-A-TECH-1-B1-BRK-G0</x:v>
      </x:c>
      <x:c r="C1431" s="9" t="str">
        <x:v>EOW-AR-LF-B-A-TECH-1-B1-BRK-G0</x:v>
      </x:c>
      <x:c r="D1431" s="9" t="str">
        <x:v>AR-LF-B-A-TECH-1-B1-BRK-G0</x:v>
      </x:c>
      <x:c r="E1431" s="9" t="str">
        <x:v>LF-B-A-TECH-1</x:v>
      </x:c>
      <x:c r="F1431" s="9" t="str">
        <x:v>LF-B-A</x:v>
      </x:c>
      <x:c r="G1431" s="9" t="str">
        <x:v>B1</x:v>
      </x:c>
      <x:c r="H1431" s="9" t="str">
        <x:v>BRK</x:v>
      </x:c>
      <x:c r="I1431" s="9" t="n">
        <x:v>6</x:v>
      </x:c>
      <x:c r="J1431" s="9" t="n">
        <x:v>4</x:v>
      </x:c>
      <x:c r="K1431" s="9" t="str">
        <x:v>LF-B-A-N2</x:v>
      </x:c>
      <x:c r="L1431" s="9" t="str">
        <x:v>ST05</x:v>
      </x:c>
      <x:c r="M1431" s="17" t="str">
        <x:v>Witness capture armed</x:v>
      </x:c>
      <x:c r="N1431" s="17" t="str">
        <x:v>unlike witness records independent reference and live time</x:v>
      </x:c>
      <x:c r="O1431" s="17" t="str">
        <x:v>Witness metrology</x:v>
      </x:c>
      <x:c r="P1431" s="9" t="n">
        <x:v>0</x:v>
      </x:c>
      <x:c r="Q1431" s="9" t="n">
        <x:v>0</x:v>
      </x:c>
      <x:c r="R1431" s="9" t="str">
        <x:v>OPEN / UNSTARTED</x:v>
      </x:c>
      <x:c r="S1431" s="9" t="n">
        <x:f>COUNTIFS($A$7:$A$1446,A1431)</x:f>
        <x:v>1</x:v>
      </x:c>
    </x:row>
    <x:row r="1432">
      <x:c r="A1432" s="9" t="str">
        <x:v>EV-AR-LF-B-A-TECH-1-B1-BRK-G0-ST06</x:v>
      </x:c>
      <x:c r="B1432" s="9" t="str">
        <x:v>EV-AR-LF-B-A-TECH-1-B1-BRK-G0</x:v>
      </x:c>
      <x:c r="C1432" s="9" t="str">
        <x:v>EOW-AR-LF-B-A-TECH-1-B1-BRK-G0</x:v>
      </x:c>
      <x:c r="D1432" s="9" t="str">
        <x:v>AR-LF-B-A-TECH-1-B1-BRK-G0</x:v>
      </x:c>
      <x:c r="E1432" s="9" t="str">
        <x:v>LF-B-A-TECH-1</x:v>
      </x:c>
      <x:c r="F1432" s="9" t="str">
        <x:v>LF-B-A</x:v>
      </x:c>
      <x:c r="G1432" s="9" t="str">
        <x:v>B1</x:v>
      </x:c>
      <x:c r="H1432" s="9" t="str">
        <x:v>BRK</x:v>
      </x:c>
      <x:c r="I1432" s="9" t="n">
        <x:v>6</x:v>
      </x:c>
      <x:c r="J1432" s="9" t="n">
        <x:v>4</x:v>
      </x:c>
      <x:c r="K1432" s="9" t="str">
        <x:v>LF-B-A-N2</x:v>
      </x:c>
      <x:c r="L1432" s="9" t="str">
        <x:v>ST06</x:v>
      </x:c>
      <x:c r="M1432" s="17" t="str">
        <x:v>Public custody armed</x:v>
      </x:c>
      <x:c r="N1432" s="17" t="str">
        <x:v>eight raw origins have separated hash and replica routes</x:v>
      </x:c>
      <x:c r="O1432" s="17" t="str">
        <x:v>Custody authority</x:v>
      </x:c>
      <x:c r="P1432" s="9" t="n">
        <x:v>0</x:v>
      </x:c>
      <x:c r="Q1432" s="9" t="n">
        <x:v>0</x:v>
      </x:c>
      <x:c r="R1432" s="9" t="str">
        <x:v>OPEN / UNSTARTED</x:v>
      </x:c>
      <x:c r="S1432" s="9" t="n">
        <x:f>COUNTIFS($A$7:$A$1446,A1432)</x:f>
        <x:v>1</x:v>
      </x:c>
    </x:row>
    <x:row r="1433">
      <x:c r="A1433" s="9" t="str">
        <x:v>EV-AR-LF-B-A-TECH-1-B1-BRK-G0-ST07</x:v>
      </x:c>
      <x:c r="B1433" s="9" t="str">
        <x:v>EV-AR-LF-B-A-TECH-1-B1-BRK-G0</x:v>
      </x:c>
      <x:c r="C1433" s="9" t="str">
        <x:v>EOW-AR-LF-B-A-TECH-1-B1-BRK-G0</x:v>
      </x:c>
      <x:c r="D1433" s="9" t="str">
        <x:v>AR-LF-B-A-TECH-1-B1-BRK-G0</x:v>
      </x:c>
      <x:c r="E1433" s="9" t="str">
        <x:v>LF-B-A-TECH-1</x:v>
      </x:c>
      <x:c r="F1433" s="9" t="str">
        <x:v>LF-B-A</x:v>
      </x:c>
      <x:c r="G1433" s="9" t="str">
        <x:v>B1</x:v>
      </x:c>
      <x:c r="H1433" s="9" t="str">
        <x:v>BRK</x:v>
      </x:c>
      <x:c r="I1433" s="9" t="n">
        <x:v>6</x:v>
      </x:c>
      <x:c r="J1433" s="9" t="n">
        <x:v>4</x:v>
      </x:c>
      <x:c r="K1433" s="9" t="str">
        <x:v>LF-B-A-N2</x:v>
      </x:c>
      <x:c r="L1433" s="9" t="str">
        <x:v>ST07</x:v>
      </x:c>
      <x:c r="M1433" s="17" t="str">
        <x:v>Environmental baseline</x:v>
      </x:c>
      <x:c r="N1433" s="17" t="str">
        <x:v>pre-event boundary state is sealed before decisive operation</x:v>
      </x:c>
      <x:c r="O1433" s="17" t="str">
        <x:v>Site metrology</x:v>
      </x:c>
      <x:c r="P1433" s="9" t="n">
        <x:v>0</x:v>
      </x:c>
      <x:c r="Q1433" s="9" t="n">
        <x:v>0</x:v>
      </x:c>
      <x:c r="R1433" s="9" t="str">
        <x:v>OPEN / UNSTARTED</x:v>
      </x:c>
      <x:c r="S1433" s="9" t="n">
        <x:f>COUNTIFS($A$7:$A$1446,A1433)</x:f>
        <x:v>1</x:v>
      </x:c>
    </x:row>
    <x:row r="1434">
      <x:c r="A1434" s="9" t="str">
        <x:v>EV-AR-LF-B-A-TECH-1-B1-BRK-G0-ST08</x:v>
      </x:c>
      <x:c r="B1434" s="9" t="str">
        <x:v>EV-AR-LF-B-A-TECH-1-B1-BRK-G0</x:v>
      </x:c>
      <x:c r="C1434" s="9" t="str">
        <x:v>EOW-AR-LF-B-A-TECH-1-B1-BRK-G0</x:v>
      </x:c>
      <x:c r="D1434" s="9" t="str">
        <x:v>AR-LF-B-A-TECH-1-B1-BRK-G0</x:v>
      </x:c>
      <x:c r="E1434" s="9" t="str">
        <x:v>LF-B-A-TECH-1</x:v>
      </x:c>
      <x:c r="F1434" s="9" t="str">
        <x:v>LF-B-A</x:v>
      </x:c>
      <x:c r="G1434" s="9" t="str">
        <x:v>B1</x:v>
      </x:c>
      <x:c r="H1434" s="9" t="str">
        <x:v>BRK</x:v>
      </x:c>
      <x:c r="I1434" s="9" t="n">
        <x:v>6</x:v>
      </x:c>
      <x:c r="J1434" s="9" t="n">
        <x:v>4</x:v>
      </x:c>
      <x:c r="K1434" s="9" t="str">
        <x:v>LF-B-A-N2</x:v>
      </x:c>
      <x:c r="L1434" s="9" t="str">
        <x:v>ST08</x:v>
      </x:c>
      <x:c r="M1434" s="17" t="str">
        <x:v>Manual stop and safety</x:v>
      </x:c>
      <x:c r="N1434" s="17" t="str">
        <x:v>local stop, evacuation and protection routes are active</x:v>
      </x:c>
      <x:c r="O1434" s="17" t="str">
        <x:v>Safety authority</x:v>
      </x:c>
      <x:c r="P1434" s="9" t="n">
        <x:v>0</x:v>
      </x:c>
      <x:c r="Q1434" s="9" t="n">
        <x:v>0</x:v>
      </x:c>
      <x:c r="R1434" s="9" t="str">
        <x:v>OPEN / UNSTARTED</x:v>
      </x:c>
      <x:c r="S1434" s="9" t="n">
        <x:f>COUNTIFS($A$7:$A$1446,A1434)</x:f>
        <x:v>1</x:v>
      </x:c>
    </x:row>
    <x:row r="1435">
      <x:c r="A1435" s="9" t="str">
        <x:v>EV-AR-LF-B-A-TECH-1-B1-BRK-G0-ST09</x:v>
      </x:c>
      <x:c r="B1435" s="9" t="str">
        <x:v>EV-AR-LF-B-A-TECH-1-B1-BRK-G0</x:v>
      </x:c>
      <x:c r="C1435" s="9" t="str">
        <x:v>EOW-AR-LF-B-A-TECH-1-B1-BRK-G0</x:v>
      </x:c>
      <x:c r="D1435" s="9" t="str">
        <x:v>AR-LF-B-A-TECH-1-B1-BRK-G0</x:v>
      </x:c>
      <x:c r="E1435" s="9" t="str">
        <x:v>LF-B-A-TECH-1</x:v>
      </x:c>
      <x:c r="F1435" s="9" t="str">
        <x:v>LF-B-A</x:v>
      </x:c>
      <x:c r="G1435" s="9" t="str">
        <x:v>B1</x:v>
      </x:c>
      <x:c r="H1435" s="9" t="str">
        <x:v>BRK</x:v>
      </x:c>
      <x:c r="I1435" s="9" t="n">
        <x:v>6</x:v>
      </x:c>
      <x:c r="J1435" s="9" t="n">
        <x:v>4</x:v>
      </x:c>
      <x:c r="K1435" s="9" t="str">
        <x:v>LF-B-A-N2</x:v>
      </x:c>
      <x:c r="L1435" s="9" t="str">
        <x:v>ST09</x:v>
      </x:c>
      <x:c r="M1435" s="17" t="str">
        <x:v>Operator conflict clear</x:v>
      </x:c>
      <x:c r="N1435" s="17" t="str">
        <x:v>candidate, fixture, safety and measurement control edges remain separated</x:v>
      </x:c>
      <x:c r="O1435" s="17" t="str">
        <x:v>Conflict registrar</x:v>
      </x:c>
      <x:c r="P1435" s="9" t="n">
        <x:v>0</x:v>
      </x:c>
      <x:c r="Q1435" s="9" t="n">
        <x:v>0</x:v>
      </x:c>
      <x:c r="R1435" s="9" t="str">
        <x:v>OPEN / UNSTARTED</x:v>
      </x:c>
      <x:c r="S1435" s="9" t="n">
        <x:f>COUNTIFS($A$7:$A$1446,A1435)</x:f>
        <x:v>1</x:v>
      </x:c>
    </x:row>
    <x:row r="1436">
      <x:c r="A1436" s="9" t="str">
        <x:v>EV-AR-LF-B-A-TECH-1-B1-BRK-G0-ST10</x:v>
      </x:c>
      <x:c r="B1436" s="9" t="str">
        <x:v>EV-AR-LF-B-A-TECH-1-B1-BRK-G0</x:v>
      </x:c>
      <x:c r="C1436" s="9" t="str">
        <x:v>EOW-AR-LF-B-A-TECH-1-B1-BRK-G0</x:v>
      </x:c>
      <x:c r="D1436" s="9" t="str">
        <x:v>AR-LF-B-A-TECH-1-B1-BRK-G0</x:v>
      </x:c>
      <x:c r="E1436" s="9" t="str">
        <x:v>LF-B-A-TECH-1</x:v>
      </x:c>
      <x:c r="F1436" s="9" t="str">
        <x:v>LF-B-A</x:v>
      </x:c>
      <x:c r="G1436" s="9" t="str">
        <x:v>B1</x:v>
      </x:c>
      <x:c r="H1436" s="9" t="str">
        <x:v>BRK</x:v>
      </x:c>
      <x:c r="I1436" s="9" t="n">
        <x:v>6</x:v>
      </x:c>
      <x:c r="J1436" s="9" t="n">
        <x:v>4</x:v>
      </x:c>
      <x:c r="K1436" s="9" t="str">
        <x:v>LF-B-A-N2</x:v>
      </x:c>
      <x:c r="L1436" s="9" t="str">
        <x:v>ST10</x:v>
      </x:c>
      <x:c r="M1436" s="17" t="str">
        <x:v>Window and common clock</x:v>
      </x:c>
      <x:c r="N1436" s="17" t="str">
        <x:v>epoch, window and public time origin match the issued warrant</x:v>
      </x:c>
      <x:c r="O1436" s="17" t="str">
        <x:v>Event clock authority</x:v>
      </x:c>
      <x:c r="P1436" s="9" t="n">
        <x:v>0</x:v>
      </x:c>
      <x:c r="Q1436" s="9" t="n">
        <x:v>0</x:v>
      </x:c>
      <x:c r="R1436" s="9" t="str">
        <x:v>OPEN / UNSTARTED</x:v>
      </x:c>
      <x:c r="S1436" s="9" t="n">
        <x:f>COUNTIFS($A$7:$A$1446,A1436)</x:f>
        <x:v>1</x:v>
      </x:c>
    </x:row>
    <x:row r="1437">
      <x:c r="A1437" s="9" t="str">
        <x:v>EV-AR-RT-B-C-TECH-3-B1-RCN-G0-ST01</x:v>
      </x:c>
      <x:c r="B1437" s="9" t="str">
        <x:v>EV-AR-RT-B-C-TECH-3-B1-RCN-G0</x:v>
      </x:c>
      <x:c r="C1437" s="9" t="str">
        <x:v>EOW-AR-RT-B-C-TECH-3-B1-RCN-G0</x:v>
      </x:c>
      <x:c r="D1437" s="9" t="str">
        <x:v>AR-RT-B-C-TECH-3-B1-RCN-G0</x:v>
      </x:c>
      <x:c r="E1437" s="9" t="str">
        <x:v>RT-B-C-TECH-3</x:v>
      </x:c>
      <x:c r="F1437" s="9" t="str">
        <x:v>RT-B-C</x:v>
      </x:c>
      <x:c r="G1437" s="9" t="str">
        <x:v>B1</x:v>
      </x:c>
      <x:c r="H1437" s="9" t="str">
        <x:v>RCN</x:v>
      </x:c>
      <x:c r="I1437" s="9" t="n">
        <x:v>6</x:v>
      </x:c>
      <x:c r="J1437" s="9" t="n">
        <x:v>4</x:v>
      </x:c>
      <x:c r="K1437" s="9" t="str">
        <x:v>RT-B-C-N3</x:v>
      </x:c>
      <x:c r="L1437" s="9" t="str">
        <x:v>ST01</x:v>
      </x:c>
      <x:c r="M1437" s="17" t="str">
        <x:v>Active opportunity warrant</x:v>
      </x:c>
      <x:c r="N1437" s="17" t="str">
        <x:v>configuration-bound EOW is within its thirty-six-hour validity</x:v>
      </x:c>
      <x:c r="O1437" s="17" t="str">
        <x:v>Start registrar</x:v>
      </x:c>
      <x:c r="P1437" s="9" t="n">
        <x:v>0</x:v>
      </x:c>
      <x:c r="Q1437" s="9" t="n">
        <x:v>0</x:v>
      </x:c>
      <x:c r="R1437" s="9" t="str">
        <x:v>OPEN / UNSTARTED</x:v>
      </x:c>
      <x:c r="S1437" s="9" t="n">
        <x:f>COUNTIFS($A$7:$A$1446,A1437)</x:f>
        <x:v>1</x:v>
      </x:c>
    </x:row>
    <x:row r="1438">
      <x:c r="A1438" s="9" t="str">
        <x:v>EV-AR-RT-B-C-TECH-3-B1-RCN-G0-ST02</x:v>
      </x:c>
      <x:c r="B1438" s="9" t="str">
        <x:v>EV-AR-RT-B-C-TECH-3-B1-RCN-G0</x:v>
      </x:c>
      <x:c r="C1438" s="9" t="str">
        <x:v>EOW-AR-RT-B-C-TECH-3-B1-RCN-G0</x:v>
      </x:c>
      <x:c r="D1438" s="9" t="str">
        <x:v>AR-RT-B-C-TECH-3-B1-RCN-G0</x:v>
      </x:c>
      <x:c r="E1438" s="9" t="str">
        <x:v>RT-B-C-TECH-3</x:v>
      </x:c>
      <x:c r="F1438" s="9" t="str">
        <x:v>RT-B-C</x:v>
      </x:c>
      <x:c r="G1438" s="9" t="str">
        <x:v>B1</x:v>
      </x:c>
      <x:c r="H1438" s="9" t="str">
        <x:v>RCN</x:v>
      </x:c>
      <x:c r="I1438" s="9" t="n">
        <x:v>6</x:v>
      </x:c>
      <x:c r="J1438" s="9" t="n">
        <x:v>4</x:v>
      </x:c>
      <x:c r="K1438" s="9" t="str">
        <x:v>RT-B-C-N3</x:v>
      </x:c>
      <x:c r="L1438" s="9" t="str">
        <x:v>ST02</x:v>
      </x:c>
      <x:c r="M1438" s="17" t="str">
        <x:v>Frozen identity</x:v>
      </x:c>
      <x:c r="N1438" s="17" t="str">
        <x:v>serial, generation, fixture, site, receiver and digest match the warrant</x:v>
      </x:c>
      <x:c r="O1438" s="17" t="str">
        <x:v>Custody authority</x:v>
      </x:c>
      <x:c r="P1438" s="9" t="n">
        <x:v>0</x:v>
      </x:c>
      <x:c r="Q1438" s="9" t="n">
        <x:v>0</x:v>
      </x:c>
      <x:c r="R1438" s="9" t="str">
        <x:v>OPEN / UNSTARTED</x:v>
      </x:c>
      <x:c r="S1438" s="9" t="n">
        <x:f>COUNTIFS($A$7:$A$1446,A1438)</x:f>
        <x:v>1</x:v>
      </x:c>
    </x:row>
    <x:row r="1439">
      <x:c r="A1439" s="9" t="str">
        <x:v>EV-AR-RT-B-C-TECH-3-B1-RCN-G0-ST03</x:v>
      </x:c>
      <x:c r="B1439" s="9" t="str">
        <x:v>EV-AR-RT-B-C-TECH-3-B1-RCN-G0</x:v>
      </x:c>
      <x:c r="C1439" s="9" t="str">
        <x:v>EOW-AR-RT-B-C-TECH-3-B1-RCN-G0</x:v>
      </x:c>
      <x:c r="D1439" s="9" t="str">
        <x:v>AR-RT-B-C-TECH-3-B1-RCN-G0</x:v>
      </x:c>
      <x:c r="E1439" s="9" t="str">
        <x:v>RT-B-C-TECH-3</x:v>
      </x:c>
      <x:c r="F1439" s="9" t="str">
        <x:v>RT-B-C</x:v>
      </x:c>
      <x:c r="G1439" s="9" t="str">
        <x:v>B1</x:v>
      </x:c>
      <x:c r="H1439" s="9" t="str">
        <x:v>RCN</x:v>
      </x:c>
      <x:c r="I1439" s="9" t="n">
        <x:v>6</x:v>
      </x:c>
      <x:c r="J1439" s="9" t="n">
        <x:v>4</x:v>
      </x:c>
      <x:c r="K1439" s="9" t="str">
        <x:v>RT-B-C-N3</x:v>
      </x:c>
      <x:c r="L1439" s="9" t="str">
        <x:v>ST03</x:v>
      </x:c>
      <x:c r="M1439" s="17" t="str">
        <x:v>Receiver receipt</x:v>
      </x:c>
      <x:c r="N1439" s="17" t="str">
        <x:v>denominator, counterfactual, rights and stop receipt remain unchanged</x:v>
      </x:c>
      <x:c r="O1439" s="17" t="str">
        <x:v>Receiver authority</x:v>
      </x:c>
      <x:c r="P1439" s="9" t="n">
        <x:v>0</x:v>
      </x:c>
      <x:c r="Q1439" s="9" t="n">
        <x:v>0</x:v>
      </x:c>
      <x:c r="R1439" s="9" t="str">
        <x:v>OPEN / UNSTARTED</x:v>
      </x:c>
      <x:c r="S1439" s="9" t="n">
        <x:f>COUNTIFS($A$7:$A$1446,A1439)</x:f>
        <x:v>1</x:v>
      </x:c>
    </x:row>
    <x:row r="1440">
      <x:c r="A1440" s="9" t="str">
        <x:v>EV-AR-RT-B-C-TECH-3-B1-RCN-G0-ST04</x:v>
      </x:c>
      <x:c r="B1440" s="9" t="str">
        <x:v>EV-AR-RT-B-C-TECH-3-B1-RCN-G0</x:v>
      </x:c>
      <x:c r="C1440" s="9" t="str">
        <x:v>EOW-AR-RT-B-C-TECH-3-B1-RCN-G0</x:v>
      </x:c>
      <x:c r="D1440" s="9" t="str">
        <x:v>AR-RT-B-C-TECH-3-B1-RCN-G0</x:v>
      </x:c>
      <x:c r="E1440" s="9" t="str">
        <x:v>RT-B-C-TECH-3</x:v>
      </x:c>
      <x:c r="F1440" s="9" t="str">
        <x:v>RT-B-C</x:v>
      </x:c>
      <x:c r="G1440" s="9" t="str">
        <x:v>B1</x:v>
      </x:c>
      <x:c r="H1440" s="9" t="str">
        <x:v>RCN</x:v>
      </x:c>
      <x:c r="I1440" s="9" t="n">
        <x:v>6</x:v>
      </x:c>
      <x:c r="J1440" s="9" t="n">
        <x:v>4</x:v>
      </x:c>
      <x:c r="K1440" s="9" t="str">
        <x:v>RT-B-C-N3</x:v>
      </x:c>
      <x:c r="L1440" s="9" t="str">
        <x:v>ST04</x:v>
      </x:c>
      <x:c r="M1440" s="17" t="str">
        <x:v>Primary capture armed</x:v>
      </x:c>
      <x:c r="N1440" s="17" t="str">
        <x:v>primary chain records sealed reference and live time</x:v>
      </x:c>
      <x:c r="O1440" s="17" t="str">
        <x:v>Primary metrology</x:v>
      </x:c>
      <x:c r="P1440" s="9" t="n">
        <x:v>0</x:v>
      </x:c>
      <x:c r="Q1440" s="9" t="n">
        <x:v>0</x:v>
      </x:c>
      <x:c r="R1440" s="9" t="str">
        <x:v>OPEN / UNSTARTED</x:v>
      </x:c>
      <x:c r="S1440" s="9" t="n">
        <x:f>COUNTIFS($A$7:$A$1446,A1440)</x:f>
        <x:v>1</x:v>
      </x:c>
    </x:row>
    <x:row r="1441">
      <x:c r="A1441" s="9" t="str">
        <x:v>EV-AR-RT-B-C-TECH-3-B1-RCN-G0-ST05</x:v>
      </x:c>
      <x:c r="B1441" s="9" t="str">
        <x:v>EV-AR-RT-B-C-TECH-3-B1-RCN-G0</x:v>
      </x:c>
      <x:c r="C1441" s="9" t="str">
        <x:v>EOW-AR-RT-B-C-TECH-3-B1-RCN-G0</x:v>
      </x:c>
      <x:c r="D1441" s="9" t="str">
        <x:v>AR-RT-B-C-TECH-3-B1-RCN-G0</x:v>
      </x:c>
      <x:c r="E1441" s="9" t="str">
        <x:v>RT-B-C-TECH-3</x:v>
      </x:c>
      <x:c r="F1441" s="9" t="str">
        <x:v>RT-B-C</x:v>
      </x:c>
      <x:c r="G1441" s="9" t="str">
        <x:v>B1</x:v>
      </x:c>
      <x:c r="H1441" s="9" t="str">
        <x:v>RCN</x:v>
      </x:c>
      <x:c r="I1441" s="9" t="n">
        <x:v>6</x:v>
      </x:c>
      <x:c r="J1441" s="9" t="n">
        <x:v>4</x:v>
      </x:c>
      <x:c r="K1441" s="9" t="str">
        <x:v>RT-B-C-N3</x:v>
      </x:c>
      <x:c r="L1441" s="9" t="str">
        <x:v>ST05</x:v>
      </x:c>
      <x:c r="M1441" s="17" t="str">
        <x:v>Witness capture armed</x:v>
      </x:c>
      <x:c r="N1441" s="17" t="str">
        <x:v>unlike witness records independent reference and live time</x:v>
      </x:c>
      <x:c r="O1441" s="17" t="str">
        <x:v>Witness metrology</x:v>
      </x:c>
      <x:c r="P1441" s="9" t="n">
        <x:v>0</x:v>
      </x:c>
      <x:c r="Q1441" s="9" t="n">
        <x:v>0</x:v>
      </x:c>
      <x:c r="R1441" s="9" t="str">
        <x:v>OPEN / UNSTARTED</x:v>
      </x:c>
      <x:c r="S1441" s="9" t="n">
        <x:f>COUNTIFS($A$7:$A$1446,A1441)</x:f>
        <x:v>1</x:v>
      </x:c>
    </x:row>
    <x:row r="1442">
      <x:c r="A1442" s="9" t="str">
        <x:v>EV-AR-RT-B-C-TECH-3-B1-RCN-G0-ST06</x:v>
      </x:c>
      <x:c r="B1442" s="9" t="str">
        <x:v>EV-AR-RT-B-C-TECH-3-B1-RCN-G0</x:v>
      </x:c>
      <x:c r="C1442" s="9" t="str">
        <x:v>EOW-AR-RT-B-C-TECH-3-B1-RCN-G0</x:v>
      </x:c>
      <x:c r="D1442" s="9" t="str">
        <x:v>AR-RT-B-C-TECH-3-B1-RCN-G0</x:v>
      </x:c>
      <x:c r="E1442" s="9" t="str">
        <x:v>RT-B-C-TECH-3</x:v>
      </x:c>
      <x:c r="F1442" s="9" t="str">
        <x:v>RT-B-C</x:v>
      </x:c>
      <x:c r="G1442" s="9" t="str">
        <x:v>B1</x:v>
      </x:c>
      <x:c r="H1442" s="9" t="str">
        <x:v>RCN</x:v>
      </x:c>
      <x:c r="I1442" s="9" t="n">
        <x:v>6</x:v>
      </x:c>
      <x:c r="J1442" s="9" t="n">
        <x:v>4</x:v>
      </x:c>
      <x:c r="K1442" s="9" t="str">
        <x:v>RT-B-C-N3</x:v>
      </x:c>
      <x:c r="L1442" s="9" t="str">
        <x:v>ST06</x:v>
      </x:c>
      <x:c r="M1442" s="17" t="str">
        <x:v>Public custody armed</x:v>
      </x:c>
      <x:c r="N1442" s="17" t="str">
        <x:v>eight raw origins have separated hash and replica routes</x:v>
      </x:c>
      <x:c r="O1442" s="17" t="str">
        <x:v>Custody authority</x:v>
      </x:c>
      <x:c r="P1442" s="9" t="n">
        <x:v>0</x:v>
      </x:c>
      <x:c r="Q1442" s="9" t="n">
        <x:v>0</x:v>
      </x:c>
      <x:c r="R1442" s="9" t="str">
        <x:v>OPEN / UNSTARTED</x:v>
      </x:c>
      <x:c r="S1442" s="9" t="n">
        <x:f>COUNTIFS($A$7:$A$1446,A1442)</x:f>
        <x:v>1</x:v>
      </x:c>
    </x:row>
    <x:row r="1443">
      <x:c r="A1443" s="9" t="str">
        <x:v>EV-AR-RT-B-C-TECH-3-B1-RCN-G0-ST07</x:v>
      </x:c>
      <x:c r="B1443" s="9" t="str">
        <x:v>EV-AR-RT-B-C-TECH-3-B1-RCN-G0</x:v>
      </x:c>
      <x:c r="C1443" s="9" t="str">
        <x:v>EOW-AR-RT-B-C-TECH-3-B1-RCN-G0</x:v>
      </x:c>
      <x:c r="D1443" s="9" t="str">
        <x:v>AR-RT-B-C-TECH-3-B1-RCN-G0</x:v>
      </x:c>
      <x:c r="E1443" s="9" t="str">
        <x:v>RT-B-C-TECH-3</x:v>
      </x:c>
      <x:c r="F1443" s="9" t="str">
        <x:v>RT-B-C</x:v>
      </x:c>
      <x:c r="G1443" s="9" t="str">
        <x:v>B1</x:v>
      </x:c>
      <x:c r="H1443" s="9" t="str">
        <x:v>RCN</x:v>
      </x:c>
      <x:c r="I1443" s="9" t="n">
        <x:v>6</x:v>
      </x:c>
      <x:c r="J1443" s="9" t="n">
        <x:v>4</x:v>
      </x:c>
      <x:c r="K1443" s="9" t="str">
        <x:v>RT-B-C-N3</x:v>
      </x:c>
      <x:c r="L1443" s="9" t="str">
        <x:v>ST07</x:v>
      </x:c>
      <x:c r="M1443" s="17" t="str">
        <x:v>Environmental baseline</x:v>
      </x:c>
      <x:c r="N1443" s="17" t="str">
        <x:v>pre-event boundary state is sealed before decisive operation</x:v>
      </x:c>
      <x:c r="O1443" s="17" t="str">
        <x:v>Site metrology</x:v>
      </x:c>
      <x:c r="P1443" s="9" t="n">
        <x:v>0</x:v>
      </x:c>
      <x:c r="Q1443" s="9" t="n">
        <x:v>0</x:v>
      </x:c>
      <x:c r="R1443" s="9" t="str">
        <x:v>OPEN / UNSTARTED</x:v>
      </x:c>
      <x:c r="S1443" s="9" t="n">
        <x:f>COUNTIFS($A$7:$A$1446,A1443)</x:f>
        <x:v>1</x:v>
      </x:c>
    </x:row>
    <x:row r="1444">
      <x:c r="A1444" s="9" t="str">
        <x:v>EV-AR-RT-B-C-TECH-3-B1-RCN-G0-ST08</x:v>
      </x:c>
      <x:c r="B1444" s="9" t="str">
        <x:v>EV-AR-RT-B-C-TECH-3-B1-RCN-G0</x:v>
      </x:c>
      <x:c r="C1444" s="9" t="str">
        <x:v>EOW-AR-RT-B-C-TECH-3-B1-RCN-G0</x:v>
      </x:c>
      <x:c r="D1444" s="9" t="str">
        <x:v>AR-RT-B-C-TECH-3-B1-RCN-G0</x:v>
      </x:c>
      <x:c r="E1444" s="9" t="str">
        <x:v>RT-B-C-TECH-3</x:v>
      </x:c>
      <x:c r="F1444" s="9" t="str">
        <x:v>RT-B-C</x:v>
      </x:c>
      <x:c r="G1444" s="9" t="str">
        <x:v>B1</x:v>
      </x:c>
      <x:c r="H1444" s="9" t="str">
        <x:v>RCN</x:v>
      </x:c>
      <x:c r="I1444" s="9" t="n">
        <x:v>6</x:v>
      </x:c>
      <x:c r="J1444" s="9" t="n">
        <x:v>4</x:v>
      </x:c>
      <x:c r="K1444" s="9" t="str">
        <x:v>RT-B-C-N3</x:v>
      </x:c>
      <x:c r="L1444" s="9" t="str">
        <x:v>ST08</x:v>
      </x:c>
      <x:c r="M1444" s="17" t="str">
        <x:v>Manual stop and safety</x:v>
      </x:c>
      <x:c r="N1444" s="17" t="str">
        <x:v>local stop, evacuation and protection routes are active</x:v>
      </x:c>
      <x:c r="O1444" s="17" t="str">
        <x:v>Safety authority</x:v>
      </x:c>
      <x:c r="P1444" s="9" t="n">
        <x:v>0</x:v>
      </x:c>
      <x:c r="Q1444" s="9" t="n">
        <x:v>0</x:v>
      </x:c>
      <x:c r="R1444" s="9" t="str">
        <x:v>OPEN / UNSTARTED</x:v>
      </x:c>
      <x:c r="S1444" s="9" t="n">
        <x:f>COUNTIFS($A$7:$A$1446,A1444)</x:f>
        <x:v>1</x:v>
      </x:c>
    </x:row>
    <x:row r="1445">
      <x:c r="A1445" s="9" t="str">
        <x:v>EV-AR-RT-B-C-TECH-3-B1-RCN-G0-ST09</x:v>
      </x:c>
      <x:c r="B1445" s="9" t="str">
        <x:v>EV-AR-RT-B-C-TECH-3-B1-RCN-G0</x:v>
      </x:c>
      <x:c r="C1445" s="9" t="str">
        <x:v>EOW-AR-RT-B-C-TECH-3-B1-RCN-G0</x:v>
      </x:c>
      <x:c r="D1445" s="9" t="str">
        <x:v>AR-RT-B-C-TECH-3-B1-RCN-G0</x:v>
      </x:c>
      <x:c r="E1445" s="9" t="str">
        <x:v>RT-B-C-TECH-3</x:v>
      </x:c>
      <x:c r="F1445" s="9" t="str">
        <x:v>RT-B-C</x:v>
      </x:c>
      <x:c r="G1445" s="9" t="str">
        <x:v>B1</x:v>
      </x:c>
      <x:c r="H1445" s="9" t="str">
        <x:v>RCN</x:v>
      </x:c>
      <x:c r="I1445" s="9" t="n">
        <x:v>6</x:v>
      </x:c>
      <x:c r="J1445" s="9" t="n">
        <x:v>4</x:v>
      </x:c>
      <x:c r="K1445" s="9" t="str">
        <x:v>RT-B-C-N3</x:v>
      </x:c>
      <x:c r="L1445" s="9" t="str">
        <x:v>ST09</x:v>
      </x:c>
      <x:c r="M1445" s="17" t="str">
        <x:v>Operator conflict clear</x:v>
      </x:c>
      <x:c r="N1445" s="17" t="str">
        <x:v>candidate, fixture, safety and measurement control edges remain separated</x:v>
      </x:c>
      <x:c r="O1445" s="17" t="str">
        <x:v>Conflict registrar</x:v>
      </x:c>
      <x:c r="P1445" s="9" t="n">
        <x:v>0</x:v>
      </x:c>
      <x:c r="Q1445" s="9" t="n">
        <x:v>0</x:v>
      </x:c>
      <x:c r="R1445" s="9" t="str">
        <x:v>OPEN / UNSTARTED</x:v>
      </x:c>
      <x:c r="S1445" s="9" t="n">
        <x:f>COUNTIFS($A$7:$A$1446,A1445)</x:f>
        <x:v>1</x:v>
      </x:c>
    </x:row>
    <x:row r="1446">
      <x:c r="A1446" s="9" t="str">
        <x:v>EV-AR-RT-B-C-TECH-3-B1-RCN-G0-ST10</x:v>
      </x:c>
      <x:c r="B1446" s="9" t="str">
        <x:v>EV-AR-RT-B-C-TECH-3-B1-RCN-G0</x:v>
      </x:c>
      <x:c r="C1446" s="9" t="str">
        <x:v>EOW-AR-RT-B-C-TECH-3-B1-RCN-G0</x:v>
      </x:c>
      <x:c r="D1446" s="9" t="str">
        <x:v>AR-RT-B-C-TECH-3-B1-RCN-G0</x:v>
      </x:c>
      <x:c r="E1446" s="9" t="str">
        <x:v>RT-B-C-TECH-3</x:v>
      </x:c>
      <x:c r="F1446" s="9" t="str">
        <x:v>RT-B-C</x:v>
      </x:c>
      <x:c r="G1446" s="9" t="str">
        <x:v>B1</x:v>
      </x:c>
      <x:c r="H1446" s="9" t="str">
        <x:v>RCN</x:v>
      </x:c>
      <x:c r="I1446" s="9" t="n">
        <x:v>6</x:v>
      </x:c>
      <x:c r="J1446" s="9" t="n">
        <x:v>4</x:v>
      </x:c>
      <x:c r="K1446" s="9" t="str">
        <x:v>RT-B-C-N3</x:v>
      </x:c>
      <x:c r="L1446" s="9" t="str">
        <x:v>ST10</x:v>
      </x:c>
      <x:c r="M1446" s="17" t="str">
        <x:v>Window and common clock</x:v>
      </x:c>
      <x:c r="N1446" s="17" t="str">
        <x:v>epoch, window and public time origin match the issued warrant</x:v>
      </x:c>
      <x:c r="O1446" s="17" t="str">
        <x:v>Event clock authority</x:v>
      </x:c>
      <x:c r="P1446" s="9" t="n">
        <x:v>0</x:v>
      </x:c>
      <x:c r="Q1446" s="9" t="n">
        <x:v>0</x:v>
      </x:c>
      <x:c r="R1446" s="9" t="str">
        <x:v>OPEN / UNSTARTED</x:v>
      </x:c>
      <x:c r="S1446" s="9" t="n">
        <x:f>COUNTIFS($A$7:$A$1446,A1446)</x:f>
        <x:v>1</x:v>
      </x:c>
    </x:row>
  </x:sheetData>
  <x:conditionalFormatting sqref="R7:R1446">
    <x:cfRule type="containsText" dxfId="16" priority="1" operator="containsText" text="OPEN"/>
    <x:cfRule type="containsText" dxfId="17" priority="2" operator="containsText" text="BLOCKED"/>
    <x:cfRule type="containsText" dxfId="18" priority="3" operator="containsText" text="UNSTARTED"/>
    <x:cfRule type="containsText" dxfId="19" priority="4" operator="containsText" text="UNSEALED"/>
    <x:cfRule type="containsText" dxfId="20" priority="5" operator="containsText" text="UNACCEPTED"/>
    <x:cfRule type="containsText" dxfId="21" priority="6" operator="containsText" text="UNFILED"/>
    <x:cfRule type="containsText" dxfId="22" priority="7" operator="containsText" text="UNJUDGED"/>
    <x:cfRule type="containsText" dxfId="23" priority="8" operator="containsText" text="UNRELEASED"/>
    <x:cfRule type="containsText" dxfId="24" priority="9" operator="containsText" text="HELD"/>
    <x:cfRule type="containsText" dxfId="25" priority="10" operator="containsText" text="PENDING"/>
    <x:cfRule type="containsText" dxfId="26" priority="11" operator="containsText" text="SOURCE-EMPTY"/>
    <x:cfRule type="containsText" dxfId="27" priority="12" operator="containsText" text="FAIL"/>
    <x:cfRule type="containsText" dxfId="28" priority="13" operator="containsText" text="TERMINATE"/>
    <x:cfRule type="containsText" dxfId="29" priority="14" operator="containsText" text="PROHIBITED"/>
    <x:cfRule type="containsText" dxfId="30" priority="15" operator="containsText" text="BREACH"/>
    <x:cfRule type="containsText" dxfId="31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a6493d4a5b8d4e1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4" hidden="0" customWidth="1"/>
    <x:col min="2" max="2" width="48" hidden="0" customWidth="1"/>
    <x:col min="3" max="3" width="42" hidden="0" customWidth="1"/>
    <x:col min="4" max="4" width="24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34" hidden="0" customWidth="1"/>
    <x:col min="10" max="10" width="24" hidden="0" customWidth="1"/>
    <x:col min="11" max="11" width="22" hidden="0" customWidth="1"/>
    <x:col min="12" max="12" width="14" hidden="0" customWidth="1"/>
    <x:col min="13" max="13" width="16" hidden="0" customWidth="1"/>
    <x:col min="14" max="14" width="18" hidden="0" customWidth="1"/>
    <x:col min="15" max="15" width="12" hidden="0" customWidth="1"/>
    <x:col min="16" max="16" width="28" hidden="0" customWidth="1"/>
    <x:col min="17" max="17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>
      <x:c r="A2" s="31" t="str">
        <x:v>Eight independently originated raw records per event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 ht="34" customHeight="1">
      <x:c r="A6" s="35" t="str">
        <x:v>Packet record</x:v>
      </x:c>
      <x:c r="B6" s="35" t="str">
        <x:v>Event</x:v>
      </x:c>
      <x:c r="C6" s="35" t="str">
        <x:v>Serial</x:v>
      </x:c>
      <x:c r="D6" s="35" t="str">
        <x:v>Order</x:v>
      </x:c>
      <x:c r="E6" s="35" t="str">
        <x:v>Form</x:v>
      </x:c>
      <x:c r="F6" s="35" t="str">
        <x:v>Builder</x:v>
      </x:c>
      <x:c r="G6" s="35" t="str">
        <x:v>Role</x:v>
      </x:c>
      <x:c r="H6" s="35" t="str">
        <x:v>Object</x:v>
      </x:c>
      <x:c r="I6" s="35" t="str">
        <x:v>Record</x:v>
      </x:c>
      <x:c r="J6" s="35" t="str">
        <x:v>Origin authority</x:v>
      </x:c>
      <x:c r="K6" s="35" t="str">
        <x:v>Public custodian</x:v>
      </x:c>
      <x:c r="L6" s="35" t="str">
        <x:v>Origin hash</x:v>
      </x:c>
      <x:c r="M6" s="35" t="str">
        <x:v>Replica quorum</x:v>
      </x:c>
      <x:c r="N6" s="35" t="str">
        <x:v>Outcome metrics</x:v>
      </x:c>
      <x:c r="O6" s="35" t="str">
        <x:v>Released</x:v>
      </x:c>
      <x:c r="P6" s="35" t="str">
        <x:v>State</x:v>
      </x:c>
      <x:c r="Q6" s="35" t="str">
        <x:v>Record multiplicity</x:v>
      </x:c>
    </x:row>
    <x:row r="7">
      <x:c r="A7" s="9" t="str">
        <x:v>EV-AR-CT-C-B-TECH-1-B2-RCN-G0-RW01</x:v>
      </x:c>
      <x:c r="B7" s="9" t="str">
        <x:v>EV-AR-CT-C-B-TECH-1-B2-RCN-G0</x:v>
      </x:c>
      <x:c r="C7" s="9" t="str">
        <x:v>AR-CT-C-B-TECH-1-B2-RCN-G0</x:v>
      </x:c>
      <x:c r="D7" s="9" t="str">
        <x:v>CT-C-B-TECH-1</x:v>
      </x:c>
      <x:c r="E7" s="9" t="str">
        <x:v>CT-C-B</x:v>
      </x:c>
      <x:c r="F7" s="9" t="str">
        <x:v>B2</x:v>
      </x:c>
      <x:c r="G7" s="9" t="str">
        <x:v>RCN</x:v>
      </x:c>
      <x:c r="H7" s="9" t="str">
        <x:v>RW01</x:v>
      </x:c>
      <x:c r="I7" s="17" t="str">
        <x:v>Primary raw stream</x:v>
      </x:c>
      <x:c r="J7" s="17" t="str">
        <x:v>Primary metrology</x:v>
      </x:c>
      <x:c r="K7" s="17" t="str">
        <x:v>Public custody A</x:v>
      </x:c>
      <x:c r="L7" s="9" t="n">
        <x:v>0</x:v>
      </x:c>
      <x:c r="M7" s="9" t="n">
        <x:v>0</x:v>
      </x:c>
      <x:c r="N7" s="9" t="n">
        <x:v>0</x:v>
      </x:c>
      <x:c r="O7" s="9" t="n">
        <x:v>0</x:v>
      </x:c>
      <x:c r="P7" s="9" t="str">
        <x:v>UNSEALED / SOURCE-EMPTY</x:v>
      </x:c>
      <x:c r="Q7" s="9" t="n">
        <x:f>COUNTIFS($A$7:$A$1158,A7)</x:f>
        <x:v>1</x:v>
      </x:c>
    </x:row>
    <x:row r="8">
      <x:c r="A8" s="9" t="str">
        <x:v>EV-AR-CT-C-B-TECH-1-B2-RCN-G0-RW02</x:v>
      </x:c>
      <x:c r="B8" s="9" t="str">
        <x:v>EV-AR-CT-C-B-TECH-1-B2-RCN-G0</x:v>
      </x:c>
      <x:c r="C8" s="9" t="str">
        <x:v>AR-CT-C-B-TECH-1-B2-RCN-G0</x:v>
      </x:c>
      <x:c r="D8" s="9" t="str">
        <x:v>CT-C-B-TECH-1</x:v>
      </x:c>
      <x:c r="E8" s="9" t="str">
        <x:v>CT-C-B</x:v>
      </x:c>
      <x:c r="F8" s="9" t="str">
        <x:v>B2</x:v>
      </x:c>
      <x:c r="G8" s="9" t="str">
        <x:v>RCN</x:v>
      </x:c>
      <x:c r="H8" s="9" t="str">
        <x:v>RW02</x:v>
      </x:c>
      <x:c r="I8" s="17" t="str">
        <x:v>Unlike witness stream</x:v>
      </x:c>
      <x:c r="J8" s="17" t="str">
        <x:v>Witness metrology</x:v>
      </x:c>
      <x:c r="K8" s="17" t="str">
        <x:v>Public custody B</x:v>
      </x:c>
      <x:c r="L8" s="9" t="n">
        <x:v>0</x:v>
      </x:c>
      <x:c r="M8" s="9" t="n">
        <x:v>0</x:v>
      </x:c>
      <x:c r="N8" s="9" t="n">
        <x:v>0</x:v>
      </x:c>
      <x:c r="O8" s="9" t="n">
        <x:v>0</x:v>
      </x:c>
      <x:c r="P8" s="9" t="str">
        <x:v>UNSEALED / SOURCE-EMPTY</x:v>
      </x:c>
      <x:c r="Q8" s="9" t="n">
        <x:f>COUNTIFS($A$7:$A$1158,A8)</x:f>
        <x:v>1</x:v>
      </x:c>
    </x:row>
    <x:row r="9">
      <x:c r="A9" s="9" t="str">
        <x:v>EV-AR-CT-C-B-TECH-1-B2-RCN-G0-RW03</x:v>
      </x:c>
      <x:c r="B9" s="9" t="str">
        <x:v>EV-AR-CT-C-B-TECH-1-B2-RCN-G0</x:v>
      </x:c>
      <x:c r="C9" s="9" t="str">
        <x:v>AR-CT-C-B-TECH-1-B2-RCN-G0</x:v>
      </x:c>
      <x:c r="D9" s="9" t="str">
        <x:v>CT-C-B-TECH-1</x:v>
      </x:c>
      <x:c r="E9" s="9" t="str">
        <x:v>CT-C-B</x:v>
      </x:c>
      <x:c r="F9" s="9" t="str">
        <x:v>B2</x:v>
      </x:c>
      <x:c r="G9" s="9" t="str">
        <x:v>RCN</x:v>
      </x:c>
      <x:c r="H9" s="9" t="str">
        <x:v>RW03</x:v>
      </x:c>
      <x:c r="I9" s="17" t="str">
        <x:v>Event clock and start traces</x:v>
      </x:c>
      <x:c r="J9" s="17" t="str">
        <x:v>Event clock authority</x:v>
      </x:c>
      <x:c r="K9" s="17" t="str">
        <x:v>Public custody C</x:v>
      </x:c>
      <x:c r="L9" s="9" t="n">
        <x:v>0</x:v>
      </x:c>
      <x:c r="M9" s="9" t="n">
        <x:v>0</x:v>
      </x:c>
      <x:c r="N9" s="9" t="n">
        <x:v>0</x:v>
      </x:c>
      <x:c r="O9" s="9" t="n">
        <x:v>0</x:v>
      </x:c>
      <x:c r="P9" s="9" t="str">
        <x:v>UNSEALED / SOURCE-EMPTY</x:v>
      </x:c>
      <x:c r="Q9" s="9" t="n">
        <x:f>COUNTIFS($A$7:$A$1158,A9)</x:f>
        <x:v>1</x:v>
      </x:c>
    </x:row>
    <x:row r="10">
      <x:c r="A10" s="9" t="str">
        <x:v>EV-AR-CT-C-B-TECH-1-B2-RCN-G0-RW04</x:v>
      </x:c>
      <x:c r="B10" s="9" t="str">
        <x:v>EV-AR-CT-C-B-TECH-1-B2-RCN-G0</x:v>
      </x:c>
      <x:c r="C10" s="9" t="str">
        <x:v>AR-CT-C-B-TECH-1-B2-RCN-G0</x:v>
      </x:c>
      <x:c r="D10" s="9" t="str">
        <x:v>CT-C-B-TECH-1</x:v>
      </x:c>
      <x:c r="E10" s="9" t="str">
        <x:v>CT-C-B</x:v>
      </x:c>
      <x:c r="F10" s="9" t="str">
        <x:v>B2</x:v>
      </x:c>
      <x:c r="G10" s="9" t="str">
        <x:v>RCN</x:v>
      </x:c>
      <x:c r="H10" s="9" t="str">
        <x:v>RW04</x:v>
      </x:c>
      <x:c r="I10" s="17" t="str">
        <x:v>Environmental boundary stream</x:v>
      </x:c>
      <x:c r="J10" s="17" t="str">
        <x:v>Site metrology</x:v>
      </x:c>
      <x:c r="K10" s="17" t="str">
        <x:v>Public custody D</x:v>
      </x:c>
      <x:c r="L10" s="9" t="n">
        <x:v>0</x:v>
      </x:c>
      <x:c r="M10" s="9" t="n">
        <x:v>0</x:v>
      </x:c>
      <x:c r="N10" s="9" t="n">
        <x:v>0</x:v>
      </x:c>
      <x:c r="O10" s="9" t="n">
        <x:v>0</x:v>
      </x:c>
      <x:c r="P10" s="9" t="str">
        <x:v>UNSEALED / SOURCE-EMPTY</x:v>
      </x:c>
      <x:c r="Q10" s="9" t="n">
        <x:f>COUNTIFS($A$7:$A$1158,A10)</x:f>
        <x:v>1</x:v>
      </x:c>
    </x:row>
    <x:row r="11">
      <x:c r="A11" s="9" t="str">
        <x:v>EV-AR-CT-C-B-TECH-1-B2-RCN-G0-RW05</x:v>
      </x:c>
      <x:c r="B11" s="9" t="str">
        <x:v>EV-AR-CT-C-B-TECH-1-B2-RCN-G0</x:v>
      </x:c>
      <x:c r="C11" s="9" t="str">
        <x:v>AR-CT-C-B-TECH-1-B2-RCN-G0</x:v>
      </x:c>
      <x:c r="D11" s="9" t="str">
        <x:v>CT-C-B-TECH-1</x:v>
      </x:c>
      <x:c r="E11" s="9" t="str">
        <x:v>CT-C-B</x:v>
      </x:c>
      <x:c r="F11" s="9" t="str">
        <x:v>B2</x:v>
      </x:c>
      <x:c r="G11" s="9" t="str">
        <x:v>RCN</x:v>
      </x:c>
      <x:c r="H11" s="9" t="str">
        <x:v>RW05</x:v>
      </x:c>
      <x:c r="I11" s="17" t="str">
        <x:v>Command and intervention log</x:v>
      </x:c>
      <x:c r="J11" s="17" t="str">
        <x:v>Safety authority</x:v>
      </x:c>
      <x:c r="K11" s="17" t="str">
        <x:v>Public custody E</x:v>
      </x:c>
      <x:c r="L11" s="9" t="n">
        <x:v>0</x:v>
      </x:c>
      <x:c r="M11" s="9" t="n">
        <x:v>0</x:v>
      </x:c>
      <x:c r="N11" s="9" t="n">
        <x:v>0</x:v>
      </x:c>
      <x:c r="O11" s="9" t="n">
        <x:v>0</x:v>
      </x:c>
      <x:c r="P11" s="9" t="str">
        <x:v>UNSEALED / SOURCE-EMPTY</x:v>
      </x:c>
      <x:c r="Q11" s="9" t="n">
        <x:f>COUNTIFS($A$7:$A$1158,A11)</x:f>
        <x:v>1</x:v>
      </x:c>
    </x:row>
    <x:row r="12">
      <x:c r="A12" s="9" t="str">
        <x:v>EV-AR-CT-C-B-TECH-1-B2-RCN-G0-RW06</x:v>
      </x:c>
      <x:c r="B12" s="9" t="str">
        <x:v>EV-AR-CT-C-B-TECH-1-B2-RCN-G0</x:v>
      </x:c>
      <x:c r="C12" s="9" t="str">
        <x:v>AR-CT-C-B-TECH-1-B2-RCN-G0</x:v>
      </x:c>
      <x:c r="D12" s="9" t="str">
        <x:v>CT-C-B-TECH-1</x:v>
      </x:c>
      <x:c r="E12" s="9" t="str">
        <x:v>CT-C-B</x:v>
      </x:c>
      <x:c r="F12" s="9" t="str">
        <x:v>B2</x:v>
      </x:c>
      <x:c r="G12" s="9" t="str">
        <x:v>RCN</x:v>
      </x:c>
      <x:c r="H12" s="9" t="str">
        <x:v>RW06</x:v>
      </x:c>
      <x:c r="I12" s="17" t="str">
        <x:v>Receiver service ledger</x:v>
      </x:c>
      <x:c r="J12" s="17" t="str">
        <x:v>Receiver authority</x:v>
      </x:c>
      <x:c r="K12" s="17" t="str">
        <x:v>Public custody F</x:v>
      </x:c>
      <x:c r="L12" s="9" t="n">
        <x:v>0</x:v>
      </x:c>
      <x:c r="M12" s="9" t="n">
        <x:v>0</x:v>
      </x:c>
      <x:c r="N12" s="9" t="n">
        <x:v>0</x:v>
      </x:c>
      <x:c r="O12" s="9" t="n">
        <x:v>0</x:v>
      </x:c>
      <x:c r="P12" s="9" t="str">
        <x:v>UNSEALED / SOURCE-EMPTY</x:v>
      </x:c>
      <x:c r="Q12" s="9" t="n">
        <x:f>COUNTIFS($A$7:$A$1158,A12)</x:f>
        <x:v>1</x:v>
      </x:c>
    </x:row>
    <x:row r="13">
      <x:c r="A13" s="9" t="str">
        <x:v>EV-AR-CT-C-B-TECH-1-B2-RCN-G0-RW07</x:v>
      </x:c>
      <x:c r="B13" s="9" t="str">
        <x:v>EV-AR-CT-C-B-TECH-1-B2-RCN-G0</x:v>
      </x:c>
      <x:c r="C13" s="9" t="str">
        <x:v>AR-CT-C-B-TECH-1-B2-RCN-G0</x:v>
      </x:c>
      <x:c r="D13" s="9" t="str">
        <x:v>CT-C-B-TECH-1</x:v>
      </x:c>
      <x:c r="E13" s="9" t="str">
        <x:v>CT-C-B</x:v>
      </x:c>
      <x:c r="F13" s="9" t="str">
        <x:v>B2</x:v>
      </x:c>
      <x:c r="G13" s="9" t="str">
        <x:v>RCN</x:v>
      </x:c>
      <x:c r="H13" s="9" t="str">
        <x:v>RW07</x:v>
      </x:c>
      <x:c r="I13" s="17" t="str">
        <x:v>Candidate interface telemetry</x:v>
      </x:c>
      <x:c r="J13" s="17" t="str">
        <x:v>Interface custodian</x:v>
      </x:c>
      <x:c r="K13" s="17" t="str">
        <x:v>Public custody A</x:v>
      </x:c>
      <x:c r="L13" s="9" t="n">
        <x:v>0</x:v>
      </x:c>
      <x:c r="M13" s="9" t="n">
        <x:v>0</x:v>
      </x:c>
      <x:c r="N13" s="9" t="n">
        <x:v>0</x:v>
      </x:c>
      <x:c r="O13" s="9" t="n">
        <x:v>0</x:v>
      </x:c>
      <x:c r="P13" s="9" t="str">
        <x:v>UNSEALED / SOURCE-EMPTY</x:v>
      </x:c>
      <x:c r="Q13" s="9" t="n">
        <x:f>COUNTIFS($A$7:$A$1158,A13)</x:f>
        <x:v>1</x:v>
      </x:c>
    </x:row>
    <x:row r="14">
      <x:c r="A14" s="9" t="str">
        <x:v>EV-AR-CT-C-B-TECH-1-B2-RCN-G0-RW08</x:v>
      </x:c>
      <x:c r="B14" s="9" t="str">
        <x:v>EV-AR-CT-C-B-TECH-1-B2-RCN-G0</x:v>
      </x:c>
      <x:c r="C14" s="9" t="str">
        <x:v>AR-CT-C-B-TECH-1-B2-RCN-G0</x:v>
      </x:c>
      <x:c r="D14" s="9" t="str">
        <x:v>CT-C-B-TECH-1</x:v>
      </x:c>
      <x:c r="E14" s="9" t="str">
        <x:v>CT-C-B</x:v>
      </x:c>
      <x:c r="F14" s="9" t="str">
        <x:v>B2</x:v>
      </x:c>
      <x:c r="G14" s="9" t="str">
        <x:v>RCN</x:v>
      </x:c>
      <x:c r="H14" s="9" t="str">
        <x:v>RW08</x:v>
      </x:c>
      <x:c r="I14" s="17" t="str">
        <x:v>Residual and physical evidence</x:v>
      </x:c>
      <x:c r="J14" s="17" t="str">
        <x:v>Residual authority</x:v>
      </x:c>
      <x:c r="K14" s="17" t="str">
        <x:v>Public custody B</x:v>
      </x:c>
      <x:c r="L14" s="9" t="n">
        <x:v>0</x:v>
      </x:c>
      <x:c r="M14" s="9" t="n">
        <x:v>0</x:v>
      </x:c>
      <x:c r="N14" s="9" t="n">
        <x:v>0</x:v>
      </x:c>
      <x:c r="O14" s="9" t="n">
        <x:v>0</x:v>
      </x:c>
      <x:c r="P14" s="9" t="str">
        <x:v>UNSEALED / SOURCE-EMPTY</x:v>
      </x:c>
      <x:c r="Q14" s="9" t="n">
        <x:f>COUNTIFS($A$7:$A$1158,A14)</x:f>
        <x:v>1</x:v>
      </x:c>
    </x:row>
    <x:row r="15">
      <x:c r="A15" s="9" t="str">
        <x:v>EV-AR-CT-C-B-TECH-3-B2-BRK-G0-RW01</x:v>
      </x:c>
      <x:c r="B15" s="9" t="str">
        <x:v>EV-AR-CT-C-B-TECH-3-B2-BRK-G0</x:v>
      </x:c>
      <x:c r="C15" s="9" t="str">
        <x:v>AR-CT-C-B-TECH-3-B2-BRK-G0</x:v>
      </x:c>
      <x:c r="D15" s="9" t="str">
        <x:v>CT-C-B-TECH-3</x:v>
      </x:c>
      <x:c r="E15" s="9" t="str">
        <x:v>CT-C-B</x:v>
      </x:c>
      <x:c r="F15" s="9" t="str">
        <x:v>B2</x:v>
      </x:c>
      <x:c r="G15" s="9" t="str">
        <x:v>BRK</x:v>
      </x:c>
      <x:c r="H15" s="9" t="str">
        <x:v>RW01</x:v>
      </x:c>
      <x:c r="I15" s="17" t="str">
        <x:v>Primary raw stream</x:v>
      </x:c>
      <x:c r="J15" s="17" t="str">
        <x:v>Primary metrology</x:v>
      </x:c>
      <x:c r="K15" s="17" t="str">
        <x:v>Public custody A</x:v>
      </x:c>
      <x:c r="L15" s="9" t="n">
        <x:v>0</x:v>
      </x:c>
      <x:c r="M15" s="9" t="n">
        <x:v>0</x:v>
      </x:c>
      <x:c r="N15" s="9" t="n">
        <x:v>0</x:v>
      </x:c>
      <x:c r="O15" s="9" t="n">
        <x:v>0</x:v>
      </x:c>
      <x:c r="P15" s="9" t="str">
        <x:v>UNSEALED / SOURCE-EMPTY</x:v>
      </x:c>
      <x:c r="Q15" s="9" t="n">
        <x:f>COUNTIFS($A$7:$A$1158,A15)</x:f>
        <x:v>1</x:v>
      </x:c>
    </x:row>
    <x:row r="16">
      <x:c r="A16" s="9" t="str">
        <x:v>EV-AR-CT-C-B-TECH-3-B2-BRK-G0-RW02</x:v>
      </x:c>
      <x:c r="B16" s="9" t="str">
        <x:v>EV-AR-CT-C-B-TECH-3-B2-BRK-G0</x:v>
      </x:c>
      <x:c r="C16" s="9" t="str">
        <x:v>AR-CT-C-B-TECH-3-B2-BRK-G0</x:v>
      </x:c>
      <x:c r="D16" s="9" t="str">
        <x:v>CT-C-B-TECH-3</x:v>
      </x:c>
      <x:c r="E16" s="9" t="str">
        <x:v>CT-C-B</x:v>
      </x:c>
      <x:c r="F16" s="9" t="str">
        <x:v>B2</x:v>
      </x:c>
      <x:c r="G16" s="9" t="str">
        <x:v>BRK</x:v>
      </x:c>
      <x:c r="H16" s="9" t="str">
        <x:v>RW02</x:v>
      </x:c>
      <x:c r="I16" s="17" t="str">
        <x:v>Unlike witness stream</x:v>
      </x:c>
      <x:c r="J16" s="17" t="str">
        <x:v>Witness metrology</x:v>
      </x:c>
      <x:c r="K16" s="17" t="str">
        <x:v>Public custody B</x:v>
      </x:c>
      <x:c r="L16" s="9" t="n">
        <x:v>0</x:v>
      </x:c>
      <x:c r="M16" s="9" t="n">
        <x:v>0</x:v>
      </x:c>
      <x:c r="N16" s="9" t="n">
        <x:v>0</x:v>
      </x:c>
      <x:c r="O16" s="9" t="n">
        <x:v>0</x:v>
      </x:c>
      <x:c r="P16" s="9" t="str">
        <x:v>UNSEALED / SOURCE-EMPTY</x:v>
      </x:c>
      <x:c r="Q16" s="9" t="n">
        <x:f>COUNTIFS($A$7:$A$1158,A16)</x:f>
        <x:v>1</x:v>
      </x:c>
    </x:row>
    <x:row r="17">
      <x:c r="A17" s="9" t="str">
        <x:v>EV-AR-CT-C-B-TECH-3-B2-BRK-G0-RW03</x:v>
      </x:c>
      <x:c r="B17" s="9" t="str">
        <x:v>EV-AR-CT-C-B-TECH-3-B2-BRK-G0</x:v>
      </x:c>
      <x:c r="C17" s="9" t="str">
        <x:v>AR-CT-C-B-TECH-3-B2-BRK-G0</x:v>
      </x:c>
      <x:c r="D17" s="9" t="str">
        <x:v>CT-C-B-TECH-3</x:v>
      </x:c>
      <x:c r="E17" s="9" t="str">
        <x:v>CT-C-B</x:v>
      </x:c>
      <x:c r="F17" s="9" t="str">
        <x:v>B2</x:v>
      </x:c>
      <x:c r="G17" s="9" t="str">
        <x:v>BRK</x:v>
      </x:c>
      <x:c r="H17" s="9" t="str">
        <x:v>RW03</x:v>
      </x:c>
      <x:c r="I17" s="17" t="str">
        <x:v>Event clock and start traces</x:v>
      </x:c>
      <x:c r="J17" s="17" t="str">
        <x:v>Event clock authority</x:v>
      </x:c>
      <x:c r="K17" s="17" t="str">
        <x:v>Public custody C</x:v>
      </x:c>
      <x:c r="L17" s="9" t="n">
        <x:v>0</x:v>
      </x:c>
      <x:c r="M17" s="9" t="n">
        <x:v>0</x:v>
      </x:c>
      <x:c r="N17" s="9" t="n">
        <x:v>0</x:v>
      </x:c>
      <x:c r="O17" s="9" t="n">
        <x:v>0</x:v>
      </x:c>
      <x:c r="P17" s="9" t="str">
        <x:v>UNSEALED / SOURCE-EMPTY</x:v>
      </x:c>
      <x:c r="Q17" s="9" t="n">
        <x:f>COUNTIFS($A$7:$A$1158,A17)</x:f>
        <x:v>1</x:v>
      </x:c>
    </x:row>
    <x:row r="18">
      <x:c r="A18" s="9" t="str">
        <x:v>EV-AR-CT-C-B-TECH-3-B2-BRK-G0-RW04</x:v>
      </x:c>
      <x:c r="B18" s="9" t="str">
        <x:v>EV-AR-CT-C-B-TECH-3-B2-BRK-G0</x:v>
      </x:c>
      <x:c r="C18" s="9" t="str">
        <x:v>AR-CT-C-B-TECH-3-B2-BRK-G0</x:v>
      </x:c>
      <x:c r="D18" s="9" t="str">
        <x:v>CT-C-B-TECH-3</x:v>
      </x:c>
      <x:c r="E18" s="9" t="str">
        <x:v>CT-C-B</x:v>
      </x:c>
      <x:c r="F18" s="9" t="str">
        <x:v>B2</x:v>
      </x:c>
      <x:c r="G18" s="9" t="str">
        <x:v>BRK</x:v>
      </x:c>
      <x:c r="H18" s="9" t="str">
        <x:v>RW04</x:v>
      </x:c>
      <x:c r="I18" s="17" t="str">
        <x:v>Environmental boundary stream</x:v>
      </x:c>
      <x:c r="J18" s="17" t="str">
        <x:v>Site metrology</x:v>
      </x:c>
      <x:c r="K18" s="17" t="str">
        <x:v>Public custody D</x:v>
      </x:c>
      <x:c r="L18" s="9" t="n">
        <x:v>0</x:v>
      </x:c>
      <x:c r="M18" s="9" t="n">
        <x:v>0</x:v>
      </x:c>
      <x:c r="N18" s="9" t="n">
        <x:v>0</x:v>
      </x:c>
      <x:c r="O18" s="9" t="n">
        <x:v>0</x:v>
      </x:c>
      <x:c r="P18" s="9" t="str">
        <x:v>UNSEALED / SOURCE-EMPTY</x:v>
      </x:c>
      <x:c r="Q18" s="9" t="n">
        <x:f>COUNTIFS($A$7:$A$1158,A18)</x:f>
        <x:v>1</x:v>
      </x:c>
    </x:row>
    <x:row r="19">
      <x:c r="A19" s="9" t="str">
        <x:v>EV-AR-CT-C-B-TECH-3-B2-BRK-G0-RW05</x:v>
      </x:c>
      <x:c r="B19" s="9" t="str">
        <x:v>EV-AR-CT-C-B-TECH-3-B2-BRK-G0</x:v>
      </x:c>
      <x:c r="C19" s="9" t="str">
        <x:v>AR-CT-C-B-TECH-3-B2-BRK-G0</x:v>
      </x:c>
      <x:c r="D19" s="9" t="str">
        <x:v>CT-C-B-TECH-3</x:v>
      </x:c>
      <x:c r="E19" s="9" t="str">
        <x:v>CT-C-B</x:v>
      </x:c>
      <x:c r="F19" s="9" t="str">
        <x:v>B2</x:v>
      </x:c>
      <x:c r="G19" s="9" t="str">
        <x:v>BRK</x:v>
      </x:c>
      <x:c r="H19" s="9" t="str">
        <x:v>RW05</x:v>
      </x:c>
      <x:c r="I19" s="17" t="str">
        <x:v>Command and intervention log</x:v>
      </x:c>
      <x:c r="J19" s="17" t="str">
        <x:v>Safety authority</x:v>
      </x:c>
      <x:c r="K19" s="17" t="str">
        <x:v>Public custody E</x:v>
      </x:c>
      <x:c r="L19" s="9" t="n">
        <x:v>0</x:v>
      </x:c>
      <x:c r="M19" s="9" t="n">
        <x:v>0</x:v>
      </x:c>
      <x:c r="N19" s="9" t="n">
        <x:v>0</x:v>
      </x:c>
      <x:c r="O19" s="9" t="n">
        <x:v>0</x:v>
      </x:c>
      <x:c r="P19" s="9" t="str">
        <x:v>UNSEALED / SOURCE-EMPTY</x:v>
      </x:c>
      <x:c r="Q19" s="9" t="n">
        <x:f>COUNTIFS($A$7:$A$1158,A19)</x:f>
        <x:v>1</x:v>
      </x:c>
    </x:row>
    <x:row r="20">
      <x:c r="A20" s="9" t="str">
        <x:v>EV-AR-CT-C-B-TECH-3-B2-BRK-G0-RW06</x:v>
      </x:c>
      <x:c r="B20" s="9" t="str">
        <x:v>EV-AR-CT-C-B-TECH-3-B2-BRK-G0</x:v>
      </x:c>
      <x:c r="C20" s="9" t="str">
        <x:v>AR-CT-C-B-TECH-3-B2-BRK-G0</x:v>
      </x:c>
      <x:c r="D20" s="9" t="str">
        <x:v>CT-C-B-TECH-3</x:v>
      </x:c>
      <x:c r="E20" s="9" t="str">
        <x:v>CT-C-B</x:v>
      </x:c>
      <x:c r="F20" s="9" t="str">
        <x:v>B2</x:v>
      </x:c>
      <x:c r="G20" s="9" t="str">
        <x:v>BRK</x:v>
      </x:c>
      <x:c r="H20" s="9" t="str">
        <x:v>RW06</x:v>
      </x:c>
      <x:c r="I20" s="17" t="str">
        <x:v>Receiver service ledger</x:v>
      </x:c>
      <x:c r="J20" s="17" t="str">
        <x:v>Receiver authority</x:v>
      </x:c>
      <x:c r="K20" s="17" t="str">
        <x:v>Public custody F</x:v>
      </x:c>
      <x:c r="L20" s="9" t="n">
        <x:v>0</x:v>
      </x:c>
      <x:c r="M20" s="9" t="n">
        <x:v>0</x:v>
      </x:c>
      <x:c r="N20" s="9" t="n">
        <x:v>0</x:v>
      </x:c>
      <x:c r="O20" s="9" t="n">
        <x:v>0</x:v>
      </x:c>
      <x:c r="P20" s="9" t="str">
        <x:v>UNSEALED / SOURCE-EMPTY</x:v>
      </x:c>
      <x:c r="Q20" s="9" t="n">
        <x:f>COUNTIFS($A$7:$A$1158,A20)</x:f>
        <x:v>1</x:v>
      </x:c>
    </x:row>
    <x:row r="21">
      <x:c r="A21" s="9" t="str">
        <x:v>EV-AR-CT-C-B-TECH-3-B2-BRK-G0-RW07</x:v>
      </x:c>
      <x:c r="B21" s="9" t="str">
        <x:v>EV-AR-CT-C-B-TECH-3-B2-BRK-G0</x:v>
      </x:c>
      <x:c r="C21" s="9" t="str">
        <x:v>AR-CT-C-B-TECH-3-B2-BRK-G0</x:v>
      </x:c>
      <x:c r="D21" s="9" t="str">
        <x:v>CT-C-B-TECH-3</x:v>
      </x:c>
      <x:c r="E21" s="9" t="str">
        <x:v>CT-C-B</x:v>
      </x:c>
      <x:c r="F21" s="9" t="str">
        <x:v>B2</x:v>
      </x:c>
      <x:c r="G21" s="9" t="str">
        <x:v>BRK</x:v>
      </x:c>
      <x:c r="H21" s="9" t="str">
        <x:v>RW07</x:v>
      </x:c>
      <x:c r="I21" s="17" t="str">
        <x:v>Candidate interface telemetry</x:v>
      </x:c>
      <x:c r="J21" s="17" t="str">
        <x:v>Interface custodian</x:v>
      </x:c>
      <x:c r="K21" s="17" t="str">
        <x:v>Public custody A</x:v>
      </x:c>
      <x:c r="L21" s="9" t="n">
        <x:v>0</x:v>
      </x:c>
      <x:c r="M21" s="9" t="n">
        <x:v>0</x:v>
      </x:c>
      <x:c r="N21" s="9" t="n">
        <x:v>0</x:v>
      </x:c>
      <x:c r="O21" s="9" t="n">
        <x:v>0</x:v>
      </x:c>
      <x:c r="P21" s="9" t="str">
        <x:v>UNSEALED / SOURCE-EMPTY</x:v>
      </x:c>
      <x:c r="Q21" s="9" t="n">
        <x:f>COUNTIFS($A$7:$A$1158,A21)</x:f>
        <x:v>1</x:v>
      </x:c>
    </x:row>
    <x:row r="22">
      <x:c r="A22" s="9" t="str">
        <x:v>EV-AR-CT-C-B-TECH-3-B2-BRK-G0-RW08</x:v>
      </x:c>
      <x:c r="B22" s="9" t="str">
        <x:v>EV-AR-CT-C-B-TECH-3-B2-BRK-G0</x:v>
      </x:c>
      <x:c r="C22" s="9" t="str">
        <x:v>AR-CT-C-B-TECH-3-B2-BRK-G0</x:v>
      </x:c>
      <x:c r="D22" s="9" t="str">
        <x:v>CT-C-B-TECH-3</x:v>
      </x:c>
      <x:c r="E22" s="9" t="str">
        <x:v>CT-C-B</x:v>
      </x:c>
      <x:c r="F22" s="9" t="str">
        <x:v>B2</x:v>
      </x:c>
      <x:c r="G22" s="9" t="str">
        <x:v>BRK</x:v>
      </x:c>
      <x:c r="H22" s="9" t="str">
        <x:v>RW08</x:v>
      </x:c>
      <x:c r="I22" s="17" t="str">
        <x:v>Residual and physical evidence</x:v>
      </x:c>
      <x:c r="J22" s="17" t="str">
        <x:v>Residual authority</x:v>
      </x:c>
      <x:c r="K22" s="17" t="str">
        <x:v>Public custody B</x:v>
      </x:c>
      <x:c r="L22" s="9" t="n">
        <x:v>0</x:v>
      </x:c>
      <x:c r="M22" s="9" t="n">
        <x:v>0</x:v>
      </x:c>
      <x:c r="N22" s="9" t="n">
        <x:v>0</x:v>
      </x:c>
      <x:c r="O22" s="9" t="n">
        <x:v>0</x:v>
      </x:c>
      <x:c r="P22" s="9" t="str">
        <x:v>UNSEALED / SOURCE-EMPTY</x:v>
      </x:c>
      <x:c r="Q22" s="9" t="n">
        <x:f>COUNTIFS($A$7:$A$1158,A22)</x:f>
        <x:v>1</x:v>
      </x:c>
    </x:row>
    <x:row r="23">
      <x:c r="A23" s="9" t="str">
        <x:v>EV-AR-HC-A-C-TECH-1-B1-RCN-G0-RW01</x:v>
      </x:c>
      <x:c r="B23" s="9" t="str">
        <x:v>EV-AR-HC-A-C-TECH-1-B1-RCN-G0</x:v>
      </x:c>
      <x:c r="C23" s="9" t="str">
        <x:v>AR-HC-A-C-TECH-1-B1-RCN-G0</x:v>
      </x:c>
      <x:c r="D23" s="9" t="str">
        <x:v>HC-A-C-TECH-1</x:v>
      </x:c>
      <x:c r="E23" s="9" t="str">
        <x:v>HC-A-C</x:v>
      </x:c>
      <x:c r="F23" s="9" t="str">
        <x:v>B1</x:v>
      </x:c>
      <x:c r="G23" s="9" t="str">
        <x:v>RCN</x:v>
      </x:c>
      <x:c r="H23" s="9" t="str">
        <x:v>RW01</x:v>
      </x:c>
      <x:c r="I23" s="17" t="str">
        <x:v>Primary raw stream</x:v>
      </x:c>
      <x:c r="J23" s="17" t="str">
        <x:v>Primary metrology</x:v>
      </x:c>
      <x:c r="K23" s="17" t="str">
        <x:v>Public custody A</x:v>
      </x:c>
      <x:c r="L23" s="9" t="n">
        <x:v>0</x:v>
      </x:c>
      <x:c r="M23" s="9" t="n">
        <x:v>0</x:v>
      </x:c>
      <x:c r="N23" s="9" t="n">
        <x:v>0</x:v>
      </x:c>
      <x:c r="O23" s="9" t="n">
        <x:v>0</x:v>
      </x:c>
      <x:c r="P23" s="9" t="str">
        <x:v>UNSEALED / SOURCE-EMPTY</x:v>
      </x:c>
      <x:c r="Q23" s="9" t="n">
        <x:f>COUNTIFS($A$7:$A$1158,A23)</x:f>
        <x:v>1</x:v>
      </x:c>
    </x:row>
    <x:row r="24">
      <x:c r="A24" s="9" t="str">
        <x:v>EV-AR-HC-A-C-TECH-1-B1-RCN-G0-RW02</x:v>
      </x:c>
      <x:c r="B24" s="9" t="str">
        <x:v>EV-AR-HC-A-C-TECH-1-B1-RCN-G0</x:v>
      </x:c>
      <x:c r="C24" s="9" t="str">
        <x:v>AR-HC-A-C-TECH-1-B1-RCN-G0</x:v>
      </x:c>
      <x:c r="D24" s="9" t="str">
        <x:v>HC-A-C-TECH-1</x:v>
      </x:c>
      <x:c r="E24" s="9" t="str">
        <x:v>HC-A-C</x:v>
      </x:c>
      <x:c r="F24" s="9" t="str">
        <x:v>B1</x:v>
      </x:c>
      <x:c r="G24" s="9" t="str">
        <x:v>RCN</x:v>
      </x:c>
      <x:c r="H24" s="9" t="str">
        <x:v>RW02</x:v>
      </x:c>
      <x:c r="I24" s="17" t="str">
        <x:v>Unlike witness stream</x:v>
      </x:c>
      <x:c r="J24" s="17" t="str">
        <x:v>Witness metrology</x:v>
      </x:c>
      <x:c r="K24" s="17" t="str">
        <x:v>Public custody B</x:v>
      </x:c>
      <x:c r="L24" s="9" t="n">
        <x:v>0</x:v>
      </x:c>
      <x:c r="M24" s="9" t="n">
        <x:v>0</x:v>
      </x:c>
      <x:c r="N24" s="9" t="n">
        <x:v>0</x:v>
      </x:c>
      <x:c r="O24" s="9" t="n">
        <x:v>0</x:v>
      </x:c>
      <x:c r="P24" s="9" t="str">
        <x:v>UNSEALED / SOURCE-EMPTY</x:v>
      </x:c>
      <x:c r="Q24" s="9" t="n">
        <x:f>COUNTIFS($A$7:$A$1158,A24)</x:f>
        <x:v>1</x:v>
      </x:c>
    </x:row>
    <x:row r="25">
      <x:c r="A25" s="9" t="str">
        <x:v>EV-AR-HC-A-C-TECH-1-B1-RCN-G0-RW03</x:v>
      </x:c>
      <x:c r="B25" s="9" t="str">
        <x:v>EV-AR-HC-A-C-TECH-1-B1-RCN-G0</x:v>
      </x:c>
      <x:c r="C25" s="9" t="str">
        <x:v>AR-HC-A-C-TECH-1-B1-RCN-G0</x:v>
      </x:c>
      <x:c r="D25" s="9" t="str">
        <x:v>HC-A-C-TECH-1</x:v>
      </x:c>
      <x:c r="E25" s="9" t="str">
        <x:v>HC-A-C</x:v>
      </x:c>
      <x:c r="F25" s="9" t="str">
        <x:v>B1</x:v>
      </x:c>
      <x:c r="G25" s="9" t="str">
        <x:v>RCN</x:v>
      </x:c>
      <x:c r="H25" s="9" t="str">
        <x:v>RW03</x:v>
      </x:c>
      <x:c r="I25" s="17" t="str">
        <x:v>Event clock and start traces</x:v>
      </x:c>
      <x:c r="J25" s="17" t="str">
        <x:v>Event clock authority</x:v>
      </x:c>
      <x:c r="K25" s="17" t="str">
        <x:v>Public custody C</x:v>
      </x:c>
      <x:c r="L25" s="9" t="n">
        <x:v>0</x:v>
      </x:c>
      <x:c r="M25" s="9" t="n">
        <x:v>0</x:v>
      </x:c>
      <x:c r="N25" s="9" t="n">
        <x:v>0</x:v>
      </x:c>
      <x:c r="O25" s="9" t="n">
        <x:v>0</x:v>
      </x:c>
      <x:c r="P25" s="9" t="str">
        <x:v>UNSEALED / SOURCE-EMPTY</x:v>
      </x:c>
      <x:c r="Q25" s="9" t="n">
        <x:f>COUNTIFS($A$7:$A$1158,A25)</x:f>
        <x:v>1</x:v>
      </x:c>
    </x:row>
    <x:row r="26">
      <x:c r="A26" s="9" t="str">
        <x:v>EV-AR-HC-A-C-TECH-1-B1-RCN-G0-RW04</x:v>
      </x:c>
      <x:c r="B26" s="9" t="str">
        <x:v>EV-AR-HC-A-C-TECH-1-B1-RCN-G0</x:v>
      </x:c>
      <x:c r="C26" s="9" t="str">
        <x:v>AR-HC-A-C-TECH-1-B1-RCN-G0</x:v>
      </x:c>
      <x:c r="D26" s="9" t="str">
        <x:v>HC-A-C-TECH-1</x:v>
      </x:c>
      <x:c r="E26" s="9" t="str">
        <x:v>HC-A-C</x:v>
      </x:c>
      <x:c r="F26" s="9" t="str">
        <x:v>B1</x:v>
      </x:c>
      <x:c r="G26" s="9" t="str">
        <x:v>RCN</x:v>
      </x:c>
      <x:c r="H26" s="9" t="str">
        <x:v>RW04</x:v>
      </x:c>
      <x:c r="I26" s="17" t="str">
        <x:v>Environmental boundary stream</x:v>
      </x:c>
      <x:c r="J26" s="17" t="str">
        <x:v>Site metrology</x:v>
      </x:c>
      <x:c r="K26" s="17" t="str">
        <x:v>Public custody D</x:v>
      </x:c>
      <x:c r="L26" s="9" t="n">
        <x:v>0</x:v>
      </x:c>
      <x:c r="M26" s="9" t="n">
        <x:v>0</x:v>
      </x:c>
      <x:c r="N26" s="9" t="n">
        <x:v>0</x:v>
      </x:c>
      <x:c r="O26" s="9" t="n">
        <x:v>0</x:v>
      </x:c>
      <x:c r="P26" s="9" t="str">
        <x:v>UNSEALED / SOURCE-EMPTY</x:v>
      </x:c>
      <x:c r="Q26" s="9" t="n">
        <x:f>COUNTIFS($A$7:$A$1158,A26)</x:f>
        <x:v>1</x:v>
      </x:c>
    </x:row>
    <x:row r="27">
      <x:c r="A27" s="9" t="str">
        <x:v>EV-AR-HC-A-C-TECH-1-B1-RCN-G0-RW05</x:v>
      </x:c>
      <x:c r="B27" s="9" t="str">
        <x:v>EV-AR-HC-A-C-TECH-1-B1-RCN-G0</x:v>
      </x:c>
      <x:c r="C27" s="9" t="str">
        <x:v>AR-HC-A-C-TECH-1-B1-RCN-G0</x:v>
      </x:c>
      <x:c r="D27" s="9" t="str">
        <x:v>HC-A-C-TECH-1</x:v>
      </x:c>
      <x:c r="E27" s="9" t="str">
        <x:v>HC-A-C</x:v>
      </x:c>
      <x:c r="F27" s="9" t="str">
        <x:v>B1</x:v>
      </x:c>
      <x:c r="G27" s="9" t="str">
        <x:v>RCN</x:v>
      </x:c>
      <x:c r="H27" s="9" t="str">
        <x:v>RW05</x:v>
      </x:c>
      <x:c r="I27" s="17" t="str">
        <x:v>Command and intervention log</x:v>
      </x:c>
      <x:c r="J27" s="17" t="str">
        <x:v>Safety authority</x:v>
      </x:c>
      <x:c r="K27" s="17" t="str">
        <x:v>Public custody E</x:v>
      </x:c>
      <x:c r="L27" s="9" t="n">
        <x:v>0</x:v>
      </x:c>
      <x:c r="M27" s="9" t="n">
        <x:v>0</x:v>
      </x:c>
      <x:c r="N27" s="9" t="n">
        <x:v>0</x:v>
      </x:c>
      <x:c r="O27" s="9" t="n">
        <x:v>0</x:v>
      </x:c>
      <x:c r="P27" s="9" t="str">
        <x:v>UNSEALED / SOURCE-EMPTY</x:v>
      </x:c>
      <x:c r="Q27" s="9" t="n">
        <x:f>COUNTIFS($A$7:$A$1158,A27)</x:f>
        <x:v>1</x:v>
      </x:c>
    </x:row>
    <x:row r="28">
      <x:c r="A28" s="9" t="str">
        <x:v>EV-AR-HC-A-C-TECH-1-B1-RCN-G0-RW06</x:v>
      </x:c>
      <x:c r="B28" s="9" t="str">
        <x:v>EV-AR-HC-A-C-TECH-1-B1-RCN-G0</x:v>
      </x:c>
      <x:c r="C28" s="9" t="str">
        <x:v>AR-HC-A-C-TECH-1-B1-RCN-G0</x:v>
      </x:c>
      <x:c r="D28" s="9" t="str">
        <x:v>HC-A-C-TECH-1</x:v>
      </x:c>
      <x:c r="E28" s="9" t="str">
        <x:v>HC-A-C</x:v>
      </x:c>
      <x:c r="F28" s="9" t="str">
        <x:v>B1</x:v>
      </x:c>
      <x:c r="G28" s="9" t="str">
        <x:v>RCN</x:v>
      </x:c>
      <x:c r="H28" s="9" t="str">
        <x:v>RW06</x:v>
      </x:c>
      <x:c r="I28" s="17" t="str">
        <x:v>Receiver service ledger</x:v>
      </x:c>
      <x:c r="J28" s="17" t="str">
        <x:v>Receiver authority</x:v>
      </x:c>
      <x:c r="K28" s="17" t="str">
        <x:v>Public custody F</x:v>
      </x:c>
      <x:c r="L28" s="9" t="n">
        <x:v>0</x:v>
      </x:c>
      <x:c r="M28" s="9" t="n">
        <x:v>0</x:v>
      </x:c>
      <x:c r="N28" s="9" t="n">
        <x:v>0</x:v>
      </x:c>
      <x:c r="O28" s="9" t="n">
        <x:v>0</x:v>
      </x:c>
      <x:c r="P28" s="9" t="str">
        <x:v>UNSEALED / SOURCE-EMPTY</x:v>
      </x:c>
      <x:c r="Q28" s="9" t="n">
        <x:f>COUNTIFS($A$7:$A$1158,A28)</x:f>
        <x:v>1</x:v>
      </x:c>
    </x:row>
    <x:row r="29">
      <x:c r="A29" s="9" t="str">
        <x:v>EV-AR-HC-A-C-TECH-1-B1-RCN-G0-RW07</x:v>
      </x:c>
      <x:c r="B29" s="9" t="str">
        <x:v>EV-AR-HC-A-C-TECH-1-B1-RCN-G0</x:v>
      </x:c>
      <x:c r="C29" s="9" t="str">
        <x:v>AR-HC-A-C-TECH-1-B1-RCN-G0</x:v>
      </x:c>
      <x:c r="D29" s="9" t="str">
        <x:v>HC-A-C-TECH-1</x:v>
      </x:c>
      <x:c r="E29" s="9" t="str">
        <x:v>HC-A-C</x:v>
      </x:c>
      <x:c r="F29" s="9" t="str">
        <x:v>B1</x:v>
      </x:c>
      <x:c r="G29" s="9" t="str">
        <x:v>RCN</x:v>
      </x:c>
      <x:c r="H29" s="9" t="str">
        <x:v>RW07</x:v>
      </x:c>
      <x:c r="I29" s="17" t="str">
        <x:v>Candidate interface telemetry</x:v>
      </x:c>
      <x:c r="J29" s="17" t="str">
        <x:v>Interface custodian</x:v>
      </x:c>
      <x:c r="K29" s="17" t="str">
        <x:v>Public custody A</x:v>
      </x:c>
      <x:c r="L29" s="9" t="n">
        <x:v>0</x:v>
      </x:c>
      <x:c r="M29" s="9" t="n">
        <x:v>0</x:v>
      </x:c>
      <x:c r="N29" s="9" t="n">
        <x:v>0</x:v>
      </x:c>
      <x:c r="O29" s="9" t="n">
        <x:v>0</x:v>
      </x:c>
      <x:c r="P29" s="9" t="str">
        <x:v>UNSEALED / SOURCE-EMPTY</x:v>
      </x:c>
      <x:c r="Q29" s="9" t="n">
        <x:f>COUNTIFS($A$7:$A$1158,A29)</x:f>
        <x:v>1</x:v>
      </x:c>
    </x:row>
    <x:row r="30">
      <x:c r="A30" s="9" t="str">
        <x:v>EV-AR-HC-A-C-TECH-1-B1-RCN-G0-RW08</x:v>
      </x:c>
      <x:c r="B30" s="9" t="str">
        <x:v>EV-AR-HC-A-C-TECH-1-B1-RCN-G0</x:v>
      </x:c>
      <x:c r="C30" s="9" t="str">
        <x:v>AR-HC-A-C-TECH-1-B1-RCN-G0</x:v>
      </x:c>
      <x:c r="D30" s="9" t="str">
        <x:v>HC-A-C-TECH-1</x:v>
      </x:c>
      <x:c r="E30" s="9" t="str">
        <x:v>HC-A-C</x:v>
      </x:c>
      <x:c r="F30" s="9" t="str">
        <x:v>B1</x:v>
      </x:c>
      <x:c r="G30" s="9" t="str">
        <x:v>RCN</x:v>
      </x:c>
      <x:c r="H30" s="9" t="str">
        <x:v>RW08</x:v>
      </x:c>
      <x:c r="I30" s="17" t="str">
        <x:v>Residual and physical evidence</x:v>
      </x:c>
      <x:c r="J30" s="17" t="str">
        <x:v>Residual authority</x:v>
      </x:c>
      <x:c r="K30" s="17" t="str">
        <x:v>Public custody B</x:v>
      </x:c>
      <x:c r="L30" s="9" t="n">
        <x:v>0</x:v>
      </x:c>
      <x:c r="M30" s="9" t="n">
        <x:v>0</x:v>
      </x:c>
      <x:c r="N30" s="9" t="n">
        <x:v>0</x:v>
      </x:c>
      <x:c r="O30" s="9" t="n">
        <x:v>0</x:v>
      </x:c>
      <x:c r="P30" s="9" t="str">
        <x:v>UNSEALED / SOURCE-EMPTY</x:v>
      </x:c>
      <x:c r="Q30" s="9" t="n">
        <x:f>COUNTIFS($A$7:$A$1158,A30)</x:f>
        <x:v>1</x:v>
      </x:c>
    </x:row>
    <x:row r="31">
      <x:c r="A31" s="9" t="str">
        <x:v>EV-AR-HU-A-B-TECH-4-B2-RCN-G0-RW01</x:v>
      </x:c>
      <x:c r="B31" s="9" t="str">
        <x:v>EV-AR-HU-A-B-TECH-4-B2-RCN-G0</x:v>
      </x:c>
      <x:c r="C31" s="9" t="str">
        <x:v>AR-HU-A-B-TECH-4-B2-RCN-G0</x:v>
      </x:c>
      <x:c r="D31" s="9" t="str">
        <x:v>HU-A-B-TECH-4</x:v>
      </x:c>
      <x:c r="E31" s="9" t="str">
        <x:v>HU-A-B</x:v>
      </x:c>
      <x:c r="F31" s="9" t="str">
        <x:v>B2</x:v>
      </x:c>
      <x:c r="G31" s="9" t="str">
        <x:v>RCN</x:v>
      </x:c>
      <x:c r="H31" s="9" t="str">
        <x:v>RW01</x:v>
      </x:c>
      <x:c r="I31" s="17" t="str">
        <x:v>Primary raw stream</x:v>
      </x:c>
      <x:c r="J31" s="17" t="str">
        <x:v>Primary metrology</x:v>
      </x:c>
      <x:c r="K31" s="17" t="str">
        <x:v>Public custody A</x:v>
      </x:c>
      <x:c r="L31" s="9" t="n">
        <x:v>0</x:v>
      </x:c>
      <x:c r="M31" s="9" t="n">
        <x:v>0</x:v>
      </x:c>
      <x:c r="N31" s="9" t="n">
        <x:v>0</x:v>
      </x:c>
      <x:c r="O31" s="9" t="n">
        <x:v>0</x:v>
      </x:c>
      <x:c r="P31" s="9" t="str">
        <x:v>UNSEALED / SOURCE-EMPTY</x:v>
      </x:c>
      <x:c r="Q31" s="9" t="n">
        <x:f>COUNTIFS($A$7:$A$1158,A31)</x:f>
        <x:v>1</x:v>
      </x:c>
    </x:row>
    <x:row r="32">
      <x:c r="A32" s="9" t="str">
        <x:v>EV-AR-HU-A-B-TECH-4-B2-RCN-G0-RW02</x:v>
      </x:c>
      <x:c r="B32" s="9" t="str">
        <x:v>EV-AR-HU-A-B-TECH-4-B2-RCN-G0</x:v>
      </x:c>
      <x:c r="C32" s="9" t="str">
        <x:v>AR-HU-A-B-TECH-4-B2-RCN-G0</x:v>
      </x:c>
      <x:c r="D32" s="9" t="str">
        <x:v>HU-A-B-TECH-4</x:v>
      </x:c>
      <x:c r="E32" s="9" t="str">
        <x:v>HU-A-B</x:v>
      </x:c>
      <x:c r="F32" s="9" t="str">
        <x:v>B2</x:v>
      </x:c>
      <x:c r="G32" s="9" t="str">
        <x:v>RCN</x:v>
      </x:c>
      <x:c r="H32" s="9" t="str">
        <x:v>RW02</x:v>
      </x:c>
      <x:c r="I32" s="17" t="str">
        <x:v>Unlike witness stream</x:v>
      </x:c>
      <x:c r="J32" s="17" t="str">
        <x:v>Witness metrology</x:v>
      </x:c>
      <x:c r="K32" s="17" t="str">
        <x:v>Public custody B</x:v>
      </x:c>
      <x:c r="L32" s="9" t="n">
        <x:v>0</x:v>
      </x:c>
      <x:c r="M32" s="9" t="n">
        <x:v>0</x:v>
      </x:c>
      <x:c r="N32" s="9" t="n">
        <x:v>0</x:v>
      </x:c>
      <x:c r="O32" s="9" t="n">
        <x:v>0</x:v>
      </x:c>
      <x:c r="P32" s="9" t="str">
        <x:v>UNSEALED / SOURCE-EMPTY</x:v>
      </x:c>
      <x:c r="Q32" s="9" t="n">
        <x:f>COUNTIFS($A$7:$A$1158,A32)</x:f>
        <x:v>1</x:v>
      </x:c>
    </x:row>
    <x:row r="33">
      <x:c r="A33" s="9" t="str">
        <x:v>EV-AR-HU-A-B-TECH-4-B2-RCN-G0-RW03</x:v>
      </x:c>
      <x:c r="B33" s="9" t="str">
        <x:v>EV-AR-HU-A-B-TECH-4-B2-RCN-G0</x:v>
      </x:c>
      <x:c r="C33" s="9" t="str">
        <x:v>AR-HU-A-B-TECH-4-B2-RCN-G0</x:v>
      </x:c>
      <x:c r="D33" s="9" t="str">
        <x:v>HU-A-B-TECH-4</x:v>
      </x:c>
      <x:c r="E33" s="9" t="str">
        <x:v>HU-A-B</x:v>
      </x:c>
      <x:c r="F33" s="9" t="str">
        <x:v>B2</x:v>
      </x:c>
      <x:c r="G33" s="9" t="str">
        <x:v>RCN</x:v>
      </x:c>
      <x:c r="H33" s="9" t="str">
        <x:v>RW03</x:v>
      </x:c>
      <x:c r="I33" s="17" t="str">
        <x:v>Event clock and start traces</x:v>
      </x:c>
      <x:c r="J33" s="17" t="str">
        <x:v>Event clock authority</x:v>
      </x:c>
      <x:c r="K33" s="17" t="str">
        <x:v>Public custody C</x:v>
      </x:c>
      <x:c r="L33" s="9" t="n">
        <x:v>0</x:v>
      </x:c>
      <x:c r="M33" s="9" t="n">
        <x:v>0</x:v>
      </x:c>
      <x:c r="N33" s="9" t="n">
        <x:v>0</x:v>
      </x:c>
      <x:c r="O33" s="9" t="n">
        <x:v>0</x:v>
      </x:c>
      <x:c r="P33" s="9" t="str">
        <x:v>UNSEALED / SOURCE-EMPTY</x:v>
      </x:c>
      <x:c r="Q33" s="9" t="n">
        <x:f>COUNTIFS($A$7:$A$1158,A33)</x:f>
        <x:v>1</x:v>
      </x:c>
    </x:row>
    <x:row r="34">
      <x:c r="A34" s="9" t="str">
        <x:v>EV-AR-HU-A-B-TECH-4-B2-RCN-G0-RW04</x:v>
      </x:c>
      <x:c r="B34" s="9" t="str">
        <x:v>EV-AR-HU-A-B-TECH-4-B2-RCN-G0</x:v>
      </x:c>
      <x:c r="C34" s="9" t="str">
        <x:v>AR-HU-A-B-TECH-4-B2-RCN-G0</x:v>
      </x:c>
      <x:c r="D34" s="9" t="str">
        <x:v>HU-A-B-TECH-4</x:v>
      </x:c>
      <x:c r="E34" s="9" t="str">
        <x:v>HU-A-B</x:v>
      </x:c>
      <x:c r="F34" s="9" t="str">
        <x:v>B2</x:v>
      </x:c>
      <x:c r="G34" s="9" t="str">
        <x:v>RCN</x:v>
      </x:c>
      <x:c r="H34" s="9" t="str">
        <x:v>RW04</x:v>
      </x:c>
      <x:c r="I34" s="17" t="str">
        <x:v>Environmental boundary stream</x:v>
      </x:c>
      <x:c r="J34" s="17" t="str">
        <x:v>Site metrology</x:v>
      </x:c>
      <x:c r="K34" s="17" t="str">
        <x:v>Public custody D</x:v>
      </x:c>
      <x:c r="L34" s="9" t="n">
        <x:v>0</x:v>
      </x:c>
      <x:c r="M34" s="9" t="n">
        <x:v>0</x:v>
      </x:c>
      <x:c r="N34" s="9" t="n">
        <x:v>0</x:v>
      </x:c>
      <x:c r="O34" s="9" t="n">
        <x:v>0</x:v>
      </x:c>
      <x:c r="P34" s="9" t="str">
        <x:v>UNSEALED / SOURCE-EMPTY</x:v>
      </x:c>
      <x:c r="Q34" s="9" t="n">
        <x:f>COUNTIFS($A$7:$A$1158,A34)</x:f>
        <x:v>1</x:v>
      </x:c>
    </x:row>
    <x:row r="35">
      <x:c r="A35" s="9" t="str">
        <x:v>EV-AR-HU-A-B-TECH-4-B2-RCN-G0-RW05</x:v>
      </x:c>
      <x:c r="B35" s="9" t="str">
        <x:v>EV-AR-HU-A-B-TECH-4-B2-RCN-G0</x:v>
      </x:c>
      <x:c r="C35" s="9" t="str">
        <x:v>AR-HU-A-B-TECH-4-B2-RCN-G0</x:v>
      </x:c>
      <x:c r="D35" s="9" t="str">
        <x:v>HU-A-B-TECH-4</x:v>
      </x:c>
      <x:c r="E35" s="9" t="str">
        <x:v>HU-A-B</x:v>
      </x:c>
      <x:c r="F35" s="9" t="str">
        <x:v>B2</x:v>
      </x:c>
      <x:c r="G35" s="9" t="str">
        <x:v>RCN</x:v>
      </x:c>
      <x:c r="H35" s="9" t="str">
        <x:v>RW05</x:v>
      </x:c>
      <x:c r="I35" s="17" t="str">
        <x:v>Command and intervention log</x:v>
      </x:c>
      <x:c r="J35" s="17" t="str">
        <x:v>Safety authority</x:v>
      </x:c>
      <x:c r="K35" s="17" t="str">
        <x:v>Public custody E</x:v>
      </x:c>
      <x:c r="L35" s="9" t="n">
        <x:v>0</x:v>
      </x:c>
      <x:c r="M35" s="9" t="n">
        <x:v>0</x:v>
      </x:c>
      <x:c r="N35" s="9" t="n">
        <x:v>0</x:v>
      </x:c>
      <x:c r="O35" s="9" t="n">
        <x:v>0</x:v>
      </x:c>
      <x:c r="P35" s="9" t="str">
        <x:v>UNSEALED / SOURCE-EMPTY</x:v>
      </x:c>
      <x:c r="Q35" s="9" t="n">
        <x:f>COUNTIFS($A$7:$A$1158,A35)</x:f>
        <x:v>1</x:v>
      </x:c>
    </x:row>
    <x:row r="36">
      <x:c r="A36" s="9" t="str">
        <x:v>EV-AR-HU-A-B-TECH-4-B2-RCN-G0-RW06</x:v>
      </x:c>
      <x:c r="B36" s="9" t="str">
        <x:v>EV-AR-HU-A-B-TECH-4-B2-RCN-G0</x:v>
      </x:c>
      <x:c r="C36" s="9" t="str">
        <x:v>AR-HU-A-B-TECH-4-B2-RCN-G0</x:v>
      </x:c>
      <x:c r="D36" s="9" t="str">
        <x:v>HU-A-B-TECH-4</x:v>
      </x:c>
      <x:c r="E36" s="9" t="str">
        <x:v>HU-A-B</x:v>
      </x:c>
      <x:c r="F36" s="9" t="str">
        <x:v>B2</x:v>
      </x:c>
      <x:c r="G36" s="9" t="str">
        <x:v>RCN</x:v>
      </x:c>
      <x:c r="H36" s="9" t="str">
        <x:v>RW06</x:v>
      </x:c>
      <x:c r="I36" s="17" t="str">
        <x:v>Receiver service ledger</x:v>
      </x:c>
      <x:c r="J36" s="17" t="str">
        <x:v>Receiver authority</x:v>
      </x:c>
      <x:c r="K36" s="17" t="str">
        <x:v>Public custody F</x:v>
      </x:c>
      <x:c r="L36" s="9" t="n">
        <x:v>0</x:v>
      </x:c>
      <x:c r="M36" s="9" t="n">
        <x:v>0</x:v>
      </x:c>
      <x:c r="N36" s="9" t="n">
        <x:v>0</x:v>
      </x:c>
      <x:c r="O36" s="9" t="n">
        <x:v>0</x:v>
      </x:c>
      <x:c r="P36" s="9" t="str">
        <x:v>UNSEALED / SOURCE-EMPTY</x:v>
      </x:c>
      <x:c r="Q36" s="9" t="n">
        <x:f>COUNTIFS($A$7:$A$1158,A36)</x:f>
        <x:v>1</x:v>
      </x:c>
    </x:row>
    <x:row r="37">
      <x:c r="A37" s="9" t="str">
        <x:v>EV-AR-HU-A-B-TECH-4-B2-RCN-G0-RW07</x:v>
      </x:c>
      <x:c r="B37" s="9" t="str">
        <x:v>EV-AR-HU-A-B-TECH-4-B2-RCN-G0</x:v>
      </x:c>
      <x:c r="C37" s="9" t="str">
        <x:v>AR-HU-A-B-TECH-4-B2-RCN-G0</x:v>
      </x:c>
      <x:c r="D37" s="9" t="str">
        <x:v>HU-A-B-TECH-4</x:v>
      </x:c>
      <x:c r="E37" s="9" t="str">
        <x:v>HU-A-B</x:v>
      </x:c>
      <x:c r="F37" s="9" t="str">
        <x:v>B2</x:v>
      </x:c>
      <x:c r="G37" s="9" t="str">
        <x:v>RCN</x:v>
      </x:c>
      <x:c r="H37" s="9" t="str">
        <x:v>RW07</x:v>
      </x:c>
      <x:c r="I37" s="17" t="str">
        <x:v>Candidate interface telemetry</x:v>
      </x:c>
      <x:c r="J37" s="17" t="str">
        <x:v>Interface custodian</x:v>
      </x:c>
      <x:c r="K37" s="17" t="str">
        <x:v>Public custody A</x:v>
      </x:c>
      <x:c r="L37" s="9" t="n">
        <x:v>0</x:v>
      </x:c>
      <x:c r="M37" s="9" t="n">
        <x:v>0</x:v>
      </x:c>
      <x:c r="N37" s="9" t="n">
        <x:v>0</x:v>
      </x:c>
      <x:c r="O37" s="9" t="n">
        <x:v>0</x:v>
      </x:c>
      <x:c r="P37" s="9" t="str">
        <x:v>UNSEALED / SOURCE-EMPTY</x:v>
      </x:c>
      <x:c r="Q37" s="9" t="n">
        <x:f>COUNTIFS($A$7:$A$1158,A37)</x:f>
        <x:v>1</x:v>
      </x:c>
    </x:row>
    <x:row r="38">
      <x:c r="A38" s="9" t="str">
        <x:v>EV-AR-HU-A-B-TECH-4-B2-RCN-G0-RW08</x:v>
      </x:c>
      <x:c r="B38" s="9" t="str">
        <x:v>EV-AR-HU-A-B-TECH-4-B2-RCN-G0</x:v>
      </x:c>
      <x:c r="C38" s="9" t="str">
        <x:v>AR-HU-A-B-TECH-4-B2-RCN-G0</x:v>
      </x:c>
      <x:c r="D38" s="9" t="str">
        <x:v>HU-A-B-TECH-4</x:v>
      </x:c>
      <x:c r="E38" s="9" t="str">
        <x:v>HU-A-B</x:v>
      </x:c>
      <x:c r="F38" s="9" t="str">
        <x:v>B2</x:v>
      </x:c>
      <x:c r="G38" s="9" t="str">
        <x:v>RCN</x:v>
      </x:c>
      <x:c r="H38" s="9" t="str">
        <x:v>RW08</x:v>
      </x:c>
      <x:c r="I38" s="17" t="str">
        <x:v>Residual and physical evidence</x:v>
      </x:c>
      <x:c r="J38" s="17" t="str">
        <x:v>Residual authority</x:v>
      </x:c>
      <x:c r="K38" s="17" t="str">
        <x:v>Public custody B</x:v>
      </x:c>
      <x:c r="L38" s="9" t="n">
        <x:v>0</x:v>
      </x:c>
      <x:c r="M38" s="9" t="n">
        <x:v>0</x:v>
      </x:c>
      <x:c r="N38" s="9" t="n">
        <x:v>0</x:v>
      </x:c>
      <x:c r="O38" s="9" t="n">
        <x:v>0</x:v>
      </x:c>
      <x:c r="P38" s="9" t="str">
        <x:v>UNSEALED / SOURCE-EMPTY</x:v>
      </x:c>
      <x:c r="Q38" s="9" t="n">
        <x:f>COUNTIFS($A$7:$A$1158,A38)</x:f>
        <x:v>1</x:v>
      </x:c>
    </x:row>
    <x:row r="39">
      <x:c r="A39" s="9" t="str">
        <x:v>EV-AR-HU-A-B-TECH-2-B2-INT-G0-RW01</x:v>
      </x:c>
      <x:c r="B39" s="9" t="str">
        <x:v>EV-AR-HU-A-B-TECH-2-B2-INT-G0</x:v>
      </x:c>
      <x:c r="C39" s="9" t="str">
        <x:v>AR-HU-A-B-TECH-2-B2-INT-G0</x:v>
      </x:c>
      <x:c r="D39" s="9" t="str">
        <x:v>HU-A-B-TECH-2</x:v>
      </x:c>
      <x:c r="E39" s="9" t="str">
        <x:v>HU-A-B</x:v>
      </x:c>
      <x:c r="F39" s="9" t="str">
        <x:v>B2</x:v>
      </x:c>
      <x:c r="G39" s="9" t="str">
        <x:v>INT</x:v>
      </x:c>
      <x:c r="H39" s="9" t="str">
        <x:v>RW01</x:v>
      </x:c>
      <x:c r="I39" s="17" t="str">
        <x:v>Primary raw stream</x:v>
      </x:c>
      <x:c r="J39" s="17" t="str">
        <x:v>Primary metrology</x:v>
      </x:c>
      <x:c r="K39" s="17" t="str">
        <x:v>Public custody A</x:v>
      </x:c>
      <x:c r="L39" s="9" t="n">
        <x:v>0</x:v>
      </x:c>
      <x:c r="M39" s="9" t="n">
        <x:v>0</x:v>
      </x:c>
      <x:c r="N39" s="9" t="n">
        <x:v>0</x:v>
      </x:c>
      <x:c r="O39" s="9" t="n">
        <x:v>0</x:v>
      </x:c>
      <x:c r="P39" s="9" t="str">
        <x:v>UNSEALED / SOURCE-EMPTY</x:v>
      </x:c>
      <x:c r="Q39" s="9" t="n">
        <x:f>COUNTIFS($A$7:$A$1158,A39)</x:f>
        <x:v>1</x:v>
      </x:c>
    </x:row>
    <x:row r="40">
      <x:c r="A40" s="9" t="str">
        <x:v>EV-AR-HU-A-B-TECH-2-B2-INT-G0-RW02</x:v>
      </x:c>
      <x:c r="B40" s="9" t="str">
        <x:v>EV-AR-HU-A-B-TECH-2-B2-INT-G0</x:v>
      </x:c>
      <x:c r="C40" s="9" t="str">
        <x:v>AR-HU-A-B-TECH-2-B2-INT-G0</x:v>
      </x:c>
      <x:c r="D40" s="9" t="str">
        <x:v>HU-A-B-TECH-2</x:v>
      </x:c>
      <x:c r="E40" s="9" t="str">
        <x:v>HU-A-B</x:v>
      </x:c>
      <x:c r="F40" s="9" t="str">
        <x:v>B2</x:v>
      </x:c>
      <x:c r="G40" s="9" t="str">
        <x:v>INT</x:v>
      </x:c>
      <x:c r="H40" s="9" t="str">
        <x:v>RW02</x:v>
      </x:c>
      <x:c r="I40" s="17" t="str">
        <x:v>Unlike witness stream</x:v>
      </x:c>
      <x:c r="J40" s="17" t="str">
        <x:v>Witness metrology</x:v>
      </x:c>
      <x:c r="K40" s="17" t="str">
        <x:v>Public custody B</x:v>
      </x:c>
      <x:c r="L40" s="9" t="n">
        <x:v>0</x:v>
      </x:c>
      <x:c r="M40" s="9" t="n">
        <x:v>0</x:v>
      </x:c>
      <x:c r="N40" s="9" t="n">
        <x:v>0</x:v>
      </x:c>
      <x:c r="O40" s="9" t="n">
        <x:v>0</x:v>
      </x:c>
      <x:c r="P40" s="9" t="str">
        <x:v>UNSEALED / SOURCE-EMPTY</x:v>
      </x:c>
      <x:c r="Q40" s="9" t="n">
        <x:f>COUNTIFS($A$7:$A$1158,A40)</x:f>
        <x:v>1</x:v>
      </x:c>
    </x:row>
    <x:row r="41">
      <x:c r="A41" s="9" t="str">
        <x:v>EV-AR-HU-A-B-TECH-2-B2-INT-G0-RW03</x:v>
      </x:c>
      <x:c r="B41" s="9" t="str">
        <x:v>EV-AR-HU-A-B-TECH-2-B2-INT-G0</x:v>
      </x:c>
      <x:c r="C41" s="9" t="str">
        <x:v>AR-HU-A-B-TECH-2-B2-INT-G0</x:v>
      </x:c>
      <x:c r="D41" s="9" t="str">
        <x:v>HU-A-B-TECH-2</x:v>
      </x:c>
      <x:c r="E41" s="9" t="str">
        <x:v>HU-A-B</x:v>
      </x:c>
      <x:c r="F41" s="9" t="str">
        <x:v>B2</x:v>
      </x:c>
      <x:c r="G41" s="9" t="str">
        <x:v>INT</x:v>
      </x:c>
      <x:c r="H41" s="9" t="str">
        <x:v>RW03</x:v>
      </x:c>
      <x:c r="I41" s="17" t="str">
        <x:v>Event clock and start traces</x:v>
      </x:c>
      <x:c r="J41" s="17" t="str">
        <x:v>Event clock authority</x:v>
      </x:c>
      <x:c r="K41" s="17" t="str">
        <x:v>Public custody C</x:v>
      </x:c>
      <x:c r="L41" s="9" t="n">
        <x:v>0</x:v>
      </x:c>
      <x:c r="M41" s="9" t="n">
        <x:v>0</x:v>
      </x:c>
      <x:c r="N41" s="9" t="n">
        <x:v>0</x:v>
      </x:c>
      <x:c r="O41" s="9" t="n">
        <x:v>0</x:v>
      </x:c>
      <x:c r="P41" s="9" t="str">
        <x:v>UNSEALED / SOURCE-EMPTY</x:v>
      </x:c>
      <x:c r="Q41" s="9" t="n">
        <x:f>COUNTIFS($A$7:$A$1158,A41)</x:f>
        <x:v>1</x:v>
      </x:c>
    </x:row>
    <x:row r="42">
      <x:c r="A42" s="9" t="str">
        <x:v>EV-AR-HU-A-B-TECH-2-B2-INT-G0-RW04</x:v>
      </x:c>
      <x:c r="B42" s="9" t="str">
        <x:v>EV-AR-HU-A-B-TECH-2-B2-INT-G0</x:v>
      </x:c>
      <x:c r="C42" s="9" t="str">
        <x:v>AR-HU-A-B-TECH-2-B2-INT-G0</x:v>
      </x:c>
      <x:c r="D42" s="9" t="str">
        <x:v>HU-A-B-TECH-2</x:v>
      </x:c>
      <x:c r="E42" s="9" t="str">
        <x:v>HU-A-B</x:v>
      </x:c>
      <x:c r="F42" s="9" t="str">
        <x:v>B2</x:v>
      </x:c>
      <x:c r="G42" s="9" t="str">
        <x:v>INT</x:v>
      </x:c>
      <x:c r="H42" s="9" t="str">
        <x:v>RW04</x:v>
      </x:c>
      <x:c r="I42" s="17" t="str">
        <x:v>Environmental boundary stream</x:v>
      </x:c>
      <x:c r="J42" s="17" t="str">
        <x:v>Site metrology</x:v>
      </x:c>
      <x:c r="K42" s="17" t="str">
        <x:v>Public custody D</x:v>
      </x:c>
      <x:c r="L42" s="9" t="n">
        <x:v>0</x:v>
      </x:c>
      <x:c r="M42" s="9" t="n">
        <x:v>0</x:v>
      </x:c>
      <x:c r="N42" s="9" t="n">
        <x:v>0</x:v>
      </x:c>
      <x:c r="O42" s="9" t="n">
        <x:v>0</x:v>
      </x:c>
      <x:c r="P42" s="9" t="str">
        <x:v>UNSEALED / SOURCE-EMPTY</x:v>
      </x:c>
      <x:c r="Q42" s="9" t="n">
        <x:f>COUNTIFS($A$7:$A$1158,A42)</x:f>
        <x:v>1</x:v>
      </x:c>
    </x:row>
    <x:row r="43">
      <x:c r="A43" s="9" t="str">
        <x:v>EV-AR-HU-A-B-TECH-2-B2-INT-G0-RW05</x:v>
      </x:c>
      <x:c r="B43" s="9" t="str">
        <x:v>EV-AR-HU-A-B-TECH-2-B2-INT-G0</x:v>
      </x:c>
      <x:c r="C43" s="9" t="str">
        <x:v>AR-HU-A-B-TECH-2-B2-INT-G0</x:v>
      </x:c>
      <x:c r="D43" s="9" t="str">
        <x:v>HU-A-B-TECH-2</x:v>
      </x:c>
      <x:c r="E43" s="9" t="str">
        <x:v>HU-A-B</x:v>
      </x:c>
      <x:c r="F43" s="9" t="str">
        <x:v>B2</x:v>
      </x:c>
      <x:c r="G43" s="9" t="str">
        <x:v>INT</x:v>
      </x:c>
      <x:c r="H43" s="9" t="str">
        <x:v>RW05</x:v>
      </x:c>
      <x:c r="I43" s="17" t="str">
        <x:v>Command and intervention log</x:v>
      </x:c>
      <x:c r="J43" s="17" t="str">
        <x:v>Safety authority</x:v>
      </x:c>
      <x:c r="K43" s="17" t="str">
        <x:v>Public custody E</x:v>
      </x:c>
      <x:c r="L43" s="9" t="n">
        <x:v>0</x:v>
      </x:c>
      <x:c r="M43" s="9" t="n">
        <x:v>0</x:v>
      </x:c>
      <x:c r="N43" s="9" t="n">
        <x:v>0</x:v>
      </x:c>
      <x:c r="O43" s="9" t="n">
        <x:v>0</x:v>
      </x:c>
      <x:c r="P43" s="9" t="str">
        <x:v>UNSEALED / SOURCE-EMPTY</x:v>
      </x:c>
      <x:c r="Q43" s="9" t="n">
        <x:f>COUNTIFS($A$7:$A$1158,A43)</x:f>
        <x:v>1</x:v>
      </x:c>
    </x:row>
    <x:row r="44">
      <x:c r="A44" s="9" t="str">
        <x:v>EV-AR-HU-A-B-TECH-2-B2-INT-G0-RW06</x:v>
      </x:c>
      <x:c r="B44" s="9" t="str">
        <x:v>EV-AR-HU-A-B-TECH-2-B2-INT-G0</x:v>
      </x:c>
      <x:c r="C44" s="9" t="str">
        <x:v>AR-HU-A-B-TECH-2-B2-INT-G0</x:v>
      </x:c>
      <x:c r="D44" s="9" t="str">
        <x:v>HU-A-B-TECH-2</x:v>
      </x:c>
      <x:c r="E44" s="9" t="str">
        <x:v>HU-A-B</x:v>
      </x:c>
      <x:c r="F44" s="9" t="str">
        <x:v>B2</x:v>
      </x:c>
      <x:c r="G44" s="9" t="str">
        <x:v>INT</x:v>
      </x:c>
      <x:c r="H44" s="9" t="str">
        <x:v>RW06</x:v>
      </x:c>
      <x:c r="I44" s="17" t="str">
        <x:v>Receiver service ledger</x:v>
      </x:c>
      <x:c r="J44" s="17" t="str">
        <x:v>Receiver authority</x:v>
      </x:c>
      <x:c r="K44" s="17" t="str">
        <x:v>Public custody F</x:v>
      </x:c>
      <x:c r="L44" s="9" t="n">
        <x:v>0</x:v>
      </x:c>
      <x:c r="M44" s="9" t="n">
        <x:v>0</x:v>
      </x:c>
      <x:c r="N44" s="9" t="n">
        <x:v>0</x:v>
      </x:c>
      <x:c r="O44" s="9" t="n">
        <x:v>0</x:v>
      </x:c>
      <x:c r="P44" s="9" t="str">
        <x:v>UNSEALED / SOURCE-EMPTY</x:v>
      </x:c>
      <x:c r="Q44" s="9" t="n">
        <x:f>COUNTIFS($A$7:$A$1158,A44)</x:f>
        <x:v>1</x:v>
      </x:c>
    </x:row>
    <x:row r="45">
      <x:c r="A45" s="9" t="str">
        <x:v>EV-AR-HU-A-B-TECH-2-B2-INT-G0-RW07</x:v>
      </x:c>
      <x:c r="B45" s="9" t="str">
        <x:v>EV-AR-HU-A-B-TECH-2-B2-INT-G0</x:v>
      </x:c>
      <x:c r="C45" s="9" t="str">
        <x:v>AR-HU-A-B-TECH-2-B2-INT-G0</x:v>
      </x:c>
      <x:c r="D45" s="9" t="str">
        <x:v>HU-A-B-TECH-2</x:v>
      </x:c>
      <x:c r="E45" s="9" t="str">
        <x:v>HU-A-B</x:v>
      </x:c>
      <x:c r="F45" s="9" t="str">
        <x:v>B2</x:v>
      </x:c>
      <x:c r="G45" s="9" t="str">
        <x:v>INT</x:v>
      </x:c>
      <x:c r="H45" s="9" t="str">
        <x:v>RW07</x:v>
      </x:c>
      <x:c r="I45" s="17" t="str">
        <x:v>Candidate interface telemetry</x:v>
      </x:c>
      <x:c r="J45" s="17" t="str">
        <x:v>Interface custodian</x:v>
      </x:c>
      <x:c r="K45" s="17" t="str">
        <x:v>Public custody A</x:v>
      </x:c>
      <x:c r="L45" s="9" t="n">
        <x:v>0</x:v>
      </x:c>
      <x:c r="M45" s="9" t="n">
        <x:v>0</x:v>
      </x:c>
      <x:c r="N45" s="9" t="n">
        <x:v>0</x:v>
      </x:c>
      <x:c r="O45" s="9" t="n">
        <x:v>0</x:v>
      </x:c>
      <x:c r="P45" s="9" t="str">
        <x:v>UNSEALED / SOURCE-EMPTY</x:v>
      </x:c>
      <x:c r="Q45" s="9" t="n">
        <x:f>COUNTIFS($A$7:$A$1158,A45)</x:f>
        <x:v>1</x:v>
      </x:c>
    </x:row>
    <x:row r="46">
      <x:c r="A46" s="9" t="str">
        <x:v>EV-AR-HU-A-B-TECH-2-B2-INT-G0-RW08</x:v>
      </x:c>
      <x:c r="B46" s="9" t="str">
        <x:v>EV-AR-HU-A-B-TECH-2-B2-INT-G0</x:v>
      </x:c>
      <x:c r="C46" s="9" t="str">
        <x:v>AR-HU-A-B-TECH-2-B2-INT-G0</x:v>
      </x:c>
      <x:c r="D46" s="9" t="str">
        <x:v>HU-A-B-TECH-2</x:v>
      </x:c>
      <x:c r="E46" s="9" t="str">
        <x:v>HU-A-B</x:v>
      </x:c>
      <x:c r="F46" s="9" t="str">
        <x:v>B2</x:v>
      </x:c>
      <x:c r="G46" s="9" t="str">
        <x:v>INT</x:v>
      </x:c>
      <x:c r="H46" s="9" t="str">
        <x:v>RW08</x:v>
      </x:c>
      <x:c r="I46" s="17" t="str">
        <x:v>Residual and physical evidence</x:v>
      </x:c>
      <x:c r="J46" s="17" t="str">
        <x:v>Residual authority</x:v>
      </x:c>
      <x:c r="K46" s="17" t="str">
        <x:v>Public custody B</x:v>
      </x:c>
      <x:c r="L46" s="9" t="n">
        <x:v>0</x:v>
      </x:c>
      <x:c r="M46" s="9" t="n">
        <x:v>0</x:v>
      </x:c>
      <x:c r="N46" s="9" t="n">
        <x:v>0</x:v>
      </x:c>
      <x:c r="O46" s="9" t="n">
        <x:v>0</x:v>
      </x:c>
      <x:c r="P46" s="9" t="str">
        <x:v>UNSEALED / SOURCE-EMPTY</x:v>
      </x:c>
      <x:c r="Q46" s="9" t="n">
        <x:f>COUNTIFS($A$7:$A$1158,A46)</x:f>
        <x:v>1</x:v>
      </x:c>
    </x:row>
    <x:row r="47">
      <x:c r="A47" s="9" t="str">
        <x:v>EV-AR-LF-B-A-TECH-4-B1-INT-G0-RW01</x:v>
      </x:c>
      <x:c r="B47" s="9" t="str">
        <x:v>EV-AR-LF-B-A-TECH-4-B1-INT-G0</x:v>
      </x:c>
      <x:c r="C47" s="9" t="str">
        <x:v>AR-LF-B-A-TECH-4-B1-INT-G0</x:v>
      </x:c>
      <x:c r="D47" s="9" t="str">
        <x:v>LF-B-A-TECH-4</x:v>
      </x:c>
      <x:c r="E47" s="9" t="str">
        <x:v>LF-B-A</x:v>
      </x:c>
      <x:c r="F47" s="9" t="str">
        <x:v>B1</x:v>
      </x:c>
      <x:c r="G47" s="9" t="str">
        <x:v>INT</x:v>
      </x:c>
      <x:c r="H47" s="9" t="str">
        <x:v>RW01</x:v>
      </x:c>
      <x:c r="I47" s="17" t="str">
        <x:v>Primary raw stream</x:v>
      </x:c>
      <x:c r="J47" s="17" t="str">
        <x:v>Primary metrology</x:v>
      </x:c>
      <x:c r="K47" s="17" t="str">
        <x:v>Public custody A</x:v>
      </x:c>
      <x:c r="L47" s="9" t="n">
        <x:v>0</x:v>
      </x:c>
      <x:c r="M47" s="9" t="n">
        <x:v>0</x:v>
      </x:c>
      <x:c r="N47" s="9" t="n">
        <x:v>0</x:v>
      </x:c>
      <x:c r="O47" s="9" t="n">
        <x:v>0</x:v>
      </x:c>
      <x:c r="P47" s="9" t="str">
        <x:v>UNSEALED / SOURCE-EMPTY</x:v>
      </x:c>
      <x:c r="Q47" s="9" t="n">
        <x:f>COUNTIFS($A$7:$A$1158,A47)</x:f>
        <x:v>1</x:v>
      </x:c>
    </x:row>
    <x:row r="48">
      <x:c r="A48" s="9" t="str">
        <x:v>EV-AR-LF-B-A-TECH-4-B1-INT-G0-RW02</x:v>
      </x:c>
      <x:c r="B48" s="9" t="str">
        <x:v>EV-AR-LF-B-A-TECH-4-B1-INT-G0</x:v>
      </x:c>
      <x:c r="C48" s="9" t="str">
        <x:v>AR-LF-B-A-TECH-4-B1-INT-G0</x:v>
      </x:c>
      <x:c r="D48" s="9" t="str">
        <x:v>LF-B-A-TECH-4</x:v>
      </x:c>
      <x:c r="E48" s="9" t="str">
        <x:v>LF-B-A</x:v>
      </x:c>
      <x:c r="F48" s="9" t="str">
        <x:v>B1</x:v>
      </x:c>
      <x:c r="G48" s="9" t="str">
        <x:v>INT</x:v>
      </x:c>
      <x:c r="H48" s="9" t="str">
        <x:v>RW02</x:v>
      </x:c>
      <x:c r="I48" s="17" t="str">
        <x:v>Unlike witness stream</x:v>
      </x:c>
      <x:c r="J48" s="17" t="str">
        <x:v>Witness metrology</x:v>
      </x:c>
      <x:c r="K48" s="17" t="str">
        <x:v>Public custody B</x:v>
      </x:c>
      <x:c r="L48" s="9" t="n">
        <x:v>0</x:v>
      </x:c>
      <x:c r="M48" s="9" t="n">
        <x:v>0</x:v>
      </x:c>
      <x:c r="N48" s="9" t="n">
        <x:v>0</x:v>
      </x:c>
      <x:c r="O48" s="9" t="n">
        <x:v>0</x:v>
      </x:c>
      <x:c r="P48" s="9" t="str">
        <x:v>UNSEALED / SOURCE-EMPTY</x:v>
      </x:c>
      <x:c r="Q48" s="9" t="n">
        <x:f>COUNTIFS($A$7:$A$1158,A48)</x:f>
        <x:v>1</x:v>
      </x:c>
    </x:row>
    <x:row r="49">
      <x:c r="A49" s="9" t="str">
        <x:v>EV-AR-LF-B-A-TECH-4-B1-INT-G0-RW03</x:v>
      </x:c>
      <x:c r="B49" s="9" t="str">
        <x:v>EV-AR-LF-B-A-TECH-4-B1-INT-G0</x:v>
      </x:c>
      <x:c r="C49" s="9" t="str">
        <x:v>AR-LF-B-A-TECH-4-B1-INT-G0</x:v>
      </x:c>
      <x:c r="D49" s="9" t="str">
        <x:v>LF-B-A-TECH-4</x:v>
      </x:c>
      <x:c r="E49" s="9" t="str">
        <x:v>LF-B-A</x:v>
      </x:c>
      <x:c r="F49" s="9" t="str">
        <x:v>B1</x:v>
      </x:c>
      <x:c r="G49" s="9" t="str">
        <x:v>INT</x:v>
      </x:c>
      <x:c r="H49" s="9" t="str">
        <x:v>RW03</x:v>
      </x:c>
      <x:c r="I49" s="17" t="str">
        <x:v>Event clock and start traces</x:v>
      </x:c>
      <x:c r="J49" s="17" t="str">
        <x:v>Event clock authority</x:v>
      </x:c>
      <x:c r="K49" s="17" t="str">
        <x:v>Public custody C</x:v>
      </x:c>
      <x:c r="L49" s="9" t="n">
        <x:v>0</x:v>
      </x:c>
      <x:c r="M49" s="9" t="n">
        <x:v>0</x:v>
      </x:c>
      <x:c r="N49" s="9" t="n">
        <x:v>0</x:v>
      </x:c>
      <x:c r="O49" s="9" t="n">
        <x:v>0</x:v>
      </x:c>
      <x:c r="P49" s="9" t="str">
        <x:v>UNSEALED / SOURCE-EMPTY</x:v>
      </x:c>
      <x:c r="Q49" s="9" t="n">
        <x:f>COUNTIFS($A$7:$A$1158,A49)</x:f>
        <x:v>1</x:v>
      </x:c>
    </x:row>
    <x:row r="50">
      <x:c r="A50" s="9" t="str">
        <x:v>EV-AR-LF-B-A-TECH-4-B1-INT-G0-RW04</x:v>
      </x:c>
      <x:c r="B50" s="9" t="str">
        <x:v>EV-AR-LF-B-A-TECH-4-B1-INT-G0</x:v>
      </x:c>
      <x:c r="C50" s="9" t="str">
        <x:v>AR-LF-B-A-TECH-4-B1-INT-G0</x:v>
      </x:c>
      <x:c r="D50" s="9" t="str">
        <x:v>LF-B-A-TECH-4</x:v>
      </x:c>
      <x:c r="E50" s="9" t="str">
        <x:v>LF-B-A</x:v>
      </x:c>
      <x:c r="F50" s="9" t="str">
        <x:v>B1</x:v>
      </x:c>
      <x:c r="G50" s="9" t="str">
        <x:v>INT</x:v>
      </x:c>
      <x:c r="H50" s="9" t="str">
        <x:v>RW04</x:v>
      </x:c>
      <x:c r="I50" s="17" t="str">
        <x:v>Environmental boundary stream</x:v>
      </x:c>
      <x:c r="J50" s="17" t="str">
        <x:v>Site metrology</x:v>
      </x:c>
      <x:c r="K50" s="17" t="str">
        <x:v>Public custody D</x:v>
      </x:c>
      <x:c r="L50" s="9" t="n">
        <x:v>0</x:v>
      </x:c>
      <x:c r="M50" s="9" t="n">
        <x:v>0</x:v>
      </x:c>
      <x:c r="N50" s="9" t="n">
        <x:v>0</x:v>
      </x:c>
      <x:c r="O50" s="9" t="n">
        <x:v>0</x:v>
      </x:c>
      <x:c r="P50" s="9" t="str">
        <x:v>UNSEALED / SOURCE-EMPTY</x:v>
      </x:c>
      <x:c r="Q50" s="9" t="n">
        <x:f>COUNTIFS($A$7:$A$1158,A50)</x:f>
        <x:v>1</x:v>
      </x:c>
    </x:row>
    <x:row r="51">
      <x:c r="A51" s="9" t="str">
        <x:v>EV-AR-LF-B-A-TECH-4-B1-INT-G0-RW05</x:v>
      </x:c>
      <x:c r="B51" s="9" t="str">
        <x:v>EV-AR-LF-B-A-TECH-4-B1-INT-G0</x:v>
      </x:c>
      <x:c r="C51" s="9" t="str">
        <x:v>AR-LF-B-A-TECH-4-B1-INT-G0</x:v>
      </x:c>
      <x:c r="D51" s="9" t="str">
        <x:v>LF-B-A-TECH-4</x:v>
      </x:c>
      <x:c r="E51" s="9" t="str">
        <x:v>LF-B-A</x:v>
      </x:c>
      <x:c r="F51" s="9" t="str">
        <x:v>B1</x:v>
      </x:c>
      <x:c r="G51" s="9" t="str">
        <x:v>INT</x:v>
      </x:c>
      <x:c r="H51" s="9" t="str">
        <x:v>RW05</x:v>
      </x:c>
      <x:c r="I51" s="17" t="str">
        <x:v>Command and intervention log</x:v>
      </x:c>
      <x:c r="J51" s="17" t="str">
        <x:v>Safety authority</x:v>
      </x:c>
      <x:c r="K51" s="17" t="str">
        <x:v>Public custody E</x:v>
      </x:c>
      <x:c r="L51" s="9" t="n">
        <x:v>0</x:v>
      </x:c>
      <x:c r="M51" s="9" t="n">
        <x:v>0</x:v>
      </x:c>
      <x:c r="N51" s="9" t="n">
        <x:v>0</x:v>
      </x:c>
      <x:c r="O51" s="9" t="n">
        <x:v>0</x:v>
      </x:c>
      <x:c r="P51" s="9" t="str">
        <x:v>UNSEALED / SOURCE-EMPTY</x:v>
      </x:c>
      <x:c r="Q51" s="9" t="n">
        <x:f>COUNTIFS($A$7:$A$1158,A51)</x:f>
        <x:v>1</x:v>
      </x:c>
    </x:row>
    <x:row r="52">
      <x:c r="A52" s="9" t="str">
        <x:v>EV-AR-LF-B-A-TECH-4-B1-INT-G0-RW06</x:v>
      </x:c>
      <x:c r="B52" s="9" t="str">
        <x:v>EV-AR-LF-B-A-TECH-4-B1-INT-G0</x:v>
      </x:c>
      <x:c r="C52" s="9" t="str">
        <x:v>AR-LF-B-A-TECH-4-B1-INT-G0</x:v>
      </x:c>
      <x:c r="D52" s="9" t="str">
        <x:v>LF-B-A-TECH-4</x:v>
      </x:c>
      <x:c r="E52" s="9" t="str">
        <x:v>LF-B-A</x:v>
      </x:c>
      <x:c r="F52" s="9" t="str">
        <x:v>B1</x:v>
      </x:c>
      <x:c r="G52" s="9" t="str">
        <x:v>INT</x:v>
      </x:c>
      <x:c r="H52" s="9" t="str">
        <x:v>RW06</x:v>
      </x:c>
      <x:c r="I52" s="17" t="str">
        <x:v>Receiver service ledger</x:v>
      </x:c>
      <x:c r="J52" s="17" t="str">
        <x:v>Receiver authority</x:v>
      </x:c>
      <x:c r="K52" s="17" t="str">
        <x:v>Public custody F</x:v>
      </x:c>
      <x:c r="L52" s="9" t="n">
        <x:v>0</x:v>
      </x:c>
      <x:c r="M52" s="9" t="n">
        <x:v>0</x:v>
      </x:c>
      <x:c r="N52" s="9" t="n">
        <x:v>0</x:v>
      </x:c>
      <x:c r="O52" s="9" t="n">
        <x:v>0</x:v>
      </x:c>
      <x:c r="P52" s="9" t="str">
        <x:v>UNSEALED / SOURCE-EMPTY</x:v>
      </x:c>
      <x:c r="Q52" s="9" t="n">
        <x:f>COUNTIFS($A$7:$A$1158,A52)</x:f>
        <x:v>1</x:v>
      </x:c>
    </x:row>
    <x:row r="53">
      <x:c r="A53" s="9" t="str">
        <x:v>EV-AR-LF-B-A-TECH-4-B1-INT-G0-RW07</x:v>
      </x:c>
      <x:c r="B53" s="9" t="str">
        <x:v>EV-AR-LF-B-A-TECH-4-B1-INT-G0</x:v>
      </x:c>
      <x:c r="C53" s="9" t="str">
        <x:v>AR-LF-B-A-TECH-4-B1-INT-G0</x:v>
      </x:c>
      <x:c r="D53" s="9" t="str">
        <x:v>LF-B-A-TECH-4</x:v>
      </x:c>
      <x:c r="E53" s="9" t="str">
        <x:v>LF-B-A</x:v>
      </x:c>
      <x:c r="F53" s="9" t="str">
        <x:v>B1</x:v>
      </x:c>
      <x:c r="G53" s="9" t="str">
        <x:v>INT</x:v>
      </x:c>
      <x:c r="H53" s="9" t="str">
        <x:v>RW07</x:v>
      </x:c>
      <x:c r="I53" s="17" t="str">
        <x:v>Candidate interface telemetry</x:v>
      </x:c>
      <x:c r="J53" s="17" t="str">
        <x:v>Interface custodian</x:v>
      </x:c>
      <x:c r="K53" s="17" t="str">
        <x:v>Public custody A</x:v>
      </x:c>
      <x:c r="L53" s="9" t="n">
        <x:v>0</x:v>
      </x:c>
      <x:c r="M53" s="9" t="n">
        <x:v>0</x:v>
      </x:c>
      <x:c r="N53" s="9" t="n">
        <x:v>0</x:v>
      </x:c>
      <x:c r="O53" s="9" t="n">
        <x:v>0</x:v>
      </x:c>
      <x:c r="P53" s="9" t="str">
        <x:v>UNSEALED / SOURCE-EMPTY</x:v>
      </x:c>
      <x:c r="Q53" s="9" t="n">
        <x:f>COUNTIFS($A$7:$A$1158,A53)</x:f>
        <x:v>1</x:v>
      </x:c>
    </x:row>
    <x:row r="54">
      <x:c r="A54" s="9" t="str">
        <x:v>EV-AR-LF-B-A-TECH-4-B1-INT-G0-RW08</x:v>
      </x:c>
      <x:c r="B54" s="9" t="str">
        <x:v>EV-AR-LF-B-A-TECH-4-B1-INT-G0</x:v>
      </x:c>
      <x:c r="C54" s="9" t="str">
        <x:v>AR-LF-B-A-TECH-4-B1-INT-G0</x:v>
      </x:c>
      <x:c r="D54" s="9" t="str">
        <x:v>LF-B-A-TECH-4</x:v>
      </x:c>
      <x:c r="E54" s="9" t="str">
        <x:v>LF-B-A</x:v>
      </x:c>
      <x:c r="F54" s="9" t="str">
        <x:v>B1</x:v>
      </x:c>
      <x:c r="G54" s="9" t="str">
        <x:v>INT</x:v>
      </x:c>
      <x:c r="H54" s="9" t="str">
        <x:v>RW08</x:v>
      </x:c>
      <x:c r="I54" s="17" t="str">
        <x:v>Residual and physical evidence</x:v>
      </x:c>
      <x:c r="J54" s="17" t="str">
        <x:v>Residual authority</x:v>
      </x:c>
      <x:c r="K54" s="17" t="str">
        <x:v>Public custody B</x:v>
      </x:c>
      <x:c r="L54" s="9" t="n">
        <x:v>0</x:v>
      </x:c>
      <x:c r="M54" s="9" t="n">
        <x:v>0</x:v>
      </x:c>
      <x:c r="N54" s="9" t="n">
        <x:v>0</x:v>
      </x:c>
      <x:c r="O54" s="9" t="n">
        <x:v>0</x:v>
      </x:c>
      <x:c r="P54" s="9" t="str">
        <x:v>UNSEALED / SOURCE-EMPTY</x:v>
      </x:c>
      <x:c r="Q54" s="9" t="n">
        <x:f>COUNTIFS($A$7:$A$1158,A54)</x:f>
        <x:v>1</x:v>
      </x:c>
    </x:row>
    <x:row r="55">
      <x:c r="A55" s="9" t="str">
        <x:v>EV-AR-ET-A-A-TECH-1-B1-INT-G0-RW01</x:v>
      </x:c>
      <x:c r="B55" s="9" t="str">
        <x:v>EV-AR-ET-A-A-TECH-1-B1-INT-G0</x:v>
      </x:c>
      <x:c r="C55" s="9" t="str">
        <x:v>AR-ET-A-A-TECH-1-B1-INT-G0</x:v>
      </x:c>
      <x:c r="D55" s="9" t="str">
        <x:v>ET-A-A-TECH-1</x:v>
      </x:c>
      <x:c r="E55" s="9" t="str">
        <x:v>ET-A-A</x:v>
      </x:c>
      <x:c r="F55" s="9" t="str">
        <x:v>B1</x:v>
      </x:c>
      <x:c r="G55" s="9" t="str">
        <x:v>INT</x:v>
      </x:c>
      <x:c r="H55" s="9" t="str">
        <x:v>RW01</x:v>
      </x:c>
      <x:c r="I55" s="17" t="str">
        <x:v>Primary raw stream</x:v>
      </x:c>
      <x:c r="J55" s="17" t="str">
        <x:v>Primary metrology</x:v>
      </x:c>
      <x:c r="K55" s="17" t="str">
        <x:v>Public custody A</x:v>
      </x:c>
      <x:c r="L55" s="9" t="n">
        <x:v>0</x:v>
      </x:c>
      <x:c r="M55" s="9" t="n">
        <x:v>0</x:v>
      </x:c>
      <x:c r="N55" s="9" t="n">
        <x:v>0</x:v>
      </x:c>
      <x:c r="O55" s="9" t="n">
        <x:v>0</x:v>
      </x:c>
      <x:c r="P55" s="9" t="str">
        <x:v>UNSEALED / SOURCE-EMPTY</x:v>
      </x:c>
      <x:c r="Q55" s="9" t="n">
        <x:f>COUNTIFS($A$7:$A$1158,A55)</x:f>
        <x:v>1</x:v>
      </x:c>
    </x:row>
    <x:row r="56">
      <x:c r="A56" s="9" t="str">
        <x:v>EV-AR-ET-A-A-TECH-1-B1-INT-G0-RW02</x:v>
      </x:c>
      <x:c r="B56" s="9" t="str">
        <x:v>EV-AR-ET-A-A-TECH-1-B1-INT-G0</x:v>
      </x:c>
      <x:c r="C56" s="9" t="str">
        <x:v>AR-ET-A-A-TECH-1-B1-INT-G0</x:v>
      </x:c>
      <x:c r="D56" s="9" t="str">
        <x:v>ET-A-A-TECH-1</x:v>
      </x:c>
      <x:c r="E56" s="9" t="str">
        <x:v>ET-A-A</x:v>
      </x:c>
      <x:c r="F56" s="9" t="str">
        <x:v>B1</x:v>
      </x:c>
      <x:c r="G56" s="9" t="str">
        <x:v>INT</x:v>
      </x:c>
      <x:c r="H56" s="9" t="str">
        <x:v>RW02</x:v>
      </x:c>
      <x:c r="I56" s="17" t="str">
        <x:v>Unlike witness stream</x:v>
      </x:c>
      <x:c r="J56" s="17" t="str">
        <x:v>Witness metrology</x:v>
      </x:c>
      <x:c r="K56" s="17" t="str">
        <x:v>Public custody B</x:v>
      </x:c>
      <x:c r="L56" s="9" t="n">
        <x:v>0</x:v>
      </x:c>
      <x:c r="M56" s="9" t="n">
        <x:v>0</x:v>
      </x:c>
      <x:c r="N56" s="9" t="n">
        <x:v>0</x:v>
      </x:c>
      <x:c r="O56" s="9" t="n">
        <x:v>0</x:v>
      </x:c>
      <x:c r="P56" s="9" t="str">
        <x:v>UNSEALED / SOURCE-EMPTY</x:v>
      </x:c>
      <x:c r="Q56" s="9" t="n">
        <x:f>COUNTIFS($A$7:$A$1158,A56)</x:f>
        <x:v>1</x:v>
      </x:c>
    </x:row>
    <x:row r="57">
      <x:c r="A57" s="9" t="str">
        <x:v>EV-AR-ET-A-A-TECH-1-B1-INT-G0-RW03</x:v>
      </x:c>
      <x:c r="B57" s="9" t="str">
        <x:v>EV-AR-ET-A-A-TECH-1-B1-INT-G0</x:v>
      </x:c>
      <x:c r="C57" s="9" t="str">
        <x:v>AR-ET-A-A-TECH-1-B1-INT-G0</x:v>
      </x:c>
      <x:c r="D57" s="9" t="str">
        <x:v>ET-A-A-TECH-1</x:v>
      </x:c>
      <x:c r="E57" s="9" t="str">
        <x:v>ET-A-A</x:v>
      </x:c>
      <x:c r="F57" s="9" t="str">
        <x:v>B1</x:v>
      </x:c>
      <x:c r="G57" s="9" t="str">
        <x:v>INT</x:v>
      </x:c>
      <x:c r="H57" s="9" t="str">
        <x:v>RW03</x:v>
      </x:c>
      <x:c r="I57" s="17" t="str">
        <x:v>Event clock and start traces</x:v>
      </x:c>
      <x:c r="J57" s="17" t="str">
        <x:v>Event clock authority</x:v>
      </x:c>
      <x:c r="K57" s="17" t="str">
        <x:v>Public custody C</x:v>
      </x:c>
      <x:c r="L57" s="9" t="n">
        <x:v>0</x:v>
      </x:c>
      <x:c r="M57" s="9" t="n">
        <x:v>0</x:v>
      </x:c>
      <x:c r="N57" s="9" t="n">
        <x:v>0</x:v>
      </x:c>
      <x:c r="O57" s="9" t="n">
        <x:v>0</x:v>
      </x:c>
      <x:c r="P57" s="9" t="str">
        <x:v>UNSEALED / SOURCE-EMPTY</x:v>
      </x:c>
      <x:c r="Q57" s="9" t="n">
        <x:f>COUNTIFS($A$7:$A$1158,A57)</x:f>
        <x:v>1</x:v>
      </x:c>
    </x:row>
    <x:row r="58">
      <x:c r="A58" s="9" t="str">
        <x:v>EV-AR-ET-A-A-TECH-1-B1-INT-G0-RW04</x:v>
      </x:c>
      <x:c r="B58" s="9" t="str">
        <x:v>EV-AR-ET-A-A-TECH-1-B1-INT-G0</x:v>
      </x:c>
      <x:c r="C58" s="9" t="str">
        <x:v>AR-ET-A-A-TECH-1-B1-INT-G0</x:v>
      </x:c>
      <x:c r="D58" s="9" t="str">
        <x:v>ET-A-A-TECH-1</x:v>
      </x:c>
      <x:c r="E58" s="9" t="str">
        <x:v>ET-A-A</x:v>
      </x:c>
      <x:c r="F58" s="9" t="str">
        <x:v>B1</x:v>
      </x:c>
      <x:c r="G58" s="9" t="str">
        <x:v>INT</x:v>
      </x:c>
      <x:c r="H58" s="9" t="str">
        <x:v>RW04</x:v>
      </x:c>
      <x:c r="I58" s="17" t="str">
        <x:v>Environmental boundary stream</x:v>
      </x:c>
      <x:c r="J58" s="17" t="str">
        <x:v>Site metrology</x:v>
      </x:c>
      <x:c r="K58" s="17" t="str">
        <x:v>Public custody D</x:v>
      </x:c>
      <x:c r="L58" s="9" t="n">
        <x:v>0</x:v>
      </x:c>
      <x:c r="M58" s="9" t="n">
        <x:v>0</x:v>
      </x:c>
      <x:c r="N58" s="9" t="n">
        <x:v>0</x:v>
      </x:c>
      <x:c r="O58" s="9" t="n">
        <x:v>0</x:v>
      </x:c>
      <x:c r="P58" s="9" t="str">
        <x:v>UNSEALED / SOURCE-EMPTY</x:v>
      </x:c>
      <x:c r="Q58" s="9" t="n">
        <x:f>COUNTIFS($A$7:$A$1158,A58)</x:f>
        <x:v>1</x:v>
      </x:c>
    </x:row>
    <x:row r="59">
      <x:c r="A59" s="9" t="str">
        <x:v>EV-AR-ET-A-A-TECH-1-B1-INT-G0-RW05</x:v>
      </x:c>
      <x:c r="B59" s="9" t="str">
        <x:v>EV-AR-ET-A-A-TECH-1-B1-INT-G0</x:v>
      </x:c>
      <x:c r="C59" s="9" t="str">
        <x:v>AR-ET-A-A-TECH-1-B1-INT-G0</x:v>
      </x:c>
      <x:c r="D59" s="9" t="str">
        <x:v>ET-A-A-TECH-1</x:v>
      </x:c>
      <x:c r="E59" s="9" t="str">
        <x:v>ET-A-A</x:v>
      </x:c>
      <x:c r="F59" s="9" t="str">
        <x:v>B1</x:v>
      </x:c>
      <x:c r="G59" s="9" t="str">
        <x:v>INT</x:v>
      </x:c>
      <x:c r="H59" s="9" t="str">
        <x:v>RW05</x:v>
      </x:c>
      <x:c r="I59" s="17" t="str">
        <x:v>Command and intervention log</x:v>
      </x:c>
      <x:c r="J59" s="17" t="str">
        <x:v>Safety authority</x:v>
      </x:c>
      <x:c r="K59" s="17" t="str">
        <x:v>Public custody E</x:v>
      </x:c>
      <x:c r="L59" s="9" t="n">
        <x:v>0</x:v>
      </x:c>
      <x:c r="M59" s="9" t="n">
        <x:v>0</x:v>
      </x:c>
      <x:c r="N59" s="9" t="n">
        <x:v>0</x:v>
      </x:c>
      <x:c r="O59" s="9" t="n">
        <x:v>0</x:v>
      </x:c>
      <x:c r="P59" s="9" t="str">
        <x:v>UNSEALED / SOURCE-EMPTY</x:v>
      </x:c>
      <x:c r="Q59" s="9" t="n">
        <x:f>COUNTIFS($A$7:$A$1158,A59)</x:f>
        <x:v>1</x:v>
      </x:c>
    </x:row>
    <x:row r="60">
      <x:c r="A60" s="9" t="str">
        <x:v>EV-AR-ET-A-A-TECH-1-B1-INT-G0-RW06</x:v>
      </x:c>
      <x:c r="B60" s="9" t="str">
        <x:v>EV-AR-ET-A-A-TECH-1-B1-INT-G0</x:v>
      </x:c>
      <x:c r="C60" s="9" t="str">
        <x:v>AR-ET-A-A-TECH-1-B1-INT-G0</x:v>
      </x:c>
      <x:c r="D60" s="9" t="str">
        <x:v>ET-A-A-TECH-1</x:v>
      </x:c>
      <x:c r="E60" s="9" t="str">
        <x:v>ET-A-A</x:v>
      </x:c>
      <x:c r="F60" s="9" t="str">
        <x:v>B1</x:v>
      </x:c>
      <x:c r="G60" s="9" t="str">
        <x:v>INT</x:v>
      </x:c>
      <x:c r="H60" s="9" t="str">
        <x:v>RW06</x:v>
      </x:c>
      <x:c r="I60" s="17" t="str">
        <x:v>Receiver service ledger</x:v>
      </x:c>
      <x:c r="J60" s="17" t="str">
        <x:v>Receiver authority</x:v>
      </x:c>
      <x:c r="K60" s="17" t="str">
        <x:v>Public custody F</x:v>
      </x:c>
      <x:c r="L60" s="9" t="n">
        <x:v>0</x:v>
      </x:c>
      <x:c r="M60" s="9" t="n">
        <x:v>0</x:v>
      </x:c>
      <x:c r="N60" s="9" t="n">
        <x:v>0</x:v>
      </x:c>
      <x:c r="O60" s="9" t="n">
        <x:v>0</x:v>
      </x:c>
      <x:c r="P60" s="9" t="str">
        <x:v>UNSEALED / SOURCE-EMPTY</x:v>
      </x:c>
      <x:c r="Q60" s="9" t="n">
        <x:f>COUNTIFS($A$7:$A$1158,A60)</x:f>
        <x:v>1</x:v>
      </x:c>
    </x:row>
    <x:row r="61">
      <x:c r="A61" s="9" t="str">
        <x:v>EV-AR-ET-A-A-TECH-1-B1-INT-G0-RW07</x:v>
      </x:c>
      <x:c r="B61" s="9" t="str">
        <x:v>EV-AR-ET-A-A-TECH-1-B1-INT-G0</x:v>
      </x:c>
      <x:c r="C61" s="9" t="str">
        <x:v>AR-ET-A-A-TECH-1-B1-INT-G0</x:v>
      </x:c>
      <x:c r="D61" s="9" t="str">
        <x:v>ET-A-A-TECH-1</x:v>
      </x:c>
      <x:c r="E61" s="9" t="str">
        <x:v>ET-A-A</x:v>
      </x:c>
      <x:c r="F61" s="9" t="str">
        <x:v>B1</x:v>
      </x:c>
      <x:c r="G61" s="9" t="str">
        <x:v>INT</x:v>
      </x:c>
      <x:c r="H61" s="9" t="str">
        <x:v>RW07</x:v>
      </x:c>
      <x:c r="I61" s="17" t="str">
        <x:v>Candidate interface telemetry</x:v>
      </x:c>
      <x:c r="J61" s="17" t="str">
        <x:v>Interface custodian</x:v>
      </x:c>
      <x:c r="K61" s="17" t="str">
        <x:v>Public custody A</x:v>
      </x:c>
      <x:c r="L61" s="9" t="n">
        <x:v>0</x:v>
      </x:c>
      <x:c r="M61" s="9" t="n">
        <x:v>0</x:v>
      </x:c>
      <x:c r="N61" s="9" t="n">
        <x:v>0</x:v>
      </x:c>
      <x:c r="O61" s="9" t="n">
        <x:v>0</x:v>
      </x:c>
      <x:c r="P61" s="9" t="str">
        <x:v>UNSEALED / SOURCE-EMPTY</x:v>
      </x:c>
      <x:c r="Q61" s="9" t="n">
        <x:f>COUNTIFS($A$7:$A$1158,A61)</x:f>
        <x:v>1</x:v>
      </x:c>
    </x:row>
    <x:row r="62">
      <x:c r="A62" s="9" t="str">
        <x:v>EV-AR-ET-A-A-TECH-1-B1-INT-G0-RW08</x:v>
      </x:c>
      <x:c r="B62" s="9" t="str">
        <x:v>EV-AR-ET-A-A-TECH-1-B1-INT-G0</x:v>
      </x:c>
      <x:c r="C62" s="9" t="str">
        <x:v>AR-ET-A-A-TECH-1-B1-INT-G0</x:v>
      </x:c>
      <x:c r="D62" s="9" t="str">
        <x:v>ET-A-A-TECH-1</x:v>
      </x:c>
      <x:c r="E62" s="9" t="str">
        <x:v>ET-A-A</x:v>
      </x:c>
      <x:c r="F62" s="9" t="str">
        <x:v>B1</x:v>
      </x:c>
      <x:c r="G62" s="9" t="str">
        <x:v>INT</x:v>
      </x:c>
      <x:c r="H62" s="9" t="str">
        <x:v>RW08</x:v>
      </x:c>
      <x:c r="I62" s="17" t="str">
        <x:v>Residual and physical evidence</x:v>
      </x:c>
      <x:c r="J62" s="17" t="str">
        <x:v>Residual authority</x:v>
      </x:c>
      <x:c r="K62" s="17" t="str">
        <x:v>Public custody B</x:v>
      </x:c>
      <x:c r="L62" s="9" t="n">
        <x:v>0</x:v>
      </x:c>
      <x:c r="M62" s="9" t="n">
        <x:v>0</x:v>
      </x:c>
      <x:c r="N62" s="9" t="n">
        <x:v>0</x:v>
      </x:c>
      <x:c r="O62" s="9" t="n">
        <x:v>0</x:v>
      </x:c>
      <x:c r="P62" s="9" t="str">
        <x:v>UNSEALED / SOURCE-EMPTY</x:v>
      </x:c>
      <x:c r="Q62" s="9" t="n">
        <x:f>COUNTIFS($A$7:$A$1158,A62)</x:f>
        <x:v>1</x:v>
      </x:c>
    </x:row>
    <x:row r="63">
      <x:c r="A63" s="9" t="str">
        <x:v>EV-AR-ET-A-A-TECH-2-B2-RCN-G0-RW01</x:v>
      </x:c>
      <x:c r="B63" s="9" t="str">
        <x:v>EV-AR-ET-A-A-TECH-2-B2-RCN-G0</x:v>
      </x:c>
      <x:c r="C63" s="9" t="str">
        <x:v>AR-ET-A-A-TECH-2-B2-RCN-G0</x:v>
      </x:c>
      <x:c r="D63" s="9" t="str">
        <x:v>ET-A-A-TECH-2</x:v>
      </x:c>
      <x:c r="E63" s="9" t="str">
        <x:v>ET-A-A</x:v>
      </x:c>
      <x:c r="F63" s="9" t="str">
        <x:v>B2</x:v>
      </x:c>
      <x:c r="G63" s="9" t="str">
        <x:v>RCN</x:v>
      </x:c>
      <x:c r="H63" s="9" t="str">
        <x:v>RW01</x:v>
      </x:c>
      <x:c r="I63" s="17" t="str">
        <x:v>Primary raw stream</x:v>
      </x:c>
      <x:c r="J63" s="17" t="str">
        <x:v>Primary metrology</x:v>
      </x:c>
      <x:c r="K63" s="17" t="str">
        <x:v>Public custody A</x:v>
      </x:c>
      <x:c r="L63" s="9" t="n">
        <x:v>0</x:v>
      </x:c>
      <x:c r="M63" s="9" t="n">
        <x:v>0</x:v>
      </x:c>
      <x:c r="N63" s="9" t="n">
        <x:v>0</x:v>
      </x:c>
      <x:c r="O63" s="9" t="n">
        <x:v>0</x:v>
      </x:c>
      <x:c r="P63" s="9" t="str">
        <x:v>UNSEALED / SOURCE-EMPTY</x:v>
      </x:c>
      <x:c r="Q63" s="9" t="n">
        <x:f>COUNTIFS($A$7:$A$1158,A63)</x:f>
        <x:v>1</x:v>
      </x:c>
    </x:row>
    <x:row r="64">
      <x:c r="A64" s="9" t="str">
        <x:v>EV-AR-ET-A-A-TECH-2-B2-RCN-G0-RW02</x:v>
      </x:c>
      <x:c r="B64" s="9" t="str">
        <x:v>EV-AR-ET-A-A-TECH-2-B2-RCN-G0</x:v>
      </x:c>
      <x:c r="C64" s="9" t="str">
        <x:v>AR-ET-A-A-TECH-2-B2-RCN-G0</x:v>
      </x:c>
      <x:c r="D64" s="9" t="str">
        <x:v>ET-A-A-TECH-2</x:v>
      </x:c>
      <x:c r="E64" s="9" t="str">
        <x:v>ET-A-A</x:v>
      </x:c>
      <x:c r="F64" s="9" t="str">
        <x:v>B2</x:v>
      </x:c>
      <x:c r="G64" s="9" t="str">
        <x:v>RCN</x:v>
      </x:c>
      <x:c r="H64" s="9" t="str">
        <x:v>RW02</x:v>
      </x:c>
      <x:c r="I64" s="17" t="str">
        <x:v>Unlike witness stream</x:v>
      </x:c>
      <x:c r="J64" s="17" t="str">
        <x:v>Witness metrology</x:v>
      </x:c>
      <x:c r="K64" s="17" t="str">
        <x:v>Public custody B</x:v>
      </x:c>
      <x:c r="L64" s="9" t="n">
        <x:v>0</x:v>
      </x:c>
      <x:c r="M64" s="9" t="n">
        <x:v>0</x:v>
      </x:c>
      <x:c r="N64" s="9" t="n">
        <x:v>0</x:v>
      </x:c>
      <x:c r="O64" s="9" t="n">
        <x:v>0</x:v>
      </x:c>
      <x:c r="P64" s="9" t="str">
        <x:v>UNSEALED / SOURCE-EMPTY</x:v>
      </x:c>
      <x:c r="Q64" s="9" t="n">
        <x:f>COUNTIFS($A$7:$A$1158,A64)</x:f>
        <x:v>1</x:v>
      </x:c>
    </x:row>
    <x:row r="65">
      <x:c r="A65" s="9" t="str">
        <x:v>EV-AR-ET-A-A-TECH-2-B2-RCN-G0-RW03</x:v>
      </x:c>
      <x:c r="B65" s="9" t="str">
        <x:v>EV-AR-ET-A-A-TECH-2-B2-RCN-G0</x:v>
      </x:c>
      <x:c r="C65" s="9" t="str">
        <x:v>AR-ET-A-A-TECH-2-B2-RCN-G0</x:v>
      </x:c>
      <x:c r="D65" s="9" t="str">
        <x:v>ET-A-A-TECH-2</x:v>
      </x:c>
      <x:c r="E65" s="9" t="str">
        <x:v>ET-A-A</x:v>
      </x:c>
      <x:c r="F65" s="9" t="str">
        <x:v>B2</x:v>
      </x:c>
      <x:c r="G65" s="9" t="str">
        <x:v>RCN</x:v>
      </x:c>
      <x:c r="H65" s="9" t="str">
        <x:v>RW03</x:v>
      </x:c>
      <x:c r="I65" s="17" t="str">
        <x:v>Event clock and start traces</x:v>
      </x:c>
      <x:c r="J65" s="17" t="str">
        <x:v>Event clock authority</x:v>
      </x:c>
      <x:c r="K65" s="17" t="str">
        <x:v>Public custody C</x:v>
      </x:c>
      <x:c r="L65" s="9" t="n">
        <x:v>0</x:v>
      </x:c>
      <x:c r="M65" s="9" t="n">
        <x:v>0</x:v>
      </x:c>
      <x:c r="N65" s="9" t="n">
        <x:v>0</x:v>
      </x:c>
      <x:c r="O65" s="9" t="n">
        <x:v>0</x:v>
      </x:c>
      <x:c r="P65" s="9" t="str">
        <x:v>UNSEALED / SOURCE-EMPTY</x:v>
      </x:c>
      <x:c r="Q65" s="9" t="n">
        <x:f>COUNTIFS($A$7:$A$1158,A65)</x:f>
        <x:v>1</x:v>
      </x:c>
    </x:row>
    <x:row r="66">
      <x:c r="A66" s="9" t="str">
        <x:v>EV-AR-ET-A-A-TECH-2-B2-RCN-G0-RW04</x:v>
      </x:c>
      <x:c r="B66" s="9" t="str">
        <x:v>EV-AR-ET-A-A-TECH-2-B2-RCN-G0</x:v>
      </x:c>
      <x:c r="C66" s="9" t="str">
        <x:v>AR-ET-A-A-TECH-2-B2-RCN-G0</x:v>
      </x:c>
      <x:c r="D66" s="9" t="str">
        <x:v>ET-A-A-TECH-2</x:v>
      </x:c>
      <x:c r="E66" s="9" t="str">
        <x:v>ET-A-A</x:v>
      </x:c>
      <x:c r="F66" s="9" t="str">
        <x:v>B2</x:v>
      </x:c>
      <x:c r="G66" s="9" t="str">
        <x:v>RCN</x:v>
      </x:c>
      <x:c r="H66" s="9" t="str">
        <x:v>RW04</x:v>
      </x:c>
      <x:c r="I66" s="17" t="str">
        <x:v>Environmental boundary stream</x:v>
      </x:c>
      <x:c r="J66" s="17" t="str">
        <x:v>Site metrology</x:v>
      </x:c>
      <x:c r="K66" s="17" t="str">
        <x:v>Public custody D</x:v>
      </x:c>
      <x:c r="L66" s="9" t="n">
        <x:v>0</x:v>
      </x:c>
      <x:c r="M66" s="9" t="n">
        <x:v>0</x:v>
      </x:c>
      <x:c r="N66" s="9" t="n">
        <x:v>0</x:v>
      </x:c>
      <x:c r="O66" s="9" t="n">
        <x:v>0</x:v>
      </x:c>
      <x:c r="P66" s="9" t="str">
        <x:v>UNSEALED / SOURCE-EMPTY</x:v>
      </x:c>
      <x:c r="Q66" s="9" t="n">
        <x:f>COUNTIFS($A$7:$A$1158,A66)</x:f>
        <x:v>1</x:v>
      </x:c>
    </x:row>
    <x:row r="67">
      <x:c r="A67" s="9" t="str">
        <x:v>EV-AR-ET-A-A-TECH-2-B2-RCN-G0-RW05</x:v>
      </x:c>
      <x:c r="B67" s="9" t="str">
        <x:v>EV-AR-ET-A-A-TECH-2-B2-RCN-G0</x:v>
      </x:c>
      <x:c r="C67" s="9" t="str">
        <x:v>AR-ET-A-A-TECH-2-B2-RCN-G0</x:v>
      </x:c>
      <x:c r="D67" s="9" t="str">
        <x:v>ET-A-A-TECH-2</x:v>
      </x:c>
      <x:c r="E67" s="9" t="str">
        <x:v>ET-A-A</x:v>
      </x:c>
      <x:c r="F67" s="9" t="str">
        <x:v>B2</x:v>
      </x:c>
      <x:c r="G67" s="9" t="str">
        <x:v>RCN</x:v>
      </x:c>
      <x:c r="H67" s="9" t="str">
        <x:v>RW05</x:v>
      </x:c>
      <x:c r="I67" s="17" t="str">
        <x:v>Command and intervention log</x:v>
      </x:c>
      <x:c r="J67" s="17" t="str">
        <x:v>Safety authority</x:v>
      </x:c>
      <x:c r="K67" s="17" t="str">
        <x:v>Public custody E</x:v>
      </x:c>
      <x:c r="L67" s="9" t="n">
        <x:v>0</x:v>
      </x:c>
      <x:c r="M67" s="9" t="n">
        <x:v>0</x:v>
      </x:c>
      <x:c r="N67" s="9" t="n">
        <x:v>0</x:v>
      </x:c>
      <x:c r="O67" s="9" t="n">
        <x:v>0</x:v>
      </x:c>
      <x:c r="P67" s="9" t="str">
        <x:v>UNSEALED / SOURCE-EMPTY</x:v>
      </x:c>
      <x:c r="Q67" s="9" t="n">
        <x:f>COUNTIFS($A$7:$A$1158,A67)</x:f>
        <x:v>1</x:v>
      </x:c>
    </x:row>
    <x:row r="68">
      <x:c r="A68" s="9" t="str">
        <x:v>EV-AR-ET-A-A-TECH-2-B2-RCN-G0-RW06</x:v>
      </x:c>
      <x:c r="B68" s="9" t="str">
        <x:v>EV-AR-ET-A-A-TECH-2-B2-RCN-G0</x:v>
      </x:c>
      <x:c r="C68" s="9" t="str">
        <x:v>AR-ET-A-A-TECH-2-B2-RCN-G0</x:v>
      </x:c>
      <x:c r="D68" s="9" t="str">
        <x:v>ET-A-A-TECH-2</x:v>
      </x:c>
      <x:c r="E68" s="9" t="str">
        <x:v>ET-A-A</x:v>
      </x:c>
      <x:c r="F68" s="9" t="str">
        <x:v>B2</x:v>
      </x:c>
      <x:c r="G68" s="9" t="str">
        <x:v>RCN</x:v>
      </x:c>
      <x:c r="H68" s="9" t="str">
        <x:v>RW06</x:v>
      </x:c>
      <x:c r="I68" s="17" t="str">
        <x:v>Receiver service ledger</x:v>
      </x:c>
      <x:c r="J68" s="17" t="str">
        <x:v>Receiver authority</x:v>
      </x:c>
      <x:c r="K68" s="17" t="str">
        <x:v>Public custody F</x:v>
      </x:c>
      <x:c r="L68" s="9" t="n">
        <x:v>0</x:v>
      </x:c>
      <x:c r="M68" s="9" t="n">
        <x:v>0</x:v>
      </x:c>
      <x:c r="N68" s="9" t="n">
        <x:v>0</x:v>
      </x:c>
      <x:c r="O68" s="9" t="n">
        <x:v>0</x:v>
      </x:c>
      <x:c r="P68" s="9" t="str">
        <x:v>UNSEALED / SOURCE-EMPTY</x:v>
      </x:c>
      <x:c r="Q68" s="9" t="n">
        <x:f>COUNTIFS($A$7:$A$1158,A68)</x:f>
        <x:v>1</x:v>
      </x:c>
    </x:row>
    <x:row r="69">
      <x:c r="A69" s="9" t="str">
        <x:v>EV-AR-ET-A-A-TECH-2-B2-RCN-G0-RW07</x:v>
      </x:c>
      <x:c r="B69" s="9" t="str">
        <x:v>EV-AR-ET-A-A-TECH-2-B2-RCN-G0</x:v>
      </x:c>
      <x:c r="C69" s="9" t="str">
        <x:v>AR-ET-A-A-TECH-2-B2-RCN-G0</x:v>
      </x:c>
      <x:c r="D69" s="9" t="str">
        <x:v>ET-A-A-TECH-2</x:v>
      </x:c>
      <x:c r="E69" s="9" t="str">
        <x:v>ET-A-A</x:v>
      </x:c>
      <x:c r="F69" s="9" t="str">
        <x:v>B2</x:v>
      </x:c>
      <x:c r="G69" s="9" t="str">
        <x:v>RCN</x:v>
      </x:c>
      <x:c r="H69" s="9" t="str">
        <x:v>RW07</x:v>
      </x:c>
      <x:c r="I69" s="17" t="str">
        <x:v>Candidate interface telemetry</x:v>
      </x:c>
      <x:c r="J69" s="17" t="str">
        <x:v>Interface custodian</x:v>
      </x:c>
      <x:c r="K69" s="17" t="str">
        <x:v>Public custody A</x:v>
      </x:c>
      <x:c r="L69" s="9" t="n">
        <x:v>0</x:v>
      </x:c>
      <x:c r="M69" s="9" t="n">
        <x:v>0</x:v>
      </x:c>
      <x:c r="N69" s="9" t="n">
        <x:v>0</x:v>
      </x:c>
      <x:c r="O69" s="9" t="n">
        <x:v>0</x:v>
      </x:c>
      <x:c r="P69" s="9" t="str">
        <x:v>UNSEALED / SOURCE-EMPTY</x:v>
      </x:c>
      <x:c r="Q69" s="9" t="n">
        <x:f>COUNTIFS($A$7:$A$1158,A69)</x:f>
        <x:v>1</x:v>
      </x:c>
    </x:row>
    <x:row r="70">
      <x:c r="A70" s="9" t="str">
        <x:v>EV-AR-ET-A-A-TECH-2-B2-RCN-G0-RW08</x:v>
      </x:c>
      <x:c r="B70" s="9" t="str">
        <x:v>EV-AR-ET-A-A-TECH-2-B2-RCN-G0</x:v>
      </x:c>
      <x:c r="C70" s="9" t="str">
        <x:v>AR-ET-A-A-TECH-2-B2-RCN-G0</x:v>
      </x:c>
      <x:c r="D70" s="9" t="str">
        <x:v>ET-A-A-TECH-2</x:v>
      </x:c>
      <x:c r="E70" s="9" t="str">
        <x:v>ET-A-A</x:v>
      </x:c>
      <x:c r="F70" s="9" t="str">
        <x:v>B2</x:v>
      </x:c>
      <x:c r="G70" s="9" t="str">
        <x:v>RCN</x:v>
      </x:c>
      <x:c r="H70" s="9" t="str">
        <x:v>RW08</x:v>
      </x:c>
      <x:c r="I70" s="17" t="str">
        <x:v>Residual and physical evidence</x:v>
      </x:c>
      <x:c r="J70" s="17" t="str">
        <x:v>Residual authority</x:v>
      </x:c>
      <x:c r="K70" s="17" t="str">
        <x:v>Public custody B</x:v>
      </x:c>
      <x:c r="L70" s="9" t="n">
        <x:v>0</x:v>
      </x:c>
      <x:c r="M70" s="9" t="n">
        <x:v>0</x:v>
      </x:c>
      <x:c r="N70" s="9" t="n">
        <x:v>0</x:v>
      </x:c>
      <x:c r="O70" s="9" t="n">
        <x:v>0</x:v>
      </x:c>
      <x:c r="P70" s="9" t="str">
        <x:v>UNSEALED / SOURCE-EMPTY</x:v>
      </x:c>
      <x:c r="Q70" s="9" t="n">
        <x:f>COUNTIFS($A$7:$A$1158,A70)</x:f>
        <x:v>1</x:v>
      </x:c>
    </x:row>
    <x:row r="71">
      <x:c r="A71" s="9" t="str">
        <x:v>EV-AR-HC-A-C-TECH-3-B1-BRK-G0-RW01</x:v>
      </x:c>
      <x:c r="B71" s="9" t="str">
        <x:v>EV-AR-HC-A-C-TECH-3-B1-BRK-G0</x:v>
      </x:c>
      <x:c r="C71" s="9" t="str">
        <x:v>AR-HC-A-C-TECH-3-B1-BRK-G0</x:v>
      </x:c>
      <x:c r="D71" s="9" t="str">
        <x:v>HC-A-C-TECH-3</x:v>
      </x:c>
      <x:c r="E71" s="9" t="str">
        <x:v>HC-A-C</x:v>
      </x:c>
      <x:c r="F71" s="9" t="str">
        <x:v>B1</x:v>
      </x:c>
      <x:c r="G71" s="9" t="str">
        <x:v>BRK</x:v>
      </x:c>
      <x:c r="H71" s="9" t="str">
        <x:v>RW01</x:v>
      </x:c>
      <x:c r="I71" s="17" t="str">
        <x:v>Primary raw stream</x:v>
      </x:c>
      <x:c r="J71" s="17" t="str">
        <x:v>Primary metrology</x:v>
      </x:c>
      <x:c r="K71" s="17" t="str">
        <x:v>Public custody A</x:v>
      </x:c>
      <x:c r="L71" s="9" t="n">
        <x:v>0</x:v>
      </x:c>
      <x:c r="M71" s="9" t="n">
        <x:v>0</x:v>
      </x:c>
      <x:c r="N71" s="9" t="n">
        <x:v>0</x:v>
      </x:c>
      <x:c r="O71" s="9" t="n">
        <x:v>0</x:v>
      </x:c>
      <x:c r="P71" s="9" t="str">
        <x:v>UNSEALED / SOURCE-EMPTY</x:v>
      </x:c>
      <x:c r="Q71" s="9" t="n">
        <x:f>COUNTIFS($A$7:$A$1158,A71)</x:f>
        <x:v>1</x:v>
      </x:c>
    </x:row>
    <x:row r="72">
      <x:c r="A72" s="9" t="str">
        <x:v>EV-AR-HC-A-C-TECH-3-B1-BRK-G0-RW02</x:v>
      </x:c>
      <x:c r="B72" s="9" t="str">
        <x:v>EV-AR-HC-A-C-TECH-3-B1-BRK-G0</x:v>
      </x:c>
      <x:c r="C72" s="9" t="str">
        <x:v>AR-HC-A-C-TECH-3-B1-BRK-G0</x:v>
      </x:c>
      <x:c r="D72" s="9" t="str">
        <x:v>HC-A-C-TECH-3</x:v>
      </x:c>
      <x:c r="E72" s="9" t="str">
        <x:v>HC-A-C</x:v>
      </x:c>
      <x:c r="F72" s="9" t="str">
        <x:v>B1</x:v>
      </x:c>
      <x:c r="G72" s="9" t="str">
        <x:v>BRK</x:v>
      </x:c>
      <x:c r="H72" s="9" t="str">
        <x:v>RW02</x:v>
      </x:c>
      <x:c r="I72" s="17" t="str">
        <x:v>Unlike witness stream</x:v>
      </x:c>
      <x:c r="J72" s="17" t="str">
        <x:v>Witness metrology</x:v>
      </x:c>
      <x:c r="K72" s="17" t="str">
        <x:v>Public custody B</x:v>
      </x:c>
      <x:c r="L72" s="9" t="n">
        <x:v>0</x:v>
      </x:c>
      <x:c r="M72" s="9" t="n">
        <x:v>0</x:v>
      </x:c>
      <x:c r="N72" s="9" t="n">
        <x:v>0</x:v>
      </x:c>
      <x:c r="O72" s="9" t="n">
        <x:v>0</x:v>
      </x:c>
      <x:c r="P72" s="9" t="str">
        <x:v>UNSEALED / SOURCE-EMPTY</x:v>
      </x:c>
      <x:c r="Q72" s="9" t="n">
        <x:f>COUNTIFS($A$7:$A$1158,A72)</x:f>
        <x:v>1</x:v>
      </x:c>
    </x:row>
    <x:row r="73">
      <x:c r="A73" s="9" t="str">
        <x:v>EV-AR-HC-A-C-TECH-3-B1-BRK-G0-RW03</x:v>
      </x:c>
      <x:c r="B73" s="9" t="str">
        <x:v>EV-AR-HC-A-C-TECH-3-B1-BRK-G0</x:v>
      </x:c>
      <x:c r="C73" s="9" t="str">
        <x:v>AR-HC-A-C-TECH-3-B1-BRK-G0</x:v>
      </x:c>
      <x:c r="D73" s="9" t="str">
        <x:v>HC-A-C-TECH-3</x:v>
      </x:c>
      <x:c r="E73" s="9" t="str">
        <x:v>HC-A-C</x:v>
      </x:c>
      <x:c r="F73" s="9" t="str">
        <x:v>B1</x:v>
      </x:c>
      <x:c r="G73" s="9" t="str">
        <x:v>BRK</x:v>
      </x:c>
      <x:c r="H73" s="9" t="str">
        <x:v>RW03</x:v>
      </x:c>
      <x:c r="I73" s="17" t="str">
        <x:v>Event clock and start traces</x:v>
      </x:c>
      <x:c r="J73" s="17" t="str">
        <x:v>Event clock authority</x:v>
      </x:c>
      <x:c r="K73" s="17" t="str">
        <x:v>Public custody C</x:v>
      </x:c>
      <x:c r="L73" s="9" t="n">
        <x:v>0</x:v>
      </x:c>
      <x:c r="M73" s="9" t="n">
        <x:v>0</x:v>
      </x:c>
      <x:c r="N73" s="9" t="n">
        <x:v>0</x:v>
      </x:c>
      <x:c r="O73" s="9" t="n">
        <x:v>0</x:v>
      </x:c>
      <x:c r="P73" s="9" t="str">
        <x:v>UNSEALED / SOURCE-EMPTY</x:v>
      </x:c>
      <x:c r="Q73" s="9" t="n">
        <x:f>COUNTIFS($A$7:$A$1158,A73)</x:f>
        <x:v>1</x:v>
      </x:c>
    </x:row>
    <x:row r="74">
      <x:c r="A74" s="9" t="str">
        <x:v>EV-AR-HC-A-C-TECH-3-B1-BRK-G0-RW04</x:v>
      </x:c>
      <x:c r="B74" s="9" t="str">
        <x:v>EV-AR-HC-A-C-TECH-3-B1-BRK-G0</x:v>
      </x:c>
      <x:c r="C74" s="9" t="str">
        <x:v>AR-HC-A-C-TECH-3-B1-BRK-G0</x:v>
      </x:c>
      <x:c r="D74" s="9" t="str">
        <x:v>HC-A-C-TECH-3</x:v>
      </x:c>
      <x:c r="E74" s="9" t="str">
        <x:v>HC-A-C</x:v>
      </x:c>
      <x:c r="F74" s="9" t="str">
        <x:v>B1</x:v>
      </x:c>
      <x:c r="G74" s="9" t="str">
        <x:v>BRK</x:v>
      </x:c>
      <x:c r="H74" s="9" t="str">
        <x:v>RW04</x:v>
      </x:c>
      <x:c r="I74" s="17" t="str">
        <x:v>Environmental boundary stream</x:v>
      </x:c>
      <x:c r="J74" s="17" t="str">
        <x:v>Site metrology</x:v>
      </x:c>
      <x:c r="K74" s="17" t="str">
        <x:v>Public custody D</x:v>
      </x:c>
      <x:c r="L74" s="9" t="n">
        <x:v>0</x:v>
      </x:c>
      <x:c r="M74" s="9" t="n">
        <x:v>0</x:v>
      </x:c>
      <x:c r="N74" s="9" t="n">
        <x:v>0</x:v>
      </x:c>
      <x:c r="O74" s="9" t="n">
        <x:v>0</x:v>
      </x:c>
      <x:c r="P74" s="9" t="str">
        <x:v>UNSEALED / SOURCE-EMPTY</x:v>
      </x:c>
      <x:c r="Q74" s="9" t="n">
        <x:f>COUNTIFS($A$7:$A$1158,A74)</x:f>
        <x:v>1</x:v>
      </x:c>
    </x:row>
    <x:row r="75">
      <x:c r="A75" s="9" t="str">
        <x:v>EV-AR-HC-A-C-TECH-3-B1-BRK-G0-RW05</x:v>
      </x:c>
      <x:c r="B75" s="9" t="str">
        <x:v>EV-AR-HC-A-C-TECH-3-B1-BRK-G0</x:v>
      </x:c>
      <x:c r="C75" s="9" t="str">
        <x:v>AR-HC-A-C-TECH-3-B1-BRK-G0</x:v>
      </x:c>
      <x:c r="D75" s="9" t="str">
        <x:v>HC-A-C-TECH-3</x:v>
      </x:c>
      <x:c r="E75" s="9" t="str">
        <x:v>HC-A-C</x:v>
      </x:c>
      <x:c r="F75" s="9" t="str">
        <x:v>B1</x:v>
      </x:c>
      <x:c r="G75" s="9" t="str">
        <x:v>BRK</x:v>
      </x:c>
      <x:c r="H75" s="9" t="str">
        <x:v>RW05</x:v>
      </x:c>
      <x:c r="I75" s="17" t="str">
        <x:v>Command and intervention log</x:v>
      </x:c>
      <x:c r="J75" s="17" t="str">
        <x:v>Safety authority</x:v>
      </x:c>
      <x:c r="K75" s="17" t="str">
        <x:v>Public custody E</x:v>
      </x:c>
      <x:c r="L75" s="9" t="n">
        <x:v>0</x:v>
      </x:c>
      <x:c r="M75" s="9" t="n">
        <x:v>0</x:v>
      </x:c>
      <x:c r="N75" s="9" t="n">
        <x:v>0</x:v>
      </x:c>
      <x:c r="O75" s="9" t="n">
        <x:v>0</x:v>
      </x:c>
      <x:c r="P75" s="9" t="str">
        <x:v>UNSEALED / SOURCE-EMPTY</x:v>
      </x:c>
      <x:c r="Q75" s="9" t="n">
        <x:f>COUNTIFS($A$7:$A$1158,A75)</x:f>
        <x:v>1</x:v>
      </x:c>
    </x:row>
    <x:row r="76">
      <x:c r="A76" s="9" t="str">
        <x:v>EV-AR-HC-A-C-TECH-3-B1-BRK-G0-RW06</x:v>
      </x:c>
      <x:c r="B76" s="9" t="str">
        <x:v>EV-AR-HC-A-C-TECH-3-B1-BRK-G0</x:v>
      </x:c>
      <x:c r="C76" s="9" t="str">
        <x:v>AR-HC-A-C-TECH-3-B1-BRK-G0</x:v>
      </x:c>
      <x:c r="D76" s="9" t="str">
        <x:v>HC-A-C-TECH-3</x:v>
      </x:c>
      <x:c r="E76" s="9" t="str">
        <x:v>HC-A-C</x:v>
      </x:c>
      <x:c r="F76" s="9" t="str">
        <x:v>B1</x:v>
      </x:c>
      <x:c r="G76" s="9" t="str">
        <x:v>BRK</x:v>
      </x:c>
      <x:c r="H76" s="9" t="str">
        <x:v>RW06</x:v>
      </x:c>
      <x:c r="I76" s="17" t="str">
        <x:v>Receiver service ledger</x:v>
      </x:c>
      <x:c r="J76" s="17" t="str">
        <x:v>Receiver authority</x:v>
      </x:c>
      <x:c r="K76" s="17" t="str">
        <x:v>Public custody F</x:v>
      </x:c>
      <x:c r="L76" s="9" t="n">
        <x:v>0</x:v>
      </x:c>
      <x:c r="M76" s="9" t="n">
        <x:v>0</x:v>
      </x:c>
      <x:c r="N76" s="9" t="n">
        <x:v>0</x:v>
      </x:c>
      <x:c r="O76" s="9" t="n">
        <x:v>0</x:v>
      </x:c>
      <x:c r="P76" s="9" t="str">
        <x:v>UNSEALED / SOURCE-EMPTY</x:v>
      </x:c>
      <x:c r="Q76" s="9" t="n">
        <x:f>COUNTIFS($A$7:$A$1158,A76)</x:f>
        <x:v>1</x:v>
      </x:c>
    </x:row>
    <x:row r="77">
      <x:c r="A77" s="9" t="str">
        <x:v>EV-AR-HC-A-C-TECH-3-B1-BRK-G0-RW07</x:v>
      </x:c>
      <x:c r="B77" s="9" t="str">
        <x:v>EV-AR-HC-A-C-TECH-3-B1-BRK-G0</x:v>
      </x:c>
      <x:c r="C77" s="9" t="str">
        <x:v>AR-HC-A-C-TECH-3-B1-BRK-G0</x:v>
      </x:c>
      <x:c r="D77" s="9" t="str">
        <x:v>HC-A-C-TECH-3</x:v>
      </x:c>
      <x:c r="E77" s="9" t="str">
        <x:v>HC-A-C</x:v>
      </x:c>
      <x:c r="F77" s="9" t="str">
        <x:v>B1</x:v>
      </x:c>
      <x:c r="G77" s="9" t="str">
        <x:v>BRK</x:v>
      </x:c>
      <x:c r="H77" s="9" t="str">
        <x:v>RW07</x:v>
      </x:c>
      <x:c r="I77" s="17" t="str">
        <x:v>Candidate interface telemetry</x:v>
      </x:c>
      <x:c r="J77" s="17" t="str">
        <x:v>Interface custodian</x:v>
      </x:c>
      <x:c r="K77" s="17" t="str">
        <x:v>Public custody A</x:v>
      </x:c>
      <x:c r="L77" s="9" t="n">
        <x:v>0</x:v>
      </x:c>
      <x:c r="M77" s="9" t="n">
        <x:v>0</x:v>
      </x:c>
      <x:c r="N77" s="9" t="n">
        <x:v>0</x:v>
      </x:c>
      <x:c r="O77" s="9" t="n">
        <x:v>0</x:v>
      </x:c>
      <x:c r="P77" s="9" t="str">
        <x:v>UNSEALED / SOURCE-EMPTY</x:v>
      </x:c>
      <x:c r="Q77" s="9" t="n">
        <x:f>COUNTIFS($A$7:$A$1158,A77)</x:f>
        <x:v>1</x:v>
      </x:c>
    </x:row>
    <x:row r="78">
      <x:c r="A78" s="9" t="str">
        <x:v>EV-AR-HC-A-C-TECH-3-B1-BRK-G0-RW08</x:v>
      </x:c>
      <x:c r="B78" s="9" t="str">
        <x:v>EV-AR-HC-A-C-TECH-3-B1-BRK-G0</x:v>
      </x:c>
      <x:c r="C78" s="9" t="str">
        <x:v>AR-HC-A-C-TECH-3-B1-BRK-G0</x:v>
      </x:c>
      <x:c r="D78" s="9" t="str">
        <x:v>HC-A-C-TECH-3</x:v>
      </x:c>
      <x:c r="E78" s="9" t="str">
        <x:v>HC-A-C</x:v>
      </x:c>
      <x:c r="F78" s="9" t="str">
        <x:v>B1</x:v>
      </x:c>
      <x:c r="G78" s="9" t="str">
        <x:v>BRK</x:v>
      </x:c>
      <x:c r="H78" s="9" t="str">
        <x:v>RW08</x:v>
      </x:c>
      <x:c r="I78" s="17" t="str">
        <x:v>Residual and physical evidence</x:v>
      </x:c>
      <x:c r="J78" s="17" t="str">
        <x:v>Residual authority</x:v>
      </x:c>
      <x:c r="K78" s="17" t="str">
        <x:v>Public custody B</x:v>
      </x:c>
      <x:c r="L78" s="9" t="n">
        <x:v>0</x:v>
      </x:c>
      <x:c r="M78" s="9" t="n">
        <x:v>0</x:v>
      </x:c>
      <x:c r="N78" s="9" t="n">
        <x:v>0</x:v>
      </x:c>
      <x:c r="O78" s="9" t="n">
        <x:v>0</x:v>
      </x:c>
      <x:c r="P78" s="9" t="str">
        <x:v>UNSEALED / SOURCE-EMPTY</x:v>
      </x:c>
      <x:c r="Q78" s="9" t="n">
        <x:f>COUNTIFS($A$7:$A$1158,A78)</x:f>
        <x:v>1</x:v>
      </x:c>
    </x:row>
    <x:row r="79">
      <x:c r="A79" s="9" t="str">
        <x:v>EV-AR-HU-A-B-TECH-3-B1-INT-G0-RW01</x:v>
      </x:c>
      <x:c r="B79" s="9" t="str">
        <x:v>EV-AR-HU-A-B-TECH-3-B1-INT-G0</x:v>
      </x:c>
      <x:c r="C79" s="9" t="str">
        <x:v>AR-HU-A-B-TECH-3-B1-INT-G0</x:v>
      </x:c>
      <x:c r="D79" s="9" t="str">
        <x:v>HU-A-B-TECH-3</x:v>
      </x:c>
      <x:c r="E79" s="9" t="str">
        <x:v>HU-A-B</x:v>
      </x:c>
      <x:c r="F79" s="9" t="str">
        <x:v>B1</x:v>
      </x:c>
      <x:c r="G79" s="9" t="str">
        <x:v>INT</x:v>
      </x:c>
      <x:c r="H79" s="9" t="str">
        <x:v>RW01</x:v>
      </x:c>
      <x:c r="I79" s="17" t="str">
        <x:v>Primary raw stream</x:v>
      </x:c>
      <x:c r="J79" s="17" t="str">
        <x:v>Primary metrology</x:v>
      </x:c>
      <x:c r="K79" s="17" t="str">
        <x:v>Public custody A</x:v>
      </x:c>
      <x:c r="L79" s="9" t="n">
        <x:v>0</x:v>
      </x:c>
      <x:c r="M79" s="9" t="n">
        <x:v>0</x:v>
      </x:c>
      <x:c r="N79" s="9" t="n">
        <x:v>0</x:v>
      </x:c>
      <x:c r="O79" s="9" t="n">
        <x:v>0</x:v>
      </x:c>
      <x:c r="P79" s="9" t="str">
        <x:v>UNSEALED / SOURCE-EMPTY</x:v>
      </x:c>
      <x:c r="Q79" s="9" t="n">
        <x:f>COUNTIFS($A$7:$A$1158,A79)</x:f>
        <x:v>1</x:v>
      </x:c>
    </x:row>
    <x:row r="80">
      <x:c r="A80" s="9" t="str">
        <x:v>EV-AR-HU-A-B-TECH-3-B1-INT-G0-RW02</x:v>
      </x:c>
      <x:c r="B80" s="9" t="str">
        <x:v>EV-AR-HU-A-B-TECH-3-B1-INT-G0</x:v>
      </x:c>
      <x:c r="C80" s="9" t="str">
        <x:v>AR-HU-A-B-TECH-3-B1-INT-G0</x:v>
      </x:c>
      <x:c r="D80" s="9" t="str">
        <x:v>HU-A-B-TECH-3</x:v>
      </x:c>
      <x:c r="E80" s="9" t="str">
        <x:v>HU-A-B</x:v>
      </x:c>
      <x:c r="F80" s="9" t="str">
        <x:v>B1</x:v>
      </x:c>
      <x:c r="G80" s="9" t="str">
        <x:v>INT</x:v>
      </x:c>
      <x:c r="H80" s="9" t="str">
        <x:v>RW02</x:v>
      </x:c>
      <x:c r="I80" s="17" t="str">
        <x:v>Unlike witness stream</x:v>
      </x:c>
      <x:c r="J80" s="17" t="str">
        <x:v>Witness metrology</x:v>
      </x:c>
      <x:c r="K80" s="17" t="str">
        <x:v>Public custody B</x:v>
      </x:c>
      <x:c r="L80" s="9" t="n">
        <x:v>0</x:v>
      </x:c>
      <x:c r="M80" s="9" t="n">
        <x:v>0</x:v>
      </x:c>
      <x:c r="N80" s="9" t="n">
        <x:v>0</x:v>
      </x:c>
      <x:c r="O80" s="9" t="n">
        <x:v>0</x:v>
      </x:c>
      <x:c r="P80" s="9" t="str">
        <x:v>UNSEALED / SOURCE-EMPTY</x:v>
      </x:c>
      <x:c r="Q80" s="9" t="n">
        <x:f>COUNTIFS($A$7:$A$1158,A80)</x:f>
        <x:v>1</x:v>
      </x:c>
    </x:row>
    <x:row r="81">
      <x:c r="A81" s="9" t="str">
        <x:v>EV-AR-HU-A-B-TECH-3-B1-INT-G0-RW03</x:v>
      </x:c>
      <x:c r="B81" s="9" t="str">
        <x:v>EV-AR-HU-A-B-TECH-3-B1-INT-G0</x:v>
      </x:c>
      <x:c r="C81" s="9" t="str">
        <x:v>AR-HU-A-B-TECH-3-B1-INT-G0</x:v>
      </x:c>
      <x:c r="D81" s="9" t="str">
        <x:v>HU-A-B-TECH-3</x:v>
      </x:c>
      <x:c r="E81" s="9" t="str">
        <x:v>HU-A-B</x:v>
      </x:c>
      <x:c r="F81" s="9" t="str">
        <x:v>B1</x:v>
      </x:c>
      <x:c r="G81" s="9" t="str">
        <x:v>INT</x:v>
      </x:c>
      <x:c r="H81" s="9" t="str">
        <x:v>RW03</x:v>
      </x:c>
      <x:c r="I81" s="17" t="str">
        <x:v>Event clock and start traces</x:v>
      </x:c>
      <x:c r="J81" s="17" t="str">
        <x:v>Event clock authority</x:v>
      </x:c>
      <x:c r="K81" s="17" t="str">
        <x:v>Public custody C</x:v>
      </x:c>
      <x:c r="L81" s="9" t="n">
        <x:v>0</x:v>
      </x:c>
      <x:c r="M81" s="9" t="n">
        <x:v>0</x:v>
      </x:c>
      <x:c r="N81" s="9" t="n">
        <x:v>0</x:v>
      </x:c>
      <x:c r="O81" s="9" t="n">
        <x:v>0</x:v>
      </x:c>
      <x:c r="P81" s="9" t="str">
        <x:v>UNSEALED / SOURCE-EMPTY</x:v>
      </x:c>
      <x:c r="Q81" s="9" t="n">
        <x:f>COUNTIFS($A$7:$A$1158,A81)</x:f>
        <x:v>1</x:v>
      </x:c>
    </x:row>
    <x:row r="82">
      <x:c r="A82" s="9" t="str">
        <x:v>EV-AR-HU-A-B-TECH-3-B1-INT-G0-RW04</x:v>
      </x:c>
      <x:c r="B82" s="9" t="str">
        <x:v>EV-AR-HU-A-B-TECH-3-B1-INT-G0</x:v>
      </x:c>
      <x:c r="C82" s="9" t="str">
        <x:v>AR-HU-A-B-TECH-3-B1-INT-G0</x:v>
      </x:c>
      <x:c r="D82" s="9" t="str">
        <x:v>HU-A-B-TECH-3</x:v>
      </x:c>
      <x:c r="E82" s="9" t="str">
        <x:v>HU-A-B</x:v>
      </x:c>
      <x:c r="F82" s="9" t="str">
        <x:v>B1</x:v>
      </x:c>
      <x:c r="G82" s="9" t="str">
        <x:v>INT</x:v>
      </x:c>
      <x:c r="H82" s="9" t="str">
        <x:v>RW04</x:v>
      </x:c>
      <x:c r="I82" s="17" t="str">
        <x:v>Environmental boundary stream</x:v>
      </x:c>
      <x:c r="J82" s="17" t="str">
        <x:v>Site metrology</x:v>
      </x:c>
      <x:c r="K82" s="17" t="str">
        <x:v>Public custody D</x:v>
      </x:c>
      <x:c r="L82" s="9" t="n">
        <x:v>0</x:v>
      </x:c>
      <x:c r="M82" s="9" t="n">
        <x:v>0</x:v>
      </x:c>
      <x:c r="N82" s="9" t="n">
        <x:v>0</x:v>
      </x:c>
      <x:c r="O82" s="9" t="n">
        <x:v>0</x:v>
      </x:c>
      <x:c r="P82" s="9" t="str">
        <x:v>UNSEALED / SOURCE-EMPTY</x:v>
      </x:c>
      <x:c r="Q82" s="9" t="n">
        <x:f>COUNTIFS($A$7:$A$1158,A82)</x:f>
        <x:v>1</x:v>
      </x:c>
    </x:row>
    <x:row r="83">
      <x:c r="A83" s="9" t="str">
        <x:v>EV-AR-HU-A-B-TECH-3-B1-INT-G0-RW05</x:v>
      </x:c>
      <x:c r="B83" s="9" t="str">
        <x:v>EV-AR-HU-A-B-TECH-3-B1-INT-G0</x:v>
      </x:c>
      <x:c r="C83" s="9" t="str">
        <x:v>AR-HU-A-B-TECH-3-B1-INT-G0</x:v>
      </x:c>
      <x:c r="D83" s="9" t="str">
        <x:v>HU-A-B-TECH-3</x:v>
      </x:c>
      <x:c r="E83" s="9" t="str">
        <x:v>HU-A-B</x:v>
      </x:c>
      <x:c r="F83" s="9" t="str">
        <x:v>B1</x:v>
      </x:c>
      <x:c r="G83" s="9" t="str">
        <x:v>INT</x:v>
      </x:c>
      <x:c r="H83" s="9" t="str">
        <x:v>RW05</x:v>
      </x:c>
      <x:c r="I83" s="17" t="str">
        <x:v>Command and intervention log</x:v>
      </x:c>
      <x:c r="J83" s="17" t="str">
        <x:v>Safety authority</x:v>
      </x:c>
      <x:c r="K83" s="17" t="str">
        <x:v>Public custody E</x:v>
      </x:c>
      <x:c r="L83" s="9" t="n">
        <x:v>0</x:v>
      </x:c>
      <x:c r="M83" s="9" t="n">
        <x:v>0</x:v>
      </x:c>
      <x:c r="N83" s="9" t="n">
        <x:v>0</x:v>
      </x:c>
      <x:c r="O83" s="9" t="n">
        <x:v>0</x:v>
      </x:c>
      <x:c r="P83" s="9" t="str">
        <x:v>UNSEALED / SOURCE-EMPTY</x:v>
      </x:c>
      <x:c r="Q83" s="9" t="n">
        <x:f>COUNTIFS($A$7:$A$1158,A83)</x:f>
        <x:v>1</x:v>
      </x:c>
    </x:row>
    <x:row r="84">
      <x:c r="A84" s="9" t="str">
        <x:v>EV-AR-HU-A-B-TECH-3-B1-INT-G0-RW06</x:v>
      </x:c>
      <x:c r="B84" s="9" t="str">
        <x:v>EV-AR-HU-A-B-TECH-3-B1-INT-G0</x:v>
      </x:c>
      <x:c r="C84" s="9" t="str">
        <x:v>AR-HU-A-B-TECH-3-B1-INT-G0</x:v>
      </x:c>
      <x:c r="D84" s="9" t="str">
        <x:v>HU-A-B-TECH-3</x:v>
      </x:c>
      <x:c r="E84" s="9" t="str">
        <x:v>HU-A-B</x:v>
      </x:c>
      <x:c r="F84" s="9" t="str">
        <x:v>B1</x:v>
      </x:c>
      <x:c r="G84" s="9" t="str">
        <x:v>INT</x:v>
      </x:c>
      <x:c r="H84" s="9" t="str">
        <x:v>RW06</x:v>
      </x:c>
      <x:c r="I84" s="17" t="str">
        <x:v>Receiver service ledger</x:v>
      </x:c>
      <x:c r="J84" s="17" t="str">
        <x:v>Receiver authority</x:v>
      </x:c>
      <x:c r="K84" s="17" t="str">
        <x:v>Public custody F</x:v>
      </x:c>
      <x:c r="L84" s="9" t="n">
        <x:v>0</x:v>
      </x:c>
      <x:c r="M84" s="9" t="n">
        <x:v>0</x:v>
      </x:c>
      <x:c r="N84" s="9" t="n">
        <x:v>0</x:v>
      </x:c>
      <x:c r="O84" s="9" t="n">
        <x:v>0</x:v>
      </x:c>
      <x:c r="P84" s="9" t="str">
        <x:v>UNSEALED / SOURCE-EMPTY</x:v>
      </x:c>
      <x:c r="Q84" s="9" t="n">
        <x:f>COUNTIFS($A$7:$A$1158,A84)</x:f>
        <x:v>1</x:v>
      </x:c>
    </x:row>
    <x:row r="85">
      <x:c r="A85" s="9" t="str">
        <x:v>EV-AR-HU-A-B-TECH-3-B1-INT-G0-RW07</x:v>
      </x:c>
      <x:c r="B85" s="9" t="str">
        <x:v>EV-AR-HU-A-B-TECH-3-B1-INT-G0</x:v>
      </x:c>
      <x:c r="C85" s="9" t="str">
        <x:v>AR-HU-A-B-TECH-3-B1-INT-G0</x:v>
      </x:c>
      <x:c r="D85" s="9" t="str">
        <x:v>HU-A-B-TECH-3</x:v>
      </x:c>
      <x:c r="E85" s="9" t="str">
        <x:v>HU-A-B</x:v>
      </x:c>
      <x:c r="F85" s="9" t="str">
        <x:v>B1</x:v>
      </x:c>
      <x:c r="G85" s="9" t="str">
        <x:v>INT</x:v>
      </x:c>
      <x:c r="H85" s="9" t="str">
        <x:v>RW07</x:v>
      </x:c>
      <x:c r="I85" s="17" t="str">
        <x:v>Candidate interface telemetry</x:v>
      </x:c>
      <x:c r="J85" s="17" t="str">
        <x:v>Interface custodian</x:v>
      </x:c>
      <x:c r="K85" s="17" t="str">
        <x:v>Public custody A</x:v>
      </x:c>
      <x:c r="L85" s="9" t="n">
        <x:v>0</x:v>
      </x:c>
      <x:c r="M85" s="9" t="n">
        <x:v>0</x:v>
      </x:c>
      <x:c r="N85" s="9" t="n">
        <x:v>0</x:v>
      </x:c>
      <x:c r="O85" s="9" t="n">
        <x:v>0</x:v>
      </x:c>
      <x:c r="P85" s="9" t="str">
        <x:v>UNSEALED / SOURCE-EMPTY</x:v>
      </x:c>
      <x:c r="Q85" s="9" t="n">
        <x:f>COUNTIFS($A$7:$A$1158,A85)</x:f>
        <x:v>1</x:v>
      </x:c>
    </x:row>
    <x:row r="86">
      <x:c r="A86" s="9" t="str">
        <x:v>EV-AR-HU-A-B-TECH-3-B1-INT-G0-RW08</x:v>
      </x:c>
      <x:c r="B86" s="9" t="str">
        <x:v>EV-AR-HU-A-B-TECH-3-B1-INT-G0</x:v>
      </x:c>
      <x:c r="C86" s="9" t="str">
        <x:v>AR-HU-A-B-TECH-3-B1-INT-G0</x:v>
      </x:c>
      <x:c r="D86" s="9" t="str">
        <x:v>HU-A-B-TECH-3</x:v>
      </x:c>
      <x:c r="E86" s="9" t="str">
        <x:v>HU-A-B</x:v>
      </x:c>
      <x:c r="F86" s="9" t="str">
        <x:v>B1</x:v>
      </x:c>
      <x:c r="G86" s="9" t="str">
        <x:v>INT</x:v>
      </x:c>
      <x:c r="H86" s="9" t="str">
        <x:v>RW08</x:v>
      </x:c>
      <x:c r="I86" s="17" t="str">
        <x:v>Residual and physical evidence</x:v>
      </x:c>
      <x:c r="J86" s="17" t="str">
        <x:v>Residual authority</x:v>
      </x:c>
      <x:c r="K86" s="17" t="str">
        <x:v>Public custody B</x:v>
      </x:c>
      <x:c r="L86" s="9" t="n">
        <x:v>0</x:v>
      </x:c>
      <x:c r="M86" s="9" t="n">
        <x:v>0</x:v>
      </x:c>
      <x:c r="N86" s="9" t="n">
        <x:v>0</x:v>
      </x:c>
      <x:c r="O86" s="9" t="n">
        <x:v>0</x:v>
      </x:c>
      <x:c r="P86" s="9" t="str">
        <x:v>UNSEALED / SOURCE-EMPTY</x:v>
      </x:c>
      <x:c r="Q86" s="9" t="n">
        <x:f>COUNTIFS($A$7:$A$1158,A86)</x:f>
        <x:v>1</x:v>
      </x:c>
    </x:row>
    <x:row r="87">
      <x:c r="A87" s="9" t="str">
        <x:v>EV-AR-LF-B-A-TECH-1-B2-BRK-G0-RW01</x:v>
      </x:c>
      <x:c r="B87" s="9" t="str">
        <x:v>EV-AR-LF-B-A-TECH-1-B2-BRK-G0</x:v>
      </x:c>
      <x:c r="C87" s="9" t="str">
        <x:v>AR-LF-B-A-TECH-1-B2-BRK-G0</x:v>
      </x:c>
      <x:c r="D87" s="9" t="str">
        <x:v>LF-B-A-TECH-1</x:v>
      </x:c>
      <x:c r="E87" s="9" t="str">
        <x:v>LF-B-A</x:v>
      </x:c>
      <x:c r="F87" s="9" t="str">
        <x:v>B2</x:v>
      </x:c>
      <x:c r="G87" s="9" t="str">
        <x:v>BRK</x:v>
      </x:c>
      <x:c r="H87" s="9" t="str">
        <x:v>RW01</x:v>
      </x:c>
      <x:c r="I87" s="17" t="str">
        <x:v>Primary raw stream</x:v>
      </x:c>
      <x:c r="J87" s="17" t="str">
        <x:v>Primary metrology</x:v>
      </x:c>
      <x:c r="K87" s="17" t="str">
        <x:v>Public custody A</x:v>
      </x:c>
      <x:c r="L87" s="9" t="n">
        <x:v>0</x:v>
      </x:c>
      <x:c r="M87" s="9" t="n">
        <x:v>0</x:v>
      </x:c>
      <x:c r="N87" s="9" t="n">
        <x:v>0</x:v>
      </x:c>
      <x:c r="O87" s="9" t="n">
        <x:v>0</x:v>
      </x:c>
      <x:c r="P87" s="9" t="str">
        <x:v>UNSEALED / SOURCE-EMPTY</x:v>
      </x:c>
      <x:c r="Q87" s="9" t="n">
        <x:f>COUNTIFS($A$7:$A$1158,A87)</x:f>
        <x:v>1</x:v>
      </x:c>
    </x:row>
    <x:row r="88">
      <x:c r="A88" s="9" t="str">
        <x:v>EV-AR-LF-B-A-TECH-1-B2-BRK-G0-RW02</x:v>
      </x:c>
      <x:c r="B88" s="9" t="str">
        <x:v>EV-AR-LF-B-A-TECH-1-B2-BRK-G0</x:v>
      </x:c>
      <x:c r="C88" s="9" t="str">
        <x:v>AR-LF-B-A-TECH-1-B2-BRK-G0</x:v>
      </x:c>
      <x:c r="D88" s="9" t="str">
        <x:v>LF-B-A-TECH-1</x:v>
      </x:c>
      <x:c r="E88" s="9" t="str">
        <x:v>LF-B-A</x:v>
      </x:c>
      <x:c r="F88" s="9" t="str">
        <x:v>B2</x:v>
      </x:c>
      <x:c r="G88" s="9" t="str">
        <x:v>BRK</x:v>
      </x:c>
      <x:c r="H88" s="9" t="str">
        <x:v>RW02</x:v>
      </x:c>
      <x:c r="I88" s="17" t="str">
        <x:v>Unlike witness stream</x:v>
      </x:c>
      <x:c r="J88" s="17" t="str">
        <x:v>Witness metrology</x:v>
      </x:c>
      <x:c r="K88" s="17" t="str">
        <x:v>Public custody B</x:v>
      </x:c>
      <x:c r="L88" s="9" t="n">
        <x:v>0</x:v>
      </x:c>
      <x:c r="M88" s="9" t="n">
        <x:v>0</x:v>
      </x:c>
      <x:c r="N88" s="9" t="n">
        <x:v>0</x:v>
      </x:c>
      <x:c r="O88" s="9" t="n">
        <x:v>0</x:v>
      </x:c>
      <x:c r="P88" s="9" t="str">
        <x:v>UNSEALED / SOURCE-EMPTY</x:v>
      </x:c>
      <x:c r="Q88" s="9" t="n">
        <x:f>COUNTIFS($A$7:$A$1158,A88)</x:f>
        <x:v>1</x:v>
      </x:c>
    </x:row>
    <x:row r="89">
      <x:c r="A89" s="9" t="str">
        <x:v>EV-AR-LF-B-A-TECH-1-B2-BRK-G0-RW03</x:v>
      </x:c>
      <x:c r="B89" s="9" t="str">
        <x:v>EV-AR-LF-B-A-TECH-1-B2-BRK-G0</x:v>
      </x:c>
      <x:c r="C89" s="9" t="str">
        <x:v>AR-LF-B-A-TECH-1-B2-BRK-G0</x:v>
      </x:c>
      <x:c r="D89" s="9" t="str">
        <x:v>LF-B-A-TECH-1</x:v>
      </x:c>
      <x:c r="E89" s="9" t="str">
        <x:v>LF-B-A</x:v>
      </x:c>
      <x:c r="F89" s="9" t="str">
        <x:v>B2</x:v>
      </x:c>
      <x:c r="G89" s="9" t="str">
        <x:v>BRK</x:v>
      </x:c>
      <x:c r="H89" s="9" t="str">
        <x:v>RW03</x:v>
      </x:c>
      <x:c r="I89" s="17" t="str">
        <x:v>Event clock and start traces</x:v>
      </x:c>
      <x:c r="J89" s="17" t="str">
        <x:v>Event clock authority</x:v>
      </x:c>
      <x:c r="K89" s="17" t="str">
        <x:v>Public custody C</x:v>
      </x:c>
      <x:c r="L89" s="9" t="n">
        <x:v>0</x:v>
      </x:c>
      <x:c r="M89" s="9" t="n">
        <x:v>0</x:v>
      </x:c>
      <x:c r="N89" s="9" t="n">
        <x:v>0</x:v>
      </x:c>
      <x:c r="O89" s="9" t="n">
        <x:v>0</x:v>
      </x:c>
      <x:c r="P89" s="9" t="str">
        <x:v>UNSEALED / SOURCE-EMPTY</x:v>
      </x:c>
      <x:c r="Q89" s="9" t="n">
        <x:f>COUNTIFS($A$7:$A$1158,A89)</x:f>
        <x:v>1</x:v>
      </x:c>
    </x:row>
    <x:row r="90">
      <x:c r="A90" s="9" t="str">
        <x:v>EV-AR-LF-B-A-TECH-1-B2-BRK-G0-RW04</x:v>
      </x:c>
      <x:c r="B90" s="9" t="str">
        <x:v>EV-AR-LF-B-A-TECH-1-B2-BRK-G0</x:v>
      </x:c>
      <x:c r="C90" s="9" t="str">
        <x:v>AR-LF-B-A-TECH-1-B2-BRK-G0</x:v>
      </x:c>
      <x:c r="D90" s="9" t="str">
        <x:v>LF-B-A-TECH-1</x:v>
      </x:c>
      <x:c r="E90" s="9" t="str">
        <x:v>LF-B-A</x:v>
      </x:c>
      <x:c r="F90" s="9" t="str">
        <x:v>B2</x:v>
      </x:c>
      <x:c r="G90" s="9" t="str">
        <x:v>BRK</x:v>
      </x:c>
      <x:c r="H90" s="9" t="str">
        <x:v>RW04</x:v>
      </x:c>
      <x:c r="I90" s="17" t="str">
        <x:v>Environmental boundary stream</x:v>
      </x:c>
      <x:c r="J90" s="17" t="str">
        <x:v>Site metrology</x:v>
      </x:c>
      <x:c r="K90" s="17" t="str">
        <x:v>Public custody D</x:v>
      </x:c>
      <x:c r="L90" s="9" t="n">
        <x:v>0</x:v>
      </x:c>
      <x:c r="M90" s="9" t="n">
        <x:v>0</x:v>
      </x:c>
      <x:c r="N90" s="9" t="n">
        <x:v>0</x:v>
      </x:c>
      <x:c r="O90" s="9" t="n">
        <x:v>0</x:v>
      </x:c>
      <x:c r="P90" s="9" t="str">
        <x:v>UNSEALED / SOURCE-EMPTY</x:v>
      </x:c>
      <x:c r="Q90" s="9" t="n">
        <x:f>COUNTIFS($A$7:$A$1158,A90)</x:f>
        <x:v>1</x:v>
      </x:c>
    </x:row>
    <x:row r="91">
      <x:c r="A91" s="9" t="str">
        <x:v>EV-AR-LF-B-A-TECH-1-B2-BRK-G0-RW05</x:v>
      </x:c>
      <x:c r="B91" s="9" t="str">
        <x:v>EV-AR-LF-B-A-TECH-1-B2-BRK-G0</x:v>
      </x:c>
      <x:c r="C91" s="9" t="str">
        <x:v>AR-LF-B-A-TECH-1-B2-BRK-G0</x:v>
      </x:c>
      <x:c r="D91" s="9" t="str">
        <x:v>LF-B-A-TECH-1</x:v>
      </x:c>
      <x:c r="E91" s="9" t="str">
        <x:v>LF-B-A</x:v>
      </x:c>
      <x:c r="F91" s="9" t="str">
        <x:v>B2</x:v>
      </x:c>
      <x:c r="G91" s="9" t="str">
        <x:v>BRK</x:v>
      </x:c>
      <x:c r="H91" s="9" t="str">
        <x:v>RW05</x:v>
      </x:c>
      <x:c r="I91" s="17" t="str">
        <x:v>Command and intervention log</x:v>
      </x:c>
      <x:c r="J91" s="17" t="str">
        <x:v>Safety authority</x:v>
      </x:c>
      <x:c r="K91" s="17" t="str">
        <x:v>Public custody E</x:v>
      </x:c>
      <x:c r="L91" s="9" t="n">
        <x:v>0</x:v>
      </x:c>
      <x:c r="M91" s="9" t="n">
        <x:v>0</x:v>
      </x:c>
      <x:c r="N91" s="9" t="n">
        <x:v>0</x:v>
      </x:c>
      <x:c r="O91" s="9" t="n">
        <x:v>0</x:v>
      </x:c>
      <x:c r="P91" s="9" t="str">
        <x:v>UNSEALED / SOURCE-EMPTY</x:v>
      </x:c>
      <x:c r="Q91" s="9" t="n">
        <x:f>COUNTIFS($A$7:$A$1158,A91)</x:f>
        <x:v>1</x:v>
      </x:c>
    </x:row>
    <x:row r="92">
      <x:c r="A92" s="9" t="str">
        <x:v>EV-AR-LF-B-A-TECH-1-B2-BRK-G0-RW06</x:v>
      </x:c>
      <x:c r="B92" s="9" t="str">
        <x:v>EV-AR-LF-B-A-TECH-1-B2-BRK-G0</x:v>
      </x:c>
      <x:c r="C92" s="9" t="str">
        <x:v>AR-LF-B-A-TECH-1-B2-BRK-G0</x:v>
      </x:c>
      <x:c r="D92" s="9" t="str">
        <x:v>LF-B-A-TECH-1</x:v>
      </x:c>
      <x:c r="E92" s="9" t="str">
        <x:v>LF-B-A</x:v>
      </x:c>
      <x:c r="F92" s="9" t="str">
        <x:v>B2</x:v>
      </x:c>
      <x:c r="G92" s="9" t="str">
        <x:v>BRK</x:v>
      </x:c>
      <x:c r="H92" s="9" t="str">
        <x:v>RW06</x:v>
      </x:c>
      <x:c r="I92" s="17" t="str">
        <x:v>Receiver service ledger</x:v>
      </x:c>
      <x:c r="J92" s="17" t="str">
        <x:v>Receiver authority</x:v>
      </x:c>
      <x:c r="K92" s="17" t="str">
        <x:v>Public custody F</x:v>
      </x:c>
      <x:c r="L92" s="9" t="n">
        <x:v>0</x:v>
      </x:c>
      <x:c r="M92" s="9" t="n">
        <x:v>0</x:v>
      </x:c>
      <x:c r="N92" s="9" t="n">
        <x:v>0</x:v>
      </x:c>
      <x:c r="O92" s="9" t="n">
        <x:v>0</x:v>
      </x:c>
      <x:c r="P92" s="9" t="str">
        <x:v>UNSEALED / SOURCE-EMPTY</x:v>
      </x:c>
      <x:c r="Q92" s="9" t="n">
        <x:f>COUNTIFS($A$7:$A$1158,A92)</x:f>
        <x:v>1</x:v>
      </x:c>
    </x:row>
    <x:row r="93">
      <x:c r="A93" s="9" t="str">
        <x:v>EV-AR-LF-B-A-TECH-1-B2-BRK-G0-RW07</x:v>
      </x:c>
      <x:c r="B93" s="9" t="str">
        <x:v>EV-AR-LF-B-A-TECH-1-B2-BRK-G0</x:v>
      </x:c>
      <x:c r="C93" s="9" t="str">
        <x:v>AR-LF-B-A-TECH-1-B2-BRK-G0</x:v>
      </x:c>
      <x:c r="D93" s="9" t="str">
        <x:v>LF-B-A-TECH-1</x:v>
      </x:c>
      <x:c r="E93" s="9" t="str">
        <x:v>LF-B-A</x:v>
      </x:c>
      <x:c r="F93" s="9" t="str">
        <x:v>B2</x:v>
      </x:c>
      <x:c r="G93" s="9" t="str">
        <x:v>BRK</x:v>
      </x:c>
      <x:c r="H93" s="9" t="str">
        <x:v>RW07</x:v>
      </x:c>
      <x:c r="I93" s="17" t="str">
        <x:v>Candidate interface telemetry</x:v>
      </x:c>
      <x:c r="J93" s="17" t="str">
        <x:v>Interface custodian</x:v>
      </x:c>
      <x:c r="K93" s="17" t="str">
        <x:v>Public custody A</x:v>
      </x:c>
      <x:c r="L93" s="9" t="n">
        <x:v>0</x:v>
      </x:c>
      <x:c r="M93" s="9" t="n">
        <x:v>0</x:v>
      </x:c>
      <x:c r="N93" s="9" t="n">
        <x:v>0</x:v>
      </x:c>
      <x:c r="O93" s="9" t="n">
        <x:v>0</x:v>
      </x:c>
      <x:c r="P93" s="9" t="str">
        <x:v>UNSEALED / SOURCE-EMPTY</x:v>
      </x:c>
      <x:c r="Q93" s="9" t="n">
        <x:f>COUNTIFS($A$7:$A$1158,A93)</x:f>
        <x:v>1</x:v>
      </x:c>
    </x:row>
    <x:row r="94">
      <x:c r="A94" s="9" t="str">
        <x:v>EV-AR-LF-B-A-TECH-1-B2-BRK-G0-RW08</x:v>
      </x:c>
      <x:c r="B94" s="9" t="str">
        <x:v>EV-AR-LF-B-A-TECH-1-B2-BRK-G0</x:v>
      </x:c>
      <x:c r="C94" s="9" t="str">
        <x:v>AR-LF-B-A-TECH-1-B2-BRK-G0</x:v>
      </x:c>
      <x:c r="D94" s="9" t="str">
        <x:v>LF-B-A-TECH-1</x:v>
      </x:c>
      <x:c r="E94" s="9" t="str">
        <x:v>LF-B-A</x:v>
      </x:c>
      <x:c r="F94" s="9" t="str">
        <x:v>B2</x:v>
      </x:c>
      <x:c r="G94" s="9" t="str">
        <x:v>BRK</x:v>
      </x:c>
      <x:c r="H94" s="9" t="str">
        <x:v>RW08</x:v>
      </x:c>
      <x:c r="I94" s="17" t="str">
        <x:v>Residual and physical evidence</x:v>
      </x:c>
      <x:c r="J94" s="17" t="str">
        <x:v>Residual authority</x:v>
      </x:c>
      <x:c r="K94" s="17" t="str">
        <x:v>Public custody B</x:v>
      </x:c>
      <x:c r="L94" s="9" t="n">
        <x:v>0</x:v>
      </x:c>
      <x:c r="M94" s="9" t="n">
        <x:v>0</x:v>
      </x:c>
      <x:c r="N94" s="9" t="n">
        <x:v>0</x:v>
      </x:c>
      <x:c r="O94" s="9" t="n">
        <x:v>0</x:v>
      </x:c>
      <x:c r="P94" s="9" t="str">
        <x:v>UNSEALED / SOURCE-EMPTY</x:v>
      </x:c>
      <x:c r="Q94" s="9" t="n">
        <x:f>COUNTIFS($A$7:$A$1158,A94)</x:f>
        <x:v>1</x:v>
      </x:c>
    </x:row>
    <x:row r="95">
      <x:c r="A95" s="9" t="str">
        <x:v>EV-AR-RT-B-C-TECH-1-B2-INT-G0-RW01</x:v>
      </x:c>
      <x:c r="B95" s="9" t="str">
        <x:v>EV-AR-RT-B-C-TECH-1-B2-INT-G0</x:v>
      </x:c>
      <x:c r="C95" s="9" t="str">
        <x:v>AR-RT-B-C-TECH-1-B2-INT-G0</x:v>
      </x:c>
      <x:c r="D95" s="9" t="str">
        <x:v>RT-B-C-TECH-1</x:v>
      </x:c>
      <x:c r="E95" s="9" t="str">
        <x:v>RT-B-C</x:v>
      </x:c>
      <x:c r="F95" s="9" t="str">
        <x:v>B2</x:v>
      </x:c>
      <x:c r="G95" s="9" t="str">
        <x:v>INT</x:v>
      </x:c>
      <x:c r="H95" s="9" t="str">
        <x:v>RW01</x:v>
      </x:c>
      <x:c r="I95" s="17" t="str">
        <x:v>Primary raw stream</x:v>
      </x:c>
      <x:c r="J95" s="17" t="str">
        <x:v>Primary metrology</x:v>
      </x:c>
      <x:c r="K95" s="17" t="str">
        <x:v>Public custody A</x:v>
      </x:c>
      <x:c r="L95" s="9" t="n">
        <x:v>0</x:v>
      </x:c>
      <x:c r="M95" s="9" t="n">
        <x:v>0</x:v>
      </x:c>
      <x:c r="N95" s="9" t="n">
        <x:v>0</x:v>
      </x:c>
      <x:c r="O95" s="9" t="n">
        <x:v>0</x:v>
      </x:c>
      <x:c r="P95" s="9" t="str">
        <x:v>UNSEALED / SOURCE-EMPTY</x:v>
      </x:c>
      <x:c r="Q95" s="9" t="n">
        <x:f>COUNTIFS($A$7:$A$1158,A95)</x:f>
        <x:v>1</x:v>
      </x:c>
    </x:row>
    <x:row r="96">
      <x:c r="A96" s="9" t="str">
        <x:v>EV-AR-RT-B-C-TECH-1-B2-INT-G0-RW02</x:v>
      </x:c>
      <x:c r="B96" s="9" t="str">
        <x:v>EV-AR-RT-B-C-TECH-1-B2-INT-G0</x:v>
      </x:c>
      <x:c r="C96" s="9" t="str">
        <x:v>AR-RT-B-C-TECH-1-B2-INT-G0</x:v>
      </x:c>
      <x:c r="D96" s="9" t="str">
        <x:v>RT-B-C-TECH-1</x:v>
      </x:c>
      <x:c r="E96" s="9" t="str">
        <x:v>RT-B-C</x:v>
      </x:c>
      <x:c r="F96" s="9" t="str">
        <x:v>B2</x:v>
      </x:c>
      <x:c r="G96" s="9" t="str">
        <x:v>INT</x:v>
      </x:c>
      <x:c r="H96" s="9" t="str">
        <x:v>RW02</x:v>
      </x:c>
      <x:c r="I96" s="17" t="str">
        <x:v>Unlike witness stream</x:v>
      </x:c>
      <x:c r="J96" s="17" t="str">
        <x:v>Witness metrology</x:v>
      </x:c>
      <x:c r="K96" s="17" t="str">
        <x:v>Public custody B</x:v>
      </x:c>
      <x:c r="L96" s="9" t="n">
        <x:v>0</x:v>
      </x:c>
      <x:c r="M96" s="9" t="n">
        <x:v>0</x:v>
      </x:c>
      <x:c r="N96" s="9" t="n">
        <x:v>0</x:v>
      </x:c>
      <x:c r="O96" s="9" t="n">
        <x:v>0</x:v>
      </x:c>
      <x:c r="P96" s="9" t="str">
        <x:v>UNSEALED / SOURCE-EMPTY</x:v>
      </x:c>
      <x:c r="Q96" s="9" t="n">
        <x:f>COUNTIFS($A$7:$A$1158,A96)</x:f>
        <x:v>1</x:v>
      </x:c>
    </x:row>
    <x:row r="97">
      <x:c r="A97" s="9" t="str">
        <x:v>EV-AR-RT-B-C-TECH-1-B2-INT-G0-RW03</x:v>
      </x:c>
      <x:c r="B97" s="9" t="str">
        <x:v>EV-AR-RT-B-C-TECH-1-B2-INT-G0</x:v>
      </x:c>
      <x:c r="C97" s="9" t="str">
        <x:v>AR-RT-B-C-TECH-1-B2-INT-G0</x:v>
      </x:c>
      <x:c r="D97" s="9" t="str">
        <x:v>RT-B-C-TECH-1</x:v>
      </x:c>
      <x:c r="E97" s="9" t="str">
        <x:v>RT-B-C</x:v>
      </x:c>
      <x:c r="F97" s="9" t="str">
        <x:v>B2</x:v>
      </x:c>
      <x:c r="G97" s="9" t="str">
        <x:v>INT</x:v>
      </x:c>
      <x:c r="H97" s="9" t="str">
        <x:v>RW03</x:v>
      </x:c>
      <x:c r="I97" s="17" t="str">
        <x:v>Event clock and start traces</x:v>
      </x:c>
      <x:c r="J97" s="17" t="str">
        <x:v>Event clock authority</x:v>
      </x:c>
      <x:c r="K97" s="17" t="str">
        <x:v>Public custody C</x:v>
      </x:c>
      <x:c r="L97" s="9" t="n">
        <x:v>0</x:v>
      </x:c>
      <x:c r="M97" s="9" t="n">
        <x:v>0</x:v>
      </x:c>
      <x:c r="N97" s="9" t="n">
        <x:v>0</x:v>
      </x:c>
      <x:c r="O97" s="9" t="n">
        <x:v>0</x:v>
      </x:c>
      <x:c r="P97" s="9" t="str">
        <x:v>UNSEALED / SOURCE-EMPTY</x:v>
      </x:c>
      <x:c r="Q97" s="9" t="n">
        <x:f>COUNTIFS($A$7:$A$1158,A97)</x:f>
        <x:v>1</x:v>
      </x:c>
    </x:row>
    <x:row r="98">
      <x:c r="A98" s="9" t="str">
        <x:v>EV-AR-RT-B-C-TECH-1-B2-INT-G0-RW04</x:v>
      </x:c>
      <x:c r="B98" s="9" t="str">
        <x:v>EV-AR-RT-B-C-TECH-1-B2-INT-G0</x:v>
      </x:c>
      <x:c r="C98" s="9" t="str">
        <x:v>AR-RT-B-C-TECH-1-B2-INT-G0</x:v>
      </x:c>
      <x:c r="D98" s="9" t="str">
        <x:v>RT-B-C-TECH-1</x:v>
      </x:c>
      <x:c r="E98" s="9" t="str">
        <x:v>RT-B-C</x:v>
      </x:c>
      <x:c r="F98" s="9" t="str">
        <x:v>B2</x:v>
      </x:c>
      <x:c r="G98" s="9" t="str">
        <x:v>INT</x:v>
      </x:c>
      <x:c r="H98" s="9" t="str">
        <x:v>RW04</x:v>
      </x:c>
      <x:c r="I98" s="17" t="str">
        <x:v>Environmental boundary stream</x:v>
      </x:c>
      <x:c r="J98" s="17" t="str">
        <x:v>Site metrology</x:v>
      </x:c>
      <x:c r="K98" s="17" t="str">
        <x:v>Public custody D</x:v>
      </x:c>
      <x:c r="L98" s="9" t="n">
        <x:v>0</x:v>
      </x:c>
      <x:c r="M98" s="9" t="n">
        <x:v>0</x:v>
      </x:c>
      <x:c r="N98" s="9" t="n">
        <x:v>0</x:v>
      </x:c>
      <x:c r="O98" s="9" t="n">
        <x:v>0</x:v>
      </x:c>
      <x:c r="P98" s="9" t="str">
        <x:v>UNSEALED / SOURCE-EMPTY</x:v>
      </x:c>
      <x:c r="Q98" s="9" t="n">
        <x:f>COUNTIFS($A$7:$A$1158,A98)</x:f>
        <x:v>1</x:v>
      </x:c>
    </x:row>
    <x:row r="99">
      <x:c r="A99" s="9" t="str">
        <x:v>EV-AR-RT-B-C-TECH-1-B2-INT-G0-RW05</x:v>
      </x:c>
      <x:c r="B99" s="9" t="str">
        <x:v>EV-AR-RT-B-C-TECH-1-B2-INT-G0</x:v>
      </x:c>
      <x:c r="C99" s="9" t="str">
        <x:v>AR-RT-B-C-TECH-1-B2-INT-G0</x:v>
      </x:c>
      <x:c r="D99" s="9" t="str">
        <x:v>RT-B-C-TECH-1</x:v>
      </x:c>
      <x:c r="E99" s="9" t="str">
        <x:v>RT-B-C</x:v>
      </x:c>
      <x:c r="F99" s="9" t="str">
        <x:v>B2</x:v>
      </x:c>
      <x:c r="G99" s="9" t="str">
        <x:v>INT</x:v>
      </x:c>
      <x:c r="H99" s="9" t="str">
        <x:v>RW05</x:v>
      </x:c>
      <x:c r="I99" s="17" t="str">
        <x:v>Command and intervention log</x:v>
      </x:c>
      <x:c r="J99" s="17" t="str">
        <x:v>Safety authority</x:v>
      </x:c>
      <x:c r="K99" s="17" t="str">
        <x:v>Public custody E</x:v>
      </x:c>
      <x:c r="L99" s="9" t="n">
        <x:v>0</x:v>
      </x:c>
      <x:c r="M99" s="9" t="n">
        <x:v>0</x:v>
      </x:c>
      <x:c r="N99" s="9" t="n">
        <x:v>0</x:v>
      </x:c>
      <x:c r="O99" s="9" t="n">
        <x:v>0</x:v>
      </x:c>
      <x:c r="P99" s="9" t="str">
        <x:v>UNSEALED / SOURCE-EMPTY</x:v>
      </x:c>
      <x:c r="Q99" s="9" t="n">
        <x:f>COUNTIFS($A$7:$A$1158,A99)</x:f>
        <x:v>1</x:v>
      </x:c>
    </x:row>
    <x:row r="100">
      <x:c r="A100" s="9" t="str">
        <x:v>EV-AR-RT-B-C-TECH-1-B2-INT-G0-RW06</x:v>
      </x:c>
      <x:c r="B100" s="9" t="str">
        <x:v>EV-AR-RT-B-C-TECH-1-B2-INT-G0</x:v>
      </x:c>
      <x:c r="C100" s="9" t="str">
        <x:v>AR-RT-B-C-TECH-1-B2-INT-G0</x:v>
      </x:c>
      <x:c r="D100" s="9" t="str">
        <x:v>RT-B-C-TECH-1</x:v>
      </x:c>
      <x:c r="E100" s="9" t="str">
        <x:v>RT-B-C</x:v>
      </x:c>
      <x:c r="F100" s="9" t="str">
        <x:v>B2</x:v>
      </x:c>
      <x:c r="G100" s="9" t="str">
        <x:v>INT</x:v>
      </x:c>
      <x:c r="H100" s="9" t="str">
        <x:v>RW06</x:v>
      </x:c>
      <x:c r="I100" s="17" t="str">
        <x:v>Receiver service ledger</x:v>
      </x:c>
      <x:c r="J100" s="17" t="str">
        <x:v>Receiver authority</x:v>
      </x:c>
      <x:c r="K100" s="17" t="str">
        <x:v>Public custody F</x:v>
      </x:c>
      <x:c r="L100" s="9" t="n">
        <x:v>0</x:v>
      </x:c>
      <x:c r="M100" s="9" t="n">
        <x:v>0</x:v>
      </x:c>
      <x:c r="N100" s="9" t="n">
        <x:v>0</x:v>
      </x:c>
      <x:c r="O100" s="9" t="n">
        <x:v>0</x:v>
      </x:c>
      <x:c r="P100" s="9" t="str">
        <x:v>UNSEALED / SOURCE-EMPTY</x:v>
      </x:c>
      <x:c r="Q100" s="9" t="n">
        <x:f>COUNTIFS($A$7:$A$1158,A100)</x:f>
        <x:v>1</x:v>
      </x:c>
    </x:row>
    <x:row r="101">
      <x:c r="A101" s="9" t="str">
        <x:v>EV-AR-RT-B-C-TECH-1-B2-INT-G0-RW07</x:v>
      </x:c>
      <x:c r="B101" s="9" t="str">
        <x:v>EV-AR-RT-B-C-TECH-1-B2-INT-G0</x:v>
      </x:c>
      <x:c r="C101" s="9" t="str">
        <x:v>AR-RT-B-C-TECH-1-B2-INT-G0</x:v>
      </x:c>
      <x:c r="D101" s="9" t="str">
        <x:v>RT-B-C-TECH-1</x:v>
      </x:c>
      <x:c r="E101" s="9" t="str">
        <x:v>RT-B-C</x:v>
      </x:c>
      <x:c r="F101" s="9" t="str">
        <x:v>B2</x:v>
      </x:c>
      <x:c r="G101" s="9" t="str">
        <x:v>INT</x:v>
      </x:c>
      <x:c r="H101" s="9" t="str">
        <x:v>RW07</x:v>
      </x:c>
      <x:c r="I101" s="17" t="str">
        <x:v>Candidate interface telemetry</x:v>
      </x:c>
      <x:c r="J101" s="17" t="str">
        <x:v>Interface custodian</x:v>
      </x:c>
      <x:c r="K101" s="17" t="str">
        <x:v>Public custody A</x:v>
      </x:c>
      <x:c r="L101" s="9" t="n">
        <x:v>0</x:v>
      </x:c>
      <x:c r="M101" s="9" t="n">
        <x:v>0</x:v>
      </x:c>
      <x:c r="N101" s="9" t="n">
        <x:v>0</x:v>
      </x:c>
      <x:c r="O101" s="9" t="n">
        <x:v>0</x:v>
      </x:c>
      <x:c r="P101" s="9" t="str">
        <x:v>UNSEALED / SOURCE-EMPTY</x:v>
      </x:c>
      <x:c r="Q101" s="9" t="n">
        <x:f>COUNTIFS($A$7:$A$1158,A101)</x:f>
        <x:v>1</x:v>
      </x:c>
    </x:row>
    <x:row r="102">
      <x:c r="A102" s="9" t="str">
        <x:v>EV-AR-RT-B-C-TECH-1-B2-INT-G0-RW08</x:v>
      </x:c>
      <x:c r="B102" s="9" t="str">
        <x:v>EV-AR-RT-B-C-TECH-1-B2-INT-G0</x:v>
      </x:c>
      <x:c r="C102" s="9" t="str">
        <x:v>AR-RT-B-C-TECH-1-B2-INT-G0</x:v>
      </x:c>
      <x:c r="D102" s="9" t="str">
        <x:v>RT-B-C-TECH-1</x:v>
      </x:c>
      <x:c r="E102" s="9" t="str">
        <x:v>RT-B-C</x:v>
      </x:c>
      <x:c r="F102" s="9" t="str">
        <x:v>B2</x:v>
      </x:c>
      <x:c r="G102" s="9" t="str">
        <x:v>INT</x:v>
      </x:c>
      <x:c r="H102" s="9" t="str">
        <x:v>RW08</x:v>
      </x:c>
      <x:c r="I102" s="17" t="str">
        <x:v>Residual and physical evidence</x:v>
      </x:c>
      <x:c r="J102" s="17" t="str">
        <x:v>Residual authority</x:v>
      </x:c>
      <x:c r="K102" s="17" t="str">
        <x:v>Public custody B</x:v>
      </x:c>
      <x:c r="L102" s="9" t="n">
        <x:v>0</x:v>
      </x:c>
      <x:c r="M102" s="9" t="n">
        <x:v>0</x:v>
      </x:c>
      <x:c r="N102" s="9" t="n">
        <x:v>0</x:v>
      </x:c>
      <x:c r="O102" s="9" t="n">
        <x:v>0</x:v>
      </x:c>
      <x:c r="P102" s="9" t="str">
        <x:v>UNSEALED / SOURCE-EMPTY</x:v>
      </x:c>
      <x:c r="Q102" s="9" t="n">
        <x:f>COUNTIFS($A$7:$A$1158,A102)</x:f>
        <x:v>1</x:v>
      </x:c>
    </x:row>
    <x:row r="103">
      <x:c r="A103" s="9" t="str">
        <x:v>EV-AR-ET-A-A-TECH-4-B2-BRK-G0-RW01</x:v>
      </x:c>
      <x:c r="B103" s="9" t="str">
        <x:v>EV-AR-ET-A-A-TECH-4-B2-BRK-G0</x:v>
      </x:c>
      <x:c r="C103" s="9" t="str">
        <x:v>AR-ET-A-A-TECH-4-B2-BRK-G0</x:v>
      </x:c>
      <x:c r="D103" s="9" t="str">
        <x:v>ET-A-A-TECH-4</x:v>
      </x:c>
      <x:c r="E103" s="9" t="str">
        <x:v>ET-A-A</x:v>
      </x:c>
      <x:c r="F103" s="9" t="str">
        <x:v>B2</x:v>
      </x:c>
      <x:c r="G103" s="9" t="str">
        <x:v>BRK</x:v>
      </x:c>
      <x:c r="H103" s="9" t="str">
        <x:v>RW01</x:v>
      </x:c>
      <x:c r="I103" s="17" t="str">
        <x:v>Primary raw stream</x:v>
      </x:c>
      <x:c r="J103" s="17" t="str">
        <x:v>Primary metrology</x:v>
      </x:c>
      <x:c r="K103" s="17" t="str">
        <x:v>Public custody A</x:v>
      </x:c>
      <x:c r="L103" s="9" t="n">
        <x:v>0</x:v>
      </x:c>
      <x:c r="M103" s="9" t="n">
        <x:v>0</x:v>
      </x:c>
      <x:c r="N103" s="9" t="n">
        <x:v>0</x:v>
      </x:c>
      <x:c r="O103" s="9" t="n">
        <x:v>0</x:v>
      </x:c>
      <x:c r="P103" s="9" t="str">
        <x:v>UNSEALED / SOURCE-EMPTY</x:v>
      </x:c>
      <x:c r="Q103" s="9" t="n">
        <x:f>COUNTIFS($A$7:$A$1158,A103)</x:f>
        <x:v>1</x:v>
      </x:c>
    </x:row>
    <x:row r="104">
      <x:c r="A104" s="9" t="str">
        <x:v>EV-AR-ET-A-A-TECH-4-B2-BRK-G0-RW02</x:v>
      </x:c>
      <x:c r="B104" s="9" t="str">
        <x:v>EV-AR-ET-A-A-TECH-4-B2-BRK-G0</x:v>
      </x:c>
      <x:c r="C104" s="9" t="str">
        <x:v>AR-ET-A-A-TECH-4-B2-BRK-G0</x:v>
      </x:c>
      <x:c r="D104" s="9" t="str">
        <x:v>ET-A-A-TECH-4</x:v>
      </x:c>
      <x:c r="E104" s="9" t="str">
        <x:v>ET-A-A</x:v>
      </x:c>
      <x:c r="F104" s="9" t="str">
        <x:v>B2</x:v>
      </x:c>
      <x:c r="G104" s="9" t="str">
        <x:v>BRK</x:v>
      </x:c>
      <x:c r="H104" s="9" t="str">
        <x:v>RW02</x:v>
      </x:c>
      <x:c r="I104" s="17" t="str">
        <x:v>Unlike witness stream</x:v>
      </x:c>
      <x:c r="J104" s="17" t="str">
        <x:v>Witness metrology</x:v>
      </x:c>
      <x:c r="K104" s="17" t="str">
        <x:v>Public custody B</x:v>
      </x:c>
      <x:c r="L104" s="9" t="n">
        <x:v>0</x:v>
      </x:c>
      <x:c r="M104" s="9" t="n">
        <x:v>0</x:v>
      </x:c>
      <x:c r="N104" s="9" t="n">
        <x:v>0</x:v>
      </x:c>
      <x:c r="O104" s="9" t="n">
        <x:v>0</x:v>
      </x:c>
      <x:c r="P104" s="9" t="str">
        <x:v>UNSEALED / SOURCE-EMPTY</x:v>
      </x:c>
      <x:c r="Q104" s="9" t="n">
        <x:f>COUNTIFS($A$7:$A$1158,A104)</x:f>
        <x:v>1</x:v>
      </x:c>
    </x:row>
    <x:row r="105">
      <x:c r="A105" s="9" t="str">
        <x:v>EV-AR-ET-A-A-TECH-4-B2-BRK-G0-RW03</x:v>
      </x:c>
      <x:c r="B105" s="9" t="str">
        <x:v>EV-AR-ET-A-A-TECH-4-B2-BRK-G0</x:v>
      </x:c>
      <x:c r="C105" s="9" t="str">
        <x:v>AR-ET-A-A-TECH-4-B2-BRK-G0</x:v>
      </x:c>
      <x:c r="D105" s="9" t="str">
        <x:v>ET-A-A-TECH-4</x:v>
      </x:c>
      <x:c r="E105" s="9" t="str">
        <x:v>ET-A-A</x:v>
      </x:c>
      <x:c r="F105" s="9" t="str">
        <x:v>B2</x:v>
      </x:c>
      <x:c r="G105" s="9" t="str">
        <x:v>BRK</x:v>
      </x:c>
      <x:c r="H105" s="9" t="str">
        <x:v>RW03</x:v>
      </x:c>
      <x:c r="I105" s="17" t="str">
        <x:v>Event clock and start traces</x:v>
      </x:c>
      <x:c r="J105" s="17" t="str">
        <x:v>Event clock authority</x:v>
      </x:c>
      <x:c r="K105" s="17" t="str">
        <x:v>Public custody C</x:v>
      </x:c>
      <x:c r="L105" s="9" t="n">
        <x:v>0</x:v>
      </x:c>
      <x:c r="M105" s="9" t="n">
        <x:v>0</x:v>
      </x:c>
      <x:c r="N105" s="9" t="n">
        <x:v>0</x:v>
      </x:c>
      <x:c r="O105" s="9" t="n">
        <x:v>0</x:v>
      </x:c>
      <x:c r="P105" s="9" t="str">
        <x:v>UNSEALED / SOURCE-EMPTY</x:v>
      </x:c>
      <x:c r="Q105" s="9" t="n">
        <x:f>COUNTIFS($A$7:$A$1158,A105)</x:f>
        <x:v>1</x:v>
      </x:c>
    </x:row>
    <x:row r="106">
      <x:c r="A106" s="9" t="str">
        <x:v>EV-AR-ET-A-A-TECH-4-B2-BRK-G0-RW04</x:v>
      </x:c>
      <x:c r="B106" s="9" t="str">
        <x:v>EV-AR-ET-A-A-TECH-4-B2-BRK-G0</x:v>
      </x:c>
      <x:c r="C106" s="9" t="str">
        <x:v>AR-ET-A-A-TECH-4-B2-BRK-G0</x:v>
      </x:c>
      <x:c r="D106" s="9" t="str">
        <x:v>ET-A-A-TECH-4</x:v>
      </x:c>
      <x:c r="E106" s="9" t="str">
        <x:v>ET-A-A</x:v>
      </x:c>
      <x:c r="F106" s="9" t="str">
        <x:v>B2</x:v>
      </x:c>
      <x:c r="G106" s="9" t="str">
        <x:v>BRK</x:v>
      </x:c>
      <x:c r="H106" s="9" t="str">
        <x:v>RW04</x:v>
      </x:c>
      <x:c r="I106" s="17" t="str">
        <x:v>Environmental boundary stream</x:v>
      </x:c>
      <x:c r="J106" s="17" t="str">
        <x:v>Site metrology</x:v>
      </x:c>
      <x:c r="K106" s="17" t="str">
        <x:v>Public custody D</x:v>
      </x:c>
      <x:c r="L106" s="9" t="n">
        <x:v>0</x:v>
      </x:c>
      <x:c r="M106" s="9" t="n">
        <x:v>0</x:v>
      </x:c>
      <x:c r="N106" s="9" t="n">
        <x:v>0</x:v>
      </x:c>
      <x:c r="O106" s="9" t="n">
        <x:v>0</x:v>
      </x:c>
      <x:c r="P106" s="9" t="str">
        <x:v>UNSEALED / SOURCE-EMPTY</x:v>
      </x:c>
      <x:c r="Q106" s="9" t="n">
        <x:f>COUNTIFS($A$7:$A$1158,A106)</x:f>
        <x:v>1</x:v>
      </x:c>
    </x:row>
    <x:row r="107">
      <x:c r="A107" s="9" t="str">
        <x:v>EV-AR-ET-A-A-TECH-4-B2-BRK-G0-RW05</x:v>
      </x:c>
      <x:c r="B107" s="9" t="str">
        <x:v>EV-AR-ET-A-A-TECH-4-B2-BRK-G0</x:v>
      </x:c>
      <x:c r="C107" s="9" t="str">
        <x:v>AR-ET-A-A-TECH-4-B2-BRK-G0</x:v>
      </x:c>
      <x:c r="D107" s="9" t="str">
        <x:v>ET-A-A-TECH-4</x:v>
      </x:c>
      <x:c r="E107" s="9" t="str">
        <x:v>ET-A-A</x:v>
      </x:c>
      <x:c r="F107" s="9" t="str">
        <x:v>B2</x:v>
      </x:c>
      <x:c r="G107" s="9" t="str">
        <x:v>BRK</x:v>
      </x:c>
      <x:c r="H107" s="9" t="str">
        <x:v>RW05</x:v>
      </x:c>
      <x:c r="I107" s="17" t="str">
        <x:v>Command and intervention log</x:v>
      </x:c>
      <x:c r="J107" s="17" t="str">
        <x:v>Safety authority</x:v>
      </x:c>
      <x:c r="K107" s="17" t="str">
        <x:v>Public custody E</x:v>
      </x:c>
      <x:c r="L107" s="9" t="n">
        <x:v>0</x:v>
      </x:c>
      <x:c r="M107" s="9" t="n">
        <x:v>0</x:v>
      </x:c>
      <x:c r="N107" s="9" t="n">
        <x:v>0</x:v>
      </x:c>
      <x:c r="O107" s="9" t="n">
        <x:v>0</x:v>
      </x:c>
      <x:c r="P107" s="9" t="str">
        <x:v>UNSEALED / SOURCE-EMPTY</x:v>
      </x:c>
      <x:c r="Q107" s="9" t="n">
        <x:f>COUNTIFS($A$7:$A$1158,A107)</x:f>
        <x:v>1</x:v>
      </x:c>
    </x:row>
    <x:row r="108">
      <x:c r="A108" s="9" t="str">
        <x:v>EV-AR-ET-A-A-TECH-4-B2-BRK-G0-RW06</x:v>
      </x:c>
      <x:c r="B108" s="9" t="str">
        <x:v>EV-AR-ET-A-A-TECH-4-B2-BRK-G0</x:v>
      </x:c>
      <x:c r="C108" s="9" t="str">
        <x:v>AR-ET-A-A-TECH-4-B2-BRK-G0</x:v>
      </x:c>
      <x:c r="D108" s="9" t="str">
        <x:v>ET-A-A-TECH-4</x:v>
      </x:c>
      <x:c r="E108" s="9" t="str">
        <x:v>ET-A-A</x:v>
      </x:c>
      <x:c r="F108" s="9" t="str">
        <x:v>B2</x:v>
      </x:c>
      <x:c r="G108" s="9" t="str">
        <x:v>BRK</x:v>
      </x:c>
      <x:c r="H108" s="9" t="str">
        <x:v>RW06</x:v>
      </x:c>
      <x:c r="I108" s="17" t="str">
        <x:v>Receiver service ledger</x:v>
      </x:c>
      <x:c r="J108" s="17" t="str">
        <x:v>Receiver authority</x:v>
      </x:c>
      <x:c r="K108" s="17" t="str">
        <x:v>Public custody F</x:v>
      </x:c>
      <x:c r="L108" s="9" t="n">
        <x:v>0</x:v>
      </x:c>
      <x:c r="M108" s="9" t="n">
        <x:v>0</x:v>
      </x:c>
      <x:c r="N108" s="9" t="n">
        <x:v>0</x:v>
      </x:c>
      <x:c r="O108" s="9" t="n">
        <x:v>0</x:v>
      </x:c>
      <x:c r="P108" s="9" t="str">
        <x:v>UNSEALED / SOURCE-EMPTY</x:v>
      </x:c>
      <x:c r="Q108" s="9" t="n">
        <x:f>COUNTIFS($A$7:$A$1158,A108)</x:f>
        <x:v>1</x:v>
      </x:c>
    </x:row>
    <x:row r="109">
      <x:c r="A109" s="9" t="str">
        <x:v>EV-AR-ET-A-A-TECH-4-B2-BRK-G0-RW07</x:v>
      </x:c>
      <x:c r="B109" s="9" t="str">
        <x:v>EV-AR-ET-A-A-TECH-4-B2-BRK-G0</x:v>
      </x:c>
      <x:c r="C109" s="9" t="str">
        <x:v>AR-ET-A-A-TECH-4-B2-BRK-G0</x:v>
      </x:c>
      <x:c r="D109" s="9" t="str">
        <x:v>ET-A-A-TECH-4</x:v>
      </x:c>
      <x:c r="E109" s="9" t="str">
        <x:v>ET-A-A</x:v>
      </x:c>
      <x:c r="F109" s="9" t="str">
        <x:v>B2</x:v>
      </x:c>
      <x:c r="G109" s="9" t="str">
        <x:v>BRK</x:v>
      </x:c>
      <x:c r="H109" s="9" t="str">
        <x:v>RW07</x:v>
      </x:c>
      <x:c r="I109" s="17" t="str">
        <x:v>Candidate interface telemetry</x:v>
      </x:c>
      <x:c r="J109" s="17" t="str">
        <x:v>Interface custodian</x:v>
      </x:c>
      <x:c r="K109" s="17" t="str">
        <x:v>Public custody A</x:v>
      </x:c>
      <x:c r="L109" s="9" t="n">
        <x:v>0</x:v>
      </x:c>
      <x:c r="M109" s="9" t="n">
        <x:v>0</x:v>
      </x:c>
      <x:c r="N109" s="9" t="n">
        <x:v>0</x:v>
      </x:c>
      <x:c r="O109" s="9" t="n">
        <x:v>0</x:v>
      </x:c>
      <x:c r="P109" s="9" t="str">
        <x:v>UNSEALED / SOURCE-EMPTY</x:v>
      </x:c>
      <x:c r="Q109" s="9" t="n">
        <x:f>COUNTIFS($A$7:$A$1158,A109)</x:f>
        <x:v>1</x:v>
      </x:c>
    </x:row>
    <x:row r="110">
      <x:c r="A110" s="9" t="str">
        <x:v>EV-AR-ET-A-A-TECH-4-B2-BRK-G0-RW08</x:v>
      </x:c>
      <x:c r="B110" s="9" t="str">
        <x:v>EV-AR-ET-A-A-TECH-4-B2-BRK-G0</x:v>
      </x:c>
      <x:c r="C110" s="9" t="str">
        <x:v>AR-ET-A-A-TECH-4-B2-BRK-G0</x:v>
      </x:c>
      <x:c r="D110" s="9" t="str">
        <x:v>ET-A-A-TECH-4</x:v>
      </x:c>
      <x:c r="E110" s="9" t="str">
        <x:v>ET-A-A</x:v>
      </x:c>
      <x:c r="F110" s="9" t="str">
        <x:v>B2</x:v>
      </x:c>
      <x:c r="G110" s="9" t="str">
        <x:v>BRK</x:v>
      </x:c>
      <x:c r="H110" s="9" t="str">
        <x:v>RW08</x:v>
      </x:c>
      <x:c r="I110" s="17" t="str">
        <x:v>Residual and physical evidence</x:v>
      </x:c>
      <x:c r="J110" s="17" t="str">
        <x:v>Residual authority</x:v>
      </x:c>
      <x:c r="K110" s="17" t="str">
        <x:v>Public custody B</x:v>
      </x:c>
      <x:c r="L110" s="9" t="n">
        <x:v>0</x:v>
      </x:c>
      <x:c r="M110" s="9" t="n">
        <x:v>0</x:v>
      </x:c>
      <x:c r="N110" s="9" t="n">
        <x:v>0</x:v>
      </x:c>
      <x:c r="O110" s="9" t="n">
        <x:v>0</x:v>
      </x:c>
      <x:c r="P110" s="9" t="str">
        <x:v>UNSEALED / SOURCE-EMPTY</x:v>
      </x:c>
      <x:c r="Q110" s="9" t="n">
        <x:f>COUNTIFS($A$7:$A$1158,A110)</x:f>
        <x:v>1</x:v>
      </x:c>
    </x:row>
    <x:row r="111">
      <x:c r="A111" s="9" t="str">
        <x:v>EV-AR-ET-A-A-TECH-3-B1-RCN-G0-RW01</x:v>
      </x:c>
      <x:c r="B111" s="9" t="str">
        <x:v>EV-AR-ET-A-A-TECH-3-B1-RCN-G0</x:v>
      </x:c>
      <x:c r="C111" s="9" t="str">
        <x:v>AR-ET-A-A-TECH-3-B1-RCN-G0</x:v>
      </x:c>
      <x:c r="D111" s="9" t="str">
        <x:v>ET-A-A-TECH-3</x:v>
      </x:c>
      <x:c r="E111" s="9" t="str">
        <x:v>ET-A-A</x:v>
      </x:c>
      <x:c r="F111" s="9" t="str">
        <x:v>B1</x:v>
      </x:c>
      <x:c r="G111" s="9" t="str">
        <x:v>RCN</x:v>
      </x:c>
      <x:c r="H111" s="9" t="str">
        <x:v>RW01</x:v>
      </x:c>
      <x:c r="I111" s="17" t="str">
        <x:v>Primary raw stream</x:v>
      </x:c>
      <x:c r="J111" s="17" t="str">
        <x:v>Primary metrology</x:v>
      </x:c>
      <x:c r="K111" s="17" t="str">
        <x:v>Public custody A</x:v>
      </x:c>
      <x:c r="L111" s="9" t="n">
        <x:v>0</x:v>
      </x:c>
      <x:c r="M111" s="9" t="n">
        <x:v>0</x:v>
      </x:c>
      <x:c r="N111" s="9" t="n">
        <x:v>0</x:v>
      </x:c>
      <x:c r="O111" s="9" t="n">
        <x:v>0</x:v>
      </x:c>
      <x:c r="P111" s="9" t="str">
        <x:v>UNSEALED / SOURCE-EMPTY</x:v>
      </x:c>
      <x:c r="Q111" s="9" t="n">
        <x:f>COUNTIFS($A$7:$A$1158,A111)</x:f>
        <x:v>1</x:v>
      </x:c>
    </x:row>
    <x:row r="112">
      <x:c r="A112" s="9" t="str">
        <x:v>EV-AR-ET-A-A-TECH-3-B1-RCN-G0-RW02</x:v>
      </x:c>
      <x:c r="B112" s="9" t="str">
        <x:v>EV-AR-ET-A-A-TECH-3-B1-RCN-G0</x:v>
      </x:c>
      <x:c r="C112" s="9" t="str">
        <x:v>AR-ET-A-A-TECH-3-B1-RCN-G0</x:v>
      </x:c>
      <x:c r="D112" s="9" t="str">
        <x:v>ET-A-A-TECH-3</x:v>
      </x:c>
      <x:c r="E112" s="9" t="str">
        <x:v>ET-A-A</x:v>
      </x:c>
      <x:c r="F112" s="9" t="str">
        <x:v>B1</x:v>
      </x:c>
      <x:c r="G112" s="9" t="str">
        <x:v>RCN</x:v>
      </x:c>
      <x:c r="H112" s="9" t="str">
        <x:v>RW02</x:v>
      </x:c>
      <x:c r="I112" s="17" t="str">
        <x:v>Unlike witness stream</x:v>
      </x:c>
      <x:c r="J112" s="17" t="str">
        <x:v>Witness metrology</x:v>
      </x:c>
      <x:c r="K112" s="17" t="str">
        <x:v>Public custody B</x:v>
      </x:c>
      <x:c r="L112" s="9" t="n">
        <x:v>0</x:v>
      </x:c>
      <x:c r="M112" s="9" t="n">
        <x:v>0</x:v>
      </x:c>
      <x:c r="N112" s="9" t="n">
        <x:v>0</x:v>
      </x:c>
      <x:c r="O112" s="9" t="n">
        <x:v>0</x:v>
      </x:c>
      <x:c r="P112" s="9" t="str">
        <x:v>UNSEALED / SOURCE-EMPTY</x:v>
      </x:c>
      <x:c r="Q112" s="9" t="n">
        <x:f>COUNTIFS($A$7:$A$1158,A112)</x:f>
        <x:v>1</x:v>
      </x:c>
    </x:row>
    <x:row r="113">
      <x:c r="A113" s="9" t="str">
        <x:v>EV-AR-ET-A-A-TECH-3-B1-RCN-G0-RW03</x:v>
      </x:c>
      <x:c r="B113" s="9" t="str">
        <x:v>EV-AR-ET-A-A-TECH-3-B1-RCN-G0</x:v>
      </x:c>
      <x:c r="C113" s="9" t="str">
        <x:v>AR-ET-A-A-TECH-3-B1-RCN-G0</x:v>
      </x:c>
      <x:c r="D113" s="9" t="str">
        <x:v>ET-A-A-TECH-3</x:v>
      </x:c>
      <x:c r="E113" s="9" t="str">
        <x:v>ET-A-A</x:v>
      </x:c>
      <x:c r="F113" s="9" t="str">
        <x:v>B1</x:v>
      </x:c>
      <x:c r="G113" s="9" t="str">
        <x:v>RCN</x:v>
      </x:c>
      <x:c r="H113" s="9" t="str">
        <x:v>RW03</x:v>
      </x:c>
      <x:c r="I113" s="17" t="str">
        <x:v>Event clock and start traces</x:v>
      </x:c>
      <x:c r="J113" s="17" t="str">
        <x:v>Event clock authority</x:v>
      </x:c>
      <x:c r="K113" s="17" t="str">
        <x:v>Public custody C</x:v>
      </x:c>
      <x:c r="L113" s="9" t="n">
        <x:v>0</x:v>
      </x:c>
      <x:c r="M113" s="9" t="n">
        <x:v>0</x:v>
      </x:c>
      <x:c r="N113" s="9" t="n">
        <x:v>0</x:v>
      </x:c>
      <x:c r="O113" s="9" t="n">
        <x:v>0</x:v>
      </x:c>
      <x:c r="P113" s="9" t="str">
        <x:v>UNSEALED / SOURCE-EMPTY</x:v>
      </x:c>
      <x:c r="Q113" s="9" t="n">
        <x:f>COUNTIFS($A$7:$A$1158,A113)</x:f>
        <x:v>1</x:v>
      </x:c>
    </x:row>
    <x:row r="114">
      <x:c r="A114" s="9" t="str">
        <x:v>EV-AR-ET-A-A-TECH-3-B1-RCN-G0-RW04</x:v>
      </x:c>
      <x:c r="B114" s="9" t="str">
        <x:v>EV-AR-ET-A-A-TECH-3-B1-RCN-G0</x:v>
      </x:c>
      <x:c r="C114" s="9" t="str">
        <x:v>AR-ET-A-A-TECH-3-B1-RCN-G0</x:v>
      </x:c>
      <x:c r="D114" s="9" t="str">
        <x:v>ET-A-A-TECH-3</x:v>
      </x:c>
      <x:c r="E114" s="9" t="str">
        <x:v>ET-A-A</x:v>
      </x:c>
      <x:c r="F114" s="9" t="str">
        <x:v>B1</x:v>
      </x:c>
      <x:c r="G114" s="9" t="str">
        <x:v>RCN</x:v>
      </x:c>
      <x:c r="H114" s="9" t="str">
        <x:v>RW04</x:v>
      </x:c>
      <x:c r="I114" s="17" t="str">
        <x:v>Environmental boundary stream</x:v>
      </x:c>
      <x:c r="J114" s="17" t="str">
        <x:v>Site metrology</x:v>
      </x:c>
      <x:c r="K114" s="17" t="str">
        <x:v>Public custody D</x:v>
      </x:c>
      <x:c r="L114" s="9" t="n">
        <x:v>0</x:v>
      </x:c>
      <x:c r="M114" s="9" t="n">
        <x:v>0</x:v>
      </x:c>
      <x:c r="N114" s="9" t="n">
        <x:v>0</x:v>
      </x:c>
      <x:c r="O114" s="9" t="n">
        <x:v>0</x:v>
      </x:c>
      <x:c r="P114" s="9" t="str">
        <x:v>UNSEALED / SOURCE-EMPTY</x:v>
      </x:c>
      <x:c r="Q114" s="9" t="n">
        <x:f>COUNTIFS($A$7:$A$1158,A114)</x:f>
        <x:v>1</x:v>
      </x:c>
    </x:row>
    <x:row r="115">
      <x:c r="A115" s="9" t="str">
        <x:v>EV-AR-ET-A-A-TECH-3-B1-RCN-G0-RW05</x:v>
      </x:c>
      <x:c r="B115" s="9" t="str">
        <x:v>EV-AR-ET-A-A-TECH-3-B1-RCN-G0</x:v>
      </x:c>
      <x:c r="C115" s="9" t="str">
        <x:v>AR-ET-A-A-TECH-3-B1-RCN-G0</x:v>
      </x:c>
      <x:c r="D115" s="9" t="str">
        <x:v>ET-A-A-TECH-3</x:v>
      </x:c>
      <x:c r="E115" s="9" t="str">
        <x:v>ET-A-A</x:v>
      </x:c>
      <x:c r="F115" s="9" t="str">
        <x:v>B1</x:v>
      </x:c>
      <x:c r="G115" s="9" t="str">
        <x:v>RCN</x:v>
      </x:c>
      <x:c r="H115" s="9" t="str">
        <x:v>RW05</x:v>
      </x:c>
      <x:c r="I115" s="17" t="str">
        <x:v>Command and intervention log</x:v>
      </x:c>
      <x:c r="J115" s="17" t="str">
        <x:v>Safety authority</x:v>
      </x:c>
      <x:c r="K115" s="17" t="str">
        <x:v>Public custody E</x:v>
      </x:c>
      <x:c r="L115" s="9" t="n">
        <x:v>0</x:v>
      </x:c>
      <x:c r="M115" s="9" t="n">
        <x:v>0</x:v>
      </x:c>
      <x:c r="N115" s="9" t="n">
        <x:v>0</x:v>
      </x:c>
      <x:c r="O115" s="9" t="n">
        <x:v>0</x:v>
      </x:c>
      <x:c r="P115" s="9" t="str">
        <x:v>UNSEALED / SOURCE-EMPTY</x:v>
      </x:c>
      <x:c r="Q115" s="9" t="n">
        <x:f>COUNTIFS($A$7:$A$1158,A115)</x:f>
        <x:v>1</x:v>
      </x:c>
    </x:row>
    <x:row r="116">
      <x:c r="A116" s="9" t="str">
        <x:v>EV-AR-ET-A-A-TECH-3-B1-RCN-G0-RW06</x:v>
      </x:c>
      <x:c r="B116" s="9" t="str">
        <x:v>EV-AR-ET-A-A-TECH-3-B1-RCN-G0</x:v>
      </x:c>
      <x:c r="C116" s="9" t="str">
        <x:v>AR-ET-A-A-TECH-3-B1-RCN-G0</x:v>
      </x:c>
      <x:c r="D116" s="9" t="str">
        <x:v>ET-A-A-TECH-3</x:v>
      </x:c>
      <x:c r="E116" s="9" t="str">
        <x:v>ET-A-A</x:v>
      </x:c>
      <x:c r="F116" s="9" t="str">
        <x:v>B1</x:v>
      </x:c>
      <x:c r="G116" s="9" t="str">
        <x:v>RCN</x:v>
      </x:c>
      <x:c r="H116" s="9" t="str">
        <x:v>RW06</x:v>
      </x:c>
      <x:c r="I116" s="17" t="str">
        <x:v>Receiver service ledger</x:v>
      </x:c>
      <x:c r="J116" s="17" t="str">
        <x:v>Receiver authority</x:v>
      </x:c>
      <x:c r="K116" s="17" t="str">
        <x:v>Public custody F</x:v>
      </x:c>
      <x:c r="L116" s="9" t="n">
        <x:v>0</x:v>
      </x:c>
      <x:c r="M116" s="9" t="n">
        <x:v>0</x:v>
      </x:c>
      <x:c r="N116" s="9" t="n">
        <x:v>0</x:v>
      </x:c>
      <x:c r="O116" s="9" t="n">
        <x:v>0</x:v>
      </x:c>
      <x:c r="P116" s="9" t="str">
        <x:v>UNSEALED / SOURCE-EMPTY</x:v>
      </x:c>
      <x:c r="Q116" s="9" t="n">
        <x:f>COUNTIFS($A$7:$A$1158,A116)</x:f>
        <x:v>1</x:v>
      </x:c>
    </x:row>
    <x:row r="117">
      <x:c r="A117" s="9" t="str">
        <x:v>EV-AR-ET-A-A-TECH-3-B1-RCN-G0-RW07</x:v>
      </x:c>
      <x:c r="B117" s="9" t="str">
        <x:v>EV-AR-ET-A-A-TECH-3-B1-RCN-G0</x:v>
      </x:c>
      <x:c r="C117" s="9" t="str">
        <x:v>AR-ET-A-A-TECH-3-B1-RCN-G0</x:v>
      </x:c>
      <x:c r="D117" s="9" t="str">
        <x:v>ET-A-A-TECH-3</x:v>
      </x:c>
      <x:c r="E117" s="9" t="str">
        <x:v>ET-A-A</x:v>
      </x:c>
      <x:c r="F117" s="9" t="str">
        <x:v>B1</x:v>
      </x:c>
      <x:c r="G117" s="9" t="str">
        <x:v>RCN</x:v>
      </x:c>
      <x:c r="H117" s="9" t="str">
        <x:v>RW07</x:v>
      </x:c>
      <x:c r="I117" s="17" t="str">
        <x:v>Candidate interface telemetry</x:v>
      </x:c>
      <x:c r="J117" s="17" t="str">
        <x:v>Interface custodian</x:v>
      </x:c>
      <x:c r="K117" s="17" t="str">
        <x:v>Public custody A</x:v>
      </x:c>
      <x:c r="L117" s="9" t="n">
        <x:v>0</x:v>
      </x:c>
      <x:c r="M117" s="9" t="n">
        <x:v>0</x:v>
      </x:c>
      <x:c r="N117" s="9" t="n">
        <x:v>0</x:v>
      </x:c>
      <x:c r="O117" s="9" t="n">
        <x:v>0</x:v>
      </x:c>
      <x:c r="P117" s="9" t="str">
        <x:v>UNSEALED / SOURCE-EMPTY</x:v>
      </x:c>
      <x:c r="Q117" s="9" t="n">
        <x:f>COUNTIFS($A$7:$A$1158,A117)</x:f>
        <x:v>1</x:v>
      </x:c>
    </x:row>
    <x:row r="118">
      <x:c r="A118" s="9" t="str">
        <x:v>EV-AR-ET-A-A-TECH-3-B1-RCN-G0-RW08</x:v>
      </x:c>
      <x:c r="B118" s="9" t="str">
        <x:v>EV-AR-ET-A-A-TECH-3-B1-RCN-G0</x:v>
      </x:c>
      <x:c r="C118" s="9" t="str">
        <x:v>AR-ET-A-A-TECH-3-B1-RCN-G0</x:v>
      </x:c>
      <x:c r="D118" s="9" t="str">
        <x:v>ET-A-A-TECH-3</x:v>
      </x:c>
      <x:c r="E118" s="9" t="str">
        <x:v>ET-A-A</x:v>
      </x:c>
      <x:c r="F118" s="9" t="str">
        <x:v>B1</x:v>
      </x:c>
      <x:c r="G118" s="9" t="str">
        <x:v>RCN</x:v>
      </x:c>
      <x:c r="H118" s="9" t="str">
        <x:v>RW08</x:v>
      </x:c>
      <x:c r="I118" s="17" t="str">
        <x:v>Residual and physical evidence</x:v>
      </x:c>
      <x:c r="J118" s="17" t="str">
        <x:v>Residual authority</x:v>
      </x:c>
      <x:c r="K118" s="17" t="str">
        <x:v>Public custody B</x:v>
      </x:c>
      <x:c r="L118" s="9" t="n">
        <x:v>0</x:v>
      </x:c>
      <x:c r="M118" s="9" t="n">
        <x:v>0</x:v>
      </x:c>
      <x:c r="N118" s="9" t="n">
        <x:v>0</x:v>
      </x:c>
      <x:c r="O118" s="9" t="n">
        <x:v>0</x:v>
      </x:c>
      <x:c r="P118" s="9" t="str">
        <x:v>UNSEALED / SOURCE-EMPTY</x:v>
      </x:c>
      <x:c r="Q118" s="9" t="n">
        <x:f>COUNTIFS($A$7:$A$1158,A118)</x:f>
        <x:v>1</x:v>
      </x:c>
    </x:row>
    <x:row r="119">
      <x:c r="A119" s="9" t="str">
        <x:v>EV-AR-HC-A-C-TECH-4-B2-INT-G0-RW01</x:v>
      </x:c>
      <x:c r="B119" s="9" t="str">
        <x:v>EV-AR-HC-A-C-TECH-4-B2-INT-G0</x:v>
      </x:c>
      <x:c r="C119" s="9" t="str">
        <x:v>AR-HC-A-C-TECH-4-B2-INT-G0</x:v>
      </x:c>
      <x:c r="D119" s="9" t="str">
        <x:v>HC-A-C-TECH-4</x:v>
      </x:c>
      <x:c r="E119" s="9" t="str">
        <x:v>HC-A-C</x:v>
      </x:c>
      <x:c r="F119" s="9" t="str">
        <x:v>B2</x:v>
      </x:c>
      <x:c r="G119" s="9" t="str">
        <x:v>INT</x:v>
      </x:c>
      <x:c r="H119" s="9" t="str">
        <x:v>RW01</x:v>
      </x:c>
      <x:c r="I119" s="17" t="str">
        <x:v>Primary raw stream</x:v>
      </x:c>
      <x:c r="J119" s="17" t="str">
        <x:v>Primary metrology</x:v>
      </x:c>
      <x:c r="K119" s="17" t="str">
        <x:v>Public custody A</x:v>
      </x:c>
      <x:c r="L119" s="9" t="n">
        <x:v>0</x:v>
      </x:c>
      <x:c r="M119" s="9" t="n">
        <x:v>0</x:v>
      </x:c>
      <x:c r="N119" s="9" t="n">
        <x:v>0</x:v>
      </x:c>
      <x:c r="O119" s="9" t="n">
        <x:v>0</x:v>
      </x:c>
      <x:c r="P119" s="9" t="str">
        <x:v>UNSEALED / SOURCE-EMPTY</x:v>
      </x:c>
      <x:c r="Q119" s="9" t="n">
        <x:f>COUNTIFS($A$7:$A$1158,A119)</x:f>
        <x:v>1</x:v>
      </x:c>
    </x:row>
    <x:row r="120">
      <x:c r="A120" s="9" t="str">
        <x:v>EV-AR-HC-A-C-TECH-4-B2-INT-G0-RW02</x:v>
      </x:c>
      <x:c r="B120" s="9" t="str">
        <x:v>EV-AR-HC-A-C-TECH-4-B2-INT-G0</x:v>
      </x:c>
      <x:c r="C120" s="9" t="str">
        <x:v>AR-HC-A-C-TECH-4-B2-INT-G0</x:v>
      </x:c>
      <x:c r="D120" s="9" t="str">
        <x:v>HC-A-C-TECH-4</x:v>
      </x:c>
      <x:c r="E120" s="9" t="str">
        <x:v>HC-A-C</x:v>
      </x:c>
      <x:c r="F120" s="9" t="str">
        <x:v>B2</x:v>
      </x:c>
      <x:c r="G120" s="9" t="str">
        <x:v>INT</x:v>
      </x:c>
      <x:c r="H120" s="9" t="str">
        <x:v>RW02</x:v>
      </x:c>
      <x:c r="I120" s="17" t="str">
        <x:v>Unlike witness stream</x:v>
      </x:c>
      <x:c r="J120" s="17" t="str">
        <x:v>Witness metrology</x:v>
      </x:c>
      <x:c r="K120" s="17" t="str">
        <x:v>Public custody B</x:v>
      </x:c>
      <x:c r="L120" s="9" t="n">
        <x:v>0</x:v>
      </x:c>
      <x:c r="M120" s="9" t="n">
        <x:v>0</x:v>
      </x:c>
      <x:c r="N120" s="9" t="n">
        <x:v>0</x:v>
      </x:c>
      <x:c r="O120" s="9" t="n">
        <x:v>0</x:v>
      </x:c>
      <x:c r="P120" s="9" t="str">
        <x:v>UNSEALED / SOURCE-EMPTY</x:v>
      </x:c>
      <x:c r="Q120" s="9" t="n">
        <x:f>COUNTIFS($A$7:$A$1158,A120)</x:f>
        <x:v>1</x:v>
      </x:c>
    </x:row>
    <x:row r="121">
      <x:c r="A121" s="9" t="str">
        <x:v>EV-AR-HC-A-C-TECH-4-B2-INT-G0-RW03</x:v>
      </x:c>
      <x:c r="B121" s="9" t="str">
        <x:v>EV-AR-HC-A-C-TECH-4-B2-INT-G0</x:v>
      </x:c>
      <x:c r="C121" s="9" t="str">
        <x:v>AR-HC-A-C-TECH-4-B2-INT-G0</x:v>
      </x:c>
      <x:c r="D121" s="9" t="str">
        <x:v>HC-A-C-TECH-4</x:v>
      </x:c>
      <x:c r="E121" s="9" t="str">
        <x:v>HC-A-C</x:v>
      </x:c>
      <x:c r="F121" s="9" t="str">
        <x:v>B2</x:v>
      </x:c>
      <x:c r="G121" s="9" t="str">
        <x:v>INT</x:v>
      </x:c>
      <x:c r="H121" s="9" t="str">
        <x:v>RW03</x:v>
      </x:c>
      <x:c r="I121" s="17" t="str">
        <x:v>Event clock and start traces</x:v>
      </x:c>
      <x:c r="J121" s="17" t="str">
        <x:v>Event clock authority</x:v>
      </x:c>
      <x:c r="K121" s="17" t="str">
        <x:v>Public custody C</x:v>
      </x:c>
      <x:c r="L121" s="9" t="n">
        <x:v>0</x:v>
      </x:c>
      <x:c r="M121" s="9" t="n">
        <x:v>0</x:v>
      </x:c>
      <x:c r="N121" s="9" t="n">
        <x:v>0</x:v>
      </x:c>
      <x:c r="O121" s="9" t="n">
        <x:v>0</x:v>
      </x:c>
      <x:c r="P121" s="9" t="str">
        <x:v>UNSEALED / SOURCE-EMPTY</x:v>
      </x:c>
      <x:c r="Q121" s="9" t="n">
        <x:f>COUNTIFS($A$7:$A$1158,A121)</x:f>
        <x:v>1</x:v>
      </x:c>
    </x:row>
    <x:row r="122">
      <x:c r="A122" s="9" t="str">
        <x:v>EV-AR-HC-A-C-TECH-4-B2-INT-G0-RW04</x:v>
      </x:c>
      <x:c r="B122" s="9" t="str">
        <x:v>EV-AR-HC-A-C-TECH-4-B2-INT-G0</x:v>
      </x:c>
      <x:c r="C122" s="9" t="str">
        <x:v>AR-HC-A-C-TECH-4-B2-INT-G0</x:v>
      </x:c>
      <x:c r="D122" s="9" t="str">
        <x:v>HC-A-C-TECH-4</x:v>
      </x:c>
      <x:c r="E122" s="9" t="str">
        <x:v>HC-A-C</x:v>
      </x:c>
      <x:c r="F122" s="9" t="str">
        <x:v>B2</x:v>
      </x:c>
      <x:c r="G122" s="9" t="str">
        <x:v>INT</x:v>
      </x:c>
      <x:c r="H122" s="9" t="str">
        <x:v>RW04</x:v>
      </x:c>
      <x:c r="I122" s="17" t="str">
        <x:v>Environmental boundary stream</x:v>
      </x:c>
      <x:c r="J122" s="17" t="str">
        <x:v>Site metrology</x:v>
      </x:c>
      <x:c r="K122" s="17" t="str">
        <x:v>Public custody D</x:v>
      </x:c>
      <x:c r="L122" s="9" t="n">
        <x:v>0</x:v>
      </x:c>
      <x:c r="M122" s="9" t="n">
        <x:v>0</x:v>
      </x:c>
      <x:c r="N122" s="9" t="n">
        <x:v>0</x:v>
      </x:c>
      <x:c r="O122" s="9" t="n">
        <x:v>0</x:v>
      </x:c>
      <x:c r="P122" s="9" t="str">
        <x:v>UNSEALED / SOURCE-EMPTY</x:v>
      </x:c>
      <x:c r="Q122" s="9" t="n">
        <x:f>COUNTIFS($A$7:$A$1158,A122)</x:f>
        <x:v>1</x:v>
      </x:c>
    </x:row>
    <x:row r="123">
      <x:c r="A123" s="9" t="str">
        <x:v>EV-AR-HC-A-C-TECH-4-B2-INT-G0-RW05</x:v>
      </x:c>
      <x:c r="B123" s="9" t="str">
        <x:v>EV-AR-HC-A-C-TECH-4-B2-INT-G0</x:v>
      </x:c>
      <x:c r="C123" s="9" t="str">
        <x:v>AR-HC-A-C-TECH-4-B2-INT-G0</x:v>
      </x:c>
      <x:c r="D123" s="9" t="str">
        <x:v>HC-A-C-TECH-4</x:v>
      </x:c>
      <x:c r="E123" s="9" t="str">
        <x:v>HC-A-C</x:v>
      </x:c>
      <x:c r="F123" s="9" t="str">
        <x:v>B2</x:v>
      </x:c>
      <x:c r="G123" s="9" t="str">
        <x:v>INT</x:v>
      </x:c>
      <x:c r="H123" s="9" t="str">
        <x:v>RW05</x:v>
      </x:c>
      <x:c r="I123" s="17" t="str">
        <x:v>Command and intervention log</x:v>
      </x:c>
      <x:c r="J123" s="17" t="str">
        <x:v>Safety authority</x:v>
      </x:c>
      <x:c r="K123" s="17" t="str">
        <x:v>Public custody E</x:v>
      </x:c>
      <x:c r="L123" s="9" t="n">
        <x:v>0</x:v>
      </x:c>
      <x:c r="M123" s="9" t="n">
        <x:v>0</x:v>
      </x:c>
      <x:c r="N123" s="9" t="n">
        <x:v>0</x:v>
      </x:c>
      <x:c r="O123" s="9" t="n">
        <x:v>0</x:v>
      </x:c>
      <x:c r="P123" s="9" t="str">
        <x:v>UNSEALED / SOURCE-EMPTY</x:v>
      </x:c>
      <x:c r="Q123" s="9" t="n">
        <x:f>COUNTIFS($A$7:$A$1158,A123)</x:f>
        <x:v>1</x:v>
      </x:c>
    </x:row>
    <x:row r="124">
      <x:c r="A124" s="9" t="str">
        <x:v>EV-AR-HC-A-C-TECH-4-B2-INT-G0-RW06</x:v>
      </x:c>
      <x:c r="B124" s="9" t="str">
        <x:v>EV-AR-HC-A-C-TECH-4-B2-INT-G0</x:v>
      </x:c>
      <x:c r="C124" s="9" t="str">
        <x:v>AR-HC-A-C-TECH-4-B2-INT-G0</x:v>
      </x:c>
      <x:c r="D124" s="9" t="str">
        <x:v>HC-A-C-TECH-4</x:v>
      </x:c>
      <x:c r="E124" s="9" t="str">
        <x:v>HC-A-C</x:v>
      </x:c>
      <x:c r="F124" s="9" t="str">
        <x:v>B2</x:v>
      </x:c>
      <x:c r="G124" s="9" t="str">
        <x:v>INT</x:v>
      </x:c>
      <x:c r="H124" s="9" t="str">
        <x:v>RW06</x:v>
      </x:c>
      <x:c r="I124" s="17" t="str">
        <x:v>Receiver service ledger</x:v>
      </x:c>
      <x:c r="J124" s="17" t="str">
        <x:v>Receiver authority</x:v>
      </x:c>
      <x:c r="K124" s="17" t="str">
        <x:v>Public custody F</x:v>
      </x:c>
      <x:c r="L124" s="9" t="n">
        <x:v>0</x:v>
      </x:c>
      <x:c r="M124" s="9" t="n">
        <x:v>0</x:v>
      </x:c>
      <x:c r="N124" s="9" t="n">
        <x:v>0</x:v>
      </x:c>
      <x:c r="O124" s="9" t="n">
        <x:v>0</x:v>
      </x:c>
      <x:c r="P124" s="9" t="str">
        <x:v>UNSEALED / SOURCE-EMPTY</x:v>
      </x:c>
      <x:c r="Q124" s="9" t="n">
        <x:f>COUNTIFS($A$7:$A$1158,A124)</x:f>
        <x:v>1</x:v>
      </x:c>
    </x:row>
    <x:row r="125">
      <x:c r="A125" s="9" t="str">
        <x:v>EV-AR-HC-A-C-TECH-4-B2-INT-G0-RW07</x:v>
      </x:c>
      <x:c r="B125" s="9" t="str">
        <x:v>EV-AR-HC-A-C-TECH-4-B2-INT-G0</x:v>
      </x:c>
      <x:c r="C125" s="9" t="str">
        <x:v>AR-HC-A-C-TECH-4-B2-INT-G0</x:v>
      </x:c>
      <x:c r="D125" s="9" t="str">
        <x:v>HC-A-C-TECH-4</x:v>
      </x:c>
      <x:c r="E125" s="9" t="str">
        <x:v>HC-A-C</x:v>
      </x:c>
      <x:c r="F125" s="9" t="str">
        <x:v>B2</x:v>
      </x:c>
      <x:c r="G125" s="9" t="str">
        <x:v>INT</x:v>
      </x:c>
      <x:c r="H125" s="9" t="str">
        <x:v>RW07</x:v>
      </x:c>
      <x:c r="I125" s="17" t="str">
        <x:v>Candidate interface telemetry</x:v>
      </x:c>
      <x:c r="J125" s="17" t="str">
        <x:v>Interface custodian</x:v>
      </x:c>
      <x:c r="K125" s="17" t="str">
        <x:v>Public custody A</x:v>
      </x:c>
      <x:c r="L125" s="9" t="n">
        <x:v>0</x:v>
      </x:c>
      <x:c r="M125" s="9" t="n">
        <x:v>0</x:v>
      </x:c>
      <x:c r="N125" s="9" t="n">
        <x:v>0</x:v>
      </x:c>
      <x:c r="O125" s="9" t="n">
        <x:v>0</x:v>
      </x:c>
      <x:c r="P125" s="9" t="str">
        <x:v>UNSEALED / SOURCE-EMPTY</x:v>
      </x:c>
      <x:c r="Q125" s="9" t="n">
        <x:f>COUNTIFS($A$7:$A$1158,A125)</x:f>
        <x:v>1</x:v>
      </x:c>
    </x:row>
    <x:row r="126">
      <x:c r="A126" s="9" t="str">
        <x:v>EV-AR-HC-A-C-TECH-4-B2-INT-G0-RW08</x:v>
      </x:c>
      <x:c r="B126" s="9" t="str">
        <x:v>EV-AR-HC-A-C-TECH-4-B2-INT-G0</x:v>
      </x:c>
      <x:c r="C126" s="9" t="str">
        <x:v>AR-HC-A-C-TECH-4-B2-INT-G0</x:v>
      </x:c>
      <x:c r="D126" s="9" t="str">
        <x:v>HC-A-C-TECH-4</x:v>
      </x:c>
      <x:c r="E126" s="9" t="str">
        <x:v>HC-A-C</x:v>
      </x:c>
      <x:c r="F126" s="9" t="str">
        <x:v>B2</x:v>
      </x:c>
      <x:c r="G126" s="9" t="str">
        <x:v>INT</x:v>
      </x:c>
      <x:c r="H126" s="9" t="str">
        <x:v>RW08</x:v>
      </x:c>
      <x:c r="I126" s="17" t="str">
        <x:v>Residual and physical evidence</x:v>
      </x:c>
      <x:c r="J126" s="17" t="str">
        <x:v>Residual authority</x:v>
      </x:c>
      <x:c r="K126" s="17" t="str">
        <x:v>Public custody B</x:v>
      </x:c>
      <x:c r="L126" s="9" t="n">
        <x:v>0</x:v>
      </x:c>
      <x:c r="M126" s="9" t="n">
        <x:v>0</x:v>
      </x:c>
      <x:c r="N126" s="9" t="n">
        <x:v>0</x:v>
      </x:c>
      <x:c r="O126" s="9" t="n">
        <x:v>0</x:v>
      </x:c>
      <x:c r="P126" s="9" t="str">
        <x:v>UNSEALED / SOURCE-EMPTY</x:v>
      </x:c>
      <x:c r="Q126" s="9" t="n">
        <x:f>COUNTIFS($A$7:$A$1158,A126)</x:f>
        <x:v>1</x:v>
      </x:c>
    </x:row>
    <x:row r="127">
      <x:c r="A127" s="9" t="str">
        <x:v>EV-AR-LF-B-A-TECH-3-B2-INT-G0-RW01</x:v>
      </x:c>
      <x:c r="B127" s="9" t="str">
        <x:v>EV-AR-LF-B-A-TECH-3-B2-INT-G0</x:v>
      </x:c>
      <x:c r="C127" s="9" t="str">
        <x:v>AR-LF-B-A-TECH-3-B2-INT-G0</x:v>
      </x:c>
      <x:c r="D127" s="9" t="str">
        <x:v>LF-B-A-TECH-3</x:v>
      </x:c>
      <x:c r="E127" s="9" t="str">
        <x:v>LF-B-A</x:v>
      </x:c>
      <x:c r="F127" s="9" t="str">
        <x:v>B2</x:v>
      </x:c>
      <x:c r="G127" s="9" t="str">
        <x:v>INT</x:v>
      </x:c>
      <x:c r="H127" s="9" t="str">
        <x:v>RW01</x:v>
      </x:c>
      <x:c r="I127" s="17" t="str">
        <x:v>Primary raw stream</x:v>
      </x:c>
      <x:c r="J127" s="17" t="str">
        <x:v>Primary metrology</x:v>
      </x:c>
      <x:c r="K127" s="17" t="str">
        <x:v>Public custody A</x:v>
      </x:c>
      <x:c r="L127" s="9" t="n">
        <x:v>0</x:v>
      </x:c>
      <x:c r="M127" s="9" t="n">
        <x:v>0</x:v>
      </x:c>
      <x:c r="N127" s="9" t="n">
        <x:v>0</x:v>
      </x:c>
      <x:c r="O127" s="9" t="n">
        <x:v>0</x:v>
      </x:c>
      <x:c r="P127" s="9" t="str">
        <x:v>UNSEALED / SOURCE-EMPTY</x:v>
      </x:c>
      <x:c r="Q127" s="9" t="n">
        <x:f>COUNTIFS($A$7:$A$1158,A127)</x:f>
        <x:v>1</x:v>
      </x:c>
    </x:row>
    <x:row r="128">
      <x:c r="A128" s="9" t="str">
        <x:v>EV-AR-LF-B-A-TECH-3-B2-INT-G0-RW02</x:v>
      </x:c>
      <x:c r="B128" s="9" t="str">
        <x:v>EV-AR-LF-B-A-TECH-3-B2-INT-G0</x:v>
      </x:c>
      <x:c r="C128" s="9" t="str">
        <x:v>AR-LF-B-A-TECH-3-B2-INT-G0</x:v>
      </x:c>
      <x:c r="D128" s="9" t="str">
        <x:v>LF-B-A-TECH-3</x:v>
      </x:c>
      <x:c r="E128" s="9" t="str">
        <x:v>LF-B-A</x:v>
      </x:c>
      <x:c r="F128" s="9" t="str">
        <x:v>B2</x:v>
      </x:c>
      <x:c r="G128" s="9" t="str">
        <x:v>INT</x:v>
      </x:c>
      <x:c r="H128" s="9" t="str">
        <x:v>RW02</x:v>
      </x:c>
      <x:c r="I128" s="17" t="str">
        <x:v>Unlike witness stream</x:v>
      </x:c>
      <x:c r="J128" s="17" t="str">
        <x:v>Witness metrology</x:v>
      </x:c>
      <x:c r="K128" s="17" t="str">
        <x:v>Public custody B</x:v>
      </x:c>
      <x:c r="L128" s="9" t="n">
        <x:v>0</x:v>
      </x:c>
      <x:c r="M128" s="9" t="n">
        <x:v>0</x:v>
      </x:c>
      <x:c r="N128" s="9" t="n">
        <x:v>0</x:v>
      </x:c>
      <x:c r="O128" s="9" t="n">
        <x:v>0</x:v>
      </x:c>
      <x:c r="P128" s="9" t="str">
        <x:v>UNSEALED / SOURCE-EMPTY</x:v>
      </x:c>
      <x:c r="Q128" s="9" t="n">
        <x:f>COUNTIFS($A$7:$A$1158,A128)</x:f>
        <x:v>1</x:v>
      </x:c>
    </x:row>
    <x:row r="129">
      <x:c r="A129" s="9" t="str">
        <x:v>EV-AR-LF-B-A-TECH-3-B2-INT-G0-RW03</x:v>
      </x:c>
      <x:c r="B129" s="9" t="str">
        <x:v>EV-AR-LF-B-A-TECH-3-B2-INT-G0</x:v>
      </x:c>
      <x:c r="C129" s="9" t="str">
        <x:v>AR-LF-B-A-TECH-3-B2-INT-G0</x:v>
      </x:c>
      <x:c r="D129" s="9" t="str">
        <x:v>LF-B-A-TECH-3</x:v>
      </x:c>
      <x:c r="E129" s="9" t="str">
        <x:v>LF-B-A</x:v>
      </x:c>
      <x:c r="F129" s="9" t="str">
        <x:v>B2</x:v>
      </x:c>
      <x:c r="G129" s="9" t="str">
        <x:v>INT</x:v>
      </x:c>
      <x:c r="H129" s="9" t="str">
        <x:v>RW03</x:v>
      </x:c>
      <x:c r="I129" s="17" t="str">
        <x:v>Event clock and start traces</x:v>
      </x:c>
      <x:c r="J129" s="17" t="str">
        <x:v>Event clock authority</x:v>
      </x:c>
      <x:c r="K129" s="17" t="str">
        <x:v>Public custody C</x:v>
      </x:c>
      <x:c r="L129" s="9" t="n">
        <x:v>0</x:v>
      </x:c>
      <x:c r="M129" s="9" t="n">
        <x:v>0</x:v>
      </x:c>
      <x:c r="N129" s="9" t="n">
        <x:v>0</x:v>
      </x:c>
      <x:c r="O129" s="9" t="n">
        <x:v>0</x:v>
      </x:c>
      <x:c r="P129" s="9" t="str">
        <x:v>UNSEALED / SOURCE-EMPTY</x:v>
      </x:c>
      <x:c r="Q129" s="9" t="n">
        <x:f>COUNTIFS($A$7:$A$1158,A129)</x:f>
        <x:v>1</x:v>
      </x:c>
    </x:row>
    <x:row r="130">
      <x:c r="A130" s="9" t="str">
        <x:v>EV-AR-LF-B-A-TECH-3-B2-INT-G0-RW04</x:v>
      </x:c>
      <x:c r="B130" s="9" t="str">
        <x:v>EV-AR-LF-B-A-TECH-3-B2-INT-G0</x:v>
      </x:c>
      <x:c r="C130" s="9" t="str">
        <x:v>AR-LF-B-A-TECH-3-B2-INT-G0</x:v>
      </x:c>
      <x:c r="D130" s="9" t="str">
        <x:v>LF-B-A-TECH-3</x:v>
      </x:c>
      <x:c r="E130" s="9" t="str">
        <x:v>LF-B-A</x:v>
      </x:c>
      <x:c r="F130" s="9" t="str">
        <x:v>B2</x:v>
      </x:c>
      <x:c r="G130" s="9" t="str">
        <x:v>INT</x:v>
      </x:c>
      <x:c r="H130" s="9" t="str">
        <x:v>RW04</x:v>
      </x:c>
      <x:c r="I130" s="17" t="str">
        <x:v>Environmental boundary stream</x:v>
      </x:c>
      <x:c r="J130" s="17" t="str">
        <x:v>Site metrology</x:v>
      </x:c>
      <x:c r="K130" s="17" t="str">
        <x:v>Public custody D</x:v>
      </x:c>
      <x:c r="L130" s="9" t="n">
        <x:v>0</x:v>
      </x:c>
      <x:c r="M130" s="9" t="n">
        <x:v>0</x:v>
      </x:c>
      <x:c r="N130" s="9" t="n">
        <x:v>0</x:v>
      </x:c>
      <x:c r="O130" s="9" t="n">
        <x:v>0</x:v>
      </x:c>
      <x:c r="P130" s="9" t="str">
        <x:v>UNSEALED / SOURCE-EMPTY</x:v>
      </x:c>
      <x:c r="Q130" s="9" t="n">
        <x:f>COUNTIFS($A$7:$A$1158,A130)</x:f>
        <x:v>1</x:v>
      </x:c>
    </x:row>
    <x:row r="131">
      <x:c r="A131" s="9" t="str">
        <x:v>EV-AR-LF-B-A-TECH-3-B2-INT-G0-RW05</x:v>
      </x:c>
      <x:c r="B131" s="9" t="str">
        <x:v>EV-AR-LF-B-A-TECH-3-B2-INT-G0</x:v>
      </x:c>
      <x:c r="C131" s="9" t="str">
        <x:v>AR-LF-B-A-TECH-3-B2-INT-G0</x:v>
      </x:c>
      <x:c r="D131" s="9" t="str">
        <x:v>LF-B-A-TECH-3</x:v>
      </x:c>
      <x:c r="E131" s="9" t="str">
        <x:v>LF-B-A</x:v>
      </x:c>
      <x:c r="F131" s="9" t="str">
        <x:v>B2</x:v>
      </x:c>
      <x:c r="G131" s="9" t="str">
        <x:v>INT</x:v>
      </x:c>
      <x:c r="H131" s="9" t="str">
        <x:v>RW05</x:v>
      </x:c>
      <x:c r="I131" s="17" t="str">
        <x:v>Command and intervention log</x:v>
      </x:c>
      <x:c r="J131" s="17" t="str">
        <x:v>Safety authority</x:v>
      </x:c>
      <x:c r="K131" s="17" t="str">
        <x:v>Public custody E</x:v>
      </x:c>
      <x:c r="L131" s="9" t="n">
        <x:v>0</x:v>
      </x:c>
      <x:c r="M131" s="9" t="n">
        <x:v>0</x:v>
      </x:c>
      <x:c r="N131" s="9" t="n">
        <x:v>0</x:v>
      </x:c>
      <x:c r="O131" s="9" t="n">
        <x:v>0</x:v>
      </x:c>
      <x:c r="P131" s="9" t="str">
        <x:v>UNSEALED / SOURCE-EMPTY</x:v>
      </x:c>
      <x:c r="Q131" s="9" t="n">
        <x:f>COUNTIFS($A$7:$A$1158,A131)</x:f>
        <x:v>1</x:v>
      </x:c>
    </x:row>
    <x:row r="132">
      <x:c r="A132" s="9" t="str">
        <x:v>EV-AR-LF-B-A-TECH-3-B2-INT-G0-RW06</x:v>
      </x:c>
      <x:c r="B132" s="9" t="str">
        <x:v>EV-AR-LF-B-A-TECH-3-B2-INT-G0</x:v>
      </x:c>
      <x:c r="C132" s="9" t="str">
        <x:v>AR-LF-B-A-TECH-3-B2-INT-G0</x:v>
      </x:c>
      <x:c r="D132" s="9" t="str">
        <x:v>LF-B-A-TECH-3</x:v>
      </x:c>
      <x:c r="E132" s="9" t="str">
        <x:v>LF-B-A</x:v>
      </x:c>
      <x:c r="F132" s="9" t="str">
        <x:v>B2</x:v>
      </x:c>
      <x:c r="G132" s="9" t="str">
        <x:v>INT</x:v>
      </x:c>
      <x:c r="H132" s="9" t="str">
        <x:v>RW06</x:v>
      </x:c>
      <x:c r="I132" s="17" t="str">
        <x:v>Receiver service ledger</x:v>
      </x:c>
      <x:c r="J132" s="17" t="str">
        <x:v>Receiver authority</x:v>
      </x:c>
      <x:c r="K132" s="17" t="str">
        <x:v>Public custody F</x:v>
      </x:c>
      <x:c r="L132" s="9" t="n">
        <x:v>0</x:v>
      </x:c>
      <x:c r="M132" s="9" t="n">
        <x:v>0</x:v>
      </x:c>
      <x:c r="N132" s="9" t="n">
        <x:v>0</x:v>
      </x:c>
      <x:c r="O132" s="9" t="n">
        <x:v>0</x:v>
      </x:c>
      <x:c r="P132" s="9" t="str">
        <x:v>UNSEALED / SOURCE-EMPTY</x:v>
      </x:c>
      <x:c r="Q132" s="9" t="n">
        <x:f>COUNTIFS($A$7:$A$1158,A132)</x:f>
        <x:v>1</x:v>
      </x:c>
    </x:row>
    <x:row r="133">
      <x:c r="A133" s="9" t="str">
        <x:v>EV-AR-LF-B-A-TECH-3-B2-INT-G0-RW07</x:v>
      </x:c>
      <x:c r="B133" s="9" t="str">
        <x:v>EV-AR-LF-B-A-TECH-3-B2-INT-G0</x:v>
      </x:c>
      <x:c r="C133" s="9" t="str">
        <x:v>AR-LF-B-A-TECH-3-B2-INT-G0</x:v>
      </x:c>
      <x:c r="D133" s="9" t="str">
        <x:v>LF-B-A-TECH-3</x:v>
      </x:c>
      <x:c r="E133" s="9" t="str">
        <x:v>LF-B-A</x:v>
      </x:c>
      <x:c r="F133" s="9" t="str">
        <x:v>B2</x:v>
      </x:c>
      <x:c r="G133" s="9" t="str">
        <x:v>INT</x:v>
      </x:c>
      <x:c r="H133" s="9" t="str">
        <x:v>RW07</x:v>
      </x:c>
      <x:c r="I133" s="17" t="str">
        <x:v>Candidate interface telemetry</x:v>
      </x:c>
      <x:c r="J133" s="17" t="str">
        <x:v>Interface custodian</x:v>
      </x:c>
      <x:c r="K133" s="17" t="str">
        <x:v>Public custody A</x:v>
      </x:c>
      <x:c r="L133" s="9" t="n">
        <x:v>0</x:v>
      </x:c>
      <x:c r="M133" s="9" t="n">
        <x:v>0</x:v>
      </x:c>
      <x:c r="N133" s="9" t="n">
        <x:v>0</x:v>
      </x:c>
      <x:c r="O133" s="9" t="n">
        <x:v>0</x:v>
      </x:c>
      <x:c r="P133" s="9" t="str">
        <x:v>UNSEALED / SOURCE-EMPTY</x:v>
      </x:c>
      <x:c r="Q133" s="9" t="n">
        <x:f>COUNTIFS($A$7:$A$1158,A133)</x:f>
        <x:v>1</x:v>
      </x:c>
    </x:row>
    <x:row r="134">
      <x:c r="A134" s="9" t="str">
        <x:v>EV-AR-LF-B-A-TECH-3-B2-INT-G0-RW08</x:v>
      </x:c>
      <x:c r="B134" s="9" t="str">
        <x:v>EV-AR-LF-B-A-TECH-3-B2-INT-G0</x:v>
      </x:c>
      <x:c r="C134" s="9" t="str">
        <x:v>AR-LF-B-A-TECH-3-B2-INT-G0</x:v>
      </x:c>
      <x:c r="D134" s="9" t="str">
        <x:v>LF-B-A-TECH-3</x:v>
      </x:c>
      <x:c r="E134" s="9" t="str">
        <x:v>LF-B-A</x:v>
      </x:c>
      <x:c r="F134" s="9" t="str">
        <x:v>B2</x:v>
      </x:c>
      <x:c r="G134" s="9" t="str">
        <x:v>INT</x:v>
      </x:c>
      <x:c r="H134" s="9" t="str">
        <x:v>RW08</x:v>
      </x:c>
      <x:c r="I134" s="17" t="str">
        <x:v>Residual and physical evidence</x:v>
      </x:c>
      <x:c r="J134" s="17" t="str">
        <x:v>Residual authority</x:v>
      </x:c>
      <x:c r="K134" s="17" t="str">
        <x:v>Public custody B</x:v>
      </x:c>
      <x:c r="L134" s="9" t="n">
        <x:v>0</x:v>
      </x:c>
      <x:c r="M134" s="9" t="n">
        <x:v>0</x:v>
      </x:c>
      <x:c r="N134" s="9" t="n">
        <x:v>0</x:v>
      </x:c>
      <x:c r="O134" s="9" t="n">
        <x:v>0</x:v>
      </x:c>
      <x:c r="P134" s="9" t="str">
        <x:v>UNSEALED / SOURCE-EMPTY</x:v>
      </x:c>
      <x:c r="Q134" s="9" t="n">
        <x:f>COUNTIFS($A$7:$A$1158,A134)</x:f>
        <x:v>1</x:v>
      </x:c>
    </x:row>
    <x:row r="135">
      <x:c r="A135" s="9" t="str">
        <x:v>EV-AR-RT-B-C-TECH-3-B2-RCN-G0-RW01</x:v>
      </x:c>
      <x:c r="B135" s="9" t="str">
        <x:v>EV-AR-RT-B-C-TECH-3-B2-RCN-G0</x:v>
      </x:c>
      <x:c r="C135" s="9" t="str">
        <x:v>AR-RT-B-C-TECH-3-B2-RCN-G0</x:v>
      </x:c>
      <x:c r="D135" s="9" t="str">
        <x:v>RT-B-C-TECH-3</x:v>
      </x:c>
      <x:c r="E135" s="9" t="str">
        <x:v>RT-B-C</x:v>
      </x:c>
      <x:c r="F135" s="9" t="str">
        <x:v>B2</x:v>
      </x:c>
      <x:c r="G135" s="9" t="str">
        <x:v>RCN</x:v>
      </x:c>
      <x:c r="H135" s="9" t="str">
        <x:v>RW01</x:v>
      </x:c>
      <x:c r="I135" s="17" t="str">
        <x:v>Primary raw stream</x:v>
      </x:c>
      <x:c r="J135" s="17" t="str">
        <x:v>Primary metrology</x:v>
      </x:c>
      <x:c r="K135" s="17" t="str">
        <x:v>Public custody A</x:v>
      </x:c>
      <x:c r="L135" s="9" t="n">
        <x:v>0</x:v>
      </x:c>
      <x:c r="M135" s="9" t="n">
        <x:v>0</x:v>
      </x:c>
      <x:c r="N135" s="9" t="n">
        <x:v>0</x:v>
      </x:c>
      <x:c r="O135" s="9" t="n">
        <x:v>0</x:v>
      </x:c>
      <x:c r="P135" s="9" t="str">
        <x:v>UNSEALED / SOURCE-EMPTY</x:v>
      </x:c>
      <x:c r="Q135" s="9" t="n">
        <x:f>COUNTIFS($A$7:$A$1158,A135)</x:f>
        <x:v>1</x:v>
      </x:c>
    </x:row>
    <x:row r="136">
      <x:c r="A136" s="9" t="str">
        <x:v>EV-AR-RT-B-C-TECH-3-B2-RCN-G0-RW02</x:v>
      </x:c>
      <x:c r="B136" s="9" t="str">
        <x:v>EV-AR-RT-B-C-TECH-3-B2-RCN-G0</x:v>
      </x:c>
      <x:c r="C136" s="9" t="str">
        <x:v>AR-RT-B-C-TECH-3-B2-RCN-G0</x:v>
      </x:c>
      <x:c r="D136" s="9" t="str">
        <x:v>RT-B-C-TECH-3</x:v>
      </x:c>
      <x:c r="E136" s="9" t="str">
        <x:v>RT-B-C</x:v>
      </x:c>
      <x:c r="F136" s="9" t="str">
        <x:v>B2</x:v>
      </x:c>
      <x:c r="G136" s="9" t="str">
        <x:v>RCN</x:v>
      </x:c>
      <x:c r="H136" s="9" t="str">
        <x:v>RW02</x:v>
      </x:c>
      <x:c r="I136" s="17" t="str">
        <x:v>Unlike witness stream</x:v>
      </x:c>
      <x:c r="J136" s="17" t="str">
        <x:v>Witness metrology</x:v>
      </x:c>
      <x:c r="K136" s="17" t="str">
        <x:v>Public custody B</x:v>
      </x:c>
      <x:c r="L136" s="9" t="n">
        <x:v>0</x:v>
      </x:c>
      <x:c r="M136" s="9" t="n">
        <x:v>0</x:v>
      </x:c>
      <x:c r="N136" s="9" t="n">
        <x:v>0</x:v>
      </x:c>
      <x:c r="O136" s="9" t="n">
        <x:v>0</x:v>
      </x:c>
      <x:c r="P136" s="9" t="str">
        <x:v>UNSEALED / SOURCE-EMPTY</x:v>
      </x:c>
      <x:c r="Q136" s="9" t="n">
        <x:f>COUNTIFS($A$7:$A$1158,A136)</x:f>
        <x:v>1</x:v>
      </x:c>
    </x:row>
    <x:row r="137">
      <x:c r="A137" s="9" t="str">
        <x:v>EV-AR-RT-B-C-TECH-3-B2-RCN-G0-RW03</x:v>
      </x:c>
      <x:c r="B137" s="9" t="str">
        <x:v>EV-AR-RT-B-C-TECH-3-B2-RCN-G0</x:v>
      </x:c>
      <x:c r="C137" s="9" t="str">
        <x:v>AR-RT-B-C-TECH-3-B2-RCN-G0</x:v>
      </x:c>
      <x:c r="D137" s="9" t="str">
        <x:v>RT-B-C-TECH-3</x:v>
      </x:c>
      <x:c r="E137" s="9" t="str">
        <x:v>RT-B-C</x:v>
      </x:c>
      <x:c r="F137" s="9" t="str">
        <x:v>B2</x:v>
      </x:c>
      <x:c r="G137" s="9" t="str">
        <x:v>RCN</x:v>
      </x:c>
      <x:c r="H137" s="9" t="str">
        <x:v>RW03</x:v>
      </x:c>
      <x:c r="I137" s="17" t="str">
        <x:v>Event clock and start traces</x:v>
      </x:c>
      <x:c r="J137" s="17" t="str">
        <x:v>Event clock authority</x:v>
      </x:c>
      <x:c r="K137" s="17" t="str">
        <x:v>Public custody C</x:v>
      </x:c>
      <x:c r="L137" s="9" t="n">
        <x:v>0</x:v>
      </x:c>
      <x:c r="M137" s="9" t="n">
        <x:v>0</x:v>
      </x:c>
      <x:c r="N137" s="9" t="n">
        <x:v>0</x:v>
      </x:c>
      <x:c r="O137" s="9" t="n">
        <x:v>0</x:v>
      </x:c>
      <x:c r="P137" s="9" t="str">
        <x:v>UNSEALED / SOURCE-EMPTY</x:v>
      </x:c>
      <x:c r="Q137" s="9" t="n">
        <x:f>COUNTIFS($A$7:$A$1158,A137)</x:f>
        <x:v>1</x:v>
      </x:c>
    </x:row>
    <x:row r="138">
      <x:c r="A138" s="9" t="str">
        <x:v>EV-AR-RT-B-C-TECH-3-B2-RCN-G0-RW04</x:v>
      </x:c>
      <x:c r="B138" s="9" t="str">
        <x:v>EV-AR-RT-B-C-TECH-3-B2-RCN-G0</x:v>
      </x:c>
      <x:c r="C138" s="9" t="str">
        <x:v>AR-RT-B-C-TECH-3-B2-RCN-G0</x:v>
      </x:c>
      <x:c r="D138" s="9" t="str">
        <x:v>RT-B-C-TECH-3</x:v>
      </x:c>
      <x:c r="E138" s="9" t="str">
        <x:v>RT-B-C</x:v>
      </x:c>
      <x:c r="F138" s="9" t="str">
        <x:v>B2</x:v>
      </x:c>
      <x:c r="G138" s="9" t="str">
        <x:v>RCN</x:v>
      </x:c>
      <x:c r="H138" s="9" t="str">
        <x:v>RW04</x:v>
      </x:c>
      <x:c r="I138" s="17" t="str">
        <x:v>Environmental boundary stream</x:v>
      </x:c>
      <x:c r="J138" s="17" t="str">
        <x:v>Site metrology</x:v>
      </x:c>
      <x:c r="K138" s="17" t="str">
        <x:v>Public custody D</x:v>
      </x:c>
      <x:c r="L138" s="9" t="n">
        <x:v>0</x:v>
      </x:c>
      <x:c r="M138" s="9" t="n">
        <x:v>0</x:v>
      </x:c>
      <x:c r="N138" s="9" t="n">
        <x:v>0</x:v>
      </x:c>
      <x:c r="O138" s="9" t="n">
        <x:v>0</x:v>
      </x:c>
      <x:c r="P138" s="9" t="str">
        <x:v>UNSEALED / SOURCE-EMPTY</x:v>
      </x:c>
      <x:c r="Q138" s="9" t="n">
        <x:f>COUNTIFS($A$7:$A$1158,A138)</x:f>
        <x:v>1</x:v>
      </x:c>
    </x:row>
    <x:row r="139">
      <x:c r="A139" s="9" t="str">
        <x:v>EV-AR-RT-B-C-TECH-3-B2-RCN-G0-RW05</x:v>
      </x:c>
      <x:c r="B139" s="9" t="str">
        <x:v>EV-AR-RT-B-C-TECH-3-B2-RCN-G0</x:v>
      </x:c>
      <x:c r="C139" s="9" t="str">
        <x:v>AR-RT-B-C-TECH-3-B2-RCN-G0</x:v>
      </x:c>
      <x:c r="D139" s="9" t="str">
        <x:v>RT-B-C-TECH-3</x:v>
      </x:c>
      <x:c r="E139" s="9" t="str">
        <x:v>RT-B-C</x:v>
      </x:c>
      <x:c r="F139" s="9" t="str">
        <x:v>B2</x:v>
      </x:c>
      <x:c r="G139" s="9" t="str">
        <x:v>RCN</x:v>
      </x:c>
      <x:c r="H139" s="9" t="str">
        <x:v>RW05</x:v>
      </x:c>
      <x:c r="I139" s="17" t="str">
        <x:v>Command and intervention log</x:v>
      </x:c>
      <x:c r="J139" s="17" t="str">
        <x:v>Safety authority</x:v>
      </x:c>
      <x:c r="K139" s="17" t="str">
        <x:v>Public custody E</x:v>
      </x:c>
      <x:c r="L139" s="9" t="n">
        <x:v>0</x:v>
      </x:c>
      <x:c r="M139" s="9" t="n">
        <x:v>0</x:v>
      </x:c>
      <x:c r="N139" s="9" t="n">
        <x:v>0</x:v>
      </x:c>
      <x:c r="O139" s="9" t="n">
        <x:v>0</x:v>
      </x:c>
      <x:c r="P139" s="9" t="str">
        <x:v>UNSEALED / SOURCE-EMPTY</x:v>
      </x:c>
      <x:c r="Q139" s="9" t="n">
        <x:f>COUNTIFS($A$7:$A$1158,A139)</x:f>
        <x:v>1</x:v>
      </x:c>
    </x:row>
    <x:row r="140">
      <x:c r="A140" s="9" t="str">
        <x:v>EV-AR-RT-B-C-TECH-3-B2-RCN-G0-RW06</x:v>
      </x:c>
      <x:c r="B140" s="9" t="str">
        <x:v>EV-AR-RT-B-C-TECH-3-B2-RCN-G0</x:v>
      </x:c>
      <x:c r="C140" s="9" t="str">
        <x:v>AR-RT-B-C-TECH-3-B2-RCN-G0</x:v>
      </x:c>
      <x:c r="D140" s="9" t="str">
        <x:v>RT-B-C-TECH-3</x:v>
      </x:c>
      <x:c r="E140" s="9" t="str">
        <x:v>RT-B-C</x:v>
      </x:c>
      <x:c r="F140" s="9" t="str">
        <x:v>B2</x:v>
      </x:c>
      <x:c r="G140" s="9" t="str">
        <x:v>RCN</x:v>
      </x:c>
      <x:c r="H140" s="9" t="str">
        <x:v>RW06</x:v>
      </x:c>
      <x:c r="I140" s="17" t="str">
        <x:v>Receiver service ledger</x:v>
      </x:c>
      <x:c r="J140" s="17" t="str">
        <x:v>Receiver authority</x:v>
      </x:c>
      <x:c r="K140" s="17" t="str">
        <x:v>Public custody F</x:v>
      </x:c>
      <x:c r="L140" s="9" t="n">
        <x:v>0</x:v>
      </x:c>
      <x:c r="M140" s="9" t="n">
        <x:v>0</x:v>
      </x:c>
      <x:c r="N140" s="9" t="n">
        <x:v>0</x:v>
      </x:c>
      <x:c r="O140" s="9" t="n">
        <x:v>0</x:v>
      </x:c>
      <x:c r="P140" s="9" t="str">
        <x:v>UNSEALED / SOURCE-EMPTY</x:v>
      </x:c>
      <x:c r="Q140" s="9" t="n">
        <x:f>COUNTIFS($A$7:$A$1158,A140)</x:f>
        <x:v>1</x:v>
      </x:c>
    </x:row>
    <x:row r="141">
      <x:c r="A141" s="9" t="str">
        <x:v>EV-AR-RT-B-C-TECH-3-B2-RCN-G0-RW07</x:v>
      </x:c>
      <x:c r="B141" s="9" t="str">
        <x:v>EV-AR-RT-B-C-TECH-3-B2-RCN-G0</x:v>
      </x:c>
      <x:c r="C141" s="9" t="str">
        <x:v>AR-RT-B-C-TECH-3-B2-RCN-G0</x:v>
      </x:c>
      <x:c r="D141" s="9" t="str">
        <x:v>RT-B-C-TECH-3</x:v>
      </x:c>
      <x:c r="E141" s="9" t="str">
        <x:v>RT-B-C</x:v>
      </x:c>
      <x:c r="F141" s="9" t="str">
        <x:v>B2</x:v>
      </x:c>
      <x:c r="G141" s="9" t="str">
        <x:v>RCN</x:v>
      </x:c>
      <x:c r="H141" s="9" t="str">
        <x:v>RW07</x:v>
      </x:c>
      <x:c r="I141" s="17" t="str">
        <x:v>Candidate interface telemetry</x:v>
      </x:c>
      <x:c r="J141" s="17" t="str">
        <x:v>Interface custodian</x:v>
      </x:c>
      <x:c r="K141" s="17" t="str">
        <x:v>Public custody A</x:v>
      </x:c>
      <x:c r="L141" s="9" t="n">
        <x:v>0</x:v>
      </x:c>
      <x:c r="M141" s="9" t="n">
        <x:v>0</x:v>
      </x:c>
      <x:c r="N141" s="9" t="n">
        <x:v>0</x:v>
      </x:c>
      <x:c r="O141" s="9" t="n">
        <x:v>0</x:v>
      </x:c>
      <x:c r="P141" s="9" t="str">
        <x:v>UNSEALED / SOURCE-EMPTY</x:v>
      </x:c>
      <x:c r="Q141" s="9" t="n">
        <x:f>COUNTIFS($A$7:$A$1158,A141)</x:f>
        <x:v>1</x:v>
      </x:c>
    </x:row>
    <x:row r="142">
      <x:c r="A142" s="9" t="str">
        <x:v>EV-AR-RT-B-C-TECH-3-B2-RCN-G0-RW08</x:v>
      </x:c>
      <x:c r="B142" s="9" t="str">
        <x:v>EV-AR-RT-B-C-TECH-3-B2-RCN-G0</x:v>
      </x:c>
      <x:c r="C142" s="9" t="str">
        <x:v>AR-RT-B-C-TECH-3-B2-RCN-G0</x:v>
      </x:c>
      <x:c r="D142" s="9" t="str">
        <x:v>RT-B-C-TECH-3</x:v>
      </x:c>
      <x:c r="E142" s="9" t="str">
        <x:v>RT-B-C</x:v>
      </x:c>
      <x:c r="F142" s="9" t="str">
        <x:v>B2</x:v>
      </x:c>
      <x:c r="G142" s="9" t="str">
        <x:v>RCN</x:v>
      </x:c>
      <x:c r="H142" s="9" t="str">
        <x:v>RW08</x:v>
      </x:c>
      <x:c r="I142" s="17" t="str">
        <x:v>Residual and physical evidence</x:v>
      </x:c>
      <x:c r="J142" s="17" t="str">
        <x:v>Residual authority</x:v>
      </x:c>
      <x:c r="K142" s="17" t="str">
        <x:v>Public custody B</x:v>
      </x:c>
      <x:c r="L142" s="9" t="n">
        <x:v>0</x:v>
      </x:c>
      <x:c r="M142" s="9" t="n">
        <x:v>0</x:v>
      </x:c>
      <x:c r="N142" s="9" t="n">
        <x:v>0</x:v>
      </x:c>
      <x:c r="O142" s="9" t="n">
        <x:v>0</x:v>
      </x:c>
      <x:c r="P142" s="9" t="str">
        <x:v>UNSEALED / SOURCE-EMPTY</x:v>
      </x:c>
      <x:c r="Q142" s="9" t="n">
        <x:f>COUNTIFS($A$7:$A$1158,A142)</x:f>
        <x:v>1</x:v>
      </x:c>
    </x:row>
    <x:row r="143">
      <x:c r="A143" s="9" t="str">
        <x:v>EV-AR-RT-B-C-TECH-4-B1-RCN-G0-RW01</x:v>
      </x:c>
      <x:c r="B143" s="9" t="str">
        <x:v>EV-AR-RT-B-C-TECH-4-B1-RCN-G0</x:v>
      </x:c>
      <x:c r="C143" s="9" t="str">
        <x:v>AR-RT-B-C-TECH-4-B1-RCN-G0</x:v>
      </x:c>
      <x:c r="D143" s="9" t="str">
        <x:v>RT-B-C-TECH-4</x:v>
      </x:c>
      <x:c r="E143" s="9" t="str">
        <x:v>RT-B-C</x:v>
      </x:c>
      <x:c r="F143" s="9" t="str">
        <x:v>B1</x:v>
      </x:c>
      <x:c r="G143" s="9" t="str">
        <x:v>RCN</x:v>
      </x:c>
      <x:c r="H143" s="9" t="str">
        <x:v>RW01</x:v>
      </x:c>
      <x:c r="I143" s="17" t="str">
        <x:v>Primary raw stream</x:v>
      </x:c>
      <x:c r="J143" s="17" t="str">
        <x:v>Primary metrology</x:v>
      </x:c>
      <x:c r="K143" s="17" t="str">
        <x:v>Public custody A</x:v>
      </x:c>
      <x:c r="L143" s="9" t="n">
        <x:v>0</x:v>
      </x:c>
      <x:c r="M143" s="9" t="n">
        <x:v>0</x:v>
      </x:c>
      <x:c r="N143" s="9" t="n">
        <x:v>0</x:v>
      </x:c>
      <x:c r="O143" s="9" t="n">
        <x:v>0</x:v>
      </x:c>
      <x:c r="P143" s="9" t="str">
        <x:v>UNSEALED / SOURCE-EMPTY</x:v>
      </x:c>
      <x:c r="Q143" s="9" t="n">
        <x:f>COUNTIFS($A$7:$A$1158,A143)</x:f>
        <x:v>1</x:v>
      </x:c>
    </x:row>
    <x:row r="144">
      <x:c r="A144" s="9" t="str">
        <x:v>EV-AR-RT-B-C-TECH-4-B1-RCN-G0-RW02</x:v>
      </x:c>
      <x:c r="B144" s="9" t="str">
        <x:v>EV-AR-RT-B-C-TECH-4-B1-RCN-G0</x:v>
      </x:c>
      <x:c r="C144" s="9" t="str">
        <x:v>AR-RT-B-C-TECH-4-B1-RCN-G0</x:v>
      </x:c>
      <x:c r="D144" s="9" t="str">
        <x:v>RT-B-C-TECH-4</x:v>
      </x:c>
      <x:c r="E144" s="9" t="str">
        <x:v>RT-B-C</x:v>
      </x:c>
      <x:c r="F144" s="9" t="str">
        <x:v>B1</x:v>
      </x:c>
      <x:c r="G144" s="9" t="str">
        <x:v>RCN</x:v>
      </x:c>
      <x:c r="H144" s="9" t="str">
        <x:v>RW02</x:v>
      </x:c>
      <x:c r="I144" s="17" t="str">
        <x:v>Unlike witness stream</x:v>
      </x:c>
      <x:c r="J144" s="17" t="str">
        <x:v>Witness metrology</x:v>
      </x:c>
      <x:c r="K144" s="17" t="str">
        <x:v>Public custody B</x:v>
      </x:c>
      <x:c r="L144" s="9" t="n">
        <x:v>0</x:v>
      </x:c>
      <x:c r="M144" s="9" t="n">
        <x:v>0</x:v>
      </x:c>
      <x:c r="N144" s="9" t="n">
        <x:v>0</x:v>
      </x:c>
      <x:c r="O144" s="9" t="n">
        <x:v>0</x:v>
      </x:c>
      <x:c r="P144" s="9" t="str">
        <x:v>UNSEALED / SOURCE-EMPTY</x:v>
      </x:c>
      <x:c r="Q144" s="9" t="n">
        <x:f>COUNTIFS($A$7:$A$1158,A144)</x:f>
        <x:v>1</x:v>
      </x:c>
    </x:row>
    <x:row r="145">
      <x:c r="A145" s="9" t="str">
        <x:v>EV-AR-RT-B-C-TECH-4-B1-RCN-G0-RW03</x:v>
      </x:c>
      <x:c r="B145" s="9" t="str">
        <x:v>EV-AR-RT-B-C-TECH-4-B1-RCN-G0</x:v>
      </x:c>
      <x:c r="C145" s="9" t="str">
        <x:v>AR-RT-B-C-TECH-4-B1-RCN-G0</x:v>
      </x:c>
      <x:c r="D145" s="9" t="str">
        <x:v>RT-B-C-TECH-4</x:v>
      </x:c>
      <x:c r="E145" s="9" t="str">
        <x:v>RT-B-C</x:v>
      </x:c>
      <x:c r="F145" s="9" t="str">
        <x:v>B1</x:v>
      </x:c>
      <x:c r="G145" s="9" t="str">
        <x:v>RCN</x:v>
      </x:c>
      <x:c r="H145" s="9" t="str">
        <x:v>RW03</x:v>
      </x:c>
      <x:c r="I145" s="17" t="str">
        <x:v>Event clock and start traces</x:v>
      </x:c>
      <x:c r="J145" s="17" t="str">
        <x:v>Event clock authority</x:v>
      </x:c>
      <x:c r="K145" s="17" t="str">
        <x:v>Public custody C</x:v>
      </x:c>
      <x:c r="L145" s="9" t="n">
        <x:v>0</x:v>
      </x:c>
      <x:c r="M145" s="9" t="n">
        <x:v>0</x:v>
      </x:c>
      <x:c r="N145" s="9" t="n">
        <x:v>0</x:v>
      </x:c>
      <x:c r="O145" s="9" t="n">
        <x:v>0</x:v>
      </x:c>
      <x:c r="P145" s="9" t="str">
        <x:v>UNSEALED / SOURCE-EMPTY</x:v>
      </x:c>
      <x:c r="Q145" s="9" t="n">
        <x:f>COUNTIFS($A$7:$A$1158,A145)</x:f>
        <x:v>1</x:v>
      </x:c>
    </x:row>
    <x:row r="146">
      <x:c r="A146" s="9" t="str">
        <x:v>EV-AR-RT-B-C-TECH-4-B1-RCN-G0-RW04</x:v>
      </x:c>
      <x:c r="B146" s="9" t="str">
        <x:v>EV-AR-RT-B-C-TECH-4-B1-RCN-G0</x:v>
      </x:c>
      <x:c r="C146" s="9" t="str">
        <x:v>AR-RT-B-C-TECH-4-B1-RCN-G0</x:v>
      </x:c>
      <x:c r="D146" s="9" t="str">
        <x:v>RT-B-C-TECH-4</x:v>
      </x:c>
      <x:c r="E146" s="9" t="str">
        <x:v>RT-B-C</x:v>
      </x:c>
      <x:c r="F146" s="9" t="str">
        <x:v>B1</x:v>
      </x:c>
      <x:c r="G146" s="9" t="str">
        <x:v>RCN</x:v>
      </x:c>
      <x:c r="H146" s="9" t="str">
        <x:v>RW04</x:v>
      </x:c>
      <x:c r="I146" s="17" t="str">
        <x:v>Environmental boundary stream</x:v>
      </x:c>
      <x:c r="J146" s="17" t="str">
        <x:v>Site metrology</x:v>
      </x:c>
      <x:c r="K146" s="17" t="str">
        <x:v>Public custody D</x:v>
      </x:c>
      <x:c r="L146" s="9" t="n">
        <x:v>0</x:v>
      </x:c>
      <x:c r="M146" s="9" t="n">
        <x:v>0</x:v>
      </x:c>
      <x:c r="N146" s="9" t="n">
        <x:v>0</x:v>
      </x:c>
      <x:c r="O146" s="9" t="n">
        <x:v>0</x:v>
      </x:c>
      <x:c r="P146" s="9" t="str">
        <x:v>UNSEALED / SOURCE-EMPTY</x:v>
      </x:c>
      <x:c r="Q146" s="9" t="n">
        <x:f>COUNTIFS($A$7:$A$1158,A146)</x:f>
        <x:v>1</x:v>
      </x:c>
    </x:row>
    <x:row r="147">
      <x:c r="A147" s="9" t="str">
        <x:v>EV-AR-RT-B-C-TECH-4-B1-RCN-G0-RW05</x:v>
      </x:c>
      <x:c r="B147" s="9" t="str">
        <x:v>EV-AR-RT-B-C-TECH-4-B1-RCN-G0</x:v>
      </x:c>
      <x:c r="C147" s="9" t="str">
        <x:v>AR-RT-B-C-TECH-4-B1-RCN-G0</x:v>
      </x:c>
      <x:c r="D147" s="9" t="str">
        <x:v>RT-B-C-TECH-4</x:v>
      </x:c>
      <x:c r="E147" s="9" t="str">
        <x:v>RT-B-C</x:v>
      </x:c>
      <x:c r="F147" s="9" t="str">
        <x:v>B1</x:v>
      </x:c>
      <x:c r="G147" s="9" t="str">
        <x:v>RCN</x:v>
      </x:c>
      <x:c r="H147" s="9" t="str">
        <x:v>RW05</x:v>
      </x:c>
      <x:c r="I147" s="17" t="str">
        <x:v>Command and intervention log</x:v>
      </x:c>
      <x:c r="J147" s="17" t="str">
        <x:v>Safety authority</x:v>
      </x:c>
      <x:c r="K147" s="17" t="str">
        <x:v>Public custody E</x:v>
      </x:c>
      <x:c r="L147" s="9" t="n">
        <x:v>0</x:v>
      </x:c>
      <x:c r="M147" s="9" t="n">
        <x:v>0</x:v>
      </x:c>
      <x:c r="N147" s="9" t="n">
        <x:v>0</x:v>
      </x:c>
      <x:c r="O147" s="9" t="n">
        <x:v>0</x:v>
      </x:c>
      <x:c r="P147" s="9" t="str">
        <x:v>UNSEALED / SOURCE-EMPTY</x:v>
      </x:c>
      <x:c r="Q147" s="9" t="n">
        <x:f>COUNTIFS($A$7:$A$1158,A147)</x:f>
        <x:v>1</x:v>
      </x:c>
    </x:row>
    <x:row r="148">
      <x:c r="A148" s="9" t="str">
        <x:v>EV-AR-RT-B-C-TECH-4-B1-RCN-G0-RW06</x:v>
      </x:c>
      <x:c r="B148" s="9" t="str">
        <x:v>EV-AR-RT-B-C-TECH-4-B1-RCN-G0</x:v>
      </x:c>
      <x:c r="C148" s="9" t="str">
        <x:v>AR-RT-B-C-TECH-4-B1-RCN-G0</x:v>
      </x:c>
      <x:c r="D148" s="9" t="str">
        <x:v>RT-B-C-TECH-4</x:v>
      </x:c>
      <x:c r="E148" s="9" t="str">
        <x:v>RT-B-C</x:v>
      </x:c>
      <x:c r="F148" s="9" t="str">
        <x:v>B1</x:v>
      </x:c>
      <x:c r="G148" s="9" t="str">
        <x:v>RCN</x:v>
      </x:c>
      <x:c r="H148" s="9" t="str">
        <x:v>RW06</x:v>
      </x:c>
      <x:c r="I148" s="17" t="str">
        <x:v>Receiver service ledger</x:v>
      </x:c>
      <x:c r="J148" s="17" t="str">
        <x:v>Receiver authority</x:v>
      </x:c>
      <x:c r="K148" s="17" t="str">
        <x:v>Public custody F</x:v>
      </x:c>
      <x:c r="L148" s="9" t="n">
        <x:v>0</x:v>
      </x:c>
      <x:c r="M148" s="9" t="n">
        <x:v>0</x:v>
      </x:c>
      <x:c r="N148" s="9" t="n">
        <x:v>0</x:v>
      </x:c>
      <x:c r="O148" s="9" t="n">
        <x:v>0</x:v>
      </x:c>
      <x:c r="P148" s="9" t="str">
        <x:v>UNSEALED / SOURCE-EMPTY</x:v>
      </x:c>
      <x:c r="Q148" s="9" t="n">
        <x:f>COUNTIFS($A$7:$A$1158,A148)</x:f>
        <x:v>1</x:v>
      </x:c>
    </x:row>
    <x:row r="149">
      <x:c r="A149" s="9" t="str">
        <x:v>EV-AR-RT-B-C-TECH-4-B1-RCN-G0-RW07</x:v>
      </x:c>
      <x:c r="B149" s="9" t="str">
        <x:v>EV-AR-RT-B-C-TECH-4-B1-RCN-G0</x:v>
      </x:c>
      <x:c r="C149" s="9" t="str">
        <x:v>AR-RT-B-C-TECH-4-B1-RCN-G0</x:v>
      </x:c>
      <x:c r="D149" s="9" t="str">
        <x:v>RT-B-C-TECH-4</x:v>
      </x:c>
      <x:c r="E149" s="9" t="str">
        <x:v>RT-B-C</x:v>
      </x:c>
      <x:c r="F149" s="9" t="str">
        <x:v>B1</x:v>
      </x:c>
      <x:c r="G149" s="9" t="str">
        <x:v>RCN</x:v>
      </x:c>
      <x:c r="H149" s="9" t="str">
        <x:v>RW07</x:v>
      </x:c>
      <x:c r="I149" s="17" t="str">
        <x:v>Candidate interface telemetry</x:v>
      </x:c>
      <x:c r="J149" s="17" t="str">
        <x:v>Interface custodian</x:v>
      </x:c>
      <x:c r="K149" s="17" t="str">
        <x:v>Public custody A</x:v>
      </x:c>
      <x:c r="L149" s="9" t="n">
        <x:v>0</x:v>
      </x:c>
      <x:c r="M149" s="9" t="n">
        <x:v>0</x:v>
      </x:c>
      <x:c r="N149" s="9" t="n">
        <x:v>0</x:v>
      </x:c>
      <x:c r="O149" s="9" t="n">
        <x:v>0</x:v>
      </x:c>
      <x:c r="P149" s="9" t="str">
        <x:v>UNSEALED / SOURCE-EMPTY</x:v>
      </x:c>
      <x:c r="Q149" s="9" t="n">
        <x:f>COUNTIFS($A$7:$A$1158,A149)</x:f>
        <x:v>1</x:v>
      </x:c>
    </x:row>
    <x:row r="150">
      <x:c r="A150" s="9" t="str">
        <x:v>EV-AR-RT-B-C-TECH-4-B1-RCN-G0-RW08</x:v>
      </x:c>
      <x:c r="B150" s="9" t="str">
        <x:v>EV-AR-RT-B-C-TECH-4-B1-RCN-G0</x:v>
      </x:c>
      <x:c r="C150" s="9" t="str">
        <x:v>AR-RT-B-C-TECH-4-B1-RCN-G0</x:v>
      </x:c>
      <x:c r="D150" s="9" t="str">
        <x:v>RT-B-C-TECH-4</x:v>
      </x:c>
      <x:c r="E150" s="9" t="str">
        <x:v>RT-B-C</x:v>
      </x:c>
      <x:c r="F150" s="9" t="str">
        <x:v>B1</x:v>
      </x:c>
      <x:c r="G150" s="9" t="str">
        <x:v>RCN</x:v>
      </x:c>
      <x:c r="H150" s="9" t="str">
        <x:v>RW08</x:v>
      </x:c>
      <x:c r="I150" s="17" t="str">
        <x:v>Residual and physical evidence</x:v>
      </x:c>
      <x:c r="J150" s="17" t="str">
        <x:v>Residual authority</x:v>
      </x:c>
      <x:c r="K150" s="17" t="str">
        <x:v>Public custody B</x:v>
      </x:c>
      <x:c r="L150" s="9" t="n">
        <x:v>0</x:v>
      </x:c>
      <x:c r="M150" s="9" t="n">
        <x:v>0</x:v>
      </x:c>
      <x:c r="N150" s="9" t="n">
        <x:v>0</x:v>
      </x:c>
      <x:c r="O150" s="9" t="n">
        <x:v>0</x:v>
      </x:c>
      <x:c r="P150" s="9" t="str">
        <x:v>UNSEALED / SOURCE-EMPTY</x:v>
      </x:c>
      <x:c r="Q150" s="9" t="n">
        <x:f>COUNTIFS($A$7:$A$1158,A150)</x:f>
        <x:v>1</x:v>
      </x:c>
    </x:row>
    <x:row r="151">
      <x:c r="A151" s="9" t="str">
        <x:v>EV-AR-CT-C-B-TECH-4-B1-BRK-G0-RW01</x:v>
      </x:c>
      <x:c r="B151" s="9" t="str">
        <x:v>EV-AR-CT-C-B-TECH-4-B1-BRK-G0</x:v>
      </x:c>
      <x:c r="C151" s="9" t="str">
        <x:v>AR-CT-C-B-TECH-4-B1-BRK-G0</x:v>
      </x:c>
      <x:c r="D151" s="9" t="str">
        <x:v>CT-C-B-TECH-4</x:v>
      </x:c>
      <x:c r="E151" s="9" t="str">
        <x:v>CT-C-B</x:v>
      </x:c>
      <x:c r="F151" s="9" t="str">
        <x:v>B1</x:v>
      </x:c>
      <x:c r="G151" s="9" t="str">
        <x:v>BRK</x:v>
      </x:c>
      <x:c r="H151" s="9" t="str">
        <x:v>RW01</x:v>
      </x:c>
      <x:c r="I151" s="17" t="str">
        <x:v>Primary raw stream</x:v>
      </x:c>
      <x:c r="J151" s="17" t="str">
        <x:v>Primary metrology</x:v>
      </x:c>
      <x:c r="K151" s="17" t="str">
        <x:v>Public custody A</x:v>
      </x:c>
      <x:c r="L151" s="9" t="n">
        <x:v>0</x:v>
      </x:c>
      <x:c r="M151" s="9" t="n">
        <x:v>0</x:v>
      </x:c>
      <x:c r="N151" s="9" t="n">
        <x:v>0</x:v>
      </x:c>
      <x:c r="O151" s="9" t="n">
        <x:v>0</x:v>
      </x:c>
      <x:c r="P151" s="9" t="str">
        <x:v>UNSEALED / SOURCE-EMPTY</x:v>
      </x:c>
      <x:c r="Q151" s="9" t="n">
        <x:f>COUNTIFS($A$7:$A$1158,A151)</x:f>
        <x:v>1</x:v>
      </x:c>
    </x:row>
    <x:row r="152">
      <x:c r="A152" s="9" t="str">
        <x:v>EV-AR-CT-C-B-TECH-4-B1-BRK-G0-RW02</x:v>
      </x:c>
      <x:c r="B152" s="9" t="str">
        <x:v>EV-AR-CT-C-B-TECH-4-B1-BRK-G0</x:v>
      </x:c>
      <x:c r="C152" s="9" t="str">
        <x:v>AR-CT-C-B-TECH-4-B1-BRK-G0</x:v>
      </x:c>
      <x:c r="D152" s="9" t="str">
        <x:v>CT-C-B-TECH-4</x:v>
      </x:c>
      <x:c r="E152" s="9" t="str">
        <x:v>CT-C-B</x:v>
      </x:c>
      <x:c r="F152" s="9" t="str">
        <x:v>B1</x:v>
      </x:c>
      <x:c r="G152" s="9" t="str">
        <x:v>BRK</x:v>
      </x:c>
      <x:c r="H152" s="9" t="str">
        <x:v>RW02</x:v>
      </x:c>
      <x:c r="I152" s="17" t="str">
        <x:v>Unlike witness stream</x:v>
      </x:c>
      <x:c r="J152" s="17" t="str">
        <x:v>Witness metrology</x:v>
      </x:c>
      <x:c r="K152" s="17" t="str">
        <x:v>Public custody B</x:v>
      </x:c>
      <x:c r="L152" s="9" t="n">
        <x:v>0</x:v>
      </x:c>
      <x:c r="M152" s="9" t="n">
        <x:v>0</x:v>
      </x:c>
      <x:c r="N152" s="9" t="n">
        <x:v>0</x:v>
      </x:c>
      <x:c r="O152" s="9" t="n">
        <x:v>0</x:v>
      </x:c>
      <x:c r="P152" s="9" t="str">
        <x:v>UNSEALED / SOURCE-EMPTY</x:v>
      </x:c>
      <x:c r="Q152" s="9" t="n">
        <x:f>COUNTIFS($A$7:$A$1158,A152)</x:f>
        <x:v>1</x:v>
      </x:c>
    </x:row>
    <x:row r="153">
      <x:c r="A153" s="9" t="str">
        <x:v>EV-AR-CT-C-B-TECH-4-B1-BRK-G0-RW03</x:v>
      </x:c>
      <x:c r="B153" s="9" t="str">
        <x:v>EV-AR-CT-C-B-TECH-4-B1-BRK-G0</x:v>
      </x:c>
      <x:c r="C153" s="9" t="str">
        <x:v>AR-CT-C-B-TECH-4-B1-BRK-G0</x:v>
      </x:c>
      <x:c r="D153" s="9" t="str">
        <x:v>CT-C-B-TECH-4</x:v>
      </x:c>
      <x:c r="E153" s="9" t="str">
        <x:v>CT-C-B</x:v>
      </x:c>
      <x:c r="F153" s="9" t="str">
        <x:v>B1</x:v>
      </x:c>
      <x:c r="G153" s="9" t="str">
        <x:v>BRK</x:v>
      </x:c>
      <x:c r="H153" s="9" t="str">
        <x:v>RW03</x:v>
      </x:c>
      <x:c r="I153" s="17" t="str">
        <x:v>Event clock and start traces</x:v>
      </x:c>
      <x:c r="J153" s="17" t="str">
        <x:v>Event clock authority</x:v>
      </x:c>
      <x:c r="K153" s="17" t="str">
        <x:v>Public custody C</x:v>
      </x:c>
      <x:c r="L153" s="9" t="n">
        <x:v>0</x:v>
      </x:c>
      <x:c r="M153" s="9" t="n">
        <x:v>0</x:v>
      </x:c>
      <x:c r="N153" s="9" t="n">
        <x:v>0</x:v>
      </x:c>
      <x:c r="O153" s="9" t="n">
        <x:v>0</x:v>
      </x:c>
      <x:c r="P153" s="9" t="str">
        <x:v>UNSEALED / SOURCE-EMPTY</x:v>
      </x:c>
      <x:c r="Q153" s="9" t="n">
        <x:f>COUNTIFS($A$7:$A$1158,A153)</x:f>
        <x:v>1</x:v>
      </x:c>
    </x:row>
    <x:row r="154">
      <x:c r="A154" s="9" t="str">
        <x:v>EV-AR-CT-C-B-TECH-4-B1-BRK-G0-RW04</x:v>
      </x:c>
      <x:c r="B154" s="9" t="str">
        <x:v>EV-AR-CT-C-B-TECH-4-B1-BRK-G0</x:v>
      </x:c>
      <x:c r="C154" s="9" t="str">
        <x:v>AR-CT-C-B-TECH-4-B1-BRK-G0</x:v>
      </x:c>
      <x:c r="D154" s="9" t="str">
        <x:v>CT-C-B-TECH-4</x:v>
      </x:c>
      <x:c r="E154" s="9" t="str">
        <x:v>CT-C-B</x:v>
      </x:c>
      <x:c r="F154" s="9" t="str">
        <x:v>B1</x:v>
      </x:c>
      <x:c r="G154" s="9" t="str">
        <x:v>BRK</x:v>
      </x:c>
      <x:c r="H154" s="9" t="str">
        <x:v>RW04</x:v>
      </x:c>
      <x:c r="I154" s="17" t="str">
        <x:v>Environmental boundary stream</x:v>
      </x:c>
      <x:c r="J154" s="17" t="str">
        <x:v>Site metrology</x:v>
      </x:c>
      <x:c r="K154" s="17" t="str">
        <x:v>Public custody D</x:v>
      </x:c>
      <x:c r="L154" s="9" t="n">
        <x:v>0</x:v>
      </x:c>
      <x:c r="M154" s="9" t="n">
        <x:v>0</x:v>
      </x:c>
      <x:c r="N154" s="9" t="n">
        <x:v>0</x:v>
      </x:c>
      <x:c r="O154" s="9" t="n">
        <x:v>0</x:v>
      </x:c>
      <x:c r="P154" s="9" t="str">
        <x:v>UNSEALED / SOURCE-EMPTY</x:v>
      </x:c>
      <x:c r="Q154" s="9" t="n">
        <x:f>COUNTIFS($A$7:$A$1158,A154)</x:f>
        <x:v>1</x:v>
      </x:c>
    </x:row>
    <x:row r="155">
      <x:c r="A155" s="9" t="str">
        <x:v>EV-AR-CT-C-B-TECH-4-B1-BRK-G0-RW05</x:v>
      </x:c>
      <x:c r="B155" s="9" t="str">
        <x:v>EV-AR-CT-C-B-TECH-4-B1-BRK-G0</x:v>
      </x:c>
      <x:c r="C155" s="9" t="str">
        <x:v>AR-CT-C-B-TECH-4-B1-BRK-G0</x:v>
      </x:c>
      <x:c r="D155" s="9" t="str">
        <x:v>CT-C-B-TECH-4</x:v>
      </x:c>
      <x:c r="E155" s="9" t="str">
        <x:v>CT-C-B</x:v>
      </x:c>
      <x:c r="F155" s="9" t="str">
        <x:v>B1</x:v>
      </x:c>
      <x:c r="G155" s="9" t="str">
        <x:v>BRK</x:v>
      </x:c>
      <x:c r="H155" s="9" t="str">
        <x:v>RW05</x:v>
      </x:c>
      <x:c r="I155" s="17" t="str">
        <x:v>Command and intervention log</x:v>
      </x:c>
      <x:c r="J155" s="17" t="str">
        <x:v>Safety authority</x:v>
      </x:c>
      <x:c r="K155" s="17" t="str">
        <x:v>Public custody E</x:v>
      </x:c>
      <x:c r="L155" s="9" t="n">
        <x:v>0</x:v>
      </x:c>
      <x:c r="M155" s="9" t="n">
        <x:v>0</x:v>
      </x:c>
      <x:c r="N155" s="9" t="n">
        <x:v>0</x:v>
      </x:c>
      <x:c r="O155" s="9" t="n">
        <x:v>0</x:v>
      </x:c>
      <x:c r="P155" s="9" t="str">
        <x:v>UNSEALED / SOURCE-EMPTY</x:v>
      </x:c>
      <x:c r="Q155" s="9" t="n">
        <x:f>COUNTIFS($A$7:$A$1158,A155)</x:f>
        <x:v>1</x:v>
      </x:c>
    </x:row>
    <x:row r="156">
      <x:c r="A156" s="9" t="str">
        <x:v>EV-AR-CT-C-B-TECH-4-B1-BRK-G0-RW06</x:v>
      </x:c>
      <x:c r="B156" s="9" t="str">
        <x:v>EV-AR-CT-C-B-TECH-4-B1-BRK-G0</x:v>
      </x:c>
      <x:c r="C156" s="9" t="str">
        <x:v>AR-CT-C-B-TECH-4-B1-BRK-G0</x:v>
      </x:c>
      <x:c r="D156" s="9" t="str">
        <x:v>CT-C-B-TECH-4</x:v>
      </x:c>
      <x:c r="E156" s="9" t="str">
        <x:v>CT-C-B</x:v>
      </x:c>
      <x:c r="F156" s="9" t="str">
        <x:v>B1</x:v>
      </x:c>
      <x:c r="G156" s="9" t="str">
        <x:v>BRK</x:v>
      </x:c>
      <x:c r="H156" s="9" t="str">
        <x:v>RW06</x:v>
      </x:c>
      <x:c r="I156" s="17" t="str">
        <x:v>Receiver service ledger</x:v>
      </x:c>
      <x:c r="J156" s="17" t="str">
        <x:v>Receiver authority</x:v>
      </x:c>
      <x:c r="K156" s="17" t="str">
        <x:v>Public custody F</x:v>
      </x:c>
      <x:c r="L156" s="9" t="n">
        <x:v>0</x:v>
      </x:c>
      <x:c r="M156" s="9" t="n">
        <x:v>0</x:v>
      </x:c>
      <x:c r="N156" s="9" t="n">
        <x:v>0</x:v>
      </x:c>
      <x:c r="O156" s="9" t="n">
        <x:v>0</x:v>
      </x:c>
      <x:c r="P156" s="9" t="str">
        <x:v>UNSEALED / SOURCE-EMPTY</x:v>
      </x:c>
      <x:c r="Q156" s="9" t="n">
        <x:f>COUNTIFS($A$7:$A$1158,A156)</x:f>
        <x:v>1</x:v>
      </x:c>
    </x:row>
    <x:row r="157">
      <x:c r="A157" s="9" t="str">
        <x:v>EV-AR-CT-C-B-TECH-4-B1-BRK-G0-RW07</x:v>
      </x:c>
      <x:c r="B157" s="9" t="str">
        <x:v>EV-AR-CT-C-B-TECH-4-B1-BRK-G0</x:v>
      </x:c>
      <x:c r="C157" s="9" t="str">
        <x:v>AR-CT-C-B-TECH-4-B1-BRK-G0</x:v>
      </x:c>
      <x:c r="D157" s="9" t="str">
        <x:v>CT-C-B-TECH-4</x:v>
      </x:c>
      <x:c r="E157" s="9" t="str">
        <x:v>CT-C-B</x:v>
      </x:c>
      <x:c r="F157" s="9" t="str">
        <x:v>B1</x:v>
      </x:c>
      <x:c r="G157" s="9" t="str">
        <x:v>BRK</x:v>
      </x:c>
      <x:c r="H157" s="9" t="str">
        <x:v>RW07</x:v>
      </x:c>
      <x:c r="I157" s="17" t="str">
        <x:v>Candidate interface telemetry</x:v>
      </x:c>
      <x:c r="J157" s="17" t="str">
        <x:v>Interface custodian</x:v>
      </x:c>
      <x:c r="K157" s="17" t="str">
        <x:v>Public custody A</x:v>
      </x:c>
      <x:c r="L157" s="9" t="n">
        <x:v>0</x:v>
      </x:c>
      <x:c r="M157" s="9" t="n">
        <x:v>0</x:v>
      </x:c>
      <x:c r="N157" s="9" t="n">
        <x:v>0</x:v>
      </x:c>
      <x:c r="O157" s="9" t="n">
        <x:v>0</x:v>
      </x:c>
      <x:c r="P157" s="9" t="str">
        <x:v>UNSEALED / SOURCE-EMPTY</x:v>
      </x:c>
      <x:c r="Q157" s="9" t="n">
        <x:f>COUNTIFS($A$7:$A$1158,A157)</x:f>
        <x:v>1</x:v>
      </x:c>
    </x:row>
    <x:row r="158">
      <x:c r="A158" s="9" t="str">
        <x:v>EV-AR-CT-C-B-TECH-4-B1-BRK-G0-RW08</x:v>
      </x:c>
      <x:c r="B158" s="9" t="str">
        <x:v>EV-AR-CT-C-B-TECH-4-B1-BRK-G0</x:v>
      </x:c>
      <x:c r="C158" s="9" t="str">
        <x:v>AR-CT-C-B-TECH-4-B1-BRK-G0</x:v>
      </x:c>
      <x:c r="D158" s="9" t="str">
        <x:v>CT-C-B-TECH-4</x:v>
      </x:c>
      <x:c r="E158" s="9" t="str">
        <x:v>CT-C-B</x:v>
      </x:c>
      <x:c r="F158" s="9" t="str">
        <x:v>B1</x:v>
      </x:c>
      <x:c r="G158" s="9" t="str">
        <x:v>BRK</x:v>
      </x:c>
      <x:c r="H158" s="9" t="str">
        <x:v>RW08</x:v>
      </x:c>
      <x:c r="I158" s="17" t="str">
        <x:v>Residual and physical evidence</x:v>
      </x:c>
      <x:c r="J158" s="17" t="str">
        <x:v>Residual authority</x:v>
      </x:c>
      <x:c r="K158" s="17" t="str">
        <x:v>Public custody B</x:v>
      </x:c>
      <x:c r="L158" s="9" t="n">
        <x:v>0</x:v>
      </x:c>
      <x:c r="M158" s="9" t="n">
        <x:v>0</x:v>
      </x:c>
      <x:c r="N158" s="9" t="n">
        <x:v>0</x:v>
      </x:c>
      <x:c r="O158" s="9" t="n">
        <x:v>0</x:v>
      </x:c>
      <x:c r="P158" s="9" t="str">
        <x:v>UNSEALED / SOURCE-EMPTY</x:v>
      </x:c>
      <x:c r="Q158" s="9" t="n">
        <x:f>COUNTIFS($A$7:$A$1158,A158)</x:f>
        <x:v>1</x:v>
      </x:c>
    </x:row>
    <x:row r="159">
      <x:c r="A159" s="9" t="str">
        <x:v>EV-AR-CT-C-B-TECH-2-B1-RCN-G0-RW01</x:v>
      </x:c>
      <x:c r="B159" s="9" t="str">
        <x:v>EV-AR-CT-C-B-TECH-2-B1-RCN-G0</x:v>
      </x:c>
      <x:c r="C159" s="9" t="str">
        <x:v>AR-CT-C-B-TECH-2-B1-RCN-G0</x:v>
      </x:c>
      <x:c r="D159" s="9" t="str">
        <x:v>CT-C-B-TECH-2</x:v>
      </x:c>
      <x:c r="E159" s="9" t="str">
        <x:v>CT-C-B</x:v>
      </x:c>
      <x:c r="F159" s="9" t="str">
        <x:v>B1</x:v>
      </x:c>
      <x:c r="G159" s="9" t="str">
        <x:v>RCN</x:v>
      </x:c>
      <x:c r="H159" s="9" t="str">
        <x:v>RW01</x:v>
      </x:c>
      <x:c r="I159" s="17" t="str">
        <x:v>Primary raw stream</x:v>
      </x:c>
      <x:c r="J159" s="17" t="str">
        <x:v>Primary metrology</x:v>
      </x:c>
      <x:c r="K159" s="17" t="str">
        <x:v>Public custody A</x:v>
      </x:c>
      <x:c r="L159" s="9" t="n">
        <x:v>0</x:v>
      </x:c>
      <x:c r="M159" s="9" t="n">
        <x:v>0</x:v>
      </x:c>
      <x:c r="N159" s="9" t="n">
        <x:v>0</x:v>
      </x:c>
      <x:c r="O159" s="9" t="n">
        <x:v>0</x:v>
      </x:c>
      <x:c r="P159" s="9" t="str">
        <x:v>UNSEALED / SOURCE-EMPTY</x:v>
      </x:c>
      <x:c r="Q159" s="9" t="n">
        <x:f>COUNTIFS($A$7:$A$1158,A159)</x:f>
        <x:v>1</x:v>
      </x:c>
    </x:row>
    <x:row r="160">
      <x:c r="A160" s="9" t="str">
        <x:v>EV-AR-CT-C-B-TECH-2-B1-RCN-G0-RW02</x:v>
      </x:c>
      <x:c r="B160" s="9" t="str">
        <x:v>EV-AR-CT-C-B-TECH-2-B1-RCN-G0</x:v>
      </x:c>
      <x:c r="C160" s="9" t="str">
        <x:v>AR-CT-C-B-TECH-2-B1-RCN-G0</x:v>
      </x:c>
      <x:c r="D160" s="9" t="str">
        <x:v>CT-C-B-TECH-2</x:v>
      </x:c>
      <x:c r="E160" s="9" t="str">
        <x:v>CT-C-B</x:v>
      </x:c>
      <x:c r="F160" s="9" t="str">
        <x:v>B1</x:v>
      </x:c>
      <x:c r="G160" s="9" t="str">
        <x:v>RCN</x:v>
      </x:c>
      <x:c r="H160" s="9" t="str">
        <x:v>RW02</x:v>
      </x:c>
      <x:c r="I160" s="17" t="str">
        <x:v>Unlike witness stream</x:v>
      </x:c>
      <x:c r="J160" s="17" t="str">
        <x:v>Witness metrology</x:v>
      </x:c>
      <x:c r="K160" s="17" t="str">
        <x:v>Public custody B</x:v>
      </x:c>
      <x:c r="L160" s="9" t="n">
        <x:v>0</x:v>
      </x:c>
      <x:c r="M160" s="9" t="n">
        <x:v>0</x:v>
      </x:c>
      <x:c r="N160" s="9" t="n">
        <x:v>0</x:v>
      </x:c>
      <x:c r="O160" s="9" t="n">
        <x:v>0</x:v>
      </x:c>
      <x:c r="P160" s="9" t="str">
        <x:v>UNSEALED / SOURCE-EMPTY</x:v>
      </x:c>
      <x:c r="Q160" s="9" t="n">
        <x:f>COUNTIFS($A$7:$A$1158,A160)</x:f>
        <x:v>1</x:v>
      </x:c>
    </x:row>
    <x:row r="161">
      <x:c r="A161" s="9" t="str">
        <x:v>EV-AR-CT-C-B-TECH-2-B1-RCN-G0-RW03</x:v>
      </x:c>
      <x:c r="B161" s="9" t="str">
        <x:v>EV-AR-CT-C-B-TECH-2-B1-RCN-G0</x:v>
      </x:c>
      <x:c r="C161" s="9" t="str">
        <x:v>AR-CT-C-B-TECH-2-B1-RCN-G0</x:v>
      </x:c>
      <x:c r="D161" s="9" t="str">
        <x:v>CT-C-B-TECH-2</x:v>
      </x:c>
      <x:c r="E161" s="9" t="str">
        <x:v>CT-C-B</x:v>
      </x:c>
      <x:c r="F161" s="9" t="str">
        <x:v>B1</x:v>
      </x:c>
      <x:c r="G161" s="9" t="str">
        <x:v>RCN</x:v>
      </x:c>
      <x:c r="H161" s="9" t="str">
        <x:v>RW03</x:v>
      </x:c>
      <x:c r="I161" s="17" t="str">
        <x:v>Event clock and start traces</x:v>
      </x:c>
      <x:c r="J161" s="17" t="str">
        <x:v>Event clock authority</x:v>
      </x:c>
      <x:c r="K161" s="17" t="str">
        <x:v>Public custody C</x:v>
      </x:c>
      <x:c r="L161" s="9" t="n">
        <x:v>0</x:v>
      </x:c>
      <x:c r="M161" s="9" t="n">
        <x:v>0</x:v>
      </x:c>
      <x:c r="N161" s="9" t="n">
        <x:v>0</x:v>
      </x:c>
      <x:c r="O161" s="9" t="n">
        <x:v>0</x:v>
      </x:c>
      <x:c r="P161" s="9" t="str">
        <x:v>UNSEALED / SOURCE-EMPTY</x:v>
      </x:c>
      <x:c r="Q161" s="9" t="n">
        <x:f>COUNTIFS($A$7:$A$1158,A161)</x:f>
        <x:v>1</x:v>
      </x:c>
    </x:row>
    <x:row r="162">
      <x:c r="A162" s="9" t="str">
        <x:v>EV-AR-CT-C-B-TECH-2-B1-RCN-G0-RW04</x:v>
      </x:c>
      <x:c r="B162" s="9" t="str">
        <x:v>EV-AR-CT-C-B-TECH-2-B1-RCN-G0</x:v>
      </x:c>
      <x:c r="C162" s="9" t="str">
        <x:v>AR-CT-C-B-TECH-2-B1-RCN-G0</x:v>
      </x:c>
      <x:c r="D162" s="9" t="str">
        <x:v>CT-C-B-TECH-2</x:v>
      </x:c>
      <x:c r="E162" s="9" t="str">
        <x:v>CT-C-B</x:v>
      </x:c>
      <x:c r="F162" s="9" t="str">
        <x:v>B1</x:v>
      </x:c>
      <x:c r="G162" s="9" t="str">
        <x:v>RCN</x:v>
      </x:c>
      <x:c r="H162" s="9" t="str">
        <x:v>RW04</x:v>
      </x:c>
      <x:c r="I162" s="17" t="str">
        <x:v>Environmental boundary stream</x:v>
      </x:c>
      <x:c r="J162" s="17" t="str">
        <x:v>Site metrology</x:v>
      </x:c>
      <x:c r="K162" s="17" t="str">
        <x:v>Public custody D</x:v>
      </x:c>
      <x:c r="L162" s="9" t="n">
        <x:v>0</x:v>
      </x:c>
      <x:c r="M162" s="9" t="n">
        <x:v>0</x:v>
      </x:c>
      <x:c r="N162" s="9" t="n">
        <x:v>0</x:v>
      </x:c>
      <x:c r="O162" s="9" t="n">
        <x:v>0</x:v>
      </x:c>
      <x:c r="P162" s="9" t="str">
        <x:v>UNSEALED / SOURCE-EMPTY</x:v>
      </x:c>
      <x:c r="Q162" s="9" t="n">
        <x:f>COUNTIFS($A$7:$A$1158,A162)</x:f>
        <x:v>1</x:v>
      </x:c>
    </x:row>
    <x:row r="163">
      <x:c r="A163" s="9" t="str">
        <x:v>EV-AR-CT-C-B-TECH-2-B1-RCN-G0-RW05</x:v>
      </x:c>
      <x:c r="B163" s="9" t="str">
        <x:v>EV-AR-CT-C-B-TECH-2-B1-RCN-G0</x:v>
      </x:c>
      <x:c r="C163" s="9" t="str">
        <x:v>AR-CT-C-B-TECH-2-B1-RCN-G0</x:v>
      </x:c>
      <x:c r="D163" s="9" t="str">
        <x:v>CT-C-B-TECH-2</x:v>
      </x:c>
      <x:c r="E163" s="9" t="str">
        <x:v>CT-C-B</x:v>
      </x:c>
      <x:c r="F163" s="9" t="str">
        <x:v>B1</x:v>
      </x:c>
      <x:c r="G163" s="9" t="str">
        <x:v>RCN</x:v>
      </x:c>
      <x:c r="H163" s="9" t="str">
        <x:v>RW05</x:v>
      </x:c>
      <x:c r="I163" s="17" t="str">
        <x:v>Command and intervention log</x:v>
      </x:c>
      <x:c r="J163" s="17" t="str">
        <x:v>Safety authority</x:v>
      </x:c>
      <x:c r="K163" s="17" t="str">
        <x:v>Public custody E</x:v>
      </x:c>
      <x:c r="L163" s="9" t="n">
        <x:v>0</x:v>
      </x:c>
      <x:c r="M163" s="9" t="n">
        <x:v>0</x:v>
      </x:c>
      <x:c r="N163" s="9" t="n">
        <x:v>0</x:v>
      </x:c>
      <x:c r="O163" s="9" t="n">
        <x:v>0</x:v>
      </x:c>
      <x:c r="P163" s="9" t="str">
        <x:v>UNSEALED / SOURCE-EMPTY</x:v>
      </x:c>
      <x:c r="Q163" s="9" t="n">
        <x:f>COUNTIFS($A$7:$A$1158,A163)</x:f>
        <x:v>1</x:v>
      </x:c>
    </x:row>
    <x:row r="164">
      <x:c r="A164" s="9" t="str">
        <x:v>EV-AR-CT-C-B-TECH-2-B1-RCN-G0-RW06</x:v>
      </x:c>
      <x:c r="B164" s="9" t="str">
        <x:v>EV-AR-CT-C-B-TECH-2-B1-RCN-G0</x:v>
      </x:c>
      <x:c r="C164" s="9" t="str">
        <x:v>AR-CT-C-B-TECH-2-B1-RCN-G0</x:v>
      </x:c>
      <x:c r="D164" s="9" t="str">
        <x:v>CT-C-B-TECH-2</x:v>
      </x:c>
      <x:c r="E164" s="9" t="str">
        <x:v>CT-C-B</x:v>
      </x:c>
      <x:c r="F164" s="9" t="str">
        <x:v>B1</x:v>
      </x:c>
      <x:c r="G164" s="9" t="str">
        <x:v>RCN</x:v>
      </x:c>
      <x:c r="H164" s="9" t="str">
        <x:v>RW06</x:v>
      </x:c>
      <x:c r="I164" s="17" t="str">
        <x:v>Receiver service ledger</x:v>
      </x:c>
      <x:c r="J164" s="17" t="str">
        <x:v>Receiver authority</x:v>
      </x:c>
      <x:c r="K164" s="17" t="str">
        <x:v>Public custody F</x:v>
      </x:c>
      <x:c r="L164" s="9" t="n">
        <x:v>0</x:v>
      </x:c>
      <x:c r="M164" s="9" t="n">
        <x:v>0</x:v>
      </x:c>
      <x:c r="N164" s="9" t="n">
        <x:v>0</x:v>
      </x:c>
      <x:c r="O164" s="9" t="n">
        <x:v>0</x:v>
      </x:c>
      <x:c r="P164" s="9" t="str">
        <x:v>UNSEALED / SOURCE-EMPTY</x:v>
      </x:c>
      <x:c r="Q164" s="9" t="n">
        <x:f>COUNTIFS($A$7:$A$1158,A164)</x:f>
        <x:v>1</x:v>
      </x:c>
    </x:row>
    <x:row r="165">
      <x:c r="A165" s="9" t="str">
        <x:v>EV-AR-CT-C-B-TECH-2-B1-RCN-G0-RW07</x:v>
      </x:c>
      <x:c r="B165" s="9" t="str">
        <x:v>EV-AR-CT-C-B-TECH-2-B1-RCN-G0</x:v>
      </x:c>
      <x:c r="C165" s="9" t="str">
        <x:v>AR-CT-C-B-TECH-2-B1-RCN-G0</x:v>
      </x:c>
      <x:c r="D165" s="9" t="str">
        <x:v>CT-C-B-TECH-2</x:v>
      </x:c>
      <x:c r="E165" s="9" t="str">
        <x:v>CT-C-B</x:v>
      </x:c>
      <x:c r="F165" s="9" t="str">
        <x:v>B1</x:v>
      </x:c>
      <x:c r="G165" s="9" t="str">
        <x:v>RCN</x:v>
      </x:c>
      <x:c r="H165" s="9" t="str">
        <x:v>RW07</x:v>
      </x:c>
      <x:c r="I165" s="17" t="str">
        <x:v>Candidate interface telemetry</x:v>
      </x:c>
      <x:c r="J165" s="17" t="str">
        <x:v>Interface custodian</x:v>
      </x:c>
      <x:c r="K165" s="17" t="str">
        <x:v>Public custody A</x:v>
      </x:c>
      <x:c r="L165" s="9" t="n">
        <x:v>0</x:v>
      </x:c>
      <x:c r="M165" s="9" t="n">
        <x:v>0</x:v>
      </x:c>
      <x:c r="N165" s="9" t="n">
        <x:v>0</x:v>
      </x:c>
      <x:c r="O165" s="9" t="n">
        <x:v>0</x:v>
      </x:c>
      <x:c r="P165" s="9" t="str">
        <x:v>UNSEALED / SOURCE-EMPTY</x:v>
      </x:c>
      <x:c r="Q165" s="9" t="n">
        <x:f>COUNTIFS($A$7:$A$1158,A165)</x:f>
        <x:v>1</x:v>
      </x:c>
    </x:row>
    <x:row r="166">
      <x:c r="A166" s="9" t="str">
        <x:v>EV-AR-CT-C-B-TECH-2-B1-RCN-G0-RW08</x:v>
      </x:c>
      <x:c r="B166" s="9" t="str">
        <x:v>EV-AR-CT-C-B-TECH-2-B1-RCN-G0</x:v>
      </x:c>
      <x:c r="C166" s="9" t="str">
        <x:v>AR-CT-C-B-TECH-2-B1-RCN-G0</x:v>
      </x:c>
      <x:c r="D166" s="9" t="str">
        <x:v>CT-C-B-TECH-2</x:v>
      </x:c>
      <x:c r="E166" s="9" t="str">
        <x:v>CT-C-B</x:v>
      </x:c>
      <x:c r="F166" s="9" t="str">
        <x:v>B1</x:v>
      </x:c>
      <x:c r="G166" s="9" t="str">
        <x:v>RCN</x:v>
      </x:c>
      <x:c r="H166" s="9" t="str">
        <x:v>RW08</x:v>
      </x:c>
      <x:c r="I166" s="17" t="str">
        <x:v>Residual and physical evidence</x:v>
      </x:c>
      <x:c r="J166" s="17" t="str">
        <x:v>Residual authority</x:v>
      </x:c>
      <x:c r="K166" s="17" t="str">
        <x:v>Public custody B</x:v>
      </x:c>
      <x:c r="L166" s="9" t="n">
        <x:v>0</x:v>
      </x:c>
      <x:c r="M166" s="9" t="n">
        <x:v>0</x:v>
      </x:c>
      <x:c r="N166" s="9" t="n">
        <x:v>0</x:v>
      </x:c>
      <x:c r="O166" s="9" t="n">
        <x:v>0</x:v>
      </x:c>
      <x:c r="P166" s="9" t="str">
        <x:v>UNSEALED / SOURCE-EMPTY</x:v>
      </x:c>
      <x:c r="Q166" s="9" t="n">
        <x:f>COUNTIFS($A$7:$A$1158,A166)</x:f>
        <x:v>1</x:v>
      </x:c>
    </x:row>
    <x:row r="167">
      <x:c r="A167" s="9" t="str">
        <x:v>EV-AR-HC-A-C-TECH-2-B2-BRK-G0-RW01</x:v>
      </x:c>
      <x:c r="B167" s="9" t="str">
        <x:v>EV-AR-HC-A-C-TECH-2-B2-BRK-G0</x:v>
      </x:c>
      <x:c r="C167" s="9" t="str">
        <x:v>AR-HC-A-C-TECH-2-B2-BRK-G0</x:v>
      </x:c>
      <x:c r="D167" s="9" t="str">
        <x:v>HC-A-C-TECH-2</x:v>
      </x:c>
      <x:c r="E167" s="9" t="str">
        <x:v>HC-A-C</x:v>
      </x:c>
      <x:c r="F167" s="9" t="str">
        <x:v>B2</x:v>
      </x:c>
      <x:c r="G167" s="9" t="str">
        <x:v>BRK</x:v>
      </x:c>
      <x:c r="H167" s="9" t="str">
        <x:v>RW01</x:v>
      </x:c>
      <x:c r="I167" s="17" t="str">
        <x:v>Primary raw stream</x:v>
      </x:c>
      <x:c r="J167" s="17" t="str">
        <x:v>Primary metrology</x:v>
      </x:c>
      <x:c r="K167" s="17" t="str">
        <x:v>Public custody A</x:v>
      </x:c>
      <x:c r="L167" s="9" t="n">
        <x:v>0</x:v>
      </x:c>
      <x:c r="M167" s="9" t="n">
        <x:v>0</x:v>
      </x:c>
      <x:c r="N167" s="9" t="n">
        <x:v>0</x:v>
      </x:c>
      <x:c r="O167" s="9" t="n">
        <x:v>0</x:v>
      </x:c>
      <x:c r="P167" s="9" t="str">
        <x:v>UNSEALED / SOURCE-EMPTY</x:v>
      </x:c>
      <x:c r="Q167" s="9" t="n">
        <x:f>COUNTIFS($A$7:$A$1158,A167)</x:f>
        <x:v>1</x:v>
      </x:c>
    </x:row>
    <x:row r="168">
      <x:c r="A168" s="9" t="str">
        <x:v>EV-AR-HC-A-C-TECH-2-B2-BRK-G0-RW02</x:v>
      </x:c>
      <x:c r="B168" s="9" t="str">
        <x:v>EV-AR-HC-A-C-TECH-2-B2-BRK-G0</x:v>
      </x:c>
      <x:c r="C168" s="9" t="str">
        <x:v>AR-HC-A-C-TECH-2-B2-BRK-G0</x:v>
      </x:c>
      <x:c r="D168" s="9" t="str">
        <x:v>HC-A-C-TECH-2</x:v>
      </x:c>
      <x:c r="E168" s="9" t="str">
        <x:v>HC-A-C</x:v>
      </x:c>
      <x:c r="F168" s="9" t="str">
        <x:v>B2</x:v>
      </x:c>
      <x:c r="G168" s="9" t="str">
        <x:v>BRK</x:v>
      </x:c>
      <x:c r="H168" s="9" t="str">
        <x:v>RW02</x:v>
      </x:c>
      <x:c r="I168" s="17" t="str">
        <x:v>Unlike witness stream</x:v>
      </x:c>
      <x:c r="J168" s="17" t="str">
        <x:v>Witness metrology</x:v>
      </x:c>
      <x:c r="K168" s="17" t="str">
        <x:v>Public custody B</x:v>
      </x:c>
      <x:c r="L168" s="9" t="n">
        <x:v>0</x:v>
      </x:c>
      <x:c r="M168" s="9" t="n">
        <x:v>0</x:v>
      </x:c>
      <x:c r="N168" s="9" t="n">
        <x:v>0</x:v>
      </x:c>
      <x:c r="O168" s="9" t="n">
        <x:v>0</x:v>
      </x:c>
      <x:c r="P168" s="9" t="str">
        <x:v>UNSEALED / SOURCE-EMPTY</x:v>
      </x:c>
      <x:c r="Q168" s="9" t="n">
        <x:f>COUNTIFS($A$7:$A$1158,A168)</x:f>
        <x:v>1</x:v>
      </x:c>
    </x:row>
    <x:row r="169">
      <x:c r="A169" s="9" t="str">
        <x:v>EV-AR-HC-A-C-TECH-2-B2-BRK-G0-RW03</x:v>
      </x:c>
      <x:c r="B169" s="9" t="str">
        <x:v>EV-AR-HC-A-C-TECH-2-B2-BRK-G0</x:v>
      </x:c>
      <x:c r="C169" s="9" t="str">
        <x:v>AR-HC-A-C-TECH-2-B2-BRK-G0</x:v>
      </x:c>
      <x:c r="D169" s="9" t="str">
        <x:v>HC-A-C-TECH-2</x:v>
      </x:c>
      <x:c r="E169" s="9" t="str">
        <x:v>HC-A-C</x:v>
      </x:c>
      <x:c r="F169" s="9" t="str">
        <x:v>B2</x:v>
      </x:c>
      <x:c r="G169" s="9" t="str">
        <x:v>BRK</x:v>
      </x:c>
      <x:c r="H169" s="9" t="str">
        <x:v>RW03</x:v>
      </x:c>
      <x:c r="I169" s="17" t="str">
        <x:v>Event clock and start traces</x:v>
      </x:c>
      <x:c r="J169" s="17" t="str">
        <x:v>Event clock authority</x:v>
      </x:c>
      <x:c r="K169" s="17" t="str">
        <x:v>Public custody C</x:v>
      </x:c>
      <x:c r="L169" s="9" t="n">
        <x:v>0</x:v>
      </x:c>
      <x:c r="M169" s="9" t="n">
        <x:v>0</x:v>
      </x:c>
      <x:c r="N169" s="9" t="n">
        <x:v>0</x:v>
      </x:c>
      <x:c r="O169" s="9" t="n">
        <x:v>0</x:v>
      </x:c>
      <x:c r="P169" s="9" t="str">
        <x:v>UNSEALED / SOURCE-EMPTY</x:v>
      </x:c>
      <x:c r="Q169" s="9" t="n">
        <x:f>COUNTIFS($A$7:$A$1158,A169)</x:f>
        <x:v>1</x:v>
      </x:c>
    </x:row>
    <x:row r="170">
      <x:c r="A170" s="9" t="str">
        <x:v>EV-AR-HC-A-C-TECH-2-B2-BRK-G0-RW04</x:v>
      </x:c>
      <x:c r="B170" s="9" t="str">
        <x:v>EV-AR-HC-A-C-TECH-2-B2-BRK-G0</x:v>
      </x:c>
      <x:c r="C170" s="9" t="str">
        <x:v>AR-HC-A-C-TECH-2-B2-BRK-G0</x:v>
      </x:c>
      <x:c r="D170" s="9" t="str">
        <x:v>HC-A-C-TECH-2</x:v>
      </x:c>
      <x:c r="E170" s="9" t="str">
        <x:v>HC-A-C</x:v>
      </x:c>
      <x:c r="F170" s="9" t="str">
        <x:v>B2</x:v>
      </x:c>
      <x:c r="G170" s="9" t="str">
        <x:v>BRK</x:v>
      </x:c>
      <x:c r="H170" s="9" t="str">
        <x:v>RW04</x:v>
      </x:c>
      <x:c r="I170" s="17" t="str">
        <x:v>Environmental boundary stream</x:v>
      </x:c>
      <x:c r="J170" s="17" t="str">
        <x:v>Site metrology</x:v>
      </x:c>
      <x:c r="K170" s="17" t="str">
        <x:v>Public custody D</x:v>
      </x:c>
      <x:c r="L170" s="9" t="n">
        <x:v>0</x:v>
      </x:c>
      <x:c r="M170" s="9" t="n">
        <x:v>0</x:v>
      </x:c>
      <x:c r="N170" s="9" t="n">
        <x:v>0</x:v>
      </x:c>
      <x:c r="O170" s="9" t="n">
        <x:v>0</x:v>
      </x:c>
      <x:c r="P170" s="9" t="str">
        <x:v>UNSEALED / SOURCE-EMPTY</x:v>
      </x:c>
      <x:c r="Q170" s="9" t="n">
        <x:f>COUNTIFS($A$7:$A$1158,A170)</x:f>
        <x:v>1</x:v>
      </x:c>
    </x:row>
    <x:row r="171">
      <x:c r="A171" s="9" t="str">
        <x:v>EV-AR-HC-A-C-TECH-2-B2-BRK-G0-RW05</x:v>
      </x:c>
      <x:c r="B171" s="9" t="str">
        <x:v>EV-AR-HC-A-C-TECH-2-B2-BRK-G0</x:v>
      </x:c>
      <x:c r="C171" s="9" t="str">
        <x:v>AR-HC-A-C-TECH-2-B2-BRK-G0</x:v>
      </x:c>
      <x:c r="D171" s="9" t="str">
        <x:v>HC-A-C-TECH-2</x:v>
      </x:c>
      <x:c r="E171" s="9" t="str">
        <x:v>HC-A-C</x:v>
      </x:c>
      <x:c r="F171" s="9" t="str">
        <x:v>B2</x:v>
      </x:c>
      <x:c r="G171" s="9" t="str">
        <x:v>BRK</x:v>
      </x:c>
      <x:c r="H171" s="9" t="str">
        <x:v>RW05</x:v>
      </x:c>
      <x:c r="I171" s="17" t="str">
        <x:v>Command and intervention log</x:v>
      </x:c>
      <x:c r="J171" s="17" t="str">
        <x:v>Safety authority</x:v>
      </x:c>
      <x:c r="K171" s="17" t="str">
        <x:v>Public custody E</x:v>
      </x:c>
      <x:c r="L171" s="9" t="n">
        <x:v>0</x:v>
      </x:c>
      <x:c r="M171" s="9" t="n">
        <x:v>0</x:v>
      </x:c>
      <x:c r="N171" s="9" t="n">
        <x:v>0</x:v>
      </x:c>
      <x:c r="O171" s="9" t="n">
        <x:v>0</x:v>
      </x:c>
      <x:c r="P171" s="9" t="str">
        <x:v>UNSEALED / SOURCE-EMPTY</x:v>
      </x:c>
      <x:c r="Q171" s="9" t="n">
        <x:f>COUNTIFS($A$7:$A$1158,A171)</x:f>
        <x:v>1</x:v>
      </x:c>
    </x:row>
    <x:row r="172">
      <x:c r="A172" s="9" t="str">
        <x:v>EV-AR-HC-A-C-TECH-2-B2-BRK-G0-RW06</x:v>
      </x:c>
      <x:c r="B172" s="9" t="str">
        <x:v>EV-AR-HC-A-C-TECH-2-B2-BRK-G0</x:v>
      </x:c>
      <x:c r="C172" s="9" t="str">
        <x:v>AR-HC-A-C-TECH-2-B2-BRK-G0</x:v>
      </x:c>
      <x:c r="D172" s="9" t="str">
        <x:v>HC-A-C-TECH-2</x:v>
      </x:c>
      <x:c r="E172" s="9" t="str">
        <x:v>HC-A-C</x:v>
      </x:c>
      <x:c r="F172" s="9" t="str">
        <x:v>B2</x:v>
      </x:c>
      <x:c r="G172" s="9" t="str">
        <x:v>BRK</x:v>
      </x:c>
      <x:c r="H172" s="9" t="str">
        <x:v>RW06</x:v>
      </x:c>
      <x:c r="I172" s="17" t="str">
        <x:v>Receiver service ledger</x:v>
      </x:c>
      <x:c r="J172" s="17" t="str">
        <x:v>Receiver authority</x:v>
      </x:c>
      <x:c r="K172" s="17" t="str">
        <x:v>Public custody F</x:v>
      </x:c>
      <x:c r="L172" s="9" t="n">
        <x:v>0</x:v>
      </x:c>
      <x:c r="M172" s="9" t="n">
        <x:v>0</x:v>
      </x:c>
      <x:c r="N172" s="9" t="n">
        <x:v>0</x:v>
      </x:c>
      <x:c r="O172" s="9" t="n">
        <x:v>0</x:v>
      </x:c>
      <x:c r="P172" s="9" t="str">
        <x:v>UNSEALED / SOURCE-EMPTY</x:v>
      </x:c>
      <x:c r="Q172" s="9" t="n">
        <x:f>COUNTIFS($A$7:$A$1158,A172)</x:f>
        <x:v>1</x:v>
      </x:c>
    </x:row>
    <x:row r="173">
      <x:c r="A173" s="9" t="str">
        <x:v>EV-AR-HC-A-C-TECH-2-B2-BRK-G0-RW07</x:v>
      </x:c>
      <x:c r="B173" s="9" t="str">
        <x:v>EV-AR-HC-A-C-TECH-2-B2-BRK-G0</x:v>
      </x:c>
      <x:c r="C173" s="9" t="str">
        <x:v>AR-HC-A-C-TECH-2-B2-BRK-G0</x:v>
      </x:c>
      <x:c r="D173" s="9" t="str">
        <x:v>HC-A-C-TECH-2</x:v>
      </x:c>
      <x:c r="E173" s="9" t="str">
        <x:v>HC-A-C</x:v>
      </x:c>
      <x:c r="F173" s="9" t="str">
        <x:v>B2</x:v>
      </x:c>
      <x:c r="G173" s="9" t="str">
        <x:v>BRK</x:v>
      </x:c>
      <x:c r="H173" s="9" t="str">
        <x:v>RW07</x:v>
      </x:c>
      <x:c r="I173" s="17" t="str">
        <x:v>Candidate interface telemetry</x:v>
      </x:c>
      <x:c r="J173" s="17" t="str">
        <x:v>Interface custodian</x:v>
      </x:c>
      <x:c r="K173" s="17" t="str">
        <x:v>Public custody A</x:v>
      </x:c>
      <x:c r="L173" s="9" t="n">
        <x:v>0</x:v>
      </x:c>
      <x:c r="M173" s="9" t="n">
        <x:v>0</x:v>
      </x:c>
      <x:c r="N173" s="9" t="n">
        <x:v>0</x:v>
      </x:c>
      <x:c r="O173" s="9" t="n">
        <x:v>0</x:v>
      </x:c>
      <x:c r="P173" s="9" t="str">
        <x:v>UNSEALED / SOURCE-EMPTY</x:v>
      </x:c>
      <x:c r="Q173" s="9" t="n">
        <x:f>COUNTIFS($A$7:$A$1158,A173)</x:f>
        <x:v>1</x:v>
      </x:c>
    </x:row>
    <x:row r="174">
      <x:c r="A174" s="9" t="str">
        <x:v>EV-AR-HC-A-C-TECH-2-B2-BRK-G0-RW08</x:v>
      </x:c>
      <x:c r="B174" s="9" t="str">
        <x:v>EV-AR-HC-A-C-TECH-2-B2-BRK-G0</x:v>
      </x:c>
      <x:c r="C174" s="9" t="str">
        <x:v>AR-HC-A-C-TECH-2-B2-BRK-G0</x:v>
      </x:c>
      <x:c r="D174" s="9" t="str">
        <x:v>HC-A-C-TECH-2</x:v>
      </x:c>
      <x:c r="E174" s="9" t="str">
        <x:v>HC-A-C</x:v>
      </x:c>
      <x:c r="F174" s="9" t="str">
        <x:v>B2</x:v>
      </x:c>
      <x:c r="G174" s="9" t="str">
        <x:v>BRK</x:v>
      </x:c>
      <x:c r="H174" s="9" t="str">
        <x:v>RW08</x:v>
      </x:c>
      <x:c r="I174" s="17" t="str">
        <x:v>Residual and physical evidence</x:v>
      </x:c>
      <x:c r="J174" s="17" t="str">
        <x:v>Residual authority</x:v>
      </x:c>
      <x:c r="K174" s="17" t="str">
        <x:v>Public custody B</x:v>
      </x:c>
      <x:c r="L174" s="9" t="n">
        <x:v>0</x:v>
      </x:c>
      <x:c r="M174" s="9" t="n">
        <x:v>0</x:v>
      </x:c>
      <x:c r="N174" s="9" t="n">
        <x:v>0</x:v>
      </x:c>
      <x:c r="O174" s="9" t="n">
        <x:v>0</x:v>
      </x:c>
      <x:c r="P174" s="9" t="str">
        <x:v>UNSEALED / SOURCE-EMPTY</x:v>
      </x:c>
      <x:c r="Q174" s="9" t="n">
        <x:f>COUNTIFS($A$7:$A$1158,A174)</x:f>
        <x:v>1</x:v>
      </x:c>
    </x:row>
    <x:row r="175">
      <x:c r="A175" s="9" t="str">
        <x:v>EV-AR-HU-A-B-TECH-1-B1-BRK-G0-RW01</x:v>
      </x:c>
      <x:c r="B175" s="9" t="str">
        <x:v>EV-AR-HU-A-B-TECH-1-B1-BRK-G0</x:v>
      </x:c>
      <x:c r="C175" s="9" t="str">
        <x:v>AR-HU-A-B-TECH-1-B1-BRK-G0</x:v>
      </x:c>
      <x:c r="D175" s="9" t="str">
        <x:v>HU-A-B-TECH-1</x:v>
      </x:c>
      <x:c r="E175" s="9" t="str">
        <x:v>HU-A-B</x:v>
      </x:c>
      <x:c r="F175" s="9" t="str">
        <x:v>B1</x:v>
      </x:c>
      <x:c r="G175" s="9" t="str">
        <x:v>BRK</x:v>
      </x:c>
      <x:c r="H175" s="9" t="str">
        <x:v>RW01</x:v>
      </x:c>
      <x:c r="I175" s="17" t="str">
        <x:v>Primary raw stream</x:v>
      </x:c>
      <x:c r="J175" s="17" t="str">
        <x:v>Primary metrology</x:v>
      </x:c>
      <x:c r="K175" s="17" t="str">
        <x:v>Public custody A</x:v>
      </x:c>
      <x:c r="L175" s="9" t="n">
        <x:v>0</x:v>
      </x:c>
      <x:c r="M175" s="9" t="n">
        <x:v>0</x:v>
      </x:c>
      <x:c r="N175" s="9" t="n">
        <x:v>0</x:v>
      </x:c>
      <x:c r="O175" s="9" t="n">
        <x:v>0</x:v>
      </x:c>
      <x:c r="P175" s="9" t="str">
        <x:v>UNSEALED / SOURCE-EMPTY</x:v>
      </x:c>
      <x:c r="Q175" s="9" t="n">
        <x:f>COUNTIFS($A$7:$A$1158,A175)</x:f>
        <x:v>1</x:v>
      </x:c>
    </x:row>
    <x:row r="176">
      <x:c r="A176" s="9" t="str">
        <x:v>EV-AR-HU-A-B-TECH-1-B1-BRK-G0-RW02</x:v>
      </x:c>
      <x:c r="B176" s="9" t="str">
        <x:v>EV-AR-HU-A-B-TECH-1-B1-BRK-G0</x:v>
      </x:c>
      <x:c r="C176" s="9" t="str">
        <x:v>AR-HU-A-B-TECH-1-B1-BRK-G0</x:v>
      </x:c>
      <x:c r="D176" s="9" t="str">
        <x:v>HU-A-B-TECH-1</x:v>
      </x:c>
      <x:c r="E176" s="9" t="str">
        <x:v>HU-A-B</x:v>
      </x:c>
      <x:c r="F176" s="9" t="str">
        <x:v>B1</x:v>
      </x:c>
      <x:c r="G176" s="9" t="str">
        <x:v>BRK</x:v>
      </x:c>
      <x:c r="H176" s="9" t="str">
        <x:v>RW02</x:v>
      </x:c>
      <x:c r="I176" s="17" t="str">
        <x:v>Unlike witness stream</x:v>
      </x:c>
      <x:c r="J176" s="17" t="str">
        <x:v>Witness metrology</x:v>
      </x:c>
      <x:c r="K176" s="17" t="str">
        <x:v>Public custody B</x:v>
      </x:c>
      <x:c r="L176" s="9" t="n">
        <x:v>0</x:v>
      </x:c>
      <x:c r="M176" s="9" t="n">
        <x:v>0</x:v>
      </x:c>
      <x:c r="N176" s="9" t="n">
        <x:v>0</x:v>
      </x:c>
      <x:c r="O176" s="9" t="n">
        <x:v>0</x:v>
      </x:c>
      <x:c r="P176" s="9" t="str">
        <x:v>UNSEALED / SOURCE-EMPTY</x:v>
      </x:c>
      <x:c r="Q176" s="9" t="n">
        <x:f>COUNTIFS($A$7:$A$1158,A176)</x:f>
        <x:v>1</x:v>
      </x:c>
    </x:row>
    <x:row r="177">
      <x:c r="A177" s="9" t="str">
        <x:v>EV-AR-HU-A-B-TECH-1-B1-BRK-G0-RW03</x:v>
      </x:c>
      <x:c r="B177" s="9" t="str">
        <x:v>EV-AR-HU-A-B-TECH-1-B1-BRK-G0</x:v>
      </x:c>
      <x:c r="C177" s="9" t="str">
        <x:v>AR-HU-A-B-TECH-1-B1-BRK-G0</x:v>
      </x:c>
      <x:c r="D177" s="9" t="str">
        <x:v>HU-A-B-TECH-1</x:v>
      </x:c>
      <x:c r="E177" s="9" t="str">
        <x:v>HU-A-B</x:v>
      </x:c>
      <x:c r="F177" s="9" t="str">
        <x:v>B1</x:v>
      </x:c>
      <x:c r="G177" s="9" t="str">
        <x:v>BRK</x:v>
      </x:c>
      <x:c r="H177" s="9" t="str">
        <x:v>RW03</x:v>
      </x:c>
      <x:c r="I177" s="17" t="str">
        <x:v>Event clock and start traces</x:v>
      </x:c>
      <x:c r="J177" s="17" t="str">
        <x:v>Event clock authority</x:v>
      </x:c>
      <x:c r="K177" s="17" t="str">
        <x:v>Public custody C</x:v>
      </x:c>
      <x:c r="L177" s="9" t="n">
        <x:v>0</x:v>
      </x:c>
      <x:c r="M177" s="9" t="n">
        <x:v>0</x:v>
      </x:c>
      <x:c r="N177" s="9" t="n">
        <x:v>0</x:v>
      </x:c>
      <x:c r="O177" s="9" t="n">
        <x:v>0</x:v>
      </x:c>
      <x:c r="P177" s="9" t="str">
        <x:v>UNSEALED / SOURCE-EMPTY</x:v>
      </x:c>
      <x:c r="Q177" s="9" t="n">
        <x:f>COUNTIFS($A$7:$A$1158,A177)</x:f>
        <x:v>1</x:v>
      </x:c>
    </x:row>
    <x:row r="178">
      <x:c r="A178" s="9" t="str">
        <x:v>EV-AR-HU-A-B-TECH-1-B1-BRK-G0-RW04</x:v>
      </x:c>
      <x:c r="B178" s="9" t="str">
        <x:v>EV-AR-HU-A-B-TECH-1-B1-BRK-G0</x:v>
      </x:c>
      <x:c r="C178" s="9" t="str">
        <x:v>AR-HU-A-B-TECH-1-B1-BRK-G0</x:v>
      </x:c>
      <x:c r="D178" s="9" t="str">
        <x:v>HU-A-B-TECH-1</x:v>
      </x:c>
      <x:c r="E178" s="9" t="str">
        <x:v>HU-A-B</x:v>
      </x:c>
      <x:c r="F178" s="9" t="str">
        <x:v>B1</x:v>
      </x:c>
      <x:c r="G178" s="9" t="str">
        <x:v>BRK</x:v>
      </x:c>
      <x:c r="H178" s="9" t="str">
        <x:v>RW04</x:v>
      </x:c>
      <x:c r="I178" s="17" t="str">
        <x:v>Environmental boundary stream</x:v>
      </x:c>
      <x:c r="J178" s="17" t="str">
        <x:v>Site metrology</x:v>
      </x:c>
      <x:c r="K178" s="17" t="str">
        <x:v>Public custody D</x:v>
      </x:c>
      <x:c r="L178" s="9" t="n">
        <x:v>0</x:v>
      </x:c>
      <x:c r="M178" s="9" t="n">
        <x:v>0</x:v>
      </x:c>
      <x:c r="N178" s="9" t="n">
        <x:v>0</x:v>
      </x:c>
      <x:c r="O178" s="9" t="n">
        <x:v>0</x:v>
      </x:c>
      <x:c r="P178" s="9" t="str">
        <x:v>UNSEALED / SOURCE-EMPTY</x:v>
      </x:c>
      <x:c r="Q178" s="9" t="n">
        <x:f>COUNTIFS($A$7:$A$1158,A178)</x:f>
        <x:v>1</x:v>
      </x:c>
    </x:row>
    <x:row r="179">
      <x:c r="A179" s="9" t="str">
        <x:v>EV-AR-HU-A-B-TECH-1-B1-BRK-G0-RW05</x:v>
      </x:c>
      <x:c r="B179" s="9" t="str">
        <x:v>EV-AR-HU-A-B-TECH-1-B1-BRK-G0</x:v>
      </x:c>
      <x:c r="C179" s="9" t="str">
        <x:v>AR-HU-A-B-TECH-1-B1-BRK-G0</x:v>
      </x:c>
      <x:c r="D179" s="9" t="str">
        <x:v>HU-A-B-TECH-1</x:v>
      </x:c>
      <x:c r="E179" s="9" t="str">
        <x:v>HU-A-B</x:v>
      </x:c>
      <x:c r="F179" s="9" t="str">
        <x:v>B1</x:v>
      </x:c>
      <x:c r="G179" s="9" t="str">
        <x:v>BRK</x:v>
      </x:c>
      <x:c r="H179" s="9" t="str">
        <x:v>RW05</x:v>
      </x:c>
      <x:c r="I179" s="17" t="str">
        <x:v>Command and intervention log</x:v>
      </x:c>
      <x:c r="J179" s="17" t="str">
        <x:v>Safety authority</x:v>
      </x:c>
      <x:c r="K179" s="17" t="str">
        <x:v>Public custody E</x:v>
      </x:c>
      <x:c r="L179" s="9" t="n">
        <x:v>0</x:v>
      </x:c>
      <x:c r="M179" s="9" t="n">
        <x:v>0</x:v>
      </x:c>
      <x:c r="N179" s="9" t="n">
        <x:v>0</x:v>
      </x:c>
      <x:c r="O179" s="9" t="n">
        <x:v>0</x:v>
      </x:c>
      <x:c r="P179" s="9" t="str">
        <x:v>UNSEALED / SOURCE-EMPTY</x:v>
      </x:c>
      <x:c r="Q179" s="9" t="n">
        <x:f>COUNTIFS($A$7:$A$1158,A179)</x:f>
        <x:v>1</x:v>
      </x:c>
    </x:row>
    <x:row r="180">
      <x:c r="A180" s="9" t="str">
        <x:v>EV-AR-HU-A-B-TECH-1-B1-BRK-G0-RW06</x:v>
      </x:c>
      <x:c r="B180" s="9" t="str">
        <x:v>EV-AR-HU-A-B-TECH-1-B1-BRK-G0</x:v>
      </x:c>
      <x:c r="C180" s="9" t="str">
        <x:v>AR-HU-A-B-TECH-1-B1-BRK-G0</x:v>
      </x:c>
      <x:c r="D180" s="9" t="str">
        <x:v>HU-A-B-TECH-1</x:v>
      </x:c>
      <x:c r="E180" s="9" t="str">
        <x:v>HU-A-B</x:v>
      </x:c>
      <x:c r="F180" s="9" t="str">
        <x:v>B1</x:v>
      </x:c>
      <x:c r="G180" s="9" t="str">
        <x:v>BRK</x:v>
      </x:c>
      <x:c r="H180" s="9" t="str">
        <x:v>RW06</x:v>
      </x:c>
      <x:c r="I180" s="17" t="str">
        <x:v>Receiver service ledger</x:v>
      </x:c>
      <x:c r="J180" s="17" t="str">
        <x:v>Receiver authority</x:v>
      </x:c>
      <x:c r="K180" s="17" t="str">
        <x:v>Public custody F</x:v>
      </x:c>
      <x:c r="L180" s="9" t="n">
        <x:v>0</x:v>
      </x:c>
      <x:c r="M180" s="9" t="n">
        <x:v>0</x:v>
      </x:c>
      <x:c r="N180" s="9" t="n">
        <x:v>0</x:v>
      </x:c>
      <x:c r="O180" s="9" t="n">
        <x:v>0</x:v>
      </x:c>
      <x:c r="P180" s="9" t="str">
        <x:v>UNSEALED / SOURCE-EMPTY</x:v>
      </x:c>
      <x:c r="Q180" s="9" t="n">
        <x:f>COUNTIFS($A$7:$A$1158,A180)</x:f>
        <x:v>1</x:v>
      </x:c>
    </x:row>
    <x:row r="181">
      <x:c r="A181" s="9" t="str">
        <x:v>EV-AR-HU-A-B-TECH-1-B1-BRK-G0-RW07</x:v>
      </x:c>
      <x:c r="B181" s="9" t="str">
        <x:v>EV-AR-HU-A-B-TECH-1-B1-BRK-G0</x:v>
      </x:c>
      <x:c r="C181" s="9" t="str">
        <x:v>AR-HU-A-B-TECH-1-B1-BRK-G0</x:v>
      </x:c>
      <x:c r="D181" s="9" t="str">
        <x:v>HU-A-B-TECH-1</x:v>
      </x:c>
      <x:c r="E181" s="9" t="str">
        <x:v>HU-A-B</x:v>
      </x:c>
      <x:c r="F181" s="9" t="str">
        <x:v>B1</x:v>
      </x:c>
      <x:c r="G181" s="9" t="str">
        <x:v>BRK</x:v>
      </x:c>
      <x:c r="H181" s="9" t="str">
        <x:v>RW07</x:v>
      </x:c>
      <x:c r="I181" s="17" t="str">
        <x:v>Candidate interface telemetry</x:v>
      </x:c>
      <x:c r="J181" s="17" t="str">
        <x:v>Interface custodian</x:v>
      </x:c>
      <x:c r="K181" s="17" t="str">
        <x:v>Public custody A</x:v>
      </x:c>
      <x:c r="L181" s="9" t="n">
        <x:v>0</x:v>
      </x:c>
      <x:c r="M181" s="9" t="n">
        <x:v>0</x:v>
      </x:c>
      <x:c r="N181" s="9" t="n">
        <x:v>0</x:v>
      </x:c>
      <x:c r="O181" s="9" t="n">
        <x:v>0</x:v>
      </x:c>
      <x:c r="P181" s="9" t="str">
        <x:v>UNSEALED / SOURCE-EMPTY</x:v>
      </x:c>
      <x:c r="Q181" s="9" t="n">
        <x:f>COUNTIFS($A$7:$A$1158,A181)</x:f>
        <x:v>1</x:v>
      </x:c>
    </x:row>
    <x:row r="182">
      <x:c r="A182" s="9" t="str">
        <x:v>EV-AR-HU-A-B-TECH-1-B1-BRK-G0-RW08</x:v>
      </x:c>
      <x:c r="B182" s="9" t="str">
        <x:v>EV-AR-HU-A-B-TECH-1-B1-BRK-G0</x:v>
      </x:c>
      <x:c r="C182" s="9" t="str">
        <x:v>AR-HU-A-B-TECH-1-B1-BRK-G0</x:v>
      </x:c>
      <x:c r="D182" s="9" t="str">
        <x:v>HU-A-B-TECH-1</x:v>
      </x:c>
      <x:c r="E182" s="9" t="str">
        <x:v>HU-A-B</x:v>
      </x:c>
      <x:c r="F182" s="9" t="str">
        <x:v>B1</x:v>
      </x:c>
      <x:c r="G182" s="9" t="str">
        <x:v>BRK</x:v>
      </x:c>
      <x:c r="H182" s="9" t="str">
        <x:v>RW08</x:v>
      </x:c>
      <x:c r="I182" s="17" t="str">
        <x:v>Residual and physical evidence</x:v>
      </x:c>
      <x:c r="J182" s="17" t="str">
        <x:v>Residual authority</x:v>
      </x:c>
      <x:c r="K182" s="17" t="str">
        <x:v>Public custody B</x:v>
      </x:c>
      <x:c r="L182" s="9" t="n">
        <x:v>0</x:v>
      </x:c>
      <x:c r="M182" s="9" t="n">
        <x:v>0</x:v>
      </x:c>
      <x:c r="N182" s="9" t="n">
        <x:v>0</x:v>
      </x:c>
      <x:c r="O182" s="9" t="n">
        <x:v>0</x:v>
      </x:c>
      <x:c r="P182" s="9" t="str">
        <x:v>UNSEALED / SOURCE-EMPTY</x:v>
      </x:c>
      <x:c r="Q182" s="9" t="n">
        <x:f>COUNTIFS($A$7:$A$1158,A182)</x:f>
        <x:v>1</x:v>
      </x:c>
    </x:row>
    <x:row r="183">
      <x:c r="A183" s="9" t="str">
        <x:v>EV-AR-LF-B-A-TECH-2-B1-BRK-G0-RW01</x:v>
      </x:c>
      <x:c r="B183" s="9" t="str">
        <x:v>EV-AR-LF-B-A-TECH-2-B1-BRK-G0</x:v>
      </x:c>
      <x:c r="C183" s="9" t="str">
        <x:v>AR-LF-B-A-TECH-2-B1-BRK-G0</x:v>
      </x:c>
      <x:c r="D183" s="9" t="str">
        <x:v>LF-B-A-TECH-2</x:v>
      </x:c>
      <x:c r="E183" s="9" t="str">
        <x:v>LF-B-A</x:v>
      </x:c>
      <x:c r="F183" s="9" t="str">
        <x:v>B1</x:v>
      </x:c>
      <x:c r="G183" s="9" t="str">
        <x:v>BRK</x:v>
      </x:c>
      <x:c r="H183" s="9" t="str">
        <x:v>RW01</x:v>
      </x:c>
      <x:c r="I183" s="17" t="str">
        <x:v>Primary raw stream</x:v>
      </x:c>
      <x:c r="J183" s="17" t="str">
        <x:v>Primary metrology</x:v>
      </x:c>
      <x:c r="K183" s="17" t="str">
        <x:v>Public custody A</x:v>
      </x:c>
      <x:c r="L183" s="9" t="n">
        <x:v>0</x:v>
      </x:c>
      <x:c r="M183" s="9" t="n">
        <x:v>0</x:v>
      </x:c>
      <x:c r="N183" s="9" t="n">
        <x:v>0</x:v>
      </x:c>
      <x:c r="O183" s="9" t="n">
        <x:v>0</x:v>
      </x:c>
      <x:c r="P183" s="9" t="str">
        <x:v>UNSEALED / SOURCE-EMPTY</x:v>
      </x:c>
      <x:c r="Q183" s="9" t="n">
        <x:f>COUNTIFS($A$7:$A$1158,A183)</x:f>
        <x:v>1</x:v>
      </x:c>
    </x:row>
    <x:row r="184">
      <x:c r="A184" s="9" t="str">
        <x:v>EV-AR-LF-B-A-TECH-2-B1-BRK-G0-RW02</x:v>
      </x:c>
      <x:c r="B184" s="9" t="str">
        <x:v>EV-AR-LF-B-A-TECH-2-B1-BRK-G0</x:v>
      </x:c>
      <x:c r="C184" s="9" t="str">
        <x:v>AR-LF-B-A-TECH-2-B1-BRK-G0</x:v>
      </x:c>
      <x:c r="D184" s="9" t="str">
        <x:v>LF-B-A-TECH-2</x:v>
      </x:c>
      <x:c r="E184" s="9" t="str">
        <x:v>LF-B-A</x:v>
      </x:c>
      <x:c r="F184" s="9" t="str">
        <x:v>B1</x:v>
      </x:c>
      <x:c r="G184" s="9" t="str">
        <x:v>BRK</x:v>
      </x:c>
      <x:c r="H184" s="9" t="str">
        <x:v>RW02</x:v>
      </x:c>
      <x:c r="I184" s="17" t="str">
        <x:v>Unlike witness stream</x:v>
      </x:c>
      <x:c r="J184" s="17" t="str">
        <x:v>Witness metrology</x:v>
      </x:c>
      <x:c r="K184" s="17" t="str">
        <x:v>Public custody B</x:v>
      </x:c>
      <x:c r="L184" s="9" t="n">
        <x:v>0</x:v>
      </x:c>
      <x:c r="M184" s="9" t="n">
        <x:v>0</x:v>
      </x:c>
      <x:c r="N184" s="9" t="n">
        <x:v>0</x:v>
      </x:c>
      <x:c r="O184" s="9" t="n">
        <x:v>0</x:v>
      </x:c>
      <x:c r="P184" s="9" t="str">
        <x:v>UNSEALED / SOURCE-EMPTY</x:v>
      </x:c>
      <x:c r="Q184" s="9" t="n">
        <x:f>COUNTIFS($A$7:$A$1158,A184)</x:f>
        <x:v>1</x:v>
      </x:c>
    </x:row>
    <x:row r="185">
      <x:c r="A185" s="9" t="str">
        <x:v>EV-AR-LF-B-A-TECH-2-B1-BRK-G0-RW03</x:v>
      </x:c>
      <x:c r="B185" s="9" t="str">
        <x:v>EV-AR-LF-B-A-TECH-2-B1-BRK-G0</x:v>
      </x:c>
      <x:c r="C185" s="9" t="str">
        <x:v>AR-LF-B-A-TECH-2-B1-BRK-G0</x:v>
      </x:c>
      <x:c r="D185" s="9" t="str">
        <x:v>LF-B-A-TECH-2</x:v>
      </x:c>
      <x:c r="E185" s="9" t="str">
        <x:v>LF-B-A</x:v>
      </x:c>
      <x:c r="F185" s="9" t="str">
        <x:v>B1</x:v>
      </x:c>
      <x:c r="G185" s="9" t="str">
        <x:v>BRK</x:v>
      </x:c>
      <x:c r="H185" s="9" t="str">
        <x:v>RW03</x:v>
      </x:c>
      <x:c r="I185" s="17" t="str">
        <x:v>Event clock and start traces</x:v>
      </x:c>
      <x:c r="J185" s="17" t="str">
        <x:v>Event clock authority</x:v>
      </x:c>
      <x:c r="K185" s="17" t="str">
        <x:v>Public custody C</x:v>
      </x:c>
      <x:c r="L185" s="9" t="n">
        <x:v>0</x:v>
      </x:c>
      <x:c r="M185" s="9" t="n">
        <x:v>0</x:v>
      </x:c>
      <x:c r="N185" s="9" t="n">
        <x:v>0</x:v>
      </x:c>
      <x:c r="O185" s="9" t="n">
        <x:v>0</x:v>
      </x:c>
      <x:c r="P185" s="9" t="str">
        <x:v>UNSEALED / SOURCE-EMPTY</x:v>
      </x:c>
      <x:c r="Q185" s="9" t="n">
        <x:f>COUNTIFS($A$7:$A$1158,A185)</x:f>
        <x:v>1</x:v>
      </x:c>
    </x:row>
    <x:row r="186">
      <x:c r="A186" s="9" t="str">
        <x:v>EV-AR-LF-B-A-TECH-2-B1-BRK-G0-RW04</x:v>
      </x:c>
      <x:c r="B186" s="9" t="str">
        <x:v>EV-AR-LF-B-A-TECH-2-B1-BRK-G0</x:v>
      </x:c>
      <x:c r="C186" s="9" t="str">
        <x:v>AR-LF-B-A-TECH-2-B1-BRK-G0</x:v>
      </x:c>
      <x:c r="D186" s="9" t="str">
        <x:v>LF-B-A-TECH-2</x:v>
      </x:c>
      <x:c r="E186" s="9" t="str">
        <x:v>LF-B-A</x:v>
      </x:c>
      <x:c r="F186" s="9" t="str">
        <x:v>B1</x:v>
      </x:c>
      <x:c r="G186" s="9" t="str">
        <x:v>BRK</x:v>
      </x:c>
      <x:c r="H186" s="9" t="str">
        <x:v>RW04</x:v>
      </x:c>
      <x:c r="I186" s="17" t="str">
        <x:v>Environmental boundary stream</x:v>
      </x:c>
      <x:c r="J186" s="17" t="str">
        <x:v>Site metrology</x:v>
      </x:c>
      <x:c r="K186" s="17" t="str">
        <x:v>Public custody D</x:v>
      </x:c>
      <x:c r="L186" s="9" t="n">
        <x:v>0</x:v>
      </x:c>
      <x:c r="M186" s="9" t="n">
        <x:v>0</x:v>
      </x:c>
      <x:c r="N186" s="9" t="n">
        <x:v>0</x:v>
      </x:c>
      <x:c r="O186" s="9" t="n">
        <x:v>0</x:v>
      </x:c>
      <x:c r="P186" s="9" t="str">
        <x:v>UNSEALED / SOURCE-EMPTY</x:v>
      </x:c>
      <x:c r="Q186" s="9" t="n">
        <x:f>COUNTIFS($A$7:$A$1158,A186)</x:f>
        <x:v>1</x:v>
      </x:c>
    </x:row>
    <x:row r="187">
      <x:c r="A187" s="9" t="str">
        <x:v>EV-AR-LF-B-A-TECH-2-B1-BRK-G0-RW05</x:v>
      </x:c>
      <x:c r="B187" s="9" t="str">
        <x:v>EV-AR-LF-B-A-TECH-2-B1-BRK-G0</x:v>
      </x:c>
      <x:c r="C187" s="9" t="str">
        <x:v>AR-LF-B-A-TECH-2-B1-BRK-G0</x:v>
      </x:c>
      <x:c r="D187" s="9" t="str">
        <x:v>LF-B-A-TECH-2</x:v>
      </x:c>
      <x:c r="E187" s="9" t="str">
        <x:v>LF-B-A</x:v>
      </x:c>
      <x:c r="F187" s="9" t="str">
        <x:v>B1</x:v>
      </x:c>
      <x:c r="G187" s="9" t="str">
        <x:v>BRK</x:v>
      </x:c>
      <x:c r="H187" s="9" t="str">
        <x:v>RW05</x:v>
      </x:c>
      <x:c r="I187" s="17" t="str">
        <x:v>Command and intervention log</x:v>
      </x:c>
      <x:c r="J187" s="17" t="str">
        <x:v>Safety authority</x:v>
      </x:c>
      <x:c r="K187" s="17" t="str">
        <x:v>Public custody E</x:v>
      </x:c>
      <x:c r="L187" s="9" t="n">
        <x:v>0</x:v>
      </x:c>
      <x:c r="M187" s="9" t="n">
        <x:v>0</x:v>
      </x:c>
      <x:c r="N187" s="9" t="n">
        <x:v>0</x:v>
      </x:c>
      <x:c r="O187" s="9" t="n">
        <x:v>0</x:v>
      </x:c>
      <x:c r="P187" s="9" t="str">
        <x:v>UNSEALED / SOURCE-EMPTY</x:v>
      </x:c>
      <x:c r="Q187" s="9" t="n">
        <x:f>COUNTIFS($A$7:$A$1158,A187)</x:f>
        <x:v>1</x:v>
      </x:c>
    </x:row>
    <x:row r="188">
      <x:c r="A188" s="9" t="str">
        <x:v>EV-AR-LF-B-A-TECH-2-B1-BRK-G0-RW06</x:v>
      </x:c>
      <x:c r="B188" s="9" t="str">
        <x:v>EV-AR-LF-B-A-TECH-2-B1-BRK-G0</x:v>
      </x:c>
      <x:c r="C188" s="9" t="str">
        <x:v>AR-LF-B-A-TECH-2-B1-BRK-G0</x:v>
      </x:c>
      <x:c r="D188" s="9" t="str">
        <x:v>LF-B-A-TECH-2</x:v>
      </x:c>
      <x:c r="E188" s="9" t="str">
        <x:v>LF-B-A</x:v>
      </x:c>
      <x:c r="F188" s="9" t="str">
        <x:v>B1</x:v>
      </x:c>
      <x:c r="G188" s="9" t="str">
        <x:v>BRK</x:v>
      </x:c>
      <x:c r="H188" s="9" t="str">
        <x:v>RW06</x:v>
      </x:c>
      <x:c r="I188" s="17" t="str">
        <x:v>Receiver service ledger</x:v>
      </x:c>
      <x:c r="J188" s="17" t="str">
        <x:v>Receiver authority</x:v>
      </x:c>
      <x:c r="K188" s="17" t="str">
        <x:v>Public custody F</x:v>
      </x:c>
      <x:c r="L188" s="9" t="n">
        <x:v>0</x:v>
      </x:c>
      <x:c r="M188" s="9" t="n">
        <x:v>0</x:v>
      </x:c>
      <x:c r="N188" s="9" t="n">
        <x:v>0</x:v>
      </x:c>
      <x:c r="O188" s="9" t="n">
        <x:v>0</x:v>
      </x:c>
      <x:c r="P188" s="9" t="str">
        <x:v>UNSEALED / SOURCE-EMPTY</x:v>
      </x:c>
      <x:c r="Q188" s="9" t="n">
        <x:f>COUNTIFS($A$7:$A$1158,A188)</x:f>
        <x:v>1</x:v>
      </x:c>
    </x:row>
    <x:row r="189">
      <x:c r="A189" s="9" t="str">
        <x:v>EV-AR-LF-B-A-TECH-2-B1-BRK-G0-RW07</x:v>
      </x:c>
      <x:c r="B189" s="9" t="str">
        <x:v>EV-AR-LF-B-A-TECH-2-B1-BRK-G0</x:v>
      </x:c>
      <x:c r="C189" s="9" t="str">
        <x:v>AR-LF-B-A-TECH-2-B1-BRK-G0</x:v>
      </x:c>
      <x:c r="D189" s="9" t="str">
        <x:v>LF-B-A-TECH-2</x:v>
      </x:c>
      <x:c r="E189" s="9" t="str">
        <x:v>LF-B-A</x:v>
      </x:c>
      <x:c r="F189" s="9" t="str">
        <x:v>B1</x:v>
      </x:c>
      <x:c r="G189" s="9" t="str">
        <x:v>BRK</x:v>
      </x:c>
      <x:c r="H189" s="9" t="str">
        <x:v>RW07</x:v>
      </x:c>
      <x:c r="I189" s="17" t="str">
        <x:v>Candidate interface telemetry</x:v>
      </x:c>
      <x:c r="J189" s="17" t="str">
        <x:v>Interface custodian</x:v>
      </x:c>
      <x:c r="K189" s="17" t="str">
        <x:v>Public custody A</x:v>
      </x:c>
      <x:c r="L189" s="9" t="n">
        <x:v>0</x:v>
      </x:c>
      <x:c r="M189" s="9" t="n">
        <x:v>0</x:v>
      </x:c>
      <x:c r="N189" s="9" t="n">
        <x:v>0</x:v>
      </x:c>
      <x:c r="O189" s="9" t="n">
        <x:v>0</x:v>
      </x:c>
      <x:c r="P189" s="9" t="str">
        <x:v>UNSEALED / SOURCE-EMPTY</x:v>
      </x:c>
      <x:c r="Q189" s="9" t="n">
        <x:f>COUNTIFS($A$7:$A$1158,A189)</x:f>
        <x:v>1</x:v>
      </x:c>
    </x:row>
    <x:row r="190">
      <x:c r="A190" s="9" t="str">
        <x:v>EV-AR-LF-B-A-TECH-2-B1-BRK-G0-RW08</x:v>
      </x:c>
      <x:c r="B190" s="9" t="str">
        <x:v>EV-AR-LF-B-A-TECH-2-B1-BRK-G0</x:v>
      </x:c>
      <x:c r="C190" s="9" t="str">
        <x:v>AR-LF-B-A-TECH-2-B1-BRK-G0</x:v>
      </x:c>
      <x:c r="D190" s="9" t="str">
        <x:v>LF-B-A-TECH-2</x:v>
      </x:c>
      <x:c r="E190" s="9" t="str">
        <x:v>LF-B-A</x:v>
      </x:c>
      <x:c r="F190" s="9" t="str">
        <x:v>B1</x:v>
      </x:c>
      <x:c r="G190" s="9" t="str">
        <x:v>BRK</x:v>
      </x:c>
      <x:c r="H190" s="9" t="str">
        <x:v>RW08</x:v>
      </x:c>
      <x:c r="I190" s="17" t="str">
        <x:v>Residual and physical evidence</x:v>
      </x:c>
      <x:c r="J190" s="17" t="str">
        <x:v>Residual authority</x:v>
      </x:c>
      <x:c r="K190" s="17" t="str">
        <x:v>Public custody B</x:v>
      </x:c>
      <x:c r="L190" s="9" t="n">
        <x:v>0</x:v>
      </x:c>
      <x:c r="M190" s="9" t="n">
        <x:v>0</x:v>
      </x:c>
      <x:c r="N190" s="9" t="n">
        <x:v>0</x:v>
      </x:c>
      <x:c r="O190" s="9" t="n">
        <x:v>0</x:v>
      </x:c>
      <x:c r="P190" s="9" t="str">
        <x:v>UNSEALED / SOURCE-EMPTY</x:v>
      </x:c>
      <x:c r="Q190" s="9" t="n">
        <x:f>COUNTIFS($A$7:$A$1158,A190)</x:f>
        <x:v>1</x:v>
      </x:c>
    </x:row>
    <x:row r="191">
      <x:c r="A191" s="9" t="str">
        <x:v>EV-AR-RT-B-C-TECH-2-B1-INT-G0-RW01</x:v>
      </x:c>
      <x:c r="B191" s="9" t="str">
        <x:v>EV-AR-RT-B-C-TECH-2-B1-INT-G0</x:v>
      </x:c>
      <x:c r="C191" s="9" t="str">
        <x:v>AR-RT-B-C-TECH-2-B1-INT-G0</x:v>
      </x:c>
      <x:c r="D191" s="9" t="str">
        <x:v>RT-B-C-TECH-2</x:v>
      </x:c>
      <x:c r="E191" s="9" t="str">
        <x:v>RT-B-C</x:v>
      </x:c>
      <x:c r="F191" s="9" t="str">
        <x:v>B1</x:v>
      </x:c>
      <x:c r="G191" s="9" t="str">
        <x:v>INT</x:v>
      </x:c>
      <x:c r="H191" s="9" t="str">
        <x:v>RW01</x:v>
      </x:c>
      <x:c r="I191" s="17" t="str">
        <x:v>Primary raw stream</x:v>
      </x:c>
      <x:c r="J191" s="17" t="str">
        <x:v>Primary metrology</x:v>
      </x:c>
      <x:c r="K191" s="17" t="str">
        <x:v>Public custody A</x:v>
      </x:c>
      <x:c r="L191" s="9" t="n">
        <x:v>0</x:v>
      </x:c>
      <x:c r="M191" s="9" t="n">
        <x:v>0</x:v>
      </x:c>
      <x:c r="N191" s="9" t="n">
        <x:v>0</x:v>
      </x:c>
      <x:c r="O191" s="9" t="n">
        <x:v>0</x:v>
      </x:c>
      <x:c r="P191" s="9" t="str">
        <x:v>UNSEALED / SOURCE-EMPTY</x:v>
      </x:c>
      <x:c r="Q191" s="9" t="n">
        <x:f>COUNTIFS($A$7:$A$1158,A191)</x:f>
        <x:v>1</x:v>
      </x:c>
    </x:row>
    <x:row r="192">
      <x:c r="A192" s="9" t="str">
        <x:v>EV-AR-RT-B-C-TECH-2-B1-INT-G0-RW02</x:v>
      </x:c>
      <x:c r="B192" s="9" t="str">
        <x:v>EV-AR-RT-B-C-TECH-2-B1-INT-G0</x:v>
      </x:c>
      <x:c r="C192" s="9" t="str">
        <x:v>AR-RT-B-C-TECH-2-B1-INT-G0</x:v>
      </x:c>
      <x:c r="D192" s="9" t="str">
        <x:v>RT-B-C-TECH-2</x:v>
      </x:c>
      <x:c r="E192" s="9" t="str">
        <x:v>RT-B-C</x:v>
      </x:c>
      <x:c r="F192" s="9" t="str">
        <x:v>B1</x:v>
      </x:c>
      <x:c r="G192" s="9" t="str">
        <x:v>INT</x:v>
      </x:c>
      <x:c r="H192" s="9" t="str">
        <x:v>RW02</x:v>
      </x:c>
      <x:c r="I192" s="17" t="str">
        <x:v>Unlike witness stream</x:v>
      </x:c>
      <x:c r="J192" s="17" t="str">
        <x:v>Witness metrology</x:v>
      </x:c>
      <x:c r="K192" s="17" t="str">
        <x:v>Public custody B</x:v>
      </x:c>
      <x:c r="L192" s="9" t="n">
        <x:v>0</x:v>
      </x:c>
      <x:c r="M192" s="9" t="n">
        <x:v>0</x:v>
      </x:c>
      <x:c r="N192" s="9" t="n">
        <x:v>0</x:v>
      </x:c>
      <x:c r="O192" s="9" t="n">
        <x:v>0</x:v>
      </x:c>
      <x:c r="P192" s="9" t="str">
        <x:v>UNSEALED / SOURCE-EMPTY</x:v>
      </x:c>
      <x:c r="Q192" s="9" t="n">
        <x:f>COUNTIFS($A$7:$A$1158,A192)</x:f>
        <x:v>1</x:v>
      </x:c>
    </x:row>
    <x:row r="193">
      <x:c r="A193" s="9" t="str">
        <x:v>EV-AR-RT-B-C-TECH-2-B1-INT-G0-RW03</x:v>
      </x:c>
      <x:c r="B193" s="9" t="str">
        <x:v>EV-AR-RT-B-C-TECH-2-B1-INT-G0</x:v>
      </x:c>
      <x:c r="C193" s="9" t="str">
        <x:v>AR-RT-B-C-TECH-2-B1-INT-G0</x:v>
      </x:c>
      <x:c r="D193" s="9" t="str">
        <x:v>RT-B-C-TECH-2</x:v>
      </x:c>
      <x:c r="E193" s="9" t="str">
        <x:v>RT-B-C</x:v>
      </x:c>
      <x:c r="F193" s="9" t="str">
        <x:v>B1</x:v>
      </x:c>
      <x:c r="G193" s="9" t="str">
        <x:v>INT</x:v>
      </x:c>
      <x:c r="H193" s="9" t="str">
        <x:v>RW03</x:v>
      </x:c>
      <x:c r="I193" s="17" t="str">
        <x:v>Event clock and start traces</x:v>
      </x:c>
      <x:c r="J193" s="17" t="str">
        <x:v>Event clock authority</x:v>
      </x:c>
      <x:c r="K193" s="17" t="str">
        <x:v>Public custody C</x:v>
      </x:c>
      <x:c r="L193" s="9" t="n">
        <x:v>0</x:v>
      </x:c>
      <x:c r="M193" s="9" t="n">
        <x:v>0</x:v>
      </x:c>
      <x:c r="N193" s="9" t="n">
        <x:v>0</x:v>
      </x:c>
      <x:c r="O193" s="9" t="n">
        <x:v>0</x:v>
      </x:c>
      <x:c r="P193" s="9" t="str">
        <x:v>UNSEALED / SOURCE-EMPTY</x:v>
      </x:c>
      <x:c r="Q193" s="9" t="n">
        <x:f>COUNTIFS($A$7:$A$1158,A193)</x:f>
        <x:v>1</x:v>
      </x:c>
    </x:row>
    <x:row r="194">
      <x:c r="A194" s="9" t="str">
        <x:v>EV-AR-RT-B-C-TECH-2-B1-INT-G0-RW04</x:v>
      </x:c>
      <x:c r="B194" s="9" t="str">
        <x:v>EV-AR-RT-B-C-TECH-2-B1-INT-G0</x:v>
      </x:c>
      <x:c r="C194" s="9" t="str">
        <x:v>AR-RT-B-C-TECH-2-B1-INT-G0</x:v>
      </x:c>
      <x:c r="D194" s="9" t="str">
        <x:v>RT-B-C-TECH-2</x:v>
      </x:c>
      <x:c r="E194" s="9" t="str">
        <x:v>RT-B-C</x:v>
      </x:c>
      <x:c r="F194" s="9" t="str">
        <x:v>B1</x:v>
      </x:c>
      <x:c r="G194" s="9" t="str">
        <x:v>INT</x:v>
      </x:c>
      <x:c r="H194" s="9" t="str">
        <x:v>RW04</x:v>
      </x:c>
      <x:c r="I194" s="17" t="str">
        <x:v>Environmental boundary stream</x:v>
      </x:c>
      <x:c r="J194" s="17" t="str">
        <x:v>Site metrology</x:v>
      </x:c>
      <x:c r="K194" s="17" t="str">
        <x:v>Public custody D</x:v>
      </x:c>
      <x:c r="L194" s="9" t="n">
        <x:v>0</x:v>
      </x:c>
      <x:c r="M194" s="9" t="n">
        <x:v>0</x:v>
      </x:c>
      <x:c r="N194" s="9" t="n">
        <x:v>0</x:v>
      </x:c>
      <x:c r="O194" s="9" t="n">
        <x:v>0</x:v>
      </x:c>
      <x:c r="P194" s="9" t="str">
        <x:v>UNSEALED / SOURCE-EMPTY</x:v>
      </x:c>
      <x:c r="Q194" s="9" t="n">
        <x:f>COUNTIFS($A$7:$A$1158,A194)</x:f>
        <x:v>1</x:v>
      </x:c>
    </x:row>
    <x:row r="195">
      <x:c r="A195" s="9" t="str">
        <x:v>EV-AR-RT-B-C-TECH-2-B1-INT-G0-RW05</x:v>
      </x:c>
      <x:c r="B195" s="9" t="str">
        <x:v>EV-AR-RT-B-C-TECH-2-B1-INT-G0</x:v>
      </x:c>
      <x:c r="C195" s="9" t="str">
        <x:v>AR-RT-B-C-TECH-2-B1-INT-G0</x:v>
      </x:c>
      <x:c r="D195" s="9" t="str">
        <x:v>RT-B-C-TECH-2</x:v>
      </x:c>
      <x:c r="E195" s="9" t="str">
        <x:v>RT-B-C</x:v>
      </x:c>
      <x:c r="F195" s="9" t="str">
        <x:v>B1</x:v>
      </x:c>
      <x:c r="G195" s="9" t="str">
        <x:v>INT</x:v>
      </x:c>
      <x:c r="H195" s="9" t="str">
        <x:v>RW05</x:v>
      </x:c>
      <x:c r="I195" s="17" t="str">
        <x:v>Command and intervention log</x:v>
      </x:c>
      <x:c r="J195" s="17" t="str">
        <x:v>Safety authority</x:v>
      </x:c>
      <x:c r="K195" s="17" t="str">
        <x:v>Public custody E</x:v>
      </x:c>
      <x:c r="L195" s="9" t="n">
        <x:v>0</x:v>
      </x:c>
      <x:c r="M195" s="9" t="n">
        <x:v>0</x:v>
      </x:c>
      <x:c r="N195" s="9" t="n">
        <x:v>0</x:v>
      </x:c>
      <x:c r="O195" s="9" t="n">
        <x:v>0</x:v>
      </x:c>
      <x:c r="P195" s="9" t="str">
        <x:v>UNSEALED / SOURCE-EMPTY</x:v>
      </x:c>
      <x:c r="Q195" s="9" t="n">
        <x:f>COUNTIFS($A$7:$A$1158,A195)</x:f>
        <x:v>1</x:v>
      </x:c>
    </x:row>
    <x:row r="196">
      <x:c r="A196" s="9" t="str">
        <x:v>EV-AR-RT-B-C-TECH-2-B1-INT-G0-RW06</x:v>
      </x:c>
      <x:c r="B196" s="9" t="str">
        <x:v>EV-AR-RT-B-C-TECH-2-B1-INT-G0</x:v>
      </x:c>
      <x:c r="C196" s="9" t="str">
        <x:v>AR-RT-B-C-TECH-2-B1-INT-G0</x:v>
      </x:c>
      <x:c r="D196" s="9" t="str">
        <x:v>RT-B-C-TECH-2</x:v>
      </x:c>
      <x:c r="E196" s="9" t="str">
        <x:v>RT-B-C</x:v>
      </x:c>
      <x:c r="F196" s="9" t="str">
        <x:v>B1</x:v>
      </x:c>
      <x:c r="G196" s="9" t="str">
        <x:v>INT</x:v>
      </x:c>
      <x:c r="H196" s="9" t="str">
        <x:v>RW06</x:v>
      </x:c>
      <x:c r="I196" s="17" t="str">
        <x:v>Receiver service ledger</x:v>
      </x:c>
      <x:c r="J196" s="17" t="str">
        <x:v>Receiver authority</x:v>
      </x:c>
      <x:c r="K196" s="17" t="str">
        <x:v>Public custody F</x:v>
      </x:c>
      <x:c r="L196" s="9" t="n">
        <x:v>0</x:v>
      </x:c>
      <x:c r="M196" s="9" t="n">
        <x:v>0</x:v>
      </x:c>
      <x:c r="N196" s="9" t="n">
        <x:v>0</x:v>
      </x:c>
      <x:c r="O196" s="9" t="n">
        <x:v>0</x:v>
      </x:c>
      <x:c r="P196" s="9" t="str">
        <x:v>UNSEALED / SOURCE-EMPTY</x:v>
      </x:c>
      <x:c r="Q196" s="9" t="n">
        <x:f>COUNTIFS($A$7:$A$1158,A196)</x:f>
        <x:v>1</x:v>
      </x:c>
    </x:row>
    <x:row r="197">
      <x:c r="A197" s="9" t="str">
        <x:v>EV-AR-RT-B-C-TECH-2-B1-INT-G0-RW07</x:v>
      </x:c>
      <x:c r="B197" s="9" t="str">
        <x:v>EV-AR-RT-B-C-TECH-2-B1-INT-G0</x:v>
      </x:c>
      <x:c r="C197" s="9" t="str">
        <x:v>AR-RT-B-C-TECH-2-B1-INT-G0</x:v>
      </x:c>
      <x:c r="D197" s="9" t="str">
        <x:v>RT-B-C-TECH-2</x:v>
      </x:c>
      <x:c r="E197" s="9" t="str">
        <x:v>RT-B-C</x:v>
      </x:c>
      <x:c r="F197" s="9" t="str">
        <x:v>B1</x:v>
      </x:c>
      <x:c r="G197" s="9" t="str">
        <x:v>INT</x:v>
      </x:c>
      <x:c r="H197" s="9" t="str">
        <x:v>RW07</x:v>
      </x:c>
      <x:c r="I197" s="17" t="str">
        <x:v>Candidate interface telemetry</x:v>
      </x:c>
      <x:c r="J197" s="17" t="str">
        <x:v>Interface custodian</x:v>
      </x:c>
      <x:c r="K197" s="17" t="str">
        <x:v>Public custody A</x:v>
      </x:c>
      <x:c r="L197" s="9" t="n">
        <x:v>0</x:v>
      </x:c>
      <x:c r="M197" s="9" t="n">
        <x:v>0</x:v>
      </x:c>
      <x:c r="N197" s="9" t="n">
        <x:v>0</x:v>
      </x:c>
      <x:c r="O197" s="9" t="n">
        <x:v>0</x:v>
      </x:c>
      <x:c r="P197" s="9" t="str">
        <x:v>UNSEALED / SOURCE-EMPTY</x:v>
      </x:c>
      <x:c r="Q197" s="9" t="n">
        <x:f>COUNTIFS($A$7:$A$1158,A197)</x:f>
        <x:v>1</x:v>
      </x:c>
    </x:row>
    <x:row r="198">
      <x:c r="A198" s="9" t="str">
        <x:v>EV-AR-RT-B-C-TECH-2-B1-INT-G0-RW08</x:v>
      </x:c>
      <x:c r="B198" s="9" t="str">
        <x:v>EV-AR-RT-B-C-TECH-2-B1-INT-G0</x:v>
      </x:c>
      <x:c r="C198" s="9" t="str">
        <x:v>AR-RT-B-C-TECH-2-B1-INT-G0</x:v>
      </x:c>
      <x:c r="D198" s="9" t="str">
        <x:v>RT-B-C-TECH-2</x:v>
      </x:c>
      <x:c r="E198" s="9" t="str">
        <x:v>RT-B-C</x:v>
      </x:c>
      <x:c r="F198" s="9" t="str">
        <x:v>B1</x:v>
      </x:c>
      <x:c r="G198" s="9" t="str">
        <x:v>INT</x:v>
      </x:c>
      <x:c r="H198" s="9" t="str">
        <x:v>RW08</x:v>
      </x:c>
      <x:c r="I198" s="17" t="str">
        <x:v>Residual and physical evidence</x:v>
      </x:c>
      <x:c r="J198" s="17" t="str">
        <x:v>Residual authority</x:v>
      </x:c>
      <x:c r="K198" s="17" t="str">
        <x:v>Public custody B</x:v>
      </x:c>
      <x:c r="L198" s="9" t="n">
        <x:v>0</x:v>
      </x:c>
      <x:c r="M198" s="9" t="n">
        <x:v>0</x:v>
      </x:c>
      <x:c r="N198" s="9" t="n">
        <x:v>0</x:v>
      </x:c>
      <x:c r="O198" s="9" t="n">
        <x:v>0</x:v>
      </x:c>
      <x:c r="P198" s="9" t="str">
        <x:v>UNSEALED / SOURCE-EMPTY</x:v>
      </x:c>
      <x:c r="Q198" s="9" t="n">
        <x:f>COUNTIFS($A$7:$A$1158,A198)</x:f>
        <x:v>1</x:v>
      </x:c>
    </x:row>
    <x:row r="199">
      <x:c r="A199" s="9" t="str">
        <x:v>EV-AR-CT-C-B-TECH-4-B2-BRK-G0-RW01</x:v>
      </x:c>
      <x:c r="B199" s="9" t="str">
        <x:v>EV-AR-CT-C-B-TECH-4-B2-BRK-G0</x:v>
      </x:c>
      <x:c r="C199" s="9" t="str">
        <x:v>AR-CT-C-B-TECH-4-B2-BRK-G0</x:v>
      </x:c>
      <x:c r="D199" s="9" t="str">
        <x:v>CT-C-B-TECH-4</x:v>
      </x:c>
      <x:c r="E199" s="9" t="str">
        <x:v>CT-C-B</x:v>
      </x:c>
      <x:c r="F199" s="9" t="str">
        <x:v>B2</x:v>
      </x:c>
      <x:c r="G199" s="9" t="str">
        <x:v>BRK</x:v>
      </x:c>
      <x:c r="H199" s="9" t="str">
        <x:v>RW01</x:v>
      </x:c>
      <x:c r="I199" s="17" t="str">
        <x:v>Primary raw stream</x:v>
      </x:c>
      <x:c r="J199" s="17" t="str">
        <x:v>Primary metrology</x:v>
      </x:c>
      <x:c r="K199" s="17" t="str">
        <x:v>Public custody A</x:v>
      </x:c>
      <x:c r="L199" s="9" t="n">
        <x:v>0</x:v>
      </x:c>
      <x:c r="M199" s="9" t="n">
        <x:v>0</x:v>
      </x:c>
      <x:c r="N199" s="9" t="n">
        <x:v>0</x:v>
      </x:c>
      <x:c r="O199" s="9" t="n">
        <x:v>0</x:v>
      </x:c>
      <x:c r="P199" s="9" t="str">
        <x:v>UNSEALED / SOURCE-EMPTY</x:v>
      </x:c>
      <x:c r="Q199" s="9" t="n">
        <x:f>COUNTIFS($A$7:$A$1158,A199)</x:f>
        <x:v>1</x:v>
      </x:c>
    </x:row>
    <x:row r="200">
      <x:c r="A200" s="9" t="str">
        <x:v>EV-AR-CT-C-B-TECH-4-B2-BRK-G0-RW02</x:v>
      </x:c>
      <x:c r="B200" s="9" t="str">
        <x:v>EV-AR-CT-C-B-TECH-4-B2-BRK-G0</x:v>
      </x:c>
      <x:c r="C200" s="9" t="str">
        <x:v>AR-CT-C-B-TECH-4-B2-BRK-G0</x:v>
      </x:c>
      <x:c r="D200" s="9" t="str">
        <x:v>CT-C-B-TECH-4</x:v>
      </x:c>
      <x:c r="E200" s="9" t="str">
        <x:v>CT-C-B</x:v>
      </x:c>
      <x:c r="F200" s="9" t="str">
        <x:v>B2</x:v>
      </x:c>
      <x:c r="G200" s="9" t="str">
        <x:v>BRK</x:v>
      </x:c>
      <x:c r="H200" s="9" t="str">
        <x:v>RW02</x:v>
      </x:c>
      <x:c r="I200" s="17" t="str">
        <x:v>Unlike witness stream</x:v>
      </x:c>
      <x:c r="J200" s="17" t="str">
        <x:v>Witness metrology</x:v>
      </x:c>
      <x:c r="K200" s="17" t="str">
        <x:v>Public custody B</x:v>
      </x:c>
      <x:c r="L200" s="9" t="n">
        <x:v>0</x:v>
      </x:c>
      <x:c r="M200" s="9" t="n">
        <x:v>0</x:v>
      </x:c>
      <x:c r="N200" s="9" t="n">
        <x:v>0</x:v>
      </x:c>
      <x:c r="O200" s="9" t="n">
        <x:v>0</x:v>
      </x:c>
      <x:c r="P200" s="9" t="str">
        <x:v>UNSEALED / SOURCE-EMPTY</x:v>
      </x:c>
      <x:c r="Q200" s="9" t="n">
        <x:f>COUNTIFS($A$7:$A$1158,A200)</x:f>
        <x:v>1</x:v>
      </x:c>
    </x:row>
    <x:row r="201">
      <x:c r="A201" s="9" t="str">
        <x:v>EV-AR-CT-C-B-TECH-4-B2-BRK-G0-RW03</x:v>
      </x:c>
      <x:c r="B201" s="9" t="str">
        <x:v>EV-AR-CT-C-B-TECH-4-B2-BRK-G0</x:v>
      </x:c>
      <x:c r="C201" s="9" t="str">
        <x:v>AR-CT-C-B-TECH-4-B2-BRK-G0</x:v>
      </x:c>
      <x:c r="D201" s="9" t="str">
        <x:v>CT-C-B-TECH-4</x:v>
      </x:c>
      <x:c r="E201" s="9" t="str">
        <x:v>CT-C-B</x:v>
      </x:c>
      <x:c r="F201" s="9" t="str">
        <x:v>B2</x:v>
      </x:c>
      <x:c r="G201" s="9" t="str">
        <x:v>BRK</x:v>
      </x:c>
      <x:c r="H201" s="9" t="str">
        <x:v>RW03</x:v>
      </x:c>
      <x:c r="I201" s="17" t="str">
        <x:v>Event clock and start traces</x:v>
      </x:c>
      <x:c r="J201" s="17" t="str">
        <x:v>Event clock authority</x:v>
      </x:c>
      <x:c r="K201" s="17" t="str">
        <x:v>Public custody C</x:v>
      </x:c>
      <x:c r="L201" s="9" t="n">
        <x:v>0</x:v>
      </x:c>
      <x:c r="M201" s="9" t="n">
        <x:v>0</x:v>
      </x:c>
      <x:c r="N201" s="9" t="n">
        <x:v>0</x:v>
      </x:c>
      <x:c r="O201" s="9" t="n">
        <x:v>0</x:v>
      </x:c>
      <x:c r="P201" s="9" t="str">
        <x:v>UNSEALED / SOURCE-EMPTY</x:v>
      </x:c>
      <x:c r="Q201" s="9" t="n">
        <x:f>COUNTIFS($A$7:$A$1158,A201)</x:f>
        <x:v>1</x:v>
      </x:c>
    </x:row>
    <x:row r="202">
      <x:c r="A202" s="9" t="str">
        <x:v>EV-AR-CT-C-B-TECH-4-B2-BRK-G0-RW04</x:v>
      </x:c>
      <x:c r="B202" s="9" t="str">
        <x:v>EV-AR-CT-C-B-TECH-4-B2-BRK-G0</x:v>
      </x:c>
      <x:c r="C202" s="9" t="str">
        <x:v>AR-CT-C-B-TECH-4-B2-BRK-G0</x:v>
      </x:c>
      <x:c r="D202" s="9" t="str">
        <x:v>CT-C-B-TECH-4</x:v>
      </x:c>
      <x:c r="E202" s="9" t="str">
        <x:v>CT-C-B</x:v>
      </x:c>
      <x:c r="F202" s="9" t="str">
        <x:v>B2</x:v>
      </x:c>
      <x:c r="G202" s="9" t="str">
        <x:v>BRK</x:v>
      </x:c>
      <x:c r="H202" s="9" t="str">
        <x:v>RW04</x:v>
      </x:c>
      <x:c r="I202" s="17" t="str">
        <x:v>Environmental boundary stream</x:v>
      </x:c>
      <x:c r="J202" s="17" t="str">
        <x:v>Site metrology</x:v>
      </x:c>
      <x:c r="K202" s="17" t="str">
        <x:v>Public custody D</x:v>
      </x:c>
      <x:c r="L202" s="9" t="n">
        <x:v>0</x:v>
      </x:c>
      <x:c r="M202" s="9" t="n">
        <x:v>0</x:v>
      </x:c>
      <x:c r="N202" s="9" t="n">
        <x:v>0</x:v>
      </x:c>
      <x:c r="O202" s="9" t="n">
        <x:v>0</x:v>
      </x:c>
      <x:c r="P202" s="9" t="str">
        <x:v>UNSEALED / SOURCE-EMPTY</x:v>
      </x:c>
      <x:c r="Q202" s="9" t="n">
        <x:f>COUNTIFS($A$7:$A$1158,A202)</x:f>
        <x:v>1</x:v>
      </x:c>
    </x:row>
    <x:row r="203">
      <x:c r="A203" s="9" t="str">
        <x:v>EV-AR-CT-C-B-TECH-4-B2-BRK-G0-RW05</x:v>
      </x:c>
      <x:c r="B203" s="9" t="str">
        <x:v>EV-AR-CT-C-B-TECH-4-B2-BRK-G0</x:v>
      </x:c>
      <x:c r="C203" s="9" t="str">
        <x:v>AR-CT-C-B-TECH-4-B2-BRK-G0</x:v>
      </x:c>
      <x:c r="D203" s="9" t="str">
        <x:v>CT-C-B-TECH-4</x:v>
      </x:c>
      <x:c r="E203" s="9" t="str">
        <x:v>CT-C-B</x:v>
      </x:c>
      <x:c r="F203" s="9" t="str">
        <x:v>B2</x:v>
      </x:c>
      <x:c r="G203" s="9" t="str">
        <x:v>BRK</x:v>
      </x:c>
      <x:c r="H203" s="9" t="str">
        <x:v>RW05</x:v>
      </x:c>
      <x:c r="I203" s="17" t="str">
        <x:v>Command and intervention log</x:v>
      </x:c>
      <x:c r="J203" s="17" t="str">
        <x:v>Safety authority</x:v>
      </x:c>
      <x:c r="K203" s="17" t="str">
        <x:v>Public custody E</x:v>
      </x:c>
      <x:c r="L203" s="9" t="n">
        <x:v>0</x:v>
      </x:c>
      <x:c r="M203" s="9" t="n">
        <x:v>0</x:v>
      </x:c>
      <x:c r="N203" s="9" t="n">
        <x:v>0</x:v>
      </x:c>
      <x:c r="O203" s="9" t="n">
        <x:v>0</x:v>
      </x:c>
      <x:c r="P203" s="9" t="str">
        <x:v>UNSEALED / SOURCE-EMPTY</x:v>
      </x:c>
      <x:c r="Q203" s="9" t="n">
        <x:f>COUNTIFS($A$7:$A$1158,A203)</x:f>
        <x:v>1</x:v>
      </x:c>
    </x:row>
    <x:row r="204">
      <x:c r="A204" s="9" t="str">
        <x:v>EV-AR-CT-C-B-TECH-4-B2-BRK-G0-RW06</x:v>
      </x:c>
      <x:c r="B204" s="9" t="str">
        <x:v>EV-AR-CT-C-B-TECH-4-B2-BRK-G0</x:v>
      </x:c>
      <x:c r="C204" s="9" t="str">
        <x:v>AR-CT-C-B-TECH-4-B2-BRK-G0</x:v>
      </x:c>
      <x:c r="D204" s="9" t="str">
        <x:v>CT-C-B-TECH-4</x:v>
      </x:c>
      <x:c r="E204" s="9" t="str">
        <x:v>CT-C-B</x:v>
      </x:c>
      <x:c r="F204" s="9" t="str">
        <x:v>B2</x:v>
      </x:c>
      <x:c r="G204" s="9" t="str">
        <x:v>BRK</x:v>
      </x:c>
      <x:c r="H204" s="9" t="str">
        <x:v>RW06</x:v>
      </x:c>
      <x:c r="I204" s="17" t="str">
        <x:v>Receiver service ledger</x:v>
      </x:c>
      <x:c r="J204" s="17" t="str">
        <x:v>Receiver authority</x:v>
      </x:c>
      <x:c r="K204" s="17" t="str">
        <x:v>Public custody F</x:v>
      </x:c>
      <x:c r="L204" s="9" t="n">
        <x:v>0</x:v>
      </x:c>
      <x:c r="M204" s="9" t="n">
        <x:v>0</x:v>
      </x:c>
      <x:c r="N204" s="9" t="n">
        <x:v>0</x:v>
      </x:c>
      <x:c r="O204" s="9" t="n">
        <x:v>0</x:v>
      </x:c>
      <x:c r="P204" s="9" t="str">
        <x:v>UNSEALED / SOURCE-EMPTY</x:v>
      </x:c>
      <x:c r="Q204" s="9" t="n">
        <x:f>COUNTIFS($A$7:$A$1158,A204)</x:f>
        <x:v>1</x:v>
      </x:c>
    </x:row>
    <x:row r="205">
      <x:c r="A205" s="9" t="str">
        <x:v>EV-AR-CT-C-B-TECH-4-B2-BRK-G0-RW07</x:v>
      </x:c>
      <x:c r="B205" s="9" t="str">
        <x:v>EV-AR-CT-C-B-TECH-4-B2-BRK-G0</x:v>
      </x:c>
      <x:c r="C205" s="9" t="str">
        <x:v>AR-CT-C-B-TECH-4-B2-BRK-G0</x:v>
      </x:c>
      <x:c r="D205" s="9" t="str">
        <x:v>CT-C-B-TECH-4</x:v>
      </x:c>
      <x:c r="E205" s="9" t="str">
        <x:v>CT-C-B</x:v>
      </x:c>
      <x:c r="F205" s="9" t="str">
        <x:v>B2</x:v>
      </x:c>
      <x:c r="G205" s="9" t="str">
        <x:v>BRK</x:v>
      </x:c>
      <x:c r="H205" s="9" t="str">
        <x:v>RW07</x:v>
      </x:c>
      <x:c r="I205" s="17" t="str">
        <x:v>Candidate interface telemetry</x:v>
      </x:c>
      <x:c r="J205" s="17" t="str">
        <x:v>Interface custodian</x:v>
      </x:c>
      <x:c r="K205" s="17" t="str">
        <x:v>Public custody A</x:v>
      </x:c>
      <x:c r="L205" s="9" t="n">
        <x:v>0</x:v>
      </x:c>
      <x:c r="M205" s="9" t="n">
        <x:v>0</x:v>
      </x:c>
      <x:c r="N205" s="9" t="n">
        <x:v>0</x:v>
      </x:c>
      <x:c r="O205" s="9" t="n">
        <x:v>0</x:v>
      </x:c>
      <x:c r="P205" s="9" t="str">
        <x:v>UNSEALED / SOURCE-EMPTY</x:v>
      </x:c>
      <x:c r="Q205" s="9" t="n">
        <x:f>COUNTIFS($A$7:$A$1158,A205)</x:f>
        <x:v>1</x:v>
      </x:c>
    </x:row>
    <x:row r="206">
      <x:c r="A206" s="9" t="str">
        <x:v>EV-AR-CT-C-B-TECH-4-B2-BRK-G0-RW08</x:v>
      </x:c>
      <x:c r="B206" s="9" t="str">
        <x:v>EV-AR-CT-C-B-TECH-4-B2-BRK-G0</x:v>
      </x:c>
      <x:c r="C206" s="9" t="str">
        <x:v>AR-CT-C-B-TECH-4-B2-BRK-G0</x:v>
      </x:c>
      <x:c r="D206" s="9" t="str">
        <x:v>CT-C-B-TECH-4</x:v>
      </x:c>
      <x:c r="E206" s="9" t="str">
        <x:v>CT-C-B</x:v>
      </x:c>
      <x:c r="F206" s="9" t="str">
        <x:v>B2</x:v>
      </x:c>
      <x:c r="G206" s="9" t="str">
        <x:v>BRK</x:v>
      </x:c>
      <x:c r="H206" s="9" t="str">
        <x:v>RW08</x:v>
      </x:c>
      <x:c r="I206" s="17" t="str">
        <x:v>Residual and physical evidence</x:v>
      </x:c>
      <x:c r="J206" s="17" t="str">
        <x:v>Residual authority</x:v>
      </x:c>
      <x:c r="K206" s="17" t="str">
        <x:v>Public custody B</x:v>
      </x:c>
      <x:c r="L206" s="9" t="n">
        <x:v>0</x:v>
      </x:c>
      <x:c r="M206" s="9" t="n">
        <x:v>0</x:v>
      </x:c>
      <x:c r="N206" s="9" t="n">
        <x:v>0</x:v>
      </x:c>
      <x:c r="O206" s="9" t="n">
        <x:v>0</x:v>
      </x:c>
      <x:c r="P206" s="9" t="str">
        <x:v>UNSEALED / SOURCE-EMPTY</x:v>
      </x:c>
      <x:c r="Q206" s="9" t="n">
        <x:f>COUNTIFS($A$7:$A$1158,A206)</x:f>
        <x:v>1</x:v>
      </x:c>
    </x:row>
    <x:row r="207">
      <x:c r="A207" s="9" t="str">
        <x:v>EV-AR-CT-C-B-TECH-3-B1-RCN-G0-RW01</x:v>
      </x:c>
      <x:c r="B207" s="9" t="str">
        <x:v>EV-AR-CT-C-B-TECH-3-B1-RCN-G0</x:v>
      </x:c>
      <x:c r="C207" s="9" t="str">
        <x:v>AR-CT-C-B-TECH-3-B1-RCN-G0</x:v>
      </x:c>
      <x:c r="D207" s="9" t="str">
        <x:v>CT-C-B-TECH-3</x:v>
      </x:c>
      <x:c r="E207" s="9" t="str">
        <x:v>CT-C-B</x:v>
      </x:c>
      <x:c r="F207" s="9" t="str">
        <x:v>B1</x:v>
      </x:c>
      <x:c r="G207" s="9" t="str">
        <x:v>RCN</x:v>
      </x:c>
      <x:c r="H207" s="9" t="str">
        <x:v>RW01</x:v>
      </x:c>
      <x:c r="I207" s="17" t="str">
        <x:v>Primary raw stream</x:v>
      </x:c>
      <x:c r="J207" s="17" t="str">
        <x:v>Primary metrology</x:v>
      </x:c>
      <x:c r="K207" s="17" t="str">
        <x:v>Public custody A</x:v>
      </x:c>
      <x:c r="L207" s="9" t="n">
        <x:v>0</x:v>
      </x:c>
      <x:c r="M207" s="9" t="n">
        <x:v>0</x:v>
      </x:c>
      <x:c r="N207" s="9" t="n">
        <x:v>0</x:v>
      </x:c>
      <x:c r="O207" s="9" t="n">
        <x:v>0</x:v>
      </x:c>
      <x:c r="P207" s="9" t="str">
        <x:v>UNSEALED / SOURCE-EMPTY</x:v>
      </x:c>
      <x:c r="Q207" s="9" t="n">
        <x:f>COUNTIFS($A$7:$A$1158,A207)</x:f>
        <x:v>1</x:v>
      </x:c>
    </x:row>
    <x:row r="208">
      <x:c r="A208" s="9" t="str">
        <x:v>EV-AR-CT-C-B-TECH-3-B1-RCN-G0-RW02</x:v>
      </x:c>
      <x:c r="B208" s="9" t="str">
        <x:v>EV-AR-CT-C-B-TECH-3-B1-RCN-G0</x:v>
      </x:c>
      <x:c r="C208" s="9" t="str">
        <x:v>AR-CT-C-B-TECH-3-B1-RCN-G0</x:v>
      </x:c>
      <x:c r="D208" s="9" t="str">
        <x:v>CT-C-B-TECH-3</x:v>
      </x:c>
      <x:c r="E208" s="9" t="str">
        <x:v>CT-C-B</x:v>
      </x:c>
      <x:c r="F208" s="9" t="str">
        <x:v>B1</x:v>
      </x:c>
      <x:c r="G208" s="9" t="str">
        <x:v>RCN</x:v>
      </x:c>
      <x:c r="H208" s="9" t="str">
        <x:v>RW02</x:v>
      </x:c>
      <x:c r="I208" s="17" t="str">
        <x:v>Unlike witness stream</x:v>
      </x:c>
      <x:c r="J208" s="17" t="str">
        <x:v>Witness metrology</x:v>
      </x:c>
      <x:c r="K208" s="17" t="str">
        <x:v>Public custody B</x:v>
      </x:c>
      <x:c r="L208" s="9" t="n">
        <x:v>0</x:v>
      </x:c>
      <x:c r="M208" s="9" t="n">
        <x:v>0</x:v>
      </x:c>
      <x:c r="N208" s="9" t="n">
        <x:v>0</x:v>
      </x:c>
      <x:c r="O208" s="9" t="n">
        <x:v>0</x:v>
      </x:c>
      <x:c r="P208" s="9" t="str">
        <x:v>UNSEALED / SOURCE-EMPTY</x:v>
      </x:c>
      <x:c r="Q208" s="9" t="n">
        <x:f>COUNTIFS($A$7:$A$1158,A208)</x:f>
        <x:v>1</x:v>
      </x:c>
    </x:row>
    <x:row r="209">
      <x:c r="A209" s="9" t="str">
        <x:v>EV-AR-CT-C-B-TECH-3-B1-RCN-G0-RW03</x:v>
      </x:c>
      <x:c r="B209" s="9" t="str">
        <x:v>EV-AR-CT-C-B-TECH-3-B1-RCN-G0</x:v>
      </x:c>
      <x:c r="C209" s="9" t="str">
        <x:v>AR-CT-C-B-TECH-3-B1-RCN-G0</x:v>
      </x:c>
      <x:c r="D209" s="9" t="str">
        <x:v>CT-C-B-TECH-3</x:v>
      </x:c>
      <x:c r="E209" s="9" t="str">
        <x:v>CT-C-B</x:v>
      </x:c>
      <x:c r="F209" s="9" t="str">
        <x:v>B1</x:v>
      </x:c>
      <x:c r="G209" s="9" t="str">
        <x:v>RCN</x:v>
      </x:c>
      <x:c r="H209" s="9" t="str">
        <x:v>RW03</x:v>
      </x:c>
      <x:c r="I209" s="17" t="str">
        <x:v>Event clock and start traces</x:v>
      </x:c>
      <x:c r="J209" s="17" t="str">
        <x:v>Event clock authority</x:v>
      </x:c>
      <x:c r="K209" s="17" t="str">
        <x:v>Public custody C</x:v>
      </x:c>
      <x:c r="L209" s="9" t="n">
        <x:v>0</x:v>
      </x:c>
      <x:c r="M209" s="9" t="n">
        <x:v>0</x:v>
      </x:c>
      <x:c r="N209" s="9" t="n">
        <x:v>0</x:v>
      </x:c>
      <x:c r="O209" s="9" t="n">
        <x:v>0</x:v>
      </x:c>
      <x:c r="P209" s="9" t="str">
        <x:v>UNSEALED / SOURCE-EMPTY</x:v>
      </x:c>
      <x:c r="Q209" s="9" t="n">
        <x:f>COUNTIFS($A$7:$A$1158,A209)</x:f>
        <x:v>1</x:v>
      </x:c>
    </x:row>
    <x:row r="210">
      <x:c r="A210" s="9" t="str">
        <x:v>EV-AR-CT-C-B-TECH-3-B1-RCN-G0-RW04</x:v>
      </x:c>
      <x:c r="B210" s="9" t="str">
        <x:v>EV-AR-CT-C-B-TECH-3-B1-RCN-G0</x:v>
      </x:c>
      <x:c r="C210" s="9" t="str">
        <x:v>AR-CT-C-B-TECH-3-B1-RCN-G0</x:v>
      </x:c>
      <x:c r="D210" s="9" t="str">
        <x:v>CT-C-B-TECH-3</x:v>
      </x:c>
      <x:c r="E210" s="9" t="str">
        <x:v>CT-C-B</x:v>
      </x:c>
      <x:c r="F210" s="9" t="str">
        <x:v>B1</x:v>
      </x:c>
      <x:c r="G210" s="9" t="str">
        <x:v>RCN</x:v>
      </x:c>
      <x:c r="H210" s="9" t="str">
        <x:v>RW04</x:v>
      </x:c>
      <x:c r="I210" s="17" t="str">
        <x:v>Environmental boundary stream</x:v>
      </x:c>
      <x:c r="J210" s="17" t="str">
        <x:v>Site metrology</x:v>
      </x:c>
      <x:c r="K210" s="17" t="str">
        <x:v>Public custody D</x:v>
      </x:c>
      <x:c r="L210" s="9" t="n">
        <x:v>0</x:v>
      </x:c>
      <x:c r="M210" s="9" t="n">
        <x:v>0</x:v>
      </x:c>
      <x:c r="N210" s="9" t="n">
        <x:v>0</x:v>
      </x:c>
      <x:c r="O210" s="9" t="n">
        <x:v>0</x:v>
      </x:c>
      <x:c r="P210" s="9" t="str">
        <x:v>UNSEALED / SOURCE-EMPTY</x:v>
      </x:c>
      <x:c r="Q210" s="9" t="n">
        <x:f>COUNTIFS($A$7:$A$1158,A210)</x:f>
        <x:v>1</x:v>
      </x:c>
    </x:row>
    <x:row r="211">
      <x:c r="A211" s="9" t="str">
        <x:v>EV-AR-CT-C-B-TECH-3-B1-RCN-G0-RW05</x:v>
      </x:c>
      <x:c r="B211" s="9" t="str">
        <x:v>EV-AR-CT-C-B-TECH-3-B1-RCN-G0</x:v>
      </x:c>
      <x:c r="C211" s="9" t="str">
        <x:v>AR-CT-C-B-TECH-3-B1-RCN-G0</x:v>
      </x:c>
      <x:c r="D211" s="9" t="str">
        <x:v>CT-C-B-TECH-3</x:v>
      </x:c>
      <x:c r="E211" s="9" t="str">
        <x:v>CT-C-B</x:v>
      </x:c>
      <x:c r="F211" s="9" t="str">
        <x:v>B1</x:v>
      </x:c>
      <x:c r="G211" s="9" t="str">
        <x:v>RCN</x:v>
      </x:c>
      <x:c r="H211" s="9" t="str">
        <x:v>RW05</x:v>
      </x:c>
      <x:c r="I211" s="17" t="str">
        <x:v>Command and intervention log</x:v>
      </x:c>
      <x:c r="J211" s="17" t="str">
        <x:v>Safety authority</x:v>
      </x:c>
      <x:c r="K211" s="17" t="str">
        <x:v>Public custody E</x:v>
      </x:c>
      <x:c r="L211" s="9" t="n">
        <x:v>0</x:v>
      </x:c>
      <x:c r="M211" s="9" t="n">
        <x:v>0</x:v>
      </x:c>
      <x:c r="N211" s="9" t="n">
        <x:v>0</x:v>
      </x:c>
      <x:c r="O211" s="9" t="n">
        <x:v>0</x:v>
      </x:c>
      <x:c r="P211" s="9" t="str">
        <x:v>UNSEALED / SOURCE-EMPTY</x:v>
      </x:c>
      <x:c r="Q211" s="9" t="n">
        <x:f>COUNTIFS($A$7:$A$1158,A211)</x:f>
        <x:v>1</x:v>
      </x:c>
    </x:row>
    <x:row r="212">
      <x:c r="A212" s="9" t="str">
        <x:v>EV-AR-CT-C-B-TECH-3-B1-RCN-G0-RW06</x:v>
      </x:c>
      <x:c r="B212" s="9" t="str">
        <x:v>EV-AR-CT-C-B-TECH-3-B1-RCN-G0</x:v>
      </x:c>
      <x:c r="C212" s="9" t="str">
        <x:v>AR-CT-C-B-TECH-3-B1-RCN-G0</x:v>
      </x:c>
      <x:c r="D212" s="9" t="str">
        <x:v>CT-C-B-TECH-3</x:v>
      </x:c>
      <x:c r="E212" s="9" t="str">
        <x:v>CT-C-B</x:v>
      </x:c>
      <x:c r="F212" s="9" t="str">
        <x:v>B1</x:v>
      </x:c>
      <x:c r="G212" s="9" t="str">
        <x:v>RCN</x:v>
      </x:c>
      <x:c r="H212" s="9" t="str">
        <x:v>RW06</x:v>
      </x:c>
      <x:c r="I212" s="17" t="str">
        <x:v>Receiver service ledger</x:v>
      </x:c>
      <x:c r="J212" s="17" t="str">
        <x:v>Receiver authority</x:v>
      </x:c>
      <x:c r="K212" s="17" t="str">
        <x:v>Public custody F</x:v>
      </x:c>
      <x:c r="L212" s="9" t="n">
        <x:v>0</x:v>
      </x:c>
      <x:c r="M212" s="9" t="n">
        <x:v>0</x:v>
      </x:c>
      <x:c r="N212" s="9" t="n">
        <x:v>0</x:v>
      </x:c>
      <x:c r="O212" s="9" t="n">
        <x:v>0</x:v>
      </x:c>
      <x:c r="P212" s="9" t="str">
        <x:v>UNSEALED / SOURCE-EMPTY</x:v>
      </x:c>
      <x:c r="Q212" s="9" t="n">
        <x:f>COUNTIFS($A$7:$A$1158,A212)</x:f>
        <x:v>1</x:v>
      </x:c>
    </x:row>
    <x:row r="213">
      <x:c r="A213" s="9" t="str">
        <x:v>EV-AR-CT-C-B-TECH-3-B1-RCN-G0-RW07</x:v>
      </x:c>
      <x:c r="B213" s="9" t="str">
        <x:v>EV-AR-CT-C-B-TECH-3-B1-RCN-G0</x:v>
      </x:c>
      <x:c r="C213" s="9" t="str">
        <x:v>AR-CT-C-B-TECH-3-B1-RCN-G0</x:v>
      </x:c>
      <x:c r="D213" s="9" t="str">
        <x:v>CT-C-B-TECH-3</x:v>
      </x:c>
      <x:c r="E213" s="9" t="str">
        <x:v>CT-C-B</x:v>
      </x:c>
      <x:c r="F213" s="9" t="str">
        <x:v>B1</x:v>
      </x:c>
      <x:c r="G213" s="9" t="str">
        <x:v>RCN</x:v>
      </x:c>
      <x:c r="H213" s="9" t="str">
        <x:v>RW07</x:v>
      </x:c>
      <x:c r="I213" s="17" t="str">
        <x:v>Candidate interface telemetry</x:v>
      </x:c>
      <x:c r="J213" s="17" t="str">
        <x:v>Interface custodian</x:v>
      </x:c>
      <x:c r="K213" s="17" t="str">
        <x:v>Public custody A</x:v>
      </x:c>
      <x:c r="L213" s="9" t="n">
        <x:v>0</x:v>
      </x:c>
      <x:c r="M213" s="9" t="n">
        <x:v>0</x:v>
      </x:c>
      <x:c r="N213" s="9" t="n">
        <x:v>0</x:v>
      </x:c>
      <x:c r="O213" s="9" t="n">
        <x:v>0</x:v>
      </x:c>
      <x:c r="P213" s="9" t="str">
        <x:v>UNSEALED / SOURCE-EMPTY</x:v>
      </x:c>
      <x:c r="Q213" s="9" t="n">
        <x:f>COUNTIFS($A$7:$A$1158,A213)</x:f>
        <x:v>1</x:v>
      </x:c>
    </x:row>
    <x:row r="214">
      <x:c r="A214" s="9" t="str">
        <x:v>EV-AR-CT-C-B-TECH-3-B1-RCN-G0-RW08</x:v>
      </x:c>
      <x:c r="B214" s="9" t="str">
        <x:v>EV-AR-CT-C-B-TECH-3-B1-RCN-G0</x:v>
      </x:c>
      <x:c r="C214" s="9" t="str">
        <x:v>AR-CT-C-B-TECH-3-B1-RCN-G0</x:v>
      </x:c>
      <x:c r="D214" s="9" t="str">
        <x:v>CT-C-B-TECH-3</x:v>
      </x:c>
      <x:c r="E214" s="9" t="str">
        <x:v>CT-C-B</x:v>
      </x:c>
      <x:c r="F214" s="9" t="str">
        <x:v>B1</x:v>
      </x:c>
      <x:c r="G214" s="9" t="str">
        <x:v>RCN</x:v>
      </x:c>
      <x:c r="H214" s="9" t="str">
        <x:v>RW08</x:v>
      </x:c>
      <x:c r="I214" s="17" t="str">
        <x:v>Residual and physical evidence</x:v>
      </x:c>
      <x:c r="J214" s="17" t="str">
        <x:v>Residual authority</x:v>
      </x:c>
      <x:c r="K214" s="17" t="str">
        <x:v>Public custody B</x:v>
      </x:c>
      <x:c r="L214" s="9" t="n">
        <x:v>0</x:v>
      </x:c>
      <x:c r="M214" s="9" t="n">
        <x:v>0</x:v>
      </x:c>
      <x:c r="N214" s="9" t="n">
        <x:v>0</x:v>
      </x:c>
      <x:c r="O214" s="9" t="n">
        <x:v>0</x:v>
      </x:c>
      <x:c r="P214" s="9" t="str">
        <x:v>UNSEALED / SOURCE-EMPTY</x:v>
      </x:c>
      <x:c r="Q214" s="9" t="n">
        <x:f>COUNTIFS($A$7:$A$1158,A214)</x:f>
        <x:v>1</x:v>
      </x:c>
    </x:row>
    <x:row r="215">
      <x:c r="A215" s="9" t="str">
        <x:v>EV-AR-HC-A-C-TECH-1-B2-RCN-G0-RW01</x:v>
      </x:c>
      <x:c r="B215" s="9" t="str">
        <x:v>EV-AR-HC-A-C-TECH-1-B2-RCN-G0</x:v>
      </x:c>
      <x:c r="C215" s="9" t="str">
        <x:v>AR-HC-A-C-TECH-1-B2-RCN-G0</x:v>
      </x:c>
      <x:c r="D215" s="9" t="str">
        <x:v>HC-A-C-TECH-1</x:v>
      </x:c>
      <x:c r="E215" s="9" t="str">
        <x:v>HC-A-C</x:v>
      </x:c>
      <x:c r="F215" s="9" t="str">
        <x:v>B2</x:v>
      </x:c>
      <x:c r="G215" s="9" t="str">
        <x:v>RCN</x:v>
      </x:c>
      <x:c r="H215" s="9" t="str">
        <x:v>RW01</x:v>
      </x:c>
      <x:c r="I215" s="17" t="str">
        <x:v>Primary raw stream</x:v>
      </x:c>
      <x:c r="J215" s="17" t="str">
        <x:v>Primary metrology</x:v>
      </x:c>
      <x:c r="K215" s="17" t="str">
        <x:v>Public custody A</x:v>
      </x:c>
      <x:c r="L215" s="9" t="n">
        <x:v>0</x:v>
      </x:c>
      <x:c r="M215" s="9" t="n">
        <x:v>0</x:v>
      </x:c>
      <x:c r="N215" s="9" t="n">
        <x:v>0</x:v>
      </x:c>
      <x:c r="O215" s="9" t="n">
        <x:v>0</x:v>
      </x:c>
      <x:c r="P215" s="9" t="str">
        <x:v>UNSEALED / SOURCE-EMPTY</x:v>
      </x:c>
      <x:c r="Q215" s="9" t="n">
        <x:f>COUNTIFS($A$7:$A$1158,A215)</x:f>
        <x:v>1</x:v>
      </x:c>
    </x:row>
    <x:row r="216">
      <x:c r="A216" s="9" t="str">
        <x:v>EV-AR-HC-A-C-TECH-1-B2-RCN-G0-RW02</x:v>
      </x:c>
      <x:c r="B216" s="9" t="str">
        <x:v>EV-AR-HC-A-C-TECH-1-B2-RCN-G0</x:v>
      </x:c>
      <x:c r="C216" s="9" t="str">
        <x:v>AR-HC-A-C-TECH-1-B2-RCN-G0</x:v>
      </x:c>
      <x:c r="D216" s="9" t="str">
        <x:v>HC-A-C-TECH-1</x:v>
      </x:c>
      <x:c r="E216" s="9" t="str">
        <x:v>HC-A-C</x:v>
      </x:c>
      <x:c r="F216" s="9" t="str">
        <x:v>B2</x:v>
      </x:c>
      <x:c r="G216" s="9" t="str">
        <x:v>RCN</x:v>
      </x:c>
      <x:c r="H216" s="9" t="str">
        <x:v>RW02</x:v>
      </x:c>
      <x:c r="I216" s="17" t="str">
        <x:v>Unlike witness stream</x:v>
      </x:c>
      <x:c r="J216" s="17" t="str">
        <x:v>Witness metrology</x:v>
      </x:c>
      <x:c r="K216" s="17" t="str">
        <x:v>Public custody B</x:v>
      </x:c>
      <x:c r="L216" s="9" t="n">
        <x:v>0</x:v>
      </x:c>
      <x:c r="M216" s="9" t="n">
        <x:v>0</x:v>
      </x:c>
      <x:c r="N216" s="9" t="n">
        <x:v>0</x:v>
      </x:c>
      <x:c r="O216" s="9" t="n">
        <x:v>0</x:v>
      </x:c>
      <x:c r="P216" s="9" t="str">
        <x:v>UNSEALED / SOURCE-EMPTY</x:v>
      </x:c>
      <x:c r="Q216" s="9" t="n">
        <x:f>COUNTIFS($A$7:$A$1158,A216)</x:f>
        <x:v>1</x:v>
      </x:c>
    </x:row>
    <x:row r="217">
      <x:c r="A217" s="9" t="str">
        <x:v>EV-AR-HC-A-C-TECH-1-B2-RCN-G0-RW03</x:v>
      </x:c>
      <x:c r="B217" s="9" t="str">
        <x:v>EV-AR-HC-A-C-TECH-1-B2-RCN-G0</x:v>
      </x:c>
      <x:c r="C217" s="9" t="str">
        <x:v>AR-HC-A-C-TECH-1-B2-RCN-G0</x:v>
      </x:c>
      <x:c r="D217" s="9" t="str">
        <x:v>HC-A-C-TECH-1</x:v>
      </x:c>
      <x:c r="E217" s="9" t="str">
        <x:v>HC-A-C</x:v>
      </x:c>
      <x:c r="F217" s="9" t="str">
        <x:v>B2</x:v>
      </x:c>
      <x:c r="G217" s="9" t="str">
        <x:v>RCN</x:v>
      </x:c>
      <x:c r="H217" s="9" t="str">
        <x:v>RW03</x:v>
      </x:c>
      <x:c r="I217" s="17" t="str">
        <x:v>Event clock and start traces</x:v>
      </x:c>
      <x:c r="J217" s="17" t="str">
        <x:v>Event clock authority</x:v>
      </x:c>
      <x:c r="K217" s="17" t="str">
        <x:v>Public custody C</x:v>
      </x:c>
      <x:c r="L217" s="9" t="n">
        <x:v>0</x:v>
      </x:c>
      <x:c r="M217" s="9" t="n">
        <x:v>0</x:v>
      </x:c>
      <x:c r="N217" s="9" t="n">
        <x:v>0</x:v>
      </x:c>
      <x:c r="O217" s="9" t="n">
        <x:v>0</x:v>
      </x:c>
      <x:c r="P217" s="9" t="str">
        <x:v>UNSEALED / SOURCE-EMPTY</x:v>
      </x:c>
      <x:c r="Q217" s="9" t="n">
        <x:f>COUNTIFS($A$7:$A$1158,A217)</x:f>
        <x:v>1</x:v>
      </x:c>
    </x:row>
    <x:row r="218">
      <x:c r="A218" s="9" t="str">
        <x:v>EV-AR-HC-A-C-TECH-1-B2-RCN-G0-RW04</x:v>
      </x:c>
      <x:c r="B218" s="9" t="str">
        <x:v>EV-AR-HC-A-C-TECH-1-B2-RCN-G0</x:v>
      </x:c>
      <x:c r="C218" s="9" t="str">
        <x:v>AR-HC-A-C-TECH-1-B2-RCN-G0</x:v>
      </x:c>
      <x:c r="D218" s="9" t="str">
        <x:v>HC-A-C-TECH-1</x:v>
      </x:c>
      <x:c r="E218" s="9" t="str">
        <x:v>HC-A-C</x:v>
      </x:c>
      <x:c r="F218" s="9" t="str">
        <x:v>B2</x:v>
      </x:c>
      <x:c r="G218" s="9" t="str">
        <x:v>RCN</x:v>
      </x:c>
      <x:c r="H218" s="9" t="str">
        <x:v>RW04</x:v>
      </x:c>
      <x:c r="I218" s="17" t="str">
        <x:v>Environmental boundary stream</x:v>
      </x:c>
      <x:c r="J218" s="17" t="str">
        <x:v>Site metrology</x:v>
      </x:c>
      <x:c r="K218" s="17" t="str">
        <x:v>Public custody D</x:v>
      </x:c>
      <x:c r="L218" s="9" t="n">
        <x:v>0</x:v>
      </x:c>
      <x:c r="M218" s="9" t="n">
        <x:v>0</x:v>
      </x:c>
      <x:c r="N218" s="9" t="n">
        <x:v>0</x:v>
      </x:c>
      <x:c r="O218" s="9" t="n">
        <x:v>0</x:v>
      </x:c>
      <x:c r="P218" s="9" t="str">
        <x:v>UNSEALED / SOURCE-EMPTY</x:v>
      </x:c>
      <x:c r="Q218" s="9" t="n">
        <x:f>COUNTIFS($A$7:$A$1158,A218)</x:f>
        <x:v>1</x:v>
      </x:c>
    </x:row>
    <x:row r="219">
      <x:c r="A219" s="9" t="str">
        <x:v>EV-AR-HC-A-C-TECH-1-B2-RCN-G0-RW05</x:v>
      </x:c>
      <x:c r="B219" s="9" t="str">
        <x:v>EV-AR-HC-A-C-TECH-1-B2-RCN-G0</x:v>
      </x:c>
      <x:c r="C219" s="9" t="str">
        <x:v>AR-HC-A-C-TECH-1-B2-RCN-G0</x:v>
      </x:c>
      <x:c r="D219" s="9" t="str">
        <x:v>HC-A-C-TECH-1</x:v>
      </x:c>
      <x:c r="E219" s="9" t="str">
        <x:v>HC-A-C</x:v>
      </x:c>
      <x:c r="F219" s="9" t="str">
        <x:v>B2</x:v>
      </x:c>
      <x:c r="G219" s="9" t="str">
        <x:v>RCN</x:v>
      </x:c>
      <x:c r="H219" s="9" t="str">
        <x:v>RW05</x:v>
      </x:c>
      <x:c r="I219" s="17" t="str">
        <x:v>Command and intervention log</x:v>
      </x:c>
      <x:c r="J219" s="17" t="str">
        <x:v>Safety authority</x:v>
      </x:c>
      <x:c r="K219" s="17" t="str">
        <x:v>Public custody E</x:v>
      </x:c>
      <x:c r="L219" s="9" t="n">
        <x:v>0</x:v>
      </x:c>
      <x:c r="M219" s="9" t="n">
        <x:v>0</x:v>
      </x:c>
      <x:c r="N219" s="9" t="n">
        <x:v>0</x:v>
      </x:c>
      <x:c r="O219" s="9" t="n">
        <x:v>0</x:v>
      </x:c>
      <x:c r="P219" s="9" t="str">
        <x:v>UNSEALED / SOURCE-EMPTY</x:v>
      </x:c>
      <x:c r="Q219" s="9" t="n">
        <x:f>COUNTIFS($A$7:$A$1158,A219)</x:f>
        <x:v>1</x:v>
      </x:c>
    </x:row>
    <x:row r="220">
      <x:c r="A220" s="9" t="str">
        <x:v>EV-AR-HC-A-C-TECH-1-B2-RCN-G0-RW06</x:v>
      </x:c>
      <x:c r="B220" s="9" t="str">
        <x:v>EV-AR-HC-A-C-TECH-1-B2-RCN-G0</x:v>
      </x:c>
      <x:c r="C220" s="9" t="str">
        <x:v>AR-HC-A-C-TECH-1-B2-RCN-G0</x:v>
      </x:c>
      <x:c r="D220" s="9" t="str">
        <x:v>HC-A-C-TECH-1</x:v>
      </x:c>
      <x:c r="E220" s="9" t="str">
        <x:v>HC-A-C</x:v>
      </x:c>
      <x:c r="F220" s="9" t="str">
        <x:v>B2</x:v>
      </x:c>
      <x:c r="G220" s="9" t="str">
        <x:v>RCN</x:v>
      </x:c>
      <x:c r="H220" s="9" t="str">
        <x:v>RW06</x:v>
      </x:c>
      <x:c r="I220" s="17" t="str">
        <x:v>Receiver service ledger</x:v>
      </x:c>
      <x:c r="J220" s="17" t="str">
        <x:v>Receiver authority</x:v>
      </x:c>
      <x:c r="K220" s="17" t="str">
        <x:v>Public custody F</x:v>
      </x:c>
      <x:c r="L220" s="9" t="n">
        <x:v>0</x:v>
      </x:c>
      <x:c r="M220" s="9" t="n">
        <x:v>0</x:v>
      </x:c>
      <x:c r="N220" s="9" t="n">
        <x:v>0</x:v>
      </x:c>
      <x:c r="O220" s="9" t="n">
        <x:v>0</x:v>
      </x:c>
      <x:c r="P220" s="9" t="str">
        <x:v>UNSEALED / SOURCE-EMPTY</x:v>
      </x:c>
      <x:c r="Q220" s="9" t="n">
        <x:f>COUNTIFS($A$7:$A$1158,A220)</x:f>
        <x:v>1</x:v>
      </x:c>
    </x:row>
    <x:row r="221">
      <x:c r="A221" s="9" t="str">
        <x:v>EV-AR-HC-A-C-TECH-1-B2-RCN-G0-RW07</x:v>
      </x:c>
      <x:c r="B221" s="9" t="str">
        <x:v>EV-AR-HC-A-C-TECH-1-B2-RCN-G0</x:v>
      </x:c>
      <x:c r="C221" s="9" t="str">
        <x:v>AR-HC-A-C-TECH-1-B2-RCN-G0</x:v>
      </x:c>
      <x:c r="D221" s="9" t="str">
        <x:v>HC-A-C-TECH-1</x:v>
      </x:c>
      <x:c r="E221" s="9" t="str">
        <x:v>HC-A-C</x:v>
      </x:c>
      <x:c r="F221" s="9" t="str">
        <x:v>B2</x:v>
      </x:c>
      <x:c r="G221" s="9" t="str">
        <x:v>RCN</x:v>
      </x:c>
      <x:c r="H221" s="9" t="str">
        <x:v>RW07</x:v>
      </x:c>
      <x:c r="I221" s="17" t="str">
        <x:v>Candidate interface telemetry</x:v>
      </x:c>
      <x:c r="J221" s="17" t="str">
        <x:v>Interface custodian</x:v>
      </x:c>
      <x:c r="K221" s="17" t="str">
        <x:v>Public custody A</x:v>
      </x:c>
      <x:c r="L221" s="9" t="n">
        <x:v>0</x:v>
      </x:c>
      <x:c r="M221" s="9" t="n">
        <x:v>0</x:v>
      </x:c>
      <x:c r="N221" s="9" t="n">
        <x:v>0</x:v>
      </x:c>
      <x:c r="O221" s="9" t="n">
        <x:v>0</x:v>
      </x:c>
      <x:c r="P221" s="9" t="str">
        <x:v>UNSEALED / SOURCE-EMPTY</x:v>
      </x:c>
      <x:c r="Q221" s="9" t="n">
        <x:f>COUNTIFS($A$7:$A$1158,A221)</x:f>
        <x:v>1</x:v>
      </x:c>
    </x:row>
    <x:row r="222">
      <x:c r="A222" s="9" t="str">
        <x:v>EV-AR-HC-A-C-TECH-1-B2-RCN-G0-RW08</x:v>
      </x:c>
      <x:c r="B222" s="9" t="str">
        <x:v>EV-AR-HC-A-C-TECH-1-B2-RCN-G0</x:v>
      </x:c>
      <x:c r="C222" s="9" t="str">
        <x:v>AR-HC-A-C-TECH-1-B2-RCN-G0</x:v>
      </x:c>
      <x:c r="D222" s="9" t="str">
        <x:v>HC-A-C-TECH-1</x:v>
      </x:c>
      <x:c r="E222" s="9" t="str">
        <x:v>HC-A-C</x:v>
      </x:c>
      <x:c r="F222" s="9" t="str">
        <x:v>B2</x:v>
      </x:c>
      <x:c r="G222" s="9" t="str">
        <x:v>RCN</x:v>
      </x:c>
      <x:c r="H222" s="9" t="str">
        <x:v>RW08</x:v>
      </x:c>
      <x:c r="I222" s="17" t="str">
        <x:v>Residual and physical evidence</x:v>
      </x:c>
      <x:c r="J222" s="17" t="str">
        <x:v>Residual authority</x:v>
      </x:c>
      <x:c r="K222" s="17" t="str">
        <x:v>Public custody B</x:v>
      </x:c>
      <x:c r="L222" s="9" t="n">
        <x:v>0</x:v>
      </x:c>
      <x:c r="M222" s="9" t="n">
        <x:v>0</x:v>
      </x:c>
      <x:c r="N222" s="9" t="n">
        <x:v>0</x:v>
      </x:c>
      <x:c r="O222" s="9" t="n">
        <x:v>0</x:v>
      </x:c>
      <x:c r="P222" s="9" t="str">
        <x:v>UNSEALED / SOURCE-EMPTY</x:v>
      </x:c>
      <x:c r="Q222" s="9" t="n">
        <x:f>COUNTIFS($A$7:$A$1158,A222)</x:f>
        <x:v>1</x:v>
      </x:c>
    </x:row>
    <x:row r="223">
      <x:c r="A223" s="9" t="str">
        <x:v>EV-AR-HC-A-C-TECH-3-B2-BRK-G0-RW01</x:v>
      </x:c>
      <x:c r="B223" s="9" t="str">
        <x:v>EV-AR-HC-A-C-TECH-3-B2-BRK-G0</x:v>
      </x:c>
      <x:c r="C223" s="9" t="str">
        <x:v>AR-HC-A-C-TECH-3-B2-BRK-G0</x:v>
      </x:c>
      <x:c r="D223" s="9" t="str">
        <x:v>HC-A-C-TECH-3</x:v>
      </x:c>
      <x:c r="E223" s="9" t="str">
        <x:v>HC-A-C</x:v>
      </x:c>
      <x:c r="F223" s="9" t="str">
        <x:v>B2</x:v>
      </x:c>
      <x:c r="G223" s="9" t="str">
        <x:v>BRK</x:v>
      </x:c>
      <x:c r="H223" s="9" t="str">
        <x:v>RW01</x:v>
      </x:c>
      <x:c r="I223" s="17" t="str">
        <x:v>Primary raw stream</x:v>
      </x:c>
      <x:c r="J223" s="17" t="str">
        <x:v>Primary metrology</x:v>
      </x:c>
      <x:c r="K223" s="17" t="str">
        <x:v>Public custody A</x:v>
      </x:c>
      <x:c r="L223" s="9" t="n">
        <x:v>0</x:v>
      </x:c>
      <x:c r="M223" s="9" t="n">
        <x:v>0</x:v>
      </x:c>
      <x:c r="N223" s="9" t="n">
        <x:v>0</x:v>
      </x:c>
      <x:c r="O223" s="9" t="n">
        <x:v>0</x:v>
      </x:c>
      <x:c r="P223" s="9" t="str">
        <x:v>UNSEALED / SOURCE-EMPTY</x:v>
      </x:c>
      <x:c r="Q223" s="9" t="n">
        <x:f>COUNTIFS($A$7:$A$1158,A223)</x:f>
        <x:v>1</x:v>
      </x:c>
    </x:row>
    <x:row r="224">
      <x:c r="A224" s="9" t="str">
        <x:v>EV-AR-HC-A-C-TECH-3-B2-BRK-G0-RW02</x:v>
      </x:c>
      <x:c r="B224" s="9" t="str">
        <x:v>EV-AR-HC-A-C-TECH-3-B2-BRK-G0</x:v>
      </x:c>
      <x:c r="C224" s="9" t="str">
        <x:v>AR-HC-A-C-TECH-3-B2-BRK-G0</x:v>
      </x:c>
      <x:c r="D224" s="9" t="str">
        <x:v>HC-A-C-TECH-3</x:v>
      </x:c>
      <x:c r="E224" s="9" t="str">
        <x:v>HC-A-C</x:v>
      </x:c>
      <x:c r="F224" s="9" t="str">
        <x:v>B2</x:v>
      </x:c>
      <x:c r="G224" s="9" t="str">
        <x:v>BRK</x:v>
      </x:c>
      <x:c r="H224" s="9" t="str">
        <x:v>RW02</x:v>
      </x:c>
      <x:c r="I224" s="17" t="str">
        <x:v>Unlike witness stream</x:v>
      </x:c>
      <x:c r="J224" s="17" t="str">
        <x:v>Witness metrology</x:v>
      </x:c>
      <x:c r="K224" s="17" t="str">
        <x:v>Public custody B</x:v>
      </x:c>
      <x:c r="L224" s="9" t="n">
        <x:v>0</x:v>
      </x:c>
      <x:c r="M224" s="9" t="n">
        <x:v>0</x:v>
      </x:c>
      <x:c r="N224" s="9" t="n">
        <x:v>0</x:v>
      </x:c>
      <x:c r="O224" s="9" t="n">
        <x:v>0</x:v>
      </x:c>
      <x:c r="P224" s="9" t="str">
        <x:v>UNSEALED / SOURCE-EMPTY</x:v>
      </x:c>
      <x:c r="Q224" s="9" t="n">
        <x:f>COUNTIFS($A$7:$A$1158,A224)</x:f>
        <x:v>1</x:v>
      </x:c>
    </x:row>
    <x:row r="225">
      <x:c r="A225" s="9" t="str">
        <x:v>EV-AR-HC-A-C-TECH-3-B2-BRK-G0-RW03</x:v>
      </x:c>
      <x:c r="B225" s="9" t="str">
        <x:v>EV-AR-HC-A-C-TECH-3-B2-BRK-G0</x:v>
      </x:c>
      <x:c r="C225" s="9" t="str">
        <x:v>AR-HC-A-C-TECH-3-B2-BRK-G0</x:v>
      </x:c>
      <x:c r="D225" s="9" t="str">
        <x:v>HC-A-C-TECH-3</x:v>
      </x:c>
      <x:c r="E225" s="9" t="str">
        <x:v>HC-A-C</x:v>
      </x:c>
      <x:c r="F225" s="9" t="str">
        <x:v>B2</x:v>
      </x:c>
      <x:c r="G225" s="9" t="str">
        <x:v>BRK</x:v>
      </x:c>
      <x:c r="H225" s="9" t="str">
        <x:v>RW03</x:v>
      </x:c>
      <x:c r="I225" s="17" t="str">
        <x:v>Event clock and start traces</x:v>
      </x:c>
      <x:c r="J225" s="17" t="str">
        <x:v>Event clock authority</x:v>
      </x:c>
      <x:c r="K225" s="17" t="str">
        <x:v>Public custody C</x:v>
      </x:c>
      <x:c r="L225" s="9" t="n">
        <x:v>0</x:v>
      </x:c>
      <x:c r="M225" s="9" t="n">
        <x:v>0</x:v>
      </x:c>
      <x:c r="N225" s="9" t="n">
        <x:v>0</x:v>
      </x:c>
      <x:c r="O225" s="9" t="n">
        <x:v>0</x:v>
      </x:c>
      <x:c r="P225" s="9" t="str">
        <x:v>UNSEALED / SOURCE-EMPTY</x:v>
      </x:c>
      <x:c r="Q225" s="9" t="n">
        <x:f>COUNTIFS($A$7:$A$1158,A225)</x:f>
        <x:v>1</x:v>
      </x:c>
    </x:row>
    <x:row r="226">
      <x:c r="A226" s="9" t="str">
        <x:v>EV-AR-HC-A-C-TECH-3-B2-BRK-G0-RW04</x:v>
      </x:c>
      <x:c r="B226" s="9" t="str">
        <x:v>EV-AR-HC-A-C-TECH-3-B2-BRK-G0</x:v>
      </x:c>
      <x:c r="C226" s="9" t="str">
        <x:v>AR-HC-A-C-TECH-3-B2-BRK-G0</x:v>
      </x:c>
      <x:c r="D226" s="9" t="str">
        <x:v>HC-A-C-TECH-3</x:v>
      </x:c>
      <x:c r="E226" s="9" t="str">
        <x:v>HC-A-C</x:v>
      </x:c>
      <x:c r="F226" s="9" t="str">
        <x:v>B2</x:v>
      </x:c>
      <x:c r="G226" s="9" t="str">
        <x:v>BRK</x:v>
      </x:c>
      <x:c r="H226" s="9" t="str">
        <x:v>RW04</x:v>
      </x:c>
      <x:c r="I226" s="17" t="str">
        <x:v>Environmental boundary stream</x:v>
      </x:c>
      <x:c r="J226" s="17" t="str">
        <x:v>Site metrology</x:v>
      </x:c>
      <x:c r="K226" s="17" t="str">
        <x:v>Public custody D</x:v>
      </x:c>
      <x:c r="L226" s="9" t="n">
        <x:v>0</x:v>
      </x:c>
      <x:c r="M226" s="9" t="n">
        <x:v>0</x:v>
      </x:c>
      <x:c r="N226" s="9" t="n">
        <x:v>0</x:v>
      </x:c>
      <x:c r="O226" s="9" t="n">
        <x:v>0</x:v>
      </x:c>
      <x:c r="P226" s="9" t="str">
        <x:v>UNSEALED / SOURCE-EMPTY</x:v>
      </x:c>
      <x:c r="Q226" s="9" t="n">
        <x:f>COUNTIFS($A$7:$A$1158,A226)</x:f>
        <x:v>1</x:v>
      </x:c>
    </x:row>
    <x:row r="227">
      <x:c r="A227" s="9" t="str">
        <x:v>EV-AR-HC-A-C-TECH-3-B2-BRK-G0-RW05</x:v>
      </x:c>
      <x:c r="B227" s="9" t="str">
        <x:v>EV-AR-HC-A-C-TECH-3-B2-BRK-G0</x:v>
      </x:c>
      <x:c r="C227" s="9" t="str">
        <x:v>AR-HC-A-C-TECH-3-B2-BRK-G0</x:v>
      </x:c>
      <x:c r="D227" s="9" t="str">
        <x:v>HC-A-C-TECH-3</x:v>
      </x:c>
      <x:c r="E227" s="9" t="str">
        <x:v>HC-A-C</x:v>
      </x:c>
      <x:c r="F227" s="9" t="str">
        <x:v>B2</x:v>
      </x:c>
      <x:c r="G227" s="9" t="str">
        <x:v>BRK</x:v>
      </x:c>
      <x:c r="H227" s="9" t="str">
        <x:v>RW05</x:v>
      </x:c>
      <x:c r="I227" s="17" t="str">
        <x:v>Command and intervention log</x:v>
      </x:c>
      <x:c r="J227" s="17" t="str">
        <x:v>Safety authority</x:v>
      </x:c>
      <x:c r="K227" s="17" t="str">
        <x:v>Public custody E</x:v>
      </x:c>
      <x:c r="L227" s="9" t="n">
        <x:v>0</x:v>
      </x:c>
      <x:c r="M227" s="9" t="n">
        <x:v>0</x:v>
      </x:c>
      <x:c r="N227" s="9" t="n">
        <x:v>0</x:v>
      </x:c>
      <x:c r="O227" s="9" t="n">
        <x:v>0</x:v>
      </x:c>
      <x:c r="P227" s="9" t="str">
        <x:v>UNSEALED / SOURCE-EMPTY</x:v>
      </x:c>
      <x:c r="Q227" s="9" t="n">
        <x:f>COUNTIFS($A$7:$A$1158,A227)</x:f>
        <x:v>1</x:v>
      </x:c>
    </x:row>
    <x:row r="228">
      <x:c r="A228" s="9" t="str">
        <x:v>EV-AR-HC-A-C-TECH-3-B2-BRK-G0-RW06</x:v>
      </x:c>
      <x:c r="B228" s="9" t="str">
        <x:v>EV-AR-HC-A-C-TECH-3-B2-BRK-G0</x:v>
      </x:c>
      <x:c r="C228" s="9" t="str">
        <x:v>AR-HC-A-C-TECH-3-B2-BRK-G0</x:v>
      </x:c>
      <x:c r="D228" s="9" t="str">
        <x:v>HC-A-C-TECH-3</x:v>
      </x:c>
      <x:c r="E228" s="9" t="str">
        <x:v>HC-A-C</x:v>
      </x:c>
      <x:c r="F228" s="9" t="str">
        <x:v>B2</x:v>
      </x:c>
      <x:c r="G228" s="9" t="str">
        <x:v>BRK</x:v>
      </x:c>
      <x:c r="H228" s="9" t="str">
        <x:v>RW06</x:v>
      </x:c>
      <x:c r="I228" s="17" t="str">
        <x:v>Receiver service ledger</x:v>
      </x:c>
      <x:c r="J228" s="17" t="str">
        <x:v>Receiver authority</x:v>
      </x:c>
      <x:c r="K228" s="17" t="str">
        <x:v>Public custody F</x:v>
      </x:c>
      <x:c r="L228" s="9" t="n">
        <x:v>0</x:v>
      </x:c>
      <x:c r="M228" s="9" t="n">
        <x:v>0</x:v>
      </x:c>
      <x:c r="N228" s="9" t="n">
        <x:v>0</x:v>
      </x:c>
      <x:c r="O228" s="9" t="n">
        <x:v>0</x:v>
      </x:c>
      <x:c r="P228" s="9" t="str">
        <x:v>UNSEALED / SOURCE-EMPTY</x:v>
      </x:c>
      <x:c r="Q228" s="9" t="n">
        <x:f>COUNTIFS($A$7:$A$1158,A228)</x:f>
        <x:v>1</x:v>
      </x:c>
    </x:row>
    <x:row r="229">
      <x:c r="A229" s="9" t="str">
        <x:v>EV-AR-HC-A-C-TECH-3-B2-BRK-G0-RW07</x:v>
      </x:c>
      <x:c r="B229" s="9" t="str">
        <x:v>EV-AR-HC-A-C-TECH-3-B2-BRK-G0</x:v>
      </x:c>
      <x:c r="C229" s="9" t="str">
        <x:v>AR-HC-A-C-TECH-3-B2-BRK-G0</x:v>
      </x:c>
      <x:c r="D229" s="9" t="str">
        <x:v>HC-A-C-TECH-3</x:v>
      </x:c>
      <x:c r="E229" s="9" t="str">
        <x:v>HC-A-C</x:v>
      </x:c>
      <x:c r="F229" s="9" t="str">
        <x:v>B2</x:v>
      </x:c>
      <x:c r="G229" s="9" t="str">
        <x:v>BRK</x:v>
      </x:c>
      <x:c r="H229" s="9" t="str">
        <x:v>RW07</x:v>
      </x:c>
      <x:c r="I229" s="17" t="str">
        <x:v>Candidate interface telemetry</x:v>
      </x:c>
      <x:c r="J229" s="17" t="str">
        <x:v>Interface custodian</x:v>
      </x:c>
      <x:c r="K229" s="17" t="str">
        <x:v>Public custody A</x:v>
      </x:c>
      <x:c r="L229" s="9" t="n">
        <x:v>0</x:v>
      </x:c>
      <x:c r="M229" s="9" t="n">
        <x:v>0</x:v>
      </x:c>
      <x:c r="N229" s="9" t="n">
        <x:v>0</x:v>
      </x:c>
      <x:c r="O229" s="9" t="n">
        <x:v>0</x:v>
      </x:c>
      <x:c r="P229" s="9" t="str">
        <x:v>UNSEALED / SOURCE-EMPTY</x:v>
      </x:c>
      <x:c r="Q229" s="9" t="n">
        <x:f>COUNTIFS($A$7:$A$1158,A229)</x:f>
        <x:v>1</x:v>
      </x:c>
    </x:row>
    <x:row r="230">
      <x:c r="A230" s="9" t="str">
        <x:v>EV-AR-HC-A-C-TECH-3-B2-BRK-G0-RW08</x:v>
      </x:c>
      <x:c r="B230" s="9" t="str">
        <x:v>EV-AR-HC-A-C-TECH-3-B2-BRK-G0</x:v>
      </x:c>
      <x:c r="C230" s="9" t="str">
        <x:v>AR-HC-A-C-TECH-3-B2-BRK-G0</x:v>
      </x:c>
      <x:c r="D230" s="9" t="str">
        <x:v>HC-A-C-TECH-3</x:v>
      </x:c>
      <x:c r="E230" s="9" t="str">
        <x:v>HC-A-C</x:v>
      </x:c>
      <x:c r="F230" s="9" t="str">
        <x:v>B2</x:v>
      </x:c>
      <x:c r="G230" s="9" t="str">
        <x:v>BRK</x:v>
      </x:c>
      <x:c r="H230" s="9" t="str">
        <x:v>RW08</x:v>
      </x:c>
      <x:c r="I230" s="17" t="str">
        <x:v>Residual and physical evidence</x:v>
      </x:c>
      <x:c r="J230" s="17" t="str">
        <x:v>Residual authority</x:v>
      </x:c>
      <x:c r="K230" s="17" t="str">
        <x:v>Public custody B</x:v>
      </x:c>
      <x:c r="L230" s="9" t="n">
        <x:v>0</x:v>
      </x:c>
      <x:c r="M230" s="9" t="n">
        <x:v>0</x:v>
      </x:c>
      <x:c r="N230" s="9" t="n">
        <x:v>0</x:v>
      </x:c>
      <x:c r="O230" s="9" t="n">
        <x:v>0</x:v>
      </x:c>
      <x:c r="P230" s="9" t="str">
        <x:v>UNSEALED / SOURCE-EMPTY</x:v>
      </x:c>
      <x:c r="Q230" s="9" t="n">
        <x:f>COUNTIFS($A$7:$A$1158,A230)</x:f>
        <x:v>1</x:v>
      </x:c>
    </x:row>
    <x:row r="231">
      <x:c r="A231" s="9" t="str">
        <x:v>EV-AR-HU-A-B-TECH-4-B1-INT-G0-RW01</x:v>
      </x:c>
      <x:c r="B231" s="9" t="str">
        <x:v>EV-AR-HU-A-B-TECH-4-B1-INT-G0</x:v>
      </x:c>
      <x:c r="C231" s="9" t="str">
        <x:v>AR-HU-A-B-TECH-4-B1-INT-G0</x:v>
      </x:c>
      <x:c r="D231" s="9" t="str">
        <x:v>HU-A-B-TECH-4</x:v>
      </x:c>
      <x:c r="E231" s="9" t="str">
        <x:v>HU-A-B</x:v>
      </x:c>
      <x:c r="F231" s="9" t="str">
        <x:v>B1</x:v>
      </x:c>
      <x:c r="G231" s="9" t="str">
        <x:v>INT</x:v>
      </x:c>
      <x:c r="H231" s="9" t="str">
        <x:v>RW01</x:v>
      </x:c>
      <x:c r="I231" s="17" t="str">
        <x:v>Primary raw stream</x:v>
      </x:c>
      <x:c r="J231" s="17" t="str">
        <x:v>Primary metrology</x:v>
      </x:c>
      <x:c r="K231" s="17" t="str">
        <x:v>Public custody A</x:v>
      </x:c>
      <x:c r="L231" s="9" t="n">
        <x:v>0</x:v>
      </x:c>
      <x:c r="M231" s="9" t="n">
        <x:v>0</x:v>
      </x:c>
      <x:c r="N231" s="9" t="n">
        <x:v>0</x:v>
      </x:c>
      <x:c r="O231" s="9" t="n">
        <x:v>0</x:v>
      </x:c>
      <x:c r="P231" s="9" t="str">
        <x:v>UNSEALED / SOURCE-EMPTY</x:v>
      </x:c>
      <x:c r="Q231" s="9" t="n">
        <x:f>COUNTIFS($A$7:$A$1158,A231)</x:f>
        <x:v>1</x:v>
      </x:c>
    </x:row>
    <x:row r="232">
      <x:c r="A232" s="9" t="str">
        <x:v>EV-AR-HU-A-B-TECH-4-B1-INT-G0-RW02</x:v>
      </x:c>
      <x:c r="B232" s="9" t="str">
        <x:v>EV-AR-HU-A-B-TECH-4-B1-INT-G0</x:v>
      </x:c>
      <x:c r="C232" s="9" t="str">
        <x:v>AR-HU-A-B-TECH-4-B1-INT-G0</x:v>
      </x:c>
      <x:c r="D232" s="9" t="str">
        <x:v>HU-A-B-TECH-4</x:v>
      </x:c>
      <x:c r="E232" s="9" t="str">
        <x:v>HU-A-B</x:v>
      </x:c>
      <x:c r="F232" s="9" t="str">
        <x:v>B1</x:v>
      </x:c>
      <x:c r="G232" s="9" t="str">
        <x:v>INT</x:v>
      </x:c>
      <x:c r="H232" s="9" t="str">
        <x:v>RW02</x:v>
      </x:c>
      <x:c r="I232" s="17" t="str">
        <x:v>Unlike witness stream</x:v>
      </x:c>
      <x:c r="J232" s="17" t="str">
        <x:v>Witness metrology</x:v>
      </x:c>
      <x:c r="K232" s="17" t="str">
        <x:v>Public custody B</x:v>
      </x:c>
      <x:c r="L232" s="9" t="n">
        <x:v>0</x:v>
      </x:c>
      <x:c r="M232" s="9" t="n">
        <x:v>0</x:v>
      </x:c>
      <x:c r="N232" s="9" t="n">
        <x:v>0</x:v>
      </x:c>
      <x:c r="O232" s="9" t="n">
        <x:v>0</x:v>
      </x:c>
      <x:c r="P232" s="9" t="str">
        <x:v>UNSEALED / SOURCE-EMPTY</x:v>
      </x:c>
      <x:c r="Q232" s="9" t="n">
        <x:f>COUNTIFS($A$7:$A$1158,A232)</x:f>
        <x:v>1</x:v>
      </x:c>
    </x:row>
    <x:row r="233">
      <x:c r="A233" s="9" t="str">
        <x:v>EV-AR-HU-A-B-TECH-4-B1-INT-G0-RW03</x:v>
      </x:c>
      <x:c r="B233" s="9" t="str">
        <x:v>EV-AR-HU-A-B-TECH-4-B1-INT-G0</x:v>
      </x:c>
      <x:c r="C233" s="9" t="str">
        <x:v>AR-HU-A-B-TECH-4-B1-INT-G0</x:v>
      </x:c>
      <x:c r="D233" s="9" t="str">
        <x:v>HU-A-B-TECH-4</x:v>
      </x:c>
      <x:c r="E233" s="9" t="str">
        <x:v>HU-A-B</x:v>
      </x:c>
      <x:c r="F233" s="9" t="str">
        <x:v>B1</x:v>
      </x:c>
      <x:c r="G233" s="9" t="str">
        <x:v>INT</x:v>
      </x:c>
      <x:c r="H233" s="9" t="str">
        <x:v>RW03</x:v>
      </x:c>
      <x:c r="I233" s="17" t="str">
        <x:v>Event clock and start traces</x:v>
      </x:c>
      <x:c r="J233" s="17" t="str">
        <x:v>Event clock authority</x:v>
      </x:c>
      <x:c r="K233" s="17" t="str">
        <x:v>Public custody C</x:v>
      </x:c>
      <x:c r="L233" s="9" t="n">
        <x:v>0</x:v>
      </x:c>
      <x:c r="M233" s="9" t="n">
        <x:v>0</x:v>
      </x:c>
      <x:c r="N233" s="9" t="n">
        <x:v>0</x:v>
      </x:c>
      <x:c r="O233" s="9" t="n">
        <x:v>0</x:v>
      </x:c>
      <x:c r="P233" s="9" t="str">
        <x:v>UNSEALED / SOURCE-EMPTY</x:v>
      </x:c>
      <x:c r="Q233" s="9" t="n">
        <x:f>COUNTIFS($A$7:$A$1158,A233)</x:f>
        <x:v>1</x:v>
      </x:c>
    </x:row>
    <x:row r="234">
      <x:c r="A234" s="9" t="str">
        <x:v>EV-AR-HU-A-B-TECH-4-B1-INT-G0-RW04</x:v>
      </x:c>
      <x:c r="B234" s="9" t="str">
        <x:v>EV-AR-HU-A-B-TECH-4-B1-INT-G0</x:v>
      </x:c>
      <x:c r="C234" s="9" t="str">
        <x:v>AR-HU-A-B-TECH-4-B1-INT-G0</x:v>
      </x:c>
      <x:c r="D234" s="9" t="str">
        <x:v>HU-A-B-TECH-4</x:v>
      </x:c>
      <x:c r="E234" s="9" t="str">
        <x:v>HU-A-B</x:v>
      </x:c>
      <x:c r="F234" s="9" t="str">
        <x:v>B1</x:v>
      </x:c>
      <x:c r="G234" s="9" t="str">
        <x:v>INT</x:v>
      </x:c>
      <x:c r="H234" s="9" t="str">
        <x:v>RW04</x:v>
      </x:c>
      <x:c r="I234" s="17" t="str">
        <x:v>Environmental boundary stream</x:v>
      </x:c>
      <x:c r="J234" s="17" t="str">
        <x:v>Site metrology</x:v>
      </x:c>
      <x:c r="K234" s="17" t="str">
        <x:v>Public custody D</x:v>
      </x:c>
      <x:c r="L234" s="9" t="n">
        <x:v>0</x:v>
      </x:c>
      <x:c r="M234" s="9" t="n">
        <x:v>0</x:v>
      </x:c>
      <x:c r="N234" s="9" t="n">
        <x:v>0</x:v>
      </x:c>
      <x:c r="O234" s="9" t="n">
        <x:v>0</x:v>
      </x:c>
      <x:c r="P234" s="9" t="str">
        <x:v>UNSEALED / SOURCE-EMPTY</x:v>
      </x:c>
      <x:c r="Q234" s="9" t="n">
        <x:f>COUNTIFS($A$7:$A$1158,A234)</x:f>
        <x:v>1</x:v>
      </x:c>
    </x:row>
    <x:row r="235">
      <x:c r="A235" s="9" t="str">
        <x:v>EV-AR-HU-A-B-TECH-4-B1-INT-G0-RW05</x:v>
      </x:c>
      <x:c r="B235" s="9" t="str">
        <x:v>EV-AR-HU-A-B-TECH-4-B1-INT-G0</x:v>
      </x:c>
      <x:c r="C235" s="9" t="str">
        <x:v>AR-HU-A-B-TECH-4-B1-INT-G0</x:v>
      </x:c>
      <x:c r="D235" s="9" t="str">
        <x:v>HU-A-B-TECH-4</x:v>
      </x:c>
      <x:c r="E235" s="9" t="str">
        <x:v>HU-A-B</x:v>
      </x:c>
      <x:c r="F235" s="9" t="str">
        <x:v>B1</x:v>
      </x:c>
      <x:c r="G235" s="9" t="str">
        <x:v>INT</x:v>
      </x:c>
      <x:c r="H235" s="9" t="str">
        <x:v>RW05</x:v>
      </x:c>
      <x:c r="I235" s="17" t="str">
        <x:v>Command and intervention log</x:v>
      </x:c>
      <x:c r="J235" s="17" t="str">
        <x:v>Safety authority</x:v>
      </x:c>
      <x:c r="K235" s="17" t="str">
        <x:v>Public custody E</x:v>
      </x:c>
      <x:c r="L235" s="9" t="n">
        <x:v>0</x:v>
      </x:c>
      <x:c r="M235" s="9" t="n">
        <x:v>0</x:v>
      </x:c>
      <x:c r="N235" s="9" t="n">
        <x:v>0</x:v>
      </x:c>
      <x:c r="O235" s="9" t="n">
        <x:v>0</x:v>
      </x:c>
      <x:c r="P235" s="9" t="str">
        <x:v>UNSEALED / SOURCE-EMPTY</x:v>
      </x:c>
      <x:c r="Q235" s="9" t="n">
        <x:f>COUNTIFS($A$7:$A$1158,A235)</x:f>
        <x:v>1</x:v>
      </x:c>
    </x:row>
    <x:row r="236">
      <x:c r="A236" s="9" t="str">
        <x:v>EV-AR-HU-A-B-TECH-4-B1-INT-G0-RW06</x:v>
      </x:c>
      <x:c r="B236" s="9" t="str">
        <x:v>EV-AR-HU-A-B-TECH-4-B1-INT-G0</x:v>
      </x:c>
      <x:c r="C236" s="9" t="str">
        <x:v>AR-HU-A-B-TECH-4-B1-INT-G0</x:v>
      </x:c>
      <x:c r="D236" s="9" t="str">
        <x:v>HU-A-B-TECH-4</x:v>
      </x:c>
      <x:c r="E236" s="9" t="str">
        <x:v>HU-A-B</x:v>
      </x:c>
      <x:c r="F236" s="9" t="str">
        <x:v>B1</x:v>
      </x:c>
      <x:c r="G236" s="9" t="str">
        <x:v>INT</x:v>
      </x:c>
      <x:c r="H236" s="9" t="str">
        <x:v>RW06</x:v>
      </x:c>
      <x:c r="I236" s="17" t="str">
        <x:v>Receiver service ledger</x:v>
      </x:c>
      <x:c r="J236" s="17" t="str">
        <x:v>Receiver authority</x:v>
      </x:c>
      <x:c r="K236" s="17" t="str">
        <x:v>Public custody F</x:v>
      </x:c>
      <x:c r="L236" s="9" t="n">
        <x:v>0</x:v>
      </x:c>
      <x:c r="M236" s="9" t="n">
        <x:v>0</x:v>
      </x:c>
      <x:c r="N236" s="9" t="n">
        <x:v>0</x:v>
      </x:c>
      <x:c r="O236" s="9" t="n">
        <x:v>0</x:v>
      </x:c>
      <x:c r="P236" s="9" t="str">
        <x:v>UNSEALED / SOURCE-EMPTY</x:v>
      </x:c>
      <x:c r="Q236" s="9" t="n">
        <x:f>COUNTIFS($A$7:$A$1158,A236)</x:f>
        <x:v>1</x:v>
      </x:c>
    </x:row>
    <x:row r="237">
      <x:c r="A237" s="9" t="str">
        <x:v>EV-AR-HU-A-B-TECH-4-B1-INT-G0-RW07</x:v>
      </x:c>
      <x:c r="B237" s="9" t="str">
        <x:v>EV-AR-HU-A-B-TECH-4-B1-INT-G0</x:v>
      </x:c>
      <x:c r="C237" s="9" t="str">
        <x:v>AR-HU-A-B-TECH-4-B1-INT-G0</x:v>
      </x:c>
      <x:c r="D237" s="9" t="str">
        <x:v>HU-A-B-TECH-4</x:v>
      </x:c>
      <x:c r="E237" s="9" t="str">
        <x:v>HU-A-B</x:v>
      </x:c>
      <x:c r="F237" s="9" t="str">
        <x:v>B1</x:v>
      </x:c>
      <x:c r="G237" s="9" t="str">
        <x:v>INT</x:v>
      </x:c>
      <x:c r="H237" s="9" t="str">
        <x:v>RW07</x:v>
      </x:c>
      <x:c r="I237" s="17" t="str">
        <x:v>Candidate interface telemetry</x:v>
      </x:c>
      <x:c r="J237" s="17" t="str">
        <x:v>Interface custodian</x:v>
      </x:c>
      <x:c r="K237" s="17" t="str">
        <x:v>Public custody A</x:v>
      </x:c>
      <x:c r="L237" s="9" t="n">
        <x:v>0</x:v>
      </x:c>
      <x:c r="M237" s="9" t="n">
        <x:v>0</x:v>
      </x:c>
      <x:c r="N237" s="9" t="n">
        <x:v>0</x:v>
      </x:c>
      <x:c r="O237" s="9" t="n">
        <x:v>0</x:v>
      </x:c>
      <x:c r="P237" s="9" t="str">
        <x:v>UNSEALED / SOURCE-EMPTY</x:v>
      </x:c>
      <x:c r="Q237" s="9" t="n">
        <x:f>COUNTIFS($A$7:$A$1158,A237)</x:f>
        <x:v>1</x:v>
      </x:c>
    </x:row>
    <x:row r="238">
      <x:c r="A238" s="9" t="str">
        <x:v>EV-AR-HU-A-B-TECH-4-B1-INT-G0-RW08</x:v>
      </x:c>
      <x:c r="B238" s="9" t="str">
        <x:v>EV-AR-HU-A-B-TECH-4-B1-INT-G0</x:v>
      </x:c>
      <x:c r="C238" s="9" t="str">
        <x:v>AR-HU-A-B-TECH-4-B1-INT-G0</x:v>
      </x:c>
      <x:c r="D238" s="9" t="str">
        <x:v>HU-A-B-TECH-4</x:v>
      </x:c>
      <x:c r="E238" s="9" t="str">
        <x:v>HU-A-B</x:v>
      </x:c>
      <x:c r="F238" s="9" t="str">
        <x:v>B1</x:v>
      </x:c>
      <x:c r="G238" s="9" t="str">
        <x:v>INT</x:v>
      </x:c>
      <x:c r="H238" s="9" t="str">
        <x:v>RW08</x:v>
      </x:c>
      <x:c r="I238" s="17" t="str">
        <x:v>Residual and physical evidence</x:v>
      </x:c>
      <x:c r="J238" s="17" t="str">
        <x:v>Residual authority</x:v>
      </x:c>
      <x:c r="K238" s="17" t="str">
        <x:v>Public custody B</x:v>
      </x:c>
      <x:c r="L238" s="9" t="n">
        <x:v>0</x:v>
      </x:c>
      <x:c r="M238" s="9" t="n">
        <x:v>0</x:v>
      </x:c>
      <x:c r="N238" s="9" t="n">
        <x:v>0</x:v>
      </x:c>
      <x:c r="O238" s="9" t="n">
        <x:v>0</x:v>
      </x:c>
      <x:c r="P238" s="9" t="str">
        <x:v>UNSEALED / SOURCE-EMPTY</x:v>
      </x:c>
      <x:c r="Q238" s="9" t="n">
        <x:f>COUNTIFS($A$7:$A$1158,A238)</x:f>
        <x:v>1</x:v>
      </x:c>
    </x:row>
    <x:row r="239">
      <x:c r="A239" s="9" t="str">
        <x:v>EV-AR-LF-B-A-TECH-1-B1-RCN-G0-RW01</x:v>
      </x:c>
      <x:c r="B239" s="9" t="str">
        <x:v>EV-AR-LF-B-A-TECH-1-B1-RCN-G0</x:v>
      </x:c>
      <x:c r="C239" s="9" t="str">
        <x:v>AR-LF-B-A-TECH-1-B1-RCN-G0</x:v>
      </x:c>
      <x:c r="D239" s="9" t="str">
        <x:v>LF-B-A-TECH-1</x:v>
      </x:c>
      <x:c r="E239" s="9" t="str">
        <x:v>LF-B-A</x:v>
      </x:c>
      <x:c r="F239" s="9" t="str">
        <x:v>B1</x:v>
      </x:c>
      <x:c r="G239" s="9" t="str">
        <x:v>RCN</x:v>
      </x:c>
      <x:c r="H239" s="9" t="str">
        <x:v>RW01</x:v>
      </x:c>
      <x:c r="I239" s="17" t="str">
        <x:v>Primary raw stream</x:v>
      </x:c>
      <x:c r="J239" s="17" t="str">
        <x:v>Primary metrology</x:v>
      </x:c>
      <x:c r="K239" s="17" t="str">
        <x:v>Public custody A</x:v>
      </x:c>
      <x:c r="L239" s="9" t="n">
        <x:v>0</x:v>
      </x:c>
      <x:c r="M239" s="9" t="n">
        <x:v>0</x:v>
      </x:c>
      <x:c r="N239" s="9" t="n">
        <x:v>0</x:v>
      </x:c>
      <x:c r="O239" s="9" t="n">
        <x:v>0</x:v>
      </x:c>
      <x:c r="P239" s="9" t="str">
        <x:v>UNSEALED / SOURCE-EMPTY</x:v>
      </x:c>
      <x:c r="Q239" s="9" t="n">
        <x:f>COUNTIFS($A$7:$A$1158,A239)</x:f>
        <x:v>1</x:v>
      </x:c>
    </x:row>
    <x:row r="240">
      <x:c r="A240" s="9" t="str">
        <x:v>EV-AR-LF-B-A-TECH-1-B1-RCN-G0-RW02</x:v>
      </x:c>
      <x:c r="B240" s="9" t="str">
        <x:v>EV-AR-LF-B-A-TECH-1-B1-RCN-G0</x:v>
      </x:c>
      <x:c r="C240" s="9" t="str">
        <x:v>AR-LF-B-A-TECH-1-B1-RCN-G0</x:v>
      </x:c>
      <x:c r="D240" s="9" t="str">
        <x:v>LF-B-A-TECH-1</x:v>
      </x:c>
      <x:c r="E240" s="9" t="str">
        <x:v>LF-B-A</x:v>
      </x:c>
      <x:c r="F240" s="9" t="str">
        <x:v>B1</x:v>
      </x:c>
      <x:c r="G240" s="9" t="str">
        <x:v>RCN</x:v>
      </x:c>
      <x:c r="H240" s="9" t="str">
        <x:v>RW02</x:v>
      </x:c>
      <x:c r="I240" s="17" t="str">
        <x:v>Unlike witness stream</x:v>
      </x:c>
      <x:c r="J240" s="17" t="str">
        <x:v>Witness metrology</x:v>
      </x:c>
      <x:c r="K240" s="17" t="str">
        <x:v>Public custody B</x:v>
      </x:c>
      <x:c r="L240" s="9" t="n">
        <x:v>0</x:v>
      </x:c>
      <x:c r="M240" s="9" t="n">
        <x:v>0</x:v>
      </x:c>
      <x:c r="N240" s="9" t="n">
        <x:v>0</x:v>
      </x:c>
      <x:c r="O240" s="9" t="n">
        <x:v>0</x:v>
      </x:c>
      <x:c r="P240" s="9" t="str">
        <x:v>UNSEALED / SOURCE-EMPTY</x:v>
      </x:c>
      <x:c r="Q240" s="9" t="n">
        <x:f>COUNTIFS($A$7:$A$1158,A240)</x:f>
        <x:v>1</x:v>
      </x:c>
    </x:row>
    <x:row r="241">
      <x:c r="A241" s="9" t="str">
        <x:v>EV-AR-LF-B-A-TECH-1-B1-RCN-G0-RW03</x:v>
      </x:c>
      <x:c r="B241" s="9" t="str">
        <x:v>EV-AR-LF-B-A-TECH-1-B1-RCN-G0</x:v>
      </x:c>
      <x:c r="C241" s="9" t="str">
        <x:v>AR-LF-B-A-TECH-1-B1-RCN-G0</x:v>
      </x:c>
      <x:c r="D241" s="9" t="str">
        <x:v>LF-B-A-TECH-1</x:v>
      </x:c>
      <x:c r="E241" s="9" t="str">
        <x:v>LF-B-A</x:v>
      </x:c>
      <x:c r="F241" s="9" t="str">
        <x:v>B1</x:v>
      </x:c>
      <x:c r="G241" s="9" t="str">
        <x:v>RCN</x:v>
      </x:c>
      <x:c r="H241" s="9" t="str">
        <x:v>RW03</x:v>
      </x:c>
      <x:c r="I241" s="17" t="str">
        <x:v>Event clock and start traces</x:v>
      </x:c>
      <x:c r="J241" s="17" t="str">
        <x:v>Event clock authority</x:v>
      </x:c>
      <x:c r="K241" s="17" t="str">
        <x:v>Public custody C</x:v>
      </x:c>
      <x:c r="L241" s="9" t="n">
        <x:v>0</x:v>
      </x:c>
      <x:c r="M241" s="9" t="n">
        <x:v>0</x:v>
      </x:c>
      <x:c r="N241" s="9" t="n">
        <x:v>0</x:v>
      </x:c>
      <x:c r="O241" s="9" t="n">
        <x:v>0</x:v>
      </x:c>
      <x:c r="P241" s="9" t="str">
        <x:v>UNSEALED / SOURCE-EMPTY</x:v>
      </x:c>
      <x:c r="Q241" s="9" t="n">
        <x:f>COUNTIFS($A$7:$A$1158,A241)</x:f>
        <x:v>1</x:v>
      </x:c>
    </x:row>
    <x:row r="242">
      <x:c r="A242" s="9" t="str">
        <x:v>EV-AR-LF-B-A-TECH-1-B1-RCN-G0-RW04</x:v>
      </x:c>
      <x:c r="B242" s="9" t="str">
        <x:v>EV-AR-LF-B-A-TECH-1-B1-RCN-G0</x:v>
      </x:c>
      <x:c r="C242" s="9" t="str">
        <x:v>AR-LF-B-A-TECH-1-B1-RCN-G0</x:v>
      </x:c>
      <x:c r="D242" s="9" t="str">
        <x:v>LF-B-A-TECH-1</x:v>
      </x:c>
      <x:c r="E242" s="9" t="str">
        <x:v>LF-B-A</x:v>
      </x:c>
      <x:c r="F242" s="9" t="str">
        <x:v>B1</x:v>
      </x:c>
      <x:c r="G242" s="9" t="str">
        <x:v>RCN</x:v>
      </x:c>
      <x:c r="H242" s="9" t="str">
        <x:v>RW04</x:v>
      </x:c>
      <x:c r="I242" s="17" t="str">
        <x:v>Environmental boundary stream</x:v>
      </x:c>
      <x:c r="J242" s="17" t="str">
        <x:v>Site metrology</x:v>
      </x:c>
      <x:c r="K242" s="17" t="str">
        <x:v>Public custody D</x:v>
      </x:c>
      <x:c r="L242" s="9" t="n">
        <x:v>0</x:v>
      </x:c>
      <x:c r="M242" s="9" t="n">
        <x:v>0</x:v>
      </x:c>
      <x:c r="N242" s="9" t="n">
        <x:v>0</x:v>
      </x:c>
      <x:c r="O242" s="9" t="n">
        <x:v>0</x:v>
      </x:c>
      <x:c r="P242" s="9" t="str">
        <x:v>UNSEALED / SOURCE-EMPTY</x:v>
      </x:c>
      <x:c r="Q242" s="9" t="n">
        <x:f>COUNTIFS($A$7:$A$1158,A242)</x:f>
        <x:v>1</x:v>
      </x:c>
    </x:row>
    <x:row r="243">
      <x:c r="A243" s="9" t="str">
        <x:v>EV-AR-LF-B-A-TECH-1-B1-RCN-G0-RW05</x:v>
      </x:c>
      <x:c r="B243" s="9" t="str">
        <x:v>EV-AR-LF-B-A-TECH-1-B1-RCN-G0</x:v>
      </x:c>
      <x:c r="C243" s="9" t="str">
        <x:v>AR-LF-B-A-TECH-1-B1-RCN-G0</x:v>
      </x:c>
      <x:c r="D243" s="9" t="str">
        <x:v>LF-B-A-TECH-1</x:v>
      </x:c>
      <x:c r="E243" s="9" t="str">
        <x:v>LF-B-A</x:v>
      </x:c>
      <x:c r="F243" s="9" t="str">
        <x:v>B1</x:v>
      </x:c>
      <x:c r="G243" s="9" t="str">
        <x:v>RCN</x:v>
      </x:c>
      <x:c r="H243" s="9" t="str">
        <x:v>RW05</x:v>
      </x:c>
      <x:c r="I243" s="17" t="str">
        <x:v>Command and intervention log</x:v>
      </x:c>
      <x:c r="J243" s="17" t="str">
        <x:v>Safety authority</x:v>
      </x:c>
      <x:c r="K243" s="17" t="str">
        <x:v>Public custody E</x:v>
      </x:c>
      <x:c r="L243" s="9" t="n">
        <x:v>0</x:v>
      </x:c>
      <x:c r="M243" s="9" t="n">
        <x:v>0</x:v>
      </x:c>
      <x:c r="N243" s="9" t="n">
        <x:v>0</x:v>
      </x:c>
      <x:c r="O243" s="9" t="n">
        <x:v>0</x:v>
      </x:c>
      <x:c r="P243" s="9" t="str">
        <x:v>UNSEALED / SOURCE-EMPTY</x:v>
      </x:c>
      <x:c r="Q243" s="9" t="n">
        <x:f>COUNTIFS($A$7:$A$1158,A243)</x:f>
        <x:v>1</x:v>
      </x:c>
    </x:row>
    <x:row r="244">
      <x:c r="A244" s="9" t="str">
        <x:v>EV-AR-LF-B-A-TECH-1-B1-RCN-G0-RW06</x:v>
      </x:c>
      <x:c r="B244" s="9" t="str">
        <x:v>EV-AR-LF-B-A-TECH-1-B1-RCN-G0</x:v>
      </x:c>
      <x:c r="C244" s="9" t="str">
        <x:v>AR-LF-B-A-TECH-1-B1-RCN-G0</x:v>
      </x:c>
      <x:c r="D244" s="9" t="str">
        <x:v>LF-B-A-TECH-1</x:v>
      </x:c>
      <x:c r="E244" s="9" t="str">
        <x:v>LF-B-A</x:v>
      </x:c>
      <x:c r="F244" s="9" t="str">
        <x:v>B1</x:v>
      </x:c>
      <x:c r="G244" s="9" t="str">
        <x:v>RCN</x:v>
      </x:c>
      <x:c r="H244" s="9" t="str">
        <x:v>RW06</x:v>
      </x:c>
      <x:c r="I244" s="17" t="str">
        <x:v>Receiver service ledger</x:v>
      </x:c>
      <x:c r="J244" s="17" t="str">
        <x:v>Receiver authority</x:v>
      </x:c>
      <x:c r="K244" s="17" t="str">
        <x:v>Public custody F</x:v>
      </x:c>
      <x:c r="L244" s="9" t="n">
        <x:v>0</x:v>
      </x:c>
      <x:c r="M244" s="9" t="n">
        <x:v>0</x:v>
      </x:c>
      <x:c r="N244" s="9" t="n">
        <x:v>0</x:v>
      </x:c>
      <x:c r="O244" s="9" t="n">
        <x:v>0</x:v>
      </x:c>
      <x:c r="P244" s="9" t="str">
        <x:v>UNSEALED / SOURCE-EMPTY</x:v>
      </x:c>
      <x:c r="Q244" s="9" t="n">
        <x:f>COUNTIFS($A$7:$A$1158,A244)</x:f>
        <x:v>1</x:v>
      </x:c>
    </x:row>
    <x:row r="245">
      <x:c r="A245" s="9" t="str">
        <x:v>EV-AR-LF-B-A-TECH-1-B1-RCN-G0-RW07</x:v>
      </x:c>
      <x:c r="B245" s="9" t="str">
        <x:v>EV-AR-LF-B-A-TECH-1-B1-RCN-G0</x:v>
      </x:c>
      <x:c r="C245" s="9" t="str">
        <x:v>AR-LF-B-A-TECH-1-B1-RCN-G0</x:v>
      </x:c>
      <x:c r="D245" s="9" t="str">
        <x:v>LF-B-A-TECH-1</x:v>
      </x:c>
      <x:c r="E245" s="9" t="str">
        <x:v>LF-B-A</x:v>
      </x:c>
      <x:c r="F245" s="9" t="str">
        <x:v>B1</x:v>
      </x:c>
      <x:c r="G245" s="9" t="str">
        <x:v>RCN</x:v>
      </x:c>
      <x:c r="H245" s="9" t="str">
        <x:v>RW07</x:v>
      </x:c>
      <x:c r="I245" s="17" t="str">
        <x:v>Candidate interface telemetry</x:v>
      </x:c>
      <x:c r="J245" s="17" t="str">
        <x:v>Interface custodian</x:v>
      </x:c>
      <x:c r="K245" s="17" t="str">
        <x:v>Public custody A</x:v>
      </x:c>
      <x:c r="L245" s="9" t="n">
        <x:v>0</x:v>
      </x:c>
      <x:c r="M245" s="9" t="n">
        <x:v>0</x:v>
      </x:c>
      <x:c r="N245" s="9" t="n">
        <x:v>0</x:v>
      </x:c>
      <x:c r="O245" s="9" t="n">
        <x:v>0</x:v>
      </x:c>
      <x:c r="P245" s="9" t="str">
        <x:v>UNSEALED / SOURCE-EMPTY</x:v>
      </x:c>
      <x:c r="Q245" s="9" t="n">
        <x:f>COUNTIFS($A$7:$A$1158,A245)</x:f>
        <x:v>1</x:v>
      </x:c>
    </x:row>
    <x:row r="246">
      <x:c r="A246" s="9" t="str">
        <x:v>EV-AR-LF-B-A-TECH-1-B1-RCN-G0-RW08</x:v>
      </x:c>
      <x:c r="B246" s="9" t="str">
        <x:v>EV-AR-LF-B-A-TECH-1-B1-RCN-G0</x:v>
      </x:c>
      <x:c r="C246" s="9" t="str">
        <x:v>AR-LF-B-A-TECH-1-B1-RCN-G0</x:v>
      </x:c>
      <x:c r="D246" s="9" t="str">
        <x:v>LF-B-A-TECH-1</x:v>
      </x:c>
      <x:c r="E246" s="9" t="str">
        <x:v>LF-B-A</x:v>
      </x:c>
      <x:c r="F246" s="9" t="str">
        <x:v>B1</x:v>
      </x:c>
      <x:c r="G246" s="9" t="str">
        <x:v>RCN</x:v>
      </x:c>
      <x:c r="H246" s="9" t="str">
        <x:v>RW08</x:v>
      </x:c>
      <x:c r="I246" s="17" t="str">
        <x:v>Residual and physical evidence</x:v>
      </x:c>
      <x:c r="J246" s="17" t="str">
        <x:v>Residual authority</x:v>
      </x:c>
      <x:c r="K246" s="17" t="str">
        <x:v>Public custody B</x:v>
      </x:c>
      <x:c r="L246" s="9" t="n">
        <x:v>0</x:v>
      </x:c>
      <x:c r="M246" s="9" t="n">
        <x:v>0</x:v>
      </x:c>
      <x:c r="N246" s="9" t="n">
        <x:v>0</x:v>
      </x:c>
      <x:c r="O246" s="9" t="n">
        <x:v>0</x:v>
      </x:c>
      <x:c r="P246" s="9" t="str">
        <x:v>UNSEALED / SOURCE-EMPTY</x:v>
      </x:c>
      <x:c r="Q246" s="9" t="n">
        <x:f>COUNTIFS($A$7:$A$1158,A246)</x:f>
        <x:v>1</x:v>
      </x:c>
    </x:row>
    <x:row r="247">
      <x:c r="A247" s="9" t="str">
        <x:v>EV-AR-ET-A-A-TECH-3-B2-RCN-G0-RW01</x:v>
      </x:c>
      <x:c r="B247" s="9" t="str">
        <x:v>EV-AR-ET-A-A-TECH-3-B2-RCN-G0</x:v>
      </x:c>
      <x:c r="C247" s="9" t="str">
        <x:v>AR-ET-A-A-TECH-3-B2-RCN-G0</x:v>
      </x:c>
      <x:c r="D247" s="9" t="str">
        <x:v>ET-A-A-TECH-3</x:v>
      </x:c>
      <x:c r="E247" s="9" t="str">
        <x:v>ET-A-A</x:v>
      </x:c>
      <x:c r="F247" s="9" t="str">
        <x:v>B2</x:v>
      </x:c>
      <x:c r="G247" s="9" t="str">
        <x:v>RCN</x:v>
      </x:c>
      <x:c r="H247" s="9" t="str">
        <x:v>RW01</x:v>
      </x:c>
      <x:c r="I247" s="17" t="str">
        <x:v>Primary raw stream</x:v>
      </x:c>
      <x:c r="J247" s="17" t="str">
        <x:v>Primary metrology</x:v>
      </x:c>
      <x:c r="K247" s="17" t="str">
        <x:v>Public custody A</x:v>
      </x:c>
      <x:c r="L247" s="9" t="n">
        <x:v>0</x:v>
      </x:c>
      <x:c r="M247" s="9" t="n">
        <x:v>0</x:v>
      </x:c>
      <x:c r="N247" s="9" t="n">
        <x:v>0</x:v>
      </x:c>
      <x:c r="O247" s="9" t="n">
        <x:v>0</x:v>
      </x:c>
      <x:c r="P247" s="9" t="str">
        <x:v>UNSEALED / SOURCE-EMPTY</x:v>
      </x:c>
      <x:c r="Q247" s="9" t="n">
        <x:f>COUNTIFS($A$7:$A$1158,A247)</x:f>
        <x:v>1</x:v>
      </x:c>
    </x:row>
    <x:row r="248">
      <x:c r="A248" s="9" t="str">
        <x:v>EV-AR-ET-A-A-TECH-3-B2-RCN-G0-RW02</x:v>
      </x:c>
      <x:c r="B248" s="9" t="str">
        <x:v>EV-AR-ET-A-A-TECH-3-B2-RCN-G0</x:v>
      </x:c>
      <x:c r="C248" s="9" t="str">
        <x:v>AR-ET-A-A-TECH-3-B2-RCN-G0</x:v>
      </x:c>
      <x:c r="D248" s="9" t="str">
        <x:v>ET-A-A-TECH-3</x:v>
      </x:c>
      <x:c r="E248" s="9" t="str">
        <x:v>ET-A-A</x:v>
      </x:c>
      <x:c r="F248" s="9" t="str">
        <x:v>B2</x:v>
      </x:c>
      <x:c r="G248" s="9" t="str">
        <x:v>RCN</x:v>
      </x:c>
      <x:c r="H248" s="9" t="str">
        <x:v>RW02</x:v>
      </x:c>
      <x:c r="I248" s="17" t="str">
        <x:v>Unlike witness stream</x:v>
      </x:c>
      <x:c r="J248" s="17" t="str">
        <x:v>Witness metrology</x:v>
      </x:c>
      <x:c r="K248" s="17" t="str">
        <x:v>Public custody B</x:v>
      </x:c>
      <x:c r="L248" s="9" t="n">
        <x:v>0</x:v>
      </x:c>
      <x:c r="M248" s="9" t="n">
        <x:v>0</x:v>
      </x:c>
      <x:c r="N248" s="9" t="n">
        <x:v>0</x:v>
      </x:c>
      <x:c r="O248" s="9" t="n">
        <x:v>0</x:v>
      </x:c>
      <x:c r="P248" s="9" t="str">
        <x:v>UNSEALED / SOURCE-EMPTY</x:v>
      </x:c>
      <x:c r="Q248" s="9" t="n">
        <x:f>COUNTIFS($A$7:$A$1158,A248)</x:f>
        <x:v>1</x:v>
      </x:c>
    </x:row>
    <x:row r="249">
      <x:c r="A249" s="9" t="str">
        <x:v>EV-AR-ET-A-A-TECH-3-B2-RCN-G0-RW03</x:v>
      </x:c>
      <x:c r="B249" s="9" t="str">
        <x:v>EV-AR-ET-A-A-TECH-3-B2-RCN-G0</x:v>
      </x:c>
      <x:c r="C249" s="9" t="str">
        <x:v>AR-ET-A-A-TECH-3-B2-RCN-G0</x:v>
      </x:c>
      <x:c r="D249" s="9" t="str">
        <x:v>ET-A-A-TECH-3</x:v>
      </x:c>
      <x:c r="E249" s="9" t="str">
        <x:v>ET-A-A</x:v>
      </x:c>
      <x:c r="F249" s="9" t="str">
        <x:v>B2</x:v>
      </x:c>
      <x:c r="G249" s="9" t="str">
        <x:v>RCN</x:v>
      </x:c>
      <x:c r="H249" s="9" t="str">
        <x:v>RW03</x:v>
      </x:c>
      <x:c r="I249" s="17" t="str">
        <x:v>Event clock and start traces</x:v>
      </x:c>
      <x:c r="J249" s="17" t="str">
        <x:v>Event clock authority</x:v>
      </x:c>
      <x:c r="K249" s="17" t="str">
        <x:v>Public custody C</x:v>
      </x:c>
      <x:c r="L249" s="9" t="n">
        <x:v>0</x:v>
      </x:c>
      <x:c r="M249" s="9" t="n">
        <x:v>0</x:v>
      </x:c>
      <x:c r="N249" s="9" t="n">
        <x:v>0</x:v>
      </x:c>
      <x:c r="O249" s="9" t="n">
        <x:v>0</x:v>
      </x:c>
      <x:c r="P249" s="9" t="str">
        <x:v>UNSEALED / SOURCE-EMPTY</x:v>
      </x:c>
      <x:c r="Q249" s="9" t="n">
        <x:f>COUNTIFS($A$7:$A$1158,A249)</x:f>
        <x:v>1</x:v>
      </x:c>
    </x:row>
    <x:row r="250">
      <x:c r="A250" s="9" t="str">
        <x:v>EV-AR-ET-A-A-TECH-3-B2-RCN-G0-RW04</x:v>
      </x:c>
      <x:c r="B250" s="9" t="str">
        <x:v>EV-AR-ET-A-A-TECH-3-B2-RCN-G0</x:v>
      </x:c>
      <x:c r="C250" s="9" t="str">
        <x:v>AR-ET-A-A-TECH-3-B2-RCN-G0</x:v>
      </x:c>
      <x:c r="D250" s="9" t="str">
        <x:v>ET-A-A-TECH-3</x:v>
      </x:c>
      <x:c r="E250" s="9" t="str">
        <x:v>ET-A-A</x:v>
      </x:c>
      <x:c r="F250" s="9" t="str">
        <x:v>B2</x:v>
      </x:c>
      <x:c r="G250" s="9" t="str">
        <x:v>RCN</x:v>
      </x:c>
      <x:c r="H250" s="9" t="str">
        <x:v>RW04</x:v>
      </x:c>
      <x:c r="I250" s="17" t="str">
        <x:v>Environmental boundary stream</x:v>
      </x:c>
      <x:c r="J250" s="17" t="str">
        <x:v>Site metrology</x:v>
      </x:c>
      <x:c r="K250" s="17" t="str">
        <x:v>Public custody D</x:v>
      </x:c>
      <x:c r="L250" s="9" t="n">
        <x:v>0</x:v>
      </x:c>
      <x:c r="M250" s="9" t="n">
        <x:v>0</x:v>
      </x:c>
      <x:c r="N250" s="9" t="n">
        <x:v>0</x:v>
      </x:c>
      <x:c r="O250" s="9" t="n">
        <x:v>0</x:v>
      </x:c>
      <x:c r="P250" s="9" t="str">
        <x:v>UNSEALED / SOURCE-EMPTY</x:v>
      </x:c>
      <x:c r="Q250" s="9" t="n">
        <x:f>COUNTIFS($A$7:$A$1158,A250)</x:f>
        <x:v>1</x:v>
      </x:c>
    </x:row>
    <x:row r="251">
      <x:c r="A251" s="9" t="str">
        <x:v>EV-AR-ET-A-A-TECH-3-B2-RCN-G0-RW05</x:v>
      </x:c>
      <x:c r="B251" s="9" t="str">
        <x:v>EV-AR-ET-A-A-TECH-3-B2-RCN-G0</x:v>
      </x:c>
      <x:c r="C251" s="9" t="str">
        <x:v>AR-ET-A-A-TECH-3-B2-RCN-G0</x:v>
      </x:c>
      <x:c r="D251" s="9" t="str">
        <x:v>ET-A-A-TECH-3</x:v>
      </x:c>
      <x:c r="E251" s="9" t="str">
        <x:v>ET-A-A</x:v>
      </x:c>
      <x:c r="F251" s="9" t="str">
        <x:v>B2</x:v>
      </x:c>
      <x:c r="G251" s="9" t="str">
        <x:v>RCN</x:v>
      </x:c>
      <x:c r="H251" s="9" t="str">
        <x:v>RW05</x:v>
      </x:c>
      <x:c r="I251" s="17" t="str">
        <x:v>Command and intervention log</x:v>
      </x:c>
      <x:c r="J251" s="17" t="str">
        <x:v>Safety authority</x:v>
      </x:c>
      <x:c r="K251" s="17" t="str">
        <x:v>Public custody E</x:v>
      </x:c>
      <x:c r="L251" s="9" t="n">
        <x:v>0</x:v>
      </x:c>
      <x:c r="M251" s="9" t="n">
        <x:v>0</x:v>
      </x:c>
      <x:c r="N251" s="9" t="n">
        <x:v>0</x:v>
      </x:c>
      <x:c r="O251" s="9" t="n">
        <x:v>0</x:v>
      </x:c>
      <x:c r="P251" s="9" t="str">
        <x:v>UNSEALED / SOURCE-EMPTY</x:v>
      </x:c>
      <x:c r="Q251" s="9" t="n">
        <x:f>COUNTIFS($A$7:$A$1158,A251)</x:f>
        <x:v>1</x:v>
      </x:c>
    </x:row>
    <x:row r="252">
      <x:c r="A252" s="9" t="str">
        <x:v>EV-AR-ET-A-A-TECH-3-B2-RCN-G0-RW06</x:v>
      </x:c>
      <x:c r="B252" s="9" t="str">
        <x:v>EV-AR-ET-A-A-TECH-3-B2-RCN-G0</x:v>
      </x:c>
      <x:c r="C252" s="9" t="str">
        <x:v>AR-ET-A-A-TECH-3-B2-RCN-G0</x:v>
      </x:c>
      <x:c r="D252" s="9" t="str">
        <x:v>ET-A-A-TECH-3</x:v>
      </x:c>
      <x:c r="E252" s="9" t="str">
        <x:v>ET-A-A</x:v>
      </x:c>
      <x:c r="F252" s="9" t="str">
        <x:v>B2</x:v>
      </x:c>
      <x:c r="G252" s="9" t="str">
        <x:v>RCN</x:v>
      </x:c>
      <x:c r="H252" s="9" t="str">
        <x:v>RW06</x:v>
      </x:c>
      <x:c r="I252" s="17" t="str">
        <x:v>Receiver service ledger</x:v>
      </x:c>
      <x:c r="J252" s="17" t="str">
        <x:v>Receiver authority</x:v>
      </x:c>
      <x:c r="K252" s="17" t="str">
        <x:v>Public custody F</x:v>
      </x:c>
      <x:c r="L252" s="9" t="n">
        <x:v>0</x:v>
      </x:c>
      <x:c r="M252" s="9" t="n">
        <x:v>0</x:v>
      </x:c>
      <x:c r="N252" s="9" t="n">
        <x:v>0</x:v>
      </x:c>
      <x:c r="O252" s="9" t="n">
        <x:v>0</x:v>
      </x:c>
      <x:c r="P252" s="9" t="str">
        <x:v>UNSEALED / SOURCE-EMPTY</x:v>
      </x:c>
      <x:c r="Q252" s="9" t="n">
        <x:f>COUNTIFS($A$7:$A$1158,A252)</x:f>
        <x:v>1</x:v>
      </x:c>
    </x:row>
    <x:row r="253">
      <x:c r="A253" s="9" t="str">
        <x:v>EV-AR-ET-A-A-TECH-3-B2-RCN-G0-RW07</x:v>
      </x:c>
      <x:c r="B253" s="9" t="str">
        <x:v>EV-AR-ET-A-A-TECH-3-B2-RCN-G0</x:v>
      </x:c>
      <x:c r="C253" s="9" t="str">
        <x:v>AR-ET-A-A-TECH-3-B2-RCN-G0</x:v>
      </x:c>
      <x:c r="D253" s="9" t="str">
        <x:v>ET-A-A-TECH-3</x:v>
      </x:c>
      <x:c r="E253" s="9" t="str">
        <x:v>ET-A-A</x:v>
      </x:c>
      <x:c r="F253" s="9" t="str">
        <x:v>B2</x:v>
      </x:c>
      <x:c r="G253" s="9" t="str">
        <x:v>RCN</x:v>
      </x:c>
      <x:c r="H253" s="9" t="str">
        <x:v>RW07</x:v>
      </x:c>
      <x:c r="I253" s="17" t="str">
        <x:v>Candidate interface telemetry</x:v>
      </x:c>
      <x:c r="J253" s="17" t="str">
        <x:v>Interface custodian</x:v>
      </x:c>
      <x:c r="K253" s="17" t="str">
        <x:v>Public custody A</x:v>
      </x:c>
      <x:c r="L253" s="9" t="n">
        <x:v>0</x:v>
      </x:c>
      <x:c r="M253" s="9" t="n">
        <x:v>0</x:v>
      </x:c>
      <x:c r="N253" s="9" t="n">
        <x:v>0</x:v>
      </x:c>
      <x:c r="O253" s="9" t="n">
        <x:v>0</x:v>
      </x:c>
      <x:c r="P253" s="9" t="str">
        <x:v>UNSEALED / SOURCE-EMPTY</x:v>
      </x:c>
      <x:c r="Q253" s="9" t="n">
        <x:f>COUNTIFS($A$7:$A$1158,A253)</x:f>
        <x:v>1</x:v>
      </x:c>
    </x:row>
    <x:row r="254">
      <x:c r="A254" s="9" t="str">
        <x:v>EV-AR-ET-A-A-TECH-3-B2-RCN-G0-RW08</x:v>
      </x:c>
      <x:c r="B254" s="9" t="str">
        <x:v>EV-AR-ET-A-A-TECH-3-B2-RCN-G0</x:v>
      </x:c>
      <x:c r="C254" s="9" t="str">
        <x:v>AR-ET-A-A-TECH-3-B2-RCN-G0</x:v>
      </x:c>
      <x:c r="D254" s="9" t="str">
        <x:v>ET-A-A-TECH-3</x:v>
      </x:c>
      <x:c r="E254" s="9" t="str">
        <x:v>ET-A-A</x:v>
      </x:c>
      <x:c r="F254" s="9" t="str">
        <x:v>B2</x:v>
      </x:c>
      <x:c r="G254" s="9" t="str">
        <x:v>RCN</x:v>
      </x:c>
      <x:c r="H254" s="9" t="str">
        <x:v>RW08</x:v>
      </x:c>
      <x:c r="I254" s="17" t="str">
        <x:v>Residual and physical evidence</x:v>
      </x:c>
      <x:c r="J254" s="17" t="str">
        <x:v>Residual authority</x:v>
      </x:c>
      <x:c r="K254" s="17" t="str">
        <x:v>Public custody B</x:v>
      </x:c>
      <x:c r="L254" s="9" t="n">
        <x:v>0</x:v>
      </x:c>
      <x:c r="M254" s="9" t="n">
        <x:v>0</x:v>
      </x:c>
      <x:c r="N254" s="9" t="n">
        <x:v>0</x:v>
      </x:c>
      <x:c r="O254" s="9" t="n">
        <x:v>0</x:v>
      </x:c>
      <x:c r="P254" s="9" t="str">
        <x:v>UNSEALED / SOURCE-EMPTY</x:v>
      </x:c>
      <x:c r="Q254" s="9" t="n">
        <x:f>COUNTIFS($A$7:$A$1158,A254)</x:f>
        <x:v>1</x:v>
      </x:c>
    </x:row>
    <x:row r="255">
      <x:c r="A255" s="9" t="str">
        <x:v>EV-AR-ET-A-A-TECH-1-B2-INT-G0-RW01</x:v>
      </x:c>
      <x:c r="B255" s="9" t="str">
        <x:v>EV-AR-ET-A-A-TECH-1-B2-INT-G0</x:v>
      </x:c>
      <x:c r="C255" s="9" t="str">
        <x:v>AR-ET-A-A-TECH-1-B2-INT-G0</x:v>
      </x:c>
      <x:c r="D255" s="9" t="str">
        <x:v>ET-A-A-TECH-1</x:v>
      </x:c>
      <x:c r="E255" s="9" t="str">
        <x:v>ET-A-A</x:v>
      </x:c>
      <x:c r="F255" s="9" t="str">
        <x:v>B2</x:v>
      </x:c>
      <x:c r="G255" s="9" t="str">
        <x:v>INT</x:v>
      </x:c>
      <x:c r="H255" s="9" t="str">
        <x:v>RW01</x:v>
      </x:c>
      <x:c r="I255" s="17" t="str">
        <x:v>Primary raw stream</x:v>
      </x:c>
      <x:c r="J255" s="17" t="str">
        <x:v>Primary metrology</x:v>
      </x:c>
      <x:c r="K255" s="17" t="str">
        <x:v>Public custody A</x:v>
      </x:c>
      <x:c r="L255" s="9" t="n">
        <x:v>0</x:v>
      </x:c>
      <x:c r="M255" s="9" t="n">
        <x:v>0</x:v>
      </x:c>
      <x:c r="N255" s="9" t="n">
        <x:v>0</x:v>
      </x:c>
      <x:c r="O255" s="9" t="n">
        <x:v>0</x:v>
      </x:c>
      <x:c r="P255" s="9" t="str">
        <x:v>UNSEALED / SOURCE-EMPTY</x:v>
      </x:c>
      <x:c r="Q255" s="9" t="n">
        <x:f>COUNTIFS($A$7:$A$1158,A255)</x:f>
        <x:v>1</x:v>
      </x:c>
    </x:row>
    <x:row r="256">
      <x:c r="A256" s="9" t="str">
        <x:v>EV-AR-ET-A-A-TECH-1-B2-INT-G0-RW02</x:v>
      </x:c>
      <x:c r="B256" s="9" t="str">
        <x:v>EV-AR-ET-A-A-TECH-1-B2-INT-G0</x:v>
      </x:c>
      <x:c r="C256" s="9" t="str">
        <x:v>AR-ET-A-A-TECH-1-B2-INT-G0</x:v>
      </x:c>
      <x:c r="D256" s="9" t="str">
        <x:v>ET-A-A-TECH-1</x:v>
      </x:c>
      <x:c r="E256" s="9" t="str">
        <x:v>ET-A-A</x:v>
      </x:c>
      <x:c r="F256" s="9" t="str">
        <x:v>B2</x:v>
      </x:c>
      <x:c r="G256" s="9" t="str">
        <x:v>INT</x:v>
      </x:c>
      <x:c r="H256" s="9" t="str">
        <x:v>RW02</x:v>
      </x:c>
      <x:c r="I256" s="17" t="str">
        <x:v>Unlike witness stream</x:v>
      </x:c>
      <x:c r="J256" s="17" t="str">
        <x:v>Witness metrology</x:v>
      </x:c>
      <x:c r="K256" s="17" t="str">
        <x:v>Public custody B</x:v>
      </x:c>
      <x:c r="L256" s="9" t="n">
        <x:v>0</x:v>
      </x:c>
      <x:c r="M256" s="9" t="n">
        <x:v>0</x:v>
      </x:c>
      <x:c r="N256" s="9" t="n">
        <x:v>0</x:v>
      </x:c>
      <x:c r="O256" s="9" t="n">
        <x:v>0</x:v>
      </x:c>
      <x:c r="P256" s="9" t="str">
        <x:v>UNSEALED / SOURCE-EMPTY</x:v>
      </x:c>
      <x:c r="Q256" s="9" t="n">
        <x:f>COUNTIFS($A$7:$A$1158,A256)</x:f>
        <x:v>1</x:v>
      </x:c>
    </x:row>
    <x:row r="257">
      <x:c r="A257" s="9" t="str">
        <x:v>EV-AR-ET-A-A-TECH-1-B2-INT-G0-RW03</x:v>
      </x:c>
      <x:c r="B257" s="9" t="str">
        <x:v>EV-AR-ET-A-A-TECH-1-B2-INT-G0</x:v>
      </x:c>
      <x:c r="C257" s="9" t="str">
        <x:v>AR-ET-A-A-TECH-1-B2-INT-G0</x:v>
      </x:c>
      <x:c r="D257" s="9" t="str">
        <x:v>ET-A-A-TECH-1</x:v>
      </x:c>
      <x:c r="E257" s="9" t="str">
        <x:v>ET-A-A</x:v>
      </x:c>
      <x:c r="F257" s="9" t="str">
        <x:v>B2</x:v>
      </x:c>
      <x:c r="G257" s="9" t="str">
        <x:v>INT</x:v>
      </x:c>
      <x:c r="H257" s="9" t="str">
        <x:v>RW03</x:v>
      </x:c>
      <x:c r="I257" s="17" t="str">
        <x:v>Event clock and start traces</x:v>
      </x:c>
      <x:c r="J257" s="17" t="str">
        <x:v>Event clock authority</x:v>
      </x:c>
      <x:c r="K257" s="17" t="str">
        <x:v>Public custody C</x:v>
      </x:c>
      <x:c r="L257" s="9" t="n">
        <x:v>0</x:v>
      </x:c>
      <x:c r="M257" s="9" t="n">
        <x:v>0</x:v>
      </x:c>
      <x:c r="N257" s="9" t="n">
        <x:v>0</x:v>
      </x:c>
      <x:c r="O257" s="9" t="n">
        <x:v>0</x:v>
      </x:c>
      <x:c r="P257" s="9" t="str">
        <x:v>UNSEALED / SOURCE-EMPTY</x:v>
      </x:c>
      <x:c r="Q257" s="9" t="n">
        <x:f>COUNTIFS($A$7:$A$1158,A257)</x:f>
        <x:v>1</x:v>
      </x:c>
    </x:row>
    <x:row r="258">
      <x:c r="A258" s="9" t="str">
        <x:v>EV-AR-ET-A-A-TECH-1-B2-INT-G0-RW04</x:v>
      </x:c>
      <x:c r="B258" s="9" t="str">
        <x:v>EV-AR-ET-A-A-TECH-1-B2-INT-G0</x:v>
      </x:c>
      <x:c r="C258" s="9" t="str">
        <x:v>AR-ET-A-A-TECH-1-B2-INT-G0</x:v>
      </x:c>
      <x:c r="D258" s="9" t="str">
        <x:v>ET-A-A-TECH-1</x:v>
      </x:c>
      <x:c r="E258" s="9" t="str">
        <x:v>ET-A-A</x:v>
      </x:c>
      <x:c r="F258" s="9" t="str">
        <x:v>B2</x:v>
      </x:c>
      <x:c r="G258" s="9" t="str">
        <x:v>INT</x:v>
      </x:c>
      <x:c r="H258" s="9" t="str">
        <x:v>RW04</x:v>
      </x:c>
      <x:c r="I258" s="17" t="str">
        <x:v>Environmental boundary stream</x:v>
      </x:c>
      <x:c r="J258" s="17" t="str">
        <x:v>Site metrology</x:v>
      </x:c>
      <x:c r="K258" s="17" t="str">
        <x:v>Public custody D</x:v>
      </x:c>
      <x:c r="L258" s="9" t="n">
        <x:v>0</x:v>
      </x:c>
      <x:c r="M258" s="9" t="n">
        <x:v>0</x:v>
      </x:c>
      <x:c r="N258" s="9" t="n">
        <x:v>0</x:v>
      </x:c>
      <x:c r="O258" s="9" t="n">
        <x:v>0</x:v>
      </x:c>
      <x:c r="P258" s="9" t="str">
        <x:v>UNSEALED / SOURCE-EMPTY</x:v>
      </x:c>
      <x:c r="Q258" s="9" t="n">
        <x:f>COUNTIFS($A$7:$A$1158,A258)</x:f>
        <x:v>1</x:v>
      </x:c>
    </x:row>
    <x:row r="259">
      <x:c r="A259" s="9" t="str">
        <x:v>EV-AR-ET-A-A-TECH-1-B2-INT-G0-RW05</x:v>
      </x:c>
      <x:c r="B259" s="9" t="str">
        <x:v>EV-AR-ET-A-A-TECH-1-B2-INT-G0</x:v>
      </x:c>
      <x:c r="C259" s="9" t="str">
        <x:v>AR-ET-A-A-TECH-1-B2-INT-G0</x:v>
      </x:c>
      <x:c r="D259" s="9" t="str">
        <x:v>ET-A-A-TECH-1</x:v>
      </x:c>
      <x:c r="E259" s="9" t="str">
        <x:v>ET-A-A</x:v>
      </x:c>
      <x:c r="F259" s="9" t="str">
        <x:v>B2</x:v>
      </x:c>
      <x:c r="G259" s="9" t="str">
        <x:v>INT</x:v>
      </x:c>
      <x:c r="H259" s="9" t="str">
        <x:v>RW05</x:v>
      </x:c>
      <x:c r="I259" s="17" t="str">
        <x:v>Command and intervention log</x:v>
      </x:c>
      <x:c r="J259" s="17" t="str">
        <x:v>Safety authority</x:v>
      </x:c>
      <x:c r="K259" s="17" t="str">
        <x:v>Public custody E</x:v>
      </x:c>
      <x:c r="L259" s="9" t="n">
        <x:v>0</x:v>
      </x:c>
      <x:c r="M259" s="9" t="n">
        <x:v>0</x:v>
      </x:c>
      <x:c r="N259" s="9" t="n">
        <x:v>0</x:v>
      </x:c>
      <x:c r="O259" s="9" t="n">
        <x:v>0</x:v>
      </x:c>
      <x:c r="P259" s="9" t="str">
        <x:v>UNSEALED / SOURCE-EMPTY</x:v>
      </x:c>
      <x:c r="Q259" s="9" t="n">
        <x:f>COUNTIFS($A$7:$A$1158,A259)</x:f>
        <x:v>1</x:v>
      </x:c>
    </x:row>
    <x:row r="260">
      <x:c r="A260" s="9" t="str">
        <x:v>EV-AR-ET-A-A-TECH-1-B2-INT-G0-RW06</x:v>
      </x:c>
      <x:c r="B260" s="9" t="str">
        <x:v>EV-AR-ET-A-A-TECH-1-B2-INT-G0</x:v>
      </x:c>
      <x:c r="C260" s="9" t="str">
        <x:v>AR-ET-A-A-TECH-1-B2-INT-G0</x:v>
      </x:c>
      <x:c r="D260" s="9" t="str">
        <x:v>ET-A-A-TECH-1</x:v>
      </x:c>
      <x:c r="E260" s="9" t="str">
        <x:v>ET-A-A</x:v>
      </x:c>
      <x:c r="F260" s="9" t="str">
        <x:v>B2</x:v>
      </x:c>
      <x:c r="G260" s="9" t="str">
        <x:v>INT</x:v>
      </x:c>
      <x:c r="H260" s="9" t="str">
        <x:v>RW06</x:v>
      </x:c>
      <x:c r="I260" s="17" t="str">
        <x:v>Receiver service ledger</x:v>
      </x:c>
      <x:c r="J260" s="17" t="str">
        <x:v>Receiver authority</x:v>
      </x:c>
      <x:c r="K260" s="17" t="str">
        <x:v>Public custody F</x:v>
      </x:c>
      <x:c r="L260" s="9" t="n">
        <x:v>0</x:v>
      </x:c>
      <x:c r="M260" s="9" t="n">
        <x:v>0</x:v>
      </x:c>
      <x:c r="N260" s="9" t="n">
        <x:v>0</x:v>
      </x:c>
      <x:c r="O260" s="9" t="n">
        <x:v>0</x:v>
      </x:c>
      <x:c r="P260" s="9" t="str">
        <x:v>UNSEALED / SOURCE-EMPTY</x:v>
      </x:c>
      <x:c r="Q260" s="9" t="n">
        <x:f>COUNTIFS($A$7:$A$1158,A260)</x:f>
        <x:v>1</x:v>
      </x:c>
    </x:row>
    <x:row r="261">
      <x:c r="A261" s="9" t="str">
        <x:v>EV-AR-ET-A-A-TECH-1-B2-INT-G0-RW07</x:v>
      </x:c>
      <x:c r="B261" s="9" t="str">
        <x:v>EV-AR-ET-A-A-TECH-1-B2-INT-G0</x:v>
      </x:c>
      <x:c r="C261" s="9" t="str">
        <x:v>AR-ET-A-A-TECH-1-B2-INT-G0</x:v>
      </x:c>
      <x:c r="D261" s="9" t="str">
        <x:v>ET-A-A-TECH-1</x:v>
      </x:c>
      <x:c r="E261" s="9" t="str">
        <x:v>ET-A-A</x:v>
      </x:c>
      <x:c r="F261" s="9" t="str">
        <x:v>B2</x:v>
      </x:c>
      <x:c r="G261" s="9" t="str">
        <x:v>INT</x:v>
      </x:c>
      <x:c r="H261" s="9" t="str">
        <x:v>RW07</x:v>
      </x:c>
      <x:c r="I261" s="17" t="str">
        <x:v>Candidate interface telemetry</x:v>
      </x:c>
      <x:c r="J261" s="17" t="str">
        <x:v>Interface custodian</x:v>
      </x:c>
      <x:c r="K261" s="17" t="str">
        <x:v>Public custody A</x:v>
      </x:c>
      <x:c r="L261" s="9" t="n">
        <x:v>0</x:v>
      </x:c>
      <x:c r="M261" s="9" t="n">
        <x:v>0</x:v>
      </x:c>
      <x:c r="N261" s="9" t="n">
        <x:v>0</x:v>
      </x:c>
      <x:c r="O261" s="9" t="n">
        <x:v>0</x:v>
      </x:c>
      <x:c r="P261" s="9" t="str">
        <x:v>UNSEALED / SOURCE-EMPTY</x:v>
      </x:c>
      <x:c r="Q261" s="9" t="n">
        <x:f>COUNTIFS($A$7:$A$1158,A261)</x:f>
        <x:v>1</x:v>
      </x:c>
    </x:row>
    <x:row r="262">
      <x:c r="A262" s="9" t="str">
        <x:v>EV-AR-ET-A-A-TECH-1-B2-INT-G0-RW08</x:v>
      </x:c>
      <x:c r="B262" s="9" t="str">
        <x:v>EV-AR-ET-A-A-TECH-1-B2-INT-G0</x:v>
      </x:c>
      <x:c r="C262" s="9" t="str">
        <x:v>AR-ET-A-A-TECH-1-B2-INT-G0</x:v>
      </x:c>
      <x:c r="D262" s="9" t="str">
        <x:v>ET-A-A-TECH-1</x:v>
      </x:c>
      <x:c r="E262" s="9" t="str">
        <x:v>ET-A-A</x:v>
      </x:c>
      <x:c r="F262" s="9" t="str">
        <x:v>B2</x:v>
      </x:c>
      <x:c r="G262" s="9" t="str">
        <x:v>INT</x:v>
      </x:c>
      <x:c r="H262" s="9" t="str">
        <x:v>RW08</x:v>
      </x:c>
      <x:c r="I262" s="17" t="str">
        <x:v>Residual and physical evidence</x:v>
      </x:c>
      <x:c r="J262" s="17" t="str">
        <x:v>Residual authority</x:v>
      </x:c>
      <x:c r="K262" s="17" t="str">
        <x:v>Public custody B</x:v>
      </x:c>
      <x:c r="L262" s="9" t="n">
        <x:v>0</x:v>
      </x:c>
      <x:c r="M262" s="9" t="n">
        <x:v>0</x:v>
      </x:c>
      <x:c r="N262" s="9" t="n">
        <x:v>0</x:v>
      </x:c>
      <x:c r="O262" s="9" t="n">
        <x:v>0</x:v>
      </x:c>
      <x:c r="P262" s="9" t="str">
        <x:v>UNSEALED / SOURCE-EMPTY</x:v>
      </x:c>
      <x:c r="Q262" s="9" t="n">
        <x:f>COUNTIFS($A$7:$A$1158,A262)</x:f>
        <x:v>1</x:v>
      </x:c>
    </x:row>
    <x:row r="263">
      <x:c r="A263" s="9" t="str">
        <x:v>EV-AR-HU-A-B-TECH-1-B2-BRK-G0-RW01</x:v>
      </x:c>
      <x:c r="B263" s="9" t="str">
        <x:v>EV-AR-HU-A-B-TECH-1-B2-BRK-G0</x:v>
      </x:c>
      <x:c r="C263" s="9" t="str">
        <x:v>AR-HU-A-B-TECH-1-B2-BRK-G0</x:v>
      </x:c>
      <x:c r="D263" s="9" t="str">
        <x:v>HU-A-B-TECH-1</x:v>
      </x:c>
      <x:c r="E263" s="9" t="str">
        <x:v>HU-A-B</x:v>
      </x:c>
      <x:c r="F263" s="9" t="str">
        <x:v>B2</x:v>
      </x:c>
      <x:c r="G263" s="9" t="str">
        <x:v>BRK</x:v>
      </x:c>
      <x:c r="H263" s="9" t="str">
        <x:v>RW01</x:v>
      </x:c>
      <x:c r="I263" s="17" t="str">
        <x:v>Primary raw stream</x:v>
      </x:c>
      <x:c r="J263" s="17" t="str">
        <x:v>Primary metrology</x:v>
      </x:c>
      <x:c r="K263" s="17" t="str">
        <x:v>Public custody A</x:v>
      </x:c>
      <x:c r="L263" s="9" t="n">
        <x:v>0</x:v>
      </x:c>
      <x:c r="M263" s="9" t="n">
        <x:v>0</x:v>
      </x:c>
      <x:c r="N263" s="9" t="n">
        <x:v>0</x:v>
      </x:c>
      <x:c r="O263" s="9" t="n">
        <x:v>0</x:v>
      </x:c>
      <x:c r="P263" s="9" t="str">
        <x:v>UNSEALED / SOURCE-EMPTY</x:v>
      </x:c>
      <x:c r="Q263" s="9" t="n">
        <x:f>COUNTIFS($A$7:$A$1158,A263)</x:f>
        <x:v>1</x:v>
      </x:c>
    </x:row>
    <x:row r="264">
      <x:c r="A264" s="9" t="str">
        <x:v>EV-AR-HU-A-B-TECH-1-B2-BRK-G0-RW02</x:v>
      </x:c>
      <x:c r="B264" s="9" t="str">
        <x:v>EV-AR-HU-A-B-TECH-1-B2-BRK-G0</x:v>
      </x:c>
      <x:c r="C264" s="9" t="str">
        <x:v>AR-HU-A-B-TECH-1-B2-BRK-G0</x:v>
      </x:c>
      <x:c r="D264" s="9" t="str">
        <x:v>HU-A-B-TECH-1</x:v>
      </x:c>
      <x:c r="E264" s="9" t="str">
        <x:v>HU-A-B</x:v>
      </x:c>
      <x:c r="F264" s="9" t="str">
        <x:v>B2</x:v>
      </x:c>
      <x:c r="G264" s="9" t="str">
        <x:v>BRK</x:v>
      </x:c>
      <x:c r="H264" s="9" t="str">
        <x:v>RW02</x:v>
      </x:c>
      <x:c r="I264" s="17" t="str">
        <x:v>Unlike witness stream</x:v>
      </x:c>
      <x:c r="J264" s="17" t="str">
        <x:v>Witness metrology</x:v>
      </x:c>
      <x:c r="K264" s="17" t="str">
        <x:v>Public custody B</x:v>
      </x:c>
      <x:c r="L264" s="9" t="n">
        <x:v>0</x:v>
      </x:c>
      <x:c r="M264" s="9" t="n">
        <x:v>0</x:v>
      </x:c>
      <x:c r="N264" s="9" t="n">
        <x:v>0</x:v>
      </x:c>
      <x:c r="O264" s="9" t="n">
        <x:v>0</x:v>
      </x:c>
      <x:c r="P264" s="9" t="str">
        <x:v>UNSEALED / SOURCE-EMPTY</x:v>
      </x:c>
      <x:c r="Q264" s="9" t="n">
        <x:f>COUNTIFS($A$7:$A$1158,A264)</x:f>
        <x:v>1</x:v>
      </x:c>
    </x:row>
    <x:row r="265">
      <x:c r="A265" s="9" t="str">
        <x:v>EV-AR-HU-A-B-TECH-1-B2-BRK-G0-RW03</x:v>
      </x:c>
      <x:c r="B265" s="9" t="str">
        <x:v>EV-AR-HU-A-B-TECH-1-B2-BRK-G0</x:v>
      </x:c>
      <x:c r="C265" s="9" t="str">
        <x:v>AR-HU-A-B-TECH-1-B2-BRK-G0</x:v>
      </x:c>
      <x:c r="D265" s="9" t="str">
        <x:v>HU-A-B-TECH-1</x:v>
      </x:c>
      <x:c r="E265" s="9" t="str">
        <x:v>HU-A-B</x:v>
      </x:c>
      <x:c r="F265" s="9" t="str">
        <x:v>B2</x:v>
      </x:c>
      <x:c r="G265" s="9" t="str">
        <x:v>BRK</x:v>
      </x:c>
      <x:c r="H265" s="9" t="str">
        <x:v>RW03</x:v>
      </x:c>
      <x:c r="I265" s="17" t="str">
        <x:v>Event clock and start traces</x:v>
      </x:c>
      <x:c r="J265" s="17" t="str">
        <x:v>Event clock authority</x:v>
      </x:c>
      <x:c r="K265" s="17" t="str">
        <x:v>Public custody C</x:v>
      </x:c>
      <x:c r="L265" s="9" t="n">
        <x:v>0</x:v>
      </x:c>
      <x:c r="M265" s="9" t="n">
        <x:v>0</x:v>
      </x:c>
      <x:c r="N265" s="9" t="n">
        <x:v>0</x:v>
      </x:c>
      <x:c r="O265" s="9" t="n">
        <x:v>0</x:v>
      </x:c>
      <x:c r="P265" s="9" t="str">
        <x:v>UNSEALED / SOURCE-EMPTY</x:v>
      </x:c>
      <x:c r="Q265" s="9" t="n">
        <x:f>COUNTIFS($A$7:$A$1158,A265)</x:f>
        <x:v>1</x:v>
      </x:c>
    </x:row>
    <x:row r="266">
      <x:c r="A266" s="9" t="str">
        <x:v>EV-AR-HU-A-B-TECH-1-B2-BRK-G0-RW04</x:v>
      </x:c>
      <x:c r="B266" s="9" t="str">
        <x:v>EV-AR-HU-A-B-TECH-1-B2-BRK-G0</x:v>
      </x:c>
      <x:c r="C266" s="9" t="str">
        <x:v>AR-HU-A-B-TECH-1-B2-BRK-G0</x:v>
      </x:c>
      <x:c r="D266" s="9" t="str">
        <x:v>HU-A-B-TECH-1</x:v>
      </x:c>
      <x:c r="E266" s="9" t="str">
        <x:v>HU-A-B</x:v>
      </x:c>
      <x:c r="F266" s="9" t="str">
        <x:v>B2</x:v>
      </x:c>
      <x:c r="G266" s="9" t="str">
        <x:v>BRK</x:v>
      </x:c>
      <x:c r="H266" s="9" t="str">
        <x:v>RW04</x:v>
      </x:c>
      <x:c r="I266" s="17" t="str">
        <x:v>Environmental boundary stream</x:v>
      </x:c>
      <x:c r="J266" s="17" t="str">
        <x:v>Site metrology</x:v>
      </x:c>
      <x:c r="K266" s="17" t="str">
        <x:v>Public custody D</x:v>
      </x:c>
      <x:c r="L266" s="9" t="n">
        <x:v>0</x:v>
      </x:c>
      <x:c r="M266" s="9" t="n">
        <x:v>0</x:v>
      </x:c>
      <x:c r="N266" s="9" t="n">
        <x:v>0</x:v>
      </x:c>
      <x:c r="O266" s="9" t="n">
        <x:v>0</x:v>
      </x:c>
      <x:c r="P266" s="9" t="str">
        <x:v>UNSEALED / SOURCE-EMPTY</x:v>
      </x:c>
      <x:c r="Q266" s="9" t="n">
        <x:f>COUNTIFS($A$7:$A$1158,A266)</x:f>
        <x:v>1</x:v>
      </x:c>
    </x:row>
    <x:row r="267">
      <x:c r="A267" s="9" t="str">
        <x:v>EV-AR-HU-A-B-TECH-1-B2-BRK-G0-RW05</x:v>
      </x:c>
      <x:c r="B267" s="9" t="str">
        <x:v>EV-AR-HU-A-B-TECH-1-B2-BRK-G0</x:v>
      </x:c>
      <x:c r="C267" s="9" t="str">
        <x:v>AR-HU-A-B-TECH-1-B2-BRK-G0</x:v>
      </x:c>
      <x:c r="D267" s="9" t="str">
        <x:v>HU-A-B-TECH-1</x:v>
      </x:c>
      <x:c r="E267" s="9" t="str">
        <x:v>HU-A-B</x:v>
      </x:c>
      <x:c r="F267" s="9" t="str">
        <x:v>B2</x:v>
      </x:c>
      <x:c r="G267" s="9" t="str">
        <x:v>BRK</x:v>
      </x:c>
      <x:c r="H267" s="9" t="str">
        <x:v>RW05</x:v>
      </x:c>
      <x:c r="I267" s="17" t="str">
        <x:v>Command and intervention log</x:v>
      </x:c>
      <x:c r="J267" s="17" t="str">
        <x:v>Safety authority</x:v>
      </x:c>
      <x:c r="K267" s="17" t="str">
        <x:v>Public custody E</x:v>
      </x:c>
      <x:c r="L267" s="9" t="n">
        <x:v>0</x:v>
      </x:c>
      <x:c r="M267" s="9" t="n">
        <x:v>0</x:v>
      </x:c>
      <x:c r="N267" s="9" t="n">
        <x:v>0</x:v>
      </x:c>
      <x:c r="O267" s="9" t="n">
        <x:v>0</x:v>
      </x:c>
      <x:c r="P267" s="9" t="str">
        <x:v>UNSEALED / SOURCE-EMPTY</x:v>
      </x:c>
      <x:c r="Q267" s="9" t="n">
        <x:f>COUNTIFS($A$7:$A$1158,A267)</x:f>
        <x:v>1</x:v>
      </x:c>
    </x:row>
    <x:row r="268">
      <x:c r="A268" s="9" t="str">
        <x:v>EV-AR-HU-A-B-TECH-1-B2-BRK-G0-RW06</x:v>
      </x:c>
      <x:c r="B268" s="9" t="str">
        <x:v>EV-AR-HU-A-B-TECH-1-B2-BRK-G0</x:v>
      </x:c>
      <x:c r="C268" s="9" t="str">
        <x:v>AR-HU-A-B-TECH-1-B2-BRK-G0</x:v>
      </x:c>
      <x:c r="D268" s="9" t="str">
        <x:v>HU-A-B-TECH-1</x:v>
      </x:c>
      <x:c r="E268" s="9" t="str">
        <x:v>HU-A-B</x:v>
      </x:c>
      <x:c r="F268" s="9" t="str">
        <x:v>B2</x:v>
      </x:c>
      <x:c r="G268" s="9" t="str">
        <x:v>BRK</x:v>
      </x:c>
      <x:c r="H268" s="9" t="str">
        <x:v>RW06</x:v>
      </x:c>
      <x:c r="I268" s="17" t="str">
        <x:v>Receiver service ledger</x:v>
      </x:c>
      <x:c r="J268" s="17" t="str">
        <x:v>Receiver authority</x:v>
      </x:c>
      <x:c r="K268" s="17" t="str">
        <x:v>Public custody F</x:v>
      </x:c>
      <x:c r="L268" s="9" t="n">
        <x:v>0</x:v>
      </x:c>
      <x:c r="M268" s="9" t="n">
        <x:v>0</x:v>
      </x:c>
      <x:c r="N268" s="9" t="n">
        <x:v>0</x:v>
      </x:c>
      <x:c r="O268" s="9" t="n">
        <x:v>0</x:v>
      </x:c>
      <x:c r="P268" s="9" t="str">
        <x:v>UNSEALED / SOURCE-EMPTY</x:v>
      </x:c>
      <x:c r="Q268" s="9" t="n">
        <x:f>COUNTIFS($A$7:$A$1158,A268)</x:f>
        <x:v>1</x:v>
      </x:c>
    </x:row>
    <x:row r="269">
      <x:c r="A269" s="9" t="str">
        <x:v>EV-AR-HU-A-B-TECH-1-B2-BRK-G0-RW07</x:v>
      </x:c>
      <x:c r="B269" s="9" t="str">
        <x:v>EV-AR-HU-A-B-TECH-1-B2-BRK-G0</x:v>
      </x:c>
      <x:c r="C269" s="9" t="str">
        <x:v>AR-HU-A-B-TECH-1-B2-BRK-G0</x:v>
      </x:c>
      <x:c r="D269" s="9" t="str">
        <x:v>HU-A-B-TECH-1</x:v>
      </x:c>
      <x:c r="E269" s="9" t="str">
        <x:v>HU-A-B</x:v>
      </x:c>
      <x:c r="F269" s="9" t="str">
        <x:v>B2</x:v>
      </x:c>
      <x:c r="G269" s="9" t="str">
        <x:v>BRK</x:v>
      </x:c>
      <x:c r="H269" s="9" t="str">
        <x:v>RW07</x:v>
      </x:c>
      <x:c r="I269" s="17" t="str">
        <x:v>Candidate interface telemetry</x:v>
      </x:c>
      <x:c r="J269" s="17" t="str">
        <x:v>Interface custodian</x:v>
      </x:c>
      <x:c r="K269" s="17" t="str">
        <x:v>Public custody A</x:v>
      </x:c>
      <x:c r="L269" s="9" t="n">
        <x:v>0</x:v>
      </x:c>
      <x:c r="M269" s="9" t="n">
        <x:v>0</x:v>
      </x:c>
      <x:c r="N269" s="9" t="n">
        <x:v>0</x:v>
      </x:c>
      <x:c r="O269" s="9" t="n">
        <x:v>0</x:v>
      </x:c>
      <x:c r="P269" s="9" t="str">
        <x:v>UNSEALED / SOURCE-EMPTY</x:v>
      </x:c>
      <x:c r="Q269" s="9" t="n">
        <x:f>COUNTIFS($A$7:$A$1158,A269)</x:f>
        <x:v>1</x:v>
      </x:c>
    </x:row>
    <x:row r="270">
      <x:c r="A270" s="9" t="str">
        <x:v>EV-AR-HU-A-B-TECH-1-B2-BRK-G0-RW08</x:v>
      </x:c>
      <x:c r="B270" s="9" t="str">
        <x:v>EV-AR-HU-A-B-TECH-1-B2-BRK-G0</x:v>
      </x:c>
      <x:c r="C270" s="9" t="str">
        <x:v>AR-HU-A-B-TECH-1-B2-BRK-G0</x:v>
      </x:c>
      <x:c r="D270" s="9" t="str">
        <x:v>HU-A-B-TECH-1</x:v>
      </x:c>
      <x:c r="E270" s="9" t="str">
        <x:v>HU-A-B</x:v>
      </x:c>
      <x:c r="F270" s="9" t="str">
        <x:v>B2</x:v>
      </x:c>
      <x:c r="G270" s="9" t="str">
        <x:v>BRK</x:v>
      </x:c>
      <x:c r="H270" s="9" t="str">
        <x:v>RW08</x:v>
      </x:c>
      <x:c r="I270" s="17" t="str">
        <x:v>Residual and physical evidence</x:v>
      </x:c>
      <x:c r="J270" s="17" t="str">
        <x:v>Residual authority</x:v>
      </x:c>
      <x:c r="K270" s="17" t="str">
        <x:v>Public custody B</x:v>
      </x:c>
      <x:c r="L270" s="9" t="n">
        <x:v>0</x:v>
      </x:c>
      <x:c r="M270" s="9" t="n">
        <x:v>0</x:v>
      </x:c>
      <x:c r="N270" s="9" t="n">
        <x:v>0</x:v>
      </x:c>
      <x:c r="O270" s="9" t="n">
        <x:v>0</x:v>
      </x:c>
      <x:c r="P270" s="9" t="str">
        <x:v>UNSEALED / SOURCE-EMPTY</x:v>
      </x:c>
      <x:c r="Q270" s="9" t="n">
        <x:f>COUNTIFS($A$7:$A$1158,A270)</x:f>
        <x:v>1</x:v>
      </x:c>
    </x:row>
    <x:row r="271">
      <x:c r="A271" s="9" t="str">
        <x:v>EV-AR-LF-B-A-TECH-3-B1-BRK-G0-RW01</x:v>
      </x:c>
      <x:c r="B271" s="9" t="str">
        <x:v>EV-AR-LF-B-A-TECH-3-B1-BRK-G0</x:v>
      </x:c>
      <x:c r="C271" s="9" t="str">
        <x:v>AR-LF-B-A-TECH-3-B1-BRK-G0</x:v>
      </x:c>
      <x:c r="D271" s="9" t="str">
        <x:v>LF-B-A-TECH-3</x:v>
      </x:c>
      <x:c r="E271" s="9" t="str">
        <x:v>LF-B-A</x:v>
      </x:c>
      <x:c r="F271" s="9" t="str">
        <x:v>B1</x:v>
      </x:c>
      <x:c r="G271" s="9" t="str">
        <x:v>BRK</x:v>
      </x:c>
      <x:c r="H271" s="9" t="str">
        <x:v>RW01</x:v>
      </x:c>
      <x:c r="I271" s="17" t="str">
        <x:v>Primary raw stream</x:v>
      </x:c>
      <x:c r="J271" s="17" t="str">
        <x:v>Primary metrology</x:v>
      </x:c>
      <x:c r="K271" s="17" t="str">
        <x:v>Public custody A</x:v>
      </x:c>
      <x:c r="L271" s="9" t="n">
        <x:v>0</x:v>
      </x:c>
      <x:c r="M271" s="9" t="n">
        <x:v>0</x:v>
      </x:c>
      <x:c r="N271" s="9" t="n">
        <x:v>0</x:v>
      </x:c>
      <x:c r="O271" s="9" t="n">
        <x:v>0</x:v>
      </x:c>
      <x:c r="P271" s="9" t="str">
        <x:v>UNSEALED / SOURCE-EMPTY</x:v>
      </x:c>
      <x:c r="Q271" s="9" t="n">
        <x:f>COUNTIFS($A$7:$A$1158,A271)</x:f>
        <x:v>1</x:v>
      </x:c>
    </x:row>
    <x:row r="272">
      <x:c r="A272" s="9" t="str">
        <x:v>EV-AR-LF-B-A-TECH-3-B1-BRK-G0-RW02</x:v>
      </x:c>
      <x:c r="B272" s="9" t="str">
        <x:v>EV-AR-LF-B-A-TECH-3-B1-BRK-G0</x:v>
      </x:c>
      <x:c r="C272" s="9" t="str">
        <x:v>AR-LF-B-A-TECH-3-B1-BRK-G0</x:v>
      </x:c>
      <x:c r="D272" s="9" t="str">
        <x:v>LF-B-A-TECH-3</x:v>
      </x:c>
      <x:c r="E272" s="9" t="str">
        <x:v>LF-B-A</x:v>
      </x:c>
      <x:c r="F272" s="9" t="str">
        <x:v>B1</x:v>
      </x:c>
      <x:c r="G272" s="9" t="str">
        <x:v>BRK</x:v>
      </x:c>
      <x:c r="H272" s="9" t="str">
        <x:v>RW02</x:v>
      </x:c>
      <x:c r="I272" s="17" t="str">
        <x:v>Unlike witness stream</x:v>
      </x:c>
      <x:c r="J272" s="17" t="str">
        <x:v>Witness metrology</x:v>
      </x:c>
      <x:c r="K272" s="17" t="str">
        <x:v>Public custody B</x:v>
      </x:c>
      <x:c r="L272" s="9" t="n">
        <x:v>0</x:v>
      </x:c>
      <x:c r="M272" s="9" t="n">
        <x:v>0</x:v>
      </x:c>
      <x:c r="N272" s="9" t="n">
        <x:v>0</x:v>
      </x:c>
      <x:c r="O272" s="9" t="n">
        <x:v>0</x:v>
      </x:c>
      <x:c r="P272" s="9" t="str">
        <x:v>UNSEALED / SOURCE-EMPTY</x:v>
      </x:c>
      <x:c r="Q272" s="9" t="n">
        <x:f>COUNTIFS($A$7:$A$1158,A272)</x:f>
        <x:v>1</x:v>
      </x:c>
    </x:row>
    <x:row r="273">
      <x:c r="A273" s="9" t="str">
        <x:v>EV-AR-LF-B-A-TECH-3-B1-BRK-G0-RW03</x:v>
      </x:c>
      <x:c r="B273" s="9" t="str">
        <x:v>EV-AR-LF-B-A-TECH-3-B1-BRK-G0</x:v>
      </x:c>
      <x:c r="C273" s="9" t="str">
        <x:v>AR-LF-B-A-TECH-3-B1-BRK-G0</x:v>
      </x:c>
      <x:c r="D273" s="9" t="str">
        <x:v>LF-B-A-TECH-3</x:v>
      </x:c>
      <x:c r="E273" s="9" t="str">
        <x:v>LF-B-A</x:v>
      </x:c>
      <x:c r="F273" s="9" t="str">
        <x:v>B1</x:v>
      </x:c>
      <x:c r="G273" s="9" t="str">
        <x:v>BRK</x:v>
      </x:c>
      <x:c r="H273" s="9" t="str">
        <x:v>RW03</x:v>
      </x:c>
      <x:c r="I273" s="17" t="str">
        <x:v>Event clock and start traces</x:v>
      </x:c>
      <x:c r="J273" s="17" t="str">
        <x:v>Event clock authority</x:v>
      </x:c>
      <x:c r="K273" s="17" t="str">
        <x:v>Public custody C</x:v>
      </x:c>
      <x:c r="L273" s="9" t="n">
        <x:v>0</x:v>
      </x:c>
      <x:c r="M273" s="9" t="n">
        <x:v>0</x:v>
      </x:c>
      <x:c r="N273" s="9" t="n">
        <x:v>0</x:v>
      </x:c>
      <x:c r="O273" s="9" t="n">
        <x:v>0</x:v>
      </x:c>
      <x:c r="P273" s="9" t="str">
        <x:v>UNSEALED / SOURCE-EMPTY</x:v>
      </x:c>
      <x:c r="Q273" s="9" t="n">
        <x:f>COUNTIFS($A$7:$A$1158,A273)</x:f>
        <x:v>1</x:v>
      </x:c>
    </x:row>
    <x:row r="274">
      <x:c r="A274" s="9" t="str">
        <x:v>EV-AR-LF-B-A-TECH-3-B1-BRK-G0-RW04</x:v>
      </x:c>
      <x:c r="B274" s="9" t="str">
        <x:v>EV-AR-LF-B-A-TECH-3-B1-BRK-G0</x:v>
      </x:c>
      <x:c r="C274" s="9" t="str">
        <x:v>AR-LF-B-A-TECH-3-B1-BRK-G0</x:v>
      </x:c>
      <x:c r="D274" s="9" t="str">
        <x:v>LF-B-A-TECH-3</x:v>
      </x:c>
      <x:c r="E274" s="9" t="str">
        <x:v>LF-B-A</x:v>
      </x:c>
      <x:c r="F274" s="9" t="str">
        <x:v>B1</x:v>
      </x:c>
      <x:c r="G274" s="9" t="str">
        <x:v>BRK</x:v>
      </x:c>
      <x:c r="H274" s="9" t="str">
        <x:v>RW04</x:v>
      </x:c>
      <x:c r="I274" s="17" t="str">
        <x:v>Environmental boundary stream</x:v>
      </x:c>
      <x:c r="J274" s="17" t="str">
        <x:v>Site metrology</x:v>
      </x:c>
      <x:c r="K274" s="17" t="str">
        <x:v>Public custody D</x:v>
      </x:c>
      <x:c r="L274" s="9" t="n">
        <x:v>0</x:v>
      </x:c>
      <x:c r="M274" s="9" t="n">
        <x:v>0</x:v>
      </x:c>
      <x:c r="N274" s="9" t="n">
        <x:v>0</x:v>
      </x:c>
      <x:c r="O274" s="9" t="n">
        <x:v>0</x:v>
      </x:c>
      <x:c r="P274" s="9" t="str">
        <x:v>UNSEALED / SOURCE-EMPTY</x:v>
      </x:c>
      <x:c r="Q274" s="9" t="n">
        <x:f>COUNTIFS($A$7:$A$1158,A274)</x:f>
        <x:v>1</x:v>
      </x:c>
    </x:row>
    <x:row r="275">
      <x:c r="A275" s="9" t="str">
        <x:v>EV-AR-LF-B-A-TECH-3-B1-BRK-G0-RW05</x:v>
      </x:c>
      <x:c r="B275" s="9" t="str">
        <x:v>EV-AR-LF-B-A-TECH-3-B1-BRK-G0</x:v>
      </x:c>
      <x:c r="C275" s="9" t="str">
        <x:v>AR-LF-B-A-TECH-3-B1-BRK-G0</x:v>
      </x:c>
      <x:c r="D275" s="9" t="str">
        <x:v>LF-B-A-TECH-3</x:v>
      </x:c>
      <x:c r="E275" s="9" t="str">
        <x:v>LF-B-A</x:v>
      </x:c>
      <x:c r="F275" s="9" t="str">
        <x:v>B1</x:v>
      </x:c>
      <x:c r="G275" s="9" t="str">
        <x:v>BRK</x:v>
      </x:c>
      <x:c r="H275" s="9" t="str">
        <x:v>RW05</x:v>
      </x:c>
      <x:c r="I275" s="17" t="str">
        <x:v>Command and intervention log</x:v>
      </x:c>
      <x:c r="J275" s="17" t="str">
        <x:v>Safety authority</x:v>
      </x:c>
      <x:c r="K275" s="17" t="str">
        <x:v>Public custody E</x:v>
      </x:c>
      <x:c r="L275" s="9" t="n">
        <x:v>0</x:v>
      </x:c>
      <x:c r="M275" s="9" t="n">
        <x:v>0</x:v>
      </x:c>
      <x:c r="N275" s="9" t="n">
        <x:v>0</x:v>
      </x:c>
      <x:c r="O275" s="9" t="n">
        <x:v>0</x:v>
      </x:c>
      <x:c r="P275" s="9" t="str">
        <x:v>UNSEALED / SOURCE-EMPTY</x:v>
      </x:c>
      <x:c r="Q275" s="9" t="n">
        <x:f>COUNTIFS($A$7:$A$1158,A275)</x:f>
        <x:v>1</x:v>
      </x:c>
    </x:row>
    <x:row r="276">
      <x:c r="A276" s="9" t="str">
        <x:v>EV-AR-LF-B-A-TECH-3-B1-BRK-G0-RW06</x:v>
      </x:c>
      <x:c r="B276" s="9" t="str">
        <x:v>EV-AR-LF-B-A-TECH-3-B1-BRK-G0</x:v>
      </x:c>
      <x:c r="C276" s="9" t="str">
        <x:v>AR-LF-B-A-TECH-3-B1-BRK-G0</x:v>
      </x:c>
      <x:c r="D276" s="9" t="str">
        <x:v>LF-B-A-TECH-3</x:v>
      </x:c>
      <x:c r="E276" s="9" t="str">
        <x:v>LF-B-A</x:v>
      </x:c>
      <x:c r="F276" s="9" t="str">
        <x:v>B1</x:v>
      </x:c>
      <x:c r="G276" s="9" t="str">
        <x:v>BRK</x:v>
      </x:c>
      <x:c r="H276" s="9" t="str">
        <x:v>RW06</x:v>
      </x:c>
      <x:c r="I276" s="17" t="str">
        <x:v>Receiver service ledger</x:v>
      </x:c>
      <x:c r="J276" s="17" t="str">
        <x:v>Receiver authority</x:v>
      </x:c>
      <x:c r="K276" s="17" t="str">
        <x:v>Public custody F</x:v>
      </x:c>
      <x:c r="L276" s="9" t="n">
        <x:v>0</x:v>
      </x:c>
      <x:c r="M276" s="9" t="n">
        <x:v>0</x:v>
      </x:c>
      <x:c r="N276" s="9" t="n">
        <x:v>0</x:v>
      </x:c>
      <x:c r="O276" s="9" t="n">
        <x:v>0</x:v>
      </x:c>
      <x:c r="P276" s="9" t="str">
        <x:v>UNSEALED / SOURCE-EMPTY</x:v>
      </x:c>
      <x:c r="Q276" s="9" t="n">
        <x:f>COUNTIFS($A$7:$A$1158,A276)</x:f>
        <x:v>1</x:v>
      </x:c>
    </x:row>
    <x:row r="277">
      <x:c r="A277" s="9" t="str">
        <x:v>EV-AR-LF-B-A-TECH-3-B1-BRK-G0-RW07</x:v>
      </x:c>
      <x:c r="B277" s="9" t="str">
        <x:v>EV-AR-LF-B-A-TECH-3-B1-BRK-G0</x:v>
      </x:c>
      <x:c r="C277" s="9" t="str">
        <x:v>AR-LF-B-A-TECH-3-B1-BRK-G0</x:v>
      </x:c>
      <x:c r="D277" s="9" t="str">
        <x:v>LF-B-A-TECH-3</x:v>
      </x:c>
      <x:c r="E277" s="9" t="str">
        <x:v>LF-B-A</x:v>
      </x:c>
      <x:c r="F277" s="9" t="str">
        <x:v>B1</x:v>
      </x:c>
      <x:c r="G277" s="9" t="str">
        <x:v>BRK</x:v>
      </x:c>
      <x:c r="H277" s="9" t="str">
        <x:v>RW07</x:v>
      </x:c>
      <x:c r="I277" s="17" t="str">
        <x:v>Candidate interface telemetry</x:v>
      </x:c>
      <x:c r="J277" s="17" t="str">
        <x:v>Interface custodian</x:v>
      </x:c>
      <x:c r="K277" s="17" t="str">
        <x:v>Public custody A</x:v>
      </x:c>
      <x:c r="L277" s="9" t="n">
        <x:v>0</x:v>
      </x:c>
      <x:c r="M277" s="9" t="n">
        <x:v>0</x:v>
      </x:c>
      <x:c r="N277" s="9" t="n">
        <x:v>0</x:v>
      </x:c>
      <x:c r="O277" s="9" t="n">
        <x:v>0</x:v>
      </x:c>
      <x:c r="P277" s="9" t="str">
        <x:v>UNSEALED / SOURCE-EMPTY</x:v>
      </x:c>
      <x:c r="Q277" s="9" t="n">
        <x:f>COUNTIFS($A$7:$A$1158,A277)</x:f>
        <x:v>1</x:v>
      </x:c>
    </x:row>
    <x:row r="278">
      <x:c r="A278" s="9" t="str">
        <x:v>EV-AR-LF-B-A-TECH-3-B1-BRK-G0-RW08</x:v>
      </x:c>
      <x:c r="B278" s="9" t="str">
        <x:v>EV-AR-LF-B-A-TECH-3-B1-BRK-G0</x:v>
      </x:c>
      <x:c r="C278" s="9" t="str">
        <x:v>AR-LF-B-A-TECH-3-B1-BRK-G0</x:v>
      </x:c>
      <x:c r="D278" s="9" t="str">
        <x:v>LF-B-A-TECH-3</x:v>
      </x:c>
      <x:c r="E278" s="9" t="str">
        <x:v>LF-B-A</x:v>
      </x:c>
      <x:c r="F278" s="9" t="str">
        <x:v>B1</x:v>
      </x:c>
      <x:c r="G278" s="9" t="str">
        <x:v>BRK</x:v>
      </x:c>
      <x:c r="H278" s="9" t="str">
        <x:v>RW08</x:v>
      </x:c>
      <x:c r="I278" s="17" t="str">
        <x:v>Residual and physical evidence</x:v>
      </x:c>
      <x:c r="J278" s="17" t="str">
        <x:v>Residual authority</x:v>
      </x:c>
      <x:c r="K278" s="17" t="str">
        <x:v>Public custody B</x:v>
      </x:c>
      <x:c r="L278" s="9" t="n">
        <x:v>0</x:v>
      </x:c>
      <x:c r="M278" s="9" t="n">
        <x:v>0</x:v>
      </x:c>
      <x:c r="N278" s="9" t="n">
        <x:v>0</x:v>
      </x:c>
      <x:c r="O278" s="9" t="n">
        <x:v>0</x:v>
      </x:c>
      <x:c r="P278" s="9" t="str">
        <x:v>UNSEALED / SOURCE-EMPTY</x:v>
      </x:c>
      <x:c r="Q278" s="9" t="n">
        <x:f>COUNTIFS($A$7:$A$1158,A278)</x:f>
        <x:v>1</x:v>
      </x:c>
    </x:row>
    <x:row r="279">
      <x:c r="A279" s="9" t="str">
        <x:v>EV-AR-LF-B-A-TECH-2-B2-BRK-G0-RW01</x:v>
      </x:c>
      <x:c r="B279" s="9" t="str">
        <x:v>EV-AR-LF-B-A-TECH-2-B2-BRK-G0</x:v>
      </x:c>
      <x:c r="C279" s="9" t="str">
        <x:v>AR-LF-B-A-TECH-2-B2-BRK-G0</x:v>
      </x:c>
      <x:c r="D279" s="9" t="str">
        <x:v>LF-B-A-TECH-2</x:v>
      </x:c>
      <x:c r="E279" s="9" t="str">
        <x:v>LF-B-A</x:v>
      </x:c>
      <x:c r="F279" s="9" t="str">
        <x:v>B2</x:v>
      </x:c>
      <x:c r="G279" s="9" t="str">
        <x:v>BRK</x:v>
      </x:c>
      <x:c r="H279" s="9" t="str">
        <x:v>RW01</x:v>
      </x:c>
      <x:c r="I279" s="17" t="str">
        <x:v>Primary raw stream</x:v>
      </x:c>
      <x:c r="J279" s="17" t="str">
        <x:v>Primary metrology</x:v>
      </x:c>
      <x:c r="K279" s="17" t="str">
        <x:v>Public custody A</x:v>
      </x:c>
      <x:c r="L279" s="9" t="n">
        <x:v>0</x:v>
      </x:c>
      <x:c r="M279" s="9" t="n">
        <x:v>0</x:v>
      </x:c>
      <x:c r="N279" s="9" t="n">
        <x:v>0</x:v>
      </x:c>
      <x:c r="O279" s="9" t="n">
        <x:v>0</x:v>
      </x:c>
      <x:c r="P279" s="9" t="str">
        <x:v>UNSEALED / SOURCE-EMPTY</x:v>
      </x:c>
      <x:c r="Q279" s="9" t="n">
        <x:f>COUNTIFS($A$7:$A$1158,A279)</x:f>
        <x:v>1</x:v>
      </x:c>
    </x:row>
    <x:row r="280">
      <x:c r="A280" s="9" t="str">
        <x:v>EV-AR-LF-B-A-TECH-2-B2-BRK-G0-RW02</x:v>
      </x:c>
      <x:c r="B280" s="9" t="str">
        <x:v>EV-AR-LF-B-A-TECH-2-B2-BRK-G0</x:v>
      </x:c>
      <x:c r="C280" s="9" t="str">
        <x:v>AR-LF-B-A-TECH-2-B2-BRK-G0</x:v>
      </x:c>
      <x:c r="D280" s="9" t="str">
        <x:v>LF-B-A-TECH-2</x:v>
      </x:c>
      <x:c r="E280" s="9" t="str">
        <x:v>LF-B-A</x:v>
      </x:c>
      <x:c r="F280" s="9" t="str">
        <x:v>B2</x:v>
      </x:c>
      <x:c r="G280" s="9" t="str">
        <x:v>BRK</x:v>
      </x:c>
      <x:c r="H280" s="9" t="str">
        <x:v>RW02</x:v>
      </x:c>
      <x:c r="I280" s="17" t="str">
        <x:v>Unlike witness stream</x:v>
      </x:c>
      <x:c r="J280" s="17" t="str">
        <x:v>Witness metrology</x:v>
      </x:c>
      <x:c r="K280" s="17" t="str">
        <x:v>Public custody B</x:v>
      </x:c>
      <x:c r="L280" s="9" t="n">
        <x:v>0</x:v>
      </x:c>
      <x:c r="M280" s="9" t="n">
        <x:v>0</x:v>
      </x:c>
      <x:c r="N280" s="9" t="n">
        <x:v>0</x:v>
      </x:c>
      <x:c r="O280" s="9" t="n">
        <x:v>0</x:v>
      </x:c>
      <x:c r="P280" s="9" t="str">
        <x:v>UNSEALED / SOURCE-EMPTY</x:v>
      </x:c>
      <x:c r="Q280" s="9" t="n">
        <x:f>COUNTIFS($A$7:$A$1158,A280)</x:f>
        <x:v>1</x:v>
      </x:c>
    </x:row>
    <x:row r="281">
      <x:c r="A281" s="9" t="str">
        <x:v>EV-AR-LF-B-A-TECH-2-B2-BRK-G0-RW03</x:v>
      </x:c>
      <x:c r="B281" s="9" t="str">
        <x:v>EV-AR-LF-B-A-TECH-2-B2-BRK-G0</x:v>
      </x:c>
      <x:c r="C281" s="9" t="str">
        <x:v>AR-LF-B-A-TECH-2-B2-BRK-G0</x:v>
      </x:c>
      <x:c r="D281" s="9" t="str">
        <x:v>LF-B-A-TECH-2</x:v>
      </x:c>
      <x:c r="E281" s="9" t="str">
        <x:v>LF-B-A</x:v>
      </x:c>
      <x:c r="F281" s="9" t="str">
        <x:v>B2</x:v>
      </x:c>
      <x:c r="G281" s="9" t="str">
        <x:v>BRK</x:v>
      </x:c>
      <x:c r="H281" s="9" t="str">
        <x:v>RW03</x:v>
      </x:c>
      <x:c r="I281" s="17" t="str">
        <x:v>Event clock and start traces</x:v>
      </x:c>
      <x:c r="J281" s="17" t="str">
        <x:v>Event clock authority</x:v>
      </x:c>
      <x:c r="K281" s="17" t="str">
        <x:v>Public custody C</x:v>
      </x:c>
      <x:c r="L281" s="9" t="n">
        <x:v>0</x:v>
      </x:c>
      <x:c r="M281" s="9" t="n">
        <x:v>0</x:v>
      </x:c>
      <x:c r="N281" s="9" t="n">
        <x:v>0</x:v>
      </x:c>
      <x:c r="O281" s="9" t="n">
        <x:v>0</x:v>
      </x:c>
      <x:c r="P281" s="9" t="str">
        <x:v>UNSEALED / SOURCE-EMPTY</x:v>
      </x:c>
      <x:c r="Q281" s="9" t="n">
        <x:f>COUNTIFS($A$7:$A$1158,A281)</x:f>
        <x:v>1</x:v>
      </x:c>
    </x:row>
    <x:row r="282">
      <x:c r="A282" s="9" t="str">
        <x:v>EV-AR-LF-B-A-TECH-2-B2-BRK-G0-RW04</x:v>
      </x:c>
      <x:c r="B282" s="9" t="str">
        <x:v>EV-AR-LF-B-A-TECH-2-B2-BRK-G0</x:v>
      </x:c>
      <x:c r="C282" s="9" t="str">
        <x:v>AR-LF-B-A-TECH-2-B2-BRK-G0</x:v>
      </x:c>
      <x:c r="D282" s="9" t="str">
        <x:v>LF-B-A-TECH-2</x:v>
      </x:c>
      <x:c r="E282" s="9" t="str">
        <x:v>LF-B-A</x:v>
      </x:c>
      <x:c r="F282" s="9" t="str">
        <x:v>B2</x:v>
      </x:c>
      <x:c r="G282" s="9" t="str">
        <x:v>BRK</x:v>
      </x:c>
      <x:c r="H282" s="9" t="str">
        <x:v>RW04</x:v>
      </x:c>
      <x:c r="I282" s="17" t="str">
        <x:v>Environmental boundary stream</x:v>
      </x:c>
      <x:c r="J282" s="17" t="str">
        <x:v>Site metrology</x:v>
      </x:c>
      <x:c r="K282" s="17" t="str">
        <x:v>Public custody D</x:v>
      </x:c>
      <x:c r="L282" s="9" t="n">
        <x:v>0</x:v>
      </x:c>
      <x:c r="M282" s="9" t="n">
        <x:v>0</x:v>
      </x:c>
      <x:c r="N282" s="9" t="n">
        <x:v>0</x:v>
      </x:c>
      <x:c r="O282" s="9" t="n">
        <x:v>0</x:v>
      </x:c>
      <x:c r="P282" s="9" t="str">
        <x:v>UNSEALED / SOURCE-EMPTY</x:v>
      </x:c>
      <x:c r="Q282" s="9" t="n">
        <x:f>COUNTIFS($A$7:$A$1158,A282)</x:f>
        <x:v>1</x:v>
      </x:c>
    </x:row>
    <x:row r="283">
      <x:c r="A283" s="9" t="str">
        <x:v>EV-AR-LF-B-A-TECH-2-B2-BRK-G0-RW05</x:v>
      </x:c>
      <x:c r="B283" s="9" t="str">
        <x:v>EV-AR-LF-B-A-TECH-2-B2-BRK-G0</x:v>
      </x:c>
      <x:c r="C283" s="9" t="str">
        <x:v>AR-LF-B-A-TECH-2-B2-BRK-G0</x:v>
      </x:c>
      <x:c r="D283" s="9" t="str">
        <x:v>LF-B-A-TECH-2</x:v>
      </x:c>
      <x:c r="E283" s="9" t="str">
        <x:v>LF-B-A</x:v>
      </x:c>
      <x:c r="F283" s="9" t="str">
        <x:v>B2</x:v>
      </x:c>
      <x:c r="G283" s="9" t="str">
        <x:v>BRK</x:v>
      </x:c>
      <x:c r="H283" s="9" t="str">
        <x:v>RW05</x:v>
      </x:c>
      <x:c r="I283" s="17" t="str">
        <x:v>Command and intervention log</x:v>
      </x:c>
      <x:c r="J283" s="17" t="str">
        <x:v>Safety authority</x:v>
      </x:c>
      <x:c r="K283" s="17" t="str">
        <x:v>Public custody E</x:v>
      </x:c>
      <x:c r="L283" s="9" t="n">
        <x:v>0</x:v>
      </x:c>
      <x:c r="M283" s="9" t="n">
        <x:v>0</x:v>
      </x:c>
      <x:c r="N283" s="9" t="n">
        <x:v>0</x:v>
      </x:c>
      <x:c r="O283" s="9" t="n">
        <x:v>0</x:v>
      </x:c>
      <x:c r="P283" s="9" t="str">
        <x:v>UNSEALED / SOURCE-EMPTY</x:v>
      </x:c>
      <x:c r="Q283" s="9" t="n">
        <x:f>COUNTIFS($A$7:$A$1158,A283)</x:f>
        <x:v>1</x:v>
      </x:c>
    </x:row>
    <x:row r="284">
      <x:c r="A284" s="9" t="str">
        <x:v>EV-AR-LF-B-A-TECH-2-B2-BRK-G0-RW06</x:v>
      </x:c>
      <x:c r="B284" s="9" t="str">
        <x:v>EV-AR-LF-B-A-TECH-2-B2-BRK-G0</x:v>
      </x:c>
      <x:c r="C284" s="9" t="str">
        <x:v>AR-LF-B-A-TECH-2-B2-BRK-G0</x:v>
      </x:c>
      <x:c r="D284" s="9" t="str">
        <x:v>LF-B-A-TECH-2</x:v>
      </x:c>
      <x:c r="E284" s="9" t="str">
        <x:v>LF-B-A</x:v>
      </x:c>
      <x:c r="F284" s="9" t="str">
        <x:v>B2</x:v>
      </x:c>
      <x:c r="G284" s="9" t="str">
        <x:v>BRK</x:v>
      </x:c>
      <x:c r="H284" s="9" t="str">
        <x:v>RW06</x:v>
      </x:c>
      <x:c r="I284" s="17" t="str">
        <x:v>Receiver service ledger</x:v>
      </x:c>
      <x:c r="J284" s="17" t="str">
        <x:v>Receiver authority</x:v>
      </x:c>
      <x:c r="K284" s="17" t="str">
        <x:v>Public custody F</x:v>
      </x:c>
      <x:c r="L284" s="9" t="n">
        <x:v>0</x:v>
      </x:c>
      <x:c r="M284" s="9" t="n">
        <x:v>0</x:v>
      </x:c>
      <x:c r="N284" s="9" t="n">
        <x:v>0</x:v>
      </x:c>
      <x:c r="O284" s="9" t="n">
        <x:v>0</x:v>
      </x:c>
      <x:c r="P284" s="9" t="str">
        <x:v>UNSEALED / SOURCE-EMPTY</x:v>
      </x:c>
      <x:c r="Q284" s="9" t="n">
        <x:f>COUNTIFS($A$7:$A$1158,A284)</x:f>
        <x:v>1</x:v>
      </x:c>
    </x:row>
    <x:row r="285">
      <x:c r="A285" s="9" t="str">
        <x:v>EV-AR-LF-B-A-TECH-2-B2-BRK-G0-RW07</x:v>
      </x:c>
      <x:c r="B285" s="9" t="str">
        <x:v>EV-AR-LF-B-A-TECH-2-B2-BRK-G0</x:v>
      </x:c>
      <x:c r="C285" s="9" t="str">
        <x:v>AR-LF-B-A-TECH-2-B2-BRK-G0</x:v>
      </x:c>
      <x:c r="D285" s="9" t="str">
        <x:v>LF-B-A-TECH-2</x:v>
      </x:c>
      <x:c r="E285" s="9" t="str">
        <x:v>LF-B-A</x:v>
      </x:c>
      <x:c r="F285" s="9" t="str">
        <x:v>B2</x:v>
      </x:c>
      <x:c r="G285" s="9" t="str">
        <x:v>BRK</x:v>
      </x:c>
      <x:c r="H285" s="9" t="str">
        <x:v>RW07</x:v>
      </x:c>
      <x:c r="I285" s="17" t="str">
        <x:v>Candidate interface telemetry</x:v>
      </x:c>
      <x:c r="J285" s="17" t="str">
        <x:v>Interface custodian</x:v>
      </x:c>
      <x:c r="K285" s="17" t="str">
        <x:v>Public custody A</x:v>
      </x:c>
      <x:c r="L285" s="9" t="n">
        <x:v>0</x:v>
      </x:c>
      <x:c r="M285" s="9" t="n">
        <x:v>0</x:v>
      </x:c>
      <x:c r="N285" s="9" t="n">
        <x:v>0</x:v>
      </x:c>
      <x:c r="O285" s="9" t="n">
        <x:v>0</x:v>
      </x:c>
      <x:c r="P285" s="9" t="str">
        <x:v>UNSEALED / SOURCE-EMPTY</x:v>
      </x:c>
      <x:c r="Q285" s="9" t="n">
        <x:f>COUNTIFS($A$7:$A$1158,A285)</x:f>
        <x:v>1</x:v>
      </x:c>
    </x:row>
    <x:row r="286">
      <x:c r="A286" s="9" t="str">
        <x:v>EV-AR-LF-B-A-TECH-2-B2-BRK-G0-RW08</x:v>
      </x:c>
      <x:c r="B286" s="9" t="str">
        <x:v>EV-AR-LF-B-A-TECH-2-B2-BRK-G0</x:v>
      </x:c>
      <x:c r="C286" s="9" t="str">
        <x:v>AR-LF-B-A-TECH-2-B2-BRK-G0</x:v>
      </x:c>
      <x:c r="D286" s="9" t="str">
        <x:v>LF-B-A-TECH-2</x:v>
      </x:c>
      <x:c r="E286" s="9" t="str">
        <x:v>LF-B-A</x:v>
      </x:c>
      <x:c r="F286" s="9" t="str">
        <x:v>B2</x:v>
      </x:c>
      <x:c r="G286" s="9" t="str">
        <x:v>BRK</x:v>
      </x:c>
      <x:c r="H286" s="9" t="str">
        <x:v>RW08</x:v>
      </x:c>
      <x:c r="I286" s="17" t="str">
        <x:v>Residual and physical evidence</x:v>
      </x:c>
      <x:c r="J286" s="17" t="str">
        <x:v>Residual authority</x:v>
      </x:c>
      <x:c r="K286" s="17" t="str">
        <x:v>Public custody B</x:v>
      </x:c>
      <x:c r="L286" s="9" t="n">
        <x:v>0</x:v>
      </x:c>
      <x:c r="M286" s="9" t="n">
        <x:v>0</x:v>
      </x:c>
      <x:c r="N286" s="9" t="n">
        <x:v>0</x:v>
      </x:c>
      <x:c r="O286" s="9" t="n">
        <x:v>0</x:v>
      </x:c>
      <x:c r="P286" s="9" t="str">
        <x:v>UNSEALED / SOURCE-EMPTY</x:v>
      </x:c>
      <x:c r="Q286" s="9" t="n">
        <x:f>COUNTIFS($A$7:$A$1158,A286)</x:f>
        <x:v>1</x:v>
      </x:c>
    </x:row>
    <x:row r="287">
      <x:c r="A287" s="9" t="str">
        <x:v>EV-AR-RT-B-C-TECH-1-B1-BRK-G0-RW01</x:v>
      </x:c>
      <x:c r="B287" s="9" t="str">
        <x:v>EV-AR-RT-B-C-TECH-1-B1-BRK-G0</x:v>
      </x:c>
      <x:c r="C287" s="9" t="str">
        <x:v>AR-RT-B-C-TECH-1-B1-BRK-G0</x:v>
      </x:c>
      <x:c r="D287" s="9" t="str">
        <x:v>RT-B-C-TECH-1</x:v>
      </x:c>
      <x:c r="E287" s="9" t="str">
        <x:v>RT-B-C</x:v>
      </x:c>
      <x:c r="F287" s="9" t="str">
        <x:v>B1</x:v>
      </x:c>
      <x:c r="G287" s="9" t="str">
        <x:v>BRK</x:v>
      </x:c>
      <x:c r="H287" s="9" t="str">
        <x:v>RW01</x:v>
      </x:c>
      <x:c r="I287" s="17" t="str">
        <x:v>Primary raw stream</x:v>
      </x:c>
      <x:c r="J287" s="17" t="str">
        <x:v>Primary metrology</x:v>
      </x:c>
      <x:c r="K287" s="17" t="str">
        <x:v>Public custody A</x:v>
      </x:c>
      <x:c r="L287" s="9" t="n">
        <x:v>0</x:v>
      </x:c>
      <x:c r="M287" s="9" t="n">
        <x:v>0</x:v>
      </x:c>
      <x:c r="N287" s="9" t="n">
        <x:v>0</x:v>
      </x:c>
      <x:c r="O287" s="9" t="n">
        <x:v>0</x:v>
      </x:c>
      <x:c r="P287" s="9" t="str">
        <x:v>UNSEALED / SOURCE-EMPTY</x:v>
      </x:c>
      <x:c r="Q287" s="9" t="n">
        <x:f>COUNTIFS($A$7:$A$1158,A287)</x:f>
        <x:v>1</x:v>
      </x:c>
    </x:row>
    <x:row r="288">
      <x:c r="A288" s="9" t="str">
        <x:v>EV-AR-RT-B-C-TECH-1-B1-BRK-G0-RW02</x:v>
      </x:c>
      <x:c r="B288" s="9" t="str">
        <x:v>EV-AR-RT-B-C-TECH-1-B1-BRK-G0</x:v>
      </x:c>
      <x:c r="C288" s="9" t="str">
        <x:v>AR-RT-B-C-TECH-1-B1-BRK-G0</x:v>
      </x:c>
      <x:c r="D288" s="9" t="str">
        <x:v>RT-B-C-TECH-1</x:v>
      </x:c>
      <x:c r="E288" s="9" t="str">
        <x:v>RT-B-C</x:v>
      </x:c>
      <x:c r="F288" s="9" t="str">
        <x:v>B1</x:v>
      </x:c>
      <x:c r="G288" s="9" t="str">
        <x:v>BRK</x:v>
      </x:c>
      <x:c r="H288" s="9" t="str">
        <x:v>RW02</x:v>
      </x:c>
      <x:c r="I288" s="17" t="str">
        <x:v>Unlike witness stream</x:v>
      </x:c>
      <x:c r="J288" s="17" t="str">
        <x:v>Witness metrology</x:v>
      </x:c>
      <x:c r="K288" s="17" t="str">
        <x:v>Public custody B</x:v>
      </x:c>
      <x:c r="L288" s="9" t="n">
        <x:v>0</x:v>
      </x:c>
      <x:c r="M288" s="9" t="n">
        <x:v>0</x:v>
      </x:c>
      <x:c r="N288" s="9" t="n">
        <x:v>0</x:v>
      </x:c>
      <x:c r="O288" s="9" t="n">
        <x:v>0</x:v>
      </x:c>
      <x:c r="P288" s="9" t="str">
        <x:v>UNSEALED / SOURCE-EMPTY</x:v>
      </x:c>
      <x:c r="Q288" s="9" t="n">
        <x:f>COUNTIFS($A$7:$A$1158,A288)</x:f>
        <x:v>1</x:v>
      </x:c>
    </x:row>
    <x:row r="289">
      <x:c r="A289" s="9" t="str">
        <x:v>EV-AR-RT-B-C-TECH-1-B1-BRK-G0-RW03</x:v>
      </x:c>
      <x:c r="B289" s="9" t="str">
        <x:v>EV-AR-RT-B-C-TECH-1-B1-BRK-G0</x:v>
      </x:c>
      <x:c r="C289" s="9" t="str">
        <x:v>AR-RT-B-C-TECH-1-B1-BRK-G0</x:v>
      </x:c>
      <x:c r="D289" s="9" t="str">
        <x:v>RT-B-C-TECH-1</x:v>
      </x:c>
      <x:c r="E289" s="9" t="str">
        <x:v>RT-B-C</x:v>
      </x:c>
      <x:c r="F289" s="9" t="str">
        <x:v>B1</x:v>
      </x:c>
      <x:c r="G289" s="9" t="str">
        <x:v>BRK</x:v>
      </x:c>
      <x:c r="H289" s="9" t="str">
        <x:v>RW03</x:v>
      </x:c>
      <x:c r="I289" s="17" t="str">
        <x:v>Event clock and start traces</x:v>
      </x:c>
      <x:c r="J289" s="17" t="str">
        <x:v>Event clock authority</x:v>
      </x:c>
      <x:c r="K289" s="17" t="str">
        <x:v>Public custody C</x:v>
      </x:c>
      <x:c r="L289" s="9" t="n">
        <x:v>0</x:v>
      </x:c>
      <x:c r="M289" s="9" t="n">
        <x:v>0</x:v>
      </x:c>
      <x:c r="N289" s="9" t="n">
        <x:v>0</x:v>
      </x:c>
      <x:c r="O289" s="9" t="n">
        <x:v>0</x:v>
      </x:c>
      <x:c r="P289" s="9" t="str">
        <x:v>UNSEALED / SOURCE-EMPTY</x:v>
      </x:c>
      <x:c r="Q289" s="9" t="n">
        <x:f>COUNTIFS($A$7:$A$1158,A289)</x:f>
        <x:v>1</x:v>
      </x:c>
    </x:row>
    <x:row r="290">
      <x:c r="A290" s="9" t="str">
        <x:v>EV-AR-RT-B-C-TECH-1-B1-BRK-G0-RW04</x:v>
      </x:c>
      <x:c r="B290" s="9" t="str">
        <x:v>EV-AR-RT-B-C-TECH-1-B1-BRK-G0</x:v>
      </x:c>
      <x:c r="C290" s="9" t="str">
        <x:v>AR-RT-B-C-TECH-1-B1-BRK-G0</x:v>
      </x:c>
      <x:c r="D290" s="9" t="str">
        <x:v>RT-B-C-TECH-1</x:v>
      </x:c>
      <x:c r="E290" s="9" t="str">
        <x:v>RT-B-C</x:v>
      </x:c>
      <x:c r="F290" s="9" t="str">
        <x:v>B1</x:v>
      </x:c>
      <x:c r="G290" s="9" t="str">
        <x:v>BRK</x:v>
      </x:c>
      <x:c r="H290" s="9" t="str">
        <x:v>RW04</x:v>
      </x:c>
      <x:c r="I290" s="17" t="str">
        <x:v>Environmental boundary stream</x:v>
      </x:c>
      <x:c r="J290" s="17" t="str">
        <x:v>Site metrology</x:v>
      </x:c>
      <x:c r="K290" s="17" t="str">
        <x:v>Public custody D</x:v>
      </x:c>
      <x:c r="L290" s="9" t="n">
        <x:v>0</x:v>
      </x:c>
      <x:c r="M290" s="9" t="n">
        <x:v>0</x:v>
      </x:c>
      <x:c r="N290" s="9" t="n">
        <x:v>0</x:v>
      </x:c>
      <x:c r="O290" s="9" t="n">
        <x:v>0</x:v>
      </x:c>
      <x:c r="P290" s="9" t="str">
        <x:v>UNSEALED / SOURCE-EMPTY</x:v>
      </x:c>
      <x:c r="Q290" s="9" t="n">
        <x:f>COUNTIFS($A$7:$A$1158,A290)</x:f>
        <x:v>1</x:v>
      </x:c>
    </x:row>
    <x:row r="291">
      <x:c r="A291" s="9" t="str">
        <x:v>EV-AR-RT-B-C-TECH-1-B1-BRK-G0-RW05</x:v>
      </x:c>
      <x:c r="B291" s="9" t="str">
        <x:v>EV-AR-RT-B-C-TECH-1-B1-BRK-G0</x:v>
      </x:c>
      <x:c r="C291" s="9" t="str">
        <x:v>AR-RT-B-C-TECH-1-B1-BRK-G0</x:v>
      </x:c>
      <x:c r="D291" s="9" t="str">
        <x:v>RT-B-C-TECH-1</x:v>
      </x:c>
      <x:c r="E291" s="9" t="str">
        <x:v>RT-B-C</x:v>
      </x:c>
      <x:c r="F291" s="9" t="str">
        <x:v>B1</x:v>
      </x:c>
      <x:c r="G291" s="9" t="str">
        <x:v>BRK</x:v>
      </x:c>
      <x:c r="H291" s="9" t="str">
        <x:v>RW05</x:v>
      </x:c>
      <x:c r="I291" s="17" t="str">
        <x:v>Command and intervention log</x:v>
      </x:c>
      <x:c r="J291" s="17" t="str">
        <x:v>Safety authority</x:v>
      </x:c>
      <x:c r="K291" s="17" t="str">
        <x:v>Public custody E</x:v>
      </x:c>
      <x:c r="L291" s="9" t="n">
        <x:v>0</x:v>
      </x:c>
      <x:c r="M291" s="9" t="n">
        <x:v>0</x:v>
      </x:c>
      <x:c r="N291" s="9" t="n">
        <x:v>0</x:v>
      </x:c>
      <x:c r="O291" s="9" t="n">
        <x:v>0</x:v>
      </x:c>
      <x:c r="P291" s="9" t="str">
        <x:v>UNSEALED / SOURCE-EMPTY</x:v>
      </x:c>
      <x:c r="Q291" s="9" t="n">
        <x:f>COUNTIFS($A$7:$A$1158,A291)</x:f>
        <x:v>1</x:v>
      </x:c>
    </x:row>
    <x:row r="292">
      <x:c r="A292" s="9" t="str">
        <x:v>EV-AR-RT-B-C-TECH-1-B1-BRK-G0-RW06</x:v>
      </x:c>
      <x:c r="B292" s="9" t="str">
        <x:v>EV-AR-RT-B-C-TECH-1-B1-BRK-G0</x:v>
      </x:c>
      <x:c r="C292" s="9" t="str">
        <x:v>AR-RT-B-C-TECH-1-B1-BRK-G0</x:v>
      </x:c>
      <x:c r="D292" s="9" t="str">
        <x:v>RT-B-C-TECH-1</x:v>
      </x:c>
      <x:c r="E292" s="9" t="str">
        <x:v>RT-B-C</x:v>
      </x:c>
      <x:c r="F292" s="9" t="str">
        <x:v>B1</x:v>
      </x:c>
      <x:c r="G292" s="9" t="str">
        <x:v>BRK</x:v>
      </x:c>
      <x:c r="H292" s="9" t="str">
        <x:v>RW06</x:v>
      </x:c>
      <x:c r="I292" s="17" t="str">
        <x:v>Receiver service ledger</x:v>
      </x:c>
      <x:c r="J292" s="17" t="str">
        <x:v>Receiver authority</x:v>
      </x:c>
      <x:c r="K292" s="17" t="str">
        <x:v>Public custody F</x:v>
      </x:c>
      <x:c r="L292" s="9" t="n">
        <x:v>0</x:v>
      </x:c>
      <x:c r="M292" s="9" t="n">
        <x:v>0</x:v>
      </x:c>
      <x:c r="N292" s="9" t="n">
        <x:v>0</x:v>
      </x:c>
      <x:c r="O292" s="9" t="n">
        <x:v>0</x:v>
      </x:c>
      <x:c r="P292" s="9" t="str">
        <x:v>UNSEALED / SOURCE-EMPTY</x:v>
      </x:c>
      <x:c r="Q292" s="9" t="n">
        <x:f>COUNTIFS($A$7:$A$1158,A292)</x:f>
        <x:v>1</x:v>
      </x:c>
    </x:row>
    <x:row r="293">
      <x:c r="A293" s="9" t="str">
        <x:v>EV-AR-RT-B-C-TECH-1-B1-BRK-G0-RW07</x:v>
      </x:c>
      <x:c r="B293" s="9" t="str">
        <x:v>EV-AR-RT-B-C-TECH-1-B1-BRK-G0</x:v>
      </x:c>
      <x:c r="C293" s="9" t="str">
        <x:v>AR-RT-B-C-TECH-1-B1-BRK-G0</x:v>
      </x:c>
      <x:c r="D293" s="9" t="str">
        <x:v>RT-B-C-TECH-1</x:v>
      </x:c>
      <x:c r="E293" s="9" t="str">
        <x:v>RT-B-C</x:v>
      </x:c>
      <x:c r="F293" s="9" t="str">
        <x:v>B1</x:v>
      </x:c>
      <x:c r="G293" s="9" t="str">
        <x:v>BRK</x:v>
      </x:c>
      <x:c r="H293" s="9" t="str">
        <x:v>RW07</x:v>
      </x:c>
      <x:c r="I293" s="17" t="str">
        <x:v>Candidate interface telemetry</x:v>
      </x:c>
      <x:c r="J293" s="17" t="str">
        <x:v>Interface custodian</x:v>
      </x:c>
      <x:c r="K293" s="17" t="str">
        <x:v>Public custody A</x:v>
      </x:c>
      <x:c r="L293" s="9" t="n">
        <x:v>0</x:v>
      </x:c>
      <x:c r="M293" s="9" t="n">
        <x:v>0</x:v>
      </x:c>
      <x:c r="N293" s="9" t="n">
        <x:v>0</x:v>
      </x:c>
      <x:c r="O293" s="9" t="n">
        <x:v>0</x:v>
      </x:c>
      <x:c r="P293" s="9" t="str">
        <x:v>UNSEALED / SOURCE-EMPTY</x:v>
      </x:c>
      <x:c r="Q293" s="9" t="n">
        <x:f>COUNTIFS($A$7:$A$1158,A293)</x:f>
        <x:v>1</x:v>
      </x:c>
    </x:row>
    <x:row r="294">
      <x:c r="A294" s="9" t="str">
        <x:v>EV-AR-RT-B-C-TECH-1-B1-BRK-G0-RW08</x:v>
      </x:c>
      <x:c r="B294" s="9" t="str">
        <x:v>EV-AR-RT-B-C-TECH-1-B1-BRK-G0</x:v>
      </x:c>
      <x:c r="C294" s="9" t="str">
        <x:v>AR-RT-B-C-TECH-1-B1-BRK-G0</x:v>
      </x:c>
      <x:c r="D294" s="9" t="str">
        <x:v>RT-B-C-TECH-1</x:v>
      </x:c>
      <x:c r="E294" s="9" t="str">
        <x:v>RT-B-C</x:v>
      </x:c>
      <x:c r="F294" s="9" t="str">
        <x:v>B1</x:v>
      </x:c>
      <x:c r="G294" s="9" t="str">
        <x:v>BRK</x:v>
      </x:c>
      <x:c r="H294" s="9" t="str">
        <x:v>RW08</x:v>
      </x:c>
      <x:c r="I294" s="17" t="str">
        <x:v>Residual and physical evidence</x:v>
      </x:c>
      <x:c r="J294" s="17" t="str">
        <x:v>Residual authority</x:v>
      </x:c>
      <x:c r="K294" s="17" t="str">
        <x:v>Public custody B</x:v>
      </x:c>
      <x:c r="L294" s="9" t="n">
        <x:v>0</x:v>
      </x:c>
      <x:c r="M294" s="9" t="n">
        <x:v>0</x:v>
      </x:c>
      <x:c r="N294" s="9" t="n">
        <x:v>0</x:v>
      </x:c>
      <x:c r="O294" s="9" t="n">
        <x:v>0</x:v>
      </x:c>
      <x:c r="P294" s="9" t="str">
        <x:v>UNSEALED / SOURCE-EMPTY</x:v>
      </x:c>
      <x:c r="Q294" s="9" t="n">
        <x:f>COUNTIFS($A$7:$A$1158,A294)</x:f>
        <x:v>1</x:v>
      </x:c>
    </x:row>
    <x:row r="295">
      <x:c r="A295" s="9" t="str">
        <x:v>EV-AR-ET-A-A-TECH-4-B1-RCN-G0-RW01</x:v>
      </x:c>
      <x:c r="B295" s="9" t="str">
        <x:v>EV-AR-ET-A-A-TECH-4-B1-RCN-G0</x:v>
      </x:c>
      <x:c r="C295" s="9" t="str">
        <x:v>AR-ET-A-A-TECH-4-B1-RCN-G0</x:v>
      </x:c>
      <x:c r="D295" s="9" t="str">
        <x:v>ET-A-A-TECH-4</x:v>
      </x:c>
      <x:c r="E295" s="9" t="str">
        <x:v>ET-A-A</x:v>
      </x:c>
      <x:c r="F295" s="9" t="str">
        <x:v>B1</x:v>
      </x:c>
      <x:c r="G295" s="9" t="str">
        <x:v>RCN</x:v>
      </x:c>
      <x:c r="H295" s="9" t="str">
        <x:v>RW01</x:v>
      </x:c>
      <x:c r="I295" s="17" t="str">
        <x:v>Primary raw stream</x:v>
      </x:c>
      <x:c r="J295" s="17" t="str">
        <x:v>Primary metrology</x:v>
      </x:c>
      <x:c r="K295" s="17" t="str">
        <x:v>Public custody A</x:v>
      </x:c>
      <x:c r="L295" s="9" t="n">
        <x:v>0</x:v>
      </x:c>
      <x:c r="M295" s="9" t="n">
        <x:v>0</x:v>
      </x:c>
      <x:c r="N295" s="9" t="n">
        <x:v>0</x:v>
      </x:c>
      <x:c r="O295" s="9" t="n">
        <x:v>0</x:v>
      </x:c>
      <x:c r="P295" s="9" t="str">
        <x:v>UNSEALED / SOURCE-EMPTY</x:v>
      </x:c>
      <x:c r="Q295" s="9" t="n">
        <x:f>COUNTIFS($A$7:$A$1158,A295)</x:f>
        <x:v>1</x:v>
      </x:c>
    </x:row>
    <x:row r="296">
      <x:c r="A296" s="9" t="str">
        <x:v>EV-AR-ET-A-A-TECH-4-B1-RCN-G0-RW02</x:v>
      </x:c>
      <x:c r="B296" s="9" t="str">
        <x:v>EV-AR-ET-A-A-TECH-4-B1-RCN-G0</x:v>
      </x:c>
      <x:c r="C296" s="9" t="str">
        <x:v>AR-ET-A-A-TECH-4-B1-RCN-G0</x:v>
      </x:c>
      <x:c r="D296" s="9" t="str">
        <x:v>ET-A-A-TECH-4</x:v>
      </x:c>
      <x:c r="E296" s="9" t="str">
        <x:v>ET-A-A</x:v>
      </x:c>
      <x:c r="F296" s="9" t="str">
        <x:v>B1</x:v>
      </x:c>
      <x:c r="G296" s="9" t="str">
        <x:v>RCN</x:v>
      </x:c>
      <x:c r="H296" s="9" t="str">
        <x:v>RW02</x:v>
      </x:c>
      <x:c r="I296" s="17" t="str">
        <x:v>Unlike witness stream</x:v>
      </x:c>
      <x:c r="J296" s="17" t="str">
        <x:v>Witness metrology</x:v>
      </x:c>
      <x:c r="K296" s="17" t="str">
        <x:v>Public custody B</x:v>
      </x:c>
      <x:c r="L296" s="9" t="n">
        <x:v>0</x:v>
      </x:c>
      <x:c r="M296" s="9" t="n">
        <x:v>0</x:v>
      </x:c>
      <x:c r="N296" s="9" t="n">
        <x:v>0</x:v>
      </x:c>
      <x:c r="O296" s="9" t="n">
        <x:v>0</x:v>
      </x:c>
      <x:c r="P296" s="9" t="str">
        <x:v>UNSEALED / SOURCE-EMPTY</x:v>
      </x:c>
      <x:c r="Q296" s="9" t="n">
        <x:f>COUNTIFS($A$7:$A$1158,A296)</x:f>
        <x:v>1</x:v>
      </x:c>
    </x:row>
    <x:row r="297">
      <x:c r="A297" s="9" t="str">
        <x:v>EV-AR-ET-A-A-TECH-4-B1-RCN-G0-RW03</x:v>
      </x:c>
      <x:c r="B297" s="9" t="str">
        <x:v>EV-AR-ET-A-A-TECH-4-B1-RCN-G0</x:v>
      </x:c>
      <x:c r="C297" s="9" t="str">
        <x:v>AR-ET-A-A-TECH-4-B1-RCN-G0</x:v>
      </x:c>
      <x:c r="D297" s="9" t="str">
        <x:v>ET-A-A-TECH-4</x:v>
      </x:c>
      <x:c r="E297" s="9" t="str">
        <x:v>ET-A-A</x:v>
      </x:c>
      <x:c r="F297" s="9" t="str">
        <x:v>B1</x:v>
      </x:c>
      <x:c r="G297" s="9" t="str">
        <x:v>RCN</x:v>
      </x:c>
      <x:c r="H297" s="9" t="str">
        <x:v>RW03</x:v>
      </x:c>
      <x:c r="I297" s="17" t="str">
        <x:v>Event clock and start traces</x:v>
      </x:c>
      <x:c r="J297" s="17" t="str">
        <x:v>Event clock authority</x:v>
      </x:c>
      <x:c r="K297" s="17" t="str">
        <x:v>Public custody C</x:v>
      </x:c>
      <x:c r="L297" s="9" t="n">
        <x:v>0</x:v>
      </x:c>
      <x:c r="M297" s="9" t="n">
        <x:v>0</x:v>
      </x:c>
      <x:c r="N297" s="9" t="n">
        <x:v>0</x:v>
      </x:c>
      <x:c r="O297" s="9" t="n">
        <x:v>0</x:v>
      </x:c>
      <x:c r="P297" s="9" t="str">
        <x:v>UNSEALED / SOURCE-EMPTY</x:v>
      </x:c>
      <x:c r="Q297" s="9" t="n">
        <x:f>COUNTIFS($A$7:$A$1158,A297)</x:f>
        <x:v>1</x:v>
      </x:c>
    </x:row>
    <x:row r="298">
      <x:c r="A298" s="9" t="str">
        <x:v>EV-AR-ET-A-A-TECH-4-B1-RCN-G0-RW04</x:v>
      </x:c>
      <x:c r="B298" s="9" t="str">
        <x:v>EV-AR-ET-A-A-TECH-4-B1-RCN-G0</x:v>
      </x:c>
      <x:c r="C298" s="9" t="str">
        <x:v>AR-ET-A-A-TECH-4-B1-RCN-G0</x:v>
      </x:c>
      <x:c r="D298" s="9" t="str">
        <x:v>ET-A-A-TECH-4</x:v>
      </x:c>
      <x:c r="E298" s="9" t="str">
        <x:v>ET-A-A</x:v>
      </x:c>
      <x:c r="F298" s="9" t="str">
        <x:v>B1</x:v>
      </x:c>
      <x:c r="G298" s="9" t="str">
        <x:v>RCN</x:v>
      </x:c>
      <x:c r="H298" s="9" t="str">
        <x:v>RW04</x:v>
      </x:c>
      <x:c r="I298" s="17" t="str">
        <x:v>Environmental boundary stream</x:v>
      </x:c>
      <x:c r="J298" s="17" t="str">
        <x:v>Site metrology</x:v>
      </x:c>
      <x:c r="K298" s="17" t="str">
        <x:v>Public custody D</x:v>
      </x:c>
      <x:c r="L298" s="9" t="n">
        <x:v>0</x:v>
      </x:c>
      <x:c r="M298" s="9" t="n">
        <x:v>0</x:v>
      </x:c>
      <x:c r="N298" s="9" t="n">
        <x:v>0</x:v>
      </x:c>
      <x:c r="O298" s="9" t="n">
        <x:v>0</x:v>
      </x:c>
      <x:c r="P298" s="9" t="str">
        <x:v>UNSEALED / SOURCE-EMPTY</x:v>
      </x:c>
      <x:c r="Q298" s="9" t="n">
        <x:f>COUNTIFS($A$7:$A$1158,A298)</x:f>
        <x:v>1</x:v>
      </x:c>
    </x:row>
    <x:row r="299">
      <x:c r="A299" s="9" t="str">
        <x:v>EV-AR-ET-A-A-TECH-4-B1-RCN-G0-RW05</x:v>
      </x:c>
      <x:c r="B299" s="9" t="str">
        <x:v>EV-AR-ET-A-A-TECH-4-B1-RCN-G0</x:v>
      </x:c>
      <x:c r="C299" s="9" t="str">
        <x:v>AR-ET-A-A-TECH-4-B1-RCN-G0</x:v>
      </x:c>
      <x:c r="D299" s="9" t="str">
        <x:v>ET-A-A-TECH-4</x:v>
      </x:c>
      <x:c r="E299" s="9" t="str">
        <x:v>ET-A-A</x:v>
      </x:c>
      <x:c r="F299" s="9" t="str">
        <x:v>B1</x:v>
      </x:c>
      <x:c r="G299" s="9" t="str">
        <x:v>RCN</x:v>
      </x:c>
      <x:c r="H299" s="9" t="str">
        <x:v>RW05</x:v>
      </x:c>
      <x:c r="I299" s="17" t="str">
        <x:v>Command and intervention log</x:v>
      </x:c>
      <x:c r="J299" s="17" t="str">
        <x:v>Safety authority</x:v>
      </x:c>
      <x:c r="K299" s="17" t="str">
        <x:v>Public custody E</x:v>
      </x:c>
      <x:c r="L299" s="9" t="n">
        <x:v>0</x:v>
      </x:c>
      <x:c r="M299" s="9" t="n">
        <x:v>0</x:v>
      </x:c>
      <x:c r="N299" s="9" t="n">
        <x:v>0</x:v>
      </x:c>
      <x:c r="O299" s="9" t="n">
        <x:v>0</x:v>
      </x:c>
      <x:c r="P299" s="9" t="str">
        <x:v>UNSEALED / SOURCE-EMPTY</x:v>
      </x:c>
      <x:c r="Q299" s="9" t="n">
        <x:f>COUNTIFS($A$7:$A$1158,A299)</x:f>
        <x:v>1</x:v>
      </x:c>
    </x:row>
    <x:row r="300">
      <x:c r="A300" s="9" t="str">
        <x:v>EV-AR-ET-A-A-TECH-4-B1-RCN-G0-RW06</x:v>
      </x:c>
      <x:c r="B300" s="9" t="str">
        <x:v>EV-AR-ET-A-A-TECH-4-B1-RCN-G0</x:v>
      </x:c>
      <x:c r="C300" s="9" t="str">
        <x:v>AR-ET-A-A-TECH-4-B1-RCN-G0</x:v>
      </x:c>
      <x:c r="D300" s="9" t="str">
        <x:v>ET-A-A-TECH-4</x:v>
      </x:c>
      <x:c r="E300" s="9" t="str">
        <x:v>ET-A-A</x:v>
      </x:c>
      <x:c r="F300" s="9" t="str">
        <x:v>B1</x:v>
      </x:c>
      <x:c r="G300" s="9" t="str">
        <x:v>RCN</x:v>
      </x:c>
      <x:c r="H300" s="9" t="str">
        <x:v>RW06</x:v>
      </x:c>
      <x:c r="I300" s="17" t="str">
        <x:v>Receiver service ledger</x:v>
      </x:c>
      <x:c r="J300" s="17" t="str">
        <x:v>Receiver authority</x:v>
      </x:c>
      <x:c r="K300" s="17" t="str">
        <x:v>Public custody F</x:v>
      </x:c>
      <x:c r="L300" s="9" t="n">
        <x:v>0</x:v>
      </x:c>
      <x:c r="M300" s="9" t="n">
        <x:v>0</x:v>
      </x:c>
      <x:c r="N300" s="9" t="n">
        <x:v>0</x:v>
      </x:c>
      <x:c r="O300" s="9" t="n">
        <x:v>0</x:v>
      </x:c>
      <x:c r="P300" s="9" t="str">
        <x:v>UNSEALED / SOURCE-EMPTY</x:v>
      </x:c>
      <x:c r="Q300" s="9" t="n">
        <x:f>COUNTIFS($A$7:$A$1158,A300)</x:f>
        <x:v>1</x:v>
      </x:c>
    </x:row>
    <x:row r="301">
      <x:c r="A301" s="9" t="str">
        <x:v>EV-AR-ET-A-A-TECH-4-B1-RCN-G0-RW07</x:v>
      </x:c>
      <x:c r="B301" s="9" t="str">
        <x:v>EV-AR-ET-A-A-TECH-4-B1-RCN-G0</x:v>
      </x:c>
      <x:c r="C301" s="9" t="str">
        <x:v>AR-ET-A-A-TECH-4-B1-RCN-G0</x:v>
      </x:c>
      <x:c r="D301" s="9" t="str">
        <x:v>ET-A-A-TECH-4</x:v>
      </x:c>
      <x:c r="E301" s="9" t="str">
        <x:v>ET-A-A</x:v>
      </x:c>
      <x:c r="F301" s="9" t="str">
        <x:v>B1</x:v>
      </x:c>
      <x:c r="G301" s="9" t="str">
        <x:v>RCN</x:v>
      </x:c>
      <x:c r="H301" s="9" t="str">
        <x:v>RW07</x:v>
      </x:c>
      <x:c r="I301" s="17" t="str">
        <x:v>Candidate interface telemetry</x:v>
      </x:c>
      <x:c r="J301" s="17" t="str">
        <x:v>Interface custodian</x:v>
      </x:c>
      <x:c r="K301" s="17" t="str">
        <x:v>Public custody A</x:v>
      </x:c>
      <x:c r="L301" s="9" t="n">
        <x:v>0</x:v>
      </x:c>
      <x:c r="M301" s="9" t="n">
        <x:v>0</x:v>
      </x:c>
      <x:c r="N301" s="9" t="n">
        <x:v>0</x:v>
      </x:c>
      <x:c r="O301" s="9" t="n">
        <x:v>0</x:v>
      </x:c>
      <x:c r="P301" s="9" t="str">
        <x:v>UNSEALED / SOURCE-EMPTY</x:v>
      </x:c>
      <x:c r="Q301" s="9" t="n">
        <x:f>COUNTIFS($A$7:$A$1158,A301)</x:f>
        <x:v>1</x:v>
      </x:c>
    </x:row>
    <x:row r="302">
      <x:c r="A302" s="9" t="str">
        <x:v>EV-AR-ET-A-A-TECH-4-B1-RCN-G0-RW08</x:v>
      </x:c>
      <x:c r="B302" s="9" t="str">
        <x:v>EV-AR-ET-A-A-TECH-4-B1-RCN-G0</x:v>
      </x:c>
      <x:c r="C302" s="9" t="str">
        <x:v>AR-ET-A-A-TECH-4-B1-RCN-G0</x:v>
      </x:c>
      <x:c r="D302" s="9" t="str">
        <x:v>ET-A-A-TECH-4</x:v>
      </x:c>
      <x:c r="E302" s="9" t="str">
        <x:v>ET-A-A</x:v>
      </x:c>
      <x:c r="F302" s="9" t="str">
        <x:v>B1</x:v>
      </x:c>
      <x:c r="G302" s="9" t="str">
        <x:v>RCN</x:v>
      </x:c>
      <x:c r="H302" s="9" t="str">
        <x:v>RW08</x:v>
      </x:c>
      <x:c r="I302" s="17" t="str">
        <x:v>Residual and physical evidence</x:v>
      </x:c>
      <x:c r="J302" s="17" t="str">
        <x:v>Residual authority</x:v>
      </x:c>
      <x:c r="K302" s="17" t="str">
        <x:v>Public custody B</x:v>
      </x:c>
      <x:c r="L302" s="9" t="n">
        <x:v>0</x:v>
      </x:c>
      <x:c r="M302" s="9" t="n">
        <x:v>0</x:v>
      </x:c>
      <x:c r="N302" s="9" t="n">
        <x:v>0</x:v>
      </x:c>
      <x:c r="O302" s="9" t="n">
        <x:v>0</x:v>
      </x:c>
      <x:c r="P302" s="9" t="str">
        <x:v>UNSEALED / SOURCE-EMPTY</x:v>
      </x:c>
      <x:c r="Q302" s="9" t="n">
        <x:f>COUNTIFS($A$7:$A$1158,A302)</x:f>
        <x:v>1</x:v>
      </x:c>
    </x:row>
    <x:row r="303">
      <x:c r="A303" s="9" t="str">
        <x:v>EV-AR-ET-A-A-TECH-2-B1-INT-G0-RW01</x:v>
      </x:c>
      <x:c r="B303" s="9" t="str">
        <x:v>EV-AR-ET-A-A-TECH-2-B1-INT-G0</x:v>
      </x:c>
      <x:c r="C303" s="9" t="str">
        <x:v>AR-ET-A-A-TECH-2-B1-INT-G0</x:v>
      </x:c>
      <x:c r="D303" s="9" t="str">
        <x:v>ET-A-A-TECH-2</x:v>
      </x:c>
      <x:c r="E303" s="9" t="str">
        <x:v>ET-A-A</x:v>
      </x:c>
      <x:c r="F303" s="9" t="str">
        <x:v>B1</x:v>
      </x:c>
      <x:c r="G303" s="9" t="str">
        <x:v>INT</x:v>
      </x:c>
      <x:c r="H303" s="9" t="str">
        <x:v>RW01</x:v>
      </x:c>
      <x:c r="I303" s="17" t="str">
        <x:v>Primary raw stream</x:v>
      </x:c>
      <x:c r="J303" s="17" t="str">
        <x:v>Primary metrology</x:v>
      </x:c>
      <x:c r="K303" s="17" t="str">
        <x:v>Public custody A</x:v>
      </x:c>
      <x:c r="L303" s="9" t="n">
        <x:v>0</x:v>
      </x:c>
      <x:c r="M303" s="9" t="n">
        <x:v>0</x:v>
      </x:c>
      <x:c r="N303" s="9" t="n">
        <x:v>0</x:v>
      </x:c>
      <x:c r="O303" s="9" t="n">
        <x:v>0</x:v>
      </x:c>
      <x:c r="P303" s="9" t="str">
        <x:v>UNSEALED / SOURCE-EMPTY</x:v>
      </x:c>
      <x:c r="Q303" s="9" t="n">
        <x:f>COUNTIFS($A$7:$A$1158,A303)</x:f>
        <x:v>1</x:v>
      </x:c>
    </x:row>
    <x:row r="304">
      <x:c r="A304" s="9" t="str">
        <x:v>EV-AR-ET-A-A-TECH-2-B1-INT-G0-RW02</x:v>
      </x:c>
      <x:c r="B304" s="9" t="str">
        <x:v>EV-AR-ET-A-A-TECH-2-B1-INT-G0</x:v>
      </x:c>
      <x:c r="C304" s="9" t="str">
        <x:v>AR-ET-A-A-TECH-2-B1-INT-G0</x:v>
      </x:c>
      <x:c r="D304" s="9" t="str">
        <x:v>ET-A-A-TECH-2</x:v>
      </x:c>
      <x:c r="E304" s="9" t="str">
        <x:v>ET-A-A</x:v>
      </x:c>
      <x:c r="F304" s="9" t="str">
        <x:v>B1</x:v>
      </x:c>
      <x:c r="G304" s="9" t="str">
        <x:v>INT</x:v>
      </x:c>
      <x:c r="H304" s="9" t="str">
        <x:v>RW02</x:v>
      </x:c>
      <x:c r="I304" s="17" t="str">
        <x:v>Unlike witness stream</x:v>
      </x:c>
      <x:c r="J304" s="17" t="str">
        <x:v>Witness metrology</x:v>
      </x:c>
      <x:c r="K304" s="17" t="str">
        <x:v>Public custody B</x:v>
      </x:c>
      <x:c r="L304" s="9" t="n">
        <x:v>0</x:v>
      </x:c>
      <x:c r="M304" s="9" t="n">
        <x:v>0</x:v>
      </x:c>
      <x:c r="N304" s="9" t="n">
        <x:v>0</x:v>
      </x:c>
      <x:c r="O304" s="9" t="n">
        <x:v>0</x:v>
      </x:c>
      <x:c r="P304" s="9" t="str">
        <x:v>UNSEALED / SOURCE-EMPTY</x:v>
      </x:c>
      <x:c r="Q304" s="9" t="n">
        <x:f>COUNTIFS($A$7:$A$1158,A304)</x:f>
        <x:v>1</x:v>
      </x:c>
    </x:row>
    <x:row r="305">
      <x:c r="A305" s="9" t="str">
        <x:v>EV-AR-ET-A-A-TECH-2-B1-INT-G0-RW03</x:v>
      </x:c>
      <x:c r="B305" s="9" t="str">
        <x:v>EV-AR-ET-A-A-TECH-2-B1-INT-G0</x:v>
      </x:c>
      <x:c r="C305" s="9" t="str">
        <x:v>AR-ET-A-A-TECH-2-B1-INT-G0</x:v>
      </x:c>
      <x:c r="D305" s="9" t="str">
        <x:v>ET-A-A-TECH-2</x:v>
      </x:c>
      <x:c r="E305" s="9" t="str">
        <x:v>ET-A-A</x:v>
      </x:c>
      <x:c r="F305" s="9" t="str">
        <x:v>B1</x:v>
      </x:c>
      <x:c r="G305" s="9" t="str">
        <x:v>INT</x:v>
      </x:c>
      <x:c r="H305" s="9" t="str">
        <x:v>RW03</x:v>
      </x:c>
      <x:c r="I305" s="17" t="str">
        <x:v>Event clock and start traces</x:v>
      </x:c>
      <x:c r="J305" s="17" t="str">
        <x:v>Event clock authority</x:v>
      </x:c>
      <x:c r="K305" s="17" t="str">
        <x:v>Public custody C</x:v>
      </x:c>
      <x:c r="L305" s="9" t="n">
        <x:v>0</x:v>
      </x:c>
      <x:c r="M305" s="9" t="n">
        <x:v>0</x:v>
      </x:c>
      <x:c r="N305" s="9" t="n">
        <x:v>0</x:v>
      </x:c>
      <x:c r="O305" s="9" t="n">
        <x:v>0</x:v>
      </x:c>
      <x:c r="P305" s="9" t="str">
        <x:v>UNSEALED / SOURCE-EMPTY</x:v>
      </x:c>
      <x:c r="Q305" s="9" t="n">
        <x:f>COUNTIFS($A$7:$A$1158,A305)</x:f>
        <x:v>1</x:v>
      </x:c>
    </x:row>
    <x:row r="306">
      <x:c r="A306" s="9" t="str">
        <x:v>EV-AR-ET-A-A-TECH-2-B1-INT-G0-RW04</x:v>
      </x:c>
      <x:c r="B306" s="9" t="str">
        <x:v>EV-AR-ET-A-A-TECH-2-B1-INT-G0</x:v>
      </x:c>
      <x:c r="C306" s="9" t="str">
        <x:v>AR-ET-A-A-TECH-2-B1-INT-G0</x:v>
      </x:c>
      <x:c r="D306" s="9" t="str">
        <x:v>ET-A-A-TECH-2</x:v>
      </x:c>
      <x:c r="E306" s="9" t="str">
        <x:v>ET-A-A</x:v>
      </x:c>
      <x:c r="F306" s="9" t="str">
        <x:v>B1</x:v>
      </x:c>
      <x:c r="G306" s="9" t="str">
        <x:v>INT</x:v>
      </x:c>
      <x:c r="H306" s="9" t="str">
        <x:v>RW04</x:v>
      </x:c>
      <x:c r="I306" s="17" t="str">
        <x:v>Environmental boundary stream</x:v>
      </x:c>
      <x:c r="J306" s="17" t="str">
        <x:v>Site metrology</x:v>
      </x:c>
      <x:c r="K306" s="17" t="str">
        <x:v>Public custody D</x:v>
      </x:c>
      <x:c r="L306" s="9" t="n">
        <x:v>0</x:v>
      </x:c>
      <x:c r="M306" s="9" t="n">
        <x:v>0</x:v>
      </x:c>
      <x:c r="N306" s="9" t="n">
        <x:v>0</x:v>
      </x:c>
      <x:c r="O306" s="9" t="n">
        <x:v>0</x:v>
      </x:c>
      <x:c r="P306" s="9" t="str">
        <x:v>UNSEALED / SOURCE-EMPTY</x:v>
      </x:c>
      <x:c r="Q306" s="9" t="n">
        <x:f>COUNTIFS($A$7:$A$1158,A306)</x:f>
        <x:v>1</x:v>
      </x:c>
    </x:row>
    <x:row r="307">
      <x:c r="A307" s="9" t="str">
        <x:v>EV-AR-ET-A-A-TECH-2-B1-INT-G0-RW05</x:v>
      </x:c>
      <x:c r="B307" s="9" t="str">
        <x:v>EV-AR-ET-A-A-TECH-2-B1-INT-G0</x:v>
      </x:c>
      <x:c r="C307" s="9" t="str">
        <x:v>AR-ET-A-A-TECH-2-B1-INT-G0</x:v>
      </x:c>
      <x:c r="D307" s="9" t="str">
        <x:v>ET-A-A-TECH-2</x:v>
      </x:c>
      <x:c r="E307" s="9" t="str">
        <x:v>ET-A-A</x:v>
      </x:c>
      <x:c r="F307" s="9" t="str">
        <x:v>B1</x:v>
      </x:c>
      <x:c r="G307" s="9" t="str">
        <x:v>INT</x:v>
      </x:c>
      <x:c r="H307" s="9" t="str">
        <x:v>RW05</x:v>
      </x:c>
      <x:c r="I307" s="17" t="str">
        <x:v>Command and intervention log</x:v>
      </x:c>
      <x:c r="J307" s="17" t="str">
        <x:v>Safety authority</x:v>
      </x:c>
      <x:c r="K307" s="17" t="str">
        <x:v>Public custody E</x:v>
      </x:c>
      <x:c r="L307" s="9" t="n">
        <x:v>0</x:v>
      </x:c>
      <x:c r="M307" s="9" t="n">
        <x:v>0</x:v>
      </x:c>
      <x:c r="N307" s="9" t="n">
        <x:v>0</x:v>
      </x:c>
      <x:c r="O307" s="9" t="n">
        <x:v>0</x:v>
      </x:c>
      <x:c r="P307" s="9" t="str">
        <x:v>UNSEALED / SOURCE-EMPTY</x:v>
      </x:c>
      <x:c r="Q307" s="9" t="n">
        <x:f>COUNTIFS($A$7:$A$1158,A307)</x:f>
        <x:v>1</x:v>
      </x:c>
    </x:row>
    <x:row r="308">
      <x:c r="A308" s="9" t="str">
        <x:v>EV-AR-ET-A-A-TECH-2-B1-INT-G0-RW06</x:v>
      </x:c>
      <x:c r="B308" s="9" t="str">
        <x:v>EV-AR-ET-A-A-TECH-2-B1-INT-G0</x:v>
      </x:c>
      <x:c r="C308" s="9" t="str">
        <x:v>AR-ET-A-A-TECH-2-B1-INT-G0</x:v>
      </x:c>
      <x:c r="D308" s="9" t="str">
        <x:v>ET-A-A-TECH-2</x:v>
      </x:c>
      <x:c r="E308" s="9" t="str">
        <x:v>ET-A-A</x:v>
      </x:c>
      <x:c r="F308" s="9" t="str">
        <x:v>B1</x:v>
      </x:c>
      <x:c r="G308" s="9" t="str">
        <x:v>INT</x:v>
      </x:c>
      <x:c r="H308" s="9" t="str">
        <x:v>RW06</x:v>
      </x:c>
      <x:c r="I308" s="17" t="str">
        <x:v>Receiver service ledger</x:v>
      </x:c>
      <x:c r="J308" s="17" t="str">
        <x:v>Receiver authority</x:v>
      </x:c>
      <x:c r="K308" s="17" t="str">
        <x:v>Public custody F</x:v>
      </x:c>
      <x:c r="L308" s="9" t="n">
        <x:v>0</x:v>
      </x:c>
      <x:c r="M308" s="9" t="n">
        <x:v>0</x:v>
      </x:c>
      <x:c r="N308" s="9" t="n">
        <x:v>0</x:v>
      </x:c>
      <x:c r="O308" s="9" t="n">
        <x:v>0</x:v>
      </x:c>
      <x:c r="P308" s="9" t="str">
        <x:v>UNSEALED / SOURCE-EMPTY</x:v>
      </x:c>
      <x:c r="Q308" s="9" t="n">
        <x:f>COUNTIFS($A$7:$A$1158,A308)</x:f>
        <x:v>1</x:v>
      </x:c>
    </x:row>
    <x:row r="309">
      <x:c r="A309" s="9" t="str">
        <x:v>EV-AR-ET-A-A-TECH-2-B1-INT-G0-RW07</x:v>
      </x:c>
      <x:c r="B309" s="9" t="str">
        <x:v>EV-AR-ET-A-A-TECH-2-B1-INT-G0</x:v>
      </x:c>
      <x:c r="C309" s="9" t="str">
        <x:v>AR-ET-A-A-TECH-2-B1-INT-G0</x:v>
      </x:c>
      <x:c r="D309" s="9" t="str">
        <x:v>ET-A-A-TECH-2</x:v>
      </x:c>
      <x:c r="E309" s="9" t="str">
        <x:v>ET-A-A</x:v>
      </x:c>
      <x:c r="F309" s="9" t="str">
        <x:v>B1</x:v>
      </x:c>
      <x:c r="G309" s="9" t="str">
        <x:v>INT</x:v>
      </x:c>
      <x:c r="H309" s="9" t="str">
        <x:v>RW07</x:v>
      </x:c>
      <x:c r="I309" s="17" t="str">
        <x:v>Candidate interface telemetry</x:v>
      </x:c>
      <x:c r="J309" s="17" t="str">
        <x:v>Interface custodian</x:v>
      </x:c>
      <x:c r="K309" s="17" t="str">
        <x:v>Public custody A</x:v>
      </x:c>
      <x:c r="L309" s="9" t="n">
        <x:v>0</x:v>
      </x:c>
      <x:c r="M309" s="9" t="n">
        <x:v>0</x:v>
      </x:c>
      <x:c r="N309" s="9" t="n">
        <x:v>0</x:v>
      </x:c>
      <x:c r="O309" s="9" t="n">
        <x:v>0</x:v>
      </x:c>
      <x:c r="P309" s="9" t="str">
        <x:v>UNSEALED / SOURCE-EMPTY</x:v>
      </x:c>
      <x:c r="Q309" s="9" t="n">
        <x:f>COUNTIFS($A$7:$A$1158,A309)</x:f>
        <x:v>1</x:v>
      </x:c>
    </x:row>
    <x:row r="310">
      <x:c r="A310" s="9" t="str">
        <x:v>EV-AR-ET-A-A-TECH-2-B1-INT-G0-RW08</x:v>
      </x:c>
      <x:c r="B310" s="9" t="str">
        <x:v>EV-AR-ET-A-A-TECH-2-B1-INT-G0</x:v>
      </x:c>
      <x:c r="C310" s="9" t="str">
        <x:v>AR-ET-A-A-TECH-2-B1-INT-G0</x:v>
      </x:c>
      <x:c r="D310" s="9" t="str">
        <x:v>ET-A-A-TECH-2</x:v>
      </x:c>
      <x:c r="E310" s="9" t="str">
        <x:v>ET-A-A</x:v>
      </x:c>
      <x:c r="F310" s="9" t="str">
        <x:v>B1</x:v>
      </x:c>
      <x:c r="G310" s="9" t="str">
        <x:v>INT</x:v>
      </x:c>
      <x:c r="H310" s="9" t="str">
        <x:v>RW08</x:v>
      </x:c>
      <x:c r="I310" s="17" t="str">
        <x:v>Residual and physical evidence</x:v>
      </x:c>
      <x:c r="J310" s="17" t="str">
        <x:v>Residual authority</x:v>
      </x:c>
      <x:c r="K310" s="17" t="str">
        <x:v>Public custody B</x:v>
      </x:c>
      <x:c r="L310" s="9" t="n">
        <x:v>0</x:v>
      </x:c>
      <x:c r="M310" s="9" t="n">
        <x:v>0</x:v>
      </x:c>
      <x:c r="N310" s="9" t="n">
        <x:v>0</x:v>
      </x:c>
      <x:c r="O310" s="9" t="n">
        <x:v>0</x:v>
      </x:c>
      <x:c r="P310" s="9" t="str">
        <x:v>UNSEALED / SOURCE-EMPTY</x:v>
      </x:c>
      <x:c r="Q310" s="9" t="n">
        <x:f>COUNTIFS($A$7:$A$1158,A310)</x:f>
        <x:v>1</x:v>
      </x:c>
    </x:row>
    <x:row r="311">
      <x:c r="A311" s="9" t="str">
        <x:v>EV-AR-HU-A-B-TECH-3-B2-INT-G0-RW01</x:v>
      </x:c>
      <x:c r="B311" s="9" t="str">
        <x:v>EV-AR-HU-A-B-TECH-3-B2-INT-G0</x:v>
      </x:c>
      <x:c r="C311" s="9" t="str">
        <x:v>AR-HU-A-B-TECH-3-B2-INT-G0</x:v>
      </x:c>
      <x:c r="D311" s="9" t="str">
        <x:v>HU-A-B-TECH-3</x:v>
      </x:c>
      <x:c r="E311" s="9" t="str">
        <x:v>HU-A-B</x:v>
      </x:c>
      <x:c r="F311" s="9" t="str">
        <x:v>B2</x:v>
      </x:c>
      <x:c r="G311" s="9" t="str">
        <x:v>INT</x:v>
      </x:c>
      <x:c r="H311" s="9" t="str">
        <x:v>RW01</x:v>
      </x:c>
      <x:c r="I311" s="17" t="str">
        <x:v>Primary raw stream</x:v>
      </x:c>
      <x:c r="J311" s="17" t="str">
        <x:v>Primary metrology</x:v>
      </x:c>
      <x:c r="K311" s="17" t="str">
        <x:v>Public custody A</x:v>
      </x:c>
      <x:c r="L311" s="9" t="n">
        <x:v>0</x:v>
      </x:c>
      <x:c r="M311" s="9" t="n">
        <x:v>0</x:v>
      </x:c>
      <x:c r="N311" s="9" t="n">
        <x:v>0</x:v>
      </x:c>
      <x:c r="O311" s="9" t="n">
        <x:v>0</x:v>
      </x:c>
      <x:c r="P311" s="9" t="str">
        <x:v>UNSEALED / SOURCE-EMPTY</x:v>
      </x:c>
      <x:c r="Q311" s="9" t="n">
        <x:f>COUNTIFS($A$7:$A$1158,A311)</x:f>
        <x:v>1</x:v>
      </x:c>
    </x:row>
    <x:row r="312">
      <x:c r="A312" s="9" t="str">
        <x:v>EV-AR-HU-A-B-TECH-3-B2-INT-G0-RW02</x:v>
      </x:c>
      <x:c r="B312" s="9" t="str">
        <x:v>EV-AR-HU-A-B-TECH-3-B2-INT-G0</x:v>
      </x:c>
      <x:c r="C312" s="9" t="str">
        <x:v>AR-HU-A-B-TECH-3-B2-INT-G0</x:v>
      </x:c>
      <x:c r="D312" s="9" t="str">
        <x:v>HU-A-B-TECH-3</x:v>
      </x:c>
      <x:c r="E312" s="9" t="str">
        <x:v>HU-A-B</x:v>
      </x:c>
      <x:c r="F312" s="9" t="str">
        <x:v>B2</x:v>
      </x:c>
      <x:c r="G312" s="9" t="str">
        <x:v>INT</x:v>
      </x:c>
      <x:c r="H312" s="9" t="str">
        <x:v>RW02</x:v>
      </x:c>
      <x:c r="I312" s="17" t="str">
        <x:v>Unlike witness stream</x:v>
      </x:c>
      <x:c r="J312" s="17" t="str">
        <x:v>Witness metrology</x:v>
      </x:c>
      <x:c r="K312" s="17" t="str">
        <x:v>Public custody B</x:v>
      </x:c>
      <x:c r="L312" s="9" t="n">
        <x:v>0</x:v>
      </x:c>
      <x:c r="M312" s="9" t="n">
        <x:v>0</x:v>
      </x:c>
      <x:c r="N312" s="9" t="n">
        <x:v>0</x:v>
      </x:c>
      <x:c r="O312" s="9" t="n">
        <x:v>0</x:v>
      </x:c>
      <x:c r="P312" s="9" t="str">
        <x:v>UNSEALED / SOURCE-EMPTY</x:v>
      </x:c>
      <x:c r="Q312" s="9" t="n">
        <x:f>COUNTIFS($A$7:$A$1158,A312)</x:f>
        <x:v>1</x:v>
      </x:c>
    </x:row>
    <x:row r="313">
      <x:c r="A313" s="9" t="str">
        <x:v>EV-AR-HU-A-B-TECH-3-B2-INT-G0-RW03</x:v>
      </x:c>
      <x:c r="B313" s="9" t="str">
        <x:v>EV-AR-HU-A-B-TECH-3-B2-INT-G0</x:v>
      </x:c>
      <x:c r="C313" s="9" t="str">
        <x:v>AR-HU-A-B-TECH-3-B2-INT-G0</x:v>
      </x:c>
      <x:c r="D313" s="9" t="str">
        <x:v>HU-A-B-TECH-3</x:v>
      </x:c>
      <x:c r="E313" s="9" t="str">
        <x:v>HU-A-B</x:v>
      </x:c>
      <x:c r="F313" s="9" t="str">
        <x:v>B2</x:v>
      </x:c>
      <x:c r="G313" s="9" t="str">
        <x:v>INT</x:v>
      </x:c>
      <x:c r="H313" s="9" t="str">
        <x:v>RW03</x:v>
      </x:c>
      <x:c r="I313" s="17" t="str">
        <x:v>Event clock and start traces</x:v>
      </x:c>
      <x:c r="J313" s="17" t="str">
        <x:v>Event clock authority</x:v>
      </x:c>
      <x:c r="K313" s="17" t="str">
        <x:v>Public custody C</x:v>
      </x:c>
      <x:c r="L313" s="9" t="n">
        <x:v>0</x:v>
      </x:c>
      <x:c r="M313" s="9" t="n">
        <x:v>0</x:v>
      </x:c>
      <x:c r="N313" s="9" t="n">
        <x:v>0</x:v>
      </x:c>
      <x:c r="O313" s="9" t="n">
        <x:v>0</x:v>
      </x:c>
      <x:c r="P313" s="9" t="str">
        <x:v>UNSEALED / SOURCE-EMPTY</x:v>
      </x:c>
      <x:c r="Q313" s="9" t="n">
        <x:f>COUNTIFS($A$7:$A$1158,A313)</x:f>
        <x:v>1</x:v>
      </x:c>
    </x:row>
    <x:row r="314">
      <x:c r="A314" s="9" t="str">
        <x:v>EV-AR-HU-A-B-TECH-3-B2-INT-G0-RW04</x:v>
      </x:c>
      <x:c r="B314" s="9" t="str">
        <x:v>EV-AR-HU-A-B-TECH-3-B2-INT-G0</x:v>
      </x:c>
      <x:c r="C314" s="9" t="str">
        <x:v>AR-HU-A-B-TECH-3-B2-INT-G0</x:v>
      </x:c>
      <x:c r="D314" s="9" t="str">
        <x:v>HU-A-B-TECH-3</x:v>
      </x:c>
      <x:c r="E314" s="9" t="str">
        <x:v>HU-A-B</x:v>
      </x:c>
      <x:c r="F314" s="9" t="str">
        <x:v>B2</x:v>
      </x:c>
      <x:c r="G314" s="9" t="str">
        <x:v>INT</x:v>
      </x:c>
      <x:c r="H314" s="9" t="str">
        <x:v>RW04</x:v>
      </x:c>
      <x:c r="I314" s="17" t="str">
        <x:v>Environmental boundary stream</x:v>
      </x:c>
      <x:c r="J314" s="17" t="str">
        <x:v>Site metrology</x:v>
      </x:c>
      <x:c r="K314" s="17" t="str">
        <x:v>Public custody D</x:v>
      </x:c>
      <x:c r="L314" s="9" t="n">
        <x:v>0</x:v>
      </x:c>
      <x:c r="M314" s="9" t="n">
        <x:v>0</x:v>
      </x:c>
      <x:c r="N314" s="9" t="n">
        <x:v>0</x:v>
      </x:c>
      <x:c r="O314" s="9" t="n">
        <x:v>0</x:v>
      </x:c>
      <x:c r="P314" s="9" t="str">
        <x:v>UNSEALED / SOURCE-EMPTY</x:v>
      </x:c>
      <x:c r="Q314" s="9" t="n">
        <x:f>COUNTIFS($A$7:$A$1158,A314)</x:f>
        <x:v>1</x:v>
      </x:c>
    </x:row>
    <x:row r="315">
      <x:c r="A315" s="9" t="str">
        <x:v>EV-AR-HU-A-B-TECH-3-B2-INT-G0-RW05</x:v>
      </x:c>
      <x:c r="B315" s="9" t="str">
        <x:v>EV-AR-HU-A-B-TECH-3-B2-INT-G0</x:v>
      </x:c>
      <x:c r="C315" s="9" t="str">
        <x:v>AR-HU-A-B-TECH-3-B2-INT-G0</x:v>
      </x:c>
      <x:c r="D315" s="9" t="str">
        <x:v>HU-A-B-TECH-3</x:v>
      </x:c>
      <x:c r="E315" s="9" t="str">
        <x:v>HU-A-B</x:v>
      </x:c>
      <x:c r="F315" s="9" t="str">
        <x:v>B2</x:v>
      </x:c>
      <x:c r="G315" s="9" t="str">
        <x:v>INT</x:v>
      </x:c>
      <x:c r="H315" s="9" t="str">
        <x:v>RW05</x:v>
      </x:c>
      <x:c r="I315" s="17" t="str">
        <x:v>Command and intervention log</x:v>
      </x:c>
      <x:c r="J315" s="17" t="str">
        <x:v>Safety authority</x:v>
      </x:c>
      <x:c r="K315" s="17" t="str">
        <x:v>Public custody E</x:v>
      </x:c>
      <x:c r="L315" s="9" t="n">
        <x:v>0</x:v>
      </x:c>
      <x:c r="M315" s="9" t="n">
        <x:v>0</x:v>
      </x:c>
      <x:c r="N315" s="9" t="n">
        <x:v>0</x:v>
      </x:c>
      <x:c r="O315" s="9" t="n">
        <x:v>0</x:v>
      </x:c>
      <x:c r="P315" s="9" t="str">
        <x:v>UNSEALED / SOURCE-EMPTY</x:v>
      </x:c>
      <x:c r="Q315" s="9" t="n">
        <x:f>COUNTIFS($A$7:$A$1158,A315)</x:f>
        <x:v>1</x:v>
      </x:c>
    </x:row>
    <x:row r="316">
      <x:c r="A316" s="9" t="str">
        <x:v>EV-AR-HU-A-B-TECH-3-B2-INT-G0-RW06</x:v>
      </x:c>
      <x:c r="B316" s="9" t="str">
        <x:v>EV-AR-HU-A-B-TECH-3-B2-INT-G0</x:v>
      </x:c>
      <x:c r="C316" s="9" t="str">
        <x:v>AR-HU-A-B-TECH-3-B2-INT-G0</x:v>
      </x:c>
      <x:c r="D316" s="9" t="str">
        <x:v>HU-A-B-TECH-3</x:v>
      </x:c>
      <x:c r="E316" s="9" t="str">
        <x:v>HU-A-B</x:v>
      </x:c>
      <x:c r="F316" s="9" t="str">
        <x:v>B2</x:v>
      </x:c>
      <x:c r="G316" s="9" t="str">
        <x:v>INT</x:v>
      </x:c>
      <x:c r="H316" s="9" t="str">
        <x:v>RW06</x:v>
      </x:c>
      <x:c r="I316" s="17" t="str">
        <x:v>Receiver service ledger</x:v>
      </x:c>
      <x:c r="J316" s="17" t="str">
        <x:v>Receiver authority</x:v>
      </x:c>
      <x:c r="K316" s="17" t="str">
        <x:v>Public custody F</x:v>
      </x:c>
      <x:c r="L316" s="9" t="n">
        <x:v>0</x:v>
      </x:c>
      <x:c r="M316" s="9" t="n">
        <x:v>0</x:v>
      </x:c>
      <x:c r="N316" s="9" t="n">
        <x:v>0</x:v>
      </x:c>
      <x:c r="O316" s="9" t="n">
        <x:v>0</x:v>
      </x:c>
      <x:c r="P316" s="9" t="str">
        <x:v>UNSEALED / SOURCE-EMPTY</x:v>
      </x:c>
      <x:c r="Q316" s="9" t="n">
        <x:f>COUNTIFS($A$7:$A$1158,A316)</x:f>
        <x:v>1</x:v>
      </x:c>
    </x:row>
    <x:row r="317">
      <x:c r="A317" s="9" t="str">
        <x:v>EV-AR-HU-A-B-TECH-3-B2-INT-G0-RW07</x:v>
      </x:c>
      <x:c r="B317" s="9" t="str">
        <x:v>EV-AR-HU-A-B-TECH-3-B2-INT-G0</x:v>
      </x:c>
      <x:c r="C317" s="9" t="str">
        <x:v>AR-HU-A-B-TECH-3-B2-INT-G0</x:v>
      </x:c>
      <x:c r="D317" s="9" t="str">
        <x:v>HU-A-B-TECH-3</x:v>
      </x:c>
      <x:c r="E317" s="9" t="str">
        <x:v>HU-A-B</x:v>
      </x:c>
      <x:c r="F317" s="9" t="str">
        <x:v>B2</x:v>
      </x:c>
      <x:c r="G317" s="9" t="str">
        <x:v>INT</x:v>
      </x:c>
      <x:c r="H317" s="9" t="str">
        <x:v>RW07</x:v>
      </x:c>
      <x:c r="I317" s="17" t="str">
        <x:v>Candidate interface telemetry</x:v>
      </x:c>
      <x:c r="J317" s="17" t="str">
        <x:v>Interface custodian</x:v>
      </x:c>
      <x:c r="K317" s="17" t="str">
        <x:v>Public custody A</x:v>
      </x:c>
      <x:c r="L317" s="9" t="n">
        <x:v>0</x:v>
      </x:c>
      <x:c r="M317" s="9" t="n">
        <x:v>0</x:v>
      </x:c>
      <x:c r="N317" s="9" t="n">
        <x:v>0</x:v>
      </x:c>
      <x:c r="O317" s="9" t="n">
        <x:v>0</x:v>
      </x:c>
      <x:c r="P317" s="9" t="str">
        <x:v>UNSEALED / SOURCE-EMPTY</x:v>
      </x:c>
      <x:c r="Q317" s="9" t="n">
        <x:f>COUNTIFS($A$7:$A$1158,A317)</x:f>
        <x:v>1</x:v>
      </x:c>
    </x:row>
    <x:row r="318">
      <x:c r="A318" s="9" t="str">
        <x:v>EV-AR-HU-A-B-TECH-3-B2-INT-G0-RW08</x:v>
      </x:c>
      <x:c r="B318" s="9" t="str">
        <x:v>EV-AR-HU-A-B-TECH-3-B2-INT-G0</x:v>
      </x:c>
      <x:c r="C318" s="9" t="str">
        <x:v>AR-HU-A-B-TECH-3-B2-INT-G0</x:v>
      </x:c>
      <x:c r="D318" s="9" t="str">
        <x:v>HU-A-B-TECH-3</x:v>
      </x:c>
      <x:c r="E318" s="9" t="str">
        <x:v>HU-A-B</x:v>
      </x:c>
      <x:c r="F318" s="9" t="str">
        <x:v>B2</x:v>
      </x:c>
      <x:c r="G318" s="9" t="str">
        <x:v>INT</x:v>
      </x:c>
      <x:c r="H318" s="9" t="str">
        <x:v>RW08</x:v>
      </x:c>
      <x:c r="I318" s="17" t="str">
        <x:v>Residual and physical evidence</x:v>
      </x:c>
      <x:c r="J318" s="17" t="str">
        <x:v>Residual authority</x:v>
      </x:c>
      <x:c r="K318" s="17" t="str">
        <x:v>Public custody B</x:v>
      </x:c>
      <x:c r="L318" s="9" t="n">
        <x:v>0</x:v>
      </x:c>
      <x:c r="M318" s="9" t="n">
        <x:v>0</x:v>
      </x:c>
      <x:c r="N318" s="9" t="n">
        <x:v>0</x:v>
      </x:c>
      <x:c r="O318" s="9" t="n">
        <x:v>0</x:v>
      </x:c>
      <x:c r="P318" s="9" t="str">
        <x:v>UNSEALED / SOURCE-EMPTY</x:v>
      </x:c>
      <x:c r="Q318" s="9" t="n">
        <x:f>COUNTIFS($A$7:$A$1158,A318)</x:f>
        <x:v>1</x:v>
      </x:c>
    </x:row>
    <x:row r="319">
      <x:c r="A319" s="9" t="str">
        <x:v>EV-AR-LF-B-A-TECH-4-B2-INT-G0-RW01</x:v>
      </x:c>
      <x:c r="B319" s="9" t="str">
        <x:v>EV-AR-LF-B-A-TECH-4-B2-INT-G0</x:v>
      </x:c>
      <x:c r="C319" s="9" t="str">
        <x:v>AR-LF-B-A-TECH-4-B2-INT-G0</x:v>
      </x:c>
      <x:c r="D319" s="9" t="str">
        <x:v>LF-B-A-TECH-4</x:v>
      </x:c>
      <x:c r="E319" s="9" t="str">
        <x:v>LF-B-A</x:v>
      </x:c>
      <x:c r="F319" s="9" t="str">
        <x:v>B2</x:v>
      </x:c>
      <x:c r="G319" s="9" t="str">
        <x:v>INT</x:v>
      </x:c>
      <x:c r="H319" s="9" t="str">
        <x:v>RW01</x:v>
      </x:c>
      <x:c r="I319" s="17" t="str">
        <x:v>Primary raw stream</x:v>
      </x:c>
      <x:c r="J319" s="17" t="str">
        <x:v>Primary metrology</x:v>
      </x:c>
      <x:c r="K319" s="17" t="str">
        <x:v>Public custody A</x:v>
      </x:c>
      <x:c r="L319" s="9" t="n">
        <x:v>0</x:v>
      </x:c>
      <x:c r="M319" s="9" t="n">
        <x:v>0</x:v>
      </x:c>
      <x:c r="N319" s="9" t="n">
        <x:v>0</x:v>
      </x:c>
      <x:c r="O319" s="9" t="n">
        <x:v>0</x:v>
      </x:c>
      <x:c r="P319" s="9" t="str">
        <x:v>UNSEALED / SOURCE-EMPTY</x:v>
      </x:c>
      <x:c r="Q319" s="9" t="n">
        <x:f>COUNTIFS($A$7:$A$1158,A319)</x:f>
        <x:v>1</x:v>
      </x:c>
    </x:row>
    <x:row r="320">
      <x:c r="A320" s="9" t="str">
        <x:v>EV-AR-LF-B-A-TECH-4-B2-INT-G0-RW02</x:v>
      </x:c>
      <x:c r="B320" s="9" t="str">
        <x:v>EV-AR-LF-B-A-TECH-4-B2-INT-G0</x:v>
      </x:c>
      <x:c r="C320" s="9" t="str">
        <x:v>AR-LF-B-A-TECH-4-B2-INT-G0</x:v>
      </x:c>
      <x:c r="D320" s="9" t="str">
        <x:v>LF-B-A-TECH-4</x:v>
      </x:c>
      <x:c r="E320" s="9" t="str">
        <x:v>LF-B-A</x:v>
      </x:c>
      <x:c r="F320" s="9" t="str">
        <x:v>B2</x:v>
      </x:c>
      <x:c r="G320" s="9" t="str">
        <x:v>INT</x:v>
      </x:c>
      <x:c r="H320" s="9" t="str">
        <x:v>RW02</x:v>
      </x:c>
      <x:c r="I320" s="17" t="str">
        <x:v>Unlike witness stream</x:v>
      </x:c>
      <x:c r="J320" s="17" t="str">
        <x:v>Witness metrology</x:v>
      </x:c>
      <x:c r="K320" s="17" t="str">
        <x:v>Public custody B</x:v>
      </x:c>
      <x:c r="L320" s="9" t="n">
        <x:v>0</x:v>
      </x:c>
      <x:c r="M320" s="9" t="n">
        <x:v>0</x:v>
      </x:c>
      <x:c r="N320" s="9" t="n">
        <x:v>0</x:v>
      </x:c>
      <x:c r="O320" s="9" t="n">
        <x:v>0</x:v>
      </x:c>
      <x:c r="P320" s="9" t="str">
        <x:v>UNSEALED / SOURCE-EMPTY</x:v>
      </x:c>
      <x:c r="Q320" s="9" t="n">
        <x:f>COUNTIFS($A$7:$A$1158,A320)</x:f>
        <x:v>1</x:v>
      </x:c>
    </x:row>
    <x:row r="321">
      <x:c r="A321" s="9" t="str">
        <x:v>EV-AR-LF-B-A-TECH-4-B2-INT-G0-RW03</x:v>
      </x:c>
      <x:c r="B321" s="9" t="str">
        <x:v>EV-AR-LF-B-A-TECH-4-B2-INT-G0</x:v>
      </x:c>
      <x:c r="C321" s="9" t="str">
        <x:v>AR-LF-B-A-TECH-4-B2-INT-G0</x:v>
      </x:c>
      <x:c r="D321" s="9" t="str">
        <x:v>LF-B-A-TECH-4</x:v>
      </x:c>
      <x:c r="E321" s="9" t="str">
        <x:v>LF-B-A</x:v>
      </x:c>
      <x:c r="F321" s="9" t="str">
        <x:v>B2</x:v>
      </x:c>
      <x:c r="G321" s="9" t="str">
        <x:v>INT</x:v>
      </x:c>
      <x:c r="H321" s="9" t="str">
        <x:v>RW03</x:v>
      </x:c>
      <x:c r="I321" s="17" t="str">
        <x:v>Event clock and start traces</x:v>
      </x:c>
      <x:c r="J321" s="17" t="str">
        <x:v>Event clock authority</x:v>
      </x:c>
      <x:c r="K321" s="17" t="str">
        <x:v>Public custody C</x:v>
      </x:c>
      <x:c r="L321" s="9" t="n">
        <x:v>0</x:v>
      </x:c>
      <x:c r="M321" s="9" t="n">
        <x:v>0</x:v>
      </x:c>
      <x:c r="N321" s="9" t="n">
        <x:v>0</x:v>
      </x:c>
      <x:c r="O321" s="9" t="n">
        <x:v>0</x:v>
      </x:c>
      <x:c r="P321" s="9" t="str">
        <x:v>UNSEALED / SOURCE-EMPTY</x:v>
      </x:c>
      <x:c r="Q321" s="9" t="n">
        <x:f>COUNTIFS($A$7:$A$1158,A321)</x:f>
        <x:v>1</x:v>
      </x:c>
    </x:row>
    <x:row r="322">
      <x:c r="A322" s="9" t="str">
        <x:v>EV-AR-LF-B-A-TECH-4-B2-INT-G0-RW04</x:v>
      </x:c>
      <x:c r="B322" s="9" t="str">
        <x:v>EV-AR-LF-B-A-TECH-4-B2-INT-G0</x:v>
      </x:c>
      <x:c r="C322" s="9" t="str">
        <x:v>AR-LF-B-A-TECH-4-B2-INT-G0</x:v>
      </x:c>
      <x:c r="D322" s="9" t="str">
        <x:v>LF-B-A-TECH-4</x:v>
      </x:c>
      <x:c r="E322" s="9" t="str">
        <x:v>LF-B-A</x:v>
      </x:c>
      <x:c r="F322" s="9" t="str">
        <x:v>B2</x:v>
      </x:c>
      <x:c r="G322" s="9" t="str">
        <x:v>INT</x:v>
      </x:c>
      <x:c r="H322" s="9" t="str">
        <x:v>RW04</x:v>
      </x:c>
      <x:c r="I322" s="17" t="str">
        <x:v>Environmental boundary stream</x:v>
      </x:c>
      <x:c r="J322" s="17" t="str">
        <x:v>Site metrology</x:v>
      </x:c>
      <x:c r="K322" s="17" t="str">
        <x:v>Public custody D</x:v>
      </x:c>
      <x:c r="L322" s="9" t="n">
        <x:v>0</x:v>
      </x:c>
      <x:c r="M322" s="9" t="n">
        <x:v>0</x:v>
      </x:c>
      <x:c r="N322" s="9" t="n">
        <x:v>0</x:v>
      </x:c>
      <x:c r="O322" s="9" t="n">
        <x:v>0</x:v>
      </x:c>
      <x:c r="P322" s="9" t="str">
        <x:v>UNSEALED / SOURCE-EMPTY</x:v>
      </x:c>
      <x:c r="Q322" s="9" t="n">
        <x:f>COUNTIFS($A$7:$A$1158,A322)</x:f>
        <x:v>1</x:v>
      </x:c>
    </x:row>
    <x:row r="323">
      <x:c r="A323" s="9" t="str">
        <x:v>EV-AR-LF-B-A-TECH-4-B2-INT-G0-RW05</x:v>
      </x:c>
      <x:c r="B323" s="9" t="str">
        <x:v>EV-AR-LF-B-A-TECH-4-B2-INT-G0</x:v>
      </x:c>
      <x:c r="C323" s="9" t="str">
        <x:v>AR-LF-B-A-TECH-4-B2-INT-G0</x:v>
      </x:c>
      <x:c r="D323" s="9" t="str">
        <x:v>LF-B-A-TECH-4</x:v>
      </x:c>
      <x:c r="E323" s="9" t="str">
        <x:v>LF-B-A</x:v>
      </x:c>
      <x:c r="F323" s="9" t="str">
        <x:v>B2</x:v>
      </x:c>
      <x:c r="G323" s="9" t="str">
        <x:v>INT</x:v>
      </x:c>
      <x:c r="H323" s="9" t="str">
        <x:v>RW05</x:v>
      </x:c>
      <x:c r="I323" s="17" t="str">
        <x:v>Command and intervention log</x:v>
      </x:c>
      <x:c r="J323" s="17" t="str">
        <x:v>Safety authority</x:v>
      </x:c>
      <x:c r="K323" s="17" t="str">
        <x:v>Public custody E</x:v>
      </x:c>
      <x:c r="L323" s="9" t="n">
        <x:v>0</x:v>
      </x:c>
      <x:c r="M323" s="9" t="n">
        <x:v>0</x:v>
      </x:c>
      <x:c r="N323" s="9" t="n">
        <x:v>0</x:v>
      </x:c>
      <x:c r="O323" s="9" t="n">
        <x:v>0</x:v>
      </x:c>
      <x:c r="P323" s="9" t="str">
        <x:v>UNSEALED / SOURCE-EMPTY</x:v>
      </x:c>
      <x:c r="Q323" s="9" t="n">
        <x:f>COUNTIFS($A$7:$A$1158,A323)</x:f>
        <x:v>1</x:v>
      </x:c>
    </x:row>
    <x:row r="324">
      <x:c r="A324" s="9" t="str">
        <x:v>EV-AR-LF-B-A-TECH-4-B2-INT-G0-RW06</x:v>
      </x:c>
      <x:c r="B324" s="9" t="str">
        <x:v>EV-AR-LF-B-A-TECH-4-B2-INT-G0</x:v>
      </x:c>
      <x:c r="C324" s="9" t="str">
        <x:v>AR-LF-B-A-TECH-4-B2-INT-G0</x:v>
      </x:c>
      <x:c r="D324" s="9" t="str">
        <x:v>LF-B-A-TECH-4</x:v>
      </x:c>
      <x:c r="E324" s="9" t="str">
        <x:v>LF-B-A</x:v>
      </x:c>
      <x:c r="F324" s="9" t="str">
        <x:v>B2</x:v>
      </x:c>
      <x:c r="G324" s="9" t="str">
        <x:v>INT</x:v>
      </x:c>
      <x:c r="H324" s="9" t="str">
        <x:v>RW06</x:v>
      </x:c>
      <x:c r="I324" s="17" t="str">
        <x:v>Receiver service ledger</x:v>
      </x:c>
      <x:c r="J324" s="17" t="str">
        <x:v>Receiver authority</x:v>
      </x:c>
      <x:c r="K324" s="17" t="str">
        <x:v>Public custody F</x:v>
      </x:c>
      <x:c r="L324" s="9" t="n">
        <x:v>0</x:v>
      </x:c>
      <x:c r="M324" s="9" t="n">
        <x:v>0</x:v>
      </x:c>
      <x:c r="N324" s="9" t="n">
        <x:v>0</x:v>
      </x:c>
      <x:c r="O324" s="9" t="n">
        <x:v>0</x:v>
      </x:c>
      <x:c r="P324" s="9" t="str">
        <x:v>UNSEALED / SOURCE-EMPTY</x:v>
      </x:c>
      <x:c r="Q324" s="9" t="n">
        <x:f>COUNTIFS($A$7:$A$1158,A324)</x:f>
        <x:v>1</x:v>
      </x:c>
    </x:row>
    <x:row r="325">
      <x:c r="A325" s="9" t="str">
        <x:v>EV-AR-LF-B-A-TECH-4-B2-INT-G0-RW07</x:v>
      </x:c>
      <x:c r="B325" s="9" t="str">
        <x:v>EV-AR-LF-B-A-TECH-4-B2-INT-G0</x:v>
      </x:c>
      <x:c r="C325" s="9" t="str">
        <x:v>AR-LF-B-A-TECH-4-B2-INT-G0</x:v>
      </x:c>
      <x:c r="D325" s="9" t="str">
        <x:v>LF-B-A-TECH-4</x:v>
      </x:c>
      <x:c r="E325" s="9" t="str">
        <x:v>LF-B-A</x:v>
      </x:c>
      <x:c r="F325" s="9" t="str">
        <x:v>B2</x:v>
      </x:c>
      <x:c r="G325" s="9" t="str">
        <x:v>INT</x:v>
      </x:c>
      <x:c r="H325" s="9" t="str">
        <x:v>RW07</x:v>
      </x:c>
      <x:c r="I325" s="17" t="str">
        <x:v>Candidate interface telemetry</x:v>
      </x:c>
      <x:c r="J325" s="17" t="str">
        <x:v>Interface custodian</x:v>
      </x:c>
      <x:c r="K325" s="17" t="str">
        <x:v>Public custody A</x:v>
      </x:c>
      <x:c r="L325" s="9" t="n">
        <x:v>0</x:v>
      </x:c>
      <x:c r="M325" s="9" t="n">
        <x:v>0</x:v>
      </x:c>
      <x:c r="N325" s="9" t="n">
        <x:v>0</x:v>
      </x:c>
      <x:c r="O325" s="9" t="n">
        <x:v>0</x:v>
      </x:c>
      <x:c r="P325" s="9" t="str">
        <x:v>UNSEALED / SOURCE-EMPTY</x:v>
      </x:c>
      <x:c r="Q325" s="9" t="n">
        <x:f>COUNTIFS($A$7:$A$1158,A325)</x:f>
        <x:v>1</x:v>
      </x:c>
    </x:row>
    <x:row r="326">
      <x:c r="A326" s="9" t="str">
        <x:v>EV-AR-LF-B-A-TECH-4-B2-INT-G0-RW08</x:v>
      </x:c>
      <x:c r="B326" s="9" t="str">
        <x:v>EV-AR-LF-B-A-TECH-4-B2-INT-G0</x:v>
      </x:c>
      <x:c r="C326" s="9" t="str">
        <x:v>AR-LF-B-A-TECH-4-B2-INT-G0</x:v>
      </x:c>
      <x:c r="D326" s="9" t="str">
        <x:v>LF-B-A-TECH-4</x:v>
      </x:c>
      <x:c r="E326" s="9" t="str">
        <x:v>LF-B-A</x:v>
      </x:c>
      <x:c r="F326" s="9" t="str">
        <x:v>B2</x:v>
      </x:c>
      <x:c r="G326" s="9" t="str">
        <x:v>INT</x:v>
      </x:c>
      <x:c r="H326" s="9" t="str">
        <x:v>RW08</x:v>
      </x:c>
      <x:c r="I326" s="17" t="str">
        <x:v>Residual and physical evidence</x:v>
      </x:c>
      <x:c r="J326" s="17" t="str">
        <x:v>Residual authority</x:v>
      </x:c>
      <x:c r="K326" s="17" t="str">
        <x:v>Public custody B</x:v>
      </x:c>
      <x:c r="L326" s="9" t="n">
        <x:v>0</x:v>
      </x:c>
      <x:c r="M326" s="9" t="n">
        <x:v>0</x:v>
      </x:c>
      <x:c r="N326" s="9" t="n">
        <x:v>0</x:v>
      </x:c>
      <x:c r="O326" s="9" t="n">
        <x:v>0</x:v>
      </x:c>
      <x:c r="P326" s="9" t="str">
        <x:v>UNSEALED / SOURCE-EMPTY</x:v>
      </x:c>
      <x:c r="Q326" s="9" t="n">
        <x:f>COUNTIFS($A$7:$A$1158,A326)</x:f>
        <x:v>1</x:v>
      </x:c>
    </x:row>
    <x:row r="327">
      <x:c r="A327" s="9" t="str">
        <x:v>EV-AR-RT-B-C-TECH-4-B2-RCN-G0-RW01</x:v>
      </x:c>
      <x:c r="B327" s="9" t="str">
        <x:v>EV-AR-RT-B-C-TECH-4-B2-RCN-G0</x:v>
      </x:c>
      <x:c r="C327" s="9" t="str">
        <x:v>AR-RT-B-C-TECH-4-B2-RCN-G0</x:v>
      </x:c>
      <x:c r="D327" s="9" t="str">
        <x:v>RT-B-C-TECH-4</x:v>
      </x:c>
      <x:c r="E327" s="9" t="str">
        <x:v>RT-B-C</x:v>
      </x:c>
      <x:c r="F327" s="9" t="str">
        <x:v>B2</x:v>
      </x:c>
      <x:c r="G327" s="9" t="str">
        <x:v>RCN</x:v>
      </x:c>
      <x:c r="H327" s="9" t="str">
        <x:v>RW01</x:v>
      </x:c>
      <x:c r="I327" s="17" t="str">
        <x:v>Primary raw stream</x:v>
      </x:c>
      <x:c r="J327" s="17" t="str">
        <x:v>Primary metrology</x:v>
      </x:c>
      <x:c r="K327" s="17" t="str">
        <x:v>Public custody A</x:v>
      </x:c>
      <x:c r="L327" s="9" t="n">
        <x:v>0</x:v>
      </x:c>
      <x:c r="M327" s="9" t="n">
        <x:v>0</x:v>
      </x:c>
      <x:c r="N327" s="9" t="n">
        <x:v>0</x:v>
      </x:c>
      <x:c r="O327" s="9" t="n">
        <x:v>0</x:v>
      </x:c>
      <x:c r="P327" s="9" t="str">
        <x:v>UNSEALED / SOURCE-EMPTY</x:v>
      </x:c>
      <x:c r="Q327" s="9" t="n">
        <x:f>COUNTIFS($A$7:$A$1158,A327)</x:f>
        <x:v>1</x:v>
      </x:c>
    </x:row>
    <x:row r="328">
      <x:c r="A328" s="9" t="str">
        <x:v>EV-AR-RT-B-C-TECH-4-B2-RCN-G0-RW02</x:v>
      </x:c>
      <x:c r="B328" s="9" t="str">
        <x:v>EV-AR-RT-B-C-TECH-4-B2-RCN-G0</x:v>
      </x:c>
      <x:c r="C328" s="9" t="str">
        <x:v>AR-RT-B-C-TECH-4-B2-RCN-G0</x:v>
      </x:c>
      <x:c r="D328" s="9" t="str">
        <x:v>RT-B-C-TECH-4</x:v>
      </x:c>
      <x:c r="E328" s="9" t="str">
        <x:v>RT-B-C</x:v>
      </x:c>
      <x:c r="F328" s="9" t="str">
        <x:v>B2</x:v>
      </x:c>
      <x:c r="G328" s="9" t="str">
        <x:v>RCN</x:v>
      </x:c>
      <x:c r="H328" s="9" t="str">
        <x:v>RW02</x:v>
      </x:c>
      <x:c r="I328" s="17" t="str">
        <x:v>Unlike witness stream</x:v>
      </x:c>
      <x:c r="J328" s="17" t="str">
        <x:v>Witness metrology</x:v>
      </x:c>
      <x:c r="K328" s="17" t="str">
        <x:v>Public custody B</x:v>
      </x:c>
      <x:c r="L328" s="9" t="n">
        <x:v>0</x:v>
      </x:c>
      <x:c r="M328" s="9" t="n">
        <x:v>0</x:v>
      </x:c>
      <x:c r="N328" s="9" t="n">
        <x:v>0</x:v>
      </x:c>
      <x:c r="O328" s="9" t="n">
        <x:v>0</x:v>
      </x:c>
      <x:c r="P328" s="9" t="str">
        <x:v>UNSEALED / SOURCE-EMPTY</x:v>
      </x:c>
      <x:c r="Q328" s="9" t="n">
        <x:f>COUNTIFS($A$7:$A$1158,A328)</x:f>
        <x:v>1</x:v>
      </x:c>
    </x:row>
    <x:row r="329">
      <x:c r="A329" s="9" t="str">
        <x:v>EV-AR-RT-B-C-TECH-4-B2-RCN-G0-RW03</x:v>
      </x:c>
      <x:c r="B329" s="9" t="str">
        <x:v>EV-AR-RT-B-C-TECH-4-B2-RCN-G0</x:v>
      </x:c>
      <x:c r="C329" s="9" t="str">
        <x:v>AR-RT-B-C-TECH-4-B2-RCN-G0</x:v>
      </x:c>
      <x:c r="D329" s="9" t="str">
        <x:v>RT-B-C-TECH-4</x:v>
      </x:c>
      <x:c r="E329" s="9" t="str">
        <x:v>RT-B-C</x:v>
      </x:c>
      <x:c r="F329" s="9" t="str">
        <x:v>B2</x:v>
      </x:c>
      <x:c r="G329" s="9" t="str">
        <x:v>RCN</x:v>
      </x:c>
      <x:c r="H329" s="9" t="str">
        <x:v>RW03</x:v>
      </x:c>
      <x:c r="I329" s="17" t="str">
        <x:v>Event clock and start traces</x:v>
      </x:c>
      <x:c r="J329" s="17" t="str">
        <x:v>Event clock authority</x:v>
      </x:c>
      <x:c r="K329" s="17" t="str">
        <x:v>Public custody C</x:v>
      </x:c>
      <x:c r="L329" s="9" t="n">
        <x:v>0</x:v>
      </x:c>
      <x:c r="M329" s="9" t="n">
        <x:v>0</x:v>
      </x:c>
      <x:c r="N329" s="9" t="n">
        <x:v>0</x:v>
      </x:c>
      <x:c r="O329" s="9" t="n">
        <x:v>0</x:v>
      </x:c>
      <x:c r="P329" s="9" t="str">
        <x:v>UNSEALED / SOURCE-EMPTY</x:v>
      </x:c>
      <x:c r="Q329" s="9" t="n">
        <x:f>COUNTIFS($A$7:$A$1158,A329)</x:f>
        <x:v>1</x:v>
      </x:c>
    </x:row>
    <x:row r="330">
      <x:c r="A330" s="9" t="str">
        <x:v>EV-AR-RT-B-C-TECH-4-B2-RCN-G0-RW04</x:v>
      </x:c>
      <x:c r="B330" s="9" t="str">
        <x:v>EV-AR-RT-B-C-TECH-4-B2-RCN-G0</x:v>
      </x:c>
      <x:c r="C330" s="9" t="str">
        <x:v>AR-RT-B-C-TECH-4-B2-RCN-G0</x:v>
      </x:c>
      <x:c r="D330" s="9" t="str">
        <x:v>RT-B-C-TECH-4</x:v>
      </x:c>
      <x:c r="E330" s="9" t="str">
        <x:v>RT-B-C</x:v>
      </x:c>
      <x:c r="F330" s="9" t="str">
        <x:v>B2</x:v>
      </x:c>
      <x:c r="G330" s="9" t="str">
        <x:v>RCN</x:v>
      </x:c>
      <x:c r="H330" s="9" t="str">
        <x:v>RW04</x:v>
      </x:c>
      <x:c r="I330" s="17" t="str">
        <x:v>Environmental boundary stream</x:v>
      </x:c>
      <x:c r="J330" s="17" t="str">
        <x:v>Site metrology</x:v>
      </x:c>
      <x:c r="K330" s="17" t="str">
        <x:v>Public custody D</x:v>
      </x:c>
      <x:c r="L330" s="9" t="n">
        <x:v>0</x:v>
      </x:c>
      <x:c r="M330" s="9" t="n">
        <x:v>0</x:v>
      </x:c>
      <x:c r="N330" s="9" t="n">
        <x:v>0</x:v>
      </x:c>
      <x:c r="O330" s="9" t="n">
        <x:v>0</x:v>
      </x:c>
      <x:c r="P330" s="9" t="str">
        <x:v>UNSEALED / SOURCE-EMPTY</x:v>
      </x:c>
      <x:c r="Q330" s="9" t="n">
        <x:f>COUNTIFS($A$7:$A$1158,A330)</x:f>
        <x:v>1</x:v>
      </x:c>
    </x:row>
    <x:row r="331">
      <x:c r="A331" s="9" t="str">
        <x:v>EV-AR-RT-B-C-TECH-4-B2-RCN-G0-RW05</x:v>
      </x:c>
      <x:c r="B331" s="9" t="str">
        <x:v>EV-AR-RT-B-C-TECH-4-B2-RCN-G0</x:v>
      </x:c>
      <x:c r="C331" s="9" t="str">
        <x:v>AR-RT-B-C-TECH-4-B2-RCN-G0</x:v>
      </x:c>
      <x:c r="D331" s="9" t="str">
        <x:v>RT-B-C-TECH-4</x:v>
      </x:c>
      <x:c r="E331" s="9" t="str">
        <x:v>RT-B-C</x:v>
      </x:c>
      <x:c r="F331" s="9" t="str">
        <x:v>B2</x:v>
      </x:c>
      <x:c r="G331" s="9" t="str">
        <x:v>RCN</x:v>
      </x:c>
      <x:c r="H331" s="9" t="str">
        <x:v>RW05</x:v>
      </x:c>
      <x:c r="I331" s="17" t="str">
        <x:v>Command and intervention log</x:v>
      </x:c>
      <x:c r="J331" s="17" t="str">
        <x:v>Safety authority</x:v>
      </x:c>
      <x:c r="K331" s="17" t="str">
        <x:v>Public custody E</x:v>
      </x:c>
      <x:c r="L331" s="9" t="n">
        <x:v>0</x:v>
      </x:c>
      <x:c r="M331" s="9" t="n">
        <x:v>0</x:v>
      </x:c>
      <x:c r="N331" s="9" t="n">
        <x:v>0</x:v>
      </x:c>
      <x:c r="O331" s="9" t="n">
        <x:v>0</x:v>
      </x:c>
      <x:c r="P331" s="9" t="str">
        <x:v>UNSEALED / SOURCE-EMPTY</x:v>
      </x:c>
      <x:c r="Q331" s="9" t="n">
        <x:f>COUNTIFS($A$7:$A$1158,A331)</x:f>
        <x:v>1</x:v>
      </x:c>
    </x:row>
    <x:row r="332">
      <x:c r="A332" s="9" t="str">
        <x:v>EV-AR-RT-B-C-TECH-4-B2-RCN-G0-RW06</x:v>
      </x:c>
      <x:c r="B332" s="9" t="str">
        <x:v>EV-AR-RT-B-C-TECH-4-B2-RCN-G0</x:v>
      </x:c>
      <x:c r="C332" s="9" t="str">
        <x:v>AR-RT-B-C-TECH-4-B2-RCN-G0</x:v>
      </x:c>
      <x:c r="D332" s="9" t="str">
        <x:v>RT-B-C-TECH-4</x:v>
      </x:c>
      <x:c r="E332" s="9" t="str">
        <x:v>RT-B-C</x:v>
      </x:c>
      <x:c r="F332" s="9" t="str">
        <x:v>B2</x:v>
      </x:c>
      <x:c r="G332" s="9" t="str">
        <x:v>RCN</x:v>
      </x:c>
      <x:c r="H332" s="9" t="str">
        <x:v>RW06</x:v>
      </x:c>
      <x:c r="I332" s="17" t="str">
        <x:v>Receiver service ledger</x:v>
      </x:c>
      <x:c r="J332" s="17" t="str">
        <x:v>Receiver authority</x:v>
      </x:c>
      <x:c r="K332" s="17" t="str">
        <x:v>Public custody F</x:v>
      </x:c>
      <x:c r="L332" s="9" t="n">
        <x:v>0</x:v>
      </x:c>
      <x:c r="M332" s="9" t="n">
        <x:v>0</x:v>
      </x:c>
      <x:c r="N332" s="9" t="n">
        <x:v>0</x:v>
      </x:c>
      <x:c r="O332" s="9" t="n">
        <x:v>0</x:v>
      </x:c>
      <x:c r="P332" s="9" t="str">
        <x:v>UNSEALED / SOURCE-EMPTY</x:v>
      </x:c>
      <x:c r="Q332" s="9" t="n">
        <x:f>COUNTIFS($A$7:$A$1158,A332)</x:f>
        <x:v>1</x:v>
      </x:c>
    </x:row>
    <x:row r="333">
      <x:c r="A333" s="9" t="str">
        <x:v>EV-AR-RT-B-C-TECH-4-B2-RCN-G0-RW07</x:v>
      </x:c>
      <x:c r="B333" s="9" t="str">
        <x:v>EV-AR-RT-B-C-TECH-4-B2-RCN-G0</x:v>
      </x:c>
      <x:c r="C333" s="9" t="str">
        <x:v>AR-RT-B-C-TECH-4-B2-RCN-G0</x:v>
      </x:c>
      <x:c r="D333" s="9" t="str">
        <x:v>RT-B-C-TECH-4</x:v>
      </x:c>
      <x:c r="E333" s="9" t="str">
        <x:v>RT-B-C</x:v>
      </x:c>
      <x:c r="F333" s="9" t="str">
        <x:v>B2</x:v>
      </x:c>
      <x:c r="G333" s="9" t="str">
        <x:v>RCN</x:v>
      </x:c>
      <x:c r="H333" s="9" t="str">
        <x:v>RW07</x:v>
      </x:c>
      <x:c r="I333" s="17" t="str">
        <x:v>Candidate interface telemetry</x:v>
      </x:c>
      <x:c r="J333" s="17" t="str">
        <x:v>Interface custodian</x:v>
      </x:c>
      <x:c r="K333" s="17" t="str">
        <x:v>Public custody A</x:v>
      </x:c>
      <x:c r="L333" s="9" t="n">
        <x:v>0</x:v>
      </x:c>
      <x:c r="M333" s="9" t="n">
        <x:v>0</x:v>
      </x:c>
      <x:c r="N333" s="9" t="n">
        <x:v>0</x:v>
      </x:c>
      <x:c r="O333" s="9" t="n">
        <x:v>0</x:v>
      </x:c>
      <x:c r="P333" s="9" t="str">
        <x:v>UNSEALED / SOURCE-EMPTY</x:v>
      </x:c>
      <x:c r="Q333" s="9" t="n">
        <x:f>COUNTIFS($A$7:$A$1158,A333)</x:f>
        <x:v>1</x:v>
      </x:c>
    </x:row>
    <x:row r="334">
      <x:c r="A334" s="9" t="str">
        <x:v>EV-AR-RT-B-C-TECH-4-B2-RCN-G0-RW08</x:v>
      </x:c>
      <x:c r="B334" s="9" t="str">
        <x:v>EV-AR-RT-B-C-TECH-4-B2-RCN-G0</x:v>
      </x:c>
      <x:c r="C334" s="9" t="str">
        <x:v>AR-RT-B-C-TECH-4-B2-RCN-G0</x:v>
      </x:c>
      <x:c r="D334" s="9" t="str">
        <x:v>RT-B-C-TECH-4</x:v>
      </x:c>
      <x:c r="E334" s="9" t="str">
        <x:v>RT-B-C</x:v>
      </x:c>
      <x:c r="F334" s="9" t="str">
        <x:v>B2</x:v>
      </x:c>
      <x:c r="G334" s="9" t="str">
        <x:v>RCN</x:v>
      </x:c>
      <x:c r="H334" s="9" t="str">
        <x:v>RW08</x:v>
      </x:c>
      <x:c r="I334" s="17" t="str">
        <x:v>Residual and physical evidence</x:v>
      </x:c>
      <x:c r="J334" s="17" t="str">
        <x:v>Residual authority</x:v>
      </x:c>
      <x:c r="K334" s="17" t="str">
        <x:v>Public custody B</x:v>
      </x:c>
      <x:c r="L334" s="9" t="n">
        <x:v>0</x:v>
      </x:c>
      <x:c r="M334" s="9" t="n">
        <x:v>0</x:v>
      </x:c>
      <x:c r="N334" s="9" t="n">
        <x:v>0</x:v>
      </x:c>
      <x:c r="O334" s="9" t="n">
        <x:v>0</x:v>
      </x:c>
      <x:c r="P334" s="9" t="str">
        <x:v>UNSEALED / SOURCE-EMPTY</x:v>
      </x:c>
      <x:c r="Q334" s="9" t="n">
        <x:f>COUNTIFS($A$7:$A$1158,A334)</x:f>
        <x:v>1</x:v>
      </x:c>
    </x:row>
    <x:row r="335">
      <x:c r="A335" s="9" t="str">
        <x:v>EV-AR-RT-B-C-TECH-2-B2-INT-G0-RW01</x:v>
      </x:c>
      <x:c r="B335" s="9" t="str">
        <x:v>EV-AR-RT-B-C-TECH-2-B2-INT-G0</x:v>
      </x:c>
      <x:c r="C335" s="9" t="str">
        <x:v>AR-RT-B-C-TECH-2-B2-INT-G0</x:v>
      </x:c>
      <x:c r="D335" s="9" t="str">
        <x:v>RT-B-C-TECH-2</x:v>
      </x:c>
      <x:c r="E335" s="9" t="str">
        <x:v>RT-B-C</x:v>
      </x:c>
      <x:c r="F335" s="9" t="str">
        <x:v>B2</x:v>
      </x:c>
      <x:c r="G335" s="9" t="str">
        <x:v>INT</x:v>
      </x:c>
      <x:c r="H335" s="9" t="str">
        <x:v>RW01</x:v>
      </x:c>
      <x:c r="I335" s="17" t="str">
        <x:v>Primary raw stream</x:v>
      </x:c>
      <x:c r="J335" s="17" t="str">
        <x:v>Primary metrology</x:v>
      </x:c>
      <x:c r="K335" s="17" t="str">
        <x:v>Public custody A</x:v>
      </x:c>
      <x:c r="L335" s="9" t="n">
        <x:v>0</x:v>
      </x:c>
      <x:c r="M335" s="9" t="n">
        <x:v>0</x:v>
      </x:c>
      <x:c r="N335" s="9" t="n">
        <x:v>0</x:v>
      </x:c>
      <x:c r="O335" s="9" t="n">
        <x:v>0</x:v>
      </x:c>
      <x:c r="P335" s="9" t="str">
        <x:v>UNSEALED / SOURCE-EMPTY</x:v>
      </x:c>
      <x:c r="Q335" s="9" t="n">
        <x:f>COUNTIFS($A$7:$A$1158,A335)</x:f>
        <x:v>1</x:v>
      </x:c>
    </x:row>
    <x:row r="336">
      <x:c r="A336" s="9" t="str">
        <x:v>EV-AR-RT-B-C-TECH-2-B2-INT-G0-RW02</x:v>
      </x:c>
      <x:c r="B336" s="9" t="str">
        <x:v>EV-AR-RT-B-C-TECH-2-B2-INT-G0</x:v>
      </x:c>
      <x:c r="C336" s="9" t="str">
        <x:v>AR-RT-B-C-TECH-2-B2-INT-G0</x:v>
      </x:c>
      <x:c r="D336" s="9" t="str">
        <x:v>RT-B-C-TECH-2</x:v>
      </x:c>
      <x:c r="E336" s="9" t="str">
        <x:v>RT-B-C</x:v>
      </x:c>
      <x:c r="F336" s="9" t="str">
        <x:v>B2</x:v>
      </x:c>
      <x:c r="G336" s="9" t="str">
        <x:v>INT</x:v>
      </x:c>
      <x:c r="H336" s="9" t="str">
        <x:v>RW02</x:v>
      </x:c>
      <x:c r="I336" s="17" t="str">
        <x:v>Unlike witness stream</x:v>
      </x:c>
      <x:c r="J336" s="17" t="str">
        <x:v>Witness metrology</x:v>
      </x:c>
      <x:c r="K336" s="17" t="str">
        <x:v>Public custody B</x:v>
      </x:c>
      <x:c r="L336" s="9" t="n">
        <x:v>0</x:v>
      </x:c>
      <x:c r="M336" s="9" t="n">
        <x:v>0</x:v>
      </x:c>
      <x:c r="N336" s="9" t="n">
        <x:v>0</x:v>
      </x:c>
      <x:c r="O336" s="9" t="n">
        <x:v>0</x:v>
      </x:c>
      <x:c r="P336" s="9" t="str">
        <x:v>UNSEALED / SOURCE-EMPTY</x:v>
      </x:c>
      <x:c r="Q336" s="9" t="n">
        <x:f>COUNTIFS($A$7:$A$1158,A336)</x:f>
        <x:v>1</x:v>
      </x:c>
    </x:row>
    <x:row r="337">
      <x:c r="A337" s="9" t="str">
        <x:v>EV-AR-RT-B-C-TECH-2-B2-INT-G0-RW03</x:v>
      </x:c>
      <x:c r="B337" s="9" t="str">
        <x:v>EV-AR-RT-B-C-TECH-2-B2-INT-G0</x:v>
      </x:c>
      <x:c r="C337" s="9" t="str">
        <x:v>AR-RT-B-C-TECH-2-B2-INT-G0</x:v>
      </x:c>
      <x:c r="D337" s="9" t="str">
        <x:v>RT-B-C-TECH-2</x:v>
      </x:c>
      <x:c r="E337" s="9" t="str">
        <x:v>RT-B-C</x:v>
      </x:c>
      <x:c r="F337" s="9" t="str">
        <x:v>B2</x:v>
      </x:c>
      <x:c r="G337" s="9" t="str">
        <x:v>INT</x:v>
      </x:c>
      <x:c r="H337" s="9" t="str">
        <x:v>RW03</x:v>
      </x:c>
      <x:c r="I337" s="17" t="str">
        <x:v>Event clock and start traces</x:v>
      </x:c>
      <x:c r="J337" s="17" t="str">
        <x:v>Event clock authority</x:v>
      </x:c>
      <x:c r="K337" s="17" t="str">
        <x:v>Public custody C</x:v>
      </x:c>
      <x:c r="L337" s="9" t="n">
        <x:v>0</x:v>
      </x:c>
      <x:c r="M337" s="9" t="n">
        <x:v>0</x:v>
      </x:c>
      <x:c r="N337" s="9" t="n">
        <x:v>0</x:v>
      </x:c>
      <x:c r="O337" s="9" t="n">
        <x:v>0</x:v>
      </x:c>
      <x:c r="P337" s="9" t="str">
        <x:v>UNSEALED / SOURCE-EMPTY</x:v>
      </x:c>
      <x:c r="Q337" s="9" t="n">
        <x:f>COUNTIFS($A$7:$A$1158,A337)</x:f>
        <x:v>1</x:v>
      </x:c>
    </x:row>
    <x:row r="338">
      <x:c r="A338" s="9" t="str">
        <x:v>EV-AR-RT-B-C-TECH-2-B2-INT-G0-RW04</x:v>
      </x:c>
      <x:c r="B338" s="9" t="str">
        <x:v>EV-AR-RT-B-C-TECH-2-B2-INT-G0</x:v>
      </x:c>
      <x:c r="C338" s="9" t="str">
        <x:v>AR-RT-B-C-TECH-2-B2-INT-G0</x:v>
      </x:c>
      <x:c r="D338" s="9" t="str">
        <x:v>RT-B-C-TECH-2</x:v>
      </x:c>
      <x:c r="E338" s="9" t="str">
        <x:v>RT-B-C</x:v>
      </x:c>
      <x:c r="F338" s="9" t="str">
        <x:v>B2</x:v>
      </x:c>
      <x:c r="G338" s="9" t="str">
        <x:v>INT</x:v>
      </x:c>
      <x:c r="H338" s="9" t="str">
        <x:v>RW04</x:v>
      </x:c>
      <x:c r="I338" s="17" t="str">
        <x:v>Environmental boundary stream</x:v>
      </x:c>
      <x:c r="J338" s="17" t="str">
        <x:v>Site metrology</x:v>
      </x:c>
      <x:c r="K338" s="17" t="str">
        <x:v>Public custody D</x:v>
      </x:c>
      <x:c r="L338" s="9" t="n">
        <x:v>0</x:v>
      </x:c>
      <x:c r="M338" s="9" t="n">
        <x:v>0</x:v>
      </x:c>
      <x:c r="N338" s="9" t="n">
        <x:v>0</x:v>
      </x:c>
      <x:c r="O338" s="9" t="n">
        <x:v>0</x:v>
      </x:c>
      <x:c r="P338" s="9" t="str">
        <x:v>UNSEALED / SOURCE-EMPTY</x:v>
      </x:c>
      <x:c r="Q338" s="9" t="n">
        <x:f>COUNTIFS($A$7:$A$1158,A338)</x:f>
        <x:v>1</x:v>
      </x:c>
    </x:row>
    <x:row r="339">
      <x:c r="A339" s="9" t="str">
        <x:v>EV-AR-RT-B-C-TECH-2-B2-INT-G0-RW05</x:v>
      </x:c>
      <x:c r="B339" s="9" t="str">
        <x:v>EV-AR-RT-B-C-TECH-2-B2-INT-G0</x:v>
      </x:c>
      <x:c r="C339" s="9" t="str">
        <x:v>AR-RT-B-C-TECH-2-B2-INT-G0</x:v>
      </x:c>
      <x:c r="D339" s="9" t="str">
        <x:v>RT-B-C-TECH-2</x:v>
      </x:c>
      <x:c r="E339" s="9" t="str">
        <x:v>RT-B-C</x:v>
      </x:c>
      <x:c r="F339" s="9" t="str">
        <x:v>B2</x:v>
      </x:c>
      <x:c r="G339" s="9" t="str">
        <x:v>INT</x:v>
      </x:c>
      <x:c r="H339" s="9" t="str">
        <x:v>RW05</x:v>
      </x:c>
      <x:c r="I339" s="17" t="str">
        <x:v>Command and intervention log</x:v>
      </x:c>
      <x:c r="J339" s="17" t="str">
        <x:v>Safety authority</x:v>
      </x:c>
      <x:c r="K339" s="17" t="str">
        <x:v>Public custody E</x:v>
      </x:c>
      <x:c r="L339" s="9" t="n">
        <x:v>0</x:v>
      </x:c>
      <x:c r="M339" s="9" t="n">
        <x:v>0</x:v>
      </x:c>
      <x:c r="N339" s="9" t="n">
        <x:v>0</x:v>
      </x:c>
      <x:c r="O339" s="9" t="n">
        <x:v>0</x:v>
      </x:c>
      <x:c r="P339" s="9" t="str">
        <x:v>UNSEALED / SOURCE-EMPTY</x:v>
      </x:c>
      <x:c r="Q339" s="9" t="n">
        <x:f>COUNTIFS($A$7:$A$1158,A339)</x:f>
        <x:v>1</x:v>
      </x:c>
    </x:row>
    <x:row r="340">
      <x:c r="A340" s="9" t="str">
        <x:v>EV-AR-RT-B-C-TECH-2-B2-INT-G0-RW06</x:v>
      </x:c>
      <x:c r="B340" s="9" t="str">
        <x:v>EV-AR-RT-B-C-TECH-2-B2-INT-G0</x:v>
      </x:c>
      <x:c r="C340" s="9" t="str">
        <x:v>AR-RT-B-C-TECH-2-B2-INT-G0</x:v>
      </x:c>
      <x:c r="D340" s="9" t="str">
        <x:v>RT-B-C-TECH-2</x:v>
      </x:c>
      <x:c r="E340" s="9" t="str">
        <x:v>RT-B-C</x:v>
      </x:c>
      <x:c r="F340" s="9" t="str">
        <x:v>B2</x:v>
      </x:c>
      <x:c r="G340" s="9" t="str">
        <x:v>INT</x:v>
      </x:c>
      <x:c r="H340" s="9" t="str">
        <x:v>RW06</x:v>
      </x:c>
      <x:c r="I340" s="17" t="str">
        <x:v>Receiver service ledger</x:v>
      </x:c>
      <x:c r="J340" s="17" t="str">
        <x:v>Receiver authority</x:v>
      </x:c>
      <x:c r="K340" s="17" t="str">
        <x:v>Public custody F</x:v>
      </x:c>
      <x:c r="L340" s="9" t="n">
        <x:v>0</x:v>
      </x:c>
      <x:c r="M340" s="9" t="n">
        <x:v>0</x:v>
      </x:c>
      <x:c r="N340" s="9" t="n">
        <x:v>0</x:v>
      </x:c>
      <x:c r="O340" s="9" t="n">
        <x:v>0</x:v>
      </x:c>
      <x:c r="P340" s="9" t="str">
        <x:v>UNSEALED / SOURCE-EMPTY</x:v>
      </x:c>
      <x:c r="Q340" s="9" t="n">
        <x:f>COUNTIFS($A$7:$A$1158,A340)</x:f>
        <x:v>1</x:v>
      </x:c>
    </x:row>
    <x:row r="341">
      <x:c r="A341" s="9" t="str">
        <x:v>EV-AR-RT-B-C-TECH-2-B2-INT-G0-RW07</x:v>
      </x:c>
      <x:c r="B341" s="9" t="str">
        <x:v>EV-AR-RT-B-C-TECH-2-B2-INT-G0</x:v>
      </x:c>
      <x:c r="C341" s="9" t="str">
        <x:v>AR-RT-B-C-TECH-2-B2-INT-G0</x:v>
      </x:c>
      <x:c r="D341" s="9" t="str">
        <x:v>RT-B-C-TECH-2</x:v>
      </x:c>
      <x:c r="E341" s="9" t="str">
        <x:v>RT-B-C</x:v>
      </x:c>
      <x:c r="F341" s="9" t="str">
        <x:v>B2</x:v>
      </x:c>
      <x:c r="G341" s="9" t="str">
        <x:v>INT</x:v>
      </x:c>
      <x:c r="H341" s="9" t="str">
        <x:v>RW07</x:v>
      </x:c>
      <x:c r="I341" s="17" t="str">
        <x:v>Candidate interface telemetry</x:v>
      </x:c>
      <x:c r="J341" s="17" t="str">
        <x:v>Interface custodian</x:v>
      </x:c>
      <x:c r="K341" s="17" t="str">
        <x:v>Public custody A</x:v>
      </x:c>
      <x:c r="L341" s="9" t="n">
        <x:v>0</x:v>
      </x:c>
      <x:c r="M341" s="9" t="n">
        <x:v>0</x:v>
      </x:c>
      <x:c r="N341" s="9" t="n">
        <x:v>0</x:v>
      </x:c>
      <x:c r="O341" s="9" t="n">
        <x:v>0</x:v>
      </x:c>
      <x:c r="P341" s="9" t="str">
        <x:v>UNSEALED / SOURCE-EMPTY</x:v>
      </x:c>
      <x:c r="Q341" s="9" t="n">
        <x:f>COUNTIFS($A$7:$A$1158,A341)</x:f>
        <x:v>1</x:v>
      </x:c>
    </x:row>
    <x:row r="342">
      <x:c r="A342" s="9" t="str">
        <x:v>EV-AR-RT-B-C-TECH-2-B2-INT-G0-RW08</x:v>
      </x:c>
      <x:c r="B342" s="9" t="str">
        <x:v>EV-AR-RT-B-C-TECH-2-B2-INT-G0</x:v>
      </x:c>
      <x:c r="C342" s="9" t="str">
        <x:v>AR-RT-B-C-TECH-2-B2-INT-G0</x:v>
      </x:c>
      <x:c r="D342" s="9" t="str">
        <x:v>RT-B-C-TECH-2</x:v>
      </x:c>
      <x:c r="E342" s="9" t="str">
        <x:v>RT-B-C</x:v>
      </x:c>
      <x:c r="F342" s="9" t="str">
        <x:v>B2</x:v>
      </x:c>
      <x:c r="G342" s="9" t="str">
        <x:v>INT</x:v>
      </x:c>
      <x:c r="H342" s="9" t="str">
        <x:v>RW08</x:v>
      </x:c>
      <x:c r="I342" s="17" t="str">
        <x:v>Residual and physical evidence</x:v>
      </x:c>
      <x:c r="J342" s="17" t="str">
        <x:v>Residual authority</x:v>
      </x:c>
      <x:c r="K342" s="17" t="str">
        <x:v>Public custody B</x:v>
      </x:c>
      <x:c r="L342" s="9" t="n">
        <x:v>0</x:v>
      </x:c>
      <x:c r="M342" s="9" t="n">
        <x:v>0</x:v>
      </x:c>
      <x:c r="N342" s="9" t="n">
        <x:v>0</x:v>
      </x:c>
      <x:c r="O342" s="9" t="n">
        <x:v>0</x:v>
      </x:c>
      <x:c r="P342" s="9" t="str">
        <x:v>UNSEALED / SOURCE-EMPTY</x:v>
      </x:c>
      <x:c r="Q342" s="9" t="n">
        <x:f>COUNTIFS($A$7:$A$1158,A342)</x:f>
        <x:v>1</x:v>
      </x:c>
    </x:row>
    <x:row r="343">
      <x:c r="A343" s="9" t="str">
        <x:v>EV-AR-CT-C-B-TECH-1-B1-INT-G0-RW01</x:v>
      </x:c>
      <x:c r="B343" s="9" t="str">
        <x:v>EV-AR-CT-C-B-TECH-1-B1-INT-G0</x:v>
      </x:c>
      <x:c r="C343" s="9" t="str">
        <x:v>AR-CT-C-B-TECH-1-B1-INT-G0</x:v>
      </x:c>
      <x:c r="D343" s="9" t="str">
        <x:v>CT-C-B-TECH-1</x:v>
      </x:c>
      <x:c r="E343" s="9" t="str">
        <x:v>CT-C-B</x:v>
      </x:c>
      <x:c r="F343" s="9" t="str">
        <x:v>B1</x:v>
      </x:c>
      <x:c r="G343" s="9" t="str">
        <x:v>INT</x:v>
      </x:c>
      <x:c r="H343" s="9" t="str">
        <x:v>RW01</x:v>
      </x:c>
      <x:c r="I343" s="17" t="str">
        <x:v>Primary raw stream</x:v>
      </x:c>
      <x:c r="J343" s="17" t="str">
        <x:v>Primary metrology</x:v>
      </x:c>
      <x:c r="K343" s="17" t="str">
        <x:v>Public custody A</x:v>
      </x:c>
      <x:c r="L343" s="9" t="n">
        <x:v>0</x:v>
      </x:c>
      <x:c r="M343" s="9" t="n">
        <x:v>0</x:v>
      </x:c>
      <x:c r="N343" s="9" t="n">
        <x:v>0</x:v>
      </x:c>
      <x:c r="O343" s="9" t="n">
        <x:v>0</x:v>
      </x:c>
      <x:c r="P343" s="9" t="str">
        <x:v>UNSEALED / SOURCE-EMPTY</x:v>
      </x:c>
      <x:c r="Q343" s="9" t="n">
        <x:f>COUNTIFS($A$7:$A$1158,A343)</x:f>
        <x:v>1</x:v>
      </x:c>
    </x:row>
    <x:row r="344">
      <x:c r="A344" s="9" t="str">
        <x:v>EV-AR-CT-C-B-TECH-1-B1-INT-G0-RW02</x:v>
      </x:c>
      <x:c r="B344" s="9" t="str">
        <x:v>EV-AR-CT-C-B-TECH-1-B1-INT-G0</x:v>
      </x:c>
      <x:c r="C344" s="9" t="str">
        <x:v>AR-CT-C-B-TECH-1-B1-INT-G0</x:v>
      </x:c>
      <x:c r="D344" s="9" t="str">
        <x:v>CT-C-B-TECH-1</x:v>
      </x:c>
      <x:c r="E344" s="9" t="str">
        <x:v>CT-C-B</x:v>
      </x:c>
      <x:c r="F344" s="9" t="str">
        <x:v>B1</x:v>
      </x:c>
      <x:c r="G344" s="9" t="str">
        <x:v>INT</x:v>
      </x:c>
      <x:c r="H344" s="9" t="str">
        <x:v>RW02</x:v>
      </x:c>
      <x:c r="I344" s="17" t="str">
        <x:v>Unlike witness stream</x:v>
      </x:c>
      <x:c r="J344" s="17" t="str">
        <x:v>Witness metrology</x:v>
      </x:c>
      <x:c r="K344" s="17" t="str">
        <x:v>Public custody B</x:v>
      </x:c>
      <x:c r="L344" s="9" t="n">
        <x:v>0</x:v>
      </x:c>
      <x:c r="M344" s="9" t="n">
        <x:v>0</x:v>
      </x:c>
      <x:c r="N344" s="9" t="n">
        <x:v>0</x:v>
      </x:c>
      <x:c r="O344" s="9" t="n">
        <x:v>0</x:v>
      </x:c>
      <x:c r="P344" s="9" t="str">
        <x:v>UNSEALED / SOURCE-EMPTY</x:v>
      </x:c>
      <x:c r="Q344" s="9" t="n">
        <x:f>COUNTIFS($A$7:$A$1158,A344)</x:f>
        <x:v>1</x:v>
      </x:c>
    </x:row>
    <x:row r="345">
      <x:c r="A345" s="9" t="str">
        <x:v>EV-AR-CT-C-B-TECH-1-B1-INT-G0-RW03</x:v>
      </x:c>
      <x:c r="B345" s="9" t="str">
        <x:v>EV-AR-CT-C-B-TECH-1-B1-INT-G0</x:v>
      </x:c>
      <x:c r="C345" s="9" t="str">
        <x:v>AR-CT-C-B-TECH-1-B1-INT-G0</x:v>
      </x:c>
      <x:c r="D345" s="9" t="str">
        <x:v>CT-C-B-TECH-1</x:v>
      </x:c>
      <x:c r="E345" s="9" t="str">
        <x:v>CT-C-B</x:v>
      </x:c>
      <x:c r="F345" s="9" t="str">
        <x:v>B1</x:v>
      </x:c>
      <x:c r="G345" s="9" t="str">
        <x:v>INT</x:v>
      </x:c>
      <x:c r="H345" s="9" t="str">
        <x:v>RW03</x:v>
      </x:c>
      <x:c r="I345" s="17" t="str">
        <x:v>Event clock and start traces</x:v>
      </x:c>
      <x:c r="J345" s="17" t="str">
        <x:v>Event clock authority</x:v>
      </x:c>
      <x:c r="K345" s="17" t="str">
        <x:v>Public custody C</x:v>
      </x:c>
      <x:c r="L345" s="9" t="n">
        <x:v>0</x:v>
      </x:c>
      <x:c r="M345" s="9" t="n">
        <x:v>0</x:v>
      </x:c>
      <x:c r="N345" s="9" t="n">
        <x:v>0</x:v>
      </x:c>
      <x:c r="O345" s="9" t="n">
        <x:v>0</x:v>
      </x:c>
      <x:c r="P345" s="9" t="str">
        <x:v>UNSEALED / SOURCE-EMPTY</x:v>
      </x:c>
      <x:c r="Q345" s="9" t="n">
        <x:f>COUNTIFS($A$7:$A$1158,A345)</x:f>
        <x:v>1</x:v>
      </x:c>
    </x:row>
    <x:row r="346">
      <x:c r="A346" s="9" t="str">
        <x:v>EV-AR-CT-C-B-TECH-1-B1-INT-G0-RW04</x:v>
      </x:c>
      <x:c r="B346" s="9" t="str">
        <x:v>EV-AR-CT-C-B-TECH-1-B1-INT-G0</x:v>
      </x:c>
      <x:c r="C346" s="9" t="str">
        <x:v>AR-CT-C-B-TECH-1-B1-INT-G0</x:v>
      </x:c>
      <x:c r="D346" s="9" t="str">
        <x:v>CT-C-B-TECH-1</x:v>
      </x:c>
      <x:c r="E346" s="9" t="str">
        <x:v>CT-C-B</x:v>
      </x:c>
      <x:c r="F346" s="9" t="str">
        <x:v>B1</x:v>
      </x:c>
      <x:c r="G346" s="9" t="str">
        <x:v>INT</x:v>
      </x:c>
      <x:c r="H346" s="9" t="str">
        <x:v>RW04</x:v>
      </x:c>
      <x:c r="I346" s="17" t="str">
        <x:v>Environmental boundary stream</x:v>
      </x:c>
      <x:c r="J346" s="17" t="str">
        <x:v>Site metrology</x:v>
      </x:c>
      <x:c r="K346" s="17" t="str">
        <x:v>Public custody D</x:v>
      </x:c>
      <x:c r="L346" s="9" t="n">
        <x:v>0</x:v>
      </x:c>
      <x:c r="M346" s="9" t="n">
        <x:v>0</x:v>
      </x:c>
      <x:c r="N346" s="9" t="n">
        <x:v>0</x:v>
      </x:c>
      <x:c r="O346" s="9" t="n">
        <x:v>0</x:v>
      </x:c>
      <x:c r="P346" s="9" t="str">
        <x:v>UNSEALED / SOURCE-EMPTY</x:v>
      </x:c>
      <x:c r="Q346" s="9" t="n">
        <x:f>COUNTIFS($A$7:$A$1158,A346)</x:f>
        <x:v>1</x:v>
      </x:c>
    </x:row>
    <x:row r="347">
      <x:c r="A347" s="9" t="str">
        <x:v>EV-AR-CT-C-B-TECH-1-B1-INT-G0-RW05</x:v>
      </x:c>
      <x:c r="B347" s="9" t="str">
        <x:v>EV-AR-CT-C-B-TECH-1-B1-INT-G0</x:v>
      </x:c>
      <x:c r="C347" s="9" t="str">
        <x:v>AR-CT-C-B-TECH-1-B1-INT-G0</x:v>
      </x:c>
      <x:c r="D347" s="9" t="str">
        <x:v>CT-C-B-TECH-1</x:v>
      </x:c>
      <x:c r="E347" s="9" t="str">
        <x:v>CT-C-B</x:v>
      </x:c>
      <x:c r="F347" s="9" t="str">
        <x:v>B1</x:v>
      </x:c>
      <x:c r="G347" s="9" t="str">
        <x:v>INT</x:v>
      </x:c>
      <x:c r="H347" s="9" t="str">
        <x:v>RW05</x:v>
      </x:c>
      <x:c r="I347" s="17" t="str">
        <x:v>Command and intervention log</x:v>
      </x:c>
      <x:c r="J347" s="17" t="str">
        <x:v>Safety authority</x:v>
      </x:c>
      <x:c r="K347" s="17" t="str">
        <x:v>Public custody E</x:v>
      </x:c>
      <x:c r="L347" s="9" t="n">
        <x:v>0</x:v>
      </x:c>
      <x:c r="M347" s="9" t="n">
        <x:v>0</x:v>
      </x:c>
      <x:c r="N347" s="9" t="n">
        <x:v>0</x:v>
      </x:c>
      <x:c r="O347" s="9" t="n">
        <x:v>0</x:v>
      </x:c>
      <x:c r="P347" s="9" t="str">
        <x:v>UNSEALED / SOURCE-EMPTY</x:v>
      </x:c>
      <x:c r="Q347" s="9" t="n">
        <x:f>COUNTIFS($A$7:$A$1158,A347)</x:f>
        <x:v>1</x:v>
      </x:c>
    </x:row>
    <x:row r="348">
      <x:c r="A348" s="9" t="str">
        <x:v>EV-AR-CT-C-B-TECH-1-B1-INT-G0-RW06</x:v>
      </x:c>
      <x:c r="B348" s="9" t="str">
        <x:v>EV-AR-CT-C-B-TECH-1-B1-INT-G0</x:v>
      </x:c>
      <x:c r="C348" s="9" t="str">
        <x:v>AR-CT-C-B-TECH-1-B1-INT-G0</x:v>
      </x:c>
      <x:c r="D348" s="9" t="str">
        <x:v>CT-C-B-TECH-1</x:v>
      </x:c>
      <x:c r="E348" s="9" t="str">
        <x:v>CT-C-B</x:v>
      </x:c>
      <x:c r="F348" s="9" t="str">
        <x:v>B1</x:v>
      </x:c>
      <x:c r="G348" s="9" t="str">
        <x:v>INT</x:v>
      </x:c>
      <x:c r="H348" s="9" t="str">
        <x:v>RW06</x:v>
      </x:c>
      <x:c r="I348" s="17" t="str">
        <x:v>Receiver service ledger</x:v>
      </x:c>
      <x:c r="J348" s="17" t="str">
        <x:v>Receiver authority</x:v>
      </x:c>
      <x:c r="K348" s="17" t="str">
        <x:v>Public custody F</x:v>
      </x:c>
      <x:c r="L348" s="9" t="n">
        <x:v>0</x:v>
      </x:c>
      <x:c r="M348" s="9" t="n">
        <x:v>0</x:v>
      </x:c>
      <x:c r="N348" s="9" t="n">
        <x:v>0</x:v>
      </x:c>
      <x:c r="O348" s="9" t="n">
        <x:v>0</x:v>
      </x:c>
      <x:c r="P348" s="9" t="str">
        <x:v>UNSEALED / SOURCE-EMPTY</x:v>
      </x:c>
      <x:c r="Q348" s="9" t="n">
        <x:f>COUNTIFS($A$7:$A$1158,A348)</x:f>
        <x:v>1</x:v>
      </x:c>
    </x:row>
    <x:row r="349">
      <x:c r="A349" s="9" t="str">
        <x:v>EV-AR-CT-C-B-TECH-1-B1-INT-G0-RW07</x:v>
      </x:c>
      <x:c r="B349" s="9" t="str">
        <x:v>EV-AR-CT-C-B-TECH-1-B1-INT-G0</x:v>
      </x:c>
      <x:c r="C349" s="9" t="str">
        <x:v>AR-CT-C-B-TECH-1-B1-INT-G0</x:v>
      </x:c>
      <x:c r="D349" s="9" t="str">
        <x:v>CT-C-B-TECH-1</x:v>
      </x:c>
      <x:c r="E349" s="9" t="str">
        <x:v>CT-C-B</x:v>
      </x:c>
      <x:c r="F349" s="9" t="str">
        <x:v>B1</x:v>
      </x:c>
      <x:c r="G349" s="9" t="str">
        <x:v>INT</x:v>
      </x:c>
      <x:c r="H349" s="9" t="str">
        <x:v>RW07</x:v>
      </x:c>
      <x:c r="I349" s="17" t="str">
        <x:v>Candidate interface telemetry</x:v>
      </x:c>
      <x:c r="J349" s="17" t="str">
        <x:v>Interface custodian</x:v>
      </x:c>
      <x:c r="K349" s="17" t="str">
        <x:v>Public custody A</x:v>
      </x:c>
      <x:c r="L349" s="9" t="n">
        <x:v>0</x:v>
      </x:c>
      <x:c r="M349" s="9" t="n">
        <x:v>0</x:v>
      </x:c>
      <x:c r="N349" s="9" t="n">
        <x:v>0</x:v>
      </x:c>
      <x:c r="O349" s="9" t="n">
        <x:v>0</x:v>
      </x:c>
      <x:c r="P349" s="9" t="str">
        <x:v>UNSEALED / SOURCE-EMPTY</x:v>
      </x:c>
      <x:c r="Q349" s="9" t="n">
        <x:f>COUNTIFS($A$7:$A$1158,A349)</x:f>
        <x:v>1</x:v>
      </x:c>
    </x:row>
    <x:row r="350">
      <x:c r="A350" s="9" t="str">
        <x:v>EV-AR-CT-C-B-TECH-1-B1-INT-G0-RW08</x:v>
      </x:c>
      <x:c r="B350" s="9" t="str">
        <x:v>EV-AR-CT-C-B-TECH-1-B1-INT-G0</x:v>
      </x:c>
      <x:c r="C350" s="9" t="str">
        <x:v>AR-CT-C-B-TECH-1-B1-INT-G0</x:v>
      </x:c>
      <x:c r="D350" s="9" t="str">
        <x:v>CT-C-B-TECH-1</x:v>
      </x:c>
      <x:c r="E350" s="9" t="str">
        <x:v>CT-C-B</x:v>
      </x:c>
      <x:c r="F350" s="9" t="str">
        <x:v>B1</x:v>
      </x:c>
      <x:c r="G350" s="9" t="str">
        <x:v>INT</x:v>
      </x:c>
      <x:c r="H350" s="9" t="str">
        <x:v>RW08</x:v>
      </x:c>
      <x:c r="I350" s="17" t="str">
        <x:v>Residual and physical evidence</x:v>
      </x:c>
      <x:c r="J350" s="17" t="str">
        <x:v>Residual authority</x:v>
      </x:c>
      <x:c r="K350" s="17" t="str">
        <x:v>Public custody B</x:v>
      </x:c>
      <x:c r="L350" s="9" t="n">
        <x:v>0</x:v>
      </x:c>
      <x:c r="M350" s="9" t="n">
        <x:v>0</x:v>
      </x:c>
      <x:c r="N350" s="9" t="n">
        <x:v>0</x:v>
      </x:c>
      <x:c r="O350" s="9" t="n">
        <x:v>0</x:v>
      </x:c>
      <x:c r="P350" s="9" t="str">
        <x:v>UNSEALED / SOURCE-EMPTY</x:v>
      </x:c>
      <x:c r="Q350" s="9" t="n">
        <x:f>COUNTIFS($A$7:$A$1158,A350)</x:f>
        <x:v>1</x:v>
      </x:c>
    </x:row>
    <x:row r="351">
      <x:c r="A351" s="9" t="str">
        <x:v>EV-AR-CT-C-B-TECH-2-B2-RCN-G0-RW01</x:v>
      </x:c>
      <x:c r="B351" s="9" t="str">
        <x:v>EV-AR-CT-C-B-TECH-2-B2-RCN-G0</x:v>
      </x:c>
      <x:c r="C351" s="9" t="str">
        <x:v>AR-CT-C-B-TECH-2-B2-RCN-G0</x:v>
      </x:c>
      <x:c r="D351" s="9" t="str">
        <x:v>CT-C-B-TECH-2</x:v>
      </x:c>
      <x:c r="E351" s="9" t="str">
        <x:v>CT-C-B</x:v>
      </x:c>
      <x:c r="F351" s="9" t="str">
        <x:v>B2</x:v>
      </x:c>
      <x:c r="G351" s="9" t="str">
        <x:v>RCN</x:v>
      </x:c>
      <x:c r="H351" s="9" t="str">
        <x:v>RW01</x:v>
      </x:c>
      <x:c r="I351" s="17" t="str">
        <x:v>Primary raw stream</x:v>
      </x:c>
      <x:c r="J351" s="17" t="str">
        <x:v>Primary metrology</x:v>
      </x:c>
      <x:c r="K351" s="17" t="str">
        <x:v>Public custody A</x:v>
      </x:c>
      <x:c r="L351" s="9" t="n">
        <x:v>0</x:v>
      </x:c>
      <x:c r="M351" s="9" t="n">
        <x:v>0</x:v>
      </x:c>
      <x:c r="N351" s="9" t="n">
        <x:v>0</x:v>
      </x:c>
      <x:c r="O351" s="9" t="n">
        <x:v>0</x:v>
      </x:c>
      <x:c r="P351" s="9" t="str">
        <x:v>UNSEALED / SOURCE-EMPTY</x:v>
      </x:c>
      <x:c r="Q351" s="9" t="n">
        <x:f>COUNTIFS($A$7:$A$1158,A351)</x:f>
        <x:v>1</x:v>
      </x:c>
    </x:row>
    <x:row r="352">
      <x:c r="A352" s="9" t="str">
        <x:v>EV-AR-CT-C-B-TECH-2-B2-RCN-G0-RW02</x:v>
      </x:c>
      <x:c r="B352" s="9" t="str">
        <x:v>EV-AR-CT-C-B-TECH-2-B2-RCN-G0</x:v>
      </x:c>
      <x:c r="C352" s="9" t="str">
        <x:v>AR-CT-C-B-TECH-2-B2-RCN-G0</x:v>
      </x:c>
      <x:c r="D352" s="9" t="str">
        <x:v>CT-C-B-TECH-2</x:v>
      </x:c>
      <x:c r="E352" s="9" t="str">
        <x:v>CT-C-B</x:v>
      </x:c>
      <x:c r="F352" s="9" t="str">
        <x:v>B2</x:v>
      </x:c>
      <x:c r="G352" s="9" t="str">
        <x:v>RCN</x:v>
      </x:c>
      <x:c r="H352" s="9" t="str">
        <x:v>RW02</x:v>
      </x:c>
      <x:c r="I352" s="17" t="str">
        <x:v>Unlike witness stream</x:v>
      </x:c>
      <x:c r="J352" s="17" t="str">
        <x:v>Witness metrology</x:v>
      </x:c>
      <x:c r="K352" s="17" t="str">
        <x:v>Public custody B</x:v>
      </x:c>
      <x:c r="L352" s="9" t="n">
        <x:v>0</x:v>
      </x:c>
      <x:c r="M352" s="9" t="n">
        <x:v>0</x:v>
      </x:c>
      <x:c r="N352" s="9" t="n">
        <x:v>0</x:v>
      </x:c>
      <x:c r="O352" s="9" t="n">
        <x:v>0</x:v>
      </x:c>
      <x:c r="P352" s="9" t="str">
        <x:v>UNSEALED / SOURCE-EMPTY</x:v>
      </x:c>
      <x:c r="Q352" s="9" t="n">
        <x:f>COUNTIFS($A$7:$A$1158,A352)</x:f>
        <x:v>1</x:v>
      </x:c>
    </x:row>
    <x:row r="353">
      <x:c r="A353" s="9" t="str">
        <x:v>EV-AR-CT-C-B-TECH-2-B2-RCN-G0-RW03</x:v>
      </x:c>
      <x:c r="B353" s="9" t="str">
        <x:v>EV-AR-CT-C-B-TECH-2-B2-RCN-G0</x:v>
      </x:c>
      <x:c r="C353" s="9" t="str">
        <x:v>AR-CT-C-B-TECH-2-B2-RCN-G0</x:v>
      </x:c>
      <x:c r="D353" s="9" t="str">
        <x:v>CT-C-B-TECH-2</x:v>
      </x:c>
      <x:c r="E353" s="9" t="str">
        <x:v>CT-C-B</x:v>
      </x:c>
      <x:c r="F353" s="9" t="str">
        <x:v>B2</x:v>
      </x:c>
      <x:c r="G353" s="9" t="str">
        <x:v>RCN</x:v>
      </x:c>
      <x:c r="H353" s="9" t="str">
        <x:v>RW03</x:v>
      </x:c>
      <x:c r="I353" s="17" t="str">
        <x:v>Event clock and start traces</x:v>
      </x:c>
      <x:c r="J353" s="17" t="str">
        <x:v>Event clock authority</x:v>
      </x:c>
      <x:c r="K353" s="17" t="str">
        <x:v>Public custody C</x:v>
      </x:c>
      <x:c r="L353" s="9" t="n">
        <x:v>0</x:v>
      </x:c>
      <x:c r="M353" s="9" t="n">
        <x:v>0</x:v>
      </x:c>
      <x:c r="N353" s="9" t="n">
        <x:v>0</x:v>
      </x:c>
      <x:c r="O353" s="9" t="n">
        <x:v>0</x:v>
      </x:c>
      <x:c r="P353" s="9" t="str">
        <x:v>UNSEALED / SOURCE-EMPTY</x:v>
      </x:c>
      <x:c r="Q353" s="9" t="n">
        <x:f>COUNTIFS($A$7:$A$1158,A353)</x:f>
        <x:v>1</x:v>
      </x:c>
    </x:row>
    <x:row r="354">
      <x:c r="A354" s="9" t="str">
        <x:v>EV-AR-CT-C-B-TECH-2-B2-RCN-G0-RW04</x:v>
      </x:c>
      <x:c r="B354" s="9" t="str">
        <x:v>EV-AR-CT-C-B-TECH-2-B2-RCN-G0</x:v>
      </x:c>
      <x:c r="C354" s="9" t="str">
        <x:v>AR-CT-C-B-TECH-2-B2-RCN-G0</x:v>
      </x:c>
      <x:c r="D354" s="9" t="str">
        <x:v>CT-C-B-TECH-2</x:v>
      </x:c>
      <x:c r="E354" s="9" t="str">
        <x:v>CT-C-B</x:v>
      </x:c>
      <x:c r="F354" s="9" t="str">
        <x:v>B2</x:v>
      </x:c>
      <x:c r="G354" s="9" t="str">
        <x:v>RCN</x:v>
      </x:c>
      <x:c r="H354" s="9" t="str">
        <x:v>RW04</x:v>
      </x:c>
      <x:c r="I354" s="17" t="str">
        <x:v>Environmental boundary stream</x:v>
      </x:c>
      <x:c r="J354" s="17" t="str">
        <x:v>Site metrology</x:v>
      </x:c>
      <x:c r="K354" s="17" t="str">
        <x:v>Public custody D</x:v>
      </x:c>
      <x:c r="L354" s="9" t="n">
        <x:v>0</x:v>
      </x:c>
      <x:c r="M354" s="9" t="n">
        <x:v>0</x:v>
      </x:c>
      <x:c r="N354" s="9" t="n">
        <x:v>0</x:v>
      </x:c>
      <x:c r="O354" s="9" t="n">
        <x:v>0</x:v>
      </x:c>
      <x:c r="P354" s="9" t="str">
        <x:v>UNSEALED / SOURCE-EMPTY</x:v>
      </x:c>
      <x:c r="Q354" s="9" t="n">
        <x:f>COUNTIFS($A$7:$A$1158,A354)</x:f>
        <x:v>1</x:v>
      </x:c>
    </x:row>
    <x:row r="355">
      <x:c r="A355" s="9" t="str">
        <x:v>EV-AR-CT-C-B-TECH-2-B2-RCN-G0-RW05</x:v>
      </x:c>
      <x:c r="B355" s="9" t="str">
        <x:v>EV-AR-CT-C-B-TECH-2-B2-RCN-G0</x:v>
      </x:c>
      <x:c r="C355" s="9" t="str">
        <x:v>AR-CT-C-B-TECH-2-B2-RCN-G0</x:v>
      </x:c>
      <x:c r="D355" s="9" t="str">
        <x:v>CT-C-B-TECH-2</x:v>
      </x:c>
      <x:c r="E355" s="9" t="str">
        <x:v>CT-C-B</x:v>
      </x:c>
      <x:c r="F355" s="9" t="str">
        <x:v>B2</x:v>
      </x:c>
      <x:c r="G355" s="9" t="str">
        <x:v>RCN</x:v>
      </x:c>
      <x:c r="H355" s="9" t="str">
        <x:v>RW05</x:v>
      </x:c>
      <x:c r="I355" s="17" t="str">
        <x:v>Command and intervention log</x:v>
      </x:c>
      <x:c r="J355" s="17" t="str">
        <x:v>Safety authority</x:v>
      </x:c>
      <x:c r="K355" s="17" t="str">
        <x:v>Public custody E</x:v>
      </x:c>
      <x:c r="L355" s="9" t="n">
        <x:v>0</x:v>
      </x:c>
      <x:c r="M355" s="9" t="n">
        <x:v>0</x:v>
      </x:c>
      <x:c r="N355" s="9" t="n">
        <x:v>0</x:v>
      </x:c>
      <x:c r="O355" s="9" t="n">
        <x:v>0</x:v>
      </x:c>
      <x:c r="P355" s="9" t="str">
        <x:v>UNSEALED / SOURCE-EMPTY</x:v>
      </x:c>
      <x:c r="Q355" s="9" t="n">
        <x:f>COUNTIFS($A$7:$A$1158,A355)</x:f>
        <x:v>1</x:v>
      </x:c>
    </x:row>
    <x:row r="356">
      <x:c r="A356" s="9" t="str">
        <x:v>EV-AR-CT-C-B-TECH-2-B2-RCN-G0-RW06</x:v>
      </x:c>
      <x:c r="B356" s="9" t="str">
        <x:v>EV-AR-CT-C-B-TECH-2-B2-RCN-G0</x:v>
      </x:c>
      <x:c r="C356" s="9" t="str">
        <x:v>AR-CT-C-B-TECH-2-B2-RCN-G0</x:v>
      </x:c>
      <x:c r="D356" s="9" t="str">
        <x:v>CT-C-B-TECH-2</x:v>
      </x:c>
      <x:c r="E356" s="9" t="str">
        <x:v>CT-C-B</x:v>
      </x:c>
      <x:c r="F356" s="9" t="str">
        <x:v>B2</x:v>
      </x:c>
      <x:c r="G356" s="9" t="str">
        <x:v>RCN</x:v>
      </x:c>
      <x:c r="H356" s="9" t="str">
        <x:v>RW06</x:v>
      </x:c>
      <x:c r="I356" s="17" t="str">
        <x:v>Receiver service ledger</x:v>
      </x:c>
      <x:c r="J356" s="17" t="str">
        <x:v>Receiver authority</x:v>
      </x:c>
      <x:c r="K356" s="17" t="str">
        <x:v>Public custody F</x:v>
      </x:c>
      <x:c r="L356" s="9" t="n">
        <x:v>0</x:v>
      </x:c>
      <x:c r="M356" s="9" t="n">
        <x:v>0</x:v>
      </x:c>
      <x:c r="N356" s="9" t="n">
        <x:v>0</x:v>
      </x:c>
      <x:c r="O356" s="9" t="n">
        <x:v>0</x:v>
      </x:c>
      <x:c r="P356" s="9" t="str">
        <x:v>UNSEALED / SOURCE-EMPTY</x:v>
      </x:c>
      <x:c r="Q356" s="9" t="n">
        <x:f>COUNTIFS($A$7:$A$1158,A356)</x:f>
        <x:v>1</x:v>
      </x:c>
    </x:row>
    <x:row r="357">
      <x:c r="A357" s="9" t="str">
        <x:v>EV-AR-CT-C-B-TECH-2-B2-RCN-G0-RW07</x:v>
      </x:c>
      <x:c r="B357" s="9" t="str">
        <x:v>EV-AR-CT-C-B-TECH-2-B2-RCN-G0</x:v>
      </x:c>
      <x:c r="C357" s="9" t="str">
        <x:v>AR-CT-C-B-TECH-2-B2-RCN-G0</x:v>
      </x:c>
      <x:c r="D357" s="9" t="str">
        <x:v>CT-C-B-TECH-2</x:v>
      </x:c>
      <x:c r="E357" s="9" t="str">
        <x:v>CT-C-B</x:v>
      </x:c>
      <x:c r="F357" s="9" t="str">
        <x:v>B2</x:v>
      </x:c>
      <x:c r="G357" s="9" t="str">
        <x:v>RCN</x:v>
      </x:c>
      <x:c r="H357" s="9" t="str">
        <x:v>RW07</x:v>
      </x:c>
      <x:c r="I357" s="17" t="str">
        <x:v>Candidate interface telemetry</x:v>
      </x:c>
      <x:c r="J357" s="17" t="str">
        <x:v>Interface custodian</x:v>
      </x:c>
      <x:c r="K357" s="17" t="str">
        <x:v>Public custody A</x:v>
      </x:c>
      <x:c r="L357" s="9" t="n">
        <x:v>0</x:v>
      </x:c>
      <x:c r="M357" s="9" t="n">
        <x:v>0</x:v>
      </x:c>
      <x:c r="N357" s="9" t="n">
        <x:v>0</x:v>
      </x:c>
      <x:c r="O357" s="9" t="n">
        <x:v>0</x:v>
      </x:c>
      <x:c r="P357" s="9" t="str">
        <x:v>UNSEALED / SOURCE-EMPTY</x:v>
      </x:c>
      <x:c r="Q357" s="9" t="n">
        <x:f>COUNTIFS($A$7:$A$1158,A357)</x:f>
        <x:v>1</x:v>
      </x:c>
    </x:row>
    <x:row r="358">
      <x:c r="A358" s="9" t="str">
        <x:v>EV-AR-CT-C-B-TECH-2-B2-RCN-G0-RW08</x:v>
      </x:c>
      <x:c r="B358" s="9" t="str">
        <x:v>EV-AR-CT-C-B-TECH-2-B2-RCN-G0</x:v>
      </x:c>
      <x:c r="C358" s="9" t="str">
        <x:v>AR-CT-C-B-TECH-2-B2-RCN-G0</x:v>
      </x:c>
      <x:c r="D358" s="9" t="str">
        <x:v>CT-C-B-TECH-2</x:v>
      </x:c>
      <x:c r="E358" s="9" t="str">
        <x:v>CT-C-B</x:v>
      </x:c>
      <x:c r="F358" s="9" t="str">
        <x:v>B2</x:v>
      </x:c>
      <x:c r="G358" s="9" t="str">
        <x:v>RCN</x:v>
      </x:c>
      <x:c r="H358" s="9" t="str">
        <x:v>RW08</x:v>
      </x:c>
      <x:c r="I358" s="17" t="str">
        <x:v>Residual and physical evidence</x:v>
      </x:c>
      <x:c r="J358" s="17" t="str">
        <x:v>Residual authority</x:v>
      </x:c>
      <x:c r="K358" s="17" t="str">
        <x:v>Public custody B</x:v>
      </x:c>
      <x:c r="L358" s="9" t="n">
        <x:v>0</x:v>
      </x:c>
      <x:c r="M358" s="9" t="n">
        <x:v>0</x:v>
      </x:c>
      <x:c r="N358" s="9" t="n">
        <x:v>0</x:v>
      </x:c>
      <x:c r="O358" s="9" t="n">
        <x:v>0</x:v>
      </x:c>
      <x:c r="P358" s="9" t="str">
        <x:v>UNSEALED / SOURCE-EMPTY</x:v>
      </x:c>
      <x:c r="Q358" s="9" t="n">
        <x:f>COUNTIFS($A$7:$A$1158,A358)</x:f>
        <x:v>1</x:v>
      </x:c>
    </x:row>
    <x:row r="359">
      <x:c r="A359" s="9" t="str">
        <x:v>EV-AR-HC-A-C-TECH-4-B1-BRK-G0-RW01</x:v>
      </x:c>
      <x:c r="B359" s="9" t="str">
        <x:v>EV-AR-HC-A-C-TECH-4-B1-BRK-G0</x:v>
      </x:c>
      <x:c r="C359" s="9" t="str">
        <x:v>AR-HC-A-C-TECH-4-B1-BRK-G0</x:v>
      </x:c>
      <x:c r="D359" s="9" t="str">
        <x:v>HC-A-C-TECH-4</x:v>
      </x:c>
      <x:c r="E359" s="9" t="str">
        <x:v>HC-A-C</x:v>
      </x:c>
      <x:c r="F359" s="9" t="str">
        <x:v>B1</x:v>
      </x:c>
      <x:c r="G359" s="9" t="str">
        <x:v>BRK</x:v>
      </x:c>
      <x:c r="H359" s="9" t="str">
        <x:v>RW01</x:v>
      </x:c>
      <x:c r="I359" s="17" t="str">
        <x:v>Primary raw stream</x:v>
      </x:c>
      <x:c r="J359" s="17" t="str">
        <x:v>Primary metrology</x:v>
      </x:c>
      <x:c r="K359" s="17" t="str">
        <x:v>Public custody A</x:v>
      </x:c>
      <x:c r="L359" s="9" t="n">
        <x:v>0</x:v>
      </x:c>
      <x:c r="M359" s="9" t="n">
        <x:v>0</x:v>
      </x:c>
      <x:c r="N359" s="9" t="n">
        <x:v>0</x:v>
      </x:c>
      <x:c r="O359" s="9" t="n">
        <x:v>0</x:v>
      </x:c>
      <x:c r="P359" s="9" t="str">
        <x:v>UNSEALED / SOURCE-EMPTY</x:v>
      </x:c>
      <x:c r="Q359" s="9" t="n">
        <x:f>COUNTIFS($A$7:$A$1158,A359)</x:f>
        <x:v>1</x:v>
      </x:c>
    </x:row>
    <x:row r="360">
      <x:c r="A360" s="9" t="str">
        <x:v>EV-AR-HC-A-C-TECH-4-B1-BRK-G0-RW02</x:v>
      </x:c>
      <x:c r="B360" s="9" t="str">
        <x:v>EV-AR-HC-A-C-TECH-4-B1-BRK-G0</x:v>
      </x:c>
      <x:c r="C360" s="9" t="str">
        <x:v>AR-HC-A-C-TECH-4-B1-BRK-G0</x:v>
      </x:c>
      <x:c r="D360" s="9" t="str">
        <x:v>HC-A-C-TECH-4</x:v>
      </x:c>
      <x:c r="E360" s="9" t="str">
        <x:v>HC-A-C</x:v>
      </x:c>
      <x:c r="F360" s="9" t="str">
        <x:v>B1</x:v>
      </x:c>
      <x:c r="G360" s="9" t="str">
        <x:v>BRK</x:v>
      </x:c>
      <x:c r="H360" s="9" t="str">
        <x:v>RW02</x:v>
      </x:c>
      <x:c r="I360" s="17" t="str">
        <x:v>Unlike witness stream</x:v>
      </x:c>
      <x:c r="J360" s="17" t="str">
        <x:v>Witness metrology</x:v>
      </x:c>
      <x:c r="K360" s="17" t="str">
        <x:v>Public custody B</x:v>
      </x:c>
      <x:c r="L360" s="9" t="n">
        <x:v>0</x:v>
      </x:c>
      <x:c r="M360" s="9" t="n">
        <x:v>0</x:v>
      </x:c>
      <x:c r="N360" s="9" t="n">
        <x:v>0</x:v>
      </x:c>
      <x:c r="O360" s="9" t="n">
        <x:v>0</x:v>
      </x:c>
      <x:c r="P360" s="9" t="str">
        <x:v>UNSEALED / SOURCE-EMPTY</x:v>
      </x:c>
      <x:c r="Q360" s="9" t="n">
        <x:f>COUNTIFS($A$7:$A$1158,A360)</x:f>
        <x:v>1</x:v>
      </x:c>
    </x:row>
    <x:row r="361">
      <x:c r="A361" s="9" t="str">
        <x:v>EV-AR-HC-A-C-TECH-4-B1-BRK-G0-RW03</x:v>
      </x:c>
      <x:c r="B361" s="9" t="str">
        <x:v>EV-AR-HC-A-C-TECH-4-B1-BRK-G0</x:v>
      </x:c>
      <x:c r="C361" s="9" t="str">
        <x:v>AR-HC-A-C-TECH-4-B1-BRK-G0</x:v>
      </x:c>
      <x:c r="D361" s="9" t="str">
        <x:v>HC-A-C-TECH-4</x:v>
      </x:c>
      <x:c r="E361" s="9" t="str">
        <x:v>HC-A-C</x:v>
      </x:c>
      <x:c r="F361" s="9" t="str">
        <x:v>B1</x:v>
      </x:c>
      <x:c r="G361" s="9" t="str">
        <x:v>BRK</x:v>
      </x:c>
      <x:c r="H361" s="9" t="str">
        <x:v>RW03</x:v>
      </x:c>
      <x:c r="I361" s="17" t="str">
        <x:v>Event clock and start traces</x:v>
      </x:c>
      <x:c r="J361" s="17" t="str">
        <x:v>Event clock authority</x:v>
      </x:c>
      <x:c r="K361" s="17" t="str">
        <x:v>Public custody C</x:v>
      </x:c>
      <x:c r="L361" s="9" t="n">
        <x:v>0</x:v>
      </x:c>
      <x:c r="M361" s="9" t="n">
        <x:v>0</x:v>
      </x:c>
      <x:c r="N361" s="9" t="n">
        <x:v>0</x:v>
      </x:c>
      <x:c r="O361" s="9" t="n">
        <x:v>0</x:v>
      </x:c>
      <x:c r="P361" s="9" t="str">
        <x:v>UNSEALED / SOURCE-EMPTY</x:v>
      </x:c>
      <x:c r="Q361" s="9" t="n">
        <x:f>COUNTIFS($A$7:$A$1158,A361)</x:f>
        <x:v>1</x:v>
      </x:c>
    </x:row>
    <x:row r="362">
      <x:c r="A362" s="9" t="str">
        <x:v>EV-AR-HC-A-C-TECH-4-B1-BRK-G0-RW04</x:v>
      </x:c>
      <x:c r="B362" s="9" t="str">
        <x:v>EV-AR-HC-A-C-TECH-4-B1-BRK-G0</x:v>
      </x:c>
      <x:c r="C362" s="9" t="str">
        <x:v>AR-HC-A-C-TECH-4-B1-BRK-G0</x:v>
      </x:c>
      <x:c r="D362" s="9" t="str">
        <x:v>HC-A-C-TECH-4</x:v>
      </x:c>
      <x:c r="E362" s="9" t="str">
        <x:v>HC-A-C</x:v>
      </x:c>
      <x:c r="F362" s="9" t="str">
        <x:v>B1</x:v>
      </x:c>
      <x:c r="G362" s="9" t="str">
        <x:v>BRK</x:v>
      </x:c>
      <x:c r="H362" s="9" t="str">
        <x:v>RW04</x:v>
      </x:c>
      <x:c r="I362" s="17" t="str">
        <x:v>Environmental boundary stream</x:v>
      </x:c>
      <x:c r="J362" s="17" t="str">
        <x:v>Site metrology</x:v>
      </x:c>
      <x:c r="K362" s="17" t="str">
        <x:v>Public custody D</x:v>
      </x:c>
      <x:c r="L362" s="9" t="n">
        <x:v>0</x:v>
      </x:c>
      <x:c r="M362" s="9" t="n">
        <x:v>0</x:v>
      </x:c>
      <x:c r="N362" s="9" t="n">
        <x:v>0</x:v>
      </x:c>
      <x:c r="O362" s="9" t="n">
        <x:v>0</x:v>
      </x:c>
      <x:c r="P362" s="9" t="str">
        <x:v>UNSEALED / SOURCE-EMPTY</x:v>
      </x:c>
      <x:c r="Q362" s="9" t="n">
        <x:f>COUNTIFS($A$7:$A$1158,A362)</x:f>
        <x:v>1</x:v>
      </x:c>
    </x:row>
    <x:row r="363">
      <x:c r="A363" s="9" t="str">
        <x:v>EV-AR-HC-A-C-TECH-4-B1-BRK-G0-RW05</x:v>
      </x:c>
      <x:c r="B363" s="9" t="str">
        <x:v>EV-AR-HC-A-C-TECH-4-B1-BRK-G0</x:v>
      </x:c>
      <x:c r="C363" s="9" t="str">
        <x:v>AR-HC-A-C-TECH-4-B1-BRK-G0</x:v>
      </x:c>
      <x:c r="D363" s="9" t="str">
        <x:v>HC-A-C-TECH-4</x:v>
      </x:c>
      <x:c r="E363" s="9" t="str">
        <x:v>HC-A-C</x:v>
      </x:c>
      <x:c r="F363" s="9" t="str">
        <x:v>B1</x:v>
      </x:c>
      <x:c r="G363" s="9" t="str">
        <x:v>BRK</x:v>
      </x:c>
      <x:c r="H363" s="9" t="str">
        <x:v>RW05</x:v>
      </x:c>
      <x:c r="I363" s="17" t="str">
        <x:v>Command and intervention log</x:v>
      </x:c>
      <x:c r="J363" s="17" t="str">
        <x:v>Safety authority</x:v>
      </x:c>
      <x:c r="K363" s="17" t="str">
        <x:v>Public custody E</x:v>
      </x:c>
      <x:c r="L363" s="9" t="n">
        <x:v>0</x:v>
      </x:c>
      <x:c r="M363" s="9" t="n">
        <x:v>0</x:v>
      </x:c>
      <x:c r="N363" s="9" t="n">
        <x:v>0</x:v>
      </x:c>
      <x:c r="O363" s="9" t="n">
        <x:v>0</x:v>
      </x:c>
      <x:c r="P363" s="9" t="str">
        <x:v>UNSEALED / SOURCE-EMPTY</x:v>
      </x:c>
      <x:c r="Q363" s="9" t="n">
        <x:f>COUNTIFS($A$7:$A$1158,A363)</x:f>
        <x:v>1</x:v>
      </x:c>
    </x:row>
    <x:row r="364">
      <x:c r="A364" s="9" t="str">
        <x:v>EV-AR-HC-A-C-TECH-4-B1-BRK-G0-RW06</x:v>
      </x:c>
      <x:c r="B364" s="9" t="str">
        <x:v>EV-AR-HC-A-C-TECH-4-B1-BRK-G0</x:v>
      </x:c>
      <x:c r="C364" s="9" t="str">
        <x:v>AR-HC-A-C-TECH-4-B1-BRK-G0</x:v>
      </x:c>
      <x:c r="D364" s="9" t="str">
        <x:v>HC-A-C-TECH-4</x:v>
      </x:c>
      <x:c r="E364" s="9" t="str">
        <x:v>HC-A-C</x:v>
      </x:c>
      <x:c r="F364" s="9" t="str">
        <x:v>B1</x:v>
      </x:c>
      <x:c r="G364" s="9" t="str">
        <x:v>BRK</x:v>
      </x:c>
      <x:c r="H364" s="9" t="str">
        <x:v>RW06</x:v>
      </x:c>
      <x:c r="I364" s="17" t="str">
        <x:v>Receiver service ledger</x:v>
      </x:c>
      <x:c r="J364" s="17" t="str">
        <x:v>Receiver authority</x:v>
      </x:c>
      <x:c r="K364" s="17" t="str">
        <x:v>Public custody F</x:v>
      </x:c>
      <x:c r="L364" s="9" t="n">
        <x:v>0</x:v>
      </x:c>
      <x:c r="M364" s="9" t="n">
        <x:v>0</x:v>
      </x:c>
      <x:c r="N364" s="9" t="n">
        <x:v>0</x:v>
      </x:c>
      <x:c r="O364" s="9" t="n">
        <x:v>0</x:v>
      </x:c>
      <x:c r="P364" s="9" t="str">
        <x:v>UNSEALED / SOURCE-EMPTY</x:v>
      </x:c>
      <x:c r="Q364" s="9" t="n">
        <x:f>COUNTIFS($A$7:$A$1158,A364)</x:f>
        <x:v>1</x:v>
      </x:c>
    </x:row>
    <x:row r="365">
      <x:c r="A365" s="9" t="str">
        <x:v>EV-AR-HC-A-C-TECH-4-B1-BRK-G0-RW07</x:v>
      </x:c>
      <x:c r="B365" s="9" t="str">
        <x:v>EV-AR-HC-A-C-TECH-4-B1-BRK-G0</x:v>
      </x:c>
      <x:c r="C365" s="9" t="str">
        <x:v>AR-HC-A-C-TECH-4-B1-BRK-G0</x:v>
      </x:c>
      <x:c r="D365" s="9" t="str">
        <x:v>HC-A-C-TECH-4</x:v>
      </x:c>
      <x:c r="E365" s="9" t="str">
        <x:v>HC-A-C</x:v>
      </x:c>
      <x:c r="F365" s="9" t="str">
        <x:v>B1</x:v>
      </x:c>
      <x:c r="G365" s="9" t="str">
        <x:v>BRK</x:v>
      </x:c>
      <x:c r="H365" s="9" t="str">
        <x:v>RW07</x:v>
      </x:c>
      <x:c r="I365" s="17" t="str">
        <x:v>Candidate interface telemetry</x:v>
      </x:c>
      <x:c r="J365" s="17" t="str">
        <x:v>Interface custodian</x:v>
      </x:c>
      <x:c r="K365" s="17" t="str">
        <x:v>Public custody A</x:v>
      </x:c>
      <x:c r="L365" s="9" t="n">
        <x:v>0</x:v>
      </x:c>
      <x:c r="M365" s="9" t="n">
        <x:v>0</x:v>
      </x:c>
      <x:c r="N365" s="9" t="n">
        <x:v>0</x:v>
      </x:c>
      <x:c r="O365" s="9" t="n">
        <x:v>0</x:v>
      </x:c>
      <x:c r="P365" s="9" t="str">
        <x:v>UNSEALED / SOURCE-EMPTY</x:v>
      </x:c>
      <x:c r="Q365" s="9" t="n">
        <x:f>COUNTIFS($A$7:$A$1158,A365)</x:f>
        <x:v>1</x:v>
      </x:c>
    </x:row>
    <x:row r="366">
      <x:c r="A366" s="9" t="str">
        <x:v>EV-AR-HC-A-C-TECH-4-B1-BRK-G0-RW08</x:v>
      </x:c>
      <x:c r="B366" s="9" t="str">
        <x:v>EV-AR-HC-A-C-TECH-4-B1-BRK-G0</x:v>
      </x:c>
      <x:c r="C366" s="9" t="str">
        <x:v>AR-HC-A-C-TECH-4-B1-BRK-G0</x:v>
      </x:c>
      <x:c r="D366" s="9" t="str">
        <x:v>HC-A-C-TECH-4</x:v>
      </x:c>
      <x:c r="E366" s="9" t="str">
        <x:v>HC-A-C</x:v>
      </x:c>
      <x:c r="F366" s="9" t="str">
        <x:v>B1</x:v>
      </x:c>
      <x:c r="G366" s="9" t="str">
        <x:v>BRK</x:v>
      </x:c>
      <x:c r="H366" s="9" t="str">
        <x:v>RW08</x:v>
      </x:c>
      <x:c r="I366" s="17" t="str">
        <x:v>Residual and physical evidence</x:v>
      </x:c>
      <x:c r="J366" s="17" t="str">
        <x:v>Residual authority</x:v>
      </x:c>
      <x:c r="K366" s="17" t="str">
        <x:v>Public custody B</x:v>
      </x:c>
      <x:c r="L366" s="9" t="n">
        <x:v>0</x:v>
      </x:c>
      <x:c r="M366" s="9" t="n">
        <x:v>0</x:v>
      </x:c>
      <x:c r="N366" s="9" t="n">
        <x:v>0</x:v>
      </x:c>
      <x:c r="O366" s="9" t="n">
        <x:v>0</x:v>
      </x:c>
      <x:c r="P366" s="9" t="str">
        <x:v>UNSEALED / SOURCE-EMPTY</x:v>
      </x:c>
      <x:c r="Q366" s="9" t="n">
        <x:f>COUNTIFS($A$7:$A$1158,A366)</x:f>
        <x:v>1</x:v>
      </x:c>
    </x:row>
    <x:row r="367">
      <x:c r="A367" s="9" t="str">
        <x:v>EV-AR-HC-A-C-TECH-2-B1-RCN-G0-RW01</x:v>
      </x:c>
      <x:c r="B367" s="9" t="str">
        <x:v>EV-AR-HC-A-C-TECH-2-B1-RCN-G0</x:v>
      </x:c>
      <x:c r="C367" s="9" t="str">
        <x:v>AR-HC-A-C-TECH-2-B1-RCN-G0</x:v>
      </x:c>
      <x:c r="D367" s="9" t="str">
        <x:v>HC-A-C-TECH-2</x:v>
      </x:c>
      <x:c r="E367" s="9" t="str">
        <x:v>HC-A-C</x:v>
      </x:c>
      <x:c r="F367" s="9" t="str">
        <x:v>B1</x:v>
      </x:c>
      <x:c r="G367" s="9" t="str">
        <x:v>RCN</x:v>
      </x:c>
      <x:c r="H367" s="9" t="str">
        <x:v>RW01</x:v>
      </x:c>
      <x:c r="I367" s="17" t="str">
        <x:v>Primary raw stream</x:v>
      </x:c>
      <x:c r="J367" s="17" t="str">
        <x:v>Primary metrology</x:v>
      </x:c>
      <x:c r="K367" s="17" t="str">
        <x:v>Public custody A</x:v>
      </x:c>
      <x:c r="L367" s="9" t="n">
        <x:v>0</x:v>
      </x:c>
      <x:c r="M367" s="9" t="n">
        <x:v>0</x:v>
      </x:c>
      <x:c r="N367" s="9" t="n">
        <x:v>0</x:v>
      </x:c>
      <x:c r="O367" s="9" t="n">
        <x:v>0</x:v>
      </x:c>
      <x:c r="P367" s="9" t="str">
        <x:v>UNSEALED / SOURCE-EMPTY</x:v>
      </x:c>
      <x:c r="Q367" s="9" t="n">
        <x:f>COUNTIFS($A$7:$A$1158,A367)</x:f>
        <x:v>1</x:v>
      </x:c>
    </x:row>
    <x:row r="368">
      <x:c r="A368" s="9" t="str">
        <x:v>EV-AR-HC-A-C-TECH-2-B1-RCN-G0-RW02</x:v>
      </x:c>
      <x:c r="B368" s="9" t="str">
        <x:v>EV-AR-HC-A-C-TECH-2-B1-RCN-G0</x:v>
      </x:c>
      <x:c r="C368" s="9" t="str">
        <x:v>AR-HC-A-C-TECH-2-B1-RCN-G0</x:v>
      </x:c>
      <x:c r="D368" s="9" t="str">
        <x:v>HC-A-C-TECH-2</x:v>
      </x:c>
      <x:c r="E368" s="9" t="str">
        <x:v>HC-A-C</x:v>
      </x:c>
      <x:c r="F368" s="9" t="str">
        <x:v>B1</x:v>
      </x:c>
      <x:c r="G368" s="9" t="str">
        <x:v>RCN</x:v>
      </x:c>
      <x:c r="H368" s="9" t="str">
        <x:v>RW02</x:v>
      </x:c>
      <x:c r="I368" s="17" t="str">
        <x:v>Unlike witness stream</x:v>
      </x:c>
      <x:c r="J368" s="17" t="str">
        <x:v>Witness metrology</x:v>
      </x:c>
      <x:c r="K368" s="17" t="str">
        <x:v>Public custody B</x:v>
      </x:c>
      <x:c r="L368" s="9" t="n">
        <x:v>0</x:v>
      </x:c>
      <x:c r="M368" s="9" t="n">
        <x:v>0</x:v>
      </x:c>
      <x:c r="N368" s="9" t="n">
        <x:v>0</x:v>
      </x:c>
      <x:c r="O368" s="9" t="n">
        <x:v>0</x:v>
      </x:c>
      <x:c r="P368" s="9" t="str">
        <x:v>UNSEALED / SOURCE-EMPTY</x:v>
      </x:c>
      <x:c r="Q368" s="9" t="n">
        <x:f>COUNTIFS($A$7:$A$1158,A368)</x:f>
        <x:v>1</x:v>
      </x:c>
    </x:row>
    <x:row r="369">
      <x:c r="A369" s="9" t="str">
        <x:v>EV-AR-HC-A-C-TECH-2-B1-RCN-G0-RW03</x:v>
      </x:c>
      <x:c r="B369" s="9" t="str">
        <x:v>EV-AR-HC-A-C-TECH-2-B1-RCN-G0</x:v>
      </x:c>
      <x:c r="C369" s="9" t="str">
        <x:v>AR-HC-A-C-TECH-2-B1-RCN-G0</x:v>
      </x:c>
      <x:c r="D369" s="9" t="str">
        <x:v>HC-A-C-TECH-2</x:v>
      </x:c>
      <x:c r="E369" s="9" t="str">
        <x:v>HC-A-C</x:v>
      </x:c>
      <x:c r="F369" s="9" t="str">
        <x:v>B1</x:v>
      </x:c>
      <x:c r="G369" s="9" t="str">
        <x:v>RCN</x:v>
      </x:c>
      <x:c r="H369" s="9" t="str">
        <x:v>RW03</x:v>
      </x:c>
      <x:c r="I369" s="17" t="str">
        <x:v>Event clock and start traces</x:v>
      </x:c>
      <x:c r="J369" s="17" t="str">
        <x:v>Event clock authority</x:v>
      </x:c>
      <x:c r="K369" s="17" t="str">
        <x:v>Public custody C</x:v>
      </x:c>
      <x:c r="L369" s="9" t="n">
        <x:v>0</x:v>
      </x:c>
      <x:c r="M369" s="9" t="n">
        <x:v>0</x:v>
      </x:c>
      <x:c r="N369" s="9" t="n">
        <x:v>0</x:v>
      </x:c>
      <x:c r="O369" s="9" t="n">
        <x:v>0</x:v>
      </x:c>
      <x:c r="P369" s="9" t="str">
        <x:v>UNSEALED / SOURCE-EMPTY</x:v>
      </x:c>
      <x:c r="Q369" s="9" t="n">
        <x:f>COUNTIFS($A$7:$A$1158,A369)</x:f>
        <x:v>1</x:v>
      </x:c>
    </x:row>
    <x:row r="370">
      <x:c r="A370" s="9" t="str">
        <x:v>EV-AR-HC-A-C-TECH-2-B1-RCN-G0-RW04</x:v>
      </x:c>
      <x:c r="B370" s="9" t="str">
        <x:v>EV-AR-HC-A-C-TECH-2-B1-RCN-G0</x:v>
      </x:c>
      <x:c r="C370" s="9" t="str">
        <x:v>AR-HC-A-C-TECH-2-B1-RCN-G0</x:v>
      </x:c>
      <x:c r="D370" s="9" t="str">
        <x:v>HC-A-C-TECH-2</x:v>
      </x:c>
      <x:c r="E370" s="9" t="str">
        <x:v>HC-A-C</x:v>
      </x:c>
      <x:c r="F370" s="9" t="str">
        <x:v>B1</x:v>
      </x:c>
      <x:c r="G370" s="9" t="str">
        <x:v>RCN</x:v>
      </x:c>
      <x:c r="H370" s="9" t="str">
        <x:v>RW04</x:v>
      </x:c>
      <x:c r="I370" s="17" t="str">
        <x:v>Environmental boundary stream</x:v>
      </x:c>
      <x:c r="J370" s="17" t="str">
        <x:v>Site metrology</x:v>
      </x:c>
      <x:c r="K370" s="17" t="str">
        <x:v>Public custody D</x:v>
      </x:c>
      <x:c r="L370" s="9" t="n">
        <x:v>0</x:v>
      </x:c>
      <x:c r="M370" s="9" t="n">
        <x:v>0</x:v>
      </x:c>
      <x:c r="N370" s="9" t="n">
        <x:v>0</x:v>
      </x:c>
      <x:c r="O370" s="9" t="n">
        <x:v>0</x:v>
      </x:c>
      <x:c r="P370" s="9" t="str">
        <x:v>UNSEALED / SOURCE-EMPTY</x:v>
      </x:c>
      <x:c r="Q370" s="9" t="n">
        <x:f>COUNTIFS($A$7:$A$1158,A370)</x:f>
        <x:v>1</x:v>
      </x:c>
    </x:row>
    <x:row r="371">
      <x:c r="A371" s="9" t="str">
        <x:v>EV-AR-HC-A-C-TECH-2-B1-RCN-G0-RW05</x:v>
      </x:c>
      <x:c r="B371" s="9" t="str">
        <x:v>EV-AR-HC-A-C-TECH-2-B1-RCN-G0</x:v>
      </x:c>
      <x:c r="C371" s="9" t="str">
        <x:v>AR-HC-A-C-TECH-2-B1-RCN-G0</x:v>
      </x:c>
      <x:c r="D371" s="9" t="str">
        <x:v>HC-A-C-TECH-2</x:v>
      </x:c>
      <x:c r="E371" s="9" t="str">
        <x:v>HC-A-C</x:v>
      </x:c>
      <x:c r="F371" s="9" t="str">
        <x:v>B1</x:v>
      </x:c>
      <x:c r="G371" s="9" t="str">
        <x:v>RCN</x:v>
      </x:c>
      <x:c r="H371" s="9" t="str">
        <x:v>RW05</x:v>
      </x:c>
      <x:c r="I371" s="17" t="str">
        <x:v>Command and intervention log</x:v>
      </x:c>
      <x:c r="J371" s="17" t="str">
        <x:v>Safety authority</x:v>
      </x:c>
      <x:c r="K371" s="17" t="str">
        <x:v>Public custody E</x:v>
      </x:c>
      <x:c r="L371" s="9" t="n">
        <x:v>0</x:v>
      </x:c>
      <x:c r="M371" s="9" t="n">
        <x:v>0</x:v>
      </x:c>
      <x:c r="N371" s="9" t="n">
        <x:v>0</x:v>
      </x:c>
      <x:c r="O371" s="9" t="n">
        <x:v>0</x:v>
      </x:c>
      <x:c r="P371" s="9" t="str">
        <x:v>UNSEALED / SOURCE-EMPTY</x:v>
      </x:c>
      <x:c r="Q371" s="9" t="n">
        <x:f>COUNTIFS($A$7:$A$1158,A371)</x:f>
        <x:v>1</x:v>
      </x:c>
    </x:row>
    <x:row r="372">
      <x:c r="A372" s="9" t="str">
        <x:v>EV-AR-HC-A-C-TECH-2-B1-RCN-G0-RW06</x:v>
      </x:c>
      <x:c r="B372" s="9" t="str">
        <x:v>EV-AR-HC-A-C-TECH-2-B1-RCN-G0</x:v>
      </x:c>
      <x:c r="C372" s="9" t="str">
        <x:v>AR-HC-A-C-TECH-2-B1-RCN-G0</x:v>
      </x:c>
      <x:c r="D372" s="9" t="str">
        <x:v>HC-A-C-TECH-2</x:v>
      </x:c>
      <x:c r="E372" s="9" t="str">
        <x:v>HC-A-C</x:v>
      </x:c>
      <x:c r="F372" s="9" t="str">
        <x:v>B1</x:v>
      </x:c>
      <x:c r="G372" s="9" t="str">
        <x:v>RCN</x:v>
      </x:c>
      <x:c r="H372" s="9" t="str">
        <x:v>RW06</x:v>
      </x:c>
      <x:c r="I372" s="17" t="str">
        <x:v>Receiver service ledger</x:v>
      </x:c>
      <x:c r="J372" s="17" t="str">
        <x:v>Receiver authority</x:v>
      </x:c>
      <x:c r="K372" s="17" t="str">
        <x:v>Public custody F</x:v>
      </x:c>
      <x:c r="L372" s="9" t="n">
        <x:v>0</x:v>
      </x:c>
      <x:c r="M372" s="9" t="n">
        <x:v>0</x:v>
      </x:c>
      <x:c r="N372" s="9" t="n">
        <x:v>0</x:v>
      </x:c>
      <x:c r="O372" s="9" t="n">
        <x:v>0</x:v>
      </x:c>
      <x:c r="P372" s="9" t="str">
        <x:v>UNSEALED / SOURCE-EMPTY</x:v>
      </x:c>
      <x:c r="Q372" s="9" t="n">
        <x:f>COUNTIFS($A$7:$A$1158,A372)</x:f>
        <x:v>1</x:v>
      </x:c>
    </x:row>
    <x:row r="373">
      <x:c r="A373" s="9" t="str">
        <x:v>EV-AR-HC-A-C-TECH-2-B1-RCN-G0-RW07</x:v>
      </x:c>
      <x:c r="B373" s="9" t="str">
        <x:v>EV-AR-HC-A-C-TECH-2-B1-RCN-G0</x:v>
      </x:c>
      <x:c r="C373" s="9" t="str">
        <x:v>AR-HC-A-C-TECH-2-B1-RCN-G0</x:v>
      </x:c>
      <x:c r="D373" s="9" t="str">
        <x:v>HC-A-C-TECH-2</x:v>
      </x:c>
      <x:c r="E373" s="9" t="str">
        <x:v>HC-A-C</x:v>
      </x:c>
      <x:c r="F373" s="9" t="str">
        <x:v>B1</x:v>
      </x:c>
      <x:c r="G373" s="9" t="str">
        <x:v>RCN</x:v>
      </x:c>
      <x:c r="H373" s="9" t="str">
        <x:v>RW07</x:v>
      </x:c>
      <x:c r="I373" s="17" t="str">
        <x:v>Candidate interface telemetry</x:v>
      </x:c>
      <x:c r="J373" s="17" t="str">
        <x:v>Interface custodian</x:v>
      </x:c>
      <x:c r="K373" s="17" t="str">
        <x:v>Public custody A</x:v>
      </x:c>
      <x:c r="L373" s="9" t="n">
        <x:v>0</x:v>
      </x:c>
      <x:c r="M373" s="9" t="n">
        <x:v>0</x:v>
      </x:c>
      <x:c r="N373" s="9" t="n">
        <x:v>0</x:v>
      </x:c>
      <x:c r="O373" s="9" t="n">
        <x:v>0</x:v>
      </x:c>
      <x:c r="P373" s="9" t="str">
        <x:v>UNSEALED / SOURCE-EMPTY</x:v>
      </x:c>
      <x:c r="Q373" s="9" t="n">
        <x:f>COUNTIFS($A$7:$A$1158,A373)</x:f>
        <x:v>1</x:v>
      </x:c>
    </x:row>
    <x:row r="374">
      <x:c r="A374" s="9" t="str">
        <x:v>EV-AR-HC-A-C-TECH-2-B1-RCN-G0-RW08</x:v>
      </x:c>
      <x:c r="B374" s="9" t="str">
        <x:v>EV-AR-HC-A-C-TECH-2-B1-RCN-G0</x:v>
      </x:c>
      <x:c r="C374" s="9" t="str">
        <x:v>AR-HC-A-C-TECH-2-B1-RCN-G0</x:v>
      </x:c>
      <x:c r="D374" s="9" t="str">
        <x:v>HC-A-C-TECH-2</x:v>
      </x:c>
      <x:c r="E374" s="9" t="str">
        <x:v>HC-A-C</x:v>
      </x:c>
      <x:c r="F374" s="9" t="str">
        <x:v>B1</x:v>
      </x:c>
      <x:c r="G374" s="9" t="str">
        <x:v>RCN</x:v>
      </x:c>
      <x:c r="H374" s="9" t="str">
        <x:v>RW08</x:v>
      </x:c>
      <x:c r="I374" s="17" t="str">
        <x:v>Residual and physical evidence</x:v>
      </x:c>
      <x:c r="J374" s="17" t="str">
        <x:v>Residual authority</x:v>
      </x:c>
      <x:c r="K374" s="17" t="str">
        <x:v>Public custody B</x:v>
      </x:c>
      <x:c r="L374" s="9" t="n">
        <x:v>0</x:v>
      </x:c>
      <x:c r="M374" s="9" t="n">
        <x:v>0</x:v>
      </x:c>
      <x:c r="N374" s="9" t="n">
        <x:v>0</x:v>
      </x:c>
      <x:c r="O374" s="9" t="n">
        <x:v>0</x:v>
      </x:c>
      <x:c r="P374" s="9" t="str">
        <x:v>UNSEALED / SOURCE-EMPTY</x:v>
      </x:c>
      <x:c r="Q374" s="9" t="n">
        <x:f>COUNTIFS($A$7:$A$1158,A374)</x:f>
        <x:v>1</x:v>
      </x:c>
    </x:row>
    <x:row r="375">
      <x:c r="A375" s="9" t="str">
        <x:v>EV-AR-HU-A-B-TECH-2-B1-BRK-G0-RW01</x:v>
      </x:c>
      <x:c r="B375" s="9" t="str">
        <x:v>EV-AR-HU-A-B-TECH-2-B1-BRK-G0</x:v>
      </x:c>
      <x:c r="C375" s="9" t="str">
        <x:v>AR-HU-A-B-TECH-2-B1-BRK-G0</x:v>
      </x:c>
      <x:c r="D375" s="9" t="str">
        <x:v>HU-A-B-TECH-2</x:v>
      </x:c>
      <x:c r="E375" s="9" t="str">
        <x:v>HU-A-B</x:v>
      </x:c>
      <x:c r="F375" s="9" t="str">
        <x:v>B1</x:v>
      </x:c>
      <x:c r="G375" s="9" t="str">
        <x:v>BRK</x:v>
      </x:c>
      <x:c r="H375" s="9" t="str">
        <x:v>RW01</x:v>
      </x:c>
      <x:c r="I375" s="17" t="str">
        <x:v>Primary raw stream</x:v>
      </x:c>
      <x:c r="J375" s="17" t="str">
        <x:v>Primary metrology</x:v>
      </x:c>
      <x:c r="K375" s="17" t="str">
        <x:v>Public custody A</x:v>
      </x:c>
      <x:c r="L375" s="9" t="n">
        <x:v>0</x:v>
      </x:c>
      <x:c r="M375" s="9" t="n">
        <x:v>0</x:v>
      </x:c>
      <x:c r="N375" s="9" t="n">
        <x:v>0</x:v>
      </x:c>
      <x:c r="O375" s="9" t="n">
        <x:v>0</x:v>
      </x:c>
      <x:c r="P375" s="9" t="str">
        <x:v>UNSEALED / SOURCE-EMPTY</x:v>
      </x:c>
      <x:c r="Q375" s="9" t="n">
        <x:f>COUNTIFS($A$7:$A$1158,A375)</x:f>
        <x:v>1</x:v>
      </x:c>
    </x:row>
    <x:row r="376">
      <x:c r="A376" s="9" t="str">
        <x:v>EV-AR-HU-A-B-TECH-2-B1-BRK-G0-RW02</x:v>
      </x:c>
      <x:c r="B376" s="9" t="str">
        <x:v>EV-AR-HU-A-B-TECH-2-B1-BRK-G0</x:v>
      </x:c>
      <x:c r="C376" s="9" t="str">
        <x:v>AR-HU-A-B-TECH-2-B1-BRK-G0</x:v>
      </x:c>
      <x:c r="D376" s="9" t="str">
        <x:v>HU-A-B-TECH-2</x:v>
      </x:c>
      <x:c r="E376" s="9" t="str">
        <x:v>HU-A-B</x:v>
      </x:c>
      <x:c r="F376" s="9" t="str">
        <x:v>B1</x:v>
      </x:c>
      <x:c r="G376" s="9" t="str">
        <x:v>BRK</x:v>
      </x:c>
      <x:c r="H376" s="9" t="str">
        <x:v>RW02</x:v>
      </x:c>
      <x:c r="I376" s="17" t="str">
        <x:v>Unlike witness stream</x:v>
      </x:c>
      <x:c r="J376" s="17" t="str">
        <x:v>Witness metrology</x:v>
      </x:c>
      <x:c r="K376" s="17" t="str">
        <x:v>Public custody B</x:v>
      </x:c>
      <x:c r="L376" s="9" t="n">
        <x:v>0</x:v>
      </x:c>
      <x:c r="M376" s="9" t="n">
        <x:v>0</x:v>
      </x:c>
      <x:c r="N376" s="9" t="n">
        <x:v>0</x:v>
      </x:c>
      <x:c r="O376" s="9" t="n">
        <x:v>0</x:v>
      </x:c>
      <x:c r="P376" s="9" t="str">
        <x:v>UNSEALED / SOURCE-EMPTY</x:v>
      </x:c>
      <x:c r="Q376" s="9" t="n">
        <x:f>COUNTIFS($A$7:$A$1158,A376)</x:f>
        <x:v>1</x:v>
      </x:c>
    </x:row>
    <x:row r="377">
      <x:c r="A377" s="9" t="str">
        <x:v>EV-AR-HU-A-B-TECH-2-B1-BRK-G0-RW03</x:v>
      </x:c>
      <x:c r="B377" s="9" t="str">
        <x:v>EV-AR-HU-A-B-TECH-2-B1-BRK-G0</x:v>
      </x:c>
      <x:c r="C377" s="9" t="str">
        <x:v>AR-HU-A-B-TECH-2-B1-BRK-G0</x:v>
      </x:c>
      <x:c r="D377" s="9" t="str">
        <x:v>HU-A-B-TECH-2</x:v>
      </x:c>
      <x:c r="E377" s="9" t="str">
        <x:v>HU-A-B</x:v>
      </x:c>
      <x:c r="F377" s="9" t="str">
        <x:v>B1</x:v>
      </x:c>
      <x:c r="G377" s="9" t="str">
        <x:v>BRK</x:v>
      </x:c>
      <x:c r="H377" s="9" t="str">
        <x:v>RW03</x:v>
      </x:c>
      <x:c r="I377" s="17" t="str">
        <x:v>Event clock and start traces</x:v>
      </x:c>
      <x:c r="J377" s="17" t="str">
        <x:v>Event clock authority</x:v>
      </x:c>
      <x:c r="K377" s="17" t="str">
        <x:v>Public custody C</x:v>
      </x:c>
      <x:c r="L377" s="9" t="n">
        <x:v>0</x:v>
      </x:c>
      <x:c r="M377" s="9" t="n">
        <x:v>0</x:v>
      </x:c>
      <x:c r="N377" s="9" t="n">
        <x:v>0</x:v>
      </x:c>
      <x:c r="O377" s="9" t="n">
        <x:v>0</x:v>
      </x:c>
      <x:c r="P377" s="9" t="str">
        <x:v>UNSEALED / SOURCE-EMPTY</x:v>
      </x:c>
      <x:c r="Q377" s="9" t="n">
        <x:f>COUNTIFS($A$7:$A$1158,A377)</x:f>
        <x:v>1</x:v>
      </x:c>
    </x:row>
    <x:row r="378">
      <x:c r="A378" s="9" t="str">
        <x:v>EV-AR-HU-A-B-TECH-2-B1-BRK-G0-RW04</x:v>
      </x:c>
      <x:c r="B378" s="9" t="str">
        <x:v>EV-AR-HU-A-B-TECH-2-B1-BRK-G0</x:v>
      </x:c>
      <x:c r="C378" s="9" t="str">
        <x:v>AR-HU-A-B-TECH-2-B1-BRK-G0</x:v>
      </x:c>
      <x:c r="D378" s="9" t="str">
        <x:v>HU-A-B-TECH-2</x:v>
      </x:c>
      <x:c r="E378" s="9" t="str">
        <x:v>HU-A-B</x:v>
      </x:c>
      <x:c r="F378" s="9" t="str">
        <x:v>B1</x:v>
      </x:c>
      <x:c r="G378" s="9" t="str">
        <x:v>BRK</x:v>
      </x:c>
      <x:c r="H378" s="9" t="str">
        <x:v>RW04</x:v>
      </x:c>
      <x:c r="I378" s="17" t="str">
        <x:v>Environmental boundary stream</x:v>
      </x:c>
      <x:c r="J378" s="17" t="str">
        <x:v>Site metrology</x:v>
      </x:c>
      <x:c r="K378" s="17" t="str">
        <x:v>Public custody D</x:v>
      </x:c>
      <x:c r="L378" s="9" t="n">
        <x:v>0</x:v>
      </x:c>
      <x:c r="M378" s="9" t="n">
        <x:v>0</x:v>
      </x:c>
      <x:c r="N378" s="9" t="n">
        <x:v>0</x:v>
      </x:c>
      <x:c r="O378" s="9" t="n">
        <x:v>0</x:v>
      </x:c>
      <x:c r="P378" s="9" t="str">
        <x:v>UNSEALED / SOURCE-EMPTY</x:v>
      </x:c>
      <x:c r="Q378" s="9" t="n">
        <x:f>COUNTIFS($A$7:$A$1158,A378)</x:f>
        <x:v>1</x:v>
      </x:c>
    </x:row>
    <x:row r="379">
      <x:c r="A379" s="9" t="str">
        <x:v>EV-AR-HU-A-B-TECH-2-B1-BRK-G0-RW05</x:v>
      </x:c>
      <x:c r="B379" s="9" t="str">
        <x:v>EV-AR-HU-A-B-TECH-2-B1-BRK-G0</x:v>
      </x:c>
      <x:c r="C379" s="9" t="str">
        <x:v>AR-HU-A-B-TECH-2-B1-BRK-G0</x:v>
      </x:c>
      <x:c r="D379" s="9" t="str">
        <x:v>HU-A-B-TECH-2</x:v>
      </x:c>
      <x:c r="E379" s="9" t="str">
        <x:v>HU-A-B</x:v>
      </x:c>
      <x:c r="F379" s="9" t="str">
        <x:v>B1</x:v>
      </x:c>
      <x:c r="G379" s="9" t="str">
        <x:v>BRK</x:v>
      </x:c>
      <x:c r="H379" s="9" t="str">
        <x:v>RW05</x:v>
      </x:c>
      <x:c r="I379" s="17" t="str">
        <x:v>Command and intervention log</x:v>
      </x:c>
      <x:c r="J379" s="17" t="str">
        <x:v>Safety authority</x:v>
      </x:c>
      <x:c r="K379" s="17" t="str">
        <x:v>Public custody E</x:v>
      </x:c>
      <x:c r="L379" s="9" t="n">
        <x:v>0</x:v>
      </x:c>
      <x:c r="M379" s="9" t="n">
        <x:v>0</x:v>
      </x:c>
      <x:c r="N379" s="9" t="n">
        <x:v>0</x:v>
      </x:c>
      <x:c r="O379" s="9" t="n">
        <x:v>0</x:v>
      </x:c>
      <x:c r="P379" s="9" t="str">
        <x:v>UNSEALED / SOURCE-EMPTY</x:v>
      </x:c>
      <x:c r="Q379" s="9" t="n">
        <x:f>COUNTIFS($A$7:$A$1158,A379)</x:f>
        <x:v>1</x:v>
      </x:c>
    </x:row>
    <x:row r="380">
      <x:c r="A380" s="9" t="str">
        <x:v>EV-AR-HU-A-B-TECH-2-B1-BRK-G0-RW06</x:v>
      </x:c>
      <x:c r="B380" s="9" t="str">
        <x:v>EV-AR-HU-A-B-TECH-2-B1-BRK-G0</x:v>
      </x:c>
      <x:c r="C380" s="9" t="str">
        <x:v>AR-HU-A-B-TECH-2-B1-BRK-G0</x:v>
      </x:c>
      <x:c r="D380" s="9" t="str">
        <x:v>HU-A-B-TECH-2</x:v>
      </x:c>
      <x:c r="E380" s="9" t="str">
        <x:v>HU-A-B</x:v>
      </x:c>
      <x:c r="F380" s="9" t="str">
        <x:v>B1</x:v>
      </x:c>
      <x:c r="G380" s="9" t="str">
        <x:v>BRK</x:v>
      </x:c>
      <x:c r="H380" s="9" t="str">
        <x:v>RW06</x:v>
      </x:c>
      <x:c r="I380" s="17" t="str">
        <x:v>Receiver service ledger</x:v>
      </x:c>
      <x:c r="J380" s="17" t="str">
        <x:v>Receiver authority</x:v>
      </x:c>
      <x:c r="K380" s="17" t="str">
        <x:v>Public custody F</x:v>
      </x:c>
      <x:c r="L380" s="9" t="n">
        <x:v>0</x:v>
      </x:c>
      <x:c r="M380" s="9" t="n">
        <x:v>0</x:v>
      </x:c>
      <x:c r="N380" s="9" t="n">
        <x:v>0</x:v>
      </x:c>
      <x:c r="O380" s="9" t="n">
        <x:v>0</x:v>
      </x:c>
      <x:c r="P380" s="9" t="str">
        <x:v>UNSEALED / SOURCE-EMPTY</x:v>
      </x:c>
      <x:c r="Q380" s="9" t="n">
        <x:f>COUNTIFS($A$7:$A$1158,A380)</x:f>
        <x:v>1</x:v>
      </x:c>
    </x:row>
    <x:row r="381">
      <x:c r="A381" s="9" t="str">
        <x:v>EV-AR-HU-A-B-TECH-2-B1-BRK-G0-RW07</x:v>
      </x:c>
      <x:c r="B381" s="9" t="str">
        <x:v>EV-AR-HU-A-B-TECH-2-B1-BRK-G0</x:v>
      </x:c>
      <x:c r="C381" s="9" t="str">
        <x:v>AR-HU-A-B-TECH-2-B1-BRK-G0</x:v>
      </x:c>
      <x:c r="D381" s="9" t="str">
        <x:v>HU-A-B-TECH-2</x:v>
      </x:c>
      <x:c r="E381" s="9" t="str">
        <x:v>HU-A-B</x:v>
      </x:c>
      <x:c r="F381" s="9" t="str">
        <x:v>B1</x:v>
      </x:c>
      <x:c r="G381" s="9" t="str">
        <x:v>BRK</x:v>
      </x:c>
      <x:c r="H381" s="9" t="str">
        <x:v>RW07</x:v>
      </x:c>
      <x:c r="I381" s="17" t="str">
        <x:v>Candidate interface telemetry</x:v>
      </x:c>
      <x:c r="J381" s="17" t="str">
        <x:v>Interface custodian</x:v>
      </x:c>
      <x:c r="K381" s="17" t="str">
        <x:v>Public custody A</x:v>
      </x:c>
      <x:c r="L381" s="9" t="n">
        <x:v>0</x:v>
      </x:c>
      <x:c r="M381" s="9" t="n">
        <x:v>0</x:v>
      </x:c>
      <x:c r="N381" s="9" t="n">
        <x:v>0</x:v>
      </x:c>
      <x:c r="O381" s="9" t="n">
        <x:v>0</x:v>
      </x:c>
      <x:c r="P381" s="9" t="str">
        <x:v>UNSEALED / SOURCE-EMPTY</x:v>
      </x:c>
      <x:c r="Q381" s="9" t="n">
        <x:f>COUNTIFS($A$7:$A$1158,A381)</x:f>
        <x:v>1</x:v>
      </x:c>
    </x:row>
    <x:row r="382">
      <x:c r="A382" s="9" t="str">
        <x:v>EV-AR-HU-A-B-TECH-2-B1-BRK-G0-RW08</x:v>
      </x:c>
      <x:c r="B382" s="9" t="str">
        <x:v>EV-AR-HU-A-B-TECH-2-B1-BRK-G0</x:v>
      </x:c>
      <x:c r="C382" s="9" t="str">
        <x:v>AR-HU-A-B-TECH-2-B1-BRK-G0</x:v>
      </x:c>
      <x:c r="D382" s="9" t="str">
        <x:v>HU-A-B-TECH-2</x:v>
      </x:c>
      <x:c r="E382" s="9" t="str">
        <x:v>HU-A-B</x:v>
      </x:c>
      <x:c r="F382" s="9" t="str">
        <x:v>B1</x:v>
      </x:c>
      <x:c r="G382" s="9" t="str">
        <x:v>BRK</x:v>
      </x:c>
      <x:c r="H382" s="9" t="str">
        <x:v>RW08</x:v>
      </x:c>
      <x:c r="I382" s="17" t="str">
        <x:v>Residual and physical evidence</x:v>
      </x:c>
      <x:c r="J382" s="17" t="str">
        <x:v>Residual authority</x:v>
      </x:c>
      <x:c r="K382" s="17" t="str">
        <x:v>Public custody B</x:v>
      </x:c>
      <x:c r="L382" s="9" t="n">
        <x:v>0</x:v>
      </x:c>
      <x:c r="M382" s="9" t="n">
        <x:v>0</x:v>
      </x:c>
      <x:c r="N382" s="9" t="n">
        <x:v>0</x:v>
      </x:c>
      <x:c r="O382" s="9" t="n">
        <x:v>0</x:v>
      </x:c>
      <x:c r="P382" s="9" t="str">
        <x:v>UNSEALED / SOURCE-EMPTY</x:v>
      </x:c>
      <x:c r="Q382" s="9" t="n">
        <x:f>COUNTIFS($A$7:$A$1158,A382)</x:f>
        <x:v>1</x:v>
      </x:c>
    </x:row>
    <x:row r="383">
      <x:c r="A383" s="9" t="str">
        <x:v>EV-AR-RT-B-C-TECH-3-B1-INT-G0-RW01</x:v>
      </x:c>
      <x:c r="B383" s="9" t="str">
        <x:v>EV-AR-RT-B-C-TECH-3-B1-INT-G0</x:v>
      </x:c>
      <x:c r="C383" s="9" t="str">
        <x:v>AR-RT-B-C-TECH-3-B1-INT-G0</x:v>
      </x:c>
      <x:c r="D383" s="9" t="str">
        <x:v>RT-B-C-TECH-3</x:v>
      </x:c>
      <x:c r="E383" s="9" t="str">
        <x:v>RT-B-C</x:v>
      </x:c>
      <x:c r="F383" s="9" t="str">
        <x:v>B1</x:v>
      </x:c>
      <x:c r="G383" s="9" t="str">
        <x:v>INT</x:v>
      </x:c>
      <x:c r="H383" s="9" t="str">
        <x:v>RW01</x:v>
      </x:c>
      <x:c r="I383" s="17" t="str">
        <x:v>Primary raw stream</x:v>
      </x:c>
      <x:c r="J383" s="17" t="str">
        <x:v>Primary metrology</x:v>
      </x:c>
      <x:c r="K383" s="17" t="str">
        <x:v>Public custody A</x:v>
      </x:c>
      <x:c r="L383" s="9" t="n">
        <x:v>0</x:v>
      </x:c>
      <x:c r="M383" s="9" t="n">
        <x:v>0</x:v>
      </x:c>
      <x:c r="N383" s="9" t="n">
        <x:v>0</x:v>
      </x:c>
      <x:c r="O383" s="9" t="n">
        <x:v>0</x:v>
      </x:c>
      <x:c r="P383" s="9" t="str">
        <x:v>UNSEALED / SOURCE-EMPTY</x:v>
      </x:c>
      <x:c r="Q383" s="9" t="n">
        <x:f>COUNTIFS($A$7:$A$1158,A383)</x:f>
        <x:v>1</x:v>
      </x:c>
    </x:row>
    <x:row r="384">
      <x:c r="A384" s="9" t="str">
        <x:v>EV-AR-RT-B-C-TECH-3-B1-INT-G0-RW02</x:v>
      </x:c>
      <x:c r="B384" s="9" t="str">
        <x:v>EV-AR-RT-B-C-TECH-3-B1-INT-G0</x:v>
      </x:c>
      <x:c r="C384" s="9" t="str">
        <x:v>AR-RT-B-C-TECH-3-B1-INT-G0</x:v>
      </x:c>
      <x:c r="D384" s="9" t="str">
        <x:v>RT-B-C-TECH-3</x:v>
      </x:c>
      <x:c r="E384" s="9" t="str">
        <x:v>RT-B-C</x:v>
      </x:c>
      <x:c r="F384" s="9" t="str">
        <x:v>B1</x:v>
      </x:c>
      <x:c r="G384" s="9" t="str">
        <x:v>INT</x:v>
      </x:c>
      <x:c r="H384" s="9" t="str">
        <x:v>RW02</x:v>
      </x:c>
      <x:c r="I384" s="17" t="str">
        <x:v>Unlike witness stream</x:v>
      </x:c>
      <x:c r="J384" s="17" t="str">
        <x:v>Witness metrology</x:v>
      </x:c>
      <x:c r="K384" s="17" t="str">
        <x:v>Public custody B</x:v>
      </x:c>
      <x:c r="L384" s="9" t="n">
        <x:v>0</x:v>
      </x:c>
      <x:c r="M384" s="9" t="n">
        <x:v>0</x:v>
      </x:c>
      <x:c r="N384" s="9" t="n">
        <x:v>0</x:v>
      </x:c>
      <x:c r="O384" s="9" t="n">
        <x:v>0</x:v>
      </x:c>
      <x:c r="P384" s="9" t="str">
        <x:v>UNSEALED / SOURCE-EMPTY</x:v>
      </x:c>
      <x:c r="Q384" s="9" t="n">
        <x:f>COUNTIFS($A$7:$A$1158,A384)</x:f>
        <x:v>1</x:v>
      </x:c>
    </x:row>
    <x:row r="385">
      <x:c r="A385" s="9" t="str">
        <x:v>EV-AR-RT-B-C-TECH-3-B1-INT-G0-RW03</x:v>
      </x:c>
      <x:c r="B385" s="9" t="str">
        <x:v>EV-AR-RT-B-C-TECH-3-B1-INT-G0</x:v>
      </x:c>
      <x:c r="C385" s="9" t="str">
        <x:v>AR-RT-B-C-TECH-3-B1-INT-G0</x:v>
      </x:c>
      <x:c r="D385" s="9" t="str">
        <x:v>RT-B-C-TECH-3</x:v>
      </x:c>
      <x:c r="E385" s="9" t="str">
        <x:v>RT-B-C</x:v>
      </x:c>
      <x:c r="F385" s="9" t="str">
        <x:v>B1</x:v>
      </x:c>
      <x:c r="G385" s="9" t="str">
        <x:v>INT</x:v>
      </x:c>
      <x:c r="H385" s="9" t="str">
        <x:v>RW03</x:v>
      </x:c>
      <x:c r="I385" s="17" t="str">
        <x:v>Event clock and start traces</x:v>
      </x:c>
      <x:c r="J385" s="17" t="str">
        <x:v>Event clock authority</x:v>
      </x:c>
      <x:c r="K385" s="17" t="str">
        <x:v>Public custody C</x:v>
      </x:c>
      <x:c r="L385" s="9" t="n">
        <x:v>0</x:v>
      </x:c>
      <x:c r="M385" s="9" t="n">
        <x:v>0</x:v>
      </x:c>
      <x:c r="N385" s="9" t="n">
        <x:v>0</x:v>
      </x:c>
      <x:c r="O385" s="9" t="n">
        <x:v>0</x:v>
      </x:c>
      <x:c r="P385" s="9" t="str">
        <x:v>UNSEALED / SOURCE-EMPTY</x:v>
      </x:c>
      <x:c r="Q385" s="9" t="n">
        <x:f>COUNTIFS($A$7:$A$1158,A385)</x:f>
        <x:v>1</x:v>
      </x:c>
    </x:row>
    <x:row r="386">
      <x:c r="A386" s="9" t="str">
        <x:v>EV-AR-RT-B-C-TECH-3-B1-INT-G0-RW04</x:v>
      </x:c>
      <x:c r="B386" s="9" t="str">
        <x:v>EV-AR-RT-B-C-TECH-3-B1-INT-G0</x:v>
      </x:c>
      <x:c r="C386" s="9" t="str">
        <x:v>AR-RT-B-C-TECH-3-B1-INT-G0</x:v>
      </x:c>
      <x:c r="D386" s="9" t="str">
        <x:v>RT-B-C-TECH-3</x:v>
      </x:c>
      <x:c r="E386" s="9" t="str">
        <x:v>RT-B-C</x:v>
      </x:c>
      <x:c r="F386" s="9" t="str">
        <x:v>B1</x:v>
      </x:c>
      <x:c r="G386" s="9" t="str">
        <x:v>INT</x:v>
      </x:c>
      <x:c r="H386" s="9" t="str">
        <x:v>RW04</x:v>
      </x:c>
      <x:c r="I386" s="17" t="str">
        <x:v>Environmental boundary stream</x:v>
      </x:c>
      <x:c r="J386" s="17" t="str">
        <x:v>Site metrology</x:v>
      </x:c>
      <x:c r="K386" s="17" t="str">
        <x:v>Public custody D</x:v>
      </x:c>
      <x:c r="L386" s="9" t="n">
        <x:v>0</x:v>
      </x:c>
      <x:c r="M386" s="9" t="n">
        <x:v>0</x:v>
      </x:c>
      <x:c r="N386" s="9" t="n">
        <x:v>0</x:v>
      </x:c>
      <x:c r="O386" s="9" t="n">
        <x:v>0</x:v>
      </x:c>
      <x:c r="P386" s="9" t="str">
        <x:v>UNSEALED / SOURCE-EMPTY</x:v>
      </x:c>
      <x:c r="Q386" s="9" t="n">
        <x:f>COUNTIFS($A$7:$A$1158,A386)</x:f>
        <x:v>1</x:v>
      </x:c>
    </x:row>
    <x:row r="387">
      <x:c r="A387" s="9" t="str">
        <x:v>EV-AR-RT-B-C-TECH-3-B1-INT-G0-RW05</x:v>
      </x:c>
      <x:c r="B387" s="9" t="str">
        <x:v>EV-AR-RT-B-C-TECH-3-B1-INT-G0</x:v>
      </x:c>
      <x:c r="C387" s="9" t="str">
        <x:v>AR-RT-B-C-TECH-3-B1-INT-G0</x:v>
      </x:c>
      <x:c r="D387" s="9" t="str">
        <x:v>RT-B-C-TECH-3</x:v>
      </x:c>
      <x:c r="E387" s="9" t="str">
        <x:v>RT-B-C</x:v>
      </x:c>
      <x:c r="F387" s="9" t="str">
        <x:v>B1</x:v>
      </x:c>
      <x:c r="G387" s="9" t="str">
        <x:v>INT</x:v>
      </x:c>
      <x:c r="H387" s="9" t="str">
        <x:v>RW05</x:v>
      </x:c>
      <x:c r="I387" s="17" t="str">
        <x:v>Command and intervention log</x:v>
      </x:c>
      <x:c r="J387" s="17" t="str">
        <x:v>Safety authority</x:v>
      </x:c>
      <x:c r="K387" s="17" t="str">
        <x:v>Public custody E</x:v>
      </x:c>
      <x:c r="L387" s="9" t="n">
        <x:v>0</x:v>
      </x:c>
      <x:c r="M387" s="9" t="n">
        <x:v>0</x:v>
      </x:c>
      <x:c r="N387" s="9" t="n">
        <x:v>0</x:v>
      </x:c>
      <x:c r="O387" s="9" t="n">
        <x:v>0</x:v>
      </x:c>
      <x:c r="P387" s="9" t="str">
        <x:v>UNSEALED / SOURCE-EMPTY</x:v>
      </x:c>
      <x:c r="Q387" s="9" t="n">
        <x:f>COUNTIFS($A$7:$A$1158,A387)</x:f>
        <x:v>1</x:v>
      </x:c>
    </x:row>
    <x:row r="388">
      <x:c r="A388" s="9" t="str">
        <x:v>EV-AR-RT-B-C-TECH-3-B1-INT-G0-RW06</x:v>
      </x:c>
      <x:c r="B388" s="9" t="str">
        <x:v>EV-AR-RT-B-C-TECH-3-B1-INT-G0</x:v>
      </x:c>
      <x:c r="C388" s="9" t="str">
        <x:v>AR-RT-B-C-TECH-3-B1-INT-G0</x:v>
      </x:c>
      <x:c r="D388" s="9" t="str">
        <x:v>RT-B-C-TECH-3</x:v>
      </x:c>
      <x:c r="E388" s="9" t="str">
        <x:v>RT-B-C</x:v>
      </x:c>
      <x:c r="F388" s="9" t="str">
        <x:v>B1</x:v>
      </x:c>
      <x:c r="G388" s="9" t="str">
        <x:v>INT</x:v>
      </x:c>
      <x:c r="H388" s="9" t="str">
        <x:v>RW06</x:v>
      </x:c>
      <x:c r="I388" s="17" t="str">
        <x:v>Receiver service ledger</x:v>
      </x:c>
      <x:c r="J388" s="17" t="str">
        <x:v>Receiver authority</x:v>
      </x:c>
      <x:c r="K388" s="17" t="str">
        <x:v>Public custody F</x:v>
      </x:c>
      <x:c r="L388" s="9" t="n">
        <x:v>0</x:v>
      </x:c>
      <x:c r="M388" s="9" t="n">
        <x:v>0</x:v>
      </x:c>
      <x:c r="N388" s="9" t="n">
        <x:v>0</x:v>
      </x:c>
      <x:c r="O388" s="9" t="n">
        <x:v>0</x:v>
      </x:c>
      <x:c r="P388" s="9" t="str">
        <x:v>UNSEALED / SOURCE-EMPTY</x:v>
      </x:c>
      <x:c r="Q388" s="9" t="n">
        <x:f>COUNTIFS($A$7:$A$1158,A388)</x:f>
        <x:v>1</x:v>
      </x:c>
    </x:row>
    <x:row r="389">
      <x:c r="A389" s="9" t="str">
        <x:v>EV-AR-RT-B-C-TECH-3-B1-INT-G0-RW07</x:v>
      </x:c>
      <x:c r="B389" s="9" t="str">
        <x:v>EV-AR-RT-B-C-TECH-3-B1-INT-G0</x:v>
      </x:c>
      <x:c r="C389" s="9" t="str">
        <x:v>AR-RT-B-C-TECH-3-B1-INT-G0</x:v>
      </x:c>
      <x:c r="D389" s="9" t="str">
        <x:v>RT-B-C-TECH-3</x:v>
      </x:c>
      <x:c r="E389" s="9" t="str">
        <x:v>RT-B-C</x:v>
      </x:c>
      <x:c r="F389" s="9" t="str">
        <x:v>B1</x:v>
      </x:c>
      <x:c r="G389" s="9" t="str">
        <x:v>INT</x:v>
      </x:c>
      <x:c r="H389" s="9" t="str">
        <x:v>RW07</x:v>
      </x:c>
      <x:c r="I389" s="17" t="str">
        <x:v>Candidate interface telemetry</x:v>
      </x:c>
      <x:c r="J389" s="17" t="str">
        <x:v>Interface custodian</x:v>
      </x:c>
      <x:c r="K389" s="17" t="str">
        <x:v>Public custody A</x:v>
      </x:c>
      <x:c r="L389" s="9" t="n">
        <x:v>0</x:v>
      </x:c>
      <x:c r="M389" s="9" t="n">
        <x:v>0</x:v>
      </x:c>
      <x:c r="N389" s="9" t="n">
        <x:v>0</x:v>
      </x:c>
      <x:c r="O389" s="9" t="n">
        <x:v>0</x:v>
      </x:c>
      <x:c r="P389" s="9" t="str">
        <x:v>UNSEALED / SOURCE-EMPTY</x:v>
      </x:c>
      <x:c r="Q389" s="9" t="n">
        <x:f>COUNTIFS($A$7:$A$1158,A389)</x:f>
        <x:v>1</x:v>
      </x:c>
    </x:row>
    <x:row r="390">
      <x:c r="A390" s="9" t="str">
        <x:v>EV-AR-RT-B-C-TECH-3-B1-INT-G0-RW08</x:v>
      </x:c>
      <x:c r="B390" s="9" t="str">
        <x:v>EV-AR-RT-B-C-TECH-3-B1-INT-G0</x:v>
      </x:c>
      <x:c r="C390" s="9" t="str">
        <x:v>AR-RT-B-C-TECH-3-B1-INT-G0</x:v>
      </x:c>
      <x:c r="D390" s="9" t="str">
        <x:v>RT-B-C-TECH-3</x:v>
      </x:c>
      <x:c r="E390" s="9" t="str">
        <x:v>RT-B-C</x:v>
      </x:c>
      <x:c r="F390" s="9" t="str">
        <x:v>B1</x:v>
      </x:c>
      <x:c r="G390" s="9" t="str">
        <x:v>INT</x:v>
      </x:c>
      <x:c r="H390" s="9" t="str">
        <x:v>RW08</x:v>
      </x:c>
      <x:c r="I390" s="17" t="str">
        <x:v>Residual and physical evidence</x:v>
      </x:c>
      <x:c r="J390" s="17" t="str">
        <x:v>Residual authority</x:v>
      </x:c>
      <x:c r="K390" s="17" t="str">
        <x:v>Public custody B</x:v>
      </x:c>
      <x:c r="L390" s="9" t="n">
        <x:v>0</x:v>
      </x:c>
      <x:c r="M390" s="9" t="n">
        <x:v>0</x:v>
      </x:c>
      <x:c r="N390" s="9" t="n">
        <x:v>0</x:v>
      </x:c>
      <x:c r="O390" s="9" t="n">
        <x:v>0</x:v>
      </x:c>
      <x:c r="P390" s="9" t="str">
        <x:v>UNSEALED / SOURCE-EMPTY</x:v>
      </x:c>
      <x:c r="Q390" s="9" t="n">
        <x:f>COUNTIFS($A$7:$A$1158,A390)</x:f>
        <x:v>1</x:v>
      </x:c>
    </x:row>
    <x:row r="391">
      <x:c r="A391" s="9" t="str">
        <x:v>EV-AR-CT-C-B-TECH-4-B1-RCN-G0-RW01</x:v>
      </x:c>
      <x:c r="B391" s="9" t="str">
        <x:v>EV-AR-CT-C-B-TECH-4-B1-RCN-G0</x:v>
      </x:c>
      <x:c r="C391" s="9" t="str">
        <x:v>AR-CT-C-B-TECH-4-B1-RCN-G0</x:v>
      </x:c>
      <x:c r="D391" s="9" t="str">
        <x:v>CT-C-B-TECH-4</x:v>
      </x:c>
      <x:c r="E391" s="9" t="str">
        <x:v>CT-C-B</x:v>
      </x:c>
      <x:c r="F391" s="9" t="str">
        <x:v>B1</x:v>
      </x:c>
      <x:c r="G391" s="9" t="str">
        <x:v>RCN</x:v>
      </x:c>
      <x:c r="H391" s="9" t="str">
        <x:v>RW01</x:v>
      </x:c>
      <x:c r="I391" s="17" t="str">
        <x:v>Primary raw stream</x:v>
      </x:c>
      <x:c r="J391" s="17" t="str">
        <x:v>Primary metrology</x:v>
      </x:c>
      <x:c r="K391" s="17" t="str">
        <x:v>Public custody A</x:v>
      </x:c>
      <x:c r="L391" s="9" t="n">
        <x:v>0</x:v>
      </x:c>
      <x:c r="M391" s="9" t="n">
        <x:v>0</x:v>
      </x:c>
      <x:c r="N391" s="9" t="n">
        <x:v>0</x:v>
      </x:c>
      <x:c r="O391" s="9" t="n">
        <x:v>0</x:v>
      </x:c>
      <x:c r="P391" s="9" t="str">
        <x:v>UNSEALED / SOURCE-EMPTY</x:v>
      </x:c>
      <x:c r="Q391" s="9" t="n">
        <x:f>COUNTIFS($A$7:$A$1158,A391)</x:f>
        <x:v>1</x:v>
      </x:c>
    </x:row>
    <x:row r="392">
      <x:c r="A392" s="9" t="str">
        <x:v>EV-AR-CT-C-B-TECH-4-B1-RCN-G0-RW02</x:v>
      </x:c>
      <x:c r="B392" s="9" t="str">
        <x:v>EV-AR-CT-C-B-TECH-4-B1-RCN-G0</x:v>
      </x:c>
      <x:c r="C392" s="9" t="str">
        <x:v>AR-CT-C-B-TECH-4-B1-RCN-G0</x:v>
      </x:c>
      <x:c r="D392" s="9" t="str">
        <x:v>CT-C-B-TECH-4</x:v>
      </x:c>
      <x:c r="E392" s="9" t="str">
        <x:v>CT-C-B</x:v>
      </x:c>
      <x:c r="F392" s="9" t="str">
        <x:v>B1</x:v>
      </x:c>
      <x:c r="G392" s="9" t="str">
        <x:v>RCN</x:v>
      </x:c>
      <x:c r="H392" s="9" t="str">
        <x:v>RW02</x:v>
      </x:c>
      <x:c r="I392" s="17" t="str">
        <x:v>Unlike witness stream</x:v>
      </x:c>
      <x:c r="J392" s="17" t="str">
        <x:v>Witness metrology</x:v>
      </x:c>
      <x:c r="K392" s="17" t="str">
        <x:v>Public custody B</x:v>
      </x:c>
      <x:c r="L392" s="9" t="n">
        <x:v>0</x:v>
      </x:c>
      <x:c r="M392" s="9" t="n">
        <x:v>0</x:v>
      </x:c>
      <x:c r="N392" s="9" t="n">
        <x:v>0</x:v>
      </x:c>
      <x:c r="O392" s="9" t="n">
        <x:v>0</x:v>
      </x:c>
      <x:c r="P392" s="9" t="str">
        <x:v>UNSEALED / SOURCE-EMPTY</x:v>
      </x:c>
      <x:c r="Q392" s="9" t="n">
        <x:f>COUNTIFS($A$7:$A$1158,A392)</x:f>
        <x:v>1</x:v>
      </x:c>
    </x:row>
    <x:row r="393">
      <x:c r="A393" s="9" t="str">
        <x:v>EV-AR-CT-C-B-TECH-4-B1-RCN-G0-RW03</x:v>
      </x:c>
      <x:c r="B393" s="9" t="str">
        <x:v>EV-AR-CT-C-B-TECH-4-B1-RCN-G0</x:v>
      </x:c>
      <x:c r="C393" s="9" t="str">
        <x:v>AR-CT-C-B-TECH-4-B1-RCN-G0</x:v>
      </x:c>
      <x:c r="D393" s="9" t="str">
        <x:v>CT-C-B-TECH-4</x:v>
      </x:c>
      <x:c r="E393" s="9" t="str">
        <x:v>CT-C-B</x:v>
      </x:c>
      <x:c r="F393" s="9" t="str">
        <x:v>B1</x:v>
      </x:c>
      <x:c r="G393" s="9" t="str">
        <x:v>RCN</x:v>
      </x:c>
      <x:c r="H393" s="9" t="str">
        <x:v>RW03</x:v>
      </x:c>
      <x:c r="I393" s="17" t="str">
        <x:v>Event clock and start traces</x:v>
      </x:c>
      <x:c r="J393" s="17" t="str">
        <x:v>Event clock authority</x:v>
      </x:c>
      <x:c r="K393" s="17" t="str">
        <x:v>Public custody C</x:v>
      </x:c>
      <x:c r="L393" s="9" t="n">
        <x:v>0</x:v>
      </x:c>
      <x:c r="M393" s="9" t="n">
        <x:v>0</x:v>
      </x:c>
      <x:c r="N393" s="9" t="n">
        <x:v>0</x:v>
      </x:c>
      <x:c r="O393" s="9" t="n">
        <x:v>0</x:v>
      </x:c>
      <x:c r="P393" s="9" t="str">
        <x:v>UNSEALED / SOURCE-EMPTY</x:v>
      </x:c>
      <x:c r="Q393" s="9" t="n">
        <x:f>COUNTIFS($A$7:$A$1158,A393)</x:f>
        <x:v>1</x:v>
      </x:c>
    </x:row>
    <x:row r="394">
      <x:c r="A394" s="9" t="str">
        <x:v>EV-AR-CT-C-B-TECH-4-B1-RCN-G0-RW04</x:v>
      </x:c>
      <x:c r="B394" s="9" t="str">
        <x:v>EV-AR-CT-C-B-TECH-4-B1-RCN-G0</x:v>
      </x:c>
      <x:c r="C394" s="9" t="str">
        <x:v>AR-CT-C-B-TECH-4-B1-RCN-G0</x:v>
      </x:c>
      <x:c r="D394" s="9" t="str">
        <x:v>CT-C-B-TECH-4</x:v>
      </x:c>
      <x:c r="E394" s="9" t="str">
        <x:v>CT-C-B</x:v>
      </x:c>
      <x:c r="F394" s="9" t="str">
        <x:v>B1</x:v>
      </x:c>
      <x:c r="G394" s="9" t="str">
        <x:v>RCN</x:v>
      </x:c>
      <x:c r="H394" s="9" t="str">
        <x:v>RW04</x:v>
      </x:c>
      <x:c r="I394" s="17" t="str">
        <x:v>Environmental boundary stream</x:v>
      </x:c>
      <x:c r="J394" s="17" t="str">
        <x:v>Site metrology</x:v>
      </x:c>
      <x:c r="K394" s="17" t="str">
        <x:v>Public custody D</x:v>
      </x:c>
      <x:c r="L394" s="9" t="n">
        <x:v>0</x:v>
      </x:c>
      <x:c r="M394" s="9" t="n">
        <x:v>0</x:v>
      </x:c>
      <x:c r="N394" s="9" t="n">
        <x:v>0</x:v>
      </x:c>
      <x:c r="O394" s="9" t="n">
        <x:v>0</x:v>
      </x:c>
      <x:c r="P394" s="9" t="str">
        <x:v>UNSEALED / SOURCE-EMPTY</x:v>
      </x:c>
      <x:c r="Q394" s="9" t="n">
        <x:f>COUNTIFS($A$7:$A$1158,A394)</x:f>
        <x:v>1</x:v>
      </x:c>
    </x:row>
    <x:row r="395">
      <x:c r="A395" s="9" t="str">
        <x:v>EV-AR-CT-C-B-TECH-4-B1-RCN-G0-RW05</x:v>
      </x:c>
      <x:c r="B395" s="9" t="str">
        <x:v>EV-AR-CT-C-B-TECH-4-B1-RCN-G0</x:v>
      </x:c>
      <x:c r="C395" s="9" t="str">
        <x:v>AR-CT-C-B-TECH-4-B1-RCN-G0</x:v>
      </x:c>
      <x:c r="D395" s="9" t="str">
        <x:v>CT-C-B-TECH-4</x:v>
      </x:c>
      <x:c r="E395" s="9" t="str">
        <x:v>CT-C-B</x:v>
      </x:c>
      <x:c r="F395" s="9" t="str">
        <x:v>B1</x:v>
      </x:c>
      <x:c r="G395" s="9" t="str">
        <x:v>RCN</x:v>
      </x:c>
      <x:c r="H395" s="9" t="str">
        <x:v>RW05</x:v>
      </x:c>
      <x:c r="I395" s="17" t="str">
        <x:v>Command and intervention log</x:v>
      </x:c>
      <x:c r="J395" s="17" t="str">
        <x:v>Safety authority</x:v>
      </x:c>
      <x:c r="K395" s="17" t="str">
        <x:v>Public custody E</x:v>
      </x:c>
      <x:c r="L395" s="9" t="n">
        <x:v>0</x:v>
      </x:c>
      <x:c r="M395" s="9" t="n">
        <x:v>0</x:v>
      </x:c>
      <x:c r="N395" s="9" t="n">
        <x:v>0</x:v>
      </x:c>
      <x:c r="O395" s="9" t="n">
        <x:v>0</x:v>
      </x:c>
      <x:c r="P395" s="9" t="str">
        <x:v>UNSEALED / SOURCE-EMPTY</x:v>
      </x:c>
      <x:c r="Q395" s="9" t="n">
        <x:f>COUNTIFS($A$7:$A$1158,A395)</x:f>
        <x:v>1</x:v>
      </x:c>
    </x:row>
    <x:row r="396">
      <x:c r="A396" s="9" t="str">
        <x:v>EV-AR-CT-C-B-TECH-4-B1-RCN-G0-RW06</x:v>
      </x:c>
      <x:c r="B396" s="9" t="str">
        <x:v>EV-AR-CT-C-B-TECH-4-B1-RCN-G0</x:v>
      </x:c>
      <x:c r="C396" s="9" t="str">
        <x:v>AR-CT-C-B-TECH-4-B1-RCN-G0</x:v>
      </x:c>
      <x:c r="D396" s="9" t="str">
        <x:v>CT-C-B-TECH-4</x:v>
      </x:c>
      <x:c r="E396" s="9" t="str">
        <x:v>CT-C-B</x:v>
      </x:c>
      <x:c r="F396" s="9" t="str">
        <x:v>B1</x:v>
      </x:c>
      <x:c r="G396" s="9" t="str">
        <x:v>RCN</x:v>
      </x:c>
      <x:c r="H396" s="9" t="str">
        <x:v>RW06</x:v>
      </x:c>
      <x:c r="I396" s="17" t="str">
        <x:v>Receiver service ledger</x:v>
      </x:c>
      <x:c r="J396" s="17" t="str">
        <x:v>Receiver authority</x:v>
      </x:c>
      <x:c r="K396" s="17" t="str">
        <x:v>Public custody F</x:v>
      </x:c>
      <x:c r="L396" s="9" t="n">
        <x:v>0</x:v>
      </x:c>
      <x:c r="M396" s="9" t="n">
        <x:v>0</x:v>
      </x:c>
      <x:c r="N396" s="9" t="n">
        <x:v>0</x:v>
      </x:c>
      <x:c r="O396" s="9" t="n">
        <x:v>0</x:v>
      </x:c>
      <x:c r="P396" s="9" t="str">
        <x:v>UNSEALED / SOURCE-EMPTY</x:v>
      </x:c>
      <x:c r="Q396" s="9" t="n">
        <x:f>COUNTIFS($A$7:$A$1158,A396)</x:f>
        <x:v>1</x:v>
      </x:c>
    </x:row>
    <x:row r="397">
      <x:c r="A397" s="9" t="str">
        <x:v>EV-AR-CT-C-B-TECH-4-B1-RCN-G0-RW07</x:v>
      </x:c>
      <x:c r="B397" s="9" t="str">
        <x:v>EV-AR-CT-C-B-TECH-4-B1-RCN-G0</x:v>
      </x:c>
      <x:c r="C397" s="9" t="str">
        <x:v>AR-CT-C-B-TECH-4-B1-RCN-G0</x:v>
      </x:c>
      <x:c r="D397" s="9" t="str">
        <x:v>CT-C-B-TECH-4</x:v>
      </x:c>
      <x:c r="E397" s="9" t="str">
        <x:v>CT-C-B</x:v>
      </x:c>
      <x:c r="F397" s="9" t="str">
        <x:v>B1</x:v>
      </x:c>
      <x:c r="G397" s="9" t="str">
        <x:v>RCN</x:v>
      </x:c>
      <x:c r="H397" s="9" t="str">
        <x:v>RW07</x:v>
      </x:c>
      <x:c r="I397" s="17" t="str">
        <x:v>Candidate interface telemetry</x:v>
      </x:c>
      <x:c r="J397" s="17" t="str">
        <x:v>Interface custodian</x:v>
      </x:c>
      <x:c r="K397" s="17" t="str">
        <x:v>Public custody A</x:v>
      </x:c>
      <x:c r="L397" s="9" t="n">
        <x:v>0</x:v>
      </x:c>
      <x:c r="M397" s="9" t="n">
        <x:v>0</x:v>
      </x:c>
      <x:c r="N397" s="9" t="n">
        <x:v>0</x:v>
      </x:c>
      <x:c r="O397" s="9" t="n">
        <x:v>0</x:v>
      </x:c>
      <x:c r="P397" s="9" t="str">
        <x:v>UNSEALED / SOURCE-EMPTY</x:v>
      </x:c>
      <x:c r="Q397" s="9" t="n">
        <x:f>COUNTIFS($A$7:$A$1158,A397)</x:f>
        <x:v>1</x:v>
      </x:c>
    </x:row>
    <x:row r="398">
      <x:c r="A398" s="9" t="str">
        <x:v>EV-AR-CT-C-B-TECH-4-B1-RCN-G0-RW08</x:v>
      </x:c>
      <x:c r="B398" s="9" t="str">
        <x:v>EV-AR-CT-C-B-TECH-4-B1-RCN-G0</x:v>
      </x:c>
      <x:c r="C398" s="9" t="str">
        <x:v>AR-CT-C-B-TECH-4-B1-RCN-G0</x:v>
      </x:c>
      <x:c r="D398" s="9" t="str">
        <x:v>CT-C-B-TECH-4</x:v>
      </x:c>
      <x:c r="E398" s="9" t="str">
        <x:v>CT-C-B</x:v>
      </x:c>
      <x:c r="F398" s="9" t="str">
        <x:v>B1</x:v>
      </x:c>
      <x:c r="G398" s="9" t="str">
        <x:v>RCN</x:v>
      </x:c>
      <x:c r="H398" s="9" t="str">
        <x:v>RW08</x:v>
      </x:c>
      <x:c r="I398" s="17" t="str">
        <x:v>Residual and physical evidence</x:v>
      </x:c>
      <x:c r="J398" s="17" t="str">
        <x:v>Residual authority</x:v>
      </x:c>
      <x:c r="K398" s="17" t="str">
        <x:v>Public custody B</x:v>
      </x:c>
      <x:c r="L398" s="9" t="n">
        <x:v>0</x:v>
      </x:c>
      <x:c r="M398" s="9" t="n">
        <x:v>0</x:v>
      </x:c>
      <x:c r="N398" s="9" t="n">
        <x:v>0</x:v>
      </x:c>
      <x:c r="O398" s="9" t="n">
        <x:v>0</x:v>
      </x:c>
      <x:c r="P398" s="9" t="str">
        <x:v>UNSEALED / SOURCE-EMPTY</x:v>
      </x:c>
      <x:c r="Q398" s="9" t="n">
        <x:f>COUNTIFS($A$7:$A$1158,A398)</x:f>
        <x:v>1</x:v>
      </x:c>
    </x:row>
    <x:row r="399">
      <x:c r="A399" s="9" t="str">
        <x:v>EV-AR-CT-C-B-TECH-2-B1-INT-G0-RW01</x:v>
      </x:c>
      <x:c r="B399" s="9" t="str">
        <x:v>EV-AR-CT-C-B-TECH-2-B1-INT-G0</x:v>
      </x:c>
      <x:c r="C399" s="9" t="str">
        <x:v>AR-CT-C-B-TECH-2-B1-INT-G0</x:v>
      </x:c>
      <x:c r="D399" s="9" t="str">
        <x:v>CT-C-B-TECH-2</x:v>
      </x:c>
      <x:c r="E399" s="9" t="str">
        <x:v>CT-C-B</x:v>
      </x:c>
      <x:c r="F399" s="9" t="str">
        <x:v>B1</x:v>
      </x:c>
      <x:c r="G399" s="9" t="str">
        <x:v>INT</x:v>
      </x:c>
      <x:c r="H399" s="9" t="str">
        <x:v>RW01</x:v>
      </x:c>
      <x:c r="I399" s="17" t="str">
        <x:v>Primary raw stream</x:v>
      </x:c>
      <x:c r="J399" s="17" t="str">
        <x:v>Primary metrology</x:v>
      </x:c>
      <x:c r="K399" s="17" t="str">
        <x:v>Public custody A</x:v>
      </x:c>
      <x:c r="L399" s="9" t="n">
        <x:v>0</x:v>
      </x:c>
      <x:c r="M399" s="9" t="n">
        <x:v>0</x:v>
      </x:c>
      <x:c r="N399" s="9" t="n">
        <x:v>0</x:v>
      </x:c>
      <x:c r="O399" s="9" t="n">
        <x:v>0</x:v>
      </x:c>
      <x:c r="P399" s="9" t="str">
        <x:v>UNSEALED / SOURCE-EMPTY</x:v>
      </x:c>
      <x:c r="Q399" s="9" t="n">
        <x:f>COUNTIFS($A$7:$A$1158,A399)</x:f>
        <x:v>1</x:v>
      </x:c>
    </x:row>
    <x:row r="400">
      <x:c r="A400" s="9" t="str">
        <x:v>EV-AR-CT-C-B-TECH-2-B1-INT-G0-RW02</x:v>
      </x:c>
      <x:c r="B400" s="9" t="str">
        <x:v>EV-AR-CT-C-B-TECH-2-B1-INT-G0</x:v>
      </x:c>
      <x:c r="C400" s="9" t="str">
        <x:v>AR-CT-C-B-TECH-2-B1-INT-G0</x:v>
      </x:c>
      <x:c r="D400" s="9" t="str">
        <x:v>CT-C-B-TECH-2</x:v>
      </x:c>
      <x:c r="E400" s="9" t="str">
        <x:v>CT-C-B</x:v>
      </x:c>
      <x:c r="F400" s="9" t="str">
        <x:v>B1</x:v>
      </x:c>
      <x:c r="G400" s="9" t="str">
        <x:v>INT</x:v>
      </x:c>
      <x:c r="H400" s="9" t="str">
        <x:v>RW02</x:v>
      </x:c>
      <x:c r="I400" s="17" t="str">
        <x:v>Unlike witness stream</x:v>
      </x:c>
      <x:c r="J400" s="17" t="str">
        <x:v>Witness metrology</x:v>
      </x:c>
      <x:c r="K400" s="17" t="str">
        <x:v>Public custody B</x:v>
      </x:c>
      <x:c r="L400" s="9" t="n">
        <x:v>0</x:v>
      </x:c>
      <x:c r="M400" s="9" t="n">
        <x:v>0</x:v>
      </x:c>
      <x:c r="N400" s="9" t="n">
        <x:v>0</x:v>
      </x:c>
      <x:c r="O400" s="9" t="n">
        <x:v>0</x:v>
      </x:c>
      <x:c r="P400" s="9" t="str">
        <x:v>UNSEALED / SOURCE-EMPTY</x:v>
      </x:c>
      <x:c r="Q400" s="9" t="n">
        <x:f>COUNTIFS($A$7:$A$1158,A400)</x:f>
        <x:v>1</x:v>
      </x:c>
    </x:row>
    <x:row r="401">
      <x:c r="A401" s="9" t="str">
        <x:v>EV-AR-CT-C-B-TECH-2-B1-INT-G0-RW03</x:v>
      </x:c>
      <x:c r="B401" s="9" t="str">
        <x:v>EV-AR-CT-C-B-TECH-2-B1-INT-G0</x:v>
      </x:c>
      <x:c r="C401" s="9" t="str">
        <x:v>AR-CT-C-B-TECH-2-B1-INT-G0</x:v>
      </x:c>
      <x:c r="D401" s="9" t="str">
        <x:v>CT-C-B-TECH-2</x:v>
      </x:c>
      <x:c r="E401" s="9" t="str">
        <x:v>CT-C-B</x:v>
      </x:c>
      <x:c r="F401" s="9" t="str">
        <x:v>B1</x:v>
      </x:c>
      <x:c r="G401" s="9" t="str">
        <x:v>INT</x:v>
      </x:c>
      <x:c r="H401" s="9" t="str">
        <x:v>RW03</x:v>
      </x:c>
      <x:c r="I401" s="17" t="str">
        <x:v>Event clock and start traces</x:v>
      </x:c>
      <x:c r="J401" s="17" t="str">
        <x:v>Event clock authority</x:v>
      </x:c>
      <x:c r="K401" s="17" t="str">
        <x:v>Public custody C</x:v>
      </x:c>
      <x:c r="L401" s="9" t="n">
        <x:v>0</x:v>
      </x:c>
      <x:c r="M401" s="9" t="n">
        <x:v>0</x:v>
      </x:c>
      <x:c r="N401" s="9" t="n">
        <x:v>0</x:v>
      </x:c>
      <x:c r="O401" s="9" t="n">
        <x:v>0</x:v>
      </x:c>
      <x:c r="P401" s="9" t="str">
        <x:v>UNSEALED / SOURCE-EMPTY</x:v>
      </x:c>
      <x:c r="Q401" s="9" t="n">
        <x:f>COUNTIFS($A$7:$A$1158,A401)</x:f>
        <x:v>1</x:v>
      </x:c>
    </x:row>
    <x:row r="402">
      <x:c r="A402" s="9" t="str">
        <x:v>EV-AR-CT-C-B-TECH-2-B1-INT-G0-RW04</x:v>
      </x:c>
      <x:c r="B402" s="9" t="str">
        <x:v>EV-AR-CT-C-B-TECH-2-B1-INT-G0</x:v>
      </x:c>
      <x:c r="C402" s="9" t="str">
        <x:v>AR-CT-C-B-TECH-2-B1-INT-G0</x:v>
      </x:c>
      <x:c r="D402" s="9" t="str">
        <x:v>CT-C-B-TECH-2</x:v>
      </x:c>
      <x:c r="E402" s="9" t="str">
        <x:v>CT-C-B</x:v>
      </x:c>
      <x:c r="F402" s="9" t="str">
        <x:v>B1</x:v>
      </x:c>
      <x:c r="G402" s="9" t="str">
        <x:v>INT</x:v>
      </x:c>
      <x:c r="H402" s="9" t="str">
        <x:v>RW04</x:v>
      </x:c>
      <x:c r="I402" s="17" t="str">
        <x:v>Environmental boundary stream</x:v>
      </x:c>
      <x:c r="J402" s="17" t="str">
        <x:v>Site metrology</x:v>
      </x:c>
      <x:c r="K402" s="17" t="str">
        <x:v>Public custody D</x:v>
      </x:c>
      <x:c r="L402" s="9" t="n">
        <x:v>0</x:v>
      </x:c>
      <x:c r="M402" s="9" t="n">
        <x:v>0</x:v>
      </x:c>
      <x:c r="N402" s="9" t="n">
        <x:v>0</x:v>
      </x:c>
      <x:c r="O402" s="9" t="n">
        <x:v>0</x:v>
      </x:c>
      <x:c r="P402" s="9" t="str">
        <x:v>UNSEALED / SOURCE-EMPTY</x:v>
      </x:c>
      <x:c r="Q402" s="9" t="n">
        <x:f>COUNTIFS($A$7:$A$1158,A402)</x:f>
        <x:v>1</x:v>
      </x:c>
    </x:row>
    <x:row r="403">
      <x:c r="A403" s="9" t="str">
        <x:v>EV-AR-CT-C-B-TECH-2-B1-INT-G0-RW05</x:v>
      </x:c>
      <x:c r="B403" s="9" t="str">
        <x:v>EV-AR-CT-C-B-TECH-2-B1-INT-G0</x:v>
      </x:c>
      <x:c r="C403" s="9" t="str">
        <x:v>AR-CT-C-B-TECH-2-B1-INT-G0</x:v>
      </x:c>
      <x:c r="D403" s="9" t="str">
        <x:v>CT-C-B-TECH-2</x:v>
      </x:c>
      <x:c r="E403" s="9" t="str">
        <x:v>CT-C-B</x:v>
      </x:c>
      <x:c r="F403" s="9" t="str">
        <x:v>B1</x:v>
      </x:c>
      <x:c r="G403" s="9" t="str">
        <x:v>INT</x:v>
      </x:c>
      <x:c r="H403" s="9" t="str">
        <x:v>RW05</x:v>
      </x:c>
      <x:c r="I403" s="17" t="str">
        <x:v>Command and intervention log</x:v>
      </x:c>
      <x:c r="J403" s="17" t="str">
        <x:v>Safety authority</x:v>
      </x:c>
      <x:c r="K403" s="17" t="str">
        <x:v>Public custody E</x:v>
      </x:c>
      <x:c r="L403" s="9" t="n">
        <x:v>0</x:v>
      </x:c>
      <x:c r="M403" s="9" t="n">
        <x:v>0</x:v>
      </x:c>
      <x:c r="N403" s="9" t="n">
        <x:v>0</x:v>
      </x:c>
      <x:c r="O403" s="9" t="n">
        <x:v>0</x:v>
      </x:c>
      <x:c r="P403" s="9" t="str">
        <x:v>UNSEALED / SOURCE-EMPTY</x:v>
      </x:c>
      <x:c r="Q403" s="9" t="n">
        <x:f>COUNTIFS($A$7:$A$1158,A403)</x:f>
        <x:v>1</x:v>
      </x:c>
    </x:row>
    <x:row r="404">
      <x:c r="A404" s="9" t="str">
        <x:v>EV-AR-CT-C-B-TECH-2-B1-INT-G0-RW06</x:v>
      </x:c>
      <x:c r="B404" s="9" t="str">
        <x:v>EV-AR-CT-C-B-TECH-2-B1-INT-G0</x:v>
      </x:c>
      <x:c r="C404" s="9" t="str">
        <x:v>AR-CT-C-B-TECH-2-B1-INT-G0</x:v>
      </x:c>
      <x:c r="D404" s="9" t="str">
        <x:v>CT-C-B-TECH-2</x:v>
      </x:c>
      <x:c r="E404" s="9" t="str">
        <x:v>CT-C-B</x:v>
      </x:c>
      <x:c r="F404" s="9" t="str">
        <x:v>B1</x:v>
      </x:c>
      <x:c r="G404" s="9" t="str">
        <x:v>INT</x:v>
      </x:c>
      <x:c r="H404" s="9" t="str">
        <x:v>RW06</x:v>
      </x:c>
      <x:c r="I404" s="17" t="str">
        <x:v>Receiver service ledger</x:v>
      </x:c>
      <x:c r="J404" s="17" t="str">
        <x:v>Receiver authority</x:v>
      </x:c>
      <x:c r="K404" s="17" t="str">
        <x:v>Public custody F</x:v>
      </x:c>
      <x:c r="L404" s="9" t="n">
        <x:v>0</x:v>
      </x:c>
      <x:c r="M404" s="9" t="n">
        <x:v>0</x:v>
      </x:c>
      <x:c r="N404" s="9" t="n">
        <x:v>0</x:v>
      </x:c>
      <x:c r="O404" s="9" t="n">
        <x:v>0</x:v>
      </x:c>
      <x:c r="P404" s="9" t="str">
        <x:v>UNSEALED / SOURCE-EMPTY</x:v>
      </x:c>
      <x:c r="Q404" s="9" t="n">
        <x:f>COUNTIFS($A$7:$A$1158,A404)</x:f>
        <x:v>1</x:v>
      </x:c>
    </x:row>
    <x:row r="405">
      <x:c r="A405" s="9" t="str">
        <x:v>EV-AR-CT-C-B-TECH-2-B1-INT-G0-RW07</x:v>
      </x:c>
      <x:c r="B405" s="9" t="str">
        <x:v>EV-AR-CT-C-B-TECH-2-B1-INT-G0</x:v>
      </x:c>
      <x:c r="C405" s="9" t="str">
        <x:v>AR-CT-C-B-TECH-2-B1-INT-G0</x:v>
      </x:c>
      <x:c r="D405" s="9" t="str">
        <x:v>CT-C-B-TECH-2</x:v>
      </x:c>
      <x:c r="E405" s="9" t="str">
        <x:v>CT-C-B</x:v>
      </x:c>
      <x:c r="F405" s="9" t="str">
        <x:v>B1</x:v>
      </x:c>
      <x:c r="G405" s="9" t="str">
        <x:v>INT</x:v>
      </x:c>
      <x:c r="H405" s="9" t="str">
        <x:v>RW07</x:v>
      </x:c>
      <x:c r="I405" s="17" t="str">
        <x:v>Candidate interface telemetry</x:v>
      </x:c>
      <x:c r="J405" s="17" t="str">
        <x:v>Interface custodian</x:v>
      </x:c>
      <x:c r="K405" s="17" t="str">
        <x:v>Public custody A</x:v>
      </x:c>
      <x:c r="L405" s="9" t="n">
        <x:v>0</x:v>
      </x:c>
      <x:c r="M405" s="9" t="n">
        <x:v>0</x:v>
      </x:c>
      <x:c r="N405" s="9" t="n">
        <x:v>0</x:v>
      </x:c>
      <x:c r="O405" s="9" t="n">
        <x:v>0</x:v>
      </x:c>
      <x:c r="P405" s="9" t="str">
        <x:v>UNSEALED / SOURCE-EMPTY</x:v>
      </x:c>
      <x:c r="Q405" s="9" t="n">
        <x:f>COUNTIFS($A$7:$A$1158,A405)</x:f>
        <x:v>1</x:v>
      </x:c>
    </x:row>
    <x:row r="406">
      <x:c r="A406" s="9" t="str">
        <x:v>EV-AR-CT-C-B-TECH-2-B1-INT-G0-RW08</x:v>
      </x:c>
      <x:c r="B406" s="9" t="str">
        <x:v>EV-AR-CT-C-B-TECH-2-B1-INT-G0</x:v>
      </x:c>
      <x:c r="C406" s="9" t="str">
        <x:v>AR-CT-C-B-TECH-2-B1-INT-G0</x:v>
      </x:c>
      <x:c r="D406" s="9" t="str">
        <x:v>CT-C-B-TECH-2</x:v>
      </x:c>
      <x:c r="E406" s="9" t="str">
        <x:v>CT-C-B</x:v>
      </x:c>
      <x:c r="F406" s="9" t="str">
        <x:v>B1</x:v>
      </x:c>
      <x:c r="G406" s="9" t="str">
        <x:v>INT</x:v>
      </x:c>
      <x:c r="H406" s="9" t="str">
        <x:v>RW08</x:v>
      </x:c>
      <x:c r="I406" s="17" t="str">
        <x:v>Residual and physical evidence</x:v>
      </x:c>
      <x:c r="J406" s="17" t="str">
        <x:v>Residual authority</x:v>
      </x:c>
      <x:c r="K406" s="17" t="str">
        <x:v>Public custody B</x:v>
      </x:c>
      <x:c r="L406" s="9" t="n">
        <x:v>0</x:v>
      </x:c>
      <x:c r="M406" s="9" t="n">
        <x:v>0</x:v>
      </x:c>
      <x:c r="N406" s="9" t="n">
        <x:v>0</x:v>
      </x:c>
      <x:c r="O406" s="9" t="n">
        <x:v>0</x:v>
      </x:c>
      <x:c r="P406" s="9" t="str">
        <x:v>UNSEALED / SOURCE-EMPTY</x:v>
      </x:c>
      <x:c r="Q406" s="9" t="n">
        <x:f>COUNTIFS($A$7:$A$1158,A406)</x:f>
        <x:v>1</x:v>
      </x:c>
    </x:row>
    <x:row r="407">
      <x:c r="A407" s="9" t="str">
        <x:v>EV-AR-HC-A-C-TECH-4-B2-BRK-G0-RW01</x:v>
      </x:c>
      <x:c r="B407" s="9" t="str">
        <x:v>EV-AR-HC-A-C-TECH-4-B2-BRK-G0</x:v>
      </x:c>
      <x:c r="C407" s="9" t="str">
        <x:v>AR-HC-A-C-TECH-4-B2-BRK-G0</x:v>
      </x:c>
      <x:c r="D407" s="9" t="str">
        <x:v>HC-A-C-TECH-4</x:v>
      </x:c>
      <x:c r="E407" s="9" t="str">
        <x:v>HC-A-C</x:v>
      </x:c>
      <x:c r="F407" s="9" t="str">
        <x:v>B2</x:v>
      </x:c>
      <x:c r="G407" s="9" t="str">
        <x:v>BRK</x:v>
      </x:c>
      <x:c r="H407" s="9" t="str">
        <x:v>RW01</x:v>
      </x:c>
      <x:c r="I407" s="17" t="str">
        <x:v>Primary raw stream</x:v>
      </x:c>
      <x:c r="J407" s="17" t="str">
        <x:v>Primary metrology</x:v>
      </x:c>
      <x:c r="K407" s="17" t="str">
        <x:v>Public custody A</x:v>
      </x:c>
      <x:c r="L407" s="9" t="n">
        <x:v>0</x:v>
      </x:c>
      <x:c r="M407" s="9" t="n">
        <x:v>0</x:v>
      </x:c>
      <x:c r="N407" s="9" t="n">
        <x:v>0</x:v>
      </x:c>
      <x:c r="O407" s="9" t="n">
        <x:v>0</x:v>
      </x:c>
      <x:c r="P407" s="9" t="str">
        <x:v>UNSEALED / SOURCE-EMPTY</x:v>
      </x:c>
      <x:c r="Q407" s="9" t="n">
        <x:f>COUNTIFS($A$7:$A$1158,A407)</x:f>
        <x:v>1</x:v>
      </x:c>
    </x:row>
    <x:row r="408">
      <x:c r="A408" s="9" t="str">
        <x:v>EV-AR-HC-A-C-TECH-4-B2-BRK-G0-RW02</x:v>
      </x:c>
      <x:c r="B408" s="9" t="str">
        <x:v>EV-AR-HC-A-C-TECH-4-B2-BRK-G0</x:v>
      </x:c>
      <x:c r="C408" s="9" t="str">
        <x:v>AR-HC-A-C-TECH-4-B2-BRK-G0</x:v>
      </x:c>
      <x:c r="D408" s="9" t="str">
        <x:v>HC-A-C-TECH-4</x:v>
      </x:c>
      <x:c r="E408" s="9" t="str">
        <x:v>HC-A-C</x:v>
      </x:c>
      <x:c r="F408" s="9" t="str">
        <x:v>B2</x:v>
      </x:c>
      <x:c r="G408" s="9" t="str">
        <x:v>BRK</x:v>
      </x:c>
      <x:c r="H408" s="9" t="str">
        <x:v>RW02</x:v>
      </x:c>
      <x:c r="I408" s="17" t="str">
        <x:v>Unlike witness stream</x:v>
      </x:c>
      <x:c r="J408" s="17" t="str">
        <x:v>Witness metrology</x:v>
      </x:c>
      <x:c r="K408" s="17" t="str">
        <x:v>Public custody B</x:v>
      </x:c>
      <x:c r="L408" s="9" t="n">
        <x:v>0</x:v>
      </x:c>
      <x:c r="M408" s="9" t="n">
        <x:v>0</x:v>
      </x:c>
      <x:c r="N408" s="9" t="n">
        <x:v>0</x:v>
      </x:c>
      <x:c r="O408" s="9" t="n">
        <x:v>0</x:v>
      </x:c>
      <x:c r="P408" s="9" t="str">
        <x:v>UNSEALED / SOURCE-EMPTY</x:v>
      </x:c>
      <x:c r="Q408" s="9" t="n">
        <x:f>COUNTIFS($A$7:$A$1158,A408)</x:f>
        <x:v>1</x:v>
      </x:c>
    </x:row>
    <x:row r="409">
      <x:c r="A409" s="9" t="str">
        <x:v>EV-AR-HC-A-C-TECH-4-B2-BRK-G0-RW03</x:v>
      </x:c>
      <x:c r="B409" s="9" t="str">
        <x:v>EV-AR-HC-A-C-TECH-4-B2-BRK-G0</x:v>
      </x:c>
      <x:c r="C409" s="9" t="str">
        <x:v>AR-HC-A-C-TECH-4-B2-BRK-G0</x:v>
      </x:c>
      <x:c r="D409" s="9" t="str">
        <x:v>HC-A-C-TECH-4</x:v>
      </x:c>
      <x:c r="E409" s="9" t="str">
        <x:v>HC-A-C</x:v>
      </x:c>
      <x:c r="F409" s="9" t="str">
        <x:v>B2</x:v>
      </x:c>
      <x:c r="G409" s="9" t="str">
        <x:v>BRK</x:v>
      </x:c>
      <x:c r="H409" s="9" t="str">
        <x:v>RW03</x:v>
      </x:c>
      <x:c r="I409" s="17" t="str">
        <x:v>Event clock and start traces</x:v>
      </x:c>
      <x:c r="J409" s="17" t="str">
        <x:v>Event clock authority</x:v>
      </x:c>
      <x:c r="K409" s="17" t="str">
        <x:v>Public custody C</x:v>
      </x:c>
      <x:c r="L409" s="9" t="n">
        <x:v>0</x:v>
      </x:c>
      <x:c r="M409" s="9" t="n">
        <x:v>0</x:v>
      </x:c>
      <x:c r="N409" s="9" t="n">
        <x:v>0</x:v>
      </x:c>
      <x:c r="O409" s="9" t="n">
        <x:v>0</x:v>
      </x:c>
      <x:c r="P409" s="9" t="str">
        <x:v>UNSEALED / SOURCE-EMPTY</x:v>
      </x:c>
      <x:c r="Q409" s="9" t="n">
        <x:f>COUNTIFS($A$7:$A$1158,A409)</x:f>
        <x:v>1</x:v>
      </x:c>
    </x:row>
    <x:row r="410">
      <x:c r="A410" s="9" t="str">
        <x:v>EV-AR-HC-A-C-TECH-4-B2-BRK-G0-RW04</x:v>
      </x:c>
      <x:c r="B410" s="9" t="str">
        <x:v>EV-AR-HC-A-C-TECH-4-B2-BRK-G0</x:v>
      </x:c>
      <x:c r="C410" s="9" t="str">
        <x:v>AR-HC-A-C-TECH-4-B2-BRK-G0</x:v>
      </x:c>
      <x:c r="D410" s="9" t="str">
        <x:v>HC-A-C-TECH-4</x:v>
      </x:c>
      <x:c r="E410" s="9" t="str">
        <x:v>HC-A-C</x:v>
      </x:c>
      <x:c r="F410" s="9" t="str">
        <x:v>B2</x:v>
      </x:c>
      <x:c r="G410" s="9" t="str">
        <x:v>BRK</x:v>
      </x:c>
      <x:c r="H410" s="9" t="str">
        <x:v>RW04</x:v>
      </x:c>
      <x:c r="I410" s="17" t="str">
        <x:v>Environmental boundary stream</x:v>
      </x:c>
      <x:c r="J410" s="17" t="str">
        <x:v>Site metrology</x:v>
      </x:c>
      <x:c r="K410" s="17" t="str">
        <x:v>Public custody D</x:v>
      </x:c>
      <x:c r="L410" s="9" t="n">
        <x:v>0</x:v>
      </x:c>
      <x:c r="M410" s="9" t="n">
        <x:v>0</x:v>
      </x:c>
      <x:c r="N410" s="9" t="n">
        <x:v>0</x:v>
      </x:c>
      <x:c r="O410" s="9" t="n">
        <x:v>0</x:v>
      </x:c>
      <x:c r="P410" s="9" t="str">
        <x:v>UNSEALED / SOURCE-EMPTY</x:v>
      </x:c>
      <x:c r="Q410" s="9" t="n">
        <x:f>COUNTIFS($A$7:$A$1158,A410)</x:f>
        <x:v>1</x:v>
      </x:c>
    </x:row>
    <x:row r="411">
      <x:c r="A411" s="9" t="str">
        <x:v>EV-AR-HC-A-C-TECH-4-B2-BRK-G0-RW05</x:v>
      </x:c>
      <x:c r="B411" s="9" t="str">
        <x:v>EV-AR-HC-A-C-TECH-4-B2-BRK-G0</x:v>
      </x:c>
      <x:c r="C411" s="9" t="str">
        <x:v>AR-HC-A-C-TECH-4-B2-BRK-G0</x:v>
      </x:c>
      <x:c r="D411" s="9" t="str">
        <x:v>HC-A-C-TECH-4</x:v>
      </x:c>
      <x:c r="E411" s="9" t="str">
        <x:v>HC-A-C</x:v>
      </x:c>
      <x:c r="F411" s="9" t="str">
        <x:v>B2</x:v>
      </x:c>
      <x:c r="G411" s="9" t="str">
        <x:v>BRK</x:v>
      </x:c>
      <x:c r="H411" s="9" t="str">
        <x:v>RW05</x:v>
      </x:c>
      <x:c r="I411" s="17" t="str">
        <x:v>Command and intervention log</x:v>
      </x:c>
      <x:c r="J411" s="17" t="str">
        <x:v>Safety authority</x:v>
      </x:c>
      <x:c r="K411" s="17" t="str">
        <x:v>Public custody E</x:v>
      </x:c>
      <x:c r="L411" s="9" t="n">
        <x:v>0</x:v>
      </x:c>
      <x:c r="M411" s="9" t="n">
        <x:v>0</x:v>
      </x:c>
      <x:c r="N411" s="9" t="n">
        <x:v>0</x:v>
      </x:c>
      <x:c r="O411" s="9" t="n">
        <x:v>0</x:v>
      </x:c>
      <x:c r="P411" s="9" t="str">
        <x:v>UNSEALED / SOURCE-EMPTY</x:v>
      </x:c>
      <x:c r="Q411" s="9" t="n">
        <x:f>COUNTIFS($A$7:$A$1158,A411)</x:f>
        <x:v>1</x:v>
      </x:c>
    </x:row>
    <x:row r="412">
      <x:c r="A412" s="9" t="str">
        <x:v>EV-AR-HC-A-C-TECH-4-B2-BRK-G0-RW06</x:v>
      </x:c>
      <x:c r="B412" s="9" t="str">
        <x:v>EV-AR-HC-A-C-TECH-4-B2-BRK-G0</x:v>
      </x:c>
      <x:c r="C412" s="9" t="str">
        <x:v>AR-HC-A-C-TECH-4-B2-BRK-G0</x:v>
      </x:c>
      <x:c r="D412" s="9" t="str">
        <x:v>HC-A-C-TECH-4</x:v>
      </x:c>
      <x:c r="E412" s="9" t="str">
        <x:v>HC-A-C</x:v>
      </x:c>
      <x:c r="F412" s="9" t="str">
        <x:v>B2</x:v>
      </x:c>
      <x:c r="G412" s="9" t="str">
        <x:v>BRK</x:v>
      </x:c>
      <x:c r="H412" s="9" t="str">
        <x:v>RW06</x:v>
      </x:c>
      <x:c r="I412" s="17" t="str">
        <x:v>Receiver service ledger</x:v>
      </x:c>
      <x:c r="J412" s="17" t="str">
        <x:v>Receiver authority</x:v>
      </x:c>
      <x:c r="K412" s="17" t="str">
        <x:v>Public custody F</x:v>
      </x:c>
      <x:c r="L412" s="9" t="n">
        <x:v>0</x:v>
      </x:c>
      <x:c r="M412" s="9" t="n">
        <x:v>0</x:v>
      </x:c>
      <x:c r="N412" s="9" t="n">
        <x:v>0</x:v>
      </x:c>
      <x:c r="O412" s="9" t="n">
        <x:v>0</x:v>
      </x:c>
      <x:c r="P412" s="9" t="str">
        <x:v>UNSEALED / SOURCE-EMPTY</x:v>
      </x:c>
      <x:c r="Q412" s="9" t="n">
        <x:f>COUNTIFS($A$7:$A$1158,A412)</x:f>
        <x:v>1</x:v>
      </x:c>
    </x:row>
    <x:row r="413">
      <x:c r="A413" s="9" t="str">
        <x:v>EV-AR-HC-A-C-TECH-4-B2-BRK-G0-RW07</x:v>
      </x:c>
      <x:c r="B413" s="9" t="str">
        <x:v>EV-AR-HC-A-C-TECH-4-B2-BRK-G0</x:v>
      </x:c>
      <x:c r="C413" s="9" t="str">
        <x:v>AR-HC-A-C-TECH-4-B2-BRK-G0</x:v>
      </x:c>
      <x:c r="D413" s="9" t="str">
        <x:v>HC-A-C-TECH-4</x:v>
      </x:c>
      <x:c r="E413" s="9" t="str">
        <x:v>HC-A-C</x:v>
      </x:c>
      <x:c r="F413" s="9" t="str">
        <x:v>B2</x:v>
      </x:c>
      <x:c r="G413" s="9" t="str">
        <x:v>BRK</x:v>
      </x:c>
      <x:c r="H413" s="9" t="str">
        <x:v>RW07</x:v>
      </x:c>
      <x:c r="I413" s="17" t="str">
        <x:v>Candidate interface telemetry</x:v>
      </x:c>
      <x:c r="J413" s="17" t="str">
        <x:v>Interface custodian</x:v>
      </x:c>
      <x:c r="K413" s="17" t="str">
        <x:v>Public custody A</x:v>
      </x:c>
      <x:c r="L413" s="9" t="n">
        <x:v>0</x:v>
      </x:c>
      <x:c r="M413" s="9" t="n">
        <x:v>0</x:v>
      </x:c>
      <x:c r="N413" s="9" t="n">
        <x:v>0</x:v>
      </x:c>
      <x:c r="O413" s="9" t="n">
        <x:v>0</x:v>
      </x:c>
      <x:c r="P413" s="9" t="str">
        <x:v>UNSEALED / SOURCE-EMPTY</x:v>
      </x:c>
      <x:c r="Q413" s="9" t="n">
        <x:f>COUNTIFS($A$7:$A$1158,A413)</x:f>
        <x:v>1</x:v>
      </x:c>
    </x:row>
    <x:row r="414">
      <x:c r="A414" s="9" t="str">
        <x:v>EV-AR-HC-A-C-TECH-4-B2-BRK-G0-RW08</x:v>
      </x:c>
      <x:c r="B414" s="9" t="str">
        <x:v>EV-AR-HC-A-C-TECH-4-B2-BRK-G0</x:v>
      </x:c>
      <x:c r="C414" s="9" t="str">
        <x:v>AR-HC-A-C-TECH-4-B2-BRK-G0</x:v>
      </x:c>
      <x:c r="D414" s="9" t="str">
        <x:v>HC-A-C-TECH-4</x:v>
      </x:c>
      <x:c r="E414" s="9" t="str">
        <x:v>HC-A-C</x:v>
      </x:c>
      <x:c r="F414" s="9" t="str">
        <x:v>B2</x:v>
      </x:c>
      <x:c r="G414" s="9" t="str">
        <x:v>BRK</x:v>
      </x:c>
      <x:c r="H414" s="9" t="str">
        <x:v>RW08</x:v>
      </x:c>
      <x:c r="I414" s="17" t="str">
        <x:v>Residual and physical evidence</x:v>
      </x:c>
      <x:c r="J414" s="17" t="str">
        <x:v>Residual authority</x:v>
      </x:c>
      <x:c r="K414" s="17" t="str">
        <x:v>Public custody B</x:v>
      </x:c>
      <x:c r="L414" s="9" t="n">
        <x:v>0</x:v>
      </x:c>
      <x:c r="M414" s="9" t="n">
        <x:v>0</x:v>
      </x:c>
      <x:c r="N414" s="9" t="n">
        <x:v>0</x:v>
      </x:c>
      <x:c r="O414" s="9" t="n">
        <x:v>0</x:v>
      </x:c>
      <x:c r="P414" s="9" t="str">
        <x:v>UNSEALED / SOURCE-EMPTY</x:v>
      </x:c>
      <x:c r="Q414" s="9" t="n">
        <x:f>COUNTIFS($A$7:$A$1158,A414)</x:f>
        <x:v>1</x:v>
      </x:c>
    </x:row>
    <x:row r="415">
      <x:c r="A415" s="9" t="str">
        <x:v>EV-AR-HC-A-C-TECH-3-B1-RCN-G0-RW01</x:v>
      </x:c>
      <x:c r="B415" s="9" t="str">
        <x:v>EV-AR-HC-A-C-TECH-3-B1-RCN-G0</x:v>
      </x:c>
      <x:c r="C415" s="9" t="str">
        <x:v>AR-HC-A-C-TECH-3-B1-RCN-G0</x:v>
      </x:c>
      <x:c r="D415" s="9" t="str">
        <x:v>HC-A-C-TECH-3</x:v>
      </x:c>
      <x:c r="E415" s="9" t="str">
        <x:v>HC-A-C</x:v>
      </x:c>
      <x:c r="F415" s="9" t="str">
        <x:v>B1</x:v>
      </x:c>
      <x:c r="G415" s="9" t="str">
        <x:v>RCN</x:v>
      </x:c>
      <x:c r="H415" s="9" t="str">
        <x:v>RW01</x:v>
      </x:c>
      <x:c r="I415" s="17" t="str">
        <x:v>Primary raw stream</x:v>
      </x:c>
      <x:c r="J415" s="17" t="str">
        <x:v>Primary metrology</x:v>
      </x:c>
      <x:c r="K415" s="17" t="str">
        <x:v>Public custody A</x:v>
      </x:c>
      <x:c r="L415" s="9" t="n">
        <x:v>0</x:v>
      </x:c>
      <x:c r="M415" s="9" t="n">
        <x:v>0</x:v>
      </x:c>
      <x:c r="N415" s="9" t="n">
        <x:v>0</x:v>
      </x:c>
      <x:c r="O415" s="9" t="n">
        <x:v>0</x:v>
      </x:c>
      <x:c r="P415" s="9" t="str">
        <x:v>UNSEALED / SOURCE-EMPTY</x:v>
      </x:c>
      <x:c r="Q415" s="9" t="n">
        <x:f>COUNTIFS($A$7:$A$1158,A415)</x:f>
        <x:v>1</x:v>
      </x:c>
    </x:row>
    <x:row r="416">
      <x:c r="A416" s="9" t="str">
        <x:v>EV-AR-HC-A-C-TECH-3-B1-RCN-G0-RW02</x:v>
      </x:c>
      <x:c r="B416" s="9" t="str">
        <x:v>EV-AR-HC-A-C-TECH-3-B1-RCN-G0</x:v>
      </x:c>
      <x:c r="C416" s="9" t="str">
        <x:v>AR-HC-A-C-TECH-3-B1-RCN-G0</x:v>
      </x:c>
      <x:c r="D416" s="9" t="str">
        <x:v>HC-A-C-TECH-3</x:v>
      </x:c>
      <x:c r="E416" s="9" t="str">
        <x:v>HC-A-C</x:v>
      </x:c>
      <x:c r="F416" s="9" t="str">
        <x:v>B1</x:v>
      </x:c>
      <x:c r="G416" s="9" t="str">
        <x:v>RCN</x:v>
      </x:c>
      <x:c r="H416" s="9" t="str">
        <x:v>RW02</x:v>
      </x:c>
      <x:c r="I416" s="17" t="str">
        <x:v>Unlike witness stream</x:v>
      </x:c>
      <x:c r="J416" s="17" t="str">
        <x:v>Witness metrology</x:v>
      </x:c>
      <x:c r="K416" s="17" t="str">
        <x:v>Public custody B</x:v>
      </x:c>
      <x:c r="L416" s="9" t="n">
        <x:v>0</x:v>
      </x:c>
      <x:c r="M416" s="9" t="n">
        <x:v>0</x:v>
      </x:c>
      <x:c r="N416" s="9" t="n">
        <x:v>0</x:v>
      </x:c>
      <x:c r="O416" s="9" t="n">
        <x:v>0</x:v>
      </x:c>
      <x:c r="P416" s="9" t="str">
        <x:v>UNSEALED / SOURCE-EMPTY</x:v>
      </x:c>
      <x:c r="Q416" s="9" t="n">
        <x:f>COUNTIFS($A$7:$A$1158,A416)</x:f>
        <x:v>1</x:v>
      </x:c>
    </x:row>
    <x:row r="417">
      <x:c r="A417" s="9" t="str">
        <x:v>EV-AR-HC-A-C-TECH-3-B1-RCN-G0-RW03</x:v>
      </x:c>
      <x:c r="B417" s="9" t="str">
        <x:v>EV-AR-HC-A-C-TECH-3-B1-RCN-G0</x:v>
      </x:c>
      <x:c r="C417" s="9" t="str">
        <x:v>AR-HC-A-C-TECH-3-B1-RCN-G0</x:v>
      </x:c>
      <x:c r="D417" s="9" t="str">
        <x:v>HC-A-C-TECH-3</x:v>
      </x:c>
      <x:c r="E417" s="9" t="str">
        <x:v>HC-A-C</x:v>
      </x:c>
      <x:c r="F417" s="9" t="str">
        <x:v>B1</x:v>
      </x:c>
      <x:c r="G417" s="9" t="str">
        <x:v>RCN</x:v>
      </x:c>
      <x:c r="H417" s="9" t="str">
        <x:v>RW03</x:v>
      </x:c>
      <x:c r="I417" s="17" t="str">
        <x:v>Event clock and start traces</x:v>
      </x:c>
      <x:c r="J417" s="17" t="str">
        <x:v>Event clock authority</x:v>
      </x:c>
      <x:c r="K417" s="17" t="str">
        <x:v>Public custody C</x:v>
      </x:c>
      <x:c r="L417" s="9" t="n">
        <x:v>0</x:v>
      </x:c>
      <x:c r="M417" s="9" t="n">
        <x:v>0</x:v>
      </x:c>
      <x:c r="N417" s="9" t="n">
        <x:v>0</x:v>
      </x:c>
      <x:c r="O417" s="9" t="n">
        <x:v>0</x:v>
      </x:c>
      <x:c r="P417" s="9" t="str">
        <x:v>UNSEALED / SOURCE-EMPTY</x:v>
      </x:c>
      <x:c r="Q417" s="9" t="n">
        <x:f>COUNTIFS($A$7:$A$1158,A417)</x:f>
        <x:v>1</x:v>
      </x:c>
    </x:row>
    <x:row r="418">
      <x:c r="A418" s="9" t="str">
        <x:v>EV-AR-HC-A-C-TECH-3-B1-RCN-G0-RW04</x:v>
      </x:c>
      <x:c r="B418" s="9" t="str">
        <x:v>EV-AR-HC-A-C-TECH-3-B1-RCN-G0</x:v>
      </x:c>
      <x:c r="C418" s="9" t="str">
        <x:v>AR-HC-A-C-TECH-3-B1-RCN-G0</x:v>
      </x:c>
      <x:c r="D418" s="9" t="str">
        <x:v>HC-A-C-TECH-3</x:v>
      </x:c>
      <x:c r="E418" s="9" t="str">
        <x:v>HC-A-C</x:v>
      </x:c>
      <x:c r="F418" s="9" t="str">
        <x:v>B1</x:v>
      </x:c>
      <x:c r="G418" s="9" t="str">
        <x:v>RCN</x:v>
      </x:c>
      <x:c r="H418" s="9" t="str">
        <x:v>RW04</x:v>
      </x:c>
      <x:c r="I418" s="17" t="str">
        <x:v>Environmental boundary stream</x:v>
      </x:c>
      <x:c r="J418" s="17" t="str">
        <x:v>Site metrology</x:v>
      </x:c>
      <x:c r="K418" s="17" t="str">
        <x:v>Public custody D</x:v>
      </x:c>
      <x:c r="L418" s="9" t="n">
        <x:v>0</x:v>
      </x:c>
      <x:c r="M418" s="9" t="n">
        <x:v>0</x:v>
      </x:c>
      <x:c r="N418" s="9" t="n">
        <x:v>0</x:v>
      </x:c>
      <x:c r="O418" s="9" t="n">
        <x:v>0</x:v>
      </x:c>
      <x:c r="P418" s="9" t="str">
        <x:v>UNSEALED / SOURCE-EMPTY</x:v>
      </x:c>
      <x:c r="Q418" s="9" t="n">
        <x:f>COUNTIFS($A$7:$A$1158,A418)</x:f>
        <x:v>1</x:v>
      </x:c>
    </x:row>
    <x:row r="419">
      <x:c r="A419" s="9" t="str">
        <x:v>EV-AR-HC-A-C-TECH-3-B1-RCN-G0-RW05</x:v>
      </x:c>
      <x:c r="B419" s="9" t="str">
        <x:v>EV-AR-HC-A-C-TECH-3-B1-RCN-G0</x:v>
      </x:c>
      <x:c r="C419" s="9" t="str">
        <x:v>AR-HC-A-C-TECH-3-B1-RCN-G0</x:v>
      </x:c>
      <x:c r="D419" s="9" t="str">
        <x:v>HC-A-C-TECH-3</x:v>
      </x:c>
      <x:c r="E419" s="9" t="str">
        <x:v>HC-A-C</x:v>
      </x:c>
      <x:c r="F419" s="9" t="str">
        <x:v>B1</x:v>
      </x:c>
      <x:c r="G419" s="9" t="str">
        <x:v>RCN</x:v>
      </x:c>
      <x:c r="H419" s="9" t="str">
        <x:v>RW05</x:v>
      </x:c>
      <x:c r="I419" s="17" t="str">
        <x:v>Command and intervention log</x:v>
      </x:c>
      <x:c r="J419" s="17" t="str">
        <x:v>Safety authority</x:v>
      </x:c>
      <x:c r="K419" s="17" t="str">
        <x:v>Public custody E</x:v>
      </x:c>
      <x:c r="L419" s="9" t="n">
        <x:v>0</x:v>
      </x:c>
      <x:c r="M419" s="9" t="n">
        <x:v>0</x:v>
      </x:c>
      <x:c r="N419" s="9" t="n">
        <x:v>0</x:v>
      </x:c>
      <x:c r="O419" s="9" t="n">
        <x:v>0</x:v>
      </x:c>
      <x:c r="P419" s="9" t="str">
        <x:v>UNSEALED / SOURCE-EMPTY</x:v>
      </x:c>
      <x:c r="Q419" s="9" t="n">
        <x:f>COUNTIFS($A$7:$A$1158,A419)</x:f>
        <x:v>1</x:v>
      </x:c>
    </x:row>
    <x:row r="420">
      <x:c r="A420" s="9" t="str">
        <x:v>EV-AR-HC-A-C-TECH-3-B1-RCN-G0-RW06</x:v>
      </x:c>
      <x:c r="B420" s="9" t="str">
        <x:v>EV-AR-HC-A-C-TECH-3-B1-RCN-G0</x:v>
      </x:c>
      <x:c r="C420" s="9" t="str">
        <x:v>AR-HC-A-C-TECH-3-B1-RCN-G0</x:v>
      </x:c>
      <x:c r="D420" s="9" t="str">
        <x:v>HC-A-C-TECH-3</x:v>
      </x:c>
      <x:c r="E420" s="9" t="str">
        <x:v>HC-A-C</x:v>
      </x:c>
      <x:c r="F420" s="9" t="str">
        <x:v>B1</x:v>
      </x:c>
      <x:c r="G420" s="9" t="str">
        <x:v>RCN</x:v>
      </x:c>
      <x:c r="H420" s="9" t="str">
        <x:v>RW06</x:v>
      </x:c>
      <x:c r="I420" s="17" t="str">
        <x:v>Receiver service ledger</x:v>
      </x:c>
      <x:c r="J420" s="17" t="str">
        <x:v>Receiver authority</x:v>
      </x:c>
      <x:c r="K420" s="17" t="str">
        <x:v>Public custody F</x:v>
      </x:c>
      <x:c r="L420" s="9" t="n">
        <x:v>0</x:v>
      </x:c>
      <x:c r="M420" s="9" t="n">
        <x:v>0</x:v>
      </x:c>
      <x:c r="N420" s="9" t="n">
        <x:v>0</x:v>
      </x:c>
      <x:c r="O420" s="9" t="n">
        <x:v>0</x:v>
      </x:c>
      <x:c r="P420" s="9" t="str">
        <x:v>UNSEALED / SOURCE-EMPTY</x:v>
      </x:c>
      <x:c r="Q420" s="9" t="n">
        <x:f>COUNTIFS($A$7:$A$1158,A420)</x:f>
        <x:v>1</x:v>
      </x:c>
    </x:row>
    <x:row r="421">
      <x:c r="A421" s="9" t="str">
        <x:v>EV-AR-HC-A-C-TECH-3-B1-RCN-G0-RW07</x:v>
      </x:c>
      <x:c r="B421" s="9" t="str">
        <x:v>EV-AR-HC-A-C-TECH-3-B1-RCN-G0</x:v>
      </x:c>
      <x:c r="C421" s="9" t="str">
        <x:v>AR-HC-A-C-TECH-3-B1-RCN-G0</x:v>
      </x:c>
      <x:c r="D421" s="9" t="str">
        <x:v>HC-A-C-TECH-3</x:v>
      </x:c>
      <x:c r="E421" s="9" t="str">
        <x:v>HC-A-C</x:v>
      </x:c>
      <x:c r="F421" s="9" t="str">
        <x:v>B1</x:v>
      </x:c>
      <x:c r="G421" s="9" t="str">
        <x:v>RCN</x:v>
      </x:c>
      <x:c r="H421" s="9" t="str">
        <x:v>RW07</x:v>
      </x:c>
      <x:c r="I421" s="17" t="str">
        <x:v>Candidate interface telemetry</x:v>
      </x:c>
      <x:c r="J421" s="17" t="str">
        <x:v>Interface custodian</x:v>
      </x:c>
      <x:c r="K421" s="17" t="str">
        <x:v>Public custody A</x:v>
      </x:c>
      <x:c r="L421" s="9" t="n">
        <x:v>0</x:v>
      </x:c>
      <x:c r="M421" s="9" t="n">
        <x:v>0</x:v>
      </x:c>
      <x:c r="N421" s="9" t="n">
        <x:v>0</x:v>
      </x:c>
      <x:c r="O421" s="9" t="n">
        <x:v>0</x:v>
      </x:c>
      <x:c r="P421" s="9" t="str">
        <x:v>UNSEALED / SOURCE-EMPTY</x:v>
      </x:c>
      <x:c r="Q421" s="9" t="n">
        <x:f>COUNTIFS($A$7:$A$1158,A421)</x:f>
        <x:v>1</x:v>
      </x:c>
    </x:row>
    <x:row r="422">
      <x:c r="A422" s="9" t="str">
        <x:v>EV-AR-HC-A-C-TECH-3-B1-RCN-G0-RW08</x:v>
      </x:c>
      <x:c r="B422" s="9" t="str">
        <x:v>EV-AR-HC-A-C-TECH-3-B1-RCN-G0</x:v>
      </x:c>
      <x:c r="C422" s="9" t="str">
        <x:v>AR-HC-A-C-TECH-3-B1-RCN-G0</x:v>
      </x:c>
      <x:c r="D422" s="9" t="str">
        <x:v>HC-A-C-TECH-3</x:v>
      </x:c>
      <x:c r="E422" s="9" t="str">
        <x:v>HC-A-C</x:v>
      </x:c>
      <x:c r="F422" s="9" t="str">
        <x:v>B1</x:v>
      </x:c>
      <x:c r="G422" s="9" t="str">
        <x:v>RCN</x:v>
      </x:c>
      <x:c r="H422" s="9" t="str">
        <x:v>RW08</x:v>
      </x:c>
      <x:c r="I422" s="17" t="str">
        <x:v>Residual and physical evidence</x:v>
      </x:c>
      <x:c r="J422" s="17" t="str">
        <x:v>Residual authority</x:v>
      </x:c>
      <x:c r="K422" s="17" t="str">
        <x:v>Public custody B</x:v>
      </x:c>
      <x:c r="L422" s="9" t="n">
        <x:v>0</x:v>
      </x:c>
      <x:c r="M422" s="9" t="n">
        <x:v>0</x:v>
      </x:c>
      <x:c r="N422" s="9" t="n">
        <x:v>0</x:v>
      </x:c>
      <x:c r="O422" s="9" t="n">
        <x:v>0</x:v>
      </x:c>
      <x:c r="P422" s="9" t="str">
        <x:v>UNSEALED / SOURCE-EMPTY</x:v>
      </x:c>
      <x:c r="Q422" s="9" t="n">
        <x:f>COUNTIFS($A$7:$A$1158,A422)</x:f>
        <x:v>1</x:v>
      </x:c>
    </x:row>
    <x:row r="423">
      <x:c r="A423" s="9" t="str">
        <x:v>EV-AR-HU-A-B-TECH-1-B1-RCN-G0-RW01</x:v>
      </x:c>
      <x:c r="B423" s="9" t="str">
        <x:v>EV-AR-HU-A-B-TECH-1-B1-RCN-G0</x:v>
      </x:c>
      <x:c r="C423" s="9" t="str">
        <x:v>AR-HU-A-B-TECH-1-B1-RCN-G0</x:v>
      </x:c>
      <x:c r="D423" s="9" t="str">
        <x:v>HU-A-B-TECH-1</x:v>
      </x:c>
      <x:c r="E423" s="9" t="str">
        <x:v>HU-A-B</x:v>
      </x:c>
      <x:c r="F423" s="9" t="str">
        <x:v>B1</x:v>
      </x:c>
      <x:c r="G423" s="9" t="str">
        <x:v>RCN</x:v>
      </x:c>
      <x:c r="H423" s="9" t="str">
        <x:v>RW01</x:v>
      </x:c>
      <x:c r="I423" s="17" t="str">
        <x:v>Primary raw stream</x:v>
      </x:c>
      <x:c r="J423" s="17" t="str">
        <x:v>Primary metrology</x:v>
      </x:c>
      <x:c r="K423" s="17" t="str">
        <x:v>Public custody A</x:v>
      </x:c>
      <x:c r="L423" s="9" t="n">
        <x:v>0</x:v>
      </x:c>
      <x:c r="M423" s="9" t="n">
        <x:v>0</x:v>
      </x:c>
      <x:c r="N423" s="9" t="n">
        <x:v>0</x:v>
      </x:c>
      <x:c r="O423" s="9" t="n">
        <x:v>0</x:v>
      </x:c>
      <x:c r="P423" s="9" t="str">
        <x:v>UNSEALED / SOURCE-EMPTY</x:v>
      </x:c>
      <x:c r="Q423" s="9" t="n">
        <x:f>COUNTIFS($A$7:$A$1158,A423)</x:f>
        <x:v>1</x:v>
      </x:c>
    </x:row>
    <x:row r="424">
      <x:c r="A424" s="9" t="str">
        <x:v>EV-AR-HU-A-B-TECH-1-B1-RCN-G0-RW02</x:v>
      </x:c>
      <x:c r="B424" s="9" t="str">
        <x:v>EV-AR-HU-A-B-TECH-1-B1-RCN-G0</x:v>
      </x:c>
      <x:c r="C424" s="9" t="str">
        <x:v>AR-HU-A-B-TECH-1-B1-RCN-G0</x:v>
      </x:c>
      <x:c r="D424" s="9" t="str">
        <x:v>HU-A-B-TECH-1</x:v>
      </x:c>
      <x:c r="E424" s="9" t="str">
        <x:v>HU-A-B</x:v>
      </x:c>
      <x:c r="F424" s="9" t="str">
        <x:v>B1</x:v>
      </x:c>
      <x:c r="G424" s="9" t="str">
        <x:v>RCN</x:v>
      </x:c>
      <x:c r="H424" s="9" t="str">
        <x:v>RW02</x:v>
      </x:c>
      <x:c r="I424" s="17" t="str">
        <x:v>Unlike witness stream</x:v>
      </x:c>
      <x:c r="J424" s="17" t="str">
        <x:v>Witness metrology</x:v>
      </x:c>
      <x:c r="K424" s="17" t="str">
        <x:v>Public custody B</x:v>
      </x:c>
      <x:c r="L424" s="9" t="n">
        <x:v>0</x:v>
      </x:c>
      <x:c r="M424" s="9" t="n">
        <x:v>0</x:v>
      </x:c>
      <x:c r="N424" s="9" t="n">
        <x:v>0</x:v>
      </x:c>
      <x:c r="O424" s="9" t="n">
        <x:v>0</x:v>
      </x:c>
      <x:c r="P424" s="9" t="str">
        <x:v>UNSEALED / SOURCE-EMPTY</x:v>
      </x:c>
      <x:c r="Q424" s="9" t="n">
        <x:f>COUNTIFS($A$7:$A$1158,A424)</x:f>
        <x:v>1</x:v>
      </x:c>
    </x:row>
    <x:row r="425">
      <x:c r="A425" s="9" t="str">
        <x:v>EV-AR-HU-A-B-TECH-1-B1-RCN-G0-RW03</x:v>
      </x:c>
      <x:c r="B425" s="9" t="str">
        <x:v>EV-AR-HU-A-B-TECH-1-B1-RCN-G0</x:v>
      </x:c>
      <x:c r="C425" s="9" t="str">
        <x:v>AR-HU-A-B-TECH-1-B1-RCN-G0</x:v>
      </x:c>
      <x:c r="D425" s="9" t="str">
        <x:v>HU-A-B-TECH-1</x:v>
      </x:c>
      <x:c r="E425" s="9" t="str">
        <x:v>HU-A-B</x:v>
      </x:c>
      <x:c r="F425" s="9" t="str">
        <x:v>B1</x:v>
      </x:c>
      <x:c r="G425" s="9" t="str">
        <x:v>RCN</x:v>
      </x:c>
      <x:c r="H425" s="9" t="str">
        <x:v>RW03</x:v>
      </x:c>
      <x:c r="I425" s="17" t="str">
        <x:v>Event clock and start traces</x:v>
      </x:c>
      <x:c r="J425" s="17" t="str">
        <x:v>Event clock authority</x:v>
      </x:c>
      <x:c r="K425" s="17" t="str">
        <x:v>Public custody C</x:v>
      </x:c>
      <x:c r="L425" s="9" t="n">
        <x:v>0</x:v>
      </x:c>
      <x:c r="M425" s="9" t="n">
        <x:v>0</x:v>
      </x:c>
      <x:c r="N425" s="9" t="n">
        <x:v>0</x:v>
      </x:c>
      <x:c r="O425" s="9" t="n">
        <x:v>0</x:v>
      </x:c>
      <x:c r="P425" s="9" t="str">
        <x:v>UNSEALED / SOURCE-EMPTY</x:v>
      </x:c>
      <x:c r="Q425" s="9" t="n">
        <x:f>COUNTIFS($A$7:$A$1158,A425)</x:f>
        <x:v>1</x:v>
      </x:c>
    </x:row>
    <x:row r="426">
      <x:c r="A426" s="9" t="str">
        <x:v>EV-AR-HU-A-B-TECH-1-B1-RCN-G0-RW04</x:v>
      </x:c>
      <x:c r="B426" s="9" t="str">
        <x:v>EV-AR-HU-A-B-TECH-1-B1-RCN-G0</x:v>
      </x:c>
      <x:c r="C426" s="9" t="str">
        <x:v>AR-HU-A-B-TECH-1-B1-RCN-G0</x:v>
      </x:c>
      <x:c r="D426" s="9" t="str">
        <x:v>HU-A-B-TECH-1</x:v>
      </x:c>
      <x:c r="E426" s="9" t="str">
        <x:v>HU-A-B</x:v>
      </x:c>
      <x:c r="F426" s="9" t="str">
        <x:v>B1</x:v>
      </x:c>
      <x:c r="G426" s="9" t="str">
        <x:v>RCN</x:v>
      </x:c>
      <x:c r="H426" s="9" t="str">
        <x:v>RW04</x:v>
      </x:c>
      <x:c r="I426" s="17" t="str">
        <x:v>Environmental boundary stream</x:v>
      </x:c>
      <x:c r="J426" s="17" t="str">
        <x:v>Site metrology</x:v>
      </x:c>
      <x:c r="K426" s="17" t="str">
        <x:v>Public custody D</x:v>
      </x:c>
      <x:c r="L426" s="9" t="n">
        <x:v>0</x:v>
      </x:c>
      <x:c r="M426" s="9" t="n">
        <x:v>0</x:v>
      </x:c>
      <x:c r="N426" s="9" t="n">
        <x:v>0</x:v>
      </x:c>
      <x:c r="O426" s="9" t="n">
        <x:v>0</x:v>
      </x:c>
      <x:c r="P426" s="9" t="str">
        <x:v>UNSEALED / SOURCE-EMPTY</x:v>
      </x:c>
      <x:c r="Q426" s="9" t="n">
        <x:f>COUNTIFS($A$7:$A$1158,A426)</x:f>
        <x:v>1</x:v>
      </x:c>
    </x:row>
    <x:row r="427">
      <x:c r="A427" s="9" t="str">
        <x:v>EV-AR-HU-A-B-TECH-1-B1-RCN-G0-RW05</x:v>
      </x:c>
      <x:c r="B427" s="9" t="str">
        <x:v>EV-AR-HU-A-B-TECH-1-B1-RCN-G0</x:v>
      </x:c>
      <x:c r="C427" s="9" t="str">
        <x:v>AR-HU-A-B-TECH-1-B1-RCN-G0</x:v>
      </x:c>
      <x:c r="D427" s="9" t="str">
        <x:v>HU-A-B-TECH-1</x:v>
      </x:c>
      <x:c r="E427" s="9" t="str">
        <x:v>HU-A-B</x:v>
      </x:c>
      <x:c r="F427" s="9" t="str">
        <x:v>B1</x:v>
      </x:c>
      <x:c r="G427" s="9" t="str">
        <x:v>RCN</x:v>
      </x:c>
      <x:c r="H427" s="9" t="str">
        <x:v>RW05</x:v>
      </x:c>
      <x:c r="I427" s="17" t="str">
        <x:v>Command and intervention log</x:v>
      </x:c>
      <x:c r="J427" s="17" t="str">
        <x:v>Safety authority</x:v>
      </x:c>
      <x:c r="K427" s="17" t="str">
        <x:v>Public custody E</x:v>
      </x:c>
      <x:c r="L427" s="9" t="n">
        <x:v>0</x:v>
      </x:c>
      <x:c r="M427" s="9" t="n">
        <x:v>0</x:v>
      </x:c>
      <x:c r="N427" s="9" t="n">
        <x:v>0</x:v>
      </x:c>
      <x:c r="O427" s="9" t="n">
        <x:v>0</x:v>
      </x:c>
      <x:c r="P427" s="9" t="str">
        <x:v>UNSEALED / SOURCE-EMPTY</x:v>
      </x:c>
      <x:c r="Q427" s="9" t="n">
        <x:f>COUNTIFS($A$7:$A$1158,A427)</x:f>
        <x:v>1</x:v>
      </x:c>
    </x:row>
    <x:row r="428">
      <x:c r="A428" s="9" t="str">
        <x:v>EV-AR-HU-A-B-TECH-1-B1-RCN-G0-RW06</x:v>
      </x:c>
      <x:c r="B428" s="9" t="str">
        <x:v>EV-AR-HU-A-B-TECH-1-B1-RCN-G0</x:v>
      </x:c>
      <x:c r="C428" s="9" t="str">
        <x:v>AR-HU-A-B-TECH-1-B1-RCN-G0</x:v>
      </x:c>
      <x:c r="D428" s="9" t="str">
        <x:v>HU-A-B-TECH-1</x:v>
      </x:c>
      <x:c r="E428" s="9" t="str">
        <x:v>HU-A-B</x:v>
      </x:c>
      <x:c r="F428" s="9" t="str">
        <x:v>B1</x:v>
      </x:c>
      <x:c r="G428" s="9" t="str">
        <x:v>RCN</x:v>
      </x:c>
      <x:c r="H428" s="9" t="str">
        <x:v>RW06</x:v>
      </x:c>
      <x:c r="I428" s="17" t="str">
        <x:v>Receiver service ledger</x:v>
      </x:c>
      <x:c r="J428" s="17" t="str">
        <x:v>Receiver authority</x:v>
      </x:c>
      <x:c r="K428" s="17" t="str">
        <x:v>Public custody F</x:v>
      </x:c>
      <x:c r="L428" s="9" t="n">
        <x:v>0</x:v>
      </x:c>
      <x:c r="M428" s="9" t="n">
        <x:v>0</x:v>
      </x:c>
      <x:c r="N428" s="9" t="n">
        <x:v>0</x:v>
      </x:c>
      <x:c r="O428" s="9" t="n">
        <x:v>0</x:v>
      </x:c>
      <x:c r="P428" s="9" t="str">
        <x:v>UNSEALED / SOURCE-EMPTY</x:v>
      </x:c>
      <x:c r="Q428" s="9" t="n">
        <x:f>COUNTIFS($A$7:$A$1158,A428)</x:f>
        <x:v>1</x:v>
      </x:c>
    </x:row>
    <x:row r="429">
      <x:c r="A429" s="9" t="str">
        <x:v>EV-AR-HU-A-B-TECH-1-B1-RCN-G0-RW07</x:v>
      </x:c>
      <x:c r="B429" s="9" t="str">
        <x:v>EV-AR-HU-A-B-TECH-1-B1-RCN-G0</x:v>
      </x:c>
      <x:c r="C429" s="9" t="str">
        <x:v>AR-HU-A-B-TECH-1-B1-RCN-G0</x:v>
      </x:c>
      <x:c r="D429" s="9" t="str">
        <x:v>HU-A-B-TECH-1</x:v>
      </x:c>
      <x:c r="E429" s="9" t="str">
        <x:v>HU-A-B</x:v>
      </x:c>
      <x:c r="F429" s="9" t="str">
        <x:v>B1</x:v>
      </x:c>
      <x:c r="G429" s="9" t="str">
        <x:v>RCN</x:v>
      </x:c>
      <x:c r="H429" s="9" t="str">
        <x:v>RW07</x:v>
      </x:c>
      <x:c r="I429" s="17" t="str">
        <x:v>Candidate interface telemetry</x:v>
      </x:c>
      <x:c r="J429" s="17" t="str">
        <x:v>Interface custodian</x:v>
      </x:c>
      <x:c r="K429" s="17" t="str">
        <x:v>Public custody A</x:v>
      </x:c>
      <x:c r="L429" s="9" t="n">
        <x:v>0</x:v>
      </x:c>
      <x:c r="M429" s="9" t="n">
        <x:v>0</x:v>
      </x:c>
      <x:c r="N429" s="9" t="n">
        <x:v>0</x:v>
      </x:c>
      <x:c r="O429" s="9" t="n">
        <x:v>0</x:v>
      </x:c>
      <x:c r="P429" s="9" t="str">
        <x:v>UNSEALED / SOURCE-EMPTY</x:v>
      </x:c>
      <x:c r="Q429" s="9" t="n">
        <x:f>COUNTIFS($A$7:$A$1158,A429)</x:f>
        <x:v>1</x:v>
      </x:c>
    </x:row>
    <x:row r="430">
      <x:c r="A430" s="9" t="str">
        <x:v>EV-AR-HU-A-B-TECH-1-B1-RCN-G0-RW08</x:v>
      </x:c>
      <x:c r="B430" s="9" t="str">
        <x:v>EV-AR-HU-A-B-TECH-1-B1-RCN-G0</x:v>
      </x:c>
      <x:c r="C430" s="9" t="str">
        <x:v>AR-HU-A-B-TECH-1-B1-RCN-G0</x:v>
      </x:c>
      <x:c r="D430" s="9" t="str">
        <x:v>HU-A-B-TECH-1</x:v>
      </x:c>
      <x:c r="E430" s="9" t="str">
        <x:v>HU-A-B</x:v>
      </x:c>
      <x:c r="F430" s="9" t="str">
        <x:v>B1</x:v>
      </x:c>
      <x:c r="G430" s="9" t="str">
        <x:v>RCN</x:v>
      </x:c>
      <x:c r="H430" s="9" t="str">
        <x:v>RW08</x:v>
      </x:c>
      <x:c r="I430" s="17" t="str">
        <x:v>Residual and physical evidence</x:v>
      </x:c>
      <x:c r="J430" s="17" t="str">
        <x:v>Residual authority</x:v>
      </x:c>
      <x:c r="K430" s="17" t="str">
        <x:v>Public custody B</x:v>
      </x:c>
      <x:c r="L430" s="9" t="n">
        <x:v>0</x:v>
      </x:c>
      <x:c r="M430" s="9" t="n">
        <x:v>0</x:v>
      </x:c>
      <x:c r="N430" s="9" t="n">
        <x:v>0</x:v>
      </x:c>
      <x:c r="O430" s="9" t="n">
        <x:v>0</x:v>
      </x:c>
      <x:c r="P430" s="9" t="str">
        <x:v>UNSEALED / SOURCE-EMPTY</x:v>
      </x:c>
      <x:c r="Q430" s="9" t="n">
        <x:f>COUNTIFS($A$7:$A$1158,A430)</x:f>
        <x:v>1</x:v>
      </x:c>
    </x:row>
    <x:row r="431">
      <x:c r="A431" s="9" t="str">
        <x:v>EV-AR-RT-B-C-TECH-3-B2-INT-G0-RW01</x:v>
      </x:c>
      <x:c r="B431" s="9" t="str">
        <x:v>EV-AR-RT-B-C-TECH-3-B2-INT-G0</x:v>
      </x:c>
      <x:c r="C431" s="9" t="str">
        <x:v>AR-RT-B-C-TECH-3-B2-INT-G0</x:v>
      </x:c>
      <x:c r="D431" s="9" t="str">
        <x:v>RT-B-C-TECH-3</x:v>
      </x:c>
      <x:c r="E431" s="9" t="str">
        <x:v>RT-B-C</x:v>
      </x:c>
      <x:c r="F431" s="9" t="str">
        <x:v>B2</x:v>
      </x:c>
      <x:c r="G431" s="9" t="str">
        <x:v>INT</x:v>
      </x:c>
      <x:c r="H431" s="9" t="str">
        <x:v>RW01</x:v>
      </x:c>
      <x:c r="I431" s="17" t="str">
        <x:v>Primary raw stream</x:v>
      </x:c>
      <x:c r="J431" s="17" t="str">
        <x:v>Primary metrology</x:v>
      </x:c>
      <x:c r="K431" s="17" t="str">
        <x:v>Public custody A</x:v>
      </x:c>
      <x:c r="L431" s="9" t="n">
        <x:v>0</x:v>
      </x:c>
      <x:c r="M431" s="9" t="n">
        <x:v>0</x:v>
      </x:c>
      <x:c r="N431" s="9" t="n">
        <x:v>0</x:v>
      </x:c>
      <x:c r="O431" s="9" t="n">
        <x:v>0</x:v>
      </x:c>
      <x:c r="P431" s="9" t="str">
        <x:v>UNSEALED / SOURCE-EMPTY</x:v>
      </x:c>
      <x:c r="Q431" s="9" t="n">
        <x:f>COUNTIFS($A$7:$A$1158,A431)</x:f>
        <x:v>1</x:v>
      </x:c>
    </x:row>
    <x:row r="432">
      <x:c r="A432" s="9" t="str">
        <x:v>EV-AR-RT-B-C-TECH-3-B2-INT-G0-RW02</x:v>
      </x:c>
      <x:c r="B432" s="9" t="str">
        <x:v>EV-AR-RT-B-C-TECH-3-B2-INT-G0</x:v>
      </x:c>
      <x:c r="C432" s="9" t="str">
        <x:v>AR-RT-B-C-TECH-3-B2-INT-G0</x:v>
      </x:c>
      <x:c r="D432" s="9" t="str">
        <x:v>RT-B-C-TECH-3</x:v>
      </x:c>
      <x:c r="E432" s="9" t="str">
        <x:v>RT-B-C</x:v>
      </x:c>
      <x:c r="F432" s="9" t="str">
        <x:v>B2</x:v>
      </x:c>
      <x:c r="G432" s="9" t="str">
        <x:v>INT</x:v>
      </x:c>
      <x:c r="H432" s="9" t="str">
        <x:v>RW02</x:v>
      </x:c>
      <x:c r="I432" s="17" t="str">
        <x:v>Unlike witness stream</x:v>
      </x:c>
      <x:c r="J432" s="17" t="str">
        <x:v>Witness metrology</x:v>
      </x:c>
      <x:c r="K432" s="17" t="str">
        <x:v>Public custody B</x:v>
      </x:c>
      <x:c r="L432" s="9" t="n">
        <x:v>0</x:v>
      </x:c>
      <x:c r="M432" s="9" t="n">
        <x:v>0</x:v>
      </x:c>
      <x:c r="N432" s="9" t="n">
        <x:v>0</x:v>
      </x:c>
      <x:c r="O432" s="9" t="n">
        <x:v>0</x:v>
      </x:c>
      <x:c r="P432" s="9" t="str">
        <x:v>UNSEALED / SOURCE-EMPTY</x:v>
      </x:c>
      <x:c r="Q432" s="9" t="n">
        <x:f>COUNTIFS($A$7:$A$1158,A432)</x:f>
        <x:v>1</x:v>
      </x:c>
    </x:row>
    <x:row r="433">
      <x:c r="A433" s="9" t="str">
        <x:v>EV-AR-RT-B-C-TECH-3-B2-INT-G0-RW03</x:v>
      </x:c>
      <x:c r="B433" s="9" t="str">
        <x:v>EV-AR-RT-B-C-TECH-3-B2-INT-G0</x:v>
      </x:c>
      <x:c r="C433" s="9" t="str">
        <x:v>AR-RT-B-C-TECH-3-B2-INT-G0</x:v>
      </x:c>
      <x:c r="D433" s="9" t="str">
        <x:v>RT-B-C-TECH-3</x:v>
      </x:c>
      <x:c r="E433" s="9" t="str">
        <x:v>RT-B-C</x:v>
      </x:c>
      <x:c r="F433" s="9" t="str">
        <x:v>B2</x:v>
      </x:c>
      <x:c r="G433" s="9" t="str">
        <x:v>INT</x:v>
      </x:c>
      <x:c r="H433" s="9" t="str">
        <x:v>RW03</x:v>
      </x:c>
      <x:c r="I433" s="17" t="str">
        <x:v>Event clock and start traces</x:v>
      </x:c>
      <x:c r="J433" s="17" t="str">
        <x:v>Event clock authority</x:v>
      </x:c>
      <x:c r="K433" s="17" t="str">
        <x:v>Public custody C</x:v>
      </x:c>
      <x:c r="L433" s="9" t="n">
        <x:v>0</x:v>
      </x:c>
      <x:c r="M433" s="9" t="n">
        <x:v>0</x:v>
      </x:c>
      <x:c r="N433" s="9" t="n">
        <x:v>0</x:v>
      </x:c>
      <x:c r="O433" s="9" t="n">
        <x:v>0</x:v>
      </x:c>
      <x:c r="P433" s="9" t="str">
        <x:v>UNSEALED / SOURCE-EMPTY</x:v>
      </x:c>
      <x:c r="Q433" s="9" t="n">
        <x:f>COUNTIFS($A$7:$A$1158,A433)</x:f>
        <x:v>1</x:v>
      </x:c>
    </x:row>
    <x:row r="434">
      <x:c r="A434" s="9" t="str">
        <x:v>EV-AR-RT-B-C-TECH-3-B2-INT-G0-RW04</x:v>
      </x:c>
      <x:c r="B434" s="9" t="str">
        <x:v>EV-AR-RT-B-C-TECH-3-B2-INT-G0</x:v>
      </x:c>
      <x:c r="C434" s="9" t="str">
        <x:v>AR-RT-B-C-TECH-3-B2-INT-G0</x:v>
      </x:c>
      <x:c r="D434" s="9" t="str">
        <x:v>RT-B-C-TECH-3</x:v>
      </x:c>
      <x:c r="E434" s="9" t="str">
        <x:v>RT-B-C</x:v>
      </x:c>
      <x:c r="F434" s="9" t="str">
        <x:v>B2</x:v>
      </x:c>
      <x:c r="G434" s="9" t="str">
        <x:v>INT</x:v>
      </x:c>
      <x:c r="H434" s="9" t="str">
        <x:v>RW04</x:v>
      </x:c>
      <x:c r="I434" s="17" t="str">
        <x:v>Environmental boundary stream</x:v>
      </x:c>
      <x:c r="J434" s="17" t="str">
        <x:v>Site metrology</x:v>
      </x:c>
      <x:c r="K434" s="17" t="str">
        <x:v>Public custody D</x:v>
      </x:c>
      <x:c r="L434" s="9" t="n">
        <x:v>0</x:v>
      </x:c>
      <x:c r="M434" s="9" t="n">
        <x:v>0</x:v>
      </x:c>
      <x:c r="N434" s="9" t="n">
        <x:v>0</x:v>
      </x:c>
      <x:c r="O434" s="9" t="n">
        <x:v>0</x:v>
      </x:c>
      <x:c r="P434" s="9" t="str">
        <x:v>UNSEALED / SOURCE-EMPTY</x:v>
      </x:c>
      <x:c r="Q434" s="9" t="n">
        <x:f>COUNTIFS($A$7:$A$1158,A434)</x:f>
        <x:v>1</x:v>
      </x:c>
    </x:row>
    <x:row r="435">
      <x:c r="A435" s="9" t="str">
        <x:v>EV-AR-RT-B-C-TECH-3-B2-INT-G0-RW05</x:v>
      </x:c>
      <x:c r="B435" s="9" t="str">
        <x:v>EV-AR-RT-B-C-TECH-3-B2-INT-G0</x:v>
      </x:c>
      <x:c r="C435" s="9" t="str">
        <x:v>AR-RT-B-C-TECH-3-B2-INT-G0</x:v>
      </x:c>
      <x:c r="D435" s="9" t="str">
        <x:v>RT-B-C-TECH-3</x:v>
      </x:c>
      <x:c r="E435" s="9" t="str">
        <x:v>RT-B-C</x:v>
      </x:c>
      <x:c r="F435" s="9" t="str">
        <x:v>B2</x:v>
      </x:c>
      <x:c r="G435" s="9" t="str">
        <x:v>INT</x:v>
      </x:c>
      <x:c r="H435" s="9" t="str">
        <x:v>RW05</x:v>
      </x:c>
      <x:c r="I435" s="17" t="str">
        <x:v>Command and intervention log</x:v>
      </x:c>
      <x:c r="J435" s="17" t="str">
        <x:v>Safety authority</x:v>
      </x:c>
      <x:c r="K435" s="17" t="str">
        <x:v>Public custody E</x:v>
      </x:c>
      <x:c r="L435" s="9" t="n">
        <x:v>0</x:v>
      </x:c>
      <x:c r="M435" s="9" t="n">
        <x:v>0</x:v>
      </x:c>
      <x:c r="N435" s="9" t="n">
        <x:v>0</x:v>
      </x:c>
      <x:c r="O435" s="9" t="n">
        <x:v>0</x:v>
      </x:c>
      <x:c r="P435" s="9" t="str">
        <x:v>UNSEALED / SOURCE-EMPTY</x:v>
      </x:c>
      <x:c r="Q435" s="9" t="n">
        <x:f>COUNTIFS($A$7:$A$1158,A435)</x:f>
        <x:v>1</x:v>
      </x:c>
    </x:row>
    <x:row r="436">
      <x:c r="A436" s="9" t="str">
        <x:v>EV-AR-RT-B-C-TECH-3-B2-INT-G0-RW06</x:v>
      </x:c>
      <x:c r="B436" s="9" t="str">
        <x:v>EV-AR-RT-B-C-TECH-3-B2-INT-G0</x:v>
      </x:c>
      <x:c r="C436" s="9" t="str">
        <x:v>AR-RT-B-C-TECH-3-B2-INT-G0</x:v>
      </x:c>
      <x:c r="D436" s="9" t="str">
        <x:v>RT-B-C-TECH-3</x:v>
      </x:c>
      <x:c r="E436" s="9" t="str">
        <x:v>RT-B-C</x:v>
      </x:c>
      <x:c r="F436" s="9" t="str">
        <x:v>B2</x:v>
      </x:c>
      <x:c r="G436" s="9" t="str">
        <x:v>INT</x:v>
      </x:c>
      <x:c r="H436" s="9" t="str">
        <x:v>RW06</x:v>
      </x:c>
      <x:c r="I436" s="17" t="str">
        <x:v>Receiver service ledger</x:v>
      </x:c>
      <x:c r="J436" s="17" t="str">
        <x:v>Receiver authority</x:v>
      </x:c>
      <x:c r="K436" s="17" t="str">
        <x:v>Public custody F</x:v>
      </x:c>
      <x:c r="L436" s="9" t="n">
        <x:v>0</x:v>
      </x:c>
      <x:c r="M436" s="9" t="n">
        <x:v>0</x:v>
      </x:c>
      <x:c r="N436" s="9" t="n">
        <x:v>0</x:v>
      </x:c>
      <x:c r="O436" s="9" t="n">
        <x:v>0</x:v>
      </x:c>
      <x:c r="P436" s="9" t="str">
        <x:v>UNSEALED / SOURCE-EMPTY</x:v>
      </x:c>
      <x:c r="Q436" s="9" t="n">
        <x:f>COUNTIFS($A$7:$A$1158,A436)</x:f>
        <x:v>1</x:v>
      </x:c>
    </x:row>
    <x:row r="437">
      <x:c r="A437" s="9" t="str">
        <x:v>EV-AR-RT-B-C-TECH-3-B2-INT-G0-RW07</x:v>
      </x:c>
      <x:c r="B437" s="9" t="str">
        <x:v>EV-AR-RT-B-C-TECH-3-B2-INT-G0</x:v>
      </x:c>
      <x:c r="C437" s="9" t="str">
        <x:v>AR-RT-B-C-TECH-3-B2-INT-G0</x:v>
      </x:c>
      <x:c r="D437" s="9" t="str">
        <x:v>RT-B-C-TECH-3</x:v>
      </x:c>
      <x:c r="E437" s="9" t="str">
        <x:v>RT-B-C</x:v>
      </x:c>
      <x:c r="F437" s="9" t="str">
        <x:v>B2</x:v>
      </x:c>
      <x:c r="G437" s="9" t="str">
        <x:v>INT</x:v>
      </x:c>
      <x:c r="H437" s="9" t="str">
        <x:v>RW07</x:v>
      </x:c>
      <x:c r="I437" s="17" t="str">
        <x:v>Candidate interface telemetry</x:v>
      </x:c>
      <x:c r="J437" s="17" t="str">
        <x:v>Interface custodian</x:v>
      </x:c>
      <x:c r="K437" s="17" t="str">
        <x:v>Public custody A</x:v>
      </x:c>
      <x:c r="L437" s="9" t="n">
        <x:v>0</x:v>
      </x:c>
      <x:c r="M437" s="9" t="n">
        <x:v>0</x:v>
      </x:c>
      <x:c r="N437" s="9" t="n">
        <x:v>0</x:v>
      </x:c>
      <x:c r="O437" s="9" t="n">
        <x:v>0</x:v>
      </x:c>
      <x:c r="P437" s="9" t="str">
        <x:v>UNSEALED / SOURCE-EMPTY</x:v>
      </x:c>
      <x:c r="Q437" s="9" t="n">
        <x:f>COUNTIFS($A$7:$A$1158,A437)</x:f>
        <x:v>1</x:v>
      </x:c>
    </x:row>
    <x:row r="438">
      <x:c r="A438" s="9" t="str">
        <x:v>EV-AR-RT-B-C-TECH-3-B2-INT-G0-RW08</x:v>
      </x:c>
      <x:c r="B438" s="9" t="str">
        <x:v>EV-AR-RT-B-C-TECH-3-B2-INT-G0</x:v>
      </x:c>
      <x:c r="C438" s="9" t="str">
        <x:v>AR-RT-B-C-TECH-3-B2-INT-G0</x:v>
      </x:c>
      <x:c r="D438" s="9" t="str">
        <x:v>RT-B-C-TECH-3</x:v>
      </x:c>
      <x:c r="E438" s="9" t="str">
        <x:v>RT-B-C</x:v>
      </x:c>
      <x:c r="F438" s="9" t="str">
        <x:v>B2</x:v>
      </x:c>
      <x:c r="G438" s="9" t="str">
        <x:v>INT</x:v>
      </x:c>
      <x:c r="H438" s="9" t="str">
        <x:v>RW08</x:v>
      </x:c>
      <x:c r="I438" s="17" t="str">
        <x:v>Residual and physical evidence</x:v>
      </x:c>
      <x:c r="J438" s="17" t="str">
        <x:v>Residual authority</x:v>
      </x:c>
      <x:c r="K438" s="17" t="str">
        <x:v>Public custody B</x:v>
      </x:c>
      <x:c r="L438" s="9" t="n">
        <x:v>0</x:v>
      </x:c>
      <x:c r="M438" s="9" t="n">
        <x:v>0</x:v>
      </x:c>
      <x:c r="N438" s="9" t="n">
        <x:v>0</x:v>
      </x:c>
      <x:c r="O438" s="9" t="n">
        <x:v>0</x:v>
      </x:c>
      <x:c r="P438" s="9" t="str">
        <x:v>UNSEALED / SOURCE-EMPTY</x:v>
      </x:c>
      <x:c r="Q438" s="9" t="n">
        <x:f>COUNTIFS($A$7:$A$1158,A438)</x:f>
        <x:v>1</x:v>
      </x:c>
    </x:row>
    <x:row r="439">
      <x:c r="A439" s="9" t="str">
        <x:v>EV-AR-ET-A-A-TECH-4-B2-RCN-G0-RW01</x:v>
      </x:c>
      <x:c r="B439" s="9" t="str">
        <x:v>EV-AR-ET-A-A-TECH-4-B2-RCN-G0</x:v>
      </x:c>
      <x:c r="C439" s="9" t="str">
        <x:v>AR-ET-A-A-TECH-4-B2-RCN-G0</x:v>
      </x:c>
      <x:c r="D439" s="9" t="str">
        <x:v>ET-A-A-TECH-4</x:v>
      </x:c>
      <x:c r="E439" s="9" t="str">
        <x:v>ET-A-A</x:v>
      </x:c>
      <x:c r="F439" s="9" t="str">
        <x:v>B2</x:v>
      </x:c>
      <x:c r="G439" s="9" t="str">
        <x:v>RCN</x:v>
      </x:c>
      <x:c r="H439" s="9" t="str">
        <x:v>RW01</x:v>
      </x:c>
      <x:c r="I439" s="17" t="str">
        <x:v>Primary raw stream</x:v>
      </x:c>
      <x:c r="J439" s="17" t="str">
        <x:v>Primary metrology</x:v>
      </x:c>
      <x:c r="K439" s="17" t="str">
        <x:v>Public custody A</x:v>
      </x:c>
      <x:c r="L439" s="9" t="n">
        <x:v>0</x:v>
      </x:c>
      <x:c r="M439" s="9" t="n">
        <x:v>0</x:v>
      </x:c>
      <x:c r="N439" s="9" t="n">
        <x:v>0</x:v>
      </x:c>
      <x:c r="O439" s="9" t="n">
        <x:v>0</x:v>
      </x:c>
      <x:c r="P439" s="9" t="str">
        <x:v>UNSEALED / SOURCE-EMPTY</x:v>
      </x:c>
      <x:c r="Q439" s="9" t="n">
        <x:f>COUNTIFS($A$7:$A$1158,A439)</x:f>
        <x:v>1</x:v>
      </x:c>
    </x:row>
    <x:row r="440">
      <x:c r="A440" s="9" t="str">
        <x:v>EV-AR-ET-A-A-TECH-4-B2-RCN-G0-RW02</x:v>
      </x:c>
      <x:c r="B440" s="9" t="str">
        <x:v>EV-AR-ET-A-A-TECH-4-B2-RCN-G0</x:v>
      </x:c>
      <x:c r="C440" s="9" t="str">
        <x:v>AR-ET-A-A-TECH-4-B2-RCN-G0</x:v>
      </x:c>
      <x:c r="D440" s="9" t="str">
        <x:v>ET-A-A-TECH-4</x:v>
      </x:c>
      <x:c r="E440" s="9" t="str">
        <x:v>ET-A-A</x:v>
      </x:c>
      <x:c r="F440" s="9" t="str">
        <x:v>B2</x:v>
      </x:c>
      <x:c r="G440" s="9" t="str">
        <x:v>RCN</x:v>
      </x:c>
      <x:c r="H440" s="9" t="str">
        <x:v>RW02</x:v>
      </x:c>
      <x:c r="I440" s="17" t="str">
        <x:v>Unlike witness stream</x:v>
      </x:c>
      <x:c r="J440" s="17" t="str">
        <x:v>Witness metrology</x:v>
      </x:c>
      <x:c r="K440" s="17" t="str">
        <x:v>Public custody B</x:v>
      </x:c>
      <x:c r="L440" s="9" t="n">
        <x:v>0</x:v>
      </x:c>
      <x:c r="M440" s="9" t="n">
        <x:v>0</x:v>
      </x:c>
      <x:c r="N440" s="9" t="n">
        <x:v>0</x:v>
      </x:c>
      <x:c r="O440" s="9" t="n">
        <x:v>0</x:v>
      </x:c>
      <x:c r="P440" s="9" t="str">
        <x:v>UNSEALED / SOURCE-EMPTY</x:v>
      </x:c>
      <x:c r="Q440" s="9" t="n">
        <x:f>COUNTIFS($A$7:$A$1158,A440)</x:f>
        <x:v>1</x:v>
      </x:c>
    </x:row>
    <x:row r="441">
      <x:c r="A441" s="9" t="str">
        <x:v>EV-AR-ET-A-A-TECH-4-B2-RCN-G0-RW03</x:v>
      </x:c>
      <x:c r="B441" s="9" t="str">
        <x:v>EV-AR-ET-A-A-TECH-4-B2-RCN-G0</x:v>
      </x:c>
      <x:c r="C441" s="9" t="str">
        <x:v>AR-ET-A-A-TECH-4-B2-RCN-G0</x:v>
      </x:c>
      <x:c r="D441" s="9" t="str">
        <x:v>ET-A-A-TECH-4</x:v>
      </x:c>
      <x:c r="E441" s="9" t="str">
        <x:v>ET-A-A</x:v>
      </x:c>
      <x:c r="F441" s="9" t="str">
        <x:v>B2</x:v>
      </x:c>
      <x:c r="G441" s="9" t="str">
        <x:v>RCN</x:v>
      </x:c>
      <x:c r="H441" s="9" t="str">
        <x:v>RW03</x:v>
      </x:c>
      <x:c r="I441" s="17" t="str">
        <x:v>Event clock and start traces</x:v>
      </x:c>
      <x:c r="J441" s="17" t="str">
        <x:v>Event clock authority</x:v>
      </x:c>
      <x:c r="K441" s="17" t="str">
        <x:v>Public custody C</x:v>
      </x:c>
      <x:c r="L441" s="9" t="n">
        <x:v>0</x:v>
      </x:c>
      <x:c r="M441" s="9" t="n">
        <x:v>0</x:v>
      </x:c>
      <x:c r="N441" s="9" t="n">
        <x:v>0</x:v>
      </x:c>
      <x:c r="O441" s="9" t="n">
        <x:v>0</x:v>
      </x:c>
      <x:c r="P441" s="9" t="str">
        <x:v>UNSEALED / SOURCE-EMPTY</x:v>
      </x:c>
      <x:c r="Q441" s="9" t="n">
        <x:f>COUNTIFS($A$7:$A$1158,A441)</x:f>
        <x:v>1</x:v>
      </x:c>
    </x:row>
    <x:row r="442">
      <x:c r="A442" s="9" t="str">
        <x:v>EV-AR-ET-A-A-TECH-4-B2-RCN-G0-RW04</x:v>
      </x:c>
      <x:c r="B442" s="9" t="str">
        <x:v>EV-AR-ET-A-A-TECH-4-B2-RCN-G0</x:v>
      </x:c>
      <x:c r="C442" s="9" t="str">
        <x:v>AR-ET-A-A-TECH-4-B2-RCN-G0</x:v>
      </x:c>
      <x:c r="D442" s="9" t="str">
        <x:v>ET-A-A-TECH-4</x:v>
      </x:c>
      <x:c r="E442" s="9" t="str">
        <x:v>ET-A-A</x:v>
      </x:c>
      <x:c r="F442" s="9" t="str">
        <x:v>B2</x:v>
      </x:c>
      <x:c r="G442" s="9" t="str">
        <x:v>RCN</x:v>
      </x:c>
      <x:c r="H442" s="9" t="str">
        <x:v>RW04</x:v>
      </x:c>
      <x:c r="I442" s="17" t="str">
        <x:v>Environmental boundary stream</x:v>
      </x:c>
      <x:c r="J442" s="17" t="str">
        <x:v>Site metrology</x:v>
      </x:c>
      <x:c r="K442" s="17" t="str">
        <x:v>Public custody D</x:v>
      </x:c>
      <x:c r="L442" s="9" t="n">
        <x:v>0</x:v>
      </x:c>
      <x:c r="M442" s="9" t="n">
        <x:v>0</x:v>
      </x:c>
      <x:c r="N442" s="9" t="n">
        <x:v>0</x:v>
      </x:c>
      <x:c r="O442" s="9" t="n">
        <x:v>0</x:v>
      </x:c>
      <x:c r="P442" s="9" t="str">
        <x:v>UNSEALED / SOURCE-EMPTY</x:v>
      </x:c>
      <x:c r="Q442" s="9" t="n">
        <x:f>COUNTIFS($A$7:$A$1158,A442)</x:f>
        <x:v>1</x:v>
      </x:c>
    </x:row>
    <x:row r="443">
      <x:c r="A443" s="9" t="str">
        <x:v>EV-AR-ET-A-A-TECH-4-B2-RCN-G0-RW05</x:v>
      </x:c>
      <x:c r="B443" s="9" t="str">
        <x:v>EV-AR-ET-A-A-TECH-4-B2-RCN-G0</x:v>
      </x:c>
      <x:c r="C443" s="9" t="str">
        <x:v>AR-ET-A-A-TECH-4-B2-RCN-G0</x:v>
      </x:c>
      <x:c r="D443" s="9" t="str">
        <x:v>ET-A-A-TECH-4</x:v>
      </x:c>
      <x:c r="E443" s="9" t="str">
        <x:v>ET-A-A</x:v>
      </x:c>
      <x:c r="F443" s="9" t="str">
        <x:v>B2</x:v>
      </x:c>
      <x:c r="G443" s="9" t="str">
        <x:v>RCN</x:v>
      </x:c>
      <x:c r="H443" s="9" t="str">
        <x:v>RW05</x:v>
      </x:c>
      <x:c r="I443" s="17" t="str">
        <x:v>Command and intervention log</x:v>
      </x:c>
      <x:c r="J443" s="17" t="str">
        <x:v>Safety authority</x:v>
      </x:c>
      <x:c r="K443" s="17" t="str">
        <x:v>Public custody E</x:v>
      </x:c>
      <x:c r="L443" s="9" t="n">
        <x:v>0</x:v>
      </x:c>
      <x:c r="M443" s="9" t="n">
        <x:v>0</x:v>
      </x:c>
      <x:c r="N443" s="9" t="n">
        <x:v>0</x:v>
      </x:c>
      <x:c r="O443" s="9" t="n">
        <x:v>0</x:v>
      </x:c>
      <x:c r="P443" s="9" t="str">
        <x:v>UNSEALED / SOURCE-EMPTY</x:v>
      </x:c>
      <x:c r="Q443" s="9" t="n">
        <x:f>COUNTIFS($A$7:$A$1158,A443)</x:f>
        <x:v>1</x:v>
      </x:c>
    </x:row>
    <x:row r="444">
      <x:c r="A444" s="9" t="str">
        <x:v>EV-AR-ET-A-A-TECH-4-B2-RCN-G0-RW06</x:v>
      </x:c>
      <x:c r="B444" s="9" t="str">
        <x:v>EV-AR-ET-A-A-TECH-4-B2-RCN-G0</x:v>
      </x:c>
      <x:c r="C444" s="9" t="str">
        <x:v>AR-ET-A-A-TECH-4-B2-RCN-G0</x:v>
      </x:c>
      <x:c r="D444" s="9" t="str">
        <x:v>ET-A-A-TECH-4</x:v>
      </x:c>
      <x:c r="E444" s="9" t="str">
        <x:v>ET-A-A</x:v>
      </x:c>
      <x:c r="F444" s="9" t="str">
        <x:v>B2</x:v>
      </x:c>
      <x:c r="G444" s="9" t="str">
        <x:v>RCN</x:v>
      </x:c>
      <x:c r="H444" s="9" t="str">
        <x:v>RW06</x:v>
      </x:c>
      <x:c r="I444" s="17" t="str">
        <x:v>Receiver service ledger</x:v>
      </x:c>
      <x:c r="J444" s="17" t="str">
        <x:v>Receiver authority</x:v>
      </x:c>
      <x:c r="K444" s="17" t="str">
        <x:v>Public custody F</x:v>
      </x:c>
      <x:c r="L444" s="9" t="n">
        <x:v>0</x:v>
      </x:c>
      <x:c r="M444" s="9" t="n">
        <x:v>0</x:v>
      </x:c>
      <x:c r="N444" s="9" t="n">
        <x:v>0</x:v>
      </x:c>
      <x:c r="O444" s="9" t="n">
        <x:v>0</x:v>
      </x:c>
      <x:c r="P444" s="9" t="str">
        <x:v>UNSEALED / SOURCE-EMPTY</x:v>
      </x:c>
      <x:c r="Q444" s="9" t="n">
        <x:f>COUNTIFS($A$7:$A$1158,A444)</x:f>
        <x:v>1</x:v>
      </x:c>
    </x:row>
    <x:row r="445">
      <x:c r="A445" s="9" t="str">
        <x:v>EV-AR-ET-A-A-TECH-4-B2-RCN-G0-RW07</x:v>
      </x:c>
      <x:c r="B445" s="9" t="str">
        <x:v>EV-AR-ET-A-A-TECH-4-B2-RCN-G0</x:v>
      </x:c>
      <x:c r="C445" s="9" t="str">
        <x:v>AR-ET-A-A-TECH-4-B2-RCN-G0</x:v>
      </x:c>
      <x:c r="D445" s="9" t="str">
        <x:v>ET-A-A-TECH-4</x:v>
      </x:c>
      <x:c r="E445" s="9" t="str">
        <x:v>ET-A-A</x:v>
      </x:c>
      <x:c r="F445" s="9" t="str">
        <x:v>B2</x:v>
      </x:c>
      <x:c r="G445" s="9" t="str">
        <x:v>RCN</x:v>
      </x:c>
      <x:c r="H445" s="9" t="str">
        <x:v>RW07</x:v>
      </x:c>
      <x:c r="I445" s="17" t="str">
        <x:v>Candidate interface telemetry</x:v>
      </x:c>
      <x:c r="J445" s="17" t="str">
        <x:v>Interface custodian</x:v>
      </x:c>
      <x:c r="K445" s="17" t="str">
        <x:v>Public custody A</x:v>
      </x:c>
      <x:c r="L445" s="9" t="n">
        <x:v>0</x:v>
      </x:c>
      <x:c r="M445" s="9" t="n">
        <x:v>0</x:v>
      </x:c>
      <x:c r="N445" s="9" t="n">
        <x:v>0</x:v>
      </x:c>
      <x:c r="O445" s="9" t="n">
        <x:v>0</x:v>
      </x:c>
      <x:c r="P445" s="9" t="str">
        <x:v>UNSEALED / SOURCE-EMPTY</x:v>
      </x:c>
      <x:c r="Q445" s="9" t="n">
        <x:f>COUNTIFS($A$7:$A$1158,A445)</x:f>
        <x:v>1</x:v>
      </x:c>
    </x:row>
    <x:row r="446">
      <x:c r="A446" s="9" t="str">
        <x:v>EV-AR-ET-A-A-TECH-4-B2-RCN-G0-RW08</x:v>
      </x:c>
      <x:c r="B446" s="9" t="str">
        <x:v>EV-AR-ET-A-A-TECH-4-B2-RCN-G0</x:v>
      </x:c>
      <x:c r="C446" s="9" t="str">
        <x:v>AR-ET-A-A-TECH-4-B2-RCN-G0</x:v>
      </x:c>
      <x:c r="D446" s="9" t="str">
        <x:v>ET-A-A-TECH-4</x:v>
      </x:c>
      <x:c r="E446" s="9" t="str">
        <x:v>ET-A-A</x:v>
      </x:c>
      <x:c r="F446" s="9" t="str">
        <x:v>B2</x:v>
      </x:c>
      <x:c r="G446" s="9" t="str">
        <x:v>RCN</x:v>
      </x:c>
      <x:c r="H446" s="9" t="str">
        <x:v>RW08</x:v>
      </x:c>
      <x:c r="I446" s="17" t="str">
        <x:v>Residual and physical evidence</x:v>
      </x:c>
      <x:c r="J446" s="17" t="str">
        <x:v>Residual authority</x:v>
      </x:c>
      <x:c r="K446" s="17" t="str">
        <x:v>Public custody B</x:v>
      </x:c>
      <x:c r="L446" s="9" t="n">
        <x:v>0</x:v>
      </x:c>
      <x:c r="M446" s="9" t="n">
        <x:v>0</x:v>
      </x:c>
      <x:c r="N446" s="9" t="n">
        <x:v>0</x:v>
      </x:c>
      <x:c r="O446" s="9" t="n">
        <x:v>0</x:v>
      </x:c>
      <x:c r="P446" s="9" t="str">
        <x:v>UNSEALED / SOURCE-EMPTY</x:v>
      </x:c>
      <x:c r="Q446" s="9" t="n">
        <x:f>COUNTIFS($A$7:$A$1158,A446)</x:f>
        <x:v>1</x:v>
      </x:c>
    </x:row>
    <x:row r="447">
      <x:c r="A447" s="9" t="str">
        <x:v>EV-AR-ET-A-A-TECH-1-B1-BRK-G0-RW01</x:v>
      </x:c>
      <x:c r="B447" s="9" t="str">
        <x:v>EV-AR-ET-A-A-TECH-1-B1-BRK-G0</x:v>
      </x:c>
      <x:c r="C447" s="9" t="str">
        <x:v>AR-ET-A-A-TECH-1-B1-BRK-G0</x:v>
      </x:c>
      <x:c r="D447" s="9" t="str">
        <x:v>ET-A-A-TECH-1</x:v>
      </x:c>
      <x:c r="E447" s="9" t="str">
        <x:v>ET-A-A</x:v>
      </x:c>
      <x:c r="F447" s="9" t="str">
        <x:v>B1</x:v>
      </x:c>
      <x:c r="G447" s="9" t="str">
        <x:v>BRK</x:v>
      </x:c>
      <x:c r="H447" s="9" t="str">
        <x:v>RW01</x:v>
      </x:c>
      <x:c r="I447" s="17" t="str">
        <x:v>Primary raw stream</x:v>
      </x:c>
      <x:c r="J447" s="17" t="str">
        <x:v>Primary metrology</x:v>
      </x:c>
      <x:c r="K447" s="17" t="str">
        <x:v>Public custody A</x:v>
      </x:c>
      <x:c r="L447" s="9" t="n">
        <x:v>0</x:v>
      </x:c>
      <x:c r="M447" s="9" t="n">
        <x:v>0</x:v>
      </x:c>
      <x:c r="N447" s="9" t="n">
        <x:v>0</x:v>
      </x:c>
      <x:c r="O447" s="9" t="n">
        <x:v>0</x:v>
      </x:c>
      <x:c r="P447" s="9" t="str">
        <x:v>UNSEALED / SOURCE-EMPTY</x:v>
      </x:c>
      <x:c r="Q447" s="9" t="n">
        <x:f>COUNTIFS($A$7:$A$1158,A447)</x:f>
        <x:v>1</x:v>
      </x:c>
    </x:row>
    <x:row r="448">
      <x:c r="A448" s="9" t="str">
        <x:v>EV-AR-ET-A-A-TECH-1-B1-BRK-G0-RW02</x:v>
      </x:c>
      <x:c r="B448" s="9" t="str">
        <x:v>EV-AR-ET-A-A-TECH-1-B1-BRK-G0</x:v>
      </x:c>
      <x:c r="C448" s="9" t="str">
        <x:v>AR-ET-A-A-TECH-1-B1-BRK-G0</x:v>
      </x:c>
      <x:c r="D448" s="9" t="str">
        <x:v>ET-A-A-TECH-1</x:v>
      </x:c>
      <x:c r="E448" s="9" t="str">
        <x:v>ET-A-A</x:v>
      </x:c>
      <x:c r="F448" s="9" t="str">
        <x:v>B1</x:v>
      </x:c>
      <x:c r="G448" s="9" t="str">
        <x:v>BRK</x:v>
      </x:c>
      <x:c r="H448" s="9" t="str">
        <x:v>RW02</x:v>
      </x:c>
      <x:c r="I448" s="17" t="str">
        <x:v>Unlike witness stream</x:v>
      </x:c>
      <x:c r="J448" s="17" t="str">
        <x:v>Witness metrology</x:v>
      </x:c>
      <x:c r="K448" s="17" t="str">
        <x:v>Public custody B</x:v>
      </x:c>
      <x:c r="L448" s="9" t="n">
        <x:v>0</x:v>
      </x:c>
      <x:c r="M448" s="9" t="n">
        <x:v>0</x:v>
      </x:c>
      <x:c r="N448" s="9" t="n">
        <x:v>0</x:v>
      </x:c>
      <x:c r="O448" s="9" t="n">
        <x:v>0</x:v>
      </x:c>
      <x:c r="P448" s="9" t="str">
        <x:v>UNSEALED / SOURCE-EMPTY</x:v>
      </x:c>
      <x:c r="Q448" s="9" t="n">
        <x:f>COUNTIFS($A$7:$A$1158,A448)</x:f>
        <x:v>1</x:v>
      </x:c>
    </x:row>
    <x:row r="449">
      <x:c r="A449" s="9" t="str">
        <x:v>EV-AR-ET-A-A-TECH-1-B1-BRK-G0-RW03</x:v>
      </x:c>
      <x:c r="B449" s="9" t="str">
        <x:v>EV-AR-ET-A-A-TECH-1-B1-BRK-G0</x:v>
      </x:c>
      <x:c r="C449" s="9" t="str">
        <x:v>AR-ET-A-A-TECH-1-B1-BRK-G0</x:v>
      </x:c>
      <x:c r="D449" s="9" t="str">
        <x:v>ET-A-A-TECH-1</x:v>
      </x:c>
      <x:c r="E449" s="9" t="str">
        <x:v>ET-A-A</x:v>
      </x:c>
      <x:c r="F449" s="9" t="str">
        <x:v>B1</x:v>
      </x:c>
      <x:c r="G449" s="9" t="str">
        <x:v>BRK</x:v>
      </x:c>
      <x:c r="H449" s="9" t="str">
        <x:v>RW03</x:v>
      </x:c>
      <x:c r="I449" s="17" t="str">
        <x:v>Event clock and start traces</x:v>
      </x:c>
      <x:c r="J449" s="17" t="str">
        <x:v>Event clock authority</x:v>
      </x:c>
      <x:c r="K449" s="17" t="str">
        <x:v>Public custody C</x:v>
      </x:c>
      <x:c r="L449" s="9" t="n">
        <x:v>0</x:v>
      </x:c>
      <x:c r="M449" s="9" t="n">
        <x:v>0</x:v>
      </x:c>
      <x:c r="N449" s="9" t="n">
        <x:v>0</x:v>
      </x:c>
      <x:c r="O449" s="9" t="n">
        <x:v>0</x:v>
      </x:c>
      <x:c r="P449" s="9" t="str">
        <x:v>UNSEALED / SOURCE-EMPTY</x:v>
      </x:c>
      <x:c r="Q449" s="9" t="n">
        <x:f>COUNTIFS($A$7:$A$1158,A449)</x:f>
        <x:v>1</x:v>
      </x:c>
    </x:row>
    <x:row r="450">
      <x:c r="A450" s="9" t="str">
        <x:v>EV-AR-ET-A-A-TECH-1-B1-BRK-G0-RW04</x:v>
      </x:c>
      <x:c r="B450" s="9" t="str">
        <x:v>EV-AR-ET-A-A-TECH-1-B1-BRK-G0</x:v>
      </x:c>
      <x:c r="C450" s="9" t="str">
        <x:v>AR-ET-A-A-TECH-1-B1-BRK-G0</x:v>
      </x:c>
      <x:c r="D450" s="9" t="str">
        <x:v>ET-A-A-TECH-1</x:v>
      </x:c>
      <x:c r="E450" s="9" t="str">
        <x:v>ET-A-A</x:v>
      </x:c>
      <x:c r="F450" s="9" t="str">
        <x:v>B1</x:v>
      </x:c>
      <x:c r="G450" s="9" t="str">
        <x:v>BRK</x:v>
      </x:c>
      <x:c r="H450" s="9" t="str">
        <x:v>RW04</x:v>
      </x:c>
      <x:c r="I450" s="17" t="str">
        <x:v>Environmental boundary stream</x:v>
      </x:c>
      <x:c r="J450" s="17" t="str">
        <x:v>Site metrology</x:v>
      </x:c>
      <x:c r="K450" s="17" t="str">
        <x:v>Public custody D</x:v>
      </x:c>
      <x:c r="L450" s="9" t="n">
        <x:v>0</x:v>
      </x:c>
      <x:c r="M450" s="9" t="n">
        <x:v>0</x:v>
      </x:c>
      <x:c r="N450" s="9" t="n">
        <x:v>0</x:v>
      </x:c>
      <x:c r="O450" s="9" t="n">
        <x:v>0</x:v>
      </x:c>
      <x:c r="P450" s="9" t="str">
        <x:v>UNSEALED / SOURCE-EMPTY</x:v>
      </x:c>
      <x:c r="Q450" s="9" t="n">
        <x:f>COUNTIFS($A$7:$A$1158,A450)</x:f>
        <x:v>1</x:v>
      </x:c>
    </x:row>
    <x:row r="451">
      <x:c r="A451" s="9" t="str">
        <x:v>EV-AR-ET-A-A-TECH-1-B1-BRK-G0-RW05</x:v>
      </x:c>
      <x:c r="B451" s="9" t="str">
        <x:v>EV-AR-ET-A-A-TECH-1-B1-BRK-G0</x:v>
      </x:c>
      <x:c r="C451" s="9" t="str">
        <x:v>AR-ET-A-A-TECH-1-B1-BRK-G0</x:v>
      </x:c>
      <x:c r="D451" s="9" t="str">
        <x:v>ET-A-A-TECH-1</x:v>
      </x:c>
      <x:c r="E451" s="9" t="str">
        <x:v>ET-A-A</x:v>
      </x:c>
      <x:c r="F451" s="9" t="str">
        <x:v>B1</x:v>
      </x:c>
      <x:c r="G451" s="9" t="str">
        <x:v>BRK</x:v>
      </x:c>
      <x:c r="H451" s="9" t="str">
        <x:v>RW05</x:v>
      </x:c>
      <x:c r="I451" s="17" t="str">
        <x:v>Command and intervention log</x:v>
      </x:c>
      <x:c r="J451" s="17" t="str">
        <x:v>Safety authority</x:v>
      </x:c>
      <x:c r="K451" s="17" t="str">
        <x:v>Public custody E</x:v>
      </x:c>
      <x:c r="L451" s="9" t="n">
        <x:v>0</x:v>
      </x:c>
      <x:c r="M451" s="9" t="n">
        <x:v>0</x:v>
      </x:c>
      <x:c r="N451" s="9" t="n">
        <x:v>0</x:v>
      </x:c>
      <x:c r="O451" s="9" t="n">
        <x:v>0</x:v>
      </x:c>
      <x:c r="P451" s="9" t="str">
        <x:v>UNSEALED / SOURCE-EMPTY</x:v>
      </x:c>
      <x:c r="Q451" s="9" t="n">
        <x:f>COUNTIFS($A$7:$A$1158,A451)</x:f>
        <x:v>1</x:v>
      </x:c>
    </x:row>
    <x:row r="452">
      <x:c r="A452" s="9" t="str">
        <x:v>EV-AR-ET-A-A-TECH-1-B1-BRK-G0-RW06</x:v>
      </x:c>
      <x:c r="B452" s="9" t="str">
        <x:v>EV-AR-ET-A-A-TECH-1-B1-BRK-G0</x:v>
      </x:c>
      <x:c r="C452" s="9" t="str">
        <x:v>AR-ET-A-A-TECH-1-B1-BRK-G0</x:v>
      </x:c>
      <x:c r="D452" s="9" t="str">
        <x:v>ET-A-A-TECH-1</x:v>
      </x:c>
      <x:c r="E452" s="9" t="str">
        <x:v>ET-A-A</x:v>
      </x:c>
      <x:c r="F452" s="9" t="str">
        <x:v>B1</x:v>
      </x:c>
      <x:c r="G452" s="9" t="str">
        <x:v>BRK</x:v>
      </x:c>
      <x:c r="H452" s="9" t="str">
        <x:v>RW06</x:v>
      </x:c>
      <x:c r="I452" s="17" t="str">
        <x:v>Receiver service ledger</x:v>
      </x:c>
      <x:c r="J452" s="17" t="str">
        <x:v>Receiver authority</x:v>
      </x:c>
      <x:c r="K452" s="17" t="str">
        <x:v>Public custody F</x:v>
      </x:c>
      <x:c r="L452" s="9" t="n">
        <x:v>0</x:v>
      </x:c>
      <x:c r="M452" s="9" t="n">
        <x:v>0</x:v>
      </x:c>
      <x:c r="N452" s="9" t="n">
        <x:v>0</x:v>
      </x:c>
      <x:c r="O452" s="9" t="n">
        <x:v>0</x:v>
      </x:c>
      <x:c r="P452" s="9" t="str">
        <x:v>UNSEALED / SOURCE-EMPTY</x:v>
      </x:c>
      <x:c r="Q452" s="9" t="n">
        <x:f>COUNTIFS($A$7:$A$1158,A452)</x:f>
        <x:v>1</x:v>
      </x:c>
    </x:row>
    <x:row r="453">
      <x:c r="A453" s="9" t="str">
        <x:v>EV-AR-ET-A-A-TECH-1-B1-BRK-G0-RW07</x:v>
      </x:c>
      <x:c r="B453" s="9" t="str">
        <x:v>EV-AR-ET-A-A-TECH-1-B1-BRK-G0</x:v>
      </x:c>
      <x:c r="C453" s="9" t="str">
        <x:v>AR-ET-A-A-TECH-1-B1-BRK-G0</x:v>
      </x:c>
      <x:c r="D453" s="9" t="str">
        <x:v>ET-A-A-TECH-1</x:v>
      </x:c>
      <x:c r="E453" s="9" t="str">
        <x:v>ET-A-A</x:v>
      </x:c>
      <x:c r="F453" s="9" t="str">
        <x:v>B1</x:v>
      </x:c>
      <x:c r="G453" s="9" t="str">
        <x:v>BRK</x:v>
      </x:c>
      <x:c r="H453" s="9" t="str">
        <x:v>RW07</x:v>
      </x:c>
      <x:c r="I453" s="17" t="str">
        <x:v>Candidate interface telemetry</x:v>
      </x:c>
      <x:c r="J453" s="17" t="str">
        <x:v>Interface custodian</x:v>
      </x:c>
      <x:c r="K453" s="17" t="str">
        <x:v>Public custody A</x:v>
      </x:c>
      <x:c r="L453" s="9" t="n">
        <x:v>0</x:v>
      </x:c>
      <x:c r="M453" s="9" t="n">
        <x:v>0</x:v>
      </x:c>
      <x:c r="N453" s="9" t="n">
        <x:v>0</x:v>
      </x:c>
      <x:c r="O453" s="9" t="n">
        <x:v>0</x:v>
      </x:c>
      <x:c r="P453" s="9" t="str">
        <x:v>UNSEALED / SOURCE-EMPTY</x:v>
      </x:c>
      <x:c r="Q453" s="9" t="n">
        <x:f>COUNTIFS($A$7:$A$1158,A453)</x:f>
        <x:v>1</x:v>
      </x:c>
    </x:row>
    <x:row r="454">
      <x:c r="A454" s="9" t="str">
        <x:v>EV-AR-ET-A-A-TECH-1-B1-BRK-G0-RW08</x:v>
      </x:c>
      <x:c r="B454" s="9" t="str">
        <x:v>EV-AR-ET-A-A-TECH-1-B1-BRK-G0</x:v>
      </x:c>
      <x:c r="C454" s="9" t="str">
        <x:v>AR-ET-A-A-TECH-1-B1-BRK-G0</x:v>
      </x:c>
      <x:c r="D454" s="9" t="str">
        <x:v>ET-A-A-TECH-1</x:v>
      </x:c>
      <x:c r="E454" s="9" t="str">
        <x:v>ET-A-A</x:v>
      </x:c>
      <x:c r="F454" s="9" t="str">
        <x:v>B1</x:v>
      </x:c>
      <x:c r="G454" s="9" t="str">
        <x:v>BRK</x:v>
      </x:c>
      <x:c r="H454" s="9" t="str">
        <x:v>RW08</x:v>
      </x:c>
      <x:c r="I454" s="17" t="str">
        <x:v>Residual and physical evidence</x:v>
      </x:c>
      <x:c r="J454" s="17" t="str">
        <x:v>Residual authority</x:v>
      </x:c>
      <x:c r="K454" s="17" t="str">
        <x:v>Public custody B</x:v>
      </x:c>
      <x:c r="L454" s="9" t="n">
        <x:v>0</x:v>
      </x:c>
      <x:c r="M454" s="9" t="n">
        <x:v>0</x:v>
      </x:c>
      <x:c r="N454" s="9" t="n">
        <x:v>0</x:v>
      </x:c>
      <x:c r="O454" s="9" t="n">
        <x:v>0</x:v>
      </x:c>
      <x:c r="P454" s="9" t="str">
        <x:v>UNSEALED / SOURCE-EMPTY</x:v>
      </x:c>
      <x:c r="Q454" s="9" t="n">
        <x:f>COUNTIFS($A$7:$A$1158,A454)</x:f>
        <x:v>1</x:v>
      </x:c>
    </x:row>
    <x:row r="455">
      <x:c r="A455" s="9" t="str">
        <x:v>EV-AR-HU-A-B-TECH-3-B1-BRK-G0-RW01</x:v>
      </x:c>
      <x:c r="B455" s="9" t="str">
        <x:v>EV-AR-HU-A-B-TECH-3-B1-BRK-G0</x:v>
      </x:c>
      <x:c r="C455" s="9" t="str">
        <x:v>AR-HU-A-B-TECH-3-B1-BRK-G0</x:v>
      </x:c>
      <x:c r="D455" s="9" t="str">
        <x:v>HU-A-B-TECH-3</x:v>
      </x:c>
      <x:c r="E455" s="9" t="str">
        <x:v>HU-A-B</x:v>
      </x:c>
      <x:c r="F455" s="9" t="str">
        <x:v>B1</x:v>
      </x:c>
      <x:c r="G455" s="9" t="str">
        <x:v>BRK</x:v>
      </x:c>
      <x:c r="H455" s="9" t="str">
        <x:v>RW01</x:v>
      </x:c>
      <x:c r="I455" s="17" t="str">
        <x:v>Primary raw stream</x:v>
      </x:c>
      <x:c r="J455" s="17" t="str">
        <x:v>Primary metrology</x:v>
      </x:c>
      <x:c r="K455" s="17" t="str">
        <x:v>Public custody A</x:v>
      </x:c>
      <x:c r="L455" s="9" t="n">
        <x:v>0</x:v>
      </x:c>
      <x:c r="M455" s="9" t="n">
        <x:v>0</x:v>
      </x:c>
      <x:c r="N455" s="9" t="n">
        <x:v>0</x:v>
      </x:c>
      <x:c r="O455" s="9" t="n">
        <x:v>0</x:v>
      </x:c>
      <x:c r="P455" s="9" t="str">
        <x:v>UNSEALED / SOURCE-EMPTY</x:v>
      </x:c>
      <x:c r="Q455" s="9" t="n">
        <x:f>COUNTIFS($A$7:$A$1158,A455)</x:f>
        <x:v>1</x:v>
      </x:c>
    </x:row>
    <x:row r="456">
      <x:c r="A456" s="9" t="str">
        <x:v>EV-AR-HU-A-B-TECH-3-B1-BRK-G0-RW02</x:v>
      </x:c>
      <x:c r="B456" s="9" t="str">
        <x:v>EV-AR-HU-A-B-TECH-3-B1-BRK-G0</x:v>
      </x:c>
      <x:c r="C456" s="9" t="str">
        <x:v>AR-HU-A-B-TECH-3-B1-BRK-G0</x:v>
      </x:c>
      <x:c r="D456" s="9" t="str">
        <x:v>HU-A-B-TECH-3</x:v>
      </x:c>
      <x:c r="E456" s="9" t="str">
        <x:v>HU-A-B</x:v>
      </x:c>
      <x:c r="F456" s="9" t="str">
        <x:v>B1</x:v>
      </x:c>
      <x:c r="G456" s="9" t="str">
        <x:v>BRK</x:v>
      </x:c>
      <x:c r="H456" s="9" t="str">
        <x:v>RW02</x:v>
      </x:c>
      <x:c r="I456" s="17" t="str">
        <x:v>Unlike witness stream</x:v>
      </x:c>
      <x:c r="J456" s="17" t="str">
        <x:v>Witness metrology</x:v>
      </x:c>
      <x:c r="K456" s="17" t="str">
        <x:v>Public custody B</x:v>
      </x:c>
      <x:c r="L456" s="9" t="n">
        <x:v>0</x:v>
      </x:c>
      <x:c r="M456" s="9" t="n">
        <x:v>0</x:v>
      </x:c>
      <x:c r="N456" s="9" t="n">
        <x:v>0</x:v>
      </x:c>
      <x:c r="O456" s="9" t="n">
        <x:v>0</x:v>
      </x:c>
      <x:c r="P456" s="9" t="str">
        <x:v>UNSEALED / SOURCE-EMPTY</x:v>
      </x:c>
      <x:c r="Q456" s="9" t="n">
        <x:f>COUNTIFS($A$7:$A$1158,A456)</x:f>
        <x:v>1</x:v>
      </x:c>
    </x:row>
    <x:row r="457">
      <x:c r="A457" s="9" t="str">
        <x:v>EV-AR-HU-A-B-TECH-3-B1-BRK-G0-RW03</x:v>
      </x:c>
      <x:c r="B457" s="9" t="str">
        <x:v>EV-AR-HU-A-B-TECH-3-B1-BRK-G0</x:v>
      </x:c>
      <x:c r="C457" s="9" t="str">
        <x:v>AR-HU-A-B-TECH-3-B1-BRK-G0</x:v>
      </x:c>
      <x:c r="D457" s="9" t="str">
        <x:v>HU-A-B-TECH-3</x:v>
      </x:c>
      <x:c r="E457" s="9" t="str">
        <x:v>HU-A-B</x:v>
      </x:c>
      <x:c r="F457" s="9" t="str">
        <x:v>B1</x:v>
      </x:c>
      <x:c r="G457" s="9" t="str">
        <x:v>BRK</x:v>
      </x:c>
      <x:c r="H457" s="9" t="str">
        <x:v>RW03</x:v>
      </x:c>
      <x:c r="I457" s="17" t="str">
        <x:v>Event clock and start traces</x:v>
      </x:c>
      <x:c r="J457" s="17" t="str">
        <x:v>Event clock authority</x:v>
      </x:c>
      <x:c r="K457" s="17" t="str">
        <x:v>Public custody C</x:v>
      </x:c>
      <x:c r="L457" s="9" t="n">
        <x:v>0</x:v>
      </x:c>
      <x:c r="M457" s="9" t="n">
        <x:v>0</x:v>
      </x:c>
      <x:c r="N457" s="9" t="n">
        <x:v>0</x:v>
      </x:c>
      <x:c r="O457" s="9" t="n">
        <x:v>0</x:v>
      </x:c>
      <x:c r="P457" s="9" t="str">
        <x:v>UNSEALED / SOURCE-EMPTY</x:v>
      </x:c>
      <x:c r="Q457" s="9" t="n">
        <x:f>COUNTIFS($A$7:$A$1158,A457)</x:f>
        <x:v>1</x:v>
      </x:c>
    </x:row>
    <x:row r="458">
      <x:c r="A458" s="9" t="str">
        <x:v>EV-AR-HU-A-B-TECH-3-B1-BRK-G0-RW04</x:v>
      </x:c>
      <x:c r="B458" s="9" t="str">
        <x:v>EV-AR-HU-A-B-TECH-3-B1-BRK-G0</x:v>
      </x:c>
      <x:c r="C458" s="9" t="str">
        <x:v>AR-HU-A-B-TECH-3-B1-BRK-G0</x:v>
      </x:c>
      <x:c r="D458" s="9" t="str">
        <x:v>HU-A-B-TECH-3</x:v>
      </x:c>
      <x:c r="E458" s="9" t="str">
        <x:v>HU-A-B</x:v>
      </x:c>
      <x:c r="F458" s="9" t="str">
        <x:v>B1</x:v>
      </x:c>
      <x:c r="G458" s="9" t="str">
        <x:v>BRK</x:v>
      </x:c>
      <x:c r="H458" s="9" t="str">
        <x:v>RW04</x:v>
      </x:c>
      <x:c r="I458" s="17" t="str">
        <x:v>Environmental boundary stream</x:v>
      </x:c>
      <x:c r="J458" s="17" t="str">
        <x:v>Site metrology</x:v>
      </x:c>
      <x:c r="K458" s="17" t="str">
        <x:v>Public custody D</x:v>
      </x:c>
      <x:c r="L458" s="9" t="n">
        <x:v>0</x:v>
      </x:c>
      <x:c r="M458" s="9" t="n">
        <x:v>0</x:v>
      </x:c>
      <x:c r="N458" s="9" t="n">
        <x:v>0</x:v>
      </x:c>
      <x:c r="O458" s="9" t="n">
        <x:v>0</x:v>
      </x:c>
      <x:c r="P458" s="9" t="str">
        <x:v>UNSEALED / SOURCE-EMPTY</x:v>
      </x:c>
      <x:c r="Q458" s="9" t="n">
        <x:f>COUNTIFS($A$7:$A$1158,A458)</x:f>
        <x:v>1</x:v>
      </x:c>
    </x:row>
    <x:row r="459">
      <x:c r="A459" s="9" t="str">
        <x:v>EV-AR-HU-A-B-TECH-3-B1-BRK-G0-RW05</x:v>
      </x:c>
      <x:c r="B459" s="9" t="str">
        <x:v>EV-AR-HU-A-B-TECH-3-B1-BRK-G0</x:v>
      </x:c>
      <x:c r="C459" s="9" t="str">
        <x:v>AR-HU-A-B-TECH-3-B1-BRK-G0</x:v>
      </x:c>
      <x:c r="D459" s="9" t="str">
        <x:v>HU-A-B-TECH-3</x:v>
      </x:c>
      <x:c r="E459" s="9" t="str">
        <x:v>HU-A-B</x:v>
      </x:c>
      <x:c r="F459" s="9" t="str">
        <x:v>B1</x:v>
      </x:c>
      <x:c r="G459" s="9" t="str">
        <x:v>BRK</x:v>
      </x:c>
      <x:c r="H459" s="9" t="str">
        <x:v>RW05</x:v>
      </x:c>
      <x:c r="I459" s="17" t="str">
        <x:v>Command and intervention log</x:v>
      </x:c>
      <x:c r="J459" s="17" t="str">
        <x:v>Safety authority</x:v>
      </x:c>
      <x:c r="K459" s="17" t="str">
        <x:v>Public custody E</x:v>
      </x:c>
      <x:c r="L459" s="9" t="n">
        <x:v>0</x:v>
      </x:c>
      <x:c r="M459" s="9" t="n">
        <x:v>0</x:v>
      </x:c>
      <x:c r="N459" s="9" t="n">
        <x:v>0</x:v>
      </x:c>
      <x:c r="O459" s="9" t="n">
        <x:v>0</x:v>
      </x:c>
      <x:c r="P459" s="9" t="str">
        <x:v>UNSEALED / SOURCE-EMPTY</x:v>
      </x:c>
      <x:c r="Q459" s="9" t="n">
        <x:f>COUNTIFS($A$7:$A$1158,A459)</x:f>
        <x:v>1</x:v>
      </x:c>
    </x:row>
    <x:row r="460">
      <x:c r="A460" s="9" t="str">
        <x:v>EV-AR-HU-A-B-TECH-3-B1-BRK-G0-RW06</x:v>
      </x:c>
      <x:c r="B460" s="9" t="str">
        <x:v>EV-AR-HU-A-B-TECH-3-B1-BRK-G0</x:v>
      </x:c>
      <x:c r="C460" s="9" t="str">
        <x:v>AR-HU-A-B-TECH-3-B1-BRK-G0</x:v>
      </x:c>
      <x:c r="D460" s="9" t="str">
        <x:v>HU-A-B-TECH-3</x:v>
      </x:c>
      <x:c r="E460" s="9" t="str">
        <x:v>HU-A-B</x:v>
      </x:c>
      <x:c r="F460" s="9" t="str">
        <x:v>B1</x:v>
      </x:c>
      <x:c r="G460" s="9" t="str">
        <x:v>BRK</x:v>
      </x:c>
      <x:c r="H460" s="9" t="str">
        <x:v>RW06</x:v>
      </x:c>
      <x:c r="I460" s="17" t="str">
        <x:v>Receiver service ledger</x:v>
      </x:c>
      <x:c r="J460" s="17" t="str">
        <x:v>Receiver authority</x:v>
      </x:c>
      <x:c r="K460" s="17" t="str">
        <x:v>Public custody F</x:v>
      </x:c>
      <x:c r="L460" s="9" t="n">
        <x:v>0</x:v>
      </x:c>
      <x:c r="M460" s="9" t="n">
        <x:v>0</x:v>
      </x:c>
      <x:c r="N460" s="9" t="n">
        <x:v>0</x:v>
      </x:c>
      <x:c r="O460" s="9" t="n">
        <x:v>0</x:v>
      </x:c>
      <x:c r="P460" s="9" t="str">
        <x:v>UNSEALED / SOURCE-EMPTY</x:v>
      </x:c>
      <x:c r="Q460" s="9" t="n">
        <x:f>COUNTIFS($A$7:$A$1158,A460)</x:f>
        <x:v>1</x:v>
      </x:c>
    </x:row>
    <x:row r="461">
      <x:c r="A461" s="9" t="str">
        <x:v>EV-AR-HU-A-B-TECH-3-B1-BRK-G0-RW07</x:v>
      </x:c>
      <x:c r="B461" s="9" t="str">
        <x:v>EV-AR-HU-A-B-TECH-3-B1-BRK-G0</x:v>
      </x:c>
      <x:c r="C461" s="9" t="str">
        <x:v>AR-HU-A-B-TECH-3-B1-BRK-G0</x:v>
      </x:c>
      <x:c r="D461" s="9" t="str">
        <x:v>HU-A-B-TECH-3</x:v>
      </x:c>
      <x:c r="E461" s="9" t="str">
        <x:v>HU-A-B</x:v>
      </x:c>
      <x:c r="F461" s="9" t="str">
        <x:v>B1</x:v>
      </x:c>
      <x:c r="G461" s="9" t="str">
        <x:v>BRK</x:v>
      </x:c>
      <x:c r="H461" s="9" t="str">
        <x:v>RW07</x:v>
      </x:c>
      <x:c r="I461" s="17" t="str">
        <x:v>Candidate interface telemetry</x:v>
      </x:c>
      <x:c r="J461" s="17" t="str">
        <x:v>Interface custodian</x:v>
      </x:c>
      <x:c r="K461" s="17" t="str">
        <x:v>Public custody A</x:v>
      </x:c>
      <x:c r="L461" s="9" t="n">
        <x:v>0</x:v>
      </x:c>
      <x:c r="M461" s="9" t="n">
        <x:v>0</x:v>
      </x:c>
      <x:c r="N461" s="9" t="n">
        <x:v>0</x:v>
      </x:c>
      <x:c r="O461" s="9" t="n">
        <x:v>0</x:v>
      </x:c>
      <x:c r="P461" s="9" t="str">
        <x:v>UNSEALED / SOURCE-EMPTY</x:v>
      </x:c>
      <x:c r="Q461" s="9" t="n">
        <x:f>COUNTIFS($A$7:$A$1158,A461)</x:f>
        <x:v>1</x:v>
      </x:c>
    </x:row>
    <x:row r="462">
      <x:c r="A462" s="9" t="str">
        <x:v>EV-AR-HU-A-B-TECH-3-B1-BRK-G0-RW08</x:v>
      </x:c>
      <x:c r="B462" s="9" t="str">
        <x:v>EV-AR-HU-A-B-TECH-3-B1-BRK-G0</x:v>
      </x:c>
      <x:c r="C462" s="9" t="str">
        <x:v>AR-HU-A-B-TECH-3-B1-BRK-G0</x:v>
      </x:c>
      <x:c r="D462" s="9" t="str">
        <x:v>HU-A-B-TECH-3</x:v>
      </x:c>
      <x:c r="E462" s="9" t="str">
        <x:v>HU-A-B</x:v>
      </x:c>
      <x:c r="F462" s="9" t="str">
        <x:v>B1</x:v>
      </x:c>
      <x:c r="G462" s="9" t="str">
        <x:v>BRK</x:v>
      </x:c>
      <x:c r="H462" s="9" t="str">
        <x:v>RW08</x:v>
      </x:c>
      <x:c r="I462" s="17" t="str">
        <x:v>Residual and physical evidence</x:v>
      </x:c>
      <x:c r="J462" s="17" t="str">
        <x:v>Residual authority</x:v>
      </x:c>
      <x:c r="K462" s="17" t="str">
        <x:v>Public custody B</x:v>
      </x:c>
      <x:c r="L462" s="9" t="n">
        <x:v>0</x:v>
      </x:c>
      <x:c r="M462" s="9" t="n">
        <x:v>0</x:v>
      </x:c>
      <x:c r="N462" s="9" t="n">
        <x:v>0</x:v>
      </x:c>
      <x:c r="O462" s="9" t="n">
        <x:v>0</x:v>
      </x:c>
      <x:c r="P462" s="9" t="str">
        <x:v>UNSEALED / SOURCE-EMPTY</x:v>
      </x:c>
      <x:c r="Q462" s="9" t="n">
        <x:f>COUNTIFS($A$7:$A$1158,A462)</x:f>
        <x:v>1</x:v>
      </x:c>
    </x:row>
    <x:row r="463">
      <x:c r="A463" s="9" t="str">
        <x:v>EV-AR-HU-A-B-TECH-2-B2-BRK-G0-RW01</x:v>
      </x:c>
      <x:c r="B463" s="9" t="str">
        <x:v>EV-AR-HU-A-B-TECH-2-B2-BRK-G0</x:v>
      </x:c>
      <x:c r="C463" s="9" t="str">
        <x:v>AR-HU-A-B-TECH-2-B2-BRK-G0</x:v>
      </x:c>
      <x:c r="D463" s="9" t="str">
        <x:v>HU-A-B-TECH-2</x:v>
      </x:c>
      <x:c r="E463" s="9" t="str">
        <x:v>HU-A-B</x:v>
      </x:c>
      <x:c r="F463" s="9" t="str">
        <x:v>B2</x:v>
      </x:c>
      <x:c r="G463" s="9" t="str">
        <x:v>BRK</x:v>
      </x:c>
      <x:c r="H463" s="9" t="str">
        <x:v>RW01</x:v>
      </x:c>
      <x:c r="I463" s="17" t="str">
        <x:v>Primary raw stream</x:v>
      </x:c>
      <x:c r="J463" s="17" t="str">
        <x:v>Primary metrology</x:v>
      </x:c>
      <x:c r="K463" s="17" t="str">
        <x:v>Public custody A</x:v>
      </x:c>
      <x:c r="L463" s="9" t="n">
        <x:v>0</x:v>
      </x:c>
      <x:c r="M463" s="9" t="n">
        <x:v>0</x:v>
      </x:c>
      <x:c r="N463" s="9" t="n">
        <x:v>0</x:v>
      </x:c>
      <x:c r="O463" s="9" t="n">
        <x:v>0</x:v>
      </x:c>
      <x:c r="P463" s="9" t="str">
        <x:v>UNSEALED / SOURCE-EMPTY</x:v>
      </x:c>
      <x:c r="Q463" s="9" t="n">
        <x:f>COUNTIFS($A$7:$A$1158,A463)</x:f>
        <x:v>1</x:v>
      </x:c>
    </x:row>
    <x:row r="464">
      <x:c r="A464" s="9" t="str">
        <x:v>EV-AR-HU-A-B-TECH-2-B2-BRK-G0-RW02</x:v>
      </x:c>
      <x:c r="B464" s="9" t="str">
        <x:v>EV-AR-HU-A-B-TECH-2-B2-BRK-G0</x:v>
      </x:c>
      <x:c r="C464" s="9" t="str">
        <x:v>AR-HU-A-B-TECH-2-B2-BRK-G0</x:v>
      </x:c>
      <x:c r="D464" s="9" t="str">
        <x:v>HU-A-B-TECH-2</x:v>
      </x:c>
      <x:c r="E464" s="9" t="str">
        <x:v>HU-A-B</x:v>
      </x:c>
      <x:c r="F464" s="9" t="str">
        <x:v>B2</x:v>
      </x:c>
      <x:c r="G464" s="9" t="str">
        <x:v>BRK</x:v>
      </x:c>
      <x:c r="H464" s="9" t="str">
        <x:v>RW02</x:v>
      </x:c>
      <x:c r="I464" s="17" t="str">
        <x:v>Unlike witness stream</x:v>
      </x:c>
      <x:c r="J464" s="17" t="str">
        <x:v>Witness metrology</x:v>
      </x:c>
      <x:c r="K464" s="17" t="str">
        <x:v>Public custody B</x:v>
      </x:c>
      <x:c r="L464" s="9" t="n">
        <x:v>0</x:v>
      </x:c>
      <x:c r="M464" s="9" t="n">
        <x:v>0</x:v>
      </x:c>
      <x:c r="N464" s="9" t="n">
        <x:v>0</x:v>
      </x:c>
      <x:c r="O464" s="9" t="n">
        <x:v>0</x:v>
      </x:c>
      <x:c r="P464" s="9" t="str">
        <x:v>UNSEALED / SOURCE-EMPTY</x:v>
      </x:c>
      <x:c r="Q464" s="9" t="n">
        <x:f>COUNTIFS($A$7:$A$1158,A464)</x:f>
        <x:v>1</x:v>
      </x:c>
    </x:row>
    <x:row r="465">
      <x:c r="A465" s="9" t="str">
        <x:v>EV-AR-HU-A-B-TECH-2-B2-BRK-G0-RW03</x:v>
      </x:c>
      <x:c r="B465" s="9" t="str">
        <x:v>EV-AR-HU-A-B-TECH-2-B2-BRK-G0</x:v>
      </x:c>
      <x:c r="C465" s="9" t="str">
        <x:v>AR-HU-A-B-TECH-2-B2-BRK-G0</x:v>
      </x:c>
      <x:c r="D465" s="9" t="str">
        <x:v>HU-A-B-TECH-2</x:v>
      </x:c>
      <x:c r="E465" s="9" t="str">
        <x:v>HU-A-B</x:v>
      </x:c>
      <x:c r="F465" s="9" t="str">
        <x:v>B2</x:v>
      </x:c>
      <x:c r="G465" s="9" t="str">
        <x:v>BRK</x:v>
      </x:c>
      <x:c r="H465" s="9" t="str">
        <x:v>RW03</x:v>
      </x:c>
      <x:c r="I465" s="17" t="str">
        <x:v>Event clock and start traces</x:v>
      </x:c>
      <x:c r="J465" s="17" t="str">
        <x:v>Event clock authority</x:v>
      </x:c>
      <x:c r="K465" s="17" t="str">
        <x:v>Public custody C</x:v>
      </x:c>
      <x:c r="L465" s="9" t="n">
        <x:v>0</x:v>
      </x:c>
      <x:c r="M465" s="9" t="n">
        <x:v>0</x:v>
      </x:c>
      <x:c r="N465" s="9" t="n">
        <x:v>0</x:v>
      </x:c>
      <x:c r="O465" s="9" t="n">
        <x:v>0</x:v>
      </x:c>
      <x:c r="P465" s="9" t="str">
        <x:v>UNSEALED / SOURCE-EMPTY</x:v>
      </x:c>
      <x:c r="Q465" s="9" t="n">
        <x:f>COUNTIFS($A$7:$A$1158,A465)</x:f>
        <x:v>1</x:v>
      </x:c>
    </x:row>
    <x:row r="466">
      <x:c r="A466" s="9" t="str">
        <x:v>EV-AR-HU-A-B-TECH-2-B2-BRK-G0-RW04</x:v>
      </x:c>
      <x:c r="B466" s="9" t="str">
        <x:v>EV-AR-HU-A-B-TECH-2-B2-BRK-G0</x:v>
      </x:c>
      <x:c r="C466" s="9" t="str">
        <x:v>AR-HU-A-B-TECH-2-B2-BRK-G0</x:v>
      </x:c>
      <x:c r="D466" s="9" t="str">
        <x:v>HU-A-B-TECH-2</x:v>
      </x:c>
      <x:c r="E466" s="9" t="str">
        <x:v>HU-A-B</x:v>
      </x:c>
      <x:c r="F466" s="9" t="str">
        <x:v>B2</x:v>
      </x:c>
      <x:c r="G466" s="9" t="str">
        <x:v>BRK</x:v>
      </x:c>
      <x:c r="H466" s="9" t="str">
        <x:v>RW04</x:v>
      </x:c>
      <x:c r="I466" s="17" t="str">
        <x:v>Environmental boundary stream</x:v>
      </x:c>
      <x:c r="J466" s="17" t="str">
        <x:v>Site metrology</x:v>
      </x:c>
      <x:c r="K466" s="17" t="str">
        <x:v>Public custody D</x:v>
      </x:c>
      <x:c r="L466" s="9" t="n">
        <x:v>0</x:v>
      </x:c>
      <x:c r="M466" s="9" t="n">
        <x:v>0</x:v>
      </x:c>
      <x:c r="N466" s="9" t="n">
        <x:v>0</x:v>
      </x:c>
      <x:c r="O466" s="9" t="n">
        <x:v>0</x:v>
      </x:c>
      <x:c r="P466" s="9" t="str">
        <x:v>UNSEALED / SOURCE-EMPTY</x:v>
      </x:c>
      <x:c r="Q466" s="9" t="n">
        <x:f>COUNTIFS($A$7:$A$1158,A466)</x:f>
        <x:v>1</x:v>
      </x:c>
    </x:row>
    <x:row r="467">
      <x:c r="A467" s="9" t="str">
        <x:v>EV-AR-HU-A-B-TECH-2-B2-BRK-G0-RW05</x:v>
      </x:c>
      <x:c r="B467" s="9" t="str">
        <x:v>EV-AR-HU-A-B-TECH-2-B2-BRK-G0</x:v>
      </x:c>
      <x:c r="C467" s="9" t="str">
        <x:v>AR-HU-A-B-TECH-2-B2-BRK-G0</x:v>
      </x:c>
      <x:c r="D467" s="9" t="str">
        <x:v>HU-A-B-TECH-2</x:v>
      </x:c>
      <x:c r="E467" s="9" t="str">
        <x:v>HU-A-B</x:v>
      </x:c>
      <x:c r="F467" s="9" t="str">
        <x:v>B2</x:v>
      </x:c>
      <x:c r="G467" s="9" t="str">
        <x:v>BRK</x:v>
      </x:c>
      <x:c r="H467" s="9" t="str">
        <x:v>RW05</x:v>
      </x:c>
      <x:c r="I467" s="17" t="str">
        <x:v>Command and intervention log</x:v>
      </x:c>
      <x:c r="J467" s="17" t="str">
        <x:v>Safety authority</x:v>
      </x:c>
      <x:c r="K467" s="17" t="str">
        <x:v>Public custody E</x:v>
      </x:c>
      <x:c r="L467" s="9" t="n">
        <x:v>0</x:v>
      </x:c>
      <x:c r="M467" s="9" t="n">
        <x:v>0</x:v>
      </x:c>
      <x:c r="N467" s="9" t="n">
        <x:v>0</x:v>
      </x:c>
      <x:c r="O467" s="9" t="n">
        <x:v>0</x:v>
      </x:c>
      <x:c r="P467" s="9" t="str">
        <x:v>UNSEALED / SOURCE-EMPTY</x:v>
      </x:c>
      <x:c r="Q467" s="9" t="n">
        <x:f>COUNTIFS($A$7:$A$1158,A467)</x:f>
        <x:v>1</x:v>
      </x:c>
    </x:row>
    <x:row r="468">
      <x:c r="A468" s="9" t="str">
        <x:v>EV-AR-HU-A-B-TECH-2-B2-BRK-G0-RW06</x:v>
      </x:c>
      <x:c r="B468" s="9" t="str">
        <x:v>EV-AR-HU-A-B-TECH-2-B2-BRK-G0</x:v>
      </x:c>
      <x:c r="C468" s="9" t="str">
        <x:v>AR-HU-A-B-TECH-2-B2-BRK-G0</x:v>
      </x:c>
      <x:c r="D468" s="9" t="str">
        <x:v>HU-A-B-TECH-2</x:v>
      </x:c>
      <x:c r="E468" s="9" t="str">
        <x:v>HU-A-B</x:v>
      </x:c>
      <x:c r="F468" s="9" t="str">
        <x:v>B2</x:v>
      </x:c>
      <x:c r="G468" s="9" t="str">
        <x:v>BRK</x:v>
      </x:c>
      <x:c r="H468" s="9" t="str">
        <x:v>RW06</x:v>
      </x:c>
      <x:c r="I468" s="17" t="str">
        <x:v>Receiver service ledger</x:v>
      </x:c>
      <x:c r="J468" s="17" t="str">
        <x:v>Receiver authority</x:v>
      </x:c>
      <x:c r="K468" s="17" t="str">
        <x:v>Public custody F</x:v>
      </x:c>
      <x:c r="L468" s="9" t="n">
        <x:v>0</x:v>
      </x:c>
      <x:c r="M468" s="9" t="n">
        <x:v>0</x:v>
      </x:c>
      <x:c r="N468" s="9" t="n">
        <x:v>0</x:v>
      </x:c>
      <x:c r="O468" s="9" t="n">
        <x:v>0</x:v>
      </x:c>
      <x:c r="P468" s="9" t="str">
        <x:v>UNSEALED / SOURCE-EMPTY</x:v>
      </x:c>
      <x:c r="Q468" s="9" t="n">
        <x:f>COUNTIFS($A$7:$A$1158,A468)</x:f>
        <x:v>1</x:v>
      </x:c>
    </x:row>
    <x:row r="469">
      <x:c r="A469" s="9" t="str">
        <x:v>EV-AR-HU-A-B-TECH-2-B2-BRK-G0-RW07</x:v>
      </x:c>
      <x:c r="B469" s="9" t="str">
        <x:v>EV-AR-HU-A-B-TECH-2-B2-BRK-G0</x:v>
      </x:c>
      <x:c r="C469" s="9" t="str">
        <x:v>AR-HU-A-B-TECH-2-B2-BRK-G0</x:v>
      </x:c>
      <x:c r="D469" s="9" t="str">
        <x:v>HU-A-B-TECH-2</x:v>
      </x:c>
      <x:c r="E469" s="9" t="str">
        <x:v>HU-A-B</x:v>
      </x:c>
      <x:c r="F469" s="9" t="str">
        <x:v>B2</x:v>
      </x:c>
      <x:c r="G469" s="9" t="str">
        <x:v>BRK</x:v>
      </x:c>
      <x:c r="H469" s="9" t="str">
        <x:v>RW07</x:v>
      </x:c>
      <x:c r="I469" s="17" t="str">
        <x:v>Candidate interface telemetry</x:v>
      </x:c>
      <x:c r="J469" s="17" t="str">
        <x:v>Interface custodian</x:v>
      </x:c>
      <x:c r="K469" s="17" t="str">
        <x:v>Public custody A</x:v>
      </x:c>
      <x:c r="L469" s="9" t="n">
        <x:v>0</x:v>
      </x:c>
      <x:c r="M469" s="9" t="n">
        <x:v>0</x:v>
      </x:c>
      <x:c r="N469" s="9" t="n">
        <x:v>0</x:v>
      </x:c>
      <x:c r="O469" s="9" t="n">
        <x:v>0</x:v>
      </x:c>
      <x:c r="P469" s="9" t="str">
        <x:v>UNSEALED / SOURCE-EMPTY</x:v>
      </x:c>
      <x:c r="Q469" s="9" t="n">
        <x:f>COUNTIFS($A$7:$A$1158,A469)</x:f>
        <x:v>1</x:v>
      </x:c>
    </x:row>
    <x:row r="470">
      <x:c r="A470" s="9" t="str">
        <x:v>EV-AR-HU-A-B-TECH-2-B2-BRK-G0-RW08</x:v>
      </x:c>
      <x:c r="B470" s="9" t="str">
        <x:v>EV-AR-HU-A-B-TECH-2-B2-BRK-G0</x:v>
      </x:c>
      <x:c r="C470" s="9" t="str">
        <x:v>AR-HU-A-B-TECH-2-B2-BRK-G0</x:v>
      </x:c>
      <x:c r="D470" s="9" t="str">
        <x:v>HU-A-B-TECH-2</x:v>
      </x:c>
      <x:c r="E470" s="9" t="str">
        <x:v>HU-A-B</x:v>
      </x:c>
      <x:c r="F470" s="9" t="str">
        <x:v>B2</x:v>
      </x:c>
      <x:c r="G470" s="9" t="str">
        <x:v>BRK</x:v>
      </x:c>
      <x:c r="H470" s="9" t="str">
        <x:v>RW08</x:v>
      </x:c>
      <x:c r="I470" s="17" t="str">
        <x:v>Residual and physical evidence</x:v>
      </x:c>
      <x:c r="J470" s="17" t="str">
        <x:v>Residual authority</x:v>
      </x:c>
      <x:c r="K470" s="17" t="str">
        <x:v>Public custody B</x:v>
      </x:c>
      <x:c r="L470" s="9" t="n">
        <x:v>0</x:v>
      </x:c>
      <x:c r="M470" s="9" t="n">
        <x:v>0</x:v>
      </x:c>
      <x:c r="N470" s="9" t="n">
        <x:v>0</x:v>
      </x:c>
      <x:c r="O470" s="9" t="n">
        <x:v>0</x:v>
      </x:c>
      <x:c r="P470" s="9" t="str">
        <x:v>UNSEALED / SOURCE-EMPTY</x:v>
      </x:c>
      <x:c r="Q470" s="9" t="n">
        <x:f>COUNTIFS($A$7:$A$1158,A470)</x:f>
        <x:v>1</x:v>
      </x:c>
    </x:row>
    <x:row r="471">
      <x:c r="A471" s="9" t="str">
        <x:v>EV-AR-LF-B-A-TECH-2-B1-RCN-G0-RW01</x:v>
      </x:c>
      <x:c r="B471" s="9" t="str">
        <x:v>EV-AR-LF-B-A-TECH-2-B1-RCN-G0</x:v>
      </x:c>
      <x:c r="C471" s="9" t="str">
        <x:v>AR-LF-B-A-TECH-2-B1-RCN-G0</x:v>
      </x:c>
      <x:c r="D471" s="9" t="str">
        <x:v>LF-B-A-TECH-2</x:v>
      </x:c>
      <x:c r="E471" s="9" t="str">
        <x:v>LF-B-A</x:v>
      </x:c>
      <x:c r="F471" s="9" t="str">
        <x:v>B1</x:v>
      </x:c>
      <x:c r="G471" s="9" t="str">
        <x:v>RCN</x:v>
      </x:c>
      <x:c r="H471" s="9" t="str">
        <x:v>RW01</x:v>
      </x:c>
      <x:c r="I471" s="17" t="str">
        <x:v>Primary raw stream</x:v>
      </x:c>
      <x:c r="J471" s="17" t="str">
        <x:v>Primary metrology</x:v>
      </x:c>
      <x:c r="K471" s="17" t="str">
        <x:v>Public custody A</x:v>
      </x:c>
      <x:c r="L471" s="9" t="n">
        <x:v>0</x:v>
      </x:c>
      <x:c r="M471" s="9" t="n">
        <x:v>0</x:v>
      </x:c>
      <x:c r="N471" s="9" t="n">
        <x:v>0</x:v>
      </x:c>
      <x:c r="O471" s="9" t="n">
        <x:v>0</x:v>
      </x:c>
      <x:c r="P471" s="9" t="str">
        <x:v>UNSEALED / SOURCE-EMPTY</x:v>
      </x:c>
      <x:c r="Q471" s="9" t="n">
        <x:f>COUNTIFS($A$7:$A$1158,A471)</x:f>
        <x:v>1</x:v>
      </x:c>
    </x:row>
    <x:row r="472">
      <x:c r="A472" s="9" t="str">
        <x:v>EV-AR-LF-B-A-TECH-2-B1-RCN-G0-RW02</x:v>
      </x:c>
      <x:c r="B472" s="9" t="str">
        <x:v>EV-AR-LF-B-A-TECH-2-B1-RCN-G0</x:v>
      </x:c>
      <x:c r="C472" s="9" t="str">
        <x:v>AR-LF-B-A-TECH-2-B1-RCN-G0</x:v>
      </x:c>
      <x:c r="D472" s="9" t="str">
        <x:v>LF-B-A-TECH-2</x:v>
      </x:c>
      <x:c r="E472" s="9" t="str">
        <x:v>LF-B-A</x:v>
      </x:c>
      <x:c r="F472" s="9" t="str">
        <x:v>B1</x:v>
      </x:c>
      <x:c r="G472" s="9" t="str">
        <x:v>RCN</x:v>
      </x:c>
      <x:c r="H472" s="9" t="str">
        <x:v>RW02</x:v>
      </x:c>
      <x:c r="I472" s="17" t="str">
        <x:v>Unlike witness stream</x:v>
      </x:c>
      <x:c r="J472" s="17" t="str">
        <x:v>Witness metrology</x:v>
      </x:c>
      <x:c r="K472" s="17" t="str">
        <x:v>Public custody B</x:v>
      </x:c>
      <x:c r="L472" s="9" t="n">
        <x:v>0</x:v>
      </x:c>
      <x:c r="M472" s="9" t="n">
        <x:v>0</x:v>
      </x:c>
      <x:c r="N472" s="9" t="n">
        <x:v>0</x:v>
      </x:c>
      <x:c r="O472" s="9" t="n">
        <x:v>0</x:v>
      </x:c>
      <x:c r="P472" s="9" t="str">
        <x:v>UNSEALED / SOURCE-EMPTY</x:v>
      </x:c>
      <x:c r="Q472" s="9" t="n">
        <x:f>COUNTIFS($A$7:$A$1158,A472)</x:f>
        <x:v>1</x:v>
      </x:c>
    </x:row>
    <x:row r="473">
      <x:c r="A473" s="9" t="str">
        <x:v>EV-AR-LF-B-A-TECH-2-B1-RCN-G0-RW03</x:v>
      </x:c>
      <x:c r="B473" s="9" t="str">
        <x:v>EV-AR-LF-B-A-TECH-2-B1-RCN-G0</x:v>
      </x:c>
      <x:c r="C473" s="9" t="str">
        <x:v>AR-LF-B-A-TECH-2-B1-RCN-G0</x:v>
      </x:c>
      <x:c r="D473" s="9" t="str">
        <x:v>LF-B-A-TECH-2</x:v>
      </x:c>
      <x:c r="E473" s="9" t="str">
        <x:v>LF-B-A</x:v>
      </x:c>
      <x:c r="F473" s="9" t="str">
        <x:v>B1</x:v>
      </x:c>
      <x:c r="G473" s="9" t="str">
        <x:v>RCN</x:v>
      </x:c>
      <x:c r="H473" s="9" t="str">
        <x:v>RW03</x:v>
      </x:c>
      <x:c r="I473" s="17" t="str">
        <x:v>Event clock and start traces</x:v>
      </x:c>
      <x:c r="J473" s="17" t="str">
        <x:v>Event clock authority</x:v>
      </x:c>
      <x:c r="K473" s="17" t="str">
        <x:v>Public custody C</x:v>
      </x:c>
      <x:c r="L473" s="9" t="n">
        <x:v>0</x:v>
      </x:c>
      <x:c r="M473" s="9" t="n">
        <x:v>0</x:v>
      </x:c>
      <x:c r="N473" s="9" t="n">
        <x:v>0</x:v>
      </x:c>
      <x:c r="O473" s="9" t="n">
        <x:v>0</x:v>
      </x:c>
      <x:c r="P473" s="9" t="str">
        <x:v>UNSEALED / SOURCE-EMPTY</x:v>
      </x:c>
      <x:c r="Q473" s="9" t="n">
        <x:f>COUNTIFS($A$7:$A$1158,A473)</x:f>
        <x:v>1</x:v>
      </x:c>
    </x:row>
    <x:row r="474">
      <x:c r="A474" s="9" t="str">
        <x:v>EV-AR-LF-B-A-TECH-2-B1-RCN-G0-RW04</x:v>
      </x:c>
      <x:c r="B474" s="9" t="str">
        <x:v>EV-AR-LF-B-A-TECH-2-B1-RCN-G0</x:v>
      </x:c>
      <x:c r="C474" s="9" t="str">
        <x:v>AR-LF-B-A-TECH-2-B1-RCN-G0</x:v>
      </x:c>
      <x:c r="D474" s="9" t="str">
        <x:v>LF-B-A-TECH-2</x:v>
      </x:c>
      <x:c r="E474" s="9" t="str">
        <x:v>LF-B-A</x:v>
      </x:c>
      <x:c r="F474" s="9" t="str">
        <x:v>B1</x:v>
      </x:c>
      <x:c r="G474" s="9" t="str">
        <x:v>RCN</x:v>
      </x:c>
      <x:c r="H474" s="9" t="str">
        <x:v>RW04</x:v>
      </x:c>
      <x:c r="I474" s="17" t="str">
        <x:v>Environmental boundary stream</x:v>
      </x:c>
      <x:c r="J474" s="17" t="str">
        <x:v>Site metrology</x:v>
      </x:c>
      <x:c r="K474" s="17" t="str">
        <x:v>Public custody D</x:v>
      </x:c>
      <x:c r="L474" s="9" t="n">
        <x:v>0</x:v>
      </x:c>
      <x:c r="M474" s="9" t="n">
        <x:v>0</x:v>
      </x:c>
      <x:c r="N474" s="9" t="n">
        <x:v>0</x:v>
      </x:c>
      <x:c r="O474" s="9" t="n">
        <x:v>0</x:v>
      </x:c>
      <x:c r="P474" s="9" t="str">
        <x:v>UNSEALED / SOURCE-EMPTY</x:v>
      </x:c>
      <x:c r="Q474" s="9" t="n">
        <x:f>COUNTIFS($A$7:$A$1158,A474)</x:f>
        <x:v>1</x:v>
      </x:c>
    </x:row>
    <x:row r="475">
      <x:c r="A475" s="9" t="str">
        <x:v>EV-AR-LF-B-A-TECH-2-B1-RCN-G0-RW05</x:v>
      </x:c>
      <x:c r="B475" s="9" t="str">
        <x:v>EV-AR-LF-B-A-TECH-2-B1-RCN-G0</x:v>
      </x:c>
      <x:c r="C475" s="9" t="str">
        <x:v>AR-LF-B-A-TECH-2-B1-RCN-G0</x:v>
      </x:c>
      <x:c r="D475" s="9" t="str">
        <x:v>LF-B-A-TECH-2</x:v>
      </x:c>
      <x:c r="E475" s="9" t="str">
        <x:v>LF-B-A</x:v>
      </x:c>
      <x:c r="F475" s="9" t="str">
        <x:v>B1</x:v>
      </x:c>
      <x:c r="G475" s="9" t="str">
        <x:v>RCN</x:v>
      </x:c>
      <x:c r="H475" s="9" t="str">
        <x:v>RW05</x:v>
      </x:c>
      <x:c r="I475" s="17" t="str">
        <x:v>Command and intervention log</x:v>
      </x:c>
      <x:c r="J475" s="17" t="str">
        <x:v>Safety authority</x:v>
      </x:c>
      <x:c r="K475" s="17" t="str">
        <x:v>Public custody E</x:v>
      </x:c>
      <x:c r="L475" s="9" t="n">
        <x:v>0</x:v>
      </x:c>
      <x:c r="M475" s="9" t="n">
        <x:v>0</x:v>
      </x:c>
      <x:c r="N475" s="9" t="n">
        <x:v>0</x:v>
      </x:c>
      <x:c r="O475" s="9" t="n">
        <x:v>0</x:v>
      </x:c>
      <x:c r="P475" s="9" t="str">
        <x:v>UNSEALED / SOURCE-EMPTY</x:v>
      </x:c>
      <x:c r="Q475" s="9" t="n">
        <x:f>COUNTIFS($A$7:$A$1158,A475)</x:f>
        <x:v>1</x:v>
      </x:c>
    </x:row>
    <x:row r="476">
      <x:c r="A476" s="9" t="str">
        <x:v>EV-AR-LF-B-A-TECH-2-B1-RCN-G0-RW06</x:v>
      </x:c>
      <x:c r="B476" s="9" t="str">
        <x:v>EV-AR-LF-B-A-TECH-2-B1-RCN-G0</x:v>
      </x:c>
      <x:c r="C476" s="9" t="str">
        <x:v>AR-LF-B-A-TECH-2-B1-RCN-G0</x:v>
      </x:c>
      <x:c r="D476" s="9" t="str">
        <x:v>LF-B-A-TECH-2</x:v>
      </x:c>
      <x:c r="E476" s="9" t="str">
        <x:v>LF-B-A</x:v>
      </x:c>
      <x:c r="F476" s="9" t="str">
        <x:v>B1</x:v>
      </x:c>
      <x:c r="G476" s="9" t="str">
        <x:v>RCN</x:v>
      </x:c>
      <x:c r="H476" s="9" t="str">
        <x:v>RW06</x:v>
      </x:c>
      <x:c r="I476" s="17" t="str">
        <x:v>Receiver service ledger</x:v>
      </x:c>
      <x:c r="J476" s="17" t="str">
        <x:v>Receiver authority</x:v>
      </x:c>
      <x:c r="K476" s="17" t="str">
        <x:v>Public custody F</x:v>
      </x:c>
      <x:c r="L476" s="9" t="n">
        <x:v>0</x:v>
      </x:c>
      <x:c r="M476" s="9" t="n">
        <x:v>0</x:v>
      </x:c>
      <x:c r="N476" s="9" t="n">
        <x:v>0</x:v>
      </x:c>
      <x:c r="O476" s="9" t="n">
        <x:v>0</x:v>
      </x:c>
      <x:c r="P476" s="9" t="str">
        <x:v>UNSEALED / SOURCE-EMPTY</x:v>
      </x:c>
      <x:c r="Q476" s="9" t="n">
        <x:f>COUNTIFS($A$7:$A$1158,A476)</x:f>
        <x:v>1</x:v>
      </x:c>
    </x:row>
    <x:row r="477">
      <x:c r="A477" s="9" t="str">
        <x:v>EV-AR-LF-B-A-TECH-2-B1-RCN-G0-RW07</x:v>
      </x:c>
      <x:c r="B477" s="9" t="str">
        <x:v>EV-AR-LF-B-A-TECH-2-B1-RCN-G0</x:v>
      </x:c>
      <x:c r="C477" s="9" t="str">
        <x:v>AR-LF-B-A-TECH-2-B1-RCN-G0</x:v>
      </x:c>
      <x:c r="D477" s="9" t="str">
        <x:v>LF-B-A-TECH-2</x:v>
      </x:c>
      <x:c r="E477" s="9" t="str">
        <x:v>LF-B-A</x:v>
      </x:c>
      <x:c r="F477" s="9" t="str">
        <x:v>B1</x:v>
      </x:c>
      <x:c r="G477" s="9" t="str">
        <x:v>RCN</x:v>
      </x:c>
      <x:c r="H477" s="9" t="str">
        <x:v>RW07</x:v>
      </x:c>
      <x:c r="I477" s="17" t="str">
        <x:v>Candidate interface telemetry</x:v>
      </x:c>
      <x:c r="J477" s="17" t="str">
        <x:v>Interface custodian</x:v>
      </x:c>
      <x:c r="K477" s="17" t="str">
        <x:v>Public custody A</x:v>
      </x:c>
      <x:c r="L477" s="9" t="n">
        <x:v>0</x:v>
      </x:c>
      <x:c r="M477" s="9" t="n">
        <x:v>0</x:v>
      </x:c>
      <x:c r="N477" s="9" t="n">
        <x:v>0</x:v>
      </x:c>
      <x:c r="O477" s="9" t="n">
        <x:v>0</x:v>
      </x:c>
      <x:c r="P477" s="9" t="str">
        <x:v>UNSEALED / SOURCE-EMPTY</x:v>
      </x:c>
      <x:c r="Q477" s="9" t="n">
        <x:f>COUNTIFS($A$7:$A$1158,A477)</x:f>
        <x:v>1</x:v>
      </x:c>
    </x:row>
    <x:row r="478">
      <x:c r="A478" s="9" t="str">
        <x:v>EV-AR-LF-B-A-TECH-2-B1-RCN-G0-RW08</x:v>
      </x:c>
      <x:c r="B478" s="9" t="str">
        <x:v>EV-AR-LF-B-A-TECH-2-B1-RCN-G0</x:v>
      </x:c>
      <x:c r="C478" s="9" t="str">
        <x:v>AR-LF-B-A-TECH-2-B1-RCN-G0</x:v>
      </x:c>
      <x:c r="D478" s="9" t="str">
        <x:v>LF-B-A-TECH-2</x:v>
      </x:c>
      <x:c r="E478" s="9" t="str">
        <x:v>LF-B-A</x:v>
      </x:c>
      <x:c r="F478" s="9" t="str">
        <x:v>B1</x:v>
      </x:c>
      <x:c r="G478" s="9" t="str">
        <x:v>RCN</x:v>
      </x:c>
      <x:c r="H478" s="9" t="str">
        <x:v>RW08</x:v>
      </x:c>
      <x:c r="I478" s="17" t="str">
        <x:v>Residual and physical evidence</x:v>
      </x:c>
      <x:c r="J478" s="17" t="str">
        <x:v>Residual authority</x:v>
      </x:c>
      <x:c r="K478" s="17" t="str">
        <x:v>Public custody B</x:v>
      </x:c>
      <x:c r="L478" s="9" t="n">
        <x:v>0</x:v>
      </x:c>
      <x:c r="M478" s="9" t="n">
        <x:v>0</x:v>
      </x:c>
      <x:c r="N478" s="9" t="n">
        <x:v>0</x:v>
      </x:c>
      <x:c r="O478" s="9" t="n">
        <x:v>0</x:v>
      </x:c>
      <x:c r="P478" s="9" t="str">
        <x:v>UNSEALED / SOURCE-EMPTY</x:v>
      </x:c>
      <x:c r="Q478" s="9" t="n">
        <x:f>COUNTIFS($A$7:$A$1158,A478)</x:f>
        <x:v>1</x:v>
      </x:c>
    </x:row>
    <x:row r="479">
      <x:c r="A479" s="9" t="str">
        <x:v>EV-AR-RT-B-C-TECH-2-B1-BRK-G0-RW01</x:v>
      </x:c>
      <x:c r="B479" s="9" t="str">
        <x:v>EV-AR-RT-B-C-TECH-2-B1-BRK-G0</x:v>
      </x:c>
      <x:c r="C479" s="9" t="str">
        <x:v>AR-RT-B-C-TECH-2-B1-BRK-G0</x:v>
      </x:c>
      <x:c r="D479" s="9" t="str">
        <x:v>RT-B-C-TECH-2</x:v>
      </x:c>
      <x:c r="E479" s="9" t="str">
        <x:v>RT-B-C</x:v>
      </x:c>
      <x:c r="F479" s="9" t="str">
        <x:v>B1</x:v>
      </x:c>
      <x:c r="G479" s="9" t="str">
        <x:v>BRK</x:v>
      </x:c>
      <x:c r="H479" s="9" t="str">
        <x:v>RW01</x:v>
      </x:c>
      <x:c r="I479" s="17" t="str">
        <x:v>Primary raw stream</x:v>
      </x:c>
      <x:c r="J479" s="17" t="str">
        <x:v>Primary metrology</x:v>
      </x:c>
      <x:c r="K479" s="17" t="str">
        <x:v>Public custody A</x:v>
      </x:c>
      <x:c r="L479" s="9" t="n">
        <x:v>0</x:v>
      </x:c>
      <x:c r="M479" s="9" t="n">
        <x:v>0</x:v>
      </x:c>
      <x:c r="N479" s="9" t="n">
        <x:v>0</x:v>
      </x:c>
      <x:c r="O479" s="9" t="n">
        <x:v>0</x:v>
      </x:c>
      <x:c r="P479" s="9" t="str">
        <x:v>UNSEALED / SOURCE-EMPTY</x:v>
      </x:c>
      <x:c r="Q479" s="9" t="n">
        <x:f>COUNTIFS($A$7:$A$1158,A479)</x:f>
        <x:v>1</x:v>
      </x:c>
    </x:row>
    <x:row r="480">
      <x:c r="A480" s="9" t="str">
        <x:v>EV-AR-RT-B-C-TECH-2-B1-BRK-G0-RW02</x:v>
      </x:c>
      <x:c r="B480" s="9" t="str">
        <x:v>EV-AR-RT-B-C-TECH-2-B1-BRK-G0</x:v>
      </x:c>
      <x:c r="C480" s="9" t="str">
        <x:v>AR-RT-B-C-TECH-2-B1-BRK-G0</x:v>
      </x:c>
      <x:c r="D480" s="9" t="str">
        <x:v>RT-B-C-TECH-2</x:v>
      </x:c>
      <x:c r="E480" s="9" t="str">
        <x:v>RT-B-C</x:v>
      </x:c>
      <x:c r="F480" s="9" t="str">
        <x:v>B1</x:v>
      </x:c>
      <x:c r="G480" s="9" t="str">
        <x:v>BRK</x:v>
      </x:c>
      <x:c r="H480" s="9" t="str">
        <x:v>RW02</x:v>
      </x:c>
      <x:c r="I480" s="17" t="str">
        <x:v>Unlike witness stream</x:v>
      </x:c>
      <x:c r="J480" s="17" t="str">
        <x:v>Witness metrology</x:v>
      </x:c>
      <x:c r="K480" s="17" t="str">
        <x:v>Public custody B</x:v>
      </x:c>
      <x:c r="L480" s="9" t="n">
        <x:v>0</x:v>
      </x:c>
      <x:c r="M480" s="9" t="n">
        <x:v>0</x:v>
      </x:c>
      <x:c r="N480" s="9" t="n">
        <x:v>0</x:v>
      </x:c>
      <x:c r="O480" s="9" t="n">
        <x:v>0</x:v>
      </x:c>
      <x:c r="P480" s="9" t="str">
        <x:v>UNSEALED / SOURCE-EMPTY</x:v>
      </x:c>
      <x:c r="Q480" s="9" t="n">
        <x:f>COUNTIFS($A$7:$A$1158,A480)</x:f>
        <x:v>1</x:v>
      </x:c>
    </x:row>
    <x:row r="481">
      <x:c r="A481" s="9" t="str">
        <x:v>EV-AR-RT-B-C-TECH-2-B1-BRK-G0-RW03</x:v>
      </x:c>
      <x:c r="B481" s="9" t="str">
        <x:v>EV-AR-RT-B-C-TECH-2-B1-BRK-G0</x:v>
      </x:c>
      <x:c r="C481" s="9" t="str">
        <x:v>AR-RT-B-C-TECH-2-B1-BRK-G0</x:v>
      </x:c>
      <x:c r="D481" s="9" t="str">
        <x:v>RT-B-C-TECH-2</x:v>
      </x:c>
      <x:c r="E481" s="9" t="str">
        <x:v>RT-B-C</x:v>
      </x:c>
      <x:c r="F481" s="9" t="str">
        <x:v>B1</x:v>
      </x:c>
      <x:c r="G481" s="9" t="str">
        <x:v>BRK</x:v>
      </x:c>
      <x:c r="H481" s="9" t="str">
        <x:v>RW03</x:v>
      </x:c>
      <x:c r="I481" s="17" t="str">
        <x:v>Event clock and start traces</x:v>
      </x:c>
      <x:c r="J481" s="17" t="str">
        <x:v>Event clock authority</x:v>
      </x:c>
      <x:c r="K481" s="17" t="str">
        <x:v>Public custody C</x:v>
      </x:c>
      <x:c r="L481" s="9" t="n">
        <x:v>0</x:v>
      </x:c>
      <x:c r="M481" s="9" t="n">
        <x:v>0</x:v>
      </x:c>
      <x:c r="N481" s="9" t="n">
        <x:v>0</x:v>
      </x:c>
      <x:c r="O481" s="9" t="n">
        <x:v>0</x:v>
      </x:c>
      <x:c r="P481" s="9" t="str">
        <x:v>UNSEALED / SOURCE-EMPTY</x:v>
      </x:c>
      <x:c r="Q481" s="9" t="n">
        <x:f>COUNTIFS($A$7:$A$1158,A481)</x:f>
        <x:v>1</x:v>
      </x:c>
    </x:row>
    <x:row r="482">
      <x:c r="A482" s="9" t="str">
        <x:v>EV-AR-RT-B-C-TECH-2-B1-BRK-G0-RW04</x:v>
      </x:c>
      <x:c r="B482" s="9" t="str">
        <x:v>EV-AR-RT-B-C-TECH-2-B1-BRK-G0</x:v>
      </x:c>
      <x:c r="C482" s="9" t="str">
        <x:v>AR-RT-B-C-TECH-2-B1-BRK-G0</x:v>
      </x:c>
      <x:c r="D482" s="9" t="str">
        <x:v>RT-B-C-TECH-2</x:v>
      </x:c>
      <x:c r="E482" s="9" t="str">
        <x:v>RT-B-C</x:v>
      </x:c>
      <x:c r="F482" s="9" t="str">
        <x:v>B1</x:v>
      </x:c>
      <x:c r="G482" s="9" t="str">
        <x:v>BRK</x:v>
      </x:c>
      <x:c r="H482" s="9" t="str">
        <x:v>RW04</x:v>
      </x:c>
      <x:c r="I482" s="17" t="str">
        <x:v>Environmental boundary stream</x:v>
      </x:c>
      <x:c r="J482" s="17" t="str">
        <x:v>Site metrology</x:v>
      </x:c>
      <x:c r="K482" s="17" t="str">
        <x:v>Public custody D</x:v>
      </x:c>
      <x:c r="L482" s="9" t="n">
        <x:v>0</x:v>
      </x:c>
      <x:c r="M482" s="9" t="n">
        <x:v>0</x:v>
      </x:c>
      <x:c r="N482" s="9" t="n">
        <x:v>0</x:v>
      </x:c>
      <x:c r="O482" s="9" t="n">
        <x:v>0</x:v>
      </x:c>
      <x:c r="P482" s="9" t="str">
        <x:v>UNSEALED / SOURCE-EMPTY</x:v>
      </x:c>
      <x:c r="Q482" s="9" t="n">
        <x:f>COUNTIFS($A$7:$A$1158,A482)</x:f>
        <x:v>1</x:v>
      </x:c>
    </x:row>
    <x:row r="483">
      <x:c r="A483" s="9" t="str">
        <x:v>EV-AR-RT-B-C-TECH-2-B1-BRK-G0-RW05</x:v>
      </x:c>
      <x:c r="B483" s="9" t="str">
        <x:v>EV-AR-RT-B-C-TECH-2-B1-BRK-G0</x:v>
      </x:c>
      <x:c r="C483" s="9" t="str">
        <x:v>AR-RT-B-C-TECH-2-B1-BRK-G0</x:v>
      </x:c>
      <x:c r="D483" s="9" t="str">
        <x:v>RT-B-C-TECH-2</x:v>
      </x:c>
      <x:c r="E483" s="9" t="str">
        <x:v>RT-B-C</x:v>
      </x:c>
      <x:c r="F483" s="9" t="str">
        <x:v>B1</x:v>
      </x:c>
      <x:c r="G483" s="9" t="str">
        <x:v>BRK</x:v>
      </x:c>
      <x:c r="H483" s="9" t="str">
        <x:v>RW05</x:v>
      </x:c>
      <x:c r="I483" s="17" t="str">
        <x:v>Command and intervention log</x:v>
      </x:c>
      <x:c r="J483" s="17" t="str">
        <x:v>Safety authority</x:v>
      </x:c>
      <x:c r="K483" s="17" t="str">
        <x:v>Public custody E</x:v>
      </x:c>
      <x:c r="L483" s="9" t="n">
        <x:v>0</x:v>
      </x:c>
      <x:c r="M483" s="9" t="n">
        <x:v>0</x:v>
      </x:c>
      <x:c r="N483" s="9" t="n">
        <x:v>0</x:v>
      </x:c>
      <x:c r="O483" s="9" t="n">
        <x:v>0</x:v>
      </x:c>
      <x:c r="P483" s="9" t="str">
        <x:v>UNSEALED / SOURCE-EMPTY</x:v>
      </x:c>
      <x:c r="Q483" s="9" t="n">
        <x:f>COUNTIFS($A$7:$A$1158,A483)</x:f>
        <x:v>1</x:v>
      </x:c>
    </x:row>
    <x:row r="484">
      <x:c r="A484" s="9" t="str">
        <x:v>EV-AR-RT-B-C-TECH-2-B1-BRK-G0-RW06</x:v>
      </x:c>
      <x:c r="B484" s="9" t="str">
        <x:v>EV-AR-RT-B-C-TECH-2-B1-BRK-G0</x:v>
      </x:c>
      <x:c r="C484" s="9" t="str">
        <x:v>AR-RT-B-C-TECH-2-B1-BRK-G0</x:v>
      </x:c>
      <x:c r="D484" s="9" t="str">
        <x:v>RT-B-C-TECH-2</x:v>
      </x:c>
      <x:c r="E484" s="9" t="str">
        <x:v>RT-B-C</x:v>
      </x:c>
      <x:c r="F484" s="9" t="str">
        <x:v>B1</x:v>
      </x:c>
      <x:c r="G484" s="9" t="str">
        <x:v>BRK</x:v>
      </x:c>
      <x:c r="H484" s="9" t="str">
        <x:v>RW06</x:v>
      </x:c>
      <x:c r="I484" s="17" t="str">
        <x:v>Receiver service ledger</x:v>
      </x:c>
      <x:c r="J484" s="17" t="str">
        <x:v>Receiver authority</x:v>
      </x:c>
      <x:c r="K484" s="17" t="str">
        <x:v>Public custody F</x:v>
      </x:c>
      <x:c r="L484" s="9" t="n">
        <x:v>0</x:v>
      </x:c>
      <x:c r="M484" s="9" t="n">
        <x:v>0</x:v>
      </x:c>
      <x:c r="N484" s="9" t="n">
        <x:v>0</x:v>
      </x:c>
      <x:c r="O484" s="9" t="n">
        <x:v>0</x:v>
      </x:c>
      <x:c r="P484" s="9" t="str">
        <x:v>UNSEALED / SOURCE-EMPTY</x:v>
      </x:c>
      <x:c r="Q484" s="9" t="n">
        <x:f>COUNTIFS($A$7:$A$1158,A484)</x:f>
        <x:v>1</x:v>
      </x:c>
    </x:row>
    <x:row r="485">
      <x:c r="A485" s="9" t="str">
        <x:v>EV-AR-RT-B-C-TECH-2-B1-BRK-G0-RW07</x:v>
      </x:c>
      <x:c r="B485" s="9" t="str">
        <x:v>EV-AR-RT-B-C-TECH-2-B1-BRK-G0</x:v>
      </x:c>
      <x:c r="C485" s="9" t="str">
        <x:v>AR-RT-B-C-TECH-2-B1-BRK-G0</x:v>
      </x:c>
      <x:c r="D485" s="9" t="str">
        <x:v>RT-B-C-TECH-2</x:v>
      </x:c>
      <x:c r="E485" s="9" t="str">
        <x:v>RT-B-C</x:v>
      </x:c>
      <x:c r="F485" s="9" t="str">
        <x:v>B1</x:v>
      </x:c>
      <x:c r="G485" s="9" t="str">
        <x:v>BRK</x:v>
      </x:c>
      <x:c r="H485" s="9" t="str">
        <x:v>RW07</x:v>
      </x:c>
      <x:c r="I485" s="17" t="str">
        <x:v>Candidate interface telemetry</x:v>
      </x:c>
      <x:c r="J485" s="17" t="str">
        <x:v>Interface custodian</x:v>
      </x:c>
      <x:c r="K485" s="17" t="str">
        <x:v>Public custody A</x:v>
      </x:c>
      <x:c r="L485" s="9" t="n">
        <x:v>0</x:v>
      </x:c>
      <x:c r="M485" s="9" t="n">
        <x:v>0</x:v>
      </x:c>
      <x:c r="N485" s="9" t="n">
        <x:v>0</x:v>
      </x:c>
      <x:c r="O485" s="9" t="n">
        <x:v>0</x:v>
      </x:c>
      <x:c r="P485" s="9" t="str">
        <x:v>UNSEALED / SOURCE-EMPTY</x:v>
      </x:c>
      <x:c r="Q485" s="9" t="n">
        <x:f>COUNTIFS($A$7:$A$1158,A485)</x:f>
        <x:v>1</x:v>
      </x:c>
    </x:row>
    <x:row r="486">
      <x:c r="A486" s="9" t="str">
        <x:v>EV-AR-RT-B-C-TECH-2-B1-BRK-G0-RW08</x:v>
      </x:c>
      <x:c r="B486" s="9" t="str">
        <x:v>EV-AR-RT-B-C-TECH-2-B1-BRK-G0</x:v>
      </x:c>
      <x:c r="C486" s="9" t="str">
        <x:v>AR-RT-B-C-TECH-2-B1-BRK-G0</x:v>
      </x:c>
      <x:c r="D486" s="9" t="str">
        <x:v>RT-B-C-TECH-2</x:v>
      </x:c>
      <x:c r="E486" s="9" t="str">
        <x:v>RT-B-C</x:v>
      </x:c>
      <x:c r="F486" s="9" t="str">
        <x:v>B1</x:v>
      </x:c>
      <x:c r="G486" s="9" t="str">
        <x:v>BRK</x:v>
      </x:c>
      <x:c r="H486" s="9" t="str">
        <x:v>RW08</x:v>
      </x:c>
      <x:c r="I486" s="17" t="str">
        <x:v>Residual and physical evidence</x:v>
      </x:c>
      <x:c r="J486" s="17" t="str">
        <x:v>Residual authority</x:v>
      </x:c>
      <x:c r="K486" s="17" t="str">
        <x:v>Public custody B</x:v>
      </x:c>
      <x:c r="L486" s="9" t="n">
        <x:v>0</x:v>
      </x:c>
      <x:c r="M486" s="9" t="n">
        <x:v>0</x:v>
      </x:c>
      <x:c r="N486" s="9" t="n">
        <x:v>0</x:v>
      </x:c>
      <x:c r="O486" s="9" t="n">
        <x:v>0</x:v>
      </x:c>
      <x:c r="P486" s="9" t="str">
        <x:v>UNSEALED / SOURCE-EMPTY</x:v>
      </x:c>
      <x:c r="Q486" s="9" t="n">
        <x:f>COUNTIFS($A$7:$A$1158,A486)</x:f>
        <x:v>1</x:v>
      </x:c>
    </x:row>
    <x:row r="487">
      <x:c r="A487" s="9" t="str">
        <x:v>EV-AR-ET-A-A-TECH-2-B2-INT-G0-RW01</x:v>
      </x:c>
      <x:c r="B487" s="9" t="str">
        <x:v>EV-AR-ET-A-A-TECH-2-B2-INT-G0</x:v>
      </x:c>
      <x:c r="C487" s="9" t="str">
        <x:v>AR-ET-A-A-TECH-2-B2-INT-G0</x:v>
      </x:c>
      <x:c r="D487" s="9" t="str">
        <x:v>ET-A-A-TECH-2</x:v>
      </x:c>
      <x:c r="E487" s="9" t="str">
        <x:v>ET-A-A</x:v>
      </x:c>
      <x:c r="F487" s="9" t="str">
        <x:v>B2</x:v>
      </x:c>
      <x:c r="G487" s="9" t="str">
        <x:v>INT</x:v>
      </x:c>
      <x:c r="H487" s="9" t="str">
        <x:v>RW01</x:v>
      </x:c>
      <x:c r="I487" s="17" t="str">
        <x:v>Primary raw stream</x:v>
      </x:c>
      <x:c r="J487" s="17" t="str">
        <x:v>Primary metrology</x:v>
      </x:c>
      <x:c r="K487" s="17" t="str">
        <x:v>Public custody A</x:v>
      </x:c>
      <x:c r="L487" s="9" t="n">
        <x:v>0</x:v>
      </x:c>
      <x:c r="M487" s="9" t="n">
        <x:v>0</x:v>
      </x:c>
      <x:c r="N487" s="9" t="n">
        <x:v>0</x:v>
      </x:c>
      <x:c r="O487" s="9" t="n">
        <x:v>0</x:v>
      </x:c>
      <x:c r="P487" s="9" t="str">
        <x:v>UNSEALED / SOURCE-EMPTY</x:v>
      </x:c>
      <x:c r="Q487" s="9" t="n">
        <x:f>COUNTIFS($A$7:$A$1158,A487)</x:f>
        <x:v>1</x:v>
      </x:c>
    </x:row>
    <x:row r="488">
      <x:c r="A488" s="9" t="str">
        <x:v>EV-AR-ET-A-A-TECH-2-B2-INT-G0-RW02</x:v>
      </x:c>
      <x:c r="B488" s="9" t="str">
        <x:v>EV-AR-ET-A-A-TECH-2-B2-INT-G0</x:v>
      </x:c>
      <x:c r="C488" s="9" t="str">
        <x:v>AR-ET-A-A-TECH-2-B2-INT-G0</x:v>
      </x:c>
      <x:c r="D488" s="9" t="str">
        <x:v>ET-A-A-TECH-2</x:v>
      </x:c>
      <x:c r="E488" s="9" t="str">
        <x:v>ET-A-A</x:v>
      </x:c>
      <x:c r="F488" s="9" t="str">
        <x:v>B2</x:v>
      </x:c>
      <x:c r="G488" s="9" t="str">
        <x:v>INT</x:v>
      </x:c>
      <x:c r="H488" s="9" t="str">
        <x:v>RW02</x:v>
      </x:c>
      <x:c r="I488" s="17" t="str">
        <x:v>Unlike witness stream</x:v>
      </x:c>
      <x:c r="J488" s="17" t="str">
        <x:v>Witness metrology</x:v>
      </x:c>
      <x:c r="K488" s="17" t="str">
        <x:v>Public custody B</x:v>
      </x:c>
      <x:c r="L488" s="9" t="n">
        <x:v>0</x:v>
      </x:c>
      <x:c r="M488" s="9" t="n">
        <x:v>0</x:v>
      </x:c>
      <x:c r="N488" s="9" t="n">
        <x:v>0</x:v>
      </x:c>
      <x:c r="O488" s="9" t="n">
        <x:v>0</x:v>
      </x:c>
      <x:c r="P488" s="9" t="str">
        <x:v>UNSEALED / SOURCE-EMPTY</x:v>
      </x:c>
      <x:c r="Q488" s="9" t="n">
        <x:f>COUNTIFS($A$7:$A$1158,A488)</x:f>
        <x:v>1</x:v>
      </x:c>
    </x:row>
    <x:row r="489">
      <x:c r="A489" s="9" t="str">
        <x:v>EV-AR-ET-A-A-TECH-2-B2-INT-G0-RW03</x:v>
      </x:c>
      <x:c r="B489" s="9" t="str">
        <x:v>EV-AR-ET-A-A-TECH-2-B2-INT-G0</x:v>
      </x:c>
      <x:c r="C489" s="9" t="str">
        <x:v>AR-ET-A-A-TECH-2-B2-INT-G0</x:v>
      </x:c>
      <x:c r="D489" s="9" t="str">
        <x:v>ET-A-A-TECH-2</x:v>
      </x:c>
      <x:c r="E489" s="9" t="str">
        <x:v>ET-A-A</x:v>
      </x:c>
      <x:c r="F489" s="9" t="str">
        <x:v>B2</x:v>
      </x:c>
      <x:c r="G489" s="9" t="str">
        <x:v>INT</x:v>
      </x:c>
      <x:c r="H489" s="9" t="str">
        <x:v>RW03</x:v>
      </x:c>
      <x:c r="I489" s="17" t="str">
        <x:v>Event clock and start traces</x:v>
      </x:c>
      <x:c r="J489" s="17" t="str">
        <x:v>Event clock authority</x:v>
      </x:c>
      <x:c r="K489" s="17" t="str">
        <x:v>Public custody C</x:v>
      </x:c>
      <x:c r="L489" s="9" t="n">
        <x:v>0</x:v>
      </x:c>
      <x:c r="M489" s="9" t="n">
        <x:v>0</x:v>
      </x:c>
      <x:c r="N489" s="9" t="n">
        <x:v>0</x:v>
      </x:c>
      <x:c r="O489" s="9" t="n">
        <x:v>0</x:v>
      </x:c>
      <x:c r="P489" s="9" t="str">
        <x:v>UNSEALED / SOURCE-EMPTY</x:v>
      </x:c>
      <x:c r="Q489" s="9" t="n">
        <x:f>COUNTIFS($A$7:$A$1158,A489)</x:f>
        <x:v>1</x:v>
      </x:c>
    </x:row>
    <x:row r="490">
      <x:c r="A490" s="9" t="str">
        <x:v>EV-AR-ET-A-A-TECH-2-B2-INT-G0-RW04</x:v>
      </x:c>
      <x:c r="B490" s="9" t="str">
        <x:v>EV-AR-ET-A-A-TECH-2-B2-INT-G0</x:v>
      </x:c>
      <x:c r="C490" s="9" t="str">
        <x:v>AR-ET-A-A-TECH-2-B2-INT-G0</x:v>
      </x:c>
      <x:c r="D490" s="9" t="str">
        <x:v>ET-A-A-TECH-2</x:v>
      </x:c>
      <x:c r="E490" s="9" t="str">
        <x:v>ET-A-A</x:v>
      </x:c>
      <x:c r="F490" s="9" t="str">
        <x:v>B2</x:v>
      </x:c>
      <x:c r="G490" s="9" t="str">
        <x:v>INT</x:v>
      </x:c>
      <x:c r="H490" s="9" t="str">
        <x:v>RW04</x:v>
      </x:c>
      <x:c r="I490" s="17" t="str">
        <x:v>Environmental boundary stream</x:v>
      </x:c>
      <x:c r="J490" s="17" t="str">
        <x:v>Site metrology</x:v>
      </x:c>
      <x:c r="K490" s="17" t="str">
        <x:v>Public custody D</x:v>
      </x:c>
      <x:c r="L490" s="9" t="n">
        <x:v>0</x:v>
      </x:c>
      <x:c r="M490" s="9" t="n">
        <x:v>0</x:v>
      </x:c>
      <x:c r="N490" s="9" t="n">
        <x:v>0</x:v>
      </x:c>
      <x:c r="O490" s="9" t="n">
        <x:v>0</x:v>
      </x:c>
      <x:c r="P490" s="9" t="str">
        <x:v>UNSEALED / SOURCE-EMPTY</x:v>
      </x:c>
      <x:c r="Q490" s="9" t="n">
        <x:f>COUNTIFS($A$7:$A$1158,A490)</x:f>
        <x:v>1</x:v>
      </x:c>
    </x:row>
    <x:row r="491">
      <x:c r="A491" s="9" t="str">
        <x:v>EV-AR-ET-A-A-TECH-2-B2-INT-G0-RW05</x:v>
      </x:c>
      <x:c r="B491" s="9" t="str">
        <x:v>EV-AR-ET-A-A-TECH-2-B2-INT-G0</x:v>
      </x:c>
      <x:c r="C491" s="9" t="str">
        <x:v>AR-ET-A-A-TECH-2-B2-INT-G0</x:v>
      </x:c>
      <x:c r="D491" s="9" t="str">
        <x:v>ET-A-A-TECH-2</x:v>
      </x:c>
      <x:c r="E491" s="9" t="str">
        <x:v>ET-A-A</x:v>
      </x:c>
      <x:c r="F491" s="9" t="str">
        <x:v>B2</x:v>
      </x:c>
      <x:c r="G491" s="9" t="str">
        <x:v>INT</x:v>
      </x:c>
      <x:c r="H491" s="9" t="str">
        <x:v>RW05</x:v>
      </x:c>
      <x:c r="I491" s="17" t="str">
        <x:v>Command and intervention log</x:v>
      </x:c>
      <x:c r="J491" s="17" t="str">
        <x:v>Safety authority</x:v>
      </x:c>
      <x:c r="K491" s="17" t="str">
        <x:v>Public custody E</x:v>
      </x:c>
      <x:c r="L491" s="9" t="n">
        <x:v>0</x:v>
      </x:c>
      <x:c r="M491" s="9" t="n">
        <x:v>0</x:v>
      </x:c>
      <x:c r="N491" s="9" t="n">
        <x:v>0</x:v>
      </x:c>
      <x:c r="O491" s="9" t="n">
        <x:v>0</x:v>
      </x:c>
      <x:c r="P491" s="9" t="str">
        <x:v>UNSEALED / SOURCE-EMPTY</x:v>
      </x:c>
      <x:c r="Q491" s="9" t="n">
        <x:f>COUNTIFS($A$7:$A$1158,A491)</x:f>
        <x:v>1</x:v>
      </x:c>
    </x:row>
    <x:row r="492">
      <x:c r="A492" s="9" t="str">
        <x:v>EV-AR-ET-A-A-TECH-2-B2-INT-G0-RW06</x:v>
      </x:c>
      <x:c r="B492" s="9" t="str">
        <x:v>EV-AR-ET-A-A-TECH-2-B2-INT-G0</x:v>
      </x:c>
      <x:c r="C492" s="9" t="str">
        <x:v>AR-ET-A-A-TECH-2-B2-INT-G0</x:v>
      </x:c>
      <x:c r="D492" s="9" t="str">
        <x:v>ET-A-A-TECH-2</x:v>
      </x:c>
      <x:c r="E492" s="9" t="str">
        <x:v>ET-A-A</x:v>
      </x:c>
      <x:c r="F492" s="9" t="str">
        <x:v>B2</x:v>
      </x:c>
      <x:c r="G492" s="9" t="str">
        <x:v>INT</x:v>
      </x:c>
      <x:c r="H492" s="9" t="str">
        <x:v>RW06</x:v>
      </x:c>
      <x:c r="I492" s="17" t="str">
        <x:v>Receiver service ledger</x:v>
      </x:c>
      <x:c r="J492" s="17" t="str">
        <x:v>Receiver authority</x:v>
      </x:c>
      <x:c r="K492" s="17" t="str">
        <x:v>Public custody F</x:v>
      </x:c>
      <x:c r="L492" s="9" t="n">
        <x:v>0</x:v>
      </x:c>
      <x:c r="M492" s="9" t="n">
        <x:v>0</x:v>
      </x:c>
      <x:c r="N492" s="9" t="n">
        <x:v>0</x:v>
      </x:c>
      <x:c r="O492" s="9" t="n">
        <x:v>0</x:v>
      </x:c>
      <x:c r="P492" s="9" t="str">
        <x:v>UNSEALED / SOURCE-EMPTY</x:v>
      </x:c>
      <x:c r="Q492" s="9" t="n">
        <x:f>COUNTIFS($A$7:$A$1158,A492)</x:f>
        <x:v>1</x:v>
      </x:c>
    </x:row>
    <x:row r="493">
      <x:c r="A493" s="9" t="str">
        <x:v>EV-AR-ET-A-A-TECH-2-B2-INT-G0-RW07</x:v>
      </x:c>
      <x:c r="B493" s="9" t="str">
        <x:v>EV-AR-ET-A-A-TECH-2-B2-INT-G0</x:v>
      </x:c>
      <x:c r="C493" s="9" t="str">
        <x:v>AR-ET-A-A-TECH-2-B2-INT-G0</x:v>
      </x:c>
      <x:c r="D493" s="9" t="str">
        <x:v>ET-A-A-TECH-2</x:v>
      </x:c>
      <x:c r="E493" s="9" t="str">
        <x:v>ET-A-A</x:v>
      </x:c>
      <x:c r="F493" s="9" t="str">
        <x:v>B2</x:v>
      </x:c>
      <x:c r="G493" s="9" t="str">
        <x:v>INT</x:v>
      </x:c>
      <x:c r="H493" s="9" t="str">
        <x:v>RW07</x:v>
      </x:c>
      <x:c r="I493" s="17" t="str">
        <x:v>Candidate interface telemetry</x:v>
      </x:c>
      <x:c r="J493" s="17" t="str">
        <x:v>Interface custodian</x:v>
      </x:c>
      <x:c r="K493" s="17" t="str">
        <x:v>Public custody A</x:v>
      </x:c>
      <x:c r="L493" s="9" t="n">
        <x:v>0</x:v>
      </x:c>
      <x:c r="M493" s="9" t="n">
        <x:v>0</x:v>
      </x:c>
      <x:c r="N493" s="9" t="n">
        <x:v>0</x:v>
      </x:c>
      <x:c r="O493" s="9" t="n">
        <x:v>0</x:v>
      </x:c>
      <x:c r="P493" s="9" t="str">
        <x:v>UNSEALED / SOURCE-EMPTY</x:v>
      </x:c>
      <x:c r="Q493" s="9" t="n">
        <x:f>COUNTIFS($A$7:$A$1158,A493)</x:f>
        <x:v>1</x:v>
      </x:c>
    </x:row>
    <x:row r="494">
      <x:c r="A494" s="9" t="str">
        <x:v>EV-AR-ET-A-A-TECH-2-B2-INT-G0-RW08</x:v>
      </x:c>
      <x:c r="B494" s="9" t="str">
        <x:v>EV-AR-ET-A-A-TECH-2-B2-INT-G0</x:v>
      </x:c>
      <x:c r="C494" s="9" t="str">
        <x:v>AR-ET-A-A-TECH-2-B2-INT-G0</x:v>
      </x:c>
      <x:c r="D494" s="9" t="str">
        <x:v>ET-A-A-TECH-2</x:v>
      </x:c>
      <x:c r="E494" s="9" t="str">
        <x:v>ET-A-A</x:v>
      </x:c>
      <x:c r="F494" s="9" t="str">
        <x:v>B2</x:v>
      </x:c>
      <x:c r="G494" s="9" t="str">
        <x:v>INT</x:v>
      </x:c>
      <x:c r="H494" s="9" t="str">
        <x:v>RW08</x:v>
      </x:c>
      <x:c r="I494" s="17" t="str">
        <x:v>Residual and physical evidence</x:v>
      </x:c>
      <x:c r="J494" s="17" t="str">
        <x:v>Residual authority</x:v>
      </x:c>
      <x:c r="K494" s="17" t="str">
        <x:v>Public custody B</x:v>
      </x:c>
      <x:c r="L494" s="9" t="n">
        <x:v>0</x:v>
      </x:c>
      <x:c r="M494" s="9" t="n">
        <x:v>0</x:v>
      </x:c>
      <x:c r="N494" s="9" t="n">
        <x:v>0</x:v>
      </x:c>
      <x:c r="O494" s="9" t="n">
        <x:v>0</x:v>
      </x:c>
      <x:c r="P494" s="9" t="str">
        <x:v>UNSEALED / SOURCE-EMPTY</x:v>
      </x:c>
      <x:c r="Q494" s="9" t="n">
        <x:f>COUNTIFS($A$7:$A$1158,A494)</x:f>
        <x:v>1</x:v>
      </x:c>
    </x:row>
    <x:row r="495">
      <x:c r="A495" s="9" t="str">
        <x:v>EV-AR-ET-A-A-TECH-3-B1-INT-G0-RW01</x:v>
      </x:c>
      <x:c r="B495" s="9" t="str">
        <x:v>EV-AR-ET-A-A-TECH-3-B1-INT-G0</x:v>
      </x:c>
      <x:c r="C495" s="9" t="str">
        <x:v>AR-ET-A-A-TECH-3-B1-INT-G0</x:v>
      </x:c>
      <x:c r="D495" s="9" t="str">
        <x:v>ET-A-A-TECH-3</x:v>
      </x:c>
      <x:c r="E495" s="9" t="str">
        <x:v>ET-A-A</x:v>
      </x:c>
      <x:c r="F495" s="9" t="str">
        <x:v>B1</x:v>
      </x:c>
      <x:c r="G495" s="9" t="str">
        <x:v>INT</x:v>
      </x:c>
      <x:c r="H495" s="9" t="str">
        <x:v>RW01</x:v>
      </x:c>
      <x:c r="I495" s="17" t="str">
        <x:v>Primary raw stream</x:v>
      </x:c>
      <x:c r="J495" s="17" t="str">
        <x:v>Primary metrology</x:v>
      </x:c>
      <x:c r="K495" s="17" t="str">
        <x:v>Public custody A</x:v>
      </x:c>
      <x:c r="L495" s="9" t="n">
        <x:v>0</x:v>
      </x:c>
      <x:c r="M495" s="9" t="n">
        <x:v>0</x:v>
      </x:c>
      <x:c r="N495" s="9" t="n">
        <x:v>0</x:v>
      </x:c>
      <x:c r="O495" s="9" t="n">
        <x:v>0</x:v>
      </x:c>
      <x:c r="P495" s="9" t="str">
        <x:v>UNSEALED / SOURCE-EMPTY</x:v>
      </x:c>
      <x:c r="Q495" s="9" t="n">
        <x:f>COUNTIFS($A$7:$A$1158,A495)</x:f>
        <x:v>1</x:v>
      </x:c>
    </x:row>
    <x:row r="496">
      <x:c r="A496" s="9" t="str">
        <x:v>EV-AR-ET-A-A-TECH-3-B1-INT-G0-RW02</x:v>
      </x:c>
      <x:c r="B496" s="9" t="str">
        <x:v>EV-AR-ET-A-A-TECH-3-B1-INT-G0</x:v>
      </x:c>
      <x:c r="C496" s="9" t="str">
        <x:v>AR-ET-A-A-TECH-3-B1-INT-G0</x:v>
      </x:c>
      <x:c r="D496" s="9" t="str">
        <x:v>ET-A-A-TECH-3</x:v>
      </x:c>
      <x:c r="E496" s="9" t="str">
        <x:v>ET-A-A</x:v>
      </x:c>
      <x:c r="F496" s="9" t="str">
        <x:v>B1</x:v>
      </x:c>
      <x:c r="G496" s="9" t="str">
        <x:v>INT</x:v>
      </x:c>
      <x:c r="H496" s="9" t="str">
        <x:v>RW02</x:v>
      </x:c>
      <x:c r="I496" s="17" t="str">
        <x:v>Unlike witness stream</x:v>
      </x:c>
      <x:c r="J496" s="17" t="str">
        <x:v>Witness metrology</x:v>
      </x:c>
      <x:c r="K496" s="17" t="str">
        <x:v>Public custody B</x:v>
      </x:c>
      <x:c r="L496" s="9" t="n">
        <x:v>0</x:v>
      </x:c>
      <x:c r="M496" s="9" t="n">
        <x:v>0</x:v>
      </x:c>
      <x:c r="N496" s="9" t="n">
        <x:v>0</x:v>
      </x:c>
      <x:c r="O496" s="9" t="n">
        <x:v>0</x:v>
      </x:c>
      <x:c r="P496" s="9" t="str">
        <x:v>UNSEALED / SOURCE-EMPTY</x:v>
      </x:c>
      <x:c r="Q496" s="9" t="n">
        <x:f>COUNTIFS($A$7:$A$1158,A496)</x:f>
        <x:v>1</x:v>
      </x:c>
    </x:row>
    <x:row r="497">
      <x:c r="A497" s="9" t="str">
        <x:v>EV-AR-ET-A-A-TECH-3-B1-INT-G0-RW03</x:v>
      </x:c>
      <x:c r="B497" s="9" t="str">
        <x:v>EV-AR-ET-A-A-TECH-3-B1-INT-G0</x:v>
      </x:c>
      <x:c r="C497" s="9" t="str">
        <x:v>AR-ET-A-A-TECH-3-B1-INT-G0</x:v>
      </x:c>
      <x:c r="D497" s="9" t="str">
        <x:v>ET-A-A-TECH-3</x:v>
      </x:c>
      <x:c r="E497" s="9" t="str">
        <x:v>ET-A-A</x:v>
      </x:c>
      <x:c r="F497" s="9" t="str">
        <x:v>B1</x:v>
      </x:c>
      <x:c r="G497" s="9" t="str">
        <x:v>INT</x:v>
      </x:c>
      <x:c r="H497" s="9" t="str">
        <x:v>RW03</x:v>
      </x:c>
      <x:c r="I497" s="17" t="str">
        <x:v>Event clock and start traces</x:v>
      </x:c>
      <x:c r="J497" s="17" t="str">
        <x:v>Event clock authority</x:v>
      </x:c>
      <x:c r="K497" s="17" t="str">
        <x:v>Public custody C</x:v>
      </x:c>
      <x:c r="L497" s="9" t="n">
        <x:v>0</x:v>
      </x:c>
      <x:c r="M497" s="9" t="n">
        <x:v>0</x:v>
      </x:c>
      <x:c r="N497" s="9" t="n">
        <x:v>0</x:v>
      </x:c>
      <x:c r="O497" s="9" t="n">
        <x:v>0</x:v>
      </x:c>
      <x:c r="P497" s="9" t="str">
        <x:v>UNSEALED / SOURCE-EMPTY</x:v>
      </x:c>
      <x:c r="Q497" s="9" t="n">
        <x:f>COUNTIFS($A$7:$A$1158,A497)</x:f>
        <x:v>1</x:v>
      </x:c>
    </x:row>
    <x:row r="498">
      <x:c r="A498" s="9" t="str">
        <x:v>EV-AR-ET-A-A-TECH-3-B1-INT-G0-RW04</x:v>
      </x:c>
      <x:c r="B498" s="9" t="str">
        <x:v>EV-AR-ET-A-A-TECH-3-B1-INT-G0</x:v>
      </x:c>
      <x:c r="C498" s="9" t="str">
        <x:v>AR-ET-A-A-TECH-3-B1-INT-G0</x:v>
      </x:c>
      <x:c r="D498" s="9" t="str">
        <x:v>ET-A-A-TECH-3</x:v>
      </x:c>
      <x:c r="E498" s="9" t="str">
        <x:v>ET-A-A</x:v>
      </x:c>
      <x:c r="F498" s="9" t="str">
        <x:v>B1</x:v>
      </x:c>
      <x:c r="G498" s="9" t="str">
        <x:v>INT</x:v>
      </x:c>
      <x:c r="H498" s="9" t="str">
        <x:v>RW04</x:v>
      </x:c>
      <x:c r="I498" s="17" t="str">
        <x:v>Environmental boundary stream</x:v>
      </x:c>
      <x:c r="J498" s="17" t="str">
        <x:v>Site metrology</x:v>
      </x:c>
      <x:c r="K498" s="17" t="str">
        <x:v>Public custody D</x:v>
      </x:c>
      <x:c r="L498" s="9" t="n">
        <x:v>0</x:v>
      </x:c>
      <x:c r="M498" s="9" t="n">
        <x:v>0</x:v>
      </x:c>
      <x:c r="N498" s="9" t="n">
        <x:v>0</x:v>
      </x:c>
      <x:c r="O498" s="9" t="n">
        <x:v>0</x:v>
      </x:c>
      <x:c r="P498" s="9" t="str">
        <x:v>UNSEALED / SOURCE-EMPTY</x:v>
      </x:c>
      <x:c r="Q498" s="9" t="n">
        <x:f>COUNTIFS($A$7:$A$1158,A498)</x:f>
        <x:v>1</x:v>
      </x:c>
    </x:row>
    <x:row r="499">
      <x:c r="A499" s="9" t="str">
        <x:v>EV-AR-ET-A-A-TECH-3-B1-INT-G0-RW05</x:v>
      </x:c>
      <x:c r="B499" s="9" t="str">
        <x:v>EV-AR-ET-A-A-TECH-3-B1-INT-G0</x:v>
      </x:c>
      <x:c r="C499" s="9" t="str">
        <x:v>AR-ET-A-A-TECH-3-B1-INT-G0</x:v>
      </x:c>
      <x:c r="D499" s="9" t="str">
        <x:v>ET-A-A-TECH-3</x:v>
      </x:c>
      <x:c r="E499" s="9" t="str">
        <x:v>ET-A-A</x:v>
      </x:c>
      <x:c r="F499" s="9" t="str">
        <x:v>B1</x:v>
      </x:c>
      <x:c r="G499" s="9" t="str">
        <x:v>INT</x:v>
      </x:c>
      <x:c r="H499" s="9" t="str">
        <x:v>RW05</x:v>
      </x:c>
      <x:c r="I499" s="17" t="str">
        <x:v>Command and intervention log</x:v>
      </x:c>
      <x:c r="J499" s="17" t="str">
        <x:v>Safety authority</x:v>
      </x:c>
      <x:c r="K499" s="17" t="str">
        <x:v>Public custody E</x:v>
      </x:c>
      <x:c r="L499" s="9" t="n">
        <x:v>0</x:v>
      </x:c>
      <x:c r="M499" s="9" t="n">
        <x:v>0</x:v>
      </x:c>
      <x:c r="N499" s="9" t="n">
        <x:v>0</x:v>
      </x:c>
      <x:c r="O499" s="9" t="n">
        <x:v>0</x:v>
      </x:c>
      <x:c r="P499" s="9" t="str">
        <x:v>UNSEALED / SOURCE-EMPTY</x:v>
      </x:c>
      <x:c r="Q499" s="9" t="n">
        <x:f>COUNTIFS($A$7:$A$1158,A499)</x:f>
        <x:v>1</x:v>
      </x:c>
    </x:row>
    <x:row r="500">
      <x:c r="A500" s="9" t="str">
        <x:v>EV-AR-ET-A-A-TECH-3-B1-INT-G0-RW06</x:v>
      </x:c>
      <x:c r="B500" s="9" t="str">
        <x:v>EV-AR-ET-A-A-TECH-3-B1-INT-G0</x:v>
      </x:c>
      <x:c r="C500" s="9" t="str">
        <x:v>AR-ET-A-A-TECH-3-B1-INT-G0</x:v>
      </x:c>
      <x:c r="D500" s="9" t="str">
        <x:v>ET-A-A-TECH-3</x:v>
      </x:c>
      <x:c r="E500" s="9" t="str">
        <x:v>ET-A-A</x:v>
      </x:c>
      <x:c r="F500" s="9" t="str">
        <x:v>B1</x:v>
      </x:c>
      <x:c r="G500" s="9" t="str">
        <x:v>INT</x:v>
      </x:c>
      <x:c r="H500" s="9" t="str">
        <x:v>RW06</x:v>
      </x:c>
      <x:c r="I500" s="17" t="str">
        <x:v>Receiver service ledger</x:v>
      </x:c>
      <x:c r="J500" s="17" t="str">
        <x:v>Receiver authority</x:v>
      </x:c>
      <x:c r="K500" s="17" t="str">
        <x:v>Public custody F</x:v>
      </x:c>
      <x:c r="L500" s="9" t="n">
        <x:v>0</x:v>
      </x:c>
      <x:c r="M500" s="9" t="n">
        <x:v>0</x:v>
      </x:c>
      <x:c r="N500" s="9" t="n">
        <x:v>0</x:v>
      </x:c>
      <x:c r="O500" s="9" t="n">
        <x:v>0</x:v>
      </x:c>
      <x:c r="P500" s="9" t="str">
        <x:v>UNSEALED / SOURCE-EMPTY</x:v>
      </x:c>
      <x:c r="Q500" s="9" t="n">
        <x:f>COUNTIFS($A$7:$A$1158,A500)</x:f>
        <x:v>1</x:v>
      </x:c>
    </x:row>
    <x:row r="501">
      <x:c r="A501" s="9" t="str">
        <x:v>EV-AR-ET-A-A-TECH-3-B1-INT-G0-RW07</x:v>
      </x:c>
      <x:c r="B501" s="9" t="str">
        <x:v>EV-AR-ET-A-A-TECH-3-B1-INT-G0</x:v>
      </x:c>
      <x:c r="C501" s="9" t="str">
        <x:v>AR-ET-A-A-TECH-3-B1-INT-G0</x:v>
      </x:c>
      <x:c r="D501" s="9" t="str">
        <x:v>ET-A-A-TECH-3</x:v>
      </x:c>
      <x:c r="E501" s="9" t="str">
        <x:v>ET-A-A</x:v>
      </x:c>
      <x:c r="F501" s="9" t="str">
        <x:v>B1</x:v>
      </x:c>
      <x:c r="G501" s="9" t="str">
        <x:v>INT</x:v>
      </x:c>
      <x:c r="H501" s="9" t="str">
        <x:v>RW07</x:v>
      </x:c>
      <x:c r="I501" s="17" t="str">
        <x:v>Candidate interface telemetry</x:v>
      </x:c>
      <x:c r="J501" s="17" t="str">
        <x:v>Interface custodian</x:v>
      </x:c>
      <x:c r="K501" s="17" t="str">
        <x:v>Public custody A</x:v>
      </x:c>
      <x:c r="L501" s="9" t="n">
        <x:v>0</x:v>
      </x:c>
      <x:c r="M501" s="9" t="n">
        <x:v>0</x:v>
      </x:c>
      <x:c r="N501" s="9" t="n">
        <x:v>0</x:v>
      </x:c>
      <x:c r="O501" s="9" t="n">
        <x:v>0</x:v>
      </x:c>
      <x:c r="P501" s="9" t="str">
        <x:v>UNSEALED / SOURCE-EMPTY</x:v>
      </x:c>
      <x:c r="Q501" s="9" t="n">
        <x:f>COUNTIFS($A$7:$A$1158,A501)</x:f>
        <x:v>1</x:v>
      </x:c>
    </x:row>
    <x:row r="502">
      <x:c r="A502" s="9" t="str">
        <x:v>EV-AR-ET-A-A-TECH-3-B1-INT-G0-RW08</x:v>
      </x:c>
      <x:c r="B502" s="9" t="str">
        <x:v>EV-AR-ET-A-A-TECH-3-B1-INT-G0</x:v>
      </x:c>
      <x:c r="C502" s="9" t="str">
        <x:v>AR-ET-A-A-TECH-3-B1-INT-G0</x:v>
      </x:c>
      <x:c r="D502" s="9" t="str">
        <x:v>ET-A-A-TECH-3</x:v>
      </x:c>
      <x:c r="E502" s="9" t="str">
        <x:v>ET-A-A</x:v>
      </x:c>
      <x:c r="F502" s="9" t="str">
        <x:v>B1</x:v>
      </x:c>
      <x:c r="G502" s="9" t="str">
        <x:v>INT</x:v>
      </x:c>
      <x:c r="H502" s="9" t="str">
        <x:v>RW08</x:v>
      </x:c>
      <x:c r="I502" s="17" t="str">
        <x:v>Residual and physical evidence</x:v>
      </x:c>
      <x:c r="J502" s="17" t="str">
        <x:v>Residual authority</x:v>
      </x:c>
      <x:c r="K502" s="17" t="str">
        <x:v>Public custody B</x:v>
      </x:c>
      <x:c r="L502" s="9" t="n">
        <x:v>0</x:v>
      </x:c>
      <x:c r="M502" s="9" t="n">
        <x:v>0</x:v>
      </x:c>
      <x:c r="N502" s="9" t="n">
        <x:v>0</x:v>
      </x:c>
      <x:c r="O502" s="9" t="n">
        <x:v>0</x:v>
      </x:c>
      <x:c r="P502" s="9" t="str">
        <x:v>UNSEALED / SOURCE-EMPTY</x:v>
      </x:c>
      <x:c r="Q502" s="9" t="n">
        <x:f>COUNTIFS($A$7:$A$1158,A502)</x:f>
        <x:v>1</x:v>
      </x:c>
    </x:row>
    <x:row r="503">
      <x:c r="A503" s="9" t="str">
        <x:v>EV-AR-HU-A-B-TECH-4-B2-INT-G0-RW01</x:v>
      </x:c>
      <x:c r="B503" s="9" t="str">
        <x:v>EV-AR-HU-A-B-TECH-4-B2-INT-G0</x:v>
      </x:c>
      <x:c r="C503" s="9" t="str">
        <x:v>AR-HU-A-B-TECH-4-B2-INT-G0</x:v>
      </x:c>
      <x:c r="D503" s="9" t="str">
        <x:v>HU-A-B-TECH-4</x:v>
      </x:c>
      <x:c r="E503" s="9" t="str">
        <x:v>HU-A-B</x:v>
      </x:c>
      <x:c r="F503" s="9" t="str">
        <x:v>B2</x:v>
      </x:c>
      <x:c r="G503" s="9" t="str">
        <x:v>INT</x:v>
      </x:c>
      <x:c r="H503" s="9" t="str">
        <x:v>RW01</x:v>
      </x:c>
      <x:c r="I503" s="17" t="str">
        <x:v>Primary raw stream</x:v>
      </x:c>
      <x:c r="J503" s="17" t="str">
        <x:v>Primary metrology</x:v>
      </x:c>
      <x:c r="K503" s="17" t="str">
        <x:v>Public custody A</x:v>
      </x:c>
      <x:c r="L503" s="9" t="n">
        <x:v>0</x:v>
      </x:c>
      <x:c r="M503" s="9" t="n">
        <x:v>0</x:v>
      </x:c>
      <x:c r="N503" s="9" t="n">
        <x:v>0</x:v>
      </x:c>
      <x:c r="O503" s="9" t="n">
        <x:v>0</x:v>
      </x:c>
      <x:c r="P503" s="9" t="str">
        <x:v>UNSEALED / SOURCE-EMPTY</x:v>
      </x:c>
      <x:c r="Q503" s="9" t="n">
        <x:f>COUNTIFS($A$7:$A$1158,A503)</x:f>
        <x:v>1</x:v>
      </x:c>
    </x:row>
    <x:row r="504">
      <x:c r="A504" s="9" t="str">
        <x:v>EV-AR-HU-A-B-TECH-4-B2-INT-G0-RW02</x:v>
      </x:c>
      <x:c r="B504" s="9" t="str">
        <x:v>EV-AR-HU-A-B-TECH-4-B2-INT-G0</x:v>
      </x:c>
      <x:c r="C504" s="9" t="str">
        <x:v>AR-HU-A-B-TECH-4-B2-INT-G0</x:v>
      </x:c>
      <x:c r="D504" s="9" t="str">
        <x:v>HU-A-B-TECH-4</x:v>
      </x:c>
      <x:c r="E504" s="9" t="str">
        <x:v>HU-A-B</x:v>
      </x:c>
      <x:c r="F504" s="9" t="str">
        <x:v>B2</x:v>
      </x:c>
      <x:c r="G504" s="9" t="str">
        <x:v>INT</x:v>
      </x:c>
      <x:c r="H504" s="9" t="str">
        <x:v>RW02</x:v>
      </x:c>
      <x:c r="I504" s="17" t="str">
        <x:v>Unlike witness stream</x:v>
      </x:c>
      <x:c r="J504" s="17" t="str">
        <x:v>Witness metrology</x:v>
      </x:c>
      <x:c r="K504" s="17" t="str">
        <x:v>Public custody B</x:v>
      </x:c>
      <x:c r="L504" s="9" t="n">
        <x:v>0</x:v>
      </x:c>
      <x:c r="M504" s="9" t="n">
        <x:v>0</x:v>
      </x:c>
      <x:c r="N504" s="9" t="n">
        <x:v>0</x:v>
      </x:c>
      <x:c r="O504" s="9" t="n">
        <x:v>0</x:v>
      </x:c>
      <x:c r="P504" s="9" t="str">
        <x:v>UNSEALED / SOURCE-EMPTY</x:v>
      </x:c>
      <x:c r="Q504" s="9" t="n">
        <x:f>COUNTIFS($A$7:$A$1158,A504)</x:f>
        <x:v>1</x:v>
      </x:c>
    </x:row>
    <x:row r="505">
      <x:c r="A505" s="9" t="str">
        <x:v>EV-AR-HU-A-B-TECH-4-B2-INT-G0-RW03</x:v>
      </x:c>
      <x:c r="B505" s="9" t="str">
        <x:v>EV-AR-HU-A-B-TECH-4-B2-INT-G0</x:v>
      </x:c>
      <x:c r="C505" s="9" t="str">
        <x:v>AR-HU-A-B-TECH-4-B2-INT-G0</x:v>
      </x:c>
      <x:c r="D505" s="9" t="str">
        <x:v>HU-A-B-TECH-4</x:v>
      </x:c>
      <x:c r="E505" s="9" t="str">
        <x:v>HU-A-B</x:v>
      </x:c>
      <x:c r="F505" s="9" t="str">
        <x:v>B2</x:v>
      </x:c>
      <x:c r="G505" s="9" t="str">
        <x:v>INT</x:v>
      </x:c>
      <x:c r="H505" s="9" t="str">
        <x:v>RW03</x:v>
      </x:c>
      <x:c r="I505" s="17" t="str">
        <x:v>Event clock and start traces</x:v>
      </x:c>
      <x:c r="J505" s="17" t="str">
        <x:v>Event clock authority</x:v>
      </x:c>
      <x:c r="K505" s="17" t="str">
        <x:v>Public custody C</x:v>
      </x:c>
      <x:c r="L505" s="9" t="n">
        <x:v>0</x:v>
      </x:c>
      <x:c r="M505" s="9" t="n">
        <x:v>0</x:v>
      </x:c>
      <x:c r="N505" s="9" t="n">
        <x:v>0</x:v>
      </x:c>
      <x:c r="O505" s="9" t="n">
        <x:v>0</x:v>
      </x:c>
      <x:c r="P505" s="9" t="str">
        <x:v>UNSEALED / SOURCE-EMPTY</x:v>
      </x:c>
      <x:c r="Q505" s="9" t="n">
        <x:f>COUNTIFS($A$7:$A$1158,A505)</x:f>
        <x:v>1</x:v>
      </x:c>
    </x:row>
    <x:row r="506">
      <x:c r="A506" s="9" t="str">
        <x:v>EV-AR-HU-A-B-TECH-4-B2-INT-G0-RW04</x:v>
      </x:c>
      <x:c r="B506" s="9" t="str">
        <x:v>EV-AR-HU-A-B-TECH-4-B2-INT-G0</x:v>
      </x:c>
      <x:c r="C506" s="9" t="str">
        <x:v>AR-HU-A-B-TECH-4-B2-INT-G0</x:v>
      </x:c>
      <x:c r="D506" s="9" t="str">
        <x:v>HU-A-B-TECH-4</x:v>
      </x:c>
      <x:c r="E506" s="9" t="str">
        <x:v>HU-A-B</x:v>
      </x:c>
      <x:c r="F506" s="9" t="str">
        <x:v>B2</x:v>
      </x:c>
      <x:c r="G506" s="9" t="str">
        <x:v>INT</x:v>
      </x:c>
      <x:c r="H506" s="9" t="str">
        <x:v>RW04</x:v>
      </x:c>
      <x:c r="I506" s="17" t="str">
        <x:v>Environmental boundary stream</x:v>
      </x:c>
      <x:c r="J506" s="17" t="str">
        <x:v>Site metrology</x:v>
      </x:c>
      <x:c r="K506" s="17" t="str">
        <x:v>Public custody D</x:v>
      </x:c>
      <x:c r="L506" s="9" t="n">
        <x:v>0</x:v>
      </x:c>
      <x:c r="M506" s="9" t="n">
        <x:v>0</x:v>
      </x:c>
      <x:c r="N506" s="9" t="n">
        <x:v>0</x:v>
      </x:c>
      <x:c r="O506" s="9" t="n">
        <x:v>0</x:v>
      </x:c>
      <x:c r="P506" s="9" t="str">
        <x:v>UNSEALED / SOURCE-EMPTY</x:v>
      </x:c>
      <x:c r="Q506" s="9" t="n">
        <x:f>COUNTIFS($A$7:$A$1158,A506)</x:f>
        <x:v>1</x:v>
      </x:c>
    </x:row>
    <x:row r="507">
      <x:c r="A507" s="9" t="str">
        <x:v>EV-AR-HU-A-B-TECH-4-B2-INT-G0-RW05</x:v>
      </x:c>
      <x:c r="B507" s="9" t="str">
        <x:v>EV-AR-HU-A-B-TECH-4-B2-INT-G0</x:v>
      </x:c>
      <x:c r="C507" s="9" t="str">
        <x:v>AR-HU-A-B-TECH-4-B2-INT-G0</x:v>
      </x:c>
      <x:c r="D507" s="9" t="str">
        <x:v>HU-A-B-TECH-4</x:v>
      </x:c>
      <x:c r="E507" s="9" t="str">
        <x:v>HU-A-B</x:v>
      </x:c>
      <x:c r="F507" s="9" t="str">
        <x:v>B2</x:v>
      </x:c>
      <x:c r="G507" s="9" t="str">
        <x:v>INT</x:v>
      </x:c>
      <x:c r="H507" s="9" t="str">
        <x:v>RW05</x:v>
      </x:c>
      <x:c r="I507" s="17" t="str">
        <x:v>Command and intervention log</x:v>
      </x:c>
      <x:c r="J507" s="17" t="str">
        <x:v>Safety authority</x:v>
      </x:c>
      <x:c r="K507" s="17" t="str">
        <x:v>Public custody E</x:v>
      </x:c>
      <x:c r="L507" s="9" t="n">
        <x:v>0</x:v>
      </x:c>
      <x:c r="M507" s="9" t="n">
        <x:v>0</x:v>
      </x:c>
      <x:c r="N507" s="9" t="n">
        <x:v>0</x:v>
      </x:c>
      <x:c r="O507" s="9" t="n">
        <x:v>0</x:v>
      </x:c>
      <x:c r="P507" s="9" t="str">
        <x:v>UNSEALED / SOURCE-EMPTY</x:v>
      </x:c>
      <x:c r="Q507" s="9" t="n">
        <x:f>COUNTIFS($A$7:$A$1158,A507)</x:f>
        <x:v>1</x:v>
      </x:c>
    </x:row>
    <x:row r="508">
      <x:c r="A508" s="9" t="str">
        <x:v>EV-AR-HU-A-B-TECH-4-B2-INT-G0-RW06</x:v>
      </x:c>
      <x:c r="B508" s="9" t="str">
        <x:v>EV-AR-HU-A-B-TECH-4-B2-INT-G0</x:v>
      </x:c>
      <x:c r="C508" s="9" t="str">
        <x:v>AR-HU-A-B-TECH-4-B2-INT-G0</x:v>
      </x:c>
      <x:c r="D508" s="9" t="str">
        <x:v>HU-A-B-TECH-4</x:v>
      </x:c>
      <x:c r="E508" s="9" t="str">
        <x:v>HU-A-B</x:v>
      </x:c>
      <x:c r="F508" s="9" t="str">
        <x:v>B2</x:v>
      </x:c>
      <x:c r="G508" s="9" t="str">
        <x:v>INT</x:v>
      </x:c>
      <x:c r="H508" s="9" t="str">
        <x:v>RW06</x:v>
      </x:c>
      <x:c r="I508" s="17" t="str">
        <x:v>Receiver service ledger</x:v>
      </x:c>
      <x:c r="J508" s="17" t="str">
        <x:v>Receiver authority</x:v>
      </x:c>
      <x:c r="K508" s="17" t="str">
        <x:v>Public custody F</x:v>
      </x:c>
      <x:c r="L508" s="9" t="n">
        <x:v>0</x:v>
      </x:c>
      <x:c r="M508" s="9" t="n">
        <x:v>0</x:v>
      </x:c>
      <x:c r="N508" s="9" t="n">
        <x:v>0</x:v>
      </x:c>
      <x:c r="O508" s="9" t="n">
        <x:v>0</x:v>
      </x:c>
      <x:c r="P508" s="9" t="str">
        <x:v>UNSEALED / SOURCE-EMPTY</x:v>
      </x:c>
      <x:c r="Q508" s="9" t="n">
        <x:f>COUNTIFS($A$7:$A$1158,A508)</x:f>
        <x:v>1</x:v>
      </x:c>
    </x:row>
    <x:row r="509">
      <x:c r="A509" s="9" t="str">
        <x:v>EV-AR-HU-A-B-TECH-4-B2-INT-G0-RW07</x:v>
      </x:c>
      <x:c r="B509" s="9" t="str">
        <x:v>EV-AR-HU-A-B-TECH-4-B2-INT-G0</x:v>
      </x:c>
      <x:c r="C509" s="9" t="str">
        <x:v>AR-HU-A-B-TECH-4-B2-INT-G0</x:v>
      </x:c>
      <x:c r="D509" s="9" t="str">
        <x:v>HU-A-B-TECH-4</x:v>
      </x:c>
      <x:c r="E509" s="9" t="str">
        <x:v>HU-A-B</x:v>
      </x:c>
      <x:c r="F509" s="9" t="str">
        <x:v>B2</x:v>
      </x:c>
      <x:c r="G509" s="9" t="str">
        <x:v>INT</x:v>
      </x:c>
      <x:c r="H509" s="9" t="str">
        <x:v>RW07</x:v>
      </x:c>
      <x:c r="I509" s="17" t="str">
        <x:v>Candidate interface telemetry</x:v>
      </x:c>
      <x:c r="J509" s="17" t="str">
        <x:v>Interface custodian</x:v>
      </x:c>
      <x:c r="K509" s="17" t="str">
        <x:v>Public custody A</x:v>
      </x:c>
      <x:c r="L509" s="9" t="n">
        <x:v>0</x:v>
      </x:c>
      <x:c r="M509" s="9" t="n">
        <x:v>0</x:v>
      </x:c>
      <x:c r="N509" s="9" t="n">
        <x:v>0</x:v>
      </x:c>
      <x:c r="O509" s="9" t="n">
        <x:v>0</x:v>
      </x:c>
      <x:c r="P509" s="9" t="str">
        <x:v>UNSEALED / SOURCE-EMPTY</x:v>
      </x:c>
      <x:c r="Q509" s="9" t="n">
        <x:f>COUNTIFS($A$7:$A$1158,A509)</x:f>
        <x:v>1</x:v>
      </x:c>
    </x:row>
    <x:row r="510">
      <x:c r="A510" s="9" t="str">
        <x:v>EV-AR-HU-A-B-TECH-4-B2-INT-G0-RW08</x:v>
      </x:c>
      <x:c r="B510" s="9" t="str">
        <x:v>EV-AR-HU-A-B-TECH-4-B2-INT-G0</x:v>
      </x:c>
      <x:c r="C510" s="9" t="str">
        <x:v>AR-HU-A-B-TECH-4-B2-INT-G0</x:v>
      </x:c>
      <x:c r="D510" s="9" t="str">
        <x:v>HU-A-B-TECH-4</x:v>
      </x:c>
      <x:c r="E510" s="9" t="str">
        <x:v>HU-A-B</x:v>
      </x:c>
      <x:c r="F510" s="9" t="str">
        <x:v>B2</x:v>
      </x:c>
      <x:c r="G510" s="9" t="str">
        <x:v>INT</x:v>
      </x:c>
      <x:c r="H510" s="9" t="str">
        <x:v>RW08</x:v>
      </x:c>
      <x:c r="I510" s="17" t="str">
        <x:v>Residual and physical evidence</x:v>
      </x:c>
      <x:c r="J510" s="17" t="str">
        <x:v>Residual authority</x:v>
      </x:c>
      <x:c r="K510" s="17" t="str">
        <x:v>Public custody B</x:v>
      </x:c>
      <x:c r="L510" s="9" t="n">
        <x:v>0</x:v>
      </x:c>
      <x:c r="M510" s="9" t="n">
        <x:v>0</x:v>
      </x:c>
      <x:c r="N510" s="9" t="n">
        <x:v>0</x:v>
      </x:c>
      <x:c r="O510" s="9" t="n">
        <x:v>0</x:v>
      </x:c>
      <x:c r="P510" s="9" t="str">
        <x:v>UNSEALED / SOURCE-EMPTY</x:v>
      </x:c>
      <x:c r="Q510" s="9" t="n">
        <x:f>COUNTIFS($A$7:$A$1158,A510)</x:f>
        <x:v>1</x:v>
      </x:c>
    </x:row>
    <x:row r="511">
      <x:c r="A511" s="9" t="str">
        <x:v>EV-AR-LF-B-A-TECH-4-B1-BRK-G0-RW01</x:v>
      </x:c>
      <x:c r="B511" s="9" t="str">
        <x:v>EV-AR-LF-B-A-TECH-4-B1-BRK-G0</x:v>
      </x:c>
      <x:c r="C511" s="9" t="str">
        <x:v>AR-LF-B-A-TECH-4-B1-BRK-G0</x:v>
      </x:c>
      <x:c r="D511" s="9" t="str">
        <x:v>LF-B-A-TECH-4</x:v>
      </x:c>
      <x:c r="E511" s="9" t="str">
        <x:v>LF-B-A</x:v>
      </x:c>
      <x:c r="F511" s="9" t="str">
        <x:v>B1</x:v>
      </x:c>
      <x:c r="G511" s="9" t="str">
        <x:v>BRK</x:v>
      </x:c>
      <x:c r="H511" s="9" t="str">
        <x:v>RW01</x:v>
      </x:c>
      <x:c r="I511" s="17" t="str">
        <x:v>Primary raw stream</x:v>
      </x:c>
      <x:c r="J511" s="17" t="str">
        <x:v>Primary metrology</x:v>
      </x:c>
      <x:c r="K511" s="17" t="str">
        <x:v>Public custody A</x:v>
      </x:c>
      <x:c r="L511" s="9" t="n">
        <x:v>0</x:v>
      </x:c>
      <x:c r="M511" s="9" t="n">
        <x:v>0</x:v>
      </x:c>
      <x:c r="N511" s="9" t="n">
        <x:v>0</x:v>
      </x:c>
      <x:c r="O511" s="9" t="n">
        <x:v>0</x:v>
      </x:c>
      <x:c r="P511" s="9" t="str">
        <x:v>UNSEALED / SOURCE-EMPTY</x:v>
      </x:c>
      <x:c r="Q511" s="9" t="n">
        <x:f>COUNTIFS($A$7:$A$1158,A511)</x:f>
        <x:v>1</x:v>
      </x:c>
    </x:row>
    <x:row r="512">
      <x:c r="A512" s="9" t="str">
        <x:v>EV-AR-LF-B-A-TECH-4-B1-BRK-G0-RW02</x:v>
      </x:c>
      <x:c r="B512" s="9" t="str">
        <x:v>EV-AR-LF-B-A-TECH-4-B1-BRK-G0</x:v>
      </x:c>
      <x:c r="C512" s="9" t="str">
        <x:v>AR-LF-B-A-TECH-4-B1-BRK-G0</x:v>
      </x:c>
      <x:c r="D512" s="9" t="str">
        <x:v>LF-B-A-TECH-4</x:v>
      </x:c>
      <x:c r="E512" s="9" t="str">
        <x:v>LF-B-A</x:v>
      </x:c>
      <x:c r="F512" s="9" t="str">
        <x:v>B1</x:v>
      </x:c>
      <x:c r="G512" s="9" t="str">
        <x:v>BRK</x:v>
      </x:c>
      <x:c r="H512" s="9" t="str">
        <x:v>RW02</x:v>
      </x:c>
      <x:c r="I512" s="17" t="str">
        <x:v>Unlike witness stream</x:v>
      </x:c>
      <x:c r="J512" s="17" t="str">
        <x:v>Witness metrology</x:v>
      </x:c>
      <x:c r="K512" s="17" t="str">
        <x:v>Public custody B</x:v>
      </x:c>
      <x:c r="L512" s="9" t="n">
        <x:v>0</x:v>
      </x:c>
      <x:c r="M512" s="9" t="n">
        <x:v>0</x:v>
      </x:c>
      <x:c r="N512" s="9" t="n">
        <x:v>0</x:v>
      </x:c>
      <x:c r="O512" s="9" t="n">
        <x:v>0</x:v>
      </x:c>
      <x:c r="P512" s="9" t="str">
        <x:v>UNSEALED / SOURCE-EMPTY</x:v>
      </x:c>
      <x:c r="Q512" s="9" t="n">
        <x:f>COUNTIFS($A$7:$A$1158,A512)</x:f>
        <x:v>1</x:v>
      </x:c>
    </x:row>
    <x:row r="513">
      <x:c r="A513" s="9" t="str">
        <x:v>EV-AR-LF-B-A-TECH-4-B1-BRK-G0-RW03</x:v>
      </x:c>
      <x:c r="B513" s="9" t="str">
        <x:v>EV-AR-LF-B-A-TECH-4-B1-BRK-G0</x:v>
      </x:c>
      <x:c r="C513" s="9" t="str">
        <x:v>AR-LF-B-A-TECH-4-B1-BRK-G0</x:v>
      </x:c>
      <x:c r="D513" s="9" t="str">
        <x:v>LF-B-A-TECH-4</x:v>
      </x:c>
      <x:c r="E513" s="9" t="str">
        <x:v>LF-B-A</x:v>
      </x:c>
      <x:c r="F513" s="9" t="str">
        <x:v>B1</x:v>
      </x:c>
      <x:c r="G513" s="9" t="str">
        <x:v>BRK</x:v>
      </x:c>
      <x:c r="H513" s="9" t="str">
        <x:v>RW03</x:v>
      </x:c>
      <x:c r="I513" s="17" t="str">
        <x:v>Event clock and start traces</x:v>
      </x:c>
      <x:c r="J513" s="17" t="str">
        <x:v>Event clock authority</x:v>
      </x:c>
      <x:c r="K513" s="17" t="str">
        <x:v>Public custody C</x:v>
      </x:c>
      <x:c r="L513" s="9" t="n">
        <x:v>0</x:v>
      </x:c>
      <x:c r="M513" s="9" t="n">
        <x:v>0</x:v>
      </x:c>
      <x:c r="N513" s="9" t="n">
        <x:v>0</x:v>
      </x:c>
      <x:c r="O513" s="9" t="n">
        <x:v>0</x:v>
      </x:c>
      <x:c r="P513" s="9" t="str">
        <x:v>UNSEALED / SOURCE-EMPTY</x:v>
      </x:c>
      <x:c r="Q513" s="9" t="n">
        <x:f>COUNTIFS($A$7:$A$1158,A513)</x:f>
        <x:v>1</x:v>
      </x:c>
    </x:row>
    <x:row r="514">
      <x:c r="A514" s="9" t="str">
        <x:v>EV-AR-LF-B-A-TECH-4-B1-BRK-G0-RW04</x:v>
      </x:c>
      <x:c r="B514" s="9" t="str">
        <x:v>EV-AR-LF-B-A-TECH-4-B1-BRK-G0</x:v>
      </x:c>
      <x:c r="C514" s="9" t="str">
        <x:v>AR-LF-B-A-TECH-4-B1-BRK-G0</x:v>
      </x:c>
      <x:c r="D514" s="9" t="str">
        <x:v>LF-B-A-TECH-4</x:v>
      </x:c>
      <x:c r="E514" s="9" t="str">
        <x:v>LF-B-A</x:v>
      </x:c>
      <x:c r="F514" s="9" t="str">
        <x:v>B1</x:v>
      </x:c>
      <x:c r="G514" s="9" t="str">
        <x:v>BRK</x:v>
      </x:c>
      <x:c r="H514" s="9" t="str">
        <x:v>RW04</x:v>
      </x:c>
      <x:c r="I514" s="17" t="str">
        <x:v>Environmental boundary stream</x:v>
      </x:c>
      <x:c r="J514" s="17" t="str">
        <x:v>Site metrology</x:v>
      </x:c>
      <x:c r="K514" s="17" t="str">
        <x:v>Public custody D</x:v>
      </x:c>
      <x:c r="L514" s="9" t="n">
        <x:v>0</x:v>
      </x:c>
      <x:c r="M514" s="9" t="n">
        <x:v>0</x:v>
      </x:c>
      <x:c r="N514" s="9" t="n">
        <x:v>0</x:v>
      </x:c>
      <x:c r="O514" s="9" t="n">
        <x:v>0</x:v>
      </x:c>
      <x:c r="P514" s="9" t="str">
        <x:v>UNSEALED / SOURCE-EMPTY</x:v>
      </x:c>
      <x:c r="Q514" s="9" t="n">
        <x:f>COUNTIFS($A$7:$A$1158,A514)</x:f>
        <x:v>1</x:v>
      </x:c>
    </x:row>
    <x:row r="515">
      <x:c r="A515" s="9" t="str">
        <x:v>EV-AR-LF-B-A-TECH-4-B1-BRK-G0-RW05</x:v>
      </x:c>
      <x:c r="B515" s="9" t="str">
        <x:v>EV-AR-LF-B-A-TECH-4-B1-BRK-G0</x:v>
      </x:c>
      <x:c r="C515" s="9" t="str">
        <x:v>AR-LF-B-A-TECH-4-B1-BRK-G0</x:v>
      </x:c>
      <x:c r="D515" s="9" t="str">
        <x:v>LF-B-A-TECH-4</x:v>
      </x:c>
      <x:c r="E515" s="9" t="str">
        <x:v>LF-B-A</x:v>
      </x:c>
      <x:c r="F515" s="9" t="str">
        <x:v>B1</x:v>
      </x:c>
      <x:c r="G515" s="9" t="str">
        <x:v>BRK</x:v>
      </x:c>
      <x:c r="H515" s="9" t="str">
        <x:v>RW05</x:v>
      </x:c>
      <x:c r="I515" s="17" t="str">
        <x:v>Command and intervention log</x:v>
      </x:c>
      <x:c r="J515" s="17" t="str">
        <x:v>Safety authority</x:v>
      </x:c>
      <x:c r="K515" s="17" t="str">
        <x:v>Public custody E</x:v>
      </x:c>
      <x:c r="L515" s="9" t="n">
        <x:v>0</x:v>
      </x:c>
      <x:c r="M515" s="9" t="n">
        <x:v>0</x:v>
      </x:c>
      <x:c r="N515" s="9" t="n">
        <x:v>0</x:v>
      </x:c>
      <x:c r="O515" s="9" t="n">
        <x:v>0</x:v>
      </x:c>
      <x:c r="P515" s="9" t="str">
        <x:v>UNSEALED / SOURCE-EMPTY</x:v>
      </x:c>
      <x:c r="Q515" s="9" t="n">
        <x:f>COUNTIFS($A$7:$A$1158,A515)</x:f>
        <x:v>1</x:v>
      </x:c>
    </x:row>
    <x:row r="516">
      <x:c r="A516" s="9" t="str">
        <x:v>EV-AR-LF-B-A-TECH-4-B1-BRK-G0-RW06</x:v>
      </x:c>
      <x:c r="B516" s="9" t="str">
        <x:v>EV-AR-LF-B-A-TECH-4-B1-BRK-G0</x:v>
      </x:c>
      <x:c r="C516" s="9" t="str">
        <x:v>AR-LF-B-A-TECH-4-B1-BRK-G0</x:v>
      </x:c>
      <x:c r="D516" s="9" t="str">
        <x:v>LF-B-A-TECH-4</x:v>
      </x:c>
      <x:c r="E516" s="9" t="str">
        <x:v>LF-B-A</x:v>
      </x:c>
      <x:c r="F516" s="9" t="str">
        <x:v>B1</x:v>
      </x:c>
      <x:c r="G516" s="9" t="str">
        <x:v>BRK</x:v>
      </x:c>
      <x:c r="H516" s="9" t="str">
        <x:v>RW06</x:v>
      </x:c>
      <x:c r="I516" s="17" t="str">
        <x:v>Receiver service ledger</x:v>
      </x:c>
      <x:c r="J516" s="17" t="str">
        <x:v>Receiver authority</x:v>
      </x:c>
      <x:c r="K516" s="17" t="str">
        <x:v>Public custody F</x:v>
      </x:c>
      <x:c r="L516" s="9" t="n">
        <x:v>0</x:v>
      </x:c>
      <x:c r="M516" s="9" t="n">
        <x:v>0</x:v>
      </x:c>
      <x:c r="N516" s="9" t="n">
        <x:v>0</x:v>
      </x:c>
      <x:c r="O516" s="9" t="n">
        <x:v>0</x:v>
      </x:c>
      <x:c r="P516" s="9" t="str">
        <x:v>UNSEALED / SOURCE-EMPTY</x:v>
      </x:c>
      <x:c r="Q516" s="9" t="n">
        <x:f>COUNTIFS($A$7:$A$1158,A516)</x:f>
        <x:v>1</x:v>
      </x:c>
    </x:row>
    <x:row r="517">
      <x:c r="A517" s="9" t="str">
        <x:v>EV-AR-LF-B-A-TECH-4-B1-BRK-G0-RW07</x:v>
      </x:c>
      <x:c r="B517" s="9" t="str">
        <x:v>EV-AR-LF-B-A-TECH-4-B1-BRK-G0</x:v>
      </x:c>
      <x:c r="C517" s="9" t="str">
        <x:v>AR-LF-B-A-TECH-4-B1-BRK-G0</x:v>
      </x:c>
      <x:c r="D517" s="9" t="str">
        <x:v>LF-B-A-TECH-4</x:v>
      </x:c>
      <x:c r="E517" s="9" t="str">
        <x:v>LF-B-A</x:v>
      </x:c>
      <x:c r="F517" s="9" t="str">
        <x:v>B1</x:v>
      </x:c>
      <x:c r="G517" s="9" t="str">
        <x:v>BRK</x:v>
      </x:c>
      <x:c r="H517" s="9" t="str">
        <x:v>RW07</x:v>
      </x:c>
      <x:c r="I517" s="17" t="str">
        <x:v>Candidate interface telemetry</x:v>
      </x:c>
      <x:c r="J517" s="17" t="str">
        <x:v>Interface custodian</x:v>
      </x:c>
      <x:c r="K517" s="17" t="str">
        <x:v>Public custody A</x:v>
      </x:c>
      <x:c r="L517" s="9" t="n">
        <x:v>0</x:v>
      </x:c>
      <x:c r="M517" s="9" t="n">
        <x:v>0</x:v>
      </x:c>
      <x:c r="N517" s="9" t="n">
        <x:v>0</x:v>
      </x:c>
      <x:c r="O517" s="9" t="n">
        <x:v>0</x:v>
      </x:c>
      <x:c r="P517" s="9" t="str">
        <x:v>UNSEALED / SOURCE-EMPTY</x:v>
      </x:c>
      <x:c r="Q517" s="9" t="n">
        <x:f>COUNTIFS($A$7:$A$1158,A517)</x:f>
        <x:v>1</x:v>
      </x:c>
    </x:row>
    <x:row r="518">
      <x:c r="A518" s="9" t="str">
        <x:v>EV-AR-LF-B-A-TECH-4-B1-BRK-G0-RW08</x:v>
      </x:c>
      <x:c r="B518" s="9" t="str">
        <x:v>EV-AR-LF-B-A-TECH-4-B1-BRK-G0</x:v>
      </x:c>
      <x:c r="C518" s="9" t="str">
        <x:v>AR-LF-B-A-TECH-4-B1-BRK-G0</x:v>
      </x:c>
      <x:c r="D518" s="9" t="str">
        <x:v>LF-B-A-TECH-4</x:v>
      </x:c>
      <x:c r="E518" s="9" t="str">
        <x:v>LF-B-A</x:v>
      </x:c>
      <x:c r="F518" s="9" t="str">
        <x:v>B1</x:v>
      </x:c>
      <x:c r="G518" s="9" t="str">
        <x:v>BRK</x:v>
      </x:c>
      <x:c r="H518" s="9" t="str">
        <x:v>RW08</x:v>
      </x:c>
      <x:c r="I518" s="17" t="str">
        <x:v>Residual and physical evidence</x:v>
      </x:c>
      <x:c r="J518" s="17" t="str">
        <x:v>Residual authority</x:v>
      </x:c>
      <x:c r="K518" s="17" t="str">
        <x:v>Public custody B</x:v>
      </x:c>
      <x:c r="L518" s="9" t="n">
        <x:v>0</x:v>
      </x:c>
      <x:c r="M518" s="9" t="n">
        <x:v>0</x:v>
      </x:c>
      <x:c r="N518" s="9" t="n">
        <x:v>0</x:v>
      </x:c>
      <x:c r="O518" s="9" t="n">
        <x:v>0</x:v>
      </x:c>
      <x:c r="P518" s="9" t="str">
        <x:v>UNSEALED / SOURCE-EMPTY</x:v>
      </x:c>
      <x:c r="Q518" s="9" t="n">
        <x:f>COUNTIFS($A$7:$A$1158,A518)</x:f>
        <x:v>1</x:v>
      </x:c>
    </x:row>
    <x:row r="519">
      <x:c r="A519" s="9" t="str">
        <x:v>EV-AR-LF-B-A-TECH-3-B2-BRK-G0-RW01</x:v>
      </x:c>
      <x:c r="B519" s="9" t="str">
        <x:v>EV-AR-LF-B-A-TECH-3-B2-BRK-G0</x:v>
      </x:c>
      <x:c r="C519" s="9" t="str">
        <x:v>AR-LF-B-A-TECH-3-B2-BRK-G0</x:v>
      </x:c>
      <x:c r="D519" s="9" t="str">
        <x:v>LF-B-A-TECH-3</x:v>
      </x:c>
      <x:c r="E519" s="9" t="str">
        <x:v>LF-B-A</x:v>
      </x:c>
      <x:c r="F519" s="9" t="str">
        <x:v>B2</x:v>
      </x:c>
      <x:c r="G519" s="9" t="str">
        <x:v>BRK</x:v>
      </x:c>
      <x:c r="H519" s="9" t="str">
        <x:v>RW01</x:v>
      </x:c>
      <x:c r="I519" s="17" t="str">
        <x:v>Primary raw stream</x:v>
      </x:c>
      <x:c r="J519" s="17" t="str">
        <x:v>Primary metrology</x:v>
      </x:c>
      <x:c r="K519" s="17" t="str">
        <x:v>Public custody A</x:v>
      </x:c>
      <x:c r="L519" s="9" t="n">
        <x:v>0</x:v>
      </x:c>
      <x:c r="M519" s="9" t="n">
        <x:v>0</x:v>
      </x:c>
      <x:c r="N519" s="9" t="n">
        <x:v>0</x:v>
      </x:c>
      <x:c r="O519" s="9" t="n">
        <x:v>0</x:v>
      </x:c>
      <x:c r="P519" s="9" t="str">
        <x:v>UNSEALED / SOURCE-EMPTY</x:v>
      </x:c>
      <x:c r="Q519" s="9" t="n">
        <x:f>COUNTIFS($A$7:$A$1158,A519)</x:f>
        <x:v>1</x:v>
      </x:c>
    </x:row>
    <x:row r="520">
      <x:c r="A520" s="9" t="str">
        <x:v>EV-AR-LF-B-A-TECH-3-B2-BRK-G0-RW02</x:v>
      </x:c>
      <x:c r="B520" s="9" t="str">
        <x:v>EV-AR-LF-B-A-TECH-3-B2-BRK-G0</x:v>
      </x:c>
      <x:c r="C520" s="9" t="str">
        <x:v>AR-LF-B-A-TECH-3-B2-BRK-G0</x:v>
      </x:c>
      <x:c r="D520" s="9" t="str">
        <x:v>LF-B-A-TECH-3</x:v>
      </x:c>
      <x:c r="E520" s="9" t="str">
        <x:v>LF-B-A</x:v>
      </x:c>
      <x:c r="F520" s="9" t="str">
        <x:v>B2</x:v>
      </x:c>
      <x:c r="G520" s="9" t="str">
        <x:v>BRK</x:v>
      </x:c>
      <x:c r="H520" s="9" t="str">
        <x:v>RW02</x:v>
      </x:c>
      <x:c r="I520" s="17" t="str">
        <x:v>Unlike witness stream</x:v>
      </x:c>
      <x:c r="J520" s="17" t="str">
        <x:v>Witness metrology</x:v>
      </x:c>
      <x:c r="K520" s="17" t="str">
        <x:v>Public custody B</x:v>
      </x:c>
      <x:c r="L520" s="9" t="n">
        <x:v>0</x:v>
      </x:c>
      <x:c r="M520" s="9" t="n">
        <x:v>0</x:v>
      </x:c>
      <x:c r="N520" s="9" t="n">
        <x:v>0</x:v>
      </x:c>
      <x:c r="O520" s="9" t="n">
        <x:v>0</x:v>
      </x:c>
      <x:c r="P520" s="9" t="str">
        <x:v>UNSEALED / SOURCE-EMPTY</x:v>
      </x:c>
      <x:c r="Q520" s="9" t="n">
        <x:f>COUNTIFS($A$7:$A$1158,A520)</x:f>
        <x:v>1</x:v>
      </x:c>
    </x:row>
    <x:row r="521">
      <x:c r="A521" s="9" t="str">
        <x:v>EV-AR-LF-B-A-TECH-3-B2-BRK-G0-RW03</x:v>
      </x:c>
      <x:c r="B521" s="9" t="str">
        <x:v>EV-AR-LF-B-A-TECH-3-B2-BRK-G0</x:v>
      </x:c>
      <x:c r="C521" s="9" t="str">
        <x:v>AR-LF-B-A-TECH-3-B2-BRK-G0</x:v>
      </x:c>
      <x:c r="D521" s="9" t="str">
        <x:v>LF-B-A-TECH-3</x:v>
      </x:c>
      <x:c r="E521" s="9" t="str">
        <x:v>LF-B-A</x:v>
      </x:c>
      <x:c r="F521" s="9" t="str">
        <x:v>B2</x:v>
      </x:c>
      <x:c r="G521" s="9" t="str">
        <x:v>BRK</x:v>
      </x:c>
      <x:c r="H521" s="9" t="str">
        <x:v>RW03</x:v>
      </x:c>
      <x:c r="I521" s="17" t="str">
        <x:v>Event clock and start traces</x:v>
      </x:c>
      <x:c r="J521" s="17" t="str">
        <x:v>Event clock authority</x:v>
      </x:c>
      <x:c r="K521" s="17" t="str">
        <x:v>Public custody C</x:v>
      </x:c>
      <x:c r="L521" s="9" t="n">
        <x:v>0</x:v>
      </x:c>
      <x:c r="M521" s="9" t="n">
        <x:v>0</x:v>
      </x:c>
      <x:c r="N521" s="9" t="n">
        <x:v>0</x:v>
      </x:c>
      <x:c r="O521" s="9" t="n">
        <x:v>0</x:v>
      </x:c>
      <x:c r="P521" s="9" t="str">
        <x:v>UNSEALED / SOURCE-EMPTY</x:v>
      </x:c>
      <x:c r="Q521" s="9" t="n">
        <x:f>COUNTIFS($A$7:$A$1158,A521)</x:f>
        <x:v>1</x:v>
      </x:c>
    </x:row>
    <x:row r="522">
      <x:c r="A522" s="9" t="str">
        <x:v>EV-AR-LF-B-A-TECH-3-B2-BRK-G0-RW04</x:v>
      </x:c>
      <x:c r="B522" s="9" t="str">
        <x:v>EV-AR-LF-B-A-TECH-3-B2-BRK-G0</x:v>
      </x:c>
      <x:c r="C522" s="9" t="str">
        <x:v>AR-LF-B-A-TECH-3-B2-BRK-G0</x:v>
      </x:c>
      <x:c r="D522" s="9" t="str">
        <x:v>LF-B-A-TECH-3</x:v>
      </x:c>
      <x:c r="E522" s="9" t="str">
        <x:v>LF-B-A</x:v>
      </x:c>
      <x:c r="F522" s="9" t="str">
        <x:v>B2</x:v>
      </x:c>
      <x:c r="G522" s="9" t="str">
        <x:v>BRK</x:v>
      </x:c>
      <x:c r="H522" s="9" t="str">
        <x:v>RW04</x:v>
      </x:c>
      <x:c r="I522" s="17" t="str">
        <x:v>Environmental boundary stream</x:v>
      </x:c>
      <x:c r="J522" s="17" t="str">
        <x:v>Site metrology</x:v>
      </x:c>
      <x:c r="K522" s="17" t="str">
        <x:v>Public custody D</x:v>
      </x:c>
      <x:c r="L522" s="9" t="n">
        <x:v>0</x:v>
      </x:c>
      <x:c r="M522" s="9" t="n">
        <x:v>0</x:v>
      </x:c>
      <x:c r="N522" s="9" t="n">
        <x:v>0</x:v>
      </x:c>
      <x:c r="O522" s="9" t="n">
        <x:v>0</x:v>
      </x:c>
      <x:c r="P522" s="9" t="str">
        <x:v>UNSEALED / SOURCE-EMPTY</x:v>
      </x:c>
      <x:c r="Q522" s="9" t="n">
        <x:f>COUNTIFS($A$7:$A$1158,A522)</x:f>
        <x:v>1</x:v>
      </x:c>
    </x:row>
    <x:row r="523">
      <x:c r="A523" s="9" t="str">
        <x:v>EV-AR-LF-B-A-TECH-3-B2-BRK-G0-RW05</x:v>
      </x:c>
      <x:c r="B523" s="9" t="str">
        <x:v>EV-AR-LF-B-A-TECH-3-B2-BRK-G0</x:v>
      </x:c>
      <x:c r="C523" s="9" t="str">
        <x:v>AR-LF-B-A-TECH-3-B2-BRK-G0</x:v>
      </x:c>
      <x:c r="D523" s="9" t="str">
        <x:v>LF-B-A-TECH-3</x:v>
      </x:c>
      <x:c r="E523" s="9" t="str">
        <x:v>LF-B-A</x:v>
      </x:c>
      <x:c r="F523" s="9" t="str">
        <x:v>B2</x:v>
      </x:c>
      <x:c r="G523" s="9" t="str">
        <x:v>BRK</x:v>
      </x:c>
      <x:c r="H523" s="9" t="str">
        <x:v>RW05</x:v>
      </x:c>
      <x:c r="I523" s="17" t="str">
        <x:v>Command and intervention log</x:v>
      </x:c>
      <x:c r="J523" s="17" t="str">
        <x:v>Safety authority</x:v>
      </x:c>
      <x:c r="K523" s="17" t="str">
        <x:v>Public custody E</x:v>
      </x:c>
      <x:c r="L523" s="9" t="n">
        <x:v>0</x:v>
      </x:c>
      <x:c r="M523" s="9" t="n">
        <x:v>0</x:v>
      </x:c>
      <x:c r="N523" s="9" t="n">
        <x:v>0</x:v>
      </x:c>
      <x:c r="O523" s="9" t="n">
        <x:v>0</x:v>
      </x:c>
      <x:c r="P523" s="9" t="str">
        <x:v>UNSEALED / SOURCE-EMPTY</x:v>
      </x:c>
      <x:c r="Q523" s="9" t="n">
        <x:f>COUNTIFS($A$7:$A$1158,A523)</x:f>
        <x:v>1</x:v>
      </x:c>
    </x:row>
    <x:row r="524">
      <x:c r="A524" s="9" t="str">
        <x:v>EV-AR-LF-B-A-TECH-3-B2-BRK-G0-RW06</x:v>
      </x:c>
      <x:c r="B524" s="9" t="str">
        <x:v>EV-AR-LF-B-A-TECH-3-B2-BRK-G0</x:v>
      </x:c>
      <x:c r="C524" s="9" t="str">
        <x:v>AR-LF-B-A-TECH-3-B2-BRK-G0</x:v>
      </x:c>
      <x:c r="D524" s="9" t="str">
        <x:v>LF-B-A-TECH-3</x:v>
      </x:c>
      <x:c r="E524" s="9" t="str">
        <x:v>LF-B-A</x:v>
      </x:c>
      <x:c r="F524" s="9" t="str">
        <x:v>B2</x:v>
      </x:c>
      <x:c r="G524" s="9" t="str">
        <x:v>BRK</x:v>
      </x:c>
      <x:c r="H524" s="9" t="str">
        <x:v>RW06</x:v>
      </x:c>
      <x:c r="I524" s="17" t="str">
        <x:v>Receiver service ledger</x:v>
      </x:c>
      <x:c r="J524" s="17" t="str">
        <x:v>Receiver authority</x:v>
      </x:c>
      <x:c r="K524" s="17" t="str">
        <x:v>Public custody F</x:v>
      </x:c>
      <x:c r="L524" s="9" t="n">
        <x:v>0</x:v>
      </x:c>
      <x:c r="M524" s="9" t="n">
        <x:v>0</x:v>
      </x:c>
      <x:c r="N524" s="9" t="n">
        <x:v>0</x:v>
      </x:c>
      <x:c r="O524" s="9" t="n">
        <x:v>0</x:v>
      </x:c>
      <x:c r="P524" s="9" t="str">
        <x:v>UNSEALED / SOURCE-EMPTY</x:v>
      </x:c>
      <x:c r="Q524" s="9" t="n">
        <x:f>COUNTIFS($A$7:$A$1158,A524)</x:f>
        <x:v>1</x:v>
      </x:c>
    </x:row>
    <x:row r="525">
      <x:c r="A525" s="9" t="str">
        <x:v>EV-AR-LF-B-A-TECH-3-B2-BRK-G0-RW07</x:v>
      </x:c>
      <x:c r="B525" s="9" t="str">
        <x:v>EV-AR-LF-B-A-TECH-3-B2-BRK-G0</x:v>
      </x:c>
      <x:c r="C525" s="9" t="str">
        <x:v>AR-LF-B-A-TECH-3-B2-BRK-G0</x:v>
      </x:c>
      <x:c r="D525" s="9" t="str">
        <x:v>LF-B-A-TECH-3</x:v>
      </x:c>
      <x:c r="E525" s="9" t="str">
        <x:v>LF-B-A</x:v>
      </x:c>
      <x:c r="F525" s="9" t="str">
        <x:v>B2</x:v>
      </x:c>
      <x:c r="G525" s="9" t="str">
        <x:v>BRK</x:v>
      </x:c>
      <x:c r="H525" s="9" t="str">
        <x:v>RW07</x:v>
      </x:c>
      <x:c r="I525" s="17" t="str">
        <x:v>Candidate interface telemetry</x:v>
      </x:c>
      <x:c r="J525" s="17" t="str">
        <x:v>Interface custodian</x:v>
      </x:c>
      <x:c r="K525" s="17" t="str">
        <x:v>Public custody A</x:v>
      </x:c>
      <x:c r="L525" s="9" t="n">
        <x:v>0</x:v>
      </x:c>
      <x:c r="M525" s="9" t="n">
        <x:v>0</x:v>
      </x:c>
      <x:c r="N525" s="9" t="n">
        <x:v>0</x:v>
      </x:c>
      <x:c r="O525" s="9" t="n">
        <x:v>0</x:v>
      </x:c>
      <x:c r="P525" s="9" t="str">
        <x:v>UNSEALED / SOURCE-EMPTY</x:v>
      </x:c>
      <x:c r="Q525" s="9" t="n">
        <x:f>COUNTIFS($A$7:$A$1158,A525)</x:f>
        <x:v>1</x:v>
      </x:c>
    </x:row>
    <x:row r="526">
      <x:c r="A526" s="9" t="str">
        <x:v>EV-AR-LF-B-A-TECH-3-B2-BRK-G0-RW08</x:v>
      </x:c>
      <x:c r="B526" s="9" t="str">
        <x:v>EV-AR-LF-B-A-TECH-3-B2-BRK-G0</x:v>
      </x:c>
      <x:c r="C526" s="9" t="str">
        <x:v>AR-LF-B-A-TECH-3-B2-BRK-G0</x:v>
      </x:c>
      <x:c r="D526" s="9" t="str">
        <x:v>LF-B-A-TECH-3</x:v>
      </x:c>
      <x:c r="E526" s="9" t="str">
        <x:v>LF-B-A</x:v>
      </x:c>
      <x:c r="F526" s="9" t="str">
        <x:v>B2</x:v>
      </x:c>
      <x:c r="G526" s="9" t="str">
        <x:v>BRK</x:v>
      </x:c>
      <x:c r="H526" s="9" t="str">
        <x:v>RW08</x:v>
      </x:c>
      <x:c r="I526" s="17" t="str">
        <x:v>Residual and physical evidence</x:v>
      </x:c>
      <x:c r="J526" s="17" t="str">
        <x:v>Residual authority</x:v>
      </x:c>
      <x:c r="K526" s="17" t="str">
        <x:v>Public custody B</x:v>
      </x:c>
      <x:c r="L526" s="9" t="n">
        <x:v>0</x:v>
      </x:c>
      <x:c r="M526" s="9" t="n">
        <x:v>0</x:v>
      </x:c>
      <x:c r="N526" s="9" t="n">
        <x:v>0</x:v>
      </x:c>
      <x:c r="O526" s="9" t="n">
        <x:v>0</x:v>
      </x:c>
      <x:c r="P526" s="9" t="str">
        <x:v>UNSEALED / SOURCE-EMPTY</x:v>
      </x:c>
      <x:c r="Q526" s="9" t="n">
        <x:f>COUNTIFS($A$7:$A$1158,A526)</x:f>
        <x:v>1</x:v>
      </x:c>
    </x:row>
    <x:row r="527">
      <x:c r="A527" s="9" t="str">
        <x:v>EV-AR-RT-B-C-TECH-4-B1-INT-G0-RW01</x:v>
      </x:c>
      <x:c r="B527" s="9" t="str">
        <x:v>EV-AR-RT-B-C-TECH-4-B1-INT-G0</x:v>
      </x:c>
      <x:c r="C527" s="9" t="str">
        <x:v>AR-RT-B-C-TECH-4-B1-INT-G0</x:v>
      </x:c>
      <x:c r="D527" s="9" t="str">
        <x:v>RT-B-C-TECH-4</x:v>
      </x:c>
      <x:c r="E527" s="9" t="str">
        <x:v>RT-B-C</x:v>
      </x:c>
      <x:c r="F527" s="9" t="str">
        <x:v>B1</x:v>
      </x:c>
      <x:c r="G527" s="9" t="str">
        <x:v>INT</x:v>
      </x:c>
      <x:c r="H527" s="9" t="str">
        <x:v>RW01</x:v>
      </x:c>
      <x:c r="I527" s="17" t="str">
        <x:v>Primary raw stream</x:v>
      </x:c>
      <x:c r="J527" s="17" t="str">
        <x:v>Primary metrology</x:v>
      </x:c>
      <x:c r="K527" s="17" t="str">
        <x:v>Public custody A</x:v>
      </x:c>
      <x:c r="L527" s="9" t="n">
        <x:v>0</x:v>
      </x:c>
      <x:c r="M527" s="9" t="n">
        <x:v>0</x:v>
      </x:c>
      <x:c r="N527" s="9" t="n">
        <x:v>0</x:v>
      </x:c>
      <x:c r="O527" s="9" t="n">
        <x:v>0</x:v>
      </x:c>
      <x:c r="P527" s="9" t="str">
        <x:v>UNSEALED / SOURCE-EMPTY</x:v>
      </x:c>
      <x:c r="Q527" s="9" t="n">
        <x:f>COUNTIFS($A$7:$A$1158,A527)</x:f>
        <x:v>1</x:v>
      </x:c>
    </x:row>
    <x:row r="528">
      <x:c r="A528" s="9" t="str">
        <x:v>EV-AR-RT-B-C-TECH-4-B1-INT-G0-RW02</x:v>
      </x:c>
      <x:c r="B528" s="9" t="str">
        <x:v>EV-AR-RT-B-C-TECH-4-B1-INT-G0</x:v>
      </x:c>
      <x:c r="C528" s="9" t="str">
        <x:v>AR-RT-B-C-TECH-4-B1-INT-G0</x:v>
      </x:c>
      <x:c r="D528" s="9" t="str">
        <x:v>RT-B-C-TECH-4</x:v>
      </x:c>
      <x:c r="E528" s="9" t="str">
        <x:v>RT-B-C</x:v>
      </x:c>
      <x:c r="F528" s="9" t="str">
        <x:v>B1</x:v>
      </x:c>
      <x:c r="G528" s="9" t="str">
        <x:v>INT</x:v>
      </x:c>
      <x:c r="H528" s="9" t="str">
        <x:v>RW02</x:v>
      </x:c>
      <x:c r="I528" s="17" t="str">
        <x:v>Unlike witness stream</x:v>
      </x:c>
      <x:c r="J528" s="17" t="str">
        <x:v>Witness metrology</x:v>
      </x:c>
      <x:c r="K528" s="17" t="str">
        <x:v>Public custody B</x:v>
      </x:c>
      <x:c r="L528" s="9" t="n">
        <x:v>0</x:v>
      </x:c>
      <x:c r="M528" s="9" t="n">
        <x:v>0</x:v>
      </x:c>
      <x:c r="N528" s="9" t="n">
        <x:v>0</x:v>
      </x:c>
      <x:c r="O528" s="9" t="n">
        <x:v>0</x:v>
      </x:c>
      <x:c r="P528" s="9" t="str">
        <x:v>UNSEALED / SOURCE-EMPTY</x:v>
      </x:c>
      <x:c r="Q528" s="9" t="n">
        <x:f>COUNTIFS($A$7:$A$1158,A528)</x:f>
        <x:v>1</x:v>
      </x:c>
    </x:row>
    <x:row r="529">
      <x:c r="A529" s="9" t="str">
        <x:v>EV-AR-RT-B-C-TECH-4-B1-INT-G0-RW03</x:v>
      </x:c>
      <x:c r="B529" s="9" t="str">
        <x:v>EV-AR-RT-B-C-TECH-4-B1-INT-G0</x:v>
      </x:c>
      <x:c r="C529" s="9" t="str">
        <x:v>AR-RT-B-C-TECH-4-B1-INT-G0</x:v>
      </x:c>
      <x:c r="D529" s="9" t="str">
        <x:v>RT-B-C-TECH-4</x:v>
      </x:c>
      <x:c r="E529" s="9" t="str">
        <x:v>RT-B-C</x:v>
      </x:c>
      <x:c r="F529" s="9" t="str">
        <x:v>B1</x:v>
      </x:c>
      <x:c r="G529" s="9" t="str">
        <x:v>INT</x:v>
      </x:c>
      <x:c r="H529" s="9" t="str">
        <x:v>RW03</x:v>
      </x:c>
      <x:c r="I529" s="17" t="str">
        <x:v>Event clock and start traces</x:v>
      </x:c>
      <x:c r="J529" s="17" t="str">
        <x:v>Event clock authority</x:v>
      </x:c>
      <x:c r="K529" s="17" t="str">
        <x:v>Public custody C</x:v>
      </x:c>
      <x:c r="L529" s="9" t="n">
        <x:v>0</x:v>
      </x:c>
      <x:c r="M529" s="9" t="n">
        <x:v>0</x:v>
      </x:c>
      <x:c r="N529" s="9" t="n">
        <x:v>0</x:v>
      </x:c>
      <x:c r="O529" s="9" t="n">
        <x:v>0</x:v>
      </x:c>
      <x:c r="P529" s="9" t="str">
        <x:v>UNSEALED / SOURCE-EMPTY</x:v>
      </x:c>
      <x:c r="Q529" s="9" t="n">
        <x:f>COUNTIFS($A$7:$A$1158,A529)</x:f>
        <x:v>1</x:v>
      </x:c>
    </x:row>
    <x:row r="530">
      <x:c r="A530" s="9" t="str">
        <x:v>EV-AR-RT-B-C-TECH-4-B1-INT-G0-RW04</x:v>
      </x:c>
      <x:c r="B530" s="9" t="str">
        <x:v>EV-AR-RT-B-C-TECH-4-B1-INT-G0</x:v>
      </x:c>
      <x:c r="C530" s="9" t="str">
        <x:v>AR-RT-B-C-TECH-4-B1-INT-G0</x:v>
      </x:c>
      <x:c r="D530" s="9" t="str">
        <x:v>RT-B-C-TECH-4</x:v>
      </x:c>
      <x:c r="E530" s="9" t="str">
        <x:v>RT-B-C</x:v>
      </x:c>
      <x:c r="F530" s="9" t="str">
        <x:v>B1</x:v>
      </x:c>
      <x:c r="G530" s="9" t="str">
        <x:v>INT</x:v>
      </x:c>
      <x:c r="H530" s="9" t="str">
        <x:v>RW04</x:v>
      </x:c>
      <x:c r="I530" s="17" t="str">
        <x:v>Environmental boundary stream</x:v>
      </x:c>
      <x:c r="J530" s="17" t="str">
        <x:v>Site metrology</x:v>
      </x:c>
      <x:c r="K530" s="17" t="str">
        <x:v>Public custody D</x:v>
      </x:c>
      <x:c r="L530" s="9" t="n">
        <x:v>0</x:v>
      </x:c>
      <x:c r="M530" s="9" t="n">
        <x:v>0</x:v>
      </x:c>
      <x:c r="N530" s="9" t="n">
        <x:v>0</x:v>
      </x:c>
      <x:c r="O530" s="9" t="n">
        <x:v>0</x:v>
      </x:c>
      <x:c r="P530" s="9" t="str">
        <x:v>UNSEALED / SOURCE-EMPTY</x:v>
      </x:c>
      <x:c r="Q530" s="9" t="n">
        <x:f>COUNTIFS($A$7:$A$1158,A530)</x:f>
        <x:v>1</x:v>
      </x:c>
    </x:row>
    <x:row r="531">
      <x:c r="A531" s="9" t="str">
        <x:v>EV-AR-RT-B-C-TECH-4-B1-INT-G0-RW05</x:v>
      </x:c>
      <x:c r="B531" s="9" t="str">
        <x:v>EV-AR-RT-B-C-TECH-4-B1-INT-G0</x:v>
      </x:c>
      <x:c r="C531" s="9" t="str">
        <x:v>AR-RT-B-C-TECH-4-B1-INT-G0</x:v>
      </x:c>
      <x:c r="D531" s="9" t="str">
        <x:v>RT-B-C-TECH-4</x:v>
      </x:c>
      <x:c r="E531" s="9" t="str">
        <x:v>RT-B-C</x:v>
      </x:c>
      <x:c r="F531" s="9" t="str">
        <x:v>B1</x:v>
      </x:c>
      <x:c r="G531" s="9" t="str">
        <x:v>INT</x:v>
      </x:c>
      <x:c r="H531" s="9" t="str">
        <x:v>RW05</x:v>
      </x:c>
      <x:c r="I531" s="17" t="str">
        <x:v>Command and intervention log</x:v>
      </x:c>
      <x:c r="J531" s="17" t="str">
        <x:v>Safety authority</x:v>
      </x:c>
      <x:c r="K531" s="17" t="str">
        <x:v>Public custody E</x:v>
      </x:c>
      <x:c r="L531" s="9" t="n">
        <x:v>0</x:v>
      </x:c>
      <x:c r="M531" s="9" t="n">
        <x:v>0</x:v>
      </x:c>
      <x:c r="N531" s="9" t="n">
        <x:v>0</x:v>
      </x:c>
      <x:c r="O531" s="9" t="n">
        <x:v>0</x:v>
      </x:c>
      <x:c r="P531" s="9" t="str">
        <x:v>UNSEALED / SOURCE-EMPTY</x:v>
      </x:c>
      <x:c r="Q531" s="9" t="n">
        <x:f>COUNTIFS($A$7:$A$1158,A531)</x:f>
        <x:v>1</x:v>
      </x:c>
    </x:row>
    <x:row r="532">
      <x:c r="A532" s="9" t="str">
        <x:v>EV-AR-RT-B-C-TECH-4-B1-INT-G0-RW06</x:v>
      </x:c>
      <x:c r="B532" s="9" t="str">
        <x:v>EV-AR-RT-B-C-TECH-4-B1-INT-G0</x:v>
      </x:c>
      <x:c r="C532" s="9" t="str">
        <x:v>AR-RT-B-C-TECH-4-B1-INT-G0</x:v>
      </x:c>
      <x:c r="D532" s="9" t="str">
        <x:v>RT-B-C-TECH-4</x:v>
      </x:c>
      <x:c r="E532" s="9" t="str">
        <x:v>RT-B-C</x:v>
      </x:c>
      <x:c r="F532" s="9" t="str">
        <x:v>B1</x:v>
      </x:c>
      <x:c r="G532" s="9" t="str">
        <x:v>INT</x:v>
      </x:c>
      <x:c r="H532" s="9" t="str">
        <x:v>RW06</x:v>
      </x:c>
      <x:c r="I532" s="17" t="str">
        <x:v>Receiver service ledger</x:v>
      </x:c>
      <x:c r="J532" s="17" t="str">
        <x:v>Receiver authority</x:v>
      </x:c>
      <x:c r="K532" s="17" t="str">
        <x:v>Public custody F</x:v>
      </x:c>
      <x:c r="L532" s="9" t="n">
        <x:v>0</x:v>
      </x:c>
      <x:c r="M532" s="9" t="n">
        <x:v>0</x:v>
      </x:c>
      <x:c r="N532" s="9" t="n">
        <x:v>0</x:v>
      </x:c>
      <x:c r="O532" s="9" t="n">
        <x:v>0</x:v>
      </x:c>
      <x:c r="P532" s="9" t="str">
        <x:v>UNSEALED / SOURCE-EMPTY</x:v>
      </x:c>
      <x:c r="Q532" s="9" t="n">
        <x:f>COUNTIFS($A$7:$A$1158,A532)</x:f>
        <x:v>1</x:v>
      </x:c>
    </x:row>
    <x:row r="533">
      <x:c r="A533" s="9" t="str">
        <x:v>EV-AR-RT-B-C-TECH-4-B1-INT-G0-RW07</x:v>
      </x:c>
      <x:c r="B533" s="9" t="str">
        <x:v>EV-AR-RT-B-C-TECH-4-B1-INT-G0</x:v>
      </x:c>
      <x:c r="C533" s="9" t="str">
        <x:v>AR-RT-B-C-TECH-4-B1-INT-G0</x:v>
      </x:c>
      <x:c r="D533" s="9" t="str">
        <x:v>RT-B-C-TECH-4</x:v>
      </x:c>
      <x:c r="E533" s="9" t="str">
        <x:v>RT-B-C</x:v>
      </x:c>
      <x:c r="F533" s="9" t="str">
        <x:v>B1</x:v>
      </x:c>
      <x:c r="G533" s="9" t="str">
        <x:v>INT</x:v>
      </x:c>
      <x:c r="H533" s="9" t="str">
        <x:v>RW07</x:v>
      </x:c>
      <x:c r="I533" s="17" t="str">
        <x:v>Candidate interface telemetry</x:v>
      </x:c>
      <x:c r="J533" s="17" t="str">
        <x:v>Interface custodian</x:v>
      </x:c>
      <x:c r="K533" s="17" t="str">
        <x:v>Public custody A</x:v>
      </x:c>
      <x:c r="L533" s="9" t="n">
        <x:v>0</x:v>
      </x:c>
      <x:c r="M533" s="9" t="n">
        <x:v>0</x:v>
      </x:c>
      <x:c r="N533" s="9" t="n">
        <x:v>0</x:v>
      </x:c>
      <x:c r="O533" s="9" t="n">
        <x:v>0</x:v>
      </x:c>
      <x:c r="P533" s="9" t="str">
        <x:v>UNSEALED / SOURCE-EMPTY</x:v>
      </x:c>
      <x:c r="Q533" s="9" t="n">
        <x:f>COUNTIFS($A$7:$A$1158,A533)</x:f>
        <x:v>1</x:v>
      </x:c>
    </x:row>
    <x:row r="534">
      <x:c r="A534" s="9" t="str">
        <x:v>EV-AR-RT-B-C-TECH-4-B1-INT-G0-RW08</x:v>
      </x:c>
      <x:c r="B534" s="9" t="str">
        <x:v>EV-AR-RT-B-C-TECH-4-B1-INT-G0</x:v>
      </x:c>
      <x:c r="C534" s="9" t="str">
        <x:v>AR-RT-B-C-TECH-4-B1-INT-G0</x:v>
      </x:c>
      <x:c r="D534" s="9" t="str">
        <x:v>RT-B-C-TECH-4</x:v>
      </x:c>
      <x:c r="E534" s="9" t="str">
        <x:v>RT-B-C</x:v>
      </x:c>
      <x:c r="F534" s="9" t="str">
        <x:v>B1</x:v>
      </x:c>
      <x:c r="G534" s="9" t="str">
        <x:v>INT</x:v>
      </x:c>
      <x:c r="H534" s="9" t="str">
        <x:v>RW08</x:v>
      </x:c>
      <x:c r="I534" s="17" t="str">
        <x:v>Residual and physical evidence</x:v>
      </x:c>
      <x:c r="J534" s="17" t="str">
        <x:v>Residual authority</x:v>
      </x:c>
      <x:c r="K534" s="17" t="str">
        <x:v>Public custody B</x:v>
      </x:c>
      <x:c r="L534" s="9" t="n">
        <x:v>0</x:v>
      </x:c>
      <x:c r="M534" s="9" t="n">
        <x:v>0</x:v>
      </x:c>
      <x:c r="N534" s="9" t="n">
        <x:v>0</x:v>
      </x:c>
      <x:c r="O534" s="9" t="n">
        <x:v>0</x:v>
      </x:c>
      <x:c r="P534" s="9" t="str">
        <x:v>UNSEALED / SOURCE-EMPTY</x:v>
      </x:c>
      <x:c r="Q534" s="9" t="n">
        <x:f>COUNTIFS($A$7:$A$1158,A534)</x:f>
        <x:v>1</x:v>
      </x:c>
    </x:row>
    <x:row r="535">
      <x:c r="A535" s="9" t="str">
        <x:v>EV-AR-CT-C-B-TECH-3-B2-RCN-G0-RW01</x:v>
      </x:c>
      <x:c r="B535" s="9" t="str">
        <x:v>EV-AR-CT-C-B-TECH-3-B2-RCN-G0</x:v>
      </x:c>
      <x:c r="C535" s="9" t="str">
        <x:v>AR-CT-C-B-TECH-3-B2-RCN-G0</x:v>
      </x:c>
      <x:c r="D535" s="9" t="str">
        <x:v>CT-C-B-TECH-3</x:v>
      </x:c>
      <x:c r="E535" s="9" t="str">
        <x:v>CT-C-B</x:v>
      </x:c>
      <x:c r="F535" s="9" t="str">
        <x:v>B2</x:v>
      </x:c>
      <x:c r="G535" s="9" t="str">
        <x:v>RCN</x:v>
      </x:c>
      <x:c r="H535" s="9" t="str">
        <x:v>RW01</x:v>
      </x:c>
      <x:c r="I535" s="17" t="str">
        <x:v>Primary raw stream</x:v>
      </x:c>
      <x:c r="J535" s="17" t="str">
        <x:v>Primary metrology</x:v>
      </x:c>
      <x:c r="K535" s="17" t="str">
        <x:v>Public custody A</x:v>
      </x:c>
      <x:c r="L535" s="9" t="n">
        <x:v>0</x:v>
      </x:c>
      <x:c r="M535" s="9" t="n">
        <x:v>0</x:v>
      </x:c>
      <x:c r="N535" s="9" t="n">
        <x:v>0</x:v>
      </x:c>
      <x:c r="O535" s="9" t="n">
        <x:v>0</x:v>
      </x:c>
      <x:c r="P535" s="9" t="str">
        <x:v>UNSEALED / SOURCE-EMPTY</x:v>
      </x:c>
      <x:c r="Q535" s="9" t="n">
        <x:f>COUNTIFS($A$7:$A$1158,A535)</x:f>
        <x:v>1</x:v>
      </x:c>
    </x:row>
    <x:row r="536">
      <x:c r="A536" s="9" t="str">
        <x:v>EV-AR-CT-C-B-TECH-3-B2-RCN-G0-RW02</x:v>
      </x:c>
      <x:c r="B536" s="9" t="str">
        <x:v>EV-AR-CT-C-B-TECH-3-B2-RCN-G0</x:v>
      </x:c>
      <x:c r="C536" s="9" t="str">
        <x:v>AR-CT-C-B-TECH-3-B2-RCN-G0</x:v>
      </x:c>
      <x:c r="D536" s="9" t="str">
        <x:v>CT-C-B-TECH-3</x:v>
      </x:c>
      <x:c r="E536" s="9" t="str">
        <x:v>CT-C-B</x:v>
      </x:c>
      <x:c r="F536" s="9" t="str">
        <x:v>B2</x:v>
      </x:c>
      <x:c r="G536" s="9" t="str">
        <x:v>RCN</x:v>
      </x:c>
      <x:c r="H536" s="9" t="str">
        <x:v>RW02</x:v>
      </x:c>
      <x:c r="I536" s="17" t="str">
        <x:v>Unlike witness stream</x:v>
      </x:c>
      <x:c r="J536" s="17" t="str">
        <x:v>Witness metrology</x:v>
      </x:c>
      <x:c r="K536" s="17" t="str">
        <x:v>Public custody B</x:v>
      </x:c>
      <x:c r="L536" s="9" t="n">
        <x:v>0</x:v>
      </x:c>
      <x:c r="M536" s="9" t="n">
        <x:v>0</x:v>
      </x:c>
      <x:c r="N536" s="9" t="n">
        <x:v>0</x:v>
      </x:c>
      <x:c r="O536" s="9" t="n">
        <x:v>0</x:v>
      </x:c>
      <x:c r="P536" s="9" t="str">
        <x:v>UNSEALED / SOURCE-EMPTY</x:v>
      </x:c>
      <x:c r="Q536" s="9" t="n">
        <x:f>COUNTIFS($A$7:$A$1158,A536)</x:f>
        <x:v>1</x:v>
      </x:c>
    </x:row>
    <x:row r="537">
      <x:c r="A537" s="9" t="str">
        <x:v>EV-AR-CT-C-B-TECH-3-B2-RCN-G0-RW03</x:v>
      </x:c>
      <x:c r="B537" s="9" t="str">
        <x:v>EV-AR-CT-C-B-TECH-3-B2-RCN-G0</x:v>
      </x:c>
      <x:c r="C537" s="9" t="str">
        <x:v>AR-CT-C-B-TECH-3-B2-RCN-G0</x:v>
      </x:c>
      <x:c r="D537" s="9" t="str">
        <x:v>CT-C-B-TECH-3</x:v>
      </x:c>
      <x:c r="E537" s="9" t="str">
        <x:v>CT-C-B</x:v>
      </x:c>
      <x:c r="F537" s="9" t="str">
        <x:v>B2</x:v>
      </x:c>
      <x:c r="G537" s="9" t="str">
        <x:v>RCN</x:v>
      </x:c>
      <x:c r="H537" s="9" t="str">
        <x:v>RW03</x:v>
      </x:c>
      <x:c r="I537" s="17" t="str">
        <x:v>Event clock and start traces</x:v>
      </x:c>
      <x:c r="J537" s="17" t="str">
        <x:v>Event clock authority</x:v>
      </x:c>
      <x:c r="K537" s="17" t="str">
        <x:v>Public custody C</x:v>
      </x:c>
      <x:c r="L537" s="9" t="n">
        <x:v>0</x:v>
      </x:c>
      <x:c r="M537" s="9" t="n">
        <x:v>0</x:v>
      </x:c>
      <x:c r="N537" s="9" t="n">
        <x:v>0</x:v>
      </x:c>
      <x:c r="O537" s="9" t="n">
        <x:v>0</x:v>
      </x:c>
      <x:c r="P537" s="9" t="str">
        <x:v>UNSEALED / SOURCE-EMPTY</x:v>
      </x:c>
      <x:c r="Q537" s="9" t="n">
        <x:f>COUNTIFS($A$7:$A$1158,A537)</x:f>
        <x:v>1</x:v>
      </x:c>
    </x:row>
    <x:row r="538">
      <x:c r="A538" s="9" t="str">
        <x:v>EV-AR-CT-C-B-TECH-3-B2-RCN-G0-RW04</x:v>
      </x:c>
      <x:c r="B538" s="9" t="str">
        <x:v>EV-AR-CT-C-B-TECH-3-B2-RCN-G0</x:v>
      </x:c>
      <x:c r="C538" s="9" t="str">
        <x:v>AR-CT-C-B-TECH-3-B2-RCN-G0</x:v>
      </x:c>
      <x:c r="D538" s="9" t="str">
        <x:v>CT-C-B-TECH-3</x:v>
      </x:c>
      <x:c r="E538" s="9" t="str">
        <x:v>CT-C-B</x:v>
      </x:c>
      <x:c r="F538" s="9" t="str">
        <x:v>B2</x:v>
      </x:c>
      <x:c r="G538" s="9" t="str">
        <x:v>RCN</x:v>
      </x:c>
      <x:c r="H538" s="9" t="str">
        <x:v>RW04</x:v>
      </x:c>
      <x:c r="I538" s="17" t="str">
        <x:v>Environmental boundary stream</x:v>
      </x:c>
      <x:c r="J538" s="17" t="str">
        <x:v>Site metrology</x:v>
      </x:c>
      <x:c r="K538" s="17" t="str">
        <x:v>Public custody D</x:v>
      </x:c>
      <x:c r="L538" s="9" t="n">
        <x:v>0</x:v>
      </x:c>
      <x:c r="M538" s="9" t="n">
        <x:v>0</x:v>
      </x:c>
      <x:c r="N538" s="9" t="n">
        <x:v>0</x:v>
      </x:c>
      <x:c r="O538" s="9" t="n">
        <x:v>0</x:v>
      </x:c>
      <x:c r="P538" s="9" t="str">
        <x:v>UNSEALED / SOURCE-EMPTY</x:v>
      </x:c>
      <x:c r="Q538" s="9" t="n">
        <x:f>COUNTIFS($A$7:$A$1158,A538)</x:f>
        <x:v>1</x:v>
      </x:c>
    </x:row>
    <x:row r="539">
      <x:c r="A539" s="9" t="str">
        <x:v>EV-AR-CT-C-B-TECH-3-B2-RCN-G0-RW05</x:v>
      </x:c>
      <x:c r="B539" s="9" t="str">
        <x:v>EV-AR-CT-C-B-TECH-3-B2-RCN-G0</x:v>
      </x:c>
      <x:c r="C539" s="9" t="str">
        <x:v>AR-CT-C-B-TECH-3-B2-RCN-G0</x:v>
      </x:c>
      <x:c r="D539" s="9" t="str">
        <x:v>CT-C-B-TECH-3</x:v>
      </x:c>
      <x:c r="E539" s="9" t="str">
        <x:v>CT-C-B</x:v>
      </x:c>
      <x:c r="F539" s="9" t="str">
        <x:v>B2</x:v>
      </x:c>
      <x:c r="G539" s="9" t="str">
        <x:v>RCN</x:v>
      </x:c>
      <x:c r="H539" s="9" t="str">
        <x:v>RW05</x:v>
      </x:c>
      <x:c r="I539" s="17" t="str">
        <x:v>Command and intervention log</x:v>
      </x:c>
      <x:c r="J539" s="17" t="str">
        <x:v>Safety authority</x:v>
      </x:c>
      <x:c r="K539" s="17" t="str">
        <x:v>Public custody E</x:v>
      </x:c>
      <x:c r="L539" s="9" t="n">
        <x:v>0</x:v>
      </x:c>
      <x:c r="M539" s="9" t="n">
        <x:v>0</x:v>
      </x:c>
      <x:c r="N539" s="9" t="n">
        <x:v>0</x:v>
      </x:c>
      <x:c r="O539" s="9" t="n">
        <x:v>0</x:v>
      </x:c>
      <x:c r="P539" s="9" t="str">
        <x:v>UNSEALED / SOURCE-EMPTY</x:v>
      </x:c>
      <x:c r="Q539" s="9" t="n">
        <x:f>COUNTIFS($A$7:$A$1158,A539)</x:f>
        <x:v>1</x:v>
      </x:c>
    </x:row>
    <x:row r="540">
      <x:c r="A540" s="9" t="str">
        <x:v>EV-AR-CT-C-B-TECH-3-B2-RCN-G0-RW06</x:v>
      </x:c>
      <x:c r="B540" s="9" t="str">
        <x:v>EV-AR-CT-C-B-TECH-3-B2-RCN-G0</x:v>
      </x:c>
      <x:c r="C540" s="9" t="str">
        <x:v>AR-CT-C-B-TECH-3-B2-RCN-G0</x:v>
      </x:c>
      <x:c r="D540" s="9" t="str">
        <x:v>CT-C-B-TECH-3</x:v>
      </x:c>
      <x:c r="E540" s="9" t="str">
        <x:v>CT-C-B</x:v>
      </x:c>
      <x:c r="F540" s="9" t="str">
        <x:v>B2</x:v>
      </x:c>
      <x:c r="G540" s="9" t="str">
        <x:v>RCN</x:v>
      </x:c>
      <x:c r="H540" s="9" t="str">
        <x:v>RW06</x:v>
      </x:c>
      <x:c r="I540" s="17" t="str">
        <x:v>Receiver service ledger</x:v>
      </x:c>
      <x:c r="J540" s="17" t="str">
        <x:v>Receiver authority</x:v>
      </x:c>
      <x:c r="K540" s="17" t="str">
        <x:v>Public custody F</x:v>
      </x:c>
      <x:c r="L540" s="9" t="n">
        <x:v>0</x:v>
      </x:c>
      <x:c r="M540" s="9" t="n">
        <x:v>0</x:v>
      </x:c>
      <x:c r="N540" s="9" t="n">
        <x:v>0</x:v>
      </x:c>
      <x:c r="O540" s="9" t="n">
        <x:v>0</x:v>
      </x:c>
      <x:c r="P540" s="9" t="str">
        <x:v>UNSEALED / SOURCE-EMPTY</x:v>
      </x:c>
      <x:c r="Q540" s="9" t="n">
        <x:f>COUNTIFS($A$7:$A$1158,A540)</x:f>
        <x:v>1</x:v>
      </x:c>
    </x:row>
    <x:row r="541">
      <x:c r="A541" s="9" t="str">
        <x:v>EV-AR-CT-C-B-TECH-3-B2-RCN-G0-RW07</x:v>
      </x:c>
      <x:c r="B541" s="9" t="str">
        <x:v>EV-AR-CT-C-B-TECH-3-B2-RCN-G0</x:v>
      </x:c>
      <x:c r="C541" s="9" t="str">
        <x:v>AR-CT-C-B-TECH-3-B2-RCN-G0</x:v>
      </x:c>
      <x:c r="D541" s="9" t="str">
        <x:v>CT-C-B-TECH-3</x:v>
      </x:c>
      <x:c r="E541" s="9" t="str">
        <x:v>CT-C-B</x:v>
      </x:c>
      <x:c r="F541" s="9" t="str">
        <x:v>B2</x:v>
      </x:c>
      <x:c r="G541" s="9" t="str">
        <x:v>RCN</x:v>
      </x:c>
      <x:c r="H541" s="9" t="str">
        <x:v>RW07</x:v>
      </x:c>
      <x:c r="I541" s="17" t="str">
        <x:v>Candidate interface telemetry</x:v>
      </x:c>
      <x:c r="J541" s="17" t="str">
        <x:v>Interface custodian</x:v>
      </x:c>
      <x:c r="K541" s="17" t="str">
        <x:v>Public custody A</x:v>
      </x:c>
      <x:c r="L541" s="9" t="n">
        <x:v>0</x:v>
      </x:c>
      <x:c r="M541" s="9" t="n">
        <x:v>0</x:v>
      </x:c>
      <x:c r="N541" s="9" t="n">
        <x:v>0</x:v>
      </x:c>
      <x:c r="O541" s="9" t="n">
        <x:v>0</x:v>
      </x:c>
      <x:c r="P541" s="9" t="str">
        <x:v>UNSEALED / SOURCE-EMPTY</x:v>
      </x:c>
      <x:c r="Q541" s="9" t="n">
        <x:f>COUNTIFS($A$7:$A$1158,A541)</x:f>
        <x:v>1</x:v>
      </x:c>
    </x:row>
    <x:row r="542">
      <x:c r="A542" s="9" t="str">
        <x:v>EV-AR-CT-C-B-TECH-3-B2-RCN-G0-RW08</x:v>
      </x:c>
      <x:c r="B542" s="9" t="str">
        <x:v>EV-AR-CT-C-B-TECH-3-B2-RCN-G0</x:v>
      </x:c>
      <x:c r="C542" s="9" t="str">
        <x:v>AR-CT-C-B-TECH-3-B2-RCN-G0</x:v>
      </x:c>
      <x:c r="D542" s="9" t="str">
        <x:v>CT-C-B-TECH-3</x:v>
      </x:c>
      <x:c r="E542" s="9" t="str">
        <x:v>CT-C-B</x:v>
      </x:c>
      <x:c r="F542" s="9" t="str">
        <x:v>B2</x:v>
      </x:c>
      <x:c r="G542" s="9" t="str">
        <x:v>RCN</x:v>
      </x:c>
      <x:c r="H542" s="9" t="str">
        <x:v>RW08</x:v>
      </x:c>
      <x:c r="I542" s="17" t="str">
        <x:v>Residual and physical evidence</x:v>
      </x:c>
      <x:c r="J542" s="17" t="str">
        <x:v>Residual authority</x:v>
      </x:c>
      <x:c r="K542" s="17" t="str">
        <x:v>Public custody B</x:v>
      </x:c>
      <x:c r="L542" s="9" t="n">
        <x:v>0</x:v>
      </x:c>
      <x:c r="M542" s="9" t="n">
        <x:v>0</x:v>
      </x:c>
      <x:c r="N542" s="9" t="n">
        <x:v>0</x:v>
      </x:c>
      <x:c r="O542" s="9" t="n">
        <x:v>0</x:v>
      </x:c>
      <x:c r="P542" s="9" t="str">
        <x:v>UNSEALED / SOURCE-EMPTY</x:v>
      </x:c>
      <x:c r="Q542" s="9" t="n">
        <x:f>COUNTIFS($A$7:$A$1158,A542)</x:f>
        <x:v>1</x:v>
      </x:c>
    </x:row>
    <x:row r="543">
      <x:c r="A543" s="9" t="str">
        <x:v>EV-AR-CT-C-B-TECH-1-B2-INT-G0-RW01</x:v>
      </x:c>
      <x:c r="B543" s="9" t="str">
        <x:v>EV-AR-CT-C-B-TECH-1-B2-INT-G0</x:v>
      </x:c>
      <x:c r="C543" s="9" t="str">
        <x:v>AR-CT-C-B-TECH-1-B2-INT-G0</x:v>
      </x:c>
      <x:c r="D543" s="9" t="str">
        <x:v>CT-C-B-TECH-1</x:v>
      </x:c>
      <x:c r="E543" s="9" t="str">
        <x:v>CT-C-B</x:v>
      </x:c>
      <x:c r="F543" s="9" t="str">
        <x:v>B2</x:v>
      </x:c>
      <x:c r="G543" s="9" t="str">
        <x:v>INT</x:v>
      </x:c>
      <x:c r="H543" s="9" t="str">
        <x:v>RW01</x:v>
      </x:c>
      <x:c r="I543" s="17" t="str">
        <x:v>Primary raw stream</x:v>
      </x:c>
      <x:c r="J543" s="17" t="str">
        <x:v>Primary metrology</x:v>
      </x:c>
      <x:c r="K543" s="17" t="str">
        <x:v>Public custody A</x:v>
      </x:c>
      <x:c r="L543" s="9" t="n">
        <x:v>0</x:v>
      </x:c>
      <x:c r="M543" s="9" t="n">
        <x:v>0</x:v>
      </x:c>
      <x:c r="N543" s="9" t="n">
        <x:v>0</x:v>
      </x:c>
      <x:c r="O543" s="9" t="n">
        <x:v>0</x:v>
      </x:c>
      <x:c r="P543" s="9" t="str">
        <x:v>UNSEALED / SOURCE-EMPTY</x:v>
      </x:c>
      <x:c r="Q543" s="9" t="n">
        <x:f>COUNTIFS($A$7:$A$1158,A543)</x:f>
        <x:v>1</x:v>
      </x:c>
    </x:row>
    <x:row r="544">
      <x:c r="A544" s="9" t="str">
        <x:v>EV-AR-CT-C-B-TECH-1-B2-INT-G0-RW02</x:v>
      </x:c>
      <x:c r="B544" s="9" t="str">
        <x:v>EV-AR-CT-C-B-TECH-1-B2-INT-G0</x:v>
      </x:c>
      <x:c r="C544" s="9" t="str">
        <x:v>AR-CT-C-B-TECH-1-B2-INT-G0</x:v>
      </x:c>
      <x:c r="D544" s="9" t="str">
        <x:v>CT-C-B-TECH-1</x:v>
      </x:c>
      <x:c r="E544" s="9" t="str">
        <x:v>CT-C-B</x:v>
      </x:c>
      <x:c r="F544" s="9" t="str">
        <x:v>B2</x:v>
      </x:c>
      <x:c r="G544" s="9" t="str">
        <x:v>INT</x:v>
      </x:c>
      <x:c r="H544" s="9" t="str">
        <x:v>RW02</x:v>
      </x:c>
      <x:c r="I544" s="17" t="str">
        <x:v>Unlike witness stream</x:v>
      </x:c>
      <x:c r="J544" s="17" t="str">
        <x:v>Witness metrology</x:v>
      </x:c>
      <x:c r="K544" s="17" t="str">
        <x:v>Public custody B</x:v>
      </x:c>
      <x:c r="L544" s="9" t="n">
        <x:v>0</x:v>
      </x:c>
      <x:c r="M544" s="9" t="n">
        <x:v>0</x:v>
      </x:c>
      <x:c r="N544" s="9" t="n">
        <x:v>0</x:v>
      </x:c>
      <x:c r="O544" s="9" t="n">
        <x:v>0</x:v>
      </x:c>
      <x:c r="P544" s="9" t="str">
        <x:v>UNSEALED / SOURCE-EMPTY</x:v>
      </x:c>
      <x:c r="Q544" s="9" t="n">
        <x:f>COUNTIFS($A$7:$A$1158,A544)</x:f>
        <x:v>1</x:v>
      </x:c>
    </x:row>
    <x:row r="545">
      <x:c r="A545" s="9" t="str">
        <x:v>EV-AR-CT-C-B-TECH-1-B2-INT-G0-RW03</x:v>
      </x:c>
      <x:c r="B545" s="9" t="str">
        <x:v>EV-AR-CT-C-B-TECH-1-B2-INT-G0</x:v>
      </x:c>
      <x:c r="C545" s="9" t="str">
        <x:v>AR-CT-C-B-TECH-1-B2-INT-G0</x:v>
      </x:c>
      <x:c r="D545" s="9" t="str">
        <x:v>CT-C-B-TECH-1</x:v>
      </x:c>
      <x:c r="E545" s="9" t="str">
        <x:v>CT-C-B</x:v>
      </x:c>
      <x:c r="F545" s="9" t="str">
        <x:v>B2</x:v>
      </x:c>
      <x:c r="G545" s="9" t="str">
        <x:v>INT</x:v>
      </x:c>
      <x:c r="H545" s="9" t="str">
        <x:v>RW03</x:v>
      </x:c>
      <x:c r="I545" s="17" t="str">
        <x:v>Event clock and start traces</x:v>
      </x:c>
      <x:c r="J545" s="17" t="str">
        <x:v>Event clock authority</x:v>
      </x:c>
      <x:c r="K545" s="17" t="str">
        <x:v>Public custody C</x:v>
      </x:c>
      <x:c r="L545" s="9" t="n">
        <x:v>0</x:v>
      </x:c>
      <x:c r="M545" s="9" t="n">
        <x:v>0</x:v>
      </x:c>
      <x:c r="N545" s="9" t="n">
        <x:v>0</x:v>
      </x:c>
      <x:c r="O545" s="9" t="n">
        <x:v>0</x:v>
      </x:c>
      <x:c r="P545" s="9" t="str">
        <x:v>UNSEALED / SOURCE-EMPTY</x:v>
      </x:c>
      <x:c r="Q545" s="9" t="n">
        <x:f>COUNTIFS($A$7:$A$1158,A545)</x:f>
        <x:v>1</x:v>
      </x:c>
    </x:row>
    <x:row r="546">
      <x:c r="A546" s="9" t="str">
        <x:v>EV-AR-CT-C-B-TECH-1-B2-INT-G0-RW04</x:v>
      </x:c>
      <x:c r="B546" s="9" t="str">
        <x:v>EV-AR-CT-C-B-TECH-1-B2-INT-G0</x:v>
      </x:c>
      <x:c r="C546" s="9" t="str">
        <x:v>AR-CT-C-B-TECH-1-B2-INT-G0</x:v>
      </x:c>
      <x:c r="D546" s="9" t="str">
        <x:v>CT-C-B-TECH-1</x:v>
      </x:c>
      <x:c r="E546" s="9" t="str">
        <x:v>CT-C-B</x:v>
      </x:c>
      <x:c r="F546" s="9" t="str">
        <x:v>B2</x:v>
      </x:c>
      <x:c r="G546" s="9" t="str">
        <x:v>INT</x:v>
      </x:c>
      <x:c r="H546" s="9" t="str">
        <x:v>RW04</x:v>
      </x:c>
      <x:c r="I546" s="17" t="str">
        <x:v>Environmental boundary stream</x:v>
      </x:c>
      <x:c r="J546" s="17" t="str">
        <x:v>Site metrology</x:v>
      </x:c>
      <x:c r="K546" s="17" t="str">
        <x:v>Public custody D</x:v>
      </x:c>
      <x:c r="L546" s="9" t="n">
        <x:v>0</x:v>
      </x:c>
      <x:c r="M546" s="9" t="n">
        <x:v>0</x:v>
      </x:c>
      <x:c r="N546" s="9" t="n">
        <x:v>0</x:v>
      </x:c>
      <x:c r="O546" s="9" t="n">
        <x:v>0</x:v>
      </x:c>
      <x:c r="P546" s="9" t="str">
        <x:v>UNSEALED / SOURCE-EMPTY</x:v>
      </x:c>
      <x:c r="Q546" s="9" t="n">
        <x:f>COUNTIFS($A$7:$A$1158,A546)</x:f>
        <x:v>1</x:v>
      </x:c>
    </x:row>
    <x:row r="547">
      <x:c r="A547" s="9" t="str">
        <x:v>EV-AR-CT-C-B-TECH-1-B2-INT-G0-RW05</x:v>
      </x:c>
      <x:c r="B547" s="9" t="str">
        <x:v>EV-AR-CT-C-B-TECH-1-B2-INT-G0</x:v>
      </x:c>
      <x:c r="C547" s="9" t="str">
        <x:v>AR-CT-C-B-TECH-1-B2-INT-G0</x:v>
      </x:c>
      <x:c r="D547" s="9" t="str">
        <x:v>CT-C-B-TECH-1</x:v>
      </x:c>
      <x:c r="E547" s="9" t="str">
        <x:v>CT-C-B</x:v>
      </x:c>
      <x:c r="F547" s="9" t="str">
        <x:v>B2</x:v>
      </x:c>
      <x:c r="G547" s="9" t="str">
        <x:v>INT</x:v>
      </x:c>
      <x:c r="H547" s="9" t="str">
        <x:v>RW05</x:v>
      </x:c>
      <x:c r="I547" s="17" t="str">
        <x:v>Command and intervention log</x:v>
      </x:c>
      <x:c r="J547" s="17" t="str">
        <x:v>Safety authority</x:v>
      </x:c>
      <x:c r="K547" s="17" t="str">
        <x:v>Public custody E</x:v>
      </x:c>
      <x:c r="L547" s="9" t="n">
        <x:v>0</x:v>
      </x:c>
      <x:c r="M547" s="9" t="n">
        <x:v>0</x:v>
      </x:c>
      <x:c r="N547" s="9" t="n">
        <x:v>0</x:v>
      </x:c>
      <x:c r="O547" s="9" t="n">
        <x:v>0</x:v>
      </x:c>
      <x:c r="P547" s="9" t="str">
        <x:v>UNSEALED / SOURCE-EMPTY</x:v>
      </x:c>
      <x:c r="Q547" s="9" t="n">
        <x:f>COUNTIFS($A$7:$A$1158,A547)</x:f>
        <x:v>1</x:v>
      </x:c>
    </x:row>
    <x:row r="548">
      <x:c r="A548" s="9" t="str">
        <x:v>EV-AR-CT-C-B-TECH-1-B2-INT-G0-RW06</x:v>
      </x:c>
      <x:c r="B548" s="9" t="str">
        <x:v>EV-AR-CT-C-B-TECH-1-B2-INT-G0</x:v>
      </x:c>
      <x:c r="C548" s="9" t="str">
        <x:v>AR-CT-C-B-TECH-1-B2-INT-G0</x:v>
      </x:c>
      <x:c r="D548" s="9" t="str">
        <x:v>CT-C-B-TECH-1</x:v>
      </x:c>
      <x:c r="E548" s="9" t="str">
        <x:v>CT-C-B</x:v>
      </x:c>
      <x:c r="F548" s="9" t="str">
        <x:v>B2</x:v>
      </x:c>
      <x:c r="G548" s="9" t="str">
        <x:v>INT</x:v>
      </x:c>
      <x:c r="H548" s="9" t="str">
        <x:v>RW06</x:v>
      </x:c>
      <x:c r="I548" s="17" t="str">
        <x:v>Receiver service ledger</x:v>
      </x:c>
      <x:c r="J548" s="17" t="str">
        <x:v>Receiver authority</x:v>
      </x:c>
      <x:c r="K548" s="17" t="str">
        <x:v>Public custody F</x:v>
      </x:c>
      <x:c r="L548" s="9" t="n">
        <x:v>0</x:v>
      </x:c>
      <x:c r="M548" s="9" t="n">
        <x:v>0</x:v>
      </x:c>
      <x:c r="N548" s="9" t="n">
        <x:v>0</x:v>
      </x:c>
      <x:c r="O548" s="9" t="n">
        <x:v>0</x:v>
      </x:c>
      <x:c r="P548" s="9" t="str">
        <x:v>UNSEALED / SOURCE-EMPTY</x:v>
      </x:c>
      <x:c r="Q548" s="9" t="n">
        <x:f>COUNTIFS($A$7:$A$1158,A548)</x:f>
        <x:v>1</x:v>
      </x:c>
    </x:row>
    <x:row r="549">
      <x:c r="A549" s="9" t="str">
        <x:v>EV-AR-CT-C-B-TECH-1-B2-INT-G0-RW07</x:v>
      </x:c>
      <x:c r="B549" s="9" t="str">
        <x:v>EV-AR-CT-C-B-TECH-1-B2-INT-G0</x:v>
      </x:c>
      <x:c r="C549" s="9" t="str">
        <x:v>AR-CT-C-B-TECH-1-B2-INT-G0</x:v>
      </x:c>
      <x:c r="D549" s="9" t="str">
        <x:v>CT-C-B-TECH-1</x:v>
      </x:c>
      <x:c r="E549" s="9" t="str">
        <x:v>CT-C-B</x:v>
      </x:c>
      <x:c r="F549" s="9" t="str">
        <x:v>B2</x:v>
      </x:c>
      <x:c r="G549" s="9" t="str">
        <x:v>INT</x:v>
      </x:c>
      <x:c r="H549" s="9" t="str">
        <x:v>RW07</x:v>
      </x:c>
      <x:c r="I549" s="17" t="str">
        <x:v>Candidate interface telemetry</x:v>
      </x:c>
      <x:c r="J549" s="17" t="str">
        <x:v>Interface custodian</x:v>
      </x:c>
      <x:c r="K549" s="17" t="str">
        <x:v>Public custody A</x:v>
      </x:c>
      <x:c r="L549" s="9" t="n">
        <x:v>0</x:v>
      </x:c>
      <x:c r="M549" s="9" t="n">
        <x:v>0</x:v>
      </x:c>
      <x:c r="N549" s="9" t="n">
        <x:v>0</x:v>
      </x:c>
      <x:c r="O549" s="9" t="n">
        <x:v>0</x:v>
      </x:c>
      <x:c r="P549" s="9" t="str">
        <x:v>UNSEALED / SOURCE-EMPTY</x:v>
      </x:c>
      <x:c r="Q549" s="9" t="n">
        <x:f>COUNTIFS($A$7:$A$1158,A549)</x:f>
        <x:v>1</x:v>
      </x:c>
    </x:row>
    <x:row r="550">
      <x:c r="A550" s="9" t="str">
        <x:v>EV-AR-CT-C-B-TECH-1-B2-INT-G0-RW08</x:v>
      </x:c>
      <x:c r="B550" s="9" t="str">
        <x:v>EV-AR-CT-C-B-TECH-1-B2-INT-G0</x:v>
      </x:c>
      <x:c r="C550" s="9" t="str">
        <x:v>AR-CT-C-B-TECH-1-B2-INT-G0</x:v>
      </x:c>
      <x:c r="D550" s="9" t="str">
        <x:v>CT-C-B-TECH-1</x:v>
      </x:c>
      <x:c r="E550" s="9" t="str">
        <x:v>CT-C-B</x:v>
      </x:c>
      <x:c r="F550" s="9" t="str">
        <x:v>B2</x:v>
      </x:c>
      <x:c r="G550" s="9" t="str">
        <x:v>INT</x:v>
      </x:c>
      <x:c r="H550" s="9" t="str">
        <x:v>RW08</x:v>
      </x:c>
      <x:c r="I550" s="17" t="str">
        <x:v>Residual and physical evidence</x:v>
      </x:c>
      <x:c r="J550" s="17" t="str">
        <x:v>Residual authority</x:v>
      </x:c>
      <x:c r="K550" s="17" t="str">
        <x:v>Public custody B</x:v>
      </x:c>
      <x:c r="L550" s="9" t="n">
        <x:v>0</x:v>
      </x:c>
      <x:c r="M550" s="9" t="n">
        <x:v>0</x:v>
      </x:c>
      <x:c r="N550" s="9" t="n">
        <x:v>0</x:v>
      </x:c>
      <x:c r="O550" s="9" t="n">
        <x:v>0</x:v>
      </x:c>
      <x:c r="P550" s="9" t="str">
        <x:v>UNSEALED / SOURCE-EMPTY</x:v>
      </x:c>
      <x:c r="Q550" s="9" t="n">
        <x:f>COUNTIFS($A$7:$A$1158,A550)</x:f>
        <x:v>1</x:v>
      </x:c>
    </x:row>
    <x:row r="551">
      <x:c r="A551" s="9" t="str">
        <x:v>EV-AR-HC-A-C-TECH-1-B1-INT-G0-RW01</x:v>
      </x:c>
      <x:c r="B551" s="9" t="str">
        <x:v>EV-AR-HC-A-C-TECH-1-B1-INT-G0</x:v>
      </x:c>
      <x:c r="C551" s="9" t="str">
        <x:v>AR-HC-A-C-TECH-1-B1-INT-G0</x:v>
      </x:c>
      <x:c r="D551" s="9" t="str">
        <x:v>HC-A-C-TECH-1</x:v>
      </x:c>
      <x:c r="E551" s="9" t="str">
        <x:v>HC-A-C</x:v>
      </x:c>
      <x:c r="F551" s="9" t="str">
        <x:v>B1</x:v>
      </x:c>
      <x:c r="G551" s="9" t="str">
        <x:v>INT</x:v>
      </x:c>
      <x:c r="H551" s="9" t="str">
        <x:v>RW01</x:v>
      </x:c>
      <x:c r="I551" s="17" t="str">
        <x:v>Primary raw stream</x:v>
      </x:c>
      <x:c r="J551" s="17" t="str">
        <x:v>Primary metrology</x:v>
      </x:c>
      <x:c r="K551" s="17" t="str">
        <x:v>Public custody A</x:v>
      </x:c>
      <x:c r="L551" s="9" t="n">
        <x:v>0</x:v>
      </x:c>
      <x:c r="M551" s="9" t="n">
        <x:v>0</x:v>
      </x:c>
      <x:c r="N551" s="9" t="n">
        <x:v>0</x:v>
      </x:c>
      <x:c r="O551" s="9" t="n">
        <x:v>0</x:v>
      </x:c>
      <x:c r="P551" s="9" t="str">
        <x:v>UNSEALED / SOURCE-EMPTY</x:v>
      </x:c>
      <x:c r="Q551" s="9" t="n">
        <x:f>COUNTIFS($A$7:$A$1158,A551)</x:f>
        <x:v>1</x:v>
      </x:c>
    </x:row>
    <x:row r="552">
      <x:c r="A552" s="9" t="str">
        <x:v>EV-AR-HC-A-C-TECH-1-B1-INT-G0-RW02</x:v>
      </x:c>
      <x:c r="B552" s="9" t="str">
        <x:v>EV-AR-HC-A-C-TECH-1-B1-INT-G0</x:v>
      </x:c>
      <x:c r="C552" s="9" t="str">
        <x:v>AR-HC-A-C-TECH-1-B1-INT-G0</x:v>
      </x:c>
      <x:c r="D552" s="9" t="str">
        <x:v>HC-A-C-TECH-1</x:v>
      </x:c>
      <x:c r="E552" s="9" t="str">
        <x:v>HC-A-C</x:v>
      </x:c>
      <x:c r="F552" s="9" t="str">
        <x:v>B1</x:v>
      </x:c>
      <x:c r="G552" s="9" t="str">
        <x:v>INT</x:v>
      </x:c>
      <x:c r="H552" s="9" t="str">
        <x:v>RW02</x:v>
      </x:c>
      <x:c r="I552" s="17" t="str">
        <x:v>Unlike witness stream</x:v>
      </x:c>
      <x:c r="J552" s="17" t="str">
        <x:v>Witness metrology</x:v>
      </x:c>
      <x:c r="K552" s="17" t="str">
        <x:v>Public custody B</x:v>
      </x:c>
      <x:c r="L552" s="9" t="n">
        <x:v>0</x:v>
      </x:c>
      <x:c r="M552" s="9" t="n">
        <x:v>0</x:v>
      </x:c>
      <x:c r="N552" s="9" t="n">
        <x:v>0</x:v>
      </x:c>
      <x:c r="O552" s="9" t="n">
        <x:v>0</x:v>
      </x:c>
      <x:c r="P552" s="9" t="str">
        <x:v>UNSEALED / SOURCE-EMPTY</x:v>
      </x:c>
      <x:c r="Q552" s="9" t="n">
        <x:f>COUNTIFS($A$7:$A$1158,A552)</x:f>
        <x:v>1</x:v>
      </x:c>
    </x:row>
    <x:row r="553">
      <x:c r="A553" s="9" t="str">
        <x:v>EV-AR-HC-A-C-TECH-1-B1-INT-G0-RW03</x:v>
      </x:c>
      <x:c r="B553" s="9" t="str">
        <x:v>EV-AR-HC-A-C-TECH-1-B1-INT-G0</x:v>
      </x:c>
      <x:c r="C553" s="9" t="str">
        <x:v>AR-HC-A-C-TECH-1-B1-INT-G0</x:v>
      </x:c>
      <x:c r="D553" s="9" t="str">
        <x:v>HC-A-C-TECH-1</x:v>
      </x:c>
      <x:c r="E553" s="9" t="str">
        <x:v>HC-A-C</x:v>
      </x:c>
      <x:c r="F553" s="9" t="str">
        <x:v>B1</x:v>
      </x:c>
      <x:c r="G553" s="9" t="str">
        <x:v>INT</x:v>
      </x:c>
      <x:c r="H553" s="9" t="str">
        <x:v>RW03</x:v>
      </x:c>
      <x:c r="I553" s="17" t="str">
        <x:v>Event clock and start traces</x:v>
      </x:c>
      <x:c r="J553" s="17" t="str">
        <x:v>Event clock authority</x:v>
      </x:c>
      <x:c r="K553" s="17" t="str">
        <x:v>Public custody C</x:v>
      </x:c>
      <x:c r="L553" s="9" t="n">
        <x:v>0</x:v>
      </x:c>
      <x:c r="M553" s="9" t="n">
        <x:v>0</x:v>
      </x:c>
      <x:c r="N553" s="9" t="n">
        <x:v>0</x:v>
      </x:c>
      <x:c r="O553" s="9" t="n">
        <x:v>0</x:v>
      </x:c>
      <x:c r="P553" s="9" t="str">
        <x:v>UNSEALED / SOURCE-EMPTY</x:v>
      </x:c>
      <x:c r="Q553" s="9" t="n">
        <x:f>COUNTIFS($A$7:$A$1158,A553)</x:f>
        <x:v>1</x:v>
      </x:c>
    </x:row>
    <x:row r="554">
      <x:c r="A554" s="9" t="str">
        <x:v>EV-AR-HC-A-C-TECH-1-B1-INT-G0-RW04</x:v>
      </x:c>
      <x:c r="B554" s="9" t="str">
        <x:v>EV-AR-HC-A-C-TECH-1-B1-INT-G0</x:v>
      </x:c>
      <x:c r="C554" s="9" t="str">
        <x:v>AR-HC-A-C-TECH-1-B1-INT-G0</x:v>
      </x:c>
      <x:c r="D554" s="9" t="str">
        <x:v>HC-A-C-TECH-1</x:v>
      </x:c>
      <x:c r="E554" s="9" t="str">
        <x:v>HC-A-C</x:v>
      </x:c>
      <x:c r="F554" s="9" t="str">
        <x:v>B1</x:v>
      </x:c>
      <x:c r="G554" s="9" t="str">
        <x:v>INT</x:v>
      </x:c>
      <x:c r="H554" s="9" t="str">
        <x:v>RW04</x:v>
      </x:c>
      <x:c r="I554" s="17" t="str">
        <x:v>Environmental boundary stream</x:v>
      </x:c>
      <x:c r="J554" s="17" t="str">
        <x:v>Site metrology</x:v>
      </x:c>
      <x:c r="K554" s="17" t="str">
        <x:v>Public custody D</x:v>
      </x:c>
      <x:c r="L554" s="9" t="n">
        <x:v>0</x:v>
      </x:c>
      <x:c r="M554" s="9" t="n">
        <x:v>0</x:v>
      </x:c>
      <x:c r="N554" s="9" t="n">
        <x:v>0</x:v>
      </x:c>
      <x:c r="O554" s="9" t="n">
        <x:v>0</x:v>
      </x:c>
      <x:c r="P554" s="9" t="str">
        <x:v>UNSEALED / SOURCE-EMPTY</x:v>
      </x:c>
      <x:c r="Q554" s="9" t="n">
        <x:f>COUNTIFS($A$7:$A$1158,A554)</x:f>
        <x:v>1</x:v>
      </x:c>
    </x:row>
    <x:row r="555">
      <x:c r="A555" s="9" t="str">
        <x:v>EV-AR-HC-A-C-TECH-1-B1-INT-G0-RW05</x:v>
      </x:c>
      <x:c r="B555" s="9" t="str">
        <x:v>EV-AR-HC-A-C-TECH-1-B1-INT-G0</x:v>
      </x:c>
      <x:c r="C555" s="9" t="str">
        <x:v>AR-HC-A-C-TECH-1-B1-INT-G0</x:v>
      </x:c>
      <x:c r="D555" s="9" t="str">
        <x:v>HC-A-C-TECH-1</x:v>
      </x:c>
      <x:c r="E555" s="9" t="str">
        <x:v>HC-A-C</x:v>
      </x:c>
      <x:c r="F555" s="9" t="str">
        <x:v>B1</x:v>
      </x:c>
      <x:c r="G555" s="9" t="str">
        <x:v>INT</x:v>
      </x:c>
      <x:c r="H555" s="9" t="str">
        <x:v>RW05</x:v>
      </x:c>
      <x:c r="I555" s="17" t="str">
        <x:v>Command and intervention log</x:v>
      </x:c>
      <x:c r="J555" s="17" t="str">
        <x:v>Safety authority</x:v>
      </x:c>
      <x:c r="K555" s="17" t="str">
        <x:v>Public custody E</x:v>
      </x:c>
      <x:c r="L555" s="9" t="n">
        <x:v>0</x:v>
      </x:c>
      <x:c r="M555" s="9" t="n">
        <x:v>0</x:v>
      </x:c>
      <x:c r="N555" s="9" t="n">
        <x:v>0</x:v>
      </x:c>
      <x:c r="O555" s="9" t="n">
        <x:v>0</x:v>
      </x:c>
      <x:c r="P555" s="9" t="str">
        <x:v>UNSEALED / SOURCE-EMPTY</x:v>
      </x:c>
      <x:c r="Q555" s="9" t="n">
        <x:f>COUNTIFS($A$7:$A$1158,A555)</x:f>
        <x:v>1</x:v>
      </x:c>
    </x:row>
    <x:row r="556">
      <x:c r="A556" s="9" t="str">
        <x:v>EV-AR-HC-A-C-TECH-1-B1-INT-G0-RW06</x:v>
      </x:c>
      <x:c r="B556" s="9" t="str">
        <x:v>EV-AR-HC-A-C-TECH-1-B1-INT-G0</x:v>
      </x:c>
      <x:c r="C556" s="9" t="str">
        <x:v>AR-HC-A-C-TECH-1-B1-INT-G0</x:v>
      </x:c>
      <x:c r="D556" s="9" t="str">
        <x:v>HC-A-C-TECH-1</x:v>
      </x:c>
      <x:c r="E556" s="9" t="str">
        <x:v>HC-A-C</x:v>
      </x:c>
      <x:c r="F556" s="9" t="str">
        <x:v>B1</x:v>
      </x:c>
      <x:c r="G556" s="9" t="str">
        <x:v>INT</x:v>
      </x:c>
      <x:c r="H556" s="9" t="str">
        <x:v>RW06</x:v>
      </x:c>
      <x:c r="I556" s="17" t="str">
        <x:v>Receiver service ledger</x:v>
      </x:c>
      <x:c r="J556" s="17" t="str">
        <x:v>Receiver authority</x:v>
      </x:c>
      <x:c r="K556" s="17" t="str">
        <x:v>Public custody F</x:v>
      </x:c>
      <x:c r="L556" s="9" t="n">
        <x:v>0</x:v>
      </x:c>
      <x:c r="M556" s="9" t="n">
        <x:v>0</x:v>
      </x:c>
      <x:c r="N556" s="9" t="n">
        <x:v>0</x:v>
      </x:c>
      <x:c r="O556" s="9" t="n">
        <x:v>0</x:v>
      </x:c>
      <x:c r="P556" s="9" t="str">
        <x:v>UNSEALED / SOURCE-EMPTY</x:v>
      </x:c>
      <x:c r="Q556" s="9" t="n">
        <x:f>COUNTIFS($A$7:$A$1158,A556)</x:f>
        <x:v>1</x:v>
      </x:c>
    </x:row>
    <x:row r="557">
      <x:c r="A557" s="9" t="str">
        <x:v>EV-AR-HC-A-C-TECH-1-B1-INT-G0-RW07</x:v>
      </x:c>
      <x:c r="B557" s="9" t="str">
        <x:v>EV-AR-HC-A-C-TECH-1-B1-INT-G0</x:v>
      </x:c>
      <x:c r="C557" s="9" t="str">
        <x:v>AR-HC-A-C-TECH-1-B1-INT-G0</x:v>
      </x:c>
      <x:c r="D557" s="9" t="str">
        <x:v>HC-A-C-TECH-1</x:v>
      </x:c>
      <x:c r="E557" s="9" t="str">
        <x:v>HC-A-C</x:v>
      </x:c>
      <x:c r="F557" s="9" t="str">
        <x:v>B1</x:v>
      </x:c>
      <x:c r="G557" s="9" t="str">
        <x:v>INT</x:v>
      </x:c>
      <x:c r="H557" s="9" t="str">
        <x:v>RW07</x:v>
      </x:c>
      <x:c r="I557" s="17" t="str">
        <x:v>Candidate interface telemetry</x:v>
      </x:c>
      <x:c r="J557" s="17" t="str">
        <x:v>Interface custodian</x:v>
      </x:c>
      <x:c r="K557" s="17" t="str">
        <x:v>Public custody A</x:v>
      </x:c>
      <x:c r="L557" s="9" t="n">
        <x:v>0</x:v>
      </x:c>
      <x:c r="M557" s="9" t="n">
        <x:v>0</x:v>
      </x:c>
      <x:c r="N557" s="9" t="n">
        <x:v>0</x:v>
      </x:c>
      <x:c r="O557" s="9" t="n">
        <x:v>0</x:v>
      </x:c>
      <x:c r="P557" s="9" t="str">
        <x:v>UNSEALED / SOURCE-EMPTY</x:v>
      </x:c>
      <x:c r="Q557" s="9" t="n">
        <x:f>COUNTIFS($A$7:$A$1158,A557)</x:f>
        <x:v>1</x:v>
      </x:c>
    </x:row>
    <x:row r="558">
      <x:c r="A558" s="9" t="str">
        <x:v>EV-AR-HC-A-C-TECH-1-B1-INT-G0-RW08</x:v>
      </x:c>
      <x:c r="B558" s="9" t="str">
        <x:v>EV-AR-HC-A-C-TECH-1-B1-INT-G0</x:v>
      </x:c>
      <x:c r="C558" s="9" t="str">
        <x:v>AR-HC-A-C-TECH-1-B1-INT-G0</x:v>
      </x:c>
      <x:c r="D558" s="9" t="str">
        <x:v>HC-A-C-TECH-1</x:v>
      </x:c>
      <x:c r="E558" s="9" t="str">
        <x:v>HC-A-C</x:v>
      </x:c>
      <x:c r="F558" s="9" t="str">
        <x:v>B1</x:v>
      </x:c>
      <x:c r="G558" s="9" t="str">
        <x:v>INT</x:v>
      </x:c>
      <x:c r="H558" s="9" t="str">
        <x:v>RW08</x:v>
      </x:c>
      <x:c r="I558" s="17" t="str">
        <x:v>Residual and physical evidence</x:v>
      </x:c>
      <x:c r="J558" s="17" t="str">
        <x:v>Residual authority</x:v>
      </x:c>
      <x:c r="K558" s="17" t="str">
        <x:v>Public custody B</x:v>
      </x:c>
      <x:c r="L558" s="9" t="n">
        <x:v>0</x:v>
      </x:c>
      <x:c r="M558" s="9" t="n">
        <x:v>0</x:v>
      </x:c>
      <x:c r="N558" s="9" t="n">
        <x:v>0</x:v>
      </x:c>
      <x:c r="O558" s="9" t="n">
        <x:v>0</x:v>
      </x:c>
      <x:c r="P558" s="9" t="str">
        <x:v>UNSEALED / SOURCE-EMPTY</x:v>
      </x:c>
      <x:c r="Q558" s="9" t="n">
        <x:f>COUNTIFS($A$7:$A$1158,A558)</x:f>
        <x:v>1</x:v>
      </x:c>
    </x:row>
    <x:row r="559">
      <x:c r="A559" s="9" t="str">
        <x:v>EV-AR-HC-A-C-TECH-2-B2-RCN-G0-RW01</x:v>
      </x:c>
      <x:c r="B559" s="9" t="str">
        <x:v>EV-AR-HC-A-C-TECH-2-B2-RCN-G0</x:v>
      </x:c>
      <x:c r="C559" s="9" t="str">
        <x:v>AR-HC-A-C-TECH-2-B2-RCN-G0</x:v>
      </x:c>
      <x:c r="D559" s="9" t="str">
        <x:v>HC-A-C-TECH-2</x:v>
      </x:c>
      <x:c r="E559" s="9" t="str">
        <x:v>HC-A-C</x:v>
      </x:c>
      <x:c r="F559" s="9" t="str">
        <x:v>B2</x:v>
      </x:c>
      <x:c r="G559" s="9" t="str">
        <x:v>RCN</x:v>
      </x:c>
      <x:c r="H559" s="9" t="str">
        <x:v>RW01</x:v>
      </x:c>
      <x:c r="I559" s="17" t="str">
        <x:v>Primary raw stream</x:v>
      </x:c>
      <x:c r="J559" s="17" t="str">
        <x:v>Primary metrology</x:v>
      </x:c>
      <x:c r="K559" s="17" t="str">
        <x:v>Public custody A</x:v>
      </x:c>
      <x:c r="L559" s="9" t="n">
        <x:v>0</x:v>
      </x:c>
      <x:c r="M559" s="9" t="n">
        <x:v>0</x:v>
      </x:c>
      <x:c r="N559" s="9" t="n">
        <x:v>0</x:v>
      </x:c>
      <x:c r="O559" s="9" t="n">
        <x:v>0</x:v>
      </x:c>
      <x:c r="P559" s="9" t="str">
        <x:v>UNSEALED / SOURCE-EMPTY</x:v>
      </x:c>
      <x:c r="Q559" s="9" t="n">
        <x:f>COUNTIFS($A$7:$A$1158,A559)</x:f>
        <x:v>1</x:v>
      </x:c>
    </x:row>
    <x:row r="560">
      <x:c r="A560" s="9" t="str">
        <x:v>EV-AR-HC-A-C-TECH-2-B2-RCN-G0-RW02</x:v>
      </x:c>
      <x:c r="B560" s="9" t="str">
        <x:v>EV-AR-HC-A-C-TECH-2-B2-RCN-G0</x:v>
      </x:c>
      <x:c r="C560" s="9" t="str">
        <x:v>AR-HC-A-C-TECH-2-B2-RCN-G0</x:v>
      </x:c>
      <x:c r="D560" s="9" t="str">
        <x:v>HC-A-C-TECH-2</x:v>
      </x:c>
      <x:c r="E560" s="9" t="str">
        <x:v>HC-A-C</x:v>
      </x:c>
      <x:c r="F560" s="9" t="str">
        <x:v>B2</x:v>
      </x:c>
      <x:c r="G560" s="9" t="str">
        <x:v>RCN</x:v>
      </x:c>
      <x:c r="H560" s="9" t="str">
        <x:v>RW02</x:v>
      </x:c>
      <x:c r="I560" s="17" t="str">
        <x:v>Unlike witness stream</x:v>
      </x:c>
      <x:c r="J560" s="17" t="str">
        <x:v>Witness metrology</x:v>
      </x:c>
      <x:c r="K560" s="17" t="str">
        <x:v>Public custody B</x:v>
      </x:c>
      <x:c r="L560" s="9" t="n">
        <x:v>0</x:v>
      </x:c>
      <x:c r="M560" s="9" t="n">
        <x:v>0</x:v>
      </x:c>
      <x:c r="N560" s="9" t="n">
        <x:v>0</x:v>
      </x:c>
      <x:c r="O560" s="9" t="n">
        <x:v>0</x:v>
      </x:c>
      <x:c r="P560" s="9" t="str">
        <x:v>UNSEALED / SOURCE-EMPTY</x:v>
      </x:c>
      <x:c r="Q560" s="9" t="n">
        <x:f>COUNTIFS($A$7:$A$1158,A560)</x:f>
        <x:v>1</x:v>
      </x:c>
    </x:row>
    <x:row r="561">
      <x:c r="A561" s="9" t="str">
        <x:v>EV-AR-HC-A-C-TECH-2-B2-RCN-G0-RW03</x:v>
      </x:c>
      <x:c r="B561" s="9" t="str">
        <x:v>EV-AR-HC-A-C-TECH-2-B2-RCN-G0</x:v>
      </x:c>
      <x:c r="C561" s="9" t="str">
        <x:v>AR-HC-A-C-TECH-2-B2-RCN-G0</x:v>
      </x:c>
      <x:c r="D561" s="9" t="str">
        <x:v>HC-A-C-TECH-2</x:v>
      </x:c>
      <x:c r="E561" s="9" t="str">
        <x:v>HC-A-C</x:v>
      </x:c>
      <x:c r="F561" s="9" t="str">
        <x:v>B2</x:v>
      </x:c>
      <x:c r="G561" s="9" t="str">
        <x:v>RCN</x:v>
      </x:c>
      <x:c r="H561" s="9" t="str">
        <x:v>RW03</x:v>
      </x:c>
      <x:c r="I561" s="17" t="str">
        <x:v>Event clock and start traces</x:v>
      </x:c>
      <x:c r="J561" s="17" t="str">
        <x:v>Event clock authority</x:v>
      </x:c>
      <x:c r="K561" s="17" t="str">
        <x:v>Public custody C</x:v>
      </x:c>
      <x:c r="L561" s="9" t="n">
        <x:v>0</x:v>
      </x:c>
      <x:c r="M561" s="9" t="n">
        <x:v>0</x:v>
      </x:c>
      <x:c r="N561" s="9" t="n">
        <x:v>0</x:v>
      </x:c>
      <x:c r="O561" s="9" t="n">
        <x:v>0</x:v>
      </x:c>
      <x:c r="P561" s="9" t="str">
        <x:v>UNSEALED / SOURCE-EMPTY</x:v>
      </x:c>
      <x:c r="Q561" s="9" t="n">
        <x:f>COUNTIFS($A$7:$A$1158,A561)</x:f>
        <x:v>1</x:v>
      </x:c>
    </x:row>
    <x:row r="562">
      <x:c r="A562" s="9" t="str">
        <x:v>EV-AR-HC-A-C-TECH-2-B2-RCN-G0-RW04</x:v>
      </x:c>
      <x:c r="B562" s="9" t="str">
        <x:v>EV-AR-HC-A-C-TECH-2-B2-RCN-G0</x:v>
      </x:c>
      <x:c r="C562" s="9" t="str">
        <x:v>AR-HC-A-C-TECH-2-B2-RCN-G0</x:v>
      </x:c>
      <x:c r="D562" s="9" t="str">
        <x:v>HC-A-C-TECH-2</x:v>
      </x:c>
      <x:c r="E562" s="9" t="str">
        <x:v>HC-A-C</x:v>
      </x:c>
      <x:c r="F562" s="9" t="str">
        <x:v>B2</x:v>
      </x:c>
      <x:c r="G562" s="9" t="str">
        <x:v>RCN</x:v>
      </x:c>
      <x:c r="H562" s="9" t="str">
        <x:v>RW04</x:v>
      </x:c>
      <x:c r="I562" s="17" t="str">
        <x:v>Environmental boundary stream</x:v>
      </x:c>
      <x:c r="J562" s="17" t="str">
        <x:v>Site metrology</x:v>
      </x:c>
      <x:c r="K562" s="17" t="str">
        <x:v>Public custody D</x:v>
      </x:c>
      <x:c r="L562" s="9" t="n">
        <x:v>0</x:v>
      </x:c>
      <x:c r="M562" s="9" t="n">
        <x:v>0</x:v>
      </x:c>
      <x:c r="N562" s="9" t="n">
        <x:v>0</x:v>
      </x:c>
      <x:c r="O562" s="9" t="n">
        <x:v>0</x:v>
      </x:c>
      <x:c r="P562" s="9" t="str">
        <x:v>UNSEALED / SOURCE-EMPTY</x:v>
      </x:c>
      <x:c r="Q562" s="9" t="n">
        <x:f>COUNTIFS($A$7:$A$1158,A562)</x:f>
        <x:v>1</x:v>
      </x:c>
    </x:row>
    <x:row r="563">
      <x:c r="A563" s="9" t="str">
        <x:v>EV-AR-HC-A-C-TECH-2-B2-RCN-G0-RW05</x:v>
      </x:c>
      <x:c r="B563" s="9" t="str">
        <x:v>EV-AR-HC-A-C-TECH-2-B2-RCN-G0</x:v>
      </x:c>
      <x:c r="C563" s="9" t="str">
        <x:v>AR-HC-A-C-TECH-2-B2-RCN-G0</x:v>
      </x:c>
      <x:c r="D563" s="9" t="str">
        <x:v>HC-A-C-TECH-2</x:v>
      </x:c>
      <x:c r="E563" s="9" t="str">
        <x:v>HC-A-C</x:v>
      </x:c>
      <x:c r="F563" s="9" t="str">
        <x:v>B2</x:v>
      </x:c>
      <x:c r="G563" s="9" t="str">
        <x:v>RCN</x:v>
      </x:c>
      <x:c r="H563" s="9" t="str">
        <x:v>RW05</x:v>
      </x:c>
      <x:c r="I563" s="17" t="str">
        <x:v>Command and intervention log</x:v>
      </x:c>
      <x:c r="J563" s="17" t="str">
        <x:v>Safety authority</x:v>
      </x:c>
      <x:c r="K563" s="17" t="str">
        <x:v>Public custody E</x:v>
      </x:c>
      <x:c r="L563" s="9" t="n">
        <x:v>0</x:v>
      </x:c>
      <x:c r="M563" s="9" t="n">
        <x:v>0</x:v>
      </x:c>
      <x:c r="N563" s="9" t="n">
        <x:v>0</x:v>
      </x:c>
      <x:c r="O563" s="9" t="n">
        <x:v>0</x:v>
      </x:c>
      <x:c r="P563" s="9" t="str">
        <x:v>UNSEALED / SOURCE-EMPTY</x:v>
      </x:c>
      <x:c r="Q563" s="9" t="n">
        <x:f>COUNTIFS($A$7:$A$1158,A563)</x:f>
        <x:v>1</x:v>
      </x:c>
    </x:row>
    <x:row r="564">
      <x:c r="A564" s="9" t="str">
        <x:v>EV-AR-HC-A-C-TECH-2-B2-RCN-G0-RW06</x:v>
      </x:c>
      <x:c r="B564" s="9" t="str">
        <x:v>EV-AR-HC-A-C-TECH-2-B2-RCN-G0</x:v>
      </x:c>
      <x:c r="C564" s="9" t="str">
        <x:v>AR-HC-A-C-TECH-2-B2-RCN-G0</x:v>
      </x:c>
      <x:c r="D564" s="9" t="str">
        <x:v>HC-A-C-TECH-2</x:v>
      </x:c>
      <x:c r="E564" s="9" t="str">
        <x:v>HC-A-C</x:v>
      </x:c>
      <x:c r="F564" s="9" t="str">
        <x:v>B2</x:v>
      </x:c>
      <x:c r="G564" s="9" t="str">
        <x:v>RCN</x:v>
      </x:c>
      <x:c r="H564" s="9" t="str">
        <x:v>RW06</x:v>
      </x:c>
      <x:c r="I564" s="17" t="str">
        <x:v>Receiver service ledger</x:v>
      </x:c>
      <x:c r="J564" s="17" t="str">
        <x:v>Receiver authority</x:v>
      </x:c>
      <x:c r="K564" s="17" t="str">
        <x:v>Public custody F</x:v>
      </x:c>
      <x:c r="L564" s="9" t="n">
        <x:v>0</x:v>
      </x:c>
      <x:c r="M564" s="9" t="n">
        <x:v>0</x:v>
      </x:c>
      <x:c r="N564" s="9" t="n">
        <x:v>0</x:v>
      </x:c>
      <x:c r="O564" s="9" t="n">
        <x:v>0</x:v>
      </x:c>
      <x:c r="P564" s="9" t="str">
        <x:v>UNSEALED / SOURCE-EMPTY</x:v>
      </x:c>
      <x:c r="Q564" s="9" t="n">
        <x:f>COUNTIFS($A$7:$A$1158,A564)</x:f>
        <x:v>1</x:v>
      </x:c>
    </x:row>
    <x:row r="565">
      <x:c r="A565" s="9" t="str">
        <x:v>EV-AR-HC-A-C-TECH-2-B2-RCN-G0-RW07</x:v>
      </x:c>
      <x:c r="B565" s="9" t="str">
        <x:v>EV-AR-HC-A-C-TECH-2-B2-RCN-G0</x:v>
      </x:c>
      <x:c r="C565" s="9" t="str">
        <x:v>AR-HC-A-C-TECH-2-B2-RCN-G0</x:v>
      </x:c>
      <x:c r="D565" s="9" t="str">
        <x:v>HC-A-C-TECH-2</x:v>
      </x:c>
      <x:c r="E565" s="9" t="str">
        <x:v>HC-A-C</x:v>
      </x:c>
      <x:c r="F565" s="9" t="str">
        <x:v>B2</x:v>
      </x:c>
      <x:c r="G565" s="9" t="str">
        <x:v>RCN</x:v>
      </x:c>
      <x:c r="H565" s="9" t="str">
        <x:v>RW07</x:v>
      </x:c>
      <x:c r="I565" s="17" t="str">
        <x:v>Candidate interface telemetry</x:v>
      </x:c>
      <x:c r="J565" s="17" t="str">
        <x:v>Interface custodian</x:v>
      </x:c>
      <x:c r="K565" s="17" t="str">
        <x:v>Public custody A</x:v>
      </x:c>
      <x:c r="L565" s="9" t="n">
        <x:v>0</x:v>
      </x:c>
      <x:c r="M565" s="9" t="n">
        <x:v>0</x:v>
      </x:c>
      <x:c r="N565" s="9" t="n">
        <x:v>0</x:v>
      </x:c>
      <x:c r="O565" s="9" t="n">
        <x:v>0</x:v>
      </x:c>
      <x:c r="P565" s="9" t="str">
        <x:v>UNSEALED / SOURCE-EMPTY</x:v>
      </x:c>
      <x:c r="Q565" s="9" t="n">
        <x:f>COUNTIFS($A$7:$A$1158,A565)</x:f>
        <x:v>1</x:v>
      </x:c>
    </x:row>
    <x:row r="566">
      <x:c r="A566" s="9" t="str">
        <x:v>EV-AR-HC-A-C-TECH-2-B2-RCN-G0-RW08</x:v>
      </x:c>
      <x:c r="B566" s="9" t="str">
        <x:v>EV-AR-HC-A-C-TECH-2-B2-RCN-G0</x:v>
      </x:c>
      <x:c r="C566" s="9" t="str">
        <x:v>AR-HC-A-C-TECH-2-B2-RCN-G0</x:v>
      </x:c>
      <x:c r="D566" s="9" t="str">
        <x:v>HC-A-C-TECH-2</x:v>
      </x:c>
      <x:c r="E566" s="9" t="str">
        <x:v>HC-A-C</x:v>
      </x:c>
      <x:c r="F566" s="9" t="str">
        <x:v>B2</x:v>
      </x:c>
      <x:c r="G566" s="9" t="str">
        <x:v>RCN</x:v>
      </x:c>
      <x:c r="H566" s="9" t="str">
        <x:v>RW08</x:v>
      </x:c>
      <x:c r="I566" s="17" t="str">
        <x:v>Residual and physical evidence</x:v>
      </x:c>
      <x:c r="J566" s="17" t="str">
        <x:v>Residual authority</x:v>
      </x:c>
      <x:c r="K566" s="17" t="str">
        <x:v>Public custody B</x:v>
      </x:c>
      <x:c r="L566" s="9" t="n">
        <x:v>0</x:v>
      </x:c>
      <x:c r="M566" s="9" t="n">
        <x:v>0</x:v>
      </x:c>
      <x:c r="N566" s="9" t="n">
        <x:v>0</x:v>
      </x:c>
      <x:c r="O566" s="9" t="n">
        <x:v>0</x:v>
      </x:c>
      <x:c r="P566" s="9" t="str">
        <x:v>UNSEALED / SOURCE-EMPTY</x:v>
      </x:c>
      <x:c r="Q566" s="9" t="n">
        <x:f>COUNTIFS($A$7:$A$1158,A566)</x:f>
        <x:v>1</x:v>
      </x:c>
    </x:row>
    <x:row r="567">
      <x:c r="A567" s="9" t="str">
        <x:v>EV-AR-LF-B-A-TECH-1-B2-RCN-G0-RW01</x:v>
      </x:c>
      <x:c r="B567" s="9" t="str">
        <x:v>EV-AR-LF-B-A-TECH-1-B2-RCN-G0</x:v>
      </x:c>
      <x:c r="C567" s="9" t="str">
        <x:v>AR-LF-B-A-TECH-1-B2-RCN-G0</x:v>
      </x:c>
      <x:c r="D567" s="9" t="str">
        <x:v>LF-B-A-TECH-1</x:v>
      </x:c>
      <x:c r="E567" s="9" t="str">
        <x:v>LF-B-A</x:v>
      </x:c>
      <x:c r="F567" s="9" t="str">
        <x:v>B2</x:v>
      </x:c>
      <x:c r="G567" s="9" t="str">
        <x:v>RCN</x:v>
      </x:c>
      <x:c r="H567" s="9" t="str">
        <x:v>RW01</x:v>
      </x:c>
      <x:c r="I567" s="17" t="str">
        <x:v>Primary raw stream</x:v>
      </x:c>
      <x:c r="J567" s="17" t="str">
        <x:v>Primary metrology</x:v>
      </x:c>
      <x:c r="K567" s="17" t="str">
        <x:v>Public custody A</x:v>
      </x:c>
      <x:c r="L567" s="9" t="n">
        <x:v>0</x:v>
      </x:c>
      <x:c r="M567" s="9" t="n">
        <x:v>0</x:v>
      </x:c>
      <x:c r="N567" s="9" t="n">
        <x:v>0</x:v>
      </x:c>
      <x:c r="O567" s="9" t="n">
        <x:v>0</x:v>
      </x:c>
      <x:c r="P567" s="9" t="str">
        <x:v>UNSEALED / SOURCE-EMPTY</x:v>
      </x:c>
      <x:c r="Q567" s="9" t="n">
        <x:f>COUNTIFS($A$7:$A$1158,A567)</x:f>
        <x:v>1</x:v>
      </x:c>
    </x:row>
    <x:row r="568">
      <x:c r="A568" s="9" t="str">
        <x:v>EV-AR-LF-B-A-TECH-1-B2-RCN-G0-RW02</x:v>
      </x:c>
      <x:c r="B568" s="9" t="str">
        <x:v>EV-AR-LF-B-A-TECH-1-B2-RCN-G0</x:v>
      </x:c>
      <x:c r="C568" s="9" t="str">
        <x:v>AR-LF-B-A-TECH-1-B2-RCN-G0</x:v>
      </x:c>
      <x:c r="D568" s="9" t="str">
        <x:v>LF-B-A-TECH-1</x:v>
      </x:c>
      <x:c r="E568" s="9" t="str">
        <x:v>LF-B-A</x:v>
      </x:c>
      <x:c r="F568" s="9" t="str">
        <x:v>B2</x:v>
      </x:c>
      <x:c r="G568" s="9" t="str">
        <x:v>RCN</x:v>
      </x:c>
      <x:c r="H568" s="9" t="str">
        <x:v>RW02</x:v>
      </x:c>
      <x:c r="I568" s="17" t="str">
        <x:v>Unlike witness stream</x:v>
      </x:c>
      <x:c r="J568" s="17" t="str">
        <x:v>Witness metrology</x:v>
      </x:c>
      <x:c r="K568" s="17" t="str">
        <x:v>Public custody B</x:v>
      </x:c>
      <x:c r="L568" s="9" t="n">
        <x:v>0</x:v>
      </x:c>
      <x:c r="M568" s="9" t="n">
        <x:v>0</x:v>
      </x:c>
      <x:c r="N568" s="9" t="n">
        <x:v>0</x:v>
      </x:c>
      <x:c r="O568" s="9" t="n">
        <x:v>0</x:v>
      </x:c>
      <x:c r="P568" s="9" t="str">
        <x:v>UNSEALED / SOURCE-EMPTY</x:v>
      </x:c>
      <x:c r="Q568" s="9" t="n">
        <x:f>COUNTIFS($A$7:$A$1158,A568)</x:f>
        <x:v>1</x:v>
      </x:c>
    </x:row>
    <x:row r="569">
      <x:c r="A569" s="9" t="str">
        <x:v>EV-AR-LF-B-A-TECH-1-B2-RCN-G0-RW03</x:v>
      </x:c>
      <x:c r="B569" s="9" t="str">
        <x:v>EV-AR-LF-B-A-TECH-1-B2-RCN-G0</x:v>
      </x:c>
      <x:c r="C569" s="9" t="str">
        <x:v>AR-LF-B-A-TECH-1-B2-RCN-G0</x:v>
      </x:c>
      <x:c r="D569" s="9" t="str">
        <x:v>LF-B-A-TECH-1</x:v>
      </x:c>
      <x:c r="E569" s="9" t="str">
        <x:v>LF-B-A</x:v>
      </x:c>
      <x:c r="F569" s="9" t="str">
        <x:v>B2</x:v>
      </x:c>
      <x:c r="G569" s="9" t="str">
        <x:v>RCN</x:v>
      </x:c>
      <x:c r="H569" s="9" t="str">
        <x:v>RW03</x:v>
      </x:c>
      <x:c r="I569" s="17" t="str">
        <x:v>Event clock and start traces</x:v>
      </x:c>
      <x:c r="J569" s="17" t="str">
        <x:v>Event clock authority</x:v>
      </x:c>
      <x:c r="K569" s="17" t="str">
        <x:v>Public custody C</x:v>
      </x:c>
      <x:c r="L569" s="9" t="n">
        <x:v>0</x:v>
      </x:c>
      <x:c r="M569" s="9" t="n">
        <x:v>0</x:v>
      </x:c>
      <x:c r="N569" s="9" t="n">
        <x:v>0</x:v>
      </x:c>
      <x:c r="O569" s="9" t="n">
        <x:v>0</x:v>
      </x:c>
      <x:c r="P569" s="9" t="str">
        <x:v>UNSEALED / SOURCE-EMPTY</x:v>
      </x:c>
      <x:c r="Q569" s="9" t="n">
        <x:f>COUNTIFS($A$7:$A$1158,A569)</x:f>
        <x:v>1</x:v>
      </x:c>
    </x:row>
    <x:row r="570">
      <x:c r="A570" s="9" t="str">
        <x:v>EV-AR-LF-B-A-TECH-1-B2-RCN-G0-RW04</x:v>
      </x:c>
      <x:c r="B570" s="9" t="str">
        <x:v>EV-AR-LF-B-A-TECH-1-B2-RCN-G0</x:v>
      </x:c>
      <x:c r="C570" s="9" t="str">
        <x:v>AR-LF-B-A-TECH-1-B2-RCN-G0</x:v>
      </x:c>
      <x:c r="D570" s="9" t="str">
        <x:v>LF-B-A-TECH-1</x:v>
      </x:c>
      <x:c r="E570" s="9" t="str">
        <x:v>LF-B-A</x:v>
      </x:c>
      <x:c r="F570" s="9" t="str">
        <x:v>B2</x:v>
      </x:c>
      <x:c r="G570" s="9" t="str">
        <x:v>RCN</x:v>
      </x:c>
      <x:c r="H570" s="9" t="str">
        <x:v>RW04</x:v>
      </x:c>
      <x:c r="I570" s="17" t="str">
        <x:v>Environmental boundary stream</x:v>
      </x:c>
      <x:c r="J570" s="17" t="str">
        <x:v>Site metrology</x:v>
      </x:c>
      <x:c r="K570" s="17" t="str">
        <x:v>Public custody D</x:v>
      </x:c>
      <x:c r="L570" s="9" t="n">
        <x:v>0</x:v>
      </x:c>
      <x:c r="M570" s="9" t="n">
        <x:v>0</x:v>
      </x:c>
      <x:c r="N570" s="9" t="n">
        <x:v>0</x:v>
      </x:c>
      <x:c r="O570" s="9" t="n">
        <x:v>0</x:v>
      </x:c>
      <x:c r="P570" s="9" t="str">
        <x:v>UNSEALED / SOURCE-EMPTY</x:v>
      </x:c>
      <x:c r="Q570" s="9" t="n">
        <x:f>COUNTIFS($A$7:$A$1158,A570)</x:f>
        <x:v>1</x:v>
      </x:c>
    </x:row>
    <x:row r="571">
      <x:c r="A571" s="9" t="str">
        <x:v>EV-AR-LF-B-A-TECH-1-B2-RCN-G0-RW05</x:v>
      </x:c>
      <x:c r="B571" s="9" t="str">
        <x:v>EV-AR-LF-B-A-TECH-1-B2-RCN-G0</x:v>
      </x:c>
      <x:c r="C571" s="9" t="str">
        <x:v>AR-LF-B-A-TECH-1-B2-RCN-G0</x:v>
      </x:c>
      <x:c r="D571" s="9" t="str">
        <x:v>LF-B-A-TECH-1</x:v>
      </x:c>
      <x:c r="E571" s="9" t="str">
        <x:v>LF-B-A</x:v>
      </x:c>
      <x:c r="F571" s="9" t="str">
        <x:v>B2</x:v>
      </x:c>
      <x:c r="G571" s="9" t="str">
        <x:v>RCN</x:v>
      </x:c>
      <x:c r="H571" s="9" t="str">
        <x:v>RW05</x:v>
      </x:c>
      <x:c r="I571" s="17" t="str">
        <x:v>Command and intervention log</x:v>
      </x:c>
      <x:c r="J571" s="17" t="str">
        <x:v>Safety authority</x:v>
      </x:c>
      <x:c r="K571" s="17" t="str">
        <x:v>Public custody E</x:v>
      </x:c>
      <x:c r="L571" s="9" t="n">
        <x:v>0</x:v>
      </x:c>
      <x:c r="M571" s="9" t="n">
        <x:v>0</x:v>
      </x:c>
      <x:c r="N571" s="9" t="n">
        <x:v>0</x:v>
      </x:c>
      <x:c r="O571" s="9" t="n">
        <x:v>0</x:v>
      </x:c>
      <x:c r="P571" s="9" t="str">
        <x:v>UNSEALED / SOURCE-EMPTY</x:v>
      </x:c>
      <x:c r="Q571" s="9" t="n">
        <x:f>COUNTIFS($A$7:$A$1158,A571)</x:f>
        <x:v>1</x:v>
      </x:c>
    </x:row>
    <x:row r="572">
      <x:c r="A572" s="9" t="str">
        <x:v>EV-AR-LF-B-A-TECH-1-B2-RCN-G0-RW06</x:v>
      </x:c>
      <x:c r="B572" s="9" t="str">
        <x:v>EV-AR-LF-B-A-TECH-1-B2-RCN-G0</x:v>
      </x:c>
      <x:c r="C572" s="9" t="str">
        <x:v>AR-LF-B-A-TECH-1-B2-RCN-G0</x:v>
      </x:c>
      <x:c r="D572" s="9" t="str">
        <x:v>LF-B-A-TECH-1</x:v>
      </x:c>
      <x:c r="E572" s="9" t="str">
        <x:v>LF-B-A</x:v>
      </x:c>
      <x:c r="F572" s="9" t="str">
        <x:v>B2</x:v>
      </x:c>
      <x:c r="G572" s="9" t="str">
        <x:v>RCN</x:v>
      </x:c>
      <x:c r="H572" s="9" t="str">
        <x:v>RW06</x:v>
      </x:c>
      <x:c r="I572" s="17" t="str">
        <x:v>Receiver service ledger</x:v>
      </x:c>
      <x:c r="J572" s="17" t="str">
        <x:v>Receiver authority</x:v>
      </x:c>
      <x:c r="K572" s="17" t="str">
        <x:v>Public custody F</x:v>
      </x:c>
      <x:c r="L572" s="9" t="n">
        <x:v>0</x:v>
      </x:c>
      <x:c r="M572" s="9" t="n">
        <x:v>0</x:v>
      </x:c>
      <x:c r="N572" s="9" t="n">
        <x:v>0</x:v>
      </x:c>
      <x:c r="O572" s="9" t="n">
        <x:v>0</x:v>
      </x:c>
      <x:c r="P572" s="9" t="str">
        <x:v>UNSEALED / SOURCE-EMPTY</x:v>
      </x:c>
      <x:c r="Q572" s="9" t="n">
        <x:f>COUNTIFS($A$7:$A$1158,A572)</x:f>
        <x:v>1</x:v>
      </x:c>
    </x:row>
    <x:row r="573">
      <x:c r="A573" s="9" t="str">
        <x:v>EV-AR-LF-B-A-TECH-1-B2-RCN-G0-RW07</x:v>
      </x:c>
      <x:c r="B573" s="9" t="str">
        <x:v>EV-AR-LF-B-A-TECH-1-B2-RCN-G0</x:v>
      </x:c>
      <x:c r="C573" s="9" t="str">
        <x:v>AR-LF-B-A-TECH-1-B2-RCN-G0</x:v>
      </x:c>
      <x:c r="D573" s="9" t="str">
        <x:v>LF-B-A-TECH-1</x:v>
      </x:c>
      <x:c r="E573" s="9" t="str">
        <x:v>LF-B-A</x:v>
      </x:c>
      <x:c r="F573" s="9" t="str">
        <x:v>B2</x:v>
      </x:c>
      <x:c r="G573" s="9" t="str">
        <x:v>RCN</x:v>
      </x:c>
      <x:c r="H573" s="9" t="str">
        <x:v>RW07</x:v>
      </x:c>
      <x:c r="I573" s="17" t="str">
        <x:v>Candidate interface telemetry</x:v>
      </x:c>
      <x:c r="J573" s="17" t="str">
        <x:v>Interface custodian</x:v>
      </x:c>
      <x:c r="K573" s="17" t="str">
        <x:v>Public custody A</x:v>
      </x:c>
      <x:c r="L573" s="9" t="n">
        <x:v>0</x:v>
      </x:c>
      <x:c r="M573" s="9" t="n">
        <x:v>0</x:v>
      </x:c>
      <x:c r="N573" s="9" t="n">
        <x:v>0</x:v>
      </x:c>
      <x:c r="O573" s="9" t="n">
        <x:v>0</x:v>
      </x:c>
      <x:c r="P573" s="9" t="str">
        <x:v>UNSEALED / SOURCE-EMPTY</x:v>
      </x:c>
      <x:c r="Q573" s="9" t="n">
        <x:f>COUNTIFS($A$7:$A$1158,A573)</x:f>
        <x:v>1</x:v>
      </x:c>
    </x:row>
    <x:row r="574">
      <x:c r="A574" s="9" t="str">
        <x:v>EV-AR-LF-B-A-TECH-1-B2-RCN-G0-RW08</x:v>
      </x:c>
      <x:c r="B574" s="9" t="str">
        <x:v>EV-AR-LF-B-A-TECH-1-B2-RCN-G0</x:v>
      </x:c>
      <x:c r="C574" s="9" t="str">
        <x:v>AR-LF-B-A-TECH-1-B2-RCN-G0</x:v>
      </x:c>
      <x:c r="D574" s="9" t="str">
        <x:v>LF-B-A-TECH-1</x:v>
      </x:c>
      <x:c r="E574" s="9" t="str">
        <x:v>LF-B-A</x:v>
      </x:c>
      <x:c r="F574" s="9" t="str">
        <x:v>B2</x:v>
      </x:c>
      <x:c r="G574" s="9" t="str">
        <x:v>RCN</x:v>
      </x:c>
      <x:c r="H574" s="9" t="str">
        <x:v>RW08</x:v>
      </x:c>
      <x:c r="I574" s="17" t="str">
        <x:v>Residual and physical evidence</x:v>
      </x:c>
      <x:c r="J574" s="17" t="str">
        <x:v>Residual authority</x:v>
      </x:c>
      <x:c r="K574" s="17" t="str">
        <x:v>Public custody B</x:v>
      </x:c>
      <x:c r="L574" s="9" t="n">
        <x:v>0</x:v>
      </x:c>
      <x:c r="M574" s="9" t="n">
        <x:v>0</x:v>
      </x:c>
      <x:c r="N574" s="9" t="n">
        <x:v>0</x:v>
      </x:c>
      <x:c r="O574" s="9" t="n">
        <x:v>0</x:v>
      </x:c>
      <x:c r="P574" s="9" t="str">
        <x:v>UNSEALED / SOURCE-EMPTY</x:v>
      </x:c>
      <x:c r="Q574" s="9" t="n">
        <x:f>COUNTIFS($A$7:$A$1158,A574)</x:f>
        <x:v>1</x:v>
      </x:c>
    </x:row>
    <x:row r="575">
      <x:c r="A575" s="9" t="str">
        <x:v>EV-AR-RT-B-C-TECH-1-B2-BRK-G0-RW01</x:v>
      </x:c>
      <x:c r="B575" s="9" t="str">
        <x:v>EV-AR-RT-B-C-TECH-1-B2-BRK-G0</x:v>
      </x:c>
      <x:c r="C575" s="9" t="str">
        <x:v>AR-RT-B-C-TECH-1-B2-BRK-G0</x:v>
      </x:c>
      <x:c r="D575" s="9" t="str">
        <x:v>RT-B-C-TECH-1</x:v>
      </x:c>
      <x:c r="E575" s="9" t="str">
        <x:v>RT-B-C</x:v>
      </x:c>
      <x:c r="F575" s="9" t="str">
        <x:v>B2</x:v>
      </x:c>
      <x:c r="G575" s="9" t="str">
        <x:v>BRK</x:v>
      </x:c>
      <x:c r="H575" s="9" t="str">
        <x:v>RW01</x:v>
      </x:c>
      <x:c r="I575" s="17" t="str">
        <x:v>Primary raw stream</x:v>
      </x:c>
      <x:c r="J575" s="17" t="str">
        <x:v>Primary metrology</x:v>
      </x:c>
      <x:c r="K575" s="17" t="str">
        <x:v>Public custody A</x:v>
      </x:c>
      <x:c r="L575" s="9" t="n">
        <x:v>0</x:v>
      </x:c>
      <x:c r="M575" s="9" t="n">
        <x:v>0</x:v>
      </x:c>
      <x:c r="N575" s="9" t="n">
        <x:v>0</x:v>
      </x:c>
      <x:c r="O575" s="9" t="n">
        <x:v>0</x:v>
      </x:c>
      <x:c r="P575" s="9" t="str">
        <x:v>UNSEALED / SOURCE-EMPTY</x:v>
      </x:c>
      <x:c r="Q575" s="9" t="n">
        <x:f>COUNTIFS($A$7:$A$1158,A575)</x:f>
        <x:v>1</x:v>
      </x:c>
    </x:row>
    <x:row r="576">
      <x:c r="A576" s="9" t="str">
        <x:v>EV-AR-RT-B-C-TECH-1-B2-BRK-G0-RW02</x:v>
      </x:c>
      <x:c r="B576" s="9" t="str">
        <x:v>EV-AR-RT-B-C-TECH-1-B2-BRK-G0</x:v>
      </x:c>
      <x:c r="C576" s="9" t="str">
        <x:v>AR-RT-B-C-TECH-1-B2-BRK-G0</x:v>
      </x:c>
      <x:c r="D576" s="9" t="str">
        <x:v>RT-B-C-TECH-1</x:v>
      </x:c>
      <x:c r="E576" s="9" t="str">
        <x:v>RT-B-C</x:v>
      </x:c>
      <x:c r="F576" s="9" t="str">
        <x:v>B2</x:v>
      </x:c>
      <x:c r="G576" s="9" t="str">
        <x:v>BRK</x:v>
      </x:c>
      <x:c r="H576" s="9" t="str">
        <x:v>RW02</x:v>
      </x:c>
      <x:c r="I576" s="17" t="str">
        <x:v>Unlike witness stream</x:v>
      </x:c>
      <x:c r="J576" s="17" t="str">
        <x:v>Witness metrology</x:v>
      </x:c>
      <x:c r="K576" s="17" t="str">
        <x:v>Public custody B</x:v>
      </x:c>
      <x:c r="L576" s="9" t="n">
        <x:v>0</x:v>
      </x:c>
      <x:c r="M576" s="9" t="n">
        <x:v>0</x:v>
      </x:c>
      <x:c r="N576" s="9" t="n">
        <x:v>0</x:v>
      </x:c>
      <x:c r="O576" s="9" t="n">
        <x:v>0</x:v>
      </x:c>
      <x:c r="P576" s="9" t="str">
        <x:v>UNSEALED / SOURCE-EMPTY</x:v>
      </x:c>
      <x:c r="Q576" s="9" t="n">
        <x:f>COUNTIFS($A$7:$A$1158,A576)</x:f>
        <x:v>1</x:v>
      </x:c>
    </x:row>
    <x:row r="577">
      <x:c r="A577" s="9" t="str">
        <x:v>EV-AR-RT-B-C-TECH-1-B2-BRK-G0-RW03</x:v>
      </x:c>
      <x:c r="B577" s="9" t="str">
        <x:v>EV-AR-RT-B-C-TECH-1-B2-BRK-G0</x:v>
      </x:c>
      <x:c r="C577" s="9" t="str">
        <x:v>AR-RT-B-C-TECH-1-B2-BRK-G0</x:v>
      </x:c>
      <x:c r="D577" s="9" t="str">
        <x:v>RT-B-C-TECH-1</x:v>
      </x:c>
      <x:c r="E577" s="9" t="str">
        <x:v>RT-B-C</x:v>
      </x:c>
      <x:c r="F577" s="9" t="str">
        <x:v>B2</x:v>
      </x:c>
      <x:c r="G577" s="9" t="str">
        <x:v>BRK</x:v>
      </x:c>
      <x:c r="H577" s="9" t="str">
        <x:v>RW03</x:v>
      </x:c>
      <x:c r="I577" s="17" t="str">
        <x:v>Event clock and start traces</x:v>
      </x:c>
      <x:c r="J577" s="17" t="str">
        <x:v>Event clock authority</x:v>
      </x:c>
      <x:c r="K577" s="17" t="str">
        <x:v>Public custody C</x:v>
      </x:c>
      <x:c r="L577" s="9" t="n">
        <x:v>0</x:v>
      </x:c>
      <x:c r="M577" s="9" t="n">
        <x:v>0</x:v>
      </x:c>
      <x:c r="N577" s="9" t="n">
        <x:v>0</x:v>
      </x:c>
      <x:c r="O577" s="9" t="n">
        <x:v>0</x:v>
      </x:c>
      <x:c r="P577" s="9" t="str">
        <x:v>UNSEALED / SOURCE-EMPTY</x:v>
      </x:c>
      <x:c r="Q577" s="9" t="n">
        <x:f>COUNTIFS($A$7:$A$1158,A577)</x:f>
        <x:v>1</x:v>
      </x:c>
    </x:row>
    <x:row r="578">
      <x:c r="A578" s="9" t="str">
        <x:v>EV-AR-RT-B-C-TECH-1-B2-BRK-G0-RW04</x:v>
      </x:c>
      <x:c r="B578" s="9" t="str">
        <x:v>EV-AR-RT-B-C-TECH-1-B2-BRK-G0</x:v>
      </x:c>
      <x:c r="C578" s="9" t="str">
        <x:v>AR-RT-B-C-TECH-1-B2-BRK-G0</x:v>
      </x:c>
      <x:c r="D578" s="9" t="str">
        <x:v>RT-B-C-TECH-1</x:v>
      </x:c>
      <x:c r="E578" s="9" t="str">
        <x:v>RT-B-C</x:v>
      </x:c>
      <x:c r="F578" s="9" t="str">
        <x:v>B2</x:v>
      </x:c>
      <x:c r="G578" s="9" t="str">
        <x:v>BRK</x:v>
      </x:c>
      <x:c r="H578" s="9" t="str">
        <x:v>RW04</x:v>
      </x:c>
      <x:c r="I578" s="17" t="str">
        <x:v>Environmental boundary stream</x:v>
      </x:c>
      <x:c r="J578" s="17" t="str">
        <x:v>Site metrology</x:v>
      </x:c>
      <x:c r="K578" s="17" t="str">
        <x:v>Public custody D</x:v>
      </x:c>
      <x:c r="L578" s="9" t="n">
        <x:v>0</x:v>
      </x:c>
      <x:c r="M578" s="9" t="n">
        <x:v>0</x:v>
      </x:c>
      <x:c r="N578" s="9" t="n">
        <x:v>0</x:v>
      </x:c>
      <x:c r="O578" s="9" t="n">
        <x:v>0</x:v>
      </x:c>
      <x:c r="P578" s="9" t="str">
        <x:v>UNSEALED / SOURCE-EMPTY</x:v>
      </x:c>
      <x:c r="Q578" s="9" t="n">
        <x:f>COUNTIFS($A$7:$A$1158,A578)</x:f>
        <x:v>1</x:v>
      </x:c>
    </x:row>
    <x:row r="579">
      <x:c r="A579" s="9" t="str">
        <x:v>EV-AR-RT-B-C-TECH-1-B2-BRK-G0-RW05</x:v>
      </x:c>
      <x:c r="B579" s="9" t="str">
        <x:v>EV-AR-RT-B-C-TECH-1-B2-BRK-G0</x:v>
      </x:c>
      <x:c r="C579" s="9" t="str">
        <x:v>AR-RT-B-C-TECH-1-B2-BRK-G0</x:v>
      </x:c>
      <x:c r="D579" s="9" t="str">
        <x:v>RT-B-C-TECH-1</x:v>
      </x:c>
      <x:c r="E579" s="9" t="str">
        <x:v>RT-B-C</x:v>
      </x:c>
      <x:c r="F579" s="9" t="str">
        <x:v>B2</x:v>
      </x:c>
      <x:c r="G579" s="9" t="str">
        <x:v>BRK</x:v>
      </x:c>
      <x:c r="H579" s="9" t="str">
        <x:v>RW05</x:v>
      </x:c>
      <x:c r="I579" s="17" t="str">
        <x:v>Command and intervention log</x:v>
      </x:c>
      <x:c r="J579" s="17" t="str">
        <x:v>Safety authority</x:v>
      </x:c>
      <x:c r="K579" s="17" t="str">
        <x:v>Public custody E</x:v>
      </x:c>
      <x:c r="L579" s="9" t="n">
        <x:v>0</x:v>
      </x:c>
      <x:c r="M579" s="9" t="n">
        <x:v>0</x:v>
      </x:c>
      <x:c r="N579" s="9" t="n">
        <x:v>0</x:v>
      </x:c>
      <x:c r="O579" s="9" t="n">
        <x:v>0</x:v>
      </x:c>
      <x:c r="P579" s="9" t="str">
        <x:v>UNSEALED / SOURCE-EMPTY</x:v>
      </x:c>
      <x:c r="Q579" s="9" t="n">
        <x:f>COUNTIFS($A$7:$A$1158,A579)</x:f>
        <x:v>1</x:v>
      </x:c>
    </x:row>
    <x:row r="580">
      <x:c r="A580" s="9" t="str">
        <x:v>EV-AR-RT-B-C-TECH-1-B2-BRK-G0-RW06</x:v>
      </x:c>
      <x:c r="B580" s="9" t="str">
        <x:v>EV-AR-RT-B-C-TECH-1-B2-BRK-G0</x:v>
      </x:c>
      <x:c r="C580" s="9" t="str">
        <x:v>AR-RT-B-C-TECH-1-B2-BRK-G0</x:v>
      </x:c>
      <x:c r="D580" s="9" t="str">
        <x:v>RT-B-C-TECH-1</x:v>
      </x:c>
      <x:c r="E580" s="9" t="str">
        <x:v>RT-B-C</x:v>
      </x:c>
      <x:c r="F580" s="9" t="str">
        <x:v>B2</x:v>
      </x:c>
      <x:c r="G580" s="9" t="str">
        <x:v>BRK</x:v>
      </x:c>
      <x:c r="H580" s="9" t="str">
        <x:v>RW06</x:v>
      </x:c>
      <x:c r="I580" s="17" t="str">
        <x:v>Receiver service ledger</x:v>
      </x:c>
      <x:c r="J580" s="17" t="str">
        <x:v>Receiver authority</x:v>
      </x:c>
      <x:c r="K580" s="17" t="str">
        <x:v>Public custody F</x:v>
      </x:c>
      <x:c r="L580" s="9" t="n">
        <x:v>0</x:v>
      </x:c>
      <x:c r="M580" s="9" t="n">
        <x:v>0</x:v>
      </x:c>
      <x:c r="N580" s="9" t="n">
        <x:v>0</x:v>
      </x:c>
      <x:c r="O580" s="9" t="n">
        <x:v>0</x:v>
      </x:c>
      <x:c r="P580" s="9" t="str">
        <x:v>UNSEALED / SOURCE-EMPTY</x:v>
      </x:c>
      <x:c r="Q580" s="9" t="n">
        <x:f>COUNTIFS($A$7:$A$1158,A580)</x:f>
        <x:v>1</x:v>
      </x:c>
    </x:row>
    <x:row r="581">
      <x:c r="A581" s="9" t="str">
        <x:v>EV-AR-RT-B-C-TECH-1-B2-BRK-G0-RW07</x:v>
      </x:c>
      <x:c r="B581" s="9" t="str">
        <x:v>EV-AR-RT-B-C-TECH-1-B2-BRK-G0</x:v>
      </x:c>
      <x:c r="C581" s="9" t="str">
        <x:v>AR-RT-B-C-TECH-1-B2-BRK-G0</x:v>
      </x:c>
      <x:c r="D581" s="9" t="str">
        <x:v>RT-B-C-TECH-1</x:v>
      </x:c>
      <x:c r="E581" s="9" t="str">
        <x:v>RT-B-C</x:v>
      </x:c>
      <x:c r="F581" s="9" t="str">
        <x:v>B2</x:v>
      </x:c>
      <x:c r="G581" s="9" t="str">
        <x:v>BRK</x:v>
      </x:c>
      <x:c r="H581" s="9" t="str">
        <x:v>RW07</x:v>
      </x:c>
      <x:c r="I581" s="17" t="str">
        <x:v>Candidate interface telemetry</x:v>
      </x:c>
      <x:c r="J581" s="17" t="str">
        <x:v>Interface custodian</x:v>
      </x:c>
      <x:c r="K581" s="17" t="str">
        <x:v>Public custody A</x:v>
      </x:c>
      <x:c r="L581" s="9" t="n">
        <x:v>0</x:v>
      </x:c>
      <x:c r="M581" s="9" t="n">
        <x:v>0</x:v>
      </x:c>
      <x:c r="N581" s="9" t="n">
        <x:v>0</x:v>
      </x:c>
      <x:c r="O581" s="9" t="n">
        <x:v>0</x:v>
      </x:c>
      <x:c r="P581" s="9" t="str">
        <x:v>UNSEALED / SOURCE-EMPTY</x:v>
      </x:c>
      <x:c r="Q581" s="9" t="n">
        <x:f>COUNTIFS($A$7:$A$1158,A581)</x:f>
        <x:v>1</x:v>
      </x:c>
    </x:row>
    <x:row r="582">
      <x:c r="A582" s="9" t="str">
        <x:v>EV-AR-RT-B-C-TECH-1-B2-BRK-G0-RW08</x:v>
      </x:c>
      <x:c r="B582" s="9" t="str">
        <x:v>EV-AR-RT-B-C-TECH-1-B2-BRK-G0</x:v>
      </x:c>
      <x:c r="C582" s="9" t="str">
        <x:v>AR-RT-B-C-TECH-1-B2-BRK-G0</x:v>
      </x:c>
      <x:c r="D582" s="9" t="str">
        <x:v>RT-B-C-TECH-1</x:v>
      </x:c>
      <x:c r="E582" s="9" t="str">
        <x:v>RT-B-C</x:v>
      </x:c>
      <x:c r="F582" s="9" t="str">
        <x:v>B2</x:v>
      </x:c>
      <x:c r="G582" s="9" t="str">
        <x:v>BRK</x:v>
      </x:c>
      <x:c r="H582" s="9" t="str">
        <x:v>RW08</x:v>
      </x:c>
      <x:c r="I582" s="17" t="str">
        <x:v>Residual and physical evidence</x:v>
      </x:c>
      <x:c r="J582" s="17" t="str">
        <x:v>Residual authority</x:v>
      </x:c>
      <x:c r="K582" s="17" t="str">
        <x:v>Public custody B</x:v>
      </x:c>
      <x:c r="L582" s="9" t="n">
        <x:v>0</x:v>
      </x:c>
      <x:c r="M582" s="9" t="n">
        <x:v>0</x:v>
      </x:c>
      <x:c r="N582" s="9" t="n">
        <x:v>0</x:v>
      </x:c>
      <x:c r="O582" s="9" t="n">
        <x:v>0</x:v>
      </x:c>
      <x:c r="P582" s="9" t="str">
        <x:v>UNSEALED / SOURCE-EMPTY</x:v>
      </x:c>
      <x:c r="Q582" s="9" t="n">
        <x:f>COUNTIFS($A$7:$A$1158,A582)</x:f>
        <x:v>1</x:v>
      </x:c>
    </x:row>
    <x:row r="583">
      <x:c r="A583" s="9" t="str">
        <x:v>EV-AR-CT-C-B-TECH-2-B2-INT-G0-RW01</x:v>
      </x:c>
      <x:c r="B583" s="9" t="str">
        <x:v>EV-AR-CT-C-B-TECH-2-B2-INT-G0</x:v>
      </x:c>
      <x:c r="C583" s="9" t="str">
        <x:v>AR-CT-C-B-TECH-2-B2-INT-G0</x:v>
      </x:c>
      <x:c r="D583" s="9" t="str">
        <x:v>CT-C-B-TECH-2</x:v>
      </x:c>
      <x:c r="E583" s="9" t="str">
        <x:v>CT-C-B</x:v>
      </x:c>
      <x:c r="F583" s="9" t="str">
        <x:v>B2</x:v>
      </x:c>
      <x:c r="G583" s="9" t="str">
        <x:v>INT</x:v>
      </x:c>
      <x:c r="H583" s="9" t="str">
        <x:v>RW01</x:v>
      </x:c>
      <x:c r="I583" s="17" t="str">
        <x:v>Primary raw stream</x:v>
      </x:c>
      <x:c r="J583" s="17" t="str">
        <x:v>Primary metrology</x:v>
      </x:c>
      <x:c r="K583" s="17" t="str">
        <x:v>Public custody A</x:v>
      </x:c>
      <x:c r="L583" s="9" t="n">
        <x:v>0</x:v>
      </x:c>
      <x:c r="M583" s="9" t="n">
        <x:v>0</x:v>
      </x:c>
      <x:c r="N583" s="9" t="n">
        <x:v>0</x:v>
      </x:c>
      <x:c r="O583" s="9" t="n">
        <x:v>0</x:v>
      </x:c>
      <x:c r="P583" s="9" t="str">
        <x:v>UNSEALED / SOURCE-EMPTY</x:v>
      </x:c>
      <x:c r="Q583" s="9" t="n">
        <x:f>COUNTIFS($A$7:$A$1158,A583)</x:f>
        <x:v>1</x:v>
      </x:c>
    </x:row>
    <x:row r="584">
      <x:c r="A584" s="9" t="str">
        <x:v>EV-AR-CT-C-B-TECH-2-B2-INT-G0-RW02</x:v>
      </x:c>
      <x:c r="B584" s="9" t="str">
        <x:v>EV-AR-CT-C-B-TECH-2-B2-INT-G0</x:v>
      </x:c>
      <x:c r="C584" s="9" t="str">
        <x:v>AR-CT-C-B-TECH-2-B2-INT-G0</x:v>
      </x:c>
      <x:c r="D584" s="9" t="str">
        <x:v>CT-C-B-TECH-2</x:v>
      </x:c>
      <x:c r="E584" s="9" t="str">
        <x:v>CT-C-B</x:v>
      </x:c>
      <x:c r="F584" s="9" t="str">
        <x:v>B2</x:v>
      </x:c>
      <x:c r="G584" s="9" t="str">
        <x:v>INT</x:v>
      </x:c>
      <x:c r="H584" s="9" t="str">
        <x:v>RW02</x:v>
      </x:c>
      <x:c r="I584" s="17" t="str">
        <x:v>Unlike witness stream</x:v>
      </x:c>
      <x:c r="J584" s="17" t="str">
        <x:v>Witness metrology</x:v>
      </x:c>
      <x:c r="K584" s="17" t="str">
        <x:v>Public custody B</x:v>
      </x:c>
      <x:c r="L584" s="9" t="n">
        <x:v>0</x:v>
      </x:c>
      <x:c r="M584" s="9" t="n">
        <x:v>0</x:v>
      </x:c>
      <x:c r="N584" s="9" t="n">
        <x:v>0</x:v>
      </x:c>
      <x:c r="O584" s="9" t="n">
        <x:v>0</x:v>
      </x:c>
      <x:c r="P584" s="9" t="str">
        <x:v>UNSEALED / SOURCE-EMPTY</x:v>
      </x:c>
      <x:c r="Q584" s="9" t="n">
        <x:f>COUNTIFS($A$7:$A$1158,A584)</x:f>
        <x:v>1</x:v>
      </x:c>
    </x:row>
    <x:row r="585">
      <x:c r="A585" s="9" t="str">
        <x:v>EV-AR-CT-C-B-TECH-2-B2-INT-G0-RW03</x:v>
      </x:c>
      <x:c r="B585" s="9" t="str">
        <x:v>EV-AR-CT-C-B-TECH-2-B2-INT-G0</x:v>
      </x:c>
      <x:c r="C585" s="9" t="str">
        <x:v>AR-CT-C-B-TECH-2-B2-INT-G0</x:v>
      </x:c>
      <x:c r="D585" s="9" t="str">
        <x:v>CT-C-B-TECH-2</x:v>
      </x:c>
      <x:c r="E585" s="9" t="str">
        <x:v>CT-C-B</x:v>
      </x:c>
      <x:c r="F585" s="9" t="str">
        <x:v>B2</x:v>
      </x:c>
      <x:c r="G585" s="9" t="str">
        <x:v>INT</x:v>
      </x:c>
      <x:c r="H585" s="9" t="str">
        <x:v>RW03</x:v>
      </x:c>
      <x:c r="I585" s="17" t="str">
        <x:v>Event clock and start traces</x:v>
      </x:c>
      <x:c r="J585" s="17" t="str">
        <x:v>Event clock authority</x:v>
      </x:c>
      <x:c r="K585" s="17" t="str">
        <x:v>Public custody C</x:v>
      </x:c>
      <x:c r="L585" s="9" t="n">
        <x:v>0</x:v>
      </x:c>
      <x:c r="M585" s="9" t="n">
        <x:v>0</x:v>
      </x:c>
      <x:c r="N585" s="9" t="n">
        <x:v>0</x:v>
      </x:c>
      <x:c r="O585" s="9" t="n">
        <x:v>0</x:v>
      </x:c>
      <x:c r="P585" s="9" t="str">
        <x:v>UNSEALED / SOURCE-EMPTY</x:v>
      </x:c>
      <x:c r="Q585" s="9" t="n">
        <x:f>COUNTIFS($A$7:$A$1158,A585)</x:f>
        <x:v>1</x:v>
      </x:c>
    </x:row>
    <x:row r="586">
      <x:c r="A586" s="9" t="str">
        <x:v>EV-AR-CT-C-B-TECH-2-B2-INT-G0-RW04</x:v>
      </x:c>
      <x:c r="B586" s="9" t="str">
        <x:v>EV-AR-CT-C-B-TECH-2-B2-INT-G0</x:v>
      </x:c>
      <x:c r="C586" s="9" t="str">
        <x:v>AR-CT-C-B-TECH-2-B2-INT-G0</x:v>
      </x:c>
      <x:c r="D586" s="9" t="str">
        <x:v>CT-C-B-TECH-2</x:v>
      </x:c>
      <x:c r="E586" s="9" t="str">
        <x:v>CT-C-B</x:v>
      </x:c>
      <x:c r="F586" s="9" t="str">
        <x:v>B2</x:v>
      </x:c>
      <x:c r="G586" s="9" t="str">
        <x:v>INT</x:v>
      </x:c>
      <x:c r="H586" s="9" t="str">
        <x:v>RW04</x:v>
      </x:c>
      <x:c r="I586" s="17" t="str">
        <x:v>Environmental boundary stream</x:v>
      </x:c>
      <x:c r="J586" s="17" t="str">
        <x:v>Site metrology</x:v>
      </x:c>
      <x:c r="K586" s="17" t="str">
        <x:v>Public custody D</x:v>
      </x:c>
      <x:c r="L586" s="9" t="n">
        <x:v>0</x:v>
      </x:c>
      <x:c r="M586" s="9" t="n">
        <x:v>0</x:v>
      </x:c>
      <x:c r="N586" s="9" t="n">
        <x:v>0</x:v>
      </x:c>
      <x:c r="O586" s="9" t="n">
        <x:v>0</x:v>
      </x:c>
      <x:c r="P586" s="9" t="str">
        <x:v>UNSEALED / SOURCE-EMPTY</x:v>
      </x:c>
      <x:c r="Q586" s="9" t="n">
        <x:f>COUNTIFS($A$7:$A$1158,A586)</x:f>
        <x:v>1</x:v>
      </x:c>
    </x:row>
    <x:row r="587">
      <x:c r="A587" s="9" t="str">
        <x:v>EV-AR-CT-C-B-TECH-2-B2-INT-G0-RW05</x:v>
      </x:c>
      <x:c r="B587" s="9" t="str">
        <x:v>EV-AR-CT-C-B-TECH-2-B2-INT-G0</x:v>
      </x:c>
      <x:c r="C587" s="9" t="str">
        <x:v>AR-CT-C-B-TECH-2-B2-INT-G0</x:v>
      </x:c>
      <x:c r="D587" s="9" t="str">
        <x:v>CT-C-B-TECH-2</x:v>
      </x:c>
      <x:c r="E587" s="9" t="str">
        <x:v>CT-C-B</x:v>
      </x:c>
      <x:c r="F587" s="9" t="str">
        <x:v>B2</x:v>
      </x:c>
      <x:c r="G587" s="9" t="str">
        <x:v>INT</x:v>
      </x:c>
      <x:c r="H587" s="9" t="str">
        <x:v>RW05</x:v>
      </x:c>
      <x:c r="I587" s="17" t="str">
        <x:v>Command and intervention log</x:v>
      </x:c>
      <x:c r="J587" s="17" t="str">
        <x:v>Safety authority</x:v>
      </x:c>
      <x:c r="K587" s="17" t="str">
        <x:v>Public custody E</x:v>
      </x:c>
      <x:c r="L587" s="9" t="n">
        <x:v>0</x:v>
      </x:c>
      <x:c r="M587" s="9" t="n">
        <x:v>0</x:v>
      </x:c>
      <x:c r="N587" s="9" t="n">
        <x:v>0</x:v>
      </x:c>
      <x:c r="O587" s="9" t="n">
        <x:v>0</x:v>
      </x:c>
      <x:c r="P587" s="9" t="str">
        <x:v>UNSEALED / SOURCE-EMPTY</x:v>
      </x:c>
      <x:c r="Q587" s="9" t="n">
        <x:f>COUNTIFS($A$7:$A$1158,A587)</x:f>
        <x:v>1</x:v>
      </x:c>
    </x:row>
    <x:row r="588">
      <x:c r="A588" s="9" t="str">
        <x:v>EV-AR-CT-C-B-TECH-2-B2-INT-G0-RW06</x:v>
      </x:c>
      <x:c r="B588" s="9" t="str">
        <x:v>EV-AR-CT-C-B-TECH-2-B2-INT-G0</x:v>
      </x:c>
      <x:c r="C588" s="9" t="str">
        <x:v>AR-CT-C-B-TECH-2-B2-INT-G0</x:v>
      </x:c>
      <x:c r="D588" s="9" t="str">
        <x:v>CT-C-B-TECH-2</x:v>
      </x:c>
      <x:c r="E588" s="9" t="str">
        <x:v>CT-C-B</x:v>
      </x:c>
      <x:c r="F588" s="9" t="str">
        <x:v>B2</x:v>
      </x:c>
      <x:c r="G588" s="9" t="str">
        <x:v>INT</x:v>
      </x:c>
      <x:c r="H588" s="9" t="str">
        <x:v>RW06</x:v>
      </x:c>
      <x:c r="I588" s="17" t="str">
        <x:v>Receiver service ledger</x:v>
      </x:c>
      <x:c r="J588" s="17" t="str">
        <x:v>Receiver authority</x:v>
      </x:c>
      <x:c r="K588" s="17" t="str">
        <x:v>Public custody F</x:v>
      </x:c>
      <x:c r="L588" s="9" t="n">
        <x:v>0</x:v>
      </x:c>
      <x:c r="M588" s="9" t="n">
        <x:v>0</x:v>
      </x:c>
      <x:c r="N588" s="9" t="n">
        <x:v>0</x:v>
      </x:c>
      <x:c r="O588" s="9" t="n">
        <x:v>0</x:v>
      </x:c>
      <x:c r="P588" s="9" t="str">
        <x:v>UNSEALED / SOURCE-EMPTY</x:v>
      </x:c>
      <x:c r="Q588" s="9" t="n">
        <x:f>COUNTIFS($A$7:$A$1158,A588)</x:f>
        <x:v>1</x:v>
      </x:c>
    </x:row>
    <x:row r="589">
      <x:c r="A589" s="9" t="str">
        <x:v>EV-AR-CT-C-B-TECH-2-B2-INT-G0-RW07</x:v>
      </x:c>
      <x:c r="B589" s="9" t="str">
        <x:v>EV-AR-CT-C-B-TECH-2-B2-INT-G0</x:v>
      </x:c>
      <x:c r="C589" s="9" t="str">
        <x:v>AR-CT-C-B-TECH-2-B2-INT-G0</x:v>
      </x:c>
      <x:c r="D589" s="9" t="str">
        <x:v>CT-C-B-TECH-2</x:v>
      </x:c>
      <x:c r="E589" s="9" t="str">
        <x:v>CT-C-B</x:v>
      </x:c>
      <x:c r="F589" s="9" t="str">
        <x:v>B2</x:v>
      </x:c>
      <x:c r="G589" s="9" t="str">
        <x:v>INT</x:v>
      </x:c>
      <x:c r="H589" s="9" t="str">
        <x:v>RW07</x:v>
      </x:c>
      <x:c r="I589" s="17" t="str">
        <x:v>Candidate interface telemetry</x:v>
      </x:c>
      <x:c r="J589" s="17" t="str">
        <x:v>Interface custodian</x:v>
      </x:c>
      <x:c r="K589" s="17" t="str">
        <x:v>Public custody A</x:v>
      </x:c>
      <x:c r="L589" s="9" t="n">
        <x:v>0</x:v>
      </x:c>
      <x:c r="M589" s="9" t="n">
        <x:v>0</x:v>
      </x:c>
      <x:c r="N589" s="9" t="n">
        <x:v>0</x:v>
      </x:c>
      <x:c r="O589" s="9" t="n">
        <x:v>0</x:v>
      </x:c>
      <x:c r="P589" s="9" t="str">
        <x:v>UNSEALED / SOURCE-EMPTY</x:v>
      </x:c>
      <x:c r="Q589" s="9" t="n">
        <x:f>COUNTIFS($A$7:$A$1158,A589)</x:f>
        <x:v>1</x:v>
      </x:c>
    </x:row>
    <x:row r="590">
      <x:c r="A590" s="9" t="str">
        <x:v>EV-AR-CT-C-B-TECH-2-B2-INT-G0-RW08</x:v>
      </x:c>
      <x:c r="B590" s="9" t="str">
        <x:v>EV-AR-CT-C-B-TECH-2-B2-INT-G0</x:v>
      </x:c>
      <x:c r="C590" s="9" t="str">
        <x:v>AR-CT-C-B-TECH-2-B2-INT-G0</x:v>
      </x:c>
      <x:c r="D590" s="9" t="str">
        <x:v>CT-C-B-TECH-2</x:v>
      </x:c>
      <x:c r="E590" s="9" t="str">
        <x:v>CT-C-B</x:v>
      </x:c>
      <x:c r="F590" s="9" t="str">
        <x:v>B2</x:v>
      </x:c>
      <x:c r="G590" s="9" t="str">
        <x:v>INT</x:v>
      </x:c>
      <x:c r="H590" s="9" t="str">
        <x:v>RW08</x:v>
      </x:c>
      <x:c r="I590" s="17" t="str">
        <x:v>Residual and physical evidence</x:v>
      </x:c>
      <x:c r="J590" s="17" t="str">
        <x:v>Residual authority</x:v>
      </x:c>
      <x:c r="K590" s="17" t="str">
        <x:v>Public custody B</x:v>
      </x:c>
      <x:c r="L590" s="9" t="n">
        <x:v>0</x:v>
      </x:c>
      <x:c r="M590" s="9" t="n">
        <x:v>0</x:v>
      </x:c>
      <x:c r="N590" s="9" t="n">
        <x:v>0</x:v>
      </x:c>
      <x:c r="O590" s="9" t="n">
        <x:v>0</x:v>
      </x:c>
      <x:c r="P590" s="9" t="str">
        <x:v>UNSEALED / SOURCE-EMPTY</x:v>
      </x:c>
      <x:c r="Q590" s="9" t="n">
        <x:f>COUNTIFS($A$7:$A$1158,A590)</x:f>
        <x:v>1</x:v>
      </x:c>
    </x:row>
    <x:row r="591">
      <x:c r="A591" s="9" t="str">
        <x:v>EV-AR-CT-C-B-TECH-3-B1-INT-G0-RW01</x:v>
      </x:c>
      <x:c r="B591" s="9" t="str">
        <x:v>EV-AR-CT-C-B-TECH-3-B1-INT-G0</x:v>
      </x:c>
      <x:c r="C591" s="9" t="str">
        <x:v>AR-CT-C-B-TECH-3-B1-INT-G0</x:v>
      </x:c>
      <x:c r="D591" s="9" t="str">
        <x:v>CT-C-B-TECH-3</x:v>
      </x:c>
      <x:c r="E591" s="9" t="str">
        <x:v>CT-C-B</x:v>
      </x:c>
      <x:c r="F591" s="9" t="str">
        <x:v>B1</x:v>
      </x:c>
      <x:c r="G591" s="9" t="str">
        <x:v>INT</x:v>
      </x:c>
      <x:c r="H591" s="9" t="str">
        <x:v>RW01</x:v>
      </x:c>
      <x:c r="I591" s="17" t="str">
        <x:v>Primary raw stream</x:v>
      </x:c>
      <x:c r="J591" s="17" t="str">
        <x:v>Primary metrology</x:v>
      </x:c>
      <x:c r="K591" s="17" t="str">
        <x:v>Public custody A</x:v>
      </x:c>
      <x:c r="L591" s="9" t="n">
        <x:v>0</x:v>
      </x:c>
      <x:c r="M591" s="9" t="n">
        <x:v>0</x:v>
      </x:c>
      <x:c r="N591" s="9" t="n">
        <x:v>0</x:v>
      </x:c>
      <x:c r="O591" s="9" t="n">
        <x:v>0</x:v>
      </x:c>
      <x:c r="P591" s="9" t="str">
        <x:v>UNSEALED / SOURCE-EMPTY</x:v>
      </x:c>
      <x:c r="Q591" s="9" t="n">
        <x:f>COUNTIFS($A$7:$A$1158,A591)</x:f>
        <x:v>1</x:v>
      </x:c>
    </x:row>
    <x:row r="592">
      <x:c r="A592" s="9" t="str">
        <x:v>EV-AR-CT-C-B-TECH-3-B1-INT-G0-RW02</x:v>
      </x:c>
      <x:c r="B592" s="9" t="str">
        <x:v>EV-AR-CT-C-B-TECH-3-B1-INT-G0</x:v>
      </x:c>
      <x:c r="C592" s="9" t="str">
        <x:v>AR-CT-C-B-TECH-3-B1-INT-G0</x:v>
      </x:c>
      <x:c r="D592" s="9" t="str">
        <x:v>CT-C-B-TECH-3</x:v>
      </x:c>
      <x:c r="E592" s="9" t="str">
        <x:v>CT-C-B</x:v>
      </x:c>
      <x:c r="F592" s="9" t="str">
        <x:v>B1</x:v>
      </x:c>
      <x:c r="G592" s="9" t="str">
        <x:v>INT</x:v>
      </x:c>
      <x:c r="H592" s="9" t="str">
        <x:v>RW02</x:v>
      </x:c>
      <x:c r="I592" s="17" t="str">
        <x:v>Unlike witness stream</x:v>
      </x:c>
      <x:c r="J592" s="17" t="str">
        <x:v>Witness metrology</x:v>
      </x:c>
      <x:c r="K592" s="17" t="str">
        <x:v>Public custody B</x:v>
      </x:c>
      <x:c r="L592" s="9" t="n">
        <x:v>0</x:v>
      </x:c>
      <x:c r="M592" s="9" t="n">
        <x:v>0</x:v>
      </x:c>
      <x:c r="N592" s="9" t="n">
        <x:v>0</x:v>
      </x:c>
      <x:c r="O592" s="9" t="n">
        <x:v>0</x:v>
      </x:c>
      <x:c r="P592" s="9" t="str">
        <x:v>UNSEALED / SOURCE-EMPTY</x:v>
      </x:c>
      <x:c r="Q592" s="9" t="n">
        <x:f>COUNTIFS($A$7:$A$1158,A592)</x:f>
        <x:v>1</x:v>
      </x:c>
    </x:row>
    <x:row r="593">
      <x:c r="A593" s="9" t="str">
        <x:v>EV-AR-CT-C-B-TECH-3-B1-INT-G0-RW03</x:v>
      </x:c>
      <x:c r="B593" s="9" t="str">
        <x:v>EV-AR-CT-C-B-TECH-3-B1-INT-G0</x:v>
      </x:c>
      <x:c r="C593" s="9" t="str">
        <x:v>AR-CT-C-B-TECH-3-B1-INT-G0</x:v>
      </x:c>
      <x:c r="D593" s="9" t="str">
        <x:v>CT-C-B-TECH-3</x:v>
      </x:c>
      <x:c r="E593" s="9" t="str">
        <x:v>CT-C-B</x:v>
      </x:c>
      <x:c r="F593" s="9" t="str">
        <x:v>B1</x:v>
      </x:c>
      <x:c r="G593" s="9" t="str">
        <x:v>INT</x:v>
      </x:c>
      <x:c r="H593" s="9" t="str">
        <x:v>RW03</x:v>
      </x:c>
      <x:c r="I593" s="17" t="str">
        <x:v>Event clock and start traces</x:v>
      </x:c>
      <x:c r="J593" s="17" t="str">
        <x:v>Event clock authority</x:v>
      </x:c>
      <x:c r="K593" s="17" t="str">
        <x:v>Public custody C</x:v>
      </x:c>
      <x:c r="L593" s="9" t="n">
        <x:v>0</x:v>
      </x:c>
      <x:c r="M593" s="9" t="n">
        <x:v>0</x:v>
      </x:c>
      <x:c r="N593" s="9" t="n">
        <x:v>0</x:v>
      </x:c>
      <x:c r="O593" s="9" t="n">
        <x:v>0</x:v>
      </x:c>
      <x:c r="P593" s="9" t="str">
        <x:v>UNSEALED / SOURCE-EMPTY</x:v>
      </x:c>
      <x:c r="Q593" s="9" t="n">
        <x:f>COUNTIFS($A$7:$A$1158,A593)</x:f>
        <x:v>1</x:v>
      </x:c>
    </x:row>
    <x:row r="594">
      <x:c r="A594" s="9" t="str">
        <x:v>EV-AR-CT-C-B-TECH-3-B1-INT-G0-RW04</x:v>
      </x:c>
      <x:c r="B594" s="9" t="str">
        <x:v>EV-AR-CT-C-B-TECH-3-B1-INT-G0</x:v>
      </x:c>
      <x:c r="C594" s="9" t="str">
        <x:v>AR-CT-C-B-TECH-3-B1-INT-G0</x:v>
      </x:c>
      <x:c r="D594" s="9" t="str">
        <x:v>CT-C-B-TECH-3</x:v>
      </x:c>
      <x:c r="E594" s="9" t="str">
        <x:v>CT-C-B</x:v>
      </x:c>
      <x:c r="F594" s="9" t="str">
        <x:v>B1</x:v>
      </x:c>
      <x:c r="G594" s="9" t="str">
        <x:v>INT</x:v>
      </x:c>
      <x:c r="H594" s="9" t="str">
        <x:v>RW04</x:v>
      </x:c>
      <x:c r="I594" s="17" t="str">
        <x:v>Environmental boundary stream</x:v>
      </x:c>
      <x:c r="J594" s="17" t="str">
        <x:v>Site metrology</x:v>
      </x:c>
      <x:c r="K594" s="17" t="str">
        <x:v>Public custody D</x:v>
      </x:c>
      <x:c r="L594" s="9" t="n">
        <x:v>0</x:v>
      </x:c>
      <x:c r="M594" s="9" t="n">
        <x:v>0</x:v>
      </x:c>
      <x:c r="N594" s="9" t="n">
        <x:v>0</x:v>
      </x:c>
      <x:c r="O594" s="9" t="n">
        <x:v>0</x:v>
      </x:c>
      <x:c r="P594" s="9" t="str">
        <x:v>UNSEALED / SOURCE-EMPTY</x:v>
      </x:c>
      <x:c r="Q594" s="9" t="n">
        <x:f>COUNTIFS($A$7:$A$1158,A594)</x:f>
        <x:v>1</x:v>
      </x:c>
    </x:row>
    <x:row r="595">
      <x:c r="A595" s="9" t="str">
        <x:v>EV-AR-CT-C-B-TECH-3-B1-INT-G0-RW05</x:v>
      </x:c>
      <x:c r="B595" s="9" t="str">
        <x:v>EV-AR-CT-C-B-TECH-3-B1-INT-G0</x:v>
      </x:c>
      <x:c r="C595" s="9" t="str">
        <x:v>AR-CT-C-B-TECH-3-B1-INT-G0</x:v>
      </x:c>
      <x:c r="D595" s="9" t="str">
        <x:v>CT-C-B-TECH-3</x:v>
      </x:c>
      <x:c r="E595" s="9" t="str">
        <x:v>CT-C-B</x:v>
      </x:c>
      <x:c r="F595" s="9" t="str">
        <x:v>B1</x:v>
      </x:c>
      <x:c r="G595" s="9" t="str">
        <x:v>INT</x:v>
      </x:c>
      <x:c r="H595" s="9" t="str">
        <x:v>RW05</x:v>
      </x:c>
      <x:c r="I595" s="17" t="str">
        <x:v>Command and intervention log</x:v>
      </x:c>
      <x:c r="J595" s="17" t="str">
        <x:v>Safety authority</x:v>
      </x:c>
      <x:c r="K595" s="17" t="str">
        <x:v>Public custody E</x:v>
      </x:c>
      <x:c r="L595" s="9" t="n">
        <x:v>0</x:v>
      </x:c>
      <x:c r="M595" s="9" t="n">
        <x:v>0</x:v>
      </x:c>
      <x:c r="N595" s="9" t="n">
        <x:v>0</x:v>
      </x:c>
      <x:c r="O595" s="9" t="n">
        <x:v>0</x:v>
      </x:c>
      <x:c r="P595" s="9" t="str">
        <x:v>UNSEALED / SOURCE-EMPTY</x:v>
      </x:c>
      <x:c r="Q595" s="9" t="n">
        <x:f>COUNTIFS($A$7:$A$1158,A595)</x:f>
        <x:v>1</x:v>
      </x:c>
    </x:row>
    <x:row r="596">
      <x:c r="A596" s="9" t="str">
        <x:v>EV-AR-CT-C-B-TECH-3-B1-INT-G0-RW06</x:v>
      </x:c>
      <x:c r="B596" s="9" t="str">
        <x:v>EV-AR-CT-C-B-TECH-3-B1-INT-G0</x:v>
      </x:c>
      <x:c r="C596" s="9" t="str">
        <x:v>AR-CT-C-B-TECH-3-B1-INT-G0</x:v>
      </x:c>
      <x:c r="D596" s="9" t="str">
        <x:v>CT-C-B-TECH-3</x:v>
      </x:c>
      <x:c r="E596" s="9" t="str">
        <x:v>CT-C-B</x:v>
      </x:c>
      <x:c r="F596" s="9" t="str">
        <x:v>B1</x:v>
      </x:c>
      <x:c r="G596" s="9" t="str">
        <x:v>INT</x:v>
      </x:c>
      <x:c r="H596" s="9" t="str">
        <x:v>RW06</x:v>
      </x:c>
      <x:c r="I596" s="17" t="str">
        <x:v>Receiver service ledger</x:v>
      </x:c>
      <x:c r="J596" s="17" t="str">
        <x:v>Receiver authority</x:v>
      </x:c>
      <x:c r="K596" s="17" t="str">
        <x:v>Public custody F</x:v>
      </x:c>
      <x:c r="L596" s="9" t="n">
        <x:v>0</x:v>
      </x:c>
      <x:c r="M596" s="9" t="n">
        <x:v>0</x:v>
      </x:c>
      <x:c r="N596" s="9" t="n">
        <x:v>0</x:v>
      </x:c>
      <x:c r="O596" s="9" t="n">
        <x:v>0</x:v>
      </x:c>
      <x:c r="P596" s="9" t="str">
        <x:v>UNSEALED / SOURCE-EMPTY</x:v>
      </x:c>
      <x:c r="Q596" s="9" t="n">
        <x:f>COUNTIFS($A$7:$A$1158,A596)</x:f>
        <x:v>1</x:v>
      </x:c>
    </x:row>
    <x:row r="597">
      <x:c r="A597" s="9" t="str">
        <x:v>EV-AR-CT-C-B-TECH-3-B1-INT-G0-RW07</x:v>
      </x:c>
      <x:c r="B597" s="9" t="str">
        <x:v>EV-AR-CT-C-B-TECH-3-B1-INT-G0</x:v>
      </x:c>
      <x:c r="C597" s="9" t="str">
        <x:v>AR-CT-C-B-TECH-3-B1-INT-G0</x:v>
      </x:c>
      <x:c r="D597" s="9" t="str">
        <x:v>CT-C-B-TECH-3</x:v>
      </x:c>
      <x:c r="E597" s="9" t="str">
        <x:v>CT-C-B</x:v>
      </x:c>
      <x:c r="F597" s="9" t="str">
        <x:v>B1</x:v>
      </x:c>
      <x:c r="G597" s="9" t="str">
        <x:v>INT</x:v>
      </x:c>
      <x:c r="H597" s="9" t="str">
        <x:v>RW07</x:v>
      </x:c>
      <x:c r="I597" s="17" t="str">
        <x:v>Candidate interface telemetry</x:v>
      </x:c>
      <x:c r="J597" s="17" t="str">
        <x:v>Interface custodian</x:v>
      </x:c>
      <x:c r="K597" s="17" t="str">
        <x:v>Public custody A</x:v>
      </x:c>
      <x:c r="L597" s="9" t="n">
        <x:v>0</x:v>
      </x:c>
      <x:c r="M597" s="9" t="n">
        <x:v>0</x:v>
      </x:c>
      <x:c r="N597" s="9" t="n">
        <x:v>0</x:v>
      </x:c>
      <x:c r="O597" s="9" t="n">
        <x:v>0</x:v>
      </x:c>
      <x:c r="P597" s="9" t="str">
        <x:v>UNSEALED / SOURCE-EMPTY</x:v>
      </x:c>
      <x:c r="Q597" s="9" t="n">
        <x:f>COUNTIFS($A$7:$A$1158,A597)</x:f>
        <x:v>1</x:v>
      </x:c>
    </x:row>
    <x:row r="598">
      <x:c r="A598" s="9" t="str">
        <x:v>EV-AR-CT-C-B-TECH-3-B1-INT-G0-RW08</x:v>
      </x:c>
      <x:c r="B598" s="9" t="str">
        <x:v>EV-AR-CT-C-B-TECH-3-B1-INT-G0</x:v>
      </x:c>
      <x:c r="C598" s="9" t="str">
        <x:v>AR-CT-C-B-TECH-3-B1-INT-G0</x:v>
      </x:c>
      <x:c r="D598" s="9" t="str">
        <x:v>CT-C-B-TECH-3</x:v>
      </x:c>
      <x:c r="E598" s="9" t="str">
        <x:v>CT-C-B</x:v>
      </x:c>
      <x:c r="F598" s="9" t="str">
        <x:v>B1</x:v>
      </x:c>
      <x:c r="G598" s="9" t="str">
        <x:v>INT</x:v>
      </x:c>
      <x:c r="H598" s="9" t="str">
        <x:v>RW08</x:v>
      </x:c>
      <x:c r="I598" s="17" t="str">
        <x:v>Residual and physical evidence</x:v>
      </x:c>
      <x:c r="J598" s="17" t="str">
        <x:v>Residual authority</x:v>
      </x:c>
      <x:c r="K598" s="17" t="str">
        <x:v>Public custody B</x:v>
      </x:c>
      <x:c r="L598" s="9" t="n">
        <x:v>0</x:v>
      </x:c>
      <x:c r="M598" s="9" t="n">
        <x:v>0</x:v>
      </x:c>
      <x:c r="N598" s="9" t="n">
        <x:v>0</x:v>
      </x:c>
      <x:c r="O598" s="9" t="n">
        <x:v>0</x:v>
      </x:c>
      <x:c r="P598" s="9" t="str">
        <x:v>UNSEALED / SOURCE-EMPTY</x:v>
      </x:c>
      <x:c r="Q598" s="9" t="n">
        <x:f>COUNTIFS($A$7:$A$1158,A598)</x:f>
        <x:v>1</x:v>
      </x:c>
    </x:row>
    <x:row r="599">
      <x:c r="A599" s="9" t="str">
        <x:v>EV-AR-ET-A-A-TECH-4-B1-INT-G0-RW01</x:v>
      </x:c>
      <x:c r="B599" s="9" t="str">
        <x:v>EV-AR-ET-A-A-TECH-4-B1-INT-G0</x:v>
      </x:c>
      <x:c r="C599" s="9" t="str">
        <x:v>AR-ET-A-A-TECH-4-B1-INT-G0</x:v>
      </x:c>
      <x:c r="D599" s="9" t="str">
        <x:v>ET-A-A-TECH-4</x:v>
      </x:c>
      <x:c r="E599" s="9" t="str">
        <x:v>ET-A-A</x:v>
      </x:c>
      <x:c r="F599" s="9" t="str">
        <x:v>B1</x:v>
      </x:c>
      <x:c r="G599" s="9" t="str">
        <x:v>INT</x:v>
      </x:c>
      <x:c r="H599" s="9" t="str">
        <x:v>RW01</x:v>
      </x:c>
      <x:c r="I599" s="17" t="str">
        <x:v>Primary raw stream</x:v>
      </x:c>
      <x:c r="J599" s="17" t="str">
        <x:v>Primary metrology</x:v>
      </x:c>
      <x:c r="K599" s="17" t="str">
        <x:v>Public custody A</x:v>
      </x:c>
      <x:c r="L599" s="9" t="n">
        <x:v>0</x:v>
      </x:c>
      <x:c r="M599" s="9" t="n">
        <x:v>0</x:v>
      </x:c>
      <x:c r="N599" s="9" t="n">
        <x:v>0</x:v>
      </x:c>
      <x:c r="O599" s="9" t="n">
        <x:v>0</x:v>
      </x:c>
      <x:c r="P599" s="9" t="str">
        <x:v>UNSEALED / SOURCE-EMPTY</x:v>
      </x:c>
      <x:c r="Q599" s="9" t="n">
        <x:f>COUNTIFS($A$7:$A$1158,A599)</x:f>
        <x:v>1</x:v>
      </x:c>
    </x:row>
    <x:row r="600">
      <x:c r="A600" s="9" t="str">
        <x:v>EV-AR-ET-A-A-TECH-4-B1-INT-G0-RW02</x:v>
      </x:c>
      <x:c r="B600" s="9" t="str">
        <x:v>EV-AR-ET-A-A-TECH-4-B1-INT-G0</x:v>
      </x:c>
      <x:c r="C600" s="9" t="str">
        <x:v>AR-ET-A-A-TECH-4-B1-INT-G0</x:v>
      </x:c>
      <x:c r="D600" s="9" t="str">
        <x:v>ET-A-A-TECH-4</x:v>
      </x:c>
      <x:c r="E600" s="9" t="str">
        <x:v>ET-A-A</x:v>
      </x:c>
      <x:c r="F600" s="9" t="str">
        <x:v>B1</x:v>
      </x:c>
      <x:c r="G600" s="9" t="str">
        <x:v>INT</x:v>
      </x:c>
      <x:c r="H600" s="9" t="str">
        <x:v>RW02</x:v>
      </x:c>
      <x:c r="I600" s="17" t="str">
        <x:v>Unlike witness stream</x:v>
      </x:c>
      <x:c r="J600" s="17" t="str">
        <x:v>Witness metrology</x:v>
      </x:c>
      <x:c r="K600" s="17" t="str">
        <x:v>Public custody B</x:v>
      </x:c>
      <x:c r="L600" s="9" t="n">
        <x:v>0</x:v>
      </x:c>
      <x:c r="M600" s="9" t="n">
        <x:v>0</x:v>
      </x:c>
      <x:c r="N600" s="9" t="n">
        <x:v>0</x:v>
      </x:c>
      <x:c r="O600" s="9" t="n">
        <x:v>0</x:v>
      </x:c>
      <x:c r="P600" s="9" t="str">
        <x:v>UNSEALED / SOURCE-EMPTY</x:v>
      </x:c>
      <x:c r="Q600" s="9" t="n">
        <x:f>COUNTIFS($A$7:$A$1158,A600)</x:f>
        <x:v>1</x:v>
      </x:c>
    </x:row>
    <x:row r="601">
      <x:c r="A601" s="9" t="str">
        <x:v>EV-AR-ET-A-A-TECH-4-B1-INT-G0-RW03</x:v>
      </x:c>
      <x:c r="B601" s="9" t="str">
        <x:v>EV-AR-ET-A-A-TECH-4-B1-INT-G0</x:v>
      </x:c>
      <x:c r="C601" s="9" t="str">
        <x:v>AR-ET-A-A-TECH-4-B1-INT-G0</x:v>
      </x:c>
      <x:c r="D601" s="9" t="str">
        <x:v>ET-A-A-TECH-4</x:v>
      </x:c>
      <x:c r="E601" s="9" t="str">
        <x:v>ET-A-A</x:v>
      </x:c>
      <x:c r="F601" s="9" t="str">
        <x:v>B1</x:v>
      </x:c>
      <x:c r="G601" s="9" t="str">
        <x:v>INT</x:v>
      </x:c>
      <x:c r="H601" s="9" t="str">
        <x:v>RW03</x:v>
      </x:c>
      <x:c r="I601" s="17" t="str">
        <x:v>Event clock and start traces</x:v>
      </x:c>
      <x:c r="J601" s="17" t="str">
        <x:v>Event clock authority</x:v>
      </x:c>
      <x:c r="K601" s="17" t="str">
        <x:v>Public custody C</x:v>
      </x:c>
      <x:c r="L601" s="9" t="n">
        <x:v>0</x:v>
      </x:c>
      <x:c r="M601" s="9" t="n">
        <x:v>0</x:v>
      </x:c>
      <x:c r="N601" s="9" t="n">
        <x:v>0</x:v>
      </x:c>
      <x:c r="O601" s="9" t="n">
        <x:v>0</x:v>
      </x:c>
      <x:c r="P601" s="9" t="str">
        <x:v>UNSEALED / SOURCE-EMPTY</x:v>
      </x:c>
      <x:c r="Q601" s="9" t="n">
        <x:f>COUNTIFS($A$7:$A$1158,A601)</x:f>
        <x:v>1</x:v>
      </x:c>
    </x:row>
    <x:row r="602">
      <x:c r="A602" s="9" t="str">
        <x:v>EV-AR-ET-A-A-TECH-4-B1-INT-G0-RW04</x:v>
      </x:c>
      <x:c r="B602" s="9" t="str">
        <x:v>EV-AR-ET-A-A-TECH-4-B1-INT-G0</x:v>
      </x:c>
      <x:c r="C602" s="9" t="str">
        <x:v>AR-ET-A-A-TECH-4-B1-INT-G0</x:v>
      </x:c>
      <x:c r="D602" s="9" t="str">
        <x:v>ET-A-A-TECH-4</x:v>
      </x:c>
      <x:c r="E602" s="9" t="str">
        <x:v>ET-A-A</x:v>
      </x:c>
      <x:c r="F602" s="9" t="str">
        <x:v>B1</x:v>
      </x:c>
      <x:c r="G602" s="9" t="str">
        <x:v>INT</x:v>
      </x:c>
      <x:c r="H602" s="9" t="str">
        <x:v>RW04</x:v>
      </x:c>
      <x:c r="I602" s="17" t="str">
        <x:v>Environmental boundary stream</x:v>
      </x:c>
      <x:c r="J602" s="17" t="str">
        <x:v>Site metrology</x:v>
      </x:c>
      <x:c r="K602" s="17" t="str">
        <x:v>Public custody D</x:v>
      </x:c>
      <x:c r="L602" s="9" t="n">
        <x:v>0</x:v>
      </x:c>
      <x:c r="M602" s="9" t="n">
        <x:v>0</x:v>
      </x:c>
      <x:c r="N602" s="9" t="n">
        <x:v>0</x:v>
      </x:c>
      <x:c r="O602" s="9" t="n">
        <x:v>0</x:v>
      </x:c>
      <x:c r="P602" s="9" t="str">
        <x:v>UNSEALED / SOURCE-EMPTY</x:v>
      </x:c>
      <x:c r="Q602" s="9" t="n">
        <x:f>COUNTIFS($A$7:$A$1158,A602)</x:f>
        <x:v>1</x:v>
      </x:c>
    </x:row>
    <x:row r="603">
      <x:c r="A603" s="9" t="str">
        <x:v>EV-AR-ET-A-A-TECH-4-B1-INT-G0-RW05</x:v>
      </x:c>
      <x:c r="B603" s="9" t="str">
        <x:v>EV-AR-ET-A-A-TECH-4-B1-INT-G0</x:v>
      </x:c>
      <x:c r="C603" s="9" t="str">
        <x:v>AR-ET-A-A-TECH-4-B1-INT-G0</x:v>
      </x:c>
      <x:c r="D603" s="9" t="str">
        <x:v>ET-A-A-TECH-4</x:v>
      </x:c>
      <x:c r="E603" s="9" t="str">
        <x:v>ET-A-A</x:v>
      </x:c>
      <x:c r="F603" s="9" t="str">
        <x:v>B1</x:v>
      </x:c>
      <x:c r="G603" s="9" t="str">
        <x:v>INT</x:v>
      </x:c>
      <x:c r="H603" s="9" t="str">
        <x:v>RW05</x:v>
      </x:c>
      <x:c r="I603" s="17" t="str">
        <x:v>Command and intervention log</x:v>
      </x:c>
      <x:c r="J603" s="17" t="str">
        <x:v>Safety authority</x:v>
      </x:c>
      <x:c r="K603" s="17" t="str">
        <x:v>Public custody E</x:v>
      </x:c>
      <x:c r="L603" s="9" t="n">
        <x:v>0</x:v>
      </x:c>
      <x:c r="M603" s="9" t="n">
        <x:v>0</x:v>
      </x:c>
      <x:c r="N603" s="9" t="n">
        <x:v>0</x:v>
      </x:c>
      <x:c r="O603" s="9" t="n">
        <x:v>0</x:v>
      </x:c>
      <x:c r="P603" s="9" t="str">
        <x:v>UNSEALED / SOURCE-EMPTY</x:v>
      </x:c>
      <x:c r="Q603" s="9" t="n">
        <x:f>COUNTIFS($A$7:$A$1158,A603)</x:f>
        <x:v>1</x:v>
      </x:c>
    </x:row>
    <x:row r="604">
      <x:c r="A604" s="9" t="str">
        <x:v>EV-AR-ET-A-A-TECH-4-B1-INT-G0-RW06</x:v>
      </x:c>
      <x:c r="B604" s="9" t="str">
        <x:v>EV-AR-ET-A-A-TECH-4-B1-INT-G0</x:v>
      </x:c>
      <x:c r="C604" s="9" t="str">
        <x:v>AR-ET-A-A-TECH-4-B1-INT-G0</x:v>
      </x:c>
      <x:c r="D604" s="9" t="str">
        <x:v>ET-A-A-TECH-4</x:v>
      </x:c>
      <x:c r="E604" s="9" t="str">
        <x:v>ET-A-A</x:v>
      </x:c>
      <x:c r="F604" s="9" t="str">
        <x:v>B1</x:v>
      </x:c>
      <x:c r="G604" s="9" t="str">
        <x:v>INT</x:v>
      </x:c>
      <x:c r="H604" s="9" t="str">
        <x:v>RW06</x:v>
      </x:c>
      <x:c r="I604" s="17" t="str">
        <x:v>Receiver service ledger</x:v>
      </x:c>
      <x:c r="J604" s="17" t="str">
        <x:v>Receiver authority</x:v>
      </x:c>
      <x:c r="K604" s="17" t="str">
        <x:v>Public custody F</x:v>
      </x:c>
      <x:c r="L604" s="9" t="n">
        <x:v>0</x:v>
      </x:c>
      <x:c r="M604" s="9" t="n">
        <x:v>0</x:v>
      </x:c>
      <x:c r="N604" s="9" t="n">
        <x:v>0</x:v>
      </x:c>
      <x:c r="O604" s="9" t="n">
        <x:v>0</x:v>
      </x:c>
      <x:c r="P604" s="9" t="str">
        <x:v>UNSEALED / SOURCE-EMPTY</x:v>
      </x:c>
      <x:c r="Q604" s="9" t="n">
        <x:f>COUNTIFS($A$7:$A$1158,A604)</x:f>
        <x:v>1</x:v>
      </x:c>
    </x:row>
    <x:row r="605">
      <x:c r="A605" s="9" t="str">
        <x:v>EV-AR-ET-A-A-TECH-4-B1-INT-G0-RW07</x:v>
      </x:c>
      <x:c r="B605" s="9" t="str">
        <x:v>EV-AR-ET-A-A-TECH-4-B1-INT-G0</x:v>
      </x:c>
      <x:c r="C605" s="9" t="str">
        <x:v>AR-ET-A-A-TECH-4-B1-INT-G0</x:v>
      </x:c>
      <x:c r="D605" s="9" t="str">
        <x:v>ET-A-A-TECH-4</x:v>
      </x:c>
      <x:c r="E605" s="9" t="str">
        <x:v>ET-A-A</x:v>
      </x:c>
      <x:c r="F605" s="9" t="str">
        <x:v>B1</x:v>
      </x:c>
      <x:c r="G605" s="9" t="str">
        <x:v>INT</x:v>
      </x:c>
      <x:c r="H605" s="9" t="str">
        <x:v>RW07</x:v>
      </x:c>
      <x:c r="I605" s="17" t="str">
        <x:v>Candidate interface telemetry</x:v>
      </x:c>
      <x:c r="J605" s="17" t="str">
        <x:v>Interface custodian</x:v>
      </x:c>
      <x:c r="K605" s="17" t="str">
        <x:v>Public custody A</x:v>
      </x:c>
      <x:c r="L605" s="9" t="n">
        <x:v>0</x:v>
      </x:c>
      <x:c r="M605" s="9" t="n">
        <x:v>0</x:v>
      </x:c>
      <x:c r="N605" s="9" t="n">
        <x:v>0</x:v>
      </x:c>
      <x:c r="O605" s="9" t="n">
        <x:v>0</x:v>
      </x:c>
      <x:c r="P605" s="9" t="str">
        <x:v>UNSEALED / SOURCE-EMPTY</x:v>
      </x:c>
      <x:c r="Q605" s="9" t="n">
        <x:f>COUNTIFS($A$7:$A$1158,A605)</x:f>
        <x:v>1</x:v>
      </x:c>
    </x:row>
    <x:row r="606">
      <x:c r="A606" s="9" t="str">
        <x:v>EV-AR-ET-A-A-TECH-4-B1-INT-G0-RW08</x:v>
      </x:c>
      <x:c r="B606" s="9" t="str">
        <x:v>EV-AR-ET-A-A-TECH-4-B1-INT-G0</x:v>
      </x:c>
      <x:c r="C606" s="9" t="str">
        <x:v>AR-ET-A-A-TECH-4-B1-INT-G0</x:v>
      </x:c>
      <x:c r="D606" s="9" t="str">
        <x:v>ET-A-A-TECH-4</x:v>
      </x:c>
      <x:c r="E606" s="9" t="str">
        <x:v>ET-A-A</x:v>
      </x:c>
      <x:c r="F606" s="9" t="str">
        <x:v>B1</x:v>
      </x:c>
      <x:c r="G606" s="9" t="str">
        <x:v>INT</x:v>
      </x:c>
      <x:c r="H606" s="9" t="str">
        <x:v>RW08</x:v>
      </x:c>
      <x:c r="I606" s="17" t="str">
        <x:v>Residual and physical evidence</x:v>
      </x:c>
      <x:c r="J606" s="17" t="str">
        <x:v>Residual authority</x:v>
      </x:c>
      <x:c r="K606" s="17" t="str">
        <x:v>Public custody B</x:v>
      </x:c>
      <x:c r="L606" s="9" t="n">
        <x:v>0</x:v>
      </x:c>
      <x:c r="M606" s="9" t="n">
        <x:v>0</x:v>
      </x:c>
      <x:c r="N606" s="9" t="n">
        <x:v>0</x:v>
      </x:c>
      <x:c r="O606" s="9" t="n">
        <x:v>0</x:v>
      </x:c>
      <x:c r="P606" s="9" t="str">
        <x:v>UNSEALED / SOURCE-EMPTY</x:v>
      </x:c>
      <x:c r="Q606" s="9" t="n">
        <x:f>COUNTIFS($A$7:$A$1158,A606)</x:f>
        <x:v>1</x:v>
      </x:c>
    </x:row>
    <x:row r="607">
      <x:c r="A607" s="9" t="str">
        <x:v>EV-AR-HU-A-B-TECH-1-B2-RCN-G0-RW01</x:v>
      </x:c>
      <x:c r="B607" s="9" t="str">
        <x:v>EV-AR-HU-A-B-TECH-1-B2-RCN-G0</x:v>
      </x:c>
      <x:c r="C607" s="9" t="str">
        <x:v>AR-HU-A-B-TECH-1-B2-RCN-G0</x:v>
      </x:c>
      <x:c r="D607" s="9" t="str">
        <x:v>HU-A-B-TECH-1</x:v>
      </x:c>
      <x:c r="E607" s="9" t="str">
        <x:v>HU-A-B</x:v>
      </x:c>
      <x:c r="F607" s="9" t="str">
        <x:v>B2</x:v>
      </x:c>
      <x:c r="G607" s="9" t="str">
        <x:v>RCN</x:v>
      </x:c>
      <x:c r="H607" s="9" t="str">
        <x:v>RW01</x:v>
      </x:c>
      <x:c r="I607" s="17" t="str">
        <x:v>Primary raw stream</x:v>
      </x:c>
      <x:c r="J607" s="17" t="str">
        <x:v>Primary metrology</x:v>
      </x:c>
      <x:c r="K607" s="17" t="str">
        <x:v>Public custody A</x:v>
      </x:c>
      <x:c r="L607" s="9" t="n">
        <x:v>0</x:v>
      </x:c>
      <x:c r="M607" s="9" t="n">
        <x:v>0</x:v>
      </x:c>
      <x:c r="N607" s="9" t="n">
        <x:v>0</x:v>
      </x:c>
      <x:c r="O607" s="9" t="n">
        <x:v>0</x:v>
      </x:c>
      <x:c r="P607" s="9" t="str">
        <x:v>UNSEALED / SOURCE-EMPTY</x:v>
      </x:c>
      <x:c r="Q607" s="9" t="n">
        <x:f>COUNTIFS($A$7:$A$1158,A607)</x:f>
        <x:v>1</x:v>
      </x:c>
    </x:row>
    <x:row r="608">
      <x:c r="A608" s="9" t="str">
        <x:v>EV-AR-HU-A-B-TECH-1-B2-RCN-G0-RW02</x:v>
      </x:c>
      <x:c r="B608" s="9" t="str">
        <x:v>EV-AR-HU-A-B-TECH-1-B2-RCN-G0</x:v>
      </x:c>
      <x:c r="C608" s="9" t="str">
        <x:v>AR-HU-A-B-TECH-1-B2-RCN-G0</x:v>
      </x:c>
      <x:c r="D608" s="9" t="str">
        <x:v>HU-A-B-TECH-1</x:v>
      </x:c>
      <x:c r="E608" s="9" t="str">
        <x:v>HU-A-B</x:v>
      </x:c>
      <x:c r="F608" s="9" t="str">
        <x:v>B2</x:v>
      </x:c>
      <x:c r="G608" s="9" t="str">
        <x:v>RCN</x:v>
      </x:c>
      <x:c r="H608" s="9" t="str">
        <x:v>RW02</x:v>
      </x:c>
      <x:c r="I608" s="17" t="str">
        <x:v>Unlike witness stream</x:v>
      </x:c>
      <x:c r="J608" s="17" t="str">
        <x:v>Witness metrology</x:v>
      </x:c>
      <x:c r="K608" s="17" t="str">
        <x:v>Public custody B</x:v>
      </x:c>
      <x:c r="L608" s="9" t="n">
        <x:v>0</x:v>
      </x:c>
      <x:c r="M608" s="9" t="n">
        <x:v>0</x:v>
      </x:c>
      <x:c r="N608" s="9" t="n">
        <x:v>0</x:v>
      </x:c>
      <x:c r="O608" s="9" t="n">
        <x:v>0</x:v>
      </x:c>
      <x:c r="P608" s="9" t="str">
        <x:v>UNSEALED / SOURCE-EMPTY</x:v>
      </x:c>
      <x:c r="Q608" s="9" t="n">
        <x:f>COUNTIFS($A$7:$A$1158,A608)</x:f>
        <x:v>1</x:v>
      </x:c>
    </x:row>
    <x:row r="609">
      <x:c r="A609" s="9" t="str">
        <x:v>EV-AR-HU-A-B-TECH-1-B2-RCN-G0-RW03</x:v>
      </x:c>
      <x:c r="B609" s="9" t="str">
        <x:v>EV-AR-HU-A-B-TECH-1-B2-RCN-G0</x:v>
      </x:c>
      <x:c r="C609" s="9" t="str">
        <x:v>AR-HU-A-B-TECH-1-B2-RCN-G0</x:v>
      </x:c>
      <x:c r="D609" s="9" t="str">
        <x:v>HU-A-B-TECH-1</x:v>
      </x:c>
      <x:c r="E609" s="9" t="str">
        <x:v>HU-A-B</x:v>
      </x:c>
      <x:c r="F609" s="9" t="str">
        <x:v>B2</x:v>
      </x:c>
      <x:c r="G609" s="9" t="str">
        <x:v>RCN</x:v>
      </x:c>
      <x:c r="H609" s="9" t="str">
        <x:v>RW03</x:v>
      </x:c>
      <x:c r="I609" s="17" t="str">
        <x:v>Event clock and start traces</x:v>
      </x:c>
      <x:c r="J609" s="17" t="str">
        <x:v>Event clock authority</x:v>
      </x:c>
      <x:c r="K609" s="17" t="str">
        <x:v>Public custody C</x:v>
      </x:c>
      <x:c r="L609" s="9" t="n">
        <x:v>0</x:v>
      </x:c>
      <x:c r="M609" s="9" t="n">
        <x:v>0</x:v>
      </x:c>
      <x:c r="N609" s="9" t="n">
        <x:v>0</x:v>
      </x:c>
      <x:c r="O609" s="9" t="n">
        <x:v>0</x:v>
      </x:c>
      <x:c r="P609" s="9" t="str">
        <x:v>UNSEALED / SOURCE-EMPTY</x:v>
      </x:c>
      <x:c r="Q609" s="9" t="n">
        <x:f>COUNTIFS($A$7:$A$1158,A609)</x:f>
        <x:v>1</x:v>
      </x:c>
    </x:row>
    <x:row r="610">
      <x:c r="A610" s="9" t="str">
        <x:v>EV-AR-HU-A-B-TECH-1-B2-RCN-G0-RW04</x:v>
      </x:c>
      <x:c r="B610" s="9" t="str">
        <x:v>EV-AR-HU-A-B-TECH-1-B2-RCN-G0</x:v>
      </x:c>
      <x:c r="C610" s="9" t="str">
        <x:v>AR-HU-A-B-TECH-1-B2-RCN-G0</x:v>
      </x:c>
      <x:c r="D610" s="9" t="str">
        <x:v>HU-A-B-TECH-1</x:v>
      </x:c>
      <x:c r="E610" s="9" t="str">
        <x:v>HU-A-B</x:v>
      </x:c>
      <x:c r="F610" s="9" t="str">
        <x:v>B2</x:v>
      </x:c>
      <x:c r="G610" s="9" t="str">
        <x:v>RCN</x:v>
      </x:c>
      <x:c r="H610" s="9" t="str">
        <x:v>RW04</x:v>
      </x:c>
      <x:c r="I610" s="17" t="str">
        <x:v>Environmental boundary stream</x:v>
      </x:c>
      <x:c r="J610" s="17" t="str">
        <x:v>Site metrology</x:v>
      </x:c>
      <x:c r="K610" s="17" t="str">
        <x:v>Public custody D</x:v>
      </x:c>
      <x:c r="L610" s="9" t="n">
        <x:v>0</x:v>
      </x:c>
      <x:c r="M610" s="9" t="n">
        <x:v>0</x:v>
      </x:c>
      <x:c r="N610" s="9" t="n">
        <x:v>0</x:v>
      </x:c>
      <x:c r="O610" s="9" t="n">
        <x:v>0</x:v>
      </x:c>
      <x:c r="P610" s="9" t="str">
        <x:v>UNSEALED / SOURCE-EMPTY</x:v>
      </x:c>
      <x:c r="Q610" s="9" t="n">
        <x:f>COUNTIFS($A$7:$A$1158,A610)</x:f>
        <x:v>1</x:v>
      </x:c>
    </x:row>
    <x:row r="611">
      <x:c r="A611" s="9" t="str">
        <x:v>EV-AR-HU-A-B-TECH-1-B2-RCN-G0-RW05</x:v>
      </x:c>
      <x:c r="B611" s="9" t="str">
        <x:v>EV-AR-HU-A-B-TECH-1-B2-RCN-G0</x:v>
      </x:c>
      <x:c r="C611" s="9" t="str">
        <x:v>AR-HU-A-B-TECH-1-B2-RCN-G0</x:v>
      </x:c>
      <x:c r="D611" s="9" t="str">
        <x:v>HU-A-B-TECH-1</x:v>
      </x:c>
      <x:c r="E611" s="9" t="str">
        <x:v>HU-A-B</x:v>
      </x:c>
      <x:c r="F611" s="9" t="str">
        <x:v>B2</x:v>
      </x:c>
      <x:c r="G611" s="9" t="str">
        <x:v>RCN</x:v>
      </x:c>
      <x:c r="H611" s="9" t="str">
        <x:v>RW05</x:v>
      </x:c>
      <x:c r="I611" s="17" t="str">
        <x:v>Command and intervention log</x:v>
      </x:c>
      <x:c r="J611" s="17" t="str">
        <x:v>Safety authority</x:v>
      </x:c>
      <x:c r="K611" s="17" t="str">
        <x:v>Public custody E</x:v>
      </x:c>
      <x:c r="L611" s="9" t="n">
        <x:v>0</x:v>
      </x:c>
      <x:c r="M611" s="9" t="n">
        <x:v>0</x:v>
      </x:c>
      <x:c r="N611" s="9" t="n">
        <x:v>0</x:v>
      </x:c>
      <x:c r="O611" s="9" t="n">
        <x:v>0</x:v>
      </x:c>
      <x:c r="P611" s="9" t="str">
        <x:v>UNSEALED / SOURCE-EMPTY</x:v>
      </x:c>
      <x:c r="Q611" s="9" t="n">
        <x:f>COUNTIFS($A$7:$A$1158,A611)</x:f>
        <x:v>1</x:v>
      </x:c>
    </x:row>
    <x:row r="612">
      <x:c r="A612" s="9" t="str">
        <x:v>EV-AR-HU-A-B-TECH-1-B2-RCN-G0-RW06</x:v>
      </x:c>
      <x:c r="B612" s="9" t="str">
        <x:v>EV-AR-HU-A-B-TECH-1-B2-RCN-G0</x:v>
      </x:c>
      <x:c r="C612" s="9" t="str">
        <x:v>AR-HU-A-B-TECH-1-B2-RCN-G0</x:v>
      </x:c>
      <x:c r="D612" s="9" t="str">
        <x:v>HU-A-B-TECH-1</x:v>
      </x:c>
      <x:c r="E612" s="9" t="str">
        <x:v>HU-A-B</x:v>
      </x:c>
      <x:c r="F612" s="9" t="str">
        <x:v>B2</x:v>
      </x:c>
      <x:c r="G612" s="9" t="str">
        <x:v>RCN</x:v>
      </x:c>
      <x:c r="H612" s="9" t="str">
        <x:v>RW06</x:v>
      </x:c>
      <x:c r="I612" s="17" t="str">
        <x:v>Receiver service ledger</x:v>
      </x:c>
      <x:c r="J612" s="17" t="str">
        <x:v>Receiver authority</x:v>
      </x:c>
      <x:c r="K612" s="17" t="str">
        <x:v>Public custody F</x:v>
      </x:c>
      <x:c r="L612" s="9" t="n">
        <x:v>0</x:v>
      </x:c>
      <x:c r="M612" s="9" t="n">
        <x:v>0</x:v>
      </x:c>
      <x:c r="N612" s="9" t="n">
        <x:v>0</x:v>
      </x:c>
      <x:c r="O612" s="9" t="n">
        <x:v>0</x:v>
      </x:c>
      <x:c r="P612" s="9" t="str">
        <x:v>UNSEALED / SOURCE-EMPTY</x:v>
      </x:c>
      <x:c r="Q612" s="9" t="n">
        <x:f>COUNTIFS($A$7:$A$1158,A612)</x:f>
        <x:v>1</x:v>
      </x:c>
    </x:row>
    <x:row r="613">
      <x:c r="A613" s="9" t="str">
        <x:v>EV-AR-HU-A-B-TECH-1-B2-RCN-G0-RW07</x:v>
      </x:c>
      <x:c r="B613" s="9" t="str">
        <x:v>EV-AR-HU-A-B-TECH-1-B2-RCN-G0</x:v>
      </x:c>
      <x:c r="C613" s="9" t="str">
        <x:v>AR-HU-A-B-TECH-1-B2-RCN-G0</x:v>
      </x:c>
      <x:c r="D613" s="9" t="str">
        <x:v>HU-A-B-TECH-1</x:v>
      </x:c>
      <x:c r="E613" s="9" t="str">
        <x:v>HU-A-B</x:v>
      </x:c>
      <x:c r="F613" s="9" t="str">
        <x:v>B2</x:v>
      </x:c>
      <x:c r="G613" s="9" t="str">
        <x:v>RCN</x:v>
      </x:c>
      <x:c r="H613" s="9" t="str">
        <x:v>RW07</x:v>
      </x:c>
      <x:c r="I613" s="17" t="str">
        <x:v>Candidate interface telemetry</x:v>
      </x:c>
      <x:c r="J613" s="17" t="str">
        <x:v>Interface custodian</x:v>
      </x:c>
      <x:c r="K613" s="17" t="str">
        <x:v>Public custody A</x:v>
      </x:c>
      <x:c r="L613" s="9" t="n">
        <x:v>0</x:v>
      </x:c>
      <x:c r="M613" s="9" t="n">
        <x:v>0</x:v>
      </x:c>
      <x:c r="N613" s="9" t="n">
        <x:v>0</x:v>
      </x:c>
      <x:c r="O613" s="9" t="n">
        <x:v>0</x:v>
      </x:c>
      <x:c r="P613" s="9" t="str">
        <x:v>UNSEALED / SOURCE-EMPTY</x:v>
      </x:c>
      <x:c r="Q613" s="9" t="n">
        <x:f>COUNTIFS($A$7:$A$1158,A613)</x:f>
        <x:v>1</x:v>
      </x:c>
    </x:row>
    <x:row r="614">
      <x:c r="A614" s="9" t="str">
        <x:v>EV-AR-HU-A-B-TECH-1-B2-RCN-G0-RW08</x:v>
      </x:c>
      <x:c r="B614" s="9" t="str">
        <x:v>EV-AR-HU-A-B-TECH-1-B2-RCN-G0</x:v>
      </x:c>
      <x:c r="C614" s="9" t="str">
        <x:v>AR-HU-A-B-TECH-1-B2-RCN-G0</x:v>
      </x:c>
      <x:c r="D614" s="9" t="str">
        <x:v>HU-A-B-TECH-1</x:v>
      </x:c>
      <x:c r="E614" s="9" t="str">
        <x:v>HU-A-B</x:v>
      </x:c>
      <x:c r="F614" s="9" t="str">
        <x:v>B2</x:v>
      </x:c>
      <x:c r="G614" s="9" t="str">
        <x:v>RCN</x:v>
      </x:c>
      <x:c r="H614" s="9" t="str">
        <x:v>RW08</x:v>
      </x:c>
      <x:c r="I614" s="17" t="str">
        <x:v>Residual and physical evidence</x:v>
      </x:c>
      <x:c r="J614" s="17" t="str">
        <x:v>Residual authority</x:v>
      </x:c>
      <x:c r="K614" s="17" t="str">
        <x:v>Public custody B</x:v>
      </x:c>
      <x:c r="L614" s="9" t="n">
        <x:v>0</x:v>
      </x:c>
      <x:c r="M614" s="9" t="n">
        <x:v>0</x:v>
      </x:c>
      <x:c r="N614" s="9" t="n">
        <x:v>0</x:v>
      </x:c>
      <x:c r="O614" s="9" t="n">
        <x:v>0</x:v>
      </x:c>
      <x:c r="P614" s="9" t="str">
        <x:v>UNSEALED / SOURCE-EMPTY</x:v>
      </x:c>
      <x:c r="Q614" s="9" t="n">
        <x:f>COUNTIFS($A$7:$A$1158,A614)</x:f>
        <x:v>1</x:v>
      </x:c>
    </x:row>
    <x:row r="615">
      <x:c r="A615" s="9" t="str">
        <x:v>EV-AR-HU-A-B-TECH-3-B2-BRK-G0-RW01</x:v>
      </x:c>
      <x:c r="B615" s="9" t="str">
        <x:v>EV-AR-HU-A-B-TECH-3-B2-BRK-G0</x:v>
      </x:c>
      <x:c r="C615" s="9" t="str">
        <x:v>AR-HU-A-B-TECH-3-B2-BRK-G0</x:v>
      </x:c>
      <x:c r="D615" s="9" t="str">
        <x:v>HU-A-B-TECH-3</x:v>
      </x:c>
      <x:c r="E615" s="9" t="str">
        <x:v>HU-A-B</x:v>
      </x:c>
      <x:c r="F615" s="9" t="str">
        <x:v>B2</x:v>
      </x:c>
      <x:c r="G615" s="9" t="str">
        <x:v>BRK</x:v>
      </x:c>
      <x:c r="H615" s="9" t="str">
        <x:v>RW01</x:v>
      </x:c>
      <x:c r="I615" s="17" t="str">
        <x:v>Primary raw stream</x:v>
      </x:c>
      <x:c r="J615" s="17" t="str">
        <x:v>Primary metrology</x:v>
      </x:c>
      <x:c r="K615" s="17" t="str">
        <x:v>Public custody A</x:v>
      </x:c>
      <x:c r="L615" s="9" t="n">
        <x:v>0</x:v>
      </x:c>
      <x:c r="M615" s="9" t="n">
        <x:v>0</x:v>
      </x:c>
      <x:c r="N615" s="9" t="n">
        <x:v>0</x:v>
      </x:c>
      <x:c r="O615" s="9" t="n">
        <x:v>0</x:v>
      </x:c>
      <x:c r="P615" s="9" t="str">
        <x:v>UNSEALED / SOURCE-EMPTY</x:v>
      </x:c>
      <x:c r="Q615" s="9" t="n">
        <x:f>COUNTIFS($A$7:$A$1158,A615)</x:f>
        <x:v>1</x:v>
      </x:c>
    </x:row>
    <x:row r="616">
      <x:c r="A616" s="9" t="str">
        <x:v>EV-AR-HU-A-B-TECH-3-B2-BRK-G0-RW02</x:v>
      </x:c>
      <x:c r="B616" s="9" t="str">
        <x:v>EV-AR-HU-A-B-TECH-3-B2-BRK-G0</x:v>
      </x:c>
      <x:c r="C616" s="9" t="str">
        <x:v>AR-HU-A-B-TECH-3-B2-BRK-G0</x:v>
      </x:c>
      <x:c r="D616" s="9" t="str">
        <x:v>HU-A-B-TECH-3</x:v>
      </x:c>
      <x:c r="E616" s="9" t="str">
        <x:v>HU-A-B</x:v>
      </x:c>
      <x:c r="F616" s="9" t="str">
        <x:v>B2</x:v>
      </x:c>
      <x:c r="G616" s="9" t="str">
        <x:v>BRK</x:v>
      </x:c>
      <x:c r="H616" s="9" t="str">
        <x:v>RW02</x:v>
      </x:c>
      <x:c r="I616" s="17" t="str">
        <x:v>Unlike witness stream</x:v>
      </x:c>
      <x:c r="J616" s="17" t="str">
        <x:v>Witness metrology</x:v>
      </x:c>
      <x:c r="K616" s="17" t="str">
        <x:v>Public custody B</x:v>
      </x:c>
      <x:c r="L616" s="9" t="n">
        <x:v>0</x:v>
      </x:c>
      <x:c r="M616" s="9" t="n">
        <x:v>0</x:v>
      </x:c>
      <x:c r="N616" s="9" t="n">
        <x:v>0</x:v>
      </x:c>
      <x:c r="O616" s="9" t="n">
        <x:v>0</x:v>
      </x:c>
      <x:c r="P616" s="9" t="str">
        <x:v>UNSEALED / SOURCE-EMPTY</x:v>
      </x:c>
      <x:c r="Q616" s="9" t="n">
        <x:f>COUNTIFS($A$7:$A$1158,A616)</x:f>
        <x:v>1</x:v>
      </x:c>
    </x:row>
    <x:row r="617">
      <x:c r="A617" s="9" t="str">
        <x:v>EV-AR-HU-A-B-TECH-3-B2-BRK-G0-RW03</x:v>
      </x:c>
      <x:c r="B617" s="9" t="str">
        <x:v>EV-AR-HU-A-B-TECH-3-B2-BRK-G0</x:v>
      </x:c>
      <x:c r="C617" s="9" t="str">
        <x:v>AR-HU-A-B-TECH-3-B2-BRK-G0</x:v>
      </x:c>
      <x:c r="D617" s="9" t="str">
        <x:v>HU-A-B-TECH-3</x:v>
      </x:c>
      <x:c r="E617" s="9" t="str">
        <x:v>HU-A-B</x:v>
      </x:c>
      <x:c r="F617" s="9" t="str">
        <x:v>B2</x:v>
      </x:c>
      <x:c r="G617" s="9" t="str">
        <x:v>BRK</x:v>
      </x:c>
      <x:c r="H617" s="9" t="str">
        <x:v>RW03</x:v>
      </x:c>
      <x:c r="I617" s="17" t="str">
        <x:v>Event clock and start traces</x:v>
      </x:c>
      <x:c r="J617" s="17" t="str">
        <x:v>Event clock authority</x:v>
      </x:c>
      <x:c r="K617" s="17" t="str">
        <x:v>Public custody C</x:v>
      </x:c>
      <x:c r="L617" s="9" t="n">
        <x:v>0</x:v>
      </x:c>
      <x:c r="M617" s="9" t="n">
        <x:v>0</x:v>
      </x:c>
      <x:c r="N617" s="9" t="n">
        <x:v>0</x:v>
      </x:c>
      <x:c r="O617" s="9" t="n">
        <x:v>0</x:v>
      </x:c>
      <x:c r="P617" s="9" t="str">
        <x:v>UNSEALED / SOURCE-EMPTY</x:v>
      </x:c>
      <x:c r="Q617" s="9" t="n">
        <x:f>COUNTIFS($A$7:$A$1158,A617)</x:f>
        <x:v>1</x:v>
      </x:c>
    </x:row>
    <x:row r="618">
      <x:c r="A618" s="9" t="str">
        <x:v>EV-AR-HU-A-B-TECH-3-B2-BRK-G0-RW04</x:v>
      </x:c>
      <x:c r="B618" s="9" t="str">
        <x:v>EV-AR-HU-A-B-TECH-3-B2-BRK-G0</x:v>
      </x:c>
      <x:c r="C618" s="9" t="str">
        <x:v>AR-HU-A-B-TECH-3-B2-BRK-G0</x:v>
      </x:c>
      <x:c r="D618" s="9" t="str">
        <x:v>HU-A-B-TECH-3</x:v>
      </x:c>
      <x:c r="E618" s="9" t="str">
        <x:v>HU-A-B</x:v>
      </x:c>
      <x:c r="F618" s="9" t="str">
        <x:v>B2</x:v>
      </x:c>
      <x:c r="G618" s="9" t="str">
        <x:v>BRK</x:v>
      </x:c>
      <x:c r="H618" s="9" t="str">
        <x:v>RW04</x:v>
      </x:c>
      <x:c r="I618" s="17" t="str">
        <x:v>Environmental boundary stream</x:v>
      </x:c>
      <x:c r="J618" s="17" t="str">
        <x:v>Site metrology</x:v>
      </x:c>
      <x:c r="K618" s="17" t="str">
        <x:v>Public custody D</x:v>
      </x:c>
      <x:c r="L618" s="9" t="n">
        <x:v>0</x:v>
      </x:c>
      <x:c r="M618" s="9" t="n">
        <x:v>0</x:v>
      </x:c>
      <x:c r="N618" s="9" t="n">
        <x:v>0</x:v>
      </x:c>
      <x:c r="O618" s="9" t="n">
        <x:v>0</x:v>
      </x:c>
      <x:c r="P618" s="9" t="str">
        <x:v>UNSEALED / SOURCE-EMPTY</x:v>
      </x:c>
      <x:c r="Q618" s="9" t="n">
        <x:f>COUNTIFS($A$7:$A$1158,A618)</x:f>
        <x:v>1</x:v>
      </x:c>
    </x:row>
    <x:row r="619">
      <x:c r="A619" s="9" t="str">
        <x:v>EV-AR-HU-A-B-TECH-3-B2-BRK-G0-RW05</x:v>
      </x:c>
      <x:c r="B619" s="9" t="str">
        <x:v>EV-AR-HU-A-B-TECH-3-B2-BRK-G0</x:v>
      </x:c>
      <x:c r="C619" s="9" t="str">
        <x:v>AR-HU-A-B-TECH-3-B2-BRK-G0</x:v>
      </x:c>
      <x:c r="D619" s="9" t="str">
        <x:v>HU-A-B-TECH-3</x:v>
      </x:c>
      <x:c r="E619" s="9" t="str">
        <x:v>HU-A-B</x:v>
      </x:c>
      <x:c r="F619" s="9" t="str">
        <x:v>B2</x:v>
      </x:c>
      <x:c r="G619" s="9" t="str">
        <x:v>BRK</x:v>
      </x:c>
      <x:c r="H619" s="9" t="str">
        <x:v>RW05</x:v>
      </x:c>
      <x:c r="I619" s="17" t="str">
        <x:v>Command and intervention log</x:v>
      </x:c>
      <x:c r="J619" s="17" t="str">
        <x:v>Safety authority</x:v>
      </x:c>
      <x:c r="K619" s="17" t="str">
        <x:v>Public custody E</x:v>
      </x:c>
      <x:c r="L619" s="9" t="n">
        <x:v>0</x:v>
      </x:c>
      <x:c r="M619" s="9" t="n">
        <x:v>0</x:v>
      </x:c>
      <x:c r="N619" s="9" t="n">
        <x:v>0</x:v>
      </x:c>
      <x:c r="O619" s="9" t="n">
        <x:v>0</x:v>
      </x:c>
      <x:c r="P619" s="9" t="str">
        <x:v>UNSEALED / SOURCE-EMPTY</x:v>
      </x:c>
      <x:c r="Q619" s="9" t="n">
        <x:f>COUNTIFS($A$7:$A$1158,A619)</x:f>
        <x:v>1</x:v>
      </x:c>
    </x:row>
    <x:row r="620">
      <x:c r="A620" s="9" t="str">
        <x:v>EV-AR-HU-A-B-TECH-3-B2-BRK-G0-RW06</x:v>
      </x:c>
      <x:c r="B620" s="9" t="str">
        <x:v>EV-AR-HU-A-B-TECH-3-B2-BRK-G0</x:v>
      </x:c>
      <x:c r="C620" s="9" t="str">
        <x:v>AR-HU-A-B-TECH-3-B2-BRK-G0</x:v>
      </x:c>
      <x:c r="D620" s="9" t="str">
        <x:v>HU-A-B-TECH-3</x:v>
      </x:c>
      <x:c r="E620" s="9" t="str">
        <x:v>HU-A-B</x:v>
      </x:c>
      <x:c r="F620" s="9" t="str">
        <x:v>B2</x:v>
      </x:c>
      <x:c r="G620" s="9" t="str">
        <x:v>BRK</x:v>
      </x:c>
      <x:c r="H620" s="9" t="str">
        <x:v>RW06</x:v>
      </x:c>
      <x:c r="I620" s="17" t="str">
        <x:v>Receiver service ledger</x:v>
      </x:c>
      <x:c r="J620" s="17" t="str">
        <x:v>Receiver authority</x:v>
      </x:c>
      <x:c r="K620" s="17" t="str">
        <x:v>Public custody F</x:v>
      </x:c>
      <x:c r="L620" s="9" t="n">
        <x:v>0</x:v>
      </x:c>
      <x:c r="M620" s="9" t="n">
        <x:v>0</x:v>
      </x:c>
      <x:c r="N620" s="9" t="n">
        <x:v>0</x:v>
      </x:c>
      <x:c r="O620" s="9" t="n">
        <x:v>0</x:v>
      </x:c>
      <x:c r="P620" s="9" t="str">
        <x:v>UNSEALED / SOURCE-EMPTY</x:v>
      </x:c>
      <x:c r="Q620" s="9" t="n">
        <x:f>COUNTIFS($A$7:$A$1158,A620)</x:f>
        <x:v>1</x:v>
      </x:c>
    </x:row>
    <x:row r="621">
      <x:c r="A621" s="9" t="str">
        <x:v>EV-AR-HU-A-B-TECH-3-B2-BRK-G0-RW07</x:v>
      </x:c>
      <x:c r="B621" s="9" t="str">
        <x:v>EV-AR-HU-A-B-TECH-3-B2-BRK-G0</x:v>
      </x:c>
      <x:c r="C621" s="9" t="str">
        <x:v>AR-HU-A-B-TECH-3-B2-BRK-G0</x:v>
      </x:c>
      <x:c r="D621" s="9" t="str">
        <x:v>HU-A-B-TECH-3</x:v>
      </x:c>
      <x:c r="E621" s="9" t="str">
        <x:v>HU-A-B</x:v>
      </x:c>
      <x:c r="F621" s="9" t="str">
        <x:v>B2</x:v>
      </x:c>
      <x:c r="G621" s="9" t="str">
        <x:v>BRK</x:v>
      </x:c>
      <x:c r="H621" s="9" t="str">
        <x:v>RW07</x:v>
      </x:c>
      <x:c r="I621" s="17" t="str">
        <x:v>Candidate interface telemetry</x:v>
      </x:c>
      <x:c r="J621" s="17" t="str">
        <x:v>Interface custodian</x:v>
      </x:c>
      <x:c r="K621" s="17" t="str">
        <x:v>Public custody A</x:v>
      </x:c>
      <x:c r="L621" s="9" t="n">
        <x:v>0</x:v>
      </x:c>
      <x:c r="M621" s="9" t="n">
        <x:v>0</x:v>
      </x:c>
      <x:c r="N621" s="9" t="n">
        <x:v>0</x:v>
      </x:c>
      <x:c r="O621" s="9" t="n">
        <x:v>0</x:v>
      </x:c>
      <x:c r="P621" s="9" t="str">
        <x:v>UNSEALED / SOURCE-EMPTY</x:v>
      </x:c>
      <x:c r="Q621" s="9" t="n">
        <x:f>COUNTIFS($A$7:$A$1158,A621)</x:f>
        <x:v>1</x:v>
      </x:c>
    </x:row>
    <x:row r="622">
      <x:c r="A622" s="9" t="str">
        <x:v>EV-AR-HU-A-B-TECH-3-B2-BRK-G0-RW08</x:v>
      </x:c>
      <x:c r="B622" s="9" t="str">
        <x:v>EV-AR-HU-A-B-TECH-3-B2-BRK-G0</x:v>
      </x:c>
      <x:c r="C622" s="9" t="str">
        <x:v>AR-HU-A-B-TECH-3-B2-BRK-G0</x:v>
      </x:c>
      <x:c r="D622" s="9" t="str">
        <x:v>HU-A-B-TECH-3</x:v>
      </x:c>
      <x:c r="E622" s="9" t="str">
        <x:v>HU-A-B</x:v>
      </x:c>
      <x:c r="F622" s="9" t="str">
        <x:v>B2</x:v>
      </x:c>
      <x:c r="G622" s="9" t="str">
        <x:v>BRK</x:v>
      </x:c>
      <x:c r="H622" s="9" t="str">
        <x:v>RW08</x:v>
      </x:c>
      <x:c r="I622" s="17" t="str">
        <x:v>Residual and physical evidence</x:v>
      </x:c>
      <x:c r="J622" s="17" t="str">
        <x:v>Residual authority</x:v>
      </x:c>
      <x:c r="K622" s="17" t="str">
        <x:v>Public custody B</x:v>
      </x:c>
      <x:c r="L622" s="9" t="n">
        <x:v>0</x:v>
      </x:c>
      <x:c r="M622" s="9" t="n">
        <x:v>0</x:v>
      </x:c>
      <x:c r="N622" s="9" t="n">
        <x:v>0</x:v>
      </x:c>
      <x:c r="O622" s="9" t="n">
        <x:v>0</x:v>
      </x:c>
      <x:c r="P622" s="9" t="str">
        <x:v>UNSEALED / SOURCE-EMPTY</x:v>
      </x:c>
      <x:c r="Q622" s="9" t="n">
        <x:f>COUNTIFS($A$7:$A$1158,A622)</x:f>
        <x:v>1</x:v>
      </x:c>
    </x:row>
    <x:row r="623">
      <x:c r="A623" s="9" t="str">
        <x:v>EV-AR-RT-B-C-TECH-1-B1-RCN-G0-RW01</x:v>
      </x:c>
      <x:c r="B623" s="9" t="str">
        <x:v>EV-AR-RT-B-C-TECH-1-B1-RCN-G0</x:v>
      </x:c>
      <x:c r="C623" s="9" t="str">
        <x:v>AR-RT-B-C-TECH-1-B1-RCN-G0</x:v>
      </x:c>
      <x:c r="D623" s="9" t="str">
        <x:v>RT-B-C-TECH-1</x:v>
      </x:c>
      <x:c r="E623" s="9" t="str">
        <x:v>RT-B-C</x:v>
      </x:c>
      <x:c r="F623" s="9" t="str">
        <x:v>B1</x:v>
      </x:c>
      <x:c r="G623" s="9" t="str">
        <x:v>RCN</x:v>
      </x:c>
      <x:c r="H623" s="9" t="str">
        <x:v>RW01</x:v>
      </x:c>
      <x:c r="I623" s="17" t="str">
        <x:v>Primary raw stream</x:v>
      </x:c>
      <x:c r="J623" s="17" t="str">
        <x:v>Primary metrology</x:v>
      </x:c>
      <x:c r="K623" s="17" t="str">
        <x:v>Public custody A</x:v>
      </x:c>
      <x:c r="L623" s="9" t="n">
        <x:v>0</x:v>
      </x:c>
      <x:c r="M623" s="9" t="n">
        <x:v>0</x:v>
      </x:c>
      <x:c r="N623" s="9" t="n">
        <x:v>0</x:v>
      </x:c>
      <x:c r="O623" s="9" t="n">
        <x:v>0</x:v>
      </x:c>
      <x:c r="P623" s="9" t="str">
        <x:v>UNSEALED / SOURCE-EMPTY</x:v>
      </x:c>
      <x:c r="Q623" s="9" t="n">
        <x:f>COUNTIFS($A$7:$A$1158,A623)</x:f>
        <x:v>1</x:v>
      </x:c>
    </x:row>
    <x:row r="624">
      <x:c r="A624" s="9" t="str">
        <x:v>EV-AR-RT-B-C-TECH-1-B1-RCN-G0-RW02</x:v>
      </x:c>
      <x:c r="B624" s="9" t="str">
        <x:v>EV-AR-RT-B-C-TECH-1-B1-RCN-G0</x:v>
      </x:c>
      <x:c r="C624" s="9" t="str">
        <x:v>AR-RT-B-C-TECH-1-B1-RCN-G0</x:v>
      </x:c>
      <x:c r="D624" s="9" t="str">
        <x:v>RT-B-C-TECH-1</x:v>
      </x:c>
      <x:c r="E624" s="9" t="str">
        <x:v>RT-B-C</x:v>
      </x:c>
      <x:c r="F624" s="9" t="str">
        <x:v>B1</x:v>
      </x:c>
      <x:c r="G624" s="9" t="str">
        <x:v>RCN</x:v>
      </x:c>
      <x:c r="H624" s="9" t="str">
        <x:v>RW02</x:v>
      </x:c>
      <x:c r="I624" s="17" t="str">
        <x:v>Unlike witness stream</x:v>
      </x:c>
      <x:c r="J624" s="17" t="str">
        <x:v>Witness metrology</x:v>
      </x:c>
      <x:c r="K624" s="17" t="str">
        <x:v>Public custody B</x:v>
      </x:c>
      <x:c r="L624" s="9" t="n">
        <x:v>0</x:v>
      </x:c>
      <x:c r="M624" s="9" t="n">
        <x:v>0</x:v>
      </x:c>
      <x:c r="N624" s="9" t="n">
        <x:v>0</x:v>
      </x:c>
      <x:c r="O624" s="9" t="n">
        <x:v>0</x:v>
      </x:c>
      <x:c r="P624" s="9" t="str">
        <x:v>UNSEALED / SOURCE-EMPTY</x:v>
      </x:c>
      <x:c r="Q624" s="9" t="n">
        <x:f>COUNTIFS($A$7:$A$1158,A624)</x:f>
        <x:v>1</x:v>
      </x:c>
    </x:row>
    <x:row r="625">
      <x:c r="A625" s="9" t="str">
        <x:v>EV-AR-RT-B-C-TECH-1-B1-RCN-G0-RW03</x:v>
      </x:c>
      <x:c r="B625" s="9" t="str">
        <x:v>EV-AR-RT-B-C-TECH-1-B1-RCN-G0</x:v>
      </x:c>
      <x:c r="C625" s="9" t="str">
        <x:v>AR-RT-B-C-TECH-1-B1-RCN-G0</x:v>
      </x:c>
      <x:c r="D625" s="9" t="str">
        <x:v>RT-B-C-TECH-1</x:v>
      </x:c>
      <x:c r="E625" s="9" t="str">
        <x:v>RT-B-C</x:v>
      </x:c>
      <x:c r="F625" s="9" t="str">
        <x:v>B1</x:v>
      </x:c>
      <x:c r="G625" s="9" t="str">
        <x:v>RCN</x:v>
      </x:c>
      <x:c r="H625" s="9" t="str">
        <x:v>RW03</x:v>
      </x:c>
      <x:c r="I625" s="17" t="str">
        <x:v>Event clock and start traces</x:v>
      </x:c>
      <x:c r="J625" s="17" t="str">
        <x:v>Event clock authority</x:v>
      </x:c>
      <x:c r="K625" s="17" t="str">
        <x:v>Public custody C</x:v>
      </x:c>
      <x:c r="L625" s="9" t="n">
        <x:v>0</x:v>
      </x:c>
      <x:c r="M625" s="9" t="n">
        <x:v>0</x:v>
      </x:c>
      <x:c r="N625" s="9" t="n">
        <x:v>0</x:v>
      </x:c>
      <x:c r="O625" s="9" t="n">
        <x:v>0</x:v>
      </x:c>
      <x:c r="P625" s="9" t="str">
        <x:v>UNSEALED / SOURCE-EMPTY</x:v>
      </x:c>
      <x:c r="Q625" s="9" t="n">
        <x:f>COUNTIFS($A$7:$A$1158,A625)</x:f>
        <x:v>1</x:v>
      </x:c>
    </x:row>
    <x:row r="626">
      <x:c r="A626" s="9" t="str">
        <x:v>EV-AR-RT-B-C-TECH-1-B1-RCN-G0-RW04</x:v>
      </x:c>
      <x:c r="B626" s="9" t="str">
        <x:v>EV-AR-RT-B-C-TECH-1-B1-RCN-G0</x:v>
      </x:c>
      <x:c r="C626" s="9" t="str">
        <x:v>AR-RT-B-C-TECH-1-B1-RCN-G0</x:v>
      </x:c>
      <x:c r="D626" s="9" t="str">
        <x:v>RT-B-C-TECH-1</x:v>
      </x:c>
      <x:c r="E626" s="9" t="str">
        <x:v>RT-B-C</x:v>
      </x:c>
      <x:c r="F626" s="9" t="str">
        <x:v>B1</x:v>
      </x:c>
      <x:c r="G626" s="9" t="str">
        <x:v>RCN</x:v>
      </x:c>
      <x:c r="H626" s="9" t="str">
        <x:v>RW04</x:v>
      </x:c>
      <x:c r="I626" s="17" t="str">
        <x:v>Environmental boundary stream</x:v>
      </x:c>
      <x:c r="J626" s="17" t="str">
        <x:v>Site metrology</x:v>
      </x:c>
      <x:c r="K626" s="17" t="str">
        <x:v>Public custody D</x:v>
      </x:c>
      <x:c r="L626" s="9" t="n">
        <x:v>0</x:v>
      </x:c>
      <x:c r="M626" s="9" t="n">
        <x:v>0</x:v>
      </x:c>
      <x:c r="N626" s="9" t="n">
        <x:v>0</x:v>
      </x:c>
      <x:c r="O626" s="9" t="n">
        <x:v>0</x:v>
      </x:c>
      <x:c r="P626" s="9" t="str">
        <x:v>UNSEALED / SOURCE-EMPTY</x:v>
      </x:c>
      <x:c r="Q626" s="9" t="n">
        <x:f>COUNTIFS($A$7:$A$1158,A626)</x:f>
        <x:v>1</x:v>
      </x:c>
    </x:row>
    <x:row r="627">
      <x:c r="A627" s="9" t="str">
        <x:v>EV-AR-RT-B-C-TECH-1-B1-RCN-G0-RW05</x:v>
      </x:c>
      <x:c r="B627" s="9" t="str">
        <x:v>EV-AR-RT-B-C-TECH-1-B1-RCN-G0</x:v>
      </x:c>
      <x:c r="C627" s="9" t="str">
        <x:v>AR-RT-B-C-TECH-1-B1-RCN-G0</x:v>
      </x:c>
      <x:c r="D627" s="9" t="str">
        <x:v>RT-B-C-TECH-1</x:v>
      </x:c>
      <x:c r="E627" s="9" t="str">
        <x:v>RT-B-C</x:v>
      </x:c>
      <x:c r="F627" s="9" t="str">
        <x:v>B1</x:v>
      </x:c>
      <x:c r="G627" s="9" t="str">
        <x:v>RCN</x:v>
      </x:c>
      <x:c r="H627" s="9" t="str">
        <x:v>RW05</x:v>
      </x:c>
      <x:c r="I627" s="17" t="str">
        <x:v>Command and intervention log</x:v>
      </x:c>
      <x:c r="J627" s="17" t="str">
        <x:v>Safety authority</x:v>
      </x:c>
      <x:c r="K627" s="17" t="str">
        <x:v>Public custody E</x:v>
      </x:c>
      <x:c r="L627" s="9" t="n">
        <x:v>0</x:v>
      </x:c>
      <x:c r="M627" s="9" t="n">
        <x:v>0</x:v>
      </x:c>
      <x:c r="N627" s="9" t="n">
        <x:v>0</x:v>
      </x:c>
      <x:c r="O627" s="9" t="n">
        <x:v>0</x:v>
      </x:c>
      <x:c r="P627" s="9" t="str">
        <x:v>UNSEALED / SOURCE-EMPTY</x:v>
      </x:c>
      <x:c r="Q627" s="9" t="n">
        <x:f>COUNTIFS($A$7:$A$1158,A627)</x:f>
        <x:v>1</x:v>
      </x:c>
    </x:row>
    <x:row r="628">
      <x:c r="A628" s="9" t="str">
        <x:v>EV-AR-RT-B-C-TECH-1-B1-RCN-G0-RW06</x:v>
      </x:c>
      <x:c r="B628" s="9" t="str">
        <x:v>EV-AR-RT-B-C-TECH-1-B1-RCN-G0</x:v>
      </x:c>
      <x:c r="C628" s="9" t="str">
        <x:v>AR-RT-B-C-TECH-1-B1-RCN-G0</x:v>
      </x:c>
      <x:c r="D628" s="9" t="str">
        <x:v>RT-B-C-TECH-1</x:v>
      </x:c>
      <x:c r="E628" s="9" t="str">
        <x:v>RT-B-C</x:v>
      </x:c>
      <x:c r="F628" s="9" t="str">
        <x:v>B1</x:v>
      </x:c>
      <x:c r="G628" s="9" t="str">
        <x:v>RCN</x:v>
      </x:c>
      <x:c r="H628" s="9" t="str">
        <x:v>RW06</x:v>
      </x:c>
      <x:c r="I628" s="17" t="str">
        <x:v>Receiver service ledger</x:v>
      </x:c>
      <x:c r="J628" s="17" t="str">
        <x:v>Receiver authority</x:v>
      </x:c>
      <x:c r="K628" s="17" t="str">
        <x:v>Public custody F</x:v>
      </x:c>
      <x:c r="L628" s="9" t="n">
        <x:v>0</x:v>
      </x:c>
      <x:c r="M628" s="9" t="n">
        <x:v>0</x:v>
      </x:c>
      <x:c r="N628" s="9" t="n">
        <x:v>0</x:v>
      </x:c>
      <x:c r="O628" s="9" t="n">
        <x:v>0</x:v>
      </x:c>
      <x:c r="P628" s="9" t="str">
        <x:v>UNSEALED / SOURCE-EMPTY</x:v>
      </x:c>
      <x:c r="Q628" s="9" t="n">
        <x:f>COUNTIFS($A$7:$A$1158,A628)</x:f>
        <x:v>1</x:v>
      </x:c>
    </x:row>
    <x:row r="629">
      <x:c r="A629" s="9" t="str">
        <x:v>EV-AR-RT-B-C-TECH-1-B1-RCN-G0-RW07</x:v>
      </x:c>
      <x:c r="B629" s="9" t="str">
        <x:v>EV-AR-RT-B-C-TECH-1-B1-RCN-G0</x:v>
      </x:c>
      <x:c r="C629" s="9" t="str">
        <x:v>AR-RT-B-C-TECH-1-B1-RCN-G0</x:v>
      </x:c>
      <x:c r="D629" s="9" t="str">
        <x:v>RT-B-C-TECH-1</x:v>
      </x:c>
      <x:c r="E629" s="9" t="str">
        <x:v>RT-B-C</x:v>
      </x:c>
      <x:c r="F629" s="9" t="str">
        <x:v>B1</x:v>
      </x:c>
      <x:c r="G629" s="9" t="str">
        <x:v>RCN</x:v>
      </x:c>
      <x:c r="H629" s="9" t="str">
        <x:v>RW07</x:v>
      </x:c>
      <x:c r="I629" s="17" t="str">
        <x:v>Candidate interface telemetry</x:v>
      </x:c>
      <x:c r="J629" s="17" t="str">
        <x:v>Interface custodian</x:v>
      </x:c>
      <x:c r="K629" s="17" t="str">
        <x:v>Public custody A</x:v>
      </x:c>
      <x:c r="L629" s="9" t="n">
        <x:v>0</x:v>
      </x:c>
      <x:c r="M629" s="9" t="n">
        <x:v>0</x:v>
      </x:c>
      <x:c r="N629" s="9" t="n">
        <x:v>0</x:v>
      </x:c>
      <x:c r="O629" s="9" t="n">
        <x:v>0</x:v>
      </x:c>
      <x:c r="P629" s="9" t="str">
        <x:v>UNSEALED / SOURCE-EMPTY</x:v>
      </x:c>
      <x:c r="Q629" s="9" t="n">
        <x:f>COUNTIFS($A$7:$A$1158,A629)</x:f>
        <x:v>1</x:v>
      </x:c>
    </x:row>
    <x:row r="630">
      <x:c r="A630" s="9" t="str">
        <x:v>EV-AR-RT-B-C-TECH-1-B1-RCN-G0-RW08</x:v>
      </x:c>
      <x:c r="B630" s="9" t="str">
        <x:v>EV-AR-RT-B-C-TECH-1-B1-RCN-G0</x:v>
      </x:c>
      <x:c r="C630" s="9" t="str">
        <x:v>AR-RT-B-C-TECH-1-B1-RCN-G0</x:v>
      </x:c>
      <x:c r="D630" s="9" t="str">
        <x:v>RT-B-C-TECH-1</x:v>
      </x:c>
      <x:c r="E630" s="9" t="str">
        <x:v>RT-B-C</x:v>
      </x:c>
      <x:c r="F630" s="9" t="str">
        <x:v>B1</x:v>
      </x:c>
      <x:c r="G630" s="9" t="str">
        <x:v>RCN</x:v>
      </x:c>
      <x:c r="H630" s="9" t="str">
        <x:v>RW08</x:v>
      </x:c>
      <x:c r="I630" s="17" t="str">
        <x:v>Residual and physical evidence</x:v>
      </x:c>
      <x:c r="J630" s="17" t="str">
        <x:v>Residual authority</x:v>
      </x:c>
      <x:c r="K630" s="17" t="str">
        <x:v>Public custody B</x:v>
      </x:c>
      <x:c r="L630" s="9" t="n">
        <x:v>0</x:v>
      </x:c>
      <x:c r="M630" s="9" t="n">
        <x:v>0</x:v>
      </x:c>
      <x:c r="N630" s="9" t="n">
        <x:v>0</x:v>
      </x:c>
      <x:c r="O630" s="9" t="n">
        <x:v>0</x:v>
      </x:c>
      <x:c r="P630" s="9" t="str">
        <x:v>UNSEALED / SOURCE-EMPTY</x:v>
      </x:c>
      <x:c r="Q630" s="9" t="n">
        <x:f>COUNTIFS($A$7:$A$1158,A630)</x:f>
        <x:v>1</x:v>
      </x:c>
    </x:row>
    <x:row r="631">
      <x:c r="A631" s="9" t="str">
        <x:v>EV-AR-ET-A-A-TECH-1-B2-BRK-G0-RW01</x:v>
      </x:c>
      <x:c r="B631" s="9" t="str">
        <x:v>EV-AR-ET-A-A-TECH-1-B2-BRK-G0</x:v>
      </x:c>
      <x:c r="C631" s="9" t="str">
        <x:v>AR-ET-A-A-TECH-1-B2-BRK-G0</x:v>
      </x:c>
      <x:c r="D631" s="9" t="str">
        <x:v>ET-A-A-TECH-1</x:v>
      </x:c>
      <x:c r="E631" s="9" t="str">
        <x:v>ET-A-A</x:v>
      </x:c>
      <x:c r="F631" s="9" t="str">
        <x:v>B2</x:v>
      </x:c>
      <x:c r="G631" s="9" t="str">
        <x:v>BRK</x:v>
      </x:c>
      <x:c r="H631" s="9" t="str">
        <x:v>RW01</x:v>
      </x:c>
      <x:c r="I631" s="17" t="str">
        <x:v>Primary raw stream</x:v>
      </x:c>
      <x:c r="J631" s="17" t="str">
        <x:v>Primary metrology</x:v>
      </x:c>
      <x:c r="K631" s="17" t="str">
        <x:v>Public custody A</x:v>
      </x:c>
      <x:c r="L631" s="9" t="n">
        <x:v>0</x:v>
      </x:c>
      <x:c r="M631" s="9" t="n">
        <x:v>0</x:v>
      </x:c>
      <x:c r="N631" s="9" t="n">
        <x:v>0</x:v>
      </x:c>
      <x:c r="O631" s="9" t="n">
        <x:v>0</x:v>
      </x:c>
      <x:c r="P631" s="9" t="str">
        <x:v>UNSEALED / SOURCE-EMPTY</x:v>
      </x:c>
      <x:c r="Q631" s="9" t="n">
        <x:f>COUNTIFS($A$7:$A$1158,A631)</x:f>
        <x:v>1</x:v>
      </x:c>
    </x:row>
    <x:row r="632">
      <x:c r="A632" s="9" t="str">
        <x:v>EV-AR-ET-A-A-TECH-1-B2-BRK-G0-RW02</x:v>
      </x:c>
      <x:c r="B632" s="9" t="str">
        <x:v>EV-AR-ET-A-A-TECH-1-B2-BRK-G0</x:v>
      </x:c>
      <x:c r="C632" s="9" t="str">
        <x:v>AR-ET-A-A-TECH-1-B2-BRK-G0</x:v>
      </x:c>
      <x:c r="D632" s="9" t="str">
        <x:v>ET-A-A-TECH-1</x:v>
      </x:c>
      <x:c r="E632" s="9" t="str">
        <x:v>ET-A-A</x:v>
      </x:c>
      <x:c r="F632" s="9" t="str">
        <x:v>B2</x:v>
      </x:c>
      <x:c r="G632" s="9" t="str">
        <x:v>BRK</x:v>
      </x:c>
      <x:c r="H632" s="9" t="str">
        <x:v>RW02</x:v>
      </x:c>
      <x:c r="I632" s="17" t="str">
        <x:v>Unlike witness stream</x:v>
      </x:c>
      <x:c r="J632" s="17" t="str">
        <x:v>Witness metrology</x:v>
      </x:c>
      <x:c r="K632" s="17" t="str">
        <x:v>Public custody B</x:v>
      </x:c>
      <x:c r="L632" s="9" t="n">
        <x:v>0</x:v>
      </x:c>
      <x:c r="M632" s="9" t="n">
        <x:v>0</x:v>
      </x:c>
      <x:c r="N632" s="9" t="n">
        <x:v>0</x:v>
      </x:c>
      <x:c r="O632" s="9" t="n">
        <x:v>0</x:v>
      </x:c>
      <x:c r="P632" s="9" t="str">
        <x:v>UNSEALED / SOURCE-EMPTY</x:v>
      </x:c>
      <x:c r="Q632" s="9" t="n">
        <x:f>COUNTIFS($A$7:$A$1158,A632)</x:f>
        <x:v>1</x:v>
      </x:c>
    </x:row>
    <x:row r="633">
      <x:c r="A633" s="9" t="str">
        <x:v>EV-AR-ET-A-A-TECH-1-B2-BRK-G0-RW03</x:v>
      </x:c>
      <x:c r="B633" s="9" t="str">
        <x:v>EV-AR-ET-A-A-TECH-1-B2-BRK-G0</x:v>
      </x:c>
      <x:c r="C633" s="9" t="str">
        <x:v>AR-ET-A-A-TECH-1-B2-BRK-G0</x:v>
      </x:c>
      <x:c r="D633" s="9" t="str">
        <x:v>ET-A-A-TECH-1</x:v>
      </x:c>
      <x:c r="E633" s="9" t="str">
        <x:v>ET-A-A</x:v>
      </x:c>
      <x:c r="F633" s="9" t="str">
        <x:v>B2</x:v>
      </x:c>
      <x:c r="G633" s="9" t="str">
        <x:v>BRK</x:v>
      </x:c>
      <x:c r="H633" s="9" t="str">
        <x:v>RW03</x:v>
      </x:c>
      <x:c r="I633" s="17" t="str">
        <x:v>Event clock and start traces</x:v>
      </x:c>
      <x:c r="J633" s="17" t="str">
        <x:v>Event clock authority</x:v>
      </x:c>
      <x:c r="K633" s="17" t="str">
        <x:v>Public custody C</x:v>
      </x:c>
      <x:c r="L633" s="9" t="n">
        <x:v>0</x:v>
      </x:c>
      <x:c r="M633" s="9" t="n">
        <x:v>0</x:v>
      </x:c>
      <x:c r="N633" s="9" t="n">
        <x:v>0</x:v>
      </x:c>
      <x:c r="O633" s="9" t="n">
        <x:v>0</x:v>
      </x:c>
      <x:c r="P633" s="9" t="str">
        <x:v>UNSEALED / SOURCE-EMPTY</x:v>
      </x:c>
      <x:c r="Q633" s="9" t="n">
        <x:f>COUNTIFS($A$7:$A$1158,A633)</x:f>
        <x:v>1</x:v>
      </x:c>
    </x:row>
    <x:row r="634">
      <x:c r="A634" s="9" t="str">
        <x:v>EV-AR-ET-A-A-TECH-1-B2-BRK-G0-RW04</x:v>
      </x:c>
      <x:c r="B634" s="9" t="str">
        <x:v>EV-AR-ET-A-A-TECH-1-B2-BRK-G0</x:v>
      </x:c>
      <x:c r="C634" s="9" t="str">
        <x:v>AR-ET-A-A-TECH-1-B2-BRK-G0</x:v>
      </x:c>
      <x:c r="D634" s="9" t="str">
        <x:v>ET-A-A-TECH-1</x:v>
      </x:c>
      <x:c r="E634" s="9" t="str">
        <x:v>ET-A-A</x:v>
      </x:c>
      <x:c r="F634" s="9" t="str">
        <x:v>B2</x:v>
      </x:c>
      <x:c r="G634" s="9" t="str">
        <x:v>BRK</x:v>
      </x:c>
      <x:c r="H634" s="9" t="str">
        <x:v>RW04</x:v>
      </x:c>
      <x:c r="I634" s="17" t="str">
        <x:v>Environmental boundary stream</x:v>
      </x:c>
      <x:c r="J634" s="17" t="str">
        <x:v>Site metrology</x:v>
      </x:c>
      <x:c r="K634" s="17" t="str">
        <x:v>Public custody D</x:v>
      </x:c>
      <x:c r="L634" s="9" t="n">
        <x:v>0</x:v>
      </x:c>
      <x:c r="M634" s="9" t="n">
        <x:v>0</x:v>
      </x:c>
      <x:c r="N634" s="9" t="n">
        <x:v>0</x:v>
      </x:c>
      <x:c r="O634" s="9" t="n">
        <x:v>0</x:v>
      </x:c>
      <x:c r="P634" s="9" t="str">
        <x:v>UNSEALED / SOURCE-EMPTY</x:v>
      </x:c>
      <x:c r="Q634" s="9" t="n">
        <x:f>COUNTIFS($A$7:$A$1158,A634)</x:f>
        <x:v>1</x:v>
      </x:c>
    </x:row>
    <x:row r="635">
      <x:c r="A635" s="9" t="str">
        <x:v>EV-AR-ET-A-A-TECH-1-B2-BRK-G0-RW05</x:v>
      </x:c>
      <x:c r="B635" s="9" t="str">
        <x:v>EV-AR-ET-A-A-TECH-1-B2-BRK-G0</x:v>
      </x:c>
      <x:c r="C635" s="9" t="str">
        <x:v>AR-ET-A-A-TECH-1-B2-BRK-G0</x:v>
      </x:c>
      <x:c r="D635" s="9" t="str">
        <x:v>ET-A-A-TECH-1</x:v>
      </x:c>
      <x:c r="E635" s="9" t="str">
        <x:v>ET-A-A</x:v>
      </x:c>
      <x:c r="F635" s="9" t="str">
        <x:v>B2</x:v>
      </x:c>
      <x:c r="G635" s="9" t="str">
        <x:v>BRK</x:v>
      </x:c>
      <x:c r="H635" s="9" t="str">
        <x:v>RW05</x:v>
      </x:c>
      <x:c r="I635" s="17" t="str">
        <x:v>Command and intervention log</x:v>
      </x:c>
      <x:c r="J635" s="17" t="str">
        <x:v>Safety authority</x:v>
      </x:c>
      <x:c r="K635" s="17" t="str">
        <x:v>Public custody E</x:v>
      </x:c>
      <x:c r="L635" s="9" t="n">
        <x:v>0</x:v>
      </x:c>
      <x:c r="M635" s="9" t="n">
        <x:v>0</x:v>
      </x:c>
      <x:c r="N635" s="9" t="n">
        <x:v>0</x:v>
      </x:c>
      <x:c r="O635" s="9" t="n">
        <x:v>0</x:v>
      </x:c>
      <x:c r="P635" s="9" t="str">
        <x:v>UNSEALED / SOURCE-EMPTY</x:v>
      </x:c>
      <x:c r="Q635" s="9" t="n">
        <x:f>COUNTIFS($A$7:$A$1158,A635)</x:f>
        <x:v>1</x:v>
      </x:c>
    </x:row>
    <x:row r="636">
      <x:c r="A636" s="9" t="str">
        <x:v>EV-AR-ET-A-A-TECH-1-B2-BRK-G0-RW06</x:v>
      </x:c>
      <x:c r="B636" s="9" t="str">
        <x:v>EV-AR-ET-A-A-TECH-1-B2-BRK-G0</x:v>
      </x:c>
      <x:c r="C636" s="9" t="str">
        <x:v>AR-ET-A-A-TECH-1-B2-BRK-G0</x:v>
      </x:c>
      <x:c r="D636" s="9" t="str">
        <x:v>ET-A-A-TECH-1</x:v>
      </x:c>
      <x:c r="E636" s="9" t="str">
        <x:v>ET-A-A</x:v>
      </x:c>
      <x:c r="F636" s="9" t="str">
        <x:v>B2</x:v>
      </x:c>
      <x:c r="G636" s="9" t="str">
        <x:v>BRK</x:v>
      </x:c>
      <x:c r="H636" s="9" t="str">
        <x:v>RW06</x:v>
      </x:c>
      <x:c r="I636" s="17" t="str">
        <x:v>Receiver service ledger</x:v>
      </x:c>
      <x:c r="J636" s="17" t="str">
        <x:v>Receiver authority</x:v>
      </x:c>
      <x:c r="K636" s="17" t="str">
        <x:v>Public custody F</x:v>
      </x:c>
      <x:c r="L636" s="9" t="n">
        <x:v>0</x:v>
      </x:c>
      <x:c r="M636" s="9" t="n">
        <x:v>0</x:v>
      </x:c>
      <x:c r="N636" s="9" t="n">
        <x:v>0</x:v>
      </x:c>
      <x:c r="O636" s="9" t="n">
        <x:v>0</x:v>
      </x:c>
      <x:c r="P636" s="9" t="str">
        <x:v>UNSEALED / SOURCE-EMPTY</x:v>
      </x:c>
      <x:c r="Q636" s="9" t="n">
        <x:f>COUNTIFS($A$7:$A$1158,A636)</x:f>
        <x:v>1</x:v>
      </x:c>
    </x:row>
    <x:row r="637">
      <x:c r="A637" s="9" t="str">
        <x:v>EV-AR-ET-A-A-TECH-1-B2-BRK-G0-RW07</x:v>
      </x:c>
      <x:c r="B637" s="9" t="str">
        <x:v>EV-AR-ET-A-A-TECH-1-B2-BRK-G0</x:v>
      </x:c>
      <x:c r="C637" s="9" t="str">
        <x:v>AR-ET-A-A-TECH-1-B2-BRK-G0</x:v>
      </x:c>
      <x:c r="D637" s="9" t="str">
        <x:v>ET-A-A-TECH-1</x:v>
      </x:c>
      <x:c r="E637" s="9" t="str">
        <x:v>ET-A-A</x:v>
      </x:c>
      <x:c r="F637" s="9" t="str">
        <x:v>B2</x:v>
      </x:c>
      <x:c r="G637" s="9" t="str">
        <x:v>BRK</x:v>
      </x:c>
      <x:c r="H637" s="9" t="str">
        <x:v>RW07</x:v>
      </x:c>
      <x:c r="I637" s="17" t="str">
        <x:v>Candidate interface telemetry</x:v>
      </x:c>
      <x:c r="J637" s="17" t="str">
        <x:v>Interface custodian</x:v>
      </x:c>
      <x:c r="K637" s="17" t="str">
        <x:v>Public custody A</x:v>
      </x:c>
      <x:c r="L637" s="9" t="n">
        <x:v>0</x:v>
      </x:c>
      <x:c r="M637" s="9" t="n">
        <x:v>0</x:v>
      </x:c>
      <x:c r="N637" s="9" t="n">
        <x:v>0</x:v>
      </x:c>
      <x:c r="O637" s="9" t="n">
        <x:v>0</x:v>
      </x:c>
      <x:c r="P637" s="9" t="str">
        <x:v>UNSEALED / SOURCE-EMPTY</x:v>
      </x:c>
      <x:c r="Q637" s="9" t="n">
        <x:f>COUNTIFS($A$7:$A$1158,A637)</x:f>
        <x:v>1</x:v>
      </x:c>
    </x:row>
    <x:row r="638">
      <x:c r="A638" s="9" t="str">
        <x:v>EV-AR-ET-A-A-TECH-1-B2-BRK-G0-RW08</x:v>
      </x:c>
      <x:c r="B638" s="9" t="str">
        <x:v>EV-AR-ET-A-A-TECH-1-B2-BRK-G0</x:v>
      </x:c>
      <x:c r="C638" s="9" t="str">
        <x:v>AR-ET-A-A-TECH-1-B2-BRK-G0</x:v>
      </x:c>
      <x:c r="D638" s="9" t="str">
        <x:v>ET-A-A-TECH-1</x:v>
      </x:c>
      <x:c r="E638" s="9" t="str">
        <x:v>ET-A-A</x:v>
      </x:c>
      <x:c r="F638" s="9" t="str">
        <x:v>B2</x:v>
      </x:c>
      <x:c r="G638" s="9" t="str">
        <x:v>BRK</x:v>
      </x:c>
      <x:c r="H638" s="9" t="str">
        <x:v>RW08</x:v>
      </x:c>
      <x:c r="I638" s="17" t="str">
        <x:v>Residual and physical evidence</x:v>
      </x:c>
      <x:c r="J638" s="17" t="str">
        <x:v>Residual authority</x:v>
      </x:c>
      <x:c r="K638" s="17" t="str">
        <x:v>Public custody B</x:v>
      </x:c>
      <x:c r="L638" s="9" t="n">
        <x:v>0</x:v>
      </x:c>
      <x:c r="M638" s="9" t="n">
        <x:v>0</x:v>
      </x:c>
      <x:c r="N638" s="9" t="n">
        <x:v>0</x:v>
      </x:c>
      <x:c r="O638" s="9" t="n">
        <x:v>0</x:v>
      </x:c>
      <x:c r="P638" s="9" t="str">
        <x:v>UNSEALED / SOURCE-EMPTY</x:v>
      </x:c>
      <x:c r="Q638" s="9" t="n">
        <x:f>COUNTIFS($A$7:$A$1158,A638)</x:f>
        <x:v>1</x:v>
      </x:c>
    </x:row>
    <x:row r="639">
      <x:c r="A639" s="9" t="str">
        <x:v>EV-AR-HC-A-C-TECH-3-B2-RCN-G0-RW01</x:v>
      </x:c>
      <x:c r="B639" s="9" t="str">
        <x:v>EV-AR-HC-A-C-TECH-3-B2-RCN-G0</x:v>
      </x:c>
      <x:c r="C639" s="9" t="str">
        <x:v>AR-HC-A-C-TECH-3-B2-RCN-G0</x:v>
      </x:c>
      <x:c r="D639" s="9" t="str">
        <x:v>HC-A-C-TECH-3</x:v>
      </x:c>
      <x:c r="E639" s="9" t="str">
        <x:v>HC-A-C</x:v>
      </x:c>
      <x:c r="F639" s="9" t="str">
        <x:v>B2</x:v>
      </x:c>
      <x:c r="G639" s="9" t="str">
        <x:v>RCN</x:v>
      </x:c>
      <x:c r="H639" s="9" t="str">
        <x:v>RW01</x:v>
      </x:c>
      <x:c r="I639" s="17" t="str">
        <x:v>Primary raw stream</x:v>
      </x:c>
      <x:c r="J639" s="17" t="str">
        <x:v>Primary metrology</x:v>
      </x:c>
      <x:c r="K639" s="17" t="str">
        <x:v>Public custody A</x:v>
      </x:c>
      <x:c r="L639" s="9" t="n">
        <x:v>0</x:v>
      </x:c>
      <x:c r="M639" s="9" t="n">
        <x:v>0</x:v>
      </x:c>
      <x:c r="N639" s="9" t="n">
        <x:v>0</x:v>
      </x:c>
      <x:c r="O639" s="9" t="n">
        <x:v>0</x:v>
      </x:c>
      <x:c r="P639" s="9" t="str">
        <x:v>UNSEALED / SOURCE-EMPTY</x:v>
      </x:c>
      <x:c r="Q639" s="9" t="n">
        <x:f>COUNTIFS($A$7:$A$1158,A639)</x:f>
        <x:v>1</x:v>
      </x:c>
    </x:row>
    <x:row r="640">
      <x:c r="A640" s="9" t="str">
        <x:v>EV-AR-HC-A-C-TECH-3-B2-RCN-G0-RW02</x:v>
      </x:c>
      <x:c r="B640" s="9" t="str">
        <x:v>EV-AR-HC-A-C-TECH-3-B2-RCN-G0</x:v>
      </x:c>
      <x:c r="C640" s="9" t="str">
        <x:v>AR-HC-A-C-TECH-3-B2-RCN-G0</x:v>
      </x:c>
      <x:c r="D640" s="9" t="str">
        <x:v>HC-A-C-TECH-3</x:v>
      </x:c>
      <x:c r="E640" s="9" t="str">
        <x:v>HC-A-C</x:v>
      </x:c>
      <x:c r="F640" s="9" t="str">
        <x:v>B2</x:v>
      </x:c>
      <x:c r="G640" s="9" t="str">
        <x:v>RCN</x:v>
      </x:c>
      <x:c r="H640" s="9" t="str">
        <x:v>RW02</x:v>
      </x:c>
      <x:c r="I640" s="17" t="str">
        <x:v>Unlike witness stream</x:v>
      </x:c>
      <x:c r="J640" s="17" t="str">
        <x:v>Witness metrology</x:v>
      </x:c>
      <x:c r="K640" s="17" t="str">
        <x:v>Public custody B</x:v>
      </x:c>
      <x:c r="L640" s="9" t="n">
        <x:v>0</x:v>
      </x:c>
      <x:c r="M640" s="9" t="n">
        <x:v>0</x:v>
      </x:c>
      <x:c r="N640" s="9" t="n">
        <x:v>0</x:v>
      </x:c>
      <x:c r="O640" s="9" t="n">
        <x:v>0</x:v>
      </x:c>
      <x:c r="P640" s="9" t="str">
        <x:v>UNSEALED / SOURCE-EMPTY</x:v>
      </x:c>
      <x:c r="Q640" s="9" t="n">
        <x:f>COUNTIFS($A$7:$A$1158,A640)</x:f>
        <x:v>1</x:v>
      </x:c>
    </x:row>
    <x:row r="641">
      <x:c r="A641" s="9" t="str">
        <x:v>EV-AR-HC-A-C-TECH-3-B2-RCN-G0-RW03</x:v>
      </x:c>
      <x:c r="B641" s="9" t="str">
        <x:v>EV-AR-HC-A-C-TECH-3-B2-RCN-G0</x:v>
      </x:c>
      <x:c r="C641" s="9" t="str">
        <x:v>AR-HC-A-C-TECH-3-B2-RCN-G0</x:v>
      </x:c>
      <x:c r="D641" s="9" t="str">
        <x:v>HC-A-C-TECH-3</x:v>
      </x:c>
      <x:c r="E641" s="9" t="str">
        <x:v>HC-A-C</x:v>
      </x:c>
      <x:c r="F641" s="9" t="str">
        <x:v>B2</x:v>
      </x:c>
      <x:c r="G641" s="9" t="str">
        <x:v>RCN</x:v>
      </x:c>
      <x:c r="H641" s="9" t="str">
        <x:v>RW03</x:v>
      </x:c>
      <x:c r="I641" s="17" t="str">
        <x:v>Event clock and start traces</x:v>
      </x:c>
      <x:c r="J641" s="17" t="str">
        <x:v>Event clock authority</x:v>
      </x:c>
      <x:c r="K641" s="17" t="str">
        <x:v>Public custody C</x:v>
      </x:c>
      <x:c r="L641" s="9" t="n">
        <x:v>0</x:v>
      </x:c>
      <x:c r="M641" s="9" t="n">
        <x:v>0</x:v>
      </x:c>
      <x:c r="N641" s="9" t="n">
        <x:v>0</x:v>
      </x:c>
      <x:c r="O641" s="9" t="n">
        <x:v>0</x:v>
      </x:c>
      <x:c r="P641" s="9" t="str">
        <x:v>UNSEALED / SOURCE-EMPTY</x:v>
      </x:c>
      <x:c r="Q641" s="9" t="n">
        <x:f>COUNTIFS($A$7:$A$1158,A641)</x:f>
        <x:v>1</x:v>
      </x:c>
    </x:row>
    <x:row r="642">
      <x:c r="A642" s="9" t="str">
        <x:v>EV-AR-HC-A-C-TECH-3-B2-RCN-G0-RW04</x:v>
      </x:c>
      <x:c r="B642" s="9" t="str">
        <x:v>EV-AR-HC-A-C-TECH-3-B2-RCN-G0</x:v>
      </x:c>
      <x:c r="C642" s="9" t="str">
        <x:v>AR-HC-A-C-TECH-3-B2-RCN-G0</x:v>
      </x:c>
      <x:c r="D642" s="9" t="str">
        <x:v>HC-A-C-TECH-3</x:v>
      </x:c>
      <x:c r="E642" s="9" t="str">
        <x:v>HC-A-C</x:v>
      </x:c>
      <x:c r="F642" s="9" t="str">
        <x:v>B2</x:v>
      </x:c>
      <x:c r="G642" s="9" t="str">
        <x:v>RCN</x:v>
      </x:c>
      <x:c r="H642" s="9" t="str">
        <x:v>RW04</x:v>
      </x:c>
      <x:c r="I642" s="17" t="str">
        <x:v>Environmental boundary stream</x:v>
      </x:c>
      <x:c r="J642" s="17" t="str">
        <x:v>Site metrology</x:v>
      </x:c>
      <x:c r="K642" s="17" t="str">
        <x:v>Public custody D</x:v>
      </x:c>
      <x:c r="L642" s="9" t="n">
        <x:v>0</x:v>
      </x:c>
      <x:c r="M642" s="9" t="n">
        <x:v>0</x:v>
      </x:c>
      <x:c r="N642" s="9" t="n">
        <x:v>0</x:v>
      </x:c>
      <x:c r="O642" s="9" t="n">
        <x:v>0</x:v>
      </x:c>
      <x:c r="P642" s="9" t="str">
        <x:v>UNSEALED / SOURCE-EMPTY</x:v>
      </x:c>
      <x:c r="Q642" s="9" t="n">
        <x:f>COUNTIFS($A$7:$A$1158,A642)</x:f>
        <x:v>1</x:v>
      </x:c>
    </x:row>
    <x:row r="643">
      <x:c r="A643" s="9" t="str">
        <x:v>EV-AR-HC-A-C-TECH-3-B2-RCN-G0-RW05</x:v>
      </x:c>
      <x:c r="B643" s="9" t="str">
        <x:v>EV-AR-HC-A-C-TECH-3-B2-RCN-G0</x:v>
      </x:c>
      <x:c r="C643" s="9" t="str">
        <x:v>AR-HC-A-C-TECH-3-B2-RCN-G0</x:v>
      </x:c>
      <x:c r="D643" s="9" t="str">
        <x:v>HC-A-C-TECH-3</x:v>
      </x:c>
      <x:c r="E643" s="9" t="str">
        <x:v>HC-A-C</x:v>
      </x:c>
      <x:c r="F643" s="9" t="str">
        <x:v>B2</x:v>
      </x:c>
      <x:c r="G643" s="9" t="str">
        <x:v>RCN</x:v>
      </x:c>
      <x:c r="H643" s="9" t="str">
        <x:v>RW05</x:v>
      </x:c>
      <x:c r="I643" s="17" t="str">
        <x:v>Command and intervention log</x:v>
      </x:c>
      <x:c r="J643" s="17" t="str">
        <x:v>Safety authority</x:v>
      </x:c>
      <x:c r="K643" s="17" t="str">
        <x:v>Public custody E</x:v>
      </x:c>
      <x:c r="L643" s="9" t="n">
        <x:v>0</x:v>
      </x:c>
      <x:c r="M643" s="9" t="n">
        <x:v>0</x:v>
      </x:c>
      <x:c r="N643" s="9" t="n">
        <x:v>0</x:v>
      </x:c>
      <x:c r="O643" s="9" t="n">
        <x:v>0</x:v>
      </x:c>
      <x:c r="P643" s="9" t="str">
        <x:v>UNSEALED / SOURCE-EMPTY</x:v>
      </x:c>
      <x:c r="Q643" s="9" t="n">
        <x:f>COUNTIFS($A$7:$A$1158,A643)</x:f>
        <x:v>1</x:v>
      </x:c>
    </x:row>
    <x:row r="644">
      <x:c r="A644" s="9" t="str">
        <x:v>EV-AR-HC-A-C-TECH-3-B2-RCN-G0-RW06</x:v>
      </x:c>
      <x:c r="B644" s="9" t="str">
        <x:v>EV-AR-HC-A-C-TECH-3-B2-RCN-G0</x:v>
      </x:c>
      <x:c r="C644" s="9" t="str">
        <x:v>AR-HC-A-C-TECH-3-B2-RCN-G0</x:v>
      </x:c>
      <x:c r="D644" s="9" t="str">
        <x:v>HC-A-C-TECH-3</x:v>
      </x:c>
      <x:c r="E644" s="9" t="str">
        <x:v>HC-A-C</x:v>
      </x:c>
      <x:c r="F644" s="9" t="str">
        <x:v>B2</x:v>
      </x:c>
      <x:c r="G644" s="9" t="str">
        <x:v>RCN</x:v>
      </x:c>
      <x:c r="H644" s="9" t="str">
        <x:v>RW06</x:v>
      </x:c>
      <x:c r="I644" s="17" t="str">
        <x:v>Receiver service ledger</x:v>
      </x:c>
      <x:c r="J644" s="17" t="str">
        <x:v>Receiver authority</x:v>
      </x:c>
      <x:c r="K644" s="17" t="str">
        <x:v>Public custody F</x:v>
      </x:c>
      <x:c r="L644" s="9" t="n">
        <x:v>0</x:v>
      </x:c>
      <x:c r="M644" s="9" t="n">
        <x:v>0</x:v>
      </x:c>
      <x:c r="N644" s="9" t="n">
        <x:v>0</x:v>
      </x:c>
      <x:c r="O644" s="9" t="n">
        <x:v>0</x:v>
      </x:c>
      <x:c r="P644" s="9" t="str">
        <x:v>UNSEALED / SOURCE-EMPTY</x:v>
      </x:c>
      <x:c r="Q644" s="9" t="n">
        <x:f>COUNTIFS($A$7:$A$1158,A644)</x:f>
        <x:v>1</x:v>
      </x:c>
    </x:row>
    <x:row r="645">
      <x:c r="A645" s="9" t="str">
        <x:v>EV-AR-HC-A-C-TECH-3-B2-RCN-G0-RW07</x:v>
      </x:c>
      <x:c r="B645" s="9" t="str">
        <x:v>EV-AR-HC-A-C-TECH-3-B2-RCN-G0</x:v>
      </x:c>
      <x:c r="C645" s="9" t="str">
        <x:v>AR-HC-A-C-TECH-3-B2-RCN-G0</x:v>
      </x:c>
      <x:c r="D645" s="9" t="str">
        <x:v>HC-A-C-TECH-3</x:v>
      </x:c>
      <x:c r="E645" s="9" t="str">
        <x:v>HC-A-C</x:v>
      </x:c>
      <x:c r="F645" s="9" t="str">
        <x:v>B2</x:v>
      </x:c>
      <x:c r="G645" s="9" t="str">
        <x:v>RCN</x:v>
      </x:c>
      <x:c r="H645" s="9" t="str">
        <x:v>RW07</x:v>
      </x:c>
      <x:c r="I645" s="17" t="str">
        <x:v>Candidate interface telemetry</x:v>
      </x:c>
      <x:c r="J645" s="17" t="str">
        <x:v>Interface custodian</x:v>
      </x:c>
      <x:c r="K645" s="17" t="str">
        <x:v>Public custody A</x:v>
      </x:c>
      <x:c r="L645" s="9" t="n">
        <x:v>0</x:v>
      </x:c>
      <x:c r="M645" s="9" t="n">
        <x:v>0</x:v>
      </x:c>
      <x:c r="N645" s="9" t="n">
        <x:v>0</x:v>
      </x:c>
      <x:c r="O645" s="9" t="n">
        <x:v>0</x:v>
      </x:c>
      <x:c r="P645" s="9" t="str">
        <x:v>UNSEALED / SOURCE-EMPTY</x:v>
      </x:c>
      <x:c r="Q645" s="9" t="n">
        <x:f>COUNTIFS($A$7:$A$1158,A645)</x:f>
        <x:v>1</x:v>
      </x:c>
    </x:row>
    <x:row r="646">
      <x:c r="A646" s="9" t="str">
        <x:v>EV-AR-HC-A-C-TECH-3-B2-RCN-G0-RW08</x:v>
      </x:c>
      <x:c r="B646" s="9" t="str">
        <x:v>EV-AR-HC-A-C-TECH-3-B2-RCN-G0</x:v>
      </x:c>
      <x:c r="C646" s="9" t="str">
        <x:v>AR-HC-A-C-TECH-3-B2-RCN-G0</x:v>
      </x:c>
      <x:c r="D646" s="9" t="str">
        <x:v>HC-A-C-TECH-3</x:v>
      </x:c>
      <x:c r="E646" s="9" t="str">
        <x:v>HC-A-C</x:v>
      </x:c>
      <x:c r="F646" s="9" t="str">
        <x:v>B2</x:v>
      </x:c>
      <x:c r="G646" s="9" t="str">
        <x:v>RCN</x:v>
      </x:c>
      <x:c r="H646" s="9" t="str">
        <x:v>RW08</x:v>
      </x:c>
      <x:c r="I646" s="17" t="str">
        <x:v>Residual and physical evidence</x:v>
      </x:c>
      <x:c r="J646" s="17" t="str">
        <x:v>Residual authority</x:v>
      </x:c>
      <x:c r="K646" s="17" t="str">
        <x:v>Public custody B</x:v>
      </x:c>
      <x:c r="L646" s="9" t="n">
        <x:v>0</x:v>
      </x:c>
      <x:c r="M646" s="9" t="n">
        <x:v>0</x:v>
      </x:c>
      <x:c r="N646" s="9" t="n">
        <x:v>0</x:v>
      </x:c>
      <x:c r="O646" s="9" t="n">
        <x:v>0</x:v>
      </x:c>
      <x:c r="P646" s="9" t="str">
        <x:v>UNSEALED / SOURCE-EMPTY</x:v>
      </x:c>
      <x:c r="Q646" s="9" t="n">
        <x:f>COUNTIFS($A$7:$A$1158,A646)</x:f>
        <x:v>1</x:v>
      </x:c>
    </x:row>
    <x:row r="647">
      <x:c r="A647" s="9" t="str">
        <x:v>EV-AR-HC-A-C-TECH-1-B2-INT-G0-RW01</x:v>
      </x:c>
      <x:c r="B647" s="9" t="str">
        <x:v>EV-AR-HC-A-C-TECH-1-B2-INT-G0</x:v>
      </x:c>
      <x:c r="C647" s="9" t="str">
        <x:v>AR-HC-A-C-TECH-1-B2-INT-G0</x:v>
      </x:c>
      <x:c r="D647" s="9" t="str">
        <x:v>HC-A-C-TECH-1</x:v>
      </x:c>
      <x:c r="E647" s="9" t="str">
        <x:v>HC-A-C</x:v>
      </x:c>
      <x:c r="F647" s="9" t="str">
        <x:v>B2</x:v>
      </x:c>
      <x:c r="G647" s="9" t="str">
        <x:v>INT</x:v>
      </x:c>
      <x:c r="H647" s="9" t="str">
        <x:v>RW01</x:v>
      </x:c>
      <x:c r="I647" s="17" t="str">
        <x:v>Primary raw stream</x:v>
      </x:c>
      <x:c r="J647" s="17" t="str">
        <x:v>Primary metrology</x:v>
      </x:c>
      <x:c r="K647" s="17" t="str">
        <x:v>Public custody A</x:v>
      </x:c>
      <x:c r="L647" s="9" t="n">
        <x:v>0</x:v>
      </x:c>
      <x:c r="M647" s="9" t="n">
        <x:v>0</x:v>
      </x:c>
      <x:c r="N647" s="9" t="n">
        <x:v>0</x:v>
      </x:c>
      <x:c r="O647" s="9" t="n">
        <x:v>0</x:v>
      </x:c>
      <x:c r="P647" s="9" t="str">
        <x:v>UNSEALED / SOURCE-EMPTY</x:v>
      </x:c>
      <x:c r="Q647" s="9" t="n">
        <x:f>COUNTIFS($A$7:$A$1158,A647)</x:f>
        <x:v>1</x:v>
      </x:c>
    </x:row>
    <x:row r="648">
      <x:c r="A648" s="9" t="str">
        <x:v>EV-AR-HC-A-C-TECH-1-B2-INT-G0-RW02</x:v>
      </x:c>
      <x:c r="B648" s="9" t="str">
        <x:v>EV-AR-HC-A-C-TECH-1-B2-INT-G0</x:v>
      </x:c>
      <x:c r="C648" s="9" t="str">
        <x:v>AR-HC-A-C-TECH-1-B2-INT-G0</x:v>
      </x:c>
      <x:c r="D648" s="9" t="str">
        <x:v>HC-A-C-TECH-1</x:v>
      </x:c>
      <x:c r="E648" s="9" t="str">
        <x:v>HC-A-C</x:v>
      </x:c>
      <x:c r="F648" s="9" t="str">
        <x:v>B2</x:v>
      </x:c>
      <x:c r="G648" s="9" t="str">
        <x:v>INT</x:v>
      </x:c>
      <x:c r="H648" s="9" t="str">
        <x:v>RW02</x:v>
      </x:c>
      <x:c r="I648" s="17" t="str">
        <x:v>Unlike witness stream</x:v>
      </x:c>
      <x:c r="J648" s="17" t="str">
        <x:v>Witness metrology</x:v>
      </x:c>
      <x:c r="K648" s="17" t="str">
        <x:v>Public custody B</x:v>
      </x:c>
      <x:c r="L648" s="9" t="n">
        <x:v>0</x:v>
      </x:c>
      <x:c r="M648" s="9" t="n">
        <x:v>0</x:v>
      </x:c>
      <x:c r="N648" s="9" t="n">
        <x:v>0</x:v>
      </x:c>
      <x:c r="O648" s="9" t="n">
        <x:v>0</x:v>
      </x:c>
      <x:c r="P648" s="9" t="str">
        <x:v>UNSEALED / SOURCE-EMPTY</x:v>
      </x:c>
      <x:c r="Q648" s="9" t="n">
        <x:f>COUNTIFS($A$7:$A$1158,A648)</x:f>
        <x:v>1</x:v>
      </x:c>
    </x:row>
    <x:row r="649">
      <x:c r="A649" s="9" t="str">
        <x:v>EV-AR-HC-A-C-TECH-1-B2-INT-G0-RW03</x:v>
      </x:c>
      <x:c r="B649" s="9" t="str">
        <x:v>EV-AR-HC-A-C-TECH-1-B2-INT-G0</x:v>
      </x:c>
      <x:c r="C649" s="9" t="str">
        <x:v>AR-HC-A-C-TECH-1-B2-INT-G0</x:v>
      </x:c>
      <x:c r="D649" s="9" t="str">
        <x:v>HC-A-C-TECH-1</x:v>
      </x:c>
      <x:c r="E649" s="9" t="str">
        <x:v>HC-A-C</x:v>
      </x:c>
      <x:c r="F649" s="9" t="str">
        <x:v>B2</x:v>
      </x:c>
      <x:c r="G649" s="9" t="str">
        <x:v>INT</x:v>
      </x:c>
      <x:c r="H649" s="9" t="str">
        <x:v>RW03</x:v>
      </x:c>
      <x:c r="I649" s="17" t="str">
        <x:v>Event clock and start traces</x:v>
      </x:c>
      <x:c r="J649" s="17" t="str">
        <x:v>Event clock authority</x:v>
      </x:c>
      <x:c r="K649" s="17" t="str">
        <x:v>Public custody C</x:v>
      </x:c>
      <x:c r="L649" s="9" t="n">
        <x:v>0</x:v>
      </x:c>
      <x:c r="M649" s="9" t="n">
        <x:v>0</x:v>
      </x:c>
      <x:c r="N649" s="9" t="n">
        <x:v>0</x:v>
      </x:c>
      <x:c r="O649" s="9" t="n">
        <x:v>0</x:v>
      </x:c>
      <x:c r="P649" s="9" t="str">
        <x:v>UNSEALED / SOURCE-EMPTY</x:v>
      </x:c>
      <x:c r="Q649" s="9" t="n">
        <x:f>COUNTIFS($A$7:$A$1158,A649)</x:f>
        <x:v>1</x:v>
      </x:c>
    </x:row>
    <x:row r="650">
      <x:c r="A650" s="9" t="str">
        <x:v>EV-AR-HC-A-C-TECH-1-B2-INT-G0-RW04</x:v>
      </x:c>
      <x:c r="B650" s="9" t="str">
        <x:v>EV-AR-HC-A-C-TECH-1-B2-INT-G0</x:v>
      </x:c>
      <x:c r="C650" s="9" t="str">
        <x:v>AR-HC-A-C-TECH-1-B2-INT-G0</x:v>
      </x:c>
      <x:c r="D650" s="9" t="str">
        <x:v>HC-A-C-TECH-1</x:v>
      </x:c>
      <x:c r="E650" s="9" t="str">
        <x:v>HC-A-C</x:v>
      </x:c>
      <x:c r="F650" s="9" t="str">
        <x:v>B2</x:v>
      </x:c>
      <x:c r="G650" s="9" t="str">
        <x:v>INT</x:v>
      </x:c>
      <x:c r="H650" s="9" t="str">
        <x:v>RW04</x:v>
      </x:c>
      <x:c r="I650" s="17" t="str">
        <x:v>Environmental boundary stream</x:v>
      </x:c>
      <x:c r="J650" s="17" t="str">
        <x:v>Site metrology</x:v>
      </x:c>
      <x:c r="K650" s="17" t="str">
        <x:v>Public custody D</x:v>
      </x:c>
      <x:c r="L650" s="9" t="n">
        <x:v>0</x:v>
      </x:c>
      <x:c r="M650" s="9" t="n">
        <x:v>0</x:v>
      </x:c>
      <x:c r="N650" s="9" t="n">
        <x:v>0</x:v>
      </x:c>
      <x:c r="O650" s="9" t="n">
        <x:v>0</x:v>
      </x:c>
      <x:c r="P650" s="9" t="str">
        <x:v>UNSEALED / SOURCE-EMPTY</x:v>
      </x:c>
      <x:c r="Q650" s="9" t="n">
        <x:f>COUNTIFS($A$7:$A$1158,A650)</x:f>
        <x:v>1</x:v>
      </x:c>
    </x:row>
    <x:row r="651">
      <x:c r="A651" s="9" t="str">
        <x:v>EV-AR-HC-A-C-TECH-1-B2-INT-G0-RW05</x:v>
      </x:c>
      <x:c r="B651" s="9" t="str">
        <x:v>EV-AR-HC-A-C-TECH-1-B2-INT-G0</x:v>
      </x:c>
      <x:c r="C651" s="9" t="str">
        <x:v>AR-HC-A-C-TECH-1-B2-INT-G0</x:v>
      </x:c>
      <x:c r="D651" s="9" t="str">
        <x:v>HC-A-C-TECH-1</x:v>
      </x:c>
      <x:c r="E651" s="9" t="str">
        <x:v>HC-A-C</x:v>
      </x:c>
      <x:c r="F651" s="9" t="str">
        <x:v>B2</x:v>
      </x:c>
      <x:c r="G651" s="9" t="str">
        <x:v>INT</x:v>
      </x:c>
      <x:c r="H651" s="9" t="str">
        <x:v>RW05</x:v>
      </x:c>
      <x:c r="I651" s="17" t="str">
        <x:v>Command and intervention log</x:v>
      </x:c>
      <x:c r="J651" s="17" t="str">
        <x:v>Safety authority</x:v>
      </x:c>
      <x:c r="K651" s="17" t="str">
        <x:v>Public custody E</x:v>
      </x:c>
      <x:c r="L651" s="9" t="n">
        <x:v>0</x:v>
      </x:c>
      <x:c r="M651" s="9" t="n">
        <x:v>0</x:v>
      </x:c>
      <x:c r="N651" s="9" t="n">
        <x:v>0</x:v>
      </x:c>
      <x:c r="O651" s="9" t="n">
        <x:v>0</x:v>
      </x:c>
      <x:c r="P651" s="9" t="str">
        <x:v>UNSEALED / SOURCE-EMPTY</x:v>
      </x:c>
      <x:c r="Q651" s="9" t="n">
        <x:f>COUNTIFS($A$7:$A$1158,A651)</x:f>
        <x:v>1</x:v>
      </x:c>
    </x:row>
    <x:row r="652">
      <x:c r="A652" s="9" t="str">
        <x:v>EV-AR-HC-A-C-TECH-1-B2-INT-G0-RW06</x:v>
      </x:c>
      <x:c r="B652" s="9" t="str">
        <x:v>EV-AR-HC-A-C-TECH-1-B2-INT-G0</x:v>
      </x:c>
      <x:c r="C652" s="9" t="str">
        <x:v>AR-HC-A-C-TECH-1-B2-INT-G0</x:v>
      </x:c>
      <x:c r="D652" s="9" t="str">
        <x:v>HC-A-C-TECH-1</x:v>
      </x:c>
      <x:c r="E652" s="9" t="str">
        <x:v>HC-A-C</x:v>
      </x:c>
      <x:c r="F652" s="9" t="str">
        <x:v>B2</x:v>
      </x:c>
      <x:c r="G652" s="9" t="str">
        <x:v>INT</x:v>
      </x:c>
      <x:c r="H652" s="9" t="str">
        <x:v>RW06</x:v>
      </x:c>
      <x:c r="I652" s="17" t="str">
        <x:v>Receiver service ledger</x:v>
      </x:c>
      <x:c r="J652" s="17" t="str">
        <x:v>Receiver authority</x:v>
      </x:c>
      <x:c r="K652" s="17" t="str">
        <x:v>Public custody F</x:v>
      </x:c>
      <x:c r="L652" s="9" t="n">
        <x:v>0</x:v>
      </x:c>
      <x:c r="M652" s="9" t="n">
        <x:v>0</x:v>
      </x:c>
      <x:c r="N652" s="9" t="n">
        <x:v>0</x:v>
      </x:c>
      <x:c r="O652" s="9" t="n">
        <x:v>0</x:v>
      </x:c>
      <x:c r="P652" s="9" t="str">
        <x:v>UNSEALED / SOURCE-EMPTY</x:v>
      </x:c>
      <x:c r="Q652" s="9" t="n">
        <x:f>COUNTIFS($A$7:$A$1158,A652)</x:f>
        <x:v>1</x:v>
      </x:c>
    </x:row>
    <x:row r="653">
      <x:c r="A653" s="9" t="str">
        <x:v>EV-AR-HC-A-C-TECH-1-B2-INT-G0-RW07</x:v>
      </x:c>
      <x:c r="B653" s="9" t="str">
        <x:v>EV-AR-HC-A-C-TECH-1-B2-INT-G0</x:v>
      </x:c>
      <x:c r="C653" s="9" t="str">
        <x:v>AR-HC-A-C-TECH-1-B2-INT-G0</x:v>
      </x:c>
      <x:c r="D653" s="9" t="str">
        <x:v>HC-A-C-TECH-1</x:v>
      </x:c>
      <x:c r="E653" s="9" t="str">
        <x:v>HC-A-C</x:v>
      </x:c>
      <x:c r="F653" s="9" t="str">
        <x:v>B2</x:v>
      </x:c>
      <x:c r="G653" s="9" t="str">
        <x:v>INT</x:v>
      </x:c>
      <x:c r="H653" s="9" t="str">
        <x:v>RW07</x:v>
      </x:c>
      <x:c r="I653" s="17" t="str">
        <x:v>Candidate interface telemetry</x:v>
      </x:c>
      <x:c r="J653" s="17" t="str">
        <x:v>Interface custodian</x:v>
      </x:c>
      <x:c r="K653" s="17" t="str">
        <x:v>Public custody A</x:v>
      </x:c>
      <x:c r="L653" s="9" t="n">
        <x:v>0</x:v>
      </x:c>
      <x:c r="M653" s="9" t="n">
        <x:v>0</x:v>
      </x:c>
      <x:c r="N653" s="9" t="n">
        <x:v>0</x:v>
      </x:c>
      <x:c r="O653" s="9" t="n">
        <x:v>0</x:v>
      </x:c>
      <x:c r="P653" s="9" t="str">
        <x:v>UNSEALED / SOURCE-EMPTY</x:v>
      </x:c>
      <x:c r="Q653" s="9" t="n">
        <x:f>COUNTIFS($A$7:$A$1158,A653)</x:f>
        <x:v>1</x:v>
      </x:c>
    </x:row>
    <x:row r="654">
      <x:c r="A654" s="9" t="str">
        <x:v>EV-AR-HC-A-C-TECH-1-B2-INT-G0-RW08</x:v>
      </x:c>
      <x:c r="B654" s="9" t="str">
        <x:v>EV-AR-HC-A-C-TECH-1-B2-INT-G0</x:v>
      </x:c>
      <x:c r="C654" s="9" t="str">
        <x:v>AR-HC-A-C-TECH-1-B2-INT-G0</x:v>
      </x:c>
      <x:c r="D654" s="9" t="str">
        <x:v>HC-A-C-TECH-1</x:v>
      </x:c>
      <x:c r="E654" s="9" t="str">
        <x:v>HC-A-C</x:v>
      </x:c>
      <x:c r="F654" s="9" t="str">
        <x:v>B2</x:v>
      </x:c>
      <x:c r="G654" s="9" t="str">
        <x:v>INT</x:v>
      </x:c>
      <x:c r="H654" s="9" t="str">
        <x:v>RW08</x:v>
      </x:c>
      <x:c r="I654" s="17" t="str">
        <x:v>Residual and physical evidence</x:v>
      </x:c>
      <x:c r="J654" s="17" t="str">
        <x:v>Residual authority</x:v>
      </x:c>
      <x:c r="K654" s="17" t="str">
        <x:v>Public custody B</x:v>
      </x:c>
      <x:c r="L654" s="9" t="n">
        <x:v>0</x:v>
      </x:c>
      <x:c r="M654" s="9" t="n">
        <x:v>0</x:v>
      </x:c>
      <x:c r="N654" s="9" t="n">
        <x:v>0</x:v>
      </x:c>
      <x:c r="O654" s="9" t="n">
        <x:v>0</x:v>
      </x:c>
      <x:c r="P654" s="9" t="str">
        <x:v>UNSEALED / SOURCE-EMPTY</x:v>
      </x:c>
      <x:c r="Q654" s="9" t="n">
        <x:f>COUNTIFS($A$7:$A$1158,A654)</x:f>
        <x:v>1</x:v>
      </x:c>
    </x:row>
    <x:row r="655">
      <x:c r="A655" s="9" t="str">
        <x:v>EV-AR-LF-B-A-TECH-1-B1-INT-G0-RW01</x:v>
      </x:c>
      <x:c r="B655" s="9" t="str">
        <x:v>EV-AR-LF-B-A-TECH-1-B1-INT-G0</x:v>
      </x:c>
      <x:c r="C655" s="9" t="str">
        <x:v>AR-LF-B-A-TECH-1-B1-INT-G0</x:v>
      </x:c>
      <x:c r="D655" s="9" t="str">
        <x:v>LF-B-A-TECH-1</x:v>
      </x:c>
      <x:c r="E655" s="9" t="str">
        <x:v>LF-B-A</x:v>
      </x:c>
      <x:c r="F655" s="9" t="str">
        <x:v>B1</x:v>
      </x:c>
      <x:c r="G655" s="9" t="str">
        <x:v>INT</x:v>
      </x:c>
      <x:c r="H655" s="9" t="str">
        <x:v>RW01</x:v>
      </x:c>
      <x:c r="I655" s="17" t="str">
        <x:v>Primary raw stream</x:v>
      </x:c>
      <x:c r="J655" s="17" t="str">
        <x:v>Primary metrology</x:v>
      </x:c>
      <x:c r="K655" s="17" t="str">
        <x:v>Public custody A</x:v>
      </x:c>
      <x:c r="L655" s="9" t="n">
        <x:v>0</x:v>
      </x:c>
      <x:c r="M655" s="9" t="n">
        <x:v>0</x:v>
      </x:c>
      <x:c r="N655" s="9" t="n">
        <x:v>0</x:v>
      </x:c>
      <x:c r="O655" s="9" t="n">
        <x:v>0</x:v>
      </x:c>
      <x:c r="P655" s="9" t="str">
        <x:v>UNSEALED / SOURCE-EMPTY</x:v>
      </x:c>
      <x:c r="Q655" s="9" t="n">
        <x:f>COUNTIFS($A$7:$A$1158,A655)</x:f>
        <x:v>1</x:v>
      </x:c>
    </x:row>
    <x:row r="656">
      <x:c r="A656" s="9" t="str">
        <x:v>EV-AR-LF-B-A-TECH-1-B1-INT-G0-RW02</x:v>
      </x:c>
      <x:c r="B656" s="9" t="str">
        <x:v>EV-AR-LF-B-A-TECH-1-B1-INT-G0</x:v>
      </x:c>
      <x:c r="C656" s="9" t="str">
        <x:v>AR-LF-B-A-TECH-1-B1-INT-G0</x:v>
      </x:c>
      <x:c r="D656" s="9" t="str">
        <x:v>LF-B-A-TECH-1</x:v>
      </x:c>
      <x:c r="E656" s="9" t="str">
        <x:v>LF-B-A</x:v>
      </x:c>
      <x:c r="F656" s="9" t="str">
        <x:v>B1</x:v>
      </x:c>
      <x:c r="G656" s="9" t="str">
        <x:v>INT</x:v>
      </x:c>
      <x:c r="H656" s="9" t="str">
        <x:v>RW02</x:v>
      </x:c>
      <x:c r="I656" s="17" t="str">
        <x:v>Unlike witness stream</x:v>
      </x:c>
      <x:c r="J656" s="17" t="str">
        <x:v>Witness metrology</x:v>
      </x:c>
      <x:c r="K656" s="17" t="str">
        <x:v>Public custody B</x:v>
      </x:c>
      <x:c r="L656" s="9" t="n">
        <x:v>0</x:v>
      </x:c>
      <x:c r="M656" s="9" t="n">
        <x:v>0</x:v>
      </x:c>
      <x:c r="N656" s="9" t="n">
        <x:v>0</x:v>
      </x:c>
      <x:c r="O656" s="9" t="n">
        <x:v>0</x:v>
      </x:c>
      <x:c r="P656" s="9" t="str">
        <x:v>UNSEALED / SOURCE-EMPTY</x:v>
      </x:c>
      <x:c r="Q656" s="9" t="n">
        <x:f>COUNTIFS($A$7:$A$1158,A656)</x:f>
        <x:v>1</x:v>
      </x:c>
    </x:row>
    <x:row r="657">
      <x:c r="A657" s="9" t="str">
        <x:v>EV-AR-LF-B-A-TECH-1-B1-INT-G0-RW03</x:v>
      </x:c>
      <x:c r="B657" s="9" t="str">
        <x:v>EV-AR-LF-B-A-TECH-1-B1-INT-G0</x:v>
      </x:c>
      <x:c r="C657" s="9" t="str">
        <x:v>AR-LF-B-A-TECH-1-B1-INT-G0</x:v>
      </x:c>
      <x:c r="D657" s="9" t="str">
        <x:v>LF-B-A-TECH-1</x:v>
      </x:c>
      <x:c r="E657" s="9" t="str">
        <x:v>LF-B-A</x:v>
      </x:c>
      <x:c r="F657" s="9" t="str">
        <x:v>B1</x:v>
      </x:c>
      <x:c r="G657" s="9" t="str">
        <x:v>INT</x:v>
      </x:c>
      <x:c r="H657" s="9" t="str">
        <x:v>RW03</x:v>
      </x:c>
      <x:c r="I657" s="17" t="str">
        <x:v>Event clock and start traces</x:v>
      </x:c>
      <x:c r="J657" s="17" t="str">
        <x:v>Event clock authority</x:v>
      </x:c>
      <x:c r="K657" s="17" t="str">
        <x:v>Public custody C</x:v>
      </x:c>
      <x:c r="L657" s="9" t="n">
        <x:v>0</x:v>
      </x:c>
      <x:c r="M657" s="9" t="n">
        <x:v>0</x:v>
      </x:c>
      <x:c r="N657" s="9" t="n">
        <x:v>0</x:v>
      </x:c>
      <x:c r="O657" s="9" t="n">
        <x:v>0</x:v>
      </x:c>
      <x:c r="P657" s="9" t="str">
        <x:v>UNSEALED / SOURCE-EMPTY</x:v>
      </x:c>
      <x:c r="Q657" s="9" t="n">
        <x:f>COUNTIFS($A$7:$A$1158,A657)</x:f>
        <x:v>1</x:v>
      </x:c>
    </x:row>
    <x:row r="658">
      <x:c r="A658" s="9" t="str">
        <x:v>EV-AR-LF-B-A-TECH-1-B1-INT-G0-RW04</x:v>
      </x:c>
      <x:c r="B658" s="9" t="str">
        <x:v>EV-AR-LF-B-A-TECH-1-B1-INT-G0</x:v>
      </x:c>
      <x:c r="C658" s="9" t="str">
        <x:v>AR-LF-B-A-TECH-1-B1-INT-G0</x:v>
      </x:c>
      <x:c r="D658" s="9" t="str">
        <x:v>LF-B-A-TECH-1</x:v>
      </x:c>
      <x:c r="E658" s="9" t="str">
        <x:v>LF-B-A</x:v>
      </x:c>
      <x:c r="F658" s="9" t="str">
        <x:v>B1</x:v>
      </x:c>
      <x:c r="G658" s="9" t="str">
        <x:v>INT</x:v>
      </x:c>
      <x:c r="H658" s="9" t="str">
        <x:v>RW04</x:v>
      </x:c>
      <x:c r="I658" s="17" t="str">
        <x:v>Environmental boundary stream</x:v>
      </x:c>
      <x:c r="J658" s="17" t="str">
        <x:v>Site metrology</x:v>
      </x:c>
      <x:c r="K658" s="17" t="str">
        <x:v>Public custody D</x:v>
      </x:c>
      <x:c r="L658" s="9" t="n">
        <x:v>0</x:v>
      </x:c>
      <x:c r="M658" s="9" t="n">
        <x:v>0</x:v>
      </x:c>
      <x:c r="N658" s="9" t="n">
        <x:v>0</x:v>
      </x:c>
      <x:c r="O658" s="9" t="n">
        <x:v>0</x:v>
      </x:c>
      <x:c r="P658" s="9" t="str">
        <x:v>UNSEALED / SOURCE-EMPTY</x:v>
      </x:c>
      <x:c r="Q658" s="9" t="n">
        <x:f>COUNTIFS($A$7:$A$1158,A658)</x:f>
        <x:v>1</x:v>
      </x:c>
    </x:row>
    <x:row r="659">
      <x:c r="A659" s="9" t="str">
        <x:v>EV-AR-LF-B-A-TECH-1-B1-INT-G0-RW05</x:v>
      </x:c>
      <x:c r="B659" s="9" t="str">
        <x:v>EV-AR-LF-B-A-TECH-1-B1-INT-G0</x:v>
      </x:c>
      <x:c r="C659" s="9" t="str">
        <x:v>AR-LF-B-A-TECH-1-B1-INT-G0</x:v>
      </x:c>
      <x:c r="D659" s="9" t="str">
        <x:v>LF-B-A-TECH-1</x:v>
      </x:c>
      <x:c r="E659" s="9" t="str">
        <x:v>LF-B-A</x:v>
      </x:c>
      <x:c r="F659" s="9" t="str">
        <x:v>B1</x:v>
      </x:c>
      <x:c r="G659" s="9" t="str">
        <x:v>INT</x:v>
      </x:c>
      <x:c r="H659" s="9" t="str">
        <x:v>RW05</x:v>
      </x:c>
      <x:c r="I659" s="17" t="str">
        <x:v>Command and intervention log</x:v>
      </x:c>
      <x:c r="J659" s="17" t="str">
        <x:v>Safety authority</x:v>
      </x:c>
      <x:c r="K659" s="17" t="str">
        <x:v>Public custody E</x:v>
      </x:c>
      <x:c r="L659" s="9" t="n">
        <x:v>0</x:v>
      </x:c>
      <x:c r="M659" s="9" t="n">
        <x:v>0</x:v>
      </x:c>
      <x:c r="N659" s="9" t="n">
        <x:v>0</x:v>
      </x:c>
      <x:c r="O659" s="9" t="n">
        <x:v>0</x:v>
      </x:c>
      <x:c r="P659" s="9" t="str">
        <x:v>UNSEALED / SOURCE-EMPTY</x:v>
      </x:c>
      <x:c r="Q659" s="9" t="n">
        <x:f>COUNTIFS($A$7:$A$1158,A659)</x:f>
        <x:v>1</x:v>
      </x:c>
    </x:row>
    <x:row r="660">
      <x:c r="A660" s="9" t="str">
        <x:v>EV-AR-LF-B-A-TECH-1-B1-INT-G0-RW06</x:v>
      </x:c>
      <x:c r="B660" s="9" t="str">
        <x:v>EV-AR-LF-B-A-TECH-1-B1-INT-G0</x:v>
      </x:c>
      <x:c r="C660" s="9" t="str">
        <x:v>AR-LF-B-A-TECH-1-B1-INT-G0</x:v>
      </x:c>
      <x:c r="D660" s="9" t="str">
        <x:v>LF-B-A-TECH-1</x:v>
      </x:c>
      <x:c r="E660" s="9" t="str">
        <x:v>LF-B-A</x:v>
      </x:c>
      <x:c r="F660" s="9" t="str">
        <x:v>B1</x:v>
      </x:c>
      <x:c r="G660" s="9" t="str">
        <x:v>INT</x:v>
      </x:c>
      <x:c r="H660" s="9" t="str">
        <x:v>RW06</x:v>
      </x:c>
      <x:c r="I660" s="17" t="str">
        <x:v>Receiver service ledger</x:v>
      </x:c>
      <x:c r="J660" s="17" t="str">
        <x:v>Receiver authority</x:v>
      </x:c>
      <x:c r="K660" s="17" t="str">
        <x:v>Public custody F</x:v>
      </x:c>
      <x:c r="L660" s="9" t="n">
        <x:v>0</x:v>
      </x:c>
      <x:c r="M660" s="9" t="n">
        <x:v>0</x:v>
      </x:c>
      <x:c r="N660" s="9" t="n">
        <x:v>0</x:v>
      </x:c>
      <x:c r="O660" s="9" t="n">
        <x:v>0</x:v>
      </x:c>
      <x:c r="P660" s="9" t="str">
        <x:v>UNSEALED / SOURCE-EMPTY</x:v>
      </x:c>
      <x:c r="Q660" s="9" t="n">
        <x:f>COUNTIFS($A$7:$A$1158,A660)</x:f>
        <x:v>1</x:v>
      </x:c>
    </x:row>
    <x:row r="661">
      <x:c r="A661" s="9" t="str">
        <x:v>EV-AR-LF-B-A-TECH-1-B1-INT-G0-RW07</x:v>
      </x:c>
      <x:c r="B661" s="9" t="str">
        <x:v>EV-AR-LF-B-A-TECH-1-B1-INT-G0</x:v>
      </x:c>
      <x:c r="C661" s="9" t="str">
        <x:v>AR-LF-B-A-TECH-1-B1-INT-G0</x:v>
      </x:c>
      <x:c r="D661" s="9" t="str">
        <x:v>LF-B-A-TECH-1</x:v>
      </x:c>
      <x:c r="E661" s="9" t="str">
        <x:v>LF-B-A</x:v>
      </x:c>
      <x:c r="F661" s="9" t="str">
        <x:v>B1</x:v>
      </x:c>
      <x:c r="G661" s="9" t="str">
        <x:v>INT</x:v>
      </x:c>
      <x:c r="H661" s="9" t="str">
        <x:v>RW07</x:v>
      </x:c>
      <x:c r="I661" s="17" t="str">
        <x:v>Candidate interface telemetry</x:v>
      </x:c>
      <x:c r="J661" s="17" t="str">
        <x:v>Interface custodian</x:v>
      </x:c>
      <x:c r="K661" s="17" t="str">
        <x:v>Public custody A</x:v>
      </x:c>
      <x:c r="L661" s="9" t="n">
        <x:v>0</x:v>
      </x:c>
      <x:c r="M661" s="9" t="n">
        <x:v>0</x:v>
      </x:c>
      <x:c r="N661" s="9" t="n">
        <x:v>0</x:v>
      </x:c>
      <x:c r="O661" s="9" t="n">
        <x:v>0</x:v>
      </x:c>
      <x:c r="P661" s="9" t="str">
        <x:v>UNSEALED / SOURCE-EMPTY</x:v>
      </x:c>
      <x:c r="Q661" s="9" t="n">
        <x:f>COUNTIFS($A$7:$A$1158,A661)</x:f>
        <x:v>1</x:v>
      </x:c>
    </x:row>
    <x:row r="662">
      <x:c r="A662" s="9" t="str">
        <x:v>EV-AR-LF-B-A-TECH-1-B1-INT-G0-RW08</x:v>
      </x:c>
      <x:c r="B662" s="9" t="str">
        <x:v>EV-AR-LF-B-A-TECH-1-B1-INT-G0</x:v>
      </x:c>
      <x:c r="C662" s="9" t="str">
        <x:v>AR-LF-B-A-TECH-1-B1-INT-G0</x:v>
      </x:c>
      <x:c r="D662" s="9" t="str">
        <x:v>LF-B-A-TECH-1</x:v>
      </x:c>
      <x:c r="E662" s="9" t="str">
        <x:v>LF-B-A</x:v>
      </x:c>
      <x:c r="F662" s="9" t="str">
        <x:v>B1</x:v>
      </x:c>
      <x:c r="G662" s="9" t="str">
        <x:v>INT</x:v>
      </x:c>
      <x:c r="H662" s="9" t="str">
        <x:v>RW08</x:v>
      </x:c>
      <x:c r="I662" s="17" t="str">
        <x:v>Residual and physical evidence</x:v>
      </x:c>
      <x:c r="J662" s="17" t="str">
        <x:v>Residual authority</x:v>
      </x:c>
      <x:c r="K662" s="17" t="str">
        <x:v>Public custody B</x:v>
      </x:c>
      <x:c r="L662" s="9" t="n">
        <x:v>0</x:v>
      </x:c>
      <x:c r="M662" s="9" t="n">
        <x:v>0</x:v>
      </x:c>
      <x:c r="N662" s="9" t="n">
        <x:v>0</x:v>
      </x:c>
      <x:c r="O662" s="9" t="n">
        <x:v>0</x:v>
      </x:c>
      <x:c r="P662" s="9" t="str">
        <x:v>UNSEALED / SOURCE-EMPTY</x:v>
      </x:c>
      <x:c r="Q662" s="9" t="n">
        <x:f>COUNTIFS($A$7:$A$1158,A662)</x:f>
        <x:v>1</x:v>
      </x:c>
    </x:row>
    <x:row r="663">
      <x:c r="A663" s="9" t="str">
        <x:v>EV-AR-LF-B-A-TECH-2-B2-RCN-G0-RW01</x:v>
      </x:c>
      <x:c r="B663" s="9" t="str">
        <x:v>EV-AR-LF-B-A-TECH-2-B2-RCN-G0</x:v>
      </x:c>
      <x:c r="C663" s="9" t="str">
        <x:v>AR-LF-B-A-TECH-2-B2-RCN-G0</x:v>
      </x:c>
      <x:c r="D663" s="9" t="str">
        <x:v>LF-B-A-TECH-2</x:v>
      </x:c>
      <x:c r="E663" s="9" t="str">
        <x:v>LF-B-A</x:v>
      </x:c>
      <x:c r="F663" s="9" t="str">
        <x:v>B2</x:v>
      </x:c>
      <x:c r="G663" s="9" t="str">
        <x:v>RCN</x:v>
      </x:c>
      <x:c r="H663" s="9" t="str">
        <x:v>RW01</x:v>
      </x:c>
      <x:c r="I663" s="17" t="str">
        <x:v>Primary raw stream</x:v>
      </x:c>
      <x:c r="J663" s="17" t="str">
        <x:v>Primary metrology</x:v>
      </x:c>
      <x:c r="K663" s="17" t="str">
        <x:v>Public custody A</x:v>
      </x:c>
      <x:c r="L663" s="9" t="n">
        <x:v>0</x:v>
      </x:c>
      <x:c r="M663" s="9" t="n">
        <x:v>0</x:v>
      </x:c>
      <x:c r="N663" s="9" t="n">
        <x:v>0</x:v>
      </x:c>
      <x:c r="O663" s="9" t="n">
        <x:v>0</x:v>
      </x:c>
      <x:c r="P663" s="9" t="str">
        <x:v>UNSEALED / SOURCE-EMPTY</x:v>
      </x:c>
      <x:c r="Q663" s="9" t="n">
        <x:f>COUNTIFS($A$7:$A$1158,A663)</x:f>
        <x:v>1</x:v>
      </x:c>
    </x:row>
    <x:row r="664">
      <x:c r="A664" s="9" t="str">
        <x:v>EV-AR-LF-B-A-TECH-2-B2-RCN-G0-RW02</x:v>
      </x:c>
      <x:c r="B664" s="9" t="str">
        <x:v>EV-AR-LF-B-A-TECH-2-B2-RCN-G0</x:v>
      </x:c>
      <x:c r="C664" s="9" t="str">
        <x:v>AR-LF-B-A-TECH-2-B2-RCN-G0</x:v>
      </x:c>
      <x:c r="D664" s="9" t="str">
        <x:v>LF-B-A-TECH-2</x:v>
      </x:c>
      <x:c r="E664" s="9" t="str">
        <x:v>LF-B-A</x:v>
      </x:c>
      <x:c r="F664" s="9" t="str">
        <x:v>B2</x:v>
      </x:c>
      <x:c r="G664" s="9" t="str">
        <x:v>RCN</x:v>
      </x:c>
      <x:c r="H664" s="9" t="str">
        <x:v>RW02</x:v>
      </x:c>
      <x:c r="I664" s="17" t="str">
        <x:v>Unlike witness stream</x:v>
      </x:c>
      <x:c r="J664" s="17" t="str">
        <x:v>Witness metrology</x:v>
      </x:c>
      <x:c r="K664" s="17" t="str">
        <x:v>Public custody B</x:v>
      </x:c>
      <x:c r="L664" s="9" t="n">
        <x:v>0</x:v>
      </x:c>
      <x:c r="M664" s="9" t="n">
        <x:v>0</x:v>
      </x:c>
      <x:c r="N664" s="9" t="n">
        <x:v>0</x:v>
      </x:c>
      <x:c r="O664" s="9" t="n">
        <x:v>0</x:v>
      </x:c>
      <x:c r="P664" s="9" t="str">
        <x:v>UNSEALED / SOURCE-EMPTY</x:v>
      </x:c>
      <x:c r="Q664" s="9" t="n">
        <x:f>COUNTIFS($A$7:$A$1158,A664)</x:f>
        <x:v>1</x:v>
      </x:c>
    </x:row>
    <x:row r="665">
      <x:c r="A665" s="9" t="str">
        <x:v>EV-AR-LF-B-A-TECH-2-B2-RCN-G0-RW03</x:v>
      </x:c>
      <x:c r="B665" s="9" t="str">
        <x:v>EV-AR-LF-B-A-TECH-2-B2-RCN-G0</x:v>
      </x:c>
      <x:c r="C665" s="9" t="str">
        <x:v>AR-LF-B-A-TECH-2-B2-RCN-G0</x:v>
      </x:c>
      <x:c r="D665" s="9" t="str">
        <x:v>LF-B-A-TECH-2</x:v>
      </x:c>
      <x:c r="E665" s="9" t="str">
        <x:v>LF-B-A</x:v>
      </x:c>
      <x:c r="F665" s="9" t="str">
        <x:v>B2</x:v>
      </x:c>
      <x:c r="G665" s="9" t="str">
        <x:v>RCN</x:v>
      </x:c>
      <x:c r="H665" s="9" t="str">
        <x:v>RW03</x:v>
      </x:c>
      <x:c r="I665" s="17" t="str">
        <x:v>Event clock and start traces</x:v>
      </x:c>
      <x:c r="J665" s="17" t="str">
        <x:v>Event clock authority</x:v>
      </x:c>
      <x:c r="K665" s="17" t="str">
        <x:v>Public custody C</x:v>
      </x:c>
      <x:c r="L665" s="9" t="n">
        <x:v>0</x:v>
      </x:c>
      <x:c r="M665" s="9" t="n">
        <x:v>0</x:v>
      </x:c>
      <x:c r="N665" s="9" t="n">
        <x:v>0</x:v>
      </x:c>
      <x:c r="O665" s="9" t="n">
        <x:v>0</x:v>
      </x:c>
      <x:c r="P665" s="9" t="str">
        <x:v>UNSEALED / SOURCE-EMPTY</x:v>
      </x:c>
      <x:c r="Q665" s="9" t="n">
        <x:f>COUNTIFS($A$7:$A$1158,A665)</x:f>
        <x:v>1</x:v>
      </x:c>
    </x:row>
    <x:row r="666">
      <x:c r="A666" s="9" t="str">
        <x:v>EV-AR-LF-B-A-TECH-2-B2-RCN-G0-RW04</x:v>
      </x:c>
      <x:c r="B666" s="9" t="str">
        <x:v>EV-AR-LF-B-A-TECH-2-B2-RCN-G0</x:v>
      </x:c>
      <x:c r="C666" s="9" t="str">
        <x:v>AR-LF-B-A-TECH-2-B2-RCN-G0</x:v>
      </x:c>
      <x:c r="D666" s="9" t="str">
        <x:v>LF-B-A-TECH-2</x:v>
      </x:c>
      <x:c r="E666" s="9" t="str">
        <x:v>LF-B-A</x:v>
      </x:c>
      <x:c r="F666" s="9" t="str">
        <x:v>B2</x:v>
      </x:c>
      <x:c r="G666" s="9" t="str">
        <x:v>RCN</x:v>
      </x:c>
      <x:c r="H666" s="9" t="str">
        <x:v>RW04</x:v>
      </x:c>
      <x:c r="I666" s="17" t="str">
        <x:v>Environmental boundary stream</x:v>
      </x:c>
      <x:c r="J666" s="17" t="str">
        <x:v>Site metrology</x:v>
      </x:c>
      <x:c r="K666" s="17" t="str">
        <x:v>Public custody D</x:v>
      </x:c>
      <x:c r="L666" s="9" t="n">
        <x:v>0</x:v>
      </x:c>
      <x:c r="M666" s="9" t="n">
        <x:v>0</x:v>
      </x:c>
      <x:c r="N666" s="9" t="n">
        <x:v>0</x:v>
      </x:c>
      <x:c r="O666" s="9" t="n">
        <x:v>0</x:v>
      </x:c>
      <x:c r="P666" s="9" t="str">
        <x:v>UNSEALED / SOURCE-EMPTY</x:v>
      </x:c>
      <x:c r="Q666" s="9" t="n">
        <x:f>COUNTIFS($A$7:$A$1158,A666)</x:f>
        <x:v>1</x:v>
      </x:c>
    </x:row>
    <x:row r="667">
      <x:c r="A667" s="9" t="str">
        <x:v>EV-AR-LF-B-A-TECH-2-B2-RCN-G0-RW05</x:v>
      </x:c>
      <x:c r="B667" s="9" t="str">
        <x:v>EV-AR-LF-B-A-TECH-2-B2-RCN-G0</x:v>
      </x:c>
      <x:c r="C667" s="9" t="str">
        <x:v>AR-LF-B-A-TECH-2-B2-RCN-G0</x:v>
      </x:c>
      <x:c r="D667" s="9" t="str">
        <x:v>LF-B-A-TECH-2</x:v>
      </x:c>
      <x:c r="E667" s="9" t="str">
        <x:v>LF-B-A</x:v>
      </x:c>
      <x:c r="F667" s="9" t="str">
        <x:v>B2</x:v>
      </x:c>
      <x:c r="G667" s="9" t="str">
        <x:v>RCN</x:v>
      </x:c>
      <x:c r="H667" s="9" t="str">
        <x:v>RW05</x:v>
      </x:c>
      <x:c r="I667" s="17" t="str">
        <x:v>Command and intervention log</x:v>
      </x:c>
      <x:c r="J667" s="17" t="str">
        <x:v>Safety authority</x:v>
      </x:c>
      <x:c r="K667" s="17" t="str">
        <x:v>Public custody E</x:v>
      </x:c>
      <x:c r="L667" s="9" t="n">
        <x:v>0</x:v>
      </x:c>
      <x:c r="M667" s="9" t="n">
        <x:v>0</x:v>
      </x:c>
      <x:c r="N667" s="9" t="n">
        <x:v>0</x:v>
      </x:c>
      <x:c r="O667" s="9" t="n">
        <x:v>0</x:v>
      </x:c>
      <x:c r="P667" s="9" t="str">
        <x:v>UNSEALED / SOURCE-EMPTY</x:v>
      </x:c>
      <x:c r="Q667" s="9" t="n">
        <x:f>COUNTIFS($A$7:$A$1158,A667)</x:f>
        <x:v>1</x:v>
      </x:c>
    </x:row>
    <x:row r="668">
      <x:c r="A668" s="9" t="str">
        <x:v>EV-AR-LF-B-A-TECH-2-B2-RCN-G0-RW06</x:v>
      </x:c>
      <x:c r="B668" s="9" t="str">
        <x:v>EV-AR-LF-B-A-TECH-2-B2-RCN-G0</x:v>
      </x:c>
      <x:c r="C668" s="9" t="str">
        <x:v>AR-LF-B-A-TECH-2-B2-RCN-G0</x:v>
      </x:c>
      <x:c r="D668" s="9" t="str">
        <x:v>LF-B-A-TECH-2</x:v>
      </x:c>
      <x:c r="E668" s="9" t="str">
        <x:v>LF-B-A</x:v>
      </x:c>
      <x:c r="F668" s="9" t="str">
        <x:v>B2</x:v>
      </x:c>
      <x:c r="G668" s="9" t="str">
        <x:v>RCN</x:v>
      </x:c>
      <x:c r="H668" s="9" t="str">
        <x:v>RW06</x:v>
      </x:c>
      <x:c r="I668" s="17" t="str">
        <x:v>Receiver service ledger</x:v>
      </x:c>
      <x:c r="J668" s="17" t="str">
        <x:v>Receiver authority</x:v>
      </x:c>
      <x:c r="K668" s="17" t="str">
        <x:v>Public custody F</x:v>
      </x:c>
      <x:c r="L668" s="9" t="n">
        <x:v>0</x:v>
      </x:c>
      <x:c r="M668" s="9" t="n">
        <x:v>0</x:v>
      </x:c>
      <x:c r="N668" s="9" t="n">
        <x:v>0</x:v>
      </x:c>
      <x:c r="O668" s="9" t="n">
        <x:v>0</x:v>
      </x:c>
      <x:c r="P668" s="9" t="str">
        <x:v>UNSEALED / SOURCE-EMPTY</x:v>
      </x:c>
      <x:c r="Q668" s="9" t="n">
        <x:f>COUNTIFS($A$7:$A$1158,A668)</x:f>
        <x:v>1</x:v>
      </x:c>
    </x:row>
    <x:row r="669">
      <x:c r="A669" s="9" t="str">
        <x:v>EV-AR-LF-B-A-TECH-2-B2-RCN-G0-RW07</x:v>
      </x:c>
      <x:c r="B669" s="9" t="str">
        <x:v>EV-AR-LF-B-A-TECH-2-B2-RCN-G0</x:v>
      </x:c>
      <x:c r="C669" s="9" t="str">
        <x:v>AR-LF-B-A-TECH-2-B2-RCN-G0</x:v>
      </x:c>
      <x:c r="D669" s="9" t="str">
        <x:v>LF-B-A-TECH-2</x:v>
      </x:c>
      <x:c r="E669" s="9" t="str">
        <x:v>LF-B-A</x:v>
      </x:c>
      <x:c r="F669" s="9" t="str">
        <x:v>B2</x:v>
      </x:c>
      <x:c r="G669" s="9" t="str">
        <x:v>RCN</x:v>
      </x:c>
      <x:c r="H669" s="9" t="str">
        <x:v>RW07</x:v>
      </x:c>
      <x:c r="I669" s="17" t="str">
        <x:v>Candidate interface telemetry</x:v>
      </x:c>
      <x:c r="J669" s="17" t="str">
        <x:v>Interface custodian</x:v>
      </x:c>
      <x:c r="K669" s="17" t="str">
        <x:v>Public custody A</x:v>
      </x:c>
      <x:c r="L669" s="9" t="n">
        <x:v>0</x:v>
      </x:c>
      <x:c r="M669" s="9" t="n">
        <x:v>0</x:v>
      </x:c>
      <x:c r="N669" s="9" t="n">
        <x:v>0</x:v>
      </x:c>
      <x:c r="O669" s="9" t="n">
        <x:v>0</x:v>
      </x:c>
      <x:c r="P669" s="9" t="str">
        <x:v>UNSEALED / SOURCE-EMPTY</x:v>
      </x:c>
      <x:c r="Q669" s="9" t="n">
        <x:f>COUNTIFS($A$7:$A$1158,A669)</x:f>
        <x:v>1</x:v>
      </x:c>
    </x:row>
    <x:row r="670">
      <x:c r="A670" s="9" t="str">
        <x:v>EV-AR-LF-B-A-TECH-2-B2-RCN-G0-RW08</x:v>
      </x:c>
      <x:c r="B670" s="9" t="str">
        <x:v>EV-AR-LF-B-A-TECH-2-B2-RCN-G0</x:v>
      </x:c>
      <x:c r="C670" s="9" t="str">
        <x:v>AR-LF-B-A-TECH-2-B2-RCN-G0</x:v>
      </x:c>
      <x:c r="D670" s="9" t="str">
        <x:v>LF-B-A-TECH-2</x:v>
      </x:c>
      <x:c r="E670" s="9" t="str">
        <x:v>LF-B-A</x:v>
      </x:c>
      <x:c r="F670" s="9" t="str">
        <x:v>B2</x:v>
      </x:c>
      <x:c r="G670" s="9" t="str">
        <x:v>RCN</x:v>
      </x:c>
      <x:c r="H670" s="9" t="str">
        <x:v>RW08</x:v>
      </x:c>
      <x:c r="I670" s="17" t="str">
        <x:v>Residual and physical evidence</x:v>
      </x:c>
      <x:c r="J670" s="17" t="str">
        <x:v>Residual authority</x:v>
      </x:c>
      <x:c r="K670" s="17" t="str">
        <x:v>Public custody B</x:v>
      </x:c>
      <x:c r="L670" s="9" t="n">
        <x:v>0</x:v>
      </x:c>
      <x:c r="M670" s="9" t="n">
        <x:v>0</x:v>
      </x:c>
      <x:c r="N670" s="9" t="n">
        <x:v>0</x:v>
      </x:c>
      <x:c r="O670" s="9" t="n">
        <x:v>0</x:v>
      </x:c>
      <x:c r="P670" s="9" t="str">
        <x:v>UNSEALED / SOURCE-EMPTY</x:v>
      </x:c>
      <x:c r="Q670" s="9" t="n">
        <x:f>COUNTIFS($A$7:$A$1158,A670)</x:f>
        <x:v>1</x:v>
      </x:c>
    </x:row>
    <x:row r="671">
      <x:c r="A671" s="9" t="str">
        <x:v>EV-AR-RT-B-C-TECH-3-B1-BRK-G0-RW01</x:v>
      </x:c>
      <x:c r="B671" s="9" t="str">
        <x:v>EV-AR-RT-B-C-TECH-3-B1-BRK-G0</x:v>
      </x:c>
      <x:c r="C671" s="9" t="str">
        <x:v>AR-RT-B-C-TECH-3-B1-BRK-G0</x:v>
      </x:c>
      <x:c r="D671" s="9" t="str">
        <x:v>RT-B-C-TECH-3</x:v>
      </x:c>
      <x:c r="E671" s="9" t="str">
        <x:v>RT-B-C</x:v>
      </x:c>
      <x:c r="F671" s="9" t="str">
        <x:v>B1</x:v>
      </x:c>
      <x:c r="G671" s="9" t="str">
        <x:v>BRK</x:v>
      </x:c>
      <x:c r="H671" s="9" t="str">
        <x:v>RW01</x:v>
      </x:c>
      <x:c r="I671" s="17" t="str">
        <x:v>Primary raw stream</x:v>
      </x:c>
      <x:c r="J671" s="17" t="str">
        <x:v>Primary metrology</x:v>
      </x:c>
      <x:c r="K671" s="17" t="str">
        <x:v>Public custody A</x:v>
      </x:c>
      <x:c r="L671" s="9" t="n">
        <x:v>0</x:v>
      </x:c>
      <x:c r="M671" s="9" t="n">
        <x:v>0</x:v>
      </x:c>
      <x:c r="N671" s="9" t="n">
        <x:v>0</x:v>
      </x:c>
      <x:c r="O671" s="9" t="n">
        <x:v>0</x:v>
      </x:c>
      <x:c r="P671" s="9" t="str">
        <x:v>UNSEALED / SOURCE-EMPTY</x:v>
      </x:c>
      <x:c r="Q671" s="9" t="n">
        <x:f>COUNTIFS($A$7:$A$1158,A671)</x:f>
        <x:v>1</x:v>
      </x:c>
    </x:row>
    <x:row r="672">
      <x:c r="A672" s="9" t="str">
        <x:v>EV-AR-RT-B-C-TECH-3-B1-BRK-G0-RW02</x:v>
      </x:c>
      <x:c r="B672" s="9" t="str">
        <x:v>EV-AR-RT-B-C-TECH-3-B1-BRK-G0</x:v>
      </x:c>
      <x:c r="C672" s="9" t="str">
        <x:v>AR-RT-B-C-TECH-3-B1-BRK-G0</x:v>
      </x:c>
      <x:c r="D672" s="9" t="str">
        <x:v>RT-B-C-TECH-3</x:v>
      </x:c>
      <x:c r="E672" s="9" t="str">
        <x:v>RT-B-C</x:v>
      </x:c>
      <x:c r="F672" s="9" t="str">
        <x:v>B1</x:v>
      </x:c>
      <x:c r="G672" s="9" t="str">
        <x:v>BRK</x:v>
      </x:c>
      <x:c r="H672" s="9" t="str">
        <x:v>RW02</x:v>
      </x:c>
      <x:c r="I672" s="17" t="str">
        <x:v>Unlike witness stream</x:v>
      </x:c>
      <x:c r="J672" s="17" t="str">
        <x:v>Witness metrology</x:v>
      </x:c>
      <x:c r="K672" s="17" t="str">
        <x:v>Public custody B</x:v>
      </x:c>
      <x:c r="L672" s="9" t="n">
        <x:v>0</x:v>
      </x:c>
      <x:c r="M672" s="9" t="n">
        <x:v>0</x:v>
      </x:c>
      <x:c r="N672" s="9" t="n">
        <x:v>0</x:v>
      </x:c>
      <x:c r="O672" s="9" t="n">
        <x:v>0</x:v>
      </x:c>
      <x:c r="P672" s="9" t="str">
        <x:v>UNSEALED / SOURCE-EMPTY</x:v>
      </x:c>
      <x:c r="Q672" s="9" t="n">
        <x:f>COUNTIFS($A$7:$A$1158,A672)</x:f>
        <x:v>1</x:v>
      </x:c>
    </x:row>
    <x:row r="673">
      <x:c r="A673" s="9" t="str">
        <x:v>EV-AR-RT-B-C-TECH-3-B1-BRK-G0-RW03</x:v>
      </x:c>
      <x:c r="B673" s="9" t="str">
        <x:v>EV-AR-RT-B-C-TECH-3-B1-BRK-G0</x:v>
      </x:c>
      <x:c r="C673" s="9" t="str">
        <x:v>AR-RT-B-C-TECH-3-B1-BRK-G0</x:v>
      </x:c>
      <x:c r="D673" s="9" t="str">
        <x:v>RT-B-C-TECH-3</x:v>
      </x:c>
      <x:c r="E673" s="9" t="str">
        <x:v>RT-B-C</x:v>
      </x:c>
      <x:c r="F673" s="9" t="str">
        <x:v>B1</x:v>
      </x:c>
      <x:c r="G673" s="9" t="str">
        <x:v>BRK</x:v>
      </x:c>
      <x:c r="H673" s="9" t="str">
        <x:v>RW03</x:v>
      </x:c>
      <x:c r="I673" s="17" t="str">
        <x:v>Event clock and start traces</x:v>
      </x:c>
      <x:c r="J673" s="17" t="str">
        <x:v>Event clock authority</x:v>
      </x:c>
      <x:c r="K673" s="17" t="str">
        <x:v>Public custody C</x:v>
      </x:c>
      <x:c r="L673" s="9" t="n">
        <x:v>0</x:v>
      </x:c>
      <x:c r="M673" s="9" t="n">
        <x:v>0</x:v>
      </x:c>
      <x:c r="N673" s="9" t="n">
        <x:v>0</x:v>
      </x:c>
      <x:c r="O673" s="9" t="n">
        <x:v>0</x:v>
      </x:c>
      <x:c r="P673" s="9" t="str">
        <x:v>UNSEALED / SOURCE-EMPTY</x:v>
      </x:c>
      <x:c r="Q673" s="9" t="n">
        <x:f>COUNTIFS($A$7:$A$1158,A673)</x:f>
        <x:v>1</x:v>
      </x:c>
    </x:row>
    <x:row r="674">
      <x:c r="A674" s="9" t="str">
        <x:v>EV-AR-RT-B-C-TECH-3-B1-BRK-G0-RW04</x:v>
      </x:c>
      <x:c r="B674" s="9" t="str">
        <x:v>EV-AR-RT-B-C-TECH-3-B1-BRK-G0</x:v>
      </x:c>
      <x:c r="C674" s="9" t="str">
        <x:v>AR-RT-B-C-TECH-3-B1-BRK-G0</x:v>
      </x:c>
      <x:c r="D674" s="9" t="str">
        <x:v>RT-B-C-TECH-3</x:v>
      </x:c>
      <x:c r="E674" s="9" t="str">
        <x:v>RT-B-C</x:v>
      </x:c>
      <x:c r="F674" s="9" t="str">
        <x:v>B1</x:v>
      </x:c>
      <x:c r="G674" s="9" t="str">
        <x:v>BRK</x:v>
      </x:c>
      <x:c r="H674" s="9" t="str">
        <x:v>RW04</x:v>
      </x:c>
      <x:c r="I674" s="17" t="str">
        <x:v>Environmental boundary stream</x:v>
      </x:c>
      <x:c r="J674" s="17" t="str">
        <x:v>Site metrology</x:v>
      </x:c>
      <x:c r="K674" s="17" t="str">
        <x:v>Public custody D</x:v>
      </x:c>
      <x:c r="L674" s="9" t="n">
        <x:v>0</x:v>
      </x:c>
      <x:c r="M674" s="9" t="n">
        <x:v>0</x:v>
      </x:c>
      <x:c r="N674" s="9" t="n">
        <x:v>0</x:v>
      </x:c>
      <x:c r="O674" s="9" t="n">
        <x:v>0</x:v>
      </x:c>
      <x:c r="P674" s="9" t="str">
        <x:v>UNSEALED / SOURCE-EMPTY</x:v>
      </x:c>
      <x:c r="Q674" s="9" t="n">
        <x:f>COUNTIFS($A$7:$A$1158,A674)</x:f>
        <x:v>1</x:v>
      </x:c>
    </x:row>
    <x:row r="675">
      <x:c r="A675" s="9" t="str">
        <x:v>EV-AR-RT-B-C-TECH-3-B1-BRK-G0-RW05</x:v>
      </x:c>
      <x:c r="B675" s="9" t="str">
        <x:v>EV-AR-RT-B-C-TECH-3-B1-BRK-G0</x:v>
      </x:c>
      <x:c r="C675" s="9" t="str">
        <x:v>AR-RT-B-C-TECH-3-B1-BRK-G0</x:v>
      </x:c>
      <x:c r="D675" s="9" t="str">
        <x:v>RT-B-C-TECH-3</x:v>
      </x:c>
      <x:c r="E675" s="9" t="str">
        <x:v>RT-B-C</x:v>
      </x:c>
      <x:c r="F675" s="9" t="str">
        <x:v>B1</x:v>
      </x:c>
      <x:c r="G675" s="9" t="str">
        <x:v>BRK</x:v>
      </x:c>
      <x:c r="H675" s="9" t="str">
        <x:v>RW05</x:v>
      </x:c>
      <x:c r="I675" s="17" t="str">
        <x:v>Command and intervention log</x:v>
      </x:c>
      <x:c r="J675" s="17" t="str">
        <x:v>Safety authority</x:v>
      </x:c>
      <x:c r="K675" s="17" t="str">
        <x:v>Public custody E</x:v>
      </x:c>
      <x:c r="L675" s="9" t="n">
        <x:v>0</x:v>
      </x:c>
      <x:c r="M675" s="9" t="n">
        <x:v>0</x:v>
      </x:c>
      <x:c r="N675" s="9" t="n">
        <x:v>0</x:v>
      </x:c>
      <x:c r="O675" s="9" t="n">
        <x:v>0</x:v>
      </x:c>
      <x:c r="P675" s="9" t="str">
        <x:v>UNSEALED / SOURCE-EMPTY</x:v>
      </x:c>
      <x:c r="Q675" s="9" t="n">
        <x:f>COUNTIFS($A$7:$A$1158,A675)</x:f>
        <x:v>1</x:v>
      </x:c>
    </x:row>
    <x:row r="676">
      <x:c r="A676" s="9" t="str">
        <x:v>EV-AR-RT-B-C-TECH-3-B1-BRK-G0-RW06</x:v>
      </x:c>
      <x:c r="B676" s="9" t="str">
        <x:v>EV-AR-RT-B-C-TECH-3-B1-BRK-G0</x:v>
      </x:c>
      <x:c r="C676" s="9" t="str">
        <x:v>AR-RT-B-C-TECH-3-B1-BRK-G0</x:v>
      </x:c>
      <x:c r="D676" s="9" t="str">
        <x:v>RT-B-C-TECH-3</x:v>
      </x:c>
      <x:c r="E676" s="9" t="str">
        <x:v>RT-B-C</x:v>
      </x:c>
      <x:c r="F676" s="9" t="str">
        <x:v>B1</x:v>
      </x:c>
      <x:c r="G676" s="9" t="str">
        <x:v>BRK</x:v>
      </x:c>
      <x:c r="H676" s="9" t="str">
        <x:v>RW06</x:v>
      </x:c>
      <x:c r="I676" s="17" t="str">
        <x:v>Receiver service ledger</x:v>
      </x:c>
      <x:c r="J676" s="17" t="str">
        <x:v>Receiver authority</x:v>
      </x:c>
      <x:c r="K676" s="17" t="str">
        <x:v>Public custody F</x:v>
      </x:c>
      <x:c r="L676" s="9" t="n">
        <x:v>0</x:v>
      </x:c>
      <x:c r="M676" s="9" t="n">
        <x:v>0</x:v>
      </x:c>
      <x:c r="N676" s="9" t="n">
        <x:v>0</x:v>
      </x:c>
      <x:c r="O676" s="9" t="n">
        <x:v>0</x:v>
      </x:c>
      <x:c r="P676" s="9" t="str">
        <x:v>UNSEALED / SOURCE-EMPTY</x:v>
      </x:c>
      <x:c r="Q676" s="9" t="n">
        <x:f>COUNTIFS($A$7:$A$1158,A676)</x:f>
        <x:v>1</x:v>
      </x:c>
    </x:row>
    <x:row r="677">
      <x:c r="A677" s="9" t="str">
        <x:v>EV-AR-RT-B-C-TECH-3-B1-BRK-G0-RW07</x:v>
      </x:c>
      <x:c r="B677" s="9" t="str">
        <x:v>EV-AR-RT-B-C-TECH-3-B1-BRK-G0</x:v>
      </x:c>
      <x:c r="C677" s="9" t="str">
        <x:v>AR-RT-B-C-TECH-3-B1-BRK-G0</x:v>
      </x:c>
      <x:c r="D677" s="9" t="str">
        <x:v>RT-B-C-TECH-3</x:v>
      </x:c>
      <x:c r="E677" s="9" t="str">
        <x:v>RT-B-C</x:v>
      </x:c>
      <x:c r="F677" s="9" t="str">
        <x:v>B1</x:v>
      </x:c>
      <x:c r="G677" s="9" t="str">
        <x:v>BRK</x:v>
      </x:c>
      <x:c r="H677" s="9" t="str">
        <x:v>RW07</x:v>
      </x:c>
      <x:c r="I677" s="17" t="str">
        <x:v>Candidate interface telemetry</x:v>
      </x:c>
      <x:c r="J677" s="17" t="str">
        <x:v>Interface custodian</x:v>
      </x:c>
      <x:c r="K677" s="17" t="str">
        <x:v>Public custody A</x:v>
      </x:c>
      <x:c r="L677" s="9" t="n">
        <x:v>0</x:v>
      </x:c>
      <x:c r="M677" s="9" t="n">
        <x:v>0</x:v>
      </x:c>
      <x:c r="N677" s="9" t="n">
        <x:v>0</x:v>
      </x:c>
      <x:c r="O677" s="9" t="n">
        <x:v>0</x:v>
      </x:c>
      <x:c r="P677" s="9" t="str">
        <x:v>UNSEALED / SOURCE-EMPTY</x:v>
      </x:c>
      <x:c r="Q677" s="9" t="n">
        <x:f>COUNTIFS($A$7:$A$1158,A677)</x:f>
        <x:v>1</x:v>
      </x:c>
    </x:row>
    <x:row r="678">
      <x:c r="A678" s="9" t="str">
        <x:v>EV-AR-RT-B-C-TECH-3-B1-BRK-G0-RW08</x:v>
      </x:c>
      <x:c r="B678" s="9" t="str">
        <x:v>EV-AR-RT-B-C-TECH-3-B1-BRK-G0</x:v>
      </x:c>
      <x:c r="C678" s="9" t="str">
        <x:v>AR-RT-B-C-TECH-3-B1-BRK-G0</x:v>
      </x:c>
      <x:c r="D678" s="9" t="str">
        <x:v>RT-B-C-TECH-3</x:v>
      </x:c>
      <x:c r="E678" s="9" t="str">
        <x:v>RT-B-C</x:v>
      </x:c>
      <x:c r="F678" s="9" t="str">
        <x:v>B1</x:v>
      </x:c>
      <x:c r="G678" s="9" t="str">
        <x:v>BRK</x:v>
      </x:c>
      <x:c r="H678" s="9" t="str">
        <x:v>RW08</x:v>
      </x:c>
      <x:c r="I678" s="17" t="str">
        <x:v>Residual and physical evidence</x:v>
      </x:c>
      <x:c r="J678" s="17" t="str">
        <x:v>Residual authority</x:v>
      </x:c>
      <x:c r="K678" s="17" t="str">
        <x:v>Public custody B</x:v>
      </x:c>
      <x:c r="L678" s="9" t="n">
        <x:v>0</x:v>
      </x:c>
      <x:c r="M678" s="9" t="n">
        <x:v>0</x:v>
      </x:c>
      <x:c r="N678" s="9" t="n">
        <x:v>0</x:v>
      </x:c>
      <x:c r="O678" s="9" t="n">
        <x:v>0</x:v>
      </x:c>
      <x:c r="P678" s="9" t="str">
        <x:v>UNSEALED / SOURCE-EMPTY</x:v>
      </x:c>
      <x:c r="Q678" s="9" t="n">
        <x:f>COUNTIFS($A$7:$A$1158,A678)</x:f>
        <x:v>1</x:v>
      </x:c>
    </x:row>
    <x:row r="679">
      <x:c r="A679" s="9" t="str">
        <x:v>EV-AR-ET-A-A-TECH-3-B2-INT-G0-RW01</x:v>
      </x:c>
      <x:c r="B679" s="9" t="str">
        <x:v>EV-AR-ET-A-A-TECH-3-B2-INT-G0</x:v>
      </x:c>
      <x:c r="C679" s="9" t="str">
        <x:v>AR-ET-A-A-TECH-3-B2-INT-G0</x:v>
      </x:c>
      <x:c r="D679" s="9" t="str">
        <x:v>ET-A-A-TECH-3</x:v>
      </x:c>
      <x:c r="E679" s="9" t="str">
        <x:v>ET-A-A</x:v>
      </x:c>
      <x:c r="F679" s="9" t="str">
        <x:v>B2</x:v>
      </x:c>
      <x:c r="G679" s="9" t="str">
        <x:v>INT</x:v>
      </x:c>
      <x:c r="H679" s="9" t="str">
        <x:v>RW01</x:v>
      </x:c>
      <x:c r="I679" s="17" t="str">
        <x:v>Primary raw stream</x:v>
      </x:c>
      <x:c r="J679" s="17" t="str">
        <x:v>Primary metrology</x:v>
      </x:c>
      <x:c r="K679" s="17" t="str">
        <x:v>Public custody A</x:v>
      </x:c>
      <x:c r="L679" s="9" t="n">
        <x:v>0</x:v>
      </x:c>
      <x:c r="M679" s="9" t="n">
        <x:v>0</x:v>
      </x:c>
      <x:c r="N679" s="9" t="n">
        <x:v>0</x:v>
      </x:c>
      <x:c r="O679" s="9" t="n">
        <x:v>0</x:v>
      </x:c>
      <x:c r="P679" s="9" t="str">
        <x:v>UNSEALED / SOURCE-EMPTY</x:v>
      </x:c>
      <x:c r="Q679" s="9" t="n">
        <x:f>COUNTIFS($A$7:$A$1158,A679)</x:f>
        <x:v>1</x:v>
      </x:c>
    </x:row>
    <x:row r="680">
      <x:c r="A680" s="9" t="str">
        <x:v>EV-AR-ET-A-A-TECH-3-B2-INT-G0-RW02</x:v>
      </x:c>
      <x:c r="B680" s="9" t="str">
        <x:v>EV-AR-ET-A-A-TECH-3-B2-INT-G0</x:v>
      </x:c>
      <x:c r="C680" s="9" t="str">
        <x:v>AR-ET-A-A-TECH-3-B2-INT-G0</x:v>
      </x:c>
      <x:c r="D680" s="9" t="str">
        <x:v>ET-A-A-TECH-3</x:v>
      </x:c>
      <x:c r="E680" s="9" t="str">
        <x:v>ET-A-A</x:v>
      </x:c>
      <x:c r="F680" s="9" t="str">
        <x:v>B2</x:v>
      </x:c>
      <x:c r="G680" s="9" t="str">
        <x:v>INT</x:v>
      </x:c>
      <x:c r="H680" s="9" t="str">
        <x:v>RW02</x:v>
      </x:c>
      <x:c r="I680" s="17" t="str">
        <x:v>Unlike witness stream</x:v>
      </x:c>
      <x:c r="J680" s="17" t="str">
        <x:v>Witness metrology</x:v>
      </x:c>
      <x:c r="K680" s="17" t="str">
        <x:v>Public custody B</x:v>
      </x:c>
      <x:c r="L680" s="9" t="n">
        <x:v>0</x:v>
      </x:c>
      <x:c r="M680" s="9" t="n">
        <x:v>0</x:v>
      </x:c>
      <x:c r="N680" s="9" t="n">
        <x:v>0</x:v>
      </x:c>
      <x:c r="O680" s="9" t="n">
        <x:v>0</x:v>
      </x:c>
      <x:c r="P680" s="9" t="str">
        <x:v>UNSEALED / SOURCE-EMPTY</x:v>
      </x:c>
      <x:c r="Q680" s="9" t="n">
        <x:f>COUNTIFS($A$7:$A$1158,A680)</x:f>
        <x:v>1</x:v>
      </x:c>
    </x:row>
    <x:row r="681">
      <x:c r="A681" s="9" t="str">
        <x:v>EV-AR-ET-A-A-TECH-3-B2-INT-G0-RW03</x:v>
      </x:c>
      <x:c r="B681" s="9" t="str">
        <x:v>EV-AR-ET-A-A-TECH-3-B2-INT-G0</x:v>
      </x:c>
      <x:c r="C681" s="9" t="str">
        <x:v>AR-ET-A-A-TECH-3-B2-INT-G0</x:v>
      </x:c>
      <x:c r="D681" s="9" t="str">
        <x:v>ET-A-A-TECH-3</x:v>
      </x:c>
      <x:c r="E681" s="9" t="str">
        <x:v>ET-A-A</x:v>
      </x:c>
      <x:c r="F681" s="9" t="str">
        <x:v>B2</x:v>
      </x:c>
      <x:c r="G681" s="9" t="str">
        <x:v>INT</x:v>
      </x:c>
      <x:c r="H681" s="9" t="str">
        <x:v>RW03</x:v>
      </x:c>
      <x:c r="I681" s="17" t="str">
        <x:v>Event clock and start traces</x:v>
      </x:c>
      <x:c r="J681" s="17" t="str">
        <x:v>Event clock authority</x:v>
      </x:c>
      <x:c r="K681" s="17" t="str">
        <x:v>Public custody C</x:v>
      </x:c>
      <x:c r="L681" s="9" t="n">
        <x:v>0</x:v>
      </x:c>
      <x:c r="M681" s="9" t="n">
        <x:v>0</x:v>
      </x:c>
      <x:c r="N681" s="9" t="n">
        <x:v>0</x:v>
      </x:c>
      <x:c r="O681" s="9" t="n">
        <x:v>0</x:v>
      </x:c>
      <x:c r="P681" s="9" t="str">
        <x:v>UNSEALED / SOURCE-EMPTY</x:v>
      </x:c>
      <x:c r="Q681" s="9" t="n">
        <x:f>COUNTIFS($A$7:$A$1158,A681)</x:f>
        <x:v>1</x:v>
      </x:c>
    </x:row>
    <x:row r="682">
      <x:c r="A682" s="9" t="str">
        <x:v>EV-AR-ET-A-A-TECH-3-B2-INT-G0-RW04</x:v>
      </x:c>
      <x:c r="B682" s="9" t="str">
        <x:v>EV-AR-ET-A-A-TECH-3-B2-INT-G0</x:v>
      </x:c>
      <x:c r="C682" s="9" t="str">
        <x:v>AR-ET-A-A-TECH-3-B2-INT-G0</x:v>
      </x:c>
      <x:c r="D682" s="9" t="str">
        <x:v>ET-A-A-TECH-3</x:v>
      </x:c>
      <x:c r="E682" s="9" t="str">
        <x:v>ET-A-A</x:v>
      </x:c>
      <x:c r="F682" s="9" t="str">
        <x:v>B2</x:v>
      </x:c>
      <x:c r="G682" s="9" t="str">
        <x:v>INT</x:v>
      </x:c>
      <x:c r="H682" s="9" t="str">
        <x:v>RW04</x:v>
      </x:c>
      <x:c r="I682" s="17" t="str">
        <x:v>Environmental boundary stream</x:v>
      </x:c>
      <x:c r="J682" s="17" t="str">
        <x:v>Site metrology</x:v>
      </x:c>
      <x:c r="K682" s="17" t="str">
        <x:v>Public custody D</x:v>
      </x:c>
      <x:c r="L682" s="9" t="n">
        <x:v>0</x:v>
      </x:c>
      <x:c r="M682" s="9" t="n">
        <x:v>0</x:v>
      </x:c>
      <x:c r="N682" s="9" t="n">
        <x:v>0</x:v>
      </x:c>
      <x:c r="O682" s="9" t="n">
        <x:v>0</x:v>
      </x:c>
      <x:c r="P682" s="9" t="str">
        <x:v>UNSEALED / SOURCE-EMPTY</x:v>
      </x:c>
      <x:c r="Q682" s="9" t="n">
        <x:f>COUNTIFS($A$7:$A$1158,A682)</x:f>
        <x:v>1</x:v>
      </x:c>
    </x:row>
    <x:row r="683">
      <x:c r="A683" s="9" t="str">
        <x:v>EV-AR-ET-A-A-TECH-3-B2-INT-G0-RW05</x:v>
      </x:c>
      <x:c r="B683" s="9" t="str">
        <x:v>EV-AR-ET-A-A-TECH-3-B2-INT-G0</x:v>
      </x:c>
      <x:c r="C683" s="9" t="str">
        <x:v>AR-ET-A-A-TECH-3-B2-INT-G0</x:v>
      </x:c>
      <x:c r="D683" s="9" t="str">
        <x:v>ET-A-A-TECH-3</x:v>
      </x:c>
      <x:c r="E683" s="9" t="str">
        <x:v>ET-A-A</x:v>
      </x:c>
      <x:c r="F683" s="9" t="str">
        <x:v>B2</x:v>
      </x:c>
      <x:c r="G683" s="9" t="str">
        <x:v>INT</x:v>
      </x:c>
      <x:c r="H683" s="9" t="str">
        <x:v>RW05</x:v>
      </x:c>
      <x:c r="I683" s="17" t="str">
        <x:v>Command and intervention log</x:v>
      </x:c>
      <x:c r="J683" s="17" t="str">
        <x:v>Safety authority</x:v>
      </x:c>
      <x:c r="K683" s="17" t="str">
        <x:v>Public custody E</x:v>
      </x:c>
      <x:c r="L683" s="9" t="n">
        <x:v>0</x:v>
      </x:c>
      <x:c r="M683" s="9" t="n">
        <x:v>0</x:v>
      </x:c>
      <x:c r="N683" s="9" t="n">
        <x:v>0</x:v>
      </x:c>
      <x:c r="O683" s="9" t="n">
        <x:v>0</x:v>
      </x:c>
      <x:c r="P683" s="9" t="str">
        <x:v>UNSEALED / SOURCE-EMPTY</x:v>
      </x:c>
      <x:c r="Q683" s="9" t="n">
        <x:f>COUNTIFS($A$7:$A$1158,A683)</x:f>
        <x:v>1</x:v>
      </x:c>
    </x:row>
    <x:row r="684">
      <x:c r="A684" s="9" t="str">
        <x:v>EV-AR-ET-A-A-TECH-3-B2-INT-G0-RW06</x:v>
      </x:c>
      <x:c r="B684" s="9" t="str">
        <x:v>EV-AR-ET-A-A-TECH-3-B2-INT-G0</x:v>
      </x:c>
      <x:c r="C684" s="9" t="str">
        <x:v>AR-ET-A-A-TECH-3-B2-INT-G0</x:v>
      </x:c>
      <x:c r="D684" s="9" t="str">
        <x:v>ET-A-A-TECH-3</x:v>
      </x:c>
      <x:c r="E684" s="9" t="str">
        <x:v>ET-A-A</x:v>
      </x:c>
      <x:c r="F684" s="9" t="str">
        <x:v>B2</x:v>
      </x:c>
      <x:c r="G684" s="9" t="str">
        <x:v>INT</x:v>
      </x:c>
      <x:c r="H684" s="9" t="str">
        <x:v>RW06</x:v>
      </x:c>
      <x:c r="I684" s="17" t="str">
        <x:v>Receiver service ledger</x:v>
      </x:c>
      <x:c r="J684" s="17" t="str">
        <x:v>Receiver authority</x:v>
      </x:c>
      <x:c r="K684" s="17" t="str">
        <x:v>Public custody F</x:v>
      </x:c>
      <x:c r="L684" s="9" t="n">
        <x:v>0</x:v>
      </x:c>
      <x:c r="M684" s="9" t="n">
        <x:v>0</x:v>
      </x:c>
      <x:c r="N684" s="9" t="n">
        <x:v>0</x:v>
      </x:c>
      <x:c r="O684" s="9" t="n">
        <x:v>0</x:v>
      </x:c>
      <x:c r="P684" s="9" t="str">
        <x:v>UNSEALED / SOURCE-EMPTY</x:v>
      </x:c>
      <x:c r="Q684" s="9" t="n">
        <x:f>COUNTIFS($A$7:$A$1158,A684)</x:f>
        <x:v>1</x:v>
      </x:c>
    </x:row>
    <x:row r="685">
      <x:c r="A685" s="9" t="str">
        <x:v>EV-AR-ET-A-A-TECH-3-B2-INT-G0-RW07</x:v>
      </x:c>
      <x:c r="B685" s="9" t="str">
        <x:v>EV-AR-ET-A-A-TECH-3-B2-INT-G0</x:v>
      </x:c>
      <x:c r="C685" s="9" t="str">
        <x:v>AR-ET-A-A-TECH-3-B2-INT-G0</x:v>
      </x:c>
      <x:c r="D685" s="9" t="str">
        <x:v>ET-A-A-TECH-3</x:v>
      </x:c>
      <x:c r="E685" s="9" t="str">
        <x:v>ET-A-A</x:v>
      </x:c>
      <x:c r="F685" s="9" t="str">
        <x:v>B2</x:v>
      </x:c>
      <x:c r="G685" s="9" t="str">
        <x:v>INT</x:v>
      </x:c>
      <x:c r="H685" s="9" t="str">
        <x:v>RW07</x:v>
      </x:c>
      <x:c r="I685" s="17" t="str">
        <x:v>Candidate interface telemetry</x:v>
      </x:c>
      <x:c r="J685" s="17" t="str">
        <x:v>Interface custodian</x:v>
      </x:c>
      <x:c r="K685" s="17" t="str">
        <x:v>Public custody A</x:v>
      </x:c>
      <x:c r="L685" s="9" t="n">
        <x:v>0</x:v>
      </x:c>
      <x:c r="M685" s="9" t="n">
        <x:v>0</x:v>
      </x:c>
      <x:c r="N685" s="9" t="n">
        <x:v>0</x:v>
      </x:c>
      <x:c r="O685" s="9" t="n">
        <x:v>0</x:v>
      </x:c>
      <x:c r="P685" s="9" t="str">
        <x:v>UNSEALED / SOURCE-EMPTY</x:v>
      </x:c>
      <x:c r="Q685" s="9" t="n">
        <x:f>COUNTIFS($A$7:$A$1158,A685)</x:f>
        <x:v>1</x:v>
      </x:c>
    </x:row>
    <x:row r="686">
      <x:c r="A686" s="9" t="str">
        <x:v>EV-AR-ET-A-A-TECH-3-B2-INT-G0-RW08</x:v>
      </x:c>
      <x:c r="B686" s="9" t="str">
        <x:v>EV-AR-ET-A-A-TECH-3-B2-INT-G0</x:v>
      </x:c>
      <x:c r="C686" s="9" t="str">
        <x:v>AR-ET-A-A-TECH-3-B2-INT-G0</x:v>
      </x:c>
      <x:c r="D686" s="9" t="str">
        <x:v>ET-A-A-TECH-3</x:v>
      </x:c>
      <x:c r="E686" s="9" t="str">
        <x:v>ET-A-A</x:v>
      </x:c>
      <x:c r="F686" s="9" t="str">
        <x:v>B2</x:v>
      </x:c>
      <x:c r="G686" s="9" t="str">
        <x:v>INT</x:v>
      </x:c>
      <x:c r="H686" s="9" t="str">
        <x:v>RW08</x:v>
      </x:c>
      <x:c r="I686" s="17" t="str">
        <x:v>Residual and physical evidence</x:v>
      </x:c>
      <x:c r="J686" s="17" t="str">
        <x:v>Residual authority</x:v>
      </x:c>
      <x:c r="K686" s="17" t="str">
        <x:v>Public custody B</x:v>
      </x:c>
      <x:c r="L686" s="9" t="n">
        <x:v>0</x:v>
      </x:c>
      <x:c r="M686" s="9" t="n">
        <x:v>0</x:v>
      </x:c>
      <x:c r="N686" s="9" t="n">
        <x:v>0</x:v>
      </x:c>
      <x:c r="O686" s="9" t="n">
        <x:v>0</x:v>
      </x:c>
      <x:c r="P686" s="9" t="str">
        <x:v>UNSEALED / SOURCE-EMPTY</x:v>
      </x:c>
      <x:c r="Q686" s="9" t="n">
        <x:f>COUNTIFS($A$7:$A$1158,A686)</x:f>
        <x:v>1</x:v>
      </x:c>
    </x:row>
    <x:row r="687">
      <x:c r="A687" s="9" t="str">
        <x:v>EV-AR-HC-A-C-TECH-4-B1-RCN-G0-RW01</x:v>
      </x:c>
      <x:c r="B687" s="9" t="str">
        <x:v>EV-AR-HC-A-C-TECH-4-B1-RCN-G0</x:v>
      </x:c>
      <x:c r="C687" s="9" t="str">
        <x:v>AR-HC-A-C-TECH-4-B1-RCN-G0</x:v>
      </x:c>
      <x:c r="D687" s="9" t="str">
        <x:v>HC-A-C-TECH-4</x:v>
      </x:c>
      <x:c r="E687" s="9" t="str">
        <x:v>HC-A-C</x:v>
      </x:c>
      <x:c r="F687" s="9" t="str">
        <x:v>B1</x:v>
      </x:c>
      <x:c r="G687" s="9" t="str">
        <x:v>RCN</x:v>
      </x:c>
      <x:c r="H687" s="9" t="str">
        <x:v>RW01</x:v>
      </x:c>
      <x:c r="I687" s="17" t="str">
        <x:v>Primary raw stream</x:v>
      </x:c>
      <x:c r="J687" s="17" t="str">
        <x:v>Primary metrology</x:v>
      </x:c>
      <x:c r="K687" s="17" t="str">
        <x:v>Public custody A</x:v>
      </x:c>
      <x:c r="L687" s="9" t="n">
        <x:v>0</x:v>
      </x:c>
      <x:c r="M687" s="9" t="n">
        <x:v>0</x:v>
      </x:c>
      <x:c r="N687" s="9" t="n">
        <x:v>0</x:v>
      </x:c>
      <x:c r="O687" s="9" t="n">
        <x:v>0</x:v>
      </x:c>
      <x:c r="P687" s="9" t="str">
        <x:v>UNSEALED / SOURCE-EMPTY</x:v>
      </x:c>
      <x:c r="Q687" s="9" t="n">
        <x:f>COUNTIFS($A$7:$A$1158,A687)</x:f>
        <x:v>1</x:v>
      </x:c>
    </x:row>
    <x:row r="688">
      <x:c r="A688" s="9" t="str">
        <x:v>EV-AR-HC-A-C-TECH-4-B1-RCN-G0-RW02</x:v>
      </x:c>
      <x:c r="B688" s="9" t="str">
        <x:v>EV-AR-HC-A-C-TECH-4-B1-RCN-G0</x:v>
      </x:c>
      <x:c r="C688" s="9" t="str">
        <x:v>AR-HC-A-C-TECH-4-B1-RCN-G0</x:v>
      </x:c>
      <x:c r="D688" s="9" t="str">
        <x:v>HC-A-C-TECH-4</x:v>
      </x:c>
      <x:c r="E688" s="9" t="str">
        <x:v>HC-A-C</x:v>
      </x:c>
      <x:c r="F688" s="9" t="str">
        <x:v>B1</x:v>
      </x:c>
      <x:c r="G688" s="9" t="str">
        <x:v>RCN</x:v>
      </x:c>
      <x:c r="H688" s="9" t="str">
        <x:v>RW02</x:v>
      </x:c>
      <x:c r="I688" s="17" t="str">
        <x:v>Unlike witness stream</x:v>
      </x:c>
      <x:c r="J688" s="17" t="str">
        <x:v>Witness metrology</x:v>
      </x:c>
      <x:c r="K688" s="17" t="str">
        <x:v>Public custody B</x:v>
      </x:c>
      <x:c r="L688" s="9" t="n">
        <x:v>0</x:v>
      </x:c>
      <x:c r="M688" s="9" t="n">
        <x:v>0</x:v>
      </x:c>
      <x:c r="N688" s="9" t="n">
        <x:v>0</x:v>
      </x:c>
      <x:c r="O688" s="9" t="n">
        <x:v>0</x:v>
      </x:c>
      <x:c r="P688" s="9" t="str">
        <x:v>UNSEALED / SOURCE-EMPTY</x:v>
      </x:c>
      <x:c r="Q688" s="9" t="n">
        <x:f>COUNTIFS($A$7:$A$1158,A688)</x:f>
        <x:v>1</x:v>
      </x:c>
    </x:row>
    <x:row r="689">
      <x:c r="A689" s="9" t="str">
        <x:v>EV-AR-HC-A-C-TECH-4-B1-RCN-G0-RW03</x:v>
      </x:c>
      <x:c r="B689" s="9" t="str">
        <x:v>EV-AR-HC-A-C-TECH-4-B1-RCN-G0</x:v>
      </x:c>
      <x:c r="C689" s="9" t="str">
        <x:v>AR-HC-A-C-TECH-4-B1-RCN-G0</x:v>
      </x:c>
      <x:c r="D689" s="9" t="str">
        <x:v>HC-A-C-TECH-4</x:v>
      </x:c>
      <x:c r="E689" s="9" t="str">
        <x:v>HC-A-C</x:v>
      </x:c>
      <x:c r="F689" s="9" t="str">
        <x:v>B1</x:v>
      </x:c>
      <x:c r="G689" s="9" t="str">
        <x:v>RCN</x:v>
      </x:c>
      <x:c r="H689" s="9" t="str">
        <x:v>RW03</x:v>
      </x:c>
      <x:c r="I689" s="17" t="str">
        <x:v>Event clock and start traces</x:v>
      </x:c>
      <x:c r="J689" s="17" t="str">
        <x:v>Event clock authority</x:v>
      </x:c>
      <x:c r="K689" s="17" t="str">
        <x:v>Public custody C</x:v>
      </x:c>
      <x:c r="L689" s="9" t="n">
        <x:v>0</x:v>
      </x:c>
      <x:c r="M689" s="9" t="n">
        <x:v>0</x:v>
      </x:c>
      <x:c r="N689" s="9" t="n">
        <x:v>0</x:v>
      </x:c>
      <x:c r="O689" s="9" t="n">
        <x:v>0</x:v>
      </x:c>
      <x:c r="P689" s="9" t="str">
        <x:v>UNSEALED / SOURCE-EMPTY</x:v>
      </x:c>
      <x:c r="Q689" s="9" t="n">
        <x:f>COUNTIFS($A$7:$A$1158,A689)</x:f>
        <x:v>1</x:v>
      </x:c>
    </x:row>
    <x:row r="690">
      <x:c r="A690" s="9" t="str">
        <x:v>EV-AR-HC-A-C-TECH-4-B1-RCN-G0-RW04</x:v>
      </x:c>
      <x:c r="B690" s="9" t="str">
        <x:v>EV-AR-HC-A-C-TECH-4-B1-RCN-G0</x:v>
      </x:c>
      <x:c r="C690" s="9" t="str">
        <x:v>AR-HC-A-C-TECH-4-B1-RCN-G0</x:v>
      </x:c>
      <x:c r="D690" s="9" t="str">
        <x:v>HC-A-C-TECH-4</x:v>
      </x:c>
      <x:c r="E690" s="9" t="str">
        <x:v>HC-A-C</x:v>
      </x:c>
      <x:c r="F690" s="9" t="str">
        <x:v>B1</x:v>
      </x:c>
      <x:c r="G690" s="9" t="str">
        <x:v>RCN</x:v>
      </x:c>
      <x:c r="H690" s="9" t="str">
        <x:v>RW04</x:v>
      </x:c>
      <x:c r="I690" s="17" t="str">
        <x:v>Environmental boundary stream</x:v>
      </x:c>
      <x:c r="J690" s="17" t="str">
        <x:v>Site metrology</x:v>
      </x:c>
      <x:c r="K690" s="17" t="str">
        <x:v>Public custody D</x:v>
      </x:c>
      <x:c r="L690" s="9" t="n">
        <x:v>0</x:v>
      </x:c>
      <x:c r="M690" s="9" t="n">
        <x:v>0</x:v>
      </x:c>
      <x:c r="N690" s="9" t="n">
        <x:v>0</x:v>
      </x:c>
      <x:c r="O690" s="9" t="n">
        <x:v>0</x:v>
      </x:c>
      <x:c r="P690" s="9" t="str">
        <x:v>UNSEALED / SOURCE-EMPTY</x:v>
      </x:c>
      <x:c r="Q690" s="9" t="n">
        <x:f>COUNTIFS($A$7:$A$1158,A690)</x:f>
        <x:v>1</x:v>
      </x:c>
    </x:row>
    <x:row r="691">
      <x:c r="A691" s="9" t="str">
        <x:v>EV-AR-HC-A-C-TECH-4-B1-RCN-G0-RW05</x:v>
      </x:c>
      <x:c r="B691" s="9" t="str">
        <x:v>EV-AR-HC-A-C-TECH-4-B1-RCN-G0</x:v>
      </x:c>
      <x:c r="C691" s="9" t="str">
        <x:v>AR-HC-A-C-TECH-4-B1-RCN-G0</x:v>
      </x:c>
      <x:c r="D691" s="9" t="str">
        <x:v>HC-A-C-TECH-4</x:v>
      </x:c>
      <x:c r="E691" s="9" t="str">
        <x:v>HC-A-C</x:v>
      </x:c>
      <x:c r="F691" s="9" t="str">
        <x:v>B1</x:v>
      </x:c>
      <x:c r="G691" s="9" t="str">
        <x:v>RCN</x:v>
      </x:c>
      <x:c r="H691" s="9" t="str">
        <x:v>RW05</x:v>
      </x:c>
      <x:c r="I691" s="17" t="str">
        <x:v>Command and intervention log</x:v>
      </x:c>
      <x:c r="J691" s="17" t="str">
        <x:v>Safety authority</x:v>
      </x:c>
      <x:c r="K691" s="17" t="str">
        <x:v>Public custody E</x:v>
      </x:c>
      <x:c r="L691" s="9" t="n">
        <x:v>0</x:v>
      </x:c>
      <x:c r="M691" s="9" t="n">
        <x:v>0</x:v>
      </x:c>
      <x:c r="N691" s="9" t="n">
        <x:v>0</x:v>
      </x:c>
      <x:c r="O691" s="9" t="n">
        <x:v>0</x:v>
      </x:c>
      <x:c r="P691" s="9" t="str">
        <x:v>UNSEALED / SOURCE-EMPTY</x:v>
      </x:c>
      <x:c r="Q691" s="9" t="n">
        <x:f>COUNTIFS($A$7:$A$1158,A691)</x:f>
        <x:v>1</x:v>
      </x:c>
    </x:row>
    <x:row r="692">
      <x:c r="A692" s="9" t="str">
        <x:v>EV-AR-HC-A-C-TECH-4-B1-RCN-G0-RW06</x:v>
      </x:c>
      <x:c r="B692" s="9" t="str">
        <x:v>EV-AR-HC-A-C-TECH-4-B1-RCN-G0</x:v>
      </x:c>
      <x:c r="C692" s="9" t="str">
        <x:v>AR-HC-A-C-TECH-4-B1-RCN-G0</x:v>
      </x:c>
      <x:c r="D692" s="9" t="str">
        <x:v>HC-A-C-TECH-4</x:v>
      </x:c>
      <x:c r="E692" s="9" t="str">
        <x:v>HC-A-C</x:v>
      </x:c>
      <x:c r="F692" s="9" t="str">
        <x:v>B1</x:v>
      </x:c>
      <x:c r="G692" s="9" t="str">
        <x:v>RCN</x:v>
      </x:c>
      <x:c r="H692" s="9" t="str">
        <x:v>RW06</x:v>
      </x:c>
      <x:c r="I692" s="17" t="str">
        <x:v>Receiver service ledger</x:v>
      </x:c>
      <x:c r="J692" s="17" t="str">
        <x:v>Receiver authority</x:v>
      </x:c>
      <x:c r="K692" s="17" t="str">
        <x:v>Public custody F</x:v>
      </x:c>
      <x:c r="L692" s="9" t="n">
        <x:v>0</x:v>
      </x:c>
      <x:c r="M692" s="9" t="n">
        <x:v>0</x:v>
      </x:c>
      <x:c r="N692" s="9" t="n">
        <x:v>0</x:v>
      </x:c>
      <x:c r="O692" s="9" t="n">
        <x:v>0</x:v>
      </x:c>
      <x:c r="P692" s="9" t="str">
        <x:v>UNSEALED / SOURCE-EMPTY</x:v>
      </x:c>
      <x:c r="Q692" s="9" t="n">
        <x:f>COUNTIFS($A$7:$A$1158,A692)</x:f>
        <x:v>1</x:v>
      </x:c>
    </x:row>
    <x:row r="693">
      <x:c r="A693" s="9" t="str">
        <x:v>EV-AR-HC-A-C-TECH-4-B1-RCN-G0-RW07</x:v>
      </x:c>
      <x:c r="B693" s="9" t="str">
        <x:v>EV-AR-HC-A-C-TECH-4-B1-RCN-G0</x:v>
      </x:c>
      <x:c r="C693" s="9" t="str">
        <x:v>AR-HC-A-C-TECH-4-B1-RCN-G0</x:v>
      </x:c>
      <x:c r="D693" s="9" t="str">
        <x:v>HC-A-C-TECH-4</x:v>
      </x:c>
      <x:c r="E693" s="9" t="str">
        <x:v>HC-A-C</x:v>
      </x:c>
      <x:c r="F693" s="9" t="str">
        <x:v>B1</x:v>
      </x:c>
      <x:c r="G693" s="9" t="str">
        <x:v>RCN</x:v>
      </x:c>
      <x:c r="H693" s="9" t="str">
        <x:v>RW07</x:v>
      </x:c>
      <x:c r="I693" s="17" t="str">
        <x:v>Candidate interface telemetry</x:v>
      </x:c>
      <x:c r="J693" s="17" t="str">
        <x:v>Interface custodian</x:v>
      </x:c>
      <x:c r="K693" s="17" t="str">
        <x:v>Public custody A</x:v>
      </x:c>
      <x:c r="L693" s="9" t="n">
        <x:v>0</x:v>
      </x:c>
      <x:c r="M693" s="9" t="n">
        <x:v>0</x:v>
      </x:c>
      <x:c r="N693" s="9" t="n">
        <x:v>0</x:v>
      </x:c>
      <x:c r="O693" s="9" t="n">
        <x:v>0</x:v>
      </x:c>
      <x:c r="P693" s="9" t="str">
        <x:v>UNSEALED / SOURCE-EMPTY</x:v>
      </x:c>
      <x:c r="Q693" s="9" t="n">
        <x:f>COUNTIFS($A$7:$A$1158,A693)</x:f>
        <x:v>1</x:v>
      </x:c>
    </x:row>
    <x:row r="694">
      <x:c r="A694" s="9" t="str">
        <x:v>EV-AR-HC-A-C-TECH-4-B1-RCN-G0-RW08</x:v>
      </x:c>
      <x:c r="B694" s="9" t="str">
        <x:v>EV-AR-HC-A-C-TECH-4-B1-RCN-G0</x:v>
      </x:c>
      <x:c r="C694" s="9" t="str">
        <x:v>AR-HC-A-C-TECH-4-B1-RCN-G0</x:v>
      </x:c>
      <x:c r="D694" s="9" t="str">
        <x:v>HC-A-C-TECH-4</x:v>
      </x:c>
      <x:c r="E694" s="9" t="str">
        <x:v>HC-A-C</x:v>
      </x:c>
      <x:c r="F694" s="9" t="str">
        <x:v>B1</x:v>
      </x:c>
      <x:c r="G694" s="9" t="str">
        <x:v>RCN</x:v>
      </x:c>
      <x:c r="H694" s="9" t="str">
        <x:v>RW08</x:v>
      </x:c>
      <x:c r="I694" s="17" t="str">
        <x:v>Residual and physical evidence</x:v>
      </x:c>
      <x:c r="J694" s="17" t="str">
        <x:v>Residual authority</x:v>
      </x:c>
      <x:c r="K694" s="17" t="str">
        <x:v>Public custody B</x:v>
      </x:c>
      <x:c r="L694" s="9" t="n">
        <x:v>0</x:v>
      </x:c>
      <x:c r="M694" s="9" t="n">
        <x:v>0</x:v>
      </x:c>
      <x:c r="N694" s="9" t="n">
        <x:v>0</x:v>
      </x:c>
      <x:c r="O694" s="9" t="n">
        <x:v>0</x:v>
      </x:c>
      <x:c r="P694" s="9" t="str">
        <x:v>UNSEALED / SOURCE-EMPTY</x:v>
      </x:c>
      <x:c r="Q694" s="9" t="n">
        <x:f>COUNTIFS($A$7:$A$1158,A694)</x:f>
        <x:v>1</x:v>
      </x:c>
    </x:row>
    <x:row r="695">
      <x:c r="A695" s="9" t="str">
        <x:v>EV-AR-HC-A-C-TECH-2-B1-INT-G0-RW01</x:v>
      </x:c>
      <x:c r="B695" s="9" t="str">
        <x:v>EV-AR-HC-A-C-TECH-2-B1-INT-G0</x:v>
      </x:c>
      <x:c r="C695" s="9" t="str">
        <x:v>AR-HC-A-C-TECH-2-B1-INT-G0</x:v>
      </x:c>
      <x:c r="D695" s="9" t="str">
        <x:v>HC-A-C-TECH-2</x:v>
      </x:c>
      <x:c r="E695" s="9" t="str">
        <x:v>HC-A-C</x:v>
      </x:c>
      <x:c r="F695" s="9" t="str">
        <x:v>B1</x:v>
      </x:c>
      <x:c r="G695" s="9" t="str">
        <x:v>INT</x:v>
      </x:c>
      <x:c r="H695" s="9" t="str">
        <x:v>RW01</x:v>
      </x:c>
      <x:c r="I695" s="17" t="str">
        <x:v>Primary raw stream</x:v>
      </x:c>
      <x:c r="J695" s="17" t="str">
        <x:v>Primary metrology</x:v>
      </x:c>
      <x:c r="K695" s="17" t="str">
        <x:v>Public custody A</x:v>
      </x:c>
      <x:c r="L695" s="9" t="n">
        <x:v>0</x:v>
      </x:c>
      <x:c r="M695" s="9" t="n">
        <x:v>0</x:v>
      </x:c>
      <x:c r="N695" s="9" t="n">
        <x:v>0</x:v>
      </x:c>
      <x:c r="O695" s="9" t="n">
        <x:v>0</x:v>
      </x:c>
      <x:c r="P695" s="9" t="str">
        <x:v>UNSEALED / SOURCE-EMPTY</x:v>
      </x:c>
      <x:c r="Q695" s="9" t="n">
        <x:f>COUNTIFS($A$7:$A$1158,A695)</x:f>
        <x:v>1</x:v>
      </x:c>
    </x:row>
    <x:row r="696">
      <x:c r="A696" s="9" t="str">
        <x:v>EV-AR-HC-A-C-TECH-2-B1-INT-G0-RW02</x:v>
      </x:c>
      <x:c r="B696" s="9" t="str">
        <x:v>EV-AR-HC-A-C-TECH-2-B1-INT-G0</x:v>
      </x:c>
      <x:c r="C696" s="9" t="str">
        <x:v>AR-HC-A-C-TECH-2-B1-INT-G0</x:v>
      </x:c>
      <x:c r="D696" s="9" t="str">
        <x:v>HC-A-C-TECH-2</x:v>
      </x:c>
      <x:c r="E696" s="9" t="str">
        <x:v>HC-A-C</x:v>
      </x:c>
      <x:c r="F696" s="9" t="str">
        <x:v>B1</x:v>
      </x:c>
      <x:c r="G696" s="9" t="str">
        <x:v>INT</x:v>
      </x:c>
      <x:c r="H696" s="9" t="str">
        <x:v>RW02</x:v>
      </x:c>
      <x:c r="I696" s="17" t="str">
        <x:v>Unlike witness stream</x:v>
      </x:c>
      <x:c r="J696" s="17" t="str">
        <x:v>Witness metrology</x:v>
      </x:c>
      <x:c r="K696" s="17" t="str">
        <x:v>Public custody B</x:v>
      </x:c>
      <x:c r="L696" s="9" t="n">
        <x:v>0</x:v>
      </x:c>
      <x:c r="M696" s="9" t="n">
        <x:v>0</x:v>
      </x:c>
      <x:c r="N696" s="9" t="n">
        <x:v>0</x:v>
      </x:c>
      <x:c r="O696" s="9" t="n">
        <x:v>0</x:v>
      </x:c>
      <x:c r="P696" s="9" t="str">
        <x:v>UNSEALED / SOURCE-EMPTY</x:v>
      </x:c>
      <x:c r="Q696" s="9" t="n">
        <x:f>COUNTIFS($A$7:$A$1158,A696)</x:f>
        <x:v>1</x:v>
      </x:c>
    </x:row>
    <x:row r="697">
      <x:c r="A697" s="9" t="str">
        <x:v>EV-AR-HC-A-C-TECH-2-B1-INT-G0-RW03</x:v>
      </x:c>
      <x:c r="B697" s="9" t="str">
        <x:v>EV-AR-HC-A-C-TECH-2-B1-INT-G0</x:v>
      </x:c>
      <x:c r="C697" s="9" t="str">
        <x:v>AR-HC-A-C-TECH-2-B1-INT-G0</x:v>
      </x:c>
      <x:c r="D697" s="9" t="str">
        <x:v>HC-A-C-TECH-2</x:v>
      </x:c>
      <x:c r="E697" s="9" t="str">
        <x:v>HC-A-C</x:v>
      </x:c>
      <x:c r="F697" s="9" t="str">
        <x:v>B1</x:v>
      </x:c>
      <x:c r="G697" s="9" t="str">
        <x:v>INT</x:v>
      </x:c>
      <x:c r="H697" s="9" t="str">
        <x:v>RW03</x:v>
      </x:c>
      <x:c r="I697" s="17" t="str">
        <x:v>Event clock and start traces</x:v>
      </x:c>
      <x:c r="J697" s="17" t="str">
        <x:v>Event clock authority</x:v>
      </x:c>
      <x:c r="K697" s="17" t="str">
        <x:v>Public custody C</x:v>
      </x:c>
      <x:c r="L697" s="9" t="n">
        <x:v>0</x:v>
      </x:c>
      <x:c r="M697" s="9" t="n">
        <x:v>0</x:v>
      </x:c>
      <x:c r="N697" s="9" t="n">
        <x:v>0</x:v>
      </x:c>
      <x:c r="O697" s="9" t="n">
        <x:v>0</x:v>
      </x:c>
      <x:c r="P697" s="9" t="str">
        <x:v>UNSEALED / SOURCE-EMPTY</x:v>
      </x:c>
      <x:c r="Q697" s="9" t="n">
        <x:f>COUNTIFS($A$7:$A$1158,A697)</x:f>
        <x:v>1</x:v>
      </x:c>
    </x:row>
    <x:row r="698">
      <x:c r="A698" s="9" t="str">
        <x:v>EV-AR-HC-A-C-TECH-2-B1-INT-G0-RW04</x:v>
      </x:c>
      <x:c r="B698" s="9" t="str">
        <x:v>EV-AR-HC-A-C-TECH-2-B1-INT-G0</x:v>
      </x:c>
      <x:c r="C698" s="9" t="str">
        <x:v>AR-HC-A-C-TECH-2-B1-INT-G0</x:v>
      </x:c>
      <x:c r="D698" s="9" t="str">
        <x:v>HC-A-C-TECH-2</x:v>
      </x:c>
      <x:c r="E698" s="9" t="str">
        <x:v>HC-A-C</x:v>
      </x:c>
      <x:c r="F698" s="9" t="str">
        <x:v>B1</x:v>
      </x:c>
      <x:c r="G698" s="9" t="str">
        <x:v>INT</x:v>
      </x:c>
      <x:c r="H698" s="9" t="str">
        <x:v>RW04</x:v>
      </x:c>
      <x:c r="I698" s="17" t="str">
        <x:v>Environmental boundary stream</x:v>
      </x:c>
      <x:c r="J698" s="17" t="str">
        <x:v>Site metrology</x:v>
      </x:c>
      <x:c r="K698" s="17" t="str">
        <x:v>Public custody D</x:v>
      </x:c>
      <x:c r="L698" s="9" t="n">
        <x:v>0</x:v>
      </x:c>
      <x:c r="M698" s="9" t="n">
        <x:v>0</x:v>
      </x:c>
      <x:c r="N698" s="9" t="n">
        <x:v>0</x:v>
      </x:c>
      <x:c r="O698" s="9" t="n">
        <x:v>0</x:v>
      </x:c>
      <x:c r="P698" s="9" t="str">
        <x:v>UNSEALED / SOURCE-EMPTY</x:v>
      </x:c>
      <x:c r="Q698" s="9" t="n">
        <x:f>COUNTIFS($A$7:$A$1158,A698)</x:f>
        <x:v>1</x:v>
      </x:c>
    </x:row>
    <x:row r="699">
      <x:c r="A699" s="9" t="str">
        <x:v>EV-AR-HC-A-C-TECH-2-B1-INT-G0-RW05</x:v>
      </x:c>
      <x:c r="B699" s="9" t="str">
        <x:v>EV-AR-HC-A-C-TECH-2-B1-INT-G0</x:v>
      </x:c>
      <x:c r="C699" s="9" t="str">
        <x:v>AR-HC-A-C-TECH-2-B1-INT-G0</x:v>
      </x:c>
      <x:c r="D699" s="9" t="str">
        <x:v>HC-A-C-TECH-2</x:v>
      </x:c>
      <x:c r="E699" s="9" t="str">
        <x:v>HC-A-C</x:v>
      </x:c>
      <x:c r="F699" s="9" t="str">
        <x:v>B1</x:v>
      </x:c>
      <x:c r="G699" s="9" t="str">
        <x:v>INT</x:v>
      </x:c>
      <x:c r="H699" s="9" t="str">
        <x:v>RW05</x:v>
      </x:c>
      <x:c r="I699" s="17" t="str">
        <x:v>Command and intervention log</x:v>
      </x:c>
      <x:c r="J699" s="17" t="str">
        <x:v>Safety authority</x:v>
      </x:c>
      <x:c r="K699" s="17" t="str">
        <x:v>Public custody E</x:v>
      </x:c>
      <x:c r="L699" s="9" t="n">
        <x:v>0</x:v>
      </x:c>
      <x:c r="M699" s="9" t="n">
        <x:v>0</x:v>
      </x:c>
      <x:c r="N699" s="9" t="n">
        <x:v>0</x:v>
      </x:c>
      <x:c r="O699" s="9" t="n">
        <x:v>0</x:v>
      </x:c>
      <x:c r="P699" s="9" t="str">
        <x:v>UNSEALED / SOURCE-EMPTY</x:v>
      </x:c>
      <x:c r="Q699" s="9" t="n">
        <x:f>COUNTIFS($A$7:$A$1158,A699)</x:f>
        <x:v>1</x:v>
      </x:c>
    </x:row>
    <x:row r="700">
      <x:c r="A700" s="9" t="str">
        <x:v>EV-AR-HC-A-C-TECH-2-B1-INT-G0-RW06</x:v>
      </x:c>
      <x:c r="B700" s="9" t="str">
        <x:v>EV-AR-HC-A-C-TECH-2-B1-INT-G0</x:v>
      </x:c>
      <x:c r="C700" s="9" t="str">
        <x:v>AR-HC-A-C-TECH-2-B1-INT-G0</x:v>
      </x:c>
      <x:c r="D700" s="9" t="str">
        <x:v>HC-A-C-TECH-2</x:v>
      </x:c>
      <x:c r="E700" s="9" t="str">
        <x:v>HC-A-C</x:v>
      </x:c>
      <x:c r="F700" s="9" t="str">
        <x:v>B1</x:v>
      </x:c>
      <x:c r="G700" s="9" t="str">
        <x:v>INT</x:v>
      </x:c>
      <x:c r="H700" s="9" t="str">
        <x:v>RW06</x:v>
      </x:c>
      <x:c r="I700" s="17" t="str">
        <x:v>Receiver service ledger</x:v>
      </x:c>
      <x:c r="J700" s="17" t="str">
        <x:v>Receiver authority</x:v>
      </x:c>
      <x:c r="K700" s="17" t="str">
        <x:v>Public custody F</x:v>
      </x:c>
      <x:c r="L700" s="9" t="n">
        <x:v>0</x:v>
      </x:c>
      <x:c r="M700" s="9" t="n">
        <x:v>0</x:v>
      </x:c>
      <x:c r="N700" s="9" t="n">
        <x:v>0</x:v>
      </x:c>
      <x:c r="O700" s="9" t="n">
        <x:v>0</x:v>
      </x:c>
      <x:c r="P700" s="9" t="str">
        <x:v>UNSEALED / SOURCE-EMPTY</x:v>
      </x:c>
      <x:c r="Q700" s="9" t="n">
        <x:f>COUNTIFS($A$7:$A$1158,A700)</x:f>
        <x:v>1</x:v>
      </x:c>
    </x:row>
    <x:row r="701">
      <x:c r="A701" s="9" t="str">
        <x:v>EV-AR-HC-A-C-TECH-2-B1-INT-G0-RW07</x:v>
      </x:c>
      <x:c r="B701" s="9" t="str">
        <x:v>EV-AR-HC-A-C-TECH-2-B1-INT-G0</x:v>
      </x:c>
      <x:c r="C701" s="9" t="str">
        <x:v>AR-HC-A-C-TECH-2-B1-INT-G0</x:v>
      </x:c>
      <x:c r="D701" s="9" t="str">
        <x:v>HC-A-C-TECH-2</x:v>
      </x:c>
      <x:c r="E701" s="9" t="str">
        <x:v>HC-A-C</x:v>
      </x:c>
      <x:c r="F701" s="9" t="str">
        <x:v>B1</x:v>
      </x:c>
      <x:c r="G701" s="9" t="str">
        <x:v>INT</x:v>
      </x:c>
      <x:c r="H701" s="9" t="str">
        <x:v>RW07</x:v>
      </x:c>
      <x:c r="I701" s="17" t="str">
        <x:v>Candidate interface telemetry</x:v>
      </x:c>
      <x:c r="J701" s="17" t="str">
        <x:v>Interface custodian</x:v>
      </x:c>
      <x:c r="K701" s="17" t="str">
        <x:v>Public custody A</x:v>
      </x:c>
      <x:c r="L701" s="9" t="n">
        <x:v>0</x:v>
      </x:c>
      <x:c r="M701" s="9" t="n">
        <x:v>0</x:v>
      </x:c>
      <x:c r="N701" s="9" t="n">
        <x:v>0</x:v>
      </x:c>
      <x:c r="O701" s="9" t="n">
        <x:v>0</x:v>
      </x:c>
      <x:c r="P701" s="9" t="str">
        <x:v>UNSEALED / SOURCE-EMPTY</x:v>
      </x:c>
      <x:c r="Q701" s="9" t="n">
        <x:f>COUNTIFS($A$7:$A$1158,A701)</x:f>
        <x:v>1</x:v>
      </x:c>
    </x:row>
    <x:row r="702">
      <x:c r="A702" s="9" t="str">
        <x:v>EV-AR-HC-A-C-TECH-2-B1-INT-G0-RW08</x:v>
      </x:c>
      <x:c r="B702" s="9" t="str">
        <x:v>EV-AR-HC-A-C-TECH-2-B1-INT-G0</x:v>
      </x:c>
      <x:c r="C702" s="9" t="str">
        <x:v>AR-HC-A-C-TECH-2-B1-INT-G0</x:v>
      </x:c>
      <x:c r="D702" s="9" t="str">
        <x:v>HC-A-C-TECH-2</x:v>
      </x:c>
      <x:c r="E702" s="9" t="str">
        <x:v>HC-A-C</x:v>
      </x:c>
      <x:c r="F702" s="9" t="str">
        <x:v>B1</x:v>
      </x:c>
      <x:c r="G702" s="9" t="str">
        <x:v>INT</x:v>
      </x:c>
      <x:c r="H702" s="9" t="str">
        <x:v>RW08</x:v>
      </x:c>
      <x:c r="I702" s="17" t="str">
        <x:v>Residual and physical evidence</x:v>
      </x:c>
      <x:c r="J702" s="17" t="str">
        <x:v>Residual authority</x:v>
      </x:c>
      <x:c r="K702" s="17" t="str">
        <x:v>Public custody B</x:v>
      </x:c>
      <x:c r="L702" s="9" t="n">
        <x:v>0</x:v>
      </x:c>
      <x:c r="M702" s="9" t="n">
        <x:v>0</x:v>
      </x:c>
      <x:c r="N702" s="9" t="n">
        <x:v>0</x:v>
      </x:c>
      <x:c r="O702" s="9" t="n">
        <x:v>0</x:v>
      </x:c>
      <x:c r="P702" s="9" t="str">
        <x:v>UNSEALED / SOURCE-EMPTY</x:v>
      </x:c>
      <x:c r="Q702" s="9" t="n">
        <x:f>COUNTIFS($A$7:$A$1158,A702)</x:f>
        <x:v>1</x:v>
      </x:c>
    </x:row>
    <x:row r="703">
      <x:c r="A703" s="9" t="str">
        <x:v>EV-AR-LF-B-A-TECH-4-B2-BRK-G0-RW01</x:v>
      </x:c>
      <x:c r="B703" s="9" t="str">
        <x:v>EV-AR-LF-B-A-TECH-4-B2-BRK-G0</x:v>
      </x:c>
      <x:c r="C703" s="9" t="str">
        <x:v>AR-LF-B-A-TECH-4-B2-BRK-G0</x:v>
      </x:c>
      <x:c r="D703" s="9" t="str">
        <x:v>LF-B-A-TECH-4</x:v>
      </x:c>
      <x:c r="E703" s="9" t="str">
        <x:v>LF-B-A</x:v>
      </x:c>
      <x:c r="F703" s="9" t="str">
        <x:v>B2</x:v>
      </x:c>
      <x:c r="G703" s="9" t="str">
        <x:v>BRK</x:v>
      </x:c>
      <x:c r="H703" s="9" t="str">
        <x:v>RW01</x:v>
      </x:c>
      <x:c r="I703" s="17" t="str">
        <x:v>Primary raw stream</x:v>
      </x:c>
      <x:c r="J703" s="17" t="str">
        <x:v>Primary metrology</x:v>
      </x:c>
      <x:c r="K703" s="17" t="str">
        <x:v>Public custody A</x:v>
      </x:c>
      <x:c r="L703" s="9" t="n">
        <x:v>0</x:v>
      </x:c>
      <x:c r="M703" s="9" t="n">
        <x:v>0</x:v>
      </x:c>
      <x:c r="N703" s="9" t="n">
        <x:v>0</x:v>
      </x:c>
      <x:c r="O703" s="9" t="n">
        <x:v>0</x:v>
      </x:c>
      <x:c r="P703" s="9" t="str">
        <x:v>UNSEALED / SOURCE-EMPTY</x:v>
      </x:c>
      <x:c r="Q703" s="9" t="n">
        <x:f>COUNTIFS($A$7:$A$1158,A703)</x:f>
        <x:v>1</x:v>
      </x:c>
    </x:row>
    <x:row r="704">
      <x:c r="A704" s="9" t="str">
        <x:v>EV-AR-LF-B-A-TECH-4-B2-BRK-G0-RW02</x:v>
      </x:c>
      <x:c r="B704" s="9" t="str">
        <x:v>EV-AR-LF-B-A-TECH-4-B2-BRK-G0</x:v>
      </x:c>
      <x:c r="C704" s="9" t="str">
        <x:v>AR-LF-B-A-TECH-4-B2-BRK-G0</x:v>
      </x:c>
      <x:c r="D704" s="9" t="str">
        <x:v>LF-B-A-TECH-4</x:v>
      </x:c>
      <x:c r="E704" s="9" t="str">
        <x:v>LF-B-A</x:v>
      </x:c>
      <x:c r="F704" s="9" t="str">
        <x:v>B2</x:v>
      </x:c>
      <x:c r="G704" s="9" t="str">
        <x:v>BRK</x:v>
      </x:c>
      <x:c r="H704" s="9" t="str">
        <x:v>RW02</x:v>
      </x:c>
      <x:c r="I704" s="17" t="str">
        <x:v>Unlike witness stream</x:v>
      </x:c>
      <x:c r="J704" s="17" t="str">
        <x:v>Witness metrology</x:v>
      </x:c>
      <x:c r="K704" s="17" t="str">
        <x:v>Public custody B</x:v>
      </x:c>
      <x:c r="L704" s="9" t="n">
        <x:v>0</x:v>
      </x:c>
      <x:c r="M704" s="9" t="n">
        <x:v>0</x:v>
      </x:c>
      <x:c r="N704" s="9" t="n">
        <x:v>0</x:v>
      </x:c>
      <x:c r="O704" s="9" t="n">
        <x:v>0</x:v>
      </x:c>
      <x:c r="P704" s="9" t="str">
        <x:v>UNSEALED / SOURCE-EMPTY</x:v>
      </x:c>
      <x:c r="Q704" s="9" t="n">
        <x:f>COUNTIFS($A$7:$A$1158,A704)</x:f>
        <x:v>1</x:v>
      </x:c>
    </x:row>
    <x:row r="705">
      <x:c r="A705" s="9" t="str">
        <x:v>EV-AR-LF-B-A-TECH-4-B2-BRK-G0-RW03</x:v>
      </x:c>
      <x:c r="B705" s="9" t="str">
        <x:v>EV-AR-LF-B-A-TECH-4-B2-BRK-G0</x:v>
      </x:c>
      <x:c r="C705" s="9" t="str">
        <x:v>AR-LF-B-A-TECH-4-B2-BRK-G0</x:v>
      </x:c>
      <x:c r="D705" s="9" t="str">
        <x:v>LF-B-A-TECH-4</x:v>
      </x:c>
      <x:c r="E705" s="9" t="str">
        <x:v>LF-B-A</x:v>
      </x:c>
      <x:c r="F705" s="9" t="str">
        <x:v>B2</x:v>
      </x:c>
      <x:c r="G705" s="9" t="str">
        <x:v>BRK</x:v>
      </x:c>
      <x:c r="H705" s="9" t="str">
        <x:v>RW03</x:v>
      </x:c>
      <x:c r="I705" s="17" t="str">
        <x:v>Event clock and start traces</x:v>
      </x:c>
      <x:c r="J705" s="17" t="str">
        <x:v>Event clock authority</x:v>
      </x:c>
      <x:c r="K705" s="17" t="str">
        <x:v>Public custody C</x:v>
      </x:c>
      <x:c r="L705" s="9" t="n">
        <x:v>0</x:v>
      </x:c>
      <x:c r="M705" s="9" t="n">
        <x:v>0</x:v>
      </x:c>
      <x:c r="N705" s="9" t="n">
        <x:v>0</x:v>
      </x:c>
      <x:c r="O705" s="9" t="n">
        <x:v>0</x:v>
      </x:c>
      <x:c r="P705" s="9" t="str">
        <x:v>UNSEALED / SOURCE-EMPTY</x:v>
      </x:c>
      <x:c r="Q705" s="9" t="n">
        <x:f>COUNTIFS($A$7:$A$1158,A705)</x:f>
        <x:v>1</x:v>
      </x:c>
    </x:row>
    <x:row r="706">
      <x:c r="A706" s="9" t="str">
        <x:v>EV-AR-LF-B-A-TECH-4-B2-BRK-G0-RW04</x:v>
      </x:c>
      <x:c r="B706" s="9" t="str">
        <x:v>EV-AR-LF-B-A-TECH-4-B2-BRK-G0</x:v>
      </x:c>
      <x:c r="C706" s="9" t="str">
        <x:v>AR-LF-B-A-TECH-4-B2-BRK-G0</x:v>
      </x:c>
      <x:c r="D706" s="9" t="str">
        <x:v>LF-B-A-TECH-4</x:v>
      </x:c>
      <x:c r="E706" s="9" t="str">
        <x:v>LF-B-A</x:v>
      </x:c>
      <x:c r="F706" s="9" t="str">
        <x:v>B2</x:v>
      </x:c>
      <x:c r="G706" s="9" t="str">
        <x:v>BRK</x:v>
      </x:c>
      <x:c r="H706" s="9" t="str">
        <x:v>RW04</x:v>
      </x:c>
      <x:c r="I706" s="17" t="str">
        <x:v>Environmental boundary stream</x:v>
      </x:c>
      <x:c r="J706" s="17" t="str">
        <x:v>Site metrology</x:v>
      </x:c>
      <x:c r="K706" s="17" t="str">
        <x:v>Public custody D</x:v>
      </x:c>
      <x:c r="L706" s="9" t="n">
        <x:v>0</x:v>
      </x:c>
      <x:c r="M706" s="9" t="n">
        <x:v>0</x:v>
      </x:c>
      <x:c r="N706" s="9" t="n">
        <x:v>0</x:v>
      </x:c>
      <x:c r="O706" s="9" t="n">
        <x:v>0</x:v>
      </x:c>
      <x:c r="P706" s="9" t="str">
        <x:v>UNSEALED / SOURCE-EMPTY</x:v>
      </x:c>
      <x:c r="Q706" s="9" t="n">
        <x:f>COUNTIFS($A$7:$A$1158,A706)</x:f>
        <x:v>1</x:v>
      </x:c>
    </x:row>
    <x:row r="707">
      <x:c r="A707" s="9" t="str">
        <x:v>EV-AR-LF-B-A-TECH-4-B2-BRK-G0-RW05</x:v>
      </x:c>
      <x:c r="B707" s="9" t="str">
        <x:v>EV-AR-LF-B-A-TECH-4-B2-BRK-G0</x:v>
      </x:c>
      <x:c r="C707" s="9" t="str">
        <x:v>AR-LF-B-A-TECH-4-B2-BRK-G0</x:v>
      </x:c>
      <x:c r="D707" s="9" t="str">
        <x:v>LF-B-A-TECH-4</x:v>
      </x:c>
      <x:c r="E707" s="9" t="str">
        <x:v>LF-B-A</x:v>
      </x:c>
      <x:c r="F707" s="9" t="str">
        <x:v>B2</x:v>
      </x:c>
      <x:c r="G707" s="9" t="str">
        <x:v>BRK</x:v>
      </x:c>
      <x:c r="H707" s="9" t="str">
        <x:v>RW05</x:v>
      </x:c>
      <x:c r="I707" s="17" t="str">
        <x:v>Command and intervention log</x:v>
      </x:c>
      <x:c r="J707" s="17" t="str">
        <x:v>Safety authority</x:v>
      </x:c>
      <x:c r="K707" s="17" t="str">
        <x:v>Public custody E</x:v>
      </x:c>
      <x:c r="L707" s="9" t="n">
        <x:v>0</x:v>
      </x:c>
      <x:c r="M707" s="9" t="n">
        <x:v>0</x:v>
      </x:c>
      <x:c r="N707" s="9" t="n">
        <x:v>0</x:v>
      </x:c>
      <x:c r="O707" s="9" t="n">
        <x:v>0</x:v>
      </x:c>
      <x:c r="P707" s="9" t="str">
        <x:v>UNSEALED / SOURCE-EMPTY</x:v>
      </x:c>
      <x:c r="Q707" s="9" t="n">
        <x:f>COUNTIFS($A$7:$A$1158,A707)</x:f>
        <x:v>1</x:v>
      </x:c>
    </x:row>
    <x:row r="708">
      <x:c r="A708" s="9" t="str">
        <x:v>EV-AR-LF-B-A-TECH-4-B2-BRK-G0-RW06</x:v>
      </x:c>
      <x:c r="B708" s="9" t="str">
        <x:v>EV-AR-LF-B-A-TECH-4-B2-BRK-G0</x:v>
      </x:c>
      <x:c r="C708" s="9" t="str">
        <x:v>AR-LF-B-A-TECH-4-B2-BRK-G0</x:v>
      </x:c>
      <x:c r="D708" s="9" t="str">
        <x:v>LF-B-A-TECH-4</x:v>
      </x:c>
      <x:c r="E708" s="9" t="str">
        <x:v>LF-B-A</x:v>
      </x:c>
      <x:c r="F708" s="9" t="str">
        <x:v>B2</x:v>
      </x:c>
      <x:c r="G708" s="9" t="str">
        <x:v>BRK</x:v>
      </x:c>
      <x:c r="H708" s="9" t="str">
        <x:v>RW06</x:v>
      </x:c>
      <x:c r="I708" s="17" t="str">
        <x:v>Receiver service ledger</x:v>
      </x:c>
      <x:c r="J708" s="17" t="str">
        <x:v>Receiver authority</x:v>
      </x:c>
      <x:c r="K708" s="17" t="str">
        <x:v>Public custody F</x:v>
      </x:c>
      <x:c r="L708" s="9" t="n">
        <x:v>0</x:v>
      </x:c>
      <x:c r="M708" s="9" t="n">
        <x:v>0</x:v>
      </x:c>
      <x:c r="N708" s="9" t="n">
        <x:v>0</x:v>
      </x:c>
      <x:c r="O708" s="9" t="n">
        <x:v>0</x:v>
      </x:c>
      <x:c r="P708" s="9" t="str">
        <x:v>UNSEALED / SOURCE-EMPTY</x:v>
      </x:c>
      <x:c r="Q708" s="9" t="n">
        <x:f>COUNTIFS($A$7:$A$1158,A708)</x:f>
        <x:v>1</x:v>
      </x:c>
    </x:row>
    <x:row r="709">
      <x:c r="A709" s="9" t="str">
        <x:v>EV-AR-LF-B-A-TECH-4-B2-BRK-G0-RW07</x:v>
      </x:c>
      <x:c r="B709" s="9" t="str">
        <x:v>EV-AR-LF-B-A-TECH-4-B2-BRK-G0</x:v>
      </x:c>
      <x:c r="C709" s="9" t="str">
        <x:v>AR-LF-B-A-TECH-4-B2-BRK-G0</x:v>
      </x:c>
      <x:c r="D709" s="9" t="str">
        <x:v>LF-B-A-TECH-4</x:v>
      </x:c>
      <x:c r="E709" s="9" t="str">
        <x:v>LF-B-A</x:v>
      </x:c>
      <x:c r="F709" s="9" t="str">
        <x:v>B2</x:v>
      </x:c>
      <x:c r="G709" s="9" t="str">
        <x:v>BRK</x:v>
      </x:c>
      <x:c r="H709" s="9" t="str">
        <x:v>RW07</x:v>
      </x:c>
      <x:c r="I709" s="17" t="str">
        <x:v>Candidate interface telemetry</x:v>
      </x:c>
      <x:c r="J709" s="17" t="str">
        <x:v>Interface custodian</x:v>
      </x:c>
      <x:c r="K709" s="17" t="str">
        <x:v>Public custody A</x:v>
      </x:c>
      <x:c r="L709" s="9" t="n">
        <x:v>0</x:v>
      </x:c>
      <x:c r="M709" s="9" t="n">
        <x:v>0</x:v>
      </x:c>
      <x:c r="N709" s="9" t="n">
        <x:v>0</x:v>
      </x:c>
      <x:c r="O709" s="9" t="n">
        <x:v>0</x:v>
      </x:c>
      <x:c r="P709" s="9" t="str">
        <x:v>UNSEALED / SOURCE-EMPTY</x:v>
      </x:c>
      <x:c r="Q709" s="9" t="n">
        <x:f>COUNTIFS($A$7:$A$1158,A709)</x:f>
        <x:v>1</x:v>
      </x:c>
    </x:row>
    <x:row r="710">
      <x:c r="A710" s="9" t="str">
        <x:v>EV-AR-LF-B-A-TECH-4-B2-BRK-G0-RW08</x:v>
      </x:c>
      <x:c r="B710" s="9" t="str">
        <x:v>EV-AR-LF-B-A-TECH-4-B2-BRK-G0</x:v>
      </x:c>
      <x:c r="C710" s="9" t="str">
        <x:v>AR-LF-B-A-TECH-4-B2-BRK-G0</x:v>
      </x:c>
      <x:c r="D710" s="9" t="str">
        <x:v>LF-B-A-TECH-4</x:v>
      </x:c>
      <x:c r="E710" s="9" t="str">
        <x:v>LF-B-A</x:v>
      </x:c>
      <x:c r="F710" s="9" t="str">
        <x:v>B2</x:v>
      </x:c>
      <x:c r="G710" s="9" t="str">
        <x:v>BRK</x:v>
      </x:c>
      <x:c r="H710" s="9" t="str">
        <x:v>RW08</x:v>
      </x:c>
      <x:c r="I710" s="17" t="str">
        <x:v>Residual and physical evidence</x:v>
      </x:c>
      <x:c r="J710" s="17" t="str">
        <x:v>Residual authority</x:v>
      </x:c>
      <x:c r="K710" s="17" t="str">
        <x:v>Public custody B</x:v>
      </x:c>
      <x:c r="L710" s="9" t="n">
        <x:v>0</x:v>
      </x:c>
      <x:c r="M710" s="9" t="n">
        <x:v>0</x:v>
      </x:c>
      <x:c r="N710" s="9" t="n">
        <x:v>0</x:v>
      </x:c>
      <x:c r="O710" s="9" t="n">
        <x:v>0</x:v>
      </x:c>
      <x:c r="P710" s="9" t="str">
        <x:v>UNSEALED / SOURCE-EMPTY</x:v>
      </x:c>
      <x:c r="Q710" s="9" t="n">
        <x:f>COUNTIFS($A$7:$A$1158,A710)</x:f>
        <x:v>1</x:v>
      </x:c>
    </x:row>
    <x:row r="711">
      <x:c r="A711" s="9" t="str">
        <x:v>EV-AR-LF-B-A-TECH-3-B1-RCN-G0-RW01</x:v>
      </x:c>
      <x:c r="B711" s="9" t="str">
        <x:v>EV-AR-LF-B-A-TECH-3-B1-RCN-G0</x:v>
      </x:c>
      <x:c r="C711" s="9" t="str">
        <x:v>AR-LF-B-A-TECH-3-B1-RCN-G0</x:v>
      </x:c>
      <x:c r="D711" s="9" t="str">
        <x:v>LF-B-A-TECH-3</x:v>
      </x:c>
      <x:c r="E711" s="9" t="str">
        <x:v>LF-B-A</x:v>
      </x:c>
      <x:c r="F711" s="9" t="str">
        <x:v>B1</x:v>
      </x:c>
      <x:c r="G711" s="9" t="str">
        <x:v>RCN</x:v>
      </x:c>
      <x:c r="H711" s="9" t="str">
        <x:v>RW01</x:v>
      </x:c>
      <x:c r="I711" s="17" t="str">
        <x:v>Primary raw stream</x:v>
      </x:c>
      <x:c r="J711" s="17" t="str">
        <x:v>Primary metrology</x:v>
      </x:c>
      <x:c r="K711" s="17" t="str">
        <x:v>Public custody A</x:v>
      </x:c>
      <x:c r="L711" s="9" t="n">
        <x:v>0</x:v>
      </x:c>
      <x:c r="M711" s="9" t="n">
        <x:v>0</x:v>
      </x:c>
      <x:c r="N711" s="9" t="n">
        <x:v>0</x:v>
      </x:c>
      <x:c r="O711" s="9" t="n">
        <x:v>0</x:v>
      </x:c>
      <x:c r="P711" s="9" t="str">
        <x:v>UNSEALED / SOURCE-EMPTY</x:v>
      </x:c>
      <x:c r="Q711" s="9" t="n">
        <x:f>COUNTIFS($A$7:$A$1158,A711)</x:f>
        <x:v>1</x:v>
      </x:c>
    </x:row>
    <x:row r="712">
      <x:c r="A712" s="9" t="str">
        <x:v>EV-AR-LF-B-A-TECH-3-B1-RCN-G0-RW02</x:v>
      </x:c>
      <x:c r="B712" s="9" t="str">
        <x:v>EV-AR-LF-B-A-TECH-3-B1-RCN-G0</x:v>
      </x:c>
      <x:c r="C712" s="9" t="str">
        <x:v>AR-LF-B-A-TECH-3-B1-RCN-G0</x:v>
      </x:c>
      <x:c r="D712" s="9" t="str">
        <x:v>LF-B-A-TECH-3</x:v>
      </x:c>
      <x:c r="E712" s="9" t="str">
        <x:v>LF-B-A</x:v>
      </x:c>
      <x:c r="F712" s="9" t="str">
        <x:v>B1</x:v>
      </x:c>
      <x:c r="G712" s="9" t="str">
        <x:v>RCN</x:v>
      </x:c>
      <x:c r="H712" s="9" t="str">
        <x:v>RW02</x:v>
      </x:c>
      <x:c r="I712" s="17" t="str">
        <x:v>Unlike witness stream</x:v>
      </x:c>
      <x:c r="J712" s="17" t="str">
        <x:v>Witness metrology</x:v>
      </x:c>
      <x:c r="K712" s="17" t="str">
        <x:v>Public custody B</x:v>
      </x:c>
      <x:c r="L712" s="9" t="n">
        <x:v>0</x:v>
      </x:c>
      <x:c r="M712" s="9" t="n">
        <x:v>0</x:v>
      </x:c>
      <x:c r="N712" s="9" t="n">
        <x:v>0</x:v>
      </x:c>
      <x:c r="O712" s="9" t="n">
        <x:v>0</x:v>
      </x:c>
      <x:c r="P712" s="9" t="str">
        <x:v>UNSEALED / SOURCE-EMPTY</x:v>
      </x:c>
      <x:c r="Q712" s="9" t="n">
        <x:f>COUNTIFS($A$7:$A$1158,A712)</x:f>
        <x:v>1</x:v>
      </x:c>
    </x:row>
    <x:row r="713">
      <x:c r="A713" s="9" t="str">
        <x:v>EV-AR-LF-B-A-TECH-3-B1-RCN-G0-RW03</x:v>
      </x:c>
      <x:c r="B713" s="9" t="str">
        <x:v>EV-AR-LF-B-A-TECH-3-B1-RCN-G0</x:v>
      </x:c>
      <x:c r="C713" s="9" t="str">
        <x:v>AR-LF-B-A-TECH-3-B1-RCN-G0</x:v>
      </x:c>
      <x:c r="D713" s="9" t="str">
        <x:v>LF-B-A-TECH-3</x:v>
      </x:c>
      <x:c r="E713" s="9" t="str">
        <x:v>LF-B-A</x:v>
      </x:c>
      <x:c r="F713" s="9" t="str">
        <x:v>B1</x:v>
      </x:c>
      <x:c r="G713" s="9" t="str">
        <x:v>RCN</x:v>
      </x:c>
      <x:c r="H713" s="9" t="str">
        <x:v>RW03</x:v>
      </x:c>
      <x:c r="I713" s="17" t="str">
        <x:v>Event clock and start traces</x:v>
      </x:c>
      <x:c r="J713" s="17" t="str">
        <x:v>Event clock authority</x:v>
      </x:c>
      <x:c r="K713" s="17" t="str">
        <x:v>Public custody C</x:v>
      </x:c>
      <x:c r="L713" s="9" t="n">
        <x:v>0</x:v>
      </x:c>
      <x:c r="M713" s="9" t="n">
        <x:v>0</x:v>
      </x:c>
      <x:c r="N713" s="9" t="n">
        <x:v>0</x:v>
      </x:c>
      <x:c r="O713" s="9" t="n">
        <x:v>0</x:v>
      </x:c>
      <x:c r="P713" s="9" t="str">
        <x:v>UNSEALED / SOURCE-EMPTY</x:v>
      </x:c>
      <x:c r="Q713" s="9" t="n">
        <x:f>COUNTIFS($A$7:$A$1158,A713)</x:f>
        <x:v>1</x:v>
      </x:c>
    </x:row>
    <x:row r="714">
      <x:c r="A714" s="9" t="str">
        <x:v>EV-AR-LF-B-A-TECH-3-B1-RCN-G0-RW04</x:v>
      </x:c>
      <x:c r="B714" s="9" t="str">
        <x:v>EV-AR-LF-B-A-TECH-3-B1-RCN-G0</x:v>
      </x:c>
      <x:c r="C714" s="9" t="str">
        <x:v>AR-LF-B-A-TECH-3-B1-RCN-G0</x:v>
      </x:c>
      <x:c r="D714" s="9" t="str">
        <x:v>LF-B-A-TECH-3</x:v>
      </x:c>
      <x:c r="E714" s="9" t="str">
        <x:v>LF-B-A</x:v>
      </x:c>
      <x:c r="F714" s="9" t="str">
        <x:v>B1</x:v>
      </x:c>
      <x:c r="G714" s="9" t="str">
        <x:v>RCN</x:v>
      </x:c>
      <x:c r="H714" s="9" t="str">
        <x:v>RW04</x:v>
      </x:c>
      <x:c r="I714" s="17" t="str">
        <x:v>Environmental boundary stream</x:v>
      </x:c>
      <x:c r="J714" s="17" t="str">
        <x:v>Site metrology</x:v>
      </x:c>
      <x:c r="K714" s="17" t="str">
        <x:v>Public custody D</x:v>
      </x:c>
      <x:c r="L714" s="9" t="n">
        <x:v>0</x:v>
      </x:c>
      <x:c r="M714" s="9" t="n">
        <x:v>0</x:v>
      </x:c>
      <x:c r="N714" s="9" t="n">
        <x:v>0</x:v>
      </x:c>
      <x:c r="O714" s="9" t="n">
        <x:v>0</x:v>
      </x:c>
      <x:c r="P714" s="9" t="str">
        <x:v>UNSEALED / SOURCE-EMPTY</x:v>
      </x:c>
      <x:c r="Q714" s="9" t="n">
        <x:f>COUNTIFS($A$7:$A$1158,A714)</x:f>
        <x:v>1</x:v>
      </x:c>
    </x:row>
    <x:row r="715">
      <x:c r="A715" s="9" t="str">
        <x:v>EV-AR-LF-B-A-TECH-3-B1-RCN-G0-RW05</x:v>
      </x:c>
      <x:c r="B715" s="9" t="str">
        <x:v>EV-AR-LF-B-A-TECH-3-B1-RCN-G0</x:v>
      </x:c>
      <x:c r="C715" s="9" t="str">
        <x:v>AR-LF-B-A-TECH-3-B1-RCN-G0</x:v>
      </x:c>
      <x:c r="D715" s="9" t="str">
        <x:v>LF-B-A-TECH-3</x:v>
      </x:c>
      <x:c r="E715" s="9" t="str">
        <x:v>LF-B-A</x:v>
      </x:c>
      <x:c r="F715" s="9" t="str">
        <x:v>B1</x:v>
      </x:c>
      <x:c r="G715" s="9" t="str">
        <x:v>RCN</x:v>
      </x:c>
      <x:c r="H715" s="9" t="str">
        <x:v>RW05</x:v>
      </x:c>
      <x:c r="I715" s="17" t="str">
        <x:v>Command and intervention log</x:v>
      </x:c>
      <x:c r="J715" s="17" t="str">
        <x:v>Safety authority</x:v>
      </x:c>
      <x:c r="K715" s="17" t="str">
        <x:v>Public custody E</x:v>
      </x:c>
      <x:c r="L715" s="9" t="n">
        <x:v>0</x:v>
      </x:c>
      <x:c r="M715" s="9" t="n">
        <x:v>0</x:v>
      </x:c>
      <x:c r="N715" s="9" t="n">
        <x:v>0</x:v>
      </x:c>
      <x:c r="O715" s="9" t="n">
        <x:v>0</x:v>
      </x:c>
      <x:c r="P715" s="9" t="str">
        <x:v>UNSEALED / SOURCE-EMPTY</x:v>
      </x:c>
      <x:c r="Q715" s="9" t="n">
        <x:f>COUNTIFS($A$7:$A$1158,A715)</x:f>
        <x:v>1</x:v>
      </x:c>
    </x:row>
    <x:row r="716">
      <x:c r="A716" s="9" t="str">
        <x:v>EV-AR-LF-B-A-TECH-3-B1-RCN-G0-RW06</x:v>
      </x:c>
      <x:c r="B716" s="9" t="str">
        <x:v>EV-AR-LF-B-A-TECH-3-B1-RCN-G0</x:v>
      </x:c>
      <x:c r="C716" s="9" t="str">
        <x:v>AR-LF-B-A-TECH-3-B1-RCN-G0</x:v>
      </x:c>
      <x:c r="D716" s="9" t="str">
        <x:v>LF-B-A-TECH-3</x:v>
      </x:c>
      <x:c r="E716" s="9" t="str">
        <x:v>LF-B-A</x:v>
      </x:c>
      <x:c r="F716" s="9" t="str">
        <x:v>B1</x:v>
      </x:c>
      <x:c r="G716" s="9" t="str">
        <x:v>RCN</x:v>
      </x:c>
      <x:c r="H716" s="9" t="str">
        <x:v>RW06</x:v>
      </x:c>
      <x:c r="I716" s="17" t="str">
        <x:v>Receiver service ledger</x:v>
      </x:c>
      <x:c r="J716" s="17" t="str">
        <x:v>Receiver authority</x:v>
      </x:c>
      <x:c r="K716" s="17" t="str">
        <x:v>Public custody F</x:v>
      </x:c>
      <x:c r="L716" s="9" t="n">
        <x:v>0</x:v>
      </x:c>
      <x:c r="M716" s="9" t="n">
        <x:v>0</x:v>
      </x:c>
      <x:c r="N716" s="9" t="n">
        <x:v>0</x:v>
      </x:c>
      <x:c r="O716" s="9" t="n">
        <x:v>0</x:v>
      </x:c>
      <x:c r="P716" s="9" t="str">
        <x:v>UNSEALED / SOURCE-EMPTY</x:v>
      </x:c>
      <x:c r="Q716" s="9" t="n">
        <x:f>COUNTIFS($A$7:$A$1158,A716)</x:f>
        <x:v>1</x:v>
      </x:c>
    </x:row>
    <x:row r="717">
      <x:c r="A717" s="9" t="str">
        <x:v>EV-AR-LF-B-A-TECH-3-B1-RCN-G0-RW07</x:v>
      </x:c>
      <x:c r="B717" s="9" t="str">
        <x:v>EV-AR-LF-B-A-TECH-3-B1-RCN-G0</x:v>
      </x:c>
      <x:c r="C717" s="9" t="str">
        <x:v>AR-LF-B-A-TECH-3-B1-RCN-G0</x:v>
      </x:c>
      <x:c r="D717" s="9" t="str">
        <x:v>LF-B-A-TECH-3</x:v>
      </x:c>
      <x:c r="E717" s="9" t="str">
        <x:v>LF-B-A</x:v>
      </x:c>
      <x:c r="F717" s="9" t="str">
        <x:v>B1</x:v>
      </x:c>
      <x:c r="G717" s="9" t="str">
        <x:v>RCN</x:v>
      </x:c>
      <x:c r="H717" s="9" t="str">
        <x:v>RW07</x:v>
      </x:c>
      <x:c r="I717" s="17" t="str">
        <x:v>Candidate interface telemetry</x:v>
      </x:c>
      <x:c r="J717" s="17" t="str">
        <x:v>Interface custodian</x:v>
      </x:c>
      <x:c r="K717" s="17" t="str">
        <x:v>Public custody A</x:v>
      </x:c>
      <x:c r="L717" s="9" t="n">
        <x:v>0</x:v>
      </x:c>
      <x:c r="M717" s="9" t="n">
        <x:v>0</x:v>
      </x:c>
      <x:c r="N717" s="9" t="n">
        <x:v>0</x:v>
      </x:c>
      <x:c r="O717" s="9" t="n">
        <x:v>0</x:v>
      </x:c>
      <x:c r="P717" s="9" t="str">
        <x:v>UNSEALED / SOURCE-EMPTY</x:v>
      </x:c>
      <x:c r="Q717" s="9" t="n">
        <x:f>COUNTIFS($A$7:$A$1158,A717)</x:f>
        <x:v>1</x:v>
      </x:c>
    </x:row>
    <x:row r="718">
      <x:c r="A718" s="9" t="str">
        <x:v>EV-AR-LF-B-A-TECH-3-B1-RCN-G0-RW08</x:v>
      </x:c>
      <x:c r="B718" s="9" t="str">
        <x:v>EV-AR-LF-B-A-TECH-3-B1-RCN-G0</x:v>
      </x:c>
      <x:c r="C718" s="9" t="str">
        <x:v>AR-LF-B-A-TECH-3-B1-RCN-G0</x:v>
      </x:c>
      <x:c r="D718" s="9" t="str">
        <x:v>LF-B-A-TECH-3</x:v>
      </x:c>
      <x:c r="E718" s="9" t="str">
        <x:v>LF-B-A</x:v>
      </x:c>
      <x:c r="F718" s="9" t="str">
        <x:v>B1</x:v>
      </x:c>
      <x:c r="G718" s="9" t="str">
        <x:v>RCN</x:v>
      </x:c>
      <x:c r="H718" s="9" t="str">
        <x:v>RW08</x:v>
      </x:c>
      <x:c r="I718" s="17" t="str">
        <x:v>Residual and physical evidence</x:v>
      </x:c>
      <x:c r="J718" s="17" t="str">
        <x:v>Residual authority</x:v>
      </x:c>
      <x:c r="K718" s="17" t="str">
        <x:v>Public custody B</x:v>
      </x:c>
      <x:c r="L718" s="9" t="n">
        <x:v>0</x:v>
      </x:c>
      <x:c r="M718" s="9" t="n">
        <x:v>0</x:v>
      </x:c>
      <x:c r="N718" s="9" t="n">
        <x:v>0</x:v>
      </x:c>
      <x:c r="O718" s="9" t="n">
        <x:v>0</x:v>
      </x:c>
      <x:c r="P718" s="9" t="str">
        <x:v>UNSEALED / SOURCE-EMPTY</x:v>
      </x:c>
      <x:c r="Q718" s="9" t="n">
        <x:f>COUNTIFS($A$7:$A$1158,A718)</x:f>
        <x:v>1</x:v>
      </x:c>
    </x:row>
    <x:row r="719">
      <x:c r="A719" s="9" t="str">
        <x:v>EV-AR-RT-B-C-TECH-4-B2-INT-G0-RW01</x:v>
      </x:c>
      <x:c r="B719" s="9" t="str">
        <x:v>EV-AR-RT-B-C-TECH-4-B2-INT-G0</x:v>
      </x:c>
      <x:c r="C719" s="9" t="str">
        <x:v>AR-RT-B-C-TECH-4-B2-INT-G0</x:v>
      </x:c>
      <x:c r="D719" s="9" t="str">
        <x:v>RT-B-C-TECH-4</x:v>
      </x:c>
      <x:c r="E719" s="9" t="str">
        <x:v>RT-B-C</x:v>
      </x:c>
      <x:c r="F719" s="9" t="str">
        <x:v>B2</x:v>
      </x:c>
      <x:c r="G719" s="9" t="str">
        <x:v>INT</x:v>
      </x:c>
      <x:c r="H719" s="9" t="str">
        <x:v>RW01</x:v>
      </x:c>
      <x:c r="I719" s="17" t="str">
        <x:v>Primary raw stream</x:v>
      </x:c>
      <x:c r="J719" s="17" t="str">
        <x:v>Primary metrology</x:v>
      </x:c>
      <x:c r="K719" s="17" t="str">
        <x:v>Public custody A</x:v>
      </x:c>
      <x:c r="L719" s="9" t="n">
        <x:v>0</x:v>
      </x:c>
      <x:c r="M719" s="9" t="n">
        <x:v>0</x:v>
      </x:c>
      <x:c r="N719" s="9" t="n">
        <x:v>0</x:v>
      </x:c>
      <x:c r="O719" s="9" t="n">
        <x:v>0</x:v>
      </x:c>
      <x:c r="P719" s="9" t="str">
        <x:v>UNSEALED / SOURCE-EMPTY</x:v>
      </x:c>
      <x:c r="Q719" s="9" t="n">
        <x:f>COUNTIFS($A$7:$A$1158,A719)</x:f>
        <x:v>1</x:v>
      </x:c>
    </x:row>
    <x:row r="720">
      <x:c r="A720" s="9" t="str">
        <x:v>EV-AR-RT-B-C-TECH-4-B2-INT-G0-RW02</x:v>
      </x:c>
      <x:c r="B720" s="9" t="str">
        <x:v>EV-AR-RT-B-C-TECH-4-B2-INT-G0</x:v>
      </x:c>
      <x:c r="C720" s="9" t="str">
        <x:v>AR-RT-B-C-TECH-4-B2-INT-G0</x:v>
      </x:c>
      <x:c r="D720" s="9" t="str">
        <x:v>RT-B-C-TECH-4</x:v>
      </x:c>
      <x:c r="E720" s="9" t="str">
        <x:v>RT-B-C</x:v>
      </x:c>
      <x:c r="F720" s="9" t="str">
        <x:v>B2</x:v>
      </x:c>
      <x:c r="G720" s="9" t="str">
        <x:v>INT</x:v>
      </x:c>
      <x:c r="H720" s="9" t="str">
        <x:v>RW02</x:v>
      </x:c>
      <x:c r="I720" s="17" t="str">
        <x:v>Unlike witness stream</x:v>
      </x:c>
      <x:c r="J720" s="17" t="str">
        <x:v>Witness metrology</x:v>
      </x:c>
      <x:c r="K720" s="17" t="str">
        <x:v>Public custody B</x:v>
      </x:c>
      <x:c r="L720" s="9" t="n">
        <x:v>0</x:v>
      </x:c>
      <x:c r="M720" s="9" t="n">
        <x:v>0</x:v>
      </x:c>
      <x:c r="N720" s="9" t="n">
        <x:v>0</x:v>
      </x:c>
      <x:c r="O720" s="9" t="n">
        <x:v>0</x:v>
      </x:c>
      <x:c r="P720" s="9" t="str">
        <x:v>UNSEALED / SOURCE-EMPTY</x:v>
      </x:c>
      <x:c r="Q720" s="9" t="n">
        <x:f>COUNTIFS($A$7:$A$1158,A720)</x:f>
        <x:v>1</x:v>
      </x:c>
    </x:row>
    <x:row r="721">
      <x:c r="A721" s="9" t="str">
        <x:v>EV-AR-RT-B-C-TECH-4-B2-INT-G0-RW03</x:v>
      </x:c>
      <x:c r="B721" s="9" t="str">
        <x:v>EV-AR-RT-B-C-TECH-4-B2-INT-G0</x:v>
      </x:c>
      <x:c r="C721" s="9" t="str">
        <x:v>AR-RT-B-C-TECH-4-B2-INT-G0</x:v>
      </x:c>
      <x:c r="D721" s="9" t="str">
        <x:v>RT-B-C-TECH-4</x:v>
      </x:c>
      <x:c r="E721" s="9" t="str">
        <x:v>RT-B-C</x:v>
      </x:c>
      <x:c r="F721" s="9" t="str">
        <x:v>B2</x:v>
      </x:c>
      <x:c r="G721" s="9" t="str">
        <x:v>INT</x:v>
      </x:c>
      <x:c r="H721" s="9" t="str">
        <x:v>RW03</x:v>
      </x:c>
      <x:c r="I721" s="17" t="str">
        <x:v>Event clock and start traces</x:v>
      </x:c>
      <x:c r="J721" s="17" t="str">
        <x:v>Event clock authority</x:v>
      </x:c>
      <x:c r="K721" s="17" t="str">
        <x:v>Public custody C</x:v>
      </x:c>
      <x:c r="L721" s="9" t="n">
        <x:v>0</x:v>
      </x:c>
      <x:c r="M721" s="9" t="n">
        <x:v>0</x:v>
      </x:c>
      <x:c r="N721" s="9" t="n">
        <x:v>0</x:v>
      </x:c>
      <x:c r="O721" s="9" t="n">
        <x:v>0</x:v>
      </x:c>
      <x:c r="P721" s="9" t="str">
        <x:v>UNSEALED / SOURCE-EMPTY</x:v>
      </x:c>
      <x:c r="Q721" s="9" t="n">
        <x:f>COUNTIFS($A$7:$A$1158,A721)</x:f>
        <x:v>1</x:v>
      </x:c>
    </x:row>
    <x:row r="722">
      <x:c r="A722" s="9" t="str">
        <x:v>EV-AR-RT-B-C-TECH-4-B2-INT-G0-RW04</x:v>
      </x:c>
      <x:c r="B722" s="9" t="str">
        <x:v>EV-AR-RT-B-C-TECH-4-B2-INT-G0</x:v>
      </x:c>
      <x:c r="C722" s="9" t="str">
        <x:v>AR-RT-B-C-TECH-4-B2-INT-G0</x:v>
      </x:c>
      <x:c r="D722" s="9" t="str">
        <x:v>RT-B-C-TECH-4</x:v>
      </x:c>
      <x:c r="E722" s="9" t="str">
        <x:v>RT-B-C</x:v>
      </x:c>
      <x:c r="F722" s="9" t="str">
        <x:v>B2</x:v>
      </x:c>
      <x:c r="G722" s="9" t="str">
        <x:v>INT</x:v>
      </x:c>
      <x:c r="H722" s="9" t="str">
        <x:v>RW04</x:v>
      </x:c>
      <x:c r="I722" s="17" t="str">
        <x:v>Environmental boundary stream</x:v>
      </x:c>
      <x:c r="J722" s="17" t="str">
        <x:v>Site metrology</x:v>
      </x:c>
      <x:c r="K722" s="17" t="str">
        <x:v>Public custody D</x:v>
      </x:c>
      <x:c r="L722" s="9" t="n">
        <x:v>0</x:v>
      </x:c>
      <x:c r="M722" s="9" t="n">
        <x:v>0</x:v>
      </x:c>
      <x:c r="N722" s="9" t="n">
        <x:v>0</x:v>
      </x:c>
      <x:c r="O722" s="9" t="n">
        <x:v>0</x:v>
      </x:c>
      <x:c r="P722" s="9" t="str">
        <x:v>UNSEALED / SOURCE-EMPTY</x:v>
      </x:c>
      <x:c r="Q722" s="9" t="n">
        <x:f>COUNTIFS($A$7:$A$1158,A722)</x:f>
        <x:v>1</x:v>
      </x:c>
    </x:row>
    <x:row r="723">
      <x:c r="A723" s="9" t="str">
        <x:v>EV-AR-RT-B-C-TECH-4-B2-INT-G0-RW05</x:v>
      </x:c>
      <x:c r="B723" s="9" t="str">
        <x:v>EV-AR-RT-B-C-TECH-4-B2-INT-G0</x:v>
      </x:c>
      <x:c r="C723" s="9" t="str">
        <x:v>AR-RT-B-C-TECH-4-B2-INT-G0</x:v>
      </x:c>
      <x:c r="D723" s="9" t="str">
        <x:v>RT-B-C-TECH-4</x:v>
      </x:c>
      <x:c r="E723" s="9" t="str">
        <x:v>RT-B-C</x:v>
      </x:c>
      <x:c r="F723" s="9" t="str">
        <x:v>B2</x:v>
      </x:c>
      <x:c r="G723" s="9" t="str">
        <x:v>INT</x:v>
      </x:c>
      <x:c r="H723" s="9" t="str">
        <x:v>RW05</x:v>
      </x:c>
      <x:c r="I723" s="17" t="str">
        <x:v>Command and intervention log</x:v>
      </x:c>
      <x:c r="J723" s="17" t="str">
        <x:v>Safety authority</x:v>
      </x:c>
      <x:c r="K723" s="17" t="str">
        <x:v>Public custody E</x:v>
      </x:c>
      <x:c r="L723" s="9" t="n">
        <x:v>0</x:v>
      </x:c>
      <x:c r="M723" s="9" t="n">
        <x:v>0</x:v>
      </x:c>
      <x:c r="N723" s="9" t="n">
        <x:v>0</x:v>
      </x:c>
      <x:c r="O723" s="9" t="n">
        <x:v>0</x:v>
      </x:c>
      <x:c r="P723" s="9" t="str">
        <x:v>UNSEALED / SOURCE-EMPTY</x:v>
      </x:c>
      <x:c r="Q723" s="9" t="n">
        <x:f>COUNTIFS($A$7:$A$1158,A723)</x:f>
        <x:v>1</x:v>
      </x:c>
    </x:row>
    <x:row r="724">
      <x:c r="A724" s="9" t="str">
        <x:v>EV-AR-RT-B-C-TECH-4-B2-INT-G0-RW06</x:v>
      </x:c>
      <x:c r="B724" s="9" t="str">
        <x:v>EV-AR-RT-B-C-TECH-4-B2-INT-G0</x:v>
      </x:c>
      <x:c r="C724" s="9" t="str">
        <x:v>AR-RT-B-C-TECH-4-B2-INT-G0</x:v>
      </x:c>
      <x:c r="D724" s="9" t="str">
        <x:v>RT-B-C-TECH-4</x:v>
      </x:c>
      <x:c r="E724" s="9" t="str">
        <x:v>RT-B-C</x:v>
      </x:c>
      <x:c r="F724" s="9" t="str">
        <x:v>B2</x:v>
      </x:c>
      <x:c r="G724" s="9" t="str">
        <x:v>INT</x:v>
      </x:c>
      <x:c r="H724" s="9" t="str">
        <x:v>RW06</x:v>
      </x:c>
      <x:c r="I724" s="17" t="str">
        <x:v>Receiver service ledger</x:v>
      </x:c>
      <x:c r="J724" s="17" t="str">
        <x:v>Receiver authority</x:v>
      </x:c>
      <x:c r="K724" s="17" t="str">
        <x:v>Public custody F</x:v>
      </x:c>
      <x:c r="L724" s="9" t="n">
        <x:v>0</x:v>
      </x:c>
      <x:c r="M724" s="9" t="n">
        <x:v>0</x:v>
      </x:c>
      <x:c r="N724" s="9" t="n">
        <x:v>0</x:v>
      </x:c>
      <x:c r="O724" s="9" t="n">
        <x:v>0</x:v>
      </x:c>
      <x:c r="P724" s="9" t="str">
        <x:v>UNSEALED / SOURCE-EMPTY</x:v>
      </x:c>
      <x:c r="Q724" s="9" t="n">
        <x:f>COUNTIFS($A$7:$A$1158,A724)</x:f>
        <x:v>1</x:v>
      </x:c>
    </x:row>
    <x:row r="725">
      <x:c r="A725" s="9" t="str">
        <x:v>EV-AR-RT-B-C-TECH-4-B2-INT-G0-RW07</x:v>
      </x:c>
      <x:c r="B725" s="9" t="str">
        <x:v>EV-AR-RT-B-C-TECH-4-B2-INT-G0</x:v>
      </x:c>
      <x:c r="C725" s="9" t="str">
        <x:v>AR-RT-B-C-TECH-4-B2-INT-G0</x:v>
      </x:c>
      <x:c r="D725" s="9" t="str">
        <x:v>RT-B-C-TECH-4</x:v>
      </x:c>
      <x:c r="E725" s="9" t="str">
        <x:v>RT-B-C</x:v>
      </x:c>
      <x:c r="F725" s="9" t="str">
        <x:v>B2</x:v>
      </x:c>
      <x:c r="G725" s="9" t="str">
        <x:v>INT</x:v>
      </x:c>
      <x:c r="H725" s="9" t="str">
        <x:v>RW07</x:v>
      </x:c>
      <x:c r="I725" s="17" t="str">
        <x:v>Candidate interface telemetry</x:v>
      </x:c>
      <x:c r="J725" s="17" t="str">
        <x:v>Interface custodian</x:v>
      </x:c>
      <x:c r="K725" s="17" t="str">
        <x:v>Public custody A</x:v>
      </x:c>
      <x:c r="L725" s="9" t="n">
        <x:v>0</x:v>
      </x:c>
      <x:c r="M725" s="9" t="n">
        <x:v>0</x:v>
      </x:c>
      <x:c r="N725" s="9" t="n">
        <x:v>0</x:v>
      </x:c>
      <x:c r="O725" s="9" t="n">
        <x:v>0</x:v>
      </x:c>
      <x:c r="P725" s="9" t="str">
        <x:v>UNSEALED / SOURCE-EMPTY</x:v>
      </x:c>
      <x:c r="Q725" s="9" t="n">
        <x:f>COUNTIFS($A$7:$A$1158,A725)</x:f>
        <x:v>1</x:v>
      </x:c>
    </x:row>
    <x:row r="726">
      <x:c r="A726" s="9" t="str">
        <x:v>EV-AR-RT-B-C-TECH-4-B2-INT-G0-RW08</x:v>
      </x:c>
      <x:c r="B726" s="9" t="str">
        <x:v>EV-AR-RT-B-C-TECH-4-B2-INT-G0</x:v>
      </x:c>
      <x:c r="C726" s="9" t="str">
        <x:v>AR-RT-B-C-TECH-4-B2-INT-G0</x:v>
      </x:c>
      <x:c r="D726" s="9" t="str">
        <x:v>RT-B-C-TECH-4</x:v>
      </x:c>
      <x:c r="E726" s="9" t="str">
        <x:v>RT-B-C</x:v>
      </x:c>
      <x:c r="F726" s="9" t="str">
        <x:v>B2</x:v>
      </x:c>
      <x:c r="G726" s="9" t="str">
        <x:v>INT</x:v>
      </x:c>
      <x:c r="H726" s="9" t="str">
        <x:v>RW08</x:v>
      </x:c>
      <x:c r="I726" s="17" t="str">
        <x:v>Residual and physical evidence</x:v>
      </x:c>
      <x:c r="J726" s="17" t="str">
        <x:v>Residual authority</x:v>
      </x:c>
      <x:c r="K726" s="17" t="str">
        <x:v>Public custody B</x:v>
      </x:c>
      <x:c r="L726" s="9" t="n">
        <x:v>0</x:v>
      </x:c>
      <x:c r="M726" s="9" t="n">
        <x:v>0</x:v>
      </x:c>
      <x:c r="N726" s="9" t="n">
        <x:v>0</x:v>
      </x:c>
      <x:c r="O726" s="9" t="n">
        <x:v>0</x:v>
      </x:c>
      <x:c r="P726" s="9" t="str">
        <x:v>UNSEALED / SOURCE-EMPTY</x:v>
      </x:c>
      <x:c r="Q726" s="9" t="n">
        <x:f>COUNTIFS($A$7:$A$1158,A726)</x:f>
        <x:v>1</x:v>
      </x:c>
    </x:row>
    <x:row r="727">
      <x:c r="A727" s="9" t="str">
        <x:v>EV-AR-CT-C-B-TECH-4-B2-RCN-G0-RW01</x:v>
      </x:c>
      <x:c r="B727" s="9" t="str">
        <x:v>EV-AR-CT-C-B-TECH-4-B2-RCN-G0</x:v>
      </x:c>
      <x:c r="C727" s="9" t="str">
        <x:v>AR-CT-C-B-TECH-4-B2-RCN-G0</x:v>
      </x:c>
      <x:c r="D727" s="9" t="str">
        <x:v>CT-C-B-TECH-4</x:v>
      </x:c>
      <x:c r="E727" s="9" t="str">
        <x:v>CT-C-B</x:v>
      </x:c>
      <x:c r="F727" s="9" t="str">
        <x:v>B2</x:v>
      </x:c>
      <x:c r="G727" s="9" t="str">
        <x:v>RCN</x:v>
      </x:c>
      <x:c r="H727" s="9" t="str">
        <x:v>RW01</x:v>
      </x:c>
      <x:c r="I727" s="17" t="str">
        <x:v>Primary raw stream</x:v>
      </x:c>
      <x:c r="J727" s="17" t="str">
        <x:v>Primary metrology</x:v>
      </x:c>
      <x:c r="K727" s="17" t="str">
        <x:v>Public custody A</x:v>
      </x:c>
      <x:c r="L727" s="9" t="n">
        <x:v>0</x:v>
      </x:c>
      <x:c r="M727" s="9" t="n">
        <x:v>0</x:v>
      </x:c>
      <x:c r="N727" s="9" t="n">
        <x:v>0</x:v>
      </x:c>
      <x:c r="O727" s="9" t="n">
        <x:v>0</x:v>
      </x:c>
      <x:c r="P727" s="9" t="str">
        <x:v>UNSEALED / SOURCE-EMPTY</x:v>
      </x:c>
      <x:c r="Q727" s="9" t="n">
        <x:f>COUNTIFS($A$7:$A$1158,A727)</x:f>
        <x:v>1</x:v>
      </x:c>
    </x:row>
    <x:row r="728">
      <x:c r="A728" s="9" t="str">
        <x:v>EV-AR-CT-C-B-TECH-4-B2-RCN-G0-RW02</x:v>
      </x:c>
      <x:c r="B728" s="9" t="str">
        <x:v>EV-AR-CT-C-B-TECH-4-B2-RCN-G0</x:v>
      </x:c>
      <x:c r="C728" s="9" t="str">
        <x:v>AR-CT-C-B-TECH-4-B2-RCN-G0</x:v>
      </x:c>
      <x:c r="D728" s="9" t="str">
        <x:v>CT-C-B-TECH-4</x:v>
      </x:c>
      <x:c r="E728" s="9" t="str">
        <x:v>CT-C-B</x:v>
      </x:c>
      <x:c r="F728" s="9" t="str">
        <x:v>B2</x:v>
      </x:c>
      <x:c r="G728" s="9" t="str">
        <x:v>RCN</x:v>
      </x:c>
      <x:c r="H728" s="9" t="str">
        <x:v>RW02</x:v>
      </x:c>
      <x:c r="I728" s="17" t="str">
        <x:v>Unlike witness stream</x:v>
      </x:c>
      <x:c r="J728" s="17" t="str">
        <x:v>Witness metrology</x:v>
      </x:c>
      <x:c r="K728" s="17" t="str">
        <x:v>Public custody B</x:v>
      </x:c>
      <x:c r="L728" s="9" t="n">
        <x:v>0</x:v>
      </x:c>
      <x:c r="M728" s="9" t="n">
        <x:v>0</x:v>
      </x:c>
      <x:c r="N728" s="9" t="n">
        <x:v>0</x:v>
      </x:c>
      <x:c r="O728" s="9" t="n">
        <x:v>0</x:v>
      </x:c>
      <x:c r="P728" s="9" t="str">
        <x:v>UNSEALED / SOURCE-EMPTY</x:v>
      </x:c>
      <x:c r="Q728" s="9" t="n">
        <x:f>COUNTIFS($A$7:$A$1158,A728)</x:f>
        <x:v>1</x:v>
      </x:c>
    </x:row>
    <x:row r="729">
      <x:c r="A729" s="9" t="str">
        <x:v>EV-AR-CT-C-B-TECH-4-B2-RCN-G0-RW03</x:v>
      </x:c>
      <x:c r="B729" s="9" t="str">
        <x:v>EV-AR-CT-C-B-TECH-4-B2-RCN-G0</x:v>
      </x:c>
      <x:c r="C729" s="9" t="str">
        <x:v>AR-CT-C-B-TECH-4-B2-RCN-G0</x:v>
      </x:c>
      <x:c r="D729" s="9" t="str">
        <x:v>CT-C-B-TECH-4</x:v>
      </x:c>
      <x:c r="E729" s="9" t="str">
        <x:v>CT-C-B</x:v>
      </x:c>
      <x:c r="F729" s="9" t="str">
        <x:v>B2</x:v>
      </x:c>
      <x:c r="G729" s="9" t="str">
        <x:v>RCN</x:v>
      </x:c>
      <x:c r="H729" s="9" t="str">
        <x:v>RW03</x:v>
      </x:c>
      <x:c r="I729" s="17" t="str">
        <x:v>Event clock and start traces</x:v>
      </x:c>
      <x:c r="J729" s="17" t="str">
        <x:v>Event clock authority</x:v>
      </x:c>
      <x:c r="K729" s="17" t="str">
        <x:v>Public custody C</x:v>
      </x:c>
      <x:c r="L729" s="9" t="n">
        <x:v>0</x:v>
      </x:c>
      <x:c r="M729" s="9" t="n">
        <x:v>0</x:v>
      </x:c>
      <x:c r="N729" s="9" t="n">
        <x:v>0</x:v>
      </x:c>
      <x:c r="O729" s="9" t="n">
        <x:v>0</x:v>
      </x:c>
      <x:c r="P729" s="9" t="str">
        <x:v>UNSEALED / SOURCE-EMPTY</x:v>
      </x:c>
      <x:c r="Q729" s="9" t="n">
        <x:f>COUNTIFS($A$7:$A$1158,A729)</x:f>
        <x:v>1</x:v>
      </x:c>
    </x:row>
    <x:row r="730">
      <x:c r="A730" s="9" t="str">
        <x:v>EV-AR-CT-C-B-TECH-4-B2-RCN-G0-RW04</x:v>
      </x:c>
      <x:c r="B730" s="9" t="str">
        <x:v>EV-AR-CT-C-B-TECH-4-B2-RCN-G0</x:v>
      </x:c>
      <x:c r="C730" s="9" t="str">
        <x:v>AR-CT-C-B-TECH-4-B2-RCN-G0</x:v>
      </x:c>
      <x:c r="D730" s="9" t="str">
        <x:v>CT-C-B-TECH-4</x:v>
      </x:c>
      <x:c r="E730" s="9" t="str">
        <x:v>CT-C-B</x:v>
      </x:c>
      <x:c r="F730" s="9" t="str">
        <x:v>B2</x:v>
      </x:c>
      <x:c r="G730" s="9" t="str">
        <x:v>RCN</x:v>
      </x:c>
      <x:c r="H730" s="9" t="str">
        <x:v>RW04</x:v>
      </x:c>
      <x:c r="I730" s="17" t="str">
        <x:v>Environmental boundary stream</x:v>
      </x:c>
      <x:c r="J730" s="17" t="str">
        <x:v>Site metrology</x:v>
      </x:c>
      <x:c r="K730" s="17" t="str">
        <x:v>Public custody D</x:v>
      </x:c>
      <x:c r="L730" s="9" t="n">
        <x:v>0</x:v>
      </x:c>
      <x:c r="M730" s="9" t="n">
        <x:v>0</x:v>
      </x:c>
      <x:c r="N730" s="9" t="n">
        <x:v>0</x:v>
      </x:c>
      <x:c r="O730" s="9" t="n">
        <x:v>0</x:v>
      </x:c>
      <x:c r="P730" s="9" t="str">
        <x:v>UNSEALED / SOURCE-EMPTY</x:v>
      </x:c>
      <x:c r="Q730" s="9" t="n">
        <x:f>COUNTIFS($A$7:$A$1158,A730)</x:f>
        <x:v>1</x:v>
      </x:c>
    </x:row>
    <x:row r="731">
      <x:c r="A731" s="9" t="str">
        <x:v>EV-AR-CT-C-B-TECH-4-B2-RCN-G0-RW05</x:v>
      </x:c>
      <x:c r="B731" s="9" t="str">
        <x:v>EV-AR-CT-C-B-TECH-4-B2-RCN-G0</x:v>
      </x:c>
      <x:c r="C731" s="9" t="str">
        <x:v>AR-CT-C-B-TECH-4-B2-RCN-G0</x:v>
      </x:c>
      <x:c r="D731" s="9" t="str">
        <x:v>CT-C-B-TECH-4</x:v>
      </x:c>
      <x:c r="E731" s="9" t="str">
        <x:v>CT-C-B</x:v>
      </x:c>
      <x:c r="F731" s="9" t="str">
        <x:v>B2</x:v>
      </x:c>
      <x:c r="G731" s="9" t="str">
        <x:v>RCN</x:v>
      </x:c>
      <x:c r="H731" s="9" t="str">
        <x:v>RW05</x:v>
      </x:c>
      <x:c r="I731" s="17" t="str">
        <x:v>Command and intervention log</x:v>
      </x:c>
      <x:c r="J731" s="17" t="str">
        <x:v>Safety authority</x:v>
      </x:c>
      <x:c r="K731" s="17" t="str">
        <x:v>Public custody E</x:v>
      </x:c>
      <x:c r="L731" s="9" t="n">
        <x:v>0</x:v>
      </x:c>
      <x:c r="M731" s="9" t="n">
        <x:v>0</x:v>
      </x:c>
      <x:c r="N731" s="9" t="n">
        <x:v>0</x:v>
      </x:c>
      <x:c r="O731" s="9" t="n">
        <x:v>0</x:v>
      </x:c>
      <x:c r="P731" s="9" t="str">
        <x:v>UNSEALED / SOURCE-EMPTY</x:v>
      </x:c>
      <x:c r="Q731" s="9" t="n">
        <x:f>COUNTIFS($A$7:$A$1158,A731)</x:f>
        <x:v>1</x:v>
      </x:c>
    </x:row>
    <x:row r="732">
      <x:c r="A732" s="9" t="str">
        <x:v>EV-AR-CT-C-B-TECH-4-B2-RCN-G0-RW06</x:v>
      </x:c>
      <x:c r="B732" s="9" t="str">
        <x:v>EV-AR-CT-C-B-TECH-4-B2-RCN-G0</x:v>
      </x:c>
      <x:c r="C732" s="9" t="str">
        <x:v>AR-CT-C-B-TECH-4-B2-RCN-G0</x:v>
      </x:c>
      <x:c r="D732" s="9" t="str">
        <x:v>CT-C-B-TECH-4</x:v>
      </x:c>
      <x:c r="E732" s="9" t="str">
        <x:v>CT-C-B</x:v>
      </x:c>
      <x:c r="F732" s="9" t="str">
        <x:v>B2</x:v>
      </x:c>
      <x:c r="G732" s="9" t="str">
        <x:v>RCN</x:v>
      </x:c>
      <x:c r="H732" s="9" t="str">
        <x:v>RW06</x:v>
      </x:c>
      <x:c r="I732" s="17" t="str">
        <x:v>Receiver service ledger</x:v>
      </x:c>
      <x:c r="J732" s="17" t="str">
        <x:v>Receiver authority</x:v>
      </x:c>
      <x:c r="K732" s="17" t="str">
        <x:v>Public custody F</x:v>
      </x:c>
      <x:c r="L732" s="9" t="n">
        <x:v>0</x:v>
      </x:c>
      <x:c r="M732" s="9" t="n">
        <x:v>0</x:v>
      </x:c>
      <x:c r="N732" s="9" t="n">
        <x:v>0</x:v>
      </x:c>
      <x:c r="O732" s="9" t="n">
        <x:v>0</x:v>
      </x:c>
      <x:c r="P732" s="9" t="str">
        <x:v>UNSEALED / SOURCE-EMPTY</x:v>
      </x:c>
      <x:c r="Q732" s="9" t="n">
        <x:f>COUNTIFS($A$7:$A$1158,A732)</x:f>
        <x:v>1</x:v>
      </x:c>
    </x:row>
    <x:row r="733">
      <x:c r="A733" s="9" t="str">
        <x:v>EV-AR-CT-C-B-TECH-4-B2-RCN-G0-RW07</x:v>
      </x:c>
      <x:c r="B733" s="9" t="str">
        <x:v>EV-AR-CT-C-B-TECH-4-B2-RCN-G0</x:v>
      </x:c>
      <x:c r="C733" s="9" t="str">
        <x:v>AR-CT-C-B-TECH-4-B2-RCN-G0</x:v>
      </x:c>
      <x:c r="D733" s="9" t="str">
        <x:v>CT-C-B-TECH-4</x:v>
      </x:c>
      <x:c r="E733" s="9" t="str">
        <x:v>CT-C-B</x:v>
      </x:c>
      <x:c r="F733" s="9" t="str">
        <x:v>B2</x:v>
      </x:c>
      <x:c r="G733" s="9" t="str">
        <x:v>RCN</x:v>
      </x:c>
      <x:c r="H733" s="9" t="str">
        <x:v>RW07</x:v>
      </x:c>
      <x:c r="I733" s="17" t="str">
        <x:v>Candidate interface telemetry</x:v>
      </x:c>
      <x:c r="J733" s="17" t="str">
        <x:v>Interface custodian</x:v>
      </x:c>
      <x:c r="K733" s="17" t="str">
        <x:v>Public custody A</x:v>
      </x:c>
      <x:c r="L733" s="9" t="n">
        <x:v>0</x:v>
      </x:c>
      <x:c r="M733" s="9" t="n">
        <x:v>0</x:v>
      </x:c>
      <x:c r="N733" s="9" t="n">
        <x:v>0</x:v>
      </x:c>
      <x:c r="O733" s="9" t="n">
        <x:v>0</x:v>
      </x:c>
      <x:c r="P733" s="9" t="str">
        <x:v>UNSEALED / SOURCE-EMPTY</x:v>
      </x:c>
      <x:c r="Q733" s="9" t="n">
        <x:f>COUNTIFS($A$7:$A$1158,A733)</x:f>
        <x:v>1</x:v>
      </x:c>
    </x:row>
    <x:row r="734">
      <x:c r="A734" s="9" t="str">
        <x:v>EV-AR-CT-C-B-TECH-4-B2-RCN-G0-RW08</x:v>
      </x:c>
      <x:c r="B734" s="9" t="str">
        <x:v>EV-AR-CT-C-B-TECH-4-B2-RCN-G0</x:v>
      </x:c>
      <x:c r="C734" s="9" t="str">
        <x:v>AR-CT-C-B-TECH-4-B2-RCN-G0</x:v>
      </x:c>
      <x:c r="D734" s="9" t="str">
        <x:v>CT-C-B-TECH-4</x:v>
      </x:c>
      <x:c r="E734" s="9" t="str">
        <x:v>CT-C-B</x:v>
      </x:c>
      <x:c r="F734" s="9" t="str">
        <x:v>B2</x:v>
      </x:c>
      <x:c r="G734" s="9" t="str">
        <x:v>RCN</x:v>
      </x:c>
      <x:c r="H734" s="9" t="str">
        <x:v>RW08</x:v>
      </x:c>
      <x:c r="I734" s="17" t="str">
        <x:v>Residual and physical evidence</x:v>
      </x:c>
      <x:c r="J734" s="17" t="str">
        <x:v>Residual authority</x:v>
      </x:c>
      <x:c r="K734" s="17" t="str">
        <x:v>Public custody B</x:v>
      </x:c>
      <x:c r="L734" s="9" t="n">
        <x:v>0</x:v>
      </x:c>
      <x:c r="M734" s="9" t="n">
        <x:v>0</x:v>
      </x:c>
      <x:c r="N734" s="9" t="n">
        <x:v>0</x:v>
      </x:c>
      <x:c r="O734" s="9" t="n">
        <x:v>0</x:v>
      </x:c>
      <x:c r="P734" s="9" t="str">
        <x:v>UNSEALED / SOURCE-EMPTY</x:v>
      </x:c>
      <x:c r="Q734" s="9" t="n">
        <x:f>COUNTIFS($A$7:$A$1158,A734)</x:f>
        <x:v>1</x:v>
      </x:c>
    </x:row>
    <x:row r="735">
      <x:c r="A735" s="9" t="str">
        <x:v>EV-AR-CT-C-B-TECH-1-B1-BRK-G0-RW01</x:v>
      </x:c>
      <x:c r="B735" s="9" t="str">
        <x:v>EV-AR-CT-C-B-TECH-1-B1-BRK-G0</x:v>
      </x:c>
      <x:c r="C735" s="9" t="str">
        <x:v>AR-CT-C-B-TECH-1-B1-BRK-G0</x:v>
      </x:c>
      <x:c r="D735" s="9" t="str">
        <x:v>CT-C-B-TECH-1</x:v>
      </x:c>
      <x:c r="E735" s="9" t="str">
        <x:v>CT-C-B</x:v>
      </x:c>
      <x:c r="F735" s="9" t="str">
        <x:v>B1</x:v>
      </x:c>
      <x:c r="G735" s="9" t="str">
        <x:v>BRK</x:v>
      </x:c>
      <x:c r="H735" s="9" t="str">
        <x:v>RW01</x:v>
      </x:c>
      <x:c r="I735" s="17" t="str">
        <x:v>Primary raw stream</x:v>
      </x:c>
      <x:c r="J735" s="17" t="str">
        <x:v>Primary metrology</x:v>
      </x:c>
      <x:c r="K735" s="17" t="str">
        <x:v>Public custody A</x:v>
      </x:c>
      <x:c r="L735" s="9" t="n">
        <x:v>0</x:v>
      </x:c>
      <x:c r="M735" s="9" t="n">
        <x:v>0</x:v>
      </x:c>
      <x:c r="N735" s="9" t="n">
        <x:v>0</x:v>
      </x:c>
      <x:c r="O735" s="9" t="n">
        <x:v>0</x:v>
      </x:c>
      <x:c r="P735" s="9" t="str">
        <x:v>UNSEALED / SOURCE-EMPTY</x:v>
      </x:c>
      <x:c r="Q735" s="9" t="n">
        <x:f>COUNTIFS($A$7:$A$1158,A735)</x:f>
        <x:v>1</x:v>
      </x:c>
    </x:row>
    <x:row r="736">
      <x:c r="A736" s="9" t="str">
        <x:v>EV-AR-CT-C-B-TECH-1-B1-BRK-G0-RW02</x:v>
      </x:c>
      <x:c r="B736" s="9" t="str">
        <x:v>EV-AR-CT-C-B-TECH-1-B1-BRK-G0</x:v>
      </x:c>
      <x:c r="C736" s="9" t="str">
        <x:v>AR-CT-C-B-TECH-1-B1-BRK-G0</x:v>
      </x:c>
      <x:c r="D736" s="9" t="str">
        <x:v>CT-C-B-TECH-1</x:v>
      </x:c>
      <x:c r="E736" s="9" t="str">
        <x:v>CT-C-B</x:v>
      </x:c>
      <x:c r="F736" s="9" t="str">
        <x:v>B1</x:v>
      </x:c>
      <x:c r="G736" s="9" t="str">
        <x:v>BRK</x:v>
      </x:c>
      <x:c r="H736" s="9" t="str">
        <x:v>RW02</x:v>
      </x:c>
      <x:c r="I736" s="17" t="str">
        <x:v>Unlike witness stream</x:v>
      </x:c>
      <x:c r="J736" s="17" t="str">
        <x:v>Witness metrology</x:v>
      </x:c>
      <x:c r="K736" s="17" t="str">
        <x:v>Public custody B</x:v>
      </x:c>
      <x:c r="L736" s="9" t="n">
        <x:v>0</x:v>
      </x:c>
      <x:c r="M736" s="9" t="n">
        <x:v>0</x:v>
      </x:c>
      <x:c r="N736" s="9" t="n">
        <x:v>0</x:v>
      </x:c>
      <x:c r="O736" s="9" t="n">
        <x:v>0</x:v>
      </x:c>
      <x:c r="P736" s="9" t="str">
        <x:v>UNSEALED / SOURCE-EMPTY</x:v>
      </x:c>
      <x:c r="Q736" s="9" t="n">
        <x:f>COUNTIFS($A$7:$A$1158,A736)</x:f>
        <x:v>1</x:v>
      </x:c>
    </x:row>
    <x:row r="737">
      <x:c r="A737" s="9" t="str">
        <x:v>EV-AR-CT-C-B-TECH-1-B1-BRK-G0-RW03</x:v>
      </x:c>
      <x:c r="B737" s="9" t="str">
        <x:v>EV-AR-CT-C-B-TECH-1-B1-BRK-G0</x:v>
      </x:c>
      <x:c r="C737" s="9" t="str">
        <x:v>AR-CT-C-B-TECH-1-B1-BRK-G0</x:v>
      </x:c>
      <x:c r="D737" s="9" t="str">
        <x:v>CT-C-B-TECH-1</x:v>
      </x:c>
      <x:c r="E737" s="9" t="str">
        <x:v>CT-C-B</x:v>
      </x:c>
      <x:c r="F737" s="9" t="str">
        <x:v>B1</x:v>
      </x:c>
      <x:c r="G737" s="9" t="str">
        <x:v>BRK</x:v>
      </x:c>
      <x:c r="H737" s="9" t="str">
        <x:v>RW03</x:v>
      </x:c>
      <x:c r="I737" s="17" t="str">
        <x:v>Event clock and start traces</x:v>
      </x:c>
      <x:c r="J737" s="17" t="str">
        <x:v>Event clock authority</x:v>
      </x:c>
      <x:c r="K737" s="17" t="str">
        <x:v>Public custody C</x:v>
      </x:c>
      <x:c r="L737" s="9" t="n">
        <x:v>0</x:v>
      </x:c>
      <x:c r="M737" s="9" t="n">
        <x:v>0</x:v>
      </x:c>
      <x:c r="N737" s="9" t="n">
        <x:v>0</x:v>
      </x:c>
      <x:c r="O737" s="9" t="n">
        <x:v>0</x:v>
      </x:c>
      <x:c r="P737" s="9" t="str">
        <x:v>UNSEALED / SOURCE-EMPTY</x:v>
      </x:c>
      <x:c r="Q737" s="9" t="n">
        <x:f>COUNTIFS($A$7:$A$1158,A737)</x:f>
        <x:v>1</x:v>
      </x:c>
    </x:row>
    <x:row r="738">
      <x:c r="A738" s="9" t="str">
        <x:v>EV-AR-CT-C-B-TECH-1-B1-BRK-G0-RW04</x:v>
      </x:c>
      <x:c r="B738" s="9" t="str">
        <x:v>EV-AR-CT-C-B-TECH-1-B1-BRK-G0</x:v>
      </x:c>
      <x:c r="C738" s="9" t="str">
        <x:v>AR-CT-C-B-TECH-1-B1-BRK-G0</x:v>
      </x:c>
      <x:c r="D738" s="9" t="str">
        <x:v>CT-C-B-TECH-1</x:v>
      </x:c>
      <x:c r="E738" s="9" t="str">
        <x:v>CT-C-B</x:v>
      </x:c>
      <x:c r="F738" s="9" t="str">
        <x:v>B1</x:v>
      </x:c>
      <x:c r="G738" s="9" t="str">
        <x:v>BRK</x:v>
      </x:c>
      <x:c r="H738" s="9" t="str">
        <x:v>RW04</x:v>
      </x:c>
      <x:c r="I738" s="17" t="str">
        <x:v>Environmental boundary stream</x:v>
      </x:c>
      <x:c r="J738" s="17" t="str">
        <x:v>Site metrology</x:v>
      </x:c>
      <x:c r="K738" s="17" t="str">
        <x:v>Public custody D</x:v>
      </x:c>
      <x:c r="L738" s="9" t="n">
        <x:v>0</x:v>
      </x:c>
      <x:c r="M738" s="9" t="n">
        <x:v>0</x:v>
      </x:c>
      <x:c r="N738" s="9" t="n">
        <x:v>0</x:v>
      </x:c>
      <x:c r="O738" s="9" t="n">
        <x:v>0</x:v>
      </x:c>
      <x:c r="P738" s="9" t="str">
        <x:v>UNSEALED / SOURCE-EMPTY</x:v>
      </x:c>
      <x:c r="Q738" s="9" t="n">
        <x:f>COUNTIFS($A$7:$A$1158,A738)</x:f>
        <x:v>1</x:v>
      </x:c>
    </x:row>
    <x:row r="739">
      <x:c r="A739" s="9" t="str">
        <x:v>EV-AR-CT-C-B-TECH-1-B1-BRK-G0-RW05</x:v>
      </x:c>
      <x:c r="B739" s="9" t="str">
        <x:v>EV-AR-CT-C-B-TECH-1-B1-BRK-G0</x:v>
      </x:c>
      <x:c r="C739" s="9" t="str">
        <x:v>AR-CT-C-B-TECH-1-B1-BRK-G0</x:v>
      </x:c>
      <x:c r="D739" s="9" t="str">
        <x:v>CT-C-B-TECH-1</x:v>
      </x:c>
      <x:c r="E739" s="9" t="str">
        <x:v>CT-C-B</x:v>
      </x:c>
      <x:c r="F739" s="9" t="str">
        <x:v>B1</x:v>
      </x:c>
      <x:c r="G739" s="9" t="str">
        <x:v>BRK</x:v>
      </x:c>
      <x:c r="H739" s="9" t="str">
        <x:v>RW05</x:v>
      </x:c>
      <x:c r="I739" s="17" t="str">
        <x:v>Command and intervention log</x:v>
      </x:c>
      <x:c r="J739" s="17" t="str">
        <x:v>Safety authority</x:v>
      </x:c>
      <x:c r="K739" s="17" t="str">
        <x:v>Public custody E</x:v>
      </x:c>
      <x:c r="L739" s="9" t="n">
        <x:v>0</x:v>
      </x:c>
      <x:c r="M739" s="9" t="n">
        <x:v>0</x:v>
      </x:c>
      <x:c r="N739" s="9" t="n">
        <x:v>0</x:v>
      </x:c>
      <x:c r="O739" s="9" t="n">
        <x:v>0</x:v>
      </x:c>
      <x:c r="P739" s="9" t="str">
        <x:v>UNSEALED / SOURCE-EMPTY</x:v>
      </x:c>
      <x:c r="Q739" s="9" t="n">
        <x:f>COUNTIFS($A$7:$A$1158,A739)</x:f>
        <x:v>1</x:v>
      </x:c>
    </x:row>
    <x:row r="740">
      <x:c r="A740" s="9" t="str">
        <x:v>EV-AR-CT-C-B-TECH-1-B1-BRK-G0-RW06</x:v>
      </x:c>
      <x:c r="B740" s="9" t="str">
        <x:v>EV-AR-CT-C-B-TECH-1-B1-BRK-G0</x:v>
      </x:c>
      <x:c r="C740" s="9" t="str">
        <x:v>AR-CT-C-B-TECH-1-B1-BRK-G0</x:v>
      </x:c>
      <x:c r="D740" s="9" t="str">
        <x:v>CT-C-B-TECH-1</x:v>
      </x:c>
      <x:c r="E740" s="9" t="str">
        <x:v>CT-C-B</x:v>
      </x:c>
      <x:c r="F740" s="9" t="str">
        <x:v>B1</x:v>
      </x:c>
      <x:c r="G740" s="9" t="str">
        <x:v>BRK</x:v>
      </x:c>
      <x:c r="H740" s="9" t="str">
        <x:v>RW06</x:v>
      </x:c>
      <x:c r="I740" s="17" t="str">
        <x:v>Receiver service ledger</x:v>
      </x:c>
      <x:c r="J740" s="17" t="str">
        <x:v>Receiver authority</x:v>
      </x:c>
      <x:c r="K740" s="17" t="str">
        <x:v>Public custody F</x:v>
      </x:c>
      <x:c r="L740" s="9" t="n">
        <x:v>0</x:v>
      </x:c>
      <x:c r="M740" s="9" t="n">
        <x:v>0</x:v>
      </x:c>
      <x:c r="N740" s="9" t="n">
        <x:v>0</x:v>
      </x:c>
      <x:c r="O740" s="9" t="n">
        <x:v>0</x:v>
      </x:c>
      <x:c r="P740" s="9" t="str">
        <x:v>UNSEALED / SOURCE-EMPTY</x:v>
      </x:c>
      <x:c r="Q740" s="9" t="n">
        <x:f>COUNTIFS($A$7:$A$1158,A740)</x:f>
        <x:v>1</x:v>
      </x:c>
    </x:row>
    <x:row r="741">
      <x:c r="A741" s="9" t="str">
        <x:v>EV-AR-CT-C-B-TECH-1-B1-BRK-G0-RW07</x:v>
      </x:c>
      <x:c r="B741" s="9" t="str">
        <x:v>EV-AR-CT-C-B-TECH-1-B1-BRK-G0</x:v>
      </x:c>
      <x:c r="C741" s="9" t="str">
        <x:v>AR-CT-C-B-TECH-1-B1-BRK-G0</x:v>
      </x:c>
      <x:c r="D741" s="9" t="str">
        <x:v>CT-C-B-TECH-1</x:v>
      </x:c>
      <x:c r="E741" s="9" t="str">
        <x:v>CT-C-B</x:v>
      </x:c>
      <x:c r="F741" s="9" t="str">
        <x:v>B1</x:v>
      </x:c>
      <x:c r="G741" s="9" t="str">
        <x:v>BRK</x:v>
      </x:c>
      <x:c r="H741" s="9" t="str">
        <x:v>RW07</x:v>
      </x:c>
      <x:c r="I741" s="17" t="str">
        <x:v>Candidate interface telemetry</x:v>
      </x:c>
      <x:c r="J741" s="17" t="str">
        <x:v>Interface custodian</x:v>
      </x:c>
      <x:c r="K741" s="17" t="str">
        <x:v>Public custody A</x:v>
      </x:c>
      <x:c r="L741" s="9" t="n">
        <x:v>0</x:v>
      </x:c>
      <x:c r="M741" s="9" t="n">
        <x:v>0</x:v>
      </x:c>
      <x:c r="N741" s="9" t="n">
        <x:v>0</x:v>
      </x:c>
      <x:c r="O741" s="9" t="n">
        <x:v>0</x:v>
      </x:c>
      <x:c r="P741" s="9" t="str">
        <x:v>UNSEALED / SOURCE-EMPTY</x:v>
      </x:c>
      <x:c r="Q741" s="9" t="n">
        <x:f>COUNTIFS($A$7:$A$1158,A741)</x:f>
        <x:v>1</x:v>
      </x:c>
    </x:row>
    <x:row r="742">
      <x:c r="A742" s="9" t="str">
        <x:v>EV-AR-CT-C-B-TECH-1-B1-BRK-G0-RW08</x:v>
      </x:c>
      <x:c r="B742" s="9" t="str">
        <x:v>EV-AR-CT-C-B-TECH-1-B1-BRK-G0</x:v>
      </x:c>
      <x:c r="C742" s="9" t="str">
        <x:v>AR-CT-C-B-TECH-1-B1-BRK-G0</x:v>
      </x:c>
      <x:c r="D742" s="9" t="str">
        <x:v>CT-C-B-TECH-1</x:v>
      </x:c>
      <x:c r="E742" s="9" t="str">
        <x:v>CT-C-B</x:v>
      </x:c>
      <x:c r="F742" s="9" t="str">
        <x:v>B1</x:v>
      </x:c>
      <x:c r="G742" s="9" t="str">
        <x:v>BRK</x:v>
      </x:c>
      <x:c r="H742" s="9" t="str">
        <x:v>RW08</x:v>
      </x:c>
      <x:c r="I742" s="17" t="str">
        <x:v>Residual and physical evidence</x:v>
      </x:c>
      <x:c r="J742" s="17" t="str">
        <x:v>Residual authority</x:v>
      </x:c>
      <x:c r="K742" s="17" t="str">
        <x:v>Public custody B</x:v>
      </x:c>
      <x:c r="L742" s="9" t="n">
        <x:v>0</x:v>
      </x:c>
      <x:c r="M742" s="9" t="n">
        <x:v>0</x:v>
      </x:c>
      <x:c r="N742" s="9" t="n">
        <x:v>0</x:v>
      </x:c>
      <x:c r="O742" s="9" t="n">
        <x:v>0</x:v>
      </x:c>
      <x:c r="P742" s="9" t="str">
        <x:v>UNSEALED / SOURCE-EMPTY</x:v>
      </x:c>
      <x:c r="Q742" s="9" t="n">
        <x:f>COUNTIFS($A$7:$A$1158,A742)</x:f>
        <x:v>1</x:v>
      </x:c>
    </x:row>
    <x:row r="743">
      <x:c r="A743" s="9" t="str">
        <x:v>EV-AR-ET-A-A-TECH-2-B1-BRK-G0-RW01</x:v>
      </x:c>
      <x:c r="B743" s="9" t="str">
        <x:v>EV-AR-ET-A-A-TECH-2-B1-BRK-G0</x:v>
      </x:c>
      <x:c r="C743" s="9" t="str">
        <x:v>AR-ET-A-A-TECH-2-B1-BRK-G0</x:v>
      </x:c>
      <x:c r="D743" s="9" t="str">
        <x:v>ET-A-A-TECH-2</x:v>
      </x:c>
      <x:c r="E743" s="9" t="str">
        <x:v>ET-A-A</x:v>
      </x:c>
      <x:c r="F743" s="9" t="str">
        <x:v>B1</x:v>
      </x:c>
      <x:c r="G743" s="9" t="str">
        <x:v>BRK</x:v>
      </x:c>
      <x:c r="H743" s="9" t="str">
        <x:v>RW01</x:v>
      </x:c>
      <x:c r="I743" s="17" t="str">
        <x:v>Primary raw stream</x:v>
      </x:c>
      <x:c r="J743" s="17" t="str">
        <x:v>Primary metrology</x:v>
      </x:c>
      <x:c r="K743" s="17" t="str">
        <x:v>Public custody A</x:v>
      </x:c>
      <x:c r="L743" s="9" t="n">
        <x:v>0</x:v>
      </x:c>
      <x:c r="M743" s="9" t="n">
        <x:v>0</x:v>
      </x:c>
      <x:c r="N743" s="9" t="n">
        <x:v>0</x:v>
      </x:c>
      <x:c r="O743" s="9" t="n">
        <x:v>0</x:v>
      </x:c>
      <x:c r="P743" s="9" t="str">
        <x:v>UNSEALED / SOURCE-EMPTY</x:v>
      </x:c>
      <x:c r="Q743" s="9" t="n">
        <x:f>COUNTIFS($A$7:$A$1158,A743)</x:f>
        <x:v>1</x:v>
      </x:c>
    </x:row>
    <x:row r="744">
      <x:c r="A744" s="9" t="str">
        <x:v>EV-AR-ET-A-A-TECH-2-B1-BRK-G0-RW02</x:v>
      </x:c>
      <x:c r="B744" s="9" t="str">
        <x:v>EV-AR-ET-A-A-TECH-2-B1-BRK-G0</x:v>
      </x:c>
      <x:c r="C744" s="9" t="str">
        <x:v>AR-ET-A-A-TECH-2-B1-BRK-G0</x:v>
      </x:c>
      <x:c r="D744" s="9" t="str">
        <x:v>ET-A-A-TECH-2</x:v>
      </x:c>
      <x:c r="E744" s="9" t="str">
        <x:v>ET-A-A</x:v>
      </x:c>
      <x:c r="F744" s="9" t="str">
        <x:v>B1</x:v>
      </x:c>
      <x:c r="G744" s="9" t="str">
        <x:v>BRK</x:v>
      </x:c>
      <x:c r="H744" s="9" t="str">
        <x:v>RW02</x:v>
      </x:c>
      <x:c r="I744" s="17" t="str">
        <x:v>Unlike witness stream</x:v>
      </x:c>
      <x:c r="J744" s="17" t="str">
        <x:v>Witness metrology</x:v>
      </x:c>
      <x:c r="K744" s="17" t="str">
        <x:v>Public custody B</x:v>
      </x:c>
      <x:c r="L744" s="9" t="n">
        <x:v>0</x:v>
      </x:c>
      <x:c r="M744" s="9" t="n">
        <x:v>0</x:v>
      </x:c>
      <x:c r="N744" s="9" t="n">
        <x:v>0</x:v>
      </x:c>
      <x:c r="O744" s="9" t="n">
        <x:v>0</x:v>
      </x:c>
      <x:c r="P744" s="9" t="str">
        <x:v>UNSEALED / SOURCE-EMPTY</x:v>
      </x:c>
      <x:c r="Q744" s="9" t="n">
        <x:f>COUNTIFS($A$7:$A$1158,A744)</x:f>
        <x:v>1</x:v>
      </x:c>
    </x:row>
    <x:row r="745">
      <x:c r="A745" s="9" t="str">
        <x:v>EV-AR-ET-A-A-TECH-2-B1-BRK-G0-RW03</x:v>
      </x:c>
      <x:c r="B745" s="9" t="str">
        <x:v>EV-AR-ET-A-A-TECH-2-B1-BRK-G0</x:v>
      </x:c>
      <x:c r="C745" s="9" t="str">
        <x:v>AR-ET-A-A-TECH-2-B1-BRK-G0</x:v>
      </x:c>
      <x:c r="D745" s="9" t="str">
        <x:v>ET-A-A-TECH-2</x:v>
      </x:c>
      <x:c r="E745" s="9" t="str">
        <x:v>ET-A-A</x:v>
      </x:c>
      <x:c r="F745" s="9" t="str">
        <x:v>B1</x:v>
      </x:c>
      <x:c r="G745" s="9" t="str">
        <x:v>BRK</x:v>
      </x:c>
      <x:c r="H745" s="9" t="str">
        <x:v>RW03</x:v>
      </x:c>
      <x:c r="I745" s="17" t="str">
        <x:v>Event clock and start traces</x:v>
      </x:c>
      <x:c r="J745" s="17" t="str">
        <x:v>Event clock authority</x:v>
      </x:c>
      <x:c r="K745" s="17" t="str">
        <x:v>Public custody C</x:v>
      </x:c>
      <x:c r="L745" s="9" t="n">
        <x:v>0</x:v>
      </x:c>
      <x:c r="M745" s="9" t="n">
        <x:v>0</x:v>
      </x:c>
      <x:c r="N745" s="9" t="n">
        <x:v>0</x:v>
      </x:c>
      <x:c r="O745" s="9" t="n">
        <x:v>0</x:v>
      </x:c>
      <x:c r="P745" s="9" t="str">
        <x:v>UNSEALED / SOURCE-EMPTY</x:v>
      </x:c>
      <x:c r="Q745" s="9" t="n">
        <x:f>COUNTIFS($A$7:$A$1158,A745)</x:f>
        <x:v>1</x:v>
      </x:c>
    </x:row>
    <x:row r="746">
      <x:c r="A746" s="9" t="str">
        <x:v>EV-AR-ET-A-A-TECH-2-B1-BRK-G0-RW04</x:v>
      </x:c>
      <x:c r="B746" s="9" t="str">
        <x:v>EV-AR-ET-A-A-TECH-2-B1-BRK-G0</x:v>
      </x:c>
      <x:c r="C746" s="9" t="str">
        <x:v>AR-ET-A-A-TECH-2-B1-BRK-G0</x:v>
      </x:c>
      <x:c r="D746" s="9" t="str">
        <x:v>ET-A-A-TECH-2</x:v>
      </x:c>
      <x:c r="E746" s="9" t="str">
        <x:v>ET-A-A</x:v>
      </x:c>
      <x:c r="F746" s="9" t="str">
        <x:v>B1</x:v>
      </x:c>
      <x:c r="G746" s="9" t="str">
        <x:v>BRK</x:v>
      </x:c>
      <x:c r="H746" s="9" t="str">
        <x:v>RW04</x:v>
      </x:c>
      <x:c r="I746" s="17" t="str">
        <x:v>Environmental boundary stream</x:v>
      </x:c>
      <x:c r="J746" s="17" t="str">
        <x:v>Site metrology</x:v>
      </x:c>
      <x:c r="K746" s="17" t="str">
        <x:v>Public custody D</x:v>
      </x:c>
      <x:c r="L746" s="9" t="n">
        <x:v>0</x:v>
      </x:c>
      <x:c r="M746" s="9" t="n">
        <x:v>0</x:v>
      </x:c>
      <x:c r="N746" s="9" t="n">
        <x:v>0</x:v>
      </x:c>
      <x:c r="O746" s="9" t="n">
        <x:v>0</x:v>
      </x:c>
      <x:c r="P746" s="9" t="str">
        <x:v>UNSEALED / SOURCE-EMPTY</x:v>
      </x:c>
      <x:c r="Q746" s="9" t="n">
        <x:f>COUNTIFS($A$7:$A$1158,A746)</x:f>
        <x:v>1</x:v>
      </x:c>
    </x:row>
    <x:row r="747">
      <x:c r="A747" s="9" t="str">
        <x:v>EV-AR-ET-A-A-TECH-2-B1-BRK-G0-RW05</x:v>
      </x:c>
      <x:c r="B747" s="9" t="str">
        <x:v>EV-AR-ET-A-A-TECH-2-B1-BRK-G0</x:v>
      </x:c>
      <x:c r="C747" s="9" t="str">
        <x:v>AR-ET-A-A-TECH-2-B1-BRK-G0</x:v>
      </x:c>
      <x:c r="D747" s="9" t="str">
        <x:v>ET-A-A-TECH-2</x:v>
      </x:c>
      <x:c r="E747" s="9" t="str">
        <x:v>ET-A-A</x:v>
      </x:c>
      <x:c r="F747" s="9" t="str">
        <x:v>B1</x:v>
      </x:c>
      <x:c r="G747" s="9" t="str">
        <x:v>BRK</x:v>
      </x:c>
      <x:c r="H747" s="9" t="str">
        <x:v>RW05</x:v>
      </x:c>
      <x:c r="I747" s="17" t="str">
        <x:v>Command and intervention log</x:v>
      </x:c>
      <x:c r="J747" s="17" t="str">
        <x:v>Safety authority</x:v>
      </x:c>
      <x:c r="K747" s="17" t="str">
        <x:v>Public custody E</x:v>
      </x:c>
      <x:c r="L747" s="9" t="n">
        <x:v>0</x:v>
      </x:c>
      <x:c r="M747" s="9" t="n">
        <x:v>0</x:v>
      </x:c>
      <x:c r="N747" s="9" t="n">
        <x:v>0</x:v>
      </x:c>
      <x:c r="O747" s="9" t="n">
        <x:v>0</x:v>
      </x:c>
      <x:c r="P747" s="9" t="str">
        <x:v>UNSEALED / SOURCE-EMPTY</x:v>
      </x:c>
      <x:c r="Q747" s="9" t="n">
        <x:f>COUNTIFS($A$7:$A$1158,A747)</x:f>
        <x:v>1</x:v>
      </x:c>
    </x:row>
    <x:row r="748">
      <x:c r="A748" s="9" t="str">
        <x:v>EV-AR-ET-A-A-TECH-2-B1-BRK-G0-RW06</x:v>
      </x:c>
      <x:c r="B748" s="9" t="str">
        <x:v>EV-AR-ET-A-A-TECH-2-B1-BRK-G0</x:v>
      </x:c>
      <x:c r="C748" s="9" t="str">
        <x:v>AR-ET-A-A-TECH-2-B1-BRK-G0</x:v>
      </x:c>
      <x:c r="D748" s="9" t="str">
        <x:v>ET-A-A-TECH-2</x:v>
      </x:c>
      <x:c r="E748" s="9" t="str">
        <x:v>ET-A-A</x:v>
      </x:c>
      <x:c r="F748" s="9" t="str">
        <x:v>B1</x:v>
      </x:c>
      <x:c r="G748" s="9" t="str">
        <x:v>BRK</x:v>
      </x:c>
      <x:c r="H748" s="9" t="str">
        <x:v>RW06</x:v>
      </x:c>
      <x:c r="I748" s="17" t="str">
        <x:v>Receiver service ledger</x:v>
      </x:c>
      <x:c r="J748" s="17" t="str">
        <x:v>Receiver authority</x:v>
      </x:c>
      <x:c r="K748" s="17" t="str">
        <x:v>Public custody F</x:v>
      </x:c>
      <x:c r="L748" s="9" t="n">
        <x:v>0</x:v>
      </x:c>
      <x:c r="M748" s="9" t="n">
        <x:v>0</x:v>
      </x:c>
      <x:c r="N748" s="9" t="n">
        <x:v>0</x:v>
      </x:c>
      <x:c r="O748" s="9" t="n">
        <x:v>0</x:v>
      </x:c>
      <x:c r="P748" s="9" t="str">
        <x:v>UNSEALED / SOURCE-EMPTY</x:v>
      </x:c>
      <x:c r="Q748" s="9" t="n">
        <x:f>COUNTIFS($A$7:$A$1158,A748)</x:f>
        <x:v>1</x:v>
      </x:c>
    </x:row>
    <x:row r="749">
      <x:c r="A749" s="9" t="str">
        <x:v>EV-AR-ET-A-A-TECH-2-B1-BRK-G0-RW07</x:v>
      </x:c>
      <x:c r="B749" s="9" t="str">
        <x:v>EV-AR-ET-A-A-TECH-2-B1-BRK-G0</x:v>
      </x:c>
      <x:c r="C749" s="9" t="str">
        <x:v>AR-ET-A-A-TECH-2-B1-BRK-G0</x:v>
      </x:c>
      <x:c r="D749" s="9" t="str">
        <x:v>ET-A-A-TECH-2</x:v>
      </x:c>
      <x:c r="E749" s="9" t="str">
        <x:v>ET-A-A</x:v>
      </x:c>
      <x:c r="F749" s="9" t="str">
        <x:v>B1</x:v>
      </x:c>
      <x:c r="G749" s="9" t="str">
        <x:v>BRK</x:v>
      </x:c>
      <x:c r="H749" s="9" t="str">
        <x:v>RW07</x:v>
      </x:c>
      <x:c r="I749" s="17" t="str">
        <x:v>Candidate interface telemetry</x:v>
      </x:c>
      <x:c r="J749" s="17" t="str">
        <x:v>Interface custodian</x:v>
      </x:c>
      <x:c r="K749" s="17" t="str">
        <x:v>Public custody A</x:v>
      </x:c>
      <x:c r="L749" s="9" t="n">
        <x:v>0</x:v>
      </x:c>
      <x:c r="M749" s="9" t="n">
        <x:v>0</x:v>
      </x:c>
      <x:c r="N749" s="9" t="n">
        <x:v>0</x:v>
      </x:c>
      <x:c r="O749" s="9" t="n">
        <x:v>0</x:v>
      </x:c>
      <x:c r="P749" s="9" t="str">
        <x:v>UNSEALED / SOURCE-EMPTY</x:v>
      </x:c>
      <x:c r="Q749" s="9" t="n">
        <x:f>COUNTIFS($A$7:$A$1158,A749)</x:f>
        <x:v>1</x:v>
      </x:c>
    </x:row>
    <x:row r="750">
      <x:c r="A750" s="9" t="str">
        <x:v>EV-AR-ET-A-A-TECH-2-B1-BRK-G0-RW08</x:v>
      </x:c>
      <x:c r="B750" s="9" t="str">
        <x:v>EV-AR-ET-A-A-TECH-2-B1-BRK-G0</x:v>
      </x:c>
      <x:c r="C750" s="9" t="str">
        <x:v>AR-ET-A-A-TECH-2-B1-BRK-G0</x:v>
      </x:c>
      <x:c r="D750" s="9" t="str">
        <x:v>ET-A-A-TECH-2</x:v>
      </x:c>
      <x:c r="E750" s="9" t="str">
        <x:v>ET-A-A</x:v>
      </x:c>
      <x:c r="F750" s="9" t="str">
        <x:v>B1</x:v>
      </x:c>
      <x:c r="G750" s="9" t="str">
        <x:v>BRK</x:v>
      </x:c>
      <x:c r="H750" s="9" t="str">
        <x:v>RW08</x:v>
      </x:c>
      <x:c r="I750" s="17" t="str">
        <x:v>Residual and physical evidence</x:v>
      </x:c>
      <x:c r="J750" s="17" t="str">
        <x:v>Residual authority</x:v>
      </x:c>
      <x:c r="K750" s="17" t="str">
        <x:v>Public custody B</x:v>
      </x:c>
      <x:c r="L750" s="9" t="n">
        <x:v>0</x:v>
      </x:c>
      <x:c r="M750" s="9" t="n">
        <x:v>0</x:v>
      </x:c>
      <x:c r="N750" s="9" t="n">
        <x:v>0</x:v>
      </x:c>
      <x:c r="O750" s="9" t="n">
        <x:v>0</x:v>
      </x:c>
      <x:c r="P750" s="9" t="str">
        <x:v>UNSEALED / SOURCE-EMPTY</x:v>
      </x:c>
      <x:c r="Q750" s="9" t="n">
        <x:f>COUNTIFS($A$7:$A$1158,A750)</x:f>
        <x:v>1</x:v>
      </x:c>
    </x:row>
    <x:row r="751">
      <x:c r="A751" s="9" t="str">
        <x:v>EV-AR-HU-A-B-TECH-4-B1-BRK-G0-RW01</x:v>
      </x:c>
      <x:c r="B751" s="9" t="str">
        <x:v>EV-AR-HU-A-B-TECH-4-B1-BRK-G0</x:v>
      </x:c>
      <x:c r="C751" s="9" t="str">
        <x:v>AR-HU-A-B-TECH-4-B1-BRK-G0</x:v>
      </x:c>
      <x:c r="D751" s="9" t="str">
        <x:v>HU-A-B-TECH-4</x:v>
      </x:c>
      <x:c r="E751" s="9" t="str">
        <x:v>HU-A-B</x:v>
      </x:c>
      <x:c r="F751" s="9" t="str">
        <x:v>B1</x:v>
      </x:c>
      <x:c r="G751" s="9" t="str">
        <x:v>BRK</x:v>
      </x:c>
      <x:c r="H751" s="9" t="str">
        <x:v>RW01</x:v>
      </x:c>
      <x:c r="I751" s="17" t="str">
        <x:v>Primary raw stream</x:v>
      </x:c>
      <x:c r="J751" s="17" t="str">
        <x:v>Primary metrology</x:v>
      </x:c>
      <x:c r="K751" s="17" t="str">
        <x:v>Public custody A</x:v>
      </x:c>
      <x:c r="L751" s="9" t="n">
        <x:v>0</x:v>
      </x:c>
      <x:c r="M751" s="9" t="n">
        <x:v>0</x:v>
      </x:c>
      <x:c r="N751" s="9" t="n">
        <x:v>0</x:v>
      </x:c>
      <x:c r="O751" s="9" t="n">
        <x:v>0</x:v>
      </x:c>
      <x:c r="P751" s="9" t="str">
        <x:v>UNSEALED / SOURCE-EMPTY</x:v>
      </x:c>
      <x:c r="Q751" s="9" t="n">
        <x:f>COUNTIFS($A$7:$A$1158,A751)</x:f>
        <x:v>1</x:v>
      </x:c>
    </x:row>
    <x:row r="752">
      <x:c r="A752" s="9" t="str">
        <x:v>EV-AR-HU-A-B-TECH-4-B1-BRK-G0-RW02</x:v>
      </x:c>
      <x:c r="B752" s="9" t="str">
        <x:v>EV-AR-HU-A-B-TECH-4-B1-BRK-G0</x:v>
      </x:c>
      <x:c r="C752" s="9" t="str">
        <x:v>AR-HU-A-B-TECH-4-B1-BRK-G0</x:v>
      </x:c>
      <x:c r="D752" s="9" t="str">
        <x:v>HU-A-B-TECH-4</x:v>
      </x:c>
      <x:c r="E752" s="9" t="str">
        <x:v>HU-A-B</x:v>
      </x:c>
      <x:c r="F752" s="9" t="str">
        <x:v>B1</x:v>
      </x:c>
      <x:c r="G752" s="9" t="str">
        <x:v>BRK</x:v>
      </x:c>
      <x:c r="H752" s="9" t="str">
        <x:v>RW02</x:v>
      </x:c>
      <x:c r="I752" s="17" t="str">
        <x:v>Unlike witness stream</x:v>
      </x:c>
      <x:c r="J752" s="17" t="str">
        <x:v>Witness metrology</x:v>
      </x:c>
      <x:c r="K752" s="17" t="str">
        <x:v>Public custody B</x:v>
      </x:c>
      <x:c r="L752" s="9" t="n">
        <x:v>0</x:v>
      </x:c>
      <x:c r="M752" s="9" t="n">
        <x:v>0</x:v>
      </x:c>
      <x:c r="N752" s="9" t="n">
        <x:v>0</x:v>
      </x:c>
      <x:c r="O752" s="9" t="n">
        <x:v>0</x:v>
      </x:c>
      <x:c r="P752" s="9" t="str">
        <x:v>UNSEALED / SOURCE-EMPTY</x:v>
      </x:c>
      <x:c r="Q752" s="9" t="n">
        <x:f>COUNTIFS($A$7:$A$1158,A752)</x:f>
        <x:v>1</x:v>
      </x:c>
    </x:row>
    <x:row r="753">
      <x:c r="A753" s="9" t="str">
        <x:v>EV-AR-HU-A-B-TECH-4-B1-BRK-G0-RW03</x:v>
      </x:c>
      <x:c r="B753" s="9" t="str">
        <x:v>EV-AR-HU-A-B-TECH-4-B1-BRK-G0</x:v>
      </x:c>
      <x:c r="C753" s="9" t="str">
        <x:v>AR-HU-A-B-TECH-4-B1-BRK-G0</x:v>
      </x:c>
      <x:c r="D753" s="9" t="str">
        <x:v>HU-A-B-TECH-4</x:v>
      </x:c>
      <x:c r="E753" s="9" t="str">
        <x:v>HU-A-B</x:v>
      </x:c>
      <x:c r="F753" s="9" t="str">
        <x:v>B1</x:v>
      </x:c>
      <x:c r="G753" s="9" t="str">
        <x:v>BRK</x:v>
      </x:c>
      <x:c r="H753" s="9" t="str">
        <x:v>RW03</x:v>
      </x:c>
      <x:c r="I753" s="17" t="str">
        <x:v>Event clock and start traces</x:v>
      </x:c>
      <x:c r="J753" s="17" t="str">
        <x:v>Event clock authority</x:v>
      </x:c>
      <x:c r="K753" s="17" t="str">
        <x:v>Public custody C</x:v>
      </x:c>
      <x:c r="L753" s="9" t="n">
        <x:v>0</x:v>
      </x:c>
      <x:c r="M753" s="9" t="n">
        <x:v>0</x:v>
      </x:c>
      <x:c r="N753" s="9" t="n">
        <x:v>0</x:v>
      </x:c>
      <x:c r="O753" s="9" t="n">
        <x:v>0</x:v>
      </x:c>
      <x:c r="P753" s="9" t="str">
        <x:v>UNSEALED / SOURCE-EMPTY</x:v>
      </x:c>
      <x:c r="Q753" s="9" t="n">
        <x:f>COUNTIFS($A$7:$A$1158,A753)</x:f>
        <x:v>1</x:v>
      </x:c>
    </x:row>
    <x:row r="754">
      <x:c r="A754" s="9" t="str">
        <x:v>EV-AR-HU-A-B-TECH-4-B1-BRK-G0-RW04</x:v>
      </x:c>
      <x:c r="B754" s="9" t="str">
        <x:v>EV-AR-HU-A-B-TECH-4-B1-BRK-G0</x:v>
      </x:c>
      <x:c r="C754" s="9" t="str">
        <x:v>AR-HU-A-B-TECH-4-B1-BRK-G0</x:v>
      </x:c>
      <x:c r="D754" s="9" t="str">
        <x:v>HU-A-B-TECH-4</x:v>
      </x:c>
      <x:c r="E754" s="9" t="str">
        <x:v>HU-A-B</x:v>
      </x:c>
      <x:c r="F754" s="9" t="str">
        <x:v>B1</x:v>
      </x:c>
      <x:c r="G754" s="9" t="str">
        <x:v>BRK</x:v>
      </x:c>
      <x:c r="H754" s="9" t="str">
        <x:v>RW04</x:v>
      </x:c>
      <x:c r="I754" s="17" t="str">
        <x:v>Environmental boundary stream</x:v>
      </x:c>
      <x:c r="J754" s="17" t="str">
        <x:v>Site metrology</x:v>
      </x:c>
      <x:c r="K754" s="17" t="str">
        <x:v>Public custody D</x:v>
      </x:c>
      <x:c r="L754" s="9" t="n">
        <x:v>0</x:v>
      </x:c>
      <x:c r="M754" s="9" t="n">
        <x:v>0</x:v>
      </x:c>
      <x:c r="N754" s="9" t="n">
        <x:v>0</x:v>
      </x:c>
      <x:c r="O754" s="9" t="n">
        <x:v>0</x:v>
      </x:c>
      <x:c r="P754" s="9" t="str">
        <x:v>UNSEALED / SOURCE-EMPTY</x:v>
      </x:c>
      <x:c r="Q754" s="9" t="n">
        <x:f>COUNTIFS($A$7:$A$1158,A754)</x:f>
        <x:v>1</x:v>
      </x:c>
    </x:row>
    <x:row r="755">
      <x:c r="A755" s="9" t="str">
        <x:v>EV-AR-HU-A-B-TECH-4-B1-BRK-G0-RW05</x:v>
      </x:c>
      <x:c r="B755" s="9" t="str">
        <x:v>EV-AR-HU-A-B-TECH-4-B1-BRK-G0</x:v>
      </x:c>
      <x:c r="C755" s="9" t="str">
        <x:v>AR-HU-A-B-TECH-4-B1-BRK-G0</x:v>
      </x:c>
      <x:c r="D755" s="9" t="str">
        <x:v>HU-A-B-TECH-4</x:v>
      </x:c>
      <x:c r="E755" s="9" t="str">
        <x:v>HU-A-B</x:v>
      </x:c>
      <x:c r="F755" s="9" t="str">
        <x:v>B1</x:v>
      </x:c>
      <x:c r="G755" s="9" t="str">
        <x:v>BRK</x:v>
      </x:c>
      <x:c r="H755" s="9" t="str">
        <x:v>RW05</x:v>
      </x:c>
      <x:c r="I755" s="17" t="str">
        <x:v>Command and intervention log</x:v>
      </x:c>
      <x:c r="J755" s="17" t="str">
        <x:v>Safety authority</x:v>
      </x:c>
      <x:c r="K755" s="17" t="str">
        <x:v>Public custody E</x:v>
      </x:c>
      <x:c r="L755" s="9" t="n">
        <x:v>0</x:v>
      </x:c>
      <x:c r="M755" s="9" t="n">
        <x:v>0</x:v>
      </x:c>
      <x:c r="N755" s="9" t="n">
        <x:v>0</x:v>
      </x:c>
      <x:c r="O755" s="9" t="n">
        <x:v>0</x:v>
      </x:c>
      <x:c r="P755" s="9" t="str">
        <x:v>UNSEALED / SOURCE-EMPTY</x:v>
      </x:c>
      <x:c r="Q755" s="9" t="n">
        <x:f>COUNTIFS($A$7:$A$1158,A755)</x:f>
        <x:v>1</x:v>
      </x:c>
    </x:row>
    <x:row r="756">
      <x:c r="A756" s="9" t="str">
        <x:v>EV-AR-HU-A-B-TECH-4-B1-BRK-G0-RW06</x:v>
      </x:c>
      <x:c r="B756" s="9" t="str">
        <x:v>EV-AR-HU-A-B-TECH-4-B1-BRK-G0</x:v>
      </x:c>
      <x:c r="C756" s="9" t="str">
        <x:v>AR-HU-A-B-TECH-4-B1-BRK-G0</x:v>
      </x:c>
      <x:c r="D756" s="9" t="str">
        <x:v>HU-A-B-TECH-4</x:v>
      </x:c>
      <x:c r="E756" s="9" t="str">
        <x:v>HU-A-B</x:v>
      </x:c>
      <x:c r="F756" s="9" t="str">
        <x:v>B1</x:v>
      </x:c>
      <x:c r="G756" s="9" t="str">
        <x:v>BRK</x:v>
      </x:c>
      <x:c r="H756" s="9" t="str">
        <x:v>RW06</x:v>
      </x:c>
      <x:c r="I756" s="17" t="str">
        <x:v>Receiver service ledger</x:v>
      </x:c>
      <x:c r="J756" s="17" t="str">
        <x:v>Receiver authority</x:v>
      </x:c>
      <x:c r="K756" s="17" t="str">
        <x:v>Public custody F</x:v>
      </x:c>
      <x:c r="L756" s="9" t="n">
        <x:v>0</x:v>
      </x:c>
      <x:c r="M756" s="9" t="n">
        <x:v>0</x:v>
      </x:c>
      <x:c r="N756" s="9" t="n">
        <x:v>0</x:v>
      </x:c>
      <x:c r="O756" s="9" t="n">
        <x:v>0</x:v>
      </x:c>
      <x:c r="P756" s="9" t="str">
        <x:v>UNSEALED / SOURCE-EMPTY</x:v>
      </x:c>
      <x:c r="Q756" s="9" t="n">
        <x:f>COUNTIFS($A$7:$A$1158,A756)</x:f>
        <x:v>1</x:v>
      </x:c>
    </x:row>
    <x:row r="757">
      <x:c r="A757" s="9" t="str">
        <x:v>EV-AR-HU-A-B-TECH-4-B1-BRK-G0-RW07</x:v>
      </x:c>
      <x:c r="B757" s="9" t="str">
        <x:v>EV-AR-HU-A-B-TECH-4-B1-BRK-G0</x:v>
      </x:c>
      <x:c r="C757" s="9" t="str">
        <x:v>AR-HU-A-B-TECH-4-B1-BRK-G0</x:v>
      </x:c>
      <x:c r="D757" s="9" t="str">
        <x:v>HU-A-B-TECH-4</x:v>
      </x:c>
      <x:c r="E757" s="9" t="str">
        <x:v>HU-A-B</x:v>
      </x:c>
      <x:c r="F757" s="9" t="str">
        <x:v>B1</x:v>
      </x:c>
      <x:c r="G757" s="9" t="str">
        <x:v>BRK</x:v>
      </x:c>
      <x:c r="H757" s="9" t="str">
        <x:v>RW07</x:v>
      </x:c>
      <x:c r="I757" s="17" t="str">
        <x:v>Candidate interface telemetry</x:v>
      </x:c>
      <x:c r="J757" s="17" t="str">
        <x:v>Interface custodian</x:v>
      </x:c>
      <x:c r="K757" s="17" t="str">
        <x:v>Public custody A</x:v>
      </x:c>
      <x:c r="L757" s="9" t="n">
        <x:v>0</x:v>
      </x:c>
      <x:c r="M757" s="9" t="n">
        <x:v>0</x:v>
      </x:c>
      <x:c r="N757" s="9" t="n">
        <x:v>0</x:v>
      </x:c>
      <x:c r="O757" s="9" t="n">
        <x:v>0</x:v>
      </x:c>
      <x:c r="P757" s="9" t="str">
        <x:v>UNSEALED / SOURCE-EMPTY</x:v>
      </x:c>
      <x:c r="Q757" s="9" t="n">
        <x:f>COUNTIFS($A$7:$A$1158,A757)</x:f>
        <x:v>1</x:v>
      </x:c>
    </x:row>
    <x:row r="758">
      <x:c r="A758" s="9" t="str">
        <x:v>EV-AR-HU-A-B-TECH-4-B1-BRK-G0-RW08</x:v>
      </x:c>
      <x:c r="B758" s="9" t="str">
        <x:v>EV-AR-HU-A-B-TECH-4-B1-BRK-G0</x:v>
      </x:c>
      <x:c r="C758" s="9" t="str">
        <x:v>AR-HU-A-B-TECH-4-B1-BRK-G0</x:v>
      </x:c>
      <x:c r="D758" s="9" t="str">
        <x:v>HU-A-B-TECH-4</x:v>
      </x:c>
      <x:c r="E758" s="9" t="str">
        <x:v>HU-A-B</x:v>
      </x:c>
      <x:c r="F758" s="9" t="str">
        <x:v>B1</x:v>
      </x:c>
      <x:c r="G758" s="9" t="str">
        <x:v>BRK</x:v>
      </x:c>
      <x:c r="H758" s="9" t="str">
        <x:v>RW08</x:v>
      </x:c>
      <x:c r="I758" s="17" t="str">
        <x:v>Residual and physical evidence</x:v>
      </x:c>
      <x:c r="J758" s="17" t="str">
        <x:v>Residual authority</x:v>
      </x:c>
      <x:c r="K758" s="17" t="str">
        <x:v>Public custody B</x:v>
      </x:c>
      <x:c r="L758" s="9" t="n">
        <x:v>0</x:v>
      </x:c>
      <x:c r="M758" s="9" t="n">
        <x:v>0</x:v>
      </x:c>
      <x:c r="N758" s="9" t="n">
        <x:v>0</x:v>
      </x:c>
      <x:c r="O758" s="9" t="n">
        <x:v>0</x:v>
      </x:c>
      <x:c r="P758" s="9" t="str">
        <x:v>UNSEALED / SOURCE-EMPTY</x:v>
      </x:c>
      <x:c r="Q758" s="9" t="n">
        <x:f>COUNTIFS($A$7:$A$1158,A758)</x:f>
        <x:v>1</x:v>
      </x:c>
    </x:row>
    <x:row r="759">
      <x:c r="A759" s="9" t="str">
        <x:v>EV-AR-HU-A-B-TECH-2-B1-RCN-G0-RW01</x:v>
      </x:c>
      <x:c r="B759" s="9" t="str">
        <x:v>EV-AR-HU-A-B-TECH-2-B1-RCN-G0</x:v>
      </x:c>
      <x:c r="C759" s="9" t="str">
        <x:v>AR-HU-A-B-TECH-2-B1-RCN-G0</x:v>
      </x:c>
      <x:c r="D759" s="9" t="str">
        <x:v>HU-A-B-TECH-2</x:v>
      </x:c>
      <x:c r="E759" s="9" t="str">
        <x:v>HU-A-B</x:v>
      </x:c>
      <x:c r="F759" s="9" t="str">
        <x:v>B1</x:v>
      </x:c>
      <x:c r="G759" s="9" t="str">
        <x:v>RCN</x:v>
      </x:c>
      <x:c r="H759" s="9" t="str">
        <x:v>RW01</x:v>
      </x:c>
      <x:c r="I759" s="17" t="str">
        <x:v>Primary raw stream</x:v>
      </x:c>
      <x:c r="J759" s="17" t="str">
        <x:v>Primary metrology</x:v>
      </x:c>
      <x:c r="K759" s="17" t="str">
        <x:v>Public custody A</x:v>
      </x:c>
      <x:c r="L759" s="9" t="n">
        <x:v>0</x:v>
      </x:c>
      <x:c r="M759" s="9" t="n">
        <x:v>0</x:v>
      </x:c>
      <x:c r="N759" s="9" t="n">
        <x:v>0</x:v>
      </x:c>
      <x:c r="O759" s="9" t="n">
        <x:v>0</x:v>
      </x:c>
      <x:c r="P759" s="9" t="str">
        <x:v>UNSEALED / SOURCE-EMPTY</x:v>
      </x:c>
      <x:c r="Q759" s="9" t="n">
        <x:f>COUNTIFS($A$7:$A$1158,A759)</x:f>
        <x:v>1</x:v>
      </x:c>
    </x:row>
    <x:row r="760">
      <x:c r="A760" s="9" t="str">
        <x:v>EV-AR-HU-A-B-TECH-2-B1-RCN-G0-RW02</x:v>
      </x:c>
      <x:c r="B760" s="9" t="str">
        <x:v>EV-AR-HU-A-B-TECH-2-B1-RCN-G0</x:v>
      </x:c>
      <x:c r="C760" s="9" t="str">
        <x:v>AR-HU-A-B-TECH-2-B1-RCN-G0</x:v>
      </x:c>
      <x:c r="D760" s="9" t="str">
        <x:v>HU-A-B-TECH-2</x:v>
      </x:c>
      <x:c r="E760" s="9" t="str">
        <x:v>HU-A-B</x:v>
      </x:c>
      <x:c r="F760" s="9" t="str">
        <x:v>B1</x:v>
      </x:c>
      <x:c r="G760" s="9" t="str">
        <x:v>RCN</x:v>
      </x:c>
      <x:c r="H760" s="9" t="str">
        <x:v>RW02</x:v>
      </x:c>
      <x:c r="I760" s="17" t="str">
        <x:v>Unlike witness stream</x:v>
      </x:c>
      <x:c r="J760" s="17" t="str">
        <x:v>Witness metrology</x:v>
      </x:c>
      <x:c r="K760" s="17" t="str">
        <x:v>Public custody B</x:v>
      </x:c>
      <x:c r="L760" s="9" t="n">
        <x:v>0</x:v>
      </x:c>
      <x:c r="M760" s="9" t="n">
        <x:v>0</x:v>
      </x:c>
      <x:c r="N760" s="9" t="n">
        <x:v>0</x:v>
      </x:c>
      <x:c r="O760" s="9" t="n">
        <x:v>0</x:v>
      </x:c>
      <x:c r="P760" s="9" t="str">
        <x:v>UNSEALED / SOURCE-EMPTY</x:v>
      </x:c>
      <x:c r="Q760" s="9" t="n">
        <x:f>COUNTIFS($A$7:$A$1158,A760)</x:f>
        <x:v>1</x:v>
      </x:c>
    </x:row>
    <x:row r="761">
      <x:c r="A761" s="9" t="str">
        <x:v>EV-AR-HU-A-B-TECH-2-B1-RCN-G0-RW03</x:v>
      </x:c>
      <x:c r="B761" s="9" t="str">
        <x:v>EV-AR-HU-A-B-TECH-2-B1-RCN-G0</x:v>
      </x:c>
      <x:c r="C761" s="9" t="str">
        <x:v>AR-HU-A-B-TECH-2-B1-RCN-G0</x:v>
      </x:c>
      <x:c r="D761" s="9" t="str">
        <x:v>HU-A-B-TECH-2</x:v>
      </x:c>
      <x:c r="E761" s="9" t="str">
        <x:v>HU-A-B</x:v>
      </x:c>
      <x:c r="F761" s="9" t="str">
        <x:v>B1</x:v>
      </x:c>
      <x:c r="G761" s="9" t="str">
        <x:v>RCN</x:v>
      </x:c>
      <x:c r="H761" s="9" t="str">
        <x:v>RW03</x:v>
      </x:c>
      <x:c r="I761" s="17" t="str">
        <x:v>Event clock and start traces</x:v>
      </x:c>
      <x:c r="J761" s="17" t="str">
        <x:v>Event clock authority</x:v>
      </x:c>
      <x:c r="K761" s="17" t="str">
        <x:v>Public custody C</x:v>
      </x:c>
      <x:c r="L761" s="9" t="n">
        <x:v>0</x:v>
      </x:c>
      <x:c r="M761" s="9" t="n">
        <x:v>0</x:v>
      </x:c>
      <x:c r="N761" s="9" t="n">
        <x:v>0</x:v>
      </x:c>
      <x:c r="O761" s="9" t="n">
        <x:v>0</x:v>
      </x:c>
      <x:c r="P761" s="9" t="str">
        <x:v>UNSEALED / SOURCE-EMPTY</x:v>
      </x:c>
      <x:c r="Q761" s="9" t="n">
        <x:f>COUNTIFS($A$7:$A$1158,A761)</x:f>
        <x:v>1</x:v>
      </x:c>
    </x:row>
    <x:row r="762">
      <x:c r="A762" s="9" t="str">
        <x:v>EV-AR-HU-A-B-TECH-2-B1-RCN-G0-RW04</x:v>
      </x:c>
      <x:c r="B762" s="9" t="str">
        <x:v>EV-AR-HU-A-B-TECH-2-B1-RCN-G0</x:v>
      </x:c>
      <x:c r="C762" s="9" t="str">
        <x:v>AR-HU-A-B-TECH-2-B1-RCN-G0</x:v>
      </x:c>
      <x:c r="D762" s="9" t="str">
        <x:v>HU-A-B-TECH-2</x:v>
      </x:c>
      <x:c r="E762" s="9" t="str">
        <x:v>HU-A-B</x:v>
      </x:c>
      <x:c r="F762" s="9" t="str">
        <x:v>B1</x:v>
      </x:c>
      <x:c r="G762" s="9" t="str">
        <x:v>RCN</x:v>
      </x:c>
      <x:c r="H762" s="9" t="str">
        <x:v>RW04</x:v>
      </x:c>
      <x:c r="I762" s="17" t="str">
        <x:v>Environmental boundary stream</x:v>
      </x:c>
      <x:c r="J762" s="17" t="str">
        <x:v>Site metrology</x:v>
      </x:c>
      <x:c r="K762" s="17" t="str">
        <x:v>Public custody D</x:v>
      </x:c>
      <x:c r="L762" s="9" t="n">
        <x:v>0</x:v>
      </x:c>
      <x:c r="M762" s="9" t="n">
        <x:v>0</x:v>
      </x:c>
      <x:c r="N762" s="9" t="n">
        <x:v>0</x:v>
      </x:c>
      <x:c r="O762" s="9" t="n">
        <x:v>0</x:v>
      </x:c>
      <x:c r="P762" s="9" t="str">
        <x:v>UNSEALED / SOURCE-EMPTY</x:v>
      </x:c>
      <x:c r="Q762" s="9" t="n">
        <x:f>COUNTIFS($A$7:$A$1158,A762)</x:f>
        <x:v>1</x:v>
      </x:c>
    </x:row>
    <x:row r="763">
      <x:c r="A763" s="9" t="str">
        <x:v>EV-AR-HU-A-B-TECH-2-B1-RCN-G0-RW05</x:v>
      </x:c>
      <x:c r="B763" s="9" t="str">
        <x:v>EV-AR-HU-A-B-TECH-2-B1-RCN-G0</x:v>
      </x:c>
      <x:c r="C763" s="9" t="str">
        <x:v>AR-HU-A-B-TECH-2-B1-RCN-G0</x:v>
      </x:c>
      <x:c r="D763" s="9" t="str">
        <x:v>HU-A-B-TECH-2</x:v>
      </x:c>
      <x:c r="E763" s="9" t="str">
        <x:v>HU-A-B</x:v>
      </x:c>
      <x:c r="F763" s="9" t="str">
        <x:v>B1</x:v>
      </x:c>
      <x:c r="G763" s="9" t="str">
        <x:v>RCN</x:v>
      </x:c>
      <x:c r="H763" s="9" t="str">
        <x:v>RW05</x:v>
      </x:c>
      <x:c r="I763" s="17" t="str">
        <x:v>Command and intervention log</x:v>
      </x:c>
      <x:c r="J763" s="17" t="str">
        <x:v>Safety authority</x:v>
      </x:c>
      <x:c r="K763" s="17" t="str">
        <x:v>Public custody E</x:v>
      </x:c>
      <x:c r="L763" s="9" t="n">
        <x:v>0</x:v>
      </x:c>
      <x:c r="M763" s="9" t="n">
        <x:v>0</x:v>
      </x:c>
      <x:c r="N763" s="9" t="n">
        <x:v>0</x:v>
      </x:c>
      <x:c r="O763" s="9" t="n">
        <x:v>0</x:v>
      </x:c>
      <x:c r="P763" s="9" t="str">
        <x:v>UNSEALED / SOURCE-EMPTY</x:v>
      </x:c>
      <x:c r="Q763" s="9" t="n">
        <x:f>COUNTIFS($A$7:$A$1158,A763)</x:f>
        <x:v>1</x:v>
      </x:c>
    </x:row>
    <x:row r="764">
      <x:c r="A764" s="9" t="str">
        <x:v>EV-AR-HU-A-B-TECH-2-B1-RCN-G0-RW06</x:v>
      </x:c>
      <x:c r="B764" s="9" t="str">
        <x:v>EV-AR-HU-A-B-TECH-2-B1-RCN-G0</x:v>
      </x:c>
      <x:c r="C764" s="9" t="str">
        <x:v>AR-HU-A-B-TECH-2-B1-RCN-G0</x:v>
      </x:c>
      <x:c r="D764" s="9" t="str">
        <x:v>HU-A-B-TECH-2</x:v>
      </x:c>
      <x:c r="E764" s="9" t="str">
        <x:v>HU-A-B</x:v>
      </x:c>
      <x:c r="F764" s="9" t="str">
        <x:v>B1</x:v>
      </x:c>
      <x:c r="G764" s="9" t="str">
        <x:v>RCN</x:v>
      </x:c>
      <x:c r="H764" s="9" t="str">
        <x:v>RW06</x:v>
      </x:c>
      <x:c r="I764" s="17" t="str">
        <x:v>Receiver service ledger</x:v>
      </x:c>
      <x:c r="J764" s="17" t="str">
        <x:v>Receiver authority</x:v>
      </x:c>
      <x:c r="K764" s="17" t="str">
        <x:v>Public custody F</x:v>
      </x:c>
      <x:c r="L764" s="9" t="n">
        <x:v>0</x:v>
      </x:c>
      <x:c r="M764" s="9" t="n">
        <x:v>0</x:v>
      </x:c>
      <x:c r="N764" s="9" t="n">
        <x:v>0</x:v>
      </x:c>
      <x:c r="O764" s="9" t="n">
        <x:v>0</x:v>
      </x:c>
      <x:c r="P764" s="9" t="str">
        <x:v>UNSEALED / SOURCE-EMPTY</x:v>
      </x:c>
      <x:c r="Q764" s="9" t="n">
        <x:f>COUNTIFS($A$7:$A$1158,A764)</x:f>
        <x:v>1</x:v>
      </x:c>
    </x:row>
    <x:row r="765">
      <x:c r="A765" s="9" t="str">
        <x:v>EV-AR-HU-A-B-TECH-2-B1-RCN-G0-RW07</x:v>
      </x:c>
      <x:c r="B765" s="9" t="str">
        <x:v>EV-AR-HU-A-B-TECH-2-B1-RCN-G0</x:v>
      </x:c>
      <x:c r="C765" s="9" t="str">
        <x:v>AR-HU-A-B-TECH-2-B1-RCN-G0</x:v>
      </x:c>
      <x:c r="D765" s="9" t="str">
        <x:v>HU-A-B-TECH-2</x:v>
      </x:c>
      <x:c r="E765" s="9" t="str">
        <x:v>HU-A-B</x:v>
      </x:c>
      <x:c r="F765" s="9" t="str">
        <x:v>B1</x:v>
      </x:c>
      <x:c r="G765" s="9" t="str">
        <x:v>RCN</x:v>
      </x:c>
      <x:c r="H765" s="9" t="str">
        <x:v>RW07</x:v>
      </x:c>
      <x:c r="I765" s="17" t="str">
        <x:v>Candidate interface telemetry</x:v>
      </x:c>
      <x:c r="J765" s="17" t="str">
        <x:v>Interface custodian</x:v>
      </x:c>
      <x:c r="K765" s="17" t="str">
        <x:v>Public custody A</x:v>
      </x:c>
      <x:c r="L765" s="9" t="n">
        <x:v>0</x:v>
      </x:c>
      <x:c r="M765" s="9" t="n">
        <x:v>0</x:v>
      </x:c>
      <x:c r="N765" s="9" t="n">
        <x:v>0</x:v>
      </x:c>
      <x:c r="O765" s="9" t="n">
        <x:v>0</x:v>
      </x:c>
      <x:c r="P765" s="9" t="str">
        <x:v>UNSEALED / SOURCE-EMPTY</x:v>
      </x:c>
      <x:c r="Q765" s="9" t="n">
        <x:f>COUNTIFS($A$7:$A$1158,A765)</x:f>
        <x:v>1</x:v>
      </x:c>
    </x:row>
    <x:row r="766">
      <x:c r="A766" s="9" t="str">
        <x:v>EV-AR-HU-A-B-TECH-2-B1-RCN-G0-RW08</x:v>
      </x:c>
      <x:c r="B766" s="9" t="str">
        <x:v>EV-AR-HU-A-B-TECH-2-B1-RCN-G0</x:v>
      </x:c>
      <x:c r="C766" s="9" t="str">
        <x:v>AR-HU-A-B-TECH-2-B1-RCN-G0</x:v>
      </x:c>
      <x:c r="D766" s="9" t="str">
        <x:v>HU-A-B-TECH-2</x:v>
      </x:c>
      <x:c r="E766" s="9" t="str">
        <x:v>HU-A-B</x:v>
      </x:c>
      <x:c r="F766" s="9" t="str">
        <x:v>B1</x:v>
      </x:c>
      <x:c r="G766" s="9" t="str">
        <x:v>RCN</x:v>
      </x:c>
      <x:c r="H766" s="9" t="str">
        <x:v>RW08</x:v>
      </x:c>
      <x:c r="I766" s="17" t="str">
        <x:v>Residual and physical evidence</x:v>
      </x:c>
      <x:c r="J766" s="17" t="str">
        <x:v>Residual authority</x:v>
      </x:c>
      <x:c r="K766" s="17" t="str">
        <x:v>Public custody B</x:v>
      </x:c>
      <x:c r="L766" s="9" t="n">
        <x:v>0</x:v>
      </x:c>
      <x:c r="M766" s="9" t="n">
        <x:v>0</x:v>
      </x:c>
      <x:c r="N766" s="9" t="n">
        <x:v>0</x:v>
      </x:c>
      <x:c r="O766" s="9" t="n">
        <x:v>0</x:v>
      </x:c>
      <x:c r="P766" s="9" t="str">
        <x:v>UNSEALED / SOURCE-EMPTY</x:v>
      </x:c>
      <x:c r="Q766" s="9" t="n">
        <x:f>COUNTIFS($A$7:$A$1158,A766)</x:f>
        <x:v>1</x:v>
      </x:c>
    </x:row>
    <x:row r="767">
      <x:c r="A767" s="9" t="str">
        <x:v>EV-AR-RT-B-C-TECH-2-B2-BRK-G0-RW01</x:v>
      </x:c>
      <x:c r="B767" s="9" t="str">
        <x:v>EV-AR-RT-B-C-TECH-2-B2-BRK-G0</x:v>
      </x:c>
      <x:c r="C767" s="9" t="str">
        <x:v>AR-RT-B-C-TECH-2-B2-BRK-G0</x:v>
      </x:c>
      <x:c r="D767" s="9" t="str">
        <x:v>RT-B-C-TECH-2</x:v>
      </x:c>
      <x:c r="E767" s="9" t="str">
        <x:v>RT-B-C</x:v>
      </x:c>
      <x:c r="F767" s="9" t="str">
        <x:v>B2</x:v>
      </x:c>
      <x:c r="G767" s="9" t="str">
        <x:v>BRK</x:v>
      </x:c>
      <x:c r="H767" s="9" t="str">
        <x:v>RW01</x:v>
      </x:c>
      <x:c r="I767" s="17" t="str">
        <x:v>Primary raw stream</x:v>
      </x:c>
      <x:c r="J767" s="17" t="str">
        <x:v>Primary metrology</x:v>
      </x:c>
      <x:c r="K767" s="17" t="str">
        <x:v>Public custody A</x:v>
      </x:c>
      <x:c r="L767" s="9" t="n">
        <x:v>0</x:v>
      </x:c>
      <x:c r="M767" s="9" t="n">
        <x:v>0</x:v>
      </x:c>
      <x:c r="N767" s="9" t="n">
        <x:v>0</x:v>
      </x:c>
      <x:c r="O767" s="9" t="n">
        <x:v>0</x:v>
      </x:c>
      <x:c r="P767" s="9" t="str">
        <x:v>UNSEALED / SOURCE-EMPTY</x:v>
      </x:c>
      <x:c r="Q767" s="9" t="n">
        <x:f>COUNTIFS($A$7:$A$1158,A767)</x:f>
        <x:v>1</x:v>
      </x:c>
    </x:row>
    <x:row r="768">
      <x:c r="A768" s="9" t="str">
        <x:v>EV-AR-RT-B-C-TECH-2-B2-BRK-G0-RW02</x:v>
      </x:c>
      <x:c r="B768" s="9" t="str">
        <x:v>EV-AR-RT-B-C-TECH-2-B2-BRK-G0</x:v>
      </x:c>
      <x:c r="C768" s="9" t="str">
        <x:v>AR-RT-B-C-TECH-2-B2-BRK-G0</x:v>
      </x:c>
      <x:c r="D768" s="9" t="str">
        <x:v>RT-B-C-TECH-2</x:v>
      </x:c>
      <x:c r="E768" s="9" t="str">
        <x:v>RT-B-C</x:v>
      </x:c>
      <x:c r="F768" s="9" t="str">
        <x:v>B2</x:v>
      </x:c>
      <x:c r="G768" s="9" t="str">
        <x:v>BRK</x:v>
      </x:c>
      <x:c r="H768" s="9" t="str">
        <x:v>RW02</x:v>
      </x:c>
      <x:c r="I768" s="17" t="str">
        <x:v>Unlike witness stream</x:v>
      </x:c>
      <x:c r="J768" s="17" t="str">
        <x:v>Witness metrology</x:v>
      </x:c>
      <x:c r="K768" s="17" t="str">
        <x:v>Public custody B</x:v>
      </x:c>
      <x:c r="L768" s="9" t="n">
        <x:v>0</x:v>
      </x:c>
      <x:c r="M768" s="9" t="n">
        <x:v>0</x:v>
      </x:c>
      <x:c r="N768" s="9" t="n">
        <x:v>0</x:v>
      </x:c>
      <x:c r="O768" s="9" t="n">
        <x:v>0</x:v>
      </x:c>
      <x:c r="P768" s="9" t="str">
        <x:v>UNSEALED / SOURCE-EMPTY</x:v>
      </x:c>
      <x:c r="Q768" s="9" t="n">
        <x:f>COUNTIFS($A$7:$A$1158,A768)</x:f>
        <x:v>1</x:v>
      </x:c>
    </x:row>
    <x:row r="769">
      <x:c r="A769" s="9" t="str">
        <x:v>EV-AR-RT-B-C-TECH-2-B2-BRK-G0-RW03</x:v>
      </x:c>
      <x:c r="B769" s="9" t="str">
        <x:v>EV-AR-RT-B-C-TECH-2-B2-BRK-G0</x:v>
      </x:c>
      <x:c r="C769" s="9" t="str">
        <x:v>AR-RT-B-C-TECH-2-B2-BRK-G0</x:v>
      </x:c>
      <x:c r="D769" s="9" t="str">
        <x:v>RT-B-C-TECH-2</x:v>
      </x:c>
      <x:c r="E769" s="9" t="str">
        <x:v>RT-B-C</x:v>
      </x:c>
      <x:c r="F769" s="9" t="str">
        <x:v>B2</x:v>
      </x:c>
      <x:c r="G769" s="9" t="str">
        <x:v>BRK</x:v>
      </x:c>
      <x:c r="H769" s="9" t="str">
        <x:v>RW03</x:v>
      </x:c>
      <x:c r="I769" s="17" t="str">
        <x:v>Event clock and start traces</x:v>
      </x:c>
      <x:c r="J769" s="17" t="str">
        <x:v>Event clock authority</x:v>
      </x:c>
      <x:c r="K769" s="17" t="str">
        <x:v>Public custody C</x:v>
      </x:c>
      <x:c r="L769" s="9" t="n">
        <x:v>0</x:v>
      </x:c>
      <x:c r="M769" s="9" t="n">
        <x:v>0</x:v>
      </x:c>
      <x:c r="N769" s="9" t="n">
        <x:v>0</x:v>
      </x:c>
      <x:c r="O769" s="9" t="n">
        <x:v>0</x:v>
      </x:c>
      <x:c r="P769" s="9" t="str">
        <x:v>UNSEALED / SOURCE-EMPTY</x:v>
      </x:c>
      <x:c r="Q769" s="9" t="n">
        <x:f>COUNTIFS($A$7:$A$1158,A769)</x:f>
        <x:v>1</x:v>
      </x:c>
    </x:row>
    <x:row r="770">
      <x:c r="A770" s="9" t="str">
        <x:v>EV-AR-RT-B-C-TECH-2-B2-BRK-G0-RW04</x:v>
      </x:c>
      <x:c r="B770" s="9" t="str">
        <x:v>EV-AR-RT-B-C-TECH-2-B2-BRK-G0</x:v>
      </x:c>
      <x:c r="C770" s="9" t="str">
        <x:v>AR-RT-B-C-TECH-2-B2-BRK-G0</x:v>
      </x:c>
      <x:c r="D770" s="9" t="str">
        <x:v>RT-B-C-TECH-2</x:v>
      </x:c>
      <x:c r="E770" s="9" t="str">
        <x:v>RT-B-C</x:v>
      </x:c>
      <x:c r="F770" s="9" t="str">
        <x:v>B2</x:v>
      </x:c>
      <x:c r="G770" s="9" t="str">
        <x:v>BRK</x:v>
      </x:c>
      <x:c r="H770" s="9" t="str">
        <x:v>RW04</x:v>
      </x:c>
      <x:c r="I770" s="17" t="str">
        <x:v>Environmental boundary stream</x:v>
      </x:c>
      <x:c r="J770" s="17" t="str">
        <x:v>Site metrology</x:v>
      </x:c>
      <x:c r="K770" s="17" t="str">
        <x:v>Public custody D</x:v>
      </x:c>
      <x:c r="L770" s="9" t="n">
        <x:v>0</x:v>
      </x:c>
      <x:c r="M770" s="9" t="n">
        <x:v>0</x:v>
      </x:c>
      <x:c r="N770" s="9" t="n">
        <x:v>0</x:v>
      </x:c>
      <x:c r="O770" s="9" t="n">
        <x:v>0</x:v>
      </x:c>
      <x:c r="P770" s="9" t="str">
        <x:v>UNSEALED / SOURCE-EMPTY</x:v>
      </x:c>
      <x:c r="Q770" s="9" t="n">
        <x:f>COUNTIFS($A$7:$A$1158,A770)</x:f>
        <x:v>1</x:v>
      </x:c>
    </x:row>
    <x:row r="771">
      <x:c r="A771" s="9" t="str">
        <x:v>EV-AR-RT-B-C-TECH-2-B2-BRK-G0-RW05</x:v>
      </x:c>
      <x:c r="B771" s="9" t="str">
        <x:v>EV-AR-RT-B-C-TECH-2-B2-BRK-G0</x:v>
      </x:c>
      <x:c r="C771" s="9" t="str">
        <x:v>AR-RT-B-C-TECH-2-B2-BRK-G0</x:v>
      </x:c>
      <x:c r="D771" s="9" t="str">
        <x:v>RT-B-C-TECH-2</x:v>
      </x:c>
      <x:c r="E771" s="9" t="str">
        <x:v>RT-B-C</x:v>
      </x:c>
      <x:c r="F771" s="9" t="str">
        <x:v>B2</x:v>
      </x:c>
      <x:c r="G771" s="9" t="str">
        <x:v>BRK</x:v>
      </x:c>
      <x:c r="H771" s="9" t="str">
        <x:v>RW05</x:v>
      </x:c>
      <x:c r="I771" s="17" t="str">
        <x:v>Command and intervention log</x:v>
      </x:c>
      <x:c r="J771" s="17" t="str">
        <x:v>Safety authority</x:v>
      </x:c>
      <x:c r="K771" s="17" t="str">
        <x:v>Public custody E</x:v>
      </x:c>
      <x:c r="L771" s="9" t="n">
        <x:v>0</x:v>
      </x:c>
      <x:c r="M771" s="9" t="n">
        <x:v>0</x:v>
      </x:c>
      <x:c r="N771" s="9" t="n">
        <x:v>0</x:v>
      </x:c>
      <x:c r="O771" s="9" t="n">
        <x:v>0</x:v>
      </x:c>
      <x:c r="P771" s="9" t="str">
        <x:v>UNSEALED / SOURCE-EMPTY</x:v>
      </x:c>
      <x:c r="Q771" s="9" t="n">
        <x:f>COUNTIFS($A$7:$A$1158,A771)</x:f>
        <x:v>1</x:v>
      </x:c>
    </x:row>
    <x:row r="772">
      <x:c r="A772" s="9" t="str">
        <x:v>EV-AR-RT-B-C-TECH-2-B2-BRK-G0-RW06</x:v>
      </x:c>
      <x:c r="B772" s="9" t="str">
        <x:v>EV-AR-RT-B-C-TECH-2-B2-BRK-G0</x:v>
      </x:c>
      <x:c r="C772" s="9" t="str">
        <x:v>AR-RT-B-C-TECH-2-B2-BRK-G0</x:v>
      </x:c>
      <x:c r="D772" s="9" t="str">
        <x:v>RT-B-C-TECH-2</x:v>
      </x:c>
      <x:c r="E772" s="9" t="str">
        <x:v>RT-B-C</x:v>
      </x:c>
      <x:c r="F772" s="9" t="str">
        <x:v>B2</x:v>
      </x:c>
      <x:c r="G772" s="9" t="str">
        <x:v>BRK</x:v>
      </x:c>
      <x:c r="H772" s="9" t="str">
        <x:v>RW06</x:v>
      </x:c>
      <x:c r="I772" s="17" t="str">
        <x:v>Receiver service ledger</x:v>
      </x:c>
      <x:c r="J772" s="17" t="str">
        <x:v>Receiver authority</x:v>
      </x:c>
      <x:c r="K772" s="17" t="str">
        <x:v>Public custody F</x:v>
      </x:c>
      <x:c r="L772" s="9" t="n">
        <x:v>0</x:v>
      </x:c>
      <x:c r="M772" s="9" t="n">
        <x:v>0</x:v>
      </x:c>
      <x:c r="N772" s="9" t="n">
        <x:v>0</x:v>
      </x:c>
      <x:c r="O772" s="9" t="n">
        <x:v>0</x:v>
      </x:c>
      <x:c r="P772" s="9" t="str">
        <x:v>UNSEALED / SOURCE-EMPTY</x:v>
      </x:c>
      <x:c r="Q772" s="9" t="n">
        <x:f>COUNTIFS($A$7:$A$1158,A772)</x:f>
        <x:v>1</x:v>
      </x:c>
    </x:row>
    <x:row r="773">
      <x:c r="A773" s="9" t="str">
        <x:v>EV-AR-RT-B-C-TECH-2-B2-BRK-G0-RW07</x:v>
      </x:c>
      <x:c r="B773" s="9" t="str">
        <x:v>EV-AR-RT-B-C-TECH-2-B2-BRK-G0</x:v>
      </x:c>
      <x:c r="C773" s="9" t="str">
        <x:v>AR-RT-B-C-TECH-2-B2-BRK-G0</x:v>
      </x:c>
      <x:c r="D773" s="9" t="str">
        <x:v>RT-B-C-TECH-2</x:v>
      </x:c>
      <x:c r="E773" s="9" t="str">
        <x:v>RT-B-C</x:v>
      </x:c>
      <x:c r="F773" s="9" t="str">
        <x:v>B2</x:v>
      </x:c>
      <x:c r="G773" s="9" t="str">
        <x:v>BRK</x:v>
      </x:c>
      <x:c r="H773" s="9" t="str">
        <x:v>RW07</x:v>
      </x:c>
      <x:c r="I773" s="17" t="str">
        <x:v>Candidate interface telemetry</x:v>
      </x:c>
      <x:c r="J773" s="17" t="str">
        <x:v>Interface custodian</x:v>
      </x:c>
      <x:c r="K773" s="17" t="str">
        <x:v>Public custody A</x:v>
      </x:c>
      <x:c r="L773" s="9" t="n">
        <x:v>0</x:v>
      </x:c>
      <x:c r="M773" s="9" t="n">
        <x:v>0</x:v>
      </x:c>
      <x:c r="N773" s="9" t="n">
        <x:v>0</x:v>
      </x:c>
      <x:c r="O773" s="9" t="n">
        <x:v>0</x:v>
      </x:c>
      <x:c r="P773" s="9" t="str">
        <x:v>UNSEALED / SOURCE-EMPTY</x:v>
      </x:c>
      <x:c r="Q773" s="9" t="n">
        <x:f>COUNTIFS($A$7:$A$1158,A773)</x:f>
        <x:v>1</x:v>
      </x:c>
    </x:row>
    <x:row r="774">
      <x:c r="A774" s="9" t="str">
        <x:v>EV-AR-RT-B-C-TECH-2-B2-BRK-G0-RW08</x:v>
      </x:c>
      <x:c r="B774" s="9" t="str">
        <x:v>EV-AR-RT-B-C-TECH-2-B2-BRK-G0</x:v>
      </x:c>
      <x:c r="C774" s="9" t="str">
        <x:v>AR-RT-B-C-TECH-2-B2-BRK-G0</x:v>
      </x:c>
      <x:c r="D774" s="9" t="str">
        <x:v>RT-B-C-TECH-2</x:v>
      </x:c>
      <x:c r="E774" s="9" t="str">
        <x:v>RT-B-C</x:v>
      </x:c>
      <x:c r="F774" s="9" t="str">
        <x:v>B2</x:v>
      </x:c>
      <x:c r="G774" s="9" t="str">
        <x:v>BRK</x:v>
      </x:c>
      <x:c r="H774" s="9" t="str">
        <x:v>RW08</x:v>
      </x:c>
      <x:c r="I774" s="17" t="str">
        <x:v>Residual and physical evidence</x:v>
      </x:c>
      <x:c r="J774" s="17" t="str">
        <x:v>Residual authority</x:v>
      </x:c>
      <x:c r="K774" s="17" t="str">
        <x:v>Public custody B</x:v>
      </x:c>
      <x:c r="L774" s="9" t="n">
        <x:v>0</x:v>
      </x:c>
      <x:c r="M774" s="9" t="n">
        <x:v>0</x:v>
      </x:c>
      <x:c r="N774" s="9" t="n">
        <x:v>0</x:v>
      </x:c>
      <x:c r="O774" s="9" t="n">
        <x:v>0</x:v>
      </x:c>
      <x:c r="P774" s="9" t="str">
        <x:v>UNSEALED / SOURCE-EMPTY</x:v>
      </x:c>
      <x:c r="Q774" s="9" t="n">
        <x:f>COUNTIFS($A$7:$A$1158,A774)</x:f>
        <x:v>1</x:v>
      </x:c>
    </x:row>
    <x:row r="775">
      <x:c r="A775" s="9" t="str">
        <x:v>EV-AR-CT-C-B-TECH-3-B2-INT-G0-RW01</x:v>
      </x:c>
      <x:c r="B775" s="9" t="str">
        <x:v>EV-AR-CT-C-B-TECH-3-B2-INT-G0</x:v>
      </x:c>
      <x:c r="C775" s="9" t="str">
        <x:v>AR-CT-C-B-TECH-3-B2-INT-G0</x:v>
      </x:c>
      <x:c r="D775" s="9" t="str">
        <x:v>CT-C-B-TECH-3</x:v>
      </x:c>
      <x:c r="E775" s="9" t="str">
        <x:v>CT-C-B</x:v>
      </x:c>
      <x:c r="F775" s="9" t="str">
        <x:v>B2</x:v>
      </x:c>
      <x:c r="G775" s="9" t="str">
        <x:v>INT</x:v>
      </x:c>
      <x:c r="H775" s="9" t="str">
        <x:v>RW01</x:v>
      </x:c>
      <x:c r="I775" s="17" t="str">
        <x:v>Primary raw stream</x:v>
      </x:c>
      <x:c r="J775" s="17" t="str">
        <x:v>Primary metrology</x:v>
      </x:c>
      <x:c r="K775" s="17" t="str">
        <x:v>Public custody A</x:v>
      </x:c>
      <x:c r="L775" s="9" t="n">
        <x:v>0</x:v>
      </x:c>
      <x:c r="M775" s="9" t="n">
        <x:v>0</x:v>
      </x:c>
      <x:c r="N775" s="9" t="n">
        <x:v>0</x:v>
      </x:c>
      <x:c r="O775" s="9" t="n">
        <x:v>0</x:v>
      </x:c>
      <x:c r="P775" s="9" t="str">
        <x:v>UNSEALED / SOURCE-EMPTY</x:v>
      </x:c>
      <x:c r="Q775" s="9" t="n">
        <x:f>COUNTIFS($A$7:$A$1158,A775)</x:f>
        <x:v>1</x:v>
      </x:c>
    </x:row>
    <x:row r="776">
      <x:c r="A776" s="9" t="str">
        <x:v>EV-AR-CT-C-B-TECH-3-B2-INT-G0-RW02</x:v>
      </x:c>
      <x:c r="B776" s="9" t="str">
        <x:v>EV-AR-CT-C-B-TECH-3-B2-INT-G0</x:v>
      </x:c>
      <x:c r="C776" s="9" t="str">
        <x:v>AR-CT-C-B-TECH-3-B2-INT-G0</x:v>
      </x:c>
      <x:c r="D776" s="9" t="str">
        <x:v>CT-C-B-TECH-3</x:v>
      </x:c>
      <x:c r="E776" s="9" t="str">
        <x:v>CT-C-B</x:v>
      </x:c>
      <x:c r="F776" s="9" t="str">
        <x:v>B2</x:v>
      </x:c>
      <x:c r="G776" s="9" t="str">
        <x:v>INT</x:v>
      </x:c>
      <x:c r="H776" s="9" t="str">
        <x:v>RW02</x:v>
      </x:c>
      <x:c r="I776" s="17" t="str">
        <x:v>Unlike witness stream</x:v>
      </x:c>
      <x:c r="J776" s="17" t="str">
        <x:v>Witness metrology</x:v>
      </x:c>
      <x:c r="K776" s="17" t="str">
        <x:v>Public custody B</x:v>
      </x:c>
      <x:c r="L776" s="9" t="n">
        <x:v>0</x:v>
      </x:c>
      <x:c r="M776" s="9" t="n">
        <x:v>0</x:v>
      </x:c>
      <x:c r="N776" s="9" t="n">
        <x:v>0</x:v>
      </x:c>
      <x:c r="O776" s="9" t="n">
        <x:v>0</x:v>
      </x:c>
      <x:c r="P776" s="9" t="str">
        <x:v>UNSEALED / SOURCE-EMPTY</x:v>
      </x:c>
      <x:c r="Q776" s="9" t="n">
        <x:f>COUNTIFS($A$7:$A$1158,A776)</x:f>
        <x:v>1</x:v>
      </x:c>
    </x:row>
    <x:row r="777">
      <x:c r="A777" s="9" t="str">
        <x:v>EV-AR-CT-C-B-TECH-3-B2-INT-G0-RW03</x:v>
      </x:c>
      <x:c r="B777" s="9" t="str">
        <x:v>EV-AR-CT-C-B-TECH-3-B2-INT-G0</x:v>
      </x:c>
      <x:c r="C777" s="9" t="str">
        <x:v>AR-CT-C-B-TECH-3-B2-INT-G0</x:v>
      </x:c>
      <x:c r="D777" s="9" t="str">
        <x:v>CT-C-B-TECH-3</x:v>
      </x:c>
      <x:c r="E777" s="9" t="str">
        <x:v>CT-C-B</x:v>
      </x:c>
      <x:c r="F777" s="9" t="str">
        <x:v>B2</x:v>
      </x:c>
      <x:c r="G777" s="9" t="str">
        <x:v>INT</x:v>
      </x:c>
      <x:c r="H777" s="9" t="str">
        <x:v>RW03</x:v>
      </x:c>
      <x:c r="I777" s="17" t="str">
        <x:v>Event clock and start traces</x:v>
      </x:c>
      <x:c r="J777" s="17" t="str">
        <x:v>Event clock authority</x:v>
      </x:c>
      <x:c r="K777" s="17" t="str">
        <x:v>Public custody C</x:v>
      </x:c>
      <x:c r="L777" s="9" t="n">
        <x:v>0</x:v>
      </x:c>
      <x:c r="M777" s="9" t="n">
        <x:v>0</x:v>
      </x:c>
      <x:c r="N777" s="9" t="n">
        <x:v>0</x:v>
      </x:c>
      <x:c r="O777" s="9" t="n">
        <x:v>0</x:v>
      </x:c>
      <x:c r="P777" s="9" t="str">
        <x:v>UNSEALED / SOURCE-EMPTY</x:v>
      </x:c>
      <x:c r="Q777" s="9" t="n">
        <x:f>COUNTIFS($A$7:$A$1158,A777)</x:f>
        <x:v>1</x:v>
      </x:c>
    </x:row>
    <x:row r="778">
      <x:c r="A778" s="9" t="str">
        <x:v>EV-AR-CT-C-B-TECH-3-B2-INT-G0-RW04</x:v>
      </x:c>
      <x:c r="B778" s="9" t="str">
        <x:v>EV-AR-CT-C-B-TECH-3-B2-INT-G0</x:v>
      </x:c>
      <x:c r="C778" s="9" t="str">
        <x:v>AR-CT-C-B-TECH-3-B2-INT-G0</x:v>
      </x:c>
      <x:c r="D778" s="9" t="str">
        <x:v>CT-C-B-TECH-3</x:v>
      </x:c>
      <x:c r="E778" s="9" t="str">
        <x:v>CT-C-B</x:v>
      </x:c>
      <x:c r="F778" s="9" t="str">
        <x:v>B2</x:v>
      </x:c>
      <x:c r="G778" s="9" t="str">
        <x:v>INT</x:v>
      </x:c>
      <x:c r="H778" s="9" t="str">
        <x:v>RW04</x:v>
      </x:c>
      <x:c r="I778" s="17" t="str">
        <x:v>Environmental boundary stream</x:v>
      </x:c>
      <x:c r="J778" s="17" t="str">
        <x:v>Site metrology</x:v>
      </x:c>
      <x:c r="K778" s="17" t="str">
        <x:v>Public custody D</x:v>
      </x:c>
      <x:c r="L778" s="9" t="n">
        <x:v>0</x:v>
      </x:c>
      <x:c r="M778" s="9" t="n">
        <x:v>0</x:v>
      </x:c>
      <x:c r="N778" s="9" t="n">
        <x:v>0</x:v>
      </x:c>
      <x:c r="O778" s="9" t="n">
        <x:v>0</x:v>
      </x:c>
      <x:c r="P778" s="9" t="str">
        <x:v>UNSEALED / SOURCE-EMPTY</x:v>
      </x:c>
      <x:c r="Q778" s="9" t="n">
        <x:f>COUNTIFS($A$7:$A$1158,A778)</x:f>
        <x:v>1</x:v>
      </x:c>
    </x:row>
    <x:row r="779">
      <x:c r="A779" s="9" t="str">
        <x:v>EV-AR-CT-C-B-TECH-3-B2-INT-G0-RW05</x:v>
      </x:c>
      <x:c r="B779" s="9" t="str">
        <x:v>EV-AR-CT-C-B-TECH-3-B2-INT-G0</x:v>
      </x:c>
      <x:c r="C779" s="9" t="str">
        <x:v>AR-CT-C-B-TECH-3-B2-INT-G0</x:v>
      </x:c>
      <x:c r="D779" s="9" t="str">
        <x:v>CT-C-B-TECH-3</x:v>
      </x:c>
      <x:c r="E779" s="9" t="str">
        <x:v>CT-C-B</x:v>
      </x:c>
      <x:c r="F779" s="9" t="str">
        <x:v>B2</x:v>
      </x:c>
      <x:c r="G779" s="9" t="str">
        <x:v>INT</x:v>
      </x:c>
      <x:c r="H779" s="9" t="str">
        <x:v>RW05</x:v>
      </x:c>
      <x:c r="I779" s="17" t="str">
        <x:v>Command and intervention log</x:v>
      </x:c>
      <x:c r="J779" s="17" t="str">
        <x:v>Safety authority</x:v>
      </x:c>
      <x:c r="K779" s="17" t="str">
        <x:v>Public custody E</x:v>
      </x:c>
      <x:c r="L779" s="9" t="n">
        <x:v>0</x:v>
      </x:c>
      <x:c r="M779" s="9" t="n">
        <x:v>0</x:v>
      </x:c>
      <x:c r="N779" s="9" t="n">
        <x:v>0</x:v>
      </x:c>
      <x:c r="O779" s="9" t="n">
        <x:v>0</x:v>
      </x:c>
      <x:c r="P779" s="9" t="str">
        <x:v>UNSEALED / SOURCE-EMPTY</x:v>
      </x:c>
      <x:c r="Q779" s="9" t="n">
        <x:f>COUNTIFS($A$7:$A$1158,A779)</x:f>
        <x:v>1</x:v>
      </x:c>
    </x:row>
    <x:row r="780">
      <x:c r="A780" s="9" t="str">
        <x:v>EV-AR-CT-C-B-TECH-3-B2-INT-G0-RW06</x:v>
      </x:c>
      <x:c r="B780" s="9" t="str">
        <x:v>EV-AR-CT-C-B-TECH-3-B2-INT-G0</x:v>
      </x:c>
      <x:c r="C780" s="9" t="str">
        <x:v>AR-CT-C-B-TECH-3-B2-INT-G0</x:v>
      </x:c>
      <x:c r="D780" s="9" t="str">
        <x:v>CT-C-B-TECH-3</x:v>
      </x:c>
      <x:c r="E780" s="9" t="str">
        <x:v>CT-C-B</x:v>
      </x:c>
      <x:c r="F780" s="9" t="str">
        <x:v>B2</x:v>
      </x:c>
      <x:c r="G780" s="9" t="str">
        <x:v>INT</x:v>
      </x:c>
      <x:c r="H780" s="9" t="str">
        <x:v>RW06</x:v>
      </x:c>
      <x:c r="I780" s="17" t="str">
        <x:v>Receiver service ledger</x:v>
      </x:c>
      <x:c r="J780" s="17" t="str">
        <x:v>Receiver authority</x:v>
      </x:c>
      <x:c r="K780" s="17" t="str">
        <x:v>Public custody F</x:v>
      </x:c>
      <x:c r="L780" s="9" t="n">
        <x:v>0</x:v>
      </x:c>
      <x:c r="M780" s="9" t="n">
        <x:v>0</x:v>
      </x:c>
      <x:c r="N780" s="9" t="n">
        <x:v>0</x:v>
      </x:c>
      <x:c r="O780" s="9" t="n">
        <x:v>0</x:v>
      </x:c>
      <x:c r="P780" s="9" t="str">
        <x:v>UNSEALED / SOURCE-EMPTY</x:v>
      </x:c>
      <x:c r="Q780" s="9" t="n">
        <x:f>COUNTIFS($A$7:$A$1158,A780)</x:f>
        <x:v>1</x:v>
      </x:c>
    </x:row>
    <x:row r="781">
      <x:c r="A781" s="9" t="str">
        <x:v>EV-AR-CT-C-B-TECH-3-B2-INT-G0-RW07</x:v>
      </x:c>
      <x:c r="B781" s="9" t="str">
        <x:v>EV-AR-CT-C-B-TECH-3-B2-INT-G0</x:v>
      </x:c>
      <x:c r="C781" s="9" t="str">
        <x:v>AR-CT-C-B-TECH-3-B2-INT-G0</x:v>
      </x:c>
      <x:c r="D781" s="9" t="str">
        <x:v>CT-C-B-TECH-3</x:v>
      </x:c>
      <x:c r="E781" s="9" t="str">
        <x:v>CT-C-B</x:v>
      </x:c>
      <x:c r="F781" s="9" t="str">
        <x:v>B2</x:v>
      </x:c>
      <x:c r="G781" s="9" t="str">
        <x:v>INT</x:v>
      </x:c>
      <x:c r="H781" s="9" t="str">
        <x:v>RW07</x:v>
      </x:c>
      <x:c r="I781" s="17" t="str">
        <x:v>Candidate interface telemetry</x:v>
      </x:c>
      <x:c r="J781" s="17" t="str">
        <x:v>Interface custodian</x:v>
      </x:c>
      <x:c r="K781" s="17" t="str">
        <x:v>Public custody A</x:v>
      </x:c>
      <x:c r="L781" s="9" t="n">
        <x:v>0</x:v>
      </x:c>
      <x:c r="M781" s="9" t="n">
        <x:v>0</x:v>
      </x:c>
      <x:c r="N781" s="9" t="n">
        <x:v>0</x:v>
      </x:c>
      <x:c r="O781" s="9" t="n">
        <x:v>0</x:v>
      </x:c>
      <x:c r="P781" s="9" t="str">
        <x:v>UNSEALED / SOURCE-EMPTY</x:v>
      </x:c>
      <x:c r="Q781" s="9" t="n">
        <x:f>COUNTIFS($A$7:$A$1158,A781)</x:f>
        <x:v>1</x:v>
      </x:c>
    </x:row>
    <x:row r="782">
      <x:c r="A782" s="9" t="str">
        <x:v>EV-AR-CT-C-B-TECH-3-B2-INT-G0-RW08</x:v>
      </x:c>
      <x:c r="B782" s="9" t="str">
        <x:v>EV-AR-CT-C-B-TECH-3-B2-INT-G0</x:v>
      </x:c>
      <x:c r="C782" s="9" t="str">
        <x:v>AR-CT-C-B-TECH-3-B2-INT-G0</x:v>
      </x:c>
      <x:c r="D782" s="9" t="str">
        <x:v>CT-C-B-TECH-3</x:v>
      </x:c>
      <x:c r="E782" s="9" t="str">
        <x:v>CT-C-B</x:v>
      </x:c>
      <x:c r="F782" s="9" t="str">
        <x:v>B2</x:v>
      </x:c>
      <x:c r="G782" s="9" t="str">
        <x:v>INT</x:v>
      </x:c>
      <x:c r="H782" s="9" t="str">
        <x:v>RW08</x:v>
      </x:c>
      <x:c r="I782" s="17" t="str">
        <x:v>Residual and physical evidence</x:v>
      </x:c>
      <x:c r="J782" s="17" t="str">
        <x:v>Residual authority</x:v>
      </x:c>
      <x:c r="K782" s="17" t="str">
        <x:v>Public custody B</x:v>
      </x:c>
      <x:c r="L782" s="9" t="n">
        <x:v>0</x:v>
      </x:c>
      <x:c r="M782" s="9" t="n">
        <x:v>0</x:v>
      </x:c>
      <x:c r="N782" s="9" t="n">
        <x:v>0</x:v>
      </x:c>
      <x:c r="O782" s="9" t="n">
        <x:v>0</x:v>
      </x:c>
      <x:c r="P782" s="9" t="str">
        <x:v>UNSEALED / SOURCE-EMPTY</x:v>
      </x:c>
      <x:c r="Q782" s="9" t="n">
        <x:f>COUNTIFS($A$7:$A$1158,A782)</x:f>
        <x:v>1</x:v>
      </x:c>
    </x:row>
    <x:row r="783">
      <x:c r="A783" s="9" t="str">
        <x:v>EV-AR-ET-A-A-TECH-1-B1-RCN-G0-RW01</x:v>
      </x:c>
      <x:c r="B783" s="9" t="str">
        <x:v>EV-AR-ET-A-A-TECH-1-B1-RCN-G0</x:v>
      </x:c>
      <x:c r="C783" s="9" t="str">
        <x:v>AR-ET-A-A-TECH-1-B1-RCN-G0</x:v>
      </x:c>
      <x:c r="D783" s="9" t="str">
        <x:v>ET-A-A-TECH-1</x:v>
      </x:c>
      <x:c r="E783" s="9" t="str">
        <x:v>ET-A-A</x:v>
      </x:c>
      <x:c r="F783" s="9" t="str">
        <x:v>B1</x:v>
      </x:c>
      <x:c r="G783" s="9" t="str">
        <x:v>RCN</x:v>
      </x:c>
      <x:c r="H783" s="9" t="str">
        <x:v>RW01</x:v>
      </x:c>
      <x:c r="I783" s="17" t="str">
        <x:v>Primary raw stream</x:v>
      </x:c>
      <x:c r="J783" s="17" t="str">
        <x:v>Primary metrology</x:v>
      </x:c>
      <x:c r="K783" s="17" t="str">
        <x:v>Public custody A</x:v>
      </x:c>
      <x:c r="L783" s="9" t="n">
        <x:v>0</x:v>
      </x:c>
      <x:c r="M783" s="9" t="n">
        <x:v>0</x:v>
      </x:c>
      <x:c r="N783" s="9" t="n">
        <x:v>0</x:v>
      </x:c>
      <x:c r="O783" s="9" t="n">
        <x:v>0</x:v>
      </x:c>
      <x:c r="P783" s="9" t="str">
        <x:v>UNSEALED / SOURCE-EMPTY</x:v>
      </x:c>
      <x:c r="Q783" s="9" t="n">
        <x:f>COUNTIFS($A$7:$A$1158,A783)</x:f>
        <x:v>1</x:v>
      </x:c>
    </x:row>
    <x:row r="784">
      <x:c r="A784" s="9" t="str">
        <x:v>EV-AR-ET-A-A-TECH-1-B1-RCN-G0-RW02</x:v>
      </x:c>
      <x:c r="B784" s="9" t="str">
        <x:v>EV-AR-ET-A-A-TECH-1-B1-RCN-G0</x:v>
      </x:c>
      <x:c r="C784" s="9" t="str">
        <x:v>AR-ET-A-A-TECH-1-B1-RCN-G0</x:v>
      </x:c>
      <x:c r="D784" s="9" t="str">
        <x:v>ET-A-A-TECH-1</x:v>
      </x:c>
      <x:c r="E784" s="9" t="str">
        <x:v>ET-A-A</x:v>
      </x:c>
      <x:c r="F784" s="9" t="str">
        <x:v>B1</x:v>
      </x:c>
      <x:c r="G784" s="9" t="str">
        <x:v>RCN</x:v>
      </x:c>
      <x:c r="H784" s="9" t="str">
        <x:v>RW02</x:v>
      </x:c>
      <x:c r="I784" s="17" t="str">
        <x:v>Unlike witness stream</x:v>
      </x:c>
      <x:c r="J784" s="17" t="str">
        <x:v>Witness metrology</x:v>
      </x:c>
      <x:c r="K784" s="17" t="str">
        <x:v>Public custody B</x:v>
      </x:c>
      <x:c r="L784" s="9" t="n">
        <x:v>0</x:v>
      </x:c>
      <x:c r="M784" s="9" t="n">
        <x:v>0</x:v>
      </x:c>
      <x:c r="N784" s="9" t="n">
        <x:v>0</x:v>
      </x:c>
      <x:c r="O784" s="9" t="n">
        <x:v>0</x:v>
      </x:c>
      <x:c r="P784" s="9" t="str">
        <x:v>UNSEALED / SOURCE-EMPTY</x:v>
      </x:c>
      <x:c r="Q784" s="9" t="n">
        <x:f>COUNTIFS($A$7:$A$1158,A784)</x:f>
        <x:v>1</x:v>
      </x:c>
    </x:row>
    <x:row r="785">
      <x:c r="A785" s="9" t="str">
        <x:v>EV-AR-ET-A-A-TECH-1-B1-RCN-G0-RW03</x:v>
      </x:c>
      <x:c r="B785" s="9" t="str">
        <x:v>EV-AR-ET-A-A-TECH-1-B1-RCN-G0</x:v>
      </x:c>
      <x:c r="C785" s="9" t="str">
        <x:v>AR-ET-A-A-TECH-1-B1-RCN-G0</x:v>
      </x:c>
      <x:c r="D785" s="9" t="str">
        <x:v>ET-A-A-TECH-1</x:v>
      </x:c>
      <x:c r="E785" s="9" t="str">
        <x:v>ET-A-A</x:v>
      </x:c>
      <x:c r="F785" s="9" t="str">
        <x:v>B1</x:v>
      </x:c>
      <x:c r="G785" s="9" t="str">
        <x:v>RCN</x:v>
      </x:c>
      <x:c r="H785" s="9" t="str">
        <x:v>RW03</x:v>
      </x:c>
      <x:c r="I785" s="17" t="str">
        <x:v>Event clock and start traces</x:v>
      </x:c>
      <x:c r="J785" s="17" t="str">
        <x:v>Event clock authority</x:v>
      </x:c>
      <x:c r="K785" s="17" t="str">
        <x:v>Public custody C</x:v>
      </x:c>
      <x:c r="L785" s="9" t="n">
        <x:v>0</x:v>
      </x:c>
      <x:c r="M785" s="9" t="n">
        <x:v>0</x:v>
      </x:c>
      <x:c r="N785" s="9" t="n">
        <x:v>0</x:v>
      </x:c>
      <x:c r="O785" s="9" t="n">
        <x:v>0</x:v>
      </x:c>
      <x:c r="P785" s="9" t="str">
        <x:v>UNSEALED / SOURCE-EMPTY</x:v>
      </x:c>
      <x:c r="Q785" s="9" t="n">
        <x:f>COUNTIFS($A$7:$A$1158,A785)</x:f>
        <x:v>1</x:v>
      </x:c>
    </x:row>
    <x:row r="786">
      <x:c r="A786" s="9" t="str">
        <x:v>EV-AR-ET-A-A-TECH-1-B1-RCN-G0-RW04</x:v>
      </x:c>
      <x:c r="B786" s="9" t="str">
        <x:v>EV-AR-ET-A-A-TECH-1-B1-RCN-G0</x:v>
      </x:c>
      <x:c r="C786" s="9" t="str">
        <x:v>AR-ET-A-A-TECH-1-B1-RCN-G0</x:v>
      </x:c>
      <x:c r="D786" s="9" t="str">
        <x:v>ET-A-A-TECH-1</x:v>
      </x:c>
      <x:c r="E786" s="9" t="str">
        <x:v>ET-A-A</x:v>
      </x:c>
      <x:c r="F786" s="9" t="str">
        <x:v>B1</x:v>
      </x:c>
      <x:c r="G786" s="9" t="str">
        <x:v>RCN</x:v>
      </x:c>
      <x:c r="H786" s="9" t="str">
        <x:v>RW04</x:v>
      </x:c>
      <x:c r="I786" s="17" t="str">
        <x:v>Environmental boundary stream</x:v>
      </x:c>
      <x:c r="J786" s="17" t="str">
        <x:v>Site metrology</x:v>
      </x:c>
      <x:c r="K786" s="17" t="str">
        <x:v>Public custody D</x:v>
      </x:c>
      <x:c r="L786" s="9" t="n">
        <x:v>0</x:v>
      </x:c>
      <x:c r="M786" s="9" t="n">
        <x:v>0</x:v>
      </x:c>
      <x:c r="N786" s="9" t="n">
        <x:v>0</x:v>
      </x:c>
      <x:c r="O786" s="9" t="n">
        <x:v>0</x:v>
      </x:c>
      <x:c r="P786" s="9" t="str">
        <x:v>UNSEALED / SOURCE-EMPTY</x:v>
      </x:c>
      <x:c r="Q786" s="9" t="n">
        <x:f>COUNTIFS($A$7:$A$1158,A786)</x:f>
        <x:v>1</x:v>
      </x:c>
    </x:row>
    <x:row r="787">
      <x:c r="A787" s="9" t="str">
        <x:v>EV-AR-ET-A-A-TECH-1-B1-RCN-G0-RW05</x:v>
      </x:c>
      <x:c r="B787" s="9" t="str">
        <x:v>EV-AR-ET-A-A-TECH-1-B1-RCN-G0</x:v>
      </x:c>
      <x:c r="C787" s="9" t="str">
        <x:v>AR-ET-A-A-TECH-1-B1-RCN-G0</x:v>
      </x:c>
      <x:c r="D787" s="9" t="str">
        <x:v>ET-A-A-TECH-1</x:v>
      </x:c>
      <x:c r="E787" s="9" t="str">
        <x:v>ET-A-A</x:v>
      </x:c>
      <x:c r="F787" s="9" t="str">
        <x:v>B1</x:v>
      </x:c>
      <x:c r="G787" s="9" t="str">
        <x:v>RCN</x:v>
      </x:c>
      <x:c r="H787" s="9" t="str">
        <x:v>RW05</x:v>
      </x:c>
      <x:c r="I787" s="17" t="str">
        <x:v>Command and intervention log</x:v>
      </x:c>
      <x:c r="J787" s="17" t="str">
        <x:v>Safety authority</x:v>
      </x:c>
      <x:c r="K787" s="17" t="str">
        <x:v>Public custody E</x:v>
      </x:c>
      <x:c r="L787" s="9" t="n">
        <x:v>0</x:v>
      </x:c>
      <x:c r="M787" s="9" t="n">
        <x:v>0</x:v>
      </x:c>
      <x:c r="N787" s="9" t="n">
        <x:v>0</x:v>
      </x:c>
      <x:c r="O787" s="9" t="n">
        <x:v>0</x:v>
      </x:c>
      <x:c r="P787" s="9" t="str">
        <x:v>UNSEALED / SOURCE-EMPTY</x:v>
      </x:c>
      <x:c r="Q787" s="9" t="n">
        <x:f>COUNTIFS($A$7:$A$1158,A787)</x:f>
        <x:v>1</x:v>
      </x:c>
    </x:row>
    <x:row r="788">
      <x:c r="A788" s="9" t="str">
        <x:v>EV-AR-ET-A-A-TECH-1-B1-RCN-G0-RW06</x:v>
      </x:c>
      <x:c r="B788" s="9" t="str">
        <x:v>EV-AR-ET-A-A-TECH-1-B1-RCN-G0</x:v>
      </x:c>
      <x:c r="C788" s="9" t="str">
        <x:v>AR-ET-A-A-TECH-1-B1-RCN-G0</x:v>
      </x:c>
      <x:c r="D788" s="9" t="str">
        <x:v>ET-A-A-TECH-1</x:v>
      </x:c>
      <x:c r="E788" s="9" t="str">
        <x:v>ET-A-A</x:v>
      </x:c>
      <x:c r="F788" s="9" t="str">
        <x:v>B1</x:v>
      </x:c>
      <x:c r="G788" s="9" t="str">
        <x:v>RCN</x:v>
      </x:c>
      <x:c r="H788" s="9" t="str">
        <x:v>RW06</x:v>
      </x:c>
      <x:c r="I788" s="17" t="str">
        <x:v>Receiver service ledger</x:v>
      </x:c>
      <x:c r="J788" s="17" t="str">
        <x:v>Receiver authority</x:v>
      </x:c>
      <x:c r="K788" s="17" t="str">
        <x:v>Public custody F</x:v>
      </x:c>
      <x:c r="L788" s="9" t="n">
        <x:v>0</x:v>
      </x:c>
      <x:c r="M788" s="9" t="n">
        <x:v>0</x:v>
      </x:c>
      <x:c r="N788" s="9" t="n">
        <x:v>0</x:v>
      </x:c>
      <x:c r="O788" s="9" t="n">
        <x:v>0</x:v>
      </x:c>
      <x:c r="P788" s="9" t="str">
        <x:v>UNSEALED / SOURCE-EMPTY</x:v>
      </x:c>
      <x:c r="Q788" s="9" t="n">
        <x:f>COUNTIFS($A$7:$A$1158,A788)</x:f>
        <x:v>1</x:v>
      </x:c>
    </x:row>
    <x:row r="789">
      <x:c r="A789" s="9" t="str">
        <x:v>EV-AR-ET-A-A-TECH-1-B1-RCN-G0-RW07</x:v>
      </x:c>
      <x:c r="B789" s="9" t="str">
        <x:v>EV-AR-ET-A-A-TECH-1-B1-RCN-G0</x:v>
      </x:c>
      <x:c r="C789" s="9" t="str">
        <x:v>AR-ET-A-A-TECH-1-B1-RCN-G0</x:v>
      </x:c>
      <x:c r="D789" s="9" t="str">
        <x:v>ET-A-A-TECH-1</x:v>
      </x:c>
      <x:c r="E789" s="9" t="str">
        <x:v>ET-A-A</x:v>
      </x:c>
      <x:c r="F789" s="9" t="str">
        <x:v>B1</x:v>
      </x:c>
      <x:c r="G789" s="9" t="str">
        <x:v>RCN</x:v>
      </x:c>
      <x:c r="H789" s="9" t="str">
        <x:v>RW07</x:v>
      </x:c>
      <x:c r="I789" s="17" t="str">
        <x:v>Candidate interface telemetry</x:v>
      </x:c>
      <x:c r="J789" s="17" t="str">
        <x:v>Interface custodian</x:v>
      </x:c>
      <x:c r="K789" s="17" t="str">
        <x:v>Public custody A</x:v>
      </x:c>
      <x:c r="L789" s="9" t="n">
        <x:v>0</x:v>
      </x:c>
      <x:c r="M789" s="9" t="n">
        <x:v>0</x:v>
      </x:c>
      <x:c r="N789" s="9" t="n">
        <x:v>0</x:v>
      </x:c>
      <x:c r="O789" s="9" t="n">
        <x:v>0</x:v>
      </x:c>
      <x:c r="P789" s="9" t="str">
        <x:v>UNSEALED / SOURCE-EMPTY</x:v>
      </x:c>
      <x:c r="Q789" s="9" t="n">
        <x:f>COUNTIFS($A$7:$A$1158,A789)</x:f>
        <x:v>1</x:v>
      </x:c>
    </x:row>
    <x:row r="790">
      <x:c r="A790" s="9" t="str">
        <x:v>EV-AR-ET-A-A-TECH-1-B1-RCN-G0-RW08</x:v>
      </x:c>
      <x:c r="B790" s="9" t="str">
        <x:v>EV-AR-ET-A-A-TECH-1-B1-RCN-G0</x:v>
      </x:c>
      <x:c r="C790" s="9" t="str">
        <x:v>AR-ET-A-A-TECH-1-B1-RCN-G0</x:v>
      </x:c>
      <x:c r="D790" s="9" t="str">
        <x:v>ET-A-A-TECH-1</x:v>
      </x:c>
      <x:c r="E790" s="9" t="str">
        <x:v>ET-A-A</x:v>
      </x:c>
      <x:c r="F790" s="9" t="str">
        <x:v>B1</x:v>
      </x:c>
      <x:c r="G790" s="9" t="str">
        <x:v>RCN</x:v>
      </x:c>
      <x:c r="H790" s="9" t="str">
        <x:v>RW08</x:v>
      </x:c>
      <x:c r="I790" s="17" t="str">
        <x:v>Residual and physical evidence</x:v>
      </x:c>
      <x:c r="J790" s="17" t="str">
        <x:v>Residual authority</x:v>
      </x:c>
      <x:c r="K790" s="17" t="str">
        <x:v>Public custody B</x:v>
      </x:c>
      <x:c r="L790" s="9" t="n">
        <x:v>0</x:v>
      </x:c>
      <x:c r="M790" s="9" t="n">
        <x:v>0</x:v>
      </x:c>
      <x:c r="N790" s="9" t="n">
        <x:v>0</x:v>
      </x:c>
      <x:c r="O790" s="9" t="n">
        <x:v>0</x:v>
      </x:c>
      <x:c r="P790" s="9" t="str">
        <x:v>UNSEALED / SOURCE-EMPTY</x:v>
      </x:c>
      <x:c r="Q790" s="9" t="n">
        <x:f>COUNTIFS($A$7:$A$1158,A790)</x:f>
        <x:v>1</x:v>
      </x:c>
    </x:row>
    <x:row r="791">
      <x:c r="A791" s="9" t="str">
        <x:v>EV-AR-HC-A-C-TECH-4-B2-RCN-G0-RW01</x:v>
      </x:c>
      <x:c r="B791" s="9" t="str">
        <x:v>EV-AR-HC-A-C-TECH-4-B2-RCN-G0</x:v>
      </x:c>
      <x:c r="C791" s="9" t="str">
        <x:v>AR-HC-A-C-TECH-4-B2-RCN-G0</x:v>
      </x:c>
      <x:c r="D791" s="9" t="str">
        <x:v>HC-A-C-TECH-4</x:v>
      </x:c>
      <x:c r="E791" s="9" t="str">
        <x:v>HC-A-C</x:v>
      </x:c>
      <x:c r="F791" s="9" t="str">
        <x:v>B2</x:v>
      </x:c>
      <x:c r="G791" s="9" t="str">
        <x:v>RCN</x:v>
      </x:c>
      <x:c r="H791" s="9" t="str">
        <x:v>RW01</x:v>
      </x:c>
      <x:c r="I791" s="17" t="str">
        <x:v>Primary raw stream</x:v>
      </x:c>
      <x:c r="J791" s="17" t="str">
        <x:v>Primary metrology</x:v>
      </x:c>
      <x:c r="K791" s="17" t="str">
        <x:v>Public custody A</x:v>
      </x:c>
      <x:c r="L791" s="9" t="n">
        <x:v>0</x:v>
      </x:c>
      <x:c r="M791" s="9" t="n">
        <x:v>0</x:v>
      </x:c>
      <x:c r="N791" s="9" t="n">
        <x:v>0</x:v>
      </x:c>
      <x:c r="O791" s="9" t="n">
        <x:v>0</x:v>
      </x:c>
      <x:c r="P791" s="9" t="str">
        <x:v>UNSEALED / SOURCE-EMPTY</x:v>
      </x:c>
      <x:c r="Q791" s="9" t="n">
        <x:f>COUNTIFS($A$7:$A$1158,A791)</x:f>
        <x:v>1</x:v>
      </x:c>
    </x:row>
    <x:row r="792">
      <x:c r="A792" s="9" t="str">
        <x:v>EV-AR-HC-A-C-TECH-4-B2-RCN-G0-RW02</x:v>
      </x:c>
      <x:c r="B792" s="9" t="str">
        <x:v>EV-AR-HC-A-C-TECH-4-B2-RCN-G0</x:v>
      </x:c>
      <x:c r="C792" s="9" t="str">
        <x:v>AR-HC-A-C-TECH-4-B2-RCN-G0</x:v>
      </x:c>
      <x:c r="D792" s="9" t="str">
        <x:v>HC-A-C-TECH-4</x:v>
      </x:c>
      <x:c r="E792" s="9" t="str">
        <x:v>HC-A-C</x:v>
      </x:c>
      <x:c r="F792" s="9" t="str">
        <x:v>B2</x:v>
      </x:c>
      <x:c r="G792" s="9" t="str">
        <x:v>RCN</x:v>
      </x:c>
      <x:c r="H792" s="9" t="str">
        <x:v>RW02</x:v>
      </x:c>
      <x:c r="I792" s="17" t="str">
        <x:v>Unlike witness stream</x:v>
      </x:c>
      <x:c r="J792" s="17" t="str">
        <x:v>Witness metrology</x:v>
      </x:c>
      <x:c r="K792" s="17" t="str">
        <x:v>Public custody B</x:v>
      </x:c>
      <x:c r="L792" s="9" t="n">
        <x:v>0</x:v>
      </x:c>
      <x:c r="M792" s="9" t="n">
        <x:v>0</x:v>
      </x:c>
      <x:c r="N792" s="9" t="n">
        <x:v>0</x:v>
      </x:c>
      <x:c r="O792" s="9" t="n">
        <x:v>0</x:v>
      </x:c>
      <x:c r="P792" s="9" t="str">
        <x:v>UNSEALED / SOURCE-EMPTY</x:v>
      </x:c>
      <x:c r="Q792" s="9" t="n">
        <x:f>COUNTIFS($A$7:$A$1158,A792)</x:f>
        <x:v>1</x:v>
      </x:c>
    </x:row>
    <x:row r="793">
      <x:c r="A793" s="9" t="str">
        <x:v>EV-AR-HC-A-C-TECH-4-B2-RCN-G0-RW03</x:v>
      </x:c>
      <x:c r="B793" s="9" t="str">
        <x:v>EV-AR-HC-A-C-TECH-4-B2-RCN-G0</x:v>
      </x:c>
      <x:c r="C793" s="9" t="str">
        <x:v>AR-HC-A-C-TECH-4-B2-RCN-G0</x:v>
      </x:c>
      <x:c r="D793" s="9" t="str">
        <x:v>HC-A-C-TECH-4</x:v>
      </x:c>
      <x:c r="E793" s="9" t="str">
        <x:v>HC-A-C</x:v>
      </x:c>
      <x:c r="F793" s="9" t="str">
        <x:v>B2</x:v>
      </x:c>
      <x:c r="G793" s="9" t="str">
        <x:v>RCN</x:v>
      </x:c>
      <x:c r="H793" s="9" t="str">
        <x:v>RW03</x:v>
      </x:c>
      <x:c r="I793" s="17" t="str">
        <x:v>Event clock and start traces</x:v>
      </x:c>
      <x:c r="J793" s="17" t="str">
        <x:v>Event clock authority</x:v>
      </x:c>
      <x:c r="K793" s="17" t="str">
        <x:v>Public custody C</x:v>
      </x:c>
      <x:c r="L793" s="9" t="n">
        <x:v>0</x:v>
      </x:c>
      <x:c r="M793" s="9" t="n">
        <x:v>0</x:v>
      </x:c>
      <x:c r="N793" s="9" t="n">
        <x:v>0</x:v>
      </x:c>
      <x:c r="O793" s="9" t="n">
        <x:v>0</x:v>
      </x:c>
      <x:c r="P793" s="9" t="str">
        <x:v>UNSEALED / SOURCE-EMPTY</x:v>
      </x:c>
      <x:c r="Q793" s="9" t="n">
        <x:f>COUNTIFS($A$7:$A$1158,A793)</x:f>
        <x:v>1</x:v>
      </x:c>
    </x:row>
    <x:row r="794">
      <x:c r="A794" s="9" t="str">
        <x:v>EV-AR-HC-A-C-TECH-4-B2-RCN-G0-RW04</x:v>
      </x:c>
      <x:c r="B794" s="9" t="str">
        <x:v>EV-AR-HC-A-C-TECH-4-B2-RCN-G0</x:v>
      </x:c>
      <x:c r="C794" s="9" t="str">
        <x:v>AR-HC-A-C-TECH-4-B2-RCN-G0</x:v>
      </x:c>
      <x:c r="D794" s="9" t="str">
        <x:v>HC-A-C-TECH-4</x:v>
      </x:c>
      <x:c r="E794" s="9" t="str">
        <x:v>HC-A-C</x:v>
      </x:c>
      <x:c r="F794" s="9" t="str">
        <x:v>B2</x:v>
      </x:c>
      <x:c r="G794" s="9" t="str">
        <x:v>RCN</x:v>
      </x:c>
      <x:c r="H794" s="9" t="str">
        <x:v>RW04</x:v>
      </x:c>
      <x:c r="I794" s="17" t="str">
        <x:v>Environmental boundary stream</x:v>
      </x:c>
      <x:c r="J794" s="17" t="str">
        <x:v>Site metrology</x:v>
      </x:c>
      <x:c r="K794" s="17" t="str">
        <x:v>Public custody D</x:v>
      </x:c>
      <x:c r="L794" s="9" t="n">
        <x:v>0</x:v>
      </x:c>
      <x:c r="M794" s="9" t="n">
        <x:v>0</x:v>
      </x:c>
      <x:c r="N794" s="9" t="n">
        <x:v>0</x:v>
      </x:c>
      <x:c r="O794" s="9" t="n">
        <x:v>0</x:v>
      </x:c>
      <x:c r="P794" s="9" t="str">
        <x:v>UNSEALED / SOURCE-EMPTY</x:v>
      </x:c>
      <x:c r="Q794" s="9" t="n">
        <x:f>COUNTIFS($A$7:$A$1158,A794)</x:f>
        <x:v>1</x:v>
      </x:c>
    </x:row>
    <x:row r="795">
      <x:c r="A795" s="9" t="str">
        <x:v>EV-AR-HC-A-C-TECH-4-B2-RCN-G0-RW05</x:v>
      </x:c>
      <x:c r="B795" s="9" t="str">
        <x:v>EV-AR-HC-A-C-TECH-4-B2-RCN-G0</x:v>
      </x:c>
      <x:c r="C795" s="9" t="str">
        <x:v>AR-HC-A-C-TECH-4-B2-RCN-G0</x:v>
      </x:c>
      <x:c r="D795" s="9" t="str">
        <x:v>HC-A-C-TECH-4</x:v>
      </x:c>
      <x:c r="E795" s="9" t="str">
        <x:v>HC-A-C</x:v>
      </x:c>
      <x:c r="F795" s="9" t="str">
        <x:v>B2</x:v>
      </x:c>
      <x:c r="G795" s="9" t="str">
        <x:v>RCN</x:v>
      </x:c>
      <x:c r="H795" s="9" t="str">
        <x:v>RW05</x:v>
      </x:c>
      <x:c r="I795" s="17" t="str">
        <x:v>Command and intervention log</x:v>
      </x:c>
      <x:c r="J795" s="17" t="str">
        <x:v>Safety authority</x:v>
      </x:c>
      <x:c r="K795" s="17" t="str">
        <x:v>Public custody E</x:v>
      </x:c>
      <x:c r="L795" s="9" t="n">
        <x:v>0</x:v>
      </x:c>
      <x:c r="M795" s="9" t="n">
        <x:v>0</x:v>
      </x:c>
      <x:c r="N795" s="9" t="n">
        <x:v>0</x:v>
      </x:c>
      <x:c r="O795" s="9" t="n">
        <x:v>0</x:v>
      </x:c>
      <x:c r="P795" s="9" t="str">
        <x:v>UNSEALED / SOURCE-EMPTY</x:v>
      </x:c>
      <x:c r="Q795" s="9" t="n">
        <x:f>COUNTIFS($A$7:$A$1158,A795)</x:f>
        <x:v>1</x:v>
      </x:c>
    </x:row>
    <x:row r="796">
      <x:c r="A796" s="9" t="str">
        <x:v>EV-AR-HC-A-C-TECH-4-B2-RCN-G0-RW06</x:v>
      </x:c>
      <x:c r="B796" s="9" t="str">
        <x:v>EV-AR-HC-A-C-TECH-4-B2-RCN-G0</x:v>
      </x:c>
      <x:c r="C796" s="9" t="str">
        <x:v>AR-HC-A-C-TECH-4-B2-RCN-G0</x:v>
      </x:c>
      <x:c r="D796" s="9" t="str">
        <x:v>HC-A-C-TECH-4</x:v>
      </x:c>
      <x:c r="E796" s="9" t="str">
        <x:v>HC-A-C</x:v>
      </x:c>
      <x:c r="F796" s="9" t="str">
        <x:v>B2</x:v>
      </x:c>
      <x:c r="G796" s="9" t="str">
        <x:v>RCN</x:v>
      </x:c>
      <x:c r="H796" s="9" t="str">
        <x:v>RW06</x:v>
      </x:c>
      <x:c r="I796" s="17" t="str">
        <x:v>Receiver service ledger</x:v>
      </x:c>
      <x:c r="J796" s="17" t="str">
        <x:v>Receiver authority</x:v>
      </x:c>
      <x:c r="K796" s="17" t="str">
        <x:v>Public custody F</x:v>
      </x:c>
      <x:c r="L796" s="9" t="n">
        <x:v>0</x:v>
      </x:c>
      <x:c r="M796" s="9" t="n">
        <x:v>0</x:v>
      </x:c>
      <x:c r="N796" s="9" t="n">
        <x:v>0</x:v>
      </x:c>
      <x:c r="O796" s="9" t="n">
        <x:v>0</x:v>
      </x:c>
      <x:c r="P796" s="9" t="str">
        <x:v>UNSEALED / SOURCE-EMPTY</x:v>
      </x:c>
      <x:c r="Q796" s="9" t="n">
        <x:f>COUNTIFS($A$7:$A$1158,A796)</x:f>
        <x:v>1</x:v>
      </x:c>
    </x:row>
    <x:row r="797">
      <x:c r="A797" s="9" t="str">
        <x:v>EV-AR-HC-A-C-TECH-4-B2-RCN-G0-RW07</x:v>
      </x:c>
      <x:c r="B797" s="9" t="str">
        <x:v>EV-AR-HC-A-C-TECH-4-B2-RCN-G0</x:v>
      </x:c>
      <x:c r="C797" s="9" t="str">
        <x:v>AR-HC-A-C-TECH-4-B2-RCN-G0</x:v>
      </x:c>
      <x:c r="D797" s="9" t="str">
        <x:v>HC-A-C-TECH-4</x:v>
      </x:c>
      <x:c r="E797" s="9" t="str">
        <x:v>HC-A-C</x:v>
      </x:c>
      <x:c r="F797" s="9" t="str">
        <x:v>B2</x:v>
      </x:c>
      <x:c r="G797" s="9" t="str">
        <x:v>RCN</x:v>
      </x:c>
      <x:c r="H797" s="9" t="str">
        <x:v>RW07</x:v>
      </x:c>
      <x:c r="I797" s="17" t="str">
        <x:v>Candidate interface telemetry</x:v>
      </x:c>
      <x:c r="J797" s="17" t="str">
        <x:v>Interface custodian</x:v>
      </x:c>
      <x:c r="K797" s="17" t="str">
        <x:v>Public custody A</x:v>
      </x:c>
      <x:c r="L797" s="9" t="n">
        <x:v>0</x:v>
      </x:c>
      <x:c r="M797" s="9" t="n">
        <x:v>0</x:v>
      </x:c>
      <x:c r="N797" s="9" t="n">
        <x:v>0</x:v>
      </x:c>
      <x:c r="O797" s="9" t="n">
        <x:v>0</x:v>
      </x:c>
      <x:c r="P797" s="9" t="str">
        <x:v>UNSEALED / SOURCE-EMPTY</x:v>
      </x:c>
      <x:c r="Q797" s="9" t="n">
        <x:f>COUNTIFS($A$7:$A$1158,A797)</x:f>
        <x:v>1</x:v>
      </x:c>
    </x:row>
    <x:row r="798">
      <x:c r="A798" s="9" t="str">
        <x:v>EV-AR-HC-A-C-TECH-4-B2-RCN-G0-RW08</x:v>
      </x:c>
      <x:c r="B798" s="9" t="str">
        <x:v>EV-AR-HC-A-C-TECH-4-B2-RCN-G0</x:v>
      </x:c>
      <x:c r="C798" s="9" t="str">
        <x:v>AR-HC-A-C-TECH-4-B2-RCN-G0</x:v>
      </x:c>
      <x:c r="D798" s="9" t="str">
        <x:v>HC-A-C-TECH-4</x:v>
      </x:c>
      <x:c r="E798" s="9" t="str">
        <x:v>HC-A-C</x:v>
      </x:c>
      <x:c r="F798" s="9" t="str">
        <x:v>B2</x:v>
      </x:c>
      <x:c r="G798" s="9" t="str">
        <x:v>RCN</x:v>
      </x:c>
      <x:c r="H798" s="9" t="str">
        <x:v>RW08</x:v>
      </x:c>
      <x:c r="I798" s="17" t="str">
        <x:v>Residual and physical evidence</x:v>
      </x:c>
      <x:c r="J798" s="17" t="str">
        <x:v>Residual authority</x:v>
      </x:c>
      <x:c r="K798" s="17" t="str">
        <x:v>Public custody B</x:v>
      </x:c>
      <x:c r="L798" s="9" t="n">
        <x:v>0</x:v>
      </x:c>
      <x:c r="M798" s="9" t="n">
        <x:v>0</x:v>
      </x:c>
      <x:c r="N798" s="9" t="n">
        <x:v>0</x:v>
      </x:c>
      <x:c r="O798" s="9" t="n">
        <x:v>0</x:v>
      </x:c>
      <x:c r="P798" s="9" t="str">
        <x:v>UNSEALED / SOURCE-EMPTY</x:v>
      </x:c>
      <x:c r="Q798" s="9" t="n">
        <x:f>COUNTIFS($A$7:$A$1158,A798)</x:f>
        <x:v>1</x:v>
      </x:c>
    </x:row>
    <x:row r="799">
      <x:c r="A799" s="9" t="str">
        <x:v>EV-AR-HC-A-C-TECH-2-B2-INT-G0-RW01</x:v>
      </x:c>
      <x:c r="B799" s="9" t="str">
        <x:v>EV-AR-HC-A-C-TECH-2-B2-INT-G0</x:v>
      </x:c>
      <x:c r="C799" s="9" t="str">
        <x:v>AR-HC-A-C-TECH-2-B2-INT-G0</x:v>
      </x:c>
      <x:c r="D799" s="9" t="str">
        <x:v>HC-A-C-TECH-2</x:v>
      </x:c>
      <x:c r="E799" s="9" t="str">
        <x:v>HC-A-C</x:v>
      </x:c>
      <x:c r="F799" s="9" t="str">
        <x:v>B2</x:v>
      </x:c>
      <x:c r="G799" s="9" t="str">
        <x:v>INT</x:v>
      </x:c>
      <x:c r="H799" s="9" t="str">
        <x:v>RW01</x:v>
      </x:c>
      <x:c r="I799" s="17" t="str">
        <x:v>Primary raw stream</x:v>
      </x:c>
      <x:c r="J799" s="17" t="str">
        <x:v>Primary metrology</x:v>
      </x:c>
      <x:c r="K799" s="17" t="str">
        <x:v>Public custody A</x:v>
      </x:c>
      <x:c r="L799" s="9" t="n">
        <x:v>0</x:v>
      </x:c>
      <x:c r="M799" s="9" t="n">
        <x:v>0</x:v>
      </x:c>
      <x:c r="N799" s="9" t="n">
        <x:v>0</x:v>
      </x:c>
      <x:c r="O799" s="9" t="n">
        <x:v>0</x:v>
      </x:c>
      <x:c r="P799" s="9" t="str">
        <x:v>UNSEALED / SOURCE-EMPTY</x:v>
      </x:c>
      <x:c r="Q799" s="9" t="n">
        <x:f>COUNTIFS($A$7:$A$1158,A799)</x:f>
        <x:v>1</x:v>
      </x:c>
    </x:row>
    <x:row r="800">
      <x:c r="A800" s="9" t="str">
        <x:v>EV-AR-HC-A-C-TECH-2-B2-INT-G0-RW02</x:v>
      </x:c>
      <x:c r="B800" s="9" t="str">
        <x:v>EV-AR-HC-A-C-TECH-2-B2-INT-G0</x:v>
      </x:c>
      <x:c r="C800" s="9" t="str">
        <x:v>AR-HC-A-C-TECH-2-B2-INT-G0</x:v>
      </x:c>
      <x:c r="D800" s="9" t="str">
        <x:v>HC-A-C-TECH-2</x:v>
      </x:c>
      <x:c r="E800" s="9" t="str">
        <x:v>HC-A-C</x:v>
      </x:c>
      <x:c r="F800" s="9" t="str">
        <x:v>B2</x:v>
      </x:c>
      <x:c r="G800" s="9" t="str">
        <x:v>INT</x:v>
      </x:c>
      <x:c r="H800" s="9" t="str">
        <x:v>RW02</x:v>
      </x:c>
      <x:c r="I800" s="17" t="str">
        <x:v>Unlike witness stream</x:v>
      </x:c>
      <x:c r="J800" s="17" t="str">
        <x:v>Witness metrology</x:v>
      </x:c>
      <x:c r="K800" s="17" t="str">
        <x:v>Public custody B</x:v>
      </x:c>
      <x:c r="L800" s="9" t="n">
        <x:v>0</x:v>
      </x:c>
      <x:c r="M800" s="9" t="n">
        <x:v>0</x:v>
      </x:c>
      <x:c r="N800" s="9" t="n">
        <x:v>0</x:v>
      </x:c>
      <x:c r="O800" s="9" t="n">
        <x:v>0</x:v>
      </x:c>
      <x:c r="P800" s="9" t="str">
        <x:v>UNSEALED / SOURCE-EMPTY</x:v>
      </x:c>
      <x:c r="Q800" s="9" t="n">
        <x:f>COUNTIFS($A$7:$A$1158,A800)</x:f>
        <x:v>1</x:v>
      </x:c>
    </x:row>
    <x:row r="801">
      <x:c r="A801" s="9" t="str">
        <x:v>EV-AR-HC-A-C-TECH-2-B2-INT-G0-RW03</x:v>
      </x:c>
      <x:c r="B801" s="9" t="str">
        <x:v>EV-AR-HC-A-C-TECH-2-B2-INT-G0</x:v>
      </x:c>
      <x:c r="C801" s="9" t="str">
        <x:v>AR-HC-A-C-TECH-2-B2-INT-G0</x:v>
      </x:c>
      <x:c r="D801" s="9" t="str">
        <x:v>HC-A-C-TECH-2</x:v>
      </x:c>
      <x:c r="E801" s="9" t="str">
        <x:v>HC-A-C</x:v>
      </x:c>
      <x:c r="F801" s="9" t="str">
        <x:v>B2</x:v>
      </x:c>
      <x:c r="G801" s="9" t="str">
        <x:v>INT</x:v>
      </x:c>
      <x:c r="H801" s="9" t="str">
        <x:v>RW03</x:v>
      </x:c>
      <x:c r="I801" s="17" t="str">
        <x:v>Event clock and start traces</x:v>
      </x:c>
      <x:c r="J801" s="17" t="str">
        <x:v>Event clock authority</x:v>
      </x:c>
      <x:c r="K801" s="17" t="str">
        <x:v>Public custody C</x:v>
      </x:c>
      <x:c r="L801" s="9" t="n">
        <x:v>0</x:v>
      </x:c>
      <x:c r="M801" s="9" t="n">
        <x:v>0</x:v>
      </x:c>
      <x:c r="N801" s="9" t="n">
        <x:v>0</x:v>
      </x:c>
      <x:c r="O801" s="9" t="n">
        <x:v>0</x:v>
      </x:c>
      <x:c r="P801" s="9" t="str">
        <x:v>UNSEALED / SOURCE-EMPTY</x:v>
      </x:c>
      <x:c r="Q801" s="9" t="n">
        <x:f>COUNTIFS($A$7:$A$1158,A801)</x:f>
        <x:v>1</x:v>
      </x:c>
    </x:row>
    <x:row r="802">
      <x:c r="A802" s="9" t="str">
        <x:v>EV-AR-HC-A-C-TECH-2-B2-INT-G0-RW04</x:v>
      </x:c>
      <x:c r="B802" s="9" t="str">
        <x:v>EV-AR-HC-A-C-TECH-2-B2-INT-G0</x:v>
      </x:c>
      <x:c r="C802" s="9" t="str">
        <x:v>AR-HC-A-C-TECH-2-B2-INT-G0</x:v>
      </x:c>
      <x:c r="D802" s="9" t="str">
        <x:v>HC-A-C-TECH-2</x:v>
      </x:c>
      <x:c r="E802" s="9" t="str">
        <x:v>HC-A-C</x:v>
      </x:c>
      <x:c r="F802" s="9" t="str">
        <x:v>B2</x:v>
      </x:c>
      <x:c r="G802" s="9" t="str">
        <x:v>INT</x:v>
      </x:c>
      <x:c r="H802" s="9" t="str">
        <x:v>RW04</x:v>
      </x:c>
      <x:c r="I802" s="17" t="str">
        <x:v>Environmental boundary stream</x:v>
      </x:c>
      <x:c r="J802" s="17" t="str">
        <x:v>Site metrology</x:v>
      </x:c>
      <x:c r="K802" s="17" t="str">
        <x:v>Public custody D</x:v>
      </x:c>
      <x:c r="L802" s="9" t="n">
        <x:v>0</x:v>
      </x:c>
      <x:c r="M802" s="9" t="n">
        <x:v>0</x:v>
      </x:c>
      <x:c r="N802" s="9" t="n">
        <x:v>0</x:v>
      </x:c>
      <x:c r="O802" s="9" t="n">
        <x:v>0</x:v>
      </x:c>
      <x:c r="P802" s="9" t="str">
        <x:v>UNSEALED / SOURCE-EMPTY</x:v>
      </x:c>
      <x:c r="Q802" s="9" t="n">
        <x:f>COUNTIFS($A$7:$A$1158,A802)</x:f>
        <x:v>1</x:v>
      </x:c>
    </x:row>
    <x:row r="803">
      <x:c r="A803" s="9" t="str">
        <x:v>EV-AR-HC-A-C-TECH-2-B2-INT-G0-RW05</x:v>
      </x:c>
      <x:c r="B803" s="9" t="str">
        <x:v>EV-AR-HC-A-C-TECH-2-B2-INT-G0</x:v>
      </x:c>
      <x:c r="C803" s="9" t="str">
        <x:v>AR-HC-A-C-TECH-2-B2-INT-G0</x:v>
      </x:c>
      <x:c r="D803" s="9" t="str">
        <x:v>HC-A-C-TECH-2</x:v>
      </x:c>
      <x:c r="E803" s="9" t="str">
        <x:v>HC-A-C</x:v>
      </x:c>
      <x:c r="F803" s="9" t="str">
        <x:v>B2</x:v>
      </x:c>
      <x:c r="G803" s="9" t="str">
        <x:v>INT</x:v>
      </x:c>
      <x:c r="H803" s="9" t="str">
        <x:v>RW05</x:v>
      </x:c>
      <x:c r="I803" s="17" t="str">
        <x:v>Command and intervention log</x:v>
      </x:c>
      <x:c r="J803" s="17" t="str">
        <x:v>Safety authority</x:v>
      </x:c>
      <x:c r="K803" s="17" t="str">
        <x:v>Public custody E</x:v>
      </x:c>
      <x:c r="L803" s="9" t="n">
        <x:v>0</x:v>
      </x:c>
      <x:c r="M803" s="9" t="n">
        <x:v>0</x:v>
      </x:c>
      <x:c r="N803" s="9" t="n">
        <x:v>0</x:v>
      </x:c>
      <x:c r="O803" s="9" t="n">
        <x:v>0</x:v>
      </x:c>
      <x:c r="P803" s="9" t="str">
        <x:v>UNSEALED / SOURCE-EMPTY</x:v>
      </x:c>
      <x:c r="Q803" s="9" t="n">
        <x:f>COUNTIFS($A$7:$A$1158,A803)</x:f>
        <x:v>1</x:v>
      </x:c>
    </x:row>
    <x:row r="804">
      <x:c r="A804" s="9" t="str">
        <x:v>EV-AR-HC-A-C-TECH-2-B2-INT-G0-RW06</x:v>
      </x:c>
      <x:c r="B804" s="9" t="str">
        <x:v>EV-AR-HC-A-C-TECH-2-B2-INT-G0</x:v>
      </x:c>
      <x:c r="C804" s="9" t="str">
        <x:v>AR-HC-A-C-TECH-2-B2-INT-G0</x:v>
      </x:c>
      <x:c r="D804" s="9" t="str">
        <x:v>HC-A-C-TECH-2</x:v>
      </x:c>
      <x:c r="E804" s="9" t="str">
        <x:v>HC-A-C</x:v>
      </x:c>
      <x:c r="F804" s="9" t="str">
        <x:v>B2</x:v>
      </x:c>
      <x:c r="G804" s="9" t="str">
        <x:v>INT</x:v>
      </x:c>
      <x:c r="H804" s="9" t="str">
        <x:v>RW06</x:v>
      </x:c>
      <x:c r="I804" s="17" t="str">
        <x:v>Receiver service ledger</x:v>
      </x:c>
      <x:c r="J804" s="17" t="str">
        <x:v>Receiver authority</x:v>
      </x:c>
      <x:c r="K804" s="17" t="str">
        <x:v>Public custody F</x:v>
      </x:c>
      <x:c r="L804" s="9" t="n">
        <x:v>0</x:v>
      </x:c>
      <x:c r="M804" s="9" t="n">
        <x:v>0</x:v>
      </x:c>
      <x:c r="N804" s="9" t="n">
        <x:v>0</x:v>
      </x:c>
      <x:c r="O804" s="9" t="n">
        <x:v>0</x:v>
      </x:c>
      <x:c r="P804" s="9" t="str">
        <x:v>UNSEALED / SOURCE-EMPTY</x:v>
      </x:c>
      <x:c r="Q804" s="9" t="n">
        <x:f>COUNTIFS($A$7:$A$1158,A804)</x:f>
        <x:v>1</x:v>
      </x:c>
    </x:row>
    <x:row r="805">
      <x:c r="A805" s="9" t="str">
        <x:v>EV-AR-HC-A-C-TECH-2-B2-INT-G0-RW07</x:v>
      </x:c>
      <x:c r="B805" s="9" t="str">
        <x:v>EV-AR-HC-A-C-TECH-2-B2-INT-G0</x:v>
      </x:c>
      <x:c r="C805" s="9" t="str">
        <x:v>AR-HC-A-C-TECH-2-B2-INT-G0</x:v>
      </x:c>
      <x:c r="D805" s="9" t="str">
        <x:v>HC-A-C-TECH-2</x:v>
      </x:c>
      <x:c r="E805" s="9" t="str">
        <x:v>HC-A-C</x:v>
      </x:c>
      <x:c r="F805" s="9" t="str">
        <x:v>B2</x:v>
      </x:c>
      <x:c r="G805" s="9" t="str">
        <x:v>INT</x:v>
      </x:c>
      <x:c r="H805" s="9" t="str">
        <x:v>RW07</x:v>
      </x:c>
      <x:c r="I805" s="17" t="str">
        <x:v>Candidate interface telemetry</x:v>
      </x:c>
      <x:c r="J805" s="17" t="str">
        <x:v>Interface custodian</x:v>
      </x:c>
      <x:c r="K805" s="17" t="str">
        <x:v>Public custody A</x:v>
      </x:c>
      <x:c r="L805" s="9" t="n">
        <x:v>0</x:v>
      </x:c>
      <x:c r="M805" s="9" t="n">
        <x:v>0</x:v>
      </x:c>
      <x:c r="N805" s="9" t="n">
        <x:v>0</x:v>
      </x:c>
      <x:c r="O805" s="9" t="n">
        <x:v>0</x:v>
      </x:c>
      <x:c r="P805" s="9" t="str">
        <x:v>UNSEALED / SOURCE-EMPTY</x:v>
      </x:c>
      <x:c r="Q805" s="9" t="n">
        <x:f>COUNTIFS($A$7:$A$1158,A805)</x:f>
        <x:v>1</x:v>
      </x:c>
    </x:row>
    <x:row r="806">
      <x:c r="A806" s="9" t="str">
        <x:v>EV-AR-HC-A-C-TECH-2-B2-INT-G0-RW08</x:v>
      </x:c>
      <x:c r="B806" s="9" t="str">
        <x:v>EV-AR-HC-A-C-TECH-2-B2-INT-G0</x:v>
      </x:c>
      <x:c r="C806" s="9" t="str">
        <x:v>AR-HC-A-C-TECH-2-B2-INT-G0</x:v>
      </x:c>
      <x:c r="D806" s="9" t="str">
        <x:v>HC-A-C-TECH-2</x:v>
      </x:c>
      <x:c r="E806" s="9" t="str">
        <x:v>HC-A-C</x:v>
      </x:c>
      <x:c r="F806" s="9" t="str">
        <x:v>B2</x:v>
      </x:c>
      <x:c r="G806" s="9" t="str">
        <x:v>INT</x:v>
      </x:c>
      <x:c r="H806" s="9" t="str">
        <x:v>RW08</x:v>
      </x:c>
      <x:c r="I806" s="17" t="str">
        <x:v>Residual and physical evidence</x:v>
      </x:c>
      <x:c r="J806" s="17" t="str">
        <x:v>Residual authority</x:v>
      </x:c>
      <x:c r="K806" s="17" t="str">
        <x:v>Public custody B</x:v>
      </x:c>
      <x:c r="L806" s="9" t="n">
        <x:v>0</x:v>
      </x:c>
      <x:c r="M806" s="9" t="n">
        <x:v>0</x:v>
      </x:c>
      <x:c r="N806" s="9" t="n">
        <x:v>0</x:v>
      </x:c>
      <x:c r="O806" s="9" t="n">
        <x:v>0</x:v>
      </x:c>
      <x:c r="P806" s="9" t="str">
        <x:v>UNSEALED / SOURCE-EMPTY</x:v>
      </x:c>
      <x:c r="Q806" s="9" t="n">
        <x:f>COUNTIFS($A$7:$A$1158,A806)</x:f>
        <x:v>1</x:v>
      </x:c>
    </x:row>
    <x:row r="807">
      <x:c r="A807" s="9" t="str">
        <x:v>EV-AR-LF-B-A-TECH-3-B2-RCN-G0-RW01</x:v>
      </x:c>
      <x:c r="B807" s="9" t="str">
        <x:v>EV-AR-LF-B-A-TECH-3-B2-RCN-G0</x:v>
      </x:c>
      <x:c r="C807" s="9" t="str">
        <x:v>AR-LF-B-A-TECH-3-B2-RCN-G0</x:v>
      </x:c>
      <x:c r="D807" s="9" t="str">
        <x:v>LF-B-A-TECH-3</x:v>
      </x:c>
      <x:c r="E807" s="9" t="str">
        <x:v>LF-B-A</x:v>
      </x:c>
      <x:c r="F807" s="9" t="str">
        <x:v>B2</x:v>
      </x:c>
      <x:c r="G807" s="9" t="str">
        <x:v>RCN</x:v>
      </x:c>
      <x:c r="H807" s="9" t="str">
        <x:v>RW01</x:v>
      </x:c>
      <x:c r="I807" s="17" t="str">
        <x:v>Primary raw stream</x:v>
      </x:c>
      <x:c r="J807" s="17" t="str">
        <x:v>Primary metrology</x:v>
      </x:c>
      <x:c r="K807" s="17" t="str">
        <x:v>Public custody A</x:v>
      </x:c>
      <x:c r="L807" s="9" t="n">
        <x:v>0</x:v>
      </x:c>
      <x:c r="M807" s="9" t="n">
        <x:v>0</x:v>
      </x:c>
      <x:c r="N807" s="9" t="n">
        <x:v>0</x:v>
      </x:c>
      <x:c r="O807" s="9" t="n">
        <x:v>0</x:v>
      </x:c>
      <x:c r="P807" s="9" t="str">
        <x:v>UNSEALED / SOURCE-EMPTY</x:v>
      </x:c>
      <x:c r="Q807" s="9" t="n">
        <x:f>COUNTIFS($A$7:$A$1158,A807)</x:f>
        <x:v>1</x:v>
      </x:c>
    </x:row>
    <x:row r="808">
      <x:c r="A808" s="9" t="str">
        <x:v>EV-AR-LF-B-A-TECH-3-B2-RCN-G0-RW02</x:v>
      </x:c>
      <x:c r="B808" s="9" t="str">
        <x:v>EV-AR-LF-B-A-TECH-3-B2-RCN-G0</x:v>
      </x:c>
      <x:c r="C808" s="9" t="str">
        <x:v>AR-LF-B-A-TECH-3-B2-RCN-G0</x:v>
      </x:c>
      <x:c r="D808" s="9" t="str">
        <x:v>LF-B-A-TECH-3</x:v>
      </x:c>
      <x:c r="E808" s="9" t="str">
        <x:v>LF-B-A</x:v>
      </x:c>
      <x:c r="F808" s="9" t="str">
        <x:v>B2</x:v>
      </x:c>
      <x:c r="G808" s="9" t="str">
        <x:v>RCN</x:v>
      </x:c>
      <x:c r="H808" s="9" t="str">
        <x:v>RW02</x:v>
      </x:c>
      <x:c r="I808" s="17" t="str">
        <x:v>Unlike witness stream</x:v>
      </x:c>
      <x:c r="J808" s="17" t="str">
        <x:v>Witness metrology</x:v>
      </x:c>
      <x:c r="K808" s="17" t="str">
        <x:v>Public custody B</x:v>
      </x:c>
      <x:c r="L808" s="9" t="n">
        <x:v>0</x:v>
      </x:c>
      <x:c r="M808" s="9" t="n">
        <x:v>0</x:v>
      </x:c>
      <x:c r="N808" s="9" t="n">
        <x:v>0</x:v>
      </x:c>
      <x:c r="O808" s="9" t="n">
        <x:v>0</x:v>
      </x:c>
      <x:c r="P808" s="9" t="str">
        <x:v>UNSEALED / SOURCE-EMPTY</x:v>
      </x:c>
      <x:c r="Q808" s="9" t="n">
        <x:f>COUNTIFS($A$7:$A$1158,A808)</x:f>
        <x:v>1</x:v>
      </x:c>
    </x:row>
    <x:row r="809">
      <x:c r="A809" s="9" t="str">
        <x:v>EV-AR-LF-B-A-TECH-3-B2-RCN-G0-RW03</x:v>
      </x:c>
      <x:c r="B809" s="9" t="str">
        <x:v>EV-AR-LF-B-A-TECH-3-B2-RCN-G0</x:v>
      </x:c>
      <x:c r="C809" s="9" t="str">
        <x:v>AR-LF-B-A-TECH-3-B2-RCN-G0</x:v>
      </x:c>
      <x:c r="D809" s="9" t="str">
        <x:v>LF-B-A-TECH-3</x:v>
      </x:c>
      <x:c r="E809" s="9" t="str">
        <x:v>LF-B-A</x:v>
      </x:c>
      <x:c r="F809" s="9" t="str">
        <x:v>B2</x:v>
      </x:c>
      <x:c r="G809" s="9" t="str">
        <x:v>RCN</x:v>
      </x:c>
      <x:c r="H809" s="9" t="str">
        <x:v>RW03</x:v>
      </x:c>
      <x:c r="I809" s="17" t="str">
        <x:v>Event clock and start traces</x:v>
      </x:c>
      <x:c r="J809" s="17" t="str">
        <x:v>Event clock authority</x:v>
      </x:c>
      <x:c r="K809" s="17" t="str">
        <x:v>Public custody C</x:v>
      </x:c>
      <x:c r="L809" s="9" t="n">
        <x:v>0</x:v>
      </x:c>
      <x:c r="M809" s="9" t="n">
        <x:v>0</x:v>
      </x:c>
      <x:c r="N809" s="9" t="n">
        <x:v>0</x:v>
      </x:c>
      <x:c r="O809" s="9" t="n">
        <x:v>0</x:v>
      </x:c>
      <x:c r="P809" s="9" t="str">
        <x:v>UNSEALED / SOURCE-EMPTY</x:v>
      </x:c>
      <x:c r="Q809" s="9" t="n">
        <x:f>COUNTIFS($A$7:$A$1158,A809)</x:f>
        <x:v>1</x:v>
      </x:c>
    </x:row>
    <x:row r="810">
      <x:c r="A810" s="9" t="str">
        <x:v>EV-AR-LF-B-A-TECH-3-B2-RCN-G0-RW04</x:v>
      </x:c>
      <x:c r="B810" s="9" t="str">
        <x:v>EV-AR-LF-B-A-TECH-3-B2-RCN-G0</x:v>
      </x:c>
      <x:c r="C810" s="9" t="str">
        <x:v>AR-LF-B-A-TECH-3-B2-RCN-G0</x:v>
      </x:c>
      <x:c r="D810" s="9" t="str">
        <x:v>LF-B-A-TECH-3</x:v>
      </x:c>
      <x:c r="E810" s="9" t="str">
        <x:v>LF-B-A</x:v>
      </x:c>
      <x:c r="F810" s="9" t="str">
        <x:v>B2</x:v>
      </x:c>
      <x:c r="G810" s="9" t="str">
        <x:v>RCN</x:v>
      </x:c>
      <x:c r="H810" s="9" t="str">
        <x:v>RW04</x:v>
      </x:c>
      <x:c r="I810" s="17" t="str">
        <x:v>Environmental boundary stream</x:v>
      </x:c>
      <x:c r="J810" s="17" t="str">
        <x:v>Site metrology</x:v>
      </x:c>
      <x:c r="K810" s="17" t="str">
        <x:v>Public custody D</x:v>
      </x:c>
      <x:c r="L810" s="9" t="n">
        <x:v>0</x:v>
      </x:c>
      <x:c r="M810" s="9" t="n">
        <x:v>0</x:v>
      </x:c>
      <x:c r="N810" s="9" t="n">
        <x:v>0</x:v>
      </x:c>
      <x:c r="O810" s="9" t="n">
        <x:v>0</x:v>
      </x:c>
      <x:c r="P810" s="9" t="str">
        <x:v>UNSEALED / SOURCE-EMPTY</x:v>
      </x:c>
      <x:c r="Q810" s="9" t="n">
        <x:f>COUNTIFS($A$7:$A$1158,A810)</x:f>
        <x:v>1</x:v>
      </x:c>
    </x:row>
    <x:row r="811">
      <x:c r="A811" s="9" t="str">
        <x:v>EV-AR-LF-B-A-TECH-3-B2-RCN-G0-RW05</x:v>
      </x:c>
      <x:c r="B811" s="9" t="str">
        <x:v>EV-AR-LF-B-A-TECH-3-B2-RCN-G0</x:v>
      </x:c>
      <x:c r="C811" s="9" t="str">
        <x:v>AR-LF-B-A-TECH-3-B2-RCN-G0</x:v>
      </x:c>
      <x:c r="D811" s="9" t="str">
        <x:v>LF-B-A-TECH-3</x:v>
      </x:c>
      <x:c r="E811" s="9" t="str">
        <x:v>LF-B-A</x:v>
      </x:c>
      <x:c r="F811" s="9" t="str">
        <x:v>B2</x:v>
      </x:c>
      <x:c r="G811" s="9" t="str">
        <x:v>RCN</x:v>
      </x:c>
      <x:c r="H811" s="9" t="str">
        <x:v>RW05</x:v>
      </x:c>
      <x:c r="I811" s="17" t="str">
        <x:v>Command and intervention log</x:v>
      </x:c>
      <x:c r="J811" s="17" t="str">
        <x:v>Safety authority</x:v>
      </x:c>
      <x:c r="K811" s="17" t="str">
        <x:v>Public custody E</x:v>
      </x:c>
      <x:c r="L811" s="9" t="n">
        <x:v>0</x:v>
      </x:c>
      <x:c r="M811" s="9" t="n">
        <x:v>0</x:v>
      </x:c>
      <x:c r="N811" s="9" t="n">
        <x:v>0</x:v>
      </x:c>
      <x:c r="O811" s="9" t="n">
        <x:v>0</x:v>
      </x:c>
      <x:c r="P811" s="9" t="str">
        <x:v>UNSEALED / SOURCE-EMPTY</x:v>
      </x:c>
      <x:c r="Q811" s="9" t="n">
        <x:f>COUNTIFS($A$7:$A$1158,A811)</x:f>
        <x:v>1</x:v>
      </x:c>
    </x:row>
    <x:row r="812">
      <x:c r="A812" s="9" t="str">
        <x:v>EV-AR-LF-B-A-TECH-3-B2-RCN-G0-RW06</x:v>
      </x:c>
      <x:c r="B812" s="9" t="str">
        <x:v>EV-AR-LF-B-A-TECH-3-B2-RCN-G0</x:v>
      </x:c>
      <x:c r="C812" s="9" t="str">
        <x:v>AR-LF-B-A-TECH-3-B2-RCN-G0</x:v>
      </x:c>
      <x:c r="D812" s="9" t="str">
        <x:v>LF-B-A-TECH-3</x:v>
      </x:c>
      <x:c r="E812" s="9" t="str">
        <x:v>LF-B-A</x:v>
      </x:c>
      <x:c r="F812" s="9" t="str">
        <x:v>B2</x:v>
      </x:c>
      <x:c r="G812" s="9" t="str">
        <x:v>RCN</x:v>
      </x:c>
      <x:c r="H812" s="9" t="str">
        <x:v>RW06</x:v>
      </x:c>
      <x:c r="I812" s="17" t="str">
        <x:v>Receiver service ledger</x:v>
      </x:c>
      <x:c r="J812" s="17" t="str">
        <x:v>Receiver authority</x:v>
      </x:c>
      <x:c r="K812" s="17" t="str">
        <x:v>Public custody F</x:v>
      </x:c>
      <x:c r="L812" s="9" t="n">
        <x:v>0</x:v>
      </x:c>
      <x:c r="M812" s="9" t="n">
        <x:v>0</x:v>
      </x:c>
      <x:c r="N812" s="9" t="n">
        <x:v>0</x:v>
      </x:c>
      <x:c r="O812" s="9" t="n">
        <x:v>0</x:v>
      </x:c>
      <x:c r="P812" s="9" t="str">
        <x:v>UNSEALED / SOURCE-EMPTY</x:v>
      </x:c>
      <x:c r="Q812" s="9" t="n">
        <x:f>COUNTIFS($A$7:$A$1158,A812)</x:f>
        <x:v>1</x:v>
      </x:c>
    </x:row>
    <x:row r="813">
      <x:c r="A813" s="9" t="str">
        <x:v>EV-AR-LF-B-A-TECH-3-B2-RCN-G0-RW07</x:v>
      </x:c>
      <x:c r="B813" s="9" t="str">
        <x:v>EV-AR-LF-B-A-TECH-3-B2-RCN-G0</x:v>
      </x:c>
      <x:c r="C813" s="9" t="str">
        <x:v>AR-LF-B-A-TECH-3-B2-RCN-G0</x:v>
      </x:c>
      <x:c r="D813" s="9" t="str">
        <x:v>LF-B-A-TECH-3</x:v>
      </x:c>
      <x:c r="E813" s="9" t="str">
        <x:v>LF-B-A</x:v>
      </x:c>
      <x:c r="F813" s="9" t="str">
        <x:v>B2</x:v>
      </x:c>
      <x:c r="G813" s="9" t="str">
        <x:v>RCN</x:v>
      </x:c>
      <x:c r="H813" s="9" t="str">
        <x:v>RW07</x:v>
      </x:c>
      <x:c r="I813" s="17" t="str">
        <x:v>Candidate interface telemetry</x:v>
      </x:c>
      <x:c r="J813" s="17" t="str">
        <x:v>Interface custodian</x:v>
      </x:c>
      <x:c r="K813" s="17" t="str">
        <x:v>Public custody A</x:v>
      </x:c>
      <x:c r="L813" s="9" t="n">
        <x:v>0</x:v>
      </x:c>
      <x:c r="M813" s="9" t="n">
        <x:v>0</x:v>
      </x:c>
      <x:c r="N813" s="9" t="n">
        <x:v>0</x:v>
      </x:c>
      <x:c r="O813" s="9" t="n">
        <x:v>0</x:v>
      </x:c>
      <x:c r="P813" s="9" t="str">
        <x:v>UNSEALED / SOURCE-EMPTY</x:v>
      </x:c>
      <x:c r="Q813" s="9" t="n">
        <x:f>COUNTIFS($A$7:$A$1158,A813)</x:f>
        <x:v>1</x:v>
      </x:c>
    </x:row>
    <x:row r="814">
      <x:c r="A814" s="9" t="str">
        <x:v>EV-AR-LF-B-A-TECH-3-B2-RCN-G0-RW08</x:v>
      </x:c>
      <x:c r="B814" s="9" t="str">
        <x:v>EV-AR-LF-B-A-TECH-3-B2-RCN-G0</x:v>
      </x:c>
      <x:c r="C814" s="9" t="str">
        <x:v>AR-LF-B-A-TECH-3-B2-RCN-G0</x:v>
      </x:c>
      <x:c r="D814" s="9" t="str">
        <x:v>LF-B-A-TECH-3</x:v>
      </x:c>
      <x:c r="E814" s="9" t="str">
        <x:v>LF-B-A</x:v>
      </x:c>
      <x:c r="F814" s="9" t="str">
        <x:v>B2</x:v>
      </x:c>
      <x:c r="G814" s="9" t="str">
        <x:v>RCN</x:v>
      </x:c>
      <x:c r="H814" s="9" t="str">
        <x:v>RW08</x:v>
      </x:c>
      <x:c r="I814" s="17" t="str">
        <x:v>Residual and physical evidence</x:v>
      </x:c>
      <x:c r="J814" s="17" t="str">
        <x:v>Residual authority</x:v>
      </x:c>
      <x:c r="K814" s="17" t="str">
        <x:v>Public custody B</x:v>
      </x:c>
      <x:c r="L814" s="9" t="n">
        <x:v>0</x:v>
      </x:c>
      <x:c r="M814" s="9" t="n">
        <x:v>0</x:v>
      </x:c>
      <x:c r="N814" s="9" t="n">
        <x:v>0</x:v>
      </x:c>
      <x:c r="O814" s="9" t="n">
        <x:v>0</x:v>
      </x:c>
      <x:c r="P814" s="9" t="str">
        <x:v>UNSEALED / SOURCE-EMPTY</x:v>
      </x:c>
      <x:c r="Q814" s="9" t="n">
        <x:f>COUNTIFS($A$7:$A$1158,A814)</x:f>
        <x:v>1</x:v>
      </x:c>
    </x:row>
    <x:row r="815">
      <x:c r="A815" s="9" t="str">
        <x:v>EV-AR-LF-B-A-TECH-4-B1-RCN-G0-RW01</x:v>
      </x:c>
      <x:c r="B815" s="9" t="str">
        <x:v>EV-AR-LF-B-A-TECH-4-B1-RCN-G0</x:v>
      </x:c>
      <x:c r="C815" s="9" t="str">
        <x:v>AR-LF-B-A-TECH-4-B1-RCN-G0</x:v>
      </x:c>
      <x:c r="D815" s="9" t="str">
        <x:v>LF-B-A-TECH-4</x:v>
      </x:c>
      <x:c r="E815" s="9" t="str">
        <x:v>LF-B-A</x:v>
      </x:c>
      <x:c r="F815" s="9" t="str">
        <x:v>B1</x:v>
      </x:c>
      <x:c r="G815" s="9" t="str">
        <x:v>RCN</x:v>
      </x:c>
      <x:c r="H815" s="9" t="str">
        <x:v>RW01</x:v>
      </x:c>
      <x:c r="I815" s="17" t="str">
        <x:v>Primary raw stream</x:v>
      </x:c>
      <x:c r="J815" s="17" t="str">
        <x:v>Primary metrology</x:v>
      </x:c>
      <x:c r="K815" s="17" t="str">
        <x:v>Public custody A</x:v>
      </x:c>
      <x:c r="L815" s="9" t="n">
        <x:v>0</x:v>
      </x:c>
      <x:c r="M815" s="9" t="n">
        <x:v>0</x:v>
      </x:c>
      <x:c r="N815" s="9" t="n">
        <x:v>0</x:v>
      </x:c>
      <x:c r="O815" s="9" t="n">
        <x:v>0</x:v>
      </x:c>
      <x:c r="P815" s="9" t="str">
        <x:v>UNSEALED / SOURCE-EMPTY</x:v>
      </x:c>
      <x:c r="Q815" s="9" t="n">
        <x:f>COUNTIFS($A$7:$A$1158,A815)</x:f>
        <x:v>1</x:v>
      </x:c>
    </x:row>
    <x:row r="816">
      <x:c r="A816" s="9" t="str">
        <x:v>EV-AR-LF-B-A-TECH-4-B1-RCN-G0-RW02</x:v>
      </x:c>
      <x:c r="B816" s="9" t="str">
        <x:v>EV-AR-LF-B-A-TECH-4-B1-RCN-G0</x:v>
      </x:c>
      <x:c r="C816" s="9" t="str">
        <x:v>AR-LF-B-A-TECH-4-B1-RCN-G0</x:v>
      </x:c>
      <x:c r="D816" s="9" t="str">
        <x:v>LF-B-A-TECH-4</x:v>
      </x:c>
      <x:c r="E816" s="9" t="str">
        <x:v>LF-B-A</x:v>
      </x:c>
      <x:c r="F816" s="9" t="str">
        <x:v>B1</x:v>
      </x:c>
      <x:c r="G816" s="9" t="str">
        <x:v>RCN</x:v>
      </x:c>
      <x:c r="H816" s="9" t="str">
        <x:v>RW02</x:v>
      </x:c>
      <x:c r="I816" s="17" t="str">
        <x:v>Unlike witness stream</x:v>
      </x:c>
      <x:c r="J816" s="17" t="str">
        <x:v>Witness metrology</x:v>
      </x:c>
      <x:c r="K816" s="17" t="str">
        <x:v>Public custody B</x:v>
      </x:c>
      <x:c r="L816" s="9" t="n">
        <x:v>0</x:v>
      </x:c>
      <x:c r="M816" s="9" t="n">
        <x:v>0</x:v>
      </x:c>
      <x:c r="N816" s="9" t="n">
        <x:v>0</x:v>
      </x:c>
      <x:c r="O816" s="9" t="n">
        <x:v>0</x:v>
      </x:c>
      <x:c r="P816" s="9" t="str">
        <x:v>UNSEALED / SOURCE-EMPTY</x:v>
      </x:c>
      <x:c r="Q816" s="9" t="n">
        <x:f>COUNTIFS($A$7:$A$1158,A816)</x:f>
        <x:v>1</x:v>
      </x:c>
    </x:row>
    <x:row r="817">
      <x:c r="A817" s="9" t="str">
        <x:v>EV-AR-LF-B-A-TECH-4-B1-RCN-G0-RW03</x:v>
      </x:c>
      <x:c r="B817" s="9" t="str">
        <x:v>EV-AR-LF-B-A-TECH-4-B1-RCN-G0</x:v>
      </x:c>
      <x:c r="C817" s="9" t="str">
        <x:v>AR-LF-B-A-TECH-4-B1-RCN-G0</x:v>
      </x:c>
      <x:c r="D817" s="9" t="str">
        <x:v>LF-B-A-TECH-4</x:v>
      </x:c>
      <x:c r="E817" s="9" t="str">
        <x:v>LF-B-A</x:v>
      </x:c>
      <x:c r="F817" s="9" t="str">
        <x:v>B1</x:v>
      </x:c>
      <x:c r="G817" s="9" t="str">
        <x:v>RCN</x:v>
      </x:c>
      <x:c r="H817" s="9" t="str">
        <x:v>RW03</x:v>
      </x:c>
      <x:c r="I817" s="17" t="str">
        <x:v>Event clock and start traces</x:v>
      </x:c>
      <x:c r="J817" s="17" t="str">
        <x:v>Event clock authority</x:v>
      </x:c>
      <x:c r="K817" s="17" t="str">
        <x:v>Public custody C</x:v>
      </x:c>
      <x:c r="L817" s="9" t="n">
        <x:v>0</x:v>
      </x:c>
      <x:c r="M817" s="9" t="n">
        <x:v>0</x:v>
      </x:c>
      <x:c r="N817" s="9" t="n">
        <x:v>0</x:v>
      </x:c>
      <x:c r="O817" s="9" t="n">
        <x:v>0</x:v>
      </x:c>
      <x:c r="P817" s="9" t="str">
        <x:v>UNSEALED / SOURCE-EMPTY</x:v>
      </x:c>
      <x:c r="Q817" s="9" t="n">
        <x:f>COUNTIFS($A$7:$A$1158,A817)</x:f>
        <x:v>1</x:v>
      </x:c>
    </x:row>
    <x:row r="818">
      <x:c r="A818" s="9" t="str">
        <x:v>EV-AR-LF-B-A-TECH-4-B1-RCN-G0-RW04</x:v>
      </x:c>
      <x:c r="B818" s="9" t="str">
        <x:v>EV-AR-LF-B-A-TECH-4-B1-RCN-G0</x:v>
      </x:c>
      <x:c r="C818" s="9" t="str">
        <x:v>AR-LF-B-A-TECH-4-B1-RCN-G0</x:v>
      </x:c>
      <x:c r="D818" s="9" t="str">
        <x:v>LF-B-A-TECH-4</x:v>
      </x:c>
      <x:c r="E818" s="9" t="str">
        <x:v>LF-B-A</x:v>
      </x:c>
      <x:c r="F818" s="9" t="str">
        <x:v>B1</x:v>
      </x:c>
      <x:c r="G818" s="9" t="str">
        <x:v>RCN</x:v>
      </x:c>
      <x:c r="H818" s="9" t="str">
        <x:v>RW04</x:v>
      </x:c>
      <x:c r="I818" s="17" t="str">
        <x:v>Environmental boundary stream</x:v>
      </x:c>
      <x:c r="J818" s="17" t="str">
        <x:v>Site metrology</x:v>
      </x:c>
      <x:c r="K818" s="17" t="str">
        <x:v>Public custody D</x:v>
      </x:c>
      <x:c r="L818" s="9" t="n">
        <x:v>0</x:v>
      </x:c>
      <x:c r="M818" s="9" t="n">
        <x:v>0</x:v>
      </x:c>
      <x:c r="N818" s="9" t="n">
        <x:v>0</x:v>
      </x:c>
      <x:c r="O818" s="9" t="n">
        <x:v>0</x:v>
      </x:c>
      <x:c r="P818" s="9" t="str">
        <x:v>UNSEALED / SOURCE-EMPTY</x:v>
      </x:c>
      <x:c r="Q818" s="9" t="n">
        <x:f>COUNTIFS($A$7:$A$1158,A818)</x:f>
        <x:v>1</x:v>
      </x:c>
    </x:row>
    <x:row r="819">
      <x:c r="A819" s="9" t="str">
        <x:v>EV-AR-LF-B-A-TECH-4-B1-RCN-G0-RW05</x:v>
      </x:c>
      <x:c r="B819" s="9" t="str">
        <x:v>EV-AR-LF-B-A-TECH-4-B1-RCN-G0</x:v>
      </x:c>
      <x:c r="C819" s="9" t="str">
        <x:v>AR-LF-B-A-TECH-4-B1-RCN-G0</x:v>
      </x:c>
      <x:c r="D819" s="9" t="str">
        <x:v>LF-B-A-TECH-4</x:v>
      </x:c>
      <x:c r="E819" s="9" t="str">
        <x:v>LF-B-A</x:v>
      </x:c>
      <x:c r="F819" s="9" t="str">
        <x:v>B1</x:v>
      </x:c>
      <x:c r="G819" s="9" t="str">
        <x:v>RCN</x:v>
      </x:c>
      <x:c r="H819" s="9" t="str">
        <x:v>RW05</x:v>
      </x:c>
      <x:c r="I819" s="17" t="str">
        <x:v>Command and intervention log</x:v>
      </x:c>
      <x:c r="J819" s="17" t="str">
        <x:v>Safety authority</x:v>
      </x:c>
      <x:c r="K819" s="17" t="str">
        <x:v>Public custody E</x:v>
      </x:c>
      <x:c r="L819" s="9" t="n">
        <x:v>0</x:v>
      </x:c>
      <x:c r="M819" s="9" t="n">
        <x:v>0</x:v>
      </x:c>
      <x:c r="N819" s="9" t="n">
        <x:v>0</x:v>
      </x:c>
      <x:c r="O819" s="9" t="n">
        <x:v>0</x:v>
      </x:c>
      <x:c r="P819" s="9" t="str">
        <x:v>UNSEALED / SOURCE-EMPTY</x:v>
      </x:c>
      <x:c r="Q819" s="9" t="n">
        <x:f>COUNTIFS($A$7:$A$1158,A819)</x:f>
        <x:v>1</x:v>
      </x:c>
    </x:row>
    <x:row r="820">
      <x:c r="A820" s="9" t="str">
        <x:v>EV-AR-LF-B-A-TECH-4-B1-RCN-G0-RW06</x:v>
      </x:c>
      <x:c r="B820" s="9" t="str">
        <x:v>EV-AR-LF-B-A-TECH-4-B1-RCN-G0</x:v>
      </x:c>
      <x:c r="C820" s="9" t="str">
        <x:v>AR-LF-B-A-TECH-4-B1-RCN-G0</x:v>
      </x:c>
      <x:c r="D820" s="9" t="str">
        <x:v>LF-B-A-TECH-4</x:v>
      </x:c>
      <x:c r="E820" s="9" t="str">
        <x:v>LF-B-A</x:v>
      </x:c>
      <x:c r="F820" s="9" t="str">
        <x:v>B1</x:v>
      </x:c>
      <x:c r="G820" s="9" t="str">
        <x:v>RCN</x:v>
      </x:c>
      <x:c r="H820" s="9" t="str">
        <x:v>RW06</x:v>
      </x:c>
      <x:c r="I820" s="17" t="str">
        <x:v>Receiver service ledger</x:v>
      </x:c>
      <x:c r="J820" s="17" t="str">
        <x:v>Receiver authority</x:v>
      </x:c>
      <x:c r="K820" s="17" t="str">
        <x:v>Public custody F</x:v>
      </x:c>
      <x:c r="L820" s="9" t="n">
        <x:v>0</x:v>
      </x:c>
      <x:c r="M820" s="9" t="n">
        <x:v>0</x:v>
      </x:c>
      <x:c r="N820" s="9" t="n">
        <x:v>0</x:v>
      </x:c>
      <x:c r="O820" s="9" t="n">
        <x:v>0</x:v>
      </x:c>
      <x:c r="P820" s="9" t="str">
        <x:v>UNSEALED / SOURCE-EMPTY</x:v>
      </x:c>
      <x:c r="Q820" s="9" t="n">
        <x:f>COUNTIFS($A$7:$A$1158,A820)</x:f>
        <x:v>1</x:v>
      </x:c>
    </x:row>
    <x:row r="821">
      <x:c r="A821" s="9" t="str">
        <x:v>EV-AR-LF-B-A-TECH-4-B1-RCN-G0-RW07</x:v>
      </x:c>
      <x:c r="B821" s="9" t="str">
        <x:v>EV-AR-LF-B-A-TECH-4-B1-RCN-G0</x:v>
      </x:c>
      <x:c r="C821" s="9" t="str">
        <x:v>AR-LF-B-A-TECH-4-B1-RCN-G0</x:v>
      </x:c>
      <x:c r="D821" s="9" t="str">
        <x:v>LF-B-A-TECH-4</x:v>
      </x:c>
      <x:c r="E821" s="9" t="str">
        <x:v>LF-B-A</x:v>
      </x:c>
      <x:c r="F821" s="9" t="str">
        <x:v>B1</x:v>
      </x:c>
      <x:c r="G821" s="9" t="str">
        <x:v>RCN</x:v>
      </x:c>
      <x:c r="H821" s="9" t="str">
        <x:v>RW07</x:v>
      </x:c>
      <x:c r="I821" s="17" t="str">
        <x:v>Candidate interface telemetry</x:v>
      </x:c>
      <x:c r="J821" s="17" t="str">
        <x:v>Interface custodian</x:v>
      </x:c>
      <x:c r="K821" s="17" t="str">
        <x:v>Public custody A</x:v>
      </x:c>
      <x:c r="L821" s="9" t="n">
        <x:v>0</x:v>
      </x:c>
      <x:c r="M821" s="9" t="n">
        <x:v>0</x:v>
      </x:c>
      <x:c r="N821" s="9" t="n">
        <x:v>0</x:v>
      </x:c>
      <x:c r="O821" s="9" t="n">
        <x:v>0</x:v>
      </x:c>
      <x:c r="P821" s="9" t="str">
        <x:v>UNSEALED / SOURCE-EMPTY</x:v>
      </x:c>
      <x:c r="Q821" s="9" t="n">
        <x:f>COUNTIFS($A$7:$A$1158,A821)</x:f>
        <x:v>1</x:v>
      </x:c>
    </x:row>
    <x:row r="822">
      <x:c r="A822" s="9" t="str">
        <x:v>EV-AR-LF-B-A-TECH-4-B1-RCN-G0-RW08</x:v>
      </x:c>
      <x:c r="B822" s="9" t="str">
        <x:v>EV-AR-LF-B-A-TECH-4-B1-RCN-G0</x:v>
      </x:c>
      <x:c r="C822" s="9" t="str">
        <x:v>AR-LF-B-A-TECH-4-B1-RCN-G0</x:v>
      </x:c>
      <x:c r="D822" s="9" t="str">
        <x:v>LF-B-A-TECH-4</x:v>
      </x:c>
      <x:c r="E822" s="9" t="str">
        <x:v>LF-B-A</x:v>
      </x:c>
      <x:c r="F822" s="9" t="str">
        <x:v>B1</x:v>
      </x:c>
      <x:c r="G822" s="9" t="str">
        <x:v>RCN</x:v>
      </x:c>
      <x:c r="H822" s="9" t="str">
        <x:v>RW08</x:v>
      </x:c>
      <x:c r="I822" s="17" t="str">
        <x:v>Residual and physical evidence</x:v>
      </x:c>
      <x:c r="J822" s="17" t="str">
        <x:v>Residual authority</x:v>
      </x:c>
      <x:c r="K822" s="17" t="str">
        <x:v>Public custody B</x:v>
      </x:c>
      <x:c r="L822" s="9" t="n">
        <x:v>0</x:v>
      </x:c>
      <x:c r="M822" s="9" t="n">
        <x:v>0</x:v>
      </x:c>
      <x:c r="N822" s="9" t="n">
        <x:v>0</x:v>
      </x:c>
      <x:c r="O822" s="9" t="n">
        <x:v>0</x:v>
      </x:c>
      <x:c r="P822" s="9" t="str">
        <x:v>UNSEALED / SOURCE-EMPTY</x:v>
      </x:c>
      <x:c r="Q822" s="9" t="n">
        <x:f>COUNTIFS($A$7:$A$1158,A822)</x:f>
        <x:v>1</x:v>
      </x:c>
    </x:row>
    <x:row r="823">
      <x:c r="A823" s="9" t="str">
        <x:v>EV-AR-CT-C-B-TECH-2-B1-BRK-G0-RW01</x:v>
      </x:c>
      <x:c r="B823" s="9" t="str">
        <x:v>EV-AR-CT-C-B-TECH-2-B1-BRK-G0</x:v>
      </x:c>
      <x:c r="C823" s="9" t="str">
        <x:v>AR-CT-C-B-TECH-2-B1-BRK-G0</x:v>
      </x:c>
      <x:c r="D823" s="9" t="str">
        <x:v>CT-C-B-TECH-2</x:v>
      </x:c>
      <x:c r="E823" s="9" t="str">
        <x:v>CT-C-B</x:v>
      </x:c>
      <x:c r="F823" s="9" t="str">
        <x:v>B1</x:v>
      </x:c>
      <x:c r="G823" s="9" t="str">
        <x:v>BRK</x:v>
      </x:c>
      <x:c r="H823" s="9" t="str">
        <x:v>RW01</x:v>
      </x:c>
      <x:c r="I823" s="17" t="str">
        <x:v>Primary raw stream</x:v>
      </x:c>
      <x:c r="J823" s="17" t="str">
        <x:v>Primary metrology</x:v>
      </x:c>
      <x:c r="K823" s="17" t="str">
        <x:v>Public custody A</x:v>
      </x:c>
      <x:c r="L823" s="9" t="n">
        <x:v>0</x:v>
      </x:c>
      <x:c r="M823" s="9" t="n">
        <x:v>0</x:v>
      </x:c>
      <x:c r="N823" s="9" t="n">
        <x:v>0</x:v>
      </x:c>
      <x:c r="O823" s="9" t="n">
        <x:v>0</x:v>
      </x:c>
      <x:c r="P823" s="9" t="str">
        <x:v>UNSEALED / SOURCE-EMPTY</x:v>
      </x:c>
      <x:c r="Q823" s="9" t="n">
        <x:f>COUNTIFS($A$7:$A$1158,A823)</x:f>
        <x:v>1</x:v>
      </x:c>
    </x:row>
    <x:row r="824">
      <x:c r="A824" s="9" t="str">
        <x:v>EV-AR-CT-C-B-TECH-2-B1-BRK-G0-RW02</x:v>
      </x:c>
      <x:c r="B824" s="9" t="str">
        <x:v>EV-AR-CT-C-B-TECH-2-B1-BRK-G0</x:v>
      </x:c>
      <x:c r="C824" s="9" t="str">
        <x:v>AR-CT-C-B-TECH-2-B1-BRK-G0</x:v>
      </x:c>
      <x:c r="D824" s="9" t="str">
        <x:v>CT-C-B-TECH-2</x:v>
      </x:c>
      <x:c r="E824" s="9" t="str">
        <x:v>CT-C-B</x:v>
      </x:c>
      <x:c r="F824" s="9" t="str">
        <x:v>B1</x:v>
      </x:c>
      <x:c r="G824" s="9" t="str">
        <x:v>BRK</x:v>
      </x:c>
      <x:c r="H824" s="9" t="str">
        <x:v>RW02</x:v>
      </x:c>
      <x:c r="I824" s="17" t="str">
        <x:v>Unlike witness stream</x:v>
      </x:c>
      <x:c r="J824" s="17" t="str">
        <x:v>Witness metrology</x:v>
      </x:c>
      <x:c r="K824" s="17" t="str">
        <x:v>Public custody B</x:v>
      </x:c>
      <x:c r="L824" s="9" t="n">
        <x:v>0</x:v>
      </x:c>
      <x:c r="M824" s="9" t="n">
        <x:v>0</x:v>
      </x:c>
      <x:c r="N824" s="9" t="n">
        <x:v>0</x:v>
      </x:c>
      <x:c r="O824" s="9" t="n">
        <x:v>0</x:v>
      </x:c>
      <x:c r="P824" s="9" t="str">
        <x:v>UNSEALED / SOURCE-EMPTY</x:v>
      </x:c>
      <x:c r="Q824" s="9" t="n">
        <x:f>COUNTIFS($A$7:$A$1158,A824)</x:f>
        <x:v>1</x:v>
      </x:c>
    </x:row>
    <x:row r="825">
      <x:c r="A825" s="9" t="str">
        <x:v>EV-AR-CT-C-B-TECH-2-B1-BRK-G0-RW03</x:v>
      </x:c>
      <x:c r="B825" s="9" t="str">
        <x:v>EV-AR-CT-C-B-TECH-2-B1-BRK-G0</x:v>
      </x:c>
      <x:c r="C825" s="9" t="str">
        <x:v>AR-CT-C-B-TECH-2-B1-BRK-G0</x:v>
      </x:c>
      <x:c r="D825" s="9" t="str">
        <x:v>CT-C-B-TECH-2</x:v>
      </x:c>
      <x:c r="E825" s="9" t="str">
        <x:v>CT-C-B</x:v>
      </x:c>
      <x:c r="F825" s="9" t="str">
        <x:v>B1</x:v>
      </x:c>
      <x:c r="G825" s="9" t="str">
        <x:v>BRK</x:v>
      </x:c>
      <x:c r="H825" s="9" t="str">
        <x:v>RW03</x:v>
      </x:c>
      <x:c r="I825" s="17" t="str">
        <x:v>Event clock and start traces</x:v>
      </x:c>
      <x:c r="J825" s="17" t="str">
        <x:v>Event clock authority</x:v>
      </x:c>
      <x:c r="K825" s="17" t="str">
        <x:v>Public custody C</x:v>
      </x:c>
      <x:c r="L825" s="9" t="n">
        <x:v>0</x:v>
      </x:c>
      <x:c r="M825" s="9" t="n">
        <x:v>0</x:v>
      </x:c>
      <x:c r="N825" s="9" t="n">
        <x:v>0</x:v>
      </x:c>
      <x:c r="O825" s="9" t="n">
        <x:v>0</x:v>
      </x:c>
      <x:c r="P825" s="9" t="str">
        <x:v>UNSEALED / SOURCE-EMPTY</x:v>
      </x:c>
      <x:c r="Q825" s="9" t="n">
        <x:f>COUNTIFS($A$7:$A$1158,A825)</x:f>
        <x:v>1</x:v>
      </x:c>
    </x:row>
    <x:row r="826">
      <x:c r="A826" s="9" t="str">
        <x:v>EV-AR-CT-C-B-TECH-2-B1-BRK-G0-RW04</x:v>
      </x:c>
      <x:c r="B826" s="9" t="str">
        <x:v>EV-AR-CT-C-B-TECH-2-B1-BRK-G0</x:v>
      </x:c>
      <x:c r="C826" s="9" t="str">
        <x:v>AR-CT-C-B-TECH-2-B1-BRK-G0</x:v>
      </x:c>
      <x:c r="D826" s="9" t="str">
        <x:v>CT-C-B-TECH-2</x:v>
      </x:c>
      <x:c r="E826" s="9" t="str">
        <x:v>CT-C-B</x:v>
      </x:c>
      <x:c r="F826" s="9" t="str">
        <x:v>B1</x:v>
      </x:c>
      <x:c r="G826" s="9" t="str">
        <x:v>BRK</x:v>
      </x:c>
      <x:c r="H826" s="9" t="str">
        <x:v>RW04</x:v>
      </x:c>
      <x:c r="I826" s="17" t="str">
        <x:v>Environmental boundary stream</x:v>
      </x:c>
      <x:c r="J826" s="17" t="str">
        <x:v>Site metrology</x:v>
      </x:c>
      <x:c r="K826" s="17" t="str">
        <x:v>Public custody D</x:v>
      </x:c>
      <x:c r="L826" s="9" t="n">
        <x:v>0</x:v>
      </x:c>
      <x:c r="M826" s="9" t="n">
        <x:v>0</x:v>
      </x:c>
      <x:c r="N826" s="9" t="n">
        <x:v>0</x:v>
      </x:c>
      <x:c r="O826" s="9" t="n">
        <x:v>0</x:v>
      </x:c>
      <x:c r="P826" s="9" t="str">
        <x:v>UNSEALED / SOURCE-EMPTY</x:v>
      </x:c>
      <x:c r="Q826" s="9" t="n">
        <x:f>COUNTIFS($A$7:$A$1158,A826)</x:f>
        <x:v>1</x:v>
      </x:c>
    </x:row>
    <x:row r="827">
      <x:c r="A827" s="9" t="str">
        <x:v>EV-AR-CT-C-B-TECH-2-B1-BRK-G0-RW05</x:v>
      </x:c>
      <x:c r="B827" s="9" t="str">
        <x:v>EV-AR-CT-C-B-TECH-2-B1-BRK-G0</x:v>
      </x:c>
      <x:c r="C827" s="9" t="str">
        <x:v>AR-CT-C-B-TECH-2-B1-BRK-G0</x:v>
      </x:c>
      <x:c r="D827" s="9" t="str">
        <x:v>CT-C-B-TECH-2</x:v>
      </x:c>
      <x:c r="E827" s="9" t="str">
        <x:v>CT-C-B</x:v>
      </x:c>
      <x:c r="F827" s="9" t="str">
        <x:v>B1</x:v>
      </x:c>
      <x:c r="G827" s="9" t="str">
        <x:v>BRK</x:v>
      </x:c>
      <x:c r="H827" s="9" t="str">
        <x:v>RW05</x:v>
      </x:c>
      <x:c r="I827" s="17" t="str">
        <x:v>Command and intervention log</x:v>
      </x:c>
      <x:c r="J827" s="17" t="str">
        <x:v>Safety authority</x:v>
      </x:c>
      <x:c r="K827" s="17" t="str">
        <x:v>Public custody E</x:v>
      </x:c>
      <x:c r="L827" s="9" t="n">
        <x:v>0</x:v>
      </x:c>
      <x:c r="M827" s="9" t="n">
        <x:v>0</x:v>
      </x:c>
      <x:c r="N827" s="9" t="n">
        <x:v>0</x:v>
      </x:c>
      <x:c r="O827" s="9" t="n">
        <x:v>0</x:v>
      </x:c>
      <x:c r="P827" s="9" t="str">
        <x:v>UNSEALED / SOURCE-EMPTY</x:v>
      </x:c>
      <x:c r="Q827" s="9" t="n">
        <x:f>COUNTIFS($A$7:$A$1158,A827)</x:f>
        <x:v>1</x:v>
      </x:c>
    </x:row>
    <x:row r="828">
      <x:c r="A828" s="9" t="str">
        <x:v>EV-AR-CT-C-B-TECH-2-B1-BRK-G0-RW06</x:v>
      </x:c>
      <x:c r="B828" s="9" t="str">
        <x:v>EV-AR-CT-C-B-TECH-2-B1-BRK-G0</x:v>
      </x:c>
      <x:c r="C828" s="9" t="str">
        <x:v>AR-CT-C-B-TECH-2-B1-BRK-G0</x:v>
      </x:c>
      <x:c r="D828" s="9" t="str">
        <x:v>CT-C-B-TECH-2</x:v>
      </x:c>
      <x:c r="E828" s="9" t="str">
        <x:v>CT-C-B</x:v>
      </x:c>
      <x:c r="F828" s="9" t="str">
        <x:v>B1</x:v>
      </x:c>
      <x:c r="G828" s="9" t="str">
        <x:v>BRK</x:v>
      </x:c>
      <x:c r="H828" s="9" t="str">
        <x:v>RW06</x:v>
      </x:c>
      <x:c r="I828" s="17" t="str">
        <x:v>Receiver service ledger</x:v>
      </x:c>
      <x:c r="J828" s="17" t="str">
        <x:v>Receiver authority</x:v>
      </x:c>
      <x:c r="K828" s="17" t="str">
        <x:v>Public custody F</x:v>
      </x:c>
      <x:c r="L828" s="9" t="n">
        <x:v>0</x:v>
      </x:c>
      <x:c r="M828" s="9" t="n">
        <x:v>0</x:v>
      </x:c>
      <x:c r="N828" s="9" t="n">
        <x:v>0</x:v>
      </x:c>
      <x:c r="O828" s="9" t="n">
        <x:v>0</x:v>
      </x:c>
      <x:c r="P828" s="9" t="str">
        <x:v>UNSEALED / SOURCE-EMPTY</x:v>
      </x:c>
      <x:c r="Q828" s="9" t="n">
        <x:f>COUNTIFS($A$7:$A$1158,A828)</x:f>
        <x:v>1</x:v>
      </x:c>
    </x:row>
    <x:row r="829">
      <x:c r="A829" s="9" t="str">
        <x:v>EV-AR-CT-C-B-TECH-2-B1-BRK-G0-RW07</x:v>
      </x:c>
      <x:c r="B829" s="9" t="str">
        <x:v>EV-AR-CT-C-B-TECH-2-B1-BRK-G0</x:v>
      </x:c>
      <x:c r="C829" s="9" t="str">
        <x:v>AR-CT-C-B-TECH-2-B1-BRK-G0</x:v>
      </x:c>
      <x:c r="D829" s="9" t="str">
        <x:v>CT-C-B-TECH-2</x:v>
      </x:c>
      <x:c r="E829" s="9" t="str">
        <x:v>CT-C-B</x:v>
      </x:c>
      <x:c r="F829" s="9" t="str">
        <x:v>B1</x:v>
      </x:c>
      <x:c r="G829" s="9" t="str">
        <x:v>BRK</x:v>
      </x:c>
      <x:c r="H829" s="9" t="str">
        <x:v>RW07</x:v>
      </x:c>
      <x:c r="I829" s="17" t="str">
        <x:v>Candidate interface telemetry</x:v>
      </x:c>
      <x:c r="J829" s="17" t="str">
        <x:v>Interface custodian</x:v>
      </x:c>
      <x:c r="K829" s="17" t="str">
        <x:v>Public custody A</x:v>
      </x:c>
      <x:c r="L829" s="9" t="n">
        <x:v>0</x:v>
      </x:c>
      <x:c r="M829" s="9" t="n">
        <x:v>0</x:v>
      </x:c>
      <x:c r="N829" s="9" t="n">
        <x:v>0</x:v>
      </x:c>
      <x:c r="O829" s="9" t="n">
        <x:v>0</x:v>
      </x:c>
      <x:c r="P829" s="9" t="str">
        <x:v>UNSEALED / SOURCE-EMPTY</x:v>
      </x:c>
      <x:c r="Q829" s="9" t="n">
        <x:f>COUNTIFS($A$7:$A$1158,A829)</x:f>
        <x:v>1</x:v>
      </x:c>
    </x:row>
    <x:row r="830">
      <x:c r="A830" s="9" t="str">
        <x:v>EV-AR-CT-C-B-TECH-2-B1-BRK-G0-RW08</x:v>
      </x:c>
      <x:c r="B830" s="9" t="str">
        <x:v>EV-AR-CT-C-B-TECH-2-B1-BRK-G0</x:v>
      </x:c>
      <x:c r="C830" s="9" t="str">
        <x:v>AR-CT-C-B-TECH-2-B1-BRK-G0</x:v>
      </x:c>
      <x:c r="D830" s="9" t="str">
        <x:v>CT-C-B-TECH-2</x:v>
      </x:c>
      <x:c r="E830" s="9" t="str">
        <x:v>CT-C-B</x:v>
      </x:c>
      <x:c r="F830" s="9" t="str">
        <x:v>B1</x:v>
      </x:c>
      <x:c r="G830" s="9" t="str">
        <x:v>BRK</x:v>
      </x:c>
      <x:c r="H830" s="9" t="str">
        <x:v>RW08</x:v>
      </x:c>
      <x:c r="I830" s="17" t="str">
        <x:v>Residual and physical evidence</x:v>
      </x:c>
      <x:c r="J830" s="17" t="str">
        <x:v>Residual authority</x:v>
      </x:c>
      <x:c r="K830" s="17" t="str">
        <x:v>Public custody B</x:v>
      </x:c>
      <x:c r="L830" s="9" t="n">
        <x:v>0</x:v>
      </x:c>
      <x:c r="M830" s="9" t="n">
        <x:v>0</x:v>
      </x:c>
      <x:c r="N830" s="9" t="n">
        <x:v>0</x:v>
      </x:c>
      <x:c r="O830" s="9" t="n">
        <x:v>0</x:v>
      </x:c>
      <x:c r="P830" s="9" t="str">
        <x:v>UNSEALED / SOURCE-EMPTY</x:v>
      </x:c>
      <x:c r="Q830" s="9" t="n">
        <x:f>COUNTIFS($A$7:$A$1158,A830)</x:f>
        <x:v>1</x:v>
      </x:c>
    </x:row>
    <x:row r="831">
      <x:c r="A831" s="9" t="str">
        <x:v>EV-AR-ET-A-A-TECH-3-B1-BRK-G0-RW01</x:v>
      </x:c>
      <x:c r="B831" s="9" t="str">
        <x:v>EV-AR-ET-A-A-TECH-3-B1-BRK-G0</x:v>
      </x:c>
      <x:c r="C831" s="9" t="str">
        <x:v>AR-ET-A-A-TECH-3-B1-BRK-G0</x:v>
      </x:c>
      <x:c r="D831" s="9" t="str">
        <x:v>ET-A-A-TECH-3</x:v>
      </x:c>
      <x:c r="E831" s="9" t="str">
        <x:v>ET-A-A</x:v>
      </x:c>
      <x:c r="F831" s="9" t="str">
        <x:v>B1</x:v>
      </x:c>
      <x:c r="G831" s="9" t="str">
        <x:v>BRK</x:v>
      </x:c>
      <x:c r="H831" s="9" t="str">
        <x:v>RW01</x:v>
      </x:c>
      <x:c r="I831" s="17" t="str">
        <x:v>Primary raw stream</x:v>
      </x:c>
      <x:c r="J831" s="17" t="str">
        <x:v>Primary metrology</x:v>
      </x:c>
      <x:c r="K831" s="17" t="str">
        <x:v>Public custody A</x:v>
      </x:c>
      <x:c r="L831" s="9" t="n">
        <x:v>0</x:v>
      </x:c>
      <x:c r="M831" s="9" t="n">
        <x:v>0</x:v>
      </x:c>
      <x:c r="N831" s="9" t="n">
        <x:v>0</x:v>
      </x:c>
      <x:c r="O831" s="9" t="n">
        <x:v>0</x:v>
      </x:c>
      <x:c r="P831" s="9" t="str">
        <x:v>UNSEALED / SOURCE-EMPTY</x:v>
      </x:c>
      <x:c r="Q831" s="9" t="n">
        <x:f>COUNTIFS($A$7:$A$1158,A831)</x:f>
        <x:v>1</x:v>
      </x:c>
    </x:row>
    <x:row r="832">
      <x:c r="A832" s="9" t="str">
        <x:v>EV-AR-ET-A-A-TECH-3-B1-BRK-G0-RW02</x:v>
      </x:c>
      <x:c r="B832" s="9" t="str">
        <x:v>EV-AR-ET-A-A-TECH-3-B1-BRK-G0</x:v>
      </x:c>
      <x:c r="C832" s="9" t="str">
        <x:v>AR-ET-A-A-TECH-3-B1-BRK-G0</x:v>
      </x:c>
      <x:c r="D832" s="9" t="str">
        <x:v>ET-A-A-TECH-3</x:v>
      </x:c>
      <x:c r="E832" s="9" t="str">
        <x:v>ET-A-A</x:v>
      </x:c>
      <x:c r="F832" s="9" t="str">
        <x:v>B1</x:v>
      </x:c>
      <x:c r="G832" s="9" t="str">
        <x:v>BRK</x:v>
      </x:c>
      <x:c r="H832" s="9" t="str">
        <x:v>RW02</x:v>
      </x:c>
      <x:c r="I832" s="17" t="str">
        <x:v>Unlike witness stream</x:v>
      </x:c>
      <x:c r="J832" s="17" t="str">
        <x:v>Witness metrology</x:v>
      </x:c>
      <x:c r="K832" s="17" t="str">
        <x:v>Public custody B</x:v>
      </x:c>
      <x:c r="L832" s="9" t="n">
        <x:v>0</x:v>
      </x:c>
      <x:c r="M832" s="9" t="n">
        <x:v>0</x:v>
      </x:c>
      <x:c r="N832" s="9" t="n">
        <x:v>0</x:v>
      </x:c>
      <x:c r="O832" s="9" t="n">
        <x:v>0</x:v>
      </x:c>
      <x:c r="P832" s="9" t="str">
        <x:v>UNSEALED / SOURCE-EMPTY</x:v>
      </x:c>
      <x:c r="Q832" s="9" t="n">
        <x:f>COUNTIFS($A$7:$A$1158,A832)</x:f>
        <x:v>1</x:v>
      </x:c>
    </x:row>
    <x:row r="833">
      <x:c r="A833" s="9" t="str">
        <x:v>EV-AR-ET-A-A-TECH-3-B1-BRK-G0-RW03</x:v>
      </x:c>
      <x:c r="B833" s="9" t="str">
        <x:v>EV-AR-ET-A-A-TECH-3-B1-BRK-G0</x:v>
      </x:c>
      <x:c r="C833" s="9" t="str">
        <x:v>AR-ET-A-A-TECH-3-B1-BRK-G0</x:v>
      </x:c>
      <x:c r="D833" s="9" t="str">
        <x:v>ET-A-A-TECH-3</x:v>
      </x:c>
      <x:c r="E833" s="9" t="str">
        <x:v>ET-A-A</x:v>
      </x:c>
      <x:c r="F833" s="9" t="str">
        <x:v>B1</x:v>
      </x:c>
      <x:c r="G833" s="9" t="str">
        <x:v>BRK</x:v>
      </x:c>
      <x:c r="H833" s="9" t="str">
        <x:v>RW03</x:v>
      </x:c>
      <x:c r="I833" s="17" t="str">
        <x:v>Event clock and start traces</x:v>
      </x:c>
      <x:c r="J833" s="17" t="str">
        <x:v>Event clock authority</x:v>
      </x:c>
      <x:c r="K833" s="17" t="str">
        <x:v>Public custody C</x:v>
      </x:c>
      <x:c r="L833" s="9" t="n">
        <x:v>0</x:v>
      </x:c>
      <x:c r="M833" s="9" t="n">
        <x:v>0</x:v>
      </x:c>
      <x:c r="N833" s="9" t="n">
        <x:v>0</x:v>
      </x:c>
      <x:c r="O833" s="9" t="n">
        <x:v>0</x:v>
      </x:c>
      <x:c r="P833" s="9" t="str">
        <x:v>UNSEALED / SOURCE-EMPTY</x:v>
      </x:c>
      <x:c r="Q833" s="9" t="n">
        <x:f>COUNTIFS($A$7:$A$1158,A833)</x:f>
        <x:v>1</x:v>
      </x:c>
    </x:row>
    <x:row r="834">
      <x:c r="A834" s="9" t="str">
        <x:v>EV-AR-ET-A-A-TECH-3-B1-BRK-G0-RW04</x:v>
      </x:c>
      <x:c r="B834" s="9" t="str">
        <x:v>EV-AR-ET-A-A-TECH-3-B1-BRK-G0</x:v>
      </x:c>
      <x:c r="C834" s="9" t="str">
        <x:v>AR-ET-A-A-TECH-3-B1-BRK-G0</x:v>
      </x:c>
      <x:c r="D834" s="9" t="str">
        <x:v>ET-A-A-TECH-3</x:v>
      </x:c>
      <x:c r="E834" s="9" t="str">
        <x:v>ET-A-A</x:v>
      </x:c>
      <x:c r="F834" s="9" t="str">
        <x:v>B1</x:v>
      </x:c>
      <x:c r="G834" s="9" t="str">
        <x:v>BRK</x:v>
      </x:c>
      <x:c r="H834" s="9" t="str">
        <x:v>RW04</x:v>
      </x:c>
      <x:c r="I834" s="17" t="str">
        <x:v>Environmental boundary stream</x:v>
      </x:c>
      <x:c r="J834" s="17" t="str">
        <x:v>Site metrology</x:v>
      </x:c>
      <x:c r="K834" s="17" t="str">
        <x:v>Public custody D</x:v>
      </x:c>
      <x:c r="L834" s="9" t="n">
        <x:v>0</x:v>
      </x:c>
      <x:c r="M834" s="9" t="n">
        <x:v>0</x:v>
      </x:c>
      <x:c r="N834" s="9" t="n">
        <x:v>0</x:v>
      </x:c>
      <x:c r="O834" s="9" t="n">
        <x:v>0</x:v>
      </x:c>
      <x:c r="P834" s="9" t="str">
        <x:v>UNSEALED / SOURCE-EMPTY</x:v>
      </x:c>
      <x:c r="Q834" s="9" t="n">
        <x:f>COUNTIFS($A$7:$A$1158,A834)</x:f>
        <x:v>1</x:v>
      </x:c>
    </x:row>
    <x:row r="835">
      <x:c r="A835" s="9" t="str">
        <x:v>EV-AR-ET-A-A-TECH-3-B1-BRK-G0-RW05</x:v>
      </x:c>
      <x:c r="B835" s="9" t="str">
        <x:v>EV-AR-ET-A-A-TECH-3-B1-BRK-G0</x:v>
      </x:c>
      <x:c r="C835" s="9" t="str">
        <x:v>AR-ET-A-A-TECH-3-B1-BRK-G0</x:v>
      </x:c>
      <x:c r="D835" s="9" t="str">
        <x:v>ET-A-A-TECH-3</x:v>
      </x:c>
      <x:c r="E835" s="9" t="str">
        <x:v>ET-A-A</x:v>
      </x:c>
      <x:c r="F835" s="9" t="str">
        <x:v>B1</x:v>
      </x:c>
      <x:c r="G835" s="9" t="str">
        <x:v>BRK</x:v>
      </x:c>
      <x:c r="H835" s="9" t="str">
        <x:v>RW05</x:v>
      </x:c>
      <x:c r="I835" s="17" t="str">
        <x:v>Command and intervention log</x:v>
      </x:c>
      <x:c r="J835" s="17" t="str">
        <x:v>Safety authority</x:v>
      </x:c>
      <x:c r="K835" s="17" t="str">
        <x:v>Public custody E</x:v>
      </x:c>
      <x:c r="L835" s="9" t="n">
        <x:v>0</x:v>
      </x:c>
      <x:c r="M835" s="9" t="n">
        <x:v>0</x:v>
      </x:c>
      <x:c r="N835" s="9" t="n">
        <x:v>0</x:v>
      </x:c>
      <x:c r="O835" s="9" t="n">
        <x:v>0</x:v>
      </x:c>
      <x:c r="P835" s="9" t="str">
        <x:v>UNSEALED / SOURCE-EMPTY</x:v>
      </x:c>
      <x:c r="Q835" s="9" t="n">
        <x:f>COUNTIFS($A$7:$A$1158,A835)</x:f>
        <x:v>1</x:v>
      </x:c>
    </x:row>
    <x:row r="836">
      <x:c r="A836" s="9" t="str">
        <x:v>EV-AR-ET-A-A-TECH-3-B1-BRK-G0-RW06</x:v>
      </x:c>
      <x:c r="B836" s="9" t="str">
        <x:v>EV-AR-ET-A-A-TECH-3-B1-BRK-G0</x:v>
      </x:c>
      <x:c r="C836" s="9" t="str">
        <x:v>AR-ET-A-A-TECH-3-B1-BRK-G0</x:v>
      </x:c>
      <x:c r="D836" s="9" t="str">
        <x:v>ET-A-A-TECH-3</x:v>
      </x:c>
      <x:c r="E836" s="9" t="str">
        <x:v>ET-A-A</x:v>
      </x:c>
      <x:c r="F836" s="9" t="str">
        <x:v>B1</x:v>
      </x:c>
      <x:c r="G836" s="9" t="str">
        <x:v>BRK</x:v>
      </x:c>
      <x:c r="H836" s="9" t="str">
        <x:v>RW06</x:v>
      </x:c>
      <x:c r="I836" s="17" t="str">
        <x:v>Receiver service ledger</x:v>
      </x:c>
      <x:c r="J836" s="17" t="str">
        <x:v>Receiver authority</x:v>
      </x:c>
      <x:c r="K836" s="17" t="str">
        <x:v>Public custody F</x:v>
      </x:c>
      <x:c r="L836" s="9" t="n">
        <x:v>0</x:v>
      </x:c>
      <x:c r="M836" s="9" t="n">
        <x:v>0</x:v>
      </x:c>
      <x:c r="N836" s="9" t="n">
        <x:v>0</x:v>
      </x:c>
      <x:c r="O836" s="9" t="n">
        <x:v>0</x:v>
      </x:c>
      <x:c r="P836" s="9" t="str">
        <x:v>UNSEALED / SOURCE-EMPTY</x:v>
      </x:c>
      <x:c r="Q836" s="9" t="n">
        <x:f>COUNTIFS($A$7:$A$1158,A836)</x:f>
        <x:v>1</x:v>
      </x:c>
    </x:row>
    <x:row r="837">
      <x:c r="A837" s="9" t="str">
        <x:v>EV-AR-ET-A-A-TECH-3-B1-BRK-G0-RW07</x:v>
      </x:c>
      <x:c r="B837" s="9" t="str">
        <x:v>EV-AR-ET-A-A-TECH-3-B1-BRK-G0</x:v>
      </x:c>
      <x:c r="C837" s="9" t="str">
        <x:v>AR-ET-A-A-TECH-3-B1-BRK-G0</x:v>
      </x:c>
      <x:c r="D837" s="9" t="str">
        <x:v>ET-A-A-TECH-3</x:v>
      </x:c>
      <x:c r="E837" s="9" t="str">
        <x:v>ET-A-A</x:v>
      </x:c>
      <x:c r="F837" s="9" t="str">
        <x:v>B1</x:v>
      </x:c>
      <x:c r="G837" s="9" t="str">
        <x:v>BRK</x:v>
      </x:c>
      <x:c r="H837" s="9" t="str">
        <x:v>RW07</x:v>
      </x:c>
      <x:c r="I837" s="17" t="str">
        <x:v>Candidate interface telemetry</x:v>
      </x:c>
      <x:c r="J837" s="17" t="str">
        <x:v>Interface custodian</x:v>
      </x:c>
      <x:c r="K837" s="17" t="str">
        <x:v>Public custody A</x:v>
      </x:c>
      <x:c r="L837" s="9" t="n">
        <x:v>0</x:v>
      </x:c>
      <x:c r="M837" s="9" t="n">
        <x:v>0</x:v>
      </x:c>
      <x:c r="N837" s="9" t="n">
        <x:v>0</x:v>
      </x:c>
      <x:c r="O837" s="9" t="n">
        <x:v>0</x:v>
      </x:c>
      <x:c r="P837" s="9" t="str">
        <x:v>UNSEALED / SOURCE-EMPTY</x:v>
      </x:c>
      <x:c r="Q837" s="9" t="n">
        <x:f>COUNTIFS($A$7:$A$1158,A837)</x:f>
        <x:v>1</x:v>
      </x:c>
    </x:row>
    <x:row r="838">
      <x:c r="A838" s="9" t="str">
        <x:v>EV-AR-ET-A-A-TECH-3-B1-BRK-G0-RW08</x:v>
      </x:c>
      <x:c r="B838" s="9" t="str">
        <x:v>EV-AR-ET-A-A-TECH-3-B1-BRK-G0</x:v>
      </x:c>
      <x:c r="C838" s="9" t="str">
        <x:v>AR-ET-A-A-TECH-3-B1-BRK-G0</x:v>
      </x:c>
      <x:c r="D838" s="9" t="str">
        <x:v>ET-A-A-TECH-3</x:v>
      </x:c>
      <x:c r="E838" s="9" t="str">
        <x:v>ET-A-A</x:v>
      </x:c>
      <x:c r="F838" s="9" t="str">
        <x:v>B1</x:v>
      </x:c>
      <x:c r="G838" s="9" t="str">
        <x:v>BRK</x:v>
      </x:c>
      <x:c r="H838" s="9" t="str">
        <x:v>RW08</x:v>
      </x:c>
      <x:c r="I838" s="17" t="str">
        <x:v>Residual and physical evidence</x:v>
      </x:c>
      <x:c r="J838" s="17" t="str">
        <x:v>Residual authority</x:v>
      </x:c>
      <x:c r="K838" s="17" t="str">
        <x:v>Public custody B</x:v>
      </x:c>
      <x:c r="L838" s="9" t="n">
        <x:v>0</x:v>
      </x:c>
      <x:c r="M838" s="9" t="n">
        <x:v>0</x:v>
      </x:c>
      <x:c r="N838" s="9" t="n">
        <x:v>0</x:v>
      </x:c>
      <x:c r="O838" s="9" t="n">
        <x:v>0</x:v>
      </x:c>
      <x:c r="P838" s="9" t="str">
        <x:v>UNSEALED / SOURCE-EMPTY</x:v>
      </x:c>
      <x:c r="Q838" s="9" t="n">
        <x:f>COUNTIFS($A$7:$A$1158,A838)</x:f>
        <x:v>1</x:v>
      </x:c>
    </x:row>
    <x:row r="839">
      <x:c r="A839" s="9" t="str">
        <x:v>EV-AR-HC-A-C-TECH-3-B1-INT-G0-RW01</x:v>
      </x:c>
      <x:c r="B839" s="9" t="str">
        <x:v>EV-AR-HC-A-C-TECH-3-B1-INT-G0</x:v>
      </x:c>
      <x:c r="C839" s="9" t="str">
        <x:v>AR-HC-A-C-TECH-3-B1-INT-G0</x:v>
      </x:c>
      <x:c r="D839" s="9" t="str">
        <x:v>HC-A-C-TECH-3</x:v>
      </x:c>
      <x:c r="E839" s="9" t="str">
        <x:v>HC-A-C</x:v>
      </x:c>
      <x:c r="F839" s="9" t="str">
        <x:v>B1</x:v>
      </x:c>
      <x:c r="G839" s="9" t="str">
        <x:v>INT</x:v>
      </x:c>
      <x:c r="H839" s="9" t="str">
        <x:v>RW01</x:v>
      </x:c>
      <x:c r="I839" s="17" t="str">
        <x:v>Primary raw stream</x:v>
      </x:c>
      <x:c r="J839" s="17" t="str">
        <x:v>Primary metrology</x:v>
      </x:c>
      <x:c r="K839" s="17" t="str">
        <x:v>Public custody A</x:v>
      </x:c>
      <x:c r="L839" s="9" t="n">
        <x:v>0</x:v>
      </x:c>
      <x:c r="M839" s="9" t="n">
        <x:v>0</x:v>
      </x:c>
      <x:c r="N839" s="9" t="n">
        <x:v>0</x:v>
      </x:c>
      <x:c r="O839" s="9" t="n">
        <x:v>0</x:v>
      </x:c>
      <x:c r="P839" s="9" t="str">
        <x:v>UNSEALED / SOURCE-EMPTY</x:v>
      </x:c>
      <x:c r="Q839" s="9" t="n">
        <x:f>COUNTIFS($A$7:$A$1158,A839)</x:f>
        <x:v>1</x:v>
      </x:c>
    </x:row>
    <x:row r="840">
      <x:c r="A840" s="9" t="str">
        <x:v>EV-AR-HC-A-C-TECH-3-B1-INT-G0-RW02</x:v>
      </x:c>
      <x:c r="B840" s="9" t="str">
        <x:v>EV-AR-HC-A-C-TECH-3-B1-INT-G0</x:v>
      </x:c>
      <x:c r="C840" s="9" t="str">
        <x:v>AR-HC-A-C-TECH-3-B1-INT-G0</x:v>
      </x:c>
      <x:c r="D840" s="9" t="str">
        <x:v>HC-A-C-TECH-3</x:v>
      </x:c>
      <x:c r="E840" s="9" t="str">
        <x:v>HC-A-C</x:v>
      </x:c>
      <x:c r="F840" s="9" t="str">
        <x:v>B1</x:v>
      </x:c>
      <x:c r="G840" s="9" t="str">
        <x:v>INT</x:v>
      </x:c>
      <x:c r="H840" s="9" t="str">
        <x:v>RW02</x:v>
      </x:c>
      <x:c r="I840" s="17" t="str">
        <x:v>Unlike witness stream</x:v>
      </x:c>
      <x:c r="J840" s="17" t="str">
        <x:v>Witness metrology</x:v>
      </x:c>
      <x:c r="K840" s="17" t="str">
        <x:v>Public custody B</x:v>
      </x:c>
      <x:c r="L840" s="9" t="n">
        <x:v>0</x:v>
      </x:c>
      <x:c r="M840" s="9" t="n">
        <x:v>0</x:v>
      </x:c>
      <x:c r="N840" s="9" t="n">
        <x:v>0</x:v>
      </x:c>
      <x:c r="O840" s="9" t="n">
        <x:v>0</x:v>
      </x:c>
      <x:c r="P840" s="9" t="str">
        <x:v>UNSEALED / SOURCE-EMPTY</x:v>
      </x:c>
      <x:c r="Q840" s="9" t="n">
        <x:f>COUNTIFS($A$7:$A$1158,A840)</x:f>
        <x:v>1</x:v>
      </x:c>
    </x:row>
    <x:row r="841">
      <x:c r="A841" s="9" t="str">
        <x:v>EV-AR-HC-A-C-TECH-3-B1-INT-G0-RW03</x:v>
      </x:c>
      <x:c r="B841" s="9" t="str">
        <x:v>EV-AR-HC-A-C-TECH-3-B1-INT-G0</x:v>
      </x:c>
      <x:c r="C841" s="9" t="str">
        <x:v>AR-HC-A-C-TECH-3-B1-INT-G0</x:v>
      </x:c>
      <x:c r="D841" s="9" t="str">
        <x:v>HC-A-C-TECH-3</x:v>
      </x:c>
      <x:c r="E841" s="9" t="str">
        <x:v>HC-A-C</x:v>
      </x:c>
      <x:c r="F841" s="9" t="str">
        <x:v>B1</x:v>
      </x:c>
      <x:c r="G841" s="9" t="str">
        <x:v>INT</x:v>
      </x:c>
      <x:c r="H841" s="9" t="str">
        <x:v>RW03</x:v>
      </x:c>
      <x:c r="I841" s="17" t="str">
        <x:v>Event clock and start traces</x:v>
      </x:c>
      <x:c r="J841" s="17" t="str">
        <x:v>Event clock authority</x:v>
      </x:c>
      <x:c r="K841" s="17" t="str">
        <x:v>Public custody C</x:v>
      </x:c>
      <x:c r="L841" s="9" t="n">
        <x:v>0</x:v>
      </x:c>
      <x:c r="M841" s="9" t="n">
        <x:v>0</x:v>
      </x:c>
      <x:c r="N841" s="9" t="n">
        <x:v>0</x:v>
      </x:c>
      <x:c r="O841" s="9" t="n">
        <x:v>0</x:v>
      </x:c>
      <x:c r="P841" s="9" t="str">
        <x:v>UNSEALED / SOURCE-EMPTY</x:v>
      </x:c>
      <x:c r="Q841" s="9" t="n">
        <x:f>COUNTIFS($A$7:$A$1158,A841)</x:f>
        <x:v>1</x:v>
      </x:c>
    </x:row>
    <x:row r="842">
      <x:c r="A842" s="9" t="str">
        <x:v>EV-AR-HC-A-C-TECH-3-B1-INT-G0-RW04</x:v>
      </x:c>
      <x:c r="B842" s="9" t="str">
        <x:v>EV-AR-HC-A-C-TECH-3-B1-INT-G0</x:v>
      </x:c>
      <x:c r="C842" s="9" t="str">
        <x:v>AR-HC-A-C-TECH-3-B1-INT-G0</x:v>
      </x:c>
      <x:c r="D842" s="9" t="str">
        <x:v>HC-A-C-TECH-3</x:v>
      </x:c>
      <x:c r="E842" s="9" t="str">
        <x:v>HC-A-C</x:v>
      </x:c>
      <x:c r="F842" s="9" t="str">
        <x:v>B1</x:v>
      </x:c>
      <x:c r="G842" s="9" t="str">
        <x:v>INT</x:v>
      </x:c>
      <x:c r="H842" s="9" t="str">
        <x:v>RW04</x:v>
      </x:c>
      <x:c r="I842" s="17" t="str">
        <x:v>Environmental boundary stream</x:v>
      </x:c>
      <x:c r="J842" s="17" t="str">
        <x:v>Site metrology</x:v>
      </x:c>
      <x:c r="K842" s="17" t="str">
        <x:v>Public custody D</x:v>
      </x:c>
      <x:c r="L842" s="9" t="n">
        <x:v>0</x:v>
      </x:c>
      <x:c r="M842" s="9" t="n">
        <x:v>0</x:v>
      </x:c>
      <x:c r="N842" s="9" t="n">
        <x:v>0</x:v>
      </x:c>
      <x:c r="O842" s="9" t="n">
        <x:v>0</x:v>
      </x:c>
      <x:c r="P842" s="9" t="str">
        <x:v>UNSEALED / SOURCE-EMPTY</x:v>
      </x:c>
      <x:c r="Q842" s="9" t="n">
        <x:f>COUNTIFS($A$7:$A$1158,A842)</x:f>
        <x:v>1</x:v>
      </x:c>
    </x:row>
    <x:row r="843">
      <x:c r="A843" s="9" t="str">
        <x:v>EV-AR-HC-A-C-TECH-3-B1-INT-G0-RW05</x:v>
      </x:c>
      <x:c r="B843" s="9" t="str">
        <x:v>EV-AR-HC-A-C-TECH-3-B1-INT-G0</x:v>
      </x:c>
      <x:c r="C843" s="9" t="str">
        <x:v>AR-HC-A-C-TECH-3-B1-INT-G0</x:v>
      </x:c>
      <x:c r="D843" s="9" t="str">
        <x:v>HC-A-C-TECH-3</x:v>
      </x:c>
      <x:c r="E843" s="9" t="str">
        <x:v>HC-A-C</x:v>
      </x:c>
      <x:c r="F843" s="9" t="str">
        <x:v>B1</x:v>
      </x:c>
      <x:c r="G843" s="9" t="str">
        <x:v>INT</x:v>
      </x:c>
      <x:c r="H843" s="9" t="str">
        <x:v>RW05</x:v>
      </x:c>
      <x:c r="I843" s="17" t="str">
        <x:v>Command and intervention log</x:v>
      </x:c>
      <x:c r="J843" s="17" t="str">
        <x:v>Safety authority</x:v>
      </x:c>
      <x:c r="K843" s="17" t="str">
        <x:v>Public custody E</x:v>
      </x:c>
      <x:c r="L843" s="9" t="n">
        <x:v>0</x:v>
      </x:c>
      <x:c r="M843" s="9" t="n">
        <x:v>0</x:v>
      </x:c>
      <x:c r="N843" s="9" t="n">
        <x:v>0</x:v>
      </x:c>
      <x:c r="O843" s="9" t="n">
        <x:v>0</x:v>
      </x:c>
      <x:c r="P843" s="9" t="str">
        <x:v>UNSEALED / SOURCE-EMPTY</x:v>
      </x:c>
      <x:c r="Q843" s="9" t="n">
        <x:f>COUNTIFS($A$7:$A$1158,A843)</x:f>
        <x:v>1</x:v>
      </x:c>
    </x:row>
    <x:row r="844">
      <x:c r="A844" s="9" t="str">
        <x:v>EV-AR-HC-A-C-TECH-3-B1-INT-G0-RW06</x:v>
      </x:c>
      <x:c r="B844" s="9" t="str">
        <x:v>EV-AR-HC-A-C-TECH-3-B1-INT-G0</x:v>
      </x:c>
      <x:c r="C844" s="9" t="str">
        <x:v>AR-HC-A-C-TECH-3-B1-INT-G0</x:v>
      </x:c>
      <x:c r="D844" s="9" t="str">
        <x:v>HC-A-C-TECH-3</x:v>
      </x:c>
      <x:c r="E844" s="9" t="str">
        <x:v>HC-A-C</x:v>
      </x:c>
      <x:c r="F844" s="9" t="str">
        <x:v>B1</x:v>
      </x:c>
      <x:c r="G844" s="9" t="str">
        <x:v>INT</x:v>
      </x:c>
      <x:c r="H844" s="9" t="str">
        <x:v>RW06</x:v>
      </x:c>
      <x:c r="I844" s="17" t="str">
        <x:v>Receiver service ledger</x:v>
      </x:c>
      <x:c r="J844" s="17" t="str">
        <x:v>Receiver authority</x:v>
      </x:c>
      <x:c r="K844" s="17" t="str">
        <x:v>Public custody F</x:v>
      </x:c>
      <x:c r="L844" s="9" t="n">
        <x:v>0</x:v>
      </x:c>
      <x:c r="M844" s="9" t="n">
        <x:v>0</x:v>
      </x:c>
      <x:c r="N844" s="9" t="n">
        <x:v>0</x:v>
      </x:c>
      <x:c r="O844" s="9" t="n">
        <x:v>0</x:v>
      </x:c>
      <x:c r="P844" s="9" t="str">
        <x:v>UNSEALED / SOURCE-EMPTY</x:v>
      </x:c>
      <x:c r="Q844" s="9" t="n">
        <x:f>COUNTIFS($A$7:$A$1158,A844)</x:f>
        <x:v>1</x:v>
      </x:c>
    </x:row>
    <x:row r="845">
      <x:c r="A845" s="9" t="str">
        <x:v>EV-AR-HC-A-C-TECH-3-B1-INT-G0-RW07</x:v>
      </x:c>
      <x:c r="B845" s="9" t="str">
        <x:v>EV-AR-HC-A-C-TECH-3-B1-INT-G0</x:v>
      </x:c>
      <x:c r="C845" s="9" t="str">
        <x:v>AR-HC-A-C-TECH-3-B1-INT-G0</x:v>
      </x:c>
      <x:c r="D845" s="9" t="str">
        <x:v>HC-A-C-TECH-3</x:v>
      </x:c>
      <x:c r="E845" s="9" t="str">
        <x:v>HC-A-C</x:v>
      </x:c>
      <x:c r="F845" s="9" t="str">
        <x:v>B1</x:v>
      </x:c>
      <x:c r="G845" s="9" t="str">
        <x:v>INT</x:v>
      </x:c>
      <x:c r="H845" s="9" t="str">
        <x:v>RW07</x:v>
      </x:c>
      <x:c r="I845" s="17" t="str">
        <x:v>Candidate interface telemetry</x:v>
      </x:c>
      <x:c r="J845" s="17" t="str">
        <x:v>Interface custodian</x:v>
      </x:c>
      <x:c r="K845" s="17" t="str">
        <x:v>Public custody A</x:v>
      </x:c>
      <x:c r="L845" s="9" t="n">
        <x:v>0</x:v>
      </x:c>
      <x:c r="M845" s="9" t="n">
        <x:v>0</x:v>
      </x:c>
      <x:c r="N845" s="9" t="n">
        <x:v>0</x:v>
      </x:c>
      <x:c r="O845" s="9" t="n">
        <x:v>0</x:v>
      </x:c>
      <x:c r="P845" s="9" t="str">
        <x:v>UNSEALED / SOURCE-EMPTY</x:v>
      </x:c>
      <x:c r="Q845" s="9" t="n">
        <x:f>COUNTIFS($A$7:$A$1158,A845)</x:f>
        <x:v>1</x:v>
      </x:c>
    </x:row>
    <x:row r="846">
      <x:c r="A846" s="9" t="str">
        <x:v>EV-AR-HC-A-C-TECH-3-B1-INT-G0-RW08</x:v>
      </x:c>
      <x:c r="B846" s="9" t="str">
        <x:v>EV-AR-HC-A-C-TECH-3-B1-INT-G0</x:v>
      </x:c>
      <x:c r="C846" s="9" t="str">
        <x:v>AR-HC-A-C-TECH-3-B1-INT-G0</x:v>
      </x:c>
      <x:c r="D846" s="9" t="str">
        <x:v>HC-A-C-TECH-3</x:v>
      </x:c>
      <x:c r="E846" s="9" t="str">
        <x:v>HC-A-C</x:v>
      </x:c>
      <x:c r="F846" s="9" t="str">
        <x:v>B1</x:v>
      </x:c>
      <x:c r="G846" s="9" t="str">
        <x:v>INT</x:v>
      </x:c>
      <x:c r="H846" s="9" t="str">
        <x:v>RW08</x:v>
      </x:c>
      <x:c r="I846" s="17" t="str">
        <x:v>Residual and physical evidence</x:v>
      </x:c>
      <x:c r="J846" s="17" t="str">
        <x:v>Residual authority</x:v>
      </x:c>
      <x:c r="K846" s="17" t="str">
        <x:v>Public custody B</x:v>
      </x:c>
      <x:c r="L846" s="9" t="n">
        <x:v>0</x:v>
      </x:c>
      <x:c r="M846" s="9" t="n">
        <x:v>0</x:v>
      </x:c>
      <x:c r="N846" s="9" t="n">
        <x:v>0</x:v>
      </x:c>
      <x:c r="O846" s="9" t="n">
        <x:v>0</x:v>
      </x:c>
      <x:c r="P846" s="9" t="str">
        <x:v>UNSEALED / SOURCE-EMPTY</x:v>
      </x:c>
      <x:c r="Q846" s="9" t="n">
        <x:f>COUNTIFS($A$7:$A$1158,A846)</x:f>
        <x:v>1</x:v>
      </x:c>
    </x:row>
    <x:row r="847">
      <x:c r="A847" s="9" t="str">
        <x:v>EV-AR-HU-A-B-TECH-2-B2-RCN-G0-RW01</x:v>
      </x:c>
      <x:c r="B847" s="9" t="str">
        <x:v>EV-AR-HU-A-B-TECH-2-B2-RCN-G0</x:v>
      </x:c>
      <x:c r="C847" s="9" t="str">
        <x:v>AR-HU-A-B-TECH-2-B2-RCN-G0</x:v>
      </x:c>
      <x:c r="D847" s="9" t="str">
        <x:v>HU-A-B-TECH-2</x:v>
      </x:c>
      <x:c r="E847" s="9" t="str">
        <x:v>HU-A-B</x:v>
      </x:c>
      <x:c r="F847" s="9" t="str">
        <x:v>B2</x:v>
      </x:c>
      <x:c r="G847" s="9" t="str">
        <x:v>RCN</x:v>
      </x:c>
      <x:c r="H847" s="9" t="str">
        <x:v>RW01</x:v>
      </x:c>
      <x:c r="I847" s="17" t="str">
        <x:v>Primary raw stream</x:v>
      </x:c>
      <x:c r="J847" s="17" t="str">
        <x:v>Primary metrology</x:v>
      </x:c>
      <x:c r="K847" s="17" t="str">
        <x:v>Public custody A</x:v>
      </x:c>
      <x:c r="L847" s="9" t="n">
        <x:v>0</x:v>
      </x:c>
      <x:c r="M847" s="9" t="n">
        <x:v>0</x:v>
      </x:c>
      <x:c r="N847" s="9" t="n">
        <x:v>0</x:v>
      </x:c>
      <x:c r="O847" s="9" t="n">
        <x:v>0</x:v>
      </x:c>
      <x:c r="P847" s="9" t="str">
        <x:v>UNSEALED / SOURCE-EMPTY</x:v>
      </x:c>
      <x:c r="Q847" s="9" t="n">
        <x:f>COUNTIFS($A$7:$A$1158,A847)</x:f>
        <x:v>1</x:v>
      </x:c>
    </x:row>
    <x:row r="848">
      <x:c r="A848" s="9" t="str">
        <x:v>EV-AR-HU-A-B-TECH-2-B2-RCN-G0-RW02</x:v>
      </x:c>
      <x:c r="B848" s="9" t="str">
        <x:v>EV-AR-HU-A-B-TECH-2-B2-RCN-G0</x:v>
      </x:c>
      <x:c r="C848" s="9" t="str">
        <x:v>AR-HU-A-B-TECH-2-B2-RCN-G0</x:v>
      </x:c>
      <x:c r="D848" s="9" t="str">
        <x:v>HU-A-B-TECH-2</x:v>
      </x:c>
      <x:c r="E848" s="9" t="str">
        <x:v>HU-A-B</x:v>
      </x:c>
      <x:c r="F848" s="9" t="str">
        <x:v>B2</x:v>
      </x:c>
      <x:c r="G848" s="9" t="str">
        <x:v>RCN</x:v>
      </x:c>
      <x:c r="H848" s="9" t="str">
        <x:v>RW02</x:v>
      </x:c>
      <x:c r="I848" s="17" t="str">
        <x:v>Unlike witness stream</x:v>
      </x:c>
      <x:c r="J848" s="17" t="str">
        <x:v>Witness metrology</x:v>
      </x:c>
      <x:c r="K848" s="17" t="str">
        <x:v>Public custody B</x:v>
      </x:c>
      <x:c r="L848" s="9" t="n">
        <x:v>0</x:v>
      </x:c>
      <x:c r="M848" s="9" t="n">
        <x:v>0</x:v>
      </x:c>
      <x:c r="N848" s="9" t="n">
        <x:v>0</x:v>
      </x:c>
      <x:c r="O848" s="9" t="n">
        <x:v>0</x:v>
      </x:c>
      <x:c r="P848" s="9" t="str">
        <x:v>UNSEALED / SOURCE-EMPTY</x:v>
      </x:c>
      <x:c r="Q848" s="9" t="n">
        <x:f>COUNTIFS($A$7:$A$1158,A848)</x:f>
        <x:v>1</x:v>
      </x:c>
    </x:row>
    <x:row r="849">
      <x:c r="A849" s="9" t="str">
        <x:v>EV-AR-HU-A-B-TECH-2-B2-RCN-G0-RW03</x:v>
      </x:c>
      <x:c r="B849" s="9" t="str">
        <x:v>EV-AR-HU-A-B-TECH-2-B2-RCN-G0</x:v>
      </x:c>
      <x:c r="C849" s="9" t="str">
        <x:v>AR-HU-A-B-TECH-2-B2-RCN-G0</x:v>
      </x:c>
      <x:c r="D849" s="9" t="str">
        <x:v>HU-A-B-TECH-2</x:v>
      </x:c>
      <x:c r="E849" s="9" t="str">
        <x:v>HU-A-B</x:v>
      </x:c>
      <x:c r="F849" s="9" t="str">
        <x:v>B2</x:v>
      </x:c>
      <x:c r="G849" s="9" t="str">
        <x:v>RCN</x:v>
      </x:c>
      <x:c r="H849" s="9" t="str">
        <x:v>RW03</x:v>
      </x:c>
      <x:c r="I849" s="17" t="str">
        <x:v>Event clock and start traces</x:v>
      </x:c>
      <x:c r="J849" s="17" t="str">
        <x:v>Event clock authority</x:v>
      </x:c>
      <x:c r="K849" s="17" t="str">
        <x:v>Public custody C</x:v>
      </x:c>
      <x:c r="L849" s="9" t="n">
        <x:v>0</x:v>
      </x:c>
      <x:c r="M849" s="9" t="n">
        <x:v>0</x:v>
      </x:c>
      <x:c r="N849" s="9" t="n">
        <x:v>0</x:v>
      </x:c>
      <x:c r="O849" s="9" t="n">
        <x:v>0</x:v>
      </x:c>
      <x:c r="P849" s="9" t="str">
        <x:v>UNSEALED / SOURCE-EMPTY</x:v>
      </x:c>
      <x:c r="Q849" s="9" t="n">
        <x:f>COUNTIFS($A$7:$A$1158,A849)</x:f>
        <x:v>1</x:v>
      </x:c>
    </x:row>
    <x:row r="850">
      <x:c r="A850" s="9" t="str">
        <x:v>EV-AR-HU-A-B-TECH-2-B2-RCN-G0-RW04</x:v>
      </x:c>
      <x:c r="B850" s="9" t="str">
        <x:v>EV-AR-HU-A-B-TECH-2-B2-RCN-G0</x:v>
      </x:c>
      <x:c r="C850" s="9" t="str">
        <x:v>AR-HU-A-B-TECH-2-B2-RCN-G0</x:v>
      </x:c>
      <x:c r="D850" s="9" t="str">
        <x:v>HU-A-B-TECH-2</x:v>
      </x:c>
      <x:c r="E850" s="9" t="str">
        <x:v>HU-A-B</x:v>
      </x:c>
      <x:c r="F850" s="9" t="str">
        <x:v>B2</x:v>
      </x:c>
      <x:c r="G850" s="9" t="str">
        <x:v>RCN</x:v>
      </x:c>
      <x:c r="H850" s="9" t="str">
        <x:v>RW04</x:v>
      </x:c>
      <x:c r="I850" s="17" t="str">
        <x:v>Environmental boundary stream</x:v>
      </x:c>
      <x:c r="J850" s="17" t="str">
        <x:v>Site metrology</x:v>
      </x:c>
      <x:c r="K850" s="17" t="str">
        <x:v>Public custody D</x:v>
      </x:c>
      <x:c r="L850" s="9" t="n">
        <x:v>0</x:v>
      </x:c>
      <x:c r="M850" s="9" t="n">
        <x:v>0</x:v>
      </x:c>
      <x:c r="N850" s="9" t="n">
        <x:v>0</x:v>
      </x:c>
      <x:c r="O850" s="9" t="n">
        <x:v>0</x:v>
      </x:c>
      <x:c r="P850" s="9" t="str">
        <x:v>UNSEALED / SOURCE-EMPTY</x:v>
      </x:c>
      <x:c r="Q850" s="9" t="n">
        <x:f>COUNTIFS($A$7:$A$1158,A850)</x:f>
        <x:v>1</x:v>
      </x:c>
    </x:row>
    <x:row r="851">
      <x:c r="A851" s="9" t="str">
        <x:v>EV-AR-HU-A-B-TECH-2-B2-RCN-G0-RW05</x:v>
      </x:c>
      <x:c r="B851" s="9" t="str">
        <x:v>EV-AR-HU-A-B-TECH-2-B2-RCN-G0</x:v>
      </x:c>
      <x:c r="C851" s="9" t="str">
        <x:v>AR-HU-A-B-TECH-2-B2-RCN-G0</x:v>
      </x:c>
      <x:c r="D851" s="9" t="str">
        <x:v>HU-A-B-TECH-2</x:v>
      </x:c>
      <x:c r="E851" s="9" t="str">
        <x:v>HU-A-B</x:v>
      </x:c>
      <x:c r="F851" s="9" t="str">
        <x:v>B2</x:v>
      </x:c>
      <x:c r="G851" s="9" t="str">
        <x:v>RCN</x:v>
      </x:c>
      <x:c r="H851" s="9" t="str">
        <x:v>RW05</x:v>
      </x:c>
      <x:c r="I851" s="17" t="str">
        <x:v>Command and intervention log</x:v>
      </x:c>
      <x:c r="J851" s="17" t="str">
        <x:v>Safety authority</x:v>
      </x:c>
      <x:c r="K851" s="17" t="str">
        <x:v>Public custody E</x:v>
      </x:c>
      <x:c r="L851" s="9" t="n">
        <x:v>0</x:v>
      </x:c>
      <x:c r="M851" s="9" t="n">
        <x:v>0</x:v>
      </x:c>
      <x:c r="N851" s="9" t="n">
        <x:v>0</x:v>
      </x:c>
      <x:c r="O851" s="9" t="n">
        <x:v>0</x:v>
      </x:c>
      <x:c r="P851" s="9" t="str">
        <x:v>UNSEALED / SOURCE-EMPTY</x:v>
      </x:c>
      <x:c r="Q851" s="9" t="n">
        <x:f>COUNTIFS($A$7:$A$1158,A851)</x:f>
        <x:v>1</x:v>
      </x:c>
    </x:row>
    <x:row r="852">
      <x:c r="A852" s="9" t="str">
        <x:v>EV-AR-HU-A-B-TECH-2-B2-RCN-G0-RW06</x:v>
      </x:c>
      <x:c r="B852" s="9" t="str">
        <x:v>EV-AR-HU-A-B-TECH-2-B2-RCN-G0</x:v>
      </x:c>
      <x:c r="C852" s="9" t="str">
        <x:v>AR-HU-A-B-TECH-2-B2-RCN-G0</x:v>
      </x:c>
      <x:c r="D852" s="9" t="str">
        <x:v>HU-A-B-TECH-2</x:v>
      </x:c>
      <x:c r="E852" s="9" t="str">
        <x:v>HU-A-B</x:v>
      </x:c>
      <x:c r="F852" s="9" t="str">
        <x:v>B2</x:v>
      </x:c>
      <x:c r="G852" s="9" t="str">
        <x:v>RCN</x:v>
      </x:c>
      <x:c r="H852" s="9" t="str">
        <x:v>RW06</x:v>
      </x:c>
      <x:c r="I852" s="17" t="str">
        <x:v>Receiver service ledger</x:v>
      </x:c>
      <x:c r="J852" s="17" t="str">
        <x:v>Receiver authority</x:v>
      </x:c>
      <x:c r="K852" s="17" t="str">
        <x:v>Public custody F</x:v>
      </x:c>
      <x:c r="L852" s="9" t="n">
        <x:v>0</x:v>
      </x:c>
      <x:c r="M852" s="9" t="n">
        <x:v>0</x:v>
      </x:c>
      <x:c r="N852" s="9" t="n">
        <x:v>0</x:v>
      </x:c>
      <x:c r="O852" s="9" t="n">
        <x:v>0</x:v>
      </x:c>
      <x:c r="P852" s="9" t="str">
        <x:v>UNSEALED / SOURCE-EMPTY</x:v>
      </x:c>
      <x:c r="Q852" s="9" t="n">
        <x:f>COUNTIFS($A$7:$A$1158,A852)</x:f>
        <x:v>1</x:v>
      </x:c>
    </x:row>
    <x:row r="853">
      <x:c r="A853" s="9" t="str">
        <x:v>EV-AR-HU-A-B-TECH-2-B2-RCN-G0-RW07</x:v>
      </x:c>
      <x:c r="B853" s="9" t="str">
        <x:v>EV-AR-HU-A-B-TECH-2-B2-RCN-G0</x:v>
      </x:c>
      <x:c r="C853" s="9" t="str">
        <x:v>AR-HU-A-B-TECH-2-B2-RCN-G0</x:v>
      </x:c>
      <x:c r="D853" s="9" t="str">
        <x:v>HU-A-B-TECH-2</x:v>
      </x:c>
      <x:c r="E853" s="9" t="str">
        <x:v>HU-A-B</x:v>
      </x:c>
      <x:c r="F853" s="9" t="str">
        <x:v>B2</x:v>
      </x:c>
      <x:c r="G853" s="9" t="str">
        <x:v>RCN</x:v>
      </x:c>
      <x:c r="H853" s="9" t="str">
        <x:v>RW07</x:v>
      </x:c>
      <x:c r="I853" s="17" t="str">
        <x:v>Candidate interface telemetry</x:v>
      </x:c>
      <x:c r="J853" s="17" t="str">
        <x:v>Interface custodian</x:v>
      </x:c>
      <x:c r="K853" s="17" t="str">
        <x:v>Public custody A</x:v>
      </x:c>
      <x:c r="L853" s="9" t="n">
        <x:v>0</x:v>
      </x:c>
      <x:c r="M853" s="9" t="n">
        <x:v>0</x:v>
      </x:c>
      <x:c r="N853" s="9" t="n">
        <x:v>0</x:v>
      </x:c>
      <x:c r="O853" s="9" t="n">
        <x:v>0</x:v>
      </x:c>
      <x:c r="P853" s="9" t="str">
        <x:v>UNSEALED / SOURCE-EMPTY</x:v>
      </x:c>
      <x:c r="Q853" s="9" t="n">
        <x:f>COUNTIFS($A$7:$A$1158,A853)</x:f>
        <x:v>1</x:v>
      </x:c>
    </x:row>
    <x:row r="854">
      <x:c r="A854" s="9" t="str">
        <x:v>EV-AR-HU-A-B-TECH-2-B2-RCN-G0-RW08</x:v>
      </x:c>
      <x:c r="B854" s="9" t="str">
        <x:v>EV-AR-HU-A-B-TECH-2-B2-RCN-G0</x:v>
      </x:c>
      <x:c r="C854" s="9" t="str">
        <x:v>AR-HU-A-B-TECH-2-B2-RCN-G0</x:v>
      </x:c>
      <x:c r="D854" s="9" t="str">
        <x:v>HU-A-B-TECH-2</x:v>
      </x:c>
      <x:c r="E854" s="9" t="str">
        <x:v>HU-A-B</x:v>
      </x:c>
      <x:c r="F854" s="9" t="str">
        <x:v>B2</x:v>
      </x:c>
      <x:c r="G854" s="9" t="str">
        <x:v>RCN</x:v>
      </x:c>
      <x:c r="H854" s="9" t="str">
        <x:v>RW08</x:v>
      </x:c>
      <x:c r="I854" s="17" t="str">
        <x:v>Residual and physical evidence</x:v>
      </x:c>
      <x:c r="J854" s="17" t="str">
        <x:v>Residual authority</x:v>
      </x:c>
      <x:c r="K854" s="17" t="str">
        <x:v>Public custody B</x:v>
      </x:c>
      <x:c r="L854" s="9" t="n">
        <x:v>0</x:v>
      </x:c>
      <x:c r="M854" s="9" t="n">
        <x:v>0</x:v>
      </x:c>
      <x:c r="N854" s="9" t="n">
        <x:v>0</x:v>
      </x:c>
      <x:c r="O854" s="9" t="n">
        <x:v>0</x:v>
      </x:c>
      <x:c r="P854" s="9" t="str">
        <x:v>UNSEALED / SOURCE-EMPTY</x:v>
      </x:c>
      <x:c r="Q854" s="9" t="n">
        <x:f>COUNTIFS($A$7:$A$1158,A854)</x:f>
        <x:v>1</x:v>
      </x:c>
    </x:row>
    <x:row r="855">
      <x:c r="A855" s="9" t="str">
        <x:v>EV-AR-LF-B-A-TECH-2-B1-INT-G0-RW01</x:v>
      </x:c>
      <x:c r="B855" s="9" t="str">
        <x:v>EV-AR-LF-B-A-TECH-2-B1-INT-G0</x:v>
      </x:c>
      <x:c r="C855" s="9" t="str">
        <x:v>AR-LF-B-A-TECH-2-B1-INT-G0</x:v>
      </x:c>
      <x:c r="D855" s="9" t="str">
        <x:v>LF-B-A-TECH-2</x:v>
      </x:c>
      <x:c r="E855" s="9" t="str">
        <x:v>LF-B-A</x:v>
      </x:c>
      <x:c r="F855" s="9" t="str">
        <x:v>B1</x:v>
      </x:c>
      <x:c r="G855" s="9" t="str">
        <x:v>INT</x:v>
      </x:c>
      <x:c r="H855" s="9" t="str">
        <x:v>RW01</x:v>
      </x:c>
      <x:c r="I855" s="17" t="str">
        <x:v>Primary raw stream</x:v>
      </x:c>
      <x:c r="J855" s="17" t="str">
        <x:v>Primary metrology</x:v>
      </x:c>
      <x:c r="K855" s="17" t="str">
        <x:v>Public custody A</x:v>
      </x:c>
      <x:c r="L855" s="9" t="n">
        <x:v>0</x:v>
      </x:c>
      <x:c r="M855" s="9" t="n">
        <x:v>0</x:v>
      </x:c>
      <x:c r="N855" s="9" t="n">
        <x:v>0</x:v>
      </x:c>
      <x:c r="O855" s="9" t="n">
        <x:v>0</x:v>
      </x:c>
      <x:c r="P855" s="9" t="str">
        <x:v>UNSEALED / SOURCE-EMPTY</x:v>
      </x:c>
      <x:c r="Q855" s="9" t="n">
        <x:f>COUNTIFS($A$7:$A$1158,A855)</x:f>
        <x:v>1</x:v>
      </x:c>
    </x:row>
    <x:row r="856">
      <x:c r="A856" s="9" t="str">
        <x:v>EV-AR-LF-B-A-TECH-2-B1-INT-G0-RW02</x:v>
      </x:c>
      <x:c r="B856" s="9" t="str">
        <x:v>EV-AR-LF-B-A-TECH-2-B1-INT-G0</x:v>
      </x:c>
      <x:c r="C856" s="9" t="str">
        <x:v>AR-LF-B-A-TECH-2-B1-INT-G0</x:v>
      </x:c>
      <x:c r="D856" s="9" t="str">
        <x:v>LF-B-A-TECH-2</x:v>
      </x:c>
      <x:c r="E856" s="9" t="str">
        <x:v>LF-B-A</x:v>
      </x:c>
      <x:c r="F856" s="9" t="str">
        <x:v>B1</x:v>
      </x:c>
      <x:c r="G856" s="9" t="str">
        <x:v>INT</x:v>
      </x:c>
      <x:c r="H856" s="9" t="str">
        <x:v>RW02</x:v>
      </x:c>
      <x:c r="I856" s="17" t="str">
        <x:v>Unlike witness stream</x:v>
      </x:c>
      <x:c r="J856" s="17" t="str">
        <x:v>Witness metrology</x:v>
      </x:c>
      <x:c r="K856" s="17" t="str">
        <x:v>Public custody B</x:v>
      </x:c>
      <x:c r="L856" s="9" t="n">
        <x:v>0</x:v>
      </x:c>
      <x:c r="M856" s="9" t="n">
        <x:v>0</x:v>
      </x:c>
      <x:c r="N856" s="9" t="n">
        <x:v>0</x:v>
      </x:c>
      <x:c r="O856" s="9" t="n">
        <x:v>0</x:v>
      </x:c>
      <x:c r="P856" s="9" t="str">
        <x:v>UNSEALED / SOURCE-EMPTY</x:v>
      </x:c>
      <x:c r="Q856" s="9" t="n">
        <x:f>COUNTIFS($A$7:$A$1158,A856)</x:f>
        <x:v>1</x:v>
      </x:c>
    </x:row>
    <x:row r="857">
      <x:c r="A857" s="9" t="str">
        <x:v>EV-AR-LF-B-A-TECH-2-B1-INT-G0-RW03</x:v>
      </x:c>
      <x:c r="B857" s="9" t="str">
        <x:v>EV-AR-LF-B-A-TECH-2-B1-INT-G0</x:v>
      </x:c>
      <x:c r="C857" s="9" t="str">
        <x:v>AR-LF-B-A-TECH-2-B1-INT-G0</x:v>
      </x:c>
      <x:c r="D857" s="9" t="str">
        <x:v>LF-B-A-TECH-2</x:v>
      </x:c>
      <x:c r="E857" s="9" t="str">
        <x:v>LF-B-A</x:v>
      </x:c>
      <x:c r="F857" s="9" t="str">
        <x:v>B1</x:v>
      </x:c>
      <x:c r="G857" s="9" t="str">
        <x:v>INT</x:v>
      </x:c>
      <x:c r="H857" s="9" t="str">
        <x:v>RW03</x:v>
      </x:c>
      <x:c r="I857" s="17" t="str">
        <x:v>Event clock and start traces</x:v>
      </x:c>
      <x:c r="J857" s="17" t="str">
        <x:v>Event clock authority</x:v>
      </x:c>
      <x:c r="K857" s="17" t="str">
        <x:v>Public custody C</x:v>
      </x:c>
      <x:c r="L857" s="9" t="n">
        <x:v>0</x:v>
      </x:c>
      <x:c r="M857" s="9" t="n">
        <x:v>0</x:v>
      </x:c>
      <x:c r="N857" s="9" t="n">
        <x:v>0</x:v>
      </x:c>
      <x:c r="O857" s="9" t="n">
        <x:v>0</x:v>
      </x:c>
      <x:c r="P857" s="9" t="str">
        <x:v>UNSEALED / SOURCE-EMPTY</x:v>
      </x:c>
      <x:c r="Q857" s="9" t="n">
        <x:f>COUNTIFS($A$7:$A$1158,A857)</x:f>
        <x:v>1</x:v>
      </x:c>
    </x:row>
    <x:row r="858">
      <x:c r="A858" s="9" t="str">
        <x:v>EV-AR-LF-B-A-TECH-2-B1-INT-G0-RW04</x:v>
      </x:c>
      <x:c r="B858" s="9" t="str">
        <x:v>EV-AR-LF-B-A-TECH-2-B1-INT-G0</x:v>
      </x:c>
      <x:c r="C858" s="9" t="str">
        <x:v>AR-LF-B-A-TECH-2-B1-INT-G0</x:v>
      </x:c>
      <x:c r="D858" s="9" t="str">
        <x:v>LF-B-A-TECH-2</x:v>
      </x:c>
      <x:c r="E858" s="9" t="str">
        <x:v>LF-B-A</x:v>
      </x:c>
      <x:c r="F858" s="9" t="str">
        <x:v>B1</x:v>
      </x:c>
      <x:c r="G858" s="9" t="str">
        <x:v>INT</x:v>
      </x:c>
      <x:c r="H858" s="9" t="str">
        <x:v>RW04</x:v>
      </x:c>
      <x:c r="I858" s="17" t="str">
        <x:v>Environmental boundary stream</x:v>
      </x:c>
      <x:c r="J858" s="17" t="str">
        <x:v>Site metrology</x:v>
      </x:c>
      <x:c r="K858" s="17" t="str">
        <x:v>Public custody D</x:v>
      </x:c>
      <x:c r="L858" s="9" t="n">
        <x:v>0</x:v>
      </x:c>
      <x:c r="M858" s="9" t="n">
        <x:v>0</x:v>
      </x:c>
      <x:c r="N858" s="9" t="n">
        <x:v>0</x:v>
      </x:c>
      <x:c r="O858" s="9" t="n">
        <x:v>0</x:v>
      </x:c>
      <x:c r="P858" s="9" t="str">
        <x:v>UNSEALED / SOURCE-EMPTY</x:v>
      </x:c>
      <x:c r="Q858" s="9" t="n">
        <x:f>COUNTIFS($A$7:$A$1158,A858)</x:f>
        <x:v>1</x:v>
      </x:c>
    </x:row>
    <x:row r="859">
      <x:c r="A859" s="9" t="str">
        <x:v>EV-AR-LF-B-A-TECH-2-B1-INT-G0-RW05</x:v>
      </x:c>
      <x:c r="B859" s="9" t="str">
        <x:v>EV-AR-LF-B-A-TECH-2-B1-INT-G0</x:v>
      </x:c>
      <x:c r="C859" s="9" t="str">
        <x:v>AR-LF-B-A-TECH-2-B1-INT-G0</x:v>
      </x:c>
      <x:c r="D859" s="9" t="str">
        <x:v>LF-B-A-TECH-2</x:v>
      </x:c>
      <x:c r="E859" s="9" t="str">
        <x:v>LF-B-A</x:v>
      </x:c>
      <x:c r="F859" s="9" t="str">
        <x:v>B1</x:v>
      </x:c>
      <x:c r="G859" s="9" t="str">
        <x:v>INT</x:v>
      </x:c>
      <x:c r="H859" s="9" t="str">
        <x:v>RW05</x:v>
      </x:c>
      <x:c r="I859" s="17" t="str">
        <x:v>Command and intervention log</x:v>
      </x:c>
      <x:c r="J859" s="17" t="str">
        <x:v>Safety authority</x:v>
      </x:c>
      <x:c r="K859" s="17" t="str">
        <x:v>Public custody E</x:v>
      </x:c>
      <x:c r="L859" s="9" t="n">
        <x:v>0</x:v>
      </x:c>
      <x:c r="M859" s="9" t="n">
        <x:v>0</x:v>
      </x:c>
      <x:c r="N859" s="9" t="n">
        <x:v>0</x:v>
      </x:c>
      <x:c r="O859" s="9" t="n">
        <x:v>0</x:v>
      </x:c>
      <x:c r="P859" s="9" t="str">
        <x:v>UNSEALED / SOURCE-EMPTY</x:v>
      </x:c>
      <x:c r="Q859" s="9" t="n">
        <x:f>COUNTIFS($A$7:$A$1158,A859)</x:f>
        <x:v>1</x:v>
      </x:c>
    </x:row>
    <x:row r="860">
      <x:c r="A860" s="9" t="str">
        <x:v>EV-AR-LF-B-A-TECH-2-B1-INT-G0-RW06</x:v>
      </x:c>
      <x:c r="B860" s="9" t="str">
        <x:v>EV-AR-LF-B-A-TECH-2-B1-INT-G0</x:v>
      </x:c>
      <x:c r="C860" s="9" t="str">
        <x:v>AR-LF-B-A-TECH-2-B1-INT-G0</x:v>
      </x:c>
      <x:c r="D860" s="9" t="str">
        <x:v>LF-B-A-TECH-2</x:v>
      </x:c>
      <x:c r="E860" s="9" t="str">
        <x:v>LF-B-A</x:v>
      </x:c>
      <x:c r="F860" s="9" t="str">
        <x:v>B1</x:v>
      </x:c>
      <x:c r="G860" s="9" t="str">
        <x:v>INT</x:v>
      </x:c>
      <x:c r="H860" s="9" t="str">
        <x:v>RW06</x:v>
      </x:c>
      <x:c r="I860" s="17" t="str">
        <x:v>Receiver service ledger</x:v>
      </x:c>
      <x:c r="J860" s="17" t="str">
        <x:v>Receiver authority</x:v>
      </x:c>
      <x:c r="K860" s="17" t="str">
        <x:v>Public custody F</x:v>
      </x:c>
      <x:c r="L860" s="9" t="n">
        <x:v>0</x:v>
      </x:c>
      <x:c r="M860" s="9" t="n">
        <x:v>0</x:v>
      </x:c>
      <x:c r="N860" s="9" t="n">
        <x:v>0</x:v>
      </x:c>
      <x:c r="O860" s="9" t="n">
        <x:v>0</x:v>
      </x:c>
      <x:c r="P860" s="9" t="str">
        <x:v>UNSEALED / SOURCE-EMPTY</x:v>
      </x:c>
      <x:c r="Q860" s="9" t="n">
        <x:f>COUNTIFS($A$7:$A$1158,A860)</x:f>
        <x:v>1</x:v>
      </x:c>
    </x:row>
    <x:row r="861">
      <x:c r="A861" s="9" t="str">
        <x:v>EV-AR-LF-B-A-TECH-2-B1-INT-G0-RW07</x:v>
      </x:c>
      <x:c r="B861" s="9" t="str">
        <x:v>EV-AR-LF-B-A-TECH-2-B1-INT-G0</x:v>
      </x:c>
      <x:c r="C861" s="9" t="str">
        <x:v>AR-LF-B-A-TECH-2-B1-INT-G0</x:v>
      </x:c>
      <x:c r="D861" s="9" t="str">
        <x:v>LF-B-A-TECH-2</x:v>
      </x:c>
      <x:c r="E861" s="9" t="str">
        <x:v>LF-B-A</x:v>
      </x:c>
      <x:c r="F861" s="9" t="str">
        <x:v>B1</x:v>
      </x:c>
      <x:c r="G861" s="9" t="str">
        <x:v>INT</x:v>
      </x:c>
      <x:c r="H861" s="9" t="str">
        <x:v>RW07</x:v>
      </x:c>
      <x:c r="I861" s="17" t="str">
        <x:v>Candidate interface telemetry</x:v>
      </x:c>
      <x:c r="J861" s="17" t="str">
        <x:v>Interface custodian</x:v>
      </x:c>
      <x:c r="K861" s="17" t="str">
        <x:v>Public custody A</x:v>
      </x:c>
      <x:c r="L861" s="9" t="n">
        <x:v>0</x:v>
      </x:c>
      <x:c r="M861" s="9" t="n">
        <x:v>0</x:v>
      </x:c>
      <x:c r="N861" s="9" t="n">
        <x:v>0</x:v>
      </x:c>
      <x:c r="O861" s="9" t="n">
        <x:v>0</x:v>
      </x:c>
      <x:c r="P861" s="9" t="str">
        <x:v>UNSEALED / SOURCE-EMPTY</x:v>
      </x:c>
      <x:c r="Q861" s="9" t="n">
        <x:f>COUNTIFS($A$7:$A$1158,A861)</x:f>
        <x:v>1</x:v>
      </x:c>
    </x:row>
    <x:row r="862">
      <x:c r="A862" s="9" t="str">
        <x:v>EV-AR-LF-B-A-TECH-2-B1-INT-G0-RW08</x:v>
      </x:c>
      <x:c r="B862" s="9" t="str">
        <x:v>EV-AR-LF-B-A-TECH-2-B1-INT-G0</x:v>
      </x:c>
      <x:c r="C862" s="9" t="str">
        <x:v>AR-LF-B-A-TECH-2-B1-INT-G0</x:v>
      </x:c>
      <x:c r="D862" s="9" t="str">
        <x:v>LF-B-A-TECH-2</x:v>
      </x:c>
      <x:c r="E862" s="9" t="str">
        <x:v>LF-B-A</x:v>
      </x:c>
      <x:c r="F862" s="9" t="str">
        <x:v>B1</x:v>
      </x:c>
      <x:c r="G862" s="9" t="str">
        <x:v>INT</x:v>
      </x:c>
      <x:c r="H862" s="9" t="str">
        <x:v>RW08</x:v>
      </x:c>
      <x:c r="I862" s="17" t="str">
        <x:v>Residual and physical evidence</x:v>
      </x:c>
      <x:c r="J862" s="17" t="str">
        <x:v>Residual authority</x:v>
      </x:c>
      <x:c r="K862" s="17" t="str">
        <x:v>Public custody B</x:v>
      </x:c>
      <x:c r="L862" s="9" t="n">
        <x:v>0</x:v>
      </x:c>
      <x:c r="M862" s="9" t="n">
        <x:v>0</x:v>
      </x:c>
      <x:c r="N862" s="9" t="n">
        <x:v>0</x:v>
      </x:c>
      <x:c r="O862" s="9" t="n">
        <x:v>0</x:v>
      </x:c>
      <x:c r="P862" s="9" t="str">
        <x:v>UNSEALED / SOURCE-EMPTY</x:v>
      </x:c>
      <x:c r="Q862" s="9" t="n">
        <x:f>COUNTIFS($A$7:$A$1158,A862)</x:f>
        <x:v>1</x:v>
      </x:c>
    </x:row>
    <x:row r="863">
      <x:c r="A863" s="9" t="str">
        <x:v>EV-AR-RT-B-C-TECH-2-B1-RCN-G0-RW01</x:v>
      </x:c>
      <x:c r="B863" s="9" t="str">
        <x:v>EV-AR-RT-B-C-TECH-2-B1-RCN-G0</x:v>
      </x:c>
      <x:c r="C863" s="9" t="str">
        <x:v>AR-RT-B-C-TECH-2-B1-RCN-G0</x:v>
      </x:c>
      <x:c r="D863" s="9" t="str">
        <x:v>RT-B-C-TECH-2</x:v>
      </x:c>
      <x:c r="E863" s="9" t="str">
        <x:v>RT-B-C</x:v>
      </x:c>
      <x:c r="F863" s="9" t="str">
        <x:v>B1</x:v>
      </x:c>
      <x:c r="G863" s="9" t="str">
        <x:v>RCN</x:v>
      </x:c>
      <x:c r="H863" s="9" t="str">
        <x:v>RW01</x:v>
      </x:c>
      <x:c r="I863" s="17" t="str">
        <x:v>Primary raw stream</x:v>
      </x:c>
      <x:c r="J863" s="17" t="str">
        <x:v>Primary metrology</x:v>
      </x:c>
      <x:c r="K863" s="17" t="str">
        <x:v>Public custody A</x:v>
      </x:c>
      <x:c r="L863" s="9" t="n">
        <x:v>0</x:v>
      </x:c>
      <x:c r="M863" s="9" t="n">
        <x:v>0</x:v>
      </x:c>
      <x:c r="N863" s="9" t="n">
        <x:v>0</x:v>
      </x:c>
      <x:c r="O863" s="9" t="n">
        <x:v>0</x:v>
      </x:c>
      <x:c r="P863" s="9" t="str">
        <x:v>UNSEALED / SOURCE-EMPTY</x:v>
      </x:c>
      <x:c r="Q863" s="9" t="n">
        <x:f>COUNTIFS($A$7:$A$1158,A863)</x:f>
        <x:v>1</x:v>
      </x:c>
    </x:row>
    <x:row r="864">
      <x:c r="A864" s="9" t="str">
        <x:v>EV-AR-RT-B-C-TECH-2-B1-RCN-G0-RW02</x:v>
      </x:c>
      <x:c r="B864" s="9" t="str">
        <x:v>EV-AR-RT-B-C-TECH-2-B1-RCN-G0</x:v>
      </x:c>
      <x:c r="C864" s="9" t="str">
        <x:v>AR-RT-B-C-TECH-2-B1-RCN-G0</x:v>
      </x:c>
      <x:c r="D864" s="9" t="str">
        <x:v>RT-B-C-TECH-2</x:v>
      </x:c>
      <x:c r="E864" s="9" t="str">
        <x:v>RT-B-C</x:v>
      </x:c>
      <x:c r="F864" s="9" t="str">
        <x:v>B1</x:v>
      </x:c>
      <x:c r="G864" s="9" t="str">
        <x:v>RCN</x:v>
      </x:c>
      <x:c r="H864" s="9" t="str">
        <x:v>RW02</x:v>
      </x:c>
      <x:c r="I864" s="17" t="str">
        <x:v>Unlike witness stream</x:v>
      </x:c>
      <x:c r="J864" s="17" t="str">
        <x:v>Witness metrology</x:v>
      </x:c>
      <x:c r="K864" s="17" t="str">
        <x:v>Public custody B</x:v>
      </x:c>
      <x:c r="L864" s="9" t="n">
        <x:v>0</x:v>
      </x:c>
      <x:c r="M864" s="9" t="n">
        <x:v>0</x:v>
      </x:c>
      <x:c r="N864" s="9" t="n">
        <x:v>0</x:v>
      </x:c>
      <x:c r="O864" s="9" t="n">
        <x:v>0</x:v>
      </x:c>
      <x:c r="P864" s="9" t="str">
        <x:v>UNSEALED / SOURCE-EMPTY</x:v>
      </x:c>
      <x:c r="Q864" s="9" t="n">
        <x:f>COUNTIFS($A$7:$A$1158,A864)</x:f>
        <x:v>1</x:v>
      </x:c>
    </x:row>
    <x:row r="865">
      <x:c r="A865" s="9" t="str">
        <x:v>EV-AR-RT-B-C-TECH-2-B1-RCN-G0-RW03</x:v>
      </x:c>
      <x:c r="B865" s="9" t="str">
        <x:v>EV-AR-RT-B-C-TECH-2-B1-RCN-G0</x:v>
      </x:c>
      <x:c r="C865" s="9" t="str">
        <x:v>AR-RT-B-C-TECH-2-B1-RCN-G0</x:v>
      </x:c>
      <x:c r="D865" s="9" t="str">
        <x:v>RT-B-C-TECH-2</x:v>
      </x:c>
      <x:c r="E865" s="9" t="str">
        <x:v>RT-B-C</x:v>
      </x:c>
      <x:c r="F865" s="9" t="str">
        <x:v>B1</x:v>
      </x:c>
      <x:c r="G865" s="9" t="str">
        <x:v>RCN</x:v>
      </x:c>
      <x:c r="H865" s="9" t="str">
        <x:v>RW03</x:v>
      </x:c>
      <x:c r="I865" s="17" t="str">
        <x:v>Event clock and start traces</x:v>
      </x:c>
      <x:c r="J865" s="17" t="str">
        <x:v>Event clock authority</x:v>
      </x:c>
      <x:c r="K865" s="17" t="str">
        <x:v>Public custody C</x:v>
      </x:c>
      <x:c r="L865" s="9" t="n">
        <x:v>0</x:v>
      </x:c>
      <x:c r="M865" s="9" t="n">
        <x:v>0</x:v>
      </x:c>
      <x:c r="N865" s="9" t="n">
        <x:v>0</x:v>
      </x:c>
      <x:c r="O865" s="9" t="n">
        <x:v>0</x:v>
      </x:c>
      <x:c r="P865" s="9" t="str">
        <x:v>UNSEALED / SOURCE-EMPTY</x:v>
      </x:c>
      <x:c r="Q865" s="9" t="n">
        <x:f>COUNTIFS($A$7:$A$1158,A865)</x:f>
        <x:v>1</x:v>
      </x:c>
    </x:row>
    <x:row r="866">
      <x:c r="A866" s="9" t="str">
        <x:v>EV-AR-RT-B-C-TECH-2-B1-RCN-G0-RW04</x:v>
      </x:c>
      <x:c r="B866" s="9" t="str">
        <x:v>EV-AR-RT-B-C-TECH-2-B1-RCN-G0</x:v>
      </x:c>
      <x:c r="C866" s="9" t="str">
        <x:v>AR-RT-B-C-TECH-2-B1-RCN-G0</x:v>
      </x:c>
      <x:c r="D866" s="9" t="str">
        <x:v>RT-B-C-TECH-2</x:v>
      </x:c>
      <x:c r="E866" s="9" t="str">
        <x:v>RT-B-C</x:v>
      </x:c>
      <x:c r="F866" s="9" t="str">
        <x:v>B1</x:v>
      </x:c>
      <x:c r="G866" s="9" t="str">
        <x:v>RCN</x:v>
      </x:c>
      <x:c r="H866" s="9" t="str">
        <x:v>RW04</x:v>
      </x:c>
      <x:c r="I866" s="17" t="str">
        <x:v>Environmental boundary stream</x:v>
      </x:c>
      <x:c r="J866" s="17" t="str">
        <x:v>Site metrology</x:v>
      </x:c>
      <x:c r="K866" s="17" t="str">
        <x:v>Public custody D</x:v>
      </x:c>
      <x:c r="L866" s="9" t="n">
        <x:v>0</x:v>
      </x:c>
      <x:c r="M866" s="9" t="n">
        <x:v>0</x:v>
      </x:c>
      <x:c r="N866" s="9" t="n">
        <x:v>0</x:v>
      </x:c>
      <x:c r="O866" s="9" t="n">
        <x:v>0</x:v>
      </x:c>
      <x:c r="P866" s="9" t="str">
        <x:v>UNSEALED / SOURCE-EMPTY</x:v>
      </x:c>
      <x:c r="Q866" s="9" t="n">
        <x:f>COUNTIFS($A$7:$A$1158,A866)</x:f>
        <x:v>1</x:v>
      </x:c>
    </x:row>
    <x:row r="867">
      <x:c r="A867" s="9" t="str">
        <x:v>EV-AR-RT-B-C-TECH-2-B1-RCN-G0-RW05</x:v>
      </x:c>
      <x:c r="B867" s="9" t="str">
        <x:v>EV-AR-RT-B-C-TECH-2-B1-RCN-G0</x:v>
      </x:c>
      <x:c r="C867" s="9" t="str">
        <x:v>AR-RT-B-C-TECH-2-B1-RCN-G0</x:v>
      </x:c>
      <x:c r="D867" s="9" t="str">
        <x:v>RT-B-C-TECH-2</x:v>
      </x:c>
      <x:c r="E867" s="9" t="str">
        <x:v>RT-B-C</x:v>
      </x:c>
      <x:c r="F867" s="9" t="str">
        <x:v>B1</x:v>
      </x:c>
      <x:c r="G867" s="9" t="str">
        <x:v>RCN</x:v>
      </x:c>
      <x:c r="H867" s="9" t="str">
        <x:v>RW05</x:v>
      </x:c>
      <x:c r="I867" s="17" t="str">
        <x:v>Command and intervention log</x:v>
      </x:c>
      <x:c r="J867" s="17" t="str">
        <x:v>Safety authority</x:v>
      </x:c>
      <x:c r="K867" s="17" t="str">
        <x:v>Public custody E</x:v>
      </x:c>
      <x:c r="L867" s="9" t="n">
        <x:v>0</x:v>
      </x:c>
      <x:c r="M867" s="9" t="n">
        <x:v>0</x:v>
      </x:c>
      <x:c r="N867" s="9" t="n">
        <x:v>0</x:v>
      </x:c>
      <x:c r="O867" s="9" t="n">
        <x:v>0</x:v>
      </x:c>
      <x:c r="P867" s="9" t="str">
        <x:v>UNSEALED / SOURCE-EMPTY</x:v>
      </x:c>
      <x:c r="Q867" s="9" t="n">
        <x:f>COUNTIFS($A$7:$A$1158,A867)</x:f>
        <x:v>1</x:v>
      </x:c>
    </x:row>
    <x:row r="868">
      <x:c r="A868" s="9" t="str">
        <x:v>EV-AR-RT-B-C-TECH-2-B1-RCN-G0-RW06</x:v>
      </x:c>
      <x:c r="B868" s="9" t="str">
        <x:v>EV-AR-RT-B-C-TECH-2-B1-RCN-G0</x:v>
      </x:c>
      <x:c r="C868" s="9" t="str">
        <x:v>AR-RT-B-C-TECH-2-B1-RCN-G0</x:v>
      </x:c>
      <x:c r="D868" s="9" t="str">
        <x:v>RT-B-C-TECH-2</x:v>
      </x:c>
      <x:c r="E868" s="9" t="str">
        <x:v>RT-B-C</x:v>
      </x:c>
      <x:c r="F868" s="9" t="str">
        <x:v>B1</x:v>
      </x:c>
      <x:c r="G868" s="9" t="str">
        <x:v>RCN</x:v>
      </x:c>
      <x:c r="H868" s="9" t="str">
        <x:v>RW06</x:v>
      </x:c>
      <x:c r="I868" s="17" t="str">
        <x:v>Receiver service ledger</x:v>
      </x:c>
      <x:c r="J868" s="17" t="str">
        <x:v>Receiver authority</x:v>
      </x:c>
      <x:c r="K868" s="17" t="str">
        <x:v>Public custody F</x:v>
      </x:c>
      <x:c r="L868" s="9" t="n">
        <x:v>0</x:v>
      </x:c>
      <x:c r="M868" s="9" t="n">
        <x:v>0</x:v>
      </x:c>
      <x:c r="N868" s="9" t="n">
        <x:v>0</x:v>
      </x:c>
      <x:c r="O868" s="9" t="n">
        <x:v>0</x:v>
      </x:c>
      <x:c r="P868" s="9" t="str">
        <x:v>UNSEALED / SOURCE-EMPTY</x:v>
      </x:c>
      <x:c r="Q868" s="9" t="n">
        <x:f>COUNTIFS($A$7:$A$1158,A868)</x:f>
        <x:v>1</x:v>
      </x:c>
    </x:row>
    <x:row r="869">
      <x:c r="A869" s="9" t="str">
        <x:v>EV-AR-RT-B-C-TECH-2-B1-RCN-G0-RW07</x:v>
      </x:c>
      <x:c r="B869" s="9" t="str">
        <x:v>EV-AR-RT-B-C-TECH-2-B1-RCN-G0</x:v>
      </x:c>
      <x:c r="C869" s="9" t="str">
        <x:v>AR-RT-B-C-TECH-2-B1-RCN-G0</x:v>
      </x:c>
      <x:c r="D869" s="9" t="str">
        <x:v>RT-B-C-TECH-2</x:v>
      </x:c>
      <x:c r="E869" s="9" t="str">
        <x:v>RT-B-C</x:v>
      </x:c>
      <x:c r="F869" s="9" t="str">
        <x:v>B1</x:v>
      </x:c>
      <x:c r="G869" s="9" t="str">
        <x:v>RCN</x:v>
      </x:c>
      <x:c r="H869" s="9" t="str">
        <x:v>RW07</x:v>
      </x:c>
      <x:c r="I869" s="17" t="str">
        <x:v>Candidate interface telemetry</x:v>
      </x:c>
      <x:c r="J869" s="17" t="str">
        <x:v>Interface custodian</x:v>
      </x:c>
      <x:c r="K869" s="17" t="str">
        <x:v>Public custody A</x:v>
      </x:c>
      <x:c r="L869" s="9" t="n">
        <x:v>0</x:v>
      </x:c>
      <x:c r="M869" s="9" t="n">
        <x:v>0</x:v>
      </x:c>
      <x:c r="N869" s="9" t="n">
        <x:v>0</x:v>
      </x:c>
      <x:c r="O869" s="9" t="n">
        <x:v>0</x:v>
      </x:c>
      <x:c r="P869" s="9" t="str">
        <x:v>UNSEALED / SOURCE-EMPTY</x:v>
      </x:c>
      <x:c r="Q869" s="9" t="n">
        <x:f>COUNTIFS($A$7:$A$1158,A869)</x:f>
        <x:v>1</x:v>
      </x:c>
    </x:row>
    <x:row r="870">
      <x:c r="A870" s="9" t="str">
        <x:v>EV-AR-RT-B-C-TECH-2-B1-RCN-G0-RW08</x:v>
      </x:c>
      <x:c r="B870" s="9" t="str">
        <x:v>EV-AR-RT-B-C-TECH-2-B1-RCN-G0</x:v>
      </x:c>
      <x:c r="C870" s="9" t="str">
        <x:v>AR-RT-B-C-TECH-2-B1-RCN-G0</x:v>
      </x:c>
      <x:c r="D870" s="9" t="str">
        <x:v>RT-B-C-TECH-2</x:v>
      </x:c>
      <x:c r="E870" s="9" t="str">
        <x:v>RT-B-C</x:v>
      </x:c>
      <x:c r="F870" s="9" t="str">
        <x:v>B1</x:v>
      </x:c>
      <x:c r="G870" s="9" t="str">
        <x:v>RCN</x:v>
      </x:c>
      <x:c r="H870" s="9" t="str">
        <x:v>RW08</x:v>
      </x:c>
      <x:c r="I870" s="17" t="str">
        <x:v>Residual and physical evidence</x:v>
      </x:c>
      <x:c r="J870" s="17" t="str">
        <x:v>Residual authority</x:v>
      </x:c>
      <x:c r="K870" s="17" t="str">
        <x:v>Public custody B</x:v>
      </x:c>
      <x:c r="L870" s="9" t="n">
        <x:v>0</x:v>
      </x:c>
      <x:c r="M870" s="9" t="n">
        <x:v>0</x:v>
      </x:c>
      <x:c r="N870" s="9" t="n">
        <x:v>0</x:v>
      </x:c>
      <x:c r="O870" s="9" t="n">
        <x:v>0</x:v>
      </x:c>
      <x:c r="P870" s="9" t="str">
        <x:v>UNSEALED / SOURCE-EMPTY</x:v>
      </x:c>
      <x:c r="Q870" s="9" t="n">
        <x:f>COUNTIFS($A$7:$A$1158,A870)</x:f>
        <x:v>1</x:v>
      </x:c>
    </x:row>
    <x:row r="871">
      <x:c r="A871" s="9" t="str">
        <x:v>EV-AR-CT-C-B-TECH-4-B1-INT-G0-RW01</x:v>
      </x:c>
      <x:c r="B871" s="9" t="str">
        <x:v>EV-AR-CT-C-B-TECH-4-B1-INT-G0</x:v>
      </x:c>
      <x:c r="C871" s="9" t="str">
        <x:v>AR-CT-C-B-TECH-4-B1-INT-G0</x:v>
      </x:c>
      <x:c r="D871" s="9" t="str">
        <x:v>CT-C-B-TECH-4</x:v>
      </x:c>
      <x:c r="E871" s="9" t="str">
        <x:v>CT-C-B</x:v>
      </x:c>
      <x:c r="F871" s="9" t="str">
        <x:v>B1</x:v>
      </x:c>
      <x:c r="G871" s="9" t="str">
        <x:v>INT</x:v>
      </x:c>
      <x:c r="H871" s="9" t="str">
        <x:v>RW01</x:v>
      </x:c>
      <x:c r="I871" s="17" t="str">
        <x:v>Primary raw stream</x:v>
      </x:c>
      <x:c r="J871" s="17" t="str">
        <x:v>Primary metrology</x:v>
      </x:c>
      <x:c r="K871" s="17" t="str">
        <x:v>Public custody A</x:v>
      </x:c>
      <x:c r="L871" s="9" t="n">
        <x:v>0</x:v>
      </x:c>
      <x:c r="M871" s="9" t="n">
        <x:v>0</x:v>
      </x:c>
      <x:c r="N871" s="9" t="n">
        <x:v>0</x:v>
      </x:c>
      <x:c r="O871" s="9" t="n">
        <x:v>0</x:v>
      </x:c>
      <x:c r="P871" s="9" t="str">
        <x:v>UNSEALED / SOURCE-EMPTY</x:v>
      </x:c>
      <x:c r="Q871" s="9" t="n">
        <x:f>COUNTIFS($A$7:$A$1158,A871)</x:f>
        <x:v>1</x:v>
      </x:c>
    </x:row>
    <x:row r="872">
      <x:c r="A872" s="9" t="str">
        <x:v>EV-AR-CT-C-B-TECH-4-B1-INT-G0-RW02</x:v>
      </x:c>
      <x:c r="B872" s="9" t="str">
        <x:v>EV-AR-CT-C-B-TECH-4-B1-INT-G0</x:v>
      </x:c>
      <x:c r="C872" s="9" t="str">
        <x:v>AR-CT-C-B-TECH-4-B1-INT-G0</x:v>
      </x:c>
      <x:c r="D872" s="9" t="str">
        <x:v>CT-C-B-TECH-4</x:v>
      </x:c>
      <x:c r="E872" s="9" t="str">
        <x:v>CT-C-B</x:v>
      </x:c>
      <x:c r="F872" s="9" t="str">
        <x:v>B1</x:v>
      </x:c>
      <x:c r="G872" s="9" t="str">
        <x:v>INT</x:v>
      </x:c>
      <x:c r="H872" s="9" t="str">
        <x:v>RW02</x:v>
      </x:c>
      <x:c r="I872" s="17" t="str">
        <x:v>Unlike witness stream</x:v>
      </x:c>
      <x:c r="J872" s="17" t="str">
        <x:v>Witness metrology</x:v>
      </x:c>
      <x:c r="K872" s="17" t="str">
        <x:v>Public custody B</x:v>
      </x:c>
      <x:c r="L872" s="9" t="n">
        <x:v>0</x:v>
      </x:c>
      <x:c r="M872" s="9" t="n">
        <x:v>0</x:v>
      </x:c>
      <x:c r="N872" s="9" t="n">
        <x:v>0</x:v>
      </x:c>
      <x:c r="O872" s="9" t="n">
        <x:v>0</x:v>
      </x:c>
      <x:c r="P872" s="9" t="str">
        <x:v>UNSEALED / SOURCE-EMPTY</x:v>
      </x:c>
      <x:c r="Q872" s="9" t="n">
        <x:f>COUNTIFS($A$7:$A$1158,A872)</x:f>
        <x:v>1</x:v>
      </x:c>
    </x:row>
    <x:row r="873">
      <x:c r="A873" s="9" t="str">
        <x:v>EV-AR-CT-C-B-TECH-4-B1-INT-G0-RW03</x:v>
      </x:c>
      <x:c r="B873" s="9" t="str">
        <x:v>EV-AR-CT-C-B-TECH-4-B1-INT-G0</x:v>
      </x:c>
      <x:c r="C873" s="9" t="str">
        <x:v>AR-CT-C-B-TECH-4-B1-INT-G0</x:v>
      </x:c>
      <x:c r="D873" s="9" t="str">
        <x:v>CT-C-B-TECH-4</x:v>
      </x:c>
      <x:c r="E873" s="9" t="str">
        <x:v>CT-C-B</x:v>
      </x:c>
      <x:c r="F873" s="9" t="str">
        <x:v>B1</x:v>
      </x:c>
      <x:c r="G873" s="9" t="str">
        <x:v>INT</x:v>
      </x:c>
      <x:c r="H873" s="9" t="str">
        <x:v>RW03</x:v>
      </x:c>
      <x:c r="I873" s="17" t="str">
        <x:v>Event clock and start traces</x:v>
      </x:c>
      <x:c r="J873" s="17" t="str">
        <x:v>Event clock authority</x:v>
      </x:c>
      <x:c r="K873" s="17" t="str">
        <x:v>Public custody C</x:v>
      </x:c>
      <x:c r="L873" s="9" t="n">
        <x:v>0</x:v>
      </x:c>
      <x:c r="M873" s="9" t="n">
        <x:v>0</x:v>
      </x:c>
      <x:c r="N873" s="9" t="n">
        <x:v>0</x:v>
      </x:c>
      <x:c r="O873" s="9" t="n">
        <x:v>0</x:v>
      </x:c>
      <x:c r="P873" s="9" t="str">
        <x:v>UNSEALED / SOURCE-EMPTY</x:v>
      </x:c>
      <x:c r="Q873" s="9" t="n">
        <x:f>COUNTIFS($A$7:$A$1158,A873)</x:f>
        <x:v>1</x:v>
      </x:c>
    </x:row>
    <x:row r="874">
      <x:c r="A874" s="9" t="str">
        <x:v>EV-AR-CT-C-B-TECH-4-B1-INT-G0-RW04</x:v>
      </x:c>
      <x:c r="B874" s="9" t="str">
        <x:v>EV-AR-CT-C-B-TECH-4-B1-INT-G0</x:v>
      </x:c>
      <x:c r="C874" s="9" t="str">
        <x:v>AR-CT-C-B-TECH-4-B1-INT-G0</x:v>
      </x:c>
      <x:c r="D874" s="9" t="str">
        <x:v>CT-C-B-TECH-4</x:v>
      </x:c>
      <x:c r="E874" s="9" t="str">
        <x:v>CT-C-B</x:v>
      </x:c>
      <x:c r="F874" s="9" t="str">
        <x:v>B1</x:v>
      </x:c>
      <x:c r="G874" s="9" t="str">
        <x:v>INT</x:v>
      </x:c>
      <x:c r="H874" s="9" t="str">
        <x:v>RW04</x:v>
      </x:c>
      <x:c r="I874" s="17" t="str">
        <x:v>Environmental boundary stream</x:v>
      </x:c>
      <x:c r="J874" s="17" t="str">
        <x:v>Site metrology</x:v>
      </x:c>
      <x:c r="K874" s="17" t="str">
        <x:v>Public custody D</x:v>
      </x:c>
      <x:c r="L874" s="9" t="n">
        <x:v>0</x:v>
      </x:c>
      <x:c r="M874" s="9" t="n">
        <x:v>0</x:v>
      </x:c>
      <x:c r="N874" s="9" t="n">
        <x:v>0</x:v>
      </x:c>
      <x:c r="O874" s="9" t="n">
        <x:v>0</x:v>
      </x:c>
      <x:c r="P874" s="9" t="str">
        <x:v>UNSEALED / SOURCE-EMPTY</x:v>
      </x:c>
      <x:c r="Q874" s="9" t="n">
        <x:f>COUNTIFS($A$7:$A$1158,A874)</x:f>
        <x:v>1</x:v>
      </x:c>
    </x:row>
    <x:row r="875">
      <x:c r="A875" s="9" t="str">
        <x:v>EV-AR-CT-C-B-TECH-4-B1-INT-G0-RW05</x:v>
      </x:c>
      <x:c r="B875" s="9" t="str">
        <x:v>EV-AR-CT-C-B-TECH-4-B1-INT-G0</x:v>
      </x:c>
      <x:c r="C875" s="9" t="str">
        <x:v>AR-CT-C-B-TECH-4-B1-INT-G0</x:v>
      </x:c>
      <x:c r="D875" s="9" t="str">
        <x:v>CT-C-B-TECH-4</x:v>
      </x:c>
      <x:c r="E875" s="9" t="str">
        <x:v>CT-C-B</x:v>
      </x:c>
      <x:c r="F875" s="9" t="str">
        <x:v>B1</x:v>
      </x:c>
      <x:c r="G875" s="9" t="str">
        <x:v>INT</x:v>
      </x:c>
      <x:c r="H875" s="9" t="str">
        <x:v>RW05</x:v>
      </x:c>
      <x:c r="I875" s="17" t="str">
        <x:v>Command and intervention log</x:v>
      </x:c>
      <x:c r="J875" s="17" t="str">
        <x:v>Safety authority</x:v>
      </x:c>
      <x:c r="K875" s="17" t="str">
        <x:v>Public custody E</x:v>
      </x:c>
      <x:c r="L875" s="9" t="n">
        <x:v>0</x:v>
      </x:c>
      <x:c r="M875" s="9" t="n">
        <x:v>0</x:v>
      </x:c>
      <x:c r="N875" s="9" t="n">
        <x:v>0</x:v>
      </x:c>
      <x:c r="O875" s="9" t="n">
        <x:v>0</x:v>
      </x:c>
      <x:c r="P875" s="9" t="str">
        <x:v>UNSEALED / SOURCE-EMPTY</x:v>
      </x:c>
      <x:c r="Q875" s="9" t="n">
        <x:f>COUNTIFS($A$7:$A$1158,A875)</x:f>
        <x:v>1</x:v>
      </x:c>
    </x:row>
    <x:row r="876">
      <x:c r="A876" s="9" t="str">
        <x:v>EV-AR-CT-C-B-TECH-4-B1-INT-G0-RW06</x:v>
      </x:c>
      <x:c r="B876" s="9" t="str">
        <x:v>EV-AR-CT-C-B-TECH-4-B1-INT-G0</x:v>
      </x:c>
      <x:c r="C876" s="9" t="str">
        <x:v>AR-CT-C-B-TECH-4-B1-INT-G0</x:v>
      </x:c>
      <x:c r="D876" s="9" t="str">
        <x:v>CT-C-B-TECH-4</x:v>
      </x:c>
      <x:c r="E876" s="9" t="str">
        <x:v>CT-C-B</x:v>
      </x:c>
      <x:c r="F876" s="9" t="str">
        <x:v>B1</x:v>
      </x:c>
      <x:c r="G876" s="9" t="str">
        <x:v>INT</x:v>
      </x:c>
      <x:c r="H876" s="9" t="str">
        <x:v>RW06</x:v>
      </x:c>
      <x:c r="I876" s="17" t="str">
        <x:v>Receiver service ledger</x:v>
      </x:c>
      <x:c r="J876" s="17" t="str">
        <x:v>Receiver authority</x:v>
      </x:c>
      <x:c r="K876" s="17" t="str">
        <x:v>Public custody F</x:v>
      </x:c>
      <x:c r="L876" s="9" t="n">
        <x:v>0</x:v>
      </x:c>
      <x:c r="M876" s="9" t="n">
        <x:v>0</x:v>
      </x:c>
      <x:c r="N876" s="9" t="n">
        <x:v>0</x:v>
      </x:c>
      <x:c r="O876" s="9" t="n">
        <x:v>0</x:v>
      </x:c>
      <x:c r="P876" s="9" t="str">
        <x:v>UNSEALED / SOURCE-EMPTY</x:v>
      </x:c>
      <x:c r="Q876" s="9" t="n">
        <x:f>COUNTIFS($A$7:$A$1158,A876)</x:f>
        <x:v>1</x:v>
      </x:c>
    </x:row>
    <x:row r="877">
      <x:c r="A877" s="9" t="str">
        <x:v>EV-AR-CT-C-B-TECH-4-B1-INT-G0-RW07</x:v>
      </x:c>
      <x:c r="B877" s="9" t="str">
        <x:v>EV-AR-CT-C-B-TECH-4-B1-INT-G0</x:v>
      </x:c>
      <x:c r="C877" s="9" t="str">
        <x:v>AR-CT-C-B-TECH-4-B1-INT-G0</x:v>
      </x:c>
      <x:c r="D877" s="9" t="str">
        <x:v>CT-C-B-TECH-4</x:v>
      </x:c>
      <x:c r="E877" s="9" t="str">
        <x:v>CT-C-B</x:v>
      </x:c>
      <x:c r="F877" s="9" t="str">
        <x:v>B1</x:v>
      </x:c>
      <x:c r="G877" s="9" t="str">
        <x:v>INT</x:v>
      </x:c>
      <x:c r="H877" s="9" t="str">
        <x:v>RW07</x:v>
      </x:c>
      <x:c r="I877" s="17" t="str">
        <x:v>Candidate interface telemetry</x:v>
      </x:c>
      <x:c r="J877" s="17" t="str">
        <x:v>Interface custodian</x:v>
      </x:c>
      <x:c r="K877" s="17" t="str">
        <x:v>Public custody A</x:v>
      </x:c>
      <x:c r="L877" s="9" t="n">
        <x:v>0</x:v>
      </x:c>
      <x:c r="M877" s="9" t="n">
        <x:v>0</x:v>
      </x:c>
      <x:c r="N877" s="9" t="n">
        <x:v>0</x:v>
      </x:c>
      <x:c r="O877" s="9" t="n">
        <x:v>0</x:v>
      </x:c>
      <x:c r="P877" s="9" t="str">
        <x:v>UNSEALED / SOURCE-EMPTY</x:v>
      </x:c>
      <x:c r="Q877" s="9" t="n">
        <x:f>COUNTIFS($A$7:$A$1158,A877)</x:f>
        <x:v>1</x:v>
      </x:c>
    </x:row>
    <x:row r="878">
      <x:c r="A878" s="9" t="str">
        <x:v>EV-AR-CT-C-B-TECH-4-B1-INT-G0-RW08</x:v>
      </x:c>
      <x:c r="B878" s="9" t="str">
        <x:v>EV-AR-CT-C-B-TECH-4-B1-INT-G0</x:v>
      </x:c>
      <x:c r="C878" s="9" t="str">
        <x:v>AR-CT-C-B-TECH-4-B1-INT-G0</x:v>
      </x:c>
      <x:c r="D878" s="9" t="str">
        <x:v>CT-C-B-TECH-4</x:v>
      </x:c>
      <x:c r="E878" s="9" t="str">
        <x:v>CT-C-B</x:v>
      </x:c>
      <x:c r="F878" s="9" t="str">
        <x:v>B1</x:v>
      </x:c>
      <x:c r="G878" s="9" t="str">
        <x:v>INT</x:v>
      </x:c>
      <x:c r="H878" s="9" t="str">
        <x:v>RW08</x:v>
      </x:c>
      <x:c r="I878" s="17" t="str">
        <x:v>Residual and physical evidence</x:v>
      </x:c>
      <x:c r="J878" s="17" t="str">
        <x:v>Residual authority</x:v>
      </x:c>
      <x:c r="K878" s="17" t="str">
        <x:v>Public custody B</x:v>
      </x:c>
      <x:c r="L878" s="9" t="n">
        <x:v>0</x:v>
      </x:c>
      <x:c r="M878" s="9" t="n">
        <x:v>0</x:v>
      </x:c>
      <x:c r="N878" s="9" t="n">
        <x:v>0</x:v>
      </x:c>
      <x:c r="O878" s="9" t="n">
        <x:v>0</x:v>
      </x:c>
      <x:c r="P878" s="9" t="str">
        <x:v>UNSEALED / SOURCE-EMPTY</x:v>
      </x:c>
      <x:c r="Q878" s="9" t="n">
        <x:f>COUNTIFS($A$7:$A$1158,A878)</x:f>
        <x:v>1</x:v>
      </x:c>
    </x:row>
    <x:row r="879">
      <x:c r="A879" s="9" t="str">
        <x:v>EV-AR-ET-A-A-TECH-4-B2-INT-G0-RW01</x:v>
      </x:c>
      <x:c r="B879" s="9" t="str">
        <x:v>EV-AR-ET-A-A-TECH-4-B2-INT-G0</x:v>
      </x:c>
      <x:c r="C879" s="9" t="str">
        <x:v>AR-ET-A-A-TECH-4-B2-INT-G0</x:v>
      </x:c>
      <x:c r="D879" s="9" t="str">
        <x:v>ET-A-A-TECH-4</x:v>
      </x:c>
      <x:c r="E879" s="9" t="str">
        <x:v>ET-A-A</x:v>
      </x:c>
      <x:c r="F879" s="9" t="str">
        <x:v>B2</x:v>
      </x:c>
      <x:c r="G879" s="9" t="str">
        <x:v>INT</x:v>
      </x:c>
      <x:c r="H879" s="9" t="str">
        <x:v>RW01</x:v>
      </x:c>
      <x:c r="I879" s="17" t="str">
        <x:v>Primary raw stream</x:v>
      </x:c>
      <x:c r="J879" s="17" t="str">
        <x:v>Primary metrology</x:v>
      </x:c>
      <x:c r="K879" s="17" t="str">
        <x:v>Public custody A</x:v>
      </x:c>
      <x:c r="L879" s="9" t="n">
        <x:v>0</x:v>
      </x:c>
      <x:c r="M879" s="9" t="n">
        <x:v>0</x:v>
      </x:c>
      <x:c r="N879" s="9" t="n">
        <x:v>0</x:v>
      </x:c>
      <x:c r="O879" s="9" t="n">
        <x:v>0</x:v>
      </x:c>
      <x:c r="P879" s="9" t="str">
        <x:v>UNSEALED / SOURCE-EMPTY</x:v>
      </x:c>
      <x:c r="Q879" s="9" t="n">
        <x:f>COUNTIFS($A$7:$A$1158,A879)</x:f>
        <x:v>1</x:v>
      </x:c>
    </x:row>
    <x:row r="880">
      <x:c r="A880" s="9" t="str">
        <x:v>EV-AR-ET-A-A-TECH-4-B2-INT-G0-RW02</x:v>
      </x:c>
      <x:c r="B880" s="9" t="str">
        <x:v>EV-AR-ET-A-A-TECH-4-B2-INT-G0</x:v>
      </x:c>
      <x:c r="C880" s="9" t="str">
        <x:v>AR-ET-A-A-TECH-4-B2-INT-G0</x:v>
      </x:c>
      <x:c r="D880" s="9" t="str">
        <x:v>ET-A-A-TECH-4</x:v>
      </x:c>
      <x:c r="E880" s="9" t="str">
        <x:v>ET-A-A</x:v>
      </x:c>
      <x:c r="F880" s="9" t="str">
        <x:v>B2</x:v>
      </x:c>
      <x:c r="G880" s="9" t="str">
        <x:v>INT</x:v>
      </x:c>
      <x:c r="H880" s="9" t="str">
        <x:v>RW02</x:v>
      </x:c>
      <x:c r="I880" s="17" t="str">
        <x:v>Unlike witness stream</x:v>
      </x:c>
      <x:c r="J880" s="17" t="str">
        <x:v>Witness metrology</x:v>
      </x:c>
      <x:c r="K880" s="17" t="str">
        <x:v>Public custody B</x:v>
      </x:c>
      <x:c r="L880" s="9" t="n">
        <x:v>0</x:v>
      </x:c>
      <x:c r="M880" s="9" t="n">
        <x:v>0</x:v>
      </x:c>
      <x:c r="N880" s="9" t="n">
        <x:v>0</x:v>
      </x:c>
      <x:c r="O880" s="9" t="n">
        <x:v>0</x:v>
      </x:c>
      <x:c r="P880" s="9" t="str">
        <x:v>UNSEALED / SOURCE-EMPTY</x:v>
      </x:c>
      <x:c r="Q880" s="9" t="n">
        <x:f>COUNTIFS($A$7:$A$1158,A880)</x:f>
        <x:v>1</x:v>
      </x:c>
    </x:row>
    <x:row r="881">
      <x:c r="A881" s="9" t="str">
        <x:v>EV-AR-ET-A-A-TECH-4-B2-INT-G0-RW03</x:v>
      </x:c>
      <x:c r="B881" s="9" t="str">
        <x:v>EV-AR-ET-A-A-TECH-4-B2-INT-G0</x:v>
      </x:c>
      <x:c r="C881" s="9" t="str">
        <x:v>AR-ET-A-A-TECH-4-B2-INT-G0</x:v>
      </x:c>
      <x:c r="D881" s="9" t="str">
        <x:v>ET-A-A-TECH-4</x:v>
      </x:c>
      <x:c r="E881" s="9" t="str">
        <x:v>ET-A-A</x:v>
      </x:c>
      <x:c r="F881" s="9" t="str">
        <x:v>B2</x:v>
      </x:c>
      <x:c r="G881" s="9" t="str">
        <x:v>INT</x:v>
      </x:c>
      <x:c r="H881" s="9" t="str">
        <x:v>RW03</x:v>
      </x:c>
      <x:c r="I881" s="17" t="str">
        <x:v>Event clock and start traces</x:v>
      </x:c>
      <x:c r="J881" s="17" t="str">
        <x:v>Event clock authority</x:v>
      </x:c>
      <x:c r="K881" s="17" t="str">
        <x:v>Public custody C</x:v>
      </x:c>
      <x:c r="L881" s="9" t="n">
        <x:v>0</x:v>
      </x:c>
      <x:c r="M881" s="9" t="n">
        <x:v>0</x:v>
      </x:c>
      <x:c r="N881" s="9" t="n">
        <x:v>0</x:v>
      </x:c>
      <x:c r="O881" s="9" t="n">
        <x:v>0</x:v>
      </x:c>
      <x:c r="P881" s="9" t="str">
        <x:v>UNSEALED / SOURCE-EMPTY</x:v>
      </x:c>
      <x:c r="Q881" s="9" t="n">
        <x:f>COUNTIFS($A$7:$A$1158,A881)</x:f>
        <x:v>1</x:v>
      </x:c>
    </x:row>
    <x:row r="882">
      <x:c r="A882" s="9" t="str">
        <x:v>EV-AR-ET-A-A-TECH-4-B2-INT-G0-RW04</x:v>
      </x:c>
      <x:c r="B882" s="9" t="str">
        <x:v>EV-AR-ET-A-A-TECH-4-B2-INT-G0</x:v>
      </x:c>
      <x:c r="C882" s="9" t="str">
        <x:v>AR-ET-A-A-TECH-4-B2-INT-G0</x:v>
      </x:c>
      <x:c r="D882" s="9" t="str">
        <x:v>ET-A-A-TECH-4</x:v>
      </x:c>
      <x:c r="E882" s="9" t="str">
        <x:v>ET-A-A</x:v>
      </x:c>
      <x:c r="F882" s="9" t="str">
        <x:v>B2</x:v>
      </x:c>
      <x:c r="G882" s="9" t="str">
        <x:v>INT</x:v>
      </x:c>
      <x:c r="H882" s="9" t="str">
        <x:v>RW04</x:v>
      </x:c>
      <x:c r="I882" s="17" t="str">
        <x:v>Environmental boundary stream</x:v>
      </x:c>
      <x:c r="J882" s="17" t="str">
        <x:v>Site metrology</x:v>
      </x:c>
      <x:c r="K882" s="17" t="str">
        <x:v>Public custody D</x:v>
      </x:c>
      <x:c r="L882" s="9" t="n">
        <x:v>0</x:v>
      </x:c>
      <x:c r="M882" s="9" t="n">
        <x:v>0</x:v>
      </x:c>
      <x:c r="N882" s="9" t="n">
        <x:v>0</x:v>
      </x:c>
      <x:c r="O882" s="9" t="n">
        <x:v>0</x:v>
      </x:c>
      <x:c r="P882" s="9" t="str">
        <x:v>UNSEALED / SOURCE-EMPTY</x:v>
      </x:c>
      <x:c r="Q882" s="9" t="n">
        <x:f>COUNTIFS($A$7:$A$1158,A882)</x:f>
        <x:v>1</x:v>
      </x:c>
    </x:row>
    <x:row r="883">
      <x:c r="A883" s="9" t="str">
        <x:v>EV-AR-ET-A-A-TECH-4-B2-INT-G0-RW05</x:v>
      </x:c>
      <x:c r="B883" s="9" t="str">
        <x:v>EV-AR-ET-A-A-TECH-4-B2-INT-G0</x:v>
      </x:c>
      <x:c r="C883" s="9" t="str">
        <x:v>AR-ET-A-A-TECH-4-B2-INT-G0</x:v>
      </x:c>
      <x:c r="D883" s="9" t="str">
        <x:v>ET-A-A-TECH-4</x:v>
      </x:c>
      <x:c r="E883" s="9" t="str">
        <x:v>ET-A-A</x:v>
      </x:c>
      <x:c r="F883" s="9" t="str">
        <x:v>B2</x:v>
      </x:c>
      <x:c r="G883" s="9" t="str">
        <x:v>INT</x:v>
      </x:c>
      <x:c r="H883" s="9" t="str">
        <x:v>RW05</x:v>
      </x:c>
      <x:c r="I883" s="17" t="str">
        <x:v>Command and intervention log</x:v>
      </x:c>
      <x:c r="J883" s="17" t="str">
        <x:v>Safety authority</x:v>
      </x:c>
      <x:c r="K883" s="17" t="str">
        <x:v>Public custody E</x:v>
      </x:c>
      <x:c r="L883" s="9" t="n">
        <x:v>0</x:v>
      </x:c>
      <x:c r="M883" s="9" t="n">
        <x:v>0</x:v>
      </x:c>
      <x:c r="N883" s="9" t="n">
        <x:v>0</x:v>
      </x:c>
      <x:c r="O883" s="9" t="n">
        <x:v>0</x:v>
      </x:c>
      <x:c r="P883" s="9" t="str">
        <x:v>UNSEALED / SOURCE-EMPTY</x:v>
      </x:c>
      <x:c r="Q883" s="9" t="n">
        <x:f>COUNTIFS($A$7:$A$1158,A883)</x:f>
        <x:v>1</x:v>
      </x:c>
    </x:row>
    <x:row r="884">
      <x:c r="A884" s="9" t="str">
        <x:v>EV-AR-ET-A-A-TECH-4-B2-INT-G0-RW06</x:v>
      </x:c>
      <x:c r="B884" s="9" t="str">
        <x:v>EV-AR-ET-A-A-TECH-4-B2-INT-G0</x:v>
      </x:c>
      <x:c r="C884" s="9" t="str">
        <x:v>AR-ET-A-A-TECH-4-B2-INT-G0</x:v>
      </x:c>
      <x:c r="D884" s="9" t="str">
        <x:v>ET-A-A-TECH-4</x:v>
      </x:c>
      <x:c r="E884" s="9" t="str">
        <x:v>ET-A-A</x:v>
      </x:c>
      <x:c r="F884" s="9" t="str">
        <x:v>B2</x:v>
      </x:c>
      <x:c r="G884" s="9" t="str">
        <x:v>INT</x:v>
      </x:c>
      <x:c r="H884" s="9" t="str">
        <x:v>RW06</x:v>
      </x:c>
      <x:c r="I884" s="17" t="str">
        <x:v>Receiver service ledger</x:v>
      </x:c>
      <x:c r="J884" s="17" t="str">
        <x:v>Receiver authority</x:v>
      </x:c>
      <x:c r="K884" s="17" t="str">
        <x:v>Public custody F</x:v>
      </x:c>
      <x:c r="L884" s="9" t="n">
        <x:v>0</x:v>
      </x:c>
      <x:c r="M884" s="9" t="n">
        <x:v>0</x:v>
      </x:c>
      <x:c r="N884" s="9" t="n">
        <x:v>0</x:v>
      </x:c>
      <x:c r="O884" s="9" t="n">
        <x:v>0</x:v>
      </x:c>
      <x:c r="P884" s="9" t="str">
        <x:v>UNSEALED / SOURCE-EMPTY</x:v>
      </x:c>
      <x:c r="Q884" s="9" t="n">
        <x:f>COUNTIFS($A$7:$A$1158,A884)</x:f>
        <x:v>1</x:v>
      </x:c>
    </x:row>
    <x:row r="885">
      <x:c r="A885" s="9" t="str">
        <x:v>EV-AR-ET-A-A-TECH-4-B2-INT-G0-RW07</x:v>
      </x:c>
      <x:c r="B885" s="9" t="str">
        <x:v>EV-AR-ET-A-A-TECH-4-B2-INT-G0</x:v>
      </x:c>
      <x:c r="C885" s="9" t="str">
        <x:v>AR-ET-A-A-TECH-4-B2-INT-G0</x:v>
      </x:c>
      <x:c r="D885" s="9" t="str">
        <x:v>ET-A-A-TECH-4</x:v>
      </x:c>
      <x:c r="E885" s="9" t="str">
        <x:v>ET-A-A</x:v>
      </x:c>
      <x:c r="F885" s="9" t="str">
        <x:v>B2</x:v>
      </x:c>
      <x:c r="G885" s="9" t="str">
        <x:v>INT</x:v>
      </x:c>
      <x:c r="H885" s="9" t="str">
        <x:v>RW07</x:v>
      </x:c>
      <x:c r="I885" s="17" t="str">
        <x:v>Candidate interface telemetry</x:v>
      </x:c>
      <x:c r="J885" s="17" t="str">
        <x:v>Interface custodian</x:v>
      </x:c>
      <x:c r="K885" s="17" t="str">
        <x:v>Public custody A</x:v>
      </x:c>
      <x:c r="L885" s="9" t="n">
        <x:v>0</x:v>
      </x:c>
      <x:c r="M885" s="9" t="n">
        <x:v>0</x:v>
      </x:c>
      <x:c r="N885" s="9" t="n">
        <x:v>0</x:v>
      </x:c>
      <x:c r="O885" s="9" t="n">
        <x:v>0</x:v>
      </x:c>
      <x:c r="P885" s="9" t="str">
        <x:v>UNSEALED / SOURCE-EMPTY</x:v>
      </x:c>
      <x:c r="Q885" s="9" t="n">
        <x:f>COUNTIFS($A$7:$A$1158,A885)</x:f>
        <x:v>1</x:v>
      </x:c>
    </x:row>
    <x:row r="886">
      <x:c r="A886" s="9" t="str">
        <x:v>EV-AR-ET-A-A-TECH-4-B2-INT-G0-RW08</x:v>
      </x:c>
      <x:c r="B886" s="9" t="str">
        <x:v>EV-AR-ET-A-A-TECH-4-B2-INT-G0</x:v>
      </x:c>
      <x:c r="C886" s="9" t="str">
        <x:v>AR-ET-A-A-TECH-4-B2-INT-G0</x:v>
      </x:c>
      <x:c r="D886" s="9" t="str">
        <x:v>ET-A-A-TECH-4</x:v>
      </x:c>
      <x:c r="E886" s="9" t="str">
        <x:v>ET-A-A</x:v>
      </x:c>
      <x:c r="F886" s="9" t="str">
        <x:v>B2</x:v>
      </x:c>
      <x:c r="G886" s="9" t="str">
        <x:v>INT</x:v>
      </x:c>
      <x:c r="H886" s="9" t="str">
        <x:v>RW08</x:v>
      </x:c>
      <x:c r="I886" s="17" t="str">
        <x:v>Residual and physical evidence</x:v>
      </x:c>
      <x:c r="J886" s="17" t="str">
        <x:v>Residual authority</x:v>
      </x:c>
      <x:c r="K886" s="17" t="str">
        <x:v>Public custody B</x:v>
      </x:c>
      <x:c r="L886" s="9" t="n">
        <x:v>0</x:v>
      </x:c>
      <x:c r="M886" s="9" t="n">
        <x:v>0</x:v>
      </x:c>
      <x:c r="N886" s="9" t="n">
        <x:v>0</x:v>
      </x:c>
      <x:c r="O886" s="9" t="n">
        <x:v>0</x:v>
      </x:c>
      <x:c r="P886" s="9" t="str">
        <x:v>UNSEALED / SOURCE-EMPTY</x:v>
      </x:c>
      <x:c r="Q886" s="9" t="n">
        <x:f>COUNTIFS($A$7:$A$1158,A886)</x:f>
        <x:v>1</x:v>
      </x:c>
    </x:row>
    <x:row r="887">
      <x:c r="A887" s="9" t="str">
        <x:v>EV-AR-HU-A-B-TECH-1-B1-INT-G0-RW01</x:v>
      </x:c>
      <x:c r="B887" s="9" t="str">
        <x:v>EV-AR-HU-A-B-TECH-1-B1-INT-G0</x:v>
      </x:c>
      <x:c r="C887" s="9" t="str">
        <x:v>AR-HU-A-B-TECH-1-B1-INT-G0</x:v>
      </x:c>
      <x:c r="D887" s="9" t="str">
        <x:v>HU-A-B-TECH-1</x:v>
      </x:c>
      <x:c r="E887" s="9" t="str">
        <x:v>HU-A-B</x:v>
      </x:c>
      <x:c r="F887" s="9" t="str">
        <x:v>B1</x:v>
      </x:c>
      <x:c r="G887" s="9" t="str">
        <x:v>INT</x:v>
      </x:c>
      <x:c r="H887" s="9" t="str">
        <x:v>RW01</x:v>
      </x:c>
      <x:c r="I887" s="17" t="str">
        <x:v>Primary raw stream</x:v>
      </x:c>
      <x:c r="J887" s="17" t="str">
        <x:v>Primary metrology</x:v>
      </x:c>
      <x:c r="K887" s="17" t="str">
        <x:v>Public custody A</x:v>
      </x:c>
      <x:c r="L887" s="9" t="n">
        <x:v>0</x:v>
      </x:c>
      <x:c r="M887" s="9" t="n">
        <x:v>0</x:v>
      </x:c>
      <x:c r="N887" s="9" t="n">
        <x:v>0</x:v>
      </x:c>
      <x:c r="O887" s="9" t="n">
        <x:v>0</x:v>
      </x:c>
      <x:c r="P887" s="9" t="str">
        <x:v>UNSEALED / SOURCE-EMPTY</x:v>
      </x:c>
      <x:c r="Q887" s="9" t="n">
        <x:f>COUNTIFS($A$7:$A$1158,A887)</x:f>
        <x:v>1</x:v>
      </x:c>
    </x:row>
    <x:row r="888">
      <x:c r="A888" s="9" t="str">
        <x:v>EV-AR-HU-A-B-TECH-1-B1-INT-G0-RW02</x:v>
      </x:c>
      <x:c r="B888" s="9" t="str">
        <x:v>EV-AR-HU-A-B-TECH-1-B1-INT-G0</x:v>
      </x:c>
      <x:c r="C888" s="9" t="str">
        <x:v>AR-HU-A-B-TECH-1-B1-INT-G0</x:v>
      </x:c>
      <x:c r="D888" s="9" t="str">
        <x:v>HU-A-B-TECH-1</x:v>
      </x:c>
      <x:c r="E888" s="9" t="str">
        <x:v>HU-A-B</x:v>
      </x:c>
      <x:c r="F888" s="9" t="str">
        <x:v>B1</x:v>
      </x:c>
      <x:c r="G888" s="9" t="str">
        <x:v>INT</x:v>
      </x:c>
      <x:c r="H888" s="9" t="str">
        <x:v>RW02</x:v>
      </x:c>
      <x:c r="I888" s="17" t="str">
        <x:v>Unlike witness stream</x:v>
      </x:c>
      <x:c r="J888" s="17" t="str">
        <x:v>Witness metrology</x:v>
      </x:c>
      <x:c r="K888" s="17" t="str">
        <x:v>Public custody B</x:v>
      </x:c>
      <x:c r="L888" s="9" t="n">
        <x:v>0</x:v>
      </x:c>
      <x:c r="M888" s="9" t="n">
        <x:v>0</x:v>
      </x:c>
      <x:c r="N888" s="9" t="n">
        <x:v>0</x:v>
      </x:c>
      <x:c r="O888" s="9" t="n">
        <x:v>0</x:v>
      </x:c>
      <x:c r="P888" s="9" t="str">
        <x:v>UNSEALED / SOURCE-EMPTY</x:v>
      </x:c>
      <x:c r="Q888" s="9" t="n">
        <x:f>COUNTIFS($A$7:$A$1158,A888)</x:f>
        <x:v>1</x:v>
      </x:c>
    </x:row>
    <x:row r="889">
      <x:c r="A889" s="9" t="str">
        <x:v>EV-AR-HU-A-B-TECH-1-B1-INT-G0-RW03</x:v>
      </x:c>
      <x:c r="B889" s="9" t="str">
        <x:v>EV-AR-HU-A-B-TECH-1-B1-INT-G0</x:v>
      </x:c>
      <x:c r="C889" s="9" t="str">
        <x:v>AR-HU-A-B-TECH-1-B1-INT-G0</x:v>
      </x:c>
      <x:c r="D889" s="9" t="str">
        <x:v>HU-A-B-TECH-1</x:v>
      </x:c>
      <x:c r="E889" s="9" t="str">
        <x:v>HU-A-B</x:v>
      </x:c>
      <x:c r="F889" s="9" t="str">
        <x:v>B1</x:v>
      </x:c>
      <x:c r="G889" s="9" t="str">
        <x:v>INT</x:v>
      </x:c>
      <x:c r="H889" s="9" t="str">
        <x:v>RW03</x:v>
      </x:c>
      <x:c r="I889" s="17" t="str">
        <x:v>Event clock and start traces</x:v>
      </x:c>
      <x:c r="J889" s="17" t="str">
        <x:v>Event clock authority</x:v>
      </x:c>
      <x:c r="K889" s="17" t="str">
        <x:v>Public custody C</x:v>
      </x:c>
      <x:c r="L889" s="9" t="n">
        <x:v>0</x:v>
      </x:c>
      <x:c r="M889" s="9" t="n">
        <x:v>0</x:v>
      </x:c>
      <x:c r="N889" s="9" t="n">
        <x:v>0</x:v>
      </x:c>
      <x:c r="O889" s="9" t="n">
        <x:v>0</x:v>
      </x:c>
      <x:c r="P889" s="9" t="str">
        <x:v>UNSEALED / SOURCE-EMPTY</x:v>
      </x:c>
      <x:c r="Q889" s="9" t="n">
        <x:f>COUNTIFS($A$7:$A$1158,A889)</x:f>
        <x:v>1</x:v>
      </x:c>
    </x:row>
    <x:row r="890">
      <x:c r="A890" s="9" t="str">
        <x:v>EV-AR-HU-A-B-TECH-1-B1-INT-G0-RW04</x:v>
      </x:c>
      <x:c r="B890" s="9" t="str">
        <x:v>EV-AR-HU-A-B-TECH-1-B1-INT-G0</x:v>
      </x:c>
      <x:c r="C890" s="9" t="str">
        <x:v>AR-HU-A-B-TECH-1-B1-INT-G0</x:v>
      </x:c>
      <x:c r="D890" s="9" t="str">
        <x:v>HU-A-B-TECH-1</x:v>
      </x:c>
      <x:c r="E890" s="9" t="str">
        <x:v>HU-A-B</x:v>
      </x:c>
      <x:c r="F890" s="9" t="str">
        <x:v>B1</x:v>
      </x:c>
      <x:c r="G890" s="9" t="str">
        <x:v>INT</x:v>
      </x:c>
      <x:c r="H890" s="9" t="str">
        <x:v>RW04</x:v>
      </x:c>
      <x:c r="I890" s="17" t="str">
        <x:v>Environmental boundary stream</x:v>
      </x:c>
      <x:c r="J890" s="17" t="str">
        <x:v>Site metrology</x:v>
      </x:c>
      <x:c r="K890" s="17" t="str">
        <x:v>Public custody D</x:v>
      </x:c>
      <x:c r="L890" s="9" t="n">
        <x:v>0</x:v>
      </x:c>
      <x:c r="M890" s="9" t="n">
        <x:v>0</x:v>
      </x:c>
      <x:c r="N890" s="9" t="n">
        <x:v>0</x:v>
      </x:c>
      <x:c r="O890" s="9" t="n">
        <x:v>0</x:v>
      </x:c>
      <x:c r="P890" s="9" t="str">
        <x:v>UNSEALED / SOURCE-EMPTY</x:v>
      </x:c>
      <x:c r="Q890" s="9" t="n">
        <x:f>COUNTIFS($A$7:$A$1158,A890)</x:f>
        <x:v>1</x:v>
      </x:c>
    </x:row>
    <x:row r="891">
      <x:c r="A891" s="9" t="str">
        <x:v>EV-AR-HU-A-B-TECH-1-B1-INT-G0-RW05</x:v>
      </x:c>
      <x:c r="B891" s="9" t="str">
        <x:v>EV-AR-HU-A-B-TECH-1-B1-INT-G0</x:v>
      </x:c>
      <x:c r="C891" s="9" t="str">
        <x:v>AR-HU-A-B-TECH-1-B1-INT-G0</x:v>
      </x:c>
      <x:c r="D891" s="9" t="str">
        <x:v>HU-A-B-TECH-1</x:v>
      </x:c>
      <x:c r="E891" s="9" t="str">
        <x:v>HU-A-B</x:v>
      </x:c>
      <x:c r="F891" s="9" t="str">
        <x:v>B1</x:v>
      </x:c>
      <x:c r="G891" s="9" t="str">
        <x:v>INT</x:v>
      </x:c>
      <x:c r="H891" s="9" t="str">
        <x:v>RW05</x:v>
      </x:c>
      <x:c r="I891" s="17" t="str">
        <x:v>Command and intervention log</x:v>
      </x:c>
      <x:c r="J891" s="17" t="str">
        <x:v>Safety authority</x:v>
      </x:c>
      <x:c r="K891" s="17" t="str">
        <x:v>Public custody E</x:v>
      </x:c>
      <x:c r="L891" s="9" t="n">
        <x:v>0</x:v>
      </x:c>
      <x:c r="M891" s="9" t="n">
        <x:v>0</x:v>
      </x:c>
      <x:c r="N891" s="9" t="n">
        <x:v>0</x:v>
      </x:c>
      <x:c r="O891" s="9" t="n">
        <x:v>0</x:v>
      </x:c>
      <x:c r="P891" s="9" t="str">
        <x:v>UNSEALED / SOURCE-EMPTY</x:v>
      </x:c>
      <x:c r="Q891" s="9" t="n">
        <x:f>COUNTIFS($A$7:$A$1158,A891)</x:f>
        <x:v>1</x:v>
      </x:c>
    </x:row>
    <x:row r="892">
      <x:c r="A892" s="9" t="str">
        <x:v>EV-AR-HU-A-B-TECH-1-B1-INT-G0-RW06</x:v>
      </x:c>
      <x:c r="B892" s="9" t="str">
        <x:v>EV-AR-HU-A-B-TECH-1-B1-INT-G0</x:v>
      </x:c>
      <x:c r="C892" s="9" t="str">
        <x:v>AR-HU-A-B-TECH-1-B1-INT-G0</x:v>
      </x:c>
      <x:c r="D892" s="9" t="str">
        <x:v>HU-A-B-TECH-1</x:v>
      </x:c>
      <x:c r="E892" s="9" t="str">
        <x:v>HU-A-B</x:v>
      </x:c>
      <x:c r="F892" s="9" t="str">
        <x:v>B1</x:v>
      </x:c>
      <x:c r="G892" s="9" t="str">
        <x:v>INT</x:v>
      </x:c>
      <x:c r="H892" s="9" t="str">
        <x:v>RW06</x:v>
      </x:c>
      <x:c r="I892" s="17" t="str">
        <x:v>Receiver service ledger</x:v>
      </x:c>
      <x:c r="J892" s="17" t="str">
        <x:v>Receiver authority</x:v>
      </x:c>
      <x:c r="K892" s="17" t="str">
        <x:v>Public custody F</x:v>
      </x:c>
      <x:c r="L892" s="9" t="n">
        <x:v>0</x:v>
      </x:c>
      <x:c r="M892" s="9" t="n">
        <x:v>0</x:v>
      </x:c>
      <x:c r="N892" s="9" t="n">
        <x:v>0</x:v>
      </x:c>
      <x:c r="O892" s="9" t="n">
        <x:v>0</x:v>
      </x:c>
      <x:c r="P892" s="9" t="str">
        <x:v>UNSEALED / SOURCE-EMPTY</x:v>
      </x:c>
      <x:c r="Q892" s="9" t="n">
        <x:f>COUNTIFS($A$7:$A$1158,A892)</x:f>
        <x:v>1</x:v>
      </x:c>
    </x:row>
    <x:row r="893">
      <x:c r="A893" s="9" t="str">
        <x:v>EV-AR-HU-A-B-TECH-1-B1-INT-G0-RW07</x:v>
      </x:c>
      <x:c r="B893" s="9" t="str">
        <x:v>EV-AR-HU-A-B-TECH-1-B1-INT-G0</x:v>
      </x:c>
      <x:c r="C893" s="9" t="str">
        <x:v>AR-HU-A-B-TECH-1-B1-INT-G0</x:v>
      </x:c>
      <x:c r="D893" s="9" t="str">
        <x:v>HU-A-B-TECH-1</x:v>
      </x:c>
      <x:c r="E893" s="9" t="str">
        <x:v>HU-A-B</x:v>
      </x:c>
      <x:c r="F893" s="9" t="str">
        <x:v>B1</x:v>
      </x:c>
      <x:c r="G893" s="9" t="str">
        <x:v>INT</x:v>
      </x:c>
      <x:c r="H893" s="9" t="str">
        <x:v>RW07</x:v>
      </x:c>
      <x:c r="I893" s="17" t="str">
        <x:v>Candidate interface telemetry</x:v>
      </x:c>
      <x:c r="J893" s="17" t="str">
        <x:v>Interface custodian</x:v>
      </x:c>
      <x:c r="K893" s="17" t="str">
        <x:v>Public custody A</x:v>
      </x:c>
      <x:c r="L893" s="9" t="n">
        <x:v>0</x:v>
      </x:c>
      <x:c r="M893" s="9" t="n">
        <x:v>0</x:v>
      </x:c>
      <x:c r="N893" s="9" t="n">
        <x:v>0</x:v>
      </x:c>
      <x:c r="O893" s="9" t="n">
        <x:v>0</x:v>
      </x:c>
      <x:c r="P893" s="9" t="str">
        <x:v>UNSEALED / SOURCE-EMPTY</x:v>
      </x:c>
      <x:c r="Q893" s="9" t="n">
        <x:f>COUNTIFS($A$7:$A$1158,A893)</x:f>
        <x:v>1</x:v>
      </x:c>
    </x:row>
    <x:row r="894">
      <x:c r="A894" s="9" t="str">
        <x:v>EV-AR-HU-A-B-TECH-1-B1-INT-G0-RW08</x:v>
      </x:c>
      <x:c r="B894" s="9" t="str">
        <x:v>EV-AR-HU-A-B-TECH-1-B1-INT-G0</x:v>
      </x:c>
      <x:c r="C894" s="9" t="str">
        <x:v>AR-HU-A-B-TECH-1-B1-INT-G0</x:v>
      </x:c>
      <x:c r="D894" s="9" t="str">
        <x:v>HU-A-B-TECH-1</x:v>
      </x:c>
      <x:c r="E894" s="9" t="str">
        <x:v>HU-A-B</x:v>
      </x:c>
      <x:c r="F894" s="9" t="str">
        <x:v>B1</x:v>
      </x:c>
      <x:c r="G894" s="9" t="str">
        <x:v>INT</x:v>
      </x:c>
      <x:c r="H894" s="9" t="str">
        <x:v>RW08</x:v>
      </x:c>
      <x:c r="I894" s="17" t="str">
        <x:v>Residual and physical evidence</x:v>
      </x:c>
      <x:c r="J894" s="17" t="str">
        <x:v>Residual authority</x:v>
      </x:c>
      <x:c r="K894" s="17" t="str">
        <x:v>Public custody B</x:v>
      </x:c>
      <x:c r="L894" s="9" t="n">
        <x:v>0</x:v>
      </x:c>
      <x:c r="M894" s="9" t="n">
        <x:v>0</x:v>
      </x:c>
      <x:c r="N894" s="9" t="n">
        <x:v>0</x:v>
      </x:c>
      <x:c r="O894" s="9" t="n">
        <x:v>0</x:v>
      </x:c>
      <x:c r="P894" s="9" t="str">
        <x:v>UNSEALED / SOURCE-EMPTY</x:v>
      </x:c>
      <x:c r="Q894" s="9" t="n">
        <x:f>COUNTIFS($A$7:$A$1158,A894)</x:f>
        <x:v>1</x:v>
      </x:c>
    </x:row>
    <x:row r="895">
      <x:c r="A895" s="9" t="str">
        <x:v>EV-AR-HU-A-B-TECH-4-B2-BRK-G0-RW01</x:v>
      </x:c>
      <x:c r="B895" s="9" t="str">
        <x:v>EV-AR-HU-A-B-TECH-4-B2-BRK-G0</x:v>
      </x:c>
      <x:c r="C895" s="9" t="str">
        <x:v>AR-HU-A-B-TECH-4-B2-BRK-G0</x:v>
      </x:c>
      <x:c r="D895" s="9" t="str">
        <x:v>HU-A-B-TECH-4</x:v>
      </x:c>
      <x:c r="E895" s="9" t="str">
        <x:v>HU-A-B</x:v>
      </x:c>
      <x:c r="F895" s="9" t="str">
        <x:v>B2</x:v>
      </x:c>
      <x:c r="G895" s="9" t="str">
        <x:v>BRK</x:v>
      </x:c>
      <x:c r="H895" s="9" t="str">
        <x:v>RW01</x:v>
      </x:c>
      <x:c r="I895" s="17" t="str">
        <x:v>Primary raw stream</x:v>
      </x:c>
      <x:c r="J895" s="17" t="str">
        <x:v>Primary metrology</x:v>
      </x:c>
      <x:c r="K895" s="17" t="str">
        <x:v>Public custody A</x:v>
      </x:c>
      <x:c r="L895" s="9" t="n">
        <x:v>0</x:v>
      </x:c>
      <x:c r="M895" s="9" t="n">
        <x:v>0</x:v>
      </x:c>
      <x:c r="N895" s="9" t="n">
        <x:v>0</x:v>
      </x:c>
      <x:c r="O895" s="9" t="n">
        <x:v>0</x:v>
      </x:c>
      <x:c r="P895" s="9" t="str">
        <x:v>UNSEALED / SOURCE-EMPTY</x:v>
      </x:c>
      <x:c r="Q895" s="9" t="n">
        <x:f>COUNTIFS($A$7:$A$1158,A895)</x:f>
        <x:v>1</x:v>
      </x:c>
    </x:row>
    <x:row r="896">
      <x:c r="A896" s="9" t="str">
        <x:v>EV-AR-HU-A-B-TECH-4-B2-BRK-G0-RW02</x:v>
      </x:c>
      <x:c r="B896" s="9" t="str">
        <x:v>EV-AR-HU-A-B-TECH-4-B2-BRK-G0</x:v>
      </x:c>
      <x:c r="C896" s="9" t="str">
        <x:v>AR-HU-A-B-TECH-4-B2-BRK-G0</x:v>
      </x:c>
      <x:c r="D896" s="9" t="str">
        <x:v>HU-A-B-TECH-4</x:v>
      </x:c>
      <x:c r="E896" s="9" t="str">
        <x:v>HU-A-B</x:v>
      </x:c>
      <x:c r="F896" s="9" t="str">
        <x:v>B2</x:v>
      </x:c>
      <x:c r="G896" s="9" t="str">
        <x:v>BRK</x:v>
      </x:c>
      <x:c r="H896" s="9" t="str">
        <x:v>RW02</x:v>
      </x:c>
      <x:c r="I896" s="17" t="str">
        <x:v>Unlike witness stream</x:v>
      </x:c>
      <x:c r="J896" s="17" t="str">
        <x:v>Witness metrology</x:v>
      </x:c>
      <x:c r="K896" s="17" t="str">
        <x:v>Public custody B</x:v>
      </x:c>
      <x:c r="L896" s="9" t="n">
        <x:v>0</x:v>
      </x:c>
      <x:c r="M896" s="9" t="n">
        <x:v>0</x:v>
      </x:c>
      <x:c r="N896" s="9" t="n">
        <x:v>0</x:v>
      </x:c>
      <x:c r="O896" s="9" t="n">
        <x:v>0</x:v>
      </x:c>
      <x:c r="P896" s="9" t="str">
        <x:v>UNSEALED / SOURCE-EMPTY</x:v>
      </x:c>
      <x:c r="Q896" s="9" t="n">
        <x:f>COUNTIFS($A$7:$A$1158,A896)</x:f>
        <x:v>1</x:v>
      </x:c>
    </x:row>
    <x:row r="897">
      <x:c r="A897" s="9" t="str">
        <x:v>EV-AR-HU-A-B-TECH-4-B2-BRK-G0-RW03</x:v>
      </x:c>
      <x:c r="B897" s="9" t="str">
        <x:v>EV-AR-HU-A-B-TECH-4-B2-BRK-G0</x:v>
      </x:c>
      <x:c r="C897" s="9" t="str">
        <x:v>AR-HU-A-B-TECH-4-B2-BRK-G0</x:v>
      </x:c>
      <x:c r="D897" s="9" t="str">
        <x:v>HU-A-B-TECH-4</x:v>
      </x:c>
      <x:c r="E897" s="9" t="str">
        <x:v>HU-A-B</x:v>
      </x:c>
      <x:c r="F897" s="9" t="str">
        <x:v>B2</x:v>
      </x:c>
      <x:c r="G897" s="9" t="str">
        <x:v>BRK</x:v>
      </x:c>
      <x:c r="H897" s="9" t="str">
        <x:v>RW03</x:v>
      </x:c>
      <x:c r="I897" s="17" t="str">
        <x:v>Event clock and start traces</x:v>
      </x:c>
      <x:c r="J897" s="17" t="str">
        <x:v>Event clock authority</x:v>
      </x:c>
      <x:c r="K897" s="17" t="str">
        <x:v>Public custody C</x:v>
      </x:c>
      <x:c r="L897" s="9" t="n">
        <x:v>0</x:v>
      </x:c>
      <x:c r="M897" s="9" t="n">
        <x:v>0</x:v>
      </x:c>
      <x:c r="N897" s="9" t="n">
        <x:v>0</x:v>
      </x:c>
      <x:c r="O897" s="9" t="n">
        <x:v>0</x:v>
      </x:c>
      <x:c r="P897" s="9" t="str">
        <x:v>UNSEALED / SOURCE-EMPTY</x:v>
      </x:c>
      <x:c r="Q897" s="9" t="n">
        <x:f>COUNTIFS($A$7:$A$1158,A897)</x:f>
        <x:v>1</x:v>
      </x:c>
    </x:row>
    <x:row r="898">
      <x:c r="A898" s="9" t="str">
        <x:v>EV-AR-HU-A-B-TECH-4-B2-BRK-G0-RW04</x:v>
      </x:c>
      <x:c r="B898" s="9" t="str">
        <x:v>EV-AR-HU-A-B-TECH-4-B2-BRK-G0</x:v>
      </x:c>
      <x:c r="C898" s="9" t="str">
        <x:v>AR-HU-A-B-TECH-4-B2-BRK-G0</x:v>
      </x:c>
      <x:c r="D898" s="9" t="str">
        <x:v>HU-A-B-TECH-4</x:v>
      </x:c>
      <x:c r="E898" s="9" t="str">
        <x:v>HU-A-B</x:v>
      </x:c>
      <x:c r="F898" s="9" t="str">
        <x:v>B2</x:v>
      </x:c>
      <x:c r="G898" s="9" t="str">
        <x:v>BRK</x:v>
      </x:c>
      <x:c r="H898" s="9" t="str">
        <x:v>RW04</x:v>
      </x:c>
      <x:c r="I898" s="17" t="str">
        <x:v>Environmental boundary stream</x:v>
      </x:c>
      <x:c r="J898" s="17" t="str">
        <x:v>Site metrology</x:v>
      </x:c>
      <x:c r="K898" s="17" t="str">
        <x:v>Public custody D</x:v>
      </x:c>
      <x:c r="L898" s="9" t="n">
        <x:v>0</x:v>
      </x:c>
      <x:c r="M898" s="9" t="n">
        <x:v>0</x:v>
      </x:c>
      <x:c r="N898" s="9" t="n">
        <x:v>0</x:v>
      </x:c>
      <x:c r="O898" s="9" t="n">
        <x:v>0</x:v>
      </x:c>
      <x:c r="P898" s="9" t="str">
        <x:v>UNSEALED / SOURCE-EMPTY</x:v>
      </x:c>
      <x:c r="Q898" s="9" t="n">
        <x:f>COUNTIFS($A$7:$A$1158,A898)</x:f>
        <x:v>1</x:v>
      </x:c>
    </x:row>
    <x:row r="899">
      <x:c r="A899" s="9" t="str">
        <x:v>EV-AR-HU-A-B-TECH-4-B2-BRK-G0-RW05</x:v>
      </x:c>
      <x:c r="B899" s="9" t="str">
        <x:v>EV-AR-HU-A-B-TECH-4-B2-BRK-G0</x:v>
      </x:c>
      <x:c r="C899" s="9" t="str">
        <x:v>AR-HU-A-B-TECH-4-B2-BRK-G0</x:v>
      </x:c>
      <x:c r="D899" s="9" t="str">
        <x:v>HU-A-B-TECH-4</x:v>
      </x:c>
      <x:c r="E899" s="9" t="str">
        <x:v>HU-A-B</x:v>
      </x:c>
      <x:c r="F899" s="9" t="str">
        <x:v>B2</x:v>
      </x:c>
      <x:c r="G899" s="9" t="str">
        <x:v>BRK</x:v>
      </x:c>
      <x:c r="H899" s="9" t="str">
        <x:v>RW05</x:v>
      </x:c>
      <x:c r="I899" s="17" t="str">
        <x:v>Command and intervention log</x:v>
      </x:c>
      <x:c r="J899" s="17" t="str">
        <x:v>Safety authority</x:v>
      </x:c>
      <x:c r="K899" s="17" t="str">
        <x:v>Public custody E</x:v>
      </x:c>
      <x:c r="L899" s="9" t="n">
        <x:v>0</x:v>
      </x:c>
      <x:c r="M899" s="9" t="n">
        <x:v>0</x:v>
      </x:c>
      <x:c r="N899" s="9" t="n">
        <x:v>0</x:v>
      </x:c>
      <x:c r="O899" s="9" t="n">
        <x:v>0</x:v>
      </x:c>
      <x:c r="P899" s="9" t="str">
        <x:v>UNSEALED / SOURCE-EMPTY</x:v>
      </x:c>
      <x:c r="Q899" s="9" t="n">
        <x:f>COUNTIFS($A$7:$A$1158,A899)</x:f>
        <x:v>1</x:v>
      </x:c>
    </x:row>
    <x:row r="900">
      <x:c r="A900" s="9" t="str">
        <x:v>EV-AR-HU-A-B-TECH-4-B2-BRK-G0-RW06</x:v>
      </x:c>
      <x:c r="B900" s="9" t="str">
        <x:v>EV-AR-HU-A-B-TECH-4-B2-BRK-G0</x:v>
      </x:c>
      <x:c r="C900" s="9" t="str">
        <x:v>AR-HU-A-B-TECH-4-B2-BRK-G0</x:v>
      </x:c>
      <x:c r="D900" s="9" t="str">
        <x:v>HU-A-B-TECH-4</x:v>
      </x:c>
      <x:c r="E900" s="9" t="str">
        <x:v>HU-A-B</x:v>
      </x:c>
      <x:c r="F900" s="9" t="str">
        <x:v>B2</x:v>
      </x:c>
      <x:c r="G900" s="9" t="str">
        <x:v>BRK</x:v>
      </x:c>
      <x:c r="H900" s="9" t="str">
        <x:v>RW06</x:v>
      </x:c>
      <x:c r="I900" s="17" t="str">
        <x:v>Receiver service ledger</x:v>
      </x:c>
      <x:c r="J900" s="17" t="str">
        <x:v>Receiver authority</x:v>
      </x:c>
      <x:c r="K900" s="17" t="str">
        <x:v>Public custody F</x:v>
      </x:c>
      <x:c r="L900" s="9" t="n">
        <x:v>0</x:v>
      </x:c>
      <x:c r="M900" s="9" t="n">
        <x:v>0</x:v>
      </x:c>
      <x:c r="N900" s="9" t="n">
        <x:v>0</x:v>
      </x:c>
      <x:c r="O900" s="9" t="n">
        <x:v>0</x:v>
      </x:c>
      <x:c r="P900" s="9" t="str">
        <x:v>UNSEALED / SOURCE-EMPTY</x:v>
      </x:c>
      <x:c r="Q900" s="9" t="n">
        <x:f>COUNTIFS($A$7:$A$1158,A900)</x:f>
        <x:v>1</x:v>
      </x:c>
    </x:row>
    <x:row r="901">
      <x:c r="A901" s="9" t="str">
        <x:v>EV-AR-HU-A-B-TECH-4-B2-BRK-G0-RW07</x:v>
      </x:c>
      <x:c r="B901" s="9" t="str">
        <x:v>EV-AR-HU-A-B-TECH-4-B2-BRK-G0</x:v>
      </x:c>
      <x:c r="C901" s="9" t="str">
        <x:v>AR-HU-A-B-TECH-4-B2-BRK-G0</x:v>
      </x:c>
      <x:c r="D901" s="9" t="str">
        <x:v>HU-A-B-TECH-4</x:v>
      </x:c>
      <x:c r="E901" s="9" t="str">
        <x:v>HU-A-B</x:v>
      </x:c>
      <x:c r="F901" s="9" t="str">
        <x:v>B2</x:v>
      </x:c>
      <x:c r="G901" s="9" t="str">
        <x:v>BRK</x:v>
      </x:c>
      <x:c r="H901" s="9" t="str">
        <x:v>RW07</x:v>
      </x:c>
      <x:c r="I901" s="17" t="str">
        <x:v>Candidate interface telemetry</x:v>
      </x:c>
      <x:c r="J901" s="17" t="str">
        <x:v>Interface custodian</x:v>
      </x:c>
      <x:c r="K901" s="17" t="str">
        <x:v>Public custody A</x:v>
      </x:c>
      <x:c r="L901" s="9" t="n">
        <x:v>0</x:v>
      </x:c>
      <x:c r="M901" s="9" t="n">
        <x:v>0</x:v>
      </x:c>
      <x:c r="N901" s="9" t="n">
        <x:v>0</x:v>
      </x:c>
      <x:c r="O901" s="9" t="n">
        <x:v>0</x:v>
      </x:c>
      <x:c r="P901" s="9" t="str">
        <x:v>UNSEALED / SOURCE-EMPTY</x:v>
      </x:c>
      <x:c r="Q901" s="9" t="n">
        <x:f>COUNTIFS($A$7:$A$1158,A901)</x:f>
        <x:v>1</x:v>
      </x:c>
    </x:row>
    <x:row r="902">
      <x:c r="A902" s="9" t="str">
        <x:v>EV-AR-HU-A-B-TECH-4-B2-BRK-G0-RW08</x:v>
      </x:c>
      <x:c r="B902" s="9" t="str">
        <x:v>EV-AR-HU-A-B-TECH-4-B2-BRK-G0</x:v>
      </x:c>
      <x:c r="C902" s="9" t="str">
        <x:v>AR-HU-A-B-TECH-4-B2-BRK-G0</x:v>
      </x:c>
      <x:c r="D902" s="9" t="str">
        <x:v>HU-A-B-TECH-4</x:v>
      </x:c>
      <x:c r="E902" s="9" t="str">
        <x:v>HU-A-B</x:v>
      </x:c>
      <x:c r="F902" s="9" t="str">
        <x:v>B2</x:v>
      </x:c>
      <x:c r="G902" s="9" t="str">
        <x:v>BRK</x:v>
      </x:c>
      <x:c r="H902" s="9" t="str">
        <x:v>RW08</x:v>
      </x:c>
      <x:c r="I902" s="17" t="str">
        <x:v>Residual and physical evidence</x:v>
      </x:c>
      <x:c r="J902" s="17" t="str">
        <x:v>Residual authority</x:v>
      </x:c>
      <x:c r="K902" s="17" t="str">
        <x:v>Public custody B</x:v>
      </x:c>
      <x:c r="L902" s="9" t="n">
        <x:v>0</x:v>
      </x:c>
      <x:c r="M902" s="9" t="n">
        <x:v>0</x:v>
      </x:c>
      <x:c r="N902" s="9" t="n">
        <x:v>0</x:v>
      </x:c>
      <x:c r="O902" s="9" t="n">
        <x:v>0</x:v>
      </x:c>
      <x:c r="P902" s="9" t="str">
        <x:v>UNSEALED / SOURCE-EMPTY</x:v>
      </x:c>
      <x:c r="Q902" s="9" t="n">
        <x:f>COUNTIFS($A$7:$A$1158,A902)</x:f>
        <x:v>1</x:v>
      </x:c>
    </x:row>
    <x:row r="903">
      <x:c r="A903" s="9" t="str">
        <x:v>EV-AR-RT-B-C-TECH-4-B1-BRK-G0-RW01</x:v>
      </x:c>
      <x:c r="B903" s="9" t="str">
        <x:v>EV-AR-RT-B-C-TECH-4-B1-BRK-G0</x:v>
      </x:c>
      <x:c r="C903" s="9" t="str">
        <x:v>AR-RT-B-C-TECH-4-B1-BRK-G0</x:v>
      </x:c>
      <x:c r="D903" s="9" t="str">
        <x:v>RT-B-C-TECH-4</x:v>
      </x:c>
      <x:c r="E903" s="9" t="str">
        <x:v>RT-B-C</x:v>
      </x:c>
      <x:c r="F903" s="9" t="str">
        <x:v>B1</x:v>
      </x:c>
      <x:c r="G903" s="9" t="str">
        <x:v>BRK</x:v>
      </x:c>
      <x:c r="H903" s="9" t="str">
        <x:v>RW01</x:v>
      </x:c>
      <x:c r="I903" s="17" t="str">
        <x:v>Primary raw stream</x:v>
      </x:c>
      <x:c r="J903" s="17" t="str">
        <x:v>Primary metrology</x:v>
      </x:c>
      <x:c r="K903" s="17" t="str">
        <x:v>Public custody A</x:v>
      </x:c>
      <x:c r="L903" s="9" t="n">
        <x:v>0</x:v>
      </x:c>
      <x:c r="M903" s="9" t="n">
        <x:v>0</x:v>
      </x:c>
      <x:c r="N903" s="9" t="n">
        <x:v>0</x:v>
      </x:c>
      <x:c r="O903" s="9" t="n">
        <x:v>0</x:v>
      </x:c>
      <x:c r="P903" s="9" t="str">
        <x:v>UNSEALED / SOURCE-EMPTY</x:v>
      </x:c>
      <x:c r="Q903" s="9" t="n">
        <x:f>COUNTIFS($A$7:$A$1158,A903)</x:f>
        <x:v>1</x:v>
      </x:c>
    </x:row>
    <x:row r="904">
      <x:c r="A904" s="9" t="str">
        <x:v>EV-AR-RT-B-C-TECH-4-B1-BRK-G0-RW02</x:v>
      </x:c>
      <x:c r="B904" s="9" t="str">
        <x:v>EV-AR-RT-B-C-TECH-4-B1-BRK-G0</x:v>
      </x:c>
      <x:c r="C904" s="9" t="str">
        <x:v>AR-RT-B-C-TECH-4-B1-BRK-G0</x:v>
      </x:c>
      <x:c r="D904" s="9" t="str">
        <x:v>RT-B-C-TECH-4</x:v>
      </x:c>
      <x:c r="E904" s="9" t="str">
        <x:v>RT-B-C</x:v>
      </x:c>
      <x:c r="F904" s="9" t="str">
        <x:v>B1</x:v>
      </x:c>
      <x:c r="G904" s="9" t="str">
        <x:v>BRK</x:v>
      </x:c>
      <x:c r="H904" s="9" t="str">
        <x:v>RW02</x:v>
      </x:c>
      <x:c r="I904" s="17" t="str">
        <x:v>Unlike witness stream</x:v>
      </x:c>
      <x:c r="J904" s="17" t="str">
        <x:v>Witness metrology</x:v>
      </x:c>
      <x:c r="K904" s="17" t="str">
        <x:v>Public custody B</x:v>
      </x:c>
      <x:c r="L904" s="9" t="n">
        <x:v>0</x:v>
      </x:c>
      <x:c r="M904" s="9" t="n">
        <x:v>0</x:v>
      </x:c>
      <x:c r="N904" s="9" t="n">
        <x:v>0</x:v>
      </x:c>
      <x:c r="O904" s="9" t="n">
        <x:v>0</x:v>
      </x:c>
      <x:c r="P904" s="9" t="str">
        <x:v>UNSEALED / SOURCE-EMPTY</x:v>
      </x:c>
      <x:c r="Q904" s="9" t="n">
        <x:f>COUNTIFS($A$7:$A$1158,A904)</x:f>
        <x:v>1</x:v>
      </x:c>
    </x:row>
    <x:row r="905">
      <x:c r="A905" s="9" t="str">
        <x:v>EV-AR-RT-B-C-TECH-4-B1-BRK-G0-RW03</x:v>
      </x:c>
      <x:c r="B905" s="9" t="str">
        <x:v>EV-AR-RT-B-C-TECH-4-B1-BRK-G0</x:v>
      </x:c>
      <x:c r="C905" s="9" t="str">
        <x:v>AR-RT-B-C-TECH-4-B1-BRK-G0</x:v>
      </x:c>
      <x:c r="D905" s="9" t="str">
        <x:v>RT-B-C-TECH-4</x:v>
      </x:c>
      <x:c r="E905" s="9" t="str">
        <x:v>RT-B-C</x:v>
      </x:c>
      <x:c r="F905" s="9" t="str">
        <x:v>B1</x:v>
      </x:c>
      <x:c r="G905" s="9" t="str">
        <x:v>BRK</x:v>
      </x:c>
      <x:c r="H905" s="9" t="str">
        <x:v>RW03</x:v>
      </x:c>
      <x:c r="I905" s="17" t="str">
        <x:v>Event clock and start traces</x:v>
      </x:c>
      <x:c r="J905" s="17" t="str">
        <x:v>Event clock authority</x:v>
      </x:c>
      <x:c r="K905" s="17" t="str">
        <x:v>Public custody C</x:v>
      </x:c>
      <x:c r="L905" s="9" t="n">
        <x:v>0</x:v>
      </x:c>
      <x:c r="M905" s="9" t="n">
        <x:v>0</x:v>
      </x:c>
      <x:c r="N905" s="9" t="n">
        <x:v>0</x:v>
      </x:c>
      <x:c r="O905" s="9" t="n">
        <x:v>0</x:v>
      </x:c>
      <x:c r="P905" s="9" t="str">
        <x:v>UNSEALED / SOURCE-EMPTY</x:v>
      </x:c>
      <x:c r="Q905" s="9" t="n">
        <x:f>COUNTIFS($A$7:$A$1158,A905)</x:f>
        <x:v>1</x:v>
      </x:c>
    </x:row>
    <x:row r="906">
      <x:c r="A906" s="9" t="str">
        <x:v>EV-AR-RT-B-C-TECH-4-B1-BRK-G0-RW04</x:v>
      </x:c>
      <x:c r="B906" s="9" t="str">
        <x:v>EV-AR-RT-B-C-TECH-4-B1-BRK-G0</x:v>
      </x:c>
      <x:c r="C906" s="9" t="str">
        <x:v>AR-RT-B-C-TECH-4-B1-BRK-G0</x:v>
      </x:c>
      <x:c r="D906" s="9" t="str">
        <x:v>RT-B-C-TECH-4</x:v>
      </x:c>
      <x:c r="E906" s="9" t="str">
        <x:v>RT-B-C</x:v>
      </x:c>
      <x:c r="F906" s="9" t="str">
        <x:v>B1</x:v>
      </x:c>
      <x:c r="G906" s="9" t="str">
        <x:v>BRK</x:v>
      </x:c>
      <x:c r="H906" s="9" t="str">
        <x:v>RW04</x:v>
      </x:c>
      <x:c r="I906" s="17" t="str">
        <x:v>Environmental boundary stream</x:v>
      </x:c>
      <x:c r="J906" s="17" t="str">
        <x:v>Site metrology</x:v>
      </x:c>
      <x:c r="K906" s="17" t="str">
        <x:v>Public custody D</x:v>
      </x:c>
      <x:c r="L906" s="9" t="n">
        <x:v>0</x:v>
      </x:c>
      <x:c r="M906" s="9" t="n">
        <x:v>0</x:v>
      </x:c>
      <x:c r="N906" s="9" t="n">
        <x:v>0</x:v>
      </x:c>
      <x:c r="O906" s="9" t="n">
        <x:v>0</x:v>
      </x:c>
      <x:c r="P906" s="9" t="str">
        <x:v>UNSEALED / SOURCE-EMPTY</x:v>
      </x:c>
      <x:c r="Q906" s="9" t="n">
        <x:f>COUNTIFS($A$7:$A$1158,A906)</x:f>
        <x:v>1</x:v>
      </x:c>
    </x:row>
    <x:row r="907">
      <x:c r="A907" s="9" t="str">
        <x:v>EV-AR-RT-B-C-TECH-4-B1-BRK-G0-RW05</x:v>
      </x:c>
      <x:c r="B907" s="9" t="str">
        <x:v>EV-AR-RT-B-C-TECH-4-B1-BRK-G0</x:v>
      </x:c>
      <x:c r="C907" s="9" t="str">
        <x:v>AR-RT-B-C-TECH-4-B1-BRK-G0</x:v>
      </x:c>
      <x:c r="D907" s="9" t="str">
        <x:v>RT-B-C-TECH-4</x:v>
      </x:c>
      <x:c r="E907" s="9" t="str">
        <x:v>RT-B-C</x:v>
      </x:c>
      <x:c r="F907" s="9" t="str">
        <x:v>B1</x:v>
      </x:c>
      <x:c r="G907" s="9" t="str">
        <x:v>BRK</x:v>
      </x:c>
      <x:c r="H907" s="9" t="str">
        <x:v>RW05</x:v>
      </x:c>
      <x:c r="I907" s="17" t="str">
        <x:v>Command and intervention log</x:v>
      </x:c>
      <x:c r="J907" s="17" t="str">
        <x:v>Safety authority</x:v>
      </x:c>
      <x:c r="K907" s="17" t="str">
        <x:v>Public custody E</x:v>
      </x:c>
      <x:c r="L907" s="9" t="n">
        <x:v>0</x:v>
      </x:c>
      <x:c r="M907" s="9" t="n">
        <x:v>0</x:v>
      </x:c>
      <x:c r="N907" s="9" t="n">
        <x:v>0</x:v>
      </x:c>
      <x:c r="O907" s="9" t="n">
        <x:v>0</x:v>
      </x:c>
      <x:c r="P907" s="9" t="str">
        <x:v>UNSEALED / SOURCE-EMPTY</x:v>
      </x:c>
      <x:c r="Q907" s="9" t="n">
        <x:f>COUNTIFS($A$7:$A$1158,A907)</x:f>
        <x:v>1</x:v>
      </x:c>
    </x:row>
    <x:row r="908">
      <x:c r="A908" s="9" t="str">
        <x:v>EV-AR-RT-B-C-TECH-4-B1-BRK-G0-RW06</x:v>
      </x:c>
      <x:c r="B908" s="9" t="str">
        <x:v>EV-AR-RT-B-C-TECH-4-B1-BRK-G0</x:v>
      </x:c>
      <x:c r="C908" s="9" t="str">
        <x:v>AR-RT-B-C-TECH-4-B1-BRK-G0</x:v>
      </x:c>
      <x:c r="D908" s="9" t="str">
        <x:v>RT-B-C-TECH-4</x:v>
      </x:c>
      <x:c r="E908" s="9" t="str">
        <x:v>RT-B-C</x:v>
      </x:c>
      <x:c r="F908" s="9" t="str">
        <x:v>B1</x:v>
      </x:c>
      <x:c r="G908" s="9" t="str">
        <x:v>BRK</x:v>
      </x:c>
      <x:c r="H908" s="9" t="str">
        <x:v>RW06</x:v>
      </x:c>
      <x:c r="I908" s="17" t="str">
        <x:v>Receiver service ledger</x:v>
      </x:c>
      <x:c r="J908" s="17" t="str">
        <x:v>Receiver authority</x:v>
      </x:c>
      <x:c r="K908" s="17" t="str">
        <x:v>Public custody F</x:v>
      </x:c>
      <x:c r="L908" s="9" t="n">
        <x:v>0</x:v>
      </x:c>
      <x:c r="M908" s="9" t="n">
        <x:v>0</x:v>
      </x:c>
      <x:c r="N908" s="9" t="n">
        <x:v>0</x:v>
      </x:c>
      <x:c r="O908" s="9" t="n">
        <x:v>0</x:v>
      </x:c>
      <x:c r="P908" s="9" t="str">
        <x:v>UNSEALED / SOURCE-EMPTY</x:v>
      </x:c>
      <x:c r="Q908" s="9" t="n">
        <x:f>COUNTIFS($A$7:$A$1158,A908)</x:f>
        <x:v>1</x:v>
      </x:c>
    </x:row>
    <x:row r="909">
      <x:c r="A909" s="9" t="str">
        <x:v>EV-AR-RT-B-C-TECH-4-B1-BRK-G0-RW07</x:v>
      </x:c>
      <x:c r="B909" s="9" t="str">
        <x:v>EV-AR-RT-B-C-TECH-4-B1-BRK-G0</x:v>
      </x:c>
      <x:c r="C909" s="9" t="str">
        <x:v>AR-RT-B-C-TECH-4-B1-BRK-G0</x:v>
      </x:c>
      <x:c r="D909" s="9" t="str">
        <x:v>RT-B-C-TECH-4</x:v>
      </x:c>
      <x:c r="E909" s="9" t="str">
        <x:v>RT-B-C</x:v>
      </x:c>
      <x:c r="F909" s="9" t="str">
        <x:v>B1</x:v>
      </x:c>
      <x:c r="G909" s="9" t="str">
        <x:v>BRK</x:v>
      </x:c>
      <x:c r="H909" s="9" t="str">
        <x:v>RW07</x:v>
      </x:c>
      <x:c r="I909" s="17" t="str">
        <x:v>Candidate interface telemetry</x:v>
      </x:c>
      <x:c r="J909" s="17" t="str">
        <x:v>Interface custodian</x:v>
      </x:c>
      <x:c r="K909" s="17" t="str">
        <x:v>Public custody A</x:v>
      </x:c>
      <x:c r="L909" s="9" t="n">
        <x:v>0</x:v>
      </x:c>
      <x:c r="M909" s="9" t="n">
        <x:v>0</x:v>
      </x:c>
      <x:c r="N909" s="9" t="n">
        <x:v>0</x:v>
      </x:c>
      <x:c r="O909" s="9" t="n">
        <x:v>0</x:v>
      </x:c>
      <x:c r="P909" s="9" t="str">
        <x:v>UNSEALED / SOURCE-EMPTY</x:v>
      </x:c>
      <x:c r="Q909" s="9" t="n">
        <x:f>COUNTIFS($A$7:$A$1158,A909)</x:f>
        <x:v>1</x:v>
      </x:c>
    </x:row>
    <x:row r="910">
      <x:c r="A910" s="9" t="str">
        <x:v>EV-AR-RT-B-C-TECH-4-B1-BRK-G0-RW08</x:v>
      </x:c>
      <x:c r="B910" s="9" t="str">
        <x:v>EV-AR-RT-B-C-TECH-4-B1-BRK-G0</x:v>
      </x:c>
      <x:c r="C910" s="9" t="str">
        <x:v>AR-RT-B-C-TECH-4-B1-BRK-G0</x:v>
      </x:c>
      <x:c r="D910" s="9" t="str">
        <x:v>RT-B-C-TECH-4</x:v>
      </x:c>
      <x:c r="E910" s="9" t="str">
        <x:v>RT-B-C</x:v>
      </x:c>
      <x:c r="F910" s="9" t="str">
        <x:v>B1</x:v>
      </x:c>
      <x:c r="G910" s="9" t="str">
        <x:v>BRK</x:v>
      </x:c>
      <x:c r="H910" s="9" t="str">
        <x:v>RW08</x:v>
      </x:c>
      <x:c r="I910" s="17" t="str">
        <x:v>Residual and physical evidence</x:v>
      </x:c>
      <x:c r="J910" s="17" t="str">
        <x:v>Residual authority</x:v>
      </x:c>
      <x:c r="K910" s="17" t="str">
        <x:v>Public custody B</x:v>
      </x:c>
      <x:c r="L910" s="9" t="n">
        <x:v>0</x:v>
      </x:c>
      <x:c r="M910" s="9" t="n">
        <x:v>0</x:v>
      </x:c>
      <x:c r="N910" s="9" t="n">
        <x:v>0</x:v>
      </x:c>
      <x:c r="O910" s="9" t="n">
        <x:v>0</x:v>
      </x:c>
      <x:c r="P910" s="9" t="str">
        <x:v>UNSEALED / SOURCE-EMPTY</x:v>
      </x:c>
      <x:c r="Q910" s="9" t="n">
        <x:f>COUNTIFS($A$7:$A$1158,A910)</x:f>
        <x:v>1</x:v>
      </x:c>
    </x:row>
    <x:row r="911">
      <x:c r="A911" s="9" t="str">
        <x:v>EV-AR-RT-B-C-TECH-3-B2-BRK-G0-RW01</x:v>
      </x:c>
      <x:c r="B911" s="9" t="str">
        <x:v>EV-AR-RT-B-C-TECH-3-B2-BRK-G0</x:v>
      </x:c>
      <x:c r="C911" s="9" t="str">
        <x:v>AR-RT-B-C-TECH-3-B2-BRK-G0</x:v>
      </x:c>
      <x:c r="D911" s="9" t="str">
        <x:v>RT-B-C-TECH-3</x:v>
      </x:c>
      <x:c r="E911" s="9" t="str">
        <x:v>RT-B-C</x:v>
      </x:c>
      <x:c r="F911" s="9" t="str">
        <x:v>B2</x:v>
      </x:c>
      <x:c r="G911" s="9" t="str">
        <x:v>BRK</x:v>
      </x:c>
      <x:c r="H911" s="9" t="str">
        <x:v>RW01</x:v>
      </x:c>
      <x:c r="I911" s="17" t="str">
        <x:v>Primary raw stream</x:v>
      </x:c>
      <x:c r="J911" s="17" t="str">
        <x:v>Primary metrology</x:v>
      </x:c>
      <x:c r="K911" s="17" t="str">
        <x:v>Public custody A</x:v>
      </x:c>
      <x:c r="L911" s="9" t="n">
        <x:v>0</x:v>
      </x:c>
      <x:c r="M911" s="9" t="n">
        <x:v>0</x:v>
      </x:c>
      <x:c r="N911" s="9" t="n">
        <x:v>0</x:v>
      </x:c>
      <x:c r="O911" s="9" t="n">
        <x:v>0</x:v>
      </x:c>
      <x:c r="P911" s="9" t="str">
        <x:v>UNSEALED / SOURCE-EMPTY</x:v>
      </x:c>
      <x:c r="Q911" s="9" t="n">
        <x:f>COUNTIFS($A$7:$A$1158,A911)</x:f>
        <x:v>1</x:v>
      </x:c>
    </x:row>
    <x:row r="912">
      <x:c r="A912" s="9" t="str">
        <x:v>EV-AR-RT-B-C-TECH-3-B2-BRK-G0-RW02</x:v>
      </x:c>
      <x:c r="B912" s="9" t="str">
        <x:v>EV-AR-RT-B-C-TECH-3-B2-BRK-G0</x:v>
      </x:c>
      <x:c r="C912" s="9" t="str">
        <x:v>AR-RT-B-C-TECH-3-B2-BRK-G0</x:v>
      </x:c>
      <x:c r="D912" s="9" t="str">
        <x:v>RT-B-C-TECH-3</x:v>
      </x:c>
      <x:c r="E912" s="9" t="str">
        <x:v>RT-B-C</x:v>
      </x:c>
      <x:c r="F912" s="9" t="str">
        <x:v>B2</x:v>
      </x:c>
      <x:c r="G912" s="9" t="str">
        <x:v>BRK</x:v>
      </x:c>
      <x:c r="H912" s="9" t="str">
        <x:v>RW02</x:v>
      </x:c>
      <x:c r="I912" s="17" t="str">
        <x:v>Unlike witness stream</x:v>
      </x:c>
      <x:c r="J912" s="17" t="str">
        <x:v>Witness metrology</x:v>
      </x:c>
      <x:c r="K912" s="17" t="str">
        <x:v>Public custody B</x:v>
      </x:c>
      <x:c r="L912" s="9" t="n">
        <x:v>0</x:v>
      </x:c>
      <x:c r="M912" s="9" t="n">
        <x:v>0</x:v>
      </x:c>
      <x:c r="N912" s="9" t="n">
        <x:v>0</x:v>
      </x:c>
      <x:c r="O912" s="9" t="n">
        <x:v>0</x:v>
      </x:c>
      <x:c r="P912" s="9" t="str">
        <x:v>UNSEALED / SOURCE-EMPTY</x:v>
      </x:c>
      <x:c r="Q912" s="9" t="n">
        <x:f>COUNTIFS($A$7:$A$1158,A912)</x:f>
        <x:v>1</x:v>
      </x:c>
    </x:row>
    <x:row r="913">
      <x:c r="A913" s="9" t="str">
        <x:v>EV-AR-RT-B-C-TECH-3-B2-BRK-G0-RW03</x:v>
      </x:c>
      <x:c r="B913" s="9" t="str">
        <x:v>EV-AR-RT-B-C-TECH-3-B2-BRK-G0</x:v>
      </x:c>
      <x:c r="C913" s="9" t="str">
        <x:v>AR-RT-B-C-TECH-3-B2-BRK-G0</x:v>
      </x:c>
      <x:c r="D913" s="9" t="str">
        <x:v>RT-B-C-TECH-3</x:v>
      </x:c>
      <x:c r="E913" s="9" t="str">
        <x:v>RT-B-C</x:v>
      </x:c>
      <x:c r="F913" s="9" t="str">
        <x:v>B2</x:v>
      </x:c>
      <x:c r="G913" s="9" t="str">
        <x:v>BRK</x:v>
      </x:c>
      <x:c r="H913" s="9" t="str">
        <x:v>RW03</x:v>
      </x:c>
      <x:c r="I913" s="17" t="str">
        <x:v>Event clock and start traces</x:v>
      </x:c>
      <x:c r="J913" s="17" t="str">
        <x:v>Event clock authority</x:v>
      </x:c>
      <x:c r="K913" s="17" t="str">
        <x:v>Public custody C</x:v>
      </x:c>
      <x:c r="L913" s="9" t="n">
        <x:v>0</x:v>
      </x:c>
      <x:c r="M913" s="9" t="n">
        <x:v>0</x:v>
      </x:c>
      <x:c r="N913" s="9" t="n">
        <x:v>0</x:v>
      </x:c>
      <x:c r="O913" s="9" t="n">
        <x:v>0</x:v>
      </x:c>
      <x:c r="P913" s="9" t="str">
        <x:v>UNSEALED / SOURCE-EMPTY</x:v>
      </x:c>
      <x:c r="Q913" s="9" t="n">
        <x:f>COUNTIFS($A$7:$A$1158,A913)</x:f>
        <x:v>1</x:v>
      </x:c>
    </x:row>
    <x:row r="914">
      <x:c r="A914" s="9" t="str">
        <x:v>EV-AR-RT-B-C-TECH-3-B2-BRK-G0-RW04</x:v>
      </x:c>
      <x:c r="B914" s="9" t="str">
        <x:v>EV-AR-RT-B-C-TECH-3-B2-BRK-G0</x:v>
      </x:c>
      <x:c r="C914" s="9" t="str">
        <x:v>AR-RT-B-C-TECH-3-B2-BRK-G0</x:v>
      </x:c>
      <x:c r="D914" s="9" t="str">
        <x:v>RT-B-C-TECH-3</x:v>
      </x:c>
      <x:c r="E914" s="9" t="str">
        <x:v>RT-B-C</x:v>
      </x:c>
      <x:c r="F914" s="9" t="str">
        <x:v>B2</x:v>
      </x:c>
      <x:c r="G914" s="9" t="str">
        <x:v>BRK</x:v>
      </x:c>
      <x:c r="H914" s="9" t="str">
        <x:v>RW04</x:v>
      </x:c>
      <x:c r="I914" s="17" t="str">
        <x:v>Environmental boundary stream</x:v>
      </x:c>
      <x:c r="J914" s="17" t="str">
        <x:v>Site metrology</x:v>
      </x:c>
      <x:c r="K914" s="17" t="str">
        <x:v>Public custody D</x:v>
      </x:c>
      <x:c r="L914" s="9" t="n">
        <x:v>0</x:v>
      </x:c>
      <x:c r="M914" s="9" t="n">
        <x:v>0</x:v>
      </x:c>
      <x:c r="N914" s="9" t="n">
        <x:v>0</x:v>
      </x:c>
      <x:c r="O914" s="9" t="n">
        <x:v>0</x:v>
      </x:c>
      <x:c r="P914" s="9" t="str">
        <x:v>UNSEALED / SOURCE-EMPTY</x:v>
      </x:c>
      <x:c r="Q914" s="9" t="n">
        <x:f>COUNTIFS($A$7:$A$1158,A914)</x:f>
        <x:v>1</x:v>
      </x:c>
    </x:row>
    <x:row r="915">
      <x:c r="A915" s="9" t="str">
        <x:v>EV-AR-RT-B-C-TECH-3-B2-BRK-G0-RW05</x:v>
      </x:c>
      <x:c r="B915" s="9" t="str">
        <x:v>EV-AR-RT-B-C-TECH-3-B2-BRK-G0</x:v>
      </x:c>
      <x:c r="C915" s="9" t="str">
        <x:v>AR-RT-B-C-TECH-3-B2-BRK-G0</x:v>
      </x:c>
      <x:c r="D915" s="9" t="str">
        <x:v>RT-B-C-TECH-3</x:v>
      </x:c>
      <x:c r="E915" s="9" t="str">
        <x:v>RT-B-C</x:v>
      </x:c>
      <x:c r="F915" s="9" t="str">
        <x:v>B2</x:v>
      </x:c>
      <x:c r="G915" s="9" t="str">
        <x:v>BRK</x:v>
      </x:c>
      <x:c r="H915" s="9" t="str">
        <x:v>RW05</x:v>
      </x:c>
      <x:c r="I915" s="17" t="str">
        <x:v>Command and intervention log</x:v>
      </x:c>
      <x:c r="J915" s="17" t="str">
        <x:v>Safety authority</x:v>
      </x:c>
      <x:c r="K915" s="17" t="str">
        <x:v>Public custody E</x:v>
      </x:c>
      <x:c r="L915" s="9" t="n">
        <x:v>0</x:v>
      </x:c>
      <x:c r="M915" s="9" t="n">
        <x:v>0</x:v>
      </x:c>
      <x:c r="N915" s="9" t="n">
        <x:v>0</x:v>
      </x:c>
      <x:c r="O915" s="9" t="n">
        <x:v>0</x:v>
      </x:c>
      <x:c r="P915" s="9" t="str">
        <x:v>UNSEALED / SOURCE-EMPTY</x:v>
      </x:c>
      <x:c r="Q915" s="9" t="n">
        <x:f>COUNTIFS($A$7:$A$1158,A915)</x:f>
        <x:v>1</x:v>
      </x:c>
    </x:row>
    <x:row r="916">
      <x:c r="A916" s="9" t="str">
        <x:v>EV-AR-RT-B-C-TECH-3-B2-BRK-G0-RW06</x:v>
      </x:c>
      <x:c r="B916" s="9" t="str">
        <x:v>EV-AR-RT-B-C-TECH-3-B2-BRK-G0</x:v>
      </x:c>
      <x:c r="C916" s="9" t="str">
        <x:v>AR-RT-B-C-TECH-3-B2-BRK-G0</x:v>
      </x:c>
      <x:c r="D916" s="9" t="str">
        <x:v>RT-B-C-TECH-3</x:v>
      </x:c>
      <x:c r="E916" s="9" t="str">
        <x:v>RT-B-C</x:v>
      </x:c>
      <x:c r="F916" s="9" t="str">
        <x:v>B2</x:v>
      </x:c>
      <x:c r="G916" s="9" t="str">
        <x:v>BRK</x:v>
      </x:c>
      <x:c r="H916" s="9" t="str">
        <x:v>RW06</x:v>
      </x:c>
      <x:c r="I916" s="17" t="str">
        <x:v>Receiver service ledger</x:v>
      </x:c>
      <x:c r="J916" s="17" t="str">
        <x:v>Receiver authority</x:v>
      </x:c>
      <x:c r="K916" s="17" t="str">
        <x:v>Public custody F</x:v>
      </x:c>
      <x:c r="L916" s="9" t="n">
        <x:v>0</x:v>
      </x:c>
      <x:c r="M916" s="9" t="n">
        <x:v>0</x:v>
      </x:c>
      <x:c r="N916" s="9" t="n">
        <x:v>0</x:v>
      </x:c>
      <x:c r="O916" s="9" t="n">
        <x:v>0</x:v>
      </x:c>
      <x:c r="P916" s="9" t="str">
        <x:v>UNSEALED / SOURCE-EMPTY</x:v>
      </x:c>
      <x:c r="Q916" s="9" t="n">
        <x:f>COUNTIFS($A$7:$A$1158,A916)</x:f>
        <x:v>1</x:v>
      </x:c>
    </x:row>
    <x:row r="917">
      <x:c r="A917" s="9" t="str">
        <x:v>EV-AR-RT-B-C-TECH-3-B2-BRK-G0-RW07</x:v>
      </x:c>
      <x:c r="B917" s="9" t="str">
        <x:v>EV-AR-RT-B-C-TECH-3-B2-BRK-G0</x:v>
      </x:c>
      <x:c r="C917" s="9" t="str">
        <x:v>AR-RT-B-C-TECH-3-B2-BRK-G0</x:v>
      </x:c>
      <x:c r="D917" s="9" t="str">
        <x:v>RT-B-C-TECH-3</x:v>
      </x:c>
      <x:c r="E917" s="9" t="str">
        <x:v>RT-B-C</x:v>
      </x:c>
      <x:c r="F917" s="9" t="str">
        <x:v>B2</x:v>
      </x:c>
      <x:c r="G917" s="9" t="str">
        <x:v>BRK</x:v>
      </x:c>
      <x:c r="H917" s="9" t="str">
        <x:v>RW07</x:v>
      </x:c>
      <x:c r="I917" s="17" t="str">
        <x:v>Candidate interface telemetry</x:v>
      </x:c>
      <x:c r="J917" s="17" t="str">
        <x:v>Interface custodian</x:v>
      </x:c>
      <x:c r="K917" s="17" t="str">
        <x:v>Public custody A</x:v>
      </x:c>
      <x:c r="L917" s="9" t="n">
        <x:v>0</x:v>
      </x:c>
      <x:c r="M917" s="9" t="n">
        <x:v>0</x:v>
      </x:c>
      <x:c r="N917" s="9" t="n">
        <x:v>0</x:v>
      </x:c>
      <x:c r="O917" s="9" t="n">
        <x:v>0</x:v>
      </x:c>
      <x:c r="P917" s="9" t="str">
        <x:v>UNSEALED / SOURCE-EMPTY</x:v>
      </x:c>
      <x:c r="Q917" s="9" t="n">
        <x:f>COUNTIFS($A$7:$A$1158,A917)</x:f>
        <x:v>1</x:v>
      </x:c>
    </x:row>
    <x:row r="918">
      <x:c r="A918" s="9" t="str">
        <x:v>EV-AR-RT-B-C-TECH-3-B2-BRK-G0-RW08</x:v>
      </x:c>
      <x:c r="B918" s="9" t="str">
        <x:v>EV-AR-RT-B-C-TECH-3-B2-BRK-G0</x:v>
      </x:c>
      <x:c r="C918" s="9" t="str">
        <x:v>AR-RT-B-C-TECH-3-B2-BRK-G0</x:v>
      </x:c>
      <x:c r="D918" s="9" t="str">
        <x:v>RT-B-C-TECH-3</x:v>
      </x:c>
      <x:c r="E918" s="9" t="str">
        <x:v>RT-B-C</x:v>
      </x:c>
      <x:c r="F918" s="9" t="str">
        <x:v>B2</x:v>
      </x:c>
      <x:c r="G918" s="9" t="str">
        <x:v>BRK</x:v>
      </x:c>
      <x:c r="H918" s="9" t="str">
        <x:v>RW08</x:v>
      </x:c>
      <x:c r="I918" s="17" t="str">
        <x:v>Residual and physical evidence</x:v>
      </x:c>
      <x:c r="J918" s="17" t="str">
        <x:v>Residual authority</x:v>
      </x:c>
      <x:c r="K918" s="17" t="str">
        <x:v>Public custody B</x:v>
      </x:c>
      <x:c r="L918" s="9" t="n">
        <x:v>0</x:v>
      </x:c>
      <x:c r="M918" s="9" t="n">
        <x:v>0</x:v>
      </x:c>
      <x:c r="N918" s="9" t="n">
        <x:v>0</x:v>
      </x:c>
      <x:c r="O918" s="9" t="n">
        <x:v>0</x:v>
      </x:c>
      <x:c r="P918" s="9" t="str">
        <x:v>UNSEALED / SOURCE-EMPTY</x:v>
      </x:c>
      <x:c r="Q918" s="9" t="n">
        <x:f>COUNTIFS($A$7:$A$1158,A918)</x:f>
        <x:v>1</x:v>
      </x:c>
    </x:row>
    <x:row r="919">
      <x:c r="A919" s="9" t="str">
        <x:v>EV-AR-CT-C-B-TECH-1-B2-BRK-G0-RW01</x:v>
      </x:c>
      <x:c r="B919" s="9" t="str">
        <x:v>EV-AR-CT-C-B-TECH-1-B2-BRK-G0</x:v>
      </x:c>
      <x:c r="C919" s="9" t="str">
        <x:v>AR-CT-C-B-TECH-1-B2-BRK-G0</x:v>
      </x:c>
      <x:c r="D919" s="9" t="str">
        <x:v>CT-C-B-TECH-1</x:v>
      </x:c>
      <x:c r="E919" s="9" t="str">
        <x:v>CT-C-B</x:v>
      </x:c>
      <x:c r="F919" s="9" t="str">
        <x:v>B2</x:v>
      </x:c>
      <x:c r="G919" s="9" t="str">
        <x:v>BRK</x:v>
      </x:c>
      <x:c r="H919" s="9" t="str">
        <x:v>RW01</x:v>
      </x:c>
      <x:c r="I919" s="17" t="str">
        <x:v>Primary raw stream</x:v>
      </x:c>
      <x:c r="J919" s="17" t="str">
        <x:v>Primary metrology</x:v>
      </x:c>
      <x:c r="K919" s="17" t="str">
        <x:v>Public custody A</x:v>
      </x:c>
      <x:c r="L919" s="9" t="n">
        <x:v>0</x:v>
      </x:c>
      <x:c r="M919" s="9" t="n">
        <x:v>0</x:v>
      </x:c>
      <x:c r="N919" s="9" t="n">
        <x:v>0</x:v>
      </x:c>
      <x:c r="O919" s="9" t="n">
        <x:v>0</x:v>
      </x:c>
      <x:c r="P919" s="9" t="str">
        <x:v>UNSEALED / SOURCE-EMPTY</x:v>
      </x:c>
      <x:c r="Q919" s="9" t="n">
        <x:f>COUNTIFS($A$7:$A$1158,A919)</x:f>
        <x:v>1</x:v>
      </x:c>
    </x:row>
    <x:row r="920">
      <x:c r="A920" s="9" t="str">
        <x:v>EV-AR-CT-C-B-TECH-1-B2-BRK-G0-RW02</x:v>
      </x:c>
      <x:c r="B920" s="9" t="str">
        <x:v>EV-AR-CT-C-B-TECH-1-B2-BRK-G0</x:v>
      </x:c>
      <x:c r="C920" s="9" t="str">
        <x:v>AR-CT-C-B-TECH-1-B2-BRK-G0</x:v>
      </x:c>
      <x:c r="D920" s="9" t="str">
        <x:v>CT-C-B-TECH-1</x:v>
      </x:c>
      <x:c r="E920" s="9" t="str">
        <x:v>CT-C-B</x:v>
      </x:c>
      <x:c r="F920" s="9" t="str">
        <x:v>B2</x:v>
      </x:c>
      <x:c r="G920" s="9" t="str">
        <x:v>BRK</x:v>
      </x:c>
      <x:c r="H920" s="9" t="str">
        <x:v>RW02</x:v>
      </x:c>
      <x:c r="I920" s="17" t="str">
        <x:v>Unlike witness stream</x:v>
      </x:c>
      <x:c r="J920" s="17" t="str">
        <x:v>Witness metrology</x:v>
      </x:c>
      <x:c r="K920" s="17" t="str">
        <x:v>Public custody B</x:v>
      </x:c>
      <x:c r="L920" s="9" t="n">
        <x:v>0</x:v>
      </x:c>
      <x:c r="M920" s="9" t="n">
        <x:v>0</x:v>
      </x:c>
      <x:c r="N920" s="9" t="n">
        <x:v>0</x:v>
      </x:c>
      <x:c r="O920" s="9" t="n">
        <x:v>0</x:v>
      </x:c>
      <x:c r="P920" s="9" t="str">
        <x:v>UNSEALED / SOURCE-EMPTY</x:v>
      </x:c>
      <x:c r="Q920" s="9" t="n">
        <x:f>COUNTIFS($A$7:$A$1158,A920)</x:f>
        <x:v>1</x:v>
      </x:c>
    </x:row>
    <x:row r="921">
      <x:c r="A921" s="9" t="str">
        <x:v>EV-AR-CT-C-B-TECH-1-B2-BRK-G0-RW03</x:v>
      </x:c>
      <x:c r="B921" s="9" t="str">
        <x:v>EV-AR-CT-C-B-TECH-1-B2-BRK-G0</x:v>
      </x:c>
      <x:c r="C921" s="9" t="str">
        <x:v>AR-CT-C-B-TECH-1-B2-BRK-G0</x:v>
      </x:c>
      <x:c r="D921" s="9" t="str">
        <x:v>CT-C-B-TECH-1</x:v>
      </x:c>
      <x:c r="E921" s="9" t="str">
        <x:v>CT-C-B</x:v>
      </x:c>
      <x:c r="F921" s="9" t="str">
        <x:v>B2</x:v>
      </x:c>
      <x:c r="G921" s="9" t="str">
        <x:v>BRK</x:v>
      </x:c>
      <x:c r="H921" s="9" t="str">
        <x:v>RW03</x:v>
      </x:c>
      <x:c r="I921" s="17" t="str">
        <x:v>Event clock and start traces</x:v>
      </x:c>
      <x:c r="J921" s="17" t="str">
        <x:v>Event clock authority</x:v>
      </x:c>
      <x:c r="K921" s="17" t="str">
        <x:v>Public custody C</x:v>
      </x:c>
      <x:c r="L921" s="9" t="n">
        <x:v>0</x:v>
      </x:c>
      <x:c r="M921" s="9" t="n">
        <x:v>0</x:v>
      </x:c>
      <x:c r="N921" s="9" t="n">
        <x:v>0</x:v>
      </x:c>
      <x:c r="O921" s="9" t="n">
        <x:v>0</x:v>
      </x:c>
      <x:c r="P921" s="9" t="str">
        <x:v>UNSEALED / SOURCE-EMPTY</x:v>
      </x:c>
      <x:c r="Q921" s="9" t="n">
        <x:f>COUNTIFS($A$7:$A$1158,A921)</x:f>
        <x:v>1</x:v>
      </x:c>
    </x:row>
    <x:row r="922">
      <x:c r="A922" s="9" t="str">
        <x:v>EV-AR-CT-C-B-TECH-1-B2-BRK-G0-RW04</x:v>
      </x:c>
      <x:c r="B922" s="9" t="str">
        <x:v>EV-AR-CT-C-B-TECH-1-B2-BRK-G0</x:v>
      </x:c>
      <x:c r="C922" s="9" t="str">
        <x:v>AR-CT-C-B-TECH-1-B2-BRK-G0</x:v>
      </x:c>
      <x:c r="D922" s="9" t="str">
        <x:v>CT-C-B-TECH-1</x:v>
      </x:c>
      <x:c r="E922" s="9" t="str">
        <x:v>CT-C-B</x:v>
      </x:c>
      <x:c r="F922" s="9" t="str">
        <x:v>B2</x:v>
      </x:c>
      <x:c r="G922" s="9" t="str">
        <x:v>BRK</x:v>
      </x:c>
      <x:c r="H922" s="9" t="str">
        <x:v>RW04</x:v>
      </x:c>
      <x:c r="I922" s="17" t="str">
        <x:v>Environmental boundary stream</x:v>
      </x:c>
      <x:c r="J922" s="17" t="str">
        <x:v>Site metrology</x:v>
      </x:c>
      <x:c r="K922" s="17" t="str">
        <x:v>Public custody D</x:v>
      </x:c>
      <x:c r="L922" s="9" t="n">
        <x:v>0</x:v>
      </x:c>
      <x:c r="M922" s="9" t="n">
        <x:v>0</x:v>
      </x:c>
      <x:c r="N922" s="9" t="n">
        <x:v>0</x:v>
      </x:c>
      <x:c r="O922" s="9" t="n">
        <x:v>0</x:v>
      </x:c>
      <x:c r="P922" s="9" t="str">
        <x:v>UNSEALED / SOURCE-EMPTY</x:v>
      </x:c>
      <x:c r="Q922" s="9" t="n">
        <x:f>COUNTIFS($A$7:$A$1158,A922)</x:f>
        <x:v>1</x:v>
      </x:c>
    </x:row>
    <x:row r="923">
      <x:c r="A923" s="9" t="str">
        <x:v>EV-AR-CT-C-B-TECH-1-B2-BRK-G0-RW05</x:v>
      </x:c>
      <x:c r="B923" s="9" t="str">
        <x:v>EV-AR-CT-C-B-TECH-1-B2-BRK-G0</x:v>
      </x:c>
      <x:c r="C923" s="9" t="str">
        <x:v>AR-CT-C-B-TECH-1-B2-BRK-G0</x:v>
      </x:c>
      <x:c r="D923" s="9" t="str">
        <x:v>CT-C-B-TECH-1</x:v>
      </x:c>
      <x:c r="E923" s="9" t="str">
        <x:v>CT-C-B</x:v>
      </x:c>
      <x:c r="F923" s="9" t="str">
        <x:v>B2</x:v>
      </x:c>
      <x:c r="G923" s="9" t="str">
        <x:v>BRK</x:v>
      </x:c>
      <x:c r="H923" s="9" t="str">
        <x:v>RW05</x:v>
      </x:c>
      <x:c r="I923" s="17" t="str">
        <x:v>Command and intervention log</x:v>
      </x:c>
      <x:c r="J923" s="17" t="str">
        <x:v>Safety authority</x:v>
      </x:c>
      <x:c r="K923" s="17" t="str">
        <x:v>Public custody E</x:v>
      </x:c>
      <x:c r="L923" s="9" t="n">
        <x:v>0</x:v>
      </x:c>
      <x:c r="M923" s="9" t="n">
        <x:v>0</x:v>
      </x:c>
      <x:c r="N923" s="9" t="n">
        <x:v>0</x:v>
      </x:c>
      <x:c r="O923" s="9" t="n">
        <x:v>0</x:v>
      </x:c>
      <x:c r="P923" s="9" t="str">
        <x:v>UNSEALED / SOURCE-EMPTY</x:v>
      </x:c>
      <x:c r="Q923" s="9" t="n">
        <x:f>COUNTIFS($A$7:$A$1158,A923)</x:f>
        <x:v>1</x:v>
      </x:c>
    </x:row>
    <x:row r="924">
      <x:c r="A924" s="9" t="str">
        <x:v>EV-AR-CT-C-B-TECH-1-B2-BRK-G0-RW06</x:v>
      </x:c>
      <x:c r="B924" s="9" t="str">
        <x:v>EV-AR-CT-C-B-TECH-1-B2-BRK-G0</x:v>
      </x:c>
      <x:c r="C924" s="9" t="str">
        <x:v>AR-CT-C-B-TECH-1-B2-BRK-G0</x:v>
      </x:c>
      <x:c r="D924" s="9" t="str">
        <x:v>CT-C-B-TECH-1</x:v>
      </x:c>
      <x:c r="E924" s="9" t="str">
        <x:v>CT-C-B</x:v>
      </x:c>
      <x:c r="F924" s="9" t="str">
        <x:v>B2</x:v>
      </x:c>
      <x:c r="G924" s="9" t="str">
        <x:v>BRK</x:v>
      </x:c>
      <x:c r="H924" s="9" t="str">
        <x:v>RW06</x:v>
      </x:c>
      <x:c r="I924" s="17" t="str">
        <x:v>Receiver service ledger</x:v>
      </x:c>
      <x:c r="J924" s="17" t="str">
        <x:v>Receiver authority</x:v>
      </x:c>
      <x:c r="K924" s="17" t="str">
        <x:v>Public custody F</x:v>
      </x:c>
      <x:c r="L924" s="9" t="n">
        <x:v>0</x:v>
      </x:c>
      <x:c r="M924" s="9" t="n">
        <x:v>0</x:v>
      </x:c>
      <x:c r="N924" s="9" t="n">
        <x:v>0</x:v>
      </x:c>
      <x:c r="O924" s="9" t="n">
        <x:v>0</x:v>
      </x:c>
      <x:c r="P924" s="9" t="str">
        <x:v>UNSEALED / SOURCE-EMPTY</x:v>
      </x:c>
      <x:c r="Q924" s="9" t="n">
        <x:f>COUNTIFS($A$7:$A$1158,A924)</x:f>
        <x:v>1</x:v>
      </x:c>
    </x:row>
    <x:row r="925">
      <x:c r="A925" s="9" t="str">
        <x:v>EV-AR-CT-C-B-TECH-1-B2-BRK-G0-RW07</x:v>
      </x:c>
      <x:c r="B925" s="9" t="str">
        <x:v>EV-AR-CT-C-B-TECH-1-B2-BRK-G0</x:v>
      </x:c>
      <x:c r="C925" s="9" t="str">
        <x:v>AR-CT-C-B-TECH-1-B2-BRK-G0</x:v>
      </x:c>
      <x:c r="D925" s="9" t="str">
        <x:v>CT-C-B-TECH-1</x:v>
      </x:c>
      <x:c r="E925" s="9" t="str">
        <x:v>CT-C-B</x:v>
      </x:c>
      <x:c r="F925" s="9" t="str">
        <x:v>B2</x:v>
      </x:c>
      <x:c r="G925" s="9" t="str">
        <x:v>BRK</x:v>
      </x:c>
      <x:c r="H925" s="9" t="str">
        <x:v>RW07</x:v>
      </x:c>
      <x:c r="I925" s="17" t="str">
        <x:v>Candidate interface telemetry</x:v>
      </x:c>
      <x:c r="J925" s="17" t="str">
        <x:v>Interface custodian</x:v>
      </x:c>
      <x:c r="K925" s="17" t="str">
        <x:v>Public custody A</x:v>
      </x:c>
      <x:c r="L925" s="9" t="n">
        <x:v>0</x:v>
      </x:c>
      <x:c r="M925" s="9" t="n">
        <x:v>0</x:v>
      </x:c>
      <x:c r="N925" s="9" t="n">
        <x:v>0</x:v>
      </x:c>
      <x:c r="O925" s="9" t="n">
        <x:v>0</x:v>
      </x:c>
      <x:c r="P925" s="9" t="str">
        <x:v>UNSEALED / SOURCE-EMPTY</x:v>
      </x:c>
      <x:c r="Q925" s="9" t="n">
        <x:f>COUNTIFS($A$7:$A$1158,A925)</x:f>
        <x:v>1</x:v>
      </x:c>
    </x:row>
    <x:row r="926">
      <x:c r="A926" s="9" t="str">
        <x:v>EV-AR-CT-C-B-TECH-1-B2-BRK-G0-RW08</x:v>
      </x:c>
      <x:c r="B926" s="9" t="str">
        <x:v>EV-AR-CT-C-B-TECH-1-B2-BRK-G0</x:v>
      </x:c>
      <x:c r="C926" s="9" t="str">
        <x:v>AR-CT-C-B-TECH-1-B2-BRK-G0</x:v>
      </x:c>
      <x:c r="D926" s="9" t="str">
        <x:v>CT-C-B-TECH-1</x:v>
      </x:c>
      <x:c r="E926" s="9" t="str">
        <x:v>CT-C-B</x:v>
      </x:c>
      <x:c r="F926" s="9" t="str">
        <x:v>B2</x:v>
      </x:c>
      <x:c r="G926" s="9" t="str">
        <x:v>BRK</x:v>
      </x:c>
      <x:c r="H926" s="9" t="str">
        <x:v>RW08</x:v>
      </x:c>
      <x:c r="I926" s="17" t="str">
        <x:v>Residual and physical evidence</x:v>
      </x:c>
      <x:c r="J926" s="17" t="str">
        <x:v>Residual authority</x:v>
      </x:c>
      <x:c r="K926" s="17" t="str">
        <x:v>Public custody B</x:v>
      </x:c>
      <x:c r="L926" s="9" t="n">
        <x:v>0</x:v>
      </x:c>
      <x:c r="M926" s="9" t="n">
        <x:v>0</x:v>
      </x:c>
      <x:c r="N926" s="9" t="n">
        <x:v>0</x:v>
      </x:c>
      <x:c r="O926" s="9" t="n">
        <x:v>0</x:v>
      </x:c>
      <x:c r="P926" s="9" t="str">
        <x:v>UNSEALED / SOURCE-EMPTY</x:v>
      </x:c>
      <x:c r="Q926" s="9" t="n">
        <x:f>COUNTIFS($A$7:$A$1158,A926)</x:f>
        <x:v>1</x:v>
      </x:c>
    </x:row>
    <x:row r="927">
      <x:c r="A927" s="9" t="str">
        <x:v>EV-AR-ET-A-A-TECH-2-B2-BRK-G0-RW01</x:v>
      </x:c>
      <x:c r="B927" s="9" t="str">
        <x:v>EV-AR-ET-A-A-TECH-2-B2-BRK-G0</x:v>
      </x:c>
      <x:c r="C927" s="9" t="str">
        <x:v>AR-ET-A-A-TECH-2-B2-BRK-G0</x:v>
      </x:c>
      <x:c r="D927" s="9" t="str">
        <x:v>ET-A-A-TECH-2</x:v>
      </x:c>
      <x:c r="E927" s="9" t="str">
        <x:v>ET-A-A</x:v>
      </x:c>
      <x:c r="F927" s="9" t="str">
        <x:v>B2</x:v>
      </x:c>
      <x:c r="G927" s="9" t="str">
        <x:v>BRK</x:v>
      </x:c>
      <x:c r="H927" s="9" t="str">
        <x:v>RW01</x:v>
      </x:c>
      <x:c r="I927" s="17" t="str">
        <x:v>Primary raw stream</x:v>
      </x:c>
      <x:c r="J927" s="17" t="str">
        <x:v>Primary metrology</x:v>
      </x:c>
      <x:c r="K927" s="17" t="str">
        <x:v>Public custody A</x:v>
      </x:c>
      <x:c r="L927" s="9" t="n">
        <x:v>0</x:v>
      </x:c>
      <x:c r="M927" s="9" t="n">
        <x:v>0</x:v>
      </x:c>
      <x:c r="N927" s="9" t="n">
        <x:v>0</x:v>
      </x:c>
      <x:c r="O927" s="9" t="n">
        <x:v>0</x:v>
      </x:c>
      <x:c r="P927" s="9" t="str">
        <x:v>UNSEALED / SOURCE-EMPTY</x:v>
      </x:c>
      <x:c r="Q927" s="9" t="n">
        <x:f>COUNTIFS($A$7:$A$1158,A927)</x:f>
        <x:v>1</x:v>
      </x:c>
    </x:row>
    <x:row r="928">
      <x:c r="A928" s="9" t="str">
        <x:v>EV-AR-ET-A-A-TECH-2-B2-BRK-G0-RW02</x:v>
      </x:c>
      <x:c r="B928" s="9" t="str">
        <x:v>EV-AR-ET-A-A-TECH-2-B2-BRK-G0</x:v>
      </x:c>
      <x:c r="C928" s="9" t="str">
        <x:v>AR-ET-A-A-TECH-2-B2-BRK-G0</x:v>
      </x:c>
      <x:c r="D928" s="9" t="str">
        <x:v>ET-A-A-TECH-2</x:v>
      </x:c>
      <x:c r="E928" s="9" t="str">
        <x:v>ET-A-A</x:v>
      </x:c>
      <x:c r="F928" s="9" t="str">
        <x:v>B2</x:v>
      </x:c>
      <x:c r="G928" s="9" t="str">
        <x:v>BRK</x:v>
      </x:c>
      <x:c r="H928" s="9" t="str">
        <x:v>RW02</x:v>
      </x:c>
      <x:c r="I928" s="17" t="str">
        <x:v>Unlike witness stream</x:v>
      </x:c>
      <x:c r="J928" s="17" t="str">
        <x:v>Witness metrology</x:v>
      </x:c>
      <x:c r="K928" s="17" t="str">
        <x:v>Public custody B</x:v>
      </x:c>
      <x:c r="L928" s="9" t="n">
        <x:v>0</x:v>
      </x:c>
      <x:c r="M928" s="9" t="n">
        <x:v>0</x:v>
      </x:c>
      <x:c r="N928" s="9" t="n">
        <x:v>0</x:v>
      </x:c>
      <x:c r="O928" s="9" t="n">
        <x:v>0</x:v>
      </x:c>
      <x:c r="P928" s="9" t="str">
        <x:v>UNSEALED / SOURCE-EMPTY</x:v>
      </x:c>
      <x:c r="Q928" s="9" t="n">
        <x:f>COUNTIFS($A$7:$A$1158,A928)</x:f>
        <x:v>1</x:v>
      </x:c>
    </x:row>
    <x:row r="929">
      <x:c r="A929" s="9" t="str">
        <x:v>EV-AR-ET-A-A-TECH-2-B2-BRK-G0-RW03</x:v>
      </x:c>
      <x:c r="B929" s="9" t="str">
        <x:v>EV-AR-ET-A-A-TECH-2-B2-BRK-G0</x:v>
      </x:c>
      <x:c r="C929" s="9" t="str">
        <x:v>AR-ET-A-A-TECH-2-B2-BRK-G0</x:v>
      </x:c>
      <x:c r="D929" s="9" t="str">
        <x:v>ET-A-A-TECH-2</x:v>
      </x:c>
      <x:c r="E929" s="9" t="str">
        <x:v>ET-A-A</x:v>
      </x:c>
      <x:c r="F929" s="9" t="str">
        <x:v>B2</x:v>
      </x:c>
      <x:c r="G929" s="9" t="str">
        <x:v>BRK</x:v>
      </x:c>
      <x:c r="H929" s="9" t="str">
        <x:v>RW03</x:v>
      </x:c>
      <x:c r="I929" s="17" t="str">
        <x:v>Event clock and start traces</x:v>
      </x:c>
      <x:c r="J929" s="17" t="str">
        <x:v>Event clock authority</x:v>
      </x:c>
      <x:c r="K929" s="17" t="str">
        <x:v>Public custody C</x:v>
      </x:c>
      <x:c r="L929" s="9" t="n">
        <x:v>0</x:v>
      </x:c>
      <x:c r="M929" s="9" t="n">
        <x:v>0</x:v>
      </x:c>
      <x:c r="N929" s="9" t="n">
        <x:v>0</x:v>
      </x:c>
      <x:c r="O929" s="9" t="n">
        <x:v>0</x:v>
      </x:c>
      <x:c r="P929" s="9" t="str">
        <x:v>UNSEALED / SOURCE-EMPTY</x:v>
      </x:c>
      <x:c r="Q929" s="9" t="n">
        <x:f>COUNTIFS($A$7:$A$1158,A929)</x:f>
        <x:v>1</x:v>
      </x:c>
    </x:row>
    <x:row r="930">
      <x:c r="A930" s="9" t="str">
        <x:v>EV-AR-ET-A-A-TECH-2-B2-BRK-G0-RW04</x:v>
      </x:c>
      <x:c r="B930" s="9" t="str">
        <x:v>EV-AR-ET-A-A-TECH-2-B2-BRK-G0</x:v>
      </x:c>
      <x:c r="C930" s="9" t="str">
        <x:v>AR-ET-A-A-TECH-2-B2-BRK-G0</x:v>
      </x:c>
      <x:c r="D930" s="9" t="str">
        <x:v>ET-A-A-TECH-2</x:v>
      </x:c>
      <x:c r="E930" s="9" t="str">
        <x:v>ET-A-A</x:v>
      </x:c>
      <x:c r="F930" s="9" t="str">
        <x:v>B2</x:v>
      </x:c>
      <x:c r="G930" s="9" t="str">
        <x:v>BRK</x:v>
      </x:c>
      <x:c r="H930" s="9" t="str">
        <x:v>RW04</x:v>
      </x:c>
      <x:c r="I930" s="17" t="str">
        <x:v>Environmental boundary stream</x:v>
      </x:c>
      <x:c r="J930" s="17" t="str">
        <x:v>Site metrology</x:v>
      </x:c>
      <x:c r="K930" s="17" t="str">
        <x:v>Public custody D</x:v>
      </x:c>
      <x:c r="L930" s="9" t="n">
        <x:v>0</x:v>
      </x:c>
      <x:c r="M930" s="9" t="n">
        <x:v>0</x:v>
      </x:c>
      <x:c r="N930" s="9" t="n">
        <x:v>0</x:v>
      </x:c>
      <x:c r="O930" s="9" t="n">
        <x:v>0</x:v>
      </x:c>
      <x:c r="P930" s="9" t="str">
        <x:v>UNSEALED / SOURCE-EMPTY</x:v>
      </x:c>
      <x:c r="Q930" s="9" t="n">
        <x:f>COUNTIFS($A$7:$A$1158,A930)</x:f>
        <x:v>1</x:v>
      </x:c>
    </x:row>
    <x:row r="931">
      <x:c r="A931" s="9" t="str">
        <x:v>EV-AR-ET-A-A-TECH-2-B2-BRK-G0-RW05</x:v>
      </x:c>
      <x:c r="B931" s="9" t="str">
        <x:v>EV-AR-ET-A-A-TECH-2-B2-BRK-G0</x:v>
      </x:c>
      <x:c r="C931" s="9" t="str">
        <x:v>AR-ET-A-A-TECH-2-B2-BRK-G0</x:v>
      </x:c>
      <x:c r="D931" s="9" t="str">
        <x:v>ET-A-A-TECH-2</x:v>
      </x:c>
      <x:c r="E931" s="9" t="str">
        <x:v>ET-A-A</x:v>
      </x:c>
      <x:c r="F931" s="9" t="str">
        <x:v>B2</x:v>
      </x:c>
      <x:c r="G931" s="9" t="str">
        <x:v>BRK</x:v>
      </x:c>
      <x:c r="H931" s="9" t="str">
        <x:v>RW05</x:v>
      </x:c>
      <x:c r="I931" s="17" t="str">
        <x:v>Command and intervention log</x:v>
      </x:c>
      <x:c r="J931" s="17" t="str">
        <x:v>Safety authority</x:v>
      </x:c>
      <x:c r="K931" s="17" t="str">
        <x:v>Public custody E</x:v>
      </x:c>
      <x:c r="L931" s="9" t="n">
        <x:v>0</x:v>
      </x:c>
      <x:c r="M931" s="9" t="n">
        <x:v>0</x:v>
      </x:c>
      <x:c r="N931" s="9" t="n">
        <x:v>0</x:v>
      </x:c>
      <x:c r="O931" s="9" t="n">
        <x:v>0</x:v>
      </x:c>
      <x:c r="P931" s="9" t="str">
        <x:v>UNSEALED / SOURCE-EMPTY</x:v>
      </x:c>
      <x:c r="Q931" s="9" t="n">
        <x:f>COUNTIFS($A$7:$A$1158,A931)</x:f>
        <x:v>1</x:v>
      </x:c>
    </x:row>
    <x:row r="932">
      <x:c r="A932" s="9" t="str">
        <x:v>EV-AR-ET-A-A-TECH-2-B2-BRK-G0-RW06</x:v>
      </x:c>
      <x:c r="B932" s="9" t="str">
        <x:v>EV-AR-ET-A-A-TECH-2-B2-BRK-G0</x:v>
      </x:c>
      <x:c r="C932" s="9" t="str">
        <x:v>AR-ET-A-A-TECH-2-B2-BRK-G0</x:v>
      </x:c>
      <x:c r="D932" s="9" t="str">
        <x:v>ET-A-A-TECH-2</x:v>
      </x:c>
      <x:c r="E932" s="9" t="str">
        <x:v>ET-A-A</x:v>
      </x:c>
      <x:c r="F932" s="9" t="str">
        <x:v>B2</x:v>
      </x:c>
      <x:c r="G932" s="9" t="str">
        <x:v>BRK</x:v>
      </x:c>
      <x:c r="H932" s="9" t="str">
        <x:v>RW06</x:v>
      </x:c>
      <x:c r="I932" s="17" t="str">
        <x:v>Receiver service ledger</x:v>
      </x:c>
      <x:c r="J932" s="17" t="str">
        <x:v>Receiver authority</x:v>
      </x:c>
      <x:c r="K932" s="17" t="str">
        <x:v>Public custody F</x:v>
      </x:c>
      <x:c r="L932" s="9" t="n">
        <x:v>0</x:v>
      </x:c>
      <x:c r="M932" s="9" t="n">
        <x:v>0</x:v>
      </x:c>
      <x:c r="N932" s="9" t="n">
        <x:v>0</x:v>
      </x:c>
      <x:c r="O932" s="9" t="n">
        <x:v>0</x:v>
      </x:c>
      <x:c r="P932" s="9" t="str">
        <x:v>UNSEALED / SOURCE-EMPTY</x:v>
      </x:c>
      <x:c r="Q932" s="9" t="n">
        <x:f>COUNTIFS($A$7:$A$1158,A932)</x:f>
        <x:v>1</x:v>
      </x:c>
    </x:row>
    <x:row r="933">
      <x:c r="A933" s="9" t="str">
        <x:v>EV-AR-ET-A-A-TECH-2-B2-BRK-G0-RW07</x:v>
      </x:c>
      <x:c r="B933" s="9" t="str">
        <x:v>EV-AR-ET-A-A-TECH-2-B2-BRK-G0</x:v>
      </x:c>
      <x:c r="C933" s="9" t="str">
        <x:v>AR-ET-A-A-TECH-2-B2-BRK-G0</x:v>
      </x:c>
      <x:c r="D933" s="9" t="str">
        <x:v>ET-A-A-TECH-2</x:v>
      </x:c>
      <x:c r="E933" s="9" t="str">
        <x:v>ET-A-A</x:v>
      </x:c>
      <x:c r="F933" s="9" t="str">
        <x:v>B2</x:v>
      </x:c>
      <x:c r="G933" s="9" t="str">
        <x:v>BRK</x:v>
      </x:c>
      <x:c r="H933" s="9" t="str">
        <x:v>RW07</x:v>
      </x:c>
      <x:c r="I933" s="17" t="str">
        <x:v>Candidate interface telemetry</x:v>
      </x:c>
      <x:c r="J933" s="17" t="str">
        <x:v>Interface custodian</x:v>
      </x:c>
      <x:c r="K933" s="17" t="str">
        <x:v>Public custody A</x:v>
      </x:c>
      <x:c r="L933" s="9" t="n">
        <x:v>0</x:v>
      </x:c>
      <x:c r="M933" s="9" t="n">
        <x:v>0</x:v>
      </x:c>
      <x:c r="N933" s="9" t="n">
        <x:v>0</x:v>
      </x:c>
      <x:c r="O933" s="9" t="n">
        <x:v>0</x:v>
      </x:c>
      <x:c r="P933" s="9" t="str">
        <x:v>UNSEALED / SOURCE-EMPTY</x:v>
      </x:c>
      <x:c r="Q933" s="9" t="n">
        <x:f>COUNTIFS($A$7:$A$1158,A933)</x:f>
        <x:v>1</x:v>
      </x:c>
    </x:row>
    <x:row r="934">
      <x:c r="A934" s="9" t="str">
        <x:v>EV-AR-ET-A-A-TECH-2-B2-BRK-G0-RW08</x:v>
      </x:c>
      <x:c r="B934" s="9" t="str">
        <x:v>EV-AR-ET-A-A-TECH-2-B2-BRK-G0</x:v>
      </x:c>
      <x:c r="C934" s="9" t="str">
        <x:v>AR-ET-A-A-TECH-2-B2-BRK-G0</x:v>
      </x:c>
      <x:c r="D934" s="9" t="str">
        <x:v>ET-A-A-TECH-2</x:v>
      </x:c>
      <x:c r="E934" s="9" t="str">
        <x:v>ET-A-A</x:v>
      </x:c>
      <x:c r="F934" s="9" t="str">
        <x:v>B2</x:v>
      </x:c>
      <x:c r="G934" s="9" t="str">
        <x:v>BRK</x:v>
      </x:c>
      <x:c r="H934" s="9" t="str">
        <x:v>RW08</x:v>
      </x:c>
      <x:c r="I934" s="17" t="str">
        <x:v>Residual and physical evidence</x:v>
      </x:c>
      <x:c r="J934" s="17" t="str">
        <x:v>Residual authority</x:v>
      </x:c>
      <x:c r="K934" s="17" t="str">
        <x:v>Public custody B</x:v>
      </x:c>
      <x:c r="L934" s="9" t="n">
        <x:v>0</x:v>
      </x:c>
      <x:c r="M934" s="9" t="n">
        <x:v>0</x:v>
      </x:c>
      <x:c r="N934" s="9" t="n">
        <x:v>0</x:v>
      </x:c>
      <x:c r="O934" s="9" t="n">
        <x:v>0</x:v>
      </x:c>
      <x:c r="P934" s="9" t="str">
        <x:v>UNSEALED / SOURCE-EMPTY</x:v>
      </x:c>
      <x:c r="Q934" s="9" t="n">
        <x:f>COUNTIFS($A$7:$A$1158,A934)</x:f>
        <x:v>1</x:v>
      </x:c>
    </x:row>
    <x:row r="935">
      <x:c r="A935" s="9" t="str">
        <x:v>EV-AR-HC-A-C-TECH-1-B1-BRK-G0-RW01</x:v>
      </x:c>
      <x:c r="B935" s="9" t="str">
        <x:v>EV-AR-HC-A-C-TECH-1-B1-BRK-G0</x:v>
      </x:c>
      <x:c r="C935" s="9" t="str">
        <x:v>AR-HC-A-C-TECH-1-B1-BRK-G0</x:v>
      </x:c>
      <x:c r="D935" s="9" t="str">
        <x:v>HC-A-C-TECH-1</x:v>
      </x:c>
      <x:c r="E935" s="9" t="str">
        <x:v>HC-A-C</x:v>
      </x:c>
      <x:c r="F935" s="9" t="str">
        <x:v>B1</x:v>
      </x:c>
      <x:c r="G935" s="9" t="str">
        <x:v>BRK</x:v>
      </x:c>
      <x:c r="H935" s="9" t="str">
        <x:v>RW01</x:v>
      </x:c>
      <x:c r="I935" s="17" t="str">
        <x:v>Primary raw stream</x:v>
      </x:c>
      <x:c r="J935" s="17" t="str">
        <x:v>Primary metrology</x:v>
      </x:c>
      <x:c r="K935" s="17" t="str">
        <x:v>Public custody A</x:v>
      </x:c>
      <x:c r="L935" s="9" t="n">
        <x:v>0</x:v>
      </x:c>
      <x:c r="M935" s="9" t="n">
        <x:v>0</x:v>
      </x:c>
      <x:c r="N935" s="9" t="n">
        <x:v>0</x:v>
      </x:c>
      <x:c r="O935" s="9" t="n">
        <x:v>0</x:v>
      </x:c>
      <x:c r="P935" s="9" t="str">
        <x:v>UNSEALED / SOURCE-EMPTY</x:v>
      </x:c>
      <x:c r="Q935" s="9" t="n">
        <x:f>COUNTIFS($A$7:$A$1158,A935)</x:f>
        <x:v>1</x:v>
      </x:c>
    </x:row>
    <x:row r="936">
      <x:c r="A936" s="9" t="str">
        <x:v>EV-AR-HC-A-C-TECH-1-B1-BRK-G0-RW02</x:v>
      </x:c>
      <x:c r="B936" s="9" t="str">
        <x:v>EV-AR-HC-A-C-TECH-1-B1-BRK-G0</x:v>
      </x:c>
      <x:c r="C936" s="9" t="str">
        <x:v>AR-HC-A-C-TECH-1-B1-BRK-G0</x:v>
      </x:c>
      <x:c r="D936" s="9" t="str">
        <x:v>HC-A-C-TECH-1</x:v>
      </x:c>
      <x:c r="E936" s="9" t="str">
        <x:v>HC-A-C</x:v>
      </x:c>
      <x:c r="F936" s="9" t="str">
        <x:v>B1</x:v>
      </x:c>
      <x:c r="G936" s="9" t="str">
        <x:v>BRK</x:v>
      </x:c>
      <x:c r="H936" s="9" t="str">
        <x:v>RW02</x:v>
      </x:c>
      <x:c r="I936" s="17" t="str">
        <x:v>Unlike witness stream</x:v>
      </x:c>
      <x:c r="J936" s="17" t="str">
        <x:v>Witness metrology</x:v>
      </x:c>
      <x:c r="K936" s="17" t="str">
        <x:v>Public custody B</x:v>
      </x:c>
      <x:c r="L936" s="9" t="n">
        <x:v>0</x:v>
      </x:c>
      <x:c r="M936" s="9" t="n">
        <x:v>0</x:v>
      </x:c>
      <x:c r="N936" s="9" t="n">
        <x:v>0</x:v>
      </x:c>
      <x:c r="O936" s="9" t="n">
        <x:v>0</x:v>
      </x:c>
      <x:c r="P936" s="9" t="str">
        <x:v>UNSEALED / SOURCE-EMPTY</x:v>
      </x:c>
      <x:c r="Q936" s="9" t="n">
        <x:f>COUNTIFS($A$7:$A$1158,A936)</x:f>
        <x:v>1</x:v>
      </x:c>
    </x:row>
    <x:row r="937">
      <x:c r="A937" s="9" t="str">
        <x:v>EV-AR-HC-A-C-TECH-1-B1-BRK-G0-RW03</x:v>
      </x:c>
      <x:c r="B937" s="9" t="str">
        <x:v>EV-AR-HC-A-C-TECH-1-B1-BRK-G0</x:v>
      </x:c>
      <x:c r="C937" s="9" t="str">
        <x:v>AR-HC-A-C-TECH-1-B1-BRK-G0</x:v>
      </x:c>
      <x:c r="D937" s="9" t="str">
        <x:v>HC-A-C-TECH-1</x:v>
      </x:c>
      <x:c r="E937" s="9" t="str">
        <x:v>HC-A-C</x:v>
      </x:c>
      <x:c r="F937" s="9" t="str">
        <x:v>B1</x:v>
      </x:c>
      <x:c r="G937" s="9" t="str">
        <x:v>BRK</x:v>
      </x:c>
      <x:c r="H937" s="9" t="str">
        <x:v>RW03</x:v>
      </x:c>
      <x:c r="I937" s="17" t="str">
        <x:v>Event clock and start traces</x:v>
      </x:c>
      <x:c r="J937" s="17" t="str">
        <x:v>Event clock authority</x:v>
      </x:c>
      <x:c r="K937" s="17" t="str">
        <x:v>Public custody C</x:v>
      </x:c>
      <x:c r="L937" s="9" t="n">
        <x:v>0</x:v>
      </x:c>
      <x:c r="M937" s="9" t="n">
        <x:v>0</x:v>
      </x:c>
      <x:c r="N937" s="9" t="n">
        <x:v>0</x:v>
      </x:c>
      <x:c r="O937" s="9" t="n">
        <x:v>0</x:v>
      </x:c>
      <x:c r="P937" s="9" t="str">
        <x:v>UNSEALED / SOURCE-EMPTY</x:v>
      </x:c>
      <x:c r="Q937" s="9" t="n">
        <x:f>COUNTIFS($A$7:$A$1158,A937)</x:f>
        <x:v>1</x:v>
      </x:c>
    </x:row>
    <x:row r="938">
      <x:c r="A938" s="9" t="str">
        <x:v>EV-AR-HC-A-C-TECH-1-B1-BRK-G0-RW04</x:v>
      </x:c>
      <x:c r="B938" s="9" t="str">
        <x:v>EV-AR-HC-A-C-TECH-1-B1-BRK-G0</x:v>
      </x:c>
      <x:c r="C938" s="9" t="str">
        <x:v>AR-HC-A-C-TECH-1-B1-BRK-G0</x:v>
      </x:c>
      <x:c r="D938" s="9" t="str">
        <x:v>HC-A-C-TECH-1</x:v>
      </x:c>
      <x:c r="E938" s="9" t="str">
        <x:v>HC-A-C</x:v>
      </x:c>
      <x:c r="F938" s="9" t="str">
        <x:v>B1</x:v>
      </x:c>
      <x:c r="G938" s="9" t="str">
        <x:v>BRK</x:v>
      </x:c>
      <x:c r="H938" s="9" t="str">
        <x:v>RW04</x:v>
      </x:c>
      <x:c r="I938" s="17" t="str">
        <x:v>Environmental boundary stream</x:v>
      </x:c>
      <x:c r="J938" s="17" t="str">
        <x:v>Site metrology</x:v>
      </x:c>
      <x:c r="K938" s="17" t="str">
        <x:v>Public custody D</x:v>
      </x:c>
      <x:c r="L938" s="9" t="n">
        <x:v>0</x:v>
      </x:c>
      <x:c r="M938" s="9" t="n">
        <x:v>0</x:v>
      </x:c>
      <x:c r="N938" s="9" t="n">
        <x:v>0</x:v>
      </x:c>
      <x:c r="O938" s="9" t="n">
        <x:v>0</x:v>
      </x:c>
      <x:c r="P938" s="9" t="str">
        <x:v>UNSEALED / SOURCE-EMPTY</x:v>
      </x:c>
      <x:c r="Q938" s="9" t="n">
        <x:f>COUNTIFS($A$7:$A$1158,A938)</x:f>
        <x:v>1</x:v>
      </x:c>
    </x:row>
    <x:row r="939">
      <x:c r="A939" s="9" t="str">
        <x:v>EV-AR-HC-A-C-TECH-1-B1-BRK-G0-RW05</x:v>
      </x:c>
      <x:c r="B939" s="9" t="str">
        <x:v>EV-AR-HC-A-C-TECH-1-B1-BRK-G0</x:v>
      </x:c>
      <x:c r="C939" s="9" t="str">
        <x:v>AR-HC-A-C-TECH-1-B1-BRK-G0</x:v>
      </x:c>
      <x:c r="D939" s="9" t="str">
        <x:v>HC-A-C-TECH-1</x:v>
      </x:c>
      <x:c r="E939" s="9" t="str">
        <x:v>HC-A-C</x:v>
      </x:c>
      <x:c r="F939" s="9" t="str">
        <x:v>B1</x:v>
      </x:c>
      <x:c r="G939" s="9" t="str">
        <x:v>BRK</x:v>
      </x:c>
      <x:c r="H939" s="9" t="str">
        <x:v>RW05</x:v>
      </x:c>
      <x:c r="I939" s="17" t="str">
        <x:v>Command and intervention log</x:v>
      </x:c>
      <x:c r="J939" s="17" t="str">
        <x:v>Safety authority</x:v>
      </x:c>
      <x:c r="K939" s="17" t="str">
        <x:v>Public custody E</x:v>
      </x:c>
      <x:c r="L939" s="9" t="n">
        <x:v>0</x:v>
      </x:c>
      <x:c r="M939" s="9" t="n">
        <x:v>0</x:v>
      </x:c>
      <x:c r="N939" s="9" t="n">
        <x:v>0</x:v>
      </x:c>
      <x:c r="O939" s="9" t="n">
        <x:v>0</x:v>
      </x:c>
      <x:c r="P939" s="9" t="str">
        <x:v>UNSEALED / SOURCE-EMPTY</x:v>
      </x:c>
      <x:c r="Q939" s="9" t="n">
        <x:f>COUNTIFS($A$7:$A$1158,A939)</x:f>
        <x:v>1</x:v>
      </x:c>
    </x:row>
    <x:row r="940">
      <x:c r="A940" s="9" t="str">
        <x:v>EV-AR-HC-A-C-TECH-1-B1-BRK-G0-RW06</x:v>
      </x:c>
      <x:c r="B940" s="9" t="str">
        <x:v>EV-AR-HC-A-C-TECH-1-B1-BRK-G0</x:v>
      </x:c>
      <x:c r="C940" s="9" t="str">
        <x:v>AR-HC-A-C-TECH-1-B1-BRK-G0</x:v>
      </x:c>
      <x:c r="D940" s="9" t="str">
        <x:v>HC-A-C-TECH-1</x:v>
      </x:c>
      <x:c r="E940" s="9" t="str">
        <x:v>HC-A-C</x:v>
      </x:c>
      <x:c r="F940" s="9" t="str">
        <x:v>B1</x:v>
      </x:c>
      <x:c r="G940" s="9" t="str">
        <x:v>BRK</x:v>
      </x:c>
      <x:c r="H940" s="9" t="str">
        <x:v>RW06</x:v>
      </x:c>
      <x:c r="I940" s="17" t="str">
        <x:v>Receiver service ledger</x:v>
      </x:c>
      <x:c r="J940" s="17" t="str">
        <x:v>Receiver authority</x:v>
      </x:c>
      <x:c r="K940" s="17" t="str">
        <x:v>Public custody F</x:v>
      </x:c>
      <x:c r="L940" s="9" t="n">
        <x:v>0</x:v>
      </x:c>
      <x:c r="M940" s="9" t="n">
        <x:v>0</x:v>
      </x:c>
      <x:c r="N940" s="9" t="n">
        <x:v>0</x:v>
      </x:c>
      <x:c r="O940" s="9" t="n">
        <x:v>0</x:v>
      </x:c>
      <x:c r="P940" s="9" t="str">
        <x:v>UNSEALED / SOURCE-EMPTY</x:v>
      </x:c>
      <x:c r="Q940" s="9" t="n">
        <x:f>COUNTIFS($A$7:$A$1158,A940)</x:f>
        <x:v>1</x:v>
      </x:c>
    </x:row>
    <x:row r="941">
      <x:c r="A941" s="9" t="str">
        <x:v>EV-AR-HC-A-C-TECH-1-B1-BRK-G0-RW07</x:v>
      </x:c>
      <x:c r="B941" s="9" t="str">
        <x:v>EV-AR-HC-A-C-TECH-1-B1-BRK-G0</x:v>
      </x:c>
      <x:c r="C941" s="9" t="str">
        <x:v>AR-HC-A-C-TECH-1-B1-BRK-G0</x:v>
      </x:c>
      <x:c r="D941" s="9" t="str">
        <x:v>HC-A-C-TECH-1</x:v>
      </x:c>
      <x:c r="E941" s="9" t="str">
        <x:v>HC-A-C</x:v>
      </x:c>
      <x:c r="F941" s="9" t="str">
        <x:v>B1</x:v>
      </x:c>
      <x:c r="G941" s="9" t="str">
        <x:v>BRK</x:v>
      </x:c>
      <x:c r="H941" s="9" t="str">
        <x:v>RW07</x:v>
      </x:c>
      <x:c r="I941" s="17" t="str">
        <x:v>Candidate interface telemetry</x:v>
      </x:c>
      <x:c r="J941" s="17" t="str">
        <x:v>Interface custodian</x:v>
      </x:c>
      <x:c r="K941" s="17" t="str">
        <x:v>Public custody A</x:v>
      </x:c>
      <x:c r="L941" s="9" t="n">
        <x:v>0</x:v>
      </x:c>
      <x:c r="M941" s="9" t="n">
        <x:v>0</x:v>
      </x:c>
      <x:c r="N941" s="9" t="n">
        <x:v>0</x:v>
      </x:c>
      <x:c r="O941" s="9" t="n">
        <x:v>0</x:v>
      </x:c>
      <x:c r="P941" s="9" t="str">
        <x:v>UNSEALED / SOURCE-EMPTY</x:v>
      </x:c>
      <x:c r="Q941" s="9" t="n">
        <x:f>COUNTIFS($A$7:$A$1158,A941)</x:f>
        <x:v>1</x:v>
      </x:c>
    </x:row>
    <x:row r="942">
      <x:c r="A942" s="9" t="str">
        <x:v>EV-AR-HC-A-C-TECH-1-B1-BRK-G0-RW08</x:v>
      </x:c>
      <x:c r="B942" s="9" t="str">
        <x:v>EV-AR-HC-A-C-TECH-1-B1-BRK-G0</x:v>
      </x:c>
      <x:c r="C942" s="9" t="str">
        <x:v>AR-HC-A-C-TECH-1-B1-BRK-G0</x:v>
      </x:c>
      <x:c r="D942" s="9" t="str">
        <x:v>HC-A-C-TECH-1</x:v>
      </x:c>
      <x:c r="E942" s="9" t="str">
        <x:v>HC-A-C</x:v>
      </x:c>
      <x:c r="F942" s="9" t="str">
        <x:v>B1</x:v>
      </x:c>
      <x:c r="G942" s="9" t="str">
        <x:v>BRK</x:v>
      </x:c>
      <x:c r="H942" s="9" t="str">
        <x:v>RW08</x:v>
      </x:c>
      <x:c r="I942" s="17" t="str">
        <x:v>Residual and physical evidence</x:v>
      </x:c>
      <x:c r="J942" s="17" t="str">
        <x:v>Residual authority</x:v>
      </x:c>
      <x:c r="K942" s="17" t="str">
        <x:v>Public custody B</x:v>
      </x:c>
      <x:c r="L942" s="9" t="n">
        <x:v>0</x:v>
      </x:c>
      <x:c r="M942" s="9" t="n">
        <x:v>0</x:v>
      </x:c>
      <x:c r="N942" s="9" t="n">
        <x:v>0</x:v>
      </x:c>
      <x:c r="O942" s="9" t="n">
        <x:v>0</x:v>
      </x:c>
      <x:c r="P942" s="9" t="str">
        <x:v>UNSEALED / SOURCE-EMPTY</x:v>
      </x:c>
      <x:c r="Q942" s="9" t="n">
        <x:f>COUNTIFS($A$7:$A$1158,A942)</x:f>
        <x:v>1</x:v>
      </x:c>
    </x:row>
    <x:row r="943">
      <x:c r="A943" s="9" t="str">
        <x:v>EV-AR-HU-A-B-TECH-3-B1-RCN-G0-RW01</x:v>
      </x:c>
      <x:c r="B943" s="9" t="str">
        <x:v>EV-AR-HU-A-B-TECH-3-B1-RCN-G0</x:v>
      </x:c>
      <x:c r="C943" s="9" t="str">
        <x:v>AR-HU-A-B-TECH-3-B1-RCN-G0</x:v>
      </x:c>
      <x:c r="D943" s="9" t="str">
        <x:v>HU-A-B-TECH-3</x:v>
      </x:c>
      <x:c r="E943" s="9" t="str">
        <x:v>HU-A-B</x:v>
      </x:c>
      <x:c r="F943" s="9" t="str">
        <x:v>B1</x:v>
      </x:c>
      <x:c r="G943" s="9" t="str">
        <x:v>RCN</x:v>
      </x:c>
      <x:c r="H943" s="9" t="str">
        <x:v>RW01</x:v>
      </x:c>
      <x:c r="I943" s="17" t="str">
        <x:v>Primary raw stream</x:v>
      </x:c>
      <x:c r="J943" s="17" t="str">
        <x:v>Primary metrology</x:v>
      </x:c>
      <x:c r="K943" s="17" t="str">
        <x:v>Public custody A</x:v>
      </x:c>
      <x:c r="L943" s="9" t="n">
        <x:v>0</x:v>
      </x:c>
      <x:c r="M943" s="9" t="n">
        <x:v>0</x:v>
      </x:c>
      <x:c r="N943" s="9" t="n">
        <x:v>0</x:v>
      </x:c>
      <x:c r="O943" s="9" t="n">
        <x:v>0</x:v>
      </x:c>
      <x:c r="P943" s="9" t="str">
        <x:v>UNSEALED / SOURCE-EMPTY</x:v>
      </x:c>
      <x:c r="Q943" s="9" t="n">
        <x:f>COUNTIFS($A$7:$A$1158,A943)</x:f>
        <x:v>1</x:v>
      </x:c>
    </x:row>
    <x:row r="944">
      <x:c r="A944" s="9" t="str">
        <x:v>EV-AR-HU-A-B-TECH-3-B1-RCN-G0-RW02</x:v>
      </x:c>
      <x:c r="B944" s="9" t="str">
        <x:v>EV-AR-HU-A-B-TECH-3-B1-RCN-G0</x:v>
      </x:c>
      <x:c r="C944" s="9" t="str">
        <x:v>AR-HU-A-B-TECH-3-B1-RCN-G0</x:v>
      </x:c>
      <x:c r="D944" s="9" t="str">
        <x:v>HU-A-B-TECH-3</x:v>
      </x:c>
      <x:c r="E944" s="9" t="str">
        <x:v>HU-A-B</x:v>
      </x:c>
      <x:c r="F944" s="9" t="str">
        <x:v>B1</x:v>
      </x:c>
      <x:c r="G944" s="9" t="str">
        <x:v>RCN</x:v>
      </x:c>
      <x:c r="H944" s="9" t="str">
        <x:v>RW02</x:v>
      </x:c>
      <x:c r="I944" s="17" t="str">
        <x:v>Unlike witness stream</x:v>
      </x:c>
      <x:c r="J944" s="17" t="str">
        <x:v>Witness metrology</x:v>
      </x:c>
      <x:c r="K944" s="17" t="str">
        <x:v>Public custody B</x:v>
      </x:c>
      <x:c r="L944" s="9" t="n">
        <x:v>0</x:v>
      </x:c>
      <x:c r="M944" s="9" t="n">
        <x:v>0</x:v>
      </x:c>
      <x:c r="N944" s="9" t="n">
        <x:v>0</x:v>
      </x:c>
      <x:c r="O944" s="9" t="n">
        <x:v>0</x:v>
      </x:c>
      <x:c r="P944" s="9" t="str">
        <x:v>UNSEALED / SOURCE-EMPTY</x:v>
      </x:c>
      <x:c r="Q944" s="9" t="n">
        <x:f>COUNTIFS($A$7:$A$1158,A944)</x:f>
        <x:v>1</x:v>
      </x:c>
    </x:row>
    <x:row r="945">
      <x:c r="A945" s="9" t="str">
        <x:v>EV-AR-HU-A-B-TECH-3-B1-RCN-G0-RW03</x:v>
      </x:c>
      <x:c r="B945" s="9" t="str">
        <x:v>EV-AR-HU-A-B-TECH-3-B1-RCN-G0</x:v>
      </x:c>
      <x:c r="C945" s="9" t="str">
        <x:v>AR-HU-A-B-TECH-3-B1-RCN-G0</x:v>
      </x:c>
      <x:c r="D945" s="9" t="str">
        <x:v>HU-A-B-TECH-3</x:v>
      </x:c>
      <x:c r="E945" s="9" t="str">
        <x:v>HU-A-B</x:v>
      </x:c>
      <x:c r="F945" s="9" t="str">
        <x:v>B1</x:v>
      </x:c>
      <x:c r="G945" s="9" t="str">
        <x:v>RCN</x:v>
      </x:c>
      <x:c r="H945" s="9" t="str">
        <x:v>RW03</x:v>
      </x:c>
      <x:c r="I945" s="17" t="str">
        <x:v>Event clock and start traces</x:v>
      </x:c>
      <x:c r="J945" s="17" t="str">
        <x:v>Event clock authority</x:v>
      </x:c>
      <x:c r="K945" s="17" t="str">
        <x:v>Public custody C</x:v>
      </x:c>
      <x:c r="L945" s="9" t="n">
        <x:v>0</x:v>
      </x:c>
      <x:c r="M945" s="9" t="n">
        <x:v>0</x:v>
      </x:c>
      <x:c r="N945" s="9" t="n">
        <x:v>0</x:v>
      </x:c>
      <x:c r="O945" s="9" t="n">
        <x:v>0</x:v>
      </x:c>
      <x:c r="P945" s="9" t="str">
        <x:v>UNSEALED / SOURCE-EMPTY</x:v>
      </x:c>
      <x:c r="Q945" s="9" t="n">
        <x:f>COUNTIFS($A$7:$A$1158,A945)</x:f>
        <x:v>1</x:v>
      </x:c>
    </x:row>
    <x:row r="946">
      <x:c r="A946" s="9" t="str">
        <x:v>EV-AR-HU-A-B-TECH-3-B1-RCN-G0-RW04</x:v>
      </x:c>
      <x:c r="B946" s="9" t="str">
        <x:v>EV-AR-HU-A-B-TECH-3-B1-RCN-G0</x:v>
      </x:c>
      <x:c r="C946" s="9" t="str">
        <x:v>AR-HU-A-B-TECH-3-B1-RCN-G0</x:v>
      </x:c>
      <x:c r="D946" s="9" t="str">
        <x:v>HU-A-B-TECH-3</x:v>
      </x:c>
      <x:c r="E946" s="9" t="str">
        <x:v>HU-A-B</x:v>
      </x:c>
      <x:c r="F946" s="9" t="str">
        <x:v>B1</x:v>
      </x:c>
      <x:c r="G946" s="9" t="str">
        <x:v>RCN</x:v>
      </x:c>
      <x:c r="H946" s="9" t="str">
        <x:v>RW04</x:v>
      </x:c>
      <x:c r="I946" s="17" t="str">
        <x:v>Environmental boundary stream</x:v>
      </x:c>
      <x:c r="J946" s="17" t="str">
        <x:v>Site metrology</x:v>
      </x:c>
      <x:c r="K946" s="17" t="str">
        <x:v>Public custody D</x:v>
      </x:c>
      <x:c r="L946" s="9" t="n">
        <x:v>0</x:v>
      </x:c>
      <x:c r="M946" s="9" t="n">
        <x:v>0</x:v>
      </x:c>
      <x:c r="N946" s="9" t="n">
        <x:v>0</x:v>
      </x:c>
      <x:c r="O946" s="9" t="n">
        <x:v>0</x:v>
      </x:c>
      <x:c r="P946" s="9" t="str">
        <x:v>UNSEALED / SOURCE-EMPTY</x:v>
      </x:c>
      <x:c r="Q946" s="9" t="n">
        <x:f>COUNTIFS($A$7:$A$1158,A946)</x:f>
        <x:v>1</x:v>
      </x:c>
    </x:row>
    <x:row r="947">
      <x:c r="A947" s="9" t="str">
        <x:v>EV-AR-HU-A-B-TECH-3-B1-RCN-G0-RW05</x:v>
      </x:c>
      <x:c r="B947" s="9" t="str">
        <x:v>EV-AR-HU-A-B-TECH-3-B1-RCN-G0</x:v>
      </x:c>
      <x:c r="C947" s="9" t="str">
        <x:v>AR-HU-A-B-TECH-3-B1-RCN-G0</x:v>
      </x:c>
      <x:c r="D947" s="9" t="str">
        <x:v>HU-A-B-TECH-3</x:v>
      </x:c>
      <x:c r="E947" s="9" t="str">
        <x:v>HU-A-B</x:v>
      </x:c>
      <x:c r="F947" s="9" t="str">
        <x:v>B1</x:v>
      </x:c>
      <x:c r="G947" s="9" t="str">
        <x:v>RCN</x:v>
      </x:c>
      <x:c r="H947" s="9" t="str">
        <x:v>RW05</x:v>
      </x:c>
      <x:c r="I947" s="17" t="str">
        <x:v>Command and intervention log</x:v>
      </x:c>
      <x:c r="J947" s="17" t="str">
        <x:v>Safety authority</x:v>
      </x:c>
      <x:c r="K947" s="17" t="str">
        <x:v>Public custody E</x:v>
      </x:c>
      <x:c r="L947" s="9" t="n">
        <x:v>0</x:v>
      </x:c>
      <x:c r="M947" s="9" t="n">
        <x:v>0</x:v>
      </x:c>
      <x:c r="N947" s="9" t="n">
        <x:v>0</x:v>
      </x:c>
      <x:c r="O947" s="9" t="n">
        <x:v>0</x:v>
      </x:c>
      <x:c r="P947" s="9" t="str">
        <x:v>UNSEALED / SOURCE-EMPTY</x:v>
      </x:c>
      <x:c r="Q947" s="9" t="n">
        <x:f>COUNTIFS($A$7:$A$1158,A947)</x:f>
        <x:v>1</x:v>
      </x:c>
    </x:row>
    <x:row r="948">
      <x:c r="A948" s="9" t="str">
        <x:v>EV-AR-HU-A-B-TECH-3-B1-RCN-G0-RW06</x:v>
      </x:c>
      <x:c r="B948" s="9" t="str">
        <x:v>EV-AR-HU-A-B-TECH-3-B1-RCN-G0</x:v>
      </x:c>
      <x:c r="C948" s="9" t="str">
        <x:v>AR-HU-A-B-TECH-3-B1-RCN-G0</x:v>
      </x:c>
      <x:c r="D948" s="9" t="str">
        <x:v>HU-A-B-TECH-3</x:v>
      </x:c>
      <x:c r="E948" s="9" t="str">
        <x:v>HU-A-B</x:v>
      </x:c>
      <x:c r="F948" s="9" t="str">
        <x:v>B1</x:v>
      </x:c>
      <x:c r="G948" s="9" t="str">
        <x:v>RCN</x:v>
      </x:c>
      <x:c r="H948" s="9" t="str">
        <x:v>RW06</x:v>
      </x:c>
      <x:c r="I948" s="17" t="str">
        <x:v>Receiver service ledger</x:v>
      </x:c>
      <x:c r="J948" s="17" t="str">
        <x:v>Receiver authority</x:v>
      </x:c>
      <x:c r="K948" s="17" t="str">
        <x:v>Public custody F</x:v>
      </x:c>
      <x:c r="L948" s="9" t="n">
        <x:v>0</x:v>
      </x:c>
      <x:c r="M948" s="9" t="n">
        <x:v>0</x:v>
      </x:c>
      <x:c r="N948" s="9" t="n">
        <x:v>0</x:v>
      </x:c>
      <x:c r="O948" s="9" t="n">
        <x:v>0</x:v>
      </x:c>
      <x:c r="P948" s="9" t="str">
        <x:v>UNSEALED / SOURCE-EMPTY</x:v>
      </x:c>
      <x:c r="Q948" s="9" t="n">
        <x:f>COUNTIFS($A$7:$A$1158,A948)</x:f>
        <x:v>1</x:v>
      </x:c>
    </x:row>
    <x:row r="949">
      <x:c r="A949" s="9" t="str">
        <x:v>EV-AR-HU-A-B-TECH-3-B1-RCN-G0-RW07</x:v>
      </x:c>
      <x:c r="B949" s="9" t="str">
        <x:v>EV-AR-HU-A-B-TECH-3-B1-RCN-G0</x:v>
      </x:c>
      <x:c r="C949" s="9" t="str">
        <x:v>AR-HU-A-B-TECH-3-B1-RCN-G0</x:v>
      </x:c>
      <x:c r="D949" s="9" t="str">
        <x:v>HU-A-B-TECH-3</x:v>
      </x:c>
      <x:c r="E949" s="9" t="str">
        <x:v>HU-A-B</x:v>
      </x:c>
      <x:c r="F949" s="9" t="str">
        <x:v>B1</x:v>
      </x:c>
      <x:c r="G949" s="9" t="str">
        <x:v>RCN</x:v>
      </x:c>
      <x:c r="H949" s="9" t="str">
        <x:v>RW07</x:v>
      </x:c>
      <x:c r="I949" s="17" t="str">
        <x:v>Candidate interface telemetry</x:v>
      </x:c>
      <x:c r="J949" s="17" t="str">
        <x:v>Interface custodian</x:v>
      </x:c>
      <x:c r="K949" s="17" t="str">
        <x:v>Public custody A</x:v>
      </x:c>
      <x:c r="L949" s="9" t="n">
        <x:v>0</x:v>
      </x:c>
      <x:c r="M949" s="9" t="n">
        <x:v>0</x:v>
      </x:c>
      <x:c r="N949" s="9" t="n">
        <x:v>0</x:v>
      </x:c>
      <x:c r="O949" s="9" t="n">
        <x:v>0</x:v>
      </x:c>
      <x:c r="P949" s="9" t="str">
        <x:v>UNSEALED / SOURCE-EMPTY</x:v>
      </x:c>
      <x:c r="Q949" s="9" t="n">
        <x:f>COUNTIFS($A$7:$A$1158,A949)</x:f>
        <x:v>1</x:v>
      </x:c>
    </x:row>
    <x:row r="950">
      <x:c r="A950" s="9" t="str">
        <x:v>EV-AR-HU-A-B-TECH-3-B1-RCN-G0-RW08</x:v>
      </x:c>
      <x:c r="B950" s="9" t="str">
        <x:v>EV-AR-HU-A-B-TECH-3-B1-RCN-G0</x:v>
      </x:c>
      <x:c r="C950" s="9" t="str">
        <x:v>AR-HU-A-B-TECH-3-B1-RCN-G0</x:v>
      </x:c>
      <x:c r="D950" s="9" t="str">
        <x:v>HU-A-B-TECH-3</x:v>
      </x:c>
      <x:c r="E950" s="9" t="str">
        <x:v>HU-A-B</x:v>
      </x:c>
      <x:c r="F950" s="9" t="str">
        <x:v>B1</x:v>
      </x:c>
      <x:c r="G950" s="9" t="str">
        <x:v>RCN</x:v>
      </x:c>
      <x:c r="H950" s="9" t="str">
        <x:v>RW08</x:v>
      </x:c>
      <x:c r="I950" s="17" t="str">
        <x:v>Residual and physical evidence</x:v>
      </x:c>
      <x:c r="J950" s="17" t="str">
        <x:v>Residual authority</x:v>
      </x:c>
      <x:c r="K950" s="17" t="str">
        <x:v>Public custody B</x:v>
      </x:c>
      <x:c r="L950" s="9" t="n">
        <x:v>0</x:v>
      </x:c>
      <x:c r="M950" s="9" t="n">
        <x:v>0</x:v>
      </x:c>
      <x:c r="N950" s="9" t="n">
        <x:v>0</x:v>
      </x:c>
      <x:c r="O950" s="9" t="n">
        <x:v>0</x:v>
      </x:c>
      <x:c r="P950" s="9" t="str">
        <x:v>UNSEALED / SOURCE-EMPTY</x:v>
      </x:c>
      <x:c r="Q950" s="9" t="n">
        <x:f>COUNTIFS($A$7:$A$1158,A950)</x:f>
        <x:v>1</x:v>
      </x:c>
    </x:row>
    <x:row r="951">
      <x:c r="A951" s="9" t="str">
        <x:v>EV-AR-LF-B-A-TECH-1-B2-INT-G0-RW01</x:v>
      </x:c>
      <x:c r="B951" s="9" t="str">
        <x:v>EV-AR-LF-B-A-TECH-1-B2-INT-G0</x:v>
      </x:c>
      <x:c r="C951" s="9" t="str">
        <x:v>AR-LF-B-A-TECH-1-B2-INT-G0</x:v>
      </x:c>
      <x:c r="D951" s="9" t="str">
        <x:v>LF-B-A-TECH-1</x:v>
      </x:c>
      <x:c r="E951" s="9" t="str">
        <x:v>LF-B-A</x:v>
      </x:c>
      <x:c r="F951" s="9" t="str">
        <x:v>B2</x:v>
      </x:c>
      <x:c r="G951" s="9" t="str">
        <x:v>INT</x:v>
      </x:c>
      <x:c r="H951" s="9" t="str">
        <x:v>RW01</x:v>
      </x:c>
      <x:c r="I951" s="17" t="str">
        <x:v>Primary raw stream</x:v>
      </x:c>
      <x:c r="J951" s="17" t="str">
        <x:v>Primary metrology</x:v>
      </x:c>
      <x:c r="K951" s="17" t="str">
        <x:v>Public custody A</x:v>
      </x:c>
      <x:c r="L951" s="9" t="n">
        <x:v>0</x:v>
      </x:c>
      <x:c r="M951" s="9" t="n">
        <x:v>0</x:v>
      </x:c>
      <x:c r="N951" s="9" t="n">
        <x:v>0</x:v>
      </x:c>
      <x:c r="O951" s="9" t="n">
        <x:v>0</x:v>
      </x:c>
      <x:c r="P951" s="9" t="str">
        <x:v>UNSEALED / SOURCE-EMPTY</x:v>
      </x:c>
      <x:c r="Q951" s="9" t="n">
        <x:f>COUNTIFS($A$7:$A$1158,A951)</x:f>
        <x:v>1</x:v>
      </x:c>
    </x:row>
    <x:row r="952">
      <x:c r="A952" s="9" t="str">
        <x:v>EV-AR-LF-B-A-TECH-1-B2-INT-G0-RW02</x:v>
      </x:c>
      <x:c r="B952" s="9" t="str">
        <x:v>EV-AR-LF-B-A-TECH-1-B2-INT-G0</x:v>
      </x:c>
      <x:c r="C952" s="9" t="str">
        <x:v>AR-LF-B-A-TECH-1-B2-INT-G0</x:v>
      </x:c>
      <x:c r="D952" s="9" t="str">
        <x:v>LF-B-A-TECH-1</x:v>
      </x:c>
      <x:c r="E952" s="9" t="str">
        <x:v>LF-B-A</x:v>
      </x:c>
      <x:c r="F952" s="9" t="str">
        <x:v>B2</x:v>
      </x:c>
      <x:c r="G952" s="9" t="str">
        <x:v>INT</x:v>
      </x:c>
      <x:c r="H952" s="9" t="str">
        <x:v>RW02</x:v>
      </x:c>
      <x:c r="I952" s="17" t="str">
        <x:v>Unlike witness stream</x:v>
      </x:c>
      <x:c r="J952" s="17" t="str">
        <x:v>Witness metrology</x:v>
      </x:c>
      <x:c r="K952" s="17" t="str">
        <x:v>Public custody B</x:v>
      </x:c>
      <x:c r="L952" s="9" t="n">
        <x:v>0</x:v>
      </x:c>
      <x:c r="M952" s="9" t="n">
        <x:v>0</x:v>
      </x:c>
      <x:c r="N952" s="9" t="n">
        <x:v>0</x:v>
      </x:c>
      <x:c r="O952" s="9" t="n">
        <x:v>0</x:v>
      </x:c>
      <x:c r="P952" s="9" t="str">
        <x:v>UNSEALED / SOURCE-EMPTY</x:v>
      </x:c>
      <x:c r="Q952" s="9" t="n">
        <x:f>COUNTIFS($A$7:$A$1158,A952)</x:f>
        <x:v>1</x:v>
      </x:c>
    </x:row>
    <x:row r="953">
      <x:c r="A953" s="9" t="str">
        <x:v>EV-AR-LF-B-A-TECH-1-B2-INT-G0-RW03</x:v>
      </x:c>
      <x:c r="B953" s="9" t="str">
        <x:v>EV-AR-LF-B-A-TECH-1-B2-INT-G0</x:v>
      </x:c>
      <x:c r="C953" s="9" t="str">
        <x:v>AR-LF-B-A-TECH-1-B2-INT-G0</x:v>
      </x:c>
      <x:c r="D953" s="9" t="str">
        <x:v>LF-B-A-TECH-1</x:v>
      </x:c>
      <x:c r="E953" s="9" t="str">
        <x:v>LF-B-A</x:v>
      </x:c>
      <x:c r="F953" s="9" t="str">
        <x:v>B2</x:v>
      </x:c>
      <x:c r="G953" s="9" t="str">
        <x:v>INT</x:v>
      </x:c>
      <x:c r="H953" s="9" t="str">
        <x:v>RW03</x:v>
      </x:c>
      <x:c r="I953" s="17" t="str">
        <x:v>Event clock and start traces</x:v>
      </x:c>
      <x:c r="J953" s="17" t="str">
        <x:v>Event clock authority</x:v>
      </x:c>
      <x:c r="K953" s="17" t="str">
        <x:v>Public custody C</x:v>
      </x:c>
      <x:c r="L953" s="9" t="n">
        <x:v>0</x:v>
      </x:c>
      <x:c r="M953" s="9" t="n">
        <x:v>0</x:v>
      </x:c>
      <x:c r="N953" s="9" t="n">
        <x:v>0</x:v>
      </x:c>
      <x:c r="O953" s="9" t="n">
        <x:v>0</x:v>
      </x:c>
      <x:c r="P953" s="9" t="str">
        <x:v>UNSEALED / SOURCE-EMPTY</x:v>
      </x:c>
      <x:c r="Q953" s="9" t="n">
        <x:f>COUNTIFS($A$7:$A$1158,A953)</x:f>
        <x:v>1</x:v>
      </x:c>
    </x:row>
    <x:row r="954">
      <x:c r="A954" s="9" t="str">
        <x:v>EV-AR-LF-B-A-TECH-1-B2-INT-G0-RW04</x:v>
      </x:c>
      <x:c r="B954" s="9" t="str">
        <x:v>EV-AR-LF-B-A-TECH-1-B2-INT-G0</x:v>
      </x:c>
      <x:c r="C954" s="9" t="str">
        <x:v>AR-LF-B-A-TECH-1-B2-INT-G0</x:v>
      </x:c>
      <x:c r="D954" s="9" t="str">
        <x:v>LF-B-A-TECH-1</x:v>
      </x:c>
      <x:c r="E954" s="9" t="str">
        <x:v>LF-B-A</x:v>
      </x:c>
      <x:c r="F954" s="9" t="str">
        <x:v>B2</x:v>
      </x:c>
      <x:c r="G954" s="9" t="str">
        <x:v>INT</x:v>
      </x:c>
      <x:c r="H954" s="9" t="str">
        <x:v>RW04</x:v>
      </x:c>
      <x:c r="I954" s="17" t="str">
        <x:v>Environmental boundary stream</x:v>
      </x:c>
      <x:c r="J954" s="17" t="str">
        <x:v>Site metrology</x:v>
      </x:c>
      <x:c r="K954" s="17" t="str">
        <x:v>Public custody D</x:v>
      </x:c>
      <x:c r="L954" s="9" t="n">
        <x:v>0</x:v>
      </x:c>
      <x:c r="M954" s="9" t="n">
        <x:v>0</x:v>
      </x:c>
      <x:c r="N954" s="9" t="n">
        <x:v>0</x:v>
      </x:c>
      <x:c r="O954" s="9" t="n">
        <x:v>0</x:v>
      </x:c>
      <x:c r="P954" s="9" t="str">
        <x:v>UNSEALED / SOURCE-EMPTY</x:v>
      </x:c>
      <x:c r="Q954" s="9" t="n">
        <x:f>COUNTIFS($A$7:$A$1158,A954)</x:f>
        <x:v>1</x:v>
      </x:c>
    </x:row>
    <x:row r="955">
      <x:c r="A955" s="9" t="str">
        <x:v>EV-AR-LF-B-A-TECH-1-B2-INT-G0-RW05</x:v>
      </x:c>
      <x:c r="B955" s="9" t="str">
        <x:v>EV-AR-LF-B-A-TECH-1-B2-INT-G0</x:v>
      </x:c>
      <x:c r="C955" s="9" t="str">
        <x:v>AR-LF-B-A-TECH-1-B2-INT-G0</x:v>
      </x:c>
      <x:c r="D955" s="9" t="str">
        <x:v>LF-B-A-TECH-1</x:v>
      </x:c>
      <x:c r="E955" s="9" t="str">
        <x:v>LF-B-A</x:v>
      </x:c>
      <x:c r="F955" s="9" t="str">
        <x:v>B2</x:v>
      </x:c>
      <x:c r="G955" s="9" t="str">
        <x:v>INT</x:v>
      </x:c>
      <x:c r="H955" s="9" t="str">
        <x:v>RW05</x:v>
      </x:c>
      <x:c r="I955" s="17" t="str">
        <x:v>Command and intervention log</x:v>
      </x:c>
      <x:c r="J955" s="17" t="str">
        <x:v>Safety authority</x:v>
      </x:c>
      <x:c r="K955" s="17" t="str">
        <x:v>Public custody E</x:v>
      </x:c>
      <x:c r="L955" s="9" t="n">
        <x:v>0</x:v>
      </x:c>
      <x:c r="M955" s="9" t="n">
        <x:v>0</x:v>
      </x:c>
      <x:c r="N955" s="9" t="n">
        <x:v>0</x:v>
      </x:c>
      <x:c r="O955" s="9" t="n">
        <x:v>0</x:v>
      </x:c>
      <x:c r="P955" s="9" t="str">
        <x:v>UNSEALED / SOURCE-EMPTY</x:v>
      </x:c>
      <x:c r="Q955" s="9" t="n">
        <x:f>COUNTIFS($A$7:$A$1158,A955)</x:f>
        <x:v>1</x:v>
      </x:c>
    </x:row>
    <x:row r="956">
      <x:c r="A956" s="9" t="str">
        <x:v>EV-AR-LF-B-A-TECH-1-B2-INT-G0-RW06</x:v>
      </x:c>
      <x:c r="B956" s="9" t="str">
        <x:v>EV-AR-LF-B-A-TECH-1-B2-INT-G0</x:v>
      </x:c>
      <x:c r="C956" s="9" t="str">
        <x:v>AR-LF-B-A-TECH-1-B2-INT-G0</x:v>
      </x:c>
      <x:c r="D956" s="9" t="str">
        <x:v>LF-B-A-TECH-1</x:v>
      </x:c>
      <x:c r="E956" s="9" t="str">
        <x:v>LF-B-A</x:v>
      </x:c>
      <x:c r="F956" s="9" t="str">
        <x:v>B2</x:v>
      </x:c>
      <x:c r="G956" s="9" t="str">
        <x:v>INT</x:v>
      </x:c>
      <x:c r="H956" s="9" t="str">
        <x:v>RW06</x:v>
      </x:c>
      <x:c r="I956" s="17" t="str">
        <x:v>Receiver service ledger</x:v>
      </x:c>
      <x:c r="J956" s="17" t="str">
        <x:v>Receiver authority</x:v>
      </x:c>
      <x:c r="K956" s="17" t="str">
        <x:v>Public custody F</x:v>
      </x:c>
      <x:c r="L956" s="9" t="n">
        <x:v>0</x:v>
      </x:c>
      <x:c r="M956" s="9" t="n">
        <x:v>0</x:v>
      </x:c>
      <x:c r="N956" s="9" t="n">
        <x:v>0</x:v>
      </x:c>
      <x:c r="O956" s="9" t="n">
        <x:v>0</x:v>
      </x:c>
      <x:c r="P956" s="9" t="str">
        <x:v>UNSEALED / SOURCE-EMPTY</x:v>
      </x:c>
      <x:c r="Q956" s="9" t="n">
        <x:f>COUNTIFS($A$7:$A$1158,A956)</x:f>
        <x:v>1</x:v>
      </x:c>
    </x:row>
    <x:row r="957">
      <x:c r="A957" s="9" t="str">
        <x:v>EV-AR-LF-B-A-TECH-1-B2-INT-G0-RW07</x:v>
      </x:c>
      <x:c r="B957" s="9" t="str">
        <x:v>EV-AR-LF-B-A-TECH-1-B2-INT-G0</x:v>
      </x:c>
      <x:c r="C957" s="9" t="str">
        <x:v>AR-LF-B-A-TECH-1-B2-INT-G0</x:v>
      </x:c>
      <x:c r="D957" s="9" t="str">
        <x:v>LF-B-A-TECH-1</x:v>
      </x:c>
      <x:c r="E957" s="9" t="str">
        <x:v>LF-B-A</x:v>
      </x:c>
      <x:c r="F957" s="9" t="str">
        <x:v>B2</x:v>
      </x:c>
      <x:c r="G957" s="9" t="str">
        <x:v>INT</x:v>
      </x:c>
      <x:c r="H957" s="9" t="str">
        <x:v>RW07</x:v>
      </x:c>
      <x:c r="I957" s="17" t="str">
        <x:v>Candidate interface telemetry</x:v>
      </x:c>
      <x:c r="J957" s="17" t="str">
        <x:v>Interface custodian</x:v>
      </x:c>
      <x:c r="K957" s="17" t="str">
        <x:v>Public custody A</x:v>
      </x:c>
      <x:c r="L957" s="9" t="n">
        <x:v>0</x:v>
      </x:c>
      <x:c r="M957" s="9" t="n">
        <x:v>0</x:v>
      </x:c>
      <x:c r="N957" s="9" t="n">
        <x:v>0</x:v>
      </x:c>
      <x:c r="O957" s="9" t="n">
        <x:v>0</x:v>
      </x:c>
      <x:c r="P957" s="9" t="str">
        <x:v>UNSEALED / SOURCE-EMPTY</x:v>
      </x:c>
      <x:c r="Q957" s="9" t="n">
        <x:f>COUNTIFS($A$7:$A$1158,A957)</x:f>
        <x:v>1</x:v>
      </x:c>
    </x:row>
    <x:row r="958">
      <x:c r="A958" s="9" t="str">
        <x:v>EV-AR-LF-B-A-TECH-1-B2-INT-G0-RW08</x:v>
      </x:c>
      <x:c r="B958" s="9" t="str">
        <x:v>EV-AR-LF-B-A-TECH-1-B2-INT-G0</x:v>
      </x:c>
      <x:c r="C958" s="9" t="str">
        <x:v>AR-LF-B-A-TECH-1-B2-INT-G0</x:v>
      </x:c>
      <x:c r="D958" s="9" t="str">
        <x:v>LF-B-A-TECH-1</x:v>
      </x:c>
      <x:c r="E958" s="9" t="str">
        <x:v>LF-B-A</x:v>
      </x:c>
      <x:c r="F958" s="9" t="str">
        <x:v>B2</x:v>
      </x:c>
      <x:c r="G958" s="9" t="str">
        <x:v>INT</x:v>
      </x:c>
      <x:c r="H958" s="9" t="str">
        <x:v>RW08</x:v>
      </x:c>
      <x:c r="I958" s="17" t="str">
        <x:v>Residual and physical evidence</x:v>
      </x:c>
      <x:c r="J958" s="17" t="str">
        <x:v>Residual authority</x:v>
      </x:c>
      <x:c r="K958" s="17" t="str">
        <x:v>Public custody B</x:v>
      </x:c>
      <x:c r="L958" s="9" t="n">
        <x:v>0</x:v>
      </x:c>
      <x:c r="M958" s="9" t="n">
        <x:v>0</x:v>
      </x:c>
      <x:c r="N958" s="9" t="n">
        <x:v>0</x:v>
      </x:c>
      <x:c r="O958" s="9" t="n">
        <x:v>0</x:v>
      </x:c>
      <x:c r="P958" s="9" t="str">
        <x:v>UNSEALED / SOURCE-EMPTY</x:v>
      </x:c>
      <x:c r="Q958" s="9" t="n">
        <x:f>COUNTIFS($A$7:$A$1158,A958)</x:f>
        <x:v>1</x:v>
      </x:c>
    </x:row>
    <x:row r="959">
      <x:c r="A959" s="9" t="str">
        <x:v>EV-AR-RT-B-C-TECH-1-B2-RCN-G0-RW01</x:v>
      </x:c>
      <x:c r="B959" s="9" t="str">
        <x:v>EV-AR-RT-B-C-TECH-1-B2-RCN-G0</x:v>
      </x:c>
      <x:c r="C959" s="9" t="str">
        <x:v>AR-RT-B-C-TECH-1-B2-RCN-G0</x:v>
      </x:c>
      <x:c r="D959" s="9" t="str">
        <x:v>RT-B-C-TECH-1</x:v>
      </x:c>
      <x:c r="E959" s="9" t="str">
        <x:v>RT-B-C</x:v>
      </x:c>
      <x:c r="F959" s="9" t="str">
        <x:v>B2</x:v>
      </x:c>
      <x:c r="G959" s="9" t="str">
        <x:v>RCN</x:v>
      </x:c>
      <x:c r="H959" s="9" t="str">
        <x:v>RW01</x:v>
      </x:c>
      <x:c r="I959" s="17" t="str">
        <x:v>Primary raw stream</x:v>
      </x:c>
      <x:c r="J959" s="17" t="str">
        <x:v>Primary metrology</x:v>
      </x:c>
      <x:c r="K959" s="17" t="str">
        <x:v>Public custody A</x:v>
      </x:c>
      <x:c r="L959" s="9" t="n">
        <x:v>0</x:v>
      </x:c>
      <x:c r="M959" s="9" t="n">
        <x:v>0</x:v>
      </x:c>
      <x:c r="N959" s="9" t="n">
        <x:v>0</x:v>
      </x:c>
      <x:c r="O959" s="9" t="n">
        <x:v>0</x:v>
      </x:c>
      <x:c r="P959" s="9" t="str">
        <x:v>UNSEALED / SOURCE-EMPTY</x:v>
      </x:c>
      <x:c r="Q959" s="9" t="n">
        <x:f>COUNTIFS($A$7:$A$1158,A959)</x:f>
        <x:v>1</x:v>
      </x:c>
    </x:row>
    <x:row r="960">
      <x:c r="A960" s="9" t="str">
        <x:v>EV-AR-RT-B-C-TECH-1-B2-RCN-G0-RW02</x:v>
      </x:c>
      <x:c r="B960" s="9" t="str">
        <x:v>EV-AR-RT-B-C-TECH-1-B2-RCN-G0</x:v>
      </x:c>
      <x:c r="C960" s="9" t="str">
        <x:v>AR-RT-B-C-TECH-1-B2-RCN-G0</x:v>
      </x:c>
      <x:c r="D960" s="9" t="str">
        <x:v>RT-B-C-TECH-1</x:v>
      </x:c>
      <x:c r="E960" s="9" t="str">
        <x:v>RT-B-C</x:v>
      </x:c>
      <x:c r="F960" s="9" t="str">
        <x:v>B2</x:v>
      </x:c>
      <x:c r="G960" s="9" t="str">
        <x:v>RCN</x:v>
      </x:c>
      <x:c r="H960" s="9" t="str">
        <x:v>RW02</x:v>
      </x:c>
      <x:c r="I960" s="17" t="str">
        <x:v>Unlike witness stream</x:v>
      </x:c>
      <x:c r="J960" s="17" t="str">
        <x:v>Witness metrology</x:v>
      </x:c>
      <x:c r="K960" s="17" t="str">
        <x:v>Public custody B</x:v>
      </x:c>
      <x:c r="L960" s="9" t="n">
        <x:v>0</x:v>
      </x:c>
      <x:c r="M960" s="9" t="n">
        <x:v>0</x:v>
      </x:c>
      <x:c r="N960" s="9" t="n">
        <x:v>0</x:v>
      </x:c>
      <x:c r="O960" s="9" t="n">
        <x:v>0</x:v>
      </x:c>
      <x:c r="P960" s="9" t="str">
        <x:v>UNSEALED / SOURCE-EMPTY</x:v>
      </x:c>
      <x:c r="Q960" s="9" t="n">
        <x:f>COUNTIFS($A$7:$A$1158,A960)</x:f>
        <x:v>1</x:v>
      </x:c>
    </x:row>
    <x:row r="961">
      <x:c r="A961" s="9" t="str">
        <x:v>EV-AR-RT-B-C-TECH-1-B2-RCN-G0-RW03</x:v>
      </x:c>
      <x:c r="B961" s="9" t="str">
        <x:v>EV-AR-RT-B-C-TECH-1-B2-RCN-G0</x:v>
      </x:c>
      <x:c r="C961" s="9" t="str">
        <x:v>AR-RT-B-C-TECH-1-B2-RCN-G0</x:v>
      </x:c>
      <x:c r="D961" s="9" t="str">
        <x:v>RT-B-C-TECH-1</x:v>
      </x:c>
      <x:c r="E961" s="9" t="str">
        <x:v>RT-B-C</x:v>
      </x:c>
      <x:c r="F961" s="9" t="str">
        <x:v>B2</x:v>
      </x:c>
      <x:c r="G961" s="9" t="str">
        <x:v>RCN</x:v>
      </x:c>
      <x:c r="H961" s="9" t="str">
        <x:v>RW03</x:v>
      </x:c>
      <x:c r="I961" s="17" t="str">
        <x:v>Event clock and start traces</x:v>
      </x:c>
      <x:c r="J961" s="17" t="str">
        <x:v>Event clock authority</x:v>
      </x:c>
      <x:c r="K961" s="17" t="str">
        <x:v>Public custody C</x:v>
      </x:c>
      <x:c r="L961" s="9" t="n">
        <x:v>0</x:v>
      </x:c>
      <x:c r="M961" s="9" t="n">
        <x:v>0</x:v>
      </x:c>
      <x:c r="N961" s="9" t="n">
        <x:v>0</x:v>
      </x:c>
      <x:c r="O961" s="9" t="n">
        <x:v>0</x:v>
      </x:c>
      <x:c r="P961" s="9" t="str">
        <x:v>UNSEALED / SOURCE-EMPTY</x:v>
      </x:c>
      <x:c r="Q961" s="9" t="n">
        <x:f>COUNTIFS($A$7:$A$1158,A961)</x:f>
        <x:v>1</x:v>
      </x:c>
    </x:row>
    <x:row r="962">
      <x:c r="A962" s="9" t="str">
        <x:v>EV-AR-RT-B-C-TECH-1-B2-RCN-G0-RW04</x:v>
      </x:c>
      <x:c r="B962" s="9" t="str">
        <x:v>EV-AR-RT-B-C-TECH-1-B2-RCN-G0</x:v>
      </x:c>
      <x:c r="C962" s="9" t="str">
        <x:v>AR-RT-B-C-TECH-1-B2-RCN-G0</x:v>
      </x:c>
      <x:c r="D962" s="9" t="str">
        <x:v>RT-B-C-TECH-1</x:v>
      </x:c>
      <x:c r="E962" s="9" t="str">
        <x:v>RT-B-C</x:v>
      </x:c>
      <x:c r="F962" s="9" t="str">
        <x:v>B2</x:v>
      </x:c>
      <x:c r="G962" s="9" t="str">
        <x:v>RCN</x:v>
      </x:c>
      <x:c r="H962" s="9" t="str">
        <x:v>RW04</x:v>
      </x:c>
      <x:c r="I962" s="17" t="str">
        <x:v>Environmental boundary stream</x:v>
      </x:c>
      <x:c r="J962" s="17" t="str">
        <x:v>Site metrology</x:v>
      </x:c>
      <x:c r="K962" s="17" t="str">
        <x:v>Public custody D</x:v>
      </x:c>
      <x:c r="L962" s="9" t="n">
        <x:v>0</x:v>
      </x:c>
      <x:c r="M962" s="9" t="n">
        <x:v>0</x:v>
      </x:c>
      <x:c r="N962" s="9" t="n">
        <x:v>0</x:v>
      </x:c>
      <x:c r="O962" s="9" t="n">
        <x:v>0</x:v>
      </x:c>
      <x:c r="P962" s="9" t="str">
        <x:v>UNSEALED / SOURCE-EMPTY</x:v>
      </x:c>
      <x:c r="Q962" s="9" t="n">
        <x:f>COUNTIFS($A$7:$A$1158,A962)</x:f>
        <x:v>1</x:v>
      </x:c>
    </x:row>
    <x:row r="963">
      <x:c r="A963" s="9" t="str">
        <x:v>EV-AR-RT-B-C-TECH-1-B2-RCN-G0-RW05</x:v>
      </x:c>
      <x:c r="B963" s="9" t="str">
        <x:v>EV-AR-RT-B-C-TECH-1-B2-RCN-G0</x:v>
      </x:c>
      <x:c r="C963" s="9" t="str">
        <x:v>AR-RT-B-C-TECH-1-B2-RCN-G0</x:v>
      </x:c>
      <x:c r="D963" s="9" t="str">
        <x:v>RT-B-C-TECH-1</x:v>
      </x:c>
      <x:c r="E963" s="9" t="str">
        <x:v>RT-B-C</x:v>
      </x:c>
      <x:c r="F963" s="9" t="str">
        <x:v>B2</x:v>
      </x:c>
      <x:c r="G963" s="9" t="str">
        <x:v>RCN</x:v>
      </x:c>
      <x:c r="H963" s="9" t="str">
        <x:v>RW05</x:v>
      </x:c>
      <x:c r="I963" s="17" t="str">
        <x:v>Command and intervention log</x:v>
      </x:c>
      <x:c r="J963" s="17" t="str">
        <x:v>Safety authority</x:v>
      </x:c>
      <x:c r="K963" s="17" t="str">
        <x:v>Public custody E</x:v>
      </x:c>
      <x:c r="L963" s="9" t="n">
        <x:v>0</x:v>
      </x:c>
      <x:c r="M963" s="9" t="n">
        <x:v>0</x:v>
      </x:c>
      <x:c r="N963" s="9" t="n">
        <x:v>0</x:v>
      </x:c>
      <x:c r="O963" s="9" t="n">
        <x:v>0</x:v>
      </x:c>
      <x:c r="P963" s="9" t="str">
        <x:v>UNSEALED / SOURCE-EMPTY</x:v>
      </x:c>
      <x:c r="Q963" s="9" t="n">
        <x:f>COUNTIFS($A$7:$A$1158,A963)</x:f>
        <x:v>1</x:v>
      </x:c>
    </x:row>
    <x:row r="964">
      <x:c r="A964" s="9" t="str">
        <x:v>EV-AR-RT-B-C-TECH-1-B2-RCN-G0-RW06</x:v>
      </x:c>
      <x:c r="B964" s="9" t="str">
        <x:v>EV-AR-RT-B-C-TECH-1-B2-RCN-G0</x:v>
      </x:c>
      <x:c r="C964" s="9" t="str">
        <x:v>AR-RT-B-C-TECH-1-B2-RCN-G0</x:v>
      </x:c>
      <x:c r="D964" s="9" t="str">
        <x:v>RT-B-C-TECH-1</x:v>
      </x:c>
      <x:c r="E964" s="9" t="str">
        <x:v>RT-B-C</x:v>
      </x:c>
      <x:c r="F964" s="9" t="str">
        <x:v>B2</x:v>
      </x:c>
      <x:c r="G964" s="9" t="str">
        <x:v>RCN</x:v>
      </x:c>
      <x:c r="H964" s="9" t="str">
        <x:v>RW06</x:v>
      </x:c>
      <x:c r="I964" s="17" t="str">
        <x:v>Receiver service ledger</x:v>
      </x:c>
      <x:c r="J964" s="17" t="str">
        <x:v>Receiver authority</x:v>
      </x:c>
      <x:c r="K964" s="17" t="str">
        <x:v>Public custody F</x:v>
      </x:c>
      <x:c r="L964" s="9" t="n">
        <x:v>0</x:v>
      </x:c>
      <x:c r="M964" s="9" t="n">
        <x:v>0</x:v>
      </x:c>
      <x:c r="N964" s="9" t="n">
        <x:v>0</x:v>
      </x:c>
      <x:c r="O964" s="9" t="n">
        <x:v>0</x:v>
      </x:c>
      <x:c r="P964" s="9" t="str">
        <x:v>UNSEALED / SOURCE-EMPTY</x:v>
      </x:c>
      <x:c r="Q964" s="9" t="n">
        <x:f>COUNTIFS($A$7:$A$1158,A964)</x:f>
        <x:v>1</x:v>
      </x:c>
    </x:row>
    <x:row r="965">
      <x:c r="A965" s="9" t="str">
        <x:v>EV-AR-RT-B-C-TECH-1-B2-RCN-G0-RW07</x:v>
      </x:c>
      <x:c r="B965" s="9" t="str">
        <x:v>EV-AR-RT-B-C-TECH-1-B2-RCN-G0</x:v>
      </x:c>
      <x:c r="C965" s="9" t="str">
        <x:v>AR-RT-B-C-TECH-1-B2-RCN-G0</x:v>
      </x:c>
      <x:c r="D965" s="9" t="str">
        <x:v>RT-B-C-TECH-1</x:v>
      </x:c>
      <x:c r="E965" s="9" t="str">
        <x:v>RT-B-C</x:v>
      </x:c>
      <x:c r="F965" s="9" t="str">
        <x:v>B2</x:v>
      </x:c>
      <x:c r="G965" s="9" t="str">
        <x:v>RCN</x:v>
      </x:c>
      <x:c r="H965" s="9" t="str">
        <x:v>RW07</x:v>
      </x:c>
      <x:c r="I965" s="17" t="str">
        <x:v>Candidate interface telemetry</x:v>
      </x:c>
      <x:c r="J965" s="17" t="str">
        <x:v>Interface custodian</x:v>
      </x:c>
      <x:c r="K965" s="17" t="str">
        <x:v>Public custody A</x:v>
      </x:c>
      <x:c r="L965" s="9" t="n">
        <x:v>0</x:v>
      </x:c>
      <x:c r="M965" s="9" t="n">
        <x:v>0</x:v>
      </x:c>
      <x:c r="N965" s="9" t="n">
        <x:v>0</x:v>
      </x:c>
      <x:c r="O965" s="9" t="n">
        <x:v>0</x:v>
      </x:c>
      <x:c r="P965" s="9" t="str">
        <x:v>UNSEALED / SOURCE-EMPTY</x:v>
      </x:c>
      <x:c r="Q965" s="9" t="n">
        <x:f>COUNTIFS($A$7:$A$1158,A965)</x:f>
        <x:v>1</x:v>
      </x:c>
    </x:row>
    <x:row r="966">
      <x:c r="A966" s="9" t="str">
        <x:v>EV-AR-RT-B-C-TECH-1-B2-RCN-G0-RW08</x:v>
      </x:c>
      <x:c r="B966" s="9" t="str">
        <x:v>EV-AR-RT-B-C-TECH-1-B2-RCN-G0</x:v>
      </x:c>
      <x:c r="C966" s="9" t="str">
        <x:v>AR-RT-B-C-TECH-1-B2-RCN-G0</x:v>
      </x:c>
      <x:c r="D966" s="9" t="str">
        <x:v>RT-B-C-TECH-1</x:v>
      </x:c>
      <x:c r="E966" s="9" t="str">
        <x:v>RT-B-C</x:v>
      </x:c>
      <x:c r="F966" s="9" t="str">
        <x:v>B2</x:v>
      </x:c>
      <x:c r="G966" s="9" t="str">
        <x:v>RCN</x:v>
      </x:c>
      <x:c r="H966" s="9" t="str">
        <x:v>RW08</x:v>
      </x:c>
      <x:c r="I966" s="17" t="str">
        <x:v>Residual and physical evidence</x:v>
      </x:c>
      <x:c r="J966" s="17" t="str">
        <x:v>Residual authority</x:v>
      </x:c>
      <x:c r="K966" s="17" t="str">
        <x:v>Public custody B</x:v>
      </x:c>
      <x:c r="L966" s="9" t="n">
        <x:v>0</x:v>
      </x:c>
      <x:c r="M966" s="9" t="n">
        <x:v>0</x:v>
      </x:c>
      <x:c r="N966" s="9" t="n">
        <x:v>0</x:v>
      </x:c>
      <x:c r="O966" s="9" t="n">
        <x:v>0</x:v>
      </x:c>
      <x:c r="P966" s="9" t="str">
        <x:v>UNSEALED / SOURCE-EMPTY</x:v>
      </x:c>
      <x:c r="Q966" s="9" t="n">
        <x:f>COUNTIFS($A$7:$A$1158,A966)</x:f>
        <x:v>1</x:v>
      </x:c>
    </x:row>
    <x:row r="967">
      <x:c r="A967" s="9" t="str">
        <x:v>EV-AR-CT-C-B-TECH-1-B1-RCN-G0-RW01</x:v>
      </x:c>
      <x:c r="B967" s="9" t="str">
        <x:v>EV-AR-CT-C-B-TECH-1-B1-RCN-G0</x:v>
      </x:c>
      <x:c r="C967" s="9" t="str">
        <x:v>AR-CT-C-B-TECH-1-B1-RCN-G0</x:v>
      </x:c>
      <x:c r="D967" s="9" t="str">
        <x:v>CT-C-B-TECH-1</x:v>
      </x:c>
      <x:c r="E967" s="9" t="str">
        <x:v>CT-C-B</x:v>
      </x:c>
      <x:c r="F967" s="9" t="str">
        <x:v>B1</x:v>
      </x:c>
      <x:c r="G967" s="9" t="str">
        <x:v>RCN</x:v>
      </x:c>
      <x:c r="H967" s="9" t="str">
        <x:v>RW01</x:v>
      </x:c>
      <x:c r="I967" s="17" t="str">
        <x:v>Primary raw stream</x:v>
      </x:c>
      <x:c r="J967" s="17" t="str">
        <x:v>Primary metrology</x:v>
      </x:c>
      <x:c r="K967" s="17" t="str">
        <x:v>Public custody A</x:v>
      </x:c>
      <x:c r="L967" s="9" t="n">
        <x:v>0</x:v>
      </x:c>
      <x:c r="M967" s="9" t="n">
        <x:v>0</x:v>
      </x:c>
      <x:c r="N967" s="9" t="n">
        <x:v>0</x:v>
      </x:c>
      <x:c r="O967" s="9" t="n">
        <x:v>0</x:v>
      </x:c>
      <x:c r="P967" s="9" t="str">
        <x:v>UNSEALED / SOURCE-EMPTY</x:v>
      </x:c>
      <x:c r="Q967" s="9" t="n">
        <x:f>COUNTIFS($A$7:$A$1158,A967)</x:f>
        <x:v>1</x:v>
      </x:c>
    </x:row>
    <x:row r="968">
      <x:c r="A968" s="9" t="str">
        <x:v>EV-AR-CT-C-B-TECH-1-B1-RCN-G0-RW02</x:v>
      </x:c>
      <x:c r="B968" s="9" t="str">
        <x:v>EV-AR-CT-C-B-TECH-1-B1-RCN-G0</x:v>
      </x:c>
      <x:c r="C968" s="9" t="str">
        <x:v>AR-CT-C-B-TECH-1-B1-RCN-G0</x:v>
      </x:c>
      <x:c r="D968" s="9" t="str">
        <x:v>CT-C-B-TECH-1</x:v>
      </x:c>
      <x:c r="E968" s="9" t="str">
        <x:v>CT-C-B</x:v>
      </x:c>
      <x:c r="F968" s="9" t="str">
        <x:v>B1</x:v>
      </x:c>
      <x:c r="G968" s="9" t="str">
        <x:v>RCN</x:v>
      </x:c>
      <x:c r="H968" s="9" t="str">
        <x:v>RW02</x:v>
      </x:c>
      <x:c r="I968" s="17" t="str">
        <x:v>Unlike witness stream</x:v>
      </x:c>
      <x:c r="J968" s="17" t="str">
        <x:v>Witness metrology</x:v>
      </x:c>
      <x:c r="K968" s="17" t="str">
        <x:v>Public custody B</x:v>
      </x:c>
      <x:c r="L968" s="9" t="n">
        <x:v>0</x:v>
      </x:c>
      <x:c r="M968" s="9" t="n">
        <x:v>0</x:v>
      </x:c>
      <x:c r="N968" s="9" t="n">
        <x:v>0</x:v>
      </x:c>
      <x:c r="O968" s="9" t="n">
        <x:v>0</x:v>
      </x:c>
      <x:c r="P968" s="9" t="str">
        <x:v>UNSEALED / SOURCE-EMPTY</x:v>
      </x:c>
      <x:c r="Q968" s="9" t="n">
        <x:f>COUNTIFS($A$7:$A$1158,A968)</x:f>
        <x:v>1</x:v>
      </x:c>
    </x:row>
    <x:row r="969">
      <x:c r="A969" s="9" t="str">
        <x:v>EV-AR-CT-C-B-TECH-1-B1-RCN-G0-RW03</x:v>
      </x:c>
      <x:c r="B969" s="9" t="str">
        <x:v>EV-AR-CT-C-B-TECH-1-B1-RCN-G0</x:v>
      </x:c>
      <x:c r="C969" s="9" t="str">
        <x:v>AR-CT-C-B-TECH-1-B1-RCN-G0</x:v>
      </x:c>
      <x:c r="D969" s="9" t="str">
        <x:v>CT-C-B-TECH-1</x:v>
      </x:c>
      <x:c r="E969" s="9" t="str">
        <x:v>CT-C-B</x:v>
      </x:c>
      <x:c r="F969" s="9" t="str">
        <x:v>B1</x:v>
      </x:c>
      <x:c r="G969" s="9" t="str">
        <x:v>RCN</x:v>
      </x:c>
      <x:c r="H969" s="9" t="str">
        <x:v>RW03</x:v>
      </x:c>
      <x:c r="I969" s="17" t="str">
        <x:v>Event clock and start traces</x:v>
      </x:c>
      <x:c r="J969" s="17" t="str">
        <x:v>Event clock authority</x:v>
      </x:c>
      <x:c r="K969" s="17" t="str">
        <x:v>Public custody C</x:v>
      </x:c>
      <x:c r="L969" s="9" t="n">
        <x:v>0</x:v>
      </x:c>
      <x:c r="M969" s="9" t="n">
        <x:v>0</x:v>
      </x:c>
      <x:c r="N969" s="9" t="n">
        <x:v>0</x:v>
      </x:c>
      <x:c r="O969" s="9" t="n">
        <x:v>0</x:v>
      </x:c>
      <x:c r="P969" s="9" t="str">
        <x:v>UNSEALED / SOURCE-EMPTY</x:v>
      </x:c>
      <x:c r="Q969" s="9" t="n">
        <x:f>COUNTIFS($A$7:$A$1158,A969)</x:f>
        <x:v>1</x:v>
      </x:c>
    </x:row>
    <x:row r="970">
      <x:c r="A970" s="9" t="str">
        <x:v>EV-AR-CT-C-B-TECH-1-B1-RCN-G0-RW04</x:v>
      </x:c>
      <x:c r="B970" s="9" t="str">
        <x:v>EV-AR-CT-C-B-TECH-1-B1-RCN-G0</x:v>
      </x:c>
      <x:c r="C970" s="9" t="str">
        <x:v>AR-CT-C-B-TECH-1-B1-RCN-G0</x:v>
      </x:c>
      <x:c r="D970" s="9" t="str">
        <x:v>CT-C-B-TECH-1</x:v>
      </x:c>
      <x:c r="E970" s="9" t="str">
        <x:v>CT-C-B</x:v>
      </x:c>
      <x:c r="F970" s="9" t="str">
        <x:v>B1</x:v>
      </x:c>
      <x:c r="G970" s="9" t="str">
        <x:v>RCN</x:v>
      </x:c>
      <x:c r="H970" s="9" t="str">
        <x:v>RW04</x:v>
      </x:c>
      <x:c r="I970" s="17" t="str">
        <x:v>Environmental boundary stream</x:v>
      </x:c>
      <x:c r="J970" s="17" t="str">
        <x:v>Site metrology</x:v>
      </x:c>
      <x:c r="K970" s="17" t="str">
        <x:v>Public custody D</x:v>
      </x:c>
      <x:c r="L970" s="9" t="n">
        <x:v>0</x:v>
      </x:c>
      <x:c r="M970" s="9" t="n">
        <x:v>0</x:v>
      </x:c>
      <x:c r="N970" s="9" t="n">
        <x:v>0</x:v>
      </x:c>
      <x:c r="O970" s="9" t="n">
        <x:v>0</x:v>
      </x:c>
      <x:c r="P970" s="9" t="str">
        <x:v>UNSEALED / SOURCE-EMPTY</x:v>
      </x:c>
      <x:c r="Q970" s="9" t="n">
        <x:f>COUNTIFS($A$7:$A$1158,A970)</x:f>
        <x:v>1</x:v>
      </x:c>
    </x:row>
    <x:row r="971">
      <x:c r="A971" s="9" t="str">
        <x:v>EV-AR-CT-C-B-TECH-1-B1-RCN-G0-RW05</x:v>
      </x:c>
      <x:c r="B971" s="9" t="str">
        <x:v>EV-AR-CT-C-B-TECH-1-B1-RCN-G0</x:v>
      </x:c>
      <x:c r="C971" s="9" t="str">
        <x:v>AR-CT-C-B-TECH-1-B1-RCN-G0</x:v>
      </x:c>
      <x:c r="D971" s="9" t="str">
        <x:v>CT-C-B-TECH-1</x:v>
      </x:c>
      <x:c r="E971" s="9" t="str">
        <x:v>CT-C-B</x:v>
      </x:c>
      <x:c r="F971" s="9" t="str">
        <x:v>B1</x:v>
      </x:c>
      <x:c r="G971" s="9" t="str">
        <x:v>RCN</x:v>
      </x:c>
      <x:c r="H971" s="9" t="str">
        <x:v>RW05</x:v>
      </x:c>
      <x:c r="I971" s="17" t="str">
        <x:v>Command and intervention log</x:v>
      </x:c>
      <x:c r="J971" s="17" t="str">
        <x:v>Safety authority</x:v>
      </x:c>
      <x:c r="K971" s="17" t="str">
        <x:v>Public custody E</x:v>
      </x:c>
      <x:c r="L971" s="9" t="n">
        <x:v>0</x:v>
      </x:c>
      <x:c r="M971" s="9" t="n">
        <x:v>0</x:v>
      </x:c>
      <x:c r="N971" s="9" t="n">
        <x:v>0</x:v>
      </x:c>
      <x:c r="O971" s="9" t="n">
        <x:v>0</x:v>
      </x:c>
      <x:c r="P971" s="9" t="str">
        <x:v>UNSEALED / SOURCE-EMPTY</x:v>
      </x:c>
      <x:c r="Q971" s="9" t="n">
        <x:f>COUNTIFS($A$7:$A$1158,A971)</x:f>
        <x:v>1</x:v>
      </x:c>
    </x:row>
    <x:row r="972">
      <x:c r="A972" s="9" t="str">
        <x:v>EV-AR-CT-C-B-TECH-1-B1-RCN-G0-RW06</x:v>
      </x:c>
      <x:c r="B972" s="9" t="str">
        <x:v>EV-AR-CT-C-B-TECH-1-B1-RCN-G0</x:v>
      </x:c>
      <x:c r="C972" s="9" t="str">
        <x:v>AR-CT-C-B-TECH-1-B1-RCN-G0</x:v>
      </x:c>
      <x:c r="D972" s="9" t="str">
        <x:v>CT-C-B-TECH-1</x:v>
      </x:c>
      <x:c r="E972" s="9" t="str">
        <x:v>CT-C-B</x:v>
      </x:c>
      <x:c r="F972" s="9" t="str">
        <x:v>B1</x:v>
      </x:c>
      <x:c r="G972" s="9" t="str">
        <x:v>RCN</x:v>
      </x:c>
      <x:c r="H972" s="9" t="str">
        <x:v>RW06</x:v>
      </x:c>
      <x:c r="I972" s="17" t="str">
        <x:v>Receiver service ledger</x:v>
      </x:c>
      <x:c r="J972" s="17" t="str">
        <x:v>Receiver authority</x:v>
      </x:c>
      <x:c r="K972" s="17" t="str">
        <x:v>Public custody F</x:v>
      </x:c>
      <x:c r="L972" s="9" t="n">
        <x:v>0</x:v>
      </x:c>
      <x:c r="M972" s="9" t="n">
        <x:v>0</x:v>
      </x:c>
      <x:c r="N972" s="9" t="n">
        <x:v>0</x:v>
      </x:c>
      <x:c r="O972" s="9" t="n">
        <x:v>0</x:v>
      </x:c>
      <x:c r="P972" s="9" t="str">
        <x:v>UNSEALED / SOURCE-EMPTY</x:v>
      </x:c>
      <x:c r="Q972" s="9" t="n">
        <x:f>COUNTIFS($A$7:$A$1158,A972)</x:f>
        <x:v>1</x:v>
      </x:c>
    </x:row>
    <x:row r="973">
      <x:c r="A973" s="9" t="str">
        <x:v>EV-AR-CT-C-B-TECH-1-B1-RCN-G0-RW07</x:v>
      </x:c>
      <x:c r="B973" s="9" t="str">
        <x:v>EV-AR-CT-C-B-TECH-1-B1-RCN-G0</x:v>
      </x:c>
      <x:c r="C973" s="9" t="str">
        <x:v>AR-CT-C-B-TECH-1-B1-RCN-G0</x:v>
      </x:c>
      <x:c r="D973" s="9" t="str">
        <x:v>CT-C-B-TECH-1</x:v>
      </x:c>
      <x:c r="E973" s="9" t="str">
        <x:v>CT-C-B</x:v>
      </x:c>
      <x:c r="F973" s="9" t="str">
        <x:v>B1</x:v>
      </x:c>
      <x:c r="G973" s="9" t="str">
        <x:v>RCN</x:v>
      </x:c>
      <x:c r="H973" s="9" t="str">
        <x:v>RW07</x:v>
      </x:c>
      <x:c r="I973" s="17" t="str">
        <x:v>Candidate interface telemetry</x:v>
      </x:c>
      <x:c r="J973" s="17" t="str">
        <x:v>Interface custodian</x:v>
      </x:c>
      <x:c r="K973" s="17" t="str">
        <x:v>Public custody A</x:v>
      </x:c>
      <x:c r="L973" s="9" t="n">
        <x:v>0</x:v>
      </x:c>
      <x:c r="M973" s="9" t="n">
        <x:v>0</x:v>
      </x:c>
      <x:c r="N973" s="9" t="n">
        <x:v>0</x:v>
      </x:c>
      <x:c r="O973" s="9" t="n">
        <x:v>0</x:v>
      </x:c>
      <x:c r="P973" s="9" t="str">
        <x:v>UNSEALED / SOURCE-EMPTY</x:v>
      </x:c>
      <x:c r="Q973" s="9" t="n">
        <x:f>COUNTIFS($A$7:$A$1158,A973)</x:f>
        <x:v>1</x:v>
      </x:c>
    </x:row>
    <x:row r="974">
      <x:c r="A974" s="9" t="str">
        <x:v>EV-AR-CT-C-B-TECH-1-B1-RCN-G0-RW08</x:v>
      </x:c>
      <x:c r="B974" s="9" t="str">
        <x:v>EV-AR-CT-C-B-TECH-1-B1-RCN-G0</x:v>
      </x:c>
      <x:c r="C974" s="9" t="str">
        <x:v>AR-CT-C-B-TECH-1-B1-RCN-G0</x:v>
      </x:c>
      <x:c r="D974" s="9" t="str">
        <x:v>CT-C-B-TECH-1</x:v>
      </x:c>
      <x:c r="E974" s="9" t="str">
        <x:v>CT-C-B</x:v>
      </x:c>
      <x:c r="F974" s="9" t="str">
        <x:v>B1</x:v>
      </x:c>
      <x:c r="G974" s="9" t="str">
        <x:v>RCN</x:v>
      </x:c>
      <x:c r="H974" s="9" t="str">
        <x:v>RW08</x:v>
      </x:c>
      <x:c r="I974" s="17" t="str">
        <x:v>Residual and physical evidence</x:v>
      </x:c>
      <x:c r="J974" s="17" t="str">
        <x:v>Residual authority</x:v>
      </x:c>
      <x:c r="K974" s="17" t="str">
        <x:v>Public custody B</x:v>
      </x:c>
      <x:c r="L974" s="9" t="n">
        <x:v>0</x:v>
      </x:c>
      <x:c r="M974" s="9" t="n">
        <x:v>0</x:v>
      </x:c>
      <x:c r="N974" s="9" t="n">
        <x:v>0</x:v>
      </x:c>
      <x:c r="O974" s="9" t="n">
        <x:v>0</x:v>
      </x:c>
      <x:c r="P974" s="9" t="str">
        <x:v>UNSEALED / SOURCE-EMPTY</x:v>
      </x:c>
      <x:c r="Q974" s="9" t="n">
        <x:f>COUNTIFS($A$7:$A$1158,A974)</x:f>
        <x:v>1</x:v>
      </x:c>
    </x:row>
    <x:row r="975">
      <x:c r="A975" s="9" t="str">
        <x:v>EV-AR-ET-A-A-TECH-4-B1-BRK-G0-RW01</x:v>
      </x:c>
      <x:c r="B975" s="9" t="str">
        <x:v>EV-AR-ET-A-A-TECH-4-B1-BRK-G0</x:v>
      </x:c>
      <x:c r="C975" s="9" t="str">
        <x:v>AR-ET-A-A-TECH-4-B1-BRK-G0</x:v>
      </x:c>
      <x:c r="D975" s="9" t="str">
        <x:v>ET-A-A-TECH-4</x:v>
      </x:c>
      <x:c r="E975" s="9" t="str">
        <x:v>ET-A-A</x:v>
      </x:c>
      <x:c r="F975" s="9" t="str">
        <x:v>B1</x:v>
      </x:c>
      <x:c r="G975" s="9" t="str">
        <x:v>BRK</x:v>
      </x:c>
      <x:c r="H975" s="9" t="str">
        <x:v>RW01</x:v>
      </x:c>
      <x:c r="I975" s="17" t="str">
        <x:v>Primary raw stream</x:v>
      </x:c>
      <x:c r="J975" s="17" t="str">
        <x:v>Primary metrology</x:v>
      </x:c>
      <x:c r="K975" s="17" t="str">
        <x:v>Public custody A</x:v>
      </x:c>
      <x:c r="L975" s="9" t="n">
        <x:v>0</x:v>
      </x:c>
      <x:c r="M975" s="9" t="n">
        <x:v>0</x:v>
      </x:c>
      <x:c r="N975" s="9" t="n">
        <x:v>0</x:v>
      </x:c>
      <x:c r="O975" s="9" t="n">
        <x:v>0</x:v>
      </x:c>
      <x:c r="P975" s="9" t="str">
        <x:v>UNSEALED / SOURCE-EMPTY</x:v>
      </x:c>
      <x:c r="Q975" s="9" t="n">
        <x:f>COUNTIFS($A$7:$A$1158,A975)</x:f>
        <x:v>1</x:v>
      </x:c>
    </x:row>
    <x:row r="976">
      <x:c r="A976" s="9" t="str">
        <x:v>EV-AR-ET-A-A-TECH-4-B1-BRK-G0-RW02</x:v>
      </x:c>
      <x:c r="B976" s="9" t="str">
        <x:v>EV-AR-ET-A-A-TECH-4-B1-BRK-G0</x:v>
      </x:c>
      <x:c r="C976" s="9" t="str">
        <x:v>AR-ET-A-A-TECH-4-B1-BRK-G0</x:v>
      </x:c>
      <x:c r="D976" s="9" t="str">
        <x:v>ET-A-A-TECH-4</x:v>
      </x:c>
      <x:c r="E976" s="9" t="str">
        <x:v>ET-A-A</x:v>
      </x:c>
      <x:c r="F976" s="9" t="str">
        <x:v>B1</x:v>
      </x:c>
      <x:c r="G976" s="9" t="str">
        <x:v>BRK</x:v>
      </x:c>
      <x:c r="H976" s="9" t="str">
        <x:v>RW02</x:v>
      </x:c>
      <x:c r="I976" s="17" t="str">
        <x:v>Unlike witness stream</x:v>
      </x:c>
      <x:c r="J976" s="17" t="str">
        <x:v>Witness metrology</x:v>
      </x:c>
      <x:c r="K976" s="17" t="str">
        <x:v>Public custody B</x:v>
      </x:c>
      <x:c r="L976" s="9" t="n">
        <x:v>0</x:v>
      </x:c>
      <x:c r="M976" s="9" t="n">
        <x:v>0</x:v>
      </x:c>
      <x:c r="N976" s="9" t="n">
        <x:v>0</x:v>
      </x:c>
      <x:c r="O976" s="9" t="n">
        <x:v>0</x:v>
      </x:c>
      <x:c r="P976" s="9" t="str">
        <x:v>UNSEALED / SOURCE-EMPTY</x:v>
      </x:c>
      <x:c r="Q976" s="9" t="n">
        <x:f>COUNTIFS($A$7:$A$1158,A976)</x:f>
        <x:v>1</x:v>
      </x:c>
    </x:row>
    <x:row r="977">
      <x:c r="A977" s="9" t="str">
        <x:v>EV-AR-ET-A-A-TECH-4-B1-BRK-G0-RW03</x:v>
      </x:c>
      <x:c r="B977" s="9" t="str">
        <x:v>EV-AR-ET-A-A-TECH-4-B1-BRK-G0</x:v>
      </x:c>
      <x:c r="C977" s="9" t="str">
        <x:v>AR-ET-A-A-TECH-4-B1-BRK-G0</x:v>
      </x:c>
      <x:c r="D977" s="9" t="str">
        <x:v>ET-A-A-TECH-4</x:v>
      </x:c>
      <x:c r="E977" s="9" t="str">
        <x:v>ET-A-A</x:v>
      </x:c>
      <x:c r="F977" s="9" t="str">
        <x:v>B1</x:v>
      </x:c>
      <x:c r="G977" s="9" t="str">
        <x:v>BRK</x:v>
      </x:c>
      <x:c r="H977" s="9" t="str">
        <x:v>RW03</x:v>
      </x:c>
      <x:c r="I977" s="17" t="str">
        <x:v>Event clock and start traces</x:v>
      </x:c>
      <x:c r="J977" s="17" t="str">
        <x:v>Event clock authority</x:v>
      </x:c>
      <x:c r="K977" s="17" t="str">
        <x:v>Public custody C</x:v>
      </x:c>
      <x:c r="L977" s="9" t="n">
        <x:v>0</x:v>
      </x:c>
      <x:c r="M977" s="9" t="n">
        <x:v>0</x:v>
      </x:c>
      <x:c r="N977" s="9" t="n">
        <x:v>0</x:v>
      </x:c>
      <x:c r="O977" s="9" t="n">
        <x:v>0</x:v>
      </x:c>
      <x:c r="P977" s="9" t="str">
        <x:v>UNSEALED / SOURCE-EMPTY</x:v>
      </x:c>
      <x:c r="Q977" s="9" t="n">
        <x:f>COUNTIFS($A$7:$A$1158,A977)</x:f>
        <x:v>1</x:v>
      </x:c>
    </x:row>
    <x:row r="978">
      <x:c r="A978" s="9" t="str">
        <x:v>EV-AR-ET-A-A-TECH-4-B1-BRK-G0-RW04</x:v>
      </x:c>
      <x:c r="B978" s="9" t="str">
        <x:v>EV-AR-ET-A-A-TECH-4-B1-BRK-G0</x:v>
      </x:c>
      <x:c r="C978" s="9" t="str">
        <x:v>AR-ET-A-A-TECH-4-B1-BRK-G0</x:v>
      </x:c>
      <x:c r="D978" s="9" t="str">
        <x:v>ET-A-A-TECH-4</x:v>
      </x:c>
      <x:c r="E978" s="9" t="str">
        <x:v>ET-A-A</x:v>
      </x:c>
      <x:c r="F978" s="9" t="str">
        <x:v>B1</x:v>
      </x:c>
      <x:c r="G978" s="9" t="str">
        <x:v>BRK</x:v>
      </x:c>
      <x:c r="H978" s="9" t="str">
        <x:v>RW04</x:v>
      </x:c>
      <x:c r="I978" s="17" t="str">
        <x:v>Environmental boundary stream</x:v>
      </x:c>
      <x:c r="J978" s="17" t="str">
        <x:v>Site metrology</x:v>
      </x:c>
      <x:c r="K978" s="17" t="str">
        <x:v>Public custody D</x:v>
      </x:c>
      <x:c r="L978" s="9" t="n">
        <x:v>0</x:v>
      </x:c>
      <x:c r="M978" s="9" t="n">
        <x:v>0</x:v>
      </x:c>
      <x:c r="N978" s="9" t="n">
        <x:v>0</x:v>
      </x:c>
      <x:c r="O978" s="9" t="n">
        <x:v>0</x:v>
      </x:c>
      <x:c r="P978" s="9" t="str">
        <x:v>UNSEALED / SOURCE-EMPTY</x:v>
      </x:c>
      <x:c r="Q978" s="9" t="n">
        <x:f>COUNTIFS($A$7:$A$1158,A978)</x:f>
        <x:v>1</x:v>
      </x:c>
    </x:row>
    <x:row r="979">
      <x:c r="A979" s="9" t="str">
        <x:v>EV-AR-ET-A-A-TECH-4-B1-BRK-G0-RW05</x:v>
      </x:c>
      <x:c r="B979" s="9" t="str">
        <x:v>EV-AR-ET-A-A-TECH-4-B1-BRK-G0</x:v>
      </x:c>
      <x:c r="C979" s="9" t="str">
        <x:v>AR-ET-A-A-TECH-4-B1-BRK-G0</x:v>
      </x:c>
      <x:c r="D979" s="9" t="str">
        <x:v>ET-A-A-TECH-4</x:v>
      </x:c>
      <x:c r="E979" s="9" t="str">
        <x:v>ET-A-A</x:v>
      </x:c>
      <x:c r="F979" s="9" t="str">
        <x:v>B1</x:v>
      </x:c>
      <x:c r="G979" s="9" t="str">
        <x:v>BRK</x:v>
      </x:c>
      <x:c r="H979" s="9" t="str">
        <x:v>RW05</x:v>
      </x:c>
      <x:c r="I979" s="17" t="str">
        <x:v>Command and intervention log</x:v>
      </x:c>
      <x:c r="J979" s="17" t="str">
        <x:v>Safety authority</x:v>
      </x:c>
      <x:c r="K979" s="17" t="str">
        <x:v>Public custody E</x:v>
      </x:c>
      <x:c r="L979" s="9" t="n">
        <x:v>0</x:v>
      </x:c>
      <x:c r="M979" s="9" t="n">
        <x:v>0</x:v>
      </x:c>
      <x:c r="N979" s="9" t="n">
        <x:v>0</x:v>
      </x:c>
      <x:c r="O979" s="9" t="n">
        <x:v>0</x:v>
      </x:c>
      <x:c r="P979" s="9" t="str">
        <x:v>UNSEALED / SOURCE-EMPTY</x:v>
      </x:c>
      <x:c r="Q979" s="9" t="n">
        <x:f>COUNTIFS($A$7:$A$1158,A979)</x:f>
        <x:v>1</x:v>
      </x:c>
    </x:row>
    <x:row r="980">
      <x:c r="A980" s="9" t="str">
        <x:v>EV-AR-ET-A-A-TECH-4-B1-BRK-G0-RW06</x:v>
      </x:c>
      <x:c r="B980" s="9" t="str">
        <x:v>EV-AR-ET-A-A-TECH-4-B1-BRK-G0</x:v>
      </x:c>
      <x:c r="C980" s="9" t="str">
        <x:v>AR-ET-A-A-TECH-4-B1-BRK-G0</x:v>
      </x:c>
      <x:c r="D980" s="9" t="str">
        <x:v>ET-A-A-TECH-4</x:v>
      </x:c>
      <x:c r="E980" s="9" t="str">
        <x:v>ET-A-A</x:v>
      </x:c>
      <x:c r="F980" s="9" t="str">
        <x:v>B1</x:v>
      </x:c>
      <x:c r="G980" s="9" t="str">
        <x:v>BRK</x:v>
      </x:c>
      <x:c r="H980" s="9" t="str">
        <x:v>RW06</x:v>
      </x:c>
      <x:c r="I980" s="17" t="str">
        <x:v>Receiver service ledger</x:v>
      </x:c>
      <x:c r="J980" s="17" t="str">
        <x:v>Receiver authority</x:v>
      </x:c>
      <x:c r="K980" s="17" t="str">
        <x:v>Public custody F</x:v>
      </x:c>
      <x:c r="L980" s="9" t="n">
        <x:v>0</x:v>
      </x:c>
      <x:c r="M980" s="9" t="n">
        <x:v>0</x:v>
      </x:c>
      <x:c r="N980" s="9" t="n">
        <x:v>0</x:v>
      </x:c>
      <x:c r="O980" s="9" t="n">
        <x:v>0</x:v>
      </x:c>
      <x:c r="P980" s="9" t="str">
        <x:v>UNSEALED / SOURCE-EMPTY</x:v>
      </x:c>
      <x:c r="Q980" s="9" t="n">
        <x:f>COUNTIFS($A$7:$A$1158,A980)</x:f>
        <x:v>1</x:v>
      </x:c>
    </x:row>
    <x:row r="981">
      <x:c r="A981" s="9" t="str">
        <x:v>EV-AR-ET-A-A-TECH-4-B1-BRK-G0-RW07</x:v>
      </x:c>
      <x:c r="B981" s="9" t="str">
        <x:v>EV-AR-ET-A-A-TECH-4-B1-BRK-G0</x:v>
      </x:c>
      <x:c r="C981" s="9" t="str">
        <x:v>AR-ET-A-A-TECH-4-B1-BRK-G0</x:v>
      </x:c>
      <x:c r="D981" s="9" t="str">
        <x:v>ET-A-A-TECH-4</x:v>
      </x:c>
      <x:c r="E981" s="9" t="str">
        <x:v>ET-A-A</x:v>
      </x:c>
      <x:c r="F981" s="9" t="str">
        <x:v>B1</x:v>
      </x:c>
      <x:c r="G981" s="9" t="str">
        <x:v>BRK</x:v>
      </x:c>
      <x:c r="H981" s="9" t="str">
        <x:v>RW07</x:v>
      </x:c>
      <x:c r="I981" s="17" t="str">
        <x:v>Candidate interface telemetry</x:v>
      </x:c>
      <x:c r="J981" s="17" t="str">
        <x:v>Interface custodian</x:v>
      </x:c>
      <x:c r="K981" s="17" t="str">
        <x:v>Public custody A</x:v>
      </x:c>
      <x:c r="L981" s="9" t="n">
        <x:v>0</x:v>
      </x:c>
      <x:c r="M981" s="9" t="n">
        <x:v>0</x:v>
      </x:c>
      <x:c r="N981" s="9" t="n">
        <x:v>0</x:v>
      </x:c>
      <x:c r="O981" s="9" t="n">
        <x:v>0</x:v>
      </x:c>
      <x:c r="P981" s="9" t="str">
        <x:v>UNSEALED / SOURCE-EMPTY</x:v>
      </x:c>
      <x:c r="Q981" s="9" t="n">
        <x:f>COUNTIFS($A$7:$A$1158,A981)</x:f>
        <x:v>1</x:v>
      </x:c>
    </x:row>
    <x:row r="982">
      <x:c r="A982" s="9" t="str">
        <x:v>EV-AR-ET-A-A-TECH-4-B1-BRK-G0-RW08</x:v>
      </x:c>
      <x:c r="B982" s="9" t="str">
        <x:v>EV-AR-ET-A-A-TECH-4-B1-BRK-G0</x:v>
      </x:c>
      <x:c r="C982" s="9" t="str">
        <x:v>AR-ET-A-A-TECH-4-B1-BRK-G0</x:v>
      </x:c>
      <x:c r="D982" s="9" t="str">
        <x:v>ET-A-A-TECH-4</x:v>
      </x:c>
      <x:c r="E982" s="9" t="str">
        <x:v>ET-A-A</x:v>
      </x:c>
      <x:c r="F982" s="9" t="str">
        <x:v>B1</x:v>
      </x:c>
      <x:c r="G982" s="9" t="str">
        <x:v>BRK</x:v>
      </x:c>
      <x:c r="H982" s="9" t="str">
        <x:v>RW08</x:v>
      </x:c>
      <x:c r="I982" s="17" t="str">
        <x:v>Residual and physical evidence</x:v>
      </x:c>
      <x:c r="J982" s="17" t="str">
        <x:v>Residual authority</x:v>
      </x:c>
      <x:c r="K982" s="17" t="str">
        <x:v>Public custody B</x:v>
      </x:c>
      <x:c r="L982" s="9" t="n">
        <x:v>0</x:v>
      </x:c>
      <x:c r="M982" s="9" t="n">
        <x:v>0</x:v>
      </x:c>
      <x:c r="N982" s="9" t="n">
        <x:v>0</x:v>
      </x:c>
      <x:c r="O982" s="9" t="n">
        <x:v>0</x:v>
      </x:c>
      <x:c r="P982" s="9" t="str">
        <x:v>UNSEALED / SOURCE-EMPTY</x:v>
      </x:c>
      <x:c r="Q982" s="9" t="n">
        <x:f>COUNTIFS($A$7:$A$1158,A982)</x:f>
        <x:v>1</x:v>
      </x:c>
    </x:row>
    <x:row r="983">
      <x:c r="A983" s="9" t="str">
        <x:v>EV-AR-ET-A-A-TECH-3-B2-BRK-G0-RW01</x:v>
      </x:c>
      <x:c r="B983" s="9" t="str">
        <x:v>EV-AR-ET-A-A-TECH-3-B2-BRK-G0</x:v>
      </x:c>
      <x:c r="C983" s="9" t="str">
        <x:v>AR-ET-A-A-TECH-3-B2-BRK-G0</x:v>
      </x:c>
      <x:c r="D983" s="9" t="str">
        <x:v>ET-A-A-TECH-3</x:v>
      </x:c>
      <x:c r="E983" s="9" t="str">
        <x:v>ET-A-A</x:v>
      </x:c>
      <x:c r="F983" s="9" t="str">
        <x:v>B2</x:v>
      </x:c>
      <x:c r="G983" s="9" t="str">
        <x:v>BRK</x:v>
      </x:c>
      <x:c r="H983" s="9" t="str">
        <x:v>RW01</x:v>
      </x:c>
      <x:c r="I983" s="17" t="str">
        <x:v>Primary raw stream</x:v>
      </x:c>
      <x:c r="J983" s="17" t="str">
        <x:v>Primary metrology</x:v>
      </x:c>
      <x:c r="K983" s="17" t="str">
        <x:v>Public custody A</x:v>
      </x:c>
      <x:c r="L983" s="9" t="n">
        <x:v>0</x:v>
      </x:c>
      <x:c r="M983" s="9" t="n">
        <x:v>0</x:v>
      </x:c>
      <x:c r="N983" s="9" t="n">
        <x:v>0</x:v>
      </x:c>
      <x:c r="O983" s="9" t="n">
        <x:v>0</x:v>
      </x:c>
      <x:c r="P983" s="9" t="str">
        <x:v>UNSEALED / SOURCE-EMPTY</x:v>
      </x:c>
      <x:c r="Q983" s="9" t="n">
        <x:f>COUNTIFS($A$7:$A$1158,A983)</x:f>
        <x:v>1</x:v>
      </x:c>
    </x:row>
    <x:row r="984">
      <x:c r="A984" s="9" t="str">
        <x:v>EV-AR-ET-A-A-TECH-3-B2-BRK-G0-RW02</x:v>
      </x:c>
      <x:c r="B984" s="9" t="str">
        <x:v>EV-AR-ET-A-A-TECH-3-B2-BRK-G0</x:v>
      </x:c>
      <x:c r="C984" s="9" t="str">
        <x:v>AR-ET-A-A-TECH-3-B2-BRK-G0</x:v>
      </x:c>
      <x:c r="D984" s="9" t="str">
        <x:v>ET-A-A-TECH-3</x:v>
      </x:c>
      <x:c r="E984" s="9" t="str">
        <x:v>ET-A-A</x:v>
      </x:c>
      <x:c r="F984" s="9" t="str">
        <x:v>B2</x:v>
      </x:c>
      <x:c r="G984" s="9" t="str">
        <x:v>BRK</x:v>
      </x:c>
      <x:c r="H984" s="9" t="str">
        <x:v>RW02</x:v>
      </x:c>
      <x:c r="I984" s="17" t="str">
        <x:v>Unlike witness stream</x:v>
      </x:c>
      <x:c r="J984" s="17" t="str">
        <x:v>Witness metrology</x:v>
      </x:c>
      <x:c r="K984" s="17" t="str">
        <x:v>Public custody B</x:v>
      </x:c>
      <x:c r="L984" s="9" t="n">
        <x:v>0</x:v>
      </x:c>
      <x:c r="M984" s="9" t="n">
        <x:v>0</x:v>
      </x:c>
      <x:c r="N984" s="9" t="n">
        <x:v>0</x:v>
      </x:c>
      <x:c r="O984" s="9" t="n">
        <x:v>0</x:v>
      </x:c>
      <x:c r="P984" s="9" t="str">
        <x:v>UNSEALED / SOURCE-EMPTY</x:v>
      </x:c>
      <x:c r="Q984" s="9" t="n">
        <x:f>COUNTIFS($A$7:$A$1158,A984)</x:f>
        <x:v>1</x:v>
      </x:c>
    </x:row>
    <x:row r="985">
      <x:c r="A985" s="9" t="str">
        <x:v>EV-AR-ET-A-A-TECH-3-B2-BRK-G0-RW03</x:v>
      </x:c>
      <x:c r="B985" s="9" t="str">
        <x:v>EV-AR-ET-A-A-TECH-3-B2-BRK-G0</x:v>
      </x:c>
      <x:c r="C985" s="9" t="str">
        <x:v>AR-ET-A-A-TECH-3-B2-BRK-G0</x:v>
      </x:c>
      <x:c r="D985" s="9" t="str">
        <x:v>ET-A-A-TECH-3</x:v>
      </x:c>
      <x:c r="E985" s="9" t="str">
        <x:v>ET-A-A</x:v>
      </x:c>
      <x:c r="F985" s="9" t="str">
        <x:v>B2</x:v>
      </x:c>
      <x:c r="G985" s="9" t="str">
        <x:v>BRK</x:v>
      </x:c>
      <x:c r="H985" s="9" t="str">
        <x:v>RW03</x:v>
      </x:c>
      <x:c r="I985" s="17" t="str">
        <x:v>Event clock and start traces</x:v>
      </x:c>
      <x:c r="J985" s="17" t="str">
        <x:v>Event clock authority</x:v>
      </x:c>
      <x:c r="K985" s="17" t="str">
        <x:v>Public custody C</x:v>
      </x:c>
      <x:c r="L985" s="9" t="n">
        <x:v>0</x:v>
      </x:c>
      <x:c r="M985" s="9" t="n">
        <x:v>0</x:v>
      </x:c>
      <x:c r="N985" s="9" t="n">
        <x:v>0</x:v>
      </x:c>
      <x:c r="O985" s="9" t="n">
        <x:v>0</x:v>
      </x:c>
      <x:c r="P985" s="9" t="str">
        <x:v>UNSEALED / SOURCE-EMPTY</x:v>
      </x:c>
      <x:c r="Q985" s="9" t="n">
        <x:f>COUNTIFS($A$7:$A$1158,A985)</x:f>
        <x:v>1</x:v>
      </x:c>
    </x:row>
    <x:row r="986">
      <x:c r="A986" s="9" t="str">
        <x:v>EV-AR-ET-A-A-TECH-3-B2-BRK-G0-RW04</x:v>
      </x:c>
      <x:c r="B986" s="9" t="str">
        <x:v>EV-AR-ET-A-A-TECH-3-B2-BRK-G0</x:v>
      </x:c>
      <x:c r="C986" s="9" t="str">
        <x:v>AR-ET-A-A-TECH-3-B2-BRK-G0</x:v>
      </x:c>
      <x:c r="D986" s="9" t="str">
        <x:v>ET-A-A-TECH-3</x:v>
      </x:c>
      <x:c r="E986" s="9" t="str">
        <x:v>ET-A-A</x:v>
      </x:c>
      <x:c r="F986" s="9" t="str">
        <x:v>B2</x:v>
      </x:c>
      <x:c r="G986" s="9" t="str">
        <x:v>BRK</x:v>
      </x:c>
      <x:c r="H986" s="9" t="str">
        <x:v>RW04</x:v>
      </x:c>
      <x:c r="I986" s="17" t="str">
        <x:v>Environmental boundary stream</x:v>
      </x:c>
      <x:c r="J986" s="17" t="str">
        <x:v>Site metrology</x:v>
      </x:c>
      <x:c r="K986" s="17" t="str">
        <x:v>Public custody D</x:v>
      </x:c>
      <x:c r="L986" s="9" t="n">
        <x:v>0</x:v>
      </x:c>
      <x:c r="M986" s="9" t="n">
        <x:v>0</x:v>
      </x:c>
      <x:c r="N986" s="9" t="n">
        <x:v>0</x:v>
      </x:c>
      <x:c r="O986" s="9" t="n">
        <x:v>0</x:v>
      </x:c>
      <x:c r="P986" s="9" t="str">
        <x:v>UNSEALED / SOURCE-EMPTY</x:v>
      </x:c>
      <x:c r="Q986" s="9" t="n">
        <x:f>COUNTIFS($A$7:$A$1158,A986)</x:f>
        <x:v>1</x:v>
      </x:c>
    </x:row>
    <x:row r="987">
      <x:c r="A987" s="9" t="str">
        <x:v>EV-AR-ET-A-A-TECH-3-B2-BRK-G0-RW05</x:v>
      </x:c>
      <x:c r="B987" s="9" t="str">
        <x:v>EV-AR-ET-A-A-TECH-3-B2-BRK-G0</x:v>
      </x:c>
      <x:c r="C987" s="9" t="str">
        <x:v>AR-ET-A-A-TECH-3-B2-BRK-G0</x:v>
      </x:c>
      <x:c r="D987" s="9" t="str">
        <x:v>ET-A-A-TECH-3</x:v>
      </x:c>
      <x:c r="E987" s="9" t="str">
        <x:v>ET-A-A</x:v>
      </x:c>
      <x:c r="F987" s="9" t="str">
        <x:v>B2</x:v>
      </x:c>
      <x:c r="G987" s="9" t="str">
        <x:v>BRK</x:v>
      </x:c>
      <x:c r="H987" s="9" t="str">
        <x:v>RW05</x:v>
      </x:c>
      <x:c r="I987" s="17" t="str">
        <x:v>Command and intervention log</x:v>
      </x:c>
      <x:c r="J987" s="17" t="str">
        <x:v>Safety authority</x:v>
      </x:c>
      <x:c r="K987" s="17" t="str">
        <x:v>Public custody E</x:v>
      </x:c>
      <x:c r="L987" s="9" t="n">
        <x:v>0</x:v>
      </x:c>
      <x:c r="M987" s="9" t="n">
        <x:v>0</x:v>
      </x:c>
      <x:c r="N987" s="9" t="n">
        <x:v>0</x:v>
      </x:c>
      <x:c r="O987" s="9" t="n">
        <x:v>0</x:v>
      </x:c>
      <x:c r="P987" s="9" t="str">
        <x:v>UNSEALED / SOURCE-EMPTY</x:v>
      </x:c>
      <x:c r="Q987" s="9" t="n">
        <x:f>COUNTIFS($A$7:$A$1158,A987)</x:f>
        <x:v>1</x:v>
      </x:c>
    </x:row>
    <x:row r="988">
      <x:c r="A988" s="9" t="str">
        <x:v>EV-AR-ET-A-A-TECH-3-B2-BRK-G0-RW06</x:v>
      </x:c>
      <x:c r="B988" s="9" t="str">
        <x:v>EV-AR-ET-A-A-TECH-3-B2-BRK-G0</x:v>
      </x:c>
      <x:c r="C988" s="9" t="str">
        <x:v>AR-ET-A-A-TECH-3-B2-BRK-G0</x:v>
      </x:c>
      <x:c r="D988" s="9" t="str">
        <x:v>ET-A-A-TECH-3</x:v>
      </x:c>
      <x:c r="E988" s="9" t="str">
        <x:v>ET-A-A</x:v>
      </x:c>
      <x:c r="F988" s="9" t="str">
        <x:v>B2</x:v>
      </x:c>
      <x:c r="G988" s="9" t="str">
        <x:v>BRK</x:v>
      </x:c>
      <x:c r="H988" s="9" t="str">
        <x:v>RW06</x:v>
      </x:c>
      <x:c r="I988" s="17" t="str">
        <x:v>Receiver service ledger</x:v>
      </x:c>
      <x:c r="J988" s="17" t="str">
        <x:v>Receiver authority</x:v>
      </x:c>
      <x:c r="K988" s="17" t="str">
        <x:v>Public custody F</x:v>
      </x:c>
      <x:c r="L988" s="9" t="n">
        <x:v>0</x:v>
      </x:c>
      <x:c r="M988" s="9" t="n">
        <x:v>0</x:v>
      </x:c>
      <x:c r="N988" s="9" t="n">
        <x:v>0</x:v>
      </x:c>
      <x:c r="O988" s="9" t="n">
        <x:v>0</x:v>
      </x:c>
      <x:c r="P988" s="9" t="str">
        <x:v>UNSEALED / SOURCE-EMPTY</x:v>
      </x:c>
      <x:c r="Q988" s="9" t="n">
        <x:f>COUNTIFS($A$7:$A$1158,A988)</x:f>
        <x:v>1</x:v>
      </x:c>
    </x:row>
    <x:row r="989">
      <x:c r="A989" s="9" t="str">
        <x:v>EV-AR-ET-A-A-TECH-3-B2-BRK-G0-RW07</x:v>
      </x:c>
      <x:c r="B989" s="9" t="str">
        <x:v>EV-AR-ET-A-A-TECH-3-B2-BRK-G0</x:v>
      </x:c>
      <x:c r="C989" s="9" t="str">
        <x:v>AR-ET-A-A-TECH-3-B2-BRK-G0</x:v>
      </x:c>
      <x:c r="D989" s="9" t="str">
        <x:v>ET-A-A-TECH-3</x:v>
      </x:c>
      <x:c r="E989" s="9" t="str">
        <x:v>ET-A-A</x:v>
      </x:c>
      <x:c r="F989" s="9" t="str">
        <x:v>B2</x:v>
      </x:c>
      <x:c r="G989" s="9" t="str">
        <x:v>BRK</x:v>
      </x:c>
      <x:c r="H989" s="9" t="str">
        <x:v>RW07</x:v>
      </x:c>
      <x:c r="I989" s="17" t="str">
        <x:v>Candidate interface telemetry</x:v>
      </x:c>
      <x:c r="J989" s="17" t="str">
        <x:v>Interface custodian</x:v>
      </x:c>
      <x:c r="K989" s="17" t="str">
        <x:v>Public custody A</x:v>
      </x:c>
      <x:c r="L989" s="9" t="n">
        <x:v>0</x:v>
      </x:c>
      <x:c r="M989" s="9" t="n">
        <x:v>0</x:v>
      </x:c>
      <x:c r="N989" s="9" t="n">
        <x:v>0</x:v>
      </x:c>
      <x:c r="O989" s="9" t="n">
        <x:v>0</x:v>
      </x:c>
      <x:c r="P989" s="9" t="str">
        <x:v>UNSEALED / SOURCE-EMPTY</x:v>
      </x:c>
      <x:c r="Q989" s="9" t="n">
        <x:f>COUNTIFS($A$7:$A$1158,A989)</x:f>
        <x:v>1</x:v>
      </x:c>
    </x:row>
    <x:row r="990">
      <x:c r="A990" s="9" t="str">
        <x:v>EV-AR-ET-A-A-TECH-3-B2-BRK-G0-RW08</x:v>
      </x:c>
      <x:c r="B990" s="9" t="str">
        <x:v>EV-AR-ET-A-A-TECH-3-B2-BRK-G0</x:v>
      </x:c>
      <x:c r="C990" s="9" t="str">
        <x:v>AR-ET-A-A-TECH-3-B2-BRK-G0</x:v>
      </x:c>
      <x:c r="D990" s="9" t="str">
        <x:v>ET-A-A-TECH-3</x:v>
      </x:c>
      <x:c r="E990" s="9" t="str">
        <x:v>ET-A-A</x:v>
      </x:c>
      <x:c r="F990" s="9" t="str">
        <x:v>B2</x:v>
      </x:c>
      <x:c r="G990" s="9" t="str">
        <x:v>BRK</x:v>
      </x:c>
      <x:c r="H990" s="9" t="str">
        <x:v>RW08</x:v>
      </x:c>
      <x:c r="I990" s="17" t="str">
        <x:v>Residual and physical evidence</x:v>
      </x:c>
      <x:c r="J990" s="17" t="str">
        <x:v>Residual authority</x:v>
      </x:c>
      <x:c r="K990" s="17" t="str">
        <x:v>Public custody B</x:v>
      </x:c>
      <x:c r="L990" s="9" t="n">
        <x:v>0</x:v>
      </x:c>
      <x:c r="M990" s="9" t="n">
        <x:v>0</x:v>
      </x:c>
      <x:c r="N990" s="9" t="n">
        <x:v>0</x:v>
      </x:c>
      <x:c r="O990" s="9" t="n">
        <x:v>0</x:v>
      </x:c>
      <x:c r="P990" s="9" t="str">
        <x:v>UNSEALED / SOURCE-EMPTY</x:v>
      </x:c>
      <x:c r="Q990" s="9" t="n">
        <x:f>COUNTIFS($A$7:$A$1158,A990)</x:f>
        <x:v>1</x:v>
      </x:c>
    </x:row>
    <x:row r="991">
      <x:c r="A991" s="9" t="str">
        <x:v>EV-AR-HC-A-C-TECH-4-B1-INT-G0-RW01</x:v>
      </x:c>
      <x:c r="B991" s="9" t="str">
        <x:v>EV-AR-HC-A-C-TECH-4-B1-INT-G0</x:v>
      </x:c>
      <x:c r="C991" s="9" t="str">
        <x:v>AR-HC-A-C-TECH-4-B1-INT-G0</x:v>
      </x:c>
      <x:c r="D991" s="9" t="str">
        <x:v>HC-A-C-TECH-4</x:v>
      </x:c>
      <x:c r="E991" s="9" t="str">
        <x:v>HC-A-C</x:v>
      </x:c>
      <x:c r="F991" s="9" t="str">
        <x:v>B1</x:v>
      </x:c>
      <x:c r="G991" s="9" t="str">
        <x:v>INT</x:v>
      </x:c>
      <x:c r="H991" s="9" t="str">
        <x:v>RW01</x:v>
      </x:c>
      <x:c r="I991" s="17" t="str">
        <x:v>Primary raw stream</x:v>
      </x:c>
      <x:c r="J991" s="17" t="str">
        <x:v>Primary metrology</x:v>
      </x:c>
      <x:c r="K991" s="17" t="str">
        <x:v>Public custody A</x:v>
      </x:c>
      <x:c r="L991" s="9" t="n">
        <x:v>0</x:v>
      </x:c>
      <x:c r="M991" s="9" t="n">
        <x:v>0</x:v>
      </x:c>
      <x:c r="N991" s="9" t="n">
        <x:v>0</x:v>
      </x:c>
      <x:c r="O991" s="9" t="n">
        <x:v>0</x:v>
      </x:c>
      <x:c r="P991" s="9" t="str">
        <x:v>UNSEALED / SOURCE-EMPTY</x:v>
      </x:c>
      <x:c r="Q991" s="9" t="n">
        <x:f>COUNTIFS($A$7:$A$1158,A991)</x:f>
        <x:v>1</x:v>
      </x:c>
    </x:row>
    <x:row r="992">
      <x:c r="A992" s="9" t="str">
        <x:v>EV-AR-HC-A-C-TECH-4-B1-INT-G0-RW02</x:v>
      </x:c>
      <x:c r="B992" s="9" t="str">
        <x:v>EV-AR-HC-A-C-TECH-4-B1-INT-G0</x:v>
      </x:c>
      <x:c r="C992" s="9" t="str">
        <x:v>AR-HC-A-C-TECH-4-B1-INT-G0</x:v>
      </x:c>
      <x:c r="D992" s="9" t="str">
        <x:v>HC-A-C-TECH-4</x:v>
      </x:c>
      <x:c r="E992" s="9" t="str">
        <x:v>HC-A-C</x:v>
      </x:c>
      <x:c r="F992" s="9" t="str">
        <x:v>B1</x:v>
      </x:c>
      <x:c r="G992" s="9" t="str">
        <x:v>INT</x:v>
      </x:c>
      <x:c r="H992" s="9" t="str">
        <x:v>RW02</x:v>
      </x:c>
      <x:c r="I992" s="17" t="str">
        <x:v>Unlike witness stream</x:v>
      </x:c>
      <x:c r="J992" s="17" t="str">
        <x:v>Witness metrology</x:v>
      </x:c>
      <x:c r="K992" s="17" t="str">
        <x:v>Public custody B</x:v>
      </x:c>
      <x:c r="L992" s="9" t="n">
        <x:v>0</x:v>
      </x:c>
      <x:c r="M992" s="9" t="n">
        <x:v>0</x:v>
      </x:c>
      <x:c r="N992" s="9" t="n">
        <x:v>0</x:v>
      </x:c>
      <x:c r="O992" s="9" t="n">
        <x:v>0</x:v>
      </x:c>
      <x:c r="P992" s="9" t="str">
        <x:v>UNSEALED / SOURCE-EMPTY</x:v>
      </x:c>
      <x:c r="Q992" s="9" t="n">
        <x:f>COUNTIFS($A$7:$A$1158,A992)</x:f>
        <x:v>1</x:v>
      </x:c>
    </x:row>
    <x:row r="993">
      <x:c r="A993" s="9" t="str">
        <x:v>EV-AR-HC-A-C-TECH-4-B1-INT-G0-RW03</x:v>
      </x:c>
      <x:c r="B993" s="9" t="str">
        <x:v>EV-AR-HC-A-C-TECH-4-B1-INT-G0</x:v>
      </x:c>
      <x:c r="C993" s="9" t="str">
        <x:v>AR-HC-A-C-TECH-4-B1-INT-G0</x:v>
      </x:c>
      <x:c r="D993" s="9" t="str">
        <x:v>HC-A-C-TECH-4</x:v>
      </x:c>
      <x:c r="E993" s="9" t="str">
        <x:v>HC-A-C</x:v>
      </x:c>
      <x:c r="F993" s="9" t="str">
        <x:v>B1</x:v>
      </x:c>
      <x:c r="G993" s="9" t="str">
        <x:v>INT</x:v>
      </x:c>
      <x:c r="H993" s="9" t="str">
        <x:v>RW03</x:v>
      </x:c>
      <x:c r="I993" s="17" t="str">
        <x:v>Event clock and start traces</x:v>
      </x:c>
      <x:c r="J993" s="17" t="str">
        <x:v>Event clock authority</x:v>
      </x:c>
      <x:c r="K993" s="17" t="str">
        <x:v>Public custody C</x:v>
      </x:c>
      <x:c r="L993" s="9" t="n">
        <x:v>0</x:v>
      </x:c>
      <x:c r="M993" s="9" t="n">
        <x:v>0</x:v>
      </x:c>
      <x:c r="N993" s="9" t="n">
        <x:v>0</x:v>
      </x:c>
      <x:c r="O993" s="9" t="n">
        <x:v>0</x:v>
      </x:c>
      <x:c r="P993" s="9" t="str">
        <x:v>UNSEALED / SOURCE-EMPTY</x:v>
      </x:c>
      <x:c r="Q993" s="9" t="n">
        <x:f>COUNTIFS($A$7:$A$1158,A993)</x:f>
        <x:v>1</x:v>
      </x:c>
    </x:row>
    <x:row r="994">
      <x:c r="A994" s="9" t="str">
        <x:v>EV-AR-HC-A-C-TECH-4-B1-INT-G0-RW04</x:v>
      </x:c>
      <x:c r="B994" s="9" t="str">
        <x:v>EV-AR-HC-A-C-TECH-4-B1-INT-G0</x:v>
      </x:c>
      <x:c r="C994" s="9" t="str">
        <x:v>AR-HC-A-C-TECH-4-B1-INT-G0</x:v>
      </x:c>
      <x:c r="D994" s="9" t="str">
        <x:v>HC-A-C-TECH-4</x:v>
      </x:c>
      <x:c r="E994" s="9" t="str">
        <x:v>HC-A-C</x:v>
      </x:c>
      <x:c r="F994" s="9" t="str">
        <x:v>B1</x:v>
      </x:c>
      <x:c r="G994" s="9" t="str">
        <x:v>INT</x:v>
      </x:c>
      <x:c r="H994" s="9" t="str">
        <x:v>RW04</x:v>
      </x:c>
      <x:c r="I994" s="17" t="str">
        <x:v>Environmental boundary stream</x:v>
      </x:c>
      <x:c r="J994" s="17" t="str">
        <x:v>Site metrology</x:v>
      </x:c>
      <x:c r="K994" s="17" t="str">
        <x:v>Public custody D</x:v>
      </x:c>
      <x:c r="L994" s="9" t="n">
        <x:v>0</x:v>
      </x:c>
      <x:c r="M994" s="9" t="n">
        <x:v>0</x:v>
      </x:c>
      <x:c r="N994" s="9" t="n">
        <x:v>0</x:v>
      </x:c>
      <x:c r="O994" s="9" t="n">
        <x:v>0</x:v>
      </x:c>
      <x:c r="P994" s="9" t="str">
        <x:v>UNSEALED / SOURCE-EMPTY</x:v>
      </x:c>
      <x:c r="Q994" s="9" t="n">
        <x:f>COUNTIFS($A$7:$A$1158,A994)</x:f>
        <x:v>1</x:v>
      </x:c>
    </x:row>
    <x:row r="995">
      <x:c r="A995" s="9" t="str">
        <x:v>EV-AR-HC-A-C-TECH-4-B1-INT-G0-RW05</x:v>
      </x:c>
      <x:c r="B995" s="9" t="str">
        <x:v>EV-AR-HC-A-C-TECH-4-B1-INT-G0</x:v>
      </x:c>
      <x:c r="C995" s="9" t="str">
        <x:v>AR-HC-A-C-TECH-4-B1-INT-G0</x:v>
      </x:c>
      <x:c r="D995" s="9" t="str">
        <x:v>HC-A-C-TECH-4</x:v>
      </x:c>
      <x:c r="E995" s="9" t="str">
        <x:v>HC-A-C</x:v>
      </x:c>
      <x:c r="F995" s="9" t="str">
        <x:v>B1</x:v>
      </x:c>
      <x:c r="G995" s="9" t="str">
        <x:v>INT</x:v>
      </x:c>
      <x:c r="H995" s="9" t="str">
        <x:v>RW05</x:v>
      </x:c>
      <x:c r="I995" s="17" t="str">
        <x:v>Command and intervention log</x:v>
      </x:c>
      <x:c r="J995" s="17" t="str">
        <x:v>Safety authority</x:v>
      </x:c>
      <x:c r="K995" s="17" t="str">
        <x:v>Public custody E</x:v>
      </x:c>
      <x:c r="L995" s="9" t="n">
        <x:v>0</x:v>
      </x:c>
      <x:c r="M995" s="9" t="n">
        <x:v>0</x:v>
      </x:c>
      <x:c r="N995" s="9" t="n">
        <x:v>0</x:v>
      </x:c>
      <x:c r="O995" s="9" t="n">
        <x:v>0</x:v>
      </x:c>
      <x:c r="P995" s="9" t="str">
        <x:v>UNSEALED / SOURCE-EMPTY</x:v>
      </x:c>
      <x:c r="Q995" s="9" t="n">
        <x:f>COUNTIFS($A$7:$A$1158,A995)</x:f>
        <x:v>1</x:v>
      </x:c>
    </x:row>
    <x:row r="996">
      <x:c r="A996" s="9" t="str">
        <x:v>EV-AR-HC-A-C-TECH-4-B1-INT-G0-RW06</x:v>
      </x:c>
      <x:c r="B996" s="9" t="str">
        <x:v>EV-AR-HC-A-C-TECH-4-B1-INT-G0</x:v>
      </x:c>
      <x:c r="C996" s="9" t="str">
        <x:v>AR-HC-A-C-TECH-4-B1-INT-G0</x:v>
      </x:c>
      <x:c r="D996" s="9" t="str">
        <x:v>HC-A-C-TECH-4</x:v>
      </x:c>
      <x:c r="E996" s="9" t="str">
        <x:v>HC-A-C</x:v>
      </x:c>
      <x:c r="F996" s="9" t="str">
        <x:v>B1</x:v>
      </x:c>
      <x:c r="G996" s="9" t="str">
        <x:v>INT</x:v>
      </x:c>
      <x:c r="H996" s="9" t="str">
        <x:v>RW06</x:v>
      </x:c>
      <x:c r="I996" s="17" t="str">
        <x:v>Receiver service ledger</x:v>
      </x:c>
      <x:c r="J996" s="17" t="str">
        <x:v>Receiver authority</x:v>
      </x:c>
      <x:c r="K996" s="17" t="str">
        <x:v>Public custody F</x:v>
      </x:c>
      <x:c r="L996" s="9" t="n">
        <x:v>0</x:v>
      </x:c>
      <x:c r="M996" s="9" t="n">
        <x:v>0</x:v>
      </x:c>
      <x:c r="N996" s="9" t="n">
        <x:v>0</x:v>
      </x:c>
      <x:c r="O996" s="9" t="n">
        <x:v>0</x:v>
      </x:c>
      <x:c r="P996" s="9" t="str">
        <x:v>UNSEALED / SOURCE-EMPTY</x:v>
      </x:c>
      <x:c r="Q996" s="9" t="n">
        <x:f>COUNTIFS($A$7:$A$1158,A996)</x:f>
        <x:v>1</x:v>
      </x:c>
    </x:row>
    <x:row r="997">
      <x:c r="A997" s="9" t="str">
        <x:v>EV-AR-HC-A-C-TECH-4-B1-INT-G0-RW07</x:v>
      </x:c>
      <x:c r="B997" s="9" t="str">
        <x:v>EV-AR-HC-A-C-TECH-4-B1-INT-G0</x:v>
      </x:c>
      <x:c r="C997" s="9" t="str">
        <x:v>AR-HC-A-C-TECH-4-B1-INT-G0</x:v>
      </x:c>
      <x:c r="D997" s="9" t="str">
        <x:v>HC-A-C-TECH-4</x:v>
      </x:c>
      <x:c r="E997" s="9" t="str">
        <x:v>HC-A-C</x:v>
      </x:c>
      <x:c r="F997" s="9" t="str">
        <x:v>B1</x:v>
      </x:c>
      <x:c r="G997" s="9" t="str">
        <x:v>INT</x:v>
      </x:c>
      <x:c r="H997" s="9" t="str">
        <x:v>RW07</x:v>
      </x:c>
      <x:c r="I997" s="17" t="str">
        <x:v>Candidate interface telemetry</x:v>
      </x:c>
      <x:c r="J997" s="17" t="str">
        <x:v>Interface custodian</x:v>
      </x:c>
      <x:c r="K997" s="17" t="str">
        <x:v>Public custody A</x:v>
      </x:c>
      <x:c r="L997" s="9" t="n">
        <x:v>0</x:v>
      </x:c>
      <x:c r="M997" s="9" t="n">
        <x:v>0</x:v>
      </x:c>
      <x:c r="N997" s="9" t="n">
        <x:v>0</x:v>
      </x:c>
      <x:c r="O997" s="9" t="n">
        <x:v>0</x:v>
      </x:c>
      <x:c r="P997" s="9" t="str">
        <x:v>UNSEALED / SOURCE-EMPTY</x:v>
      </x:c>
      <x:c r="Q997" s="9" t="n">
        <x:f>COUNTIFS($A$7:$A$1158,A997)</x:f>
        <x:v>1</x:v>
      </x:c>
    </x:row>
    <x:row r="998">
      <x:c r="A998" s="9" t="str">
        <x:v>EV-AR-HC-A-C-TECH-4-B1-INT-G0-RW08</x:v>
      </x:c>
      <x:c r="B998" s="9" t="str">
        <x:v>EV-AR-HC-A-C-TECH-4-B1-INT-G0</x:v>
      </x:c>
      <x:c r="C998" s="9" t="str">
        <x:v>AR-HC-A-C-TECH-4-B1-INT-G0</x:v>
      </x:c>
      <x:c r="D998" s="9" t="str">
        <x:v>HC-A-C-TECH-4</x:v>
      </x:c>
      <x:c r="E998" s="9" t="str">
        <x:v>HC-A-C</x:v>
      </x:c>
      <x:c r="F998" s="9" t="str">
        <x:v>B1</x:v>
      </x:c>
      <x:c r="G998" s="9" t="str">
        <x:v>INT</x:v>
      </x:c>
      <x:c r="H998" s="9" t="str">
        <x:v>RW08</x:v>
      </x:c>
      <x:c r="I998" s="17" t="str">
        <x:v>Residual and physical evidence</x:v>
      </x:c>
      <x:c r="J998" s="17" t="str">
        <x:v>Residual authority</x:v>
      </x:c>
      <x:c r="K998" s="17" t="str">
        <x:v>Public custody B</x:v>
      </x:c>
      <x:c r="L998" s="9" t="n">
        <x:v>0</x:v>
      </x:c>
      <x:c r="M998" s="9" t="n">
        <x:v>0</x:v>
      </x:c>
      <x:c r="N998" s="9" t="n">
        <x:v>0</x:v>
      </x:c>
      <x:c r="O998" s="9" t="n">
        <x:v>0</x:v>
      </x:c>
      <x:c r="P998" s="9" t="str">
        <x:v>UNSEALED / SOURCE-EMPTY</x:v>
      </x:c>
      <x:c r="Q998" s="9" t="n">
        <x:f>COUNTIFS($A$7:$A$1158,A998)</x:f>
        <x:v>1</x:v>
      </x:c>
    </x:row>
    <x:row r="999">
      <x:c r="A999" s="9" t="str">
        <x:v>EV-AR-LF-B-A-TECH-4-B2-RCN-G0-RW01</x:v>
      </x:c>
      <x:c r="B999" s="9" t="str">
        <x:v>EV-AR-LF-B-A-TECH-4-B2-RCN-G0</x:v>
      </x:c>
      <x:c r="C999" s="9" t="str">
        <x:v>AR-LF-B-A-TECH-4-B2-RCN-G0</x:v>
      </x:c>
      <x:c r="D999" s="9" t="str">
        <x:v>LF-B-A-TECH-4</x:v>
      </x:c>
      <x:c r="E999" s="9" t="str">
        <x:v>LF-B-A</x:v>
      </x:c>
      <x:c r="F999" s="9" t="str">
        <x:v>B2</x:v>
      </x:c>
      <x:c r="G999" s="9" t="str">
        <x:v>RCN</x:v>
      </x:c>
      <x:c r="H999" s="9" t="str">
        <x:v>RW01</x:v>
      </x:c>
      <x:c r="I999" s="17" t="str">
        <x:v>Primary raw stream</x:v>
      </x:c>
      <x:c r="J999" s="17" t="str">
        <x:v>Primary metrology</x:v>
      </x:c>
      <x:c r="K999" s="17" t="str">
        <x:v>Public custody A</x:v>
      </x:c>
      <x:c r="L999" s="9" t="n">
        <x:v>0</x:v>
      </x:c>
      <x:c r="M999" s="9" t="n">
        <x:v>0</x:v>
      </x:c>
      <x:c r="N999" s="9" t="n">
        <x:v>0</x:v>
      </x:c>
      <x:c r="O999" s="9" t="n">
        <x:v>0</x:v>
      </x:c>
      <x:c r="P999" s="9" t="str">
        <x:v>UNSEALED / SOURCE-EMPTY</x:v>
      </x:c>
      <x:c r="Q999" s="9" t="n">
        <x:f>COUNTIFS($A$7:$A$1158,A999)</x:f>
        <x:v>1</x:v>
      </x:c>
    </x:row>
    <x:row r="1000">
      <x:c r="A1000" s="9" t="str">
        <x:v>EV-AR-LF-B-A-TECH-4-B2-RCN-G0-RW02</x:v>
      </x:c>
      <x:c r="B1000" s="9" t="str">
        <x:v>EV-AR-LF-B-A-TECH-4-B2-RCN-G0</x:v>
      </x:c>
      <x:c r="C1000" s="9" t="str">
        <x:v>AR-LF-B-A-TECH-4-B2-RCN-G0</x:v>
      </x:c>
      <x:c r="D1000" s="9" t="str">
        <x:v>LF-B-A-TECH-4</x:v>
      </x:c>
      <x:c r="E1000" s="9" t="str">
        <x:v>LF-B-A</x:v>
      </x:c>
      <x:c r="F1000" s="9" t="str">
        <x:v>B2</x:v>
      </x:c>
      <x:c r="G1000" s="9" t="str">
        <x:v>RCN</x:v>
      </x:c>
      <x:c r="H1000" s="9" t="str">
        <x:v>RW02</x:v>
      </x:c>
      <x:c r="I1000" s="17" t="str">
        <x:v>Unlike witness stream</x:v>
      </x:c>
      <x:c r="J1000" s="17" t="str">
        <x:v>Witness metrology</x:v>
      </x:c>
      <x:c r="K1000" s="17" t="str">
        <x:v>Public custody B</x:v>
      </x:c>
      <x:c r="L1000" s="9" t="n">
        <x:v>0</x:v>
      </x:c>
      <x:c r="M1000" s="9" t="n">
        <x:v>0</x:v>
      </x:c>
      <x:c r="N1000" s="9" t="n">
        <x:v>0</x:v>
      </x:c>
      <x:c r="O1000" s="9" t="n">
        <x:v>0</x:v>
      </x:c>
      <x:c r="P1000" s="9" t="str">
        <x:v>UNSEALED / SOURCE-EMPTY</x:v>
      </x:c>
      <x:c r="Q1000" s="9" t="n">
        <x:f>COUNTIFS($A$7:$A$1158,A1000)</x:f>
        <x:v>1</x:v>
      </x:c>
    </x:row>
    <x:row r="1001">
      <x:c r="A1001" s="9" t="str">
        <x:v>EV-AR-LF-B-A-TECH-4-B2-RCN-G0-RW03</x:v>
      </x:c>
      <x:c r="B1001" s="9" t="str">
        <x:v>EV-AR-LF-B-A-TECH-4-B2-RCN-G0</x:v>
      </x:c>
      <x:c r="C1001" s="9" t="str">
        <x:v>AR-LF-B-A-TECH-4-B2-RCN-G0</x:v>
      </x:c>
      <x:c r="D1001" s="9" t="str">
        <x:v>LF-B-A-TECH-4</x:v>
      </x:c>
      <x:c r="E1001" s="9" t="str">
        <x:v>LF-B-A</x:v>
      </x:c>
      <x:c r="F1001" s="9" t="str">
        <x:v>B2</x:v>
      </x:c>
      <x:c r="G1001" s="9" t="str">
        <x:v>RCN</x:v>
      </x:c>
      <x:c r="H1001" s="9" t="str">
        <x:v>RW03</x:v>
      </x:c>
      <x:c r="I1001" s="17" t="str">
        <x:v>Event clock and start traces</x:v>
      </x:c>
      <x:c r="J1001" s="17" t="str">
        <x:v>Event clock authority</x:v>
      </x:c>
      <x:c r="K1001" s="17" t="str">
        <x:v>Public custody C</x:v>
      </x:c>
      <x:c r="L1001" s="9" t="n">
        <x:v>0</x:v>
      </x:c>
      <x:c r="M1001" s="9" t="n">
        <x:v>0</x:v>
      </x:c>
      <x:c r="N1001" s="9" t="n">
        <x:v>0</x:v>
      </x:c>
      <x:c r="O1001" s="9" t="n">
        <x:v>0</x:v>
      </x:c>
      <x:c r="P1001" s="9" t="str">
        <x:v>UNSEALED / SOURCE-EMPTY</x:v>
      </x:c>
      <x:c r="Q1001" s="9" t="n">
        <x:f>COUNTIFS($A$7:$A$1158,A1001)</x:f>
        <x:v>1</x:v>
      </x:c>
    </x:row>
    <x:row r="1002">
      <x:c r="A1002" s="9" t="str">
        <x:v>EV-AR-LF-B-A-TECH-4-B2-RCN-G0-RW04</x:v>
      </x:c>
      <x:c r="B1002" s="9" t="str">
        <x:v>EV-AR-LF-B-A-TECH-4-B2-RCN-G0</x:v>
      </x:c>
      <x:c r="C1002" s="9" t="str">
        <x:v>AR-LF-B-A-TECH-4-B2-RCN-G0</x:v>
      </x:c>
      <x:c r="D1002" s="9" t="str">
        <x:v>LF-B-A-TECH-4</x:v>
      </x:c>
      <x:c r="E1002" s="9" t="str">
        <x:v>LF-B-A</x:v>
      </x:c>
      <x:c r="F1002" s="9" t="str">
        <x:v>B2</x:v>
      </x:c>
      <x:c r="G1002" s="9" t="str">
        <x:v>RCN</x:v>
      </x:c>
      <x:c r="H1002" s="9" t="str">
        <x:v>RW04</x:v>
      </x:c>
      <x:c r="I1002" s="17" t="str">
        <x:v>Environmental boundary stream</x:v>
      </x:c>
      <x:c r="J1002" s="17" t="str">
        <x:v>Site metrology</x:v>
      </x:c>
      <x:c r="K1002" s="17" t="str">
        <x:v>Public custody D</x:v>
      </x:c>
      <x:c r="L1002" s="9" t="n">
        <x:v>0</x:v>
      </x:c>
      <x:c r="M1002" s="9" t="n">
        <x:v>0</x:v>
      </x:c>
      <x:c r="N1002" s="9" t="n">
        <x:v>0</x:v>
      </x:c>
      <x:c r="O1002" s="9" t="n">
        <x:v>0</x:v>
      </x:c>
      <x:c r="P1002" s="9" t="str">
        <x:v>UNSEALED / SOURCE-EMPTY</x:v>
      </x:c>
      <x:c r="Q1002" s="9" t="n">
        <x:f>COUNTIFS($A$7:$A$1158,A1002)</x:f>
        <x:v>1</x:v>
      </x:c>
    </x:row>
    <x:row r="1003">
      <x:c r="A1003" s="9" t="str">
        <x:v>EV-AR-LF-B-A-TECH-4-B2-RCN-G0-RW05</x:v>
      </x:c>
      <x:c r="B1003" s="9" t="str">
        <x:v>EV-AR-LF-B-A-TECH-4-B2-RCN-G0</x:v>
      </x:c>
      <x:c r="C1003" s="9" t="str">
        <x:v>AR-LF-B-A-TECH-4-B2-RCN-G0</x:v>
      </x:c>
      <x:c r="D1003" s="9" t="str">
        <x:v>LF-B-A-TECH-4</x:v>
      </x:c>
      <x:c r="E1003" s="9" t="str">
        <x:v>LF-B-A</x:v>
      </x:c>
      <x:c r="F1003" s="9" t="str">
        <x:v>B2</x:v>
      </x:c>
      <x:c r="G1003" s="9" t="str">
        <x:v>RCN</x:v>
      </x:c>
      <x:c r="H1003" s="9" t="str">
        <x:v>RW05</x:v>
      </x:c>
      <x:c r="I1003" s="17" t="str">
        <x:v>Command and intervention log</x:v>
      </x:c>
      <x:c r="J1003" s="17" t="str">
        <x:v>Safety authority</x:v>
      </x:c>
      <x:c r="K1003" s="17" t="str">
        <x:v>Public custody E</x:v>
      </x:c>
      <x:c r="L1003" s="9" t="n">
        <x:v>0</x:v>
      </x:c>
      <x:c r="M1003" s="9" t="n">
        <x:v>0</x:v>
      </x:c>
      <x:c r="N1003" s="9" t="n">
        <x:v>0</x:v>
      </x:c>
      <x:c r="O1003" s="9" t="n">
        <x:v>0</x:v>
      </x:c>
      <x:c r="P1003" s="9" t="str">
        <x:v>UNSEALED / SOURCE-EMPTY</x:v>
      </x:c>
      <x:c r="Q1003" s="9" t="n">
        <x:f>COUNTIFS($A$7:$A$1158,A1003)</x:f>
        <x:v>1</x:v>
      </x:c>
    </x:row>
    <x:row r="1004">
      <x:c r="A1004" s="9" t="str">
        <x:v>EV-AR-LF-B-A-TECH-4-B2-RCN-G0-RW06</x:v>
      </x:c>
      <x:c r="B1004" s="9" t="str">
        <x:v>EV-AR-LF-B-A-TECH-4-B2-RCN-G0</x:v>
      </x:c>
      <x:c r="C1004" s="9" t="str">
        <x:v>AR-LF-B-A-TECH-4-B2-RCN-G0</x:v>
      </x:c>
      <x:c r="D1004" s="9" t="str">
        <x:v>LF-B-A-TECH-4</x:v>
      </x:c>
      <x:c r="E1004" s="9" t="str">
        <x:v>LF-B-A</x:v>
      </x:c>
      <x:c r="F1004" s="9" t="str">
        <x:v>B2</x:v>
      </x:c>
      <x:c r="G1004" s="9" t="str">
        <x:v>RCN</x:v>
      </x:c>
      <x:c r="H1004" s="9" t="str">
        <x:v>RW06</x:v>
      </x:c>
      <x:c r="I1004" s="17" t="str">
        <x:v>Receiver service ledger</x:v>
      </x:c>
      <x:c r="J1004" s="17" t="str">
        <x:v>Receiver authority</x:v>
      </x:c>
      <x:c r="K1004" s="17" t="str">
        <x:v>Public custody F</x:v>
      </x:c>
      <x:c r="L1004" s="9" t="n">
        <x:v>0</x:v>
      </x:c>
      <x:c r="M1004" s="9" t="n">
        <x:v>0</x:v>
      </x:c>
      <x:c r="N1004" s="9" t="n">
        <x:v>0</x:v>
      </x:c>
      <x:c r="O1004" s="9" t="n">
        <x:v>0</x:v>
      </x:c>
      <x:c r="P1004" s="9" t="str">
        <x:v>UNSEALED / SOURCE-EMPTY</x:v>
      </x:c>
      <x:c r="Q1004" s="9" t="n">
        <x:f>COUNTIFS($A$7:$A$1158,A1004)</x:f>
        <x:v>1</x:v>
      </x:c>
    </x:row>
    <x:row r="1005">
      <x:c r="A1005" s="9" t="str">
        <x:v>EV-AR-LF-B-A-TECH-4-B2-RCN-G0-RW07</x:v>
      </x:c>
      <x:c r="B1005" s="9" t="str">
        <x:v>EV-AR-LF-B-A-TECH-4-B2-RCN-G0</x:v>
      </x:c>
      <x:c r="C1005" s="9" t="str">
        <x:v>AR-LF-B-A-TECH-4-B2-RCN-G0</x:v>
      </x:c>
      <x:c r="D1005" s="9" t="str">
        <x:v>LF-B-A-TECH-4</x:v>
      </x:c>
      <x:c r="E1005" s="9" t="str">
        <x:v>LF-B-A</x:v>
      </x:c>
      <x:c r="F1005" s="9" t="str">
        <x:v>B2</x:v>
      </x:c>
      <x:c r="G1005" s="9" t="str">
        <x:v>RCN</x:v>
      </x:c>
      <x:c r="H1005" s="9" t="str">
        <x:v>RW07</x:v>
      </x:c>
      <x:c r="I1005" s="17" t="str">
        <x:v>Candidate interface telemetry</x:v>
      </x:c>
      <x:c r="J1005" s="17" t="str">
        <x:v>Interface custodian</x:v>
      </x:c>
      <x:c r="K1005" s="17" t="str">
        <x:v>Public custody A</x:v>
      </x:c>
      <x:c r="L1005" s="9" t="n">
        <x:v>0</x:v>
      </x:c>
      <x:c r="M1005" s="9" t="n">
        <x:v>0</x:v>
      </x:c>
      <x:c r="N1005" s="9" t="n">
        <x:v>0</x:v>
      </x:c>
      <x:c r="O1005" s="9" t="n">
        <x:v>0</x:v>
      </x:c>
      <x:c r="P1005" s="9" t="str">
        <x:v>UNSEALED / SOURCE-EMPTY</x:v>
      </x:c>
      <x:c r="Q1005" s="9" t="n">
        <x:f>COUNTIFS($A$7:$A$1158,A1005)</x:f>
        <x:v>1</x:v>
      </x:c>
    </x:row>
    <x:row r="1006">
      <x:c r="A1006" s="9" t="str">
        <x:v>EV-AR-LF-B-A-TECH-4-B2-RCN-G0-RW08</x:v>
      </x:c>
      <x:c r="B1006" s="9" t="str">
        <x:v>EV-AR-LF-B-A-TECH-4-B2-RCN-G0</x:v>
      </x:c>
      <x:c r="C1006" s="9" t="str">
        <x:v>AR-LF-B-A-TECH-4-B2-RCN-G0</x:v>
      </x:c>
      <x:c r="D1006" s="9" t="str">
        <x:v>LF-B-A-TECH-4</x:v>
      </x:c>
      <x:c r="E1006" s="9" t="str">
        <x:v>LF-B-A</x:v>
      </x:c>
      <x:c r="F1006" s="9" t="str">
        <x:v>B2</x:v>
      </x:c>
      <x:c r="G1006" s="9" t="str">
        <x:v>RCN</x:v>
      </x:c>
      <x:c r="H1006" s="9" t="str">
        <x:v>RW08</x:v>
      </x:c>
      <x:c r="I1006" s="17" t="str">
        <x:v>Residual and physical evidence</x:v>
      </x:c>
      <x:c r="J1006" s="17" t="str">
        <x:v>Residual authority</x:v>
      </x:c>
      <x:c r="K1006" s="17" t="str">
        <x:v>Public custody B</x:v>
      </x:c>
      <x:c r="L1006" s="9" t="n">
        <x:v>0</x:v>
      </x:c>
      <x:c r="M1006" s="9" t="n">
        <x:v>0</x:v>
      </x:c>
      <x:c r="N1006" s="9" t="n">
        <x:v>0</x:v>
      </x:c>
      <x:c r="O1006" s="9" t="n">
        <x:v>0</x:v>
      </x:c>
      <x:c r="P1006" s="9" t="str">
        <x:v>UNSEALED / SOURCE-EMPTY</x:v>
      </x:c>
      <x:c r="Q1006" s="9" t="n">
        <x:f>COUNTIFS($A$7:$A$1158,A1006)</x:f>
        <x:v>1</x:v>
      </x:c>
    </x:row>
    <x:row r="1007">
      <x:c r="A1007" s="9" t="str">
        <x:v>EV-AR-LF-B-A-TECH-2-B2-INT-G0-RW01</x:v>
      </x:c>
      <x:c r="B1007" s="9" t="str">
        <x:v>EV-AR-LF-B-A-TECH-2-B2-INT-G0</x:v>
      </x:c>
      <x:c r="C1007" s="9" t="str">
        <x:v>AR-LF-B-A-TECH-2-B2-INT-G0</x:v>
      </x:c>
      <x:c r="D1007" s="9" t="str">
        <x:v>LF-B-A-TECH-2</x:v>
      </x:c>
      <x:c r="E1007" s="9" t="str">
        <x:v>LF-B-A</x:v>
      </x:c>
      <x:c r="F1007" s="9" t="str">
        <x:v>B2</x:v>
      </x:c>
      <x:c r="G1007" s="9" t="str">
        <x:v>INT</x:v>
      </x:c>
      <x:c r="H1007" s="9" t="str">
        <x:v>RW01</x:v>
      </x:c>
      <x:c r="I1007" s="17" t="str">
        <x:v>Primary raw stream</x:v>
      </x:c>
      <x:c r="J1007" s="17" t="str">
        <x:v>Primary metrology</x:v>
      </x:c>
      <x:c r="K1007" s="17" t="str">
        <x:v>Public custody A</x:v>
      </x:c>
      <x:c r="L1007" s="9" t="n">
        <x:v>0</x:v>
      </x:c>
      <x:c r="M1007" s="9" t="n">
        <x:v>0</x:v>
      </x:c>
      <x:c r="N1007" s="9" t="n">
        <x:v>0</x:v>
      </x:c>
      <x:c r="O1007" s="9" t="n">
        <x:v>0</x:v>
      </x:c>
      <x:c r="P1007" s="9" t="str">
        <x:v>UNSEALED / SOURCE-EMPTY</x:v>
      </x:c>
      <x:c r="Q1007" s="9" t="n">
        <x:f>COUNTIFS($A$7:$A$1158,A1007)</x:f>
        <x:v>1</x:v>
      </x:c>
    </x:row>
    <x:row r="1008">
      <x:c r="A1008" s="9" t="str">
        <x:v>EV-AR-LF-B-A-TECH-2-B2-INT-G0-RW02</x:v>
      </x:c>
      <x:c r="B1008" s="9" t="str">
        <x:v>EV-AR-LF-B-A-TECH-2-B2-INT-G0</x:v>
      </x:c>
      <x:c r="C1008" s="9" t="str">
        <x:v>AR-LF-B-A-TECH-2-B2-INT-G0</x:v>
      </x:c>
      <x:c r="D1008" s="9" t="str">
        <x:v>LF-B-A-TECH-2</x:v>
      </x:c>
      <x:c r="E1008" s="9" t="str">
        <x:v>LF-B-A</x:v>
      </x:c>
      <x:c r="F1008" s="9" t="str">
        <x:v>B2</x:v>
      </x:c>
      <x:c r="G1008" s="9" t="str">
        <x:v>INT</x:v>
      </x:c>
      <x:c r="H1008" s="9" t="str">
        <x:v>RW02</x:v>
      </x:c>
      <x:c r="I1008" s="17" t="str">
        <x:v>Unlike witness stream</x:v>
      </x:c>
      <x:c r="J1008" s="17" t="str">
        <x:v>Witness metrology</x:v>
      </x:c>
      <x:c r="K1008" s="17" t="str">
        <x:v>Public custody B</x:v>
      </x:c>
      <x:c r="L1008" s="9" t="n">
        <x:v>0</x:v>
      </x:c>
      <x:c r="M1008" s="9" t="n">
        <x:v>0</x:v>
      </x:c>
      <x:c r="N1008" s="9" t="n">
        <x:v>0</x:v>
      </x:c>
      <x:c r="O1008" s="9" t="n">
        <x:v>0</x:v>
      </x:c>
      <x:c r="P1008" s="9" t="str">
        <x:v>UNSEALED / SOURCE-EMPTY</x:v>
      </x:c>
      <x:c r="Q1008" s="9" t="n">
        <x:f>COUNTIFS($A$7:$A$1158,A1008)</x:f>
        <x:v>1</x:v>
      </x:c>
    </x:row>
    <x:row r="1009">
      <x:c r="A1009" s="9" t="str">
        <x:v>EV-AR-LF-B-A-TECH-2-B2-INT-G0-RW03</x:v>
      </x:c>
      <x:c r="B1009" s="9" t="str">
        <x:v>EV-AR-LF-B-A-TECH-2-B2-INT-G0</x:v>
      </x:c>
      <x:c r="C1009" s="9" t="str">
        <x:v>AR-LF-B-A-TECH-2-B2-INT-G0</x:v>
      </x:c>
      <x:c r="D1009" s="9" t="str">
        <x:v>LF-B-A-TECH-2</x:v>
      </x:c>
      <x:c r="E1009" s="9" t="str">
        <x:v>LF-B-A</x:v>
      </x:c>
      <x:c r="F1009" s="9" t="str">
        <x:v>B2</x:v>
      </x:c>
      <x:c r="G1009" s="9" t="str">
        <x:v>INT</x:v>
      </x:c>
      <x:c r="H1009" s="9" t="str">
        <x:v>RW03</x:v>
      </x:c>
      <x:c r="I1009" s="17" t="str">
        <x:v>Event clock and start traces</x:v>
      </x:c>
      <x:c r="J1009" s="17" t="str">
        <x:v>Event clock authority</x:v>
      </x:c>
      <x:c r="K1009" s="17" t="str">
        <x:v>Public custody C</x:v>
      </x:c>
      <x:c r="L1009" s="9" t="n">
        <x:v>0</x:v>
      </x:c>
      <x:c r="M1009" s="9" t="n">
        <x:v>0</x:v>
      </x:c>
      <x:c r="N1009" s="9" t="n">
        <x:v>0</x:v>
      </x:c>
      <x:c r="O1009" s="9" t="n">
        <x:v>0</x:v>
      </x:c>
      <x:c r="P1009" s="9" t="str">
        <x:v>UNSEALED / SOURCE-EMPTY</x:v>
      </x:c>
      <x:c r="Q1009" s="9" t="n">
        <x:f>COUNTIFS($A$7:$A$1158,A1009)</x:f>
        <x:v>1</x:v>
      </x:c>
    </x:row>
    <x:row r="1010">
      <x:c r="A1010" s="9" t="str">
        <x:v>EV-AR-LF-B-A-TECH-2-B2-INT-G0-RW04</x:v>
      </x:c>
      <x:c r="B1010" s="9" t="str">
        <x:v>EV-AR-LF-B-A-TECH-2-B2-INT-G0</x:v>
      </x:c>
      <x:c r="C1010" s="9" t="str">
        <x:v>AR-LF-B-A-TECH-2-B2-INT-G0</x:v>
      </x:c>
      <x:c r="D1010" s="9" t="str">
        <x:v>LF-B-A-TECH-2</x:v>
      </x:c>
      <x:c r="E1010" s="9" t="str">
        <x:v>LF-B-A</x:v>
      </x:c>
      <x:c r="F1010" s="9" t="str">
        <x:v>B2</x:v>
      </x:c>
      <x:c r="G1010" s="9" t="str">
        <x:v>INT</x:v>
      </x:c>
      <x:c r="H1010" s="9" t="str">
        <x:v>RW04</x:v>
      </x:c>
      <x:c r="I1010" s="17" t="str">
        <x:v>Environmental boundary stream</x:v>
      </x:c>
      <x:c r="J1010" s="17" t="str">
        <x:v>Site metrology</x:v>
      </x:c>
      <x:c r="K1010" s="17" t="str">
        <x:v>Public custody D</x:v>
      </x:c>
      <x:c r="L1010" s="9" t="n">
        <x:v>0</x:v>
      </x:c>
      <x:c r="M1010" s="9" t="n">
        <x:v>0</x:v>
      </x:c>
      <x:c r="N1010" s="9" t="n">
        <x:v>0</x:v>
      </x:c>
      <x:c r="O1010" s="9" t="n">
        <x:v>0</x:v>
      </x:c>
      <x:c r="P1010" s="9" t="str">
        <x:v>UNSEALED / SOURCE-EMPTY</x:v>
      </x:c>
      <x:c r="Q1010" s="9" t="n">
        <x:f>COUNTIFS($A$7:$A$1158,A1010)</x:f>
        <x:v>1</x:v>
      </x:c>
    </x:row>
    <x:row r="1011">
      <x:c r="A1011" s="9" t="str">
        <x:v>EV-AR-LF-B-A-TECH-2-B2-INT-G0-RW05</x:v>
      </x:c>
      <x:c r="B1011" s="9" t="str">
        <x:v>EV-AR-LF-B-A-TECH-2-B2-INT-G0</x:v>
      </x:c>
      <x:c r="C1011" s="9" t="str">
        <x:v>AR-LF-B-A-TECH-2-B2-INT-G0</x:v>
      </x:c>
      <x:c r="D1011" s="9" t="str">
        <x:v>LF-B-A-TECH-2</x:v>
      </x:c>
      <x:c r="E1011" s="9" t="str">
        <x:v>LF-B-A</x:v>
      </x:c>
      <x:c r="F1011" s="9" t="str">
        <x:v>B2</x:v>
      </x:c>
      <x:c r="G1011" s="9" t="str">
        <x:v>INT</x:v>
      </x:c>
      <x:c r="H1011" s="9" t="str">
        <x:v>RW05</x:v>
      </x:c>
      <x:c r="I1011" s="17" t="str">
        <x:v>Command and intervention log</x:v>
      </x:c>
      <x:c r="J1011" s="17" t="str">
        <x:v>Safety authority</x:v>
      </x:c>
      <x:c r="K1011" s="17" t="str">
        <x:v>Public custody E</x:v>
      </x:c>
      <x:c r="L1011" s="9" t="n">
        <x:v>0</x:v>
      </x:c>
      <x:c r="M1011" s="9" t="n">
        <x:v>0</x:v>
      </x:c>
      <x:c r="N1011" s="9" t="n">
        <x:v>0</x:v>
      </x:c>
      <x:c r="O1011" s="9" t="n">
        <x:v>0</x:v>
      </x:c>
      <x:c r="P1011" s="9" t="str">
        <x:v>UNSEALED / SOURCE-EMPTY</x:v>
      </x:c>
      <x:c r="Q1011" s="9" t="n">
        <x:f>COUNTIFS($A$7:$A$1158,A1011)</x:f>
        <x:v>1</x:v>
      </x:c>
    </x:row>
    <x:row r="1012">
      <x:c r="A1012" s="9" t="str">
        <x:v>EV-AR-LF-B-A-TECH-2-B2-INT-G0-RW06</x:v>
      </x:c>
      <x:c r="B1012" s="9" t="str">
        <x:v>EV-AR-LF-B-A-TECH-2-B2-INT-G0</x:v>
      </x:c>
      <x:c r="C1012" s="9" t="str">
        <x:v>AR-LF-B-A-TECH-2-B2-INT-G0</x:v>
      </x:c>
      <x:c r="D1012" s="9" t="str">
        <x:v>LF-B-A-TECH-2</x:v>
      </x:c>
      <x:c r="E1012" s="9" t="str">
        <x:v>LF-B-A</x:v>
      </x:c>
      <x:c r="F1012" s="9" t="str">
        <x:v>B2</x:v>
      </x:c>
      <x:c r="G1012" s="9" t="str">
        <x:v>INT</x:v>
      </x:c>
      <x:c r="H1012" s="9" t="str">
        <x:v>RW06</x:v>
      </x:c>
      <x:c r="I1012" s="17" t="str">
        <x:v>Receiver service ledger</x:v>
      </x:c>
      <x:c r="J1012" s="17" t="str">
        <x:v>Receiver authority</x:v>
      </x:c>
      <x:c r="K1012" s="17" t="str">
        <x:v>Public custody F</x:v>
      </x:c>
      <x:c r="L1012" s="9" t="n">
        <x:v>0</x:v>
      </x:c>
      <x:c r="M1012" s="9" t="n">
        <x:v>0</x:v>
      </x:c>
      <x:c r="N1012" s="9" t="n">
        <x:v>0</x:v>
      </x:c>
      <x:c r="O1012" s="9" t="n">
        <x:v>0</x:v>
      </x:c>
      <x:c r="P1012" s="9" t="str">
        <x:v>UNSEALED / SOURCE-EMPTY</x:v>
      </x:c>
      <x:c r="Q1012" s="9" t="n">
        <x:f>COUNTIFS($A$7:$A$1158,A1012)</x:f>
        <x:v>1</x:v>
      </x:c>
    </x:row>
    <x:row r="1013">
      <x:c r="A1013" s="9" t="str">
        <x:v>EV-AR-LF-B-A-TECH-2-B2-INT-G0-RW07</x:v>
      </x:c>
      <x:c r="B1013" s="9" t="str">
        <x:v>EV-AR-LF-B-A-TECH-2-B2-INT-G0</x:v>
      </x:c>
      <x:c r="C1013" s="9" t="str">
        <x:v>AR-LF-B-A-TECH-2-B2-INT-G0</x:v>
      </x:c>
      <x:c r="D1013" s="9" t="str">
        <x:v>LF-B-A-TECH-2</x:v>
      </x:c>
      <x:c r="E1013" s="9" t="str">
        <x:v>LF-B-A</x:v>
      </x:c>
      <x:c r="F1013" s="9" t="str">
        <x:v>B2</x:v>
      </x:c>
      <x:c r="G1013" s="9" t="str">
        <x:v>INT</x:v>
      </x:c>
      <x:c r="H1013" s="9" t="str">
        <x:v>RW07</x:v>
      </x:c>
      <x:c r="I1013" s="17" t="str">
        <x:v>Candidate interface telemetry</x:v>
      </x:c>
      <x:c r="J1013" s="17" t="str">
        <x:v>Interface custodian</x:v>
      </x:c>
      <x:c r="K1013" s="17" t="str">
        <x:v>Public custody A</x:v>
      </x:c>
      <x:c r="L1013" s="9" t="n">
        <x:v>0</x:v>
      </x:c>
      <x:c r="M1013" s="9" t="n">
        <x:v>0</x:v>
      </x:c>
      <x:c r="N1013" s="9" t="n">
        <x:v>0</x:v>
      </x:c>
      <x:c r="O1013" s="9" t="n">
        <x:v>0</x:v>
      </x:c>
      <x:c r="P1013" s="9" t="str">
        <x:v>UNSEALED / SOURCE-EMPTY</x:v>
      </x:c>
      <x:c r="Q1013" s="9" t="n">
        <x:f>COUNTIFS($A$7:$A$1158,A1013)</x:f>
        <x:v>1</x:v>
      </x:c>
    </x:row>
    <x:row r="1014">
      <x:c r="A1014" s="9" t="str">
        <x:v>EV-AR-LF-B-A-TECH-2-B2-INT-G0-RW08</x:v>
      </x:c>
      <x:c r="B1014" s="9" t="str">
        <x:v>EV-AR-LF-B-A-TECH-2-B2-INT-G0</x:v>
      </x:c>
      <x:c r="C1014" s="9" t="str">
        <x:v>AR-LF-B-A-TECH-2-B2-INT-G0</x:v>
      </x:c>
      <x:c r="D1014" s="9" t="str">
        <x:v>LF-B-A-TECH-2</x:v>
      </x:c>
      <x:c r="E1014" s="9" t="str">
        <x:v>LF-B-A</x:v>
      </x:c>
      <x:c r="F1014" s="9" t="str">
        <x:v>B2</x:v>
      </x:c>
      <x:c r="G1014" s="9" t="str">
        <x:v>INT</x:v>
      </x:c>
      <x:c r="H1014" s="9" t="str">
        <x:v>RW08</x:v>
      </x:c>
      <x:c r="I1014" s="17" t="str">
        <x:v>Residual and physical evidence</x:v>
      </x:c>
      <x:c r="J1014" s="17" t="str">
        <x:v>Residual authority</x:v>
      </x:c>
      <x:c r="K1014" s="17" t="str">
        <x:v>Public custody B</x:v>
      </x:c>
      <x:c r="L1014" s="9" t="n">
        <x:v>0</x:v>
      </x:c>
      <x:c r="M1014" s="9" t="n">
        <x:v>0</x:v>
      </x:c>
      <x:c r="N1014" s="9" t="n">
        <x:v>0</x:v>
      </x:c>
      <x:c r="O1014" s="9" t="n">
        <x:v>0</x:v>
      </x:c>
      <x:c r="P1014" s="9" t="str">
        <x:v>UNSEALED / SOURCE-EMPTY</x:v>
      </x:c>
      <x:c r="Q1014" s="9" t="n">
        <x:f>COUNTIFS($A$7:$A$1158,A1014)</x:f>
        <x:v>1</x:v>
      </x:c>
    </x:row>
    <x:row r="1015">
      <x:c r="A1015" s="9" t="str">
        <x:v>EV-AR-CT-C-B-TECH-3-B1-BRK-G0-RW01</x:v>
      </x:c>
      <x:c r="B1015" s="9" t="str">
        <x:v>EV-AR-CT-C-B-TECH-3-B1-BRK-G0</x:v>
      </x:c>
      <x:c r="C1015" s="9" t="str">
        <x:v>AR-CT-C-B-TECH-3-B1-BRK-G0</x:v>
      </x:c>
      <x:c r="D1015" s="9" t="str">
        <x:v>CT-C-B-TECH-3</x:v>
      </x:c>
      <x:c r="E1015" s="9" t="str">
        <x:v>CT-C-B</x:v>
      </x:c>
      <x:c r="F1015" s="9" t="str">
        <x:v>B1</x:v>
      </x:c>
      <x:c r="G1015" s="9" t="str">
        <x:v>BRK</x:v>
      </x:c>
      <x:c r="H1015" s="9" t="str">
        <x:v>RW01</x:v>
      </x:c>
      <x:c r="I1015" s="17" t="str">
        <x:v>Primary raw stream</x:v>
      </x:c>
      <x:c r="J1015" s="17" t="str">
        <x:v>Primary metrology</x:v>
      </x:c>
      <x:c r="K1015" s="17" t="str">
        <x:v>Public custody A</x:v>
      </x:c>
      <x:c r="L1015" s="9" t="n">
        <x:v>0</x:v>
      </x:c>
      <x:c r="M1015" s="9" t="n">
        <x:v>0</x:v>
      </x:c>
      <x:c r="N1015" s="9" t="n">
        <x:v>0</x:v>
      </x:c>
      <x:c r="O1015" s="9" t="n">
        <x:v>0</x:v>
      </x:c>
      <x:c r="P1015" s="9" t="str">
        <x:v>UNSEALED / SOURCE-EMPTY</x:v>
      </x:c>
      <x:c r="Q1015" s="9" t="n">
        <x:f>COUNTIFS($A$7:$A$1158,A1015)</x:f>
        <x:v>1</x:v>
      </x:c>
    </x:row>
    <x:row r="1016">
      <x:c r="A1016" s="9" t="str">
        <x:v>EV-AR-CT-C-B-TECH-3-B1-BRK-G0-RW02</x:v>
      </x:c>
      <x:c r="B1016" s="9" t="str">
        <x:v>EV-AR-CT-C-B-TECH-3-B1-BRK-G0</x:v>
      </x:c>
      <x:c r="C1016" s="9" t="str">
        <x:v>AR-CT-C-B-TECH-3-B1-BRK-G0</x:v>
      </x:c>
      <x:c r="D1016" s="9" t="str">
        <x:v>CT-C-B-TECH-3</x:v>
      </x:c>
      <x:c r="E1016" s="9" t="str">
        <x:v>CT-C-B</x:v>
      </x:c>
      <x:c r="F1016" s="9" t="str">
        <x:v>B1</x:v>
      </x:c>
      <x:c r="G1016" s="9" t="str">
        <x:v>BRK</x:v>
      </x:c>
      <x:c r="H1016" s="9" t="str">
        <x:v>RW02</x:v>
      </x:c>
      <x:c r="I1016" s="17" t="str">
        <x:v>Unlike witness stream</x:v>
      </x:c>
      <x:c r="J1016" s="17" t="str">
        <x:v>Witness metrology</x:v>
      </x:c>
      <x:c r="K1016" s="17" t="str">
        <x:v>Public custody B</x:v>
      </x:c>
      <x:c r="L1016" s="9" t="n">
        <x:v>0</x:v>
      </x:c>
      <x:c r="M1016" s="9" t="n">
        <x:v>0</x:v>
      </x:c>
      <x:c r="N1016" s="9" t="n">
        <x:v>0</x:v>
      </x:c>
      <x:c r="O1016" s="9" t="n">
        <x:v>0</x:v>
      </x:c>
      <x:c r="P1016" s="9" t="str">
        <x:v>UNSEALED / SOURCE-EMPTY</x:v>
      </x:c>
      <x:c r="Q1016" s="9" t="n">
        <x:f>COUNTIFS($A$7:$A$1158,A1016)</x:f>
        <x:v>1</x:v>
      </x:c>
    </x:row>
    <x:row r="1017">
      <x:c r="A1017" s="9" t="str">
        <x:v>EV-AR-CT-C-B-TECH-3-B1-BRK-G0-RW03</x:v>
      </x:c>
      <x:c r="B1017" s="9" t="str">
        <x:v>EV-AR-CT-C-B-TECH-3-B1-BRK-G0</x:v>
      </x:c>
      <x:c r="C1017" s="9" t="str">
        <x:v>AR-CT-C-B-TECH-3-B1-BRK-G0</x:v>
      </x:c>
      <x:c r="D1017" s="9" t="str">
        <x:v>CT-C-B-TECH-3</x:v>
      </x:c>
      <x:c r="E1017" s="9" t="str">
        <x:v>CT-C-B</x:v>
      </x:c>
      <x:c r="F1017" s="9" t="str">
        <x:v>B1</x:v>
      </x:c>
      <x:c r="G1017" s="9" t="str">
        <x:v>BRK</x:v>
      </x:c>
      <x:c r="H1017" s="9" t="str">
        <x:v>RW03</x:v>
      </x:c>
      <x:c r="I1017" s="17" t="str">
        <x:v>Event clock and start traces</x:v>
      </x:c>
      <x:c r="J1017" s="17" t="str">
        <x:v>Event clock authority</x:v>
      </x:c>
      <x:c r="K1017" s="17" t="str">
        <x:v>Public custody C</x:v>
      </x:c>
      <x:c r="L1017" s="9" t="n">
        <x:v>0</x:v>
      </x:c>
      <x:c r="M1017" s="9" t="n">
        <x:v>0</x:v>
      </x:c>
      <x:c r="N1017" s="9" t="n">
        <x:v>0</x:v>
      </x:c>
      <x:c r="O1017" s="9" t="n">
        <x:v>0</x:v>
      </x:c>
      <x:c r="P1017" s="9" t="str">
        <x:v>UNSEALED / SOURCE-EMPTY</x:v>
      </x:c>
      <x:c r="Q1017" s="9" t="n">
        <x:f>COUNTIFS($A$7:$A$1158,A1017)</x:f>
        <x:v>1</x:v>
      </x:c>
    </x:row>
    <x:row r="1018">
      <x:c r="A1018" s="9" t="str">
        <x:v>EV-AR-CT-C-B-TECH-3-B1-BRK-G0-RW04</x:v>
      </x:c>
      <x:c r="B1018" s="9" t="str">
        <x:v>EV-AR-CT-C-B-TECH-3-B1-BRK-G0</x:v>
      </x:c>
      <x:c r="C1018" s="9" t="str">
        <x:v>AR-CT-C-B-TECH-3-B1-BRK-G0</x:v>
      </x:c>
      <x:c r="D1018" s="9" t="str">
        <x:v>CT-C-B-TECH-3</x:v>
      </x:c>
      <x:c r="E1018" s="9" t="str">
        <x:v>CT-C-B</x:v>
      </x:c>
      <x:c r="F1018" s="9" t="str">
        <x:v>B1</x:v>
      </x:c>
      <x:c r="G1018" s="9" t="str">
        <x:v>BRK</x:v>
      </x:c>
      <x:c r="H1018" s="9" t="str">
        <x:v>RW04</x:v>
      </x:c>
      <x:c r="I1018" s="17" t="str">
        <x:v>Environmental boundary stream</x:v>
      </x:c>
      <x:c r="J1018" s="17" t="str">
        <x:v>Site metrology</x:v>
      </x:c>
      <x:c r="K1018" s="17" t="str">
        <x:v>Public custody D</x:v>
      </x:c>
      <x:c r="L1018" s="9" t="n">
        <x:v>0</x:v>
      </x:c>
      <x:c r="M1018" s="9" t="n">
        <x:v>0</x:v>
      </x:c>
      <x:c r="N1018" s="9" t="n">
        <x:v>0</x:v>
      </x:c>
      <x:c r="O1018" s="9" t="n">
        <x:v>0</x:v>
      </x:c>
      <x:c r="P1018" s="9" t="str">
        <x:v>UNSEALED / SOURCE-EMPTY</x:v>
      </x:c>
      <x:c r="Q1018" s="9" t="n">
        <x:f>COUNTIFS($A$7:$A$1158,A1018)</x:f>
        <x:v>1</x:v>
      </x:c>
    </x:row>
    <x:row r="1019">
      <x:c r="A1019" s="9" t="str">
        <x:v>EV-AR-CT-C-B-TECH-3-B1-BRK-G0-RW05</x:v>
      </x:c>
      <x:c r="B1019" s="9" t="str">
        <x:v>EV-AR-CT-C-B-TECH-3-B1-BRK-G0</x:v>
      </x:c>
      <x:c r="C1019" s="9" t="str">
        <x:v>AR-CT-C-B-TECH-3-B1-BRK-G0</x:v>
      </x:c>
      <x:c r="D1019" s="9" t="str">
        <x:v>CT-C-B-TECH-3</x:v>
      </x:c>
      <x:c r="E1019" s="9" t="str">
        <x:v>CT-C-B</x:v>
      </x:c>
      <x:c r="F1019" s="9" t="str">
        <x:v>B1</x:v>
      </x:c>
      <x:c r="G1019" s="9" t="str">
        <x:v>BRK</x:v>
      </x:c>
      <x:c r="H1019" s="9" t="str">
        <x:v>RW05</x:v>
      </x:c>
      <x:c r="I1019" s="17" t="str">
        <x:v>Command and intervention log</x:v>
      </x:c>
      <x:c r="J1019" s="17" t="str">
        <x:v>Safety authority</x:v>
      </x:c>
      <x:c r="K1019" s="17" t="str">
        <x:v>Public custody E</x:v>
      </x:c>
      <x:c r="L1019" s="9" t="n">
        <x:v>0</x:v>
      </x:c>
      <x:c r="M1019" s="9" t="n">
        <x:v>0</x:v>
      </x:c>
      <x:c r="N1019" s="9" t="n">
        <x:v>0</x:v>
      </x:c>
      <x:c r="O1019" s="9" t="n">
        <x:v>0</x:v>
      </x:c>
      <x:c r="P1019" s="9" t="str">
        <x:v>UNSEALED / SOURCE-EMPTY</x:v>
      </x:c>
      <x:c r="Q1019" s="9" t="n">
        <x:f>COUNTIFS($A$7:$A$1158,A1019)</x:f>
        <x:v>1</x:v>
      </x:c>
    </x:row>
    <x:row r="1020">
      <x:c r="A1020" s="9" t="str">
        <x:v>EV-AR-CT-C-B-TECH-3-B1-BRK-G0-RW06</x:v>
      </x:c>
      <x:c r="B1020" s="9" t="str">
        <x:v>EV-AR-CT-C-B-TECH-3-B1-BRK-G0</x:v>
      </x:c>
      <x:c r="C1020" s="9" t="str">
        <x:v>AR-CT-C-B-TECH-3-B1-BRK-G0</x:v>
      </x:c>
      <x:c r="D1020" s="9" t="str">
        <x:v>CT-C-B-TECH-3</x:v>
      </x:c>
      <x:c r="E1020" s="9" t="str">
        <x:v>CT-C-B</x:v>
      </x:c>
      <x:c r="F1020" s="9" t="str">
        <x:v>B1</x:v>
      </x:c>
      <x:c r="G1020" s="9" t="str">
        <x:v>BRK</x:v>
      </x:c>
      <x:c r="H1020" s="9" t="str">
        <x:v>RW06</x:v>
      </x:c>
      <x:c r="I1020" s="17" t="str">
        <x:v>Receiver service ledger</x:v>
      </x:c>
      <x:c r="J1020" s="17" t="str">
        <x:v>Receiver authority</x:v>
      </x:c>
      <x:c r="K1020" s="17" t="str">
        <x:v>Public custody F</x:v>
      </x:c>
      <x:c r="L1020" s="9" t="n">
        <x:v>0</x:v>
      </x:c>
      <x:c r="M1020" s="9" t="n">
        <x:v>0</x:v>
      </x:c>
      <x:c r="N1020" s="9" t="n">
        <x:v>0</x:v>
      </x:c>
      <x:c r="O1020" s="9" t="n">
        <x:v>0</x:v>
      </x:c>
      <x:c r="P1020" s="9" t="str">
        <x:v>UNSEALED / SOURCE-EMPTY</x:v>
      </x:c>
      <x:c r="Q1020" s="9" t="n">
        <x:f>COUNTIFS($A$7:$A$1158,A1020)</x:f>
        <x:v>1</x:v>
      </x:c>
    </x:row>
    <x:row r="1021">
      <x:c r="A1021" s="9" t="str">
        <x:v>EV-AR-CT-C-B-TECH-3-B1-BRK-G0-RW07</x:v>
      </x:c>
      <x:c r="B1021" s="9" t="str">
        <x:v>EV-AR-CT-C-B-TECH-3-B1-BRK-G0</x:v>
      </x:c>
      <x:c r="C1021" s="9" t="str">
        <x:v>AR-CT-C-B-TECH-3-B1-BRK-G0</x:v>
      </x:c>
      <x:c r="D1021" s="9" t="str">
        <x:v>CT-C-B-TECH-3</x:v>
      </x:c>
      <x:c r="E1021" s="9" t="str">
        <x:v>CT-C-B</x:v>
      </x:c>
      <x:c r="F1021" s="9" t="str">
        <x:v>B1</x:v>
      </x:c>
      <x:c r="G1021" s="9" t="str">
        <x:v>BRK</x:v>
      </x:c>
      <x:c r="H1021" s="9" t="str">
        <x:v>RW07</x:v>
      </x:c>
      <x:c r="I1021" s="17" t="str">
        <x:v>Candidate interface telemetry</x:v>
      </x:c>
      <x:c r="J1021" s="17" t="str">
        <x:v>Interface custodian</x:v>
      </x:c>
      <x:c r="K1021" s="17" t="str">
        <x:v>Public custody A</x:v>
      </x:c>
      <x:c r="L1021" s="9" t="n">
        <x:v>0</x:v>
      </x:c>
      <x:c r="M1021" s="9" t="n">
        <x:v>0</x:v>
      </x:c>
      <x:c r="N1021" s="9" t="n">
        <x:v>0</x:v>
      </x:c>
      <x:c r="O1021" s="9" t="n">
        <x:v>0</x:v>
      </x:c>
      <x:c r="P1021" s="9" t="str">
        <x:v>UNSEALED / SOURCE-EMPTY</x:v>
      </x:c>
      <x:c r="Q1021" s="9" t="n">
        <x:f>COUNTIFS($A$7:$A$1158,A1021)</x:f>
        <x:v>1</x:v>
      </x:c>
    </x:row>
    <x:row r="1022">
      <x:c r="A1022" s="9" t="str">
        <x:v>EV-AR-CT-C-B-TECH-3-B1-BRK-G0-RW08</x:v>
      </x:c>
      <x:c r="B1022" s="9" t="str">
        <x:v>EV-AR-CT-C-B-TECH-3-B1-BRK-G0</x:v>
      </x:c>
      <x:c r="C1022" s="9" t="str">
        <x:v>AR-CT-C-B-TECH-3-B1-BRK-G0</x:v>
      </x:c>
      <x:c r="D1022" s="9" t="str">
        <x:v>CT-C-B-TECH-3</x:v>
      </x:c>
      <x:c r="E1022" s="9" t="str">
        <x:v>CT-C-B</x:v>
      </x:c>
      <x:c r="F1022" s="9" t="str">
        <x:v>B1</x:v>
      </x:c>
      <x:c r="G1022" s="9" t="str">
        <x:v>BRK</x:v>
      </x:c>
      <x:c r="H1022" s="9" t="str">
        <x:v>RW08</x:v>
      </x:c>
      <x:c r="I1022" s="17" t="str">
        <x:v>Residual and physical evidence</x:v>
      </x:c>
      <x:c r="J1022" s="17" t="str">
        <x:v>Residual authority</x:v>
      </x:c>
      <x:c r="K1022" s="17" t="str">
        <x:v>Public custody B</x:v>
      </x:c>
      <x:c r="L1022" s="9" t="n">
        <x:v>0</x:v>
      </x:c>
      <x:c r="M1022" s="9" t="n">
        <x:v>0</x:v>
      </x:c>
      <x:c r="N1022" s="9" t="n">
        <x:v>0</x:v>
      </x:c>
      <x:c r="O1022" s="9" t="n">
        <x:v>0</x:v>
      </x:c>
      <x:c r="P1022" s="9" t="str">
        <x:v>UNSEALED / SOURCE-EMPTY</x:v>
      </x:c>
      <x:c r="Q1022" s="9" t="n">
        <x:f>COUNTIFS($A$7:$A$1158,A1022)</x:f>
        <x:v>1</x:v>
      </x:c>
    </x:row>
    <x:row r="1023">
      <x:c r="A1023" s="9" t="str">
        <x:v>EV-AR-ET-A-A-TECH-1-B2-RCN-G0-RW01</x:v>
      </x:c>
      <x:c r="B1023" s="9" t="str">
        <x:v>EV-AR-ET-A-A-TECH-1-B2-RCN-G0</x:v>
      </x:c>
      <x:c r="C1023" s="9" t="str">
        <x:v>AR-ET-A-A-TECH-1-B2-RCN-G0</x:v>
      </x:c>
      <x:c r="D1023" s="9" t="str">
        <x:v>ET-A-A-TECH-1</x:v>
      </x:c>
      <x:c r="E1023" s="9" t="str">
        <x:v>ET-A-A</x:v>
      </x:c>
      <x:c r="F1023" s="9" t="str">
        <x:v>B2</x:v>
      </x:c>
      <x:c r="G1023" s="9" t="str">
        <x:v>RCN</x:v>
      </x:c>
      <x:c r="H1023" s="9" t="str">
        <x:v>RW01</x:v>
      </x:c>
      <x:c r="I1023" s="17" t="str">
        <x:v>Primary raw stream</x:v>
      </x:c>
      <x:c r="J1023" s="17" t="str">
        <x:v>Primary metrology</x:v>
      </x:c>
      <x:c r="K1023" s="17" t="str">
        <x:v>Public custody A</x:v>
      </x:c>
      <x:c r="L1023" s="9" t="n">
        <x:v>0</x:v>
      </x:c>
      <x:c r="M1023" s="9" t="n">
        <x:v>0</x:v>
      </x:c>
      <x:c r="N1023" s="9" t="n">
        <x:v>0</x:v>
      </x:c>
      <x:c r="O1023" s="9" t="n">
        <x:v>0</x:v>
      </x:c>
      <x:c r="P1023" s="9" t="str">
        <x:v>UNSEALED / SOURCE-EMPTY</x:v>
      </x:c>
      <x:c r="Q1023" s="9" t="n">
        <x:f>COUNTIFS($A$7:$A$1158,A1023)</x:f>
        <x:v>1</x:v>
      </x:c>
    </x:row>
    <x:row r="1024">
      <x:c r="A1024" s="9" t="str">
        <x:v>EV-AR-ET-A-A-TECH-1-B2-RCN-G0-RW02</x:v>
      </x:c>
      <x:c r="B1024" s="9" t="str">
        <x:v>EV-AR-ET-A-A-TECH-1-B2-RCN-G0</x:v>
      </x:c>
      <x:c r="C1024" s="9" t="str">
        <x:v>AR-ET-A-A-TECH-1-B2-RCN-G0</x:v>
      </x:c>
      <x:c r="D1024" s="9" t="str">
        <x:v>ET-A-A-TECH-1</x:v>
      </x:c>
      <x:c r="E1024" s="9" t="str">
        <x:v>ET-A-A</x:v>
      </x:c>
      <x:c r="F1024" s="9" t="str">
        <x:v>B2</x:v>
      </x:c>
      <x:c r="G1024" s="9" t="str">
        <x:v>RCN</x:v>
      </x:c>
      <x:c r="H1024" s="9" t="str">
        <x:v>RW02</x:v>
      </x:c>
      <x:c r="I1024" s="17" t="str">
        <x:v>Unlike witness stream</x:v>
      </x:c>
      <x:c r="J1024" s="17" t="str">
        <x:v>Witness metrology</x:v>
      </x:c>
      <x:c r="K1024" s="17" t="str">
        <x:v>Public custody B</x:v>
      </x:c>
      <x:c r="L1024" s="9" t="n">
        <x:v>0</x:v>
      </x:c>
      <x:c r="M1024" s="9" t="n">
        <x:v>0</x:v>
      </x:c>
      <x:c r="N1024" s="9" t="n">
        <x:v>0</x:v>
      </x:c>
      <x:c r="O1024" s="9" t="n">
        <x:v>0</x:v>
      </x:c>
      <x:c r="P1024" s="9" t="str">
        <x:v>UNSEALED / SOURCE-EMPTY</x:v>
      </x:c>
      <x:c r="Q1024" s="9" t="n">
        <x:f>COUNTIFS($A$7:$A$1158,A1024)</x:f>
        <x:v>1</x:v>
      </x:c>
    </x:row>
    <x:row r="1025">
      <x:c r="A1025" s="9" t="str">
        <x:v>EV-AR-ET-A-A-TECH-1-B2-RCN-G0-RW03</x:v>
      </x:c>
      <x:c r="B1025" s="9" t="str">
        <x:v>EV-AR-ET-A-A-TECH-1-B2-RCN-G0</x:v>
      </x:c>
      <x:c r="C1025" s="9" t="str">
        <x:v>AR-ET-A-A-TECH-1-B2-RCN-G0</x:v>
      </x:c>
      <x:c r="D1025" s="9" t="str">
        <x:v>ET-A-A-TECH-1</x:v>
      </x:c>
      <x:c r="E1025" s="9" t="str">
        <x:v>ET-A-A</x:v>
      </x:c>
      <x:c r="F1025" s="9" t="str">
        <x:v>B2</x:v>
      </x:c>
      <x:c r="G1025" s="9" t="str">
        <x:v>RCN</x:v>
      </x:c>
      <x:c r="H1025" s="9" t="str">
        <x:v>RW03</x:v>
      </x:c>
      <x:c r="I1025" s="17" t="str">
        <x:v>Event clock and start traces</x:v>
      </x:c>
      <x:c r="J1025" s="17" t="str">
        <x:v>Event clock authority</x:v>
      </x:c>
      <x:c r="K1025" s="17" t="str">
        <x:v>Public custody C</x:v>
      </x:c>
      <x:c r="L1025" s="9" t="n">
        <x:v>0</x:v>
      </x:c>
      <x:c r="M1025" s="9" t="n">
        <x:v>0</x:v>
      </x:c>
      <x:c r="N1025" s="9" t="n">
        <x:v>0</x:v>
      </x:c>
      <x:c r="O1025" s="9" t="n">
        <x:v>0</x:v>
      </x:c>
      <x:c r="P1025" s="9" t="str">
        <x:v>UNSEALED / SOURCE-EMPTY</x:v>
      </x:c>
      <x:c r="Q1025" s="9" t="n">
        <x:f>COUNTIFS($A$7:$A$1158,A1025)</x:f>
        <x:v>1</x:v>
      </x:c>
    </x:row>
    <x:row r="1026">
      <x:c r="A1026" s="9" t="str">
        <x:v>EV-AR-ET-A-A-TECH-1-B2-RCN-G0-RW04</x:v>
      </x:c>
      <x:c r="B1026" s="9" t="str">
        <x:v>EV-AR-ET-A-A-TECH-1-B2-RCN-G0</x:v>
      </x:c>
      <x:c r="C1026" s="9" t="str">
        <x:v>AR-ET-A-A-TECH-1-B2-RCN-G0</x:v>
      </x:c>
      <x:c r="D1026" s="9" t="str">
        <x:v>ET-A-A-TECH-1</x:v>
      </x:c>
      <x:c r="E1026" s="9" t="str">
        <x:v>ET-A-A</x:v>
      </x:c>
      <x:c r="F1026" s="9" t="str">
        <x:v>B2</x:v>
      </x:c>
      <x:c r="G1026" s="9" t="str">
        <x:v>RCN</x:v>
      </x:c>
      <x:c r="H1026" s="9" t="str">
        <x:v>RW04</x:v>
      </x:c>
      <x:c r="I1026" s="17" t="str">
        <x:v>Environmental boundary stream</x:v>
      </x:c>
      <x:c r="J1026" s="17" t="str">
        <x:v>Site metrology</x:v>
      </x:c>
      <x:c r="K1026" s="17" t="str">
        <x:v>Public custody D</x:v>
      </x:c>
      <x:c r="L1026" s="9" t="n">
        <x:v>0</x:v>
      </x:c>
      <x:c r="M1026" s="9" t="n">
        <x:v>0</x:v>
      </x:c>
      <x:c r="N1026" s="9" t="n">
        <x:v>0</x:v>
      </x:c>
      <x:c r="O1026" s="9" t="n">
        <x:v>0</x:v>
      </x:c>
      <x:c r="P1026" s="9" t="str">
        <x:v>UNSEALED / SOURCE-EMPTY</x:v>
      </x:c>
      <x:c r="Q1026" s="9" t="n">
        <x:f>COUNTIFS($A$7:$A$1158,A1026)</x:f>
        <x:v>1</x:v>
      </x:c>
    </x:row>
    <x:row r="1027">
      <x:c r="A1027" s="9" t="str">
        <x:v>EV-AR-ET-A-A-TECH-1-B2-RCN-G0-RW05</x:v>
      </x:c>
      <x:c r="B1027" s="9" t="str">
        <x:v>EV-AR-ET-A-A-TECH-1-B2-RCN-G0</x:v>
      </x:c>
      <x:c r="C1027" s="9" t="str">
        <x:v>AR-ET-A-A-TECH-1-B2-RCN-G0</x:v>
      </x:c>
      <x:c r="D1027" s="9" t="str">
        <x:v>ET-A-A-TECH-1</x:v>
      </x:c>
      <x:c r="E1027" s="9" t="str">
        <x:v>ET-A-A</x:v>
      </x:c>
      <x:c r="F1027" s="9" t="str">
        <x:v>B2</x:v>
      </x:c>
      <x:c r="G1027" s="9" t="str">
        <x:v>RCN</x:v>
      </x:c>
      <x:c r="H1027" s="9" t="str">
        <x:v>RW05</x:v>
      </x:c>
      <x:c r="I1027" s="17" t="str">
        <x:v>Command and intervention log</x:v>
      </x:c>
      <x:c r="J1027" s="17" t="str">
        <x:v>Safety authority</x:v>
      </x:c>
      <x:c r="K1027" s="17" t="str">
        <x:v>Public custody E</x:v>
      </x:c>
      <x:c r="L1027" s="9" t="n">
        <x:v>0</x:v>
      </x:c>
      <x:c r="M1027" s="9" t="n">
        <x:v>0</x:v>
      </x:c>
      <x:c r="N1027" s="9" t="n">
        <x:v>0</x:v>
      </x:c>
      <x:c r="O1027" s="9" t="n">
        <x:v>0</x:v>
      </x:c>
      <x:c r="P1027" s="9" t="str">
        <x:v>UNSEALED / SOURCE-EMPTY</x:v>
      </x:c>
      <x:c r="Q1027" s="9" t="n">
        <x:f>COUNTIFS($A$7:$A$1158,A1027)</x:f>
        <x:v>1</x:v>
      </x:c>
    </x:row>
    <x:row r="1028">
      <x:c r="A1028" s="9" t="str">
        <x:v>EV-AR-ET-A-A-TECH-1-B2-RCN-G0-RW06</x:v>
      </x:c>
      <x:c r="B1028" s="9" t="str">
        <x:v>EV-AR-ET-A-A-TECH-1-B2-RCN-G0</x:v>
      </x:c>
      <x:c r="C1028" s="9" t="str">
        <x:v>AR-ET-A-A-TECH-1-B2-RCN-G0</x:v>
      </x:c>
      <x:c r="D1028" s="9" t="str">
        <x:v>ET-A-A-TECH-1</x:v>
      </x:c>
      <x:c r="E1028" s="9" t="str">
        <x:v>ET-A-A</x:v>
      </x:c>
      <x:c r="F1028" s="9" t="str">
        <x:v>B2</x:v>
      </x:c>
      <x:c r="G1028" s="9" t="str">
        <x:v>RCN</x:v>
      </x:c>
      <x:c r="H1028" s="9" t="str">
        <x:v>RW06</x:v>
      </x:c>
      <x:c r="I1028" s="17" t="str">
        <x:v>Receiver service ledger</x:v>
      </x:c>
      <x:c r="J1028" s="17" t="str">
        <x:v>Receiver authority</x:v>
      </x:c>
      <x:c r="K1028" s="17" t="str">
        <x:v>Public custody F</x:v>
      </x:c>
      <x:c r="L1028" s="9" t="n">
        <x:v>0</x:v>
      </x:c>
      <x:c r="M1028" s="9" t="n">
        <x:v>0</x:v>
      </x:c>
      <x:c r="N1028" s="9" t="n">
        <x:v>0</x:v>
      </x:c>
      <x:c r="O1028" s="9" t="n">
        <x:v>0</x:v>
      </x:c>
      <x:c r="P1028" s="9" t="str">
        <x:v>UNSEALED / SOURCE-EMPTY</x:v>
      </x:c>
      <x:c r="Q1028" s="9" t="n">
        <x:f>COUNTIFS($A$7:$A$1158,A1028)</x:f>
        <x:v>1</x:v>
      </x:c>
    </x:row>
    <x:row r="1029">
      <x:c r="A1029" s="9" t="str">
        <x:v>EV-AR-ET-A-A-TECH-1-B2-RCN-G0-RW07</x:v>
      </x:c>
      <x:c r="B1029" s="9" t="str">
        <x:v>EV-AR-ET-A-A-TECH-1-B2-RCN-G0</x:v>
      </x:c>
      <x:c r="C1029" s="9" t="str">
        <x:v>AR-ET-A-A-TECH-1-B2-RCN-G0</x:v>
      </x:c>
      <x:c r="D1029" s="9" t="str">
        <x:v>ET-A-A-TECH-1</x:v>
      </x:c>
      <x:c r="E1029" s="9" t="str">
        <x:v>ET-A-A</x:v>
      </x:c>
      <x:c r="F1029" s="9" t="str">
        <x:v>B2</x:v>
      </x:c>
      <x:c r="G1029" s="9" t="str">
        <x:v>RCN</x:v>
      </x:c>
      <x:c r="H1029" s="9" t="str">
        <x:v>RW07</x:v>
      </x:c>
      <x:c r="I1029" s="17" t="str">
        <x:v>Candidate interface telemetry</x:v>
      </x:c>
      <x:c r="J1029" s="17" t="str">
        <x:v>Interface custodian</x:v>
      </x:c>
      <x:c r="K1029" s="17" t="str">
        <x:v>Public custody A</x:v>
      </x:c>
      <x:c r="L1029" s="9" t="n">
        <x:v>0</x:v>
      </x:c>
      <x:c r="M1029" s="9" t="n">
        <x:v>0</x:v>
      </x:c>
      <x:c r="N1029" s="9" t="n">
        <x:v>0</x:v>
      </x:c>
      <x:c r="O1029" s="9" t="n">
        <x:v>0</x:v>
      </x:c>
      <x:c r="P1029" s="9" t="str">
        <x:v>UNSEALED / SOURCE-EMPTY</x:v>
      </x:c>
      <x:c r="Q1029" s="9" t="n">
        <x:f>COUNTIFS($A$7:$A$1158,A1029)</x:f>
        <x:v>1</x:v>
      </x:c>
    </x:row>
    <x:row r="1030">
      <x:c r="A1030" s="9" t="str">
        <x:v>EV-AR-ET-A-A-TECH-1-B2-RCN-G0-RW08</x:v>
      </x:c>
      <x:c r="B1030" s="9" t="str">
        <x:v>EV-AR-ET-A-A-TECH-1-B2-RCN-G0</x:v>
      </x:c>
      <x:c r="C1030" s="9" t="str">
        <x:v>AR-ET-A-A-TECH-1-B2-RCN-G0</x:v>
      </x:c>
      <x:c r="D1030" s="9" t="str">
        <x:v>ET-A-A-TECH-1</x:v>
      </x:c>
      <x:c r="E1030" s="9" t="str">
        <x:v>ET-A-A</x:v>
      </x:c>
      <x:c r="F1030" s="9" t="str">
        <x:v>B2</x:v>
      </x:c>
      <x:c r="G1030" s="9" t="str">
        <x:v>RCN</x:v>
      </x:c>
      <x:c r="H1030" s="9" t="str">
        <x:v>RW08</x:v>
      </x:c>
      <x:c r="I1030" s="17" t="str">
        <x:v>Residual and physical evidence</x:v>
      </x:c>
      <x:c r="J1030" s="17" t="str">
        <x:v>Residual authority</x:v>
      </x:c>
      <x:c r="K1030" s="17" t="str">
        <x:v>Public custody B</x:v>
      </x:c>
      <x:c r="L1030" s="9" t="n">
        <x:v>0</x:v>
      </x:c>
      <x:c r="M1030" s="9" t="n">
        <x:v>0</x:v>
      </x:c>
      <x:c r="N1030" s="9" t="n">
        <x:v>0</x:v>
      </x:c>
      <x:c r="O1030" s="9" t="n">
        <x:v>0</x:v>
      </x:c>
      <x:c r="P1030" s="9" t="str">
        <x:v>UNSEALED / SOURCE-EMPTY</x:v>
      </x:c>
      <x:c r="Q1030" s="9" t="n">
        <x:f>COUNTIFS($A$7:$A$1158,A1030)</x:f>
        <x:v>1</x:v>
      </x:c>
    </x:row>
    <x:row r="1031">
      <x:c r="A1031" s="9" t="str">
        <x:v>EV-AR-HC-A-C-TECH-1-B2-BRK-G0-RW01</x:v>
      </x:c>
      <x:c r="B1031" s="9" t="str">
        <x:v>EV-AR-HC-A-C-TECH-1-B2-BRK-G0</x:v>
      </x:c>
      <x:c r="C1031" s="9" t="str">
        <x:v>AR-HC-A-C-TECH-1-B2-BRK-G0</x:v>
      </x:c>
      <x:c r="D1031" s="9" t="str">
        <x:v>HC-A-C-TECH-1</x:v>
      </x:c>
      <x:c r="E1031" s="9" t="str">
        <x:v>HC-A-C</x:v>
      </x:c>
      <x:c r="F1031" s="9" t="str">
        <x:v>B2</x:v>
      </x:c>
      <x:c r="G1031" s="9" t="str">
        <x:v>BRK</x:v>
      </x:c>
      <x:c r="H1031" s="9" t="str">
        <x:v>RW01</x:v>
      </x:c>
      <x:c r="I1031" s="17" t="str">
        <x:v>Primary raw stream</x:v>
      </x:c>
      <x:c r="J1031" s="17" t="str">
        <x:v>Primary metrology</x:v>
      </x:c>
      <x:c r="K1031" s="17" t="str">
        <x:v>Public custody A</x:v>
      </x:c>
      <x:c r="L1031" s="9" t="n">
        <x:v>0</x:v>
      </x:c>
      <x:c r="M1031" s="9" t="n">
        <x:v>0</x:v>
      </x:c>
      <x:c r="N1031" s="9" t="n">
        <x:v>0</x:v>
      </x:c>
      <x:c r="O1031" s="9" t="n">
        <x:v>0</x:v>
      </x:c>
      <x:c r="P1031" s="9" t="str">
        <x:v>UNSEALED / SOURCE-EMPTY</x:v>
      </x:c>
      <x:c r="Q1031" s="9" t="n">
        <x:f>COUNTIFS($A$7:$A$1158,A1031)</x:f>
        <x:v>1</x:v>
      </x:c>
    </x:row>
    <x:row r="1032">
      <x:c r="A1032" s="9" t="str">
        <x:v>EV-AR-HC-A-C-TECH-1-B2-BRK-G0-RW02</x:v>
      </x:c>
      <x:c r="B1032" s="9" t="str">
        <x:v>EV-AR-HC-A-C-TECH-1-B2-BRK-G0</x:v>
      </x:c>
      <x:c r="C1032" s="9" t="str">
        <x:v>AR-HC-A-C-TECH-1-B2-BRK-G0</x:v>
      </x:c>
      <x:c r="D1032" s="9" t="str">
        <x:v>HC-A-C-TECH-1</x:v>
      </x:c>
      <x:c r="E1032" s="9" t="str">
        <x:v>HC-A-C</x:v>
      </x:c>
      <x:c r="F1032" s="9" t="str">
        <x:v>B2</x:v>
      </x:c>
      <x:c r="G1032" s="9" t="str">
        <x:v>BRK</x:v>
      </x:c>
      <x:c r="H1032" s="9" t="str">
        <x:v>RW02</x:v>
      </x:c>
      <x:c r="I1032" s="17" t="str">
        <x:v>Unlike witness stream</x:v>
      </x:c>
      <x:c r="J1032" s="17" t="str">
        <x:v>Witness metrology</x:v>
      </x:c>
      <x:c r="K1032" s="17" t="str">
        <x:v>Public custody B</x:v>
      </x:c>
      <x:c r="L1032" s="9" t="n">
        <x:v>0</x:v>
      </x:c>
      <x:c r="M1032" s="9" t="n">
        <x:v>0</x:v>
      </x:c>
      <x:c r="N1032" s="9" t="n">
        <x:v>0</x:v>
      </x:c>
      <x:c r="O1032" s="9" t="n">
        <x:v>0</x:v>
      </x:c>
      <x:c r="P1032" s="9" t="str">
        <x:v>UNSEALED / SOURCE-EMPTY</x:v>
      </x:c>
      <x:c r="Q1032" s="9" t="n">
        <x:f>COUNTIFS($A$7:$A$1158,A1032)</x:f>
        <x:v>1</x:v>
      </x:c>
    </x:row>
    <x:row r="1033">
      <x:c r="A1033" s="9" t="str">
        <x:v>EV-AR-HC-A-C-TECH-1-B2-BRK-G0-RW03</x:v>
      </x:c>
      <x:c r="B1033" s="9" t="str">
        <x:v>EV-AR-HC-A-C-TECH-1-B2-BRK-G0</x:v>
      </x:c>
      <x:c r="C1033" s="9" t="str">
        <x:v>AR-HC-A-C-TECH-1-B2-BRK-G0</x:v>
      </x:c>
      <x:c r="D1033" s="9" t="str">
        <x:v>HC-A-C-TECH-1</x:v>
      </x:c>
      <x:c r="E1033" s="9" t="str">
        <x:v>HC-A-C</x:v>
      </x:c>
      <x:c r="F1033" s="9" t="str">
        <x:v>B2</x:v>
      </x:c>
      <x:c r="G1033" s="9" t="str">
        <x:v>BRK</x:v>
      </x:c>
      <x:c r="H1033" s="9" t="str">
        <x:v>RW03</x:v>
      </x:c>
      <x:c r="I1033" s="17" t="str">
        <x:v>Event clock and start traces</x:v>
      </x:c>
      <x:c r="J1033" s="17" t="str">
        <x:v>Event clock authority</x:v>
      </x:c>
      <x:c r="K1033" s="17" t="str">
        <x:v>Public custody C</x:v>
      </x:c>
      <x:c r="L1033" s="9" t="n">
        <x:v>0</x:v>
      </x:c>
      <x:c r="M1033" s="9" t="n">
        <x:v>0</x:v>
      </x:c>
      <x:c r="N1033" s="9" t="n">
        <x:v>0</x:v>
      </x:c>
      <x:c r="O1033" s="9" t="n">
        <x:v>0</x:v>
      </x:c>
      <x:c r="P1033" s="9" t="str">
        <x:v>UNSEALED / SOURCE-EMPTY</x:v>
      </x:c>
      <x:c r="Q1033" s="9" t="n">
        <x:f>COUNTIFS($A$7:$A$1158,A1033)</x:f>
        <x:v>1</x:v>
      </x:c>
    </x:row>
    <x:row r="1034">
      <x:c r="A1034" s="9" t="str">
        <x:v>EV-AR-HC-A-C-TECH-1-B2-BRK-G0-RW04</x:v>
      </x:c>
      <x:c r="B1034" s="9" t="str">
        <x:v>EV-AR-HC-A-C-TECH-1-B2-BRK-G0</x:v>
      </x:c>
      <x:c r="C1034" s="9" t="str">
        <x:v>AR-HC-A-C-TECH-1-B2-BRK-G0</x:v>
      </x:c>
      <x:c r="D1034" s="9" t="str">
        <x:v>HC-A-C-TECH-1</x:v>
      </x:c>
      <x:c r="E1034" s="9" t="str">
        <x:v>HC-A-C</x:v>
      </x:c>
      <x:c r="F1034" s="9" t="str">
        <x:v>B2</x:v>
      </x:c>
      <x:c r="G1034" s="9" t="str">
        <x:v>BRK</x:v>
      </x:c>
      <x:c r="H1034" s="9" t="str">
        <x:v>RW04</x:v>
      </x:c>
      <x:c r="I1034" s="17" t="str">
        <x:v>Environmental boundary stream</x:v>
      </x:c>
      <x:c r="J1034" s="17" t="str">
        <x:v>Site metrology</x:v>
      </x:c>
      <x:c r="K1034" s="17" t="str">
        <x:v>Public custody D</x:v>
      </x:c>
      <x:c r="L1034" s="9" t="n">
        <x:v>0</x:v>
      </x:c>
      <x:c r="M1034" s="9" t="n">
        <x:v>0</x:v>
      </x:c>
      <x:c r="N1034" s="9" t="n">
        <x:v>0</x:v>
      </x:c>
      <x:c r="O1034" s="9" t="n">
        <x:v>0</x:v>
      </x:c>
      <x:c r="P1034" s="9" t="str">
        <x:v>UNSEALED / SOURCE-EMPTY</x:v>
      </x:c>
      <x:c r="Q1034" s="9" t="n">
        <x:f>COUNTIFS($A$7:$A$1158,A1034)</x:f>
        <x:v>1</x:v>
      </x:c>
    </x:row>
    <x:row r="1035">
      <x:c r="A1035" s="9" t="str">
        <x:v>EV-AR-HC-A-C-TECH-1-B2-BRK-G0-RW05</x:v>
      </x:c>
      <x:c r="B1035" s="9" t="str">
        <x:v>EV-AR-HC-A-C-TECH-1-B2-BRK-G0</x:v>
      </x:c>
      <x:c r="C1035" s="9" t="str">
        <x:v>AR-HC-A-C-TECH-1-B2-BRK-G0</x:v>
      </x:c>
      <x:c r="D1035" s="9" t="str">
        <x:v>HC-A-C-TECH-1</x:v>
      </x:c>
      <x:c r="E1035" s="9" t="str">
        <x:v>HC-A-C</x:v>
      </x:c>
      <x:c r="F1035" s="9" t="str">
        <x:v>B2</x:v>
      </x:c>
      <x:c r="G1035" s="9" t="str">
        <x:v>BRK</x:v>
      </x:c>
      <x:c r="H1035" s="9" t="str">
        <x:v>RW05</x:v>
      </x:c>
      <x:c r="I1035" s="17" t="str">
        <x:v>Command and intervention log</x:v>
      </x:c>
      <x:c r="J1035" s="17" t="str">
        <x:v>Safety authority</x:v>
      </x:c>
      <x:c r="K1035" s="17" t="str">
        <x:v>Public custody E</x:v>
      </x:c>
      <x:c r="L1035" s="9" t="n">
        <x:v>0</x:v>
      </x:c>
      <x:c r="M1035" s="9" t="n">
        <x:v>0</x:v>
      </x:c>
      <x:c r="N1035" s="9" t="n">
        <x:v>0</x:v>
      </x:c>
      <x:c r="O1035" s="9" t="n">
        <x:v>0</x:v>
      </x:c>
      <x:c r="P1035" s="9" t="str">
        <x:v>UNSEALED / SOURCE-EMPTY</x:v>
      </x:c>
      <x:c r="Q1035" s="9" t="n">
        <x:f>COUNTIFS($A$7:$A$1158,A1035)</x:f>
        <x:v>1</x:v>
      </x:c>
    </x:row>
    <x:row r="1036">
      <x:c r="A1036" s="9" t="str">
        <x:v>EV-AR-HC-A-C-TECH-1-B2-BRK-G0-RW06</x:v>
      </x:c>
      <x:c r="B1036" s="9" t="str">
        <x:v>EV-AR-HC-A-C-TECH-1-B2-BRK-G0</x:v>
      </x:c>
      <x:c r="C1036" s="9" t="str">
        <x:v>AR-HC-A-C-TECH-1-B2-BRK-G0</x:v>
      </x:c>
      <x:c r="D1036" s="9" t="str">
        <x:v>HC-A-C-TECH-1</x:v>
      </x:c>
      <x:c r="E1036" s="9" t="str">
        <x:v>HC-A-C</x:v>
      </x:c>
      <x:c r="F1036" s="9" t="str">
        <x:v>B2</x:v>
      </x:c>
      <x:c r="G1036" s="9" t="str">
        <x:v>BRK</x:v>
      </x:c>
      <x:c r="H1036" s="9" t="str">
        <x:v>RW06</x:v>
      </x:c>
      <x:c r="I1036" s="17" t="str">
        <x:v>Receiver service ledger</x:v>
      </x:c>
      <x:c r="J1036" s="17" t="str">
        <x:v>Receiver authority</x:v>
      </x:c>
      <x:c r="K1036" s="17" t="str">
        <x:v>Public custody F</x:v>
      </x:c>
      <x:c r="L1036" s="9" t="n">
        <x:v>0</x:v>
      </x:c>
      <x:c r="M1036" s="9" t="n">
        <x:v>0</x:v>
      </x:c>
      <x:c r="N1036" s="9" t="n">
        <x:v>0</x:v>
      </x:c>
      <x:c r="O1036" s="9" t="n">
        <x:v>0</x:v>
      </x:c>
      <x:c r="P1036" s="9" t="str">
        <x:v>UNSEALED / SOURCE-EMPTY</x:v>
      </x:c>
      <x:c r="Q1036" s="9" t="n">
        <x:f>COUNTIFS($A$7:$A$1158,A1036)</x:f>
        <x:v>1</x:v>
      </x:c>
    </x:row>
    <x:row r="1037">
      <x:c r="A1037" s="9" t="str">
        <x:v>EV-AR-HC-A-C-TECH-1-B2-BRK-G0-RW07</x:v>
      </x:c>
      <x:c r="B1037" s="9" t="str">
        <x:v>EV-AR-HC-A-C-TECH-1-B2-BRK-G0</x:v>
      </x:c>
      <x:c r="C1037" s="9" t="str">
        <x:v>AR-HC-A-C-TECH-1-B2-BRK-G0</x:v>
      </x:c>
      <x:c r="D1037" s="9" t="str">
        <x:v>HC-A-C-TECH-1</x:v>
      </x:c>
      <x:c r="E1037" s="9" t="str">
        <x:v>HC-A-C</x:v>
      </x:c>
      <x:c r="F1037" s="9" t="str">
        <x:v>B2</x:v>
      </x:c>
      <x:c r="G1037" s="9" t="str">
        <x:v>BRK</x:v>
      </x:c>
      <x:c r="H1037" s="9" t="str">
        <x:v>RW07</x:v>
      </x:c>
      <x:c r="I1037" s="17" t="str">
        <x:v>Candidate interface telemetry</x:v>
      </x:c>
      <x:c r="J1037" s="17" t="str">
        <x:v>Interface custodian</x:v>
      </x:c>
      <x:c r="K1037" s="17" t="str">
        <x:v>Public custody A</x:v>
      </x:c>
      <x:c r="L1037" s="9" t="n">
        <x:v>0</x:v>
      </x:c>
      <x:c r="M1037" s="9" t="n">
        <x:v>0</x:v>
      </x:c>
      <x:c r="N1037" s="9" t="n">
        <x:v>0</x:v>
      </x:c>
      <x:c r="O1037" s="9" t="n">
        <x:v>0</x:v>
      </x:c>
      <x:c r="P1037" s="9" t="str">
        <x:v>UNSEALED / SOURCE-EMPTY</x:v>
      </x:c>
      <x:c r="Q1037" s="9" t="n">
        <x:f>COUNTIFS($A$7:$A$1158,A1037)</x:f>
        <x:v>1</x:v>
      </x:c>
    </x:row>
    <x:row r="1038">
      <x:c r="A1038" s="9" t="str">
        <x:v>EV-AR-HC-A-C-TECH-1-B2-BRK-G0-RW08</x:v>
      </x:c>
      <x:c r="B1038" s="9" t="str">
        <x:v>EV-AR-HC-A-C-TECH-1-B2-BRK-G0</x:v>
      </x:c>
      <x:c r="C1038" s="9" t="str">
        <x:v>AR-HC-A-C-TECH-1-B2-BRK-G0</x:v>
      </x:c>
      <x:c r="D1038" s="9" t="str">
        <x:v>HC-A-C-TECH-1</x:v>
      </x:c>
      <x:c r="E1038" s="9" t="str">
        <x:v>HC-A-C</x:v>
      </x:c>
      <x:c r="F1038" s="9" t="str">
        <x:v>B2</x:v>
      </x:c>
      <x:c r="G1038" s="9" t="str">
        <x:v>BRK</x:v>
      </x:c>
      <x:c r="H1038" s="9" t="str">
        <x:v>RW08</x:v>
      </x:c>
      <x:c r="I1038" s="17" t="str">
        <x:v>Residual and physical evidence</x:v>
      </x:c>
      <x:c r="J1038" s="17" t="str">
        <x:v>Residual authority</x:v>
      </x:c>
      <x:c r="K1038" s="17" t="str">
        <x:v>Public custody B</x:v>
      </x:c>
      <x:c r="L1038" s="9" t="n">
        <x:v>0</x:v>
      </x:c>
      <x:c r="M1038" s="9" t="n">
        <x:v>0</x:v>
      </x:c>
      <x:c r="N1038" s="9" t="n">
        <x:v>0</x:v>
      </x:c>
      <x:c r="O1038" s="9" t="n">
        <x:v>0</x:v>
      </x:c>
      <x:c r="P1038" s="9" t="str">
        <x:v>UNSEALED / SOURCE-EMPTY</x:v>
      </x:c>
      <x:c r="Q1038" s="9" t="n">
        <x:f>COUNTIFS($A$7:$A$1158,A1038)</x:f>
        <x:v>1</x:v>
      </x:c>
    </x:row>
    <x:row r="1039">
      <x:c r="A1039" s="9" t="str">
        <x:v>EV-AR-HU-A-B-TECH-1-B2-INT-G0-RW01</x:v>
      </x:c>
      <x:c r="B1039" s="9" t="str">
        <x:v>EV-AR-HU-A-B-TECH-1-B2-INT-G0</x:v>
      </x:c>
      <x:c r="C1039" s="9" t="str">
        <x:v>AR-HU-A-B-TECH-1-B2-INT-G0</x:v>
      </x:c>
      <x:c r="D1039" s="9" t="str">
        <x:v>HU-A-B-TECH-1</x:v>
      </x:c>
      <x:c r="E1039" s="9" t="str">
        <x:v>HU-A-B</x:v>
      </x:c>
      <x:c r="F1039" s="9" t="str">
        <x:v>B2</x:v>
      </x:c>
      <x:c r="G1039" s="9" t="str">
        <x:v>INT</x:v>
      </x:c>
      <x:c r="H1039" s="9" t="str">
        <x:v>RW01</x:v>
      </x:c>
      <x:c r="I1039" s="17" t="str">
        <x:v>Primary raw stream</x:v>
      </x:c>
      <x:c r="J1039" s="17" t="str">
        <x:v>Primary metrology</x:v>
      </x:c>
      <x:c r="K1039" s="17" t="str">
        <x:v>Public custody A</x:v>
      </x:c>
      <x:c r="L1039" s="9" t="n">
        <x:v>0</x:v>
      </x:c>
      <x:c r="M1039" s="9" t="n">
        <x:v>0</x:v>
      </x:c>
      <x:c r="N1039" s="9" t="n">
        <x:v>0</x:v>
      </x:c>
      <x:c r="O1039" s="9" t="n">
        <x:v>0</x:v>
      </x:c>
      <x:c r="P1039" s="9" t="str">
        <x:v>UNSEALED / SOURCE-EMPTY</x:v>
      </x:c>
      <x:c r="Q1039" s="9" t="n">
        <x:f>COUNTIFS($A$7:$A$1158,A1039)</x:f>
        <x:v>1</x:v>
      </x:c>
    </x:row>
    <x:row r="1040">
      <x:c r="A1040" s="9" t="str">
        <x:v>EV-AR-HU-A-B-TECH-1-B2-INT-G0-RW02</x:v>
      </x:c>
      <x:c r="B1040" s="9" t="str">
        <x:v>EV-AR-HU-A-B-TECH-1-B2-INT-G0</x:v>
      </x:c>
      <x:c r="C1040" s="9" t="str">
        <x:v>AR-HU-A-B-TECH-1-B2-INT-G0</x:v>
      </x:c>
      <x:c r="D1040" s="9" t="str">
        <x:v>HU-A-B-TECH-1</x:v>
      </x:c>
      <x:c r="E1040" s="9" t="str">
        <x:v>HU-A-B</x:v>
      </x:c>
      <x:c r="F1040" s="9" t="str">
        <x:v>B2</x:v>
      </x:c>
      <x:c r="G1040" s="9" t="str">
        <x:v>INT</x:v>
      </x:c>
      <x:c r="H1040" s="9" t="str">
        <x:v>RW02</x:v>
      </x:c>
      <x:c r="I1040" s="17" t="str">
        <x:v>Unlike witness stream</x:v>
      </x:c>
      <x:c r="J1040" s="17" t="str">
        <x:v>Witness metrology</x:v>
      </x:c>
      <x:c r="K1040" s="17" t="str">
        <x:v>Public custody B</x:v>
      </x:c>
      <x:c r="L1040" s="9" t="n">
        <x:v>0</x:v>
      </x:c>
      <x:c r="M1040" s="9" t="n">
        <x:v>0</x:v>
      </x:c>
      <x:c r="N1040" s="9" t="n">
        <x:v>0</x:v>
      </x:c>
      <x:c r="O1040" s="9" t="n">
        <x:v>0</x:v>
      </x:c>
      <x:c r="P1040" s="9" t="str">
        <x:v>UNSEALED / SOURCE-EMPTY</x:v>
      </x:c>
      <x:c r="Q1040" s="9" t="n">
        <x:f>COUNTIFS($A$7:$A$1158,A1040)</x:f>
        <x:v>1</x:v>
      </x:c>
    </x:row>
    <x:row r="1041">
      <x:c r="A1041" s="9" t="str">
        <x:v>EV-AR-HU-A-B-TECH-1-B2-INT-G0-RW03</x:v>
      </x:c>
      <x:c r="B1041" s="9" t="str">
        <x:v>EV-AR-HU-A-B-TECH-1-B2-INT-G0</x:v>
      </x:c>
      <x:c r="C1041" s="9" t="str">
        <x:v>AR-HU-A-B-TECH-1-B2-INT-G0</x:v>
      </x:c>
      <x:c r="D1041" s="9" t="str">
        <x:v>HU-A-B-TECH-1</x:v>
      </x:c>
      <x:c r="E1041" s="9" t="str">
        <x:v>HU-A-B</x:v>
      </x:c>
      <x:c r="F1041" s="9" t="str">
        <x:v>B2</x:v>
      </x:c>
      <x:c r="G1041" s="9" t="str">
        <x:v>INT</x:v>
      </x:c>
      <x:c r="H1041" s="9" t="str">
        <x:v>RW03</x:v>
      </x:c>
      <x:c r="I1041" s="17" t="str">
        <x:v>Event clock and start traces</x:v>
      </x:c>
      <x:c r="J1041" s="17" t="str">
        <x:v>Event clock authority</x:v>
      </x:c>
      <x:c r="K1041" s="17" t="str">
        <x:v>Public custody C</x:v>
      </x:c>
      <x:c r="L1041" s="9" t="n">
        <x:v>0</x:v>
      </x:c>
      <x:c r="M1041" s="9" t="n">
        <x:v>0</x:v>
      </x:c>
      <x:c r="N1041" s="9" t="n">
        <x:v>0</x:v>
      </x:c>
      <x:c r="O1041" s="9" t="n">
        <x:v>0</x:v>
      </x:c>
      <x:c r="P1041" s="9" t="str">
        <x:v>UNSEALED / SOURCE-EMPTY</x:v>
      </x:c>
      <x:c r="Q1041" s="9" t="n">
        <x:f>COUNTIFS($A$7:$A$1158,A1041)</x:f>
        <x:v>1</x:v>
      </x:c>
    </x:row>
    <x:row r="1042">
      <x:c r="A1042" s="9" t="str">
        <x:v>EV-AR-HU-A-B-TECH-1-B2-INT-G0-RW04</x:v>
      </x:c>
      <x:c r="B1042" s="9" t="str">
        <x:v>EV-AR-HU-A-B-TECH-1-B2-INT-G0</x:v>
      </x:c>
      <x:c r="C1042" s="9" t="str">
        <x:v>AR-HU-A-B-TECH-1-B2-INT-G0</x:v>
      </x:c>
      <x:c r="D1042" s="9" t="str">
        <x:v>HU-A-B-TECH-1</x:v>
      </x:c>
      <x:c r="E1042" s="9" t="str">
        <x:v>HU-A-B</x:v>
      </x:c>
      <x:c r="F1042" s="9" t="str">
        <x:v>B2</x:v>
      </x:c>
      <x:c r="G1042" s="9" t="str">
        <x:v>INT</x:v>
      </x:c>
      <x:c r="H1042" s="9" t="str">
        <x:v>RW04</x:v>
      </x:c>
      <x:c r="I1042" s="17" t="str">
        <x:v>Environmental boundary stream</x:v>
      </x:c>
      <x:c r="J1042" s="17" t="str">
        <x:v>Site metrology</x:v>
      </x:c>
      <x:c r="K1042" s="17" t="str">
        <x:v>Public custody D</x:v>
      </x:c>
      <x:c r="L1042" s="9" t="n">
        <x:v>0</x:v>
      </x:c>
      <x:c r="M1042" s="9" t="n">
        <x:v>0</x:v>
      </x:c>
      <x:c r="N1042" s="9" t="n">
        <x:v>0</x:v>
      </x:c>
      <x:c r="O1042" s="9" t="n">
        <x:v>0</x:v>
      </x:c>
      <x:c r="P1042" s="9" t="str">
        <x:v>UNSEALED / SOURCE-EMPTY</x:v>
      </x:c>
      <x:c r="Q1042" s="9" t="n">
        <x:f>COUNTIFS($A$7:$A$1158,A1042)</x:f>
        <x:v>1</x:v>
      </x:c>
    </x:row>
    <x:row r="1043">
      <x:c r="A1043" s="9" t="str">
        <x:v>EV-AR-HU-A-B-TECH-1-B2-INT-G0-RW05</x:v>
      </x:c>
      <x:c r="B1043" s="9" t="str">
        <x:v>EV-AR-HU-A-B-TECH-1-B2-INT-G0</x:v>
      </x:c>
      <x:c r="C1043" s="9" t="str">
        <x:v>AR-HU-A-B-TECH-1-B2-INT-G0</x:v>
      </x:c>
      <x:c r="D1043" s="9" t="str">
        <x:v>HU-A-B-TECH-1</x:v>
      </x:c>
      <x:c r="E1043" s="9" t="str">
        <x:v>HU-A-B</x:v>
      </x:c>
      <x:c r="F1043" s="9" t="str">
        <x:v>B2</x:v>
      </x:c>
      <x:c r="G1043" s="9" t="str">
        <x:v>INT</x:v>
      </x:c>
      <x:c r="H1043" s="9" t="str">
        <x:v>RW05</x:v>
      </x:c>
      <x:c r="I1043" s="17" t="str">
        <x:v>Command and intervention log</x:v>
      </x:c>
      <x:c r="J1043" s="17" t="str">
        <x:v>Safety authority</x:v>
      </x:c>
      <x:c r="K1043" s="17" t="str">
        <x:v>Public custody E</x:v>
      </x:c>
      <x:c r="L1043" s="9" t="n">
        <x:v>0</x:v>
      </x:c>
      <x:c r="M1043" s="9" t="n">
        <x:v>0</x:v>
      </x:c>
      <x:c r="N1043" s="9" t="n">
        <x:v>0</x:v>
      </x:c>
      <x:c r="O1043" s="9" t="n">
        <x:v>0</x:v>
      </x:c>
      <x:c r="P1043" s="9" t="str">
        <x:v>UNSEALED / SOURCE-EMPTY</x:v>
      </x:c>
      <x:c r="Q1043" s="9" t="n">
        <x:f>COUNTIFS($A$7:$A$1158,A1043)</x:f>
        <x:v>1</x:v>
      </x:c>
    </x:row>
    <x:row r="1044">
      <x:c r="A1044" s="9" t="str">
        <x:v>EV-AR-HU-A-B-TECH-1-B2-INT-G0-RW06</x:v>
      </x:c>
      <x:c r="B1044" s="9" t="str">
        <x:v>EV-AR-HU-A-B-TECH-1-B2-INT-G0</x:v>
      </x:c>
      <x:c r="C1044" s="9" t="str">
        <x:v>AR-HU-A-B-TECH-1-B2-INT-G0</x:v>
      </x:c>
      <x:c r="D1044" s="9" t="str">
        <x:v>HU-A-B-TECH-1</x:v>
      </x:c>
      <x:c r="E1044" s="9" t="str">
        <x:v>HU-A-B</x:v>
      </x:c>
      <x:c r="F1044" s="9" t="str">
        <x:v>B2</x:v>
      </x:c>
      <x:c r="G1044" s="9" t="str">
        <x:v>INT</x:v>
      </x:c>
      <x:c r="H1044" s="9" t="str">
        <x:v>RW06</x:v>
      </x:c>
      <x:c r="I1044" s="17" t="str">
        <x:v>Receiver service ledger</x:v>
      </x:c>
      <x:c r="J1044" s="17" t="str">
        <x:v>Receiver authority</x:v>
      </x:c>
      <x:c r="K1044" s="17" t="str">
        <x:v>Public custody F</x:v>
      </x:c>
      <x:c r="L1044" s="9" t="n">
        <x:v>0</x:v>
      </x:c>
      <x:c r="M1044" s="9" t="n">
        <x:v>0</x:v>
      </x:c>
      <x:c r="N1044" s="9" t="n">
        <x:v>0</x:v>
      </x:c>
      <x:c r="O1044" s="9" t="n">
        <x:v>0</x:v>
      </x:c>
      <x:c r="P1044" s="9" t="str">
        <x:v>UNSEALED / SOURCE-EMPTY</x:v>
      </x:c>
      <x:c r="Q1044" s="9" t="n">
        <x:f>COUNTIFS($A$7:$A$1158,A1044)</x:f>
        <x:v>1</x:v>
      </x:c>
    </x:row>
    <x:row r="1045">
      <x:c r="A1045" s="9" t="str">
        <x:v>EV-AR-HU-A-B-TECH-1-B2-INT-G0-RW07</x:v>
      </x:c>
      <x:c r="B1045" s="9" t="str">
        <x:v>EV-AR-HU-A-B-TECH-1-B2-INT-G0</x:v>
      </x:c>
      <x:c r="C1045" s="9" t="str">
        <x:v>AR-HU-A-B-TECH-1-B2-INT-G0</x:v>
      </x:c>
      <x:c r="D1045" s="9" t="str">
        <x:v>HU-A-B-TECH-1</x:v>
      </x:c>
      <x:c r="E1045" s="9" t="str">
        <x:v>HU-A-B</x:v>
      </x:c>
      <x:c r="F1045" s="9" t="str">
        <x:v>B2</x:v>
      </x:c>
      <x:c r="G1045" s="9" t="str">
        <x:v>INT</x:v>
      </x:c>
      <x:c r="H1045" s="9" t="str">
        <x:v>RW07</x:v>
      </x:c>
      <x:c r="I1045" s="17" t="str">
        <x:v>Candidate interface telemetry</x:v>
      </x:c>
      <x:c r="J1045" s="17" t="str">
        <x:v>Interface custodian</x:v>
      </x:c>
      <x:c r="K1045" s="17" t="str">
        <x:v>Public custody A</x:v>
      </x:c>
      <x:c r="L1045" s="9" t="n">
        <x:v>0</x:v>
      </x:c>
      <x:c r="M1045" s="9" t="n">
        <x:v>0</x:v>
      </x:c>
      <x:c r="N1045" s="9" t="n">
        <x:v>0</x:v>
      </x:c>
      <x:c r="O1045" s="9" t="n">
        <x:v>0</x:v>
      </x:c>
      <x:c r="P1045" s="9" t="str">
        <x:v>UNSEALED / SOURCE-EMPTY</x:v>
      </x:c>
      <x:c r="Q1045" s="9" t="n">
        <x:f>COUNTIFS($A$7:$A$1158,A1045)</x:f>
        <x:v>1</x:v>
      </x:c>
    </x:row>
    <x:row r="1046">
      <x:c r="A1046" s="9" t="str">
        <x:v>EV-AR-HU-A-B-TECH-1-B2-INT-G0-RW08</x:v>
      </x:c>
      <x:c r="B1046" s="9" t="str">
        <x:v>EV-AR-HU-A-B-TECH-1-B2-INT-G0</x:v>
      </x:c>
      <x:c r="C1046" s="9" t="str">
        <x:v>AR-HU-A-B-TECH-1-B2-INT-G0</x:v>
      </x:c>
      <x:c r="D1046" s="9" t="str">
        <x:v>HU-A-B-TECH-1</x:v>
      </x:c>
      <x:c r="E1046" s="9" t="str">
        <x:v>HU-A-B</x:v>
      </x:c>
      <x:c r="F1046" s="9" t="str">
        <x:v>B2</x:v>
      </x:c>
      <x:c r="G1046" s="9" t="str">
        <x:v>INT</x:v>
      </x:c>
      <x:c r="H1046" s="9" t="str">
        <x:v>RW08</x:v>
      </x:c>
      <x:c r="I1046" s="17" t="str">
        <x:v>Residual and physical evidence</x:v>
      </x:c>
      <x:c r="J1046" s="17" t="str">
        <x:v>Residual authority</x:v>
      </x:c>
      <x:c r="K1046" s="17" t="str">
        <x:v>Public custody B</x:v>
      </x:c>
      <x:c r="L1046" s="9" t="n">
        <x:v>0</x:v>
      </x:c>
      <x:c r="M1046" s="9" t="n">
        <x:v>0</x:v>
      </x:c>
      <x:c r="N1046" s="9" t="n">
        <x:v>0</x:v>
      </x:c>
      <x:c r="O1046" s="9" t="n">
        <x:v>0</x:v>
      </x:c>
      <x:c r="P1046" s="9" t="str">
        <x:v>UNSEALED / SOURCE-EMPTY</x:v>
      </x:c>
      <x:c r="Q1046" s="9" t="n">
        <x:f>COUNTIFS($A$7:$A$1158,A1046)</x:f>
        <x:v>1</x:v>
      </x:c>
    </x:row>
    <x:row r="1047">
      <x:c r="A1047" s="9" t="str">
        <x:v>EV-AR-LF-B-A-TECH-3-B1-INT-G0-RW01</x:v>
      </x:c>
      <x:c r="B1047" s="9" t="str">
        <x:v>EV-AR-LF-B-A-TECH-3-B1-INT-G0</x:v>
      </x:c>
      <x:c r="C1047" s="9" t="str">
        <x:v>AR-LF-B-A-TECH-3-B1-INT-G0</x:v>
      </x:c>
      <x:c r="D1047" s="9" t="str">
        <x:v>LF-B-A-TECH-3</x:v>
      </x:c>
      <x:c r="E1047" s="9" t="str">
        <x:v>LF-B-A</x:v>
      </x:c>
      <x:c r="F1047" s="9" t="str">
        <x:v>B1</x:v>
      </x:c>
      <x:c r="G1047" s="9" t="str">
        <x:v>INT</x:v>
      </x:c>
      <x:c r="H1047" s="9" t="str">
        <x:v>RW01</x:v>
      </x:c>
      <x:c r="I1047" s="17" t="str">
        <x:v>Primary raw stream</x:v>
      </x:c>
      <x:c r="J1047" s="17" t="str">
        <x:v>Primary metrology</x:v>
      </x:c>
      <x:c r="K1047" s="17" t="str">
        <x:v>Public custody A</x:v>
      </x:c>
      <x:c r="L1047" s="9" t="n">
        <x:v>0</x:v>
      </x:c>
      <x:c r="M1047" s="9" t="n">
        <x:v>0</x:v>
      </x:c>
      <x:c r="N1047" s="9" t="n">
        <x:v>0</x:v>
      </x:c>
      <x:c r="O1047" s="9" t="n">
        <x:v>0</x:v>
      </x:c>
      <x:c r="P1047" s="9" t="str">
        <x:v>UNSEALED / SOURCE-EMPTY</x:v>
      </x:c>
      <x:c r="Q1047" s="9" t="n">
        <x:f>COUNTIFS($A$7:$A$1158,A1047)</x:f>
        <x:v>1</x:v>
      </x:c>
    </x:row>
    <x:row r="1048">
      <x:c r="A1048" s="9" t="str">
        <x:v>EV-AR-LF-B-A-TECH-3-B1-INT-G0-RW02</x:v>
      </x:c>
      <x:c r="B1048" s="9" t="str">
        <x:v>EV-AR-LF-B-A-TECH-3-B1-INT-G0</x:v>
      </x:c>
      <x:c r="C1048" s="9" t="str">
        <x:v>AR-LF-B-A-TECH-3-B1-INT-G0</x:v>
      </x:c>
      <x:c r="D1048" s="9" t="str">
        <x:v>LF-B-A-TECH-3</x:v>
      </x:c>
      <x:c r="E1048" s="9" t="str">
        <x:v>LF-B-A</x:v>
      </x:c>
      <x:c r="F1048" s="9" t="str">
        <x:v>B1</x:v>
      </x:c>
      <x:c r="G1048" s="9" t="str">
        <x:v>INT</x:v>
      </x:c>
      <x:c r="H1048" s="9" t="str">
        <x:v>RW02</x:v>
      </x:c>
      <x:c r="I1048" s="17" t="str">
        <x:v>Unlike witness stream</x:v>
      </x:c>
      <x:c r="J1048" s="17" t="str">
        <x:v>Witness metrology</x:v>
      </x:c>
      <x:c r="K1048" s="17" t="str">
        <x:v>Public custody B</x:v>
      </x:c>
      <x:c r="L1048" s="9" t="n">
        <x:v>0</x:v>
      </x:c>
      <x:c r="M1048" s="9" t="n">
        <x:v>0</x:v>
      </x:c>
      <x:c r="N1048" s="9" t="n">
        <x:v>0</x:v>
      </x:c>
      <x:c r="O1048" s="9" t="n">
        <x:v>0</x:v>
      </x:c>
      <x:c r="P1048" s="9" t="str">
        <x:v>UNSEALED / SOURCE-EMPTY</x:v>
      </x:c>
      <x:c r="Q1048" s="9" t="n">
        <x:f>COUNTIFS($A$7:$A$1158,A1048)</x:f>
        <x:v>1</x:v>
      </x:c>
    </x:row>
    <x:row r="1049">
      <x:c r="A1049" s="9" t="str">
        <x:v>EV-AR-LF-B-A-TECH-3-B1-INT-G0-RW03</x:v>
      </x:c>
      <x:c r="B1049" s="9" t="str">
        <x:v>EV-AR-LF-B-A-TECH-3-B1-INT-G0</x:v>
      </x:c>
      <x:c r="C1049" s="9" t="str">
        <x:v>AR-LF-B-A-TECH-3-B1-INT-G0</x:v>
      </x:c>
      <x:c r="D1049" s="9" t="str">
        <x:v>LF-B-A-TECH-3</x:v>
      </x:c>
      <x:c r="E1049" s="9" t="str">
        <x:v>LF-B-A</x:v>
      </x:c>
      <x:c r="F1049" s="9" t="str">
        <x:v>B1</x:v>
      </x:c>
      <x:c r="G1049" s="9" t="str">
        <x:v>INT</x:v>
      </x:c>
      <x:c r="H1049" s="9" t="str">
        <x:v>RW03</x:v>
      </x:c>
      <x:c r="I1049" s="17" t="str">
        <x:v>Event clock and start traces</x:v>
      </x:c>
      <x:c r="J1049" s="17" t="str">
        <x:v>Event clock authority</x:v>
      </x:c>
      <x:c r="K1049" s="17" t="str">
        <x:v>Public custody C</x:v>
      </x:c>
      <x:c r="L1049" s="9" t="n">
        <x:v>0</x:v>
      </x:c>
      <x:c r="M1049" s="9" t="n">
        <x:v>0</x:v>
      </x:c>
      <x:c r="N1049" s="9" t="n">
        <x:v>0</x:v>
      </x:c>
      <x:c r="O1049" s="9" t="n">
        <x:v>0</x:v>
      </x:c>
      <x:c r="P1049" s="9" t="str">
        <x:v>UNSEALED / SOURCE-EMPTY</x:v>
      </x:c>
      <x:c r="Q1049" s="9" t="n">
        <x:f>COUNTIFS($A$7:$A$1158,A1049)</x:f>
        <x:v>1</x:v>
      </x:c>
    </x:row>
    <x:row r="1050">
      <x:c r="A1050" s="9" t="str">
        <x:v>EV-AR-LF-B-A-TECH-3-B1-INT-G0-RW04</x:v>
      </x:c>
      <x:c r="B1050" s="9" t="str">
        <x:v>EV-AR-LF-B-A-TECH-3-B1-INT-G0</x:v>
      </x:c>
      <x:c r="C1050" s="9" t="str">
        <x:v>AR-LF-B-A-TECH-3-B1-INT-G0</x:v>
      </x:c>
      <x:c r="D1050" s="9" t="str">
        <x:v>LF-B-A-TECH-3</x:v>
      </x:c>
      <x:c r="E1050" s="9" t="str">
        <x:v>LF-B-A</x:v>
      </x:c>
      <x:c r="F1050" s="9" t="str">
        <x:v>B1</x:v>
      </x:c>
      <x:c r="G1050" s="9" t="str">
        <x:v>INT</x:v>
      </x:c>
      <x:c r="H1050" s="9" t="str">
        <x:v>RW04</x:v>
      </x:c>
      <x:c r="I1050" s="17" t="str">
        <x:v>Environmental boundary stream</x:v>
      </x:c>
      <x:c r="J1050" s="17" t="str">
        <x:v>Site metrology</x:v>
      </x:c>
      <x:c r="K1050" s="17" t="str">
        <x:v>Public custody D</x:v>
      </x:c>
      <x:c r="L1050" s="9" t="n">
        <x:v>0</x:v>
      </x:c>
      <x:c r="M1050" s="9" t="n">
        <x:v>0</x:v>
      </x:c>
      <x:c r="N1050" s="9" t="n">
        <x:v>0</x:v>
      </x:c>
      <x:c r="O1050" s="9" t="n">
        <x:v>0</x:v>
      </x:c>
      <x:c r="P1050" s="9" t="str">
        <x:v>UNSEALED / SOURCE-EMPTY</x:v>
      </x:c>
      <x:c r="Q1050" s="9" t="n">
        <x:f>COUNTIFS($A$7:$A$1158,A1050)</x:f>
        <x:v>1</x:v>
      </x:c>
    </x:row>
    <x:row r="1051">
      <x:c r="A1051" s="9" t="str">
        <x:v>EV-AR-LF-B-A-TECH-3-B1-INT-G0-RW05</x:v>
      </x:c>
      <x:c r="B1051" s="9" t="str">
        <x:v>EV-AR-LF-B-A-TECH-3-B1-INT-G0</x:v>
      </x:c>
      <x:c r="C1051" s="9" t="str">
        <x:v>AR-LF-B-A-TECH-3-B1-INT-G0</x:v>
      </x:c>
      <x:c r="D1051" s="9" t="str">
        <x:v>LF-B-A-TECH-3</x:v>
      </x:c>
      <x:c r="E1051" s="9" t="str">
        <x:v>LF-B-A</x:v>
      </x:c>
      <x:c r="F1051" s="9" t="str">
        <x:v>B1</x:v>
      </x:c>
      <x:c r="G1051" s="9" t="str">
        <x:v>INT</x:v>
      </x:c>
      <x:c r="H1051" s="9" t="str">
        <x:v>RW05</x:v>
      </x:c>
      <x:c r="I1051" s="17" t="str">
        <x:v>Command and intervention log</x:v>
      </x:c>
      <x:c r="J1051" s="17" t="str">
        <x:v>Safety authority</x:v>
      </x:c>
      <x:c r="K1051" s="17" t="str">
        <x:v>Public custody E</x:v>
      </x:c>
      <x:c r="L1051" s="9" t="n">
        <x:v>0</x:v>
      </x:c>
      <x:c r="M1051" s="9" t="n">
        <x:v>0</x:v>
      </x:c>
      <x:c r="N1051" s="9" t="n">
        <x:v>0</x:v>
      </x:c>
      <x:c r="O1051" s="9" t="n">
        <x:v>0</x:v>
      </x:c>
      <x:c r="P1051" s="9" t="str">
        <x:v>UNSEALED / SOURCE-EMPTY</x:v>
      </x:c>
      <x:c r="Q1051" s="9" t="n">
        <x:f>COUNTIFS($A$7:$A$1158,A1051)</x:f>
        <x:v>1</x:v>
      </x:c>
    </x:row>
    <x:row r="1052">
      <x:c r="A1052" s="9" t="str">
        <x:v>EV-AR-LF-B-A-TECH-3-B1-INT-G0-RW06</x:v>
      </x:c>
      <x:c r="B1052" s="9" t="str">
        <x:v>EV-AR-LF-B-A-TECH-3-B1-INT-G0</x:v>
      </x:c>
      <x:c r="C1052" s="9" t="str">
        <x:v>AR-LF-B-A-TECH-3-B1-INT-G0</x:v>
      </x:c>
      <x:c r="D1052" s="9" t="str">
        <x:v>LF-B-A-TECH-3</x:v>
      </x:c>
      <x:c r="E1052" s="9" t="str">
        <x:v>LF-B-A</x:v>
      </x:c>
      <x:c r="F1052" s="9" t="str">
        <x:v>B1</x:v>
      </x:c>
      <x:c r="G1052" s="9" t="str">
        <x:v>INT</x:v>
      </x:c>
      <x:c r="H1052" s="9" t="str">
        <x:v>RW06</x:v>
      </x:c>
      <x:c r="I1052" s="17" t="str">
        <x:v>Receiver service ledger</x:v>
      </x:c>
      <x:c r="J1052" s="17" t="str">
        <x:v>Receiver authority</x:v>
      </x:c>
      <x:c r="K1052" s="17" t="str">
        <x:v>Public custody F</x:v>
      </x:c>
      <x:c r="L1052" s="9" t="n">
        <x:v>0</x:v>
      </x:c>
      <x:c r="M1052" s="9" t="n">
        <x:v>0</x:v>
      </x:c>
      <x:c r="N1052" s="9" t="n">
        <x:v>0</x:v>
      </x:c>
      <x:c r="O1052" s="9" t="n">
        <x:v>0</x:v>
      </x:c>
      <x:c r="P1052" s="9" t="str">
        <x:v>UNSEALED / SOURCE-EMPTY</x:v>
      </x:c>
      <x:c r="Q1052" s="9" t="n">
        <x:f>COUNTIFS($A$7:$A$1158,A1052)</x:f>
        <x:v>1</x:v>
      </x:c>
    </x:row>
    <x:row r="1053">
      <x:c r="A1053" s="9" t="str">
        <x:v>EV-AR-LF-B-A-TECH-3-B1-INT-G0-RW07</x:v>
      </x:c>
      <x:c r="B1053" s="9" t="str">
        <x:v>EV-AR-LF-B-A-TECH-3-B1-INT-G0</x:v>
      </x:c>
      <x:c r="C1053" s="9" t="str">
        <x:v>AR-LF-B-A-TECH-3-B1-INT-G0</x:v>
      </x:c>
      <x:c r="D1053" s="9" t="str">
        <x:v>LF-B-A-TECH-3</x:v>
      </x:c>
      <x:c r="E1053" s="9" t="str">
        <x:v>LF-B-A</x:v>
      </x:c>
      <x:c r="F1053" s="9" t="str">
        <x:v>B1</x:v>
      </x:c>
      <x:c r="G1053" s="9" t="str">
        <x:v>INT</x:v>
      </x:c>
      <x:c r="H1053" s="9" t="str">
        <x:v>RW07</x:v>
      </x:c>
      <x:c r="I1053" s="17" t="str">
        <x:v>Candidate interface telemetry</x:v>
      </x:c>
      <x:c r="J1053" s="17" t="str">
        <x:v>Interface custodian</x:v>
      </x:c>
      <x:c r="K1053" s="17" t="str">
        <x:v>Public custody A</x:v>
      </x:c>
      <x:c r="L1053" s="9" t="n">
        <x:v>0</x:v>
      </x:c>
      <x:c r="M1053" s="9" t="n">
        <x:v>0</x:v>
      </x:c>
      <x:c r="N1053" s="9" t="n">
        <x:v>0</x:v>
      </x:c>
      <x:c r="O1053" s="9" t="n">
        <x:v>0</x:v>
      </x:c>
      <x:c r="P1053" s="9" t="str">
        <x:v>UNSEALED / SOURCE-EMPTY</x:v>
      </x:c>
      <x:c r="Q1053" s="9" t="n">
        <x:f>COUNTIFS($A$7:$A$1158,A1053)</x:f>
        <x:v>1</x:v>
      </x:c>
    </x:row>
    <x:row r="1054">
      <x:c r="A1054" s="9" t="str">
        <x:v>EV-AR-LF-B-A-TECH-3-B1-INT-G0-RW08</x:v>
      </x:c>
      <x:c r="B1054" s="9" t="str">
        <x:v>EV-AR-LF-B-A-TECH-3-B1-INT-G0</x:v>
      </x:c>
      <x:c r="C1054" s="9" t="str">
        <x:v>AR-LF-B-A-TECH-3-B1-INT-G0</x:v>
      </x:c>
      <x:c r="D1054" s="9" t="str">
        <x:v>LF-B-A-TECH-3</x:v>
      </x:c>
      <x:c r="E1054" s="9" t="str">
        <x:v>LF-B-A</x:v>
      </x:c>
      <x:c r="F1054" s="9" t="str">
        <x:v>B1</x:v>
      </x:c>
      <x:c r="G1054" s="9" t="str">
        <x:v>INT</x:v>
      </x:c>
      <x:c r="H1054" s="9" t="str">
        <x:v>RW08</x:v>
      </x:c>
      <x:c r="I1054" s="17" t="str">
        <x:v>Residual and physical evidence</x:v>
      </x:c>
      <x:c r="J1054" s="17" t="str">
        <x:v>Residual authority</x:v>
      </x:c>
      <x:c r="K1054" s="17" t="str">
        <x:v>Public custody B</x:v>
      </x:c>
      <x:c r="L1054" s="9" t="n">
        <x:v>0</x:v>
      </x:c>
      <x:c r="M1054" s="9" t="n">
        <x:v>0</x:v>
      </x:c>
      <x:c r="N1054" s="9" t="n">
        <x:v>0</x:v>
      </x:c>
      <x:c r="O1054" s="9" t="n">
        <x:v>0</x:v>
      </x:c>
      <x:c r="P1054" s="9" t="str">
        <x:v>UNSEALED / SOURCE-EMPTY</x:v>
      </x:c>
      <x:c r="Q1054" s="9" t="n">
        <x:f>COUNTIFS($A$7:$A$1158,A1054)</x:f>
        <x:v>1</x:v>
      </x:c>
    </x:row>
    <x:row r="1055">
      <x:c r="A1055" s="9" t="str">
        <x:v>EV-AR-RT-B-C-TECH-2-B2-RCN-G0-RW01</x:v>
      </x:c>
      <x:c r="B1055" s="9" t="str">
        <x:v>EV-AR-RT-B-C-TECH-2-B2-RCN-G0</x:v>
      </x:c>
      <x:c r="C1055" s="9" t="str">
        <x:v>AR-RT-B-C-TECH-2-B2-RCN-G0</x:v>
      </x:c>
      <x:c r="D1055" s="9" t="str">
        <x:v>RT-B-C-TECH-2</x:v>
      </x:c>
      <x:c r="E1055" s="9" t="str">
        <x:v>RT-B-C</x:v>
      </x:c>
      <x:c r="F1055" s="9" t="str">
        <x:v>B2</x:v>
      </x:c>
      <x:c r="G1055" s="9" t="str">
        <x:v>RCN</x:v>
      </x:c>
      <x:c r="H1055" s="9" t="str">
        <x:v>RW01</x:v>
      </x:c>
      <x:c r="I1055" s="17" t="str">
        <x:v>Primary raw stream</x:v>
      </x:c>
      <x:c r="J1055" s="17" t="str">
        <x:v>Primary metrology</x:v>
      </x:c>
      <x:c r="K1055" s="17" t="str">
        <x:v>Public custody A</x:v>
      </x:c>
      <x:c r="L1055" s="9" t="n">
        <x:v>0</x:v>
      </x:c>
      <x:c r="M1055" s="9" t="n">
        <x:v>0</x:v>
      </x:c>
      <x:c r="N1055" s="9" t="n">
        <x:v>0</x:v>
      </x:c>
      <x:c r="O1055" s="9" t="n">
        <x:v>0</x:v>
      </x:c>
      <x:c r="P1055" s="9" t="str">
        <x:v>UNSEALED / SOURCE-EMPTY</x:v>
      </x:c>
      <x:c r="Q1055" s="9" t="n">
        <x:f>COUNTIFS($A$7:$A$1158,A1055)</x:f>
        <x:v>1</x:v>
      </x:c>
    </x:row>
    <x:row r="1056">
      <x:c r="A1056" s="9" t="str">
        <x:v>EV-AR-RT-B-C-TECH-2-B2-RCN-G0-RW02</x:v>
      </x:c>
      <x:c r="B1056" s="9" t="str">
        <x:v>EV-AR-RT-B-C-TECH-2-B2-RCN-G0</x:v>
      </x:c>
      <x:c r="C1056" s="9" t="str">
        <x:v>AR-RT-B-C-TECH-2-B2-RCN-G0</x:v>
      </x:c>
      <x:c r="D1056" s="9" t="str">
        <x:v>RT-B-C-TECH-2</x:v>
      </x:c>
      <x:c r="E1056" s="9" t="str">
        <x:v>RT-B-C</x:v>
      </x:c>
      <x:c r="F1056" s="9" t="str">
        <x:v>B2</x:v>
      </x:c>
      <x:c r="G1056" s="9" t="str">
        <x:v>RCN</x:v>
      </x:c>
      <x:c r="H1056" s="9" t="str">
        <x:v>RW02</x:v>
      </x:c>
      <x:c r="I1056" s="17" t="str">
        <x:v>Unlike witness stream</x:v>
      </x:c>
      <x:c r="J1056" s="17" t="str">
        <x:v>Witness metrology</x:v>
      </x:c>
      <x:c r="K1056" s="17" t="str">
        <x:v>Public custody B</x:v>
      </x:c>
      <x:c r="L1056" s="9" t="n">
        <x:v>0</x:v>
      </x:c>
      <x:c r="M1056" s="9" t="n">
        <x:v>0</x:v>
      </x:c>
      <x:c r="N1056" s="9" t="n">
        <x:v>0</x:v>
      </x:c>
      <x:c r="O1056" s="9" t="n">
        <x:v>0</x:v>
      </x:c>
      <x:c r="P1056" s="9" t="str">
        <x:v>UNSEALED / SOURCE-EMPTY</x:v>
      </x:c>
      <x:c r="Q1056" s="9" t="n">
        <x:f>COUNTIFS($A$7:$A$1158,A1056)</x:f>
        <x:v>1</x:v>
      </x:c>
    </x:row>
    <x:row r="1057">
      <x:c r="A1057" s="9" t="str">
        <x:v>EV-AR-RT-B-C-TECH-2-B2-RCN-G0-RW03</x:v>
      </x:c>
      <x:c r="B1057" s="9" t="str">
        <x:v>EV-AR-RT-B-C-TECH-2-B2-RCN-G0</x:v>
      </x:c>
      <x:c r="C1057" s="9" t="str">
        <x:v>AR-RT-B-C-TECH-2-B2-RCN-G0</x:v>
      </x:c>
      <x:c r="D1057" s="9" t="str">
        <x:v>RT-B-C-TECH-2</x:v>
      </x:c>
      <x:c r="E1057" s="9" t="str">
        <x:v>RT-B-C</x:v>
      </x:c>
      <x:c r="F1057" s="9" t="str">
        <x:v>B2</x:v>
      </x:c>
      <x:c r="G1057" s="9" t="str">
        <x:v>RCN</x:v>
      </x:c>
      <x:c r="H1057" s="9" t="str">
        <x:v>RW03</x:v>
      </x:c>
      <x:c r="I1057" s="17" t="str">
        <x:v>Event clock and start traces</x:v>
      </x:c>
      <x:c r="J1057" s="17" t="str">
        <x:v>Event clock authority</x:v>
      </x:c>
      <x:c r="K1057" s="17" t="str">
        <x:v>Public custody C</x:v>
      </x:c>
      <x:c r="L1057" s="9" t="n">
        <x:v>0</x:v>
      </x:c>
      <x:c r="M1057" s="9" t="n">
        <x:v>0</x:v>
      </x:c>
      <x:c r="N1057" s="9" t="n">
        <x:v>0</x:v>
      </x:c>
      <x:c r="O1057" s="9" t="n">
        <x:v>0</x:v>
      </x:c>
      <x:c r="P1057" s="9" t="str">
        <x:v>UNSEALED / SOURCE-EMPTY</x:v>
      </x:c>
      <x:c r="Q1057" s="9" t="n">
        <x:f>COUNTIFS($A$7:$A$1158,A1057)</x:f>
        <x:v>1</x:v>
      </x:c>
    </x:row>
    <x:row r="1058">
      <x:c r="A1058" s="9" t="str">
        <x:v>EV-AR-RT-B-C-TECH-2-B2-RCN-G0-RW04</x:v>
      </x:c>
      <x:c r="B1058" s="9" t="str">
        <x:v>EV-AR-RT-B-C-TECH-2-B2-RCN-G0</x:v>
      </x:c>
      <x:c r="C1058" s="9" t="str">
        <x:v>AR-RT-B-C-TECH-2-B2-RCN-G0</x:v>
      </x:c>
      <x:c r="D1058" s="9" t="str">
        <x:v>RT-B-C-TECH-2</x:v>
      </x:c>
      <x:c r="E1058" s="9" t="str">
        <x:v>RT-B-C</x:v>
      </x:c>
      <x:c r="F1058" s="9" t="str">
        <x:v>B2</x:v>
      </x:c>
      <x:c r="G1058" s="9" t="str">
        <x:v>RCN</x:v>
      </x:c>
      <x:c r="H1058" s="9" t="str">
        <x:v>RW04</x:v>
      </x:c>
      <x:c r="I1058" s="17" t="str">
        <x:v>Environmental boundary stream</x:v>
      </x:c>
      <x:c r="J1058" s="17" t="str">
        <x:v>Site metrology</x:v>
      </x:c>
      <x:c r="K1058" s="17" t="str">
        <x:v>Public custody D</x:v>
      </x:c>
      <x:c r="L1058" s="9" t="n">
        <x:v>0</x:v>
      </x:c>
      <x:c r="M1058" s="9" t="n">
        <x:v>0</x:v>
      </x:c>
      <x:c r="N1058" s="9" t="n">
        <x:v>0</x:v>
      </x:c>
      <x:c r="O1058" s="9" t="n">
        <x:v>0</x:v>
      </x:c>
      <x:c r="P1058" s="9" t="str">
        <x:v>UNSEALED / SOURCE-EMPTY</x:v>
      </x:c>
      <x:c r="Q1058" s="9" t="n">
        <x:f>COUNTIFS($A$7:$A$1158,A1058)</x:f>
        <x:v>1</x:v>
      </x:c>
    </x:row>
    <x:row r="1059">
      <x:c r="A1059" s="9" t="str">
        <x:v>EV-AR-RT-B-C-TECH-2-B2-RCN-G0-RW05</x:v>
      </x:c>
      <x:c r="B1059" s="9" t="str">
        <x:v>EV-AR-RT-B-C-TECH-2-B2-RCN-G0</x:v>
      </x:c>
      <x:c r="C1059" s="9" t="str">
        <x:v>AR-RT-B-C-TECH-2-B2-RCN-G0</x:v>
      </x:c>
      <x:c r="D1059" s="9" t="str">
        <x:v>RT-B-C-TECH-2</x:v>
      </x:c>
      <x:c r="E1059" s="9" t="str">
        <x:v>RT-B-C</x:v>
      </x:c>
      <x:c r="F1059" s="9" t="str">
        <x:v>B2</x:v>
      </x:c>
      <x:c r="G1059" s="9" t="str">
        <x:v>RCN</x:v>
      </x:c>
      <x:c r="H1059" s="9" t="str">
        <x:v>RW05</x:v>
      </x:c>
      <x:c r="I1059" s="17" t="str">
        <x:v>Command and intervention log</x:v>
      </x:c>
      <x:c r="J1059" s="17" t="str">
        <x:v>Safety authority</x:v>
      </x:c>
      <x:c r="K1059" s="17" t="str">
        <x:v>Public custody E</x:v>
      </x:c>
      <x:c r="L1059" s="9" t="n">
        <x:v>0</x:v>
      </x:c>
      <x:c r="M1059" s="9" t="n">
        <x:v>0</x:v>
      </x:c>
      <x:c r="N1059" s="9" t="n">
        <x:v>0</x:v>
      </x:c>
      <x:c r="O1059" s="9" t="n">
        <x:v>0</x:v>
      </x:c>
      <x:c r="P1059" s="9" t="str">
        <x:v>UNSEALED / SOURCE-EMPTY</x:v>
      </x:c>
      <x:c r="Q1059" s="9" t="n">
        <x:f>COUNTIFS($A$7:$A$1158,A1059)</x:f>
        <x:v>1</x:v>
      </x:c>
    </x:row>
    <x:row r="1060">
      <x:c r="A1060" s="9" t="str">
        <x:v>EV-AR-RT-B-C-TECH-2-B2-RCN-G0-RW06</x:v>
      </x:c>
      <x:c r="B1060" s="9" t="str">
        <x:v>EV-AR-RT-B-C-TECH-2-B2-RCN-G0</x:v>
      </x:c>
      <x:c r="C1060" s="9" t="str">
        <x:v>AR-RT-B-C-TECH-2-B2-RCN-G0</x:v>
      </x:c>
      <x:c r="D1060" s="9" t="str">
        <x:v>RT-B-C-TECH-2</x:v>
      </x:c>
      <x:c r="E1060" s="9" t="str">
        <x:v>RT-B-C</x:v>
      </x:c>
      <x:c r="F1060" s="9" t="str">
        <x:v>B2</x:v>
      </x:c>
      <x:c r="G1060" s="9" t="str">
        <x:v>RCN</x:v>
      </x:c>
      <x:c r="H1060" s="9" t="str">
        <x:v>RW06</x:v>
      </x:c>
      <x:c r="I1060" s="17" t="str">
        <x:v>Receiver service ledger</x:v>
      </x:c>
      <x:c r="J1060" s="17" t="str">
        <x:v>Receiver authority</x:v>
      </x:c>
      <x:c r="K1060" s="17" t="str">
        <x:v>Public custody F</x:v>
      </x:c>
      <x:c r="L1060" s="9" t="n">
        <x:v>0</x:v>
      </x:c>
      <x:c r="M1060" s="9" t="n">
        <x:v>0</x:v>
      </x:c>
      <x:c r="N1060" s="9" t="n">
        <x:v>0</x:v>
      </x:c>
      <x:c r="O1060" s="9" t="n">
        <x:v>0</x:v>
      </x:c>
      <x:c r="P1060" s="9" t="str">
        <x:v>UNSEALED / SOURCE-EMPTY</x:v>
      </x:c>
      <x:c r="Q1060" s="9" t="n">
        <x:f>COUNTIFS($A$7:$A$1158,A1060)</x:f>
        <x:v>1</x:v>
      </x:c>
    </x:row>
    <x:row r="1061">
      <x:c r="A1061" s="9" t="str">
        <x:v>EV-AR-RT-B-C-TECH-2-B2-RCN-G0-RW07</x:v>
      </x:c>
      <x:c r="B1061" s="9" t="str">
        <x:v>EV-AR-RT-B-C-TECH-2-B2-RCN-G0</x:v>
      </x:c>
      <x:c r="C1061" s="9" t="str">
        <x:v>AR-RT-B-C-TECH-2-B2-RCN-G0</x:v>
      </x:c>
      <x:c r="D1061" s="9" t="str">
        <x:v>RT-B-C-TECH-2</x:v>
      </x:c>
      <x:c r="E1061" s="9" t="str">
        <x:v>RT-B-C</x:v>
      </x:c>
      <x:c r="F1061" s="9" t="str">
        <x:v>B2</x:v>
      </x:c>
      <x:c r="G1061" s="9" t="str">
        <x:v>RCN</x:v>
      </x:c>
      <x:c r="H1061" s="9" t="str">
        <x:v>RW07</x:v>
      </x:c>
      <x:c r="I1061" s="17" t="str">
        <x:v>Candidate interface telemetry</x:v>
      </x:c>
      <x:c r="J1061" s="17" t="str">
        <x:v>Interface custodian</x:v>
      </x:c>
      <x:c r="K1061" s="17" t="str">
        <x:v>Public custody A</x:v>
      </x:c>
      <x:c r="L1061" s="9" t="n">
        <x:v>0</x:v>
      </x:c>
      <x:c r="M1061" s="9" t="n">
        <x:v>0</x:v>
      </x:c>
      <x:c r="N1061" s="9" t="n">
        <x:v>0</x:v>
      </x:c>
      <x:c r="O1061" s="9" t="n">
        <x:v>0</x:v>
      </x:c>
      <x:c r="P1061" s="9" t="str">
        <x:v>UNSEALED / SOURCE-EMPTY</x:v>
      </x:c>
      <x:c r="Q1061" s="9" t="n">
        <x:f>COUNTIFS($A$7:$A$1158,A1061)</x:f>
        <x:v>1</x:v>
      </x:c>
    </x:row>
    <x:row r="1062">
      <x:c r="A1062" s="9" t="str">
        <x:v>EV-AR-RT-B-C-TECH-2-B2-RCN-G0-RW08</x:v>
      </x:c>
      <x:c r="B1062" s="9" t="str">
        <x:v>EV-AR-RT-B-C-TECH-2-B2-RCN-G0</x:v>
      </x:c>
      <x:c r="C1062" s="9" t="str">
        <x:v>AR-RT-B-C-TECH-2-B2-RCN-G0</x:v>
      </x:c>
      <x:c r="D1062" s="9" t="str">
        <x:v>RT-B-C-TECH-2</x:v>
      </x:c>
      <x:c r="E1062" s="9" t="str">
        <x:v>RT-B-C</x:v>
      </x:c>
      <x:c r="F1062" s="9" t="str">
        <x:v>B2</x:v>
      </x:c>
      <x:c r="G1062" s="9" t="str">
        <x:v>RCN</x:v>
      </x:c>
      <x:c r="H1062" s="9" t="str">
        <x:v>RW08</x:v>
      </x:c>
      <x:c r="I1062" s="17" t="str">
        <x:v>Residual and physical evidence</x:v>
      </x:c>
      <x:c r="J1062" s="17" t="str">
        <x:v>Residual authority</x:v>
      </x:c>
      <x:c r="K1062" s="17" t="str">
        <x:v>Public custody B</x:v>
      </x:c>
      <x:c r="L1062" s="9" t="n">
        <x:v>0</x:v>
      </x:c>
      <x:c r="M1062" s="9" t="n">
        <x:v>0</x:v>
      </x:c>
      <x:c r="N1062" s="9" t="n">
        <x:v>0</x:v>
      </x:c>
      <x:c r="O1062" s="9" t="n">
        <x:v>0</x:v>
      </x:c>
      <x:c r="P1062" s="9" t="str">
        <x:v>UNSEALED / SOURCE-EMPTY</x:v>
      </x:c>
      <x:c r="Q1062" s="9" t="n">
        <x:f>COUNTIFS($A$7:$A$1158,A1062)</x:f>
        <x:v>1</x:v>
      </x:c>
    </x:row>
    <x:row r="1063">
      <x:c r="A1063" s="9" t="str">
        <x:v>EV-AR-CT-C-B-TECH-4-B2-INT-G0-RW01</x:v>
      </x:c>
      <x:c r="B1063" s="9" t="str">
        <x:v>EV-AR-CT-C-B-TECH-4-B2-INT-G0</x:v>
      </x:c>
      <x:c r="C1063" s="9" t="str">
        <x:v>AR-CT-C-B-TECH-4-B2-INT-G0</x:v>
      </x:c>
      <x:c r="D1063" s="9" t="str">
        <x:v>CT-C-B-TECH-4</x:v>
      </x:c>
      <x:c r="E1063" s="9" t="str">
        <x:v>CT-C-B</x:v>
      </x:c>
      <x:c r="F1063" s="9" t="str">
        <x:v>B2</x:v>
      </x:c>
      <x:c r="G1063" s="9" t="str">
        <x:v>INT</x:v>
      </x:c>
      <x:c r="H1063" s="9" t="str">
        <x:v>RW01</x:v>
      </x:c>
      <x:c r="I1063" s="17" t="str">
        <x:v>Primary raw stream</x:v>
      </x:c>
      <x:c r="J1063" s="17" t="str">
        <x:v>Primary metrology</x:v>
      </x:c>
      <x:c r="K1063" s="17" t="str">
        <x:v>Public custody A</x:v>
      </x:c>
      <x:c r="L1063" s="9" t="n">
        <x:v>0</x:v>
      </x:c>
      <x:c r="M1063" s="9" t="n">
        <x:v>0</x:v>
      </x:c>
      <x:c r="N1063" s="9" t="n">
        <x:v>0</x:v>
      </x:c>
      <x:c r="O1063" s="9" t="n">
        <x:v>0</x:v>
      </x:c>
      <x:c r="P1063" s="9" t="str">
        <x:v>UNSEALED / SOURCE-EMPTY</x:v>
      </x:c>
      <x:c r="Q1063" s="9" t="n">
        <x:f>COUNTIFS($A$7:$A$1158,A1063)</x:f>
        <x:v>1</x:v>
      </x:c>
    </x:row>
    <x:row r="1064">
      <x:c r="A1064" s="9" t="str">
        <x:v>EV-AR-CT-C-B-TECH-4-B2-INT-G0-RW02</x:v>
      </x:c>
      <x:c r="B1064" s="9" t="str">
        <x:v>EV-AR-CT-C-B-TECH-4-B2-INT-G0</x:v>
      </x:c>
      <x:c r="C1064" s="9" t="str">
        <x:v>AR-CT-C-B-TECH-4-B2-INT-G0</x:v>
      </x:c>
      <x:c r="D1064" s="9" t="str">
        <x:v>CT-C-B-TECH-4</x:v>
      </x:c>
      <x:c r="E1064" s="9" t="str">
        <x:v>CT-C-B</x:v>
      </x:c>
      <x:c r="F1064" s="9" t="str">
        <x:v>B2</x:v>
      </x:c>
      <x:c r="G1064" s="9" t="str">
        <x:v>INT</x:v>
      </x:c>
      <x:c r="H1064" s="9" t="str">
        <x:v>RW02</x:v>
      </x:c>
      <x:c r="I1064" s="17" t="str">
        <x:v>Unlike witness stream</x:v>
      </x:c>
      <x:c r="J1064" s="17" t="str">
        <x:v>Witness metrology</x:v>
      </x:c>
      <x:c r="K1064" s="17" t="str">
        <x:v>Public custody B</x:v>
      </x:c>
      <x:c r="L1064" s="9" t="n">
        <x:v>0</x:v>
      </x:c>
      <x:c r="M1064" s="9" t="n">
        <x:v>0</x:v>
      </x:c>
      <x:c r="N1064" s="9" t="n">
        <x:v>0</x:v>
      </x:c>
      <x:c r="O1064" s="9" t="n">
        <x:v>0</x:v>
      </x:c>
      <x:c r="P1064" s="9" t="str">
        <x:v>UNSEALED / SOURCE-EMPTY</x:v>
      </x:c>
      <x:c r="Q1064" s="9" t="n">
        <x:f>COUNTIFS($A$7:$A$1158,A1064)</x:f>
        <x:v>1</x:v>
      </x:c>
    </x:row>
    <x:row r="1065">
      <x:c r="A1065" s="9" t="str">
        <x:v>EV-AR-CT-C-B-TECH-4-B2-INT-G0-RW03</x:v>
      </x:c>
      <x:c r="B1065" s="9" t="str">
        <x:v>EV-AR-CT-C-B-TECH-4-B2-INT-G0</x:v>
      </x:c>
      <x:c r="C1065" s="9" t="str">
        <x:v>AR-CT-C-B-TECH-4-B2-INT-G0</x:v>
      </x:c>
      <x:c r="D1065" s="9" t="str">
        <x:v>CT-C-B-TECH-4</x:v>
      </x:c>
      <x:c r="E1065" s="9" t="str">
        <x:v>CT-C-B</x:v>
      </x:c>
      <x:c r="F1065" s="9" t="str">
        <x:v>B2</x:v>
      </x:c>
      <x:c r="G1065" s="9" t="str">
        <x:v>INT</x:v>
      </x:c>
      <x:c r="H1065" s="9" t="str">
        <x:v>RW03</x:v>
      </x:c>
      <x:c r="I1065" s="17" t="str">
        <x:v>Event clock and start traces</x:v>
      </x:c>
      <x:c r="J1065" s="17" t="str">
        <x:v>Event clock authority</x:v>
      </x:c>
      <x:c r="K1065" s="17" t="str">
        <x:v>Public custody C</x:v>
      </x:c>
      <x:c r="L1065" s="9" t="n">
        <x:v>0</x:v>
      </x:c>
      <x:c r="M1065" s="9" t="n">
        <x:v>0</x:v>
      </x:c>
      <x:c r="N1065" s="9" t="n">
        <x:v>0</x:v>
      </x:c>
      <x:c r="O1065" s="9" t="n">
        <x:v>0</x:v>
      </x:c>
      <x:c r="P1065" s="9" t="str">
        <x:v>UNSEALED / SOURCE-EMPTY</x:v>
      </x:c>
      <x:c r="Q1065" s="9" t="n">
        <x:f>COUNTIFS($A$7:$A$1158,A1065)</x:f>
        <x:v>1</x:v>
      </x:c>
    </x:row>
    <x:row r="1066">
      <x:c r="A1066" s="9" t="str">
        <x:v>EV-AR-CT-C-B-TECH-4-B2-INT-G0-RW04</x:v>
      </x:c>
      <x:c r="B1066" s="9" t="str">
        <x:v>EV-AR-CT-C-B-TECH-4-B2-INT-G0</x:v>
      </x:c>
      <x:c r="C1066" s="9" t="str">
        <x:v>AR-CT-C-B-TECH-4-B2-INT-G0</x:v>
      </x:c>
      <x:c r="D1066" s="9" t="str">
        <x:v>CT-C-B-TECH-4</x:v>
      </x:c>
      <x:c r="E1066" s="9" t="str">
        <x:v>CT-C-B</x:v>
      </x:c>
      <x:c r="F1066" s="9" t="str">
        <x:v>B2</x:v>
      </x:c>
      <x:c r="G1066" s="9" t="str">
        <x:v>INT</x:v>
      </x:c>
      <x:c r="H1066" s="9" t="str">
        <x:v>RW04</x:v>
      </x:c>
      <x:c r="I1066" s="17" t="str">
        <x:v>Environmental boundary stream</x:v>
      </x:c>
      <x:c r="J1066" s="17" t="str">
        <x:v>Site metrology</x:v>
      </x:c>
      <x:c r="K1066" s="17" t="str">
        <x:v>Public custody D</x:v>
      </x:c>
      <x:c r="L1066" s="9" t="n">
        <x:v>0</x:v>
      </x:c>
      <x:c r="M1066" s="9" t="n">
        <x:v>0</x:v>
      </x:c>
      <x:c r="N1066" s="9" t="n">
        <x:v>0</x:v>
      </x:c>
      <x:c r="O1066" s="9" t="n">
        <x:v>0</x:v>
      </x:c>
      <x:c r="P1066" s="9" t="str">
        <x:v>UNSEALED / SOURCE-EMPTY</x:v>
      </x:c>
      <x:c r="Q1066" s="9" t="n">
        <x:f>COUNTIFS($A$7:$A$1158,A1066)</x:f>
        <x:v>1</x:v>
      </x:c>
    </x:row>
    <x:row r="1067">
      <x:c r="A1067" s="9" t="str">
        <x:v>EV-AR-CT-C-B-TECH-4-B2-INT-G0-RW05</x:v>
      </x:c>
      <x:c r="B1067" s="9" t="str">
        <x:v>EV-AR-CT-C-B-TECH-4-B2-INT-G0</x:v>
      </x:c>
      <x:c r="C1067" s="9" t="str">
        <x:v>AR-CT-C-B-TECH-4-B2-INT-G0</x:v>
      </x:c>
      <x:c r="D1067" s="9" t="str">
        <x:v>CT-C-B-TECH-4</x:v>
      </x:c>
      <x:c r="E1067" s="9" t="str">
        <x:v>CT-C-B</x:v>
      </x:c>
      <x:c r="F1067" s="9" t="str">
        <x:v>B2</x:v>
      </x:c>
      <x:c r="G1067" s="9" t="str">
        <x:v>INT</x:v>
      </x:c>
      <x:c r="H1067" s="9" t="str">
        <x:v>RW05</x:v>
      </x:c>
      <x:c r="I1067" s="17" t="str">
        <x:v>Command and intervention log</x:v>
      </x:c>
      <x:c r="J1067" s="17" t="str">
        <x:v>Safety authority</x:v>
      </x:c>
      <x:c r="K1067" s="17" t="str">
        <x:v>Public custody E</x:v>
      </x:c>
      <x:c r="L1067" s="9" t="n">
        <x:v>0</x:v>
      </x:c>
      <x:c r="M1067" s="9" t="n">
        <x:v>0</x:v>
      </x:c>
      <x:c r="N1067" s="9" t="n">
        <x:v>0</x:v>
      </x:c>
      <x:c r="O1067" s="9" t="n">
        <x:v>0</x:v>
      </x:c>
      <x:c r="P1067" s="9" t="str">
        <x:v>UNSEALED / SOURCE-EMPTY</x:v>
      </x:c>
      <x:c r="Q1067" s="9" t="n">
        <x:f>COUNTIFS($A$7:$A$1158,A1067)</x:f>
        <x:v>1</x:v>
      </x:c>
    </x:row>
    <x:row r="1068">
      <x:c r="A1068" s="9" t="str">
        <x:v>EV-AR-CT-C-B-TECH-4-B2-INT-G0-RW06</x:v>
      </x:c>
      <x:c r="B1068" s="9" t="str">
        <x:v>EV-AR-CT-C-B-TECH-4-B2-INT-G0</x:v>
      </x:c>
      <x:c r="C1068" s="9" t="str">
        <x:v>AR-CT-C-B-TECH-4-B2-INT-G0</x:v>
      </x:c>
      <x:c r="D1068" s="9" t="str">
        <x:v>CT-C-B-TECH-4</x:v>
      </x:c>
      <x:c r="E1068" s="9" t="str">
        <x:v>CT-C-B</x:v>
      </x:c>
      <x:c r="F1068" s="9" t="str">
        <x:v>B2</x:v>
      </x:c>
      <x:c r="G1068" s="9" t="str">
        <x:v>INT</x:v>
      </x:c>
      <x:c r="H1068" s="9" t="str">
        <x:v>RW06</x:v>
      </x:c>
      <x:c r="I1068" s="17" t="str">
        <x:v>Receiver service ledger</x:v>
      </x:c>
      <x:c r="J1068" s="17" t="str">
        <x:v>Receiver authority</x:v>
      </x:c>
      <x:c r="K1068" s="17" t="str">
        <x:v>Public custody F</x:v>
      </x:c>
      <x:c r="L1068" s="9" t="n">
        <x:v>0</x:v>
      </x:c>
      <x:c r="M1068" s="9" t="n">
        <x:v>0</x:v>
      </x:c>
      <x:c r="N1068" s="9" t="n">
        <x:v>0</x:v>
      </x:c>
      <x:c r="O1068" s="9" t="n">
        <x:v>0</x:v>
      </x:c>
      <x:c r="P1068" s="9" t="str">
        <x:v>UNSEALED / SOURCE-EMPTY</x:v>
      </x:c>
      <x:c r="Q1068" s="9" t="n">
        <x:f>COUNTIFS($A$7:$A$1158,A1068)</x:f>
        <x:v>1</x:v>
      </x:c>
    </x:row>
    <x:row r="1069">
      <x:c r="A1069" s="9" t="str">
        <x:v>EV-AR-CT-C-B-TECH-4-B2-INT-G0-RW07</x:v>
      </x:c>
      <x:c r="B1069" s="9" t="str">
        <x:v>EV-AR-CT-C-B-TECH-4-B2-INT-G0</x:v>
      </x:c>
      <x:c r="C1069" s="9" t="str">
        <x:v>AR-CT-C-B-TECH-4-B2-INT-G0</x:v>
      </x:c>
      <x:c r="D1069" s="9" t="str">
        <x:v>CT-C-B-TECH-4</x:v>
      </x:c>
      <x:c r="E1069" s="9" t="str">
        <x:v>CT-C-B</x:v>
      </x:c>
      <x:c r="F1069" s="9" t="str">
        <x:v>B2</x:v>
      </x:c>
      <x:c r="G1069" s="9" t="str">
        <x:v>INT</x:v>
      </x:c>
      <x:c r="H1069" s="9" t="str">
        <x:v>RW07</x:v>
      </x:c>
      <x:c r="I1069" s="17" t="str">
        <x:v>Candidate interface telemetry</x:v>
      </x:c>
      <x:c r="J1069" s="17" t="str">
        <x:v>Interface custodian</x:v>
      </x:c>
      <x:c r="K1069" s="17" t="str">
        <x:v>Public custody A</x:v>
      </x:c>
      <x:c r="L1069" s="9" t="n">
        <x:v>0</x:v>
      </x:c>
      <x:c r="M1069" s="9" t="n">
        <x:v>0</x:v>
      </x:c>
      <x:c r="N1069" s="9" t="n">
        <x:v>0</x:v>
      </x:c>
      <x:c r="O1069" s="9" t="n">
        <x:v>0</x:v>
      </x:c>
      <x:c r="P1069" s="9" t="str">
        <x:v>UNSEALED / SOURCE-EMPTY</x:v>
      </x:c>
      <x:c r="Q1069" s="9" t="n">
        <x:f>COUNTIFS($A$7:$A$1158,A1069)</x:f>
        <x:v>1</x:v>
      </x:c>
    </x:row>
    <x:row r="1070">
      <x:c r="A1070" s="9" t="str">
        <x:v>EV-AR-CT-C-B-TECH-4-B2-INT-G0-RW08</x:v>
      </x:c>
      <x:c r="B1070" s="9" t="str">
        <x:v>EV-AR-CT-C-B-TECH-4-B2-INT-G0</x:v>
      </x:c>
      <x:c r="C1070" s="9" t="str">
        <x:v>AR-CT-C-B-TECH-4-B2-INT-G0</x:v>
      </x:c>
      <x:c r="D1070" s="9" t="str">
        <x:v>CT-C-B-TECH-4</x:v>
      </x:c>
      <x:c r="E1070" s="9" t="str">
        <x:v>CT-C-B</x:v>
      </x:c>
      <x:c r="F1070" s="9" t="str">
        <x:v>B2</x:v>
      </x:c>
      <x:c r="G1070" s="9" t="str">
        <x:v>INT</x:v>
      </x:c>
      <x:c r="H1070" s="9" t="str">
        <x:v>RW08</x:v>
      </x:c>
      <x:c r="I1070" s="17" t="str">
        <x:v>Residual and physical evidence</x:v>
      </x:c>
      <x:c r="J1070" s="17" t="str">
        <x:v>Residual authority</x:v>
      </x:c>
      <x:c r="K1070" s="17" t="str">
        <x:v>Public custody B</x:v>
      </x:c>
      <x:c r="L1070" s="9" t="n">
        <x:v>0</x:v>
      </x:c>
      <x:c r="M1070" s="9" t="n">
        <x:v>0</x:v>
      </x:c>
      <x:c r="N1070" s="9" t="n">
        <x:v>0</x:v>
      </x:c>
      <x:c r="O1070" s="9" t="n">
        <x:v>0</x:v>
      </x:c>
      <x:c r="P1070" s="9" t="str">
        <x:v>UNSEALED / SOURCE-EMPTY</x:v>
      </x:c>
      <x:c r="Q1070" s="9" t="n">
        <x:f>COUNTIFS($A$7:$A$1158,A1070)</x:f>
        <x:v>1</x:v>
      </x:c>
    </x:row>
    <x:row r="1071">
      <x:c r="A1071" s="9" t="str">
        <x:v>EV-AR-HC-A-C-TECH-3-B2-INT-G0-RW01</x:v>
      </x:c>
      <x:c r="B1071" s="9" t="str">
        <x:v>EV-AR-HC-A-C-TECH-3-B2-INT-G0</x:v>
      </x:c>
      <x:c r="C1071" s="9" t="str">
        <x:v>AR-HC-A-C-TECH-3-B2-INT-G0</x:v>
      </x:c>
      <x:c r="D1071" s="9" t="str">
        <x:v>HC-A-C-TECH-3</x:v>
      </x:c>
      <x:c r="E1071" s="9" t="str">
        <x:v>HC-A-C</x:v>
      </x:c>
      <x:c r="F1071" s="9" t="str">
        <x:v>B2</x:v>
      </x:c>
      <x:c r="G1071" s="9" t="str">
        <x:v>INT</x:v>
      </x:c>
      <x:c r="H1071" s="9" t="str">
        <x:v>RW01</x:v>
      </x:c>
      <x:c r="I1071" s="17" t="str">
        <x:v>Primary raw stream</x:v>
      </x:c>
      <x:c r="J1071" s="17" t="str">
        <x:v>Primary metrology</x:v>
      </x:c>
      <x:c r="K1071" s="17" t="str">
        <x:v>Public custody A</x:v>
      </x:c>
      <x:c r="L1071" s="9" t="n">
        <x:v>0</x:v>
      </x:c>
      <x:c r="M1071" s="9" t="n">
        <x:v>0</x:v>
      </x:c>
      <x:c r="N1071" s="9" t="n">
        <x:v>0</x:v>
      </x:c>
      <x:c r="O1071" s="9" t="n">
        <x:v>0</x:v>
      </x:c>
      <x:c r="P1071" s="9" t="str">
        <x:v>UNSEALED / SOURCE-EMPTY</x:v>
      </x:c>
      <x:c r="Q1071" s="9" t="n">
        <x:f>COUNTIFS($A$7:$A$1158,A1071)</x:f>
        <x:v>1</x:v>
      </x:c>
    </x:row>
    <x:row r="1072">
      <x:c r="A1072" s="9" t="str">
        <x:v>EV-AR-HC-A-C-TECH-3-B2-INT-G0-RW02</x:v>
      </x:c>
      <x:c r="B1072" s="9" t="str">
        <x:v>EV-AR-HC-A-C-TECH-3-B2-INT-G0</x:v>
      </x:c>
      <x:c r="C1072" s="9" t="str">
        <x:v>AR-HC-A-C-TECH-3-B2-INT-G0</x:v>
      </x:c>
      <x:c r="D1072" s="9" t="str">
        <x:v>HC-A-C-TECH-3</x:v>
      </x:c>
      <x:c r="E1072" s="9" t="str">
        <x:v>HC-A-C</x:v>
      </x:c>
      <x:c r="F1072" s="9" t="str">
        <x:v>B2</x:v>
      </x:c>
      <x:c r="G1072" s="9" t="str">
        <x:v>INT</x:v>
      </x:c>
      <x:c r="H1072" s="9" t="str">
        <x:v>RW02</x:v>
      </x:c>
      <x:c r="I1072" s="17" t="str">
        <x:v>Unlike witness stream</x:v>
      </x:c>
      <x:c r="J1072" s="17" t="str">
        <x:v>Witness metrology</x:v>
      </x:c>
      <x:c r="K1072" s="17" t="str">
        <x:v>Public custody B</x:v>
      </x:c>
      <x:c r="L1072" s="9" t="n">
        <x:v>0</x:v>
      </x:c>
      <x:c r="M1072" s="9" t="n">
        <x:v>0</x:v>
      </x:c>
      <x:c r="N1072" s="9" t="n">
        <x:v>0</x:v>
      </x:c>
      <x:c r="O1072" s="9" t="n">
        <x:v>0</x:v>
      </x:c>
      <x:c r="P1072" s="9" t="str">
        <x:v>UNSEALED / SOURCE-EMPTY</x:v>
      </x:c>
      <x:c r="Q1072" s="9" t="n">
        <x:f>COUNTIFS($A$7:$A$1158,A1072)</x:f>
        <x:v>1</x:v>
      </x:c>
    </x:row>
    <x:row r="1073">
      <x:c r="A1073" s="9" t="str">
        <x:v>EV-AR-HC-A-C-TECH-3-B2-INT-G0-RW03</x:v>
      </x:c>
      <x:c r="B1073" s="9" t="str">
        <x:v>EV-AR-HC-A-C-TECH-3-B2-INT-G0</x:v>
      </x:c>
      <x:c r="C1073" s="9" t="str">
        <x:v>AR-HC-A-C-TECH-3-B2-INT-G0</x:v>
      </x:c>
      <x:c r="D1073" s="9" t="str">
        <x:v>HC-A-C-TECH-3</x:v>
      </x:c>
      <x:c r="E1073" s="9" t="str">
        <x:v>HC-A-C</x:v>
      </x:c>
      <x:c r="F1073" s="9" t="str">
        <x:v>B2</x:v>
      </x:c>
      <x:c r="G1073" s="9" t="str">
        <x:v>INT</x:v>
      </x:c>
      <x:c r="H1073" s="9" t="str">
        <x:v>RW03</x:v>
      </x:c>
      <x:c r="I1073" s="17" t="str">
        <x:v>Event clock and start traces</x:v>
      </x:c>
      <x:c r="J1073" s="17" t="str">
        <x:v>Event clock authority</x:v>
      </x:c>
      <x:c r="K1073" s="17" t="str">
        <x:v>Public custody C</x:v>
      </x:c>
      <x:c r="L1073" s="9" t="n">
        <x:v>0</x:v>
      </x:c>
      <x:c r="M1073" s="9" t="n">
        <x:v>0</x:v>
      </x:c>
      <x:c r="N1073" s="9" t="n">
        <x:v>0</x:v>
      </x:c>
      <x:c r="O1073" s="9" t="n">
        <x:v>0</x:v>
      </x:c>
      <x:c r="P1073" s="9" t="str">
        <x:v>UNSEALED / SOURCE-EMPTY</x:v>
      </x:c>
      <x:c r="Q1073" s="9" t="n">
        <x:f>COUNTIFS($A$7:$A$1158,A1073)</x:f>
        <x:v>1</x:v>
      </x:c>
    </x:row>
    <x:row r="1074">
      <x:c r="A1074" s="9" t="str">
        <x:v>EV-AR-HC-A-C-TECH-3-B2-INT-G0-RW04</x:v>
      </x:c>
      <x:c r="B1074" s="9" t="str">
        <x:v>EV-AR-HC-A-C-TECH-3-B2-INT-G0</x:v>
      </x:c>
      <x:c r="C1074" s="9" t="str">
        <x:v>AR-HC-A-C-TECH-3-B2-INT-G0</x:v>
      </x:c>
      <x:c r="D1074" s="9" t="str">
        <x:v>HC-A-C-TECH-3</x:v>
      </x:c>
      <x:c r="E1074" s="9" t="str">
        <x:v>HC-A-C</x:v>
      </x:c>
      <x:c r="F1074" s="9" t="str">
        <x:v>B2</x:v>
      </x:c>
      <x:c r="G1074" s="9" t="str">
        <x:v>INT</x:v>
      </x:c>
      <x:c r="H1074" s="9" t="str">
        <x:v>RW04</x:v>
      </x:c>
      <x:c r="I1074" s="17" t="str">
        <x:v>Environmental boundary stream</x:v>
      </x:c>
      <x:c r="J1074" s="17" t="str">
        <x:v>Site metrology</x:v>
      </x:c>
      <x:c r="K1074" s="17" t="str">
        <x:v>Public custody D</x:v>
      </x:c>
      <x:c r="L1074" s="9" t="n">
        <x:v>0</x:v>
      </x:c>
      <x:c r="M1074" s="9" t="n">
        <x:v>0</x:v>
      </x:c>
      <x:c r="N1074" s="9" t="n">
        <x:v>0</x:v>
      </x:c>
      <x:c r="O1074" s="9" t="n">
        <x:v>0</x:v>
      </x:c>
      <x:c r="P1074" s="9" t="str">
        <x:v>UNSEALED / SOURCE-EMPTY</x:v>
      </x:c>
      <x:c r="Q1074" s="9" t="n">
        <x:f>COUNTIFS($A$7:$A$1158,A1074)</x:f>
        <x:v>1</x:v>
      </x:c>
    </x:row>
    <x:row r="1075">
      <x:c r="A1075" s="9" t="str">
        <x:v>EV-AR-HC-A-C-TECH-3-B2-INT-G0-RW05</x:v>
      </x:c>
      <x:c r="B1075" s="9" t="str">
        <x:v>EV-AR-HC-A-C-TECH-3-B2-INT-G0</x:v>
      </x:c>
      <x:c r="C1075" s="9" t="str">
        <x:v>AR-HC-A-C-TECH-3-B2-INT-G0</x:v>
      </x:c>
      <x:c r="D1075" s="9" t="str">
        <x:v>HC-A-C-TECH-3</x:v>
      </x:c>
      <x:c r="E1075" s="9" t="str">
        <x:v>HC-A-C</x:v>
      </x:c>
      <x:c r="F1075" s="9" t="str">
        <x:v>B2</x:v>
      </x:c>
      <x:c r="G1075" s="9" t="str">
        <x:v>INT</x:v>
      </x:c>
      <x:c r="H1075" s="9" t="str">
        <x:v>RW05</x:v>
      </x:c>
      <x:c r="I1075" s="17" t="str">
        <x:v>Command and intervention log</x:v>
      </x:c>
      <x:c r="J1075" s="17" t="str">
        <x:v>Safety authority</x:v>
      </x:c>
      <x:c r="K1075" s="17" t="str">
        <x:v>Public custody E</x:v>
      </x:c>
      <x:c r="L1075" s="9" t="n">
        <x:v>0</x:v>
      </x:c>
      <x:c r="M1075" s="9" t="n">
        <x:v>0</x:v>
      </x:c>
      <x:c r="N1075" s="9" t="n">
        <x:v>0</x:v>
      </x:c>
      <x:c r="O1075" s="9" t="n">
        <x:v>0</x:v>
      </x:c>
      <x:c r="P1075" s="9" t="str">
        <x:v>UNSEALED / SOURCE-EMPTY</x:v>
      </x:c>
      <x:c r="Q1075" s="9" t="n">
        <x:f>COUNTIFS($A$7:$A$1158,A1075)</x:f>
        <x:v>1</x:v>
      </x:c>
    </x:row>
    <x:row r="1076">
      <x:c r="A1076" s="9" t="str">
        <x:v>EV-AR-HC-A-C-TECH-3-B2-INT-G0-RW06</x:v>
      </x:c>
      <x:c r="B1076" s="9" t="str">
        <x:v>EV-AR-HC-A-C-TECH-3-B2-INT-G0</x:v>
      </x:c>
      <x:c r="C1076" s="9" t="str">
        <x:v>AR-HC-A-C-TECH-3-B2-INT-G0</x:v>
      </x:c>
      <x:c r="D1076" s="9" t="str">
        <x:v>HC-A-C-TECH-3</x:v>
      </x:c>
      <x:c r="E1076" s="9" t="str">
        <x:v>HC-A-C</x:v>
      </x:c>
      <x:c r="F1076" s="9" t="str">
        <x:v>B2</x:v>
      </x:c>
      <x:c r="G1076" s="9" t="str">
        <x:v>INT</x:v>
      </x:c>
      <x:c r="H1076" s="9" t="str">
        <x:v>RW06</x:v>
      </x:c>
      <x:c r="I1076" s="17" t="str">
        <x:v>Receiver service ledger</x:v>
      </x:c>
      <x:c r="J1076" s="17" t="str">
        <x:v>Receiver authority</x:v>
      </x:c>
      <x:c r="K1076" s="17" t="str">
        <x:v>Public custody F</x:v>
      </x:c>
      <x:c r="L1076" s="9" t="n">
        <x:v>0</x:v>
      </x:c>
      <x:c r="M1076" s="9" t="n">
        <x:v>0</x:v>
      </x:c>
      <x:c r="N1076" s="9" t="n">
        <x:v>0</x:v>
      </x:c>
      <x:c r="O1076" s="9" t="n">
        <x:v>0</x:v>
      </x:c>
      <x:c r="P1076" s="9" t="str">
        <x:v>UNSEALED / SOURCE-EMPTY</x:v>
      </x:c>
      <x:c r="Q1076" s="9" t="n">
        <x:f>COUNTIFS($A$7:$A$1158,A1076)</x:f>
        <x:v>1</x:v>
      </x:c>
    </x:row>
    <x:row r="1077">
      <x:c r="A1077" s="9" t="str">
        <x:v>EV-AR-HC-A-C-TECH-3-B2-INT-G0-RW07</x:v>
      </x:c>
      <x:c r="B1077" s="9" t="str">
        <x:v>EV-AR-HC-A-C-TECH-3-B2-INT-G0</x:v>
      </x:c>
      <x:c r="C1077" s="9" t="str">
        <x:v>AR-HC-A-C-TECH-3-B2-INT-G0</x:v>
      </x:c>
      <x:c r="D1077" s="9" t="str">
        <x:v>HC-A-C-TECH-3</x:v>
      </x:c>
      <x:c r="E1077" s="9" t="str">
        <x:v>HC-A-C</x:v>
      </x:c>
      <x:c r="F1077" s="9" t="str">
        <x:v>B2</x:v>
      </x:c>
      <x:c r="G1077" s="9" t="str">
        <x:v>INT</x:v>
      </x:c>
      <x:c r="H1077" s="9" t="str">
        <x:v>RW07</x:v>
      </x:c>
      <x:c r="I1077" s="17" t="str">
        <x:v>Candidate interface telemetry</x:v>
      </x:c>
      <x:c r="J1077" s="17" t="str">
        <x:v>Interface custodian</x:v>
      </x:c>
      <x:c r="K1077" s="17" t="str">
        <x:v>Public custody A</x:v>
      </x:c>
      <x:c r="L1077" s="9" t="n">
        <x:v>0</x:v>
      </x:c>
      <x:c r="M1077" s="9" t="n">
        <x:v>0</x:v>
      </x:c>
      <x:c r="N1077" s="9" t="n">
        <x:v>0</x:v>
      </x:c>
      <x:c r="O1077" s="9" t="n">
        <x:v>0</x:v>
      </x:c>
      <x:c r="P1077" s="9" t="str">
        <x:v>UNSEALED / SOURCE-EMPTY</x:v>
      </x:c>
      <x:c r="Q1077" s="9" t="n">
        <x:f>COUNTIFS($A$7:$A$1158,A1077)</x:f>
        <x:v>1</x:v>
      </x:c>
    </x:row>
    <x:row r="1078">
      <x:c r="A1078" s="9" t="str">
        <x:v>EV-AR-HC-A-C-TECH-3-B2-INT-G0-RW08</x:v>
      </x:c>
      <x:c r="B1078" s="9" t="str">
        <x:v>EV-AR-HC-A-C-TECH-3-B2-INT-G0</x:v>
      </x:c>
      <x:c r="C1078" s="9" t="str">
        <x:v>AR-HC-A-C-TECH-3-B2-INT-G0</x:v>
      </x:c>
      <x:c r="D1078" s="9" t="str">
        <x:v>HC-A-C-TECH-3</x:v>
      </x:c>
      <x:c r="E1078" s="9" t="str">
        <x:v>HC-A-C</x:v>
      </x:c>
      <x:c r="F1078" s="9" t="str">
        <x:v>B2</x:v>
      </x:c>
      <x:c r="G1078" s="9" t="str">
        <x:v>INT</x:v>
      </x:c>
      <x:c r="H1078" s="9" t="str">
        <x:v>RW08</x:v>
      </x:c>
      <x:c r="I1078" s="17" t="str">
        <x:v>Residual and physical evidence</x:v>
      </x:c>
      <x:c r="J1078" s="17" t="str">
        <x:v>Residual authority</x:v>
      </x:c>
      <x:c r="K1078" s="17" t="str">
        <x:v>Public custody B</x:v>
      </x:c>
      <x:c r="L1078" s="9" t="n">
        <x:v>0</x:v>
      </x:c>
      <x:c r="M1078" s="9" t="n">
        <x:v>0</x:v>
      </x:c>
      <x:c r="N1078" s="9" t="n">
        <x:v>0</x:v>
      </x:c>
      <x:c r="O1078" s="9" t="n">
        <x:v>0</x:v>
      </x:c>
      <x:c r="P1078" s="9" t="str">
        <x:v>UNSEALED / SOURCE-EMPTY</x:v>
      </x:c>
      <x:c r="Q1078" s="9" t="n">
        <x:f>COUNTIFS($A$7:$A$1158,A1078)</x:f>
        <x:v>1</x:v>
      </x:c>
    </x:row>
    <x:row r="1079">
      <x:c r="A1079" s="9" t="str">
        <x:v>EV-AR-HU-A-B-TECH-3-B2-RCN-G0-RW01</x:v>
      </x:c>
      <x:c r="B1079" s="9" t="str">
        <x:v>EV-AR-HU-A-B-TECH-3-B2-RCN-G0</x:v>
      </x:c>
      <x:c r="C1079" s="9" t="str">
        <x:v>AR-HU-A-B-TECH-3-B2-RCN-G0</x:v>
      </x:c>
      <x:c r="D1079" s="9" t="str">
        <x:v>HU-A-B-TECH-3</x:v>
      </x:c>
      <x:c r="E1079" s="9" t="str">
        <x:v>HU-A-B</x:v>
      </x:c>
      <x:c r="F1079" s="9" t="str">
        <x:v>B2</x:v>
      </x:c>
      <x:c r="G1079" s="9" t="str">
        <x:v>RCN</x:v>
      </x:c>
      <x:c r="H1079" s="9" t="str">
        <x:v>RW01</x:v>
      </x:c>
      <x:c r="I1079" s="17" t="str">
        <x:v>Primary raw stream</x:v>
      </x:c>
      <x:c r="J1079" s="17" t="str">
        <x:v>Primary metrology</x:v>
      </x:c>
      <x:c r="K1079" s="17" t="str">
        <x:v>Public custody A</x:v>
      </x:c>
      <x:c r="L1079" s="9" t="n">
        <x:v>0</x:v>
      </x:c>
      <x:c r="M1079" s="9" t="n">
        <x:v>0</x:v>
      </x:c>
      <x:c r="N1079" s="9" t="n">
        <x:v>0</x:v>
      </x:c>
      <x:c r="O1079" s="9" t="n">
        <x:v>0</x:v>
      </x:c>
      <x:c r="P1079" s="9" t="str">
        <x:v>UNSEALED / SOURCE-EMPTY</x:v>
      </x:c>
      <x:c r="Q1079" s="9" t="n">
        <x:f>COUNTIFS($A$7:$A$1158,A1079)</x:f>
        <x:v>1</x:v>
      </x:c>
    </x:row>
    <x:row r="1080">
      <x:c r="A1080" s="9" t="str">
        <x:v>EV-AR-HU-A-B-TECH-3-B2-RCN-G0-RW02</x:v>
      </x:c>
      <x:c r="B1080" s="9" t="str">
        <x:v>EV-AR-HU-A-B-TECH-3-B2-RCN-G0</x:v>
      </x:c>
      <x:c r="C1080" s="9" t="str">
        <x:v>AR-HU-A-B-TECH-3-B2-RCN-G0</x:v>
      </x:c>
      <x:c r="D1080" s="9" t="str">
        <x:v>HU-A-B-TECH-3</x:v>
      </x:c>
      <x:c r="E1080" s="9" t="str">
        <x:v>HU-A-B</x:v>
      </x:c>
      <x:c r="F1080" s="9" t="str">
        <x:v>B2</x:v>
      </x:c>
      <x:c r="G1080" s="9" t="str">
        <x:v>RCN</x:v>
      </x:c>
      <x:c r="H1080" s="9" t="str">
        <x:v>RW02</x:v>
      </x:c>
      <x:c r="I1080" s="17" t="str">
        <x:v>Unlike witness stream</x:v>
      </x:c>
      <x:c r="J1080" s="17" t="str">
        <x:v>Witness metrology</x:v>
      </x:c>
      <x:c r="K1080" s="17" t="str">
        <x:v>Public custody B</x:v>
      </x:c>
      <x:c r="L1080" s="9" t="n">
        <x:v>0</x:v>
      </x:c>
      <x:c r="M1080" s="9" t="n">
        <x:v>0</x:v>
      </x:c>
      <x:c r="N1080" s="9" t="n">
        <x:v>0</x:v>
      </x:c>
      <x:c r="O1080" s="9" t="n">
        <x:v>0</x:v>
      </x:c>
      <x:c r="P1080" s="9" t="str">
        <x:v>UNSEALED / SOURCE-EMPTY</x:v>
      </x:c>
      <x:c r="Q1080" s="9" t="n">
        <x:f>COUNTIFS($A$7:$A$1158,A1080)</x:f>
        <x:v>1</x:v>
      </x:c>
    </x:row>
    <x:row r="1081">
      <x:c r="A1081" s="9" t="str">
        <x:v>EV-AR-HU-A-B-TECH-3-B2-RCN-G0-RW03</x:v>
      </x:c>
      <x:c r="B1081" s="9" t="str">
        <x:v>EV-AR-HU-A-B-TECH-3-B2-RCN-G0</x:v>
      </x:c>
      <x:c r="C1081" s="9" t="str">
        <x:v>AR-HU-A-B-TECH-3-B2-RCN-G0</x:v>
      </x:c>
      <x:c r="D1081" s="9" t="str">
        <x:v>HU-A-B-TECH-3</x:v>
      </x:c>
      <x:c r="E1081" s="9" t="str">
        <x:v>HU-A-B</x:v>
      </x:c>
      <x:c r="F1081" s="9" t="str">
        <x:v>B2</x:v>
      </x:c>
      <x:c r="G1081" s="9" t="str">
        <x:v>RCN</x:v>
      </x:c>
      <x:c r="H1081" s="9" t="str">
        <x:v>RW03</x:v>
      </x:c>
      <x:c r="I1081" s="17" t="str">
        <x:v>Event clock and start traces</x:v>
      </x:c>
      <x:c r="J1081" s="17" t="str">
        <x:v>Event clock authority</x:v>
      </x:c>
      <x:c r="K1081" s="17" t="str">
        <x:v>Public custody C</x:v>
      </x:c>
      <x:c r="L1081" s="9" t="n">
        <x:v>0</x:v>
      </x:c>
      <x:c r="M1081" s="9" t="n">
        <x:v>0</x:v>
      </x:c>
      <x:c r="N1081" s="9" t="n">
        <x:v>0</x:v>
      </x:c>
      <x:c r="O1081" s="9" t="n">
        <x:v>0</x:v>
      </x:c>
      <x:c r="P1081" s="9" t="str">
        <x:v>UNSEALED / SOURCE-EMPTY</x:v>
      </x:c>
      <x:c r="Q1081" s="9" t="n">
        <x:f>COUNTIFS($A$7:$A$1158,A1081)</x:f>
        <x:v>1</x:v>
      </x:c>
    </x:row>
    <x:row r="1082">
      <x:c r="A1082" s="9" t="str">
        <x:v>EV-AR-HU-A-B-TECH-3-B2-RCN-G0-RW04</x:v>
      </x:c>
      <x:c r="B1082" s="9" t="str">
        <x:v>EV-AR-HU-A-B-TECH-3-B2-RCN-G0</x:v>
      </x:c>
      <x:c r="C1082" s="9" t="str">
        <x:v>AR-HU-A-B-TECH-3-B2-RCN-G0</x:v>
      </x:c>
      <x:c r="D1082" s="9" t="str">
        <x:v>HU-A-B-TECH-3</x:v>
      </x:c>
      <x:c r="E1082" s="9" t="str">
        <x:v>HU-A-B</x:v>
      </x:c>
      <x:c r="F1082" s="9" t="str">
        <x:v>B2</x:v>
      </x:c>
      <x:c r="G1082" s="9" t="str">
        <x:v>RCN</x:v>
      </x:c>
      <x:c r="H1082" s="9" t="str">
        <x:v>RW04</x:v>
      </x:c>
      <x:c r="I1082" s="17" t="str">
        <x:v>Environmental boundary stream</x:v>
      </x:c>
      <x:c r="J1082" s="17" t="str">
        <x:v>Site metrology</x:v>
      </x:c>
      <x:c r="K1082" s="17" t="str">
        <x:v>Public custody D</x:v>
      </x:c>
      <x:c r="L1082" s="9" t="n">
        <x:v>0</x:v>
      </x:c>
      <x:c r="M1082" s="9" t="n">
        <x:v>0</x:v>
      </x:c>
      <x:c r="N1082" s="9" t="n">
        <x:v>0</x:v>
      </x:c>
      <x:c r="O1082" s="9" t="n">
        <x:v>0</x:v>
      </x:c>
      <x:c r="P1082" s="9" t="str">
        <x:v>UNSEALED / SOURCE-EMPTY</x:v>
      </x:c>
      <x:c r="Q1082" s="9" t="n">
        <x:f>COUNTIFS($A$7:$A$1158,A1082)</x:f>
        <x:v>1</x:v>
      </x:c>
    </x:row>
    <x:row r="1083">
      <x:c r="A1083" s="9" t="str">
        <x:v>EV-AR-HU-A-B-TECH-3-B2-RCN-G0-RW05</x:v>
      </x:c>
      <x:c r="B1083" s="9" t="str">
        <x:v>EV-AR-HU-A-B-TECH-3-B2-RCN-G0</x:v>
      </x:c>
      <x:c r="C1083" s="9" t="str">
        <x:v>AR-HU-A-B-TECH-3-B2-RCN-G0</x:v>
      </x:c>
      <x:c r="D1083" s="9" t="str">
        <x:v>HU-A-B-TECH-3</x:v>
      </x:c>
      <x:c r="E1083" s="9" t="str">
        <x:v>HU-A-B</x:v>
      </x:c>
      <x:c r="F1083" s="9" t="str">
        <x:v>B2</x:v>
      </x:c>
      <x:c r="G1083" s="9" t="str">
        <x:v>RCN</x:v>
      </x:c>
      <x:c r="H1083" s="9" t="str">
        <x:v>RW05</x:v>
      </x:c>
      <x:c r="I1083" s="17" t="str">
        <x:v>Command and intervention log</x:v>
      </x:c>
      <x:c r="J1083" s="17" t="str">
        <x:v>Safety authority</x:v>
      </x:c>
      <x:c r="K1083" s="17" t="str">
        <x:v>Public custody E</x:v>
      </x:c>
      <x:c r="L1083" s="9" t="n">
        <x:v>0</x:v>
      </x:c>
      <x:c r="M1083" s="9" t="n">
        <x:v>0</x:v>
      </x:c>
      <x:c r="N1083" s="9" t="n">
        <x:v>0</x:v>
      </x:c>
      <x:c r="O1083" s="9" t="n">
        <x:v>0</x:v>
      </x:c>
      <x:c r="P1083" s="9" t="str">
        <x:v>UNSEALED / SOURCE-EMPTY</x:v>
      </x:c>
      <x:c r="Q1083" s="9" t="n">
        <x:f>COUNTIFS($A$7:$A$1158,A1083)</x:f>
        <x:v>1</x:v>
      </x:c>
    </x:row>
    <x:row r="1084">
      <x:c r="A1084" s="9" t="str">
        <x:v>EV-AR-HU-A-B-TECH-3-B2-RCN-G0-RW06</x:v>
      </x:c>
      <x:c r="B1084" s="9" t="str">
        <x:v>EV-AR-HU-A-B-TECH-3-B2-RCN-G0</x:v>
      </x:c>
      <x:c r="C1084" s="9" t="str">
        <x:v>AR-HU-A-B-TECH-3-B2-RCN-G0</x:v>
      </x:c>
      <x:c r="D1084" s="9" t="str">
        <x:v>HU-A-B-TECH-3</x:v>
      </x:c>
      <x:c r="E1084" s="9" t="str">
        <x:v>HU-A-B</x:v>
      </x:c>
      <x:c r="F1084" s="9" t="str">
        <x:v>B2</x:v>
      </x:c>
      <x:c r="G1084" s="9" t="str">
        <x:v>RCN</x:v>
      </x:c>
      <x:c r="H1084" s="9" t="str">
        <x:v>RW06</x:v>
      </x:c>
      <x:c r="I1084" s="17" t="str">
        <x:v>Receiver service ledger</x:v>
      </x:c>
      <x:c r="J1084" s="17" t="str">
        <x:v>Receiver authority</x:v>
      </x:c>
      <x:c r="K1084" s="17" t="str">
        <x:v>Public custody F</x:v>
      </x:c>
      <x:c r="L1084" s="9" t="n">
        <x:v>0</x:v>
      </x:c>
      <x:c r="M1084" s="9" t="n">
        <x:v>0</x:v>
      </x:c>
      <x:c r="N1084" s="9" t="n">
        <x:v>0</x:v>
      </x:c>
      <x:c r="O1084" s="9" t="n">
        <x:v>0</x:v>
      </x:c>
      <x:c r="P1084" s="9" t="str">
        <x:v>UNSEALED / SOURCE-EMPTY</x:v>
      </x:c>
      <x:c r="Q1084" s="9" t="n">
        <x:f>COUNTIFS($A$7:$A$1158,A1084)</x:f>
        <x:v>1</x:v>
      </x:c>
    </x:row>
    <x:row r="1085">
      <x:c r="A1085" s="9" t="str">
        <x:v>EV-AR-HU-A-B-TECH-3-B2-RCN-G0-RW07</x:v>
      </x:c>
      <x:c r="B1085" s="9" t="str">
        <x:v>EV-AR-HU-A-B-TECH-3-B2-RCN-G0</x:v>
      </x:c>
      <x:c r="C1085" s="9" t="str">
        <x:v>AR-HU-A-B-TECH-3-B2-RCN-G0</x:v>
      </x:c>
      <x:c r="D1085" s="9" t="str">
        <x:v>HU-A-B-TECH-3</x:v>
      </x:c>
      <x:c r="E1085" s="9" t="str">
        <x:v>HU-A-B</x:v>
      </x:c>
      <x:c r="F1085" s="9" t="str">
        <x:v>B2</x:v>
      </x:c>
      <x:c r="G1085" s="9" t="str">
        <x:v>RCN</x:v>
      </x:c>
      <x:c r="H1085" s="9" t="str">
        <x:v>RW07</x:v>
      </x:c>
      <x:c r="I1085" s="17" t="str">
        <x:v>Candidate interface telemetry</x:v>
      </x:c>
      <x:c r="J1085" s="17" t="str">
        <x:v>Interface custodian</x:v>
      </x:c>
      <x:c r="K1085" s="17" t="str">
        <x:v>Public custody A</x:v>
      </x:c>
      <x:c r="L1085" s="9" t="n">
        <x:v>0</x:v>
      </x:c>
      <x:c r="M1085" s="9" t="n">
        <x:v>0</x:v>
      </x:c>
      <x:c r="N1085" s="9" t="n">
        <x:v>0</x:v>
      </x:c>
      <x:c r="O1085" s="9" t="n">
        <x:v>0</x:v>
      </x:c>
      <x:c r="P1085" s="9" t="str">
        <x:v>UNSEALED / SOURCE-EMPTY</x:v>
      </x:c>
      <x:c r="Q1085" s="9" t="n">
        <x:f>COUNTIFS($A$7:$A$1158,A1085)</x:f>
        <x:v>1</x:v>
      </x:c>
    </x:row>
    <x:row r="1086">
      <x:c r="A1086" s="9" t="str">
        <x:v>EV-AR-HU-A-B-TECH-3-B2-RCN-G0-RW08</x:v>
      </x:c>
      <x:c r="B1086" s="9" t="str">
        <x:v>EV-AR-HU-A-B-TECH-3-B2-RCN-G0</x:v>
      </x:c>
      <x:c r="C1086" s="9" t="str">
        <x:v>AR-HU-A-B-TECH-3-B2-RCN-G0</x:v>
      </x:c>
      <x:c r="D1086" s="9" t="str">
        <x:v>HU-A-B-TECH-3</x:v>
      </x:c>
      <x:c r="E1086" s="9" t="str">
        <x:v>HU-A-B</x:v>
      </x:c>
      <x:c r="F1086" s="9" t="str">
        <x:v>B2</x:v>
      </x:c>
      <x:c r="G1086" s="9" t="str">
        <x:v>RCN</x:v>
      </x:c>
      <x:c r="H1086" s="9" t="str">
        <x:v>RW08</x:v>
      </x:c>
      <x:c r="I1086" s="17" t="str">
        <x:v>Residual and physical evidence</x:v>
      </x:c>
      <x:c r="J1086" s="17" t="str">
        <x:v>Residual authority</x:v>
      </x:c>
      <x:c r="K1086" s="17" t="str">
        <x:v>Public custody B</x:v>
      </x:c>
      <x:c r="L1086" s="9" t="n">
        <x:v>0</x:v>
      </x:c>
      <x:c r="M1086" s="9" t="n">
        <x:v>0</x:v>
      </x:c>
      <x:c r="N1086" s="9" t="n">
        <x:v>0</x:v>
      </x:c>
      <x:c r="O1086" s="9" t="n">
        <x:v>0</x:v>
      </x:c>
      <x:c r="P1086" s="9" t="str">
        <x:v>UNSEALED / SOURCE-EMPTY</x:v>
      </x:c>
      <x:c r="Q1086" s="9" t="n">
        <x:f>COUNTIFS($A$7:$A$1158,A1086)</x:f>
        <x:v>1</x:v>
      </x:c>
    </x:row>
    <x:row r="1087">
      <x:c r="A1087" s="9" t="str">
        <x:v>EV-AR-HU-A-B-TECH-4-B1-RCN-G0-RW01</x:v>
      </x:c>
      <x:c r="B1087" s="9" t="str">
        <x:v>EV-AR-HU-A-B-TECH-4-B1-RCN-G0</x:v>
      </x:c>
      <x:c r="C1087" s="9" t="str">
        <x:v>AR-HU-A-B-TECH-4-B1-RCN-G0</x:v>
      </x:c>
      <x:c r="D1087" s="9" t="str">
        <x:v>HU-A-B-TECH-4</x:v>
      </x:c>
      <x:c r="E1087" s="9" t="str">
        <x:v>HU-A-B</x:v>
      </x:c>
      <x:c r="F1087" s="9" t="str">
        <x:v>B1</x:v>
      </x:c>
      <x:c r="G1087" s="9" t="str">
        <x:v>RCN</x:v>
      </x:c>
      <x:c r="H1087" s="9" t="str">
        <x:v>RW01</x:v>
      </x:c>
      <x:c r="I1087" s="17" t="str">
        <x:v>Primary raw stream</x:v>
      </x:c>
      <x:c r="J1087" s="17" t="str">
        <x:v>Primary metrology</x:v>
      </x:c>
      <x:c r="K1087" s="17" t="str">
        <x:v>Public custody A</x:v>
      </x:c>
      <x:c r="L1087" s="9" t="n">
        <x:v>0</x:v>
      </x:c>
      <x:c r="M1087" s="9" t="n">
        <x:v>0</x:v>
      </x:c>
      <x:c r="N1087" s="9" t="n">
        <x:v>0</x:v>
      </x:c>
      <x:c r="O1087" s="9" t="n">
        <x:v>0</x:v>
      </x:c>
      <x:c r="P1087" s="9" t="str">
        <x:v>UNSEALED / SOURCE-EMPTY</x:v>
      </x:c>
      <x:c r="Q1087" s="9" t="n">
        <x:f>COUNTIFS($A$7:$A$1158,A1087)</x:f>
        <x:v>1</x:v>
      </x:c>
    </x:row>
    <x:row r="1088">
      <x:c r="A1088" s="9" t="str">
        <x:v>EV-AR-HU-A-B-TECH-4-B1-RCN-G0-RW02</x:v>
      </x:c>
      <x:c r="B1088" s="9" t="str">
        <x:v>EV-AR-HU-A-B-TECH-4-B1-RCN-G0</x:v>
      </x:c>
      <x:c r="C1088" s="9" t="str">
        <x:v>AR-HU-A-B-TECH-4-B1-RCN-G0</x:v>
      </x:c>
      <x:c r="D1088" s="9" t="str">
        <x:v>HU-A-B-TECH-4</x:v>
      </x:c>
      <x:c r="E1088" s="9" t="str">
        <x:v>HU-A-B</x:v>
      </x:c>
      <x:c r="F1088" s="9" t="str">
        <x:v>B1</x:v>
      </x:c>
      <x:c r="G1088" s="9" t="str">
        <x:v>RCN</x:v>
      </x:c>
      <x:c r="H1088" s="9" t="str">
        <x:v>RW02</x:v>
      </x:c>
      <x:c r="I1088" s="17" t="str">
        <x:v>Unlike witness stream</x:v>
      </x:c>
      <x:c r="J1088" s="17" t="str">
        <x:v>Witness metrology</x:v>
      </x:c>
      <x:c r="K1088" s="17" t="str">
        <x:v>Public custody B</x:v>
      </x:c>
      <x:c r="L1088" s="9" t="n">
        <x:v>0</x:v>
      </x:c>
      <x:c r="M1088" s="9" t="n">
        <x:v>0</x:v>
      </x:c>
      <x:c r="N1088" s="9" t="n">
        <x:v>0</x:v>
      </x:c>
      <x:c r="O1088" s="9" t="n">
        <x:v>0</x:v>
      </x:c>
      <x:c r="P1088" s="9" t="str">
        <x:v>UNSEALED / SOURCE-EMPTY</x:v>
      </x:c>
      <x:c r="Q1088" s="9" t="n">
        <x:f>COUNTIFS($A$7:$A$1158,A1088)</x:f>
        <x:v>1</x:v>
      </x:c>
    </x:row>
    <x:row r="1089">
      <x:c r="A1089" s="9" t="str">
        <x:v>EV-AR-HU-A-B-TECH-4-B1-RCN-G0-RW03</x:v>
      </x:c>
      <x:c r="B1089" s="9" t="str">
        <x:v>EV-AR-HU-A-B-TECH-4-B1-RCN-G0</x:v>
      </x:c>
      <x:c r="C1089" s="9" t="str">
        <x:v>AR-HU-A-B-TECH-4-B1-RCN-G0</x:v>
      </x:c>
      <x:c r="D1089" s="9" t="str">
        <x:v>HU-A-B-TECH-4</x:v>
      </x:c>
      <x:c r="E1089" s="9" t="str">
        <x:v>HU-A-B</x:v>
      </x:c>
      <x:c r="F1089" s="9" t="str">
        <x:v>B1</x:v>
      </x:c>
      <x:c r="G1089" s="9" t="str">
        <x:v>RCN</x:v>
      </x:c>
      <x:c r="H1089" s="9" t="str">
        <x:v>RW03</x:v>
      </x:c>
      <x:c r="I1089" s="17" t="str">
        <x:v>Event clock and start traces</x:v>
      </x:c>
      <x:c r="J1089" s="17" t="str">
        <x:v>Event clock authority</x:v>
      </x:c>
      <x:c r="K1089" s="17" t="str">
        <x:v>Public custody C</x:v>
      </x:c>
      <x:c r="L1089" s="9" t="n">
        <x:v>0</x:v>
      </x:c>
      <x:c r="M1089" s="9" t="n">
        <x:v>0</x:v>
      </x:c>
      <x:c r="N1089" s="9" t="n">
        <x:v>0</x:v>
      </x:c>
      <x:c r="O1089" s="9" t="n">
        <x:v>0</x:v>
      </x:c>
      <x:c r="P1089" s="9" t="str">
        <x:v>UNSEALED / SOURCE-EMPTY</x:v>
      </x:c>
      <x:c r="Q1089" s="9" t="n">
        <x:f>COUNTIFS($A$7:$A$1158,A1089)</x:f>
        <x:v>1</x:v>
      </x:c>
    </x:row>
    <x:row r="1090">
      <x:c r="A1090" s="9" t="str">
        <x:v>EV-AR-HU-A-B-TECH-4-B1-RCN-G0-RW04</x:v>
      </x:c>
      <x:c r="B1090" s="9" t="str">
        <x:v>EV-AR-HU-A-B-TECH-4-B1-RCN-G0</x:v>
      </x:c>
      <x:c r="C1090" s="9" t="str">
        <x:v>AR-HU-A-B-TECH-4-B1-RCN-G0</x:v>
      </x:c>
      <x:c r="D1090" s="9" t="str">
        <x:v>HU-A-B-TECH-4</x:v>
      </x:c>
      <x:c r="E1090" s="9" t="str">
        <x:v>HU-A-B</x:v>
      </x:c>
      <x:c r="F1090" s="9" t="str">
        <x:v>B1</x:v>
      </x:c>
      <x:c r="G1090" s="9" t="str">
        <x:v>RCN</x:v>
      </x:c>
      <x:c r="H1090" s="9" t="str">
        <x:v>RW04</x:v>
      </x:c>
      <x:c r="I1090" s="17" t="str">
        <x:v>Environmental boundary stream</x:v>
      </x:c>
      <x:c r="J1090" s="17" t="str">
        <x:v>Site metrology</x:v>
      </x:c>
      <x:c r="K1090" s="17" t="str">
        <x:v>Public custody D</x:v>
      </x:c>
      <x:c r="L1090" s="9" t="n">
        <x:v>0</x:v>
      </x:c>
      <x:c r="M1090" s="9" t="n">
        <x:v>0</x:v>
      </x:c>
      <x:c r="N1090" s="9" t="n">
        <x:v>0</x:v>
      </x:c>
      <x:c r="O1090" s="9" t="n">
        <x:v>0</x:v>
      </x:c>
      <x:c r="P1090" s="9" t="str">
        <x:v>UNSEALED / SOURCE-EMPTY</x:v>
      </x:c>
      <x:c r="Q1090" s="9" t="n">
        <x:f>COUNTIFS($A$7:$A$1158,A1090)</x:f>
        <x:v>1</x:v>
      </x:c>
    </x:row>
    <x:row r="1091">
      <x:c r="A1091" s="9" t="str">
        <x:v>EV-AR-HU-A-B-TECH-4-B1-RCN-G0-RW05</x:v>
      </x:c>
      <x:c r="B1091" s="9" t="str">
        <x:v>EV-AR-HU-A-B-TECH-4-B1-RCN-G0</x:v>
      </x:c>
      <x:c r="C1091" s="9" t="str">
        <x:v>AR-HU-A-B-TECH-4-B1-RCN-G0</x:v>
      </x:c>
      <x:c r="D1091" s="9" t="str">
        <x:v>HU-A-B-TECH-4</x:v>
      </x:c>
      <x:c r="E1091" s="9" t="str">
        <x:v>HU-A-B</x:v>
      </x:c>
      <x:c r="F1091" s="9" t="str">
        <x:v>B1</x:v>
      </x:c>
      <x:c r="G1091" s="9" t="str">
        <x:v>RCN</x:v>
      </x:c>
      <x:c r="H1091" s="9" t="str">
        <x:v>RW05</x:v>
      </x:c>
      <x:c r="I1091" s="17" t="str">
        <x:v>Command and intervention log</x:v>
      </x:c>
      <x:c r="J1091" s="17" t="str">
        <x:v>Safety authority</x:v>
      </x:c>
      <x:c r="K1091" s="17" t="str">
        <x:v>Public custody E</x:v>
      </x:c>
      <x:c r="L1091" s="9" t="n">
        <x:v>0</x:v>
      </x:c>
      <x:c r="M1091" s="9" t="n">
        <x:v>0</x:v>
      </x:c>
      <x:c r="N1091" s="9" t="n">
        <x:v>0</x:v>
      </x:c>
      <x:c r="O1091" s="9" t="n">
        <x:v>0</x:v>
      </x:c>
      <x:c r="P1091" s="9" t="str">
        <x:v>UNSEALED / SOURCE-EMPTY</x:v>
      </x:c>
      <x:c r="Q1091" s="9" t="n">
        <x:f>COUNTIFS($A$7:$A$1158,A1091)</x:f>
        <x:v>1</x:v>
      </x:c>
    </x:row>
    <x:row r="1092">
      <x:c r="A1092" s="9" t="str">
        <x:v>EV-AR-HU-A-B-TECH-4-B1-RCN-G0-RW06</x:v>
      </x:c>
      <x:c r="B1092" s="9" t="str">
        <x:v>EV-AR-HU-A-B-TECH-4-B1-RCN-G0</x:v>
      </x:c>
      <x:c r="C1092" s="9" t="str">
        <x:v>AR-HU-A-B-TECH-4-B1-RCN-G0</x:v>
      </x:c>
      <x:c r="D1092" s="9" t="str">
        <x:v>HU-A-B-TECH-4</x:v>
      </x:c>
      <x:c r="E1092" s="9" t="str">
        <x:v>HU-A-B</x:v>
      </x:c>
      <x:c r="F1092" s="9" t="str">
        <x:v>B1</x:v>
      </x:c>
      <x:c r="G1092" s="9" t="str">
        <x:v>RCN</x:v>
      </x:c>
      <x:c r="H1092" s="9" t="str">
        <x:v>RW06</x:v>
      </x:c>
      <x:c r="I1092" s="17" t="str">
        <x:v>Receiver service ledger</x:v>
      </x:c>
      <x:c r="J1092" s="17" t="str">
        <x:v>Receiver authority</x:v>
      </x:c>
      <x:c r="K1092" s="17" t="str">
        <x:v>Public custody F</x:v>
      </x:c>
      <x:c r="L1092" s="9" t="n">
        <x:v>0</x:v>
      </x:c>
      <x:c r="M1092" s="9" t="n">
        <x:v>0</x:v>
      </x:c>
      <x:c r="N1092" s="9" t="n">
        <x:v>0</x:v>
      </x:c>
      <x:c r="O1092" s="9" t="n">
        <x:v>0</x:v>
      </x:c>
      <x:c r="P1092" s="9" t="str">
        <x:v>UNSEALED / SOURCE-EMPTY</x:v>
      </x:c>
      <x:c r="Q1092" s="9" t="n">
        <x:f>COUNTIFS($A$7:$A$1158,A1092)</x:f>
        <x:v>1</x:v>
      </x:c>
    </x:row>
    <x:row r="1093">
      <x:c r="A1093" s="9" t="str">
        <x:v>EV-AR-HU-A-B-TECH-4-B1-RCN-G0-RW07</x:v>
      </x:c>
      <x:c r="B1093" s="9" t="str">
        <x:v>EV-AR-HU-A-B-TECH-4-B1-RCN-G0</x:v>
      </x:c>
      <x:c r="C1093" s="9" t="str">
        <x:v>AR-HU-A-B-TECH-4-B1-RCN-G0</x:v>
      </x:c>
      <x:c r="D1093" s="9" t="str">
        <x:v>HU-A-B-TECH-4</x:v>
      </x:c>
      <x:c r="E1093" s="9" t="str">
        <x:v>HU-A-B</x:v>
      </x:c>
      <x:c r="F1093" s="9" t="str">
        <x:v>B1</x:v>
      </x:c>
      <x:c r="G1093" s="9" t="str">
        <x:v>RCN</x:v>
      </x:c>
      <x:c r="H1093" s="9" t="str">
        <x:v>RW07</x:v>
      </x:c>
      <x:c r="I1093" s="17" t="str">
        <x:v>Candidate interface telemetry</x:v>
      </x:c>
      <x:c r="J1093" s="17" t="str">
        <x:v>Interface custodian</x:v>
      </x:c>
      <x:c r="K1093" s="17" t="str">
        <x:v>Public custody A</x:v>
      </x:c>
      <x:c r="L1093" s="9" t="n">
        <x:v>0</x:v>
      </x:c>
      <x:c r="M1093" s="9" t="n">
        <x:v>0</x:v>
      </x:c>
      <x:c r="N1093" s="9" t="n">
        <x:v>0</x:v>
      </x:c>
      <x:c r="O1093" s="9" t="n">
        <x:v>0</x:v>
      </x:c>
      <x:c r="P1093" s="9" t="str">
        <x:v>UNSEALED / SOURCE-EMPTY</x:v>
      </x:c>
      <x:c r="Q1093" s="9" t="n">
        <x:f>COUNTIFS($A$7:$A$1158,A1093)</x:f>
        <x:v>1</x:v>
      </x:c>
    </x:row>
    <x:row r="1094">
      <x:c r="A1094" s="9" t="str">
        <x:v>EV-AR-HU-A-B-TECH-4-B1-RCN-G0-RW08</x:v>
      </x:c>
      <x:c r="B1094" s="9" t="str">
        <x:v>EV-AR-HU-A-B-TECH-4-B1-RCN-G0</x:v>
      </x:c>
      <x:c r="C1094" s="9" t="str">
        <x:v>AR-HU-A-B-TECH-4-B1-RCN-G0</x:v>
      </x:c>
      <x:c r="D1094" s="9" t="str">
        <x:v>HU-A-B-TECH-4</x:v>
      </x:c>
      <x:c r="E1094" s="9" t="str">
        <x:v>HU-A-B</x:v>
      </x:c>
      <x:c r="F1094" s="9" t="str">
        <x:v>B1</x:v>
      </x:c>
      <x:c r="G1094" s="9" t="str">
        <x:v>RCN</x:v>
      </x:c>
      <x:c r="H1094" s="9" t="str">
        <x:v>RW08</x:v>
      </x:c>
      <x:c r="I1094" s="17" t="str">
        <x:v>Residual and physical evidence</x:v>
      </x:c>
      <x:c r="J1094" s="17" t="str">
        <x:v>Residual authority</x:v>
      </x:c>
      <x:c r="K1094" s="17" t="str">
        <x:v>Public custody B</x:v>
      </x:c>
      <x:c r="L1094" s="9" t="n">
        <x:v>0</x:v>
      </x:c>
      <x:c r="M1094" s="9" t="n">
        <x:v>0</x:v>
      </x:c>
      <x:c r="N1094" s="9" t="n">
        <x:v>0</x:v>
      </x:c>
      <x:c r="O1094" s="9" t="n">
        <x:v>0</x:v>
      </x:c>
      <x:c r="P1094" s="9" t="str">
        <x:v>UNSEALED / SOURCE-EMPTY</x:v>
      </x:c>
      <x:c r="Q1094" s="9" t="n">
        <x:f>COUNTIFS($A$7:$A$1158,A1094)</x:f>
        <x:v>1</x:v>
      </x:c>
    </x:row>
    <x:row r="1095">
      <x:c r="A1095" s="9" t="str">
        <x:v>EV-AR-RT-B-C-TECH-1-B1-INT-G0-RW01</x:v>
      </x:c>
      <x:c r="B1095" s="9" t="str">
        <x:v>EV-AR-RT-B-C-TECH-1-B1-INT-G0</x:v>
      </x:c>
      <x:c r="C1095" s="9" t="str">
        <x:v>AR-RT-B-C-TECH-1-B1-INT-G0</x:v>
      </x:c>
      <x:c r="D1095" s="9" t="str">
        <x:v>RT-B-C-TECH-1</x:v>
      </x:c>
      <x:c r="E1095" s="9" t="str">
        <x:v>RT-B-C</x:v>
      </x:c>
      <x:c r="F1095" s="9" t="str">
        <x:v>B1</x:v>
      </x:c>
      <x:c r="G1095" s="9" t="str">
        <x:v>INT</x:v>
      </x:c>
      <x:c r="H1095" s="9" t="str">
        <x:v>RW01</x:v>
      </x:c>
      <x:c r="I1095" s="17" t="str">
        <x:v>Primary raw stream</x:v>
      </x:c>
      <x:c r="J1095" s="17" t="str">
        <x:v>Primary metrology</x:v>
      </x:c>
      <x:c r="K1095" s="17" t="str">
        <x:v>Public custody A</x:v>
      </x:c>
      <x:c r="L1095" s="9" t="n">
        <x:v>0</x:v>
      </x:c>
      <x:c r="M1095" s="9" t="n">
        <x:v>0</x:v>
      </x:c>
      <x:c r="N1095" s="9" t="n">
        <x:v>0</x:v>
      </x:c>
      <x:c r="O1095" s="9" t="n">
        <x:v>0</x:v>
      </x:c>
      <x:c r="P1095" s="9" t="str">
        <x:v>UNSEALED / SOURCE-EMPTY</x:v>
      </x:c>
      <x:c r="Q1095" s="9" t="n">
        <x:f>COUNTIFS($A$7:$A$1158,A1095)</x:f>
        <x:v>1</x:v>
      </x:c>
    </x:row>
    <x:row r="1096">
      <x:c r="A1096" s="9" t="str">
        <x:v>EV-AR-RT-B-C-TECH-1-B1-INT-G0-RW02</x:v>
      </x:c>
      <x:c r="B1096" s="9" t="str">
        <x:v>EV-AR-RT-B-C-TECH-1-B1-INT-G0</x:v>
      </x:c>
      <x:c r="C1096" s="9" t="str">
        <x:v>AR-RT-B-C-TECH-1-B1-INT-G0</x:v>
      </x:c>
      <x:c r="D1096" s="9" t="str">
        <x:v>RT-B-C-TECH-1</x:v>
      </x:c>
      <x:c r="E1096" s="9" t="str">
        <x:v>RT-B-C</x:v>
      </x:c>
      <x:c r="F1096" s="9" t="str">
        <x:v>B1</x:v>
      </x:c>
      <x:c r="G1096" s="9" t="str">
        <x:v>INT</x:v>
      </x:c>
      <x:c r="H1096" s="9" t="str">
        <x:v>RW02</x:v>
      </x:c>
      <x:c r="I1096" s="17" t="str">
        <x:v>Unlike witness stream</x:v>
      </x:c>
      <x:c r="J1096" s="17" t="str">
        <x:v>Witness metrology</x:v>
      </x:c>
      <x:c r="K1096" s="17" t="str">
        <x:v>Public custody B</x:v>
      </x:c>
      <x:c r="L1096" s="9" t="n">
        <x:v>0</x:v>
      </x:c>
      <x:c r="M1096" s="9" t="n">
        <x:v>0</x:v>
      </x:c>
      <x:c r="N1096" s="9" t="n">
        <x:v>0</x:v>
      </x:c>
      <x:c r="O1096" s="9" t="n">
        <x:v>0</x:v>
      </x:c>
      <x:c r="P1096" s="9" t="str">
        <x:v>UNSEALED / SOURCE-EMPTY</x:v>
      </x:c>
      <x:c r="Q1096" s="9" t="n">
        <x:f>COUNTIFS($A$7:$A$1158,A1096)</x:f>
        <x:v>1</x:v>
      </x:c>
    </x:row>
    <x:row r="1097">
      <x:c r="A1097" s="9" t="str">
        <x:v>EV-AR-RT-B-C-TECH-1-B1-INT-G0-RW03</x:v>
      </x:c>
      <x:c r="B1097" s="9" t="str">
        <x:v>EV-AR-RT-B-C-TECH-1-B1-INT-G0</x:v>
      </x:c>
      <x:c r="C1097" s="9" t="str">
        <x:v>AR-RT-B-C-TECH-1-B1-INT-G0</x:v>
      </x:c>
      <x:c r="D1097" s="9" t="str">
        <x:v>RT-B-C-TECH-1</x:v>
      </x:c>
      <x:c r="E1097" s="9" t="str">
        <x:v>RT-B-C</x:v>
      </x:c>
      <x:c r="F1097" s="9" t="str">
        <x:v>B1</x:v>
      </x:c>
      <x:c r="G1097" s="9" t="str">
        <x:v>INT</x:v>
      </x:c>
      <x:c r="H1097" s="9" t="str">
        <x:v>RW03</x:v>
      </x:c>
      <x:c r="I1097" s="17" t="str">
        <x:v>Event clock and start traces</x:v>
      </x:c>
      <x:c r="J1097" s="17" t="str">
        <x:v>Event clock authority</x:v>
      </x:c>
      <x:c r="K1097" s="17" t="str">
        <x:v>Public custody C</x:v>
      </x:c>
      <x:c r="L1097" s="9" t="n">
        <x:v>0</x:v>
      </x:c>
      <x:c r="M1097" s="9" t="n">
        <x:v>0</x:v>
      </x:c>
      <x:c r="N1097" s="9" t="n">
        <x:v>0</x:v>
      </x:c>
      <x:c r="O1097" s="9" t="n">
        <x:v>0</x:v>
      </x:c>
      <x:c r="P1097" s="9" t="str">
        <x:v>UNSEALED / SOURCE-EMPTY</x:v>
      </x:c>
      <x:c r="Q1097" s="9" t="n">
        <x:f>COUNTIFS($A$7:$A$1158,A1097)</x:f>
        <x:v>1</x:v>
      </x:c>
    </x:row>
    <x:row r="1098">
      <x:c r="A1098" s="9" t="str">
        <x:v>EV-AR-RT-B-C-TECH-1-B1-INT-G0-RW04</x:v>
      </x:c>
      <x:c r="B1098" s="9" t="str">
        <x:v>EV-AR-RT-B-C-TECH-1-B1-INT-G0</x:v>
      </x:c>
      <x:c r="C1098" s="9" t="str">
        <x:v>AR-RT-B-C-TECH-1-B1-INT-G0</x:v>
      </x:c>
      <x:c r="D1098" s="9" t="str">
        <x:v>RT-B-C-TECH-1</x:v>
      </x:c>
      <x:c r="E1098" s="9" t="str">
        <x:v>RT-B-C</x:v>
      </x:c>
      <x:c r="F1098" s="9" t="str">
        <x:v>B1</x:v>
      </x:c>
      <x:c r="G1098" s="9" t="str">
        <x:v>INT</x:v>
      </x:c>
      <x:c r="H1098" s="9" t="str">
        <x:v>RW04</x:v>
      </x:c>
      <x:c r="I1098" s="17" t="str">
        <x:v>Environmental boundary stream</x:v>
      </x:c>
      <x:c r="J1098" s="17" t="str">
        <x:v>Site metrology</x:v>
      </x:c>
      <x:c r="K1098" s="17" t="str">
        <x:v>Public custody D</x:v>
      </x:c>
      <x:c r="L1098" s="9" t="n">
        <x:v>0</x:v>
      </x:c>
      <x:c r="M1098" s="9" t="n">
        <x:v>0</x:v>
      </x:c>
      <x:c r="N1098" s="9" t="n">
        <x:v>0</x:v>
      </x:c>
      <x:c r="O1098" s="9" t="n">
        <x:v>0</x:v>
      </x:c>
      <x:c r="P1098" s="9" t="str">
        <x:v>UNSEALED / SOURCE-EMPTY</x:v>
      </x:c>
      <x:c r="Q1098" s="9" t="n">
        <x:f>COUNTIFS($A$7:$A$1158,A1098)</x:f>
        <x:v>1</x:v>
      </x:c>
    </x:row>
    <x:row r="1099">
      <x:c r="A1099" s="9" t="str">
        <x:v>EV-AR-RT-B-C-TECH-1-B1-INT-G0-RW05</x:v>
      </x:c>
      <x:c r="B1099" s="9" t="str">
        <x:v>EV-AR-RT-B-C-TECH-1-B1-INT-G0</x:v>
      </x:c>
      <x:c r="C1099" s="9" t="str">
        <x:v>AR-RT-B-C-TECH-1-B1-INT-G0</x:v>
      </x:c>
      <x:c r="D1099" s="9" t="str">
        <x:v>RT-B-C-TECH-1</x:v>
      </x:c>
      <x:c r="E1099" s="9" t="str">
        <x:v>RT-B-C</x:v>
      </x:c>
      <x:c r="F1099" s="9" t="str">
        <x:v>B1</x:v>
      </x:c>
      <x:c r="G1099" s="9" t="str">
        <x:v>INT</x:v>
      </x:c>
      <x:c r="H1099" s="9" t="str">
        <x:v>RW05</x:v>
      </x:c>
      <x:c r="I1099" s="17" t="str">
        <x:v>Command and intervention log</x:v>
      </x:c>
      <x:c r="J1099" s="17" t="str">
        <x:v>Safety authority</x:v>
      </x:c>
      <x:c r="K1099" s="17" t="str">
        <x:v>Public custody E</x:v>
      </x:c>
      <x:c r="L1099" s="9" t="n">
        <x:v>0</x:v>
      </x:c>
      <x:c r="M1099" s="9" t="n">
        <x:v>0</x:v>
      </x:c>
      <x:c r="N1099" s="9" t="n">
        <x:v>0</x:v>
      </x:c>
      <x:c r="O1099" s="9" t="n">
        <x:v>0</x:v>
      </x:c>
      <x:c r="P1099" s="9" t="str">
        <x:v>UNSEALED / SOURCE-EMPTY</x:v>
      </x:c>
      <x:c r="Q1099" s="9" t="n">
        <x:f>COUNTIFS($A$7:$A$1158,A1099)</x:f>
        <x:v>1</x:v>
      </x:c>
    </x:row>
    <x:row r="1100">
      <x:c r="A1100" s="9" t="str">
        <x:v>EV-AR-RT-B-C-TECH-1-B1-INT-G0-RW06</x:v>
      </x:c>
      <x:c r="B1100" s="9" t="str">
        <x:v>EV-AR-RT-B-C-TECH-1-B1-INT-G0</x:v>
      </x:c>
      <x:c r="C1100" s="9" t="str">
        <x:v>AR-RT-B-C-TECH-1-B1-INT-G0</x:v>
      </x:c>
      <x:c r="D1100" s="9" t="str">
        <x:v>RT-B-C-TECH-1</x:v>
      </x:c>
      <x:c r="E1100" s="9" t="str">
        <x:v>RT-B-C</x:v>
      </x:c>
      <x:c r="F1100" s="9" t="str">
        <x:v>B1</x:v>
      </x:c>
      <x:c r="G1100" s="9" t="str">
        <x:v>INT</x:v>
      </x:c>
      <x:c r="H1100" s="9" t="str">
        <x:v>RW06</x:v>
      </x:c>
      <x:c r="I1100" s="17" t="str">
        <x:v>Receiver service ledger</x:v>
      </x:c>
      <x:c r="J1100" s="17" t="str">
        <x:v>Receiver authority</x:v>
      </x:c>
      <x:c r="K1100" s="17" t="str">
        <x:v>Public custody F</x:v>
      </x:c>
      <x:c r="L1100" s="9" t="n">
        <x:v>0</x:v>
      </x:c>
      <x:c r="M1100" s="9" t="n">
        <x:v>0</x:v>
      </x:c>
      <x:c r="N1100" s="9" t="n">
        <x:v>0</x:v>
      </x:c>
      <x:c r="O1100" s="9" t="n">
        <x:v>0</x:v>
      </x:c>
      <x:c r="P1100" s="9" t="str">
        <x:v>UNSEALED / SOURCE-EMPTY</x:v>
      </x:c>
      <x:c r="Q1100" s="9" t="n">
        <x:f>COUNTIFS($A$7:$A$1158,A1100)</x:f>
        <x:v>1</x:v>
      </x:c>
    </x:row>
    <x:row r="1101">
      <x:c r="A1101" s="9" t="str">
        <x:v>EV-AR-RT-B-C-TECH-1-B1-INT-G0-RW07</x:v>
      </x:c>
      <x:c r="B1101" s="9" t="str">
        <x:v>EV-AR-RT-B-C-TECH-1-B1-INT-G0</x:v>
      </x:c>
      <x:c r="C1101" s="9" t="str">
        <x:v>AR-RT-B-C-TECH-1-B1-INT-G0</x:v>
      </x:c>
      <x:c r="D1101" s="9" t="str">
        <x:v>RT-B-C-TECH-1</x:v>
      </x:c>
      <x:c r="E1101" s="9" t="str">
        <x:v>RT-B-C</x:v>
      </x:c>
      <x:c r="F1101" s="9" t="str">
        <x:v>B1</x:v>
      </x:c>
      <x:c r="G1101" s="9" t="str">
        <x:v>INT</x:v>
      </x:c>
      <x:c r="H1101" s="9" t="str">
        <x:v>RW07</x:v>
      </x:c>
      <x:c r="I1101" s="17" t="str">
        <x:v>Candidate interface telemetry</x:v>
      </x:c>
      <x:c r="J1101" s="17" t="str">
        <x:v>Interface custodian</x:v>
      </x:c>
      <x:c r="K1101" s="17" t="str">
        <x:v>Public custody A</x:v>
      </x:c>
      <x:c r="L1101" s="9" t="n">
        <x:v>0</x:v>
      </x:c>
      <x:c r="M1101" s="9" t="n">
        <x:v>0</x:v>
      </x:c>
      <x:c r="N1101" s="9" t="n">
        <x:v>0</x:v>
      </x:c>
      <x:c r="O1101" s="9" t="n">
        <x:v>0</x:v>
      </x:c>
      <x:c r="P1101" s="9" t="str">
        <x:v>UNSEALED / SOURCE-EMPTY</x:v>
      </x:c>
      <x:c r="Q1101" s="9" t="n">
        <x:f>COUNTIFS($A$7:$A$1158,A1101)</x:f>
        <x:v>1</x:v>
      </x:c>
    </x:row>
    <x:row r="1102">
      <x:c r="A1102" s="9" t="str">
        <x:v>EV-AR-RT-B-C-TECH-1-B1-INT-G0-RW08</x:v>
      </x:c>
      <x:c r="B1102" s="9" t="str">
        <x:v>EV-AR-RT-B-C-TECH-1-B1-INT-G0</x:v>
      </x:c>
      <x:c r="C1102" s="9" t="str">
        <x:v>AR-RT-B-C-TECH-1-B1-INT-G0</x:v>
      </x:c>
      <x:c r="D1102" s="9" t="str">
        <x:v>RT-B-C-TECH-1</x:v>
      </x:c>
      <x:c r="E1102" s="9" t="str">
        <x:v>RT-B-C</x:v>
      </x:c>
      <x:c r="F1102" s="9" t="str">
        <x:v>B1</x:v>
      </x:c>
      <x:c r="G1102" s="9" t="str">
        <x:v>INT</x:v>
      </x:c>
      <x:c r="H1102" s="9" t="str">
        <x:v>RW08</x:v>
      </x:c>
      <x:c r="I1102" s="17" t="str">
        <x:v>Residual and physical evidence</x:v>
      </x:c>
      <x:c r="J1102" s="17" t="str">
        <x:v>Residual authority</x:v>
      </x:c>
      <x:c r="K1102" s="17" t="str">
        <x:v>Public custody B</x:v>
      </x:c>
      <x:c r="L1102" s="9" t="n">
        <x:v>0</x:v>
      </x:c>
      <x:c r="M1102" s="9" t="n">
        <x:v>0</x:v>
      </x:c>
      <x:c r="N1102" s="9" t="n">
        <x:v>0</x:v>
      </x:c>
      <x:c r="O1102" s="9" t="n">
        <x:v>0</x:v>
      </x:c>
      <x:c r="P1102" s="9" t="str">
        <x:v>UNSEALED / SOURCE-EMPTY</x:v>
      </x:c>
      <x:c r="Q1102" s="9" t="n">
        <x:f>COUNTIFS($A$7:$A$1158,A1102)</x:f>
        <x:v>1</x:v>
      </x:c>
    </x:row>
    <x:row r="1103">
      <x:c r="A1103" s="9" t="str">
        <x:v>EV-AR-RT-B-C-TECH-4-B2-BRK-G0-RW01</x:v>
      </x:c>
      <x:c r="B1103" s="9" t="str">
        <x:v>EV-AR-RT-B-C-TECH-4-B2-BRK-G0</x:v>
      </x:c>
      <x:c r="C1103" s="9" t="str">
        <x:v>AR-RT-B-C-TECH-4-B2-BRK-G0</x:v>
      </x:c>
      <x:c r="D1103" s="9" t="str">
        <x:v>RT-B-C-TECH-4</x:v>
      </x:c>
      <x:c r="E1103" s="9" t="str">
        <x:v>RT-B-C</x:v>
      </x:c>
      <x:c r="F1103" s="9" t="str">
        <x:v>B2</x:v>
      </x:c>
      <x:c r="G1103" s="9" t="str">
        <x:v>BRK</x:v>
      </x:c>
      <x:c r="H1103" s="9" t="str">
        <x:v>RW01</x:v>
      </x:c>
      <x:c r="I1103" s="17" t="str">
        <x:v>Primary raw stream</x:v>
      </x:c>
      <x:c r="J1103" s="17" t="str">
        <x:v>Primary metrology</x:v>
      </x:c>
      <x:c r="K1103" s="17" t="str">
        <x:v>Public custody A</x:v>
      </x:c>
      <x:c r="L1103" s="9" t="n">
        <x:v>0</x:v>
      </x:c>
      <x:c r="M1103" s="9" t="n">
        <x:v>0</x:v>
      </x:c>
      <x:c r="N1103" s="9" t="n">
        <x:v>0</x:v>
      </x:c>
      <x:c r="O1103" s="9" t="n">
        <x:v>0</x:v>
      </x:c>
      <x:c r="P1103" s="9" t="str">
        <x:v>UNSEALED / SOURCE-EMPTY</x:v>
      </x:c>
      <x:c r="Q1103" s="9" t="n">
        <x:f>COUNTIFS($A$7:$A$1158,A1103)</x:f>
        <x:v>1</x:v>
      </x:c>
    </x:row>
    <x:row r="1104">
      <x:c r="A1104" s="9" t="str">
        <x:v>EV-AR-RT-B-C-TECH-4-B2-BRK-G0-RW02</x:v>
      </x:c>
      <x:c r="B1104" s="9" t="str">
        <x:v>EV-AR-RT-B-C-TECH-4-B2-BRK-G0</x:v>
      </x:c>
      <x:c r="C1104" s="9" t="str">
        <x:v>AR-RT-B-C-TECH-4-B2-BRK-G0</x:v>
      </x:c>
      <x:c r="D1104" s="9" t="str">
        <x:v>RT-B-C-TECH-4</x:v>
      </x:c>
      <x:c r="E1104" s="9" t="str">
        <x:v>RT-B-C</x:v>
      </x:c>
      <x:c r="F1104" s="9" t="str">
        <x:v>B2</x:v>
      </x:c>
      <x:c r="G1104" s="9" t="str">
        <x:v>BRK</x:v>
      </x:c>
      <x:c r="H1104" s="9" t="str">
        <x:v>RW02</x:v>
      </x:c>
      <x:c r="I1104" s="17" t="str">
        <x:v>Unlike witness stream</x:v>
      </x:c>
      <x:c r="J1104" s="17" t="str">
        <x:v>Witness metrology</x:v>
      </x:c>
      <x:c r="K1104" s="17" t="str">
        <x:v>Public custody B</x:v>
      </x:c>
      <x:c r="L1104" s="9" t="n">
        <x:v>0</x:v>
      </x:c>
      <x:c r="M1104" s="9" t="n">
        <x:v>0</x:v>
      </x:c>
      <x:c r="N1104" s="9" t="n">
        <x:v>0</x:v>
      </x:c>
      <x:c r="O1104" s="9" t="n">
        <x:v>0</x:v>
      </x:c>
      <x:c r="P1104" s="9" t="str">
        <x:v>UNSEALED / SOURCE-EMPTY</x:v>
      </x:c>
      <x:c r="Q1104" s="9" t="n">
        <x:f>COUNTIFS($A$7:$A$1158,A1104)</x:f>
        <x:v>1</x:v>
      </x:c>
    </x:row>
    <x:row r="1105">
      <x:c r="A1105" s="9" t="str">
        <x:v>EV-AR-RT-B-C-TECH-4-B2-BRK-G0-RW03</x:v>
      </x:c>
      <x:c r="B1105" s="9" t="str">
        <x:v>EV-AR-RT-B-C-TECH-4-B2-BRK-G0</x:v>
      </x:c>
      <x:c r="C1105" s="9" t="str">
        <x:v>AR-RT-B-C-TECH-4-B2-BRK-G0</x:v>
      </x:c>
      <x:c r="D1105" s="9" t="str">
        <x:v>RT-B-C-TECH-4</x:v>
      </x:c>
      <x:c r="E1105" s="9" t="str">
        <x:v>RT-B-C</x:v>
      </x:c>
      <x:c r="F1105" s="9" t="str">
        <x:v>B2</x:v>
      </x:c>
      <x:c r="G1105" s="9" t="str">
        <x:v>BRK</x:v>
      </x:c>
      <x:c r="H1105" s="9" t="str">
        <x:v>RW03</x:v>
      </x:c>
      <x:c r="I1105" s="17" t="str">
        <x:v>Event clock and start traces</x:v>
      </x:c>
      <x:c r="J1105" s="17" t="str">
        <x:v>Event clock authority</x:v>
      </x:c>
      <x:c r="K1105" s="17" t="str">
        <x:v>Public custody C</x:v>
      </x:c>
      <x:c r="L1105" s="9" t="n">
        <x:v>0</x:v>
      </x:c>
      <x:c r="M1105" s="9" t="n">
        <x:v>0</x:v>
      </x:c>
      <x:c r="N1105" s="9" t="n">
        <x:v>0</x:v>
      </x:c>
      <x:c r="O1105" s="9" t="n">
        <x:v>0</x:v>
      </x:c>
      <x:c r="P1105" s="9" t="str">
        <x:v>UNSEALED / SOURCE-EMPTY</x:v>
      </x:c>
      <x:c r="Q1105" s="9" t="n">
        <x:f>COUNTIFS($A$7:$A$1158,A1105)</x:f>
        <x:v>1</x:v>
      </x:c>
    </x:row>
    <x:row r="1106">
      <x:c r="A1106" s="9" t="str">
        <x:v>EV-AR-RT-B-C-TECH-4-B2-BRK-G0-RW04</x:v>
      </x:c>
      <x:c r="B1106" s="9" t="str">
        <x:v>EV-AR-RT-B-C-TECH-4-B2-BRK-G0</x:v>
      </x:c>
      <x:c r="C1106" s="9" t="str">
        <x:v>AR-RT-B-C-TECH-4-B2-BRK-G0</x:v>
      </x:c>
      <x:c r="D1106" s="9" t="str">
        <x:v>RT-B-C-TECH-4</x:v>
      </x:c>
      <x:c r="E1106" s="9" t="str">
        <x:v>RT-B-C</x:v>
      </x:c>
      <x:c r="F1106" s="9" t="str">
        <x:v>B2</x:v>
      </x:c>
      <x:c r="G1106" s="9" t="str">
        <x:v>BRK</x:v>
      </x:c>
      <x:c r="H1106" s="9" t="str">
        <x:v>RW04</x:v>
      </x:c>
      <x:c r="I1106" s="17" t="str">
        <x:v>Environmental boundary stream</x:v>
      </x:c>
      <x:c r="J1106" s="17" t="str">
        <x:v>Site metrology</x:v>
      </x:c>
      <x:c r="K1106" s="17" t="str">
        <x:v>Public custody D</x:v>
      </x:c>
      <x:c r="L1106" s="9" t="n">
        <x:v>0</x:v>
      </x:c>
      <x:c r="M1106" s="9" t="n">
        <x:v>0</x:v>
      </x:c>
      <x:c r="N1106" s="9" t="n">
        <x:v>0</x:v>
      </x:c>
      <x:c r="O1106" s="9" t="n">
        <x:v>0</x:v>
      </x:c>
      <x:c r="P1106" s="9" t="str">
        <x:v>UNSEALED / SOURCE-EMPTY</x:v>
      </x:c>
      <x:c r="Q1106" s="9" t="n">
        <x:f>COUNTIFS($A$7:$A$1158,A1106)</x:f>
        <x:v>1</x:v>
      </x:c>
    </x:row>
    <x:row r="1107">
      <x:c r="A1107" s="9" t="str">
        <x:v>EV-AR-RT-B-C-TECH-4-B2-BRK-G0-RW05</x:v>
      </x:c>
      <x:c r="B1107" s="9" t="str">
        <x:v>EV-AR-RT-B-C-TECH-4-B2-BRK-G0</x:v>
      </x:c>
      <x:c r="C1107" s="9" t="str">
        <x:v>AR-RT-B-C-TECH-4-B2-BRK-G0</x:v>
      </x:c>
      <x:c r="D1107" s="9" t="str">
        <x:v>RT-B-C-TECH-4</x:v>
      </x:c>
      <x:c r="E1107" s="9" t="str">
        <x:v>RT-B-C</x:v>
      </x:c>
      <x:c r="F1107" s="9" t="str">
        <x:v>B2</x:v>
      </x:c>
      <x:c r="G1107" s="9" t="str">
        <x:v>BRK</x:v>
      </x:c>
      <x:c r="H1107" s="9" t="str">
        <x:v>RW05</x:v>
      </x:c>
      <x:c r="I1107" s="17" t="str">
        <x:v>Command and intervention log</x:v>
      </x:c>
      <x:c r="J1107" s="17" t="str">
        <x:v>Safety authority</x:v>
      </x:c>
      <x:c r="K1107" s="17" t="str">
        <x:v>Public custody E</x:v>
      </x:c>
      <x:c r="L1107" s="9" t="n">
        <x:v>0</x:v>
      </x:c>
      <x:c r="M1107" s="9" t="n">
        <x:v>0</x:v>
      </x:c>
      <x:c r="N1107" s="9" t="n">
        <x:v>0</x:v>
      </x:c>
      <x:c r="O1107" s="9" t="n">
        <x:v>0</x:v>
      </x:c>
      <x:c r="P1107" s="9" t="str">
        <x:v>UNSEALED / SOURCE-EMPTY</x:v>
      </x:c>
      <x:c r="Q1107" s="9" t="n">
        <x:f>COUNTIFS($A$7:$A$1158,A1107)</x:f>
        <x:v>1</x:v>
      </x:c>
    </x:row>
    <x:row r="1108">
      <x:c r="A1108" s="9" t="str">
        <x:v>EV-AR-RT-B-C-TECH-4-B2-BRK-G0-RW06</x:v>
      </x:c>
      <x:c r="B1108" s="9" t="str">
        <x:v>EV-AR-RT-B-C-TECH-4-B2-BRK-G0</x:v>
      </x:c>
      <x:c r="C1108" s="9" t="str">
        <x:v>AR-RT-B-C-TECH-4-B2-BRK-G0</x:v>
      </x:c>
      <x:c r="D1108" s="9" t="str">
        <x:v>RT-B-C-TECH-4</x:v>
      </x:c>
      <x:c r="E1108" s="9" t="str">
        <x:v>RT-B-C</x:v>
      </x:c>
      <x:c r="F1108" s="9" t="str">
        <x:v>B2</x:v>
      </x:c>
      <x:c r="G1108" s="9" t="str">
        <x:v>BRK</x:v>
      </x:c>
      <x:c r="H1108" s="9" t="str">
        <x:v>RW06</x:v>
      </x:c>
      <x:c r="I1108" s="17" t="str">
        <x:v>Receiver service ledger</x:v>
      </x:c>
      <x:c r="J1108" s="17" t="str">
        <x:v>Receiver authority</x:v>
      </x:c>
      <x:c r="K1108" s="17" t="str">
        <x:v>Public custody F</x:v>
      </x:c>
      <x:c r="L1108" s="9" t="n">
        <x:v>0</x:v>
      </x:c>
      <x:c r="M1108" s="9" t="n">
        <x:v>0</x:v>
      </x:c>
      <x:c r="N1108" s="9" t="n">
        <x:v>0</x:v>
      </x:c>
      <x:c r="O1108" s="9" t="n">
        <x:v>0</x:v>
      </x:c>
      <x:c r="P1108" s="9" t="str">
        <x:v>UNSEALED / SOURCE-EMPTY</x:v>
      </x:c>
      <x:c r="Q1108" s="9" t="n">
        <x:f>COUNTIFS($A$7:$A$1158,A1108)</x:f>
        <x:v>1</x:v>
      </x:c>
    </x:row>
    <x:row r="1109">
      <x:c r="A1109" s="9" t="str">
        <x:v>EV-AR-RT-B-C-TECH-4-B2-BRK-G0-RW07</x:v>
      </x:c>
      <x:c r="B1109" s="9" t="str">
        <x:v>EV-AR-RT-B-C-TECH-4-B2-BRK-G0</x:v>
      </x:c>
      <x:c r="C1109" s="9" t="str">
        <x:v>AR-RT-B-C-TECH-4-B2-BRK-G0</x:v>
      </x:c>
      <x:c r="D1109" s="9" t="str">
        <x:v>RT-B-C-TECH-4</x:v>
      </x:c>
      <x:c r="E1109" s="9" t="str">
        <x:v>RT-B-C</x:v>
      </x:c>
      <x:c r="F1109" s="9" t="str">
        <x:v>B2</x:v>
      </x:c>
      <x:c r="G1109" s="9" t="str">
        <x:v>BRK</x:v>
      </x:c>
      <x:c r="H1109" s="9" t="str">
        <x:v>RW07</x:v>
      </x:c>
      <x:c r="I1109" s="17" t="str">
        <x:v>Candidate interface telemetry</x:v>
      </x:c>
      <x:c r="J1109" s="17" t="str">
        <x:v>Interface custodian</x:v>
      </x:c>
      <x:c r="K1109" s="17" t="str">
        <x:v>Public custody A</x:v>
      </x:c>
      <x:c r="L1109" s="9" t="n">
        <x:v>0</x:v>
      </x:c>
      <x:c r="M1109" s="9" t="n">
        <x:v>0</x:v>
      </x:c>
      <x:c r="N1109" s="9" t="n">
        <x:v>0</x:v>
      </x:c>
      <x:c r="O1109" s="9" t="n">
        <x:v>0</x:v>
      </x:c>
      <x:c r="P1109" s="9" t="str">
        <x:v>UNSEALED / SOURCE-EMPTY</x:v>
      </x:c>
      <x:c r="Q1109" s="9" t="n">
        <x:f>COUNTIFS($A$7:$A$1158,A1109)</x:f>
        <x:v>1</x:v>
      </x:c>
    </x:row>
    <x:row r="1110">
      <x:c r="A1110" s="9" t="str">
        <x:v>EV-AR-RT-B-C-TECH-4-B2-BRK-G0-RW08</x:v>
      </x:c>
      <x:c r="B1110" s="9" t="str">
        <x:v>EV-AR-RT-B-C-TECH-4-B2-BRK-G0</x:v>
      </x:c>
      <x:c r="C1110" s="9" t="str">
        <x:v>AR-RT-B-C-TECH-4-B2-BRK-G0</x:v>
      </x:c>
      <x:c r="D1110" s="9" t="str">
        <x:v>RT-B-C-TECH-4</x:v>
      </x:c>
      <x:c r="E1110" s="9" t="str">
        <x:v>RT-B-C</x:v>
      </x:c>
      <x:c r="F1110" s="9" t="str">
        <x:v>B2</x:v>
      </x:c>
      <x:c r="G1110" s="9" t="str">
        <x:v>BRK</x:v>
      </x:c>
      <x:c r="H1110" s="9" t="str">
        <x:v>RW08</x:v>
      </x:c>
      <x:c r="I1110" s="17" t="str">
        <x:v>Residual and physical evidence</x:v>
      </x:c>
      <x:c r="J1110" s="17" t="str">
        <x:v>Residual authority</x:v>
      </x:c>
      <x:c r="K1110" s="17" t="str">
        <x:v>Public custody B</x:v>
      </x:c>
      <x:c r="L1110" s="9" t="n">
        <x:v>0</x:v>
      </x:c>
      <x:c r="M1110" s="9" t="n">
        <x:v>0</x:v>
      </x:c>
      <x:c r="N1110" s="9" t="n">
        <x:v>0</x:v>
      </x:c>
      <x:c r="O1110" s="9" t="n">
        <x:v>0</x:v>
      </x:c>
      <x:c r="P1110" s="9" t="str">
        <x:v>UNSEALED / SOURCE-EMPTY</x:v>
      </x:c>
      <x:c r="Q1110" s="9" t="n">
        <x:f>COUNTIFS($A$7:$A$1158,A1110)</x:f>
        <x:v>1</x:v>
      </x:c>
    </x:row>
    <x:row r="1111">
      <x:c r="A1111" s="9" t="str">
        <x:v>EV-AR-CT-C-B-TECH-2-B2-BRK-G0-RW01</x:v>
      </x:c>
      <x:c r="B1111" s="9" t="str">
        <x:v>EV-AR-CT-C-B-TECH-2-B2-BRK-G0</x:v>
      </x:c>
      <x:c r="C1111" s="9" t="str">
        <x:v>AR-CT-C-B-TECH-2-B2-BRK-G0</x:v>
      </x:c>
      <x:c r="D1111" s="9" t="str">
        <x:v>CT-C-B-TECH-2</x:v>
      </x:c>
      <x:c r="E1111" s="9" t="str">
        <x:v>CT-C-B</x:v>
      </x:c>
      <x:c r="F1111" s="9" t="str">
        <x:v>B2</x:v>
      </x:c>
      <x:c r="G1111" s="9" t="str">
        <x:v>BRK</x:v>
      </x:c>
      <x:c r="H1111" s="9" t="str">
        <x:v>RW01</x:v>
      </x:c>
      <x:c r="I1111" s="17" t="str">
        <x:v>Primary raw stream</x:v>
      </x:c>
      <x:c r="J1111" s="17" t="str">
        <x:v>Primary metrology</x:v>
      </x:c>
      <x:c r="K1111" s="17" t="str">
        <x:v>Public custody A</x:v>
      </x:c>
      <x:c r="L1111" s="9" t="n">
        <x:v>0</x:v>
      </x:c>
      <x:c r="M1111" s="9" t="n">
        <x:v>0</x:v>
      </x:c>
      <x:c r="N1111" s="9" t="n">
        <x:v>0</x:v>
      </x:c>
      <x:c r="O1111" s="9" t="n">
        <x:v>0</x:v>
      </x:c>
      <x:c r="P1111" s="9" t="str">
        <x:v>UNSEALED / SOURCE-EMPTY</x:v>
      </x:c>
      <x:c r="Q1111" s="9" t="n">
        <x:f>COUNTIFS($A$7:$A$1158,A1111)</x:f>
        <x:v>1</x:v>
      </x:c>
    </x:row>
    <x:row r="1112">
      <x:c r="A1112" s="9" t="str">
        <x:v>EV-AR-CT-C-B-TECH-2-B2-BRK-G0-RW02</x:v>
      </x:c>
      <x:c r="B1112" s="9" t="str">
        <x:v>EV-AR-CT-C-B-TECH-2-B2-BRK-G0</x:v>
      </x:c>
      <x:c r="C1112" s="9" t="str">
        <x:v>AR-CT-C-B-TECH-2-B2-BRK-G0</x:v>
      </x:c>
      <x:c r="D1112" s="9" t="str">
        <x:v>CT-C-B-TECH-2</x:v>
      </x:c>
      <x:c r="E1112" s="9" t="str">
        <x:v>CT-C-B</x:v>
      </x:c>
      <x:c r="F1112" s="9" t="str">
        <x:v>B2</x:v>
      </x:c>
      <x:c r="G1112" s="9" t="str">
        <x:v>BRK</x:v>
      </x:c>
      <x:c r="H1112" s="9" t="str">
        <x:v>RW02</x:v>
      </x:c>
      <x:c r="I1112" s="17" t="str">
        <x:v>Unlike witness stream</x:v>
      </x:c>
      <x:c r="J1112" s="17" t="str">
        <x:v>Witness metrology</x:v>
      </x:c>
      <x:c r="K1112" s="17" t="str">
        <x:v>Public custody B</x:v>
      </x:c>
      <x:c r="L1112" s="9" t="n">
        <x:v>0</x:v>
      </x:c>
      <x:c r="M1112" s="9" t="n">
        <x:v>0</x:v>
      </x:c>
      <x:c r="N1112" s="9" t="n">
        <x:v>0</x:v>
      </x:c>
      <x:c r="O1112" s="9" t="n">
        <x:v>0</x:v>
      </x:c>
      <x:c r="P1112" s="9" t="str">
        <x:v>UNSEALED / SOURCE-EMPTY</x:v>
      </x:c>
      <x:c r="Q1112" s="9" t="n">
        <x:f>COUNTIFS($A$7:$A$1158,A1112)</x:f>
        <x:v>1</x:v>
      </x:c>
    </x:row>
    <x:row r="1113">
      <x:c r="A1113" s="9" t="str">
        <x:v>EV-AR-CT-C-B-TECH-2-B2-BRK-G0-RW03</x:v>
      </x:c>
      <x:c r="B1113" s="9" t="str">
        <x:v>EV-AR-CT-C-B-TECH-2-B2-BRK-G0</x:v>
      </x:c>
      <x:c r="C1113" s="9" t="str">
        <x:v>AR-CT-C-B-TECH-2-B2-BRK-G0</x:v>
      </x:c>
      <x:c r="D1113" s="9" t="str">
        <x:v>CT-C-B-TECH-2</x:v>
      </x:c>
      <x:c r="E1113" s="9" t="str">
        <x:v>CT-C-B</x:v>
      </x:c>
      <x:c r="F1113" s="9" t="str">
        <x:v>B2</x:v>
      </x:c>
      <x:c r="G1113" s="9" t="str">
        <x:v>BRK</x:v>
      </x:c>
      <x:c r="H1113" s="9" t="str">
        <x:v>RW03</x:v>
      </x:c>
      <x:c r="I1113" s="17" t="str">
        <x:v>Event clock and start traces</x:v>
      </x:c>
      <x:c r="J1113" s="17" t="str">
        <x:v>Event clock authority</x:v>
      </x:c>
      <x:c r="K1113" s="17" t="str">
        <x:v>Public custody C</x:v>
      </x:c>
      <x:c r="L1113" s="9" t="n">
        <x:v>0</x:v>
      </x:c>
      <x:c r="M1113" s="9" t="n">
        <x:v>0</x:v>
      </x:c>
      <x:c r="N1113" s="9" t="n">
        <x:v>0</x:v>
      </x:c>
      <x:c r="O1113" s="9" t="n">
        <x:v>0</x:v>
      </x:c>
      <x:c r="P1113" s="9" t="str">
        <x:v>UNSEALED / SOURCE-EMPTY</x:v>
      </x:c>
      <x:c r="Q1113" s="9" t="n">
        <x:f>COUNTIFS($A$7:$A$1158,A1113)</x:f>
        <x:v>1</x:v>
      </x:c>
    </x:row>
    <x:row r="1114">
      <x:c r="A1114" s="9" t="str">
        <x:v>EV-AR-CT-C-B-TECH-2-B2-BRK-G0-RW04</x:v>
      </x:c>
      <x:c r="B1114" s="9" t="str">
        <x:v>EV-AR-CT-C-B-TECH-2-B2-BRK-G0</x:v>
      </x:c>
      <x:c r="C1114" s="9" t="str">
        <x:v>AR-CT-C-B-TECH-2-B2-BRK-G0</x:v>
      </x:c>
      <x:c r="D1114" s="9" t="str">
        <x:v>CT-C-B-TECH-2</x:v>
      </x:c>
      <x:c r="E1114" s="9" t="str">
        <x:v>CT-C-B</x:v>
      </x:c>
      <x:c r="F1114" s="9" t="str">
        <x:v>B2</x:v>
      </x:c>
      <x:c r="G1114" s="9" t="str">
        <x:v>BRK</x:v>
      </x:c>
      <x:c r="H1114" s="9" t="str">
        <x:v>RW04</x:v>
      </x:c>
      <x:c r="I1114" s="17" t="str">
        <x:v>Environmental boundary stream</x:v>
      </x:c>
      <x:c r="J1114" s="17" t="str">
        <x:v>Site metrology</x:v>
      </x:c>
      <x:c r="K1114" s="17" t="str">
        <x:v>Public custody D</x:v>
      </x:c>
      <x:c r="L1114" s="9" t="n">
        <x:v>0</x:v>
      </x:c>
      <x:c r="M1114" s="9" t="n">
        <x:v>0</x:v>
      </x:c>
      <x:c r="N1114" s="9" t="n">
        <x:v>0</x:v>
      </x:c>
      <x:c r="O1114" s="9" t="n">
        <x:v>0</x:v>
      </x:c>
      <x:c r="P1114" s="9" t="str">
        <x:v>UNSEALED / SOURCE-EMPTY</x:v>
      </x:c>
      <x:c r="Q1114" s="9" t="n">
        <x:f>COUNTIFS($A$7:$A$1158,A1114)</x:f>
        <x:v>1</x:v>
      </x:c>
    </x:row>
    <x:row r="1115">
      <x:c r="A1115" s="9" t="str">
        <x:v>EV-AR-CT-C-B-TECH-2-B2-BRK-G0-RW05</x:v>
      </x:c>
      <x:c r="B1115" s="9" t="str">
        <x:v>EV-AR-CT-C-B-TECH-2-B2-BRK-G0</x:v>
      </x:c>
      <x:c r="C1115" s="9" t="str">
        <x:v>AR-CT-C-B-TECH-2-B2-BRK-G0</x:v>
      </x:c>
      <x:c r="D1115" s="9" t="str">
        <x:v>CT-C-B-TECH-2</x:v>
      </x:c>
      <x:c r="E1115" s="9" t="str">
        <x:v>CT-C-B</x:v>
      </x:c>
      <x:c r="F1115" s="9" t="str">
        <x:v>B2</x:v>
      </x:c>
      <x:c r="G1115" s="9" t="str">
        <x:v>BRK</x:v>
      </x:c>
      <x:c r="H1115" s="9" t="str">
        <x:v>RW05</x:v>
      </x:c>
      <x:c r="I1115" s="17" t="str">
        <x:v>Command and intervention log</x:v>
      </x:c>
      <x:c r="J1115" s="17" t="str">
        <x:v>Safety authority</x:v>
      </x:c>
      <x:c r="K1115" s="17" t="str">
        <x:v>Public custody E</x:v>
      </x:c>
      <x:c r="L1115" s="9" t="n">
        <x:v>0</x:v>
      </x:c>
      <x:c r="M1115" s="9" t="n">
        <x:v>0</x:v>
      </x:c>
      <x:c r="N1115" s="9" t="n">
        <x:v>0</x:v>
      </x:c>
      <x:c r="O1115" s="9" t="n">
        <x:v>0</x:v>
      </x:c>
      <x:c r="P1115" s="9" t="str">
        <x:v>UNSEALED / SOURCE-EMPTY</x:v>
      </x:c>
      <x:c r="Q1115" s="9" t="n">
        <x:f>COUNTIFS($A$7:$A$1158,A1115)</x:f>
        <x:v>1</x:v>
      </x:c>
    </x:row>
    <x:row r="1116">
      <x:c r="A1116" s="9" t="str">
        <x:v>EV-AR-CT-C-B-TECH-2-B2-BRK-G0-RW06</x:v>
      </x:c>
      <x:c r="B1116" s="9" t="str">
        <x:v>EV-AR-CT-C-B-TECH-2-B2-BRK-G0</x:v>
      </x:c>
      <x:c r="C1116" s="9" t="str">
        <x:v>AR-CT-C-B-TECH-2-B2-BRK-G0</x:v>
      </x:c>
      <x:c r="D1116" s="9" t="str">
        <x:v>CT-C-B-TECH-2</x:v>
      </x:c>
      <x:c r="E1116" s="9" t="str">
        <x:v>CT-C-B</x:v>
      </x:c>
      <x:c r="F1116" s="9" t="str">
        <x:v>B2</x:v>
      </x:c>
      <x:c r="G1116" s="9" t="str">
        <x:v>BRK</x:v>
      </x:c>
      <x:c r="H1116" s="9" t="str">
        <x:v>RW06</x:v>
      </x:c>
      <x:c r="I1116" s="17" t="str">
        <x:v>Receiver service ledger</x:v>
      </x:c>
      <x:c r="J1116" s="17" t="str">
        <x:v>Receiver authority</x:v>
      </x:c>
      <x:c r="K1116" s="17" t="str">
        <x:v>Public custody F</x:v>
      </x:c>
      <x:c r="L1116" s="9" t="n">
        <x:v>0</x:v>
      </x:c>
      <x:c r="M1116" s="9" t="n">
        <x:v>0</x:v>
      </x:c>
      <x:c r="N1116" s="9" t="n">
        <x:v>0</x:v>
      </x:c>
      <x:c r="O1116" s="9" t="n">
        <x:v>0</x:v>
      </x:c>
      <x:c r="P1116" s="9" t="str">
        <x:v>UNSEALED / SOURCE-EMPTY</x:v>
      </x:c>
      <x:c r="Q1116" s="9" t="n">
        <x:f>COUNTIFS($A$7:$A$1158,A1116)</x:f>
        <x:v>1</x:v>
      </x:c>
    </x:row>
    <x:row r="1117">
      <x:c r="A1117" s="9" t="str">
        <x:v>EV-AR-CT-C-B-TECH-2-B2-BRK-G0-RW07</x:v>
      </x:c>
      <x:c r="B1117" s="9" t="str">
        <x:v>EV-AR-CT-C-B-TECH-2-B2-BRK-G0</x:v>
      </x:c>
      <x:c r="C1117" s="9" t="str">
        <x:v>AR-CT-C-B-TECH-2-B2-BRK-G0</x:v>
      </x:c>
      <x:c r="D1117" s="9" t="str">
        <x:v>CT-C-B-TECH-2</x:v>
      </x:c>
      <x:c r="E1117" s="9" t="str">
        <x:v>CT-C-B</x:v>
      </x:c>
      <x:c r="F1117" s="9" t="str">
        <x:v>B2</x:v>
      </x:c>
      <x:c r="G1117" s="9" t="str">
        <x:v>BRK</x:v>
      </x:c>
      <x:c r="H1117" s="9" t="str">
        <x:v>RW07</x:v>
      </x:c>
      <x:c r="I1117" s="17" t="str">
        <x:v>Candidate interface telemetry</x:v>
      </x:c>
      <x:c r="J1117" s="17" t="str">
        <x:v>Interface custodian</x:v>
      </x:c>
      <x:c r="K1117" s="17" t="str">
        <x:v>Public custody A</x:v>
      </x:c>
      <x:c r="L1117" s="9" t="n">
        <x:v>0</x:v>
      </x:c>
      <x:c r="M1117" s="9" t="n">
        <x:v>0</x:v>
      </x:c>
      <x:c r="N1117" s="9" t="n">
        <x:v>0</x:v>
      </x:c>
      <x:c r="O1117" s="9" t="n">
        <x:v>0</x:v>
      </x:c>
      <x:c r="P1117" s="9" t="str">
        <x:v>UNSEALED / SOURCE-EMPTY</x:v>
      </x:c>
      <x:c r="Q1117" s="9" t="n">
        <x:f>COUNTIFS($A$7:$A$1158,A1117)</x:f>
        <x:v>1</x:v>
      </x:c>
    </x:row>
    <x:row r="1118">
      <x:c r="A1118" s="9" t="str">
        <x:v>EV-AR-CT-C-B-TECH-2-B2-BRK-G0-RW08</x:v>
      </x:c>
      <x:c r="B1118" s="9" t="str">
        <x:v>EV-AR-CT-C-B-TECH-2-B2-BRK-G0</x:v>
      </x:c>
      <x:c r="C1118" s="9" t="str">
        <x:v>AR-CT-C-B-TECH-2-B2-BRK-G0</x:v>
      </x:c>
      <x:c r="D1118" s="9" t="str">
        <x:v>CT-C-B-TECH-2</x:v>
      </x:c>
      <x:c r="E1118" s="9" t="str">
        <x:v>CT-C-B</x:v>
      </x:c>
      <x:c r="F1118" s="9" t="str">
        <x:v>B2</x:v>
      </x:c>
      <x:c r="G1118" s="9" t="str">
        <x:v>BRK</x:v>
      </x:c>
      <x:c r="H1118" s="9" t="str">
        <x:v>RW08</x:v>
      </x:c>
      <x:c r="I1118" s="17" t="str">
        <x:v>Residual and physical evidence</x:v>
      </x:c>
      <x:c r="J1118" s="17" t="str">
        <x:v>Residual authority</x:v>
      </x:c>
      <x:c r="K1118" s="17" t="str">
        <x:v>Public custody B</x:v>
      </x:c>
      <x:c r="L1118" s="9" t="n">
        <x:v>0</x:v>
      </x:c>
      <x:c r="M1118" s="9" t="n">
        <x:v>0</x:v>
      </x:c>
      <x:c r="N1118" s="9" t="n">
        <x:v>0</x:v>
      </x:c>
      <x:c r="O1118" s="9" t="n">
        <x:v>0</x:v>
      </x:c>
      <x:c r="P1118" s="9" t="str">
        <x:v>UNSEALED / SOURCE-EMPTY</x:v>
      </x:c>
      <x:c r="Q1118" s="9" t="n">
        <x:f>COUNTIFS($A$7:$A$1158,A1118)</x:f>
        <x:v>1</x:v>
      </x:c>
    </x:row>
    <x:row r="1119">
      <x:c r="A1119" s="9" t="str">
        <x:v>EV-AR-ET-A-A-TECH-2-B1-RCN-G0-RW01</x:v>
      </x:c>
      <x:c r="B1119" s="9" t="str">
        <x:v>EV-AR-ET-A-A-TECH-2-B1-RCN-G0</x:v>
      </x:c>
      <x:c r="C1119" s="9" t="str">
        <x:v>AR-ET-A-A-TECH-2-B1-RCN-G0</x:v>
      </x:c>
      <x:c r="D1119" s="9" t="str">
        <x:v>ET-A-A-TECH-2</x:v>
      </x:c>
      <x:c r="E1119" s="9" t="str">
        <x:v>ET-A-A</x:v>
      </x:c>
      <x:c r="F1119" s="9" t="str">
        <x:v>B1</x:v>
      </x:c>
      <x:c r="G1119" s="9" t="str">
        <x:v>RCN</x:v>
      </x:c>
      <x:c r="H1119" s="9" t="str">
        <x:v>RW01</x:v>
      </x:c>
      <x:c r="I1119" s="17" t="str">
        <x:v>Primary raw stream</x:v>
      </x:c>
      <x:c r="J1119" s="17" t="str">
        <x:v>Primary metrology</x:v>
      </x:c>
      <x:c r="K1119" s="17" t="str">
        <x:v>Public custody A</x:v>
      </x:c>
      <x:c r="L1119" s="9" t="n">
        <x:v>0</x:v>
      </x:c>
      <x:c r="M1119" s="9" t="n">
        <x:v>0</x:v>
      </x:c>
      <x:c r="N1119" s="9" t="n">
        <x:v>0</x:v>
      </x:c>
      <x:c r="O1119" s="9" t="n">
        <x:v>0</x:v>
      </x:c>
      <x:c r="P1119" s="9" t="str">
        <x:v>UNSEALED / SOURCE-EMPTY</x:v>
      </x:c>
      <x:c r="Q1119" s="9" t="n">
        <x:f>COUNTIFS($A$7:$A$1158,A1119)</x:f>
        <x:v>1</x:v>
      </x:c>
    </x:row>
    <x:row r="1120">
      <x:c r="A1120" s="9" t="str">
        <x:v>EV-AR-ET-A-A-TECH-2-B1-RCN-G0-RW02</x:v>
      </x:c>
      <x:c r="B1120" s="9" t="str">
        <x:v>EV-AR-ET-A-A-TECH-2-B1-RCN-G0</x:v>
      </x:c>
      <x:c r="C1120" s="9" t="str">
        <x:v>AR-ET-A-A-TECH-2-B1-RCN-G0</x:v>
      </x:c>
      <x:c r="D1120" s="9" t="str">
        <x:v>ET-A-A-TECH-2</x:v>
      </x:c>
      <x:c r="E1120" s="9" t="str">
        <x:v>ET-A-A</x:v>
      </x:c>
      <x:c r="F1120" s="9" t="str">
        <x:v>B1</x:v>
      </x:c>
      <x:c r="G1120" s="9" t="str">
        <x:v>RCN</x:v>
      </x:c>
      <x:c r="H1120" s="9" t="str">
        <x:v>RW02</x:v>
      </x:c>
      <x:c r="I1120" s="17" t="str">
        <x:v>Unlike witness stream</x:v>
      </x:c>
      <x:c r="J1120" s="17" t="str">
        <x:v>Witness metrology</x:v>
      </x:c>
      <x:c r="K1120" s="17" t="str">
        <x:v>Public custody B</x:v>
      </x:c>
      <x:c r="L1120" s="9" t="n">
        <x:v>0</x:v>
      </x:c>
      <x:c r="M1120" s="9" t="n">
        <x:v>0</x:v>
      </x:c>
      <x:c r="N1120" s="9" t="n">
        <x:v>0</x:v>
      </x:c>
      <x:c r="O1120" s="9" t="n">
        <x:v>0</x:v>
      </x:c>
      <x:c r="P1120" s="9" t="str">
        <x:v>UNSEALED / SOURCE-EMPTY</x:v>
      </x:c>
      <x:c r="Q1120" s="9" t="n">
        <x:f>COUNTIFS($A$7:$A$1158,A1120)</x:f>
        <x:v>1</x:v>
      </x:c>
    </x:row>
    <x:row r="1121">
      <x:c r="A1121" s="9" t="str">
        <x:v>EV-AR-ET-A-A-TECH-2-B1-RCN-G0-RW03</x:v>
      </x:c>
      <x:c r="B1121" s="9" t="str">
        <x:v>EV-AR-ET-A-A-TECH-2-B1-RCN-G0</x:v>
      </x:c>
      <x:c r="C1121" s="9" t="str">
        <x:v>AR-ET-A-A-TECH-2-B1-RCN-G0</x:v>
      </x:c>
      <x:c r="D1121" s="9" t="str">
        <x:v>ET-A-A-TECH-2</x:v>
      </x:c>
      <x:c r="E1121" s="9" t="str">
        <x:v>ET-A-A</x:v>
      </x:c>
      <x:c r="F1121" s="9" t="str">
        <x:v>B1</x:v>
      </x:c>
      <x:c r="G1121" s="9" t="str">
        <x:v>RCN</x:v>
      </x:c>
      <x:c r="H1121" s="9" t="str">
        <x:v>RW03</x:v>
      </x:c>
      <x:c r="I1121" s="17" t="str">
        <x:v>Event clock and start traces</x:v>
      </x:c>
      <x:c r="J1121" s="17" t="str">
        <x:v>Event clock authority</x:v>
      </x:c>
      <x:c r="K1121" s="17" t="str">
        <x:v>Public custody C</x:v>
      </x:c>
      <x:c r="L1121" s="9" t="n">
        <x:v>0</x:v>
      </x:c>
      <x:c r="M1121" s="9" t="n">
        <x:v>0</x:v>
      </x:c>
      <x:c r="N1121" s="9" t="n">
        <x:v>0</x:v>
      </x:c>
      <x:c r="O1121" s="9" t="n">
        <x:v>0</x:v>
      </x:c>
      <x:c r="P1121" s="9" t="str">
        <x:v>UNSEALED / SOURCE-EMPTY</x:v>
      </x:c>
      <x:c r="Q1121" s="9" t="n">
        <x:f>COUNTIFS($A$7:$A$1158,A1121)</x:f>
        <x:v>1</x:v>
      </x:c>
    </x:row>
    <x:row r="1122">
      <x:c r="A1122" s="9" t="str">
        <x:v>EV-AR-ET-A-A-TECH-2-B1-RCN-G0-RW04</x:v>
      </x:c>
      <x:c r="B1122" s="9" t="str">
        <x:v>EV-AR-ET-A-A-TECH-2-B1-RCN-G0</x:v>
      </x:c>
      <x:c r="C1122" s="9" t="str">
        <x:v>AR-ET-A-A-TECH-2-B1-RCN-G0</x:v>
      </x:c>
      <x:c r="D1122" s="9" t="str">
        <x:v>ET-A-A-TECH-2</x:v>
      </x:c>
      <x:c r="E1122" s="9" t="str">
        <x:v>ET-A-A</x:v>
      </x:c>
      <x:c r="F1122" s="9" t="str">
        <x:v>B1</x:v>
      </x:c>
      <x:c r="G1122" s="9" t="str">
        <x:v>RCN</x:v>
      </x:c>
      <x:c r="H1122" s="9" t="str">
        <x:v>RW04</x:v>
      </x:c>
      <x:c r="I1122" s="17" t="str">
        <x:v>Environmental boundary stream</x:v>
      </x:c>
      <x:c r="J1122" s="17" t="str">
        <x:v>Site metrology</x:v>
      </x:c>
      <x:c r="K1122" s="17" t="str">
        <x:v>Public custody D</x:v>
      </x:c>
      <x:c r="L1122" s="9" t="n">
        <x:v>0</x:v>
      </x:c>
      <x:c r="M1122" s="9" t="n">
        <x:v>0</x:v>
      </x:c>
      <x:c r="N1122" s="9" t="n">
        <x:v>0</x:v>
      </x:c>
      <x:c r="O1122" s="9" t="n">
        <x:v>0</x:v>
      </x:c>
      <x:c r="P1122" s="9" t="str">
        <x:v>UNSEALED / SOURCE-EMPTY</x:v>
      </x:c>
      <x:c r="Q1122" s="9" t="n">
        <x:f>COUNTIFS($A$7:$A$1158,A1122)</x:f>
        <x:v>1</x:v>
      </x:c>
    </x:row>
    <x:row r="1123">
      <x:c r="A1123" s="9" t="str">
        <x:v>EV-AR-ET-A-A-TECH-2-B1-RCN-G0-RW05</x:v>
      </x:c>
      <x:c r="B1123" s="9" t="str">
        <x:v>EV-AR-ET-A-A-TECH-2-B1-RCN-G0</x:v>
      </x:c>
      <x:c r="C1123" s="9" t="str">
        <x:v>AR-ET-A-A-TECH-2-B1-RCN-G0</x:v>
      </x:c>
      <x:c r="D1123" s="9" t="str">
        <x:v>ET-A-A-TECH-2</x:v>
      </x:c>
      <x:c r="E1123" s="9" t="str">
        <x:v>ET-A-A</x:v>
      </x:c>
      <x:c r="F1123" s="9" t="str">
        <x:v>B1</x:v>
      </x:c>
      <x:c r="G1123" s="9" t="str">
        <x:v>RCN</x:v>
      </x:c>
      <x:c r="H1123" s="9" t="str">
        <x:v>RW05</x:v>
      </x:c>
      <x:c r="I1123" s="17" t="str">
        <x:v>Command and intervention log</x:v>
      </x:c>
      <x:c r="J1123" s="17" t="str">
        <x:v>Safety authority</x:v>
      </x:c>
      <x:c r="K1123" s="17" t="str">
        <x:v>Public custody E</x:v>
      </x:c>
      <x:c r="L1123" s="9" t="n">
        <x:v>0</x:v>
      </x:c>
      <x:c r="M1123" s="9" t="n">
        <x:v>0</x:v>
      </x:c>
      <x:c r="N1123" s="9" t="n">
        <x:v>0</x:v>
      </x:c>
      <x:c r="O1123" s="9" t="n">
        <x:v>0</x:v>
      </x:c>
      <x:c r="P1123" s="9" t="str">
        <x:v>UNSEALED / SOURCE-EMPTY</x:v>
      </x:c>
      <x:c r="Q1123" s="9" t="n">
        <x:f>COUNTIFS($A$7:$A$1158,A1123)</x:f>
        <x:v>1</x:v>
      </x:c>
    </x:row>
    <x:row r="1124">
      <x:c r="A1124" s="9" t="str">
        <x:v>EV-AR-ET-A-A-TECH-2-B1-RCN-G0-RW06</x:v>
      </x:c>
      <x:c r="B1124" s="9" t="str">
        <x:v>EV-AR-ET-A-A-TECH-2-B1-RCN-G0</x:v>
      </x:c>
      <x:c r="C1124" s="9" t="str">
        <x:v>AR-ET-A-A-TECH-2-B1-RCN-G0</x:v>
      </x:c>
      <x:c r="D1124" s="9" t="str">
        <x:v>ET-A-A-TECH-2</x:v>
      </x:c>
      <x:c r="E1124" s="9" t="str">
        <x:v>ET-A-A</x:v>
      </x:c>
      <x:c r="F1124" s="9" t="str">
        <x:v>B1</x:v>
      </x:c>
      <x:c r="G1124" s="9" t="str">
        <x:v>RCN</x:v>
      </x:c>
      <x:c r="H1124" s="9" t="str">
        <x:v>RW06</x:v>
      </x:c>
      <x:c r="I1124" s="17" t="str">
        <x:v>Receiver service ledger</x:v>
      </x:c>
      <x:c r="J1124" s="17" t="str">
        <x:v>Receiver authority</x:v>
      </x:c>
      <x:c r="K1124" s="17" t="str">
        <x:v>Public custody F</x:v>
      </x:c>
      <x:c r="L1124" s="9" t="n">
        <x:v>0</x:v>
      </x:c>
      <x:c r="M1124" s="9" t="n">
        <x:v>0</x:v>
      </x:c>
      <x:c r="N1124" s="9" t="n">
        <x:v>0</x:v>
      </x:c>
      <x:c r="O1124" s="9" t="n">
        <x:v>0</x:v>
      </x:c>
      <x:c r="P1124" s="9" t="str">
        <x:v>UNSEALED / SOURCE-EMPTY</x:v>
      </x:c>
      <x:c r="Q1124" s="9" t="n">
        <x:f>COUNTIFS($A$7:$A$1158,A1124)</x:f>
        <x:v>1</x:v>
      </x:c>
    </x:row>
    <x:row r="1125">
      <x:c r="A1125" s="9" t="str">
        <x:v>EV-AR-ET-A-A-TECH-2-B1-RCN-G0-RW07</x:v>
      </x:c>
      <x:c r="B1125" s="9" t="str">
        <x:v>EV-AR-ET-A-A-TECH-2-B1-RCN-G0</x:v>
      </x:c>
      <x:c r="C1125" s="9" t="str">
        <x:v>AR-ET-A-A-TECH-2-B1-RCN-G0</x:v>
      </x:c>
      <x:c r="D1125" s="9" t="str">
        <x:v>ET-A-A-TECH-2</x:v>
      </x:c>
      <x:c r="E1125" s="9" t="str">
        <x:v>ET-A-A</x:v>
      </x:c>
      <x:c r="F1125" s="9" t="str">
        <x:v>B1</x:v>
      </x:c>
      <x:c r="G1125" s="9" t="str">
        <x:v>RCN</x:v>
      </x:c>
      <x:c r="H1125" s="9" t="str">
        <x:v>RW07</x:v>
      </x:c>
      <x:c r="I1125" s="17" t="str">
        <x:v>Candidate interface telemetry</x:v>
      </x:c>
      <x:c r="J1125" s="17" t="str">
        <x:v>Interface custodian</x:v>
      </x:c>
      <x:c r="K1125" s="17" t="str">
        <x:v>Public custody A</x:v>
      </x:c>
      <x:c r="L1125" s="9" t="n">
        <x:v>0</x:v>
      </x:c>
      <x:c r="M1125" s="9" t="n">
        <x:v>0</x:v>
      </x:c>
      <x:c r="N1125" s="9" t="n">
        <x:v>0</x:v>
      </x:c>
      <x:c r="O1125" s="9" t="n">
        <x:v>0</x:v>
      </x:c>
      <x:c r="P1125" s="9" t="str">
        <x:v>UNSEALED / SOURCE-EMPTY</x:v>
      </x:c>
      <x:c r="Q1125" s="9" t="n">
        <x:f>COUNTIFS($A$7:$A$1158,A1125)</x:f>
        <x:v>1</x:v>
      </x:c>
    </x:row>
    <x:row r="1126">
      <x:c r="A1126" s="9" t="str">
        <x:v>EV-AR-ET-A-A-TECH-2-B1-RCN-G0-RW08</x:v>
      </x:c>
      <x:c r="B1126" s="9" t="str">
        <x:v>EV-AR-ET-A-A-TECH-2-B1-RCN-G0</x:v>
      </x:c>
      <x:c r="C1126" s="9" t="str">
        <x:v>AR-ET-A-A-TECH-2-B1-RCN-G0</x:v>
      </x:c>
      <x:c r="D1126" s="9" t="str">
        <x:v>ET-A-A-TECH-2</x:v>
      </x:c>
      <x:c r="E1126" s="9" t="str">
        <x:v>ET-A-A</x:v>
      </x:c>
      <x:c r="F1126" s="9" t="str">
        <x:v>B1</x:v>
      </x:c>
      <x:c r="G1126" s="9" t="str">
        <x:v>RCN</x:v>
      </x:c>
      <x:c r="H1126" s="9" t="str">
        <x:v>RW08</x:v>
      </x:c>
      <x:c r="I1126" s="17" t="str">
        <x:v>Residual and physical evidence</x:v>
      </x:c>
      <x:c r="J1126" s="17" t="str">
        <x:v>Residual authority</x:v>
      </x:c>
      <x:c r="K1126" s="17" t="str">
        <x:v>Public custody B</x:v>
      </x:c>
      <x:c r="L1126" s="9" t="n">
        <x:v>0</x:v>
      </x:c>
      <x:c r="M1126" s="9" t="n">
        <x:v>0</x:v>
      </x:c>
      <x:c r="N1126" s="9" t="n">
        <x:v>0</x:v>
      </x:c>
      <x:c r="O1126" s="9" t="n">
        <x:v>0</x:v>
      </x:c>
      <x:c r="P1126" s="9" t="str">
        <x:v>UNSEALED / SOURCE-EMPTY</x:v>
      </x:c>
      <x:c r="Q1126" s="9" t="n">
        <x:f>COUNTIFS($A$7:$A$1158,A1126)</x:f>
        <x:v>1</x:v>
      </x:c>
    </x:row>
    <x:row r="1127">
      <x:c r="A1127" s="9" t="str">
        <x:v>EV-AR-HC-A-C-TECH-2-B1-BRK-G0-RW01</x:v>
      </x:c>
      <x:c r="B1127" s="9" t="str">
        <x:v>EV-AR-HC-A-C-TECH-2-B1-BRK-G0</x:v>
      </x:c>
      <x:c r="C1127" s="9" t="str">
        <x:v>AR-HC-A-C-TECH-2-B1-BRK-G0</x:v>
      </x:c>
      <x:c r="D1127" s="9" t="str">
        <x:v>HC-A-C-TECH-2</x:v>
      </x:c>
      <x:c r="E1127" s="9" t="str">
        <x:v>HC-A-C</x:v>
      </x:c>
      <x:c r="F1127" s="9" t="str">
        <x:v>B1</x:v>
      </x:c>
      <x:c r="G1127" s="9" t="str">
        <x:v>BRK</x:v>
      </x:c>
      <x:c r="H1127" s="9" t="str">
        <x:v>RW01</x:v>
      </x:c>
      <x:c r="I1127" s="17" t="str">
        <x:v>Primary raw stream</x:v>
      </x:c>
      <x:c r="J1127" s="17" t="str">
        <x:v>Primary metrology</x:v>
      </x:c>
      <x:c r="K1127" s="17" t="str">
        <x:v>Public custody A</x:v>
      </x:c>
      <x:c r="L1127" s="9" t="n">
        <x:v>0</x:v>
      </x:c>
      <x:c r="M1127" s="9" t="n">
        <x:v>0</x:v>
      </x:c>
      <x:c r="N1127" s="9" t="n">
        <x:v>0</x:v>
      </x:c>
      <x:c r="O1127" s="9" t="n">
        <x:v>0</x:v>
      </x:c>
      <x:c r="P1127" s="9" t="str">
        <x:v>UNSEALED / SOURCE-EMPTY</x:v>
      </x:c>
      <x:c r="Q1127" s="9" t="n">
        <x:f>COUNTIFS($A$7:$A$1158,A1127)</x:f>
        <x:v>1</x:v>
      </x:c>
    </x:row>
    <x:row r="1128">
      <x:c r="A1128" s="9" t="str">
        <x:v>EV-AR-HC-A-C-TECH-2-B1-BRK-G0-RW02</x:v>
      </x:c>
      <x:c r="B1128" s="9" t="str">
        <x:v>EV-AR-HC-A-C-TECH-2-B1-BRK-G0</x:v>
      </x:c>
      <x:c r="C1128" s="9" t="str">
        <x:v>AR-HC-A-C-TECH-2-B1-BRK-G0</x:v>
      </x:c>
      <x:c r="D1128" s="9" t="str">
        <x:v>HC-A-C-TECH-2</x:v>
      </x:c>
      <x:c r="E1128" s="9" t="str">
        <x:v>HC-A-C</x:v>
      </x:c>
      <x:c r="F1128" s="9" t="str">
        <x:v>B1</x:v>
      </x:c>
      <x:c r="G1128" s="9" t="str">
        <x:v>BRK</x:v>
      </x:c>
      <x:c r="H1128" s="9" t="str">
        <x:v>RW02</x:v>
      </x:c>
      <x:c r="I1128" s="17" t="str">
        <x:v>Unlike witness stream</x:v>
      </x:c>
      <x:c r="J1128" s="17" t="str">
        <x:v>Witness metrology</x:v>
      </x:c>
      <x:c r="K1128" s="17" t="str">
        <x:v>Public custody B</x:v>
      </x:c>
      <x:c r="L1128" s="9" t="n">
        <x:v>0</x:v>
      </x:c>
      <x:c r="M1128" s="9" t="n">
        <x:v>0</x:v>
      </x:c>
      <x:c r="N1128" s="9" t="n">
        <x:v>0</x:v>
      </x:c>
      <x:c r="O1128" s="9" t="n">
        <x:v>0</x:v>
      </x:c>
      <x:c r="P1128" s="9" t="str">
        <x:v>UNSEALED / SOURCE-EMPTY</x:v>
      </x:c>
      <x:c r="Q1128" s="9" t="n">
        <x:f>COUNTIFS($A$7:$A$1158,A1128)</x:f>
        <x:v>1</x:v>
      </x:c>
    </x:row>
    <x:row r="1129">
      <x:c r="A1129" s="9" t="str">
        <x:v>EV-AR-HC-A-C-TECH-2-B1-BRK-G0-RW03</x:v>
      </x:c>
      <x:c r="B1129" s="9" t="str">
        <x:v>EV-AR-HC-A-C-TECH-2-B1-BRK-G0</x:v>
      </x:c>
      <x:c r="C1129" s="9" t="str">
        <x:v>AR-HC-A-C-TECH-2-B1-BRK-G0</x:v>
      </x:c>
      <x:c r="D1129" s="9" t="str">
        <x:v>HC-A-C-TECH-2</x:v>
      </x:c>
      <x:c r="E1129" s="9" t="str">
        <x:v>HC-A-C</x:v>
      </x:c>
      <x:c r="F1129" s="9" t="str">
        <x:v>B1</x:v>
      </x:c>
      <x:c r="G1129" s="9" t="str">
        <x:v>BRK</x:v>
      </x:c>
      <x:c r="H1129" s="9" t="str">
        <x:v>RW03</x:v>
      </x:c>
      <x:c r="I1129" s="17" t="str">
        <x:v>Event clock and start traces</x:v>
      </x:c>
      <x:c r="J1129" s="17" t="str">
        <x:v>Event clock authority</x:v>
      </x:c>
      <x:c r="K1129" s="17" t="str">
        <x:v>Public custody C</x:v>
      </x:c>
      <x:c r="L1129" s="9" t="n">
        <x:v>0</x:v>
      </x:c>
      <x:c r="M1129" s="9" t="n">
        <x:v>0</x:v>
      </x:c>
      <x:c r="N1129" s="9" t="n">
        <x:v>0</x:v>
      </x:c>
      <x:c r="O1129" s="9" t="n">
        <x:v>0</x:v>
      </x:c>
      <x:c r="P1129" s="9" t="str">
        <x:v>UNSEALED / SOURCE-EMPTY</x:v>
      </x:c>
      <x:c r="Q1129" s="9" t="n">
        <x:f>COUNTIFS($A$7:$A$1158,A1129)</x:f>
        <x:v>1</x:v>
      </x:c>
    </x:row>
    <x:row r="1130">
      <x:c r="A1130" s="9" t="str">
        <x:v>EV-AR-HC-A-C-TECH-2-B1-BRK-G0-RW04</x:v>
      </x:c>
      <x:c r="B1130" s="9" t="str">
        <x:v>EV-AR-HC-A-C-TECH-2-B1-BRK-G0</x:v>
      </x:c>
      <x:c r="C1130" s="9" t="str">
        <x:v>AR-HC-A-C-TECH-2-B1-BRK-G0</x:v>
      </x:c>
      <x:c r="D1130" s="9" t="str">
        <x:v>HC-A-C-TECH-2</x:v>
      </x:c>
      <x:c r="E1130" s="9" t="str">
        <x:v>HC-A-C</x:v>
      </x:c>
      <x:c r="F1130" s="9" t="str">
        <x:v>B1</x:v>
      </x:c>
      <x:c r="G1130" s="9" t="str">
        <x:v>BRK</x:v>
      </x:c>
      <x:c r="H1130" s="9" t="str">
        <x:v>RW04</x:v>
      </x:c>
      <x:c r="I1130" s="17" t="str">
        <x:v>Environmental boundary stream</x:v>
      </x:c>
      <x:c r="J1130" s="17" t="str">
        <x:v>Site metrology</x:v>
      </x:c>
      <x:c r="K1130" s="17" t="str">
        <x:v>Public custody D</x:v>
      </x:c>
      <x:c r="L1130" s="9" t="n">
        <x:v>0</x:v>
      </x:c>
      <x:c r="M1130" s="9" t="n">
        <x:v>0</x:v>
      </x:c>
      <x:c r="N1130" s="9" t="n">
        <x:v>0</x:v>
      </x:c>
      <x:c r="O1130" s="9" t="n">
        <x:v>0</x:v>
      </x:c>
      <x:c r="P1130" s="9" t="str">
        <x:v>UNSEALED / SOURCE-EMPTY</x:v>
      </x:c>
      <x:c r="Q1130" s="9" t="n">
        <x:f>COUNTIFS($A$7:$A$1158,A1130)</x:f>
        <x:v>1</x:v>
      </x:c>
    </x:row>
    <x:row r="1131">
      <x:c r="A1131" s="9" t="str">
        <x:v>EV-AR-HC-A-C-TECH-2-B1-BRK-G0-RW05</x:v>
      </x:c>
      <x:c r="B1131" s="9" t="str">
        <x:v>EV-AR-HC-A-C-TECH-2-B1-BRK-G0</x:v>
      </x:c>
      <x:c r="C1131" s="9" t="str">
        <x:v>AR-HC-A-C-TECH-2-B1-BRK-G0</x:v>
      </x:c>
      <x:c r="D1131" s="9" t="str">
        <x:v>HC-A-C-TECH-2</x:v>
      </x:c>
      <x:c r="E1131" s="9" t="str">
        <x:v>HC-A-C</x:v>
      </x:c>
      <x:c r="F1131" s="9" t="str">
        <x:v>B1</x:v>
      </x:c>
      <x:c r="G1131" s="9" t="str">
        <x:v>BRK</x:v>
      </x:c>
      <x:c r="H1131" s="9" t="str">
        <x:v>RW05</x:v>
      </x:c>
      <x:c r="I1131" s="17" t="str">
        <x:v>Command and intervention log</x:v>
      </x:c>
      <x:c r="J1131" s="17" t="str">
        <x:v>Safety authority</x:v>
      </x:c>
      <x:c r="K1131" s="17" t="str">
        <x:v>Public custody E</x:v>
      </x:c>
      <x:c r="L1131" s="9" t="n">
        <x:v>0</x:v>
      </x:c>
      <x:c r="M1131" s="9" t="n">
        <x:v>0</x:v>
      </x:c>
      <x:c r="N1131" s="9" t="n">
        <x:v>0</x:v>
      </x:c>
      <x:c r="O1131" s="9" t="n">
        <x:v>0</x:v>
      </x:c>
      <x:c r="P1131" s="9" t="str">
        <x:v>UNSEALED / SOURCE-EMPTY</x:v>
      </x:c>
      <x:c r="Q1131" s="9" t="n">
        <x:f>COUNTIFS($A$7:$A$1158,A1131)</x:f>
        <x:v>1</x:v>
      </x:c>
    </x:row>
    <x:row r="1132">
      <x:c r="A1132" s="9" t="str">
        <x:v>EV-AR-HC-A-C-TECH-2-B1-BRK-G0-RW06</x:v>
      </x:c>
      <x:c r="B1132" s="9" t="str">
        <x:v>EV-AR-HC-A-C-TECH-2-B1-BRK-G0</x:v>
      </x:c>
      <x:c r="C1132" s="9" t="str">
        <x:v>AR-HC-A-C-TECH-2-B1-BRK-G0</x:v>
      </x:c>
      <x:c r="D1132" s="9" t="str">
        <x:v>HC-A-C-TECH-2</x:v>
      </x:c>
      <x:c r="E1132" s="9" t="str">
        <x:v>HC-A-C</x:v>
      </x:c>
      <x:c r="F1132" s="9" t="str">
        <x:v>B1</x:v>
      </x:c>
      <x:c r="G1132" s="9" t="str">
        <x:v>BRK</x:v>
      </x:c>
      <x:c r="H1132" s="9" t="str">
        <x:v>RW06</x:v>
      </x:c>
      <x:c r="I1132" s="17" t="str">
        <x:v>Receiver service ledger</x:v>
      </x:c>
      <x:c r="J1132" s="17" t="str">
        <x:v>Receiver authority</x:v>
      </x:c>
      <x:c r="K1132" s="17" t="str">
        <x:v>Public custody F</x:v>
      </x:c>
      <x:c r="L1132" s="9" t="n">
        <x:v>0</x:v>
      </x:c>
      <x:c r="M1132" s="9" t="n">
        <x:v>0</x:v>
      </x:c>
      <x:c r="N1132" s="9" t="n">
        <x:v>0</x:v>
      </x:c>
      <x:c r="O1132" s="9" t="n">
        <x:v>0</x:v>
      </x:c>
      <x:c r="P1132" s="9" t="str">
        <x:v>UNSEALED / SOURCE-EMPTY</x:v>
      </x:c>
      <x:c r="Q1132" s="9" t="n">
        <x:f>COUNTIFS($A$7:$A$1158,A1132)</x:f>
        <x:v>1</x:v>
      </x:c>
    </x:row>
    <x:row r="1133">
      <x:c r="A1133" s="9" t="str">
        <x:v>EV-AR-HC-A-C-TECH-2-B1-BRK-G0-RW07</x:v>
      </x:c>
      <x:c r="B1133" s="9" t="str">
        <x:v>EV-AR-HC-A-C-TECH-2-B1-BRK-G0</x:v>
      </x:c>
      <x:c r="C1133" s="9" t="str">
        <x:v>AR-HC-A-C-TECH-2-B1-BRK-G0</x:v>
      </x:c>
      <x:c r="D1133" s="9" t="str">
        <x:v>HC-A-C-TECH-2</x:v>
      </x:c>
      <x:c r="E1133" s="9" t="str">
        <x:v>HC-A-C</x:v>
      </x:c>
      <x:c r="F1133" s="9" t="str">
        <x:v>B1</x:v>
      </x:c>
      <x:c r="G1133" s="9" t="str">
        <x:v>BRK</x:v>
      </x:c>
      <x:c r="H1133" s="9" t="str">
        <x:v>RW07</x:v>
      </x:c>
      <x:c r="I1133" s="17" t="str">
        <x:v>Candidate interface telemetry</x:v>
      </x:c>
      <x:c r="J1133" s="17" t="str">
        <x:v>Interface custodian</x:v>
      </x:c>
      <x:c r="K1133" s="17" t="str">
        <x:v>Public custody A</x:v>
      </x:c>
      <x:c r="L1133" s="9" t="n">
        <x:v>0</x:v>
      </x:c>
      <x:c r="M1133" s="9" t="n">
        <x:v>0</x:v>
      </x:c>
      <x:c r="N1133" s="9" t="n">
        <x:v>0</x:v>
      </x:c>
      <x:c r="O1133" s="9" t="n">
        <x:v>0</x:v>
      </x:c>
      <x:c r="P1133" s="9" t="str">
        <x:v>UNSEALED / SOURCE-EMPTY</x:v>
      </x:c>
      <x:c r="Q1133" s="9" t="n">
        <x:f>COUNTIFS($A$7:$A$1158,A1133)</x:f>
        <x:v>1</x:v>
      </x:c>
    </x:row>
    <x:row r="1134">
      <x:c r="A1134" s="9" t="str">
        <x:v>EV-AR-HC-A-C-TECH-2-B1-BRK-G0-RW08</x:v>
      </x:c>
      <x:c r="B1134" s="9" t="str">
        <x:v>EV-AR-HC-A-C-TECH-2-B1-BRK-G0</x:v>
      </x:c>
      <x:c r="C1134" s="9" t="str">
        <x:v>AR-HC-A-C-TECH-2-B1-BRK-G0</x:v>
      </x:c>
      <x:c r="D1134" s="9" t="str">
        <x:v>HC-A-C-TECH-2</x:v>
      </x:c>
      <x:c r="E1134" s="9" t="str">
        <x:v>HC-A-C</x:v>
      </x:c>
      <x:c r="F1134" s="9" t="str">
        <x:v>B1</x:v>
      </x:c>
      <x:c r="G1134" s="9" t="str">
        <x:v>BRK</x:v>
      </x:c>
      <x:c r="H1134" s="9" t="str">
        <x:v>RW08</x:v>
      </x:c>
      <x:c r="I1134" s="17" t="str">
        <x:v>Residual and physical evidence</x:v>
      </x:c>
      <x:c r="J1134" s="17" t="str">
        <x:v>Residual authority</x:v>
      </x:c>
      <x:c r="K1134" s="17" t="str">
        <x:v>Public custody B</x:v>
      </x:c>
      <x:c r="L1134" s="9" t="n">
        <x:v>0</x:v>
      </x:c>
      <x:c r="M1134" s="9" t="n">
        <x:v>0</x:v>
      </x:c>
      <x:c r="N1134" s="9" t="n">
        <x:v>0</x:v>
      </x:c>
      <x:c r="O1134" s="9" t="n">
        <x:v>0</x:v>
      </x:c>
      <x:c r="P1134" s="9" t="str">
        <x:v>UNSEALED / SOURCE-EMPTY</x:v>
      </x:c>
      <x:c r="Q1134" s="9" t="n">
        <x:f>COUNTIFS($A$7:$A$1158,A1134)</x:f>
        <x:v>1</x:v>
      </x:c>
    </x:row>
    <x:row r="1135">
      <x:c r="A1135" s="9" t="str">
        <x:v>EV-AR-HU-A-B-TECH-2-B1-INT-G0-RW01</x:v>
      </x:c>
      <x:c r="B1135" s="9" t="str">
        <x:v>EV-AR-HU-A-B-TECH-2-B1-INT-G0</x:v>
      </x:c>
      <x:c r="C1135" s="9" t="str">
        <x:v>AR-HU-A-B-TECH-2-B1-INT-G0</x:v>
      </x:c>
      <x:c r="D1135" s="9" t="str">
        <x:v>HU-A-B-TECH-2</x:v>
      </x:c>
      <x:c r="E1135" s="9" t="str">
        <x:v>HU-A-B</x:v>
      </x:c>
      <x:c r="F1135" s="9" t="str">
        <x:v>B1</x:v>
      </x:c>
      <x:c r="G1135" s="9" t="str">
        <x:v>INT</x:v>
      </x:c>
      <x:c r="H1135" s="9" t="str">
        <x:v>RW01</x:v>
      </x:c>
      <x:c r="I1135" s="17" t="str">
        <x:v>Primary raw stream</x:v>
      </x:c>
      <x:c r="J1135" s="17" t="str">
        <x:v>Primary metrology</x:v>
      </x:c>
      <x:c r="K1135" s="17" t="str">
        <x:v>Public custody A</x:v>
      </x:c>
      <x:c r="L1135" s="9" t="n">
        <x:v>0</x:v>
      </x:c>
      <x:c r="M1135" s="9" t="n">
        <x:v>0</x:v>
      </x:c>
      <x:c r="N1135" s="9" t="n">
        <x:v>0</x:v>
      </x:c>
      <x:c r="O1135" s="9" t="n">
        <x:v>0</x:v>
      </x:c>
      <x:c r="P1135" s="9" t="str">
        <x:v>UNSEALED / SOURCE-EMPTY</x:v>
      </x:c>
      <x:c r="Q1135" s="9" t="n">
        <x:f>COUNTIFS($A$7:$A$1158,A1135)</x:f>
        <x:v>1</x:v>
      </x:c>
    </x:row>
    <x:row r="1136">
      <x:c r="A1136" s="9" t="str">
        <x:v>EV-AR-HU-A-B-TECH-2-B1-INT-G0-RW02</x:v>
      </x:c>
      <x:c r="B1136" s="9" t="str">
        <x:v>EV-AR-HU-A-B-TECH-2-B1-INT-G0</x:v>
      </x:c>
      <x:c r="C1136" s="9" t="str">
        <x:v>AR-HU-A-B-TECH-2-B1-INT-G0</x:v>
      </x:c>
      <x:c r="D1136" s="9" t="str">
        <x:v>HU-A-B-TECH-2</x:v>
      </x:c>
      <x:c r="E1136" s="9" t="str">
        <x:v>HU-A-B</x:v>
      </x:c>
      <x:c r="F1136" s="9" t="str">
        <x:v>B1</x:v>
      </x:c>
      <x:c r="G1136" s="9" t="str">
        <x:v>INT</x:v>
      </x:c>
      <x:c r="H1136" s="9" t="str">
        <x:v>RW02</x:v>
      </x:c>
      <x:c r="I1136" s="17" t="str">
        <x:v>Unlike witness stream</x:v>
      </x:c>
      <x:c r="J1136" s="17" t="str">
        <x:v>Witness metrology</x:v>
      </x:c>
      <x:c r="K1136" s="17" t="str">
        <x:v>Public custody B</x:v>
      </x:c>
      <x:c r="L1136" s="9" t="n">
        <x:v>0</x:v>
      </x:c>
      <x:c r="M1136" s="9" t="n">
        <x:v>0</x:v>
      </x:c>
      <x:c r="N1136" s="9" t="n">
        <x:v>0</x:v>
      </x:c>
      <x:c r="O1136" s="9" t="n">
        <x:v>0</x:v>
      </x:c>
      <x:c r="P1136" s="9" t="str">
        <x:v>UNSEALED / SOURCE-EMPTY</x:v>
      </x:c>
      <x:c r="Q1136" s="9" t="n">
        <x:f>COUNTIFS($A$7:$A$1158,A1136)</x:f>
        <x:v>1</x:v>
      </x:c>
    </x:row>
    <x:row r="1137">
      <x:c r="A1137" s="9" t="str">
        <x:v>EV-AR-HU-A-B-TECH-2-B1-INT-G0-RW03</x:v>
      </x:c>
      <x:c r="B1137" s="9" t="str">
        <x:v>EV-AR-HU-A-B-TECH-2-B1-INT-G0</x:v>
      </x:c>
      <x:c r="C1137" s="9" t="str">
        <x:v>AR-HU-A-B-TECH-2-B1-INT-G0</x:v>
      </x:c>
      <x:c r="D1137" s="9" t="str">
        <x:v>HU-A-B-TECH-2</x:v>
      </x:c>
      <x:c r="E1137" s="9" t="str">
        <x:v>HU-A-B</x:v>
      </x:c>
      <x:c r="F1137" s="9" t="str">
        <x:v>B1</x:v>
      </x:c>
      <x:c r="G1137" s="9" t="str">
        <x:v>INT</x:v>
      </x:c>
      <x:c r="H1137" s="9" t="str">
        <x:v>RW03</x:v>
      </x:c>
      <x:c r="I1137" s="17" t="str">
        <x:v>Event clock and start traces</x:v>
      </x:c>
      <x:c r="J1137" s="17" t="str">
        <x:v>Event clock authority</x:v>
      </x:c>
      <x:c r="K1137" s="17" t="str">
        <x:v>Public custody C</x:v>
      </x:c>
      <x:c r="L1137" s="9" t="n">
        <x:v>0</x:v>
      </x:c>
      <x:c r="M1137" s="9" t="n">
        <x:v>0</x:v>
      </x:c>
      <x:c r="N1137" s="9" t="n">
        <x:v>0</x:v>
      </x:c>
      <x:c r="O1137" s="9" t="n">
        <x:v>0</x:v>
      </x:c>
      <x:c r="P1137" s="9" t="str">
        <x:v>UNSEALED / SOURCE-EMPTY</x:v>
      </x:c>
      <x:c r="Q1137" s="9" t="n">
        <x:f>COUNTIFS($A$7:$A$1158,A1137)</x:f>
        <x:v>1</x:v>
      </x:c>
    </x:row>
    <x:row r="1138">
      <x:c r="A1138" s="9" t="str">
        <x:v>EV-AR-HU-A-B-TECH-2-B1-INT-G0-RW04</x:v>
      </x:c>
      <x:c r="B1138" s="9" t="str">
        <x:v>EV-AR-HU-A-B-TECH-2-B1-INT-G0</x:v>
      </x:c>
      <x:c r="C1138" s="9" t="str">
        <x:v>AR-HU-A-B-TECH-2-B1-INT-G0</x:v>
      </x:c>
      <x:c r="D1138" s="9" t="str">
        <x:v>HU-A-B-TECH-2</x:v>
      </x:c>
      <x:c r="E1138" s="9" t="str">
        <x:v>HU-A-B</x:v>
      </x:c>
      <x:c r="F1138" s="9" t="str">
        <x:v>B1</x:v>
      </x:c>
      <x:c r="G1138" s="9" t="str">
        <x:v>INT</x:v>
      </x:c>
      <x:c r="H1138" s="9" t="str">
        <x:v>RW04</x:v>
      </x:c>
      <x:c r="I1138" s="17" t="str">
        <x:v>Environmental boundary stream</x:v>
      </x:c>
      <x:c r="J1138" s="17" t="str">
        <x:v>Site metrology</x:v>
      </x:c>
      <x:c r="K1138" s="17" t="str">
        <x:v>Public custody D</x:v>
      </x:c>
      <x:c r="L1138" s="9" t="n">
        <x:v>0</x:v>
      </x:c>
      <x:c r="M1138" s="9" t="n">
        <x:v>0</x:v>
      </x:c>
      <x:c r="N1138" s="9" t="n">
        <x:v>0</x:v>
      </x:c>
      <x:c r="O1138" s="9" t="n">
        <x:v>0</x:v>
      </x:c>
      <x:c r="P1138" s="9" t="str">
        <x:v>UNSEALED / SOURCE-EMPTY</x:v>
      </x:c>
      <x:c r="Q1138" s="9" t="n">
        <x:f>COUNTIFS($A$7:$A$1158,A1138)</x:f>
        <x:v>1</x:v>
      </x:c>
    </x:row>
    <x:row r="1139">
      <x:c r="A1139" s="9" t="str">
        <x:v>EV-AR-HU-A-B-TECH-2-B1-INT-G0-RW05</x:v>
      </x:c>
      <x:c r="B1139" s="9" t="str">
        <x:v>EV-AR-HU-A-B-TECH-2-B1-INT-G0</x:v>
      </x:c>
      <x:c r="C1139" s="9" t="str">
        <x:v>AR-HU-A-B-TECH-2-B1-INT-G0</x:v>
      </x:c>
      <x:c r="D1139" s="9" t="str">
        <x:v>HU-A-B-TECH-2</x:v>
      </x:c>
      <x:c r="E1139" s="9" t="str">
        <x:v>HU-A-B</x:v>
      </x:c>
      <x:c r="F1139" s="9" t="str">
        <x:v>B1</x:v>
      </x:c>
      <x:c r="G1139" s="9" t="str">
        <x:v>INT</x:v>
      </x:c>
      <x:c r="H1139" s="9" t="str">
        <x:v>RW05</x:v>
      </x:c>
      <x:c r="I1139" s="17" t="str">
        <x:v>Command and intervention log</x:v>
      </x:c>
      <x:c r="J1139" s="17" t="str">
        <x:v>Safety authority</x:v>
      </x:c>
      <x:c r="K1139" s="17" t="str">
        <x:v>Public custody E</x:v>
      </x:c>
      <x:c r="L1139" s="9" t="n">
        <x:v>0</x:v>
      </x:c>
      <x:c r="M1139" s="9" t="n">
        <x:v>0</x:v>
      </x:c>
      <x:c r="N1139" s="9" t="n">
        <x:v>0</x:v>
      </x:c>
      <x:c r="O1139" s="9" t="n">
        <x:v>0</x:v>
      </x:c>
      <x:c r="P1139" s="9" t="str">
        <x:v>UNSEALED / SOURCE-EMPTY</x:v>
      </x:c>
      <x:c r="Q1139" s="9" t="n">
        <x:f>COUNTIFS($A$7:$A$1158,A1139)</x:f>
        <x:v>1</x:v>
      </x:c>
    </x:row>
    <x:row r="1140">
      <x:c r="A1140" s="9" t="str">
        <x:v>EV-AR-HU-A-B-TECH-2-B1-INT-G0-RW06</x:v>
      </x:c>
      <x:c r="B1140" s="9" t="str">
        <x:v>EV-AR-HU-A-B-TECH-2-B1-INT-G0</x:v>
      </x:c>
      <x:c r="C1140" s="9" t="str">
        <x:v>AR-HU-A-B-TECH-2-B1-INT-G0</x:v>
      </x:c>
      <x:c r="D1140" s="9" t="str">
        <x:v>HU-A-B-TECH-2</x:v>
      </x:c>
      <x:c r="E1140" s="9" t="str">
        <x:v>HU-A-B</x:v>
      </x:c>
      <x:c r="F1140" s="9" t="str">
        <x:v>B1</x:v>
      </x:c>
      <x:c r="G1140" s="9" t="str">
        <x:v>INT</x:v>
      </x:c>
      <x:c r="H1140" s="9" t="str">
        <x:v>RW06</x:v>
      </x:c>
      <x:c r="I1140" s="17" t="str">
        <x:v>Receiver service ledger</x:v>
      </x:c>
      <x:c r="J1140" s="17" t="str">
        <x:v>Receiver authority</x:v>
      </x:c>
      <x:c r="K1140" s="17" t="str">
        <x:v>Public custody F</x:v>
      </x:c>
      <x:c r="L1140" s="9" t="n">
        <x:v>0</x:v>
      </x:c>
      <x:c r="M1140" s="9" t="n">
        <x:v>0</x:v>
      </x:c>
      <x:c r="N1140" s="9" t="n">
        <x:v>0</x:v>
      </x:c>
      <x:c r="O1140" s="9" t="n">
        <x:v>0</x:v>
      </x:c>
      <x:c r="P1140" s="9" t="str">
        <x:v>UNSEALED / SOURCE-EMPTY</x:v>
      </x:c>
      <x:c r="Q1140" s="9" t="n">
        <x:f>COUNTIFS($A$7:$A$1158,A1140)</x:f>
        <x:v>1</x:v>
      </x:c>
    </x:row>
    <x:row r="1141">
      <x:c r="A1141" s="9" t="str">
        <x:v>EV-AR-HU-A-B-TECH-2-B1-INT-G0-RW07</x:v>
      </x:c>
      <x:c r="B1141" s="9" t="str">
        <x:v>EV-AR-HU-A-B-TECH-2-B1-INT-G0</x:v>
      </x:c>
      <x:c r="C1141" s="9" t="str">
        <x:v>AR-HU-A-B-TECH-2-B1-INT-G0</x:v>
      </x:c>
      <x:c r="D1141" s="9" t="str">
        <x:v>HU-A-B-TECH-2</x:v>
      </x:c>
      <x:c r="E1141" s="9" t="str">
        <x:v>HU-A-B</x:v>
      </x:c>
      <x:c r="F1141" s="9" t="str">
        <x:v>B1</x:v>
      </x:c>
      <x:c r="G1141" s="9" t="str">
        <x:v>INT</x:v>
      </x:c>
      <x:c r="H1141" s="9" t="str">
        <x:v>RW07</x:v>
      </x:c>
      <x:c r="I1141" s="17" t="str">
        <x:v>Candidate interface telemetry</x:v>
      </x:c>
      <x:c r="J1141" s="17" t="str">
        <x:v>Interface custodian</x:v>
      </x:c>
      <x:c r="K1141" s="17" t="str">
        <x:v>Public custody A</x:v>
      </x:c>
      <x:c r="L1141" s="9" t="n">
        <x:v>0</x:v>
      </x:c>
      <x:c r="M1141" s="9" t="n">
        <x:v>0</x:v>
      </x:c>
      <x:c r="N1141" s="9" t="n">
        <x:v>0</x:v>
      </x:c>
      <x:c r="O1141" s="9" t="n">
        <x:v>0</x:v>
      </x:c>
      <x:c r="P1141" s="9" t="str">
        <x:v>UNSEALED / SOURCE-EMPTY</x:v>
      </x:c>
      <x:c r="Q1141" s="9" t="n">
        <x:f>COUNTIFS($A$7:$A$1158,A1141)</x:f>
        <x:v>1</x:v>
      </x:c>
    </x:row>
    <x:row r="1142">
      <x:c r="A1142" s="9" t="str">
        <x:v>EV-AR-HU-A-B-TECH-2-B1-INT-G0-RW08</x:v>
      </x:c>
      <x:c r="B1142" s="9" t="str">
        <x:v>EV-AR-HU-A-B-TECH-2-B1-INT-G0</x:v>
      </x:c>
      <x:c r="C1142" s="9" t="str">
        <x:v>AR-HU-A-B-TECH-2-B1-INT-G0</x:v>
      </x:c>
      <x:c r="D1142" s="9" t="str">
        <x:v>HU-A-B-TECH-2</x:v>
      </x:c>
      <x:c r="E1142" s="9" t="str">
        <x:v>HU-A-B</x:v>
      </x:c>
      <x:c r="F1142" s="9" t="str">
        <x:v>B1</x:v>
      </x:c>
      <x:c r="G1142" s="9" t="str">
        <x:v>INT</x:v>
      </x:c>
      <x:c r="H1142" s="9" t="str">
        <x:v>RW08</x:v>
      </x:c>
      <x:c r="I1142" s="17" t="str">
        <x:v>Residual and physical evidence</x:v>
      </x:c>
      <x:c r="J1142" s="17" t="str">
        <x:v>Residual authority</x:v>
      </x:c>
      <x:c r="K1142" s="17" t="str">
        <x:v>Public custody B</x:v>
      </x:c>
      <x:c r="L1142" s="9" t="n">
        <x:v>0</x:v>
      </x:c>
      <x:c r="M1142" s="9" t="n">
        <x:v>0</x:v>
      </x:c>
      <x:c r="N1142" s="9" t="n">
        <x:v>0</x:v>
      </x:c>
      <x:c r="O1142" s="9" t="n">
        <x:v>0</x:v>
      </x:c>
      <x:c r="P1142" s="9" t="str">
        <x:v>UNSEALED / SOURCE-EMPTY</x:v>
      </x:c>
      <x:c r="Q1142" s="9" t="n">
        <x:f>COUNTIFS($A$7:$A$1158,A1142)</x:f>
        <x:v>1</x:v>
      </x:c>
    </x:row>
    <x:row r="1143">
      <x:c r="A1143" s="9" t="str">
        <x:v>EV-AR-LF-B-A-TECH-1-B1-BRK-G0-RW01</x:v>
      </x:c>
      <x:c r="B1143" s="9" t="str">
        <x:v>EV-AR-LF-B-A-TECH-1-B1-BRK-G0</x:v>
      </x:c>
      <x:c r="C1143" s="9" t="str">
        <x:v>AR-LF-B-A-TECH-1-B1-BRK-G0</x:v>
      </x:c>
      <x:c r="D1143" s="9" t="str">
        <x:v>LF-B-A-TECH-1</x:v>
      </x:c>
      <x:c r="E1143" s="9" t="str">
        <x:v>LF-B-A</x:v>
      </x:c>
      <x:c r="F1143" s="9" t="str">
        <x:v>B1</x:v>
      </x:c>
      <x:c r="G1143" s="9" t="str">
        <x:v>BRK</x:v>
      </x:c>
      <x:c r="H1143" s="9" t="str">
        <x:v>RW01</x:v>
      </x:c>
      <x:c r="I1143" s="17" t="str">
        <x:v>Primary raw stream</x:v>
      </x:c>
      <x:c r="J1143" s="17" t="str">
        <x:v>Primary metrology</x:v>
      </x:c>
      <x:c r="K1143" s="17" t="str">
        <x:v>Public custody A</x:v>
      </x:c>
      <x:c r="L1143" s="9" t="n">
        <x:v>0</x:v>
      </x:c>
      <x:c r="M1143" s="9" t="n">
        <x:v>0</x:v>
      </x:c>
      <x:c r="N1143" s="9" t="n">
        <x:v>0</x:v>
      </x:c>
      <x:c r="O1143" s="9" t="n">
        <x:v>0</x:v>
      </x:c>
      <x:c r="P1143" s="9" t="str">
        <x:v>UNSEALED / SOURCE-EMPTY</x:v>
      </x:c>
      <x:c r="Q1143" s="9" t="n">
        <x:f>COUNTIFS($A$7:$A$1158,A1143)</x:f>
        <x:v>1</x:v>
      </x:c>
    </x:row>
    <x:row r="1144">
      <x:c r="A1144" s="9" t="str">
        <x:v>EV-AR-LF-B-A-TECH-1-B1-BRK-G0-RW02</x:v>
      </x:c>
      <x:c r="B1144" s="9" t="str">
        <x:v>EV-AR-LF-B-A-TECH-1-B1-BRK-G0</x:v>
      </x:c>
      <x:c r="C1144" s="9" t="str">
        <x:v>AR-LF-B-A-TECH-1-B1-BRK-G0</x:v>
      </x:c>
      <x:c r="D1144" s="9" t="str">
        <x:v>LF-B-A-TECH-1</x:v>
      </x:c>
      <x:c r="E1144" s="9" t="str">
        <x:v>LF-B-A</x:v>
      </x:c>
      <x:c r="F1144" s="9" t="str">
        <x:v>B1</x:v>
      </x:c>
      <x:c r="G1144" s="9" t="str">
        <x:v>BRK</x:v>
      </x:c>
      <x:c r="H1144" s="9" t="str">
        <x:v>RW02</x:v>
      </x:c>
      <x:c r="I1144" s="17" t="str">
        <x:v>Unlike witness stream</x:v>
      </x:c>
      <x:c r="J1144" s="17" t="str">
        <x:v>Witness metrology</x:v>
      </x:c>
      <x:c r="K1144" s="17" t="str">
        <x:v>Public custody B</x:v>
      </x:c>
      <x:c r="L1144" s="9" t="n">
        <x:v>0</x:v>
      </x:c>
      <x:c r="M1144" s="9" t="n">
        <x:v>0</x:v>
      </x:c>
      <x:c r="N1144" s="9" t="n">
        <x:v>0</x:v>
      </x:c>
      <x:c r="O1144" s="9" t="n">
        <x:v>0</x:v>
      </x:c>
      <x:c r="P1144" s="9" t="str">
        <x:v>UNSEALED / SOURCE-EMPTY</x:v>
      </x:c>
      <x:c r="Q1144" s="9" t="n">
        <x:f>COUNTIFS($A$7:$A$1158,A1144)</x:f>
        <x:v>1</x:v>
      </x:c>
    </x:row>
    <x:row r="1145">
      <x:c r="A1145" s="9" t="str">
        <x:v>EV-AR-LF-B-A-TECH-1-B1-BRK-G0-RW03</x:v>
      </x:c>
      <x:c r="B1145" s="9" t="str">
        <x:v>EV-AR-LF-B-A-TECH-1-B1-BRK-G0</x:v>
      </x:c>
      <x:c r="C1145" s="9" t="str">
        <x:v>AR-LF-B-A-TECH-1-B1-BRK-G0</x:v>
      </x:c>
      <x:c r="D1145" s="9" t="str">
        <x:v>LF-B-A-TECH-1</x:v>
      </x:c>
      <x:c r="E1145" s="9" t="str">
        <x:v>LF-B-A</x:v>
      </x:c>
      <x:c r="F1145" s="9" t="str">
        <x:v>B1</x:v>
      </x:c>
      <x:c r="G1145" s="9" t="str">
        <x:v>BRK</x:v>
      </x:c>
      <x:c r="H1145" s="9" t="str">
        <x:v>RW03</x:v>
      </x:c>
      <x:c r="I1145" s="17" t="str">
        <x:v>Event clock and start traces</x:v>
      </x:c>
      <x:c r="J1145" s="17" t="str">
        <x:v>Event clock authority</x:v>
      </x:c>
      <x:c r="K1145" s="17" t="str">
        <x:v>Public custody C</x:v>
      </x:c>
      <x:c r="L1145" s="9" t="n">
        <x:v>0</x:v>
      </x:c>
      <x:c r="M1145" s="9" t="n">
        <x:v>0</x:v>
      </x:c>
      <x:c r="N1145" s="9" t="n">
        <x:v>0</x:v>
      </x:c>
      <x:c r="O1145" s="9" t="n">
        <x:v>0</x:v>
      </x:c>
      <x:c r="P1145" s="9" t="str">
        <x:v>UNSEALED / SOURCE-EMPTY</x:v>
      </x:c>
      <x:c r="Q1145" s="9" t="n">
        <x:f>COUNTIFS($A$7:$A$1158,A1145)</x:f>
        <x:v>1</x:v>
      </x:c>
    </x:row>
    <x:row r="1146">
      <x:c r="A1146" s="9" t="str">
        <x:v>EV-AR-LF-B-A-TECH-1-B1-BRK-G0-RW04</x:v>
      </x:c>
      <x:c r="B1146" s="9" t="str">
        <x:v>EV-AR-LF-B-A-TECH-1-B1-BRK-G0</x:v>
      </x:c>
      <x:c r="C1146" s="9" t="str">
        <x:v>AR-LF-B-A-TECH-1-B1-BRK-G0</x:v>
      </x:c>
      <x:c r="D1146" s="9" t="str">
        <x:v>LF-B-A-TECH-1</x:v>
      </x:c>
      <x:c r="E1146" s="9" t="str">
        <x:v>LF-B-A</x:v>
      </x:c>
      <x:c r="F1146" s="9" t="str">
        <x:v>B1</x:v>
      </x:c>
      <x:c r="G1146" s="9" t="str">
        <x:v>BRK</x:v>
      </x:c>
      <x:c r="H1146" s="9" t="str">
        <x:v>RW04</x:v>
      </x:c>
      <x:c r="I1146" s="17" t="str">
        <x:v>Environmental boundary stream</x:v>
      </x:c>
      <x:c r="J1146" s="17" t="str">
        <x:v>Site metrology</x:v>
      </x:c>
      <x:c r="K1146" s="17" t="str">
        <x:v>Public custody D</x:v>
      </x:c>
      <x:c r="L1146" s="9" t="n">
        <x:v>0</x:v>
      </x:c>
      <x:c r="M1146" s="9" t="n">
        <x:v>0</x:v>
      </x:c>
      <x:c r="N1146" s="9" t="n">
        <x:v>0</x:v>
      </x:c>
      <x:c r="O1146" s="9" t="n">
        <x:v>0</x:v>
      </x:c>
      <x:c r="P1146" s="9" t="str">
        <x:v>UNSEALED / SOURCE-EMPTY</x:v>
      </x:c>
      <x:c r="Q1146" s="9" t="n">
        <x:f>COUNTIFS($A$7:$A$1158,A1146)</x:f>
        <x:v>1</x:v>
      </x:c>
    </x:row>
    <x:row r="1147">
      <x:c r="A1147" s="9" t="str">
        <x:v>EV-AR-LF-B-A-TECH-1-B1-BRK-G0-RW05</x:v>
      </x:c>
      <x:c r="B1147" s="9" t="str">
        <x:v>EV-AR-LF-B-A-TECH-1-B1-BRK-G0</x:v>
      </x:c>
      <x:c r="C1147" s="9" t="str">
        <x:v>AR-LF-B-A-TECH-1-B1-BRK-G0</x:v>
      </x:c>
      <x:c r="D1147" s="9" t="str">
        <x:v>LF-B-A-TECH-1</x:v>
      </x:c>
      <x:c r="E1147" s="9" t="str">
        <x:v>LF-B-A</x:v>
      </x:c>
      <x:c r="F1147" s="9" t="str">
        <x:v>B1</x:v>
      </x:c>
      <x:c r="G1147" s="9" t="str">
        <x:v>BRK</x:v>
      </x:c>
      <x:c r="H1147" s="9" t="str">
        <x:v>RW05</x:v>
      </x:c>
      <x:c r="I1147" s="17" t="str">
        <x:v>Command and intervention log</x:v>
      </x:c>
      <x:c r="J1147" s="17" t="str">
        <x:v>Safety authority</x:v>
      </x:c>
      <x:c r="K1147" s="17" t="str">
        <x:v>Public custody E</x:v>
      </x:c>
      <x:c r="L1147" s="9" t="n">
        <x:v>0</x:v>
      </x:c>
      <x:c r="M1147" s="9" t="n">
        <x:v>0</x:v>
      </x:c>
      <x:c r="N1147" s="9" t="n">
        <x:v>0</x:v>
      </x:c>
      <x:c r="O1147" s="9" t="n">
        <x:v>0</x:v>
      </x:c>
      <x:c r="P1147" s="9" t="str">
        <x:v>UNSEALED / SOURCE-EMPTY</x:v>
      </x:c>
      <x:c r="Q1147" s="9" t="n">
        <x:f>COUNTIFS($A$7:$A$1158,A1147)</x:f>
        <x:v>1</x:v>
      </x:c>
    </x:row>
    <x:row r="1148">
      <x:c r="A1148" s="9" t="str">
        <x:v>EV-AR-LF-B-A-TECH-1-B1-BRK-G0-RW06</x:v>
      </x:c>
      <x:c r="B1148" s="9" t="str">
        <x:v>EV-AR-LF-B-A-TECH-1-B1-BRK-G0</x:v>
      </x:c>
      <x:c r="C1148" s="9" t="str">
        <x:v>AR-LF-B-A-TECH-1-B1-BRK-G0</x:v>
      </x:c>
      <x:c r="D1148" s="9" t="str">
        <x:v>LF-B-A-TECH-1</x:v>
      </x:c>
      <x:c r="E1148" s="9" t="str">
        <x:v>LF-B-A</x:v>
      </x:c>
      <x:c r="F1148" s="9" t="str">
        <x:v>B1</x:v>
      </x:c>
      <x:c r="G1148" s="9" t="str">
        <x:v>BRK</x:v>
      </x:c>
      <x:c r="H1148" s="9" t="str">
        <x:v>RW06</x:v>
      </x:c>
      <x:c r="I1148" s="17" t="str">
        <x:v>Receiver service ledger</x:v>
      </x:c>
      <x:c r="J1148" s="17" t="str">
        <x:v>Receiver authority</x:v>
      </x:c>
      <x:c r="K1148" s="17" t="str">
        <x:v>Public custody F</x:v>
      </x:c>
      <x:c r="L1148" s="9" t="n">
        <x:v>0</x:v>
      </x:c>
      <x:c r="M1148" s="9" t="n">
        <x:v>0</x:v>
      </x:c>
      <x:c r="N1148" s="9" t="n">
        <x:v>0</x:v>
      </x:c>
      <x:c r="O1148" s="9" t="n">
        <x:v>0</x:v>
      </x:c>
      <x:c r="P1148" s="9" t="str">
        <x:v>UNSEALED / SOURCE-EMPTY</x:v>
      </x:c>
      <x:c r="Q1148" s="9" t="n">
        <x:f>COUNTIFS($A$7:$A$1158,A1148)</x:f>
        <x:v>1</x:v>
      </x:c>
    </x:row>
    <x:row r="1149">
      <x:c r="A1149" s="9" t="str">
        <x:v>EV-AR-LF-B-A-TECH-1-B1-BRK-G0-RW07</x:v>
      </x:c>
      <x:c r="B1149" s="9" t="str">
        <x:v>EV-AR-LF-B-A-TECH-1-B1-BRK-G0</x:v>
      </x:c>
      <x:c r="C1149" s="9" t="str">
        <x:v>AR-LF-B-A-TECH-1-B1-BRK-G0</x:v>
      </x:c>
      <x:c r="D1149" s="9" t="str">
        <x:v>LF-B-A-TECH-1</x:v>
      </x:c>
      <x:c r="E1149" s="9" t="str">
        <x:v>LF-B-A</x:v>
      </x:c>
      <x:c r="F1149" s="9" t="str">
        <x:v>B1</x:v>
      </x:c>
      <x:c r="G1149" s="9" t="str">
        <x:v>BRK</x:v>
      </x:c>
      <x:c r="H1149" s="9" t="str">
        <x:v>RW07</x:v>
      </x:c>
      <x:c r="I1149" s="17" t="str">
        <x:v>Candidate interface telemetry</x:v>
      </x:c>
      <x:c r="J1149" s="17" t="str">
        <x:v>Interface custodian</x:v>
      </x:c>
      <x:c r="K1149" s="17" t="str">
        <x:v>Public custody A</x:v>
      </x:c>
      <x:c r="L1149" s="9" t="n">
        <x:v>0</x:v>
      </x:c>
      <x:c r="M1149" s="9" t="n">
        <x:v>0</x:v>
      </x:c>
      <x:c r="N1149" s="9" t="n">
        <x:v>0</x:v>
      </x:c>
      <x:c r="O1149" s="9" t="n">
        <x:v>0</x:v>
      </x:c>
      <x:c r="P1149" s="9" t="str">
        <x:v>UNSEALED / SOURCE-EMPTY</x:v>
      </x:c>
      <x:c r="Q1149" s="9" t="n">
        <x:f>COUNTIFS($A$7:$A$1158,A1149)</x:f>
        <x:v>1</x:v>
      </x:c>
    </x:row>
    <x:row r="1150">
      <x:c r="A1150" s="9" t="str">
        <x:v>EV-AR-LF-B-A-TECH-1-B1-BRK-G0-RW08</x:v>
      </x:c>
      <x:c r="B1150" s="9" t="str">
        <x:v>EV-AR-LF-B-A-TECH-1-B1-BRK-G0</x:v>
      </x:c>
      <x:c r="C1150" s="9" t="str">
        <x:v>AR-LF-B-A-TECH-1-B1-BRK-G0</x:v>
      </x:c>
      <x:c r="D1150" s="9" t="str">
        <x:v>LF-B-A-TECH-1</x:v>
      </x:c>
      <x:c r="E1150" s="9" t="str">
        <x:v>LF-B-A</x:v>
      </x:c>
      <x:c r="F1150" s="9" t="str">
        <x:v>B1</x:v>
      </x:c>
      <x:c r="G1150" s="9" t="str">
        <x:v>BRK</x:v>
      </x:c>
      <x:c r="H1150" s="9" t="str">
        <x:v>RW08</x:v>
      </x:c>
      <x:c r="I1150" s="17" t="str">
        <x:v>Residual and physical evidence</x:v>
      </x:c>
      <x:c r="J1150" s="17" t="str">
        <x:v>Residual authority</x:v>
      </x:c>
      <x:c r="K1150" s="17" t="str">
        <x:v>Public custody B</x:v>
      </x:c>
      <x:c r="L1150" s="9" t="n">
        <x:v>0</x:v>
      </x:c>
      <x:c r="M1150" s="9" t="n">
        <x:v>0</x:v>
      </x:c>
      <x:c r="N1150" s="9" t="n">
        <x:v>0</x:v>
      </x:c>
      <x:c r="O1150" s="9" t="n">
        <x:v>0</x:v>
      </x:c>
      <x:c r="P1150" s="9" t="str">
        <x:v>UNSEALED / SOURCE-EMPTY</x:v>
      </x:c>
      <x:c r="Q1150" s="9" t="n">
        <x:f>COUNTIFS($A$7:$A$1158,A1150)</x:f>
        <x:v>1</x:v>
      </x:c>
    </x:row>
    <x:row r="1151">
      <x:c r="A1151" s="9" t="str">
        <x:v>EV-AR-RT-B-C-TECH-3-B1-RCN-G0-RW01</x:v>
      </x:c>
      <x:c r="B1151" s="9" t="str">
        <x:v>EV-AR-RT-B-C-TECH-3-B1-RCN-G0</x:v>
      </x:c>
      <x:c r="C1151" s="9" t="str">
        <x:v>AR-RT-B-C-TECH-3-B1-RCN-G0</x:v>
      </x:c>
      <x:c r="D1151" s="9" t="str">
        <x:v>RT-B-C-TECH-3</x:v>
      </x:c>
      <x:c r="E1151" s="9" t="str">
        <x:v>RT-B-C</x:v>
      </x:c>
      <x:c r="F1151" s="9" t="str">
        <x:v>B1</x:v>
      </x:c>
      <x:c r="G1151" s="9" t="str">
        <x:v>RCN</x:v>
      </x:c>
      <x:c r="H1151" s="9" t="str">
        <x:v>RW01</x:v>
      </x:c>
      <x:c r="I1151" s="17" t="str">
        <x:v>Primary raw stream</x:v>
      </x:c>
      <x:c r="J1151" s="17" t="str">
        <x:v>Primary metrology</x:v>
      </x:c>
      <x:c r="K1151" s="17" t="str">
        <x:v>Public custody A</x:v>
      </x:c>
      <x:c r="L1151" s="9" t="n">
        <x:v>0</x:v>
      </x:c>
      <x:c r="M1151" s="9" t="n">
        <x:v>0</x:v>
      </x:c>
      <x:c r="N1151" s="9" t="n">
        <x:v>0</x:v>
      </x:c>
      <x:c r="O1151" s="9" t="n">
        <x:v>0</x:v>
      </x:c>
      <x:c r="P1151" s="9" t="str">
        <x:v>UNSEALED / SOURCE-EMPTY</x:v>
      </x:c>
      <x:c r="Q1151" s="9" t="n">
        <x:f>COUNTIFS($A$7:$A$1158,A1151)</x:f>
        <x:v>1</x:v>
      </x:c>
    </x:row>
    <x:row r="1152">
      <x:c r="A1152" s="9" t="str">
        <x:v>EV-AR-RT-B-C-TECH-3-B1-RCN-G0-RW02</x:v>
      </x:c>
      <x:c r="B1152" s="9" t="str">
        <x:v>EV-AR-RT-B-C-TECH-3-B1-RCN-G0</x:v>
      </x:c>
      <x:c r="C1152" s="9" t="str">
        <x:v>AR-RT-B-C-TECH-3-B1-RCN-G0</x:v>
      </x:c>
      <x:c r="D1152" s="9" t="str">
        <x:v>RT-B-C-TECH-3</x:v>
      </x:c>
      <x:c r="E1152" s="9" t="str">
        <x:v>RT-B-C</x:v>
      </x:c>
      <x:c r="F1152" s="9" t="str">
        <x:v>B1</x:v>
      </x:c>
      <x:c r="G1152" s="9" t="str">
        <x:v>RCN</x:v>
      </x:c>
      <x:c r="H1152" s="9" t="str">
        <x:v>RW02</x:v>
      </x:c>
      <x:c r="I1152" s="17" t="str">
        <x:v>Unlike witness stream</x:v>
      </x:c>
      <x:c r="J1152" s="17" t="str">
        <x:v>Witness metrology</x:v>
      </x:c>
      <x:c r="K1152" s="17" t="str">
        <x:v>Public custody B</x:v>
      </x:c>
      <x:c r="L1152" s="9" t="n">
        <x:v>0</x:v>
      </x:c>
      <x:c r="M1152" s="9" t="n">
        <x:v>0</x:v>
      </x:c>
      <x:c r="N1152" s="9" t="n">
        <x:v>0</x:v>
      </x:c>
      <x:c r="O1152" s="9" t="n">
        <x:v>0</x:v>
      </x:c>
      <x:c r="P1152" s="9" t="str">
        <x:v>UNSEALED / SOURCE-EMPTY</x:v>
      </x:c>
      <x:c r="Q1152" s="9" t="n">
        <x:f>COUNTIFS($A$7:$A$1158,A1152)</x:f>
        <x:v>1</x:v>
      </x:c>
    </x:row>
    <x:row r="1153">
      <x:c r="A1153" s="9" t="str">
        <x:v>EV-AR-RT-B-C-TECH-3-B1-RCN-G0-RW03</x:v>
      </x:c>
      <x:c r="B1153" s="9" t="str">
        <x:v>EV-AR-RT-B-C-TECH-3-B1-RCN-G0</x:v>
      </x:c>
      <x:c r="C1153" s="9" t="str">
        <x:v>AR-RT-B-C-TECH-3-B1-RCN-G0</x:v>
      </x:c>
      <x:c r="D1153" s="9" t="str">
        <x:v>RT-B-C-TECH-3</x:v>
      </x:c>
      <x:c r="E1153" s="9" t="str">
        <x:v>RT-B-C</x:v>
      </x:c>
      <x:c r="F1153" s="9" t="str">
        <x:v>B1</x:v>
      </x:c>
      <x:c r="G1153" s="9" t="str">
        <x:v>RCN</x:v>
      </x:c>
      <x:c r="H1153" s="9" t="str">
        <x:v>RW03</x:v>
      </x:c>
      <x:c r="I1153" s="17" t="str">
        <x:v>Event clock and start traces</x:v>
      </x:c>
      <x:c r="J1153" s="17" t="str">
        <x:v>Event clock authority</x:v>
      </x:c>
      <x:c r="K1153" s="17" t="str">
        <x:v>Public custody C</x:v>
      </x:c>
      <x:c r="L1153" s="9" t="n">
        <x:v>0</x:v>
      </x:c>
      <x:c r="M1153" s="9" t="n">
        <x:v>0</x:v>
      </x:c>
      <x:c r="N1153" s="9" t="n">
        <x:v>0</x:v>
      </x:c>
      <x:c r="O1153" s="9" t="n">
        <x:v>0</x:v>
      </x:c>
      <x:c r="P1153" s="9" t="str">
        <x:v>UNSEALED / SOURCE-EMPTY</x:v>
      </x:c>
      <x:c r="Q1153" s="9" t="n">
        <x:f>COUNTIFS($A$7:$A$1158,A1153)</x:f>
        <x:v>1</x:v>
      </x:c>
    </x:row>
    <x:row r="1154">
      <x:c r="A1154" s="9" t="str">
        <x:v>EV-AR-RT-B-C-TECH-3-B1-RCN-G0-RW04</x:v>
      </x:c>
      <x:c r="B1154" s="9" t="str">
        <x:v>EV-AR-RT-B-C-TECH-3-B1-RCN-G0</x:v>
      </x:c>
      <x:c r="C1154" s="9" t="str">
        <x:v>AR-RT-B-C-TECH-3-B1-RCN-G0</x:v>
      </x:c>
      <x:c r="D1154" s="9" t="str">
        <x:v>RT-B-C-TECH-3</x:v>
      </x:c>
      <x:c r="E1154" s="9" t="str">
        <x:v>RT-B-C</x:v>
      </x:c>
      <x:c r="F1154" s="9" t="str">
        <x:v>B1</x:v>
      </x:c>
      <x:c r="G1154" s="9" t="str">
        <x:v>RCN</x:v>
      </x:c>
      <x:c r="H1154" s="9" t="str">
        <x:v>RW04</x:v>
      </x:c>
      <x:c r="I1154" s="17" t="str">
        <x:v>Environmental boundary stream</x:v>
      </x:c>
      <x:c r="J1154" s="17" t="str">
        <x:v>Site metrology</x:v>
      </x:c>
      <x:c r="K1154" s="17" t="str">
        <x:v>Public custody D</x:v>
      </x:c>
      <x:c r="L1154" s="9" t="n">
        <x:v>0</x:v>
      </x:c>
      <x:c r="M1154" s="9" t="n">
        <x:v>0</x:v>
      </x:c>
      <x:c r="N1154" s="9" t="n">
        <x:v>0</x:v>
      </x:c>
      <x:c r="O1154" s="9" t="n">
        <x:v>0</x:v>
      </x:c>
      <x:c r="P1154" s="9" t="str">
        <x:v>UNSEALED / SOURCE-EMPTY</x:v>
      </x:c>
      <x:c r="Q1154" s="9" t="n">
        <x:f>COUNTIFS($A$7:$A$1158,A1154)</x:f>
        <x:v>1</x:v>
      </x:c>
    </x:row>
    <x:row r="1155">
      <x:c r="A1155" s="9" t="str">
        <x:v>EV-AR-RT-B-C-TECH-3-B1-RCN-G0-RW05</x:v>
      </x:c>
      <x:c r="B1155" s="9" t="str">
        <x:v>EV-AR-RT-B-C-TECH-3-B1-RCN-G0</x:v>
      </x:c>
      <x:c r="C1155" s="9" t="str">
        <x:v>AR-RT-B-C-TECH-3-B1-RCN-G0</x:v>
      </x:c>
      <x:c r="D1155" s="9" t="str">
        <x:v>RT-B-C-TECH-3</x:v>
      </x:c>
      <x:c r="E1155" s="9" t="str">
        <x:v>RT-B-C</x:v>
      </x:c>
      <x:c r="F1155" s="9" t="str">
        <x:v>B1</x:v>
      </x:c>
      <x:c r="G1155" s="9" t="str">
        <x:v>RCN</x:v>
      </x:c>
      <x:c r="H1155" s="9" t="str">
        <x:v>RW05</x:v>
      </x:c>
      <x:c r="I1155" s="17" t="str">
        <x:v>Command and intervention log</x:v>
      </x:c>
      <x:c r="J1155" s="17" t="str">
        <x:v>Safety authority</x:v>
      </x:c>
      <x:c r="K1155" s="17" t="str">
        <x:v>Public custody E</x:v>
      </x:c>
      <x:c r="L1155" s="9" t="n">
        <x:v>0</x:v>
      </x:c>
      <x:c r="M1155" s="9" t="n">
        <x:v>0</x:v>
      </x:c>
      <x:c r="N1155" s="9" t="n">
        <x:v>0</x:v>
      </x:c>
      <x:c r="O1155" s="9" t="n">
        <x:v>0</x:v>
      </x:c>
      <x:c r="P1155" s="9" t="str">
        <x:v>UNSEALED / SOURCE-EMPTY</x:v>
      </x:c>
      <x:c r="Q1155" s="9" t="n">
        <x:f>COUNTIFS($A$7:$A$1158,A1155)</x:f>
        <x:v>1</x:v>
      </x:c>
    </x:row>
    <x:row r="1156">
      <x:c r="A1156" s="9" t="str">
        <x:v>EV-AR-RT-B-C-TECH-3-B1-RCN-G0-RW06</x:v>
      </x:c>
      <x:c r="B1156" s="9" t="str">
        <x:v>EV-AR-RT-B-C-TECH-3-B1-RCN-G0</x:v>
      </x:c>
      <x:c r="C1156" s="9" t="str">
        <x:v>AR-RT-B-C-TECH-3-B1-RCN-G0</x:v>
      </x:c>
      <x:c r="D1156" s="9" t="str">
        <x:v>RT-B-C-TECH-3</x:v>
      </x:c>
      <x:c r="E1156" s="9" t="str">
        <x:v>RT-B-C</x:v>
      </x:c>
      <x:c r="F1156" s="9" t="str">
        <x:v>B1</x:v>
      </x:c>
      <x:c r="G1156" s="9" t="str">
        <x:v>RCN</x:v>
      </x:c>
      <x:c r="H1156" s="9" t="str">
        <x:v>RW06</x:v>
      </x:c>
      <x:c r="I1156" s="17" t="str">
        <x:v>Receiver service ledger</x:v>
      </x:c>
      <x:c r="J1156" s="17" t="str">
        <x:v>Receiver authority</x:v>
      </x:c>
      <x:c r="K1156" s="17" t="str">
        <x:v>Public custody F</x:v>
      </x:c>
      <x:c r="L1156" s="9" t="n">
        <x:v>0</x:v>
      </x:c>
      <x:c r="M1156" s="9" t="n">
        <x:v>0</x:v>
      </x:c>
      <x:c r="N1156" s="9" t="n">
        <x:v>0</x:v>
      </x:c>
      <x:c r="O1156" s="9" t="n">
        <x:v>0</x:v>
      </x:c>
      <x:c r="P1156" s="9" t="str">
        <x:v>UNSEALED / SOURCE-EMPTY</x:v>
      </x:c>
      <x:c r="Q1156" s="9" t="n">
        <x:f>COUNTIFS($A$7:$A$1158,A1156)</x:f>
        <x:v>1</x:v>
      </x:c>
    </x:row>
    <x:row r="1157">
      <x:c r="A1157" s="9" t="str">
        <x:v>EV-AR-RT-B-C-TECH-3-B1-RCN-G0-RW07</x:v>
      </x:c>
      <x:c r="B1157" s="9" t="str">
        <x:v>EV-AR-RT-B-C-TECH-3-B1-RCN-G0</x:v>
      </x:c>
      <x:c r="C1157" s="9" t="str">
        <x:v>AR-RT-B-C-TECH-3-B1-RCN-G0</x:v>
      </x:c>
      <x:c r="D1157" s="9" t="str">
        <x:v>RT-B-C-TECH-3</x:v>
      </x:c>
      <x:c r="E1157" s="9" t="str">
        <x:v>RT-B-C</x:v>
      </x:c>
      <x:c r="F1157" s="9" t="str">
        <x:v>B1</x:v>
      </x:c>
      <x:c r="G1157" s="9" t="str">
        <x:v>RCN</x:v>
      </x:c>
      <x:c r="H1157" s="9" t="str">
        <x:v>RW07</x:v>
      </x:c>
      <x:c r="I1157" s="17" t="str">
        <x:v>Candidate interface telemetry</x:v>
      </x:c>
      <x:c r="J1157" s="17" t="str">
        <x:v>Interface custodian</x:v>
      </x:c>
      <x:c r="K1157" s="17" t="str">
        <x:v>Public custody A</x:v>
      </x:c>
      <x:c r="L1157" s="9" t="n">
        <x:v>0</x:v>
      </x:c>
      <x:c r="M1157" s="9" t="n">
        <x:v>0</x:v>
      </x:c>
      <x:c r="N1157" s="9" t="n">
        <x:v>0</x:v>
      </x:c>
      <x:c r="O1157" s="9" t="n">
        <x:v>0</x:v>
      </x:c>
      <x:c r="P1157" s="9" t="str">
        <x:v>UNSEALED / SOURCE-EMPTY</x:v>
      </x:c>
      <x:c r="Q1157" s="9" t="n">
        <x:f>COUNTIFS($A$7:$A$1158,A1157)</x:f>
        <x:v>1</x:v>
      </x:c>
    </x:row>
    <x:row r="1158">
      <x:c r="A1158" s="9" t="str">
        <x:v>EV-AR-RT-B-C-TECH-3-B1-RCN-G0-RW08</x:v>
      </x:c>
      <x:c r="B1158" s="9" t="str">
        <x:v>EV-AR-RT-B-C-TECH-3-B1-RCN-G0</x:v>
      </x:c>
      <x:c r="C1158" s="9" t="str">
        <x:v>AR-RT-B-C-TECH-3-B1-RCN-G0</x:v>
      </x:c>
      <x:c r="D1158" s="9" t="str">
        <x:v>RT-B-C-TECH-3</x:v>
      </x:c>
      <x:c r="E1158" s="9" t="str">
        <x:v>RT-B-C</x:v>
      </x:c>
      <x:c r="F1158" s="9" t="str">
        <x:v>B1</x:v>
      </x:c>
      <x:c r="G1158" s="9" t="str">
        <x:v>RCN</x:v>
      </x:c>
      <x:c r="H1158" s="9" t="str">
        <x:v>RW08</x:v>
      </x:c>
      <x:c r="I1158" s="17" t="str">
        <x:v>Residual and physical evidence</x:v>
      </x:c>
      <x:c r="J1158" s="17" t="str">
        <x:v>Residual authority</x:v>
      </x:c>
      <x:c r="K1158" s="17" t="str">
        <x:v>Public custody B</x:v>
      </x:c>
      <x:c r="L1158" s="9" t="n">
        <x:v>0</x:v>
      </x:c>
      <x:c r="M1158" s="9" t="n">
        <x:v>0</x:v>
      </x:c>
      <x:c r="N1158" s="9" t="n">
        <x:v>0</x:v>
      </x:c>
      <x:c r="O1158" s="9" t="n">
        <x:v>0</x:v>
      </x:c>
      <x:c r="P1158" s="9" t="str">
        <x:v>UNSEALED / SOURCE-EMPTY</x:v>
      </x:c>
      <x:c r="Q1158" s="9" t="n">
        <x:f>COUNTIFS($A$7:$A$1158,A1158)</x:f>
        <x:v>1</x:v>
      </x:c>
    </x:row>
  </x:sheetData>
  <x:conditionalFormatting sqref="P7:P1158">
    <x:cfRule type="containsText" dxfId="32" priority="1" operator="containsText" text="OPEN"/>
    <x:cfRule type="containsText" dxfId="33" priority="2" operator="containsText" text="BLOCKED"/>
    <x:cfRule type="containsText" dxfId="34" priority="3" operator="containsText" text="UNSTARTED"/>
    <x:cfRule type="containsText" dxfId="35" priority="4" operator="containsText" text="UNSEALED"/>
    <x:cfRule type="containsText" dxfId="36" priority="5" operator="containsText" text="UNACCEPTED"/>
    <x:cfRule type="containsText" dxfId="37" priority="6" operator="containsText" text="UNFILED"/>
    <x:cfRule type="containsText" dxfId="38" priority="7" operator="containsText" text="UNJUDGED"/>
    <x:cfRule type="containsText" dxfId="39" priority="8" operator="containsText" text="UNRELEASED"/>
    <x:cfRule type="containsText" dxfId="40" priority="9" operator="containsText" text="HELD"/>
    <x:cfRule type="containsText" dxfId="41" priority="10" operator="containsText" text="PENDING"/>
    <x:cfRule type="containsText" dxfId="42" priority="11" operator="containsText" text="SOURCE-EMPTY"/>
    <x:cfRule type="containsText" dxfId="43" priority="12" operator="containsText" text="FAIL"/>
    <x:cfRule type="containsText" dxfId="44" priority="13" operator="containsText" text="TERMINATE"/>
    <x:cfRule type="containsText" dxfId="45" priority="14" operator="containsText" text="PROHIBITED"/>
    <x:cfRule type="containsText" dxfId="46" priority="15" operator="containsText" text="BREACH"/>
    <x:cfRule type="containsText" dxfId="47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fe2a3ce820a74cc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4" hidden="0" customWidth="1"/>
    <x:col min="2" max="2" width="48" hidden="0" customWidth="1"/>
    <x:col min="3" max="3" width="42" hidden="0" customWidth="1"/>
    <x:col min="4" max="4" width="24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30" hidden="0" customWidth="1"/>
    <x:col min="10" max="10" width="62" hidden="0" customWidth="1"/>
    <x:col min="11" max="11" width="24" hidden="0" customWidth="1"/>
    <x:col min="12" max="12" width="12" hidden="0" customWidth="1"/>
    <x:col min="13" max="13" width="18" hidden="0" customWidth="1"/>
    <x:col min="14" max="14" width="25" hidden="0" customWidth="1"/>
    <x:col min="15" max="15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>
      <x:c r="A2" s="31" t="str">
        <x:v>Observation acceptance without performance judgment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 ht="34" customHeight="1">
      <x:c r="A6" s="35" t="str">
        <x:v>Gate record</x:v>
      </x:c>
      <x:c r="B6" s="35" t="str">
        <x:v>Event</x:v>
      </x:c>
      <x:c r="C6" s="35" t="str">
        <x:v>Serial</x:v>
      </x:c>
      <x:c r="D6" s="35" t="str">
        <x:v>Order</x:v>
      </x:c>
      <x:c r="E6" s="35" t="str">
        <x:v>Form</x:v>
      </x:c>
      <x:c r="F6" s="35" t="str">
        <x:v>Builder</x:v>
      </x:c>
      <x:c r="G6" s="35" t="str">
        <x:v>Role</x:v>
      </x:c>
      <x:c r="H6" s="35" t="str">
        <x:v>Gate</x:v>
      </x:c>
      <x:c r="I6" s="35" t="str">
        <x:v>Object</x:v>
      </x:c>
      <x:c r="J6" s="35" t="str">
        <x:v>Acceptance rule</x:v>
      </x:c>
      <x:c r="K6" s="35" t="str">
        <x:v>Authority</x:v>
      </x:c>
      <x:c r="L6" s="35" t="str">
        <x:v>Accepted</x:v>
      </x:c>
      <x:c r="M6" s="35" t="str">
        <x:v>Favorable metrics</x:v>
      </x:c>
      <x:c r="N6" s="35" t="str">
        <x:v>State</x:v>
      </x:c>
      <x:c r="O6" s="35" t="str">
        <x:v>Record multiplicity</x:v>
      </x:c>
    </x:row>
    <x:row r="7">
      <x:c r="A7" s="9" t="str">
        <x:v>EV-AR-CT-C-B-TECH-1-B2-RCN-G0-OG01</x:v>
      </x:c>
      <x:c r="B7" s="9" t="str">
        <x:v>EV-AR-CT-C-B-TECH-1-B2-RCN-G0</x:v>
      </x:c>
      <x:c r="C7" s="9" t="str">
        <x:v>AR-CT-C-B-TECH-1-B2-RCN-G0</x:v>
      </x:c>
      <x:c r="D7" s="9" t="str">
        <x:v>CT-C-B-TECH-1</x:v>
      </x:c>
      <x:c r="E7" s="9" t="str">
        <x:v>CT-C-B</x:v>
      </x:c>
      <x:c r="F7" s="9" t="str">
        <x:v>B2</x:v>
      </x:c>
      <x:c r="G7" s="9" t="str">
        <x:v>RCN</x:v>
      </x:c>
      <x:c r="H7" s="9" t="str">
        <x:v>OG01</x:v>
      </x:c>
      <x:c r="I7" s="17" t="str">
        <x:v>Serial and event identity</x:v>
      </x:c>
      <x:c r="J7" s="17" t="str">
        <x:v>record resolves to the issued serial, generation and physical start</x:v>
      </x:c>
      <x:c r="K7" s="17" t="str">
        <x:v>Observation court</x:v>
      </x:c>
      <x:c r="L7" s="9" t="n">
        <x:v>0</x:v>
      </x:c>
      <x:c r="M7" s="9" t="n">
        <x:v>0</x:v>
      </x:c>
      <x:c r="N7" s="9" t="str">
        <x:v>OPEN / UNACCEPTED</x:v>
      </x:c>
      <x:c r="O7" s="9" t="n">
        <x:f>COUNTIFS($A$7:$A$1734,A7)</x:f>
        <x:v>1</x:v>
      </x:c>
    </x:row>
    <x:row r="8">
      <x:c r="A8" s="9" t="str">
        <x:v>EV-AR-CT-C-B-TECH-1-B2-RCN-G0-OG02</x:v>
      </x:c>
      <x:c r="B8" s="9" t="str">
        <x:v>EV-AR-CT-C-B-TECH-1-B2-RCN-G0</x:v>
      </x:c>
      <x:c r="C8" s="9" t="str">
        <x:v>AR-CT-C-B-TECH-1-B2-RCN-G0</x:v>
      </x:c>
      <x:c r="D8" s="9" t="str">
        <x:v>CT-C-B-TECH-1</x:v>
      </x:c>
      <x:c r="E8" s="9" t="str">
        <x:v>CT-C-B</x:v>
      </x:c>
      <x:c r="F8" s="9" t="str">
        <x:v>B2</x:v>
      </x:c>
      <x:c r="G8" s="9" t="str">
        <x:v>RCN</x:v>
      </x:c>
      <x:c r="H8" s="9" t="str">
        <x:v>OG02</x:v>
      </x:c>
      <x:c r="I8" s="17" t="str">
        <x:v>Time ancestry</x:v>
      </x:c>
      <x:c r="J8" s="17" t="str">
        <x:v>primary, witness and public event clocks retain declared offsets and drift</x:v>
      </x:c>
      <x:c r="K8" s="17" t="str">
        <x:v>Time authority</x:v>
      </x:c>
      <x:c r="L8" s="9" t="n">
        <x:v>0</x:v>
      </x:c>
      <x:c r="M8" s="9" t="n">
        <x:v>0</x:v>
      </x:c>
      <x:c r="N8" s="9" t="str">
        <x:v>OPEN / UNACCEPTED</x:v>
      </x:c>
      <x:c r="O8" s="9" t="n">
        <x:f>COUNTIFS($A$7:$A$1734,A8)</x:f>
        <x:v>1</x:v>
      </x:c>
    </x:row>
    <x:row r="9">
      <x:c r="A9" s="9" t="str">
        <x:v>EV-AR-CT-C-B-TECH-1-B2-RCN-G0-OG03</x:v>
      </x:c>
      <x:c r="B9" s="9" t="str">
        <x:v>EV-AR-CT-C-B-TECH-1-B2-RCN-G0</x:v>
      </x:c>
      <x:c r="C9" s="9" t="str">
        <x:v>AR-CT-C-B-TECH-1-B2-RCN-G0</x:v>
      </x:c>
      <x:c r="D9" s="9" t="str">
        <x:v>CT-C-B-TECH-1</x:v>
      </x:c>
      <x:c r="E9" s="9" t="str">
        <x:v>CT-C-B</x:v>
      </x:c>
      <x:c r="F9" s="9" t="str">
        <x:v>B2</x:v>
      </x:c>
      <x:c r="G9" s="9" t="str">
        <x:v>RCN</x:v>
      </x:c>
      <x:c r="H9" s="9" t="str">
        <x:v>OG03</x:v>
      </x:c>
      <x:c r="I9" s="17" t="str">
        <x:v>Calibration ancestry</x:v>
      </x:c>
      <x:c r="J9" s="17" t="str">
        <x:v>all reference, range and uncertainty states cover the live interval</x:v>
      </x:c>
      <x:c r="K9" s="17" t="str">
        <x:v>Metrology courts</x:v>
      </x:c>
      <x:c r="L9" s="9" t="n">
        <x:v>0</x:v>
      </x:c>
      <x:c r="M9" s="9" t="n">
        <x:v>0</x:v>
      </x:c>
      <x:c r="N9" s="9" t="str">
        <x:v>OPEN / UNACCEPTED</x:v>
      </x:c>
      <x:c r="O9" s="9" t="n">
        <x:f>COUNTIFS($A$7:$A$1734,A9)</x:f>
        <x:v>1</x:v>
      </x:c>
    </x:row>
    <x:row r="10">
      <x:c r="A10" s="9" t="str">
        <x:v>EV-AR-CT-C-B-TECH-1-B2-RCN-G0-OG04</x:v>
      </x:c>
      <x:c r="B10" s="9" t="str">
        <x:v>EV-AR-CT-C-B-TECH-1-B2-RCN-G0</x:v>
      </x:c>
      <x:c r="C10" s="9" t="str">
        <x:v>AR-CT-C-B-TECH-1-B2-RCN-G0</x:v>
      </x:c>
      <x:c r="D10" s="9" t="str">
        <x:v>CT-C-B-TECH-1</x:v>
      </x:c>
      <x:c r="E10" s="9" t="str">
        <x:v>CT-C-B</x:v>
      </x:c>
      <x:c r="F10" s="9" t="str">
        <x:v>B2</x:v>
      </x:c>
      <x:c r="G10" s="9" t="str">
        <x:v>RCN</x:v>
      </x:c>
      <x:c r="H10" s="9" t="str">
        <x:v>OG04</x:v>
      </x:c>
      <x:c r="I10" s="17" t="str">
        <x:v>Raw completeness</x:v>
      </x:c>
      <x:c r="J10" s="17" t="str">
        <x:v>missingness is enumerated without imputation or outcome-conditioned deletion</x:v>
      </x:c>
      <x:c r="K10" s="17" t="str">
        <x:v>Observation court</x:v>
      </x:c>
      <x:c r="L10" s="9" t="n">
        <x:v>0</x:v>
      </x:c>
      <x:c r="M10" s="9" t="n">
        <x:v>0</x:v>
      </x:c>
      <x:c r="N10" s="9" t="str">
        <x:v>OPEN / UNACCEPTED</x:v>
      </x:c>
      <x:c r="O10" s="9" t="n">
        <x:f>COUNTIFS($A$7:$A$1734,A10)</x:f>
        <x:v>1</x:v>
      </x:c>
    </x:row>
    <x:row r="11">
      <x:c r="A11" s="9" t="str">
        <x:v>EV-AR-CT-C-B-TECH-1-B2-RCN-G0-OG05</x:v>
      </x:c>
      <x:c r="B11" s="9" t="str">
        <x:v>EV-AR-CT-C-B-TECH-1-B2-RCN-G0</x:v>
      </x:c>
      <x:c r="C11" s="9" t="str">
        <x:v>AR-CT-C-B-TECH-1-B2-RCN-G0</x:v>
      </x:c>
      <x:c r="D11" s="9" t="str">
        <x:v>CT-C-B-TECH-1</x:v>
      </x:c>
      <x:c r="E11" s="9" t="str">
        <x:v>CT-C-B</x:v>
      </x:c>
      <x:c r="F11" s="9" t="str">
        <x:v>B2</x:v>
      </x:c>
      <x:c r="G11" s="9" t="str">
        <x:v>RCN</x:v>
      </x:c>
      <x:c r="H11" s="9" t="str">
        <x:v>OG05</x:v>
      </x:c>
      <x:c r="I11" s="17" t="str">
        <x:v>Primary provenance</x:v>
      </x:c>
      <x:c r="J11" s="17" t="str">
        <x:v>primary originals, hashes, keys and access history reconcile</x:v>
      </x:c>
      <x:c r="K11" s="17" t="str">
        <x:v>Primary custody</x:v>
      </x:c>
      <x:c r="L11" s="9" t="n">
        <x:v>0</x:v>
      </x:c>
      <x:c r="M11" s="9" t="n">
        <x:v>0</x:v>
      </x:c>
      <x:c r="N11" s="9" t="str">
        <x:v>OPEN / UNACCEPTED</x:v>
      </x:c>
      <x:c r="O11" s="9" t="n">
        <x:f>COUNTIFS($A$7:$A$1734,A11)</x:f>
        <x:v>1</x:v>
      </x:c>
    </x:row>
    <x:row r="12">
      <x:c r="A12" s="9" t="str">
        <x:v>EV-AR-CT-C-B-TECH-1-B2-RCN-G0-OG06</x:v>
      </x:c>
      <x:c r="B12" s="9" t="str">
        <x:v>EV-AR-CT-C-B-TECH-1-B2-RCN-G0</x:v>
      </x:c>
      <x:c r="C12" s="9" t="str">
        <x:v>AR-CT-C-B-TECH-1-B2-RCN-G0</x:v>
      </x:c>
      <x:c r="D12" s="9" t="str">
        <x:v>CT-C-B-TECH-1</x:v>
      </x:c>
      <x:c r="E12" s="9" t="str">
        <x:v>CT-C-B</x:v>
      </x:c>
      <x:c r="F12" s="9" t="str">
        <x:v>B2</x:v>
      </x:c>
      <x:c r="G12" s="9" t="str">
        <x:v>RCN</x:v>
      </x:c>
      <x:c r="H12" s="9" t="str">
        <x:v>OG06</x:v>
      </x:c>
      <x:c r="I12" s="17" t="str">
        <x:v>Witness provenance</x:v>
      </x:c>
      <x:c r="J12" s="17" t="str">
        <x:v>unlike witness originals, hashes, keys and access history reconcile</x:v>
      </x:c>
      <x:c r="K12" s="17" t="str">
        <x:v>Witness custody</x:v>
      </x:c>
      <x:c r="L12" s="9" t="n">
        <x:v>0</x:v>
      </x:c>
      <x:c r="M12" s="9" t="n">
        <x:v>0</x:v>
      </x:c>
      <x:c r="N12" s="9" t="str">
        <x:v>OPEN / UNACCEPTED</x:v>
      </x:c>
      <x:c r="O12" s="9" t="n">
        <x:f>COUNTIFS($A$7:$A$1734,A12)</x:f>
        <x:v>1</x:v>
      </x:c>
    </x:row>
    <x:row r="13">
      <x:c r="A13" s="9" t="str">
        <x:v>EV-AR-CT-C-B-TECH-1-B2-RCN-G0-OG07</x:v>
      </x:c>
      <x:c r="B13" s="9" t="str">
        <x:v>EV-AR-CT-C-B-TECH-1-B2-RCN-G0</x:v>
      </x:c>
      <x:c r="C13" s="9" t="str">
        <x:v>AR-CT-C-B-TECH-1-B2-RCN-G0</x:v>
      </x:c>
      <x:c r="D13" s="9" t="str">
        <x:v>CT-C-B-TECH-1</x:v>
      </x:c>
      <x:c r="E13" s="9" t="str">
        <x:v>CT-C-B</x:v>
      </x:c>
      <x:c r="F13" s="9" t="str">
        <x:v>B2</x:v>
      </x:c>
      <x:c r="G13" s="9" t="str">
        <x:v>RCN</x:v>
      </x:c>
      <x:c r="H13" s="9" t="str">
        <x:v>OG07</x:v>
      </x:c>
      <x:c r="I13" s="17" t="str">
        <x:v>Receiver denominator</x:v>
      </x:c>
      <x:c r="J13" s="17" t="str">
        <x:v>population, quantity, duration and exclusions match the frozen receipt</x:v>
      </x:c>
      <x:c r="K13" s="17" t="str">
        <x:v>Receiver court</x:v>
      </x:c>
      <x:c r="L13" s="9" t="n">
        <x:v>0</x:v>
      </x:c>
      <x:c r="M13" s="9" t="n">
        <x:v>0</x:v>
      </x:c>
      <x:c r="N13" s="9" t="str">
        <x:v>OPEN / UNACCEPTED</x:v>
      </x:c>
      <x:c r="O13" s="9" t="n">
        <x:f>COUNTIFS($A$7:$A$1734,A13)</x:f>
        <x:v>1</x:v>
      </x:c>
    </x:row>
    <x:row r="14">
      <x:c r="A14" s="9" t="str">
        <x:v>EV-AR-CT-C-B-TECH-1-B2-RCN-G0-OG08</x:v>
      </x:c>
      <x:c r="B14" s="9" t="str">
        <x:v>EV-AR-CT-C-B-TECH-1-B2-RCN-G0</x:v>
      </x:c>
      <x:c r="C14" s="9" t="str">
        <x:v>AR-CT-C-B-TECH-1-B2-RCN-G0</x:v>
      </x:c>
      <x:c r="D14" s="9" t="str">
        <x:v>CT-C-B-TECH-1</x:v>
      </x:c>
      <x:c r="E14" s="9" t="str">
        <x:v>CT-C-B</x:v>
      </x:c>
      <x:c r="F14" s="9" t="str">
        <x:v>B2</x:v>
      </x:c>
      <x:c r="G14" s="9" t="str">
        <x:v>RCN</x:v>
      </x:c>
      <x:c r="H14" s="9" t="str">
        <x:v>OG08</x:v>
      </x:c>
      <x:c r="I14" s="17" t="str">
        <x:v>Environment and boundary</x:v>
      </x:c>
      <x:c r="J14" s="17" t="str">
        <x:v>registered weather, water, ground, inlet and outlet states are retained</x:v>
      </x:c>
      <x:c r="K14" s="17" t="str">
        <x:v>Boundary court</x:v>
      </x:c>
      <x:c r="L14" s="9" t="n">
        <x:v>0</x:v>
      </x:c>
      <x:c r="M14" s="9" t="n">
        <x:v>0</x:v>
      </x:c>
      <x:c r="N14" s="9" t="str">
        <x:v>OPEN / UNACCEPTED</x:v>
      </x:c>
      <x:c r="O14" s="9" t="n">
        <x:f>COUNTIFS($A$7:$A$1734,A14)</x:f>
        <x:v>1</x:v>
      </x:c>
    </x:row>
    <x:row r="15">
      <x:c r="A15" s="9" t="str">
        <x:v>EV-AR-CT-C-B-TECH-1-B2-RCN-G0-OG09</x:v>
      </x:c>
      <x:c r="B15" s="9" t="str">
        <x:v>EV-AR-CT-C-B-TECH-1-B2-RCN-G0</x:v>
      </x:c>
      <x:c r="C15" s="9" t="str">
        <x:v>AR-CT-C-B-TECH-1-B2-RCN-G0</x:v>
      </x:c>
      <x:c r="D15" s="9" t="str">
        <x:v>CT-C-B-TECH-1</x:v>
      </x:c>
      <x:c r="E15" s="9" t="str">
        <x:v>CT-C-B</x:v>
      </x:c>
      <x:c r="F15" s="9" t="str">
        <x:v>B2</x:v>
      </x:c>
      <x:c r="G15" s="9" t="str">
        <x:v>RCN</x:v>
      </x:c>
      <x:c r="H15" s="9" t="str">
        <x:v>OG09</x:v>
      </x:c>
      <x:c r="I15" s="17" t="str">
        <x:v>Intervention account</x:v>
      </x:c>
      <x:c r="J15" s="17" t="str">
        <x:v>all stop, rescue, operator and public-protection actions remain timestamped</x:v>
      </x:c>
      <x:c r="K15" s="17" t="str">
        <x:v>Safety record court</x:v>
      </x:c>
      <x:c r="L15" s="9" t="n">
        <x:v>0</x:v>
      </x:c>
      <x:c r="M15" s="9" t="n">
        <x:v>0</x:v>
      </x:c>
      <x:c r="N15" s="9" t="str">
        <x:v>OPEN / UNACCEPTED</x:v>
      </x:c>
      <x:c r="O15" s="9" t="n">
        <x:f>COUNTIFS($A$7:$A$1734,A15)</x:f>
        <x:v>1</x:v>
      </x:c>
    </x:row>
    <x:row r="16">
      <x:c r="A16" s="9" t="str">
        <x:v>EV-AR-CT-C-B-TECH-1-B2-RCN-G0-OG10</x:v>
      </x:c>
      <x:c r="B16" s="9" t="str">
        <x:v>EV-AR-CT-C-B-TECH-1-B2-RCN-G0</x:v>
      </x:c>
      <x:c r="C16" s="9" t="str">
        <x:v>AR-CT-C-B-TECH-1-B2-RCN-G0</x:v>
      </x:c>
      <x:c r="D16" s="9" t="str">
        <x:v>CT-C-B-TECH-1</x:v>
      </x:c>
      <x:c r="E16" s="9" t="str">
        <x:v>CT-C-B</x:v>
      </x:c>
      <x:c r="F16" s="9" t="str">
        <x:v>B2</x:v>
      </x:c>
      <x:c r="G16" s="9" t="str">
        <x:v>RCN</x:v>
      </x:c>
      <x:c r="H16" s="9" t="str">
        <x:v>OG10</x:v>
      </x:c>
      <x:c r="I16" s="17" t="str">
        <x:v>Uncertainty statement</x:v>
      </x:c>
      <x:c r="J16" s="17" t="str">
        <x:v>range, censoring, resolution and correlation are declared before judgment</x:v>
      </x:c>
      <x:c r="K16" s="17" t="str">
        <x:v>Uncertainty authority</x:v>
      </x:c>
      <x:c r="L16" s="9" t="n">
        <x:v>0</x:v>
      </x:c>
      <x:c r="M16" s="9" t="n">
        <x:v>0</x:v>
      </x:c>
      <x:c r="N16" s="9" t="str">
        <x:v>OPEN / UNACCEPTED</x:v>
      </x:c>
      <x:c r="O16" s="9" t="n">
        <x:f>COUNTIFS($A$7:$A$1734,A16)</x:f>
        <x:v>1</x:v>
      </x:c>
    </x:row>
    <x:row r="17">
      <x:c r="A17" s="9" t="str">
        <x:v>EV-AR-CT-C-B-TECH-1-B2-RCN-G0-OG11</x:v>
      </x:c>
      <x:c r="B17" s="9" t="str">
        <x:v>EV-AR-CT-C-B-TECH-1-B2-RCN-G0</x:v>
      </x:c>
      <x:c r="C17" s="9" t="str">
        <x:v>AR-CT-C-B-TECH-1-B2-RCN-G0</x:v>
      </x:c>
      <x:c r="D17" s="9" t="str">
        <x:v>CT-C-B-TECH-1</x:v>
      </x:c>
      <x:c r="E17" s="9" t="str">
        <x:v>CT-C-B</x:v>
      </x:c>
      <x:c r="F17" s="9" t="str">
        <x:v>B2</x:v>
      </x:c>
      <x:c r="G17" s="9" t="str">
        <x:v>RCN</x:v>
      </x:c>
      <x:c r="H17" s="9" t="str">
        <x:v>OG11</x:v>
      </x:c>
      <x:c r="I17" s="17" t="str">
        <x:v>Contradiction preservation</x:v>
      </x:c>
      <x:c r="J17" s="17" t="str">
        <x:v>primary-witness disagreement remains explicit and is never averaged away</x:v>
      </x:c>
      <x:c r="K17" s="17" t="str">
        <x:v>Dissent registrar</x:v>
      </x:c>
      <x:c r="L17" s="9" t="n">
        <x:v>0</x:v>
      </x:c>
      <x:c r="M17" s="9" t="n">
        <x:v>0</x:v>
      </x:c>
      <x:c r="N17" s="9" t="str">
        <x:v>OPEN / UNACCEPTED</x:v>
      </x:c>
      <x:c r="O17" s="9" t="n">
        <x:f>COUNTIFS($A$7:$A$1734,A17)</x:f>
        <x:v>1</x:v>
      </x:c>
    </x:row>
    <x:row r="18">
      <x:c r="A18" s="9" t="str">
        <x:v>EV-AR-CT-C-B-TECH-1-B2-RCN-G0-OG12</x:v>
      </x:c>
      <x:c r="B18" s="9" t="str">
        <x:v>EV-AR-CT-C-B-TECH-1-B2-RCN-G0</x:v>
      </x:c>
      <x:c r="C18" s="9" t="str">
        <x:v>AR-CT-C-B-TECH-1-B2-RCN-G0</x:v>
      </x:c>
      <x:c r="D18" s="9" t="str">
        <x:v>CT-C-B-TECH-1</x:v>
      </x:c>
      <x:c r="E18" s="9" t="str">
        <x:v>CT-C-B</x:v>
      </x:c>
      <x:c r="F18" s="9" t="str">
        <x:v>B2</x:v>
      </x:c>
      <x:c r="G18" s="9" t="str">
        <x:v>RCN</x:v>
      </x:c>
      <x:c r="H18" s="9" t="str">
        <x:v>OG12</x:v>
      </x:c>
      <x:c r="I18" s="17" t="str">
        <x:v>Independent replay</x:v>
      </x:c>
      <x:c r="J18" s="17" t="str">
        <x:v>a separated reader reconstructs the registered observables from sealed originals</x:v>
      </x:c>
      <x:c r="K18" s="17" t="str">
        <x:v>Replay court</x:v>
      </x:c>
      <x:c r="L18" s="9" t="n">
        <x:v>0</x:v>
      </x:c>
      <x:c r="M18" s="9" t="n">
        <x:v>0</x:v>
      </x:c>
      <x:c r="N18" s="9" t="str">
        <x:v>OPEN / UNACCEPTED</x:v>
      </x:c>
      <x:c r="O18" s="9" t="n">
        <x:f>COUNTIFS($A$7:$A$1734,A18)</x:f>
        <x:v>1</x:v>
      </x:c>
    </x:row>
    <x:row r="19">
      <x:c r="A19" s="9" t="str">
        <x:v>EV-AR-CT-C-B-TECH-3-B2-BRK-G0-OG01</x:v>
      </x:c>
      <x:c r="B19" s="9" t="str">
        <x:v>EV-AR-CT-C-B-TECH-3-B2-BRK-G0</x:v>
      </x:c>
      <x:c r="C19" s="9" t="str">
        <x:v>AR-CT-C-B-TECH-3-B2-BRK-G0</x:v>
      </x:c>
      <x:c r="D19" s="9" t="str">
        <x:v>CT-C-B-TECH-3</x:v>
      </x:c>
      <x:c r="E19" s="9" t="str">
        <x:v>CT-C-B</x:v>
      </x:c>
      <x:c r="F19" s="9" t="str">
        <x:v>B2</x:v>
      </x:c>
      <x:c r="G19" s="9" t="str">
        <x:v>BRK</x:v>
      </x:c>
      <x:c r="H19" s="9" t="str">
        <x:v>OG01</x:v>
      </x:c>
      <x:c r="I19" s="17" t="str">
        <x:v>Serial and event identity</x:v>
      </x:c>
      <x:c r="J19" s="17" t="str">
        <x:v>record resolves to the issued serial, generation and physical start</x:v>
      </x:c>
      <x:c r="K19" s="17" t="str">
        <x:v>Observation court</x:v>
      </x:c>
      <x:c r="L19" s="9" t="n">
        <x:v>0</x:v>
      </x:c>
      <x:c r="M19" s="9" t="n">
        <x:v>0</x:v>
      </x:c>
      <x:c r="N19" s="9" t="str">
        <x:v>OPEN / UNACCEPTED</x:v>
      </x:c>
      <x:c r="O19" s="9" t="n">
        <x:f>COUNTIFS($A$7:$A$1734,A19)</x:f>
        <x:v>1</x:v>
      </x:c>
    </x:row>
    <x:row r="20">
      <x:c r="A20" s="9" t="str">
        <x:v>EV-AR-CT-C-B-TECH-3-B2-BRK-G0-OG02</x:v>
      </x:c>
      <x:c r="B20" s="9" t="str">
        <x:v>EV-AR-CT-C-B-TECH-3-B2-BRK-G0</x:v>
      </x:c>
      <x:c r="C20" s="9" t="str">
        <x:v>AR-CT-C-B-TECH-3-B2-BRK-G0</x:v>
      </x:c>
      <x:c r="D20" s="9" t="str">
        <x:v>CT-C-B-TECH-3</x:v>
      </x:c>
      <x:c r="E20" s="9" t="str">
        <x:v>CT-C-B</x:v>
      </x:c>
      <x:c r="F20" s="9" t="str">
        <x:v>B2</x:v>
      </x:c>
      <x:c r="G20" s="9" t="str">
        <x:v>BRK</x:v>
      </x:c>
      <x:c r="H20" s="9" t="str">
        <x:v>OG02</x:v>
      </x:c>
      <x:c r="I20" s="17" t="str">
        <x:v>Time ancestry</x:v>
      </x:c>
      <x:c r="J20" s="17" t="str">
        <x:v>primary, witness and public event clocks retain declared offsets and drift</x:v>
      </x:c>
      <x:c r="K20" s="17" t="str">
        <x:v>Time authority</x:v>
      </x:c>
      <x:c r="L20" s="9" t="n">
        <x:v>0</x:v>
      </x:c>
      <x:c r="M20" s="9" t="n">
        <x:v>0</x:v>
      </x:c>
      <x:c r="N20" s="9" t="str">
        <x:v>OPEN / UNACCEPTED</x:v>
      </x:c>
      <x:c r="O20" s="9" t="n">
        <x:f>COUNTIFS($A$7:$A$1734,A20)</x:f>
        <x:v>1</x:v>
      </x:c>
    </x:row>
    <x:row r="21">
      <x:c r="A21" s="9" t="str">
        <x:v>EV-AR-CT-C-B-TECH-3-B2-BRK-G0-OG03</x:v>
      </x:c>
      <x:c r="B21" s="9" t="str">
        <x:v>EV-AR-CT-C-B-TECH-3-B2-BRK-G0</x:v>
      </x:c>
      <x:c r="C21" s="9" t="str">
        <x:v>AR-CT-C-B-TECH-3-B2-BRK-G0</x:v>
      </x:c>
      <x:c r="D21" s="9" t="str">
        <x:v>CT-C-B-TECH-3</x:v>
      </x:c>
      <x:c r="E21" s="9" t="str">
        <x:v>CT-C-B</x:v>
      </x:c>
      <x:c r="F21" s="9" t="str">
        <x:v>B2</x:v>
      </x:c>
      <x:c r="G21" s="9" t="str">
        <x:v>BRK</x:v>
      </x:c>
      <x:c r="H21" s="9" t="str">
        <x:v>OG03</x:v>
      </x:c>
      <x:c r="I21" s="17" t="str">
        <x:v>Calibration ancestry</x:v>
      </x:c>
      <x:c r="J21" s="17" t="str">
        <x:v>all reference, range and uncertainty states cover the live interval</x:v>
      </x:c>
      <x:c r="K21" s="17" t="str">
        <x:v>Metrology courts</x:v>
      </x:c>
      <x:c r="L21" s="9" t="n">
        <x:v>0</x:v>
      </x:c>
      <x:c r="M21" s="9" t="n">
        <x:v>0</x:v>
      </x:c>
      <x:c r="N21" s="9" t="str">
        <x:v>OPEN / UNACCEPTED</x:v>
      </x:c>
      <x:c r="O21" s="9" t="n">
        <x:f>COUNTIFS($A$7:$A$1734,A21)</x:f>
        <x:v>1</x:v>
      </x:c>
    </x:row>
    <x:row r="22">
      <x:c r="A22" s="9" t="str">
        <x:v>EV-AR-CT-C-B-TECH-3-B2-BRK-G0-OG04</x:v>
      </x:c>
      <x:c r="B22" s="9" t="str">
        <x:v>EV-AR-CT-C-B-TECH-3-B2-BRK-G0</x:v>
      </x:c>
      <x:c r="C22" s="9" t="str">
        <x:v>AR-CT-C-B-TECH-3-B2-BRK-G0</x:v>
      </x:c>
      <x:c r="D22" s="9" t="str">
        <x:v>CT-C-B-TECH-3</x:v>
      </x:c>
      <x:c r="E22" s="9" t="str">
        <x:v>CT-C-B</x:v>
      </x:c>
      <x:c r="F22" s="9" t="str">
        <x:v>B2</x:v>
      </x:c>
      <x:c r="G22" s="9" t="str">
        <x:v>BRK</x:v>
      </x:c>
      <x:c r="H22" s="9" t="str">
        <x:v>OG04</x:v>
      </x:c>
      <x:c r="I22" s="17" t="str">
        <x:v>Raw completeness</x:v>
      </x:c>
      <x:c r="J22" s="17" t="str">
        <x:v>missingness is enumerated without imputation or outcome-conditioned deletion</x:v>
      </x:c>
      <x:c r="K22" s="17" t="str">
        <x:v>Observation court</x:v>
      </x:c>
      <x:c r="L22" s="9" t="n">
        <x:v>0</x:v>
      </x:c>
      <x:c r="M22" s="9" t="n">
        <x:v>0</x:v>
      </x:c>
      <x:c r="N22" s="9" t="str">
        <x:v>OPEN / UNACCEPTED</x:v>
      </x:c>
      <x:c r="O22" s="9" t="n">
        <x:f>COUNTIFS($A$7:$A$1734,A22)</x:f>
        <x:v>1</x:v>
      </x:c>
    </x:row>
    <x:row r="23">
      <x:c r="A23" s="9" t="str">
        <x:v>EV-AR-CT-C-B-TECH-3-B2-BRK-G0-OG05</x:v>
      </x:c>
      <x:c r="B23" s="9" t="str">
        <x:v>EV-AR-CT-C-B-TECH-3-B2-BRK-G0</x:v>
      </x:c>
      <x:c r="C23" s="9" t="str">
        <x:v>AR-CT-C-B-TECH-3-B2-BRK-G0</x:v>
      </x:c>
      <x:c r="D23" s="9" t="str">
        <x:v>CT-C-B-TECH-3</x:v>
      </x:c>
      <x:c r="E23" s="9" t="str">
        <x:v>CT-C-B</x:v>
      </x:c>
      <x:c r="F23" s="9" t="str">
        <x:v>B2</x:v>
      </x:c>
      <x:c r="G23" s="9" t="str">
        <x:v>BRK</x:v>
      </x:c>
      <x:c r="H23" s="9" t="str">
        <x:v>OG05</x:v>
      </x:c>
      <x:c r="I23" s="17" t="str">
        <x:v>Primary provenance</x:v>
      </x:c>
      <x:c r="J23" s="17" t="str">
        <x:v>primary originals, hashes, keys and access history reconcile</x:v>
      </x:c>
      <x:c r="K23" s="17" t="str">
        <x:v>Primary custody</x:v>
      </x:c>
      <x:c r="L23" s="9" t="n">
        <x:v>0</x:v>
      </x:c>
      <x:c r="M23" s="9" t="n">
        <x:v>0</x:v>
      </x:c>
      <x:c r="N23" s="9" t="str">
        <x:v>OPEN / UNACCEPTED</x:v>
      </x:c>
      <x:c r="O23" s="9" t="n">
        <x:f>COUNTIFS($A$7:$A$1734,A23)</x:f>
        <x:v>1</x:v>
      </x:c>
    </x:row>
    <x:row r="24">
      <x:c r="A24" s="9" t="str">
        <x:v>EV-AR-CT-C-B-TECH-3-B2-BRK-G0-OG06</x:v>
      </x:c>
      <x:c r="B24" s="9" t="str">
        <x:v>EV-AR-CT-C-B-TECH-3-B2-BRK-G0</x:v>
      </x:c>
      <x:c r="C24" s="9" t="str">
        <x:v>AR-CT-C-B-TECH-3-B2-BRK-G0</x:v>
      </x:c>
      <x:c r="D24" s="9" t="str">
        <x:v>CT-C-B-TECH-3</x:v>
      </x:c>
      <x:c r="E24" s="9" t="str">
        <x:v>CT-C-B</x:v>
      </x:c>
      <x:c r="F24" s="9" t="str">
        <x:v>B2</x:v>
      </x:c>
      <x:c r="G24" s="9" t="str">
        <x:v>BRK</x:v>
      </x:c>
      <x:c r="H24" s="9" t="str">
        <x:v>OG06</x:v>
      </x:c>
      <x:c r="I24" s="17" t="str">
        <x:v>Witness provenance</x:v>
      </x:c>
      <x:c r="J24" s="17" t="str">
        <x:v>unlike witness originals, hashes, keys and access history reconcile</x:v>
      </x:c>
      <x:c r="K24" s="17" t="str">
        <x:v>Witness custody</x:v>
      </x:c>
      <x:c r="L24" s="9" t="n">
        <x:v>0</x:v>
      </x:c>
      <x:c r="M24" s="9" t="n">
        <x:v>0</x:v>
      </x:c>
      <x:c r="N24" s="9" t="str">
        <x:v>OPEN / UNACCEPTED</x:v>
      </x:c>
      <x:c r="O24" s="9" t="n">
        <x:f>COUNTIFS($A$7:$A$1734,A24)</x:f>
        <x:v>1</x:v>
      </x:c>
    </x:row>
    <x:row r="25">
      <x:c r="A25" s="9" t="str">
        <x:v>EV-AR-CT-C-B-TECH-3-B2-BRK-G0-OG07</x:v>
      </x:c>
      <x:c r="B25" s="9" t="str">
        <x:v>EV-AR-CT-C-B-TECH-3-B2-BRK-G0</x:v>
      </x:c>
      <x:c r="C25" s="9" t="str">
        <x:v>AR-CT-C-B-TECH-3-B2-BRK-G0</x:v>
      </x:c>
      <x:c r="D25" s="9" t="str">
        <x:v>CT-C-B-TECH-3</x:v>
      </x:c>
      <x:c r="E25" s="9" t="str">
        <x:v>CT-C-B</x:v>
      </x:c>
      <x:c r="F25" s="9" t="str">
        <x:v>B2</x:v>
      </x:c>
      <x:c r="G25" s="9" t="str">
        <x:v>BRK</x:v>
      </x:c>
      <x:c r="H25" s="9" t="str">
        <x:v>OG07</x:v>
      </x:c>
      <x:c r="I25" s="17" t="str">
        <x:v>Receiver denominator</x:v>
      </x:c>
      <x:c r="J25" s="17" t="str">
        <x:v>population, quantity, duration and exclusions match the frozen receipt</x:v>
      </x:c>
      <x:c r="K25" s="17" t="str">
        <x:v>Receiver court</x:v>
      </x:c>
      <x:c r="L25" s="9" t="n">
        <x:v>0</x:v>
      </x:c>
      <x:c r="M25" s="9" t="n">
        <x:v>0</x:v>
      </x:c>
      <x:c r="N25" s="9" t="str">
        <x:v>OPEN / UNACCEPTED</x:v>
      </x:c>
      <x:c r="O25" s="9" t="n">
        <x:f>COUNTIFS($A$7:$A$1734,A25)</x:f>
        <x:v>1</x:v>
      </x:c>
    </x:row>
    <x:row r="26">
      <x:c r="A26" s="9" t="str">
        <x:v>EV-AR-CT-C-B-TECH-3-B2-BRK-G0-OG08</x:v>
      </x:c>
      <x:c r="B26" s="9" t="str">
        <x:v>EV-AR-CT-C-B-TECH-3-B2-BRK-G0</x:v>
      </x:c>
      <x:c r="C26" s="9" t="str">
        <x:v>AR-CT-C-B-TECH-3-B2-BRK-G0</x:v>
      </x:c>
      <x:c r="D26" s="9" t="str">
        <x:v>CT-C-B-TECH-3</x:v>
      </x:c>
      <x:c r="E26" s="9" t="str">
        <x:v>CT-C-B</x:v>
      </x:c>
      <x:c r="F26" s="9" t="str">
        <x:v>B2</x:v>
      </x:c>
      <x:c r="G26" s="9" t="str">
        <x:v>BRK</x:v>
      </x:c>
      <x:c r="H26" s="9" t="str">
        <x:v>OG08</x:v>
      </x:c>
      <x:c r="I26" s="17" t="str">
        <x:v>Environment and boundary</x:v>
      </x:c>
      <x:c r="J26" s="17" t="str">
        <x:v>registered weather, water, ground, inlet and outlet states are retained</x:v>
      </x:c>
      <x:c r="K26" s="17" t="str">
        <x:v>Boundary court</x:v>
      </x:c>
      <x:c r="L26" s="9" t="n">
        <x:v>0</x:v>
      </x:c>
      <x:c r="M26" s="9" t="n">
        <x:v>0</x:v>
      </x:c>
      <x:c r="N26" s="9" t="str">
        <x:v>OPEN / UNACCEPTED</x:v>
      </x:c>
      <x:c r="O26" s="9" t="n">
        <x:f>COUNTIFS($A$7:$A$1734,A26)</x:f>
        <x:v>1</x:v>
      </x:c>
    </x:row>
    <x:row r="27">
      <x:c r="A27" s="9" t="str">
        <x:v>EV-AR-CT-C-B-TECH-3-B2-BRK-G0-OG09</x:v>
      </x:c>
      <x:c r="B27" s="9" t="str">
        <x:v>EV-AR-CT-C-B-TECH-3-B2-BRK-G0</x:v>
      </x:c>
      <x:c r="C27" s="9" t="str">
        <x:v>AR-CT-C-B-TECH-3-B2-BRK-G0</x:v>
      </x:c>
      <x:c r="D27" s="9" t="str">
        <x:v>CT-C-B-TECH-3</x:v>
      </x:c>
      <x:c r="E27" s="9" t="str">
        <x:v>CT-C-B</x:v>
      </x:c>
      <x:c r="F27" s="9" t="str">
        <x:v>B2</x:v>
      </x:c>
      <x:c r="G27" s="9" t="str">
        <x:v>BRK</x:v>
      </x:c>
      <x:c r="H27" s="9" t="str">
        <x:v>OG09</x:v>
      </x:c>
      <x:c r="I27" s="17" t="str">
        <x:v>Intervention account</x:v>
      </x:c>
      <x:c r="J27" s="17" t="str">
        <x:v>all stop, rescue, operator and public-protection actions remain timestamped</x:v>
      </x:c>
      <x:c r="K27" s="17" t="str">
        <x:v>Safety record court</x:v>
      </x:c>
      <x:c r="L27" s="9" t="n">
        <x:v>0</x:v>
      </x:c>
      <x:c r="M27" s="9" t="n">
        <x:v>0</x:v>
      </x:c>
      <x:c r="N27" s="9" t="str">
        <x:v>OPEN / UNACCEPTED</x:v>
      </x:c>
      <x:c r="O27" s="9" t="n">
        <x:f>COUNTIFS($A$7:$A$1734,A27)</x:f>
        <x:v>1</x:v>
      </x:c>
    </x:row>
    <x:row r="28">
      <x:c r="A28" s="9" t="str">
        <x:v>EV-AR-CT-C-B-TECH-3-B2-BRK-G0-OG10</x:v>
      </x:c>
      <x:c r="B28" s="9" t="str">
        <x:v>EV-AR-CT-C-B-TECH-3-B2-BRK-G0</x:v>
      </x:c>
      <x:c r="C28" s="9" t="str">
        <x:v>AR-CT-C-B-TECH-3-B2-BRK-G0</x:v>
      </x:c>
      <x:c r="D28" s="9" t="str">
        <x:v>CT-C-B-TECH-3</x:v>
      </x:c>
      <x:c r="E28" s="9" t="str">
        <x:v>CT-C-B</x:v>
      </x:c>
      <x:c r="F28" s="9" t="str">
        <x:v>B2</x:v>
      </x:c>
      <x:c r="G28" s="9" t="str">
        <x:v>BRK</x:v>
      </x:c>
      <x:c r="H28" s="9" t="str">
        <x:v>OG10</x:v>
      </x:c>
      <x:c r="I28" s="17" t="str">
        <x:v>Uncertainty statement</x:v>
      </x:c>
      <x:c r="J28" s="17" t="str">
        <x:v>range, censoring, resolution and correlation are declared before judgment</x:v>
      </x:c>
      <x:c r="K28" s="17" t="str">
        <x:v>Uncertainty authority</x:v>
      </x:c>
      <x:c r="L28" s="9" t="n">
        <x:v>0</x:v>
      </x:c>
      <x:c r="M28" s="9" t="n">
        <x:v>0</x:v>
      </x:c>
      <x:c r="N28" s="9" t="str">
        <x:v>OPEN / UNACCEPTED</x:v>
      </x:c>
      <x:c r="O28" s="9" t="n">
        <x:f>COUNTIFS($A$7:$A$1734,A28)</x:f>
        <x:v>1</x:v>
      </x:c>
    </x:row>
    <x:row r="29">
      <x:c r="A29" s="9" t="str">
        <x:v>EV-AR-CT-C-B-TECH-3-B2-BRK-G0-OG11</x:v>
      </x:c>
      <x:c r="B29" s="9" t="str">
        <x:v>EV-AR-CT-C-B-TECH-3-B2-BRK-G0</x:v>
      </x:c>
      <x:c r="C29" s="9" t="str">
        <x:v>AR-CT-C-B-TECH-3-B2-BRK-G0</x:v>
      </x:c>
      <x:c r="D29" s="9" t="str">
        <x:v>CT-C-B-TECH-3</x:v>
      </x:c>
      <x:c r="E29" s="9" t="str">
        <x:v>CT-C-B</x:v>
      </x:c>
      <x:c r="F29" s="9" t="str">
        <x:v>B2</x:v>
      </x:c>
      <x:c r="G29" s="9" t="str">
        <x:v>BRK</x:v>
      </x:c>
      <x:c r="H29" s="9" t="str">
        <x:v>OG11</x:v>
      </x:c>
      <x:c r="I29" s="17" t="str">
        <x:v>Contradiction preservation</x:v>
      </x:c>
      <x:c r="J29" s="17" t="str">
        <x:v>primary-witness disagreement remains explicit and is never averaged away</x:v>
      </x:c>
      <x:c r="K29" s="17" t="str">
        <x:v>Dissent registrar</x:v>
      </x:c>
      <x:c r="L29" s="9" t="n">
        <x:v>0</x:v>
      </x:c>
      <x:c r="M29" s="9" t="n">
        <x:v>0</x:v>
      </x:c>
      <x:c r="N29" s="9" t="str">
        <x:v>OPEN / UNACCEPTED</x:v>
      </x:c>
      <x:c r="O29" s="9" t="n">
        <x:f>COUNTIFS($A$7:$A$1734,A29)</x:f>
        <x:v>1</x:v>
      </x:c>
    </x:row>
    <x:row r="30">
      <x:c r="A30" s="9" t="str">
        <x:v>EV-AR-CT-C-B-TECH-3-B2-BRK-G0-OG12</x:v>
      </x:c>
      <x:c r="B30" s="9" t="str">
        <x:v>EV-AR-CT-C-B-TECH-3-B2-BRK-G0</x:v>
      </x:c>
      <x:c r="C30" s="9" t="str">
        <x:v>AR-CT-C-B-TECH-3-B2-BRK-G0</x:v>
      </x:c>
      <x:c r="D30" s="9" t="str">
        <x:v>CT-C-B-TECH-3</x:v>
      </x:c>
      <x:c r="E30" s="9" t="str">
        <x:v>CT-C-B</x:v>
      </x:c>
      <x:c r="F30" s="9" t="str">
        <x:v>B2</x:v>
      </x:c>
      <x:c r="G30" s="9" t="str">
        <x:v>BRK</x:v>
      </x:c>
      <x:c r="H30" s="9" t="str">
        <x:v>OG12</x:v>
      </x:c>
      <x:c r="I30" s="17" t="str">
        <x:v>Independent replay</x:v>
      </x:c>
      <x:c r="J30" s="17" t="str">
        <x:v>a separated reader reconstructs the registered observables from sealed originals</x:v>
      </x:c>
      <x:c r="K30" s="17" t="str">
        <x:v>Replay court</x:v>
      </x:c>
      <x:c r="L30" s="9" t="n">
        <x:v>0</x:v>
      </x:c>
      <x:c r="M30" s="9" t="n">
        <x:v>0</x:v>
      </x:c>
      <x:c r="N30" s="9" t="str">
        <x:v>OPEN / UNACCEPTED</x:v>
      </x:c>
      <x:c r="O30" s="9" t="n">
        <x:f>COUNTIFS($A$7:$A$1734,A30)</x:f>
        <x:v>1</x:v>
      </x:c>
    </x:row>
    <x:row r="31">
      <x:c r="A31" s="9" t="str">
        <x:v>EV-AR-HC-A-C-TECH-1-B1-RCN-G0-OG01</x:v>
      </x:c>
      <x:c r="B31" s="9" t="str">
        <x:v>EV-AR-HC-A-C-TECH-1-B1-RCN-G0</x:v>
      </x:c>
      <x:c r="C31" s="9" t="str">
        <x:v>AR-HC-A-C-TECH-1-B1-RCN-G0</x:v>
      </x:c>
      <x:c r="D31" s="9" t="str">
        <x:v>HC-A-C-TECH-1</x:v>
      </x:c>
      <x:c r="E31" s="9" t="str">
        <x:v>HC-A-C</x:v>
      </x:c>
      <x:c r="F31" s="9" t="str">
        <x:v>B1</x:v>
      </x:c>
      <x:c r="G31" s="9" t="str">
        <x:v>RCN</x:v>
      </x:c>
      <x:c r="H31" s="9" t="str">
        <x:v>OG01</x:v>
      </x:c>
      <x:c r="I31" s="17" t="str">
        <x:v>Serial and event identity</x:v>
      </x:c>
      <x:c r="J31" s="17" t="str">
        <x:v>record resolves to the issued serial, generation and physical start</x:v>
      </x:c>
      <x:c r="K31" s="17" t="str">
        <x:v>Observation court</x:v>
      </x:c>
      <x:c r="L31" s="9" t="n">
        <x:v>0</x:v>
      </x:c>
      <x:c r="M31" s="9" t="n">
        <x:v>0</x:v>
      </x:c>
      <x:c r="N31" s="9" t="str">
        <x:v>OPEN / UNACCEPTED</x:v>
      </x:c>
      <x:c r="O31" s="9" t="n">
        <x:f>COUNTIFS($A$7:$A$1734,A31)</x:f>
        <x:v>1</x:v>
      </x:c>
    </x:row>
    <x:row r="32">
      <x:c r="A32" s="9" t="str">
        <x:v>EV-AR-HC-A-C-TECH-1-B1-RCN-G0-OG02</x:v>
      </x:c>
      <x:c r="B32" s="9" t="str">
        <x:v>EV-AR-HC-A-C-TECH-1-B1-RCN-G0</x:v>
      </x:c>
      <x:c r="C32" s="9" t="str">
        <x:v>AR-HC-A-C-TECH-1-B1-RCN-G0</x:v>
      </x:c>
      <x:c r="D32" s="9" t="str">
        <x:v>HC-A-C-TECH-1</x:v>
      </x:c>
      <x:c r="E32" s="9" t="str">
        <x:v>HC-A-C</x:v>
      </x:c>
      <x:c r="F32" s="9" t="str">
        <x:v>B1</x:v>
      </x:c>
      <x:c r="G32" s="9" t="str">
        <x:v>RCN</x:v>
      </x:c>
      <x:c r="H32" s="9" t="str">
        <x:v>OG02</x:v>
      </x:c>
      <x:c r="I32" s="17" t="str">
        <x:v>Time ancestry</x:v>
      </x:c>
      <x:c r="J32" s="17" t="str">
        <x:v>primary, witness and public event clocks retain declared offsets and drift</x:v>
      </x:c>
      <x:c r="K32" s="17" t="str">
        <x:v>Time authority</x:v>
      </x:c>
      <x:c r="L32" s="9" t="n">
        <x:v>0</x:v>
      </x:c>
      <x:c r="M32" s="9" t="n">
        <x:v>0</x:v>
      </x:c>
      <x:c r="N32" s="9" t="str">
        <x:v>OPEN / UNACCEPTED</x:v>
      </x:c>
      <x:c r="O32" s="9" t="n">
        <x:f>COUNTIFS($A$7:$A$1734,A32)</x:f>
        <x:v>1</x:v>
      </x:c>
    </x:row>
    <x:row r="33">
      <x:c r="A33" s="9" t="str">
        <x:v>EV-AR-HC-A-C-TECH-1-B1-RCN-G0-OG03</x:v>
      </x:c>
      <x:c r="B33" s="9" t="str">
        <x:v>EV-AR-HC-A-C-TECH-1-B1-RCN-G0</x:v>
      </x:c>
      <x:c r="C33" s="9" t="str">
        <x:v>AR-HC-A-C-TECH-1-B1-RCN-G0</x:v>
      </x:c>
      <x:c r="D33" s="9" t="str">
        <x:v>HC-A-C-TECH-1</x:v>
      </x:c>
      <x:c r="E33" s="9" t="str">
        <x:v>HC-A-C</x:v>
      </x:c>
      <x:c r="F33" s="9" t="str">
        <x:v>B1</x:v>
      </x:c>
      <x:c r="G33" s="9" t="str">
        <x:v>RCN</x:v>
      </x:c>
      <x:c r="H33" s="9" t="str">
        <x:v>OG03</x:v>
      </x:c>
      <x:c r="I33" s="17" t="str">
        <x:v>Calibration ancestry</x:v>
      </x:c>
      <x:c r="J33" s="17" t="str">
        <x:v>all reference, range and uncertainty states cover the live interval</x:v>
      </x:c>
      <x:c r="K33" s="17" t="str">
        <x:v>Metrology courts</x:v>
      </x:c>
      <x:c r="L33" s="9" t="n">
        <x:v>0</x:v>
      </x:c>
      <x:c r="M33" s="9" t="n">
        <x:v>0</x:v>
      </x:c>
      <x:c r="N33" s="9" t="str">
        <x:v>OPEN / UNACCEPTED</x:v>
      </x:c>
      <x:c r="O33" s="9" t="n">
        <x:f>COUNTIFS($A$7:$A$1734,A33)</x:f>
        <x:v>1</x:v>
      </x:c>
    </x:row>
    <x:row r="34">
      <x:c r="A34" s="9" t="str">
        <x:v>EV-AR-HC-A-C-TECH-1-B1-RCN-G0-OG04</x:v>
      </x:c>
      <x:c r="B34" s="9" t="str">
        <x:v>EV-AR-HC-A-C-TECH-1-B1-RCN-G0</x:v>
      </x:c>
      <x:c r="C34" s="9" t="str">
        <x:v>AR-HC-A-C-TECH-1-B1-RCN-G0</x:v>
      </x:c>
      <x:c r="D34" s="9" t="str">
        <x:v>HC-A-C-TECH-1</x:v>
      </x:c>
      <x:c r="E34" s="9" t="str">
        <x:v>HC-A-C</x:v>
      </x:c>
      <x:c r="F34" s="9" t="str">
        <x:v>B1</x:v>
      </x:c>
      <x:c r="G34" s="9" t="str">
        <x:v>RCN</x:v>
      </x:c>
      <x:c r="H34" s="9" t="str">
        <x:v>OG04</x:v>
      </x:c>
      <x:c r="I34" s="17" t="str">
        <x:v>Raw completeness</x:v>
      </x:c>
      <x:c r="J34" s="17" t="str">
        <x:v>missingness is enumerated without imputation or outcome-conditioned deletion</x:v>
      </x:c>
      <x:c r="K34" s="17" t="str">
        <x:v>Observation court</x:v>
      </x:c>
      <x:c r="L34" s="9" t="n">
        <x:v>0</x:v>
      </x:c>
      <x:c r="M34" s="9" t="n">
        <x:v>0</x:v>
      </x:c>
      <x:c r="N34" s="9" t="str">
        <x:v>OPEN / UNACCEPTED</x:v>
      </x:c>
      <x:c r="O34" s="9" t="n">
        <x:f>COUNTIFS($A$7:$A$1734,A34)</x:f>
        <x:v>1</x:v>
      </x:c>
    </x:row>
    <x:row r="35">
      <x:c r="A35" s="9" t="str">
        <x:v>EV-AR-HC-A-C-TECH-1-B1-RCN-G0-OG05</x:v>
      </x:c>
      <x:c r="B35" s="9" t="str">
        <x:v>EV-AR-HC-A-C-TECH-1-B1-RCN-G0</x:v>
      </x:c>
      <x:c r="C35" s="9" t="str">
        <x:v>AR-HC-A-C-TECH-1-B1-RCN-G0</x:v>
      </x:c>
      <x:c r="D35" s="9" t="str">
        <x:v>HC-A-C-TECH-1</x:v>
      </x:c>
      <x:c r="E35" s="9" t="str">
        <x:v>HC-A-C</x:v>
      </x:c>
      <x:c r="F35" s="9" t="str">
        <x:v>B1</x:v>
      </x:c>
      <x:c r="G35" s="9" t="str">
        <x:v>RCN</x:v>
      </x:c>
      <x:c r="H35" s="9" t="str">
        <x:v>OG05</x:v>
      </x:c>
      <x:c r="I35" s="17" t="str">
        <x:v>Primary provenance</x:v>
      </x:c>
      <x:c r="J35" s="17" t="str">
        <x:v>primary originals, hashes, keys and access history reconcile</x:v>
      </x:c>
      <x:c r="K35" s="17" t="str">
        <x:v>Primary custody</x:v>
      </x:c>
      <x:c r="L35" s="9" t="n">
        <x:v>0</x:v>
      </x:c>
      <x:c r="M35" s="9" t="n">
        <x:v>0</x:v>
      </x:c>
      <x:c r="N35" s="9" t="str">
        <x:v>OPEN / UNACCEPTED</x:v>
      </x:c>
      <x:c r="O35" s="9" t="n">
        <x:f>COUNTIFS($A$7:$A$1734,A35)</x:f>
        <x:v>1</x:v>
      </x:c>
    </x:row>
    <x:row r="36">
      <x:c r="A36" s="9" t="str">
        <x:v>EV-AR-HC-A-C-TECH-1-B1-RCN-G0-OG06</x:v>
      </x:c>
      <x:c r="B36" s="9" t="str">
        <x:v>EV-AR-HC-A-C-TECH-1-B1-RCN-G0</x:v>
      </x:c>
      <x:c r="C36" s="9" t="str">
        <x:v>AR-HC-A-C-TECH-1-B1-RCN-G0</x:v>
      </x:c>
      <x:c r="D36" s="9" t="str">
        <x:v>HC-A-C-TECH-1</x:v>
      </x:c>
      <x:c r="E36" s="9" t="str">
        <x:v>HC-A-C</x:v>
      </x:c>
      <x:c r="F36" s="9" t="str">
        <x:v>B1</x:v>
      </x:c>
      <x:c r="G36" s="9" t="str">
        <x:v>RCN</x:v>
      </x:c>
      <x:c r="H36" s="9" t="str">
        <x:v>OG06</x:v>
      </x:c>
      <x:c r="I36" s="17" t="str">
        <x:v>Witness provenance</x:v>
      </x:c>
      <x:c r="J36" s="17" t="str">
        <x:v>unlike witness originals, hashes, keys and access history reconcile</x:v>
      </x:c>
      <x:c r="K36" s="17" t="str">
        <x:v>Witness custody</x:v>
      </x:c>
      <x:c r="L36" s="9" t="n">
        <x:v>0</x:v>
      </x:c>
      <x:c r="M36" s="9" t="n">
        <x:v>0</x:v>
      </x:c>
      <x:c r="N36" s="9" t="str">
        <x:v>OPEN / UNACCEPTED</x:v>
      </x:c>
      <x:c r="O36" s="9" t="n">
        <x:f>COUNTIFS($A$7:$A$1734,A36)</x:f>
        <x:v>1</x:v>
      </x:c>
    </x:row>
    <x:row r="37">
      <x:c r="A37" s="9" t="str">
        <x:v>EV-AR-HC-A-C-TECH-1-B1-RCN-G0-OG07</x:v>
      </x:c>
      <x:c r="B37" s="9" t="str">
        <x:v>EV-AR-HC-A-C-TECH-1-B1-RCN-G0</x:v>
      </x:c>
      <x:c r="C37" s="9" t="str">
        <x:v>AR-HC-A-C-TECH-1-B1-RCN-G0</x:v>
      </x:c>
      <x:c r="D37" s="9" t="str">
        <x:v>HC-A-C-TECH-1</x:v>
      </x:c>
      <x:c r="E37" s="9" t="str">
        <x:v>HC-A-C</x:v>
      </x:c>
      <x:c r="F37" s="9" t="str">
        <x:v>B1</x:v>
      </x:c>
      <x:c r="G37" s="9" t="str">
        <x:v>RCN</x:v>
      </x:c>
      <x:c r="H37" s="9" t="str">
        <x:v>OG07</x:v>
      </x:c>
      <x:c r="I37" s="17" t="str">
        <x:v>Receiver denominator</x:v>
      </x:c>
      <x:c r="J37" s="17" t="str">
        <x:v>population, quantity, duration and exclusions match the frozen receipt</x:v>
      </x:c>
      <x:c r="K37" s="17" t="str">
        <x:v>Receiver court</x:v>
      </x:c>
      <x:c r="L37" s="9" t="n">
        <x:v>0</x:v>
      </x:c>
      <x:c r="M37" s="9" t="n">
        <x:v>0</x:v>
      </x:c>
      <x:c r="N37" s="9" t="str">
        <x:v>OPEN / UNACCEPTED</x:v>
      </x:c>
      <x:c r="O37" s="9" t="n">
        <x:f>COUNTIFS($A$7:$A$1734,A37)</x:f>
        <x:v>1</x:v>
      </x:c>
    </x:row>
    <x:row r="38">
      <x:c r="A38" s="9" t="str">
        <x:v>EV-AR-HC-A-C-TECH-1-B1-RCN-G0-OG08</x:v>
      </x:c>
      <x:c r="B38" s="9" t="str">
        <x:v>EV-AR-HC-A-C-TECH-1-B1-RCN-G0</x:v>
      </x:c>
      <x:c r="C38" s="9" t="str">
        <x:v>AR-HC-A-C-TECH-1-B1-RCN-G0</x:v>
      </x:c>
      <x:c r="D38" s="9" t="str">
        <x:v>HC-A-C-TECH-1</x:v>
      </x:c>
      <x:c r="E38" s="9" t="str">
        <x:v>HC-A-C</x:v>
      </x:c>
      <x:c r="F38" s="9" t="str">
        <x:v>B1</x:v>
      </x:c>
      <x:c r="G38" s="9" t="str">
        <x:v>RCN</x:v>
      </x:c>
      <x:c r="H38" s="9" t="str">
        <x:v>OG08</x:v>
      </x:c>
      <x:c r="I38" s="17" t="str">
        <x:v>Environment and boundary</x:v>
      </x:c>
      <x:c r="J38" s="17" t="str">
        <x:v>registered weather, water, ground, inlet and outlet states are retained</x:v>
      </x:c>
      <x:c r="K38" s="17" t="str">
        <x:v>Boundary court</x:v>
      </x:c>
      <x:c r="L38" s="9" t="n">
        <x:v>0</x:v>
      </x:c>
      <x:c r="M38" s="9" t="n">
        <x:v>0</x:v>
      </x:c>
      <x:c r="N38" s="9" t="str">
        <x:v>OPEN / UNACCEPTED</x:v>
      </x:c>
      <x:c r="O38" s="9" t="n">
        <x:f>COUNTIFS($A$7:$A$1734,A38)</x:f>
        <x:v>1</x:v>
      </x:c>
    </x:row>
    <x:row r="39">
      <x:c r="A39" s="9" t="str">
        <x:v>EV-AR-HC-A-C-TECH-1-B1-RCN-G0-OG09</x:v>
      </x:c>
      <x:c r="B39" s="9" t="str">
        <x:v>EV-AR-HC-A-C-TECH-1-B1-RCN-G0</x:v>
      </x:c>
      <x:c r="C39" s="9" t="str">
        <x:v>AR-HC-A-C-TECH-1-B1-RCN-G0</x:v>
      </x:c>
      <x:c r="D39" s="9" t="str">
        <x:v>HC-A-C-TECH-1</x:v>
      </x:c>
      <x:c r="E39" s="9" t="str">
        <x:v>HC-A-C</x:v>
      </x:c>
      <x:c r="F39" s="9" t="str">
        <x:v>B1</x:v>
      </x:c>
      <x:c r="G39" s="9" t="str">
        <x:v>RCN</x:v>
      </x:c>
      <x:c r="H39" s="9" t="str">
        <x:v>OG09</x:v>
      </x:c>
      <x:c r="I39" s="17" t="str">
        <x:v>Intervention account</x:v>
      </x:c>
      <x:c r="J39" s="17" t="str">
        <x:v>all stop, rescue, operator and public-protection actions remain timestamped</x:v>
      </x:c>
      <x:c r="K39" s="17" t="str">
        <x:v>Safety record court</x:v>
      </x:c>
      <x:c r="L39" s="9" t="n">
        <x:v>0</x:v>
      </x:c>
      <x:c r="M39" s="9" t="n">
        <x:v>0</x:v>
      </x:c>
      <x:c r="N39" s="9" t="str">
        <x:v>OPEN / UNACCEPTED</x:v>
      </x:c>
      <x:c r="O39" s="9" t="n">
        <x:f>COUNTIFS($A$7:$A$1734,A39)</x:f>
        <x:v>1</x:v>
      </x:c>
    </x:row>
    <x:row r="40">
      <x:c r="A40" s="9" t="str">
        <x:v>EV-AR-HC-A-C-TECH-1-B1-RCN-G0-OG10</x:v>
      </x:c>
      <x:c r="B40" s="9" t="str">
        <x:v>EV-AR-HC-A-C-TECH-1-B1-RCN-G0</x:v>
      </x:c>
      <x:c r="C40" s="9" t="str">
        <x:v>AR-HC-A-C-TECH-1-B1-RCN-G0</x:v>
      </x:c>
      <x:c r="D40" s="9" t="str">
        <x:v>HC-A-C-TECH-1</x:v>
      </x:c>
      <x:c r="E40" s="9" t="str">
        <x:v>HC-A-C</x:v>
      </x:c>
      <x:c r="F40" s="9" t="str">
        <x:v>B1</x:v>
      </x:c>
      <x:c r="G40" s="9" t="str">
        <x:v>RCN</x:v>
      </x:c>
      <x:c r="H40" s="9" t="str">
        <x:v>OG10</x:v>
      </x:c>
      <x:c r="I40" s="17" t="str">
        <x:v>Uncertainty statement</x:v>
      </x:c>
      <x:c r="J40" s="17" t="str">
        <x:v>range, censoring, resolution and correlation are declared before judgment</x:v>
      </x:c>
      <x:c r="K40" s="17" t="str">
        <x:v>Uncertainty authority</x:v>
      </x:c>
      <x:c r="L40" s="9" t="n">
        <x:v>0</x:v>
      </x:c>
      <x:c r="M40" s="9" t="n">
        <x:v>0</x:v>
      </x:c>
      <x:c r="N40" s="9" t="str">
        <x:v>OPEN / UNACCEPTED</x:v>
      </x:c>
      <x:c r="O40" s="9" t="n">
        <x:f>COUNTIFS($A$7:$A$1734,A40)</x:f>
        <x:v>1</x:v>
      </x:c>
    </x:row>
    <x:row r="41">
      <x:c r="A41" s="9" t="str">
        <x:v>EV-AR-HC-A-C-TECH-1-B1-RCN-G0-OG11</x:v>
      </x:c>
      <x:c r="B41" s="9" t="str">
        <x:v>EV-AR-HC-A-C-TECH-1-B1-RCN-G0</x:v>
      </x:c>
      <x:c r="C41" s="9" t="str">
        <x:v>AR-HC-A-C-TECH-1-B1-RCN-G0</x:v>
      </x:c>
      <x:c r="D41" s="9" t="str">
        <x:v>HC-A-C-TECH-1</x:v>
      </x:c>
      <x:c r="E41" s="9" t="str">
        <x:v>HC-A-C</x:v>
      </x:c>
      <x:c r="F41" s="9" t="str">
        <x:v>B1</x:v>
      </x:c>
      <x:c r="G41" s="9" t="str">
        <x:v>RCN</x:v>
      </x:c>
      <x:c r="H41" s="9" t="str">
        <x:v>OG11</x:v>
      </x:c>
      <x:c r="I41" s="17" t="str">
        <x:v>Contradiction preservation</x:v>
      </x:c>
      <x:c r="J41" s="17" t="str">
        <x:v>primary-witness disagreement remains explicit and is never averaged away</x:v>
      </x:c>
      <x:c r="K41" s="17" t="str">
        <x:v>Dissent registrar</x:v>
      </x:c>
      <x:c r="L41" s="9" t="n">
        <x:v>0</x:v>
      </x:c>
      <x:c r="M41" s="9" t="n">
        <x:v>0</x:v>
      </x:c>
      <x:c r="N41" s="9" t="str">
        <x:v>OPEN / UNACCEPTED</x:v>
      </x:c>
      <x:c r="O41" s="9" t="n">
        <x:f>COUNTIFS($A$7:$A$1734,A41)</x:f>
        <x:v>1</x:v>
      </x:c>
    </x:row>
    <x:row r="42">
      <x:c r="A42" s="9" t="str">
        <x:v>EV-AR-HC-A-C-TECH-1-B1-RCN-G0-OG12</x:v>
      </x:c>
      <x:c r="B42" s="9" t="str">
        <x:v>EV-AR-HC-A-C-TECH-1-B1-RCN-G0</x:v>
      </x:c>
      <x:c r="C42" s="9" t="str">
        <x:v>AR-HC-A-C-TECH-1-B1-RCN-G0</x:v>
      </x:c>
      <x:c r="D42" s="9" t="str">
        <x:v>HC-A-C-TECH-1</x:v>
      </x:c>
      <x:c r="E42" s="9" t="str">
        <x:v>HC-A-C</x:v>
      </x:c>
      <x:c r="F42" s="9" t="str">
        <x:v>B1</x:v>
      </x:c>
      <x:c r="G42" s="9" t="str">
        <x:v>RCN</x:v>
      </x:c>
      <x:c r="H42" s="9" t="str">
        <x:v>OG12</x:v>
      </x:c>
      <x:c r="I42" s="17" t="str">
        <x:v>Independent replay</x:v>
      </x:c>
      <x:c r="J42" s="17" t="str">
        <x:v>a separated reader reconstructs the registered observables from sealed originals</x:v>
      </x:c>
      <x:c r="K42" s="17" t="str">
        <x:v>Replay court</x:v>
      </x:c>
      <x:c r="L42" s="9" t="n">
        <x:v>0</x:v>
      </x:c>
      <x:c r="M42" s="9" t="n">
        <x:v>0</x:v>
      </x:c>
      <x:c r="N42" s="9" t="str">
        <x:v>OPEN / UNACCEPTED</x:v>
      </x:c>
      <x:c r="O42" s="9" t="n">
        <x:f>COUNTIFS($A$7:$A$1734,A42)</x:f>
        <x:v>1</x:v>
      </x:c>
    </x:row>
    <x:row r="43">
      <x:c r="A43" s="9" t="str">
        <x:v>EV-AR-HU-A-B-TECH-4-B2-RCN-G0-OG01</x:v>
      </x:c>
      <x:c r="B43" s="9" t="str">
        <x:v>EV-AR-HU-A-B-TECH-4-B2-RCN-G0</x:v>
      </x:c>
      <x:c r="C43" s="9" t="str">
        <x:v>AR-HU-A-B-TECH-4-B2-RCN-G0</x:v>
      </x:c>
      <x:c r="D43" s="9" t="str">
        <x:v>HU-A-B-TECH-4</x:v>
      </x:c>
      <x:c r="E43" s="9" t="str">
        <x:v>HU-A-B</x:v>
      </x:c>
      <x:c r="F43" s="9" t="str">
        <x:v>B2</x:v>
      </x:c>
      <x:c r="G43" s="9" t="str">
        <x:v>RCN</x:v>
      </x:c>
      <x:c r="H43" s="9" t="str">
        <x:v>OG01</x:v>
      </x:c>
      <x:c r="I43" s="17" t="str">
        <x:v>Serial and event identity</x:v>
      </x:c>
      <x:c r="J43" s="17" t="str">
        <x:v>record resolves to the issued serial, generation and physical start</x:v>
      </x:c>
      <x:c r="K43" s="17" t="str">
        <x:v>Observation court</x:v>
      </x:c>
      <x:c r="L43" s="9" t="n">
        <x:v>0</x:v>
      </x:c>
      <x:c r="M43" s="9" t="n">
        <x:v>0</x:v>
      </x:c>
      <x:c r="N43" s="9" t="str">
        <x:v>OPEN / UNACCEPTED</x:v>
      </x:c>
      <x:c r="O43" s="9" t="n">
        <x:f>COUNTIFS($A$7:$A$1734,A43)</x:f>
        <x:v>1</x:v>
      </x:c>
    </x:row>
    <x:row r="44">
      <x:c r="A44" s="9" t="str">
        <x:v>EV-AR-HU-A-B-TECH-4-B2-RCN-G0-OG02</x:v>
      </x:c>
      <x:c r="B44" s="9" t="str">
        <x:v>EV-AR-HU-A-B-TECH-4-B2-RCN-G0</x:v>
      </x:c>
      <x:c r="C44" s="9" t="str">
        <x:v>AR-HU-A-B-TECH-4-B2-RCN-G0</x:v>
      </x:c>
      <x:c r="D44" s="9" t="str">
        <x:v>HU-A-B-TECH-4</x:v>
      </x:c>
      <x:c r="E44" s="9" t="str">
        <x:v>HU-A-B</x:v>
      </x:c>
      <x:c r="F44" s="9" t="str">
        <x:v>B2</x:v>
      </x:c>
      <x:c r="G44" s="9" t="str">
        <x:v>RCN</x:v>
      </x:c>
      <x:c r="H44" s="9" t="str">
        <x:v>OG02</x:v>
      </x:c>
      <x:c r="I44" s="17" t="str">
        <x:v>Time ancestry</x:v>
      </x:c>
      <x:c r="J44" s="17" t="str">
        <x:v>primary, witness and public event clocks retain declared offsets and drift</x:v>
      </x:c>
      <x:c r="K44" s="17" t="str">
        <x:v>Time authority</x:v>
      </x:c>
      <x:c r="L44" s="9" t="n">
        <x:v>0</x:v>
      </x:c>
      <x:c r="M44" s="9" t="n">
        <x:v>0</x:v>
      </x:c>
      <x:c r="N44" s="9" t="str">
        <x:v>OPEN / UNACCEPTED</x:v>
      </x:c>
      <x:c r="O44" s="9" t="n">
        <x:f>COUNTIFS($A$7:$A$1734,A44)</x:f>
        <x:v>1</x:v>
      </x:c>
    </x:row>
    <x:row r="45">
      <x:c r="A45" s="9" t="str">
        <x:v>EV-AR-HU-A-B-TECH-4-B2-RCN-G0-OG03</x:v>
      </x:c>
      <x:c r="B45" s="9" t="str">
        <x:v>EV-AR-HU-A-B-TECH-4-B2-RCN-G0</x:v>
      </x:c>
      <x:c r="C45" s="9" t="str">
        <x:v>AR-HU-A-B-TECH-4-B2-RCN-G0</x:v>
      </x:c>
      <x:c r="D45" s="9" t="str">
        <x:v>HU-A-B-TECH-4</x:v>
      </x:c>
      <x:c r="E45" s="9" t="str">
        <x:v>HU-A-B</x:v>
      </x:c>
      <x:c r="F45" s="9" t="str">
        <x:v>B2</x:v>
      </x:c>
      <x:c r="G45" s="9" t="str">
        <x:v>RCN</x:v>
      </x:c>
      <x:c r="H45" s="9" t="str">
        <x:v>OG03</x:v>
      </x:c>
      <x:c r="I45" s="17" t="str">
        <x:v>Calibration ancestry</x:v>
      </x:c>
      <x:c r="J45" s="17" t="str">
        <x:v>all reference, range and uncertainty states cover the live interval</x:v>
      </x:c>
      <x:c r="K45" s="17" t="str">
        <x:v>Metrology courts</x:v>
      </x:c>
      <x:c r="L45" s="9" t="n">
        <x:v>0</x:v>
      </x:c>
      <x:c r="M45" s="9" t="n">
        <x:v>0</x:v>
      </x:c>
      <x:c r="N45" s="9" t="str">
        <x:v>OPEN / UNACCEPTED</x:v>
      </x:c>
      <x:c r="O45" s="9" t="n">
        <x:f>COUNTIFS($A$7:$A$1734,A45)</x:f>
        <x:v>1</x:v>
      </x:c>
    </x:row>
    <x:row r="46">
      <x:c r="A46" s="9" t="str">
        <x:v>EV-AR-HU-A-B-TECH-4-B2-RCN-G0-OG04</x:v>
      </x:c>
      <x:c r="B46" s="9" t="str">
        <x:v>EV-AR-HU-A-B-TECH-4-B2-RCN-G0</x:v>
      </x:c>
      <x:c r="C46" s="9" t="str">
        <x:v>AR-HU-A-B-TECH-4-B2-RCN-G0</x:v>
      </x:c>
      <x:c r="D46" s="9" t="str">
        <x:v>HU-A-B-TECH-4</x:v>
      </x:c>
      <x:c r="E46" s="9" t="str">
        <x:v>HU-A-B</x:v>
      </x:c>
      <x:c r="F46" s="9" t="str">
        <x:v>B2</x:v>
      </x:c>
      <x:c r="G46" s="9" t="str">
        <x:v>RCN</x:v>
      </x:c>
      <x:c r="H46" s="9" t="str">
        <x:v>OG04</x:v>
      </x:c>
      <x:c r="I46" s="17" t="str">
        <x:v>Raw completeness</x:v>
      </x:c>
      <x:c r="J46" s="17" t="str">
        <x:v>missingness is enumerated without imputation or outcome-conditioned deletion</x:v>
      </x:c>
      <x:c r="K46" s="17" t="str">
        <x:v>Observation court</x:v>
      </x:c>
      <x:c r="L46" s="9" t="n">
        <x:v>0</x:v>
      </x:c>
      <x:c r="M46" s="9" t="n">
        <x:v>0</x:v>
      </x:c>
      <x:c r="N46" s="9" t="str">
        <x:v>OPEN / UNACCEPTED</x:v>
      </x:c>
      <x:c r="O46" s="9" t="n">
        <x:f>COUNTIFS($A$7:$A$1734,A46)</x:f>
        <x:v>1</x:v>
      </x:c>
    </x:row>
    <x:row r="47">
      <x:c r="A47" s="9" t="str">
        <x:v>EV-AR-HU-A-B-TECH-4-B2-RCN-G0-OG05</x:v>
      </x:c>
      <x:c r="B47" s="9" t="str">
        <x:v>EV-AR-HU-A-B-TECH-4-B2-RCN-G0</x:v>
      </x:c>
      <x:c r="C47" s="9" t="str">
        <x:v>AR-HU-A-B-TECH-4-B2-RCN-G0</x:v>
      </x:c>
      <x:c r="D47" s="9" t="str">
        <x:v>HU-A-B-TECH-4</x:v>
      </x:c>
      <x:c r="E47" s="9" t="str">
        <x:v>HU-A-B</x:v>
      </x:c>
      <x:c r="F47" s="9" t="str">
        <x:v>B2</x:v>
      </x:c>
      <x:c r="G47" s="9" t="str">
        <x:v>RCN</x:v>
      </x:c>
      <x:c r="H47" s="9" t="str">
        <x:v>OG05</x:v>
      </x:c>
      <x:c r="I47" s="17" t="str">
        <x:v>Primary provenance</x:v>
      </x:c>
      <x:c r="J47" s="17" t="str">
        <x:v>primary originals, hashes, keys and access history reconcile</x:v>
      </x:c>
      <x:c r="K47" s="17" t="str">
        <x:v>Primary custody</x:v>
      </x:c>
      <x:c r="L47" s="9" t="n">
        <x:v>0</x:v>
      </x:c>
      <x:c r="M47" s="9" t="n">
        <x:v>0</x:v>
      </x:c>
      <x:c r="N47" s="9" t="str">
        <x:v>OPEN / UNACCEPTED</x:v>
      </x:c>
      <x:c r="O47" s="9" t="n">
        <x:f>COUNTIFS($A$7:$A$1734,A47)</x:f>
        <x:v>1</x:v>
      </x:c>
    </x:row>
    <x:row r="48">
      <x:c r="A48" s="9" t="str">
        <x:v>EV-AR-HU-A-B-TECH-4-B2-RCN-G0-OG06</x:v>
      </x:c>
      <x:c r="B48" s="9" t="str">
        <x:v>EV-AR-HU-A-B-TECH-4-B2-RCN-G0</x:v>
      </x:c>
      <x:c r="C48" s="9" t="str">
        <x:v>AR-HU-A-B-TECH-4-B2-RCN-G0</x:v>
      </x:c>
      <x:c r="D48" s="9" t="str">
        <x:v>HU-A-B-TECH-4</x:v>
      </x:c>
      <x:c r="E48" s="9" t="str">
        <x:v>HU-A-B</x:v>
      </x:c>
      <x:c r="F48" s="9" t="str">
        <x:v>B2</x:v>
      </x:c>
      <x:c r="G48" s="9" t="str">
        <x:v>RCN</x:v>
      </x:c>
      <x:c r="H48" s="9" t="str">
        <x:v>OG06</x:v>
      </x:c>
      <x:c r="I48" s="17" t="str">
        <x:v>Witness provenance</x:v>
      </x:c>
      <x:c r="J48" s="17" t="str">
        <x:v>unlike witness originals, hashes, keys and access history reconcile</x:v>
      </x:c>
      <x:c r="K48" s="17" t="str">
        <x:v>Witness custody</x:v>
      </x:c>
      <x:c r="L48" s="9" t="n">
        <x:v>0</x:v>
      </x:c>
      <x:c r="M48" s="9" t="n">
        <x:v>0</x:v>
      </x:c>
      <x:c r="N48" s="9" t="str">
        <x:v>OPEN / UNACCEPTED</x:v>
      </x:c>
      <x:c r="O48" s="9" t="n">
        <x:f>COUNTIFS($A$7:$A$1734,A48)</x:f>
        <x:v>1</x:v>
      </x:c>
    </x:row>
    <x:row r="49">
      <x:c r="A49" s="9" t="str">
        <x:v>EV-AR-HU-A-B-TECH-4-B2-RCN-G0-OG07</x:v>
      </x:c>
      <x:c r="B49" s="9" t="str">
        <x:v>EV-AR-HU-A-B-TECH-4-B2-RCN-G0</x:v>
      </x:c>
      <x:c r="C49" s="9" t="str">
        <x:v>AR-HU-A-B-TECH-4-B2-RCN-G0</x:v>
      </x:c>
      <x:c r="D49" s="9" t="str">
        <x:v>HU-A-B-TECH-4</x:v>
      </x:c>
      <x:c r="E49" s="9" t="str">
        <x:v>HU-A-B</x:v>
      </x:c>
      <x:c r="F49" s="9" t="str">
        <x:v>B2</x:v>
      </x:c>
      <x:c r="G49" s="9" t="str">
        <x:v>RCN</x:v>
      </x:c>
      <x:c r="H49" s="9" t="str">
        <x:v>OG07</x:v>
      </x:c>
      <x:c r="I49" s="17" t="str">
        <x:v>Receiver denominator</x:v>
      </x:c>
      <x:c r="J49" s="17" t="str">
        <x:v>population, quantity, duration and exclusions match the frozen receipt</x:v>
      </x:c>
      <x:c r="K49" s="17" t="str">
        <x:v>Receiver court</x:v>
      </x:c>
      <x:c r="L49" s="9" t="n">
        <x:v>0</x:v>
      </x:c>
      <x:c r="M49" s="9" t="n">
        <x:v>0</x:v>
      </x:c>
      <x:c r="N49" s="9" t="str">
        <x:v>OPEN / UNACCEPTED</x:v>
      </x:c>
      <x:c r="O49" s="9" t="n">
        <x:f>COUNTIFS($A$7:$A$1734,A49)</x:f>
        <x:v>1</x:v>
      </x:c>
    </x:row>
    <x:row r="50">
      <x:c r="A50" s="9" t="str">
        <x:v>EV-AR-HU-A-B-TECH-4-B2-RCN-G0-OG08</x:v>
      </x:c>
      <x:c r="B50" s="9" t="str">
        <x:v>EV-AR-HU-A-B-TECH-4-B2-RCN-G0</x:v>
      </x:c>
      <x:c r="C50" s="9" t="str">
        <x:v>AR-HU-A-B-TECH-4-B2-RCN-G0</x:v>
      </x:c>
      <x:c r="D50" s="9" t="str">
        <x:v>HU-A-B-TECH-4</x:v>
      </x:c>
      <x:c r="E50" s="9" t="str">
        <x:v>HU-A-B</x:v>
      </x:c>
      <x:c r="F50" s="9" t="str">
        <x:v>B2</x:v>
      </x:c>
      <x:c r="G50" s="9" t="str">
        <x:v>RCN</x:v>
      </x:c>
      <x:c r="H50" s="9" t="str">
        <x:v>OG08</x:v>
      </x:c>
      <x:c r="I50" s="17" t="str">
        <x:v>Environment and boundary</x:v>
      </x:c>
      <x:c r="J50" s="17" t="str">
        <x:v>registered weather, water, ground, inlet and outlet states are retained</x:v>
      </x:c>
      <x:c r="K50" s="17" t="str">
        <x:v>Boundary court</x:v>
      </x:c>
      <x:c r="L50" s="9" t="n">
        <x:v>0</x:v>
      </x:c>
      <x:c r="M50" s="9" t="n">
        <x:v>0</x:v>
      </x:c>
      <x:c r="N50" s="9" t="str">
        <x:v>OPEN / UNACCEPTED</x:v>
      </x:c>
      <x:c r="O50" s="9" t="n">
        <x:f>COUNTIFS($A$7:$A$1734,A50)</x:f>
        <x:v>1</x:v>
      </x:c>
    </x:row>
    <x:row r="51">
      <x:c r="A51" s="9" t="str">
        <x:v>EV-AR-HU-A-B-TECH-4-B2-RCN-G0-OG09</x:v>
      </x:c>
      <x:c r="B51" s="9" t="str">
        <x:v>EV-AR-HU-A-B-TECH-4-B2-RCN-G0</x:v>
      </x:c>
      <x:c r="C51" s="9" t="str">
        <x:v>AR-HU-A-B-TECH-4-B2-RCN-G0</x:v>
      </x:c>
      <x:c r="D51" s="9" t="str">
        <x:v>HU-A-B-TECH-4</x:v>
      </x:c>
      <x:c r="E51" s="9" t="str">
        <x:v>HU-A-B</x:v>
      </x:c>
      <x:c r="F51" s="9" t="str">
        <x:v>B2</x:v>
      </x:c>
      <x:c r="G51" s="9" t="str">
        <x:v>RCN</x:v>
      </x:c>
      <x:c r="H51" s="9" t="str">
        <x:v>OG09</x:v>
      </x:c>
      <x:c r="I51" s="17" t="str">
        <x:v>Intervention account</x:v>
      </x:c>
      <x:c r="J51" s="17" t="str">
        <x:v>all stop, rescue, operator and public-protection actions remain timestamped</x:v>
      </x:c>
      <x:c r="K51" s="17" t="str">
        <x:v>Safety record court</x:v>
      </x:c>
      <x:c r="L51" s="9" t="n">
        <x:v>0</x:v>
      </x:c>
      <x:c r="M51" s="9" t="n">
        <x:v>0</x:v>
      </x:c>
      <x:c r="N51" s="9" t="str">
        <x:v>OPEN / UNACCEPTED</x:v>
      </x:c>
      <x:c r="O51" s="9" t="n">
        <x:f>COUNTIFS($A$7:$A$1734,A51)</x:f>
        <x:v>1</x:v>
      </x:c>
    </x:row>
    <x:row r="52">
      <x:c r="A52" s="9" t="str">
        <x:v>EV-AR-HU-A-B-TECH-4-B2-RCN-G0-OG10</x:v>
      </x:c>
      <x:c r="B52" s="9" t="str">
        <x:v>EV-AR-HU-A-B-TECH-4-B2-RCN-G0</x:v>
      </x:c>
      <x:c r="C52" s="9" t="str">
        <x:v>AR-HU-A-B-TECH-4-B2-RCN-G0</x:v>
      </x:c>
      <x:c r="D52" s="9" t="str">
        <x:v>HU-A-B-TECH-4</x:v>
      </x:c>
      <x:c r="E52" s="9" t="str">
        <x:v>HU-A-B</x:v>
      </x:c>
      <x:c r="F52" s="9" t="str">
        <x:v>B2</x:v>
      </x:c>
      <x:c r="G52" s="9" t="str">
        <x:v>RCN</x:v>
      </x:c>
      <x:c r="H52" s="9" t="str">
        <x:v>OG10</x:v>
      </x:c>
      <x:c r="I52" s="17" t="str">
        <x:v>Uncertainty statement</x:v>
      </x:c>
      <x:c r="J52" s="17" t="str">
        <x:v>range, censoring, resolution and correlation are declared before judgment</x:v>
      </x:c>
      <x:c r="K52" s="17" t="str">
        <x:v>Uncertainty authority</x:v>
      </x:c>
      <x:c r="L52" s="9" t="n">
        <x:v>0</x:v>
      </x:c>
      <x:c r="M52" s="9" t="n">
        <x:v>0</x:v>
      </x:c>
      <x:c r="N52" s="9" t="str">
        <x:v>OPEN / UNACCEPTED</x:v>
      </x:c>
      <x:c r="O52" s="9" t="n">
        <x:f>COUNTIFS($A$7:$A$1734,A52)</x:f>
        <x:v>1</x:v>
      </x:c>
    </x:row>
    <x:row r="53">
      <x:c r="A53" s="9" t="str">
        <x:v>EV-AR-HU-A-B-TECH-4-B2-RCN-G0-OG11</x:v>
      </x:c>
      <x:c r="B53" s="9" t="str">
        <x:v>EV-AR-HU-A-B-TECH-4-B2-RCN-G0</x:v>
      </x:c>
      <x:c r="C53" s="9" t="str">
        <x:v>AR-HU-A-B-TECH-4-B2-RCN-G0</x:v>
      </x:c>
      <x:c r="D53" s="9" t="str">
        <x:v>HU-A-B-TECH-4</x:v>
      </x:c>
      <x:c r="E53" s="9" t="str">
        <x:v>HU-A-B</x:v>
      </x:c>
      <x:c r="F53" s="9" t="str">
        <x:v>B2</x:v>
      </x:c>
      <x:c r="G53" s="9" t="str">
        <x:v>RCN</x:v>
      </x:c>
      <x:c r="H53" s="9" t="str">
        <x:v>OG11</x:v>
      </x:c>
      <x:c r="I53" s="17" t="str">
        <x:v>Contradiction preservation</x:v>
      </x:c>
      <x:c r="J53" s="17" t="str">
        <x:v>primary-witness disagreement remains explicit and is never averaged away</x:v>
      </x:c>
      <x:c r="K53" s="17" t="str">
        <x:v>Dissent registrar</x:v>
      </x:c>
      <x:c r="L53" s="9" t="n">
        <x:v>0</x:v>
      </x:c>
      <x:c r="M53" s="9" t="n">
        <x:v>0</x:v>
      </x:c>
      <x:c r="N53" s="9" t="str">
        <x:v>OPEN / UNACCEPTED</x:v>
      </x:c>
      <x:c r="O53" s="9" t="n">
        <x:f>COUNTIFS($A$7:$A$1734,A53)</x:f>
        <x:v>1</x:v>
      </x:c>
    </x:row>
    <x:row r="54">
      <x:c r="A54" s="9" t="str">
        <x:v>EV-AR-HU-A-B-TECH-4-B2-RCN-G0-OG12</x:v>
      </x:c>
      <x:c r="B54" s="9" t="str">
        <x:v>EV-AR-HU-A-B-TECH-4-B2-RCN-G0</x:v>
      </x:c>
      <x:c r="C54" s="9" t="str">
        <x:v>AR-HU-A-B-TECH-4-B2-RCN-G0</x:v>
      </x:c>
      <x:c r="D54" s="9" t="str">
        <x:v>HU-A-B-TECH-4</x:v>
      </x:c>
      <x:c r="E54" s="9" t="str">
        <x:v>HU-A-B</x:v>
      </x:c>
      <x:c r="F54" s="9" t="str">
        <x:v>B2</x:v>
      </x:c>
      <x:c r="G54" s="9" t="str">
        <x:v>RCN</x:v>
      </x:c>
      <x:c r="H54" s="9" t="str">
        <x:v>OG12</x:v>
      </x:c>
      <x:c r="I54" s="17" t="str">
        <x:v>Independent replay</x:v>
      </x:c>
      <x:c r="J54" s="17" t="str">
        <x:v>a separated reader reconstructs the registered observables from sealed originals</x:v>
      </x:c>
      <x:c r="K54" s="17" t="str">
        <x:v>Replay court</x:v>
      </x:c>
      <x:c r="L54" s="9" t="n">
        <x:v>0</x:v>
      </x:c>
      <x:c r="M54" s="9" t="n">
        <x:v>0</x:v>
      </x:c>
      <x:c r="N54" s="9" t="str">
        <x:v>OPEN / UNACCEPTED</x:v>
      </x:c>
      <x:c r="O54" s="9" t="n">
        <x:f>COUNTIFS($A$7:$A$1734,A54)</x:f>
        <x:v>1</x:v>
      </x:c>
    </x:row>
    <x:row r="55">
      <x:c r="A55" s="9" t="str">
        <x:v>EV-AR-HU-A-B-TECH-2-B2-INT-G0-OG01</x:v>
      </x:c>
      <x:c r="B55" s="9" t="str">
        <x:v>EV-AR-HU-A-B-TECH-2-B2-INT-G0</x:v>
      </x:c>
      <x:c r="C55" s="9" t="str">
        <x:v>AR-HU-A-B-TECH-2-B2-INT-G0</x:v>
      </x:c>
      <x:c r="D55" s="9" t="str">
        <x:v>HU-A-B-TECH-2</x:v>
      </x:c>
      <x:c r="E55" s="9" t="str">
        <x:v>HU-A-B</x:v>
      </x:c>
      <x:c r="F55" s="9" t="str">
        <x:v>B2</x:v>
      </x:c>
      <x:c r="G55" s="9" t="str">
        <x:v>INT</x:v>
      </x:c>
      <x:c r="H55" s="9" t="str">
        <x:v>OG01</x:v>
      </x:c>
      <x:c r="I55" s="17" t="str">
        <x:v>Serial and event identity</x:v>
      </x:c>
      <x:c r="J55" s="17" t="str">
        <x:v>record resolves to the issued serial, generation and physical start</x:v>
      </x:c>
      <x:c r="K55" s="17" t="str">
        <x:v>Observation court</x:v>
      </x:c>
      <x:c r="L55" s="9" t="n">
        <x:v>0</x:v>
      </x:c>
      <x:c r="M55" s="9" t="n">
        <x:v>0</x:v>
      </x:c>
      <x:c r="N55" s="9" t="str">
        <x:v>OPEN / UNACCEPTED</x:v>
      </x:c>
      <x:c r="O55" s="9" t="n">
        <x:f>COUNTIFS($A$7:$A$1734,A55)</x:f>
        <x:v>1</x:v>
      </x:c>
    </x:row>
    <x:row r="56">
      <x:c r="A56" s="9" t="str">
        <x:v>EV-AR-HU-A-B-TECH-2-B2-INT-G0-OG02</x:v>
      </x:c>
      <x:c r="B56" s="9" t="str">
        <x:v>EV-AR-HU-A-B-TECH-2-B2-INT-G0</x:v>
      </x:c>
      <x:c r="C56" s="9" t="str">
        <x:v>AR-HU-A-B-TECH-2-B2-INT-G0</x:v>
      </x:c>
      <x:c r="D56" s="9" t="str">
        <x:v>HU-A-B-TECH-2</x:v>
      </x:c>
      <x:c r="E56" s="9" t="str">
        <x:v>HU-A-B</x:v>
      </x:c>
      <x:c r="F56" s="9" t="str">
        <x:v>B2</x:v>
      </x:c>
      <x:c r="G56" s="9" t="str">
        <x:v>INT</x:v>
      </x:c>
      <x:c r="H56" s="9" t="str">
        <x:v>OG02</x:v>
      </x:c>
      <x:c r="I56" s="17" t="str">
        <x:v>Time ancestry</x:v>
      </x:c>
      <x:c r="J56" s="17" t="str">
        <x:v>primary, witness and public event clocks retain declared offsets and drift</x:v>
      </x:c>
      <x:c r="K56" s="17" t="str">
        <x:v>Time authority</x:v>
      </x:c>
      <x:c r="L56" s="9" t="n">
        <x:v>0</x:v>
      </x:c>
      <x:c r="M56" s="9" t="n">
        <x:v>0</x:v>
      </x:c>
      <x:c r="N56" s="9" t="str">
        <x:v>OPEN / UNACCEPTED</x:v>
      </x:c>
      <x:c r="O56" s="9" t="n">
        <x:f>COUNTIFS($A$7:$A$1734,A56)</x:f>
        <x:v>1</x:v>
      </x:c>
    </x:row>
    <x:row r="57">
      <x:c r="A57" s="9" t="str">
        <x:v>EV-AR-HU-A-B-TECH-2-B2-INT-G0-OG03</x:v>
      </x:c>
      <x:c r="B57" s="9" t="str">
        <x:v>EV-AR-HU-A-B-TECH-2-B2-INT-G0</x:v>
      </x:c>
      <x:c r="C57" s="9" t="str">
        <x:v>AR-HU-A-B-TECH-2-B2-INT-G0</x:v>
      </x:c>
      <x:c r="D57" s="9" t="str">
        <x:v>HU-A-B-TECH-2</x:v>
      </x:c>
      <x:c r="E57" s="9" t="str">
        <x:v>HU-A-B</x:v>
      </x:c>
      <x:c r="F57" s="9" t="str">
        <x:v>B2</x:v>
      </x:c>
      <x:c r="G57" s="9" t="str">
        <x:v>INT</x:v>
      </x:c>
      <x:c r="H57" s="9" t="str">
        <x:v>OG03</x:v>
      </x:c>
      <x:c r="I57" s="17" t="str">
        <x:v>Calibration ancestry</x:v>
      </x:c>
      <x:c r="J57" s="17" t="str">
        <x:v>all reference, range and uncertainty states cover the live interval</x:v>
      </x:c>
      <x:c r="K57" s="17" t="str">
        <x:v>Metrology courts</x:v>
      </x:c>
      <x:c r="L57" s="9" t="n">
        <x:v>0</x:v>
      </x:c>
      <x:c r="M57" s="9" t="n">
        <x:v>0</x:v>
      </x:c>
      <x:c r="N57" s="9" t="str">
        <x:v>OPEN / UNACCEPTED</x:v>
      </x:c>
      <x:c r="O57" s="9" t="n">
        <x:f>COUNTIFS($A$7:$A$1734,A57)</x:f>
        <x:v>1</x:v>
      </x:c>
    </x:row>
    <x:row r="58">
      <x:c r="A58" s="9" t="str">
        <x:v>EV-AR-HU-A-B-TECH-2-B2-INT-G0-OG04</x:v>
      </x:c>
      <x:c r="B58" s="9" t="str">
        <x:v>EV-AR-HU-A-B-TECH-2-B2-INT-G0</x:v>
      </x:c>
      <x:c r="C58" s="9" t="str">
        <x:v>AR-HU-A-B-TECH-2-B2-INT-G0</x:v>
      </x:c>
      <x:c r="D58" s="9" t="str">
        <x:v>HU-A-B-TECH-2</x:v>
      </x:c>
      <x:c r="E58" s="9" t="str">
        <x:v>HU-A-B</x:v>
      </x:c>
      <x:c r="F58" s="9" t="str">
        <x:v>B2</x:v>
      </x:c>
      <x:c r="G58" s="9" t="str">
        <x:v>INT</x:v>
      </x:c>
      <x:c r="H58" s="9" t="str">
        <x:v>OG04</x:v>
      </x:c>
      <x:c r="I58" s="17" t="str">
        <x:v>Raw completeness</x:v>
      </x:c>
      <x:c r="J58" s="17" t="str">
        <x:v>missingness is enumerated without imputation or outcome-conditioned deletion</x:v>
      </x:c>
      <x:c r="K58" s="17" t="str">
        <x:v>Observation court</x:v>
      </x:c>
      <x:c r="L58" s="9" t="n">
        <x:v>0</x:v>
      </x:c>
      <x:c r="M58" s="9" t="n">
        <x:v>0</x:v>
      </x:c>
      <x:c r="N58" s="9" t="str">
        <x:v>OPEN / UNACCEPTED</x:v>
      </x:c>
      <x:c r="O58" s="9" t="n">
        <x:f>COUNTIFS($A$7:$A$1734,A58)</x:f>
        <x:v>1</x:v>
      </x:c>
    </x:row>
    <x:row r="59">
      <x:c r="A59" s="9" t="str">
        <x:v>EV-AR-HU-A-B-TECH-2-B2-INT-G0-OG05</x:v>
      </x:c>
      <x:c r="B59" s="9" t="str">
        <x:v>EV-AR-HU-A-B-TECH-2-B2-INT-G0</x:v>
      </x:c>
      <x:c r="C59" s="9" t="str">
        <x:v>AR-HU-A-B-TECH-2-B2-INT-G0</x:v>
      </x:c>
      <x:c r="D59" s="9" t="str">
        <x:v>HU-A-B-TECH-2</x:v>
      </x:c>
      <x:c r="E59" s="9" t="str">
        <x:v>HU-A-B</x:v>
      </x:c>
      <x:c r="F59" s="9" t="str">
        <x:v>B2</x:v>
      </x:c>
      <x:c r="G59" s="9" t="str">
        <x:v>INT</x:v>
      </x:c>
      <x:c r="H59" s="9" t="str">
        <x:v>OG05</x:v>
      </x:c>
      <x:c r="I59" s="17" t="str">
        <x:v>Primary provenance</x:v>
      </x:c>
      <x:c r="J59" s="17" t="str">
        <x:v>primary originals, hashes, keys and access history reconcile</x:v>
      </x:c>
      <x:c r="K59" s="17" t="str">
        <x:v>Primary custody</x:v>
      </x:c>
      <x:c r="L59" s="9" t="n">
        <x:v>0</x:v>
      </x:c>
      <x:c r="M59" s="9" t="n">
        <x:v>0</x:v>
      </x:c>
      <x:c r="N59" s="9" t="str">
        <x:v>OPEN / UNACCEPTED</x:v>
      </x:c>
      <x:c r="O59" s="9" t="n">
        <x:f>COUNTIFS($A$7:$A$1734,A59)</x:f>
        <x:v>1</x:v>
      </x:c>
    </x:row>
    <x:row r="60">
      <x:c r="A60" s="9" t="str">
        <x:v>EV-AR-HU-A-B-TECH-2-B2-INT-G0-OG06</x:v>
      </x:c>
      <x:c r="B60" s="9" t="str">
        <x:v>EV-AR-HU-A-B-TECH-2-B2-INT-G0</x:v>
      </x:c>
      <x:c r="C60" s="9" t="str">
        <x:v>AR-HU-A-B-TECH-2-B2-INT-G0</x:v>
      </x:c>
      <x:c r="D60" s="9" t="str">
        <x:v>HU-A-B-TECH-2</x:v>
      </x:c>
      <x:c r="E60" s="9" t="str">
        <x:v>HU-A-B</x:v>
      </x:c>
      <x:c r="F60" s="9" t="str">
        <x:v>B2</x:v>
      </x:c>
      <x:c r="G60" s="9" t="str">
        <x:v>INT</x:v>
      </x:c>
      <x:c r="H60" s="9" t="str">
        <x:v>OG06</x:v>
      </x:c>
      <x:c r="I60" s="17" t="str">
        <x:v>Witness provenance</x:v>
      </x:c>
      <x:c r="J60" s="17" t="str">
        <x:v>unlike witness originals, hashes, keys and access history reconcile</x:v>
      </x:c>
      <x:c r="K60" s="17" t="str">
        <x:v>Witness custody</x:v>
      </x:c>
      <x:c r="L60" s="9" t="n">
        <x:v>0</x:v>
      </x:c>
      <x:c r="M60" s="9" t="n">
        <x:v>0</x:v>
      </x:c>
      <x:c r="N60" s="9" t="str">
        <x:v>OPEN / UNACCEPTED</x:v>
      </x:c>
      <x:c r="O60" s="9" t="n">
        <x:f>COUNTIFS($A$7:$A$1734,A60)</x:f>
        <x:v>1</x:v>
      </x:c>
    </x:row>
    <x:row r="61">
      <x:c r="A61" s="9" t="str">
        <x:v>EV-AR-HU-A-B-TECH-2-B2-INT-G0-OG07</x:v>
      </x:c>
      <x:c r="B61" s="9" t="str">
        <x:v>EV-AR-HU-A-B-TECH-2-B2-INT-G0</x:v>
      </x:c>
      <x:c r="C61" s="9" t="str">
        <x:v>AR-HU-A-B-TECH-2-B2-INT-G0</x:v>
      </x:c>
      <x:c r="D61" s="9" t="str">
        <x:v>HU-A-B-TECH-2</x:v>
      </x:c>
      <x:c r="E61" s="9" t="str">
        <x:v>HU-A-B</x:v>
      </x:c>
      <x:c r="F61" s="9" t="str">
        <x:v>B2</x:v>
      </x:c>
      <x:c r="G61" s="9" t="str">
        <x:v>INT</x:v>
      </x:c>
      <x:c r="H61" s="9" t="str">
        <x:v>OG07</x:v>
      </x:c>
      <x:c r="I61" s="17" t="str">
        <x:v>Receiver denominator</x:v>
      </x:c>
      <x:c r="J61" s="17" t="str">
        <x:v>population, quantity, duration and exclusions match the frozen receipt</x:v>
      </x:c>
      <x:c r="K61" s="17" t="str">
        <x:v>Receiver court</x:v>
      </x:c>
      <x:c r="L61" s="9" t="n">
        <x:v>0</x:v>
      </x:c>
      <x:c r="M61" s="9" t="n">
        <x:v>0</x:v>
      </x:c>
      <x:c r="N61" s="9" t="str">
        <x:v>OPEN / UNACCEPTED</x:v>
      </x:c>
      <x:c r="O61" s="9" t="n">
        <x:f>COUNTIFS($A$7:$A$1734,A61)</x:f>
        <x:v>1</x:v>
      </x:c>
    </x:row>
    <x:row r="62">
      <x:c r="A62" s="9" t="str">
        <x:v>EV-AR-HU-A-B-TECH-2-B2-INT-G0-OG08</x:v>
      </x:c>
      <x:c r="B62" s="9" t="str">
        <x:v>EV-AR-HU-A-B-TECH-2-B2-INT-G0</x:v>
      </x:c>
      <x:c r="C62" s="9" t="str">
        <x:v>AR-HU-A-B-TECH-2-B2-INT-G0</x:v>
      </x:c>
      <x:c r="D62" s="9" t="str">
        <x:v>HU-A-B-TECH-2</x:v>
      </x:c>
      <x:c r="E62" s="9" t="str">
        <x:v>HU-A-B</x:v>
      </x:c>
      <x:c r="F62" s="9" t="str">
        <x:v>B2</x:v>
      </x:c>
      <x:c r="G62" s="9" t="str">
        <x:v>INT</x:v>
      </x:c>
      <x:c r="H62" s="9" t="str">
        <x:v>OG08</x:v>
      </x:c>
      <x:c r="I62" s="17" t="str">
        <x:v>Environment and boundary</x:v>
      </x:c>
      <x:c r="J62" s="17" t="str">
        <x:v>registered weather, water, ground, inlet and outlet states are retained</x:v>
      </x:c>
      <x:c r="K62" s="17" t="str">
        <x:v>Boundary court</x:v>
      </x:c>
      <x:c r="L62" s="9" t="n">
        <x:v>0</x:v>
      </x:c>
      <x:c r="M62" s="9" t="n">
        <x:v>0</x:v>
      </x:c>
      <x:c r="N62" s="9" t="str">
        <x:v>OPEN / UNACCEPTED</x:v>
      </x:c>
      <x:c r="O62" s="9" t="n">
        <x:f>COUNTIFS($A$7:$A$1734,A62)</x:f>
        <x:v>1</x:v>
      </x:c>
    </x:row>
    <x:row r="63">
      <x:c r="A63" s="9" t="str">
        <x:v>EV-AR-HU-A-B-TECH-2-B2-INT-G0-OG09</x:v>
      </x:c>
      <x:c r="B63" s="9" t="str">
        <x:v>EV-AR-HU-A-B-TECH-2-B2-INT-G0</x:v>
      </x:c>
      <x:c r="C63" s="9" t="str">
        <x:v>AR-HU-A-B-TECH-2-B2-INT-G0</x:v>
      </x:c>
      <x:c r="D63" s="9" t="str">
        <x:v>HU-A-B-TECH-2</x:v>
      </x:c>
      <x:c r="E63" s="9" t="str">
        <x:v>HU-A-B</x:v>
      </x:c>
      <x:c r="F63" s="9" t="str">
        <x:v>B2</x:v>
      </x:c>
      <x:c r="G63" s="9" t="str">
        <x:v>INT</x:v>
      </x:c>
      <x:c r="H63" s="9" t="str">
        <x:v>OG09</x:v>
      </x:c>
      <x:c r="I63" s="17" t="str">
        <x:v>Intervention account</x:v>
      </x:c>
      <x:c r="J63" s="17" t="str">
        <x:v>all stop, rescue, operator and public-protection actions remain timestamped</x:v>
      </x:c>
      <x:c r="K63" s="17" t="str">
        <x:v>Safety record court</x:v>
      </x:c>
      <x:c r="L63" s="9" t="n">
        <x:v>0</x:v>
      </x:c>
      <x:c r="M63" s="9" t="n">
        <x:v>0</x:v>
      </x:c>
      <x:c r="N63" s="9" t="str">
        <x:v>OPEN / UNACCEPTED</x:v>
      </x:c>
      <x:c r="O63" s="9" t="n">
        <x:f>COUNTIFS($A$7:$A$1734,A63)</x:f>
        <x:v>1</x:v>
      </x:c>
    </x:row>
    <x:row r="64">
      <x:c r="A64" s="9" t="str">
        <x:v>EV-AR-HU-A-B-TECH-2-B2-INT-G0-OG10</x:v>
      </x:c>
      <x:c r="B64" s="9" t="str">
        <x:v>EV-AR-HU-A-B-TECH-2-B2-INT-G0</x:v>
      </x:c>
      <x:c r="C64" s="9" t="str">
        <x:v>AR-HU-A-B-TECH-2-B2-INT-G0</x:v>
      </x:c>
      <x:c r="D64" s="9" t="str">
        <x:v>HU-A-B-TECH-2</x:v>
      </x:c>
      <x:c r="E64" s="9" t="str">
        <x:v>HU-A-B</x:v>
      </x:c>
      <x:c r="F64" s="9" t="str">
        <x:v>B2</x:v>
      </x:c>
      <x:c r="G64" s="9" t="str">
        <x:v>INT</x:v>
      </x:c>
      <x:c r="H64" s="9" t="str">
        <x:v>OG10</x:v>
      </x:c>
      <x:c r="I64" s="17" t="str">
        <x:v>Uncertainty statement</x:v>
      </x:c>
      <x:c r="J64" s="17" t="str">
        <x:v>range, censoring, resolution and correlation are declared before judgment</x:v>
      </x:c>
      <x:c r="K64" s="17" t="str">
        <x:v>Uncertainty authority</x:v>
      </x:c>
      <x:c r="L64" s="9" t="n">
        <x:v>0</x:v>
      </x:c>
      <x:c r="M64" s="9" t="n">
        <x:v>0</x:v>
      </x:c>
      <x:c r="N64" s="9" t="str">
        <x:v>OPEN / UNACCEPTED</x:v>
      </x:c>
      <x:c r="O64" s="9" t="n">
        <x:f>COUNTIFS($A$7:$A$1734,A64)</x:f>
        <x:v>1</x:v>
      </x:c>
    </x:row>
    <x:row r="65">
      <x:c r="A65" s="9" t="str">
        <x:v>EV-AR-HU-A-B-TECH-2-B2-INT-G0-OG11</x:v>
      </x:c>
      <x:c r="B65" s="9" t="str">
        <x:v>EV-AR-HU-A-B-TECH-2-B2-INT-G0</x:v>
      </x:c>
      <x:c r="C65" s="9" t="str">
        <x:v>AR-HU-A-B-TECH-2-B2-INT-G0</x:v>
      </x:c>
      <x:c r="D65" s="9" t="str">
        <x:v>HU-A-B-TECH-2</x:v>
      </x:c>
      <x:c r="E65" s="9" t="str">
        <x:v>HU-A-B</x:v>
      </x:c>
      <x:c r="F65" s="9" t="str">
        <x:v>B2</x:v>
      </x:c>
      <x:c r="G65" s="9" t="str">
        <x:v>INT</x:v>
      </x:c>
      <x:c r="H65" s="9" t="str">
        <x:v>OG11</x:v>
      </x:c>
      <x:c r="I65" s="17" t="str">
        <x:v>Contradiction preservation</x:v>
      </x:c>
      <x:c r="J65" s="17" t="str">
        <x:v>primary-witness disagreement remains explicit and is never averaged away</x:v>
      </x:c>
      <x:c r="K65" s="17" t="str">
        <x:v>Dissent registrar</x:v>
      </x:c>
      <x:c r="L65" s="9" t="n">
        <x:v>0</x:v>
      </x:c>
      <x:c r="M65" s="9" t="n">
        <x:v>0</x:v>
      </x:c>
      <x:c r="N65" s="9" t="str">
        <x:v>OPEN / UNACCEPTED</x:v>
      </x:c>
      <x:c r="O65" s="9" t="n">
        <x:f>COUNTIFS($A$7:$A$1734,A65)</x:f>
        <x:v>1</x:v>
      </x:c>
    </x:row>
    <x:row r="66">
      <x:c r="A66" s="9" t="str">
        <x:v>EV-AR-HU-A-B-TECH-2-B2-INT-G0-OG12</x:v>
      </x:c>
      <x:c r="B66" s="9" t="str">
        <x:v>EV-AR-HU-A-B-TECH-2-B2-INT-G0</x:v>
      </x:c>
      <x:c r="C66" s="9" t="str">
        <x:v>AR-HU-A-B-TECH-2-B2-INT-G0</x:v>
      </x:c>
      <x:c r="D66" s="9" t="str">
        <x:v>HU-A-B-TECH-2</x:v>
      </x:c>
      <x:c r="E66" s="9" t="str">
        <x:v>HU-A-B</x:v>
      </x:c>
      <x:c r="F66" s="9" t="str">
        <x:v>B2</x:v>
      </x:c>
      <x:c r="G66" s="9" t="str">
        <x:v>INT</x:v>
      </x:c>
      <x:c r="H66" s="9" t="str">
        <x:v>OG12</x:v>
      </x:c>
      <x:c r="I66" s="17" t="str">
        <x:v>Independent replay</x:v>
      </x:c>
      <x:c r="J66" s="17" t="str">
        <x:v>a separated reader reconstructs the registered observables from sealed originals</x:v>
      </x:c>
      <x:c r="K66" s="17" t="str">
        <x:v>Replay court</x:v>
      </x:c>
      <x:c r="L66" s="9" t="n">
        <x:v>0</x:v>
      </x:c>
      <x:c r="M66" s="9" t="n">
        <x:v>0</x:v>
      </x:c>
      <x:c r="N66" s="9" t="str">
        <x:v>OPEN / UNACCEPTED</x:v>
      </x:c>
      <x:c r="O66" s="9" t="n">
        <x:f>COUNTIFS($A$7:$A$1734,A66)</x:f>
        <x:v>1</x:v>
      </x:c>
    </x:row>
    <x:row r="67">
      <x:c r="A67" s="9" t="str">
        <x:v>EV-AR-LF-B-A-TECH-4-B1-INT-G0-OG01</x:v>
      </x:c>
      <x:c r="B67" s="9" t="str">
        <x:v>EV-AR-LF-B-A-TECH-4-B1-INT-G0</x:v>
      </x:c>
      <x:c r="C67" s="9" t="str">
        <x:v>AR-LF-B-A-TECH-4-B1-INT-G0</x:v>
      </x:c>
      <x:c r="D67" s="9" t="str">
        <x:v>LF-B-A-TECH-4</x:v>
      </x:c>
      <x:c r="E67" s="9" t="str">
        <x:v>LF-B-A</x:v>
      </x:c>
      <x:c r="F67" s="9" t="str">
        <x:v>B1</x:v>
      </x:c>
      <x:c r="G67" s="9" t="str">
        <x:v>INT</x:v>
      </x:c>
      <x:c r="H67" s="9" t="str">
        <x:v>OG01</x:v>
      </x:c>
      <x:c r="I67" s="17" t="str">
        <x:v>Serial and event identity</x:v>
      </x:c>
      <x:c r="J67" s="17" t="str">
        <x:v>record resolves to the issued serial, generation and physical start</x:v>
      </x:c>
      <x:c r="K67" s="17" t="str">
        <x:v>Observation court</x:v>
      </x:c>
      <x:c r="L67" s="9" t="n">
        <x:v>0</x:v>
      </x:c>
      <x:c r="M67" s="9" t="n">
        <x:v>0</x:v>
      </x:c>
      <x:c r="N67" s="9" t="str">
        <x:v>OPEN / UNACCEPTED</x:v>
      </x:c>
      <x:c r="O67" s="9" t="n">
        <x:f>COUNTIFS($A$7:$A$1734,A67)</x:f>
        <x:v>1</x:v>
      </x:c>
    </x:row>
    <x:row r="68">
      <x:c r="A68" s="9" t="str">
        <x:v>EV-AR-LF-B-A-TECH-4-B1-INT-G0-OG02</x:v>
      </x:c>
      <x:c r="B68" s="9" t="str">
        <x:v>EV-AR-LF-B-A-TECH-4-B1-INT-G0</x:v>
      </x:c>
      <x:c r="C68" s="9" t="str">
        <x:v>AR-LF-B-A-TECH-4-B1-INT-G0</x:v>
      </x:c>
      <x:c r="D68" s="9" t="str">
        <x:v>LF-B-A-TECH-4</x:v>
      </x:c>
      <x:c r="E68" s="9" t="str">
        <x:v>LF-B-A</x:v>
      </x:c>
      <x:c r="F68" s="9" t="str">
        <x:v>B1</x:v>
      </x:c>
      <x:c r="G68" s="9" t="str">
        <x:v>INT</x:v>
      </x:c>
      <x:c r="H68" s="9" t="str">
        <x:v>OG02</x:v>
      </x:c>
      <x:c r="I68" s="17" t="str">
        <x:v>Time ancestry</x:v>
      </x:c>
      <x:c r="J68" s="17" t="str">
        <x:v>primary, witness and public event clocks retain declared offsets and drift</x:v>
      </x:c>
      <x:c r="K68" s="17" t="str">
        <x:v>Time authority</x:v>
      </x:c>
      <x:c r="L68" s="9" t="n">
        <x:v>0</x:v>
      </x:c>
      <x:c r="M68" s="9" t="n">
        <x:v>0</x:v>
      </x:c>
      <x:c r="N68" s="9" t="str">
        <x:v>OPEN / UNACCEPTED</x:v>
      </x:c>
      <x:c r="O68" s="9" t="n">
        <x:f>COUNTIFS($A$7:$A$1734,A68)</x:f>
        <x:v>1</x:v>
      </x:c>
    </x:row>
    <x:row r="69">
      <x:c r="A69" s="9" t="str">
        <x:v>EV-AR-LF-B-A-TECH-4-B1-INT-G0-OG03</x:v>
      </x:c>
      <x:c r="B69" s="9" t="str">
        <x:v>EV-AR-LF-B-A-TECH-4-B1-INT-G0</x:v>
      </x:c>
      <x:c r="C69" s="9" t="str">
        <x:v>AR-LF-B-A-TECH-4-B1-INT-G0</x:v>
      </x:c>
      <x:c r="D69" s="9" t="str">
        <x:v>LF-B-A-TECH-4</x:v>
      </x:c>
      <x:c r="E69" s="9" t="str">
        <x:v>LF-B-A</x:v>
      </x:c>
      <x:c r="F69" s="9" t="str">
        <x:v>B1</x:v>
      </x:c>
      <x:c r="G69" s="9" t="str">
        <x:v>INT</x:v>
      </x:c>
      <x:c r="H69" s="9" t="str">
        <x:v>OG03</x:v>
      </x:c>
      <x:c r="I69" s="17" t="str">
        <x:v>Calibration ancestry</x:v>
      </x:c>
      <x:c r="J69" s="17" t="str">
        <x:v>all reference, range and uncertainty states cover the live interval</x:v>
      </x:c>
      <x:c r="K69" s="17" t="str">
        <x:v>Metrology courts</x:v>
      </x:c>
      <x:c r="L69" s="9" t="n">
        <x:v>0</x:v>
      </x:c>
      <x:c r="M69" s="9" t="n">
        <x:v>0</x:v>
      </x:c>
      <x:c r="N69" s="9" t="str">
        <x:v>OPEN / UNACCEPTED</x:v>
      </x:c>
      <x:c r="O69" s="9" t="n">
        <x:f>COUNTIFS($A$7:$A$1734,A69)</x:f>
        <x:v>1</x:v>
      </x:c>
    </x:row>
    <x:row r="70">
      <x:c r="A70" s="9" t="str">
        <x:v>EV-AR-LF-B-A-TECH-4-B1-INT-G0-OG04</x:v>
      </x:c>
      <x:c r="B70" s="9" t="str">
        <x:v>EV-AR-LF-B-A-TECH-4-B1-INT-G0</x:v>
      </x:c>
      <x:c r="C70" s="9" t="str">
        <x:v>AR-LF-B-A-TECH-4-B1-INT-G0</x:v>
      </x:c>
      <x:c r="D70" s="9" t="str">
        <x:v>LF-B-A-TECH-4</x:v>
      </x:c>
      <x:c r="E70" s="9" t="str">
        <x:v>LF-B-A</x:v>
      </x:c>
      <x:c r="F70" s="9" t="str">
        <x:v>B1</x:v>
      </x:c>
      <x:c r="G70" s="9" t="str">
        <x:v>INT</x:v>
      </x:c>
      <x:c r="H70" s="9" t="str">
        <x:v>OG04</x:v>
      </x:c>
      <x:c r="I70" s="17" t="str">
        <x:v>Raw completeness</x:v>
      </x:c>
      <x:c r="J70" s="17" t="str">
        <x:v>missingness is enumerated without imputation or outcome-conditioned deletion</x:v>
      </x:c>
      <x:c r="K70" s="17" t="str">
        <x:v>Observation court</x:v>
      </x:c>
      <x:c r="L70" s="9" t="n">
        <x:v>0</x:v>
      </x:c>
      <x:c r="M70" s="9" t="n">
        <x:v>0</x:v>
      </x:c>
      <x:c r="N70" s="9" t="str">
        <x:v>OPEN / UNACCEPTED</x:v>
      </x:c>
      <x:c r="O70" s="9" t="n">
        <x:f>COUNTIFS($A$7:$A$1734,A70)</x:f>
        <x:v>1</x:v>
      </x:c>
    </x:row>
    <x:row r="71">
      <x:c r="A71" s="9" t="str">
        <x:v>EV-AR-LF-B-A-TECH-4-B1-INT-G0-OG05</x:v>
      </x:c>
      <x:c r="B71" s="9" t="str">
        <x:v>EV-AR-LF-B-A-TECH-4-B1-INT-G0</x:v>
      </x:c>
      <x:c r="C71" s="9" t="str">
        <x:v>AR-LF-B-A-TECH-4-B1-INT-G0</x:v>
      </x:c>
      <x:c r="D71" s="9" t="str">
        <x:v>LF-B-A-TECH-4</x:v>
      </x:c>
      <x:c r="E71" s="9" t="str">
        <x:v>LF-B-A</x:v>
      </x:c>
      <x:c r="F71" s="9" t="str">
        <x:v>B1</x:v>
      </x:c>
      <x:c r="G71" s="9" t="str">
        <x:v>INT</x:v>
      </x:c>
      <x:c r="H71" s="9" t="str">
        <x:v>OG05</x:v>
      </x:c>
      <x:c r="I71" s="17" t="str">
        <x:v>Primary provenance</x:v>
      </x:c>
      <x:c r="J71" s="17" t="str">
        <x:v>primary originals, hashes, keys and access history reconcile</x:v>
      </x:c>
      <x:c r="K71" s="17" t="str">
        <x:v>Primary custody</x:v>
      </x:c>
      <x:c r="L71" s="9" t="n">
        <x:v>0</x:v>
      </x:c>
      <x:c r="M71" s="9" t="n">
        <x:v>0</x:v>
      </x:c>
      <x:c r="N71" s="9" t="str">
        <x:v>OPEN / UNACCEPTED</x:v>
      </x:c>
      <x:c r="O71" s="9" t="n">
        <x:f>COUNTIFS($A$7:$A$1734,A71)</x:f>
        <x:v>1</x:v>
      </x:c>
    </x:row>
    <x:row r="72">
      <x:c r="A72" s="9" t="str">
        <x:v>EV-AR-LF-B-A-TECH-4-B1-INT-G0-OG06</x:v>
      </x:c>
      <x:c r="B72" s="9" t="str">
        <x:v>EV-AR-LF-B-A-TECH-4-B1-INT-G0</x:v>
      </x:c>
      <x:c r="C72" s="9" t="str">
        <x:v>AR-LF-B-A-TECH-4-B1-INT-G0</x:v>
      </x:c>
      <x:c r="D72" s="9" t="str">
        <x:v>LF-B-A-TECH-4</x:v>
      </x:c>
      <x:c r="E72" s="9" t="str">
        <x:v>LF-B-A</x:v>
      </x:c>
      <x:c r="F72" s="9" t="str">
        <x:v>B1</x:v>
      </x:c>
      <x:c r="G72" s="9" t="str">
        <x:v>INT</x:v>
      </x:c>
      <x:c r="H72" s="9" t="str">
        <x:v>OG06</x:v>
      </x:c>
      <x:c r="I72" s="17" t="str">
        <x:v>Witness provenance</x:v>
      </x:c>
      <x:c r="J72" s="17" t="str">
        <x:v>unlike witness originals, hashes, keys and access history reconcile</x:v>
      </x:c>
      <x:c r="K72" s="17" t="str">
        <x:v>Witness custody</x:v>
      </x:c>
      <x:c r="L72" s="9" t="n">
        <x:v>0</x:v>
      </x:c>
      <x:c r="M72" s="9" t="n">
        <x:v>0</x:v>
      </x:c>
      <x:c r="N72" s="9" t="str">
        <x:v>OPEN / UNACCEPTED</x:v>
      </x:c>
      <x:c r="O72" s="9" t="n">
        <x:f>COUNTIFS($A$7:$A$1734,A72)</x:f>
        <x:v>1</x:v>
      </x:c>
    </x:row>
    <x:row r="73">
      <x:c r="A73" s="9" t="str">
        <x:v>EV-AR-LF-B-A-TECH-4-B1-INT-G0-OG07</x:v>
      </x:c>
      <x:c r="B73" s="9" t="str">
        <x:v>EV-AR-LF-B-A-TECH-4-B1-INT-G0</x:v>
      </x:c>
      <x:c r="C73" s="9" t="str">
        <x:v>AR-LF-B-A-TECH-4-B1-INT-G0</x:v>
      </x:c>
      <x:c r="D73" s="9" t="str">
        <x:v>LF-B-A-TECH-4</x:v>
      </x:c>
      <x:c r="E73" s="9" t="str">
        <x:v>LF-B-A</x:v>
      </x:c>
      <x:c r="F73" s="9" t="str">
        <x:v>B1</x:v>
      </x:c>
      <x:c r="G73" s="9" t="str">
        <x:v>INT</x:v>
      </x:c>
      <x:c r="H73" s="9" t="str">
        <x:v>OG07</x:v>
      </x:c>
      <x:c r="I73" s="17" t="str">
        <x:v>Receiver denominator</x:v>
      </x:c>
      <x:c r="J73" s="17" t="str">
        <x:v>population, quantity, duration and exclusions match the frozen receipt</x:v>
      </x:c>
      <x:c r="K73" s="17" t="str">
        <x:v>Receiver court</x:v>
      </x:c>
      <x:c r="L73" s="9" t="n">
        <x:v>0</x:v>
      </x:c>
      <x:c r="M73" s="9" t="n">
        <x:v>0</x:v>
      </x:c>
      <x:c r="N73" s="9" t="str">
        <x:v>OPEN / UNACCEPTED</x:v>
      </x:c>
      <x:c r="O73" s="9" t="n">
        <x:f>COUNTIFS($A$7:$A$1734,A73)</x:f>
        <x:v>1</x:v>
      </x:c>
    </x:row>
    <x:row r="74">
      <x:c r="A74" s="9" t="str">
        <x:v>EV-AR-LF-B-A-TECH-4-B1-INT-G0-OG08</x:v>
      </x:c>
      <x:c r="B74" s="9" t="str">
        <x:v>EV-AR-LF-B-A-TECH-4-B1-INT-G0</x:v>
      </x:c>
      <x:c r="C74" s="9" t="str">
        <x:v>AR-LF-B-A-TECH-4-B1-INT-G0</x:v>
      </x:c>
      <x:c r="D74" s="9" t="str">
        <x:v>LF-B-A-TECH-4</x:v>
      </x:c>
      <x:c r="E74" s="9" t="str">
        <x:v>LF-B-A</x:v>
      </x:c>
      <x:c r="F74" s="9" t="str">
        <x:v>B1</x:v>
      </x:c>
      <x:c r="G74" s="9" t="str">
        <x:v>INT</x:v>
      </x:c>
      <x:c r="H74" s="9" t="str">
        <x:v>OG08</x:v>
      </x:c>
      <x:c r="I74" s="17" t="str">
        <x:v>Environment and boundary</x:v>
      </x:c>
      <x:c r="J74" s="17" t="str">
        <x:v>registered weather, water, ground, inlet and outlet states are retained</x:v>
      </x:c>
      <x:c r="K74" s="17" t="str">
        <x:v>Boundary court</x:v>
      </x:c>
      <x:c r="L74" s="9" t="n">
        <x:v>0</x:v>
      </x:c>
      <x:c r="M74" s="9" t="n">
        <x:v>0</x:v>
      </x:c>
      <x:c r="N74" s="9" t="str">
        <x:v>OPEN / UNACCEPTED</x:v>
      </x:c>
      <x:c r="O74" s="9" t="n">
        <x:f>COUNTIFS($A$7:$A$1734,A74)</x:f>
        <x:v>1</x:v>
      </x:c>
    </x:row>
    <x:row r="75">
      <x:c r="A75" s="9" t="str">
        <x:v>EV-AR-LF-B-A-TECH-4-B1-INT-G0-OG09</x:v>
      </x:c>
      <x:c r="B75" s="9" t="str">
        <x:v>EV-AR-LF-B-A-TECH-4-B1-INT-G0</x:v>
      </x:c>
      <x:c r="C75" s="9" t="str">
        <x:v>AR-LF-B-A-TECH-4-B1-INT-G0</x:v>
      </x:c>
      <x:c r="D75" s="9" t="str">
        <x:v>LF-B-A-TECH-4</x:v>
      </x:c>
      <x:c r="E75" s="9" t="str">
        <x:v>LF-B-A</x:v>
      </x:c>
      <x:c r="F75" s="9" t="str">
        <x:v>B1</x:v>
      </x:c>
      <x:c r="G75" s="9" t="str">
        <x:v>INT</x:v>
      </x:c>
      <x:c r="H75" s="9" t="str">
        <x:v>OG09</x:v>
      </x:c>
      <x:c r="I75" s="17" t="str">
        <x:v>Intervention account</x:v>
      </x:c>
      <x:c r="J75" s="17" t="str">
        <x:v>all stop, rescue, operator and public-protection actions remain timestamped</x:v>
      </x:c>
      <x:c r="K75" s="17" t="str">
        <x:v>Safety record court</x:v>
      </x:c>
      <x:c r="L75" s="9" t="n">
        <x:v>0</x:v>
      </x:c>
      <x:c r="M75" s="9" t="n">
        <x:v>0</x:v>
      </x:c>
      <x:c r="N75" s="9" t="str">
        <x:v>OPEN / UNACCEPTED</x:v>
      </x:c>
      <x:c r="O75" s="9" t="n">
        <x:f>COUNTIFS($A$7:$A$1734,A75)</x:f>
        <x:v>1</x:v>
      </x:c>
    </x:row>
    <x:row r="76">
      <x:c r="A76" s="9" t="str">
        <x:v>EV-AR-LF-B-A-TECH-4-B1-INT-G0-OG10</x:v>
      </x:c>
      <x:c r="B76" s="9" t="str">
        <x:v>EV-AR-LF-B-A-TECH-4-B1-INT-G0</x:v>
      </x:c>
      <x:c r="C76" s="9" t="str">
        <x:v>AR-LF-B-A-TECH-4-B1-INT-G0</x:v>
      </x:c>
      <x:c r="D76" s="9" t="str">
        <x:v>LF-B-A-TECH-4</x:v>
      </x:c>
      <x:c r="E76" s="9" t="str">
        <x:v>LF-B-A</x:v>
      </x:c>
      <x:c r="F76" s="9" t="str">
        <x:v>B1</x:v>
      </x:c>
      <x:c r="G76" s="9" t="str">
        <x:v>INT</x:v>
      </x:c>
      <x:c r="H76" s="9" t="str">
        <x:v>OG10</x:v>
      </x:c>
      <x:c r="I76" s="17" t="str">
        <x:v>Uncertainty statement</x:v>
      </x:c>
      <x:c r="J76" s="17" t="str">
        <x:v>range, censoring, resolution and correlation are declared before judgment</x:v>
      </x:c>
      <x:c r="K76" s="17" t="str">
        <x:v>Uncertainty authority</x:v>
      </x:c>
      <x:c r="L76" s="9" t="n">
        <x:v>0</x:v>
      </x:c>
      <x:c r="M76" s="9" t="n">
        <x:v>0</x:v>
      </x:c>
      <x:c r="N76" s="9" t="str">
        <x:v>OPEN / UNACCEPTED</x:v>
      </x:c>
      <x:c r="O76" s="9" t="n">
        <x:f>COUNTIFS($A$7:$A$1734,A76)</x:f>
        <x:v>1</x:v>
      </x:c>
    </x:row>
    <x:row r="77">
      <x:c r="A77" s="9" t="str">
        <x:v>EV-AR-LF-B-A-TECH-4-B1-INT-G0-OG11</x:v>
      </x:c>
      <x:c r="B77" s="9" t="str">
        <x:v>EV-AR-LF-B-A-TECH-4-B1-INT-G0</x:v>
      </x:c>
      <x:c r="C77" s="9" t="str">
        <x:v>AR-LF-B-A-TECH-4-B1-INT-G0</x:v>
      </x:c>
      <x:c r="D77" s="9" t="str">
        <x:v>LF-B-A-TECH-4</x:v>
      </x:c>
      <x:c r="E77" s="9" t="str">
        <x:v>LF-B-A</x:v>
      </x:c>
      <x:c r="F77" s="9" t="str">
        <x:v>B1</x:v>
      </x:c>
      <x:c r="G77" s="9" t="str">
        <x:v>INT</x:v>
      </x:c>
      <x:c r="H77" s="9" t="str">
        <x:v>OG11</x:v>
      </x:c>
      <x:c r="I77" s="17" t="str">
        <x:v>Contradiction preservation</x:v>
      </x:c>
      <x:c r="J77" s="17" t="str">
        <x:v>primary-witness disagreement remains explicit and is never averaged away</x:v>
      </x:c>
      <x:c r="K77" s="17" t="str">
        <x:v>Dissent registrar</x:v>
      </x:c>
      <x:c r="L77" s="9" t="n">
        <x:v>0</x:v>
      </x:c>
      <x:c r="M77" s="9" t="n">
        <x:v>0</x:v>
      </x:c>
      <x:c r="N77" s="9" t="str">
        <x:v>OPEN / UNACCEPTED</x:v>
      </x:c>
      <x:c r="O77" s="9" t="n">
        <x:f>COUNTIFS($A$7:$A$1734,A77)</x:f>
        <x:v>1</x:v>
      </x:c>
    </x:row>
    <x:row r="78">
      <x:c r="A78" s="9" t="str">
        <x:v>EV-AR-LF-B-A-TECH-4-B1-INT-G0-OG12</x:v>
      </x:c>
      <x:c r="B78" s="9" t="str">
        <x:v>EV-AR-LF-B-A-TECH-4-B1-INT-G0</x:v>
      </x:c>
      <x:c r="C78" s="9" t="str">
        <x:v>AR-LF-B-A-TECH-4-B1-INT-G0</x:v>
      </x:c>
      <x:c r="D78" s="9" t="str">
        <x:v>LF-B-A-TECH-4</x:v>
      </x:c>
      <x:c r="E78" s="9" t="str">
        <x:v>LF-B-A</x:v>
      </x:c>
      <x:c r="F78" s="9" t="str">
        <x:v>B1</x:v>
      </x:c>
      <x:c r="G78" s="9" t="str">
        <x:v>INT</x:v>
      </x:c>
      <x:c r="H78" s="9" t="str">
        <x:v>OG12</x:v>
      </x:c>
      <x:c r="I78" s="17" t="str">
        <x:v>Independent replay</x:v>
      </x:c>
      <x:c r="J78" s="17" t="str">
        <x:v>a separated reader reconstructs the registered observables from sealed originals</x:v>
      </x:c>
      <x:c r="K78" s="17" t="str">
        <x:v>Replay court</x:v>
      </x:c>
      <x:c r="L78" s="9" t="n">
        <x:v>0</x:v>
      </x:c>
      <x:c r="M78" s="9" t="n">
        <x:v>0</x:v>
      </x:c>
      <x:c r="N78" s="9" t="str">
        <x:v>OPEN / UNACCEPTED</x:v>
      </x:c>
      <x:c r="O78" s="9" t="n">
        <x:f>COUNTIFS($A$7:$A$1734,A78)</x:f>
        <x:v>1</x:v>
      </x:c>
    </x:row>
    <x:row r="79">
      <x:c r="A79" s="9" t="str">
        <x:v>EV-AR-ET-A-A-TECH-1-B1-INT-G0-OG01</x:v>
      </x:c>
      <x:c r="B79" s="9" t="str">
        <x:v>EV-AR-ET-A-A-TECH-1-B1-INT-G0</x:v>
      </x:c>
      <x:c r="C79" s="9" t="str">
        <x:v>AR-ET-A-A-TECH-1-B1-INT-G0</x:v>
      </x:c>
      <x:c r="D79" s="9" t="str">
        <x:v>ET-A-A-TECH-1</x:v>
      </x:c>
      <x:c r="E79" s="9" t="str">
        <x:v>ET-A-A</x:v>
      </x:c>
      <x:c r="F79" s="9" t="str">
        <x:v>B1</x:v>
      </x:c>
      <x:c r="G79" s="9" t="str">
        <x:v>INT</x:v>
      </x:c>
      <x:c r="H79" s="9" t="str">
        <x:v>OG01</x:v>
      </x:c>
      <x:c r="I79" s="17" t="str">
        <x:v>Serial and event identity</x:v>
      </x:c>
      <x:c r="J79" s="17" t="str">
        <x:v>record resolves to the issued serial, generation and physical start</x:v>
      </x:c>
      <x:c r="K79" s="17" t="str">
        <x:v>Observation court</x:v>
      </x:c>
      <x:c r="L79" s="9" t="n">
        <x:v>0</x:v>
      </x:c>
      <x:c r="M79" s="9" t="n">
        <x:v>0</x:v>
      </x:c>
      <x:c r="N79" s="9" t="str">
        <x:v>OPEN / UNACCEPTED</x:v>
      </x:c>
      <x:c r="O79" s="9" t="n">
        <x:f>COUNTIFS($A$7:$A$1734,A79)</x:f>
        <x:v>1</x:v>
      </x:c>
    </x:row>
    <x:row r="80">
      <x:c r="A80" s="9" t="str">
        <x:v>EV-AR-ET-A-A-TECH-1-B1-INT-G0-OG02</x:v>
      </x:c>
      <x:c r="B80" s="9" t="str">
        <x:v>EV-AR-ET-A-A-TECH-1-B1-INT-G0</x:v>
      </x:c>
      <x:c r="C80" s="9" t="str">
        <x:v>AR-ET-A-A-TECH-1-B1-INT-G0</x:v>
      </x:c>
      <x:c r="D80" s="9" t="str">
        <x:v>ET-A-A-TECH-1</x:v>
      </x:c>
      <x:c r="E80" s="9" t="str">
        <x:v>ET-A-A</x:v>
      </x:c>
      <x:c r="F80" s="9" t="str">
        <x:v>B1</x:v>
      </x:c>
      <x:c r="G80" s="9" t="str">
        <x:v>INT</x:v>
      </x:c>
      <x:c r="H80" s="9" t="str">
        <x:v>OG02</x:v>
      </x:c>
      <x:c r="I80" s="17" t="str">
        <x:v>Time ancestry</x:v>
      </x:c>
      <x:c r="J80" s="17" t="str">
        <x:v>primary, witness and public event clocks retain declared offsets and drift</x:v>
      </x:c>
      <x:c r="K80" s="17" t="str">
        <x:v>Time authority</x:v>
      </x:c>
      <x:c r="L80" s="9" t="n">
        <x:v>0</x:v>
      </x:c>
      <x:c r="M80" s="9" t="n">
        <x:v>0</x:v>
      </x:c>
      <x:c r="N80" s="9" t="str">
        <x:v>OPEN / UNACCEPTED</x:v>
      </x:c>
      <x:c r="O80" s="9" t="n">
        <x:f>COUNTIFS($A$7:$A$1734,A80)</x:f>
        <x:v>1</x:v>
      </x:c>
    </x:row>
    <x:row r="81">
      <x:c r="A81" s="9" t="str">
        <x:v>EV-AR-ET-A-A-TECH-1-B1-INT-G0-OG03</x:v>
      </x:c>
      <x:c r="B81" s="9" t="str">
        <x:v>EV-AR-ET-A-A-TECH-1-B1-INT-G0</x:v>
      </x:c>
      <x:c r="C81" s="9" t="str">
        <x:v>AR-ET-A-A-TECH-1-B1-INT-G0</x:v>
      </x:c>
      <x:c r="D81" s="9" t="str">
        <x:v>ET-A-A-TECH-1</x:v>
      </x:c>
      <x:c r="E81" s="9" t="str">
        <x:v>ET-A-A</x:v>
      </x:c>
      <x:c r="F81" s="9" t="str">
        <x:v>B1</x:v>
      </x:c>
      <x:c r="G81" s="9" t="str">
        <x:v>INT</x:v>
      </x:c>
      <x:c r="H81" s="9" t="str">
        <x:v>OG03</x:v>
      </x:c>
      <x:c r="I81" s="17" t="str">
        <x:v>Calibration ancestry</x:v>
      </x:c>
      <x:c r="J81" s="17" t="str">
        <x:v>all reference, range and uncertainty states cover the live interval</x:v>
      </x:c>
      <x:c r="K81" s="17" t="str">
        <x:v>Metrology courts</x:v>
      </x:c>
      <x:c r="L81" s="9" t="n">
        <x:v>0</x:v>
      </x:c>
      <x:c r="M81" s="9" t="n">
        <x:v>0</x:v>
      </x:c>
      <x:c r="N81" s="9" t="str">
        <x:v>OPEN / UNACCEPTED</x:v>
      </x:c>
      <x:c r="O81" s="9" t="n">
        <x:f>COUNTIFS($A$7:$A$1734,A81)</x:f>
        <x:v>1</x:v>
      </x:c>
    </x:row>
    <x:row r="82">
      <x:c r="A82" s="9" t="str">
        <x:v>EV-AR-ET-A-A-TECH-1-B1-INT-G0-OG04</x:v>
      </x:c>
      <x:c r="B82" s="9" t="str">
        <x:v>EV-AR-ET-A-A-TECH-1-B1-INT-G0</x:v>
      </x:c>
      <x:c r="C82" s="9" t="str">
        <x:v>AR-ET-A-A-TECH-1-B1-INT-G0</x:v>
      </x:c>
      <x:c r="D82" s="9" t="str">
        <x:v>ET-A-A-TECH-1</x:v>
      </x:c>
      <x:c r="E82" s="9" t="str">
        <x:v>ET-A-A</x:v>
      </x:c>
      <x:c r="F82" s="9" t="str">
        <x:v>B1</x:v>
      </x:c>
      <x:c r="G82" s="9" t="str">
        <x:v>INT</x:v>
      </x:c>
      <x:c r="H82" s="9" t="str">
        <x:v>OG04</x:v>
      </x:c>
      <x:c r="I82" s="17" t="str">
        <x:v>Raw completeness</x:v>
      </x:c>
      <x:c r="J82" s="17" t="str">
        <x:v>missingness is enumerated without imputation or outcome-conditioned deletion</x:v>
      </x:c>
      <x:c r="K82" s="17" t="str">
        <x:v>Observation court</x:v>
      </x:c>
      <x:c r="L82" s="9" t="n">
        <x:v>0</x:v>
      </x:c>
      <x:c r="M82" s="9" t="n">
        <x:v>0</x:v>
      </x:c>
      <x:c r="N82" s="9" t="str">
        <x:v>OPEN / UNACCEPTED</x:v>
      </x:c>
      <x:c r="O82" s="9" t="n">
        <x:f>COUNTIFS($A$7:$A$1734,A82)</x:f>
        <x:v>1</x:v>
      </x:c>
    </x:row>
    <x:row r="83">
      <x:c r="A83" s="9" t="str">
        <x:v>EV-AR-ET-A-A-TECH-1-B1-INT-G0-OG05</x:v>
      </x:c>
      <x:c r="B83" s="9" t="str">
        <x:v>EV-AR-ET-A-A-TECH-1-B1-INT-G0</x:v>
      </x:c>
      <x:c r="C83" s="9" t="str">
        <x:v>AR-ET-A-A-TECH-1-B1-INT-G0</x:v>
      </x:c>
      <x:c r="D83" s="9" t="str">
        <x:v>ET-A-A-TECH-1</x:v>
      </x:c>
      <x:c r="E83" s="9" t="str">
        <x:v>ET-A-A</x:v>
      </x:c>
      <x:c r="F83" s="9" t="str">
        <x:v>B1</x:v>
      </x:c>
      <x:c r="G83" s="9" t="str">
        <x:v>INT</x:v>
      </x:c>
      <x:c r="H83" s="9" t="str">
        <x:v>OG05</x:v>
      </x:c>
      <x:c r="I83" s="17" t="str">
        <x:v>Primary provenance</x:v>
      </x:c>
      <x:c r="J83" s="17" t="str">
        <x:v>primary originals, hashes, keys and access history reconcile</x:v>
      </x:c>
      <x:c r="K83" s="17" t="str">
        <x:v>Primary custody</x:v>
      </x:c>
      <x:c r="L83" s="9" t="n">
        <x:v>0</x:v>
      </x:c>
      <x:c r="M83" s="9" t="n">
        <x:v>0</x:v>
      </x:c>
      <x:c r="N83" s="9" t="str">
        <x:v>OPEN / UNACCEPTED</x:v>
      </x:c>
      <x:c r="O83" s="9" t="n">
        <x:f>COUNTIFS($A$7:$A$1734,A83)</x:f>
        <x:v>1</x:v>
      </x:c>
    </x:row>
    <x:row r="84">
      <x:c r="A84" s="9" t="str">
        <x:v>EV-AR-ET-A-A-TECH-1-B1-INT-G0-OG06</x:v>
      </x:c>
      <x:c r="B84" s="9" t="str">
        <x:v>EV-AR-ET-A-A-TECH-1-B1-INT-G0</x:v>
      </x:c>
      <x:c r="C84" s="9" t="str">
        <x:v>AR-ET-A-A-TECH-1-B1-INT-G0</x:v>
      </x:c>
      <x:c r="D84" s="9" t="str">
        <x:v>ET-A-A-TECH-1</x:v>
      </x:c>
      <x:c r="E84" s="9" t="str">
        <x:v>ET-A-A</x:v>
      </x:c>
      <x:c r="F84" s="9" t="str">
        <x:v>B1</x:v>
      </x:c>
      <x:c r="G84" s="9" t="str">
        <x:v>INT</x:v>
      </x:c>
      <x:c r="H84" s="9" t="str">
        <x:v>OG06</x:v>
      </x:c>
      <x:c r="I84" s="17" t="str">
        <x:v>Witness provenance</x:v>
      </x:c>
      <x:c r="J84" s="17" t="str">
        <x:v>unlike witness originals, hashes, keys and access history reconcile</x:v>
      </x:c>
      <x:c r="K84" s="17" t="str">
        <x:v>Witness custody</x:v>
      </x:c>
      <x:c r="L84" s="9" t="n">
        <x:v>0</x:v>
      </x:c>
      <x:c r="M84" s="9" t="n">
        <x:v>0</x:v>
      </x:c>
      <x:c r="N84" s="9" t="str">
        <x:v>OPEN / UNACCEPTED</x:v>
      </x:c>
      <x:c r="O84" s="9" t="n">
        <x:f>COUNTIFS($A$7:$A$1734,A84)</x:f>
        <x:v>1</x:v>
      </x:c>
    </x:row>
    <x:row r="85">
      <x:c r="A85" s="9" t="str">
        <x:v>EV-AR-ET-A-A-TECH-1-B1-INT-G0-OG07</x:v>
      </x:c>
      <x:c r="B85" s="9" t="str">
        <x:v>EV-AR-ET-A-A-TECH-1-B1-INT-G0</x:v>
      </x:c>
      <x:c r="C85" s="9" t="str">
        <x:v>AR-ET-A-A-TECH-1-B1-INT-G0</x:v>
      </x:c>
      <x:c r="D85" s="9" t="str">
        <x:v>ET-A-A-TECH-1</x:v>
      </x:c>
      <x:c r="E85" s="9" t="str">
        <x:v>ET-A-A</x:v>
      </x:c>
      <x:c r="F85" s="9" t="str">
        <x:v>B1</x:v>
      </x:c>
      <x:c r="G85" s="9" t="str">
        <x:v>INT</x:v>
      </x:c>
      <x:c r="H85" s="9" t="str">
        <x:v>OG07</x:v>
      </x:c>
      <x:c r="I85" s="17" t="str">
        <x:v>Receiver denominator</x:v>
      </x:c>
      <x:c r="J85" s="17" t="str">
        <x:v>population, quantity, duration and exclusions match the frozen receipt</x:v>
      </x:c>
      <x:c r="K85" s="17" t="str">
        <x:v>Receiver court</x:v>
      </x:c>
      <x:c r="L85" s="9" t="n">
        <x:v>0</x:v>
      </x:c>
      <x:c r="M85" s="9" t="n">
        <x:v>0</x:v>
      </x:c>
      <x:c r="N85" s="9" t="str">
        <x:v>OPEN / UNACCEPTED</x:v>
      </x:c>
      <x:c r="O85" s="9" t="n">
        <x:f>COUNTIFS($A$7:$A$1734,A85)</x:f>
        <x:v>1</x:v>
      </x:c>
    </x:row>
    <x:row r="86">
      <x:c r="A86" s="9" t="str">
        <x:v>EV-AR-ET-A-A-TECH-1-B1-INT-G0-OG08</x:v>
      </x:c>
      <x:c r="B86" s="9" t="str">
        <x:v>EV-AR-ET-A-A-TECH-1-B1-INT-G0</x:v>
      </x:c>
      <x:c r="C86" s="9" t="str">
        <x:v>AR-ET-A-A-TECH-1-B1-INT-G0</x:v>
      </x:c>
      <x:c r="D86" s="9" t="str">
        <x:v>ET-A-A-TECH-1</x:v>
      </x:c>
      <x:c r="E86" s="9" t="str">
        <x:v>ET-A-A</x:v>
      </x:c>
      <x:c r="F86" s="9" t="str">
        <x:v>B1</x:v>
      </x:c>
      <x:c r="G86" s="9" t="str">
        <x:v>INT</x:v>
      </x:c>
      <x:c r="H86" s="9" t="str">
        <x:v>OG08</x:v>
      </x:c>
      <x:c r="I86" s="17" t="str">
        <x:v>Environment and boundary</x:v>
      </x:c>
      <x:c r="J86" s="17" t="str">
        <x:v>registered weather, water, ground, inlet and outlet states are retained</x:v>
      </x:c>
      <x:c r="K86" s="17" t="str">
        <x:v>Boundary court</x:v>
      </x:c>
      <x:c r="L86" s="9" t="n">
        <x:v>0</x:v>
      </x:c>
      <x:c r="M86" s="9" t="n">
        <x:v>0</x:v>
      </x:c>
      <x:c r="N86" s="9" t="str">
        <x:v>OPEN / UNACCEPTED</x:v>
      </x:c>
      <x:c r="O86" s="9" t="n">
        <x:f>COUNTIFS($A$7:$A$1734,A86)</x:f>
        <x:v>1</x:v>
      </x:c>
    </x:row>
    <x:row r="87">
      <x:c r="A87" s="9" t="str">
        <x:v>EV-AR-ET-A-A-TECH-1-B1-INT-G0-OG09</x:v>
      </x:c>
      <x:c r="B87" s="9" t="str">
        <x:v>EV-AR-ET-A-A-TECH-1-B1-INT-G0</x:v>
      </x:c>
      <x:c r="C87" s="9" t="str">
        <x:v>AR-ET-A-A-TECH-1-B1-INT-G0</x:v>
      </x:c>
      <x:c r="D87" s="9" t="str">
        <x:v>ET-A-A-TECH-1</x:v>
      </x:c>
      <x:c r="E87" s="9" t="str">
        <x:v>ET-A-A</x:v>
      </x:c>
      <x:c r="F87" s="9" t="str">
        <x:v>B1</x:v>
      </x:c>
      <x:c r="G87" s="9" t="str">
        <x:v>INT</x:v>
      </x:c>
      <x:c r="H87" s="9" t="str">
        <x:v>OG09</x:v>
      </x:c>
      <x:c r="I87" s="17" t="str">
        <x:v>Intervention account</x:v>
      </x:c>
      <x:c r="J87" s="17" t="str">
        <x:v>all stop, rescue, operator and public-protection actions remain timestamped</x:v>
      </x:c>
      <x:c r="K87" s="17" t="str">
        <x:v>Safety record court</x:v>
      </x:c>
      <x:c r="L87" s="9" t="n">
        <x:v>0</x:v>
      </x:c>
      <x:c r="M87" s="9" t="n">
        <x:v>0</x:v>
      </x:c>
      <x:c r="N87" s="9" t="str">
        <x:v>OPEN / UNACCEPTED</x:v>
      </x:c>
      <x:c r="O87" s="9" t="n">
        <x:f>COUNTIFS($A$7:$A$1734,A87)</x:f>
        <x:v>1</x:v>
      </x:c>
    </x:row>
    <x:row r="88">
      <x:c r="A88" s="9" t="str">
        <x:v>EV-AR-ET-A-A-TECH-1-B1-INT-G0-OG10</x:v>
      </x:c>
      <x:c r="B88" s="9" t="str">
        <x:v>EV-AR-ET-A-A-TECH-1-B1-INT-G0</x:v>
      </x:c>
      <x:c r="C88" s="9" t="str">
        <x:v>AR-ET-A-A-TECH-1-B1-INT-G0</x:v>
      </x:c>
      <x:c r="D88" s="9" t="str">
        <x:v>ET-A-A-TECH-1</x:v>
      </x:c>
      <x:c r="E88" s="9" t="str">
        <x:v>ET-A-A</x:v>
      </x:c>
      <x:c r="F88" s="9" t="str">
        <x:v>B1</x:v>
      </x:c>
      <x:c r="G88" s="9" t="str">
        <x:v>INT</x:v>
      </x:c>
      <x:c r="H88" s="9" t="str">
        <x:v>OG10</x:v>
      </x:c>
      <x:c r="I88" s="17" t="str">
        <x:v>Uncertainty statement</x:v>
      </x:c>
      <x:c r="J88" s="17" t="str">
        <x:v>range, censoring, resolution and correlation are declared before judgment</x:v>
      </x:c>
      <x:c r="K88" s="17" t="str">
        <x:v>Uncertainty authority</x:v>
      </x:c>
      <x:c r="L88" s="9" t="n">
        <x:v>0</x:v>
      </x:c>
      <x:c r="M88" s="9" t="n">
        <x:v>0</x:v>
      </x:c>
      <x:c r="N88" s="9" t="str">
        <x:v>OPEN / UNACCEPTED</x:v>
      </x:c>
      <x:c r="O88" s="9" t="n">
        <x:f>COUNTIFS($A$7:$A$1734,A88)</x:f>
        <x:v>1</x:v>
      </x:c>
    </x:row>
    <x:row r="89">
      <x:c r="A89" s="9" t="str">
        <x:v>EV-AR-ET-A-A-TECH-1-B1-INT-G0-OG11</x:v>
      </x:c>
      <x:c r="B89" s="9" t="str">
        <x:v>EV-AR-ET-A-A-TECH-1-B1-INT-G0</x:v>
      </x:c>
      <x:c r="C89" s="9" t="str">
        <x:v>AR-ET-A-A-TECH-1-B1-INT-G0</x:v>
      </x:c>
      <x:c r="D89" s="9" t="str">
        <x:v>ET-A-A-TECH-1</x:v>
      </x:c>
      <x:c r="E89" s="9" t="str">
        <x:v>ET-A-A</x:v>
      </x:c>
      <x:c r="F89" s="9" t="str">
        <x:v>B1</x:v>
      </x:c>
      <x:c r="G89" s="9" t="str">
        <x:v>INT</x:v>
      </x:c>
      <x:c r="H89" s="9" t="str">
        <x:v>OG11</x:v>
      </x:c>
      <x:c r="I89" s="17" t="str">
        <x:v>Contradiction preservation</x:v>
      </x:c>
      <x:c r="J89" s="17" t="str">
        <x:v>primary-witness disagreement remains explicit and is never averaged away</x:v>
      </x:c>
      <x:c r="K89" s="17" t="str">
        <x:v>Dissent registrar</x:v>
      </x:c>
      <x:c r="L89" s="9" t="n">
        <x:v>0</x:v>
      </x:c>
      <x:c r="M89" s="9" t="n">
        <x:v>0</x:v>
      </x:c>
      <x:c r="N89" s="9" t="str">
        <x:v>OPEN / UNACCEPTED</x:v>
      </x:c>
      <x:c r="O89" s="9" t="n">
        <x:f>COUNTIFS($A$7:$A$1734,A89)</x:f>
        <x:v>1</x:v>
      </x:c>
    </x:row>
    <x:row r="90">
      <x:c r="A90" s="9" t="str">
        <x:v>EV-AR-ET-A-A-TECH-1-B1-INT-G0-OG12</x:v>
      </x:c>
      <x:c r="B90" s="9" t="str">
        <x:v>EV-AR-ET-A-A-TECH-1-B1-INT-G0</x:v>
      </x:c>
      <x:c r="C90" s="9" t="str">
        <x:v>AR-ET-A-A-TECH-1-B1-INT-G0</x:v>
      </x:c>
      <x:c r="D90" s="9" t="str">
        <x:v>ET-A-A-TECH-1</x:v>
      </x:c>
      <x:c r="E90" s="9" t="str">
        <x:v>ET-A-A</x:v>
      </x:c>
      <x:c r="F90" s="9" t="str">
        <x:v>B1</x:v>
      </x:c>
      <x:c r="G90" s="9" t="str">
        <x:v>INT</x:v>
      </x:c>
      <x:c r="H90" s="9" t="str">
        <x:v>OG12</x:v>
      </x:c>
      <x:c r="I90" s="17" t="str">
        <x:v>Independent replay</x:v>
      </x:c>
      <x:c r="J90" s="17" t="str">
        <x:v>a separated reader reconstructs the registered observables from sealed originals</x:v>
      </x:c>
      <x:c r="K90" s="17" t="str">
        <x:v>Replay court</x:v>
      </x:c>
      <x:c r="L90" s="9" t="n">
        <x:v>0</x:v>
      </x:c>
      <x:c r="M90" s="9" t="n">
        <x:v>0</x:v>
      </x:c>
      <x:c r="N90" s="9" t="str">
        <x:v>OPEN / UNACCEPTED</x:v>
      </x:c>
      <x:c r="O90" s="9" t="n">
        <x:f>COUNTIFS($A$7:$A$1734,A90)</x:f>
        <x:v>1</x:v>
      </x:c>
    </x:row>
    <x:row r="91">
      <x:c r="A91" s="9" t="str">
        <x:v>EV-AR-ET-A-A-TECH-2-B2-RCN-G0-OG01</x:v>
      </x:c>
      <x:c r="B91" s="9" t="str">
        <x:v>EV-AR-ET-A-A-TECH-2-B2-RCN-G0</x:v>
      </x:c>
      <x:c r="C91" s="9" t="str">
        <x:v>AR-ET-A-A-TECH-2-B2-RCN-G0</x:v>
      </x:c>
      <x:c r="D91" s="9" t="str">
        <x:v>ET-A-A-TECH-2</x:v>
      </x:c>
      <x:c r="E91" s="9" t="str">
        <x:v>ET-A-A</x:v>
      </x:c>
      <x:c r="F91" s="9" t="str">
        <x:v>B2</x:v>
      </x:c>
      <x:c r="G91" s="9" t="str">
        <x:v>RCN</x:v>
      </x:c>
      <x:c r="H91" s="9" t="str">
        <x:v>OG01</x:v>
      </x:c>
      <x:c r="I91" s="17" t="str">
        <x:v>Serial and event identity</x:v>
      </x:c>
      <x:c r="J91" s="17" t="str">
        <x:v>record resolves to the issued serial, generation and physical start</x:v>
      </x:c>
      <x:c r="K91" s="17" t="str">
        <x:v>Observation court</x:v>
      </x:c>
      <x:c r="L91" s="9" t="n">
        <x:v>0</x:v>
      </x:c>
      <x:c r="M91" s="9" t="n">
        <x:v>0</x:v>
      </x:c>
      <x:c r="N91" s="9" t="str">
        <x:v>OPEN / UNACCEPTED</x:v>
      </x:c>
      <x:c r="O91" s="9" t="n">
        <x:f>COUNTIFS($A$7:$A$1734,A91)</x:f>
        <x:v>1</x:v>
      </x:c>
    </x:row>
    <x:row r="92">
      <x:c r="A92" s="9" t="str">
        <x:v>EV-AR-ET-A-A-TECH-2-B2-RCN-G0-OG02</x:v>
      </x:c>
      <x:c r="B92" s="9" t="str">
        <x:v>EV-AR-ET-A-A-TECH-2-B2-RCN-G0</x:v>
      </x:c>
      <x:c r="C92" s="9" t="str">
        <x:v>AR-ET-A-A-TECH-2-B2-RCN-G0</x:v>
      </x:c>
      <x:c r="D92" s="9" t="str">
        <x:v>ET-A-A-TECH-2</x:v>
      </x:c>
      <x:c r="E92" s="9" t="str">
        <x:v>ET-A-A</x:v>
      </x:c>
      <x:c r="F92" s="9" t="str">
        <x:v>B2</x:v>
      </x:c>
      <x:c r="G92" s="9" t="str">
        <x:v>RCN</x:v>
      </x:c>
      <x:c r="H92" s="9" t="str">
        <x:v>OG02</x:v>
      </x:c>
      <x:c r="I92" s="17" t="str">
        <x:v>Time ancestry</x:v>
      </x:c>
      <x:c r="J92" s="17" t="str">
        <x:v>primary, witness and public event clocks retain declared offsets and drift</x:v>
      </x:c>
      <x:c r="K92" s="17" t="str">
        <x:v>Time authority</x:v>
      </x:c>
      <x:c r="L92" s="9" t="n">
        <x:v>0</x:v>
      </x:c>
      <x:c r="M92" s="9" t="n">
        <x:v>0</x:v>
      </x:c>
      <x:c r="N92" s="9" t="str">
        <x:v>OPEN / UNACCEPTED</x:v>
      </x:c>
      <x:c r="O92" s="9" t="n">
        <x:f>COUNTIFS($A$7:$A$1734,A92)</x:f>
        <x:v>1</x:v>
      </x:c>
    </x:row>
    <x:row r="93">
      <x:c r="A93" s="9" t="str">
        <x:v>EV-AR-ET-A-A-TECH-2-B2-RCN-G0-OG03</x:v>
      </x:c>
      <x:c r="B93" s="9" t="str">
        <x:v>EV-AR-ET-A-A-TECH-2-B2-RCN-G0</x:v>
      </x:c>
      <x:c r="C93" s="9" t="str">
        <x:v>AR-ET-A-A-TECH-2-B2-RCN-G0</x:v>
      </x:c>
      <x:c r="D93" s="9" t="str">
        <x:v>ET-A-A-TECH-2</x:v>
      </x:c>
      <x:c r="E93" s="9" t="str">
        <x:v>ET-A-A</x:v>
      </x:c>
      <x:c r="F93" s="9" t="str">
        <x:v>B2</x:v>
      </x:c>
      <x:c r="G93" s="9" t="str">
        <x:v>RCN</x:v>
      </x:c>
      <x:c r="H93" s="9" t="str">
        <x:v>OG03</x:v>
      </x:c>
      <x:c r="I93" s="17" t="str">
        <x:v>Calibration ancestry</x:v>
      </x:c>
      <x:c r="J93" s="17" t="str">
        <x:v>all reference, range and uncertainty states cover the live interval</x:v>
      </x:c>
      <x:c r="K93" s="17" t="str">
        <x:v>Metrology courts</x:v>
      </x:c>
      <x:c r="L93" s="9" t="n">
        <x:v>0</x:v>
      </x:c>
      <x:c r="M93" s="9" t="n">
        <x:v>0</x:v>
      </x:c>
      <x:c r="N93" s="9" t="str">
        <x:v>OPEN / UNACCEPTED</x:v>
      </x:c>
      <x:c r="O93" s="9" t="n">
        <x:f>COUNTIFS($A$7:$A$1734,A93)</x:f>
        <x:v>1</x:v>
      </x:c>
    </x:row>
    <x:row r="94">
      <x:c r="A94" s="9" t="str">
        <x:v>EV-AR-ET-A-A-TECH-2-B2-RCN-G0-OG04</x:v>
      </x:c>
      <x:c r="B94" s="9" t="str">
        <x:v>EV-AR-ET-A-A-TECH-2-B2-RCN-G0</x:v>
      </x:c>
      <x:c r="C94" s="9" t="str">
        <x:v>AR-ET-A-A-TECH-2-B2-RCN-G0</x:v>
      </x:c>
      <x:c r="D94" s="9" t="str">
        <x:v>ET-A-A-TECH-2</x:v>
      </x:c>
      <x:c r="E94" s="9" t="str">
        <x:v>ET-A-A</x:v>
      </x:c>
      <x:c r="F94" s="9" t="str">
        <x:v>B2</x:v>
      </x:c>
      <x:c r="G94" s="9" t="str">
        <x:v>RCN</x:v>
      </x:c>
      <x:c r="H94" s="9" t="str">
        <x:v>OG04</x:v>
      </x:c>
      <x:c r="I94" s="17" t="str">
        <x:v>Raw completeness</x:v>
      </x:c>
      <x:c r="J94" s="17" t="str">
        <x:v>missingness is enumerated without imputation or outcome-conditioned deletion</x:v>
      </x:c>
      <x:c r="K94" s="17" t="str">
        <x:v>Observation court</x:v>
      </x:c>
      <x:c r="L94" s="9" t="n">
        <x:v>0</x:v>
      </x:c>
      <x:c r="M94" s="9" t="n">
        <x:v>0</x:v>
      </x:c>
      <x:c r="N94" s="9" t="str">
        <x:v>OPEN / UNACCEPTED</x:v>
      </x:c>
      <x:c r="O94" s="9" t="n">
        <x:f>COUNTIFS($A$7:$A$1734,A94)</x:f>
        <x:v>1</x:v>
      </x:c>
    </x:row>
    <x:row r="95">
      <x:c r="A95" s="9" t="str">
        <x:v>EV-AR-ET-A-A-TECH-2-B2-RCN-G0-OG05</x:v>
      </x:c>
      <x:c r="B95" s="9" t="str">
        <x:v>EV-AR-ET-A-A-TECH-2-B2-RCN-G0</x:v>
      </x:c>
      <x:c r="C95" s="9" t="str">
        <x:v>AR-ET-A-A-TECH-2-B2-RCN-G0</x:v>
      </x:c>
      <x:c r="D95" s="9" t="str">
        <x:v>ET-A-A-TECH-2</x:v>
      </x:c>
      <x:c r="E95" s="9" t="str">
        <x:v>ET-A-A</x:v>
      </x:c>
      <x:c r="F95" s="9" t="str">
        <x:v>B2</x:v>
      </x:c>
      <x:c r="G95" s="9" t="str">
        <x:v>RCN</x:v>
      </x:c>
      <x:c r="H95" s="9" t="str">
        <x:v>OG05</x:v>
      </x:c>
      <x:c r="I95" s="17" t="str">
        <x:v>Primary provenance</x:v>
      </x:c>
      <x:c r="J95" s="17" t="str">
        <x:v>primary originals, hashes, keys and access history reconcile</x:v>
      </x:c>
      <x:c r="K95" s="17" t="str">
        <x:v>Primary custody</x:v>
      </x:c>
      <x:c r="L95" s="9" t="n">
        <x:v>0</x:v>
      </x:c>
      <x:c r="M95" s="9" t="n">
        <x:v>0</x:v>
      </x:c>
      <x:c r="N95" s="9" t="str">
        <x:v>OPEN / UNACCEPTED</x:v>
      </x:c>
      <x:c r="O95" s="9" t="n">
        <x:f>COUNTIFS($A$7:$A$1734,A95)</x:f>
        <x:v>1</x:v>
      </x:c>
    </x:row>
    <x:row r="96">
      <x:c r="A96" s="9" t="str">
        <x:v>EV-AR-ET-A-A-TECH-2-B2-RCN-G0-OG06</x:v>
      </x:c>
      <x:c r="B96" s="9" t="str">
        <x:v>EV-AR-ET-A-A-TECH-2-B2-RCN-G0</x:v>
      </x:c>
      <x:c r="C96" s="9" t="str">
        <x:v>AR-ET-A-A-TECH-2-B2-RCN-G0</x:v>
      </x:c>
      <x:c r="D96" s="9" t="str">
        <x:v>ET-A-A-TECH-2</x:v>
      </x:c>
      <x:c r="E96" s="9" t="str">
        <x:v>ET-A-A</x:v>
      </x:c>
      <x:c r="F96" s="9" t="str">
        <x:v>B2</x:v>
      </x:c>
      <x:c r="G96" s="9" t="str">
        <x:v>RCN</x:v>
      </x:c>
      <x:c r="H96" s="9" t="str">
        <x:v>OG06</x:v>
      </x:c>
      <x:c r="I96" s="17" t="str">
        <x:v>Witness provenance</x:v>
      </x:c>
      <x:c r="J96" s="17" t="str">
        <x:v>unlike witness originals, hashes, keys and access history reconcile</x:v>
      </x:c>
      <x:c r="K96" s="17" t="str">
        <x:v>Witness custody</x:v>
      </x:c>
      <x:c r="L96" s="9" t="n">
        <x:v>0</x:v>
      </x:c>
      <x:c r="M96" s="9" t="n">
        <x:v>0</x:v>
      </x:c>
      <x:c r="N96" s="9" t="str">
        <x:v>OPEN / UNACCEPTED</x:v>
      </x:c>
      <x:c r="O96" s="9" t="n">
        <x:f>COUNTIFS($A$7:$A$1734,A96)</x:f>
        <x:v>1</x:v>
      </x:c>
    </x:row>
    <x:row r="97">
      <x:c r="A97" s="9" t="str">
        <x:v>EV-AR-ET-A-A-TECH-2-B2-RCN-G0-OG07</x:v>
      </x:c>
      <x:c r="B97" s="9" t="str">
        <x:v>EV-AR-ET-A-A-TECH-2-B2-RCN-G0</x:v>
      </x:c>
      <x:c r="C97" s="9" t="str">
        <x:v>AR-ET-A-A-TECH-2-B2-RCN-G0</x:v>
      </x:c>
      <x:c r="D97" s="9" t="str">
        <x:v>ET-A-A-TECH-2</x:v>
      </x:c>
      <x:c r="E97" s="9" t="str">
        <x:v>ET-A-A</x:v>
      </x:c>
      <x:c r="F97" s="9" t="str">
        <x:v>B2</x:v>
      </x:c>
      <x:c r="G97" s="9" t="str">
        <x:v>RCN</x:v>
      </x:c>
      <x:c r="H97" s="9" t="str">
        <x:v>OG07</x:v>
      </x:c>
      <x:c r="I97" s="17" t="str">
        <x:v>Receiver denominator</x:v>
      </x:c>
      <x:c r="J97" s="17" t="str">
        <x:v>population, quantity, duration and exclusions match the frozen receipt</x:v>
      </x:c>
      <x:c r="K97" s="17" t="str">
        <x:v>Receiver court</x:v>
      </x:c>
      <x:c r="L97" s="9" t="n">
        <x:v>0</x:v>
      </x:c>
      <x:c r="M97" s="9" t="n">
        <x:v>0</x:v>
      </x:c>
      <x:c r="N97" s="9" t="str">
        <x:v>OPEN / UNACCEPTED</x:v>
      </x:c>
      <x:c r="O97" s="9" t="n">
        <x:f>COUNTIFS($A$7:$A$1734,A97)</x:f>
        <x:v>1</x:v>
      </x:c>
    </x:row>
    <x:row r="98">
      <x:c r="A98" s="9" t="str">
        <x:v>EV-AR-ET-A-A-TECH-2-B2-RCN-G0-OG08</x:v>
      </x:c>
      <x:c r="B98" s="9" t="str">
        <x:v>EV-AR-ET-A-A-TECH-2-B2-RCN-G0</x:v>
      </x:c>
      <x:c r="C98" s="9" t="str">
        <x:v>AR-ET-A-A-TECH-2-B2-RCN-G0</x:v>
      </x:c>
      <x:c r="D98" s="9" t="str">
        <x:v>ET-A-A-TECH-2</x:v>
      </x:c>
      <x:c r="E98" s="9" t="str">
        <x:v>ET-A-A</x:v>
      </x:c>
      <x:c r="F98" s="9" t="str">
        <x:v>B2</x:v>
      </x:c>
      <x:c r="G98" s="9" t="str">
        <x:v>RCN</x:v>
      </x:c>
      <x:c r="H98" s="9" t="str">
        <x:v>OG08</x:v>
      </x:c>
      <x:c r="I98" s="17" t="str">
        <x:v>Environment and boundary</x:v>
      </x:c>
      <x:c r="J98" s="17" t="str">
        <x:v>registered weather, water, ground, inlet and outlet states are retained</x:v>
      </x:c>
      <x:c r="K98" s="17" t="str">
        <x:v>Boundary court</x:v>
      </x:c>
      <x:c r="L98" s="9" t="n">
        <x:v>0</x:v>
      </x:c>
      <x:c r="M98" s="9" t="n">
        <x:v>0</x:v>
      </x:c>
      <x:c r="N98" s="9" t="str">
        <x:v>OPEN / UNACCEPTED</x:v>
      </x:c>
      <x:c r="O98" s="9" t="n">
        <x:f>COUNTIFS($A$7:$A$1734,A98)</x:f>
        <x:v>1</x:v>
      </x:c>
    </x:row>
    <x:row r="99">
      <x:c r="A99" s="9" t="str">
        <x:v>EV-AR-ET-A-A-TECH-2-B2-RCN-G0-OG09</x:v>
      </x:c>
      <x:c r="B99" s="9" t="str">
        <x:v>EV-AR-ET-A-A-TECH-2-B2-RCN-G0</x:v>
      </x:c>
      <x:c r="C99" s="9" t="str">
        <x:v>AR-ET-A-A-TECH-2-B2-RCN-G0</x:v>
      </x:c>
      <x:c r="D99" s="9" t="str">
        <x:v>ET-A-A-TECH-2</x:v>
      </x:c>
      <x:c r="E99" s="9" t="str">
        <x:v>ET-A-A</x:v>
      </x:c>
      <x:c r="F99" s="9" t="str">
        <x:v>B2</x:v>
      </x:c>
      <x:c r="G99" s="9" t="str">
        <x:v>RCN</x:v>
      </x:c>
      <x:c r="H99" s="9" t="str">
        <x:v>OG09</x:v>
      </x:c>
      <x:c r="I99" s="17" t="str">
        <x:v>Intervention account</x:v>
      </x:c>
      <x:c r="J99" s="17" t="str">
        <x:v>all stop, rescue, operator and public-protection actions remain timestamped</x:v>
      </x:c>
      <x:c r="K99" s="17" t="str">
        <x:v>Safety record court</x:v>
      </x:c>
      <x:c r="L99" s="9" t="n">
        <x:v>0</x:v>
      </x:c>
      <x:c r="M99" s="9" t="n">
        <x:v>0</x:v>
      </x:c>
      <x:c r="N99" s="9" t="str">
        <x:v>OPEN / UNACCEPTED</x:v>
      </x:c>
      <x:c r="O99" s="9" t="n">
        <x:f>COUNTIFS($A$7:$A$1734,A99)</x:f>
        <x:v>1</x:v>
      </x:c>
    </x:row>
    <x:row r="100">
      <x:c r="A100" s="9" t="str">
        <x:v>EV-AR-ET-A-A-TECH-2-B2-RCN-G0-OG10</x:v>
      </x:c>
      <x:c r="B100" s="9" t="str">
        <x:v>EV-AR-ET-A-A-TECH-2-B2-RCN-G0</x:v>
      </x:c>
      <x:c r="C100" s="9" t="str">
        <x:v>AR-ET-A-A-TECH-2-B2-RCN-G0</x:v>
      </x:c>
      <x:c r="D100" s="9" t="str">
        <x:v>ET-A-A-TECH-2</x:v>
      </x:c>
      <x:c r="E100" s="9" t="str">
        <x:v>ET-A-A</x:v>
      </x:c>
      <x:c r="F100" s="9" t="str">
        <x:v>B2</x:v>
      </x:c>
      <x:c r="G100" s="9" t="str">
        <x:v>RCN</x:v>
      </x:c>
      <x:c r="H100" s="9" t="str">
        <x:v>OG10</x:v>
      </x:c>
      <x:c r="I100" s="17" t="str">
        <x:v>Uncertainty statement</x:v>
      </x:c>
      <x:c r="J100" s="17" t="str">
        <x:v>range, censoring, resolution and correlation are declared before judgment</x:v>
      </x:c>
      <x:c r="K100" s="17" t="str">
        <x:v>Uncertainty authority</x:v>
      </x:c>
      <x:c r="L100" s="9" t="n">
        <x:v>0</x:v>
      </x:c>
      <x:c r="M100" s="9" t="n">
        <x:v>0</x:v>
      </x:c>
      <x:c r="N100" s="9" t="str">
        <x:v>OPEN / UNACCEPTED</x:v>
      </x:c>
      <x:c r="O100" s="9" t="n">
        <x:f>COUNTIFS($A$7:$A$1734,A100)</x:f>
        <x:v>1</x:v>
      </x:c>
    </x:row>
    <x:row r="101">
      <x:c r="A101" s="9" t="str">
        <x:v>EV-AR-ET-A-A-TECH-2-B2-RCN-G0-OG11</x:v>
      </x:c>
      <x:c r="B101" s="9" t="str">
        <x:v>EV-AR-ET-A-A-TECH-2-B2-RCN-G0</x:v>
      </x:c>
      <x:c r="C101" s="9" t="str">
        <x:v>AR-ET-A-A-TECH-2-B2-RCN-G0</x:v>
      </x:c>
      <x:c r="D101" s="9" t="str">
        <x:v>ET-A-A-TECH-2</x:v>
      </x:c>
      <x:c r="E101" s="9" t="str">
        <x:v>ET-A-A</x:v>
      </x:c>
      <x:c r="F101" s="9" t="str">
        <x:v>B2</x:v>
      </x:c>
      <x:c r="G101" s="9" t="str">
        <x:v>RCN</x:v>
      </x:c>
      <x:c r="H101" s="9" t="str">
        <x:v>OG11</x:v>
      </x:c>
      <x:c r="I101" s="17" t="str">
        <x:v>Contradiction preservation</x:v>
      </x:c>
      <x:c r="J101" s="17" t="str">
        <x:v>primary-witness disagreement remains explicit and is never averaged away</x:v>
      </x:c>
      <x:c r="K101" s="17" t="str">
        <x:v>Dissent registrar</x:v>
      </x:c>
      <x:c r="L101" s="9" t="n">
        <x:v>0</x:v>
      </x:c>
      <x:c r="M101" s="9" t="n">
        <x:v>0</x:v>
      </x:c>
      <x:c r="N101" s="9" t="str">
        <x:v>OPEN / UNACCEPTED</x:v>
      </x:c>
      <x:c r="O101" s="9" t="n">
        <x:f>COUNTIFS($A$7:$A$1734,A101)</x:f>
        <x:v>1</x:v>
      </x:c>
    </x:row>
    <x:row r="102">
      <x:c r="A102" s="9" t="str">
        <x:v>EV-AR-ET-A-A-TECH-2-B2-RCN-G0-OG12</x:v>
      </x:c>
      <x:c r="B102" s="9" t="str">
        <x:v>EV-AR-ET-A-A-TECH-2-B2-RCN-G0</x:v>
      </x:c>
      <x:c r="C102" s="9" t="str">
        <x:v>AR-ET-A-A-TECH-2-B2-RCN-G0</x:v>
      </x:c>
      <x:c r="D102" s="9" t="str">
        <x:v>ET-A-A-TECH-2</x:v>
      </x:c>
      <x:c r="E102" s="9" t="str">
        <x:v>ET-A-A</x:v>
      </x:c>
      <x:c r="F102" s="9" t="str">
        <x:v>B2</x:v>
      </x:c>
      <x:c r="G102" s="9" t="str">
        <x:v>RCN</x:v>
      </x:c>
      <x:c r="H102" s="9" t="str">
        <x:v>OG12</x:v>
      </x:c>
      <x:c r="I102" s="17" t="str">
        <x:v>Independent replay</x:v>
      </x:c>
      <x:c r="J102" s="17" t="str">
        <x:v>a separated reader reconstructs the registered observables from sealed originals</x:v>
      </x:c>
      <x:c r="K102" s="17" t="str">
        <x:v>Replay court</x:v>
      </x:c>
      <x:c r="L102" s="9" t="n">
        <x:v>0</x:v>
      </x:c>
      <x:c r="M102" s="9" t="n">
        <x:v>0</x:v>
      </x:c>
      <x:c r="N102" s="9" t="str">
        <x:v>OPEN / UNACCEPTED</x:v>
      </x:c>
      <x:c r="O102" s="9" t="n">
        <x:f>COUNTIFS($A$7:$A$1734,A102)</x:f>
        <x:v>1</x:v>
      </x:c>
    </x:row>
    <x:row r="103">
      <x:c r="A103" s="9" t="str">
        <x:v>EV-AR-HC-A-C-TECH-3-B1-BRK-G0-OG01</x:v>
      </x:c>
      <x:c r="B103" s="9" t="str">
        <x:v>EV-AR-HC-A-C-TECH-3-B1-BRK-G0</x:v>
      </x:c>
      <x:c r="C103" s="9" t="str">
        <x:v>AR-HC-A-C-TECH-3-B1-BRK-G0</x:v>
      </x:c>
      <x:c r="D103" s="9" t="str">
        <x:v>HC-A-C-TECH-3</x:v>
      </x:c>
      <x:c r="E103" s="9" t="str">
        <x:v>HC-A-C</x:v>
      </x:c>
      <x:c r="F103" s="9" t="str">
        <x:v>B1</x:v>
      </x:c>
      <x:c r="G103" s="9" t="str">
        <x:v>BRK</x:v>
      </x:c>
      <x:c r="H103" s="9" t="str">
        <x:v>OG01</x:v>
      </x:c>
      <x:c r="I103" s="17" t="str">
        <x:v>Serial and event identity</x:v>
      </x:c>
      <x:c r="J103" s="17" t="str">
        <x:v>record resolves to the issued serial, generation and physical start</x:v>
      </x:c>
      <x:c r="K103" s="17" t="str">
        <x:v>Observation court</x:v>
      </x:c>
      <x:c r="L103" s="9" t="n">
        <x:v>0</x:v>
      </x:c>
      <x:c r="M103" s="9" t="n">
        <x:v>0</x:v>
      </x:c>
      <x:c r="N103" s="9" t="str">
        <x:v>OPEN / UNACCEPTED</x:v>
      </x:c>
      <x:c r="O103" s="9" t="n">
        <x:f>COUNTIFS($A$7:$A$1734,A103)</x:f>
        <x:v>1</x:v>
      </x:c>
    </x:row>
    <x:row r="104">
      <x:c r="A104" s="9" t="str">
        <x:v>EV-AR-HC-A-C-TECH-3-B1-BRK-G0-OG02</x:v>
      </x:c>
      <x:c r="B104" s="9" t="str">
        <x:v>EV-AR-HC-A-C-TECH-3-B1-BRK-G0</x:v>
      </x:c>
      <x:c r="C104" s="9" t="str">
        <x:v>AR-HC-A-C-TECH-3-B1-BRK-G0</x:v>
      </x:c>
      <x:c r="D104" s="9" t="str">
        <x:v>HC-A-C-TECH-3</x:v>
      </x:c>
      <x:c r="E104" s="9" t="str">
        <x:v>HC-A-C</x:v>
      </x:c>
      <x:c r="F104" s="9" t="str">
        <x:v>B1</x:v>
      </x:c>
      <x:c r="G104" s="9" t="str">
        <x:v>BRK</x:v>
      </x:c>
      <x:c r="H104" s="9" t="str">
        <x:v>OG02</x:v>
      </x:c>
      <x:c r="I104" s="17" t="str">
        <x:v>Time ancestry</x:v>
      </x:c>
      <x:c r="J104" s="17" t="str">
        <x:v>primary, witness and public event clocks retain declared offsets and drift</x:v>
      </x:c>
      <x:c r="K104" s="17" t="str">
        <x:v>Time authority</x:v>
      </x:c>
      <x:c r="L104" s="9" t="n">
        <x:v>0</x:v>
      </x:c>
      <x:c r="M104" s="9" t="n">
        <x:v>0</x:v>
      </x:c>
      <x:c r="N104" s="9" t="str">
        <x:v>OPEN / UNACCEPTED</x:v>
      </x:c>
      <x:c r="O104" s="9" t="n">
        <x:f>COUNTIFS($A$7:$A$1734,A104)</x:f>
        <x:v>1</x:v>
      </x:c>
    </x:row>
    <x:row r="105">
      <x:c r="A105" s="9" t="str">
        <x:v>EV-AR-HC-A-C-TECH-3-B1-BRK-G0-OG03</x:v>
      </x:c>
      <x:c r="B105" s="9" t="str">
        <x:v>EV-AR-HC-A-C-TECH-3-B1-BRK-G0</x:v>
      </x:c>
      <x:c r="C105" s="9" t="str">
        <x:v>AR-HC-A-C-TECH-3-B1-BRK-G0</x:v>
      </x:c>
      <x:c r="D105" s="9" t="str">
        <x:v>HC-A-C-TECH-3</x:v>
      </x:c>
      <x:c r="E105" s="9" t="str">
        <x:v>HC-A-C</x:v>
      </x:c>
      <x:c r="F105" s="9" t="str">
        <x:v>B1</x:v>
      </x:c>
      <x:c r="G105" s="9" t="str">
        <x:v>BRK</x:v>
      </x:c>
      <x:c r="H105" s="9" t="str">
        <x:v>OG03</x:v>
      </x:c>
      <x:c r="I105" s="17" t="str">
        <x:v>Calibration ancestry</x:v>
      </x:c>
      <x:c r="J105" s="17" t="str">
        <x:v>all reference, range and uncertainty states cover the live interval</x:v>
      </x:c>
      <x:c r="K105" s="17" t="str">
        <x:v>Metrology courts</x:v>
      </x:c>
      <x:c r="L105" s="9" t="n">
        <x:v>0</x:v>
      </x:c>
      <x:c r="M105" s="9" t="n">
        <x:v>0</x:v>
      </x:c>
      <x:c r="N105" s="9" t="str">
        <x:v>OPEN / UNACCEPTED</x:v>
      </x:c>
      <x:c r="O105" s="9" t="n">
        <x:f>COUNTIFS($A$7:$A$1734,A105)</x:f>
        <x:v>1</x:v>
      </x:c>
    </x:row>
    <x:row r="106">
      <x:c r="A106" s="9" t="str">
        <x:v>EV-AR-HC-A-C-TECH-3-B1-BRK-G0-OG04</x:v>
      </x:c>
      <x:c r="B106" s="9" t="str">
        <x:v>EV-AR-HC-A-C-TECH-3-B1-BRK-G0</x:v>
      </x:c>
      <x:c r="C106" s="9" t="str">
        <x:v>AR-HC-A-C-TECH-3-B1-BRK-G0</x:v>
      </x:c>
      <x:c r="D106" s="9" t="str">
        <x:v>HC-A-C-TECH-3</x:v>
      </x:c>
      <x:c r="E106" s="9" t="str">
        <x:v>HC-A-C</x:v>
      </x:c>
      <x:c r="F106" s="9" t="str">
        <x:v>B1</x:v>
      </x:c>
      <x:c r="G106" s="9" t="str">
        <x:v>BRK</x:v>
      </x:c>
      <x:c r="H106" s="9" t="str">
        <x:v>OG04</x:v>
      </x:c>
      <x:c r="I106" s="17" t="str">
        <x:v>Raw completeness</x:v>
      </x:c>
      <x:c r="J106" s="17" t="str">
        <x:v>missingness is enumerated without imputation or outcome-conditioned deletion</x:v>
      </x:c>
      <x:c r="K106" s="17" t="str">
        <x:v>Observation court</x:v>
      </x:c>
      <x:c r="L106" s="9" t="n">
        <x:v>0</x:v>
      </x:c>
      <x:c r="M106" s="9" t="n">
        <x:v>0</x:v>
      </x:c>
      <x:c r="N106" s="9" t="str">
        <x:v>OPEN / UNACCEPTED</x:v>
      </x:c>
      <x:c r="O106" s="9" t="n">
        <x:f>COUNTIFS($A$7:$A$1734,A106)</x:f>
        <x:v>1</x:v>
      </x:c>
    </x:row>
    <x:row r="107">
      <x:c r="A107" s="9" t="str">
        <x:v>EV-AR-HC-A-C-TECH-3-B1-BRK-G0-OG05</x:v>
      </x:c>
      <x:c r="B107" s="9" t="str">
        <x:v>EV-AR-HC-A-C-TECH-3-B1-BRK-G0</x:v>
      </x:c>
      <x:c r="C107" s="9" t="str">
        <x:v>AR-HC-A-C-TECH-3-B1-BRK-G0</x:v>
      </x:c>
      <x:c r="D107" s="9" t="str">
        <x:v>HC-A-C-TECH-3</x:v>
      </x:c>
      <x:c r="E107" s="9" t="str">
        <x:v>HC-A-C</x:v>
      </x:c>
      <x:c r="F107" s="9" t="str">
        <x:v>B1</x:v>
      </x:c>
      <x:c r="G107" s="9" t="str">
        <x:v>BRK</x:v>
      </x:c>
      <x:c r="H107" s="9" t="str">
        <x:v>OG05</x:v>
      </x:c>
      <x:c r="I107" s="17" t="str">
        <x:v>Primary provenance</x:v>
      </x:c>
      <x:c r="J107" s="17" t="str">
        <x:v>primary originals, hashes, keys and access history reconcile</x:v>
      </x:c>
      <x:c r="K107" s="17" t="str">
        <x:v>Primary custody</x:v>
      </x:c>
      <x:c r="L107" s="9" t="n">
        <x:v>0</x:v>
      </x:c>
      <x:c r="M107" s="9" t="n">
        <x:v>0</x:v>
      </x:c>
      <x:c r="N107" s="9" t="str">
        <x:v>OPEN / UNACCEPTED</x:v>
      </x:c>
      <x:c r="O107" s="9" t="n">
        <x:f>COUNTIFS($A$7:$A$1734,A107)</x:f>
        <x:v>1</x:v>
      </x:c>
    </x:row>
    <x:row r="108">
      <x:c r="A108" s="9" t="str">
        <x:v>EV-AR-HC-A-C-TECH-3-B1-BRK-G0-OG06</x:v>
      </x:c>
      <x:c r="B108" s="9" t="str">
        <x:v>EV-AR-HC-A-C-TECH-3-B1-BRK-G0</x:v>
      </x:c>
      <x:c r="C108" s="9" t="str">
        <x:v>AR-HC-A-C-TECH-3-B1-BRK-G0</x:v>
      </x:c>
      <x:c r="D108" s="9" t="str">
        <x:v>HC-A-C-TECH-3</x:v>
      </x:c>
      <x:c r="E108" s="9" t="str">
        <x:v>HC-A-C</x:v>
      </x:c>
      <x:c r="F108" s="9" t="str">
        <x:v>B1</x:v>
      </x:c>
      <x:c r="G108" s="9" t="str">
        <x:v>BRK</x:v>
      </x:c>
      <x:c r="H108" s="9" t="str">
        <x:v>OG06</x:v>
      </x:c>
      <x:c r="I108" s="17" t="str">
        <x:v>Witness provenance</x:v>
      </x:c>
      <x:c r="J108" s="17" t="str">
        <x:v>unlike witness originals, hashes, keys and access history reconcile</x:v>
      </x:c>
      <x:c r="K108" s="17" t="str">
        <x:v>Witness custody</x:v>
      </x:c>
      <x:c r="L108" s="9" t="n">
        <x:v>0</x:v>
      </x:c>
      <x:c r="M108" s="9" t="n">
        <x:v>0</x:v>
      </x:c>
      <x:c r="N108" s="9" t="str">
        <x:v>OPEN / UNACCEPTED</x:v>
      </x:c>
      <x:c r="O108" s="9" t="n">
        <x:f>COUNTIFS($A$7:$A$1734,A108)</x:f>
        <x:v>1</x:v>
      </x:c>
    </x:row>
    <x:row r="109">
      <x:c r="A109" s="9" t="str">
        <x:v>EV-AR-HC-A-C-TECH-3-B1-BRK-G0-OG07</x:v>
      </x:c>
      <x:c r="B109" s="9" t="str">
        <x:v>EV-AR-HC-A-C-TECH-3-B1-BRK-G0</x:v>
      </x:c>
      <x:c r="C109" s="9" t="str">
        <x:v>AR-HC-A-C-TECH-3-B1-BRK-G0</x:v>
      </x:c>
      <x:c r="D109" s="9" t="str">
        <x:v>HC-A-C-TECH-3</x:v>
      </x:c>
      <x:c r="E109" s="9" t="str">
        <x:v>HC-A-C</x:v>
      </x:c>
      <x:c r="F109" s="9" t="str">
        <x:v>B1</x:v>
      </x:c>
      <x:c r="G109" s="9" t="str">
        <x:v>BRK</x:v>
      </x:c>
      <x:c r="H109" s="9" t="str">
        <x:v>OG07</x:v>
      </x:c>
      <x:c r="I109" s="17" t="str">
        <x:v>Receiver denominator</x:v>
      </x:c>
      <x:c r="J109" s="17" t="str">
        <x:v>population, quantity, duration and exclusions match the frozen receipt</x:v>
      </x:c>
      <x:c r="K109" s="17" t="str">
        <x:v>Receiver court</x:v>
      </x:c>
      <x:c r="L109" s="9" t="n">
        <x:v>0</x:v>
      </x:c>
      <x:c r="M109" s="9" t="n">
        <x:v>0</x:v>
      </x:c>
      <x:c r="N109" s="9" t="str">
        <x:v>OPEN / UNACCEPTED</x:v>
      </x:c>
      <x:c r="O109" s="9" t="n">
        <x:f>COUNTIFS($A$7:$A$1734,A109)</x:f>
        <x:v>1</x:v>
      </x:c>
    </x:row>
    <x:row r="110">
      <x:c r="A110" s="9" t="str">
        <x:v>EV-AR-HC-A-C-TECH-3-B1-BRK-G0-OG08</x:v>
      </x:c>
      <x:c r="B110" s="9" t="str">
        <x:v>EV-AR-HC-A-C-TECH-3-B1-BRK-G0</x:v>
      </x:c>
      <x:c r="C110" s="9" t="str">
        <x:v>AR-HC-A-C-TECH-3-B1-BRK-G0</x:v>
      </x:c>
      <x:c r="D110" s="9" t="str">
        <x:v>HC-A-C-TECH-3</x:v>
      </x:c>
      <x:c r="E110" s="9" t="str">
        <x:v>HC-A-C</x:v>
      </x:c>
      <x:c r="F110" s="9" t="str">
        <x:v>B1</x:v>
      </x:c>
      <x:c r="G110" s="9" t="str">
        <x:v>BRK</x:v>
      </x:c>
      <x:c r="H110" s="9" t="str">
        <x:v>OG08</x:v>
      </x:c>
      <x:c r="I110" s="17" t="str">
        <x:v>Environment and boundary</x:v>
      </x:c>
      <x:c r="J110" s="17" t="str">
        <x:v>registered weather, water, ground, inlet and outlet states are retained</x:v>
      </x:c>
      <x:c r="K110" s="17" t="str">
        <x:v>Boundary court</x:v>
      </x:c>
      <x:c r="L110" s="9" t="n">
        <x:v>0</x:v>
      </x:c>
      <x:c r="M110" s="9" t="n">
        <x:v>0</x:v>
      </x:c>
      <x:c r="N110" s="9" t="str">
        <x:v>OPEN / UNACCEPTED</x:v>
      </x:c>
      <x:c r="O110" s="9" t="n">
        <x:f>COUNTIFS($A$7:$A$1734,A110)</x:f>
        <x:v>1</x:v>
      </x:c>
    </x:row>
    <x:row r="111">
      <x:c r="A111" s="9" t="str">
        <x:v>EV-AR-HC-A-C-TECH-3-B1-BRK-G0-OG09</x:v>
      </x:c>
      <x:c r="B111" s="9" t="str">
        <x:v>EV-AR-HC-A-C-TECH-3-B1-BRK-G0</x:v>
      </x:c>
      <x:c r="C111" s="9" t="str">
        <x:v>AR-HC-A-C-TECH-3-B1-BRK-G0</x:v>
      </x:c>
      <x:c r="D111" s="9" t="str">
        <x:v>HC-A-C-TECH-3</x:v>
      </x:c>
      <x:c r="E111" s="9" t="str">
        <x:v>HC-A-C</x:v>
      </x:c>
      <x:c r="F111" s="9" t="str">
        <x:v>B1</x:v>
      </x:c>
      <x:c r="G111" s="9" t="str">
        <x:v>BRK</x:v>
      </x:c>
      <x:c r="H111" s="9" t="str">
        <x:v>OG09</x:v>
      </x:c>
      <x:c r="I111" s="17" t="str">
        <x:v>Intervention account</x:v>
      </x:c>
      <x:c r="J111" s="17" t="str">
        <x:v>all stop, rescue, operator and public-protection actions remain timestamped</x:v>
      </x:c>
      <x:c r="K111" s="17" t="str">
        <x:v>Safety record court</x:v>
      </x:c>
      <x:c r="L111" s="9" t="n">
        <x:v>0</x:v>
      </x:c>
      <x:c r="M111" s="9" t="n">
        <x:v>0</x:v>
      </x:c>
      <x:c r="N111" s="9" t="str">
        <x:v>OPEN / UNACCEPTED</x:v>
      </x:c>
      <x:c r="O111" s="9" t="n">
        <x:f>COUNTIFS($A$7:$A$1734,A111)</x:f>
        <x:v>1</x:v>
      </x:c>
    </x:row>
    <x:row r="112">
      <x:c r="A112" s="9" t="str">
        <x:v>EV-AR-HC-A-C-TECH-3-B1-BRK-G0-OG10</x:v>
      </x:c>
      <x:c r="B112" s="9" t="str">
        <x:v>EV-AR-HC-A-C-TECH-3-B1-BRK-G0</x:v>
      </x:c>
      <x:c r="C112" s="9" t="str">
        <x:v>AR-HC-A-C-TECH-3-B1-BRK-G0</x:v>
      </x:c>
      <x:c r="D112" s="9" t="str">
        <x:v>HC-A-C-TECH-3</x:v>
      </x:c>
      <x:c r="E112" s="9" t="str">
        <x:v>HC-A-C</x:v>
      </x:c>
      <x:c r="F112" s="9" t="str">
        <x:v>B1</x:v>
      </x:c>
      <x:c r="G112" s="9" t="str">
        <x:v>BRK</x:v>
      </x:c>
      <x:c r="H112" s="9" t="str">
        <x:v>OG10</x:v>
      </x:c>
      <x:c r="I112" s="17" t="str">
        <x:v>Uncertainty statement</x:v>
      </x:c>
      <x:c r="J112" s="17" t="str">
        <x:v>range, censoring, resolution and correlation are declared before judgment</x:v>
      </x:c>
      <x:c r="K112" s="17" t="str">
        <x:v>Uncertainty authority</x:v>
      </x:c>
      <x:c r="L112" s="9" t="n">
        <x:v>0</x:v>
      </x:c>
      <x:c r="M112" s="9" t="n">
        <x:v>0</x:v>
      </x:c>
      <x:c r="N112" s="9" t="str">
        <x:v>OPEN / UNACCEPTED</x:v>
      </x:c>
      <x:c r="O112" s="9" t="n">
        <x:f>COUNTIFS($A$7:$A$1734,A112)</x:f>
        <x:v>1</x:v>
      </x:c>
    </x:row>
    <x:row r="113">
      <x:c r="A113" s="9" t="str">
        <x:v>EV-AR-HC-A-C-TECH-3-B1-BRK-G0-OG11</x:v>
      </x:c>
      <x:c r="B113" s="9" t="str">
        <x:v>EV-AR-HC-A-C-TECH-3-B1-BRK-G0</x:v>
      </x:c>
      <x:c r="C113" s="9" t="str">
        <x:v>AR-HC-A-C-TECH-3-B1-BRK-G0</x:v>
      </x:c>
      <x:c r="D113" s="9" t="str">
        <x:v>HC-A-C-TECH-3</x:v>
      </x:c>
      <x:c r="E113" s="9" t="str">
        <x:v>HC-A-C</x:v>
      </x:c>
      <x:c r="F113" s="9" t="str">
        <x:v>B1</x:v>
      </x:c>
      <x:c r="G113" s="9" t="str">
        <x:v>BRK</x:v>
      </x:c>
      <x:c r="H113" s="9" t="str">
        <x:v>OG11</x:v>
      </x:c>
      <x:c r="I113" s="17" t="str">
        <x:v>Contradiction preservation</x:v>
      </x:c>
      <x:c r="J113" s="17" t="str">
        <x:v>primary-witness disagreement remains explicit and is never averaged away</x:v>
      </x:c>
      <x:c r="K113" s="17" t="str">
        <x:v>Dissent registrar</x:v>
      </x:c>
      <x:c r="L113" s="9" t="n">
        <x:v>0</x:v>
      </x:c>
      <x:c r="M113" s="9" t="n">
        <x:v>0</x:v>
      </x:c>
      <x:c r="N113" s="9" t="str">
        <x:v>OPEN / UNACCEPTED</x:v>
      </x:c>
      <x:c r="O113" s="9" t="n">
        <x:f>COUNTIFS($A$7:$A$1734,A113)</x:f>
        <x:v>1</x:v>
      </x:c>
    </x:row>
    <x:row r="114">
      <x:c r="A114" s="9" t="str">
        <x:v>EV-AR-HC-A-C-TECH-3-B1-BRK-G0-OG12</x:v>
      </x:c>
      <x:c r="B114" s="9" t="str">
        <x:v>EV-AR-HC-A-C-TECH-3-B1-BRK-G0</x:v>
      </x:c>
      <x:c r="C114" s="9" t="str">
        <x:v>AR-HC-A-C-TECH-3-B1-BRK-G0</x:v>
      </x:c>
      <x:c r="D114" s="9" t="str">
        <x:v>HC-A-C-TECH-3</x:v>
      </x:c>
      <x:c r="E114" s="9" t="str">
        <x:v>HC-A-C</x:v>
      </x:c>
      <x:c r="F114" s="9" t="str">
        <x:v>B1</x:v>
      </x:c>
      <x:c r="G114" s="9" t="str">
        <x:v>BRK</x:v>
      </x:c>
      <x:c r="H114" s="9" t="str">
        <x:v>OG12</x:v>
      </x:c>
      <x:c r="I114" s="17" t="str">
        <x:v>Independent replay</x:v>
      </x:c>
      <x:c r="J114" s="17" t="str">
        <x:v>a separated reader reconstructs the registered observables from sealed originals</x:v>
      </x:c>
      <x:c r="K114" s="17" t="str">
        <x:v>Replay court</x:v>
      </x:c>
      <x:c r="L114" s="9" t="n">
        <x:v>0</x:v>
      </x:c>
      <x:c r="M114" s="9" t="n">
        <x:v>0</x:v>
      </x:c>
      <x:c r="N114" s="9" t="str">
        <x:v>OPEN / UNACCEPTED</x:v>
      </x:c>
      <x:c r="O114" s="9" t="n">
        <x:f>COUNTIFS($A$7:$A$1734,A114)</x:f>
        <x:v>1</x:v>
      </x:c>
    </x:row>
    <x:row r="115">
      <x:c r="A115" s="9" t="str">
        <x:v>EV-AR-HU-A-B-TECH-3-B1-INT-G0-OG01</x:v>
      </x:c>
      <x:c r="B115" s="9" t="str">
        <x:v>EV-AR-HU-A-B-TECH-3-B1-INT-G0</x:v>
      </x:c>
      <x:c r="C115" s="9" t="str">
        <x:v>AR-HU-A-B-TECH-3-B1-INT-G0</x:v>
      </x:c>
      <x:c r="D115" s="9" t="str">
        <x:v>HU-A-B-TECH-3</x:v>
      </x:c>
      <x:c r="E115" s="9" t="str">
        <x:v>HU-A-B</x:v>
      </x:c>
      <x:c r="F115" s="9" t="str">
        <x:v>B1</x:v>
      </x:c>
      <x:c r="G115" s="9" t="str">
        <x:v>INT</x:v>
      </x:c>
      <x:c r="H115" s="9" t="str">
        <x:v>OG01</x:v>
      </x:c>
      <x:c r="I115" s="17" t="str">
        <x:v>Serial and event identity</x:v>
      </x:c>
      <x:c r="J115" s="17" t="str">
        <x:v>record resolves to the issued serial, generation and physical start</x:v>
      </x:c>
      <x:c r="K115" s="17" t="str">
        <x:v>Observation court</x:v>
      </x:c>
      <x:c r="L115" s="9" t="n">
        <x:v>0</x:v>
      </x:c>
      <x:c r="M115" s="9" t="n">
        <x:v>0</x:v>
      </x:c>
      <x:c r="N115" s="9" t="str">
        <x:v>OPEN / UNACCEPTED</x:v>
      </x:c>
      <x:c r="O115" s="9" t="n">
        <x:f>COUNTIFS($A$7:$A$1734,A115)</x:f>
        <x:v>1</x:v>
      </x:c>
    </x:row>
    <x:row r="116">
      <x:c r="A116" s="9" t="str">
        <x:v>EV-AR-HU-A-B-TECH-3-B1-INT-G0-OG02</x:v>
      </x:c>
      <x:c r="B116" s="9" t="str">
        <x:v>EV-AR-HU-A-B-TECH-3-B1-INT-G0</x:v>
      </x:c>
      <x:c r="C116" s="9" t="str">
        <x:v>AR-HU-A-B-TECH-3-B1-INT-G0</x:v>
      </x:c>
      <x:c r="D116" s="9" t="str">
        <x:v>HU-A-B-TECH-3</x:v>
      </x:c>
      <x:c r="E116" s="9" t="str">
        <x:v>HU-A-B</x:v>
      </x:c>
      <x:c r="F116" s="9" t="str">
        <x:v>B1</x:v>
      </x:c>
      <x:c r="G116" s="9" t="str">
        <x:v>INT</x:v>
      </x:c>
      <x:c r="H116" s="9" t="str">
        <x:v>OG02</x:v>
      </x:c>
      <x:c r="I116" s="17" t="str">
        <x:v>Time ancestry</x:v>
      </x:c>
      <x:c r="J116" s="17" t="str">
        <x:v>primary, witness and public event clocks retain declared offsets and drift</x:v>
      </x:c>
      <x:c r="K116" s="17" t="str">
        <x:v>Time authority</x:v>
      </x:c>
      <x:c r="L116" s="9" t="n">
        <x:v>0</x:v>
      </x:c>
      <x:c r="M116" s="9" t="n">
        <x:v>0</x:v>
      </x:c>
      <x:c r="N116" s="9" t="str">
        <x:v>OPEN / UNACCEPTED</x:v>
      </x:c>
      <x:c r="O116" s="9" t="n">
        <x:f>COUNTIFS($A$7:$A$1734,A116)</x:f>
        <x:v>1</x:v>
      </x:c>
    </x:row>
    <x:row r="117">
      <x:c r="A117" s="9" t="str">
        <x:v>EV-AR-HU-A-B-TECH-3-B1-INT-G0-OG03</x:v>
      </x:c>
      <x:c r="B117" s="9" t="str">
        <x:v>EV-AR-HU-A-B-TECH-3-B1-INT-G0</x:v>
      </x:c>
      <x:c r="C117" s="9" t="str">
        <x:v>AR-HU-A-B-TECH-3-B1-INT-G0</x:v>
      </x:c>
      <x:c r="D117" s="9" t="str">
        <x:v>HU-A-B-TECH-3</x:v>
      </x:c>
      <x:c r="E117" s="9" t="str">
        <x:v>HU-A-B</x:v>
      </x:c>
      <x:c r="F117" s="9" t="str">
        <x:v>B1</x:v>
      </x:c>
      <x:c r="G117" s="9" t="str">
        <x:v>INT</x:v>
      </x:c>
      <x:c r="H117" s="9" t="str">
        <x:v>OG03</x:v>
      </x:c>
      <x:c r="I117" s="17" t="str">
        <x:v>Calibration ancestry</x:v>
      </x:c>
      <x:c r="J117" s="17" t="str">
        <x:v>all reference, range and uncertainty states cover the live interval</x:v>
      </x:c>
      <x:c r="K117" s="17" t="str">
        <x:v>Metrology courts</x:v>
      </x:c>
      <x:c r="L117" s="9" t="n">
        <x:v>0</x:v>
      </x:c>
      <x:c r="M117" s="9" t="n">
        <x:v>0</x:v>
      </x:c>
      <x:c r="N117" s="9" t="str">
        <x:v>OPEN / UNACCEPTED</x:v>
      </x:c>
      <x:c r="O117" s="9" t="n">
        <x:f>COUNTIFS($A$7:$A$1734,A117)</x:f>
        <x:v>1</x:v>
      </x:c>
    </x:row>
    <x:row r="118">
      <x:c r="A118" s="9" t="str">
        <x:v>EV-AR-HU-A-B-TECH-3-B1-INT-G0-OG04</x:v>
      </x:c>
      <x:c r="B118" s="9" t="str">
        <x:v>EV-AR-HU-A-B-TECH-3-B1-INT-G0</x:v>
      </x:c>
      <x:c r="C118" s="9" t="str">
        <x:v>AR-HU-A-B-TECH-3-B1-INT-G0</x:v>
      </x:c>
      <x:c r="D118" s="9" t="str">
        <x:v>HU-A-B-TECH-3</x:v>
      </x:c>
      <x:c r="E118" s="9" t="str">
        <x:v>HU-A-B</x:v>
      </x:c>
      <x:c r="F118" s="9" t="str">
        <x:v>B1</x:v>
      </x:c>
      <x:c r="G118" s="9" t="str">
        <x:v>INT</x:v>
      </x:c>
      <x:c r="H118" s="9" t="str">
        <x:v>OG04</x:v>
      </x:c>
      <x:c r="I118" s="17" t="str">
        <x:v>Raw completeness</x:v>
      </x:c>
      <x:c r="J118" s="17" t="str">
        <x:v>missingness is enumerated without imputation or outcome-conditioned deletion</x:v>
      </x:c>
      <x:c r="K118" s="17" t="str">
        <x:v>Observation court</x:v>
      </x:c>
      <x:c r="L118" s="9" t="n">
        <x:v>0</x:v>
      </x:c>
      <x:c r="M118" s="9" t="n">
        <x:v>0</x:v>
      </x:c>
      <x:c r="N118" s="9" t="str">
        <x:v>OPEN / UNACCEPTED</x:v>
      </x:c>
      <x:c r="O118" s="9" t="n">
        <x:f>COUNTIFS($A$7:$A$1734,A118)</x:f>
        <x:v>1</x:v>
      </x:c>
    </x:row>
    <x:row r="119">
      <x:c r="A119" s="9" t="str">
        <x:v>EV-AR-HU-A-B-TECH-3-B1-INT-G0-OG05</x:v>
      </x:c>
      <x:c r="B119" s="9" t="str">
        <x:v>EV-AR-HU-A-B-TECH-3-B1-INT-G0</x:v>
      </x:c>
      <x:c r="C119" s="9" t="str">
        <x:v>AR-HU-A-B-TECH-3-B1-INT-G0</x:v>
      </x:c>
      <x:c r="D119" s="9" t="str">
        <x:v>HU-A-B-TECH-3</x:v>
      </x:c>
      <x:c r="E119" s="9" t="str">
        <x:v>HU-A-B</x:v>
      </x:c>
      <x:c r="F119" s="9" t="str">
        <x:v>B1</x:v>
      </x:c>
      <x:c r="G119" s="9" t="str">
        <x:v>INT</x:v>
      </x:c>
      <x:c r="H119" s="9" t="str">
        <x:v>OG05</x:v>
      </x:c>
      <x:c r="I119" s="17" t="str">
        <x:v>Primary provenance</x:v>
      </x:c>
      <x:c r="J119" s="17" t="str">
        <x:v>primary originals, hashes, keys and access history reconcile</x:v>
      </x:c>
      <x:c r="K119" s="17" t="str">
        <x:v>Primary custody</x:v>
      </x:c>
      <x:c r="L119" s="9" t="n">
        <x:v>0</x:v>
      </x:c>
      <x:c r="M119" s="9" t="n">
        <x:v>0</x:v>
      </x:c>
      <x:c r="N119" s="9" t="str">
        <x:v>OPEN / UNACCEPTED</x:v>
      </x:c>
      <x:c r="O119" s="9" t="n">
        <x:f>COUNTIFS($A$7:$A$1734,A119)</x:f>
        <x:v>1</x:v>
      </x:c>
    </x:row>
    <x:row r="120">
      <x:c r="A120" s="9" t="str">
        <x:v>EV-AR-HU-A-B-TECH-3-B1-INT-G0-OG06</x:v>
      </x:c>
      <x:c r="B120" s="9" t="str">
        <x:v>EV-AR-HU-A-B-TECH-3-B1-INT-G0</x:v>
      </x:c>
      <x:c r="C120" s="9" t="str">
        <x:v>AR-HU-A-B-TECH-3-B1-INT-G0</x:v>
      </x:c>
      <x:c r="D120" s="9" t="str">
        <x:v>HU-A-B-TECH-3</x:v>
      </x:c>
      <x:c r="E120" s="9" t="str">
        <x:v>HU-A-B</x:v>
      </x:c>
      <x:c r="F120" s="9" t="str">
        <x:v>B1</x:v>
      </x:c>
      <x:c r="G120" s="9" t="str">
        <x:v>INT</x:v>
      </x:c>
      <x:c r="H120" s="9" t="str">
        <x:v>OG06</x:v>
      </x:c>
      <x:c r="I120" s="17" t="str">
        <x:v>Witness provenance</x:v>
      </x:c>
      <x:c r="J120" s="17" t="str">
        <x:v>unlike witness originals, hashes, keys and access history reconcile</x:v>
      </x:c>
      <x:c r="K120" s="17" t="str">
        <x:v>Witness custody</x:v>
      </x:c>
      <x:c r="L120" s="9" t="n">
        <x:v>0</x:v>
      </x:c>
      <x:c r="M120" s="9" t="n">
        <x:v>0</x:v>
      </x:c>
      <x:c r="N120" s="9" t="str">
        <x:v>OPEN / UNACCEPTED</x:v>
      </x:c>
      <x:c r="O120" s="9" t="n">
        <x:f>COUNTIFS($A$7:$A$1734,A120)</x:f>
        <x:v>1</x:v>
      </x:c>
    </x:row>
    <x:row r="121">
      <x:c r="A121" s="9" t="str">
        <x:v>EV-AR-HU-A-B-TECH-3-B1-INT-G0-OG07</x:v>
      </x:c>
      <x:c r="B121" s="9" t="str">
        <x:v>EV-AR-HU-A-B-TECH-3-B1-INT-G0</x:v>
      </x:c>
      <x:c r="C121" s="9" t="str">
        <x:v>AR-HU-A-B-TECH-3-B1-INT-G0</x:v>
      </x:c>
      <x:c r="D121" s="9" t="str">
        <x:v>HU-A-B-TECH-3</x:v>
      </x:c>
      <x:c r="E121" s="9" t="str">
        <x:v>HU-A-B</x:v>
      </x:c>
      <x:c r="F121" s="9" t="str">
        <x:v>B1</x:v>
      </x:c>
      <x:c r="G121" s="9" t="str">
        <x:v>INT</x:v>
      </x:c>
      <x:c r="H121" s="9" t="str">
        <x:v>OG07</x:v>
      </x:c>
      <x:c r="I121" s="17" t="str">
        <x:v>Receiver denominator</x:v>
      </x:c>
      <x:c r="J121" s="17" t="str">
        <x:v>population, quantity, duration and exclusions match the frozen receipt</x:v>
      </x:c>
      <x:c r="K121" s="17" t="str">
        <x:v>Receiver court</x:v>
      </x:c>
      <x:c r="L121" s="9" t="n">
        <x:v>0</x:v>
      </x:c>
      <x:c r="M121" s="9" t="n">
        <x:v>0</x:v>
      </x:c>
      <x:c r="N121" s="9" t="str">
        <x:v>OPEN / UNACCEPTED</x:v>
      </x:c>
      <x:c r="O121" s="9" t="n">
        <x:f>COUNTIFS($A$7:$A$1734,A121)</x:f>
        <x:v>1</x:v>
      </x:c>
    </x:row>
    <x:row r="122">
      <x:c r="A122" s="9" t="str">
        <x:v>EV-AR-HU-A-B-TECH-3-B1-INT-G0-OG08</x:v>
      </x:c>
      <x:c r="B122" s="9" t="str">
        <x:v>EV-AR-HU-A-B-TECH-3-B1-INT-G0</x:v>
      </x:c>
      <x:c r="C122" s="9" t="str">
        <x:v>AR-HU-A-B-TECH-3-B1-INT-G0</x:v>
      </x:c>
      <x:c r="D122" s="9" t="str">
        <x:v>HU-A-B-TECH-3</x:v>
      </x:c>
      <x:c r="E122" s="9" t="str">
        <x:v>HU-A-B</x:v>
      </x:c>
      <x:c r="F122" s="9" t="str">
        <x:v>B1</x:v>
      </x:c>
      <x:c r="G122" s="9" t="str">
        <x:v>INT</x:v>
      </x:c>
      <x:c r="H122" s="9" t="str">
        <x:v>OG08</x:v>
      </x:c>
      <x:c r="I122" s="17" t="str">
        <x:v>Environment and boundary</x:v>
      </x:c>
      <x:c r="J122" s="17" t="str">
        <x:v>registered weather, water, ground, inlet and outlet states are retained</x:v>
      </x:c>
      <x:c r="K122" s="17" t="str">
        <x:v>Boundary court</x:v>
      </x:c>
      <x:c r="L122" s="9" t="n">
        <x:v>0</x:v>
      </x:c>
      <x:c r="M122" s="9" t="n">
        <x:v>0</x:v>
      </x:c>
      <x:c r="N122" s="9" t="str">
        <x:v>OPEN / UNACCEPTED</x:v>
      </x:c>
      <x:c r="O122" s="9" t="n">
        <x:f>COUNTIFS($A$7:$A$1734,A122)</x:f>
        <x:v>1</x:v>
      </x:c>
    </x:row>
    <x:row r="123">
      <x:c r="A123" s="9" t="str">
        <x:v>EV-AR-HU-A-B-TECH-3-B1-INT-G0-OG09</x:v>
      </x:c>
      <x:c r="B123" s="9" t="str">
        <x:v>EV-AR-HU-A-B-TECH-3-B1-INT-G0</x:v>
      </x:c>
      <x:c r="C123" s="9" t="str">
        <x:v>AR-HU-A-B-TECH-3-B1-INT-G0</x:v>
      </x:c>
      <x:c r="D123" s="9" t="str">
        <x:v>HU-A-B-TECH-3</x:v>
      </x:c>
      <x:c r="E123" s="9" t="str">
        <x:v>HU-A-B</x:v>
      </x:c>
      <x:c r="F123" s="9" t="str">
        <x:v>B1</x:v>
      </x:c>
      <x:c r="G123" s="9" t="str">
        <x:v>INT</x:v>
      </x:c>
      <x:c r="H123" s="9" t="str">
        <x:v>OG09</x:v>
      </x:c>
      <x:c r="I123" s="17" t="str">
        <x:v>Intervention account</x:v>
      </x:c>
      <x:c r="J123" s="17" t="str">
        <x:v>all stop, rescue, operator and public-protection actions remain timestamped</x:v>
      </x:c>
      <x:c r="K123" s="17" t="str">
        <x:v>Safety record court</x:v>
      </x:c>
      <x:c r="L123" s="9" t="n">
        <x:v>0</x:v>
      </x:c>
      <x:c r="M123" s="9" t="n">
        <x:v>0</x:v>
      </x:c>
      <x:c r="N123" s="9" t="str">
        <x:v>OPEN / UNACCEPTED</x:v>
      </x:c>
      <x:c r="O123" s="9" t="n">
        <x:f>COUNTIFS($A$7:$A$1734,A123)</x:f>
        <x:v>1</x:v>
      </x:c>
    </x:row>
    <x:row r="124">
      <x:c r="A124" s="9" t="str">
        <x:v>EV-AR-HU-A-B-TECH-3-B1-INT-G0-OG10</x:v>
      </x:c>
      <x:c r="B124" s="9" t="str">
        <x:v>EV-AR-HU-A-B-TECH-3-B1-INT-G0</x:v>
      </x:c>
      <x:c r="C124" s="9" t="str">
        <x:v>AR-HU-A-B-TECH-3-B1-INT-G0</x:v>
      </x:c>
      <x:c r="D124" s="9" t="str">
        <x:v>HU-A-B-TECH-3</x:v>
      </x:c>
      <x:c r="E124" s="9" t="str">
        <x:v>HU-A-B</x:v>
      </x:c>
      <x:c r="F124" s="9" t="str">
        <x:v>B1</x:v>
      </x:c>
      <x:c r="G124" s="9" t="str">
        <x:v>INT</x:v>
      </x:c>
      <x:c r="H124" s="9" t="str">
        <x:v>OG10</x:v>
      </x:c>
      <x:c r="I124" s="17" t="str">
        <x:v>Uncertainty statement</x:v>
      </x:c>
      <x:c r="J124" s="17" t="str">
        <x:v>range, censoring, resolution and correlation are declared before judgment</x:v>
      </x:c>
      <x:c r="K124" s="17" t="str">
        <x:v>Uncertainty authority</x:v>
      </x:c>
      <x:c r="L124" s="9" t="n">
        <x:v>0</x:v>
      </x:c>
      <x:c r="M124" s="9" t="n">
        <x:v>0</x:v>
      </x:c>
      <x:c r="N124" s="9" t="str">
        <x:v>OPEN / UNACCEPTED</x:v>
      </x:c>
      <x:c r="O124" s="9" t="n">
        <x:f>COUNTIFS($A$7:$A$1734,A124)</x:f>
        <x:v>1</x:v>
      </x:c>
    </x:row>
    <x:row r="125">
      <x:c r="A125" s="9" t="str">
        <x:v>EV-AR-HU-A-B-TECH-3-B1-INT-G0-OG11</x:v>
      </x:c>
      <x:c r="B125" s="9" t="str">
        <x:v>EV-AR-HU-A-B-TECH-3-B1-INT-G0</x:v>
      </x:c>
      <x:c r="C125" s="9" t="str">
        <x:v>AR-HU-A-B-TECH-3-B1-INT-G0</x:v>
      </x:c>
      <x:c r="D125" s="9" t="str">
        <x:v>HU-A-B-TECH-3</x:v>
      </x:c>
      <x:c r="E125" s="9" t="str">
        <x:v>HU-A-B</x:v>
      </x:c>
      <x:c r="F125" s="9" t="str">
        <x:v>B1</x:v>
      </x:c>
      <x:c r="G125" s="9" t="str">
        <x:v>INT</x:v>
      </x:c>
      <x:c r="H125" s="9" t="str">
        <x:v>OG11</x:v>
      </x:c>
      <x:c r="I125" s="17" t="str">
        <x:v>Contradiction preservation</x:v>
      </x:c>
      <x:c r="J125" s="17" t="str">
        <x:v>primary-witness disagreement remains explicit and is never averaged away</x:v>
      </x:c>
      <x:c r="K125" s="17" t="str">
        <x:v>Dissent registrar</x:v>
      </x:c>
      <x:c r="L125" s="9" t="n">
        <x:v>0</x:v>
      </x:c>
      <x:c r="M125" s="9" t="n">
        <x:v>0</x:v>
      </x:c>
      <x:c r="N125" s="9" t="str">
        <x:v>OPEN / UNACCEPTED</x:v>
      </x:c>
      <x:c r="O125" s="9" t="n">
        <x:f>COUNTIFS($A$7:$A$1734,A125)</x:f>
        <x:v>1</x:v>
      </x:c>
    </x:row>
    <x:row r="126">
      <x:c r="A126" s="9" t="str">
        <x:v>EV-AR-HU-A-B-TECH-3-B1-INT-G0-OG12</x:v>
      </x:c>
      <x:c r="B126" s="9" t="str">
        <x:v>EV-AR-HU-A-B-TECH-3-B1-INT-G0</x:v>
      </x:c>
      <x:c r="C126" s="9" t="str">
        <x:v>AR-HU-A-B-TECH-3-B1-INT-G0</x:v>
      </x:c>
      <x:c r="D126" s="9" t="str">
        <x:v>HU-A-B-TECH-3</x:v>
      </x:c>
      <x:c r="E126" s="9" t="str">
        <x:v>HU-A-B</x:v>
      </x:c>
      <x:c r="F126" s="9" t="str">
        <x:v>B1</x:v>
      </x:c>
      <x:c r="G126" s="9" t="str">
        <x:v>INT</x:v>
      </x:c>
      <x:c r="H126" s="9" t="str">
        <x:v>OG12</x:v>
      </x:c>
      <x:c r="I126" s="17" t="str">
        <x:v>Independent replay</x:v>
      </x:c>
      <x:c r="J126" s="17" t="str">
        <x:v>a separated reader reconstructs the registered observables from sealed originals</x:v>
      </x:c>
      <x:c r="K126" s="17" t="str">
        <x:v>Replay court</x:v>
      </x:c>
      <x:c r="L126" s="9" t="n">
        <x:v>0</x:v>
      </x:c>
      <x:c r="M126" s="9" t="n">
        <x:v>0</x:v>
      </x:c>
      <x:c r="N126" s="9" t="str">
        <x:v>OPEN / UNACCEPTED</x:v>
      </x:c>
      <x:c r="O126" s="9" t="n">
        <x:f>COUNTIFS($A$7:$A$1734,A126)</x:f>
        <x:v>1</x:v>
      </x:c>
    </x:row>
    <x:row r="127">
      <x:c r="A127" s="9" t="str">
        <x:v>EV-AR-LF-B-A-TECH-1-B2-BRK-G0-OG01</x:v>
      </x:c>
      <x:c r="B127" s="9" t="str">
        <x:v>EV-AR-LF-B-A-TECH-1-B2-BRK-G0</x:v>
      </x:c>
      <x:c r="C127" s="9" t="str">
        <x:v>AR-LF-B-A-TECH-1-B2-BRK-G0</x:v>
      </x:c>
      <x:c r="D127" s="9" t="str">
        <x:v>LF-B-A-TECH-1</x:v>
      </x:c>
      <x:c r="E127" s="9" t="str">
        <x:v>LF-B-A</x:v>
      </x:c>
      <x:c r="F127" s="9" t="str">
        <x:v>B2</x:v>
      </x:c>
      <x:c r="G127" s="9" t="str">
        <x:v>BRK</x:v>
      </x:c>
      <x:c r="H127" s="9" t="str">
        <x:v>OG01</x:v>
      </x:c>
      <x:c r="I127" s="17" t="str">
        <x:v>Serial and event identity</x:v>
      </x:c>
      <x:c r="J127" s="17" t="str">
        <x:v>record resolves to the issued serial, generation and physical start</x:v>
      </x:c>
      <x:c r="K127" s="17" t="str">
        <x:v>Observation court</x:v>
      </x:c>
      <x:c r="L127" s="9" t="n">
        <x:v>0</x:v>
      </x:c>
      <x:c r="M127" s="9" t="n">
        <x:v>0</x:v>
      </x:c>
      <x:c r="N127" s="9" t="str">
        <x:v>OPEN / UNACCEPTED</x:v>
      </x:c>
      <x:c r="O127" s="9" t="n">
        <x:f>COUNTIFS($A$7:$A$1734,A127)</x:f>
        <x:v>1</x:v>
      </x:c>
    </x:row>
    <x:row r="128">
      <x:c r="A128" s="9" t="str">
        <x:v>EV-AR-LF-B-A-TECH-1-B2-BRK-G0-OG02</x:v>
      </x:c>
      <x:c r="B128" s="9" t="str">
        <x:v>EV-AR-LF-B-A-TECH-1-B2-BRK-G0</x:v>
      </x:c>
      <x:c r="C128" s="9" t="str">
        <x:v>AR-LF-B-A-TECH-1-B2-BRK-G0</x:v>
      </x:c>
      <x:c r="D128" s="9" t="str">
        <x:v>LF-B-A-TECH-1</x:v>
      </x:c>
      <x:c r="E128" s="9" t="str">
        <x:v>LF-B-A</x:v>
      </x:c>
      <x:c r="F128" s="9" t="str">
        <x:v>B2</x:v>
      </x:c>
      <x:c r="G128" s="9" t="str">
        <x:v>BRK</x:v>
      </x:c>
      <x:c r="H128" s="9" t="str">
        <x:v>OG02</x:v>
      </x:c>
      <x:c r="I128" s="17" t="str">
        <x:v>Time ancestry</x:v>
      </x:c>
      <x:c r="J128" s="17" t="str">
        <x:v>primary, witness and public event clocks retain declared offsets and drift</x:v>
      </x:c>
      <x:c r="K128" s="17" t="str">
        <x:v>Time authority</x:v>
      </x:c>
      <x:c r="L128" s="9" t="n">
        <x:v>0</x:v>
      </x:c>
      <x:c r="M128" s="9" t="n">
        <x:v>0</x:v>
      </x:c>
      <x:c r="N128" s="9" t="str">
        <x:v>OPEN / UNACCEPTED</x:v>
      </x:c>
      <x:c r="O128" s="9" t="n">
        <x:f>COUNTIFS($A$7:$A$1734,A128)</x:f>
        <x:v>1</x:v>
      </x:c>
    </x:row>
    <x:row r="129">
      <x:c r="A129" s="9" t="str">
        <x:v>EV-AR-LF-B-A-TECH-1-B2-BRK-G0-OG03</x:v>
      </x:c>
      <x:c r="B129" s="9" t="str">
        <x:v>EV-AR-LF-B-A-TECH-1-B2-BRK-G0</x:v>
      </x:c>
      <x:c r="C129" s="9" t="str">
        <x:v>AR-LF-B-A-TECH-1-B2-BRK-G0</x:v>
      </x:c>
      <x:c r="D129" s="9" t="str">
        <x:v>LF-B-A-TECH-1</x:v>
      </x:c>
      <x:c r="E129" s="9" t="str">
        <x:v>LF-B-A</x:v>
      </x:c>
      <x:c r="F129" s="9" t="str">
        <x:v>B2</x:v>
      </x:c>
      <x:c r="G129" s="9" t="str">
        <x:v>BRK</x:v>
      </x:c>
      <x:c r="H129" s="9" t="str">
        <x:v>OG03</x:v>
      </x:c>
      <x:c r="I129" s="17" t="str">
        <x:v>Calibration ancestry</x:v>
      </x:c>
      <x:c r="J129" s="17" t="str">
        <x:v>all reference, range and uncertainty states cover the live interval</x:v>
      </x:c>
      <x:c r="K129" s="17" t="str">
        <x:v>Metrology courts</x:v>
      </x:c>
      <x:c r="L129" s="9" t="n">
        <x:v>0</x:v>
      </x:c>
      <x:c r="M129" s="9" t="n">
        <x:v>0</x:v>
      </x:c>
      <x:c r="N129" s="9" t="str">
        <x:v>OPEN / UNACCEPTED</x:v>
      </x:c>
      <x:c r="O129" s="9" t="n">
        <x:f>COUNTIFS($A$7:$A$1734,A129)</x:f>
        <x:v>1</x:v>
      </x:c>
    </x:row>
    <x:row r="130">
      <x:c r="A130" s="9" t="str">
        <x:v>EV-AR-LF-B-A-TECH-1-B2-BRK-G0-OG04</x:v>
      </x:c>
      <x:c r="B130" s="9" t="str">
        <x:v>EV-AR-LF-B-A-TECH-1-B2-BRK-G0</x:v>
      </x:c>
      <x:c r="C130" s="9" t="str">
        <x:v>AR-LF-B-A-TECH-1-B2-BRK-G0</x:v>
      </x:c>
      <x:c r="D130" s="9" t="str">
        <x:v>LF-B-A-TECH-1</x:v>
      </x:c>
      <x:c r="E130" s="9" t="str">
        <x:v>LF-B-A</x:v>
      </x:c>
      <x:c r="F130" s="9" t="str">
        <x:v>B2</x:v>
      </x:c>
      <x:c r="G130" s="9" t="str">
        <x:v>BRK</x:v>
      </x:c>
      <x:c r="H130" s="9" t="str">
        <x:v>OG04</x:v>
      </x:c>
      <x:c r="I130" s="17" t="str">
        <x:v>Raw completeness</x:v>
      </x:c>
      <x:c r="J130" s="17" t="str">
        <x:v>missingness is enumerated without imputation or outcome-conditioned deletion</x:v>
      </x:c>
      <x:c r="K130" s="17" t="str">
        <x:v>Observation court</x:v>
      </x:c>
      <x:c r="L130" s="9" t="n">
        <x:v>0</x:v>
      </x:c>
      <x:c r="M130" s="9" t="n">
        <x:v>0</x:v>
      </x:c>
      <x:c r="N130" s="9" t="str">
        <x:v>OPEN / UNACCEPTED</x:v>
      </x:c>
      <x:c r="O130" s="9" t="n">
        <x:f>COUNTIFS($A$7:$A$1734,A130)</x:f>
        <x:v>1</x:v>
      </x:c>
    </x:row>
    <x:row r="131">
      <x:c r="A131" s="9" t="str">
        <x:v>EV-AR-LF-B-A-TECH-1-B2-BRK-G0-OG05</x:v>
      </x:c>
      <x:c r="B131" s="9" t="str">
        <x:v>EV-AR-LF-B-A-TECH-1-B2-BRK-G0</x:v>
      </x:c>
      <x:c r="C131" s="9" t="str">
        <x:v>AR-LF-B-A-TECH-1-B2-BRK-G0</x:v>
      </x:c>
      <x:c r="D131" s="9" t="str">
        <x:v>LF-B-A-TECH-1</x:v>
      </x:c>
      <x:c r="E131" s="9" t="str">
        <x:v>LF-B-A</x:v>
      </x:c>
      <x:c r="F131" s="9" t="str">
        <x:v>B2</x:v>
      </x:c>
      <x:c r="G131" s="9" t="str">
        <x:v>BRK</x:v>
      </x:c>
      <x:c r="H131" s="9" t="str">
        <x:v>OG05</x:v>
      </x:c>
      <x:c r="I131" s="17" t="str">
        <x:v>Primary provenance</x:v>
      </x:c>
      <x:c r="J131" s="17" t="str">
        <x:v>primary originals, hashes, keys and access history reconcile</x:v>
      </x:c>
      <x:c r="K131" s="17" t="str">
        <x:v>Primary custody</x:v>
      </x:c>
      <x:c r="L131" s="9" t="n">
        <x:v>0</x:v>
      </x:c>
      <x:c r="M131" s="9" t="n">
        <x:v>0</x:v>
      </x:c>
      <x:c r="N131" s="9" t="str">
        <x:v>OPEN / UNACCEPTED</x:v>
      </x:c>
      <x:c r="O131" s="9" t="n">
        <x:f>COUNTIFS($A$7:$A$1734,A131)</x:f>
        <x:v>1</x:v>
      </x:c>
    </x:row>
    <x:row r="132">
      <x:c r="A132" s="9" t="str">
        <x:v>EV-AR-LF-B-A-TECH-1-B2-BRK-G0-OG06</x:v>
      </x:c>
      <x:c r="B132" s="9" t="str">
        <x:v>EV-AR-LF-B-A-TECH-1-B2-BRK-G0</x:v>
      </x:c>
      <x:c r="C132" s="9" t="str">
        <x:v>AR-LF-B-A-TECH-1-B2-BRK-G0</x:v>
      </x:c>
      <x:c r="D132" s="9" t="str">
        <x:v>LF-B-A-TECH-1</x:v>
      </x:c>
      <x:c r="E132" s="9" t="str">
        <x:v>LF-B-A</x:v>
      </x:c>
      <x:c r="F132" s="9" t="str">
        <x:v>B2</x:v>
      </x:c>
      <x:c r="G132" s="9" t="str">
        <x:v>BRK</x:v>
      </x:c>
      <x:c r="H132" s="9" t="str">
        <x:v>OG06</x:v>
      </x:c>
      <x:c r="I132" s="17" t="str">
        <x:v>Witness provenance</x:v>
      </x:c>
      <x:c r="J132" s="17" t="str">
        <x:v>unlike witness originals, hashes, keys and access history reconcile</x:v>
      </x:c>
      <x:c r="K132" s="17" t="str">
        <x:v>Witness custody</x:v>
      </x:c>
      <x:c r="L132" s="9" t="n">
        <x:v>0</x:v>
      </x:c>
      <x:c r="M132" s="9" t="n">
        <x:v>0</x:v>
      </x:c>
      <x:c r="N132" s="9" t="str">
        <x:v>OPEN / UNACCEPTED</x:v>
      </x:c>
      <x:c r="O132" s="9" t="n">
        <x:f>COUNTIFS($A$7:$A$1734,A132)</x:f>
        <x:v>1</x:v>
      </x:c>
    </x:row>
    <x:row r="133">
      <x:c r="A133" s="9" t="str">
        <x:v>EV-AR-LF-B-A-TECH-1-B2-BRK-G0-OG07</x:v>
      </x:c>
      <x:c r="B133" s="9" t="str">
        <x:v>EV-AR-LF-B-A-TECH-1-B2-BRK-G0</x:v>
      </x:c>
      <x:c r="C133" s="9" t="str">
        <x:v>AR-LF-B-A-TECH-1-B2-BRK-G0</x:v>
      </x:c>
      <x:c r="D133" s="9" t="str">
        <x:v>LF-B-A-TECH-1</x:v>
      </x:c>
      <x:c r="E133" s="9" t="str">
        <x:v>LF-B-A</x:v>
      </x:c>
      <x:c r="F133" s="9" t="str">
        <x:v>B2</x:v>
      </x:c>
      <x:c r="G133" s="9" t="str">
        <x:v>BRK</x:v>
      </x:c>
      <x:c r="H133" s="9" t="str">
        <x:v>OG07</x:v>
      </x:c>
      <x:c r="I133" s="17" t="str">
        <x:v>Receiver denominator</x:v>
      </x:c>
      <x:c r="J133" s="17" t="str">
        <x:v>population, quantity, duration and exclusions match the frozen receipt</x:v>
      </x:c>
      <x:c r="K133" s="17" t="str">
        <x:v>Receiver court</x:v>
      </x:c>
      <x:c r="L133" s="9" t="n">
        <x:v>0</x:v>
      </x:c>
      <x:c r="M133" s="9" t="n">
        <x:v>0</x:v>
      </x:c>
      <x:c r="N133" s="9" t="str">
        <x:v>OPEN / UNACCEPTED</x:v>
      </x:c>
      <x:c r="O133" s="9" t="n">
        <x:f>COUNTIFS($A$7:$A$1734,A133)</x:f>
        <x:v>1</x:v>
      </x:c>
    </x:row>
    <x:row r="134">
      <x:c r="A134" s="9" t="str">
        <x:v>EV-AR-LF-B-A-TECH-1-B2-BRK-G0-OG08</x:v>
      </x:c>
      <x:c r="B134" s="9" t="str">
        <x:v>EV-AR-LF-B-A-TECH-1-B2-BRK-G0</x:v>
      </x:c>
      <x:c r="C134" s="9" t="str">
        <x:v>AR-LF-B-A-TECH-1-B2-BRK-G0</x:v>
      </x:c>
      <x:c r="D134" s="9" t="str">
        <x:v>LF-B-A-TECH-1</x:v>
      </x:c>
      <x:c r="E134" s="9" t="str">
        <x:v>LF-B-A</x:v>
      </x:c>
      <x:c r="F134" s="9" t="str">
        <x:v>B2</x:v>
      </x:c>
      <x:c r="G134" s="9" t="str">
        <x:v>BRK</x:v>
      </x:c>
      <x:c r="H134" s="9" t="str">
        <x:v>OG08</x:v>
      </x:c>
      <x:c r="I134" s="17" t="str">
        <x:v>Environment and boundary</x:v>
      </x:c>
      <x:c r="J134" s="17" t="str">
        <x:v>registered weather, water, ground, inlet and outlet states are retained</x:v>
      </x:c>
      <x:c r="K134" s="17" t="str">
        <x:v>Boundary court</x:v>
      </x:c>
      <x:c r="L134" s="9" t="n">
        <x:v>0</x:v>
      </x:c>
      <x:c r="M134" s="9" t="n">
        <x:v>0</x:v>
      </x:c>
      <x:c r="N134" s="9" t="str">
        <x:v>OPEN / UNACCEPTED</x:v>
      </x:c>
      <x:c r="O134" s="9" t="n">
        <x:f>COUNTIFS($A$7:$A$1734,A134)</x:f>
        <x:v>1</x:v>
      </x:c>
    </x:row>
    <x:row r="135">
      <x:c r="A135" s="9" t="str">
        <x:v>EV-AR-LF-B-A-TECH-1-B2-BRK-G0-OG09</x:v>
      </x:c>
      <x:c r="B135" s="9" t="str">
        <x:v>EV-AR-LF-B-A-TECH-1-B2-BRK-G0</x:v>
      </x:c>
      <x:c r="C135" s="9" t="str">
        <x:v>AR-LF-B-A-TECH-1-B2-BRK-G0</x:v>
      </x:c>
      <x:c r="D135" s="9" t="str">
        <x:v>LF-B-A-TECH-1</x:v>
      </x:c>
      <x:c r="E135" s="9" t="str">
        <x:v>LF-B-A</x:v>
      </x:c>
      <x:c r="F135" s="9" t="str">
        <x:v>B2</x:v>
      </x:c>
      <x:c r="G135" s="9" t="str">
        <x:v>BRK</x:v>
      </x:c>
      <x:c r="H135" s="9" t="str">
        <x:v>OG09</x:v>
      </x:c>
      <x:c r="I135" s="17" t="str">
        <x:v>Intervention account</x:v>
      </x:c>
      <x:c r="J135" s="17" t="str">
        <x:v>all stop, rescue, operator and public-protection actions remain timestamped</x:v>
      </x:c>
      <x:c r="K135" s="17" t="str">
        <x:v>Safety record court</x:v>
      </x:c>
      <x:c r="L135" s="9" t="n">
        <x:v>0</x:v>
      </x:c>
      <x:c r="M135" s="9" t="n">
        <x:v>0</x:v>
      </x:c>
      <x:c r="N135" s="9" t="str">
        <x:v>OPEN / UNACCEPTED</x:v>
      </x:c>
      <x:c r="O135" s="9" t="n">
        <x:f>COUNTIFS($A$7:$A$1734,A135)</x:f>
        <x:v>1</x:v>
      </x:c>
    </x:row>
    <x:row r="136">
      <x:c r="A136" s="9" t="str">
        <x:v>EV-AR-LF-B-A-TECH-1-B2-BRK-G0-OG10</x:v>
      </x:c>
      <x:c r="B136" s="9" t="str">
        <x:v>EV-AR-LF-B-A-TECH-1-B2-BRK-G0</x:v>
      </x:c>
      <x:c r="C136" s="9" t="str">
        <x:v>AR-LF-B-A-TECH-1-B2-BRK-G0</x:v>
      </x:c>
      <x:c r="D136" s="9" t="str">
        <x:v>LF-B-A-TECH-1</x:v>
      </x:c>
      <x:c r="E136" s="9" t="str">
        <x:v>LF-B-A</x:v>
      </x:c>
      <x:c r="F136" s="9" t="str">
        <x:v>B2</x:v>
      </x:c>
      <x:c r="G136" s="9" t="str">
        <x:v>BRK</x:v>
      </x:c>
      <x:c r="H136" s="9" t="str">
        <x:v>OG10</x:v>
      </x:c>
      <x:c r="I136" s="17" t="str">
        <x:v>Uncertainty statement</x:v>
      </x:c>
      <x:c r="J136" s="17" t="str">
        <x:v>range, censoring, resolution and correlation are declared before judgment</x:v>
      </x:c>
      <x:c r="K136" s="17" t="str">
        <x:v>Uncertainty authority</x:v>
      </x:c>
      <x:c r="L136" s="9" t="n">
        <x:v>0</x:v>
      </x:c>
      <x:c r="M136" s="9" t="n">
        <x:v>0</x:v>
      </x:c>
      <x:c r="N136" s="9" t="str">
        <x:v>OPEN / UNACCEPTED</x:v>
      </x:c>
      <x:c r="O136" s="9" t="n">
        <x:f>COUNTIFS($A$7:$A$1734,A136)</x:f>
        <x:v>1</x:v>
      </x:c>
    </x:row>
    <x:row r="137">
      <x:c r="A137" s="9" t="str">
        <x:v>EV-AR-LF-B-A-TECH-1-B2-BRK-G0-OG11</x:v>
      </x:c>
      <x:c r="B137" s="9" t="str">
        <x:v>EV-AR-LF-B-A-TECH-1-B2-BRK-G0</x:v>
      </x:c>
      <x:c r="C137" s="9" t="str">
        <x:v>AR-LF-B-A-TECH-1-B2-BRK-G0</x:v>
      </x:c>
      <x:c r="D137" s="9" t="str">
        <x:v>LF-B-A-TECH-1</x:v>
      </x:c>
      <x:c r="E137" s="9" t="str">
        <x:v>LF-B-A</x:v>
      </x:c>
      <x:c r="F137" s="9" t="str">
        <x:v>B2</x:v>
      </x:c>
      <x:c r="G137" s="9" t="str">
        <x:v>BRK</x:v>
      </x:c>
      <x:c r="H137" s="9" t="str">
        <x:v>OG11</x:v>
      </x:c>
      <x:c r="I137" s="17" t="str">
        <x:v>Contradiction preservation</x:v>
      </x:c>
      <x:c r="J137" s="17" t="str">
        <x:v>primary-witness disagreement remains explicit and is never averaged away</x:v>
      </x:c>
      <x:c r="K137" s="17" t="str">
        <x:v>Dissent registrar</x:v>
      </x:c>
      <x:c r="L137" s="9" t="n">
        <x:v>0</x:v>
      </x:c>
      <x:c r="M137" s="9" t="n">
        <x:v>0</x:v>
      </x:c>
      <x:c r="N137" s="9" t="str">
        <x:v>OPEN / UNACCEPTED</x:v>
      </x:c>
      <x:c r="O137" s="9" t="n">
        <x:f>COUNTIFS($A$7:$A$1734,A137)</x:f>
        <x:v>1</x:v>
      </x:c>
    </x:row>
    <x:row r="138">
      <x:c r="A138" s="9" t="str">
        <x:v>EV-AR-LF-B-A-TECH-1-B2-BRK-G0-OG12</x:v>
      </x:c>
      <x:c r="B138" s="9" t="str">
        <x:v>EV-AR-LF-B-A-TECH-1-B2-BRK-G0</x:v>
      </x:c>
      <x:c r="C138" s="9" t="str">
        <x:v>AR-LF-B-A-TECH-1-B2-BRK-G0</x:v>
      </x:c>
      <x:c r="D138" s="9" t="str">
        <x:v>LF-B-A-TECH-1</x:v>
      </x:c>
      <x:c r="E138" s="9" t="str">
        <x:v>LF-B-A</x:v>
      </x:c>
      <x:c r="F138" s="9" t="str">
        <x:v>B2</x:v>
      </x:c>
      <x:c r="G138" s="9" t="str">
        <x:v>BRK</x:v>
      </x:c>
      <x:c r="H138" s="9" t="str">
        <x:v>OG12</x:v>
      </x:c>
      <x:c r="I138" s="17" t="str">
        <x:v>Independent replay</x:v>
      </x:c>
      <x:c r="J138" s="17" t="str">
        <x:v>a separated reader reconstructs the registered observables from sealed originals</x:v>
      </x:c>
      <x:c r="K138" s="17" t="str">
        <x:v>Replay court</x:v>
      </x:c>
      <x:c r="L138" s="9" t="n">
        <x:v>0</x:v>
      </x:c>
      <x:c r="M138" s="9" t="n">
        <x:v>0</x:v>
      </x:c>
      <x:c r="N138" s="9" t="str">
        <x:v>OPEN / UNACCEPTED</x:v>
      </x:c>
      <x:c r="O138" s="9" t="n">
        <x:f>COUNTIFS($A$7:$A$1734,A138)</x:f>
        <x:v>1</x:v>
      </x:c>
    </x:row>
    <x:row r="139">
      <x:c r="A139" s="9" t="str">
        <x:v>EV-AR-RT-B-C-TECH-1-B2-INT-G0-OG01</x:v>
      </x:c>
      <x:c r="B139" s="9" t="str">
        <x:v>EV-AR-RT-B-C-TECH-1-B2-INT-G0</x:v>
      </x:c>
      <x:c r="C139" s="9" t="str">
        <x:v>AR-RT-B-C-TECH-1-B2-INT-G0</x:v>
      </x:c>
      <x:c r="D139" s="9" t="str">
        <x:v>RT-B-C-TECH-1</x:v>
      </x:c>
      <x:c r="E139" s="9" t="str">
        <x:v>RT-B-C</x:v>
      </x:c>
      <x:c r="F139" s="9" t="str">
        <x:v>B2</x:v>
      </x:c>
      <x:c r="G139" s="9" t="str">
        <x:v>INT</x:v>
      </x:c>
      <x:c r="H139" s="9" t="str">
        <x:v>OG01</x:v>
      </x:c>
      <x:c r="I139" s="17" t="str">
        <x:v>Serial and event identity</x:v>
      </x:c>
      <x:c r="J139" s="17" t="str">
        <x:v>record resolves to the issued serial, generation and physical start</x:v>
      </x:c>
      <x:c r="K139" s="17" t="str">
        <x:v>Observation court</x:v>
      </x:c>
      <x:c r="L139" s="9" t="n">
        <x:v>0</x:v>
      </x:c>
      <x:c r="M139" s="9" t="n">
        <x:v>0</x:v>
      </x:c>
      <x:c r="N139" s="9" t="str">
        <x:v>OPEN / UNACCEPTED</x:v>
      </x:c>
      <x:c r="O139" s="9" t="n">
        <x:f>COUNTIFS($A$7:$A$1734,A139)</x:f>
        <x:v>1</x:v>
      </x:c>
    </x:row>
    <x:row r="140">
      <x:c r="A140" s="9" t="str">
        <x:v>EV-AR-RT-B-C-TECH-1-B2-INT-G0-OG02</x:v>
      </x:c>
      <x:c r="B140" s="9" t="str">
        <x:v>EV-AR-RT-B-C-TECH-1-B2-INT-G0</x:v>
      </x:c>
      <x:c r="C140" s="9" t="str">
        <x:v>AR-RT-B-C-TECH-1-B2-INT-G0</x:v>
      </x:c>
      <x:c r="D140" s="9" t="str">
        <x:v>RT-B-C-TECH-1</x:v>
      </x:c>
      <x:c r="E140" s="9" t="str">
        <x:v>RT-B-C</x:v>
      </x:c>
      <x:c r="F140" s="9" t="str">
        <x:v>B2</x:v>
      </x:c>
      <x:c r="G140" s="9" t="str">
        <x:v>INT</x:v>
      </x:c>
      <x:c r="H140" s="9" t="str">
        <x:v>OG02</x:v>
      </x:c>
      <x:c r="I140" s="17" t="str">
        <x:v>Time ancestry</x:v>
      </x:c>
      <x:c r="J140" s="17" t="str">
        <x:v>primary, witness and public event clocks retain declared offsets and drift</x:v>
      </x:c>
      <x:c r="K140" s="17" t="str">
        <x:v>Time authority</x:v>
      </x:c>
      <x:c r="L140" s="9" t="n">
        <x:v>0</x:v>
      </x:c>
      <x:c r="M140" s="9" t="n">
        <x:v>0</x:v>
      </x:c>
      <x:c r="N140" s="9" t="str">
        <x:v>OPEN / UNACCEPTED</x:v>
      </x:c>
      <x:c r="O140" s="9" t="n">
        <x:f>COUNTIFS($A$7:$A$1734,A140)</x:f>
        <x:v>1</x:v>
      </x:c>
    </x:row>
    <x:row r="141">
      <x:c r="A141" s="9" t="str">
        <x:v>EV-AR-RT-B-C-TECH-1-B2-INT-G0-OG03</x:v>
      </x:c>
      <x:c r="B141" s="9" t="str">
        <x:v>EV-AR-RT-B-C-TECH-1-B2-INT-G0</x:v>
      </x:c>
      <x:c r="C141" s="9" t="str">
        <x:v>AR-RT-B-C-TECH-1-B2-INT-G0</x:v>
      </x:c>
      <x:c r="D141" s="9" t="str">
        <x:v>RT-B-C-TECH-1</x:v>
      </x:c>
      <x:c r="E141" s="9" t="str">
        <x:v>RT-B-C</x:v>
      </x:c>
      <x:c r="F141" s="9" t="str">
        <x:v>B2</x:v>
      </x:c>
      <x:c r="G141" s="9" t="str">
        <x:v>INT</x:v>
      </x:c>
      <x:c r="H141" s="9" t="str">
        <x:v>OG03</x:v>
      </x:c>
      <x:c r="I141" s="17" t="str">
        <x:v>Calibration ancestry</x:v>
      </x:c>
      <x:c r="J141" s="17" t="str">
        <x:v>all reference, range and uncertainty states cover the live interval</x:v>
      </x:c>
      <x:c r="K141" s="17" t="str">
        <x:v>Metrology courts</x:v>
      </x:c>
      <x:c r="L141" s="9" t="n">
        <x:v>0</x:v>
      </x:c>
      <x:c r="M141" s="9" t="n">
        <x:v>0</x:v>
      </x:c>
      <x:c r="N141" s="9" t="str">
        <x:v>OPEN / UNACCEPTED</x:v>
      </x:c>
      <x:c r="O141" s="9" t="n">
        <x:f>COUNTIFS($A$7:$A$1734,A141)</x:f>
        <x:v>1</x:v>
      </x:c>
    </x:row>
    <x:row r="142">
      <x:c r="A142" s="9" t="str">
        <x:v>EV-AR-RT-B-C-TECH-1-B2-INT-G0-OG04</x:v>
      </x:c>
      <x:c r="B142" s="9" t="str">
        <x:v>EV-AR-RT-B-C-TECH-1-B2-INT-G0</x:v>
      </x:c>
      <x:c r="C142" s="9" t="str">
        <x:v>AR-RT-B-C-TECH-1-B2-INT-G0</x:v>
      </x:c>
      <x:c r="D142" s="9" t="str">
        <x:v>RT-B-C-TECH-1</x:v>
      </x:c>
      <x:c r="E142" s="9" t="str">
        <x:v>RT-B-C</x:v>
      </x:c>
      <x:c r="F142" s="9" t="str">
        <x:v>B2</x:v>
      </x:c>
      <x:c r="G142" s="9" t="str">
        <x:v>INT</x:v>
      </x:c>
      <x:c r="H142" s="9" t="str">
        <x:v>OG04</x:v>
      </x:c>
      <x:c r="I142" s="17" t="str">
        <x:v>Raw completeness</x:v>
      </x:c>
      <x:c r="J142" s="17" t="str">
        <x:v>missingness is enumerated without imputation or outcome-conditioned deletion</x:v>
      </x:c>
      <x:c r="K142" s="17" t="str">
        <x:v>Observation court</x:v>
      </x:c>
      <x:c r="L142" s="9" t="n">
        <x:v>0</x:v>
      </x:c>
      <x:c r="M142" s="9" t="n">
        <x:v>0</x:v>
      </x:c>
      <x:c r="N142" s="9" t="str">
        <x:v>OPEN / UNACCEPTED</x:v>
      </x:c>
      <x:c r="O142" s="9" t="n">
        <x:f>COUNTIFS($A$7:$A$1734,A142)</x:f>
        <x:v>1</x:v>
      </x:c>
    </x:row>
    <x:row r="143">
      <x:c r="A143" s="9" t="str">
        <x:v>EV-AR-RT-B-C-TECH-1-B2-INT-G0-OG05</x:v>
      </x:c>
      <x:c r="B143" s="9" t="str">
        <x:v>EV-AR-RT-B-C-TECH-1-B2-INT-G0</x:v>
      </x:c>
      <x:c r="C143" s="9" t="str">
        <x:v>AR-RT-B-C-TECH-1-B2-INT-G0</x:v>
      </x:c>
      <x:c r="D143" s="9" t="str">
        <x:v>RT-B-C-TECH-1</x:v>
      </x:c>
      <x:c r="E143" s="9" t="str">
        <x:v>RT-B-C</x:v>
      </x:c>
      <x:c r="F143" s="9" t="str">
        <x:v>B2</x:v>
      </x:c>
      <x:c r="G143" s="9" t="str">
        <x:v>INT</x:v>
      </x:c>
      <x:c r="H143" s="9" t="str">
        <x:v>OG05</x:v>
      </x:c>
      <x:c r="I143" s="17" t="str">
        <x:v>Primary provenance</x:v>
      </x:c>
      <x:c r="J143" s="17" t="str">
        <x:v>primary originals, hashes, keys and access history reconcile</x:v>
      </x:c>
      <x:c r="K143" s="17" t="str">
        <x:v>Primary custody</x:v>
      </x:c>
      <x:c r="L143" s="9" t="n">
        <x:v>0</x:v>
      </x:c>
      <x:c r="M143" s="9" t="n">
        <x:v>0</x:v>
      </x:c>
      <x:c r="N143" s="9" t="str">
        <x:v>OPEN / UNACCEPTED</x:v>
      </x:c>
      <x:c r="O143" s="9" t="n">
        <x:f>COUNTIFS($A$7:$A$1734,A143)</x:f>
        <x:v>1</x:v>
      </x:c>
    </x:row>
    <x:row r="144">
      <x:c r="A144" s="9" t="str">
        <x:v>EV-AR-RT-B-C-TECH-1-B2-INT-G0-OG06</x:v>
      </x:c>
      <x:c r="B144" s="9" t="str">
        <x:v>EV-AR-RT-B-C-TECH-1-B2-INT-G0</x:v>
      </x:c>
      <x:c r="C144" s="9" t="str">
        <x:v>AR-RT-B-C-TECH-1-B2-INT-G0</x:v>
      </x:c>
      <x:c r="D144" s="9" t="str">
        <x:v>RT-B-C-TECH-1</x:v>
      </x:c>
      <x:c r="E144" s="9" t="str">
        <x:v>RT-B-C</x:v>
      </x:c>
      <x:c r="F144" s="9" t="str">
        <x:v>B2</x:v>
      </x:c>
      <x:c r="G144" s="9" t="str">
        <x:v>INT</x:v>
      </x:c>
      <x:c r="H144" s="9" t="str">
        <x:v>OG06</x:v>
      </x:c>
      <x:c r="I144" s="17" t="str">
        <x:v>Witness provenance</x:v>
      </x:c>
      <x:c r="J144" s="17" t="str">
        <x:v>unlike witness originals, hashes, keys and access history reconcile</x:v>
      </x:c>
      <x:c r="K144" s="17" t="str">
        <x:v>Witness custody</x:v>
      </x:c>
      <x:c r="L144" s="9" t="n">
        <x:v>0</x:v>
      </x:c>
      <x:c r="M144" s="9" t="n">
        <x:v>0</x:v>
      </x:c>
      <x:c r="N144" s="9" t="str">
        <x:v>OPEN / UNACCEPTED</x:v>
      </x:c>
      <x:c r="O144" s="9" t="n">
        <x:f>COUNTIFS($A$7:$A$1734,A144)</x:f>
        <x:v>1</x:v>
      </x:c>
    </x:row>
    <x:row r="145">
      <x:c r="A145" s="9" t="str">
        <x:v>EV-AR-RT-B-C-TECH-1-B2-INT-G0-OG07</x:v>
      </x:c>
      <x:c r="B145" s="9" t="str">
        <x:v>EV-AR-RT-B-C-TECH-1-B2-INT-G0</x:v>
      </x:c>
      <x:c r="C145" s="9" t="str">
        <x:v>AR-RT-B-C-TECH-1-B2-INT-G0</x:v>
      </x:c>
      <x:c r="D145" s="9" t="str">
        <x:v>RT-B-C-TECH-1</x:v>
      </x:c>
      <x:c r="E145" s="9" t="str">
        <x:v>RT-B-C</x:v>
      </x:c>
      <x:c r="F145" s="9" t="str">
        <x:v>B2</x:v>
      </x:c>
      <x:c r="G145" s="9" t="str">
        <x:v>INT</x:v>
      </x:c>
      <x:c r="H145" s="9" t="str">
        <x:v>OG07</x:v>
      </x:c>
      <x:c r="I145" s="17" t="str">
        <x:v>Receiver denominator</x:v>
      </x:c>
      <x:c r="J145" s="17" t="str">
        <x:v>population, quantity, duration and exclusions match the frozen receipt</x:v>
      </x:c>
      <x:c r="K145" s="17" t="str">
        <x:v>Receiver court</x:v>
      </x:c>
      <x:c r="L145" s="9" t="n">
        <x:v>0</x:v>
      </x:c>
      <x:c r="M145" s="9" t="n">
        <x:v>0</x:v>
      </x:c>
      <x:c r="N145" s="9" t="str">
        <x:v>OPEN / UNACCEPTED</x:v>
      </x:c>
      <x:c r="O145" s="9" t="n">
        <x:f>COUNTIFS($A$7:$A$1734,A145)</x:f>
        <x:v>1</x:v>
      </x:c>
    </x:row>
    <x:row r="146">
      <x:c r="A146" s="9" t="str">
        <x:v>EV-AR-RT-B-C-TECH-1-B2-INT-G0-OG08</x:v>
      </x:c>
      <x:c r="B146" s="9" t="str">
        <x:v>EV-AR-RT-B-C-TECH-1-B2-INT-G0</x:v>
      </x:c>
      <x:c r="C146" s="9" t="str">
        <x:v>AR-RT-B-C-TECH-1-B2-INT-G0</x:v>
      </x:c>
      <x:c r="D146" s="9" t="str">
        <x:v>RT-B-C-TECH-1</x:v>
      </x:c>
      <x:c r="E146" s="9" t="str">
        <x:v>RT-B-C</x:v>
      </x:c>
      <x:c r="F146" s="9" t="str">
        <x:v>B2</x:v>
      </x:c>
      <x:c r="G146" s="9" t="str">
        <x:v>INT</x:v>
      </x:c>
      <x:c r="H146" s="9" t="str">
        <x:v>OG08</x:v>
      </x:c>
      <x:c r="I146" s="17" t="str">
        <x:v>Environment and boundary</x:v>
      </x:c>
      <x:c r="J146" s="17" t="str">
        <x:v>registered weather, water, ground, inlet and outlet states are retained</x:v>
      </x:c>
      <x:c r="K146" s="17" t="str">
        <x:v>Boundary court</x:v>
      </x:c>
      <x:c r="L146" s="9" t="n">
        <x:v>0</x:v>
      </x:c>
      <x:c r="M146" s="9" t="n">
        <x:v>0</x:v>
      </x:c>
      <x:c r="N146" s="9" t="str">
        <x:v>OPEN / UNACCEPTED</x:v>
      </x:c>
      <x:c r="O146" s="9" t="n">
        <x:f>COUNTIFS($A$7:$A$1734,A146)</x:f>
        <x:v>1</x:v>
      </x:c>
    </x:row>
    <x:row r="147">
      <x:c r="A147" s="9" t="str">
        <x:v>EV-AR-RT-B-C-TECH-1-B2-INT-G0-OG09</x:v>
      </x:c>
      <x:c r="B147" s="9" t="str">
        <x:v>EV-AR-RT-B-C-TECH-1-B2-INT-G0</x:v>
      </x:c>
      <x:c r="C147" s="9" t="str">
        <x:v>AR-RT-B-C-TECH-1-B2-INT-G0</x:v>
      </x:c>
      <x:c r="D147" s="9" t="str">
        <x:v>RT-B-C-TECH-1</x:v>
      </x:c>
      <x:c r="E147" s="9" t="str">
        <x:v>RT-B-C</x:v>
      </x:c>
      <x:c r="F147" s="9" t="str">
        <x:v>B2</x:v>
      </x:c>
      <x:c r="G147" s="9" t="str">
        <x:v>INT</x:v>
      </x:c>
      <x:c r="H147" s="9" t="str">
        <x:v>OG09</x:v>
      </x:c>
      <x:c r="I147" s="17" t="str">
        <x:v>Intervention account</x:v>
      </x:c>
      <x:c r="J147" s="17" t="str">
        <x:v>all stop, rescue, operator and public-protection actions remain timestamped</x:v>
      </x:c>
      <x:c r="K147" s="17" t="str">
        <x:v>Safety record court</x:v>
      </x:c>
      <x:c r="L147" s="9" t="n">
        <x:v>0</x:v>
      </x:c>
      <x:c r="M147" s="9" t="n">
        <x:v>0</x:v>
      </x:c>
      <x:c r="N147" s="9" t="str">
        <x:v>OPEN / UNACCEPTED</x:v>
      </x:c>
      <x:c r="O147" s="9" t="n">
        <x:f>COUNTIFS($A$7:$A$1734,A147)</x:f>
        <x:v>1</x:v>
      </x:c>
    </x:row>
    <x:row r="148">
      <x:c r="A148" s="9" t="str">
        <x:v>EV-AR-RT-B-C-TECH-1-B2-INT-G0-OG10</x:v>
      </x:c>
      <x:c r="B148" s="9" t="str">
        <x:v>EV-AR-RT-B-C-TECH-1-B2-INT-G0</x:v>
      </x:c>
      <x:c r="C148" s="9" t="str">
        <x:v>AR-RT-B-C-TECH-1-B2-INT-G0</x:v>
      </x:c>
      <x:c r="D148" s="9" t="str">
        <x:v>RT-B-C-TECH-1</x:v>
      </x:c>
      <x:c r="E148" s="9" t="str">
        <x:v>RT-B-C</x:v>
      </x:c>
      <x:c r="F148" s="9" t="str">
        <x:v>B2</x:v>
      </x:c>
      <x:c r="G148" s="9" t="str">
        <x:v>INT</x:v>
      </x:c>
      <x:c r="H148" s="9" t="str">
        <x:v>OG10</x:v>
      </x:c>
      <x:c r="I148" s="17" t="str">
        <x:v>Uncertainty statement</x:v>
      </x:c>
      <x:c r="J148" s="17" t="str">
        <x:v>range, censoring, resolution and correlation are declared before judgment</x:v>
      </x:c>
      <x:c r="K148" s="17" t="str">
        <x:v>Uncertainty authority</x:v>
      </x:c>
      <x:c r="L148" s="9" t="n">
        <x:v>0</x:v>
      </x:c>
      <x:c r="M148" s="9" t="n">
        <x:v>0</x:v>
      </x:c>
      <x:c r="N148" s="9" t="str">
        <x:v>OPEN / UNACCEPTED</x:v>
      </x:c>
      <x:c r="O148" s="9" t="n">
        <x:f>COUNTIFS($A$7:$A$1734,A148)</x:f>
        <x:v>1</x:v>
      </x:c>
    </x:row>
    <x:row r="149">
      <x:c r="A149" s="9" t="str">
        <x:v>EV-AR-RT-B-C-TECH-1-B2-INT-G0-OG11</x:v>
      </x:c>
      <x:c r="B149" s="9" t="str">
        <x:v>EV-AR-RT-B-C-TECH-1-B2-INT-G0</x:v>
      </x:c>
      <x:c r="C149" s="9" t="str">
        <x:v>AR-RT-B-C-TECH-1-B2-INT-G0</x:v>
      </x:c>
      <x:c r="D149" s="9" t="str">
        <x:v>RT-B-C-TECH-1</x:v>
      </x:c>
      <x:c r="E149" s="9" t="str">
        <x:v>RT-B-C</x:v>
      </x:c>
      <x:c r="F149" s="9" t="str">
        <x:v>B2</x:v>
      </x:c>
      <x:c r="G149" s="9" t="str">
        <x:v>INT</x:v>
      </x:c>
      <x:c r="H149" s="9" t="str">
        <x:v>OG11</x:v>
      </x:c>
      <x:c r="I149" s="17" t="str">
        <x:v>Contradiction preservation</x:v>
      </x:c>
      <x:c r="J149" s="17" t="str">
        <x:v>primary-witness disagreement remains explicit and is never averaged away</x:v>
      </x:c>
      <x:c r="K149" s="17" t="str">
        <x:v>Dissent registrar</x:v>
      </x:c>
      <x:c r="L149" s="9" t="n">
        <x:v>0</x:v>
      </x:c>
      <x:c r="M149" s="9" t="n">
        <x:v>0</x:v>
      </x:c>
      <x:c r="N149" s="9" t="str">
        <x:v>OPEN / UNACCEPTED</x:v>
      </x:c>
      <x:c r="O149" s="9" t="n">
        <x:f>COUNTIFS($A$7:$A$1734,A149)</x:f>
        <x:v>1</x:v>
      </x:c>
    </x:row>
    <x:row r="150">
      <x:c r="A150" s="9" t="str">
        <x:v>EV-AR-RT-B-C-TECH-1-B2-INT-G0-OG12</x:v>
      </x:c>
      <x:c r="B150" s="9" t="str">
        <x:v>EV-AR-RT-B-C-TECH-1-B2-INT-G0</x:v>
      </x:c>
      <x:c r="C150" s="9" t="str">
        <x:v>AR-RT-B-C-TECH-1-B2-INT-G0</x:v>
      </x:c>
      <x:c r="D150" s="9" t="str">
        <x:v>RT-B-C-TECH-1</x:v>
      </x:c>
      <x:c r="E150" s="9" t="str">
        <x:v>RT-B-C</x:v>
      </x:c>
      <x:c r="F150" s="9" t="str">
        <x:v>B2</x:v>
      </x:c>
      <x:c r="G150" s="9" t="str">
        <x:v>INT</x:v>
      </x:c>
      <x:c r="H150" s="9" t="str">
        <x:v>OG12</x:v>
      </x:c>
      <x:c r="I150" s="17" t="str">
        <x:v>Independent replay</x:v>
      </x:c>
      <x:c r="J150" s="17" t="str">
        <x:v>a separated reader reconstructs the registered observables from sealed originals</x:v>
      </x:c>
      <x:c r="K150" s="17" t="str">
        <x:v>Replay court</x:v>
      </x:c>
      <x:c r="L150" s="9" t="n">
        <x:v>0</x:v>
      </x:c>
      <x:c r="M150" s="9" t="n">
        <x:v>0</x:v>
      </x:c>
      <x:c r="N150" s="9" t="str">
        <x:v>OPEN / UNACCEPTED</x:v>
      </x:c>
      <x:c r="O150" s="9" t="n">
        <x:f>COUNTIFS($A$7:$A$1734,A150)</x:f>
        <x:v>1</x:v>
      </x:c>
    </x:row>
    <x:row r="151">
      <x:c r="A151" s="9" t="str">
        <x:v>EV-AR-ET-A-A-TECH-4-B2-BRK-G0-OG01</x:v>
      </x:c>
      <x:c r="B151" s="9" t="str">
        <x:v>EV-AR-ET-A-A-TECH-4-B2-BRK-G0</x:v>
      </x:c>
      <x:c r="C151" s="9" t="str">
        <x:v>AR-ET-A-A-TECH-4-B2-BRK-G0</x:v>
      </x:c>
      <x:c r="D151" s="9" t="str">
        <x:v>ET-A-A-TECH-4</x:v>
      </x:c>
      <x:c r="E151" s="9" t="str">
        <x:v>ET-A-A</x:v>
      </x:c>
      <x:c r="F151" s="9" t="str">
        <x:v>B2</x:v>
      </x:c>
      <x:c r="G151" s="9" t="str">
        <x:v>BRK</x:v>
      </x:c>
      <x:c r="H151" s="9" t="str">
        <x:v>OG01</x:v>
      </x:c>
      <x:c r="I151" s="17" t="str">
        <x:v>Serial and event identity</x:v>
      </x:c>
      <x:c r="J151" s="17" t="str">
        <x:v>record resolves to the issued serial, generation and physical start</x:v>
      </x:c>
      <x:c r="K151" s="17" t="str">
        <x:v>Observation court</x:v>
      </x:c>
      <x:c r="L151" s="9" t="n">
        <x:v>0</x:v>
      </x:c>
      <x:c r="M151" s="9" t="n">
        <x:v>0</x:v>
      </x:c>
      <x:c r="N151" s="9" t="str">
        <x:v>OPEN / UNACCEPTED</x:v>
      </x:c>
      <x:c r="O151" s="9" t="n">
        <x:f>COUNTIFS($A$7:$A$1734,A151)</x:f>
        <x:v>1</x:v>
      </x:c>
    </x:row>
    <x:row r="152">
      <x:c r="A152" s="9" t="str">
        <x:v>EV-AR-ET-A-A-TECH-4-B2-BRK-G0-OG02</x:v>
      </x:c>
      <x:c r="B152" s="9" t="str">
        <x:v>EV-AR-ET-A-A-TECH-4-B2-BRK-G0</x:v>
      </x:c>
      <x:c r="C152" s="9" t="str">
        <x:v>AR-ET-A-A-TECH-4-B2-BRK-G0</x:v>
      </x:c>
      <x:c r="D152" s="9" t="str">
        <x:v>ET-A-A-TECH-4</x:v>
      </x:c>
      <x:c r="E152" s="9" t="str">
        <x:v>ET-A-A</x:v>
      </x:c>
      <x:c r="F152" s="9" t="str">
        <x:v>B2</x:v>
      </x:c>
      <x:c r="G152" s="9" t="str">
        <x:v>BRK</x:v>
      </x:c>
      <x:c r="H152" s="9" t="str">
        <x:v>OG02</x:v>
      </x:c>
      <x:c r="I152" s="17" t="str">
        <x:v>Time ancestry</x:v>
      </x:c>
      <x:c r="J152" s="17" t="str">
        <x:v>primary, witness and public event clocks retain declared offsets and drift</x:v>
      </x:c>
      <x:c r="K152" s="17" t="str">
        <x:v>Time authority</x:v>
      </x:c>
      <x:c r="L152" s="9" t="n">
        <x:v>0</x:v>
      </x:c>
      <x:c r="M152" s="9" t="n">
        <x:v>0</x:v>
      </x:c>
      <x:c r="N152" s="9" t="str">
        <x:v>OPEN / UNACCEPTED</x:v>
      </x:c>
      <x:c r="O152" s="9" t="n">
        <x:f>COUNTIFS($A$7:$A$1734,A152)</x:f>
        <x:v>1</x:v>
      </x:c>
    </x:row>
    <x:row r="153">
      <x:c r="A153" s="9" t="str">
        <x:v>EV-AR-ET-A-A-TECH-4-B2-BRK-G0-OG03</x:v>
      </x:c>
      <x:c r="B153" s="9" t="str">
        <x:v>EV-AR-ET-A-A-TECH-4-B2-BRK-G0</x:v>
      </x:c>
      <x:c r="C153" s="9" t="str">
        <x:v>AR-ET-A-A-TECH-4-B2-BRK-G0</x:v>
      </x:c>
      <x:c r="D153" s="9" t="str">
        <x:v>ET-A-A-TECH-4</x:v>
      </x:c>
      <x:c r="E153" s="9" t="str">
        <x:v>ET-A-A</x:v>
      </x:c>
      <x:c r="F153" s="9" t="str">
        <x:v>B2</x:v>
      </x:c>
      <x:c r="G153" s="9" t="str">
        <x:v>BRK</x:v>
      </x:c>
      <x:c r="H153" s="9" t="str">
        <x:v>OG03</x:v>
      </x:c>
      <x:c r="I153" s="17" t="str">
        <x:v>Calibration ancestry</x:v>
      </x:c>
      <x:c r="J153" s="17" t="str">
        <x:v>all reference, range and uncertainty states cover the live interval</x:v>
      </x:c>
      <x:c r="K153" s="17" t="str">
        <x:v>Metrology courts</x:v>
      </x:c>
      <x:c r="L153" s="9" t="n">
        <x:v>0</x:v>
      </x:c>
      <x:c r="M153" s="9" t="n">
        <x:v>0</x:v>
      </x:c>
      <x:c r="N153" s="9" t="str">
        <x:v>OPEN / UNACCEPTED</x:v>
      </x:c>
      <x:c r="O153" s="9" t="n">
        <x:f>COUNTIFS($A$7:$A$1734,A153)</x:f>
        <x:v>1</x:v>
      </x:c>
    </x:row>
    <x:row r="154">
      <x:c r="A154" s="9" t="str">
        <x:v>EV-AR-ET-A-A-TECH-4-B2-BRK-G0-OG04</x:v>
      </x:c>
      <x:c r="B154" s="9" t="str">
        <x:v>EV-AR-ET-A-A-TECH-4-B2-BRK-G0</x:v>
      </x:c>
      <x:c r="C154" s="9" t="str">
        <x:v>AR-ET-A-A-TECH-4-B2-BRK-G0</x:v>
      </x:c>
      <x:c r="D154" s="9" t="str">
        <x:v>ET-A-A-TECH-4</x:v>
      </x:c>
      <x:c r="E154" s="9" t="str">
        <x:v>ET-A-A</x:v>
      </x:c>
      <x:c r="F154" s="9" t="str">
        <x:v>B2</x:v>
      </x:c>
      <x:c r="G154" s="9" t="str">
        <x:v>BRK</x:v>
      </x:c>
      <x:c r="H154" s="9" t="str">
        <x:v>OG04</x:v>
      </x:c>
      <x:c r="I154" s="17" t="str">
        <x:v>Raw completeness</x:v>
      </x:c>
      <x:c r="J154" s="17" t="str">
        <x:v>missingness is enumerated without imputation or outcome-conditioned deletion</x:v>
      </x:c>
      <x:c r="K154" s="17" t="str">
        <x:v>Observation court</x:v>
      </x:c>
      <x:c r="L154" s="9" t="n">
        <x:v>0</x:v>
      </x:c>
      <x:c r="M154" s="9" t="n">
        <x:v>0</x:v>
      </x:c>
      <x:c r="N154" s="9" t="str">
        <x:v>OPEN / UNACCEPTED</x:v>
      </x:c>
      <x:c r="O154" s="9" t="n">
        <x:f>COUNTIFS($A$7:$A$1734,A154)</x:f>
        <x:v>1</x:v>
      </x:c>
    </x:row>
    <x:row r="155">
      <x:c r="A155" s="9" t="str">
        <x:v>EV-AR-ET-A-A-TECH-4-B2-BRK-G0-OG05</x:v>
      </x:c>
      <x:c r="B155" s="9" t="str">
        <x:v>EV-AR-ET-A-A-TECH-4-B2-BRK-G0</x:v>
      </x:c>
      <x:c r="C155" s="9" t="str">
        <x:v>AR-ET-A-A-TECH-4-B2-BRK-G0</x:v>
      </x:c>
      <x:c r="D155" s="9" t="str">
        <x:v>ET-A-A-TECH-4</x:v>
      </x:c>
      <x:c r="E155" s="9" t="str">
        <x:v>ET-A-A</x:v>
      </x:c>
      <x:c r="F155" s="9" t="str">
        <x:v>B2</x:v>
      </x:c>
      <x:c r="G155" s="9" t="str">
        <x:v>BRK</x:v>
      </x:c>
      <x:c r="H155" s="9" t="str">
        <x:v>OG05</x:v>
      </x:c>
      <x:c r="I155" s="17" t="str">
        <x:v>Primary provenance</x:v>
      </x:c>
      <x:c r="J155" s="17" t="str">
        <x:v>primary originals, hashes, keys and access history reconcile</x:v>
      </x:c>
      <x:c r="K155" s="17" t="str">
        <x:v>Primary custody</x:v>
      </x:c>
      <x:c r="L155" s="9" t="n">
        <x:v>0</x:v>
      </x:c>
      <x:c r="M155" s="9" t="n">
        <x:v>0</x:v>
      </x:c>
      <x:c r="N155" s="9" t="str">
        <x:v>OPEN / UNACCEPTED</x:v>
      </x:c>
      <x:c r="O155" s="9" t="n">
        <x:f>COUNTIFS($A$7:$A$1734,A155)</x:f>
        <x:v>1</x:v>
      </x:c>
    </x:row>
    <x:row r="156">
      <x:c r="A156" s="9" t="str">
        <x:v>EV-AR-ET-A-A-TECH-4-B2-BRK-G0-OG06</x:v>
      </x:c>
      <x:c r="B156" s="9" t="str">
        <x:v>EV-AR-ET-A-A-TECH-4-B2-BRK-G0</x:v>
      </x:c>
      <x:c r="C156" s="9" t="str">
        <x:v>AR-ET-A-A-TECH-4-B2-BRK-G0</x:v>
      </x:c>
      <x:c r="D156" s="9" t="str">
        <x:v>ET-A-A-TECH-4</x:v>
      </x:c>
      <x:c r="E156" s="9" t="str">
        <x:v>ET-A-A</x:v>
      </x:c>
      <x:c r="F156" s="9" t="str">
        <x:v>B2</x:v>
      </x:c>
      <x:c r="G156" s="9" t="str">
        <x:v>BRK</x:v>
      </x:c>
      <x:c r="H156" s="9" t="str">
        <x:v>OG06</x:v>
      </x:c>
      <x:c r="I156" s="17" t="str">
        <x:v>Witness provenance</x:v>
      </x:c>
      <x:c r="J156" s="17" t="str">
        <x:v>unlike witness originals, hashes, keys and access history reconcile</x:v>
      </x:c>
      <x:c r="K156" s="17" t="str">
        <x:v>Witness custody</x:v>
      </x:c>
      <x:c r="L156" s="9" t="n">
        <x:v>0</x:v>
      </x:c>
      <x:c r="M156" s="9" t="n">
        <x:v>0</x:v>
      </x:c>
      <x:c r="N156" s="9" t="str">
        <x:v>OPEN / UNACCEPTED</x:v>
      </x:c>
      <x:c r="O156" s="9" t="n">
        <x:f>COUNTIFS($A$7:$A$1734,A156)</x:f>
        <x:v>1</x:v>
      </x:c>
    </x:row>
    <x:row r="157">
      <x:c r="A157" s="9" t="str">
        <x:v>EV-AR-ET-A-A-TECH-4-B2-BRK-G0-OG07</x:v>
      </x:c>
      <x:c r="B157" s="9" t="str">
        <x:v>EV-AR-ET-A-A-TECH-4-B2-BRK-G0</x:v>
      </x:c>
      <x:c r="C157" s="9" t="str">
        <x:v>AR-ET-A-A-TECH-4-B2-BRK-G0</x:v>
      </x:c>
      <x:c r="D157" s="9" t="str">
        <x:v>ET-A-A-TECH-4</x:v>
      </x:c>
      <x:c r="E157" s="9" t="str">
        <x:v>ET-A-A</x:v>
      </x:c>
      <x:c r="F157" s="9" t="str">
        <x:v>B2</x:v>
      </x:c>
      <x:c r="G157" s="9" t="str">
        <x:v>BRK</x:v>
      </x:c>
      <x:c r="H157" s="9" t="str">
        <x:v>OG07</x:v>
      </x:c>
      <x:c r="I157" s="17" t="str">
        <x:v>Receiver denominator</x:v>
      </x:c>
      <x:c r="J157" s="17" t="str">
        <x:v>population, quantity, duration and exclusions match the frozen receipt</x:v>
      </x:c>
      <x:c r="K157" s="17" t="str">
        <x:v>Receiver court</x:v>
      </x:c>
      <x:c r="L157" s="9" t="n">
        <x:v>0</x:v>
      </x:c>
      <x:c r="M157" s="9" t="n">
        <x:v>0</x:v>
      </x:c>
      <x:c r="N157" s="9" t="str">
        <x:v>OPEN / UNACCEPTED</x:v>
      </x:c>
      <x:c r="O157" s="9" t="n">
        <x:f>COUNTIFS($A$7:$A$1734,A157)</x:f>
        <x:v>1</x:v>
      </x:c>
    </x:row>
    <x:row r="158">
      <x:c r="A158" s="9" t="str">
        <x:v>EV-AR-ET-A-A-TECH-4-B2-BRK-G0-OG08</x:v>
      </x:c>
      <x:c r="B158" s="9" t="str">
        <x:v>EV-AR-ET-A-A-TECH-4-B2-BRK-G0</x:v>
      </x:c>
      <x:c r="C158" s="9" t="str">
        <x:v>AR-ET-A-A-TECH-4-B2-BRK-G0</x:v>
      </x:c>
      <x:c r="D158" s="9" t="str">
        <x:v>ET-A-A-TECH-4</x:v>
      </x:c>
      <x:c r="E158" s="9" t="str">
        <x:v>ET-A-A</x:v>
      </x:c>
      <x:c r="F158" s="9" t="str">
        <x:v>B2</x:v>
      </x:c>
      <x:c r="G158" s="9" t="str">
        <x:v>BRK</x:v>
      </x:c>
      <x:c r="H158" s="9" t="str">
        <x:v>OG08</x:v>
      </x:c>
      <x:c r="I158" s="17" t="str">
        <x:v>Environment and boundary</x:v>
      </x:c>
      <x:c r="J158" s="17" t="str">
        <x:v>registered weather, water, ground, inlet and outlet states are retained</x:v>
      </x:c>
      <x:c r="K158" s="17" t="str">
        <x:v>Boundary court</x:v>
      </x:c>
      <x:c r="L158" s="9" t="n">
        <x:v>0</x:v>
      </x:c>
      <x:c r="M158" s="9" t="n">
        <x:v>0</x:v>
      </x:c>
      <x:c r="N158" s="9" t="str">
        <x:v>OPEN / UNACCEPTED</x:v>
      </x:c>
      <x:c r="O158" s="9" t="n">
        <x:f>COUNTIFS($A$7:$A$1734,A158)</x:f>
        <x:v>1</x:v>
      </x:c>
    </x:row>
    <x:row r="159">
      <x:c r="A159" s="9" t="str">
        <x:v>EV-AR-ET-A-A-TECH-4-B2-BRK-G0-OG09</x:v>
      </x:c>
      <x:c r="B159" s="9" t="str">
        <x:v>EV-AR-ET-A-A-TECH-4-B2-BRK-G0</x:v>
      </x:c>
      <x:c r="C159" s="9" t="str">
        <x:v>AR-ET-A-A-TECH-4-B2-BRK-G0</x:v>
      </x:c>
      <x:c r="D159" s="9" t="str">
        <x:v>ET-A-A-TECH-4</x:v>
      </x:c>
      <x:c r="E159" s="9" t="str">
        <x:v>ET-A-A</x:v>
      </x:c>
      <x:c r="F159" s="9" t="str">
        <x:v>B2</x:v>
      </x:c>
      <x:c r="G159" s="9" t="str">
        <x:v>BRK</x:v>
      </x:c>
      <x:c r="H159" s="9" t="str">
        <x:v>OG09</x:v>
      </x:c>
      <x:c r="I159" s="17" t="str">
        <x:v>Intervention account</x:v>
      </x:c>
      <x:c r="J159" s="17" t="str">
        <x:v>all stop, rescue, operator and public-protection actions remain timestamped</x:v>
      </x:c>
      <x:c r="K159" s="17" t="str">
        <x:v>Safety record court</x:v>
      </x:c>
      <x:c r="L159" s="9" t="n">
        <x:v>0</x:v>
      </x:c>
      <x:c r="M159" s="9" t="n">
        <x:v>0</x:v>
      </x:c>
      <x:c r="N159" s="9" t="str">
        <x:v>OPEN / UNACCEPTED</x:v>
      </x:c>
      <x:c r="O159" s="9" t="n">
        <x:f>COUNTIFS($A$7:$A$1734,A159)</x:f>
        <x:v>1</x:v>
      </x:c>
    </x:row>
    <x:row r="160">
      <x:c r="A160" s="9" t="str">
        <x:v>EV-AR-ET-A-A-TECH-4-B2-BRK-G0-OG10</x:v>
      </x:c>
      <x:c r="B160" s="9" t="str">
        <x:v>EV-AR-ET-A-A-TECH-4-B2-BRK-G0</x:v>
      </x:c>
      <x:c r="C160" s="9" t="str">
        <x:v>AR-ET-A-A-TECH-4-B2-BRK-G0</x:v>
      </x:c>
      <x:c r="D160" s="9" t="str">
        <x:v>ET-A-A-TECH-4</x:v>
      </x:c>
      <x:c r="E160" s="9" t="str">
        <x:v>ET-A-A</x:v>
      </x:c>
      <x:c r="F160" s="9" t="str">
        <x:v>B2</x:v>
      </x:c>
      <x:c r="G160" s="9" t="str">
        <x:v>BRK</x:v>
      </x:c>
      <x:c r="H160" s="9" t="str">
        <x:v>OG10</x:v>
      </x:c>
      <x:c r="I160" s="17" t="str">
        <x:v>Uncertainty statement</x:v>
      </x:c>
      <x:c r="J160" s="17" t="str">
        <x:v>range, censoring, resolution and correlation are declared before judgment</x:v>
      </x:c>
      <x:c r="K160" s="17" t="str">
        <x:v>Uncertainty authority</x:v>
      </x:c>
      <x:c r="L160" s="9" t="n">
        <x:v>0</x:v>
      </x:c>
      <x:c r="M160" s="9" t="n">
        <x:v>0</x:v>
      </x:c>
      <x:c r="N160" s="9" t="str">
        <x:v>OPEN / UNACCEPTED</x:v>
      </x:c>
      <x:c r="O160" s="9" t="n">
        <x:f>COUNTIFS($A$7:$A$1734,A160)</x:f>
        <x:v>1</x:v>
      </x:c>
    </x:row>
    <x:row r="161">
      <x:c r="A161" s="9" t="str">
        <x:v>EV-AR-ET-A-A-TECH-4-B2-BRK-G0-OG11</x:v>
      </x:c>
      <x:c r="B161" s="9" t="str">
        <x:v>EV-AR-ET-A-A-TECH-4-B2-BRK-G0</x:v>
      </x:c>
      <x:c r="C161" s="9" t="str">
        <x:v>AR-ET-A-A-TECH-4-B2-BRK-G0</x:v>
      </x:c>
      <x:c r="D161" s="9" t="str">
        <x:v>ET-A-A-TECH-4</x:v>
      </x:c>
      <x:c r="E161" s="9" t="str">
        <x:v>ET-A-A</x:v>
      </x:c>
      <x:c r="F161" s="9" t="str">
        <x:v>B2</x:v>
      </x:c>
      <x:c r="G161" s="9" t="str">
        <x:v>BRK</x:v>
      </x:c>
      <x:c r="H161" s="9" t="str">
        <x:v>OG11</x:v>
      </x:c>
      <x:c r="I161" s="17" t="str">
        <x:v>Contradiction preservation</x:v>
      </x:c>
      <x:c r="J161" s="17" t="str">
        <x:v>primary-witness disagreement remains explicit and is never averaged away</x:v>
      </x:c>
      <x:c r="K161" s="17" t="str">
        <x:v>Dissent registrar</x:v>
      </x:c>
      <x:c r="L161" s="9" t="n">
        <x:v>0</x:v>
      </x:c>
      <x:c r="M161" s="9" t="n">
        <x:v>0</x:v>
      </x:c>
      <x:c r="N161" s="9" t="str">
        <x:v>OPEN / UNACCEPTED</x:v>
      </x:c>
      <x:c r="O161" s="9" t="n">
        <x:f>COUNTIFS($A$7:$A$1734,A161)</x:f>
        <x:v>1</x:v>
      </x:c>
    </x:row>
    <x:row r="162">
      <x:c r="A162" s="9" t="str">
        <x:v>EV-AR-ET-A-A-TECH-4-B2-BRK-G0-OG12</x:v>
      </x:c>
      <x:c r="B162" s="9" t="str">
        <x:v>EV-AR-ET-A-A-TECH-4-B2-BRK-G0</x:v>
      </x:c>
      <x:c r="C162" s="9" t="str">
        <x:v>AR-ET-A-A-TECH-4-B2-BRK-G0</x:v>
      </x:c>
      <x:c r="D162" s="9" t="str">
        <x:v>ET-A-A-TECH-4</x:v>
      </x:c>
      <x:c r="E162" s="9" t="str">
        <x:v>ET-A-A</x:v>
      </x:c>
      <x:c r="F162" s="9" t="str">
        <x:v>B2</x:v>
      </x:c>
      <x:c r="G162" s="9" t="str">
        <x:v>BRK</x:v>
      </x:c>
      <x:c r="H162" s="9" t="str">
        <x:v>OG12</x:v>
      </x:c>
      <x:c r="I162" s="17" t="str">
        <x:v>Independent replay</x:v>
      </x:c>
      <x:c r="J162" s="17" t="str">
        <x:v>a separated reader reconstructs the registered observables from sealed originals</x:v>
      </x:c>
      <x:c r="K162" s="17" t="str">
        <x:v>Replay court</x:v>
      </x:c>
      <x:c r="L162" s="9" t="n">
        <x:v>0</x:v>
      </x:c>
      <x:c r="M162" s="9" t="n">
        <x:v>0</x:v>
      </x:c>
      <x:c r="N162" s="9" t="str">
        <x:v>OPEN / UNACCEPTED</x:v>
      </x:c>
      <x:c r="O162" s="9" t="n">
        <x:f>COUNTIFS($A$7:$A$1734,A162)</x:f>
        <x:v>1</x:v>
      </x:c>
    </x:row>
    <x:row r="163">
      <x:c r="A163" s="9" t="str">
        <x:v>EV-AR-ET-A-A-TECH-3-B1-RCN-G0-OG01</x:v>
      </x:c>
      <x:c r="B163" s="9" t="str">
        <x:v>EV-AR-ET-A-A-TECH-3-B1-RCN-G0</x:v>
      </x:c>
      <x:c r="C163" s="9" t="str">
        <x:v>AR-ET-A-A-TECH-3-B1-RCN-G0</x:v>
      </x:c>
      <x:c r="D163" s="9" t="str">
        <x:v>ET-A-A-TECH-3</x:v>
      </x:c>
      <x:c r="E163" s="9" t="str">
        <x:v>ET-A-A</x:v>
      </x:c>
      <x:c r="F163" s="9" t="str">
        <x:v>B1</x:v>
      </x:c>
      <x:c r="G163" s="9" t="str">
        <x:v>RCN</x:v>
      </x:c>
      <x:c r="H163" s="9" t="str">
        <x:v>OG01</x:v>
      </x:c>
      <x:c r="I163" s="17" t="str">
        <x:v>Serial and event identity</x:v>
      </x:c>
      <x:c r="J163" s="17" t="str">
        <x:v>record resolves to the issued serial, generation and physical start</x:v>
      </x:c>
      <x:c r="K163" s="17" t="str">
        <x:v>Observation court</x:v>
      </x:c>
      <x:c r="L163" s="9" t="n">
        <x:v>0</x:v>
      </x:c>
      <x:c r="M163" s="9" t="n">
        <x:v>0</x:v>
      </x:c>
      <x:c r="N163" s="9" t="str">
        <x:v>OPEN / UNACCEPTED</x:v>
      </x:c>
      <x:c r="O163" s="9" t="n">
        <x:f>COUNTIFS($A$7:$A$1734,A163)</x:f>
        <x:v>1</x:v>
      </x:c>
    </x:row>
    <x:row r="164">
      <x:c r="A164" s="9" t="str">
        <x:v>EV-AR-ET-A-A-TECH-3-B1-RCN-G0-OG02</x:v>
      </x:c>
      <x:c r="B164" s="9" t="str">
        <x:v>EV-AR-ET-A-A-TECH-3-B1-RCN-G0</x:v>
      </x:c>
      <x:c r="C164" s="9" t="str">
        <x:v>AR-ET-A-A-TECH-3-B1-RCN-G0</x:v>
      </x:c>
      <x:c r="D164" s="9" t="str">
        <x:v>ET-A-A-TECH-3</x:v>
      </x:c>
      <x:c r="E164" s="9" t="str">
        <x:v>ET-A-A</x:v>
      </x:c>
      <x:c r="F164" s="9" t="str">
        <x:v>B1</x:v>
      </x:c>
      <x:c r="G164" s="9" t="str">
        <x:v>RCN</x:v>
      </x:c>
      <x:c r="H164" s="9" t="str">
        <x:v>OG02</x:v>
      </x:c>
      <x:c r="I164" s="17" t="str">
        <x:v>Time ancestry</x:v>
      </x:c>
      <x:c r="J164" s="17" t="str">
        <x:v>primary, witness and public event clocks retain declared offsets and drift</x:v>
      </x:c>
      <x:c r="K164" s="17" t="str">
        <x:v>Time authority</x:v>
      </x:c>
      <x:c r="L164" s="9" t="n">
        <x:v>0</x:v>
      </x:c>
      <x:c r="M164" s="9" t="n">
        <x:v>0</x:v>
      </x:c>
      <x:c r="N164" s="9" t="str">
        <x:v>OPEN / UNACCEPTED</x:v>
      </x:c>
      <x:c r="O164" s="9" t="n">
        <x:f>COUNTIFS($A$7:$A$1734,A164)</x:f>
        <x:v>1</x:v>
      </x:c>
    </x:row>
    <x:row r="165">
      <x:c r="A165" s="9" t="str">
        <x:v>EV-AR-ET-A-A-TECH-3-B1-RCN-G0-OG03</x:v>
      </x:c>
      <x:c r="B165" s="9" t="str">
        <x:v>EV-AR-ET-A-A-TECH-3-B1-RCN-G0</x:v>
      </x:c>
      <x:c r="C165" s="9" t="str">
        <x:v>AR-ET-A-A-TECH-3-B1-RCN-G0</x:v>
      </x:c>
      <x:c r="D165" s="9" t="str">
        <x:v>ET-A-A-TECH-3</x:v>
      </x:c>
      <x:c r="E165" s="9" t="str">
        <x:v>ET-A-A</x:v>
      </x:c>
      <x:c r="F165" s="9" t="str">
        <x:v>B1</x:v>
      </x:c>
      <x:c r="G165" s="9" t="str">
        <x:v>RCN</x:v>
      </x:c>
      <x:c r="H165" s="9" t="str">
        <x:v>OG03</x:v>
      </x:c>
      <x:c r="I165" s="17" t="str">
        <x:v>Calibration ancestry</x:v>
      </x:c>
      <x:c r="J165" s="17" t="str">
        <x:v>all reference, range and uncertainty states cover the live interval</x:v>
      </x:c>
      <x:c r="K165" s="17" t="str">
        <x:v>Metrology courts</x:v>
      </x:c>
      <x:c r="L165" s="9" t="n">
        <x:v>0</x:v>
      </x:c>
      <x:c r="M165" s="9" t="n">
        <x:v>0</x:v>
      </x:c>
      <x:c r="N165" s="9" t="str">
        <x:v>OPEN / UNACCEPTED</x:v>
      </x:c>
      <x:c r="O165" s="9" t="n">
        <x:f>COUNTIFS($A$7:$A$1734,A165)</x:f>
        <x:v>1</x:v>
      </x:c>
    </x:row>
    <x:row r="166">
      <x:c r="A166" s="9" t="str">
        <x:v>EV-AR-ET-A-A-TECH-3-B1-RCN-G0-OG04</x:v>
      </x:c>
      <x:c r="B166" s="9" t="str">
        <x:v>EV-AR-ET-A-A-TECH-3-B1-RCN-G0</x:v>
      </x:c>
      <x:c r="C166" s="9" t="str">
        <x:v>AR-ET-A-A-TECH-3-B1-RCN-G0</x:v>
      </x:c>
      <x:c r="D166" s="9" t="str">
        <x:v>ET-A-A-TECH-3</x:v>
      </x:c>
      <x:c r="E166" s="9" t="str">
        <x:v>ET-A-A</x:v>
      </x:c>
      <x:c r="F166" s="9" t="str">
        <x:v>B1</x:v>
      </x:c>
      <x:c r="G166" s="9" t="str">
        <x:v>RCN</x:v>
      </x:c>
      <x:c r="H166" s="9" t="str">
        <x:v>OG04</x:v>
      </x:c>
      <x:c r="I166" s="17" t="str">
        <x:v>Raw completeness</x:v>
      </x:c>
      <x:c r="J166" s="17" t="str">
        <x:v>missingness is enumerated without imputation or outcome-conditioned deletion</x:v>
      </x:c>
      <x:c r="K166" s="17" t="str">
        <x:v>Observation court</x:v>
      </x:c>
      <x:c r="L166" s="9" t="n">
        <x:v>0</x:v>
      </x:c>
      <x:c r="M166" s="9" t="n">
        <x:v>0</x:v>
      </x:c>
      <x:c r="N166" s="9" t="str">
        <x:v>OPEN / UNACCEPTED</x:v>
      </x:c>
      <x:c r="O166" s="9" t="n">
        <x:f>COUNTIFS($A$7:$A$1734,A166)</x:f>
        <x:v>1</x:v>
      </x:c>
    </x:row>
    <x:row r="167">
      <x:c r="A167" s="9" t="str">
        <x:v>EV-AR-ET-A-A-TECH-3-B1-RCN-G0-OG05</x:v>
      </x:c>
      <x:c r="B167" s="9" t="str">
        <x:v>EV-AR-ET-A-A-TECH-3-B1-RCN-G0</x:v>
      </x:c>
      <x:c r="C167" s="9" t="str">
        <x:v>AR-ET-A-A-TECH-3-B1-RCN-G0</x:v>
      </x:c>
      <x:c r="D167" s="9" t="str">
        <x:v>ET-A-A-TECH-3</x:v>
      </x:c>
      <x:c r="E167" s="9" t="str">
        <x:v>ET-A-A</x:v>
      </x:c>
      <x:c r="F167" s="9" t="str">
        <x:v>B1</x:v>
      </x:c>
      <x:c r="G167" s="9" t="str">
        <x:v>RCN</x:v>
      </x:c>
      <x:c r="H167" s="9" t="str">
        <x:v>OG05</x:v>
      </x:c>
      <x:c r="I167" s="17" t="str">
        <x:v>Primary provenance</x:v>
      </x:c>
      <x:c r="J167" s="17" t="str">
        <x:v>primary originals, hashes, keys and access history reconcile</x:v>
      </x:c>
      <x:c r="K167" s="17" t="str">
        <x:v>Primary custody</x:v>
      </x:c>
      <x:c r="L167" s="9" t="n">
        <x:v>0</x:v>
      </x:c>
      <x:c r="M167" s="9" t="n">
        <x:v>0</x:v>
      </x:c>
      <x:c r="N167" s="9" t="str">
        <x:v>OPEN / UNACCEPTED</x:v>
      </x:c>
      <x:c r="O167" s="9" t="n">
        <x:f>COUNTIFS($A$7:$A$1734,A167)</x:f>
        <x:v>1</x:v>
      </x:c>
    </x:row>
    <x:row r="168">
      <x:c r="A168" s="9" t="str">
        <x:v>EV-AR-ET-A-A-TECH-3-B1-RCN-G0-OG06</x:v>
      </x:c>
      <x:c r="B168" s="9" t="str">
        <x:v>EV-AR-ET-A-A-TECH-3-B1-RCN-G0</x:v>
      </x:c>
      <x:c r="C168" s="9" t="str">
        <x:v>AR-ET-A-A-TECH-3-B1-RCN-G0</x:v>
      </x:c>
      <x:c r="D168" s="9" t="str">
        <x:v>ET-A-A-TECH-3</x:v>
      </x:c>
      <x:c r="E168" s="9" t="str">
        <x:v>ET-A-A</x:v>
      </x:c>
      <x:c r="F168" s="9" t="str">
        <x:v>B1</x:v>
      </x:c>
      <x:c r="G168" s="9" t="str">
        <x:v>RCN</x:v>
      </x:c>
      <x:c r="H168" s="9" t="str">
        <x:v>OG06</x:v>
      </x:c>
      <x:c r="I168" s="17" t="str">
        <x:v>Witness provenance</x:v>
      </x:c>
      <x:c r="J168" s="17" t="str">
        <x:v>unlike witness originals, hashes, keys and access history reconcile</x:v>
      </x:c>
      <x:c r="K168" s="17" t="str">
        <x:v>Witness custody</x:v>
      </x:c>
      <x:c r="L168" s="9" t="n">
        <x:v>0</x:v>
      </x:c>
      <x:c r="M168" s="9" t="n">
        <x:v>0</x:v>
      </x:c>
      <x:c r="N168" s="9" t="str">
        <x:v>OPEN / UNACCEPTED</x:v>
      </x:c>
      <x:c r="O168" s="9" t="n">
        <x:f>COUNTIFS($A$7:$A$1734,A168)</x:f>
        <x:v>1</x:v>
      </x:c>
    </x:row>
    <x:row r="169">
      <x:c r="A169" s="9" t="str">
        <x:v>EV-AR-ET-A-A-TECH-3-B1-RCN-G0-OG07</x:v>
      </x:c>
      <x:c r="B169" s="9" t="str">
        <x:v>EV-AR-ET-A-A-TECH-3-B1-RCN-G0</x:v>
      </x:c>
      <x:c r="C169" s="9" t="str">
        <x:v>AR-ET-A-A-TECH-3-B1-RCN-G0</x:v>
      </x:c>
      <x:c r="D169" s="9" t="str">
        <x:v>ET-A-A-TECH-3</x:v>
      </x:c>
      <x:c r="E169" s="9" t="str">
        <x:v>ET-A-A</x:v>
      </x:c>
      <x:c r="F169" s="9" t="str">
        <x:v>B1</x:v>
      </x:c>
      <x:c r="G169" s="9" t="str">
        <x:v>RCN</x:v>
      </x:c>
      <x:c r="H169" s="9" t="str">
        <x:v>OG07</x:v>
      </x:c>
      <x:c r="I169" s="17" t="str">
        <x:v>Receiver denominator</x:v>
      </x:c>
      <x:c r="J169" s="17" t="str">
        <x:v>population, quantity, duration and exclusions match the frozen receipt</x:v>
      </x:c>
      <x:c r="K169" s="17" t="str">
        <x:v>Receiver court</x:v>
      </x:c>
      <x:c r="L169" s="9" t="n">
        <x:v>0</x:v>
      </x:c>
      <x:c r="M169" s="9" t="n">
        <x:v>0</x:v>
      </x:c>
      <x:c r="N169" s="9" t="str">
        <x:v>OPEN / UNACCEPTED</x:v>
      </x:c>
      <x:c r="O169" s="9" t="n">
        <x:f>COUNTIFS($A$7:$A$1734,A169)</x:f>
        <x:v>1</x:v>
      </x:c>
    </x:row>
    <x:row r="170">
      <x:c r="A170" s="9" t="str">
        <x:v>EV-AR-ET-A-A-TECH-3-B1-RCN-G0-OG08</x:v>
      </x:c>
      <x:c r="B170" s="9" t="str">
        <x:v>EV-AR-ET-A-A-TECH-3-B1-RCN-G0</x:v>
      </x:c>
      <x:c r="C170" s="9" t="str">
        <x:v>AR-ET-A-A-TECH-3-B1-RCN-G0</x:v>
      </x:c>
      <x:c r="D170" s="9" t="str">
        <x:v>ET-A-A-TECH-3</x:v>
      </x:c>
      <x:c r="E170" s="9" t="str">
        <x:v>ET-A-A</x:v>
      </x:c>
      <x:c r="F170" s="9" t="str">
        <x:v>B1</x:v>
      </x:c>
      <x:c r="G170" s="9" t="str">
        <x:v>RCN</x:v>
      </x:c>
      <x:c r="H170" s="9" t="str">
        <x:v>OG08</x:v>
      </x:c>
      <x:c r="I170" s="17" t="str">
        <x:v>Environment and boundary</x:v>
      </x:c>
      <x:c r="J170" s="17" t="str">
        <x:v>registered weather, water, ground, inlet and outlet states are retained</x:v>
      </x:c>
      <x:c r="K170" s="17" t="str">
        <x:v>Boundary court</x:v>
      </x:c>
      <x:c r="L170" s="9" t="n">
        <x:v>0</x:v>
      </x:c>
      <x:c r="M170" s="9" t="n">
        <x:v>0</x:v>
      </x:c>
      <x:c r="N170" s="9" t="str">
        <x:v>OPEN / UNACCEPTED</x:v>
      </x:c>
      <x:c r="O170" s="9" t="n">
        <x:f>COUNTIFS($A$7:$A$1734,A170)</x:f>
        <x:v>1</x:v>
      </x:c>
    </x:row>
    <x:row r="171">
      <x:c r="A171" s="9" t="str">
        <x:v>EV-AR-ET-A-A-TECH-3-B1-RCN-G0-OG09</x:v>
      </x:c>
      <x:c r="B171" s="9" t="str">
        <x:v>EV-AR-ET-A-A-TECH-3-B1-RCN-G0</x:v>
      </x:c>
      <x:c r="C171" s="9" t="str">
        <x:v>AR-ET-A-A-TECH-3-B1-RCN-G0</x:v>
      </x:c>
      <x:c r="D171" s="9" t="str">
        <x:v>ET-A-A-TECH-3</x:v>
      </x:c>
      <x:c r="E171" s="9" t="str">
        <x:v>ET-A-A</x:v>
      </x:c>
      <x:c r="F171" s="9" t="str">
        <x:v>B1</x:v>
      </x:c>
      <x:c r="G171" s="9" t="str">
        <x:v>RCN</x:v>
      </x:c>
      <x:c r="H171" s="9" t="str">
        <x:v>OG09</x:v>
      </x:c>
      <x:c r="I171" s="17" t="str">
        <x:v>Intervention account</x:v>
      </x:c>
      <x:c r="J171" s="17" t="str">
        <x:v>all stop, rescue, operator and public-protection actions remain timestamped</x:v>
      </x:c>
      <x:c r="K171" s="17" t="str">
        <x:v>Safety record court</x:v>
      </x:c>
      <x:c r="L171" s="9" t="n">
        <x:v>0</x:v>
      </x:c>
      <x:c r="M171" s="9" t="n">
        <x:v>0</x:v>
      </x:c>
      <x:c r="N171" s="9" t="str">
        <x:v>OPEN / UNACCEPTED</x:v>
      </x:c>
      <x:c r="O171" s="9" t="n">
        <x:f>COUNTIFS($A$7:$A$1734,A171)</x:f>
        <x:v>1</x:v>
      </x:c>
    </x:row>
    <x:row r="172">
      <x:c r="A172" s="9" t="str">
        <x:v>EV-AR-ET-A-A-TECH-3-B1-RCN-G0-OG10</x:v>
      </x:c>
      <x:c r="B172" s="9" t="str">
        <x:v>EV-AR-ET-A-A-TECH-3-B1-RCN-G0</x:v>
      </x:c>
      <x:c r="C172" s="9" t="str">
        <x:v>AR-ET-A-A-TECH-3-B1-RCN-G0</x:v>
      </x:c>
      <x:c r="D172" s="9" t="str">
        <x:v>ET-A-A-TECH-3</x:v>
      </x:c>
      <x:c r="E172" s="9" t="str">
        <x:v>ET-A-A</x:v>
      </x:c>
      <x:c r="F172" s="9" t="str">
        <x:v>B1</x:v>
      </x:c>
      <x:c r="G172" s="9" t="str">
        <x:v>RCN</x:v>
      </x:c>
      <x:c r="H172" s="9" t="str">
        <x:v>OG10</x:v>
      </x:c>
      <x:c r="I172" s="17" t="str">
        <x:v>Uncertainty statement</x:v>
      </x:c>
      <x:c r="J172" s="17" t="str">
        <x:v>range, censoring, resolution and correlation are declared before judgment</x:v>
      </x:c>
      <x:c r="K172" s="17" t="str">
        <x:v>Uncertainty authority</x:v>
      </x:c>
      <x:c r="L172" s="9" t="n">
        <x:v>0</x:v>
      </x:c>
      <x:c r="M172" s="9" t="n">
        <x:v>0</x:v>
      </x:c>
      <x:c r="N172" s="9" t="str">
        <x:v>OPEN / UNACCEPTED</x:v>
      </x:c>
      <x:c r="O172" s="9" t="n">
        <x:f>COUNTIFS($A$7:$A$1734,A172)</x:f>
        <x:v>1</x:v>
      </x:c>
    </x:row>
    <x:row r="173">
      <x:c r="A173" s="9" t="str">
        <x:v>EV-AR-ET-A-A-TECH-3-B1-RCN-G0-OG11</x:v>
      </x:c>
      <x:c r="B173" s="9" t="str">
        <x:v>EV-AR-ET-A-A-TECH-3-B1-RCN-G0</x:v>
      </x:c>
      <x:c r="C173" s="9" t="str">
        <x:v>AR-ET-A-A-TECH-3-B1-RCN-G0</x:v>
      </x:c>
      <x:c r="D173" s="9" t="str">
        <x:v>ET-A-A-TECH-3</x:v>
      </x:c>
      <x:c r="E173" s="9" t="str">
        <x:v>ET-A-A</x:v>
      </x:c>
      <x:c r="F173" s="9" t="str">
        <x:v>B1</x:v>
      </x:c>
      <x:c r="G173" s="9" t="str">
        <x:v>RCN</x:v>
      </x:c>
      <x:c r="H173" s="9" t="str">
        <x:v>OG11</x:v>
      </x:c>
      <x:c r="I173" s="17" t="str">
        <x:v>Contradiction preservation</x:v>
      </x:c>
      <x:c r="J173" s="17" t="str">
        <x:v>primary-witness disagreement remains explicit and is never averaged away</x:v>
      </x:c>
      <x:c r="K173" s="17" t="str">
        <x:v>Dissent registrar</x:v>
      </x:c>
      <x:c r="L173" s="9" t="n">
        <x:v>0</x:v>
      </x:c>
      <x:c r="M173" s="9" t="n">
        <x:v>0</x:v>
      </x:c>
      <x:c r="N173" s="9" t="str">
        <x:v>OPEN / UNACCEPTED</x:v>
      </x:c>
      <x:c r="O173" s="9" t="n">
        <x:f>COUNTIFS($A$7:$A$1734,A173)</x:f>
        <x:v>1</x:v>
      </x:c>
    </x:row>
    <x:row r="174">
      <x:c r="A174" s="9" t="str">
        <x:v>EV-AR-ET-A-A-TECH-3-B1-RCN-G0-OG12</x:v>
      </x:c>
      <x:c r="B174" s="9" t="str">
        <x:v>EV-AR-ET-A-A-TECH-3-B1-RCN-G0</x:v>
      </x:c>
      <x:c r="C174" s="9" t="str">
        <x:v>AR-ET-A-A-TECH-3-B1-RCN-G0</x:v>
      </x:c>
      <x:c r="D174" s="9" t="str">
        <x:v>ET-A-A-TECH-3</x:v>
      </x:c>
      <x:c r="E174" s="9" t="str">
        <x:v>ET-A-A</x:v>
      </x:c>
      <x:c r="F174" s="9" t="str">
        <x:v>B1</x:v>
      </x:c>
      <x:c r="G174" s="9" t="str">
        <x:v>RCN</x:v>
      </x:c>
      <x:c r="H174" s="9" t="str">
        <x:v>OG12</x:v>
      </x:c>
      <x:c r="I174" s="17" t="str">
        <x:v>Independent replay</x:v>
      </x:c>
      <x:c r="J174" s="17" t="str">
        <x:v>a separated reader reconstructs the registered observables from sealed originals</x:v>
      </x:c>
      <x:c r="K174" s="17" t="str">
        <x:v>Replay court</x:v>
      </x:c>
      <x:c r="L174" s="9" t="n">
        <x:v>0</x:v>
      </x:c>
      <x:c r="M174" s="9" t="n">
        <x:v>0</x:v>
      </x:c>
      <x:c r="N174" s="9" t="str">
        <x:v>OPEN / UNACCEPTED</x:v>
      </x:c>
      <x:c r="O174" s="9" t="n">
        <x:f>COUNTIFS($A$7:$A$1734,A174)</x:f>
        <x:v>1</x:v>
      </x:c>
    </x:row>
    <x:row r="175">
      <x:c r="A175" s="9" t="str">
        <x:v>EV-AR-HC-A-C-TECH-4-B2-INT-G0-OG01</x:v>
      </x:c>
      <x:c r="B175" s="9" t="str">
        <x:v>EV-AR-HC-A-C-TECH-4-B2-INT-G0</x:v>
      </x:c>
      <x:c r="C175" s="9" t="str">
        <x:v>AR-HC-A-C-TECH-4-B2-INT-G0</x:v>
      </x:c>
      <x:c r="D175" s="9" t="str">
        <x:v>HC-A-C-TECH-4</x:v>
      </x:c>
      <x:c r="E175" s="9" t="str">
        <x:v>HC-A-C</x:v>
      </x:c>
      <x:c r="F175" s="9" t="str">
        <x:v>B2</x:v>
      </x:c>
      <x:c r="G175" s="9" t="str">
        <x:v>INT</x:v>
      </x:c>
      <x:c r="H175" s="9" t="str">
        <x:v>OG01</x:v>
      </x:c>
      <x:c r="I175" s="17" t="str">
        <x:v>Serial and event identity</x:v>
      </x:c>
      <x:c r="J175" s="17" t="str">
        <x:v>record resolves to the issued serial, generation and physical start</x:v>
      </x:c>
      <x:c r="K175" s="17" t="str">
        <x:v>Observation court</x:v>
      </x:c>
      <x:c r="L175" s="9" t="n">
        <x:v>0</x:v>
      </x:c>
      <x:c r="M175" s="9" t="n">
        <x:v>0</x:v>
      </x:c>
      <x:c r="N175" s="9" t="str">
        <x:v>OPEN / UNACCEPTED</x:v>
      </x:c>
      <x:c r="O175" s="9" t="n">
        <x:f>COUNTIFS($A$7:$A$1734,A175)</x:f>
        <x:v>1</x:v>
      </x:c>
    </x:row>
    <x:row r="176">
      <x:c r="A176" s="9" t="str">
        <x:v>EV-AR-HC-A-C-TECH-4-B2-INT-G0-OG02</x:v>
      </x:c>
      <x:c r="B176" s="9" t="str">
        <x:v>EV-AR-HC-A-C-TECH-4-B2-INT-G0</x:v>
      </x:c>
      <x:c r="C176" s="9" t="str">
        <x:v>AR-HC-A-C-TECH-4-B2-INT-G0</x:v>
      </x:c>
      <x:c r="D176" s="9" t="str">
        <x:v>HC-A-C-TECH-4</x:v>
      </x:c>
      <x:c r="E176" s="9" t="str">
        <x:v>HC-A-C</x:v>
      </x:c>
      <x:c r="F176" s="9" t="str">
        <x:v>B2</x:v>
      </x:c>
      <x:c r="G176" s="9" t="str">
        <x:v>INT</x:v>
      </x:c>
      <x:c r="H176" s="9" t="str">
        <x:v>OG02</x:v>
      </x:c>
      <x:c r="I176" s="17" t="str">
        <x:v>Time ancestry</x:v>
      </x:c>
      <x:c r="J176" s="17" t="str">
        <x:v>primary, witness and public event clocks retain declared offsets and drift</x:v>
      </x:c>
      <x:c r="K176" s="17" t="str">
        <x:v>Time authority</x:v>
      </x:c>
      <x:c r="L176" s="9" t="n">
        <x:v>0</x:v>
      </x:c>
      <x:c r="M176" s="9" t="n">
        <x:v>0</x:v>
      </x:c>
      <x:c r="N176" s="9" t="str">
        <x:v>OPEN / UNACCEPTED</x:v>
      </x:c>
      <x:c r="O176" s="9" t="n">
        <x:f>COUNTIFS($A$7:$A$1734,A176)</x:f>
        <x:v>1</x:v>
      </x:c>
    </x:row>
    <x:row r="177">
      <x:c r="A177" s="9" t="str">
        <x:v>EV-AR-HC-A-C-TECH-4-B2-INT-G0-OG03</x:v>
      </x:c>
      <x:c r="B177" s="9" t="str">
        <x:v>EV-AR-HC-A-C-TECH-4-B2-INT-G0</x:v>
      </x:c>
      <x:c r="C177" s="9" t="str">
        <x:v>AR-HC-A-C-TECH-4-B2-INT-G0</x:v>
      </x:c>
      <x:c r="D177" s="9" t="str">
        <x:v>HC-A-C-TECH-4</x:v>
      </x:c>
      <x:c r="E177" s="9" t="str">
        <x:v>HC-A-C</x:v>
      </x:c>
      <x:c r="F177" s="9" t="str">
        <x:v>B2</x:v>
      </x:c>
      <x:c r="G177" s="9" t="str">
        <x:v>INT</x:v>
      </x:c>
      <x:c r="H177" s="9" t="str">
        <x:v>OG03</x:v>
      </x:c>
      <x:c r="I177" s="17" t="str">
        <x:v>Calibration ancestry</x:v>
      </x:c>
      <x:c r="J177" s="17" t="str">
        <x:v>all reference, range and uncertainty states cover the live interval</x:v>
      </x:c>
      <x:c r="K177" s="17" t="str">
        <x:v>Metrology courts</x:v>
      </x:c>
      <x:c r="L177" s="9" t="n">
        <x:v>0</x:v>
      </x:c>
      <x:c r="M177" s="9" t="n">
        <x:v>0</x:v>
      </x:c>
      <x:c r="N177" s="9" t="str">
        <x:v>OPEN / UNACCEPTED</x:v>
      </x:c>
      <x:c r="O177" s="9" t="n">
        <x:f>COUNTIFS($A$7:$A$1734,A177)</x:f>
        <x:v>1</x:v>
      </x:c>
    </x:row>
    <x:row r="178">
      <x:c r="A178" s="9" t="str">
        <x:v>EV-AR-HC-A-C-TECH-4-B2-INT-G0-OG04</x:v>
      </x:c>
      <x:c r="B178" s="9" t="str">
        <x:v>EV-AR-HC-A-C-TECH-4-B2-INT-G0</x:v>
      </x:c>
      <x:c r="C178" s="9" t="str">
        <x:v>AR-HC-A-C-TECH-4-B2-INT-G0</x:v>
      </x:c>
      <x:c r="D178" s="9" t="str">
        <x:v>HC-A-C-TECH-4</x:v>
      </x:c>
      <x:c r="E178" s="9" t="str">
        <x:v>HC-A-C</x:v>
      </x:c>
      <x:c r="F178" s="9" t="str">
        <x:v>B2</x:v>
      </x:c>
      <x:c r="G178" s="9" t="str">
        <x:v>INT</x:v>
      </x:c>
      <x:c r="H178" s="9" t="str">
        <x:v>OG04</x:v>
      </x:c>
      <x:c r="I178" s="17" t="str">
        <x:v>Raw completeness</x:v>
      </x:c>
      <x:c r="J178" s="17" t="str">
        <x:v>missingness is enumerated without imputation or outcome-conditioned deletion</x:v>
      </x:c>
      <x:c r="K178" s="17" t="str">
        <x:v>Observation court</x:v>
      </x:c>
      <x:c r="L178" s="9" t="n">
        <x:v>0</x:v>
      </x:c>
      <x:c r="M178" s="9" t="n">
        <x:v>0</x:v>
      </x:c>
      <x:c r="N178" s="9" t="str">
        <x:v>OPEN / UNACCEPTED</x:v>
      </x:c>
      <x:c r="O178" s="9" t="n">
        <x:f>COUNTIFS($A$7:$A$1734,A178)</x:f>
        <x:v>1</x:v>
      </x:c>
    </x:row>
    <x:row r="179">
      <x:c r="A179" s="9" t="str">
        <x:v>EV-AR-HC-A-C-TECH-4-B2-INT-G0-OG05</x:v>
      </x:c>
      <x:c r="B179" s="9" t="str">
        <x:v>EV-AR-HC-A-C-TECH-4-B2-INT-G0</x:v>
      </x:c>
      <x:c r="C179" s="9" t="str">
        <x:v>AR-HC-A-C-TECH-4-B2-INT-G0</x:v>
      </x:c>
      <x:c r="D179" s="9" t="str">
        <x:v>HC-A-C-TECH-4</x:v>
      </x:c>
      <x:c r="E179" s="9" t="str">
        <x:v>HC-A-C</x:v>
      </x:c>
      <x:c r="F179" s="9" t="str">
        <x:v>B2</x:v>
      </x:c>
      <x:c r="G179" s="9" t="str">
        <x:v>INT</x:v>
      </x:c>
      <x:c r="H179" s="9" t="str">
        <x:v>OG05</x:v>
      </x:c>
      <x:c r="I179" s="17" t="str">
        <x:v>Primary provenance</x:v>
      </x:c>
      <x:c r="J179" s="17" t="str">
        <x:v>primary originals, hashes, keys and access history reconcile</x:v>
      </x:c>
      <x:c r="K179" s="17" t="str">
        <x:v>Primary custody</x:v>
      </x:c>
      <x:c r="L179" s="9" t="n">
        <x:v>0</x:v>
      </x:c>
      <x:c r="M179" s="9" t="n">
        <x:v>0</x:v>
      </x:c>
      <x:c r="N179" s="9" t="str">
        <x:v>OPEN / UNACCEPTED</x:v>
      </x:c>
      <x:c r="O179" s="9" t="n">
        <x:f>COUNTIFS($A$7:$A$1734,A179)</x:f>
        <x:v>1</x:v>
      </x:c>
    </x:row>
    <x:row r="180">
      <x:c r="A180" s="9" t="str">
        <x:v>EV-AR-HC-A-C-TECH-4-B2-INT-G0-OG06</x:v>
      </x:c>
      <x:c r="B180" s="9" t="str">
        <x:v>EV-AR-HC-A-C-TECH-4-B2-INT-G0</x:v>
      </x:c>
      <x:c r="C180" s="9" t="str">
        <x:v>AR-HC-A-C-TECH-4-B2-INT-G0</x:v>
      </x:c>
      <x:c r="D180" s="9" t="str">
        <x:v>HC-A-C-TECH-4</x:v>
      </x:c>
      <x:c r="E180" s="9" t="str">
        <x:v>HC-A-C</x:v>
      </x:c>
      <x:c r="F180" s="9" t="str">
        <x:v>B2</x:v>
      </x:c>
      <x:c r="G180" s="9" t="str">
        <x:v>INT</x:v>
      </x:c>
      <x:c r="H180" s="9" t="str">
        <x:v>OG06</x:v>
      </x:c>
      <x:c r="I180" s="17" t="str">
        <x:v>Witness provenance</x:v>
      </x:c>
      <x:c r="J180" s="17" t="str">
        <x:v>unlike witness originals, hashes, keys and access history reconcile</x:v>
      </x:c>
      <x:c r="K180" s="17" t="str">
        <x:v>Witness custody</x:v>
      </x:c>
      <x:c r="L180" s="9" t="n">
        <x:v>0</x:v>
      </x:c>
      <x:c r="M180" s="9" t="n">
        <x:v>0</x:v>
      </x:c>
      <x:c r="N180" s="9" t="str">
        <x:v>OPEN / UNACCEPTED</x:v>
      </x:c>
      <x:c r="O180" s="9" t="n">
        <x:f>COUNTIFS($A$7:$A$1734,A180)</x:f>
        <x:v>1</x:v>
      </x:c>
    </x:row>
    <x:row r="181">
      <x:c r="A181" s="9" t="str">
        <x:v>EV-AR-HC-A-C-TECH-4-B2-INT-G0-OG07</x:v>
      </x:c>
      <x:c r="B181" s="9" t="str">
        <x:v>EV-AR-HC-A-C-TECH-4-B2-INT-G0</x:v>
      </x:c>
      <x:c r="C181" s="9" t="str">
        <x:v>AR-HC-A-C-TECH-4-B2-INT-G0</x:v>
      </x:c>
      <x:c r="D181" s="9" t="str">
        <x:v>HC-A-C-TECH-4</x:v>
      </x:c>
      <x:c r="E181" s="9" t="str">
        <x:v>HC-A-C</x:v>
      </x:c>
      <x:c r="F181" s="9" t="str">
        <x:v>B2</x:v>
      </x:c>
      <x:c r="G181" s="9" t="str">
        <x:v>INT</x:v>
      </x:c>
      <x:c r="H181" s="9" t="str">
        <x:v>OG07</x:v>
      </x:c>
      <x:c r="I181" s="17" t="str">
        <x:v>Receiver denominator</x:v>
      </x:c>
      <x:c r="J181" s="17" t="str">
        <x:v>population, quantity, duration and exclusions match the frozen receipt</x:v>
      </x:c>
      <x:c r="K181" s="17" t="str">
        <x:v>Receiver court</x:v>
      </x:c>
      <x:c r="L181" s="9" t="n">
        <x:v>0</x:v>
      </x:c>
      <x:c r="M181" s="9" t="n">
        <x:v>0</x:v>
      </x:c>
      <x:c r="N181" s="9" t="str">
        <x:v>OPEN / UNACCEPTED</x:v>
      </x:c>
      <x:c r="O181" s="9" t="n">
        <x:f>COUNTIFS($A$7:$A$1734,A181)</x:f>
        <x:v>1</x:v>
      </x:c>
    </x:row>
    <x:row r="182">
      <x:c r="A182" s="9" t="str">
        <x:v>EV-AR-HC-A-C-TECH-4-B2-INT-G0-OG08</x:v>
      </x:c>
      <x:c r="B182" s="9" t="str">
        <x:v>EV-AR-HC-A-C-TECH-4-B2-INT-G0</x:v>
      </x:c>
      <x:c r="C182" s="9" t="str">
        <x:v>AR-HC-A-C-TECH-4-B2-INT-G0</x:v>
      </x:c>
      <x:c r="D182" s="9" t="str">
        <x:v>HC-A-C-TECH-4</x:v>
      </x:c>
      <x:c r="E182" s="9" t="str">
        <x:v>HC-A-C</x:v>
      </x:c>
      <x:c r="F182" s="9" t="str">
        <x:v>B2</x:v>
      </x:c>
      <x:c r="G182" s="9" t="str">
        <x:v>INT</x:v>
      </x:c>
      <x:c r="H182" s="9" t="str">
        <x:v>OG08</x:v>
      </x:c>
      <x:c r="I182" s="17" t="str">
        <x:v>Environment and boundary</x:v>
      </x:c>
      <x:c r="J182" s="17" t="str">
        <x:v>registered weather, water, ground, inlet and outlet states are retained</x:v>
      </x:c>
      <x:c r="K182" s="17" t="str">
        <x:v>Boundary court</x:v>
      </x:c>
      <x:c r="L182" s="9" t="n">
        <x:v>0</x:v>
      </x:c>
      <x:c r="M182" s="9" t="n">
        <x:v>0</x:v>
      </x:c>
      <x:c r="N182" s="9" t="str">
        <x:v>OPEN / UNACCEPTED</x:v>
      </x:c>
      <x:c r="O182" s="9" t="n">
        <x:f>COUNTIFS($A$7:$A$1734,A182)</x:f>
        <x:v>1</x:v>
      </x:c>
    </x:row>
    <x:row r="183">
      <x:c r="A183" s="9" t="str">
        <x:v>EV-AR-HC-A-C-TECH-4-B2-INT-G0-OG09</x:v>
      </x:c>
      <x:c r="B183" s="9" t="str">
        <x:v>EV-AR-HC-A-C-TECH-4-B2-INT-G0</x:v>
      </x:c>
      <x:c r="C183" s="9" t="str">
        <x:v>AR-HC-A-C-TECH-4-B2-INT-G0</x:v>
      </x:c>
      <x:c r="D183" s="9" t="str">
        <x:v>HC-A-C-TECH-4</x:v>
      </x:c>
      <x:c r="E183" s="9" t="str">
        <x:v>HC-A-C</x:v>
      </x:c>
      <x:c r="F183" s="9" t="str">
        <x:v>B2</x:v>
      </x:c>
      <x:c r="G183" s="9" t="str">
        <x:v>INT</x:v>
      </x:c>
      <x:c r="H183" s="9" t="str">
        <x:v>OG09</x:v>
      </x:c>
      <x:c r="I183" s="17" t="str">
        <x:v>Intervention account</x:v>
      </x:c>
      <x:c r="J183" s="17" t="str">
        <x:v>all stop, rescue, operator and public-protection actions remain timestamped</x:v>
      </x:c>
      <x:c r="K183" s="17" t="str">
        <x:v>Safety record court</x:v>
      </x:c>
      <x:c r="L183" s="9" t="n">
        <x:v>0</x:v>
      </x:c>
      <x:c r="M183" s="9" t="n">
        <x:v>0</x:v>
      </x:c>
      <x:c r="N183" s="9" t="str">
        <x:v>OPEN / UNACCEPTED</x:v>
      </x:c>
      <x:c r="O183" s="9" t="n">
        <x:f>COUNTIFS($A$7:$A$1734,A183)</x:f>
        <x:v>1</x:v>
      </x:c>
    </x:row>
    <x:row r="184">
      <x:c r="A184" s="9" t="str">
        <x:v>EV-AR-HC-A-C-TECH-4-B2-INT-G0-OG10</x:v>
      </x:c>
      <x:c r="B184" s="9" t="str">
        <x:v>EV-AR-HC-A-C-TECH-4-B2-INT-G0</x:v>
      </x:c>
      <x:c r="C184" s="9" t="str">
        <x:v>AR-HC-A-C-TECH-4-B2-INT-G0</x:v>
      </x:c>
      <x:c r="D184" s="9" t="str">
        <x:v>HC-A-C-TECH-4</x:v>
      </x:c>
      <x:c r="E184" s="9" t="str">
        <x:v>HC-A-C</x:v>
      </x:c>
      <x:c r="F184" s="9" t="str">
        <x:v>B2</x:v>
      </x:c>
      <x:c r="G184" s="9" t="str">
        <x:v>INT</x:v>
      </x:c>
      <x:c r="H184" s="9" t="str">
        <x:v>OG10</x:v>
      </x:c>
      <x:c r="I184" s="17" t="str">
        <x:v>Uncertainty statement</x:v>
      </x:c>
      <x:c r="J184" s="17" t="str">
        <x:v>range, censoring, resolution and correlation are declared before judgment</x:v>
      </x:c>
      <x:c r="K184" s="17" t="str">
        <x:v>Uncertainty authority</x:v>
      </x:c>
      <x:c r="L184" s="9" t="n">
        <x:v>0</x:v>
      </x:c>
      <x:c r="M184" s="9" t="n">
        <x:v>0</x:v>
      </x:c>
      <x:c r="N184" s="9" t="str">
        <x:v>OPEN / UNACCEPTED</x:v>
      </x:c>
      <x:c r="O184" s="9" t="n">
        <x:f>COUNTIFS($A$7:$A$1734,A184)</x:f>
        <x:v>1</x:v>
      </x:c>
    </x:row>
    <x:row r="185">
      <x:c r="A185" s="9" t="str">
        <x:v>EV-AR-HC-A-C-TECH-4-B2-INT-G0-OG11</x:v>
      </x:c>
      <x:c r="B185" s="9" t="str">
        <x:v>EV-AR-HC-A-C-TECH-4-B2-INT-G0</x:v>
      </x:c>
      <x:c r="C185" s="9" t="str">
        <x:v>AR-HC-A-C-TECH-4-B2-INT-G0</x:v>
      </x:c>
      <x:c r="D185" s="9" t="str">
        <x:v>HC-A-C-TECH-4</x:v>
      </x:c>
      <x:c r="E185" s="9" t="str">
        <x:v>HC-A-C</x:v>
      </x:c>
      <x:c r="F185" s="9" t="str">
        <x:v>B2</x:v>
      </x:c>
      <x:c r="G185" s="9" t="str">
        <x:v>INT</x:v>
      </x:c>
      <x:c r="H185" s="9" t="str">
        <x:v>OG11</x:v>
      </x:c>
      <x:c r="I185" s="17" t="str">
        <x:v>Contradiction preservation</x:v>
      </x:c>
      <x:c r="J185" s="17" t="str">
        <x:v>primary-witness disagreement remains explicit and is never averaged away</x:v>
      </x:c>
      <x:c r="K185" s="17" t="str">
        <x:v>Dissent registrar</x:v>
      </x:c>
      <x:c r="L185" s="9" t="n">
        <x:v>0</x:v>
      </x:c>
      <x:c r="M185" s="9" t="n">
        <x:v>0</x:v>
      </x:c>
      <x:c r="N185" s="9" t="str">
        <x:v>OPEN / UNACCEPTED</x:v>
      </x:c>
      <x:c r="O185" s="9" t="n">
        <x:f>COUNTIFS($A$7:$A$1734,A185)</x:f>
        <x:v>1</x:v>
      </x:c>
    </x:row>
    <x:row r="186">
      <x:c r="A186" s="9" t="str">
        <x:v>EV-AR-HC-A-C-TECH-4-B2-INT-G0-OG12</x:v>
      </x:c>
      <x:c r="B186" s="9" t="str">
        <x:v>EV-AR-HC-A-C-TECH-4-B2-INT-G0</x:v>
      </x:c>
      <x:c r="C186" s="9" t="str">
        <x:v>AR-HC-A-C-TECH-4-B2-INT-G0</x:v>
      </x:c>
      <x:c r="D186" s="9" t="str">
        <x:v>HC-A-C-TECH-4</x:v>
      </x:c>
      <x:c r="E186" s="9" t="str">
        <x:v>HC-A-C</x:v>
      </x:c>
      <x:c r="F186" s="9" t="str">
        <x:v>B2</x:v>
      </x:c>
      <x:c r="G186" s="9" t="str">
        <x:v>INT</x:v>
      </x:c>
      <x:c r="H186" s="9" t="str">
        <x:v>OG12</x:v>
      </x:c>
      <x:c r="I186" s="17" t="str">
        <x:v>Independent replay</x:v>
      </x:c>
      <x:c r="J186" s="17" t="str">
        <x:v>a separated reader reconstructs the registered observables from sealed originals</x:v>
      </x:c>
      <x:c r="K186" s="17" t="str">
        <x:v>Replay court</x:v>
      </x:c>
      <x:c r="L186" s="9" t="n">
        <x:v>0</x:v>
      </x:c>
      <x:c r="M186" s="9" t="n">
        <x:v>0</x:v>
      </x:c>
      <x:c r="N186" s="9" t="str">
        <x:v>OPEN / UNACCEPTED</x:v>
      </x:c>
      <x:c r="O186" s="9" t="n">
        <x:f>COUNTIFS($A$7:$A$1734,A186)</x:f>
        <x:v>1</x:v>
      </x:c>
    </x:row>
    <x:row r="187">
      <x:c r="A187" s="9" t="str">
        <x:v>EV-AR-LF-B-A-TECH-3-B2-INT-G0-OG01</x:v>
      </x:c>
      <x:c r="B187" s="9" t="str">
        <x:v>EV-AR-LF-B-A-TECH-3-B2-INT-G0</x:v>
      </x:c>
      <x:c r="C187" s="9" t="str">
        <x:v>AR-LF-B-A-TECH-3-B2-INT-G0</x:v>
      </x:c>
      <x:c r="D187" s="9" t="str">
        <x:v>LF-B-A-TECH-3</x:v>
      </x:c>
      <x:c r="E187" s="9" t="str">
        <x:v>LF-B-A</x:v>
      </x:c>
      <x:c r="F187" s="9" t="str">
        <x:v>B2</x:v>
      </x:c>
      <x:c r="G187" s="9" t="str">
        <x:v>INT</x:v>
      </x:c>
      <x:c r="H187" s="9" t="str">
        <x:v>OG01</x:v>
      </x:c>
      <x:c r="I187" s="17" t="str">
        <x:v>Serial and event identity</x:v>
      </x:c>
      <x:c r="J187" s="17" t="str">
        <x:v>record resolves to the issued serial, generation and physical start</x:v>
      </x:c>
      <x:c r="K187" s="17" t="str">
        <x:v>Observation court</x:v>
      </x:c>
      <x:c r="L187" s="9" t="n">
        <x:v>0</x:v>
      </x:c>
      <x:c r="M187" s="9" t="n">
        <x:v>0</x:v>
      </x:c>
      <x:c r="N187" s="9" t="str">
        <x:v>OPEN / UNACCEPTED</x:v>
      </x:c>
      <x:c r="O187" s="9" t="n">
        <x:f>COUNTIFS($A$7:$A$1734,A187)</x:f>
        <x:v>1</x:v>
      </x:c>
    </x:row>
    <x:row r="188">
      <x:c r="A188" s="9" t="str">
        <x:v>EV-AR-LF-B-A-TECH-3-B2-INT-G0-OG02</x:v>
      </x:c>
      <x:c r="B188" s="9" t="str">
        <x:v>EV-AR-LF-B-A-TECH-3-B2-INT-G0</x:v>
      </x:c>
      <x:c r="C188" s="9" t="str">
        <x:v>AR-LF-B-A-TECH-3-B2-INT-G0</x:v>
      </x:c>
      <x:c r="D188" s="9" t="str">
        <x:v>LF-B-A-TECH-3</x:v>
      </x:c>
      <x:c r="E188" s="9" t="str">
        <x:v>LF-B-A</x:v>
      </x:c>
      <x:c r="F188" s="9" t="str">
        <x:v>B2</x:v>
      </x:c>
      <x:c r="G188" s="9" t="str">
        <x:v>INT</x:v>
      </x:c>
      <x:c r="H188" s="9" t="str">
        <x:v>OG02</x:v>
      </x:c>
      <x:c r="I188" s="17" t="str">
        <x:v>Time ancestry</x:v>
      </x:c>
      <x:c r="J188" s="17" t="str">
        <x:v>primary, witness and public event clocks retain declared offsets and drift</x:v>
      </x:c>
      <x:c r="K188" s="17" t="str">
        <x:v>Time authority</x:v>
      </x:c>
      <x:c r="L188" s="9" t="n">
        <x:v>0</x:v>
      </x:c>
      <x:c r="M188" s="9" t="n">
        <x:v>0</x:v>
      </x:c>
      <x:c r="N188" s="9" t="str">
        <x:v>OPEN / UNACCEPTED</x:v>
      </x:c>
      <x:c r="O188" s="9" t="n">
        <x:f>COUNTIFS($A$7:$A$1734,A188)</x:f>
        <x:v>1</x:v>
      </x:c>
    </x:row>
    <x:row r="189">
      <x:c r="A189" s="9" t="str">
        <x:v>EV-AR-LF-B-A-TECH-3-B2-INT-G0-OG03</x:v>
      </x:c>
      <x:c r="B189" s="9" t="str">
        <x:v>EV-AR-LF-B-A-TECH-3-B2-INT-G0</x:v>
      </x:c>
      <x:c r="C189" s="9" t="str">
        <x:v>AR-LF-B-A-TECH-3-B2-INT-G0</x:v>
      </x:c>
      <x:c r="D189" s="9" t="str">
        <x:v>LF-B-A-TECH-3</x:v>
      </x:c>
      <x:c r="E189" s="9" t="str">
        <x:v>LF-B-A</x:v>
      </x:c>
      <x:c r="F189" s="9" t="str">
        <x:v>B2</x:v>
      </x:c>
      <x:c r="G189" s="9" t="str">
        <x:v>INT</x:v>
      </x:c>
      <x:c r="H189" s="9" t="str">
        <x:v>OG03</x:v>
      </x:c>
      <x:c r="I189" s="17" t="str">
        <x:v>Calibration ancestry</x:v>
      </x:c>
      <x:c r="J189" s="17" t="str">
        <x:v>all reference, range and uncertainty states cover the live interval</x:v>
      </x:c>
      <x:c r="K189" s="17" t="str">
        <x:v>Metrology courts</x:v>
      </x:c>
      <x:c r="L189" s="9" t="n">
        <x:v>0</x:v>
      </x:c>
      <x:c r="M189" s="9" t="n">
        <x:v>0</x:v>
      </x:c>
      <x:c r="N189" s="9" t="str">
        <x:v>OPEN / UNACCEPTED</x:v>
      </x:c>
      <x:c r="O189" s="9" t="n">
        <x:f>COUNTIFS($A$7:$A$1734,A189)</x:f>
        <x:v>1</x:v>
      </x:c>
    </x:row>
    <x:row r="190">
      <x:c r="A190" s="9" t="str">
        <x:v>EV-AR-LF-B-A-TECH-3-B2-INT-G0-OG04</x:v>
      </x:c>
      <x:c r="B190" s="9" t="str">
        <x:v>EV-AR-LF-B-A-TECH-3-B2-INT-G0</x:v>
      </x:c>
      <x:c r="C190" s="9" t="str">
        <x:v>AR-LF-B-A-TECH-3-B2-INT-G0</x:v>
      </x:c>
      <x:c r="D190" s="9" t="str">
        <x:v>LF-B-A-TECH-3</x:v>
      </x:c>
      <x:c r="E190" s="9" t="str">
        <x:v>LF-B-A</x:v>
      </x:c>
      <x:c r="F190" s="9" t="str">
        <x:v>B2</x:v>
      </x:c>
      <x:c r="G190" s="9" t="str">
        <x:v>INT</x:v>
      </x:c>
      <x:c r="H190" s="9" t="str">
        <x:v>OG04</x:v>
      </x:c>
      <x:c r="I190" s="17" t="str">
        <x:v>Raw completeness</x:v>
      </x:c>
      <x:c r="J190" s="17" t="str">
        <x:v>missingness is enumerated without imputation or outcome-conditioned deletion</x:v>
      </x:c>
      <x:c r="K190" s="17" t="str">
        <x:v>Observation court</x:v>
      </x:c>
      <x:c r="L190" s="9" t="n">
        <x:v>0</x:v>
      </x:c>
      <x:c r="M190" s="9" t="n">
        <x:v>0</x:v>
      </x:c>
      <x:c r="N190" s="9" t="str">
        <x:v>OPEN / UNACCEPTED</x:v>
      </x:c>
      <x:c r="O190" s="9" t="n">
        <x:f>COUNTIFS($A$7:$A$1734,A190)</x:f>
        <x:v>1</x:v>
      </x:c>
    </x:row>
    <x:row r="191">
      <x:c r="A191" s="9" t="str">
        <x:v>EV-AR-LF-B-A-TECH-3-B2-INT-G0-OG05</x:v>
      </x:c>
      <x:c r="B191" s="9" t="str">
        <x:v>EV-AR-LF-B-A-TECH-3-B2-INT-G0</x:v>
      </x:c>
      <x:c r="C191" s="9" t="str">
        <x:v>AR-LF-B-A-TECH-3-B2-INT-G0</x:v>
      </x:c>
      <x:c r="D191" s="9" t="str">
        <x:v>LF-B-A-TECH-3</x:v>
      </x:c>
      <x:c r="E191" s="9" t="str">
        <x:v>LF-B-A</x:v>
      </x:c>
      <x:c r="F191" s="9" t="str">
        <x:v>B2</x:v>
      </x:c>
      <x:c r="G191" s="9" t="str">
        <x:v>INT</x:v>
      </x:c>
      <x:c r="H191" s="9" t="str">
        <x:v>OG05</x:v>
      </x:c>
      <x:c r="I191" s="17" t="str">
        <x:v>Primary provenance</x:v>
      </x:c>
      <x:c r="J191" s="17" t="str">
        <x:v>primary originals, hashes, keys and access history reconcile</x:v>
      </x:c>
      <x:c r="K191" s="17" t="str">
        <x:v>Primary custody</x:v>
      </x:c>
      <x:c r="L191" s="9" t="n">
        <x:v>0</x:v>
      </x:c>
      <x:c r="M191" s="9" t="n">
        <x:v>0</x:v>
      </x:c>
      <x:c r="N191" s="9" t="str">
        <x:v>OPEN / UNACCEPTED</x:v>
      </x:c>
      <x:c r="O191" s="9" t="n">
        <x:f>COUNTIFS($A$7:$A$1734,A191)</x:f>
        <x:v>1</x:v>
      </x:c>
    </x:row>
    <x:row r="192">
      <x:c r="A192" s="9" t="str">
        <x:v>EV-AR-LF-B-A-TECH-3-B2-INT-G0-OG06</x:v>
      </x:c>
      <x:c r="B192" s="9" t="str">
        <x:v>EV-AR-LF-B-A-TECH-3-B2-INT-G0</x:v>
      </x:c>
      <x:c r="C192" s="9" t="str">
        <x:v>AR-LF-B-A-TECH-3-B2-INT-G0</x:v>
      </x:c>
      <x:c r="D192" s="9" t="str">
        <x:v>LF-B-A-TECH-3</x:v>
      </x:c>
      <x:c r="E192" s="9" t="str">
        <x:v>LF-B-A</x:v>
      </x:c>
      <x:c r="F192" s="9" t="str">
        <x:v>B2</x:v>
      </x:c>
      <x:c r="G192" s="9" t="str">
        <x:v>INT</x:v>
      </x:c>
      <x:c r="H192" s="9" t="str">
        <x:v>OG06</x:v>
      </x:c>
      <x:c r="I192" s="17" t="str">
        <x:v>Witness provenance</x:v>
      </x:c>
      <x:c r="J192" s="17" t="str">
        <x:v>unlike witness originals, hashes, keys and access history reconcile</x:v>
      </x:c>
      <x:c r="K192" s="17" t="str">
        <x:v>Witness custody</x:v>
      </x:c>
      <x:c r="L192" s="9" t="n">
        <x:v>0</x:v>
      </x:c>
      <x:c r="M192" s="9" t="n">
        <x:v>0</x:v>
      </x:c>
      <x:c r="N192" s="9" t="str">
        <x:v>OPEN / UNACCEPTED</x:v>
      </x:c>
      <x:c r="O192" s="9" t="n">
        <x:f>COUNTIFS($A$7:$A$1734,A192)</x:f>
        <x:v>1</x:v>
      </x:c>
    </x:row>
    <x:row r="193">
      <x:c r="A193" s="9" t="str">
        <x:v>EV-AR-LF-B-A-TECH-3-B2-INT-G0-OG07</x:v>
      </x:c>
      <x:c r="B193" s="9" t="str">
        <x:v>EV-AR-LF-B-A-TECH-3-B2-INT-G0</x:v>
      </x:c>
      <x:c r="C193" s="9" t="str">
        <x:v>AR-LF-B-A-TECH-3-B2-INT-G0</x:v>
      </x:c>
      <x:c r="D193" s="9" t="str">
        <x:v>LF-B-A-TECH-3</x:v>
      </x:c>
      <x:c r="E193" s="9" t="str">
        <x:v>LF-B-A</x:v>
      </x:c>
      <x:c r="F193" s="9" t="str">
        <x:v>B2</x:v>
      </x:c>
      <x:c r="G193" s="9" t="str">
        <x:v>INT</x:v>
      </x:c>
      <x:c r="H193" s="9" t="str">
        <x:v>OG07</x:v>
      </x:c>
      <x:c r="I193" s="17" t="str">
        <x:v>Receiver denominator</x:v>
      </x:c>
      <x:c r="J193" s="17" t="str">
        <x:v>population, quantity, duration and exclusions match the frozen receipt</x:v>
      </x:c>
      <x:c r="K193" s="17" t="str">
        <x:v>Receiver court</x:v>
      </x:c>
      <x:c r="L193" s="9" t="n">
        <x:v>0</x:v>
      </x:c>
      <x:c r="M193" s="9" t="n">
        <x:v>0</x:v>
      </x:c>
      <x:c r="N193" s="9" t="str">
        <x:v>OPEN / UNACCEPTED</x:v>
      </x:c>
      <x:c r="O193" s="9" t="n">
        <x:f>COUNTIFS($A$7:$A$1734,A193)</x:f>
        <x:v>1</x:v>
      </x:c>
    </x:row>
    <x:row r="194">
      <x:c r="A194" s="9" t="str">
        <x:v>EV-AR-LF-B-A-TECH-3-B2-INT-G0-OG08</x:v>
      </x:c>
      <x:c r="B194" s="9" t="str">
        <x:v>EV-AR-LF-B-A-TECH-3-B2-INT-G0</x:v>
      </x:c>
      <x:c r="C194" s="9" t="str">
        <x:v>AR-LF-B-A-TECH-3-B2-INT-G0</x:v>
      </x:c>
      <x:c r="D194" s="9" t="str">
        <x:v>LF-B-A-TECH-3</x:v>
      </x:c>
      <x:c r="E194" s="9" t="str">
        <x:v>LF-B-A</x:v>
      </x:c>
      <x:c r="F194" s="9" t="str">
        <x:v>B2</x:v>
      </x:c>
      <x:c r="G194" s="9" t="str">
        <x:v>INT</x:v>
      </x:c>
      <x:c r="H194" s="9" t="str">
        <x:v>OG08</x:v>
      </x:c>
      <x:c r="I194" s="17" t="str">
        <x:v>Environment and boundary</x:v>
      </x:c>
      <x:c r="J194" s="17" t="str">
        <x:v>registered weather, water, ground, inlet and outlet states are retained</x:v>
      </x:c>
      <x:c r="K194" s="17" t="str">
        <x:v>Boundary court</x:v>
      </x:c>
      <x:c r="L194" s="9" t="n">
        <x:v>0</x:v>
      </x:c>
      <x:c r="M194" s="9" t="n">
        <x:v>0</x:v>
      </x:c>
      <x:c r="N194" s="9" t="str">
        <x:v>OPEN / UNACCEPTED</x:v>
      </x:c>
      <x:c r="O194" s="9" t="n">
        <x:f>COUNTIFS($A$7:$A$1734,A194)</x:f>
        <x:v>1</x:v>
      </x:c>
    </x:row>
    <x:row r="195">
      <x:c r="A195" s="9" t="str">
        <x:v>EV-AR-LF-B-A-TECH-3-B2-INT-G0-OG09</x:v>
      </x:c>
      <x:c r="B195" s="9" t="str">
        <x:v>EV-AR-LF-B-A-TECH-3-B2-INT-G0</x:v>
      </x:c>
      <x:c r="C195" s="9" t="str">
        <x:v>AR-LF-B-A-TECH-3-B2-INT-G0</x:v>
      </x:c>
      <x:c r="D195" s="9" t="str">
        <x:v>LF-B-A-TECH-3</x:v>
      </x:c>
      <x:c r="E195" s="9" t="str">
        <x:v>LF-B-A</x:v>
      </x:c>
      <x:c r="F195" s="9" t="str">
        <x:v>B2</x:v>
      </x:c>
      <x:c r="G195" s="9" t="str">
        <x:v>INT</x:v>
      </x:c>
      <x:c r="H195" s="9" t="str">
        <x:v>OG09</x:v>
      </x:c>
      <x:c r="I195" s="17" t="str">
        <x:v>Intervention account</x:v>
      </x:c>
      <x:c r="J195" s="17" t="str">
        <x:v>all stop, rescue, operator and public-protection actions remain timestamped</x:v>
      </x:c>
      <x:c r="K195" s="17" t="str">
        <x:v>Safety record court</x:v>
      </x:c>
      <x:c r="L195" s="9" t="n">
        <x:v>0</x:v>
      </x:c>
      <x:c r="M195" s="9" t="n">
        <x:v>0</x:v>
      </x:c>
      <x:c r="N195" s="9" t="str">
        <x:v>OPEN / UNACCEPTED</x:v>
      </x:c>
      <x:c r="O195" s="9" t="n">
        <x:f>COUNTIFS($A$7:$A$1734,A195)</x:f>
        <x:v>1</x:v>
      </x:c>
    </x:row>
    <x:row r="196">
      <x:c r="A196" s="9" t="str">
        <x:v>EV-AR-LF-B-A-TECH-3-B2-INT-G0-OG10</x:v>
      </x:c>
      <x:c r="B196" s="9" t="str">
        <x:v>EV-AR-LF-B-A-TECH-3-B2-INT-G0</x:v>
      </x:c>
      <x:c r="C196" s="9" t="str">
        <x:v>AR-LF-B-A-TECH-3-B2-INT-G0</x:v>
      </x:c>
      <x:c r="D196" s="9" t="str">
        <x:v>LF-B-A-TECH-3</x:v>
      </x:c>
      <x:c r="E196" s="9" t="str">
        <x:v>LF-B-A</x:v>
      </x:c>
      <x:c r="F196" s="9" t="str">
        <x:v>B2</x:v>
      </x:c>
      <x:c r="G196" s="9" t="str">
        <x:v>INT</x:v>
      </x:c>
      <x:c r="H196" s="9" t="str">
        <x:v>OG10</x:v>
      </x:c>
      <x:c r="I196" s="17" t="str">
        <x:v>Uncertainty statement</x:v>
      </x:c>
      <x:c r="J196" s="17" t="str">
        <x:v>range, censoring, resolution and correlation are declared before judgment</x:v>
      </x:c>
      <x:c r="K196" s="17" t="str">
        <x:v>Uncertainty authority</x:v>
      </x:c>
      <x:c r="L196" s="9" t="n">
        <x:v>0</x:v>
      </x:c>
      <x:c r="M196" s="9" t="n">
        <x:v>0</x:v>
      </x:c>
      <x:c r="N196" s="9" t="str">
        <x:v>OPEN / UNACCEPTED</x:v>
      </x:c>
      <x:c r="O196" s="9" t="n">
        <x:f>COUNTIFS($A$7:$A$1734,A196)</x:f>
        <x:v>1</x:v>
      </x:c>
    </x:row>
    <x:row r="197">
      <x:c r="A197" s="9" t="str">
        <x:v>EV-AR-LF-B-A-TECH-3-B2-INT-G0-OG11</x:v>
      </x:c>
      <x:c r="B197" s="9" t="str">
        <x:v>EV-AR-LF-B-A-TECH-3-B2-INT-G0</x:v>
      </x:c>
      <x:c r="C197" s="9" t="str">
        <x:v>AR-LF-B-A-TECH-3-B2-INT-G0</x:v>
      </x:c>
      <x:c r="D197" s="9" t="str">
        <x:v>LF-B-A-TECH-3</x:v>
      </x:c>
      <x:c r="E197" s="9" t="str">
        <x:v>LF-B-A</x:v>
      </x:c>
      <x:c r="F197" s="9" t="str">
        <x:v>B2</x:v>
      </x:c>
      <x:c r="G197" s="9" t="str">
        <x:v>INT</x:v>
      </x:c>
      <x:c r="H197" s="9" t="str">
        <x:v>OG11</x:v>
      </x:c>
      <x:c r="I197" s="17" t="str">
        <x:v>Contradiction preservation</x:v>
      </x:c>
      <x:c r="J197" s="17" t="str">
        <x:v>primary-witness disagreement remains explicit and is never averaged away</x:v>
      </x:c>
      <x:c r="K197" s="17" t="str">
        <x:v>Dissent registrar</x:v>
      </x:c>
      <x:c r="L197" s="9" t="n">
        <x:v>0</x:v>
      </x:c>
      <x:c r="M197" s="9" t="n">
        <x:v>0</x:v>
      </x:c>
      <x:c r="N197" s="9" t="str">
        <x:v>OPEN / UNACCEPTED</x:v>
      </x:c>
      <x:c r="O197" s="9" t="n">
        <x:f>COUNTIFS($A$7:$A$1734,A197)</x:f>
        <x:v>1</x:v>
      </x:c>
    </x:row>
    <x:row r="198">
      <x:c r="A198" s="9" t="str">
        <x:v>EV-AR-LF-B-A-TECH-3-B2-INT-G0-OG12</x:v>
      </x:c>
      <x:c r="B198" s="9" t="str">
        <x:v>EV-AR-LF-B-A-TECH-3-B2-INT-G0</x:v>
      </x:c>
      <x:c r="C198" s="9" t="str">
        <x:v>AR-LF-B-A-TECH-3-B2-INT-G0</x:v>
      </x:c>
      <x:c r="D198" s="9" t="str">
        <x:v>LF-B-A-TECH-3</x:v>
      </x:c>
      <x:c r="E198" s="9" t="str">
        <x:v>LF-B-A</x:v>
      </x:c>
      <x:c r="F198" s="9" t="str">
        <x:v>B2</x:v>
      </x:c>
      <x:c r="G198" s="9" t="str">
        <x:v>INT</x:v>
      </x:c>
      <x:c r="H198" s="9" t="str">
        <x:v>OG12</x:v>
      </x:c>
      <x:c r="I198" s="17" t="str">
        <x:v>Independent replay</x:v>
      </x:c>
      <x:c r="J198" s="17" t="str">
        <x:v>a separated reader reconstructs the registered observables from sealed originals</x:v>
      </x:c>
      <x:c r="K198" s="17" t="str">
        <x:v>Replay court</x:v>
      </x:c>
      <x:c r="L198" s="9" t="n">
        <x:v>0</x:v>
      </x:c>
      <x:c r="M198" s="9" t="n">
        <x:v>0</x:v>
      </x:c>
      <x:c r="N198" s="9" t="str">
        <x:v>OPEN / UNACCEPTED</x:v>
      </x:c>
      <x:c r="O198" s="9" t="n">
        <x:f>COUNTIFS($A$7:$A$1734,A198)</x:f>
        <x:v>1</x:v>
      </x:c>
    </x:row>
    <x:row r="199">
      <x:c r="A199" s="9" t="str">
        <x:v>EV-AR-RT-B-C-TECH-3-B2-RCN-G0-OG01</x:v>
      </x:c>
      <x:c r="B199" s="9" t="str">
        <x:v>EV-AR-RT-B-C-TECH-3-B2-RCN-G0</x:v>
      </x:c>
      <x:c r="C199" s="9" t="str">
        <x:v>AR-RT-B-C-TECH-3-B2-RCN-G0</x:v>
      </x:c>
      <x:c r="D199" s="9" t="str">
        <x:v>RT-B-C-TECH-3</x:v>
      </x:c>
      <x:c r="E199" s="9" t="str">
        <x:v>RT-B-C</x:v>
      </x:c>
      <x:c r="F199" s="9" t="str">
        <x:v>B2</x:v>
      </x:c>
      <x:c r="G199" s="9" t="str">
        <x:v>RCN</x:v>
      </x:c>
      <x:c r="H199" s="9" t="str">
        <x:v>OG01</x:v>
      </x:c>
      <x:c r="I199" s="17" t="str">
        <x:v>Serial and event identity</x:v>
      </x:c>
      <x:c r="J199" s="17" t="str">
        <x:v>record resolves to the issued serial, generation and physical start</x:v>
      </x:c>
      <x:c r="K199" s="17" t="str">
        <x:v>Observation court</x:v>
      </x:c>
      <x:c r="L199" s="9" t="n">
        <x:v>0</x:v>
      </x:c>
      <x:c r="M199" s="9" t="n">
        <x:v>0</x:v>
      </x:c>
      <x:c r="N199" s="9" t="str">
        <x:v>OPEN / UNACCEPTED</x:v>
      </x:c>
      <x:c r="O199" s="9" t="n">
        <x:f>COUNTIFS($A$7:$A$1734,A199)</x:f>
        <x:v>1</x:v>
      </x:c>
    </x:row>
    <x:row r="200">
      <x:c r="A200" s="9" t="str">
        <x:v>EV-AR-RT-B-C-TECH-3-B2-RCN-G0-OG02</x:v>
      </x:c>
      <x:c r="B200" s="9" t="str">
        <x:v>EV-AR-RT-B-C-TECH-3-B2-RCN-G0</x:v>
      </x:c>
      <x:c r="C200" s="9" t="str">
        <x:v>AR-RT-B-C-TECH-3-B2-RCN-G0</x:v>
      </x:c>
      <x:c r="D200" s="9" t="str">
        <x:v>RT-B-C-TECH-3</x:v>
      </x:c>
      <x:c r="E200" s="9" t="str">
        <x:v>RT-B-C</x:v>
      </x:c>
      <x:c r="F200" s="9" t="str">
        <x:v>B2</x:v>
      </x:c>
      <x:c r="G200" s="9" t="str">
        <x:v>RCN</x:v>
      </x:c>
      <x:c r="H200" s="9" t="str">
        <x:v>OG02</x:v>
      </x:c>
      <x:c r="I200" s="17" t="str">
        <x:v>Time ancestry</x:v>
      </x:c>
      <x:c r="J200" s="17" t="str">
        <x:v>primary, witness and public event clocks retain declared offsets and drift</x:v>
      </x:c>
      <x:c r="K200" s="17" t="str">
        <x:v>Time authority</x:v>
      </x:c>
      <x:c r="L200" s="9" t="n">
        <x:v>0</x:v>
      </x:c>
      <x:c r="M200" s="9" t="n">
        <x:v>0</x:v>
      </x:c>
      <x:c r="N200" s="9" t="str">
        <x:v>OPEN / UNACCEPTED</x:v>
      </x:c>
      <x:c r="O200" s="9" t="n">
        <x:f>COUNTIFS($A$7:$A$1734,A200)</x:f>
        <x:v>1</x:v>
      </x:c>
    </x:row>
    <x:row r="201">
      <x:c r="A201" s="9" t="str">
        <x:v>EV-AR-RT-B-C-TECH-3-B2-RCN-G0-OG03</x:v>
      </x:c>
      <x:c r="B201" s="9" t="str">
        <x:v>EV-AR-RT-B-C-TECH-3-B2-RCN-G0</x:v>
      </x:c>
      <x:c r="C201" s="9" t="str">
        <x:v>AR-RT-B-C-TECH-3-B2-RCN-G0</x:v>
      </x:c>
      <x:c r="D201" s="9" t="str">
        <x:v>RT-B-C-TECH-3</x:v>
      </x:c>
      <x:c r="E201" s="9" t="str">
        <x:v>RT-B-C</x:v>
      </x:c>
      <x:c r="F201" s="9" t="str">
        <x:v>B2</x:v>
      </x:c>
      <x:c r="G201" s="9" t="str">
        <x:v>RCN</x:v>
      </x:c>
      <x:c r="H201" s="9" t="str">
        <x:v>OG03</x:v>
      </x:c>
      <x:c r="I201" s="17" t="str">
        <x:v>Calibration ancestry</x:v>
      </x:c>
      <x:c r="J201" s="17" t="str">
        <x:v>all reference, range and uncertainty states cover the live interval</x:v>
      </x:c>
      <x:c r="K201" s="17" t="str">
        <x:v>Metrology courts</x:v>
      </x:c>
      <x:c r="L201" s="9" t="n">
        <x:v>0</x:v>
      </x:c>
      <x:c r="M201" s="9" t="n">
        <x:v>0</x:v>
      </x:c>
      <x:c r="N201" s="9" t="str">
        <x:v>OPEN / UNACCEPTED</x:v>
      </x:c>
      <x:c r="O201" s="9" t="n">
        <x:f>COUNTIFS($A$7:$A$1734,A201)</x:f>
        <x:v>1</x:v>
      </x:c>
    </x:row>
    <x:row r="202">
      <x:c r="A202" s="9" t="str">
        <x:v>EV-AR-RT-B-C-TECH-3-B2-RCN-G0-OG04</x:v>
      </x:c>
      <x:c r="B202" s="9" t="str">
        <x:v>EV-AR-RT-B-C-TECH-3-B2-RCN-G0</x:v>
      </x:c>
      <x:c r="C202" s="9" t="str">
        <x:v>AR-RT-B-C-TECH-3-B2-RCN-G0</x:v>
      </x:c>
      <x:c r="D202" s="9" t="str">
        <x:v>RT-B-C-TECH-3</x:v>
      </x:c>
      <x:c r="E202" s="9" t="str">
        <x:v>RT-B-C</x:v>
      </x:c>
      <x:c r="F202" s="9" t="str">
        <x:v>B2</x:v>
      </x:c>
      <x:c r="G202" s="9" t="str">
        <x:v>RCN</x:v>
      </x:c>
      <x:c r="H202" s="9" t="str">
        <x:v>OG04</x:v>
      </x:c>
      <x:c r="I202" s="17" t="str">
        <x:v>Raw completeness</x:v>
      </x:c>
      <x:c r="J202" s="17" t="str">
        <x:v>missingness is enumerated without imputation or outcome-conditioned deletion</x:v>
      </x:c>
      <x:c r="K202" s="17" t="str">
        <x:v>Observation court</x:v>
      </x:c>
      <x:c r="L202" s="9" t="n">
        <x:v>0</x:v>
      </x:c>
      <x:c r="M202" s="9" t="n">
        <x:v>0</x:v>
      </x:c>
      <x:c r="N202" s="9" t="str">
        <x:v>OPEN / UNACCEPTED</x:v>
      </x:c>
      <x:c r="O202" s="9" t="n">
        <x:f>COUNTIFS($A$7:$A$1734,A202)</x:f>
        <x:v>1</x:v>
      </x:c>
    </x:row>
    <x:row r="203">
      <x:c r="A203" s="9" t="str">
        <x:v>EV-AR-RT-B-C-TECH-3-B2-RCN-G0-OG05</x:v>
      </x:c>
      <x:c r="B203" s="9" t="str">
        <x:v>EV-AR-RT-B-C-TECH-3-B2-RCN-G0</x:v>
      </x:c>
      <x:c r="C203" s="9" t="str">
        <x:v>AR-RT-B-C-TECH-3-B2-RCN-G0</x:v>
      </x:c>
      <x:c r="D203" s="9" t="str">
        <x:v>RT-B-C-TECH-3</x:v>
      </x:c>
      <x:c r="E203" s="9" t="str">
        <x:v>RT-B-C</x:v>
      </x:c>
      <x:c r="F203" s="9" t="str">
        <x:v>B2</x:v>
      </x:c>
      <x:c r="G203" s="9" t="str">
        <x:v>RCN</x:v>
      </x:c>
      <x:c r="H203" s="9" t="str">
        <x:v>OG05</x:v>
      </x:c>
      <x:c r="I203" s="17" t="str">
        <x:v>Primary provenance</x:v>
      </x:c>
      <x:c r="J203" s="17" t="str">
        <x:v>primary originals, hashes, keys and access history reconcile</x:v>
      </x:c>
      <x:c r="K203" s="17" t="str">
        <x:v>Primary custody</x:v>
      </x:c>
      <x:c r="L203" s="9" t="n">
        <x:v>0</x:v>
      </x:c>
      <x:c r="M203" s="9" t="n">
        <x:v>0</x:v>
      </x:c>
      <x:c r="N203" s="9" t="str">
        <x:v>OPEN / UNACCEPTED</x:v>
      </x:c>
      <x:c r="O203" s="9" t="n">
        <x:f>COUNTIFS($A$7:$A$1734,A203)</x:f>
        <x:v>1</x:v>
      </x:c>
    </x:row>
    <x:row r="204">
      <x:c r="A204" s="9" t="str">
        <x:v>EV-AR-RT-B-C-TECH-3-B2-RCN-G0-OG06</x:v>
      </x:c>
      <x:c r="B204" s="9" t="str">
        <x:v>EV-AR-RT-B-C-TECH-3-B2-RCN-G0</x:v>
      </x:c>
      <x:c r="C204" s="9" t="str">
        <x:v>AR-RT-B-C-TECH-3-B2-RCN-G0</x:v>
      </x:c>
      <x:c r="D204" s="9" t="str">
        <x:v>RT-B-C-TECH-3</x:v>
      </x:c>
      <x:c r="E204" s="9" t="str">
        <x:v>RT-B-C</x:v>
      </x:c>
      <x:c r="F204" s="9" t="str">
        <x:v>B2</x:v>
      </x:c>
      <x:c r="G204" s="9" t="str">
        <x:v>RCN</x:v>
      </x:c>
      <x:c r="H204" s="9" t="str">
        <x:v>OG06</x:v>
      </x:c>
      <x:c r="I204" s="17" t="str">
        <x:v>Witness provenance</x:v>
      </x:c>
      <x:c r="J204" s="17" t="str">
        <x:v>unlike witness originals, hashes, keys and access history reconcile</x:v>
      </x:c>
      <x:c r="K204" s="17" t="str">
        <x:v>Witness custody</x:v>
      </x:c>
      <x:c r="L204" s="9" t="n">
        <x:v>0</x:v>
      </x:c>
      <x:c r="M204" s="9" t="n">
        <x:v>0</x:v>
      </x:c>
      <x:c r="N204" s="9" t="str">
        <x:v>OPEN / UNACCEPTED</x:v>
      </x:c>
      <x:c r="O204" s="9" t="n">
        <x:f>COUNTIFS($A$7:$A$1734,A204)</x:f>
        <x:v>1</x:v>
      </x:c>
    </x:row>
    <x:row r="205">
      <x:c r="A205" s="9" t="str">
        <x:v>EV-AR-RT-B-C-TECH-3-B2-RCN-G0-OG07</x:v>
      </x:c>
      <x:c r="B205" s="9" t="str">
        <x:v>EV-AR-RT-B-C-TECH-3-B2-RCN-G0</x:v>
      </x:c>
      <x:c r="C205" s="9" t="str">
        <x:v>AR-RT-B-C-TECH-3-B2-RCN-G0</x:v>
      </x:c>
      <x:c r="D205" s="9" t="str">
        <x:v>RT-B-C-TECH-3</x:v>
      </x:c>
      <x:c r="E205" s="9" t="str">
        <x:v>RT-B-C</x:v>
      </x:c>
      <x:c r="F205" s="9" t="str">
        <x:v>B2</x:v>
      </x:c>
      <x:c r="G205" s="9" t="str">
        <x:v>RCN</x:v>
      </x:c>
      <x:c r="H205" s="9" t="str">
        <x:v>OG07</x:v>
      </x:c>
      <x:c r="I205" s="17" t="str">
        <x:v>Receiver denominator</x:v>
      </x:c>
      <x:c r="J205" s="17" t="str">
        <x:v>population, quantity, duration and exclusions match the frozen receipt</x:v>
      </x:c>
      <x:c r="K205" s="17" t="str">
        <x:v>Receiver court</x:v>
      </x:c>
      <x:c r="L205" s="9" t="n">
        <x:v>0</x:v>
      </x:c>
      <x:c r="M205" s="9" t="n">
        <x:v>0</x:v>
      </x:c>
      <x:c r="N205" s="9" t="str">
        <x:v>OPEN / UNACCEPTED</x:v>
      </x:c>
      <x:c r="O205" s="9" t="n">
        <x:f>COUNTIFS($A$7:$A$1734,A205)</x:f>
        <x:v>1</x:v>
      </x:c>
    </x:row>
    <x:row r="206">
      <x:c r="A206" s="9" t="str">
        <x:v>EV-AR-RT-B-C-TECH-3-B2-RCN-G0-OG08</x:v>
      </x:c>
      <x:c r="B206" s="9" t="str">
        <x:v>EV-AR-RT-B-C-TECH-3-B2-RCN-G0</x:v>
      </x:c>
      <x:c r="C206" s="9" t="str">
        <x:v>AR-RT-B-C-TECH-3-B2-RCN-G0</x:v>
      </x:c>
      <x:c r="D206" s="9" t="str">
        <x:v>RT-B-C-TECH-3</x:v>
      </x:c>
      <x:c r="E206" s="9" t="str">
        <x:v>RT-B-C</x:v>
      </x:c>
      <x:c r="F206" s="9" t="str">
        <x:v>B2</x:v>
      </x:c>
      <x:c r="G206" s="9" t="str">
        <x:v>RCN</x:v>
      </x:c>
      <x:c r="H206" s="9" t="str">
        <x:v>OG08</x:v>
      </x:c>
      <x:c r="I206" s="17" t="str">
        <x:v>Environment and boundary</x:v>
      </x:c>
      <x:c r="J206" s="17" t="str">
        <x:v>registered weather, water, ground, inlet and outlet states are retained</x:v>
      </x:c>
      <x:c r="K206" s="17" t="str">
        <x:v>Boundary court</x:v>
      </x:c>
      <x:c r="L206" s="9" t="n">
        <x:v>0</x:v>
      </x:c>
      <x:c r="M206" s="9" t="n">
        <x:v>0</x:v>
      </x:c>
      <x:c r="N206" s="9" t="str">
        <x:v>OPEN / UNACCEPTED</x:v>
      </x:c>
      <x:c r="O206" s="9" t="n">
        <x:f>COUNTIFS($A$7:$A$1734,A206)</x:f>
        <x:v>1</x:v>
      </x:c>
    </x:row>
    <x:row r="207">
      <x:c r="A207" s="9" t="str">
        <x:v>EV-AR-RT-B-C-TECH-3-B2-RCN-G0-OG09</x:v>
      </x:c>
      <x:c r="B207" s="9" t="str">
        <x:v>EV-AR-RT-B-C-TECH-3-B2-RCN-G0</x:v>
      </x:c>
      <x:c r="C207" s="9" t="str">
        <x:v>AR-RT-B-C-TECH-3-B2-RCN-G0</x:v>
      </x:c>
      <x:c r="D207" s="9" t="str">
        <x:v>RT-B-C-TECH-3</x:v>
      </x:c>
      <x:c r="E207" s="9" t="str">
        <x:v>RT-B-C</x:v>
      </x:c>
      <x:c r="F207" s="9" t="str">
        <x:v>B2</x:v>
      </x:c>
      <x:c r="G207" s="9" t="str">
        <x:v>RCN</x:v>
      </x:c>
      <x:c r="H207" s="9" t="str">
        <x:v>OG09</x:v>
      </x:c>
      <x:c r="I207" s="17" t="str">
        <x:v>Intervention account</x:v>
      </x:c>
      <x:c r="J207" s="17" t="str">
        <x:v>all stop, rescue, operator and public-protection actions remain timestamped</x:v>
      </x:c>
      <x:c r="K207" s="17" t="str">
        <x:v>Safety record court</x:v>
      </x:c>
      <x:c r="L207" s="9" t="n">
        <x:v>0</x:v>
      </x:c>
      <x:c r="M207" s="9" t="n">
        <x:v>0</x:v>
      </x:c>
      <x:c r="N207" s="9" t="str">
        <x:v>OPEN / UNACCEPTED</x:v>
      </x:c>
      <x:c r="O207" s="9" t="n">
        <x:f>COUNTIFS($A$7:$A$1734,A207)</x:f>
        <x:v>1</x:v>
      </x:c>
    </x:row>
    <x:row r="208">
      <x:c r="A208" s="9" t="str">
        <x:v>EV-AR-RT-B-C-TECH-3-B2-RCN-G0-OG10</x:v>
      </x:c>
      <x:c r="B208" s="9" t="str">
        <x:v>EV-AR-RT-B-C-TECH-3-B2-RCN-G0</x:v>
      </x:c>
      <x:c r="C208" s="9" t="str">
        <x:v>AR-RT-B-C-TECH-3-B2-RCN-G0</x:v>
      </x:c>
      <x:c r="D208" s="9" t="str">
        <x:v>RT-B-C-TECH-3</x:v>
      </x:c>
      <x:c r="E208" s="9" t="str">
        <x:v>RT-B-C</x:v>
      </x:c>
      <x:c r="F208" s="9" t="str">
        <x:v>B2</x:v>
      </x:c>
      <x:c r="G208" s="9" t="str">
        <x:v>RCN</x:v>
      </x:c>
      <x:c r="H208" s="9" t="str">
        <x:v>OG10</x:v>
      </x:c>
      <x:c r="I208" s="17" t="str">
        <x:v>Uncertainty statement</x:v>
      </x:c>
      <x:c r="J208" s="17" t="str">
        <x:v>range, censoring, resolution and correlation are declared before judgment</x:v>
      </x:c>
      <x:c r="K208" s="17" t="str">
        <x:v>Uncertainty authority</x:v>
      </x:c>
      <x:c r="L208" s="9" t="n">
        <x:v>0</x:v>
      </x:c>
      <x:c r="M208" s="9" t="n">
        <x:v>0</x:v>
      </x:c>
      <x:c r="N208" s="9" t="str">
        <x:v>OPEN / UNACCEPTED</x:v>
      </x:c>
      <x:c r="O208" s="9" t="n">
        <x:f>COUNTIFS($A$7:$A$1734,A208)</x:f>
        <x:v>1</x:v>
      </x:c>
    </x:row>
    <x:row r="209">
      <x:c r="A209" s="9" t="str">
        <x:v>EV-AR-RT-B-C-TECH-3-B2-RCN-G0-OG11</x:v>
      </x:c>
      <x:c r="B209" s="9" t="str">
        <x:v>EV-AR-RT-B-C-TECH-3-B2-RCN-G0</x:v>
      </x:c>
      <x:c r="C209" s="9" t="str">
        <x:v>AR-RT-B-C-TECH-3-B2-RCN-G0</x:v>
      </x:c>
      <x:c r="D209" s="9" t="str">
        <x:v>RT-B-C-TECH-3</x:v>
      </x:c>
      <x:c r="E209" s="9" t="str">
        <x:v>RT-B-C</x:v>
      </x:c>
      <x:c r="F209" s="9" t="str">
        <x:v>B2</x:v>
      </x:c>
      <x:c r="G209" s="9" t="str">
        <x:v>RCN</x:v>
      </x:c>
      <x:c r="H209" s="9" t="str">
        <x:v>OG11</x:v>
      </x:c>
      <x:c r="I209" s="17" t="str">
        <x:v>Contradiction preservation</x:v>
      </x:c>
      <x:c r="J209" s="17" t="str">
        <x:v>primary-witness disagreement remains explicit and is never averaged away</x:v>
      </x:c>
      <x:c r="K209" s="17" t="str">
        <x:v>Dissent registrar</x:v>
      </x:c>
      <x:c r="L209" s="9" t="n">
        <x:v>0</x:v>
      </x:c>
      <x:c r="M209" s="9" t="n">
        <x:v>0</x:v>
      </x:c>
      <x:c r="N209" s="9" t="str">
        <x:v>OPEN / UNACCEPTED</x:v>
      </x:c>
      <x:c r="O209" s="9" t="n">
        <x:f>COUNTIFS($A$7:$A$1734,A209)</x:f>
        <x:v>1</x:v>
      </x:c>
    </x:row>
    <x:row r="210">
      <x:c r="A210" s="9" t="str">
        <x:v>EV-AR-RT-B-C-TECH-3-B2-RCN-G0-OG12</x:v>
      </x:c>
      <x:c r="B210" s="9" t="str">
        <x:v>EV-AR-RT-B-C-TECH-3-B2-RCN-G0</x:v>
      </x:c>
      <x:c r="C210" s="9" t="str">
        <x:v>AR-RT-B-C-TECH-3-B2-RCN-G0</x:v>
      </x:c>
      <x:c r="D210" s="9" t="str">
        <x:v>RT-B-C-TECH-3</x:v>
      </x:c>
      <x:c r="E210" s="9" t="str">
        <x:v>RT-B-C</x:v>
      </x:c>
      <x:c r="F210" s="9" t="str">
        <x:v>B2</x:v>
      </x:c>
      <x:c r="G210" s="9" t="str">
        <x:v>RCN</x:v>
      </x:c>
      <x:c r="H210" s="9" t="str">
        <x:v>OG12</x:v>
      </x:c>
      <x:c r="I210" s="17" t="str">
        <x:v>Independent replay</x:v>
      </x:c>
      <x:c r="J210" s="17" t="str">
        <x:v>a separated reader reconstructs the registered observables from sealed originals</x:v>
      </x:c>
      <x:c r="K210" s="17" t="str">
        <x:v>Replay court</x:v>
      </x:c>
      <x:c r="L210" s="9" t="n">
        <x:v>0</x:v>
      </x:c>
      <x:c r="M210" s="9" t="n">
        <x:v>0</x:v>
      </x:c>
      <x:c r="N210" s="9" t="str">
        <x:v>OPEN / UNACCEPTED</x:v>
      </x:c>
      <x:c r="O210" s="9" t="n">
        <x:f>COUNTIFS($A$7:$A$1734,A210)</x:f>
        <x:v>1</x:v>
      </x:c>
    </x:row>
    <x:row r="211">
      <x:c r="A211" s="9" t="str">
        <x:v>EV-AR-RT-B-C-TECH-4-B1-RCN-G0-OG01</x:v>
      </x:c>
      <x:c r="B211" s="9" t="str">
        <x:v>EV-AR-RT-B-C-TECH-4-B1-RCN-G0</x:v>
      </x:c>
      <x:c r="C211" s="9" t="str">
        <x:v>AR-RT-B-C-TECH-4-B1-RCN-G0</x:v>
      </x:c>
      <x:c r="D211" s="9" t="str">
        <x:v>RT-B-C-TECH-4</x:v>
      </x:c>
      <x:c r="E211" s="9" t="str">
        <x:v>RT-B-C</x:v>
      </x:c>
      <x:c r="F211" s="9" t="str">
        <x:v>B1</x:v>
      </x:c>
      <x:c r="G211" s="9" t="str">
        <x:v>RCN</x:v>
      </x:c>
      <x:c r="H211" s="9" t="str">
        <x:v>OG01</x:v>
      </x:c>
      <x:c r="I211" s="17" t="str">
        <x:v>Serial and event identity</x:v>
      </x:c>
      <x:c r="J211" s="17" t="str">
        <x:v>record resolves to the issued serial, generation and physical start</x:v>
      </x:c>
      <x:c r="K211" s="17" t="str">
        <x:v>Observation court</x:v>
      </x:c>
      <x:c r="L211" s="9" t="n">
        <x:v>0</x:v>
      </x:c>
      <x:c r="M211" s="9" t="n">
        <x:v>0</x:v>
      </x:c>
      <x:c r="N211" s="9" t="str">
        <x:v>OPEN / UNACCEPTED</x:v>
      </x:c>
      <x:c r="O211" s="9" t="n">
        <x:f>COUNTIFS($A$7:$A$1734,A211)</x:f>
        <x:v>1</x:v>
      </x:c>
    </x:row>
    <x:row r="212">
      <x:c r="A212" s="9" t="str">
        <x:v>EV-AR-RT-B-C-TECH-4-B1-RCN-G0-OG02</x:v>
      </x:c>
      <x:c r="B212" s="9" t="str">
        <x:v>EV-AR-RT-B-C-TECH-4-B1-RCN-G0</x:v>
      </x:c>
      <x:c r="C212" s="9" t="str">
        <x:v>AR-RT-B-C-TECH-4-B1-RCN-G0</x:v>
      </x:c>
      <x:c r="D212" s="9" t="str">
        <x:v>RT-B-C-TECH-4</x:v>
      </x:c>
      <x:c r="E212" s="9" t="str">
        <x:v>RT-B-C</x:v>
      </x:c>
      <x:c r="F212" s="9" t="str">
        <x:v>B1</x:v>
      </x:c>
      <x:c r="G212" s="9" t="str">
        <x:v>RCN</x:v>
      </x:c>
      <x:c r="H212" s="9" t="str">
        <x:v>OG02</x:v>
      </x:c>
      <x:c r="I212" s="17" t="str">
        <x:v>Time ancestry</x:v>
      </x:c>
      <x:c r="J212" s="17" t="str">
        <x:v>primary, witness and public event clocks retain declared offsets and drift</x:v>
      </x:c>
      <x:c r="K212" s="17" t="str">
        <x:v>Time authority</x:v>
      </x:c>
      <x:c r="L212" s="9" t="n">
        <x:v>0</x:v>
      </x:c>
      <x:c r="M212" s="9" t="n">
        <x:v>0</x:v>
      </x:c>
      <x:c r="N212" s="9" t="str">
        <x:v>OPEN / UNACCEPTED</x:v>
      </x:c>
      <x:c r="O212" s="9" t="n">
        <x:f>COUNTIFS($A$7:$A$1734,A212)</x:f>
        <x:v>1</x:v>
      </x:c>
    </x:row>
    <x:row r="213">
      <x:c r="A213" s="9" t="str">
        <x:v>EV-AR-RT-B-C-TECH-4-B1-RCN-G0-OG03</x:v>
      </x:c>
      <x:c r="B213" s="9" t="str">
        <x:v>EV-AR-RT-B-C-TECH-4-B1-RCN-G0</x:v>
      </x:c>
      <x:c r="C213" s="9" t="str">
        <x:v>AR-RT-B-C-TECH-4-B1-RCN-G0</x:v>
      </x:c>
      <x:c r="D213" s="9" t="str">
        <x:v>RT-B-C-TECH-4</x:v>
      </x:c>
      <x:c r="E213" s="9" t="str">
        <x:v>RT-B-C</x:v>
      </x:c>
      <x:c r="F213" s="9" t="str">
        <x:v>B1</x:v>
      </x:c>
      <x:c r="G213" s="9" t="str">
        <x:v>RCN</x:v>
      </x:c>
      <x:c r="H213" s="9" t="str">
        <x:v>OG03</x:v>
      </x:c>
      <x:c r="I213" s="17" t="str">
        <x:v>Calibration ancestry</x:v>
      </x:c>
      <x:c r="J213" s="17" t="str">
        <x:v>all reference, range and uncertainty states cover the live interval</x:v>
      </x:c>
      <x:c r="K213" s="17" t="str">
        <x:v>Metrology courts</x:v>
      </x:c>
      <x:c r="L213" s="9" t="n">
        <x:v>0</x:v>
      </x:c>
      <x:c r="M213" s="9" t="n">
        <x:v>0</x:v>
      </x:c>
      <x:c r="N213" s="9" t="str">
        <x:v>OPEN / UNACCEPTED</x:v>
      </x:c>
      <x:c r="O213" s="9" t="n">
        <x:f>COUNTIFS($A$7:$A$1734,A213)</x:f>
        <x:v>1</x:v>
      </x:c>
    </x:row>
    <x:row r="214">
      <x:c r="A214" s="9" t="str">
        <x:v>EV-AR-RT-B-C-TECH-4-B1-RCN-G0-OG04</x:v>
      </x:c>
      <x:c r="B214" s="9" t="str">
        <x:v>EV-AR-RT-B-C-TECH-4-B1-RCN-G0</x:v>
      </x:c>
      <x:c r="C214" s="9" t="str">
        <x:v>AR-RT-B-C-TECH-4-B1-RCN-G0</x:v>
      </x:c>
      <x:c r="D214" s="9" t="str">
        <x:v>RT-B-C-TECH-4</x:v>
      </x:c>
      <x:c r="E214" s="9" t="str">
        <x:v>RT-B-C</x:v>
      </x:c>
      <x:c r="F214" s="9" t="str">
        <x:v>B1</x:v>
      </x:c>
      <x:c r="G214" s="9" t="str">
        <x:v>RCN</x:v>
      </x:c>
      <x:c r="H214" s="9" t="str">
        <x:v>OG04</x:v>
      </x:c>
      <x:c r="I214" s="17" t="str">
        <x:v>Raw completeness</x:v>
      </x:c>
      <x:c r="J214" s="17" t="str">
        <x:v>missingness is enumerated without imputation or outcome-conditioned deletion</x:v>
      </x:c>
      <x:c r="K214" s="17" t="str">
        <x:v>Observation court</x:v>
      </x:c>
      <x:c r="L214" s="9" t="n">
        <x:v>0</x:v>
      </x:c>
      <x:c r="M214" s="9" t="n">
        <x:v>0</x:v>
      </x:c>
      <x:c r="N214" s="9" t="str">
        <x:v>OPEN / UNACCEPTED</x:v>
      </x:c>
      <x:c r="O214" s="9" t="n">
        <x:f>COUNTIFS($A$7:$A$1734,A214)</x:f>
        <x:v>1</x:v>
      </x:c>
    </x:row>
    <x:row r="215">
      <x:c r="A215" s="9" t="str">
        <x:v>EV-AR-RT-B-C-TECH-4-B1-RCN-G0-OG05</x:v>
      </x:c>
      <x:c r="B215" s="9" t="str">
        <x:v>EV-AR-RT-B-C-TECH-4-B1-RCN-G0</x:v>
      </x:c>
      <x:c r="C215" s="9" t="str">
        <x:v>AR-RT-B-C-TECH-4-B1-RCN-G0</x:v>
      </x:c>
      <x:c r="D215" s="9" t="str">
        <x:v>RT-B-C-TECH-4</x:v>
      </x:c>
      <x:c r="E215" s="9" t="str">
        <x:v>RT-B-C</x:v>
      </x:c>
      <x:c r="F215" s="9" t="str">
        <x:v>B1</x:v>
      </x:c>
      <x:c r="G215" s="9" t="str">
        <x:v>RCN</x:v>
      </x:c>
      <x:c r="H215" s="9" t="str">
        <x:v>OG05</x:v>
      </x:c>
      <x:c r="I215" s="17" t="str">
        <x:v>Primary provenance</x:v>
      </x:c>
      <x:c r="J215" s="17" t="str">
        <x:v>primary originals, hashes, keys and access history reconcile</x:v>
      </x:c>
      <x:c r="K215" s="17" t="str">
        <x:v>Primary custody</x:v>
      </x:c>
      <x:c r="L215" s="9" t="n">
        <x:v>0</x:v>
      </x:c>
      <x:c r="M215" s="9" t="n">
        <x:v>0</x:v>
      </x:c>
      <x:c r="N215" s="9" t="str">
        <x:v>OPEN / UNACCEPTED</x:v>
      </x:c>
      <x:c r="O215" s="9" t="n">
        <x:f>COUNTIFS($A$7:$A$1734,A215)</x:f>
        <x:v>1</x:v>
      </x:c>
    </x:row>
    <x:row r="216">
      <x:c r="A216" s="9" t="str">
        <x:v>EV-AR-RT-B-C-TECH-4-B1-RCN-G0-OG06</x:v>
      </x:c>
      <x:c r="B216" s="9" t="str">
        <x:v>EV-AR-RT-B-C-TECH-4-B1-RCN-G0</x:v>
      </x:c>
      <x:c r="C216" s="9" t="str">
        <x:v>AR-RT-B-C-TECH-4-B1-RCN-G0</x:v>
      </x:c>
      <x:c r="D216" s="9" t="str">
        <x:v>RT-B-C-TECH-4</x:v>
      </x:c>
      <x:c r="E216" s="9" t="str">
        <x:v>RT-B-C</x:v>
      </x:c>
      <x:c r="F216" s="9" t="str">
        <x:v>B1</x:v>
      </x:c>
      <x:c r="G216" s="9" t="str">
        <x:v>RCN</x:v>
      </x:c>
      <x:c r="H216" s="9" t="str">
        <x:v>OG06</x:v>
      </x:c>
      <x:c r="I216" s="17" t="str">
        <x:v>Witness provenance</x:v>
      </x:c>
      <x:c r="J216" s="17" t="str">
        <x:v>unlike witness originals, hashes, keys and access history reconcile</x:v>
      </x:c>
      <x:c r="K216" s="17" t="str">
        <x:v>Witness custody</x:v>
      </x:c>
      <x:c r="L216" s="9" t="n">
        <x:v>0</x:v>
      </x:c>
      <x:c r="M216" s="9" t="n">
        <x:v>0</x:v>
      </x:c>
      <x:c r="N216" s="9" t="str">
        <x:v>OPEN / UNACCEPTED</x:v>
      </x:c>
      <x:c r="O216" s="9" t="n">
        <x:f>COUNTIFS($A$7:$A$1734,A216)</x:f>
        <x:v>1</x:v>
      </x:c>
    </x:row>
    <x:row r="217">
      <x:c r="A217" s="9" t="str">
        <x:v>EV-AR-RT-B-C-TECH-4-B1-RCN-G0-OG07</x:v>
      </x:c>
      <x:c r="B217" s="9" t="str">
        <x:v>EV-AR-RT-B-C-TECH-4-B1-RCN-G0</x:v>
      </x:c>
      <x:c r="C217" s="9" t="str">
        <x:v>AR-RT-B-C-TECH-4-B1-RCN-G0</x:v>
      </x:c>
      <x:c r="D217" s="9" t="str">
        <x:v>RT-B-C-TECH-4</x:v>
      </x:c>
      <x:c r="E217" s="9" t="str">
        <x:v>RT-B-C</x:v>
      </x:c>
      <x:c r="F217" s="9" t="str">
        <x:v>B1</x:v>
      </x:c>
      <x:c r="G217" s="9" t="str">
        <x:v>RCN</x:v>
      </x:c>
      <x:c r="H217" s="9" t="str">
        <x:v>OG07</x:v>
      </x:c>
      <x:c r="I217" s="17" t="str">
        <x:v>Receiver denominator</x:v>
      </x:c>
      <x:c r="J217" s="17" t="str">
        <x:v>population, quantity, duration and exclusions match the frozen receipt</x:v>
      </x:c>
      <x:c r="K217" s="17" t="str">
        <x:v>Receiver court</x:v>
      </x:c>
      <x:c r="L217" s="9" t="n">
        <x:v>0</x:v>
      </x:c>
      <x:c r="M217" s="9" t="n">
        <x:v>0</x:v>
      </x:c>
      <x:c r="N217" s="9" t="str">
        <x:v>OPEN / UNACCEPTED</x:v>
      </x:c>
      <x:c r="O217" s="9" t="n">
        <x:f>COUNTIFS($A$7:$A$1734,A217)</x:f>
        <x:v>1</x:v>
      </x:c>
    </x:row>
    <x:row r="218">
      <x:c r="A218" s="9" t="str">
        <x:v>EV-AR-RT-B-C-TECH-4-B1-RCN-G0-OG08</x:v>
      </x:c>
      <x:c r="B218" s="9" t="str">
        <x:v>EV-AR-RT-B-C-TECH-4-B1-RCN-G0</x:v>
      </x:c>
      <x:c r="C218" s="9" t="str">
        <x:v>AR-RT-B-C-TECH-4-B1-RCN-G0</x:v>
      </x:c>
      <x:c r="D218" s="9" t="str">
        <x:v>RT-B-C-TECH-4</x:v>
      </x:c>
      <x:c r="E218" s="9" t="str">
        <x:v>RT-B-C</x:v>
      </x:c>
      <x:c r="F218" s="9" t="str">
        <x:v>B1</x:v>
      </x:c>
      <x:c r="G218" s="9" t="str">
        <x:v>RCN</x:v>
      </x:c>
      <x:c r="H218" s="9" t="str">
        <x:v>OG08</x:v>
      </x:c>
      <x:c r="I218" s="17" t="str">
        <x:v>Environment and boundary</x:v>
      </x:c>
      <x:c r="J218" s="17" t="str">
        <x:v>registered weather, water, ground, inlet and outlet states are retained</x:v>
      </x:c>
      <x:c r="K218" s="17" t="str">
        <x:v>Boundary court</x:v>
      </x:c>
      <x:c r="L218" s="9" t="n">
        <x:v>0</x:v>
      </x:c>
      <x:c r="M218" s="9" t="n">
        <x:v>0</x:v>
      </x:c>
      <x:c r="N218" s="9" t="str">
        <x:v>OPEN / UNACCEPTED</x:v>
      </x:c>
      <x:c r="O218" s="9" t="n">
        <x:f>COUNTIFS($A$7:$A$1734,A218)</x:f>
        <x:v>1</x:v>
      </x:c>
    </x:row>
    <x:row r="219">
      <x:c r="A219" s="9" t="str">
        <x:v>EV-AR-RT-B-C-TECH-4-B1-RCN-G0-OG09</x:v>
      </x:c>
      <x:c r="B219" s="9" t="str">
        <x:v>EV-AR-RT-B-C-TECH-4-B1-RCN-G0</x:v>
      </x:c>
      <x:c r="C219" s="9" t="str">
        <x:v>AR-RT-B-C-TECH-4-B1-RCN-G0</x:v>
      </x:c>
      <x:c r="D219" s="9" t="str">
        <x:v>RT-B-C-TECH-4</x:v>
      </x:c>
      <x:c r="E219" s="9" t="str">
        <x:v>RT-B-C</x:v>
      </x:c>
      <x:c r="F219" s="9" t="str">
        <x:v>B1</x:v>
      </x:c>
      <x:c r="G219" s="9" t="str">
        <x:v>RCN</x:v>
      </x:c>
      <x:c r="H219" s="9" t="str">
        <x:v>OG09</x:v>
      </x:c>
      <x:c r="I219" s="17" t="str">
        <x:v>Intervention account</x:v>
      </x:c>
      <x:c r="J219" s="17" t="str">
        <x:v>all stop, rescue, operator and public-protection actions remain timestamped</x:v>
      </x:c>
      <x:c r="K219" s="17" t="str">
        <x:v>Safety record court</x:v>
      </x:c>
      <x:c r="L219" s="9" t="n">
        <x:v>0</x:v>
      </x:c>
      <x:c r="M219" s="9" t="n">
        <x:v>0</x:v>
      </x:c>
      <x:c r="N219" s="9" t="str">
        <x:v>OPEN / UNACCEPTED</x:v>
      </x:c>
      <x:c r="O219" s="9" t="n">
        <x:f>COUNTIFS($A$7:$A$1734,A219)</x:f>
        <x:v>1</x:v>
      </x:c>
    </x:row>
    <x:row r="220">
      <x:c r="A220" s="9" t="str">
        <x:v>EV-AR-RT-B-C-TECH-4-B1-RCN-G0-OG10</x:v>
      </x:c>
      <x:c r="B220" s="9" t="str">
        <x:v>EV-AR-RT-B-C-TECH-4-B1-RCN-G0</x:v>
      </x:c>
      <x:c r="C220" s="9" t="str">
        <x:v>AR-RT-B-C-TECH-4-B1-RCN-G0</x:v>
      </x:c>
      <x:c r="D220" s="9" t="str">
        <x:v>RT-B-C-TECH-4</x:v>
      </x:c>
      <x:c r="E220" s="9" t="str">
        <x:v>RT-B-C</x:v>
      </x:c>
      <x:c r="F220" s="9" t="str">
        <x:v>B1</x:v>
      </x:c>
      <x:c r="G220" s="9" t="str">
        <x:v>RCN</x:v>
      </x:c>
      <x:c r="H220" s="9" t="str">
        <x:v>OG10</x:v>
      </x:c>
      <x:c r="I220" s="17" t="str">
        <x:v>Uncertainty statement</x:v>
      </x:c>
      <x:c r="J220" s="17" t="str">
        <x:v>range, censoring, resolution and correlation are declared before judgment</x:v>
      </x:c>
      <x:c r="K220" s="17" t="str">
        <x:v>Uncertainty authority</x:v>
      </x:c>
      <x:c r="L220" s="9" t="n">
        <x:v>0</x:v>
      </x:c>
      <x:c r="M220" s="9" t="n">
        <x:v>0</x:v>
      </x:c>
      <x:c r="N220" s="9" t="str">
        <x:v>OPEN / UNACCEPTED</x:v>
      </x:c>
      <x:c r="O220" s="9" t="n">
        <x:f>COUNTIFS($A$7:$A$1734,A220)</x:f>
        <x:v>1</x:v>
      </x:c>
    </x:row>
    <x:row r="221">
      <x:c r="A221" s="9" t="str">
        <x:v>EV-AR-RT-B-C-TECH-4-B1-RCN-G0-OG11</x:v>
      </x:c>
      <x:c r="B221" s="9" t="str">
        <x:v>EV-AR-RT-B-C-TECH-4-B1-RCN-G0</x:v>
      </x:c>
      <x:c r="C221" s="9" t="str">
        <x:v>AR-RT-B-C-TECH-4-B1-RCN-G0</x:v>
      </x:c>
      <x:c r="D221" s="9" t="str">
        <x:v>RT-B-C-TECH-4</x:v>
      </x:c>
      <x:c r="E221" s="9" t="str">
        <x:v>RT-B-C</x:v>
      </x:c>
      <x:c r="F221" s="9" t="str">
        <x:v>B1</x:v>
      </x:c>
      <x:c r="G221" s="9" t="str">
        <x:v>RCN</x:v>
      </x:c>
      <x:c r="H221" s="9" t="str">
        <x:v>OG11</x:v>
      </x:c>
      <x:c r="I221" s="17" t="str">
        <x:v>Contradiction preservation</x:v>
      </x:c>
      <x:c r="J221" s="17" t="str">
        <x:v>primary-witness disagreement remains explicit and is never averaged away</x:v>
      </x:c>
      <x:c r="K221" s="17" t="str">
        <x:v>Dissent registrar</x:v>
      </x:c>
      <x:c r="L221" s="9" t="n">
        <x:v>0</x:v>
      </x:c>
      <x:c r="M221" s="9" t="n">
        <x:v>0</x:v>
      </x:c>
      <x:c r="N221" s="9" t="str">
        <x:v>OPEN / UNACCEPTED</x:v>
      </x:c>
      <x:c r="O221" s="9" t="n">
        <x:f>COUNTIFS($A$7:$A$1734,A221)</x:f>
        <x:v>1</x:v>
      </x:c>
    </x:row>
    <x:row r="222">
      <x:c r="A222" s="9" t="str">
        <x:v>EV-AR-RT-B-C-TECH-4-B1-RCN-G0-OG12</x:v>
      </x:c>
      <x:c r="B222" s="9" t="str">
        <x:v>EV-AR-RT-B-C-TECH-4-B1-RCN-G0</x:v>
      </x:c>
      <x:c r="C222" s="9" t="str">
        <x:v>AR-RT-B-C-TECH-4-B1-RCN-G0</x:v>
      </x:c>
      <x:c r="D222" s="9" t="str">
        <x:v>RT-B-C-TECH-4</x:v>
      </x:c>
      <x:c r="E222" s="9" t="str">
        <x:v>RT-B-C</x:v>
      </x:c>
      <x:c r="F222" s="9" t="str">
        <x:v>B1</x:v>
      </x:c>
      <x:c r="G222" s="9" t="str">
        <x:v>RCN</x:v>
      </x:c>
      <x:c r="H222" s="9" t="str">
        <x:v>OG12</x:v>
      </x:c>
      <x:c r="I222" s="17" t="str">
        <x:v>Independent replay</x:v>
      </x:c>
      <x:c r="J222" s="17" t="str">
        <x:v>a separated reader reconstructs the registered observables from sealed originals</x:v>
      </x:c>
      <x:c r="K222" s="17" t="str">
        <x:v>Replay court</x:v>
      </x:c>
      <x:c r="L222" s="9" t="n">
        <x:v>0</x:v>
      </x:c>
      <x:c r="M222" s="9" t="n">
        <x:v>0</x:v>
      </x:c>
      <x:c r="N222" s="9" t="str">
        <x:v>OPEN / UNACCEPTED</x:v>
      </x:c>
      <x:c r="O222" s="9" t="n">
        <x:f>COUNTIFS($A$7:$A$1734,A222)</x:f>
        <x:v>1</x:v>
      </x:c>
    </x:row>
    <x:row r="223">
      <x:c r="A223" s="9" t="str">
        <x:v>EV-AR-CT-C-B-TECH-4-B1-BRK-G0-OG01</x:v>
      </x:c>
      <x:c r="B223" s="9" t="str">
        <x:v>EV-AR-CT-C-B-TECH-4-B1-BRK-G0</x:v>
      </x:c>
      <x:c r="C223" s="9" t="str">
        <x:v>AR-CT-C-B-TECH-4-B1-BRK-G0</x:v>
      </x:c>
      <x:c r="D223" s="9" t="str">
        <x:v>CT-C-B-TECH-4</x:v>
      </x:c>
      <x:c r="E223" s="9" t="str">
        <x:v>CT-C-B</x:v>
      </x:c>
      <x:c r="F223" s="9" t="str">
        <x:v>B1</x:v>
      </x:c>
      <x:c r="G223" s="9" t="str">
        <x:v>BRK</x:v>
      </x:c>
      <x:c r="H223" s="9" t="str">
        <x:v>OG01</x:v>
      </x:c>
      <x:c r="I223" s="17" t="str">
        <x:v>Serial and event identity</x:v>
      </x:c>
      <x:c r="J223" s="17" t="str">
        <x:v>record resolves to the issued serial, generation and physical start</x:v>
      </x:c>
      <x:c r="K223" s="17" t="str">
        <x:v>Observation court</x:v>
      </x:c>
      <x:c r="L223" s="9" t="n">
        <x:v>0</x:v>
      </x:c>
      <x:c r="M223" s="9" t="n">
        <x:v>0</x:v>
      </x:c>
      <x:c r="N223" s="9" t="str">
        <x:v>OPEN / UNACCEPTED</x:v>
      </x:c>
      <x:c r="O223" s="9" t="n">
        <x:f>COUNTIFS($A$7:$A$1734,A223)</x:f>
        <x:v>1</x:v>
      </x:c>
    </x:row>
    <x:row r="224">
      <x:c r="A224" s="9" t="str">
        <x:v>EV-AR-CT-C-B-TECH-4-B1-BRK-G0-OG02</x:v>
      </x:c>
      <x:c r="B224" s="9" t="str">
        <x:v>EV-AR-CT-C-B-TECH-4-B1-BRK-G0</x:v>
      </x:c>
      <x:c r="C224" s="9" t="str">
        <x:v>AR-CT-C-B-TECH-4-B1-BRK-G0</x:v>
      </x:c>
      <x:c r="D224" s="9" t="str">
        <x:v>CT-C-B-TECH-4</x:v>
      </x:c>
      <x:c r="E224" s="9" t="str">
        <x:v>CT-C-B</x:v>
      </x:c>
      <x:c r="F224" s="9" t="str">
        <x:v>B1</x:v>
      </x:c>
      <x:c r="G224" s="9" t="str">
        <x:v>BRK</x:v>
      </x:c>
      <x:c r="H224" s="9" t="str">
        <x:v>OG02</x:v>
      </x:c>
      <x:c r="I224" s="17" t="str">
        <x:v>Time ancestry</x:v>
      </x:c>
      <x:c r="J224" s="17" t="str">
        <x:v>primary, witness and public event clocks retain declared offsets and drift</x:v>
      </x:c>
      <x:c r="K224" s="17" t="str">
        <x:v>Time authority</x:v>
      </x:c>
      <x:c r="L224" s="9" t="n">
        <x:v>0</x:v>
      </x:c>
      <x:c r="M224" s="9" t="n">
        <x:v>0</x:v>
      </x:c>
      <x:c r="N224" s="9" t="str">
        <x:v>OPEN / UNACCEPTED</x:v>
      </x:c>
      <x:c r="O224" s="9" t="n">
        <x:f>COUNTIFS($A$7:$A$1734,A224)</x:f>
        <x:v>1</x:v>
      </x:c>
    </x:row>
    <x:row r="225">
      <x:c r="A225" s="9" t="str">
        <x:v>EV-AR-CT-C-B-TECH-4-B1-BRK-G0-OG03</x:v>
      </x:c>
      <x:c r="B225" s="9" t="str">
        <x:v>EV-AR-CT-C-B-TECH-4-B1-BRK-G0</x:v>
      </x:c>
      <x:c r="C225" s="9" t="str">
        <x:v>AR-CT-C-B-TECH-4-B1-BRK-G0</x:v>
      </x:c>
      <x:c r="D225" s="9" t="str">
        <x:v>CT-C-B-TECH-4</x:v>
      </x:c>
      <x:c r="E225" s="9" t="str">
        <x:v>CT-C-B</x:v>
      </x:c>
      <x:c r="F225" s="9" t="str">
        <x:v>B1</x:v>
      </x:c>
      <x:c r="G225" s="9" t="str">
        <x:v>BRK</x:v>
      </x:c>
      <x:c r="H225" s="9" t="str">
        <x:v>OG03</x:v>
      </x:c>
      <x:c r="I225" s="17" t="str">
        <x:v>Calibration ancestry</x:v>
      </x:c>
      <x:c r="J225" s="17" t="str">
        <x:v>all reference, range and uncertainty states cover the live interval</x:v>
      </x:c>
      <x:c r="K225" s="17" t="str">
        <x:v>Metrology courts</x:v>
      </x:c>
      <x:c r="L225" s="9" t="n">
        <x:v>0</x:v>
      </x:c>
      <x:c r="M225" s="9" t="n">
        <x:v>0</x:v>
      </x:c>
      <x:c r="N225" s="9" t="str">
        <x:v>OPEN / UNACCEPTED</x:v>
      </x:c>
      <x:c r="O225" s="9" t="n">
        <x:f>COUNTIFS($A$7:$A$1734,A225)</x:f>
        <x:v>1</x:v>
      </x:c>
    </x:row>
    <x:row r="226">
      <x:c r="A226" s="9" t="str">
        <x:v>EV-AR-CT-C-B-TECH-4-B1-BRK-G0-OG04</x:v>
      </x:c>
      <x:c r="B226" s="9" t="str">
        <x:v>EV-AR-CT-C-B-TECH-4-B1-BRK-G0</x:v>
      </x:c>
      <x:c r="C226" s="9" t="str">
        <x:v>AR-CT-C-B-TECH-4-B1-BRK-G0</x:v>
      </x:c>
      <x:c r="D226" s="9" t="str">
        <x:v>CT-C-B-TECH-4</x:v>
      </x:c>
      <x:c r="E226" s="9" t="str">
        <x:v>CT-C-B</x:v>
      </x:c>
      <x:c r="F226" s="9" t="str">
        <x:v>B1</x:v>
      </x:c>
      <x:c r="G226" s="9" t="str">
        <x:v>BRK</x:v>
      </x:c>
      <x:c r="H226" s="9" t="str">
        <x:v>OG04</x:v>
      </x:c>
      <x:c r="I226" s="17" t="str">
        <x:v>Raw completeness</x:v>
      </x:c>
      <x:c r="J226" s="17" t="str">
        <x:v>missingness is enumerated without imputation or outcome-conditioned deletion</x:v>
      </x:c>
      <x:c r="K226" s="17" t="str">
        <x:v>Observation court</x:v>
      </x:c>
      <x:c r="L226" s="9" t="n">
        <x:v>0</x:v>
      </x:c>
      <x:c r="M226" s="9" t="n">
        <x:v>0</x:v>
      </x:c>
      <x:c r="N226" s="9" t="str">
        <x:v>OPEN / UNACCEPTED</x:v>
      </x:c>
      <x:c r="O226" s="9" t="n">
        <x:f>COUNTIFS($A$7:$A$1734,A226)</x:f>
        <x:v>1</x:v>
      </x:c>
    </x:row>
    <x:row r="227">
      <x:c r="A227" s="9" t="str">
        <x:v>EV-AR-CT-C-B-TECH-4-B1-BRK-G0-OG05</x:v>
      </x:c>
      <x:c r="B227" s="9" t="str">
        <x:v>EV-AR-CT-C-B-TECH-4-B1-BRK-G0</x:v>
      </x:c>
      <x:c r="C227" s="9" t="str">
        <x:v>AR-CT-C-B-TECH-4-B1-BRK-G0</x:v>
      </x:c>
      <x:c r="D227" s="9" t="str">
        <x:v>CT-C-B-TECH-4</x:v>
      </x:c>
      <x:c r="E227" s="9" t="str">
        <x:v>CT-C-B</x:v>
      </x:c>
      <x:c r="F227" s="9" t="str">
        <x:v>B1</x:v>
      </x:c>
      <x:c r="G227" s="9" t="str">
        <x:v>BRK</x:v>
      </x:c>
      <x:c r="H227" s="9" t="str">
        <x:v>OG05</x:v>
      </x:c>
      <x:c r="I227" s="17" t="str">
        <x:v>Primary provenance</x:v>
      </x:c>
      <x:c r="J227" s="17" t="str">
        <x:v>primary originals, hashes, keys and access history reconcile</x:v>
      </x:c>
      <x:c r="K227" s="17" t="str">
        <x:v>Primary custody</x:v>
      </x:c>
      <x:c r="L227" s="9" t="n">
        <x:v>0</x:v>
      </x:c>
      <x:c r="M227" s="9" t="n">
        <x:v>0</x:v>
      </x:c>
      <x:c r="N227" s="9" t="str">
        <x:v>OPEN / UNACCEPTED</x:v>
      </x:c>
      <x:c r="O227" s="9" t="n">
        <x:f>COUNTIFS($A$7:$A$1734,A227)</x:f>
        <x:v>1</x:v>
      </x:c>
    </x:row>
    <x:row r="228">
      <x:c r="A228" s="9" t="str">
        <x:v>EV-AR-CT-C-B-TECH-4-B1-BRK-G0-OG06</x:v>
      </x:c>
      <x:c r="B228" s="9" t="str">
        <x:v>EV-AR-CT-C-B-TECH-4-B1-BRK-G0</x:v>
      </x:c>
      <x:c r="C228" s="9" t="str">
        <x:v>AR-CT-C-B-TECH-4-B1-BRK-G0</x:v>
      </x:c>
      <x:c r="D228" s="9" t="str">
        <x:v>CT-C-B-TECH-4</x:v>
      </x:c>
      <x:c r="E228" s="9" t="str">
        <x:v>CT-C-B</x:v>
      </x:c>
      <x:c r="F228" s="9" t="str">
        <x:v>B1</x:v>
      </x:c>
      <x:c r="G228" s="9" t="str">
        <x:v>BRK</x:v>
      </x:c>
      <x:c r="H228" s="9" t="str">
        <x:v>OG06</x:v>
      </x:c>
      <x:c r="I228" s="17" t="str">
        <x:v>Witness provenance</x:v>
      </x:c>
      <x:c r="J228" s="17" t="str">
        <x:v>unlike witness originals, hashes, keys and access history reconcile</x:v>
      </x:c>
      <x:c r="K228" s="17" t="str">
        <x:v>Witness custody</x:v>
      </x:c>
      <x:c r="L228" s="9" t="n">
        <x:v>0</x:v>
      </x:c>
      <x:c r="M228" s="9" t="n">
        <x:v>0</x:v>
      </x:c>
      <x:c r="N228" s="9" t="str">
        <x:v>OPEN / UNACCEPTED</x:v>
      </x:c>
      <x:c r="O228" s="9" t="n">
        <x:f>COUNTIFS($A$7:$A$1734,A228)</x:f>
        <x:v>1</x:v>
      </x:c>
    </x:row>
    <x:row r="229">
      <x:c r="A229" s="9" t="str">
        <x:v>EV-AR-CT-C-B-TECH-4-B1-BRK-G0-OG07</x:v>
      </x:c>
      <x:c r="B229" s="9" t="str">
        <x:v>EV-AR-CT-C-B-TECH-4-B1-BRK-G0</x:v>
      </x:c>
      <x:c r="C229" s="9" t="str">
        <x:v>AR-CT-C-B-TECH-4-B1-BRK-G0</x:v>
      </x:c>
      <x:c r="D229" s="9" t="str">
        <x:v>CT-C-B-TECH-4</x:v>
      </x:c>
      <x:c r="E229" s="9" t="str">
        <x:v>CT-C-B</x:v>
      </x:c>
      <x:c r="F229" s="9" t="str">
        <x:v>B1</x:v>
      </x:c>
      <x:c r="G229" s="9" t="str">
        <x:v>BRK</x:v>
      </x:c>
      <x:c r="H229" s="9" t="str">
        <x:v>OG07</x:v>
      </x:c>
      <x:c r="I229" s="17" t="str">
        <x:v>Receiver denominator</x:v>
      </x:c>
      <x:c r="J229" s="17" t="str">
        <x:v>population, quantity, duration and exclusions match the frozen receipt</x:v>
      </x:c>
      <x:c r="K229" s="17" t="str">
        <x:v>Receiver court</x:v>
      </x:c>
      <x:c r="L229" s="9" t="n">
        <x:v>0</x:v>
      </x:c>
      <x:c r="M229" s="9" t="n">
        <x:v>0</x:v>
      </x:c>
      <x:c r="N229" s="9" t="str">
        <x:v>OPEN / UNACCEPTED</x:v>
      </x:c>
      <x:c r="O229" s="9" t="n">
        <x:f>COUNTIFS($A$7:$A$1734,A229)</x:f>
        <x:v>1</x:v>
      </x:c>
    </x:row>
    <x:row r="230">
      <x:c r="A230" s="9" t="str">
        <x:v>EV-AR-CT-C-B-TECH-4-B1-BRK-G0-OG08</x:v>
      </x:c>
      <x:c r="B230" s="9" t="str">
        <x:v>EV-AR-CT-C-B-TECH-4-B1-BRK-G0</x:v>
      </x:c>
      <x:c r="C230" s="9" t="str">
        <x:v>AR-CT-C-B-TECH-4-B1-BRK-G0</x:v>
      </x:c>
      <x:c r="D230" s="9" t="str">
        <x:v>CT-C-B-TECH-4</x:v>
      </x:c>
      <x:c r="E230" s="9" t="str">
        <x:v>CT-C-B</x:v>
      </x:c>
      <x:c r="F230" s="9" t="str">
        <x:v>B1</x:v>
      </x:c>
      <x:c r="G230" s="9" t="str">
        <x:v>BRK</x:v>
      </x:c>
      <x:c r="H230" s="9" t="str">
        <x:v>OG08</x:v>
      </x:c>
      <x:c r="I230" s="17" t="str">
        <x:v>Environment and boundary</x:v>
      </x:c>
      <x:c r="J230" s="17" t="str">
        <x:v>registered weather, water, ground, inlet and outlet states are retained</x:v>
      </x:c>
      <x:c r="K230" s="17" t="str">
        <x:v>Boundary court</x:v>
      </x:c>
      <x:c r="L230" s="9" t="n">
        <x:v>0</x:v>
      </x:c>
      <x:c r="M230" s="9" t="n">
        <x:v>0</x:v>
      </x:c>
      <x:c r="N230" s="9" t="str">
        <x:v>OPEN / UNACCEPTED</x:v>
      </x:c>
      <x:c r="O230" s="9" t="n">
        <x:f>COUNTIFS($A$7:$A$1734,A230)</x:f>
        <x:v>1</x:v>
      </x:c>
    </x:row>
    <x:row r="231">
      <x:c r="A231" s="9" t="str">
        <x:v>EV-AR-CT-C-B-TECH-4-B1-BRK-G0-OG09</x:v>
      </x:c>
      <x:c r="B231" s="9" t="str">
        <x:v>EV-AR-CT-C-B-TECH-4-B1-BRK-G0</x:v>
      </x:c>
      <x:c r="C231" s="9" t="str">
        <x:v>AR-CT-C-B-TECH-4-B1-BRK-G0</x:v>
      </x:c>
      <x:c r="D231" s="9" t="str">
        <x:v>CT-C-B-TECH-4</x:v>
      </x:c>
      <x:c r="E231" s="9" t="str">
        <x:v>CT-C-B</x:v>
      </x:c>
      <x:c r="F231" s="9" t="str">
        <x:v>B1</x:v>
      </x:c>
      <x:c r="G231" s="9" t="str">
        <x:v>BRK</x:v>
      </x:c>
      <x:c r="H231" s="9" t="str">
        <x:v>OG09</x:v>
      </x:c>
      <x:c r="I231" s="17" t="str">
        <x:v>Intervention account</x:v>
      </x:c>
      <x:c r="J231" s="17" t="str">
        <x:v>all stop, rescue, operator and public-protection actions remain timestamped</x:v>
      </x:c>
      <x:c r="K231" s="17" t="str">
        <x:v>Safety record court</x:v>
      </x:c>
      <x:c r="L231" s="9" t="n">
        <x:v>0</x:v>
      </x:c>
      <x:c r="M231" s="9" t="n">
        <x:v>0</x:v>
      </x:c>
      <x:c r="N231" s="9" t="str">
        <x:v>OPEN / UNACCEPTED</x:v>
      </x:c>
      <x:c r="O231" s="9" t="n">
        <x:f>COUNTIFS($A$7:$A$1734,A231)</x:f>
        <x:v>1</x:v>
      </x:c>
    </x:row>
    <x:row r="232">
      <x:c r="A232" s="9" t="str">
        <x:v>EV-AR-CT-C-B-TECH-4-B1-BRK-G0-OG10</x:v>
      </x:c>
      <x:c r="B232" s="9" t="str">
        <x:v>EV-AR-CT-C-B-TECH-4-B1-BRK-G0</x:v>
      </x:c>
      <x:c r="C232" s="9" t="str">
        <x:v>AR-CT-C-B-TECH-4-B1-BRK-G0</x:v>
      </x:c>
      <x:c r="D232" s="9" t="str">
        <x:v>CT-C-B-TECH-4</x:v>
      </x:c>
      <x:c r="E232" s="9" t="str">
        <x:v>CT-C-B</x:v>
      </x:c>
      <x:c r="F232" s="9" t="str">
        <x:v>B1</x:v>
      </x:c>
      <x:c r="G232" s="9" t="str">
        <x:v>BRK</x:v>
      </x:c>
      <x:c r="H232" s="9" t="str">
        <x:v>OG10</x:v>
      </x:c>
      <x:c r="I232" s="17" t="str">
        <x:v>Uncertainty statement</x:v>
      </x:c>
      <x:c r="J232" s="17" t="str">
        <x:v>range, censoring, resolution and correlation are declared before judgment</x:v>
      </x:c>
      <x:c r="K232" s="17" t="str">
        <x:v>Uncertainty authority</x:v>
      </x:c>
      <x:c r="L232" s="9" t="n">
        <x:v>0</x:v>
      </x:c>
      <x:c r="M232" s="9" t="n">
        <x:v>0</x:v>
      </x:c>
      <x:c r="N232" s="9" t="str">
        <x:v>OPEN / UNACCEPTED</x:v>
      </x:c>
      <x:c r="O232" s="9" t="n">
        <x:f>COUNTIFS($A$7:$A$1734,A232)</x:f>
        <x:v>1</x:v>
      </x:c>
    </x:row>
    <x:row r="233">
      <x:c r="A233" s="9" t="str">
        <x:v>EV-AR-CT-C-B-TECH-4-B1-BRK-G0-OG11</x:v>
      </x:c>
      <x:c r="B233" s="9" t="str">
        <x:v>EV-AR-CT-C-B-TECH-4-B1-BRK-G0</x:v>
      </x:c>
      <x:c r="C233" s="9" t="str">
        <x:v>AR-CT-C-B-TECH-4-B1-BRK-G0</x:v>
      </x:c>
      <x:c r="D233" s="9" t="str">
        <x:v>CT-C-B-TECH-4</x:v>
      </x:c>
      <x:c r="E233" s="9" t="str">
        <x:v>CT-C-B</x:v>
      </x:c>
      <x:c r="F233" s="9" t="str">
        <x:v>B1</x:v>
      </x:c>
      <x:c r="G233" s="9" t="str">
        <x:v>BRK</x:v>
      </x:c>
      <x:c r="H233" s="9" t="str">
        <x:v>OG11</x:v>
      </x:c>
      <x:c r="I233" s="17" t="str">
        <x:v>Contradiction preservation</x:v>
      </x:c>
      <x:c r="J233" s="17" t="str">
        <x:v>primary-witness disagreement remains explicit and is never averaged away</x:v>
      </x:c>
      <x:c r="K233" s="17" t="str">
        <x:v>Dissent registrar</x:v>
      </x:c>
      <x:c r="L233" s="9" t="n">
        <x:v>0</x:v>
      </x:c>
      <x:c r="M233" s="9" t="n">
        <x:v>0</x:v>
      </x:c>
      <x:c r="N233" s="9" t="str">
        <x:v>OPEN / UNACCEPTED</x:v>
      </x:c>
      <x:c r="O233" s="9" t="n">
        <x:f>COUNTIFS($A$7:$A$1734,A233)</x:f>
        <x:v>1</x:v>
      </x:c>
    </x:row>
    <x:row r="234">
      <x:c r="A234" s="9" t="str">
        <x:v>EV-AR-CT-C-B-TECH-4-B1-BRK-G0-OG12</x:v>
      </x:c>
      <x:c r="B234" s="9" t="str">
        <x:v>EV-AR-CT-C-B-TECH-4-B1-BRK-G0</x:v>
      </x:c>
      <x:c r="C234" s="9" t="str">
        <x:v>AR-CT-C-B-TECH-4-B1-BRK-G0</x:v>
      </x:c>
      <x:c r="D234" s="9" t="str">
        <x:v>CT-C-B-TECH-4</x:v>
      </x:c>
      <x:c r="E234" s="9" t="str">
        <x:v>CT-C-B</x:v>
      </x:c>
      <x:c r="F234" s="9" t="str">
        <x:v>B1</x:v>
      </x:c>
      <x:c r="G234" s="9" t="str">
        <x:v>BRK</x:v>
      </x:c>
      <x:c r="H234" s="9" t="str">
        <x:v>OG12</x:v>
      </x:c>
      <x:c r="I234" s="17" t="str">
        <x:v>Independent replay</x:v>
      </x:c>
      <x:c r="J234" s="17" t="str">
        <x:v>a separated reader reconstructs the registered observables from sealed originals</x:v>
      </x:c>
      <x:c r="K234" s="17" t="str">
        <x:v>Replay court</x:v>
      </x:c>
      <x:c r="L234" s="9" t="n">
        <x:v>0</x:v>
      </x:c>
      <x:c r="M234" s="9" t="n">
        <x:v>0</x:v>
      </x:c>
      <x:c r="N234" s="9" t="str">
        <x:v>OPEN / UNACCEPTED</x:v>
      </x:c>
      <x:c r="O234" s="9" t="n">
        <x:f>COUNTIFS($A$7:$A$1734,A234)</x:f>
        <x:v>1</x:v>
      </x:c>
    </x:row>
    <x:row r="235">
      <x:c r="A235" s="9" t="str">
        <x:v>EV-AR-CT-C-B-TECH-2-B1-RCN-G0-OG01</x:v>
      </x:c>
      <x:c r="B235" s="9" t="str">
        <x:v>EV-AR-CT-C-B-TECH-2-B1-RCN-G0</x:v>
      </x:c>
      <x:c r="C235" s="9" t="str">
        <x:v>AR-CT-C-B-TECH-2-B1-RCN-G0</x:v>
      </x:c>
      <x:c r="D235" s="9" t="str">
        <x:v>CT-C-B-TECH-2</x:v>
      </x:c>
      <x:c r="E235" s="9" t="str">
        <x:v>CT-C-B</x:v>
      </x:c>
      <x:c r="F235" s="9" t="str">
        <x:v>B1</x:v>
      </x:c>
      <x:c r="G235" s="9" t="str">
        <x:v>RCN</x:v>
      </x:c>
      <x:c r="H235" s="9" t="str">
        <x:v>OG01</x:v>
      </x:c>
      <x:c r="I235" s="17" t="str">
        <x:v>Serial and event identity</x:v>
      </x:c>
      <x:c r="J235" s="17" t="str">
        <x:v>record resolves to the issued serial, generation and physical start</x:v>
      </x:c>
      <x:c r="K235" s="17" t="str">
        <x:v>Observation court</x:v>
      </x:c>
      <x:c r="L235" s="9" t="n">
        <x:v>0</x:v>
      </x:c>
      <x:c r="M235" s="9" t="n">
        <x:v>0</x:v>
      </x:c>
      <x:c r="N235" s="9" t="str">
        <x:v>OPEN / UNACCEPTED</x:v>
      </x:c>
      <x:c r="O235" s="9" t="n">
        <x:f>COUNTIFS($A$7:$A$1734,A235)</x:f>
        <x:v>1</x:v>
      </x:c>
    </x:row>
    <x:row r="236">
      <x:c r="A236" s="9" t="str">
        <x:v>EV-AR-CT-C-B-TECH-2-B1-RCN-G0-OG02</x:v>
      </x:c>
      <x:c r="B236" s="9" t="str">
        <x:v>EV-AR-CT-C-B-TECH-2-B1-RCN-G0</x:v>
      </x:c>
      <x:c r="C236" s="9" t="str">
        <x:v>AR-CT-C-B-TECH-2-B1-RCN-G0</x:v>
      </x:c>
      <x:c r="D236" s="9" t="str">
        <x:v>CT-C-B-TECH-2</x:v>
      </x:c>
      <x:c r="E236" s="9" t="str">
        <x:v>CT-C-B</x:v>
      </x:c>
      <x:c r="F236" s="9" t="str">
        <x:v>B1</x:v>
      </x:c>
      <x:c r="G236" s="9" t="str">
        <x:v>RCN</x:v>
      </x:c>
      <x:c r="H236" s="9" t="str">
        <x:v>OG02</x:v>
      </x:c>
      <x:c r="I236" s="17" t="str">
        <x:v>Time ancestry</x:v>
      </x:c>
      <x:c r="J236" s="17" t="str">
        <x:v>primary, witness and public event clocks retain declared offsets and drift</x:v>
      </x:c>
      <x:c r="K236" s="17" t="str">
        <x:v>Time authority</x:v>
      </x:c>
      <x:c r="L236" s="9" t="n">
        <x:v>0</x:v>
      </x:c>
      <x:c r="M236" s="9" t="n">
        <x:v>0</x:v>
      </x:c>
      <x:c r="N236" s="9" t="str">
        <x:v>OPEN / UNACCEPTED</x:v>
      </x:c>
      <x:c r="O236" s="9" t="n">
        <x:f>COUNTIFS($A$7:$A$1734,A236)</x:f>
        <x:v>1</x:v>
      </x:c>
    </x:row>
    <x:row r="237">
      <x:c r="A237" s="9" t="str">
        <x:v>EV-AR-CT-C-B-TECH-2-B1-RCN-G0-OG03</x:v>
      </x:c>
      <x:c r="B237" s="9" t="str">
        <x:v>EV-AR-CT-C-B-TECH-2-B1-RCN-G0</x:v>
      </x:c>
      <x:c r="C237" s="9" t="str">
        <x:v>AR-CT-C-B-TECH-2-B1-RCN-G0</x:v>
      </x:c>
      <x:c r="D237" s="9" t="str">
        <x:v>CT-C-B-TECH-2</x:v>
      </x:c>
      <x:c r="E237" s="9" t="str">
        <x:v>CT-C-B</x:v>
      </x:c>
      <x:c r="F237" s="9" t="str">
        <x:v>B1</x:v>
      </x:c>
      <x:c r="G237" s="9" t="str">
        <x:v>RCN</x:v>
      </x:c>
      <x:c r="H237" s="9" t="str">
        <x:v>OG03</x:v>
      </x:c>
      <x:c r="I237" s="17" t="str">
        <x:v>Calibration ancestry</x:v>
      </x:c>
      <x:c r="J237" s="17" t="str">
        <x:v>all reference, range and uncertainty states cover the live interval</x:v>
      </x:c>
      <x:c r="K237" s="17" t="str">
        <x:v>Metrology courts</x:v>
      </x:c>
      <x:c r="L237" s="9" t="n">
        <x:v>0</x:v>
      </x:c>
      <x:c r="M237" s="9" t="n">
        <x:v>0</x:v>
      </x:c>
      <x:c r="N237" s="9" t="str">
        <x:v>OPEN / UNACCEPTED</x:v>
      </x:c>
      <x:c r="O237" s="9" t="n">
        <x:f>COUNTIFS($A$7:$A$1734,A237)</x:f>
        <x:v>1</x:v>
      </x:c>
    </x:row>
    <x:row r="238">
      <x:c r="A238" s="9" t="str">
        <x:v>EV-AR-CT-C-B-TECH-2-B1-RCN-G0-OG04</x:v>
      </x:c>
      <x:c r="B238" s="9" t="str">
        <x:v>EV-AR-CT-C-B-TECH-2-B1-RCN-G0</x:v>
      </x:c>
      <x:c r="C238" s="9" t="str">
        <x:v>AR-CT-C-B-TECH-2-B1-RCN-G0</x:v>
      </x:c>
      <x:c r="D238" s="9" t="str">
        <x:v>CT-C-B-TECH-2</x:v>
      </x:c>
      <x:c r="E238" s="9" t="str">
        <x:v>CT-C-B</x:v>
      </x:c>
      <x:c r="F238" s="9" t="str">
        <x:v>B1</x:v>
      </x:c>
      <x:c r="G238" s="9" t="str">
        <x:v>RCN</x:v>
      </x:c>
      <x:c r="H238" s="9" t="str">
        <x:v>OG04</x:v>
      </x:c>
      <x:c r="I238" s="17" t="str">
        <x:v>Raw completeness</x:v>
      </x:c>
      <x:c r="J238" s="17" t="str">
        <x:v>missingness is enumerated without imputation or outcome-conditioned deletion</x:v>
      </x:c>
      <x:c r="K238" s="17" t="str">
        <x:v>Observation court</x:v>
      </x:c>
      <x:c r="L238" s="9" t="n">
        <x:v>0</x:v>
      </x:c>
      <x:c r="M238" s="9" t="n">
        <x:v>0</x:v>
      </x:c>
      <x:c r="N238" s="9" t="str">
        <x:v>OPEN / UNACCEPTED</x:v>
      </x:c>
      <x:c r="O238" s="9" t="n">
        <x:f>COUNTIFS($A$7:$A$1734,A238)</x:f>
        <x:v>1</x:v>
      </x:c>
    </x:row>
    <x:row r="239">
      <x:c r="A239" s="9" t="str">
        <x:v>EV-AR-CT-C-B-TECH-2-B1-RCN-G0-OG05</x:v>
      </x:c>
      <x:c r="B239" s="9" t="str">
        <x:v>EV-AR-CT-C-B-TECH-2-B1-RCN-G0</x:v>
      </x:c>
      <x:c r="C239" s="9" t="str">
        <x:v>AR-CT-C-B-TECH-2-B1-RCN-G0</x:v>
      </x:c>
      <x:c r="D239" s="9" t="str">
        <x:v>CT-C-B-TECH-2</x:v>
      </x:c>
      <x:c r="E239" s="9" t="str">
        <x:v>CT-C-B</x:v>
      </x:c>
      <x:c r="F239" s="9" t="str">
        <x:v>B1</x:v>
      </x:c>
      <x:c r="G239" s="9" t="str">
        <x:v>RCN</x:v>
      </x:c>
      <x:c r="H239" s="9" t="str">
        <x:v>OG05</x:v>
      </x:c>
      <x:c r="I239" s="17" t="str">
        <x:v>Primary provenance</x:v>
      </x:c>
      <x:c r="J239" s="17" t="str">
        <x:v>primary originals, hashes, keys and access history reconcile</x:v>
      </x:c>
      <x:c r="K239" s="17" t="str">
        <x:v>Primary custody</x:v>
      </x:c>
      <x:c r="L239" s="9" t="n">
        <x:v>0</x:v>
      </x:c>
      <x:c r="M239" s="9" t="n">
        <x:v>0</x:v>
      </x:c>
      <x:c r="N239" s="9" t="str">
        <x:v>OPEN / UNACCEPTED</x:v>
      </x:c>
      <x:c r="O239" s="9" t="n">
        <x:f>COUNTIFS($A$7:$A$1734,A239)</x:f>
        <x:v>1</x:v>
      </x:c>
    </x:row>
    <x:row r="240">
      <x:c r="A240" s="9" t="str">
        <x:v>EV-AR-CT-C-B-TECH-2-B1-RCN-G0-OG06</x:v>
      </x:c>
      <x:c r="B240" s="9" t="str">
        <x:v>EV-AR-CT-C-B-TECH-2-B1-RCN-G0</x:v>
      </x:c>
      <x:c r="C240" s="9" t="str">
        <x:v>AR-CT-C-B-TECH-2-B1-RCN-G0</x:v>
      </x:c>
      <x:c r="D240" s="9" t="str">
        <x:v>CT-C-B-TECH-2</x:v>
      </x:c>
      <x:c r="E240" s="9" t="str">
        <x:v>CT-C-B</x:v>
      </x:c>
      <x:c r="F240" s="9" t="str">
        <x:v>B1</x:v>
      </x:c>
      <x:c r="G240" s="9" t="str">
        <x:v>RCN</x:v>
      </x:c>
      <x:c r="H240" s="9" t="str">
        <x:v>OG06</x:v>
      </x:c>
      <x:c r="I240" s="17" t="str">
        <x:v>Witness provenance</x:v>
      </x:c>
      <x:c r="J240" s="17" t="str">
        <x:v>unlike witness originals, hashes, keys and access history reconcile</x:v>
      </x:c>
      <x:c r="K240" s="17" t="str">
        <x:v>Witness custody</x:v>
      </x:c>
      <x:c r="L240" s="9" t="n">
        <x:v>0</x:v>
      </x:c>
      <x:c r="M240" s="9" t="n">
        <x:v>0</x:v>
      </x:c>
      <x:c r="N240" s="9" t="str">
        <x:v>OPEN / UNACCEPTED</x:v>
      </x:c>
      <x:c r="O240" s="9" t="n">
        <x:f>COUNTIFS($A$7:$A$1734,A240)</x:f>
        <x:v>1</x:v>
      </x:c>
    </x:row>
    <x:row r="241">
      <x:c r="A241" s="9" t="str">
        <x:v>EV-AR-CT-C-B-TECH-2-B1-RCN-G0-OG07</x:v>
      </x:c>
      <x:c r="B241" s="9" t="str">
        <x:v>EV-AR-CT-C-B-TECH-2-B1-RCN-G0</x:v>
      </x:c>
      <x:c r="C241" s="9" t="str">
        <x:v>AR-CT-C-B-TECH-2-B1-RCN-G0</x:v>
      </x:c>
      <x:c r="D241" s="9" t="str">
        <x:v>CT-C-B-TECH-2</x:v>
      </x:c>
      <x:c r="E241" s="9" t="str">
        <x:v>CT-C-B</x:v>
      </x:c>
      <x:c r="F241" s="9" t="str">
        <x:v>B1</x:v>
      </x:c>
      <x:c r="G241" s="9" t="str">
        <x:v>RCN</x:v>
      </x:c>
      <x:c r="H241" s="9" t="str">
        <x:v>OG07</x:v>
      </x:c>
      <x:c r="I241" s="17" t="str">
        <x:v>Receiver denominator</x:v>
      </x:c>
      <x:c r="J241" s="17" t="str">
        <x:v>population, quantity, duration and exclusions match the frozen receipt</x:v>
      </x:c>
      <x:c r="K241" s="17" t="str">
        <x:v>Receiver court</x:v>
      </x:c>
      <x:c r="L241" s="9" t="n">
        <x:v>0</x:v>
      </x:c>
      <x:c r="M241" s="9" t="n">
        <x:v>0</x:v>
      </x:c>
      <x:c r="N241" s="9" t="str">
        <x:v>OPEN / UNACCEPTED</x:v>
      </x:c>
      <x:c r="O241" s="9" t="n">
        <x:f>COUNTIFS($A$7:$A$1734,A241)</x:f>
        <x:v>1</x:v>
      </x:c>
    </x:row>
    <x:row r="242">
      <x:c r="A242" s="9" t="str">
        <x:v>EV-AR-CT-C-B-TECH-2-B1-RCN-G0-OG08</x:v>
      </x:c>
      <x:c r="B242" s="9" t="str">
        <x:v>EV-AR-CT-C-B-TECH-2-B1-RCN-G0</x:v>
      </x:c>
      <x:c r="C242" s="9" t="str">
        <x:v>AR-CT-C-B-TECH-2-B1-RCN-G0</x:v>
      </x:c>
      <x:c r="D242" s="9" t="str">
        <x:v>CT-C-B-TECH-2</x:v>
      </x:c>
      <x:c r="E242" s="9" t="str">
        <x:v>CT-C-B</x:v>
      </x:c>
      <x:c r="F242" s="9" t="str">
        <x:v>B1</x:v>
      </x:c>
      <x:c r="G242" s="9" t="str">
        <x:v>RCN</x:v>
      </x:c>
      <x:c r="H242" s="9" t="str">
        <x:v>OG08</x:v>
      </x:c>
      <x:c r="I242" s="17" t="str">
        <x:v>Environment and boundary</x:v>
      </x:c>
      <x:c r="J242" s="17" t="str">
        <x:v>registered weather, water, ground, inlet and outlet states are retained</x:v>
      </x:c>
      <x:c r="K242" s="17" t="str">
        <x:v>Boundary court</x:v>
      </x:c>
      <x:c r="L242" s="9" t="n">
        <x:v>0</x:v>
      </x:c>
      <x:c r="M242" s="9" t="n">
        <x:v>0</x:v>
      </x:c>
      <x:c r="N242" s="9" t="str">
        <x:v>OPEN / UNACCEPTED</x:v>
      </x:c>
      <x:c r="O242" s="9" t="n">
        <x:f>COUNTIFS($A$7:$A$1734,A242)</x:f>
        <x:v>1</x:v>
      </x:c>
    </x:row>
    <x:row r="243">
      <x:c r="A243" s="9" t="str">
        <x:v>EV-AR-CT-C-B-TECH-2-B1-RCN-G0-OG09</x:v>
      </x:c>
      <x:c r="B243" s="9" t="str">
        <x:v>EV-AR-CT-C-B-TECH-2-B1-RCN-G0</x:v>
      </x:c>
      <x:c r="C243" s="9" t="str">
        <x:v>AR-CT-C-B-TECH-2-B1-RCN-G0</x:v>
      </x:c>
      <x:c r="D243" s="9" t="str">
        <x:v>CT-C-B-TECH-2</x:v>
      </x:c>
      <x:c r="E243" s="9" t="str">
        <x:v>CT-C-B</x:v>
      </x:c>
      <x:c r="F243" s="9" t="str">
        <x:v>B1</x:v>
      </x:c>
      <x:c r="G243" s="9" t="str">
        <x:v>RCN</x:v>
      </x:c>
      <x:c r="H243" s="9" t="str">
        <x:v>OG09</x:v>
      </x:c>
      <x:c r="I243" s="17" t="str">
        <x:v>Intervention account</x:v>
      </x:c>
      <x:c r="J243" s="17" t="str">
        <x:v>all stop, rescue, operator and public-protection actions remain timestamped</x:v>
      </x:c>
      <x:c r="K243" s="17" t="str">
        <x:v>Safety record court</x:v>
      </x:c>
      <x:c r="L243" s="9" t="n">
        <x:v>0</x:v>
      </x:c>
      <x:c r="M243" s="9" t="n">
        <x:v>0</x:v>
      </x:c>
      <x:c r="N243" s="9" t="str">
        <x:v>OPEN / UNACCEPTED</x:v>
      </x:c>
      <x:c r="O243" s="9" t="n">
        <x:f>COUNTIFS($A$7:$A$1734,A243)</x:f>
        <x:v>1</x:v>
      </x:c>
    </x:row>
    <x:row r="244">
      <x:c r="A244" s="9" t="str">
        <x:v>EV-AR-CT-C-B-TECH-2-B1-RCN-G0-OG10</x:v>
      </x:c>
      <x:c r="B244" s="9" t="str">
        <x:v>EV-AR-CT-C-B-TECH-2-B1-RCN-G0</x:v>
      </x:c>
      <x:c r="C244" s="9" t="str">
        <x:v>AR-CT-C-B-TECH-2-B1-RCN-G0</x:v>
      </x:c>
      <x:c r="D244" s="9" t="str">
        <x:v>CT-C-B-TECH-2</x:v>
      </x:c>
      <x:c r="E244" s="9" t="str">
        <x:v>CT-C-B</x:v>
      </x:c>
      <x:c r="F244" s="9" t="str">
        <x:v>B1</x:v>
      </x:c>
      <x:c r="G244" s="9" t="str">
        <x:v>RCN</x:v>
      </x:c>
      <x:c r="H244" s="9" t="str">
        <x:v>OG10</x:v>
      </x:c>
      <x:c r="I244" s="17" t="str">
        <x:v>Uncertainty statement</x:v>
      </x:c>
      <x:c r="J244" s="17" t="str">
        <x:v>range, censoring, resolution and correlation are declared before judgment</x:v>
      </x:c>
      <x:c r="K244" s="17" t="str">
        <x:v>Uncertainty authority</x:v>
      </x:c>
      <x:c r="L244" s="9" t="n">
        <x:v>0</x:v>
      </x:c>
      <x:c r="M244" s="9" t="n">
        <x:v>0</x:v>
      </x:c>
      <x:c r="N244" s="9" t="str">
        <x:v>OPEN / UNACCEPTED</x:v>
      </x:c>
      <x:c r="O244" s="9" t="n">
        <x:f>COUNTIFS($A$7:$A$1734,A244)</x:f>
        <x:v>1</x:v>
      </x:c>
    </x:row>
    <x:row r="245">
      <x:c r="A245" s="9" t="str">
        <x:v>EV-AR-CT-C-B-TECH-2-B1-RCN-G0-OG11</x:v>
      </x:c>
      <x:c r="B245" s="9" t="str">
        <x:v>EV-AR-CT-C-B-TECH-2-B1-RCN-G0</x:v>
      </x:c>
      <x:c r="C245" s="9" t="str">
        <x:v>AR-CT-C-B-TECH-2-B1-RCN-G0</x:v>
      </x:c>
      <x:c r="D245" s="9" t="str">
        <x:v>CT-C-B-TECH-2</x:v>
      </x:c>
      <x:c r="E245" s="9" t="str">
        <x:v>CT-C-B</x:v>
      </x:c>
      <x:c r="F245" s="9" t="str">
        <x:v>B1</x:v>
      </x:c>
      <x:c r="G245" s="9" t="str">
        <x:v>RCN</x:v>
      </x:c>
      <x:c r="H245" s="9" t="str">
        <x:v>OG11</x:v>
      </x:c>
      <x:c r="I245" s="17" t="str">
        <x:v>Contradiction preservation</x:v>
      </x:c>
      <x:c r="J245" s="17" t="str">
        <x:v>primary-witness disagreement remains explicit and is never averaged away</x:v>
      </x:c>
      <x:c r="K245" s="17" t="str">
        <x:v>Dissent registrar</x:v>
      </x:c>
      <x:c r="L245" s="9" t="n">
        <x:v>0</x:v>
      </x:c>
      <x:c r="M245" s="9" t="n">
        <x:v>0</x:v>
      </x:c>
      <x:c r="N245" s="9" t="str">
        <x:v>OPEN / UNACCEPTED</x:v>
      </x:c>
      <x:c r="O245" s="9" t="n">
        <x:f>COUNTIFS($A$7:$A$1734,A245)</x:f>
        <x:v>1</x:v>
      </x:c>
    </x:row>
    <x:row r="246">
      <x:c r="A246" s="9" t="str">
        <x:v>EV-AR-CT-C-B-TECH-2-B1-RCN-G0-OG12</x:v>
      </x:c>
      <x:c r="B246" s="9" t="str">
        <x:v>EV-AR-CT-C-B-TECH-2-B1-RCN-G0</x:v>
      </x:c>
      <x:c r="C246" s="9" t="str">
        <x:v>AR-CT-C-B-TECH-2-B1-RCN-G0</x:v>
      </x:c>
      <x:c r="D246" s="9" t="str">
        <x:v>CT-C-B-TECH-2</x:v>
      </x:c>
      <x:c r="E246" s="9" t="str">
        <x:v>CT-C-B</x:v>
      </x:c>
      <x:c r="F246" s="9" t="str">
        <x:v>B1</x:v>
      </x:c>
      <x:c r="G246" s="9" t="str">
        <x:v>RCN</x:v>
      </x:c>
      <x:c r="H246" s="9" t="str">
        <x:v>OG12</x:v>
      </x:c>
      <x:c r="I246" s="17" t="str">
        <x:v>Independent replay</x:v>
      </x:c>
      <x:c r="J246" s="17" t="str">
        <x:v>a separated reader reconstructs the registered observables from sealed originals</x:v>
      </x:c>
      <x:c r="K246" s="17" t="str">
        <x:v>Replay court</x:v>
      </x:c>
      <x:c r="L246" s="9" t="n">
        <x:v>0</x:v>
      </x:c>
      <x:c r="M246" s="9" t="n">
        <x:v>0</x:v>
      </x:c>
      <x:c r="N246" s="9" t="str">
        <x:v>OPEN / UNACCEPTED</x:v>
      </x:c>
      <x:c r="O246" s="9" t="n">
        <x:f>COUNTIFS($A$7:$A$1734,A246)</x:f>
        <x:v>1</x:v>
      </x:c>
    </x:row>
    <x:row r="247">
      <x:c r="A247" s="9" t="str">
        <x:v>EV-AR-HC-A-C-TECH-2-B2-BRK-G0-OG01</x:v>
      </x:c>
      <x:c r="B247" s="9" t="str">
        <x:v>EV-AR-HC-A-C-TECH-2-B2-BRK-G0</x:v>
      </x:c>
      <x:c r="C247" s="9" t="str">
        <x:v>AR-HC-A-C-TECH-2-B2-BRK-G0</x:v>
      </x:c>
      <x:c r="D247" s="9" t="str">
        <x:v>HC-A-C-TECH-2</x:v>
      </x:c>
      <x:c r="E247" s="9" t="str">
        <x:v>HC-A-C</x:v>
      </x:c>
      <x:c r="F247" s="9" t="str">
        <x:v>B2</x:v>
      </x:c>
      <x:c r="G247" s="9" t="str">
        <x:v>BRK</x:v>
      </x:c>
      <x:c r="H247" s="9" t="str">
        <x:v>OG01</x:v>
      </x:c>
      <x:c r="I247" s="17" t="str">
        <x:v>Serial and event identity</x:v>
      </x:c>
      <x:c r="J247" s="17" t="str">
        <x:v>record resolves to the issued serial, generation and physical start</x:v>
      </x:c>
      <x:c r="K247" s="17" t="str">
        <x:v>Observation court</x:v>
      </x:c>
      <x:c r="L247" s="9" t="n">
        <x:v>0</x:v>
      </x:c>
      <x:c r="M247" s="9" t="n">
        <x:v>0</x:v>
      </x:c>
      <x:c r="N247" s="9" t="str">
        <x:v>OPEN / UNACCEPTED</x:v>
      </x:c>
      <x:c r="O247" s="9" t="n">
        <x:f>COUNTIFS($A$7:$A$1734,A247)</x:f>
        <x:v>1</x:v>
      </x:c>
    </x:row>
    <x:row r="248">
      <x:c r="A248" s="9" t="str">
        <x:v>EV-AR-HC-A-C-TECH-2-B2-BRK-G0-OG02</x:v>
      </x:c>
      <x:c r="B248" s="9" t="str">
        <x:v>EV-AR-HC-A-C-TECH-2-B2-BRK-G0</x:v>
      </x:c>
      <x:c r="C248" s="9" t="str">
        <x:v>AR-HC-A-C-TECH-2-B2-BRK-G0</x:v>
      </x:c>
      <x:c r="D248" s="9" t="str">
        <x:v>HC-A-C-TECH-2</x:v>
      </x:c>
      <x:c r="E248" s="9" t="str">
        <x:v>HC-A-C</x:v>
      </x:c>
      <x:c r="F248" s="9" t="str">
        <x:v>B2</x:v>
      </x:c>
      <x:c r="G248" s="9" t="str">
        <x:v>BRK</x:v>
      </x:c>
      <x:c r="H248" s="9" t="str">
        <x:v>OG02</x:v>
      </x:c>
      <x:c r="I248" s="17" t="str">
        <x:v>Time ancestry</x:v>
      </x:c>
      <x:c r="J248" s="17" t="str">
        <x:v>primary, witness and public event clocks retain declared offsets and drift</x:v>
      </x:c>
      <x:c r="K248" s="17" t="str">
        <x:v>Time authority</x:v>
      </x:c>
      <x:c r="L248" s="9" t="n">
        <x:v>0</x:v>
      </x:c>
      <x:c r="M248" s="9" t="n">
        <x:v>0</x:v>
      </x:c>
      <x:c r="N248" s="9" t="str">
        <x:v>OPEN / UNACCEPTED</x:v>
      </x:c>
      <x:c r="O248" s="9" t="n">
        <x:f>COUNTIFS($A$7:$A$1734,A248)</x:f>
        <x:v>1</x:v>
      </x:c>
    </x:row>
    <x:row r="249">
      <x:c r="A249" s="9" t="str">
        <x:v>EV-AR-HC-A-C-TECH-2-B2-BRK-G0-OG03</x:v>
      </x:c>
      <x:c r="B249" s="9" t="str">
        <x:v>EV-AR-HC-A-C-TECH-2-B2-BRK-G0</x:v>
      </x:c>
      <x:c r="C249" s="9" t="str">
        <x:v>AR-HC-A-C-TECH-2-B2-BRK-G0</x:v>
      </x:c>
      <x:c r="D249" s="9" t="str">
        <x:v>HC-A-C-TECH-2</x:v>
      </x:c>
      <x:c r="E249" s="9" t="str">
        <x:v>HC-A-C</x:v>
      </x:c>
      <x:c r="F249" s="9" t="str">
        <x:v>B2</x:v>
      </x:c>
      <x:c r="G249" s="9" t="str">
        <x:v>BRK</x:v>
      </x:c>
      <x:c r="H249" s="9" t="str">
        <x:v>OG03</x:v>
      </x:c>
      <x:c r="I249" s="17" t="str">
        <x:v>Calibration ancestry</x:v>
      </x:c>
      <x:c r="J249" s="17" t="str">
        <x:v>all reference, range and uncertainty states cover the live interval</x:v>
      </x:c>
      <x:c r="K249" s="17" t="str">
        <x:v>Metrology courts</x:v>
      </x:c>
      <x:c r="L249" s="9" t="n">
        <x:v>0</x:v>
      </x:c>
      <x:c r="M249" s="9" t="n">
        <x:v>0</x:v>
      </x:c>
      <x:c r="N249" s="9" t="str">
        <x:v>OPEN / UNACCEPTED</x:v>
      </x:c>
      <x:c r="O249" s="9" t="n">
        <x:f>COUNTIFS($A$7:$A$1734,A249)</x:f>
        <x:v>1</x:v>
      </x:c>
    </x:row>
    <x:row r="250">
      <x:c r="A250" s="9" t="str">
        <x:v>EV-AR-HC-A-C-TECH-2-B2-BRK-G0-OG04</x:v>
      </x:c>
      <x:c r="B250" s="9" t="str">
        <x:v>EV-AR-HC-A-C-TECH-2-B2-BRK-G0</x:v>
      </x:c>
      <x:c r="C250" s="9" t="str">
        <x:v>AR-HC-A-C-TECH-2-B2-BRK-G0</x:v>
      </x:c>
      <x:c r="D250" s="9" t="str">
        <x:v>HC-A-C-TECH-2</x:v>
      </x:c>
      <x:c r="E250" s="9" t="str">
        <x:v>HC-A-C</x:v>
      </x:c>
      <x:c r="F250" s="9" t="str">
        <x:v>B2</x:v>
      </x:c>
      <x:c r="G250" s="9" t="str">
        <x:v>BRK</x:v>
      </x:c>
      <x:c r="H250" s="9" t="str">
        <x:v>OG04</x:v>
      </x:c>
      <x:c r="I250" s="17" t="str">
        <x:v>Raw completeness</x:v>
      </x:c>
      <x:c r="J250" s="17" t="str">
        <x:v>missingness is enumerated without imputation or outcome-conditioned deletion</x:v>
      </x:c>
      <x:c r="K250" s="17" t="str">
        <x:v>Observation court</x:v>
      </x:c>
      <x:c r="L250" s="9" t="n">
        <x:v>0</x:v>
      </x:c>
      <x:c r="M250" s="9" t="n">
        <x:v>0</x:v>
      </x:c>
      <x:c r="N250" s="9" t="str">
        <x:v>OPEN / UNACCEPTED</x:v>
      </x:c>
      <x:c r="O250" s="9" t="n">
        <x:f>COUNTIFS($A$7:$A$1734,A250)</x:f>
        <x:v>1</x:v>
      </x:c>
    </x:row>
    <x:row r="251">
      <x:c r="A251" s="9" t="str">
        <x:v>EV-AR-HC-A-C-TECH-2-B2-BRK-G0-OG05</x:v>
      </x:c>
      <x:c r="B251" s="9" t="str">
        <x:v>EV-AR-HC-A-C-TECH-2-B2-BRK-G0</x:v>
      </x:c>
      <x:c r="C251" s="9" t="str">
        <x:v>AR-HC-A-C-TECH-2-B2-BRK-G0</x:v>
      </x:c>
      <x:c r="D251" s="9" t="str">
        <x:v>HC-A-C-TECH-2</x:v>
      </x:c>
      <x:c r="E251" s="9" t="str">
        <x:v>HC-A-C</x:v>
      </x:c>
      <x:c r="F251" s="9" t="str">
        <x:v>B2</x:v>
      </x:c>
      <x:c r="G251" s="9" t="str">
        <x:v>BRK</x:v>
      </x:c>
      <x:c r="H251" s="9" t="str">
        <x:v>OG05</x:v>
      </x:c>
      <x:c r="I251" s="17" t="str">
        <x:v>Primary provenance</x:v>
      </x:c>
      <x:c r="J251" s="17" t="str">
        <x:v>primary originals, hashes, keys and access history reconcile</x:v>
      </x:c>
      <x:c r="K251" s="17" t="str">
        <x:v>Primary custody</x:v>
      </x:c>
      <x:c r="L251" s="9" t="n">
        <x:v>0</x:v>
      </x:c>
      <x:c r="M251" s="9" t="n">
        <x:v>0</x:v>
      </x:c>
      <x:c r="N251" s="9" t="str">
        <x:v>OPEN / UNACCEPTED</x:v>
      </x:c>
      <x:c r="O251" s="9" t="n">
        <x:f>COUNTIFS($A$7:$A$1734,A251)</x:f>
        <x:v>1</x:v>
      </x:c>
    </x:row>
    <x:row r="252">
      <x:c r="A252" s="9" t="str">
        <x:v>EV-AR-HC-A-C-TECH-2-B2-BRK-G0-OG06</x:v>
      </x:c>
      <x:c r="B252" s="9" t="str">
        <x:v>EV-AR-HC-A-C-TECH-2-B2-BRK-G0</x:v>
      </x:c>
      <x:c r="C252" s="9" t="str">
        <x:v>AR-HC-A-C-TECH-2-B2-BRK-G0</x:v>
      </x:c>
      <x:c r="D252" s="9" t="str">
        <x:v>HC-A-C-TECH-2</x:v>
      </x:c>
      <x:c r="E252" s="9" t="str">
        <x:v>HC-A-C</x:v>
      </x:c>
      <x:c r="F252" s="9" t="str">
        <x:v>B2</x:v>
      </x:c>
      <x:c r="G252" s="9" t="str">
        <x:v>BRK</x:v>
      </x:c>
      <x:c r="H252" s="9" t="str">
        <x:v>OG06</x:v>
      </x:c>
      <x:c r="I252" s="17" t="str">
        <x:v>Witness provenance</x:v>
      </x:c>
      <x:c r="J252" s="17" t="str">
        <x:v>unlike witness originals, hashes, keys and access history reconcile</x:v>
      </x:c>
      <x:c r="K252" s="17" t="str">
        <x:v>Witness custody</x:v>
      </x:c>
      <x:c r="L252" s="9" t="n">
        <x:v>0</x:v>
      </x:c>
      <x:c r="M252" s="9" t="n">
        <x:v>0</x:v>
      </x:c>
      <x:c r="N252" s="9" t="str">
        <x:v>OPEN / UNACCEPTED</x:v>
      </x:c>
      <x:c r="O252" s="9" t="n">
        <x:f>COUNTIFS($A$7:$A$1734,A252)</x:f>
        <x:v>1</x:v>
      </x:c>
    </x:row>
    <x:row r="253">
      <x:c r="A253" s="9" t="str">
        <x:v>EV-AR-HC-A-C-TECH-2-B2-BRK-G0-OG07</x:v>
      </x:c>
      <x:c r="B253" s="9" t="str">
        <x:v>EV-AR-HC-A-C-TECH-2-B2-BRK-G0</x:v>
      </x:c>
      <x:c r="C253" s="9" t="str">
        <x:v>AR-HC-A-C-TECH-2-B2-BRK-G0</x:v>
      </x:c>
      <x:c r="D253" s="9" t="str">
        <x:v>HC-A-C-TECH-2</x:v>
      </x:c>
      <x:c r="E253" s="9" t="str">
        <x:v>HC-A-C</x:v>
      </x:c>
      <x:c r="F253" s="9" t="str">
        <x:v>B2</x:v>
      </x:c>
      <x:c r="G253" s="9" t="str">
        <x:v>BRK</x:v>
      </x:c>
      <x:c r="H253" s="9" t="str">
        <x:v>OG07</x:v>
      </x:c>
      <x:c r="I253" s="17" t="str">
        <x:v>Receiver denominator</x:v>
      </x:c>
      <x:c r="J253" s="17" t="str">
        <x:v>population, quantity, duration and exclusions match the frozen receipt</x:v>
      </x:c>
      <x:c r="K253" s="17" t="str">
        <x:v>Receiver court</x:v>
      </x:c>
      <x:c r="L253" s="9" t="n">
        <x:v>0</x:v>
      </x:c>
      <x:c r="M253" s="9" t="n">
        <x:v>0</x:v>
      </x:c>
      <x:c r="N253" s="9" t="str">
        <x:v>OPEN / UNACCEPTED</x:v>
      </x:c>
      <x:c r="O253" s="9" t="n">
        <x:f>COUNTIFS($A$7:$A$1734,A253)</x:f>
        <x:v>1</x:v>
      </x:c>
    </x:row>
    <x:row r="254">
      <x:c r="A254" s="9" t="str">
        <x:v>EV-AR-HC-A-C-TECH-2-B2-BRK-G0-OG08</x:v>
      </x:c>
      <x:c r="B254" s="9" t="str">
        <x:v>EV-AR-HC-A-C-TECH-2-B2-BRK-G0</x:v>
      </x:c>
      <x:c r="C254" s="9" t="str">
        <x:v>AR-HC-A-C-TECH-2-B2-BRK-G0</x:v>
      </x:c>
      <x:c r="D254" s="9" t="str">
        <x:v>HC-A-C-TECH-2</x:v>
      </x:c>
      <x:c r="E254" s="9" t="str">
        <x:v>HC-A-C</x:v>
      </x:c>
      <x:c r="F254" s="9" t="str">
        <x:v>B2</x:v>
      </x:c>
      <x:c r="G254" s="9" t="str">
        <x:v>BRK</x:v>
      </x:c>
      <x:c r="H254" s="9" t="str">
        <x:v>OG08</x:v>
      </x:c>
      <x:c r="I254" s="17" t="str">
        <x:v>Environment and boundary</x:v>
      </x:c>
      <x:c r="J254" s="17" t="str">
        <x:v>registered weather, water, ground, inlet and outlet states are retained</x:v>
      </x:c>
      <x:c r="K254" s="17" t="str">
        <x:v>Boundary court</x:v>
      </x:c>
      <x:c r="L254" s="9" t="n">
        <x:v>0</x:v>
      </x:c>
      <x:c r="M254" s="9" t="n">
        <x:v>0</x:v>
      </x:c>
      <x:c r="N254" s="9" t="str">
        <x:v>OPEN / UNACCEPTED</x:v>
      </x:c>
      <x:c r="O254" s="9" t="n">
        <x:f>COUNTIFS($A$7:$A$1734,A254)</x:f>
        <x:v>1</x:v>
      </x:c>
    </x:row>
    <x:row r="255">
      <x:c r="A255" s="9" t="str">
        <x:v>EV-AR-HC-A-C-TECH-2-B2-BRK-G0-OG09</x:v>
      </x:c>
      <x:c r="B255" s="9" t="str">
        <x:v>EV-AR-HC-A-C-TECH-2-B2-BRK-G0</x:v>
      </x:c>
      <x:c r="C255" s="9" t="str">
        <x:v>AR-HC-A-C-TECH-2-B2-BRK-G0</x:v>
      </x:c>
      <x:c r="D255" s="9" t="str">
        <x:v>HC-A-C-TECH-2</x:v>
      </x:c>
      <x:c r="E255" s="9" t="str">
        <x:v>HC-A-C</x:v>
      </x:c>
      <x:c r="F255" s="9" t="str">
        <x:v>B2</x:v>
      </x:c>
      <x:c r="G255" s="9" t="str">
        <x:v>BRK</x:v>
      </x:c>
      <x:c r="H255" s="9" t="str">
        <x:v>OG09</x:v>
      </x:c>
      <x:c r="I255" s="17" t="str">
        <x:v>Intervention account</x:v>
      </x:c>
      <x:c r="J255" s="17" t="str">
        <x:v>all stop, rescue, operator and public-protection actions remain timestamped</x:v>
      </x:c>
      <x:c r="K255" s="17" t="str">
        <x:v>Safety record court</x:v>
      </x:c>
      <x:c r="L255" s="9" t="n">
        <x:v>0</x:v>
      </x:c>
      <x:c r="M255" s="9" t="n">
        <x:v>0</x:v>
      </x:c>
      <x:c r="N255" s="9" t="str">
        <x:v>OPEN / UNACCEPTED</x:v>
      </x:c>
      <x:c r="O255" s="9" t="n">
        <x:f>COUNTIFS($A$7:$A$1734,A255)</x:f>
        <x:v>1</x:v>
      </x:c>
    </x:row>
    <x:row r="256">
      <x:c r="A256" s="9" t="str">
        <x:v>EV-AR-HC-A-C-TECH-2-B2-BRK-G0-OG10</x:v>
      </x:c>
      <x:c r="B256" s="9" t="str">
        <x:v>EV-AR-HC-A-C-TECH-2-B2-BRK-G0</x:v>
      </x:c>
      <x:c r="C256" s="9" t="str">
        <x:v>AR-HC-A-C-TECH-2-B2-BRK-G0</x:v>
      </x:c>
      <x:c r="D256" s="9" t="str">
        <x:v>HC-A-C-TECH-2</x:v>
      </x:c>
      <x:c r="E256" s="9" t="str">
        <x:v>HC-A-C</x:v>
      </x:c>
      <x:c r="F256" s="9" t="str">
        <x:v>B2</x:v>
      </x:c>
      <x:c r="G256" s="9" t="str">
        <x:v>BRK</x:v>
      </x:c>
      <x:c r="H256" s="9" t="str">
        <x:v>OG10</x:v>
      </x:c>
      <x:c r="I256" s="17" t="str">
        <x:v>Uncertainty statement</x:v>
      </x:c>
      <x:c r="J256" s="17" t="str">
        <x:v>range, censoring, resolution and correlation are declared before judgment</x:v>
      </x:c>
      <x:c r="K256" s="17" t="str">
        <x:v>Uncertainty authority</x:v>
      </x:c>
      <x:c r="L256" s="9" t="n">
        <x:v>0</x:v>
      </x:c>
      <x:c r="M256" s="9" t="n">
        <x:v>0</x:v>
      </x:c>
      <x:c r="N256" s="9" t="str">
        <x:v>OPEN / UNACCEPTED</x:v>
      </x:c>
      <x:c r="O256" s="9" t="n">
        <x:f>COUNTIFS($A$7:$A$1734,A256)</x:f>
        <x:v>1</x:v>
      </x:c>
    </x:row>
    <x:row r="257">
      <x:c r="A257" s="9" t="str">
        <x:v>EV-AR-HC-A-C-TECH-2-B2-BRK-G0-OG11</x:v>
      </x:c>
      <x:c r="B257" s="9" t="str">
        <x:v>EV-AR-HC-A-C-TECH-2-B2-BRK-G0</x:v>
      </x:c>
      <x:c r="C257" s="9" t="str">
        <x:v>AR-HC-A-C-TECH-2-B2-BRK-G0</x:v>
      </x:c>
      <x:c r="D257" s="9" t="str">
        <x:v>HC-A-C-TECH-2</x:v>
      </x:c>
      <x:c r="E257" s="9" t="str">
        <x:v>HC-A-C</x:v>
      </x:c>
      <x:c r="F257" s="9" t="str">
        <x:v>B2</x:v>
      </x:c>
      <x:c r="G257" s="9" t="str">
        <x:v>BRK</x:v>
      </x:c>
      <x:c r="H257" s="9" t="str">
        <x:v>OG11</x:v>
      </x:c>
      <x:c r="I257" s="17" t="str">
        <x:v>Contradiction preservation</x:v>
      </x:c>
      <x:c r="J257" s="17" t="str">
        <x:v>primary-witness disagreement remains explicit and is never averaged away</x:v>
      </x:c>
      <x:c r="K257" s="17" t="str">
        <x:v>Dissent registrar</x:v>
      </x:c>
      <x:c r="L257" s="9" t="n">
        <x:v>0</x:v>
      </x:c>
      <x:c r="M257" s="9" t="n">
        <x:v>0</x:v>
      </x:c>
      <x:c r="N257" s="9" t="str">
        <x:v>OPEN / UNACCEPTED</x:v>
      </x:c>
      <x:c r="O257" s="9" t="n">
        <x:f>COUNTIFS($A$7:$A$1734,A257)</x:f>
        <x:v>1</x:v>
      </x:c>
    </x:row>
    <x:row r="258">
      <x:c r="A258" s="9" t="str">
        <x:v>EV-AR-HC-A-C-TECH-2-B2-BRK-G0-OG12</x:v>
      </x:c>
      <x:c r="B258" s="9" t="str">
        <x:v>EV-AR-HC-A-C-TECH-2-B2-BRK-G0</x:v>
      </x:c>
      <x:c r="C258" s="9" t="str">
        <x:v>AR-HC-A-C-TECH-2-B2-BRK-G0</x:v>
      </x:c>
      <x:c r="D258" s="9" t="str">
        <x:v>HC-A-C-TECH-2</x:v>
      </x:c>
      <x:c r="E258" s="9" t="str">
        <x:v>HC-A-C</x:v>
      </x:c>
      <x:c r="F258" s="9" t="str">
        <x:v>B2</x:v>
      </x:c>
      <x:c r="G258" s="9" t="str">
        <x:v>BRK</x:v>
      </x:c>
      <x:c r="H258" s="9" t="str">
        <x:v>OG12</x:v>
      </x:c>
      <x:c r="I258" s="17" t="str">
        <x:v>Independent replay</x:v>
      </x:c>
      <x:c r="J258" s="17" t="str">
        <x:v>a separated reader reconstructs the registered observables from sealed originals</x:v>
      </x:c>
      <x:c r="K258" s="17" t="str">
        <x:v>Replay court</x:v>
      </x:c>
      <x:c r="L258" s="9" t="n">
        <x:v>0</x:v>
      </x:c>
      <x:c r="M258" s="9" t="n">
        <x:v>0</x:v>
      </x:c>
      <x:c r="N258" s="9" t="str">
        <x:v>OPEN / UNACCEPTED</x:v>
      </x:c>
      <x:c r="O258" s="9" t="n">
        <x:f>COUNTIFS($A$7:$A$1734,A258)</x:f>
        <x:v>1</x:v>
      </x:c>
    </x:row>
    <x:row r="259">
      <x:c r="A259" s="9" t="str">
        <x:v>EV-AR-HU-A-B-TECH-1-B1-BRK-G0-OG01</x:v>
      </x:c>
      <x:c r="B259" s="9" t="str">
        <x:v>EV-AR-HU-A-B-TECH-1-B1-BRK-G0</x:v>
      </x:c>
      <x:c r="C259" s="9" t="str">
        <x:v>AR-HU-A-B-TECH-1-B1-BRK-G0</x:v>
      </x:c>
      <x:c r="D259" s="9" t="str">
        <x:v>HU-A-B-TECH-1</x:v>
      </x:c>
      <x:c r="E259" s="9" t="str">
        <x:v>HU-A-B</x:v>
      </x:c>
      <x:c r="F259" s="9" t="str">
        <x:v>B1</x:v>
      </x:c>
      <x:c r="G259" s="9" t="str">
        <x:v>BRK</x:v>
      </x:c>
      <x:c r="H259" s="9" t="str">
        <x:v>OG01</x:v>
      </x:c>
      <x:c r="I259" s="17" t="str">
        <x:v>Serial and event identity</x:v>
      </x:c>
      <x:c r="J259" s="17" t="str">
        <x:v>record resolves to the issued serial, generation and physical start</x:v>
      </x:c>
      <x:c r="K259" s="17" t="str">
        <x:v>Observation court</x:v>
      </x:c>
      <x:c r="L259" s="9" t="n">
        <x:v>0</x:v>
      </x:c>
      <x:c r="M259" s="9" t="n">
        <x:v>0</x:v>
      </x:c>
      <x:c r="N259" s="9" t="str">
        <x:v>OPEN / UNACCEPTED</x:v>
      </x:c>
      <x:c r="O259" s="9" t="n">
        <x:f>COUNTIFS($A$7:$A$1734,A259)</x:f>
        <x:v>1</x:v>
      </x:c>
    </x:row>
    <x:row r="260">
      <x:c r="A260" s="9" t="str">
        <x:v>EV-AR-HU-A-B-TECH-1-B1-BRK-G0-OG02</x:v>
      </x:c>
      <x:c r="B260" s="9" t="str">
        <x:v>EV-AR-HU-A-B-TECH-1-B1-BRK-G0</x:v>
      </x:c>
      <x:c r="C260" s="9" t="str">
        <x:v>AR-HU-A-B-TECH-1-B1-BRK-G0</x:v>
      </x:c>
      <x:c r="D260" s="9" t="str">
        <x:v>HU-A-B-TECH-1</x:v>
      </x:c>
      <x:c r="E260" s="9" t="str">
        <x:v>HU-A-B</x:v>
      </x:c>
      <x:c r="F260" s="9" t="str">
        <x:v>B1</x:v>
      </x:c>
      <x:c r="G260" s="9" t="str">
        <x:v>BRK</x:v>
      </x:c>
      <x:c r="H260" s="9" t="str">
        <x:v>OG02</x:v>
      </x:c>
      <x:c r="I260" s="17" t="str">
        <x:v>Time ancestry</x:v>
      </x:c>
      <x:c r="J260" s="17" t="str">
        <x:v>primary, witness and public event clocks retain declared offsets and drift</x:v>
      </x:c>
      <x:c r="K260" s="17" t="str">
        <x:v>Time authority</x:v>
      </x:c>
      <x:c r="L260" s="9" t="n">
        <x:v>0</x:v>
      </x:c>
      <x:c r="M260" s="9" t="n">
        <x:v>0</x:v>
      </x:c>
      <x:c r="N260" s="9" t="str">
        <x:v>OPEN / UNACCEPTED</x:v>
      </x:c>
      <x:c r="O260" s="9" t="n">
        <x:f>COUNTIFS($A$7:$A$1734,A260)</x:f>
        <x:v>1</x:v>
      </x:c>
    </x:row>
    <x:row r="261">
      <x:c r="A261" s="9" t="str">
        <x:v>EV-AR-HU-A-B-TECH-1-B1-BRK-G0-OG03</x:v>
      </x:c>
      <x:c r="B261" s="9" t="str">
        <x:v>EV-AR-HU-A-B-TECH-1-B1-BRK-G0</x:v>
      </x:c>
      <x:c r="C261" s="9" t="str">
        <x:v>AR-HU-A-B-TECH-1-B1-BRK-G0</x:v>
      </x:c>
      <x:c r="D261" s="9" t="str">
        <x:v>HU-A-B-TECH-1</x:v>
      </x:c>
      <x:c r="E261" s="9" t="str">
        <x:v>HU-A-B</x:v>
      </x:c>
      <x:c r="F261" s="9" t="str">
        <x:v>B1</x:v>
      </x:c>
      <x:c r="G261" s="9" t="str">
        <x:v>BRK</x:v>
      </x:c>
      <x:c r="H261" s="9" t="str">
        <x:v>OG03</x:v>
      </x:c>
      <x:c r="I261" s="17" t="str">
        <x:v>Calibration ancestry</x:v>
      </x:c>
      <x:c r="J261" s="17" t="str">
        <x:v>all reference, range and uncertainty states cover the live interval</x:v>
      </x:c>
      <x:c r="K261" s="17" t="str">
        <x:v>Metrology courts</x:v>
      </x:c>
      <x:c r="L261" s="9" t="n">
        <x:v>0</x:v>
      </x:c>
      <x:c r="M261" s="9" t="n">
        <x:v>0</x:v>
      </x:c>
      <x:c r="N261" s="9" t="str">
        <x:v>OPEN / UNACCEPTED</x:v>
      </x:c>
      <x:c r="O261" s="9" t="n">
        <x:f>COUNTIFS($A$7:$A$1734,A261)</x:f>
        <x:v>1</x:v>
      </x:c>
    </x:row>
    <x:row r="262">
      <x:c r="A262" s="9" t="str">
        <x:v>EV-AR-HU-A-B-TECH-1-B1-BRK-G0-OG04</x:v>
      </x:c>
      <x:c r="B262" s="9" t="str">
        <x:v>EV-AR-HU-A-B-TECH-1-B1-BRK-G0</x:v>
      </x:c>
      <x:c r="C262" s="9" t="str">
        <x:v>AR-HU-A-B-TECH-1-B1-BRK-G0</x:v>
      </x:c>
      <x:c r="D262" s="9" t="str">
        <x:v>HU-A-B-TECH-1</x:v>
      </x:c>
      <x:c r="E262" s="9" t="str">
        <x:v>HU-A-B</x:v>
      </x:c>
      <x:c r="F262" s="9" t="str">
        <x:v>B1</x:v>
      </x:c>
      <x:c r="G262" s="9" t="str">
        <x:v>BRK</x:v>
      </x:c>
      <x:c r="H262" s="9" t="str">
        <x:v>OG04</x:v>
      </x:c>
      <x:c r="I262" s="17" t="str">
        <x:v>Raw completeness</x:v>
      </x:c>
      <x:c r="J262" s="17" t="str">
        <x:v>missingness is enumerated without imputation or outcome-conditioned deletion</x:v>
      </x:c>
      <x:c r="K262" s="17" t="str">
        <x:v>Observation court</x:v>
      </x:c>
      <x:c r="L262" s="9" t="n">
        <x:v>0</x:v>
      </x:c>
      <x:c r="M262" s="9" t="n">
        <x:v>0</x:v>
      </x:c>
      <x:c r="N262" s="9" t="str">
        <x:v>OPEN / UNACCEPTED</x:v>
      </x:c>
      <x:c r="O262" s="9" t="n">
        <x:f>COUNTIFS($A$7:$A$1734,A262)</x:f>
        <x:v>1</x:v>
      </x:c>
    </x:row>
    <x:row r="263">
      <x:c r="A263" s="9" t="str">
        <x:v>EV-AR-HU-A-B-TECH-1-B1-BRK-G0-OG05</x:v>
      </x:c>
      <x:c r="B263" s="9" t="str">
        <x:v>EV-AR-HU-A-B-TECH-1-B1-BRK-G0</x:v>
      </x:c>
      <x:c r="C263" s="9" t="str">
        <x:v>AR-HU-A-B-TECH-1-B1-BRK-G0</x:v>
      </x:c>
      <x:c r="D263" s="9" t="str">
        <x:v>HU-A-B-TECH-1</x:v>
      </x:c>
      <x:c r="E263" s="9" t="str">
        <x:v>HU-A-B</x:v>
      </x:c>
      <x:c r="F263" s="9" t="str">
        <x:v>B1</x:v>
      </x:c>
      <x:c r="G263" s="9" t="str">
        <x:v>BRK</x:v>
      </x:c>
      <x:c r="H263" s="9" t="str">
        <x:v>OG05</x:v>
      </x:c>
      <x:c r="I263" s="17" t="str">
        <x:v>Primary provenance</x:v>
      </x:c>
      <x:c r="J263" s="17" t="str">
        <x:v>primary originals, hashes, keys and access history reconcile</x:v>
      </x:c>
      <x:c r="K263" s="17" t="str">
        <x:v>Primary custody</x:v>
      </x:c>
      <x:c r="L263" s="9" t="n">
        <x:v>0</x:v>
      </x:c>
      <x:c r="M263" s="9" t="n">
        <x:v>0</x:v>
      </x:c>
      <x:c r="N263" s="9" t="str">
        <x:v>OPEN / UNACCEPTED</x:v>
      </x:c>
      <x:c r="O263" s="9" t="n">
        <x:f>COUNTIFS($A$7:$A$1734,A263)</x:f>
        <x:v>1</x:v>
      </x:c>
    </x:row>
    <x:row r="264">
      <x:c r="A264" s="9" t="str">
        <x:v>EV-AR-HU-A-B-TECH-1-B1-BRK-G0-OG06</x:v>
      </x:c>
      <x:c r="B264" s="9" t="str">
        <x:v>EV-AR-HU-A-B-TECH-1-B1-BRK-G0</x:v>
      </x:c>
      <x:c r="C264" s="9" t="str">
        <x:v>AR-HU-A-B-TECH-1-B1-BRK-G0</x:v>
      </x:c>
      <x:c r="D264" s="9" t="str">
        <x:v>HU-A-B-TECH-1</x:v>
      </x:c>
      <x:c r="E264" s="9" t="str">
        <x:v>HU-A-B</x:v>
      </x:c>
      <x:c r="F264" s="9" t="str">
        <x:v>B1</x:v>
      </x:c>
      <x:c r="G264" s="9" t="str">
        <x:v>BRK</x:v>
      </x:c>
      <x:c r="H264" s="9" t="str">
        <x:v>OG06</x:v>
      </x:c>
      <x:c r="I264" s="17" t="str">
        <x:v>Witness provenance</x:v>
      </x:c>
      <x:c r="J264" s="17" t="str">
        <x:v>unlike witness originals, hashes, keys and access history reconcile</x:v>
      </x:c>
      <x:c r="K264" s="17" t="str">
        <x:v>Witness custody</x:v>
      </x:c>
      <x:c r="L264" s="9" t="n">
        <x:v>0</x:v>
      </x:c>
      <x:c r="M264" s="9" t="n">
        <x:v>0</x:v>
      </x:c>
      <x:c r="N264" s="9" t="str">
        <x:v>OPEN / UNACCEPTED</x:v>
      </x:c>
      <x:c r="O264" s="9" t="n">
        <x:f>COUNTIFS($A$7:$A$1734,A264)</x:f>
        <x:v>1</x:v>
      </x:c>
    </x:row>
    <x:row r="265">
      <x:c r="A265" s="9" t="str">
        <x:v>EV-AR-HU-A-B-TECH-1-B1-BRK-G0-OG07</x:v>
      </x:c>
      <x:c r="B265" s="9" t="str">
        <x:v>EV-AR-HU-A-B-TECH-1-B1-BRK-G0</x:v>
      </x:c>
      <x:c r="C265" s="9" t="str">
        <x:v>AR-HU-A-B-TECH-1-B1-BRK-G0</x:v>
      </x:c>
      <x:c r="D265" s="9" t="str">
        <x:v>HU-A-B-TECH-1</x:v>
      </x:c>
      <x:c r="E265" s="9" t="str">
        <x:v>HU-A-B</x:v>
      </x:c>
      <x:c r="F265" s="9" t="str">
        <x:v>B1</x:v>
      </x:c>
      <x:c r="G265" s="9" t="str">
        <x:v>BRK</x:v>
      </x:c>
      <x:c r="H265" s="9" t="str">
        <x:v>OG07</x:v>
      </x:c>
      <x:c r="I265" s="17" t="str">
        <x:v>Receiver denominator</x:v>
      </x:c>
      <x:c r="J265" s="17" t="str">
        <x:v>population, quantity, duration and exclusions match the frozen receipt</x:v>
      </x:c>
      <x:c r="K265" s="17" t="str">
        <x:v>Receiver court</x:v>
      </x:c>
      <x:c r="L265" s="9" t="n">
        <x:v>0</x:v>
      </x:c>
      <x:c r="M265" s="9" t="n">
        <x:v>0</x:v>
      </x:c>
      <x:c r="N265" s="9" t="str">
        <x:v>OPEN / UNACCEPTED</x:v>
      </x:c>
      <x:c r="O265" s="9" t="n">
        <x:f>COUNTIFS($A$7:$A$1734,A265)</x:f>
        <x:v>1</x:v>
      </x:c>
    </x:row>
    <x:row r="266">
      <x:c r="A266" s="9" t="str">
        <x:v>EV-AR-HU-A-B-TECH-1-B1-BRK-G0-OG08</x:v>
      </x:c>
      <x:c r="B266" s="9" t="str">
        <x:v>EV-AR-HU-A-B-TECH-1-B1-BRK-G0</x:v>
      </x:c>
      <x:c r="C266" s="9" t="str">
        <x:v>AR-HU-A-B-TECH-1-B1-BRK-G0</x:v>
      </x:c>
      <x:c r="D266" s="9" t="str">
        <x:v>HU-A-B-TECH-1</x:v>
      </x:c>
      <x:c r="E266" s="9" t="str">
        <x:v>HU-A-B</x:v>
      </x:c>
      <x:c r="F266" s="9" t="str">
        <x:v>B1</x:v>
      </x:c>
      <x:c r="G266" s="9" t="str">
        <x:v>BRK</x:v>
      </x:c>
      <x:c r="H266" s="9" t="str">
        <x:v>OG08</x:v>
      </x:c>
      <x:c r="I266" s="17" t="str">
        <x:v>Environment and boundary</x:v>
      </x:c>
      <x:c r="J266" s="17" t="str">
        <x:v>registered weather, water, ground, inlet and outlet states are retained</x:v>
      </x:c>
      <x:c r="K266" s="17" t="str">
        <x:v>Boundary court</x:v>
      </x:c>
      <x:c r="L266" s="9" t="n">
        <x:v>0</x:v>
      </x:c>
      <x:c r="M266" s="9" t="n">
        <x:v>0</x:v>
      </x:c>
      <x:c r="N266" s="9" t="str">
        <x:v>OPEN / UNACCEPTED</x:v>
      </x:c>
      <x:c r="O266" s="9" t="n">
        <x:f>COUNTIFS($A$7:$A$1734,A266)</x:f>
        <x:v>1</x:v>
      </x:c>
    </x:row>
    <x:row r="267">
      <x:c r="A267" s="9" t="str">
        <x:v>EV-AR-HU-A-B-TECH-1-B1-BRK-G0-OG09</x:v>
      </x:c>
      <x:c r="B267" s="9" t="str">
        <x:v>EV-AR-HU-A-B-TECH-1-B1-BRK-G0</x:v>
      </x:c>
      <x:c r="C267" s="9" t="str">
        <x:v>AR-HU-A-B-TECH-1-B1-BRK-G0</x:v>
      </x:c>
      <x:c r="D267" s="9" t="str">
        <x:v>HU-A-B-TECH-1</x:v>
      </x:c>
      <x:c r="E267" s="9" t="str">
        <x:v>HU-A-B</x:v>
      </x:c>
      <x:c r="F267" s="9" t="str">
        <x:v>B1</x:v>
      </x:c>
      <x:c r="G267" s="9" t="str">
        <x:v>BRK</x:v>
      </x:c>
      <x:c r="H267" s="9" t="str">
        <x:v>OG09</x:v>
      </x:c>
      <x:c r="I267" s="17" t="str">
        <x:v>Intervention account</x:v>
      </x:c>
      <x:c r="J267" s="17" t="str">
        <x:v>all stop, rescue, operator and public-protection actions remain timestamped</x:v>
      </x:c>
      <x:c r="K267" s="17" t="str">
        <x:v>Safety record court</x:v>
      </x:c>
      <x:c r="L267" s="9" t="n">
        <x:v>0</x:v>
      </x:c>
      <x:c r="M267" s="9" t="n">
        <x:v>0</x:v>
      </x:c>
      <x:c r="N267" s="9" t="str">
        <x:v>OPEN / UNACCEPTED</x:v>
      </x:c>
      <x:c r="O267" s="9" t="n">
        <x:f>COUNTIFS($A$7:$A$1734,A267)</x:f>
        <x:v>1</x:v>
      </x:c>
    </x:row>
    <x:row r="268">
      <x:c r="A268" s="9" t="str">
        <x:v>EV-AR-HU-A-B-TECH-1-B1-BRK-G0-OG10</x:v>
      </x:c>
      <x:c r="B268" s="9" t="str">
        <x:v>EV-AR-HU-A-B-TECH-1-B1-BRK-G0</x:v>
      </x:c>
      <x:c r="C268" s="9" t="str">
        <x:v>AR-HU-A-B-TECH-1-B1-BRK-G0</x:v>
      </x:c>
      <x:c r="D268" s="9" t="str">
        <x:v>HU-A-B-TECH-1</x:v>
      </x:c>
      <x:c r="E268" s="9" t="str">
        <x:v>HU-A-B</x:v>
      </x:c>
      <x:c r="F268" s="9" t="str">
        <x:v>B1</x:v>
      </x:c>
      <x:c r="G268" s="9" t="str">
        <x:v>BRK</x:v>
      </x:c>
      <x:c r="H268" s="9" t="str">
        <x:v>OG10</x:v>
      </x:c>
      <x:c r="I268" s="17" t="str">
        <x:v>Uncertainty statement</x:v>
      </x:c>
      <x:c r="J268" s="17" t="str">
        <x:v>range, censoring, resolution and correlation are declared before judgment</x:v>
      </x:c>
      <x:c r="K268" s="17" t="str">
        <x:v>Uncertainty authority</x:v>
      </x:c>
      <x:c r="L268" s="9" t="n">
        <x:v>0</x:v>
      </x:c>
      <x:c r="M268" s="9" t="n">
        <x:v>0</x:v>
      </x:c>
      <x:c r="N268" s="9" t="str">
        <x:v>OPEN / UNACCEPTED</x:v>
      </x:c>
      <x:c r="O268" s="9" t="n">
        <x:f>COUNTIFS($A$7:$A$1734,A268)</x:f>
        <x:v>1</x:v>
      </x:c>
    </x:row>
    <x:row r="269">
      <x:c r="A269" s="9" t="str">
        <x:v>EV-AR-HU-A-B-TECH-1-B1-BRK-G0-OG11</x:v>
      </x:c>
      <x:c r="B269" s="9" t="str">
        <x:v>EV-AR-HU-A-B-TECH-1-B1-BRK-G0</x:v>
      </x:c>
      <x:c r="C269" s="9" t="str">
        <x:v>AR-HU-A-B-TECH-1-B1-BRK-G0</x:v>
      </x:c>
      <x:c r="D269" s="9" t="str">
        <x:v>HU-A-B-TECH-1</x:v>
      </x:c>
      <x:c r="E269" s="9" t="str">
        <x:v>HU-A-B</x:v>
      </x:c>
      <x:c r="F269" s="9" t="str">
        <x:v>B1</x:v>
      </x:c>
      <x:c r="G269" s="9" t="str">
        <x:v>BRK</x:v>
      </x:c>
      <x:c r="H269" s="9" t="str">
        <x:v>OG11</x:v>
      </x:c>
      <x:c r="I269" s="17" t="str">
        <x:v>Contradiction preservation</x:v>
      </x:c>
      <x:c r="J269" s="17" t="str">
        <x:v>primary-witness disagreement remains explicit and is never averaged away</x:v>
      </x:c>
      <x:c r="K269" s="17" t="str">
        <x:v>Dissent registrar</x:v>
      </x:c>
      <x:c r="L269" s="9" t="n">
        <x:v>0</x:v>
      </x:c>
      <x:c r="M269" s="9" t="n">
        <x:v>0</x:v>
      </x:c>
      <x:c r="N269" s="9" t="str">
        <x:v>OPEN / UNACCEPTED</x:v>
      </x:c>
      <x:c r="O269" s="9" t="n">
        <x:f>COUNTIFS($A$7:$A$1734,A269)</x:f>
        <x:v>1</x:v>
      </x:c>
    </x:row>
    <x:row r="270">
      <x:c r="A270" s="9" t="str">
        <x:v>EV-AR-HU-A-B-TECH-1-B1-BRK-G0-OG12</x:v>
      </x:c>
      <x:c r="B270" s="9" t="str">
        <x:v>EV-AR-HU-A-B-TECH-1-B1-BRK-G0</x:v>
      </x:c>
      <x:c r="C270" s="9" t="str">
        <x:v>AR-HU-A-B-TECH-1-B1-BRK-G0</x:v>
      </x:c>
      <x:c r="D270" s="9" t="str">
        <x:v>HU-A-B-TECH-1</x:v>
      </x:c>
      <x:c r="E270" s="9" t="str">
        <x:v>HU-A-B</x:v>
      </x:c>
      <x:c r="F270" s="9" t="str">
        <x:v>B1</x:v>
      </x:c>
      <x:c r="G270" s="9" t="str">
        <x:v>BRK</x:v>
      </x:c>
      <x:c r="H270" s="9" t="str">
        <x:v>OG12</x:v>
      </x:c>
      <x:c r="I270" s="17" t="str">
        <x:v>Independent replay</x:v>
      </x:c>
      <x:c r="J270" s="17" t="str">
        <x:v>a separated reader reconstructs the registered observables from sealed originals</x:v>
      </x:c>
      <x:c r="K270" s="17" t="str">
        <x:v>Replay court</x:v>
      </x:c>
      <x:c r="L270" s="9" t="n">
        <x:v>0</x:v>
      </x:c>
      <x:c r="M270" s="9" t="n">
        <x:v>0</x:v>
      </x:c>
      <x:c r="N270" s="9" t="str">
        <x:v>OPEN / UNACCEPTED</x:v>
      </x:c>
      <x:c r="O270" s="9" t="n">
        <x:f>COUNTIFS($A$7:$A$1734,A270)</x:f>
        <x:v>1</x:v>
      </x:c>
    </x:row>
    <x:row r="271">
      <x:c r="A271" s="9" t="str">
        <x:v>EV-AR-LF-B-A-TECH-2-B1-BRK-G0-OG01</x:v>
      </x:c>
      <x:c r="B271" s="9" t="str">
        <x:v>EV-AR-LF-B-A-TECH-2-B1-BRK-G0</x:v>
      </x:c>
      <x:c r="C271" s="9" t="str">
        <x:v>AR-LF-B-A-TECH-2-B1-BRK-G0</x:v>
      </x:c>
      <x:c r="D271" s="9" t="str">
        <x:v>LF-B-A-TECH-2</x:v>
      </x:c>
      <x:c r="E271" s="9" t="str">
        <x:v>LF-B-A</x:v>
      </x:c>
      <x:c r="F271" s="9" t="str">
        <x:v>B1</x:v>
      </x:c>
      <x:c r="G271" s="9" t="str">
        <x:v>BRK</x:v>
      </x:c>
      <x:c r="H271" s="9" t="str">
        <x:v>OG01</x:v>
      </x:c>
      <x:c r="I271" s="17" t="str">
        <x:v>Serial and event identity</x:v>
      </x:c>
      <x:c r="J271" s="17" t="str">
        <x:v>record resolves to the issued serial, generation and physical start</x:v>
      </x:c>
      <x:c r="K271" s="17" t="str">
        <x:v>Observation court</x:v>
      </x:c>
      <x:c r="L271" s="9" t="n">
        <x:v>0</x:v>
      </x:c>
      <x:c r="M271" s="9" t="n">
        <x:v>0</x:v>
      </x:c>
      <x:c r="N271" s="9" t="str">
        <x:v>OPEN / UNACCEPTED</x:v>
      </x:c>
      <x:c r="O271" s="9" t="n">
        <x:f>COUNTIFS($A$7:$A$1734,A271)</x:f>
        <x:v>1</x:v>
      </x:c>
    </x:row>
    <x:row r="272">
      <x:c r="A272" s="9" t="str">
        <x:v>EV-AR-LF-B-A-TECH-2-B1-BRK-G0-OG02</x:v>
      </x:c>
      <x:c r="B272" s="9" t="str">
        <x:v>EV-AR-LF-B-A-TECH-2-B1-BRK-G0</x:v>
      </x:c>
      <x:c r="C272" s="9" t="str">
        <x:v>AR-LF-B-A-TECH-2-B1-BRK-G0</x:v>
      </x:c>
      <x:c r="D272" s="9" t="str">
        <x:v>LF-B-A-TECH-2</x:v>
      </x:c>
      <x:c r="E272" s="9" t="str">
        <x:v>LF-B-A</x:v>
      </x:c>
      <x:c r="F272" s="9" t="str">
        <x:v>B1</x:v>
      </x:c>
      <x:c r="G272" s="9" t="str">
        <x:v>BRK</x:v>
      </x:c>
      <x:c r="H272" s="9" t="str">
        <x:v>OG02</x:v>
      </x:c>
      <x:c r="I272" s="17" t="str">
        <x:v>Time ancestry</x:v>
      </x:c>
      <x:c r="J272" s="17" t="str">
        <x:v>primary, witness and public event clocks retain declared offsets and drift</x:v>
      </x:c>
      <x:c r="K272" s="17" t="str">
        <x:v>Time authority</x:v>
      </x:c>
      <x:c r="L272" s="9" t="n">
        <x:v>0</x:v>
      </x:c>
      <x:c r="M272" s="9" t="n">
        <x:v>0</x:v>
      </x:c>
      <x:c r="N272" s="9" t="str">
        <x:v>OPEN / UNACCEPTED</x:v>
      </x:c>
      <x:c r="O272" s="9" t="n">
        <x:f>COUNTIFS($A$7:$A$1734,A272)</x:f>
        <x:v>1</x:v>
      </x:c>
    </x:row>
    <x:row r="273">
      <x:c r="A273" s="9" t="str">
        <x:v>EV-AR-LF-B-A-TECH-2-B1-BRK-G0-OG03</x:v>
      </x:c>
      <x:c r="B273" s="9" t="str">
        <x:v>EV-AR-LF-B-A-TECH-2-B1-BRK-G0</x:v>
      </x:c>
      <x:c r="C273" s="9" t="str">
        <x:v>AR-LF-B-A-TECH-2-B1-BRK-G0</x:v>
      </x:c>
      <x:c r="D273" s="9" t="str">
        <x:v>LF-B-A-TECH-2</x:v>
      </x:c>
      <x:c r="E273" s="9" t="str">
        <x:v>LF-B-A</x:v>
      </x:c>
      <x:c r="F273" s="9" t="str">
        <x:v>B1</x:v>
      </x:c>
      <x:c r="G273" s="9" t="str">
        <x:v>BRK</x:v>
      </x:c>
      <x:c r="H273" s="9" t="str">
        <x:v>OG03</x:v>
      </x:c>
      <x:c r="I273" s="17" t="str">
        <x:v>Calibration ancestry</x:v>
      </x:c>
      <x:c r="J273" s="17" t="str">
        <x:v>all reference, range and uncertainty states cover the live interval</x:v>
      </x:c>
      <x:c r="K273" s="17" t="str">
        <x:v>Metrology courts</x:v>
      </x:c>
      <x:c r="L273" s="9" t="n">
        <x:v>0</x:v>
      </x:c>
      <x:c r="M273" s="9" t="n">
        <x:v>0</x:v>
      </x:c>
      <x:c r="N273" s="9" t="str">
        <x:v>OPEN / UNACCEPTED</x:v>
      </x:c>
      <x:c r="O273" s="9" t="n">
        <x:f>COUNTIFS($A$7:$A$1734,A273)</x:f>
        <x:v>1</x:v>
      </x:c>
    </x:row>
    <x:row r="274">
      <x:c r="A274" s="9" t="str">
        <x:v>EV-AR-LF-B-A-TECH-2-B1-BRK-G0-OG04</x:v>
      </x:c>
      <x:c r="B274" s="9" t="str">
        <x:v>EV-AR-LF-B-A-TECH-2-B1-BRK-G0</x:v>
      </x:c>
      <x:c r="C274" s="9" t="str">
        <x:v>AR-LF-B-A-TECH-2-B1-BRK-G0</x:v>
      </x:c>
      <x:c r="D274" s="9" t="str">
        <x:v>LF-B-A-TECH-2</x:v>
      </x:c>
      <x:c r="E274" s="9" t="str">
        <x:v>LF-B-A</x:v>
      </x:c>
      <x:c r="F274" s="9" t="str">
        <x:v>B1</x:v>
      </x:c>
      <x:c r="G274" s="9" t="str">
        <x:v>BRK</x:v>
      </x:c>
      <x:c r="H274" s="9" t="str">
        <x:v>OG04</x:v>
      </x:c>
      <x:c r="I274" s="17" t="str">
        <x:v>Raw completeness</x:v>
      </x:c>
      <x:c r="J274" s="17" t="str">
        <x:v>missingness is enumerated without imputation or outcome-conditioned deletion</x:v>
      </x:c>
      <x:c r="K274" s="17" t="str">
        <x:v>Observation court</x:v>
      </x:c>
      <x:c r="L274" s="9" t="n">
        <x:v>0</x:v>
      </x:c>
      <x:c r="M274" s="9" t="n">
        <x:v>0</x:v>
      </x:c>
      <x:c r="N274" s="9" t="str">
        <x:v>OPEN / UNACCEPTED</x:v>
      </x:c>
      <x:c r="O274" s="9" t="n">
        <x:f>COUNTIFS($A$7:$A$1734,A274)</x:f>
        <x:v>1</x:v>
      </x:c>
    </x:row>
    <x:row r="275">
      <x:c r="A275" s="9" t="str">
        <x:v>EV-AR-LF-B-A-TECH-2-B1-BRK-G0-OG05</x:v>
      </x:c>
      <x:c r="B275" s="9" t="str">
        <x:v>EV-AR-LF-B-A-TECH-2-B1-BRK-G0</x:v>
      </x:c>
      <x:c r="C275" s="9" t="str">
        <x:v>AR-LF-B-A-TECH-2-B1-BRK-G0</x:v>
      </x:c>
      <x:c r="D275" s="9" t="str">
        <x:v>LF-B-A-TECH-2</x:v>
      </x:c>
      <x:c r="E275" s="9" t="str">
        <x:v>LF-B-A</x:v>
      </x:c>
      <x:c r="F275" s="9" t="str">
        <x:v>B1</x:v>
      </x:c>
      <x:c r="G275" s="9" t="str">
        <x:v>BRK</x:v>
      </x:c>
      <x:c r="H275" s="9" t="str">
        <x:v>OG05</x:v>
      </x:c>
      <x:c r="I275" s="17" t="str">
        <x:v>Primary provenance</x:v>
      </x:c>
      <x:c r="J275" s="17" t="str">
        <x:v>primary originals, hashes, keys and access history reconcile</x:v>
      </x:c>
      <x:c r="K275" s="17" t="str">
        <x:v>Primary custody</x:v>
      </x:c>
      <x:c r="L275" s="9" t="n">
        <x:v>0</x:v>
      </x:c>
      <x:c r="M275" s="9" t="n">
        <x:v>0</x:v>
      </x:c>
      <x:c r="N275" s="9" t="str">
        <x:v>OPEN / UNACCEPTED</x:v>
      </x:c>
      <x:c r="O275" s="9" t="n">
        <x:f>COUNTIFS($A$7:$A$1734,A275)</x:f>
        <x:v>1</x:v>
      </x:c>
    </x:row>
    <x:row r="276">
      <x:c r="A276" s="9" t="str">
        <x:v>EV-AR-LF-B-A-TECH-2-B1-BRK-G0-OG06</x:v>
      </x:c>
      <x:c r="B276" s="9" t="str">
        <x:v>EV-AR-LF-B-A-TECH-2-B1-BRK-G0</x:v>
      </x:c>
      <x:c r="C276" s="9" t="str">
        <x:v>AR-LF-B-A-TECH-2-B1-BRK-G0</x:v>
      </x:c>
      <x:c r="D276" s="9" t="str">
        <x:v>LF-B-A-TECH-2</x:v>
      </x:c>
      <x:c r="E276" s="9" t="str">
        <x:v>LF-B-A</x:v>
      </x:c>
      <x:c r="F276" s="9" t="str">
        <x:v>B1</x:v>
      </x:c>
      <x:c r="G276" s="9" t="str">
        <x:v>BRK</x:v>
      </x:c>
      <x:c r="H276" s="9" t="str">
        <x:v>OG06</x:v>
      </x:c>
      <x:c r="I276" s="17" t="str">
        <x:v>Witness provenance</x:v>
      </x:c>
      <x:c r="J276" s="17" t="str">
        <x:v>unlike witness originals, hashes, keys and access history reconcile</x:v>
      </x:c>
      <x:c r="K276" s="17" t="str">
        <x:v>Witness custody</x:v>
      </x:c>
      <x:c r="L276" s="9" t="n">
        <x:v>0</x:v>
      </x:c>
      <x:c r="M276" s="9" t="n">
        <x:v>0</x:v>
      </x:c>
      <x:c r="N276" s="9" t="str">
        <x:v>OPEN / UNACCEPTED</x:v>
      </x:c>
      <x:c r="O276" s="9" t="n">
        <x:f>COUNTIFS($A$7:$A$1734,A276)</x:f>
        <x:v>1</x:v>
      </x:c>
    </x:row>
    <x:row r="277">
      <x:c r="A277" s="9" t="str">
        <x:v>EV-AR-LF-B-A-TECH-2-B1-BRK-G0-OG07</x:v>
      </x:c>
      <x:c r="B277" s="9" t="str">
        <x:v>EV-AR-LF-B-A-TECH-2-B1-BRK-G0</x:v>
      </x:c>
      <x:c r="C277" s="9" t="str">
        <x:v>AR-LF-B-A-TECH-2-B1-BRK-G0</x:v>
      </x:c>
      <x:c r="D277" s="9" t="str">
        <x:v>LF-B-A-TECH-2</x:v>
      </x:c>
      <x:c r="E277" s="9" t="str">
        <x:v>LF-B-A</x:v>
      </x:c>
      <x:c r="F277" s="9" t="str">
        <x:v>B1</x:v>
      </x:c>
      <x:c r="G277" s="9" t="str">
        <x:v>BRK</x:v>
      </x:c>
      <x:c r="H277" s="9" t="str">
        <x:v>OG07</x:v>
      </x:c>
      <x:c r="I277" s="17" t="str">
        <x:v>Receiver denominator</x:v>
      </x:c>
      <x:c r="J277" s="17" t="str">
        <x:v>population, quantity, duration and exclusions match the frozen receipt</x:v>
      </x:c>
      <x:c r="K277" s="17" t="str">
        <x:v>Receiver court</x:v>
      </x:c>
      <x:c r="L277" s="9" t="n">
        <x:v>0</x:v>
      </x:c>
      <x:c r="M277" s="9" t="n">
        <x:v>0</x:v>
      </x:c>
      <x:c r="N277" s="9" t="str">
        <x:v>OPEN / UNACCEPTED</x:v>
      </x:c>
      <x:c r="O277" s="9" t="n">
        <x:f>COUNTIFS($A$7:$A$1734,A277)</x:f>
        <x:v>1</x:v>
      </x:c>
    </x:row>
    <x:row r="278">
      <x:c r="A278" s="9" t="str">
        <x:v>EV-AR-LF-B-A-TECH-2-B1-BRK-G0-OG08</x:v>
      </x:c>
      <x:c r="B278" s="9" t="str">
        <x:v>EV-AR-LF-B-A-TECH-2-B1-BRK-G0</x:v>
      </x:c>
      <x:c r="C278" s="9" t="str">
        <x:v>AR-LF-B-A-TECH-2-B1-BRK-G0</x:v>
      </x:c>
      <x:c r="D278" s="9" t="str">
        <x:v>LF-B-A-TECH-2</x:v>
      </x:c>
      <x:c r="E278" s="9" t="str">
        <x:v>LF-B-A</x:v>
      </x:c>
      <x:c r="F278" s="9" t="str">
        <x:v>B1</x:v>
      </x:c>
      <x:c r="G278" s="9" t="str">
        <x:v>BRK</x:v>
      </x:c>
      <x:c r="H278" s="9" t="str">
        <x:v>OG08</x:v>
      </x:c>
      <x:c r="I278" s="17" t="str">
        <x:v>Environment and boundary</x:v>
      </x:c>
      <x:c r="J278" s="17" t="str">
        <x:v>registered weather, water, ground, inlet and outlet states are retained</x:v>
      </x:c>
      <x:c r="K278" s="17" t="str">
        <x:v>Boundary court</x:v>
      </x:c>
      <x:c r="L278" s="9" t="n">
        <x:v>0</x:v>
      </x:c>
      <x:c r="M278" s="9" t="n">
        <x:v>0</x:v>
      </x:c>
      <x:c r="N278" s="9" t="str">
        <x:v>OPEN / UNACCEPTED</x:v>
      </x:c>
      <x:c r="O278" s="9" t="n">
        <x:f>COUNTIFS($A$7:$A$1734,A278)</x:f>
        <x:v>1</x:v>
      </x:c>
    </x:row>
    <x:row r="279">
      <x:c r="A279" s="9" t="str">
        <x:v>EV-AR-LF-B-A-TECH-2-B1-BRK-G0-OG09</x:v>
      </x:c>
      <x:c r="B279" s="9" t="str">
        <x:v>EV-AR-LF-B-A-TECH-2-B1-BRK-G0</x:v>
      </x:c>
      <x:c r="C279" s="9" t="str">
        <x:v>AR-LF-B-A-TECH-2-B1-BRK-G0</x:v>
      </x:c>
      <x:c r="D279" s="9" t="str">
        <x:v>LF-B-A-TECH-2</x:v>
      </x:c>
      <x:c r="E279" s="9" t="str">
        <x:v>LF-B-A</x:v>
      </x:c>
      <x:c r="F279" s="9" t="str">
        <x:v>B1</x:v>
      </x:c>
      <x:c r="G279" s="9" t="str">
        <x:v>BRK</x:v>
      </x:c>
      <x:c r="H279" s="9" t="str">
        <x:v>OG09</x:v>
      </x:c>
      <x:c r="I279" s="17" t="str">
        <x:v>Intervention account</x:v>
      </x:c>
      <x:c r="J279" s="17" t="str">
        <x:v>all stop, rescue, operator and public-protection actions remain timestamped</x:v>
      </x:c>
      <x:c r="K279" s="17" t="str">
        <x:v>Safety record court</x:v>
      </x:c>
      <x:c r="L279" s="9" t="n">
        <x:v>0</x:v>
      </x:c>
      <x:c r="M279" s="9" t="n">
        <x:v>0</x:v>
      </x:c>
      <x:c r="N279" s="9" t="str">
        <x:v>OPEN / UNACCEPTED</x:v>
      </x:c>
      <x:c r="O279" s="9" t="n">
        <x:f>COUNTIFS($A$7:$A$1734,A279)</x:f>
        <x:v>1</x:v>
      </x:c>
    </x:row>
    <x:row r="280">
      <x:c r="A280" s="9" t="str">
        <x:v>EV-AR-LF-B-A-TECH-2-B1-BRK-G0-OG10</x:v>
      </x:c>
      <x:c r="B280" s="9" t="str">
        <x:v>EV-AR-LF-B-A-TECH-2-B1-BRK-G0</x:v>
      </x:c>
      <x:c r="C280" s="9" t="str">
        <x:v>AR-LF-B-A-TECH-2-B1-BRK-G0</x:v>
      </x:c>
      <x:c r="D280" s="9" t="str">
        <x:v>LF-B-A-TECH-2</x:v>
      </x:c>
      <x:c r="E280" s="9" t="str">
        <x:v>LF-B-A</x:v>
      </x:c>
      <x:c r="F280" s="9" t="str">
        <x:v>B1</x:v>
      </x:c>
      <x:c r="G280" s="9" t="str">
        <x:v>BRK</x:v>
      </x:c>
      <x:c r="H280" s="9" t="str">
        <x:v>OG10</x:v>
      </x:c>
      <x:c r="I280" s="17" t="str">
        <x:v>Uncertainty statement</x:v>
      </x:c>
      <x:c r="J280" s="17" t="str">
        <x:v>range, censoring, resolution and correlation are declared before judgment</x:v>
      </x:c>
      <x:c r="K280" s="17" t="str">
        <x:v>Uncertainty authority</x:v>
      </x:c>
      <x:c r="L280" s="9" t="n">
        <x:v>0</x:v>
      </x:c>
      <x:c r="M280" s="9" t="n">
        <x:v>0</x:v>
      </x:c>
      <x:c r="N280" s="9" t="str">
        <x:v>OPEN / UNACCEPTED</x:v>
      </x:c>
      <x:c r="O280" s="9" t="n">
        <x:f>COUNTIFS($A$7:$A$1734,A280)</x:f>
        <x:v>1</x:v>
      </x:c>
    </x:row>
    <x:row r="281">
      <x:c r="A281" s="9" t="str">
        <x:v>EV-AR-LF-B-A-TECH-2-B1-BRK-G0-OG11</x:v>
      </x:c>
      <x:c r="B281" s="9" t="str">
        <x:v>EV-AR-LF-B-A-TECH-2-B1-BRK-G0</x:v>
      </x:c>
      <x:c r="C281" s="9" t="str">
        <x:v>AR-LF-B-A-TECH-2-B1-BRK-G0</x:v>
      </x:c>
      <x:c r="D281" s="9" t="str">
        <x:v>LF-B-A-TECH-2</x:v>
      </x:c>
      <x:c r="E281" s="9" t="str">
        <x:v>LF-B-A</x:v>
      </x:c>
      <x:c r="F281" s="9" t="str">
        <x:v>B1</x:v>
      </x:c>
      <x:c r="G281" s="9" t="str">
        <x:v>BRK</x:v>
      </x:c>
      <x:c r="H281" s="9" t="str">
        <x:v>OG11</x:v>
      </x:c>
      <x:c r="I281" s="17" t="str">
        <x:v>Contradiction preservation</x:v>
      </x:c>
      <x:c r="J281" s="17" t="str">
        <x:v>primary-witness disagreement remains explicit and is never averaged away</x:v>
      </x:c>
      <x:c r="K281" s="17" t="str">
        <x:v>Dissent registrar</x:v>
      </x:c>
      <x:c r="L281" s="9" t="n">
        <x:v>0</x:v>
      </x:c>
      <x:c r="M281" s="9" t="n">
        <x:v>0</x:v>
      </x:c>
      <x:c r="N281" s="9" t="str">
        <x:v>OPEN / UNACCEPTED</x:v>
      </x:c>
      <x:c r="O281" s="9" t="n">
        <x:f>COUNTIFS($A$7:$A$1734,A281)</x:f>
        <x:v>1</x:v>
      </x:c>
    </x:row>
    <x:row r="282">
      <x:c r="A282" s="9" t="str">
        <x:v>EV-AR-LF-B-A-TECH-2-B1-BRK-G0-OG12</x:v>
      </x:c>
      <x:c r="B282" s="9" t="str">
        <x:v>EV-AR-LF-B-A-TECH-2-B1-BRK-G0</x:v>
      </x:c>
      <x:c r="C282" s="9" t="str">
        <x:v>AR-LF-B-A-TECH-2-B1-BRK-G0</x:v>
      </x:c>
      <x:c r="D282" s="9" t="str">
        <x:v>LF-B-A-TECH-2</x:v>
      </x:c>
      <x:c r="E282" s="9" t="str">
        <x:v>LF-B-A</x:v>
      </x:c>
      <x:c r="F282" s="9" t="str">
        <x:v>B1</x:v>
      </x:c>
      <x:c r="G282" s="9" t="str">
        <x:v>BRK</x:v>
      </x:c>
      <x:c r="H282" s="9" t="str">
        <x:v>OG12</x:v>
      </x:c>
      <x:c r="I282" s="17" t="str">
        <x:v>Independent replay</x:v>
      </x:c>
      <x:c r="J282" s="17" t="str">
        <x:v>a separated reader reconstructs the registered observables from sealed originals</x:v>
      </x:c>
      <x:c r="K282" s="17" t="str">
        <x:v>Replay court</x:v>
      </x:c>
      <x:c r="L282" s="9" t="n">
        <x:v>0</x:v>
      </x:c>
      <x:c r="M282" s="9" t="n">
        <x:v>0</x:v>
      </x:c>
      <x:c r="N282" s="9" t="str">
        <x:v>OPEN / UNACCEPTED</x:v>
      </x:c>
      <x:c r="O282" s="9" t="n">
        <x:f>COUNTIFS($A$7:$A$1734,A282)</x:f>
        <x:v>1</x:v>
      </x:c>
    </x:row>
    <x:row r="283">
      <x:c r="A283" s="9" t="str">
        <x:v>EV-AR-RT-B-C-TECH-2-B1-INT-G0-OG01</x:v>
      </x:c>
      <x:c r="B283" s="9" t="str">
        <x:v>EV-AR-RT-B-C-TECH-2-B1-INT-G0</x:v>
      </x:c>
      <x:c r="C283" s="9" t="str">
        <x:v>AR-RT-B-C-TECH-2-B1-INT-G0</x:v>
      </x:c>
      <x:c r="D283" s="9" t="str">
        <x:v>RT-B-C-TECH-2</x:v>
      </x:c>
      <x:c r="E283" s="9" t="str">
        <x:v>RT-B-C</x:v>
      </x:c>
      <x:c r="F283" s="9" t="str">
        <x:v>B1</x:v>
      </x:c>
      <x:c r="G283" s="9" t="str">
        <x:v>INT</x:v>
      </x:c>
      <x:c r="H283" s="9" t="str">
        <x:v>OG01</x:v>
      </x:c>
      <x:c r="I283" s="17" t="str">
        <x:v>Serial and event identity</x:v>
      </x:c>
      <x:c r="J283" s="17" t="str">
        <x:v>record resolves to the issued serial, generation and physical start</x:v>
      </x:c>
      <x:c r="K283" s="17" t="str">
        <x:v>Observation court</x:v>
      </x:c>
      <x:c r="L283" s="9" t="n">
        <x:v>0</x:v>
      </x:c>
      <x:c r="M283" s="9" t="n">
        <x:v>0</x:v>
      </x:c>
      <x:c r="N283" s="9" t="str">
        <x:v>OPEN / UNACCEPTED</x:v>
      </x:c>
      <x:c r="O283" s="9" t="n">
        <x:f>COUNTIFS($A$7:$A$1734,A283)</x:f>
        <x:v>1</x:v>
      </x:c>
    </x:row>
    <x:row r="284">
      <x:c r="A284" s="9" t="str">
        <x:v>EV-AR-RT-B-C-TECH-2-B1-INT-G0-OG02</x:v>
      </x:c>
      <x:c r="B284" s="9" t="str">
        <x:v>EV-AR-RT-B-C-TECH-2-B1-INT-G0</x:v>
      </x:c>
      <x:c r="C284" s="9" t="str">
        <x:v>AR-RT-B-C-TECH-2-B1-INT-G0</x:v>
      </x:c>
      <x:c r="D284" s="9" t="str">
        <x:v>RT-B-C-TECH-2</x:v>
      </x:c>
      <x:c r="E284" s="9" t="str">
        <x:v>RT-B-C</x:v>
      </x:c>
      <x:c r="F284" s="9" t="str">
        <x:v>B1</x:v>
      </x:c>
      <x:c r="G284" s="9" t="str">
        <x:v>INT</x:v>
      </x:c>
      <x:c r="H284" s="9" t="str">
        <x:v>OG02</x:v>
      </x:c>
      <x:c r="I284" s="17" t="str">
        <x:v>Time ancestry</x:v>
      </x:c>
      <x:c r="J284" s="17" t="str">
        <x:v>primary, witness and public event clocks retain declared offsets and drift</x:v>
      </x:c>
      <x:c r="K284" s="17" t="str">
        <x:v>Time authority</x:v>
      </x:c>
      <x:c r="L284" s="9" t="n">
        <x:v>0</x:v>
      </x:c>
      <x:c r="M284" s="9" t="n">
        <x:v>0</x:v>
      </x:c>
      <x:c r="N284" s="9" t="str">
        <x:v>OPEN / UNACCEPTED</x:v>
      </x:c>
      <x:c r="O284" s="9" t="n">
        <x:f>COUNTIFS($A$7:$A$1734,A284)</x:f>
        <x:v>1</x:v>
      </x:c>
    </x:row>
    <x:row r="285">
      <x:c r="A285" s="9" t="str">
        <x:v>EV-AR-RT-B-C-TECH-2-B1-INT-G0-OG03</x:v>
      </x:c>
      <x:c r="B285" s="9" t="str">
        <x:v>EV-AR-RT-B-C-TECH-2-B1-INT-G0</x:v>
      </x:c>
      <x:c r="C285" s="9" t="str">
        <x:v>AR-RT-B-C-TECH-2-B1-INT-G0</x:v>
      </x:c>
      <x:c r="D285" s="9" t="str">
        <x:v>RT-B-C-TECH-2</x:v>
      </x:c>
      <x:c r="E285" s="9" t="str">
        <x:v>RT-B-C</x:v>
      </x:c>
      <x:c r="F285" s="9" t="str">
        <x:v>B1</x:v>
      </x:c>
      <x:c r="G285" s="9" t="str">
        <x:v>INT</x:v>
      </x:c>
      <x:c r="H285" s="9" t="str">
        <x:v>OG03</x:v>
      </x:c>
      <x:c r="I285" s="17" t="str">
        <x:v>Calibration ancestry</x:v>
      </x:c>
      <x:c r="J285" s="17" t="str">
        <x:v>all reference, range and uncertainty states cover the live interval</x:v>
      </x:c>
      <x:c r="K285" s="17" t="str">
        <x:v>Metrology courts</x:v>
      </x:c>
      <x:c r="L285" s="9" t="n">
        <x:v>0</x:v>
      </x:c>
      <x:c r="M285" s="9" t="n">
        <x:v>0</x:v>
      </x:c>
      <x:c r="N285" s="9" t="str">
        <x:v>OPEN / UNACCEPTED</x:v>
      </x:c>
      <x:c r="O285" s="9" t="n">
        <x:f>COUNTIFS($A$7:$A$1734,A285)</x:f>
        <x:v>1</x:v>
      </x:c>
    </x:row>
    <x:row r="286">
      <x:c r="A286" s="9" t="str">
        <x:v>EV-AR-RT-B-C-TECH-2-B1-INT-G0-OG04</x:v>
      </x:c>
      <x:c r="B286" s="9" t="str">
        <x:v>EV-AR-RT-B-C-TECH-2-B1-INT-G0</x:v>
      </x:c>
      <x:c r="C286" s="9" t="str">
        <x:v>AR-RT-B-C-TECH-2-B1-INT-G0</x:v>
      </x:c>
      <x:c r="D286" s="9" t="str">
        <x:v>RT-B-C-TECH-2</x:v>
      </x:c>
      <x:c r="E286" s="9" t="str">
        <x:v>RT-B-C</x:v>
      </x:c>
      <x:c r="F286" s="9" t="str">
        <x:v>B1</x:v>
      </x:c>
      <x:c r="G286" s="9" t="str">
        <x:v>INT</x:v>
      </x:c>
      <x:c r="H286" s="9" t="str">
        <x:v>OG04</x:v>
      </x:c>
      <x:c r="I286" s="17" t="str">
        <x:v>Raw completeness</x:v>
      </x:c>
      <x:c r="J286" s="17" t="str">
        <x:v>missingness is enumerated without imputation or outcome-conditioned deletion</x:v>
      </x:c>
      <x:c r="K286" s="17" t="str">
        <x:v>Observation court</x:v>
      </x:c>
      <x:c r="L286" s="9" t="n">
        <x:v>0</x:v>
      </x:c>
      <x:c r="M286" s="9" t="n">
        <x:v>0</x:v>
      </x:c>
      <x:c r="N286" s="9" t="str">
        <x:v>OPEN / UNACCEPTED</x:v>
      </x:c>
      <x:c r="O286" s="9" t="n">
        <x:f>COUNTIFS($A$7:$A$1734,A286)</x:f>
        <x:v>1</x:v>
      </x:c>
    </x:row>
    <x:row r="287">
      <x:c r="A287" s="9" t="str">
        <x:v>EV-AR-RT-B-C-TECH-2-B1-INT-G0-OG05</x:v>
      </x:c>
      <x:c r="B287" s="9" t="str">
        <x:v>EV-AR-RT-B-C-TECH-2-B1-INT-G0</x:v>
      </x:c>
      <x:c r="C287" s="9" t="str">
        <x:v>AR-RT-B-C-TECH-2-B1-INT-G0</x:v>
      </x:c>
      <x:c r="D287" s="9" t="str">
        <x:v>RT-B-C-TECH-2</x:v>
      </x:c>
      <x:c r="E287" s="9" t="str">
        <x:v>RT-B-C</x:v>
      </x:c>
      <x:c r="F287" s="9" t="str">
        <x:v>B1</x:v>
      </x:c>
      <x:c r="G287" s="9" t="str">
        <x:v>INT</x:v>
      </x:c>
      <x:c r="H287" s="9" t="str">
        <x:v>OG05</x:v>
      </x:c>
      <x:c r="I287" s="17" t="str">
        <x:v>Primary provenance</x:v>
      </x:c>
      <x:c r="J287" s="17" t="str">
        <x:v>primary originals, hashes, keys and access history reconcile</x:v>
      </x:c>
      <x:c r="K287" s="17" t="str">
        <x:v>Primary custody</x:v>
      </x:c>
      <x:c r="L287" s="9" t="n">
        <x:v>0</x:v>
      </x:c>
      <x:c r="M287" s="9" t="n">
        <x:v>0</x:v>
      </x:c>
      <x:c r="N287" s="9" t="str">
        <x:v>OPEN / UNACCEPTED</x:v>
      </x:c>
      <x:c r="O287" s="9" t="n">
        <x:f>COUNTIFS($A$7:$A$1734,A287)</x:f>
        <x:v>1</x:v>
      </x:c>
    </x:row>
    <x:row r="288">
      <x:c r="A288" s="9" t="str">
        <x:v>EV-AR-RT-B-C-TECH-2-B1-INT-G0-OG06</x:v>
      </x:c>
      <x:c r="B288" s="9" t="str">
        <x:v>EV-AR-RT-B-C-TECH-2-B1-INT-G0</x:v>
      </x:c>
      <x:c r="C288" s="9" t="str">
        <x:v>AR-RT-B-C-TECH-2-B1-INT-G0</x:v>
      </x:c>
      <x:c r="D288" s="9" t="str">
        <x:v>RT-B-C-TECH-2</x:v>
      </x:c>
      <x:c r="E288" s="9" t="str">
        <x:v>RT-B-C</x:v>
      </x:c>
      <x:c r="F288" s="9" t="str">
        <x:v>B1</x:v>
      </x:c>
      <x:c r="G288" s="9" t="str">
        <x:v>INT</x:v>
      </x:c>
      <x:c r="H288" s="9" t="str">
        <x:v>OG06</x:v>
      </x:c>
      <x:c r="I288" s="17" t="str">
        <x:v>Witness provenance</x:v>
      </x:c>
      <x:c r="J288" s="17" t="str">
        <x:v>unlike witness originals, hashes, keys and access history reconcile</x:v>
      </x:c>
      <x:c r="K288" s="17" t="str">
        <x:v>Witness custody</x:v>
      </x:c>
      <x:c r="L288" s="9" t="n">
        <x:v>0</x:v>
      </x:c>
      <x:c r="M288" s="9" t="n">
        <x:v>0</x:v>
      </x:c>
      <x:c r="N288" s="9" t="str">
        <x:v>OPEN / UNACCEPTED</x:v>
      </x:c>
      <x:c r="O288" s="9" t="n">
        <x:f>COUNTIFS($A$7:$A$1734,A288)</x:f>
        <x:v>1</x:v>
      </x:c>
    </x:row>
    <x:row r="289">
      <x:c r="A289" s="9" t="str">
        <x:v>EV-AR-RT-B-C-TECH-2-B1-INT-G0-OG07</x:v>
      </x:c>
      <x:c r="B289" s="9" t="str">
        <x:v>EV-AR-RT-B-C-TECH-2-B1-INT-G0</x:v>
      </x:c>
      <x:c r="C289" s="9" t="str">
        <x:v>AR-RT-B-C-TECH-2-B1-INT-G0</x:v>
      </x:c>
      <x:c r="D289" s="9" t="str">
        <x:v>RT-B-C-TECH-2</x:v>
      </x:c>
      <x:c r="E289" s="9" t="str">
        <x:v>RT-B-C</x:v>
      </x:c>
      <x:c r="F289" s="9" t="str">
        <x:v>B1</x:v>
      </x:c>
      <x:c r="G289" s="9" t="str">
        <x:v>INT</x:v>
      </x:c>
      <x:c r="H289" s="9" t="str">
        <x:v>OG07</x:v>
      </x:c>
      <x:c r="I289" s="17" t="str">
        <x:v>Receiver denominator</x:v>
      </x:c>
      <x:c r="J289" s="17" t="str">
        <x:v>population, quantity, duration and exclusions match the frozen receipt</x:v>
      </x:c>
      <x:c r="K289" s="17" t="str">
        <x:v>Receiver court</x:v>
      </x:c>
      <x:c r="L289" s="9" t="n">
        <x:v>0</x:v>
      </x:c>
      <x:c r="M289" s="9" t="n">
        <x:v>0</x:v>
      </x:c>
      <x:c r="N289" s="9" t="str">
        <x:v>OPEN / UNACCEPTED</x:v>
      </x:c>
      <x:c r="O289" s="9" t="n">
        <x:f>COUNTIFS($A$7:$A$1734,A289)</x:f>
        <x:v>1</x:v>
      </x:c>
    </x:row>
    <x:row r="290">
      <x:c r="A290" s="9" t="str">
        <x:v>EV-AR-RT-B-C-TECH-2-B1-INT-G0-OG08</x:v>
      </x:c>
      <x:c r="B290" s="9" t="str">
        <x:v>EV-AR-RT-B-C-TECH-2-B1-INT-G0</x:v>
      </x:c>
      <x:c r="C290" s="9" t="str">
        <x:v>AR-RT-B-C-TECH-2-B1-INT-G0</x:v>
      </x:c>
      <x:c r="D290" s="9" t="str">
        <x:v>RT-B-C-TECH-2</x:v>
      </x:c>
      <x:c r="E290" s="9" t="str">
        <x:v>RT-B-C</x:v>
      </x:c>
      <x:c r="F290" s="9" t="str">
        <x:v>B1</x:v>
      </x:c>
      <x:c r="G290" s="9" t="str">
        <x:v>INT</x:v>
      </x:c>
      <x:c r="H290" s="9" t="str">
        <x:v>OG08</x:v>
      </x:c>
      <x:c r="I290" s="17" t="str">
        <x:v>Environment and boundary</x:v>
      </x:c>
      <x:c r="J290" s="17" t="str">
        <x:v>registered weather, water, ground, inlet and outlet states are retained</x:v>
      </x:c>
      <x:c r="K290" s="17" t="str">
        <x:v>Boundary court</x:v>
      </x:c>
      <x:c r="L290" s="9" t="n">
        <x:v>0</x:v>
      </x:c>
      <x:c r="M290" s="9" t="n">
        <x:v>0</x:v>
      </x:c>
      <x:c r="N290" s="9" t="str">
        <x:v>OPEN / UNACCEPTED</x:v>
      </x:c>
      <x:c r="O290" s="9" t="n">
        <x:f>COUNTIFS($A$7:$A$1734,A290)</x:f>
        <x:v>1</x:v>
      </x:c>
    </x:row>
    <x:row r="291">
      <x:c r="A291" s="9" t="str">
        <x:v>EV-AR-RT-B-C-TECH-2-B1-INT-G0-OG09</x:v>
      </x:c>
      <x:c r="B291" s="9" t="str">
        <x:v>EV-AR-RT-B-C-TECH-2-B1-INT-G0</x:v>
      </x:c>
      <x:c r="C291" s="9" t="str">
        <x:v>AR-RT-B-C-TECH-2-B1-INT-G0</x:v>
      </x:c>
      <x:c r="D291" s="9" t="str">
        <x:v>RT-B-C-TECH-2</x:v>
      </x:c>
      <x:c r="E291" s="9" t="str">
        <x:v>RT-B-C</x:v>
      </x:c>
      <x:c r="F291" s="9" t="str">
        <x:v>B1</x:v>
      </x:c>
      <x:c r="G291" s="9" t="str">
        <x:v>INT</x:v>
      </x:c>
      <x:c r="H291" s="9" t="str">
        <x:v>OG09</x:v>
      </x:c>
      <x:c r="I291" s="17" t="str">
        <x:v>Intervention account</x:v>
      </x:c>
      <x:c r="J291" s="17" t="str">
        <x:v>all stop, rescue, operator and public-protection actions remain timestamped</x:v>
      </x:c>
      <x:c r="K291" s="17" t="str">
        <x:v>Safety record court</x:v>
      </x:c>
      <x:c r="L291" s="9" t="n">
        <x:v>0</x:v>
      </x:c>
      <x:c r="M291" s="9" t="n">
        <x:v>0</x:v>
      </x:c>
      <x:c r="N291" s="9" t="str">
        <x:v>OPEN / UNACCEPTED</x:v>
      </x:c>
      <x:c r="O291" s="9" t="n">
        <x:f>COUNTIFS($A$7:$A$1734,A291)</x:f>
        <x:v>1</x:v>
      </x:c>
    </x:row>
    <x:row r="292">
      <x:c r="A292" s="9" t="str">
        <x:v>EV-AR-RT-B-C-TECH-2-B1-INT-G0-OG10</x:v>
      </x:c>
      <x:c r="B292" s="9" t="str">
        <x:v>EV-AR-RT-B-C-TECH-2-B1-INT-G0</x:v>
      </x:c>
      <x:c r="C292" s="9" t="str">
        <x:v>AR-RT-B-C-TECH-2-B1-INT-G0</x:v>
      </x:c>
      <x:c r="D292" s="9" t="str">
        <x:v>RT-B-C-TECH-2</x:v>
      </x:c>
      <x:c r="E292" s="9" t="str">
        <x:v>RT-B-C</x:v>
      </x:c>
      <x:c r="F292" s="9" t="str">
        <x:v>B1</x:v>
      </x:c>
      <x:c r="G292" s="9" t="str">
        <x:v>INT</x:v>
      </x:c>
      <x:c r="H292" s="9" t="str">
        <x:v>OG10</x:v>
      </x:c>
      <x:c r="I292" s="17" t="str">
        <x:v>Uncertainty statement</x:v>
      </x:c>
      <x:c r="J292" s="17" t="str">
        <x:v>range, censoring, resolution and correlation are declared before judgment</x:v>
      </x:c>
      <x:c r="K292" s="17" t="str">
        <x:v>Uncertainty authority</x:v>
      </x:c>
      <x:c r="L292" s="9" t="n">
        <x:v>0</x:v>
      </x:c>
      <x:c r="M292" s="9" t="n">
        <x:v>0</x:v>
      </x:c>
      <x:c r="N292" s="9" t="str">
        <x:v>OPEN / UNACCEPTED</x:v>
      </x:c>
      <x:c r="O292" s="9" t="n">
        <x:f>COUNTIFS($A$7:$A$1734,A292)</x:f>
        <x:v>1</x:v>
      </x:c>
    </x:row>
    <x:row r="293">
      <x:c r="A293" s="9" t="str">
        <x:v>EV-AR-RT-B-C-TECH-2-B1-INT-G0-OG11</x:v>
      </x:c>
      <x:c r="B293" s="9" t="str">
        <x:v>EV-AR-RT-B-C-TECH-2-B1-INT-G0</x:v>
      </x:c>
      <x:c r="C293" s="9" t="str">
        <x:v>AR-RT-B-C-TECH-2-B1-INT-G0</x:v>
      </x:c>
      <x:c r="D293" s="9" t="str">
        <x:v>RT-B-C-TECH-2</x:v>
      </x:c>
      <x:c r="E293" s="9" t="str">
        <x:v>RT-B-C</x:v>
      </x:c>
      <x:c r="F293" s="9" t="str">
        <x:v>B1</x:v>
      </x:c>
      <x:c r="G293" s="9" t="str">
        <x:v>INT</x:v>
      </x:c>
      <x:c r="H293" s="9" t="str">
        <x:v>OG11</x:v>
      </x:c>
      <x:c r="I293" s="17" t="str">
        <x:v>Contradiction preservation</x:v>
      </x:c>
      <x:c r="J293" s="17" t="str">
        <x:v>primary-witness disagreement remains explicit and is never averaged away</x:v>
      </x:c>
      <x:c r="K293" s="17" t="str">
        <x:v>Dissent registrar</x:v>
      </x:c>
      <x:c r="L293" s="9" t="n">
        <x:v>0</x:v>
      </x:c>
      <x:c r="M293" s="9" t="n">
        <x:v>0</x:v>
      </x:c>
      <x:c r="N293" s="9" t="str">
        <x:v>OPEN / UNACCEPTED</x:v>
      </x:c>
      <x:c r="O293" s="9" t="n">
        <x:f>COUNTIFS($A$7:$A$1734,A293)</x:f>
        <x:v>1</x:v>
      </x:c>
    </x:row>
    <x:row r="294">
      <x:c r="A294" s="9" t="str">
        <x:v>EV-AR-RT-B-C-TECH-2-B1-INT-G0-OG12</x:v>
      </x:c>
      <x:c r="B294" s="9" t="str">
        <x:v>EV-AR-RT-B-C-TECH-2-B1-INT-G0</x:v>
      </x:c>
      <x:c r="C294" s="9" t="str">
        <x:v>AR-RT-B-C-TECH-2-B1-INT-G0</x:v>
      </x:c>
      <x:c r="D294" s="9" t="str">
        <x:v>RT-B-C-TECH-2</x:v>
      </x:c>
      <x:c r="E294" s="9" t="str">
        <x:v>RT-B-C</x:v>
      </x:c>
      <x:c r="F294" s="9" t="str">
        <x:v>B1</x:v>
      </x:c>
      <x:c r="G294" s="9" t="str">
        <x:v>INT</x:v>
      </x:c>
      <x:c r="H294" s="9" t="str">
        <x:v>OG12</x:v>
      </x:c>
      <x:c r="I294" s="17" t="str">
        <x:v>Independent replay</x:v>
      </x:c>
      <x:c r="J294" s="17" t="str">
        <x:v>a separated reader reconstructs the registered observables from sealed originals</x:v>
      </x:c>
      <x:c r="K294" s="17" t="str">
        <x:v>Replay court</x:v>
      </x:c>
      <x:c r="L294" s="9" t="n">
        <x:v>0</x:v>
      </x:c>
      <x:c r="M294" s="9" t="n">
        <x:v>0</x:v>
      </x:c>
      <x:c r="N294" s="9" t="str">
        <x:v>OPEN / UNACCEPTED</x:v>
      </x:c>
      <x:c r="O294" s="9" t="n">
        <x:f>COUNTIFS($A$7:$A$1734,A294)</x:f>
        <x:v>1</x:v>
      </x:c>
    </x:row>
    <x:row r="295">
      <x:c r="A295" s="9" t="str">
        <x:v>EV-AR-CT-C-B-TECH-4-B2-BRK-G0-OG01</x:v>
      </x:c>
      <x:c r="B295" s="9" t="str">
        <x:v>EV-AR-CT-C-B-TECH-4-B2-BRK-G0</x:v>
      </x:c>
      <x:c r="C295" s="9" t="str">
        <x:v>AR-CT-C-B-TECH-4-B2-BRK-G0</x:v>
      </x:c>
      <x:c r="D295" s="9" t="str">
        <x:v>CT-C-B-TECH-4</x:v>
      </x:c>
      <x:c r="E295" s="9" t="str">
        <x:v>CT-C-B</x:v>
      </x:c>
      <x:c r="F295" s="9" t="str">
        <x:v>B2</x:v>
      </x:c>
      <x:c r="G295" s="9" t="str">
        <x:v>BRK</x:v>
      </x:c>
      <x:c r="H295" s="9" t="str">
        <x:v>OG01</x:v>
      </x:c>
      <x:c r="I295" s="17" t="str">
        <x:v>Serial and event identity</x:v>
      </x:c>
      <x:c r="J295" s="17" t="str">
        <x:v>record resolves to the issued serial, generation and physical start</x:v>
      </x:c>
      <x:c r="K295" s="17" t="str">
        <x:v>Observation court</x:v>
      </x:c>
      <x:c r="L295" s="9" t="n">
        <x:v>0</x:v>
      </x:c>
      <x:c r="M295" s="9" t="n">
        <x:v>0</x:v>
      </x:c>
      <x:c r="N295" s="9" t="str">
        <x:v>OPEN / UNACCEPTED</x:v>
      </x:c>
      <x:c r="O295" s="9" t="n">
        <x:f>COUNTIFS($A$7:$A$1734,A295)</x:f>
        <x:v>1</x:v>
      </x:c>
    </x:row>
    <x:row r="296">
      <x:c r="A296" s="9" t="str">
        <x:v>EV-AR-CT-C-B-TECH-4-B2-BRK-G0-OG02</x:v>
      </x:c>
      <x:c r="B296" s="9" t="str">
        <x:v>EV-AR-CT-C-B-TECH-4-B2-BRK-G0</x:v>
      </x:c>
      <x:c r="C296" s="9" t="str">
        <x:v>AR-CT-C-B-TECH-4-B2-BRK-G0</x:v>
      </x:c>
      <x:c r="D296" s="9" t="str">
        <x:v>CT-C-B-TECH-4</x:v>
      </x:c>
      <x:c r="E296" s="9" t="str">
        <x:v>CT-C-B</x:v>
      </x:c>
      <x:c r="F296" s="9" t="str">
        <x:v>B2</x:v>
      </x:c>
      <x:c r="G296" s="9" t="str">
        <x:v>BRK</x:v>
      </x:c>
      <x:c r="H296" s="9" t="str">
        <x:v>OG02</x:v>
      </x:c>
      <x:c r="I296" s="17" t="str">
        <x:v>Time ancestry</x:v>
      </x:c>
      <x:c r="J296" s="17" t="str">
        <x:v>primary, witness and public event clocks retain declared offsets and drift</x:v>
      </x:c>
      <x:c r="K296" s="17" t="str">
        <x:v>Time authority</x:v>
      </x:c>
      <x:c r="L296" s="9" t="n">
        <x:v>0</x:v>
      </x:c>
      <x:c r="M296" s="9" t="n">
        <x:v>0</x:v>
      </x:c>
      <x:c r="N296" s="9" t="str">
        <x:v>OPEN / UNACCEPTED</x:v>
      </x:c>
      <x:c r="O296" s="9" t="n">
        <x:f>COUNTIFS($A$7:$A$1734,A296)</x:f>
        <x:v>1</x:v>
      </x:c>
    </x:row>
    <x:row r="297">
      <x:c r="A297" s="9" t="str">
        <x:v>EV-AR-CT-C-B-TECH-4-B2-BRK-G0-OG03</x:v>
      </x:c>
      <x:c r="B297" s="9" t="str">
        <x:v>EV-AR-CT-C-B-TECH-4-B2-BRK-G0</x:v>
      </x:c>
      <x:c r="C297" s="9" t="str">
        <x:v>AR-CT-C-B-TECH-4-B2-BRK-G0</x:v>
      </x:c>
      <x:c r="D297" s="9" t="str">
        <x:v>CT-C-B-TECH-4</x:v>
      </x:c>
      <x:c r="E297" s="9" t="str">
        <x:v>CT-C-B</x:v>
      </x:c>
      <x:c r="F297" s="9" t="str">
        <x:v>B2</x:v>
      </x:c>
      <x:c r="G297" s="9" t="str">
        <x:v>BRK</x:v>
      </x:c>
      <x:c r="H297" s="9" t="str">
        <x:v>OG03</x:v>
      </x:c>
      <x:c r="I297" s="17" t="str">
        <x:v>Calibration ancestry</x:v>
      </x:c>
      <x:c r="J297" s="17" t="str">
        <x:v>all reference, range and uncertainty states cover the live interval</x:v>
      </x:c>
      <x:c r="K297" s="17" t="str">
        <x:v>Metrology courts</x:v>
      </x:c>
      <x:c r="L297" s="9" t="n">
        <x:v>0</x:v>
      </x:c>
      <x:c r="M297" s="9" t="n">
        <x:v>0</x:v>
      </x:c>
      <x:c r="N297" s="9" t="str">
        <x:v>OPEN / UNACCEPTED</x:v>
      </x:c>
      <x:c r="O297" s="9" t="n">
        <x:f>COUNTIFS($A$7:$A$1734,A297)</x:f>
        <x:v>1</x:v>
      </x:c>
    </x:row>
    <x:row r="298">
      <x:c r="A298" s="9" t="str">
        <x:v>EV-AR-CT-C-B-TECH-4-B2-BRK-G0-OG04</x:v>
      </x:c>
      <x:c r="B298" s="9" t="str">
        <x:v>EV-AR-CT-C-B-TECH-4-B2-BRK-G0</x:v>
      </x:c>
      <x:c r="C298" s="9" t="str">
        <x:v>AR-CT-C-B-TECH-4-B2-BRK-G0</x:v>
      </x:c>
      <x:c r="D298" s="9" t="str">
        <x:v>CT-C-B-TECH-4</x:v>
      </x:c>
      <x:c r="E298" s="9" t="str">
        <x:v>CT-C-B</x:v>
      </x:c>
      <x:c r="F298" s="9" t="str">
        <x:v>B2</x:v>
      </x:c>
      <x:c r="G298" s="9" t="str">
        <x:v>BRK</x:v>
      </x:c>
      <x:c r="H298" s="9" t="str">
        <x:v>OG04</x:v>
      </x:c>
      <x:c r="I298" s="17" t="str">
        <x:v>Raw completeness</x:v>
      </x:c>
      <x:c r="J298" s="17" t="str">
        <x:v>missingness is enumerated without imputation or outcome-conditioned deletion</x:v>
      </x:c>
      <x:c r="K298" s="17" t="str">
        <x:v>Observation court</x:v>
      </x:c>
      <x:c r="L298" s="9" t="n">
        <x:v>0</x:v>
      </x:c>
      <x:c r="M298" s="9" t="n">
        <x:v>0</x:v>
      </x:c>
      <x:c r="N298" s="9" t="str">
        <x:v>OPEN / UNACCEPTED</x:v>
      </x:c>
      <x:c r="O298" s="9" t="n">
        <x:f>COUNTIFS($A$7:$A$1734,A298)</x:f>
        <x:v>1</x:v>
      </x:c>
    </x:row>
    <x:row r="299">
      <x:c r="A299" s="9" t="str">
        <x:v>EV-AR-CT-C-B-TECH-4-B2-BRK-G0-OG05</x:v>
      </x:c>
      <x:c r="B299" s="9" t="str">
        <x:v>EV-AR-CT-C-B-TECH-4-B2-BRK-G0</x:v>
      </x:c>
      <x:c r="C299" s="9" t="str">
        <x:v>AR-CT-C-B-TECH-4-B2-BRK-G0</x:v>
      </x:c>
      <x:c r="D299" s="9" t="str">
        <x:v>CT-C-B-TECH-4</x:v>
      </x:c>
      <x:c r="E299" s="9" t="str">
        <x:v>CT-C-B</x:v>
      </x:c>
      <x:c r="F299" s="9" t="str">
        <x:v>B2</x:v>
      </x:c>
      <x:c r="G299" s="9" t="str">
        <x:v>BRK</x:v>
      </x:c>
      <x:c r="H299" s="9" t="str">
        <x:v>OG05</x:v>
      </x:c>
      <x:c r="I299" s="17" t="str">
        <x:v>Primary provenance</x:v>
      </x:c>
      <x:c r="J299" s="17" t="str">
        <x:v>primary originals, hashes, keys and access history reconcile</x:v>
      </x:c>
      <x:c r="K299" s="17" t="str">
        <x:v>Primary custody</x:v>
      </x:c>
      <x:c r="L299" s="9" t="n">
        <x:v>0</x:v>
      </x:c>
      <x:c r="M299" s="9" t="n">
        <x:v>0</x:v>
      </x:c>
      <x:c r="N299" s="9" t="str">
        <x:v>OPEN / UNACCEPTED</x:v>
      </x:c>
      <x:c r="O299" s="9" t="n">
        <x:f>COUNTIFS($A$7:$A$1734,A299)</x:f>
        <x:v>1</x:v>
      </x:c>
    </x:row>
    <x:row r="300">
      <x:c r="A300" s="9" t="str">
        <x:v>EV-AR-CT-C-B-TECH-4-B2-BRK-G0-OG06</x:v>
      </x:c>
      <x:c r="B300" s="9" t="str">
        <x:v>EV-AR-CT-C-B-TECH-4-B2-BRK-G0</x:v>
      </x:c>
      <x:c r="C300" s="9" t="str">
        <x:v>AR-CT-C-B-TECH-4-B2-BRK-G0</x:v>
      </x:c>
      <x:c r="D300" s="9" t="str">
        <x:v>CT-C-B-TECH-4</x:v>
      </x:c>
      <x:c r="E300" s="9" t="str">
        <x:v>CT-C-B</x:v>
      </x:c>
      <x:c r="F300" s="9" t="str">
        <x:v>B2</x:v>
      </x:c>
      <x:c r="G300" s="9" t="str">
        <x:v>BRK</x:v>
      </x:c>
      <x:c r="H300" s="9" t="str">
        <x:v>OG06</x:v>
      </x:c>
      <x:c r="I300" s="17" t="str">
        <x:v>Witness provenance</x:v>
      </x:c>
      <x:c r="J300" s="17" t="str">
        <x:v>unlike witness originals, hashes, keys and access history reconcile</x:v>
      </x:c>
      <x:c r="K300" s="17" t="str">
        <x:v>Witness custody</x:v>
      </x:c>
      <x:c r="L300" s="9" t="n">
        <x:v>0</x:v>
      </x:c>
      <x:c r="M300" s="9" t="n">
        <x:v>0</x:v>
      </x:c>
      <x:c r="N300" s="9" t="str">
        <x:v>OPEN / UNACCEPTED</x:v>
      </x:c>
      <x:c r="O300" s="9" t="n">
        <x:f>COUNTIFS($A$7:$A$1734,A300)</x:f>
        <x:v>1</x:v>
      </x:c>
    </x:row>
    <x:row r="301">
      <x:c r="A301" s="9" t="str">
        <x:v>EV-AR-CT-C-B-TECH-4-B2-BRK-G0-OG07</x:v>
      </x:c>
      <x:c r="B301" s="9" t="str">
        <x:v>EV-AR-CT-C-B-TECH-4-B2-BRK-G0</x:v>
      </x:c>
      <x:c r="C301" s="9" t="str">
        <x:v>AR-CT-C-B-TECH-4-B2-BRK-G0</x:v>
      </x:c>
      <x:c r="D301" s="9" t="str">
        <x:v>CT-C-B-TECH-4</x:v>
      </x:c>
      <x:c r="E301" s="9" t="str">
        <x:v>CT-C-B</x:v>
      </x:c>
      <x:c r="F301" s="9" t="str">
        <x:v>B2</x:v>
      </x:c>
      <x:c r="G301" s="9" t="str">
        <x:v>BRK</x:v>
      </x:c>
      <x:c r="H301" s="9" t="str">
        <x:v>OG07</x:v>
      </x:c>
      <x:c r="I301" s="17" t="str">
        <x:v>Receiver denominator</x:v>
      </x:c>
      <x:c r="J301" s="17" t="str">
        <x:v>population, quantity, duration and exclusions match the frozen receipt</x:v>
      </x:c>
      <x:c r="K301" s="17" t="str">
        <x:v>Receiver court</x:v>
      </x:c>
      <x:c r="L301" s="9" t="n">
        <x:v>0</x:v>
      </x:c>
      <x:c r="M301" s="9" t="n">
        <x:v>0</x:v>
      </x:c>
      <x:c r="N301" s="9" t="str">
        <x:v>OPEN / UNACCEPTED</x:v>
      </x:c>
      <x:c r="O301" s="9" t="n">
        <x:f>COUNTIFS($A$7:$A$1734,A301)</x:f>
        <x:v>1</x:v>
      </x:c>
    </x:row>
    <x:row r="302">
      <x:c r="A302" s="9" t="str">
        <x:v>EV-AR-CT-C-B-TECH-4-B2-BRK-G0-OG08</x:v>
      </x:c>
      <x:c r="B302" s="9" t="str">
        <x:v>EV-AR-CT-C-B-TECH-4-B2-BRK-G0</x:v>
      </x:c>
      <x:c r="C302" s="9" t="str">
        <x:v>AR-CT-C-B-TECH-4-B2-BRK-G0</x:v>
      </x:c>
      <x:c r="D302" s="9" t="str">
        <x:v>CT-C-B-TECH-4</x:v>
      </x:c>
      <x:c r="E302" s="9" t="str">
        <x:v>CT-C-B</x:v>
      </x:c>
      <x:c r="F302" s="9" t="str">
        <x:v>B2</x:v>
      </x:c>
      <x:c r="G302" s="9" t="str">
        <x:v>BRK</x:v>
      </x:c>
      <x:c r="H302" s="9" t="str">
        <x:v>OG08</x:v>
      </x:c>
      <x:c r="I302" s="17" t="str">
        <x:v>Environment and boundary</x:v>
      </x:c>
      <x:c r="J302" s="17" t="str">
        <x:v>registered weather, water, ground, inlet and outlet states are retained</x:v>
      </x:c>
      <x:c r="K302" s="17" t="str">
        <x:v>Boundary court</x:v>
      </x:c>
      <x:c r="L302" s="9" t="n">
        <x:v>0</x:v>
      </x:c>
      <x:c r="M302" s="9" t="n">
        <x:v>0</x:v>
      </x:c>
      <x:c r="N302" s="9" t="str">
        <x:v>OPEN / UNACCEPTED</x:v>
      </x:c>
      <x:c r="O302" s="9" t="n">
        <x:f>COUNTIFS($A$7:$A$1734,A302)</x:f>
        <x:v>1</x:v>
      </x:c>
    </x:row>
    <x:row r="303">
      <x:c r="A303" s="9" t="str">
        <x:v>EV-AR-CT-C-B-TECH-4-B2-BRK-G0-OG09</x:v>
      </x:c>
      <x:c r="B303" s="9" t="str">
        <x:v>EV-AR-CT-C-B-TECH-4-B2-BRK-G0</x:v>
      </x:c>
      <x:c r="C303" s="9" t="str">
        <x:v>AR-CT-C-B-TECH-4-B2-BRK-G0</x:v>
      </x:c>
      <x:c r="D303" s="9" t="str">
        <x:v>CT-C-B-TECH-4</x:v>
      </x:c>
      <x:c r="E303" s="9" t="str">
        <x:v>CT-C-B</x:v>
      </x:c>
      <x:c r="F303" s="9" t="str">
        <x:v>B2</x:v>
      </x:c>
      <x:c r="G303" s="9" t="str">
        <x:v>BRK</x:v>
      </x:c>
      <x:c r="H303" s="9" t="str">
        <x:v>OG09</x:v>
      </x:c>
      <x:c r="I303" s="17" t="str">
        <x:v>Intervention account</x:v>
      </x:c>
      <x:c r="J303" s="17" t="str">
        <x:v>all stop, rescue, operator and public-protection actions remain timestamped</x:v>
      </x:c>
      <x:c r="K303" s="17" t="str">
        <x:v>Safety record court</x:v>
      </x:c>
      <x:c r="L303" s="9" t="n">
        <x:v>0</x:v>
      </x:c>
      <x:c r="M303" s="9" t="n">
        <x:v>0</x:v>
      </x:c>
      <x:c r="N303" s="9" t="str">
        <x:v>OPEN / UNACCEPTED</x:v>
      </x:c>
      <x:c r="O303" s="9" t="n">
        <x:f>COUNTIFS($A$7:$A$1734,A303)</x:f>
        <x:v>1</x:v>
      </x:c>
    </x:row>
    <x:row r="304">
      <x:c r="A304" s="9" t="str">
        <x:v>EV-AR-CT-C-B-TECH-4-B2-BRK-G0-OG10</x:v>
      </x:c>
      <x:c r="B304" s="9" t="str">
        <x:v>EV-AR-CT-C-B-TECH-4-B2-BRK-G0</x:v>
      </x:c>
      <x:c r="C304" s="9" t="str">
        <x:v>AR-CT-C-B-TECH-4-B2-BRK-G0</x:v>
      </x:c>
      <x:c r="D304" s="9" t="str">
        <x:v>CT-C-B-TECH-4</x:v>
      </x:c>
      <x:c r="E304" s="9" t="str">
        <x:v>CT-C-B</x:v>
      </x:c>
      <x:c r="F304" s="9" t="str">
        <x:v>B2</x:v>
      </x:c>
      <x:c r="G304" s="9" t="str">
        <x:v>BRK</x:v>
      </x:c>
      <x:c r="H304" s="9" t="str">
        <x:v>OG10</x:v>
      </x:c>
      <x:c r="I304" s="17" t="str">
        <x:v>Uncertainty statement</x:v>
      </x:c>
      <x:c r="J304" s="17" t="str">
        <x:v>range, censoring, resolution and correlation are declared before judgment</x:v>
      </x:c>
      <x:c r="K304" s="17" t="str">
        <x:v>Uncertainty authority</x:v>
      </x:c>
      <x:c r="L304" s="9" t="n">
        <x:v>0</x:v>
      </x:c>
      <x:c r="M304" s="9" t="n">
        <x:v>0</x:v>
      </x:c>
      <x:c r="N304" s="9" t="str">
        <x:v>OPEN / UNACCEPTED</x:v>
      </x:c>
      <x:c r="O304" s="9" t="n">
        <x:f>COUNTIFS($A$7:$A$1734,A304)</x:f>
        <x:v>1</x:v>
      </x:c>
    </x:row>
    <x:row r="305">
      <x:c r="A305" s="9" t="str">
        <x:v>EV-AR-CT-C-B-TECH-4-B2-BRK-G0-OG11</x:v>
      </x:c>
      <x:c r="B305" s="9" t="str">
        <x:v>EV-AR-CT-C-B-TECH-4-B2-BRK-G0</x:v>
      </x:c>
      <x:c r="C305" s="9" t="str">
        <x:v>AR-CT-C-B-TECH-4-B2-BRK-G0</x:v>
      </x:c>
      <x:c r="D305" s="9" t="str">
        <x:v>CT-C-B-TECH-4</x:v>
      </x:c>
      <x:c r="E305" s="9" t="str">
        <x:v>CT-C-B</x:v>
      </x:c>
      <x:c r="F305" s="9" t="str">
        <x:v>B2</x:v>
      </x:c>
      <x:c r="G305" s="9" t="str">
        <x:v>BRK</x:v>
      </x:c>
      <x:c r="H305" s="9" t="str">
        <x:v>OG11</x:v>
      </x:c>
      <x:c r="I305" s="17" t="str">
        <x:v>Contradiction preservation</x:v>
      </x:c>
      <x:c r="J305" s="17" t="str">
        <x:v>primary-witness disagreement remains explicit and is never averaged away</x:v>
      </x:c>
      <x:c r="K305" s="17" t="str">
        <x:v>Dissent registrar</x:v>
      </x:c>
      <x:c r="L305" s="9" t="n">
        <x:v>0</x:v>
      </x:c>
      <x:c r="M305" s="9" t="n">
        <x:v>0</x:v>
      </x:c>
      <x:c r="N305" s="9" t="str">
        <x:v>OPEN / UNACCEPTED</x:v>
      </x:c>
      <x:c r="O305" s="9" t="n">
        <x:f>COUNTIFS($A$7:$A$1734,A305)</x:f>
        <x:v>1</x:v>
      </x:c>
    </x:row>
    <x:row r="306">
      <x:c r="A306" s="9" t="str">
        <x:v>EV-AR-CT-C-B-TECH-4-B2-BRK-G0-OG12</x:v>
      </x:c>
      <x:c r="B306" s="9" t="str">
        <x:v>EV-AR-CT-C-B-TECH-4-B2-BRK-G0</x:v>
      </x:c>
      <x:c r="C306" s="9" t="str">
        <x:v>AR-CT-C-B-TECH-4-B2-BRK-G0</x:v>
      </x:c>
      <x:c r="D306" s="9" t="str">
        <x:v>CT-C-B-TECH-4</x:v>
      </x:c>
      <x:c r="E306" s="9" t="str">
        <x:v>CT-C-B</x:v>
      </x:c>
      <x:c r="F306" s="9" t="str">
        <x:v>B2</x:v>
      </x:c>
      <x:c r="G306" s="9" t="str">
        <x:v>BRK</x:v>
      </x:c>
      <x:c r="H306" s="9" t="str">
        <x:v>OG12</x:v>
      </x:c>
      <x:c r="I306" s="17" t="str">
        <x:v>Independent replay</x:v>
      </x:c>
      <x:c r="J306" s="17" t="str">
        <x:v>a separated reader reconstructs the registered observables from sealed originals</x:v>
      </x:c>
      <x:c r="K306" s="17" t="str">
        <x:v>Replay court</x:v>
      </x:c>
      <x:c r="L306" s="9" t="n">
        <x:v>0</x:v>
      </x:c>
      <x:c r="M306" s="9" t="n">
        <x:v>0</x:v>
      </x:c>
      <x:c r="N306" s="9" t="str">
        <x:v>OPEN / UNACCEPTED</x:v>
      </x:c>
      <x:c r="O306" s="9" t="n">
        <x:f>COUNTIFS($A$7:$A$1734,A306)</x:f>
        <x:v>1</x:v>
      </x:c>
    </x:row>
    <x:row r="307">
      <x:c r="A307" s="9" t="str">
        <x:v>EV-AR-CT-C-B-TECH-3-B1-RCN-G0-OG01</x:v>
      </x:c>
      <x:c r="B307" s="9" t="str">
        <x:v>EV-AR-CT-C-B-TECH-3-B1-RCN-G0</x:v>
      </x:c>
      <x:c r="C307" s="9" t="str">
        <x:v>AR-CT-C-B-TECH-3-B1-RCN-G0</x:v>
      </x:c>
      <x:c r="D307" s="9" t="str">
        <x:v>CT-C-B-TECH-3</x:v>
      </x:c>
      <x:c r="E307" s="9" t="str">
        <x:v>CT-C-B</x:v>
      </x:c>
      <x:c r="F307" s="9" t="str">
        <x:v>B1</x:v>
      </x:c>
      <x:c r="G307" s="9" t="str">
        <x:v>RCN</x:v>
      </x:c>
      <x:c r="H307" s="9" t="str">
        <x:v>OG01</x:v>
      </x:c>
      <x:c r="I307" s="17" t="str">
        <x:v>Serial and event identity</x:v>
      </x:c>
      <x:c r="J307" s="17" t="str">
        <x:v>record resolves to the issued serial, generation and physical start</x:v>
      </x:c>
      <x:c r="K307" s="17" t="str">
        <x:v>Observation court</x:v>
      </x:c>
      <x:c r="L307" s="9" t="n">
        <x:v>0</x:v>
      </x:c>
      <x:c r="M307" s="9" t="n">
        <x:v>0</x:v>
      </x:c>
      <x:c r="N307" s="9" t="str">
        <x:v>OPEN / UNACCEPTED</x:v>
      </x:c>
      <x:c r="O307" s="9" t="n">
        <x:f>COUNTIFS($A$7:$A$1734,A307)</x:f>
        <x:v>1</x:v>
      </x:c>
    </x:row>
    <x:row r="308">
      <x:c r="A308" s="9" t="str">
        <x:v>EV-AR-CT-C-B-TECH-3-B1-RCN-G0-OG02</x:v>
      </x:c>
      <x:c r="B308" s="9" t="str">
        <x:v>EV-AR-CT-C-B-TECH-3-B1-RCN-G0</x:v>
      </x:c>
      <x:c r="C308" s="9" t="str">
        <x:v>AR-CT-C-B-TECH-3-B1-RCN-G0</x:v>
      </x:c>
      <x:c r="D308" s="9" t="str">
        <x:v>CT-C-B-TECH-3</x:v>
      </x:c>
      <x:c r="E308" s="9" t="str">
        <x:v>CT-C-B</x:v>
      </x:c>
      <x:c r="F308" s="9" t="str">
        <x:v>B1</x:v>
      </x:c>
      <x:c r="G308" s="9" t="str">
        <x:v>RCN</x:v>
      </x:c>
      <x:c r="H308" s="9" t="str">
        <x:v>OG02</x:v>
      </x:c>
      <x:c r="I308" s="17" t="str">
        <x:v>Time ancestry</x:v>
      </x:c>
      <x:c r="J308" s="17" t="str">
        <x:v>primary, witness and public event clocks retain declared offsets and drift</x:v>
      </x:c>
      <x:c r="K308" s="17" t="str">
        <x:v>Time authority</x:v>
      </x:c>
      <x:c r="L308" s="9" t="n">
        <x:v>0</x:v>
      </x:c>
      <x:c r="M308" s="9" t="n">
        <x:v>0</x:v>
      </x:c>
      <x:c r="N308" s="9" t="str">
        <x:v>OPEN / UNACCEPTED</x:v>
      </x:c>
      <x:c r="O308" s="9" t="n">
        <x:f>COUNTIFS($A$7:$A$1734,A308)</x:f>
        <x:v>1</x:v>
      </x:c>
    </x:row>
    <x:row r="309">
      <x:c r="A309" s="9" t="str">
        <x:v>EV-AR-CT-C-B-TECH-3-B1-RCN-G0-OG03</x:v>
      </x:c>
      <x:c r="B309" s="9" t="str">
        <x:v>EV-AR-CT-C-B-TECH-3-B1-RCN-G0</x:v>
      </x:c>
      <x:c r="C309" s="9" t="str">
        <x:v>AR-CT-C-B-TECH-3-B1-RCN-G0</x:v>
      </x:c>
      <x:c r="D309" s="9" t="str">
        <x:v>CT-C-B-TECH-3</x:v>
      </x:c>
      <x:c r="E309" s="9" t="str">
        <x:v>CT-C-B</x:v>
      </x:c>
      <x:c r="F309" s="9" t="str">
        <x:v>B1</x:v>
      </x:c>
      <x:c r="G309" s="9" t="str">
        <x:v>RCN</x:v>
      </x:c>
      <x:c r="H309" s="9" t="str">
        <x:v>OG03</x:v>
      </x:c>
      <x:c r="I309" s="17" t="str">
        <x:v>Calibration ancestry</x:v>
      </x:c>
      <x:c r="J309" s="17" t="str">
        <x:v>all reference, range and uncertainty states cover the live interval</x:v>
      </x:c>
      <x:c r="K309" s="17" t="str">
        <x:v>Metrology courts</x:v>
      </x:c>
      <x:c r="L309" s="9" t="n">
        <x:v>0</x:v>
      </x:c>
      <x:c r="M309" s="9" t="n">
        <x:v>0</x:v>
      </x:c>
      <x:c r="N309" s="9" t="str">
        <x:v>OPEN / UNACCEPTED</x:v>
      </x:c>
      <x:c r="O309" s="9" t="n">
        <x:f>COUNTIFS($A$7:$A$1734,A309)</x:f>
        <x:v>1</x:v>
      </x:c>
    </x:row>
    <x:row r="310">
      <x:c r="A310" s="9" t="str">
        <x:v>EV-AR-CT-C-B-TECH-3-B1-RCN-G0-OG04</x:v>
      </x:c>
      <x:c r="B310" s="9" t="str">
        <x:v>EV-AR-CT-C-B-TECH-3-B1-RCN-G0</x:v>
      </x:c>
      <x:c r="C310" s="9" t="str">
        <x:v>AR-CT-C-B-TECH-3-B1-RCN-G0</x:v>
      </x:c>
      <x:c r="D310" s="9" t="str">
        <x:v>CT-C-B-TECH-3</x:v>
      </x:c>
      <x:c r="E310" s="9" t="str">
        <x:v>CT-C-B</x:v>
      </x:c>
      <x:c r="F310" s="9" t="str">
        <x:v>B1</x:v>
      </x:c>
      <x:c r="G310" s="9" t="str">
        <x:v>RCN</x:v>
      </x:c>
      <x:c r="H310" s="9" t="str">
        <x:v>OG04</x:v>
      </x:c>
      <x:c r="I310" s="17" t="str">
        <x:v>Raw completeness</x:v>
      </x:c>
      <x:c r="J310" s="17" t="str">
        <x:v>missingness is enumerated without imputation or outcome-conditioned deletion</x:v>
      </x:c>
      <x:c r="K310" s="17" t="str">
        <x:v>Observation court</x:v>
      </x:c>
      <x:c r="L310" s="9" t="n">
        <x:v>0</x:v>
      </x:c>
      <x:c r="M310" s="9" t="n">
        <x:v>0</x:v>
      </x:c>
      <x:c r="N310" s="9" t="str">
        <x:v>OPEN / UNACCEPTED</x:v>
      </x:c>
      <x:c r="O310" s="9" t="n">
        <x:f>COUNTIFS($A$7:$A$1734,A310)</x:f>
        <x:v>1</x:v>
      </x:c>
    </x:row>
    <x:row r="311">
      <x:c r="A311" s="9" t="str">
        <x:v>EV-AR-CT-C-B-TECH-3-B1-RCN-G0-OG05</x:v>
      </x:c>
      <x:c r="B311" s="9" t="str">
        <x:v>EV-AR-CT-C-B-TECH-3-B1-RCN-G0</x:v>
      </x:c>
      <x:c r="C311" s="9" t="str">
        <x:v>AR-CT-C-B-TECH-3-B1-RCN-G0</x:v>
      </x:c>
      <x:c r="D311" s="9" t="str">
        <x:v>CT-C-B-TECH-3</x:v>
      </x:c>
      <x:c r="E311" s="9" t="str">
        <x:v>CT-C-B</x:v>
      </x:c>
      <x:c r="F311" s="9" t="str">
        <x:v>B1</x:v>
      </x:c>
      <x:c r="G311" s="9" t="str">
        <x:v>RCN</x:v>
      </x:c>
      <x:c r="H311" s="9" t="str">
        <x:v>OG05</x:v>
      </x:c>
      <x:c r="I311" s="17" t="str">
        <x:v>Primary provenance</x:v>
      </x:c>
      <x:c r="J311" s="17" t="str">
        <x:v>primary originals, hashes, keys and access history reconcile</x:v>
      </x:c>
      <x:c r="K311" s="17" t="str">
        <x:v>Primary custody</x:v>
      </x:c>
      <x:c r="L311" s="9" t="n">
        <x:v>0</x:v>
      </x:c>
      <x:c r="M311" s="9" t="n">
        <x:v>0</x:v>
      </x:c>
      <x:c r="N311" s="9" t="str">
        <x:v>OPEN / UNACCEPTED</x:v>
      </x:c>
      <x:c r="O311" s="9" t="n">
        <x:f>COUNTIFS($A$7:$A$1734,A311)</x:f>
        <x:v>1</x:v>
      </x:c>
    </x:row>
    <x:row r="312">
      <x:c r="A312" s="9" t="str">
        <x:v>EV-AR-CT-C-B-TECH-3-B1-RCN-G0-OG06</x:v>
      </x:c>
      <x:c r="B312" s="9" t="str">
        <x:v>EV-AR-CT-C-B-TECH-3-B1-RCN-G0</x:v>
      </x:c>
      <x:c r="C312" s="9" t="str">
        <x:v>AR-CT-C-B-TECH-3-B1-RCN-G0</x:v>
      </x:c>
      <x:c r="D312" s="9" t="str">
        <x:v>CT-C-B-TECH-3</x:v>
      </x:c>
      <x:c r="E312" s="9" t="str">
        <x:v>CT-C-B</x:v>
      </x:c>
      <x:c r="F312" s="9" t="str">
        <x:v>B1</x:v>
      </x:c>
      <x:c r="G312" s="9" t="str">
        <x:v>RCN</x:v>
      </x:c>
      <x:c r="H312" s="9" t="str">
        <x:v>OG06</x:v>
      </x:c>
      <x:c r="I312" s="17" t="str">
        <x:v>Witness provenance</x:v>
      </x:c>
      <x:c r="J312" s="17" t="str">
        <x:v>unlike witness originals, hashes, keys and access history reconcile</x:v>
      </x:c>
      <x:c r="K312" s="17" t="str">
        <x:v>Witness custody</x:v>
      </x:c>
      <x:c r="L312" s="9" t="n">
        <x:v>0</x:v>
      </x:c>
      <x:c r="M312" s="9" t="n">
        <x:v>0</x:v>
      </x:c>
      <x:c r="N312" s="9" t="str">
        <x:v>OPEN / UNACCEPTED</x:v>
      </x:c>
      <x:c r="O312" s="9" t="n">
        <x:f>COUNTIFS($A$7:$A$1734,A312)</x:f>
        <x:v>1</x:v>
      </x:c>
    </x:row>
    <x:row r="313">
      <x:c r="A313" s="9" t="str">
        <x:v>EV-AR-CT-C-B-TECH-3-B1-RCN-G0-OG07</x:v>
      </x:c>
      <x:c r="B313" s="9" t="str">
        <x:v>EV-AR-CT-C-B-TECH-3-B1-RCN-G0</x:v>
      </x:c>
      <x:c r="C313" s="9" t="str">
        <x:v>AR-CT-C-B-TECH-3-B1-RCN-G0</x:v>
      </x:c>
      <x:c r="D313" s="9" t="str">
        <x:v>CT-C-B-TECH-3</x:v>
      </x:c>
      <x:c r="E313" s="9" t="str">
        <x:v>CT-C-B</x:v>
      </x:c>
      <x:c r="F313" s="9" t="str">
        <x:v>B1</x:v>
      </x:c>
      <x:c r="G313" s="9" t="str">
        <x:v>RCN</x:v>
      </x:c>
      <x:c r="H313" s="9" t="str">
        <x:v>OG07</x:v>
      </x:c>
      <x:c r="I313" s="17" t="str">
        <x:v>Receiver denominator</x:v>
      </x:c>
      <x:c r="J313" s="17" t="str">
        <x:v>population, quantity, duration and exclusions match the frozen receipt</x:v>
      </x:c>
      <x:c r="K313" s="17" t="str">
        <x:v>Receiver court</x:v>
      </x:c>
      <x:c r="L313" s="9" t="n">
        <x:v>0</x:v>
      </x:c>
      <x:c r="M313" s="9" t="n">
        <x:v>0</x:v>
      </x:c>
      <x:c r="N313" s="9" t="str">
        <x:v>OPEN / UNACCEPTED</x:v>
      </x:c>
      <x:c r="O313" s="9" t="n">
        <x:f>COUNTIFS($A$7:$A$1734,A313)</x:f>
        <x:v>1</x:v>
      </x:c>
    </x:row>
    <x:row r="314">
      <x:c r="A314" s="9" t="str">
        <x:v>EV-AR-CT-C-B-TECH-3-B1-RCN-G0-OG08</x:v>
      </x:c>
      <x:c r="B314" s="9" t="str">
        <x:v>EV-AR-CT-C-B-TECH-3-B1-RCN-G0</x:v>
      </x:c>
      <x:c r="C314" s="9" t="str">
        <x:v>AR-CT-C-B-TECH-3-B1-RCN-G0</x:v>
      </x:c>
      <x:c r="D314" s="9" t="str">
        <x:v>CT-C-B-TECH-3</x:v>
      </x:c>
      <x:c r="E314" s="9" t="str">
        <x:v>CT-C-B</x:v>
      </x:c>
      <x:c r="F314" s="9" t="str">
        <x:v>B1</x:v>
      </x:c>
      <x:c r="G314" s="9" t="str">
        <x:v>RCN</x:v>
      </x:c>
      <x:c r="H314" s="9" t="str">
        <x:v>OG08</x:v>
      </x:c>
      <x:c r="I314" s="17" t="str">
        <x:v>Environment and boundary</x:v>
      </x:c>
      <x:c r="J314" s="17" t="str">
        <x:v>registered weather, water, ground, inlet and outlet states are retained</x:v>
      </x:c>
      <x:c r="K314" s="17" t="str">
        <x:v>Boundary court</x:v>
      </x:c>
      <x:c r="L314" s="9" t="n">
        <x:v>0</x:v>
      </x:c>
      <x:c r="M314" s="9" t="n">
        <x:v>0</x:v>
      </x:c>
      <x:c r="N314" s="9" t="str">
        <x:v>OPEN / UNACCEPTED</x:v>
      </x:c>
      <x:c r="O314" s="9" t="n">
        <x:f>COUNTIFS($A$7:$A$1734,A314)</x:f>
        <x:v>1</x:v>
      </x:c>
    </x:row>
    <x:row r="315">
      <x:c r="A315" s="9" t="str">
        <x:v>EV-AR-CT-C-B-TECH-3-B1-RCN-G0-OG09</x:v>
      </x:c>
      <x:c r="B315" s="9" t="str">
        <x:v>EV-AR-CT-C-B-TECH-3-B1-RCN-G0</x:v>
      </x:c>
      <x:c r="C315" s="9" t="str">
        <x:v>AR-CT-C-B-TECH-3-B1-RCN-G0</x:v>
      </x:c>
      <x:c r="D315" s="9" t="str">
        <x:v>CT-C-B-TECH-3</x:v>
      </x:c>
      <x:c r="E315" s="9" t="str">
        <x:v>CT-C-B</x:v>
      </x:c>
      <x:c r="F315" s="9" t="str">
        <x:v>B1</x:v>
      </x:c>
      <x:c r="G315" s="9" t="str">
        <x:v>RCN</x:v>
      </x:c>
      <x:c r="H315" s="9" t="str">
        <x:v>OG09</x:v>
      </x:c>
      <x:c r="I315" s="17" t="str">
        <x:v>Intervention account</x:v>
      </x:c>
      <x:c r="J315" s="17" t="str">
        <x:v>all stop, rescue, operator and public-protection actions remain timestamped</x:v>
      </x:c>
      <x:c r="K315" s="17" t="str">
        <x:v>Safety record court</x:v>
      </x:c>
      <x:c r="L315" s="9" t="n">
        <x:v>0</x:v>
      </x:c>
      <x:c r="M315" s="9" t="n">
        <x:v>0</x:v>
      </x:c>
      <x:c r="N315" s="9" t="str">
        <x:v>OPEN / UNACCEPTED</x:v>
      </x:c>
      <x:c r="O315" s="9" t="n">
        <x:f>COUNTIFS($A$7:$A$1734,A315)</x:f>
        <x:v>1</x:v>
      </x:c>
    </x:row>
    <x:row r="316">
      <x:c r="A316" s="9" t="str">
        <x:v>EV-AR-CT-C-B-TECH-3-B1-RCN-G0-OG10</x:v>
      </x:c>
      <x:c r="B316" s="9" t="str">
        <x:v>EV-AR-CT-C-B-TECH-3-B1-RCN-G0</x:v>
      </x:c>
      <x:c r="C316" s="9" t="str">
        <x:v>AR-CT-C-B-TECH-3-B1-RCN-G0</x:v>
      </x:c>
      <x:c r="D316" s="9" t="str">
        <x:v>CT-C-B-TECH-3</x:v>
      </x:c>
      <x:c r="E316" s="9" t="str">
        <x:v>CT-C-B</x:v>
      </x:c>
      <x:c r="F316" s="9" t="str">
        <x:v>B1</x:v>
      </x:c>
      <x:c r="G316" s="9" t="str">
        <x:v>RCN</x:v>
      </x:c>
      <x:c r="H316" s="9" t="str">
        <x:v>OG10</x:v>
      </x:c>
      <x:c r="I316" s="17" t="str">
        <x:v>Uncertainty statement</x:v>
      </x:c>
      <x:c r="J316" s="17" t="str">
        <x:v>range, censoring, resolution and correlation are declared before judgment</x:v>
      </x:c>
      <x:c r="K316" s="17" t="str">
        <x:v>Uncertainty authority</x:v>
      </x:c>
      <x:c r="L316" s="9" t="n">
        <x:v>0</x:v>
      </x:c>
      <x:c r="M316" s="9" t="n">
        <x:v>0</x:v>
      </x:c>
      <x:c r="N316" s="9" t="str">
        <x:v>OPEN / UNACCEPTED</x:v>
      </x:c>
      <x:c r="O316" s="9" t="n">
        <x:f>COUNTIFS($A$7:$A$1734,A316)</x:f>
        <x:v>1</x:v>
      </x:c>
    </x:row>
    <x:row r="317">
      <x:c r="A317" s="9" t="str">
        <x:v>EV-AR-CT-C-B-TECH-3-B1-RCN-G0-OG11</x:v>
      </x:c>
      <x:c r="B317" s="9" t="str">
        <x:v>EV-AR-CT-C-B-TECH-3-B1-RCN-G0</x:v>
      </x:c>
      <x:c r="C317" s="9" t="str">
        <x:v>AR-CT-C-B-TECH-3-B1-RCN-G0</x:v>
      </x:c>
      <x:c r="D317" s="9" t="str">
        <x:v>CT-C-B-TECH-3</x:v>
      </x:c>
      <x:c r="E317" s="9" t="str">
        <x:v>CT-C-B</x:v>
      </x:c>
      <x:c r="F317" s="9" t="str">
        <x:v>B1</x:v>
      </x:c>
      <x:c r="G317" s="9" t="str">
        <x:v>RCN</x:v>
      </x:c>
      <x:c r="H317" s="9" t="str">
        <x:v>OG11</x:v>
      </x:c>
      <x:c r="I317" s="17" t="str">
        <x:v>Contradiction preservation</x:v>
      </x:c>
      <x:c r="J317" s="17" t="str">
        <x:v>primary-witness disagreement remains explicit and is never averaged away</x:v>
      </x:c>
      <x:c r="K317" s="17" t="str">
        <x:v>Dissent registrar</x:v>
      </x:c>
      <x:c r="L317" s="9" t="n">
        <x:v>0</x:v>
      </x:c>
      <x:c r="M317" s="9" t="n">
        <x:v>0</x:v>
      </x:c>
      <x:c r="N317" s="9" t="str">
        <x:v>OPEN / UNACCEPTED</x:v>
      </x:c>
      <x:c r="O317" s="9" t="n">
        <x:f>COUNTIFS($A$7:$A$1734,A317)</x:f>
        <x:v>1</x:v>
      </x:c>
    </x:row>
    <x:row r="318">
      <x:c r="A318" s="9" t="str">
        <x:v>EV-AR-CT-C-B-TECH-3-B1-RCN-G0-OG12</x:v>
      </x:c>
      <x:c r="B318" s="9" t="str">
        <x:v>EV-AR-CT-C-B-TECH-3-B1-RCN-G0</x:v>
      </x:c>
      <x:c r="C318" s="9" t="str">
        <x:v>AR-CT-C-B-TECH-3-B1-RCN-G0</x:v>
      </x:c>
      <x:c r="D318" s="9" t="str">
        <x:v>CT-C-B-TECH-3</x:v>
      </x:c>
      <x:c r="E318" s="9" t="str">
        <x:v>CT-C-B</x:v>
      </x:c>
      <x:c r="F318" s="9" t="str">
        <x:v>B1</x:v>
      </x:c>
      <x:c r="G318" s="9" t="str">
        <x:v>RCN</x:v>
      </x:c>
      <x:c r="H318" s="9" t="str">
        <x:v>OG12</x:v>
      </x:c>
      <x:c r="I318" s="17" t="str">
        <x:v>Independent replay</x:v>
      </x:c>
      <x:c r="J318" s="17" t="str">
        <x:v>a separated reader reconstructs the registered observables from sealed originals</x:v>
      </x:c>
      <x:c r="K318" s="17" t="str">
        <x:v>Replay court</x:v>
      </x:c>
      <x:c r="L318" s="9" t="n">
        <x:v>0</x:v>
      </x:c>
      <x:c r="M318" s="9" t="n">
        <x:v>0</x:v>
      </x:c>
      <x:c r="N318" s="9" t="str">
        <x:v>OPEN / UNACCEPTED</x:v>
      </x:c>
      <x:c r="O318" s="9" t="n">
        <x:f>COUNTIFS($A$7:$A$1734,A318)</x:f>
        <x:v>1</x:v>
      </x:c>
    </x:row>
    <x:row r="319">
      <x:c r="A319" s="9" t="str">
        <x:v>EV-AR-HC-A-C-TECH-1-B2-RCN-G0-OG01</x:v>
      </x:c>
      <x:c r="B319" s="9" t="str">
        <x:v>EV-AR-HC-A-C-TECH-1-B2-RCN-G0</x:v>
      </x:c>
      <x:c r="C319" s="9" t="str">
        <x:v>AR-HC-A-C-TECH-1-B2-RCN-G0</x:v>
      </x:c>
      <x:c r="D319" s="9" t="str">
        <x:v>HC-A-C-TECH-1</x:v>
      </x:c>
      <x:c r="E319" s="9" t="str">
        <x:v>HC-A-C</x:v>
      </x:c>
      <x:c r="F319" s="9" t="str">
        <x:v>B2</x:v>
      </x:c>
      <x:c r="G319" s="9" t="str">
        <x:v>RCN</x:v>
      </x:c>
      <x:c r="H319" s="9" t="str">
        <x:v>OG01</x:v>
      </x:c>
      <x:c r="I319" s="17" t="str">
        <x:v>Serial and event identity</x:v>
      </x:c>
      <x:c r="J319" s="17" t="str">
        <x:v>record resolves to the issued serial, generation and physical start</x:v>
      </x:c>
      <x:c r="K319" s="17" t="str">
        <x:v>Observation court</x:v>
      </x:c>
      <x:c r="L319" s="9" t="n">
        <x:v>0</x:v>
      </x:c>
      <x:c r="M319" s="9" t="n">
        <x:v>0</x:v>
      </x:c>
      <x:c r="N319" s="9" t="str">
        <x:v>OPEN / UNACCEPTED</x:v>
      </x:c>
      <x:c r="O319" s="9" t="n">
        <x:f>COUNTIFS($A$7:$A$1734,A319)</x:f>
        <x:v>1</x:v>
      </x:c>
    </x:row>
    <x:row r="320">
      <x:c r="A320" s="9" t="str">
        <x:v>EV-AR-HC-A-C-TECH-1-B2-RCN-G0-OG02</x:v>
      </x:c>
      <x:c r="B320" s="9" t="str">
        <x:v>EV-AR-HC-A-C-TECH-1-B2-RCN-G0</x:v>
      </x:c>
      <x:c r="C320" s="9" t="str">
        <x:v>AR-HC-A-C-TECH-1-B2-RCN-G0</x:v>
      </x:c>
      <x:c r="D320" s="9" t="str">
        <x:v>HC-A-C-TECH-1</x:v>
      </x:c>
      <x:c r="E320" s="9" t="str">
        <x:v>HC-A-C</x:v>
      </x:c>
      <x:c r="F320" s="9" t="str">
        <x:v>B2</x:v>
      </x:c>
      <x:c r="G320" s="9" t="str">
        <x:v>RCN</x:v>
      </x:c>
      <x:c r="H320" s="9" t="str">
        <x:v>OG02</x:v>
      </x:c>
      <x:c r="I320" s="17" t="str">
        <x:v>Time ancestry</x:v>
      </x:c>
      <x:c r="J320" s="17" t="str">
        <x:v>primary, witness and public event clocks retain declared offsets and drift</x:v>
      </x:c>
      <x:c r="K320" s="17" t="str">
        <x:v>Time authority</x:v>
      </x:c>
      <x:c r="L320" s="9" t="n">
        <x:v>0</x:v>
      </x:c>
      <x:c r="M320" s="9" t="n">
        <x:v>0</x:v>
      </x:c>
      <x:c r="N320" s="9" t="str">
        <x:v>OPEN / UNACCEPTED</x:v>
      </x:c>
      <x:c r="O320" s="9" t="n">
        <x:f>COUNTIFS($A$7:$A$1734,A320)</x:f>
        <x:v>1</x:v>
      </x:c>
    </x:row>
    <x:row r="321">
      <x:c r="A321" s="9" t="str">
        <x:v>EV-AR-HC-A-C-TECH-1-B2-RCN-G0-OG03</x:v>
      </x:c>
      <x:c r="B321" s="9" t="str">
        <x:v>EV-AR-HC-A-C-TECH-1-B2-RCN-G0</x:v>
      </x:c>
      <x:c r="C321" s="9" t="str">
        <x:v>AR-HC-A-C-TECH-1-B2-RCN-G0</x:v>
      </x:c>
      <x:c r="D321" s="9" t="str">
        <x:v>HC-A-C-TECH-1</x:v>
      </x:c>
      <x:c r="E321" s="9" t="str">
        <x:v>HC-A-C</x:v>
      </x:c>
      <x:c r="F321" s="9" t="str">
        <x:v>B2</x:v>
      </x:c>
      <x:c r="G321" s="9" t="str">
        <x:v>RCN</x:v>
      </x:c>
      <x:c r="H321" s="9" t="str">
        <x:v>OG03</x:v>
      </x:c>
      <x:c r="I321" s="17" t="str">
        <x:v>Calibration ancestry</x:v>
      </x:c>
      <x:c r="J321" s="17" t="str">
        <x:v>all reference, range and uncertainty states cover the live interval</x:v>
      </x:c>
      <x:c r="K321" s="17" t="str">
        <x:v>Metrology courts</x:v>
      </x:c>
      <x:c r="L321" s="9" t="n">
        <x:v>0</x:v>
      </x:c>
      <x:c r="M321" s="9" t="n">
        <x:v>0</x:v>
      </x:c>
      <x:c r="N321" s="9" t="str">
        <x:v>OPEN / UNACCEPTED</x:v>
      </x:c>
      <x:c r="O321" s="9" t="n">
        <x:f>COUNTIFS($A$7:$A$1734,A321)</x:f>
        <x:v>1</x:v>
      </x:c>
    </x:row>
    <x:row r="322">
      <x:c r="A322" s="9" t="str">
        <x:v>EV-AR-HC-A-C-TECH-1-B2-RCN-G0-OG04</x:v>
      </x:c>
      <x:c r="B322" s="9" t="str">
        <x:v>EV-AR-HC-A-C-TECH-1-B2-RCN-G0</x:v>
      </x:c>
      <x:c r="C322" s="9" t="str">
        <x:v>AR-HC-A-C-TECH-1-B2-RCN-G0</x:v>
      </x:c>
      <x:c r="D322" s="9" t="str">
        <x:v>HC-A-C-TECH-1</x:v>
      </x:c>
      <x:c r="E322" s="9" t="str">
        <x:v>HC-A-C</x:v>
      </x:c>
      <x:c r="F322" s="9" t="str">
        <x:v>B2</x:v>
      </x:c>
      <x:c r="G322" s="9" t="str">
        <x:v>RCN</x:v>
      </x:c>
      <x:c r="H322" s="9" t="str">
        <x:v>OG04</x:v>
      </x:c>
      <x:c r="I322" s="17" t="str">
        <x:v>Raw completeness</x:v>
      </x:c>
      <x:c r="J322" s="17" t="str">
        <x:v>missingness is enumerated without imputation or outcome-conditioned deletion</x:v>
      </x:c>
      <x:c r="K322" s="17" t="str">
        <x:v>Observation court</x:v>
      </x:c>
      <x:c r="L322" s="9" t="n">
        <x:v>0</x:v>
      </x:c>
      <x:c r="M322" s="9" t="n">
        <x:v>0</x:v>
      </x:c>
      <x:c r="N322" s="9" t="str">
        <x:v>OPEN / UNACCEPTED</x:v>
      </x:c>
      <x:c r="O322" s="9" t="n">
        <x:f>COUNTIFS($A$7:$A$1734,A322)</x:f>
        <x:v>1</x:v>
      </x:c>
    </x:row>
    <x:row r="323">
      <x:c r="A323" s="9" t="str">
        <x:v>EV-AR-HC-A-C-TECH-1-B2-RCN-G0-OG05</x:v>
      </x:c>
      <x:c r="B323" s="9" t="str">
        <x:v>EV-AR-HC-A-C-TECH-1-B2-RCN-G0</x:v>
      </x:c>
      <x:c r="C323" s="9" t="str">
        <x:v>AR-HC-A-C-TECH-1-B2-RCN-G0</x:v>
      </x:c>
      <x:c r="D323" s="9" t="str">
        <x:v>HC-A-C-TECH-1</x:v>
      </x:c>
      <x:c r="E323" s="9" t="str">
        <x:v>HC-A-C</x:v>
      </x:c>
      <x:c r="F323" s="9" t="str">
        <x:v>B2</x:v>
      </x:c>
      <x:c r="G323" s="9" t="str">
        <x:v>RCN</x:v>
      </x:c>
      <x:c r="H323" s="9" t="str">
        <x:v>OG05</x:v>
      </x:c>
      <x:c r="I323" s="17" t="str">
        <x:v>Primary provenance</x:v>
      </x:c>
      <x:c r="J323" s="17" t="str">
        <x:v>primary originals, hashes, keys and access history reconcile</x:v>
      </x:c>
      <x:c r="K323" s="17" t="str">
        <x:v>Primary custody</x:v>
      </x:c>
      <x:c r="L323" s="9" t="n">
        <x:v>0</x:v>
      </x:c>
      <x:c r="M323" s="9" t="n">
        <x:v>0</x:v>
      </x:c>
      <x:c r="N323" s="9" t="str">
        <x:v>OPEN / UNACCEPTED</x:v>
      </x:c>
      <x:c r="O323" s="9" t="n">
        <x:f>COUNTIFS($A$7:$A$1734,A323)</x:f>
        <x:v>1</x:v>
      </x:c>
    </x:row>
    <x:row r="324">
      <x:c r="A324" s="9" t="str">
        <x:v>EV-AR-HC-A-C-TECH-1-B2-RCN-G0-OG06</x:v>
      </x:c>
      <x:c r="B324" s="9" t="str">
        <x:v>EV-AR-HC-A-C-TECH-1-B2-RCN-G0</x:v>
      </x:c>
      <x:c r="C324" s="9" t="str">
        <x:v>AR-HC-A-C-TECH-1-B2-RCN-G0</x:v>
      </x:c>
      <x:c r="D324" s="9" t="str">
        <x:v>HC-A-C-TECH-1</x:v>
      </x:c>
      <x:c r="E324" s="9" t="str">
        <x:v>HC-A-C</x:v>
      </x:c>
      <x:c r="F324" s="9" t="str">
        <x:v>B2</x:v>
      </x:c>
      <x:c r="G324" s="9" t="str">
        <x:v>RCN</x:v>
      </x:c>
      <x:c r="H324" s="9" t="str">
        <x:v>OG06</x:v>
      </x:c>
      <x:c r="I324" s="17" t="str">
        <x:v>Witness provenance</x:v>
      </x:c>
      <x:c r="J324" s="17" t="str">
        <x:v>unlike witness originals, hashes, keys and access history reconcile</x:v>
      </x:c>
      <x:c r="K324" s="17" t="str">
        <x:v>Witness custody</x:v>
      </x:c>
      <x:c r="L324" s="9" t="n">
        <x:v>0</x:v>
      </x:c>
      <x:c r="M324" s="9" t="n">
        <x:v>0</x:v>
      </x:c>
      <x:c r="N324" s="9" t="str">
        <x:v>OPEN / UNACCEPTED</x:v>
      </x:c>
      <x:c r="O324" s="9" t="n">
        <x:f>COUNTIFS($A$7:$A$1734,A324)</x:f>
        <x:v>1</x:v>
      </x:c>
    </x:row>
    <x:row r="325">
      <x:c r="A325" s="9" t="str">
        <x:v>EV-AR-HC-A-C-TECH-1-B2-RCN-G0-OG07</x:v>
      </x:c>
      <x:c r="B325" s="9" t="str">
        <x:v>EV-AR-HC-A-C-TECH-1-B2-RCN-G0</x:v>
      </x:c>
      <x:c r="C325" s="9" t="str">
        <x:v>AR-HC-A-C-TECH-1-B2-RCN-G0</x:v>
      </x:c>
      <x:c r="D325" s="9" t="str">
        <x:v>HC-A-C-TECH-1</x:v>
      </x:c>
      <x:c r="E325" s="9" t="str">
        <x:v>HC-A-C</x:v>
      </x:c>
      <x:c r="F325" s="9" t="str">
        <x:v>B2</x:v>
      </x:c>
      <x:c r="G325" s="9" t="str">
        <x:v>RCN</x:v>
      </x:c>
      <x:c r="H325" s="9" t="str">
        <x:v>OG07</x:v>
      </x:c>
      <x:c r="I325" s="17" t="str">
        <x:v>Receiver denominator</x:v>
      </x:c>
      <x:c r="J325" s="17" t="str">
        <x:v>population, quantity, duration and exclusions match the frozen receipt</x:v>
      </x:c>
      <x:c r="K325" s="17" t="str">
        <x:v>Receiver court</x:v>
      </x:c>
      <x:c r="L325" s="9" t="n">
        <x:v>0</x:v>
      </x:c>
      <x:c r="M325" s="9" t="n">
        <x:v>0</x:v>
      </x:c>
      <x:c r="N325" s="9" t="str">
        <x:v>OPEN / UNACCEPTED</x:v>
      </x:c>
      <x:c r="O325" s="9" t="n">
        <x:f>COUNTIFS($A$7:$A$1734,A325)</x:f>
        <x:v>1</x:v>
      </x:c>
    </x:row>
    <x:row r="326">
      <x:c r="A326" s="9" t="str">
        <x:v>EV-AR-HC-A-C-TECH-1-B2-RCN-G0-OG08</x:v>
      </x:c>
      <x:c r="B326" s="9" t="str">
        <x:v>EV-AR-HC-A-C-TECH-1-B2-RCN-G0</x:v>
      </x:c>
      <x:c r="C326" s="9" t="str">
        <x:v>AR-HC-A-C-TECH-1-B2-RCN-G0</x:v>
      </x:c>
      <x:c r="D326" s="9" t="str">
        <x:v>HC-A-C-TECH-1</x:v>
      </x:c>
      <x:c r="E326" s="9" t="str">
        <x:v>HC-A-C</x:v>
      </x:c>
      <x:c r="F326" s="9" t="str">
        <x:v>B2</x:v>
      </x:c>
      <x:c r="G326" s="9" t="str">
        <x:v>RCN</x:v>
      </x:c>
      <x:c r="H326" s="9" t="str">
        <x:v>OG08</x:v>
      </x:c>
      <x:c r="I326" s="17" t="str">
        <x:v>Environment and boundary</x:v>
      </x:c>
      <x:c r="J326" s="17" t="str">
        <x:v>registered weather, water, ground, inlet and outlet states are retained</x:v>
      </x:c>
      <x:c r="K326" s="17" t="str">
        <x:v>Boundary court</x:v>
      </x:c>
      <x:c r="L326" s="9" t="n">
        <x:v>0</x:v>
      </x:c>
      <x:c r="M326" s="9" t="n">
        <x:v>0</x:v>
      </x:c>
      <x:c r="N326" s="9" t="str">
        <x:v>OPEN / UNACCEPTED</x:v>
      </x:c>
      <x:c r="O326" s="9" t="n">
        <x:f>COUNTIFS($A$7:$A$1734,A326)</x:f>
        <x:v>1</x:v>
      </x:c>
    </x:row>
    <x:row r="327">
      <x:c r="A327" s="9" t="str">
        <x:v>EV-AR-HC-A-C-TECH-1-B2-RCN-G0-OG09</x:v>
      </x:c>
      <x:c r="B327" s="9" t="str">
        <x:v>EV-AR-HC-A-C-TECH-1-B2-RCN-G0</x:v>
      </x:c>
      <x:c r="C327" s="9" t="str">
        <x:v>AR-HC-A-C-TECH-1-B2-RCN-G0</x:v>
      </x:c>
      <x:c r="D327" s="9" t="str">
        <x:v>HC-A-C-TECH-1</x:v>
      </x:c>
      <x:c r="E327" s="9" t="str">
        <x:v>HC-A-C</x:v>
      </x:c>
      <x:c r="F327" s="9" t="str">
        <x:v>B2</x:v>
      </x:c>
      <x:c r="G327" s="9" t="str">
        <x:v>RCN</x:v>
      </x:c>
      <x:c r="H327" s="9" t="str">
        <x:v>OG09</x:v>
      </x:c>
      <x:c r="I327" s="17" t="str">
        <x:v>Intervention account</x:v>
      </x:c>
      <x:c r="J327" s="17" t="str">
        <x:v>all stop, rescue, operator and public-protection actions remain timestamped</x:v>
      </x:c>
      <x:c r="K327" s="17" t="str">
        <x:v>Safety record court</x:v>
      </x:c>
      <x:c r="L327" s="9" t="n">
        <x:v>0</x:v>
      </x:c>
      <x:c r="M327" s="9" t="n">
        <x:v>0</x:v>
      </x:c>
      <x:c r="N327" s="9" t="str">
        <x:v>OPEN / UNACCEPTED</x:v>
      </x:c>
      <x:c r="O327" s="9" t="n">
        <x:f>COUNTIFS($A$7:$A$1734,A327)</x:f>
        <x:v>1</x:v>
      </x:c>
    </x:row>
    <x:row r="328">
      <x:c r="A328" s="9" t="str">
        <x:v>EV-AR-HC-A-C-TECH-1-B2-RCN-G0-OG10</x:v>
      </x:c>
      <x:c r="B328" s="9" t="str">
        <x:v>EV-AR-HC-A-C-TECH-1-B2-RCN-G0</x:v>
      </x:c>
      <x:c r="C328" s="9" t="str">
        <x:v>AR-HC-A-C-TECH-1-B2-RCN-G0</x:v>
      </x:c>
      <x:c r="D328" s="9" t="str">
        <x:v>HC-A-C-TECH-1</x:v>
      </x:c>
      <x:c r="E328" s="9" t="str">
        <x:v>HC-A-C</x:v>
      </x:c>
      <x:c r="F328" s="9" t="str">
        <x:v>B2</x:v>
      </x:c>
      <x:c r="G328" s="9" t="str">
        <x:v>RCN</x:v>
      </x:c>
      <x:c r="H328" s="9" t="str">
        <x:v>OG10</x:v>
      </x:c>
      <x:c r="I328" s="17" t="str">
        <x:v>Uncertainty statement</x:v>
      </x:c>
      <x:c r="J328" s="17" t="str">
        <x:v>range, censoring, resolution and correlation are declared before judgment</x:v>
      </x:c>
      <x:c r="K328" s="17" t="str">
        <x:v>Uncertainty authority</x:v>
      </x:c>
      <x:c r="L328" s="9" t="n">
        <x:v>0</x:v>
      </x:c>
      <x:c r="M328" s="9" t="n">
        <x:v>0</x:v>
      </x:c>
      <x:c r="N328" s="9" t="str">
        <x:v>OPEN / UNACCEPTED</x:v>
      </x:c>
      <x:c r="O328" s="9" t="n">
        <x:f>COUNTIFS($A$7:$A$1734,A328)</x:f>
        <x:v>1</x:v>
      </x:c>
    </x:row>
    <x:row r="329">
      <x:c r="A329" s="9" t="str">
        <x:v>EV-AR-HC-A-C-TECH-1-B2-RCN-G0-OG11</x:v>
      </x:c>
      <x:c r="B329" s="9" t="str">
        <x:v>EV-AR-HC-A-C-TECH-1-B2-RCN-G0</x:v>
      </x:c>
      <x:c r="C329" s="9" t="str">
        <x:v>AR-HC-A-C-TECH-1-B2-RCN-G0</x:v>
      </x:c>
      <x:c r="D329" s="9" t="str">
        <x:v>HC-A-C-TECH-1</x:v>
      </x:c>
      <x:c r="E329" s="9" t="str">
        <x:v>HC-A-C</x:v>
      </x:c>
      <x:c r="F329" s="9" t="str">
        <x:v>B2</x:v>
      </x:c>
      <x:c r="G329" s="9" t="str">
        <x:v>RCN</x:v>
      </x:c>
      <x:c r="H329" s="9" t="str">
        <x:v>OG11</x:v>
      </x:c>
      <x:c r="I329" s="17" t="str">
        <x:v>Contradiction preservation</x:v>
      </x:c>
      <x:c r="J329" s="17" t="str">
        <x:v>primary-witness disagreement remains explicit and is never averaged away</x:v>
      </x:c>
      <x:c r="K329" s="17" t="str">
        <x:v>Dissent registrar</x:v>
      </x:c>
      <x:c r="L329" s="9" t="n">
        <x:v>0</x:v>
      </x:c>
      <x:c r="M329" s="9" t="n">
        <x:v>0</x:v>
      </x:c>
      <x:c r="N329" s="9" t="str">
        <x:v>OPEN / UNACCEPTED</x:v>
      </x:c>
      <x:c r="O329" s="9" t="n">
        <x:f>COUNTIFS($A$7:$A$1734,A329)</x:f>
        <x:v>1</x:v>
      </x:c>
    </x:row>
    <x:row r="330">
      <x:c r="A330" s="9" t="str">
        <x:v>EV-AR-HC-A-C-TECH-1-B2-RCN-G0-OG12</x:v>
      </x:c>
      <x:c r="B330" s="9" t="str">
        <x:v>EV-AR-HC-A-C-TECH-1-B2-RCN-G0</x:v>
      </x:c>
      <x:c r="C330" s="9" t="str">
        <x:v>AR-HC-A-C-TECH-1-B2-RCN-G0</x:v>
      </x:c>
      <x:c r="D330" s="9" t="str">
        <x:v>HC-A-C-TECH-1</x:v>
      </x:c>
      <x:c r="E330" s="9" t="str">
        <x:v>HC-A-C</x:v>
      </x:c>
      <x:c r="F330" s="9" t="str">
        <x:v>B2</x:v>
      </x:c>
      <x:c r="G330" s="9" t="str">
        <x:v>RCN</x:v>
      </x:c>
      <x:c r="H330" s="9" t="str">
        <x:v>OG12</x:v>
      </x:c>
      <x:c r="I330" s="17" t="str">
        <x:v>Independent replay</x:v>
      </x:c>
      <x:c r="J330" s="17" t="str">
        <x:v>a separated reader reconstructs the registered observables from sealed originals</x:v>
      </x:c>
      <x:c r="K330" s="17" t="str">
        <x:v>Replay court</x:v>
      </x:c>
      <x:c r="L330" s="9" t="n">
        <x:v>0</x:v>
      </x:c>
      <x:c r="M330" s="9" t="n">
        <x:v>0</x:v>
      </x:c>
      <x:c r="N330" s="9" t="str">
        <x:v>OPEN / UNACCEPTED</x:v>
      </x:c>
      <x:c r="O330" s="9" t="n">
        <x:f>COUNTIFS($A$7:$A$1734,A330)</x:f>
        <x:v>1</x:v>
      </x:c>
    </x:row>
    <x:row r="331">
      <x:c r="A331" s="9" t="str">
        <x:v>EV-AR-HC-A-C-TECH-3-B2-BRK-G0-OG01</x:v>
      </x:c>
      <x:c r="B331" s="9" t="str">
        <x:v>EV-AR-HC-A-C-TECH-3-B2-BRK-G0</x:v>
      </x:c>
      <x:c r="C331" s="9" t="str">
        <x:v>AR-HC-A-C-TECH-3-B2-BRK-G0</x:v>
      </x:c>
      <x:c r="D331" s="9" t="str">
        <x:v>HC-A-C-TECH-3</x:v>
      </x:c>
      <x:c r="E331" s="9" t="str">
        <x:v>HC-A-C</x:v>
      </x:c>
      <x:c r="F331" s="9" t="str">
        <x:v>B2</x:v>
      </x:c>
      <x:c r="G331" s="9" t="str">
        <x:v>BRK</x:v>
      </x:c>
      <x:c r="H331" s="9" t="str">
        <x:v>OG01</x:v>
      </x:c>
      <x:c r="I331" s="17" t="str">
        <x:v>Serial and event identity</x:v>
      </x:c>
      <x:c r="J331" s="17" t="str">
        <x:v>record resolves to the issued serial, generation and physical start</x:v>
      </x:c>
      <x:c r="K331" s="17" t="str">
        <x:v>Observation court</x:v>
      </x:c>
      <x:c r="L331" s="9" t="n">
        <x:v>0</x:v>
      </x:c>
      <x:c r="M331" s="9" t="n">
        <x:v>0</x:v>
      </x:c>
      <x:c r="N331" s="9" t="str">
        <x:v>OPEN / UNACCEPTED</x:v>
      </x:c>
      <x:c r="O331" s="9" t="n">
        <x:f>COUNTIFS($A$7:$A$1734,A331)</x:f>
        <x:v>1</x:v>
      </x:c>
    </x:row>
    <x:row r="332">
      <x:c r="A332" s="9" t="str">
        <x:v>EV-AR-HC-A-C-TECH-3-B2-BRK-G0-OG02</x:v>
      </x:c>
      <x:c r="B332" s="9" t="str">
        <x:v>EV-AR-HC-A-C-TECH-3-B2-BRK-G0</x:v>
      </x:c>
      <x:c r="C332" s="9" t="str">
        <x:v>AR-HC-A-C-TECH-3-B2-BRK-G0</x:v>
      </x:c>
      <x:c r="D332" s="9" t="str">
        <x:v>HC-A-C-TECH-3</x:v>
      </x:c>
      <x:c r="E332" s="9" t="str">
        <x:v>HC-A-C</x:v>
      </x:c>
      <x:c r="F332" s="9" t="str">
        <x:v>B2</x:v>
      </x:c>
      <x:c r="G332" s="9" t="str">
        <x:v>BRK</x:v>
      </x:c>
      <x:c r="H332" s="9" t="str">
        <x:v>OG02</x:v>
      </x:c>
      <x:c r="I332" s="17" t="str">
        <x:v>Time ancestry</x:v>
      </x:c>
      <x:c r="J332" s="17" t="str">
        <x:v>primary, witness and public event clocks retain declared offsets and drift</x:v>
      </x:c>
      <x:c r="K332" s="17" t="str">
        <x:v>Time authority</x:v>
      </x:c>
      <x:c r="L332" s="9" t="n">
        <x:v>0</x:v>
      </x:c>
      <x:c r="M332" s="9" t="n">
        <x:v>0</x:v>
      </x:c>
      <x:c r="N332" s="9" t="str">
        <x:v>OPEN / UNACCEPTED</x:v>
      </x:c>
      <x:c r="O332" s="9" t="n">
        <x:f>COUNTIFS($A$7:$A$1734,A332)</x:f>
        <x:v>1</x:v>
      </x:c>
    </x:row>
    <x:row r="333">
      <x:c r="A333" s="9" t="str">
        <x:v>EV-AR-HC-A-C-TECH-3-B2-BRK-G0-OG03</x:v>
      </x:c>
      <x:c r="B333" s="9" t="str">
        <x:v>EV-AR-HC-A-C-TECH-3-B2-BRK-G0</x:v>
      </x:c>
      <x:c r="C333" s="9" t="str">
        <x:v>AR-HC-A-C-TECH-3-B2-BRK-G0</x:v>
      </x:c>
      <x:c r="D333" s="9" t="str">
        <x:v>HC-A-C-TECH-3</x:v>
      </x:c>
      <x:c r="E333" s="9" t="str">
        <x:v>HC-A-C</x:v>
      </x:c>
      <x:c r="F333" s="9" t="str">
        <x:v>B2</x:v>
      </x:c>
      <x:c r="G333" s="9" t="str">
        <x:v>BRK</x:v>
      </x:c>
      <x:c r="H333" s="9" t="str">
        <x:v>OG03</x:v>
      </x:c>
      <x:c r="I333" s="17" t="str">
        <x:v>Calibration ancestry</x:v>
      </x:c>
      <x:c r="J333" s="17" t="str">
        <x:v>all reference, range and uncertainty states cover the live interval</x:v>
      </x:c>
      <x:c r="K333" s="17" t="str">
        <x:v>Metrology courts</x:v>
      </x:c>
      <x:c r="L333" s="9" t="n">
        <x:v>0</x:v>
      </x:c>
      <x:c r="M333" s="9" t="n">
        <x:v>0</x:v>
      </x:c>
      <x:c r="N333" s="9" t="str">
        <x:v>OPEN / UNACCEPTED</x:v>
      </x:c>
      <x:c r="O333" s="9" t="n">
        <x:f>COUNTIFS($A$7:$A$1734,A333)</x:f>
        <x:v>1</x:v>
      </x:c>
    </x:row>
    <x:row r="334">
      <x:c r="A334" s="9" t="str">
        <x:v>EV-AR-HC-A-C-TECH-3-B2-BRK-G0-OG04</x:v>
      </x:c>
      <x:c r="B334" s="9" t="str">
        <x:v>EV-AR-HC-A-C-TECH-3-B2-BRK-G0</x:v>
      </x:c>
      <x:c r="C334" s="9" t="str">
        <x:v>AR-HC-A-C-TECH-3-B2-BRK-G0</x:v>
      </x:c>
      <x:c r="D334" s="9" t="str">
        <x:v>HC-A-C-TECH-3</x:v>
      </x:c>
      <x:c r="E334" s="9" t="str">
        <x:v>HC-A-C</x:v>
      </x:c>
      <x:c r="F334" s="9" t="str">
        <x:v>B2</x:v>
      </x:c>
      <x:c r="G334" s="9" t="str">
        <x:v>BRK</x:v>
      </x:c>
      <x:c r="H334" s="9" t="str">
        <x:v>OG04</x:v>
      </x:c>
      <x:c r="I334" s="17" t="str">
        <x:v>Raw completeness</x:v>
      </x:c>
      <x:c r="J334" s="17" t="str">
        <x:v>missingness is enumerated without imputation or outcome-conditioned deletion</x:v>
      </x:c>
      <x:c r="K334" s="17" t="str">
        <x:v>Observation court</x:v>
      </x:c>
      <x:c r="L334" s="9" t="n">
        <x:v>0</x:v>
      </x:c>
      <x:c r="M334" s="9" t="n">
        <x:v>0</x:v>
      </x:c>
      <x:c r="N334" s="9" t="str">
        <x:v>OPEN / UNACCEPTED</x:v>
      </x:c>
      <x:c r="O334" s="9" t="n">
        <x:f>COUNTIFS($A$7:$A$1734,A334)</x:f>
        <x:v>1</x:v>
      </x:c>
    </x:row>
    <x:row r="335">
      <x:c r="A335" s="9" t="str">
        <x:v>EV-AR-HC-A-C-TECH-3-B2-BRK-G0-OG05</x:v>
      </x:c>
      <x:c r="B335" s="9" t="str">
        <x:v>EV-AR-HC-A-C-TECH-3-B2-BRK-G0</x:v>
      </x:c>
      <x:c r="C335" s="9" t="str">
        <x:v>AR-HC-A-C-TECH-3-B2-BRK-G0</x:v>
      </x:c>
      <x:c r="D335" s="9" t="str">
        <x:v>HC-A-C-TECH-3</x:v>
      </x:c>
      <x:c r="E335" s="9" t="str">
        <x:v>HC-A-C</x:v>
      </x:c>
      <x:c r="F335" s="9" t="str">
        <x:v>B2</x:v>
      </x:c>
      <x:c r="G335" s="9" t="str">
        <x:v>BRK</x:v>
      </x:c>
      <x:c r="H335" s="9" t="str">
        <x:v>OG05</x:v>
      </x:c>
      <x:c r="I335" s="17" t="str">
        <x:v>Primary provenance</x:v>
      </x:c>
      <x:c r="J335" s="17" t="str">
        <x:v>primary originals, hashes, keys and access history reconcile</x:v>
      </x:c>
      <x:c r="K335" s="17" t="str">
        <x:v>Primary custody</x:v>
      </x:c>
      <x:c r="L335" s="9" t="n">
        <x:v>0</x:v>
      </x:c>
      <x:c r="M335" s="9" t="n">
        <x:v>0</x:v>
      </x:c>
      <x:c r="N335" s="9" t="str">
        <x:v>OPEN / UNACCEPTED</x:v>
      </x:c>
      <x:c r="O335" s="9" t="n">
        <x:f>COUNTIFS($A$7:$A$1734,A335)</x:f>
        <x:v>1</x:v>
      </x:c>
    </x:row>
    <x:row r="336">
      <x:c r="A336" s="9" t="str">
        <x:v>EV-AR-HC-A-C-TECH-3-B2-BRK-G0-OG06</x:v>
      </x:c>
      <x:c r="B336" s="9" t="str">
        <x:v>EV-AR-HC-A-C-TECH-3-B2-BRK-G0</x:v>
      </x:c>
      <x:c r="C336" s="9" t="str">
        <x:v>AR-HC-A-C-TECH-3-B2-BRK-G0</x:v>
      </x:c>
      <x:c r="D336" s="9" t="str">
        <x:v>HC-A-C-TECH-3</x:v>
      </x:c>
      <x:c r="E336" s="9" t="str">
        <x:v>HC-A-C</x:v>
      </x:c>
      <x:c r="F336" s="9" t="str">
        <x:v>B2</x:v>
      </x:c>
      <x:c r="G336" s="9" t="str">
        <x:v>BRK</x:v>
      </x:c>
      <x:c r="H336" s="9" t="str">
        <x:v>OG06</x:v>
      </x:c>
      <x:c r="I336" s="17" t="str">
        <x:v>Witness provenance</x:v>
      </x:c>
      <x:c r="J336" s="17" t="str">
        <x:v>unlike witness originals, hashes, keys and access history reconcile</x:v>
      </x:c>
      <x:c r="K336" s="17" t="str">
        <x:v>Witness custody</x:v>
      </x:c>
      <x:c r="L336" s="9" t="n">
        <x:v>0</x:v>
      </x:c>
      <x:c r="M336" s="9" t="n">
        <x:v>0</x:v>
      </x:c>
      <x:c r="N336" s="9" t="str">
        <x:v>OPEN / UNACCEPTED</x:v>
      </x:c>
      <x:c r="O336" s="9" t="n">
        <x:f>COUNTIFS($A$7:$A$1734,A336)</x:f>
        <x:v>1</x:v>
      </x:c>
    </x:row>
    <x:row r="337">
      <x:c r="A337" s="9" t="str">
        <x:v>EV-AR-HC-A-C-TECH-3-B2-BRK-G0-OG07</x:v>
      </x:c>
      <x:c r="B337" s="9" t="str">
        <x:v>EV-AR-HC-A-C-TECH-3-B2-BRK-G0</x:v>
      </x:c>
      <x:c r="C337" s="9" t="str">
        <x:v>AR-HC-A-C-TECH-3-B2-BRK-G0</x:v>
      </x:c>
      <x:c r="D337" s="9" t="str">
        <x:v>HC-A-C-TECH-3</x:v>
      </x:c>
      <x:c r="E337" s="9" t="str">
        <x:v>HC-A-C</x:v>
      </x:c>
      <x:c r="F337" s="9" t="str">
        <x:v>B2</x:v>
      </x:c>
      <x:c r="G337" s="9" t="str">
        <x:v>BRK</x:v>
      </x:c>
      <x:c r="H337" s="9" t="str">
        <x:v>OG07</x:v>
      </x:c>
      <x:c r="I337" s="17" t="str">
        <x:v>Receiver denominator</x:v>
      </x:c>
      <x:c r="J337" s="17" t="str">
        <x:v>population, quantity, duration and exclusions match the frozen receipt</x:v>
      </x:c>
      <x:c r="K337" s="17" t="str">
        <x:v>Receiver court</x:v>
      </x:c>
      <x:c r="L337" s="9" t="n">
        <x:v>0</x:v>
      </x:c>
      <x:c r="M337" s="9" t="n">
        <x:v>0</x:v>
      </x:c>
      <x:c r="N337" s="9" t="str">
        <x:v>OPEN / UNACCEPTED</x:v>
      </x:c>
      <x:c r="O337" s="9" t="n">
        <x:f>COUNTIFS($A$7:$A$1734,A337)</x:f>
        <x:v>1</x:v>
      </x:c>
    </x:row>
    <x:row r="338">
      <x:c r="A338" s="9" t="str">
        <x:v>EV-AR-HC-A-C-TECH-3-B2-BRK-G0-OG08</x:v>
      </x:c>
      <x:c r="B338" s="9" t="str">
        <x:v>EV-AR-HC-A-C-TECH-3-B2-BRK-G0</x:v>
      </x:c>
      <x:c r="C338" s="9" t="str">
        <x:v>AR-HC-A-C-TECH-3-B2-BRK-G0</x:v>
      </x:c>
      <x:c r="D338" s="9" t="str">
        <x:v>HC-A-C-TECH-3</x:v>
      </x:c>
      <x:c r="E338" s="9" t="str">
        <x:v>HC-A-C</x:v>
      </x:c>
      <x:c r="F338" s="9" t="str">
        <x:v>B2</x:v>
      </x:c>
      <x:c r="G338" s="9" t="str">
        <x:v>BRK</x:v>
      </x:c>
      <x:c r="H338" s="9" t="str">
        <x:v>OG08</x:v>
      </x:c>
      <x:c r="I338" s="17" t="str">
        <x:v>Environment and boundary</x:v>
      </x:c>
      <x:c r="J338" s="17" t="str">
        <x:v>registered weather, water, ground, inlet and outlet states are retained</x:v>
      </x:c>
      <x:c r="K338" s="17" t="str">
        <x:v>Boundary court</x:v>
      </x:c>
      <x:c r="L338" s="9" t="n">
        <x:v>0</x:v>
      </x:c>
      <x:c r="M338" s="9" t="n">
        <x:v>0</x:v>
      </x:c>
      <x:c r="N338" s="9" t="str">
        <x:v>OPEN / UNACCEPTED</x:v>
      </x:c>
      <x:c r="O338" s="9" t="n">
        <x:f>COUNTIFS($A$7:$A$1734,A338)</x:f>
        <x:v>1</x:v>
      </x:c>
    </x:row>
    <x:row r="339">
      <x:c r="A339" s="9" t="str">
        <x:v>EV-AR-HC-A-C-TECH-3-B2-BRK-G0-OG09</x:v>
      </x:c>
      <x:c r="B339" s="9" t="str">
        <x:v>EV-AR-HC-A-C-TECH-3-B2-BRK-G0</x:v>
      </x:c>
      <x:c r="C339" s="9" t="str">
        <x:v>AR-HC-A-C-TECH-3-B2-BRK-G0</x:v>
      </x:c>
      <x:c r="D339" s="9" t="str">
        <x:v>HC-A-C-TECH-3</x:v>
      </x:c>
      <x:c r="E339" s="9" t="str">
        <x:v>HC-A-C</x:v>
      </x:c>
      <x:c r="F339" s="9" t="str">
        <x:v>B2</x:v>
      </x:c>
      <x:c r="G339" s="9" t="str">
        <x:v>BRK</x:v>
      </x:c>
      <x:c r="H339" s="9" t="str">
        <x:v>OG09</x:v>
      </x:c>
      <x:c r="I339" s="17" t="str">
        <x:v>Intervention account</x:v>
      </x:c>
      <x:c r="J339" s="17" t="str">
        <x:v>all stop, rescue, operator and public-protection actions remain timestamped</x:v>
      </x:c>
      <x:c r="K339" s="17" t="str">
        <x:v>Safety record court</x:v>
      </x:c>
      <x:c r="L339" s="9" t="n">
        <x:v>0</x:v>
      </x:c>
      <x:c r="M339" s="9" t="n">
        <x:v>0</x:v>
      </x:c>
      <x:c r="N339" s="9" t="str">
        <x:v>OPEN / UNACCEPTED</x:v>
      </x:c>
      <x:c r="O339" s="9" t="n">
        <x:f>COUNTIFS($A$7:$A$1734,A339)</x:f>
        <x:v>1</x:v>
      </x:c>
    </x:row>
    <x:row r="340">
      <x:c r="A340" s="9" t="str">
        <x:v>EV-AR-HC-A-C-TECH-3-B2-BRK-G0-OG10</x:v>
      </x:c>
      <x:c r="B340" s="9" t="str">
        <x:v>EV-AR-HC-A-C-TECH-3-B2-BRK-G0</x:v>
      </x:c>
      <x:c r="C340" s="9" t="str">
        <x:v>AR-HC-A-C-TECH-3-B2-BRK-G0</x:v>
      </x:c>
      <x:c r="D340" s="9" t="str">
        <x:v>HC-A-C-TECH-3</x:v>
      </x:c>
      <x:c r="E340" s="9" t="str">
        <x:v>HC-A-C</x:v>
      </x:c>
      <x:c r="F340" s="9" t="str">
        <x:v>B2</x:v>
      </x:c>
      <x:c r="G340" s="9" t="str">
        <x:v>BRK</x:v>
      </x:c>
      <x:c r="H340" s="9" t="str">
        <x:v>OG10</x:v>
      </x:c>
      <x:c r="I340" s="17" t="str">
        <x:v>Uncertainty statement</x:v>
      </x:c>
      <x:c r="J340" s="17" t="str">
        <x:v>range, censoring, resolution and correlation are declared before judgment</x:v>
      </x:c>
      <x:c r="K340" s="17" t="str">
        <x:v>Uncertainty authority</x:v>
      </x:c>
      <x:c r="L340" s="9" t="n">
        <x:v>0</x:v>
      </x:c>
      <x:c r="M340" s="9" t="n">
        <x:v>0</x:v>
      </x:c>
      <x:c r="N340" s="9" t="str">
        <x:v>OPEN / UNACCEPTED</x:v>
      </x:c>
      <x:c r="O340" s="9" t="n">
        <x:f>COUNTIFS($A$7:$A$1734,A340)</x:f>
        <x:v>1</x:v>
      </x:c>
    </x:row>
    <x:row r="341">
      <x:c r="A341" s="9" t="str">
        <x:v>EV-AR-HC-A-C-TECH-3-B2-BRK-G0-OG11</x:v>
      </x:c>
      <x:c r="B341" s="9" t="str">
        <x:v>EV-AR-HC-A-C-TECH-3-B2-BRK-G0</x:v>
      </x:c>
      <x:c r="C341" s="9" t="str">
        <x:v>AR-HC-A-C-TECH-3-B2-BRK-G0</x:v>
      </x:c>
      <x:c r="D341" s="9" t="str">
        <x:v>HC-A-C-TECH-3</x:v>
      </x:c>
      <x:c r="E341" s="9" t="str">
        <x:v>HC-A-C</x:v>
      </x:c>
      <x:c r="F341" s="9" t="str">
        <x:v>B2</x:v>
      </x:c>
      <x:c r="G341" s="9" t="str">
        <x:v>BRK</x:v>
      </x:c>
      <x:c r="H341" s="9" t="str">
        <x:v>OG11</x:v>
      </x:c>
      <x:c r="I341" s="17" t="str">
        <x:v>Contradiction preservation</x:v>
      </x:c>
      <x:c r="J341" s="17" t="str">
        <x:v>primary-witness disagreement remains explicit and is never averaged away</x:v>
      </x:c>
      <x:c r="K341" s="17" t="str">
        <x:v>Dissent registrar</x:v>
      </x:c>
      <x:c r="L341" s="9" t="n">
        <x:v>0</x:v>
      </x:c>
      <x:c r="M341" s="9" t="n">
        <x:v>0</x:v>
      </x:c>
      <x:c r="N341" s="9" t="str">
        <x:v>OPEN / UNACCEPTED</x:v>
      </x:c>
      <x:c r="O341" s="9" t="n">
        <x:f>COUNTIFS($A$7:$A$1734,A341)</x:f>
        <x:v>1</x:v>
      </x:c>
    </x:row>
    <x:row r="342">
      <x:c r="A342" s="9" t="str">
        <x:v>EV-AR-HC-A-C-TECH-3-B2-BRK-G0-OG12</x:v>
      </x:c>
      <x:c r="B342" s="9" t="str">
        <x:v>EV-AR-HC-A-C-TECH-3-B2-BRK-G0</x:v>
      </x:c>
      <x:c r="C342" s="9" t="str">
        <x:v>AR-HC-A-C-TECH-3-B2-BRK-G0</x:v>
      </x:c>
      <x:c r="D342" s="9" t="str">
        <x:v>HC-A-C-TECH-3</x:v>
      </x:c>
      <x:c r="E342" s="9" t="str">
        <x:v>HC-A-C</x:v>
      </x:c>
      <x:c r="F342" s="9" t="str">
        <x:v>B2</x:v>
      </x:c>
      <x:c r="G342" s="9" t="str">
        <x:v>BRK</x:v>
      </x:c>
      <x:c r="H342" s="9" t="str">
        <x:v>OG12</x:v>
      </x:c>
      <x:c r="I342" s="17" t="str">
        <x:v>Independent replay</x:v>
      </x:c>
      <x:c r="J342" s="17" t="str">
        <x:v>a separated reader reconstructs the registered observables from sealed originals</x:v>
      </x:c>
      <x:c r="K342" s="17" t="str">
        <x:v>Replay court</x:v>
      </x:c>
      <x:c r="L342" s="9" t="n">
        <x:v>0</x:v>
      </x:c>
      <x:c r="M342" s="9" t="n">
        <x:v>0</x:v>
      </x:c>
      <x:c r="N342" s="9" t="str">
        <x:v>OPEN / UNACCEPTED</x:v>
      </x:c>
      <x:c r="O342" s="9" t="n">
        <x:f>COUNTIFS($A$7:$A$1734,A342)</x:f>
        <x:v>1</x:v>
      </x:c>
    </x:row>
    <x:row r="343">
      <x:c r="A343" s="9" t="str">
        <x:v>EV-AR-HU-A-B-TECH-4-B1-INT-G0-OG01</x:v>
      </x:c>
      <x:c r="B343" s="9" t="str">
        <x:v>EV-AR-HU-A-B-TECH-4-B1-INT-G0</x:v>
      </x:c>
      <x:c r="C343" s="9" t="str">
        <x:v>AR-HU-A-B-TECH-4-B1-INT-G0</x:v>
      </x:c>
      <x:c r="D343" s="9" t="str">
        <x:v>HU-A-B-TECH-4</x:v>
      </x:c>
      <x:c r="E343" s="9" t="str">
        <x:v>HU-A-B</x:v>
      </x:c>
      <x:c r="F343" s="9" t="str">
        <x:v>B1</x:v>
      </x:c>
      <x:c r="G343" s="9" t="str">
        <x:v>INT</x:v>
      </x:c>
      <x:c r="H343" s="9" t="str">
        <x:v>OG01</x:v>
      </x:c>
      <x:c r="I343" s="17" t="str">
        <x:v>Serial and event identity</x:v>
      </x:c>
      <x:c r="J343" s="17" t="str">
        <x:v>record resolves to the issued serial, generation and physical start</x:v>
      </x:c>
      <x:c r="K343" s="17" t="str">
        <x:v>Observation court</x:v>
      </x:c>
      <x:c r="L343" s="9" t="n">
        <x:v>0</x:v>
      </x:c>
      <x:c r="M343" s="9" t="n">
        <x:v>0</x:v>
      </x:c>
      <x:c r="N343" s="9" t="str">
        <x:v>OPEN / UNACCEPTED</x:v>
      </x:c>
      <x:c r="O343" s="9" t="n">
        <x:f>COUNTIFS($A$7:$A$1734,A343)</x:f>
        <x:v>1</x:v>
      </x:c>
    </x:row>
    <x:row r="344">
      <x:c r="A344" s="9" t="str">
        <x:v>EV-AR-HU-A-B-TECH-4-B1-INT-G0-OG02</x:v>
      </x:c>
      <x:c r="B344" s="9" t="str">
        <x:v>EV-AR-HU-A-B-TECH-4-B1-INT-G0</x:v>
      </x:c>
      <x:c r="C344" s="9" t="str">
        <x:v>AR-HU-A-B-TECH-4-B1-INT-G0</x:v>
      </x:c>
      <x:c r="D344" s="9" t="str">
        <x:v>HU-A-B-TECH-4</x:v>
      </x:c>
      <x:c r="E344" s="9" t="str">
        <x:v>HU-A-B</x:v>
      </x:c>
      <x:c r="F344" s="9" t="str">
        <x:v>B1</x:v>
      </x:c>
      <x:c r="G344" s="9" t="str">
        <x:v>INT</x:v>
      </x:c>
      <x:c r="H344" s="9" t="str">
        <x:v>OG02</x:v>
      </x:c>
      <x:c r="I344" s="17" t="str">
        <x:v>Time ancestry</x:v>
      </x:c>
      <x:c r="J344" s="17" t="str">
        <x:v>primary, witness and public event clocks retain declared offsets and drift</x:v>
      </x:c>
      <x:c r="K344" s="17" t="str">
        <x:v>Time authority</x:v>
      </x:c>
      <x:c r="L344" s="9" t="n">
        <x:v>0</x:v>
      </x:c>
      <x:c r="M344" s="9" t="n">
        <x:v>0</x:v>
      </x:c>
      <x:c r="N344" s="9" t="str">
        <x:v>OPEN / UNACCEPTED</x:v>
      </x:c>
      <x:c r="O344" s="9" t="n">
        <x:f>COUNTIFS($A$7:$A$1734,A344)</x:f>
        <x:v>1</x:v>
      </x:c>
    </x:row>
    <x:row r="345">
      <x:c r="A345" s="9" t="str">
        <x:v>EV-AR-HU-A-B-TECH-4-B1-INT-G0-OG03</x:v>
      </x:c>
      <x:c r="B345" s="9" t="str">
        <x:v>EV-AR-HU-A-B-TECH-4-B1-INT-G0</x:v>
      </x:c>
      <x:c r="C345" s="9" t="str">
        <x:v>AR-HU-A-B-TECH-4-B1-INT-G0</x:v>
      </x:c>
      <x:c r="D345" s="9" t="str">
        <x:v>HU-A-B-TECH-4</x:v>
      </x:c>
      <x:c r="E345" s="9" t="str">
        <x:v>HU-A-B</x:v>
      </x:c>
      <x:c r="F345" s="9" t="str">
        <x:v>B1</x:v>
      </x:c>
      <x:c r="G345" s="9" t="str">
        <x:v>INT</x:v>
      </x:c>
      <x:c r="H345" s="9" t="str">
        <x:v>OG03</x:v>
      </x:c>
      <x:c r="I345" s="17" t="str">
        <x:v>Calibration ancestry</x:v>
      </x:c>
      <x:c r="J345" s="17" t="str">
        <x:v>all reference, range and uncertainty states cover the live interval</x:v>
      </x:c>
      <x:c r="K345" s="17" t="str">
        <x:v>Metrology courts</x:v>
      </x:c>
      <x:c r="L345" s="9" t="n">
        <x:v>0</x:v>
      </x:c>
      <x:c r="M345" s="9" t="n">
        <x:v>0</x:v>
      </x:c>
      <x:c r="N345" s="9" t="str">
        <x:v>OPEN / UNACCEPTED</x:v>
      </x:c>
      <x:c r="O345" s="9" t="n">
        <x:f>COUNTIFS($A$7:$A$1734,A345)</x:f>
        <x:v>1</x:v>
      </x:c>
    </x:row>
    <x:row r="346">
      <x:c r="A346" s="9" t="str">
        <x:v>EV-AR-HU-A-B-TECH-4-B1-INT-G0-OG04</x:v>
      </x:c>
      <x:c r="B346" s="9" t="str">
        <x:v>EV-AR-HU-A-B-TECH-4-B1-INT-G0</x:v>
      </x:c>
      <x:c r="C346" s="9" t="str">
        <x:v>AR-HU-A-B-TECH-4-B1-INT-G0</x:v>
      </x:c>
      <x:c r="D346" s="9" t="str">
        <x:v>HU-A-B-TECH-4</x:v>
      </x:c>
      <x:c r="E346" s="9" t="str">
        <x:v>HU-A-B</x:v>
      </x:c>
      <x:c r="F346" s="9" t="str">
        <x:v>B1</x:v>
      </x:c>
      <x:c r="G346" s="9" t="str">
        <x:v>INT</x:v>
      </x:c>
      <x:c r="H346" s="9" t="str">
        <x:v>OG04</x:v>
      </x:c>
      <x:c r="I346" s="17" t="str">
        <x:v>Raw completeness</x:v>
      </x:c>
      <x:c r="J346" s="17" t="str">
        <x:v>missingness is enumerated without imputation or outcome-conditioned deletion</x:v>
      </x:c>
      <x:c r="K346" s="17" t="str">
        <x:v>Observation court</x:v>
      </x:c>
      <x:c r="L346" s="9" t="n">
        <x:v>0</x:v>
      </x:c>
      <x:c r="M346" s="9" t="n">
        <x:v>0</x:v>
      </x:c>
      <x:c r="N346" s="9" t="str">
        <x:v>OPEN / UNACCEPTED</x:v>
      </x:c>
      <x:c r="O346" s="9" t="n">
        <x:f>COUNTIFS($A$7:$A$1734,A346)</x:f>
        <x:v>1</x:v>
      </x:c>
    </x:row>
    <x:row r="347">
      <x:c r="A347" s="9" t="str">
        <x:v>EV-AR-HU-A-B-TECH-4-B1-INT-G0-OG05</x:v>
      </x:c>
      <x:c r="B347" s="9" t="str">
        <x:v>EV-AR-HU-A-B-TECH-4-B1-INT-G0</x:v>
      </x:c>
      <x:c r="C347" s="9" t="str">
        <x:v>AR-HU-A-B-TECH-4-B1-INT-G0</x:v>
      </x:c>
      <x:c r="D347" s="9" t="str">
        <x:v>HU-A-B-TECH-4</x:v>
      </x:c>
      <x:c r="E347" s="9" t="str">
        <x:v>HU-A-B</x:v>
      </x:c>
      <x:c r="F347" s="9" t="str">
        <x:v>B1</x:v>
      </x:c>
      <x:c r="G347" s="9" t="str">
        <x:v>INT</x:v>
      </x:c>
      <x:c r="H347" s="9" t="str">
        <x:v>OG05</x:v>
      </x:c>
      <x:c r="I347" s="17" t="str">
        <x:v>Primary provenance</x:v>
      </x:c>
      <x:c r="J347" s="17" t="str">
        <x:v>primary originals, hashes, keys and access history reconcile</x:v>
      </x:c>
      <x:c r="K347" s="17" t="str">
        <x:v>Primary custody</x:v>
      </x:c>
      <x:c r="L347" s="9" t="n">
        <x:v>0</x:v>
      </x:c>
      <x:c r="M347" s="9" t="n">
        <x:v>0</x:v>
      </x:c>
      <x:c r="N347" s="9" t="str">
        <x:v>OPEN / UNACCEPTED</x:v>
      </x:c>
      <x:c r="O347" s="9" t="n">
        <x:f>COUNTIFS($A$7:$A$1734,A347)</x:f>
        <x:v>1</x:v>
      </x:c>
    </x:row>
    <x:row r="348">
      <x:c r="A348" s="9" t="str">
        <x:v>EV-AR-HU-A-B-TECH-4-B1-INT-G0-OG06</x:v>
      </x:c>
      <x:c r="B348" s="9" t="str">
        <x:v>EV-AR-HU-A-B-TECH-4-B1-INT-G0</x:v>
      </x:c>
      <x:c r="C348" s="9" t="str">
        <x:v>AR-HU-A-B-TECH-4-B1-INT-G0</x:v>
      </x:c>
      <x:c r="D348" s="9" t="str">
        <x:v>HU-A-B-TECH-4</x:v>
      </x:c>
      <x:c r="E348" s="9" t="str">
        <x:v>HU-A-B</x:v>
      </x:c>
      <x:c r="F348" s="9" t="str">
        <x:v>B1</x:v>
      </x:c>
      <x:c r="G348" s="9" t="str">
        <x:v>INT</x:v>
      </x:c>
      <x:c r="H348" s="9" t="str">
        <x:v>OG06</x:v>
      </x:c>
      <x:c r="I348" s="17" t="str">
        <x:v>Witness provenance</x:v>
      </x:c>
      <x:c r="J348" s="17" t="str">
        <x:v>unlike witness originals, hashes, keys and access history reconcile</x:v>
      </x:c>
      <x:c r="K348" s="17" t="str">
        <x:v>Witness custody</x:v>
      </x:c>
      <x:c r="L348" s="9" t="n">
        <x:v>0</x:v>
      </x:c>
      <x:c r="M348" s="9" t="n">
        <x:v>0</x:v>
      </x:c>
      <x:c r="N348" s="9" t="str">
        <x:v>OPEN / UNACCEPTED</x:v>
      </x:c>
      <x:c r="O348" s="9" t="n">
        <x:f>COUNTIFS($A$7:$A$1734,A348)</x:f>
        <x:v>1</x:v>
      </x:c>
    </x:row>
    <x:row r="349">
      <x:c r="A349" s="9" t="str">
        <x:v>EV-AR-HU-A-B-TECH-4-B1-INT-G0-OG07</x:v>
      </x:c>
      <x:c r="B349" s="9" t="str">
        <x:v>EV-AR-HU-A-B-TECH-4-B1-INT-G0</x:v>
      </x:c>
      <x:c r="C349" s="9" t="str">
        <x:v>AR-HU-A-B-TECH-4-B1-INT-G0</x:v>
      </x:c>
      <x:c r="D349" s="9" t="str">
        <x:v>HU-A-B-TECH-4</x:v>
      </x:c>
      <x:c r="E349" s="9" t="str">
        <x:v>HU-A-B</x:v>
      </x:c>
      <x:c r="F349" s="9" t="str">
        <x:v>B1</x:v>
      </x:c>
      <x:c r="G349" s="9" t="str">
        <x:v>INT</x:v>
      </x:c>
      <x:c r="H349" s="9" t="str">
        <x:v>OG07</x:v>
      </x:c>
      <x:c r="I349" s="17" t="str">
        <x:v>Receiver denominator</x:v>
      </x:c>
      <x:c r="J349" s="17" t="str">
        <x:v>population, quantity, duration and exclusions match the frozen receipt</x:v>
      </x:c>
      <x:c r="K349" s="17" t="str">
        <x:v>Receiver court</x:v>
      </x:c>
      <x:c r="L349" s="9" t="n">
        <x:v>0</x:v>
      </x:c>
      <x:c r="M349" s="9" t="n">
        <x:v>0</x:v>
      </x:c>
      <x:c r="N349" s="9" t="str">
        <x:v>OPEN / UNACCEPTED</x:v>
      </x:c>
      <x:c r="O349" s="9" t="n">
        <x:f>COUNTIFS($A$7:$A$1734,A349)</x:f>
        <x:v>1</x:v>
      </x:c>
    </x:row>
    <x:row r="350">
      <x:c r="A350" s="9" t="str">
        <x:v>EV-AR-HU-A-B-TECH-4-B1-INT-G0-OG08</x:v>
      </x:c>
      <x:c r="B350" s="9" t="str">
        <x:v>EV-AR-HU-A-B-TECH-4-B1-INT-G0</x:v>
      </x:c>
      <x:c r="C350" s="9" t="str">
        <x:v>AR-HU-A-B-TECH-4-B1-INT-G0</x:v>
      </x:c>
      <x:c r="D350" s="9" t="str">
        <x:v>HU-A-B-TECH-4</x:v>
      </x:c>
      <x:c r="E350" s="9" t="str">
        <x:v>HU-A-B</x:v>
      </x:c>
      <x:c r="F350" s="9" t="str">
        <x:v>B1</x:v>
      </x:c>
      <x:c r="G350" s="9" t="str">
        <x:v>INT</x:v>
      </x:c>
      <x:c r="H350" s="9" t="str">
        <x:v>OG08</x:v>
      </x:c>
      <x:c r="I350" s="17" t="str">
        <x:v>Environment and boundary</x:v>
      </x:c>
      <x:c r="J350" s="17" t="str">
        <x:v>registered weather, water, ground, inlet and outlet states are retained</x:v>
      </x:c>
      <x:c r="K350" s="17" t="str">
        <x:v>Boundary court</x:v>
      </x:c>
      <x:c r="L350" s="9" t="n">
        <x:v>0</x:v>
      </x:c>
      <x:c r="M350" s="9" t="n">
        <x:v>0</x:v>
      </x:c>
      <x:c r="N350" s="9" t="str">
        <x:v>OPEN / UNACCEPTED</x:v>
      </x:c>
      <x:c r="O350" s="9" t="n">
        <x:f>COUNTIFS($A$7:$A$1734,A350)</x:f>
        <x:v>1</x:v>
      </x:c>
    </x:row>
    <x:row r="351">
      <x:c r="A351" s="9" t="str">
        <x:v>EV-AR-HU-A-B-TECH-4-B1-INT-G0-OG09</x:v>
      </x:c>
      <x:c r="B351" s="9" t="str">
        <x:v>EV-AR-HU-A-B-TECH-4-B1-INT-G0</x:v>
      </x:c>
      <x:c r="C351" s="9" t="str">
        <x:v>AR-HU-A-B-TECH-4-B1-INT-G0</x:v>
      </x:c>
      <x:c r="D351" s="9" t="str">
        <x:v>HU-A-B-TECH-4</x:v>
      </x:c>
      <x:c r="E351" s="9" t="str">
        <x:v>HU-A-B</x:v>
      </x:c>
      <x:c r="F351" s="9" t="str">
        <x:v>B1</x:v>
      </x:c>
      <x:c r="G351" s="9" t="str">
        <x:v>INT</x:v>
      </x:c>
      <x:c r="H351" s="9" t="str">
        <x:v>OG09</x:v>
      </x:c>
      <x:c r="I351" s="17" t="str">
        <x:v>Intervention account</x:v>
      </x:c>
      <x:c r="J351" s="17" t="str">
        <x:v>all stop, rescue, operator and public-protection actions remain timestamped</x:v>
      </x:c>
      <x:c r="K351" s="17" t="str">
        <x:v>Safety record court</x:v>
      </x:c>
      <x:c r="L351" s="9" t="n">
        <x:v>0</x:v>
      </x:c>
      <x:c r="M351" s="9" t="n">
        <x:v>0</x:v>
      </x:c>
      <x:c r="N351" s="9" t="str">
        <x:v>OPEN / UNACCEPTED</x:v>
      </x:c>
      <x:c r="O351" s="9" t="n">
        <x:f>COUNTIFS($A$7:$A$1734,A351)</x:f>
        <x:v>1</x:v>
      </x:c>
    </x:row>
    <x:row r="352">
      <x:c r="A352" s="9" t="str">
        <x:v>EV-AR-HU-A-B-TECH-4-B1-INT-G0-OG10</x:v>
      </x:c>
      <x:c r="B352" s="9" t="str">
        <x:v>EV-AR-HU-A-B-TECH-4-B1-INT-G0</x:v>
      </x:c>
      <x:c r="C352" s="9" t="str">
        <x:v>AR-HU-A-B-TECH-4-B1-INT-G0</x:v>
      </x:c>
      <x:c r="D352" s="9" t="str">
        <x:v>HU-A-B-TECH-4</x:v>
      </x:c>
      <x:c r="E352" s="9" t="str">
        <x:v>HU-A-B</x:v>
      </x:c>
      <x:c r="F352" s="9" t="str">
        <x:v>B1</x:v>
      </x:c>
      <x:c r="G352" s="9" t="str">
        <x:v>INT</x:v>
      </x:c>
      <x:c r="H352" s="9" t="str">
        <x:v>OG10</x:v>
      </x:c>
      <x:c r="I352" s="17" t="str">
        <x:v>Uncertainty statement</x:v>
      </x:c>
      <x:c r="J352" s="17" t="str">
        <x:v>range, censoring, resolution and correlation are declared before judgment</x:v>
      </x:c>
      <x:c r="K352" s="17" t="str">
        <x:v>Uncertainty authority</x:v>
      </x:c>
      <x:c r="L352" s="9" t="n">
        <x:v>0</x:v>
      </x:c>
      <x:c r="M352" s="9" t="n">
        <x:v>0</x:v>
      </x:c>
      <x:c r="N352" s="9" t="str">
        <x:v>OPEN / UNACCEPTED</x:v>
      </x:c>
      <x:c r="O352" s="9" t="n">
        <x:f>COUNTIFS($A$7:$A$1734,A352)</x:f>
        <x:v>1</x:v>
      </x:c>
    </x:row>
    <x:row r="353">
      <x:c r="A353" s="9" t="str">
        <x:v>EV-AR-HU-A-B-TECH-4-B1-INT-G0-OG11</x:v>
      </x:c>
      <x:c r="B353" s="9" t="str">
        <x:v>EV-AR-HU-A-B-TECH-4-B1-INT-G0</x:v>
      </x:c>
      <x:c r="C353" s="9" t="str">
        <x:v>AR-HU-A-B-TECH-4-B1-INT-G0</x:v>
      </x:c>
      <x:c r="D353" s="9" t="str">
        <x:v>HU-A-B-TECH-4</x:v>
      </x:c>
      <x:c r="E353" s="9" t="str">
        <x:v>HU-A-B</x:v>
      </x:c>
      <x:c r="F353" s="9" t="str">
        <x:v>B1</x:v>
      </x:c>
      <x:c r="G353" s="9" t="str">
        <x:v>INT</x:v>
      </x:c>
      <x:c r="H353" s="9" t="str">
        <x:v>OG11</x:v>
      </x:c>
      <x:c r="I353" s="17" t="str">
        <x:v>Contradiction preservation</x:v>
      </x:c>
      <x:c r="J353" s="17" t="str">
        <x:v>primary-witness disagreement remains explicit and is never averaged away</x:v>
      </x:c>
      <x:c r="K353" s="17" t="str">
        <x:v>Dissent registrar</x:v>
      </x:c>
      <x:c r="L353" s="9" t="n">
        <x:v>0</x:v>
      </x:c>
      <x:c r="M353" s="9" t="n">
        <x:v>0</x:v>
      </x:c>
      <x:c r="N353" s="9" t="str">
        <x:v>OPEN / UNACCEPTED</x:v>
      </x:c>
      <x:c r="O353" s="9" t="n">
        <x:f>COUNTIFS($A$7:$A$1734,A353)</x:f>
        <x:v>1</x:v>
      </x:c>
    </x:row>
    <x:row r="354">
      <x:c r="A354" s="9" t="str">
        <x:v>EV-AR-HU-A-B-TECH-4-B1-INT-G0-OG12</x:v>
      </x:c>
      <x:c r="B354" s="9" t="str">
        <x:v>EV-AR-HU-A-B-TECH-4-B1-INT-G0</x:v>
      </x:c>
      <x:c r="C354" s="9" t="str">
        <x:v>AR-HU-A-B-TECH-4-B1-INT-G0</x:v>
      </x:c>
      <x:c r="D354" s="9" t="str">
        <x:v>HU-A-B-TECH-4</x:v>
      </x:c>
      <x:c r="E354" s="9" t="str">
        <x:v>HU-A-B</x:v>
      </x:c>
      <x:c r="F354" s="9" t="str">
        <x:v>B1</x:v>
      </x:c>
      <x:c r="G354" s="9" t="str">
        <x:v>INT</x:v>
      </x:c>
      <x:c r="H354" s="9" t="str">
        <x:v>OG12</x:v>
      </x:c>
      <x:c r="I354" s="17" t="str">
        <x:v>Independent replay</x:v>
      </x:c>
      <x:c r="J354" s="17" t="str">
        <x:v>a separated reader reconstructs the registered observables from sealed originals</x:v>
      </x:c>
      <x:c r="K354" s="17" t="str">
        <x:v>Replay court</x:v>
      </x:c>
      <x:c r="L354" s="9" t="n">
        <x:v>0</x:v>
      </x:c>
      <x:c r="M354" s="9" t="n">
        <x:v>0</x:v>
      </x:c>
      <x:c r="N354" s="9" t="str">
        <x:v>OPEN / UNACCEPTED</x:v>
      </x:c>
      <x:c r="O354" s="9" t="n">
        <x:f>COUNTIFS($A$7:$A$1734,A354)</x:f>
        <x:v>1</x:v>
      </x:c>
    </x:row>
    <x:row r="355">
      <x:c r="A355" s="9" t="str">
        <x:v>EV-AR-LF-B-A-TECH-1-B1-RCN-G0-OG01</x:v>
      </x:c>
      <x:c r="B355" s="9" t="str">
        <x:v>EV-AR-LF-B-A-TECH-1-B1-RCN-G0</x:v>
      </x:c>
      <x:c r="C355" s="9" t="str">
        <x:v>AR-LF-B-A-TECH-1-B1-RCN-G0</x:v>
      </x:c>
      <x:c r="D355" s="9" t="str">
        <x:v>LF-B-A-TECH-1</x:v>
      </x:c>
      <x:c r="E355" s="9" t="str">
        <x:v>LF-B-A</x:v>
      </x:c>
      <x:c r="F355" s="9" t="str">
        <x:v>B1</x:v>
      </x:c>
      <x:c r="G355" s="9" t="str">
        <x:v>RCN</x:v>
      </x:c>
      <x:c r="H355" s="9" t="str">
        <x:v>OG01</x:v>
      </x:c>
      <x:c r="I355" s="17" t="str">
        <x:v>Serial and event identity</x:v>
      </x:c>
      <x:c r="J355" s="17" t="str">
        <x:v>record resolves to the issued serial, generation and physical start</x:v>
      </x:c>
      <x:c r="K355" s="17" t="str">
        <x:v>Observation court</x:v>
      </x:c>
      <x:c r="L355" s="9" t="n">
        <x:v>0</x:v>
      </x:c>
      <x:c r="M355" s="9" t="n">
        <x:v>0</x:v>
      </x:c>
      <x:c r="N355" s="9" t="str">
        <x:v>OPEN / UNACCEPTED</x:v>
      </x:c>
      <x:c r="O355" s="9" t="n">
        <x:f>COUNTIFS($A$7:$A$1734,A355)</x:f>
        <x:v>1</x:v>
      </x:c>
    </x:row>
    <x:row r="356">
      <x:c r="A356" s="9" t="str">
        <x:v>EV-AR-LF-B-A-TECH-1-B1-RCN-G0-OG02</x:v>
      </x:c>
      <x:c r="B356" s="9" t="str">
        <x:v>EV-AR-LF-B-A-TECH-1-B1-RCN-G0</x:v>
      </x:c>
      <x:c r="C356" s="9" t="str">
        <x:v>AR-LF-B-A-TECH-1-B1-RCN-G0</x:v>
      </x:c>
      <x:c r="D356" s="9" t="str">
        <x:v>LF-B-A-TECH-1</x:v>
      </x:c>
      <x:c r="E356" s="9" t="str">
        <x:v>LF-B-A</x:v>
      </x:c>
      <x:c r="F356" s="9" t="str">
        <x:v>B1</x:v>
      </x:c>
      <x:c r="G356" s="9" t="str">
        <x:v>RCN</x:v>
      </x:c>
      <x:c r="H356" s="9" t="str">
        <x:v>OG02</x:v>
      </x:c>
      <x:c r="I356" s="17" t="str">
        <x:v>Time ancestry</x:v>
      </x:c>
      <x:c r="J356" s="17" t="str">
        <x:v>primary, witness and public event clocks retain declared offsets and drift</x:v>
      </x:c>
      <x:c r="K356" s="17" t="str">
        <x:v>Time authority</x:v>
      </x:c>
      <x:c r="L356" s="9" t="n">
        <x:v>0</x:v>
      </x:c>
      <x:c r="M356" s="9" t="n">
        <x:v>0</x:v>
      </x:c>
      <x:c r="N356" s="9" t="str">
        <x:v>OPEN / UNACCEPTED</x:v>
      </x:c>
      <x:c r="O356" s="9" t="n">
        <x:f>COUNTIFS($A$7:$A$1734,A356)</x:f>
        <x:v>1</x:v>
      </x:c>
    </x:row>
    <x:row r="357">
      <x:c r="A357" s="9" t="str">
        <x:v>EV-AR-LF-B-A-TECH-1-B1-RCN-G0-OG03</x:v>
      </x:c>
      <x:c r="B357" s="9" t="str">
        <x:v>EV-AR-LF-B-A-TECH-1-B1-RCN-G0</x:v>
      </x:c>
      <x:c r="C357" s="9" t="str">
        <x:v>AR-LF-B-A-TECH-1-B1-RCN-G0</x:v>
      </x:c>
      <x:c r="D357" s="9" t="str">
        <x:v>LF-B-A-TECH-1</x:v>
      </x:c>
      <x:c r="E357" s="9" t="str">
        <x:v>LF-B-A</x:v>
      </x:c>
      <x:c r="F357" s="9" t="str">
        <x:v>B1</x:v>
      </x:c>
      <x:c r="G357" s="9" t="str">
        <x:v>RCN</x:v>
      </x:c>
      <x:c r="H357" s="9" t="str">
        <x:v>OG03</x:v>
      </x:c>
      <x:c r="I357" s="17" t="str">
        <x:v>Calibration ancestry</x:v>
      </x:c>
      <x:c r="J357" s="17" t="str">
        <x:v>all reference, range and uncertainty states cover the live interval</x:v>
      </x:c>
      <x:c r="K357" s="17" t="str">
        <x:v>Metrology courts</x:v>
      </x:c>
      <x:c r="L357" s="9" t="n">
        <x:v>0</x:v>
      </x:c>
      <x:c r="M357" s="9" t="n">
        <x:v>0</x:v>
      </x:c>
      <x:c r="N357" s="9" t="str">
        <x:v>OPEN / UNACCEPTED</x:v>
      </x:c>
      <x:c r="O357" s="9" t="n">
        <x:f>COUNTIFS($A$7:$A$1734,A357)</x:f>
        <x:v>1</x:v>
      </x:c>
    </x:row>
    <x:row r="358">
      <x:c r="A358" s="9" t="str">
        <x:v>EV-AR-LF-B-A-TECH-1-B1-RCN-G0-OG04</x:v>
      </x:c>
      <x:c r="B358" s="9" t="str">
        <x:v>EV-AR-LF-B-A-TECH-1-B1-RCN-G0</x:v>
      </x:c>
      <x:c r="C358" s="9" t="str">
        <x:v>AR-LF-B-A-TECH-1-B1-RCN-G0</x:v>
      </x:c>
      <x:c r="D358" s="9" t="str">
        <x:v>LF-B-A-TECH-1</x:v>
      </x:c>
      <x:c r="E358" s="9" t="str">
        <x:v>LF-B-A</x:v>
      </x:c>
      <x:c r="F358" s="9" t="str">
        <x:v>B1</x:v>
      </x:c>
      <x:c r="G358" s="9" t="str">
        <x:v>RCN</x:v>
      </x:c>
      <x:c r="H358" s="9" t="str">
        <x:v>OG04</x:v>
      </x:c>
      <x:c r="I358" s="17" t="str">
        <x:v>Raw completeness</x:v>
      </x:c>
      <x:c r="J358" s="17" t="str">
        <x:v>missingness is enumerated without imputation or outcome-conditioned deletion</x:v>
      </x:c>
      <x:c r="K358" s="17" t="str">
        <x:v>Observation court</x:v>
      </x:c>
      <x:c r="L358" s="9" t="n">
        <x:v>0</x:v>
      </x:c>
      <x:c r="M358" s="9" t="n">
        <x:v>0</x:v>
      </x:c>
      <x:c r="N358" s="9" t="str">
        <x:v>OPEN / UNACCEPTED</x:v>
      </x:c>
      <x:c r="O358" s="9" t="n">
        <x:f>COUNTIFS($A$7:$A$1734,A358)</x:f>
        <x:v>1</x:v>
      </x:c>
    </x:row>
    <x:row r="359">
      <x:c r="A359" s="9" t="str">
        <x:v>EV-AR-LF-B-A-TECH-1-B1-RCN-G0-OG05</x:v>
      </x:c>
      <x:c r="B359" s="9" t="str">
        <x:v>EV-AR-LF-B-A-TECH-1-B1-RCN-G0</x:v>
      </x:c>
      <x:c r="C359" s="9" t="str">
        <x:v>AR-LF-B-A-TECH-1-B1-RCN-G0</x:v>
      </x:c>
      <x:c r="D359" s="9" t="str">
        <x:v>LF-B-A-TECH-1</x:v>
      </x:c>
      <x:c r="E359" s="9" t="str">
        <x:v>LF-B-A</x:v>
      </x:c>
      <x:c r="F359" s="9" t="str">
        <x:v>B1</x:v>
      </x:c>
      <x:c r="G359" s="9" t="str">
        <x:v>RCN</x:v>
      </x:c>
      <x:c r="H359" s="9" t="str">
        <x:v>OG05</x:v>
      </x:c>
      <x:c r="I359" s="17" t="str">
        <x:v>Primary provenance</x:v>
      </x:c>
      <x:c r="J359" s="17" t="str">
        <x:v>primary originals, hashes, keys and access history reconcile</x:v>
      </x:c>
      <x:c r="K359" s="17" t="str">
        <x:v>Primary custody</x:v>
      </x:c>
      <x:c r="L359" s="9" t="n">
        <x:v>0</x:v>
      </x:c>
      <x:c r="M359" s="9" t="n">
        <x:v>0</x:v>
      </x:c>
      <x:c r="N359" s="9" t="str">
        <x:v>OPEN / UNACCEPTED</x:v>
      </x:c>
      <x:c r="O359" s="9" t="n">
        <x:f>COUNTIFS($A$7:$A$1734,A359)</x:f>
        <x:v>1</x:v>
      </x:c>
    </x:row>
    <x:row r="360">
      <x:c r="A360" s="9" t="str">
        <x:v>EV-AR-LF-B-A-TECH-1-B1-RCN-G0-OG06</x:v>
      </x:c>
      <x:c r="B360" s="9" t="str">
        <x:v>EV-AR-LF-B-A-TECH-1-B1-RCN-G0</x:v>
      </x:c>
      <x:c r="C360" s="9" t="str">
        <x:v>AR-LF-B-A-TECH-1-B1-RCN-G0</x:v>
      </x:c>
      <x:c r="D360" s="9" t="str">
        <x:v>LF-B-A-TECH-1</x:v>
      </x:c>
      <x:c r="E360" s="9" t="str">
        <x:v>LF-B-A</x:v>
      </x:c>
      <x:c r="F360" s="9" t="str">
        <x:v>B1</x:v>
      </x:c>
      <x:c r="G360" s="9" t="str">
        <x:v>RCN</x:v>
      </x:c>
      <x:c r="H360" s="9" t="str">
        <x:v>OG06</x:v>
      </x:c>
      <x:c r="I360" s="17" t="str">
        <x:v>Witness provenance</x:v>
      </x:c>
      <x:c r="J360" s="17" t="str">
        <x:v>unlike witness originals, hashes, keys and access history reconcile</x:v>
      </x:c>
      <x:c r="K360" s="17" t="str">
        <x:v>Witness custody</x:v>
      </x:c>
      <x:c r="L360" s="9" t="n">
        <x:v>0</x:v>
      </x:c>
      <x:c r="M360" s="9" t="n">
        <x:v>0</x:v>
      </x:c>
      <x:c r="N360" s="9" t="str">
        <x:v>OPEN / UNACCEPTED</x:v>
      </x:c>
      <x:c r="O360" s="9" t="n">
        <x:f>COUNTIFS($A$7:$A$1734,A360)</x:f>
        <x:v>1</x:v>
      </x:c>
    </x:row>
    <x:row r="361">
      <x:c r="A361" s="9" t="str">
        <x:v>EV-AR-LF-B-A-TECH-1-B1-RCN-G0-OG07</x:v>
      </x:c>
      <x:c r="B361" s="9" t="str">
        <x:v>EV-AR-LF-B-A-TECH-1-B1-RCN-G0</x:v>
      </x:c>
      <x:c r="C361" s="9" t="str">
        <x:v>AR-LF-B-A-TECH-1-B1-RCN-G0</x:v>
      </x:c>
      <x:c r="D361" s="9" t="str">
        <x:v>LF-B-A-TECH-1</x:v>
      </x:c>
      <x:c r="E361" s="9" t="str">
        <x:v>LF-B-A</x:v>
      </x:c>
      <x:c r="F361" s="9" t="str">
        <x:v>B1</x:v>
      </x:c>
      <x:c r="G361" s="9" t="str">
        <x:v>RCN</x:v>
      </x:c>
      <x:c r="H361" s="9" t="str">
        <x:v>OG07</x:v>
      </x:c>
      <x:c r="I361" s="17" t="str">
        <x:v>Receiver denominator</x:v>
      </x:c>
      <x:c r="J361" s="17" t="str">
        <x:v>population, quantity, duration and exclusions match the frozen receipt</x:v>
      </x:c>
      <x:c r="K361" s="17" t="str">
        <x:v>Receiver court</x:v>
      </x:c>
      <x:c r="L361" s="9" t="n">
        <x:v>0</x:v>
      </x:c>
      <x:c r="M361" s="9" t="n">
        <x:v>0</x:v>
      </x:c>
      <x:c r="N361" s="9" t="str">
        <x:v>OPEN / UNACCEPTED</x:v>
      </x:c>
      <x:c r="O361" s="9" t="n">
        <x:f>COUNTIFS($A$7:$A$1734,A361)</x:f>
        <x:v>1</x:v>
      </x:c>
    </x:row>
    <x:row r="362">
      <x:c r="A362" s="9" t="str">
        <x:v>EV-AR-LF-B-A-TECH-1-B1-RCN-G0-OG08</x:v>
      </x:c>
      <x:c r="B362" s="9" t="str">
        <x:v>EV-AR-LF-B-A-TECH-1-B1-RCN-G0</x:v>
      </x:c>
      <x:c r="C362" s="9" t="str">
        <x:v>AR-LF-B-A-TECH-1-B1-RCN-G0</x:v>
      </x:c>
      <x:c r="D362" s="9" t="str">
        <x:v>LF-B-A-TECH-1</x:v>
      </x:c>
      <x:c r="E362" s="9" t="str">
        <x:v>LF-B-A</x:v>
      </x:c>
      <x:c r="F362" s="9" t="str">
        <x:v>B1</x:v>
      </x:c>
      <x:c r="G362" s="9" t="str">
        <x:v>RCN</x:v>
      </x:c>
      <x:c r="H362" s="9" t="str">
        <x:v>OG08</x:v>
      </x:c>
      <x:c r="I362" s="17" t="str">
        <x:v>Environment and boundary</x:v>
      </x:c>
      <x:c r="J362" s="17" t="str">
        <x:v>registered weather, water, ground, inlet and outlet states are retained</x:v>
      </x:c>
      <x:c r="K362" s="17" t="str">
        <x:v>Boundary court</x:v>
      </x:c>
      <x:c r="L362" s="9" t="n">
        <x:v>0</x:v>
      </x:c>
      <x:c r="M362" s="9" t="n">
        <x:v>0</x:v>
      </x:c>
      <x:c r="N362" s="9" t="str">
        <x:v>OPEN / UNACCEPTED</x:v>
      </x:c>
      <x:c r="O362" s="9" t="n">
        <x:f>COUNTIFS($A$7:$A$1734,A362)</x:f>
        <x:v>1</x:v>
      </x:c>
    </x:row>
    <x:row r="363">
      <x:c r="A363" s="9" t="str">
        <x:v>EV-AR-LF-B-A-TECH-1-B1-RCN-G0-OG09</x:v>
      </x:c>
      <x:c r="B363" s="9" t="str">
        <x:v>EV-AR-LF-B-A-TECH-1-B1-RCN-G0</x:v>
      </x:c>
      <x:c r="C363" s="9" t="str">
        <x:v>AR-LF-B-A-TECH-1-B1-RCN-G0</x:v>
      </x:c>
      <x:c r="D363" s="9" t="str">
        <x:v>LF-B-A-TECH-1</x:v>
      </x:c>
      <x:c r="E363" s="9" t="str">
        <x:v>LF-B-A</x:v>
      </x:c>
      <x:c r="F363" s="9" t="str">
        <x:v>B1</x:v>
      </x:c>
      <x:c r="G363" s="9" t="str">
        <x:v>RCN</x:v>
      </x:c>
      <x:c r="H363" s="9" t="str">
        <x:v>OG09</x:v>
      </x:c>
      <x:c r="I363" s="17" t="str">
        <x:v>Intervention account</x:v>
      </x:c>
      <x:c r="J363" s="17" t="str">
        <x:v>all stop, rescue, operator and public-protection actions remain timestamped</x:v>
      </x:c>
      <x:c r="K363" s="17" t="str">
        <x:v>Safety record court</x:v>
      </x:c>
      <x:c r="L363" s="9" t="n">
        <x:v>0</x:v>
      </x:c>
      <x:c r="M363" s="9" t="n">
        <x:v>0</x:v>
      </x:c>
      <x:c r="N363" s="9" t="str">
        <x:v>OPEN / UNACCEPTED</x:v>
      </x:c>
      <x:c r="O363" s="9" t="n">
        <x:f>COUNTIFS($A$7:$A$1734,A363)</x:f>
        <x:v>1</x:v>
      </x:c>
    </x:row>
    <x:row r="364">
      <x:c r="A364" s="9" t="str">
        <x:v>EV-AR-LF-B-A-TECH-1-B1-RCN-G0-OG10</x:v>
      </x:c>
      <x:c r="B364" s="9" t="str">
        <x:v>EV-AR-LF-B-A-TECH-1-B1-RCN-G0</x:v>
      </x:c>
      <x:c r="C364" s="9" t="str">
        <x:v>AR-LF-B-A-TECH-1-B1-RCN-G0</x:v>
      </x:c>
      <x:c r="D364" s="9" t="str">
        <x:v>LF-B-A-TECH-1</x:v>
      </x:c>
      <x:c r="E364" s="9" t="str">
        <x:v>LF-B-A</x:v>
      </x:c>
      <x:c r="F364" s="9" t="str">
        <x:v>B1</x:v>
      </x:c>
      <x:c r="G364" s="9" t="str">
        <x:v>RCN</x:v>
      </x:c>
      <x:c r="H364" s="9" t="str">
        <x:v>OG10</x:v>
      </x:c>
      <x:c r="I364" s="17" t="str">
        <x:v>Uncertainty statement</x:v>
      </x:c>
      <x:c r="J364" s="17" t="str">
        <x:v>range, censoring, resolution and correlation are declared before judgment</x:v>
      </x:c>
      <x:c r="K364" s="17" t="str">
        <x:v>Uncertainty authority</x:v>
      </x:c>
      <x:c r="L364" s="9" t="n">
        <x:v>0</x:v>
      </x:c>
      <x:c r="M364" s="9" t="n">
        <x:v>0</x:v>
      </x:c>
      <x:c r="N364" s="9" t="str">
        <x:v>OPEN / UNACCEPTED</x:v>
      </x:c>
      <x:c r="O364" s="9" t="n">
        <x:f>COUNTIFS($A$7:$A$1734,A364)</x:f>
        <x:v>1</x:v>
      </x:c>
    </x:row>
    <x:row r="365">
      <x:c r="A365" s="9" t="str">
        <x:v>EV-AR-LF-B-A-TECH-1-B1-RCN-G0-OG11</x:v>
      </x:c>
      <x:c r="B365" s="9" t="str">
        <x:v>EV-AR-LF-B-A-TECH-1-B1-RCN-G0</x:v>
      </x:c>
      <x:c r="C365" s="9" t="str">
        <x:v>AR-LF-B-A-TECH-1-B1-RCN-G0</x:v>
      </x:c>
      <x:c r="D365" s="9" t="str">
        <x:v>LF-B-A-TECH-1</x:v>
      </x:c>
      <x:c r="E365" s="9" t="str">
        <x:v>LF-B-A</x:v>
      </x:c>
      <x:c r="F365" s="9" t="str">
        <x:v>B1</x:v>
      </x:c>
      <x:c r="G365" s="9" t="str">
        <x:v>RCN</x:v>
      </x:c>
      <x:c r="H365" s="9" t="str">
        <x:v>OG11</x:v>
      </x:c>
      <x:c r="I365" s="17" t="str">
        <x:v>Contradiction preservation</x:v>
      </x:c>
      <x:c r="J365" s="17" t="str">
        <x:v>primary-witness disagreement remains explicit and is never averaged away</x:v>
      </x:c>
      <x:c r="K365" s="17" t="str">
        <x:v>Dissent registrar</x:v>
      </x:c>
      <x:c r="L365" s="9" t="n">
        <x:v>0</x:v>
      </x:c>
      <x:c r="M365" s="9" t="n">
        <x:v>0</x:v>
      </x:c>
      <x:c r="N365" s="9" t="str">
        <x:v>OPEN / UNACCEPTED</x:v>
      </x:c>
      <x:c r="O365" s="9" t="n">
        <x:f>COUNTIFS($A$7:$A$1734,A365)</x:f>
        <x:v>1</x:v>
      </x:c>
    </x:row>
    <x:row r="366">
      <x:c r="A366" s="9" t="str">
        <x:v>EV-AR-LF-B-A-TECH-1-B1-RCN-G0-OG12</x:v>
      </x:c>
      <x:c r="B366" s="9" t="str">
        <x:v>EV-AR-LF-B-A-TECH-1-B1-RCN-G0</x:v>
      </x:c>
      <x:c r="C366" s="9" t="str">
        <x:v>AR-LF-B-A-TECH-1-B1-RCN-G0</x:v>
      </x:c>
      <x:c r="D366" s="9" t="str">
        <x:v>LF-B-A-TECH-1</x:v>
      </x:c>
      <x:c r="E366" s="9" t="str">
        <x:v>LF-B-A</x:v>
      </x:c>
      <x:c r="F366" s="9" t="str">
        <x:v>B1</x:v>
      </x:c>
      <x:c r="G366" s="9" t="str">
        <x:v>RCN</x:v>
      </x:c>
      <x:c r="H366" s="9" t="str">
        <x:v>OG12</x:v>
      </x:c>
      <x:c r="I366" s="17" t="str">
        <x:v>Independent replay</x:v>
      </x:c>
      <x:c r="J366" s="17" t="str">
        <x:v>a separated reader reconstructs the registered observables from sealed originals</x:v>
      </x:c>
      <x:c r="K366" s="17" t="str">
        <x:v>Replay court</x:v>
      </x:c>
      <x:c r="L366" s="9" t="n">
        <x:v>0</x:v>
      </x:c>
      <x:c r="M366" s="9" t="n">
        <x:v>0</x:v>
      </x:c>
      <x:c r="N366" s="9" t="str">
        <x:v>OPEN / UNACCEPTED</x:v>
      </x:c>
      <x:c r="O366" s="9" t="n">
        <x:f>COUNTIFS($A$7:$A$1734,A366)</x:f>
        <x:v>1</x:v>
      </x:c>
    </x:row>
    <x:row r="367">
      <x:c r="A367" s="9" t="str">
        <x:v>EV-AR-ET-A-A-TECH-3-B2-RCN-G0-OG01</x:v>
      </x:c>
      <x:c r="B367" s="9" t="str">
        <x:v>EV-AR-ET-A-A-TECH-3-B2-RCN-G0</x:v>
      </x:c>
      <x:c r="C367" s="9" t="str">
        <x:v>AR-ET-A-A-TECH-3-B2-RCN-G0</x:v>
      </x:c>
      <x:c r="D367" s="9" t="str">
        <x:v>ET-A-A-TECH-3</x:v>
      </x:c>
      <x:c r="E367" s="9" t="str">
        <x:v>ET-A-A</x:v>
      </x:c>
      <x:c r="F367" s="9" t="str">
        <x:v>B2</x:v>
      </x:c>
      <x:c r="G367" s="9" t="str">
        <x:v>RCN</x:v>
      </x:c>
      <x:c r="H367" s="9" t="str">
        <x:v>OG01</x:v>
      </x:c>
      <x:c r="I367" s="17" t="str">
        <x:v>Serial and event identity</x:v>
      </x:c>
      <x:c r="J367" s="17" t="str">
        <x:v>record resolves to the issued serial, generation and physical start</x:v>
      </x:c>
      <x:c r="K367" s="17" t="str">
        <x:v>Observation court</x:v>
      </x:c>
      <x:c r="L367" s="9" t="n">
        <x:v>0</x:v>
      </x:c>
      <x:c r="M367" s="9" t="n">
        <x:v>0</x:v>
      </x:c>
      <x:c r="N367" s="9" t="str">
        <x:v>OPEN / UNACCEPTED</x:v>
      </x:c>
      <x:c r="O367" s="9" t="n">
        <x:f>COUNTIFS($A$7:$A$1734,A367)</x:f>
        <x:v>1</x:v>
      </x:c>
    </x:row>
    <x:row r="368">
      <x:c r="A368" s="9" t="str">
        <x:v>EV-AR-ET-A-A-TECH-3-B2-RCN-G0-OG02</x:v>
      </x:c>
      <x:c r="B368" s="9" t="str">
        <x:v>EV-AR-ET-A-A-TECH-3-B2-RCN-G0</x:v>
      </x:c>
      <x:c r="C368" s="9" t="str">
        <x:v>AR-ET-A-A-TECH-3-B2-RCN-G0</x:v>
      </x:c>
      <x:c r="D368" s="9" t="str">
        <x:v>ET-A-A-TECH-3</x:v>
      </x:c>
      <x:c r="E368" s="9" t="str">
        <x:v>ET-A-A</x:v>
      </x:c>
      <x:c r="F368" s="9" t="str">
        <x:v>B2</x:v>
      </x:c>
      <x:c r="G368" s="9" t="str">
        <x:v>RCN</x:v>
      </x:c>
      <x:c r="H368" s="9" t="str">
        <x:v>OG02</x:v>
      </x:c>
      <x:c r="I368" s="17" t="str">
        <x:v>Time ancestry</x:v>
      </x:c>
      <x:c r="J368" s="17" t="str">
        <x:v>primary, witness and public event clocks retain declared offsets and drift</x:v>
      </x:c>
      <x:c r="K368" s="17" t="str">
        <x:v>Time authority</x:v>
      </x:c>
      <x:c r="L368" s="9" t="n">
        <x:v>0</x:v>
      </x:c>
      <x:c r="M368" s="9" t="n">
        <x:v>0</x:v>
      </x:c>
      <x:c r="N368" s="9" t="str">
        <x:v>OPEN / UNACCEPTED</x:v>
      </x:c>
      <x:c r="O368" s="9" t="n">
        <x:f>COUNTIFS($A$7:$A$1734,A368)</x:f>
        <x:v>1</x:v>
      </x:c>
    </x:row>
    <x:row r="369">
      <x:c r="A369" s="9" t="str">
        <x:v>EV-AR-ET-A-A-TECH-3-B2-RCN-G0-OG03</x:v>
      </x:c>
      <x:c r="B369" s="9" t="str">
        <x:v>EV-AR-ET-A-A-TECH-3-B2-RCN-G0</x:v>
      </x:c>
      <x:c r="C369" s="9" t="str">
        <x:v>AR-ET-A-A-TECH-3-B2-RCN-G0</x:v>
      </x:c>
      <x:c r="D369" s="9" t="str">
        <x:v>ET-A-A-TECH-3</x:v>
      </x:c>
      <x:c r="E369" s="9" t="str">
        <x:v>ET-A-A</x:v>
      </x:c>
      <x:c r="F369" s="9" t="str">
        <x:v>B2</x:v>
      </x:c>
      <x:c r="G369" s="9" t="str">
        <x:v>RCN</x:v>
      </x:c>
      <x:c r="H369" s="9" t="str">
        <x:v>OG03</x:v>
      </x:c>
      <x:c r="I369" s="17" t="str">
        <x:v>Calibration ancestry</x:v>
      </x:c>
      <x:c r="J369" s="17" t="str">
        <x:v>all reference, range and uncertainty states cover the live interval</x:v>
      </x:c>
      <x:c r="K369" s="17" t="str">
        <x:v>Metrology courts</x:v>
      </x:c>
      <x:c r="L369" s="9" t="n">
        <x:v>0</x:v>
      </x:c>
      <x:c r="M369" s="9" t="n">
        <x:v>0</x:v>
      </x:c>
      <x:c r="N369" s="9" t="str">
        <x:v>OPEN / UNACCEPTED</x:v>
      </x:c>
      <x:c r="O369" s="9" t="n">
        <x:f>COUNTIFS($A$7:$A$1734,A369)</x:f>
        <x:v>1</x:v>
      </x:c>
    </x:row>
    <x:row r="370">
      <x:c r="A370" s="9" t="str">
        <x:v>EV-AR-ET-A-A-TECH-3-B2-RCN-G0-OG04</x:v>
      </x:c>
      <x:c r="B370" s="9" t="str">
        <x:v>EV-AR-ET-A-A-TECH-3-B2-RCN-G0</x:v>
      </x:c>
      <x:c r="C370" s="9" t="str">
        <x:v>AR-ET-A-A-TECH-3-B2-RCN-G0</x:v>
      </x:c>
      <x:c r="D370" s="9" t="str">
        <x:v>ET-A-A-TECH-3</x:v>
      </x:c>
      <x:c r="E370" s="9" t="str">
        <x:v>ET-A-A</x:v>
      </x:c>
      <x:c r="F370" s="9" t="str">
        <x:v>B2</x:v>
      </x:c>
      <x:c r="G370" s="9" t="str">
        <x:v>RCN</x:v>
      </x:c>
      <x:c r="H370" s="9" t="str">
        <x:v>OG04</x:v>
      </x:c>
      <x:c r="I370" s="17" t="str">
        <x:v>Raw completeness</x:v>
      </x:c>
      <x:c r="J370" s="17" t="str">
        <x:v>missingness is enumerated without imputation or outcome-conditioned deletion</x:v>
      </x:c>
      <x:c r="K370" s="17" t="str">
        <x:v>Observation court</x:v>
      </x:c>
      <x:c r="L370" s="9" t="n">
        <x:v>0</x:v>
      </x:c>
      <x:c r="M370" s="9" t="n">
        <x:v>0</x:v>
      </x:c>
      <x:c r="N370" s="9" t="str">
        <x:v>OPEN / UNACCEPTED</x:v>
      </x:c>
      <x:c r="O370" s="9" t="n">
        <x:f>COUNTIFS($A$7:$A$1734,A370)</x:f>
        <x:v>1</x:v>
      </x:c>
    </x:row>
    <x:row r="371">
      <x:c r="A371" s="9" t="str">
        <x:v>EV-AR-ET-A-A-TECH-3-B2-RCN-G0-OG05</x:v>
      </x:c>
      <x:c r="B371" s="9" t="str">
        <x:v>EV-AR-ET-A-A-TECH-3-B2-RCN-G0</x:v>
      </x:c>
      <x:c r="C371" s="9" t="str">
        <x:v>AR-ET-A-A-TECH-3-B2-RCN-G0</x:v>
      </x:c>
      <x:c r="D371" s="9" t="str">
        <x:v>ET-A-A-TECH-3</x:v>
      </x:c>
      <x:c r="E371" s="9" t="str">
        <x:v>ET-A-A</x:v>
      </x:c>
      <x:c r="F371" s="9" t="str">
        <x:v>B2</x:v>
      </x:c>
      <x:c r="G371" s="9" t="str">
        <x:v>RCN</x:v>
      </x:c>
      <x:c r="H371" s="9" t="str">
        <x:v>OG05</x:v>
      </x:c>
      <x:c r="I371" s="17" t="str">
        <x:v>Primary provenance</x:v>
      </x:c>
      <x:c r="J371" s="17" t="str">
        <x:v>primary originals, hashes, keys and access history reconcile</x:v>
      </x:c>
      <x:c r="K371" s="17" t="str">
        <x:v>Primary custody</x:v>
      </x:c>
      <x:c r="L371" s="9" t="n">
        <x:v>0</x:v>
      </x:c>
      <x:c r="M371" s="9" t="n">
        <x:v>0</x:v>
      </x:c>
      <x:c r="N371" s="9" t="str">
        <x:v>OPEN / UNACCEPTED</x:v>
      </x:c>
      <x:c r="O371" s="9" t="n">
        <x:f>COUNTIFS($A$7:$A$1734,A371)</x:f>
        <x:v>1</x:v>
      </x:c>
    </x:row>
    <x:row r="372">
      <x:c r="A372" s="9" t="str">
        <x:v>EV-AR-ET-A-A-TECH-3-B2-RCN-G0-OG06</x:v>
      </x:c>
      <x:c r="B372" s="9" t="str">
        <x:v>EV-AR-ET-A-A-TECH-3-B2-RCN-G0</x:v>
      </x:c>
      <x:c r="C372" s="9" t="str">
        <x:v>AR-ET-A-A-TECH-3-B2-RCN-G0</x:v>
      </x:c>
      <x:c r="D372" s="9" t="str">
        <x:v>ET-A-A-TECH-3</x:v>
      </x:c>
      <x:c r="E372" s="9" t="str">
        <x:v>ET-A-A</x:v>
      </x:c>
      <x:c r="F372" s="9" t="str">
        <x:v>B2</x:v>
      </x:c>
      <x:c r="G372" s="9" t="str">
        <x:v>RCN</x:v>
      </x:c>
      <x:c r="H372" s="9" t="str">
        <x:v>OG06</x:v>
      </x:c>
      <x:c r="I372" s="17" t="str">
        <x:v>Witness provenance</x:v>
      </x:c>
      <x:c r="J372" s="17" t="str">
        <x:v>unlike witness originals, hashes, keys and access history reconcile</x:v>
      </x:c>
      <x:c r="K372" s="17" t="str">
        <x:v>Witness custody</x:v>
      </x:c>
      <x:c r="L372" s="9" t="n">
        <x:v>0</x:v>
      </x:c>
      <x:c r="M372" s="9" t="n">
        <x:v>0</x:v>
      </x:c>
      <x:c r="N372" s="9" t="str">
        <x:v>OPEN / UNACCEPTED</x:v>
      </x:c>
      <x:c r="O372" s="9" t="n">
        <x:f>COUNTIFS($A$7:$A$1734,A372)</x:f>
        <x:v>1</x:v>
      </x:c>
    </x:row>
    <x:row r="373">
      <x:c r="A373" s="9" t="str">
        <x:v>EV-AR-ET-A-A-TECH-3-B2-RCN-G0-OG07</x:v>
      </x:c>
      <x:c r="B373" s="9" t="str">
        <x:v>EV-AR-ET-A-A-TECH-3-B2-RCN-G0</x:v>
      </x:c>
      <x:c r="C373" s="9" t="str">
        <x:v>AR-ET-A-A-TECH-3-B2-RCN-G0</x:v>
      </x:c>
      <x:c r="D373" s="9" t="str">
        <x:v>ET-A-A-TECH-3</x:v>
      </x:c>
      <x:c r="E373" s="9" t="str">
        <x:v>ET-A-A</x:v>
      </x:c>
      <x:c r="F373" s="9" t="str">
        <x:v>B2</x:v>
      </x:c>
      <x:c r="G373" s="9" t="str">
        <x:v>RCN</x:v>
      </x:c>
      <x:c r="H373" s="9" t="str">
        <x:v>OG07</x:v>
      </x:c>
      <x:c r="I373" s="17" t="str">
        <x:v>Receiver denominator</x:v>
      </x:c>
      <x:c r="J373" s="17" t="str">
        <x:v>population, quantity, duration and exclusions match the frozen receipt</x:v>
      </x:c>
      <x:c r="K373" s="17" t="str">
        <x:v>Receiver court</x:v>
      </x:c>
      <x:c r="L373" s="9" t="n">
        <x:v>0</x:v>
      </x:c>
      <x:c r="M373" s="9" t="n">
        <x:v>0</x:v>
      </x:c>
      <x:c r="N373" s="9" t="str">
        <x:v>OPEN / UNACCEPTED</x:v>
      </x:c>
      <x:c r="O373" s="9" t="n">
        <x:f>COUNTIFS($A$7:$A$1734,A373)</x:f>
        <x:v>1</x:v>
      </x:c>
    </x:row>
    <x:row r="374">
      <x:c r="A374" s="9" t="str">
        <x:v>EV-AR-ET-A-A-TECH-3-B2-RCN-G0-OG08</x:v>
      </x:c>
      <x:c r="B374" s="9" t="str">
        <x:v>EV-AR-ET-A-A-TECH-3-B2-RCN-G0</x:v>
      </x:c>
      <x:c r="C374" s="9" t="str">
        <x:v>AR-ET-A-A-TECH-3-B2-RCN-G0</x:v>
      </x:c>
      <x:c r="D374" s="9" t="str">
        <x:v>ET-A-A-TECH-3</x:v>
      </x:c>
      <x:c r="E374" s="9" t="str">
        <x:v>ET-A-A</x:v>
      </x:c>
      <x:c r="F374" s="9" t="str">
        <x:v>B2</x:v>
      </x:c>
      <x:c r="G374" s="9" t="str">
        <x:v>RCN</x:v>
      </x:c>
      <x:c r="H374" s="9" t="str">
        <x:v>OG08</x:v>
      </x:c>
      <x:c r="I374" s="17" t="str">
        <x:v>Environment and boundary</x:v>
      </x:c>
      <x:c r="J374" s="17" t="str">
        <x:v>registered weather, water, ground, inlet and outlet states are retained</x:v>
      </x:c>
      <x:c r="K374" s="17" t="str">
        <x:v>Boundary court</x:v>
      </x:c>
      <x:c r="L374" s="9" t="n">
        <x:v>0</x:v>
      </x:c>
      <x:c r="M374" s="9" t="n">
        <x:v>0</x:v>
      </x:c>
      <x:c r="N374" s="9" t="str">
        <x:v>OPEN / UNACCEPTED</x:v>
      </x:c>
      <x:c r="O374" s="9" t="n">
        <x:f>COUNTIFS($A$7:$A$1734,A374)</x:f>
        <x:v>1</x:v>
      </x:c>
    </x:row>
    <x:row r="375">
      <x:c r="A375" s="9" t="str">
        <x:v>EV-AR-ET-A-A-TECH-3-B2-RCN-G0-OG09</x:v>
      </x:c>
      <x:c r="B375" s="9" t="str">
        <x:v>EV-AR-ET-A-A-TECH-3-B2-RCN-G0</x:v>
      </x:c>
      <x:c r="C375" s="9" t="str">
        <x:v>AR-ET-A-A-TECH-3-B2-RCN-G0</x:v>
      </x:c>
      <x:c r="D375" s="9" t="str">
        <x:v>ET-A-A-TECH-3</x:v>
      </x:c>
      <x:c r="E375" s="9" t="str">
        <x:v>ET-A-A</x:v>
      </x:c>
      <x:c r="F375" s="9" t="str">
        <x:v>B2</x:v>
      </x:c>
      <x:c r="G375" s="9" t="str">
        <x:v>RCN</x:v>
      </x:c>
      <x:c r="H375" s="9" t="str">
        <x:v>OG09</x:v>
      </x:c>
      <x:c r="I375" s="17" t="str">
        <x:v>Intervention account</x:v>
      </x:c>
      <x:c r="J375" s="17" t="str">
        <x:v>all stop, rescue, operator and public-protection actions remain timestamped</x:v>
      </x:c>
      <x:c r="K375" s="17" t="str">
        <x:v>Safety record court</x:v>
      </x:c>
      <x:c r="L375" s="9" t="n">
        <x:v>0</x:v>
      </x:c>
      <x:c r="M375" s="9" t="n">
        <x:v>0</x:v>
      </x:c>
      <x:c r="N375" s="9" t="str">
        <x:v>OPEN / UNACCEPTED</x:v>
      </x:c>
      <x:c r="O375" s="9" t="n">
        <x:f>COUNTIFS($A$7:$A$1734,A375)</x:f>
        <x:v>1</x:v>
      </x:c>
    </x:row>
    <x:row r="376">
      <x:c r="A376" s="9" t="str">
        <x:v>EV-AR-ET-A-A-TECH-3-B2-RCN-G0-OG10</x:v>
      </x:c>
      <x:c r="B376" s="9" t="str">
        <x:v>EV-AR-ET-A-A-TECH-3-B2-RCN-G0</x:v>
      </x:c>
      <x:c r="C376" s="9" t="str">
        <x:v>AR-ET-A-A-TECH-3-B2-RCN-G0</x:v>
      </x:c>
      <x:c r="D376" s="9" t="str">
        <x:v>ET-A-A-TECH-3</x:v>
      </x:c>
      <x:c r="E376" s="9" t="str">
        <x:v>ET-A-A</x:v>
      </x:c>
      <x:c r="F376" s="9" t="str">
        <x:v>B2</x:v>
      </x:c>
      <x:c r="G376" s="9" t="str">
        <x:v>RCN</x:v>
      </x:c>
      <x:c r="H376" s="9" t="str">
        <x:v>OG10</x:v>
      </x:c>
      <x:c r="I376" s="17" t="str">
        <x:v>Uncertainty statement</x:v>
      </x:c>
      <x:c r="J376" s="17" t="str">
        <x:v>range, censoring, resolution and correlation are declared before judgment</x:v>
      </x:c>
      <x:c r="K376" s="17" t="str">
        <x:v>Uncertainty authority</x:v>
      </x:c>
      <x:c r="L376" s="9" t="n">
        <x:v>0</x:v>
      </x:c>
      <x:c r="M376" s="9" t="n">
        <x:v>0</x:v>
      </x:c>
      <x:c r="N376" s="9" t="str">
        <x:v>OPEN / UNACCEPTED</x:v>
      </x:c>
      <x:c r="O376" s="9" t="n">
        <x:f>COUNTIFS($A$7:$A$1734,A376)</x:f>
        <x:v>1</x:v>
      </x:c>
    </x:row>
    <x:row r="377">
      <x:c r="A377" s="9" t="str">
        <x:v>EV-AR-ET-A-A-TECH-3-B2-RCN-G0-OG11</x:v>
      </x:c>
      <x:c r="B377" s="9" t="str">
        <x:v>EV-AR-ET-A-A-TECH-3-B2-RCN-G0</x:v>
      </x:c>
      <x:c r="C377" s="9" t="str">
        <x:v>AR-ET-A-A-TECH-3-B2-RCN-G0</x:v>
      </x:c>
      <x:c r="D377" s="9" t="str">
        <x:v>ET-A-A-TECH-3</x:v>
      </x:c>
      <x:c r="E377" s="9" t="str">
        <x:v>ET-A-A</x:v>
      </x:c>
      <x:c r="F377" s="9" t="str">
        <x:v>B2</x:v>
      </x:c>
      <x:c r="G377" s="9" t="str">
        <x:v>RCN</x:v>
      </x:c>
      <x:c r="H377" s="9" t="str">
        <x:v>OG11</x:v>
      </x:c>
      <x:c r="I377" s="17" t="str">
        <x:v>Contradiction preservation</x:v>
      </x:c>
      <x:c r="J377" s="17" t="str">
        <x:v>primary-witness disagreement remains explicit and is never averaged away</x:v>
      </x:c>
      <x:c r="K377" s="17" t="str">
        <x:v>Dissent registrar</x:v>
      </x:c>
      <x:c r="L377" s="9" t="n">
        <x:v>0</x:v>
      </x:c>
      <x:c r="M377" s="9" t="n">
        <x:v>0</x:v>
      </x:c>
      <x:c r="N377" s="9" t="str">
        <x:v>OPEN / UNACCEPTED</x:v>
      </x:c>
      <x:c r="O377" s="9" t="n">
        <x:f>COUNTIFS($A$7:$A$1734,A377)</x:f>
        <x:v>1</x:v>
      </x:c>
    </x:row>
    <x:row r="378">
      <x:c r="A378" s="9" t="str">
        <x:v>EV-AR-ET-A-A-TECH-3-B2-RCN-G0-OG12</x:v>
      </x:c>
      <x:c r="B378" s="9" t="str">
        <x:v>EV-AR-ET-A-A-TECH-3-B2-RCN-G0</x:v>
      </x:c>
      <x:c r="C378" s="9" t="str">
        <x:v>AR-ET-A-A-TECH-3-B2-RCN-G0</x:v>
      </x:c>
      <x:c r="D378" s="9" t="str">
        <x:v>ET-A-A-TECH-3</x:v>
      </x:c>
      <x:c r="E378" s="9" t="str">
        <x:v>ET-A-A</x:v>
      </x:c>
      <x:c r="F378" s="9" t="str">
        <x:v>B2</x:v>
      </x:c>
      <x:c r="G378" s="9" t="str">
        <x:v>RCN</x:v>
      </x:c>
      <x:c r="H378" s="9" t="str">
        <x:v>OG12</x:v>
      </x:c>
      <x:c r="I378" s="17" t="str">
        <x:v>Independent replay</x:v>
      </x:c>
      <x:c r="J378" s="17" t="str">
        <x:v>a separated reader reconstructs the registered observables from sealed originals</x:v>
      </x:c>
      <x:c r="K378" s="17" t="str">
        <x:v>Replay court</x:v>
      </x:c>
      <x:c r="L378" s="9" t="n">
        <x:v>0</x:v>
      </x:c>
      <x:c r="M378" s="9" t="n">
        <x:v>0</x:v>
      </x:c>
      <x:c r="N378" s="9" t="str">
        <x:v>OPEN / UNACCEPTED</x:v>
      </x:c>
      <x:c r="O378" s="9" t="n">
        <x:f>COUNTIFS($A$7:$A$1734,A378)</x:f>
        <x:v>1</x:v>
      </x:c>
    </x:row>
    <x:row r="379">
      <x:c r="A379" s="9" t="str">
        <x:v>EV-AR-ET-A-A-TECH-1-B2-INT-G0-OG01</x:v>
      </x:c>
      <x:c r="B379" s="9" t="str">
        <x:v>EV-AR-ET-A-A-TECH-1-B2-INT-G0</x:v>
      </x:c>
      <x:c r="C379" s="9" t="str">
        <x:v>AR-ET-A-A-TECH-1-B2-INT-G0</x:v>
      </x:c>
      <x:c r="D379" s="9" t="str">
        <x:v>ET-A-A-TECH-1</x:v>
      </x:c>
      <x:c r="E379" s="9" t="str">
        <x:v>ET-A-A</x:v>
      </x:c>
      <x:c r="F379" s="9" t="str">
        <x:v>B2</x:v>
      </x:c>
      <x:c r="G379" s="9" t="str">
        <x:v>INT</x:v>
      </x:c>
      <x:c r="H379" s="9" t="str">
        <x:v>OG01</x:v>
      </x:c>
      <x:c r="I379" s="17" t="str">
        <x:v>Serial and event identity</x:v>
      </x:c>
      <x:c r="J379" s="17" t="str">
        <x:v>record resolves to the issued serial, generation and physical start</x:v>
      </x:c>
      <x:c r="K379" s="17" t="str">
        <x:v>Observation court</x:v>
      </x:c>
      <x:c r="L379" s="9" t="n">
        <x:v>0</x:v>
      </x:c>
      <x:c r="M379" s="9" t="n">
        <x:v>0</x:v>
      </x:c>
      <x:c r="N379" s="9" t="str">
        <x:v>OPEN / UNACCEPTED</x:v>
      </x:c>
      <x:c r="O379" s="9" t="n">
        <x:f>COUNTIFS($A$7:$A$1734,A379)</x:f>
        <x:v>1</x:v>
      </x:c>
    </x:row>
    <x:row r="380">
      <x:c r="A380" s="9" t="str">
        <x:v>EV-AR-ET-A-A-TECH-1-B2-INT-G0-OG02</x:v>
      </x:c>
      <x:c r="B380" s="9" t="str">
        <x:v>EV-AR-ET-A-A-TECH-1-B2-INT-G0</x:v>
      </x:c>
      <x:c r="C380" s="9" t="str">
        <x:v>AR-ET-A-A-TECH-1-B2-INT-G0</x:v>
      </x:c>
      <x:c r="D380" s="9" t="str">
        <x:v>ET-A-A-TECH-1</x:v>
      </x:c>
      <x:c r="E380" s="9" t="str">
        <x:v>ET-A-A</x:v>
      </x:c>
      <x:c r="F380" s="9" t="str">
        <x:v>B2</x:v>
      </x:c>
      <x:c r="G380" s="9" t="str">
        <x:v>INT</x:v>
      </x:c>
      <x:c r="H380" s="9" t="str">
        <x:v>OG02</x:v>
      </x:c>
      <x:c r="I380" s="17" t="str">
        <x:v>Time ancestry</x:v>
      </x:c>
      <x:c r="J380" s="17" t="str">
        <x:v>primary, witness and public event clocks retain declared offsets and drift</x:v>
      </x:c>
      <x:c r="K380" s="17" t="str">
        <x:v>Time authority</x:v>
      </x:c>
      <x:c r="L380" s="9" t="n">
        <x:v>0</x:v>
      </x:c>
      <x:c r="M380" s="9" t="n">
        <x:v>0</x:v>
      </x:c>
      <x:c r="N380" s="9" t="str">
        <x:v>OPEN / UNACCEPTED</x:v>
      </x:c>
      <x:c r="O380" s="9" t="n">
        <x:f>COUNTIFS($A$7:$A$1734,A380)</x:f>
        <x:v>1</x:v>
      </x:c>
    </x:row>
    <x:row r="381">
      <x:c r="A381" s="9" t="str">
        <x:v>EV-AR-ET-A-A-TECH-1-B2-INT-G0-OG03</x:v>
      </x:c>
      <x:c r="B381" s="9" t="str">
        <x:v>EV-AR-ET-A-A-TECH-1-B2-INT-G0</x:v>
      </x:c>
      <x:c r="C381" s="9" t="str">
        <x:v>AR-ET-A-A-TECH-1-B2-INT-G0</x:v>
      </x:c>
      <x:c r="D381" s="9" t="str">
        <x:v>ET-A-A-TECH-1</x:v>
      </x:c>
      <x:c r="E381" s="9" t="str">
        <x:v>ET-A-A</x:v>
      </x:c>
      <x:c r="F381" s="9" t="str">
        <x:v>B2</x:v>
      </x:c>
      <x:c r="G381" s="9" t="str">
        <x:v>INT</x:v>
      </x:c>
      <x:c r="H381" s="9" t="str">
        <x:v>OG03</x:v>
      </x:c>
      <x:c r="I381" s="17" t="str">
        <x:v>Calibration ancestry</x:v>
      </x:c>
      <x:c r="J381" s="17" t="str">
        <x:v>all reference, range and uncertainty states cover the live interval</x:v>
      </x:c>
      <x:c r="K381" s="17" t="str">
        <x:v>Metrology courts</x:v>
      </x:c>
      <x:c r="L381" s="9" t="n">
        <x:v>0</x:v>
      </x:c>
      <x:c r="M381" s="9" t="n">
        <x:v>0</x:v>
      </x:c>
      <x:c r="N381" s="9" t="str">
        <x:v>OPEN / UNACCEPTED</x:v>
      </x:c>
      <x:c r="O381" s="9" t="n">
        <x:f>COUNTIFS($A$7:$A$1734,A381)</x:f>
        <x:v>1</x:v>
      </x:c>
    </x:row>
    <x:row r="382">
      <x:c r="A382" s="9" t="str">
        <x:v>EV-AR-ET-A-A-TECH-1-B2-INT-G0-OG04</x:v>
      </x:c>
      <x:c r="B382" s="9" t="str">
        <x:v>EV-AR-ET-A-A-TECH-1-B2-INT-G0</x:v>
      </x:c>
      <x:c r="C382" s="9" t="str">
        <x:v>AR-ET-A-A-TECH-1-B2-INT-G0</x:v>
      </x:c>
      <x:c r="D382" s="9" t="str">
        <x:v>ET-A-A-TECH-1</x:v>
      </x:c>
      <x:c r="E382" s="9" t="str">
        <x:v>ET-A-A</x:v>
      </x:c>
      <x:c r="F382" s="9" t="str">
        <x:v>B2</x:v>
      </x:c>
      <x:c r="G382" s="9" t="str">
        <x:v>INT</x:v>
      </x:c>
      <x:c r="H382" s="9" t="str">
        <x:v>OG04</x:v>
      </x:c>
      <x:c r="I382" s="17" t="str">
        <x:v>Raw completeness</x:v>
      </x:c>
      <x:c r="J382" s="17" t="str">
        <x:v>missingness is enumerated without imputation or outcome-conditioned deletion</x:v>
      </x:c>
      <x:c r="K382" s="17" t="str">
        <x:v>Observation court</x:v>
      </x:c>
      <x:c r="L382" s="9" t="n">
        <x:v>0</x:v>
      </x:c>
      <x:c r="M382" s="9" t="n">
        <x:v>0</x:v>
      </x:c>
      <x:c r="N382" s="9" t="str">
        <x:v>OPEN / UNACCEPTED</x:v>
      </x:c>
      <x:c r="O382" s="9" t="n">
        <x:f>COUNTIFS($A$7:$A$1734,A382)</x:f>
        <x:v>1</x:v>
      </x:c>
    </x:row>
    <x:row r="383">
      <x:c r="A383" s="9" t="str">
        <x:v>EV-AR-ET-A-A-TECH-1-B2-INT-G0-OG05</x:v>
      </x:c>
      <x:c r="B383" s="9" t="str">
        <x:v>EV-AR-ET-A-A-TECH-1-B2-INT-G0</x:v>
      </x:c>
      <x:c r="C383" s="9" t="str">
        <x:v>AR-ET-A-A-TECH-1-B2-INT-G0</x:v>
      </x:c>
      <x:c r="D383" s="9" t="str">
        <x:v>ET-A-A-TECH-1</x:v>
      </x:c>
      <x:c r="E383" s="9" t="str">
        <x:v>ET-A-A</x:v>
      </x:c>
      <x:c r="F383" s="9" t="str">
        <x:v>B2</x:v>
      </x:c>
      <x:c r="G383" s="9" t="str">
        <x:v>INT</x:v>
      </x:c>
      <x:c r="H383" s="9" t="str">
        <x:v>OG05</x:v>
      </x:c>
      <x:c r="I383" s="17" t="str">
        <x:v>Primary provenance</x:v>
      </x:c>
      <x:c r="J383" s="17" t="str">
        <x:v>primary originals, hashes, keys and access history reconcile</x:v>
      </x:c>
      <x:c r="K383" s="17" t="str">
        <x:v>Primary custody</x:v>
      </x:c>
      <x:c r="L383" s="9" t="n">
        <x:v>0</x:v>
      </x:c>
      <x:c r="M383" s="9" t="n">
        <x:v>0</x:v>
      </x:c>
      <x:c r="N383" s="9" t="str">
        <x:v>OPEN / UNACCEPTED</x:v>
      </x:c>
      <x:c r="O383" s="9" t="n">
        <x:f>COUNTIFS($A$7:$A$1734,A383)</x:f>
        <x:v>1</x:v>
      </x:c>
    </x:row>
    <x:row r="384">
      <x:c r="A384" s="9" t="str">
        <x:v>EV-AR-ET-A-A-TECH-1-B2-INT-G0-OG06</x:v>
      </x:c>
      <x:c r="B384" s="9" t="str">
        <x:v>EV-AR-ET-A-A-TECH-1-B2-INT-G0</x:v>
      </x:c>
      <x:c r="C384" s="9" t="str">
        <x:v>AR-ET-A-A-TECH-1-B2-INT-G0</x:v>
      </x:c>
      <x:c r="D384" s="9" t="str">
        <x:v>ET-A-A-TECH-1</x:v>
      </x:c>
      <x:c r="E384" s="9" t="str">
        <x:v>ET-A-A</x:v>
      </x:c>
      <x:c r="F384" s="9" t="str">
        <x:v>B2</x:v>
      </x:c>
      <x:c r="G384" s="9" t="str">
        <x:v>INT</x:v>
      </x:c>
      <x:c r="H384" s="9" t="str">
        <x:v>OG06</x:v>
      </x:c>
      <x:c r="I384" s="17" t="str">
        <x:v>Witness provenance</x:v>
      </x:c>
      <x:c r="J384" s="17" t="str">
        <x:v>unlike witness originals, hashes, keys and access history reconcile</x:v>
      </x:c>
      <x:c r="K384" s="17" t="str">
        <x:v>Witness custody</x:v>
      </x:c>
      <x:c r="L384" s="9" t="n">
        <x:v>0</x:v>
      </x:c>
      <x:c r="M384" s="9" t="n">
        <x:v>0</x:v>
      </x:c>
      <x:c r="N384" s="9" t="str">
        <x:v>OPEN / UNACCEPTED</x:v>
      </x:c>
      <x:c r="O384" s="9" t="n">
        <x:f>COUNTIFS($A$7:$A$1734,A384)</x:f>
        <x:v>1</x:v>
      </x:c>
    </x:row>
    <x:row r="385">
      <x:c r="A385" s="9" t="str">
        <x:v>EV-AR-ET-A-A-TECH-1-B2-INT-G0-OG07</x:v>
      </x:c>
      <x:c r="B385" s="9" t="str">
        <x:v>EV-AR-ET-A-A-TECH-1-B2-INT-G0</x:v>
      </x:c>
      <x:c r="C385" s="9" t="str">
        <x:v>AR-ET-A-A-TECH-1-B2-INT-G0</x:v>
      </x:c>
      <x:c r="D385" s="9" t="str">
        <x:v>ET-A-A-TECH-1</x:v>
      </x:c>
      <x:c r="E385" s="9" t="str">
        <x:v>ET-A-A</x:v>
      </x:c>
      <x:c r="F385" s="9" t="str">
        <x:v>B2</x:v>
      </x:c>
      <x:c r="G385" s="9" t="str">
        <x:v>INT</x:v>
      </x:c>
      <x:c r="H385" s="9" t="str">
        <x:v>OG07</x:v>
      </x:c>
      <x:c r="I385" s="17" t="str">
        <x:v>Receiver denominator</x:v>
      </x:c>
      <x:c r="J385" s="17" t="str">
        <x:v>population, quantity, duration and exclusions match the frozen receipt</x:v>
      </x:c>
      <x:c r="K385" s="17" t="str">
        <x:v>Receiver court</x:v>
      </x:c>
      <x:c r="L385" s="9" t="n">
        <x:v>0</x:v>
      </x:c>
      <x:c r="M385" s="9" t="n">
        <x:v>0</x:v>
      </x:c>
      <x:c r="N385" s="9" t="str">
        <x:v>OPEN / UNACCEPTED</x:v>
      </x:c>
      <x:c r="O385" s="9" t="n">
        <x:f>COUNTIFS($A$7:$A$1734,A385)</x:f>
        <x:v>1</x:v>
      </x:c>
    </x:row>
    <x:row r="386">
      <x:c r="A386" s="9" t="str">
        <x:v>EV-AR-ET-A-A-TECH-1-B2-INT-G0-OG08</x:v>
      </x:c>
      <x:c r="B386" s="9" t="str">
        <x:v>EV-AR-ET-A-A-TECH-1-B2-INT-G0</x:v>
      </x:c>
      <x:c r="C386" s="9" t="str">
        <x:v>AR-ET-A-A-TECH-1-B2-INT-G0</x:v>
      </x:c>
      <x:c r="D386" s="9" t="str">
        <x:v>ET-A-A-TECH-1</x:v>
      </x:c>
      <x:c r="E386" s="9" t="str">
        <x:v>ET-A-A</x:v>
      </x:c>
      <x:c r="F386" s="9" t="str">
        <x:v>B2</x:v>
      </x:c>
      <x:c r="G386" s="9" t="str">
        <x:v>INT</x:v>
      </x:c>
      <x:c r="H386" s="9" t="str">
        <x:v>OG08</x:v>
      </x:c>
      <x:c r="I386" s="17" t="str">
        <x:v>Environment and boundary</x:v>
      </x:c>
      <x:c r="J386" s="17" t="str">
        <x:v>registered weather, water, ground, inlet and outlet states are retained</x:v>
      </x:c>
      <x:c r="K386" s="17" t="str">
        <x:v>Boundary court</x:v>
      </x:c>
      <x:c r="L386" s="9" t="n">
        <x:v>0</x:v>
      </x:c>
      <x:c r="M386" s="9" t="n">
        <x:v>0</x:v>
      </x:c>
      <x:c r="N386" s="9" t="str">
        <x:v>OPEN / UNACCEPTED</x:v>
      </x:c>
      <x:c r="O386" s="9" t="n">
        <x:f>COUNTIFS($A$7:$A$1734,A386)</x:f>
        <x:v>1</x:v>
      </x:c>
    </x:row>
    <x:row r="387">
      <x:c r="A387" s="9" t="str">
        <x:v>EV-AR-ET-A-A-TECH-1-B2-INT-G0-OG09</x:v>
      </x:c>
      <x:c r="B387" s="9" t="str">
        <x:v>EV-AR-ET-A-A-TECH-1-B2-INT-G0</x:v>
      </x:c>
      <x:c r="C387" s="9" t="str">
        <x:v>AR-ET-A-A-TECH-1-B2-INT-G0</x:v>
      </x:c>
      <x:c r="D387" s="9" t="str">
        <x:v>ET-A-A-TECH-1</x:v>
      </x:c>
      <x:c r="E387" s="9" t="str">
        <x:v>ET-A-A</x:v>
      </x:c>
      <x:c r="F387" s="9" t="str">
        <x:v>B2</x:v>
      </x:c>
      <x:c r="G387" s="9" t="str">
        <x:v>INT</x:v>
      </x:c>
      <x:c r="H387" s="9" t="str">
        <x:v>OG09</x:v>
      </x:c>
      <x:c r="I387" s="17" t="str">
        <x:v>Intervention account</x:v>
      </x:c>
      <x:c r="J387" s="17" t="str">
        <x:v>all stop, rescue, operator and public-protection actions remain timestamped</x:v>
      </x:c>
      <x:c r="K387" s="17" t="str">
        <x:v>Safety record court</x:v>
      </x:c>
      <x:c r="L387" s="9" t="n">
        <x:v>0</x:v>
      </x:c>
      <x:c r="M387" s="9" t="n">
        <x:v>0</x:v>
      </x:c>
      <x:c r="N387" s="9" t="str">
        <x:v>OPEN / UNACCEPTED</x:v>
      </x:c>
      <x:c r="O387" s="9" t="n">
        <x:f>COUNTIFS($A$7:$A$1734,A387)</x:f>
        <x:v>1</x:v>
      </x:c>
    </x:row>
    <x:row r="388">
      <x:c r="A388" s="9" t="str">
        <x:v>EV-AR-ET-A-A-TECH-1-B2-INT-G0-OG10</x:v>
      </x:c>
      <x:c r="B388" s="9" t="str">
        <x:v>EV-AR-ET-A-A-TECH-1-B2-INT-G0</x:v>
      </x:c>
      <x:c r="C388" s="9" t="str">
        <x:v>AR-ET-A-A-TECH-1-B2-INT-G0</x:v>
      </x:c>
      <x:c r="D388" s="9" t="str">
        <x:v>ET-A-A-TECH-1</x:v>
      </x:c>
      <x:c r="E388" s="9" t="str">
        <x:v>ET-A-A</x:v>
      </x:c>
      <x:c r="F388" s="9" t="str">
        <x:v>B2</x:v>
      </x:c>
      <x:c r="G388" s="9" t="str">
        <x:v>INT</x:v>
      </x:c>
      <x:c r="H388" s="9" t="str">
        <x:v>OG10</x:v>
      </x:c>
      <x:c r="I388" s="17" t="str">
        <x:v>Uncertainty statement</x:v>
      </x:c>
      <x:c r="J388" s="17" t="str">
        <x:v>range, censoring, resolution and correlation are declared before judgment</x:v>
      </x:c>
      <x:c r="K388" s="17" t="str">
        <x:v>Uncertainty authority</x:v>
      </x:c>
      <x:c r="L388" s="9" t="n">
        <x:v>0</x:v>
      </x:c>
      <x:c r="M388" s="9" t="n">
        <x:v>0</x:v>
      </x:c>
      <x:c r="N388" s="9" t="str">
        <x:v>OPEN / UNACCEPTED</x:v>
      </x:c>
      <x:c r="O388" s="9" t="n">
        <x:f>COUNTIFS($A$7:$A$1734,A388)</x:f>
        <x:v>1</x:v>
      </x:c>
    </x:row>
    <x:row r="389">
      <x:c r="A389" s="9" t="str">
        <x:v>EV-AR-ET-A-A-TECH-1-B2-INT-G0-OG11</x:v>
      </x:c>
      <x:c r="B389" s="9" t="str">
        <x:v>EV-AR-ET-A-A-TECH-1-B2-INT-G0</x:v>
      </x:c>
      <x:c r="C389" s="9" t="str">
        <x:v>AR-ET-A-A-TECH-1-B2-INT-G0</x:v>
      </x:c>
      <x:c r="D389" s="9" t="str">
        <x:v>ET-A-A-TECH-1</x:v>
      </x:c>
      <x:c r="E389" s="9" t="str">
        <x:v>ET-A-A</x:v>
      </x:c>
      <x:c r="F389" s="9" t="str">
        <x:v>B2</x:v>
      </x:c>
      <x:c r="G389" s="9" t="str">
        <x:v>INT</x:v>
      </x:c>
      <x:c r="H389" s="9" t="str">
        <x:v>OG11</x:v>
      </x:c>
      <x:c r="I389" s="17" t="str">
        <x:v>Contradiction preservation</x:v>
      </x:c>
      <x:c r="J389" s="17" t="str">
        <x:v>primary-witness disagreement remains explicit and is never averaged away</x:v>
      </x:c>
      <x:c r="K389" s="17" t="str">
        <x:v>Dissent registrar</x:v>
      </x:c>
      <x:c r="L389" s="9" t="n">
        <x:v>0</x:v>
      </x:c>
      <x:c r="M389" s="9" t="n">
        <x:v>0</x:v>
      </x:c>
      <x:c r="N389" s="9" t="str">
        <x:v>OPEN / UNACCEPTED</x:v>
      </x:c>
      <x:c r="O389" s="9" t="n">
        <x:f>COUNTIFS($A$7:$A$1734,A389)</x:f>
        <x:v>1</x:v>
      </x:c>
    </x:row>
    <x:row r="390">
      <x:c r="A390" s="9" t="str">
        <x:v>EV-AR-ET-A-A-TECH-1-B2-INT-G0-OG12</x:v>
      </x:c>
      <x:c r="B390" s="9" t="str">
        <x:v>EV-AR-ET-A-A-TECH-1-B2-INT-G0</x:v>
      </x:c>
      <x:c r="C390" s="9" t="str">
        <x:v>AR-ET-A-A-TECH-1-B2-INT-G0</x:v>
      </x:c>
      <x:c r="D390" s="9" t="str">
        <x:v>ET-A-A-TECH-1</x:v>
      </x:c>
      <x:c r="E390" s="9" t="str">
        <x:v>ET-A-A</x:v>
      </x:c>
      <x:c r="F390" s="9" t="str">
        <x:v>B2</x:v>
      </x:c>
      <x:c r="G390" s="9" t="str">
        <x:v>INT</x:v>
      </x:c>
      <x:c r="H390" s="9" t="str">
        <x:v>OG12</x:v>
      </x:c>
      <x:c r="I390" s="17" t="str">
        <x:v>Independent replay</x:v>
      </x:c>
      <x:c r="J390" s="17" t="str">
        <x:v>a separated reader reconstructs the registered observables from sealed originals</x:v>
      </x:c>
      <x:c r="K390" s="17" t="str">
        <x:v>Replay court</x:v>
      </x:c>
      <x:c r="L390" s="9" t="n">
        <x:v>0</x:v>
      </x:c>
      <x:c r="M390" s="9" t="n">
        <x:v>0</x:v>
      </x:c>
      <x:c r="N390" s="9" t="str">
        <x:v>OPEN / UNACCEPTED</x:v>
      </x:c>
      <x:c r="O390" s="9" t="n">
        <x:f>COUNTIFS($A$7:$A$1734,A390)</x:f>
        <x:v>1</x:v>
      </x:c>
    </x:row>
    <x:row r="391">
      <x:c r="A391" s="9" t="str">
        <x:v>EV-AR-HU-A-B-TECH-1-B2-BRK-G0-OG01</x:v>
      </x:c>
      <x:c r="B391" s="9" t="str">
        <x:v>EV-AR-HU-A-B-TECH-1-B2-BRK-G0</x:v>
      </x:c>
      <x:c r="C391" s="9" t="str">
        <x:v>AR-HU-A-B-TECH-1-B2-BRK-G0</x:v>
      </x:c>
      <x:c r="D391" s="9" t="str">
        <x:v>HU-A-B-TECH-1</x:v>
      </x:c>
      <x:c r="E391" s="9" t="str">
        <x:v>HU-A-B</x:v>
      </x:c>
      <x:c r="F391" s="9" t="str">
        <x:v>B2</x:v>
      </x:c>
      <x:c r="G391" s="9" t="str">
        <x:v>BRK</x:v>
      </x:c>
      <x:c r="H391" s="9" t="str">
        <x:v>OG01</x:v>
      </x:c>
      <x:c r="I391" s="17" t="str">
        <x:v>Serial and event identity</x:v>
      </x:c>
      <x:c r="J391" s="17" t="str">
        <x:v>record resolves to the issued serial, generation and physical start</x:v>
      </x:c>
      <x:c r="K391" s="17" t="str">
        <x:v>Observation court</x:v>
      </x:c>
      <x:c r="L391" s="9" t="n">
        <x:v>0</x:v>
      </x:c>
      <x:c r="M391" s="9" t="n">
        <x:v>0</x:v>
      </x:c>
      <x:c r="N391" s="9" t="str">
        <x:v>OPEN / UNACCEPTED</x:v>
      </x:c>
      <x:c r="O391" s="9" t="n">
        <x:f>COUNTIFS($A$7:$A$1734,A391)</x:f>
        <x:v>1</x:v>
      </x:c>
    </x:row>
    <x:row r="392">
      <x:c r="A392" s="9" t="str">
        <x:v>EV-AR-HU-A-B-TECH-1-B2-BRK-G0-OG02</x:v>
      </x:c>
      <x:c r="B392" s="9" t="str">
        <x:v>EV-AR-HU-A-B-TECH-1-B2-BRK-G0</x:v>
      </x:c>
      <x:c r="C392" s="9" t="str">
        <x:v>AR-HU-A-B-TECH-1-B2-BRK-G0</x:v>
      </x:c>
      <x:c r="D392" s="9" t="str">
        <x:v>HU-A-B-TECH-1</x:v>
      </x:c>
      <x:c r="E392" s="9" t="str">
        <x:v>HU-A-B</x:v>
      </x:c>
      <x:c r="F392" s="9" t="str">
        <x:v>B2</x:v>
      </x:c>
      <x:c r="G392" s="9" t="str">
        <x:v>BRK</x:v>
      </x:c>
      <x:c r="H392" s="9" t="str">
        <x:v>OG02</x:v>
      </x:c>
      <x:c r="I392" s="17" t="str">
        <x:v>Time ancestry</x:v>
      </x:c>
      <x:c r="J392" s="17" t="str">
        <x:v>primary, witness and public event clocks retain declared offsets and drift</x:v>
      </x:c>
      <x:c r="K392" s="17" t="str">
        <x:v>Time authority</x:v>
      </x:c>
      <x:c r="L392" s="9" t="n">
        <x:v>0</x:v>
      </x:c>
      <x:c r="M392" s="9" t="n">
        <x:v>0</x:v>
      </x:c>
      <x:c r="N392" s="9" t="str">
        <x:v>OPEN / UNACCEPTED</x:v>
      </x:c>
      <x:c r="O392" s="9" t="n">
        <x:f>COUNTIFS($A$7:$A$1734,A392)</x:f>
        <x:v>1</x:v>
      </x:c>
    </x:row>
    <x:row r="393">
      <x:c r="A393" s="9" t="str">
        <x:v>EV-AR-HU-A-B-TECH-1-B2-BRK-G0-OG03</x:v>
      </x:c>
      <x:c r="B393" s="9" t="str">
        <x:v>EV-AR-HU-A-B-TECH-1-B2-BRK-G0</x:v>
      </x:c>
      <x:c r="C393" s="9" t="str">
        <x:v>AR-HU-A-B-TECH-1-B2-BRK-G0</x:v>
      </x:c>
      <x:c r="D393" s="9" t="str">
        <x:v>HU-A-B-TECH-1</x:v>
      </x:c>
      <x:c r="E393" s="9" t="str">
        <x:v>HU-A-B</x:v>
      </x:c>
      <x:c r="F393" s="9" t="str">
        <x:v>B2</x:v>
      </x:c>
      <x:c r="G393" s="9" t="str">
        <x:v>BRK</x:v>
      </x:c>
      <x:c r="H393" s="9" t="str">
        <x:v>OG03</x:v>
      </x:c>
      <x:c r="I393" s="17" t="str">
        <x:v>Calibration ancestry</x:v>
      </x:c>
      <x:c r="J393" s="17" t="str">
        <x:v>all reference, range and uncertainty states cover the live interval</x:v>
      </x:c>
      <x:c r="K393" s="17" t="str">
        <x:v>Metrology courts</x:v>
      </x:c>
      <x:c r="L393" s="9" t="n">
        <x:v>0</x:v>
      </x:c>
      <x:c r="M393" s="9" t="n">
        <x:v>0</x:v>
      </x:c>
      <x:c r="N393" s="9" t="str">
        <x:v>OPEN / UNACCEPTED</x:v>
      </x:c>
      <x:c r="O393" s="9" t="n">
        <x:f>COUNTIFS($A$7:$A$1734,A393)</x:f>
        <x:v>1</x:v>
      </x:c>
    </x:row>
    <x:row r="394">
      <x:c r="A394" s="9" t="str">
        <x:v>EV-AR-HU-A-B-TECH-1-B2-BRK-G0-OG04</x:v>
      </x:c>
      <x:c r="B394" s="9" t="str">
        <x:v>EV-AR-HU-A-B-TECH-1-B2-BRK-G0</x:v>
      </x:c>
      <x:c r="C394" s="9" t="str">
        <x:v>AR-HU-A-B-TECH-1-B2-BRK-G0</x:v>
      </x:c>
      <x:c r="D394" s="9" t="str">
        <x:v>HU-A-B-TECH-1</x:v>
      </x:c>
      <x:c r="E394" s="9" t="str">
        <x:v>HU-A-B</x:v>
      </x:c>
      <x:c r="F394" s="9" t="str">
        <x:v>B2</x:v>
      </x:c>
      <x:c r="G394" s="9" t="str">
        <x:v>BRK</x:v>
      </x:c>
      <x:c r="H394" s="9" t="str">
        <x:v>OG04</x:v>
      </x:c>
      <x:c r="I394" s="17" t="str">
        <x:v>Raw completeness</x:v>
      </x:c>
      <x:c r="J394" s="17" t="str">
        <x:v>missingness is enumerated without imputation or outcome-conditioned deletion</x:v>
      </x:c>
      <x:c r="K394" s="17" t="str">
        <x:v>Observation court</x:v>
      </x:c>
      <x:c r="L394" s="9" t="n">
        <x:v>0</x:v>
      </x:c>
      <x:c r="M394" s="9" t="n">
        <x:v>0</x:v>
      </x:c>
      <x:c r="N394" s="9" t="str">
        <x:v>OPEN / UNACCEPTED</x:v>
      </x:c>
      <x:c r="O394" s="9" t="n">
        <x:f>COUNTIFS($A$7:$A$1734,A394)</x:f>
        <x:v>1</x:v>
      </x:c>
    </x:row>
    <x:row r="395">
      <x:c r="A395" s="9" t="str">
        <x:v>EV-AR-HU-A-B-TECH-1-B2-BRK-G0-OG05</x:v>
      </x:c>
      <x:c r="B395" s="9" t="str">
        <x:v>EV-AR-HU-A-B-TECH-1-B2-BRK-G0</x:v>
      </x:c>
      <x:c r="C395" s="9" t="str">
        <x:v>AR-HU-A-B-TECH-1-B2-BRK-G0</x:v>
      </x:c>
      <x:c r="D395" s="9" t="str">
        <x:v>HU-A-B-TECH-1</x:v>
      </x:c>
      <x:c r="E395" s="9" t="str">
        <x:v>HU-A-B</x:v>
      </x:c>
      <x:c r="F395" s="9" t="str">
        <x:v>B2</x:v>
      </x:c>
      <x:c r="G395" s="9" t="str">
        <x:v>BRK</x:v>
      </x:c>
      <x:c r="H395" s="9" t="str">
        <x:v>OG05</x:v>
      </x:c>
      <x:c r="I395" s="17" t="str">
        <x:v>Primary provenance</x:v>
      </x:c>
      <x:c r="J395" s="17" t="str">
        <x:v>primary originals, hashes, keys and access history reconcile</x:v>
      </x:c>
      <x:c r="K395" s="17" t="str">
        <x:v>Primary custody</x:v>
      </x:c>
      <x:c r="L395" s="9" t="n">
        <x:v>0</x:v>
      </x:c>
      <x:c r="M395" s="9" t="n">
        <x:v>0</x:v>
      </x:c>
      <x:c r="N395" s="9" t="str">
        <x:v>OPEN / UNACCEPTED</x:v>
      </x:c>
      <x:c r="O395" s="9" t="n">
        <x:f>COUNTIFS($A$7:$A$1734,A395)</x:f>
        <x:v>1</x:v>
      </x:c>
    </x:row>
    <x:row r="396">
      <x:c r="A396" s="9" t="str">
        <x:v>EV-AR-HU-A-B-TECH-1-B2-BRK-G0-OG06</x:v>
      </x:c>
      <x:c r="B396" s="9" t="str">
        <x:v>EV-AR-HU-A-B-TECH-1-B2-BRK-G0</x:v>
      </x:c>
      <x:c r="C396" s="9" t="str">
        <x:v>AR-HU-A-B-TECH-1-B2-BRK-G0</x:v>
      </x:c>
      <x:c r="D396" s="9" t="str">
        <x:v>HU-A-B-TECH-1</x:v>
      </x:c>
      <x:c r="E396" s="9" t="str">
        <x:v>HU-A-B</x:v>
      </x:c>
      <x:c r="F396" s="9" t="str">
        <x:v>B2</x:v>
      </x:c>
      <x:c r="G396" s="9" t="str">
        <x:v>BRK</x:v>
      </x:c>
      <x:c r="H396" s="9" t="str">
        <x:v>OG06</x:v>
      </x:c>
      <x:c r="I396" s="17" t="str">
        <x:v>Witness provenance</x:v>
      </x:c>
      <x:c r="J396" s="17" t="str">
        <x:v>unlike witness originals, hashes, keys and access history reconcile</x:v>
      </x:c>
      <x:c r="K396" s="17" t="str">
        <x:v>Witness custody</x:v>
      </x:c>
      <x:c r="L396" s="9" t="n">
        <x:v>0</x:v>
      </x:c>
      <x:c r="M396" s="9" t="n">
        <x:v>0</x:v>
      </x:c>
      <x:c r="N396" s="9" t="str">
        <x:v>OPEN / UNACCEPTED</x:v>
      </x:c>
      <x:c r="O396" s="9" t="n">
        <x:f>COUNTIFS($A$7:$A$1734,A396)</x:f>
        <x:v>1</x:v>
      </x:c>
    </x:row>
    <x:row r="397">
      <x:c r="A397" s="9" t="str">
        <x:v>EV-AR-HU-A-B-TECH-1-B2-BRK-G0-OG07</x:v>
      </x:c>
      <x:c r="B397" s="9" t="str">
        <x:v>EV-AR-HU-A-B-TECH-1-B2-BRK-G0</x:v>
      </x:c>
      <x:c r="C397" s="9" t="str">
        <x:v>AR-HU-A-B-TECH-1-B2-BRK-G0</x:v>
      </x:c>
      <x:c r="D397" s="9" t="str">
        <x:v>HU-A-B-TECH-1</x:v>
      </x:c>
      <x:c r="E397" s="9" t="str">
        <x:v>HU-A-B</x:v>
      </x:c>
      <x:c r="F397" s="9" t="str">
        <x:v>B2</x:v>
      </x:c>
      <x:c r="G397" s="9" t="str">
        <x:v>BRK</x:v>
      </x:c>
      <x:c r="H397" s="9" t="str">
        <x:v>OG07</x:v>
      </x:c>
      <x:c r="I397" s="17" t="str">
        <x:v>Receiver denominator</x:v>
      </x:c>
      <x:c r="J397" s="17" t="str">
        <x:v>population, quantity, duration and exclusions match the frozen receipt</x:v>
      </x:c>
      <x:c r="K397" s="17" t="str">
        <x:v>Receiver court</x:v>
      </x:c>
      <x:c r="L397" s="9" t="n">
        <x:v>0</x:v>
      </x:c>
      <x:c r="M397" s="9" t="n">
        <x:v>0</x:v>
      </x:c>
      <x:c r="N397" s="9" t="str">
        <x:v>OPEN / UNACCEPTED</x:v>
      </x:c>
      <x:c r="O397" s="9" t="n">
        <x:f>COUNTIFS($A$7:$A$1734,A397)</x:f>
        <x:v>1</x:v>
      </x:c>
    </x:row>
    <x:row r="398">
      <x:c r="A398" s="9" t="str">
        <x:v>EV-AR-HU-A-B-TECH-1-B2-BRK-G0-OG08</x:v>
      </x:c>
      <x:c r="B398" s="9" t="str">
        <x:v>EV-AR-HU-A-B-TECH-1-B2-BRK-G0</x:v>
      </x:c>
      <x:c r="C398" s="9" t="str">
        <x:v>AR-HU-A-B-TECH-1-B2-BRK-G0</x:v>
      </x:c>
      <x:c r="D398" s="9" t="str">
        <x:v>HU-A-B-TECH-1</x:v>
      </x:c>
      <x:c r="E398" s="9" t="str">
        <x:v>HU-A-B</x:v>
      </x:c>
      <x:c r="F398" s="9" t="str">
        <x:v>B2</x:v>
      </x:c>
      <x:c r="G398" s="9" t="str">
        <x:v>BRK</x:v>
      </x:c>
      <x:c r="H398" s="9" t="str">
        <x:v>OG08</x:v>
      </x:c>
      <x:c r="I398" s="17" t="str">
        <x:v>Environment and boundary</x:v>
      </x:c>
      <x:c r="J398" s="17" t="str">
        <x:v>registered weather, water, ground, inlet and outlet states are retained</x:v>
      </x:c>
      <x:c r="K398" s="17" t="str">
        <x:v>Boundary court</x:v>
      </x:c>
      <x:c r="L398" s="9" t="n">
        <x:v>0</x:v>
      </x:c>
      <x:c r="M398" s="9" t="n">
        <x:v>0</x:v>
      </x:c>
      <x:c r="N398" s="9" t="str">
        <x:v>OPEN / UNACCEPTED</x:v>
      </x:c>
      <x:c r="O398" s="9" t="n">
        <x:f>COUNTIFS($A$7:$A$1734,A398)</x:f>
        <x:v>1</x:v>
      </x:c>
    </x:row>
    <x:row r="399">
      <x:c r="A399" s="9" t="str">
        <x:v>EV-AR-HU-A-B-TECH-1-B2-BRK-G0-OG09</x:v>
      </x:c>
      <x:c r="B399" s="9" t="str">
        <x:v>EV-AR-HU-A-B-TECH-1-B2-BRK-G0</x:v>
      </x:c>
      <x:c r="C399" s="9" t="str">
        <x:v>AR-HU-A-B-TECH-1-B2-BRK-G0</x:v>
      </x:c>
      <x:c r="D399" s="9" t="str">
        <x:v>HU-A-B-TECH-1</x:v>
      </x:c>
      <x:c r="E399" s="9" t="str">
        <x:v>HU-A-B</x:v>
      </x:c>
      <x:c r="F399" s="9" t="str">
        <x:v>B2</x:v>
      </x:c>
      <x:c r="G399" s="9" t="str">
        <x:v>BRK</x:v>
      </x:c>
      <x:c r="H399" s="9" t="str">
        <x:v>OG09</x:v>
      </x:c>
      <x:c r="I399" s="17" t="str">
        <x:v>Intervention account</x:v>
      </x:c>
      <x:c r="J399" s="17" t="str">
        <x:v>all stop, rescue, operator and public-protection actions remain timestamped</x:v>
      </x:c>
      <x:c r="K399" s="17" t="str">
        <x:v>Safety record court</x:v>
      </x:c>
      <x:c r="L399" s="9" t="n">
        <x:v>0</x:v>
      </x:c>
      <x:c r="M399" s="9" t="n">
        <x:v>0</x:v>
      </x:c>
      <x:c r="N399" s="9" t="str">
        <x:v>OPEN / UNACCEPTED</x:v>
      </x:c>
      <x:c r="O399" s="9" t="n">
        <x:f>COUNTIFS($A$7:$A$1734,A399)</x:f>
        <x:v>1</x:v>
      </x:c>
    </x:row>
    <x:row r="400">
      <x:c r="A400" s="9" t="str">
        <x:v>EV-AR-HU-A-B-TECH-1-B2-BRK-G0-OG10</x:v>
      </x:c>
      <x:c r="B400" s="9" t="str">
        <x:v>EV-AR-HU-A-B-TECH-1-B2-BRK-G0</x:v>
      </x:c>
      <x:c r="C400" s="9" t="str">
        <x:v>AR-HU-A-B-TECH-1-B2-BRK-G0</x:v>
      </x:c>
      <x:c r="D400" s="9" t="str">
        <x:v>HU-A-B-TECH-1</x:v>
      </x:c>
      <x:c r="E400" s="9" t="str">
        <x:v>HU-A-B</x:v>
      </x:c>
      <x:c r="F400" s="9" t="str">
        <x:v>B2</x:v>
      </x:c>
      <x:c r="G400" s="9" t="str">
        <x:v>BRK</x:v>
      </x:c>
      <x:c r="H400" s="9" t="str">
        <x:v>OG10</x:v>
      </x:c>
      <x:c r="I400" s="17" t="str">
        <x:v>Uncertainty statement</x:v>
      </x:c>
      <x:c r="J400" s="17" t="str">
        <x:v>range, censoring, resolution and correlation are declared before judgment</x:v>
      </x:c>
      <x:c r="K400" s="17" t="str">
        <x:v>Uncertainty authority</x:v>
      </x:c>
      <x:c r="L400" s="9" t="n">
        <x:v>0</x:v>
      </x:c>
      <x:c r="M400" s="9" t="n">
        <x:v>0</x:v>
      </x:c>
      <x:c r="N400" s="9" t="str">
        <x:v>OPEN / UNACCEPTED</x:v>
      </x:c>
      <x:c r="O400" s="9" t="n">
        <x:f>COUNTIFS($A$7:$A$1734,A400)</x:f>
        <x:v>1</x:v>
      </x:c>
    </x:row>
    <x:row r="401">
      <x:c r="A401" s="9" t="str">
        <x:v>EV-AR-HU-A-B-TECH-1-B2-BRK-G0-OG11</x:v>
      </x:c>
      <x:c r="B401" s="9" t="str">
        <x:v>EV-AR-HU-A-B-TECH-1-B2-BRK-G0</x:v>
      </x:c>
      <x:c r="C401" s="9" t="str">
        <x:v>AR-HU-A-B-TECH-1-B2-BRK-G0</x:v>
      </x:c>
      <x:c r="D401" s="9" t="str">
        <x:v>HU-A-B-TECH-1</x:v>
      </x:c>
      <x:c r="E401" s="9" t="str">
        <x:v>HU-A-B</x:v>
      </x:c>
      <x:c r="F401" s="9" t="str">
        <x:v>B2</x:v>
      </x:c>
      <x:c r="G401" s="9" t="str">
        <x:v>BRK</x:v>
      </x:c>
      <x:c r="H401" s="9" t="str">
        <x:v>OG11</x:v>
      </x:c>
      <x:c r="I401" s="17" t="str">
        <x:v>Contradiction preservation</x:v>
      </x:c>
      <x:c r="J401" s="17" t="str">
        <x:v>primary-witness disagreement remains explicit and is never averaged away</x:v>
      </x:c>
      <x:c r="K401" s="17" t="str">
        <x:v>Dissent registrar</x:v>
      </x:c>
      <x:c r="L401" s="9" t="n">
        <x:v>0</x:v>
      </x:c>
      <x:c r="M401" s="9" t="n">
        <x:v>0</x:v>
      </x:c>
      <x:c r="N401" s="9" t="str">
        <x:v>OPEN / UNACCEPTED</x:v>
      </x:c>
      <x:c r="O401" s="9" t="n">
        <x:f>COUNTIFS($A$7:$A$1734,A401)</x:f>
        <x:v>1</x:v>
      </x:c>
    </x:row>
    <x:row r="402">
      <x:c r="A402" s="9" t="str">
        <x:v>EV-AR-HU-A-B-TECH-1-B2-BRK-G0-OG12</x:v>
      </x:c>
      <x:c r="B402" s="9" t="str">
        <x:v>EV-AR-HU-A-B-TECH-1-B2-BRK-G0</x:v>
      </x:c>
      <x:c r="C402" s="9" t="str">
        <x:v>AR-HU-A-B-TECH-1-B2-BRK-G0</x:v>
      </x:c>
      <x:c r="D402" s="9" t="str">
        <x:v>HU-A-B-TECH-1</x:v>
      </x:c>
      <x:c r="E402" s="9" t="str">
        <x:v>HU-A-B</x:v>
      </x:c>
      <x:c r="F402" s="9" t="str">
        <x:v>B2</x:v>
      </x:c>
      <x:c r="G402" s="9" t="str">
        <x:v>BRK</x:v>
      </x:c>
      <x:c r="H402" s="9" t="str">
        <x:v>OG12</x:v>
      </x:c>
      <x:c r="I402" s="17" t="str">
        <x:v>Independent replay</x:v>
      </x:c>
      <x:c r="J402" s="17" t="str">
        <x:v>a separated reader reconstructs the registered observables from sealed originals</x:v>
      </x:c>
      <x:c r="K402" s="17" t="str">
        <x:v>Replay court</x:v>
      </x:c>
      <x:c r="L402" s="9" t="n">
        <x:v>0</x:v>
      </x:c>
      <x:c r="M402" s="9" t="n">
        <x:v>0</x:v>
      </x:c>
      <x:c r="N402" s="9" t="str">
        <x:v>OPEN / UNACCEPTED</x:v>
      </x:c>
      <x:c r="O402" s="9" t="n">
        <x:f>COUNTIFS($A$7:$A$1734,A402)</x:f>
        <x:v>1</x:v>
      </x:c>
    </x:row>
    <x:row r="403">
      <x:c r="A403" s="9" t="str">
        <x:v>EV-AR-LF-B-A-TECH-3-B1-BRK-G0-OG01</x:v>
      </x:c>
      <x:c r="B403" s="9" t="str">
        <x:v>EV-AR-LF-B-A-TECH-3-B1-BRK-G0</x:v>
      </x:c>
      <x:c r="C403" s="9" t="str">
        <x:v>AR-LF-B-A-TECH-3-B1-BRK-G0</x:v>
      </x:c>
      <x:c r="D403" s="9" t="str">
        <x:v>LF-B-A-TECH-3</x:v>
      </x:c>
      <x:c r="E403" s="9" t="str">
        <x:v>LF-B-A</x:v>
      </x:c>
      <x:c r="F403" s="9" t="str">
        <x:v>B1</x:v>
      </x:c>
      <x:c r="G403" s="9" t="str">
        <x:v>BRK</x:v>
      </x:c>
      <x:c r="H403" s="9" t="str">
        <x:v>OG01</x:v>
      </x:c>
      <x:c r="I403" s="17" t="str">
        <x:v>Serial and event identity</x:v>
      </x:c>
      <x:c r="J403" s="17" t="str">
        <x:v>record resolves to the issued serial, generation and physical start</x:v>
      </x:c>
      <x:c r="K403" s="17" t="str">
        <x:v>Observation court</x:v>
      </x:c>
      <x:c r="L403" s="9" t="n">
        <x:v>0</x:v>
      </x:c>
      <x:c r="M403" s="9" t="n">
        <x:v>0</x:v>
      </x:c>
      <x:c r="N403" s="9" t="str">
        <x:v>OPEN / UNACCEPTED</x:v>
      </x:c>
      <x:c r="O403" s="9" t="n">
        <x:f>COUNTIFS($A$7:$A$1734,A403)</x:f>
        <x:v>1</x:v>
      </x:c>
    </x:row>
    <x:row r="404">
      <x:c r="A404" s="9" t="str">
        <x:v>EV-AR-LF-B-A-TECH-3-B1-BRK-G0-OG02</x:v>
      </x:c>
      <x:c r="B404" s="9" t="str">
        <x:v>EV-AR-LF-B-A-TECH-3-B1-BRK-G0</x:v>
      </x:c>
      <x:c r="C404" s="9" t="str">
        <x:v>AR-LF-B-A-TECH-3-B1-BRK-G0</x:v>
      </x:c>
      <x:c r="D404" s="9" t="str">
        <x:v>LF-B-A-TECH-3</x:v>
      </x:c>
      <x:c r="E404" s="9" t="str">
        <x:v>LF-B-A</x:v>
      </x:c>
      <x:c r="F404" s="9" t="str">
        <x:v>B1</x:v>
      </x:c>
      <x:c r="G404" s="9" t="str">
        <x:v>BRK</x:v>
      </x:c>
      <x:c r="H404" s="9" t="str">
        <x:v>OG02</x:v>
      </x:c>
      <x:c r="I404" s="17" t="str">
        <x:v>Time ancestry</x:v>
      </x:c>
      <x:c r="J404" s="17" t="str">
        <x:v>primary, witness and public event clocks retain declared offsets and drift</x:v>
      </x:c>
      <x:c r="K404" s="17" t="str">
        <x:v>Time authority</x:v>
      </x:c>
      <x:c r="L404" s="9" t="n">
        <x:v>0</x:v>
      </x:c>
      <x:c r="M404" s="9" t="n">
        <x:v>0</x:v>
      </x:c>
      <x:c r="N404" s="9" t="str">
        <x:v>OPEN / UNACCEPTED</x:v>
      </x:c>
      <x:c r="O404" s="9" t="n">
        <x:f>COUNTIFS($A$7:$A$1734,A404)</x:f>
        <x:v>1</x:v>
      </x:c>
    </x:row>
    <x:row r="405">
      <x:c r="A405" s="9" t="str">
        <x:v>EV-AR-LF-B-A-TECH-3-B1-BRK-G0-OG03</x:v>
      </x:c>
      <x:c r="B405" s="9" t="str">
        <x:v>EV-AR-LF-B-A-TECH-3-B1-BRK-G0</x:v>
      </x:c>
      <x:c r="C405" s="9" t="str">
        <x:v>AR-LF-B-A-TECH-3-B1-BRK-G0</x:v>
      </x:c>
      <x:c r="D405" s="9" t="str">
        <x:v>LF-B-A-TECH-3</x:v>
      </x:c>
      <x:c r="E405" s="9" t="str">
        <x:v>LF-B-A</x:v>
      </x:c>
      <x:c r="F405" s="9" t="str">
        <x:v>B1</x:v>
      </x:c>
      <x:c r="G405" s="9" t="str">
        <x:v>BRK</x:v>
      </x:c>
      <x:c r="H405" s="9" t="str">
        <x:v>OG03</x:v>
      </x:c>
      <x:c r="I405" s="17" t="str">
        <x:v>Calibration ancestry</x:v>
      </x:c>
      <x:c r="J405" s="17" t="str">
        <x:v>all reference, range and uncertainty states cover the live interval</x:v>
      </x:c>
      <x:c r="K405" s="17" t="str">
        <x:v>Metrology courts</x:v>
      </x:c>
      <x:c r="L405" s="9" t="n">
        <x:v>0</x:v>
      </x:c>
      <x:c r="M405" s="9" t="n">
        <x:v>0</x:v>
      </x:c>
      <x:c r="N405" s="9" t="str">
        <x:v>OPEN / UNACCEPTED</x:v>
      </x:c>
      <x:c r="O405" s="9" t="n">
        <x:f>COUNTIFS($A$7:$A$1734,A405)</x:f>
        <x:v>1</x:v>
      </x:c>
    </x:row>
    <x:row r="406">
      <x:c r="A406" s="9" t="str">
        <x:v>EV-AR-LF-B-A-TECH-3-B1-BRK-G0-OG04</x:v>
      </x:c>
      <x:c r="B406" s="9" t="str">
        <x:v>EV-AR-LF-B-A-TECH-3-B1-BRK-G0</x:v>
      </x:c>
      <x:c r="C406" s="9" t="str">
        <x:v>AR-LF-B-A-TECH-3-B1-BRK-G0</x:v>
      </x:c>
      <x:c r="D406" s="9" t="str">
        <x:v>LF-B-A-TECH-3</x:v>
      </x:c>
      <x:c r="E406" s="9" t="str">
        <x:v>LF-B-A</x:v>
      </x:c>
      <x:c r="F406" s="9" t="str">
        <x:v>B1</x:v>
      </x:c>
      <x:c r="G406" s="9" t="str">
        <x:v>BRK</x:v>
      </x:c>
      <x:c r="H406" s="9" t="str">
        <x:v>OG04</x:v>
      </x:c>
      <x:c r="I406" s="17" t="str">
        <x:v>Raw completeness</x:v>
      </x:c>
      <x:c r="J406" s="17" t="str">
        <x:v>missingness is enumerated without imputation or outcome-conditioned deletion</x:v>
      </x:c>
      <x:c r="K406" s="17" t="str">
        <x:v>Observation court</x:v>
      </x:c>
      <x:c r="L406" s="9" t="n">
        <x:v>0</x:v>
      </x:c>
      <x:c r="M406" s="9" t="n">
        <x:v>0</x:v>
      </x:c>
      <x:c r="N406" s="9" t="str">
        <x:v>OPEN / UNACCEPTED</x:v>
      </x:c>
      <x:c r="O406" s="9" t="n">
        <x:f>COUNTIFS($A$7:$A$1734,A406)</x:f>
        <x:v>1</x:v>
      </x:c>
    </x:row>
    <x:row r="407">
      <x:c r="A407" s="9" t="str">
        <x:v>EV-AR-LF-B-A-TECH-3-B1-BRK-G0-OG05</x:v>
      </x:c>
      <x:c r="B407" s="9" t="str">
        <x:v>EV-AR-LF-B-A-TECH-3-B1-BRK-G0</x:v>
      </x:c>
      <x:c r="C407" s="9" t="str">
        <x:v>AR-LF-B-A-TECH-3-B1-BRK-G0</x:v>
      </x:c>
      <x:c r="D407" s="9" t="str">
        <x:v>LF-B-A-TECH-3</x:v>
      </x:c>
      <x:c r="E407" s="9" t="str">
        <x:v>LF-B-A</x:v>
      </x:c>
      <x:c r="F407" s="9" t="str">
        <x:v>B1</x:v>
      </x:c>
      <x:c r="G407" s="9" t="str">
        <x:v>BRK</x:v>
      </x:c>
      <x:c r="H407" s="9" t="str">
        <x:v>OG05</x:v>
      </x:c>
      <x:c r="I407" s="17" t="str">
        <x:v>Primary provenance</x:v>
      </x:c>
      <x:c r="J407" s="17" t="str">
        <x:v>primary originals, hashes, keys and access history reconcile</x:v>
      </x:c>
      <x:c r="K407" s="17" t="str">
        <x:v>Primary custody</x:v>
      </x:c>
      <x:c r="L407" s="9" t="n">
        <x:v>0</x:v>
      </x:c>
      <x:c r="M407" s="9" t="n">
        <x:v>0</x:v>
      </x:c>
      <x:c r="N407" s="9" t="str">
        <x:v>OPEN / UNACCEPTED</x:v>
      </x:c>
      <x:c r="O407" s="9" t="n">
        <x:f>COUNTIFS($A$7:$A$1734,A407)</x:f>
        <x:v>1</x:v>
      </x:c>
    </x:row>
    <x:row r="408">
      <x:c r="A408" s="9" t="str">
        <x:v>EV-AR-LF-B-A-TECH-3-B1-BRK-G0-OG06</x:v>
      </x:c>
      <x:c r="B408" s="9" t="str">
        <x:v>EV-AR-LF-B-A-TECH-3-B1-BRK-G0</x:v>
      </x:c>
      <x:c r="C408" s="9" t="str">
        <x:v>AR-LF-B-A-TECH-3-B1-BRK-G0</x:v>
      </x:c>
      <x:c r="D408" s="9" t="str">
        <x:v>LF-B-A-TECH-3</x:v>
      </x:c>
      <x:c r="E408" s="9" t="str">
        <x:v>LF-B-A</x:v>
      </x:c>
      <x:c r="F408" s="9" t="str">
        <x:v>B1</x:v>
      </x:c>
      <x:c r="G408" s="9" t="str">
        <x:v>BRK</x:v>
      </x:c>
      <x:c r="H408" s="9" t="str">
        <x:v>OG06</x:v>
      </x:c>
      <x:c r="I408" s="17" t="str">
        <x:v>Witness provenance</x:v>
      </x:c>
      <x:c r="J408" s="17" t="str">
        <x:v>unlike witness originals, hashes, keys and access history reconcile</x:v>
      </x:c>
      <x:c r="K408" s="17" t="str">
        <x:v>Witness custody</x:v>
      </x:c>
      <x:c r="L408" s="9" t="n">
        <x:v>0</x:v>
      </x:c>
      <x:c r="M408" s="9" t="n">
        <x:v>0</x:v>
      </x:c>
      <x:c r="N408" s="9" t="str">
        <x:v>OPEN / UNACCEPTED</x:v>
      </x:c>
      <x:c r="O408" s="9" t="n">
        <x:f>COUNTIFS($A$7:$A$1734,A408)</x:f>
        <x:v>1</x:v>
      </x:c>
    </x:row>
    <x:row r="409">
      <x:c r="A409" s="9" t="str">
        <x:v>EV-AR-LF-B-A-TECH-3-B1-BRK-G0-OG07</x:v>
      </x:c>
      <x:c r="B409" s="9" t="str">
        <x:v>EV-AR-LF-B-A-TECH-3-B1-BRK-G0</x:v>
      </x:c>
      <x:c r="C409" s="9" t="str">
        <x:v>AR-LF-B-A-TECH-3-B1-BRK-G0</x:v>
      </x:c>
      <x:c r="D409" s="9" t="str">
        <x:v>LF-B-A-TECH-3</x:v>
      </x:c>
      <x:c r="E409" s="9" t="str">
        <x:v>LF-B-A</x:v>
      </x:c>
      <x:c r="F409" s="9" t="str">
        <x:v>B1</x:v>
      </x:c>
      <x:c r="G409" s="9" t="str">
        <x:v>BRK</x:v>
      </x:c>
      <x:c r="H409" s="9" t="str">
        <x:v>OG07</x:v>
      </x:c>
      <x:c r="I409" s="17" t="str">
        <x:v>Receiver denominator</x:v>
      </x:c>
      <x:c r="J409" s="17" t="str">
        <x:v>population, quantity, duration and exclusions match the frozen receipt</x:v>
      </x:c>
      <x:c r="K409" s="17" t="str">
        <x:v>Receiver court</x:v>
      </x:c>
      <x:c r="L409" s="9" t="n">
        <x:v>0</x:v>
      </x:c>
      <x:c r="M409" s="9" t="n">
        <x:v>0</x:v>
      </x:c>
      <x:c r="N409" s="9" t="str">
        <x:v>OPEN / UNACCEPTED</x:v>
      </x:c>
      <x:c r="O409" s="9" t="n">
        <x:f>COUNTIFS($A$7:$A$1734,A409)</x:f>
        <x:v>1</x:v>
      </x:c>
    </x:row>
    <x:row r="410">
      <x:c r="A410" s="9" t="str">
        <x:v>EV-AR-LF-B-A-TECH-3-B1-BRK-G0-OG08</x:v>
      </x:c>
      <x:c r="B410" s="9" t="str">
        <x:v>EV-AR-LF-B-A-TECH-3-B1-BRK-G0</x:v>
      </x:c>
      <x:c r="C410" s="9" t="str">
        <x:v>AR-LF-B-A-TECH-3-B1-BRK-G0</x:v>
      </x:c>
      <x:c r="D410" s="9" t="str">
        <x:v>LF-B-A-TECH-3</x:v>
      </x:c>
      <x:c r="E410" s="9" t="str">
        <x:v>LF-B-A</x:v>
      </x:c>
      <x:c r="F410" s="9" t="str">
        <x:v>B1</x:v>
      </x:c>
      <x:c r="G410" s="9" t="str">
        <x:v>BRK</x:v>
      </x:c>
      <x:c r="H410" s="9" t="str">
        <x:v>OG08</x:v>
      </x:c>
      <x:c r="I410" s="17" t="str">
        <x:v>Environment and boundary</x:v>
      </x:c>
      <x:c r="J410" s="17" t="str">
        <x:v>registered weather, water, ground, inlet and outlet states are retained</x:v>
      </x:c>
      <x:c r="K410" s="17" t="str">
        <x:v>Boundary court</x:v>
      </x:c>
      <x:c r="L410" s="9" t="n">
        <x:v>0</x:v>
      </x:c>
      <x:c r="M410" s="9" t="n">
        <x:v>0</x:v>
      </x:c>
      <x:c r="N410" s="9" t="str">
        <x:v>OPEN / UNACCEPTED</x:v>
      </x:c>
      <x:c r="O410" s="9" t="n">
        <x:f>COUNTIFS($A$7:$A$1734,A410)</x:f>
        <x:v>1</x:v>
      </x:c>
    </x:row>
    <x:row r="411">
      <x:c r="A411" s="9" t="str">
        <x:v>EV-AR-LF-B-A-TECH-3-B1-BRK-G0-OG09</x:v>
      </x:c>
      <x:c r="B411" s="9" t="str">
        <x:v>EV-AR-LF-B-A-TECH-3-B1-BRK-G0</x:v>
      </x:c>
      <x:c r="C411" s="9" t="str">
        <x:v>AR-LF-B-A-TECH-3-B1-BRK-G0</x:v>
      </x:c>
      <x:c r="D411" s="9" t="str">
        <x:v>LF-B-A-TECH-3</x:v>
      </x:c>
      <x:c r="E411" s="9" t="str">
        <x:v>LF-B-A</x:v>
      </x:c>
      <x:c r="F411" s="9" t="str">
        <x:v>B1</x:v>
      </x:c>
      <x:c r="G411" s="9" t="str">
        <x:v>BRK</x:v>
      </x:c>
      <x:c r="H411" s="9" t="str">
        <x:v>OG09</x:v>
      </x:c>
      <x:c r="I411" s="17" t="str">
        <x:v>Intervention account</x:v>
      </x:c>
      <x:c r="J411" s="17" t="str">
        <x:v>all stop, rescue, operator and public-protection actions remain timestamped</x:v>
      </x:c>
      <x:c r="K411" s="17" t="str">
        <x:v>Safety record court</x:v>
      </x:c>
      <x:c r="L411" s="9" t="n">
        <x:v>0</x:v>
      </x:c>
      <x:c r="M411" s="9" t="n">
        <x:v>0</x:v>
      </x:c>
      <x:c r="N411" s="9" t="str">
        <x:v>OPEN / UNACCEPTED</x:v>
      </x:c>
      <x:c r="O411" s="9" t="n">
        <x:f>COUNTIFS($A$7:$A$1734,A411)</x:f>
        <x:v>1</x:v>
      </x:c>
    </x:row>
    <x:row r="412">
      <x:c r="A412" s="9" t="str">
        <x:v>EV-AR-LF-B-A-TECH-3-B1-BRK-G0-OG10</x:v>
      </x:c>
      <x:c r="B412" s="9" t="str">
        <x:v>EV-AR-LF-B-A-TECH-3-B1-BRK-G0</x:v>
      </x:c>
      <x:c r="C412" s="9" t="str">
        <x:v>AR-LF-B-A-TECH-3-B1-BRK-G0</x:v>
      </x:c>
      <x:c r="D412" s="9" t="str">
        <x:v>LF-B-A-TECH-3</x:v>
      </x:c>
      <x:c r="E412" s="9" t="str">
        <x:v>LF-B-A</x:v>
      </x:c>
      <x:c r="F412" s="9" t="str">
        <x:v>B1</x:v>
      </x:c>
      <x:c r="G412" s="9" t="str">
        <x:v>BRK</x:v>
      </x:c>
      <x:c r="H412" s="9" t="str">
        <x:v>OG10</x:v>
      </x:c>
      <x:c r="I412" s="17" t="str">
        <x:v>Uncertainty statement</x:v>
      </x:c>
      <x:c r="J412" s="17" t="str">
        <x:v>range, censoring, resolution and correlation are declared before judgment</x:v>
      </x:c>
      <x:c r="K412" s="17" t="str">
        <x:v>Uncertainty authority</x:v>
      </x:c>
      <x:c r="L412" s="9" t="n">
        <x:v>0</x:v>
      </x:c>
      <x:c r="M412" s="9" t="n">
        <x:v>0</x:v>
      </x:c>
      <x:c r="N412" s="9" t="str">
        <x:v>OPEN / UNACCEPTED</x:v>
      </x:c>
      <x:c r="O412" s="9" t="n">
        <x:f>COUNTIFS($A$7:$A$1734,A412)</x:f>
        <x:v>1</x:v>
      </x:c>
    </x:row>
    <x:row r="413">
      <x:c r="A413" s="9" t="str">
        <x:v>EV-AR-LF-B-A-TECH-3-B1-BRK-G0-OG11</x:v>
      </x:c>
      <x:c r="B413" s="9" t="str">
        <x:v>EV-AR-LF-B-A-TECH-3-B1-BRK-G0</x:v>
      </x:c>
      <x:c r="C413" s="9" t="str">
        <x:v>AR-LF-B-A-TECH-3-B1-BRK-G0</x:v>
      </x:c>
      <x:c r="D413" s="9" t="str">
        <x:v>LF-B-A-TECH-3</x:v>
      </x:c>
      <x:c r="E413" s="9" t="str">
        <x:v>LF-B-A</x:v>
      </x:c>
      <x:c r="F413" s="9" t="str">
        <x:v>B1</x:v>
      </x:c>
      <x:c r="G413" s="9" t="str">
        <x:v>BRK</x:v>
      </x:c>
      <x:c r="H413" s="9" t="str">
        <x:v>OG11</x:v>
      </x:c>
      <x:c r="I413" s="17" t="str">
        <x:v>Contradiction preservation</x:v>
      </x:c>
      <x:c r="J413" s="17" t="str">
        <x:v>primary-witness disagreement remains explicit and is never averaged away</x:v>
      </x:c>
      <x:c r="K413" s="17" t="str">
        <x:v>Dissent registrar</x:v>
      </x:c>
      <x:c r="L413" s="9" t="n">
        <x:v>0</x:v>
      </x:c>
      <x:c r="M413" s="9" t="n">
        <x:v>0</x:v>
      </x:c>
      <x:c r="N413" s="9" t="str">
        <x:v>OPEN / UNACCEPTED</x:v>
      </x:c>
      <x:c r="O413" s="9" t="n">
        <x:f>COUNTIFS($A$7:$A$1734,A413)</x:f>
        <x:v>1</x:v>
      </x:c>
    </x:row>
    <x:row r="414">
      <x:c r="A414" s="9" t="str">
        <x:v>EV-AR-LF-B-A-TECH-3-B1-BRK-G0-OG12</x:v>
      </x:c>
      <x:c r="B414" s="9" t="str">
        <x:v>EV-AR-LF-B-A-TECH-3-B1-BRK-G0</x:v>
      </x:c>
      <x:c r="C414" s="9" t="str">
        <x:v>AR-LF-B-A-TECH-3-B1-BRK-G0</x:v>
      </x:c>
      <x:c r="D414" s="9" t="str">
        <x:v>LF-B-A-TECH-3</x:v>
      </x:c>
      <x:c r="E414" s="9" t="str">
        <x:v>LF-B-A</x:v>
      </x:c>
      <x:c r="F414" s="9" t="str">
        <x:v>B1</x:v>
      </x:c>
      <x:c r="G414" s="9" t="str">
        <x:v>BRK</x:v>
      </x:c>
      <x:c r="H414" s="9" t="str">
        <x:v>OG12</x:v>
      </x:c>
      <x:c r="I414" s="17" t="str">
        <x:v>Independent replay</x:v>
      </x:c>
      <x:c r="J414" s="17" t="str">
        <x:v>a separated reader reconstructs the registered observables from sealed originals</x:v>
      </x:c>
      <x:c r="K414" s="17" t="str">
        <x:v>Replay court</x:v>
      </x:c>
      <x:c r="L414" s="9" t="n">
        <x:v>0</x:v>
      </x:c>
      <x:c r="M414" s="9" t="n">
        <x:v>0</x:v>
      </x:c>
      <x:c r="N414" s="9" t="str">
        <x:v>OPEN / UNACCEPTED</x:v>
      </x:c>
      <x:c r="O414" s="9" t="n">
        <x:f>COUNTIFS($A$7:$A$1734,A414)</x:f>
        <x:v>1</x:v>
      </x:c>
    </x:row>
    <x:row r="415">
      <x:c r="A415" s="9" t="str">
        <x:v>EV-AR-LF-B-A-TECH-2-B2-BRK-G0-OG01</x:v>
      </x:c>
      <x:c r="B415" s="9" t="str">
        <x:v>EV-AR-LF-B-A-TECH-2-B2-BRK-G0</x:v>
      </x:c>
      <x:c r="C415" s="9" t="str">
        <x:v>AR-LF-B-A-TECH-2-B2-BRK-G0</x:v>
      </x:c>
      <x:c r="D415" s="9" t="str">
        <x:v>LF-B-A-TECH-2</x:v>
      </x:c>
      <x:c r="E415" s="9" t="str">
        <x:v>LF-B-A</x:v>
      </x:c>
      <x:c r="F415" s="9" t="str">
        <x:v>B2</x:v>
      </x:c>
      <x:c r="G415" s="9" t="str">
        <x:v>BRK</x:v>
      </x:c>
      <x:c r="H415" s="9" t="str">
        <x:v>OG01</x:v>
      </x:c>
      <x:c r="I415" s="17" t="str">
        <x:v>Serial and event identity</x:v>
      </x:c>
      <x:c r="J415" s="17" t="str">
        <x:v>record resolves to the issued serial, generation and physical start</x:v>
      </x:c>
      <x:c r="K415" s="17" t="str">
        <x:v>Observation court</x:v>
      </x:c>
      <x:c r="L415" s="9" t="n">
        <x:v>0</x:v>
      </x:c>
      <x:c r="M415" s="9" t="n">
        <x:v>0</x:v>
      </x:c>
      <x:c r="N415" s="9" t="str">
        <x:v>OPEN / UNACCEPTED</x:v>
      </x:c>
      <x:c r="O415" s="9" t="n">
        <x:f>COUNTIFS($A$7:$A$1734,A415)</x:f>
        <x:v>1</x:v>
      </x:c>
    </x:row>
    <x:row r="416">
      <x:c r="A416" s="9" t="str">
        <x:v>EV-AR-LF-B-A-TECH-2-B2-BRK-G0-OG02</x:v>
      </x:c>
      <x:c r="B416" s="9" t="str">
        <x:v>EV-AR-LF-B-A-TECH-2-B2-BRK-G0</x:v>
      </x:c>
      <x:c r="C416" s="9" t="str">
        <x:v>AR-LF-B-A-TECH-2-B2-BRK-G0</x:v>
      </x:c>
      <x:c r="D416" s="9" t="str">
        <x:v>LF-B-A-TECH-2</x:v>
      </x:c>
      <x:c r="E416" s="9" t="str">
        <x:v>LF-B-A</x:v>
      </x:c>
      <x:c r="F416" s="9" t="str">
        <x:v>B2</x:v>
      </x:c>
      <x:c r="G416" s="9" t="str">
        <x:v>BRK</x:v>
      </x:c>
      <x:c r="H416" s="9" t="str">
        <x:v>OG02</x:v>
      </x:c>
      <x:c r="I416" s="17" t="str">
        <x:v>Time ancestry</x:v>
      </x:c>
      <x:c r="J416" s="17" t="str">
        <x:v>primary, witness and public event clocks retain declared offsets and drift</x:v>
      </x:c>
      <x:c r="K416" s="17" t="str">
        <x:v>Time authority</x:v>
      </x:c>
      <x:c r="L416" s="9" t="n">
        <x:v>0</x:v>
      </x:c>
      <x:c r="M416" s="9" t="n">
        <x:v>0</x:v>
      </x:c>
      <x:c r="N416" s="9" t="str">
        <x:v>OPEN / UNACCEPTED</x:v>
      </x:c>
      <x:c r="O416" s="9" t="n">
        <x:f>COUNTIFS($A$7:$A$1734,A416)</x:f>
        <x:v>1</x:v>
      </x:c>
    </x:row>
    <x:row r="417">
      <x:c r="A417" s="9" t="str">
        <x:v>EV-AR-LF-B-A-TECH-2-B2-BRK-G0-OG03</x:v>
      </x:c>
      <x:c r="B417" s="9" t="str">
        <x:v>EV-AR-LF-B-A-TECH-2-B2-BRK-G0</x:v>
      </x:c>
      <x:c r="C417" s="9" t="str">
        <x:v>AR-LF-B-A-TECH-2-B2-BRK-G0</x:v>
      </x:c>
      <x:c r="D417" s="9" t="str">
        <x:v>LF-B-A-TECH-2</x:v>
      </x:c>
      <x:c r="E417" s="9" t="str">
        <x:v>LF-B-A</x:v>
      </x:c>
      <x:c r="F417" s="9" t="str">
        <x:v>B2</x:v>
      </x:c>
      <x:c r="G417" s="9" t="str">
        <x:v>BRK</x:v>
      </x:c>
      <x:c r="H417" s="9" t="str">
        <x:v>OG03</x:v>
      </x:c>
      <x:c r="I417" s="17" t="str">
        <x:v>Calibration ancestry</x:v>
      </x:c>
      <x:c r="J417" s="17" t="str">
        <x:v>all reference, range and uncertainty states cover the live interval</x:v>
      </x:c>
      <x:c r="K417" s="17" t="str">
        <x:v>Metrology courts</x:v>
      </x:c>
      <x:c r="L417" s="9" t="n">
        <x:v>0</x:v>
      </x:c>
      <x:c r="M417" s="9" t="n">
        <x:v>0</x:v>
      </x:c>
      <x:c r="N417" s="9" t="str">
        <x:v>OPEN / UNACCEPTED</x:v>
      </x:c>
      <x:c r="O417" s="9" t="n">
        <x:f>COUNTIFS($A$7:$A$1734,A417)</x:f>
        <x:v>1</x:v>
      </x:c>
    </x:row>
    <x:row r="418">
      <x:c r="A418" s="9" t="str">
        <x:v>EV-AR-LF-B-A-TECH-2-B2-BRK-G0-OG04</x:v>
      </x:c>
      <x:c r="B418" s="9" t="str">
        <x:v>EV-AR-LF-B-A-TECH-2-B2-BRK-G0</x:v>
      </x:c>
      <x:c r="C418" s="9" t="str">
        <x:v>AR-LF-B-A-TECH-2-B2-BRK-G0</x:v>
      </x:c>
      <x:c r="D418" s="9" t="str">
        <x:v>LF-B-A-TECH-2</x:v>
      </x:c>
      <x:c r="E418" s="9" t="str">
        <x:v>LF-B-A</x:v>
      </x:c>
      <x:c r="F418" s="9" t="str">
        <x:v>B2</x:v>
      </x:c>
      <x:c r="G418" s="9" t="str">
        <x:v>BRK</x:v>
      </x:c>
      <x:c r="H418" s="9" t="str">
        <x:v>OG04</x:v>
      </x:c>
      <x:c r="I418" s="17" t="str">
        <x:v>Raw completeness</x:v>
      </x:c>
      <x:c r="J418" s="17" t="str">
        <x:v>missingness is enumerated without imputation or outcome-conditioned deletion</x:v>
      </x:c>
      <x:c r="K418" s="17" t="str">
        <x:v>Observation court</x:v>
      </x:c>
      <x:c r="L418" s="9" t="n">
        <x:v>0</x:v>
      </x:c>
      <x:c r="M418" s="9" t="n">
        <x:v>0</x:v>
      </x:c>
      <x:c r="N418" s="9" t="str">
        <x:v>OPEN / UNACCEPTED</x:v>
      </x:c>
      <x:c r="O418" s="9" t="n">
        <x:f>COUNTIFS($A$7:$A$1734,A418)</x:f>
        <x:v>1</x:v>
      </x:c>
    </x:row>
    <x:row r="419">
      <x:c r="A419" s="9" t="str">
        <x:v>EV-AR-LF-B-A-TECH-2-B2-BRK-G0-OG05</x:v>
      </x:c>
      <x:c r="B419" s="9" t="str">
        <x:v>EV-AR-LF-B-A-TECH-2-B2-BRK-G0</x:v>
      </x:c>
      <x:c r="C419" s="9" t="str">
        <x:v>AR-LF-B-A-TECH-2-B2-BRK-G0</x:v>
      </x:c>
      <x:c r="D419" s="9" t="str">
        <x:v>LF-B-A-TECH-2</x:v>
      </x:c>
      <x:c r="E419" s="9" t="str">
        <x:v>LF-B-A</x:v>
      </x:c>
      <x:c r="F419" s="9" t="str">
        <x:v>B2</x:v>
      </x:c>
      <x:c r="G419" s="9" t="str">
        <x:v>BRK</x:v>
      </x:c>
      <x:c r="H419" s="9" t="str">
        <x:v>OG05</x:v>
      </x:c>
      <x:c r="I419" s="17" t="str">
        <x:v>Primary provenance</x:v>
      </x:c>
      <x:c r="J419" s="17" t="str">
        <x:v>primary originals, hashes, keys and access history reconcile</x:v>
      </x:c>
      <x:c r="K419" s="17" t="str">
        <x:v>Primary custody</x:v>
      </x:c>
      <x:c r="L419" s="9" t="n">
        <x:v>0</x:v>
      </x:c>
      <x:c r="M419" s="9" t="n">
        <x:v>0</x:v>
      </x:c>
      <x:c r="N419" s="9" t="str">
        <x:v>OPEN / UNACCEPTED</x:v>
      </x:c>
      <x:c r="O419" s="9" t="n">
        <x:f>COUNTIFS($A$7:$A$1734,A419)</x:f>
        <x:v>1</x:v>
      </x:c>
    </x:row>
    <x:row r="420">
      <x:c r="A420" s="9" t="str">
        <x:v>EV-AR-LF-B-A-TECH-2-B2-BRK-G0-OG06</x:v>
      </x:c>
      <x:c r="B420" s="9" t="str">
        <x:v>EV-AR-LF-B-A-TECH-2-B2-BRK-G0</x:v>
      </x:c>
      <x:c r="C420" s="9" t="str">
        <x:v>AR-LF-B-A-TECH-2-B2-BRK-G0</x:v>
      </x:c>
      <x:c r="D420" s="9" t="str">
        <x:v>LF-B-A-TECH-2</x:v>
      </x:c>
      <x:c r="E420" s="9" t="str">
        <x:v>LF-B-A</x:v>
      </x:c>
      <x:c r="F420" s="9" t="str">
        <x:v>B2</x:v>
      </x:c>
      <x:c r="G420" s="9" t="str">
        <x:v>BRK</x:v>
      </x:c>
      <x:c r="H420" s="9" t="str">
        <x:v>OG06</x:v>
      </x:c>
      <x:c r="I420" s="17" t="str">
        <x:v>Witness provenance</x:v>
      </x:c>
      <x:c r="J420" s="17" t="str">
        <x:v>unlike witness originals, hashes, keys and access history reconcile</x:v>
      </x:c>
      <x:c r="K420" s="17" t="str">
        <x:v>Witness custody</x:v>
      </x:c>
      <x:c r="L420" s="9" t="n">
        <x:v>0</x:v>
      </x:c>
      <x:c r="M420" s="9" t="n">
        <x:v>0</x:v>
      </x:c>
      <x:c r="N420" s="9" t="str">
        <x:v>OPEN / UNACCEPTED</x:v>
      </x:c>
      <x:c r="O420" s="9" t="n">
        <x:f>COUNTIFS($A$7:$A$1734,A420)</x:f>
        <x:v>1</x:v>
      </x:c>
    </x:row>
    <x:row r="421">
      <x:c r="A421" s="9" t="str">
        <x:v>EV-AR-LF-B-A-TECH-2-B2-BRK-G0-OG07</x:v>
      </x:c>
      <x:c r="B421" s="9" t="str">
        <x:v>EV-AR-LF-B-A-TECH-2-B2-BRK-G0</x:v>
      </x:c>
      <x:c r="C421" s="9" t="str">
        <x:v>AR-LF-B-A-TECH-2-B2-BRK-G0</x:v>
      </x:c>
      <x:c r="D421" s="9" t="str">
        <x:v>LF-B-A-TECH-2</x:v>
      </x:c>
      <x:c r="E421" s="9" t="str">
        <x:v>LF-B-A</x:v>
      </x:c>
      <x:c r="F421" s="9" t="str">
        <x:v>B2</x:v>
      </x:c>
      <x:c r="G421" s="9" t="str">
        <x:v>BRK</x:v>
      </x:c>
      <x:c r="H421" s="9" t="str">
        <x:v>OG07</x:v>
      </x:c>
      <x:c r="I421" s="17" t="str">
        <x:v>Receiver denominator</x:v>
      </x:c>
      <x:c r="J421" s="17" t="str">
        <x:v>population, quantity, duration and exclusions match the frozen receipt</x:v>
      </x:c>
      <x:c r="K421" s="17" t="str">
        <x:v>Receiver court</x:v>
      </x:c>
      <x:c r="L421" s="9" t="n">
        <x:v>0</x:v>
      </x:c>
      <x:c r="M421" s="9" t="n">
        <x:v>0</x:v>
      </x:c>
      <x:c r="N421" s="9" t="str">
        <x:v>OPEN / UNACCEPTED</x:v>
      </x:c>
      <x:c r="O421" s="9" t="n">
        <x:f>COUNTIFS($A$7:$A$1734,A421)</x:f>
        <x:v>1</x:v>
      </x:c>
    </x:row>
    <x:row r="422">
      <x:c r="A422" s="9" t="str">
        <x:v>EV-AR-LF-B-A-TECH-2-B2-BRK-G0-OG08</x:v>
      </x:c>
      <x:c r="B422" s="9" t="str">
        <x:v>EV-AR-LF-B-A-TECH-2-B2-BRK-G0</x:v>
      </x:c>
      <x:c r="C422" s="9" t="str">
        <x:v>AR-LF-B-A-TECH-2-B2-BRK-G0</x:v>
      </x:c>
      <x:c r="D422" s="9" t="str">
        <x:v>LF-B-A-TECH-2</x:v>
      </x:c>
      <x:c r="E422" s="9" t="str">
        <x:v>LF-B-A</x:v>
      </x:c>
      <x:c r="F422" s="9" t="str">
        <x:v>B2</x:v>
      </x:c>
      <x:c r="G422" s="9" t="str">
        <x:v>BRK</x:v>
      </x:c>
      <x:c r="H422" s="9" t="str">
        <x:v>OG08</x:v>
      </x:c>
      <x:c r="I422" s="17" t="str">
        <x:v>Environment and boundary</x:v>
      </x:c>
      <x:c r="J422" s="17" t="str">
        <x:v>registered weather, water, ground, inlet and outlet states are retained</x:v>
      </x:c>
      <x:c r="K422" s="17" t="str">
        <x:v>Boundary court</x:v>
      </x:c>
      <x:c r="L422" s="9" t="n">
        <x:v>0</x:v>
      </x:c>
      <x:c r="M422" s="9" t="n">
        <x:v>0</x:v>
      </x:c>
      <x:c r="N422" s="9" t="str">
        <x:v>OPEN / UNACCEPTED</x:v>
      </x:c>
      <x:c r="O422" s="9" t="n">
        <x:f>COUNTIFS($A$7:$A$1734,A422)</x:f>
        <x:v>1</x:v>
      </x:c>
    </x:row>
    <x:row r="423">
      <x:c r="A423" s="9" t="str">
        <x:v>EV-AR-LF-B-A-TECH-2-B2-BRK-G0-OG09</x:v>
      </x:c>
      <x:c r="B423" s="9" t="str">
        <x:v>EV-AR-LF-B-A-TECH-2-B2-BRK-G0</x:v>
      </x:c>
      <x:c r="C423" s="9" t="str">
        <x:v>AR-LF-B-A-TECH-2-B2-BRK-G0</x:v>
      </x:c>
      <x:c r="D423" s="9" t="str">
        <x:v>LF-B-A-TECH-2</x:v>
      </x:c>
      <x:c r="E423" s="9" t="str">
        <x:v>LF-B-A</x:v>
      </x:c>
      <x:c r="F423" s="9" t="str">
        <x:v>B2</x:v>
      </x:c>
      <x:c r="G423" s="9" t="str">
        <x:v>BRK</x:v>
      </x:c>
      <x:c r="H423" s="9" t="str">
        <x:v>OG09</x:v>
      </x:c>
      <x:c r="I423" s="17" t="str">
        <x:v>Intervention account</x:v>
      </x:c>
      <x:c r="J423" s="17" t="str">
        <x:v>all stop, rescue, operator and public-protection actions remain timestamped</x:v>
      </x:c>
      <x:c r="K423" s="17" t="str">
        <x:v>Safety record court</x:v>
      </x:c>
      <x:c r="L423" s="9" t="n">
        <x:v>0</x:v>
      </x:c>
      <x:c r="M423" s="9" t="n">
        <x:v>0</x:v>
      </x:c>
      <x:c r="N423" s="9" t="str">
        <x:v>OPEN / UNACCEPTED</x:v>
      </x:c>
      <x:c r="O423" s="9" t="n">
        <x:f>COUNTIFS($A$7:$A$1734,A423)</x:f>
        <x:v>1</x:v>
      </x:c>
    </x:row>
    <x:row r="424">
      <x:c r="A424" s="9" t="str">
        <x:v>EV-AR-LF-B-A-TECH-2-B2-BRK-G0-OG10</x:v>
      </x:c>
      <x:c r="B424" s="9" t="str">
        <x:v>EV-AR-LF-B-A-TECH-2-B2-BRK-G0</x:v>
      </x:c>
      <x:c r="C424" s="9" t="str">
        <x:v>AR-LF-B-A-TECH-2-B2-BRK-G0</x:v>
      </x:c>
      <x:c r="D424" s="9" t="str">
        <x:v>LF-B-A-TECH-2</x:v>
      </x:c>
      <x:c r="E424" s="9" t="str">
        <x:v>LF-B-A</x:v>
      </x:c>
      <x:c r="F424" s="9" t="str">
        <x:v>B2</x:v>
      </x:c>
      <x:c r="G424" s="9" t="str">
        <x:v>BRK</x:v>
      </x:c>
      <x:c r="H424" s="9" t="str">
        <x:v>OG10</x:v>
      </x:c>
      <x:c r="I424" s="17" t="str">
        <x:v>Uncertainty statement</x:v>
      </x:c>
      <x:c r="J424" s="17" t="str">
        <x:v>range, censoring, resolution and correlation are declared before judgment</x:v>
      </x:c>
      <x:c r="K424" s="17" t="str">
        <x:v>Uncertainty authority</x:v>
      </x:c>
      <x:c r="L424" s="9" t="n">
        <x:v>0</x:v>
      </x:c>
      <x:c r="M424" s="9" t="n">
        <x:v>0</x:v>
      </x:c>
      <x:c r="N424" s="9" t="str">
        <x:v>OPEN / UNACCEPTED</x:v>
      </x:c>
      <x:c r="O424" s="9" t="n">
        <x:f>COUNTIFS($A$7:$A$1734,A424)</x:f>
        <x:v>1</x:v>
      </x:c>
    </x:row>
    <x:row r="425">
      <x:c r="A425" s="9" t="str">
        <x:v>EV-AR-LF-B-A-TECH-2-B2-BRK-G0-OG11</x:v>
      </x:c>
      <x:c r="B425" s="9" t="str">
        <x:v>EV-AR-LF-B-A-TECH-2-B2-BRK-G0</x:v>
      </x:c>
      <x:c r="C425" s="9" t="str">
        <x:v>AR-LF-B-A-TECH-2-B2-BRK-G0</x:v>
      </x:c>
      <x:c r="D425" s="9" t="str">
        <x:v>LF-B-A-TECH-2</x:v>
      </x:c>
      <x:c r="E425" s="9" t="str">
        <x:v>LF-B-A</x:v>
      </x:c>
      <x:c r="F425" s="9" t="str">
        <x:v>B2</x:v>
      </x:c>
      <x:c r="G425" s="9" t="str">
        <x:v>BRK</x:v>
      </x:c>
      <x:c r="H425" s="9" t="str">
        <x:v>OG11</x:v>
      </x:c>
      <x:c r="I425" s="17" t="str">
        <x:v>Contradiction preservation</x:v>
      </x:c>
      <x:c r="J425" s="17" t="str">
        <x:v>primary-witness disagreement remains explicit and is never averaged away</x:v>
      </x:c>
      <x:c r="K425" s="17" t="str">
        <x:v>Dissent registrar</x:v>
      </x:c>
      <x:c r="L425" s="9" t="n">
        <x:v>0</x:v>
      </x:c>
      <x:c r="M425" s="9" t="n">
        <x:v>0</x:v>
      </x:c>
      <x:c r="N425" s="9" t="str">
        <x:v>OPEN / UNACCEPTED</x:v>
      </x:c>
      <x:c r="O425" s="9" t="n">
        <x:f>COUNTIFS($A$7:$A$1734,A425)</x:f>
        <x:v>1</x:v>
      </x:c>
    </x:row>
    <x:row r="426">
      <x:c r="A426" s="9" t="str">
        <x:v>EV-AR-LF-B-A-TECH-2-B2-BRK-G0-OG12</x:v>
      </x:c>
      <x:c r="B426" s="9" t="str">
        <x:v>EV-AR-LF-B-A-TECH-2-B2-BRK-G0</x:v>
      </x:c>
      <x:c r="C426" s="9" t="str">
        <x:v>AR-LF-B-A-TECH-2-B2-BRK-G0</x:v>
      </x:c>
      <x:c r="D426" s="9" t="str">
        <x:v>LF-B-A-TECH-2</x:v>
      </x:c>
      <x:c r="E426" s="9" t="str">
        <x:v>LF-B-A</x:v>
      </x:c>
      <x:c r="F426" s="9" t="str">
        <x:v>B2</x:v>
      </x:c>
      <x:c r="G426" s="9" t="str">
        <x:v>BRK</x:v>
      </x:c>
      <x:c r="H426" s="9" t="str">
        <x:v>OG12</x:v>
      </x:c>
      <x:c r="I426" s="17" t="str">
        <x:v>Independent replay</x:v>
      </x:c>
      <x:c r="J426" s="17" t="str">
        <x:v>a separated reader reconstructs the registered observables from sealed originals</x:v>
      </x:c>
      <x:c r="K426" s="17" t="str">
        <x:v>Replay court</x:v>
      </x:c>
      <x:c r="L426" s="9" t="n">
        <x:v>0</x:v>
      </x:c>
      <x:c r="M426" s="9" t="n">
        <x:v>0</x:v>
      </x:c>
      <x:c r="N426" s="9" t="str">
        <x:v>OPEN / UNACCEPTED</x:v>
      </x:c>
      <x:c r="O426" s="9" t="n">
        <x:f>COUNTIFS($A$7:$A$1734,A426)</x:f>
        <x:v>1</x:v>
      </x:c>
    </x:row>
    <x:row r="427">
      <x:c r="A427" s="9" t="str">
        <x:v>EV-AR-RT-B-C-TECH-1-B1-BRK-G0-OG01</x:v>
      </x:c>
      <x:c r="B427" s="9" t="str">
        <x:v>EV-AR-RT-B-C-TECH-1-B1-BRK-G0</x:v>
      </x:c>
      <x:c r="C427" s="9" t="str">
        <x:v>AR-RT-B-C-TECH-1-B1-BRK-G0</x:v>
      </x:c>
      <x:c r="D427" s="9" t="str">
        <x:v>RT-B-C-TECH-1</x:v>
      </x:c>
      <x:c r="E427" s="9" t="str">
        <x:v>RT-B-C</x:v>
      </x:c>
      <x:c r="F427" s="9" t="str">
        <x:v>B1</x:v>
      </x:c>
      <x:c r="G427" s="9" t="str">
        <x:v>BRK</x:v>
      </x:c>
      <x:c r="H427" s="9" t="str">
        <x:v>OG01</x:v>
      </x:c>
      <x:c r="I427" s="17" t="str">
        <x:v>Serial and event identity</x:v>
      </x:c>
      <x:c r="J427" s="17" t="str">
        <x:v>record resolves to the issued serial, generation and physical start</x:v>
      </x:c>
      <x:c r="K427" s="17" t="str">
        <x:v>Observation court</x:v>
      </x:c>
      <x:c r="L427" s="9" t="n">
        <x:v>0</x:v>
      </x:c>
      <x:c r="M427" s="9" t="n">
        <x:v>0</x:v>
      </x:c>
      <x:c r="N427" s="9" t="str">
        <x:v>OPEN / UNACCEPTED</x:v>
      </x:c>
      <x:c r="O427" s="9" t="n">
        <x:f>COUNTIFS($A$7:$A$1734,A427)</x:f>
        <x:v>1</x:v>
      </x:c>
    </x:row>
    <x:row r="428">
      <x:c r="A428" s="9" t="str">
        <x:v>EV-AR-RT-B-C-TECH-1-B1-BRK-G0-OG02</x:v>
      </x:c>
      <x:c r="B428" s="9" t="str">
        <x:v>EV-AR-RT-B-C-TECH-1-B1-BRK-G0</x:v>
      </x:c>
      <x:c r="C428" s="9" t="str">
        <x:v>AR-RT-B-C-TECH-1-B1-BRK-G0</x:v>
      </x:c>
      <x:c r="D428" s="9" t="str">
        <x:v>RT-B-C-TECH-1</x:v>
      </x:c>
      <x:c r="E428" s="9" t="str">
        <x:v>RT-B-C</x:v>
      </x:c>
      <x:c r="F428" s="9" t="str">
        <x:v>B1</x:v>
      </x:c>
      <x:c r="G428" s="9" t="str">
        <x:v>BRK</x:v>
      </x:c>
      <x:c r="H428" s="9" t="str">
        <x:v>OG02</x:v>
      </x:c>
      <x:c r="I428" s="17" t="str">
        <x:v>Time ancestry</x:v>
      </x:c>
      <x:c r="J428" s="17" t="str">
        <x:v>primary, witness and public event clocks retain declared offsets and drift</x:v>
      </x:c>
      <x:c r="K428" s="17" t="str">
        <x:v>Time authority</x:v>
      </x:c>
      <x:c r="L428" s="9" t="n">
        <x:v>0</x:v>
      </x:c>
      <x:c r="M428" s="9" t="n">
        <x:v>0</x:v>
      </x:c>
      <x:c r="N428" s="9" t="str">
        <x:v>OPEN / UNACCEPTED</x:v>
      </x:c>
      <x:c r="O428" s="9" t="n">
        <x:f>COUNTIFS($A$7:$A$1734,A428)</x:f>
        <x:v>1</x:v>
      </x:c>
    </x:row>
    <x:row r="429">
      <x:c r="A429" s="9" t="str">
        <x:v>EV-AR-RT-B-C-TECH-1-B1-BRK-G0-OG03</x:v>
      </x:c>
      <x:c r="B429" s="9" t="str">
        <x:v>EV-AR-RT-B-C-TECH-1-B1-BRK-G0</x:v>
      </x:c>
      <x:c r="C429" s="9" t="str">
        <x:v>AR-RT-B-C-TECH-1-B1-BRK-G0</x:v>
      </x:c>
      <x:c r="D429" s="9" t="str">
        <x:v>RT-B-C-TECH-1</x:v>
      </x:c>
      <x:c r="E429" s="9" t="str">
        <x:v>RT-B-C</x:v>
      </x:c>
      <x:c r="F429" s="9" t="str">
        <x:v>B1</x:v>
      </x:c>
      <x:c r="G429" s="9" t="str">
        <x:v>BRK</x:v>
      </x:c>
      <x:c r="H429" s="9" t="str">
        <x:v>OG03</x:v>
      </x:c>
      <x:c r="I429" s="17" t="str">
        <x:v>Calibration ancestry</x:v>
      </x:c>
      <x:c r="J429" s="17" t="str">
        <x:v>all reference, range and uncertainty states cover the live interval</x:v>
      </x:c>
      <x:c r="K429" s="17" t="str">
        <x:v>Metrology courts</x:v>
      </x:c>
      <x:c r="L429" s="9" t="n">
        <x:v>0</x:v>
      </x:c>
      <x:c r="M429" s="9" t="n">
        <x:v>0</x:v>
      </x:c>
      <x:c r="N429" s="9" t="str">
        <x:v>OPEN / UNACCEPTED</x:v>
      </x:c>
      <x:c r="O429" s="9" t="n">
        <x:f>COUNTIFS($A$7:$A$1734,A429)</x:f>
        <x:v>1</x:v>
      </x:c>
    </x:row>
    <x:row r="430">
      <x:c r="A430" s="9" t="str">
        <x:v>EV-AR-RT-B-C-TECH-1-B1-BRK-G0-OG04</x:v>
      </x:c>
      <x:c r="B430" s="9" t="str">
        <x:v>EV-AR-RT-B-C-TECH-1-B1-BRK-G0</x:v>
      </x:c>
      <x:c r="C430" s="9" t="str">
        <x:v>AR-RT-B-C-TECH-1-B1-BRK-G0</x:v>
      </x:c>
      <x:c r="D430" s="9" t="str">
        <x:v>RT-B-C-TECH-1</x:v>
      </x:c>
      <x:c r="E430" s="9" t="str">
        <x:v>RT-B-C</x:v>
      </x:c>
      <x:c r="F430" s="9" t="str">
        <x:v>B1</x:v>
      </x:c>
      <x:c r="G430" s="9" t="str">
        <x:v>BRK</x:v>
      </x:c>
      <x:c r="H430" s="9" t="str">
        <x:v>OG04</x:v>
      </x:c>
      <x:c r="I430" s="17" t="str">
        <x:v>Raw completeness</x:v>
      </x:c>
      <x:c r="J430" s="17" t="str">
        <x:v>missingness is enumerated without imputation or outcome-conditioned deletion</x:v>
      </x:c>
      <x:c r="K430" s="17" t="str">
        <x:v>Observation court</x:v>
      </x:c>
      <x:c r="L430" s="9" t="n">
        <x:v>0</x:v>
      </x:c>
      <x:c r="M430" s="9" t="n">
        <x:v>0</x:v>
      </x:c>
      <x:c r="N430" s="9" t="str">
        <x:v>OPEN / UNACCEPTED</x:v>
      </x:c>
      <x:c r="O430" s="9" t="n">
        <x:f>COUNTIFS($A$7:$A$1734,A430)</x:f>
        <x:v>1</x:v>
      </x:c>
    </x:row>
    <x:row r="431">
      <x:c r="A431" s="9" t="str">
        <x:v>EV-AR-RT-B-C-TECH-1-B1-BRK-G0-OG05</x:v>
      </x:c>
      <x:c r="B431" s="9" t="str">
        <x:v>EV-AR-RT-B-C-TECH-1-B1-BRK-G0</x:v>
      </x:c>
      <x:c r="C431" s="9" t="str">
        <x:v>AR-RT-B-C-TECH-1-B1-BRK-G0</x:v>
      </x:c>
      <x:c r="D431" s="9" t="str">
        <x:v>RT-B-C-TECH-1</x:v>
      </x:c>
      <x:c r="E431" s="9" t="str">
        <x:v>RT-B-C</x:v>
      </x:c>
      <x:c r="F431" s="9" t="str">
        <x:v>B1</x:v>
      </x:c>
      <x:c r="G431" s="9" t="str">
        <x:v>BRK</x:v>
      </x:c>
      <x:c r="H431" s="9" t="str">
        <x:v>OG05</x:v>
      </x:c>
      <x:c r="I431" s="17" t="str">
        <x:v>Primary provenance</x:v>
      </x:c>
      <x:c r="J431" s="17" t="str">
        <x:v>primary originals, hashes, keys and access history reconcile</x:v>
      </x:c>
      <x:c r="K431" s="17" t="str">
        <x:v>Primary custody</x:v>
      </x:c>
      <x:c r="L431" s="9" t="n">
        <x:v>0</x:v>
      </x:c>
      <x:c r="M431" s="9" t="n">
        <x:v>0</x:v>
      </x:c>
      <x:c r="N431" s="9" t="str">
        <x:v>OPEN / UNACCEPTED</x:v>
      </x:c>
      <x:c r="O431" s="9" t="n">
        <x:f>COUNTIFS($A$7:$A$1734,A431)</x:f>
        <x:v>1</x:v>
      </x:c>
    </x:row>
    <x:row r="432">
      <x:c r="A432" s="9" t="str">
        <x:v>EV-AR-RT-B-C-TECH-1-B1-BRK-G0-OG06</x:v>
      </x:c>
      <x:c r="B432" s="9" t="str">
        <x:v>EV-AR-RT-B-C-TECH-1-B1-BRK-G0</x:v>
      </x:c>
      <x:c r="C432" s="9" t="str">
        <x:v>AR-RT-B-C-TECH-1-B1-BRK-G0</x:v>
      </x:c>
      <x:c r="D432" s="9" t="str">
        <x:v>RT-B-C-TECH-1</x:v>
      </x:c>
      <x:c r="E432" s="9" t="str">
        <x:v>RT-B-C</x:v>
      </x:c>
      <x:c r="F432" s="9" t="str">
        <x:v>B1</x:v>
      </x:c>
      <x:c r="G432" s="9" t="str">
        <x:v>BRK</x:v>
      </x:c>
      <x:c r="H432" s="9" t="str">
        <x:v>OG06</x:v>
      </x:c>
      <x:c r="I432" s="17" t="str">
        <x:v>Witness provenance</x:v>
      </x:c>
      <x:c r="J432" s="17" t="str">
        <x:v>unlike witness originals, hashes, keys and access history reconcile</x:v>
      </x:c>
      <x:c r="K432" s="17" t="str">
        <x:v>Witness custody</x:v>
      </x:c>
      <x:c r="L432" s="9" t="n">
        <x:v>0</x:v>
      </x:c>
      <x:c r="M432" s="9" t="n">
        <x:v>0</x:v>
      </x:c>
      <x:c r="N432" s="9" t="str">
        <x:v>OPEN / UNACCEPTED</x:v>
      </x:c>
      <x:c r="O432" s="9" t="n">
        <x:f>COUNTIFS($A$7:$A$1734,A432)</x:f>
        <x:v>1</x:v>
      </x:c>
    </x:row>
    <x:row r="433">
      <x:c r="A433" s="9" t="str">
        <x:v>EV-AR-RT-B-C-TECH-1-B1-BRK-G0-OG07</x:v>
      </x:c>
      <x:c r="B433" s="9" t="str">
        <x:v>EV-AR-RT-B-C-TECH-1-B1-BRK-G0</x:v>
      </x:c>
      <x:c r="C433" s="9" t="str">
        <x:v>AR-RT-B-C-TECH-1-B1-BRK-G0</x:v>
      </x:c>
      <x:c r="D433" s="9" t="str">
        <x:v>RT-B-C-TECH-1</x:v>
      </x:c>
      <x:c r="E433" s="9" t="str">
        <x:v>RT-B-C</x:v>
      </x:c>
      <x:c r="F433" s="9" t="str">
        <x:v>B1</x:v>
      </x:c>
      <x:c r="G433" s="9" t="str">
        <x:v>BRK</x:v>
      </x:c>
      <x:c r="H433" s="9" t="str">
        <x:v>OG07</x:v>
      </x:c>
      <x:c r="I433" s="17" t="str">
        <x:v>Receiver denominator</x:v>
      </x:c>
      <x:c r="J433" s="17" t="str">
        <x:v>population, quantity, duration and exclusions match the frozen receipt</x:v>
      </x:c>
      <x:c r="K433" s="17" t="str">
        <x:v>Receiver court</x:v>
      </x:c>
      <x:c r="L433" s="9" t="n">
        <x:v>0</x:v>
      </x:c>
      <x:c r="M433" s="9" t="n">
        <x:v>0</x:v>
      </x:c>
      <x:c r="N433" s="9" t="str">
        <x:v>OPEN / UNACCEPTED</x:v>
      </x:c>
      <x:c r="O433" s="9" t="n">
        <x:f>COUNTIFS($A$7:$A$1734,A433)</x:f>
        <x:v>1</x:v>
      </x:c>
    </x:row>
    <x:row r="434">
      <x:c r="A434" s="9" t="str">
        <x:v>EV-AR-RT-B-C-TECH-1-B1-BRK-G0-OG08</x:v>
      </x:c>
      <x:c r="B434" s="9" t="str">
        <x:v>EV-AR-RT-B-C-TECH-1-B1-BRK-G0</x:v>
      </x:c>
      <x:c r="C434" s="9" t="str">
        <x:v>AR-RT-B-C-TECH-1-B1-BRK-G0</x:v>
      </x:c>
      <x:c r="D434" s="9" t="str">
        <x:v>RT-B-C-TECH-1</x:v>
      </x:c>
      <x:c r="E434" s="9" t="str">
        <x:v>RT-B-C</x:v>
      </x:c>
      <x:c r="F434" s="9" t="str">
        <x:v>B1</x:v>
      </x:c>
      <x:c r="G434" s="9" t="str">
        <x:v>BRK</x:v>
      </x:c>
      <x:c r="H434" s="9" t="str">
        <x:v>OG08</x:v>
      </x:c>
      <x:c r="I434" s="17" t="str">
        <x:v>Environment and boundary</x:v>
      </x:c>
      <x:c r="J434" s="17" t="str">
        <x:v>registered weather, water, ground, inlet and outlet states are retained</x:v>
      </x:c>
      <x:c r="K434" s="17" t="str">
        <x:v>Boundary court</x:v>
      </x:c>
      <x:c r="L434" s="9" t="n">
        <x:v>0</x:v>
      </x:c>
      <x:c r="M434" s="9" t="n">
        <x:v>0</x:v>
      </x:c>
      <x:c r="N434" s="9" t="str">
        <x:v>OPEN / UNACCEPTED</x:v>
      </x:c>
      <x:c r="O434" s="9" t="n">
        <x:f>COUNTIFS($A$7:$A$1734,A434)</x:f>
        <x:v>1</x:v>
      </x:c>
    </x:row>
    <x:row r="435">
      <x:c r="A435" s="9" t="str">
        <x:v>EV-AR-RT-B-C-TECH-1-B1-BRK-G0-OG09</x:v>
      </x:c>
      <x:c r="B435" s="9" t="str">
        <x:v>EV-AR-RT-B-C-TECH-1-B1-BRK-G0</x:v>
      </x:c>
      <x:c r="C435" s="9" t="str">
        <x:v>AR-RT-B-C-TECH-1-B1-BRK-G0</x:v>
      </x:c>
      <x:c r="D435" s="9" t="str">
        <x:v>RT-B-C-TECH-1</x:v>
      </x:c>
      <x:c r="E435" s="9" t="str">
        <x:v>RT-B-C</x:v>
      </x:c>
      <x:c r="F435" s="9" t="str">
        <x:v>B1</x:v>
      </x:c>
      <x:c r="G435" s="9" t="str">
        <x:v>BRK</x:v>
      </x:c>
      <x:c r="H435" s="9" t="str">
        <x:v>OG09</x:v>
      </x:c>
      <x:c r="I435" s="17" t="str">
        <x:v>Intervention account</x:v>
      </x:c>
      <x:c r="J435" s="17" t="str">
        <x:v>all stop, rescue, operator and public-protection actions remain timestamped</x:v>
      </x:c>
      <x:c r="K435" s="17" t="str">
        <x:v>Safety record court</x:v>
      </x:c>
      <x:c r="L435" s="9" t="n">
        <x:v>0</x:v>
      </x:c>
      <x:c r="M435" s="9" t="n">
        <x:v>0</x:v>
      </x:c>
      <x:c r="N435" s="9" t="str">
        <x:v>OPEN / UNACCEPTED</x:v>
      </x:c>
      <x:c r="O435" s="9" t="n">
        <x:f>COUNTIFS($A$7:$A$1734,A435)</x:f>
        <x:v>1</x:v>
      </x:c>
    </x:row>
    <x:row r="436">
      <x:c r="A436" s="9" t="str">
        <x:v>EV-AR-RT-B-C-TECH-1-B1-BRK-G0-OG10</x:v>
      </x:c>
      <x:c r="B436" s="9" t="str">
        <x:v>EV-AR-RT-B-C-TECH-1-B1-BRK-G0</x:v>
      </x:c>
      <x:c r="C436" s="9" t="str">
        <x:v>AR-RT-B-C-TECH-1-B1-BRK-G0</x:v>
      </x:c>
      <x:c r="D436" s="9" t="str">
        <x:v>RT-B-C-TECH-1</x:v>
      </x:c>
      <x:c r="E436" s="9" t="str">
        <x:v>RT-B-C</x:v>
      </x:c>
      <x:c r="F436" s="9" t="str">
        <x:v>B1</x:v>
      </x:c>
      <x:c r="G436" s="9" t="str">
        <x:v>BRK</x:v>
      </x:c>
      <x:c r="H436" s="9" t="str">
        <x:v>OG10</x:v>
      </x:c>
      <x:c r="I436" s="17" t="str">
        <x:v>Uncertainty statement</x:v>
      </x:c>
      <x:c r="J436" s="17" t="str">
        <x:v>range, censoring, resolution and correlation are declared before judgment</x:v>
      </x:c>
      <x:c r="K436" s="17" t="str">
        <x:v>Uncertainty authority</x:v>
      </x:c>
      <x:c r="L436" s="9" t="n">
        <x:v>0</x:v>
      </x:c>
      <x:c r="M436" s="9" t="n">
        <x:v>0</x:v>
      </x:c>
      <x:c r="N436" s="9" t="str">
        <x:v>OPEN / UNACCEPTED</x:v>
      </x:c>
      <x:c r="O436" s="9" t="n">
        <x:f>COUNTIFS($A$7:$A$1734,A436)</x:f>
        <x:v>1</x:v>
      </x:c>
    </x:row>
    <x:row r="437">
      <x:c r="A437" s="9" t="str">
        <x:v>EV-AR-RT-B-C-TECH-1-B1-BRK-G0-OG11</x:v>
      </x:c>
      <x:c r="B437" s="9" t="str">
        <x:v>EV-AR-RT-B-C-TECH-1-B1-BRK-G0</x:v>
      </x:c>
      <x:c r="C437" s="9" t="str">
        <x:v>AR-RT-B-C-TECH-1-B1-BRK-G0</x:v>
      </x:c>
      <x:c r="D437" s="9" t="str">
        <x:v>RT-B-C-TECH-1</x:v>
      </x:c>
      <x:c r="E437" s="9" t="str">
        <x:v>RT-B-C</x:v>
      </x:c>
      <x:c r="F437" s="9" t="str">
        <x:v>B1</x:v>
      </x:c>
      <x:c r="G437" s="9" t="str">
        <x:v>BRK</x:v>
      </x:c>
      <x:c r="H437" s="9" t="str">
        <x:v>OG11</x:v>
      </x:c>
      <x:c r="I437" s="17" t="str">
        <x:v>Contradiction preservation</x:v>
      </x:c>
      <x:c r="J437" s="17" t="str">
        <x:v>primary-witness disagreement remains explicit and is never averaged away</x:v>
      </x:c>
      <x:c r="K437" s="17" t="str">
        <x:v>Dissent registrar</x:v>
      </x:c>
      <x:c r="L437" s="9" t="n">
        <x:v>0</x:v>
      </x:c>
      <x:c r="M437" s="9" t="n">
        <x:v>0</x:v>
      </x:c>
      <x:c r="N437" s="9" t="str">
        <x:v>OPEN / UNACCEPTED</x:v>
      </x:c>
      <x:c r="O437" s="9" t="n">
        <x:f>COUNTIFS($A$7:$A$1734,A437)</x:f>
        <x:v>1</x:v>
      </x:c>
    </x:row>
    <x:row r="438">
      <x:c r="A438" s="9" t="str">
        <x:v>EV-AR-RT-B-C-TECH-1-B1-BRK-G0-OG12</x:v>
      </x:c>
      <x:c r="B438" s="9" t="str">
        <x:v>EV-AR-RT-B-C-TECH-1-B1-BRK-G0</x:v>
      </x:c>
      <x:c r="C438" s="9" t="str">
        <x:v>AR-RT-B-C-TECH-1-B1-BRK-G0</x:v>
      </x:c>
      <x:c r="D438" s="9" t="str">
        <x:v>RT-B-C-TECH-1</x:v>
      </x:c>
      <x:c r="E438" s="9" t="str">
        <x:v>RT-B-C</x:v>
      </x:c>
      <x:c r="F438" s="9" t="str">
        <x:v>B1</x:v>
      </x:c>
      <x:c r="G438" s="9" t="str">
        <x:v>BRK</x:v>
      </x:c>
      <x:c r="H438" s="9" t="str">
        <x:v>OG12</x:v>
      </x:c>
      <x:c r="I438" s="17" t="str">
        <x:v>Independent replay</x:v>
      </x:c>
      <x:c r="J438" s="17" t="str">
        <x:v>a separated reader reconstructs the registered observables from sealed originals</x:v>
      </x:c>
      <x:c r="K438" s="17" t="str">
        <x:v>Replay court</x:v>
      </x:c>
      <x:c r="L438" s="9" t="n">
        <x:v>0</x:v>
      </x:c>
      <x:c r="M438" s="9" t="n">
        <x:v>0</x:v>
      </x:c>
      <x:c r="N438" s="9" t="str">
        <x:v>OPEN / UNACCEPTED</x:v>
      </x:c>
      <x:c r="O438" s="9" t="n">
        <x:f>COUNTIFS($A$7:$A$1734,A438)</x:f>
        <x:v>1</x:v>
      </x:c>
    </x:row>
    <x:row r="439">
      <x:c r="A439" s="9" t="str">
        <x:v>EV-AR-ET-A-A-TECH-4-B1-RCN-G0-OG01</x:v>
      </x:c>
      <x:c r="B439" s="9" t="str">
        <x:v>EV-AR-ET-A-A-TECH-4-B1-RCN-G0</x:v>
      </x:c>
      <x:c r="C439" s="9" t="str">
        <x:v>AR-ET-A-A-TECH-4-B1-RCN-G0</x:v>
      </x:c>
      <x:c r="D439" s="9" t="str">
        <x:v>ET-A-A-TECH-4</x:v>
      </x:c>
      <x:c r="E439" s="9" t="str">
        <x:v>ET-A-A</x:v>
      </x:c>
      <x:c r="F439" s="9" t="str">
        <x:v>B1</x:v>
      </x:c>
      <x:c r="G439" s="9" t="str">
        <x:v>RCN</x:v>
      </x:c>
      <x:c r="H439" s="9" t="str">
        <x:v>OG01</x:v>
      </x:c>
      <x:c r="I439" s="17" t="str">
        <x:v>Serial and event identity</x:v>
      </x:c>
      <x:c r="J439" s="17" t="str">
        <x:v>record resolves to the issued serial, generation and physical start</x:v>
      </x:c>
      <x:c r="K439" s="17" t="str">
        <x:v>Observation court</x:v>
      </x:c>
      <x:c r="L439" s="9" t="n">
        <x:v>0</x:v>
      </x:c>
      <x:c r="M439" s="9" t="n">
        <x:v>0</x:v>
      </x:c>
      <x:c r="N439" s="9" t="str">
        <x:v>OPEN / UNACCEPTED</x:v>
      </x:c>
      <x:c r="O439" s="9" t="n">
        <x:f>COUNTIFS($A$7:$A$1734,A439)</x:f>
        <x:v>1</x:v>
      </x:c>
    </x:row>
    <x:row r="440">
      <x:c r="A440" s="9" t="str">
        <x:v>EV-AR-ET-A-A-TECH-4-B1-RCN-G0-OG02</x:v>
      </x:c>
      <x:c r="B440" s="9" t="str">
        <x:v>EV-AR-ET-A-A-TECH-4-B1-RCN-G0</x:v>
      </x:c>
      <x:c r="C440" s="9" t="str">
        <x:v>AR-ET-A-A-TECH-4-B1-RCN-G0</x:v>
      </x:c>
      <x:c r="D440" s="9" t="str">
        <x:v>ET-A-A-TECH-4</x:v>
      </x:c>
      <x:c r="E440" s="9" t="str">
        <x:v>ET-A-A</x:v>
      </x:c>
      <x:c r="F440" s="9" t="str">
        <x:v>B1</x:v>
      </x:c>
      <x:c r="G440" s="9" t="str">
        <x:v>RCN</x:v>
      </x:c>
      <x:c r="H440" s="9" t="str">
        <x:v>OG02</x:v>
      </x:c>
      <x:c r="I440" s="17" t="str">
        <x:v>Time ancestry</x:v>
      </x:c>
      <x:c r="J440" s="17" t="str">
        <x:v>primary, witness and public event clocks retain declared offsets and drift</x:v>
      </x:c>
      <x:c r="K440" s="17" t="str">
        <x:v>Time authority</x:v>
      </x:c>
      <x:c r="L440" s="9" t="n">
        <x:v>0</x:v>
      </x:c>
      <x:c r="M440" s="9" t="n">
        <x:v>0</x:v>
      </x:c>
      <x:c r="N440" s="9" t="str">
        <x:v>OPEN / UNACCEPTED</x:v>
      </x:c>
      <x:c r="O440" s="9" t="n">
        <x:f>COUNTIFS($A$7:$A$1734,A440)</x:f>
        <x:v>1</x:v>
      </x:c>
    </x:row>
    <x:row r="441">
      <x:c r="A441" s="9" t="str">
        <x:v>EV-AR-ET-A-A-TECH-4-B1-RCN-G0-OG03</x:v>
      </x:c>
      <x:c r="B441" s="9" t="str">
        <x:v>EV-AR-ET-A-A-TECH-4-B1-RCN-G0</x:v>
      </x:c>
      <x:c r="C441" s="9" t="str">
        <x:v>AR-ET-A-A-TECH-4-B1-RCN-G0</x:v>
      </x:c>
      <x:c r="D441" s="9" t="str">
        <x:v>ET-A-A-TECH-4</x:v>
      </x:c>
      <x:c r="E441" s="9" t="str">
        <x:v>ET-A-A</x:v>
      </x:c>
      <x:c r="F441" s="9" t="str">
        <x:v>B1</x:v>
      </x:c>
      <x:c r="G441" s="9" t="str">
        <x:v>RCN</x:v>
      </x:c>
      <x:c r="H441" s="9" t="str">
        <x:v>OG03</x:v>
      </x:c>
      <x:c r="I441" s="17" t="str">
        <x:v>Calibration ancestry</x:v>
      </x:c>
      <x:c r="J441" s="17" t="str">
        <x:v>all reference, range and uncertainty states cover the live interval</x:v>
      </x:c>
      <x:c r="K441" s="17" t="str">
        <x:v>Metrology courts</x:v>
      </x:c>
      <x:c r="L441" s="9" t="n">
        <x:v>0</x:v>
      </x:c>
      <x:c r="M441" s="9" t="n">
        <x:v>0</x:v>
      </x:c>
      <x:c r="N441" s="9" t="str">
        <x:v>OPEN / UNACCEPTED</x:v>
      </x:c>
      <x:c r="O441" s="9" t="n">
        <x:f>COUNTIFS($A$7:$A$1734,A441)</x:f>
        <x:v>1</x:v>
      </x:c>
    </x:row>
    <x:row r="442">
      <x:c r="A442" s="9" t="str">
        <x:v>EV-AR-ET-A-A-TECH-4-B1-RCN-G0-OG04</x:v>
      </x:c>
      <x:c r="B442" s="9" t="str">
        <x:v>EV-AR-ET-A-A-TECH-4-B1-RCN-G0</x:v>
      </x:c>
      <x:c r="C442" s="9" t="str">
        <x:v>AR-ET-A-A-TECH-4-B1-RCN-G0</x:v>
      </x:c>
      <x:c r="D442" s="9" t="str">
        <x:v>ET-A-A-TECH-4</x:v>
      </x:c>
      <x:c r="E442" s="9" t="str">
        <x:v>ET-A-A</x:v>
      </x:c>
      <x:c r="F442" s="9" t="str">
        <x:v>B1</x:v>
      </x:c>
      <x:c r="G442" s="9" t="str">
        <x:v>RCN</x:v>
      </x:c>
      <x:c r="H442" s="9" t="str">
        <x:v>OG04</x:v>
      </x:c>
      <x:c r="I442" s="17" t="str">
        <x:v>Raw completeness</x:v>
      </x:c>
      <x:c r="J442" s="17" t="str">
        <x:v>missingness is enumerated without imputation or outcome-conditioned deletion</x:v>
      </x:c>
      <x:c r="K442" s="17" t="str">
        <x:v>Observation court</x:v>
      </x:c>
      <x:c r="L442" s="9" t="n">
        <x:v>0</x:v>
      </x:c>
      <x:c r="M442" s="9" t="n">
        <x:v>0</x:v>
      </x:c>
      <x:c r="N442" s="9" t="str">
        <x:v>OPEN / UNACCEPTED</x:v>
      </x:c>
      <x:c r="O442" s="9" t="n">
        <x:f>COUNTIFS($A$7:$A$1734,A442)</x:f>
        <x:v>1</x:v>
      </x:c>
    </x:row>
    <x:row r="443">
      <x:c r="A443" s="9" t="str">
        <x:v>EV-AR-ET-A-A-TECH-4-B1-RCN-G0-OG05</x:v>
      </x:c>
      <x:c r="B443" s="9" t="str">
        <x:v>EV-AR-ET-A-A-TECH-4-B1-RCN-G0</x:v>
      </x:c>
      <x:c r="C443" s="9" t="str">
        <x:v>AR-ET-A-A-TECH-4-B1-RCN-G0</x:v>
      </x:c>
      <x:c r="D443" s="9" t="str">
        <x:v>ET-A-A-TECH-4</x:v>
      </x:c>
      <x:c r="E443" s="9" t="str">
        <x:v>ET-A-A</x:v>
      </x:c>
      <x:c r="F443" s="9" t="str">
        <x:v>B1</x:v>
      </x:c>
      <x:c r="G443" s="9" t="str">
        <x:v>RCN</x:v>
      </x:c>
      <x:c r="H443" s="9" t="str">
        <x:v>OG05</x:v>
      </x:c>
      <x:c r="I443" s="17" t="str">
        <x:v>Primary provenance</x:v>
      </x:c>
      <x:c r="J443" s="17" t="str">
        <x:v>primary originals, hashes, keys and access history reconcile</x:v>
      </x:c>
      <x:c r="K443" s="17" t="str">
        <x:v>Primary custody</x:v>
      </x:c>
      <x:c r="L443" s="9" t="n">
        <x:v>0</x:v>
      </x:c>
      <x:c r="M443" s="9" t="n">
        <x:v>0</x:v>
      </x:c>
      <x:c r="N443" s="9" t="str">
        <x:v>OPEN / UNACCEPTED</x:v>
      </x:c>
      <x:c r="O443" s="9" t="n">
        <x:f>COUNTIFS($A$7:$A$1734,A443)</x:f>
        <x:v>1</x:v>
      </x:c>
    </x:row>
    <x:row r="444">
      <x:c r="A444" s="9" t="str">
        <x:v>EV-AR-ET-A-A-TECH-4-B1-RCN-G0-OG06</x:v>
      </x:c>
      <x:c r="B444" s="9" t="str">
        <x:v>EV-AR-ET-A-A-TECH-4-B1-RCN-G0</x:v>
      </x:c>
      <x:c r="C444" s="9" t="str">
        <x:v>AR-ET-A-A-TECH-4-B1-RCN-G0</x:v>
      </x:c>
      <x:c r="D444" s="9" t="str">
        <x:v>ET-A-A-TECH-4</x:v>
      </x:c>
      <x:c r="E444" s="9" t="str">
        <x:v>ET-A-A</x:v>
      </x:c>
      <x:c r="F444" s="9" t="str">
        <x:v>B1</x:v>
      </x:c>
      <x:c r="G444" s="9" t="str">
        <x:v>RCN</x:v>
      </x:c>
      <x:c r="H444" s="9" t="str">
        <x:v>OG06</x:v>
      </x:c>
      <x:c r="I444" s="17" t="str">
        <x:v>Witness provenance</x:v>
      </x:c>
      <x:c r="J444" s="17" t="str">
        <x:v>unlike witness originals, hashes, keys and access history reconcile</x:v>
      </x:c>
      <x:c r="K444" s="17" t="str">
        <x:v>Witness custody</x:v>
      </x:c>
      <x:c r="L444" s="9" t="n">
        <x:v>0</x:v>
      </x:c>
      <x:c r="M444" s="9" t="n">
        <x:v>0</x:v>
      </x:c>
      <x:c r="N444" s="9" t="str">
        <x:v>OPEN / UNACCEPTED</x:v>
      </x:c>
      <x:c r="O444" s="9" t="n">
        <x:f>COUNTIFS($A$7:$A$1734,A444)</x:f>
        <x:v>1</x:v>
      </x:c>
    </x:row>
    <x:row r="445">
      <x:c r="A445" s="9" t="str">
        <x:v>EV-AR-ET-A-A-TECH-4-B1-RCN-G0-OG07</x:v>
      </x:c>
      <x:c r="B445" s="9" t="str">
        <x:v>EV-AR-ET-A-A-TECH-4-B1-RCN-G0</x:v>
      </x:c>
      <x:c r="C445" s="9" t="str">
        <x:v>AR-ET-A-A-TECH-4-B1-RCN-G0</x:v>
      </x:c>
      <x:c r="D445" s="9" t="str">
        <x:v>ET-A-A-TECH-4</x:v>
      </x:c>
      <x:c r="E445" s="9" t="str">
        <x:v>ET-A-A</x:v>
      </x:c>
      <x:c r="F445" s="9" t="str">
        <x:v>B1</x:v>
      </x:c>
      <x:c r="G445" s="9" t="str">
        <x:v>RCN</x:v>
      </x:c>
      <x:c r="H445" s="9" t="str">
        <x:v>OG07</x:v>
      </x:c>
      <x:c r="I445" s="17" t="str">
        <x:v>Receiver denominator</x:v>
      </x:c>
      <x:c r="J445" s="17" t="str">
        <x:v>population, quantity, duration and exclusions match the frozen receipt</x:v>
      </x:c>
      <x:c r="K445" s="17" t="str">
        <x:v>Receiver court</x:v>
      </x:c>
      <x:c r="L445" s="9" t="n">
        <x:v>0</x:v>
      </x:c>
      <x:c r="M445" s="9" t="n">
        <x:v>0</x:v>
      </x:c>
      <x:c r="N445" s="9" t="str">
        <x:v>OPEN / UNACCEPTED</x:v>
      </x:c>
      <x:c r="O445" s="9" t="n">
        <x:f>COUNTIFS($A$7:$A$1734,A445)</x:f>
        <x:v>1</x:v>
      </x:c>
    </x:row>
    <x:row r="446">
      <x:c r="A446" s="9" t="str">
        <x:v>EV-AR-ET-A-A-TECH-4-B1-RCN-G0-OG08</x:v>
      </x:c>
      <x:c r="B446" s="9" t="str">
        <x:v>EV-AR-ET-A-A-TECH-4-B1-RCN-G0</x:v>
      </x:c>
      <x:c r="C446" s="9" t="str">
        <x:v>AR-ET-A-A-TECH-4-B1-RCN-G0</x:v>
      </x:c>
      <x:c r="D446" s="9" t="str">
        <x:v>ET-A-A-TECH-4</x:v>
      </x:c>
      <x:c r="E446" s="9" t="str">
        <x:v>ET-A-A</x:v>
      </x:c>
      <x:c r="F446" s="9" t="str">
        <x:v>B1</x:v>
      </x:c>
      <x:c r="G446" s="9" t="str">
        <x:v>RCN</x:v>
      </x:c>
      <x:c r="H446" s="9" t="str">
        <x:v>OG08</x:v>
      </x:c>
      <x:c r="I446" s="17" t="str">
        <x:v>Environment and boundary</x:v>
      </x:c>
      <x:c r="J446" s="17" t="str">
        <x:v>registered weather, water, ground, inlet and outlet states are retained</x:v>
      </x:c>
      <x:c r="K446" s="17" t="str">
        <x:v>Boundary court</x:v>
      </x:c>
      <x:c r="L446" s="9" t="n">
        <x:v>0</x:v>
      </x:c>
      <x:c r="M446" s="9" t="n">
        <x:v>0</x:v>
      </x:c>
      <x:c r="N446" s="9" t="str">
        <x:v>OPEN / UNACCEPTED</x:v>
      </x:c>
      <x:c r="O446" s="9" t="n">
        <x:f>COUNTIFS($A$7:$A$1734,A446)</x:f>
        <x:v>1</x:v>
      </x:c>
    </x:row>
    <x:row r="447">
      <x:c r="A447" s="9" t="str">
        <x:v>EV-AR-ET-A-A-TECH-4-B1-RCN-G0-OG09</x:v>
      </x:c>
      <x:c r="B447" s="9" t="str">
        <x:v>EV-AR-ET-A-A-TECH-4-B1-RCN-G0</x:v>
      </x:c>
      <x:c r="C447" s="9" t="str">
        <x:v>AR-ET-A-A-TECH-4-B1-RCN-G0</x:v>
      </x:c>
      <x:c r="D447" s="9" t="str">
        <x:v>ET-A-A-TECH-4</x:v>
      </x:c>
      <x:c r="E447" s="9" t="str">
        <x:v>ET-A-A</x:v>
      </x:c>
      <x:c r="F447" s="9" t="str">
        <x:v>B1</x:v>
      </x:c>
      <x:c r="G447" s="9" t="str">
        <x:v>RCN</x:v>
      </x:c>
      <x:c r="H447" s="9" t="str">
        <x:v>OG09</x:v>
      </x:c>
      <x:c r="I447" s="17" t="str">
        <x:v>Intervention account</x:v>
      </x:c>
      <x:c r="J447" s="17" t="str">
        <x:v>all stop, rescue, operator and public-protection actions remain timestamped</x:v>
      </x:c>
      <x:c r="K447" s="17" t="str">
        <x:v>Safety record court</x:v>
      </x:c>
      <x:c r="L447" s="9" t="n">
        <x:v>0</x:v>
      </x:c>
      <x:c r="M447" s="9" t="n">
        <x:v>0</x:v>
      </x:c>
      <x:c r="N447" s="9" t="str">
        <x:v>OPEN / UNACCEPTED</x:v>
      </x:c>
      <x:c r="O447" s="9" t="n">
        <x:f>COUNTIFS($A$7:$A$1734,A447)</x:f>
        <x:v>1</x:v>
      </x:c>
    </x:row>
    <x:row r="448">
      <x:c r="A448" s="9" t="str">
        <x:v>EV-AR-ET-A-A-TECH-4-B1-RCN-G0-OG10</x:v>
      </x:c>
      <x:c r="B448" s="9" t="str">
        <x:v>EV-AR-ET-A-A-TECH-4-B1-RCN-G0</x:v>
      </x:c>
      <x:c r="C448" s="9" t="str">
        <x:v>AR-ET-A-A-TECH-4-B1-RCN-G0</x:v>
      </x:c>
      <x:c r="D448" s="9" t="str">
        <x:v>ET-A-A-TECH-4</x:v>
      </x:c>
      <x:c r="E448" s="9" t="str">
        <x:v>ET-A-A</x:v>
      </x:c>
      <x:c r="F448" s="9" t="str">
        <x:v>B1</x:v>
      </x:c>
      <x:c r="G448" s="9" t="str">
        <x:v>RCN</x:v>
      </x:c>
      <x:c r="H448" s="9" t="str">
        <x:v>OG10</x:v>
      </x:c>
      <x:c r="I448" s="17" t="str">
        <x:v>Uncertainty statement</x:v>
      </x:c>
      <x:c r="J448" s="17" t="str">
        <x:v>range, censoring, resolution and correlation are declared before judgment</x:v>
      </x:c>
      <x:c r="K448" s="17" t="str">
        <x:v>Uncertainty authority</x:v>
      </x:c>
      <x:c r="L448" s="9" t="n">
        <x:v>0</x:v>
      </x:c>
      <x:c r="M448" s="9" t="n">
        <x:v>0</x:v>
      </x:c>
      <x:c r="N448" s="9" t="str">
        <x:v>OPEN / UNACCEPTED</x:v>
      </x:c>
      <x:c r="O448" s="9" t="n">
        <x:f>COUNTIFS($A$7:$A$1734,A448)</x:f>
        <x:v>1</x:v>
      </x:c>
    </x:row>
    <x:row r="449">
      <x:c r="A449" s="9" t="str">
        <x:v>EV-AR-ET-A-A-TECH-4-B1-RCN-G0-OG11</x:v>
      </x:c>
      <x:c r="B449" s="9" t="str">
        <x:v>EV-AR-ET-A-A-TECH-4-B1-RCN-G0</x:v>
      </x:c>
      <x:c r="C449" s="9" t="str">
        <x:v>AR-ET-A-A-TECH-4-B1-RCN-G0</x:v>
      </x:c>
      <x:c r="D449" s="9" t="str">
        <x:v>ET-A-A-TECH-4</x:v>
      </x:c>
      <x:c r="E449" s="9" t="str">
        <x:v>ET-A-A</x:v>
      </x:c>
      <x:c r="F449" s="9" t="str">
        <x:v>B1</x:v>
      </x:c>
      <x:c r="G449" s="9" t="str">
        <x:v>RCN</x:v>
      </x:c>
      <x:c r="H449" s="9" t="str">
        <x:v>OG11</x:v>
      </x:c>
      <x:c r="I449" s="17" t="str">
        <x:v>Contradiction preservation</x:v>
      </x:c>
      <x:c r="J449" s="17" t="str">
        <x:v>primary-witness disagreement remains explicit and is never averaged away</x:v>
      </x:c>
      <x:c r="K449" s="17" t="str">
        <x:v>Dissent registrar</x:v>
      </x:c>
      <x:c r="L449" s="9" t="n">
        <x:v>0</x:v>
      </x:c>
      <x:c r="M449" s="9" t="n">
        <x:v>0</x:v>
      </x:c>
      <x:c r="N449" s="9" t="str">
        <x:v>OPEN / UNACCEPTED</x:v>
      </x:c>
      <x:c r="O449" s="9" t="n">
        <x:f>COUNTIFS($A$7:$A$1734,A449)</x:f>
        <x:v>1</x:v>
      </x:c>
    </x:row>
    <x:row r="450">
      <x:c r="A450" s="9" t="str">
        <x:v>EV-AR-ET-A-A-TECH-4-B1-RCN-G0-OG12</x:v>
      </x:c>
      <x:c r="B450" s="9" t="str">
        <x:v>EV-AR-ET-A-A-TECH-4-B1-RCN-G0</x:v>
      </x:c>
      <x:c r="C450" s="9" t="str">
        <x:v>AR-ET-A-A-TECH-4-B1-RCN-G0</x:v>
      </x:c>
      <x:c r="D450" s="9" t="str">
        <x:v>ET-A-A-TECH-4</x:v>
      </x:c>
      <x:c r="E450" s="9" t="str">
        <x:v>ET-A-A</x:v>
      </x:c>
      <x:c r="F450" s="9" t="str">
        <x:v>B1</x:v>
      </x:c>
      <x:c r="G450" s="9" t="str">
        <x:v>RCN</x:v>
      </x:c>
      <x:c r="H450" s="9" t="str">
        <x:v>OG12</x:v>
      </x:c>
      <x:c r="I450" s="17" t="str">
        <x:v>Independent replay</x:v>
      </x:c>
      <x:c r="J450" s="17" t="str">
        <x:v>a separated reader reconstructs the registered observables from sealed originals</x:v>
      </x:c>
      <x:c r="K450" s="17" t="str">
        <x:v>Replay court</x:v>
      </x:c>
      <x:c r="L450" s="9" t="n">
        <x:v>0</x:v>
      </x:c>
      <x:c r="M450" s="9" t="n">
        <x:v>0</x:v>
      </x:c>
      <x:c r="N450" s="9" t="str">
        <x:v>OPEN / UNACCEPTED</x:v>
      </x:c>
      <x:c r="O450" s="9" t="n">
        <x:f>COUNTIFS($A$7:$A$1734,A450)</x:f>
        <x:v>1</x:v>
      </x:c>
    </x:row>
    <x:row r="451">
      <x:c r="A451" s="9" t="str">
        <x:v>EV-AR-ET-A-A-TECH-2-B1-INT-G0-OG01</x:v>
      </x:c>
      <x:c r="B451" s="9" t="str">
        <x:v>EV-AR-ET-A-A-TECH-2-B1-INT-G0</x:v>
      </x:c>
      <x:c r="C451" s="9" t="str">
        <x:v>AR-ET-A-A-TECH-2-B1-INT-G0</x:v>
      </x:c>
      <x:c r="D451" s="9" t="str">
        <x:v>ET-A-A-TECH-2</x:v>
      </x:c>
      <x:c r="E451" s="9" t="str">
        <x:v>ET-A-A</x:v>
      </x:c>
      <x:c r="F451" s="9" t="str">
        <x:v>B1</x:v>
      </x:c>
      <x:c r="G451" s="9" t="str">
        <x:v>INT</x:v>
      </x:c>
      <x:c r="H451" s="9" t="str">
        <x:v>OG01</x:v>
      </x:c>
      <x:c r="I451" s="17" t="str">
        <x:v>Serial and event identity</x:v>
      </x:c>
      <x:c r="J451" s="17" t="str">
        <x:v>record resolves to the issued serial, generation and physical start</x:v>
      </x:c>
      <x:c r="K451" s="17" t="str">
        <x:v>Observation court</x:v>
      </x:c>
      <x:c r="L451" s="9" t="n">
        <x:v>0</x:v>
      </x:c>
      <x:c r="M451" s="9" t="n">
        <x:v>0</x:v>
      </x:c>
      <x:c r="N451" s="9" t="str">
        <x:v>OPEN / UNACCEPTED</x:v>
      </x:c>
      <x:c r="O451" s="9" t="n">
        <x:f>COUNTIFS($A$7:$A$1734,A451)</x:f>
        <x:v>1</x:v>
      </x:c>
    </x:row>
    <x:row r="452">
      <x:c r="A452" s="9" t="str">
        <x:v>EV-AR-ET-A-A-TECH-2-B1-INT-G0-OG02</x:v>
      </x:c>
      <x:c r="B452" s="9" t="str">
        <x:v>EV-AR-ET-A-A-TECH-2-B1-INT-G0</x:v>
      </x:c>
      <x:c r="C452" s="9" t="str">
        <x:v>AR-ET-A-A-TECH-2-B1-INT-G0</x:v>
      </x:c>
      <x:c r="D452" s="9" t="str">
        <x:v>ET-A-A-TECH-2</x:v>
      </x:c>
      <x:c r="E452" s="9" t="str">
        <x:v>ET-A-A</x:v>
      </x:c>
      <x:c r="F452" s="9" t="str">
        <x:v>B1</x:v>
      </x:c>
      <x:c r="G452" s="9" t="str">
        <x:v>INT</x:v>
      </x:c>
      <x:c r="H452" s="9" t="str">
        <x:v>OG02</x:v>
      </x:c>
      <x:c r="I452" s="17" t="str">
        <x:v>Time ancestry</x:v>
      </x:c>
      <x:c r="J452" s="17" t="str">
        <x:v>primary, witness and public event clocks retain declared offsets and drift</x:v>
      </x:c>
      <x:c r="K452" s="17" t="str">
        <x:v>Time authority</x:v>
      </x:c>
      <x:c r="L452" s="9" t="n">
        <x:v>0</x:v>
      </x:c>
      <x:c r="M452" s="9" t="n">
        <x:v>0</x:v>
      </x:c>
      <x:c r="N452" s="9" t="str">
        <x:v>OPEN / UNACCEPTED</x:v>
      </x:c>
      <x:c r="O452" s="9" t="n">
        <x:f>COUNTIFS($A$7:$A$1734,A452)</x:f>
        <x:v>1</x:v>
      </x:c>
    </x:row>
    <x:row r="453">
      <x:c r="A453" s="9" t="str">
        <x:v>EV-AR-ET-A-A-TECH-2-B1-INT-G0-OG03</x:v>
      </x:c>
      <x:c r="B453" s="9" t="str">
        <x:v>EV-AR-ET-A-A-TECH-2-B1-INT-G0</x:v>
      </x:c>
      <x:c r="C453" s="9" t="str">
        <x:v>AR-ET-A-A-TECH-2-B1-INT-G0</x:v>
      </x:c>
      <x:c r="D453" s="9" t="str">
        <x:v>ET-A-A-TECH-2</x:v>
      </x:c>
      <x:c r="E453" s="9" t="str">
        <x:v>ET-A-A</x:v>
      </x:c>
      <x:c r="F453" s="9" t="str">
        <x:v>B1</x:v>
      </x:c>
      <x:c r="G453" s="9" t="str">
        <x:v>INT</x:v>
      </x:c>
      <x:c r="H453" s="9" t="str">
        <x:v>OG03</x:v>
      </x:c>
      <x:c r="I453" s="17" t="str">
        <x:v>Calibration ancestry</x:v>
      </x:c>
      <x:c r="J453" s="17" t="str">
        <x:v>all reference, range and uncertainty states cover the live interval</x:v>
      </x:c>
      <x:c r="K453" s="17" t="str">
        <x:v>Metrology courts</x:v>
      </x:c>
      <x:c r="L453" s="9" t="n">
        <x:v>0</x:v>
      </x:c>
      <x:c r="M453" s="9" t="n">
        <x:v>0</x:v>
      </x:c>
      <x:c r="N453" s="9" t="str">
        <x:v>OPEN / UNACCEPTED</x:v>
      </x:c>
      <x:c r="O453" s="9" t="n">
        <x:f>COUNTIFS($A$7:$A$1734,A453)</x:f>
        <x:v>1</x:v>
      </x:c>
    </x:row>
    <x:row r="454">
      <x:c r="A454" s="9" t="str">
        <x:v>EV-AR-ET-A-A-TECH-2-B1-INT-G0-OG04</x:v>
      </x:c>
      <x:c r="B454" s="9" t="str">
        <x:v>EV-AR-ET-A-A-TECH-2-B1-INT-G0</x:v>
      </x:c>
      <x:c r="C454" s="9" t="str">
        <x:v>AR-ET-A-A-TECH-2-B1-INT-G0</x:v>
      </x:c>
      <x:c r="D454" s="9" t="str">
        <x:v>ET-A-A-TECH-2</x:v>
      </x:c>
      <x:c r="E454" s="9" t="str">
        <x:v>ET-A-A</x:v>
      </x:c>
      <x:c r="F454" s="9" t="str">
        <x:v>B1</x:v>
      </x:c>
      <x:c r="G454" s="9" t="str">
        <x:v>INT</x:v>
      </x:c>
      <x:c r="H454" s="9" t="str">
        <x:v>OG04</x:v>
      </x:c>
      <x:c r="I454" s="17" t="str">
        <x:v>Raw completeness</x:v>
      </x:c>
      <x:c r="J454" s="17" t="str">
        <x:v>missingness is enumerated without imputation or outcome-conditioned deletion</x:v>
      </x:c>
      <x:c r="K454" s="17" t="str">
        <x:v>Observation court</x:v>
      </x:c>
      <x:c r="L454" s="9" t="n">
        <x:v>0</x:v>
      </x:c>
      <x:c r="M454" s="9" t="n">
        <x:v>0</x:v>
      </x:c>
      <x:c r="N454" s="9" t="str">
        <x:v>OPEN / UNACCEPTED</x:v>
      </x:c>
      <x:c r="O454" s="9" t="n">
        <x:f>COUNTIFS($A$7:$A$1734,A454)</x:f>
        <x:v>1</x:v>
      </x:c>
    </x:row>
    <x:row r="455">
      <x:c r="A455" s="9" t="str">
        <x:v>EV-AR-ET-A-A-TECH-2-B1-INT-G0-OG05</x:v>
      </x:c>
      <x:c r="B455" s="9" t="str">
        <x:v>EV-AR-ET-A-A-TECH-2-B1-INT-G0</x:v>
      </x:c>
      <x:c r="C455" s="9" t="str">
        <x:v>AR-ET-A-A-TECH-2-B1-INT-G0</x:v>
      </x:c>
      <x:c r="D455" s="9" t="str">
        <x:v>ET-A-A-TECH-2</x:v>
      </x:c>
      <x:c r="E455" s="9" t="str">
        <x:v>ET-A-A</x:v>
      </x:c>
      <x:c r="F455" s="9" t="str">
        <x:v>B1</x:v>
      </x:c>
      <x:c r="G455" s="9" t="str">
        <x:v>INT</x:v>
      </x:c>
      <x:c r="H455" s="9" t="str">
        <x:v>OG05</x:v>
      </x:c>
      <x:c r="I455" s="17" t="str">
        <x:v>Primary provenance</x:v>
      </x:c>
      <x:c r="J455" s="17" t="str">
        <x:v>primary originals, hashes, keys and access history reconcile</x:v>
      </x:c>
      <x:c r="K455" s="17" t="str">
        <x:v>Primary custody</x:v>
      </x:c>
      <x:c r="L455" s="9" t="n">
        <x:v>0</x:v>
      </x:c>
      <x:c r="M455" s="9" t="n">
        <x:v>0</x:v>
      </x:c>
      <x:c r="N455" s="9" t="str">
        <x:v>OPEN / UNACCEPTED</x:v>
      </x:c>
      <x:c r="O455" s="9" t="n">
        <x:f>COUNTIFS($A$7:$A$1734,A455)</x:f>
        <x:v>1</x:v>
      </x:c>
    </x:row>
    <x:row r="456">
      <x:c r="A456" s="9" t="str">
        <x:v>EV-AR-ET-A-A-TECH-2-B1-INT-G0-OG06</x:v>
      </x:c>
      <x:c r="B456" s="9" t="str">
        <x:v>EV-AR-ET-A-A-TECH-2-B1-INT-G0</x:v>
      </x:c>
      <x:c r="C456" s="9" t="str">
        <x:v>AR-ET-A-A-TECH-2-B1-INT-G0</x:v>
      </x:c>
      <x:c r="D456" s="9" t="str">
        <x:v>ET-A-A-TECH-2</x:v>
      </x:c>
      <x:c r="E456" s="9" t="str">
        <x:v>ET-A-A</x:v>
      </x:c>
      <x:c r="F456" s="9" t="str">
        <x:v>B1</x:v>
      </x:c>
      <x:c r="G456" s="9" t="str">
        <x:v>INT</x:v>
      </x:c>
      <x:c r="H456" s="9" t="str">
        <x:v>OG06</x:v>
      </x:c>
      <x:c r="I456" s="17" t="str">
        <x:v>Witness provenance</x:v>
      </x:c>
      <x:c r="J456" s="17" t="str">
        <x:v>unlike witness originals, hashes, keys and access history reconcile</x:v>
      </x:c>
      <x:c r="K456" s="17" t="str">
        <x:v>Witness custody</x:v>
      </x:c>
      <x:c r="L456" s="9" t="n">
        <x:v>0</x:v>
      </x:c>
      <x:c r="M456" s="9" t="n">
        <x:v>0</x:v>
      </x:c>
      <x:c r="N456" s="9" t="str">
        <x:v>OPEN / UNACCEPTED</x:v>
      </x:c>
      <x:c r="O456" s="9" t="n">
        <x:f>COUNTIFS($A$7:$A$1734,A456)</x:f>
        <x:v>1</x:v>
      </x:c>
    </x:row>
    <x:row r="457">
      <x:c r="A457" s="9" t="str">
        <x:v>EV-AR-ET-A-A-TECH-2-B1-INT-G0-OG07</x:v>
      </x:c>
      <x:c r="B457" s="9" t="str">
        <x:v>EV-AR-ET-A-A-TECH-2-B1-INT-G0</x:v>
      </x:c>
      <x:c r="C457" s="9" t="str">
        <x:v>AR-ET-A-A-TECH-2-B1-INT-G0</x:v>
      </x:c>
      <x:c r="D457" s="9" t="str">
        <x:v>ET-A-A-TECH-2</x:v>
      </x:c>
      <x:c r="E457" s="9" t="str">
        <x:v>ET-A-A</x:v>
      </x:c>
      <x:c r="F457" s="9" t="str">
        <x:v>B1</x:v>
      </x:c>
      <x:c r="G457" s="9" t="str">
        <x:v>INT</x:v>
      </x:c>
      <x:c r="H457" s="9" t="str">
        <x:v>OG07</x:v>
      </x:c>
      <x:c r="I457" s="17" t="str">
        <x:v>Receiver denominator</x:v>
      </x:c>
      <x:c r="J457" s="17" t="str">
        <x:v>population, quantity, duration and exclusions match the frozen receipt</x:v>
      </x:c>
      <x:c r="K457" s="17" t="str">
        <x:v>Receiver court</x:v>
      </x:c>
      <x:c r="L457" s="9" t="n">
        <x:v>0</x:v>
      </x:c>
      <x:c r="M457" s="9" t="n">
        <x:v>0</x:v>
      </x:c>
      <x:c r="N457" s="9" t="str">
        <x:v>OPEN / UNACCEPTED</x:v>
      </x:c>
      <x:c r="O457" s="9" t="n">
        <x:f>COUNTIFS($A$7:$A$1734,A457)</x:f>
        <x:v>1</x:v>
      </x:c>
    </x:row>
    <x:row r="458">
      <x:c r="A458" s="9" t="str">
        <x:v>EV-AR-ET-A-A-TECH-2-B1-INT-G0-OG08</x:v>
      </x:c>
      <x:c r="B458" s="9" t="str">
        <x:v>EV-AR-ET-A-A-TECH-2-B1-INT-G0</x:v>
      </x:c>
      <x:c r="C458" s="9" t="str">
        <x:v>AR-ET-A-A-TECH-2-B1-INT-G0</x:v>
      </x:c>
      <x:c r="D458" s="9" t="str">
        <x:v>ET-A-A-TECH-2</x:v>
      </x:c>
      <x:c r="E458" s="9" t="str">
        <x:v>ET-A-A</x:v>
      </x:c>
      <x:c r="F458" s="9" t="str">
        <x:v>B1</x:v>
      </x:c>
      <x:c r="G458" s="9" t="str">
        <x:v>INT</x:v>
      </x:c>
      <x:c r="H458" s="9" t="str">
        <x:v>OG08</x:v>
      </x:c>
      <x:c r="I458" s="17" t="str">
        <x:v>Environment and boundary</x:v>
      </x:c>
      <x:c r="J458" s="17" t="str">
        <x:v>registered weather, water, ground, inlet and outlet states are retained</x:v>
      </x:c>
      <x:c r="K458" s="17" t="str">
        <x:v>Boundary court</x:v>
      </x:c>
      <x:c r="L458" s="9" t="n">
        <x:v>0</x:v>
      </x:c>
      <x:c r="M458" s="9" t="n">
        <x:v>0</x:v>
      </x:c>
      <x:c r="N458" s="9" t="str">
        <x:v>OPEN / UNACCEPTED</x:v>
      </x:c>
      <x:c r="O458" s="9" t="n">
        <x:f>COUNTIFS($A$7:$A$1734,A458)</x:f>
        <x:v>1</x:v>
      </x:c>
    </x:row>
    <x:row r="459">
      <x:c r="A459" s="9" t="str">
        <x:v>EV-AR-ET-A-A-TECH-2-B1-INT-G0-OG09</x:v>
      </x:c>
      <x:c r="B459" s="9" t="str">
        <x:v>EV-AR-ET-A-A-TECH-2-B1-INT-G0</x:v>
      </x:c>
      <x:c r="C459" s="9" t="str">
        <x:v>AR-ET-A-A-TECH-2-B1-INT-G0</x:v>
      </x:c>
      <x:c r="D459" s="9" t="str">
        <x:v>ET-A-A-TECH-2</x:v>
      </x:c>
      <x:c r="E459" s="9" t="str">
        <x:v>ET-A-A</x:v>
      </x:c>
      <x:c r="F459" s="9" t="str">
        <x:v>B1</x:v>
      </x:c>
      <x:c r="G459" s="9" t="str">
        <x:v>INT</x:v>
      </x:c>
      <x:c r="H459" s="9" t="str">
        <x:v>OG09</x:v>
      </x:c>
      <x:c r="I459" s="17" t="str">
        <x:v>Intervention account</x:v>
      </x:c>
      <x:c r="J459" s="17" t="str">
        <x:v>all stop, rescue, operator and public-protection actions remain timestamped</x:v>
      </x:c>
      <x:c r="K459" s="17" t="str">
        <x:v>Safety record court</x:v>
      </x:c>
      <x:c r="L459" s="9" t="n">
        <x:v>0</x:v>
      </x:c>
      <x:c r="M459" s="9" t="n">
        <x:v>0</x:v>
      </x:c>
      <x:c r="N459" s="9" t="str">
        <x:v>OPEN / UNACCEPTED</x:v>
      </x:c>
      <x:c r="O459" s="9" t="n">
        <x:f>COUNTIFS($A$7:$A$1734,A459)</x:f>
        <x:v>1</x:v>
      </x:c>
    </x:row>
    <x:row r="460">
      <x:c r="A460" s="9" t="str">
        <x:v>EV-AR-ET-A-A-TECH-2-B1-INT-G0-OG10</x:v>
      </x:c>
      <x:c r="B460" s="9" t="str">
        <x:v>EV-AR-ET-A-A-TECH-2-B1-INT-G0</x:v>
      </x:c>
      <x:c r="C460" s="9" t="str">
        <x:v>AR-ET-A-A-TECH-2-B1-INT-G0</x:v>
      </x:c>
      <x:c r="D460" s="9" t="str">
        <x:v>ET-A-A-TECH-2</x:v>
      </x:c>
      <x:c r="E460" s="9" t="str">
        <x:v>ET-A-A</x:v>
      </x:c>
      <x:c r="F460" s="9" t="str">
        <x:v>B1</x:v>
      </x:c>
      <x:c r="G460" s="9" t="str">
        <x:v>INT</x:v>
      </x:c>
      <x:c r="H460" s="9" t="str">
        <x:v>OG10</x:v>
      </x:c>
      <x:c r="I460" s="17" t="str">
        <x:v>Uncertainty statement</x:v>
      </x:c>
      <x:c r="J460" s="17" t="str">
        <x:v>range, censoring, resolution and correlation are declared before judgment</x:v>
      </x:c>
      <x:c r="K460" s="17" t="str">
        <x:v>Uncertainty authority</x:v>
      </x:c>
      <x:c r="L460" s="9" t="n">
        <x:v>0</x:v>
      </x:c>
      <x:c r="M460" s="9" t="n">
        <x:v>0</x:v>
      </x:c>
      <x:c r="N460" s="9" t="str">
        <x:v>OPEN / UNACCEPTED</x:v>
      </x:c>
      <x:c r="O460" s="9" t="n">
        <x:f>COUNTIFS($A$7:$A$1734,A460)</x:f>
        <x:v>1</x:v>
      </x:c>
    </x:row>
    <x:row r="461">
      <x:c r="A461" s="9" t="str">
        <x:v>EV-AR-ET-A-A-TECH-2-B1-INT-G0-OG11</x:v>
      </x:c>
      <x:c r="B461" s="9" t="str">
        <x:v>EV-AR-ET-A-A-TECH-2-B1-INT-G0</x:v>
      </x:c>
      <x:c r="C461" s="9" t="str">
        <x:v>AR-ET-A-A-TECH-2-B1-INT-G0</x:v>
      </x:c>
      <x:c r="D461" s="9" t="str">
        <x:v>ET-A-A-TECH-2</x:v>
      </x:c>
      <x:c r="E461" s="9" t="str">
        <x:v>ET-A-A</x:v>
      </x:c>
      <x:c r="F461" s="9" t="str">
        <x:v>B1</x:v>
      </x:c>
      <x:c r="G461" s="9" t="str">
        <x:v>INT</x:v>
      </x:c>
      <x:c r="H461" s="9" t="str">
        <x:v>OG11</x:v>
      </x:c>
      <x:c r="I461" s="17" t="str">
        <x:v>Contradiction preservation</x:v>
      </x:c>
      <x:c r="J461" s="17" t="str">
        <x:v>primary-witness disagreement remains explicit and is never averaged away</x:v>
      </x:c>
      <x:c r="K461" s="17" t="str">
        <x:v>Dissent registrar</x:v>
      </x:c>
      <x:c r="L461" s="9" t="n">
        <x:v>0</x:v>
      </x:c>
      <x:c r="M461" s="9" t="n">
        <x:v>0</x:v>
      </x:c>
      <x:c r="N461" s="9" t="str">
        <x:v>OPEN / UNACCEPTED</x:v>
      </x:c>
      <x:c r="O461" s="9" t="n">
        <x:f>COUNTIFS($A$7:$A$1734,A461)</x:f>
        <x:v>1</x:v>
      </x:c>
    </x:row>
    <x:row r="462">
      <x:c r="A462" s="9" t="str">
        <x:v>EV-AR-ET-A-A-TECH-2-B1-INT-G0-OG12</x:v>
      </x:c>
      <x:c r="B462" s="9" t="str">
        <x:v>EV-AR-ET-A-A-TECH-2-B1-INT-G0</x:v>
      </x:c>
      <x:c r="C462" s="9" t="str">
        <x:v>AR-ET-A-A-TECH-2-B1-INT-G0</x:v>
      </x:c>
      <x:c r="D462" s="9" t="str">
        <x:v>ET-A-A-TECH-2</x:v>
      </x:c>
      <x:c r="E462" s="9" t="str">
        <x:v>ET-A-A</x:v>
      </x:c>
      <x:c r="F462" s="9" t="str">
        <x:v>B1</x:v>
      </x:c>
      <x:c r="G462" s="9" t="str">
        <x:v>INT</x:v>
      </x:c>
      <x:c r="H462" s="9" t="str">
        <x:v>OG12</x:v>
      </x:c>
      <x:c r="I462" s="17" t="str">
        <x:v>Independent replay</x:v>
      </x:c>
      <x:c r="J462" s="17" t="str">
        <x:v>a separated reader reconstructs the registered observables from sealed originals</x:v>
      </x:c>
      <x:c r="K462" s="17" t="str">
        <x:v>Replay court</x:v>
      </x:c>
      <x:c r="L462" s="9" t="n">
        <x:v>0</x:v>
      </x:c>
      <x:c r="M462" s="9" t="n">
        <x:v>0</x:v>
      </x:c>
      <x:c r="N462" s="9" t="str">
        <x:v>OPEN / UNACCEPTED</x:v>
      </x:c>
      <x:c r="O462" s="9" t="n">
        <x:f>COUNTIFS($A$7:$A$1734,A462)</x:f>
        <x:v>1</x:v>
      </x:c>
    </x:row>
    <x:row r="463">
      <x:c r="A463" s="9" t="str">
        <x:v>EV-AR-HU-A-B-TECH-3-B2-INT-G0-OG01</x:v>
      </x:c>
      <x:c r="B463" s="9" t="str">
        <x:v>EV-AR-HU-A-B-TECH-3-B2-INT-G0</x:v>
      </x:c>
      <x:c r="C463" s="9" t="str">
        <x:v>AR-HU-A-B-TECH-3-B2-INT-G0</x:v>
      </x:c>
      <x:c r="D463" s="9" t="str">
        <x:v>HU-A-B-TECH-3</x:v>
      </x:c>
      <x:c r="E463" s="9" t="str">
        <x:v>HU-A-B</x:v>
      </x:c>
      <x:c r="F463" s="9" t="str">
        <x:v>B2</x:v>
      </x:c>
      <x:c r="G463" s="9" t="str">
        <x:v>INT</x:v>
      </x:c>
      <x:c r="H463" s="9" t="str">
        <x:v>OG01</x:v>
      </x:c>
      <x:c r="I463" s="17" t="str">
        <x:v>Serial and event identity</x:v>
      </x:c>
      <x:c r="J463" s="17" t="str">
        <x:v>record resolves to the issued serial, generation and physical start</x:v>
      </x:c>
      <x:c r="K463" s="17" t="str">
        <x:v>Observation court</x:v>
      </x:c>
      <x:c r="L463" s="9" t="n">
        <x:v>0</x:v>
      </x:c>
      <x:c r="M463" s="9" t="n">
        <x:v>0</x:v>
      </x:c>
      <x:c r="N463" s="9" t="str">
        <x:v>OPEN / UNACCEPTED</x:v>
      </x:c>
      <x:c r="O463" s="9" t="n">
        <x:f>COUNTIFS($A$7:$A$1734,A463)</x:f>
        <x:v>1</x:v>
      </x:c>
    </x:row>
    <x:row r="464">
      <x:c r="A464" s="9" t="str">
        <x:v>EV-AR-HU-A-B-TECH-3-B2-INT-G0-OG02</x:v>
      </x:c>
      <x:c r="B464" s="9" t="str">
        <x:v>EV-AR-HU-A-B-TECH-3-B2-INT-G0</x:v>
      </x:c>
      <x:c r="C464" s="9" t="str">
        <x:v>AR-HU-A-B-TECH-3-B2-INT-G0</x:v>
      </x:c>
      <x:c r="D464" s="9" t="str">
        <x:v>HU-A-B-TECH-3</x:v>
      </x:c>
      <x:c r="E464" s="9" t="str">
        <x:v>HU-A-B</x:v>
      </x:c>
      <x:c r="F464" s="9" t="str">
        <x:v>B2</x:v>
      </x:c>
      <x:c r="G464" s="9" t="str">
        <x:v>INT</x:v>
      </x:c>
      <x:c r="H464" s="9" t="str">
        <x:v>OG02</x:v>
      </x:c>
      <x:c r="I464" s="17" t="str">
        <x:v>Time ancestry</x:v>
      </x:c>
      <x:c r="J464" s="17" t="str">
        <x:v>primary, witness and public event clocks retain declared offsets and drift</x:v>
      </x:c>
      <x:c r="K464" s="17" t="str">
        <x:v>Time authority</x:v>
      </x:c>
      <x:c r="L464" s="9" t="n">
        <x:v>0</x:v>
      </x:c>
      <x:c r="M464" s="9" t="n">
        <x:v>0</x:v>
      </x:c>
      <x:c r="N464" s="9" t="str">
        <x:v>OPEN / UNACCEPTED</x:v>
      </x:c>
      <x:c r="O464" s="9" t="n">
        <x:f>COUNTIFS($A$7:$A$1734,A464)</x:f>
        <x:v>1</x:v>
      </x:c>
    </x:row>
    <x:row r="465">
      <x:c r="A465" s="9" t="str">
        <x:v>EV-AR-HU-A-B-TECH-3-B2-INT-G0-OG03</x:v>
      </x:c>
      <x:c r="B465" s="9" t="str">
        <x:v>EV-AR-HU-A-B-TECH-3-B2-INT-G0</x:v>
      </x:c>
      <x:c r="C465" s="9" t="str">
        <x:v>AR-HU-A-B-TECH-3-B2-INT-G0</x:v>
      </x:c>
      <x:c r="D465" s="9" t="str">
        <x:v>HU-A-B-TECH-3</x:v>
      </x:c>
      <x:c r="E465" s="9" t="str">
        <x:v>HU-A-B</x:v>
      </x:c>
      <x:c r="F465" s="9" t="str">
        <x:v>B2</x:v>
      </x:c>
      <x:c r="G465" s="9" t="str">
        <x:v>INT</x:v>
      </x:c>
      <x:c r="H465" s="9" t="str">
        <x:v>OG03</x:v>
      </x:c>
      <x:c r="I465" s="17" t="str">
        <x:v>Calibration ancestry</x:v>
      </x:c>
      <x:c r="J465" s="17" t="str">
        <x:v>all reference, range and uncertainty states cover the live interval</x:v>
      </x:c>
      <x:c r="K465" s="17" t="str">
        <x:v>Metrology courts</x:v>
      </x:c>
      <x:c r="L465" s="9" t="n">
        <x:v>0</x:v>
      </x:c>
      <x:c r="M465" s="9" t="n">
        <x:v>0</x:v>
      </x:c>
      <x:c r="N465" s="9" t="str">
        <x:v>OPEN / UNACCEPTED</x:v>
      </x:c>
      <x:c r="O465" s="9" t="n">
        <x:f>COUNTIFS($A$7:$A$1734,A465)</x:f>
        <x:v>1</x:v>
      </x:c>
    </x:row>
    <x:row r="466">
      <x:c r="A466" s="9" t="str">
        <x:v>EV-AR-HU-A-B-TECH-3-B2-INT-G0-OG04</x:v>
      </x:c>
      <x:c r="B466" s="9" t="str">
        <x:v>EV-AR-HU-A-B-TECH-3-B2-INT-G0</x:v>
      </x:c>
      <x:c r="C466" s="9" t="str">
        <x:v>AR-HU-A-B-TECH-3-B2-INT-G0</x:v>
      </x:c>
      <x:c r="D466" s="9" t="str">
        <x:v>HU-A-B-TECH-3</x:v>
      </x:c>
      <x:c r="E466" s="9" t="str">
        <x:v>HU-A-B</x:v>
      </x:c>
      <x:c r="F466" s="9" t="str">
        <x:v>B2</x:v>
      </x:c>
      <x:c r="G466" s="9" t="str">
        <x:v>INT</x:v>
      </x:c>
      <x:c r="H466" s="9" t="str">
        <x:v>OG04</x:v>
      </x:c>
      <x:c r="I466" s="17" t="str">
        <x:v>Raw completeness</x:v>
      </x:c>
      <x:c r="J466" s="17" t="str">
        <x:v>missingness is enumerated without imputation or outcome-conditioned deletion</x:v>
      </x:c>
      <x:c r="K466" s="17" t="str">
        <x:v>Observation court</x:v>
      </x:c>
      <x:c r="L466" s="9" t="n">
        <x:v>0</x:v>
      </x:c>
      <x:c r="M466" s="9" t="n">
        <x:v>0</x:v>
      </x:c>
      <x:c r="N466" s="9" t="str">
        <x:v>OPEN / UNACCEPTED</x:v>
      </x:c>
      <x:c r="O466" s="9" t="n">
        <x:f>COUNTIFS($A$7:$A$1734,A466)</x:f>
        <x:v>1</x:v>
      </x:c>
    </x:row>
    <x:row r="467">
      <x:c r="A467" s="9" t="str">
        <x:v>EV-AR-HU-A-B-TECH-3-B2-INT-G0-OG05</x:v>
      </x:c>
      <x:c r="B467" s="9" t="str">
        <x:v>EV-AR-HU-A-B-TECH-3-B2-INT-G0</x:v>
      </x:c>
      <x:c r="C467" s="9" t="str">
        <x:v>AR-HU-A-B-TECH-3-B2-INT-G0</x:v>
      </x:c>
      <x:c r="D467" s="9" t="str">
        <x:v>HU-A-B-TECH-3</x:v>
      </x:c>
      <x:c r="E467" s="9" t="str">
        <x:v>HU-A-B</x:v>
      </x:c>
      <x:c r="F467" s="9" t="str">
        <x:v>B2</x:v>
      </x:c>
      <x:c r="G467" s="9" t="str">
        <x:v>INT</x:v>
      </x:c>
      <x:c r="H467" s="9" t="str">
        <x:v>OG05</x:v>
      </x:c>
      <x:c r="I467" s="17" t="str">
        <x:v>Primary provenance</x:v>
      </x:c>
      <x:c r="J467" s="17" t="str">
        <x:v>primary originals, hashes, keys and access history reconcile</x:v>
      </x:c>
      <x:c r="K467" s="17" t="str">
        <x:v>Primary custody</x:v>
      </x:c>
      <x:c r="L467" s="9" t="n">
        <x:v>0</x:v>
      </x:c>
      <x:c r="M467" s="9" t="n">
        <x:v>0</x:v>
      </x:c>
      <x:c r="N467" s="9" t="str">
        <x:v>OPEN / UNACCEPTED</x:v>
      </x:c>
      <x:c r="O467" s="9" t="n">
        <x:f>COUNTIFS($A$7:$A$1734,A467)</x:f>
        <x:v>1</x:v>
      </x:c>
    </x:row>
    <x:row r="468">
      <x:c r="A468" s="9" t="str">
        <x:v>EV-AR-HU-A-B-TECH-3-B2-INT-G0-OG06</x:v>
      </x:c>
      <x:c r="B468" s="9" t="str">
        <x:v>EV-AR-HU-A-B-TECH-3-B2-INT-G0</x:v>
      </x:c>
      <x:c r="C468" s="9" t="str">
        <x:v>AR-HU-A-B-TECH-3-B2-INT-G0</x:v>
      </x:c>
      <x:c r="D468" s="9" t="str">
        <x:v>HU-A-B-TECH-3</x:v>
      </x:c>
      <x:c r="E468" s="9" t="str">
        <x:v>HU-A-B</x:v>
      </x:c>
      <x:c r="F468" s="9" t="str">
        <x:v>B2</x:v>
      </x:c>
      <x:c r="G468" s="9" t="str">
        <x:v>INT</x:v>
      </x:c>
      <x:c r="H468" s="9" t="str">
        <x:v>OG06</x:v>
      </x:c>
      <x:c r="I468" s="17" t="str">
        <x:v>Witness provenance</x:v>
      </x:c>
      <x:c r="J468" s="17" t="str">
        <x:v>unlike witness originals, hashes, keys and access history reconcile</x:v>
      </x:c>
      <x:c r="K468" s="17" t="str">
        <x:v>Witness custody</x:v>
      </x:c>
      <x:c r="L468" s="9" t="n">
        <x:v>0</x:v>
      </x:c>
      <x:c r="M468" s="9" t="n">
        <x:v>0</x:v>
      </x:c>
      <x:c r="N468" s="9" t="str">
        <x:v>OPEN / UNACCEPTED</x:v>
      </x:c>
      <x:c r="O468" s="9" t="n">
        <x:f>COUNTIFS($A$7:$A$1734,A468)</x:f>
        <x:v>1</x:v>
      </x:c>
    </x:row>
    <x:row r="469">
      <x:c r="A469" s="9" t="str">
        <x:v>EV-AR-HU-A-B-TECH-3-B2-INT-G0-OG07</x:v>
      </x:c>
      <x:c r="B469" s="9" t="str">
        <x:v>EV-AR-HU-A-B-TECH-3-B2-INT-G0</x:v>
      </x:c>
      <x:c r="C469" s="9" t="str">
        <x:v>AR-HU-A-B-TECH-3-B2-INT-G0</x:v>
      </x:c>
      <x:c r="D469" s="9" t="str">
        <x:v>HU-A-B-TECH-3</x:v>
      </x:c>
      <x:c r="E469" s="9" t="str">
        <x:v>HU-A-B</x:v>
      </x:c>
      <x:c r="F469" s="9" t="str">
        <x:v>B2</x:v>
      </x:c>
      <x:c r="G469" s="9" t="str">
        <x:v>INT</x:v>
      </x:c>
      <x:c r="H469" s="9" t="str">
        <x:v>OG07</x:v>
      </x:c>
      <x:c r="I469" s="17" t="str">
        <x:v>Receiver denominator</x:v>
      </x:c>
      <x:c r="J469" s="17" t="str">
        <x:v>population, quantity, duration and exclusions match the frozen receipt</x:v>
      </x:c>
      <x:c r="K469" s="17" t="str">
        <x:v>Receiver court</x:v>
      </x:c>
      <x:c r="L469" s="9" t="n">
        <x:v>0</x:v>
      </x:c>
      <x:c r="M469" s="9" t="n">
        <x:v>0</x:v>
      </x:c>
      <x:c r="N469" s="9" t="str">
        <x:v>OPEN / UNACCEPTED</x:v>
      </x:c>
      <x:c r="O469" s="9" t="n">
        <x:f>COUNTIFS($A$7:$A$1734,A469)</x:f>
        <x:v>1</x:v>
      </x:c>
    </x:row>
    <x:row r="470">
      <x:c r="A470" s="9" t="str">
        <x:v>EV-AR-HU-A-B-TECH-3-B2-INT-G0-OG08</x:v>
      </x:c>
      <x:c r="B470" s="9" t="str">
        <x:v>EV-AR-HU-A-B-TECH-3-B2-INT-G0</x:v>
      </x:c>
      <x:c r="C470" s="9" t="str">
        <x:v>AR-HU-A-B-TECH-3-B2-INT-G0</x:v>
      </x:c>
      <x:c r="D470" s="9" t="str">
        <x:v>HU-A-B-TECH-3</x:v>
      </x:c>
      <x:c r="E470" s="9" t="str">
        <x:v>HU-A-B</x:v>
      </x:c>
      <x:c r="F470" s="9" t="str">
        <x:v>B2</x:v>
      </x:c>
      <x:c r="G470" s="9" t="str">
        <x:v>INT</x:v>
      </x:c>
      <x:c r="H470" s="9" t="str">
        <x:v>OG08</x:v>
      </x:c>
      <x:c r="I470" s="17" t="str">
        <x:v>Environment and boundary</x:v>
      </x:c>
      <x:c r="J470" s="17" t="str">
        <x:v>registered weather, water, ground, inlet and outlet states are retained</x:v>
      </x:c>
      <x:c r="K470" s="17" t="str">
        <x:v>Boundary court</x:v>
      </x:c>
      <x:c r="L470" s="9" t="n">
        <x:v>0</x:v>
      </x:c>
      <x:c r="M470" s="9" t="n">
        <x:v>0</x:v>
      </x:c>
      <x:c r="N470" s="9" t="str">
        <x:v>OPEN / UNACCEPTED</x:v>
      </x:c>
      <x:c r="O470" s="9" t="n">
        <x:f>COUNTIFS($A$7:$A$1734,A470)</x:f>
        <x:v>1</x:v>
      </x:c>
    </x:row>
    <x:row r="471">
      <x:c r="A471" s="9" t="str">
        <x:v>EV-AR-HU-A-B-TECH-3-B2-INT-G0-OG09</x:v>
      </x:c>
      <x:c r="B471" s="9" t="str">
        <x:v>EV-AR-HU-A-B-TECH-3-B2-INT-G0</x:v>
      </x:c>
      <x:c r="C471" s="9" t="str">
        <x:v>AR-HU-A-B-TECH-3-B2-INT-G0</x:v>
      </x:c>
      <x:c r="D471" s="9" t="str">
        <x:v>HU-A-B-TECH-3</x:v>
      </x:c>
      <x:c r="E471" s="9" t="str">
        <x:v>HU-A-B</x:v>
      </x:c>
      <x:c r="F471" s="9" t="str">
        <x:v>B2</x:v>
      </x:c>
      <x:c r="G471" s="9" t="str">
        <x:v>INT</x:v>
      </x:c>
      <x:c r="H471" s="9" t="str">
        <x:v>OG09</x:v>
      </x:c>
      <x:c r="I471" s="17" t="str">
        <x:v>Intervention account</x:v>
      </x:c>
      <x:c r="J471" s="17" t="str">
        <x:v>all stop, rescue, operator and public-protection actions remain timestamped</x:v>
      </x:c>
      <x:c r="K471" s="17" t="str">
        <x:v>Safety record court</x:v>
      </x:c>
      <x:c r="L471" s="9" t="n">
        <x:v>0</x:v>
      </x:c>
      <x:c r="M471" s="9" t="n">
        <x:v>0</x:v>
      </x:c>
      <x:c r="N471" s="9" t="str">
        <x:v>OPEN / UNACCEPTED</x:v>
      </x:c>
      <x:c r="O471" s="9" t="n">
        <x:f>COUNTIFS($A$7:$A$1734,A471)</x:f>
        <x:v>1</x:v>
      </x:c>
    </x:row>
    <x:row r="472">
      <x:c r="A472" s="9" t="str">
        <x:v>EV-AR-HU-A-B-TECH-3-B2-INT-G0-OG10</x:v>
      </x:c>
      <x:c r="B472" s="9" t="str">
        <x:v>EV-AR-HU-A-B-TECH-3-B2-INT-G0</x:v>
      </x:c>
      <x:c r="C472" s="9" t="str">
        <x:v>AR-HU-A-B-TECH-3-B2-INT-G0</x:v>
      </x:c>
      <x:c r="D472" s="9" t="str">
        <x:v>HU-A-B-TECH-3</x:v>
      </x:c>
      <x:c r="E472" s="9" t="str">
        <x:v>HU-A-B</x:v>
      </x:c>
      <x:c r="F472" s="9" t="str">
        <x:v>B2</x:v>
      </x:c>
      <x:c r="G472" s="9" t="str">
        <x:v>INT</x:v>
      </x:c>
      <x:c r="H472" s="9" t="str">
        <x:v>OG10</x:v>
      </x:c>
      <x:c r="I472" s="17" t="str">
        <x:v>Uncertainty statement</x:v>
      </x:c>
      <x:c r="J472" s="17" t="str">
        <x:v>range, censoring, resolution and correlation are declared before judgment</x:v>
      </x:c>
      <x:c r="K472" s="17" t="str">
        <x:v>Uncertainty authority</x:v>
      </x:c>
      <x:c r="L472" s="9" t="n">
        <x:v>0</x:v>
      </x:c>
      <x:c r="M472" s="9" t="n">
        <x:v>0</x:v>
      </x:c>
      <x:c r="N472" s="9" t="str">
        <x:v>OPEN / UNACCEPTED</x:v>
      </x:c>
      <x:c r="O472" s="9" t="n">
        <x:f>COUNTIFS($A$7:$A$1734,A472)</x:f>
        <x:v>1</x:v>
      </x:c>
    </x:row>
    <x:row r="473">
      <x:c r="A473" s="9" t="str">
        <x:v>EV-AR-HU-A-B-TECH-3-B2-INT-G0-OG11</x:v>
      </x:c>
      <x:c r="B473" s="9" t="str">
        <x:v>EV-AR-HU-A-B-TECH-3-B2-INT-G0</x:v>
      </x:c>
      <x:c r="C473" s="9" t="str">
        <x:v>AR-HU-A-B-TECH-3-B2-INT-G0</x:v>
      </x:c>
      <x:c r="D473" s="9" t="str">
        <x:v>HU-A-B-TECH-3</x:v>
      </x:c>
      <x:c r="E473" s="9" t="str">
        <x:v>HU-A-B</x:v>
      </x:c>
      <x:c r="F473" s="9" t="str">
        <x:v>B2</x:v>
      </x:c>
      <x:c r="G473" s="9" t="str">
        <x:v>INT</x:v>
      </x:c>
      <x:c r="H473" s="9" t="str">
        <x:v>OG11</x:v>
      </x:c>
      <x:c r="I473" s="17" t="str">
        <x:v>Contradiction preservation</x:v>
      </x:c>
      <x:c r="J473" s="17" t="str">
        <x:v>primary-witness disagreement remains explicit and is never averaged away</x:v>
      </x:c>
      <x:c r="K473" s="17" t="str">
        <x:v>Dissent registrar</x:v>
      </x:c>
      <x:c r="L473" s="9" t="n">
        <x:v>0</x:v>
      </x:c>
      <x:c r="M473" s="9" t="n">
        <x:v>0</x:v>
      </x:c>
      <x:c r="N473" s="9" t="str">
        <x:v>OPEN / UNACCEPTED</x:v>
      </x:c>
      <x:c r="O473" s="9" t="n">
        <x:f>COUNTIFS($A$7:$A$1734,A473)</x:f>
        <x:v>1</x:v>
      </x:c>
    </x:row>
    <x:row r="474">
      <x:c r="A474" s="9" t="str">
        <x:v>EV-AR-HU-A-B-TECH-3-B2-INT-G0-OG12</x:v>
      </x:c>
      <x:c r="B474" s="9" t="str">
        <x:v>EV-AR-HU-A-B-TECH-3-B2-INT-G0</x:v>
      </x:c>
      <x:c r="C474" s="9" t="str">
        <x:v>AR-HU-A-B-TECH-3-B2-INT-G0</x:v>
      </x:c>
      <x:c r="D474" s="9" t="str">
        <x:v>HU-A-B-TECH-3</x:v>
      </x:c>
      <x:c r="E474" s="9" t="str">
        <x:v>HU-A-B</x:v>
      </x:c>
      <x:c r="F474" s="9" t="str">
        <x:v>B2</x:v>
      </x:c>
      <x:c r="G474" s="9" t="str">
        <x:v>INT</x:v>
      </x:c>
      <x:c r="H474" s="9" t="str">
        <x:v>OG12</x:v>
      </x:c>
      <x:c r="I474" s="17" t="str">
        <x:v>Independent replay</x:v>
      </x:c>
      <x:c r="J474" s="17" t="str">
        <x:v>a separated reader reconstructs the registered observables from sealed originals</x:v>
      </x:c>
      <x:c r="K474" s="17" t="str">
        <x:v>Replay court</x:v>
      </x:c>
      <x:c r="L474" s="9" t="n">
        <x:v>0</x:v>
      </x:c>
      <x:c r="M474" s="9" t="n">
        <x:v>0</x:v>
      </x:c>
      <x:c r="N474" s="9" t="str">
        <x:v>OPEN / UNACCEPTED</x:v>
      </x:c>
      <x:c r="O474" s="9" t="n">
        <x:f>COUNTIFS($A$7:$A$1734,A474)</x:f>
        <x:v>1</x:v>
      </x:c>
    </x:row>
    <x:row r="475">
      <x:c r="A475" s="9" t="str">
        <x:v>EV-AR-LF-B-A-TECH-4-B2-INT-G0-OG01</x:v>
      </x:c>
      <x:c r="B475" s="9" t="str">
        <x:v>EV-AR-LF-B-A-TECH-4-B2-INT-G0</x:v>
      </x:c>
      <x:c r="C475" s="9" t="str">
        <x:v>AR-LF-B-A-TECH-4-B2-INT-G0</x:v>
      </x:c>
      <x:c r="D475" s="9" t="str">
        <x:v>LF-B-A-TECH-4</x:v>
      </x:c>
      <x:c r="E475" s="9" t="str">
        <x:v>LF-B-A</x:v>
      </x:c>
      <x:c r="F475" s="9" t="str">
        <x:v>B2</x:v>
      </x:c>
      <x:c r="G475" s="9" t="str">
        <x:v>INT</x:v>
      </x:c>
      <x:c r="H475" s="9" t="str">
        <x:v>OG01</x:v>
      </x:c>
      <x:c r="I475" s="17" t="str">
        <x:v>Serial and event identity</x:v>
      </x:c>
      <x:c r="J475" s="17" t="str">
        <x:v>record resolves to the issued serial, generation and physical start</x:v>
      </x:c>
      <x:c r="K475" s="17" t="str">
        <x:v>Observation court</x:v>
      </x:c>
      <x:c r="L475" s="9" t="n">
        <x:v>0</x:v>
      </x:c>
      <x:c r="M475" s="9" t="n">
        <x:v>0</x:v>
      </x:c>
      <x:c r="N475" s="9" t="str">
        <x:v>OPEN / UNACCEPTED</x:v>
      </x:c>
      <x:c r="O475" s="9" t="n">
        <x:f>COUNTIFS($A$7:$A$1734,A475)</x:f>
        <x:v>1</x:v>
      </x:c>
    </x:row>
    <x:row r="476">
      <x:c r="A476" s="9" t="str">
        <x:v>EV-AR-LF-B-A-TECH-4-B2-INT-G0-OG02</x:v>
      </x:c>
      <x:c r="B476" s="9" t="str">
        <x:v>EV-AR-LF-B-A-TECH-4-B2-INT-G0</x:v>
      </x:c>
      <x:c r="C476" s="9" t="str">
        <x:v>AR-LF-B-A-TECH-4-B2-INT-G0</x:v>
      </x:c>
      <x:c r="D476" s="9" t="str">
        <x:v>LF-B-A-TECH-4</x:v>
      </x:c>
      <x:c r="E476" s="9" t="str">
        <x:v>LF-B-A</x:v>
      </x:c>
      <x:c r="F476" s="9" t="str">
        <x:v>B2</x:v>
      </x:c>
      <x:c r="G476" s="9" t="str">
        <x:v>INT</x:v>
      </x:c>
      <x:c r="H476" s="9" t="str">
        <x:v>OG02</x:v>
      </x:c>
      <x:c r="I476" s="17" t="str">
        <x:v>Time ancestry</x:v>
      </x:c>
      <x:c r="J476" s="17" t="str">
        <x:v>primary, witness and public event clocks retain declared offsets and drift</x:v>
      </x:c>
      <x:c r="K476" s="17" t="str">
        <x:v>Time authority</x:v>
      </x:c>
      <x:c r="L476" s="9" t="n">
        <x:v>0</x:v>
      </x:c>
      <x:c r="M476" s="9" t="n">
        <x:v>0</x:v>
      </x:c>
      <x:c r="N476" s="9" t="str">
        <x:v>OPEN / UNACCEPTED</x:v>
      </x:c>
      <x:c r="O476" s="9" t="n">
        <x:f>COUNTIFS($A$7:$A$1734,A476)</x:f>
        <x:v>1</x:v>
      </x:c>
    </x:row>
    <x:row r="477">
      <x:c r="A477" s="9" t="str">
        <x:v>EV-AR-LF-B-A-TECH-4-B2-INT-G0-OG03</x:v>
      </x:c>
      <x:c r="B477" s="9" t="str">
        <x:v>EV-AR-LF-B-A-TECH-4-B2-INT-G0</x:v>
      </x:c>
      <x:c r="C477" s="9" t="str">
        <x:v>AR-LF-B-A-TECH-4-B2-INT-G0</x:v>
      </x:c>
      <x:c r="D477" s="9" t="str">
        <x:v>LF-B-A-TECH-4</x:v>
      </x:c>
      <x:c r="E477" s="9" t="str">
        <x:v>LF-B-A</x:v>
      </x:c>
      <x:c r="F477" s="9" t="str">
        <x:v>B2</x:v>
      </x:c>
      <x:c r="G477" s="9" t="str">
        <x:v>INT</x:v>
      </x:c>
      <x:c r="H477" s="9" t="str">
        <x:v>OG03</x:v>
      </x:c>
      <x:c r="I477" s="17" t="str">
        <x:v>Calibration ancestry</x:v>
      </x:c>
      <x:c r="J477" s="17" t="str">
        <x:v>all reference, range and uncertainty states cover the live interval</x:v>
      </x:c>
      <x:c r="K477" s="17" t="str">
        <x:v>Metrology courts</x:v>
      </x:c>
      <x:c r="L477" s="9" t="n">
        <x:v>0</x:v>
      </x:c>
      <x:c r="M477" s="9" t="n">
        <x:v>0</x:v>
      </x:c>
      <x:c r="N477" s="9" t="str">
        <x:v>OPEN / UNACCEPTED</x:v>
      </x:c>
      <x:c r="O477" s="9" t="n">
        <x:f>COUNTIFS($A$7:$A$1734,A477)</x:f>
        <x:v>1</x:v>
      </x:c>
    </x:row>
    <x:row r="478">
      <x:c r="A478" s="9" t="str">
        <x:v>EV-AR-LF-B-A-TECH-4-B2-INT-G0-OG04</x:v>
      </x:c>
      <x:c r="B478" s="9" t="str">
        <x:v>EV-AR-LF-B-A-TECH-4-B2-INT-G0</x:v>
      </x:c>
      <x:c r="C478" s="9" t="str">
        <x:v>AR-LF-B-A-TECH-4-B2-INT-G0</x:v>
      </x:c>
      <x:c r="D478" s="9" t="str">
        <x:v>LF-B-A-TECH-4</x:v>
      </x:c>
      <x:c r="E478" s="9" t="str">
        <x:v>LF-B-A</x:v>
      </x:c>
      <x:c r="F478" s="9" t="str">
        <x:v>B2</x:v>
      </x:c>
      <x:c r="G478" s="9" t="str">
        <x:v>INT</x:v>
      </x:c>
      <x:c r="H478" s="9" t="str">
        <x:v>OG04</x:v>
      </x:c>
      <x:c r="I478" s="17" t="str">
        <x:v>Raw completeness</x:v>
      </x:c>
      <x:c r="J478" s="17" t="str">
        <x:v>missingness is enumerated without imputation or outcome-conditioned deletion</x:v>
      </x:c>
      <x:c r="K478" s="17" t="str">
        <x:v>Observation court</x:v>
      </x:c>
      <x:c r="L478" s="9" t="n">
        <x:v>0</x:v>
      </x:c>
      <x:c r="M478" s="9" t="n">
        <x:v>0</x:v>
      </x:c>
      <x:c r="N478" s="9" t="str">
        <x:v>OPEN / UNACCEPTED</x:v>
      </x:c>
      <x:c r="O478" s="9" t="n">
        <x:f>COUNTIFS($A$7:$A$1734,A478)</x:f>
        <x:v>1</x:v>
      </x:c>
    </x:row>
    <x:row r="479">
      <x:c r="A479" s="9" t="str">
        <x:v>EV-AR-LF-B-A-TECH-4-B2-INT-G0-OG05</x:v>
      </x:c>
      <x:c r="B479" s="9" t="str">
        <x:v>EV-AR-LF-B-A-TECH-4-B2-INT-G0</x:v>
      </x:c>
      <x:c r="C479" s="9" t="str">
        <x:v>AR-LF-B-A-TECH-4-B2-INT-G0</x:v>
      </x:c>
      <x:c r="D479" s="9" t="str">
        <x:v>LF-B-A-TECH-4</x:v>
      </x:c>
      <x:c r="E479" s="9" t="str">
        <x:v>LF-B-A</x:v>
      </x:c>
      <x:c r="F479" s="9" t="str">
        <x:v>B2</x:v>
      </x:c>
      <x:c r="G479" s="9" t="str">
        <x:v>INT</x:v>
      </x:c>
      <x:c r="H479" s="9" t="str">
        <x:v>OG05</x:v>
      </x:c>
      <x:c r="I479" s="17" t="str">
        <x:v>Primary provenance</x:v>
      </x:c>
      <x:c r="J479" s="17" t="str">
        <x:v>primary originals, hashes, keys and access history reconcile</x:v>
      </x:c>
      <x:c r="K479" s="17" t="str">
        <x:v>Primary custody</x:v>
      </x:c>
      <x:c r="L479" s="9" t="n">
        <x:v>0</x:v>
      </x:c>
      <x:c r="M479" s="9" t="n">
        <x:v>0</x:v>
      </x:c>
      <x:c r="N479" s="9" t="str">
        <x:v>OPEN / UNACCEPTED</x:v>
      </x:c>
      <x:c r="O479" s="9" t="n">
        <x:f>COUNTIFS($A$7:$A$1734,A479)</x:f>
        <x:v>1</x:v>
      </x:c>
    </x:row>
    <x:row r="480">
      <x:c r="A480" s="9" t="str">
        <x:v>EV-AR-LF-B-A-TECH-4-B2-INT-G0-OG06</x:v>
      </x:c>
      <x:c r="B480" s="9" t="str">
        <x:v>EV-AR-LF-B-A-TECH-4-B2-INT-G0</x:v>
      </x:c>
      <x:c r="C480" s="9" t="str">
        <x:v>AR-LF-B-A-TECH-4-B2-INT-G0</x:v>
      </x:c>
      <x:c r="D480" s="9" t="str">
        <x:v>LF-B-A-TECH-4</x:v>
      </x:c>
      <x:c r="E480" s="9" t="str">
        <x:v>LF-B-A</x:v>
      </x:c>
      <x:c r="F480" s="9" t="str">
        <x:v>B2</x:v>
      </x:c>
      <x:c r="G480" s="9" t="str">
        <x:v>INT</x:v>
      </x:c>
      <x:c r="H480" s="9" t="str">
        <x:v>OG06</x:v>
      </x:c>
      <x:c r="I480" s="17" t="str">
        <x:v>Witness provenance</x:v>
      </x:c>
      <x:c r="J480" s="17" t="str">
        <x:v>unlike witness originals, hashes, keys and access history reconcile</x:v>
      </x:c>
      <x:c r="K480" s="17" t="str">
        <x:v>Witness custody</x:v>
      </x:c>
      <x:c r="L480" s="9" t="n">
        <x:v>0</x:v>
      </x:c>
      <x:c r="M480" s="9" t="n">
        <x:v>0</x:v>
      </x:c>
      <x:c r="N480" s="9" t="str">
        <x:v>OPEN / UNACCEPTED</x:v>
      </x:c>
      <x:c r="O480" s="9" t="n">
        <x:f>COUNTIFS($A$7:$A$1734,A480)</x:f>
        <x:v>1</x:v>
      </x:c>
    </x:row>
    <x:row r="481">
      <x:c r="A481" s="9" t="str">
        <x:v>EV-AR-LF-B-A-TECH-4-B2-INT-G0-OG07</x:v>
      </x:c>
      <x:c r="B481" s="9" t="str">
        <x:v>EV-AR-LF-B-A-TECH-4-B2-INT-G0</x:v>
      </x:c>
      <x:c r="C481" s="9" t="str">
        <x:v>AR-LF-B-A-TECH-4-B2-INT-G0</x:v>
      </x:c>
      <x:c r="D481" s="9" t="str">
        <x:v>LF-B-A-TECH-4</x:v>
      </x:c>
      <x:c r="E481" s="9" t="str">
        <x:v>LF-B-A</x:v>
      </x:c>
      <x:c r="F481" s="9" t="str">
        <x:v>B2</x:v>
      </x:c>
      <x:c r="G481" s="9" t="str">
        <x:v>INT</x:v>
      </x:c>
      <x:c r="H481" s="9" t="str">
        <x:v>OG07</x:v>
      </x:c>
      <x:c r="I481" s="17" t="str">
        <x:v>Receiver denominator</x:v>
      </x:c>
      <x:c r="J481" s="17" t="str">
        <x:v>population, quantity, duration and exclusions match the frozen receipt</x:v>
      </x:c>
      <x:c r="K481" s="17" t="str">
        <x:v>Receiver court</x:v>
      </x:c>
      <x:c r="L481" s="9" t="n">
        <x:v>0</x:v>
      </x:c>
      <x:c r="M481" s="9" t="n">
        <x:v>0</x:v>
      </x:c>
      <x:c r="N481" s="9" t="str">
        <x:v>OPEN / UNACCEPTED</x:v>
      </x:c>
      <x:c r="O481" s="9" t="n">
        <x:f>COUNTIFS($A$7:$A$1734,A481)</x:f>
        <x:v>1</x:v>
      </x:c>
    </x:row>
    <x:row r="482">
      <x:c r="A482" s="9" t="str">
        <x:v>EV-AR-LF-B-A-TECH-4-B2-INT-G0-OG08</x:v>
      </x:c>
      <x:c r="B482" s="9" t="str">
        <x:v>EV-AR-LF-B-A-TECH-4-B2-INT-G0</x:v>
      </x:c>
      <x:c r="C482" s="9" t="str">
        <x:v>AR-LF-B-A-TECH-4-B2-INT-G0</x:v>
      </x:c>
      <x:c r="D482" s="9" t="str">
        <x:v>LF-B-A-TECH-4</x:v>
      </x:c>
      <x:c r="E482" s="9" t="str">
        <x:v>LF-B-A</x:v>
      </x:c>
      <x:c r="F482" s="9" t="str">
        <x:v>B2</x:v>
      </x:c>
      <x:c r="G482" s="9" t="str">
        <x:v>INT</x:v>
      </x:c>
      <x:c r="H482" s="9" t="str">
        <x:v>OG08</x:v>
      </x:c>
      <x:c r="I482" s="17" t="str">
        <x:v>Environment and boundary</x:v>
      </x:c>
      <x:c r="J482" s="17" t="str">
        <x:v>registered weather, water, ground, inlet and outlet states are retained</x:v>
      </x:c>
      <x:c r="K482" s="17" t="str">
        <x:v>Boundary court</x:v>
      </x:c>
      <x:c r="L482" s="9" t="n">
        <x:v>0</x:v>
      </x:c>
      <x:c r="M482" s="9" t="n">
        <x:v>0</x:v>
      </x:c>
      <x:c r="N482" s="9" t="str">
        <x:v>OPEN / UNACCEPTED</x:v>
      </x:c>
      <x:c r="O482" s="9" t="n">
        <x:f>COUNTIFS($A$7:$A$1734,A482)</x:f>
        <x:v>1</x:v>
      </x:c>
    </x:row>
    <x:row r="483">
      <x:c r="A483" s="9" t="str">
        <x:v>EV-AR-LF-B-A-TECH-4-B2-INT-G0-OG09</x:v>
      </x:c>
      <x:c r="B483" s="9" t="str">
        <x:v>EV-AR-LF-B-A-TECH-4-B2-INT-G0</x:v>
      </x:c>
      <x:c r="C483" s="9" t="str">
        <x:v>AR-LF-B-A-TECH-4-B2-INT-G0</x:v>
      </x:c>
      <x:c r="D483" s="9" t="str">
        <x:v>LF-B-A-TECH-4</x:v>
      </x:c>
      <x:c r="E483" s="9" t="str">
        <x:v>LF-B-A</x:v>
      </x:c>
      <x:c r="F483" s="9" t="str">
        <x:v>B2</x:v>
      </x:c>
      <x:c r="G483" s="9" t="str">
        <x:v>INT</x:v>
      </x:c>
      <x:c r="H483" s="9" t="str">
        <x:v>OG09</x:v>
      </x:c>
      <x:c r="I483" s="17" t="str">
        <x:v>Intervention account</x:v>
      </x:c>
      <x:c r="J483" s="17" t="str">
        <x:v>all stop, rescue, operator and public-protection actions remain timestamped</x:v>
      </x:c>
      <x:c r="K483" s="17" t="str">
        <x:v>Safety record court</x:v>
      </x:c>
      <x:c r="L483" s="9" t="n">
        <x:v>0</x:v>
      </x:c>
      <x:c r="M483" s="9" t="n">
        <x:v>0</x:v>
      </x:c>
      <x:c r="N483" s="9" t="str">
        <x:v>OPEN / UNACCEPTED</x:v>
      </x:c>
      <x:c r="O483" s="9" t="n">
        <x:f>COUNTIFS($A$7:$A$1734,A483)</x:f>
        <x:v>1</x:v>
      </x:c>
    </x:row>
    <x:row r="484">
      <x:c r="A484" s="9" t="str">
        <x:v>EV-AR-LF-B-A-TECH-4-B2-INT-G0-OG10</x:v>
      </x:c>
      <x:c r="B484" s="9" t="str">
        <x:v>EV-AR-LF-B-A-TECH-4-B2-INT-G0</x:v>
      </x:c>
      <x:c r="C484" s="9" t="str">
        <x:v>AR-LF-B-A-TECH-4-B2-INT-G0</x:v>
      </x:c>
      <x:c r="D484" s="9" t="str">
        <x:v>LF-B-A-TECH-4</x:v>
      </x:c>
      <x:c r="E484" s="9" t="str">
        <x:v>LF-B-A</x:v>
      </x:c>
      <x:c r="F484" s="9" t="str">
        <x:v>B2</x:v>
      </x:c>
      <x:c r="G484" s="9" t="str">
        <x:v>INT</x:v>
      </x:c>
      <x:c r="H484" s="9" t="str">
        <x:v>OG10</x:v>
      </x:c>
      <x:c r="I484" s="17" t="str">
        <x:v>Uncertainty statement</x:v>
      </x:c>
      <x:c r="J484" s="17" t="str">
        <x:v>range, censoring, resolution and correlation are declared before judgment</x:v>
      </x:c>
      <x:c r="K484" s="17" t="str">
        <x:v>Uncertainty authority</x:v>
      </x:c>
      <x:c r="L484" s="9" t="n">
        <x:v>0</x:v>
      </x:c>
      <x:c r="M484" s="9" t="n">
        <x:v>0</x:v>
      </x:c>
      <x:c r="N484" s="9" t="str">
        <x:v>OPEN / UNACCEPTED</x:v>
      </x:c>
      <x:c r="O484" s="9" t="n">
        <x:f>COUNTIFS($A$7:$A$1734,A484)</x:f>
        <x:v>1</x:v>
      </x:c>
    </x:row>
    <x:row r="485">
      <x:c r="A485" s="9" t="str">
        <x:v>EV-AR-LF-B-A-TECH-4-B2-INT-G0-OG11</x:v>
      </x:c>
      <x:c r="B485" s="9" t="str">
        <x:v>EV-AR-LF-B-A-TECH-4-B2-INT-G0</x:v>
      </x:c>
      <x:c r="C485" s="9" t="str">
        <x:v>AR-LF-B-A-TECH-4-B2-INT-G0</x:v>
      </x:c>
      <x:c r="D485" s="9" t="str">
        <x:v>LF-B-A-TECH-4</x:v>
      </x:c>
      <x:c r="E485" s="9" t="str">
        <x:v>LF-B-A</x:v>
      </x:c>
      <x:c r="F485" s="9" t="str">
        <x:v>B2</x:v>
      </x:c>
      <x:c r="G485" s="9" t="str">
        <x:v>INT</x:v>
      </x:c>
      <x:c r="H485" s="9" t="str">
        <x:v>OG11</x:v>
      </x:c>
      <x:c r="I485" s="17" t="str">
        <x:v>Contradiction preservation</x:v>
      </x:c>
      <x:c r="J485" s="17" t="str">
        <x:v>primary-witness disagreement remains explicit and is never averaged away</x:v>
      </x:c>
      <x:c r="K485" s="17" t="str">
        <x:v>Dissent registrar</x:v>
      </x:c>
      <x:c r="L485" s="9" t="n">
        <x:v>0</x:v>
      </x:c>
      <x:c r="M485" s="9" t="n">
        <x:v>0</x:v>
      </x:c>
      <x:c r="N485" s="9" t="str">
        <x:v>OPEN / UNACCEPTED</x:v>
      </x:c>
      <x:c r="O485" s="9" t="n">
        <x:f>COUNTIFS($A$7:$A$1734,A485)</x:f>
        <x:v>1</x:v>
      </x:c>
    </x:row>
    <x:row r="486">
      <x:c r="A486" s="9" t="str">
        <x:v>EV-AR-LF-B-A-TECH-4-B2-INT-G0-OG12</x:v>
      </x:c>
      <x:c r="B486" s="9" t="str">
        <x:v>EV-AR-LF-B-A-TECH-4-B2-INT-G0</x:v>
      </x:c>
      <x:c r="C486" s="9" t="str">
        <x:v>AR-LF-B-A-TECH-4-B2-INT-G0</x:v>
      </x:c>
      <x:c r="D486" s="9" t="str">
        <x:v>LF-B-A-TECH-4</x:v>
      </x:c>
      <x:c r="E486" s="9" t="str">
        <x:v>LF-B-A</x:v>
      </x:c>
      <x:c r="F486" s="9" t="str">
        <x:v>B2</x:v>
      </x:c>
      <x:c r="G486" s="9" t="str">
        <x:v>INT</x:v>
      </x:c>
      <x:c r="H486" s="9" t="str">
        <x:v>OG12</x:v>
      </x:c>
      <x:c r="I486" s="17" t="str">
        <x:v>Independent replay</x:v>
      </x:c>
      <x:c r="J486" s="17" t="str">
        <x:v>a separated reader reconstructs the registered observables from sealed originals</x:v>
      </x:c>
      <x:c r="K486" s="17" t="str">
        <x:v>Replay court</x:v>
      </x:c>
      <x:c r="L486" s="9" t="n">
        <x:v>0</x:v>
      </x:c>
      <x:c r="M486" s="9" t="n">
        <x:v>0</x:v>
      </x:c>
      <x:c r="N486" s="9" t="str">
        <x:v>OPEN / UNACCEPTED</x:v>
      </x:c>
      <x:c r="O486" s="9" t="n">
        <x:f>COUNTIFS($A$7:$A$1734,A486)</x:f>
        <x:v>1</x:v>
      </x:c>
    </x:row>
    <x:row r="487">
      <x:c r="A487" s="9" t="str">
        <x:v>EV-AR-RT-B-C-TECH-4-B2-RCN-G0-OG01</x:v>
      </x:c>
      <x:c r="B487" s="9" t="str">
        <x:v>EV-AR-RT-B-C-TECH-4-B2-RCN-G0</x:v>
      </x:c>
      <x:c r="C487" s="9" t="str">
        <x:v>AR-RT-B-C-TECH-4-B2-RCN-G0</x:v>
      </x:c>
      <x:c r="D487" s="9" t="str">
        <x:v>RT-B-C-TECH-4</x:v>
      </x:c>
      <x:c r="E487" s="9" t="str">
        <x:v>RT-B-C</x:v>
      </x:c>
      <x:c r="F487" s="9" t="str">
        <x:v>B2</x:v>
      </x:c>
      <x:c r="G487" s="9" t="str">
        <x:v>RCN</x:v>
      </x:c>
      <x:c r="H487" s="9" t="str">
        <x:v>OG01</x:v>
      </x:c>
      <x:c r="I487" s="17" t="str">
        <x:v>Serial and event identity</x:v>
      </x:c>
      <x:c r="J487" s="17" t="str">
        <x:v>record resolves to the issued serial, generation and physical start</x:v>
      </x:c>
      <x:c r="K487" s="17" t="str">
        <x:v>Observation court</x:v>
      </x:c>
      <x:c r="L487" s="9" t="n">
        <x:v>0</x:v>
      </x:c>
      <x:c r="M487" s="9" t="n">
        <x:v>0</x:v>
      </x:c>
      <x:c r="N487" s="9" t="str">
        <x:v>OPEN / UNACCEPTED</x:v>
      </x:c>
      <x:c r="O487" s="9" t="n">
        <x:f>COUNTIFS($A$7:$A$1734,A487)</x:f>
        <x:v>1</x:v>
      </x:c>
    </x:row>
    <x:row r="488">
      <x:c r="A488" s="9" t="str">
        <x:v>EV-AR-RT-B-C-TECH-4-B2-RCN-G0-OG02</x:v>
      </x:c>
      <x:c r="B488" s="9" t="str">
        <x:v>EV-AR-RT-B-C-TECH-4-B2-RCN-G0</x:v>
      </x:c>
      <x:c r="C488" s="9" t="str">
        <x:v>AR-RT-B-C-TECH-4-B2-RCN-G0</x:v>
      </x:c>
      <x:c r="D488" s="9" t="str">
        <x:v>RT-B-C-TECH-4</x:v>
      </x:c>
      <x:c r="E488" s="9" t="str">
        <x:v>RT-B-C</x:v>
      </x:c>
      <x:c r="F488" s="9" t="str">
        <x:v>B2</x:v>
      </x:c>
      <x:c r="G488" s="9" t="str">
        <x:v>RCN</x:v>
      </x:c>
      <x:c r="H488" s="9" t="str">
        <x:v>OG02</x:v>
      </x:c>
      <x:c r="I488" s="17" t="str">
        <x:v>Time ancestry</x:v>
      </x:c>
      <x:c r="J488" s="17" t="str">
        <x:v>primary, witness and public event clocks retain declared offsets and drift</x:v>
      </x:c>
      <x:c r="K488" s="17" t="str">
        <x:v>Time authority</x:v>
      </x:c>
      <x:c r="L488" s="9" t="n">
        <x:v>0</x:v>
      </x:c>
      <x:c r="M488" s="9" t="n">
        <x:v>0</x:v>
      </x:c>
      <x:c r="N488" s="9" t="str">
        <x:v>OPEN / UNACCEPTED</x:v>
      </x:c>
      <x:c r="O488" s="9" t="n">
        <x:f>COUNTIFS($A$7:$A$1734,A488)</x:f>
        <x:v>1</x:v>
      </x:c>
    </x:row>
    <x:row r="489">
      <x:c r="A489" s="9" t="str">
        <x:v>EV-AR-RT-B-C-TECH-4-B2-RCN-G0-OG03</x:v>
      </x:c>
      <x:c r="B489" s="9" t="str">
        <x:v>EV-AR-RT-B-C-TECH-4-B2-RCN-G0</x:v>
      </x:c>
      <x:c r="C489" s="9" t="str">
        <x:v>AR-RT-B-C-TECH-4-B2-RCN-G0</x:v>
      </x:c>
      <x:c r="D489" s="9" t="str">
        <x:v>RT-B-C-TECH-4</x:v>
      </x:c>
      <x:c r="E489" s="9" t="str">
        <x:v>RT-B-C</x:v>
      </x:c>
      <x:c r="F489" s="9" t="str">
        <x:v>B2</x:v>
      </x:c>
      <x:c r="G489" s="9" t="str">
        <x:v>RCN</x:v>
      </x:c>
      <x:c r="H489" s="9" t="str">
        <x:v>OG03</x:v>
      </x:c>
      <x:c r="I489" s="17" t="str">
        <x:v>Calibration ancestry</x:v>
      </x:c>
      <x:c r="J489" s="17" t="str">
        <x:v>all reference, range and uncertainty states cover the live interval</x:v>
      </x:c>
      <x:c r="K489" s="17" t="str">
        <x:v>Metrology courts</x:v>
      </x:c>
      <x:c r="L489" s="9" t="n">
        <x:v>0</x:v>
      </x:c>
      <x:c r="M489" s="9" t="n">
        <x:v>0</x:v>
      </x:c>
      <x:c r="N489" s="9" t="str">
        <x:v>OPEN / UNACCEPTED</x:v>
      </x:c>
      <x:c r="O489" s="9" t="n">
        <x:f>COUNTIFS($A$7:$A$1734,A489)</x:f>
        <x:v>1</x:v>
      </x:c>
    </x:row>
    <x:row r="490">
      <x:c r="A490" s="9" t="str">
        <x:v>EV-AR-RT-B-C-TECH-4-B2-RCN-G0-OG04</x:v>
      </x:c>
      <x:c r="B490" s="9" t="str">
        <x:v>EV-AR-RT-B-C-TECH-4-B2-RCN-G0</x:v>
      </x:c>
      <x:c r="C490" s="9" t="str">
        <x:v>AR-RT-B-C-TECH-4-B2-RCN-G0</x:v>
      </x:c>
      <x:c r="D490" s="9" t="str">
        <x:v>RT-B-C-TECH-4</x:v>
      </x:c>
      <x:c r="E490" s="9" t="str">
        <x:v>RT-B-C</x:v>
      </x:c>
      <x:c r="F490" s="9" t="str">
        <x:v>B2</x:v>
      </x:c>
      <x:c r="G490" s="9" t="str">
        <x:v>RCN</x:v>
      </x:c>
      <x:c r="H490" s="9" t="str">
        <x:v>OG04</x:v>
      </x:c>
      <x:c r="I490" s="17" t="str">
        <x:v>Raw completeness</x:v>
      </x:c>
      <x:c r="J490" s="17" t="str">
        <x:v>missingness is enumerated without imputation or outcome-conditioned deletion</x:v>
      </x:c>
      <x:c r="K490" s="17" t="str">
        <x:v>Observation court</x:v>
      </x:c>
      <x:c r="L490" s="9" t="n">
        <x:v>0</x:v>
      </x:c>
      <x:c r="M490" s="9" t="n">
        <x:v>0</x:v>
      </x:c>
      <x:c r="N490" s="9" t="str">
        <x:v>OPEN / UNACCEPTED</x:v>
      </x:c>
      <x:c r="O490" s="9" t="n">
        <x:f>COUNTIFS($A$7:$A$1734,A490)</x:f>
        <x:v>1</x:v>
      </x:c>
    </x:row>
    <x:row r="491">
      <x:c r="A491" s="9" t="str">
        <x:v>EV-AR-RT-B-C-TECH-4-B2-RCN-G0-OG05</x:v>
      </x:c>
      <x:c r="B491" s="9" t="str">
        <x:v>EV-AR-RT-B-C-TECH-4-B2-RCN-G0</x:v>
      </x:c>
      <x:c r="C491" s="9" t="str">
        <x:v>AR-RT-B-C-TECH-4-B2-RCN-G0</x:v>
      </x:c>
      <x:c r="D491" s="9" t="str">
        <x:v>RT-B-C-TECH-4</x:v>
      </x:c>
      <x:c r="E491" s="9" t="str">
        <x:v>RT-B-C</x:v>
      </x:c>
      <x:c r="F491" s="9" t="str">
        <x:v>B2</x:v>
      </x:c>
      <x:c r="G491" s="9" t="str">
        <x:v>RCN</x:v>
      </x:c>
      <x:c r="H491" s="9" t="str">
        <x:v>OG05</x:v>
      </x:c>
      <x:c r="I491" s="17" t="str">
        <x:v>Primary provenance</x:v>
      </x:c>
      <x:c r="J491" s="17" t="str">
        <x:v>primary originals, hashes, keys and access history reconcile</x:v>
      </x:c>
      <x:c r="K491" s="17" t="str">
        <x:v>Primary custody</x:v>
      </x:c>
      <x:c r="L491" s="9" t="n">
        <x:v>0</x:v>
      </x:c>
      <x:c r="M491" s="9" t="n">
        <x:v>0</x:v>
      </x:c>
      <x:c r="N491" s="9" t="str">
        <x:v>OPEN / UNACCEPTED</x:v>
      </x:c>
      <x:c r="O491" s="9" t="n">
        <x:f>COUNTIFS($A$7:$A$1734,A491)</x:f>
        <x:v>1</x:v>
      </x:c>
    </x:row>
    <x:row r="492">
      <x:c r="A492" s="9" t="str">
        <x:v>EV-AR-RT-B-C-TECH-4-B2-RCN-G0-OG06</x:v>
      </x:c>
      <x:c r="B492" s="9" t="str">
        <x:v>EV-AR-RT-B-C-TECH-4-B2-RCN-G0</x:v>
      </x:c>
      <x:c r="C492" s="9" t="str">
        <x:v>AR-RT-B-C-TECH-4-B2-RCN-G0</x:v>
      </x:c>
      <x:c r="D492" s="9" t="str">
        <x:v>RT-B-C-TECH-4</x:v>
      </x:c>
      <x:c r="E492" s="9" t="str">
        <x:v>RT-B-C</x:v>
      </x:c>
      <x:c r="F492" s="9" t="str">
        <x:v>B2</x:v>
      </x:c>
      <x:c r="G492" s="9" t="str">
        <x:v>RCN</x:v>
      </x:c>
      <x:c r="H492" s="9" t="str">
        <x:v>OG06</x:v>
      </x:c>
      <x:c r="I492" s="17" t="str">
        <x:v>Witness provenance</x:v>
      </x:c>
      <x:c r="J492" s="17" t="str">
        <x:v>unlike witness originals, hashes, keys and access history reconcile</x:v>
      </x:c>
      <x:c r="K492" s="17" t="str">
        <x:v>Witness custody</x:v>
      </x:c>
      <x:c r="L492" s="9" t="n">
        <x:v>0</x:v>
      </x:c>
      <x:c r="M492" s="9" t="n">
        <x:v>0</x:v>
      </x:c>
      <x:c r="N492" s="9" t="str">
        <x:v>OPEN / UNACCEPTED</x:v>
      </x:c>
      <x:c r="O492" s="9" t="n">
        <x:f>COUNTIFS($A$7:$A$1734,A492)</x:f>
        <x:v>1</x:v>
      </x:c>
    </x:row>
    <x:row r="493">
      <x:c r="A493" s="9" t="str">
        <x:v>EV-AR-RT-B-C-TECH-4-B2-RCN-G0-OG07</x:v>
      </x:c>
      <x:c r="B493" s="9" t="str">
        <x:v>EV-AR-RT-B-C-TECH-4-B2-RCN-G0</x:v>
      </x:c>
      <x:c r="C493" s="9" t="str">
        <x:v>AR-RT-B-C-TECH-4-B2-RCN-G0</x:v>
      </x:c>
      <x:c r="D493" s="9" t="str">
        <x:v>RT-B-C-TECH-4</x:v>
      </x:c>
      <x:c r="E493" s="9" t="str">
        <x:v>RT-B-C</x:v>
      </x:c>
      <x:c r="F493" s="9" t="str">
        <x:v>B2</x:v>
      </x:c>
      <x:c r="G493" s="9" t="str">
        <x:v>RCN</x:v>
      </x:c>
      <x:c r="H493" s="9" t="str">
        <x:v>OG07</x:v>
      </x:c>
      <x:c r="I493" s="17" t="str">
        <x:v>Receiver denominator</x:v>
      </x:c>
      <x:c r="J493" s="17" t="str">
        <x:v>population, quantity, duration and exclusions match the frozen receipt</x:v>
      </x:c>
      <x:c r="K493" s="17" t="str">
        <x:v>Receiver court</x:v>
      </x:c>
      <x:c r="L493" s="9" t="n">
        <x:v>0</x:v>
      </x:c>
      <x:c r="M493" s="9" t="n">
        <x:v>0</x:v>
      </x:c>
      <x:c r="N493" s="9" t="str">
        <x:v>OPEN / UNACCEPTED</x:v>
      </x:c>
      <x:c r="O493" s="9" t="n">
        <x:f>COUNTIFS($A$7:$A$1734,A493)</x:f>
        <x:v>1</x:v>
      </x:c>
    </x:row>
    <x:row r="494">
      <x:c r="A494" s="9" t="str">
        <x:v>EV-AR-RT-B-C-TECH-4-B2-RCN-G0-OG08</x:v>
      </x:c>
      <x:c r="B494" s="9" t="str">
        <x:v>EV-AR-RT-B-C-TECH-4-B2-RCN-G0</x:v>
      </x:c>
      <x:c r="C494" s="9" t="str">
        <x:v>AR-RT-B-C-TECH-4-B2-RCN-G0</x:v>
      </x:c>
      <x:c r="D494" s="9" t="str">
        <x:v>RT-B-C-TECH-4</x:v>
      </x:c>
      <x:c r="E494" s="9" t="str">
        <x:v>RT-B-C</x:v>
      </x:c>
      <x:c r="F494" s="9" t="str">
        <x:v>B2</x:v>
      </x:c>
      <x:c r="G494" s="9" t="str">
        <x:v>RCN</x:v>
      </x:c>
      <x:c r="H494" s="9" t="str">
        <x:v>OG08</x:v>
      </x:c>
      <x:c r="I494" s="17" t="str">
        <x:v>Environment and boundary</x:v>
      </x:c>
      <x:c r="J494" s="17" t="str">
        <x:v>registered weather, water, ground, inlet and outlet states are retained</x:v>
      </x:c>
      <x:c r="K494" s="17" t="str">
        <x:v>Boundary court</x:v>
      </x:c>
      <x:c r="L494" s="9" t="n">
        <x:v>0</x:v>
      </x:c>
      <x:c r="M494" s="9" t="n">
        <x:v>0</x:v>
      </x:c>
      <x:c r="N494" s="9" t="str">
        <x:v>OPEN / UNACCEPTED</x:v>
      </x:c>
      <x:c r="O494" s="9" t="n">
        <x:f>COUNTIFS($A$7:$A$1734,A494)</x:f>
        <x:v>1</x:v>
      </x:c>
    </x:row>
    <x:row r="495">
      <x:c r="A495" s="9" t="str">
        <x:v>EV-AR-RT-B-C-TECH-4-B2-RCN-G0-OG09</x:v>
      </x:c>
      <x:c r="B495" s="9" t="str">
        <x:v>EV-AR-RT-B-C-TECH-4-B2-RCN-G0</x:v>
      </x:c>
      <x:c r="C495" s="9" t="str">
        <x:v>AR-RT-B-C-TECH-4-B2-RCN-G0</x:v>
      </x:c>
      <x:c r="D495" s="9" t="str">
        <x:v>RT-B-C-TECH-4</x:v>
      </x:c>
      <x:c r="E495" s="9" t="str">
        <x:v>RT-B-C</x:v>
      </x:c>
      <x:c r="F495" s="9" t="str">
        <x:v>B2</x:v>
      </x:c>
      <x:c r="G495" s="9" t="str">
        <x:v>RCN</x:v>
      </x:c>
      <x:c r="H495" s="9" t="str">
        <x:v>OG09</x:v>
      </x:c>
      <x:c r="I495" s="17" t="str">
        <x:v>Intervention account</x:v>
      </x:c>
      <x:c r="J495" s="17" t="str">
        <x:v>all stop, rescue, operator and public-protection actions remain timestamped</x:v>
      </x:c>
      <x:c r="K495" s="17" t="str">
        <x:v>Safety record court</x:v>
      </x:c>
      <x:c r="L495" s="9" t="n">
        <x:v>0</x:v>
      </x:c>
      <x:c r="M495" s="9" t="n">
        <x:v>0</x:v>
      </x:c>
      <x:c r="N495" s="9" t="str">
        <x:v>OPEN / UNACCEPTED</x:v>
      </x:c>
      <x:c r="O495" s="9" t="n">
        <x:f>COUNTIFS($A$7:$A$1734,A495)</x:f>
        <x:v>1</x:v>
      </x:c>
    </x:row>
    <x:row r="496">
      <x:c r="A496" s="9" t="str">
        <x:v>EV-AR-RT-B-C-TECH-4-B2-RCN-G0-OG10</x:v>
      </x:c>
      <x:c r="B496" s="9" t="str">
        <x:v>EV-AR-RT-B-C-TECH-4-B2-RCN-G0</x:v>
      </x:c>
      <x:c r="C496" s="9" t="str">
        <x:v>AR-RT-B-C-TECH-4-B2-RCN-G0</x:v>
      </x:c>
      <x:c r="D496" s="9" t="str">
        <x:v>RT-B-C-TECH-4</x:v>
      </x:c>
      <x:c r="E496" s="9" t="str">
        <x:v>RT-B-C</x:v>
      </x:c>
      <x:c r="F496" s="9" t="str">
        <x:v>B2</x:v>
      </x:c>
      <x:c r="G496" s="9" t="str">
        <x:v>RCN</x:v>
      </x:c>
      <x:c r="H496" s="9" t="str">
        <x:v>OG10</x:v>
      </x:c>
      <x:c r="I496" s="17" t="str">
        <x:v>Uncertainty statement</x:v>
      </x:c>
      <x:c r="J496" s="17" t="str">
        <x:v>range, censoring, resolution and correlation are declared before judgment</x:v>
      </x:c>
      <x:c r="K496" s="17" t="str">
        <x:v>Uncertainty authority</x:v>
      </x:c>
      <x:c r="L496" s="9" t="n">
        <x:v>0</x:v>
      </x:c>
      <x:c r="M496" s="9" t="n">
        <x:v>0</x:v>
      </x:c>
      <x:c r="N496" s="9" t="str">
        <x:v>OPEN / UNACCEPTED</x:v>
      </x:c>
      <x:c r="O496" s="9" t="n">
        <x:f>COUNTIFS($A$7:$A$1734,A496)</x:f>
        <x:v>1</x:v>
      </x:c>
    </x:row>
    <x:row r="497">
      <x:c r="A497" s="9" t="str">
        <x:v>EV-AR-RT-B-C-TECH-4-B2-RCN-G0-OG11</x:v>
      </x:c>
      <x:c r="B497" s="9" t="str">
        <x:v>EV-AR-RT-B-C-TECH-4-B2-RCN-G0</x:v>
      </x:c>
      <x:c r="C497" s="9" t="str">
        <x:v>AR-RT-B-C-TECH-4-B2-RCN-G0</x:v>
      </x:c>
      <x:c r="D497" s="9" t="str">
        <x:v>RT-B-C-TECH-4</x:v>
      </x:c>
      <x:c r="E497" s="9" t="str">
        <x:v>RT-B-C</x:v>
      </x:c>
      <x:c r="F497" s="9" t="str">
        <x:v>B2</x:v>
      </x:c>
      <x:c r="G497" s="9" t="str">
        <x:v>RCN</x:v>
      </x:c>
      <x:c r="H497" s="9" t="str">
        <x:v>OG11</x:v>
      </x:c>
      <x:c r="I497" s="17" t="str">
        <x:v>Contradiction preservation</x:v>
      </x:c>
      <x:c r="J497" s="17" t="str">
        <x:v>primary-witness disagreement remains explicit and is never averaged away</x:v>
      </x:c>
      <x:c r="K497" s="17" t="str">
        <x:v>Dissent registrar</x:v>
      </x:c>
      <x:c r="L497" s="9" t="n">
        <x:v>0</x:v>
      </x:c>
      <x:c r="M497" s="9" t="n">
        <x:v>0</x:v>
      </x:c>
      <x:c r="N497" s="9" t="str">
        <x:v>OPEN / UNACCEPTED</x:v>
      </x:c>
      <x:c r="O497" s="9" t="n">
        <x:f>COUNTIFS($A$7:$A$1734,A497)</x:f>
        <x:v>1</x:v>
      </x:c>
    </x:row>
    <x:row r="498">
      <x:c r="A498" s="9" t="str">
        <x:v>EV-AR-RT-B-C-TECH-4-B2-RCN-G0-OG12</x:v>
      </x:c>
      <x:c r="B498" s="9" t="str">
        <x:v>EV-AR-RT-B-C-TECH-4-B2-RCN-G0</x:v>
      </x:c>
      <x:c r="C498" s="9" t="str">
        <x:v>AR-RT-B-C-TECH-4-B2-RCN-G0</x:v>
      </x:c>
      <x:c r="D498" s="9" t="str">
        <x:v>RT-B-C-TECH-4</x:v>
      </x:c>
      <x:c r="E498" s="9" t="str">
        <x:v>RT-B-C</x:v>
      </x:c>
      <x:c r="F498" s="9" t="str">
        <x:v>B2</x:v>
      </x:c>
      <x:c r="G498" s="9" t="str">
        <x:v>RCN</x:v>
      </x:c>
      <x:c r="H498" s="9" t="str">
        <x:v>OG12</x:v>
      </x:c>
      <x:c r="I498" s="17" t="str">
        <x:v>Independent replay</x:v>
      </x:c>
      <x:c r="J498" s="17" t="str">
        <x:v>a separated reader reconstructs the registered observables from sealed originals</x:v>
      </x:c>
      <x:c r="K498" s="17" t="str">
        <x:v>Replay court</x:v>
      </x:c>
      <x:c r="L498" s="9" t="n">
        <x:v>0</x:v>
      </x:c>
      <x:c r="M498" s="9" t="n">
        <x:v>0</x:v>
      </x:c>
      <x:c r="N498" s="9" t="str">
        <x:v>OPEN / UNACCEPTED</x:v>
      </x:c>
      <x:c r="O498" s="9" t="n">
        <x:f>COUNTIFS($A$7:$A$1734,A498)</x:f>
        <x:v>1</x:v>
      </x:c>
    </x:row>
    <x:row r="499">
      <x:c r="A499" s="9" t="str">
        <x:v>EV-AR-RT-B-C-TECH-2-B2-INT-G0-OG01</x:v>
      </x:c>
      <x:c r="B499" s="9" t="str">
        <x:v>EV-AR-RT-B-C-TECH-2-B2-INT-G0</x:v>
      </x:c>
      <x:c r="C499" s="9" t="str">
        <x:v>AR-RT-B-C-TECH-2-B2-INT-G0</x:v>
      </x:c>
      <x:c r="D499" s="9" t="str">
        <x:v>RT-B-C-TECH-2</x:v>
      </x:c>
      <x:c r="E499" s="9" t="str">
        <x:v>RT-B-C</x:v>
      </x:c>
      <x:c r="F499" s="9" t="str">
        <x:v>B2</x:v>
      </x:c>
      <x:c r="G499" s="9" t="str">
        <x:v>INT</x:v>
      </x:c>
      <x:c r="H499" s="9" t="str">
        <x:v>OG01</x:v>
      </x:c>
      <x:c r="I499" s="17" t="str">
        <x:v>Serial and event identity</x:v>
      </x:c>
      <x:c r="J499" s="17" t="str">
        <x:v>record resolves to the issued serial, generation and physical start</x:v>
      </x:c>
      <x:c r="K499" s="17" t="str">
        <x:v>Observation court</x:v>
      </x:c>
      <x:c r="L499" s="9" t="n">
        <x:v>0</x:v>
      </x:c>
      <x:c r="M499" s="9" t="n">
        <x:v>0</x:v>
      </x:c>
      <x:c r="N499" s="9" t="str">
        <x:v>OPEN / UNACCEPTED</x:v>
      </x:c>
      <x:c r="O499" s="9" t="n">
        <x:f>COUNTIFS($A$7:$A$1734,A499)</x:f>
        <x:v>1</x:v>
      </x:c>
    </x:row>
    <x:row r="500">
      <x:c r="A500" s="9" t="str">
        <x:v>EV-AR-RT-B-C-TECH-2-B2-INT-G0-OG02</x:v>
      </x:c>
      <x:c r="B500" s="9" t="str">
        <x:v>EV-AR-RT-B-C-TECH-2-B2-INT-G0</x:v>
      </x:c>
      <x:c r="C500" s="9" t="str">
        <x:v>AR-RT-B-C-TECH-2-B2-INT-G0</x:v>
      </x:c>
      <x:c r="D500" s="9" t="str">
        <x:v>RT-B-C-TECH-2</x:v>
      </x:c>
      <x:c r="E500" s="9" t="str">
        <x:v>RT-B-C</x:v>
      </x:c>
      <x:c r="F500" s="9" t="str">
        <x:v>B2</x:v>
      </x:c>
      <x:c r="G500" s="9" t="str">
        <x:v>INT</x:v>
      </x:c>
      <x:c r="H500" s="9" t="str">
        <x:v>OG02</x:v>
      </x:c>
      <x:c r="I500" s="17" t="str">
        <x:v>Time ancestry</x:v>
      </x:c>
      <x:c r="J500" s="17" t="str">
        <x:v>primary, witness and public event clocks retain declared offsets and drift</x:v>
      </x:c>
      <x:c r="K500" s="17" t="str">
        <x:v>Time authority</x:v>
      </x:c>
      <x:c r="L500" s="9" t="n">
        <x:v>0</x:v>
      </x:c>
      <x:c r="M500" s="9" t="n">
        <x:v>0</x:v>
      </x:c>
      <x:c r="N500" s="9" t="str">
        <x:v>OPEN / UNACCEPTED</x:v>
      </x:c>
      <x:c r="O500" s="9" t="n">
        <x:f>COUNTIFS($A$7:$A$1734,A500)</x:f>
        <x:v>1</x:v>
      </x:c>
    </x:row>
    <x:row r="501">
      <x:c r="A501" s="9" t="str">
        <x:v>EV-AR-RT-B-C-TECH-2-B2-INT-G0-OG03</x:v>
      </x:c>
      <x:c r="B501" s="9" t="str">
        <x:v>EV-AR-RT-B-C-TECH-2-B2-INT-G0</x:v>
      </x:c>
      <x:c r="C501" s="9" t="str">
        <x:v>AR-RT-B-C-TECH-2-B2-INT-G0</x:v>
      </x:c>
      <x:c r="D501" s="9" t="str">
        <x:v>RT-B-C-TECH-2</x:v>
      </x:c>
      <x:c r="E501" s="9" t="str">
        <x:v>RT-B-C</x:v>
      </x:c>
      <x:c r="F501" s="9" t="str">
        <x:v>B2</x:v>
      </x:c>
      <x:c r="G501" s="9" t="str">
        <x:v>INT</x:v>
      </x:c>
      <x:c r="H501" s="9" t="str">
        <x:v>OG03</x:v>
      </x:c>
      <x:c r="I501" s="17" t="str">
        <x:v>Calibration ancestry</x:v>
      </x:c>
      <x:c r="J501" s="17" t="str">
        <x:v>all reference, range and uncertainty states cover the live interval</x:v>
      </x:c>
      <x:c r="K501" s="17" t="str">
        <x:v>Metrology courts</x:v>
      </x:c>
      <x:c r="L501" s="9" t="n">
        <x:v>0</x:v>
      </x:c>
      <x:c r="M501" s="9" t="n">
        <x:v>0</x:v>
      </x:c>
      <x:c r="N501" s="9" t="str">
        <x:v>OPEN / UNACCEPTED</x:v>
      </x:c>
      <x:c r="O501" s="9" t="n">
        <x:f>COUNTIFS($A$7:$A$1734,A501)</x:f>
        <x:v>1</x:v>
      </x:c>
    </x:row>
    <x:row r="502">
      <x:c r="A502" s="9" t="str">
        <x:v>EV-AR-RT-B-C-TECH-2-B2-INT-G0-OG04</x:v>
      </x:c>
      <x:c r="B502" s="9" t="str">
        <x:v>EV-AR-RT-B-C-TECH-2-B2-INT-G0</x:v>
      </x:c>
      <x:c r="C502" s="9" t="str">
        <x:v>AR-RT-B-C-TECH-2-B2-INT-G0</x:v>
      </x:c>
      <x:c r="D502" s="9" t="str">
        <x:v>RT-B-C-TECH-2</x:v>
      </x:c>
      <x:c r="E502" s="9" t="str">
        <x:v>RT-B-C</x:v>
      </x:c>
      <x:c r="F502" s="9" t="str">
        <x:v>B2</x:v>
      </x:c>
      <x:c r="G502" s="9" t="str">
        <x:v>INT</x:v>
      </x:c>
      <x:c r="H502" s="9" t="str">
        <x:v>OG04</x:v>
      </x:c>
      <x:c r="I502" s="17" t="str">
        <x:v>Raw completeness</x:v>
      </x:c>
      <x:c r="J502" s="17" t="str">
        <x:v>missingness is enumerated without imputation or outcome-conditioned deletion</x:v>
      </x:c>
      <x:c r="K502" s="17" t="str">
        <x:v>Observation court</x:v>
      </x:c>
      <x:c r="L502" s="9" t="n">
        <x:v>0</x:v>
      </x:c>
      <x:c r="M502" s="9" t="n">
        <x:v>0</x:v>
      </x:c>
      <x:c r="N502" s="9" t="str">
        <x:v>OPEN / UNACCEPTED</x:v>
      </x:c>
      <x:c r="O502" s="9" t="n">
        <x:f>COUNTIFS($A$7:$A$1734,A502)</x:f>
        <x:v>1</x:v>
      </x:c>
    </x:row>
    <x:row r="503">
      <x:c r="A503" s="9" t="str">
        <x:v>EV-AR-RT-B-C-TECH-2-B2-INT-G0-OG05</x:v>
      </x:c>
      <x:c r="B503" s="9" t="str">
        <x:v>EV-AR-RT-B-C-TECH-2-B2-INT-G0</x:v>
      </x:c>
      <x:c r="C503" s="9" t="str">
        <x:v>AR-RT-B-C-TECH-2-B2-INT-G0</x:v>
      </x:c>
      <x:c r="D503" s="9" t="str">
        <x:v>RT-B-C-TECH-2</x:v>
      </x:c>
      <x:c r="E503" s="9" t="str">
        <x:v>RT-B-C</x:v>
      </x:c>
      <x:c r="F503" s="9" t="str">
        <x:v>B2</x:v>
      </x:c>
      <x:c r="G503" s="9" t="str">
        <x:v>INT</x:v>
      </x:c>
      <x:c r="H503" s="9" t="str">
        <x:v>OG05</x:v>
      </x:c>
      <x:c r="I503" s="17" t="str">
        <x:v>Primary provenance</x:v>
      </x:c>
      <x:c r="J503" s="17" t="str">
        <x:v>primary originals, hashes, keys and access history reconcile</x:v>
      </x:c>
      <x:c r="K503" s="17" t="str">
        <x:v>Primary custody</x:v>
      </x:c>
      <x:c r="L503" s="9" t="n">
        <x:v>0</x:v>
      </x:c>
      <x:c r="M503" s="9" t="n">
        <x:v>0</x:v>
      </x:c>
      <x:c r="N503" s="9" t="str">
        <x:v>OPEN / UNACCEPTED</x:v>
      </x:c>
      <x:c r="O503" s="9" t="n">
        <x:f>COUNTIFS($A$7:$A$1734,A503)</x:f>
        <x:v>1</x:v>
      </x:c>
    </x:row>
    <x:row r="504">
      <x:c r="A504" s="9" t="str">
        <x:v>EV-AR-RT-B-C-TECH-2-B2-INT-G0-OG06</x:v>
      </x:c>
      <x:c r="B504" s="9" t="str">
        <x:v>EV-AR-RT-B-C-TECH-2-B2-INT-G0</x:v>
      </x:c>
      <x:c r="C504" s="9" t="str">
        <x:v>AR-RT-B-C-TECH-2-B2-INT-G0</x:v>
      </x:c>
      <x:c r="D504" s="9" t="str">
        <x:v>RT-B-C-TECH-2</x:v>
      </x:c>
      <x:c r="E504" s="9" t="str">
        <x:v>RT-B-C</x:v>
      </x:c>
      <x:c r="F504" s="9" t="str">
        <x:v>B2</x:v>
      </x:c>
      <x:c r="G504" s="9" t="str">
        <x:v>INT</x:v>
      </x:c>
      <x:c r="H504" s="9" t="str">
        <x:v>OG06</x:v>
      </x:c>
      <x:c r="I504" s="17" t="str">
        <x:v>Witness provenance</x:v>
      </x:c>
      <x:c r="J504" s="17" t="str">
        <x:v>unlike witness originals, hashes, keys and access history reconcile</x:v>
      </x:c>
      <x:c r="K504" s="17" t="str">
        <x:v>Witness custody</x:v>
      </x:c>
      <x:c r="L504" s="9" t="n">
        <x:v>0</x:v>
      </x:c>
      <x:c r="M504" s="9" t="n">
        <x:v>0</x:v>
      </x:c>
      <x:c r="N504" s="9" t="str">
        <x:v>OPEN / UNACCEPTED</x:v>
      </x:c>
      <x:c r="O504" s="9" t="n">
        <x:f>COUNTIFS($A$7:$A$1734,A504)</x:f>
        <x:v>1</x:v>
      </x:c>
    </x:row>
    <x:row r="505">
      <x:c r="A505" s="9" t="str">
        <x:v>EV-AR-RT-B-C-TECH-2-B2-INT-G0-OG07</x:v>
      </x:c>
      <x:c r="B505" s="9" t="str">
        <x:v>EV-AR-RT-B-C-TECH-2-B2-INT-G0</x:v>
      </x:c>
      <x:c r="C505" s="9" t="str">
        <x:v>AR-RT-B-C-TECH-2-B2-INT-G0</x:v>
      </x:c>
      <x:c r="D505" s="9" t="str">
        <x:v>RT-B-C-TECH-2</x:v>
      </x:c>
      <x:c r="E505" s="9" t="str">
        <x:v>RT-B-C</x:v>
      </x:c>
      <x:c r="F505" s="9" t="str">
        <x:v>B2</x:v>
      </x:c>
      <x:c r="G505" s="9" t="str">
        <x:v>INT</x:v>
      </x:c>
      <x:c r="H505" s="9" t="str">
        <x:v>OG07</x:v>
      </x:c>
      <x:c r="I505" s="17" t="str">
        <x:v>Receiver denominator</x:v>
      </x:c>
      <x:c r="J505" s="17" t="str">
        <x:v>population, quantity, duration and exclusions match the frozen receipt</x:v>
      </x:c>
      <x:c r="K505" s="17" t="str">
        <x:v>Receiver court</x:v>
      </x:c>
      <x:c r="L505" s="9" t="n">
        <x:v>0</x:v>
      </x:c>
      <x:c r="M505" s="9" t="n">
        <x:v>0</x:v>
      </x:c>
      <x:c r="N505" s="9" t="str">
        <x:v>OPEN / UNACCEPTED</x:v>
      </x:c>
      <x:c r="O505" s="9" t="n">
        <x:f>COUNTIFS($A$7:$A$1734,A505)</x:f>
        <x:v>1</x:v>
      </x:c>
    </x:row>
    <x:row r="506">
      <x:c r="A506" s="9" t="str">
        <x:v>EV-AR-RT-B-C-TECH-2-B2-INT-G0-OG08</x:v>
      </x:c>
      <x:c r="B506" s="9" t="str">
        <x:v>EV-AR-RT-B-C-TECH-2-B2-INT-G0</x:v>
      </x:c>
      <x:c r="C506" s="9" t="str">
        <x:v>AR-RT-B-C-TECH-2-B2-INT-G0</x:v>
      </x:c>
      <x:c r="D506" s="9" t="str">
        <x:v>RT-B-C-TECH-2</x:v>
      </x:c>
      <x:c r="E506" s="9" t="str">
        <x:v>RT-B-C</x:v>
      </x:c>
      <x:c r="F506" s="9" t="str">
        <x:v>B2</x:v>
      </x:c>
      <x:c r="G506" s="9" t="str">
        <x:v>INT</x:v>
      </x:c>
      <x:c r="H506" s="9" t="str">
        <x:v>OG08</x:v>
      </x:c>
      <x:c r="I506" s="17" t="str">
        <x:v>Environment and boundary</x:v>
      </x:c>
      <x:c r="J506" s="17" t="str">
        <x:v>registered weather, water, ground, inlet and outlet states are retained</x:v>
      </x:c>
      <x:c r="K506" s="17" t="str">
        <x:v>Boundary court</x:v>
      </x:c>
      <x:c r="L506" s="9" t="n">
        <x:v>0</x:v>
      </x:c>
      <x:c r="M506" s="9" t="n">
        <x:v>0</x:v>
      </x:c>
      <x:c r="N506" s="9" t="str">
        <x:v>OPEN / UNACCEPTED</x:v>
      </x:c>
      <x:c r="O506" s="9" t="n">
        <x:f>COUNTIFS($A$7:$A$1734,A506)</x:f>
        <x:v>1</x:v>
      </x:c>
    </x:row>
    <x:row r="507">
      <x:c r="A507" s="9" t="str">
        <x:v>EV-AR-RT-B-C-TECH-2-B2-INT-G0-OG09</x:v>
      </x:c>
      <x:c r="B507" s="9" t="str">
        <x:v>EV-AR-RT-B-C-TECH-2-B2-INT-G0</x:v>
      </x:c>
      <x:c r="C507" s="9" t="str">
        <x:v>AR-RT-B-C-TECH-2-B2-INT-G0</x:v>
      </x:c>
      <x:c r="D507" s="9" t="str">
        <x:v>RT-B-C-TECH-2</x:v>
      </x:c>
      <x:c r="E507" s="9" t="str">
        <x:v>RT-B-C</x:v>
      </x:c>
      <x:c r="F507" s="9" t="str">
        <x:v>B2</x:v>
      </x:c>
      <x:c r="G507" s="9" t="str">
        <x:v>INT</x:v>
      </x:c>
      <x:c r="H507" s="9" t="str">
        <x:v>OG09</x:v>
      </x:c>
      <x:c r="I507" s="17" t="str">
        <x:v>Intervention account</x:v>
      </x:c>
      <x:c r="J507" s="17" t="str">
        <x:v>all stop, rescue, operator and public-protection actions remain timestamped</x:v>
      </x:c>
      <x:c r="K507" s="17" t="str">
        <x:v>Safety record court</x:v>
      </x:c>
      <x:c r="L507" s="9" t="n">
        <x:v>0</x:v>
      </x:c>
      <x:c r="M507" s="9" t="n">
        <x:v>0</x:v>
      </x:c>
      <x:c r="N507" s="9" t="str">
        <x:v>OPEN / UNACCEPTED</x:v>
      </x:c>
      <x:c r="O507" s="9" t="n">
        <x:f>COUNTIFS($A$7:$A$1734,A507)</x:f>
        <x:v>1</x:v>
      </x:c>
    </x:row>
    <x:row r="508">
      <x:c r="A508" s="9" t="str">
        <x:v>EV-AR-RT-B-C-TECH-2-B2-INT-G0-OG10</x:v>
      </x:c>
      <x:c r="B508" s="9" t="str">
        <x:v>EV-AR-RT-B-C-TECH-2-B2-INT-G0</x:v>
      </x:c>
      <x:c r="C508" s="9" t="str">
        <x:v>AR-RT-B-C-TECH-2-B2-INT-G0</x:v>
      </x:c>
      <x:c r="D508" s="9" t="str">
        <x:v>RT-B-C-TECH-2</x:v>
      </x:c>
      <x:c r="E508" s="9" t="str">
        <x:v>RT-B-C</x:v>
      </x:c>
      <x:c r="F508" s="9" t="str">
        <x:v>B2</x:v>
      </x:c>
      <x:c r="G508" s="9" t="str">
        <x:v>INT</x:v>
      </x:c>
      <x:c r="H508" s="9" t="str">
        <x:v>OG10</x:v>
      </x:c>
      <x:c r="I508" s="17" t="str">
        <x:v>Uncertainty statement</x:v>
      </x:c>
      <x:c r="J508" s="17" t="str">
        <x:v>range, censoring, resolution and correlation are declared before judgment</x:v>
      </x:c>
      <x:c r="K508" s="17" t="str">
        <x:v>Uncertainty authority</x:v>
      </x:c>
      <x:c r="L508" s="9" t="n">
        <x:v>0</x:v>
      </x:c>
      <x:c r="M508" s="9" t="n">
        <x:v>0</x:v>
      </x:c>
      <x:c r="N508" s="9" t="str">
        <x:v>OPEN / UNACCEPTED</x:v>
      </x:c>
      <x:c r="O508" s="9" t="n">
        <x:f>COUNTIFS($A$7:$A$1734,A508)</x:f>
        <x:v>1</x:v>
      </x:c>
    </x:row>
    <x:row r="509">
      <x:c r="A509" s="9" t="str">
        <x:v>EV-AR-RT-B-C-TECH-2-B2-INT-G0-OG11</x:v>
      </x:c>
      <x:c r="B509" s="9" t="str">
        <x:v>EV-AR-RT-B-C-TECH-2-B2-INT-G0</x:v>
      </x:c>
      <x:c r="C509" s="9" t="str">
        <x:v>AR-RT-B-C-TECH-2-B2-INT-G0</x:v>
      </x:c>
      <x:c r="D509" s="9" t="str">
        <x:v>RT-B-C-TECH-2</x:v>
      </x:c>
      <x:c r="E509" s="9" t="str">
        <x:v>RT-B-C</x:v>
      </x:c>
      <x:c r="F509" s="9" t="str">
        <x:v>B2</x:v>
      </x:c>
      <x:c r="G509" s="9" t="str">
        <x:v>INT</x:v>
      </x:c>
      <x:c r="H509" s="9" t="str">
        <x:v>OG11</x:v>
      </x:c>
      <x:c r="I509" s="17" t="str">
        <x:v>Contradiction preservation</x:v>
      </x:c>
      <x:c r="J509" s="17" t="str">
        <x:v>primary-witness disagreement remains explicit and is never averaged away</x:v>
      </x:c>
      <x:c r="K509" s="17" t="str">
        <x:v>Dissent registrar</x:v>
      </x:c>
      <x:c r="L509" s="9" t="n">
        <x:v>0</x:v>
      </x:c>
      <x:c r="M509" s="9" t="n">
        <x:v>0</x:v>
      </x:c>
      <x:c r="N509" s="9" t="str">
        <x:v>OPEN / UNACCEPTED</x:v>
      </x:c>
      <x:c r="O509" s="9" t="n">
        <x:f>COUNTIFS($A$7:$A$1734,A509)</x:f>
        <x:v>1</x:v>
      </x:c>
    </x:row>
    <x:row r="510">
      <x:c r="A510" s="9" t="str">
        <x:v>EV-AR-RT-B-C-TECH-2-B2-INT-G0-OG12</x:v>
      </x:c>
      <x:c r="B510" s="9" t="str">
        <x:v>EV-AR-RT-B-C-TECH-2-B2-INT-G0</x:v>
      </x:c>
      <x:c r="C510" s="9" t="str">
        <x:v>AR-RT-B-C-TECH-2-B2-INT-G0</x:v>
      </x:c>
      <x:c r="D510" s="9" t="str">
        <x:v>RT-B-C-TECH-2</x:v>
      </x:c>
      <x:c r="E510" s="9" t="str">
        <x:v>RT-B-C</x:v>
      </x:c>
      <x:c r="F510" s="9" t="str">
        <x:v>B2</x:v>
      </x:c>
      <x:c r="G510" s="9" t="str">
        <x:v>INT</x:v>
      </x:c>
      <x:c r="H510" s="9" t="str">
        <x:v>OG12</x:v>
      </x:c>
      <x:c r="I510" s="17" t="str">
        <x:v>Independent replay</x:v>
      </x:c>
      <x:c r="J510" s="17" t="str">
        <x:v>a separated reader reconstructs the registered observables from sealed originals</x:v>
      </x:c>
      <x:c r="K510" s="17" t="str">
        <x:v>Replay court</x:v>
      </x:c>
      <x:c r="L510" s="9" t="n">
        <x:v>0</x:v>
      </x:c>
      <x:c r="M510" s="9" t="n">
        <x:v>0</x:v>
      </x:c>
      <x:c r="N510" s="9" t="str">
        <x:v>OPEN / UNACCEPTED</x:v>
      </x:c>
      <x:c r="O510" s="9" t="n">
        <x:f>COUNTIFS($A$7:$A$1734,A510)</x:f>
        <x:v>1</x:v>
      </x:c>
    </x:row>
    <x:row r="511">
      <x:c r="A511" s="9" t="str">
        <x:v>EV-AR-CT-C-B-TECH-1-B1-INT-G0-OG01</x:v>
      </x:c>
      <x:c r="B511" s="9" t="str">
        <x:v>EV-AR-CT-C-B-TECH-1-B1-INT-G0</x:v>
      </x:c>
      <x:c r="C511" s="9" t="str">
        <x:v>AR-CT-C-B-TECH-1-B1-INT-G0</x:v>
      </x:c>
      <x:c r="D511" s="9" t="str">
        <x:v>CT-C-B-TECH-1</x:v>
      </x:c>
      <x:c r="E511" s="9" t="str">
        <x:v>CT-C-B</x:v>
      </x:c>
      <x:c r="F511" s="9" t="str">
        <x:v>B1</x:v>
      </x:c>
      <x:c r="G511" s="9" t="str">
        <x:v>INT</x:v>
      </x:c>
      <x:c r="H511" s="9" t="str">
        <x:v>OG01</x:v>
      </x:c>
      <x:c r="I511" s="17" t="str">
        <x:v>Serial and event identity</x:v>
      </x:c>
      <x:c r="J511" s="17" t="str">
        <x:v>record resolves to the issued serial, generation and physical start</x:v>
      </x:c>
      <x:c r="K511" s="17" t="str">
        <x:v>Observation court</x:v>
      </x:c>
      <x:c r="L511" s="9" t="n">
        <x:v>0</x:v>
      </x:c>
      <x:c r="M511" s="9" t="n">
        <x:v>0</x:v>
      </x:c>
      <x:c r="N511" s="9" t="str">
        <x:v>OPEN / UNACCEPTED</x:v>
      </x:c>
      <x:c r="O511" s="9" t="n">
        <x:f>COUNTIFS($A$7:$A$1734,A511)</x:f>
        <x:v>1</x:v>
      </x:c>
    </x:row>
    <x:row r="512">
      <x:c r="A512" s="9" t="str">
        <x:v>EV-AR-CT-C-B-TECH-1-B1-INT-G0-OG02</x:v>
      </x:c>
      <x:c r="B512" s="9" t="str">
        <x:v>EV-AR-CT-C-B-TECH-1-B1-INT-G0</x:v>
      </x:c>
      <x:c r="C512" s="9" t="str">
        <x:v>AR-CT-C-B-TECH-1-B1-INT-G0</x:v>
      </x:c>
      <x:c r="D512" s="9" t="str">
        <x:v>CT-C-B-TECH-1</x:v>
      </x:c>
      <x:c r="E512" s="9" t="str">
        <x:v>CT-C-B</x:v>
      </x:c>
      <x:c r="F512" s="9" t="str">
        <x:v>B1</x:v>
      </x:c>
      <x:c r="G512" s="9" t="str">
        <x:v>INT</x:v>
      </x:c>
      <x:c r="H512" s="9" t="str">
        <x:v>OG02</x:v>
      </x:c>
      <x:c r="I512" s="17" t="str">
        <x:v>Time ancestry</x:v>
      </x:c>
      <x:c r="J512" s="17" t="str">
        <x:v>primary, witness and public event clocks retain declared offsets and drift</x:v>
      </x:c>
      <x:c r="K512" s="17" t="str">
        <x:v>Time authority</x:v>
      </x:c>
      <x:c r="L512" s="9" t="n">
        <x:v>0</x:v>
      </x:c>
      <x:c r="M512" s="9" t="n">
        <x:v>0</x:v>
      </x:c>
      <x:c r="N512" s="9" t="str">
        <x:v>OPEN / UNACCEPTED</x:v>
      </x:c>
      <x:c r="O512" s="9" t="n">
        <x:f>COUNTIFS($A$7:$A$1734,A512)</x:f>
        <x:v>1</x:v>
      </x:c>
    </x:row>
    <x:row r="513">
      <x:c r="A513" s="9" t="str">
        <x:v>EV-AR-CT-C-B-TECH-1-B1-INT-G0-OG03</x:v>
      </x:c>
      <x:c r="B513" s="9" t="str">
        <x:v>EV-AR-CT-C-B-TECH-1-B1-INT-G0</x:v>
      </x:c>
      <x:c r="C513" s="9" t="str">
        <x:v>AR-CT-C-B-TECH-1-B1-INT-G0</x:v>
      </x:c>
      <x:c r="D513" s="9" t="str">
        <x:v>CT-C-B-TECH-1</x:v>
      </x:c>
      <x:c r="E513" s="9" t="str">
        <x:v>CT-C-B</x:v>
      </x:c>
      <x:c r="F513" s="9" t="str">
        <x:v>B1</x:v>
      </x:c>
      <x:c r="G513" s="9" t="str">
        <x:v>INT</x:v>
      </x:c>
      <x:c r="H513" s="9" t="str">
        <x:v>OG03</x:v>
      </x:c>
      <x:c r="I513" s="17" t="str">
        <x:v>Calibration ancestry</x:v>
      </x:c>
      <x:c r="J513" s="17" t="str">
        <x:v>all reference, range and uncertainty states cover the live interval</x:v>
      </x:c>
      <x:c r="K513" s="17" t="str">
        <x:v>Metrology courts</x:v>
      </x:c>
      <x:c r="L513" s="9" t="n">
        <x:v>0</x:v>
      </x:c>
      <x:c r="M513" s="9" t="n">
        <x:v>0</x:v>
      </x:c>
      <x:c r="N513" s="9" t="str">
        <x:v>OPEN / UNACCEPTED</x:v>
      </x:c>
      <x:c r="O513" s="9" t="n">
        <x:f>COUNTIFS($A$7:$A$1734,A513)</x:f>
        <x:v>1</x:v>
      </x:c>
    </x:row>
    <x:row r="514">
      <x:c r="A514" s="9" t="str">
        <x:v>EV-AR-CT-C-B-TECH-1-B1-INT-G0-OG04</x:v>
      </x:c>
      <x:c r="B514" s="9" t="str">
        <x:v>EV-AR-CT-C-B-TECH-1-B1-INT-G0</x:v>
      </x:c>
      <x:c r="C514" s="9" t="str">
        <x:v>AR-CT-C-B-TECH-1-B1-INT-G0</x:v>
      </x:c>
      <x:c r="D514" s="9" t="str">
        <x:v>CT-C-B-TECH-1</x:v>
      </x:c>
      <x:c r="E514" s="9" t="str">
        <x:v>CT-C-B</x:v>
      </x:c>
      <x:c r="F514" s="9" t="str">
        <x:v>B1</x:v>
      </x:c>
      <x:c r="G514" s="9" t="str">
        <x:v>INT</x:v>
      </x:c>
      <x:c r="H514" s="9" t="str">
        <x:v>OG04</x:v>
      </x:c>
      <x:c r="I514" s="17" t="str">
        <x:v>Raw completeness</x:v>
      </x:c>
      <x:c r="J514" s="17" t="str">
        <x:v>missingness is enumerated without imputation or outcome-conditioned deletion</x:v>
      </x:c>
      <x:c r="K514" s="17" t="str">
        <x:v>Observation court</x:v>
      </x:c>
      <x:c r="L514" s="9" t="n">
        <x:v>0</x:v>
      </x:c>
      <x:c r="M514" s="9" t="n">
        <x:v>0</x:v>
      </x:c>
      <x:c r="N514" s="9" t="str">
        <x:v>OPEN / UNACCEPTED</x:v>
      </x:c>
      <x:c r="O514" s="9" t="n">
        <x:f>COUNTIFS($A$7:$A$1734,A514)</x:f>
        <x:v>1</x:v>
      </x:c>
    </x:row>
    <x:row r="515">
      <x:c r="A515" s="9" t="str">
        <x:v>EV-AR-CT-C-B-TECH-1-B1-INT-G0-OG05</x:v>
      </x:c>
      <x:c r="B515" s="9" t="str">
        <x:v>EV-AR-CT-C-B-TECH-1-B1-INT-G0</x:v>
      </x:c>
      <x:c r="C515" s="9" t="str">
        <x:v>AR-CT-C-B-TECH-1-B1-INT-G0</x:v>
      </x:c>
      <x:c r="D515" s="9" t="str">
        <x:v>CT-C-B-TECH-1</x:v>
      </x:c>
      <x:c r="E515" s="9" t="str">
        <x:v>CT-C-B</x:v>
      </x:c>
      <x:c r="F515" s="9" t="str">
        <x:v>B1</x:v>
      </x:c>
      <x:c r="G515" s="9" t="str">
        <x:v>INT</x:v>
      </x:c>
      <x:c r="H515" s="9" t="str">
        <x:v>OG05</x:v>
      </x:c>
      <x:c r="I515" s="17" t="str">
        <x:v>Primary provenance</x:v>
      </x:c>
      <x:c r="J515" s="17" t="str">
        <x:v>primary originals, hashes, keys and access history reconcile</x:v>
      </x:c>
      <x:c r="K515" s="17" t="str">
        <x:v>Primary custody</x:v>
      </x:c>
      <x:c r="L515" s="9" t="n">
        <x:v>0</x:v>
      </x:c>
      <x:c r="M515" s="9" t="n">
        <x:v>0</x:v>
      </x:c>
      <x:c r="N515" s="9" t="str">
        <x:v>OPEN / UNACCEPTED</x:v>
      </x:c>
      <x:c r="O515" s="9" t="n">
        <x:f>COUNTIFS($A$7:$A$1734,A515)</x:f>
        <x:v>1</x:v>
      </x:c>
    </x:row>
    <x:row r="516">
      <x:c r="A516" s="9" t="str">
        <x:v>EV-AR-CT-C-B-TECH-1-B1-INT-G0-OG06</x:v>
      </x:c>
      <x:c r="B516" s="9" t="str">
        <x:v>EV-AR-CT-C-B-TECH-1-B1-INT-G0</x:v>
      </x:c>
      <x:c r="C516" s="9" t="str">
        <x:v>AR-CT-C-B-TECH-1-B1-INT-G0</x:v>
      </x:c>
      <x:c r="D516" s="9" t="str">
        <x:v>CT-C-B-TECH-1</x:v>
      </x:c>
      <x:c r="E516" s="9" t="str">
        <x:v>CT-C-B</x:v>
      </x:c>
      <x:c r="F516" s="9" t="str">
        <x:v>B1</x:v>
      </x:c>
      <x:c r="G516" s="9" t="str">
        <x:v>INT</x:v>
      </x:c>
      <x:c r="H516" s="9" t="str">
        <x:v>OG06</x:v>
      </x:c>
      <x:c r="I516" s="17" t="str">
        <x:v>Witness provenance</x:v>
      </x:c>
      <x:c r="J516" s="17" t="str">
        <x:v>unlike witness originals, hashes, keys and access history reconcile</x:v>
      </x:c>
      <x:c r="K516" s="17" t="str">
        <x:v>Witness custody</x:v>
      </x:c>
      <x:c r="L516" s="9" t="n">
        <x:v>0</x:v>
      </x:c>
      <x:c r="M516" s="9" t="n">
        <x:v>0</x:v>
      </x:c>
      <x:c r="N516" s="9" t="str">
        <x:v>OPEN / UNACCEPTED</x:v>
      </x:c>
      <x:c r="O516" s="9" t="n">
        <x:f>COUNTIFS($A$7:$A$1734,A516)</x:f>
        <x:v>1</x:v>
      </x:c>
    </x:row>
    <x:row r="517">
      <x:c r="A517" s="9" t="str">
        <x:v>EV-AR-CT-C-B-TECH-1-B1-INT-G0-OG07</x:v>
      </x:c>
      <x:c r="B517" s="9" t="str">
        <x:v>EV-AR-CT-C-B-TECH-1-B1-INT-G0</x:v>
      </x:c>
      <x:c r="C517" s="9" t="str">
        <x:v>AR-CT-C-B-TECH-1-B1-INT-G0</x:v>
      </x:c>
      <x:c r="D517" s="9" t="str">
        <x:v>CT-C-B-TECH-1</x:v>
      </x:c>
      <x:c r="E517" s="9" t="str">
        <x:v>CT-C-B</x:v>
      </x:c>
      <x:c r="F517" s="9" t="str">
        <x:v>B1</x:v>
      </x:c>
      <x:c r="G517" s="9" t="str">
        <x:v>INT</x:v>
      </x:c>
      <x:c r="H517" s="9" t="str">
        <x:v>OG07</x:v>
      </x:c>
      <x:c r="I517" s="17" t="str">
        <x:v>Receiver denominator</x:v>
      </x:c>
      <x:c r="J517" s="17" t="str">
        <x:v>population, quantity, duration and exclusions match the frozen receipt</x:v>
      </x:c>
      <x:c r="K517" s="17" t="str">
        <x:v>Receiver court</x:v>
      </x:c>
      <x:c r="L517" s="9" t="n">
        <x:v>0</x:v>
      </x:c>
      <x:c r="M517" s="9" t="n">
        <x:v>0</x:v>
      </x:c>
      <x:c r="N517" s="9" t="str">
        <x:v>OPEN / UNACCEPTED</x:v>
      </x:c>
      <x:c r="O517" s="9" t="n">
        <x:f>COUNTIFS($A$7:$A$1734,A517)</x:f>
        <x:v>1</x:v>
      </x:c>
    </x:row>
    <x:row r="518">
      <x:c r="A518" s="9" t="str">
        <x:v>EV-AR-CT-C-B-TECH-1-B1-INT-G0-OG08</x:v>
      </x:c>
      <x:c r="B518" s="9" t="str">
        <x:v>EV-AR-CT-C-B-TECH-1-B1-INT-G0</x:v>
      </x:c>
      <x:c r="C518" s="9" t="str">
        <x:v>AR-CT-C-B-TECH-1-B1-INT-G0</x:v>
      </x:c>
      <x:c r="D518" s="9" t="str">
        <x:v>CT-C-B-TECH-1</x:v>
      </x:c>
      <x:c r="E518" s="9" t="str">
        <x:v>CT-C-B</x:v>
      </x:c>
      <x:c r="F518" s="9" t="str">
        <x:v>B1</x:v>
      </x:c>
      <x:c r="G518" s="9" t="str">
        <x:v>INT</x:v>
      </x:c>
      <x:c r="H518" s="9" t="str">
        <x:v>OG08</x:v>
      </x:c>
      <x:c r="I518" s="17" t="str">
        <x:v>Environment and boundary</x:v>
      </x:c>
      <x:c r="J518" s="17" t="str">
        <x:v>registered weather, water, ground, inlet and outlet states are retained</x:v>
      </x:c>
      <x:c r="K518" s="17" t="str">
        <x:v>Boundary court</x:v>
      </x:c>
      <x:c r="L518" s="9" t="n">
        <x:v>0</x:v>
      </x:c>
      <x:c r="M518" s="9" t="n">
        <x:v>0</x:v>
      </x:c>
      <x:c r="N518" s="9" t="str">
        <x:v>OPEN / UNACCEPTED</x:v>
      </x:c>
      <x:c r="O518" s="9" t="n">
        <x:f>COUNTIFS($A$7:$A$1734,A518)</x:f>
        <x:v>1</x:v>
      </x:c>
    </x:row>
    <x:row r="519">
      <x:c r="A519" s="9" t="str">
        <x:v>EV-AR-CT-C-B-TECH-1-B1-INT-G0-OG09</x:v>
      </x:c>
      <x:c r="B519" s="9" t="str">
        <x:v>EV-AR-CT-C-B-TECH-1-B1-INT-G0</x:v>
      </x:c>
      <x:c r="C519" s="9" t="str">
        <x:v>AR-CT-C-B-TECH-1-B1-INT-G0</x:v>
      </x:c>
      <x:c r="D519" s="9" t="str">
        <x:v>CT-C-B-TECH-1</x:v>
      </x:c>
      <x:c r="E519" s="9" t="str">
        <x:v>CT-C-B</x:v>
      </x:c>
      <x:c r="F519" s="9" t="str">
        <x:v>B1</x:v>
      </x:c>
      <x:c r="G519" s="9" t="str">
        <x:v>INT</x:v>
      </x:c>
      <x:c r="H519" s="9" t="str">
        <x:v>OG09</x:v>
      </x:c>
      <x:c r="I519" s="17" t="str">
        <x:v>Intervention account</x:v>
      </x:c>
      <x:c r="J519" s="17" t="str">
        <x:v>all stop, rescue, operator and public-protection actions remain timestamped</x:v>
      </x:c>
      <x:c r="K519" s="17" t="str">
        <x:v>Safety record court</x:v>
      </x:c>
      <x:c r="L519" s="9" t="n">
        <x:v>0</x:v>
      </x:c>
      <x:c r="M519" s="9" t="n">
        <x:v>0</x:v>
      </x:c>
      <x:c r="N519" s="9" t="str">
        <x:v>OPEN / UNACCEPTED</x:v>
      </x:c>
      <x:c r="O519" s="9" t="n">
        <x:f>COUNTIFS($A$7:$A$1734,A519)</x:f>
        <x:v>1</x:v>
      </x:c>
    </x:row>
    <x:row r="520">
      <x:c r="A520" s="9" t="str">
        <x:v>EV-AR-CT-C-B-TECH-1-B1-INT-G0-OG10</x:v>
      </x:c>
      <x:c r="B520" s="9" t="str">
        <x:v>EV-AR-CT-C-B-TECH-1-B1-INT-G0</x:v>
      </x:c>
      <x:c r="C520" s="9" t="str">
        <x:v>AR-CT-C-B-TECH-1-B1-INT-G0</x:v>
      </x:c>
      <x:c r="D520" s="9" t="str">
        <x:v>CT-C-B-TECH-1</x:v>
      </x:c>
      <x:c r="E520" s="9" t="str">
        <x:v>CT-C-B</x:v>
      </x:c>
      <x:c r="F520" s="9" t="str">
        <x:v>B1</x:v>
      </x:c>
      <x:c r="G520" s="9" t="str">
        <x:v>INT</x:v>
      </x:c>
      <x:c r="H520" s="9" t="str">
        <x:v>OG10</x:v>
      </x:c>
      <x:c r="I520" s="17" t="str">
        <x:v>Uncertainty statement</x:v>
      </x:c>
      <x:c r="J520" s="17" t="str">
        <x:v>range, censoring, resolution and correlation are declared before judgment</x:v>
      </x:c>
      <x:c r="K520" s="17" t="str">
        <x:v>Uncertainty authority</x:v>
      </x:c>
      <x:c r="L520" s="9" t="n">
        <x:v>0</x:v>
      </x:c>
      <x:c r="M520" s="9" t="n">
        <x:v>0</x:v>
      </x:c>
      <x:c r="N520" s="9" t="str">
        <x:v>OPEN / UNACCEPTED</x:v>
      </x:c>
      <x:c r="O520" s="9" t="n">
        <x:f>COUNTIFS($A$7:$A$1734,A520)</x:f>
        <x:v>1</x:v>
      </x:c>
    </x:row>
    <x:row r="521">
      <x:c r="A521" s="9" t="str">
        <x:v>EV-AR-CT-C-B-TECH-1-B1-INT-G0-OG11</x:v>
      </x:c>
      <x:c r="B521" s="9" t="str">
        <x:v>EV-AR-CT-C-B-TECH-1-B1-INT-G0</x:v>
      </x:c>
      <x:c r="C521" s="9" t="str">
        <x:v>AR-CT-C-B-TECH-1-B1-INT-G0</x:v>
      </x:c>
      <x:c r="D521" s="9" t="str">
        <x:v>CT-C-B-TECH-1</x:v>
      </x:c>
      <x:c r="E521" s="9" t="str">
        <x:v>CT-C-B</x:v>
      </x:c>
      <x:c r="F521" s="9" t="str">
        <x:v>B1</x:v>
      </x:c>
      <x:c r="G521" s="9" t="str">
        <x:v>INT</x:v>
      </x:c>
      <x:c r="H521" s="9" t="str">
        <x:v>OG11</x:v>
      </x:c>
      <x:c r="I521" s="17" t="str">
        <x:v>Contradiction preservation</x:v>
      </x:c>
      <x:c r="J521" s="17" t="str">
        <x:v>primary-witness disagreement remains explicit and is never averaged away</x:v>
      </x:c>
      <x:c r="K521" s="17" t="str">
        <x:v>Dissent registrar</x:v>
      </x:c>
      <x:c r="L521" s="9" t="n">
        <x:v>0</x:v>
      </x:c>
      <x:c r="M521" s="9" t="n">
        <x:v>0</x:v>
      </x:c>
      <x:c r="N521" s="9" t="str">
        <x:v>OPEN / UNACCEPTED</x:v>
      </x:c>
      <x:c r="O521" s="9" t="n">
        <x:f>COUNTIFS($A$7:$A$1734,A521)</x:f>
        <x:v>1</x:v>
      </x:c>
    </x:row>
    <x:row r="522">
      <x:c r="A522" s="9" t="str">
        <x:v>EV-AR-CT-C-B-TECH-1-B1-INT-G0-OG12</x:v>
      </x:c>
      <x:c r="B522" s="9" t="str">
        <x:v>EV-AR-CT-C-B-TECH-1-B1-INT-G0</x:v>
      </x:c>
      <x:c r="C522" s="9" t="str">
        <x:v>AR-CT-C-B-TECH-1-B1-INT-G0</x:v>
      </x:c>
      <x:c r="D522" s="9" t="str">
        <x:v>CT-C-B-TECH-1</x:v>
      </x:c>
      <x:c r="E522" s="9" t="str">
        <x:v>CT-C-B</x:v>
      </x:c>
      <x:c r="F522" s="9" t="str">
        <x:v>B1</x:v>
      </x:c>
      <x:c r="G522" s="9" t="str">
        <x:v>INT</x:v>
      </x:c>
      <x:c r="H522" s="9" t="str">
        <x:v>OG12</x:v>
      </x:c>
      <x:c r="I522" s="17" t="str">
        <x:v>Independent replay</x:v>
      </x:c>
      <x:c r="J522" s="17" t="str">
        <x:v>a separated reader reconstructs the registered observables from sealed originals</x:v>
      </x:c>
      <x:c r="K522" s="17" t="str">
        <x:v>Replay court</x:v>
      </x:c>
      <x:c r="L522" s="9" t="n">
        <x:v>0</x:v>
      </x:c>
      <x:c r="M522" s="9" t="n">
        <x:v>0</x:v>
      </x:c>
      <x:c r="N522" s="9" t="str">
        <x:v>OPEN / UNACCEPTED</x:v>
      </x:c>
      <x:c r="O522" s="9" t="n">
        <x:f>COUNTIFS($A$7:$A$1734,A522)</x:f>
        <x:v>1</x:v>
      </x:c>
    </x:row>
    <x:row r="523">
      <x:c r="A523" s="9" t="str">
        <x:v>EV-AR-CT-C-B-TECH-2-B2-RCN-G0-OG01</x:v>
      </x:c>
      <x:c r="B523" s="9" t="str">
        <x:v>EV-AR-CT-C-B-TECH-2-B2-RCN-G0</x:v>
      </x:c>
      <x:c r="C523" s="9" t="str">
        <x:v>AR-CT-C-B-TECH-2-B2-RCN-G0</x:v>
      </x:c>
      <x:c r="D523" s="9" t="str">
        <x:v>CT-C-B-TECH-2</x:v>
      </x:c>
      <x:c r="E523" s="9" t="str">
        <x:v>CT-C-B</x:v>
      </x:c>
      <x:c r="F523" s="9" t="str">
        <x:v>B2</x:v>
      </x:c>
      <x:c r="G523" s="9" t="str">
        <x:v>RCN</x:v>
      </x:c>
      <x:c r="H523" s="9" t="str">
        <x:v>OG01</x:v>
      </x:c>
      <x:c r="I523" s="17" t="str">
        <x:v>Serial and event identity</x:v>
      </x:c>
      <x:c r="J523" s="17" t="str">
        <x:v>record resolves to the issued serial, generation and physical start</x:v>
      </x:c>
      <x:c r="K523" s="17" t="str">
        <x:v>Observation court</x:v>
      </x:c>
      <x:c r="L523" s="9" t="n">
        <x:v>0</x:v>
      </x:c>
      <x:c r="M523" s="9" t="n">
        <x:v>0</x:v>
      </x:c>
      <x:c r="N523" s="9" t="str">
        <x:v>OPEN / UNACCEPTED</x:v>
      </x:c>
      <x:c r="O523" s="9" t="n">
        <x:f>COUNTIFS($A$7:$A$1734,A523)</x:f>
        <x:v>1</x:v>
      </x:c>
    </x:row>
    <x:row r="524">
      <x:c r="A524" s="9" t="str">
        <x:v>EV-AR-CT-C-B-TECH-2-B2-RCN-G0-OG02</x:v>
      </x:c>
      <x:c r="B524" s="9" t="str">
        <x:v>EV-AR-CT-C-B-TECH-2-B2-RCN-G0</x:v>
      </x:c>
      <x:c r="C524" s="9" t="str">
        <x:v>AR-CT-C-B-TECH-2-B2-RCN-G0</x:v>
      </x:c>
      <x:c r="D524" s="9" t="str">
        <x:v>CT-C-B-TECH-2</x:v>
      </x:c>
      <x:c r="E524" s="9" t="str">
        <x:v>CT-C-B</x:v>
      </x:c>
      <x:c r="F524" s="9" t="str">
        <x:v>B2</x:v>
      </x:c>
      <x:c r="G524" s="9" t="str">
        <x:v>RCN</x:v>
      </x:c>
      <x:c r="H524" s="9" t="str">
        <x:v>OG02</x:v>
      </x:c>
      <x:c r="I524" s="17" t="str">
        <x:v>Time ancestry</x:v>
      </x:c>
      <x:c r="J524" s="17" t="str">
        <x:v>primary, witness and public event clocks retain declared offsets and drift</x:v>
      </x:c>
      <x:c r="K524" s="17" t="str">
        <x:v>Time authority</x:v>
      </x:c>
      <x:c r="L524" s="9" t="n">
        <x:v>0</x:v>
      </x:c>
      <x:c r="M524" s="9" t="n">
        <x:v>0</x:v>
      </x:c>
      <x:c r="N524" s="9" t="str">
        <x:v>OPEN / UNACCEPTED</x:v>
      </x:c>
      <x:c r="O524" s="9" t="n">
        <x:f>COUNTIFS($A$7:$A$1734,A524)</x:f>
        <x:v>1</x:v>
      </x:c>
    </x:row>
    <x:row r="525">
      <x:c r="A525" s="9" t="str">
        <x:v>EV-AR-CT-C-B-TECH-2-B2-RCN-G0-OG03</x:v>
      </x:c>
      <x:c r="B525" s="9" t="str">
        <x:v>EV-AR-CT-C-B-TECH-2-B2-RCN-G0</x:v>
      </x:c>
      <x:c r="C525" s="9" t="str">
        <x:v>AR-CT-C-B-TECH-2-B2-RCN-G0</x:v>
      </x:c>
      <x:c r="D525" s="9" t="str">
        <x:v>CT-C-B-TECH-2</x:v>
      </x:c>
      <x:c r="E525" s="9" t="str">
        <x:v>CT-C-B</x:v>
      </x:c>
      <x:c r="F525" s="9" t="str">
        <x:v>B2</x:v>
      </x:c>
      <x:c r="G525" s="9" t="str">
        <x:v>RCN</x:v>
      </x:c>
      <x:c r="H525" s="9" t="str">
        <x:v>OG03</x:v>
      </x:c>
      <x:c r="I525" s="17" t="str">
        <x:v>Calibration ancestry</x:v>
      </x:c>
      <x:c r="J525" s="17" t="str">
        <x:v>all reference, range and uncertainty states cover the live interval</x:v>
      </x:c>
      <x:c r="K525" s="17" t="str">
        <x:v>Metrology courts</x:v>
      </x:c>
      <x:c r="L525" s="9" t="n">
        <x:v>0</x:v>
      </x:c>
      <x:c r="M525" s="9" t="n">
        <x:v>0</x:v>
      </x:c>
      <x:c r="N525" s="9" t="str">
        <x:v>OPEN / UNACCEPTED</x:v>
      </x:c>
      <x:c r="O525" s="9" t="n">
        <x:f>COUNTIFS($A$7:$A$1734,A525)</x:f>
        <x:v>1</x:v>
      </x:c>
    </x:row>
    <x:row r="526">
      <x:c r="A526" s="9" t="str">
        <x:v>EV-AR-CT-C-B-TECH-2-B2-RCN-G0-OG04</x:v>
      </x:c>
      <x:c r="B526" s="9" t="str">
        <x:v>EV-AR-CT-C-B-TECH-2-B2-RCN-G0</x:v>
      </x:c>
      <x:c r="C526" s="9" t="str">
        <x:v>AR-CT-C-B-TECH-2-B2-RCN-G0</x:v>
      </x:c>
      <x:c r="D526" s="9" t="str">
        <x:v>CT-C-B-TECH-2</x:v>
      </x:c>
      <x:c r="E526" s="9" t="str">
        <x:v>CT-C-B</x:v>
      </x:c>
      <x:c r="F526" s="9" t="str">
        <x:v>B2</x:v>
      </x:c>
      <x:c r="G526" s="9" t="str">
        <x:v>RCN</x:v>
      </x:c>
      <x:c r="H526" s="9" t="str">
        <x:v>OG04</x:v>
      </x:c>
      <x:c r="I526" s="17" t="str">
        <x:v>Raw completeness</x:v>
      </x:c>
      <x:c r="J526" s="17" t="str">
        <x:v>missingness is enumerated without imputation or outcome-conditioned deletion</x:v>
      </x:c>
      <x:c r="K526" s="17" t="str">
        <x:v>Observation court</x:v>
      </x:c>
      <x:c r="L526" s="9" t="n">
        <x:v>0</x:v>
      </x:c>
      <x:c r="M526" s="9" t="n">
        <x:v>0</x:v>
      </x:c>
      <x:c r="N526" s="9" t="str">
        <x:v>OPEN / UNACCEPTED</x:v>
      </x:c>
      <x:c r="O526" s="9" t="n">
        <x:f>COUNTIFS($A$7:$A$1734,A526)</x:f>
        <x:v>1</x:v>
      </x:c>
    </x:row>
    <x:row r="527">
      <x:c r="A527" s="9" t="str">
        <x:v>EV-AR-CT-C-B-TECH-2-B2-RCN-G0-OG05</x:v>
      </x:c>
      <x:c r="B527" s="9" t="str">
        <x:v>EV-AR-CT-C-B-TECH-2-B2-RCN-G0</x:v>
      </x:c>
      <x:c r="C527" s="9" t="str">
        <x:v>AR-CT-C-B-TECH-2-B2-RCN-G0</x:v>
      </x:c>
      <x:c r="D527" s="9" t="str">
        <x:v>CT-C-B-TECH-2</x:v>
      </x:c>
      <x:c r="E527" s="9" t="str">
        <x:v>CT-C-B</x:v>
      </x:c>
      <x:c r="F527" s="9" t="str">
        <x:v>B2</x:v>
      </x:c>
      <x:c r="G527" s="9" t="str">
        <x:v>RCN</x:v>
      </x:c>
      <x:c r="H527" s="9" t="str">
        <x:v>OG05</x:v>
      </x:c>
      <x:c r="I527" s="17" t="str">
        <x:v>Primary provenance</x:v>
      </x:c>
      <x:c r="J527" s="17" t="str">
        <x:v>primary originals, hashes, keys and access history reconcile</x:v>
      </x:c>
      <x:c r="K527" s="17" t="str">
        <x:v>Primary custody</x:v>
      </x:c>
      <x:c r="L527" s="9" t="n">
        <x:v>0</x:v>
      </x:c>
      <x:c r="M527" s="9" t="n">
        <x:v>0</x:v>
      </x:c>
      <x:c r="N527" s="9" t="str">
        <x:v>OPEN / UNACCEPTED</x:v>
      </x:c>
      <x:c r="O527" s="9" t="n">
        <x:f>COUNTIFS($A$7:$A$1734,A527)</x:f>
        <x:v>1</x:v>
      </x:c>
    </x:row>
    <x:row r="528">
      <x:c r="A528" s="9" t="str">
        <x:v>EV-AR-CT-C-B-TECH-2-B2-RCN-G0-OG06</x:v>
      </x:c>
      <x:c r="B528" s="9" t="str">
        <x:v>EV-AR-CT-C-B-TECH-2-B2-RCN-G0</x:v>
      </x:c>
      <x:c r="C528" s="9" t="str">
        <x:v>AR-CT-C-B-TECH-2-B2-RCN-G0</x:v>
      </x:c>
      <x:c r="D528" s="9" t="str">
        <x:v>CT-C-B-TECH-2</x:v>
      </x:c>
      <x:c r="E528" s="9" t="str">
        <x:v>CT-C-B</x:v>
      </x:c>
      <x:c r="F528" s="9" t="str">
        <x:v>B2</x:v>
      </x:c>
      <x:c r="G528" s="9" t="str">
        <x:v>RCN</x:v>
      </x:c>
      <x:c r="H528" s="9" t="str">
        <x:v>OG06</x:v>
      </x:c>
      <x:c r="I528" s="17" t="str">
        <x:v>Witness provenance</x:v>
      </x:c>
      <x:c r="J528" s="17" t="str">
        <x:v>unlike witness originals, hashes, keys and access history reconcile</x:v>
      </x:c>
      <x:c r="K528" s="17" t="str">
        <x:v>Witness custody</x:v>
      </x:c>
      <x:c r="L528" s="9" t="n">
        <x:v>0</x:v>
      </x:c>
      <x:c r="M528" s="9" t="n">
        <x:v>0</x:v>
      </x:c>
      <x:c r="N528" s="9" t="str">
        <x:v>OPEN / UNACCEPTED</x:v>
      </x:c>
      <x:c r="O528" s="9" t="n">
        <x:f>COUNTIFS($A$7:$A$1734,A528)</x:f>
        <x:v>1</x:v>
      </x:c>
    </x:row>
    <x:row r="529">
      <x:c r="A529" s="9" t="str">
        <x:v>EV-AR-CT-C-B-TECH-2-B2-RCN-G0-OG07</x:v>
      </x:c>
      <x:c r="B529" s="9" t="str">
        <x:v>EV-AR-CT-C-B-TECH-2-B2-RCN-G0</x:v>
      </x:c>
      <x:c r="C529" s="9" t="str">
        <x:v>AR-CT-C-B-TECH-2-B2-RCN-G0</x:v>
      </x:c>
      <x:c r="D529" s="9" t="str">
        <x:v>CT-C-B-TECH-2</x:v>
      </x:c>
      <x:c r="E529" s="9" t="str">
        <x:v>CT-C-B</x:v>
      </x:c>
      <x:c r="F529" s="9" t="str">
        <x:v>B2</x:v>
      </x:c>
      <x:c r="G529" s="9" t="str">
        <x:v>RCN</x:v>
      </x:c>
      <x:c r="H529" s="9" t="str">
        <x:v>OG07</x:v>
      </x:c>
      <x:c r="I529" s="17" t="str">
        <x:v>Receiver denominator</x:v>
      </x:c>
      <x:c r="J529" s="17" t="str">
        <x:v>population, quantity, duration and exclusions match the frozen receipt</x:v>
      </x:c>
      <x:c r="K529" s="17" t="str">
        <x:v>Receiver court</x:v>
      </x:c>
      <x:c r="L529" s="9" t="n">
        <x:v>0</x:v>
      </x:c>
      <x:c r="M529" s="9" t="n">
        <x:v>0</x:v>
      </x:c>
      <x:c r="N529" s="9" t="str">
        <x:v>OPEN / UNACCEPTED</x:v>
      </x:c>
      <x:c r="O529" s="9" t="n">
        <x:f>COUNTIFS($A$7:$A$1734,A529)</x:f>
        <x:v>1</x:v>
      </x:c>
    </x:row>
    <x:row r="530">
      <x:c r="A530" s="9" t="str">
        <x:v>EV-AR-CT-C-B-TECH-2-B2-RCN-G0-OG08</x:v>
      </x:c>
      <x:c r="B530" s="9" t="str">
        <x:v>EV-AR-CT-C-B-TECH-2-B2-RCN-G0</x:v>
      </x:c>
      <x:c r="C530" s="9" t="str">
        <x:v>AR-CT-C-B-TECH-2-B2-RCN-G0</x:v>
      </x:c>
      <x:c r="D530" s="9" t="str">
        <x:v>CT-C-B-TECH-2</x:v>
      </x:c>
      <x:c r="E530" s="9" t="str">
        <x:v>CT-C-B</x:v>
      </x:c>
      <x:c r="F530" s="9" t="str">
        <x:v>B2</x:v>
      </x:c>
      <x:c r="G530" s="9" t="str">
        <x:v>RCN</x:v>
      </x:c>
      <x:c r="H530" s="9" t="str">
        <x:v>OG08</x:v>
      </x:c>
      <x:c r="I530" s="17" t="str">
        <x:v>Environment and boundary</x:v>
      </x:c>
      <x:c r="J530" s="17" t="str">
        <x:v>registered weather, water, ground, inlet and outlet states are retained</x:v>
      </x:c>
      <x:c r="K530" s="17" t="str">
        <x:v>Boundary court</x:v>
      </x:c>
      <x:c r="L530" s="9" t="n">
        <x:v>0</x:v>
      </x:c>
      <x:c r="M530" s="9" t="n">
        <x:v>0</x:v>
      </x:c>
      <x:c r="N530" s="9" t="str">
        <x:v>OPEN / UNACCEPTED</x:v>
      </x:c>
      <x:c r="O530" s="9" t="n">
        <x:f>COUNTIFS($A$7:$A$1734,A530)</x:f>
        <x:v>1</x:v>
      </x:c>
    </x:row>
    <x:row r="531">
      <x:c r="A531" s="9" t="str">
        <x:v>EV-AR-CT-C-B-TECH-2-B2-RCN-G0-OG09</x:v>
      </x:c>
      <x:c r="B531" s="9" t="str">
        <x:v>EV-AR-CT-C-B-TECH-2-B2-RCN-G0</x:v>
      </x:c>
      <x:c r="C531" s="9" t="str">
        <x:v>AR-CT-C-B-TECH-2-B2-RCN-G0</x:v>
      </x:c>
      <x:c r="D531" s="9" t="str">
        <x:v>CT-C-B-TECH-2</x:v>
      </x:c>
      <x:c r="E531" s="9" t="str">
        <x:v>CT-C-B</x:v>
      </x:c>
      <x:c r="F531" s="9" t="str">
        <x:v>B2</x:v>
      </x:c>
      <x:c r="G531" s="9" t="str">
        <x:v>RCN</x:v>
      </x:c>
      <x:c r="H531" s="9" t="str">
        <x:v>OG09</x:v>
      </x:c>
      <x:c r="I531" s="17" t="str">
        <x:v>Intervention account</x:v>
      </x:c>
      <x:c r="J531" s="17" t="str">
        <x:v>all stop, rescue, operator and public-protection actions remain timestamped</x:v>
      </x:c>
      <x:c r="K531" s="17" t="str">
        <x:v>Safety record court</x:v>
      </x:c>
      <x:c r="L531" s="9" t="n">
        <x:v>0</x:v>
      </x:c>
      <x:c r="M531" s="9" t="n">
        <x:v>0</x:v>
      </x:c>
      <x:c r="N531" s="9" t="str">
        <x:v>OPEN / UNACCEPTED</x:v>
      </x:c>
      <x:c r="O531" s="9" t="n">
        <x:f>COUNTIFS($A$7:$A$1734,A531)</x:f>
        <x:v>1</x:v>
      </x:c>
    </x:row>
    <x:row r="532">
      <x:c r="A532" s="9" t="str">
        <x:v>EV-AR-CT-C-B-TECH-2-B2-RCN-G0-OG10</x:v>
      </x:c>
      <x:c r="B532" s="9" t="str">
        <x:v>EV-AR-CT-C-B-TECH-2-B2-RCN-G0</x:v>
      </x:c>
      <x:c r="C532" s="9" t="str">
        <x:v>AR-CT-C-B-TECH-2-B2-RCN-G0</x:v>
      </x:c>
      <x:c r="D532" s="9" t="str">
        <x:v>CT-C-B-TECH-2</x:v>
      </x:c>
      <x:c r="E532" s="9" t="str">
        <x:v>CT-C-B</x:v>
      </x:c>
      <x:c r="F532" s="9" t="str">
        <x:v>B2</x:v>
      </x:c>
      <x:c r="G532" s="9" t="str">
        <x:v>RCN</x:v>
      </x:c>
      <x:c r="H532" s="9" t="str">
        <x:v>OG10</x:v>
      </x:c>
      <x:c r="I532" s="17" t="str">
        <x:v>Uncertainty statement</x:v>
      </x:c>
      <x:c r="J532" s="17" t="str">
        <x:v>range, censoring, resolution and correlation are declared before judgment</x:v>
      </x:c>
      <x:c r="K532" s="17" t="str">
        <x:v>Uncertainty authority</x:v>
      </x:c>
      <x:c r="L532" s="9" t="n">
        <x:v>0</x:v>
      </x:c>
      <x:c r="M532" s="9" t="n">
        <x:v>0</x:v>
      </x:c>
      <x:c r="N532" s="9" t="str">
        <x:v>OPEN / UNACCEPTED</x:v>
      </x:c>
      <x:c r="O532" s="9" t="n">
        <x:f>COUNTIFS($A$7:$A$1734,A532)</x:f>
        <x:v>1</x:v>
      </x:c>
    </x:row>
    <x:row r="533">
      <x:c r="A533" s="9" t="str">
        <x:v>EV-AR-CT-C-B-TECH-2-B2-RCN-G0-OG11</x:v>
      </x:c>
      <x:c r="B533" s="9" t="str">
        <x:v>EV-AR-CT-C-B-TECH-2-B2-RCN-G0</x:v>
      </x:c>
      <x:c r="C533" s="9" t="str">
        <x:v>AR-CT-C-B-TECH-2-B2-RCN-G0</x:v>
      </x:c>
      <x:c r="D533" s="9" t="str">
        <x:v>CT-C-B-TECH-2</x:v>
      </x:c>
      <x:c r="E533" s="9" t="str">
        <x:v>CT-C-B</x:v>
      </x:c>
      <x:c r="F533" s="9" t="str">
        <x:v>B2</x:v>
      </x:c>
      <x:c r="G533" s="9" t="str">
        <x:v>RCN</x:v>
      </x:c>
      <x:c r="H533" s="9" t="str">
        <x:v>OG11</x:v>
      </x:c>
      <x:c r="I533" s="17" t="str">
        <x:v>Contradiction preservation</x:v>
      </x:c>
      <x:c r="J533" s="17" t="str">
        <x:v>primary-witness disagreement remains explicit and is never averaged away</x:v>
      </x:c>
      <x:c r="K533" s="17" t="str">
        <x:v>Dissent registrar</x:v>
      </x:c>
      <x:c r="L533" s="9" t="n">
        <x:v>0</x:v>
      </x:c>
      <x:c r="M533" s="9" t="n">
        <x:v>0</x:v>
      </x:c>
      <x:c r="N533" s="9" t="str">
        <x:v>OPEN / UNACCEPTED</x:v>
      </x:c>
      <x:c r="O533" s="9" t="n">
        <x:f>COUNTIFS($A$7:$A$1734,A533)</x:f>
        <x:v>1</x:v>
      </x:c>
    </x:row>
    <x:row r="534">
      <x:c r="A534" s="9" t="str">
        <x:v>EV-AR-CT-C-B-TECH-2-B2-RCN-G0-OG12</x:v>
      </x:c>
      <x:c r="B534" s="9" t="str">
        <x:v>EV-AR-CT-C-B-TECH-2-B2-RCN-G0</x:v>
      </x:c>
      <x:c r="C534" s="9" t="str">
        <x:v>AR-CT-C-B-TECH-2-B2-RCN-G0</x:v>
      </x:c>
      <x:c r="D534" s="9" t="str">
        <x:v>CT-C-B-TECH-2</x:v>
      </x:c>
      <x:c r="E534" s="9" t="str">
        <x:v>CT-C-B</x:v>
      </x:c>
      <x:c r="F534" s="9" t="str">
        <x:v>B2</x:v>
      </x:c>
      <x:c r="G534" s="9" t="str">
        <x:v>RCN</x:v>
      </x:c>
      <x:c r="H534" s="9" t="str">
        <x:v>OG12</x:v>
      </x:c>
      <x:c r="I534" s="17" t="str">
        <x:v>Independent replay</x:v>
      </x:c>
      <x:c r="J534" s="17" t="str">
        <x:v>a separated reader reconstructs the registered observables from sealed originals</x:v>
      </x:c>
      <x:c r="K534" s="17" t="str">
        <x:v>Replay court</x:v>
      </x:c>
      <x:c r="L534" s="9" t="n">
        <x:v>0</x:v>
      </x:c>
      <x:c r="M534" s="9" t="n">
        <x:v>0</x:v>
      </x:c>
      <x:c r="N534" s="9" t="str">
        <x:v>OPEN / UNACCEPTED</x:v>
      </x:c>
      <x:c r="O534" s="9" t="n">
        <x:f>COUNTIFS($A$7:$A$1734,A534)</x:f>
        <x:v>1</x:v>
      </x:c>
    </x:row>
    <x:row r="535">
      <x:c r="A535" s="9" t="str">
        <x:v>EV-AR-HC-A-C-TECH-4-B1-BRK-G0-OG01</x:v>
      </x:c>
      <x:c r="B535" s="9" t="str">
        <x:v>EV-AR-HC-A-C-TECH-4-B1-BRK-G0</x:v>
      </x:c>
      <x:c r="C535" s="9" t="str">
        <x:v>AR-HC-A-C-TECH-4-B1-BRK-G0</x:v>
      </x:c>
      <x:c r="D535" s="9" t="str">
        <x:v>HC-A-C-TECH-4</x:v>
      </x:c>
      <x:c r="E535" s="9" t="str">
        <x:v>HC-A-C</x:v>
      </x:c>
      <x:c r="F535" s="9" t="str">
        <x:v>B1</x:v>
      </x:c>
      <x:c r="G535" s="9" t="str">
        <x:v>BRK</x:v>
      </x:c>
      <x:c r="H535" s="9" t="str">
        <x:v>OG01</x:v>
      </x:c>
      <x:c r="I535" s="17" t="str">
        <x:v>Serial and event identity</x:v>
      </x:c>
      <x:c r="J535" s="17" t="str">
        <x:v>record resolves to the issued serial, generation and physical start</x:v>
      </x:c>
      <x:c r="K535" s="17" t="str">
        <x:v>Observation court</x:v>
      </x:c>
      <x:c r="L535" s="9" t="n">
        <x:v>0</x:v>
      </x:c>
      <x:c r="M535" s="9" t="n">
        <x:v>0</x:v>
      </x:c>
      <x:c r="N535" s="9" t="str">
        <x:v>OPEN / UNACCEPTED</x:v>
      </x:c>
      <x:c r="O535" s="9" t="n">
        <x:f>COUNTIFS($A$7:$A$1734,A535)</x:f>
        <x:v>1</x:v>
      </x:c>
    </x:row>
    <x:row r="536">
      <x:c r="A536" s="9" t="str">
        <x:v>EV-AR-HC-A-C-TECH-4-B1-BRK-G0-OG02</x:v>
      </x:c>
      <x:c r="B536" s="9" t="str">
        <x:v>EV-AR-HC-A-C-TECH-4-B1-BRK-G0</x:v>
      </x:c>
      <x:c r="C536" s="9" t="str">
        <x:v>AR-HC-A-C-TECH-4-B1-BRK-G0</x:v>
      </x:c>
      <x:c r="D536" s="9" t="str">
        <x:v>HC-A-C-TECH-4</x:v>
      </x:c>
      <x:c r="E536" s="9" t="str">
        <x:v>HC-A-C</x:v>
      </x:c>
      <x:c r="F536" s="9" t="str">
        <x:v>B1</x:v>
      </x:c>
      <x:c r="G536" s="9" t="str">
        <x:v>BRK</x:v>
      </x:c>
      <x:c r="H536" s="9" t="str">
        <x:v>OG02</x:v>
      </x:c>
      <x:c r="I536" s="17" t="str">
        <x:v>Time ancestry</x:v>
      </x:c>
      <x:c r="J536" s="17" t="str">
        <x:v>primary, witness and public event clocks retain declared offsets and drift</x:v>
      </x:c>
      <x:c r="K536" s="17" t="str">
        <x:v>Time authority</x:v>
      </x:c>
      <x:c r="L536" s="9" t="n">
        <x:v>0</x:v>
      </x:c>
      <x:c r="M536" s="9" t="n">
        <x:v>0</x:v>
      </x:c>
      <x:c r="N536" s="9" t="str">
        <x:v>OPEN / UNACCEPTED</x:v>
      </x:c>
      <x:c r="O536" s="9" t="n">
        <x:f>COUNTIFS($A$7:$A$1734,A536)</x:f>
        <x:v>1</x:v>
      </x:c>
    </x:row>
    <x:row r="537">
      <x:c r="A537" s="9" t="str">
        <x:v>EV-AR-HC-A-C-TECH-4-B1-BRK-G0-OG03</x:v>
      </x:c>
      <x:c r="B537" s="9" t="str">
        <x:v>EV-AR-HC-A-C-TECH-4-B1-BRK-G0</x:v>
      </x:c>
      <x:c r="C537" s="9" t="str">
        <x:v>AR-HC-A-C-TECH-4-B1-BRK-G0</x:v>
      </x:c>
      <x:c r="D537" s="9" t="str">
        <x:v>HC-A-C-TECH-4</x:v>
      </x:c>
      <x:c r="E537" s="9" t="str">
        <x:v>HC-A-C</x:v>
      </x:c>
      <x:c r="F537" s="9" t="str">
        <x:v>B1</x:v>
      </x:c>
      <x:c r="G537" s="9" t="str">
        <x:v>BRK</x:v>
      </x:c>
      <x:c r="H537" s="9" t="str">
        <x:v>OG03</x:v>
      </x:c>
      <x:c r="I537" s="17" t="str">
        <x:v>Calibration ancestry</x:v>
      </x:c>
      <x:c r="J537" s="17" t="str">
        <x:v>all reference, range and uncertainty states cover the live interval</x:v>
      </x:c>
      <x:c r="K537" s="17" t="str">
        <x:v>Metrology courts</x:v>
      </x:c>
      <x:c r="L537" s="9" t="n">
        <x:v>0</x:v>
      </x:c>
      <x:c r="M537" s="9" t="n">
        <x:v>0</x:v>
      </x:c>
      <x:c r="N537" s="9" t="str">
        <x:v>OPEN / UNACCEPTED</x:v>
      </x:c>
      <x:c r="O537" s="9" t="n">
        <x:f>COUNTIFS($A$7:$A$1734,A537)</x:f>
        <x:v>1</x:v>
      </x:c>
    </x:row>
    <x:row r="538">
      <x:c r="A538" s="9" t="str">
        <x:v>EV-AR-HC-A-C-TECH-4-B1-BRK-G0-OG04</x:v>
      </x:c>
      <x:c r="B538" s="9" t="str">
        <x:v>EV-AR-HC-A-C-TECH-4-B1-BRK-G0</x:v>
      </x:c>
      <x:c r="C538" s="9" t="str">
        <x:v>AR-HC-A-C-TECH-4-B1-BRK-G0</x:v>
      </x:c>
      <x:c r="D538" s="9" t="str">
        <x:v>HC-A-C-TECH-4</x:v>
      </x:c>
      <x:c r="E538" s="9" t="str">
        <x:v>HC-A-C</x:v>
      </x:c>
      <x:c r="F538" s="9" t="str">
        <x:v>B1</x:v>
      </x:c>
      <x:c r="G538" s="9" t="str">
        <x:v>BRK</x:v>
      </x:c>
      <x:c r="H538" s="9" t="str">
        <x:v>OG04</x:v>
      </x:c>
      <x:c r="I538" s="17" t="str">
        <x:v>Raw completeness</x:v>
      </x:c>
      <x:c r="J538" s="17" t="str">
        <x:v>missingness is enumerated without imputation or outcome-conditioned deletion</x:v>
      </x:c>
      <x:c r="K538" s="17" t="str">
        <x:v>Observation court</x:v>
      </x:c>
      <x:c r="L538" s="9" t="n">
        <x:v>0</x:v>
      </x:c>
      <x:c r="M538" s="9" t="n">
        <x:v>0</x:v>
      </x:c>
      <x:c r="N538" s="9" t="str">
        <x:v>OPEN / UNACCEPTED</x:v>
      </x:c>
      <x:c r="O538" s="9" t="n">
        <x:f>COUNTIFS($A$7:$A$1734,A538)</x:f>
        <x:v>1</x:v>
      </x:c>
    </x:row>
    <x:row r="539">
      <x:c r="A539" s="9" t="str">
        <x:v>EV-AR-HC-A-C-TECH-4-B1-BRK-G0-OG05</x:v>
      </x:c>
      <x:c r="B539" s="9" t="str">
        <x:v>EV-AR-HC-A-C-TECH-4-B1-BRK-G0</x:v>
      </x:c>
      <x:c r="C539" s="9" t="str">
        <x:v>AR-HC-A-C-TECH-4-B1-BRK-G0</x:v>
      </x:c>
      <x:c r="D539" s="9" t="str">
        <x:v>HC-A-C-TECH-4</x:v>
      </x:c>
      <x:c r="E539" s="9" t="str">
        <x:v>HC-A-C</x:v>
      </x:c>
      <x:c r="F539" s="9" t="str">
        <x:v>B1</x:v>
      </x:c>
      <x:c r="G539" s="9" t="str">
        <x:v>BRK</x:v>
      </x:c>
      <x:c r="H539" s="9" t="str">
        <x:v>OG05</x:v>
      </x:c>
      <x:c r="I539" s="17" t="str">
        <x:v>Primary provenance</x:v>
      </x:c>
      <x:c r="J539" s="17" t="str">
        <x:v>primary originals, hashes, keys and access history reconcile</x:v>
      </x:c>
      <x:c r="K539" s="17" t="str">
        <x:v>Primary custody</x:v>
      </x:c>
      <x:c r="L539" s="9" t="n">
        <x:v>0</x:v>
      </x:c>
      <x:c r="M539" s="9" t="n">
        <x:v>0</x:v>
      </x:c>
      <x:c r="N539" s="9" t="str">
        <x:v>OPEN / UNACCEPTED</x:v>
      </x:c>
      <x:c r="O539" s="9" t="n">
        <x:f>COUNTIFS($A$7:$A$1734,A539)</x:f>
        <x:v>1</x:v>
      </x:c>
    </x:row>
    <x:row r="540">
      <x:c r="A540" s="9" t="str">
        <x:v>EV-AR-HC-A-C-TECH-4-B1-BRK-G0-OG06</x:v>
      </x:c>
      <x:c r="B540" s="9" t="str">
        <x:v>EV-AR-HC-A-C-TECH-4-B1-BRK-G0</x:v>
      </x:c>
      <x:c r="C540" s="9" t="str">
        <x:v>AR-HC-A-C-TECH-4-B1-BRK-G0</x:v>
      </x:c>
      <x:c r="D540" s="9" t="str">
        <x:v>HC-A-C-TECH-4</x:v>
      </x:c>
      <x:c r="E540" s="9" t="str">
        <x:v>HC-A-C</x:v>
      </x:c>
      <x:c r="F540" s="9" t="str">
        <x:v>B1</x:v>
      </x:c>
      <x:c r="G540" s="9" t="str">
        <x:v>BRK</x:v>
      </x:c>
      <x:c r="H540" s="9" t="str">
        <x:v>OG06</x:v>
      </x:c>
      <x:c r="I540" s="17" t="str">
        <x:v>Witness provenance</x:v>
      </x:c>
      <x:c r="J540" s="17" t="str">
        <x:v>unlike witness originals, hashes, keys and access history reconcile</x:v>
      </x:c>
      <x:c r="K540" s="17" t="str">
        <x:v>Witness custody</x:v>
      </x:c>
      <x:c r="L540" s="9" t="n">
        <x:v>0</x:v>
      </x:c>
      <x:c r="M540" s="9" t="n">
        <x:v>0</x:v>
      </x:c>
      <x:c r="N540" s="9" t="str">
        <x:v>OPEN / UNACCEPTED</x:v>
      </x:c>
      <x:c r="O540" s="9" t="n">
        <x:f>COUNTIFS($A$7:$A$1734,A540)</x:f>
        <x:v>1</x:v>
      </x:c>
    </x:row>
    <x:row r="541">
      <x:c r="A541" s="9" t="str">
        <x:v>EV-AR-HC-A-C-TECH-4-B1-BRK-G0-OG07</x:v>
      </x:c>
      <x:c r="B541" s="9" t="str">
        <x:v>EV-AR-HC-A-C-TECH-4-B1-BRK-G0</x:v>
      </x:c>
      <x:c r="C541" s="9" t="str">
        <x:v>AR-HC-A-C-TECH-4-B1-BRK-G0</x:v>
      </x:c>
      <x:c r="D541" s="9" t="str">
        <x:v>HC-A-C-TECH-4</x:v>
      </x:c>
      <x:c r="E541" s="9" t="str">
        <x:v>HC-A-C</x:v>
      </x:c>
      <x:c r="F541" s="9" t="str">
        <x:v>B1</x:v>
      </x:c>
      <x:c r="G541" s="9" t="str">
        <x:v>BRK</x:v>
      </x:c>
      <x:c r="H541" s="9" t="str">
        <x:v>OG07</x:v>
      </x:c>
      <x:c r="I541" s="17" t="str">
        <x:v>Receiver denominator</x:v>
      </x:c>
      <x:c r="J541" s="17" t="str">
        <x:v>population, quantity, duration and exclusions match the frozen receipt</x:v>
      </x:c>
      <x:c r="K541" s="17" t="str">
        <x:v>Receiver court</x:v>
      </x:c>
      <x:c r="L541" s="9" t="n">
        <x:v>0</x:v>
      </x:c>
      <x:c r="M541" s="9" t="n">
        <x:v>0</x:v>
      </x:c>
      <x:c r="N541" s="9" t="str">
        <x:v>OPEN / UNACCEPTED</x:v>
      </x:c>
      <x:c r="O541" s="9" t="n">
        <x:f>COUNTIFS($A$7:$A$1734,A541)</x:f>
        <x:v>1</x:v>
      </x:c>
    </x:row>
    <x:row r="542">
      <x:c r="A542" s="9" t="str">
        <x:v>EV-AR-HC-A-C-TECH-4-B1-BRK-G0-OG08</x:v>
      </x:c>
      <x:c r="B542" s="9" t="str">
        <x:v>EV-AR-HC-A-C-TECH-4-B1-BRK-G0</x:v>
      </x:c>
      <x:c r="C542" s="9" t="str">
        <x:v>AR-HC-A-C-TECH-4-B1-BRK-G0</x:v>
      </x:c>
      <x:c r="D542" s="9" t="str">
        <x:v>HC-A-C-TECH-4</x:v>
      </x:c>
      <x:c r="E542" s="9" t="str">
        <x:v>HC-A-C</x:v>
      </x:c>
      <x:c r="F542" s="9" t="str">
        <x:v>B1</x:v>
      </x:c>
      <x:c r="G542" s="9" t="str">
        <x:v>BRK</x:v>
      </x:c>
      <x:c r="H542" s="9" t="str">
        <x:v>OG08</x:v>
      </x:c>
      <x:c r="I542" s="17" t="str">
        <x:v>Environment and boundary</x:v>
      </x:c>
      <x:c r="J542" s="17" t="str">
        <x:v>registered weather, water, ground, inlet and outlet states are retained</x:v>
      </x:c>
      <x:c r="K542" s="17" t="str">
        <x:v>Boundary court</x:v>
      </x:c>
      <x:c r="L542" s="9" t="n">
        <x:v>0</x:v>
      </x:c>
      <x:c r="M542" s="9" t="n">
        <x:v>0</x:v>
      </x:c>
      <x:c r="N542" s="9" t="str">
        <x:v>OPEN / UNACCEPTED</x:v>
      </x:c>
      <x:c r="O542" s="9" t="n">
        <x:f>COUNTIFS($A$7:$A$1734,A542)</x:f>
        <x:v>1</x:v>
      </x:c>
    </x:row>
    <x:row r="543">
      <x:c r="A543" s="9" t="str">
        <x:v>EV-AR-HC-A-C-TECH-4-B1-BRK-G0-OG09</x:v>
      </x:c>
      <x:c r="B543" s="9" t="str">
        <x:v>EV-AR-HC-A-C-TECH-4-B1-BRK-G0</x:v>
      </x:c>
      <x:c r="C543" s="9" t="str">
        <x:v>AR-HC-A-C-TECH-4-B1-BRK-G0</x:v>
      </x:c>
      <x:c r="D543" s="9" t="str">
        <x:v>HC-A-C-TECH-4</x:v>
      </x:c>
      <x:c r="E543" s="9" t="str">
        <x:v>HC-A-C</x:v>
      </x:c>
      <x:c r="F543" s="9" t="str">
        <x:v>B1</x:v>
      </x:c>
      <x:c r="G543" s="9" t="str">
        <x:v>BRK</x:v>
      </x:c>
      <x:c r="H543" s="9" t="str">
        <x:v>OG09</x:v>
      </x:c>
      <x:c r="I543" s="17" t="str">
        <x:v>Intervention account</x:v>
      </x:c>
      <x:c r="J543" s="17" t="str">
        <x:v>all stop, rescue, operator and public-protection actions remain timestamped</x:v>
      </x:c>
      <x:c r="K543" s="17" t="str">
        <x:v>Safety record court</x:v>
      </x:c>
      <x:c r="L543" s="9" t="n">
        <x:v>0</x:v>
      </x:c>
      <x:c r="M543" s="9" t="n">
        <x:v>0</x:v>
      </x:c>
      <x:c r="N543" s="9" t="str">
        <x:v>OPEN / UNACCEPTED</x:v>
      </x:c>
      <x:c r="O543" s="9" t="n">
        <x:f>COUNTIFS($A$7:$A$1734,A543)</x:f>
        <x:v>1</x:v>
      </x:c>
    </x:row>
    <x:row r="544">
      <x:c r="A544" s="9" t="str">
        <x:v>EV-AR-HC-A-C-TECH-4-B1-BRK-G0-OG10</x:v>
      </x:c>
      <x:c r="B544" s="9" t="str">
        <x:v>EV-AR-HC-A-C-TECH-4-B1-BRK-G0</x:v>
      </x:c>
      <x:c r="C544" s="9" t="str">
        <x:v>AR-HC-A-C-TECH-4-B1-BRK-G0</x:v>
      </x:c>
      <x:c r="D544" s="9" t="str">
        <x:v>HC-A-C-TECH-4</x:v>
      </x:c>
      <x:c r="E544" s="9" t="str">
        <x:v>HC-A-C</x:v>
      </x:c>
      <x:c r="F544" s="9" t="str">
        <x:v>B1</x:v>
      </x:c>
      <x:c r="G544" s="9" t="str">
        <x:v>BRK</x:v>
      </x:c>
      <x:c r="H544" s="9" t="str">
        <x:v>OG10</x:v>
      </x:c>
      <x:c r="I544" s="17" t="str">
        <x:v>Uncertainty statement</x:v>
      </x:c>
      <x:c r="J544" s="17" t="str">
        <x:v>range, censoring, resolution and correlation are declared before judgment</x:v>
      </x:c>
      <x:c r="K544" s="17" t="str">
        <x:v>Uncertainty authority</x:v>
      </x:c>
      <x:c r="L544" s="9" t="n">
        <x:v>0</x:v>
      </x:c>
      <x:c r="M544" s="9" t="n">
        <x:v>0</x:v>
      </x:c>
      <x:c r="N544" s="9" t="str">
        <x:v>OPEN / UNACCEPTED</x:v>
      </x:c>
      <x:c r="O544" s="9" t="n">
        <x:f>COUNTIFS($A$7:$A$1734,A544)</x:f>
        <x:v>1</x:v>
      </x:c>
    </x:row>
    <x:row r="545">
      <x:c r="A545" s="9" t="str">
        <x:v>EV-AR-HC-A-C-TECH-4-B1-BRK-G0-OG11</x:v>
      </x:c>
      <x:c r="B545" s="9" t="str">
        <x:v>EV-AR-HC-A-C-TECH-4-B1-BRK-G0</x:v>
      </x:c>
      <x:c r="C545" s="9" t="str">
        <x:v>AR-HC-A-C-TECH-4-B1-BRK-G0</x:v>
      </x:c>
      <x:c r="D545" s="9" t="str">
        <x:v>HC-A-C-TECH-4</x:v>
      </x:c>
      <x:c r="E545" s="9" t="str">
        <x:v>HC-A-C</x:v>
      </x:c>
      <x:c r="F545" s="9" t="str">
        <x:v>B1</x:v>
      </x:c>
      <x:c r="G545" s="9" t="str">
        <x:v>BRK</x:v>
      </x:c>
      <x:c r="H545" s="9" t="str">
        <x:v>OG11</x:v>
      </x:c>
      <x:c r="I545" s="17" t="str">
        <x:v>Contradiction preservation</x:v>
      </x:c>
      <x:c r="J545" s="17" t="str">
        <x:v>primary-witness disagreement remains explicit and is never averaged away</x:v>
      </x:c>
      <x:c r="K545" s="17" t="str">
        <x:v>Dissent registrar</x:v>
      </x:c>
      <x:c r="L545" s="9" t="n">
        <x:v>0</x:v>
      </x:c>
      <x:c r="M545" s="9" t="n">
        <x:v>0</x:v>
      </x:c>
      <x:c r="N545" s="9" t="str">
        <x:v>OPEN / UNACCEPTED</x:v>
      </x:c>
      <x:c r="O545" s="9" t="n">
        <x:f>COUNTIFS($A$7:$A$1734,A545)</x:f>
        <x:v>1</x:v>
      </x:c>
    </x:row>
    <x:row r="546">
      <x:c r="A546" s="9" t="str">
        <x:v>EV-AR-HC-A-C-TECH-4-B1-BRK-G0-OG12</x:v>
      </x:c>
      <x:c r="B546" s="9" t="str">
        <x:v>EV-AR-HC-A-C-TECH-4-B1-BRK-G0</x:v>
      </x:c>
      <x:c r="C546" s="9" t="str">
        <x:v>AR-HC-A-C-TECH-4-B1-BRK-G0</x:v>
      </x:c>
      <x:c r="D546" s="9" t="str">
        <x:v>HC-A-C-TECH-4</x:v>
      </x:c>
      <x:c r="E546" s="9" t="str">
        <x:v>HC-A-C</x:v>
      </x:c>
      <x:c r="F546" s="9" t="str">
        <x:v>B1</x:v>
      </x:c>
      <x:c r="G546" s="9" t="str">
        <x:v>BRK</x:v>
      </x:c>
      <x:c r="H546" s="9" t="str">
        <x:v>OG12</x:v>
      </x:c>
      <x:c r="I546" s="17" t="str">
        <x:v>Independent replay</x:v>
      </x:c>
      <x:c r="J546" s="17" t="str">
        <x:v>a separated reader reconstructs the registered observables from sealed originals</x:v>
      </x:c>
      <x:c r="K546" s="17" t="str">
        <x:v>Replay court</x:v>
      </x:c>
      <x:c r="L546" s="9" t="n">
        <x:v>0</x:v>
      </x:c>
      <x:c r="M546" s="9" t="n">
        <x:v>0</x:v>
      </x:c>
      <x:c r="N546" s="9" t="str">
        <x:v>OPEN / UNACCEPTED</x:v>
      </x:c>
      <x:c r="O546" s="9" t="n">
        <x:f>COUNTIFS($A$7:$A$1734,A546)</x:f>
        <x:v>1</x:v>
      </x:c>
    </x:row>
    <x:row r="547">
      <x:c r="A547" s="9" t="str">
        <x:v>EV-AR-HC-A-C-TECH-2-B1-RCN-G0-OG01</x:v>
      </x:c>
      <x:c r="B547" s="9" t="str">
        <x:v>EV-AR-HC-A-C-TECH-2-B1-RCN-G0</x:v>
      </x:c>
      <x:c r="C547" s="9" t="str">
        <x:v>AR-HC-A-C-TECH-2-B1-RCN-G0</x:v>
      </x:c>
      <x:c r="D547" s="9" t="str">
        <x:v>HC-A-C-TECH-2</x:v>
      </x:c>
      <x:c r="E547" s="9" t="str">
        <x:v>HC-A-C</x:v>
      </x:c>
      <x:c r="F547" s="9" t="str">
        <x:v>B1</x:v>
      </x:c>
      <x:c r="G547" s="9" t="str">
        <x:v>RCN</x:v>
      </x:c>
      <x:c r="H547" s="9" t="str">
        <x:v>OG01</x:v>
      </x:c>
      <x:c r="I547" s="17" t="str">
        <x:v>Serial and event identity</x:v>
      </x:c>
      <x:c r="J547" s="17" t="str">
        <x:v>record resolves to the issued serial, generation and physical start</x:v>
      </x:c>
      <x:c r="K547" s="17" t="str">
        <x:v>Observation court</x:v>
      </x:c>
      <x:c r="L547" s="9" t="n">
        <x:v>0</x:v>
      </x:c>
      <x:c r="M547" s="9" t="n">
        <x:v>0</x:v>
      </x:c>
      <x:c r="N547" s="9" t="str">
        <x:v>OPEN / UNACCEPTED</x:v>
      </x:c>
      <x:c r="O547" s="9" t="n">
        <x:f>COUNTIFS($A$7:$A$1734,A547)</x:f>
        <x:v>1</x:v>
      </x:c>
    </x:row>
    <x:row r="548">
      <x:c r="A548" s="9" t="str">
        <x:v>EV-AR-HC-A-C-TECH-2-B1-RCN-G0-OG02</x:v>
      </x:c>
      <x:c r="B548" s="9" t="str">
        <x:v>EV-AR-HC-A-C-TECH-2-B1-RCN-G0</x:v>
      </x:c>
      <x:c r="C548" s="9" t="str">
        <x:v>AR-HC-A-C-TECH-2-B1-RCN-G0</x:v>
      </x:c>
      <x:c r="D548" s="9" t="str">
        <x:v>HC-A-C-TECH-2</x:v>
      </x:c>
      <x:c r="E548" s="9" t="str">
        <x:v>HC-A-C</x:v>
      </x:c>
      <x:c r="F548" s="9" t="str">
        <x:v>B1</x:v>
      </x:c>
      <x:c r="G548" s="9" t="str">
        <x:v>RCN</x:v>
      </x:c>
      <x:c r="H548" s="9" t="str">
        <x:v>OG02</x:v>
      </x:c>
      <x:c r="I548" s="17" t="str">
        <x:v>Time ancestry</x:v>
      </x:c>
      <x:c r="J548" s="17" t="str">
        <x:v>primary, witness and public event clocks retain declared offsets and drift</x:v>
      </x:c>
      <x:c r="K548" s="17" t="str">
        <x:v>Time authority</x:v>
      </x:c>
      <x:c r="L548" s="9" t="n">
        <x:v>0</x:v>
      </x:c>
      <x:c r="M548" s="9" t="n">
        <x:v>0</x:v>
      </x:c>
      <x:c r="N548" s="9" t="str">
        <x:v>OPEN / UNACCEPTED</x:v>
      </x:c>
      <x:c r="O548" s="9" t="n">
        <x:f>COUNTIFS($A$7:$A$1734,A548)</x:f>
        <x:v>1</x:v>
      </x:c>
    </x:row>
    <x:row r="549">
      <x:c r="A549" s="9" t="str">
        <x:v>EV-AR-HC-A-C-TECH-2-B1-RCN-G0-OG03</x:v>
      </x:c>
      <x:c r="B549" s="9" t="str">
        <x:v>EV-AR-HC-A-C-TECH-2-B1-RCN-G0</x:v>
      </x:c>
      <x:c r="C549" s="9" t="str">
        <x:v>AR-HC-A-C-TECH-2-B1-RCN-G0</x:v>
      </x:c>
      <x:c r="D549" s="9" t="str">
        <x:v>HC-A-C-TECH-2</x:v>
      </x:c>
      <x:c r="E549" s="9" t="str">
        <x:v>HC-A-C</x:v>
      </x:c>
      <x:c r="F549" s="9" t="str">
        <x:v>B1</x:v>
      </x:c>
      <x:c r="G549" s="9" t="str">
        <x:v>RCN</x:v>
      </x:c>
      <x:c r="H549" s="9" t="str">
        <x:v>OG03</x:v>
      </x:c>
      <x:c r="I549" s="17" t="str">
        <x:v>Calibration ancestry</x:v>
      </x:c>
      <x:c r="J549" s="17" t="str">
        <x:v>all reference, range and uncertainty states cover the live interval</x:v>
      </x:c>
      <x:c r="K549" s="17" t="str">
        <x:v>Metrology courts</x:v>
      </x:c>
      <x:c r="L549" s="9" t="n">
        <x:v>0</x:v>
      </x:c>
      <x:c r="M549" s="9" t="n">
        <x:v>0</x:v>
      </x:c>
      <x:c r="N549" s="9" t="str">
        <x:v>OPEN / UNACCEPTED</x:v>
      </x:c>
      <x:c r="O549" s="9" t="n">
        <x:f>COUNTIFS($A$7:$A$1734,A549)</x:f>
        <x:v>1</x:v>
      </x:c>
    </x:row>
    <x:row r="550">
      <x:c r="A550" s="9" t="str">
        <x:v>EV-AR-HC-A-C-TECH-2-B1-RCN-G0-OG04</x:v>
      </x:c>
      <x:c r="B550" s="9" t="str">
        <x:v>EV-AR-HC-A-C-TECH-2-B1-RCN-G0</x:v>
      </x:c>
      <x:c r="C550" s="9" t="str">
        <x:v>AR-HC-A-C-TECH-2-B1-RCN-G0</x:v>
      </x:c>
      <x:c r="D550" s="9" t="str">
        <x:v>HC-A-C-TECH-2</x:v>
      </x:c>
      <x:c r="E550" s="9" t="str">
        <x:v>HC-A-C</x:v>
      </x:c>
      <x:c r="F550" s="9" t="str">
        <x:v>B1</x:v>
      </x:c>
      <x:c r="G550" s="9" t="str">
        <x:v>RCN</x:v>
      </x:c>
      <x:c r="H550" s="9" t="str">
        <x:v>OG04</x:v>
      </x:c>
      <x:c r="I550" s="17" t="str">
        <x:v>Raw completeness</x:v>
      </x:c>
      <x:c r="J550" s="17" t="str">
        <x:v>missingness is enumerated without imputation or outcome-conditioned deletion</x:v>
      </x:c>
      <x:c r="K550" s="17" t="str">
        <x:v>Observation court</x:v>
      </x:c>
      <x:c r="L550" s="9" t="n">
        <x:v>0</x:v>
      </x:c>
      <x:c r="M550" s="9" t="n">
        <x:v>0</x:v>
      </x:c>
      <x:c r="N550" s="9" t="str">
        <x:v>OPEN / UNACCEPTED</x:v>
      </x:c>
      <x:c r="O550" s="9" t="n">
        <x:f>COUNTIFS($A$7:$A$1734,A550)</x:f>
        <x:v>1</x:v>
      </x:c>
    </x:row>
    <x:row r="551">
      <x:c r="A551" s="9" t="str">
        <x:v>EV-AR-HC-A-C-TECH-2-B1-RCN-G0-OG05</x:v>
      </x:c>
      <x:c r="B551" s="9" t="str">
        <x:v>EV-AR-HC-A-C-TECH-2-B1-RCN-G0</x:v>
      </x:c>
      <x:c r="C551" s="9" t="str">
        <x:v>AR-HC-A-C-TECH-2-B1-RCN-G0</x:v>
      </x:c>
      <x:c r="D551" s="9" t="str">
        <x:v>HC-A-C-TECH-2</x:v>
      </x:c>
      <x:c r="E551" s="9" t="str">
        <x:v>HC-A-C</x:v>
      </x:c>
      <x:c r="F551" s="9" t="str">
        <x:v>B1</x:v>
      </x:c>
      <x:c r="G551" s="9" t="str">
        <x:v>RCN</x:v>
      </x:c>
      <x:c r="H551" s="9" t="str">
        <x:v>OG05</x:v>
      </x:c>
      <x:c r="I551" s="17" t="str">
        <x:v>Primary provenance</x:v>
      </x:c>
      <x:c r="J551" s="17" t="str">
        <x:v>primary originals, hashes, keys and access history reconcile</x:v>
      </x:c>
      <x:c r="K551" s="17" t="str">
        <x:v>Primary custody</x:v>
      </x:c>
      <x:c r="L551" s="9" t="n">
        <x:v>0</x:v>
      </x:c>
      <x:c r="M551" s="9" t="n">
        <x:v>0</x:v>
      </x:c>
      <x:c r="N551" s="9" t="str">
        <x:v>OPEN / UNACCEPTED</x:v>
      </x:c>
      <x:c r="O551" s="9" t="n">
        <x:f>COUNTIFS($A$7:$A$1734,A551)</x:f>
        <x:v>1</x:v>
      </x:c>
    </x:row>
    <x:row r="552">
      <x:c r="A552" s="9" t="str">
        <x:v>EV-AR-HC-A-C-TECH-2-B1-RCN-G0-OG06</x:v>
      </x:c>
      <x:c r="B552" s="9" t="str">
        <x:v>EV-AR-HC-A-C-TECH-2-B1-RCN-G0</x:v>
      </x:c>
      <x:c r="C552" s="9" t="str">
        <x:v>AR-HC-A-C-TECH-2-B1-RCN-G0</x:v>
      </x:c>
      <x:c r="D552" s="9" t="str">
        <x:v>HC-A-C-TECH-2</x:v>
      </x:c>
      <x:c r="E552" s="9" t="str">
        <x:v>HC-A-C</x:v>
      </x:c>
      <x:c r="F552" s="9" t="str">
        <x:v>B1</x:v>
      </x:c>
      <x:c r="G552" s="9" t="str">
        <x:v>RCN</x:v>
      </x:c>
      <x:c r="H552" s="9" t="str">
        <x:v>OG06</x:v>
      </x:c>
      <x:c r="I552" s="17" t="str">
        <x:v>Witness provenance</x:v>
      </x:c>
      <x:c r="J552" s="17" t="str">
        <x:v>unlike witness originals, hashes, keys and access history reconcile</x:v>
      </x:c>
      <x:c r="K552" s="17" t="str">
        <x:v>Witness custody</x:v>
      </x:c>
      <x:c r="L552" s="9" t="n">
        <x:v>0</x:v>
      </x:c>
      <x:c r="M552" s="9" t="n">
        <x:v>0</x:v>
      </x:c>
      <x:c r="N552" s="9" t="str">
        <x:v>OPEN / UNACCEPTED</x:v>
      </x:c>
      <x:c r="O552" s="9" t="n">
        <x:f>COUNTIFS($A$7:$A$1734,A552)</x:f>
        <x:v>1</x:v>
      </x:c>
    </x:row>
    <x:row r="553">
      <x:c r="A553" s="9" t="str">
        <x:v>EV-AR-HC-A-C-TECH-2-B1-RCN-G0-OG07</x:v>
      </x:c>
      <x:c r="B553" s="9" t="str">
        <x:v>EV-AR-HC-A-C-TECH-2-B1-RCN-G0</x:v>
      </x:c>
      <x:c r="C553" s="9" t="str">
        <x:v>AR-HC-A-C-TECH-2-B1-RCN-G0</x:v>
      </x:c>
      <x:c r="D553" s="9" t="str">
        <x:v>HC-A-C-TECH-2</x:v>
      </x:c>
      <x:c r="E553" s="9" t="str">
        <x:v>HC-A-C</x:v>
      </x:c>
      <x:c r="F553" s="9" t="str">
        <x:v>B1</x:v>
      </x:c>
      <x:c r="G553" s="9" t="str">
        <x:v>RCN</x:v>
      </x:c>
      <x:c r="H553" s="9" t="str">
        <x:v>OG07</x:v>
      </x:c>
      <x:c r="I553" s="17" t="str">
        <x:v>Receiver denominator</x:v>
      </x:c>
      <x:c r="J553" s="17" t="str">
        <x:v>population, quantity, duration and exclusions match the frozen receipt</x:v>
      </x:c>
      <x:c r="K553" s="17" t="str">
        <x:v>Receiver court</x:v>
      </x:c>
      <x:c r="L553" s="9" t="n">
        <x:v>0</x:v>
      </x:c>
      <x:c r="M553" s="9" t="n">
        <x:v>0</x:v>
      </x:c>
      <x:c r="N553" s="9" t="str">
        <x:v>OPEN / UNACCEPTED</x:v>
      </x:c>
      <x:c r="O553" s="9" t="n">
        <x:f>COUNTIFS($A$7:$A$1734,A553)</x:f>
        <x:v>1</x:v>
      </x:c>
    </x:row>
    <x:row r="554">
      <x:c r="A554" s="9" t="str">
        <x:v>EV-AR-HC-A-C-TECH-2-B1-RCN-G0-OG08</x:v>
      </x:c>
      <x:c r="B554" s="9" t="str">
        <x:v>EV-AR-HC-A-C-TECH-2-B1-RCN-G0</x:v>
      </x:c>
      <x:c r="C554" s="9" t="str">
        <x:v>AR-HC-A-C-TECH-2-B1-RCN-G0</x:v>
      </x:c>
      <x:c r="D554" s="9" t="str">
        <x:v>HC-A-C-TECH-2</x:v>
      </x:c>
      <x:c r="E554" s="9" t="str">
        <x:v>HC-A-C</x:v>
      </x:c>
      <x:c r="F554" s="9" t="str">
        <x:v>B1</x:v>
      </x:c>
      <x:c r="G554" s="9" t="str">
        <x:v>RCN</x:v>
      </x:c>
      <x:c r="H554" s="9" t="str">
        <x:v>OG08</x:v>
      </x:c>
      <x:c r="I554" s="17" t="str">
        <x:v>Environment and boundary</x:v>
      </x:c>
      <x:c r="J554" s="17" t="str">
        <x:v>registered weather, water, ground, inlet and outlet states are retained</x:v>
      </x:c>
      <x:c r="K554" s="17" t="str">
        <x:v>Boundary court</x:v>
      </x:c>
      <x:c r="L554" s="9" t="n">
        <x:v>0</x:v>
      </x:c>
      <x:c r="M554" s="9" t="n">
        <x:v>0</x:v>
      </x:c>
      <x:c r="N554" s="9" t="str">
        <x:v>OPEN / UNACCEPTED</x:v>
      </x:c>
      <x:c r="O554" s="9" t="n">
        <x:f>COUNTIFS($A$7:$A$1734,A554)</x:f>
        <x:v>1</x:v>
      </x:c>
    </x:row>
    <x:row r="555">
      <x:c r="A555" s="9" t="str">
        <x:v>EV-AR-HC-A-C-TECH-2-B1-RCN-G0-OG09</x:v>
      </x:c>
      <x:c r="B555" s="9" t="str">
        <x:v>EV-AR-HC-A-C-TECH-2-B1-RCN-G0</x:v>
      </x:c>
      <x:c r="C555" s="9" t="str">
        <x:v>AR-HC-A-C-TECH-2-B1-RCN-G0</x:v>
      </x:c>
      <x:c r="D555" s="9" t="str">
        <x:v>HC-A-C-TECH-2</x:v>
      </x:c>
      <x:c r="E555" s="9" t="str">
        <x:v>HC-A-C</x:v>
      </x:c>
      <x:c r="F555" s="9" t="str">
        <x:v>B1</x:v>
      </x:c>
      <x:c r="G555" s="9" t="str">
        <x:v>RCN</x:v>
      </x:c>
      <x:c r="H555" s="9" t="str">
        <x:v>OG09</x:v>
      </x:c>
      <x:c r="I555" s="17" t="str">
        <x:v>Intervention account</x:v>
      </x:c>
      <x:c r="J555" s="17" t="str">
        <x:v>all stop, rescue, operator and public-protection actions remain timestamped</x:v>
      </x:c>
      <x:c r="K555" s="17" t="str">
        <x:v>Safety record court</x:v>
      </x:c>
      <x:c r="L555" s="9" t="n">
        <x:v>0</x:v>
      </x:c>
      <x:c r="M555" s="9" t="n">
        <x:v>0</x:v>
      </x:c>
      <x:c r="N555" s="9" t="str">
        <x:v>OPEN / UNACCEPTED</x:v>
      </x:c>
      <x:c r="O555" s="9" t="n">
        <x:f>COUNTIFS($A$7:$A$1734,A555)</x:f>
        <x:v>1</x:v>
      </x:c>
    </x:row>
    <x:row r="556">
      <x:c r="A556" s="9" t="str">
        <x:v>EV-AR-HC-A-C-TECH-2-B1-RCN-G0-OG10</x:v>
      </x:c>
      <x:c r="B556" s="9" t="str">
        <x:v>EV-AR-HC-A-C-TECH-2-B1-RCN-G0</x:v>
      </x:c>
      <x:c r="C556" s="9" t="str">
        <x:v>AR-HC-A-C-TECH-2-B1-RCN-G0</x:v>
      </x:c>
      <x:c r="D556" s="9" t="str">
        <x:v>HC-A-C-TECH-2</x:v>
      </x:c>
      <x:c r="E556" s="9" t="str">
        <x:v>HC-A-C</x:v>
      </x:c>
      <x:c r="F556" s="9" t="str">
        <x:v>B1</x:v>
      </x:c>
      <x:c r="G556" s="9" t="str">
        <x:v>RCN</x:v>
      </x:c>
      <x:c r="H556" s="9" t="str">
        <x:v>OG10</x:v>
      </x:c>
      <x:c r="I556" s="17" t="str">
        <x:v>Uncertainty statement</x:v>
      </x:c>
      <x:c r="J556" s="17" t="str">
        <x:v>range, censoring, resolution and correlation are declared before judgment</x:v>
      </x:c>
      <x:c r="K556" s="17" t="str">
        <x:v>Uncertainty authority</x:v>
      </x:c>
      <x:c r="L556" s="9" t="n">
        <x:v>0</x:v>
      </x:c>
      <x:c r="M556" s="9" t="n">
        <x:v>0</x:v>
      </x:c>
      <x:c r="N556" s="9" t="str">
        <x:v>OPEN / UNACCEPTED</x:v>
      </x:c>
      <x:c r="O556" s="9" t="n">
        <x:f>COUNTIFS($A$7:$A$1734,A556)</x:f>
        <x:v>1</x:v>
      </x:c>
    </x:row>
    <x:row r="557">
      <x:c r="A557" s="9" t="str">
        <x:v>EV-AR-HC-A-C-TECH-2-B1-RCN-G0-OG11</x:v>
      </x:c>
      <x:c r="B557" s="9" t="str">
        <x:v>EV-AR-HC-A-C-TECH-2-B1-RCN-G0</x:v>
      </x:c>
      <x:c r="C557" s="9" t="str">
        <x:v>AR-HC-A-C-TECH-2-B1-RCN-G0</x:v>
      </x:c>
      <x:c r="D557" s="9" t="str">
        <x:v>HC-A-C-TECH-2</x:v>
      </x:c>
      <x:c r="E557" s="9" t="str">
        <x:v>HC-A-C</x:v>
      </x:c>
      <x:c r="F557" s="9" t="str">
        <x:v>B1</x:v>
      </x:c>
      <x:c r="G557" s="9" t="str">
        <x:v>RCN</x:v>
      </x:c>
      <x:c r="H557" s="9" t="str">
        <x:v>OG11</x:v>
      </x:c>
      <x:c r="I557" s="17" t="str">
        <x:v>Contradiction preservation</x:v>
      </x:c>
      <x:c r="J557" s="17" t="str">
        <x:v>primary-witness disagreement remains explicit and is never averaged away</x:v>
      </x:c>
      <x:c r="K557" s="17" t="str">
        <x:v>Dissent registrar</x:v>
      </x:c>
      <x:c r="L557" s="9" t="n">
        <x:v>0</x:v>
      </x:c>
      <x:c r="M557" s="9" t="n">
        <x:v>0</x:v>
      </x:c>
      <x:c r="N557" s="9" t="str">
        <x:v>OPEN / UNACCEPTED</x:v>
      </x:c>
      <x:c r="O557" s="9" t="n">
        <x:f>COUNTIFS($A$7:$A$1734,A557)</x:f>
        <x:v>1</x:v>
      </x:c>
    </x:row>
    <x:row r="558">
      <x:c r="A558" s="9" t="str">
        <x:v>EV-AR-HC-A-C-TECH-2-B1-RCN-G0-OG12</x:v>
      </x:c>
      <x:c r="B558" s="9" t="str">
        <x:v>EV-AR-HC-A-C-TECH-2-B1-RCN-G0</x:v>
      </x:c>
      <x:c r="C558" s="9" t="str">
        <x:v>AR-HC-A-C-TECH-2-B1-RCN-G0</x:v>
      </x:c>
      <x:c r="D558" s="9" t="str">
        <x:v>HC-A-C-TECH-2</x:v>
      </x:c>
      <x:c r="E558" s="9" t="str">
        <x:v>HC-A-C</x:v>
      </x:c>
      <x:c r="F558" s="9" t="str">
        <x:v>B1</x:v>
      </x:c>
      <x:c r="G558" s="9" t="str">
        <x:v>RCN</x:v>
      </x:c>
      <x:c r="H558" s="9" t="str">
        <x:v>OG12</x:v>
      </x:c>
      <x:c r="I558" s="17" t="str">
        <x:v>Independent replay</x:v>
      </x:c>
      <x:c r="J558" s="17" t="str">
        <x:v>a separated reader reconstructs the registered observables from sealed originals</x:v>
      </x:c>
      <x:c r="K558" s="17" t="str">
        <x:v>Replay court</x:v>
      </x:c>
      <x:c r="L558" s="9" t="n">
        <x:v>0</x:v>
      </x:c>
      <x:c r="M558" s="9" t="n">
        <x:v>0</x:v>
      </x:c>
      <x:c r="N558" s="9" t="str">
        <x:v>OPEN / UNACCEPTED</x:v>
      </x:c>
      <x:c r="O558" s="9" t="n">
        <x:f>COUNTIFS($A$7:$A$1734,A558)</x:f>
        <x:v>1</x:v>
      </x:c>
    </x:row>
    <x:row r="559">
      <x:c r="A559" s="9" t="str">
        <x:v>EV-AR-HU-A-B-TECH-2-B1-BRK-G0-OG01</x:v>
      </x:c>
      <x:c r="B559" s="9" t="str">
        <x:v>EV-AR-HU-A-B-TECH-2-B1-BRK-G0</x:v>
      </x:c>
      <x:c r="C559" s="9" t="str">
        <x:v>AR-HU-A-B-TECH-2-B1-BRK-G0</x:v>
      </x:c>
      <x:c r="D559" s="9" t="str">
        <x:v>HU-A-B-TECH-2</x:v>
      </x:c>
      <x:c r="E559" s="9" t="str">
        <x:v>HU-A-B</x:v>
      </x:c>
      <x:c r="F559" s="9" t="str">
        <x:v>B1</x:v>
      </x:c>
      <x:c r="G559" s="9" t="str">
        <x:v>BRK</x:v>
      </x:c>
      <x:c r="H559" s="9" t="str">
        <x:v>OG01</x:v>
      </x:c>
      <x:c r="I559" s="17" t="str">
        <x:v>Serial and event identity</x:v>
      </x:c>
      <x:c r="J559" s="17" t="str">
        <x:v>record resolves to the issued serial, generation and physical start</x:v>
      </x:c>
      <x:c r="K559" s="17" t="str">
        <x:v>Observation court</x:v>
      </x:c>
      <x:c r="L559" s="9" t="n">
        <x:v>0</x:v>
      </x:c>
      <x:c r="M559" s="9" t="n">
        <x:v>0</x:v>
      </x:c>
      <x:c r="N559" s="9" t="str">
        <x:v>OPEN / UNACCEPTED</x:v>
      </x:c>
      <x:c r="O559" s="9" t="n">
        <x:f>COUNTIFS($A$7:$A$1734,A559)</x:f>
        <x:v>1</x:v>
      </x:c>
    </x:row>
    <x:row r="560">
      <x:c r="A560" s="9" t="str">
        <x:v>EV-AR-HU-A-B-TECH-2-B1-BRK-G0-OG02</x:v>
      </x:c>
      <x:c r="B560" s="9" t="str">
        <x:v>EV-AR-HU-A-B-TECH-2-B1-BRK-G0</x:v>
      </x:c>
      <x:c r="C560" s="9" t="str">
        <x:v>AR-HU-A-B-TECH-2-B1-BRK-G0</x:v>
      </x:c>
      <x:c r="D560" s="9" t="str">
        <x:v>HU-A-B-TECH-2</x:v>
      </x:c>
      <x:c r="E560" s="9" t="str">
        <x:v>HU-A-B</x:v>
      </x:c>
      <x:c r="F560" s="9" t="str">
        <x:v>B1</x:v>
      </x:c>
      <x:c r="G560" s="9" t="str">
        <x:v>BRK</x:v>
      </x:c>
      <x:c r="H560" s="9" t="str">
        <x:v>OG02</x:v>
      </x:c>
      <x:c r="I560" s="17" t="str">
        <x:v>Time ancestry</x:v>
      </x:c>
      <x:c r="J560" s="17" t="str">
        <x:v>primary, witness and public event clocks retain declared offsets and drift</x:v>
      </x:c>
      <x:c r="K560" s="17" t="str">
        <x:v>Time authority</x:v>
      </x:c>
      <x:c r="L560" s="9" t="n">
        <x:v>0</x:v>
      </x:c>
      <x:c r="M560" s="9" t="n">
        <x:v>0</x:v>
      </x:c>
      <x:c r="N560" s="9" t="str">
        <x:v>OPEN / UNACCEPTED</x:v>
      </x:c>
      <x:c r="O560" s="9" t="n">
        <x:f>COUNTIFS($A$7:$A$1734,A560)</x:f>
        <x:v>1</x:v>
      </x:c>
    </x:row>
    <x:row r="561">
      <x:c r="A561" s="9" t="str">
        <x:v>EV-AR-HU-A-B-TECH-2-B1-BRK-G0-OG03</x:v>
      </x:c>
      <x:c r="B561" s="9" t="str">
        <x:v>EV-AR-HU-A-B-TECH-2-B1-BRK-G0</x:v>
      </x:c>
      <x:c r="C561" s="9" t="str">
        <x:v>AR-HU-A-B-TECH-2-B1-BRK-G0</x:v>
      </x:c>
      <x:c r="D561" s="9" t="str">
        <x:v>HU-A-B-TECH-2</x:v>
      </x:c>
      <x:c r="E561" s="9" t="str">
        <x:v>HU-A-B</x:v>
      </x:c>
      <x:c r="F561" s="9" t="str">
        <x:v>B1</x:v>
      </x:c>
      <x:c r="G561" s="9" t="str">
        <x:v>BRK</x:v>
      </x:c>
      <x:c r="H561" s="9" t="str">
        <x:v>OG03</x:v>
      </x:c>
      <x:c r="I561" s="17" t="str">
        <x:v>Calibration ancestry</x:v>
      </x:c>
      <x:c r="J561" s="17" t="str">
        <x:v>all reference, range and uncertainty states cover the live interval</x:v>
      </x:c>
      <x:c r="K561" s="17" t="str">
        <x:v>Metrology courts</x:v>
      </x:c>
      <x:c r="L561" s="9" t="n">
        <x:v>0</x:v>
      </x:c>
      <x:c r="M561" s="9" t="n">
        <x:v>0</x:v>
      </x:c>
      <x:c r="N561" s="9" t="str">
        <x:v>OPEN / UNACCEPTED</x:v>
      </x:c>
      <x:c r="O561" s="9" t="n">
        <x:f>COUNTIFS($A$7:$A$1734,A561)</x:f>
        <x:v>1</x:v>
      </x:c>
    </x:row>
    <x:row r="562">
      <x:c r="A562" s="9" t="str">
        <x:v>EV-AR-HU-A-B-TECH-2-B1-BRK-G0-OG04</x:v>
      </x:c>
      <x:c r="B562" s="9" t="str">
        <x:v>EV-AR-HU-A-B-TECH-2-B1-BRK-G0</x:v>
      </x:c>
      <x:c r="C562" s="9" t="str">
        <x:v>AR-HU-A-B-TECH-2-B1-BRK-G0</x:v>
      </x:c>
      <x:c r="D562" s="9" t="str">
        <x:v>HU-A-B-TECH-2</x:v>
      </x:c>
      <x:c r="E562" s="9" t="str">
        <x:v>HU-A-B</x:v>
      </x:c>
      <x:c r="F562" s="9" t="str">
        <x:v>B1</x:v>
      </x:c>
      <x:c r="G562" s="9" t="str">
        <x:v>BRK</x:v>
      </x:c>
      <x:c r="H562" s="9" t="str">
        <x:v>OG04</x:v>
      </x:c>
      <x:c r="I562" s="17" t="str">
        <x:v>Raw completeness</x:v>
      </x:c>
      <x:c r="J562" s="17" t="str">
        <x:v>missingness is enumerated without imputation or outcome-conditioned deletion</x:v>
      </x:c>
      <x:c r="K562" s="17" t="str">
        <x:v>Observation court</x:v>
      </x:c>
      <x:c r="L562" s="9" t="n">
        <x:v>0</x:v>
      </x:c>
      <x:c r="M562" s="9" t="n">
        <x:v>0</x:v>
      </x:c>
      <x:c r="N562" s="9" t="str">
        <x:v>OPEN / UNACCEPTED</x:v>
      </x:c>
      <x:c r="O562" s="9" t="n">
        <x:f>COUNTIFS($A$7:$A$1734,A562)</x:f>
        <x:v>1</x:v>
      </x:c>
    </x:row>
    <x:row r="563">
      <x:c r="A563" s="9" t="str">
        <x:v>EV-AR-HU-A-B-TECH-2-B1-BRK-G0-OG05</x:v>
      </x:c>
      <x:c r="B563" s="9" t="str">
        <x:v>EV-AR-HU-A-B-TECH-2-B1-BRK-G0</x:v>
      </x:c>
      <x:c r="C563" s="9" t="str">
        <x:v>AR-HU-A-B-TECH-2-B1-BRK-G0</x:v>
      </x:c>
      <x:c r="D563" s="9" t="str">
        <x:v>HU-A-B-TECH-2</x:v>
      </x:c>
      <x:c r="E563" s="9" t="str">
        <x:v>HU-A-B</x:v>
      </x:c>
      <x:c r="F563" s="9" t="str">
        <x:v>B1</x:v>
      </x:c>
      <x:c r="G563" s="9" t="str">
        <x:v>BRK</x:v>
      </x:c>
      <x:c r="H563" s="9" t="str">
        <x:v>OG05</x:v>
      </x:c>
      <x:c r="I563" s="17" t="str">
        <x:v>Primary provenance</x:v>
      </x:c>
      <x:c r="J563" s="17" t="str">
        <x:v>primary originals, hashes, keys and access history reconcile</x:v>
      </x:c>
      <x:c r="K563" s="17" t="str">
        <x:v>Primary custody</x:v>
      </x:c>
      <x:c r="L563" s="9" t="n">
        <x:v>0</x:v>
      </x:c>
      <x:c r="M563" s="9" t="n">
        <x:v>0</x:v>
      </x:c>
      <x:c r="N563" s="9" t="str">
        <x:v>OPEN / UNACCEPTED</x:v>
      </x:c>
      <x:c r="O563" s="9" t="n">
        <x:f>COUNTIFS($A$7:$A$1734,A563)</x:f>
        <x:v>1</x:v>
      </x:c>
    </x:row>
    <x:row r="564">
      <x:c r="A564" s="9" t="str">
        <x:v>EV-AR-HU-A-B-TECH-2-B1-BRK-G0-OG06</x:v>
      </x:c>
      <x:c r="B564" s="9" t="str">
        <x:v>EV-AR-HU-A-B-TECH-2-B1-BRK-G0</x:v>
      </x:c>
      <x:c r="C564" s="9" t="str">
        <x:v>AR-HU-A-B-TECH-2-B1-BRK-G0</x:v>
      </x:c>
      <x:c r="D564" s="9" t="str">
        <x:v>HU-A-B-TECH-2</x:v>
      </x:c>
      <x:c r="E564" s="9" t="str">
        <x:v>HU-A-B</x:v>
      </x:c>
      <x:c r="F564" s="9" t="str">
        <x:v>B1</x:v>
      </x:c>
      <x:c r="G564" s="9" t="str">
        <x:v>BRK</x:v>
      </x:c>
      <x:c r="H564" s="9" t="str">
        <x:v>OG06</x:v>
      </x:c>
      <x:c r="I564" s="17" t="str">
        <x:v>Witness provenance</x:v>
      </x:c>
      <x:c r="J564" s="17" t="str">
        <x:v>unlike witness originals, hashes, keys and access history reconcile</x:v>
      </x:c>
      <x:c r="K564" s="17" t="str">
        <x:v>Witness custody</x:v>
      </x:c>
      <x:c r="L564" s="9" t="n">
        <x:v>0</x:v>
      </x:c>
      <x:c r="M564" s="9" t="n">
        <x:v>0</x:v>
      </x:c>
      <x:c r="N564" s="9" t="str">
        <x:v>OPEN / UNACCEPTED</x:v>
      </x:c>
      <x:c r="O564" s="9" t="n">
        <x:f>COUNTIFS($A$7:$A$1734,A564)</x:f>
        <x:v>1</x:v>
      </x:c>
    </x:row>
    <x:row r="565">
      <x:c r="A565" s="9" t="str">
        <x:v>EV-AR-HU-A-B-TECH-2-B1-BRK-G0-OG07</x:v>
      </x:c>
      <x:c r="B565" s="9" t="str">
        <x:v>EV-AR-HU-A-B-TECH-2-B1-BRK-G0</x:v>
      </x:c>
      <x:c r="C565" s="9" t="str">
        <x:v>AR-HU-A-B-TECH-2-B1-BRK-G0</x:v>
      </x:c>
      <x:c r="D565" s="9" t="str">
        <x:v>HU-A-B-TECH-2</x:v>
      </x:c>
      <x:c r="E565" s="9" t="str">
        <x:v>HU-A-B</x:v>
      </x:c>
      <x:c r="F565" s="9" t="str">
        <x:v>B1</x:v>
      </x:c>
      <x:c r="G565" s="9" t="str">
        <x:v>BRK</x:v>
      </x:c>
      <x:c r="H565" s="9" t="str">
        <x:v>OG07</x:v>
      </x:c>
      <x:c r="I565" s="17" t="str">
        <x:v>Receiver denominator</x:v>
      </x:c>
      <x:c r="J565" s="17" t="str">
        <x:v>population, quantity, duration and exclusions match the frozen receipt</x:v>
      </x:c>
      <x:c r="K565" s="17" t="str">
        <x:v>Receiver court</x:v>
      </x:c>
      <x:c r="L565" s="9" t="n">
        <x:v>0</x:v>
      </x:c>
      <x:c r="M565" s="9" t="n">
        <x:v>0</x:v>
      </x:c>
      <x:c r="N565" s="9" t="str">
        <x:v>OPEN / UNACCEPTED</x:v>
      </x:c>
      <x:c r="O565" s="9" t="n">
        <x:f>COUNTIFS($A$7:$A$1734,A565)</x:f>
        <x:v>1</x:v>
      </x:c>
    </x:row>
    <x:row r="566">
      <x:c r="A566" s="9" t="str">
        <x:v>EV-AR-HU-A-B-TECH-2-B1-BRK-G0-OG08</x:v>
      </x:c>
      <x:c r="B566" s="9" t="str">
        <x:v>EV-AR-HU-A-B-TECH-2-B1-BRK-G0</x:v>
      </x:c>
      <x:c r="C566" s="9" t="str">
        <x:v>AR-HU-A-B-TECH-2-B1-BRK-G0</x:v>
      </x:c>
      <x:c r="D566" s="9" t="str">
        <x:v>HU-A-B-TECH-2</x:v>
      </x:c>
      <x:c r="E566" s="9" t="str">
        <x:v>HU-A-B</x:v>
      </x:c>
      <x:c r="F566" s="9" t="str">
        <x:v>B1</x:v>
      </x:c>
      <x:c r="G566" s="9" t="str">
        <x:v>BRK</x:v>
      </x:c>
      <x:c r="H566" s="9" t="str">
        <x:v>OG08</x:v>
      </x:c>
      <x:c r="I566" s="17" t="str">
        <x:v>Environment and boundary</x:v>
      </x:c>
      <x:c r="J566" s="17" t="str">
        <x:v>registered weather, water, ground, inlet and outlet states are retained</x:v>
      </x:c>
      <x:c r="K566" s="17" t="str">
        <x:v>Boundary court</x:v>
      </x:c>
      <x:c r="L566" s="9" t="n">
        <x:v>0</x:v>
      </x:c>
      <x:c r="M566" s="9" t="n">
        <x:v>0</x:v>
      </x:c>
      <x:c r="N566" s="9" t="str">
        <x:v>OPEN / UNACCEPTED</x:v>
      </x:c>
      <x:c r="O566" s="9" t="n">
        <x:f>COUNTIFS($A$7:$A$1734,A566)</x:f>
        <x:v>1</x:v>
      </x:c>
    </x:row>
    <x:row r="567">
      <x:c r="A567" s="9" t="str">
        <x:v>EV-AR-HU-A-B-TECH-2-B1-BRK-G0-OG09</x:v>
      </x:c>
      <x:c r="B567" s="9" t="str">
        <x:v>EV-AR-HU-A-B-TECH-2-B1-BRK-G0</x:v>
      </x:c>
      <x:c r="C567" s="9" t="str">
        <x:v>AR-HU-A-B-TECH-2-B1-BRK-G0</x:v>
      </x:c>
      <x:c r="D567" s="9" t="str">
        <x:v>HU-A-B-TECH-2</x:v>
      </x:c>
      <x:c r="E567" s="9" t="str">
        <x:v>HU-A-B</x:v>
      </x:c>
      <x:c r="F567" s="9" t="str">
        <x:v>B1</x:v>
      </x:c>
      <x:c r="G567" s="9" t="str">
        <x:v>BRK</x:v>
      </x:c>
      <x:c r="H567" s="9" t="str">
        <x:v>OG09</x:v>
      </x:c>
      <x:c r="I567" s="17" t="str">
        <x:v>Intervention account</x:v>
      </x:c>
      <x:c r="J567" s="17" t="str">
        <x:v>all stop, rescue, operator and public-protection actions remain timestamped</x:v>
      </x:c>
      <x:c r="K567" s="17" t="str">
        <x:v>Safety record court</x:v>
      </x:c>
      <x:c r="L567" s="9" t="n">
        <x:v>0</x:v>
      </x:c>
      <x:c r="M567" s="9" t="n">
        <x:v>0</x:v>
      </x:c>
      <x:c r="N567" s="9" t="str">
        <x:v>OPEN / UNACCEPTED</x:v>
      </x:c>
      <x:c r="O567" s="9" t="n">
        <x:f>COUNTIFS($A$7:$A$1734,A567)</x:f>
        <x:v>1</x:v>
      </x:c>
    </x:row>
    <x:row r="568">
      <x:c r="A568" s="9" t="str">
        <x:v>EV-AR-HU-A-B-TECH-2-B1-BRK-G0-OG10</x:v>
      </x:c>
      <x:c r="B568" s="9" t="str">
        <x:v>EV-AR-HU-A-B-TECH-2-B1-BRK-G0</x:v>
      </x:c>
      <x:c r="C568" s="9" t="str">
        <x:v>AR-HU-A-B-TECH-2-B1-BRK-G0</x:v>
      </x:c>
      <x:c r="D568" s="9" t="str">
        <x:v>HU-A-B-TECH-2</x:v>
      </x:c>
      <x:c r="E568" s="9" t="str">
        <x:v>HU-A-B</x:v>
      </x:c>
      <x:c r="F568" s="9" t="str">
        <x:v>B1</x:v>
      </x:c>
      <x:c r="G568" s="9" t="str">
        <x:v>BRK</x:v>
      </x:c>
      <x:c r="H568" s="9" t="str">
        <x:v>OG10</x:v>
      </x:c>
      <x:c r="I568" s="17" t="str">
        <x:v>Uncertainty statement</x:v>
      </x:c>
      <x:c r="J568" s="17" t="str">
        <x:v>range, censoring, resolution and correlation are declared before judgment</x:v>
      </x:c>
      <x:c r="K568" s="17" t="str">
        <x:v>Uncertainty authority</x:v>
      </x:c>
      <x:c r="L568" s="9" t="n">
        <x:v>0</x:v>
      </x:c>
      <x:c r="M568" s="9" t="n">
        <x:v>0</x:v>
      </x:c>
      <x:c r="N568" s="9" t="str">
        <x:v>OPEN / UNACCEPTED</x:v>
      </x:c>
      <x:c r="O568" s="9" t="n">
        <x:f>COUNTIFS($A$7:$A$1734,A568)</x:f>
        <x:v>1</x:v>
      </x:c>
    </x:row>
    <x:row r="569">
      <x:c r="A569" s="9" t="str">
        <x:v>EV-AR-HU-A-B-TECH-2-B1-BRK-G0-OG11</x:v>
      </x:c>
      <x:c r="B569" s="9" t="str">
        <x:v>EV-AR-HU-A-B-TECH-2-B1-BRK-G0</x:v>
      </x:c>
      <x:c r="C569" s="9" t="str">
        <x:v>AR-HU-A-B-TECH-2-B1-BRK-G0</x:v>
      </x:c>
      <x:c r="D569" s="9" t="str">
        <x:v>HU-A-B-TECH-2</x:v>
      </x:c>
      <x:c r="E569" s="9" t="str">
        <x:v>HU-A-B</x:v>
      </x:c>
      <x:c r="F569" s="9" t="str">
        <x:v>B1</x:v>
      </x:c>
      <x:c r="G569" s="9" t="str">
        <x:v>BRK</x:v>
      </x:c>
      <x:c r="H569" s="9" t="str">
        <x:v>OG11</x:v>
      </x:c>
      <x:c r="I569" s="17" t="str">
        <x:v>Contradiction preservation</x:v>
      </x:c>
      <x:c r="J569" s="17" t="str">
        <x:v>primary-witness disagreement remains explicit and is never averaged away</x:v>
      </x:c>
      <x:c r="K569" s="17" t="str">
        <x:v>Dissent registrar</x:v>
      </x:c>
      <x:c r="L569" s="9" t="n">
        <x:v>0</x:v>
      </x:c>
      <x:c r="M569" s="9" t="n">
        <x:v>0</x:v>
      </x:c>
      <x:c r="N569" s="9" t="str">
        <x:v>OPEN / UNACCEPTED</x:v>
      </x:c>
      <x:c r="O569" s="9" t="n">
        <x:f>COUNTIFS($A$7:$A$1734,A569)</x:f>
        <x:v>1</x:v>
      </x:c>
    </x:row>
    <x:row r="570">
      <x:c r="A570" s="9" t="str">
        <x:v>EV-AR-HU-A-B-TECH-2-B1-BRK-G0-OG12</x:v>
      </x:c>
      <x:c r="B570" s="9" t="str">
        <x:v>EV-AR-HU-A-B-TECH-2-B1-BRK-G0</x:v>
      </x:c>
      <x:c r="C570" s="9" t="str">
        <x:v>AR-HU-A-B-TECH-2-B1-BRK-G0</x:v>
      </x:c>
      <x:c r="D570" s="9" t="str">
        <x:v>HU-A-B-TECH-2</x:v>
      </x:c>
      <x:c r="E570" s="9" t="str">
        <x:v>HU-A-B</x:v>
      </x:c>
      <x:c r="F570" s="9" t="str">
        <x:v>B1</x:v>
      </x:c>
      <x:c r="G570" s="9" t="str">
        <x:v>BRK</x:v>
      </x:c>
      <x:c r="H570" s="9" t="str">
        <x:v>OG12</x:v>
      </x:c>
      <x:c r="I570" s="17" t="str">
        <x:v>Independent replay</x:v>
      </x:c>
      <x:c r="J570" s="17" t="str">
        <x:v>a separated reader reconstructs the registered observables from sealed originals</x:v>
      </x:c>
      <x:c r="K570" s="17" t="str">
        <x:v>Replay court</x:v>
      </x:c>
      <x:c r="L570" s="9" t="n">
        <x:v>0</x:v>
      </x:c>
      <x:c r="M570" s="9" t="n">
        <x:v>0</x:v>
      </x:c>
      <x:c r="N570" s="9" t="str">
        <x:v>OPEN / UNACCEPTED</x:v>
      </x:c>
      <x:c r="O570" s="9" t="n">
        <x:f>COUNTIFS($A$7:$A$1734,A570)</x:f>
        <x:v>1</x:v>
      </x:c>
    </x:row>
    <x:row r="571">
      <x:c r="A571" s="9" t="str">
        <x:v>EV-AR-RT-B-C-TECH-3-B1-INT-G0-OG01</x:v>
      </x:c>
      <x:c r="B571" s="9" t="str">
        <x:v>EV-AR-RT-B-C-TECH-3-B1-INT-G0</x:v>
      </x:c>
      <x:c r="C571" s="9" t="str">
        <x:v>AR-RT-B-C-TECH-3-B1-INT-G0</x:v>
      </x:c>
      <x:c r="D571" s="9" t="str">
        <x:v>RT-B-C-TECH-3</x:v>
      </x:c>
      <x:c r="E571" s="9" t="str">
        <x:v>RT-B-C</x:v>
      </x:c>
      <x:c r="F571" s="9" t="str">
        <x:v>B1</x:v>
      </x:c>
      <x:c r="G571" s="9" t="str">
        <x:v>INT</x:v>
      </x:c>
      <x:c r="H571" s="9" t="str">
        <x:v>OG01</x:v>
      </x:c>
      <x:c r="I571" s="17" t="str">
        <x:v>Serial and event identity</x:v>
      </x:c>
      <x:c r="J571" s="17" t="str">
        <x:v>record resolves to the issued serial, generation and physical start</x:v>
      </x:c>
      <x:c r="K571" s="17" t="str">
        <x:v>Observation court</x:v>
      </x:c>
      <x:c r="L571" s="9" t="n">
        <x:v>0</x:v>
      </x:c>
      <x:c r="M571" s="9" t="n">
        <x:v>0</x:v>
      </x:c>
      <x:c r="N571" s="9" t="str">
        <x:v>OPEN / UNACCEPTED</x:v>
      </x:c>
      <x:c r="O571" s="9" t="n">
        <x:f>COUNTIFS($A$7:$A$1734,A571)</x:f>
        <x:v>1</x:v>
      </x:c>
    </x:row>
    <x:row r="572">
      <x:c r="A572" s="9" t="str">
        <x:v>EV-AR-RT-B-C-TECH-3-B1-INT-G0-OG02</x:v>
      </x:c>
      <x:c r="B572" s="9" t="str">
        <x:v>EV-AR-RT-B-C-TECH-3-B1-INT-G0</x:v>
      </x:c>
      <x:c r="C572" s="9" t="str">
        <x:v>AR-RT-B-C-TECH-3-B1-INT-G0</x:v>
      </x:c>
      <x:c r="D572" s="9" t="str">
        <x:v>RT-B-C-TECH-3</x:v>
      </x:c>
      <x:c r="E572" s="9" t="str">
        <x:v>RT-B-C</x:v>
      </x:c>
      <x:c r="F572" s="9" t="str">
        <x:v>B1</x:v>
      </x:c>
      <x:c r="G572" s="9" t="str">
        <x:v>INT</x:v>
      </x:c>
      <x:c r="H572" s="9" t="str">
        <x:v>OG02</x:v>
      </x:c>
      <x:c r="I572" s="17" t="str">
        <x:v>Time ancestry</x:v>
      </x:c>
      <x:c r="J572" s="17" t="str">
        <x:v>primary, witness and public event clocks retain declared offsets and drift</x:v>
      </x:c>
      <x:c r="K572" s="17" t="str">
        <x:v>Time authority</x:v>
      </x:c>
      <x:c r="L572" s="9" t="n">
        <x:v>0</x:v>
      </x:c>
      <x:c r="M572" s="9" t="n">
        <x:v>0</x:v>
      </x:c>
      <x:c r="N572" s="9" t="str">
        <x:v>OPEN / UNACCEPTED</x:v>
      </x:c>
      <x:c r="O572" s="9" t="n">
        <x:f>COUNTIFS($A$7:$A$1734,A572)</x:f>
        <x:v>1</x:v>
      </x:c>
    </x:row>
    <x:row r="573">
      <x:c r="A573" s="9" t="str">
        <x:v>EV-AR-RT-B-C-TECH-3-B1-INT-G0-OG03</x:v>
      </x:c>
      <x:c r="B573" s="9" t="str">
        <x:v>EV-AR-RT-B-C-TECH-3-B1-INT-G0</x:v>
      </x:c>
      <x:c r="C573" s="9" t="str">
        <x:v>AR-RT-B-C-TECH-3-B1-INT-G0</x:v>
      </x:c>
      <x:c r="D573" s="9" t="str">
        <x:v>RT-B-C-TECH-3</x:v>
      </x:c>
      <x:c r="E573" s="9" t="str">
        <x:v>RT-B-C</x:v>
      </x:c>
      <x:c r="F573" s="9" t="str">
        <x:v>B1</x:v>
      </x:c>
      <x:c r="G573" s="9" t="str">
        <x:v>INT</x:v>
      </x:c>
      <x:c r="H573" s="9" t="str">
        <x:v>OG03</x:v>
      </x:c>
      <x:c r="I573" s="17" t="str">
        <x:v>Calibration ancestry</x:v>
      </x:c>
      <x:c r="J573" s="17" t="str">
        <x:v>all reference, range and uncertainty states cover the live interval</x:v>
      </x:c>
      <x:c r="K573" s="17" t="str">
        <x:v>Metrology courts</x:v>
      </x:c>
      <x:c r="L573" s="9" t="n">
        <x:v>0</x:v>
      </x:c>
      <x:c r="M573" s="9" t="n">
        <x:v>0</x:v>
      </x:c>
      <x:c r="N573" s="9" t="str">
        <x:v>OPEN / UNACCEPTED</x:v>
      </x:c>
      <x:c r="O573" s="9" t="n">
        <x:f>COUNTIFS($A$7:$A$1734,A573)</x:f>
        <x:v>1</x:v>
      </x:c>
    </x:row>
    <x:row r="574">
      <x:c r="A574" s="9" t="str">
        <x:v>EV-AR-RT-B-C-TECH-3-B1-INT-G0-OG04</x:v>
      </x:c>
      <x:c r="B574" s="9" t="str">
        <x:v>EV-AR-RT-B-C-TECH-3-B1-INT-G0</x:v>
      </x:c>
      <x:c r="C574" s="9" t="str">
        <x:v>AR-RT-B-C-TECH-3-B1-INT-G0</x:v>
      </x:c>
      <x:c r="D574" s="9" t="str">
        <x:v>RT-B-C-TECH-3</x:v>
      </x:c>
      <x:c r="E574" s="9" t="str">
        <x:v>RT-B-C</x:v>
      </x:c>
      <x:c r="F574" s="9" t="str">
        <x:v>B1</x:v>
      </x:c>
      <x:c r="G574" s="9" t="str">
        <x:v>INT</x:v>
      </x:c>
      <x:c r="H574" s="9" t="str">
        <x:v>OG04</x:v>
      </x:c>
      <x:c r="I574" s="17" t="str">
        <x:v>Raw completeness</x:v>
      </x:c>
      <x:c r="J574" s="17" t="str">
        <x:v>missingness is enumerated without imputation or outcome-conditioned deletion</x:v>
      </x:c>
      <x:c r="K574" s="17" t="str">
        <x:v>Observation court</x:v>
      </x:c>
      <x:c r="L574" s="9" t="n">
        <x:v>0</x:v>
      </x:c>
      <x:c r="M574" s="9" t="n">
        <x:v>0</x:v>
      </x:c>
      <x:c r="N574" s="9" t="str">
        <x:v>OPEN / UNACCEPTED</x:v>
      </x:c>
      <x:c r="O574" s="9" t="n">
        <x:f>COUNTIFS($A$7:$A$1734,A574)</x:f>
        <x:v>1</x:v>
      </x:c>
    </x:row>
    <x:row r="575">
      <x:c r="A575" s="9" t="str">
        <x:v>EV-AR-RT-B-C-TECH-3-B1-INT-G0-OG05</x:v>
      </x:c>
      <x:c r="B575" s="9" t="str">
        <x:v>EV-AR-RT-B-C-TECH-3-B1-INT-G0</x:v>
      </x:c>
      <x:c r="C575" s="9" t="str">
        <x:v>AR-RT-B-C-TECH-3-B1-INT-G0</x:v>
      </x:c>
      <x:c r="D575" s="9" t="str">
        <x:v>RT-B-C-TECH-3</x:v>
      </x:c>
      <x:c r="E575" s="9" t="str">
        <x:v>RT-B-C</x:v>
      </x:c>
      <x:c r="F575" s="9" t="str">
        <x:v>B1</x:v>
      </x:c>
      <x:c r="G575" s="9" t="str">
        <x:v>INT</x:v>
      </x:c>
      <x:c r="H575" s="9" t="str">
        <x:v>OG05</x:v>
      </x:c>
      <x:c r="I575" s="17" t="str">
        <x:v>Primary provenance</x:v>
      </x:c>
      <x:c r="J575" s="17" t="str">
        <x:v>primary originals, hashes, keys and access history reconcile</x:v>
      </x:c>
      <x:c r="K575" s="17" t="str">
        <x:v>Primary custody</x:v>
      </x:c>
      <x:c r="L575" s="9" t="n">
        <x:v>0</x:v>
      </x:c>
      <x:c r="M575" s="9" t="n">
        <x:v>0</x:v>
      </x:c>
      <x:c r="N575" s="9" t="str">
        <x:v>OPEN / UNACCEPTED</x:v>
      </x:c>
      <x:c r="O575" s="9" t="n">
        <x:f>COUNTIFS($A$7:$A$1734,A575)</x:f>
        <x:v>1</x:v>
      </x:c>
    </x:row>
    <x:row r="576">
      <x:c r="A576" s="9" t="str">
        <x:v>EV-AR-RT-B-C-TECH-3-B1-INT-G0-OG06</x:v>
      </x:c>
      <x:c r="B576" s="9" t="str">
        <x:v>EV-AR-RT-B-C-TECH-3-B1-INT-G0</x:v>
      </x:c>
      <x:c r="C576" s="9" t="str">
        <x:v>AR-RT-B-C-TECH-3-B1-INT-G0</x:v>
      </x:c>
      <x:c r="D576" s="9" t="str">
        <x:v>RT-B-C-TECH-3</x:v>
      </x:c>
      <x:c r="E576" s="9" t="str">
        <x:v>RT-B-C</x:v>
      </x:c>
      <x:c r="F576" s="9" t="str">
        <x:v>B1</x:v>
      </x:c>
      <x:c r="G576" s="9" t="str">
        <x:v>INT</x:v>
      </x:c>
      <x:c r="H576" s="9" t="str">
        <x:v>OG06</x:v>
      </x:c>
      <x:c r="I576" s="17" t="str">
        <x:v>Witness provenance</x:v>
      </x:c>
      <x:c r="J576" s="17" t="str">
        <x:v>unlike witness originals, hashes, keys and access history reconcile</x:v>
      </x:c>
      <x:c r="K576" s="17" t="str">
        <x:v>Witness custody</x:v>
      </x:c>
      <x:c r="L576" s="9" t="n">
        <x:v>0</x:v>
      </x:c>
      <x:c r="M576" s="9" t="n">
        <x:v>0</x:v>
      </x:c>
      <x:c r="N576" s="9" t="str">
        <x:v>OPEN / UNACCEPTED</x:v>
      </x:c>
      <x:c r="O576" s="9" t="n">
        <x:f>COUNTIFS($A$7:$A$1734,A576)</x:f>
        <x:v>1</x:v>
      </x:c>
    </x:row>
    <x:row r="577">
      <x:c r="A577" s="9" t="str">
        <x:v>EV-AR-RT-B-C-TECH-3-B1-INT-G0-OG07</x:v>
      </x:c>
      <x:c r="B577" s="9" t="str">
        <x:v>EV-AR-RT-B-C-TECH-3-B1-INT-G0</x:v>
      </x:c>
      <x:c r="C577" s="9" t="str">
        <x:v>AR-RT-B-C-TECH-3-B1-INT-G0</x:v>
      </x:c>
      <x:c r="D577" s="9" t="str">
        <x:v>RT-B-C-TECH-3</x:v>
      </x:c>
      <x:c r="E577" s="9" t="str">
        <x:v>RT-B-C</x:v>
      </x:c>
      <x:c r="F577" s="9" t="str">
        <x:v>B1</x:v>
      </x:c>
      <x:c r="G577" s="9" t="str">
        <x:v>INT</x:v>
      </x:c>
      <x:c r="H577" s="9" t="str">
        <x:v>OG07</x:v>
      </x:c>
      <x:c r="I577" s="17" t="str">
        <x:v>Receiver denominator</x:v>
      </x:c>
      <x:c r="J577" s="17" t="str">
        <x:v>population, quantity, duration and exclusions match the frozen receipt</x:v>
      </x:c>
      <x:c r="K577" s="17" t="str">
        <x:v>Receiver court</x:v>
      </x:c>
      <x:c r="L577" s="9" t="n">
        <x:v>0</x:v>
      </x:c>
      <x:c r="M577" s="9" t="n">
        <x:v>0</x:v>
      </x:c>
      <x:c r="N577" s="9" t="str">
        <x:v>OPEN / UNACCEPTED</x:v>
      </x:c>
      <x:c r="O577" s="9" t="n">
        <x:f>COUNTIFS($A$7:$A$1734,A577)</x:f>
        <x:v>1</x:v>
      </x:c>
    </x:row>
    <x:row r="578">
      <x:c r="A578" s="9" t="str">
        <x:v>EV-AR-RT-B-C-TECH-3-B1-INT-G0-OG08</x:v>
      </x:c>
      <x:c r="B578" s="9" t="str">
        <x:v>EV-AR-RT-B-C-TECH-3-B1-INT-G0</x:v>
      </x:c>
      <x:c r="C578" s="9" t="str">
        <x:v>AR-RT-B-C-TECH-3-B1-INT-G0</x:v>
      </x:c>
      <x:c r="D578" s="9" t="str">
        <x:v>RT-B-C-TECH-3</x:v>
      </x:c>
      <x:c r="E578" s="9" t="str">
        <x:v>RT-B-C</x:v>
      </x:c>
      <x:c r="F578" s="9" t="str">
        <x:v>B1</x:v>
      </x:c>
      <x:c r="G578" s="9" t="str">
        <x:v>INT</x:v>
      </x:c>
      <x:c r="H578" s="9" t="str">
        <x:v>OG08</x:v>
      </x:c>
      <x:c r="I578" s="17" t="str">
        <x:v>Environment and boundary</x:v>
      </x:c>
      <x:c r="J578" s="17" t="str">
        <x:v>registered weather, water, ground, inlet and outlet states are retained</x:v>
      </x:c>
      <x:c r="K578" s="17" t="str">
        <x:v>Boundary court</x:v>
      </x:c>
      <x:c r="L578" s="9" t="n">
        <x:v>0</x:v>
      </x:c>
      <x:c r="M578" s="9" t="n">
        <x:v>0</x:v>
      </x:c>
      <x:c r="N578" s="9" t="str">
        <x:v>OPEN / UNACCEPTED</x:v>
      </x:c>
      <x:c r="O578" s="9" t="n">
        <x:f>COUNTIFS($A$7:$A$1734,A578)</x:f>
        <x:v>1</x:v>
      </x:c>
    </x:row>
    <x:row r="579">
      <x:c r="A579" s="9" t="str">
        <x:v>EV-AR-RT-B-C-TECH-3-B1-INT-G0-OG09</x:v>
      </x:c>
      <x:c r="B579" s="9" t="str">
        <x:v>EV-AR-RT-B-C-TECH-3-B1-INT-G0</x:v>
      </x:c>
      <x:c r="C579" s="9" t="str">
        <x:v>AR-RT-B-C-TECH-3-B1-INT-G0</x:v>
      </x:c>
      <x:c r="D579" s="9" t="str">
        <x:v>RT-B-C-TECH-3</x:v>
      </x:c>
      <x:c r="E579" s="9" t="str">
        <x:v>RT-B-C</x:v>
      </x:c>
      <x:c r="F579" s="9" t="str">
        <x:v>B1</x:v>
      </x:c>
      <x:c r="G579" s="9" t="str">
        <x:v>INT</x:v>
      </x:c>
      <x:c r="H579" s="9" t="str">
        <x:v>OG09</x:v>
      </x:c>
      <x:c r="I579" s="17" t="str">
        <x:v>Intervention account</x:v>
      </x:c>
      <x:c r="J579" s="17" t="str">
        <x:v>all stop, rescue, operator and public-protection actions remain timestamped</x:v>
      </x:c>
      <x:c r="K579" s="17" t="str">
        <x:v>Safety record court</x:v>
      </x:c>
      <x:c r="L579" s="9" t="n">
        <x:v>0</x:v>
      </x:c>
      <x:c r="M579" s="9" t="n">
        <x:v>0</x:v>
      </x:c>
      <x:c r="N579" s="9" t="str">
        <x:v>OPEN / UNACCEPTED</x:v>
      </x:c>
      <x:c r="O579" s="9" t="n">
        <x:f>COUNTIFS($A$7:$A$1734,A579)</x:f>
        <x:v>1</x:v>
      </x:c>
    </x:row>
    <x:row r="580">
      <x:c r="A580" s="9" t="str">
        <x:v>EV-AR-RT-B-C-TECH-3-B1-INT-G0-OG10</x:v>
      </x:c>
      <x:c r="B580" s="9" t="str">
        <x:v>EV-AR-RT-B-C-TECH-3-B1-INT-G0</x:v>
      </x:c>
      <x:c r="C580" s="9" t="str">
        <x:v>AR-RT-B-C-TECH-3-B1-INT-G0</x:v>
      </x:c>
      <x:c r="D580" s="9" t="str">
        <x:v>RT-B-C-TECH-3</x:v>
      </x:c>
      <x:c r="E580" s="9" t="str">
        <x:v>RT-B-C</x:v>
      </x:c>
      <x:c r="F580" s="9" t="str">
        <x:v>B1</x:v>
      </x:c>
      <x:c r="G580" s="9" t="str">
        <x:v>INT</x:v>
      </x:c>
      <x:c r="H580" s="9" t="str">
        <x:v>OG10</x:v>
      </x:c>
      <x:c r="I580" s="17" t="str">
        <x:v>Uncertainty statement</x:v>
      </x:c>
      <x:c r="J580" s="17" t="str">
        <x:v>range, censoring, resolution and correlation are declared before judgment</x:v>
      </x:c>
      <x:c r="K580" s="17" t="str">
        <x:v>Uncertainty authority</x:v>
      </x:c>
      <x:c r="L580" s="9" t="n">
        <x:v>0</x:v>
      </x:c>
      <x:c r="M580" s="9" t="n">
        <x:v>0</x:v>
      </x:c>
      <x:c r="N580" s="9" t="str">
        <x:v>OPEN / UNACCEPTED</x:v>
      </x:c>
      <x:c r="O580" s="9" t="n">
        <x:f>COUNTIFS($A$7:$A$1734,A580)</x:f>
        <x:v>1</x:v>
      </x:c>
    </x:row>
    <x:row r="581">
      <x:c r="A581" s="9" t="str">
        <x:v>EV-AR-RT-B-C-TECH-3-B1-INT-G0-OG11</x:v>
      </x:c>
      <x:c r="B581" s="9" t="str">
        <x:v>EV-AR-RT-B-C-TECH-3-B1-INT-G0</x:v>
      </x:c>
      <x:c r="C581" s="9" t="str">
        <x:v>AR-RT-B-C-TECH-3-B1-INT-G0</x:v>
      </x:c>
      <x:c r="D581" s="9" t="str">
        <x:v>RT-B-C-TECH-3</x:v>
      </x:c>
      <x:c r="E581" s="9" t="str">
        <x:v>RT-B-C</x:v>
      </x:c>
      <x:c r="F581" s="9" t="str">
        <x:v>B1</x:v>
      </x:c>
      <x:c r="G581" s="9" t="str">
        <x:v>INT</x:v>
      </x:c>
      <x:c r="H581" s="9" t="str">
        <x:v>OG11</x:v>
      </x:c>
      <x:c r="I581" s="17" t="str">
        <x:v>Contradiction preservation</x:v>
      </x:c>
      <x:c r="J581" s="17" t="str">
        <x:v>primary-witness disagreement remains explicit and is never averaged away</x:v>
      </x:c>
      <x:c r="K581" s="17" t="str">
        <x:v>Dissent registrar</x:v>
      </x:c>
      <x:c r="L581" s="9" t="n">
        <x:v>0</x:v>
      </x:c>
      <x:c r="M581" s="9" t="n">
        <x:v>0</x:v>
      </x:c>
      <x:c r="N581" s="9" t="str">
        <x:v>OPEN / UNACCEPTED</x:v>
      </x:c>
      <x:c r="O581" s="9" t="n">
        <x:f>COUNTIFS($A$7:$A$1734,A581)</x:f>
        <x:v>1</x:v>
      </x:c>
    </x:row>
    <x:row r="582">
      <x:c r="A582" s="9" t="str">
        <x:v>EV-AR-RT-B-C-TECH-3-B1-INT-G0-OG12</x:v>
      </x:c>
      <x:c r="B582" s="9" t="str">
        <x:v>EV-AR-RT-B-C-TECH-3-B1-INT-G0</x:v>
      </x:c>
      <x:c r="C582" s="9" t="str">
        <x:v>AR-RT-B-C-TECH-3-B1-INT-G0</x:v>
      </x:c>
      <x:c r="D582" s="9" t="str">
        <x:v>RT-B-C-TECH-3</x:v>
      </x:c>
      <x:c r="E582" s="9" t="str">
        <x:v>RT-B-C</x:v>
      </x:c>
      <x:c r="F582" s="9" t="str">
        <x:v>B1</x:v>
      </x:c>
      <x:c r="G582" s="9" t="str">
        <x:v>INT</x:v>
      </x:c>
      <x:c r="H582" s="9" t="str">
        <x:v>OG12</x:v>
      </x:c>
      <x:c r="I582" s="17" t="str">
        <x:v>Independent replay</x:v>
      </x:c>
      <x:c r="J582" s="17" t="str">
        <x:v>a separated reader reconstructs the registered observables from sealed originals</x:v>
      </x:c>
      <x:c r="K582" s="17" t="str">
        <x:v>Replay court</x:v>
      </x:c>
      <x:c r="L582" s="9" t="n">
        <x:v>0</x:v>
      </x:c>
      <x:c r="M582" s="9" t="n">
        <x:v>0</x:v>
      </x:c>
      <x:c r="N582" s="9" t="str">
        <x:v>OPEN / UNACCEPTED</x:v>
      </x:c>
      <x:c r="O582" s="9" t="n">
        <x:f>COUNTIFS($A$7:$A$1734,A582)</x:f>
        <x:v>1</x:v>
      </x:c>
    </x:row>
    <x:row r="583">
      <x:c r="A583" s="9" t="str">
        <x:v>EV-AR-CT-C-B-TECH-4-B1-RCN-G0-OG01</x:v>
      </x:c>
      <x:c r="B583" s="9" t="str">
        <x:v>EV-AR-CT-C-B-TECH-4-B1-RCN-G0</x:v>
      </x:c>
      <x:c r="C583" s="9" t="str">
        <x:v>AR-CT-C-B-TECH-4-B1-RCN-G0</x:v>
      </x:c>
      <x:c r="D583" s="9" t="str">
        <x:v>CT-C-B-TECH-4</x:v>
      </x:c>
      <x:c r="E583" s="9" t="str">
        <x:v>CT-C-B</x:v>
      </x:c>
      <x:c r="F583" s="9" t="str">
        <x:v>B1</x:v>
      </x:c>
      <x:c r="G583" s="9" t="str">
        <x:v>RCN</x:v>
      </x:c>
      <x:c r="H583" s="9" t="str">
        <x:v>OG01</x:v>
      </x:c>
      <x:c r="I583" s="17" t="str">
        <x:v>Serial and event identity</x:v>
      </x:c>
      <x:c r="J583" s="17" t="str">
        <x:v>record resolves to the issued serial, generation and physical start</x:v>
      </x:c>
      <x:c r="K583" s="17" t="str">
        <x:v>Observation court</x:v>
      </x:c>
      <x:c r="L583" s="9" t="n">
        <x:v>0</x:v>
      </x:c>
      <x:c r="M583" s="9" t="n">
        <x:v>0</x:v>
      </x:c>
      <x:c r="N583" s="9" t="str">
        <x:v>OPEN / UNACCEPTED</x:v>
      </x:c>
      <x:c r="O583" s="9" t="n">
        <x:f>COUNTIFS($A$7:$A$1734,A583)</x:f>
        <x:v>1</x:v>
      </x:c>
    </x:row>
    <x:row r="584">
      <x:c r="A584" s="9" t="str">
        <x:v>EV-AR-CT-C-B-TECH-4-B1-RCN-G0-OG02</x:v>
      </x:c>
      <x:c r="B584" s="9" t="str">
        <x:v>EV-AR-CT-C-B-TECH-4-B1-RCN-G0</x:v>
      </x:c>
      <x:c r="C584" s="9" t="str">
        <x:v>AR-CT-C-B-TECH-4-B1-RCN-G0</x:v>
      </x:c>
      <x:c r="D584" s="9" t="str">
        <x:v>CT-C-B-TECH-4</x:v>
      </x:c>
      <x:c r="E584" s="9" t="str">
        <x:v>CT-C-B</x:v>
      </x:c>
      <x:c r="F584" s="9" t="str">
        <x:v>B1</x:v>
      </x:c>
      <x:c r="G584" s="9" t="str">
        <x:v>RCN</x:v>
      </x:c>
      <x:c r="H584" s="9" t="str">
        <x:v>OG02</x:v>
      </x:c>
      <x:c r="I584" s="17" t="str">
        <x:v>Time ancestry</x:v>
      </x:c>
      <x:c r="J584" s="17" t="str">
        <x:v>primary, witness and public event clocks retain declared offsets and drift</x:v>
      </x:c>
      <x:c r="K584" s="17" t="str">
        <x:v>Time authority</x:v>
      </x:c>
      <x:c r="L584" s="9" t="n">
        <x:v>0</x:v>
      </x:c>
      <x:c r="M584" s="9" t="n">
        <x:v>0</x:v>
      </x:c>
      <x:c r="N584" s="9" t="str">
        <x:v>OPEN / UNACCEPTED</x:v>
      </x:c>
      <x:c r="O584" s="9" t="n">
        <x:f>COUNTIFS($A$7:$A$1734,A584)</x:f>
        <x:v>1</x:v>
      </x:c>
    </x:row>
    <x:row r="585">
      <x:c r="A585" s="9" t="str">
        <x:v>EV-AR-CT-C-B-TECH-4-B1-RCN-G0-OG03</x:v>
      </x:c>
      <x:c r="B585" s="9" t="str">
        <x:v>EV-AR-CT-C-B-TECH-4-B1-RCN-G0</x:v>
      </x:c>
      <x:c r="C585" s="9" t="str">
        <x:v>AR-CT-C-B-TECH-4-B1-RCN-G0</x:v>
      </x:c>
      <x:c r="D585" s="9" t="str">
        <x:v>CT-C-B-TECH-4</x:v>
      </x:c>
      <x:c r="E585" s="9" t="str">
        <x:v>CT-C-B</x:v>
      </x:c>
      <x:c r="F585" s="9" t="str">
        <x:v>B1</x:v>
      </x:c>
      <x:c r="G585" s="9" t="str">
        <x:v>RCN</x:v>
      </x:c>
      <x:c r="H585" s="9" t="str">
        <x:v>OG03</x:v>
      </x:c>
      <x:c r="I585" s="17" t="str">
        <x:v>Calibration ancestry</x:v>
      </x:c>
      <x:c r="J585" s="17" t="str">
        <x:v>all reference, range and uncertainty states cover the live interval</x:v>
      </x:c>
      <x:c r="K585" s="17" t="str">
        <x:v>Metrology courts</x:v>
      </x:c>
      <x:c r="L585" s="9" t="n">
        <x:v>0</x:v>
      </x:c>
      <x:c r="M585" s="9" t="n">
        <x:v>0</x:v>
      </x:c>
      <x:c r="N585" s="9" t="str">
        <x:v>OPEN / UNACCEPTED</x:v>
      </x:c>
      <x:c r="O585" s="9" t="n">
        <x:f>COUNTIFS($A$7:$A$1734,A585)</x:f>
        <x:v>1</x:v>
      </x:c>
    </x:row>
    <x:row r="586">
      <x:c r="A586" s="9" t="str">
        <x:v>EV-AR-CT-C-B-TECH-4-B1-RCN-G0-OG04</x:v>
      </x:c>
      <x:c r="B586" s="9" t="str">
        <x:v>EV-AR-CT-C-B-TECH-4-B1-RCN-G0</x:v>
      </x:c>
      <x:c r="C586" s="9" t="str">
        <x:v>AR-CT-C-B-TECH-4-B1-RCN-G0</x:v>
      </x:c>
      <x:c r="D586" s="9" t="str">
        <x:v>CT-C-B-TECH-4</x:v>
      </x:c>
      <x:c r="E586" s="9" t="str">
        <x:v>CT-C-B</x:v>
      </x:c>
      <x:c r="F586" s="9" t="str">
        <x:v>B1</x:v>
      </x:c>
      <x:c r="G586" s="9" t="str">
        <x:v>RCN</x:v>
      </x:c>
      <x:c r="H586" s="9" t="str">
        <x:v>OG04</x:v>
      </x:c>
      <x:c r="I586" s="17" t="str">
        <x:v>Raw completeness</x:v>
      </x:c>
      <x:c r="J586" s="17" t="str">
        <x:v>missingness is enumerated without imputation or outcome-conditioned deletion</x:v>
      </x:c>
      <x:c r="K586" s="17" t="str">
        <x:v>Observation court</x:v>
      </x:c>
      <x:c r="L586" s="9" t="n">
        <x:v>0</x:v>
      </x:c>
      <x:c r="M586" s="9" t="n">
        <x:v>0</x:v>
      </x:c>
      <x:c r="N586" s="9" t="str">
        <x:v>OPEN / UNACCEPTED</x:v>
      </x:c>
      <x:c r="O586" s="9" t="n">
        <x:f>COUNTIFS($A$7:$A$1734,A586)</x:f>
        <x:v>1</x:v>
      </x:c>
    </x:row>
    <x:row r="587">
      <x:c r="A587" s="9" t="str">
        <x:v>EV-AR-CT-C-B-TECH-4-B1-RCN-G0-OG05</x:v>
      </x:c>
      <x:c r="B587" s="9" t="str">
        <x:v>EV-AR-CT-C-B-TECH-4-B1-RCN-G0</x:v>
      </x:c>
      <x:c r="C587" s="9" t="str">
        <x:v>AR-CT-C-B-TECH-4-B1-RCN-G0</x:v>
      </x:c>
      <x:c r="D587" s="9" t="str">
        <x:v>CT-C-B-TECH-4</x:v>
      </x:c>
      <x:c r="E587" s="9" t="str">
        <x:v>CT-C-B</x:v>
      </x:c>
      <x:c r="F587" s="9" t="str">
        <x:v>B1</x:v>
      </x:c>
      <x:c r="G587" s="9" t="str">
        <x:v>RCN</x:v>
      </x:c>
      <x:c r="H587" s="9" t="str">
        <x:v>OG05</x:v>
      </x:c>
      <x:c r="I587" s="17" t="str">
        <x:v>Primary provenance</x:v>
      </x:c>
      <x:c r="J587" s="17" t="str">
        <x:v>primary originals, hashes, keys and access history reconcile</x:v>
      </x:c>
      <x:c r="K587" s="17" t="str">
        <x:v>Primary custody</x:v>
      </x:c>
      <x:c r="L587" s="9" t="n">
        <x:v>0</x:v>
      </x:c>
      <x:c r="M587" s="9" t="n">
        <x:v>0</x:v>
      </x:c>
      <x:c r="N587" s="9" t="str">
        <x:v>OPEN / UNACCEPTED</x:v>
      </x:c>
      <x:c r="O587" s="9" t="n">
        <x:f>COUNTIFS($A$7:$A$1734,A587)</x:f>
        <x:v>1</x:v>
      </x:c>
    </x:row>
    <x:row r="588">
      <x:c r="A588" s="9" t="str">
        <x:v>EV-AR-CT-C-B-TECH-4-B1-RCN-G0-OG06</x:v>
      </x:c>
      <x:c r="B588" s="9" t="str">
        <x:v>EV-AR-CT-C-B-TECH-4-B1-RCN-G0</x:v>
      </x:c>
      <x:c r="C588" s="9" t="str">
        <x:v>AR-CT-C-B-TECH-4-B1-RCN-G0</x:v>
      </x:c>
      <x:c r="D588" s="9" t="str">
        <x:v>CT-C-B-TECH-4</x:v>
      </x:c>
      <x:c r="E588" s="9" t="str">
        <x:v>CT-C-B</x:v>
      </x:c>
      <x:c r="F588" s="9" t="str">
        <x:v>B1</x:v>
      </x:c>
      <x:c r="G588" s="9" t="str">
        <x:v>RCN</x:v>
      </x:c>
      <x:c r="H588" s="9" t="str">
        <x:v>OG06</x:v>
      </x:c>
      <x:c r="I588" s="17" t="str">
        <x:v>Witness provenance</x:v>
      </x:c>
      <x:c r="J588" s="17" t="str">
        <x:v>unlike witness originals, hashes, keys and access history reconcile</x:v>
      </x:c>
      <x:c r="K588" s="17" t="str">
        <x:v>Witness custody</x:v>
      </x:c>
      <x:c r="L588" s="9" t="n">
        <x:v>0</x:v>
      </x:c>
      <x:c r="M588" s="9" t="n">
        <x:v>0</x:v>
      </x:c>
      <x:c r="N588" s="9" t="str">
        <x:v>OPEN / UNACCEPTED</x:v>
      </x:c>
      <x:c r="O588" s="9" t="n">
        <x:f>COUNTIFS($A$7:$A$1734,A588)</x:f>
        <x:v>1</x:v>
      </x:c>
    </x:row>
    <x:row r="589">
      <x:c r="A589" s="9" t="str">
        <x:v>EV-AR-CT-C-B-TECH-4-B1-RCN-G0-OG07</x:v>
      </x:c>
      <x:c r="B589" s="9" t="str">
        <x:v>EV-AR-CT-C-B-TECH-4-B1-RCN-G0</x:v>
      </x:c>
      <x:c r="C589" s="9" t="str">
        <x:v>AR-CT-C-B-TECH-4-B1-RCN-G0</x:v>
      </x:c>
      <x:c r="D589" s="9" t="str">
        <x:v>CT-C-B-TECH-4</x:v>
      </x:c>
      <x:c r="E589" s="9" t="str">
        <x:v>CT-C-B</x:v>
      </x:c>
      <x:c r="F589" s="9" t="str">
        <x:v>B1</x:v>
      </x:c>
      <x:c r="G589" s="9" t="str">
        <x:v>RCN</x:v>
      </x:c>
      <x:c r="H589" s="9" t="str">
        <x:v>OG07</x:v>
      </x:c>
      <x:c r="I589" s="17" t="str">
        <x:v>Receiver denominator</x:v>
      </x:c>
      <x:c r="J589" s="17" t="str">
        <x:v>population, quantity, duration and exclusions match the frozen receipt</x:v>
      </x:c>
      <x:c r="K589" s="17" t="str">
        <x:v>Receiver court</x:v>
      </x:c>
      <x:c r="L589" s="9" t="n">
        <x:v>0</x:v>
      </x:c>
      <x:c r="M589" s="9" t="n">
        <x:v>0</x:v>
      </x:c>
      <x:c r="N589" s="9" t="str">
        <x:v>OPEN / UNACCEPTED</x:v>
      </x:c>
      <x:c r="O589" s="9" t="n">
        <x:f>COUNTIFS($A$7:$A$1734,A589)</x:f>
        <x:v>1</x:v>
      </x:c>
    </x:row>
    <x:row r="590">
      <x:c r="A590" s="9" t="str">
        <x:v>EV-AR-CT-C-B-TECH-4-B1-RCN-G0-OG08</x:v>
      </x:c>
      <x:c r="B590" s="9" t="str">
        <x:v>EV-AR-CT-C-B-TECH-4-B1-RCN-G0</x:v>
      </x:c>
      <x:c r="C590" s="9" t="str">
        <x:v>AR-CT-C-B-TECH-4-B1-RCN-G0</x:v>
      </x:c>
      <x:c r="D590" s="9" t="str">
        <x:v>CT-C-B-TECH-4</x:v>
      </x:c>
      <x:c r="E590" s="9" t="str">
        <x:v>CT-C-B</x:v>
      </x:c>
      <x:c r="F590" s="9" t="str">
        <x:v>B1</x:v>
      </x:c>
      <x:c r="G590" s="9" t="str">
        <x:v>RCN</x:v>
      </x:c>
      <x:c r="H590" s="9" t="str">
        <x:v>OG08</x:v>
      </x:c>
      <x:c r="I590" s="17" t="str">
        <x:v>Environment and boundary</x:v>
      </x:c>
      <x:c r="J590" s="17" t="str">
        <x:v>registered weather, water, ground, inlet and outlet states are retained</x:v>
      </x:c>
      <x:c r="K590" s="17" t="str">
        <x:v>Boundary court</x:v>
      </x:c>
      <x:c r="L590" s="9" t="n">
        <x:v>0</x:v>
      </x:c>
      <x:c r="M590" s="9" t="n">
        <x:v>0</x:v>
      </x:c>
      <x:c r="N590" s="9" t="str">
        <x:v>OPEN / UNACCEPTED</x:v>
      </x:c>
      <x:c r="O590" s="9" t="n">
        <x:f>COUNTIFS($A$7:$A$1734,A590)</x:f>
        <x:v>1</x:v>
      </x:c>
    </x:row>
    <x:row r="591">
      <x:c r="A591" s="9" t="str">
        <x:v>EV-AR-CT-C-B-TECH-4-B1-RCN-G0-OG09</x:v>
      </x:c>
      <x:c r="B591" s="9" t="str">
        <x:v>EV-AR-CT-C-B-TECH-4-B1-RCN-G0</x:v>
      </x:c>
      <x:c r="C591" s="9" t="str">
        <x:v>AR-CT-C-B-TECH-4-B1-RCN-G0</x:v>
      </x:c>
      <x:c r="D591" s="9" t="str">
        <x:v>CT-C-B-TECH-4</x:v>
      </x:c>
      <x:c r="E591" s="9" t="str">
        <x:v>CT-C-B</x:v>
      </x:c>
      <x:c r="F591" s="9" t="str">
        <x:v>B1</x:v>
      </x:c>
      <x:c r="G591" s="9" t="str">
        <x:v>RCN</x:v>
      </x:c>
      <x:c r="H591" s="9" t="str">
        <x:v>OG09</x:v>
      </x:c>
      <x:c r="I591" s="17" t="str">
        <x:v>Intervention account</x:v>
      </x:c>
      <x:c r="J591" s="17" t="str">
        <x:v>all stop, rescue, operator and public-protection actions remain timestamped</x:v>
      </x:c>
      <x:c r="K591" s="17" t="str">
        <x:v>Safety record court</x:v>
      </x:c>
      <x:c r="L591" s="9" t="n">
        <x:v>0</x:v>
      </x:c>
      <x:c r="M591" s="9" t="n">
        <x:v>0</x:v>
      </x:c>
      <x:c r="N591" s="9" t="str">
        <x:v>OPEN / UNACCEPTED</x:v>
      </x:c>
      <x:c r="O591" s="9" t="n">
        <x:f>COUNTIFS($A$7:$A$1734,A591)</x:f>
        <x:v>1</x:v>
      </x:c>
    </x:row>
    <x:row r="592">
      <x:c r="A592" s="9" t="str">
        <x:v>EV-AR-CT-C-B-TECH-4-B1-RCN-G0-OG10</x:v>
      </x:c>
      <x:c r="B592" s="9" t="str">
        <x:v>EV-AR-CT-C-B-TECH-4-B1-RCN-G0</x:v>
      </x:c>
      <x:c r="C592" s="9" t="str">
        <x:v>AR-CT-C-B-TECH-4-B1-RCN-G0</x:v>
      </x:c>
      <x:c r="D592" s="9" t="str">
        <x:v>CT-C-B-TECH-4</x:v>
      </x:c>
      <x:c r="E592" s="9" t="str">
        <x:v>CT-C-B</x:v>
      </x:c>
      <x:c r="F592" s="9" t="str">
        <x:v>B1</x:v>
      </x:c>
      <x:c r="G592" s="9" t="str">
        <x:v>RCN</x:v>
      </x:c>
      <x:c r="H592" s="9" t="str">
        <x:v>OG10</x:v>
      </x:c>
      <x:c r="I592" s="17" t="str">
        <x:v>Uncertainty statement</x:v>
      </x:c>
      <x:c r="J592" s="17" t="str">
        <x:v>range, censoring, resolution and correlation are declared before judgment</x:v>
      </x:c>
      <x:c r="K592" s="17" t="str">
        <x:v>Uncertainty authority</x:v>
      </x:c>
      <x:c r="L592" s="9" t="n">
        <x:v>0</x:v>
      </x:c>
      <x:c r="M592" s="9" t="n">
        <x:v>0</x:v>
      </x:c>
      <x:c r="N592" s="9" t="str">
        <x:v>OPEN / UNACCEPTED</x:v>
      </x:c>
      <x:c r="O592" s="9" t="n">
        <x:f>COUNTIFS($A$7:$A$1734,A592)</x:f>
        <x:v>1</x:v>
      </x:c>
    </x:row>
    <x:row r="593">
      <x:c r="A593" s="9" t="str">
        <x:v>EV-AR-CT-C-B-TECH-4-B1-RCN-G0-OG11</x:v>
      </x:c>
      <x:c r="B593" s="9" t="str">
        <x:v>EV-AR-CT-C-B-TECH-4-B1-RCN-G0</x:v>
      </x:c>
      <x:c r="C593" s="9" t="str">
        <x:v>AR-CT-C-B-TECH-4-B1-RCN-G0</x:v>
      </x:c>
      <x:c r="D593" s="9" t="str">
        <x:v>CT-C-B-TECH-4</x:v>
      </x:c>
      <x:c r="E593" s="9" t="str">
        <x:v>CT-C-B</x:v>
      </x:c>
      <x:c r="F593" s="9" t="str">
        <x:v>B1</x:v>
      </x:c>
      <x:c r="G593" s="9" t="str">
        <x:v>RCN</x:v>
      </x:c>
      <x:c r="H593" s="9" t="str">
        <x:v>OG11</x:v>
      </x:c>
      <x:c r="I593" s="17" t="str">
        <x:v>Contradiction preservation</x:v>
      </x:c>
      <x:c r="J593" s="17" t="str">
        <x:v>primary-witness disagreement remains explicit and is never averaged away</x:v>
      </x:c>
      <x:c r="K593" s="17" t="str">
        <x:v>Dissent registrar</x:v>
      </x:c>
      <x:c r="L593" s="9" t="n">
        <x:v>0</x:v>
      </x:c>
      <x:c r="M593" s="9" t="n">
        <x:v>0</x:v>
      </x:c>
      <x:c r="N593" s="9" t="str">
        <x:v>OPEN / UNACCEPTED</x:v>
      </x:c>
      <x:c r="O593" s="9" t="n">
        <x:f>COUNTIFS($A$7:$A$1734,A593)</x:f>
        <x:v>1</x:v>
      </x:c>
    </x:row>
    <x:row r="594">
      <x:c r="A594" s="9" t="str">
        <x:v>EV-AR-CT-C-B-TECH-4-B1-RCN-G0-OG12</x:v>
      </x:c>
      <x:c r="B594" s="9" t="str">
        <x:v>EV-AR-CT-C-B-TECH-4-B1-RCN-G0</x:v>
      </x:c>
      <x:c r="C594" s="9" t="str">
        <x:v>AR-CT-C-B-TECH-4-B1-RCN-G0</x:v>
      </x:c>
      <x:c r="D594" s="9" t="str">
        <x:v>CT-C-B-TECH-4</x:v>
      </x:c>
      <x:c r="E594" s="9" t="str">
        <x:v>CT-C-B</x:v>
      </x:c>
      <x:c r="F594" s="9" t="str">
        <x:v>B1</x:v>
      </x:c>
      <x:c r="G594" s="9" t="str">
        <x:v>RCN</x:v>
      </x:c>
      <x:c r="H594" s="9" t="str">
        <x:v>OG12</x:v>
      </x:c>
      <x:c r="I594" s="17" t="str">
        <x:v>Independent replay</x:v>
      </x:c>
      <x:c r="J594" s="17" t="str">
        <x:v>a separated reader reconstructs the registered observables from sealed originals</x:v>
      </x:c>
      <x:c r="K594" s="17" t="str">
        <x:v>Replay court</x:v>
      </x:c>
      <x:c r="L594" s="9" t="n">
        <x:v>0</x:v>
      </x:c>
      <x:c r="M594" s="9" t="n">
        <x:v>0</x:v>
      </x:c>
      <x:c r="N594" s="9" t="str">
        <x:v>OPEN / UNACCEPTED</x:v>
      </x:c>
      <x:c r="O594" s="9" t="n">
        <x:f>COUNTIFS($A$7:$A$1734,A594)</x:f>
        <x:v>1</x:v>
      </x:c>
    </x:row>
    <x:row r="595">
      <x:c r="A595" s="9" t="str">
        <x:v>EV-AR-CT-C-B-TECH-2-B1-INT-G0-OG01</x:v>
      </x:c>
      <x:c r="B595" s="9" t="str">
        <x:v>EV-AR-CT-C-B-TECH-2-B1-INT-G0</x:v>
      </x:c>
      <x:c r="C595" s="9" t="str">
        <x:v>AR-CT-C-B-TECH-2-B1-INT-G0</x:v>
      </x:c>
      <x:c r="D595" s="9" t="str">
        <x:v>CT-C-B-TECH-2</x:v>
      </x:c>
      <x:c r="E595" s="9" t="str">
        <x:v>CT-C-B</x:v>
      </x:c>
      <x:c r="F595" s="9" t="str">
        <x:v>B1</x:v>
      </x:c>
      <x:c r="G595" s="9" t="str">
        <x:v>INT</x:v>
      </x:c>
      <x:c r="H595" s="9" t="str">
        <x:v>OG01</x:v>
      </x:c>
      <x:c r="I595" s="17" t="str">
        <x:v>Serial and event identity</x:v>
      </x:c>
      <x:c r="J595" s="17" t="str">
        <x:v>record resolves to the issued serial, generation and physical start</x:v>
      </x:c>
      <x:c r="K595" s="17" t="str">
        <x:v>Observation court</x:v>
      </x:c>
      <x:c r="L595" s="9" t="n">
        <x:v>0</x:v>
      </x:c>
      <x:c r="M595" s="9" t="n">
        <x:v>0</x:v>
      </x:c>
      <x:c r="N595" s="9" t="str">
        <x:v>OPEN / UNACCEPTED</x:v>
      </x:c>
      <x:c r="O595" s="9" t="n">
        <x:f>COUNTIFS($A$7:$A$1734,A595)</x:f>
        <x:v>1</x:v>
      </x:c>
    </x:row>
    <x:row r="596">
      <x:c r="A596" s="9" t="str">
        <x:v>EV-AR-CT-C-B-TECH-2-B1-INT-G0-OG02</x:v>
      </x:c>
      <x:c r="B596" s="9" t="str">
        <x:v>EV-AR-CT-C-B-TECH-2-B1-INT-G0</x:v>
      </x:c>
      <x:c r="C596" s="9" t="str">
        <x:v>AR-CT-C-B-TECH-2-B1-INT-G0</x:v>
      </x:c>
      <x:c r="D596" s="9" t="str">
        <x:v>CT-C-B-TECH-2</x:v>
      </x:c>
      <x:c r="E596" s="9" t="str">
        <x:v>CT-C-B</x:v>
      </x:c>
      <x:c r="F596" s="9" t="str">
        <x:v>B1</x:v>
      </x:c>
      <x:c r="G596" s="9" t="str">
        <x:v>INT</x:v>
      </x:c>
      <x:c r="H596" s="9" t="str">
        <x:v>OG02</x:v>
      </x:c>
      <x:c r="I596" s="17" t="str">
        <x:v>Time ancestry</x:v>
      </x:c>
      <x:c r="J596" s="17" t="str">
        <x:v>primary, witness and public event clocks retain declared offsets and drift</x:v>
      </x:c>
      <x:c r="K596" s="17" t="str">
        <x:v>Time authority</x:v>
      </x:c>
      <x:c r="L596" s="9" t="n">
        <x:v>0</x:v>
      </x:c>
      <x:c r="M596" s="9" t="n">
        <x:v>0</x:v>
      </x:c>
      <x:c r="N596" s="9" t="str">
        <x:v>OPEN / UNACCEPTED</x:v>
      </x:c>
      <x:c r="O596" s="9" t="n">
        <x:f>COUNTIFS($A$7:$A$1734,A596)</x:f>
        <x:v>1</x:v>
      </x:c>
    </x:row>
    <x:row r="597">
      <x:c r="A597" s="9" t="str">
        <x:v>EV-AR-CT-C-B-TECH-2-B1-INT-G0-OG03</x:v>
      </x:c>
      <x:c r="B597" s="9" t="str">
        <x:v>EV-AR-CT-C-B-TECH-2-B1-INT-G0</x:v>
      </x:c>
      <x:c r="C597" s="9" t="str">
        <x:v>AR-CT-C-B-TECH-2-B1-INT-G0</x:v>
      </x:c>
      <x:c r="D597" s="9" t="str">
        <x:v>CT-C-B-TECH-2</x:v>
      </x:c>
      <x:c r="E597" s="9" t="str">
        <x:v>CT-C-B</x:v>
      </x:c>
      <x:c r="F597" s="9" t="str">
        <x:v>B1</x:v>
      </x:c>
      <x:c r="G597" s="9" t="str">
        <x:v>INT</x:v>
      </x:c>
      <x:c r="H597" s="9" t="str">
        <x:v>OG03</x:v>
      </x:c>
      <x:c r="I597" s="17" t="str">
        <x:v>Calibration ancestry</x:v>
      </x:c>
      <x:c r="J597" s="17" t="str">
        <x:v>all reference, range and uncertainty states cover the live interval</x:v>
      </x:c>
      <x:c r="K597" s="17" t="str">
        <x:v>Metrology courts</x:v>
      </x:c>
      <x:c r="L597" s="9" t="n">
        <x:v>0</x:v>
      </x:c>
      <x:c r="M597" s="9" t="n">
        <x:v>0</x:v>
      </x:c>
      <x:c r="N597" s="9" t="str">
        <x:v>OPEN / UNACCEPTED</x:v>
      </x:c>
      <x:c r="O597" s="9" t="n">
        <x:f>COUNTIFS($A$7:$A$1734,A597)</x:f>
        <x:v>1</x:v>
      </x:c>
    </x:row>
    <x:row r="598">
      <x:c r="A598" s="9" t="str">
        <x:v>EV-AR-CT-C-B-TECH-2-B1-INT-G0-OG04</x:v>
      </x:c>
      <x:c r="B598" s="9" t="str">
        <x:v>EV-AR-CT-C-B-TECH-2-B1-INT-G0</x:v>
      </x:c>
      <x:c r="C598" s="9" t="str">
        <x:v>AR-CT-C-B-TECH-2-B1-INT-G0</x:v>
      </x:c>
      <x:c r="D598" s="9" t="str">
        <x:v>CT-C-B-TECH-2</x:v>
      </x:c>
      <x:c r="E598" s="9" t="str">
        <x:v>CT-C-B</x:v>
      </x:c>
      <x:c r="F598" s="9" t="str">
        <x:v>B1</x:v>
      </x:c>
      <x:c r="G598" s="9" t="str">
        <x:v>INT</x:v>
      </x:c>
      <x:c r="H598" s="9" t="str">
        <x:v>OG04</x:v>
      </x:c>
      <x:c r="I598" s="17" t="str">
        <x:v>Raw completeness</x:v>
      </x:c>
      <x:c r="J598" s="17" t="str">
        <x:v>missingness is enumerated without imputation or outcome-conditioned deletion</x:v>
      </x:c>
      <x:c r="K598" s="17" t="str">
        <x:v>Observation court</x:v>
      </x:c>
      <x:c r="L598" s="9" t="n">
        <x:v>0</x:v>
      </x:c>
      <x:c r="M598" s="9" t="n">
        <x:v>0</x:v>
      </x:c>
      <x:c r="N598" s="9" t="str">
        <x:v>OPEN / UNACCEPTED</x:v>
      </x:c>
      <x:c r="O598" s="9" t="n">
        <x:f>COUNTIFS($A$7:$A$1734,A598)</x:f>
        <x:v>1</x:v>
      </x:c>
    </x:row>
    <x:row r="599">
      <x:c r="A599" s="9" t="str">
        <x:v>EV-AR-CT-C-B-TECH-2-B1-INT-G0-OG05</x:v>
      </x:c>
      <x:c r="B599" s="9" t="str">
        <x:v>EV-AR-CT-C-B-TECH-2-B1-INT-G0</x:v>
      </x:c>
      <x:c r="C599" s="9" t="str">
        <x:v>AR-CT-C-B-TECH-2-B1-INT-G0</x:v>
      </x:c>
      <x:c r="D599" s="9" t="str">
        <x:v>CT-C-B-TECH-2</x:v>
      </x:c>
      <x:c r="E599" s="9" t="str">
        <x:v>CT-C-B</x:v>
      </x:c>
      <x:c r="F599" s="9" t="str">
        <x:v>B1</x:v>
      </x:c>
      <x:c r="G599" s="9" t="str">
        <x:v>INT</x:v>
      </x:c>
      <x:c r="H599" s="9" t="str">
        <x:v>OG05</x:v>
      </x:c>
      <x:c r="I599" s="17" t="str">
        <x:v>Primary provenance</x:v>
      </x:c>
      <x:c r="J599" s="17" t="str">
        <x:v>primary originals, hashes, keys and access history reconcile</x:v>
      </x:c>
      <x:c r="K599" s="17" t="str">
        <x:v>Primary custody</x:v>
      </x:c>
      <x:c r="L599" s="9" t="n">
        <x:v>0</x:v>
      </x:c>
      <x:c r="M599" s="9" t="n">
        <x:v>0</x:v>
      </x:c>
      <x:c r="N599" s="9" t="str">
        <x:v>OPEN / UNACCEPTED</x:v>
      </x:c>
      <x:c r="O599" s="9" t="n">
        <x:f>COUNTIFS($A$7:$A$1734,A599)</x:f>
        <x:v>1</x:v>
      </x:c>
    </x:row>
    <x:row r="600">
      <x:c r="A600" s="9" t="str">
        <x:v>EV-AR-CT-C-B-TECH-2-B1-INT-G0-OG06</x:v>
      </x:c>
      <x:c r="B600" s="9" t="str">
        <x:v>EV-AR-CT-C-B-TECH-2-B1-INT-G0</x:v>
      </x:c>
      <x:c r="C600" s="9" t="str">
        <x:v>AR-CT-C-B-TECH-2-B1-INT-G0</x:v>
      </x:c>
      <x:c r="D600" s="9" t="str">
        <x:v>CT-C-B-TECH-2</x:v>
      </x:c>
      <x:c r="E600" s="9" t="str">
        <x:v>CT-C-B</x:v>
      </x:c>
      <x:c r="F600" s="9" t="str">
        <x:v>B1</x:v>
      </x:c>
      <x:c r="G600" s="9" t="str">
        <x:v>INT</x:v>
      </x:c>
      <x:c r="H600" s="9" t="str">
        <x:v>OG06</x:v>
      </x:c>
      <x:c r="I600" s="17" t="str">
        <x:v>Witness provenance</x:v>
      </x:c>
      <x:c r="J600" s="17" t="str">
        <x:v>unlike witness originals, hashes, keys and access history reconcile</x:v>
      </x:c>
      <x:c r="K600" s="17" t="str">
        <x:v>Witness custody</x:v>
      </x:c>
      <x:c r="L600" s="9" t="n">
        <x:v>0</x:v>
      </x:c>
      <x:c r="M600" s="9" t="n">
        <x:v>0</x:v>
      </x:c>
      <x:c r="N600" s="9" t="str">
        <x:v>OPEN / UNACCEPTED</x:v>
      </x:c>
      <x:c r="O600" s="9" t="n">
        <x:f>COUNTIFS($A$7:$A$1734,A600)</x:f>
        <x:v>1</x:v>
      </x:c>
    </x:row>
    <x:row r="601">
      <x:c r="A601" s="9" t="str">
        <x:v>EV-AR-CT-C-B-TECH-2-B1-INT-G0-OG07</x:v>
      </x:c>
      <x:c r="B601" s="9" t="str">
        <x:v>EV-AR-CT-C-B-TECH-2-B1-INT-G0</x:v>
      </x:c>
      <x:c r="C601" s="9" t="str">
        <x:v>AR-CT-C-B-TECH-2-B1-INT-G0</x:v>
      </x:c>
      <x:c r="D601" s="9" t="str">
        <x:v>CT-C-B-TECH-2</x:v>
      </x:c>
      <x:c r="E601" s="9" t="str">
        <x:v>CT-C-B</x:v>
      </x:c>
      <x:c r="F601" s="9" t="str">
        <x:v>B1</x:v>
      </x:c>
      <x:c r="G601" s="9" t="str">
        <x:v>INT</x:v>
      </x:c>
      <x:c r="H601" s="9" t="str">
        <x:v>OG07</x:v>
      </x:c>
      <x:c r="I601" s="17" t="str">
        <x:v>Receiver denominator</x:v>
      </x:c>
      <x:c r="J601" s="17" t="str">
        <x:v>population, quantity, duration and exclusions match the frozen receipt</x:v>
      </x:c>
      <x:c r="K601" s="17" t="str">
        <x:v>Receiver court</x:v>
      </x:c>
      <x:c r="L601" s="9" t="n">
        <x:v>0</x:v>
      </x:c>
      <x:c r="M601" s="9" t="n">
        <x:v>0</x:v>
      </x:c>
      <x:c r="N601" s="9" t="str">
        <x:v>OPEN / UNACCEPTED</x:v>
      </x:c>
      <x:c r="O601" s="9" t="n">
        <x:f>COUNTIFS($A$7:$A$1734,A601)</x:f>
        <x:v>1</x:v>
      </x:c>
    </x:row>
    <x:row r="602">
      <x:c r="A602" s="9" t="str">
        <x:v>EV-AR-CT-C-B-TECH-2-B1-INT-G0-OG08</x:v>
      </x:c>
      <x:c r="B602" s="9" t="str">
        <x:v>EV-AR-CT-C-B-TECH-2-B1-INT-G0</x:v>
      </x:c>
      <x:c r="C602" s="9" t="str">
        <x:v>AR-CT-C-B-TECH-2-B1-INT-G0</x:v>
      </x:c>
      <x:c r="D602" s="9" t="str">
        <x:v>CT-C-B-TECH-2</x:v>
      </x:c>
      <x:c r="E602" s="9" t="str">
        <x:v>CT-C-B</x:v>
      </x:c>
      <x:c r="F602" s="9" t="str">
        <x:v>B1</x:v>
      </x:c>
      <x:c r="G602" s="9" t="str">
        <x:v>INT</x:v>
      </x:c>
      <x:c r="H602" s="9" t="str">
        <x:v>OG08</x:v>
      </x:c>
      <x:c r="I602" s="17" t="str">
        <x:v>Environment and boundary</x:v>
      </x:c>
      <x:c r="J602" s="17" t="str">
        <x:v>registered weather, water, ground, inlet and outlet states are retained</x:v>
      </x:c>
      <x:c r="K602" s="17" t="str">
        <x:v>Boundary court</x:v>
      </x:c>
      <x:c r="L602" s="9" t="n">
        <x:v>0</x:v>
      </x:c>
      <x:c r="M602" s="9" t="n">
        <x:v>0</x:v>
      </x:c>
      <x:c r="N602" s="9" t="str">
        <x:v>OPEN / UNACCEPTED</x:v>
      </x:c>
      <x:c r="O602" s="9" t="n">
        <x:f>COUNTIFS($A$7:$A$1734,A602)</x:f>
        <x:v>1</x:v>
      </x:c>
    </x:row>
    <x:row r="603">
      <x:c r="A603" s="9" t="str">
        <x:v>EV-AR-CT-C-B-TECH-2-B1-INT-G0-OG09</x:v>
      </x:c>
      <x:c r="B603" s="9" t="str">
        <x:v>EV-AR-CT-C-B-TECH-2-B1-INT-G0</x:v>
      </x:c>
      <x:c r="C603" s="9" t="str">
        <x:v>AR-CT-C-B-TECH-2-B1-INT-G0</x:v>
      </x:c>
      <x:c r="D603" s="9" t="str">
        <x:v>CT-C-B-TECH-2</x:v>
      </x:c>
      <x:c r="E603" s="9" t="str">
        <x:v>CT-C-B</x:v>
      </x:c>
      <x:c r="F603" s="9" t="str">
        <x:v>B1</x:v>
      </x:c>
      <x:c r="G603" s="9" t="str">
        <x:v>INT</x:v>
      </x:c>
      <x:c r="H603" s="9" t="str">
        <x:v>OG09</x:v>
      </x:c>
      <x:c r="I603" s="17" t="str">
        <x:v>Intervention account</x:v>
      </x:c>
      <x:c r="J603" s="17" t="str">
        <x:v>all stop, rescue, operator and public-protection actions remain timestamped</x:v>
      </x:c>
      <x:c r="K603" s="17" t="str">
        <x:v>Safety record court</x:v>
      </x:c>
      <x:c r="L603" s="9" t="n">
        <x:v>0</x:v>
      </x:c>
      <x:c r="M603" s="9" t="n">
        <x:v>0</x:v>
      </x:c>
      <x:c r="N603" s="9" t="str">
        <x:v>OPEN / UNACCEPTED</x:v>
      </x:c>
      <x:c r="O603" s="9" t="n">
        <x:f>COUNTIFS($A$7:$A$1734,A603)</x:f>
        <x:v>1</x:v>
      </x:c>
    </x:row>
    <x:row r="604">
      <x:c r="A604" s="9" t="str">
        <x:v>EV-AR-CT-C-B-TECH-2-B1-INT-G0-OG10</x:v>
      </x:c>
      <x:c r="B604" s="9" t="str">
        <x:v>EV-AR-CT-C-B-TECH-2-B1-INT-G0</x:v>
      </x:c>
      <x:c r="C604" s="9" t="str">
        <x:v>AR-CT-C-B-TECH-2-B1-INT-G0</x:v>
      </x:c>
      <x:c r="D604" s="9" t="str">
        <x:v>CT-C-B-TECH-2</x:v>
      </x:c>
      <x:c r="E604" s="9" t="str">
        <x:v>CT-C-B</x:v>
      </x:c>
      <x:c r="F604" s="9" t="str">
        <x:v>B1</x:v>
      </x:c>
      <x:c r="G604" s="9" t="str">
        <x:v>INT</x:v>
      </x:c>
      <x:c r="H604" s="9" t="str">
        <x:v>OG10</x:v>
      </x:c>
      <x:c r="I604" s="17" t="str">
        <x:v>Uncertainty statement</x:v>
      </x:c>
      <x:c r="J604" s="17" t="str">
        <x:v>range, censoring, resolution and correlation are declared before judgment</x:v>
      </x:c>
      <x:c r="K604" s="17" t="str">
        <x:v>Uncertainty authority</x:v>
      </x:c>
      <x:c r="L604" s="9" t="n">
        <x:v>0</x:v>
      </x:c>
      <x:c r="M604" s="9" t="n">
        <x:v>0</x:v>
      </x:c>
      <x:c r="N604" s="9" t="str">
        <x:v>OPEN / UNACCEPTED</x:v>
      </x:c>
      <x:c r="O604" s="9" t="n">
        <x:f>COUNTIFS($A$7:$A$1734,A604)</x:f>
        <x:v>1</x:v>
      </x:c>
    </x:row>
    <x:row r="605">
      <x:c r="A605" s="9" t="str">
        <x:v>EV-AR-CT-C-B-TECH-2-B1-INT-G0-OG11</x:v>
      </x:c>
      <x:c r="B605" s="9" t="str">
        <x:v>EV-AR-CT-C-B-TECH-2-B1-INT-G0</x:v>
      </x:c>
      <x:c r="C605" s="9" t="str">
        <x:v>AR-CT-C-B-TECH-2-B1-INT-G0</x:v>
      </x:c>
      <x:c r="D605" s="9" t="str">
        <x:v>CT-C-B-TECH-2</x:v>
      </x:c>
      <x:c r="E605" s="9" t="str">
        <x:v>CT-C-B</x:v>
      </x:c>
      <x:c r="F605" s="9" t="str">
        <x:v>B1</x:v>
      </x:c>
      <x:c r="G605" s="9" t="str">
        <x:v>INT</x:v>
      </x:c>
      <x:c r="H605" s="9" t="str">
        <x:v>OG11</x:v>
      </x:c>
      <x:c r="I605" s="17" t="str">
        <x:v>Contradiction preservation</x:v>
      </x:c>
      <x:c r="J605" s="17" t="str">
        <x:v>primary-witness disagreement remains explicit and is never averaged away</x:v>
      </x:c>
      <x:c r="K605" s="17" t="str">
        <x:v>Dissent registrar</x:v>
      </x:c>
      <x:c r="L605" s="9" t="n">
        <x:v>0</x:v>
      </x:c>
      <x:c r="M605" s="9" t="n">
        <x:v>0</x:v>
      </x:c>
      <x:c r="N605" s="9" t="str">
        <x:v>OPEN / UNACCEPTED</x:v>
      </x:c>
      <x:c r="O605" s="9" t="n">
        <x:f>COUNTIFS($A$7:$A$1734,A605)</x:f>
        <x:v>1</x:v>
      </x:c>
    </x:row>
    <x:row r="606">
      <x:c r="A606" s="9" t="str">
        <x:v>EV-AR-CT-C-B-TECH-2-B1-INT-G0-OG12</x:v>
      </x:c>
      <x:c r="B606" s="9" t="str">
        <x:v>EV-AR-CT-C-B-TECH-2-B1-INT-G0</x:v>
      </x:c>
      <x:c r="C606" s="9" t="str">
        <x:v>AR-CT-C-B-TECH-2-B1-INT-G0</x:v>
      </x:c>
      <x:c r="D606" s="9" t="str">
        <x:v>CT-C-B-TECH-2</x:v>
      </x:c>
      <x:c r="E606" s="9" t="str">
        <x:v>CT-C-B</x:v>
      </x:c>
      <x:c r="F606" s="9" t="str">
        <x:v>B1</x:v>
      </x:c>
      <x:c r="G606" s="9" t="str">
        <x:v>INT</x:v>
      </x:c>
      <x:c r="H606" s="9" t="str">
        <x:v>OG12</x:v>
      </x:c>
      <x:c r="I606" s="17" t="str">
        <x:v>Independent replay</x:v>
      </x:c>
      <x:c r="J606" s="17" t="str">
        <x:v>a separated reader reconstructs the registered observables from sealed originals</x:v>
      </x:c>
      <x:c r="K606" s="17" t="str">
        <x:v>Replay court</x:v>
      </x:c>
      <x:c r="L606" s="9" t="n">
        <x:v>0</x:v>
      </x:c>
      <x:c r="M606" s="9" t="n">
        <x:v>0</x:v>
      </x:c>
      <x:c r="N606" s="9" t="str">
        <x:v>OPEN / UNACCEPTED</x:v>
      </x:c>
      <x:c r="O606" s="9" t="n">
        <x:f>COUNTIFS($A$7:$A$1734,A606)</x:f>
        <x:v>1</x:v>
      </x:c>
    </x:row>
    <x:row r="607">
      <x:c r="A607" s="9" t="str">
        <x:v>EV-AR-HC-A-C-TECH-4-B2-BRK-G0-OG01</x:v>
      </x:c>
      <x:c r="B607" s="9" t="str">
        <x:v>EV-AR-HC-A-C-TECH-4-B2-BRK-G0</x:v>
      </x:c>
      <x:c r="C607" s="9" t="str">
        <x:v>AR-HC-A-C-TECH-4-B2-BRK-G0</x:v>
      </x:c>
      <x:c r="D607" s="9" t="str">
        <x:v>HC-A-C-TECH-4</x:v>
      </x:c>
      <x:c r="E607" s="9" t="str">
        <x:v>HC-A-C</x:v>
      </x:c>
      <x:c r="F607" s="9" t="str">
        <x:v>B2</x:v>
      </x:c>
      <x:c r="G607" s="9" t="str">
        <x:v>BRK</x:v>
      </x:c>
      <x:c r="H607" s="9" t="str">
        <x:v>OG01</x:v>
      </x:c>
      <x:c r="I607" s="17" t="str">
        <x:v>Serial and event identity</x:v>
      </x:c>
      <x:c r="J607" s="17" t="str">
        <x:v>record resolves to the issued serial, generation and physical start</x:v>
      </x:c>
      <x:c r="K607" s="17" t="str">
        <x:v>Observation court</x:v>
      </x:c>
      <x:c r="L607" s="9" t="n">
        <x:v>0</x:v>
      </x:c>
      <x:c r="M607" s="9" t="n">
        <x:v>0</x:v>
      </x:c>
      <x:c r="N607" s="9" t="str">
        <x:v>OPEN / UNACCEPTED</x:v>
      </x:c>
      <x:c r="O607" s="9" t="n">
        <x:f>COUNTIFS($A$7:$A$1734,A607)</x:f>
        <x:v>1</x:v>
      </x:c>
    </x:row>
    <x:row r="608">
      <x:c r="A608" s="9" t="str">
        <x:v>EV-AR-HC-A-C-TECH-4-B2-BRK-G0-OG02</x:v>
      </x:c>
      <x:c r="B608" s="9" t="str">
        <x:v>EV-AR-HC-A-C-TECH-4-B2-BRK-G0</x:v>
      </x:c>
      <x:c r="C608" s="9" t="str">
        <x:v>AR-HC-A-C-TECH-4-B2-BRK-G0</x:v>
      </x:c>
      <x:c r="D608" s="9" t="str">
        <x:v>HC-A-C-TECH-4</x:v>
      </x:c>
      <x:c r="E608" s="9" t="str">
        <x:v>HC-A-C</x:v>
      </x:c>
      <x:c r="F608" s="9" t="str">
        <x:v>B2</x:v>
      </x:c>
      <x:c r="G608" s="9" t="str">
        <x:v>BRK</x:v>
      </x:c>
      <x:c r="H608" s="9" t="str">
        <x:v>OG02</x:v>
      </x:c>
      <x:c r="I608" s="17" t="str">
        <x:v>Time ancestry</x:v>
      </x:c>
      <x:c r="J608" s="17" t="str">
        <x:v>primary, witness and public event clocks retain declared offsets and drift</x:v>
      </x:c>
      <x:c r="K608" s="17" t="str">
        <x:v>Time authority</x:v>
      </x:c>
      <x:c r="L608" s="9" t="n">
        <x:v>0</x:v>
      </x:c>
      <x:c r="M608" s="9" t="n">
        <x:v>0</x:v>
      </x:c>
      <x:c r="N608" s="9" t="str">
        <x:v>OPEN / UNACCEPTED</x:v>
      </x:c>
      <x:c r="O608" s="9" t="n">
        <x:f>COUNTIFS($A$7:$A$1734,A608)</x:f>
        <x:v>1</x:v>
      </x:c>
    </x:row>
    <x:row r="609">
      <x:c r="A609" s="9" t="str">
        <x:v>EV-AR-HC-A-C-TECH-4-B2-BRK-G0-OG03</x:v>
      </x:c>
      <x:c r="B609" s="9" t="str">
        <x:v>EV-AR-HC-A-C-TECH-4-B2-BRK-G0</x:v>
      </x:c>
      <x:c r="C609" s="9" t="str">
        <x:v>AR-HC-A-C-TECH-4-B2-BRK-G0</x:v>
      </x:c>
      <x:c r="D609" s="9" t="str">
        <x:v>HC-A-C-TECH-4</x:v>
      </x:c>
      <x:c r="E609" s="9" t="str">
        <x:v>HC-A-C</x:v>
      </x:c>
      <x:c r="F609" s="9" t="str">
        <x:v>B2</x:v>
      </x:c>
      <x:c r="G609" s="9" t="str">
        <x:v>BRK</x:v>
      </x:c>
      <x:c r="H609" s="9" t="str">
        <x:v>OG03</x:v>
      </x:c>
      <x:c r="I609" s="17" t="str">
        <x:v>Calibration ancestry</x:v>
      </x:c>
      <x:c r="J609" s="17" t="str">
        <x:v>all reference, range and uncertainty states cover the live interval</x:v>
      </x:c>
      <x:c r="K609" s="17" t="str">
        <x:v>Metrology courts</x:v>
      </x:c>
      <x:c r="L609" s="9" t="n">
        <x:v>0</x:v>
      </x:c>
      <x:c r="M609" s="9" t="n">
        <x:v>0</x:v>
      </x:c>
      <x:c r="N609" s="9" t="str">
        <x:v>OPEN / UNACCEPTED</x:v>
      </x:c>
      <x:c r="O609" s="9" t="n">
        <x:f>COUNTIFS($A$7:$A$1734,A609)</x:f>
        <x:v>1</x:v>
      </x:c>
    </x:row>
    <x:row r="610">
      <x:c r="A610" s="9" t="str">
        <x:v>EV-AR-HC-A-C-TECH-4-B2-BRK-G0-OG04</x:v>
      </x:c>
      <x:c r="B610" s="9" t="str">
        <x:v>EV-AR-HC-A-C-TECH-4-B2-BRK-G0</x:v>
      </x:c>
      <x:c r="C610" s="9" t="str">
        <x:v>AR-HC-A-C-TECH-4-B2-BRK-G0</x:v>
      </x:c>
      <x:c r="D610" s="9" t="str">
        <x:v>HC-A-C-TECH-4</x:v>
      </x:c>
      <x:c r="E610" s="9" t="str">
        <x:v>HC-A-C</x:v>
      </x:c>
      <x:c r="F610" s="9" t="str">
        <x:v>B2</x:v>
      </x:c>
      <x:c r="G610" s="9" t="str">
        <x:v>BRK</x:v>
      </x:c>
      <x:c r="H610" s="9" t="str">
        <x:v>OG04</x:v>
      </x:c>
      <x:c r="I610" s="17" t="str">
        <x:v>Raw completeness</x:v>
      </x:c>
      <x:c r="J610" s="17" t="str">
        <x:v>missingness is enumerated without imputation or outcome-conditioned deletion</x:v>
      </x:c>
      <x:c r="K610" s="17" t="str">
        <x:v>Observation court</x:v>
      </x:c>
      <x:c r="L610" s="9" t="n">
        <x:v>0</x:v>
      </x:c>
      <x:c r="M610" s="9" t="n">
        <x:v>0</x:v>
      </x:c>
      <x:c r="N610" s="9" t="str">
        <x:v>OPEN / UNACCEPTED</x:v>
      </x:c>
      <x:c r="O610" s="9" t="n">
        <x:f>COUNTIFS($A$7:$A$1734,A610)</x:f>
        <x:v>1</x:v>
      </x:c>
    </x:row>
    <x:row r="611">
      <x:c r="A611" s="9" t="str">
        <x:v>EV-AR-HC-A-C-TECH-4-B2-BRK-G0-OG05</x:v>
      </x:c>
      <x:c r="B611" s="9" t="str">
        <x:v>EV-AR-HC-A-C-TECH-4-B2-BRK-G0</x:v>
      </x:c>
      <x:c r="C611" s="9" t="str">
        <x:v>AR-HC-A-C-TECH-4-B2-BRK-G0</x:v>
      </x:c>
      <x:c r="D611" s="9" t="str">
        <x:v>HC-A-C-TECH-4</x:v>
      </x:c>
      <x:c r="E611" s="9" t="str">
        <x:v>HC-A-C</x:v>
      </x:c>
      <x:c r="F611" s="9" t="str">
        <x:v>B2</x:v>
      </x:c>
      <x:c r="G611" s="9" t="str">
        <x:v>BRK</x:v>
      </x:c>
      <x:c r="H611" s="9" t="str">
        <x:v>OG05</x:v>
      </x:c>
      <x:c r="I611" s="17" t="str">
        <x:v>Primary provenance</x:v>
      </x:c>
      <x:c r="J611" s="17" t="str">
        <x:v>primary originals, hashes, keys and access history reconcile</x:v>
      </x:c>
      <x:c r="K611" s="17" t="str">
        <x:v>Primary custody</x:v>
      </x:c>
      <x:c r="L611" s="9" t="n">
        <x:v>0</x:v>
      </x:c>
      <x:c r="M611" s="9" t="n">
        <x:v>0</x:v>
      </x:c>
      <x:c r="N611" s="9" t="str">
        <x:v>OPEN / UNACCEPTED</x:v>
      </x:c>
      <x:c r="O611" s="9" t="n">
        <x:f>COUNTIFS($A$7:$A$1734,A611)</x:f>
        <x:v>1</x:v>
      </x:c>
    </x:row>
    <x:row r="612">
      <x:c r="A612" s="9" t="str">
        <x:v>EV-AR-HC-A-C-TECH-4-B2-BRK-G0-OG06</x:v>
      </x:c>
      <x:c r="B612" s="9" t="str">
        <x:v>EV-AR-HC-A-C-TECH-4-B2-BRK-G0</x:v>
      </x:c>
      <x:c r="C612" s="9" t="str">
        <x:v>AR-HC-A-C-TECH-4-B2-BRK-G0</x:v>
      </x:c>
      <x:c r="D612" s="9" t="str">
        <x:v>HC-A-C-TECH-4</x:v>
      </x:c>
      <x:c r="E612" s="9" t="str">
        <x:v>HC-A-C</x:v>
      </x:c>
      <x:c r="F612" s="9" t="str">
        <x:v>B2</x:v>
      </x:c>
      <x:c r="G612" s="9" t="str">
        <x:v>BRK</x:v>
      </x:c>
      <x:c r="H612" s="9" t="str">
        <x:v>OG06</x:v>
      </x:c>
      <x:c r="I612" s="17" t="str">
        <x:v>Witness provenance</x:v>
      </x:c>
      <x:c r="J612" s="17" t="str">
        <x:v>unlike witness originals, hashes, keys and access history reconcile</x:v>
      </x:c>
      <x:c r="K612" s="17" t="str">
        <x:v>Witness custody</x:v>
      </x:c>
      <x:c r="L612" s="9" t="n">
        <x:v>0</x:v>
      </x:c>
      <x:c r="M612" s="9" t="n">
        <x:v>0</x:v>
      </x:c>
      <x:c r="N612" s="9" t="str">
        <x:v>OPEN / UNACCEPTED</x:v>
      </x:c>
      <x:c r="O612" s="9" t="n">
        <x:f>COUNTIFS($A$7:$A$1734,A612)</x:f>
        <x:v>1</x:v>
      </x:c>
    </x:row>
    <x:row r="613">
      <x:c r="A613" s="9" t="str">
        <x:v>EV-AR-HC-A-C-TECH-4-B2-BRK-G0-OG07</x:v>
      </x:c>
      <x:c r="B613" s="9" t="str">
        <x:v>EV-AR-HC-A-C-TECH-4-B2-BRK-G0</x:v>
      </x:c>
      <x:c r="C613" s="9" t="str">
        <x:v>AR-HC-A-C-TECH-4-B2-BRK-G0</x:v>
      </x:c>
      <x:c r="D613" s="9" t="str">
        <x:v>HC-A-C-TECH-4</x:v>
      </x:c>
      <x:c r="E613" s="9" t="str">
        <x:v>HC-A-C</x:v>
      </x:c>
      <x:c r="F613" s="9" t="str">
        <x:v>B2</x:v>
      </x:c>
      <x:c r="G613" s="9" t="str">
        <x:v>BRK</x:v>
      </x:c>
      <x:c r="H613" s="9" t="str">
        <x:v>OG07</x:v>
      </x:c>
      <x:c r="I613" s="17" t="str">
        <x:v>Receiver denominator</x:v>
      </x:c>
      <x:c r="J613" s="17" t="str">
        <x:v>population, quantity, duration and exclusions match the frozen receipt</x:v>
      </x:c>
      <x:c r="K613" s="17" t="str">
        <x:v>Receiver court</x:v>
      </x:c>
      <x:c r="L613" s="9" t="n">
        <x:v>0</x:v>
      </x:c>
      <x:c r="M613" s="9" t="n">
        <x:v>0</x:v>
      </x:c>
      <x:c r="N613" s="9" t="str">
        <x:v>OPEN / UNACCEPTED</x:v>
      </x:c>
      <x:c r="O613" s="9" t="n">
        <x:f>COUNTIFS($A$7:$A$1734,A613)</x:f>
        <x:v>1</x:v>
      </x:c>
    </x:row>
    <x:row r="614">
      <x:c r="A614" s="9" t="str">
        <x:v>EV-AR-HC-A-C-TECH-4-B2-BRK-G0-OG08</x:v>
      </x:c>
      <x:c r="B614" s="9" t="str">
        <x:v>EV-AR-HC-A-C-TECH-4-B2-BRK-G0</x:v>
      </x:c>
      <x:c r="C614" s="9" t="str">
        <x:v>AR-HC-A-C-TECH-4-B2-BRK-G0</x:v>
      </x:c>
      <x:c r="D614" s="9" t="str">
        <x:v>HC-A-C-TECH-4</x:v>
      </x:c>
      <x:c r="E614" s="9" t="str">
        <x:v>HC-A-C</x:v>
      </x:c>
      <x:c r="F614" s="9" t="str">
        <x:v>B2</x:v>
      </x:c>
      <x:c r="G614" s="9" t="str">
        <x:v>BRK</x:v>
      </x:c>
      <x:c r="H614" s="9" t="str">
        <x:v>OG08</x:v>
      </x:c>
      <x:c r="I614" s="17" t="str">
        <x:v>Environment and boundary</x:v>
      </x:c>
      <x:c r="J614" s="17" t="str">
        <x:v>registered weather, water, ground, inlet and outlet states are retained</x:v>
      </x:c>
      <x:c r="K614" s="17" t="str">
        <x:v>Boundary court</x:v>
      </x:c>
      <x:c r="L614" s="9" t="n">
        <x:v>0</x:v>
      </x:c>
      <x:c r="M614" s="9" t="n">
        <x:v>0</x:v>
      </x:c>
      <x:c r="N614" s="9" t="str">
        <x:v>OPEN / UNACCEPTED</x:v>
      </x:c>
      <x:c r="O614" s="9" t="n">
        <x:f>COUNTIFS($A$7:$A$1734,A614)</x:f>
        <x:v>1</x:v>
      </x:c>
    </x:row>
    <x:row r="615">
      <x:c r="A615" s="9" t="str">
        <x:v>EV-AR-HC-A-C-TECH-4-B2-BRK-G0-OG09</x:v>
      </x:c>
      <x:c r="B615" s="9" t="str">
        <x:v>EV-AR-HC-A-C-TECH-4-B2-BRK-G0</x:v>
      </x:c>
      <x:c r="C615" s="9" t="str">
        <x:v>AR-HC-A-C-TECH-4-B2-BRK-G0</x:v>
      </x:c>
      <x:c r="D615" s="9" t="str">
        <x:v>HC-A-C-TECH-4</x:v>
      </x:c>
      <x:c r="E615" s="9" t="str">
        <x:v>HC-A-C</x:v>
      </x:c>
      <x:c r="F615" s="9" t="str">
        <x:v>B2</x:v>
      </x:c>
      <x:c r="G615" s="9" t="str">
        <x:v>BRK</x:v>
      </x:c>
      <x:c r="H615" s="9" t="str">
        <x:v>OG09</x:v>
      </x:c>
      <x:c r="I615" s="17" t="str">
        <x:v>Intervention account</x:v>
      </x:c>
      <x:c r="J615" s="17" t="str">
        <x:v>all stop, rescue, operator and public-protection actions remain timestamped</x:v>
      </x:c>
      <x:c r="K615" s="17" t="str">
        <x:v>Safety record court</x:v>
      </x:c>
      <x:c r="L615" s="9" t="n">
        <x:v>0</x:v>
      </x:c>
      <x:c r="M615" s="9" t="n">
        <x:v>0</x:v>
      </x:c>
      <x:c r="N615" s="9" t="str">
        <x:v>OPEN / UNACCEPTED</x:v>
      </x:c>
      <x:c r="O615" s="9" t="n">
        <x:f>COUNTIFS($A$7:$A$1734,A615)</x:f>
        <x:v>1</x:v>
      </x:c>
    </x:row>
    <x:row r="616">
      <x:c r="A616" s="9" t="str">
        <x:v>EV-AR-HC-A-C-TECH-4-B2-BRK-G0-OG10</x:v>
      </x:c>
      <x:c r="B616" s="9" t="str">
        <x:v>EV-AR-HC-A-C-TECH-4-B2-BRK-G0</x:v>
      </x:c>
      <x:c r="C616" s="9" t="str">
        <x:v>AR-HC-A-C-TECH-4-B2-BRK-G0</x:v>
      </x:c>
      <x:c r="D616" s="9" t="str">
        <x:v>HC-A-C-TECH-4</x:v>
      </x:c>
      <x:c r="E616" s="9" t="str">
        <x:v>HC-A-C</x:v>
      </x:c>
      <x:c r="F616" s="9" t="str">
        <x:v>B2</x:v>
      </x:c>
      <x:c r="G616" s="9" t="str">
        <x:v>BRK</x:v>
      </x:c>
      <x:c r="H616" s="9" t="str">
        <x:v>OG10</x:v>
      </x:c>
      <x:c r="I616" s="17" t="str">
        <x:v>Uncertainty statement</x:v>
      </x:c>
      <x:c r="J616" s="17" t="str">
        <x:v>range, censoring, resolution and correlation are declared before judgment</x:v>
      </x:c>
      <x:c r="K616" s="17" t="str">
        <x:v>Uncertainty authority</x:v>
      </x:c>
      <x:c r="L616" s="9" t="n">
        <x:v>0</x:v>
      </x:c>
      <x:c r="M616" s="9" t="n">
        <x:v>0</x:v>
      </x:c>
      <x:c r="N616" s="9" t="str">
        <x:v>OPEN / UNACCEPTED</x:v>
      </x:c>
      <x:c r="O616" s="9" t="n">
        <x:f>COUNTIFS($A$7:$A$1734,A616)</x:f>
        <x:v>1</x:v>
      </x:c>
    </x:row>
    <x:row r="617">
      <x:c r="A617" s="9" t="str">
        <x:v>EV-AR-HC-A-C-TECH-4-B2-BRK-G0-OG11</x:v>
      </x:c>
      <x:c r="B617" s="9" t="str">
        <x:v>EV-AR-HC-A-C-TECH-4-B2-BRK-G0</x:v>
      </x:c>
      <x:c r="C617" s="9" t="str">
        <x:v>AR-HC-A-C-TECH-4-B2-BRK-G0</x:v>
      </x:c>
      <x:c r="D617" s="9" t="str">
        <x:v>HC-A-C-TECH-4</x:v>
      </x:c>
      <x:c r="E617" s="9" t="str">
        <x:v>HC-A-C</x:v>
      </x:c>
      <x:c r="F617" s="9" t="str">
        <x:v>B2</x:v>
      </x:c>
      <x:c r="G617" s="9" t="str">
        <x:v>BRK</x:v>
      </x:c>
      <x:c r="H617" s="9" t="str">
        <x:v>OG11</x:v>
      </x:c>
      <x:c r="I617" s="17" t="str">
        <x:v>Contradiction preservation</x:v>
      </x:c>
      <x:c r="J617" s="17" t="str">
        <x:v>primary-witness disagreement remains explicit and is never averaged away</x:v>
      </x:c>
      <x:c r="K617" s="17" t="str">
        <x:v>Dissent registrar</x:v>
      </x:c>
      <x:c r="L617" s="9" t="n">
        <x:v>0</x:v>
      </x:c>
      <x:c r="M617" s="9" t="n">
        <x:v>0</x:v>
      </x:c>
      <x:c r="N617" s="9" t="str">
        <x:v>OPEN / UNACCEPTED</x:v>
      </x:c>
      <x:c r="O617" s="9" t="n">
        <x:f>COUNTIFS($A$7:$A$1734,A617)</x:f>
        <x:v>1</x:v>
      </x:c>
    </x:row>
    <x:row r="618">
      <x:c r="A618" s="9" t="str">
        <x:v>EV-AR-HC-A-C-TECH-4-B2-BRK-G0-OG12</x:v>
      </x:c>
      <x:c r="B618" s="9" t="str">
        <x:v>EV-AR-HC-A-C-TECH-4-B2-BRK-G0</x:v>
      </x:c>
      <x:c r="C618" s="9" t="str">
        <x:v>AR-HC-A-C-TECH-4-B2-BRK-G0</x:v>
      </x:c>
      <x:c r="D618" s="9" t="str">
        <x:v>HC-A-C-TECH-4</x:v>
      </x:c>
      <x:c r="E618" s="9" t="str">
        <x:v>HC-A-C</x:v>
      </x:c>
      <x:c r="F618" s="9" t="str">
        <x:v>B2</x:v>
      </x:c>
      <x:c r="G618" s="9" t="str">
        <x:v>BRK</x:v>
      </x:c>
      <x:c r="H618" s="9" t="str">
        <x:v>OG12</x:v>
      </x:c>
      <x:c r="I618" s="17" t="str">
        <x:v>Independent replay</x:v>
      </x:c>
      <x:c r="J618" s="17" t="str">
        <x:v>a separated reader reconstructs the registered observables from sealed originals</x:v>
      </x:c>
      <x:c r="K618" s="17" t="str">
        <x:v>Replay court</x:v>
      </x:c>
      <x:c r="L618" s="9" t="n">
        <x:v>0</x:v>
      </x:c>
      <x:c r="M618" s="9" t="n">
        <x:v>0</x:v>
      </x:c>
      <x:c r="N618" s="9" t="str">
        <x:v>OPEN / UNACCEPTED</x:v>
      </x:c>
      <x:c r="O618" s="9" t="n">
        <x:f>COUNTIFS($A$7:$A$1734,A618)</x:f>
        <x:v>1</x:v>
      </x:c>
    </x:row>
    <x:row r="619">
      <x:c r="A619" s="9" t="str">
        <x:v>EV-AR-HC-A-C-TECH-3-B1-RCN-G0-OG01</x:v>
      </x:c>
      <x:c r="B619" s="9" t="str">
        <x:v>EV-AR-HC-A-C-TECH-3-B1-RCN-G0</x:v>
      </x:c>
      <x:c r="C619" s="9" t="str">
        <x:v>AR-HC-A-C-TECH-3-B1-RCN-G0</x:v>
      </x:c>
      <x:c r="D619" s="9" t="str">
        <x:v>HC-A-C-TECH-3</x:v>
      </x:c>
      <x:c r="E619" s="9" t="str">
        <x:v>HC-A-C</x:v>
      </x:c>
      <x:c r="F619" s="9" t="str">
        <x:v>B1</x:v>
      </x:c>
      <x:c r="G619" s="9" t="str">
        <x:v>RCN</x:v>
      </x:c>
      <x:c r="H619" s="9" t="str">
        <x:v>OG01</x:v>
      </x:c>
      <x:c r="I619" s="17" t="str">
        <x:v>Serial and event identity</x:v>
      </x:c>
      <x:c r="J619" s="17" t="str">
        <x:v>record resolves to the issued serial, generation and physical start</x:v>
      </x:c>
      <x:c r="K619" s="17" t="str">
        <x:v>Observation court</x:v>
      </x:c>
      <x:c r="L619" s="9" t="n">
        <x:v>0</x:v>
      </x:c>
      <x:c r="M619" s="9" t="n">
        <x:v>0</x:v>
      </x:c>
      <x:c r="N619" s="9" t="str">
        <x:v>OPEN / UNACCEPTED</x:v>
      </x:c>
      <x:c r="O619" s="9" t="n">
        <x:f>COUNTIFS($A$7:$A$1734,A619)</x:f>
        <x:v>1</x:v>
      </x:c>
    </x:row>
    <x:row r="620">
      <x:c r="A620" s="9" t="str">
        <x:v>EV-AR-HC-A-C-TECH-3-B1-RCN-G0-OG02</x:v>
      </x:c>
      <x:c r="B620" s="9" t="str">
        <x:v>EV-AR-HC-A-C-TECH-3-B1-RCN-G0</x:v>
      </x:c>
      <x:c r="C620" s="9" t="str">
        <x:v>AR-HC-A-C-TECH-3-B1-RCN-G0</x:v>
      </x:c>
      <x:c r="D620" s="9" t="str">
        <x:v>HC-A-C-TECH-3</x:v>
      </x:c>
      <x:c r="E620" s="9" t="str">
        <x:v>HC-A-C</x:v>
      </x:c>
      <x:c r="F620" s="9" t="str">
        <x:v>B1</x:v>
      </x:c>
      <x:c r="G620" s="9" t="str">
        <x:v>RCN</x:v>
      </x:c>
      <x:c r="H620" s="9" t="str">
        <x:v>OG02</x:v>
      </x:c>
      <x:c r="I620" s="17" t="str">
        <x:v>Time ancestry</x:v>
      </x:c>
      <x:c r="J620" s="17" t="str">
        <x:v>primary, witness and public event clocks retain declared offsets and drift</x:v>
      </x:c>
      <x:c r="K620" s="17" t="str">
        <x:v>Time authority</x:v>
      </x:c>
      <x:c r="L620" s="9" t="n">
        <x:v>0</x:v>
      </x:c>
      <x:c r="M620" s="9" t="n">
        <x:v>0</x:v>
      </x:c>
      <x:c r="N620" s="9" t="str">
        <x:v>OPEN / UNACCEPTED</x:v>
      </x:c>
      <x:c r="O620" s="9" t="n">
        <x:f>COUNTIFS($A$7:$A$1734,A620)</x:f>
        <x:v>1</x:v>
      </x:c>
    </x:row>
    <x:row r="621">
      <x:c r="A621" s="9" t="str">
        <x:v>EV-AR-HC-A-C-TECH-3-B1-RCN-G0-OG03</x:v>
      </x:c>
      <x:c r="B621" s="9" t="str">
        <x:v>EV-AR-HC-A-C-TECH-3-B1-RCN-G0</x:v>
      </x:c>
      <x:c r="C621" s="9" t="str">
        <x:v>AR-HC-A-C-TECH-3-B1-RCN-G0</x:v>
      </x:c>
      <x:c r="D621" s="9" t="str">
        <x:v>HC-A-C-TECH-3</x:v>
      </x:c>
      <x:c r="E621" s="9" t="str">
        <x:v>HC-A-C</x:v>
      </x:c>
      <x:c r="F621" s="9" t="str">
        <x:v>B1</x:v>
      </x:c>
      <x:c r="G621" s="9" t="str">
        <x:v>RCN</x:v>
      </x:c>
      <x:c r="H621" s="9" t="str">
        <x:v>OG03</x:v>
      </x:c>
      <x:c r="I621" s="17" t="str">
        <x:v>Calibration ancestry</x:v>
      </x:c>
      <x:c r="J621" s="17" t="str">
        <x:v>all reference, range and uncertainty states cover the live interval</x:v>
      </x:c>
      <x:c r="K621" s="17" t="str">
        <x:v>Metrology courts</x:v>
      </x:c>
      <x:c r="L621" s="9" t="n">
        <x:v>0</x:v>
      </x:c>
      <x:c r="M621" s="9" t="n">
        <x:v>0</x:v>
      </x:c>
      <x:c r="N621" s="9" t="str">
        <x:v>OPEN / UNACCEPTED</x:v>
      </x:c>
      <x:c r="O621" s="9" t="n">
        <x:f>COUNTIFS($A$7:$A$1734,A621)</x:f>
        <x:v>1</x:v>
      </x:c>
    </x:row>
    <x:row r="622">
      <x:c r="A622" s="9" t="str">
        <x:v>EV-AR-HC-A-C-TECH-3-B1-RCN-G0-OG04</x:v>
      </x:c>
      <x:c r="B622" s="9" t="str">
        <x:v>EV-AR-HC-A-C-TECH-3-B1-RCN-G0</x:v>
      </x:c>
      <x:c r="C622" s="9" t="str">
        <x:v>AR-HC-A-C-TECH-3-B1-RCN-G0</x:v>
      </x:c>
      <x:c r="D622" s="9" t="str">
        <x:v>HC-A-C-TECH-3</x:v>
      </x:c>
      <x:c r="E622" s="9" t="str">
        <x:v>HC-A-C</x:v>
      </x:c>
      <x:c r="F622" s="9" t="str">
        <x:v>B1</x:v>
      </x:c>
      <x:c r="G622" s="9" t="str">
        <x:v>RCN</x:v>
      </x:c>
      <x:c r="H622" s="9" t="str">
        <x:v>OG04</x:v>
      </x:c>
      <x:c r="I622" s="17" t="str">
        <x:v>Raw completeness</x:v>
      </x:c>
      <x:c r="J622" s="17" t="str">
        <x:v>missingness is enumerated without imputation or outcome-conditioned deletion</x:v>
      </x:c>
      <x:c r="K622" s="17" t="str">
        <x:v>Observation court</x:v>
      </x:c>
      <x:c r="L622" s="9" t="n">
        <x:v>0</x:v>
      </x:c>
      <x:c r="M622" s="9" t="n">
        <x:v>0</x:v>
      </x:c>
      <x:c r="N622" s="9" t="str">
        <x:v>OPEN / UNACCEPTED</x:v>
      </x:c>
      <x:c r="O622" s="9" t="n">
        <x:f>COUNTIFS($A$7:$A$1734,A622)</x:f>
        <x:v>1</x:v>
      </x:c>
    </x:row>
    <x:row r="623">
      <x:c r="A623" s="9" t="str">
        <x:v>EV-AR-HC-A-C-TECH-3-B1-RCN-G0-OG05</x:v>
      </x:c>
      <x:c r="B623" s="9" t="str">
        <x:v>EV-AR-HC-A-C-TECH-3-B1-RCN-G0</x:v>
      </x:c>
      <x:c r="C623" s="9" t="str">
        <x:v>AR-HC-A-C-TECH-3-B1-RCN-G0</x:v>
      </x:c>
      <x:c r="D623" s="9" t="str">
        <x:v>HC-A-C-TECH-3</x:v>
      </x:c>
      <x:c r="E623" s="9" t="str">
        <x:v>HC-A-C</x:v>
      </x:c>
      <x:c r="F623" s="9" t="str">
        <x:v>B1</x:v>
      </x:c>
      <x:c r="G623" s="9" t="str">
        <x:v>RCN</x:v>
      </x:c>
      <x:c r="H623" s="9" t="str">
        <x:v>OG05</x:v>
      </x:c>
      <x:c r="I623" s="17" t="str">
        <x:v>Primary provenance</x:v>
      </x:c>
      <x:c r="J623" s="17" t="str">
        <x:v>primary originals, hashes, keys and access history reconcile</x:v>
      </x:c>
      <x:c r="K623" s="17" t="str">
        <x:v>Primary custody</x:v>
      </x:c>
      <x:c r="L623" s="9" t="n">
        <x:v>0</x:v>
      </x:c>
      <x:c r="M623" s="9" t="n">
        <x:v>0</x:v>
      </x:c>
      <x:c r="N623" s="9" t="str">
        <x:v>OPEN / UNACCEPTED</x:v>
      </x:c>
      <x:c r="O623" s="9" t="n">
        <x:f>COUNTIFS($A$7:$A$1734,A623)</x:f>
        <x:v>1</x:v>
      </x:c>
    </x:row>
    <x:row r="624">
      <x:c r="A624" s="9" t="str">
        <x:v>EV-AR-HC-A-C-TECH-3-B1-RCN-G0-OG06</x:v>
      </x:c>
      <x:c r="B624" s="9" t="str">
        <x:v>EV-AR-HC-A-C-TECH-3-B1-RCN-G0</x:v>
      </x:c>
      <x:c r="C624" s="9" t="str">
        <x:v>AR-HC-A-C-TECH-3-B1-RCN-G0</x:v>
      </x:c>
      <x:c r="D624" s="9" t="str">
        <x:v>HC-A-C-TECH-3</x:v>
      </x:c>
      <x:c r="E624" s="9" t="str">
        <x:v>HC-A-C</x:v>
      </x:c>
      <x:c r="F624" s="9" t="str">
        <x:v>B1</x:v>
      </x:c>
      <x:c r="G624" s="9" t="str">
        <x:v>RCN</x:v>
      </x:c>
      <x:c r="H624" s="9" t="str">
        <x:v>OG06</x:v>
      </x:c>
      <x:c r="I624" s="17" t="str">
        <x:v>Witness provenance</x:v>
      </x:c>
      <x:c r="J624" s="17" t="str">
        <x:v>unlike witness originals, hashes, keys and access history reconcile</x:v>
      </x:c>
      <x:c r="K624" s="17" t="str">
        <x:v>Witness custody</x:v>
      </x:c>
      <x:c r="L624" s="9" t="n">
        <x:v>0</x:v>
      </x:c>
      <x:c r="M624" s="9" t="n">
        <x:v>0</x:v>
      </x:c>
      <x:c r="N624" s="9" t="str">
        <x:v>OPEN / UNACCEPTED</x:v>
      </x:c>
      <x:c r="O624" s="9" t="n">
        <x:f>COUNTIFS($A$7:$A$1734,A624)</x:f>
        <x:v>1</x:v>
      </x:c>
    </x:row>
    <x:row r="625">
      <x:c r="A625" s="9" t="str">
        <x:v>EV-AR-HC-A-C-TECH-3-B1-RCN-G0-OG07</x:v>
      </x:c>
      <x:c r="B625" s="9" t="str">
        <x:v>EV-AR-HC-A-C-TECH-3-B1-RCN-G0</x:v>
      </x:c>
      <x:c r="C625" s="9" t="str">
        <x:v>AR-HC-A-C-TECH-3-B1-RCN-G0</x:v>
      </x:c>
      <x:c r="D625" s="9" t="str">
        <x:v>HC-A-C-TECH-3</x:v>
      </x:c>
      <x:c r="E625" s="9" t="str">
        <x:v>HC-A-C</x:v>
      </x:c>
      <x:c r="F625" s="9" t="str">
        <x:v>B1</x:v>
      </x:c>
      <x:c r="G625" s="9" t="str">
        <x:v>RCN</x:v>
      </x:c>
      <x:c r="H625" s="9" t="str">
        <x:v>OG07</x:v>
      </x:c>
      <x:c r="I625" s="17" t="str">
        <x:v>Receiver denominator</x:v>
      </x:c>
      <x:c r="J625" s="17" t="str">
        <x:v>population, quantity, duration and exclusions match the frozen receipt</x:v>
      </x:c>
      <x:c r="K625" s="17" t="str">
        <x:v>Receiver court</x:v>
      </x:c>
      <x:c r="L625" s="9" t="n">
        <x:v>0</x:v>
      </x:c>
      <x:c r="M625" s="9" t="n">
        <x:v>0</x:v>
      </x:c>
      <x:c r="N625" s="9" t="str">
        <x:v>OPEN / UNACCEPTED</x:v>
      </x:c>
      <x:c r="O625" s="9" t="n">
        <x:f>COUNTIFS($A$7:$A$1734,A625)</x:f>
        <x:v>1</x:v>
      </x:c>
    </x:row>
    <x:row r="626">
      <x:c r="A626" s="9" t="str">
        <x:v>EV-AR-HC-A-C-TECH-3-B1-RCN-G0-OG08</x:v>
      </x:c>
      <x:c r="B626" s="9" t="str">
        <x:v>EV-AR-HC-A-C-TECH-3-B1-RCN-G0</x:v>
      </x:c>
      <x:c r="C626" s="9" t="str">
        <x:v>AR-HC-A-C-TECH-3-B1-RCN-G0</x:v>
      </x:c>
      <x:c r="D626" s="9" t="str">
        <x:v>HC-A-C-TECH-3</x:v>
      </x:c>
      <x:c r="E626" s="9" t="str">
        <x:v>HC-A-C</x:v>
      </x:c>
      <x:c r="F626" s="9" t="str">
        <x:v>B1</x:v>
      </x:c>
      <x:c r="G626" s="9" t="str">
        <x:v>RCN</x:v>
      </x:c>
      <x:c r="H626" s="9" t="str">
        <x:v>OG08</x:v>
      </x:c>
      <x:c r="I626" s="17" t="str">
        <x:v>Environment and boundary</x:v>
      </x:c>
      <x:c r="J626" s="17" t="str">
        <x:v>registered weather, water, ground, inlet and outlet states are retained</x:v>
      </x:c>
      <x:c r="K626" s="17" t="str">
        <x:v>Boundary court</x:v>
      </x:c>
      <x:c r="L626" s="9" t="n">
        <x:v>0</x:v>
      </x:c>
      <x:c r="M626" s="9" t="n">
        <x:v>0</x:v>
      </x:c>
      <x:c r="N626" s="9" t="str">
        <x:v>OPEN / UNACCEPTED</x:v>
      </x:c>
      <x:c r="O626" s="9" t="n">
        <x:f>COUNTIFS($A$7:$A$1734,A626)</x:f>
        <x:v>1</x:v>
      </x:c>
    </x:row>
    <x:row r="627">
      <x:c r="A627" s="9" t="str">
        <x:v>EV-AR-HC-A-C-TECH-3-B1-RCN-G0-OG09</x:v>
      </x:c>
      <x:c r="B627" s="9" t="str">
        <x:v>EV-AR-HC-A-C-TECH-3-B1-RCN-G0</x:v>
      </x:c>
      <x:c r="C627" s="9" t="str">
        <x:v>AR-HC-A-C-TECH-3-B1-RCN-G0</x:v>
      </x:c>
      <x:c r="D627" s="9" t="str">
        <x:v>HC-A-C-TECH-3</x:v>
      </x:c>
      <x:c r="E627" s="9" t="str">
        <x:v>HC-A-C</x:v>
      </x:c>
      <x:c r="F627" s="9" t="str">
        <x:v>B1</x:v>
      </x:c>
      <x:c r="G627" s="9" t="str">
        <x:v>RCN</x:v>
      </x:c>
      <x:c r="H627" s="9" t="str">
        <x:v>OG09</x:v>
      </x:c>
      <x:c r="I627" s="17" t="str">
        <x:v>Intervention account</x:v>
      </x:c>
      <x:c r="J627" s="17" t="str">
        <x:v>all stop, rescue, operator and public-protection actions remain timestamped</x:v>
      </x:c>
      <x:c r="K627" s="17" t="str">
        <x:v>Safety record court</x:v>
      </x:c>
      <x:c r="L627" s="9" t="n">
        <x:v>0</x:v>
      </x:c>
      <x:c r="M627" s="9" t="n">
        <x:v>0</x:v>
      </x:c>
      <x:c r="N627" s="9" t="str">
        <x:v>OPEN / UNACCEPTED</x:v>
      </x:c>
      <x:c r="O627" s="9" t="n">
        <x:f>COUNTIFS($A$7:$A$1734,A627)</x:f>
        <x:v>1</x:v>
      </x:c>
    </x:row>
    <x:row r="628">
      <x:c r="A628" s="9" t="str">
        <x:v>EV-AR-HC-A-C-TECH-3-B1-RCN-G0-OG10</x:v>
      </x:c>
      <x:c r="B628" s="9" t="str">
        <x:v>EV-AR-HC-A-C-TECH-3-B1-RCN-G0</x:v>
      </x:c>
      <x:c r="C628" s="9" t="str">
        <x:v>AR-HC-A-C-TECH-3-B1-RCN-G0</x:v>
      </x:c>
      <x:c r="D628" s="9" t="str">
        <x:v>HC-A-C-TECH-3</x:v>
      </x:c>
      <x:c r="E628" s="9" t="str">
        <x:v>HC-A-C</x:v>
      </x:c>
      <x:c r="F628" s="9" t="str">
        <x:v>B1</x:v>
      </x:c>
      <x:c r="G628" s="9" t="str">
        <x:v>RCN</x:v>
      </x:c>
      <x:c r="H628" s="9" t="str">
        <x:v>OG10</x:v>
      </x:c>
      <x:c r="I628" s="17" t="str">
        <x:v>Uncertainty statement</x:v>
      </x:c>
      <x:c r="J628" s="17" t="str">
        <x:v>range, censoring, resolution and correlation are declared before judgment</x:v>
      </x:c>
      <x:c r="K628" s="17" t="str">
        <x:v>Uncertainty authority</x:v>
      </x:c>
      <x:c r="L628" s="9" t="n">
        <x:v>0</x:v>
      </x:c>
      <x:c r="M628" s="9" t="n">
        <x:v>0</x:v>
      </x:c>
      <x:c r="N628" s="9" t="str">
        <x:v>OPEN / UNACCEPTED</x:v>
      </x:c>
      <x:c r="O628" s="9" t="n">
        <x:f>COUNTIFS($A$7:$A$1734,A628)</x:f>
        <x:v>1</x:v>
      </x:c>
    </x:row>
    <x:row r="629">
      <x:c r="A629" s="9" t="str">
        <x:v>EV-AR-HC-A-C-TECH-3-B1-RCN-G0-OG11</x:v>
      </x:c>
      <x:c r="B629" s="9" t="str">
        <x:v>EV-AR-HC-A-C-TECH-3-B1-RCN-G0</x:v>
      </x:c>
      <x:c r="C629" s="9" t="str">
        <x:v>AR-HC-A-C-TECH-3-B1-RCN-G0</x:v>
      </x:c>
      <x:c r="D629" s="9" t="str">
        <x:v>HC-A-C-TECH-3</x:v>
      </x:c>
      <x:c r="E629" s="9" t="str">
        <x:v>HC-A-C</x:v>
      </x:c>
      <x:c r="F629" s="9" t="str">
        <x:v>B1</x:v>
      </x:c>
      <x:c r="G629" s="9" t="str">
        <x:v>RCN</x:v>
      </x:c>
      <x:c r="H629" s="9" t="str">
        <x:v>OG11</x:v>
      </x:c>
      <x:c r="I629" s="17" t="str">
        <x:v>Contradiction preservation</x:v>
      </x:c>
      <x:c r="J629" s="17" t="str">
        <x:v>primary-witness disagreement remains explicit and is never averaged away</x:v>
      </x:c>
      <x:c r="K629" s="17" t="str">
        <x:v>Dissent registrar</x:v>
      </x:c>
      <x:c r="L629" s="9" t="n">
        <x:v>0</x:v>
      </x:c>
      <x:c r="M629" s="9" t="n">
        <x:v>0</x:v>
      </x:c>
      <x:c r="N629" s="9" t="str">
        <x:v>OPEN / UNACCEPTED</x:v>
      </x:c>
      <x:c r="O629" s="9" t="n">
        <x:f>COUNTIFS($A$7:$A$1734,A629)</x:f>
        <x:v>1</x:v>
      </x:c>
    </x:row>
    <x:row r="630">
      <x:c r="A630" s="9" t="str">
        <x:v>EV-AR-HC-A-C-TECH-3-B1-RCN-G0-OG12</x:v>
      </x:c>
      <x:c r="B630" s="9" t="str">
        <x:v>EV-AR-HC-A-C-TECH-3-B1-RCN-G0</x:v>
      </x:c>
      <x:c r="C630" s="9" t="str">
        <x:v>AR-HC-A-C-TECH-3-B1-RCN-G0</x:v>
      </x:c>
      <x:c r="D630" s="9" t="str">
        <x:v>HC-A-C-TECH-3</x:v>
      </x:c>
      <x:c r="E630" s="9" t="str">
        <x:v>HC-A-C</x:v>
      </x:c>
      <x:c r="F630" s="9" t="str">
        <x:v>B1</x:v>
      </x:c>
      <x:c r="G630" s="9" t="str">
        <x:v>RCN</x:v>
      </x:c>
      <x:c r="H630" s="9" t="str">
        <x:v>OG12</x:v>
      </x:c>
      <x:c r="I630" s="17" t="str">
        <x:v>Independent replay</x:v>
      </x:c>
      <x:c r="J630" s="17" t="str">
        <x:v>a separated reader reconstructs the registered observables from sealed originals</x:v>
      </x:c>
      <x:c r="K630" s="17" t="str">
        <x:v>Replay court</x:v>
      </x:c>
      <x:c r="L630" s="9" t="n">
        <x:v>0</x:v>
      </x:c>
      <x:c r="M630" s="9" t="n">
        <x:v>0</x:v>
      </x:c>
      <x:c r="N630" s="9" t="str">
        <x:v>OPEN / UNACCEPTED</x:v>
      </x:c>
      <x:c r="O630" s="9" t="n">
        <x:f>COUNTIFS($A$7:$A$1734,A630)</x:f>
        <x:v>1</x:v>
      </x:c>
    </x:row>
    <x:row r="631">
      <x:c r="A631" s="9" t="str">
        <x:v>EV-AR-HU-A-B-TECH-1-B1-RCN-G0-OG01</x:v>
      </x:c>
      <x:c r="B631" s="9" t="str">
        <x:v>EV-AR-HU-A-B-TECH-1-B1-RCN-G0</x:v>
      </x:c>
      <x:c r="C631" s="9" t="str">
        <x:v>AR-HU-A-B-TECH-1-B1-RCN-G0</x:v>
      </x:c>
      <x:c r="D631" s="9" t="str">
        <x:v>HU-A-B-TECH-1</x:v>
      </x:c>
      <x:c r="E631" s="9" t="str">
        <x:v>HU-A-B</x:v>
      </x:c>
      <x:c r="F631" s="9" t="str">
        <x:v>B1</x:v>
      </x:c>
      <x:c r="G631" s="9" t="str">
        <x:v>RCN</x:v>
      </x:c>
      <x:c r="H631" s="9" t="str">
        <x:v>OG01</x:v>
      </x:c>
      <x:c r="I631" s="17" t="str">
        <x:v>Serial and event identity</x:v>
      </x:c>
      <x:c r="J631" s="17" t="str">
        <x:v>record resolves to the issued serial, generation and physical start</x:v>
      </x:c>
      <x:c r="K631" s="17" t="str">
        <x:v>Observation court</x:v>
      </x:c>
      <x:c r="L631" s="9" t="n">
        <x:v>0</x:v>
      </x:c>
      <x:c r="M631" s="9" t="n">
        <x:v>0</x:v>
      </x:c>
      <x:c r="N631" s="9" t="str">
        <x:v>OPEN / UNACCEPTED</x:v>
      </x:c>
      <x:c r="O631" s="9" t="n">
        <x:f>COUNTIFS($A$7:$A$1734,A631)</x:f>
        <x:v>1</x:v>
      </x:c>
    </x:row>
    <x:row r="632">
      <x:c r="A632" s="9" t="str">
        <x:v>EV-AR-HU-A-B-TECH-1-B1-RCN-G0-OG02</x:v>
      </x:c>
      <x:c r="B632" s="9" t="str">
        <x:v>EV-AR-HU-A-B-TECH-1-B1-RCN-G0</x:v>
      </x:c>
      <x:c r="C632" s="9" t="str">
        <x:v>AR-HU-A-B-TECH-1-B1-RCN-G0</x:v>
      </x:c>
      <x:c r="D632" s="9" t="str">
        <x:v>HU-A-B-TECH-1</x:v>
      </x:c>
      <x:c r="E632" s="9" t="str">
        <x:v>HU-A-B</x:v>
      </x:c>
      <x:c r="F632" s="9" t="str">
        <x:v>B1</x:v>
      </x:c>
      <x:c r="G632" s="9" t="str">
        <x:v>RCN</x:v>
      </x:c>
      <x:c r="H632" s="9" t="str">
        <x:v>OG02</x:v>
      </x:c>
      <x:c r="I632" s="17" t="str">
        <x:v>Time ancestry</x:v>
      </x:c>
      <x:c r="J632" s="17" t="str">
        <x:v>primary, witness and public event clocks retain declared offsets and drift</x:v>
      </x:c>
      <x:c r="K632" s="17" t="str">
        <x:v>Time authority</x:v>
      </x:c>
      <x:c r="L632" s="9" t="n">
        <x:v>0</x:v>
      </x:c>
      <x:c r="M632" s="9" t="n">
        <x:v>0</x:v>
      </x:c>
      <x:c r="N632" s="9" t="str">
        <x:v>OPEN / UNACCEPTED</x:v>
      </x:c>
      <x:c r="O632" s="9" t="n">
        <x:f>COUNTIFS($A$7:$A$1734,A632)</x:f>
        <x:v>1</x:v>
      </x:c>
    </x:row>
    <x:row r="633">
      <x:c r="A633" s="9" t="str">
        <x:v>EV-AR-HU-A-B-TECH-1-B1-RCN-G0-OG03</x:v>
      </x:c>
      <x:c r="B633" s="9" t="str">
        <x:v>EV-AR-HU-A-B-TECH-1-B1-RCN-G0</x:v>
      </x:c>
      <x:c r="C633" s="9" t="str">
        <x:v>AR-HU-A-B-TECH-1-B1-RCN-G0</x:v>
      </x:c>
      <x:c r="D633" s="9" t="str">
        <x:v>HU-A-B-TECH-1</x:v>
      </x:c>
      <x:c r="E633" s="9" t="str">
        <x:v>HU-A-B</x:v>
      </x:c>
      <x:c r="F633" s="9" t="str">
        <x:v>B1</x:v>
      </x:c>
      <x:c r="G633" s="9" t="str">
        <x:v>RCN</x:v>
      </x:c>
      <x:c r="H633" s="9" t="str">
        <x:v>OG03</x:v>
      </x:c>
      <x:c r="I633" s="17" t="str">
        <x:v>Calibration ancestry</x:v>
      </x:c>
      <x:c r="J633" s="17" t="str">
        <x:v>all reference, range and uncertainty states cover the live interval</x:v>
      </x:c>
      <x:c r="K633" s="17" t="str">
        <x:v>Metrology courts</x:v>
      </x:c>
      <x:c r="L633" s="9" t="n">
        <x:v>0</x:v>
      </x:c>
      <x:c r="M633" s="9" t="n">
        <x:v>0</x:v>
      </x:c>
      <x:c r="N633" s="9" t="str">
        <x:v>OPEN / UNACCEPTED</x:v>
      </x:c>
      <x:c r="O633" s="9" t="n">
        <x:f>COUNTIFS($A$7:$A$1734,A633)</x:f>
        <x:v>1</x:v>
      </x:c>
    </x:row>
    <x:row r="634">
      <x:c r="A634" s="9" t="str">
        <x:v>EV-AR-HU-A-B-TECH-1-B1-RCN-G0-OG04</x:v>
      </x:c>
      <x:c r="B634" s="9" t="str">
        <x:v>EV-AR-HU-A-B-TECH-1-B1-RCN-G0</x:v>
      </x:c>
      <x:c r="C634" s="9" t="str">
        <x:v>AR-HU-A-B-TECH-1-B1-RCN-G0</x:v>
      </x:c>
      <x:c r="D634" s="9" t="str">
        <x:v>HU-A-B-TECH-1</x:v>
      </x:c>
      <x:c r="E634" s="9" t="str">
        <x:v>HU-A-B</x:v>
      </x:c>
      <x:c r="F634" s="9" t="str">
        <x:v>B1</x:v>
      </x:c>
      <x:c r="G634" s="9" t="str">
        <x:v>RCN</x:v>
      </x:c>
      <x:c r="H634" s="9" t="str">
        <x:v>OG04</x:v>
      </x:c>
      <x:c r="I634" s="17" t="str">
        <x:v>Raw completeness</x:v>
      </x:c>
      <x:c r="J634" s="17" t="str">
        <x:v>missingness is enumerated without imputation or outcome-conditioned deletion</x:v>
      </x:c>
      <x:c r="K634" s="17" t="str">
        <x:v>Observation court</x:v>
      </x:c>
      <x:c r="L634" s="9" t="n">
        <x:v>0</x:v>
      </x:c>
      <x:c r="M634" s="9" t="n">
        <x:v>0</x:v>
      </x:c>
      <x:c r="N634" s="9" t="str">
        <x:v>OPEN / UNACCEPTED</x:v>
      </x:c>
      <x:c r="O634" s="9" t="n">
        <x:f>COUNTIFS($A$7:$A$1734,A634)</x:f>
        <x:v>1</x:v>
      </x:c>
    </x:row>
    <x:row r="635">
      <x:c r="A635" s="9" t="str">
        <x:v>EV-AR-HU-A-B-TECH-1-B1-RCN-G0-OG05</x:v>
      </x:c>
      <x:c r="B635" s="9" t="str">
        <x:v>EV-AR-HU-A-B-TECH-1-B1-RCN-G0</x:v>
      </x:c>
      <x:c r="C635" s="9" t="str">
        <x:v>AR-HU-A-B-TECH-1-B1-RCN-G0</x:v>
      </x:c>
      <x:c r="D635" s="9" t="str">
        <x:v>HU-A-B-TECH-1</x:v>
      </x:c>
      <x:c r="E635" s="9" t="str">
        <x:v>HU-A-B</x:v>
      </x:c>
      <x:c r="F635" s="9" t="str">
        <x:v>B1</x:v>
      </x:c>
      <x:c r="G635" s="9" t="str">
        <x:v>RCN</x:v>
      </x:c>
      <x:c r="H635" s="9" t="str">
        <x:v>OG05</x:v>
      </x:c>
      <x:c r="I635" s="17" t="str">
        <x:v>Primary provenance</x:v>
      </x:c>
      <x:c r="J635" s="17" t="str">
        <x:v>primary originals, hashes, keys and access history reconcile</x:v>
      </x:c>
      <x:c r="K635" s="17" t="str">
        <x:v>Primary custody</x:v>
      </x:c>
      <x:c r="L635" s="9" t="n">
        <x:v>0</x:v>
      </x:c>
      <x:c r="M635" s="9" t="n">
        <x:v>0</x:v>
      </x:c>
      <x:c r="N635" s="9" t="str">
        <x:v>OPEN / UNACCEPTED</x:v>
      </x:c>
      <x:c r="O635" s="9" t="n">
        <x:f>COUNTIFS($A$7:$A$1734,A635)</x:f>
        <x:v>1</x:v>
      </x:c>
    </x:row>
    <x:row r="636">
      <x:c r="A636" s="9" t="str">
        <x:v>EV-AR-HU-A-B-TECH-1-B1-RCN-G0-OG06</x:v>
      </x:c>
      <x:c r="B636" s="9" t="str">
        <x:v>EV-AR-HU-A-B-TECH-1-B1-RCN-G0</x:v>
      </x:c>
      <x:c r="C636" s="9" t="str">
        <x:v>AR-HU-A-B-TECH-1-B1-RCN-G0</x:v>
      </x:c>
      <x:c r="D636" s="9" t="str">
        <x:v>HU-A-B-TECH-1</x:v>
      </x:c>
      <x:c r="E636" s="9" t="str">
        <x:v>HU-A-B</x:v>
      </x:c>
      <x:c r="F636" s="9" t="str">
        <x:v>B1</x:v>
      </x:c>
      <x:c r="G636" s="9" t="str">
        <x:v>RCN</x:v>
      </x:c>
      <x:c r="H636" s="9" t="str">
        <x:v>OG06</x:v>
      </x:c>
      <x:c r="I636" s="17" t="str">
        <x:v>Witness provenance</x:v>
      </x:c>
      <x:c r="J636" s="17" t="str">
        <x:v>unlike witness originals, hashes, keys and access history reconcile</x:v>
      </x:c>
      <x:c r="K636" s="17" t="str">
        <x:v>Witness custody</x:v>
      </x:c>
      <x:c r="L636" s="9" t="n">
        <x:v>0</x:v>
      </x:c>
      <x:c r="M636" s="9" t="n">
        <x:v>0</x:v>
      </x:c>
      <x:c r="N636" s="9" t="str">
        <x:v>OPEN / UNACCEPTED</x:v>
      </x:c>
      <x:c r="O636" s="9" t="n">
        <x:f>COUNTIFS($A$7:$A$1734,A636)</x:f>
        <x:v>1</x:v>
      </x:c>
    </x:row>
    <x:row r="637">
      <x:c r="A637" s="9" t="str">
        <x:v>EV-AR-HU-A-B-TECH-1-B1-RCN-G0-OG07</x:v>
      </x:c>
      <x:c r="B637" s="9" t="str">
        <x:v>EV-AR-HU-A-B-TECH-1-B1-RCN-G0</x:v>
      </x:c>
      <x:c r="C637" s="9" t="str">
        <x:v>AR-HU-A-B-TECH-1-B1-RCN-G0</x:v>
      </x:c>
      <x:c r="D637" s="9" t="str">
        <x:v>HU-A-B-TECH-1</x:v>
      </x:c>
      <x:c r="E637" s="9" t="str">
        <x:v>HU-A-B</x:v>
      </x:c>
      <x:c r="F637" s="9" t="str">
        <x:v>B1</x:v>
      </x:c>
      <x:c r="G637" s="9" t="str">
        <x:v>RCN</x:v>
      </x:c>
      <x:c r="H637" s="9" t="str">
        <x:v>OG07</x:v>
      </x:c>
      <x:c r="I637" s="17" t="str">
        <x:v>Receiver denominator</x:v>
      </x:c>
      <x:c r="J637" s="17" t="str">
        <x:v>population, quantity, duration and exclusions match the frozen receipt</x:v>
      </x:c>
      <x:c r="K637" s="17" t="str">
        <x:v>Receiver court</x:v>
      </x:c>
      <x:c r="L637" s="9" t="n">
        <x:v>0</x:v>
      </x:c>
      <x:c r="M637" s="9" t="n">
        <x:v>0</x:v>
      </x:c>
      <x:c r="N637" s="9" t="str">
        <x:v>OPEN / UNACCEPTED</x:v>
      </x:c>
      <x:c r="O637" s="9" t="n">
        <x:f>COUNTIFS($A$7:$A$1734,A637)</x:f>
        <x:v>1</x:v>
      </x:c>
    </x:row>
    <x:row r="638">
      <x:c r="A638" s="9" t="str">
        <x:v>EV-AR-HU-A-B-TECH-1-B1-RCN-G0-OG08</x:v>
      </x:c>
      <x:c r="B638" s="9" t="str">
        <x:v>EV-AR-HU-A-B-TECH-1-B1-RCN-G0</x:v>
      </x:c>
      <x:c r="C638" s="9" t="str">
        <x:v>AR-HU-A-B-TECH-1-B1-RCN-G0</x:v>
      </x:c>
      <x:c r="D638" s="9" t="str">
        <x:v>HU-A-B-TECH-1</x:v>
      </x:c>
      <x:c r="E638" s="9" t="str">
        <x:v>HU-A-B</x:v>
      </x:c>
      <x:c r="F638" s="9" t="str">
        <x:v>B1</x:v>
      </x:c>
      <x:c r="G638" s="9" t="str">
        <x:v>RCN</x:v>
      </x:c>
      <x:c r="H638" s="9" t="str">
        <x:v>OG08</x:v>
      </x:c>
      <x:c r="I638" s="17" t="str">
        <x:v>Environment and boundary</x:v>
      </x:c>
      <x:c r="J638" s="17" t="str">
        <x:v>registered weather, water, ground, inlet and outlet states are retained</x:v>
      </x:c>
      <x:c r="K638" s="17" t="str">
        <x:v>Boundary court</x:v>
      </x:c>
      <x:c r="L638" s="9" t="n">
        <x:v>0</x:v>
      </x:c>
      <x:c r="M638" s="9" t="n">
        <x:v>0</x:v>
      </x:c>
      <x:c r="N638" s="9" t="str">
        <x:v>OPEN / UNACCEPTED</x:v>
      </x:c>
      <x:c r="O638" s="9" t="n">
        <x:f>COUNTIFS($A$7:$A$1734,A638)</x:f>
        <x:v>1</x:v>
      </x:c>
    </x:row>
    <x:row r="639">
      <x:c r="A639" s="9" t="str">
        <x:v>EV-AR-HU-A-B-TECH-1-B1-RCN-G0-OG09</x:v>
      </x:c>
      <x:c r="B639" s="9" t="str">
        <x:v>EV-AR-HU-A-B-TECH-1-B1-RCN-G0</x:v>
      </x:c>
      <x:c r="C639" s="9" t="str">
        <x:v>AR-HU-A-B-TECH-1-B1-RCN-G0</x:v>
      </x:c>
      <x:c r="D639" s="9" t="str">
        <x:v>HU-A-B-TECH-1</x:v>
      </x:c>
      <x:c r="E639" s="9" t="str">
        <x:v>HU-A-B</x:v>
      </x:c>
      <x:c r="F639" s="9" t="str">
        <x:v>B1</x:v>
      </x:c>
      <x:c r="G639" s="9" t="str">
        <x:v>RCN</x:v>
      </x:c>
      <x:c r="H639" s="9" t="str">
        <x:v>OG09</x:v>
      </x:c>
      <x:c r="I639" s="17" t="str">
        <x:v>Intervention account</x:v>
      </x:c>
      <x:c r="J639" s="17" t="str">
        <x:v>all stop, rescue, operator and public-protection actions remain timestamped</x:v>
      </x:c>
      <x:c r="K639" s="17" t="str">
        <x:v>Safety record court</x:v>
      </x:c>
      <x:c r="L639" s="9" t="n">
        <x:v>0</x:v>
      </x:c>
      <x:c r="M639" s="9" t="n">
        <x:v>0</x:v>
      </x:c>
      <x:c r="N639" s="9" t="str">
        <x:v>OPEN / UNACCEPTED</x:v>
      </x:c>
      <x:c r="O639" s="9" t="n">
        <x:f>COUNTIFS($A$7:$A$1734,A639)</x:f>
        <x:v>1</x:v>
      </x:c>
    </x:row>
    <x:row r="640">
      <x:c r="A640" s="9" t="str">
        <x:v>EV-AR-HU-A-B-TECH-1-B1-RCN-G0-OG10</x:v>
      </x:c>
      <x:c r="B640" s="9" t="str">
        <x:v>EV-AR-HU-A-B-TECH-1-B1-RCN-G0</x:v>
      </x:c>
      <x:c r="C640" s="9" t="str">
        <x:v>AR-HU-A-B-TECH-1-B1-RCN-G0</x:v>
      </x:c>
      <x:c r="D640" s="9" t="str">
        <x:v>HU-A-B-TECH-1</x:v>
      </x:c>
      <x:c r="E640" s="9" t="str">
        <x:v>HU-A-B</x:v>
      </x:c>
      <x:c r="F640" s="9" t="str">
        <x:v>B1</x:v>
      </x:c>
      <x:c r="G640" s="9" t="str">
        <x:v>RCN</x:v>
      </x:c>
      <x:c r="H640" s="9" t="str">
        <x:v>OG10</x:v>
      </x:c>
      <x:c r="I640" s="17" t="str">
        <x:v>Uncertainty statement</x:v>
      </x:c>
      <x:c r="J640" s="17" t="str">
        <x:v>range, censoring, resolution and correlation are declared before judgment</x:v>
      </x:c>
      <x:c r="K640" s="17" t="str">
        <x:v>Uncertainty authority</x:v>
      </x:c>
      <x:c r="L640" s="9" t="n">
        <x:v>0</x:v>
      </x:c>
      <x:c r="M640" s="9" t="n">
        <x:v>0</x:v>
      </x:c>
      <x:c r="N640" s="9" t="str">
        <x:v>OPEN / UNACCEPTED</x:v>
      </x:c>
      <x:c r="O640" s="9" t="n">
        <x:f>COUNTIFS($A$7:$A$1734,A640)</x:f>
        <x:v>1</x:v>
      </x:c>
    </x:row>
    <x:row r="641">
      <x:c r="A641" s="9" t="str">
        <x:v>EV-AR-HU-A-B-TECH-1-B1-RCN-G0-OG11</x:v>
      </x:c>
      <x:c r="B641" s="9" t="str">
        <x:v>EV-AR-HU-A-B-TECH-1-B1-RCN-G0</x:v>
      </x:c>
      <x:c r="C641" s="9" t="str">
        <x:v>AR-HU-A-B-TECH-1-B1-RCN-G0</x:v>
      </x:c>
      <x:c r="D641" s="9" t="str">
        <x:v>HU-A-B-TECH-1</x:v>
      </x:c>
      <x:c r="E641" s="9" t="str">
        <x:v>HU-A-B</x:v>
      </x:c>
      <x:c r="F641" s="9" t="str">
        <x:v>B1</x:v>
      </x:c>
      <x:c r="G641" s="9" t="str">
        <x:v>RCN</x:v>
      </x:c>
      <x:c r="H641" s="9" t="str">
        <x:v>OG11</x:v>
      </x:c>
      <x:c r="I641" s="17" t="str">
        <x:v>Contradiction preservation</x:v>
      </x:c>
      <x:c r="J641" s="17" t="str">
        <x:v>primary-witness disagreement remains explicit and is never averaged away</x:v>
      </x:c>
      <x:c r="K641" s="17" t="str">
        <x:v>Dissent registrar</x:v>
      </x:c>
      <x:c r="L641" s="9" t="n">
        <x:v>0</x:v>
      </x:c>
      <x:c r="M641" s="9" t="n">
        <x:v>0</x:v>
      </x:c>
      <x:c r="N641" s="9" t="str">
        <x:v>OPEN / UNACCEPTED</x:v>
      </x:c>
      <x:c r="O641" s="9" t="n">
        <x:f>COUNTIFS($A$7:$A$1734,A641)</x:f>
        <x:v>1</x:v>
      </x:c>
    </x:row>
    <x:row r="642">
      <x:c r="A642" s="9" t="str">
        <x:v>EV-AR-HU-A-B-TECH-1-B1-RCN-G0-OG12</x:v>
      </x:c>
      <x:c r="B642" s="9" t="str">
        <x:v>EV-AR-HU-A-B-TECH-1-B1-RCN-G0</x:v>
      </x:c>
      <x:c r="C642" s="9" t="str">
        <x:v>AR-HU-A-B-TECH-1-B1-RCN-G0</x:v>
      </x:c>
      <x:c r="D642" s="9" t="str">
        <x:v>HU-A-B-TECH-1</x:v>
      </x:c>
      <x:c r="E642" s="9" t="str">
        <x:v>HU-A-B</x:v>
      </x:c>
      <x:c r="F642" s="9" t="str">
        <x:v>B1</x:v>
      </x:c>
      <x:c r="G642" s="9" t="str">
        <x:v>RCN</x:v>
      </x:c>
      <x:c r="H642" s="9" t="str">
        <x:v>OG12</x:v>
      </x:c>
      <x:c r="I642" s="17" t="str">
        <x:v>Independent replay</x:v>
      </x:c>
      <x:c r="J642" s="17" t="str">
        <x:v>a separated reader reconstructs the registered observables from sealed originals</x:v>
      </x:c>
      <x:c r="K642" s="17" t="str">
        <x:v>Replay court</x:v>
      </x:c>
      <x:c r="L642" s="9" t="n">
        <x:v>0</x:v>
      </x:c>
      <x:c r="M642" s="9" t="n">
        <x:v>0</x:v>
      </x:c>
      <x:c r="N642" s="9" t="str">
        <x:v>OPEN / UNACCEPTED</x:v>
      </x:c>
      <x:c r="O642" s="9" t="n">
        <x:f>COUNTIFS($A$7:$A$1734,A642)</x:f>
        <x:v>1</x:v>
      </x:c>
    </x:row>
    <x:row r="643">
      <x:c r="A643" s="9" t="str">
        <x:v>EV-AR-RT-B-C-TECH-3-B2-INT-G0-OG01</x:v>
      </x:c>
      <x:c r="B643" s="9" t="str">
        <x:v>EV-AR-RT-B-C-TECH-3-B2-INT-G0</x:v>
      </x:c>
      <x:c r="C643" s="9" t="str">
        <x:v>AR-RT-B-C-TECH-3-B2-INT-G0</x:v>
      </x:c>
      <x:c r="D643" s="9" t="str">
        <x:v>RT-B-C-TECH-3</x:v>
      </x:c>
      <x:c r="E643" s="9" t="str">
        <x:v>RT-B-C</x:v>
      </x:c>
      <x:c r="F643" s="9" t="str">
        <x:v>B2</x:v>
      </x:c>
      <x:c r="G643" s="9" t="str">
        <x:v>INT</x:v>
      </x:c>
      <x:c r="H643" s="9" t="str">
        <x:v>OG01</x:v>
      </x:c>
      <x:c r="I643" s="17" t="str">
        <x:v>Serial and event identity</x:v>
      </x:c>
      <x:c r="J643" s="17" t="str">
        <x:v>record resolves to the issued serial, generation and physical start</x:v>
      </x:c>
      <x:c r="K643" s="17" t="str">
        <x:v>Observation court</x:v>
      </x:c>
      <x:c r="L643" s="9" t="n">
        <x:v>0</x:v>
      </x:c>
      <x:c r="M643" s="9" t="n">
        <x:v>0</x:v>
      </x:c>
      <x:c r="N643" s="9" t="str">
        <x:v>OPEN / UNACCEPTED</x:v>
      </x:c>
      <x:c r="O643" s="9" t="n">
        <x:f>COUNTIFS($A$7:$A$1734,A643)</x:f>
        <x:v>1</x:v>
      </x:c>
    </x:row>
    <x:row r="644">
      <x:c r="A644" s="9" t="str">
        <x:v>EV-AR-RT-B-C-TECH-3-B2-INT-G0-OG02</x:v>
      </x:c>
      <x:c r="B644" s="9" t="str">
        <x:v>EV-AR-RT-B-C-TECH-3-B2-INT-G0</x:v>
      </x:c>
      <x:c r="C644" s="9" t="str">
        <x:v>AR-RT-B-C-TECH-3-B2-INT-G0</x:v>
      </x:c>
      <x:c r="D644" s="9" t="str">
        <x:v>RT-B-C-TECH-3</x:v>
      </x:c>
      <x:c r="E644" s="9" t="str">
        <x:v>RT-B-C</x:v>
      </x:c>
      <x:c r="F644" s="9" t="str">
        <x:v>B2</x:v>
      </x:c>
      <x:c r="G644" s="9" t="str">
        <x:v>INT</x:v>
      </x:c>
      <x:c r="H644" s="9" t="str">
        <x:v>OG02</x:v>
      </x:c>
      <x:c r="I644" s="17" t="str">
        <x:v>Time ancestry</x:v>
      </x:c>
      <x:c r="J644" s="17" t="str">
        <x:v>primary, witness and public event clocks retain declared offsets and drift</x:v>
      </x:c>
      <x:c r="K644" s="17" t="str">
        <x:v>Time authority</x:v>
      </x:c>
      <x:c r="L644" s="9" t="n">
        <x:v>0</x:v>
      </x:c>
      <x:c r="M644" s="9" t="n">
        <x:v>0</x:v>
      </x:c>
      <x:c r="N644" s="9" t="str">
        <x:v>OPEN / UNACCEPTED</x:v>
      </x:c>
      <x:c r="O644" s="9" t="n">
        <x:f>COUNTIFS($A$7:$A$1734,A644)</x:f>
        <x:v>1</x:v>
      </x:c>
    </x:row>
    <x:row r="645">
      <x:c r="A645" s="9" t="str">
        <x:v>EV-AR-RT-B-C-TECH-3-B2-INT-G0-OG03</x:v>
      </x:c>
      <x:c r="B645" s="9" t="str">
        <x:v>EV-AR-RT-B-C-TECH-3-B2-INT-G0</x:v>
      </x:c>
      <x:c r="C645" s="9" t="str">
        <x:v>AR-RT-B-C-TECH-3-B2-INT-G0</x:v>
      </x:c>
      <x:c r="D645" s="9" t="str">
        <x:v>RT-B-C-TECH-3</x:v>
      </x:c>
      <x:c r="E645" s="9" t="str">
        <x:v>RT-B-C</x:v>
      </x:c>
      <x:c r="F645" s="9" t="str">
        <x:v>B2</x:v>
      </x:c>
      <x:c r="G645" s="9" t="str">
        <x:v>INT</x:v>
      </x:c>
      <x:c r="H645" s="9" t="str">
        <x:v>OG03</x:v>
      </x:c>
      <x:c r="I645" s="17" t="str">
        <x:v>Calibration ancestry</x:v>
      </x:c>
      <x:c r="J645" s="17" t="str">
        <x:v>all reference, range and uncertainty states cover the live interval</x:v>
      </x:c>
      <x:c r="K645" s="17" t="str">
        <x:v>Metrology courts</x:v>
      </x:c>
      <x:c r="L645" s="9" t="n">
        <x:v>0</x:v>
      </x:c>
      <x:c r="M645" s="9" t="n">
        <x:v>0</x:v>
      </x:c>
      <x:c r="N645" s="9" t="str">
        <x:v>OPEN / UNACCEPTED</x:v>
      </x:c>
      <x:c r="O645" s="9" t="n">
        <x:f>COUNTIFS($A$7:$A$1734,A645)</x:f>
        <x:v>1</x:v>
      </x:c>
    </x:row>
    <x:row r="646">
      <x:c r="A646" s="9" t="str">
        <x:v>EV-AR-RT-B-C-TECH-3-B2-INT-G0-OG04</x:v>
      </x:c>
      <x:c r="B646" s="9" t="str">
        <x:v>EV-AR-RT-B-C-TECH-3-B2-INT-G0</x:v>
      </x:c>
      <x:c r="C646" s="9" t="str">
        <x:v>AR-RT-B-C-TECH-3-B2-INT-G0</x:v>
      </x:c>
      <x:c r="D646" s="9" t="str">
        <x:v>RT-B-C-TECH-3</x:v>
      </x:c>
      <x:c r="E646" s="9" t="str">
        <x:v>RT-B-C</x:v>
      </x:c>
      <x:c r="F646" s="9" t="str">
        <x:v>B2</x:v>
      </x:c>
      <x:c r="G646" s="9" t="str">
        <x:v>INT</x:v>
      </x:c>
      <x:c r="H646" s="9" t="str">
        <x:v>OG04</x:v>
      </x:c>
      <x:c r="I646" s="17" t="str">
        <x:v>Raw completeness</x:v>
      </x:c>
      <x:c r="J646" s="17" t="str">
        <x:v>missingness is enumerated without imputation or outcome-conditioned deletion</x:v>
      </x:c>
      <x:c r="K646" s="17" t="str">
        <x:v>Observation court</x:v>
      </x:c>
      <x:c r="L646" s="9" t="n">
        <x:v>0</x:v>
      </x:c>
      <x:c r="M646" s="9" t="n">
        <x:v>0</x:v>
      </x:c>
      <x:c r="N646" s="9" t="str">
        <x:v>OPEN / UNACCEPTED</x:v>
      </x:c>
      <x:c r="O646" s="9" t="n">
        <x:f>COUNTIFS($A$7:$A$1734,A646)</x:f>
        <x:v>1</x:v>
      </x:c>
    </x:row>
    <x:row r="647">
      <x:c r="A647" s="9" t="str">
        <x:v>EV-AR-RT-B-C-TECH-3-B2-INT-G0-OG05</x:v>
      </x:c>
      <x:c r="B647" s="9" t="str">
        <x:v>EV-AR-RT-B-C-TECH-3-B2-INT-G0</x:v>
      </x:c>
      <x:c r="C647" s="9" t="str">
        <x:v>AR-RT-B-C-TECH-3-B2-INT-G0</x:v>
      </x:c>
      <x:c r="D647" s="9" t="str">
        <x:v>RT-B-C-TECH-3</x:v>
      </x:c>
      <x:c r="E647" s="9" t="str">
        <x:v>RT-B-C</x:v>
      </x:c>
      <x:c r="F647" s="9" t="str">
        <x:v>B2</x:v>
      </x:c>
      <x:c r="G647" s="9" t="str">
        <x:v>INT</x:v>
      </x:c>
      <x:c r="H647" s="9" t="str">
        <x:v>OG05</x:v>
      </x:c>
      <x:c r="I647" s="17" t="str">
        <x:v>Primary provenance</x:v>
      </x:c>
      <x:c r="J647" s="17" t="str">
        <x:v>primary originals, hashes, keys and access history reconcile</x:v>
      </x:c>
      <x:c r="K647" s="17" t="str">
        <x:v>Primary custody</x:v>
      </x:c>
      <x:c r="L647" s="9" t="n">
        <x:v>0</x:v>
      </x:c>
      <x:c r="M647" s="9" t="n">
        <x:v>0</x:v>
      </x:c>
      <x:c r="N647" s="9" t="str">
        <x:v>OPEN / UNACCEPTED</x:v>
      </x:c>
      <x:c r="O647" s="9" t="n">
        <x:f>COUNTIFS($A$7:$A$1734,A647)</x:f>
        <x:v>1</x:v>
      </x:c>
    </x:row>
    <x:row r="648">
      <x:c r="A648" s="9" t="str">
        <x:v>EV-AR-RT-B-C-TECH-3-B2-INT-G0-OG06</x:v>
      </x:c>
      <x:c r="B648" s="9" t="str">
        <x:v>EV-AR-RT-B-C-TECH-3-B2-INT-G0</x:v>
      </x:c>
      <x:c r="C648" s="9" t="str">
        <x:v>AR-RT-B-C-TECH-3-B2-INT-G0</x:v>
      </x:c>
      <x:c r="D648" s="9" t="str">
        <x:v>RT-B-C-TECH-3</x:v>
      </x:c>
      <x:c r="E648" s="9" t="str">
        <x:v>RT-B-C</x:v>
      </x:c>
      <x:c r="F648" s="9" t="str">
        <x:v>B2</x:v>
      </x:c>
      <x:c r="G648" s="9" t="str">
        <x:v>INT</x:v>
      </x:c>
      <x:c r="H648" s="9" t="str">
        <x:v>OG06</x:v>
      </x:c>
      <x:c r="I648" s="17" t="str">
        <x:v>Witness provenance</x:v>
      </x:c>
      <x:c r="J648" s="17" t="str">
        <x:v>unlike witness originals, hashes, keys and access history reconcile</x:v>
      </x:c>
      <x:c r="K648" s="17" t="str">
        <x:v>Witness custody</x:v>
      </x:c>
      <x:c r="L648" s="9" t="n">
        <x:v>0</x:v>
      </x:c>
      <x:c r="M648" s="9" t="n">
        <x:v>0</x:v>
      </x:c>
      <x:c r="N648" s="9" t="str">
        <x:v>OPEN / UNACCEPTED</x:v>
      </x:c>
      <x:c r="O648" s="9" t="n">
        <x:f>COUNTIFS($A$7:$A$1734,A648)</x:f>
        <x:v>1</x:v>
      </x:c>
    </x:row>
    <x:row r="649">
      <x:c r="A649" s="9" t="str">
        <x:v>EV-AR-RT-B-C-TECH-3-B2-INT-G0-OG07</x:v>
      </x:c>
      <x:c r="B649" s="9" t="str">
        <x:v>EV-AR-RT-B-C-TECH-3-B2-INT-G0</x:v>
      </x:c>
      <x:c r="C649" s="9" t="str">
        <x:v>AR-RT-B-C-TECH-3-B2-INT-G0</x:v>
      </x:c>
      <x:c r="D649" s="9" t="str">
        <x:v>RT-B-C-TECH-3</x:v>
      </x:c>
      <x:c r="E649" s="9" t="str">
        <x:v>RT-B-C</x:v>
      </x:c>
      <x:c r="F649" s="9" t="str">
        <x:v>B2</x:v>
      </x:c>
      <x:c r="G649" s="9" t="str">
        <x:v>INT</x:v>
      </x:c>
      <x:c r="H649" s="9" t="str">
        <x:v>OG07</x:v>
      </x:c>
      <x:c r="I649" s="17" t="str">
        <x:v>Receiver denominator</x:v>
      </x:c>
      <x:c r="J649" s="17" t="str">
        <x:v>population, quantity, duration and exclusions match the frozen receipt</x:v>
      </x:c>
      <x:c r="K649" s="17" t="str">
        <x:v>Receiver court</x:v>
      </x:c>
      <x:c r="L649" s="9" t="n">
        <x:v>0</x:v>
      </x:c>
      <x:c r="M649" s="9" t="n">
        <x:v>0</x:v>
      </x:c>
      <x:c r="N649" s="9" t="str">
        <x:v>OPEN / UNACCEPTED</x:v>
      </x:c>
      <x:c r="O649" s="9" t="n">
        <x:f>COUNTIFS($A$7:$A$1734,A649)</x:f>
        <x:v>1</x:v>
      </x:c>
    </x:row>
    <x:row r="650">
      <x:c r="A650" s="9" t="str">
        <x:v>EV-AR-RT-B-C-TECH-3-B2-INT-G0-OG08</x:v>
      </x:c>
      <x:c r="B650" s="9" t="str">
        <x:v>EV-AR-RT-B-C-TECH-3-B2-INT-G0</x:v>
      </x:c>
      <x:c r="C650" s="9" t="str">
        <x:v>AR-RT-B-C-TECH-3-B2-INT-G0</x:v>
      </x:c>
      <x:c r="D650" s="9" t="str">
        <x:v>RT-B-C-TECH-3</x:v>
      </x:c>
      <x:c r="E650" s="9" t="str">
        <x:v>RT-B-C</x:v>
      </x:c>
      <x:c r="F650" s="9" t="str">
        <x:v>B2</x:v>
      </x:c>
      <x:c r="G650" s="9" t="str">
        <x:v>INT</x:v>
      </x:c>
      <x:c r="H650" s="9" t="str">
        <x:v>OG08</x:v>
      </x:c>
      <x:c r="I650" s="17" t="str">
        <x:v>Environment and boundary</x:v>
      </x:c>
      <x:c r="J650" s="17" t="str">
        <x:v>registered weather, water, ground, inlet and outlet states are retained</x:v>
      </x:c>
      <x:c r="K650" s="17" t="str">
        <x:v>Boundary court</x:v>
      </x:c>
      <x:c r="L650" s="9" t="n">
        <x:v>0</x:v>
      </x:c>
      <x:c r="M650" s="9" t="n">
        <x:v>0</x:v>
      </x:c>
      <x:c r="N650" s="9" t="str">
        <x:v>OPEN / UNACCEPTED</x:v>
      </x:c>
      <x:c r="O650" s="9" t="n">
        <x:f>COUNTIFS($A$7:$A$1734,A650)</x:f>
        <x:v>1</x:v>
      </x:c>
    </x:row>
    <x:row r="651">
      <x:c r="A651" s="9" t="str">
        <x:v>EV-AR-RT-B-C-TECH-3-B2-INT-G0-OG09</x:v>
      </x:c>
      <x:c r="B651" s="9" t="str">
        <x:v>EV-AR-RT-B-C-TECH-3-B2-INT-G0</x:v>
      </x:c>
      <x:c r="C651" s="9" t="str">
        <x:v>AR-RT-B-C-TECH-3-B2-INT-G0</x:v>
      </x:c>
      <x:c r="D651" s="9" t="str">
        <x:v>RT-B-C-TECH-3</x:v>
      </x:c>
      <x:c r="E651" s="9" t="str">
        <x:v>RT-B-C</x:v>
      </x:c>
      <x:c r="F651" s="9" t="str">
        <x:v>B2</x:v>
      </x:c>
      <x:c r="G651" s="9" t="str">
        <x:v>INT</x:v>
      </x:c>
      <x:c r="H651" s="9" t="str">
        <x:v>OG09</x:v>
      </x:c>
      <x:c r="I651" s="17" t="str">
        <x:v>Intervention account</x:v>
      </x:c>
      <x:c r="J651" s="17" t="str">
        <x:v>all stop, rescue, operator and public-protection actions remain timestamped</x:v>
      </x:c>
      <x:c r="K651" s="17" t="str">
        <x:v>Safety record court</x:v>
      </x:c>
      <x:c r="L651" s="9" t="n">
        <x:v>0</x:v>
      </x:c>
      <x:c r="M651" s="9" t="n">
        <x:v>0</x:v>
      </x:c>
      <x:c r="N651" s="9" t="str">
        <x:v>OPEN / UNACCEPTED</x:v>
      </x:c>
      <x:c r="O651" s="9" t="n">
        <x:f>COUNTIFS($A$7:$A$1734,A651)</x:f>
        <x:v>1</x:v>
      </x:c>
    </x:row>
    <x:row r="652">
      <x:c r="A652" s="9" t="str">
        <x:v>EV-AR-RT-B-C-TECH-3-B2-INT-G0-OG10</x:v>
      </x:c>
      <x:c r="B652" s="9" t="str">
        <x:v>EV-AR-RT-B-C-TECH-3-B2-INT-G0</x:v>
      </x:c>
      <x:c r="C652" s="9" t="str">
        <x:v>AR-RT-B-C-TECH-3-B2-INT-G0</x:v>
      </x:c>
      <x:c r="D652" s="9" t="str">
        <x:v>RT-B-C-TECH-3</x:v>
      </x:c>
      <x:c r="E652" s="9" t="str">
        <x:v>RT-B-C</x:v>
      </x:c>
      <x:c r="F652" s="9" t="str">
        <x:v>B2</x:v>
      </x:c>
      <x:c r="G652" s="9" t="str">
        <x:v>INT</x:v>
      </x:c>
      <x:c r="H652" s="9" t="str">
        <x:v>OG10</x:v>
      </x:c>
      <x:c r="I652" s="17" t="str">
        <x:v>Uncertainty statement</x:v>
      </x:c>
      <x:c r="J652" s="17" t="str">
        <x:v>range, censoring, resolution and correlation are declared before judgment</x:v>
      </x:c>
      <x:c r="K652" s="17" t="str">
        <x:v>Uncertainty authority</x:v>
      </x:c>
      <x:c r="L652" s="9" t="n">
        <x:v>0</x:v>
      </x:c>
      <x:c r="M652" s="9" t="n">
        <x:v>0</x:v>
      </x:c>
      <x:c r="N652" s="9" t="str">
        <x:v>OPEN / UNACCEPTED</x:v>
      </x:c>
      <x:c r="O652" s="9" t="n">
        <x:f>COUNTIFS($A$7:$A$1734,A652)</x:f>
        <x:v>1</x:v>
      </x:c>
    </x:row>
    <x:row r="653">
      <x:c r="A653" s="9" t="str">
        <x:v>EV-AR-RT-B-C-TECH-3-B2-INT-G0-OG11</x:v>
      </x:c>
      <x:c r="B653" s="9" t="str">
        <x:v>EV-AR-RT-B-C-TECH-3-B2-INT-G0</x:v>
      </x:c>
      <x:c r="C653" s="9" t="str">
        <x:v>AR-RT-B-C-TECH-3-B2-INT-G0</x:v>
      </x:c>
      <x:c r="D653" s="9" t="str">
        <x:v>RT-B-C-TECH-3</x:v>
      </x:c>
      <x:c r="E653" s="9" t="str">
        <x:v>RT-B-C</x:v>
      </x:c>
      <x:c r="F653" s="9" t="str">
        <x:v>B2</x:v>
      </x:c>
      <x:c r="G653" s="9" t="str">
        <x:v>INT</x:v>
      </x:c>
      <x:c r="H653" s="9" t="str">
        <x:v>OG11</x:v>
      </x:c>
      <x:c r="I653" s="17" t="str">
        <x:v>Contradiction preservation</x:v>
      </x:c>
      <x:c r="J653" s="17" t="str">
        <x:v>primary-witness disagreement remains explicit and is never averaged away</x:v>
      </x:c>
      <x:c r="K653" s="17" t="str">
        <x:v>Dissent registrar</x:v>
      </x:c>
      <x:c r="L653" s="9" t="n">
        <x:v>0</x:v>
      </x:c>
      <x:c r="M653" s="9" t="n">
        <x:v>0</x:v>
      </x:c>
      <x:c r="N653" s="9" t="str">
        <x:v>OPEN / UNACCEPTED</x:v>
      </x:c>
      <x:c r="O653" s="9" t="n">
        <x:f>COUNTIFS($A$7:$A$1734,A653)</x:f>
        <x:v>1</x:v>
      </x:c>
    </x:row>
    <x:row r="654">
      <x:c r="A654" s="9" t="str">
        <x:v>EV-AR-RT-B-C-TECH-3-B2-INT-G0-OG12</x:v>
      </x:c>
      <x:c r="B654" s="9" t="str">
        <x:v>EV-AR-RT-B-C-TECH-3-B2-INT-G0</x:v>
      </x:c>
      <x:c r="C654" s="9" t="str">
        <x:v>AR-RT-B-C-TECH-3-B2-INT-G0</x:v>
      </x:c>
      <x:c r="D654" s="9" t="str">
        <x:v>RT-B-C-TECH-3</x:v>
      </x:c>
      <x:c r="E654" s="9" t="str">
        <x:v>RT-B-C</x:v>
      </x:c>
      <x:c r="F654" s="9" t="str">
        <x:v>B2</x:v>
      </x:c>
      <x:c r="G654" s="9" t="str">
        <x:v>INT</x:v>
      </x:c>
      <x:c r="H654" s="9" t="str">
        <x:v>OG12</x:v>
      </x:c>
      <x:c r="I654" s="17" t="str">
        <x:v>Independent replay</x:v>
      </x:c>
      <x:c r="J654" s="17" t="str">
        <x:v>a separated reader reconstructs the registered observables from sealed originals</x:v>
      </x:c>
      <x:c r="K654" s="17" t="str">
        <x:v>Replay court</x:v>
      </x:c>
      <x:c r="L654" s="9" t="n">
        <x:v>0</x:v>
      </x:c>
      <x:c r="M654" s="9" t="n">
        <x:v>0</x:v>
      </x:c>
      <x:c r="N654" s="9" t="str">
        <x:v>OPEN / UNACCEPTED</x:v>
      </x:c>
      <x:c r="O654" s="9" t="n">
        <x:f>COUNTIFS($A$7:$A$1734,A654)</x:f>
        <x:v>1</x:v>
      </x:c>
    </x:row>
    <x:row r="655">
      <x:c r="A655" s="9" t="str">
        <x:v>EV-AR-ET-A-A-TECH-4-B2-RCN-G0-OG01</x:v>
      </x:c>
      <x:c r="B655" s="9" t="str">
        <x:v>EV-AR-ET-A-A-TECH-4-B2-RCN-G0</x:v>
      </x:c>
      <x:c r="C655" s="9" t="str">
        <x:v>AR-ET-A-A-TECH-4-B2-RCN-G0</x:v>
      </x:c>
      <x:c r="D655" s="9" t="str">
        <x:v>ET-A-A-TECH-4</x:v>
      </x:c>
      <x:c r="E655" s="9" t="str">
        <x:v>ET-A-A</x:v>
      </x:c>
      <x:c r="F655" s="9" t="str">
        <x:v>B2</x:v>
      </x:c>
      <x:c r="G655" s="9" t="str">
        <x:v>RCN</x:v>
      </x:c>
      <x:c r="H655" s="9" t="str">
        <x:v>OG01</x:v>
      </x:c>
      <x:c r="I655" s="17" t="str">
        <x:v>Serial and event identity</x:v>
      </x:c>
      <x:c r="J655" s="17" t="str">
        <x:v>record resolves to the issued serial, generation and physical start</x:v>
      </x:c>
      <x:c r="K655" s="17" t="str">
        <x:v>Observation court</x:v>
      </x:c>
      <x:c r="L655" s="9" t="n">
        <x:v>0</x:v>
      </x:c>
      <x:c r="M655" s="9" t="n">
        <x:v>0</x:v>
      </x:c>
      <x:c r="N655" s="9" t="str">
        <x:v>OPEN / UNACCEPTED</x:v>
      </x:c>
      <x:c r="O655" s="9" t="n">
        <x:f>COUNTIFS($A$7:$A$1734,A655)</x:f>
        <x:v>1</x:v>
      </x:c>
    </x:row>
    <x:row r="656">
      <x:c r="A656" s="9" t="str">
        <x:v>EV-AR-ET-A-A-TECH-4-B2-RCN-G0-OG02</x:v>
      </x:c>
      <x:c r="B656" s="9" t="str">
        <x:v>EV-AR-ET-A-A-TECH-4-B2-RCN-G0</x:v>
      </x:c>
      <x:c r="C656" s="9" t="str">
        <x:v>AR-ET-A-A-TECH-4-B2-RCN-G0</x:v>
      </x:c>
      <x:c r="D656" s="9" t="str">
        <x:v>ET-A-A-TECH-4</x:v>
      </x:c>
      <x:c r="E656" s="9" t="str">
        <x:v>ET-A-A</x:v>
      </x:c>
      <x:c r="F656" s="9" t="str">
        <x:v>B2</x:v>
      </x:c>
      <x:c r="G656" s="9" t="str">
        <x:v>RCN</x:v>
      </x:c>
      <x:c r="H656" s="9" t="str">
        <x:v>OG02</x:v>
      </x:c>
      <x:c r="I656" s="17" t="str">
        <x:v>Time ancestry</x:v>
      </x:c>
      <x:c r="J656" s="17" t="str">
        <x:v>primary, witness and public event clocks retain declared offsets and drift</x:v>
      </x:c>
      <x:c r="K656" s="17" t="str">
        <x:v>Time authority</x:v>
      </x:c>
      <x:c r="L656" s="9" t="n">
        <x:v>0</x:v>
      </x:c>
      <x:c r="M656" s="9" t="n">
        <x:v>0</x:v>
      </x:c>
      <x:c r="N656" s="9" t="str">
        <x:v>OPEN / UNACCEPTED</x:v>
      </x:c>
      <x:c r="O656" s="9" t="n">
        <x:f>COUNTIFS($A$7:$A$1734,A656)</x:f>
        <x:v>1</x:v>
      </x:c>
    </x:row>
    <x:row r="657">
      <x:c r="A657" s="9" t="str">
        <x:v>EV-AR-ET-A-A-TECH-4-B2-RCN-G0-OG03</x:v>
      </x:c>
      <x:c r="B657" s="9" t="str">
        <x:v>EV-AR-ET-A-A-TECH-4-B2-RCN-G0</x:v>
      </x:c>
      <x:c r="C657" s="9" t="str">
        <x:v>AR-ET-A-A-TECH-4-B2-RCN-G0</x:v>
      </x:c>
      <x:c r="D657" s="9" t="str">
        <x:v>ET-A-A-TECH-4</x:v>
      </x:c>
      <x:c r="E657" s="9" t="str">
        <x:v>ET-A-A</x:v>
      </x:c>
      <x:c r="F657" s="9" t="str">
        <x:v>B2</x:v>
      </x:c>
      <x:c r="G657" s="9" t="str">
        <x:v>RCN</x:v>
      </x:c>
      <x:c r="H657" s="9" t="str">
        <x:v>OG03</x:v>
      </x:c>
      <x:c r="I657" s="17" t="str">
        <x:v>Calibration ancestry</x:v>
      </x:c>
      <x:c r="J657" s="17" t="str">
        <x:v>all reference, range and uncertainty states cover the live interval</x:v>
      </x:c>
      <x:c r="K657" s="17" t="str">
        <x:v>Metrology courts</x:v>
      </x:c>
      <x:c r="L657" s="9" t="n">
        <x:v>0</x:v>
      </x:c>
      <x:c r="M657" s="9" t="n">
        <x:v>0</x:v>
      </x:c>
      <x:c r="N657" s="9" t="str">
        <x:v>OPEN / UNACCEPTED</x:v>
      </x:c>
      <x:c r="O657" s="9" t="n">
        <x:f>COUNTIFS($A$7:$A$1734,A657)</x:f>
        <x:v>1</x:v>
      </x:c>
    </x:row>
    <x:row r="658">
      <x:c r="A658" s="9" t="str">
        <x:v>EV-AR-ET-A-A-TECH-4-B2-RCN-G0-OG04</x:v>
      </x:c>
      <x:c r="B658" s="9" t="str">
        <x:v>EV-AR-ET-A-A-TECH-4-B2-RCN-G0</x:v>
      </x:c>
      <x:c r="C658" s="9" t="str">
        <x:v>AR-ET-A-A-TECH-4-B2-RCN-G0</x:v>
      </x:c>
      <x:c r="D658" s="9" t="str">
        <x:v>ET-A-A-TECH-4</x:v>
      </x:c>
      <x:c r="E658" s="9" t="str">
        <x:v>ET-A-A</x:v>
      </x:c>
      <x:c r="F658" s="9" t="str">
        <x:v>B2</x:v>
      </x:c>
      <x:c r="G658" s="9" t="str">
        <x:v>RCN</x:v>
      </x:c>
      <x:c r="H658" s="9" t="str">
        <x:v>OG04</x:v>
      </x:c>
      <x:c r="I658" s="17" t="str">
        <x:v>Raw completeness</x:v>
      </x:c>
      <x:c r="J658" s="17" t="str">
        <x:v>missingness is enumerated without imputation or outcome-conditioned deletion</x:v>
      </x:c>
      <x:c r="K658" s="17" t="str">
        <x:v>Observation court</x:v>
      </x:c>
      <x:c r="L658" s="9" t="n">
        <x:v>0</x:v>
      </x:c>
      <x:c r="M658" s="9" t="n">
        <x:v>0</x:v>
      </x:c>
      <x:c r="N658" s="9" t="str">
        <x:v>OPEN / UNACCEPTED</x:v>
      </x:c>
      <x:c r="O658" s="9" t="n">
        <x:f>COUNTIFS($A$7:$A$1734,A658)</x:f>
        <x:v>1</x:v>
      </x:c>
    </x:row>
    <x:row r="659">
      <x:c r="A659" s="9" t="str">
        <x:v>EV-AR-ET-A-A-TECH-4-B2-RCN-G0-OG05</x:v>
      </x:c>
      <x:c r="B659" s="9" t="str">
        <x:v>EV-AR-ET-A-A-TECH-4-B2-RCN-G0</x:v>
      </x:c>
      <x:c r="C659" s="9" t="str">
        <x:v>AR-ET-A-A-TECH-4-B2-RCN-G0</x:v>
      </x:c>
      <x:c r="D659" s="9" t="str">
        <x:v>ET-A-A-TECH-4</x:v>
      </x:c>
      <x:c r="E659" s="9" t="str">
        <x:v>ET-A-A</x:v>
      </x:c>
      <x:c r="F659" s="9" t="str">
        <x:v>B2</x:v>
      </x:c>
      <x:c r="G659" s="9" t="str">
        <x:v>RCN</x:v>
      </x:c>
      <x:c r="H659" s="9" t="str">
        <x:v>OG05</x:v>
      </x:c>
      <x:c r="I659" s="17" t="str">
        <x:v>Primary provenance</x:v>
      </x:c>
      <x:c r="J659" s="17" t="str">
        <x:v>primary originals, hashes, keys and access history reconcile</x:v>
      </x:c>
      <x:c r="K659" s="17" t="str">
        <x:v>Primary custody</x:v>
      </x:c>
      <x:c r="L659" s="9" t="n">
        <x:v>0</x:v>
      </x:c>
      <x:c r="M659" s="9" t="n">
        <x:v>0</x:v>
      </x:c>
      <x:c r="N659" s="9" t="str">
        <x:v>OPEN / UNACCEPTED</x:v>
      </x:c>
      <x:c r="O659" s="9" t="n">
        <x:f>COUNTIFS($A$7:$A$1734,A659)</x:f>
        <x:v>1</x:v>
      </x:c>
    </x:row>
    <x:row r="660">
      <x:c r="A660" s="9" t="str">
        <x:v>EV-AR-ET-A-A-TECH-4-B2-RCN-G0-OG06</x:v>
      </x:c>
      <x:c r="B660" s="9" t="str">
        <x:v>EV-AR-ET-A-A-TECH-4-B2-RCN-G0</x:v>
      </x:c>
      <x:c r="C660" s="9" t="str">
        <x:v>AR-ET-A-A-TECH-4-B2-RCN-G0</x:v>
      </x:c>
      <x:c r="D660" s="9" t="str">
        <x:v>ET-A-A-TECH-4</x:v>
      </x:c>
      <x:c r="E660" s="9" t="str">
        <x:v>ET-A-A</x:v>
      </x:c>
      <x:c r="F660" s="9" t="str">
        <x:v>B2</x:v>
      </x:c>
      <x:c r="G660" s="9" t="str">
        <x:v>RCN</x:v>
      </x:c>
      <x:c r="H660" s="9" t="str">
        <x:v>OG06</x:v>
      </x:c>
      <x:c r="I660" s="17" t="str">
        <x:v>Witness provenance</x:v>
      </x:c>
      <x:c r="J660" s="17" t="str">
        <x:v>unlike witness originals, hashes, keys and access history reconcile</x:v>
      </x:c>
      <x:c r="K660" s="17" t="str">
        <x:v>Witness custody</x:v>
      </x:c>
      <x:c r="L660" s="9" t="n">
        <x:v>0</x:v>
      </x:c>
      <x:c r="M660" s="9" t="n">
        <x:v>0</x:v>
      </x:c>
      <x:c r="N660" s="9" t="str">
        <x:v>OPEN / UNACCEPTED</x:v>
      </x:c>
      <x:c r="O660" s="9" t="n">
        <x:f>COUNTIFS($A$7:$A$1734,A660)</x:f>
        <x:v>1</x:v>
      </x:c>
    </x:row>
    <x:row r="661">
      <x:c r="A661" s="9" t="str">
        <x:v>EV-AR-ET-A-A-TECH-4-B2-RCN-G0-OG07</x:v>
      </x:c>
      <x:c r="B661" s="9" t="str">
        <x:v>EV-AR-ET-A-A-TECH-4-B2-RCN-G0</x:v>
      </x:c>
      <x:c r="C661" s="9" t="str">
        <x:v>AR-ET-A-A-TECH-4-B2-RCN-G0</x:v>
      </x:c>
      <x:c r="D661" s="9" t="str">
        <x:v>ET-A-A-TECH-4</x:v>
      </x:c>
      <x:c r="E661" s="9" t="str">
        <x:v>ET-A-A</x:v>
      </x:c>
      <x:c r="F661" s="9" t="str">
        <x:v>B2</x:v>
      </x:c>
      <x:c r="G661" s="9" t="str">
        <x:v>RCN</x:v>
      </x:c>
      <x:c r="H661" s="9" t="str">
        <x:v>OG07</x:v>
      </x:c>
      <x:c r="I661" s="17" t="str">
        <x:v>Receiver denominator</x:v>
      </x:c>
      <x:c r="J661" s="17" t="str">
        <x:v>population, quantity, duration and exclusions match the frozen receipt</x:v>
      </x:c>
      <x:c r="K661" s="17" t="str">
        <x:v>Receiver court</x:v>
      </x:c>
      <x:c r="L661" s="9" t="n">
        <x:v>0</x:v>
      </x:c>
      <x:c r="M661" s="9" t="n">
        <x:v>0</x:v>
      </x:c>
      <x:c r="N661" s="9" t="str">
        <x:v>OPEN / UNACCEPTED</x:v>
      </x:c>
      <x:c r="O661" s="9" t="n">
        <x:f>COUNTIFS($A$7:$A$1734,A661)</x:f>
        <x:v>1</x:v>
      </x:c>
    </x:row>
    <x:row r="662">
      <x:c r="A662" s="9" t="str">
        <x:v>EV-AR-ET-A-A-TECH-4-B2-RCN-G0-OG08</x:v>
      </x:c>
      <x:c r="B662" s="9" t="str">
        <x:v>EV-AR-ET-A-A-TECH-4-B2-RCN-G0</x:v>
      </x:c>
      <x:c r="C662" s="9" t="str">
        <x:v>AR-ET-A-A-TECH-4-B2-RCN-G0</x:v>
      </x:c>
      <x:c r="D662" s="9" t="str">
        <x:v>ET-A-A-TECH-4</x:v>
      </x:c>
      <x:c r="E662" s="9" t="str">
        <x:v>ET-A-A</x:v>
      </x:c>
      <x:c r="F662" s="9" t="str">
        <x:v>B2</x:v>
      </x:c>
      <x:c r="G662" s="9" t="str">
        <x:v>RCN</x:v>
      </x:c>
      <x:c r="H662" s="9" t="str">
        <x:v>OG08</x:v>
      </x:c>
      <x:c r="I662" s="17" t="str">
        <x:v>Environment and boundary</x:v>
      </x:c>
      <x:c r="J662" s="17" t="str">
        <x:v>registered weather, water, ground, inlet and outlet states are retained</x:v>
      </x:c>
      <x:c r="K662" s="17" t="str">
        <x:v>Boundary court</x:v>
      </x:c>
      <x:c r="L662" s="9" t="n">
        <x:v>0</x:v>
      </x:c>
      <x:c r="M662" s="9" t="n">
        <x:v>0</x:v>
      </x:c>
      <x:c r="N662" s="9" t="str">
        <x:v>OPEN / UNACCEPTED</x:v>
      </x:c>
      <x:c r="O662" s="9" t="n">
        <x:f>COUNTIFS($A$7:$A$1734,A662)</x:f>
        <x:v>1</x:v>
      </x:c>
    </x:row>
    <x:row r="663">
      <x:c r="A663" s="9" t="str">
        <x:v>EV-AR-ET-A-A-TECH-4-B2-RCN-G0-OG09</x:v>
      </x:c>
      <x:c r="B663" s="9" t="str">
        <x:v>EV-AR-ET-A-A-TECH-4-B2-RCN-G0</x:v>
      </x:c>
      <x:c r="C663" s="9" t="str">
        <x:v>AR-ET-A-A-TECH-4-B2-RCN-G0</x:v>
      </x:c>
      <x:c r="D663" s="9" t="str">
        <x:v>ET-A-A-TECH-4</x:v>
      </x:c>
      <x:c r="E663" s="9" t="str">
        <x:v>ET-A-A</x:v>
      </x:c>
      <x:c r="F663" s="9" t="str">
        <x:v>B2</x:v>
      </x:c>
      <x:c r="G663" s="9" t="str">
        <x:v>RCN</x:v>
      </x:c>
      <x:c r="H663" s="9" t="str">
        <x:v>OG09</x:v>
      </x:c>
      <x:c r="I663" s="17" t="str">
        <x:v>Intervention account</x:v>
      </x:c>
      <x:c r="J663" s="17" t="str">
        <x:v>all stop, rescue, operator and public-protection actions remain timestamped</x:v>
      </x:c>
      <x:c r="K663" s="17" t="str">
        <x:v>Safety record court</x:v>
      </x:c>
      <x:c r="L663" s="9" t="n">
        <x:v>0</x:v>
      </x:c>
      <x:c r="M663" s="9" t="n">
        <x:v>0</x:v>
      </x:c>
      <x:c r="N663" s="9" t="str">
        <x:v>OPEN / UNACCEPTED</x:v>
      </x:c>
      <x:c r="O663" s="9" t="n">
        <x:f>COUNTIFS($A$7:$A$1734,A663)</x:f>
        <x:v>1</x:v>
      </x:c>
    </x:row>
    <x:row r="664">
      <x:c r="A664" s="9" t="str">
        <x:v>EV-AR-ET-A-A-TECH-4-B2-RCN-G0-OG10</x:v>
      </x:c>
      <x:c r="B664" s="9" t="str">
        <x:v>EV-AR-ET-A-A-TECH-4-B2-RCN-G0</x:v>
      </x:c>
      <x:c r="C664" s="9" t="str">
        <x:v>AR-ET-A-A-TECH-4-B2-RCN-G0</x:v>
      </x:c>
      <x:c r="D664" s="9" t="str">
        <x:v>ET-A-A-TECH-4</x:v>
      </x:c>
      <x:c r="E664" s="9" t="str">
        <x:v>ET-A-A</x:v>
      </x:c>
      <x:c r="F664" s="9" t="str">
        <x:v>B2</x:v>
      </x:c>
      <x:c r="G664" s="9" t="str">
        <x:v>RCN</x:v>
      </x:c>
      <x:c r="H664" s="9" t="str">
        <x:v>OG10</x:v>
      </x:c>
      <x:c r="I664" s="17" t="str">
        <x:v>Uncertainty statement</x:v>
      </x:c>
      <x:c r="J664" s="17" t="str">
        <x:v>range, censoring, resolution and correlation are declared before judgment</x:v>
      </x:c>
      <x:c r="K664" s="17" t="str">
        <x:v>Uncertainty authority</x:v>
      </x:c>
      <x:c r="L664" s="9" t="n">
        <x:v>0</x:v>
      </x:c>
      <x:c r="M664" s="9" t="n">
        <x:v>0</x:v>
      </x:c>
      <x:c r="N664" s="9" t="str">
        <x:v>OPEN / UNACCEPTED</x:v>
      </x:c>
      <x:c r="O664" s="9" t="n">
        <x:f>COUNTIFS($A$7:$A$1734,A664)</x:f>
        <x:v>1</x:v>
      </x:c>
    </x:row>
    <x:row r="665">
      <x:c r="A665" s="9" t="str">
        <x:v>EV-AR-ET-A-A-TECH-4-B2-RCN-G0-OG11</x:v>
      </x:c>
      <x:c r="B665" s="9" t="str">
        <x:v>EV-AR-ET-A-A-TECH-4-B2-RCN-G0</x:v>
      </x:c>
      <x:c r="C665" s="9" t="str">
        <x:v>AR-ET-A-A-TECH-4-B2-RCN-G0</x:v>
      </x:c>
      <x:c r="D665" s="9" t="str">
        <x:v>ET-A-A-TECH-4</x:v>
      </x:c>
      <x:c r="E665" s="9" t="str">
        <x:v>ET-A-A</x:v>
      </x:c>
      <x:c r="F665" s="9" t="str">
        <x:v>B2</x:v>
      </x:c>
      <x:c r="G665" s="9" t="str">
        <x:v>RCN</x:v>
      </x:c>
      <x:c r="H665" s="9" t="str">
        <x:v>OG11</x:v>
      </x:c>
      <x:c r="I665" s="17" t="str">
        <x:v>Contradiction preservation</x:v>
      </x:c>
      <x:c r="J665" s="17" t="str">
        <x:v>primary-witness disagreement remains explicit and is never averaged away</x:v>
      </x:c>
      <x:c r="K665" s="17" t="str">
        <x:v>Dissent registrar</x:v>
      </x:c>
      <x:c r="L665" s="9" t="n">
        <x:v>0</x:v>
      </x:c>
      <x:c r="M665" s="9" t="n">
        <x:v>0</x:v>
      </x:c>
      <x:c r="N665" s="9" t="str">
        <x:v>OPEN / UNACCEPTED</x:v>
      </x:c>
      <x:c r="O665" s="9" t="n">
        <x:f>COUNTIFS($A$7:$A$1734,A665)</x:f>
        <x:v>1</x:v>
      </x:c>
    </x:row>
    <x:row r="666">
      <x:c r="A666" s="9" t="str">
        <x:v>EV-AR-ET-A-A-TECH-4-B2-RCN-G0-OG12</x:v>
      </x:c>
      <x:c r="B666" s="9" t="str">
        <x:v>EV-AR-ET-A-A-TECH-4-B2-RCN-G0</x:v>
      </x:c>
      <x:c r="C666" s="9" t="str">
        <x:v>AR-ET-A-A-TECH-4-B2-RCN-G0</x:v>
      </x:c>
      <x:c r="D666" s="9" t="str">
        <x:v>ET-A-A-TECH-4</x:v>
      </x:c>
      <x:c r="E666" s="9" t="str">
        <x:v>ET-A-A</x:v>
      </x:c>
      <x:c r="F666" s="9" t="str">
        <x:v>B2</x:v>
      </x:c>
      <x:c r="G666" s="9" t="str">
        <x:v>RCN</x:v>
      </x:c>
      <x:c r="H666" s="9" t="str">
        <x:v>OG12</x:v>
      </x:c>
      <x:c r="I666" s="17" t="str">
        <x:v>Independent replay</x:v>
      </x:c>
      <x:c r="J666" s="17" t="str">
        <x:v>a separated reader reconstructs the registered observables from sealed originals</x:v>
      </x:c>
      <x:c r="K666" s="17" t="str">
        <x:v>Replay court</x:v>
      </x:c>
      <x:c r="L666" s="9" t="n">
        <x:v>0</x:v>
      </x:c>
      <x:c r="M666" s="9" t="n">
        <x:v>0</x:v>
      </x:c>
      <x:c r="N666" s="9" t="str">
        <x:v>OPEN / UNACCEPTED</x:v>
      </x:c>
      <x:c r="O666" s="9" t="n">
        <x:f>COUNTIFS($A$7:$A$1734,A666)</x:f>
        <x:v>1</x:v>
      </x:c>
    </x:row>
    <x:row r="667">
      <x:c r="A667" s="9" t="str">
        <x:v>EV-AR-ET-A-A-TECH-1-B1-BRK-G0-OG01</x:v>
      </x:c>
      <x:c r="B667" s="9" t="str">
        <x:v>EV-AR-ET-A-A-TECH-1-B1-BRK-G0</x:v>
      </x:c>
      <x:c r="C667" s="9" t="str">
        <x:v>AR-ET-A-A-TECH-1-B1-BRK-G0</x:v>
      </x:c>
      <x:c r="D667" s="9" t="str">
        <x:v>ET-A-A-TECH-1</x:v>
      </x:c>
      <x:c r="E667" s="9" t="str">
        <x:v>ET-A-A</x:v>
      </x:c>
      <x:c r="F667" s="9" t="str">
        <x:v>B1</x:v>
      </x:c>
      <x:c r="G667" s="9" t="str">
        <x:v>BRK</x:v>
      </x:c>
      <x:c r="H667" s="9" t="str">
        <x:v>OG01</x:v>
      </x:c>
      <x:c r="I667" s="17" t="str">
        <x:v>Serial and event identity</x:v>
      </x:c>
      <x:c r="J667" s="17" t="str">
        <x:v>record resolves to the issued serial, generation and physical start</x:v>
      </x:c>
      <x:c r="K667" s="17" t="str">
        <x:v>Observation court</x:v>
      </x:c>
      <x:c r="L667" s="9" t="n">
        <x:v>0</x:v>
      </x:c>
      <x:c r="M667" s="9" t="n">
        <x:v>0</x:v>
      </x:c>
      <x:c r="N667" s="9" t="str">
        <x:v>OPEN / UNACCEPTED</x:v>
      </x:c>
      <x:c r="O667" s="9" t="n">
        <x:f>COUNTIFS($A$7:$A$1734,A667)</x:f>
        <x:v>1</x:v>
      </x:c>
    </x:row>
    <x:row r="668">
      <x:c r="A668" s="9" t="str">
        <x:v>EV-AR-ET-A-A-TECH-1-B1-BRK-G0-OG02</x:v>
      </x:c>
      <x:c r="B668" s="9" t="str">
        <x:v>EV-AR-ET-A-A-TECH-1-B1-BRK-G0</x:v>
      </x:c>
      <x:c r="C668" s="9" t="str">
        <x:v>AR-ET-A-A-TECH-1-B1-BRK-G0</x:v>
      </x:c>
      <x:c r="D668" s="9" t="str">
        <x:v>ET-A-A-TECH-1</x:v>
      </x:c>
      <x:c r="E668" s="9" t="str">
        <x:v>ET-A-A</x:v>
      </x:c>
      <x:c r="F668" s="9" t="str">
        <x:v>B1</x:v>
      </x:c>
      <x:c r="G668" s="9" t="str">
        <x:v>BRK</x:v>
      </x:c>
      <x:c r="H668" s="9" t="str">
        <x:v>OG02</x:v>
      </x:c>
      <x:c r="I668" s="17" t="str">
        <x:v>Time ancestry</x:v>
      </x:c>
      <x:c r="J668" s="17" t="str">
        <x:v>primary, witness and public event clocks retain declared offsets and drift</x:v>
      </x:c>
      <x:c r="K668" s="17" t="str">
        <x:v>Time authority</x:v>
      </x:c>
      <x:c r="L668" s="9" t="n">
        <x:v>0</x:v>
      </x:c>
      <x:c r="M668" s="9" t="n">
        <x:v>0</x:v>
      </x:c>
      <x:c r="N668" s="9" t="str">
        <x:v>OPEN / UNACCEPTED</x:v>
      </x:c>
      <x:c r="O668" s="9" t="n">
        <x:f>COUNTIFS($A$7:$A$1734,A668)</x:f>
        <x:v>1</x:v>
      </x:c>
    </x:row>
    <x:row r="669">
      <x:c r="A669" s="9" t="str">
        <x:v>EV-AR-ET-A-A-TECH-1-B1-BRK-G0-OG03</x:v>
      </x:c>
      <x:c r="B669" s="9" t="str">
        <x:v>EV-AR-ET-A-A-TECH-1-B1-BRK-G0</x:v>
      </x:c>
      <x:c r="C669" s="9" t="str">
        <x:v>AR-ET-A-A-TECH-1-B1-BRK-G0</x:v>
      </x:c>
      <x:c r="D669" s="9" t="str">
        <x:v>ET-A-A-TECH-1</x:v>
      </x:c>
      <x:c r="E669" s="9" t="str">
        <x:v>ET-A-A</x:v>
      </x:c>
      <x:c r="F669" s="9" t="str">
        <x:v>B1</x:v>
      </x:c>
      <x:c r="G669" s="9" t="str">
        <x:v>BRK</x:v>
      </x:c>
      <x:c r="H669" s="9" t="str">
        <x:v>OG03</x:v>
      </x:c>
      <x:c r="I669" s="17" t="str">
        <x:v>Calibration ancestry</x:v>
      </x:c>
      <x:c r="J669" s="17" t="str">
        <x:v>all reference, range and uncertainty states cover the live interval</x:v>
      </x:c>
      <x:c r="K669" s="17" t="str">
        <x:v>Metrology courts</x:v>
      </x:c>
      <x:c r="L669" s="9" t="n">
        <x:v>0</x:v>
      </x:c>
      <x:c r="M669" s="9" t="n">
        <x:v>0</x:v>
      </x:c>
      <x:c r="N669" s="9" t="str">
        <x:v>OPEN / UNACCEPTED</x:v>
      </x:c>
      <x:c r="O669" s="9" t="n">
        <x:f>COUNTIFS($A$7:$A$1734,A669)</x:f>
        <x:v>1</x:v>
      </x:c>
    </x:row>
    <x:row r="670">
      <x:c r="A670" s="9" t="str">
        <x:v>EV-AR-ET-A-A-TECH-1-B1-BRK-G0-OG04</x:v>
      </x:c>
      <x:c r="B670" s="9" t="str">
        <x:v>EV-AR-ET-A-A-TECH-1-B1-BRK-G0</x:v>
      </x:c>
      <x:c r="C670" s="9" t="str">
        <x:v>AR-ET-A-A-TECH-1-B1-BRK-G0</x:v>
      </x:c>
      <x:c r="D670" s="9" t="str">
        <x:v>ET-A-A-TECH-1</x:v>
      </x:c>
      <x:c r="E670" s="9" t="str">
        <x:v>ET-A-A</x:v>
      </x:c>
      <x:c r="F670" s="9" t="str">
        <x:v>B1</x:v>
      </x:c>
      <x:c r="G670" s="9" t="str">
        <x:v>BRK</x:v>
      </x:c>
      <x:c r="H670" s="9" t="str">
        <x:v>OG04</x:v>
      </x:c>
      <x:c r="I670" s="17" t="str">
        <x:v>Raw completeness</x:v>
      </x:c>
      <x:c r="J670" s="17" t="str">
        <x:v>missingness is enumerated without imputation or outcome-conditioned deletion</x:v>
      </x:c>
      <x:c r="K670" s="17" t="str">
        <x:v>Observation court</x:v>
      </x:c>
      <x:c r="L670" s="9" t="n">
        <x:v>0</x:v>
      </x:c>
      <x:c r="M670" s="9" t="n">
        <x:v>0</x:v>
      </x:c>
      <x:c r="N670" s="9" t="str">
        <x:v>OPEN / UNACCEPTED</x:v>
      </x:c>
      <x:c r="O670" s="9" t="n">
        <x:f>COUNTIFS($A$7:$A$1734,A670)</x:f>
        <x:v>1</x:v>
      </x:c>
    </x:row>
    <x:row r="671">
      <x:c r="A671" s="9" t="str">
        <x:v>EV-AR-ET-A-A-TECH-1-B1-BRK-G0-OG05</x:v>
      </x:c>
      <x:c r="B671" s="9" t="str">
        <x:v>EV-AR-ET-A-A-TECH-1-B1-BRK-G0</x:v>
      </x:c>
      <x:c r="C671" s="9" t="str">
        <x:v>AR-ET-A-A-TECH-1-B1-BRK-G0</x:v>
      </x:c>
      <x:c r="D671" s="9" t="str">
        <x:v>ET-A-A-TECH-1</x:v>
      </x:c>
      <x:c r="E671" s="9" t="str">
        <x:v>ET-A-A</x:v>
      </x:c>
      <x:c r="F671" s="9" t="str">
        <x:v>B1</x:v>
      </x:c>
      <x:c r="G671" s="9" t="str">
        <x:v>BRK</x:v>
      </x:c>
      <x:c r="H671" s="9" t="str">
        <x:v>OG05</x:v>
      </x:c>
      <x:c r="I671" s="17" t="str">
        <x:v>Primary provenance</x:v>
      </x:c>
      <x:c r="J671" s="17" t="str">
        <x:v>primary originals, hashes, keys and access history reconcile</x:v>
      </x:c>
      <x:c r="K671" s="17" t="str">
        <x:v>Primary custody</x:v>
      </x:c>
      <x:c r="L671" s="9" t="n">
        <x:v>0</x:v>
      </x:c>
      <x:c r="M671" s="9" t="n">
        <x:v>0</x:v>
      </x:c>
      <x:c r="N671" s="9" t="str">
        <x:v>OPEN / UNACCEPTED</x:v>
      </x:c>
      <x:c r="O671" s="9" t="n">
        <x:f>COUNTIFS($A$7:$A$1734,A671)</x:f>
        <x:v>1</x:v>
      </x:c>
    </x:row>
    <x:row r="672">
      <x:c r="A672" s="9" t="str">
        <x:v>EV-AR-ET-A-A-TECH-1-B1-BRK-G0-OG06</x:v>
      </x:c>
      <x:c r="B672" s="9" t="str">
        <x:v>EV-AR-ET-A-A-TECH-1-B1-BRK-G0</x:v>
      </x:c>
      <x:c r="C672" s="9" t="str">
        <x:v>AR-ET-A-A-TECH-1-B1-BRK-G0</x:v>
      </x:c>
      <x:c r="D672" s="9" t="str">
        <x:v>ET-A-A-TECH-1</x:v>
      </x:c>
      <x:c r="E672" s="9" t="str">
        <x:v>ET-A-A</x:v>
      </x:c>
      <x:c r="F672" s="9" t="str">
        <x:v>B1</x:v>
      </x:c>
      <x:c r="G672" s="9" t="str">
        <x:v>BRK</x:v>
      </x:c>
      <x:c r="H672" s="9" t="str">
        <x:v>OG06</x:v>
      </x:c>
      <x:c r="I672" s="17" t="str">
        <x:v>Witness provenance</x:v>
      </x:c>
      <x:c r="J672" s="17" t="str">
        <x:v>unlike witness originals, hashes, keys and access history reconcile</x:v>
      </x:c>
      <x:c r="K672" s="17" t="str">
        <x:v>Witness custody</x:v>
      </x:c>
      <x:c r="L672" s="9" t="n">
        <x:v>0</x:v>
      </x:c>
      <x:c r="M672" s="9" t="n">
        <x:v>0</x:v>
      </x:c>
      <x:c r="N672" s="9" t="str">
        <x:v>OPEN / UNACCEPTED</x:v>
      </x:c>
      <x:c r="O672" s="9" t="n">
        <x:f>COUNTIFS($A$7:$A$1734,A672)</x:f>
        <x:v>1</x:v>
      </x:c>
    </x:row>
    <x:row r="673">
      <x:c r="A673" s="9" t="str">
        <x:v>EV-AR-ET-A-A-TECH-1-B1-BRK-G0-OG07</x:v>
      </x:c>
      <x:c r="B673" s="9" t="str">
        <x:v>EV-AR-ET-A-A-TECH-1-B1-BRK-G0</x:v>
      </x:c>
      <x:c r="C673" s="9" t="str">
        <x:v>AR-ET-A-A-TECH-1-B1-BRK-G0</x:v>
      </x:c>
      <x:c r="D673" s="9" t="str">
        <x:v>ET-A-A-TECH-1</x:v>
      </x:c>
      <x:c r="E673" s="9" t="str">
        <x:v>ET-A-A</x:v>
      </x:c>
      <x:c r="F673" s="9" t="str">
        <x:v>B1</x:v>
      </x:c>
      <x:c r="G673" s="9" t="str">
        <x:v>BRK</x:v>
      </x:c>
      <x:c r="H673" s="9" t="str">
        <x:v>OG07</x:v>
      </x:c>
      <x:c r="I673" s="17" t="str">
        <x:v>Receiver denominator</x:v>
      </x:c>
      <x:c r="J673" s="17" t="str">
        <x:v>population, quantity, duration and exclusions match the frozen receipt</x:v>
      </x:c>
      <x:c r="K673" s="17" t="str">
        <x:v>Receiver court</x:v>
      </x:c>
      <x:c r="L673" s="9" t="n">
        <x:v>0</x:v>
      </x:c>
      <x:c r="M673" s="9" t="n">
        <x:v>0</x:v>
      </x:c>
      <x:c r="N673" s="9" t="str">
        <x:v>OPEN / UNACCEPTED</x:v>
      </x:c>
      <x:c r="O673" s="9" t="n">
        <x:f>COUNTIFS($A$7:$A$1734,A673)</x:f>
        <x:v>1</x:v>
      </x:c>
    </x:row>
    <x:row r="674">
      <x:c r="A674" s="9" t="str">
        <x:v>EV-AR-ET-A-A-TECH-1-B1-BRK-G0-OG08</x:v>
      </x:c>
      <x:c r="B674" s="9" t="str">
        <x:v>EV-AR-ET-A-A-TECH-1-B1-BRK-G0</x:v>
      </x:c>
      <x:c r="C674" s="9" t="str">
        <x:v>AR-ET-A-A-TECH-1-B1-BRK-G0</x:v>
      </x:c>
      <x:c r="D674" s="9" t="str">
        <x:v>ET-A-A-TECH-1</x:v>
      </x:c>
      <x:c r="E674" s="9" t="str">
        <x:v>ET-A-A</x:v>
      </x:c>
      <x:c r="F674" s="9" t="str">
        <x:v>B1</x:v>
      </x:c>
      <x:c r="G674" s="9" t="str">
        <x:v>BRK</x:v>
      </x:c>
      <x:c r="H674" s="9" t="str">
        <x:v>OG08</x:v>
      </x:c>
      <x:c r="I674" s="17" t="str">
        <x:v>Environment and boundary</x:v>
      </x:c>
      <x:c r="J674" s="17" t="str">
        <x:v>registered weather, water, ground, inlet and outlet states are retained</x:v>
      </x:c>
      <x:c r="K674" s="17" t="str">
        <x:v>Boundary court</x:v>
      </x:c>
      <x:c r="L674" s="9" t="n">
        <x:v>0</x:v>
      </x:c>
      <x:c r="M674" s="9" t="n">
        <x:v>0</x:v>
      </x:c>
      <x:c r="N674" s="9" t="str">
        <x:v>OPEN / UNACCEPTED</x:v>
      </x:c>
      <x:c r="O674" s="9" t="n">
        <x:f>COUNTIFS($A$7:$A$1734,A674)</x:f>
        <x:v>1</x:v>
      </x:c>
    </x:row>
    <x:row r="675">
      <x:c r="A675" s="9" t="str">
        <x:v>EV-AR-ET-A-A-TECH-1-B1-BRK-G0-OG09</x:v>
      </x:c>
      <x:c r="B675" s="9" t="str">
        <x:v>EV-AR-ET-A-A-TECH-1-B1-BRK-G0</x:v>
      </x:c>
      <x:c r="C675" s="9" t="str">
        <x:v>AR-ET-A-A-TECH-1-B1-BRK-G0</x:v>
      </x:c>
      <x:c r="D675" s="9" t="str">
        <x:v>ET-A-A-TECH-1</x:v>
      </x:c>
      <x:c r="E675" s="9" t="str">
        <x:v>ET-A-A</x:v>
      </x:c>
      <x:c r="F675" s="9" t="str">
        <x:v>B1</x:v>
      </x:c>
      <x:c r="G675" s="9" t="str">
        <x:v>BRK</x:v>
      </x:c>
      <x:c r="H675" s="9" t="str">
        <x:v>OG09</x:v>
      </x:c>
      <x:c r="I675" s="17" t="str">
        <x:v>Intervention account</x:v>
      </x:c>
      <x:c r="J675" s="17" t="str">
        <x:v>all stop, rescue, operator and public-protection actions remain timestamped</x:v>
      </x:c>
      <x:c r="K675" s="17" t="str">
        <x:v>Safety record court</x:v>
      </x:c>
      <x:c r="L675" s="9" t="n">
        <x:v>0</x:v>
      </x:c>
      <x:c r="M675" s="9" t="n">
        <x:v>0</x:v>
      </x:c>
      <x:c r="N675" s="9" t="str">
        <x:v>OPEN / UNACCEPTED</x:v>
      </x:c>
      <x:c r="O675" s="9" t="n">
        <x:f>COUNTIFS($A$7:$A$1734,A675)</x:f>
        <x:v>1</x:v>
      </x:c>
    </x:row>
    <x:row r="676">
      <x:c r="A676" s="9" t="str">
        <x:v>EV-AR-ET-A-A-TECH-1-B1-BRK-G0-OG10</x:v>
      </x:c>
      <x:c r="B676" s="9" t="str">
        <x:v>EV-AR-ET-A-A-TECH-1-B1-BRK-G0</x:v>
      </x:c>
      <x:c r="C676" s="9" t="str">
        <x:v>AR-ET-A-A-TECH-1-B1-BRK-G0</x:v>
      </x:c>
      <x:c r="D676" s="9" t="str">
        <x:v>ET-A-A-TECH-1</x:v>
      </x:c>
      <x:c r="E676" s="9" t="str">
        <x:v>ET-A-A</x:v>
      </x:c>
      <x:c r="F676" s="9" t="str">
        <x:v>B1</x:v>
      </x:c>
      <x:c r="G676" s="9" t="str">
        <x:v>BRK</x:v>
      </x:c>
      <x:c r="H676" s="9" t="str">
        <x:v>OG10</x:v>
      </x:c>
      <x:c r="I676" s="17" t="str">
        <x:v>Uncertainty statement</x:v>
      </x:c>
      <x:c r="J676" s="17" t="str">
        <x:v>range, censoring, resolution and correlation are declared before judgment</x:v>
      </x:c>
      <x:c r="K676" s="17" t="str">
        <x:v>Uncertainty authority</x:v>
      </x:c>
      <x:c r="L676" s="9" t="n">
        <x:v>0</x:v>
      </x:c>
      <x:c r="M676" s="9" t="n">
        <x:v>0</x:v>
      </x:c>
      <x:c r="N676" s="9" t="str">
        <x:v>OPEN / UNACCEPTED</x:v>
      </x:c>
      <x:c r="O676" s="9" t="n">
        <x:f>COUNTIFS($A$7:$A$1734,A676)</x:f>
        <x:v>1</x:v>
      </x:c>
    </x:row>
    <x:row r="677">
      <x:c r="A677" s="9" t="str">
        <x:v>EV-AR-ET-A-A-TECH-1-B1-BRK-G0-OG11</x:v>
      </x:c>
      <x:c r="B677" s="9" t="str">
        <x:v>EV-AR-ET-A-A-TECH-1-B1-BRK-G0</x:v>
      </x:c>
      <x:c r="C677" s="9" t="str">
        <x:v>AR-ET-A-A-TECH-1-B1-BRK-G0</x:v>
      </x:c>
      <x:c r="D677" s="9" t="str">
        <x:v>ET-A-A-TECH-1</x:v>
      </x:c>
      <x:c r="E677" s="9" t="str">
        <x:v>ET-A-A</x:v>
      </x:c>
      <x:c r="F677" s="9" t="str">
        <x:v>B1</x:v>
      </x:c>
      <x:c r="G677" s="9" t="str">
        <x:v>BRK</x:v>
      </x:c>
      <x:c r="H677" s="9" t="str">
        <x:v>OG11</x:v>
      </x:c>
      <x:c r="I677" s="17" t="str">
        <x:v>Contradiction preservation</x:v>
      </x:c>
      <x:c r="J677" s="17" t="str">
        <x:v>primary-witness disagreement remains explicit and is never averaged away</x:v>
      </x:c>
      <x:c r="K677" s="17" t="str">
        <x:v>Dissent registrar</x:v>
      </x:c>
      <x:c r="L677" s="9" t="n">
        <x:v>0</x:v>
      </x:c>
      <x:c r="M677" s="9" t="n">
        <x:v>0</x:v>
      </x:c>
      <x:c r="N677" s="9" t="str">
        <x:v>OPEN / UNACCEPTED</x:v>
      </x:c>
      <x:c r="O677" s="9" t="n">
        <x:f>COUNTIFS($A$7:$A$1734,A677)</x:f>
        <x:v>1</x:v>
      </x:c>
    </x:row>
    <x:row r="678">
      <x:c r="A678" s="9" t="str">
        <x:v>EV-AR-ET-A-A-TECH-1-B1-BRK-G0-OG12</x:v>
      </x:c>
      <x:c r="B678" s="9" t="str">
        <x:v>EV-AR-ET-A-A-TECH-1-B1-BRK-G0</x:v>
      </x:c>
      <x:c r="C678" s="9" t="str">
        <x:v>AR-ET-A-A-TECH-1-B1-BRK-G0</x:v>
      </x:c>
      <x:c r="D678" s="9" t="str">
        <x:v>ET-A-A-TECH-1</x:v>
      </x:c>
      <x:c r="E678" s="9" t="str">
        <x:v>ET-A-A</x:v>
      </x:c>
      <x:c r="F678" s="9" t="str">
        <x:v>B1</x:v>
      </x:c>
      <x:c r="G678" s="9" t="str">
        <x:v>BRK</x:v>
      </x:c>
      <x:c r="H678" s="9" t="str">
        <x:v>OG12</x:v>
      </x:c>
      <x:c r="I678" s="17" t="str">
        <x:v>Independent replay</x:v>
      </x:c>
      <x:c r="J678" s="17" t="str">
        <x:v>a separated reader reconstructs the registered observables from sealed originals</x:v>
      </x:c>
      <x:c r="K678" s="17" t="str">
        <x:v>Replay court</x:v>
      </x:c>
      <x:c r="L678" s="9" t="n">
        <x:v>0</x:v>
      </x:c>
      <x:c r="M678" s="9" t="n">
        <x:v>0</x:v>
      </x:c>
      <x:c r="N678" s="9" t="str">
        <x:v>OPEN / UNACCEPTED</x:v>
      </x:c>
      <x:c r="O678" s="9" t="n">
        <x:f>COUNTIFS($A$7:$A$1734,A678)</x:f>
        <x:v>1</x:v>
      </x:c>
    </x:row>
    <x:row r="679">
      <x:c r="A679" s="9" t="str">
        <x:v>EV-AR-HU-A-B-TECH-3-B1-BRK-G0-OG01</x:v>
      </x:c>
      <x:c r="B679" s="9" t="str">
        <x:v>EV-AR-HU-A-B-TECH-3-B1-BRK-G0</x:v>
      </x:c>
      <x:c r="C679" s="9" t="str">
        <x:v>AR-HU-A-B-TECH-3-B1-BRK-G0</x:v>
      </x:c>
      <x:c r="D679" s="9" t="str">
        <x:v>HU-A-B-TECH-3</x:v>
      </x:c>
      <x:c r="E679" s="9" t="str">
        <x:v>HU-A-B</x:v>
      </x:c>
      <x:c r="F679" s="9" t="str">
        <x:v>B1</x:v>
      </x:c>
      <x:c r="G679" s="9" t="str">
        <x:v>BRK</x:v>
      </x:c>
      <x:c r="H679" s="9" t="str">
        <x:v>OG01</x:v>
      </x:c>
      <x:c r="I679" s="17" t="str">
        <x:v>Serial and event identity</x:v>
      </x:c>
      <x:c r="J679" s="17" t="str">
        <x:v>record resolves to the issued serial, generation and physical start</x:v>
      </x:c>
      <x:c r="K679" s="17" t="str">
        <x:v>Observation court</x:v>
      </x:c>
      <x:c r="L679" s="9" t="n">
        <x:v>0</x:v>
      </x:c>
      <x:c r="M679" s="9" t="n">
        <x:v>0</x:v>
      </x:c>
      <x:c r="N679" s="9" t="str">
        <x:v>OPEN / UNACCEPTED</x:v>
      </x:c>
      <x:c r="O679" s="9" t="n">
        <x:f>COUNTIFS($A$7:$A$1734,A679)</x:f>
        <x:v>1</x:v>
      </x:c>
    </x:row>
    <x:row r="680">
      <x:c r="A680" s="9" t="str">
        <x:v>EV-AR-HU-A-B-TECH-3-B1-BRK-G0-OG02</x:v>
      </x:c>
      <x:c r="B680" s="9" t="str">
        <x:v>EV-AR-HU-A-B-TECH-3-B1-BRK-G0</x:v>
      </x:c>
      <x:c r="C680" s="9" t="str">
        <x:v>AR-HU-A-B-TECH-3-B1-BRK-G0</x:v>
      </x:c>
      <x:c r="D680" s="9" t="str">
        <x:v>HU-A-B-TECH-3</x:v>
      </x:c>
      <x:c r="E680" s="9" t="str">
        <x:v>HU-A-B</x:v>
      </x:c>
      <x:c r="F680" s="9" t="str">
        <x:v>B1</x:v>
      </x:c>
      <x:c r="G680" s="9" t="str">
        <x:v>BRK</x:v>
      </x:c>
      <x:c r="H680" s="9" t="str">
        <x:v>OG02</x:v>
      </x:c>
      <x:c r="I680" s="17" t="str">
        <x:v>Time ancestry</x:v>
      </x:c>
      <x:c r="J680" s="17" t="str">
        <x:v>primary, witness and public event clocks retain declared offsets and drift</x:v>
      </x:c>
      <x:c r="K680" s="17" t="str">
        <x:v>Time authority</x:v>
      </x:c>
      <x:c r="L680" s="9" t="n">
        <x:v>0</x:v>
      </x:c>
      <x:c r="M680" s="9" t="n">
        <x:v>0</x:v>
      </x:c>
      <x:c r="N680" s="9" t="str">
        <x:v>OPEN / UNACCEPTED</x:v>
      </x:c>
      <x:c r="O680" s="9" t="n">
        <x:f>COUNTIFS($A$7:$A$1734,A680)</x:f>
        <x:v>1</x:v>
      </x:c>
    </x:row>
    <x:row r="681">
      <x:c r="A681" s="9" t="str">
        <x:v>EV-AR-HU-A-B-TECH-3-B1-BRK-G0-OG03</x:v>
      </x:c>
      <x:c r="B681" s="9" t="str">
        <x:v>EV-AR-HU-A-B-TECH-3-B1-BRK-G0</x:v>
      </x:c>
      <x:c r="C681" s="9" t="str">
        <x:v>AR-HU-A-B-TECH-3-B1-BRK-G0</x:v>
      </x:c>
      <x:c r="D681" s="9" t="str">
        <x:v>HU-A-B-TECH-3</x:v>
      </x:c>
      <x:c r="E681" s="9" t="str">
        <x:v>HU-A-B</x:v>
      </x:c>
      <x:c r="F681" s="9" t="str">
        <x:v>B1</x:v>
      </x:c>
      <x:c r="G681" s="9" t="str">
        <x:v>BRK</x:v>
      </x:c>
      <x:c r="H681" s="9" t="str">
        <x:v>OG03</x:v>
      </x:c>
      <x:c r="I681" s="17" t="str">
        <x:v>Calibration ancestry</x:v>
      </x:c>
      <x:c r="J681" s="17" t="str">
        <x:v>all reference, range and uncertainty states cover the live interval</x:v>
      </x:c>
      <x:c r="K681" s="17" t="str">
        <x:v>Metrology courts</x:v>
      </x:c>
      <x:c r="L681" s="9" t="n">
        <x:v>0</x:v>
      </x:c>
      <x:c r="M681" s="9" t="n">
        <x:v>0</x:v>
      </x:c>
      <x:c r="N681" s="9" t="str">
        <x:v>OPEN / UNACCEPTED</x:v>
      </x:c>
      <x:c r="O681" s="9" t="n">
        <x:f>COUNTIFS($A$7:$A$1734,A681)</x:f>
        <x:v>1</x:v>
      </x:c>
    </x:row>
    <x:row r="682">
      <x:c r="A682" s="9" t="str">
        <x:v>EV-AR-HU-A-B-TECH-3-B1-BRK-G0-OG04</x:v>
      </x:c>
      <x:c r="B682" s="9" t="str">
        <x:v>EV-AR-HU-A-B-TECH-3-B1-BRK-G0</x:v>
      </x:c>
      <x:c r="C682" s="9" t="str">
        <x:v>AR-HU-A-B-TECH-3-B1-BRK-G0</x:v>
      </x:c>
      <x:c r="D682" s="9" t="str">
        <x:v>HU-A-B-TECH-3</x:v>
      </x:c>
      <x:c r="E682" s="9" t="str">
        <x:v>HU-A-B</x:v>
      </x:c>
      <x:c r="F682" s="9" t="str">
        <x:v>B1</x:v>
      </x:c>
      <x:c r="G682" s="9" t="str">
        <x:v>BRK</x:v>
      </x:c>
      <x:c r="H682" s="9" t="str">
        <x:v>OG04</x:v>
      </x:c>
      <x:c r="I682" s="17" t="str">
        <x:v>Raw completeness</x:v>
      </x:c>
      <x:c r="J682" s="17" t="str">
        <x:v>missingness is enumerated without imputation or outcome-conditioned deletion</x:v>
      </x:c>
      <x:c r="K682" s="17" t="str">
        <x:v>Observation court</x:v>
      </x:c>
      <x:c r="L682" s="9" t="n">
        <x:v>0</x:v>
      </x:c>
      <x:c r="M682" s="9" t="n">
        <x:v>0</x:v>
      </x:c>
      <x:c r="N682" s="9" t="str">
        <x:v>OPEN / UNACCEPTED</x:v>
      </x:c>
      <x:c r="O682" s="9" t="n">
        <x:f>COUNTIFS($A$7:$A$1734,A682)</x:f>
        <x:v>1</x:v>
      </x:c>
    </x:row>
    <x:row r="683">
      <x:c r="A683" s="9" t="str">
        <x:v>EV-AR-HU-A-B-TECH-3-B1-BRK-G0-OG05</x:v>
      </x:c>
      <x:c r="B683" s="9" t="str">
        <x:v>EV-AR-HU-A-B-TECH-3-B1-BRK-G0</x:v>
      </x:c>
      <x:c r="C683" s="9" t="str">
        <x:v>AR-HU-A-B-TECH-3-B1-BRK-G0</x:v>
      </x:c>
      <x:c r="D683" s="9" t="str">
        <x:v>HU-A-B-TECH-3</x:v>
      </x:c>
      <x:c r="E683" s="9" t="str">
        <x:v>HU-A-B</x:v>
      </x:c>
      <x:c r="F683" s="9" t="str">
        <x:v>B1</x:v>
      </x:c>
      <x:c r="G683" s="9" t="str">
        <x:v>BRK</x:v>
      </x:c>
      <x:c r="H683" s="9" t="str">
        <x:v>OG05</x:v>
      </x:c>
      <x:c r="I683" s="17" t="str">
        <x:v>Primary provenance</x:v>
      </x:c>
      <x:c r="J683" s="17" t="str">
        <x:v>primary originals, hashes, keys and access history reconcile</x:v>
      </x:c>
      <x:c r="K683" s="17" t="str">
        <x:v>Primary custody</x:v>
      </x:c>
      <x:c r="L683" s="9" t="n">
        <x:v>0</x:v>
      </x:c>
      <x:c r="M683" s="9" t="n">
        <x:v>0</x:v>
      </x:c>
      <x:c r="N683" s="9" t="str">
        <x:v>OPEN / UNACCEPTED</x:v>
      </x:c>
      <x:c r="O683" s="9" t="n">
        <x:f>COUNTIFS($A$7:$A$1734,A683)</x:f>
        <x:v>1</x:v>
      </x:c>
    </x:row>
    <x:row r="684">
      <x:c r="A684" s="9" t="str">
        <x:v>EV-AR-HU-A-B-TECH-3-B1-BRK-G0-OG06</x:v>
      </x:c>
      <x:c r="B684" s="9" t="str">
        <x:v>EV-AR-HU-A-B-TECH-3-B1-BRK-G0</x:v>
      </x:c>
      <x:c r="C684" s="9" t="str">
        <x:v>AR-HU-A-B-TECH-3-B1-BRK-G0</x:v>
      </x:c>
      <x:c r="D684" s="9" t="str">
        <x:v>HU-A-B-TECH-3</x:v>
      </x:c>
      <x:c r="E684" s="9" t="str">
        <x:v>HU-A-B</x:v>
      </x:c>
      <x:c r="F684" s="9" t="str">
        <x:v>B1</x:v>
      </x:c>
      <x:c r="G684" s="9" t="str">
        <x:v>BRK</x:v>
      </x:c>
      <x:c r="H684" s="9" t="str">
        <x:v>OG06</x:v>
      </x:c>
      <x:c r="I684" s="17" t="str">
        <x:v>Witness provenance</x:v>
      </x:c>
      <x:c r="J684" s="17" t="str">
        <x:v>unlike witness originals, hashes, keys and access history reconcile</x:v>
      </x:c>
      <x:c r="K684" s="17" t="str">
        <x:v>Witness custody</x:v>
      </x:c>
      <x:c r="L684" s="9" t="n">
        <x:v>0</x:v>
      </x:c>
      <x:c r="M684" s="9" t="n">
        <x:v>0</x:v>
      </x:c>
      <x:c r="N684" s="9" t="str">
        <x:v>OPEN / UNACCEPTED</x:v>
      </x:c>
      <x:c r="O684" s="9" t="n">
        <x:f>COUNTIFS($A$7:$A$1734,A684)</x:f>
        <x:v>1</x:v>
      </x:c>
    </x:row>
    <x:row r="685">
      <x:c r="A685" s="9" t="str">
        <x:v>EV-AR-HU-A-B-TECH-3-B1-BRK-G0-OG07</x:v>
      </x:c>
      <x:c r="B685" s="9" t="str">
        <x:v>EV-AR-HU-A-B-TECH-3-B1-BRK-G0</x:v>
      </x:c>
      <x:c r="C685" s="9" t="str">
        <x:v>AR-HU-A-B-TECH-3-B1-BRK-G0</x:v>
      </x:c>
      <x:c r="D685" s="9" t="str">
        <x:v>HU-A-B-TECH-3</x:v>
      </x:c>
      <x:c r="E685" s="9" t="str">
        <x:v>HU-A-B</x:v>
      </x:c>
      <x:c r="F685" s="9" t="str">
        <x:v>B1</x:v>
      </x:c>
      <x:c r="G685" s="9" t="str">
        <x:v>BRK</x:v>
      </x:c>
      <x:c r="H685" s="9" t="str">
        <x:v>OG07</x:v>
      </x:c>
      <x:c r="I685" s="17" t="str">
        <x:v>Receiver denominator</x:v>
      </x:c>
      <x:c r="J685" s="17" t="str">
        <x:v>population, quantity, duration and exclusions match the frozen receipt</x:v>
      </x:c>
      <x:c r="K685" s="17" t="str">
        <x:v>Receiver court</x:v>
      </x:c>
      <x:c r="L685" s="9" t="n">
        <x:v>0</x:v>
      </x:c>
      <x:c r="M685" s="9" t="n">
        <x:v>0</x:v>
      </x:c>
      <x:c r="N685" s="9" t="str">
        <x:v>OPEN / UNACCEPTED</x:v>
      </x:c>
      <x:c r="O685" s="9" t="n">
        <x:f>COUNTIFS($A$7:$A$1734,A685)</x:f>
        <x:v>1</x:v>
      </x:c>
    </x:row>
    <x:row r="686">
      <x:c r="A686" s="9" t="str">
        <x:v>EV-AR-HU-A-B-TECH-3-B1-BRK-G0-OG08</x:v>
      </x:c>
      <x:c r="B686" s="9" t="str">
        <x:v>EV-AR-HU-A-B-TECH-3-B1-BRK-G0</x:v>
      </x:c>
      <x:c r="C686" s="9" t="str">
        <x:v>AR-HU-A-B-TECH-3-B1-BRK-G0</x:v>
      </x:c>
      <x:c r="D686" s="9" t="str">
        <x:v>HU-A-B-TECH-3</x:v>
      </x:c>
      <x:c r="E686" s="9" t="str">
        <x:v>HU-A-B</x:v>
      </x:c>
      <x:c r="F686" s="9" t="str">
        <x:v>B1</x:v>
      </x:c>
      <x:c r="G686" s="9" t="str">
        <x:v>BRK</x:v>
      </x:c>
      <x:c r="H686" s="9" t="str">
        <x:v>OG08</x:v>
      </x:c>
      <x:c r="I686" s="17" t="str">
        <x:v>Environment and boundary</x:v>
      </x:c>
      <x:c r="J686" s="17" t="str">
        <x:v>registered weather, water, ground, inlet and outlet states are retained</x:v>
      </x:c>
      <x:c r="K686" s="17" t="str">
        <x:v>Boundary court</x:v>
      </x:c>
      <x:c r="L686" s="9" t="n">
        <x:v>0</x:v>
      </x:c>
      <x:c r="M686" s="9" t="n">
        <x:v>0</x:v>
      </x:c>
      <x:c r="N686" s="9" t="str">
        <x:v>OPEN / UNACCEPTED</x:v>
      </x:c>
      <x:c r="O686" s="9" t="n">
        <x:f>COUNTIFS($A$7:$A$1734,A686)</x:f>
        <x:v>1</x:v>
      </x:c>
    </x:row>
    <x:row r="687">
      <x:c r="A687" s="9" t="str">
        <x:v>EV-AR-HU-A-B-TECH-3-B1-BRK-G0-OG09</x:v>
      </x:c>
      <x:c r="B687" s="9" t="str">
        <x:v>EV-AR-HU-A-B-TECH-3-B1-BRK-G0</x:v>
      </x:c>
      <x:c r="C687" s="9" t="str">
        <x:v>AR-HU-A-B-TECH-3-B1-BRK-G0</x:v>
      </x:c>
      <x:c r="D687" s="9" t="str">
        <x:v>HU-A-B-TECH-3</x:v>
      </x:c>
      <x:c r="E687" s="9" t="str">
        <x:v>HU-A-B</x:v>
      </x:c>
      <x:c r="F687" s="9" t="str">
        <x:v>B1</x:v>
      </x:c>
      <x:c r="G687" s="9" t="str">
        <x:v>BRK</x:v>
      </x:c>
      <x:c r="H687" s="9" t="str">
        <x:v>OG09</x:v>
      </x:c>
      <x:c r="I687" s="17" t="str">
        <x:v>Intervention account</x:v>
      </x:c>
      <x:c r="J687" s="17" t="str">
        <x:v>all stop, rescue, operator and public-protection actions remain timestamped</x:v>
      </x:c>
      <x:c r="K687" s="17" t="str">
        <x:v>Safety record court</x:v>
      </x:c>
      <x:c r="L687" s="9" t="n">
        <x:v>0</x:v>
      </x:c>
      <x:c r="M687" s="9" t="n">
        <x:v>0</x:v>
      </x:c>
      <x:c r="N687" s="9" t="str">
        <x:v>OPEN / UNACCEPTED</x:v>
      </x:c>
      <x:c r="O687" s="9" t="n">
        <x:f>COUNTIFS($A$7:$A$1734,A687)</x:f>
        <x:v>1</x:v>
      </x:c>
    </x:row>
    <x:row r="688">
      <x:c r="A688" s="9" t="str">
        <x:v>EV-AR-HU-A-B-TECH-3-B1-BRK-G0-OG10</x:v>
      </x:c>
      <x:c r="B688" s="9" t="str">
        <x:v>EV-AR-HU-A-B-TECH-3-B1-BRK-G0</x:v>
      </x:c>
      <x:c r="C688" s="9" t="str">
        <x:v>AR-HU-A-B-TECH-3-B1-BRK-G0</x:v>
      </x:c>
      <x:c r="D688" s="9" t="str">
        <x:v>HU-A-B-TECH-3</x:v>
      </x:c>
      <x:c r="E688" s="9" t="str">
        <x:v>HU-A-B</x:v>
      </x:c>
      <x:c r="F688" s="9" t="str">
        <x:v>B1</x:v>
      </x:c>
      <x:c r="G688" s="9" t="str">
        <x:v>BRK</x:v>
      </x:c>
      <x:c r="H688" s="9" t="str">
        <x:v>OG10</x:v>
      </x:c>
      <x:c r="I688" s="17" t="str">
        <x:v>Uncertainty statement</x:v>
      </x:c>
      <x:c r="J688" s="17" t="str">
        <x:v>range, censoring, resolution and correlation are declared before judgment</x:v>
      </x:c>
      <x:c r="K688" s="17" t="str">
        <x:v>Uncertainty authority</x:v>
      </x:c>
      <x:c r="L688" s="9" t="n">
        <x:v>0</x:v>
      </x:c>
      <x:c r="M688" s="9" t="n">
        <x:v>0</x:v>
      </x:c>
      <x:c r="N688" s="9" t="str">
        <x:v>OPEN / UNACCEPTED</x:v>
      </x:c>
      <x:c r="O688" s="9" t="n">
        <x:f>COUNTIFS($A$7:$A$1734,A688)</x:f>
        <x:v>1</x:v>
      </x:c>
    </x:row>
    <x:row r="689">
      <x:c r="A689" s="9" t="str">
        <x:v>EV-AR-HU-A-B-TECH-3-B1-BRK-G0-OG11</x:v>
      </x:c>
      <x:c r="B689" s="9" t="str">
        <x:v>EV-AR-HU-A-B-TECH-3-B1-BRK-G0</x:v>
      </x:c>
      <x:c r="C689" s="9" t="str">
        <x:v>AR-HU-A-B-TECH-3-B1-BRK-G0</x:v>
      </x:c>
      <x:c r="D689" s="9" t="str">
        <x:v>HU-A-B-TECH-3</x:v>
      </x:c>
      <x:c r="E689" s="9" t="str">
        <x:v>HU-A-B</x:v>
      </x:c>
      <x:c r="F689" s="9" t="str">
        <x:v>B1</x:v>
      </x:c>
      <x:c r="G689" s="9" t="str">
        <x:v>BRK</x:v>
      </x:c>
      <x:c r="H689" s="9" t="str">
        <x:v>OG11</x:v>
      </x:c>
      <x:c r="I689" s="17" t="str">
        <x:v>Contradiction preservation</x:v>
      </x:c>
      <x:c r="J689" s="17" t="str">
        <x:v>primary-witness disagreement remains explicit and is never averaged away</x:v>
      </x:c>
      <x:c r="K689" s="17" t="str">
        <x:v>Dissent registrar</x:v>
      </x:c>
      <x:c r="L689" s="9" t="n">
        <x:v>0</x:v>
      </x:c>
      <x:c r="M689" s="9" t="n">
        <x:v>0</x:v>
      </x:c>
      <x:c r="N689" s="9" t="str">
        <x:v>OPEN / UNACCEPTED</x:v>
      </x:c>
      <x:c r="O689" s="9" t="n">
        <x:f>COUNTIFS($A$7:$A$1734,A689)</x:f>
        <x:v>1</x:v>
      </x:c>
    </x:row>
    <x:row r="690">
      <x:c r="A690" s="9" t="str">
        <x:v>EV-AR-HU-A-B-TECH-3-B1-BRK-G0-OG12</x:v>
      </x:c>
      <x:c r="B690" s="9" t="str">
        <x:v>EV-AR-HU-A-B-TECH-3-B1-BRK-G0</x:v>
      </x:c>
      <x:c r="C690" s="9" t="str">
        <x:v>AR-HU-A-B-TECH-3-B1-BRK-G0</x:v>
      </x:c>
      <x:c r="D690" s="9" t="str">
        <x:v>HU-A-B-TECH-3</x:v>
      </x:c>
      <x:c r="E690" s="9" t="str">
        <x:v>HU-A-B</x:v>
      </x:c>
      <x:c r="F690" s="9" t="str">
        <x:v>B1</x:v>
      </x:c>
      <x:c r="G690" s="9" t="str">
        <x:v>BRK</x:v>
      </x:c>
      <x:c r="H690" s="9" t="str">
        <x:v>OG12</x:v>
      </x:c>
      <x:c r="I690" s="17" t="str">
        <x:v>Independent replay</x:v>
      </x:c>
      <x:c r="J690" s="17" t="str">
        <x:v>a separated reader reconstructs the registered observables from sealed originals</x:v>
      </x:c>
      <x:c r="K690" s="17" t="str">
        <x:v>Replay court</x:v>
      </x:c>
      <x:c r="L690" s="9" t="n">
        <x:v>0</x:v>
      </x:c>
      <x:c r="M690" s="9" t="n">
        <x:v>0</x:v>
      </x:c>
      <x:c r="N690" s="9" t="str">
        <x:v>OPEN / UNACCEPTED</x:v>
      </x:c>
      <x:c r="O690" s="9" t="n">
        <x:f>COUNTIFS($A$7:$A$1734,A690)</x:f>
        <x:v>1</x:v>
      </x:c>
    </x:row>
    <x:row r="691">
      <x:c r="A691" s="9" t="str">
        <x:v>EV-AR-HU-A-B-TECH-2-B2-BRK-G0-OG01</x:v>
      </x:c>
      <x:c r="B691" s="9" t="str">
        <x:v>EV-AR-HU-A-B-TECH-2-B2-BRK-G0</x:v>
      </x:c>
      <x:c r="C691" s="9" t="str">
        <x:v>AR-HU-A-B-TECH-2-B2-BRK-G0</x:v>
      </x:c>
      <x:c r="D691" s="9" t="str">
        <x:v>HU-A-B-TECH-2</x:v>
      </x:c>
      <x:c r="E691" s="9" t="str">
        <x:v>HU-A-B</x:v>
      </x:c>
      <x:c r="F691" s="9" t="str">
        <x:v>B2</x:v>
      </x:c>
      <x:c r="G691" s="9" t="str">
        <x:v>BRK</x:v>
      </x:c>
      <x:c r="H691" s="9" t="str">
        <x:v>OG01</x:v>
      </x:c>
      <x:c r="I691" s="17" t="str">
        <x:v>Serial and event identity</x:v>
      </x:c>
      <x:c r="J691" s="17" t="str">
        <x:v>record resolves to the issued serial, generation and physical start</x:v>
      </x:c>
      <x:c r="K691" s="17" t="str">
        <x:v>Observation court</x:v>
      </x:c>
      <x:c r="L691" s="9" t="n">
        <x:v>0</x:v>
      </x:c>
      <x:c r="M691" s="9" t="n">
        <x:v>0</x:v>
      </x:c>
      <x:c r="N691" s="9" t="str">
        <x:v>OPEN / UNACCEPTED</x:v>
      </x:c>
      <x:c r="O691" s="9" t="n">
        <x:f>COUNTIFS($A$7:$A$1734,A691)</x:f>
        <x:v>1</x:v>
      </x:c>
    </x:row>
    <x:row r="692">
      <x:c r="A692" s="9" t="str">
        <x:v>EV-AR-HU-A-B-TECH-2-B2-BRK-G0-OG02</x:v>
      </x:c>
      <x:c r="B692" s="9" t="str">
        <x:v>EV-AR-HU-A-B-TECH-2-B2-BRK-G0</x:v>
      </x:c>
      <x:c r="C692" s="9" t="str">
        <x:v>AR-HU-A-B-TECH-2-B2-BRK-G0</x:v>
      </x:c>
      <x:c r="D692" s="9" t="str">
        <x:v>HU-A-B-TECH-2</x:v>
      </x:c>
      <x:c r="E692" s="9" t="str">
        <x:v>HU-A-B</x:v>
      </x:c>
      <x:c r="F692" s="9" t="str">
        <x:v>B2</x:v>
      </x:c>
      <x:c r="G692" s="9" t="str">
        <x:v>BRK</x:v>
      </x:c>
      <x:c r="H692" s="9" t="str">
        <x:v>OG02</x:v>
      </x:c>
      <x:c r="I692" s="17" t="str">
        <x:v>Time ancestry</x:v>
      </x:c>
      <x:c r="J692" s="17" t="str">
        <x:v>primary, witness and public event clocks retain declared offsets and drift</x:v>
      </x:c>
      <x:c r="K692" s="17" t="str">
        <x:v>Time authority</x:v>
      </x:c>
      <x:c r="L692" s="9" t="n">
        <x:v>0</x:v>
      </x:c>
      <x:c r="M692" s="9" t="n">
        <x:v>0</x:v>
      </x:c>
      <x:c r="N692" s="9" t="str">
        <x:v>OPEN / UNACCEPTED</x:v>
      </x:c>
      <x:c r="O692" s="9" t="n">
        <x:f>COUNTIFS($A$7:$A$1734,A692)</x:f>
        <x:v>1</x:v>
      </x:c>
    </x:row>
    <x:row r="693">
      <x:c r="A693" s="9" t="str">
        <x:v>EV-AR-HU-A-B-TECH-2-B2-BRK-G0-OG03</x:v>
      </x:c>
      <x:c r="B693" s="9" t="str">
        <x:v>EV-AR-HU-A-B-TECH-2-B2-BRK-G0</x:v>
      </x:c>
      <x:c r="C693" s="9" t="str">
        <x:v>AR-HU-A-B-TECH-2-B2-BRK-G0</x:v>
      </x:c>
      <x:c r="D693" s="9" t="str">
        <x:v>HU-A-B-TECH-2</x:v>
      </x:c>
      <x:c r="E693" s="9" t="str">
        <x:v>HU-A-B</x:v>
      </x:c>
      <x:c r="F693" s="9" t="str">
        <x:v>B2</x:v>
      </x:c>
      <x:c r="G693" s="9" t="str">
        <x:v>BRK</x:v>
      </x:c>
      <x:c r="H693" s="9" t="str">
        <x:v>OG03</x:v>
      </x:c>
      <x:c r="I693" s="17" t="str">
        <x:v>Calibration ancestry</x:v>
      </x:c>
      <x:c r="J693" s="17" t="str">
        <x:v>all reference, range and uncertainty states cover the live interval</x:v>
      </x:c>
      <x:c r="K693" s="17" t="str">
        <x:v>Metrology courts</x:v>
      </x:c>
      <x:c r="L693" s="9" t="n">
        <x:v>0</x:v>
      </x:c>
      <x:c r="M693" s="9" t="n">
        <x:v>0</x:v>
      </x:c>
      <x:c r="N693" s="9" t="str">
        <x:v>OPEN / UNACCEPTED</x:v>
      </x:c>
      <x:c r="O693" s="9" t="n">
        <x:f>COUNTIFS($A$7:$A$1734,A693)</x:f>
        <x:v>1</x:v>
      </x:c>
    </x:row>
    <x:row r="694">
      <x:c r="A694" s="9" t="str">
        <x:v>EV-AR-HU-A-B-TECH-2-B2-BRK-G0-OG04</x:v>
      </x:c>
      <x:c r="B694" s="9" t="str">
        <x:v>EV-AR-HU-A-B-TECH-2-B2-BRK-G0</x:v>
      </x:c>
      <x:c r="C694" s="9" t="str">
        <x:v>AR-HU-A-B-TECH-2-B2-BRK-G0</x:v>
      </x:c>
      <x:c r="D694" s="9" t="str">
        <x:v>HU-A-B-TECH-2</x:v>
      </x:c>
      <x:c r="E694" s="9" t="str">
        <x:v>HU-A-B</x:v>
      </x:c>
      <x:c r="F694" s="9" t="str">
        <x:v>B2</x:v>
      </x:c>
      <x:c r="G694" s="9" t="str">
        <x:v>BRK</x:v>
      </x:c>
      <x:c r="H694" s="9" t="str">
        <x:v>OG04</x:v>
      </x:c>
      <x:c r="I694" s="17" t="str">
        <x:v>Raw completeness</x:v>
      </x:c>
      <x:c r="J694" s="17" t="str">
        <x:v>missingness is enumerated without imputation or outcome-conditioned deletion</x:v>
      </x:c>
      <x:c r="K694" s="17" t="str">
        <x:v>Observation court</x:v>
      </x:c>
      <x:c r="L694" s="9" t="n">
        <x:v>0</x:v>
      </x:c>
      <x:c r="M694" s="9" t="n">
        <x:v>0</x:v>
      </x:c>
      <x:c r="N694" s="9" t="str">
        <x:v>OPEN / UNACCEPTED</x:v>
      </x:c>
      <x:c r="O694" s="9" t="n">
        <x:f>COUNTIFS($A$7:$A$1734,A694)</x:f>
        <x:v>1</x:v>
      </x:c>
    </x:row>
    <x:row r="695">
      <x:c r="A695" s="9" t="str">
        <x:v>EV-AR-HU-A-B-TECH-2-B2-BRK-G0-OG05</x:v>
      </x:c>
      <x:c r="B695" s="9" t="str">
        <x:v>EV-AR-HU-A-B-TECH-2-B2-BRK-G0</x:v>
      </x:c>
      <x:c r="C695" s="9" t="str">
        <x:v>AR-HU-A-B-TECH-2-B2-BRK-G0</x:v>
      </x:c>
      <x:c r="D695" s="9" t="str">
        <x:v>HU-A-B-TECH-2</x:v>
      </x:c>
      <x:c r="E695" s="9" t="str">
        <x:v>HU-A-B</x:v>
      </x:c>
      <x:c r="F695" s="9" t="str">
        <x:v>B2</x:v>
      </x:c>
      <x:c r="G695" s="9" t="str">
        <x:v>BRK</x:v>
      </x:c>
      <x:c r="H695" s="9" t="str">
        <x:v>OG05</x:v>
      </x:c>
      <x:c r="I695" s="17" t="str">
        <x:v>Primary provenance</x:v>
      </x:c>
      <x:c r="J695" s="17" t="str">
        <x:v>primary originals, hashes, keys and access history reconcile</x:v>
      </x:c>
      <x:c r="K695" s="17" t="str">
        <x:v>Primary custody</x:v>
      </x:c>
      <x:c r="L695" s="9" t="n">
        <x:v>0</x:v>
      </x:c>
      <x:c r="M695" s="9" t="n">
        <x:v>0</x:v>
      </x:c>
      <x:c r="N695" s="9" t="str">
        <x:v>OPEN / UNACCEPTED</x:v>
      </x:c>
      <x:c r="O695" s="9" t="n">
        <x:f>COUNTIFS($A$7:$A$1734,A695)</x:f>
        <x:v>1</x:v>
      </x:c>
    </x:row>
    <x:row r="696">
      <x:c r="A696" s="9" t="str">
        <x:v>EV-AR-HU-A-B-TECH-2-B2-BRK-G0-OG06</x:v>
      </x:c>
      <x:c r="B696" s="9" t="str">
        <x:v>EV-AR-HU-A-B-TECH-2-B2-BRK-G0</x:v>
      </x:c>
      <x:c r="C696" s="9" t="str">
        <x:v>AR-HU-A-B-TECH-2-B2-BRK-G0</x:v>
      </x:c>
      <x:c r="D696" s="9" t="str">
        <x:v>HU-A-B-TECH-2</x:v>
      </x:c>
      <x:c r="E696" s="9" t="str">
        <x:v>HU-A-B</x:v>
      </x:c>
      <x:c r="F696" s="9" t="str">
        <x:v>B2</x:v>
      </x:c>
      <x:c r="G696" s="9" t="str">
        <x:v>BRK</x:v>
      </x:c>
      <x:c r="H696" s="9" t="str">
        <x:v>OG06</x:v>
      </x:c>
      <x:c r="I696" s="17" t="str">
        <x:v>Witness provenance</x:v>
      </x:c>
      <x:c r="J696" s="17" t="str">
        <x:v>unlike witness originals, hashes, keys and access history reconcile</x:v>
      </x:c>
      <x:c r="K696" s="17" t="str">
        <x:v>Witness custody</x:v>
      </x:c>
      <x:c r="L696" s="9" t="n">
        <x:v>0</x:v>
      </x:c>
      <x:c r="M696" s="9" t="n">
        <x:v>0</x:v>
      </x:c>
      <x:c r="N696" s="9" t="str">
        <x:v>OPEN / UNACCEPTED</x:v>
      </x:c>
      <x:c r="O696" s="9" t="n">
        <x:f>COUNTIFS($A$7:$A$1734,A696)</x:f>
        <x:v>1</x:v>
      </x:c>
    </x:row>
    <x:row r="697">
      <x:c r="A697" s="9" t="str">
        <x:v>EV-AR-HU-A-B-TECH-2-B2-BRK-G0-OG07</x:v>
      </x:c>
      <x:c r="B697" s="9" t="str">
        <x:v>EV-AR-HU-A-B-TECH-2-B2-BRK-G0</x:v>
      </x:c>
      <x:c r="C697" s="9" t="str">
        <x:v>AR-HU-A-B-TECH-2-B2-BRK-G0</x:v>
      </x:c>
      <x:c r="D697" s="9" t="str">
        <x:v>HU-A-B-TECH-2</x:v>
      </x:c>
      <x:c r="E697" s="9" t="str">
        <x:v>HU-A-B</x:v>
      </x:c>
      <x:c r="F697" s="9" t="str">
        <x:v>B2</x:v>
      </x:c>
      <x:c r="G697" s="9" t="str">
        <x:v>BRK</x:v>
      </x:c>
      <x:c r="H697" s="9" t="str">
        <x:v>OG07</x:v>
      </x:c>
      <x:c r="I697" s="17" t="str">
        <x:v>Receiver denominator</x:v>
      </x:c>
      <x:c r="J697" s="17" t="str">
        <x:v>population, quantity, duration and exclusions match the frozen receipt</x:v>
      </x:c>
      <x:c r="K697" s="17" t="str">
        <x:v>Receiver court</x:v>
      </x:c>
      <x:c r="L697" s="9" t="n">
        <x:v>0</x:v>
      </x:c>
      <x:c r="M697" s="9" t="n">
        <x:v>0</x:v>
      </x:c>
      <x:c r="N697" s="9" t="str">
        <x:v>OPEN / UNACCEPTED</x:v>
      </x:c>
      <x:c r="O697" s="9" t="n">
        <x:f>COUNTIFS($A$7:$A$1734,A697)</x:f>
        <x:v>1</x:v>
      </x:c>
    </x:row>
    <x:row r="698">
      <x:c r="A698" s="9" t="str">
        <x:v>EV-AR-HU-A-B-TECH-2-B2-BRK-G0-OG08</x:v>
      </x:c>
      <x:c r="B698" s="9" t="str">
        <x:v>EV-AR-HU-A-B-TECH-2-B2-BRK-G0</x:v>
      </x:c>
      <x:c r="C698" s="9" t="str">
        <x:v>AR-HU-A-B-TECH-2-B2-BRK-G0</x:v>
      </x:c>
      <x:c r="D698" s="9" t="str">
        <x:v>HU-A-B-TECH-2</x:v>
      </x:c>
      <x:c r="E698" s="9" t="str">
        <x:v>HU-A-B</x:v>
      </x:c>
      <x:c r="F698" s="9" t="str">
        <x:v>B2</x:v>
      </x:c>
      <x:c r="G698" s="9" t="str">
        <x:v>BRK</x:v>
      </x:c>
      <x:c r="H698" s="9" t="str">
        <x:v>OG08</x:v>
      </x:c>
      <x:c r="I698" s="17" t="str">
        <x:v>Environment and boundary</x:v>
      </x:c>
      <x:c r="J698" s="17" t="str">
        <x:v>registered weather, water, ground, inlet and outlet states are retained</x:v>
      </x:c>
      <x:c r="K698" s="17" t="str">
        <x:v>Boundary court</x:v>
      </x:c>
      <x:c r="L698" s="9" t="n">
        <x:v>0</x:v>
      </x:c>
      <x:c r="M698" s="9" t="n">
        <x:v>0</x:v>
      </x:c>
      <x:c r="N698" s="9" t="str">
        <x:v>OPEN / UNACCEPTED</x:v>
      </x:c>
      <x:c r="O698" s="9" t="n">
        <x:f>COUNTIFS($A$7:$A$1734,A698)</x:f>
        <x:v>1</x:v>
      </x:c>
    </x:row>
    <x:row r="699">
      <x:c r="A699" s="9" t="str">
        <x:v>EV-AR-HU-A-B-TECH-2-B2-BRK-G0-OG09</x:v>
      </x:c>
      <x:c r="B699" s="9" t="str">
        <x:v>EV-AR-HU-A-B-TECH-2-B2-BRK-G0</x:v>
      </x:c>
      <x:c r="C699" s="9" t="str">
        <x:v>AR-HU-A-B-TECH-2-B2-BRK-G0</x:v>
      </x:c>
      <x:c r="D699" s="9" t="str">
        <x:v>HU-A-B-TECH-2</x:v>
      </x:c>
      <x:c r="E699" s="9" t="str">
        <x:v>HU-A-B</x:v>
      </x:c>
      <x:c r="F699" s="9" t="str">
        <x:v>B2</x:v>
      </x:c>
      <x:c r="G699" s="9" t="str">
        <x:v>BRK</x:v>
      </x:c>
      <x:c r="H699" s="9" t="str">
        <x:v>OG09</x:v>
      </x:c>
      <x:c r="I699" s="17" t="str">
        <x:v>Intervention account</x:v>
      </x:c>
      <x:c r="J699" s="17" t="str">
        <x:v>all stop, rescue, operator and public-protection actions remain timestamped</x:v>
      </x:c>
      <x:c r="K699" s="17" t="str">
        <x:v>Safety record court</x:v>
      </x:c>
      <x:c r="L699" s="9" t="n">
        <x:v>0</x:v>
      </x:c>
      <x:c r="M699" s="9" t="n">
        <x:v>0</x:v>
      </x:c>
      <x:c r="N699" s="9" t="str">
        <x:v>OPEN / UNACCEPTED</x:v>
      </x:c>
      <x:c r="O699" s="9" t="n">
        <x:f>COUNTIFS($A$7:$A$1734,A699)</x:f>
        <x:v>1</x:v>
      </x:c>
    </x:row>
    <x:row r="700">
      <x:c r="A700" s="9" t="str">
        <x:v>EV-AR-HU-A-B-TECH-2-B2-BRK-G0-OG10</x:v>
      </x:c>
      <x:c r="B700" s="9" t="str">
        <x:v>EV-AR-HU-A-B-TECH-2-B2-BRK-G0</x:v>
      </x:c>
      <x:c r="C700" s="9" t="str">
        <x:v>AR-HU-A-B-TECH-2-B2-BRK-G0</x:v>
      </x:c>
      <x:c r="D700" s="9" t="str">
        <x:v>HU-A-B-TECH-2</x:v>
      </x:c>
      <x:c r="E700" s="9" t="str">
        <x:v>HU-A-B</x:v>
      </x:c>
      <x:c r="F700" s="9" t="str">
        <x:v>B2</x:v>
      </x:c>
      <x:c r="G700" s="9" t="str">
        <x:v>BRK</x:v>
      </x:c>
      <x:c r="H700" s="9" t="str">
        <x:v>OG10</x:v>
      </x:c>
      <x:c r="I700" s="17" t="str">
        <x:v>Uncertainty statement</x:v>
      </x:c>
      <x:c r="J700" s="17" t="str">
        <x:v>range, censoring, resolution and correlation are declared before judgment</x:v>
      </x:c>
      <x:c r="K700" s="17" t="str">
        <x:v>Uncertainty authority</x:v>
      </x:c>
      <x:c r="L700" s="9" t="n">
        <x:v>0</x:v>
      </x:c>
      <x:c r="M700" s="9" t="n">
        <x:v>0</x:v>
      </x:c>
      <x:c r="N700" s="9" t="str">
        <x:v>OPEN / UNACCEPTED</x:v>
      </x:c>
      <x:c r="O700" s="9" t="n">
        <x:f>COUNTIFS($A$7:$A$1734,A700)</x:f>
        <x:v>1</x:v>
      </x:c>
    </x:row>
    <x:row r="701">
      <x:c r="A701" s="9" t="str">
        <x:v>EV-AR-HU-A-B-TECH-2-B2-BRK-G0-OG11</x:v>
      </x:c>
      <x:c r="B701" s="9" t="str">
        <x:v>EV-AR-HU-A-B-TECH-2-B2-BRK-G0</x:v>
      </x:c>
      <x:c r="C701" s="9" t="str">
        <x:v>AR-HU-A-B-TECH-2-B2-BRK-G0</x:v>
      </x:c>
      <x:c r="D701" s="9" t="str">
        <x:v>HU-A-B-TECH-2</x:v>
      </x:c>
      <x:c r="E701" s="9" t="str">
        <x:v>HU-A-B</x:v>
      </x:c>
      <x:c r="F701" s="9" t="str">
        <x:v>B2</x:v>
      </x:c>
      <x:c r="G701" s="9" t="str">
        <x:v>BRK</x:v>
      </x:c>
      <x:c r="H701" s="9" t="str">
        <x:v>OG11</x:v>
      </x:c>
      <x:c r="I701" s="17" t="str">
        <x:v>Contradiction preservation</x:v>
      </x:c>
      <x:c r="J701" s="17" t="str">
        <x:v>primary-witness disagreement remains explicit and is never averaged away</x:v>
      </x:c>
      <x:c r="K701" s="17" t="str">
        <x:v>Dissent registrar</x:v>
      </x:c>
      <x:c r="L701" s="9" t="n">
        <x:v>0</x:v>
      </x:c>
      <x:c r="M701" s="9" t="n">
        <x:v>0</x:v>
      </x:c>
      <x:c r="N701" s="9" t="str">
        <x:v>OPEN / UNACCEPTED</x:v>
      </x:c>
      <x:c r="O701" s="9" t="n">
        <x:f>COUNTIFS($A$7:$A$1734,A701)</x:f>
        <x:v>1</x:v>
      </x:c>
    </x:row>
    <x:row r="702">
      <x:c r="A702" s="9" t="str">
        <x:v>EV-AR-HU-A-B-TECH-2-B2-BRK-G0-OG12</x:v>
      </x:c>
      <x:c r="B702" s="9" t="str">
        <x:v>EV-AR-HU-A-B-TECH-2-B2-BRK-G0</x:v>
      </x:c>
      <x:c r="C702" s="9" t="str">
        <x:v>AR-HU-A-B-TECH-2-B2-BRK-G0</x:v>
      </x:c>
      <x:c r="D702" s="9" t="str">
        <x:v>HU-A-B-TECH-2</x:v>
      </x:c>
      <x:c r="E702" s="9" t="str">
        <x:v>HU-A-B</x:v>
      </x:c>
      <x:c r="F702" s="9" t="str">
        <x:v>B2</x:v>
      </x:c>
      <x:c r="G702" s="9" t="str">
        <x:v>BRK</x:v>
      </x:c>
      <x:c r="H702" s="9" t="str">
        <x:v>OG12</x:v>
      </x:c>
      <x:c r="I702" s="17" t="str">
        <x:v>Independent replay</x:v>
      </x:c>
      <x:c r="J702" s="17" t="str">
        <x:v>a separated reader reconstructs the registered observables from sealed originals</x:v>
      </x:c>
      <x:c r="K702" s="17" t="str">
        <x:v>Replay court</x:v>
      </x:c>
      <x:c r="L702" s="9" t="n">
        <x:v>0</x:v>
      </x:c>
      <x:c r="M702" s="9" t="n">
        <x:v>0</x:v>
      </x:c>
      <x:c r="N702" s="9" t="str">
        <x:v>OPEN / UNACCEPTED</x:v>
      </x:c>
      <x:c r="O702" s="9" t="n">
        <x:f>COUNTIFS($A$7:$A$1734,A702)</x:f>
        <x:v>1</x:v>
      </x:c>
    </x:row>
    <x:row r="703">
      <x:c r="A703" s="9" t="str">
        <x:v>EV-AR-LF-B-A-TECH-2-B1-RCN-G0-OG01</x:v>
      </x:c>
      <x:c r="B703" s="9" t="str">
        <x:v>EV-AR-LF-B-A-TECH-2-B1-RCN-G0</x:v>
      </x:c>
      <x:c r="C703" s="9" t="str">
        <x:v>AR-LF-B-A-TECH-2-B1-RCN-G0</x:v>
      </x:c>
      <x:c r="D703" s="9" t="str">
        <x:v>LF-B-A-TECH-2</x:v>
      </x:c>
      <x:c r="E703" s="9" t="str">
        <x:v>LF-B-A</x:v>
      </x:c>
      <x:c r="F703" s="9" t="str">
        <x:v>B1</x:v>
      </x:c>
      <x:c r="G703" s="9" t="str">
        <x:v>RCN</x:v>
      </x:c>
      <x:c r="H703" s="9" t="str">
        <x:v>OG01</x:v>
      </x:c>
      <x:c r="I703" s="17" t="str">
        <x:v>Serial and event identity</x:v>
      </x:c>
      <x:c r="J703" s="17" t="str">
        <x:v>record resolves to the issued serial, generation and physical start</x:v>
      </x:c>
      <x:c r="K703" s="17" t="str">
        <x:v>Observation court</x:v>
      </x:c>
      <x:c r="L703" s="9" t="n">
        <x:v>0</x:v>
      </x:c>
      <x:c r="M703" s="9" t="n">
        <x:v>0</x:v>
      </x:c>
      <x:c r="N703" s="9" t="str">
        <x:v>OPEN / UNACCEPTED</x:v>
      </x:c>
      <x:c r="O703" s="9" t="n">
        <x:f>COUNTIFS($A$7:$A$1734,A703)</x:f>
        <x:v>1</x:v>
      </x:c>
    </x:row>
    <x:row r="704">
      <x:c r="A704" s="9" t="str">
        <x:v>EV-AR-LF-B-A-TECH-2-B1-RCN-G0-OG02</x:v>
      </x:c>
      <x:c r="B704" s="9" t="str">
        <x:v>EV-AR-LF-B-A-TECH-2-B1-RCN-G0</x:v>
      </x:c>
      <x:c r="C704" s="9" t="str">
        <x:v>AR-LF-B-A-TECH-2-B1-RCN-G0</x:v>
      </x:c>
      <x:c r="D704" s="9" t="str">
        <x:v>LF-B-A-TECH-2</x:v>
      </x:c>
      <x:c r="E704" s="9" t="str">
        <x:v>LF-B-A</x:v>
      </x:c>
      <x:c r="F704" s="9" t="str">
        <x:v>B1</x:v>
      </x:c>
      <x:c r="G704" s="9" t="str">
        <x:v>RCN</x:v>
      </x:c>
      <x:c r="H704" s="9" t="str">
        <x:v>OG02</x:v>
      </x:c>
      <x:c r="I704" s="17" t="str">
        <x:v>Time ancestry</x:v>
      </x:c>
      <x:c r="J704" s="17" t="str">
        <x:v>primary, witness and public event clocks retain declared offsets and drift</x:v>
      </x:c>
      <x:c r="K704" s="17" t="str">
        <x:v>Time authority</x:v>
      </x:c>
      <x:c r="L704" s="9" t="n">
        <x:v>0</x:v>
      </x:c>
      <x:c r="M704" s="9" t="n">
        <x:v>0</x:v>
      </x:c>
      <x:c r="N704" s="9" t="str">
        <x:v>OPEN / UNACCEPTED</x:v>
      </x:c>
      <x:c r="O704" s="9" t="n">
        <x:f>COUNTIFS($A$7:$A$1734,A704)</x:f>
        <x:v>1</x:v>
      </x:c>
    </x:row>
    <x:row r="705">
      <x:c r="A705" s="9" t="str">
        <x:v>EV-AR-LF-B-A-TECH-2-B1-RCN-G0-OG03</x:v>
      </x:c>
      <x:c r="B705" s="9" t="str">
        <x:v>EV-AR-LF-B-A-TECH-2-B1-RCN-G0</x:v>
      </x:c>
      <x:c r="C705" s="9" t="str">
        <x:v>AR-LF-B-A-TECH-2-B1-RCN-G0</x:v>
      </x:c>
      <x:c r="D705" s="9" t="str">
        <x:v>LF-B-A-TECH-2</x:v>
      </x:c>
      <x:c r="E705" s="9" t="str">
        <x:v>LF-B-A</x:v>
      </x:c>
      <x:c r="F705" s="9" t="str">
        <x:v>B1</x:v>
      </x:c>
      <x:c r="G705" s="9" t="str">
        <x:v>RCN</x:v>
      </x:c>
      <x:c r="H705" s="9" t="str">
        <x:v>OG03</x:v>
      </x:c>
      <x:c r="I705" s="17" t="str">
        <x:v>Calibration ancestry</x:v>
      </x:c>
      <x:c r="J705" s="17" t="str">
        <x:v>all reference, range and uncertainty states cover the live interval</x:v>
      </x:c>
      <x:c r="K705" s="17" t="str">
        <x:v>Metrology courts</x:v>
      </x:c>
      <x:c r="L705" s="9" t="n">
        <x:v>0</x:v>
      </x:c>
      <x:c r="M705" s="9" t="n">
        <x:v>0</x:v>
      </x:c>
      <x:c r="N705" s="9" t="str">
        <x:v>OPEN / UNACCEPTED</x:v>
      </x:c>
      <x:c r="O705" s="9" t="n">
        <x:f>COUNTIFS($A$7:$A$1734,A705)</x:f>
        <x:v>1</x:v>
      </x:c>
    </x:row>
    <x:row r="706">
      <x:c r="A706" s="9" t="str">
        <x:v>EV-AR-LF-B-A-TECH-2-B1-RCN-G0-OG04</x:v>
      </x:c>
      <x:c r="B706" s="9" t="str">
        <x:v>EV-AR-LF-B-A-TECH-2-B1-RCN-G0</x:v>
      </x:c>
      <x:c r="C706" s="9" t="str">
        <x:v>AR-LF-B-A-TECH-2-B1-RCN-G0</x:v>
      </x:c>
      <x:c r="D706" s="9" t="str">
        <x:v>LF-B-A-TECH-2</x:v>
      </x:c>
      <x:c r="E706" s="9" t="str">
        <x:v>LF-B-A</x:v>
      </x:c>
      <x:c r="F706" s="9" t="str">
        <x:v>B1</x:v>
      </x:c>
      <x:c r="G706" s="9" t="str">
        <x:v>RCN</x:v>
      </x:c>
      <x:c r="H706" s="9" t="str">
        <x:v>OG04</x:v>
      </x:c>
      <x:c r="I706" s="17" t="str">
        <x:v>Raw completeness</x:v>
      </x:c>
      <x:c r="J706" s="17" t="str">
        <x:v>missingness is enumerated without imputation or outcome-conditioned deletion</x:v>
      </x:c>
      <x:c r="K706" s="17" t="str">
        <x:v>Observation court</x:v>
      </x:c>
      <x:c r="L706" s="9" t="n">
        <x:v>0</x:v>
      </x:c>
      <x:c r="M706" s="9" t="n">
        <x:v>0</x:v>
      </x:c>
      <x:c r="N706" s="9" t="str">
        <x:v>OPEN / UNACCEPTED</x:v>
      </x:c>
      <x:c r="O706" s="9" t="n">
        <x:f>COUNTIFS($A$7:$A$1734,A706)</x:f>
        <x:v>1</x:v>
      </x:c>
    </x:row>
    <x:row r="707">
      <x:c r="A707" s="9" t="str">
        <x:v>EV-AR-LF-B-A-TECH-2-B1-RCN-G0-OG05</x:v>
      </x:c>
      <x:c r="B707" s="9" t="str">
        <x:v>EV-AR-LF-B-A-TECH-2-B1-RCN-G0</x:v>
      </x:c>
      <x:c r="C707" s="9" t="str">
        <x:v>AR-LF-B-A-TECH-2-B1-RCN-G0</x:v>
      </x:c>
      <x:c r="D707" s="9" t="str">
        <x:v>LF-B-A-TECH-2</x:v>
      </x:c>
      <x:c r="E707" s="9" t="str">
        <x:v>LF-B-A</x:v>
      </x:c>
      <x:c r="F707" s="9" t="str">
        <x:v>B1</x:v>
      </x:c>
      <x:c r="G707" s="9" t="str">
        <x:v>RCN</x:v>
      </x:c>
      <x:c r="H707" s="9" t="str">
        <x:v>OG05</x:v>
      </x:c>
      <x:c r="I707" s="17" t="str">
        <x:v>Primary provenance</x:v>
      </x:c>
      <x:c r="J707" s="17" t="str">
        <x:v>primary originals, hashes, keys and access history reconcile</x:v>
      </x:c>
      <x:c r="K707" s="17" t="str">
        <x:v>Primary custody</x:v>
      </x:c>
      <x:c r="L707" s="9" t="n">
        <x:v>0</x:v>
      </x:c>
      <x:c r="M707" s="9" t="n">
        <x:v>0</x:v>
      </x:c>
      <x:c r="N707" s="9" t="str">
        <x:v>OPEN / UNACCEPTED</x:v>
      </x:c>
      <x:c r="O707" s="9" t="n">
        <x:f>COUNTIFS($A$7:$A$1734,A707)</x:f>
        <x:v>1</x:v>
      </x:c>
    </x:row>
    <x:row r="708">
      <x:c r="A708" s="9" t="str">
        <x:v>EV-AR-LF-B-A-TECH-2-B1-RCN-G0-OG06</x:v>
      </x:c>
      <x:c r="B708" s="9" t="str">
        <x:v>EV-AR-LF-B-A-TECH-2-B1-RCN-G0</x:v>
      </x:c>
      <x:c r="C708" s="9" t="str">
        <x:v>AR-LF-B-A-TECH-2-B1-RCN-G0</x:v>
      </x:c>
      <x:c r="D708" s="9" t="str">
        <x:v>LF-B-A-TECH-2</x:v>
      </x:c>
      <x:c r="E708" s="9" t="str">
        <x:v>LF-B-A</x:v>
      </x:c>
      <x:c r="F708" s="9" t="str">
        <x:v>B1</x:v>
      </x:c>
      <x:c r="G708" s="9" t="str">
        <x:v>RCN</x:v>
      </x:c>
      <x:c r="H708" s="9" t="str">
        <x:v>OG06</x:v>
      </x:c>
      <x:c r="I708" s="17" t="str">
        <x:v>Witness provenance</x:v>
      </x:c>
      <x:c r="J708" s="17" t="str">
        <x:v>unlike witness originals, hashes, keys and access history reconcile</x:v>
      </x:c>
      <x:c r="K708" s="17" t="str">
        <x:v>Witness custody</x:v>
      </x:c>
      <x:c r="L708" s="9" t="n">
        <x:v>0</x:v>
      </x:c>
      <x:c r="M708" s="9" t="n">
        <x:v>0</x:v>
      </x:c>
      <x:c r="N708" s="9" t="str">
        <x:v>OPEN / UNACCEPTED</x:v>
      </x:c>
      <x:c r="O708" s="9" t="n">
        <x:f>COUNTIFS($A$7:$A$1734,A708)</x:f>
        <x:v>1</x:v>
      </x:c>
    </x:row>
    <x:row r="709">
      <x:c r="A709" s="9" t="str">
        <x:v>EV-AR-LF-B-A-TECH-2-B1-RCN-G0-OG07</x:v>
      </x:c>
      <x:c r="B709" s="9" t="str">
        <x:v>EV-AR-LF-B-A-TECH-2-B1-RCN-G0</x:v>
      </x:c>
      <x:c r="C709" s="9" t="str">
        <x:v>AR-LF-B-A-TECH-2-B1-RCN-G0</x:v>
      </x:c>
      <x:c r="D709" s="9" t="str">
        <x:v>LF-B-A-TECH-2</x:v>
      </x:c>
      <x:c r="E709" s="9" t="str">
        <x:v>LF-B-A</x:v>
      </x:c>
      <x:c r="F709" s="9" t="str">
        <x:v>B1</x:v>
      </x:c>
      <x:c r="G709" s="9" t="str">
        <x:v>RCN</x:v>
      </x:c>
      <x:c r="H709" s="9" t="str">
        <x:v>OG07</x:v>
      </x:c>
      <x:c r="I709" s="17" t="str">
        <x:v>Receiver denominator</x:v>
      </x:c>
      <x:c r="J709" s="17" t="str">
        <x:v>population, quantity, duration and exclusions match the frozen receipt</x:v>
      </x:c>
      <x:c r="K709" s="17" t="str">
        <x:v>Receiver court</x:v>
      </x:c>
      <x:c r="L709" s="9" t="n">
        <x:v>0</x:v>
      </x:c>
      <x:c r="M709" s="9" t="n">
        <x:v>0</x:v>
      </x:c>
      <x:c r="N709" s="9" t="str">
        <x:v>OPEN / UNACCEPTED</x:v>
      </x:c>
      <x:c r="O709" s="9" t="n">
        <x:f>COUNTIFS($A$7:$A$1734,A709)</x:f>
        <x:v>1</x:v>
      </x:c>
    </x:row>
    <x:row r="710">
      <x:c r="A710" s="9" t="str">
        <x:v>EV-AR-LF-B-A-TECH-2-B1-RCN-G0-OG08</x:v>
      </x:c>
      <x:c r="B710" s="9" t="str">
        <x:v>EV-AR-LF-B-A-TECH-2-B1-RCN-G0</x:v>
      </x:c>
      <x:c r="C710" s="9" t="str">
        <x:v>AR-LF-B-A-TECH-2-B1-RCN-G0</x:v>
      </x:c>
      <x:c r="D710" s="9" t="str">
        <x:v>LF-B-A-TECH-2</x:v>
      </x:c>
      <x:c r="E710" s="9" t="str">
        <x:v>LF-B-A</x:v>
      </x:c>
      <x:c r="F710" s="9" t="str">
        <x:v>B1</x:v>
      </x:c>
      <x:c r="G710" s="9" t="str">
        <x:v>RCN</x:v>
      </x:c>
      <x:c r="H710" s="9" t="str">
        <x:v>OG08</x:v>
      </x:c>
      <x:c r="I710" s="17" t="str">
        <x:v>Environment and boundary</x:v>
      </x:c>
      <x:c r="J710" s="17" t="str">
        <x:v>registered weather, water, ground, inlet and outlet states are retained</x:v>
      </x:c>
      <x:c r="K710" s="17" t="str">
        <x:v>Boundary court</x:v>
      </x:c>
      <x:c r="L710" s="9" t="n">
        <x:v>0</x:v>
      </x:c>
      <x:c r="M710" s="9" t="n">
        <x:v>0</x:v>
      </x:c>
      <x:c r="N710" s="9" t="str">
        <x:v>OPEN / UNACCEPTED</x:v>
      </x:c>
      <x:c r="O710" s="9" t="n">
        <x:f>COUNTIFS($A$7:$A$1734,A710)</x:f>
        <x:v>1</x:v>
      </x:c>
    </x:row>
    <x:row r="711">
      <x:c r="A711" s="9" t="str">
        <x:v>EV-AR-LF-B-A-TECH-2-B1-RCN-G0-OG09</x:v>
      </x:c>
      <x:c r="B711" s="9" t="str">
        <x:v>EV-AR-LF-B-A-TECH-2-B1-RCN-G0</x:v>
      </x:c>
      <x:c r="C711" s="9" t="str">
        <x:v>AR-LF-B-A-TECH-2-B1-RCN-G0</x:v>
      </x:c>
      <x:c r="D711" s="9" t="str">
        <x:v>LF-B-A-TECH-2</x:v>
      </x:c>
      <x:c r="E711" s="9" t="str">
        <x:v>LF-B-A</x:v>
      </x:c>
      <x:c r="F711" s="9" t="str">
        <x:v>B1</x:v>
      </x:c>
      <x:c r="G711" s="9" t="str">
        <x:v>RCN</x:v>
      </x:c>
      <x:c r="H711" s="9" t="str">
        <x:v>OG09</x:v>
      </x:c>
      <x:c r="I711" s="17" t="str">
        <x:v>Intervention account</x:v>
      </x:c>
      <x:c r="J711" s="17" t="str">
        <x:v>all stop, rescue, operator and public-protection actions remain timestamped</x:v>
      </x:c>
      <x:c r="K711" s="17" t="str">
        <x:v>Safety record court</x:v>
      </x:c>
      <x:c r="L711" s="9" t="n">
        <x:v>0</x:v>
      </x:c>
      <x:c r="M711" s="9" t="n">
        <x:v>0</x:v>
      </x:c>
      <x:c r="N711" s="9" t="str">
        <x:v>OPEN / UNACCEPTED</x:v>
      </x:c>
      <x:c r="O711" s="9" t="n">
        <x:f>COUNTIFS($A$7:$A$1734,A711)</x:f>
        <x:v>1</x:v>
      </x:c>
    </x:row>
    <x:row r="712">
      <x:c r="A712" s="9" t="str">
        <x:v>EV-AR-LF-B-A-TECH-2-B1-RCN-G0-OG10</x:v>
      </x:c>
      <x:c r="B712" s="9" t="str">
        <x:v>EV-AR-LF-B-A-TECH-2-B1-RCN-G0</x:v>
      </x:c>
      <x:c r="C712" s="9" t="str">
        <x:v>AR-LF-B-A-TECH-2-B1-RCN-G0</x:v>
      </x:c>
      <x:c r="D712" s="9" t="str">
        <x:v>LF-B-A-TECH-2</x:v>
      </x:c>
      <x:c r="E712" s="9" t="str">
        <x:v>LF-B-A</x:v>
      </x:c>
      <x:c r="F712" s="9" t="str">
        <x:v>B1</x:v>
      </x:c>
      <x:c r="G712" s="9" t="str">
        <x:v>RCN</x:v>
      </x:c>
      <x:c r="H712" s="9" t="str">
        <x:v>OG10</x:v>
      </x:c>
      <x:c r="I712" s="17" t="str">
        <x:v>Uncertainty statement</x:v>
      </x:c>
      <x:c r="J712" s="17" t="str">
        <x:v>range, censoring, resolution and correlation are declared before judgment</x:v>
      </x:c>
      <x:c r="K712" s="17" t="str">
        <x:v>Uncertainty authority</x:v>
      </x:c>
      <x:c r="L712" s="9" t="n">
        <x:v>0</x:v>
      </x:c>
      <x:c r="M712" s="9" t="n">
        <x:v>0</x:v>
      </x:c>
      <x:c r="N712" s="9" t="str">
        <x:v>OPEN / UNACCEPTED</x:v>
      </x:c>
      <x:c r="O712" s="9" t="n">
        <x:f>COUNTIFS($A$7:$A$1734,A712)</x:f>
        <x:v>1</x:v>
      </x:c>
    </x:row>
    <x:row r="713">
      <x:c r="A713" s="9" t="str">
        <x:v>EV-AR-LF-B-A-TECH-2-B1-RCN-G0-OG11</x:v>
      </x:c>
      <x:c r="B713" s="9" t="str">
        <x:v>EV-AR-LF-B-A-TECH-2-B1-RCN-G0</x:v>
      </x:c>
      <x:c r="C713" s="9" t="str">
        <x:v>AR-LF-B-A-TECH-2-B1-RCN-G0</x:v>
      </x:c>
      <x:c r="D713" s="9" t="str">
        <x:v>LF-B-A-TECH-2</x:v>
      </x:c>
      <x:c r="E713" s="9" t="str">
        <x:v>LF-B-A</x:v>
      </x:c>
      <x:c r="F713" s="9" t="str">
        <x:v>B1</x:v>
      </x:c>
      <x:c r="G713" s="9" t="str">
        <x:v>RCN</x:v>
      </x:c>
      <x:c r="H713" s="9" t="str">
        <x:v>OG11</x:v>
      </x:c>
      <x:c r="I713" s="17" t="str">
        <x:v>Contradiction preservation</x:v>
      </x:c>
      <x:c r="J713" s="17" t="str">
        <x:v>primary-witness disagreement remains explicit and is never averaged away</x:v>
      </x:c>
      <x:c r="K713" s="17" t="str">
        <x:v>Dissent registrar</x:v>
      </x:c>
      <x:c r="L713" s="9" t="n">
        <x:v>0</x:v>
      </x:c>
      <x:c r="M713" s="9" t="n">
        <x:v>0</x:v>
      </x:c>
      <x:c r="N713" s="9" t="str">
        <x:v>OPEN / UNACCEPTED</x:v>
      </x:c>
      <x:c r="O713" s="9" t="n">
        <x:f>COUNTIFS($A$7:$A$1734,A713)</x:f>
        <x:v>1</x:v>
      </x:c>
    </x:row>
    <x:row r="714">
      <x:c r="A714" s="9" t="str">
        <x:v>EV-AR-LF-B-A-TECH-2-B1-RCN-G0-OG12</x:v>
      </x:c>
      <x:c r="B714" s="9" t="str">
        <x:v>EV-AR-LF-B-A-TECH-2-B1-RCN-G0</x:v>
      </x:c>
      <x:c r="C714" s="9" t="str">
        <x:v>AR-LF-B-A-TECH-2-B1-RCN-G0</x:v>
      </x:c>
      <x:c r="D714" s="9" t="str">
        <x:v>LF-B-A-TECH-2</x:v>
      </x:c>
      <x:c r="E714" s="9" t="str">
        <x:v>LF-B-A</x:v>
      </x:c>
      <x:c r="F714" s="9" t="str">
        <x:v>B1</x:v>
      </x:c>
      <x:c r="G714" s="9" t="str">
        <x:v>RCN</x:v>
      </x:c>
      <x:c r="H714" s="9" t="str">
        <x:v>OG12</x:v>
      </x:c>
      <x:c r="I714" s="17" t="str">
        <x:v>Independent replay</x:v>
      </x:c>
      <x:c r="J714" s="17" t="str">
        <x:v>a separated reader reconstructs the registered observables from sealed originals</x:v>
      </x:c>
      <x:c r="K714" s="17" t="str">
        <x:v>Replay court</x:v>
      </x:c>
      <x:c r="L714" s="9" t="n">
        <x:v>0</x:v>
      </x:c>
      <x:c r="M714" s="9" t="n">
        <x:v>0</x:v>
      </x:c>
      <x:c r="N714" s="9" t="str">
        <x:v>OPEN / UNACCEPTED</x:v>
      </x:c>
      <x:c r="O714" s="9" t="n">
        <x:f>COUNTIFS($A$7:$A$1734,A714)</x:f>
        <x:v>1</x:v>
      </x:c>
    </x:row>
    <x:row r="715">
      <x:c r="A715" s="9" t="str">
        <x:v>EV-AR-RT-B-C-TECH-2-B1-BRK-G0-OG01</x:v>
      </x:c>
      <x:c r="B715" s="9" t="str">
        <x:v>EV-AR-RT-B-C-TECH-2-B1-BRK-G0</x:v>
      </x:c>
      <x:c r="C715" s="9" t="str">
        <x:v>AR-RT-B-C-TECH-2-B1-BRK-G0</x:v>
      </x:c>
      <x:c r="D715" s="9" t="str">
        <x:v>RT-B-C-TECH-2</x:v>
      </x:c>
      <x:c r="E715" s="9" t="str">
        <x:v>RT-B-C</x:v>
      </x:c>
      <x:c r="F715" s="9" t="str">
        <x:v>B1</x:v>
      </x:c>
      <x:c r="G715" s="9" t="str">
        <x:v>BRK</x:v>
      </x:c>
      <x:c r="H715" s="9" t="str">
        <x:v>OG01</x:v>
      </x:c>
      <x:c r="I715" s="17" t="str">
        <x:v>Serial and event identity</x:v>
      </x:c>
      <x:c r="J715" s="17" t="str">
        <x:v>record resolves to the issued serial, generation and physical start</x:v>
      </x:c>
      <x:c r="K715" s="17" t="str">
        <x:v>Observation court</x:v>
      </x:c>
      <x:c r="L715" s="9" t="n">
        <x:v>0</x:v>
      </x:c>
      <x:c r="M715" s="9" t="n">
        <x:v>0</x:v>
      </x:c>
      <x:c r="N715" s="9" t="str">
        <x:v>OPEN / UNACCEPTED</x:v>
      </x:c>
      <x:c r="O715" s="9" t="n">
        <x:f>COUNTIFS($A$7:$A$1734,A715)</x:f>
        <x:v>1</x:v>
      </x:c>
    </x:row>
    <x:row r="716">
      <x:c r="A716" s="9" t="str">
        <x:v>EV-AR-RT-B-C-TECH-2-B1-BRK-G0-OG02</x:v>
      </x:c>
      <x:c r="B716" s="9" t="str">
        <x:v>EV-AR-RT-B-C-TECH-2-B1-BRK-G0</x:v>
      </x:c>
      <x:c r="C716" s="9" t="str">
        <x:v>AR-RT-B-C-TECH-2-B1-BRK-G0</x:v>
      </x:c>
      <x:c r="D716" s="9" t="str">
        <x:v>RT-B-C-TECH-2</x:v>
      </x:c>
      <x:c r="E716" s="9" t="str">
        <x:v>RT-B-C</x:v>
      </x:c>
      <x:c r="F716" s="9" t="str">
        <x:v>B1</x:v>
      </x:c>
      <x:c r="G716" s="9" t="str">
        <x:v>BRK</x:v>
      </x:c>
      <x:c r="H716" s="9" t="str">
        <x:v>OG02</x:v>
      </x:c>
      <x:c r="I716" s="17" t="str">
        <x:v>Time ancestry</x:v>
      </x:c>
      <x:c r="J716" s="17" t="str">
        <x:v>primary, witness and public event clocks retain declared offsets and drift</x:v>
      </x:c>
      <x:c r="K716" s="17" t="str">
        <x:v>Time authority</x:v>
      </x:c>
      <x:c r="L716" s="9" t="n">
        <x:v>0</x:v>
      </x:c>
      <x:c r="M716" s="9" t="n">
        <x:v>0</x:v>
      </x:c>
      <x:c r="N716" s="9" t="str">
        <x:v>OPEN / UNACCEPTED</x:v>
      </x:c>
      <x:c r="O716" s="9" t="n">
        <x:f>COUNTIFS($A$7:$A$1734,A716)</x:f>
        <x:v>1</x:v>
      </x:c>
    </x:row>
    <x:row r="717">
      <x:c r="A717" s="9" t="str">
        <x:v>EV-AR-RT-B-C-TECH-2-B1-BRK-G0-OG03</x:v>
      </x:c>
      <x:c r="B717" s="9" t="str">
        <x:v>EV-AR-RT-B-C-TECH-2-B1-BRK-G0</x:v>
      </x:c>
      <x:c r="C717" s="9" t="str">
        <x:v>AR-RT-B-C-TECH-2-B1-BRK-G0</x:v>
      </x:c>
      <x:c r="D717" s="9" t="str">
        <x:v>RT-B-C-TECH-2</x:v>
      </x:c>
      <x:c r="E717" s="9" t="str">
        <x:v>RT-B-C</x:v>
      </x:c>
      <x:c r="F717" s="9" t="str">
        <x:v>B1</x:v>
      </x:c>
      <x:c r="G717" s="9" t="str">
        <x:v>BRK</x:v>
      </x:c>
      <x:c r="H717" s="9" t="str">
        <x:v>OG03</x:v>
      </x:c>
      <x:c r="I717" s="17" t="str">
        <x:v>Calibration ancestry</x:v>
      </x:c>
      <x:c r="J717" s="17" t="str">
        <x:v>all reference, range and uncertainty states cover the live interval</x:v>
      </x:c>
      <x:c r="K717" s="17" t="str">
        <x:v>Metrology courts</x:v>
      </x:c>
      <x:c r="L717" s="9" t="n">
        <x:v>0</x:v>
      </x:c>
      <x:c r="M717" s="9" t="n">
        <x:v>0</x:v>
      </x:c>
      <x:c r="N717" s="9" t="str">
        <x:v>OPEN / UNACCEPTED</x:v>
      </x:c>
      <x:c r="O717" s="9" t="n">
        <x:f>COUNTIFS($A$7:$A$1734,A717)</x:f>
        <x:v>1</x:v>
      </x:c>
    </x:row>
    <x:row r="718">
      <x:c r="A718" s="9" t="str">
        <x:v>EV-AR-RT-B-C-TECH-2-B1-BRK-G0-OG04</x:v>
      </x:c>
      <x:c r="B718" s="9" t="str">
        <x:v>EV-AR-RT-B-C-TECH-2-B1-BRK-G0</x:v>
      </x:c>
      <x:c r="C718" s="9" t="str">
        <x:v>AR-RT-B-C-TECH-2-B1-BRK-G0</x:v>
      </x:c>
      <x:c r="D718" s="9" t="str">
        <x:v>RT-B-C-TECH-2</x:v>
      </x:c>
      <x:c r="E718" s="9" t="str">
        <x:v>RT-B-C</x:v>
      </x:c>
      <x:c r="F718" s="9" t="str">
        <x:v>B1</x:v>
      </x:c>
      <x:c r="G718" s="9" t="str">
        <x:v>BRK</x:v>
      </x:c>
      <x:c r="H718" s="9" t="str">
        <x:v>OG04</x:v>
      </x:c>
      <x:c r="I718" s="17" t="str">
        <x:v>Raw completeness</x:v>
      </x:c>
      <x:c r="J718" s="17" t="str">
        <x:v>missingness is enumerated without imputation or outcome-conditioned deletion</x:v>
      </x:c>
      <x:c r="K718" s="17" t="str">
        <x:v>Observation court</x:v>
      </x:c>
      <x:c r="L718" s="9" t="n">
        <x:v>0</x:v>
      </x:c>
      <x:c r="M718" s="9" t="n">
        <x:v>0</x:v>
      </x:c>
      <x:c r="N718" s="9" t="str">
        <x:v>OPEN / UNACCEPTED</x:v>
      </x:c>
      <x:c r="O718" s="9" t="n">
        <x:f>COUNTIFS($A$7:$A$1734,A718)</x:f>
        <x:v>1</x:v>
      </x:c>
    </x:row>
    <x:row r="719">
      <x:c r="A719" s="9" t="str">
        <x:v>EV-AR-RT-B-C-TECH-2-B1-BRK-G0-OG05</x:v>
      </x:c>
      <x:c r="B719" s="9" t="str">
        <x:v>EV-AR-RT-B-C-TECH-2-B1-BRK-G0</x:v>
      </x:c>
      <x:c r="C719" s="9" t="str">
        <x:v>AR-RT-B-C-TECH-2-B1-BRK-G0</x:v>
      </x:c>
      <x:c r="D719" s="9" t="str">
        <x:v>RT-B-C-TECH-2</x:v>
      </x:c>
      <x:c r="E719" s="9" t="str">
        <x:v>RT-B-C</x:v>
      </x:c>
      <x:c r="F719" s="9" t="str">
        <x:v>B1</x:v>
      </x:c>
      <x:c r="G719" s="9" t="str">
        <x:v>BRK</x:v>
      </x:c>
      <x:c r="H719" s="9" t="str">
        <x:v>OG05</x:v>
      </x:c>
      <x:c r="I719" s="17" t="str">
        <x:v>Primary provenance</x:v>
      </x:c>
      <x:c r="J719" s="17" t="str">
        <x:v>primary originals, hashes, keys and access history reconcile</x:v>
      </x:c>
      <x:c r="K719" s="17" t="str">
        <x:v>Primary custody</x:v>
      </x:c>
      <x:c r="L719" s="9" t="n">
        <x:v>0</x:v>
      </x:c>
      <x:c r="M719" s="9" t="n">
        <x:v>0</x:v>
      </x:c>
      <x:c r="N719" s="9" t="str">
        <x:v>OPEN / UNACCEPTED</x:v>
      </x:c>
      <x:c r="O719" s="9" t="n">
        <x:f>COUNTIFS($A$7:$A$1734,A719)</x:f>
        <x:v>1</x:v>
      </x:c>
    </x:row>
    <x:row r="720">
      <x:c r="A720" s="9" t="str">
        <x:v>EV-AR-RT-B-C-TECH-2-B1-BRK-G0-OG06</x:v>
      </x:c>
      <x:c r="B720" s="9" t="str">
        <x:v>EV-AR-RT-B-C-TECH-2-B1-BRK-G0</x:v>
      </x:c>
      <x:c r="C720" s="9" t="str">
        <x:v>AR-RT-B-C-TECH-2-B1-BRK-G0</x:v>
      </x:c>
      <x:c r="D720" s="9" t="str">
        <x:v>RT-B-C-TECH-2</x:v>
      </x:c>
      <x:c r="E720" s="9" t="str">
        <x:v>RT-B-C</x:v>
      </x:c>
      <x:c r="F720" s="9" t="str">
        <x:v>B1</x:v>
      </x:c>
      <x:c r="G720" s="9" t="str">
        <x:v>BRK</x:v>
      </x:c>
      <x:c r="H720" s="9" t="str">
        <x:v>OG06</x:v>
      </x:c>
      <x:c r="I720" s="17" t="str">
        <x:v>Witness provenance</x:v>
      </x:c>
      <x:c r="J720" s="17" t="str">
        <x:v>unlike witness originals, hashes, keys and access history reconcile</x:v>
      </x:c>
      <x:c r="K720" s="17" t="str">
        <x:v>Witness custody</x:v>
      </x:c>
      <x:c r="L720" s="9" t="n">
        <x:v>0</x:v>
      </x:c>
      <x:c r="M720" s="9" t="n">
        <x:v>0</x:v>
      </x:c>
      <x:c r="N720" s="9" t="str">
        <x:v>OPEN / UNACCEPTED</x:v>
      </x:c>
      <x:c r="O720" s="9" t="n">
        <x:f>COUNTIFS($A$7:$A$1734,A720)</x:f>
        <x:v>1</x:v>
      </x:c>
    </x:row>
    <x:row r="721">
      <x:c r="A721" s="9" t="str">
        <x:v>EV-AR-RT-B-C-TECH-2-B1-BRK-G0-OG07</x:v>
      </x:c>
      <x:c r="B721" s="9" t="str">
        <x:v>EV-AR-RT-B-C-TECH-2-B1-BRK-G0</x:v>
      </x:c>
      <x:c r="C721" s="9" t="str">
        <x:v>AR-RT-B-C-TECH-2-B1-BRK-G0</x:v>
      </x:c>
      <x:c r="D721" s="9" t="str">
        <x:v>RT-B-C-TECH-2</x:v>
      </x:c>
      <x:c r="E721" s="9" t="str">
        <x:v>RT-B-C</x:v>
      </x:c>
      <x:c r="F721" s="9" t="str">
        <x:v>B1</x:v>
      </x:c>
      <x:c r="G721" s="9" t="str">
        <x:v>BRK</x:v>
      </x:c>
      <x:c r="H721" s="9" t="str">
        <x:v>OG07</x:v>
      </x:c>
      <x:c r="I721" s="17" t="str">
        <x:v>Receiver denominator</x:v>
      </x:c>
      <x:c r="J721" s="17" t="str">
        <x:v>population, quantity, duration and exclusions match the frozen receipt</x:v>
      </x:c>
      <x:c r="K721" s="17" t="str">
        <x:v>Receiver court</x:v>
      </x:c>
      <x:c r="L721" s="9" t="n">
        <x:v>0</x:v>
      </x:c>
      <x:c r="M721" s="9" t="n">
        <x:v>0</x:v>
      </x:c>
      <x:c r="N721" s="9" t="str">
        <x:v>OPEN / UNACCEPTED</x:v>
      </x:c>
      <x:c r="O721" s="9" t="n">
        <x:f>COUNTIFS($A$7:$A$1734,A721)</x:f>
        <x:v>1</x:v>
      </x:c>
    </x:row>
    <x:row r="722">
      <x:c r="A722" s="9" t="str">
        <x:v>EV-AR-RT-B-C-TECH-2-B1-BRK-G0-OG08</x:v>
      </x:c>
      <x:c r="B722" s="9" t="str">
        <x:v>EV-AR-RT-B-C-TECH-2-B1-BRK-G0</x:v>
      </x:c>
      <x:c r="C722" s="9" t="str">
        <x:v>AR-RT-B-C-TECH-2-B1-BRK-G0</x:v>
      </x:c>
      <x:c r="D722" s="9" t="str">
        <x:v>RT-B-C-TECH-2</x:v>
      </x:c>
      <x:c r="E722" s="9" t="str">
        <x:v>RT-B-C</x:v>
      </x:c>
      <x:c r="F722" s="9" t="str">
        <x:v>B1</x:v>
      </x:c>
      <x:c r="G722" s="9" t="str">
        <x:v>BRK</x:v>
      </x:c>
      <x:c r="H722" s="9" t="str">
        <x:v>OG08</x:v>
      </x:c>
      <x:c r="I722" s="17" t="str">
        <x:v>Environment and boundary</x:v>
      </x:c>
      <x:c r="J722" s="17" t="str">
        <x:v>registered weather, water, ground, inlet and outlet states are retained</x:v>
      </x:c>
      <x:c r="K722" s="17" t="str">
        <x:v>Boundary court</x:v>
      </x:c>
      <x:c r="L722" s="9" t="n">
        <x:v>0</x:v>
      </x:c>
      <x:c r="M722" s="9" t="n">
        <x:v>0</x:v>
      </x:c>
      <x:c r="N722" s="9" t="str">
        <x:v>OPEN / UNACCEPTED</x:v>
      </x:c>
      <x:c r="O722" s="9" t="n">
        <x:f>COUNTIFS($A$7:$A$1734,A722)</x:f>
        <x:v>1</x:v>
      </x:c>
    </x:row>
    <x:row r="723">
      <x:c r="A723" s="9" t="str">
        <x:v>EV-AR-RT-B-C-TECH-2-B1-BRK-G0-OG09</x:v>
      </x:c>
      <x:c r="B723" s="9" t="str">
        <x:v>EV-AR-RT-B-C-TECH-2-B1-BRK-G0</x:v>
      </x:c>
      <x:c r="C723" s="9" t="str">
        <x:v>AR-RT-B-C-TECH-2-B1-BRK-G0</x:v>
      </x:c>
      <x:c r="D723" s="9" t="str">
        <x:v>RT-B-C-TECH-2</x:v>
      </x:c>
      <x:c r="E723" s="9" t="str">
        <x:v>RT-B-C</x:v>
      </x:c>
      <x:c r="F723" s="9" t="str">
        <x:v>B1</x:v>
      </x:c>
      <x:c r="G723" s="9" t="str">
        <x:v>BRK</x:v>
      </x:c>
      <x:c r="H723" s="9" t="str">
        <x:v>OG09</x:v>
      </x:c>
      <x:c r="I723" s="17" t="str">
        <x:v>Intervention account</x:v>
      </x:c>
      <x:c r="J723" s="17" t="str">
        <x:v>all stop, rescue, operator and public-protection actions remain timestamped</x:v>
      </x:c>
      <x:c r="K723" s="17" t="str">
        <x:v>Safety record court</x:v>
      </x:c>
      <x:c r="L723" s="9" t="n">
        <x:v>0</x:v>
      </x:c>
      <x:c r="M723" s="9" t="n">
        <x:v>0</x:v>
      </x:c>
      <x:c r="N723" s="9" t="str">
        <x:v>OPEN / UNACCEPTED</x:v>
      </x:c>
      <x:c r="O723" s="9" t="n">
        <x:f>COUNTIFS($A$7:$A$1734,A723)</x:f>
        <x:v>1</x:v>
      </x:c>
    </x:row>
    <x:row r="724">
      <x:c r="A724" s="9" t="str">
        <x:v>EV-AR-RT-B-C-TECH-2-B1-BRK-G0-OG10</x:v>
      </x:c>
      <x:c r="B724" s="9" t="str">
        <x:v>EV-AR-RT-B-C-TECH-2-B1-BRK-G0</x:v>
      </x:c>
      <x:c r="C724" s="9" t="str">
        <x:v>AR-RT-B-C-TECH-2-B1-BRK-G0</x:v>
      </x:c>
      <x:c r="D724" s="9" t="str">
        <x:v>RT-B-C-TECH-2</x:v>
      </x:c>
      <x:c r="E724" s="9" t="str">
        <x:v>RT-B-C</x:v>
      </x:c>
      <x:c r="F724" s="9" t="str">
        <x:v>B1</x:v>
      </x:c>
      <x:c r="G724" s="9" t="str">
        <x:v>BRK</x:v>
      </x:c>
      <x:c r="H724" s="9" t="str">
        <x:v>OG10</x:v>
      </x:c>
      <x:c r="I724" s="17" t="str">
        <x:v>Uncertainty statement</x:v>
      </x:c>
      <x:c r="J724" s="17" t="str">
        <x:v>range, censoring, resolution and correlation are declared before judgment</x:v>
      </x:c>
      <x:c r="K724" s="17" t="str">
        <x:v>Uncertainty authority</x:v>
      </x:c>
      <x:c r="L724" s="9" t="n">
        <x:v>0</x:v>
      </x:c>
      <x:c r="M724" s="9" t="n">
        <x:v>0</x:v>
      </x:c>
      <x:c r="N724" s="9" t="str">
        <x:v>OPEN / UNACCEPTED</x:v>
      </x:c>
      <x:c r="O724" s="9" t="n">
        <x:f>COUNTIFS($A$7:$A$1734,A724)</x:f>
        <x:v>1</x:v>
      </x:c>
    </x:row>
    <x:row r="725">
      <x:c r="A725" s="9" t="str">
        <x:v>EV-AR-RT-B-C-TECH-2-B1-BRK-G0-OG11</x:v>
      </x:c>
      <x:c r="B725" s="9" t="str">
        <x:v>EV-AR-RT-B-C-TECH-2-B1-BRK-G0</x:v>
      </x:c>
      <x:c r="C725" s="9" t="str">
        <x:v>AR-RT-B-C-TECH-2-B1-BRK-G0</x:v>
      </x:c>
      <x:c r="D725" s="9" t="str">
        <x:v>RT-B-C-TECH-2</x:v>
      </x:c>
      <x:c r="E725" s="9" t="str">
        <x:v>RT-B-C</x:v>
      </x:c>
      <x:c r="F725" s="9" t="str">
        <x:v>B1</x:v>
      </x:c>
      <x:c r="G725" s="9" t="str">
        <x:v>BRK</x:v>
      </x:c>
      <x:c r="H725" s="9" t="str">
        <x:v>OG11</x:v>
      </x:c>
      <x:c r="I725" s="17" t="str">
        <x:v>Contradiction preservation</x:v>
      </x:c>
      <x:c r="J725" s="17" t="str">
        <x:v>primary-witness disagreement remains explicit and is never averaged away</x:v>
      </x:c>
      <x:c r="K725" s="17" t="str">
        <x:v>Dissent registrar</x:v>
      </x:c>
      <x:c r="L725" s="9" t="n">
        <x:v>0</x:v>
      </x:c>
      <x:c r="M725" s="9" t="n">
        <x:v>0</x:v>
      </x:c>
      <x:c r="N725" s="9" t="str">
        <x:v>OPEN / UNACCEPTED</x:v>
      </x:c>
      <x:c r="O725" s="9" t="n">
        <x:f>COUNTIFS($A$7:$A$1734,A725)</x:f>
        <x:v>1</x:v>
      </x:c>
    </x:row>
    <x:row r="726">
      <x:c r="A726" s="9" t="str">
        <x:v>EV-AR-RT-B-C-TECH-2-B1-BRK-G0-OG12</x:v>
      </x:c>
      <x:c r="B726" s="9" t="str">
        <x:v>EV-AR-RT-B-C-TECH-2-B1-BRK-G0</x:v>
      </x:c>
      <x:c r="C726" s="9" t="str">
        <x:v>AR-RT-B-C-TECH-2-B1-BRK-G0</x:v>
      </x:c>
      <x:c r="D726" s="9" t="str">
        <x:v>RT-B-C-TECH-2</x:v>
      </x:c>
      <x:c r="E726" s="9" t="str">
        <x:v>RT-B-C</x:v>
      </x:c>
      <x:c r="F726" s="9" t="str">
        <x:v>B1</x:v>
      </x:c>
      <x:c r="G726" s="9" t="str">
        <x:v>BRK</x:v>
      </x:c>
      <x:c r="H726" s="9" t="str">
        <x:v>OG12</x:v>
      </x:c>
      <x:c r="I726" s="17" t="str">
        <x:v>Independent replay</x:v>
      </x:c>
      <x:c r="J726" s="17" t="str">
        <x:v>a separated reader reconstructs the registered observables from sealed originals</x:v>
      </x:c>
      <x:c r="K726" s="17" t="str">
        <x:v>Replay court</x:v>
      </x:c>
      <x:c r="L726" s="9" t="n">
        <x:v>0</x:v>
      </x:c>
      <x:c r="M726" s="9" t="n">
        <x:v>0</x:v>
      </x:c>
      <x:c r="N726" s="9" t="str">
        <x:v>OPEN / UNACCEPTED</x:v>
      </x:c>
      <x:c r="O726" s="9" t="n">
        <x:f>COUNTIFS($A$7:$A$1734,A726)</x:f>
        <x:v>1</x:v>
      </x:c>
    </x:row>
    <x:row r="727">
      <x:c r="A727" s="9" t="str">
        <x:v>EV-AR-ET-A-A-TECH-2-B2-INT-G0-OG01</x:v>
      </x:c>
      <x:c r="B727" s="9" t="str">
        <x:v>EV-AR-ET-A-A-TECH-2-B2-INT-G0</x:v>
      </x:c>
      <x:c r="C727" s="9" t="str">
        <x:v>AR-ET-A-A-TECH-2-B2-INT-G0</x:v>
      </x:c>
      <x:c r="D727" s="9" t="str">
        <x:v>ET-A-A-TECH-2</x:v>
      </x:c>
      <x:c r="E727" s="9" t="str">
        <x:v>ET-A-A</x:v>
      </x:c>
      <x:c r="F727" s="9" t="str">
        <x:v>B2</x:v>
      </x:c>
      <x:c r="G727" s="9" t="str">
        <x:v>INT</x:v>
      </x:c>
      <x:c r="H727" s="9" t="str">
        <x:v>OG01</x:v>
      </x:c>
      <x:c r="I727" s="17" t="str">
        <x:v>Serial and event identity</x:v>
      </x:c>
      <x:c r="J727" s="17" t="str">
        <x:v>record resolves to the issued serial, generation and physical start</x:v>
      </x:c>
      <x:c r="K727" s="17" t="str">
        <x:v>Observation court</x:v>
      </x:c>
      <x:c r="L727" s="9" t="n">
        <x:v>0</x:v>
      </x:c>
      <x:c r="M727" s="9" t="n">
        <x:v>0</x:v>
      </x:c>
      <x:c r="N727" s="9" t="str">
        <x:v>OPEN / UNACCEPTED</x:v>
      </x:c>
      <x:c r="O727" s="9" t="n">
        <x:f>COUNTIFS($A$7:$A$1734,A727)</x:f>
        <x:v>1</x:v>
      </x:c>
    </x:row>
    <x:row r="728">
      <x:c r="A728" s="9" t="str">
        <x:v>EV-AR-ET-A-A-TECH-2-B2-INT-G0-OG02</x:v>
      </x:c>
      <x:c r="B728" s="9" t="str">
        <x:v>EV-AR-ET-A-A-TECH-2-B2-INT-G0</x:v>
      </x:c>
      <x:c r="C728" s="9" t="str">
        <x:v>AR-ET-A-A-TECH-2-B2-INT-G0</x:v>
      </x:c>
      <x:c r="D728" s="9" t="str">
        <x:v>ET-A-A-TECH-2</x:v>
      </x:c>
      <x:c r="E728" s="9" t="str">
        <x:v>ET-A-A</x:v>
      </x:c>
      <x:c r="F728" s="9" t="str">
        <x:v>B2</x:v>
      </x:c>
      <x:c r="G728" s="9" t="str">
        <x:v>INT</x:v>
      </x:c>
      <x:c r="H728" s="9" t="str">
        <x:v>OG02</x:v>
      </x:c>
      <x:c r="I728" s="17" t="str">
        <x:v>Time ancestry</x:v>
      </x:c>
      <x:c r="J728" s="17" t="str">
        <x:v>primary, witness and public event clocks retain declared offsets and drift</x:v>
      </x:c>
      <x:c r="K728" s="17" t="str">
        <x:v>Time authority</x:v>
      </x:c>
      <x:c r="L728" s="9" t="n">
        <x:v>0</x:v>
      </x:c>
      <x:c r="M728" s="9" t="n">
        <x:v>0</x:v>
      </x:c>
      <x:c r="N728" s="9" t="str">
        <x:v>OPEN / UNACCEPTED</x:v>
      </x:c>
      <x:c r="O728" s="9" t="n">
        <x:f>COUNTIFS($A$7:$A$1734,A728)</x:f>
        <x:v>1</x:v>
      </x:c>
    </x:row>
    <x:row r="729">
      <x:c r="A729" s="9" t="str">
        <x:v>EV-AR-ET-A-A-TECH-2-B2-INT-G0-OG03</x:v>
      </x:c>
      <x:c r="B729" s="9" t="str">
        <x:v>EV-AR-ET-A-A-TECH-2-B2-INT-G0</x:v>
      </x:c>
      <x:c r="C729" s="9" t="str">
        <x:v>AR-ET-A-A-TECH-2-B2-INT-G0</x:v>
      </x:c>
      <x:c r="D729" s="9" t="str">
        <x:v>ET-A-A-TECH-2</x:v>
      </x:c>
      <x:c r="E729" s="9" t="str">
        <x:v>ET-A-A</x:v>
      </x:c>
      <x:c r="F729" s="9" t="str">
        <x:v>B2</x:v>
      </x:c>
      <x:c r="G729" s="9" t="str">
        <x:v>INT</x:v>
      </x:c>
      <x:c r="H729" s="9" t="str">
        <x:v>OG03</x:v>
      </x:c>
      <x:c r="I729" s="17" t="str">
        <x:v>Calibration ancestry</x:v>
      </x:c>
      <x:c r="J729" s="17" t="str">
        <x:v>all reference, range and uncertainty states cover the live interval</x:v>
      </x:c>
      <x:c r="K729" s="17" t="str">
        <x:v>Metrology courts</x:v>
      </x:c>
      <x:c r="L729" s="9" t="n">
        <x:v>0</x:v>
      </x:c>
      <x:c r="M729" s="9" t="n">
        <x:v>0</x:v>
      </x:c>
      <x:c r="N729" s="9" t="str">
        <x:v>OPEN / UNACCEPTED</x:v>
      </x:c>
      <x:c r="O729" s="9" t="n">
        <x:f>COUNTIFS($A$7:$A$1734,A729)</x:f>
        <x:v>1</x:v>
      </x:c>
    </x:row>
    <x:row r="730">
      <x:c r="A730" s="9" t="str">
        <x:v>EV-AR-ET-A-A-TECH-2-B2-INT-G0-OG04</x:v>
      </x:c>
      <x:c r="B730" s="9" t="str">
        <x:v>EV-AR-ET-A-A-TECH-2-B2-INT-G0</x:v>
      </x:c>
      <x:c r="C730" s="9" t="str">
        <x:v>AR-ET-A-A-TECH-2-B2-INT-G0</x:v>
      </x:c>
      <x:c r="D730" s="9" t="str">
        <x:v>ET-A-A-TECH-2</x:v>
      </x:c>
      <x:c r="E730" s="9" t="str">
        <x:v>ET-A-A</x:v>
      </x:c>
      <x:c r="F730" s="9" t="str">
        <x:v>B2</x:v>
      </x:c>
      <x:c r="G730" s="9" t="str">
        <x:v>INT</x:v>
      </x:c>
      <x:c r="H730" s="9" t="str">
        <x:v>OG04</x:v>
      </x:c>
      <x:c r="I730" s="17" t="str">
        <x:v>Raw completeness</x:v>
      </x:c>
      <x:c r="J730" s="17" t="str">
        <x:v>missingness is enumerated without imputation or outcome-conditioned deletion</x:v>
      </x:c>
      <x:c r="K730" s="17" t="str">
        <x:v>Observation court</x:v>
      </x:c>
      <x:c r="L730" s="9" t="n">
        <x:v>0</x:v>
      </x:c>
      <x:c r="M730" s="9" t="n">
        <x:v>0</x:v>
      </x:c>
      <x:c r="N730" s="9" t="str">
        <x:v>OPEN / UNACCEPTED</x:v>
      </x:c>
      <x:c r="O730" s="9" t="n">
        <x:f>COUNTIFS($A$7:$A$1734,A730)</x:f>
        <x:v>1</x:v>
      </x:c>
    </x:row>
    <x:row r="731">
      <x:c r="A731" s="9" t="str">
        <x:v>EV-AR-ET-A-A-TECH-2-B2-INT-G0-OG05</x:v>
      </x:c>
      <x:c r="B731" s="9" t="str">
        <x:v>EV-AR-ET-A-A-TECH-2-B2-INT-G0</x:v>
      </x:c>
      <x:c r="C731" s="9" t="str">
        <x:v>AR-ET-A-A-TECH-2-B2-INT-G0</x:v>
      </x:c>
      <x:c r="D731" s="9" t="str">
        <x:v>ET-A-A-TECH-2</x:v>
      </x:c>
      <x:c r="E731" s="9" t="str">
        <x:v>ET-A-A</x:v>
      </x:c>
      <x:c r="F731" s="9" t="str">
        <x:v>B2</x:v>
      </x:c>
      <x:c r="G731" s="9" t="str">
        <x:v>INT</x:v>
      </x:c>
      <x:c r="H731" s="9" t="str">
        <x:v>OG05</x:v>
      </x:c>
      <x:c r="I731" s="17" t="str">
        <x:v>Primary provenance</x:v>
      </x:c>
      <x:c r="J731" s="17" t="str">
        <x:v>primary originals, hashes, keys and access history reconcile</x:v>
      </x:c>
      <x:c r="K731" s="17" t="str">
        <x:v>Primary custody</x:v>
      </x:c>
      <x:c r="L731" s="9" t="n">
        <x:v>0</x:v>
      </x:c>
      <x:c r="M731" s="9" t="n">
        <x:v>0</x:v>
      </x:c>
      <x:c r="N731" s="9" t="str">
        <x:v>OPEN / UNACCEPTED</x:v>
      </x:c>
      <x:c r="O731" s="9" t="n">
        <x:f>COUNTIFS($A$7:$A$1734,A731)</x:f>
        <x:v>1</x:v>
      </x:c>
    </x:row>
    <x:row r="732">
      <x:c r="A732" s="9" t="str">
        <x:v>EV-AR-ET-A-A-TECH-2-B2-INT-G0-OG06</x:v>
      </x:c>
      <x:c r="B732" s="9" t="str">
        <x:v>EV-AR-ET-A-A-TECH-2-B2-INT-G0</x:v>
      </x:c>
      <x:c r="C732" s="9" t="str">
        <x:v>AR-ET-A-A-TECH-2-B2-INT-G0</x:v>
      </x:c>
      <x:c r="D732" s="9" t="str">
        <x:v>ET-A-A-TECH-2</x:v>
      </x:c>
      <x:c r="E732" s="9" t="str">
        <x:v>ET-A-A</x:v>
      </x:c>
      <x:c r="F732" s="9" t="str">
        <x:v>B2</x:v>
      </x:c>
      <x:c r="G732" s="9" t="str">
        <x:v>INT</x:v>
      </x:c>
      <x:c r="H732" s="9" t="str">
        <x:v>OG06</x:v>
      </x:c>
      <x:c r="I732" s="17" t="str">
        <x:v>Witness provenance</x:v>
      </x:c>
      <x:c r="J732" s="17" t="str">
        <x:v>unlike witness originals, hashes, keys and access history reconcile</x:v>
      </x:c>
      <x:c r="K732" s="17" t="str">
        <x:v>Witness custody</x:v>
      </x:c>
      <x:c r="L732" s="9" t="n">
        <x:v>0</x:v>
      </x:c>
      <x:c r="M732" s="9" t="n">
        <x:v>0</x:v>
      </x:c>
      <x:c r="N732" s="9" t="str">
        <x:v>OPEN / UNACCEPTED</x:v>
      </x:c>
      <x:c r="O732" s="9" t="n">
        <x:f>COUNTIFS($A$7:$A$1734,A732)</x:f>
        <x:v>1</x:v>
      </x:c>
    </x:row>
    <x:row r="733">
      <x:c r="A733" s="9" t="str">
        <x:v>EV-AR-ET-A-A-TECH-2-B2-INT-G0-OG07</x:v>
      </x:c>
      <x:c r="B733" s="9" t="str">
        <x:v>EV-AR-ET-A-A-TECH-2-B2-INT-G0</x:v>
      </x:c>
      <x:c r="C733" s="9" t="str">
        <x:v>AR-ET-A-A-TECH-2-B2-INT-G0</x:v>
      </x:c>
      <x:c r="D733" s="9" t="str">
        <x:v>ET-A-A-TECH-2</x:v>
      </x:c>
      <x:c r="E733" s="9" t="str">
        <x:v>ET-A-A</x:v>
      </x:c>
      <x:c r="F733" s="9" t="str">
        <x:v>B2</x:v>
      </x:c>
      <x:c r="G733" s="9" t="str">
        <x:v>INT</x:v>
      </x:c>
      <x:c r="H733" s="9" t="str">
        <x:v>OG07</x:v>
      </x:c>
      <x:c r="I733" s="17" t="str">
        <x:v>Receiver denominator</x:v>
      </x:c>
      <x:c r="J733" s="17" t="str">
        <x:v>population, quantity, duration and exclusions match the frozen receipt</x:v>
      </x:c>
      <x:c r="K733" s="17" t="str">
        <x:v>Receiver court</x:v>
      </x:c>
      <x:c r="L733" s="9" t="n">
        <x:v>0</x:v>
      </x:c>
      <x:c r="M733" s="9" t="n">
        <x:v>0</x:v>
      </x:c>
      <x:c r="N733" s="9" t="str">
        <x:v>OPEN / UNACCEPTED</x:v>
      </x:c>
      <x:c r="O733" s="9" t="n">
        <x:f>COUNTIFS($A$7:$A$1734,A733)</x:f>
        <x:v>1</x:v>
      </x:c>
    </x:row>
    <x:row r="734">
      <x:c r="A734" s="9" t="str">
        <x:v>EV-AR-ET-A-A-TECH-2-B2-INT-G0-OG08</x:v>
      </x:c>
      <x:c r="B734" s="9" t="str">
        <x:v>EV-AR-ET-A-A-TECH-2-B2-INT-G0</x:v>
      </x:c>
      <x:c r="C734" s="9" t="str">
        <x:v>AR-ET-A-A-TECH-2-B2-INT-G0</x:v>
      </x:c>
      <x:c r="D734" s="9" t="str">
        <x:v>ET-A-A-TECH-2</x:v>
      </x:c>
      <x:c r="E734" s="9" t="str">
        <x:v>ET-A-A</x:v>
      </x:c>
      <x:c r="F734" s="9" t="str">
        <x:v>B2</x:v>
      </x:c>
      <x:c r="G734" s="9" t="str">
        <x:v>INT</x:v>
      </x:c>
      <x:c r="H734" s="9" t="str">
        <x:v>OG08</x:v>
      </x:c>
      <x:c r="I734" s="17" t="str">
        <x:v>Environment and boundary</x:v>
      </x:c>
      <x:c r="J734" s="17" t="str">
        <x:v>registered weather, water, ground, inlet and outlet states are retained</x:v>
      </x:c>
      <x:c r="K734" s="17" t="str">
        <x:v>Boundary court</x:v>
      </x:c>
      <x:c r="L734" s="9" t="n">
        <x:v>0</x:v>
      </x:c>
      <x:c r="M734" s="9" t="n">
        <x:v>0</x:v>
      </x:c>
      <x:c r="N734" s="9" t="str">
        <x:v>OPEN / UNACCEPTED</x:v>
      </x:c>
      <x:c r="O734" s="9" t="n">
        <x:f>COUNTIFS($A$7:$A$1734,A734)</x:f>
        <x:v>1</x:v>
      </x:c>
    </x:row>
    <x:row r="735">
      <x:c r="A735" s="9" t="str">
        <x:v>EV-AR-ET-A-A-TECH-2-B2-INT-G0-OG09</x:v>
      </x:c>
      <x:c r="B735" s="9" t="str">
        <x:v>EV-AR-ET-A-A-TECH-2-B2-INT-G0</x:v>
      </x:c>
      <x:c r="C735" s="9" t="str">
        <x:v>AR-ET-A-A-TECH-2-B2-INT-G0</x:v>
      </x:c>
      <x:c r="D735" s="9" t="str">
        <x:v>ET-A-A-TECH-2</x:v>
      </x:c>
      <x:c r="E735" s="9" t="str">
        <x:v>ET-A-A</x:v>
      </x:c>
      <x:c r="F735" s="9" t="str">
        <x:v>B2</x:v>
      </x:c>
      <x:c r="G735" s="9" t="str">
        <x:v>INT</x:v>
      </x:c>
      <x:c r="H735" s="9" t="str">
        <x:v>OG09</x:v>
      </x:c>
      <x:c r="I735" s="17" t="str">
        <x:v>Intervention account</x:v>
      </x:c>
      <x:c r="J735" s="17" t="str">
        <x:v>all stop, rescue, operator and public-protection actions remain timestamped</x:v>
      </x:c>
      <x:c r="K735" s="17" t="str">
        <x:v>Safety record court</x:v>
      </x:c>
      <x:c r="L735" s="9" t="n">
        <x:v>0</x:v>
      </x:c>
      <x:c r="M735" s="9" t="n">
        <x:v>0</x:v>
      </x:c>
      <x:c r="N735" s="9" t="str">
        <x:v>OPEN / UNACCEPTED</x:v>
      </x:c>
      <x:c r="O735" s="9" t="n">
        <x:f>COUNTIFS($A$7:$A$1734,A735)</x:f>
        <x:v>1</x:v>
      </x:c>
    </x:row>
    <x:row r="736">
      <x:c r="A736" s="9" t="str">
        <x:v>EV-AR-ET-A-A-TECH-2-B2-INT-G0-OG10</x:v>
      </x:c>
      <x:c r="B736" s="9" t="str">
        <x:v>EV-AR-ET-A-A-TECH-2-B2-INT-G0</x:v>
      </x:c>
      <x:c r="C736" s="9" t="str">
        <x:v>AR-ET-A-A-TECH-2-B2-INT-G0</x:v>
      </x:c>
      <x:c r="D736" s="9" t="str">
        <x:v>ET-A-A-TECH-2</x:v>
      </x:c>
      <x:c r="E736" s="9" t="str">
        <x:v>ET-A-A</x:v>
      </x:c>
      <x:c r="F736" s="9" t="str">
        <x:v>B2</x:v>
      </x:c>
      <x:c r="G736" s="9" t="str">
        <x:v>INT</x:v>
      </x:c>
      <x:c r="H736" s="9" t="str">
        <x:v>OG10</x:v>
      </x:c>
      <x:c r="I736" s="17" t="str">
        <x:v>Uncertainty statement</x:v>
      </x:c>
      <x:c r="J736" s="17" t="str">
        <x:v>range, censoring, resolution and correlation are declared before judgment</x:v>
      </x:c>
      <x:c r="K736" s="17" t="str">
        <x:v>Uncertainty authority</x:v>
      </x:c>
      <x:c r="L736" s="9" t="n">
        <x:v>0</x:v>
      </x:c>
      <x:c r="M736" s="9" t="n">
        <x:v>0</x:v>
      </x:c>
      <x:c r="N736" s="9" t="str">
        <x:v>OPEN / UNACCEPTED</x:v>
      </x:c>
      <x:c r="O736" s="9" t="n">
        <x:f>COUNTIFS($A$7:$A$1734,A736)</x:f>
        <x:v>1</x:v>
      </x:c>
    </x:row>
    <x:row r="737">
      <x:c r="A737" s="9" t="str">
        <x:v>EV-AR-ET-A-A-TECH-2-B2-INT-G0-OG11</x:v>
      </x:c>
      <x:c r="B737" s="9" t="str">
        <x:v>EV-AR-ET-A-A-TECH-2-B2-INT-G0</x:v>
      </x:c>
      <x:c r="C737" s="9" t="str">
        <x:v>AR-ET-A-A-TECH-2-B2-INT-G0</x:v>
      </x:c>
      <x:c r="D737" s="9" t="str">
        <x:v>ET-A-A-TECH-2</x:v>
      </x:c>
      <x:c r="E737" s="9" t="str">
        <x:v>ET-A-A</x:v>
      </x:c>
      <x:c r="F737" s="9" t="str">
        <x:v>B2</x:v>
      </x:c>
      <x:c r="G737" s="9" t="str">
        <x:v>INT</x:v>
      </x:c>
      <x:c r="H737" s="9" t="str">
        <x:v>OG11</x:v>
      </x:c>
      <x:c r="I737" s="17" t="str">
        <x:v>Contradiction preservation</x:v>
      </x:c>
      <x:c r="J737" s="17" t="str">
        <x:v>primary-witness disagreement remains explicit and is never averaged away</x:v>
      </x:c>
      <x:c r="K737" s="17" t="str">
        <x:v>Dissent registrar</x:v>
      </x:c>
      <x:c r="L737" s="9" t="n">
        <x:v>0</x:v>
      </x:c>
      <x:c r="M737" s="9" t="n">
        <x:v>0</x:v>
      </x:c>
      <x:c r="N737" s="9" t="str">
        <x:v>OPEN / UNACCEPTED</x:v>
      </x:c>
      <x:c r="O737" s="9" t="n">
        <x:f>COUNTIFS($A$7:$A$1734,A737)</x:f>
        <x:v>1</x:v>
      </x:c>
    </x:row>
    <x:row r="738">
      <x:c r="A738" s="9" t="str">
        <x:v>EV-AR-ET-A-A-TECH-2-B2-INT-G0-OG12</x:v>
      </x:c>
      <x:c r="B738" s="9" t="str">
        <x:v>EV-AR-ET-A-A-TECH-2-B2-INT-G0</x:v>
      </x:c>
      <x:c r="C738" s="9" t="str">
        <x:v>AR-ET-A-A-TECH-2-B2-INT-G0</x:v>
      </x:c>
      <x:c r="D738" s="9" t="str">
        <x:v>ET-A-A-TECH-2</x:v>
      </x:c>
      <x:c r="E738" s="9" t="str">
        <x:v>ET-A-A</x:v>
      </x:c>
      <x:c r="F738" s="9" t="str">
        <x:v>B2</x:v>
      </x:c>
      <x:c r="G738" s="9" t="str">
        <x:v>INT</x:v>
      </x:c>
      <x:c r="H738" s="9" t="str">
        <x:v>OG12</x:v>
      </x:c>
      <x:c r="I738" s="17" t="str">
        <x:v>Independent replay</x:v>
      </x:c>
      <x:c r="J738" s="17" t="str">
        <x:v>a separated reader reconstructs the registered observables from sealed originals</x:v>
      </x:c>
      <x:c r="K738" s="17" t="str">
        <x:v>Replay court</x:v>
      </x:c>
      <x:c r="L738" s="9" t="n">
        <x:v>0</x:v>
      </x:c>
      <x:c r="M738" s="9" t="n">
        <x:v>0</x:v>
      </x:c>
      <x:c r="N738" s="9" t="str">
        <x:v>OPEN / UNACCEPTED</x:v>
      </x:c>
      <x:c r="O738" s="9" t="n">
        <x:f>COUNTIFS($A$7:$A$1734,A738)</x:f>
        <x:v>1</x:v>
      </x:c>
    </x:row>
    <x:row r="739">
      <x:c r="A739" s="9" t="str">
        <x:v>EV-AR-ET-A-A-TECH-3-B1-INT-G0-OG01</x:v>
      </x:c>
      <x:c r="B739" s="9" t="str">
        <x:v>EV-AR-ET-A-A-TECH-3-B1-INT-G0</x:v>
      </x:c>
      <x:c r="C739" s="9" t="str">
        <x:v>AR-ET-A-A-TECH-3-B1-INT-G0</x:v>
      </x:c>
      <x:c r="D739" s="9" t="str">
        <x:v>ET-A-A-TECH-3</x:v>
      </x:c>
      <x:c r="E739" s="9" t="str">
        <x:v>ET-A-A</x:v>
      </x:c>
      <x:c r="F739" s="9" t="str">
        <x:v>B1</x:v>
      </x:c>
      <x:c r="G739" s="9" t="str">
        <x:v>INT</x:v>
      </x:c>
      <x:c r="H739" s="9" t="str">
        <x:v>OG01</x:v>
      </x:c>
      <x:c r="I739" s="17" t="str">
        <x:v>Serial and event identity</x:v>
      </x:c>
      <x:c r="J739" s="17" t="str">
        <x:v>record resolves to the issued serial, generation and physical start</x:v>
      </x:c>
      <x:c r="K739" s="17" t="str">
        <x:v>Observation court</x:v>
      </x:c>
      <x:c r="L739" s="9" t="n">
        <x:v>0</x:v>
      </x:c>
      <x:c r="M739" s="9" t="n">
        <x:v>0</x:v>
      </x:c>
      <x:c r="N739" s="9" t="str">
        <x:v>OPEN / UNACCEPTED</x:v>
      </x:c>
      <x:c r="O739" s="9" t="n">
        <x:f>COUNTIFS($A$7:$A$1734,A739)</x:f>
        <x:v>1</x:v>
      </x:c>
    </x:row>
    <x:row r="740">
      <x:c r="A740" s="9" t="str">
        <x:v>EV-AR-ET-A-A-TECH-3-B1-INT-G0-OG02</x:v>
      </x:c>
      <x:c r="B740" s="9" t="str">
        <x:v>EV-AR-ET-A-A-TECH-3-B1-INT-G0</x:v>
      </x:c>
      <x:c r="C740" s="9" t="str">
        <x:v>AR-ET-A-A-TECH-3-B1-INT-G0</x:v>
      </x:c>
      <x:c r="D740" s="9" t="str">
        <x:v>ET-A-A-TECH-3</x:v>
      </x:c>
      <x:c r="E740" s="9" t="str">
        <x:v>ET-A-A</x:v>
      </x:c>
      <x:c r="F740" s="9" t="str">
        <x:v>B1</x:v>
      </x:c>
      <x:c r="G740" s="9" t="str">
        <x:v>INT</x:v>
      </x:c>
      <x:c r="H740" s="9" t="str">
        <x:v>OG02</x:v>
      </x:c>
      <x:c r="I740" s="17" t="str">
        <x:v>Time ancestry</x:v>
      </x:c>
      <x:c r="J740" s="17" t="str">
        <x:v>primary, witness and public event clocks retain declared offsets and drift</x:v>
      </x:c>
      <x:c r="K740" s="17" t="str">
        <x:v>Time authority</x:v>
      </x:c>
      <x:c r="L740" s="9" t="n">
        <x:v>0</x:v>
      </x:c>
      <x:c r="M740" s="9" t="n">
        <x:v>0</x:v>
      </x:c>
      <x:c r="N740" s="9" t="str">
        <x:v>OPEN / UNACCEPTED</x:v>
      </x:c>
      <x:c r="O740" s="9" t="n">
        <x:f>COUNTIFS($A$7:$A$1734,A740)</x:f>
        <x:v>1</x:v>
      </x:c>
    </x:row>
    <x:row r="741">
      <x:c r="A741" s="9" t="str">
        <x:v>EV-AR-ET-A-A-TECH-3-B1-INT-G0-OG03</x:v>
      </x:c>
      <x:c r="B741" s="9" t="str">
        <x:v>EV-AR-ET-A-A-TECH-3-B1-INT-G0</x:v>
      </x:c>
      <x:c r="C741" s="9" t="str">
        <x:v>AR-ET-A-A-TECH-3-B1-INT-G0</x:v>
      </x:c>
      <x:c r="D741" s="9" t="str">
        <x:v>ET-A-A-TECH-3</x:v>
      </x:c>
      <x:c r="E741" s="9" t="str">
        <x:v>ET-A-A</x:v>
      </x:c>
      <x:c r="F741" s="9" t="str">
        <x:v>B1</x:v>
      </x:c>
      <x:c r="G741" s="9" t="str">
        <x:v>INT</x:v>
      </x:c>
      <x:c r="H741" s="9" t="str">
        <x:v>OG03</x:v>
      </x:c>
      <x:c r="I741" s="17" t="str">
        <x:v>Calibration ancestry</x:v>
      </x:c>
      <x:c r="J741" s="17" t="str">
        <x:v>all reference, range and uncertainty states cover the live interval</x:v>
      </x:c>
      <x:c r="K741" s="17" t="str">
        <x:v>Metrology courts</x:v>
      </x:c>
      <x:c r="L741" s="9" t="n">
        <x:v>0</x:v>
      </x:c>
      <x:c r="M741" s="9" t="n">
        <x:v>0</x:v>
      </x:c>
      <x:c r="N741" s="9" t="str">
        <x:v>OPEN / UNACCEPTED</x:v>
      </x:c>
      <x:c r="O741" s="9" t="n">
        <x:f>COUNTIFS($A$7:$A$1734,A741)</x:f>
        <x:v>1</x:v>
      </x:c>
    </x:row>
    <x:row r="742">
      <x:c r="A742" s="9" t="str">
        <x:v>EV-AR-ET-A-A-TECH-3-B1-INT-G0-OG04</x:v>
      </x:c>
      <x:c r="B742" s="9" t="str">
        <x:v>EV-AR-ET-A-A-TECH-3-B1-INT-G0</x:v>
      </x:c>
      <x:c r="C742" s="9" t="str">
        <x:v>AR-ET-A-A-TECH-3-B1-INT-G0</x:v>
      </x:c>
      <x:c r="D742" s="9" t="str">
        <x:v>ET-A-A-TECH-3</x:v>
      </x:c>
      <x:c r="E742" s="9" t="str">
        <x:v>ET-A-A</x:v>
      </x:c>
      <x:c r="F742" s="9" t="str">
        <x:v>B1</x:v>
      </x:c>
      <x:c r="G742" s="9" t="str">
        <x:v>INT</x:v>
      </x:c>
      <x:c r="H742" s="9" t="str">
        <x:v>OG04</x:v>
      </x:c>
      <x:c r="I742" s="17" t="str">
        <x:v>Raw completeness</x:v>
      </x:c>
      <x:c r="J742" s="17" t="str">
        <x:v>missingness is enumerated without imputation or outcome-conditioned deletion</x:v>
      </x:c>
      <x:c r="K742" s="17" t="str">
        <x:v>Observation court</x:v>
      </x:c>
      <x:c r="L742" s="9" t="n">
        <x:v>0</x:v>
      </x:c>
      <x:c r="M742" s="9" t="n">
        <x:v>0</x:v>
      </x:c>
      <x:c r="N742" s="9" t="str">
        <x:v>OPEN / UNACCEPTED</x:v>
      </x:c>
      <x:c r="O742" s="9" t="n">
        <x:f>COUNTIFS($A$7:$A$1734,A742)</x:f>
        <x:v>1</x:v>
      </x:c>
    </x:row>
    <x:row r="743">
      <x:c r="A743" s="9" t="str">
        <x:v>EV-AR-ET-A-A-TECH-3-B1-INT-G0-OG05</x:v>
      </x:c>
      <x:c r="B743" s="9" t="str">
        <x:v>EV-AR-ET-A-A-TECH-3-B1-INT-G0</x:v>
      </x:c>
      <x:c r="C743" s="9" t="str">
        <x:v>AR-ET-A-A-TECH-3-B1-INT-G0</x:v>
      </x:c>
      <x:c r="D743" s="9" t="str">
        <x:v>ET-A-A-TECH-3</x:v>
      </x:c>
      <x:c r="E743" s="9" t="str">
        <x:v>ET-A-A</x:v>
      </x:c>
      <x:c r="F743" s="9" t="str">
        <x:v>B1</x:v>
      </x:c>
      <x:c r="G743" s="9" t="str">
        <x:v>INT</x:v>
      </x:c>
      <x:c r="H743" s="9" t="str">
        <x:v>OG05</x:v>
      </x:c>
      <x:c r="I743" s="17" t="str">
        <x:v>Primary provenance</x:v>
      </x:c>
      <x:c r="J743" s="17" t="str">
        <x:v>primary originals, hashes, keys and access history reconcile</x:v>
      </x:c>
      <x:c r="K743" s="17" t="str">
        <x:v>Primary custody</x:v>
      </x:c>
      <x:c r="L743" s="9" t="n">
        <x:v>0</x:v>
      </x:c>
      <x:c r="M743" s="9" t="n">
        <x:v>0</x:v>
      </x:c>
      <x:c r="N743" s="9" t="str">
        <x:v>OPEN / UNACCEPTED</x:v>
      </x:c>
      <x:c r="O743" s="9" t="n">
        <x:f>COUNTIFS($A$7:$A$1734,A743)</x:f>
        <x:v>1</x:v>
      </x:c>
    </x:row>
    <x:row r="744">
      <x:c r="A744" s="9" t="str">
        <x:v>EV-AR-ET-A-A-TECH-3-B1-INT-G0-OG06</x:v>
      </x:c>
      <x:c r="B744" s="9" t="str">
        <x:v>EV-AR-ET-A-A-TECH-3-B1-INT-G0</x:v>
      </x:c>
      <x:c r="C744" s="9" t="str">
        <x:v>AR-ET-A-A-TECH-3-B1-INT-G0</x:v>
      </x:c>
      <x:c r="D744" s="9" t="str">
        <x:v>ET-A-A-TECH-3</x:v>
      </x:c>
      <x:c r="E744" s="9" t="str">
        <x:v>ET-A-A</x:v>
      </x:c>
      <x:c r="F744" s="9" t="str">
        <x:v>B1</x:v>
      </x:c>
      <x:c r="G744" s="9" t="str">
        <x:v>INT</x:v>
      </x:c>
      <x:c r="H744" s="9" t="str">
        <x:v>OG06</x:v>
      </x:c>
      <x:c r="I744" s="17" t="str">
        <x:v>Witness provenance</x:v>
      </x:c>
      <x:c r="J744" s="17" t="str">
        <x:v>unlike witness originals, hashes, keys and access history reconcile</x:v>
      </x:c>
      <x:c r="K744" s="17" t="str">
        <x:v>Witness custody</x:v>
      </x:c>
      <x:c r="L744" s="9" t="n">
        <x:v>0</x:v>
      </x:c>
      <x:c r="M744" s="9" t="n">
        <x:v>0</x:v>
      </x:c>
      <x:c r="N744" s="9" t="str">
        <x:v>OPEN / UNACCEPTED</x:v>
      </x:c>
      <x:c r="O744" s="9" t="n">
        <x:f>COUNTIFS($A$7:$A$1734,A744)</x:f>
        <x:v>1</x:v>
      </x:c>
    </x:row>
    <x:row r="745">
      <x:c r="A745" s="9" t="str">
        <x:v>EV-AR-ET-A-A-TECH-3-B1-INT-G0-OG07</x:v>
      </x:c>
      <x:c r="B745" s="9" t="str">
        <x:v>EV-AR-ET-A-A-TECH-3-B1-INT-G0</x:v>
      </x:c>
      <x:c r="C745" s="9" t="str">
        <x:v>AR-ET-A-A-TECH-3-B1-INT-G0</x:v>
      </x:c>
      <x:c r="D745" s="9" t="str">
        <x:v>ET-A-A-TECH-3</x:v>
      </x:c>
      <x:c r="E745" s="9" t="str">
        <x:v>ET-A-A</x:v>
      </x:c>
      <x:c r="F745" s="9" t="str">
        <x:v>B1</x:v>
      </x:c>
      <x:c r="G745" s="9" t="str">
        <x:v>INT</x:v>
      </x:c>
      <x:c r="H745" s="9" t="str">
        <x:v>OG07</x:v>
      </x:c>
      <x:c r="I745" s="17" t="str">
        <x:v>Receiver denominator</x:v>
      </x:c>
      <x:c r="J745" s="17" t="str">
        <x:v>population, quantity, duration and exclusions match the frozen receipt</x:v>
      </x:c>
      <x:c r="K745" s="17" t="str">
        <x:v>Receiver court</x:v>
      </x:c>
      <x:c r="L745" s="9" t="n">
        <x:v>0</x:v>
      </x:c>
      <x:c r="M745" s="9" t="n">
        <x:v>0</x:v>
      </x:c>
      <x:c r="N745" s="9" t="str">
        <x:v>OPEN / UNACCEPTED</x:v>
      </x:c>
      <x:c r="O745" s="9" t="n">
        <x:f>COUNTIFS($A$7:$A$1734,A745)</x:f>
        <x:v>1</x:v>
      </x:c>
    </x:row>
    <x:row r="746">
      <x:c r="A746" s="9" t="str">
        <x:v>EV-AR-ET-A-A-TECH-3-B1-INT-G0-OG08</x:v>
      </x:c>
      <x:c r="B746" s="9" t="str">
        <x:v>EV-AR-ET-A-A-TECH-3-B1-INT-G0</x:v>
      </x:c>
      <x:c r="C746" s="9" t="str">
        <x:v>AR-ET-A-A-TECH-3-B1-INT-G0</x:v>
      </x:c>
      <x:c r="D746" s="9" t="str">
        <x:v>ET-A-A-TECH-3</x:v>
      </x:c>
      <x:c r="E746" s="9" t="str">
        <x:v>ET-A-A</x:v>
      </x:c>
      <x:c r="F746" s="9" t="str">
        <x:v>B1</x:v>
      </x:c>
      <x:c r="G746" s="9" t="str">
        <x:v>INT</x:v>
      </x:c>
      <x:c r="H746" s="9" t="str">
        <x:v>OG08</x:v>
      </x:c>
      <x:c r="I746" s="17" t="str">
        <x:v>Environment and boundary</x:v>
      </x:c>
      <x:c r="J746" s="17" t="str">
        <x:v>registered weather, water, ground, inlet and outlet states are retained</x:v>
      </x:c>
      <x:c r="K746" s="17" t="str">
        <x:v>Boundary court</x:v>
      </x:c>
      <x:c r="L746" s="9" t="n">
        <x:v>0</x:v>
      </x:c>
      <x:c r="M746" s="9" t="n">
        <x:v>0</x:v>
      </x:c>
      <x:c r="N746" s="9" t="str">
        <x:v>OPEN / UNACCEPTED</x:v>
      </x:c>
      <x:c r="O746" s="9" t="n">
        <x:f>COUNTIFS($A$7:$A$1734,A746)</x:f>
        <x:v>1</x:v>
      </x:c>
    </x:row>
    <x:row r="747">
      <x:c r="A747" s="9" t="str">
        <x:v>EV-AR-ET-A-A-TECH-3-B1-INT-G0-OG09</x:v>
      </x:c>
      <x:c r="B747" s="9" t="str">
        <x:v>EV-AR-ET-A-A-TECH-3-B1-INT-G0</x:v>
      </x:c>
      <x:c r="C747" s="9" t="str">
        <x:v>AR-ET-A-A-TECH-3-B1-INT-G0</x:v>
      </x:c>
      <x:c r="D747" s="9" t="str">
        <x:v>ET-A-A-TECH-3</x:v>
      </x:c>
      <x:c r="E747" s="9" t="str">
        <x:v>ET-A-A</x:v>
      </x:c>
      <x:c r="F747" s="9" t="str">
        <x:v>B1</x:v>
      </x:c>
      <x:c r="G747" s="9" t="str">
        <x:v>INT</x:v>
      </x:c>
      <x:c r="H747" s="9" t="str">
        <x:v>OG09</x:v>
      </x:c>
      <x:c r="I747" s="17" t="str">
        <x:v>Intervention account</x:v>
      </x:c>
      <x:c r="J747" s="17" t="str">
        <x:v>all stop, rescue, operator and public-protection actions remain timestamped</x:v>
      </x:c>
      <x:c r="K747" s="17" t="str">
        <x:v>Safety record court</x:v>
      </x:c>
      <x:c r="L747" s="9" t="n">
        <x:v>0</x:v>
      </x:c>
      <x:c r="M747" s="9" t="n">
        <x:v>0</x:v>
      </x:c>
      <x:c r="N747" s="9" t="str">
        <x:v>OPEN / UNACCEPTED</x:v>
      </x:c>
      <x:c r="O747" s="9" t="n">
        <x:f>COUNTIFS($A$7:$A$1734,A747)</x:f>
        <x:v>1</x:v>
      </x:c>
    </x:row>
    <x:row r="748">
      <x:c r="A748" s="9" t="str">
        <x:v>EV-AR-ET-A-A-TECH-3-B1-INT-G0-OG10</x:v>
      </x:c>
      <x:c r="B748" s="9" t="str">
        <x:v>EV-AR-ET-A-A-TECH-3-B1-INT-G0</x:v>
      </x:c>
      <x:c r="C748" s="9" t="str">
        <x:v>AR-ET-A-A-TECH-3-B1-INT-G0</x:v>
      </x:c>
      <x:c r="D748" s="9" t="str">
        <x:v>ET-A-A-TECH-3</x:v>
      </x:c>
      <x:c r="E748" s="9" t="str">
        <x:v>ET-A-A</x:v>
      </x:c>
      <x:c r="F748" s="9" t="str">
        <x:v>B1</x:v>
      </x:c>
      <x:c r="G748" s="9" t="str">
        <x:v>INT</x:v>
      </x:c>
      <x:c r="H748" s="9" t="str">
        <x:v>OG10</x:v>
      </x:c>
      <x:c r="I748" s="17" t="str">
        <x:v>Uncertainty statement</x:v>
      </x:c>
      <x:c r="J748" s="17" t="str">
        <x:v>range, censoring, resolution and correlation are declared before judgment</x:v>
      </x:c>
      <x:c r="K748" s="17" t="str">
        <x:v>Uncertainty authority</x:v>
      </x:c>
      <x:c r="L748" s="9" t="n">
        <x:v>0</x:v>
      </x:c>
      <x:c r="M748" s="9" t="n">
        <x:v>0</x:v>
      </x:c>
      <x:c r="N748" s="9" t="str">
        <x:v>OPEN / UNACCEPTED</x:v>
      </x:c>
      <x:c r="O748" s="9" t="n">
        <x:f>COUNTIFS($A$7:$A$1734,A748)</x:f>
        <x:v>1</x:v>
      </x:c>
    </x:row>
    <x:row r="749">
      <x:c r="A749" s="9" t="str">
        <x:v>EV-AR-ET-A-A-TECH-3-B1-INT-G0-OG11</x:v>
      </x:c>
      <x:c r="B749" s="9" t="str">
        <x:v>EV-AR-ET-A-A-TECH-3-B1-INT-G0</x:v>
      </x:c>
      <x:c r="C749" s="9" t="str">
        <x:v>AR-ET-A-A-TECH-3-B1-INT-G0</x:v>
      </x:c>
      <x:c r="D749" s="9" t="str">
        <x:v>ET-A-A-TECH-3</x:v>
      </x:c>
      <x:c r="E749" s="9" t="str">
        <x:v>ET-A-A</x:v>
      </x:c>
      <x:c r="F749" s="9" t="str">
        <x:v>B1</x:v>
      </x:c>
      <x:c r="G749" s="9" t="str">
        <x:v>INT</x:v>
      </x:c>
      <x:c r="H749" s="9" t="str">
        <x:v>OG11</x:v>
      </x:c>
      <x:c r="I749" s="17" t="str">
        <x:v>Contradiction preservation</x:v>
      </x:c>
      <x:c r="J749" s="17" t="str">
        <x:v>primary-witness disagreement remains explicit and is never averaged away</x:v>
      </x:c>
      <x:c r="K749" s="17" t="str">
        <x:v>Dissent registrar</x:v>
      </x:c>
      <x:c r="L749" s="9" t="n">
        <x:v>0</x:v>
      </x:c>
      <x:c r="M749" s="9" t="n">
        <x:v>0</x:v>
      </x:c>
      <x:c r="N749" s="9" t="str">
        <x:v>OPEN / UNACCEPTED</x:v>
      </x:c>
      <x:c r="O749" s="9" t="n">
        <x:f>COUNTIFS($A$7:$A$1734,A749)</x:f>
        <x:v>1</x:v>
      </x:c>
    </x:row>
    <x:row r="750">
      <x:c r="A750" s="9" t="str">
        <x:v>EV-AR-ET-A-A-TECH-3-B1-INT-G0-OG12</x:v>
      </x:c>
      <x:c r="B750" s="9" t="str">
        <x:v>EV-AR-ET-A-A-TECH-3-B1-INT-G0</x:v>
      </x:c>
      <x:c r="C750" s="9" t="str">
        <x:v>AR-ET-A-A-TECH-3-B1-INT-G0</x:v>
      </x:c>
      <x:c r="D750" s="9" t="str">
        <x:v>ET-A-A-TECH-3</x:v>
      </x:c>
      <x:c r="E750" s="9" t="str">
        <x:v>ET-A-A</x:v>
      </x:c>
      <x:c r="F750" s="9" t="str">
        <x:v>B1</x:v>
      </x:c>
      <x:c r="G750" s="9" t="str">
        <x:v>INT</x:v>
      </x:c>
      <x:c r="H750" s="9" t="str">
        <x:v>OG12</x:v>
      </x:c>
      <x:c r="I750" s="17" t="str">
        <x:v>Independent replay</x:v>
      </x:c>
      <x:c r="J750" s="17" t="str">
        <x:v>a separated reader reconstructs the registered observables from sealed originals</x:v>
      </x:c>
      <x:c r="K750" s="17" t="str">
        <x:v>Replay court</x:v>
      </x:c>
      <x:c r="L750" s="9" t="n">
        <x:v>0</x:v>
      </x:c>
      <x:c r="M750" s="9" t="n">
        <x:v>0</x:v>
      </x:c>
      <x:c r="N750" s="9" t="str">
        <x:v>OPEN / UNACCEPTED</x:v>
      </x:c>
      <x:c r="O750" s="9" t="n">
        <x:f>COUNTIFS($A$7:$A$1734,A750)</x:f>
        <x:v>1</x:v>
      </x:c>
    </x:row>
    <x:row r="751">
      <x:c r="A751" s="9" t="str">
        <x:v>EV-AR-HU-A-B-TECH-4-B2-INT-G0-OG01</x:v>
      </x:c>
      <x:c r="B751" s="9" t="str">
        <x:v>EV-AR-HU-A-B-TECH-4-B2-INT-G0</x:v>
      </x:c>
      <x:c r="C751" s="9" t="str">
        <x:v>AR-HU-A-B-TECH-4-B2-INT-G0</x:v>
      </x:c>
      <x:c r="D751" s="9" t="str">
        <x:v>HU-A-B-TECH-4</x:v>
      </x:c>
      <x:c r="E751" s="9" t="str">
        <x:v>HU-A-B</x:v>
      </x:c>
      <x:c r="F751" s="9" t="str">
        <x:v>B2</x:v>
      </x:c>
      <x:c r="G751" s="9" t="str">
        <x:v>INT</x:v>
      </x:c>
      <x:c r="H751" s="9" t="str">
        <x:v>OG01</x:v>
      </x:c>
      <x:c r="I751" s="17" t="str">
        <x:v>Serial and event identity</x:v>
      </x:c>
      <x:c r="J751" s="17" t="str">
        <x:v>record resolves to the issued serial, generation and physical start</x:v>
      </x:c>
      <x:c r="K751" s="17" t="str">
        <x:v>Observation court</x:v>
      </x:c>
      <x:c r="L751" s="9" t="n">
        <x:v>0</x:v>
      </x:c>
      <x:c r="M751" s="9" t="n">
        <x:v>0</x:v>
      </x:c>
      <x:c r="N751" s="9" t="str">
        <x:v>OPEN / UNACCEPTED</x:v>
      </x:c>
      <x:c r="O751" s="9" t="n">
        <x:f>COUNTIFS($A$7:$A$1734,A751)</x:f>
        <x:v>1</x:v>
      </x:c>
    </x:row>
    <x:row r="752">
      <x:c r="A752" s="9" t="str">
        <x:v>EV-AR-HU-A-B-TECH-4-B2-INT-G0-OG02</x:v>
      </x:c>
      <x:c r="B752" s="9" t="str">
        <x:v>EV-AR-HU-A-B-TECH-4-B2-INT-G0</x:v>
      </x:c>
      <x:c r="C752" s="9" t="str">
        <x:v>AR-HU-A-B-TECH-4-B2-INT-G0</x:v>
      </x:c>
      <x:c r="D752" s="9" t="str">
        <x:v>HU-A-B-TECH-4</x:v>
      </x:c>
      <x:c r="E752" s="9" t="str">
        <x:v>HU-A-B</x:v>
      </x:c>
      <x:c r="F752" s="9" t="str">
        <x:v>B2</x:v>
      </x:c>
      <x:c r="G752" s="9" t="str">
        <x:v>INT</x:v>
      </x:c>
      <x:c r="H752" s="9" t="str">
        <x:v>OG02</x:v>
      </x:c>
      <x:c r="I752" s="17" t="str">
        <x:v>Time ancestry</x:v>
      </x:c>
      <x:c r="J752" s="17" t="str">
        <x:v>primary, witness and public event clocks retain declared offsets and drift</x:v>
      </x:c>
      <x:c r="K752" s="17" t="str">
        <x:v>Time authority</x:v>
      </x:c>
      <x:c r="L752" s="9" t="n">
        <x:v>0</x:v>
      </x:c>
      <x:c r="M752" s="9" t="n">
        <x:v>0</x:v>
      </x:c>
      <x:c r="N752" s="9" t="str">
        <x:v>OPEN / UNACCEPTED</x:v>
      </x:c>
      <x:c r="O752" s="9" t="n">
        <x:f>COUNTIFS($A$7:$A$1734,A752)</x:f>
        <x:v>1</x:v>
      </x:c>
    </x:row>
    <x:row r="753">
      <x:c r="A753" s="9" t="str">
        <x:v>EV-AR-HU-A-B-TECH-4-B2-INT-G0-OG03</x:v>
      </x:c>
      <x:c r="B753" s="9" t="str">
        <x:v>EV-AR-HU-A-B-TECH-4-B2-INT-G0</x:v>
      </x:c>
      <x:c r="C753" s="9" t="str">
        <x:v>AR-HU-A-B-TECH-4-B2-INT-G0</x:v>
      </x:c>
      <x:c r="D753" s="9" t="str">
        <x:v>HU-A-B-TECH-4</x:v>
      </x:c>
      <x:c r="E753" s="9" t="str">
        <x:v>HU-A-B</x:v>
      </x:c>
      <x:c r="F753" s="9" t="str">
        <x:v>B2</x:v>
      </x:c>
      <x:c r="G753" s="9" t="str">
        <x:v>INT</x:v>
      </x:c>
      <x:c r="H753" s="9" t="str">
        <x:v>OG03</x:v>
      </x:c>
      <x:c r="I753" s="17" t="str">
        <x:v>Calibration ancestry</x:v>
      </x:c>
      <x:c r="J753" s="17" t="str">
        <x:v>all reference, range and uncertainty states cover the live interval</x:v>
      </x:c>
      <x:c r="K753" s="17" t="str">
        <x:v>Metrology courts</x:v>
      </x:c>
      <x:c r="L753" s="9" t="n">
        <x:v>0</x:v>
      </x:c>
      <x:c r="M753" s="9" t="n">
        <x:v>0</x:v>
      </x:c>
      <x:c r="N753" s="9" t="str">
        <x:v>OPEN / UNACCEPTED</x:v>
      </x:c>
      <x:c r="O753" s="9" t="n">
        <x:f>COUNTIFS($A$7:$A$1734,A753)</x:f>
        <x:v>1</x:v>
      </x:c>
    </x:row>
    <x:row r="754">
      <x:c r="A754" s="9" t="str">
        <x:v>EV-AR-HU-A-B-TECH-4-B2-INT-G0-OG04</x:v>
      </x:c>
      <x:c r="B754" s="9" t="str">
        <x:v>EV-AR-HU-A-B-TECH-4-B2-INT-G0</x:v>
      </x:c>
      <x:c r="C754" s="9" t="str">
        <x:v>AR-HU-A-B-TECH-4-B2-INT-G0</x:v>
      </x:c>
      <x:c r="D754" s="9" t="str">
        <x:v>HU-A-B-TECH-4</x:v>
      </x:c>
      <x:c r="E754" s="9" t="str">
        <x:v>HU-A-B</x:v>
      </x:c>
      <x:c r="F754" s="9" t="str">
        <x:v>B2</x:v>
      </x:c>
      <x:c r="G754" s="9" t="str">
        <x:v>INT</x:v>
      </x:c>
      <x:c r="H754" s="9" t="str">
        <x:v>OG04</x:v>
      </x:c>
      <x:c r="I754" s="17" t="str">
        <x:v>Raw completeness</x:v>
      </x:c>
      <x:c r="J754" s="17" t="str">
        <x:v>missingness is enumerated without imputation or outcome-conditioned deletion</x:v>
      </x:c>
      <x:c r="K754" s="17" t="str">
        <x:v>Observation court</x:v>
      </x:c>
      <x:c r="L754" s="9" t="n">
        <x:v>0</x:v>
      </x:c>
      <x:c r="M754" s="9" t="n">
        <x:v>0</x:v>
      </x:c>
      <x:c r="N754" s="9" t="str">
        <x:v>OPEN / UNACCEPTED</x:v>
      </x:c>
      <x:c r="O754" s="9" t="n">
        <x:f>COUNTIFS($A$7:$A$1734,A754)</x:f>
        <x:v>1</x:v>
      </x:c>
    </x:row>
    <x:row r="755">
      <x:c r="A755" s="9" t="str">
        <x:v>EV-AR-HU-A-B-TECH-4-B2-INT-G0-OG05</x:v>
      </x:c>
      <x:c r="B755" s="9" t="str">
        <x:v>EV-AR-HU-A-B-TECH-4-B2-INT-G0</x:v>
      </x:c>
      <x:c r="C755" s="9" t="str">
        <x:v>AR-HU-A-B-TECH-4-B2-INT-G0</x:v>
      </x:c>
      <x:c r="D755" s="9" t="str">
        <x:v>HU-A-B-TECH-4</x:v>
      </x:c>
      <x:c r="E755" s="9" t="str">
        <x:v>HU-A-B</x:v>
      </x:c>
      <x:c r="F755" s="9" t="str">
        <x:v>B2</x:v>
      </x:c>
      <x:c r="G755" s="9" t="str">
        <x:v>INT</x:v>
      </x:c>
      <x:c r="H755" s="9" t="str">
        <x:v>OG05</x:v>
      </x:c>
      <x:c r="I755" s="17" t="str">
        <x:v>Primary provenance</x:v>
      </x:c>
      <x:c r="J755" s="17" t="str">
        <x:v>primary originals, hashes, keys and access history reconcile</x:v>
      </x:c>
      <x:c r="K755" s="17" t="str">
        <x:v>Primary custody</x:v>
      </x:c>
      <x:c r="L755" s="9" t="n">
        <x:v>0</x:v>
      </x:c>
      <x:c r="M755" s="9" t="n">
        <x:v>0</x:v>
      </x:c>
      <x:c r="N755" s="9" t="str">
        <x:v>OPEN / UNACCEPTED</x:v>
      </x:c>
      <x:c r="O755" s="9" t="n">
        <x:f>COUNTIFS($A$7:$A$1734,A755)</x:f>
        <x:v>1</x:v>
      </x:c>
    </x:row>
    <x:row r="756">
      <x:c r="A756" s="9" t="str">
        <x:v>EV-AR-HU-A-B-TECH-4-B2-INT-G0-OG06</x:v>
      </x:c>
      <x:c r="B756" s="9" t="str">
        <x:v>EV-AR-HU-A-B-TECH-4-B2-INT-G0</x:v>
      </x:c>
      <x:c r="C756" s="9" t="str">
        <x:v>AR-HU-A-B-TECH-4-B2-INT-G0</x:v>
      </x:c>
      <x:c r="D756" s="9" t="str">
        <x:v>HU-A-B-TECH-4</x:v>
      </x:c>
      <x:c r="E756" s="9" t="str">
        <x:v>HU-A-B</x:v>
      </x:c>
      <x:c r="F756" s="9" t="str">
        <x:v>B2</x:v>
      </x:c>
      <x:c r="G756" s="9" t="str">
        <x:v>INT</x:v>
      </x:c>
      <x:c r="H756" s="9" t="str">
        <x:v>OG06</x:v>
      </x:c>
      <x:c r="I756" s="17" t="str">
        <x:v>Witness provenance</x:v>
      </x:c>
      <x:c r="J756" s="17" t="str">
        <x:v>unlike witness originals, hashes, keys and access history reconcile</x:v>
      </x:c>
      <x:c r="K756" s="17" t="str">
        <x:v>Witness custody</x:v>
      </x:c>
      <x:c r="L756" s="9" t="n">
        <x:v>0</x:v>
      </x:c>
      <x:c r="M756" s="9" t="n">
        <x:v>0</x:v>
      </x:c>
      <x:c r="N756" s="9" t="str">
        <x:v>OPEN / UNACCEPTED</x:v>
      </x:c>
      <x:c r="O756" s="9" t="n">
        <x:f>COUNTIFS($A$7:$A$1734,A756)</x:f>
        <x:v>1</x:v>
      </x:c>
    </x:row>
    <x:row r="757">
      <x:c r="A757" s="9" t="str">
        <x:v>EV-AR-HU-A-B-TECH-4-B2-INT-G0-OG07</x:v>
      </x:c>
      <x:c r="B757" s="9" t="str">
        <x:v>EV-AR-HU-A-B-TECH-4-B2-INT-G0</x:v>
      </x:c>
      <x:c r="C757" s="9" t="str">
        <x:v>AR-HU-A-B-TECH-4-B2-INT-G0</x:v>
      </x:c>
      <x:c r="D757" s="9" t="str">
        <x:v>HU-A-B-TECH-4</x:v>
      </x:c>
      <x:c r="E757" s="9" t="str">
        <x:v>HU-A-B</x:v>
      </x:c>
      <x:c r="F757" s="9" t="str">
        <x:v>B2</x:v>
      </x:c>
      <x:c r="G757" s="9" t="str">
        <x:v>INT</x:v>
      </x:c>
      <x:c r="H757" s="9" t="str">
        <x:v>OG07</x:v>
      </x:c>
      <x:c r="I757" s="17" t="str">
        <x:v>Receiver denominator</x:v>
      </x:c>
      <x:c r="J757" s="17" t="str">
        <x:v>population, quantity, duration and exclusions match the frozen receipt</x:v>
      </x:c>
      <x:c r="K757" s="17" t="str">
        <x:v>Receiver court</x:v>
      </x:c>
      <x:c r="L757" s="9" t="n">
        <x:v>0</x:v>
      </x:c>
      <x:c r="M757" s="9" t="n">
        <x:v>0</x:v>
      </x:c>
      <x:c r="N757" s="9" t="str">
        <x:v>OPEN / UNACCEPTED</x:v>
      </x:c>
      <x:c r="O757" s="9" t="n">
        <x:f>COUNTIFS($A$7:$A$1734,A757)</x:f>
        <x:v>1</x:v>
      </x:c>
    </x:row>
    <x:row r="758">
      <x:c r="A758" s="9" t="str">
        <x:v>EV-AR-HU-A-B-TECH-4-B2-INT-G0-OG08</x:v>
      </x:c>
      <x:c r="B758" s="9" t="str">
        <x:v>EV-AR-HU-A-B-TECH-4-B2-INT-G0</x:v>
      </x:c>
      <x:c r="C758" s="9" t="str">
        <x:v>AR-HU-A-B-TECH-4-B2-INT-G0</x:v>
      </x:c>
      <x:c r="D758" s="9" t="str">
        <x:v>HU-A-B-TECH-4</x:v>
      </x:c>
      <x:c r="E758" s="9" t="str">
        <x:v>HU-A-B</x:v>
      </x:c>
      <x:c r="F758" s="9" t="str">
        <x:v>B2</x:v>
      </x:c>
      <x:c r="G758" s="9" t="str">
        <x:v>INT</x:v>
      </x:c>
      <x:c r="H758" s="9" t="str">
        <x:v>OG08</x:v>
      </x:c>
      <x:c r="I758" s="17" t="str">
        <x:v>Environment and boundary</x:v>
      </x:c>
      <x:c r="J758" s="17" t="str">
        <x:v>registered weather, water, ground, inlet and outlet states are retained</x:v>
      </x:c>
      <x:c r="K758" s="17" t="str">
        <x:v>Boundary court</x:v>
      </x:c>
      <x:c r="L758" s="9" t="n">
        <x:v>0</x:v>
      </x:c>
      <x:c r="M758" s="9" t="n">
        <x:v>0</x:v>
      </x:c>
      <x:c r="N758" s="9" t="str">
        <x:v>OPEN / UNACCEPTED</x:v>
      </x:c>
      <x:c r="O758" s="9" t="n">
        <x:f>COUNTIFS($A$7:$A$1734,A758)</x:f>
        <x:v>1</x:v>
      </x:c>
    </x:row>
    <x:row r="759">
      <x:c r="A759" s="9" t="str">
        <x:v>EV-AR-HU-A-B-TECH-4-B2-INT-G0-OG09</x:v>
      </x:c>
      <x:c r="B759" s="9" t="str">
        <x:v>EV-AR-HU-A-B-TECH-4-B2-INT-G0</x:v>
      </x:c>
      <x:c r="C759" s="9" t="str">
        <x:v>AR-HU-A-B-TECH-4-B2-INT-G0</x:v>
      </x:c>
      <x:c r="D759" s="9" t="str">
        <x:v>HU-A-B-TECH-4</x:v>
      </x:c>
      <x:c r="E759" s="9" t="str">
        <x:v>HU-A-B</x:v>
      </x:c>
      <x:c r="F759" s="9" t="str">
        <x:v>B2</x:v>
      </x:c>
      <x:c r="G759" s="9" t="str">
        <x:v>INT</x:v>
      </x:c>
      <x:c r="H759" s="9" t="str">
        <x:v>OG09</x:v>
      </x:c>
      <x:c r="I759" s="17" t="str">
        <x:v>Intervention account</x:v>
      </x:c>
      <x:c r="J759" s="17" t="str">
        <x:v>all stop, rescue, operator and public-protection actions remain timestamped</x:v>
      </x:c>
      <x:c r="K759" s="17" t="str">
        <x:v>Safety record court</x:v>
      </x:c>
      <x:c r="L759" s="9" t="n">
        <x:v>0</x:v>
      </x:c>
      <x:c r="M759" s="9" t="n">
        <x:v>0</x:v>
      </x:c>
      <x:c r="N759" s="9" t="str">
        <x:v>OPEN / UNACCEPTED</x:v>
      </x:c>
      <x:c r="O759" s="9" t="n">
        <x:f>COUNTIFS($A$7:$A$1734,A759)</x:f>
        <x:v>1</x:v>
      </x:c>
    </x:row>
    <x:row r="760">
      <x:c r="A760" s="9" t="str">
        <x:v>EV-AR-HU-A-B-TECH-4-B2-INT-G0-OG10</x:v>
      </x:c>
      <x:c r="B760" s="9" t="str">
        <x:v>EV-AR-HU-A-B-TECH-4-B2-INT-G0</x:v>
      </x:c>
      <x:c r="C760" s="9" t="str">
        <x:v>AR-HU-A-B-TECH-4-B2-INT-G0</x:v>
      </x:c>
      <x:c r="D760" s="9" t="str">
        <x:v>HU-A-B-TECH-4</x:v>
      </x:c>
      <x:c r="E760" s="9" t="str">
        <x:v>HU-A-B</x:v>
      </x:c>
      <x:c r="F760" s="9" t="str">
        <x:v>B2</x:v>
      </x:c>
      <x:c r="G760" s="9" t="str">
        <x:v>INT</x:v>
      </x:c>
      <x:c r="H760" s="9" t="str">
        <x:v>OG10</x:v>
      </x:c>
      <x:c r="I760" s="17" t="str">
        <x:v>Uncertainty statement</x:v>
      </x:c>
      <x:c r="J760" s="17" t="str">
        <x:v>range, censoring, resolution and correlation are declared before judgment</x:v>
      </x:c>
      <x:c r="K760" s="17" t="str">
        <x:v>Uncertainty authority</x:v>
      </x:c>
      <x:c r="L760" s="9" t="n">
        <x:v>0</x:v>
      </x:c>
      <x:c r="M760" s="9" t="n">
        <x:v>0</x:v>
      </x:c>
      <x:c r="N760" s="9" t="str">
        <x:v>OPEN / UNACCEPTED</x:v>
      </x:c>
      <x:c r="O760" s="9" t="n">
        <x:f>COUNTIFS($A$7:$A$1734,A760)</x:f>
        <x:v>1</x:v>
      </x:c>
    </x:row>
    <x:row r="761">
      <x:c r="A761" s="9" t="str">
        <x:v>EV-AR-HU-A-B-TECH-4-B2-INT-G0-OG11</x:v>
      </x:c>
      <x:c r="B761" s="9" t="str">
        <x:v>EV-AR-HU-A-B-TECH-4-B2-INT-G0</x:v>
      </x:c>
      <x:c r="C761" s="9" t="str">
        <x:v>AR-HU-A-B-TECH-4-B2-INT-G0</x:v>
      </x:c>
      <x:c r="D761" s="9" t="str">
        <x:v>HU-A-B-TECH-4</x:v>
      </x:c>
      <x:c r="E761" s="9" t="str">
        <x:v>HU-A-B</x:v>
      </x:c>
      <x:c r="F761" s="9" t="str">
        <x:v>B2</x:v>
      </x:c>
      <x:c r="G761" s="9" t="str">
        <x:v>INT</x:v>
      </x:c>
      <x:c r="H761" s="9" t="str">
        <x:v>OG11</x:v>
      </x:c>
      <x:c r="I761" s="17" t="str">
        <x:v>Contradiction preservation</x:v>
      </x:c>
      <x:c r="J761" s="17" t="str">
        <x:v>primary-witness disagreement remains explicit and is never averaged away</x:v>
      </x:c>
      <x:c r="K761" s="17" t="str">
        <x:v>Dissent registrar</x:v>
      </x:c>
      <x:c r="L761" s="9" t="n">
        <x:v>0</x:v>
      </x:c>
      <x:c r="M761" s="9" t="n">
        <x:v>0</x:v>
      </x:c>
      <x:c r="N761" s="9" t="str">
        <x:v>OPEN / UNACCEPTED</x:v>
      </x:c>
      <x:c r="O761" s="9" t="n">
        <x:f>COUNTIFS($A$7:$A$1734,A761)</x:f>
        <x:v>1</x:v>
      </x:c>
    </x:row>
    <x:row r="762">
      <x:c r="A762" s="9" t="str">
        <x:v>EV-AR-HU-A-B-TECH-4-B2-INT-G0-OG12</x:v>
      </x:c>
      <x:c r="B762" s="9" t="str">
        <x:v>EV-AR-HU-A-B-TECH-4-B2-INT-G0</x:v>
      </x:c>
      <x:c r="C762" s="9" t="str">
        <x:v>AR-HU-A-B-TECH-4-B2-INT-G0</x:v>
      </x:c>
      <x:c r="D762" s="9" t="str">
        <x:v>HU-A-B-TECH-4</x:v>
      </x:c>
      <x:c r="E762" s="9" t="str">
        <x:v>HU-A-B</x:v>
      </x:c>
      <x:c r="F762" s="9" t="str">
        <x:v>B2</x:v>
      </x:c>
      <x:c r="G762" s="9" t="str">
        <x:v>INT</x:v>
      </x:c>
      <x:c r="H762" s="9" t="str">
        <x:v>OG12</x:v>
      </x:c>
      <x:c r="I762" s="17" t="str">
        <x:v>Independent replay</x:v>
      </x:c>
      <x:c r="J762" s="17" t="str">
        <x:v>a separated reader reconstructs the registered observables from sealed originals</x:v>
      </x:c>
      <x:c r="K762" s="17" t="str">
        <x:v>Replay court</x:v>
      </x:c>
      <x:c r="L762" s="9" t="n">
        <x:v>0</x:v>
      </x:c>
      <x:c r="M762" s="9" t="n">
        <x:v>0</x:v>
      </x:c>
      <x:c r="N762" s="9" t="str">
        <x:v>OPEN / UNACCEPTED</x:v>
      </x:c>
      <x:c r="O762" s="9" t="n">
        <x:f>COUNTIFS($A$7:$A$1734,A762)</x:f>
        <x:v>1</x:v>
      </x:c>
    </x:row>
    <x:row r="763">
      <x:c r="A763" s="9" t="str">
        <x:v>EV-AR-LF-B-A-TECH-4-B1-BRK-G0-OG01</x:v>
      </x:c>
      <x:c r="B763" s="9" t="str">
        <x:v>EV-AR-LF-B-A-TECH-4-B1-BRK-G0</x:v>
      </x:c>
      <x:c r="C763" s="9" t="str">
        <x:v>AR-LF-B-A-TECH-4-B1-BRK-G0</x:v>
      </x:c>
      <x:c r="D763" s="9" t="str">
        <x:v>LF-B-A-TECH-4</x:v>
      </x:c>
      <x:c r="E763" s="9" t="str">
        <x:v>LF-B-A</x:v>
      </x:c>
      <x:c r="F763" s="9" t="str">
        <x:v>B1</x:v>
      </x:c>
      <x:c r="G763" s="9" t="str">
        <x:v>BRK</x:v>
      </x:c>
      <x:c r="H763" s="9" t="str">
        <x:v>OG01</x:v>
      </x:c>
      <x:c r="I763" s="17" t="str">
        <x:v>Serial and event identity</x:v>
      </x:c>
      <x:c r="J763" s="17" t="str">
        <x:v>record resolves to the issued serial, generation and physical start</x:v>
      </x:c>
      <x:c r="K763" s="17" t="str">
        <x:v>Observation court</x:v>
      </x:c>
      <x:c r="L763" s="9" t="n">
        <x:v>0</x:v>
      </x:c>
      <x:c r="M763" s="9" t="n">
        <x:v>0</x:v>
      </x:c>
      <x:c r="N763" s="9" t="str">
        <x:v>OPEN / UNACCEPTED</x:v>
      </x:c>
      <x:c r="O763" s="9" t="n">
        <x:f>COUNTIFS($A$7:$A$1734,A763)</x:f>
        <x:v>1</x:v>
      </x:c>
    </x:row>
    <x:row r="764">
      <x:c r="A764" s="9" t="str">
        <x:v>EV-AR-LF-B-A-TECH-4-B1-BRK-G0-OG02</x:v>
      </x:c>
      <x:c r="B764" s="9" t="str">
        <x:v>EV-AR-LF-B-A-TECH-4-B1-BRK-G0</x:v>
      </x:c>
      <x:c r="C764" s="9" t="str">
        <x:v>AR-LF-B-A-TECH-4-B1-BRK-G0</x:v>
      </x:c>
      <x:c r="D764" s="9" t="str">
        <x:v>LF-B-A-TECH-4</x:v>
      </x:c>
      <x:c r="E764" s="9" t="str">
        <x:v>LF-B-A</x:v>
      </x:c>
      <x:c r="F764" s="9" t="str">
        <x:v>B1</x:v>
      </x:c>
      <x:c r="G764" s="9" t="str">
        <x:v>BRK</x:v>
      </x:c>
      <x:c r="H764" s="9" t="str">
        <x:v>OG02</x:v>
      </x:c>
      <x:c r="I764" s="17" t="str">
        <x:v>Time ancestry</x:v>
      </x:c>
      <x:c r="J764" s="17" t="str">
        <x:v>primary, witness and public event clocks retain declared offsets and drift</x:v>
      </x:c>
      <x:c r="K764" s="17" t="str">
        <x:v>Time authority</x:v>
      </x:c>
      <x:c r="L764" s="9" t="n">
        <x:v>0</x:v>
      </x:c>
      <x:c r="M764" s="9" t="n">
        <x:v>0</x:v>
      </x:c>
      <x:c r="N764" s="9" t="str">
        <x:v>OPEN / UNACCEPTED</x:v>
      </x:c>
      <x:c r="O764" s="9" t="n">
        <x:f>COUNTIFS($A$7:$A$1734,A764)</x:f>
        <x:v>1</x:v>
      </x:c>
    </x:row>
    <x:row r="765">
      <x:c r="A765" s="9" t="str">
        <x:v>EV-AR-LF-B-A-TECH-4-B1-BRK-G0-OG03</x:v>
      </x:c>
      <x:c r="B765" s="9" t="str">
        <x:v>EV-AR-LF-B-A-TECH-4-B1-BRK-G0</x:v>
      </x:c>
      <x:c r="C765" s="9" t="str">
        <x:v>AR-LF-B-A-TECH-4-B1-BRK-G0</x:v>
      </x:c>
      <x:c r="D765" s="9" t="str">
        <x:v>LF-B-A-TECH-4</x:v>
      </x:c>
      <x:c r="E765" s="9" t="str">
        <x:v>LF-B-A</x:v>
      </x:c>
      <x:c r="F765" s="9" t="str">
        <x:v>B1</x:v>
      </x:c>
      <x:c r="G765" s="9" t="str">
        <x:v>BRK</x:v>
      </x:c>
      <x:c r="H765" s="9" t="str">
        <x:v>OG03</x:v>
      </x:c>
      <x:c r="I765" s="17" t="str">
        <x:v>Calibration ancestry</x:v>
      </x:c>
      <x:c r="J765" s="17" t="str">
        <x:v>all reference, range and uncertainty states cover the live interval</x:v>
      </x:c>
      <x:c r="K765" s="17" t="str">
        <x:v>Metrology courts</x:v>
      </x:c>
      <x:c r="L765" s="9" t="n">
        <x:v>0</x:v>
      </x:c>
      <x:c r="M765" s="9" t="n">
        <x:v>0</x:v>
      </x:c>
      <x:c r="N765" s="9" t="str">
        <x:v>OPEN / UNACCEPTED</x:v>
      </x:c>
      <x:c r="O765" s="9" t="n">
        <x:f>COUNTIFS($A$7:$A$1734,A765)</x:f>
        <x:v>1</x:v>
      </x:c>
    </x:row>
    <x:row r="766">
      <x:c r="A766" s="9" t="str">
        <x:v>EV-AR-LF-B-A-TECH-4-B1-BRK-G0-OG04</x:v>
      </x:c>
      <x:c r="B766" s="9" t="str">
        <x:v>EV-AR-LF-B-A-TECH-4-B1-BRK-G0</x:v>
      </x:c>
      <x:c r="C766" s="9" t="str">
        <x:v>AR-LF-B-A-TECH-4-B1-BRK-G0</x:v>
      </x:c>
      <x:c r="D766" s="9" t="str">
        <x:v>LF-B-A-TECH-4</x:v>
      </x:c>
      <x:c r="E766" s="9" t="str">
        <x:v>LF-B-A</x:v>
      </x:c>
      <x:c r="F766" s="9" t="str">
        <x:v>B1</x:v>
      </x:c>
      <x:c r="G766" s="9" t="str">
        <x:v>BRK</x:v>
      </x:c>
      <x:c r="H766" s="9" t="str">
        <x:v>OG04</x:v>
      </x:c>
      <x:c r="I766" s="17" t="str">
        <x:v>Raw completeness</x:v>
      </x:c>
      <x:c r="J766" s="17" t="str">
        <x:v>missingness is enumerated without imputation or outcome-conditioned deletion</x:v>
      </x:c>
      <x:c r="K766" s="17" t="str">
        <x:v>Observation court</x:v>
      </x:c>
      <x:c r="L766" s="9" t="n">
        <x:v>0</x:v>
      </x:c>
      <x:c r="M766" s="9" t="n">
        <x:v>0</x:v>
      </x:c>
      <x:c r="N766" s="9" t="str">
        <x:v>OPEN / UNACCEPTED</x:v>
      </x:c>
      <x:c r="O766" s="9" t="n">
        <x:f>COUNTIFS($A$7:$A$1734,A766)</x:f>
        <x:v>1</x:v>
      </x:c>
    </x:row>
    <x:row r="767">
      <x:c r="A767" s="9" t="str">
        <x:v>EV-AR-LF-B-A-TECH-4-B1-BRK-G0-OG05</x:v>
      </x:c>
      <x:c r="B767" s="9" t="str">
        <x:v>EV-AR-LF-B-A-TECH-4-B1-BRK-G0</x:v>
      </x:c>
      <x:c r="C767" s="9" t="str">
        <x:v>AR-LF-B-A-TECH-4-B1-BRK-G0</x:v>
      </x:c>
      <x:c r="D767" s="9" t="str">
        <x:v>LF-B-A-TECH-4</x:v>
      </x:c>
      <x:c r="E767" s="9" t="str">
        <x:v>LF-B-A</x:v>
      </x:c>
      <x:c r="F767" s="9" t="str">
        <x:v>B1</x:v>
      </x:c>
      <x:c r="G767" s="9" t="str">
        <x:v>BRK</x:v>
      </x:c>
      <x:c r="H767" s="9" t="str">
        <x:v>OG05</x:v>
      </x:c>
      <x:c r="I767" s="17" t="str">
        <x:v>Primary provenance</x:v>
      </x:c>
      <x:c r="J767" s="17" t="str">
        <x:v>primary originals, hashes, keys and access history reconcile</x:v>
      </x:c>
      <x:c r="K767" s="17" t="str">
        <x:v>Primary custody</x:v>
      </x:c>
      <x:c r="L767" s="9" t="n">
        <x:v>0</x:v>
      </x:c>
      <x:c r="M767" s="9" t="n">
        <x:v>0</x:v>
      </x:c>
      <x:c r="N767" s="9" t="str">
        <x:v>OPEN / UNACCEPTED</x:v>
      </x:c>
      <x:c r="O767" s="9" t="n">
        <x:f>COUNTIFS($A$7:$A$1734,A767)</x:f>
        <x:v>1</x:v>
      </x:c>
    </x:row>
    <x:row r="768">
      <x:c r="A768" s="9" t="str">
        <x:v>EV-AR-LF-B-A-TECH-4-B1-BRK-G0-OG06</x:v>
      </x:c>
      <x:c r="B768" s="9" t="str">
        <x:v>EV-AR-LF-B-A-TECH-4-B1-BRK-G0</x:v>
      </x:c>
      <x:c r="C768" s="9" t="str">
        <x:v>AR-LF-B-A-TECH-4-B1-BRK-G0</x:v>
      </x:c>
      <x:c r="D768" s="9" t="str">
        <x:v>LF-B-A-TECH-4</x:v>
      </x:c>
      <x:c r="E768" s="9" t="str">
        <x:v>LF-B-A</x:v>
      </x:c>
      <x:c r="F768" s="9" t="str">
        <x:v>B1</x:v>
      </x:c>
      <x:c r="G768" s="9" t="str">
        <x:v>BRK</x:v>
      </x:c>
      <x:c r="H768" s="9" t="str">
        <x:v>OG06</x:v>
      </x:c>
      <x:c r="I768" s="17" t="str">
        <x:v>Witness provenance</x:v>
      </x:c>
      <x:c r="J768" s="17" t="str">
        <x:v>unlike witness originals, hashes, keys and access history reconcile</x:v>
      </x:c>
      <x:c r="K768" s="17" t="str">
        <x:v>Witness custody</x:v>
      </x:c>
      <x:c r="L768" s="9" t="n">
        <x:v>0</x:v>
      </x:c>
      <x:c r="M768" s="9" t="n">
        <x:v>0</x:v>
      </x:c>
      <x:c r="N768" s="9" t="str">
        <x:v>OPEN / UNACCEPTED</x:v>
      </x:c>
      <x:c r="O768" s="9" t="n">
        <x:f>COUNTIFS($A$7:$A$1734,A768)</x:f>
        <x:v>1</x:v>
      </x:c>
    </x:row>
    <x:row r="769">
      <x:c r="A769" s="9" t="str">
        <x:v>EV-AR-LF-B-A-TECH-4-B1-BRK-G0-OG07</x:v>
      </x:c>
      <x:c r="B769" s="9" t="str">
        <x:v>EV-AR-LF-B-A-TECH-4-B1-BRK-G0</x:v>
      </x:c>
      <x:c r="C769" s="9" t="str">
        <x:v>AR-LF-B-A-TECH-4-B1-BRK-G0</x:v>
      </x:c>
      <x:c r="D769" s="9" t="str">
        <x:v>LF-B-A-TECH-4</x:v>
      </x:c>
      <x:c r="E769" s="9" t="str">
        <x:v>LF-B-A</x:v>
      </x:c>
      <x:c r="F769" s="9" t="str">
        <x:v>B1</x:v>
      </x:c>
      <x:c r="G769" s="9" t="str">
        <x:v>BRK</x:v>
      </x:c>
      <x:c r="H769" s="9" t="str">
        <x:v>OG07</x:v>
      </x:c>
      <x:c r="I769" s="17" t="str">
        <x:v>Receiver denominator</x:v>
      </x:c>
      <x:c r="J769" s="17" t="str">
        <x:v>population, quantity, duration and exclusions match the frozen receipt</x:v>
      </x:c>
      <x:c r="K769" s="17" t="str">
        <x:v>Receiver court</x:v>
      </x:c>
      <x:c r="L769" s="9" t="n">
        <x:v>0</x:v>
      </x:c>
      <x:c r="M769" s="9" t="n">
        <x:v>0</x:v>
      </x:c>
      <x:c r="N769" s="9" t="str">
        <x:v>OPEN / UNACCEPTED</x:v>
      </x:c>
      <x:c r="O769" s="9" t="n">
        <x:f>COUNTIFS($A$7:$A$1734,A769)</x:f>
        <x:v>1</x:v>
      </x:c>
    </x:row>
    <x:row r="770">
      <x:c r="A770" s="9" t="str">
        <x:v>EV-AR-LF-B-A-TECH-4-B1-BRK-G0-OG08</x:v>
      </x:c>
      <x:c r="B770" s="9" t="str">
        <x:v>EV-AR-LF-B-A-TECH-4-B1-BRK-G0</x:v>
      </x:c>
      <x:c r="C770" s="9" t="str">
        <x:v>AR-LF-B-A-TECH-4-B1-BRK-G0</x:v>
      </x:c>
      <x:c r="D770" s="9" t="str">
        <x:v>LF-B-A-TECH-4</x:v>
      </x:c>
      <x:c r="E770" s="9" t="str">
        <x:v>LF-B-A</x:v>
      </x:c>
      <x:c r="F770" s="9" t="str">
        <x:v>B1</x:v>
      </x:c>
      <x:c r="G770" s="9" t="str">
        <x:v>BRK</x:v>
      </x:c>
      <x:c r="H770" s="9" t="str">
        <x:v>OG08</x:v>
      </x:c>
      <x:c r="I770" s="17" t="str">
        <x:v>Environment and boundary</x:v>
      </x:c>
      <x:c r="J770" s="17" t="str">
        <x:v>registered weather, water, ground, inlet and outlet states are retained</x:v>
      </x:c>
      <x:c r="K770" s="17" t="str">
        <x:v>Boundary court</x:v>
      </x:c>
      <x:c r="L770" s="9" t="n">
        <x:v>0</x:v>
      </x:c>
      <x:c r="M770" s="9" t="n">
        <x:v>0</x:v>
      </x:c>
      <x:c r="N770" s="9" t="str">
        <x:v>OPEN / UNACCEPTED</x:v>
      </x:c>
      <x:c r="O770" s="9" t="n">
        <x:f>COUNTIFS($A$7:$A$1734,A770)</x:f>
        <x:v>1</x:v>
      </x:c>
    </x:row>
    <x:row r="771">
      <x:c r="A771" s="9" t="str">
        <x:v>EV-AR-LF-B-A-TECH-4-B1-BRK-G0-OG09</x:v>
      </x:c>
      <x:c r="B771" s="9" t="str">
        <x:v>EV-AR-LF-B-A-TECH-4-B1-BRK-G0</x:v>
      </x:c>
      <x:c r="C771" s="9" t="str">
        <x:v>AR-LF-B-A-TECH-4-B1-BRK-G0</x:v>
      </x:c>
      <x:c r="D771" s="9" t="str">
        <x:v>LF-B-A-TECH-4</x:v>
      </x:c>
      <x:c r="E771" s="9" t="str">
        <x:v>LF-B-A</x:v>
      </x:c>
      <x:c r="F771" s="9" t="str">
        <x:v>B1</x:v>
      </x:c>
      <x:c r="G771" s="9" t="str">
        <x:v>BRK</x:v>
      </x:c>
      <x:c r="H771" s="9" t="str">
        <x:v>OG09</x:v>
      </x:c>
      <x:c r="I771" s="17" t="str">
        <x:v>Intervention account</x:v>
      </x:c>
      <x:c r="J771" s="17" t="str">
        <x:v>all stop, rescue, operator and public-protection actions remain timestamped</x:v>
      </x:c>
      <x:c r="K771" s="17" t="str">
        <x:v>Safety record court</x:v>
      </x:c>
      <x:c r="L771" s="9" t="n">
        <x:v>0</x:v>
      </x:c>
      <x:c r="M771" s="9" t="n">
        <x:v>0</x:v>
      </x:c>
      <x:c r="N771" s="9" t="str">
        <x:v>OPEN / UNACCEPTED</x:v>
      </x:c>
      <x:c r="O771" s="9" t="n">
        <x:f>COUNTIFS($A$7:$A$1734,A771)</x:f>
        <x:v>1</x:v>
      </x:c>
    </x:row>
    <x:row r="772">
      <x:c r="A772" s="9" t="str">
        <x:v>EV-AR-LF-B-A-TECH-4-B1-BRK-G0-OG10</x:v>
      </x:c>
      <x:c r="B772" s="9" t="str">
        <x:v>EV-AR-LF-B-A-TECH-4-B1-BRK-G0</x:v>
      </x:c>
      <x:c r="C772" s="9" t="str">
        <x:v>AR-LF-B-A-TECH-4-B1-BRK-G0</x:v>
      </x:c>
      <x:c r="D772" s="9" t="str">
        <x:v>LF-B-A-TECH-4</x:v>
      </x:c>
      <x:c r="E772" s="9" t="str">
        <x:v>LF-B-A</x:v>
      </x:c>
      <x:c r="F772" s="9" t="str">
        <x:v>B1</x:v>
      </x:c>
      <x:c r="G772" s="9" t="str">
        <x:v>BRK</x:v>
      </x:c>
      <x:c r="H772" s="9" t="str">
        <x:v>OG10</x:v>
      </x:c>
      <x:c r="I772" s="17" t="str">
        <x:v>Uncertainty statement</x:v>
      </x:c>
      <x:c r="J772" s="17" t="str">
        <x:v>range, censoring, resolution and correlation are declared before judgment</x:v>
      </x:c>
      <x:c r="K772" s="17" t="str">
        <x:v>Uncertainty authority</x:v>
      </x:c>
      <x:c r="L772" s="9" t="n">
        <x:v>0</x:v>
      </x:c>
      <x:c r="M772" s="9" t="n">
        <x:v>0</x:v>
      </x:c>
      <x:c r="N772" s="9" t="str">
        <x:v>OPEN / UNACCEPTED</x:v>
      </x:c>
      <x:c r="O772" s="9" t="n">
        <x:f>COUNTIFS($A$7:$A$1734,A772)</x:f>
        <x:v>1</x:v>
      </x:c>
    </x:row>
    <x:row r="773">
      <x:c r="A773" s="9" t="str">
        <x:v>EV-AR-LF-B-A-TECH-4-B1-BRK-G0-OG11</x:v>
      </x:c>
      <x:c r="B773" s="9" t="str">
        <x:v>EV-AR-LF-B-A-TECH-4-B1-BRK-G0</x:v>
      </x:c>
      <x:c r="C773" s="9" t="str">
        <x:v>AR-LF-B-A-TECH-4-B1-BRK-G0</x:v>
      </x:c>
      <x:c r="D773" s="9" t="str">
        <x:v>LF-B-A-TECH-4</x:v>
      </x:c>
      <x:c r="E773" s="9" t="str">
        <x:v>LF-B-A</x:v>
      </x:c>
      <x:c r="F773" s="9" t="str">
        <x:v>B1</x:v>
      </x:c>
      <x:c r="G773" s="9" t="str">
        <x:v>BRK</x:v>
      </x:c>
      <x:c r="H773" s="9" t="str">
        <x:v>OG11</x:v>
      </x:c>
      <x:c r="I773" s="17" t="str">
        <x:v>Contradiction preservation</x:v>
      </x:c>
      <x:c r="J773" s="17" t="str">
        <x:v>primary-witness disagreement remains explicit and is never averaged away</x:v>
      </x:c>
      <x:c r="K773" s="17" t="str">
        <x:v>Dissent registrar</x:v>
      </x:c>
      <x:c r="L773" s="9" t="n">
        <x:v>0</x:v>
      </x:c>
      <x:c r="M773" s="9" t="n">
        <x:v>0</x:v>
      </x:c>
      <x:c r="N773" s="9" t="str">
        <x:v>OPEN / UNACCEPTED</x:v>
      </x:c>
      <x:c r="O773" s="9" t="n">
        <x:f>COUNTIFS($A$7:$A$1734,A773)</x:f>
        <x:v>1</x:v>
      </x:c>
    </x:row>
    <x:row r="774">
      <x:c r="A774" s="9" t="str">
        <x:v>EV-AR-LF-B-A-TECH-4-B1-BRK-G0-OG12</x:v>
      </x:c>
      <x:c r="B774" s="9" t="str">
        <x:v>EV-AR-LF-B-A-TECH-4-B1-BRK-G0</x:v>
      </x:c>
      <x:c r="C774" s="9" t="str">
        <x:v>AR-LF-B-A-TECH-4-B1-BRK-G0</x:v>
      </x:c>
      <x:c r="D774" s="9" t="str">
        <x:v>LF-B-A-TECH-4</x:v>
      </x:c>
      <x:c r="E774" s="9" t="str">
        <x:v>LF-B-A</x:v>
      </x:c>
      <x:c r="F774" s="9" t="str">
        <x:v>B1</x:v>
      </x:c>
      <x:c r="G774" s="9" t="str">
        <x:v>BRK</x:v>
      </x:c>
      <x:c r="H774" s="9" t="str">
        <x:v>OG12</x:v>
      </x:c>
      <x:c r="I774" s="17" t="str">
        <x:v>Independent replay</x:v>
      </x:c>
      <x:c r="J774" s="17" t="str">
        <x:v>a separated reader reconstructs the registered observables from sealed originals</x:v>
      </x:c>
      <x:c r="K774" s="17" t="str">
        <x:v>Replay court</x:v>
      </x:c>
      <x:c r="L774" s="9" t="n">
        <x:v>0</x:v>
      </x:c>
      <x:c r="M774" s="9" t="n">
        <x:v>0</x:v>
      </x:c>
      <x:c r="N774" s="9" t="str">
        <x:v>OPEN / UNACCEPTED</x:v>
      </x:c>
      <x:c r="O774" s="9" t="n">
        <x:f>COUNTIFS($A$7:$A$1734,A774)</x:f>
        <x:v>1</x:v>
      </x:c>
    </x:row>
    <x:row r="775">
      <x:c r="A775" s="9" t="str">
        <x:v>EV-AR-LF-B-A-TECH-3-B2-BRK-G0-OG01</x:v>
      </x:c>
      <x:c r="B775" s="9" t="str">
        <x:v>EV-AR-LF-B-A-TECH-3-B2-BRK-G0</x:v>
      </x:c>
      <x:c r="C775" s="9" t="str">
        <x:v>AR-LF-B-A-TECH-3-B2-BRK-G0</x:v>
      </x:c>
      <x:c r="D775" s="9" t="str">
        <x:v>LF-B-A-TECH-3</x:v>
      </x:c>
      <x:c r="E775" s="9" t="str">
        <x:v>LF-B-A</x:v>
      </x:c>
      <x:c r="F775" s="9" t="str">
        <x:v>B2</x:v>
      </x:c>
      <x:c r="G775" s="9" t="str">
        <x:v>BRK</x:v>
      </x:c>
      <x:c r="H775" s="9" t="str">
        <x:v>OG01</x:v>
      </x:c>
      <x:c r="I775" s="17" t="str">
        <x:v>Serial and event identity</x:v>
      </x:c>
      <x:c r="J775" s="17" t="str">
        <x:v>record resolves to the issued serial, generation and physical start</x:v>
      </x:c>
      <x:c r="K775" s="17" t="str">
        <x:v>Observation court</x:v>
      </x:c>
      <x:c r="L775" s="9" t="n">
        <x:v>0</x:v>
      </x:c>
      <x:c r="M775" s="9" t="n">
        <x:v>0</x:v>
      </x:c>
      <x:c r="N775" s="9" t="str">
        <x:v>OPEN / UNACCEPTED</x:v>
      </x:c>
      <x:c r="O775" s="9" t="n">
        <x:f>COUNTIFS($A$7:$A$1734,A775)</x:f>
        <x:v>1</x:v>
      </x:c>
    </x:row>
    <x:row r="776">
      <x:c r="A776" s="9" t="str">
        <x:v>EV-AR-LF-B-A-TECH-3-B2-BRK-G0-OG02</x:v>
      </x:c>
      <x:c r="B776" s="9" t="str">
        <x:v>EV-AR-LF-B-A-TECH-3-B2-BRK-G0</x:v>
      </x:c>
      <x:c r="C776" s="9" t="str">
        <x:v>AR-LF-B-A-TECH-3-B2-BRK-G0</x:v>
      </x:c>
      <x:c r="D776" s="9" t="str">
        <x:v>LF-B-A-TECH-3</x:v>
      </x:c>
      <x:c r="E776" s="9" t="str">
        <x:v>LF-B-A</x:v>
      </x:c>
      <x:c r="F776" s="9" t="str">
        <x:v>B2</x:v>
      </x:c>
      <x:c r="G776" s="9" t="str">
        <x:v>BRK</x:v>
      </x:c>
      <x:c r="H776" s="9" t="str">
        <x:v>OG02</x:v>
      </x:c>
      <x:c r="I776" s="17" t="str">
        <x:v>Time ancestry</x:v>
      </x:c>
      <x:c r="J776" s="17" t="str">
        <x:v>primary, witness and public event clocks retain declared offsets and drift</x:v>
      </x:c>
      <x:c r="K776" s="17" t="str">
        <x:v>Time authority</x:v>
      </x:c>
      <x:c r="L776" s="9" t="n">
        <x:v>0</x:v>
      </x:c>
      <x:c r="M776" s="9" t="n">
        <x:v>0</x:v>
      </x:c>
      <x:c r="N776" s="9" t="str">
        <x:v>OPEN / UNACCEPTED</x:v>
      </x:c>
      <x:c r="O776" s="9" t="n">
        <x:f>COUNTIFS($A$7:$A$1734,A776)</x:f>
        <x:v>1</x:v>
      </x:c>
    </x:row>
    <x:row r="777">
      <x:c r="A777" s="9" t="str">
        <x:v>EV-AR-LF-B-A-TECH-3-B2-BRK-G0-OG03</x:v>
      </x:c>
      <x:c r="B777" s="9" t="str">
        <x:v>EV-AR-LF-B-A-TECH-3-B2-BRK-G0</x:v>
      </x:c>
      <x:c r="C777" s="9" t="str">
        <x:v>AR-LF-B-A-TECH-3-B2-BRK-G0</x:v>
      </x:c>
      <x:c r="D777" s="9" t="str">
        <x:v>LF-B-A-TECH-3</x:v>
      </x:c>
      <x:c r="E777" s="9" t="str">
        <x:v>LF-B-A</x:v>
      </x:c>
      <x:c r="F777" s="9" t="str">
        <x:v>B2</x:v>
      </x:c>
      <x:c r="G777" s="9" t="str">
        <x:v>BRK</x:v>
      </x:c>
      <x:c r="H777" s="9" t="str">
        <x:v>OG03</x:v>
      </x:c>
      <x:c r="I777" s="17" t="str">
        <x:v>Calibration ancestry</x:v>
      </x:c>
      <x:c r="J777" s="17" t="str">
        <x:v>all reference, range and uncertainty states cover the live interval</x:v>
      </x:c>
      <x:c r="K777" s="17" t="str">
        <x:v>Metrology courts</x:v>
      </x:c>
      <x:c r="L777" s="9" t="n">
        <x:v>0</x:v>
      </x:c>
      <x:c r="M777" s="9" t="n">
        <x:v>0</x:v>
      </x:c>
      <x:c r="N777" s="9" t="str">
        <x:v>OPEN / UNACCEPTED</x:v>
      </x:c>
      <x:c r="O777" s="9" t="n">
        <x:f>COUNTIFS($A$7:$A$1734,A777)</x:f>
        <x:v>1</x:v>
      </x:c>
    </x:row>
    <x:row r="778">
      <x:c r="A778" s="9" t="str">
        <x:v>EV-AR-LF-B-A-TECH-3-B2-BRK-G0-OG04</x:v>
      </x:c>
      <x:c r="B778" s="9" t="str">
        <x:v>EV-AR-LF-B-A-TECH-3-B2-BRK-G0</x:v>
      </x:c>
      <x:c r="C778" s="9" t="str">
        <x:v>AR-LF-B-A-TECH-3-B2-BRK-G0</x:v>
      </x:c>
      <x:c r="D778" s="9" t="str">
        <x:v>LF-B-A-TECH-3</x:v>
      </x:c>
      <x:c r="E778" s="9" t="str">
        <x:v>LF-B-A</x:v>
      </x:c>
      <x:c r="F778" s="9" t="str">
        <x:v>B2</x:v>
      </x:c>
      <x:c r="G778" s="9" t="str">
        <x:v>BRK</x:v>
      </x:c>
      <x:c r="H778" s="9" t="str">
        <x:v>OG04</x:v>
      </x:c>
      <x:c r="I778" s="17" t="str">
        <x:v>Raw completeness</x:v>
      </x:c>
      <x:c r="J778" s="17" t="str">
        <x:v>missingness is enumerated without imputation or outcome-conditioned deletion</x:v>
      </x:c>
      <x:c r="K778" s="17" t="str">
        <x:v>Observation court</x:v>
      </x:c>
      <x:c r="L778" s="9" t="n">
        <x:v>0</x:v>
      </x:c>
      <x:c r="M778" s="9" t="n">
        <x:v>0</x:v>
      </x:c>
      <x:c r="N778" s="9" t="str">
        <x:v>OPEN / UNACCEPTED</x:v>
      </x:c>
      <x:c r="O778" s="9" t="n">
        <x:f>COUNTIFS($A$7:$A$1734,A778)</x:f>
        <x:v>1</x:v>
      </x:c>
    </x:row>
    <x:row r="779">
      <x:c r="A779" s="9" t="str">
        <x:v>EV-AR-LF-B-A-TECH-3-B2-BRK-G0-OG05</x:v>
      </x:c>
      <x:c r="B779" s="9" t="str">
        <x:v>EV-AR-LF-B-A-TECH-3-B2-BRK-G0</x:v>
      </x:c>
      <x:c r="C779" s="9" t="str">
        <x:v>AR-LF-B-A-TECH-3-B2-BRK-G0</x:v>
      </x:c>
      <x:c r="D779" s="9" t="str">
        <x:v>LF-B-A-TECH-3</x:v>
      </x:c>
      <x:c r="E779" s="9" t="str">
        <x:v>LF-B-A</x:v>
      </x:c>
      <x:c r="F779" s="9" t="str">
        <x:v>B2</x:v>
      </x:c>
      <x:c r="G779" s="9" t="str">
        <x:v>BRK</x:v>
      </x:c>
      <x:c r="H779" s="9" t="str">
        <x:v>OG05</x:v>
      </x:c>
      <x:c r="I779" s="17" t="str">
        <x:v>Primary provenance</x:v>
      </x:c>
      <x:c r="J779" s="17" t="str">
        <x:v>primary originals, hashes, keys and access history reconcile</x:v>
      </x:c>
      <x:c r="K779" s="17" t="str">
        <x:v>Primary custody</x:v>
      </x:c>
      <x:c r="L779" s="9" t="n">
        <x:v>0</x:v>
      </x:c>
      <x:c r="M779" s="9" t="n">
        <x:v>0</x:v>
      </x:c>
      <x:c r="N779" s="9" t="str">
        <x:v>OPEN / UNACCEPTED</x:v>
      </x:c>
      <x:c r="O779" s="9" t="n">
        <x:f>COUNTIFS($A$7:$A$1734,A779)</x:f>
        <x:v>1</x:v>
      </x:c>
    </x:row>
    <x:row r="780">
      <x:c r="A780" s="9" t="str">
        <x:v>EV-AR-LF-B-A-TECH-3-B2-BRK-G0-OG06</x:v>
      </x:c>
      <x:c r="B780" s="9" t="str">
        <x:v>EV-AR-LF-B-A-TECH-3-B2-BRK-G0</x:v>
      </x:c>
      <x:c r="C780" s="9" t="str">
        <x:v>AR-LF-B-A-TECH-3-B2-BRK-G0</x:v>
      </x:c>
      <x:c r="D780" s="9" t="str">
        <x:v>LF-B-A-TECH-3</x:v>
      </x:c>
      <x:c r="E780" s="9" t="str">
        <x:v>LF-B-A</x:v>
      </x:c>
      <x:c r="F780" s="9" t="str">
        <x:v>B2</x:v>
      </x:c>
      <x:c r="G780" s="9" t="str">
        <x:v>BRK</x:v>
      </x:c>
      <x:c r="H780" s="9" t="str">
        <x:v>OG06</x:v>
      </x:c>
      <x:c r="I780" s="17" t="str">
        <x:v>Witness provenance</x:v>
      </x:c>
      <x:c r="J780" s="17" t="str">
        <x:v>unlike witness originals, hashes, keys and access history reconcile</x:v>
      </x:c>
      <x:c r="K780" s="17" t="str">
        <x:v>Witness custody</x:v>
      </x:c>
      <x:c r="L780" s="9" t="n">
        <x:v>0</x:v>
      </x:c>
      <x:c r="M780" s="9" t="n">
        <x:v>0</x:v>
      </x:c>
      <x:c r="N780" s="9" t="str">
        <x:v>OPEN / UNACCEPTED</x:v>
      </x:c>
      <x:c r="O780" s="9" t="n">
        <x:f>COUNTIFS($A$7:$A$1734,A780)</x:f>
        <x:v>1</x:v>
      </x:c>
    </x:row>
    <x:row r="781">
      <x:c r="A781" s="9" t="str">
        <x:v>EV-AR-LF-B-A-TECH-3-B2-BRK-G0-OG07</x:v>
      </x:c>
      <x:c r="B781" s="9" t="str">
        <x:v>EV-AR-LF-B-A-TECH-3-B2-BRK-G0</x:v>
      </x:c>
      <x:c r="C781" s="9" t="str">
        <x:v>AR-LF-B-A-TECH-3-B2-BRK-G0</x:v>
      </x:c>
      <x:c r="D781" s="9" t="str">
        <x:v>LF-B-A-TECH-3</x:v>
      </x:c>
      <x:c r="E781" s="9" t="str">
        <x:v>LF-B-A</x:v>
      </x:c>
      <x:c r="F781" s="9" t="str">
        <x:v>B2</x:v>
      </x:c>
      <x:c r="G781" s="9" t="str">
        <x:v>BRK</x:v>
      </x:c>
      <x:c r="H781" s="9" t="str">
        <x:v>OG07</x:v>
      </x:c>
      <x:c r="I781" s="17" t="str">
        <x:v>Receiver denominator</x:v>
      </x:c>
      <x:c r="J781" s="17" t="str">
        <x:v>population, quantity, duration and exclusions match the frozen receipt</x:v>
      </x:c>
      <x:c r="K781" s="17" t="str">
        <x:v>Receiver court</x:v>
      </x:c>
      <x:c r="L781" s="9" t="n">
        <x:v>0</x:v>
      </x:c>
      <x:c r="M781" s="9" t="n">
        <x:v>0</x:v>
      </x:c>
      <x:c r="N781" s="9" t="str">
        <x:v>OPEN / UNACCEPTED</x:v>
      </x:c>
      <x:c r="O781" s="9" t="n">
        <x:f>COUNTIFS($A$7:$A$1734,A781)</x:f>
        <x:v>1</x:v>
      </x:c>
    </x:row>
    <x:row r="782">
      <x:c r="A782" s="9" t="str">
        <x:v>EV-AR-LF-B-A-TECH-3-B2-BRK-G0-OG08</x:v>
      </x:c>
      <x:c r="B782" s="9" t="str">
        <x:v>EV-AR-LF-B-A-TECH-3-B2-BRK-G0</x:v>
      </x:c>
      <x:c r="C782" s="9" t="str">
        <x:v>AR-LF-B-A-TECH-3-B2-BRK-G0</x:v>
      </x:c>
      <x:c r="D782" s="9" t="str">
        <x:v>LF-B-A-TECH-3</x:v>
      </x:c>
      <x:c r="E782" s="9" t="str">
        <x:v>LF-B-A</x:v>
      </x:c>
      <x:c r="F782" s="9" t="str">
        <x:v>B2</x:v>
      </x:c>
      <x:c r="G782" s="9" t="str">
        <x:v>BRK</x:v>
      </x:c>
      <x:c r="H782" s="9" t="str">
        <x:v>OG08</x:v>
      </x:c>
      <x:c r="I782" s="17" t="str">
        <x:v>Environment and boundary</x:v>
      </x:c>
      <x:c r="J782" s="17" t="str">
        <x:v>registered weather, water, ground, inlet and outlet states are retained</x:v>
      </x:c>
      <x:c r="K782" s="17" t="str">
        <x:v>Boundary court</x:v>
      </x:c>
      <x:c r="L782" s="9" t="n">
        <x:v>0</x:v>
      </x:c>
      <x:c r="M782" s="9" t="n">
        <x:v>0</x:v>
      </x:c>
      <x:c r="N782" s="9" t="str">
        <x:v>OPEN / UNACCEPTED</x:v>
      </x:c>
      <x:c r="O782" s="9" t="n">
        <x:f>COUNTIFS($A$7:$A$1734,A782)</x:f>
        <x:v>1</x:v>
      </x:c>
    </x:row>
    <x:row r="783">
      <x:c r="A783" s="9" t="str">
        <x:v>EV-AR-LF-B-A-TECH-3-B2-BRK-G0-OG09</x:v>
      </x:c>
      <x:c r="B783" s="9" t="str">
        <x:v>EV-AR-LF-B-A-TECH-3-B2-BRK-G0</x:v>
      </x:c>
      <x:c r="C783" s="9" t="str">
        <x:v>AR-LF-B-A-TECH-3-B2-BRK-G0</x:v>
      </x:c>
      <x:c r="D783" s="9" t="str">
        <x:v>LF-B-A-TECH-3</x:v>
      </x:c>
      <x:c r="E783" s="9" t="str">
        <x:v>LF-B-A</x:v>
      </x:c>
      <x:c r="F783" s="9" t="str">
        <x:v>B2</x:v>
      </x:c>
      <x:c r="G783" s="9" t="str">
        <x:v>BRK</x:v>
      </x:c>
      <x:c r="H783" s="9" t="str">
        <x:v>OG09</x:v>
      </x:c>
      <x:c r="I783" s="17" t="str">
        <x:v>Intervention account</x:v>
      </x:c>
      <x:c r="J783" s="17" t="str">
        <x:v>all stop, rescue, operator and public-protection actions remain timestamped</x:v>
      </x:c>
      <x:c r="K783" s="17" t="str">
        <x:v>Safety record court</x:v>
      </x:c>
      <x:c r="L783" s="9" t="n">
        <x:v>0</x:v>
      </x:c>
      <x:c r="M783" s="9" t="n">
        <x:v>0</x:v>
      </x:c>
      <x:c r="N783" s="9" t="str">
        <x:v>OPEN / UNACCEPTED</x:v>
      </x:c>
      <x:c r="O783" s="9" t="n">
        <x:f>COUNTIFS($A$7:$A$1734,A783)</x:f>
        <x:v>1</x:v>
      </x:c>
    </x:row>
    <x:row r="784">
      <x:c r="A784" s="9" t="str">
        <x:v>EV-AR-LF-B-A-TECH-3-B2-BRK-G0-OG10</x:v>
      </x:c>
      <x:c r="B784" s="9" t="str">
        <x:v>EV-AR-LF-B-A-TECH-3-B2-BRK-G0</x:v>
      </x:c>
      <x:c r="C784" s="9" t="str">
        <x:v>AR-LF-B-A-TECH-3-B2-BRK-G0</x:v>
      </x:c>
      <x:c r="D784" s="9" t="str">
        <x:v>LF-B-A-TECH-3</x:v>
      </x:c>
      <x:c r="E784" s="9" t="str">
        <x:v>LF-B-A</x:v>
      </x:c>
      <x:c r="F784" s="9" t="str">
        <x:v>B2</x:v>
      </x:c>
      <x:c r="G784" s="9" t="str">
        <x:v>BRK</x:v>
      </x:c>
      <x:c r="H784" s="9" t="str">
        <x:v>OG10</x:v>
      </x:c>
      <x:c r="I784" s="17" t="str">
        <x:v>Uncertainty statement</x:v>
      </x:c>
      <x:c r="J784" s="17" t="str">
        <x:v>range, censoring, resolution and correlation are declared before judgment</x:v>
      </x:c>
      <x:c r="K784" s="17" t="str">
        <x:v>Uncertainty authority</x:v>
      </x:c>
      <x:c r="L784" s="9" t="n">
        <x:v>0</x:v>
      </x:c>
      <x:c r="M784" s="9" t="n">
        <x:v>0</x:v>
      </x:c>
      <x:c r="N784" s="9" t="str">
        <x:v>OPEN / UNACCEPTED</x:v>
      </x:c>
      <x:c r="O784" s="9" t="n">
        <x:f>COUNTIFS($A$7:$A$1734,A784)</x:f>
        <x:v>1</x:v>
      </x:c>
    </x:row>
    <x:row r="785">
      <x:c r="A785" s="9" t="str">
        <x:v>EV-AR-LF-B-A-TECH-3-B2-BRK-G0-OG11</x:v>
      </x:c>
      <x:c r="B785" s="9" t="str">
        <x:v>EV-AR-LF-B-A-TECH-3-B2-BRK-G0</x:v>
      </x:c>
      <x:c r="C785" s="9" t="str">
        <x:v>AR-LF-B-A-TECH-3-B2-BRK-G0</x:v>
      </x:c>
      <x:c r="D785" s="9" t="str">
        <x:v>LF-B-A-TECH-3</x:v>
      </x:c>
      <x:c r="E785" s="9" t="str">
        <x:v>LF-B-A</x:v>
      </x:c>
      <x:c r="F785" s="9" t="str">
        <x:v>B2</x:v>
      </x:c>
      <x:c r="G785" s="9" t="str">
        <x:v>BRK</x:v>
      </x:c>
      <x:c r="H785" s="9" t="str">
        <x:v>OG11</x:v>
      </x:c>
      <x:c r="I785" s="17" t="str">
        <x:v>Contradiction preservation</x:v>
      </x:c>
      <x:c r="J785" s="17" t="str">
        <x:v>primary-witness disagreement remains explicit and is never averaged away</x:v>
      </x:c>
      <x:c r="K785" s="17" t="str">
        <x:v>Dissent registrar</x:v>
      </x:c>
      <x:c r="L785" s="9" t="n">
        <x:v>0</x:v>
      </x:c>
      <x:c r="M785" s="9" t="n">
        <x:v>0</x:v>
      </x:c>
      <x:c r="N785" s="9" t="str">
        <x:v>OPEN / UNACCEPTED</x:v>
      </x:c>
      <x:c r="O785" s="9" t="n">
        <x:f>COUNTIFS($A$7:$A$1734,A785)</x:f>
        <x:v>1</x:v>
      </x:c>
    </x:row>
    <x:row r="786">
      <x:c r="A786" s="9" t="str">
        <x:v>EV-AR-LF-B-A-TECH-3-B2-BRK-G0-OG12</x:v>
      </x:c>
      <x:c r="B786" s="9" t="str">
        <x:v>EV-AR-LF-B-A-TECH-3-B2-BRK-G0</x:v>
      </x:c>
      <x:c r="C786" s="9" t="str">
        <x:v>AR-LF-B-A-TECH-3-B2-BRK-G0</x:v>
      </x:c>
      <x:c r="D786" s="9" t="str">
        <x:v>LF-B-A-TECH-3</x:v>
      </x:c>
      <x:c r="E786" s="9" t="str">
        <x:v>LF-B-A</x:v>
      </x:c>
      <x:c r="F786" s="9" t="str">
        <x:v>B2</x:v>
      </x:c>
      <x:c r="G786" s="9" t="str">
        <x:v>BRK</x:v>
      </x:c>
      <x:c r="H786" s="9" t="str">
        <x:v>OG12</x:v>
      </x:c>
      <x:c r="I786" s="17" t="str">
        <x:v>Independent replay</x:v>
      </x:c>
      <x:c r="J786" s="17" t="str">
        <x:v>a separated reader reconstructs the registered observables from sealed originals</x:v>
      </x:c>
      <x:c r="K786" s="17" t="str">
        <x:v>Replay court</x:v>
      </x:c>
      <x:c r="L786" s="9" t="n">
        <x:v>0</x:v>
      </x:c>
      <x:c r="M786" s="9" t="n">
        <x:v>0</x:v>
      </x:c>
      <x:c r="N786" s="9" t="str">
        <x:v>OPEN / UNACCEPTED</x:v>
      </x:c>
      <x:c r="O786" s="9" t="n">
        <x:f>COUNTIFS($A$7:$A$1734,A786)</x:f>
        <x:v>1</x:v>
      </x:c>
    </x:row>
    <x:row r="787">
      <x:c r="A787" s="9" t="str">
        <x:v>EV-AR-RT-B-C-TECH-4-B1-INT-G0-OG01</x:v>
      </x:c>
      <x:c r="B787" s="9" t="str">
        <x:v>EV-AR-RT-B-C-TECH-4-B1-INT-G0</x:v>
      </x:c>
      <x:c r="C787" s="9" t="str">
        <x:v>AR-RT-B-C-TECH-4-B1-INT-G0</x:v>
      </x:c>
      <x:c r="D787" s="9" t="str">
        <x:v>RT-B-C-TECH-4</x:v>
      </x:c>
      <x:c r="E787" s="9" t="str">
        <x:v>RT-B-C</x:v>
      </x:c>
      <x:c r="F787" s="9" t="str">
        <x:v>B1</x:v>
      </x:c>
      <x:c r="G787" s="9" t="str">
        <x:v>INT</x:v>
      </x:c>
      <x:c r="H787" s="9" t="str">
        <x:v>OG01</x:v>
      </x:c>
      <x:c r="I787" s="17" t="str">
        <x:v>Serial and event identity</x:v>
      </x:c>
      <x:c r="J787" s="17" t="str">
        <x:v>record resolves to the issued serial, generation and physical start</x:v>
      </x:c>
      <x:c r="K787" s="17" t="str">
        <x:v>Observation court</x:v>
      </x:c>
      <x:c r="L787" s="9" t="n">
        <x:v>0</x:v>
      </x:c>
      <x:c r="M787" s="9" t="n">
        <x:v>0</x:v>
      </x:c>
      <x:c r="N787" s="9" t="str">
        <x:v>OPEN / UNACCEPTED</x:v>
      </x:c>
      <x:c r="O787" s="9" t="n">
        <x:f>COUNTIFS($A$7:$A$1734,A787)</x:f>
        <x:v>1</x:v>
      </x:c>
    </x:row>
    <x:row r="788">
      <x:c r="A788" s="9" t="str">
        <x:v>EV-AR-RT-B-C-TECH-4-B1-INT-G0-OG02</x:v>
      </x:c>
      <x:c r="B788" s="9" t="str">
        <x:v>EV-AR-RT-B-C-TECH-4-B1-INT-G0</x:v>
      </x:c>
      <x:c r="C788" s="9" t="str">
        <x:v>AR-RT-B-C-TECH-4-B1-INT-G0</x:v>
      </x:c>
      <x:c r="D788" s="9" t="str">
        <x:v>RT-B-C-TECH-4</x:v>
      </x:c>
      <x:c r="E788" s="9" t="str">
        <x:v>RT-B-C</x:v>
      </x:c>
      <x:c r="F788" s="9" t="str">
        <x:v>B1</x:v>
      </x:c>
      <x:c r="G788" s="9" t="str">
        <x:v>INT</x:v>
      </x:c>
      <x:c r="H788" s="9" t="str">
        <x:v>OG02</x:v>
      </x:c>
      <x:c r="I788" s="17" t="str">
        <x:v>Time ancestry</x:v>
      </x:c>
      <x:c r="J788" s="17" t="str">
        <x:v>primary, witness and public event clocks retain declared offsets and drift</x:v>
      </x:c>
      <x:c r="K788" s="17" t="str">
        <x:v>Time authority</x:v>
      </x:c>
      <x:c r="L788" s="9" t="n">
        <x:v>0</x:v>
      </x:c>
      <x:c r="M788" s="9" t="n">
        <x:v>0</x:v>
      </x:c>
      <x:c r="N788" s="9" t="str">
        <x:v>OPEN / UNACCEPTED</x:v>
      </x:c>
      <x:c r="O788" s="9" t="n">
        <x:f>COUNTIFS($A$7:$A$1734,A788)</x:f>
        <x:v>1</x:v>
      </x:c>
    </x:row>
    <x:row r="789">
      <x:c r="A789" s="9" t="str">
        <x:v>EV-AR-RT-B-C-TECH-4-B1-INT-G0-OG03</x:v>
      </x:c>
      <x:c r="B789" s="9" t="str">
        <x:v>EV-AR-RT-B-C-TECH-4-B1-INT-G0</x:v>
      </x:c>
      <x:c r="C789" s="9" t="str">
        <x:v>AR-RT-B-C-TECH-4-B1-INT-G0</x:v>
      </x:c>
      <x:c r="D789" s="9" t="str">
        <x:v>RT-B-C-TECH-4</x:v>
      </x:c>
      <x:c r="E789" s="9" t="str">
        <x:v>RT-B-C</x:v>
      </x:c>
      <x:c r="F789" s="9" t="str">
        <x:v>B1</x:v>
      </x:c>
      <x:c r="G789" s="9" t="str">
        <x:v>INT</x:v>
      </x:c>
      <x:c r="H789" s="9" t="str">
        <x:v>OG03</x:v>
      </x:c>
      <x:c r="I789" s="17" t="str">
        <x:v>Calibration ancestry</x:v>
      </x:c>
      <x:c r="J789" s="17" t="str">
        <x:v>all reference, range and uncertainty states cover the live interval</x:v>
      </x:c>
      <x:c r="K789" s="17" t="str">
        <x:v>Metrology courts</x:v>
      </x:c>
      <x:c r="L789" s="9" t="n">
        <x:v>0</x:v>
      </x:c>
      <x:c r="M789" s="9" t="n">
        <x:v>0</x:v>
      </x:c>
      <x:c r="N789" s="9" t="str">
        <x:v>OPEN / UNACCEPTED</x:v>
      </x:c>
      <x:c r="O789" s="9" t="n">
        <x:f>COUNTIFS($A$7:$A$1734,A789)</x:f>
        <x:v>1</x:v>
      </x:c>
    </x:row>
    <x:row r="790">
      <x:c r="A790" s="9" t="str">
        <x:v>EV-AR-RT-B-C-TECH-4-B1-INT-G0-OG04</x:v>
      </x:c>
      <x:c r="B790" s="9" t="str">
        <x:v>EV-AR-RT-B-C-TECH-4-B1-INT-G0</x:v>
      </x:c>
      <x:c r="C790" s="9" t="str">
        <x:v>AR-RT-B-C-TECH-4-B1-INT-G0</x:v>
      </x:c>
      <x:c r="D790" s="9" t="str">
        <x:v>RT-B-C-TECH-4</x:v>
      </x:c>
      <x:c r="E790" s="9" t="str">
        <x:v>RT-B-C</x:v>
      </x:c>
      <x:c r="F790" s="9" t="str">
        <x:v>B1</x:v>
      </x:c>
      <x:c r="G790" s="9" t="str">
        <x:v>INT</x:v>
      </x:c>
      <x:c r="H790" s="9" t="str">
        <x:v>OG04</x:v>
      </x:c>
      <x:c r="I790" s="17" t="str">
        <x:v>Raw completeness</x:v>
      </x:c>
      <x:c r="J790" s="17" t="str">
        <x:v>missingness is enumerated without imputation or outcome-conditioned deletion</x:v>
      </x:c>
      <x:c r="K790" s="17" t="str">
        <x:v>Observation court</x:v>
      </x:c>
      <x:c r="L790" s="9" t="n">
        <x:v>0</x:v>
      </x:c>
      <x:c r="M790" s="9" t="n">
        <x:v>0</x:v>
      </x:c>
      <x:c r="N790" s="9" t="str">
        <x:v>OPEN / UNACCEPTED</x:v>
      </x:c>
      <x:c r="O790" s="9" t="n">
        <x:f>COUNTIFS($A$7:$A$1734,A790)</x:f>
        <x:v>1</x:v>
      </x:c>
    </x:row>
    <x:row r="791">
      <x:c r="A791" s="9" t="str">
        <x:v>EV-AR-RT-B-C-TECH-4-B1-INT-G0-OG05</x:v>
      </x:c>
      <x:c r="B791" s="9" t="str">
        <x:v>EV-AR-RT-B-C-TECH-4-B1-INT-G0</x:v>
      </x:c>
      <x:c r="C791" s="9" t="str">
        <x:v>AR-RT-B-C-TECH-4-B1-INT-G0</x:v>
      </x:c>
      <x:c r="D791" s="9" t="str">
        <x:v>RT-B-C-TECH-4</x:v>
      </x:c>
      <x:c r="E791" s="9" t="str">
        <x:v>RT-B-C</x:v>
      </x:c>
      <x:c r="F791" s="9" t="str">
        <x:v>B1</x:v>
      </x:c>
      <x:c r="G791" s="9" t="str">
        <x:v>INT</x:v>
      </x:c>
      <x:c r="H791" s="9" t="str">
        <x:v>OG05</x:v>
      </x:c>
      <x:c r="I791" s="17" t="str">
        <x:v>Primary provenance</x:v>
      </x:c>
      <x:c r="J791" s="17" t="str">
        <x:v>primary originals, hashes, keys and access history reconcile</x:v>
      </x:c>
      <x:c r="K791" s="17" t="str">
        <x:v>Primary custody</x:v>
      </x:c>
      <x:c r="L791" s="9" t="n">
        <x:v>0</x:v>
      </x:c>
      <x:c r="M791" s="9" t="n">
        <x:v>0</x:v>
      </x:c>
      <x:c r="N791" s="9" t="str">
        <x:v>OPEN / UNACCEPTED</x:v>
      </x:c>
      <x:c r="O791" s="9" t="n">
        <x:f>COUNTIFS($A$7:$A$1734,A791)</x:f>
        <x:v>1</x:v>
      </x:c>
    </x:row>
    <x:row r="792">
      <x:c r="A792" s="9" t="str">
        <x:v>EV-AR-RT-B-C-TECH-4-B1-INT-G0-OG06</x:v>
      </x:c>
      <x:c r="B792" s="9" t="str">
        <x:v>EV-AR-RT-B-C-TECH-4-B1-INT-G0</x:v>
      </x:c>
      <x:c r="C792" s="9" t="str">
        <x:v>AR-RT-B-C-TECH-4-B1-INT-G0</x:v>
      </x:c>
      <x:c r="D792" s="9" t="str">
        <x:v>RT-B-C-TECH-4</x:v>
      </x:c>
      <x:c r="E792" s="9" t="str">
        <x:v>RT-B-C</x:v>
      </x:c>
      <x:c r="F792" s="9" t="str">
        <x:v>B1</x:v>
      </x:c>
      <x:c r="G792" s="9" t="str">
        <x:v>INT</x:v>
      </x:c>
      <x:c r="H792" s="9" t="str">
        <x:v>OG06</x:v>
      </x:c>
      <x:c r="I792" s="17" t="str">
        <x:v>Witness provenance</x:v>
      </x:c>
      <x:c r="J792" s="17" t="str">
        <x:v>unlike witness originals, hashes, keys and access history reconcile</x:v>
      </x:c>
      <x:c r="K792" s="17" t="str">
        <x:v>Witness custody</x:v>
      </x:c>
      <x:c r="L792" s="9" t="n">
        <x:v>0</x:v>
      </x:c>
      <x:c r="M792" s="9" t="n">
        <x:v>0</x:v>
      </x:c>
      <x:c r="N792" s="9" t="str">
        <x:v>OPEN / UNACCEPTED</x:v>
      </x:c>
      <x:c r="O792" s="9" t="n">
        <x:f>COUNTIFS($A$7:$A$1734,A792)</x:f>
        <x:v>1</x:v>
      </x:c>
    </x:row>
    <x:row r="793">
      <x:c r="A793" s="9" t="str">
        <x:v>EV-AR-RT-B-C-TECH-4-B1-INT-G0-OG07</x:v>
      </x:c>
      <x:c r="B793" s="9" t="str">
        <x:v>EV-AR-RT-B-C-TECH-4-B1-INT-G0</x:v>
      </x:c>
      <x:c r="C793" s="9" t="str">
        <x:v>AR-RT-B-C-TECH-4-B1-INT-G0</x:v>
      </x:c>
      <x:c r="D793" s="9" t="str">
        <x:v>RT-B-C-TECH-4</x:v>
      </x:c>
      <x:c r="E793" s="9" t="str">
        <x:v>RT-B-C</x:v>
      </x:c>
      <x:c r="F793" s="9" t="str">
        <x:v>B1</x:v>
      </x:c>
      <x:c r="G793" s="9" t="str">
        <x:v>INT</x:v>
      </x:c>
      <x:c r="H793" s="9" t="str">
        <x:v>OG07</x:v>
      </x:c>
      <x:c r="I793" s="17" t="str">
        <x:v>Receiver denominator</x:v>
      </x:c>
      <x:c r="J793" s="17" t="str">
        <x:v>population, quantity, duration and exclusions match the frozen receipt</x:v>
      </x:c>
      <x:c r="K793" s="17" t="str">
        <x:v>Receiver court</x:v>
      </x:c>
      <x:c r="L793" s="9" t="n">
        <x:v>0</x:v>
      </x:c>
      <x:c r="M793" s="9" t="n">
        <x:v>0</x:v>
      </x:c>
      <x:c r="N793" s="9" t="str">
        <x:v>OPEN / UNACCEPTED</x:v>
      </x:c>
      <x:c r="O793" s="9" t="n">
        <x:f>COUNTIFS($A$7:$A$1734,A793)</x:f>
        <x:v>1</x:v>
      </x:c>
    </x:row>
    <x:row r="794">
      <x:c r="A794" s="9" t="str">
        <x:v>EV-AR-RT-B-C-TECH-4-B1-INT-G0-OG08</x:v>
      </x:c>
      <x:c r="B794" s="9" t="str">
        <x:v>EV-AR-RT-B-C-TECH-4-B1-INT-G0</x:v>
      </x:c>
      <x:c r="C794" s="9" t="str">
        <x:v>AR-RT-B-C-TECH-4-B1-INT-G0</x:v>
      </x:c>
      <x:c r="D794" s="9" t="str">
        <x:v>RT-B-C-TECH-4</x:v>
      </x:c>
      <x:c r="E794" s="9" t="str">
        <x:v>RT-B-C</x:v>
      </x:c>
      <x:c r="F794" s="9" t="str">
        <x:v>B1</x:v>
      </x:c>
      <x:c r="G794" s="9" t="str">
        <x:v>INT</x:v>
      </x:c>
      <x:c r="H794" s="9" t="str">
        <x:v>OG08</x:v>
      </x:c>
      <x:c r="I794" s="17" t="str">
        <x:v>Environment and boundary</x:v>
      </x:c>
      <x:c r="J794" s="17" t="str">
        <x:v>registered weather, water, ground, inlet and outlet states are retained</x:v>
      </x:c>
      <x:c r="K794" s="17" t="str">
        <x:v>Boundary court</x:v>
      </x:c>
      <x:c r="L794" s="9" t="n">
        <x:v>0</x:v>
      </x:c>
      <x:c r="M794" s="9" t="n">
        <x:v>0</x:v>
      </x:c>
      <x:c r="N794" s="9" t="str">
        <x:v>OPEN / UNACCEPTED</x:v>
      </x:c>
      <x:c r="O794" s="9" t="n">
        <x:f>COUNTIFS($A$7:$A$1734,A794)</x:f>
        <x:v>1</x:v>
      </x:c>
    </x:row>
    <x:row r="795">
      <x:c r="A795" s="9" t="str">
        <x:v>EV-AR-RT-B-C-TECH-4-B1-INT-G0-OG09</x:v>
      </x:c>
      <x:c r="B795" s="9" t="str">
        <x:v>EV-AR-RT-B-C-TECH-4-B1-INT-G0</x:v>
      </x:c>
      <x:c r="C795" s="9" t="str">
        <x:v>AR-RT-B-C-TECH-4-B1-INT-G0</x:v>
      </x:c>
      <x:c r="D795" s="9" t="str">
        <x:v>RT-B-C-TECH-4</x:v>
      </x:c>
      <x:c r="E795" s="9" t="str">
        <x:v>RT-B-C</x:v>
      </x:c>
      <x:c r="F795" s="9" t="str">
        <x:v>B1</x:v>
      </x:c>
      <x:c r="G795" s="9" t="str">
        <x:v>INT</x:v>
      </x:c>
      <x:c r="H795" s="9" t="str">
        <x:v>OG09</x:v>
      </x:c>
      <x:c r="I795" s="17" t="str">
        <x:v>Intervention account</x:v>
      </x:c>
      <x:c r="J795" s="17" t="str">
        <x:v>all stop, rescue, operator and public-protection actions remain timestamped</x:v>
      </x:c>
      <x:c r="K795" s="17" t="str">
        <x:v>Safety record court</x:v>
      </x:c>
      <x:c r="L795" s="9" t="n">
        <x:v>0</x:v>
      </x:c>
      <x:c r="M795" s="9" t="n">
        <x:v>0</x:v>
      </x:c>
      <x:c r="N795" s="9" t="str">
        <x:v>OPEN / UNACCEPTED</x:v>
      </x:c>
      <x:c r="O795" s="9" t="n">
        <x:f>COUNTIFS($A$7:$A$1734,A795)</x:f>
        <x:v>1</x:v>
      </x:c>
    </x:row>
    <x:row r="796">
      <x:c r="A796" s="9" t="str">
        <x:v>EV-AR-RT-B-C-TECH-4-B1-INT-G0-OG10</x:v>
      </x:c>
      <x:c r="B796" s="9" t="str">
        <x:v>EV-AR-RT-B-C-TECH-4-B1-INT-G0</x:v>
      </x:c>
      <x:c r="C796" s="9" t="str">
        <x:v>AR-RT-B-C-TECH-4-B1-INT-G0</x:v>
      </x:c>
      <x:c r="D796" s="9" t="str">
        <x:v>RT-B-C-TECH-4</x:v>
      </x:c>
      <x:c r="E796" s="9" t="str">
        <x:v>RT-B-C</x:v>
      </x:c>
      <x:c r="F796" s="9" t="str">
        <x:v>B1</x:v>
      </x:c>
      <x:c r="G796" s="9" t="str">
        <x:v>INT</x:v>
      </x:c>
      <x:c r="H796" s="9" t="str">
        <x:v>OG10</x:v>
      </x:c>
      <x:c r="I796" s="17" t="str">
        <x:v>Uncertainty statement</x:v>
      </x:c>
      <x:c r="J796" s="17" t="str">
        <x:v>range, censoring, resolution and correlation are declared before judgment</x:v>
      </x:c>
      <x:c r="K796" s="17" t="str">
        <x:v>Uncertainty authority</x:v>
      </x:c>
      <x:c r="L796" s="9" t="n">
        <x:v>0</x:v>
      </x:c>
      <x:c r="M796" s="9" t="n">
        <x:v>0</x:v>
      </x:c>
      <x:c r="N796" s="9" t="str">
        <x:v>OPEN / UNACCEPTED</x:v>
      </x:c>
      <x:c r="O796" s="9" t="n">
        <x:f>COUNTIFS($A$7:$A$1734,A796)</x:f>
        <x:v>1</x:v>
      </x:c>
    </x:row>
    <x:row r="797">
      <x:c r="A797" s="9" t="str">
        <x:v>EV-AR-RT-B-C-TECH-4-B1-INT-G0-OG11</x:v>
      </x:c>
      <x:c r="B797" s="9" t="str">
        <x:v>EV-AR-RT-B-C-TECH-4-B1-INT-G0</x:v>
      </x:c>
      <x:c r="C797" s="9" t="str">
        <x:v>AR-RT-B-C-TECH-4-B1-INT-G0</x:v>
      </x:c>
      <x:c r="D797" s="9" t="str">
        <x:v>RT-B-C-TECH-4</x:v>
      </x:c>
      <x:c r="E797" s="9" t="str">
        <x:v>RT-B-C</x:v>
      </x:c>
      <x:c r="F797" s="9" t="str">
        <x:v>B1</x:v>
      </x:c>
      <x:c r="G797" s="9" t="str">
        <x:v>INT</x:v>
      </x:c>
      <x:c r="H797" s="9" t="str">
        <x:v>OG11</x:v>
      </x:c>
      <x:c r="I797" s="17" t="str">
        <x:v>Contradiction preservation</x:v>
      </x:c>
      <x:c r="J797" s="17" t="str">
        <x:v>primary-witness disagreement remains explicit and is never averaged away</x:v>
      </x:c>
      <x:c r="K797" s="17" t="str">
        <x:v>Dissent registrar</x:v>
      </x:c>
      <x:c r="L797" s="9" t="n">
        <x:v>0</x:v>
      </x:c>
      <x:c r="M797" s="9" t="n">
        <x:v>0</x:v>
      </x:c>
      <x:c r="N797" s="9" t="str">
        <x:v>OPEN / UNACCEPTED</x:v>
      </x:c>
      <x:c r="O797" s="9" t="n">
        <x:f>COUNTIFS($A$7:$A$1734,A797)</x:f>
        <x:v>1</x:v>
      </x:c>
    </x:row>
    <x:row r="798">
      <x:c r="A798" s="9" t="str">
        <x:v>EV-AR-RT-B-C-TECH-4-B1-INT-G0-OG12</x:v>
      </x:c>
      <x:c r="B798" s="9" t="str">
        <x:v>EV-AR-RT-B-C-TECH-4-B1-INT-G0</x:v>
      </x:c>
      <x:c r="C798" s="9" t="str">
        <x:v>AR-RT-B-C-TECH-4-B1-INT-G0</x:v>
      </x:c>
      <x:c r="D798" s="9" t="str">
        <x:v>RT-B-C-TECH-4</x:v>
      </x:c>
      <x:c r="E798" s="9" t="str">
        <x:v>RT-B-C</x:v>
      </x:c>
      <x:c r="F798" s="9" t="str">
        <x:v>B1</x:v>
      </x:c>
      <x:c r="G798" s="9" t="str">
        <x:v>INT</x:v>
      </x:c>
      <x:c r="H798" s="9" t="str">
        <x:v>OG12</x:v>
      </x:c>
      <x:c r="I798" s="17" t="str">
        <x:v>Independent replay</x:v>
      </x:c>
      <x:c r="J798" s="17" t="str">
        <x:v>a separated reader reconstructs the registered observables from sealed originals</x:v>
      </x:c>
      <x:c r="K798" s="17" t="str">
        <x:v>Replay court</x:v>
      </x:c>
      <x:c r="L798" s="9" t="n">
        <x:v>0</x:v>
      </x:c>
      <x:c r="M798" s="9" t="n">
        <x:v>0</x:v>
      </x:c>
      <x:c r="N798" s="9" t="str">
        <x:v>OPEN / UNACCEPTED</x:v>
      </x:c>
      <x:c r="O798" s="9" t="n">
        <x:f>COUNTIFS($A$7:$A$1734,A798)</x:f>
        <x:v>1</x:v>
      </x:c>
    </x:row>
    <x:row r="799">
      <x:c r="A799" s="9" t="str">
        <x:v>EV-AR-CT-C-B-TECH-3-B2-RCN-G0-OG01</x:v>
      </x:c>
      <x:c r="B799" s="9" t="str">
        <x:v>EV-AR-CT-C-B-TECH-3-B2-RCN-G0</x:v>
      </x:c>
      <x:c r="C799" s="9" t="str">
        <x:v>AR-CT-C-B-TECH-3-B2-RCN-G0</x:v>
      </x:c>
      <x:c r="D799" s="9" t="str">
        <x:v>CT-C-B-TECH-3</x:v>
      </x:c>
      <x:c r="E799" s="9" t="str">
        <x:v>CT-C-B</x:v>
      </x:c>
      <x:c r="F799" s="9" t="str">
        <x:v>B2</x:v>
      </x:c>
      <x:c r="G799" s="9" t="str">
        <x:v>RCN</x:v>
      </x:c>
      <x:c r="H799" s="9" t="str">
        <x:v>OG01</x:v>
      </x:c>
      <x:c r="I799" s="17" t="str">
        <x:v>Serial and event identity</x:v>
      </x:c>
      <x:c r="J799" s="17" t="str">
        <x:v>record resolves to the issued serial, generation and physical start</x:v>
      </x:c>
      <x:c r="K799" s="17" t="str">
        <x:v>Observation court</x:v>
      </x:c>
      <x:c r="L799" s="9" t="n">
        <x:v>0</x:v>
      </x:c>
      <x:c r="M799" s="9" t="n">
        <x:v>0</x:v>
      </x:c>
      <x:c r="N799" s="9" t="str">
        <x:v>OPEN / UNACCEPTED</x:v>
      </x:c>
      <x:c r="O799" s="9" t="n">
        <x:f>COUNTIFS($A$7:$A$1734,A799)</x:f>
        <x:v>1</x:v>
      </x:c>
    </x:row>
    <x:row r="800">
      <x:c r="A800" s="9" t="str">
        <x:v>EV-AR-CT-C-B-TECH-3-B2-RCN-G0-OG02</x:v>
      </x:c>
      <x:c r="B800" s="9" t="str">
        <x:v>EV-AR-CT-C-B-TECH-3-B2-RCN-G0</x:v>
      </x:c>
      <x:c r="C800" s="9" t="str">
        <x:v>AR-CT-C-B-TECH-3-B2-RCN-G0</x:v>
      </x:c>
      <x:c r="D800" s="9" t="str">
        <x:v>CT-C-B-TECH-3</x:v>
      </x:c>
      <x:c r="E800" s="9" t="str">
        <x:v>CT-C-B</x:v>
      </x:c>
      <x:c r="F800" s="9" t="str">
        <x:v>B2</x:v>
      </x:c>
      <x:c r="G800" s="9" t="str">
        <x:v>RCN</x:v>
      </x:c>
      <x:c r="H800" s="9" t="str">
        <x:v>OG02</x:v>
      </x:c>
      <x:c r="I800" s="17" t="str">
        <x:v>Time ancestry</x:v>
      </x:c>
      <x:c r="J800" s="17" t="str">
        <x:v>primary, witness and public event clocks retain declared offsets and drift</x:v>
      </x:c>
      <x:c r="K800" s="17" t="str">
        <x:v>Time authority</x:v>
      </x:c>
      <x:c r="L800" s="9" t="n">
        <x:v>0</x:v>
      </x:c>
      <x:c r="M800" s="9" t="n">
        <x:v>0</x:v>
      </x:c>
      <x:c r="N800" s="9" t="str">
        <x:v>OPEN / UNACCEPTED</x:v>
      </x:c>
      <x:c r="O800" s="9" t="n">
        <x:f>COUNTIFS($A$7:$A$1734,A800)</x:f>
        <x:v>1</x:v>
      </x:c>
    </x:row>
    <x:row r="801">
      <x:c r="A801" s="9" t="str">
        <x:v>EV-AR-CT-C-B-TECH-3-B2-RCN-G0-OG03</x:v>
      </x:c>
      <x:c r="B801" s="9" t="str">
        <x:v>EV-AR-CT-C-B-TECH-3-B2-RCN-G0</x:v>
      </x:c>
      <x:c r="C801" s="9" t="str">
        <x:v>AR-CT-C-B-TECH-3-B2-RCN-G0</x:v>
      </x:c>
      <x:c r="D801" s="9" t="str">
        <x:v>CT-C-B-TECH-3</x:v>
      </x:c>
      <x:c r="E801" s="9" t="str">
        <x:v>CT-C-B</x:v>
      </x:c>
      <x:c r="F801" s="9" t="str">
        <x:v>B2</x:v>
      </x:c>
      <x:c r="G801" s="9" t="str">
        <x:v>RCN</x:v>
      </x:c>
      <x:c r="H801" s="9" t="str">
        <x:v>OG03</x:v>
      </x:c>
      <x:c r="I801" s="17" t="str">
        <x:v>Calibration ancestry</x:v>
      </x:c>
      <x:c r="J801" s="17" t="str">
        <x:v>all reference, range and uncertainty states cover the live interval</x:v>
      </x:c>
      <x:c r="K801" s="17" t="str">
        <x:v>Metrology courts</x:v>
      </x:c>
      <x:c r="L801" s="9" t="n">
        <x:v>0</x:v>
      </x:c>
      <x:c r="M801" s="9" t="n">
        <x:v>0</x:v>
      </x:c>
      <x:c r="N801" s="9" t="str">
        <x:v>OPEN / UNACCEPTED</x:v>
      </x:c>
      <x:c r="O801" s="9" t="n">
        <x:f>COUNTIFS($A$7:$A$1734,A801)</x:f>
        <x:v>1</x:v>
      </x:c>
    </x:row>
    <x:row r="802">
      <x:c r="A802" s="9" t="str">
        <x:v>EV-AR-CT-C-B-TECH-3-B2-RCN-G0-OG04</x:v>
      </x:c>
      <x:c r="B802" s="9" t="str">
        <x:v>EV-AR-CT-C-B-TECH-3-B2-RCN-G0</x:v>
      </x:c>
      <x:c r="C802" s="9" t="str">
        <x:v>AR-CT-C-B-TECH-3-B2-RCN-G0</x:v>
      </x:c>
      <x:c r="D802" s="9" t="str">
        <x:v>CT-C-B-TECH-3</x:v>
      </x:c>
      <x:c r="E802" s="9" t="str">
        <x:v>CT-C-B</x:v>
      </x:c>
      <x:c r="F802" s="9" t="str">
        <x:v>B2</x:v>
      </x:c>
      <x:c r="G802" s="9" t="str">
        <x:v>RCN</x:v>
      </x:c>
      <x:c r="H802" s="9" t="str">
        <x:v>OG04</x:v>
      </x:c>
      <x:c r="I802" s="17" t="str">
        <x:v>Raw completeness</x:v>
      </x:c>
      <x:c r="J802" s="17" t="str">
        <x:v>missingness is enumerated without imputation or outcome-conditioned deletion</x:v>
      </x:c>
      <x:c r="K802" s="17" t="str">
        <x:v>Observation court</x:v>
      </x:c>
      <x:c r="L802" s="9" t="n">
        <x:v>0</x:v>
      </x:c>
      <x:c r="M802" s="9" t="n">
        <x:v>0</x:v>
      </x:c>
      <x:c r="N802" s="9" t="str">
        <x:v>OPEN / UNACCEPTED</x:v>
      </x:c>
      <x:c r="O802" s="9" t="n">
        <x:f>COUNTIFS($A$7:$A$1734,A802)</x:f>
        <x:v>1</x:v>
      </x:c>
    </x:row>
    <x:row r="803">
      <x:c r="A803" s="9" t="str">
        <x:v>EV-AR-CT-C-B-TECH-3-B2-RCN-G0-OG05</x:v>
      </x:c>
      <x:c r="B803" s="9" t="str">
        <x:v>EV-AR-CT-C-B-TECH-3-B2-RCN-G0</x:v>
      </x:c>
      <x:c r="C803" s="9" t="str">
        <x:v>AR-CT-C-B-TECH-3-B2-RCN-G0</x:v>
      </x:c>
      <x:c r="D803" s="9" t="str">
        <x:v>CT-C-B-TECH-3</x:v>
      </x:c>
      <x:c r="E803" s="9" t="str">
        <x:v>CT-C-B</x:v>
      </x:c>
      <x:c r="F803" s="9" t="str">
        <x:v>B2</x:v>
      </x:c>
      <x:c r="G803" s="9" t="str">
        <x:v>RCN</x:v>
      </x:c>
      <x:c r="H803" s="9" t="str">
        <x:v>OG05</x:v>
      </x:c>
      <x:c r="I803" s="17" t="str">
        <x:v>Primary provenance</x:v>
      </x:c>
      <x:c r="J803" s="17" t="str">
        <x:v>primary originals, hashes, keys and access history reconcile</x:v>
      </x:c>
      <x:c r="K803" s="17" t="str">
        <x:v>Primary custody</x:v>
      </x:c>
      <x:c r="L803" s="9" t="n">
        <x:v>0</x:v>
      </x:c>
      <x:c r="M803" s="9" t="n">
        <x:v>0</x:v>
      </x:c>
      <x:c r="N803" s="9" t="str">
        <x:v>OPEN / UNACCEPTED</x:v>
      </x:c>
      <x:c r="O803" s="9" t="n">
        <x:f>COUNTIFS($A$7:$A$1734,A803)</x:f>
        <x:v>1</x:v>
      </x:c>
    </x:row>
    <x:row r="804">
      <x:c r="A804" s="9" t="str">
        <x:v>EV-AR-CT-C-B-TECH-3-B2-RCN-G0-OG06</x:v>
      </x:c>
      <x:c r="B804" s="9" t="str">
        <x:v>EV-AR-CT-C-B-TECH-3-B2-RCN-G0</x:v>
      </x:c>
      <x:c r="C804" s="9" t="str">
        <x:v>AR-CT-C-B-TECH-3-B2-RCN-G0</x:v>
      </x:c>
      <x:c r="D804" s="9" t="str">
        <x:v>CT-C-B-TECH-3</x:v>
      </x:c>
      <x:c r="E804" s="9" t="str">
        <x:v>CT-C-B</x:v>
      </x:c>
      <x:c r="F804" s="9" t="str">
        <x:v>B2</x:v>
      </x:c>
      <x:c r="G804" s="9" t="str">
        <x:v>RCN</x:v>
      </x:c>
      <x:c r="H804" s="9" t="str">
        <x:v>OG06</x:v>
      </x:c>
      <x:c r="I804" s="17" t="str">
        <x:v>Witness provenance</x:v>
      </x:c>
      <x:c r="J804" s="17" t="str">
        <x:v>unlike witness originals, hashes, keys and access history reconcile</x:v>
      </x:c>
      <x:c r="K804" s="17" t="str">
        <x:v>Witness custody</x:v>
      </x:c>
      <x:c r="L804" s="9" t="n">
        <x:v>0</x:v>
      </x:c>
      <x:c r="M804" s="9" t="n">
        <x:v>0</x:v>
      </x:c>
      <x:c r="N804" s="9" t="str">
        <x:v>OPEN / UNACCEPTED</x:v>
      </x:c>
      <x:c r="O804" s="9" t="n">
        <x:f>COUNTIFS($A$7:$A$1734,A804)</x:f>
        <x:v>1</x:v>
      </x:c>
    </x:row>
    <x:row r="805">
      <x:c r="A805" s="9" t="str">
        <x:v>EV-AR-CT-C-B-TECH-3-B2-RCN-G0-OG07</x:v>
      </x:c>
      <x:c r="B805" s="9" t="str">
        <x:v>EV-AR-CT-C-B-TECH-3-B2-RCN-G0</x:v>
      </x:c>
      <x:c r="C805" s="9" t="str">
        <x:v>AR-CT-C-B-TECH-3-B2-RCN-G0</x:v>
      </x:c>
      <x:c r="D805" s="9" t="str">
        <x:v>CT-C-B-TECH-3</x:v>
      </x:c>
      <x:c r="E805" s="9" t="str">
        <x:v>CT-C-B</x:v>
      </x:c>
      <x:c r="F805" s="9" t="str">
        <x:v>B2</x:v>
      </x:c>
      <x:c r="G805" s="9" t="str">
        <x:v>RCN</x:v>
      </x:c>
      <x:c r="H805" s="9" t="str">
        <x:v>OG07</x:v>
      </x:c>
      <x:c r="I805" s="17" t="str">
        <x:v>Receiver denominator</x:v>
      </x:c>
      <x:c r="J805" s="17" t="str">
        <x:v>population, quantity, duration and exclusions match the frozen receipt</x:v>
      </x:c>
      <x:c r="K805" s="17" t="str">
        <x:v>Receiver court</x:v>
      </x:c>
      <x:c r="L805" s="9" t="n">
        <x:v>0</x:v>
      </x:c>
      <x:c r="M805" s="9" t="n">
        <x:v>0</x:v>
      </x:c>
      <x:c r="N805" s="9" t="str">
        <x:v>OPEN / UNACCEPTED</x:v>
      </x:c>
      <x:c r="O805" s="9" t="n">
        <x:f>COUNTIFS($A$7:$A$1734,A805)</x:f>
        <x:v>1</x:v>
      </x:c>
    </x:row>
    <x:row r="806">
      <x:c r="A806" s="9" t="str">
        <x:v>EV-AR-CT-C-B-TECH-3-B2-RCN-G0-OG08</x:v>
      </x:c>
      <x:c r="B806" s="9" t="str">
        <x:v>EV-AR-CT-C-B-TECH-3-B2-RCN-G0</x:v>
      </x:c>
      <x:c r="C806" s="9" t="str">
        <x:v>AR-CT-C-B-TECH-3-B2-RCN-G0</x:v>
      </x:c>
      <x:c r="D806" s="9" t="str">
        <x:v>CT-C-B-TECH-3</x:v>
      </x:c>
      <x:c r="E806" s="9" t="str">
        <x:v>CT-C-B</x:v>
      </x:c>
      <x:c r="F806" s="9" t="str">
        <x:v>B2</x:v>
      </x:c>
      <x:c r="G806" s="9" t="str">
        <x:v>RCN</x:v>
      </x:c>
      <x:c r="H806" s="9" t="str">
        <x:v>OG08</x:v>
      </x:c>
      <x:c r="I806" s="17" t="str">
        <x:v>Environment and boundary</x:v>
      </x:c>
      <x:c r="J806" s="17" t="str">
        <x:v>registered weather, water, ground, inlet and outlet states are retained</x:v>
      </x:c>
      <x:c r="K806" s="17" t="str">
        <x:v>Boundary court</x:v>
      </x:c>
      <x:c r="L806" s="9" t="n">
        <x:v>0</x:v>
      </x:c>
      <x:c r="M806" s="9" t="n">
        <x:v>0</x:v>
      </x:c>
      <x:c r="N806" s="9" t="str">
        <x:v>OPEN / UNACCEPTED</x:v>
      </x:c>
      <x:c r="O806" s="9" t="n">
        <x:f>COUNTIFS($A$7:$A$1734,A806)</x:f>
        <x:v>1</x:v>
      </x:c>
    </x:row>
    <x:row r="807">
      <x:c r="A807" s="9" t="str">
        <x:v>EV-AR-CT-C-B-TECH-3-B2-RCN-G0-OG09</x:v>
      </x:c>
      <x:c r="B807" s="9" t="str">
        <x:v>EV-AR-CT-C-B-TECH-3-B2-RCN-G0</x:v>
      </x:c>
      <x:c r="C807" s="9" t="str">
        <x:v>AR-CT-C-B-TECH-3-B2-RCN-G0</x:v>
      </x:c>
      <x:c r="D807" s="9" t="str">
        <x:v>CT-C-B-TECH-3</x:v>
      </x:c>
      <x:c r="E807" s="9" t="str">
        <x:v>CT-C-B</x:v>
      </x:c>
      <x:c r="F807" s="9" t="str">
        <x:v>B2</x:v>
      </x:c>
      <x:c r="G807" s="9" t="str">
        <x:v>RCN</x:v>
      </x:c>
      <x:c r="H807" s="9" t="str">
        <x:v>OG09</x:v>
      </x:c>
      <x:c r="I807" s="17" t="str">
        <x:v>Intervention account</x:v>
      </x:c>
      <x:c r="J807" s="17" t="str">
        <x:v>all stop, rescue, operator and public-protection actions remain timestamped</x:v>
      </x:c>
      <x:c r="K807" s="17" t="str">
        <x:v>Safety record court</x:v>
      </x:c>
      <x:c r="L807" s="9" t="n">
        <x:v>0</x:v>
      </x:c>
      <x:c r="M807" s="9" t="n">
        <x:v>0</x:v>
      </x:c>
      <x:c r="N807" s="9" t="str">
        <x:v>OPEN / UNACCEPTED</x:v>
      </x:c>
      <x:c r="O807" s="9" t="n">
        <x:f>COUNTIFS($A$7:$A$1734,A807)</x:f>
        <x:v>1</x:v>
      </x:c>
    </x:row>
    <x:row r="808">
      <x:c r="A808" s="9" t="str">
        <x:v>EV-AR-CT-C-B-TECH-3-B2-RCN-G0-OG10</x:v>
      </x:c>
      <x:c r="B808" s="9" t="str">
        <x:v>EV-AR-CT-C-B-TECH-3-B2-RCN-G0</x:v>
      </x:c>
      <x:c r="C808" s="9" t="str">
        <x:v>AR-CT-C-B-TECH-3-B2-RCN-G0</x:v>
      </x:c>
      <x:c r="D808" s="9" t="str">
        <x:v>CT-C-B-TECH-3</x:v>
      </x:c>
      <x:c r="E808" s="9" t="str">
        <x:v>CT-C-B</x:v>
      </x:c>
      <x:c r="F808" s="9" t="str">
        <x:v>B2</x:v>
      </x:c>
      <x:c r="G808" s="9" t="str">
        <x:v>RCN</x:v>
      </x:c>
      <x:c r="H808" s="9" t="str">
        <x:v>OG10</x:v>
      </x:c>
      <x:c r="I808" s="17" t="str">
        <x:v>Uncertainty statement</x:v>
      </x:c>
      <x:c r="J808" s="17" t="str">
        <x:v>range, censoring, resolution and correlation are declared before judgment</x:v>
      </x:c>
      <x:c r="K808" s="17" t="str">
        <x:v>Uncertainty authority</x:v>
      </x:c>
      <x:c r="L808" s="9" t="n">
        <x:v>0</x:v>
      </x:c>
      <x:c r="M808" s="9" t="n">
        <x:v>0</x:v>
      </x:c>
      <x:c r="N808" s="9" t="str">
        <x:v>OPEN / UNACCEPTED</x:v>
      </x:c>
      <x:c r="O808" s="9" t="n">
        <x:f>COUNTIFS($A$7:$A$1734,A808)</x:f>
        <x:v>1</x:v>
      </x:c>
    </x:row>
    <x:row r="809">
      <x:c r="A809" s="9" t="str">
        <x:v>EV-AR-CT-C-B-TECH-3-B2-RCN-G0-OG11</x:v>
      </x:c>
      <x:c r="B809" s="9" t="str">
        <x:v>EV-AR-CT-C-B-TECH-3-B2-RCN-G0</x:v>
      </x:c>
      <x:c r="C809" s="9" t="str">
        <x:v>AR-CT-C-B-TECH-3-B2-RCN-G0</x:v>
      </x:c>
      <x:c r="D809" s="9" t="str">
        <x:v>CT-C-B-TECH-3</x:v>
      </x:c>
      <x:c r="E809" s="9" t="str">
        <x:v>CT-C-B</x:v>
      </x:c>
      <x:c r="F809" s="9" t="str">
        <x:v>B2</x:v>
      </x:c>
      <x:c r="G809" s="9" t="str">
        <x:v>RCN</x:v>
      </x:c>
      <x:c r="H809" s="9" t="str">
        <x:v>OG11</x:v>
      </x:c>
      <x:c r="I809" s="17" t="str">
        <x:v>Contradiction preservation</x:v>
      </x:c>
      <x:c r="J809" s="17" t="str">
        <x:v>primary-witness disagreement remains explicit and is never averaged away</x:v>
      </x:c>
      <x:c r="K809" s="17" t="str">
        <x:v>Dissent registrar</x:v>
      </x:c>
      <x:c r="L809" s="9" t="n">
        <x:v>0</x:v>
      </x:c>
      <x:c r="M809" s="9" t="n">
        <x:v>0</x:v>
      </x:c>
      <x:c r="N809" s="9" t="str">
        <x:v>OPEN / UNACCEPTED</x:v>
      </x:c>
      <x:c r="O809" s="9" t="n">
        <x:f>COUNTIFS($A$7:$A$1734,A809)</x:f>
        <x:v>1</x:v>
      </x:c>
    </x:row>
    <x:row r="810">
      <x:c r="A810" s="9" t="str">
        <x:v>EV-AR-CT-C-B-TECH-3-B2-RCN-G0-OG12</x:v>
      </x:c>
      <x:c r="B810" s="9" t="str">
        <x:v>EV-AR-CT-C-B-TECH-3-B2-RCN-G0</x:v>
      </x:c>
      <x:c r="C810" s="9" t="str">
        <x:v>AR-CT-C-B-TECH-3-B2-RCN-G0</x:v>
      </x:c>
      <x:c r="D810" s="9" t="str">
        <x:v>CT-C-B-TECH-3</x:v>
      </x:c>
      <x:c r="E810" s="9" t="str">
        <x:v>CT-C-B</x:v>
      </x:c>
      <x:c r="F810" s="9" t="str">
        <x:v>B2</x:v>
      </x:c>
      <x:c r="G810" s="9" t="str">
        <x:v>RCN</x:v>
      </x:c>
      <x:c r="H810" s="9" t="str">
        <x:v>OG12</x:v>
      </x:c>
      <x:c r="I810" s="17" t="str">
        <x:v>Independent replay</x:v>
      </x:c>
      <x:c r="J810" s="17" t="str">
        <x:v>a separated reader reconstructs the registered observables from sealed originals</x:v>
      </x:c>
      <x:c r="K810" s="17" t="str">
        <x:v>Replay court</x:v>
      </x:c>
      <x:c r="L810" s="9" t="n">
        <x:v>0</x:v>
      </x:c>
      <x:c r="M810" s="9" t="n">
        <x:v>0</x:v>
      </x:c>
      <x:c r="N810" s="9" t="str">
        <x:v>OPEN / UNACCEPTED</x:v>
      </x:c>
      <x:c r="O810" s="9" t="n">
        <x:f>COUNTIFS($A$7:$A$1734,A810)</x:f>
        <x:v>1</x:v>
      </x:c>
    </x:row>
    <x:row r="811">
      <x:c r="A811" s="9" t="str">
        <x:v>EV-AR-CT-C-B-TECH-1-B2-INT-G0-OG01</x:v>
      </x:c>
      <x:c r="B811" s="9" t="str">
        <x:v>EV-AR-CT-C-B-TECH-1-B2-INT-G0</x:v>
      </x:c>
      <x:c r="C811" s="9" t="str">
        <x:v>AR-CT-C-B-TECH-1-B2-INT-G0</x:v>
      </x:c>
      <x:c r="D811" s="9" t="str">
        <x:v>CT-C-B-TECH-1</x:v>
      </x:c>
      <x:c r="E811" s="9" t="str">
        <x:v>CT-C-B</x:v>
      </x:c>
      <x:c r="F811" s="9" t="str">
        <x:v>B2</x:v>
      </x:c>
      <x:c r="G811" s="9" t="str">
        <x:v>INT</x:v>
      </x:c>
      <x:c r="H811" s="9" t="str">
        <x:v>OG01</x:v>
      </x:c>
      <x:c r="I811" s="17" t="str">
        <x:v>Serial and event identity</x:v>
      </x:c>
      <x:c r="J811" s="17" t="str">
        <x:v>record resolves to the issued serial, generation and physical start</x:v>
      </x:c>
      <x:c r="K811" s="17" t="str">
        <x:v>Observation court</x:v>
      </x:c>
      <x:c r="L811" s="9" t="n">
        <x:v>0</x:v>
      </x:c>
      <x:c r="M811" s="9" t="n">
        <x:v>0</x:v>
      </x:c>
      <x:c r="N811" s="9" t="str">
        <x:v>OPEN / UNACCEPTED</x:v>
      </x:c>
      <x:c r="O811" s="9" t="n">
        <x:f>COUNTIFS($A$7:$A$1734,A811)</x:f>
        <x:v>1</x:v>
      </x:c>
    </x:row>
    <x:row r="812">
      <x:c r="A812" s="9" t="str">
        <x:v>EV-AR-CT-C-B-TECH-1-B2-INT-G0-OG02</x:v>
      </x:c>
      <x:c r="B812" s="9" t="str">
        <x:v>EV-AR-CT-C-B-TECH-1-B2-INT-G0</x:v>
      </x:c>
      <x:c r="C812" s="9" t="str">
        <x:v>AR-CT-C-B-TECH-1-B2-INT-G0</x:v>
      </x:c>
      <x:c r="D812" s="9" t="str">
        <x:v>CT-C-B-TECH-1</x:v>
      </x:c>
      <x:c r="E812" s="9" t="str">
        <x:v>CT-C-B</x:v>
      </x:c>
      <x:c r="F812" s="9" t="str">
        <x:v>B2</x:v>
      </x:c>
      <x:c r="G812" s="9" t="str">
        <x:v>INT</x:v>
      </x:c>
      <x:c r="H812" s="9" t="str">
        <x:v>OG02</x:v>
      </x:c>
      <x:c r="I812" s="17" t="str">
        <x:v>Time ancestry</x:v>
      </x:c>
      <x:c r="J812" s="17" t="str">
        <x:v>primary, witness and public event clocks retain declared offsets and drift</x:v>
      </x:c>
      <x:c r="K812" s="17" t="str">
        <x:v>Time authority</x:v>
      </x:c>
      <x:c r="L812" s="9" t="n">
        <x:v>0</x:v>
      </x:c>
      <x:c r="M812" s="9" t="n">
        <x:v>0</x:v>
      </x:c>
      <x:c r="N812" s="9" t="str">
        <x:v>OPEN / UNACCEPTED</x:v>
      </x:c>
      <x:c r="O812" s="9" t="n">
        <x:f>COUNTIFS($A$7:$A$1734,A812)</x:f>
        <x:v>1</x:v>
      </x:c>
    </x:row>
    <x:row r="813">
      <x:c r="A813" s="9" t="str">
        <x:v>EV-AR-CT-C-B-TECH-1-B2-INT-G0-OG03</x:v>
      </x:c>
      <x:c r="B813" s="9" t="str">
        <x:v>EV-AR-CT-C-B-TECH-1-B2-INT-G0</x:v>
      </x:c>
      <x:c r="C813" s="9" t="str">
        <x:v>AR-CT-C-B-TECH-1-B2-INT-G0</x:v>
      </x:c>
      <x:c r="D813" s="9" t="str">
        <x:v>CT-C-B-TECH-1</x:v>
      </x:c>
      <x:c r="E813" s="9" t="str">
        <x:v>CT-C-B</x:v>
      </x:c>
      <x:c r="F813" s="9" t="str">
        <x:v>B2</x:v>
      </x:c>
      <x:c r="G813" s="9" t="str">
        <x:v>INT</x:v>
      </x:c>
      <x:c r="H813" s="9" t="str">
        <x:v>OG03</x:v>
      </x:c>
      <x:c r="I813" s="17" t="str">
        <x:v>Calibration ancestry</x:v>
      </x:c>
      <x:c r="J813" s="17" t="str">
        <x:v>all reference, range and uncertainty states cover the live interval</x:v>
      </x:c>
      <x:c r="K813" s="17" t="str">
        <x:v>Metrology courts</x:v>
      </x:c>
      <x:c r="L813" s="9" t="n">
        <x:v>0</x:v>
      </x:c>
      <x:c r="M813" s="9" t="n">
        <x:v>0</x:v>
      </x:c>
      <x:c r="N813" s="9" t="str">
        <x:v>OPEN / UNACCEPTED</x:v>
      </x:c>
      <x:c r="O813" s="9" t="n">
        <x:f>COUNTIFS($A$7:$A$1734,A813)</x:f>
        <x:v>1</x:v>
      </x:c>
    </x:row>
    <x:row r="814">
      <x:c r="A814" s="9" t="str">
        <x:v>EV-AR-CT-C-B-TECH-1-B2-INT-G0-OG04</x:v>
      </x:c>
      <x:c r="B814" s="9" t="str">
        <x:v>EV-AR-CT-C-B-TECH-1-B2-INT-G0</x:v>
      </x:c>
      <x:c r="C814" s="9" t="str">
        <x:v>AR-CT-C-B-TECH-1-B2-INT-G0</x:v>
      </x:c>
      <x:c r="D814" s="9" t="str">
        <x:v>CT-C-B-TECH-1</x:v>
      </x:c>
      <x:c r="E814" s="9" t="str">
        <x:v>CT-C-B</x:v>
      </x:c>
      <x:c r="F814" s="9" t="str">
        <x:v>B2</x:v>
      </x:c>
      <x:c r="G814" s="9" t="str">
        <x:v>INT</x:v>
      </x:c>
      <x:c r="H814" s="9" t="str">
        <x:v>OG04</x:v>
      </x:c>
      <x:c r="I814" s="17" t="str">
        <x:v>Raw completeness</x:v>
      </x:c>
      <x:c r="J814" s="17" t="str">
        <x:v>missingness is enumerated without imputation or outcome-conditioned deletion</x:v>
      </x:c>
      <x:c r="K814" s="17" t="str">
        <x:v>Observation court</x:v>
      </x:c>
      <x:c r="L814" s="9" t="n">
        <x:v>0</x:v>
      </x:c>
      <x:c r="M814" s="9" t="n">
        <x:v>0</x:v>
      </x:c>
      <x:c r="N814" s="9" t="str">
        <x:v>OPEN / UNACCEPTED</x:v>
      </x:c>
      <x:c r="O814" s="9" t="n">
        <x:f>COUNTIFS($A$7:$A$1734,A814)</x:f>
        <x:v>1</x:v>
      </x:c>
    </x:row>
    <x:row r="815">
      <x:c r="A815" s="9" t="str">
        <x:v>EV-AR-CT-C-B-TECH-1-B2-INT-G0-OG05</x:v>
      </x:c>
      <x:c r="B815" s="9" t="str">
        <x:v>EV-AR-CT-C-B-TECH-1-B2-INT-G0</x:v>
      </x:c>
      <x:c r="C815" s="9" t="str">
        <x:v>AR-CT-C-B-TECH-1-B2-INT-G0</x:v>
      </x:c>
      <x:c r="D815" s="9" t="str">
        <x:v>CT-C-B-TECH-1</x:v>
      </x:c>
      <x:c r="E815" s="9" t="str">
        <x:v>CT-C-B</x:v>
      </x:c>
      <x:c r="F815" s="9" t="str">
        <x:v>B2</x:v>
      </x:c>
      <x:c r="G815" s="9" t="str">
        <x:v>INT</x:v>
      </x:c>
      <x:c r="H815" s="9" t="str">
        <x:v>OG05</x:v>
      </x:c>
      <x:c r="I815" s="17" t="str">
        <x:v>Primary provenance</x:v>
      </x:c>
      <x:c r="J815" s="17" t="str">
        <x:v>primary originals, hashes, keys and access history reconcile</x:v>
      </x:c>
      <x:c r="K815" s="17" t="str">
        <x:v>Primary custody</x:v>
      </x:c>
      <x:c r="L815" s="9" t="n">
        <x:v>0</x:v>
      </x:c>
      <x:c r="M815" s="9" t="n">
        <x:v>0</x:v>
      </x:c>
      <x:c r="N815" s="9" t="str">
        <x:v>OPEN / UNACCEPTED</x:v>
      </x:c>
      <x:c r="O815" s="9" t="n">
        <x:f>COUNTIFS($A$7:$A$1734,A815)</x:f>
        <x:v>1</x:v>
      </x:c>
    </x:row>
    <x:row r="816">
      <x:c r="A816" s="9" t="str">
        <x:v>EV-AR-CT-C-B-TECH-1-B2-INT-G0-OG06</x:v>
      </x:c>
      <x:c r="B816" s="9" t="str">
        <x:v>EV-AR-CT-C-B-TECH-1-B2-INT-G0</x:v>
      </x:c>
      <x:c r="C816" s="9" t="str">
        <x:v>AR-CT-C-B-TECH-1-B2-INT-G0</x:v>
      </x:c>
      <x:c r="D816" s="9" t="str">
        <x:v>CT-C-B-TECH-1</x:v>
      </x:c>
      <x:c r="E816" s="9" t="str">
        <x:v>CT-C-B</x:v>
      </x:c>
      <x:c r="F816" s="9" t="str">
        <x:v>B2</x:v>
      </x:c>
      <x:c r="G816" s="9" t="str">
        <x:v>INT</x:v>
      </x:c>
      <x:c r="H816" s="9" t="str">
        <x:v>OG06</x:v>
      </x:c>
      <x:c r="I816" s="17" t="str">
        <x:v>Witness provenance</x:v>
      </x:c>
      <x:c r="J816" s="17" t="str">
        <x:v>unlike witness originals, hashes, keys and access history reconcile</x:v>
      </x:c>
      <x:c r="K816" s="17" t="str">
        <x:v>Witness custody</x:v>
      </x:c>
      <x:c r="L816" s="9" t="n">
        <x:v>0</x:v>
      </x:c>
      <x:c r="M816" s="9" t="n">
        <x:v>0</x:v>
      </x:c>
      <x:c r="N816" s="9" t="str">
        <x:v>OPEN / UNACCEPTED</x:v>
      </x:c>
      <x:c r="O816" s="9" t="n">
        <x:f>COUNTIFS($A$7:$A$1734,A816)</x:f>
        <x:v>1</x:v>
      </x:c>
    </x:row>
    <x:row r="817">
      <x:c r="A817" s="9" t="str">
        <x:v>EV-AR-CT-C-B-TECH-1-B2-INT-G0-OG07</x:v>
      </x:c>
      <x:c r="B817" s="9" t="str">
        <x:v>EV-AR-CT-C-B-TECH-1-B2-INT-G0</x:v>
      </x:c>
      <x:c r="C817" s="9" t="str">
        <x:v>AR-CT-C-B-TECH-1-B2-INT-G0</x:v>
      </x:c>
      <x:c r="D817" s="9" t="str">
        <x:v>CT-C-B-TECH-1</x:v>
      </x:c>
      <x:c r="E817" s="9" t="str">
        <x:v>CT-C-B</x:v>
      </x:c>
      <x:c r="F817" s="9" t="str">
        <x:v>B2</x:v>
      </x:c>
      <x:c r="G817" s="9" t="str">
        <x:v>INT</x:v>
      </x:c>
      <x:c r="H817" s="9" t="str">
        <x:v>OG07</x:v>
      </x:c>
      <x:c r="I817" s="17" t="str">
        <x:v>Receiver denominator</x:v>
      </x:c>
      <x:c r="J817" s="17" t="str">
        <x:v>population, quantity, duration and exclusions match the frozen receipt</x:v>
      </x:c>
      <x:c r="K817" s="17" t="str">
        <x:v>Receiver court</x:v>
      </x:c>
      <x:c r="L817" s="9" t="n">
        <x:v>0</x:v>
      </x:c>
      <x:c r="M817" s="9" t="n">
        <x:v>0</x:v>
      </x:c>
      <x:c r="N817" s="9" t="str">
        <x:v>OPEN / UNACCEPTED</x:v>
      </x:c>
      <x:c r="O817" s="9" t="n">
        <x:f>COUNTIFS($A$7:$A$1734,A817)</x:f>
        <x:v>1</x:v>
      </x:c>
    </x:row>
    <x:row r="818">
      <x:c r="A818" s="9" t="str">
        <x:v>EV-AR-CT-C-B-TECH-1-B2-INT-G0-OG08</x:v>
      </x:c>
      <x:c r="B818" s="9" t="str">
        <x:v>EV-AR-CT-C-B-TECH-1-B2-INT-G0</x:v>
      </x:c>
      <x:c r="C818" s="9" t="str">
        <x:v>AR-CT-C-B-TECH-1-B2-INT-G0</x:v>
      </x:c>
      <x:c r="D818" s="9" t="str">
        <x:v>CT-C-B-TECH-1</x:v>
      </x:c>
      <x:c r="E818" s="9" t="str">
        <x:v>CT-C-B</x:v>
      </x:c>
      <x:c r="F818" s="9" t="str">
        <x:v>B2</x:v>
      </x:c>
      <x:c r="G818" s="9" t="str">
        <x:v>INT</x:v>
      </x:c>
      <x:c r="H818" s="9" t="str">
        <x:v>OG08</x:v>
      </x:c>
      <x:c r="I818" s="17" t="str">
        <x:v>Environment and boundary</x:v>
      </x:c>
      <x:c r="J818" s="17" t="str">
        <x:v>registered weather, water, ground, inlet and outlet states are retained</x:v>
      </x:c>
      <x:c r="K818" s="17" t="str">
        <x:v>Boundary court</x:v>
      </x:c>
      <x:c r="L818" s="9" t="n">
        <x:v>0</x:v>
      </x:c>
      <x:c r="M818" s="9" t="n">
        <x:v>0</x:v>
      </x:c>
      <x:c r="N818" s="9" t="str">
        <x:v>OPEN / UNACCEPTED</x:v>
      </x:c>
      <x:c r="O818" s="9" t="n">
        <x:f>COUNTIFS($A$7:$A$1734,A818)</x:f>
        <x:v>1</x:v>
      </x:c>
    </x:row>
    <x:row r="819">
      <x:c r="A819" s="9" t="str">
        <x:v>EV-AR-CT-C-B-TECH-1-B2-INT-G0-OG09</x:v>
      </x:c>
      <x:c r="B819" s="9" t="str">
        <x:v>EV-AR-CT-C-B-TECH-1-B2-INT-G0</x:v>
      </x:c>
      <x:c r="C819" s="9" t="str">
        <x:v>AR-CT-C-B-TECH-1-B2-INT-G0</x:v>
      </x:c>
      <x:c r="D819" s="9" t="str">
        <x:v>CT-C-B-TECH-1</x:v>
      </x:c>
      <x:c r="E819" s="9" t="str">
        <x:v>CT-C-B</x:v>
      </x:c>
      <x:c r="F819" s="9" t="str">
        <x:v>B2</x:v>
      </x:c>
      <x:c r="G819" s="9" t="str">
        <x:v>INT</x:v>
      </x:c>
      <x:c r="H819" s="9" t="str">
        <x:v>OG09</x:v>
      </x:c>
      <x:c r="I819" s="17" t="str">
        <x:v>Intervention account</x:v>
      </x:c>
      <x:c r="J819" s="17" t="str">
        <x:v>all stop, rescue, operator and public-protection actions remain timestamped</x:v>
      </x:c>
      <x:c r="K819" s="17" t="str">
        <x:v>Safety record court</x:v>
      </x:c>
      <x:c r="L819" s="9" t="n">
        <x:v>0</x:v>
      </x:c>
      <x:c r="M819" s="9" t="n">
        <x:v>0</x:v>
      </x:c>
      <x:c r="N819" s="9" t="str">
        <x:v>OPEN / UNACCEPTED</x:v>
      </x:c>
      <x:c r="O819" s="9" t="n">
        <x:f>COUNTIFS($A$7:$A$1734,A819)</x:f>
        <x:v>1</x:v>
      </x:c>
    </x:row>
    <x:row r="820">
      <x:c r="A820" s="9" t="str">
        <x:v>EV-AR-CT-C-B-TECH-1-B2-INT-G0-OG10</x:v>
      </x:c>
      <x:c r="B820" s="9" t="str">
        <x:v>EV-AR-CT-C-B-TECH-1-B2-INT-G0</x:v>
      </x:c>
      <x:c r="C820" s="9" t="str">
        <x:v>AR-CT-C-B-TECH-1-B2-INT-G0</x:v>
      </x:c>
      <x:c r="D820" s="9" t="str">
        <x:v>CT-C-B-TECH-1</x:v>
      </x:c>
      <x:c r="E820" s="9" t="str">
        <x:v>CT-C-B</x:v>
      </x:c>
      <x:c r="F820" s="9" t="str">
        <x:v>B2</x:v>
      </x:c>
      <x:c r="G820" s="9" t="str">
        <x:v>INT</x:v>
      </x:c>
      <x:c r="H820" s="9" t="str">
        <x:v>OG10</x:v>
      </x:c>
      <x:c r="I820" s="17" t="str">
        <x:v>Uncertainty statement</x:v>
      </x:c>
      <x:c r="J820" s="17" t="str">
        <x:v>range, censoring, resolution and correlation are declared before judgment</x:v>
      </x:c>
      <x:c r="K820" s="17" t="str">
        <x:v>Uncertainty authority</x:v>
      </x:c>
      <x:c r="L820" s="9" t="n">
        <x:v>0</x:v>
      </x:c>
      <x:c r="M820" s="9" t="n">
        <x:v>0</x:v>
      </x:c>
      <x:c r="N820" s="9" t="str">
        <x:v>OPEN / UNACCEPTED</x:v>
      </x:c>
      <x:c r="O820" s="9" t="n">
        <x:f>COUNTIFS($A$7:$A$1734,A820)</x:f>
        <x:v>1</x:v>
      </x:c>
    </x:row>
    <x:row r="821">
      <x:c r="A821" s="9" t="str">
        <x:v>EV-AR-CT-C-B-TECH-1-B2-INT-G0-OG11</x:v>
      </x:c>
      <x:c r="B821" s="9" t="str">
        <x:v>EV-AR-CT-C-B-TECH-1-B2-INT-G0</x:v>
      </x:c>
      <x:c r="C821" s="9" t="str">
        <x:v>AR-CT-C-B-TECH-1-B2-INT-G0</x:v>
      </x:c>
      <x:c r="D821" s="9" t="str">
        <x:v>CT-C-B-TECH-1</x:v>
      </x:c>
      <x:c r="E821" s="9" t="str">
        <x:v>CT-C-B</x:v>
      </x:c>
      <x:c r="F821" s="9" t="str">
        <x:v>B2</x:v>
      </x:c>
      <x:c r="G821" s="9" t="str">
        <x:v>INT</x:v>
      </x:c>
      <x:c r="H821" s="9" t="str">
        <x:v>OG11</x:v>
      </x:c>
      <x:c r="I821" s="17" t="str">
        <x:v>Contradiction preservation</x:v>
      </x:c>
      <x:c r="J821" s="17" t="str">
        <x:v>primary-witness disagreement remains explicit and is never averaged away</x:v>
      </x:c>
      <x:c r="K821" s="17" t="str">
        <x:v>Dissent registrar</x:v>
      </x:c>
      <x:c r="L821" s="9" t="n">
        <x:v>0</x:v>
      </x:c>
      <x:c r="M821" s="9" t="n">
        <x:v>0</x:v>
      </x:c>
      <x:c r="N821" s="9" t="str">
        <x:v>OPEN / UNACCEPTED</x:v>
      </x:c>
      <x:c r="O821" s="9" t="n">
        <x:f>COUNTIFS($A$7:$A$1734,A821)</x:f>
        <x:v>1</x:v>
      </x:c>
    </x:row>
    <x:row r="822">
      <x:c r="A822" s="9" t="str">
        <x:v>EV-AR-CT-C-B-TECH-1-B2-INT-G0-OG12</x:v>
      </x:c>
      <x:c r="B822" s="9" t="str">
        <x:v>EV-AR-CT-C-B-TECH-1-B2-INT-G0</x:v>
      </x:c>
      <x:c r="C822" s="9" t="str">
        <x:v>AR-CT-C-B-TECH-1-B2-INT-G0</x:v>
      </x:c>
      <x:c r="D822" s="9" t="str">
        <x:v>CT-C-B-TECH-1</x:v>
      </x:c>
      <x:c r="E822" s="9" t="str">
        <x:v>CT-C-B</x:v>
      </x:c>
      <x:c r="F822" s="9" t="str">
        <x:v>B2</x:v>
      </x:c>
      <x:c r="G822" s="9" t="str">
        <x:v>INT</x:v>
      </x:c>
      <x:c r="H822" s="9" t="str">
        <x:v>OG12</x:v>
      </x:c>
      <x:c r="I822" s="17" t="str">
        <x:v>Independent replay</x:v>
      </x:c>
      <x:c r="J822" s="17" t="str">
        <x:v>a separated reader reconstructs the registered observables from sealed originals</x:v>
      </x:c>
      <x:c r="K822" s="17" t="str">
        <x:v>Replay court</x:v>
      </x:c>
      <x:c r="L822" s="9" t="n">
        <x:v>0</x:v>
      </x:c>
      <x:c r="M822" s="9" t="n">
        <x:v>0</x:v>
      </x:c>
      <x:c r="N822" s="9" t="str">
        <x:v>OPEN / UNACCEPTED</x:v>
      </x:c>
      <x:c r="O822" s="9" t="n">
        <x:f>COUNTIFS($A$7:$A$1734,A822)</x:f>
        <x:v>1</x:v>
      </x:c>
    </x:row>
    <x:row r="823">
      <x:c r="A823" s="9" t="str">
        <x:v>EV-AR-HC-A-C-TECH-1-B1-INT-G0-OG01</x:v>
      </x:c>
      <x:c r="B823" s="9" t="str">
        <x:v>EV-AR-HC-A-C-TECH-1-B1-INT-G0</x:v>
      </x:c>
      <x:c r="C823" s="9" t="str">
        <x:v>AR-HC-A-C-TECH-1-B1-INT-G0</x:v>
      </x:c>
      <x:c r="D823" s="9" t="str">
        <x:v>HC-A-C-TECH-1</x:v>
      </x:c>
      <x:c r="E823" s="9" t="str">
        <x:v>HC-A-C</x:v>
      </x:c>
      <x:c r="F823" s="9" t="str">
        <x:v>B1</x:v>
      </x:c>
      <x:c r="G823" s="9" t="str">
        <x:v>INT</x:v>
      </x:c>
      <x:c r="H823" s="9" t="str">
        <x:v>OG01</x:v>
      </x:c>
      <x:c r="I823" s="17" t="str">
        <x:v>Serial and event identity</x:v>
      </x:c>
      <x:c r="J823" s="17" t="str">
        <x:v>record resolves to the issued serial, generation and physical start</x:v>
      </x:c>
      <x:c r="K823" s="17" t="str">
        <x:v>Observation court</x:v>
      </x:c>
      <x:c r="L823" s="9" t="n">
        <x:v>0</x:v>
      </x:c>
      <x:c r="M823" s="9" t="n">
        <x:v>0</x:v>
      </x:c>
      <x:c r="N823" s="9" t="str">
        <x:v>OPEN / UNACCEPTED</x:v>
      </x:c>
      <x:c r="O823" s="9" t="n">
        <x:f>COUNTIFS($A$7:$A$1734,A823)</x:f>
        <x:v>1</x:v>
      </x:c>
    </x:row>
    <x:row r="824">
      <x:c r="A824" s="9" t="str">
        <x:v>EV-AR-HC-A-C-TECH-1-B1-INT-G0-OG02</x:v>
      </x:c>
      <x:c r="B824" s="9" t="str">
        <x:v>EV-AR-HC-A-C-TECH-1-B1-INT-G0</x:v>
      </x:c>
      <x:c r="C824" s="9" t="str">
        <x:v>AR-HC-A-C-TECH-1-B1-INT-G0</x:v>
      </x:c>
      <x:c r="D824" s="9" t="str">
        <x:v>HC-A-C-TECH-1</x:v>
      </x:c>
      <x:c r="E824" s="9" t="str">
        <x:v>HC-A-C</x:v>
      </x:c>
      <x:c r="F824" s="9" t="str">
        <x:v>B1</x:v>
      </x:c>
      <x:c r="G824" s="9" t="str">
        <x:v>INT</x:v>
      </x:c>
      <x:c r="H824" s="9" t="str">
        <x:v>OG02</x:v>
      </x:c>
      <x:c r="I824" s="17" t="str">
        <x:v>Time ancestry</x:v>
      </x:c>
      <x:c r="J824" s="17" t="str">
        <x:v>primary, witness and public event clocks retain declared offsets and drift</x:v>
      </x:c>
      <x:c r="K824" s="17" t="str">
        <x:v>Time authority</x:v>
      </x:c>
      <x:c r="L824" s="9" t="n">
        <x:v>0</x:v>
      </x:c>
      <x:c r="M824" s="9" t="n">
        <x:v>0</x:v>
      </x:c>
      <x:c r="N824" s="9" t="str">
        <x:v>OPEN / UNACCEPTED</x:v>
      </x:c>
      <x:c r="O824" s="9" t="n">
        <x:f>COUNTIFS($A$7:$A$1734,A824)</x:f>
        <x:v>1</x:v>
      </x:c>
    </x:row>
    <x:row r="825">
      <x:c r="A825" s="9" t="str">
        <x:v>EV-AR-HC-A-C-TECH-1-B1-INT-G0-OG03</x:v>
      </x:c>
      <x:c r="B825" s="9" t="str">
        <x:v>EV-AR-HC-A-C-TECH-1-B1-INT-G0</x:v>
      </x:c>
      <x:c r="C825" s="9" t="str">
        <x:v>AR-HC-A-C-TECH-1-B1-INT-G0</x:v>
      </x:c>
      <x:c r="D825" s="9" t="str">
        <x:v>HC-A-C-TECH-1</x:v>
      </x:c>
      <x:c r="E825" s="9" t="str">
        <x:v>HC-A-C</x:v>
      </x:c>
      <x:c r="F825" s="9" t="str">
        <x:v>B1</x:v>
      </x:c>
      <x:c r="G825" s="9" t="str">
        <x:v>INT</x:v>
      </x:c>
      <x:c r="H825" s="9" t="str">
        <x:v>OG03</x:v>
      </x:c>
      <x:c r="I825" s="17" t="str">
        <x:v>Calibration ancestry</x:v>
      </x:c>
      <x:c r="J825" s="17" t="str">
        <x:v>all reference, range and uncertainty states cover the live interval</x:v>
      </x:c>
      <x:c r="K825" s="17" t="str">
        <x:v>Metrology courts</x:v>
      </x:c>
      <x:c r="L825" s="9" t="n">
        <x:v>0</x:v>
      </x:c>
      <x:c r="M825" s="9" t="n">
        <x:v>0</x:v>
      </x:c>
      <x:c r="N825" s="9" t="str">
        <x:v>OPEN / UNACCEPTED</x:v>
      </x:c>
      <x:c r="O825" s="9" t="n">
        <x:f>COUNTIFS($A$7:$A$1734,A825)</x:f>
        <x:v>1</x:v>
      </x:c>
    </x:row>
    <x:row r="826">
      <x:c r="A826" s="9" t="str">
        <x:v>EV-AR-HC-A-C-TECH-1-B1-INT-G0-OG04</x:v>
      </x:c>
      <x:c r="B826" s="9" t="str">
        <x:v>EV-AR-HC-A-C-TECH-1-B1-INT-G0</x:v>
      </x:c>
      <x:c r="C826" s="9" t="str">
        <x:v>AR-HC-A-C-TECH-1-B1-INT-G0</x:v>
      </x:c>
      <x:c r="D826" s="9" t="str">
        <x:v>HC-A-C-TECH-1</x:v>
      </x:c>
      <x:c r="E826" s="9" t="str">
        <x:v>HC-A-C</x:v>
      </x:c>
      <x:c r="F826" s="9" t="str">
        <x:v>B1</x:v>
      </x:c>
      <x:c r="G826" s="9" t="str">
        <x:v>INT</x:v>
      </x:c>
      <x:c r="H826" s="9" t="str">
        <x:v>OG04</x:v>
      </x:c>
      <x:c r="I826" s="17" t="str">
        <x:v>Raw completeness</x:v>
      </x:c>
      <x:c r="J826" s="17" t="str">
        <x:v>missingness is enumerated without imputation or outcome-conditioned deletion</x:v>
      </x:c>
      <x:c r="K826" s="17" t="str">
        <x:v>Observation court</x:v>
      </x:c>
      <x:c r="L826" s="9" t="n">
        <x:v>0</x:v>
      </x:c>
      <x:c r="M826" s="9" t="n">
        <x:v>0</x:v>
      </x:c>
      <x:c r="N826" s="9" t="str">
        <x:v>OPEN / UNACCEPTED</x:v>
      </x:c>
      <x:c r="O826" s="9" t="n">
        <x:f>COUNTIFS($A$7:$A$1734,A826)</x:f>
        <x:v>1</x:v>
      </x:c>
    </x:row>
    <x:row r="827">
      <x:c r="A827" s="9" t="str">
        <x:v>EV-AR-HC-A-C-TECH-1-B1-INT-G0-OG05</x:v>
      </x:c>
      <x:c r="B827" s="9" t="str">
        <x:v>EV-AR-HC-A-C-TECH-1-B1-INT-G0</x:v>
      </x:c>
      <x:c r="C827" s="9" t="str">
        <x:v>AR-HC-A-C-TECH-1-B1-INT-G0</x:v>
      </x:c>
      <x:c r="D827" s="9" t="str">
        <x:v>HC-A-C-TECH-1</x:v>
      </x:c>
      <x:c r="E827" s="9" t="str">
        <x:v>HC-A-C</x:v>
      </x:c>
      <x:c r="F827" s="9" t="str">
        <x:v>B1</x:v>
      </x:c>
      <x:c r="G827" s="9" t="str">
        <x:v>INT</x:v>
      </x:c>
      <x:c r="H827" s="9" t="str">
        <x:v>OG05</x:v>
      </x:c>
      <x:c r="I827" s="17" t="str">
        <x:v>Primary provenance</x:v>
      </x:c>
      <x:c r="J827" s="17" t="str">
        <x:v>primary originals, hashes, keys and access history reconcile</x:v>
      </x:c>
      <x:c r="K827" s="17" t="str">
        <x:v>Primary custody</x:v>
      </x:c>
      <x:c r="L827" s="9" t="n">
        <x:v>0</x:v>
      </x:c>
      <x:c r="M827" s="9" t="n">
        <x:v>0</x:v>
      </x:c>
      <x:c r="N827" s="9" t="str">
        <x:v>OPEN / UNACCEPTED</x:v>
      </x:c>
      <x:c r="O827" s="9" t="n">
        <x:f>COUNTIFS($A$7:$A$1734,A827)</x:f>
        <x:v>1</x:v>
      </x:c>
    </x:row>
    <x:row r="828">
      <x:c r="A828" s="9" t="str">
        <x:v>EV-AR-HC-A-C-TECH-1-B1-INT-G0-OG06</x:v>
      </x:c>
      <x:c r="B828" s="9" t="str">
        <x:v>EV-AR-HC-A-C-TECH-1-B1-INT-G0</x:v>
      </x:c>
      <x:c r="C828" s="9" t="str">
        <x:v>AR-HC-A-C-TECH-1-B1-INT-G0</x:v>
      </x:c>
      <x:c r="D828" s="9" t="str">
        <x:v>HC-A-C-TECH-1</x:v>
      </x:c>
      <x:c r="E828" s="9" t="str">
        <x:v>HC-A-C</x:v>
      </x:c>
      <x:c r="F828" s="9" t="str">
        <x:v>B1</x:v>
      </x:c>
      <x:c r="G828" s="9" t="str">
        <x:v>INT</x:v>
      </x:c>
      <x:c r="H828" s="9" t="str">
        <x:v>OG06</x:v>
      </x:c>
      <x:c r="I828" s="17" t="str">
        <x:v>Witness provenance</x:v>
      </x:c>
      <x:c r="J828" s="17" t="str">
        <x:v>unlike witness originals, hashes, keys and access history reconcile</x:v>
      </x:c>
      <x:c r="K828" s="17" t="str">
        <x:v>Witness custody</x:v>
      </x:c>
      <x:c r="L828" s="9" t="n">
        <x:v>0</x:v>
      </x:c>
      <x:c r="M828" s="9" t="n">
        <x:v>0</x:v>
      </x:c>
      <x:c r="N828" s="9" t="str">
        <x:v>OPEN / UNACCEPTED</x:v>
      </x:c>
      <x:c r="O828" s="9" t="n">
        <x:f>COUNTIFS($A$7:$A$1734,A828)</x:f>
        <x:v>1</x:v>
      </x:c>
    </x:row>
    <x:row r="829">
      <x:c r="A829" s="9" t="str">
        <x:v>EV-AR-HC-A-C-TECH-1-B1-INT-G0-OG07</x:v>
      </x:c>
      <x:c r="B829" s="9" t="str">
        <x:v>EV-AR-HC-A-C-TECH-1-B1-INT-G0</x:v>
      </x:c>
      <x:c r="C829" s="9" t="str">
        <x:v>AR-HC-A-C-TECH-1-B1-INT-G0</x:v>
      </x:c>
      <x:c r="D829" s="9" t="str">
        <x:v>HC-A-C-TECH-1</x:v>
      </x:c>
      <x:c r="E829" s="9" t="str">
        <x:v>HC-A-C</x:v>
      </x:c>
      <x:c r="F829" s="9" t="str">
        <x:v>B1</x:v>
      </x:c>
      <x:c r="G829" s="9" t="str">
        <x:v>INT</x:v>
      </x:c>
      <x:c r="H829" s="9" t="str">
        <x:v>OG07</x:v>
      </x:c>
      <x:c r="I829" s="17" t="str">
        <x:v>Receiver denominator</x:v>
      </x:c>
      <x:c r="J829" s="17" t="str">
        <x:v>population, quantity, duration and exclusions match the frozen receipt</x:v>
      </x:c>
      <x:c r="K829" s="17" t="str">
        <x:v>Receiver court</x:v>
      </x:c>
      <x:c r="L829" s="9" t="n">
        <x:v>0</x:v>
      </x:c>
      <x:c r="M829" s="9" t="n">
        <x:v>0</x:v>
      </x:c>
      <x:c r="N829" s="9" t="str">
        <x:v>OPEN / UNACCEPTED</x:v>
      </x:c>
      <x:c r="O829" s="9" t="n">
        <x:f>COUNTIFS($A$7:$A$1734,A829)</x:f>
        <x:v>1</x:v>
      </x:c>
    </x:row>
    <x:row r="830">
      <x:c r="A830" s="9" t="str">
        <x:v>EV-AR-HC-A-C-TECH-1-B1-INT-G0-OG08</x:v>
      </x:c>
      <x:c r="B830" s="9" t="str">
        <x:v>EV-AR-HC-A-C-TECH-1-B1-INT-G0</x:v>
      </x:c>
      <x:c r="C830" s="9" t="str">
        <x:v>AR-HC-A-C-TECH-1-B1-INT-G0</x:v>
      </x:c>
      <x:c r="D830" s="9" t="str">
        <x:v>HC-A-C-TECH-1</x:v>
      </x:c>
      <x:c r="E830" s="9" t="str">
        <x:v>HC-A-C</x:v>
      </x:c>
      <x:c r="F830" s="9" t="str">
        <x:v>B1</x:v>
      </x:c>
      <x:c r="G830" s="9" t="str">
        <x:v>INT</x:v>
      </x:c>
      <x:c r="H830" s="9" t="str">
        <x:v>OG08</x:v>
      </x:c>
      <x:c r="I830" s="17" t="str">
        <x:v>Environment and boundary</x:v>
      </x:c>
      <x:c r="J830" s="17" t="str">
        <x:v>registered weather, water, ground, inlet and outlet states are retained</x:v>
      </x:c>
      <x:c r="K830" s="17" t="str">
        <x:v>Boundary court</x:v>
      </x:c>
      <x:c r="L830" s="9" t="n">
        <x:v>0</x:v>
      </x:c>
      <x:c r="M830" s="9" t="n">
        <x:v>0</x:v>
      </x:c>
      <x:c r="N830" s="9" t="str">
        <x:v>OPEN / UNACCEPTED</x:v>
      </x:c>
      <x:c r="O830" s="9" t="n">
        <x:f>COUNTIFS($A$7:$A$1734,A830)</x:f>
        <x:v>1</x:v>
      </x:c>
    </x:row>
    <x:row r="831">
      <x:c r="A831" s="9" t="str">
        <x:v>EV-AR-HC-A-C-TECH-1-B1-INT-G0-OG09</x:v>
      </x:c>
      <x:c r="B831" s="9" t="str">
        <x:v>EV-AR-HC-A-C-TECH-1-B1-INT-G0</x:v>
      </x:c>
      <x:c r="C831" s="9" t="str">
        <x:v>AR-HC-A-C-TECH-1-B1-INT-G0</x:v>
      </x:c>
      <x:c r="D831" s="9" t="str">
        <x:v>HC-A-C-TECH-1</x:v>
      </x:c>
      <x:c r="E831" s="9" t="str">
        <x:v>HC-A-C</x:v>
      </x:c>
      <x:c r="F831" s="9" t="str">
        <x:v>B1</x:v>
      </x:c>
      <x:c r="G831" s="9" t="str">
        <x:v>INT</x:v>
      </x:c>
      <x:c r="H831" s="9" t="str">
        <x:v>OG09</x:v>
      </x:c>
      <x:c r="I831" s="17" t="str">
        <x:v>Intervention account</x:v>
      </x:c>
      <x:c r="J831" s="17" t="str">
        <x:v>all stop, rescue, operator and public-protection actions remain timestamped</x:v>
      </x:c>
      <x:c r="K831" s="17" t="str">
        <x:v>Safety record court</x:v>
      </x:c>
      <x:c r="L831" s="9" t="n">
        <x:v>0</x:v>
      </x:c>
      <x:c r="M831" s="9" t="n">
        <x:v>0</x:v>
      </x:c>
      <x:c r="N831" s="9" t="str">
        <x:v>OPEN / UNACCEPTED</x:v>
      </x:c>
      <x:c r="O831" s="9" t="n">
        <x:f>COUNTIFS($A$7:$A$1734,A831)</x:f>
        <x:v>1</x:v>
      </x:c>
    </x:row>
    <x:row r="832">
      <x:c r="A832" s="9" t="str">
        <x:v>EV-AR-HC-A-C-TECH-1-B1-INT-G0-OG10</x:v>
      </x:c>
      <x:c r="B832" s="9" t="str">
        <x:v>EV-AR-HC-A-C-TECH-1-B1-INT-G0</x:v>
      </x:c>
      <x:c r="C832" s="9" t="str">
        <x:v>AR-HC-A-C-TECH-1-B1-INT-G0</x:v>
      </x:c>
      <x:c r="D832" s="9" t="str">
        <x:v>HC-A-C-TECH-1</x:v>
      </x:c>
      <x:c r="E832" s="9" t="str">
        <x:v>HC-A-C</x:v>
      </x:c>
      <x:c r="F832" s="9" t="str">
        <x:v>B1</x:v>
      </x:c>
      <x:c r="G832" s="9" t="str">
        <x:v>INT</x:v>
      </x:c>
      <x:c r="H832" s="9" t="str">
        <x:v>OG10</x:v>
      </x:c>
      <x:c r="I832" s="17" t="str">
        <x:v>Uncertainty statement</x:v>
      </x:c>
      <x:c r="J832" s="17" t="str">
        <x:v>range, censoring, resolution and correlation are declared before judgment</x:v>
      </x:c>
      <x:c r="K832" s="17" t="str">
        <x:v>Uncertainty authority</x:v>
      </x:c>
      <x:c r="L832" s="9" t="n">
        <x:v>0</x:v>
      </x:c>
      <x:c r="M832" s="9" t="n">
        <x:v>0</x:v>
      </x:c>
      <x:c r="N832" s="9" t="str">
        <x:v>OPEN / UNACCEPTED</x:v>
      </x:c>
      <x:c r="O832" s="9" t="n">
        <x:f>COUNTIFS($A$7:$A$1734,A832)</x:f>
        <x:v>1</x:v>
      </x:c>
    </x:row>
    <x:row r="833">
      <x:c r="A833" s="9" t="str">
        <x:v>EV-AR-HC-A-C-TECH-1-B1-INT-G0-OG11</x:v>
      </x:c>
      <x:c r="B833" s="9" t="str">
        <x:v>EV-AR-HC-A-C-TECH-1-B1-INT-G0</x:v>
      </x:c>
      <x:c r="C833" s="9" t="str">
        <x:v>AR-HC-A-C-TECH-1-B1-INT-G0</x:v>
      </x:c>
      <x:c r="D833" s="9" t="str">
        <x:v>HC-A-C-TECH-1</x:v>
      </x:c>
      <x:c r="E833" s="9" t="str">
        <x:v>HC-A-C</x:v>
      </x:c>
      <x:c r="F833" s="9" t="str">
        <x:v>B1</x:v>
      </x:c>
      <x:c r="G833" s="9" t="str">
        <x:v>INT</x:v>
      </x:c>
      <x:c r="H833" s="9" t="str">
        <x:v>OG11</x:v>
      </x:c>
      <x:c r="I833" s="17" t="str">
        <x:v>Contradiction preservation</x:v>
      </x:c>
      <x:c r="J833" s="17" t="str">
        <x:v>primary-witness disagreement remains explicit and is never averaged away</x:v>
      </x:c>
      <x:c r="K833" s="17" t="str">
        <x:v>Dissent registrar</x:v>
      </x:c>
      <x:c r="L833" s="9" t="n">
        <x:v>0</x:v>
      </x:c>
      <x:c r="M833" s="9" t="n">
        <x:v>0</x:v>
      </x:c>
      <x:c r="N833" s="9" t="str">
        <x:v>OPEN / UNACCEPTED</x:v>
      </x:c>
      <x:c r="O833" s="9" t="n">
        <x:f>COUNTIFS($A$7:$A$1734,A833)</x:f>
        <x:v>1</x:v>
      </x:c>
    </x:row>
    <x:row r="834">
      <x:c r="A834" s="9" t="str">
        <x:v>EV-AR-HC-A-C-TECH-1-B1-INT-G0-OG12</x:v>
      </x:c>
      <x:c r="B834" s="9" t="str">
        <x:v>EV-AR-HC-A-C-TECH-1-B1-INT-G0</x:v>
      </x:c>
      <x:c r="C834" s="9" t="str">
        <x:v>AR-HC-A-C-TECH-1-B1-INT-G0</x:v>
      </x:c>
      <x:c r="D834" s="9" t="str">
        <x:v>HC-A-C-TECH-1</x:v>
      </x:c>
      <x:c r="E834" s="9" t="str">
        <x:v>HC-A-C</x:v>
      </x:c>
      <x:c r="F834" s="9" t="str">
        <x:v>B1</x:v>
      </x:c>
      <x:c r="G834" s="9" t="str">
        <x:v>INT</x:v>
      </x:c>
      <x:c r="H834" s="9" t="str">
        <x:v>OG12</x:v>
      </x:c>
      <x:c r="I834" s="17" t="str">
        <x:v>Independent replay</x:v>
      </x:c>
      <x:c r="J834" s="17" t="str">
        <x:v>a separated reader reconstructs the registered observables from sealed originals</x:v>
      </x:c>
      <x:c r="K834" s="17" t="str">
        <x:v>Replay court</x:v>
      </x:c>
      <x:c r="L834" s="9" t="n">
        <x:v>0</x:v>
      </x:c>
      <x:c r="M834" s="9" t="n">
        <x:v>0</x:v>
      </x:c>
      <x:c r="N834" s="9" t="str">
        <x:v>OPEN / UNACCEPTED</x:v>
      </x:c>
      <x:c r="O834" s="9" t="n">
        <x:f>COUNTIFS($A$7:$A$1734,A834)</x:f>
        <x:v>1</x:v>
      </x:c>
    </x:row>
    <x:row r="835">
      <x:c r="A835" s="9" t="str">
        <x:v>EV-AR-HC-A-C-TECH-2-B2-RCN-G0-OG01</x:v>
      </x:c>
      <x:c r="B835" s="9" t="str">
        <x:v>EV-AR-HC-A-C-TECH-2-B2-RCN-G0</x:v>
      </x:c>
      <x:c r="C835" s="9" t="str">
        <x:v>AR-HC-A-C-TECH-2-B2-RCN-G0</x:v>
      </x:c>
      <x:c r="D835" s="9" t="str">
        <x:v>HC-A-C-TECH-2</x:v>
      </x:c>
      <x:c r="E835" s="9" t="str">
        <x:v>HC-A-C</x:v>
      </x:c>
      <x:c r="F835" s="9" t="str">
        <x:v>B2</x:v>
      </x:c>
      <x:c r="G835" s="9" t="str">
        <x:v>RCN</x:v>
      </x:c>
      <x:c r="H835" s="9" t="str">
        <x:v>OG01</x:v>
      </x:c>
      <x:c r="I835" s="17" t="str">
        <x:v>Serial and event identity</x:v>
      </x:c>
      <x:c r="J835" s="17" t="str">
        <x:v>record resolves to the issued serial, generation and physical start</x:v>
      </x:c>
      <x:c r="K835" s="17" t="str">
        <x:v>Observation court</x:v>
      </x:c>
      <x:c r="L835" s="9" t="n">
        <x:v>0</x:v>
      </x:c>
      <x:c r="M835" s="9" t="n">
        <x:v>0</x:v>
      </x:c>
      <x:c r="N835" s="9" t="str">
        <x:v>OPEN / UNACCEPTED</x:v>
      </x:c>
      <x:c r="O835" s="9" t="n">
        <x:f>COUNTIFS($A$7:$A$1734,A835)</x:f>
        <x:v>1</x:v>
      </x:c>
    </x:row>
    <x:row r="836">
      <x:c r="A836" s="9" t="str">
        <x:v>EV-AR-HC-A-C-TECH-2-B2-RCN-G0-OG02</x:v>
      </x:c>
      <x:c r="B836" s="9" t="str">
        <x:v>EV-AR-HC-A-C-TECH-2-B2-RCN-G0</x:v>
      </x:c>
      <x:c r="C836" s="9" t="str">
        <x:v>AR-HC-A-C-TECH-2-B2-RCN-G0</x:v>
      </x:c>
      <x:c r="D836" s="9" t="str">
        <x:v>HC-A-C-TECH-2</x:v>
      </x:c>
      <x:c r="E836" s="9" t="str">
        <x:v>HC-A-C</x:v>
      </x:c>
      <x:c r="F836" s="9" t="str">
        <x:v>B2</x:v>
      </x:c>
      <x:c r="G836" s="9" t="str">
        <x:v>RCN</x:v>
      </x:c>
      <x:c r="H836" s="9" t="str">
        <x:v>OG02</x:v>
      </x:c>
      <x:c r="I836" s="17" t="str">
        <x:v>Time ancestry</x:v>
      </x:c>
      <x:c r="J836" s="17" t="str">
        <x:v>primary, witness and public event clocks retain declared offsets and drift</x:v>
      </x:c>
      <x:c r="K836" s="17" t="str">
        <x:v>Time authority</x:v>
      </x:c>
      <x:c r="L836" s="9" t="n">
        <x:v>0</x:v>
      </x:c>
      <x:c r="M836" s="9" t="n">
        <x:v>0</x:v>
      </x:c>
      <x:c r="N836" s="9" t="str">
        <x:v>OPEN / UNACCEPTED</x:v>
      </x:c>
      <x:c r="O836" s="9" t="n">
        <x:f>COUNTIFS($A$7:$A$1734,A836)</x:f>
        <x:v>1</x:v>
      </x:c>
    </x:row>
    <x:row r="837">
      <x:c r="A837" s="9" t="str">
        <x:v>EV-AR-HC-A-C-TECH-2-B2-RCN-G0-OG03</x:v>
      </x:c>
      <x:c r="B837" s="9" t="str">
        <x:v>EV-AR-HC-A-C-TECH-2-B2-RCN-G0</x:v>
      </x:c>
      <x:c r="C837" s="9" t="str">
        <x:v>AR-HC-A-C-TECH-2-B2-RCN-G0</x:v>
      </x:c>
      <x:c r="D837" s="9" t="str">
        <x:v>HC-A-C-TECH-2</x:v>
      </x:c>
      <x:c r="E837" s="9" t="str">
        <x:v>HC-A-C</x:v>
      </x:c>
      <x:c r="F837" s="9" t="str">
        <x:v>B2</x:v>
      </x:c>
      <x:c r="G837" s="9" t="str">
        <x:v>RCN</x:v>
      </x:c>
      <x:c r="H837" s="9" t="str">
        <x:v>OG03</x:v>
      </x:c>
      <x:c r="I837" s="17" t="str">
        <x:v>Calibration ancestry</x:v>
      </x:c>
      <x:c r="J837" s="17" t="str">
        <x:v>all reference, range and uncertainty states cover the live interval</x:v>
      </x:c>
      <x:c r="K837" s="17" t="str">
        <x:v>Metrology courts</x:v>
      </x:c>
      <x:c r="L837" s="9" t="n">
        <x:v>0</x:v>
      </x:c>
      <x:c r="M837" s="9" t="n">
        <x:v>0</x:v>
      </x:c>
      <x:c r="N837" s="9" t="str">
        <x:v>OPEN / UNACCEPTED</x:v>
      </x:c>
      <x:c r="O837" s="9" t="n">
        <x:f>COUNTIFS($A$7:$A$1734,A837)</x:f>
        <x:v>1</x:v>
      </x:c>
    </x:row>
    <x:row r="838">
      <x:c r="A838" s="9" t="str">
        <x:v>EV-AR-HC-A-C-TECH-2-B2-RCN-G0-OG04</x:v>
      </x:c>
      <x:c r="B838" s="9" t="str">
        <x:v>EV-AR-HC-A-C-TECH-2-B2-RCN-G0</x:v>
      </x:c>
      <x:c r="C838" s="9" t="str">
        <x:v>AR-HC-A-C-TECH-2-B2-RCN-G0</x:v>
      </x:c>
      <x:c r="D838" s="9" t="str">
        <x:v>HC-A-C-TECH-2</x:v>
      </x:c>
      <x:c r="E838" s="9" t="str">
        <x:v>HC-A-C</x:v>
      </x:c>
      <x:c r="F838" s="9" t="str">
        <x:v>B2</x:v>
      </x:c>
      <x:c r="G838" s="9" t="str">
        <x:v>RCN</x:v>
      </x:c>
      <x:c r="H838" s="9" t="str">
        <x:v>OG04</x:v>
      </x:c>
      <x:c r="I838" s="17" t="str">
        <x:v>Raw completeness</x:v>
      </x:c>
      <x:c r="J838" s="17" t="str">
        <x:v>missingness is enumerated without imputation or outcome-conditioned deletion</x:v>
      </x:c>
      <x:c r="K838" s="17" t="str">
        <x:v>Observation court</x:v>
      </x:c>
      <x:c r="L838" s="9" t="n">
        <x:v>0</x:v>
      </x:c>
      <x:c r="M838" s="9" t="n">
        <x:v>0</x:v>
      </x:c>
      <x:c r="N838" s="9" t="str">
        <x:v>OPEN / UNACCEPTED</x:v>
      </x:c>
      <x:c r="O838" s="9" t="n">
        <x:f>COUNTIFS($A$7:$A$1734,A838)</x:f>
        <x:v>1</x:v>
      </x:c>
    </x:row>
    <x:row r="839">
      <x:c r="A839" s="9" t="str">
        <x:v>EV-AR-HC-A-C-TECH-2-B2-RCN-G0-OG05</x:v>
      </x:c>
      <x:c r="B839" s="9" t="str">
        <x:v>EV-AR-HC-A-C-TECH-2-B2-RCN-G0</x:v>
      </x:c>
      <x:c r="C839" s="9" t="str">
        <x:v>AR-HC-A-C-TECH-2-B2-RCN-G0</x:v>
      </x:c>
      <x:c r="D839" s="9" t="str">
        <x:v>HC-A-C-TECH-2</x:v>
      </x:c>
      <x:c r="E839" s="9" t="str">
        <x:v>HC-A-C</x:v>
      </x:c>
      <x:c r="F839" s="9" t="str">
        <x:v>B2</x:v>
      </x:c>
      <x:c r="G839" s="9" t="str">
        <x:v>RCN</x:v>
      </x:c>
      <x:c r="H839" s="9" t="str">
        <x:v>OG05</x:v>
      </x:c>
      <x:c r="I839" s="17" t="str">
        <x:v>Primary provenance</x:v>
      </x:c>
      <x:c r="J839" s="17" t="str">
        <x:v>primary originals, hashes, keys and access history reconcile</x:v>
      </x:c>
      <x:c r="K839" s="17" t="str">
        <x:v>Primary custody</x:v>
      </x:c>
      <x:c r="L839" s="9" t="n">
        <x:v>0</x:v>
      </x:c>
      <x:c r="M839" s="9" t="n">
        <x:v>0</x:v>
      </x:c>
      <x:c r="N839" s="9" t="str">
        <x:v>OPEN / UNACCEPTED</x:v>
      </x:c>
      <x:c r="O839" s="9" t="n">
        <x:f>COUNTIFS($A$7:$A$1734,A839)</x:f>
        <x:v>1</x:v>
      </x:c>
    </x:row>
    <x:row r="840">
      <x:c r="A840" s="9" t="str">
        <x:v>EV-AR-HC-A-C-TECH-2-B2-RCN-G0-OG06</x:v>
      </x:c>
      <x:c r="B840" s="9" t="str">
        <x:v>EV-AR-HC-A-C-TECH-2-B2-RCN-G0</x:v>
      </x:c>
      <x:c r="C840" s="9" t="str">
        <x:v>AR-HC-A-C-TECH-2-B2-RCN-G0</x:v>
      </x:c>
      <x:c r="D840" s="9" t="str">
        <x:v>HC-A-C-TECH-2</x:v>
      </x:c>
      <x:c r="E840" s="9" t="str">
        <x:v>HC-A-C</x:v>
      </x:c>
      <x:c r="F840" s="9" t="str">
        <x:v>B2</x:v>
      </x:c>
      <x:c r="G840" s="9" t="str">
        <x:v>RCN</x:v>
      </x:c>
      <x:c r="H840" s="9" t="str">
        <x:v>OG06</x:v>
      </x:c>
      <x:c r="I840" s="17" t="str">
        <x:v>Witness provenance</x:v>
      </x:c>
      <x:c r="J840" s="17" t="str">
        <x:v>unlike witness originals, hashes, keys and access history reconcile</x:v>
      </x:c>
      <x:c r="K840" s="17" t="str">
        <x:v>Witness custody</x:v>
      </x:c>
      <x:c r="L840" s="9" t="n">
        <x:v>0</x:v>
      </x:c>
      <x:c r="M840" s="9" t="n">
        <x:v>0</x:v>
      </x:c>
      <x:c r="N840" s="9" t="str">
        <x:v>OPEN / UNACCEPTED</x:v>
      </x:c>
      <x:c r="O840" s="9" t="n">
        <x:f>COUNTIFS($A$7:$A$1734,A840)</x:f>
        <x:v>1</x:v>
      </x:c>
    </x:row>
    <x:row r="841">
      <x:c r="A841" s="9" t="str">
        <x:v>EV-AR-HC-A-C-TECH-2-B2-RCN-G0-OG07</x:v>
      </x:c>
      <x:c r="B841" s="9" t="str">
        <x:v>EV-AR-HC-A-C-TECH-2-B2-RCN-G0</x:v>
      </x:c>
      <x:c r="C841" s="9" t="str">
        <x:v>AR-HC-A-C-TECH-2-B2-RCN-G0</x:v>
      </x:c>
      <x:c r="D841" s="9" t="str">
        <x:v>HC-A-C-TECH-2</x:v>
      </x:c>
      <x:c r="E841" s="9" t="str">
        <x:v>HC-A-C</x:v>
      </x:c>
      <x:c r="F841" s="9" t="str">
        <x:v>B2</x:v>
      </x:c>
      <x:c r="G841" s="9" t="str">
        <x:v>RCN</x:v>
      </x:c>
      <x:c r="H841" s="9" t="str">
        <x:v>OG07</x:v>
      </x:c>
      <x:c r="I841" s="17" t="str">
        <x:v>Receiver denominator</x:v>
      </x:c>
      <x:c r="J841" s="17" t="str">
        <x:v>population, quantity, duration and exclusions match the frozen receipt</x:v>
      </x:c>
      <x:c r="K841" s="17" t="str">
        <x:v>Receiver court</x:v>
      </x:c>
      <x:c r="L841" s="9" t="n">
        <x:v>0</x:v>
      </x:c>
      <x:c r="M841" s="9" t="n">
        <x:v>0</x:v>
      </x:c>
      <x:c r="N841" s="9" t="str">
        <x:v>OPEN / UNACCEPTED</x:v>
      </x:c>
      <x:c r="O841" s="9" t="n">
        <x:f>COUNTIFS($A$7:$A$1734,A841)</x:f>
        <x:v>1</x:v>
      </x:c>
    </x:row>
    <x:row r="842">
      <x:c r="A842" s="9" t="str">
        <x:v>EV-AR-HC-A-C-TECH-2-B2-RCN-G0-OG08</x:v>
      </x:c>
      <x:c r="B842" s="9" t="str">
        <x:v>EV-AR-HC-A-C-TECH-2-B2-RCN-G0</x:v>
      </x:c>
      <x:c r="C842" s="9" t="str">
        <x:v>AR-HC-A-C-TECH-2-B2-RCN-G0</x:v>
      </x:c>
      <x:c r="D842" s="9" t="str">
        <x:v>HC-A-C-TECH-2</x:v>
      </x:c>
      <x:c r="E842" s="9" t="str">
        <x:v>HC-A-C</x:v>
      </x:c>
      <x:c r="F842" s="9" t="str">
        <x:v>B2</x:v>
      </x:c>
      <x:c r="G842" s="9" t="str">
        <x:v>RCN</x:v>
      </x:c>
      <x:c r="H842" s="9" t="str">
        <x:v>OG08</x:v>
      </x:c>
      <x:c r="I842" s="17" t="str">
        <x:v>Environment and boundary</x:v>
      </x:c>
      <x:c r="J842" s="17" t="str">
        <x:v>registered weather, water, ground, inlet and outlet states are retained</x:v>
      </x:c>
      <x:c r="K842" s="17" t="str">
        <x:v>Boundary court</x:v>
      </x:c>
      <x:c r="L842" s="9" t="n">
        <x:v>0</x:v>
      </x:c>
      <x:c r="M842" s="9" t="n">
        <x:v>0</x:v>
      </x:c>
      <x:c r="N842" s="9" t="str">
        <x:v>OPEN / UNACCEPTED</x:v>
      </x:c>
      <x:c r="O842" s="9" t="n">
        <x:f>COUNTIFS($A$7:$A$1734,A842)</x:f>
        <x:v>1</x:v>
      </x:c>
    </x:row>
    <x:row r="843">
      <x:c r="A843" s="9" t="str">
        <x:v>EV-AR-HC-A-C-TECH-2-B2-RCN-G0-OG09</x:v>
      </x:c>
      <x:c r="B843" s="9" t="str">
        <x:v>EV-AR-HC-A-C-TECH-2-B2-RCN-G0</x:v>
      </x:c>
      <x:c r="C843" s="9" t="str">
        <x:v>AR-HC-A-C-TECH-2-B2-RCN-G0</x:v>
      </x:c>
      <x:c r="D843" s="9" t="str">
        <x:v>HC-A-C-TECH-2</x:v>
      </x:c>
      <x:c r="E843" s="9" t="str">
        <x:v>HC-A-C</x:v>
      </x:c>
      <x:c r="F843" s="9" t="str">
        <x:v>B2</x:v>
      </x:c>
      <x:c r="G843" s="9" t="str">
        <x:v>RCN</x:v>
      </x:c>
      <x:c r="H843" s="9" t="str">
        <x:v>OG09</x:v>
      </x:c>
      <x:c r="I843" s="17" t="str">
        <x:v>Intervention account</x:v>
      </x:c>
      <x:c r="J843" s="17" t="str">
        <x:v>all stop, rescue, operator and public-protection actions remain timestamped</x:v>
      </x:c>
      <x:c r="K843" s="17" t="str">
        <x:v>Safety record court</x:v>
      </x:c>
      <x:c r="L843" s="9" t="n">
        <x:v>0</x:v>
      </x:c>
      <x:c r="M843" s="9" t="n">
        <x:v>0</x:v>
      </x:c>
      <x:c r="N843" s="9" t="str">
        <x:v>OPEN / UNACCEPTED</x:v>
      </x:c>
      <x:c r="O843" s="9" t="n">
        <x:f>COUNTIFS($A$7:$A$1734,A843)</x:f>
        <x:v>1</x:v>
      </x:c>
    </x:row>
    <x:row r="844">
      <x:c r="A844" s="9" t="str">
        <x:v>EV-AR-HC-A-C-TECH-2-B2-RCN-G0-OG10</x:v>
      </x:c>
      <x:c r="B844" s="9" t="str">
        <x:v>EV-AR-HC-A-C-TECH-2-B2-RCN-G0</x:v>
      </x:c>
      <x:c r="C844" s="9" t="str">
        <x:v>AR-HC-A-C-TECH-2-B2-RCN-G0</x:v>
      </x:c>
      <x:c r="D844" s="9" t="str">
        <x:v>HC-A-C-TECH-2</x:v>
      </x:c>
      <x:c r="E844" s="9" t="str">
        <x:v>HC-A-C</x:v>
      </x:c>
      <x:c r="F844" s="9" t="str">
        <x:v>B2</x:v>
      </x:c>
      <x:c r="G844" s="9" t="str">
        <x:v>RCN</x:v>
      </x:c>
      <x:c r="H844" s="9" t="str">
        <x:v>OG10</x:v>
      </x:c>
      <x:c r="I844" s="17" t="str">
        <x:v>Uncertainty statement</x:v>
      </x:c>
      <x:c r="J844" s="17" t="str">
        <x:v>range, censoring, resolution and correlation are declared before judgment</x:v>
      </x:c>
      <x:c r="K844" s="17" t="str">
        <x:v>Uncertainty authority</x:v>
      </x:c>
      <x:c r="L844" s="9" t="n">
        <x:v>0</x:v>
      </x:c>
      <x:c r="M844" s="9" t="n">
        <x:v>0</x:v>
      </x:c>
      <x:c r="N844" s="9" t="str">
        <x:v>OPEN / UNACCEPTED</x:v>
      </x:c>
      <x:c r="O844" s="9" t="n">
        <x:f>COUNTIFS($A$7:$A$1734,A844)</x:f>
        <x:v>1</x:v>
      </x:c>
    </x:row>
    <x:row r="845">
      <x:c r="A845" s="9" t="str">
        <x:v>EV-AR-HC-A-C-TECH-2-B2-RCN-G0-OG11</x:v>
      </x:c>
      <x:c r="B845" s="9" t="str">
        <x:v>EV-AR-HC-A-C-TECH-2-B2-RCN-G0</x:v>
      </x:c>
      <x:c r="C845" s="9" t="str">
        <x:v>AR-HC-A-C-TECH-2-B2-RCN-G0</x:v>
      </x:c>
      <x:c r="D845" s="9" t="str">
        <x:v>HC-A-C-TECH-2</x:v>
      </x:c>
      <x:c r="E845" s="9" t="str">
        <x:v>HC-A-C</x:v>
      </x:c>
      <x:c r="F845" s="9" t="str">
        <x:v>B2</x:v>
      </x:c>
      <x:c r="G845" s="9" t="str">
        <x:v>RCN</x:v>
      </x:c>
      <x:c r="H845" s="9" t="str">
        <x:v>OG11</x:v>
      </x:c>
      <x:c r="I845" s="17" t="str">
        <x:v>Contradiction preservation</x:v>
      </x:c>
      <x:c r="J845" s="17" t="str">
        <x:v>primary-witness disagreement remains explicit and is never averaged away</x:v>
      </x:c>
      <x:c r="K845" s="17" t="str">
        <x:v>Dissent registrar</x:v>
      </x:c>
      <x:c r="L845" s="9" t="n">
        <x:v>0</x:v>
      </x:c>
      <x:c r="M845" s="9" t="n">
        <x:v>0</x:v>
      </x:c>
      <x:c r="N845" s="9" t="str">
        <x:v>OPEN / UNACCEPTED</x:v>
      </x:c>
      <x:c r="O845" s="9" t="n">
        <x:f>COUNTIFS($A$7:$A$1734,A845)</x:f>
        <x:v>1</x:v>
      </x:c>
    </x:row>
    <x:row r="846">
      <x:c r="A846" s="9" t="str">
        <x:v>EV-AR-HC-A-C-TECH-2-B2-RCN-G0-OG12</x:v>
      </x:c>
      <x:c r="B846" s="9" t="str">
        <x:v>EV-AR-HC-A-C-TECH-2-B2-RCN-G0</x:v>
      </x:c>
      <x:c r="C846" s="9" t="str">
        <x:v>AR-HC-A-C-TECH-2-B2-RCN-G0</x:v>
      </x:c>
      <x:c r="D846" s="9" t="str">
        <x:v>HC-A-C-TECH-2</x:v>
      </x:c>
      <x:c r="E846" s="9" t="str">
        <x:v>HC-A-C</x:v>
      </x:c>
      <x:c r="F846" s="9" t="str">
        <x:v>B2</x:v>
      </x:c>
      <x:c r="G846" s="9" t="str">
        <x:v>RCN</x:v>
      </x:c>
      <x:c r="H846" s="9" t="str">
        <x:v>OG12</x:v>
      </x:c>
      <x:c r="I846" s="17" t="str">
        <x:v>Independent replay</x:v>
      </x:c>
      <x:c r="J846" s="17" t="str">
        <x:v>a separated reader reconstructs the registered observables from sealed originals</x:v>
      </x:c>
      <x:c r="K846" s="17" t="str">
        <x:v>Replay court</x:v>
      </x:c>
      <x:c r="L846" s="9" t="n">
        <x:v>0</x:v>
      </x:c>
      <x:c r="M846" s="9" t="n">
        <x:v>0</x:v>
      </x:c>
      <x:c r="N846" s="9" t="str">
        <x:v>OPEN / UNACCEPTED</x:v>
      </x:c>
      <x:c r="O846" s="9" t="n">
        <x:f>COUNTIFS($A$7:$A$1734,A846)</x:f>
        <x:v>1</x:v>
      </x:c>
    </x:row>
    <x:row r="847">
      <x:c r="A847" s="9" t="str">
        <x:v>EV-AR-LF-B-A-TECH-1-B2-RCN-G0-OG01</x:v>
      </x:c>
      <x:c r="B847" s="9" t="str">
        <x:v>EV-AR-LF-B-A-TECH-1-B2-RCN-G0</x:v>
      </x:c>
      <x:c r="C847" s="9" t="str">
        <x:v>AR-LF-B-A-TECH-1-B2-RCN-G0</x:v>
      </x:c>
      <x:c r="D847" s="9" t="str">
        <x:v>LF-B-A-TECH-1</x:v>
      </x:c>
      <x:c r="E847" s="9" t="str">
        <x:v>LF-B-A</x:v>
      </x:c>
      <x:c r="F847" s="9" t="str">
        <x:v>B2</x:v>
      </x:c>
      <x:c r="G847" s="9" t="str">
        <x:v>RCN</x:v>
      </x:c>
      <x:c r="H847" s="9" t="str">
        <x:v>OG01</x:v>
      </x:c>
      <x:c r="I847" s="17" t="str">
        <x:v>Serial and event identity</x:v>
      </x:c>
      <x:c r="J847" s="17" t="str">
        <x:v>record resolves to the issued serial, generation and physical start</x:v>
      </x:c>
      <x:c r="K847" s="17" t="str">
        <x:v>Observation court</x:v>
      </x:c>
      <x:c r="L847" s="9" t="n">
        <x:v>0</x:v>
      </x:c>
      <x:c r="M847" s="9" t="n">
        <x:v>0</x:v>
      </x:c>
      <x:c r="N847" s="9" t="str">
        <x:v>OPEN / UNACCEPTED</x:v>
      </x:c>
      <x:c r="O847" s="9" t="n">
        <x:f>COUNTIFS($A$7:$A$1734,A847)</x:f>
        <x:v>1</x:v>
      </x:c>
    </x:row>
    <x:row r="848">
      <x:c r="A848" s="9" t="str">
        <x:v>EV-AR-LF-B-A-TECH-1-B2-RCN-G0-OG02</x:v>
      </x:c>
      <x:c r="B848" s="9" t="str">
        <x:v>EV-AR-LF-B-A-TECH-1-B2-RCN-G0</x:v>
      </x:c>
      <x:c r="C848" s="9" t="str">
        <x:v>AR-LF-B-A-TECH-1-B2-RCN-G0</x:v>
      </x:c>
      <x:c r="D848" s="9" t="str">
        <x:v>LF-B-A-TECH-1</x:v>
      </x:c>
      <x:c r="E848" s="9" t="str">
        <x:v>LF-B-A</x:v>
      </x:c>
      <x:c r="F848" s="9" t="str">
        <x:v>B2</x:v>
      </x:c>
      <x:c r="G848" s="9" t="str">
        <x:v>RCN</x:v>
      </x:c>
      <x:c r="H848" s="9" t="str">
        <x:v>OG02</x:v>
      </x:c>
      <x:c r="I848" s="17" t="str">
        <x:v>Time ancestry</x:v>
      </x:c>
      <x:c r="J848" s="17" t="str">
        <x:v>primary, witness and public event clocks retain declared offsets and drift</x:v>
      </x:c>
      <x:c r="K848" s="17" t="str">
        <x:v>Time authority</x:v>
      </x:c>
      <x:c r="L848" s="9" t="n">
        <x:v>0</x:v>
      </x:c>
      <x:c r="M848" s="9" t="n">
        <x:v>0</x:v>
      </x:c>
      <x:c r="N848" s="9" t="str">
        <x:v>OPEN / UNACCEPTED</x:v>
      </x:c>
      <x:c r="O848" s="9" t="n">
        <x:f>COUNTIFS($A$7:$A$1734,A848)</x:f>
        <x:v>1</x:v>
      </x:c>
    </x:row>
    <x:row r="849">
      <x:c r="A849" s="9" t="str">
        <x:v>EV-AR-LF-B-A-TECH-1-B2-RCN-G0-OG03</x:v>
      </x:c>
      <x:c r="B849" s="9" t="str">
        <x:v>EV-AR-LF-B-A-TECH-1-B2-RCN-G0</x:v>
      </x:c>
      <x:c r="C849" s="9" t="str">
        <x:v>AR-LF-B-A-TECH-1-B2-RCN-G0</x:v>
      </x:c>
      <x:c r="D849" s="9" t="str">
        <x:v>LF-B-A-TECH-1</x:v>
      </x:c>
      <x:c r="E849" s="9" t="str">
        <x:v>LF-B-A</x:v>
      </x:c>
      <x:c r="F849" s="9" t="str">
        <x:v>B2</x:v>
      </x:c>
      <x:c r="G849" s="9" t="str">
        <x:v>RCN</x:v>
      </x:c>
      <x:c r="H849" s="9" t="str">
        <x:v>OG03</x:v>
      </x:c>
      <x:c r="I849" s="17" t="str">
        <x:v>Calibration ancestry</x:v>
      </x:c>
      <x:c r="J849" s="17" t="str">
        <x:v>all reference, range and uncertainty states cover the live interval</x:v>
      </x:c>
      <x:c r="K849" s="17" t="str">
        <x:v>Metrology courts</x:v>
      </x:c>
      <x:c r="L849" s="9" t="n">
        <x:v>0</x:v>
      </x:c>
      <x:c r="M849" s="9" t="n">
        <x:v>0</x:v>
      </x:c>
      <x:c r="N849" s="9" t="str">
        <x:v>OPEN / UNACCEPTED</x:v>
      </x:c>
      <x:c r="O849" s="9" t="n">
        <x:f>COUNTIFS($A$7:$A$1734,A849)</x:f>
        <x:v>1</x:v>
      </x:c>
    </x:row>
    <x:row r="850">
      <x:c r="A850" s="9" t="str">
        <x:v>EV-AR-LF-B-A-TECH-1-B2-RCN-G0-OG04</x:v>
      </x:c>
      <x:c r="B850" s="9" t="str">
        <x:v>EV-AR-LF-B-A-TECH-1-B2-RCN-G0</x:v>
      </x:c>
      <x:c r="C850" s="9" t="str">
        <x:v>AR-LF-B-A-TECH-1-B2-RCN-G0</x:v>
      </x:c>
      <x:c r="D850" s="9" t="str">
        <x:v>LF-B-A-TECH-1</x:v>
      </x:c>
      <x:c r="E850" s="9" t="str">
        <x:v>LF-B-A</x:v>
      </x:c>
      <x:c r="F850" s="9" t="str">
        <x:v>B2</x:v>
      </x:c>
      <x:c r="G850" s="9" t="str">
        <x:v>RCN</x:v>
      </x:c>
      <x:c r="H850" s="9" t="str">
        <x:v>OG04</x:v>
      </x:c>
      <x:c r="I850" s="17" t="str">
        <x:v>Raw completeness</x:v>
      </x:c>
      <x:c r="J850" s="17" t="str">
        <x:v>missingness is enumerated without imputation or outcome-conditioned deletion</x:v>
      </x:c>
      <x:c r="K850" s="17" t="str">
        <x:v>Observation court</x:v>
      </x:c>
      <x:c r="L850" s="9" t="n">
        <x:v>0</x:v>
      </x:c>
      <x:c r="M850" s="9" t="n">
        <x:v>0</x:v>
      </x:c>
      <x:c r="N850" s="9" t="str">
        <x:v>OPEN / UNACCEPTED</x:v>
      </x:c>
      <x:c r="O850" s="9" t="n">
        <x:f>COUNTIFS($A$7:$A$1734,A850)</x:f>
        <x:v>1</x:v>
      </x:c>
    </x:row>
    <x:row r="851">
      <x:c r="A851" s="9" t="str">
        <x:v>EV-AR-LF-B-A-TECH-1-B2-RCN-G0-OG05</x:v>
      </x:c>
      <x:c r="B851" s="9" t="str">
        <x:v>EV-AR-LF-B-A-TECH-1-B2-RCN-G0</x:v>
      </x:c>
      <x:c r="C851" s="9" t="str">
        <x:v>AR-LF-B-A-TECH-1-B2-RCN-G0</x:v>
      </x:c>
      <x:c r="D851" s="9" t="str">
        <x:v>LF-B-A-TECH-1</x:v>
      </x:c>
      <x:c r="E851" s="9" t="str">
        <x:v>LF-B-A</x:v>
      </x:c>
      <x:c r="F851" s="9" t="str">
        <x:v>B2</x:v>
      </x:c>
      <x:c r="G851" s="9" t="str">
        <x:v>RCN</x:v>
      </x:c>
      <x:c r="H851" s="9" t="str">
        <x:v>OG05</x:v>
      </x:c>
      <x:c r="I851" s="17" t="str">
        <x:v>Primary provenance</x:v>
      </x:c>
      <x:c r="J851" s="17" t="str">
        <x:v>primary originals, hashes, keys and access history reconcile</x:v>
      </x:c>
      <x:c r="K851" s="17" t="str">
        <x:v>Primary custody</x:v>
      </x:c>
      <x:c r="L851" s="9" t="n">
        <x:v>0</x:v>
      </x:c>
      <x:c r="M851" s="9" t="n">
        <x:v>0</x:v>
      </x:c>
      <x:c r="N851" s="9" t="str">
        <x:v>OPEN / UNACCEPTED</x:v>
      </x:c>
      <x:c r="O851" s="9" t="n">
        <x:f>COUNTIFS($A$7:$A$1734,A851)</x:f>
        <x:v>1</x:v>
      </x:c>
    </x:row>
    <x:row r="852">
      <x:c r="A852" s="9" t="str">
        <x:v>EV-AR-LF-B-A-TECH-1-B2-RCN-G0-OG06</x:v>
      </x:c>
      <x:c r="B852" s="9" t="str">
        <x:v>EV-AR-LF-B-A-TECH-1-B2-RCN-G0</x:v>
      </x:c>
      <x:c r="C852" s="9" t="str">
        <x:v>AR-LF-B-A-TECH-1-B2-RCN-G0</x:v>
      </x:c>
      <x:c r="D852" s="9" t="str">
        <x:v>LF-B-A-TECH-1</x:v>
      </x:c>
      <x:c r="E852" s="9" t="str">
        <x:v>LF-B-A</x:v>
      </x:c>
      <x:c r="F852" s="9" t="str">
        <x:v>B2</x:v>
      </x:c>
      <x:c r="G852" s="9" t="str">
        <x:v>RCN</x:v>
      </x:c>
      <x:c r="H852" s="9" t="str">
        <x:v>OG06</x:v>
      </x:c>
      <x:c r="I852" s="17" t="str">
        <x:v>Witness provenance</x:v>
      </x:c>
      <x:c r="J852" s="17" t="str">
        <x:v>unlike witness originals, hashes, keys and access history reconcile</x:v>
      </x:c>
      <x:c r="K852" s="17" t="str">
        <x:v>Witness custody</x:v>
      </x:c>
      <x:c r="L852" s="9" t="n">
        <x:v>0</x:v>
      </x:c>
      <x:c r="M852" s="9" t="n">
        <x:v>0</x:v>
      </x:c>
      <x:c r="N852" s="9" t="str">
        <x:v>OPEN / UNACCEPTED</x:v>
      </x:c>
      <x:c r="O852" s="9" t="n">
        <x:f>COUNTIFS($A$7:$A$1734,A852)</x:f>
        <x:v>1</x:v>
      </x:c>
    </x:row>
    <x:row r="853">
      <x:c r="A853" s="9" t="str">
        <x:v>EV-AR-LF-B-A-TECH-1-B2-RCN-G0-OG07</x:v>
      </x:c>
      <x:c r="B853" s="9" t="str">
        <x:v>EV-AR-LF-B-A-TECH-1-B2-RCN-G0</x:v>
      </x:c>
      <x:c r="C853" s="9" t="str">
        <x:v>AR-LF-B-A-TECH-1-B2-RCN-G0</x:v>
      </x:c>
      <x:c r="D853" s="9" t="str">
        <x:v>LF-B-A-TECH-1</x:v>
      </x:c>
      <x:c r="E853" s="9" t="str">
        <x:v>LF-B-A</x:v>
      </x:c>
      <x:c r="F853" s="9" t="str">
        <x:v>B2</x:v>
      </x:c>
      <x:c r="G853" s="9" t="str">
        <x:v>RCN</x:v>
      </x:c>
      <x:c r="H853" s="9" t="str">
        <x:v>OG07</x:v>
      </x:c>
      <x:c r="I853" s="17" t="str">
        <x:v>Receiver denominator</x:v>
      </x:c>
      <x:c r="J853" s="17" t="str">
        <x:v>population, quantity, duration and exclusions match the frozen receipt</x:v>
      </x:c>
      <x:c r="K853" s="17" t="str">
        <x:v>Receiver court</x:v>
      </x:c>
      <x:c r="L853" s="9" t="n">
        <x:v>0</x:v>
      </x:c>
      <x:c r="M853" s="9" t="n">
        <x:v>0</x:v>
      </x:c>
      <x:c r="N853" s="9" t="str">
        <x:v>OPEN / UNACCEPTED</x:v>
      </x:c>
      <x:c r="O853" s="9" t="n">
        <x:f>COUNTIFS($A$7:$A$1734,A853)</x:f>
        <x:v>1</x:v>
      </x:c>
    </x:row>
    <x:row r="854">
      <x:c r="A854" s="9" t="str">
        <x:v>EV-AR-LF-B-A-TECH-1-B2-RCN-G0-OG08</x:v>
      </x:c>
      <x:c r="B854" s="9" t="str">
        <x:v>EV-AR-LF-B-A-TECH-1-B2-RCN-G0</x:v>
      </x:c>
      <x:c r="C854" s="9" t="str">
        <x:v>AR-LF-B-A-TECH-1-B2-RCN-G0</x:v>
      </x:c>
      <x:c r="D854" s="9" t="str">
        <x:v>LF-B-A-TECH-1</x:v>
      </x:c>
      <x:c r="E854" s="9" t="str">
        <x:v>LF-B-A</x:v>
      </x:c>
      <x:c r="F854" s="9" t="str">
        <x:v>B2</x:v>
      </x:c>
      <x:c r="G854" s="9" t="str">
        <x:v>RCN</x:v>
      </x:c>
      <x:c r="H854" s="9" t="str">
        <x:v>OG08</x:v>
      </x:c>
      <x:c r="I854" s="17" t="str">
        <x:v>Environment and boundary</x:v>
      </x:c>
      <x:c r="J854" s="17" t="str">
        <x:v>registered weather, water, ground, inlet and outlet states are retained</x:v>
      </x:c>
      <x:c r="K854" s="17" t="str">
        <x:v>Boundary court</x:v>
      </x:c>
      <x:c r="L854" s="9" t="n">
        <x:v>0</x:v>
      </x:c>
      <x:c r="M854" s="9" t="n">
        <x:v>0</x:v>
      </x:c>
      <x:c r="N854" s="9" t="str">
        <x:v>OPEN / UNACCEPTED</x:v>
      </x:c>
      <x:c r="O854" s="9" t="n">
        <x:f>COUNTIFS($A$7:$A$1734,A854)</x:f>
        <x:v>1</x:v>
      </x:c>
    </x:row>
    <x:row r="855">
      <x:c r="A855" s="9" t="str">
        <x:v>EV-AR-LF-B-A-TECH-1-B2-RCN-G0-OG09</x:v>
      </x:c>
      <x:c r="B855" s="9" t="str">
        <x:v>EV-AR-LF-B-A-TECH-1-B2-RCN-G0</x:v>
      </x:c>
      <x:c r="C855" s="9" t="str">
        <x:v>AR-LF-B-A-TECH-1-B2-RCN-G0</x:v>
      </x:c>
      <x:c r="D855" s="9" t="str">
        <x:v>LF-B-A-TECH-1</x:v>
      </x:c>
      <x:c r="E855" s="9" t="str">
        <x:v>LF-B-A</x:v>
      </x:c>
      <x:c r="F855" s="9" t="str">
        <x:v>B2</x:v>
      </x:c>
      <x:c r="G855" s="9" t="str">
        <x:v>RCN</x:v>
      </x:c>
      <x:c r="H855" s="9" t="str">
        <x:v>OG09</x:v>
      </x:c>
      <x:c r="I855" s="17" t="str">
        <x:v>Intervention account</x:v>
      </x:c>
      <x:c r="J855" s="17" t="str">
        <x:v>all stop, rescue, operator and public-protection actions remain timestamped</x:v>
      </x:c>
      <x:c r="K855" s="17" t="str">
        <x:v>Safety record court</x:v>
      </x:c>
      <x:c r="L855" s="9" t="n">
        <x:v>0</x:v>
      </x:c>
      <x:c r="M855" s="9" t="n">
        <x:v>0</x:v>
      </x:c>
      <x:c r="N855" s="9" t="str">
        <x:v>OPEN / UNACCEPTED</x:v>
      </x:c>
      <x:c r="O855" s="9" t="n">
        <x:f>COUNTIFS($A$7:$A$1734,A855)</x:f>
        <x:v>1</x:v>
      </x:c>
    </x:row>
    <x:row r="856">
      <x:c r="A856" s="9" t="str">
        <x:v>EV-AR-LF-B-A-TECH-1-B2-RCN-G0-OG10</x:v>
      </x:c>
      <x:c r="B856" s="9" t="str">
        <x:v>EV-AR-LF-B-A-TECH-1-B2-RCN-G0</x:v>
      </x:c>
      <x:c r="C856" s="9" t="str">
        <x:v>AR-LF-B-A-TECH-1-B2-RCN-G0</x:v>
      </x:c>
      <x:c r="D856" s="9" t="str">
        <x:v>LF-B-A-TECH-1</x:v>
      </x:c>
      <x:c r="E856" s="9" t="str">
        <x:v>LF-B-A</x:v>
      </x:c>
      <x:c r="F856" s="9" t="str">
        <x:v>B2</x:v>
      </x:c>
      <x:c r="G856" s="9" t="str">
        <x:v>RCN</x:v>
      </x:c>
      <x:c r="H856" s="9" t="str">
        <x:v>OG10</x:v>
      </x:c>
      <x:c r="I856" s="17" t="str">
        <x:v>Uncertainty statement</x:v>
      </x:c>
      <x:c r="J856" s="17" t="str">
        <x:v>range, censoring, resolution and correlation are declared before judgment</x:v>
      </x:c>
      <x:c r="K856" s="17" t="str">
        <x:v>Uncertainty authority</x:v>
      </x:c>
      <x:c r="L856" s="9" t="n">
        <x:v>0</x:v>
      </x:c>
      <x:c r="M856" s="9" t="n">
        <x:v>0</x:v>
      </x:c>
      <x:c r="N856" s="9" t="str">
        <x:v>OPEN / UNACCEPTED</x:v>
      </x:c>
      <x:c r="O856" s="9" t="n">
        <x:f>COUNTIFS($A$7:$A$1734,A856)</x:f>
        <x:v>1</x:v>
      </x:c>
    </x:row>
    <x:row r="857">
      <x:c r="A857" s="9" t="str">
        <x:v>EV-AR-LF-B-A-TECH-1-B2-RCN-G0-OG11</x:v>
      </x:c>
      <x:c r="B857" s="9" t="str">
        <x:v>EV-AR-LF-B-A-TECH-1-B2-RCN-G0</x:v>
      </x:c>
      <x:c r="C857" s="9" t="str">
        <x:v>AR-LF-B-A-TECH-1-B2-RCN-G0</x:v>
      </x:c>
      <x:c r="D857" s="9" t="str">
        <x:v>LF-B-A-TECH-1</x:v>
      </x:c>
      <x:c r="E857" s="9" t="str">
        <x:v>LF-B-A</x:v>
      </x:c>
      <x:c r="F857" s="9" t="str">
        <x:v>B2</x:v>
      </x:c>
      <x:c r="G857" s="9" t="str">
        <x:v>RCN</x:v>
      </x:c>
      <x:c r="H857" s="9" t="str">
        <x:v>OG11</x:v>
      </x:c>
      <x:c r="I857" s="17" t="str">
        <x:v>Contradiction preservation</x:v>
      </x:c>
      <x:c r="J857" s="17" t="str">
        <x:v>primary-witness disagreement remains explicit and is never averaged away</x:v>
      </x:c>
      <x:c r="K857" s="17" t="str">
        <x:v>Dissent registrar</x:v>
      </x:c>
      <x:c r="L857" s="9" t="n">
        <x:v>0</x:v>
      </x:c>
      <x:c r="M857" s="9" t="n">
        <x:v>0</x:v>
      </x:c>
      <x:c r="N857" s="9" t="str">
        <x:v>OPEN / UNACCEPTED</x:v>
      </x:c>
      <x:c r="O857" s="9" t="n">
        <x:f>COUNTIFS($A$7:$A$1734,A857)</x:f>
        <x:v>1</x:v>
      </x:c>
    </x:row>
    <x:row r="858">
      <x:c r="A858" s="9" t="str">
        <x:v>EV-AR-LF-B-A-TECH-1-B2-RCN-G0-OG12</x:v>
      </x:c>
      <x:c r="B858" s="9" t="str">
        <x:v>EV-AR-LF-B-A-TECH-1-B2-RCN-G0</x:v>
      </x:c>
      <x:c r="C858" s="9" t="str">
        <x:v>AR-LF-B-A-TECH-1-B2-RCN-G0</x:v>
      </x:c>
      <x:c r="D858" s="9" t="str">
        <x:v>LF-B-A-TECH-1</x:v>
      </x:c>
      <x:c r="E858" s="9" t="str">
        <x:v>LF-B-A</x:v>
      </x:c>
      <x:c r="F858" s="9" t="str">
        <x:v>B2</x:v>
      </x:c>
      <x:c r="G858" s="9" t="str">
        <x:v>RCN</x:v>
      </x:c>
      <x:c r="H858" s="9" t="str">
        <x:v>OG12</x:v>
      </x:c>
      <x:c r="I858" s="17" t="str">
        <x:v>Independent replay</x:v>
      </x:c>
      <x:c r="J858" s="17" t="str">
        <x:v>a separated reader reconstructs the registered observables from sealed originals</x:v>
      </x:c>
      <x:c r="K858" s="17" t="str">
        <x:v>Replay court</x:v>
      </x:c>
      <x:c r="L858" s="9" t="n">
        <x:v>0</x:v>
      </x:c>
      <x:c r="M858" s="9" t="n">
        <x:v>0</x:v>
      </x:c>
      <x:c r="N858" s="9" t="str">
        <x:v>OPEN / UNACCEPTED</x:v>
      </x:c>
      <x:c r="O858" s="9" t="n">
        <x:f>COUNTIFS($A$7:$A$1734,A858)</x:f>
        <x:v>1</x:v>
      </x:c>
    </x:row>
    <x:row r="859">
      <x:c r="A859" s="9" t="str">
        <x:v>EV-AR-RT-B-C-TECH-1-B2-BRK-G0-OG01</x:v>
      </x:c>
      <x:c r="B859" s="9" t="str">
        <x:v>EV-AR-RT-B-C-TECH-1-B2-BRK-G0</x:v>
      </x:c>
      <x:c r="C859" s="9" t="str">
        <x:v>AR-RT-B-C-TECH-1-B2-BRK-G0</x:v>
      </x:c>
      <x:c r="D859" s="9" t="str">
        <x:v>RT-B-C-TECH-1</x:v>
      </x:c>
      <x:c r="E859" s="9" t="str">
        <x:v>RT-B-C</x:v>
      </x:c>
      <x:c r="F859" s="9" t="str">
        <x:v>B2</x:v>
      </x:c>
      <x:c r="G859" s="9" t="str">
        <x:v>BRK</x:v>
      </x:c>
      <x:c r="H859" s="9" t="str">
        <x:v>OG01</x:v>
      </x:c>
      <x:c r="I859" s="17" t="str">
        <x:v>Serial and event identity</x:v>
      </x:c>
      <x:c r="J859" s="17" t="str">
        <x:v>record resolves to the issued serial, generation and physical start</x:v>
      </x:c>
      <x:c r="K859" s="17" t="str">
        <x:v>Observation court</x:v>
      </x:c>
      <x:c r="L859" s="9" t="n">
        <x:v>0</x:v>
      </x:c>
      <x:c r="M859" s="9" t="n">
        <x:v>0</x:v>
      </x:c>
      <x:c r="N859" s="9" t="str">
        <x:v>OPEN / UNACCEPTED</x:v>
      </x:c>
      <x:c r="O859" s="9" t="n">
        <x:f>COUNTIFS($A$7:$A$1734,A859)</x:f>
        <x:v>1</x:v>
      </x:c>
    </x:row>
    <x:row r="860">
      <x:c r="A860" s="9" t="str">
        <x:v>EV-AR-RT-B-C-TECH-1-B2-BRK-G0-OG02</x:v>
      </x:c>
      <x:c r="B860" s="9" t="str">
        <x:v>EV-AR-RT-B-C-TECH-1-B2-BRK-G0</x:v>
      </x:c>
      <x:c r="C860" s="9" t="str">
        <x:v>AR-RT-B-C-TECH-1-B2-BRK-G0</x:v>
      </x:c>
      <x:c r="D860" s="9" t="str">
        <x:v>RT-B-C-TECH-1</x:v>
      </x:c>
      <x:c r="E860" s="9" t="str">
        <x:v>RT-B-C</x:v>
      </x:c>
      <x:c r="F860" s="9" t="str">
        <x:v>B2</x:v>
      </x:c>
      <x:c r="G860" s="9" t="str">
        <x:v>BRK</x:v>
      </x:c>
      <x:c r="H860" s="9" t="str">
        <x:v>OG02</x:v>
      </x:c>
      <x:c r="I860" s="17" t="str">
        <x:v>Time ancestry</x:v>
      </x:c>
      <x:c r="J860" s="17" t="str">
        <x:v>primary, witness and public event clocks retain declared offsets and drift</x:v>
      </x:c>
      <x:c r="K860" s="17" t="str">
        <x:v>Time authority</x:v>
      </x:c>
      <x:c r="L860" s="9" t="n">
        <x:v>0</x:v>
      </x:c>
      <x:c r="M860" s="9" t="n">
        <x:v>0</x:v>
      </x:c>
      <x:c r="N860" s="9" t="str">
        <x:v>OPEN / UNACCEPTED</x:v>
      </x:c>
      <x:c r="O860" s="9" t="n">
        <x:f>COUNTIFS($A$7:$A$1734,A860)</x:f>
        <x:v>1</x:v>
      </x:c>
    </x:row>
    <x:row r="861">
      <x:c r="A861" s="9" t="str">
        <x:v>EV-AR-RT-B-C-TECH-1-B2-BRK-G0-OG03</x:v>
      </x:c>
      <x:c r="B861" s="9" t="str">
        <x:v>EV-AR-RT-B-C-TECH-1-B2-BRK-G0</x:v>
      </x:c>
      <x:c r="C861" s="9" t="str">
        <x:v>AR-RT-B-C-TECH-1-B2-BRK-G0</x:v>
      </x:c>
      <x:c r="D861" s="9" t="str">
        <x:v>RT-B-C-TECH-1</x:v>
      </x:c>
      <x:c r="E861" s="9" t="str">
        <x:v>RT-B-C</x:v>
      </x:c>
      <x:c r="F861" s="9" t="str">
        <x:v>B2</x:v>
      </x:c>
      <x:c r="G861" s="9" t="str">
        <x:v>BRK</x:v>
      </x:c>
      <x:c r="H861" s="9" t="str">
        <x:v>OG03</x:v>
      </x:c>
      <x:c r="I861" s="17" t="str">
        <x:v>Calibration ancestry</x:v>
      </x:c>
      <x:c r="J861" s="17" t="str">
        <x:v>all reference, range and uncertainty states cover the live interval</x:v>
      </x:c>
      <x:c r="K861" s="17" t="str">
        <x:v>Metrology courts</x:v>
      </x:c>
      <x:c r="L861" s="9" t="n">
        <x:v>0</x:v>
      </x:c>
      <x:c r="M861" s="9" t="n">
        <x:v>0</x:v>
      </x:c>
      <x:c r="N861" s="9" t="str">
        <x:v>OPEN / UNACCEPTED</x:v>
      </x:c>
      <x:c r="O861" s="9" t="n">
        <x:f>COUNTIFS($A$7:$A$1734,A861)</x:f>
        <x:v>1</x:v>
      </x:c>
    </x:row>
    <x:row r="862">
      <x:c r="A862" s="9" t="str">
        <x:v>EV-AR-RT-B-C-TECH-1-B2-BRK-G0-OG04</x:v>
      </x:c>
      <x:c r="B862" s="9" t="str">
        <x:v>EV-AR-RT-B-C-TECH-1-B2-BRK-G0</x:v>
      </x:c>
      <x:c r="C862" s="9" t="str">
        <x:v>AR-RT-B-C-TECH-1-B2-BRK-G0</x:v>
      </x:c>
      <x:c r="D862" s="9" t="str">
        <x:v>RT-B-C-TECH-1</x:v>
      </x:c>
      <x:c r="E862" s="9" t="str">
        <x:v>RT-B-C</x:v>
      </x:c>
      <x:c r="F862" s="9" t="str">
        <x:v>B2</x:v>
      </x:c>
      <x:c r="G862" s="9" t="str">
        <x:v>BRK</x:v>
      </x:c>
      <x:c r="H862" s="9" t="str">
        <x:v>OG04</x:v>
      </x:c>
      <x:c r="I862" s="17" t="str">
        <x:v>Raw completeness</x:v>
      </x:c>
      <x:c r="J862" s="17" t="str">
        <x:v>missingness is enumerated without imputation or outcome-conditioned deletion</x:v>
      </x:c>
      <x:c r="K862" s="17" t="str">
        <x:v>Observation court</x:v>
      </x:c>
      <x:c r="L862" s="9" t="n">
        <x:v>0</x:v>
      </x:c>
      <x:c r="M862" s="9" t="n">
        <x:v>0</x:v>
      </x:c>
      <x:c r="N862" s="9" t="str">
        <x:v>OPEN / UNACCEPTED</x:v>
      </x:c>
      <x:c r="O862" s="9" t="n">
        <x:f>COUNTIFS($A$7:$A$1734,A862)</x:f>
        <x:v>1</x:v>
      </x:c>
    </x:row>
    <x:row r="863">
      <x:c r="A863" s="9" t="str">
        <x:v>EV-AR-RT-B-C-TECH-1-B2-BRK-G0-OG05</x:v>
      </x:c>
      <x:c r="B863" s="9" t="str">
        <x:v>EV-AR-RT-B-C-TECH-1-B2-BRK-G0</x:v>
      </x:c>
      <x:c r="C863" s="9" t="str">
        <x:v>AR-RT-B-C-TECH-1-B2-BRK-G0</x:v>
      </x:c>
      <x:c r="D863" s="9" t="str">
        <x:v>RT-B-C-TECH-1</x:v>
      </x:c>
      <x:c r="E863" s="9" t="str">
        <x:v>RT-B-C</x:v>
      </x:c>
      <x:c r="F863" s="9" t="str">
        <x:v>B2</x:v>
      </x:c>
      <x:c r="G863" s="9" t="str">
        <x:v>BRK</x:v>
      </x:c>
      <x:c r="H863" s="9" t="str">
        <x:v>OG05</x:v>
      </x:c>
      <x:c r="I863" s="17" t="str">
        <x:v>Primary provenance</x:v>
      </x:c>
      <x:c r="J863" s="17" t="str">
        <x:v>primary originals, hashes, keys and access history reconcile</x:v>
      </x:c>
      <x:c r="K863" s="17" t="str">
        <x:v>Primary custody</x:v>
      </x:c>
      <x:c r="L863" s="9" t="n">
        <x:v>0</x:v>
      </x:c>
      <x:c r="M863" s="9" t="n">
        <x:v>0</x:v>
      </x:c>
      <x:c r="N863" s="9" t="str">
        <x:v>OPEN / UNACCEPTED</x:v>
      </x:c>
      <x:c r="O863" s="9" t="n">
        <x:f>COUNTIFS($A$7:$A$1734,A863)</x:f>
        <x:v>1</x:v>
      </x:c>
    </x:row>
    <x:row r="864">
      <x:c r="A864" s="9" t="str">
        <x:v>EV-AR-RT-B-C-TECH-1-B2-BRK-G0-OG06</x:v>
      </x:c>
      <x:c r="B864" s="9" t="str">
        <x:v>EV-AR-RT-B-C-TECH-1-B2-BRK-G0</x:v>
      </x:c>
      <x:c r="C864" s="9" t="str">
        <x:v>AR-RT-B-C-TECH-1-B2-BRK-G0</x:v>
      </x:c>
      <x:c r="D864" s="9" t="str">
        <x:v>RT-B-C-TECH-1</x:v>
      </x:c>
      <x:c r="E864" s="9" t="str">
        <x:v>RT-B-C</x:v>
      </x:c>
      <x:c r="F864" s="9" t="str">
        <x:v>B2</x:v>
      </x:c>
      <x:c r="G864" s="9" t="str">
        <x:v>BRK</x:v>
      </x:c>
      <x:c r="H864" s="9" t="str">
        <x:v>OG06</x:v>
      </x:c>
      <x:c r="I864" s="17" t="str">
        <x:v>Witness provenance</x:v>
      </x:c>
      <x:c r="J864" s="17" t="str">
        <x:v>unlike witness originals, hashes, keys and access history reconcile</x:v>
      </x:c>
      <x:c r="K864" s="17" t="str">
        <x:v>Witness custody</x:v>
      </x:c>
      <x:c r="L864" s="9" t="n">
        <x:v>0</x:v>
      </x:c>
      <x:c r="M864" s="9" t="n">
        <x:v>0</x:v>
      </x:c>
      <x:c r="N864" s="9" t="str">
        <x:v>OPEN / UNACCEPTED</x:v>
      </x:c>
      <x:c r="O864" s="9" t="n">
        <x:f>COUNTIFS($A$7:$A$1734,A864)</x:f>
        <x:v>1</x:v>
      </x:c>
    </x:row>
    <x:row r="865">
      <x:c r="A865" s="9" t="str">
        <x:v>EV-AR-RT-B-C-TECH-1-B2-BRK-G0-OG07</x:v>
      </x:c>
      <x:c r="B865" s="9" t="str">
        <x:v>EV-AR-RT-B-C-TECH-1-B2-BRK-G0</x:v>
      </x:c>
      <x:c r="C865" s="9" t="str">
        <x:v>AR-RT-B-C-TECH-1-B2-BRK-G0</x:v>
      </x:c>
      <x:c r="D865" s="9" t="str">
        <x:v>RT-B-C-TECH-1</x:v>
      </x:c>
      <x:c r="E865" s="9" t="str">
        <x:v>RT-B-C</x:v>
      </x:c>
      <x:c r="F865" s="9" t="str">
        <x:v>B2</x:v>
      </x:c>
      <x:c r="G865" s="9" t="str">
        <x:v>BRK</x:v>
      </x:c>
      <x:c r="H865" s="9" t="str">
        <x:v>OG07</x:v>
      </x:c>
      <x:c r="I865" s="17" t="str">
        <x:v>Receiver denominator</x:v>
      </x:c>
      <x:c r="J865" s="17" t="str">
        <x:v>population, quantity, duration and exclusions match the frozen receipt</x:v>
      </x:c>
      <x:c r="K865" s="17" t="str">
        <x:v>Receiver court</x:v>
      </x:c>
      <x:c r="L865" s="9" t="n">
        <x:v>0</x:v>
      </x:c>
      <x:c r="M865" s="9" t="n">
        <x:v>0</x:v>
      </x:c>
      <x:c r="N865" s="9" t="str">
        <x:v>OPEN / UNACCEPTED</x:v>
      </x:c>
      <x:c r="O865" s="9" t="n">
        <x:f>COUNTIFS($A$7:$A$1734,A865)</x:f>
        <x:v>1</x:v>
      </x:c>
    </x:row>
    <x:row r="866">
      <x:c r="A866" s="9" t="str">
        <x:v>EV-AR-RT-B-C-TECH-1-B2-BRK-G0-OG08</x:v>
      </x:c>
      <x:c r="B866" s="9" t="str">
        <x:v>EV-AR-RT-B-C-TECH-1-B2-BRK-G0</x:v>
      </x:c>
      <x:c r="C866" s="9" t="str">
        <x:v>AR-RT-B-C-TECH-1-B2-BRK-G0</x:v>
      </x:c>
      <x:c r="D866" s="9" t="str">
        <x:v>RT-B-C-TECH-1</x:v>
      </x:c>
      <x:c r="E866" s="9" t="str">
        <x:v>RT-B-C</x:v>
      </x:c>
      <x:c r="F866" s="9" t="str">
        <x:v>B2</x:v>
      </x:c>
      <x:c r="G866" s="9" t="str">
        <x:v>BRK</x:v>
      </x:c>
      <x:c r="H866" s="9" t="str">
        <x:v>OG08</x:v>
      </x:c>
      <x:c r="I866" s="17" t="str">
        <x:v>Environment and boundary</x:v>
      </x:c>
      <x:c r="J866" s="17" t="str">
        <x:v>registered weather, water, ground, inlet and outlet states are retained</x:v>
      </x:c>
      <x:c r="K866" s="17" t="str">
        <x:v>Boundary court</x:v>
      </x:c>
      <x:c r="L866" s="9" t="n">
        <x:v>0</x:v>
      </x:c>
      <x:c r="M866" s="9" t="n">
        <x:v>0</x:v>
      </x:c>
      <x:c r="N866" s="9" t="str">
        <x:v>OPEN / UNACCEPTED</x:v>
      </x:c>
      <x:c r="O866" s="9" t="n">
        <x:f>COUNTIFS($A$7:$A$1734,A866)</x:f>
        <x:v>1</x:v>
      </x:c>
    </x:row>
    <x:row r="867">
      <x:c r="A867" s="9" t="str">
        <x:v>EV-AR-RT-B-C-TECH-1-B2-BRK-G0-OG09</x:v>
      </x:c>
      <x:c r="B867" s="9" t="str">
        <x:v>EV-AR-RT-B-C-TECH-1-B2-BRK-G0</x:v>
      </x:c>
      <x:c r="C867" s="9" t="str">
        <x:v>AR-RT-B-C-TECH-1-B2-BRK-G0</x:v>
      </x:c>
      <x:c r="D867" s="9" t="str">
        <x:v>RT-B-C-TECH-1</x:v>
      </x:c>
      <x:c r="E867" s="9" t="str">
        <x:v>RT-B-C</x:v>
      </x:c>
      <x:c r="F867" s="9" t="str">
        <x:v>B2</x:v>
      </x:c>
      <x:c r="G867" s="9" t="str">
        <x:v>BRK</x:v>
      </x:c>
      <x:c r="H867" s="9" t="str">
        <x:v>OG09</x:v>
      </x:c>
      <x:c r="I867" s="17" t="str">
        <x:v>Intervention account</x:v>
      </x:c>
      <x:c r="J867" s="17" t="str">
        <x:v>all stop, rescue, operator and public-protection actions remain timestamped</x:v>
      </x:c>
      <x:c r="K867" s="17" t="str">
        <x:v>Safety record court</x:v>
      </x:c>
      <x:c r="L867" s="9" t="n">
        <x:v>0</x:v>
      </x:c>
      <x:c r="M867" s="9" t="n">
        <x:v>0</x:v>
      </x:c>
      <x:c r="N867" s="9" t="str">
        <x:v>OPEN / UNACCEPTED</x:v>
      </x:c>
      <x:c r="O867" s="9" t="n">
        <x:f>COUNTIFS($A$7:$A$1734,A867)</x:f>
        <x:v>1</x:v>
      </x:c>
    </x:row>
    <x:row r="868">
      <x:c r="A868" s="9" t="str">
        <x:v>EV-AR-RT-B-C-TECH-1-B2-BRK-G0-OG10</x:v>
      </x:c>
      <x:c r="B868" s="9" t="str">
        <x:v>EV-AR-RT-B-C-TECH-1-B2-BRK-G0</x:v>
      </x:c>
      <x:c r="C868" s="9" t="str">
        <x:v>AR-RT-B-C-TECH-1-B2-BRK-G0</x:v>
      </x:c>
      <x:c r="D868" s="9" t="str">
        <x:v>RT-B-C-TECH-1</x:v>
      </x:c>
      <x:c r="E868" s="9" t="str">
        <x:v>RT-B-C</x:v>
      </x:c>
      <x:c r="F868" s="9" t="str">
        <x:v>B2</x:v>
      </x:c>
      <x:c r="G868" s="9" t="str">
        <x:v>BRK</x:v>
      </x:c>
      <x:c r="H868" s="9" t="str">
        <x:v>OG10</x:v>
      </x:c>
      <x:c r="I868" s="17" t="str">
        <x:v>Uncertainty statement</x:v>
      </x:c>
      <x:c r="J868" s="17" t="str">
        <x:v>range, censoring, resolution and correlation are declared before judgment</x:v>
      </x:c>
      <x:c r="K868" s="17" t="str">
        <x:v>Uncertainty authority</x:v>
      </x:c>
      <x:c r="L868" s="9" t="n">
        <x:v>0</x:v>
      </x:c>
      <x:c r="M868" s="9" t="n">
        <x:v>0</x:v>
      </x:c>
      <x:c r="N868" s="9" t="str">
        <x:v>OPEN / UNACCEPTED</x:v>
      </x:c>
      <x:c r="O868" s="9" t="n">
        <x:f>COUNTIFS($A$7:$A$1734,A868)</x:f>
        <x:v>1</x:v>
      </x:c>
    </x:row>
    <x:row r="869">
      <x:c r="A869" s="9" t="str">
        <x:v>EV-AR-RT-B-C-TECH-1-B2-BRK-G0-OG11</x:v>
      </x:c>
      <x:c r="B869" s="9" t="str">
        <x:v>EV-AR-RT-B-C-TECH-1-B2-BRK-G0</x:v>
      </x:c>
      <x:c r="C869" s="9" t="str">
        <x:v>AR-RT-B-C-TECH-1-B2-BRK-G0</x:v>
      </x:c>
      <x:c r="D869" s="9" t="str">
        <x:v>RT-B-C-TECH-1</x:v>
      </x:c>
      <x:c r="E869" s="9" t="str">
        <x:v>RT-B-C</x:v>
      </x:c>
      <x:c r="F869" s="9" t="str">
        <x:v>B2</x:v>
      </x:c>
      <x:c r="G869" s="9" t="str">
        <x:v>BRK</x:v>
      </x:c>
      <x:c r="H869" s="9" t="str">
        <x:v>OG11</x:v>
      </x:c>
      <x:c r="I869" s="17" t="str">
        <x:v>Contradiction preservation</x:v>
      </x:c>
      <x:c r="J869" s="17" t="str">
        <x:v>primary-witness disagreement remains explicit and is never averaged away</x:v>
      </x:c>
      <x:c r="K869" s="17" t="str">
        <x:v>Dissent registrar</x:v>
      </x:c>
      <x:c r="L869" s="9" t="n">
        <x:v>0</x:v>
      </x:c>
      <x:c r="M869" s="9" t="n">
        <x:v>0</x:v>
      </x:c>
      <x:c r="N869" s="9" t="str">
        <x:v>OPEN / UNACCEPTED</x:v>
      </x:c>
      <x:c r="O869" s="9" t="n">
        <x:f>COUNTIFS($A$7:$A$1734,A869)</x:f>
        <x:v>1</x:v>
      </x:c>
    </x:row>
    <x:row r="870">
      <x:c r="A870" s="9" t="str">
        <x:v>EV-AR-RT-B-C-TECH-1-B2-BRK-G0-OG12</x:v>
      </x:c>
      <x:c r="B870" s="9" t="str">
        <x:v>EV-AR-RT-B-C-TECH-1-B2-BRK-G0</x:v>
      </x:c>
      <x:c r="C870" s="9" t="str">
        <x:v>AR-RT-B-C-TECH-1-B2-BRK-G0</x:v>
      </x:c>
      <x:c r="D870" s="9" t="str">
        <x:v>RT-B-C-TECH-1</x:v>
      </x:c>
      <x:c r="E870" s="9" t="str">
        <x:v>RT-B-C</x:v>
      </x:c>
      <x:c r="F870" s="9" t="str">
        <x:v>B2</x:v>
      </x:c>
      <x:c r="G870" s="9" t="str">
        <x:v>BRK</x:v>
      </x:c>
      <x:c r="H870" s="9" t="str">
        <x:v>OG12</x:v>
      </x:c>
      <x:c r="I870" s="17" t="str">
        <x:v>Independent replay</x:v>
      </x:c>
      <x:c r="J870" s="17" t="str">
        <x:v>a separated reader reconstructs the registered observables from sealed originals</x:v>
      </x:c>
      <x:c r="K870" s="17" t="str">
        <x:v>Replay court</x:v>
      </x:c>
      <x:c r="L870" s="9" t="n">
        <x:v>0</x:v>
      </x:c>
      <x:c r="M870" s="9" t="n">
        <x:v>0</x:v>
      </x:c>
      <x:c r="N870" s="9" t="str">
        <x:v>OPEN / UNACCEPTED</x:v>
      </x:c>
      <x:c r="O870" s="9" t="n">
        <x:f>COUNTIFS($A$7:$A$1734,A870)</x:f>
        <x:v>1</x:v>
      </x:c>
    </x:row>
    <x:row r="871">
      <x:c r="A871" s="9" t="str">
        <x:v>EV-AR-CT-C-B-TECH-2-B2-INT-G0-OG01</x:v>
      </x:c>
      <x:c r="B871" s="9" t="str">
        <x:v>EV-AR-CT-C-B-TECH-2-B2-INT-G0</x:v>
      </x:c>
      <x:c r="C871" s="9" t="str">
        <x:v>AR-CT-C-B-TECH-2-B2-INT-G0</x:v>
      </x:c>
      <x:c r="D871" s="9" t="str">
        <x:v>CT-C-B-TECH-2</x:v>
      </x:c>
      <x:c r="E871" s="9" t="str">
        <x:v>CT-C-B</x:v>
      </x:c>
      <x:c r="F871" s="9" t="str">
        <x:v>B2</x:v>
      </x:c>
      <x:c r="G871" s="9" t="str">
        <x:v>INT</x:v>
      </x:c>
      <x:c r="H871" s="9" t="str">
        <x:v>OG01</x:v>
      </x:c>
      <x:c r="I871" s="17" t="str">
        <x:v>Serial and event identity</x:v>
      </x:c>
      <x:c r="J871" s="17" t="str">
        <x:v>record resolves to the issued serial, generation and physical start</x:v>
      </x:c>
      <x:c r="K871" s="17" t="str">
        <x:v>Observation court</x:v>
      </x:c>
      <x:c r="L871" s="9" t="n">
        <x:v>0</x:v>
      </x:c>
      <x:c r="M871" s="9" t="n">
        <x:v>0</x:v>
      </x:c>
      <x:c r="N871" s="9" t="str">
        <x:v>OPEN / UNACCEPTED</x:v>
      </x:c>
      <x:c r="O871" s="9" t="n">
        <x:f>COUNTIFS($A$7:$A$1734,A871)</x:f>
        <x:v>1</x:v>
      </x:c>
    </x:row>
    <x:row r="872">
      <x:c r="A872" s="9" t="str">
        <x:v>EV-AR-CT-C-B-TECH-2-B2-INT-G0-OG02</x:v>
      </x:c>
      <x:c r="B872" s="9" t="str">
        <x:v>EV-AR-CT-C-B-TECH-2-B2-INT-G0</x:v>
      </x:c>
      <x:c r="C872" s="9" t="str">
        <x:v>AR-CT-C-B-TECH-2-B2-INT-G0</x:v>
      </x:c>
      <x:c r="D872" s="9" t="str">
        <x:v>CT-C-B-TECH-2</x:v>
      </x:c>
      <x:c r="E872" s="9" t="str">
        <x:v>CT-C-B</x:v>
      </x:c>
      <x:c r="F872" s="9" t="str">
        <x:v>B2</x:v>
      </x:c>
      <x:c r="G872" s="9" t="str">
        <x:v>INT</x:v>
      </x:c>
      <x:c r="H872" s="9" t="str">
        <x:v>OG02</x:v>
      </x:c>
      <x:c r="I872" s="17" t="str">
        <x:v>Time ancestry</x:v>
      </x:c>
      <x:c r="J872" s="17" t="str">
        <x:v>primary, witness and public event clocks retain declared offsets and drift</x:v>
      </x:c>
      <x:c r="K872" s="17" t="str">
        <x:v>Time authority</x:v>
      </x:c>
      <x:c r="L872" s="9" t="n">
        <x:v>0</x:v>
      </x:c>
      <x:c r="M872" s="9" t="n">
        <x:v>0</x:v>
      </x:c>
      <x:c r="N872" s="9" t="str">
        <x:v>OPEN / UNACCEPTED</x:v>
      </x:c>
      <x:c r="O872" s="9" t="n">
        <x:f>COUNTIFS($A$7:$A$1734,A872)</x:f>
        <x:v>1</x:v>
      </x:c>
    </x:row>
    <x:row r="873">
      <x:c r="A873" s="9" t="str">
        <x:v>EV-AR-CT-C-B-TECH-2-B2-INT-G0-OG03</x:v>
      </x:c>
      <x:c r="B873" s="9" t="str">
        <x:v>EV-AR-CT-C-B-TECH-2-B2-INT-G0</x:v>
      </x:c>
      <x:c r="C873" s="9" t="str">
        <x:v>AR-CT-C-B-TECH-2-B2-INT-G0</x:v>
      </x:c>
      <x:c r="D873" s="9" t="str">
        <x:v>CT-C-B-TECH-2</x:v>
      </x:c>
      <x:c r="E873" s="9" t="str">
        <x:v>CT-C-B</x:v>
      </x:c>
      <x:c r="F873" s="9" t="str">
        <x:v>B2</x:v>
      </x:c>
      <x:c r="G873" s="9" t="str">
        <x:v>INT</x:v>
      </x:c>
      <x:c r="H873" s="9" t="str">
        <x:v>OG03</x:v>
      </x:c>
      <x:c r="I873" s="17" t="str">
        <x:v>Calibration ancestry</x:v>
      </x:c>
      <x:c r="J873" s="17" t="str">
        <x:v>all reference, range and uncertainty states cover the live interval</x:v>
      </x:c>
      <x:c r="K873" s="17" t="str">
        <x:v>Metrology courts</x:v>
      </x:c>
      <x:c r="L873" s="9" t="n">
        <x:v>0</x:v>
      </x:c>
      <x:c r="M873" s="9" t="n">
        <x:v>0</x:v>
      </x:c>
      <x:c r="N873" s="9" t="str">
        <x:v>OPEN / UNACCEPTED</x:v>
      </x:c>
      <x:c r="O873" s="9" t="n">
        <x:f>COUNTIFS($A$7:$A$1734,A873)</x:f>
        <x:v>1</x:v>
      </x:c>
    </x:row>
    <x:row r="874">
      <x:c r="A874" s="9" t="str">
        <x:v>EV-AR-CT-C-B-TECH-2-B2-INT-G0-OG04</x:v>
      </x:c>
      <x:c r="B874" s="9" t="str">
        <x:v>EV-AR-CT-C-B-TECH-2-B2-INT-G0</x:v>
      </x:c>
      <x:c r="C874" s="9" t="str">
        <x:v>AR-CT-C-B-TECH-2-B2-INT-G0</x:v>
      </x:c>
      <x:c r="D874" s="9" t="str">
        <x:v>CT-C-B-TECH-2</x:v>
      </x:c>
      <x:c r="E874" s="9" t="str">
        <x:v>CT-C-B</x:v>
      </x:c>
      <x:c r="F874" s="9" t="str">
        <x:v>B2</x:v>
      </x:c>
      <x:c r="G874" s="9" t="str">
        <x:v>INT</x:v>
      </x:c>
      <x:c r="H874" s="9" t="str">
        <x:v>OG04</x:v>
      </x:c>
      <x:c r="I874" s="17" t="str">
        <x:v>Raw completeness</x:v>
      </x:c>
      <x:c r="J874" s="17" t="str">
        <x:v>missingness is enumerated without imputation or outcome-conditioned deletion</x:v>
      </x:c>
      <x:c r="K874" s="17" t="str">
        <x:v>Observation court</x:v>
      </x:c>
      <x:c r="L874" s="9" t="n">
        <x:v>0</x:v>
      </x:c>
      <x:c r="M874" s="9" t="n">
        <x:v>0</x:v>
      </x:c>
      <x:c r="N874" s="9" t="str">
        <x:v>OPEN / UNACCEPTED</x:v>
      </x:c>
      <x:c r="O874" s="9" t="n">
        <x:f>COUNTIFS($A$7:$A$1734,A874)</x:f>
        <x:v>1</x:v>
      </x:c>
    </x:row>
    <x:row r="875">
      <x:c r="A875" s="9" t="str">
        <x:v>EV-AR-CT-C-B-TECH-2-B2-INT-G0-OG05</x:v>
      </x:c>
      <x:c r="B875" s="9" t="str">
        <x:v>EV-AR-CT-C-B-TECH-2-B2-INT-G0</x:v>
      </x:c>
      <x:c r="C875" s="9" t="str">
        <x:v>AR-CT-C-B-TECH-2-B2-INT-G0</x:v>
      </x:c>
      <x:c r="D875" s="9" t="str">
        <x:v>CT-C-B-TECH-2</x:v>
      </x:c>
      <x:c r="E875" s="9" t="str">
        <x:v>CT-C-B</x:v>
      </x:c>
      <x:c r="F875" s="9" t="str">
        <x:v>B2</x:v>
      </x:c>
      <x:c r="G875" s="9" t="str">
        <x:v>INT</x:v>
      </x:c>
      <x:c r="H875" s="9" t="str">
        <x:v>OG05</x:v>
      </x:c>
      <x:c r="I875" s="17" t="str">
        <x:v>Primary provenance</x:v>
      </x:c>
      <x:c r="J875" s="17" t="str">
        <x:v>primary originals, hashes, keys and access history reconcile</x:v>
      </x:c>
      <x:c r="K875" s="17" t="str">
        <x:v>Primary custody</x:v>
      </x:c>
      <x:c r="L875" s="9" t="n">
        <x:v>0</x:v>
      </x:c>
      <x:c r="M875" s="9" t="n">
        <x:v>0</x:v>
      </x:c>
      <x:c r="N875" s="9" t="str">
        <x:v>OPEN / UNACCEPTED</x:v>
      </x:c>
      <x:c r="O875" s="9" t="n">
        <x:f>COUNTIFS($A$7:$A$1734,A875)</x:f>
        <x:v>1</x:v>
      </x:c>
    </x:row>
    <x:row r="876">
      <x:c r="A876" s="9" t="str">
        <x:v>EV-AR-CT-C-B-TECH-2-B2-INT-G0-OG06</x:v>
      </x:c>
      <x:c r="B876" s="9" t="str">
        <x:v>EV-AR-CT-C-B-TECH-2-B2-INT-G0</x:v>
      </x:c>
      <x:c r="C876" s="9" t="str">
        <x:v>AR-CT-C-B-TECH-2-B2-INT-G0</x:v>
      </x:c>
      <x:c r="D876" s="9" t="str">
        <x:v>CT-C-B-TECH-2</x:v>
      </x:c>
      <x:c r="E876" s="9" t="str">
        <x:v>CT-C-B</x:v>
      </x:c>
      <x:c r="F876" s="9" t="str">
        <x:v>B2</x:v>
      </x:c>
      <x:c r="G876" s="9" t="str">
        <x:v>INT</x:v>
      </x:c>
      <x:c r="H876" s="9" t="str">
        <x:v>OG06</x:v>
      </x:c>
      <x:c r="I876" s="17" t="str">
        <x:v>Witness provenance</x:v>
      </x:c>
      <x:c r="J876" s="17" t="str">
        <x:v>unlike witness originals, hashes, keys and access history reconcile</x:v>
      </x:c>
      <x:c r="K876" s="17" t="str">
        <x:v>Witness custody</x:v>
      </x:c>
      <x:c r="L876" s="9" t="n">
        <x:v>0</x:v>
      </x:c>
      <x:c r="M876" s="9" t="n">
        <x:v>0</x:v>
      </x:c>
      <x:c r="N876" s="9" t="str">
        <x:v>OPEN / UNACCEPTED</x:v>
      </x:c>
      <x:c r="O876" s="9" t="n">
        <x:f>COUNTIFS($A$7:$A$1734,A876)</x:f>
        <x:v>1</x:v>
      </x:c>
    </x:row>
    <x:row r="877">
      <x:c r="A877" s="9" t="str">
        <x:v>EV-AR-CT-C-B-TECH-2-B2-INT-G0-OG07</x:v>
      </x:c>
      <x:c r="B877" s="9" t="str">
        <x:v>EV-AR-CT-C-B-TECH-2-B2-INT-G0</x:v>
      </x:c>
      <x:c r="C877" s="9" t="str">
        <x:v>AR-CT-C-B-TECH-2-B2-INT-G0</x:v>
      </x:c>
      <x:c r="D877" s="9" t="str">
        <x:v>CT-C-B-TECH-2</x:v>
      </x:c>
      <x:c r="E877" s="9" t="str">
        <x:v>CT-C-B</x:v>
      </x:c>
      <x:c r="F877" s="9" t="str">
        <x:v>B2</x:v>
      </x:c>
      <x:c r="G877" s="9" t="str">
        <x:v>INT</x:v>
      </x:c>
      <x:c r="H877" s="9" t="str">
        <x:v>OG07</x:v>
      </x:c>
      <x:c r="I877" s="17" t="str">
        <x:v>Receiver denominator</x:v>
      </x:c>
      <x:c r="J877" s="17" t="str">
        <x:v>population, quantity, duration and exclusions match the frozen receipt</x:v>
      </x:c>
      <x:c r="K877" s="17" t="str">
        <x:v>Receiver court</x:v>
      </x:c>
      <x:c r="L877" s="9" t="n">
        <x:v>0</x:v>
      </x:c>
      <x:c r="M877" s="9" t="n">
        <x:v>0</x:v>
      </x:c>
      <x:c r="N877" s="9" t="str">
        <x:v>OPEN / UNACCEPTED</x:v>
      </x:c>
      <x:c r="O877" s="9" t="n">
        <x:f>COUNTIFS($A$7:$A$1734,A877)</x:f>
        <x:v>1</x:v>
      </x:c>
    </x:row>
    <x:row r="878">
      <x:c r="A878" s="9" t="str">
        <x:v>EV-AR-CT-C-B-TECH-2-B2-INT-G0-OG08</x:v>
      </x:c>
      <x:c r="B878" s="9" t="str">
        <x:v>EV-AR-CT-C-B-TECH-2-B2-INT-G0</x:v>
      </x:c>
      <x:c r="C878" s="9" t="str">
        <x:v>AR-CT-C-B-TECH-2-B2-INT-G0</x:v>
      </x:c>
      <x:c r="D878" s="9" t="str">
        <x:v>CT-C-B-TECH-2</x:v>
      </x:c>
      <x:c r="E878" s="9" t="str">
        <x:v>CT-C-B</x:v>
      </x:c>
      <x:c r="F878" s="9" t="str">
        <x:v>B2</x:v>
      </x:c>
      <x:c r="G878" s="9" t="str">
        <x:v>INT</x:v>
      </x:c>
      <x:c r="H878" s="9" t="str">
        <x:v>OG08</x:v>
      </x:c>
      <x:c r="I878" s="17" t="str">
        <x:v>Environment and boundary</x:v>
      </x:c>
      <x:c r="J878" s="17" t="str">
        <x:v>registered weather, water, ground, inlet and outlet states are retained</x:v>
      </x:c>
      <x:c r="K878" s="17" t="str">
        <x:v>Boundary court</x:v>
      </x:c>
      <x:c r="L878" s="9" t="n">
        <x:v>0</x:v>
      </x:c>
      <x:c r="M878" s="9" t="n">
        <x:v>0</x:v>
      </x:c>
      <x:c r="N878" s="9" t="str">
        <x:v>OPEN / UNACCEPTED</x:v>
      </x:c>
      <x:c r="O878" s="9" t="n">
        <x:f>COUNTIFS($A$7:$A$1734,A878)</x:f>
        <x:v>1</x:v>
      </x:c>
    </x:row>
    <x:row r="879">
      <x:c r="A879" s="9" t="str">
        <x:v>EV-AR-CT-C-B-TECH-2-B2-INT-G0-OG09</x:v>
      </x:c>
      <x:c r="B879" s="9" t="str">
        <x:v>EV-AR-CT-C-B-TECH-2-B2-INT-G0</x:v>
      </x:c>
      <x:c r="C879" s="9" t="str">
        <x:v>AR-CT-C-B-TECH-2-B2-INT-G0</x:v>
      </x:c>
      <x:c r="D879" s="9" t="str">
        <x:v>CT-C-B-TECH-2</x:v>
      </x:c>
      <x:c r="E879" s="9" t="str">
        <x:v>CT-C-B</x:v>
      </x:c>
      <x:c r="F879" s="9" t="str">
        <x:v>B2</x:v>
      </x:c>
      <x:c r="G879" s="9" t="str">
        <x:v>INT</x:v>
      </x:c>
      <x:c r="H879" s="9" t="str">
        <x:v>OG09</x:v>
      </x:c>
      <x:c r="I879" s="17" t="str">
        <x:v>Intervention account</x:v>
      </x:c>
      <x:c r="J879" s="17" t="str">
        <x:v>all stop, rescue, operator and public-protection actions remain timestamped</x:v>
      </x:c>
      <x:c r="K879" s="17" t="str">
        <x:v>Safety record court</x:v>
      </x:c>
      <x:c r="L879" s="9" t="n">
        <x:v>0</x:v>
      </x:c>
      <x:c r="M879" s="9" t="n">
        <x:v>0</x:v>
      </x:c>
      <x:c r="N879" s="9" t="str">
        <x:v>OPEN / UNACCEPTED</x:v>
      </x:c>
      <x:c r="O879" s="9" t="n">
        <x:f>COUNTIFS($A$7:$A$1734,A879)</x:f>
        <x:v>1</x:v>
      </x:c>
    </x:row>
    <x:row r="880">
      <x:c r="A880" s="9" t="str">
        <x:v>EV-AR-CT-C-B-TECH-2-B2-INT-G0-OG10</x:v>
      </x:c>
      <x:c r="B880" s="9" t="str">
        <x:v>EV-AR-CT-C-B-TECH-2-B2-INT-G0</x:v>
      </x:c>
      <x:c r="C880" s="9" t="str">
        <x:v>AR-CT-C-B-TECH-2-B2-INT-G0</x:v>
      </x:c>
      <x:c r="D880" s="9" t="str">
        <x:v>CT-C-B-TECH-2</x:v>
      </x:c>
      <x:c r="E880" s="9" t="str">
        <x:v>CT-C-B</x:v>
      </x:c>
      <x:c r="F880" s="9" t="str">
        <x:v>B2</x:v>
      </x:c>
      <x:c r="G880" s="9" t="str">
        <x:v>INT</x:v>
      </x:c>
      <x:c r="H880" s="9" t="str">
        <x:v>OG10</x:v>
      </x:c>
      <x:c r="I880" s="17" t="str">
        <x:v>Uncertainty statement</x:v>
      </x:c>
      <x:c r="J880" s="17" t="str">
        <x:v>range, censoring, resolution and correlation are declared before judgment</x:v>
      </x:c>
      <x:c r="K880" s="17" t="str">
        <x:v>Uncertainty authority</x:v>
      </x:c>
      <x:c r="L880" s="9" t="n">
        <x:v>0</x:v>
      </x:c>
      <x:c r="M880" s="9" t="n">
        <x:v>0</x:v>
      </x:c>
      <x:c r="N880" s="9" t="str">
        <x:v>OPEN / UNACCEPTED</x:v>
      </x:c>
      <x:c r="O880" s="9" t="n">
        <x:f>COUNTIFS($A$7:$A$1734,A880)</x:f>
        <x:v>1</x:v>
      </x:c>
    </x:row>
    <x:row r="881">
      <x:c r="A881" s="9" t="str">
        <x:v>EV-AR-CT-C-B-TECH-2-B2-INT-G0-OG11</x:v>
      </x:c>
      <x:c r="B881" s="9" t="str">
        <x:v>EV-AR-CT-C-B-TECH-2-B2-INT-G0</x:v>
      </x:c>
      <x:c r="C881" s="9" t="str">
        <x:v>AR-CT-C-B-TECH-2-B2-INT-G0</x:v>
      </x:c>
      <x:c r="D881" s="9" t="str">
        <x:v>CT-C-B-TECH-2</x:v>
      </x:c>
      <x:c r="E881" s="9" t="str">
        <x:v>CT-C-B</x:v>
      </x:c>
      <x:c r="F881" s="9" t="str">
        <x:v>B2</x:v>
      </x:c>
      <x:c r="G881" s="9" t="str">
        <x:v>INT</x:v>
      </x:c>
      <x:c r="H881" s="9" t="str">
        <x:v>OG11</x:v>
      </x:c>
      <x:c r="I881" s="17" t="str">
        <x:v>Contradiction preservation</x:v>
      </x:c>
      <x:c r="J881" s="17" t="str">
        <x:v>primary-witness disagreement remains explicit and is never averaged away</x:v>
      </x:c>
      <x:c r="K881" s="17" t="str">
        <x:v>Dissent registrar</x:v>
      </x:c>
      <x:c r="L881" s="9" t="n">
        <x:v>0</x:v>
      </x:c>
      <x:c r="M881" s="9" t="n">
        <x:v>0</x:v>
      </x:c>
      <x:c r="N881" s="9" t="str">
        <x:v>OPEN / UNACCEPTED</x:v>
      </x:c>
      <x:c r="O881" s="9" t="n">
        <x:f>COUNTIFS($A$7:$A$1734,A881)</x:f>
        <x:v>1</x:v>
      </x:c>
    </x:row>
    <x:row r="882">
      <x:c r="A882" s="9" t="str">
        <x:v>EV-AR-CT-C-B-TECH-2-B2-INT-G0-OG12</x:v>
      </x:c>
      <x:c r="B882" s="9" t="str">
        <x:v>EV-AR-CT-C-B-TECH-2-B2-INT-G0</x:v>
      </x:c>
      <x:c r="C882" s="9" t="str">
        <x:v>AR-CT-C-B-TECH-2-B2-INT-G0</x:v>
      </x:c>
      <x:c r="D882" s="9" t="str">
        <x:v>CT-C-B-TECH-2</x:v>
      </x:c>
      <x:c r="E882" s="9" t="str">
        <x:v>CT-C-B</x:v>
      </x:c>
      <x:c r="F882" s="9" t="str">
        <x:v>B2</x:v>
      </x:c>
      <x:c r="G882" s="9" t="str">
        <x:v>INT</x:v>
      </x:c>
      <x:c r="H882" s="9" t="str">
        <x:v>OG12</x:v>
      </x:c>
      <x:c r="I882" s="17" t="str">
        <x:v>Independent replay</x:v>
      </x:c>
      <x:c r="J882" s="17" t="str">
        <x:v>a separated reader reconstructs the registered observables from sealed originals</x:v>
      </x:c>
      <x:c r="K882" s="17" t="str">
        <x:v>Replay court</x:v>
      </x:c>
      <x:c r="L882" s="9" t="n">
        <x:v>0</x:v>
      </x:c>
      <x:c r="M882" s="9" t="n">
        <x:v>0</x:v>
      </x:c>
      <x:c r="N882" s="9" t="str">
        <x:v>OPEN / UNACCEPTED</x:v>
      </x:c>
      <x:c r="O882" s="9" t="n">
        <x:f>COUNTIFS($A$7:$A$1734,A882)</x:f>
        <x:v>1</x:v>
      </x:c>
    </x:row>
    <x:row r="883">
      <x:c r="A883" s="9" t="str">
        <x:v>EV-AR-CT-C-B-TECH-3-B1-INT-G0-OG01</x:v>
      </x:c>
      <x:c r="B883" s="9" t="str">
        <x:v>EV-AR-CT-C-B-TECH-3-B1-INT-G0</x:v>
      </x:c>
      <x:c r="C883" s="9" t="str">
        <x:v>AR-CT-C-B-TECH-3-B1-INT-G0</x:v>
      </x:c>
      <x:c r="D883" s="9" t="str">
        <x:v>CT-C-B-TECH-3</x:v>
      </x:c>
      <x:c r="E883" s="9" t="str">
        <x:v>CT-C-B</x:v>
      </x:c>
      <x:c r="F883" s="9" t="str">
        <x:v>B1</x:v>
      </x:c>
      <x:c r="G883" s="9" t="str">
        <x:v>INT</x:v>
      </x:c>
      <x:c r="H883" s="9" t="str">
        <x:v>OG01</x:v>
      </x:c>
      <x:c r="I883" s="17" t="str">
        <x:v>Serial and event identity</x:v>
      </x:c>
      <x:c r="J883" s="17" t="str">
        <x:v>record resolves to the issued serial, generation and physical start</x:v>
      </x:c>
      <x:c r="K883" s="17" t="str">
        <x:v>Observation court</x:v>
      </x:c>
      <x:c r="L883" s="9" t="n">
        <x:v>0</x:v>
      </x:c>
      <x:c r="M883" s="9" t="n">
        <x:v>0</x:v>
      </x:c>
      <x:c r="N883" s="9" t="str">
        <x:v>OPEN / UNACCEPTED</x:v>
      </x:c>
      <x:c r="O883" s="9" t="n">
        <x:f>COUNTIFS($A$7:$A$1734,A883)</x:f>
        <x:v>1</x:v>
      </x:c>
    </x:row>
    <x:row r="884">
      <x:c r="A884" s="9" t="str">
        <x:v>EV-AR-CT-C-B-TECH-3-B1-INT-G0-OG02</x:v>
      </x:c>
      <x:c r="B884" s="9" t="str">
        <x:v>EV-AR-CT-C-B-TECH-3-B1-INT-G0</x:v>
      </x:c>
      <x:c r="C884" s="9" t="str">
        <x:v>AR-CT-C-B-TECH-3-B1-INT-G0</x:v>
      </x:c>
      <x:c r="D884" s="9" t="str">
        <x:v>CT-C-B-TECH-3</x:v>
      </x:c>
      <x:c r="E884" s="9" t="str">
        <x:v>CT-C-B</x:v>
      </x:c>
      <x:c r="F884" s="9" t="str">
        <x:v>B1</x:v>
      </x:c>
      <x:c r="G884" s="9" t="str">
        <x:v>INT</x:v>
      </x:c>
      <x:c r="H884" s="9" t="str">
        <x:v>OG02</x:v>
      </x:c>
      <x:c r="I884" s="17" t="str">
        <x:v>Time ancestry</x:v>
      </x:c>
      <x:c r="J884" s="17" t="str">
        <x:v>primary, witness and public event clocks retain declared offsets and drift</x:v>
      </x:c>
      <x:c r="K884" s="17" t="str">
        <x:v>Time authority</x:v>
      </x:c>
      <x:c r="L884" s="9" t="n">
        <x:v>0</x:v>
      </x:c>
      <x:c r="M884" s="9" t="n">
        <x:v>0</x:v>
      </x:c>
      <x:c r="N884" s="9" t="str">
        <x:v>OPEN / UNACCEPTED</x:v>
      </x:c>
      <x:c r="O884" s="9" t="n">
        <x:f>COUNTIFS($A$7:$A$1734,A884)</x:f>
        <x:v>1</x:v>
      </x:c>
    </x:row>
    <x:row r="885">
      <x:c r="A885" s="9" t="str">
        <x:v>EV-AR-CT-C-B-TECH-3-B1-INT-G0-OG03</x:v>
      </x:c>
      <x:c r="B885" s="9" t="str">
        <x:v>EV-AR-CT-C-B-TECH-3-B1-INT-G0</x:v>
      </x:c>
      <x:c r="C885" s="9" t="str">
        <x:v>AR-CT-C-B-TECH-3-B1-INT-G0</x:v>
      </x:c>
      <x:c r="D885" s="9" t="str">
        <x:v>CT-C-B-TECH-3</x:v>
      </x:c>
      <x:c r="E885" s="9" t="str">
        <x:v>CT-C-B</x:v>
      </x:c>
      <x:c r="F885" s="9" t="str">
        <x:v>B1</x:v>
      </x:c>
      <x:c r="G885" s="9" t="str">
        <x:v>INT</x:v>
      </x:c>
      <x:c r="H885" s="9" t="str">
        <x:v>OG03</x:v>
      </x:c>
      <x:c r="I885" s="17" t="str">
        <x:v>Calibration ancestry</x:v>
      </x:c>
      <x:c r="J885" s="17" t="str">
        <x:v>all reference, range and uncertainty states cover the live interval</x:v>
      </x:c>
      <x:c r="K885" s="17" t="str">
        <x:v>Metrology courts</x:v>
      </x:c>
      <x:c r="L885" s="9" t="n">
        <x:v>0</x:v>
      </x:c>
      <x:c r="M885" s="9" t="n">
        <x:v>0</x:v>
      </x:c>
      <x:c r="N885" s="9" t="str">
        <x:v>OPEN / UNACCEPTED</x:v>
      </x:c>
      <x:c r="O885" s="9" t="n">
        <x:f>COUNTIFS($A$7:$A$1734,A885)</x:f>
        <x:v>1</x:v>
      </x:c>
    </x:row>
    <x:row r="886">
      <x:c r="A886" s="9" t="str">
        <x:v>EV-AR-CT-C-B-TECH-3-B1-INT-G0-OG04</x:v>
      </x:c>
      <x:c r="B886" s="9" t="str">
        <x:v>EV-AR-CT-C-B-TECH-3-B1-INT-G0</x:v>
      </x:c>
      <x:c r="C886" s="9" t="str">
        <x:v>AR-CT-C-B-TECH-3-B1-INT-G0</x:v>
      </x:c>
      <x:c r="D886" s="9" t="str">
        <x:v>CT-C-B-TECH-3</x:v>
      </x:c>
      <x:c r="E886" s="9" t="str">
        <x:v>CT-C-B</x:v>
      </x:c>
      <x:c r="F886" s="9" t="str">
        <x:v>B1</x:v>
      </x:c>
      <x:c r="G886" s="9" t="str">
        <x:v>INT</x:v>
      </x:c>
      <x:c r="H886" s="9" t="str">
        <x:v>OG04</x:v>
      </x:c>
      <x:c r="I886" s="17" t="str">
        <x:v>Raw completeness</x:v>
      </x:c>
      <x:c r="J886" s="17" t="str">
        <x:v>missingness is enumerated without imputation or outcome-conditioned deletion</x:v>
      </x:c>
      <x:c r="K886" s="17" t="str">
        <x:v>Observation court</x:v>
      </x:c>
      <x:c r="L886" s="9" t="n">
        <x:v>0</x:v>
      </x:c>
      <x:c r="M886" s="9" t="n">
        <x:v>0</x:v>
      </x:c>
      <x:c r="N886" s="9" t="str">
        <x:v>OPEN / UNACCEPTED</x:v>
      </x:c>
      <x:c r="O886" s="9" t="n">
        <x:f>COUNTIFS($A$7:$A$1734,A886)</x:f>
        <x:v>1</x:v>
      </x:c>
    </x:row>
    <x:row r="887">
      <x:c r="A887" s="9" t="str">
        <x:v>EV-AR-CT-C-B-TECH-3-B1-INT-G0-OG05</x:v>
      </x:c>
      <x:c r="B887" s="9" t="str">
        <x:v>EV-AR-CT-C-B-TECH-3-B1-INT-G0</x:v>
      </x:c>
      <x:c r="C887" s="9" t="str">
        <x:v>AR-CT-C-B-TECH-3-B1-INT-G0</x:v>
      </x:c>
      <x:c r="D887" s="9" t="str">
        <x:v>CT-C-B-TECH-3</x:v>
      </x:c>
      <x:c r="E887" s="9" t="str">
        <x:v>CT-C-B</x:v>
      </x:c>
      <x:c r="F887" s="9" t="str">
        <x:v>B1</x:v>
      </x:c>
      <x:c r="G887" s="9" t="str">
        <x:v>INT</x:v>
      </x:c>
      <x:c r="H887" s="9" t="str">
        <x:v>OG05</x:v>
      </x:c>
      <x:c r="I887" s="17" t="str">
        <x:v>Primary provenance</x:v>
      </x:c>
      <x:c r="J887" s="17" t="str">
        <x:v>primary originals, hashes, keys and access history reconcile</x:v>
      </x:c>
      <x:c r="K887" s="17" t="str">
        <x:v>Primary custody</x:v>
      </x:c>
      <x:c r="L887" s="9" t="n">
        <x:v>0</x:v>
      </x:c>
      <x:c r="M887" s="9" t="n">
        <x:v>0</x:v>
      </x:c>
      <x:c r="N887" s="9" t="str">
        <x:v>OPEN / UNACCEPTED</x:v>
      </x:c>
      <x:c r="O887" s="9" t="n">
        <x:f>COUNTIFS($A$7:$A$1734,A887)</x:f>
        <x:v>1</x:v>
      </x:c>
    </x:row>
    <x:row r="888">
      <x:c r="A888" s="9" t="str">
        <x:v>EV-AR-CT-C-B-TECH-3-B1-INT-G0-OG06</x:v>
      </x:c>
      <x:c r="B888" s="9" t="str">
        <x:v>EV-AR-CT-C-B-TECH-3-B1-INT-G0</x:v>
      </x:c>
      <x:c r="C888" s="9" t="str">
        <x:v>AR-CT-C-B-TECH-3-B1-INT-G0</x:v>
      </x:c>
      <x:c r="D888" s="9" t="str">
        <x:v>CT-C-B-TECH-3</x:v>
      </x:c>
      <x:c r="E888" s="9" t="str">
        <x:v>CT-C-B</x:v>
      </x:c>
      <x:c r="F888" s="9" t="str">
        <x:v>B1</x:v>
      </x:c>
      <x:c r="G888" s="9" t="str">
        <x:v>INT</x:v>
      </x:c>
      <x:c r="H888" s="9" t="str">
        <x:v>OG06</x:v>
      </x:c>
      <x:c r="I888" s="17" t="str">
        <x:v>Witness provenance</x:v>
      </x:c>
      <x:c r="J888" s="17" t="str">
        <x:v>unlike witness originals, hashes, keys and access history reconcile</x:v>
      </x:c>
      <x:c r="K888" s="17" t="str">
        <x:v>Witness custody</x:v>
      </x:c>
      <x:c r="L888" s="9" t="n">
        <x:v>0</x:v>
      </x:c>
      <x:c r="M888" s="9" t="n">
        <x:v>0</x:v>
      </x:c>
      <x:c r="N888" s="9" t="str">
        <x:v>OPEN / UNACCEPTED</x:v>
      </x:c>
      <x:c r="O888" s="9" t="n">
        <x:f>COUNTIFS($A$7:$A$1734,A888)</x:f>
        <x:v>1</x:v>
      </x:c>
    </x:row>
    <x:row r="889">
      <x:c r="A889" s="9" t="str">
        <x:v>EV-AR-CT-C-B-TECH-3-B1-INT-G0-OG07</x:v>
      </x:c>
      <x:c r="B889" s="9" t="str">
        <x:v>EV-AR-CT-C-B-TECH-3-B1-INT-G0</x:v>
      </x:c>
      <x:c r="C889" s="9" t="str">
        <x:v>AR-CT-C-B-TECH-3-B1-INT-G0</x:v>
      </x:c>
      <x:c r="D889" s="9" t="str">
        <x:v>CT-C-B-TECH-3</x:v>
      </x:c>
      <x:c r="E889" s="9" t="str">
        <x:v>CT-C-B</x:v>
      </x:c>
      <x:c r="F889" s="9" t="str">
        <x:v>B1</x:v>
      </x:c>
      <x:c r="G889" s="9" t="str">
        <x:v>INT</x:v>
      </x:c>
      <x:c r="H889" s="9" t="str">
        <x:v>OG07</x:v>
      </x:c>
      <x:c r="I889" s="17" t="str">
        <x:v>Receiver denominator</x:v>
      </x:c>
      <x:c r="J889" s="17" t="str">
        <x:v>population, quantity, duration and exclusions match the frozen receipt</x:v>
      </x:c>
      <x:c r="K889" s="17" t="str">
        <x:v>Receiver court</x:v>
      </x:c>
      <x:c r="L889" s="9" t="n">
        <x:v>0</x:v>
      </x:c>
      <x:c r="M889" s="9" t="n">
        <x:v>0</x:v>
      </x:c>
      <x:c r="N889" s="9" t="str">
        <x:v>OPEN / UNACCEPTED</x:v>
      </x:c>
      <x:c r="O889" s="9" t="n">
        <x:f>COUNTIFS($A$7:$A$1734,A889)</x:f>
        <x:v>1</x:v>
      </x:c>
    </x:row>
    <x:row r="890">
      <x:c r="A890" s="9" t="str">
        <x:v>EV-AR-CT-C-B-TECH-3-B1-INT-G0-OG08</x:v>
      </x:c>
      <x:c r="B890" s="9" t="str">
        <x:v>EV-AR-CT-C-B-TECH-3-B1-INT-G0</x:v>
      </x:c>
      <x:c r="C890" s="9" t="str">
        <x:v>AR-CT-C-B-TECH-3-B1-INT-G0</x:v>
      </x:c>
      <x:c r="D890" s="9" t="str">
        <x:v>CT-C-B-TECH-3</x:v>
      </x:c>
      <x:c r="E890" s="9" t="str">
        <x:v>CT-C-B</x:v>
      </x:c>
      <x:c r="F890" s="9" t="str">
        <x:v>B1</x:v>
      </x:c>
      <x:c r="G890" s="9" t="str">
        <x:v>INT</x:v>
      </x:c>
      <x:c r="H890" s="9" t="str">
        <x:v>OG08</x:v>
      </x:c>
      <x:c r="I890" s="17" t="str">
        <x:v>Environment and boundary</x:v>
      </x:c>
      <x:c r="J890" s="17" t="str">
        <x:v>registered weather, water, ground, inlet and outlet states are retained</x:v>
      </x:c>
      <x:c r="K890" s="17" t="str">
        <x:v>Boundary court</x:v>
      </x:c>
      <x:c r="L890" s="9" t="n">
        <x:v>0</x:v>
      </x:c>
      <x:c r="M890" s="9" t="n">
        <x:v>0</x:v>
      </x:c>
      <x:c r="N890" s="9" t="str">
        <x:v>OPEN / UNACCEPTED</x:v>
      </x:c>
      <x:c r="O890" s="9" t="n">
        <x:f>COUNTIFS($A$7:$A$1734,A890)</x:f>
        <x:v>1</x:v>
      </x:c>
    </x:row>
    <x:row r="891">
      <x:c r="A891" s="9" t="str">
        <x:v>EV-AR-CT-C-B-TECH-3-B1-INT-G0-OG09</x:v>
      </x:c>
      <x:c r="B891" s="9" t="str">
        <x:v>EV-AR-CT-C-B-TECH-3-B1-INT-G0</x:v>
      </x:c>
      <x:c r="C891" s="9" t="str">
        <x:v>AR-CT-C-B-TECH-3-B1-INT-G0</x:v>
      </x:c>
      <x:c r="D891" s="9" t="str">
        <x:v>CT-C-B-TECH-3</x:v>
      </x:c>
      <x:c r="E891" s="9" t="str">
        <x:v>CT-C-B</x:v>
      </x:c>
      <x:c r="F891" s="9" t="str">
        <x:v>B1</x:v>
      </x:c>
      <x:c r="G891" s="9" t="str">
        <x:v>INT</x:v>
      </x:c>
      <x:c r="H891" s="9" t="str">
        <x:v>OG09</x:v>
      </x:c>
      <x:c r="I891" s="17" t="str">
        <x:v>Intervention account</x:v>
      </x:c>
      <x:c r="J891" s="17" t="str">
        <x:v>all stop, rescue, operator and public-protection actions remain timestamped</x:v>
      </x:c>
      <x:c r="K891" s="17" t="str">
        <x:v>Safety record court</x:v>
      </x:c>
      <x:c r="L891" s="9" t="n">
        <x:v>0</x:v>
      </x:c>
      <x:c r="M891" s="9" t="n">
        <x:v>0</x:v>
      </x:c>
      <x:c r="N891" s="9" t="str">
        <x:v>OPEN / UNACCEPTED</x:v>
      </x:c>
      <x:c r="O891" s="9" t="n">
        <x:f>COUNTIFS($A$7:$A$1734,A891)</x:f>
        <x:v>1</x:v>
      </x:c>
    </x:row>
    <x:row r="892">
      <x:c r="A892" s="9" t="str">
        <x:v>EV-AR-CT-C-B-TECH-3-B1-INT-G0-OG10</x:v>
      </x:c>
      <x:c r="B892" s="9" t="str">
        <x:v>EV-AR-CT-C-B-TECH-3-B1-INT-G0</x:v>
      </x:c>
      <x:c r="C892" s="9" t="str">
        <x:v>AR-CT-C-B-TECH-3-B1-INT-G0</x:v>
      </x:c>
      <x:c r="D892" s="9" t="str">
        <x:v>CT-C-B-TECH-3</x:v>
      </x:c>
      <x:c r="E892" s="9" t="str">
        <x:v>CT-C-B</x:v>
      </x:c>
      <x:c r="F892" s="9" t="str">
        <x:v>B1</x:v>
      </x:c>
      <x:c r="G892" s="9" t="str">
        <x:v>INT</x:v>
      </x:c>
      <x:c r="H892" s="9" t="str">
        <x:v>OG10</x:v>
      </x:c>
      <x:c r="I892" s="17" t="str">
        <x:v>Uncertainty statement</x:v>
      </x:c>
      <x:c r="J892" s="17" t="str">
        <x:v>range, censoring, resolution and correlation are declared before judgment</x:v>
      </x:c>
      <x:c r="K892" s="17" t="str">
        <x:v>Uncertainty authority</x:v>
      </x:c>
      <x:c r="L892" s="9" t="n">
        <x:v>0</x:v>
      </x:c>
      <x:c r="M892" s="9" t="n">
        <x:v>0</x:v>
      </x:c>
      <x:c r="N892" s="9" t="str">
        <x:v>OPEN / UNACCEPTED</x:v>
      </x:c>
      <x:c r="O892" s="9" t="n">
        <x:f>COUNTIFS($A$7:$A$1734,A892)</x:f>
        <x:v>1</x:v>
      </x:c>
    </x:row>
    <x:row r="893">
      <x:c r="A893" s="9" t="str">
        <x:v>EV-AR-CT-C-B-TECH-3-B1-INT-G0-OG11</x:v>
      </x:c>
      <x:c r="B893" s="9" t="str">
        <x:v>EV-AR-CT-C-B-TECH-3-B1-INT-G0</x:v>
      </x:c>
      <x:c r="C893" s="9" t="str">
        <x:v>AR-CT-C-B-TECH-3-B1-INT-G0</x:v>
      </x:c>
      <x:c r="D893" s="9" t="str">
        <x:v>CT-C-B-TECH-3</x:v>
      </x:c>
      <x:c r="E893" s="9" t="str">
        <x:v>CT-C-B</x:v>
      </x:c>
      <x:c r="F893" s="9" t="str">
        <x:v>B1</x:v>
      </x:c>
      <x:c r="G893" s="9" t="str">
        <x:v>INT</x:v>
      </x:c>
      <x:c r="H893" s="9" t="str">
        <x:v>OG11</x:v>
      </x:c>
      <x:c r="I893" s="17" t="str">
        <x:v>Contradiction preservation</x:v>
      </x:c>
      <x:c r="J893" s="17" t="str">
        <x:v>primary-witness disagreement remains explicit and is never averaged away</x:v>
      </x:c>
      <x:c r="K893" s="17" t="str">
        <x:v>Dissent registrar</x:v>
      </x:c>
      <x:c r="L893" s="9" t="n">
        <x:v>0</x:v>
      </x:c>
      <x:c r="M893" s="9" t="n">
        <x:v>0</x:v>
      </x:c>
      <x:c r="N893" s="9" t="str">
        <x:v>OPEN / UNACCEPTED</x:v>
      </x:c>
      <x:c r="O893" s="9" t="n">
        <x:f>COUNTIFS($A$7:$A$1734,A893)</x:f>
        <x:v>1</x:v>
      </x:c>
    </x:row>
    <x:row r="894">
      <x:c r="A894" s="9" t="str">
        <x:v>EV-AR-CT-C-B-TECH-3-B1-INT-G0-OG12</x:v>
      </x:c>
      <x:c r="B894" s="9" t="str">
        <x:v>EV-AR-CT-C-B-TECH-3-B1-INT-G0</x:v>
      </x:c>
      <x:c r="C894" s="9" t="str">
        <x:v>AR-CT-C-B-TECH-3-B1-INT-G0</x:v>
      </x:c>
      <x:c r="D894" s="9" t="str">
        <x:v>CT-C-B-TECH-3</x:v>
      </x:c>
      <x:c r="E894" s="9" t="str">
        <x:v>CT-C-B</x:v>
      </x:c>
      <x:c r="F894" s="9" t="str">
        <x:v>B1</x:v>
      </x:c>
      <x:c r="G894" s="9" t="str">
        <x:v>INT</x:v>
      </x:c>
      <x:c r="H894" s="9" t="str">
        <x:v>OG12</x:v>
      </x:c>
      <x:c r="I894" s="17" t="str">
        <x:v>Independent replay</x:v>
      </x:c>
      <x:c r="J894" s="17" t="str">
        <x:v>a separated reader reconstructs the registered observables from sealed originals</x:v>
      </x:c>
      <x:c r="K894" s="17" t="str">
        <x:v>Replay court</x:v>
      </x:c>
      <x:c r="L894" s="9" t="n">
        <x:v>0</x:v>
      </x:c>
      <x:c r="M894" s="9" t="n">
        <x:v>0</x:v>
      </x:c>
      <x:c r="N894" s="9" t="str">
        <x:v>OPEN / UNACCEPTED</x:v>
      </x:c>
      <x:c r="O894" s="9" t="n">
        <x:f>COUNTIFS($A$7:$A$1734,A894)</x:f>
        <x:v>1</x:v>
      </x:c>
    </x:row>
    <x:row r="895">
      <x:c r="A895" s="9" t="str">
        <x:v>EV-AR-ET-A-A-TECH-4-B1-INT-G0-OG01</x:v>
      </x:c>
      <x:c r="B895" s="9" t="str">
        <x:v>EV-AR-ET-A-A-TECH-4-B1-INT-G0</x:v>
      </x:c>
      <x:c r="C895" s="9" t="str">
        <x:v>AR-ET-A-A-TECH-4-B1-INT-G0</x:v>
      </x:c>
      <x:c r="D895" s="9" t="str">
        <x:v>ET-A-A-TECH-4</x:v>
      </x:c>
      <x:c r="E895" s="9" t="str">
        <x:v>ET-A-A</x:v>
      </x:c>
      <x:c r="F895" s="9" t="str">
        <x:v>B1</x:v>
      </x:c>
      <x:c r="G895" s="9" t="str">
        <x:v>INT</x:v>
      </x:c>
      <x:c r="H895" s="9" t="str">
        <x:v>OG01</x:v>
      </x:c>
      <x:c r="I895" s="17" t="str">
        <x:v>Serial and event identity</x:v>
      </x:c>
      <x:c r="J895" s="17" t="str">
        <x:v>record resolves to the issued serial, generation and physical start</x:v>
      </x:c>
      <x:c r="K895" s="17" t="str">
        <x:v>Observation court</x:v>
      </x:c>
      <x:c r="L895" s="9" t="n">
        <x:v>0</x:v>
      </x:c>
      <x:c r="M895" s="9" t="n">
        <x:v>0</x:v>
      </x:c>
      <x:c r="N895" s="9" t="str">
        <x:v>OPEN / UNACCEPTED</x:v>
      </x:c>
      <x:c r="O895" s="9" t="n">
        <x:f>COUNTIFS($A$7:$A$1734,A895)</x:f>
        <x:v>1</x:v>
      </x:c>
    </x:row>
    <x:row r="896">
      <x:c r="A896" s="9" t="str">
        <x:v>EV-AR-ET-A-A-TECH-4-B1-INT-G0-OG02</x:v>
      </x:c>
      <x:c r="B896" s="9" t="str">
        <x:v>EV-AR-ET-A-A-TECH-4-B1-INT-G0</x:v>
      </x:c>
      <x:c r="C896" s="9" t="str">
        <x:v>AR-ET-A-A-TECH-4-B1-INT-G0</x:v>
      </x:c>
      <x:c r="D896" s="9" t="str">
        <x:v>ET-A-A-TECH-4</x:v>
      </x:c>
      <x:c r="E896" s="9" t="str">
        <x:v>ET-A-A</x:v>
      </x:c>
      <x:c r="F896" s="9" t="str">
        <x:v>B1</x:v>
      </x:c>
      <x:c r="G896" s="9" t="str">
        <x:v>INT</x:v>
      </x:c>
      <x:c r="H896" s="9" t="str">
        <x:v>OG02</x:v>
      </x:c>
      <x:c r="I896" s="17" t="str">
        <x:v>Time ancestry</x:v>
      </x:c>
      <x:c r="J896" s="17" t="str">
        <x:v>primary, witness and public event clocks retain declared offsets and drift</x:v>
      </x:c>
      <x:c r="K896" s="17" t="str">
        <x:v>Time authority</x:v>
      </x:c>
      <x:c r="L896" s="9" t="n">
        <x:v>0</x:v>
      </x:c>
      <x:c r="M896" s="9" t="n">
        <x:v>0</x:v>
      </x:c>
      <x:c r="N896" s="9" t="str">
        <x:v>OPEN / UNACCEPTED</x:v>
      </x:c>
      <x:c r="O896" s="9" t="n">
        <x:f>COUNTIFS($A$7:$A$1734,A896)</x:f>
        <x:v>1</x:v>
      </x:c>
    </x:row>
    <x:row r="897">
      <x:c r="A897" s="9" t="str">
        <x:v>EV-AR-ET-A-A-TECH-4-B1-INT-G0-OG03</x:v>
      </x:c>
      <x:c r="B897" s="9" t="str">
        <x:v>EV-AR-ET-A-A-TECH-4-B1-INT-G0</x:v>
      </x:c>
      <x:c r="C897" s="9" t="str">
        <x:v>AR-ET-A-A-TECH-4-B1-INT-G0</x:v>
      </x:c>
      <x:c r="D897" s="9" t="str">
        <x:v>ET-A-A-TECH-4</x:v>
      </x:c>
      <x:c r="E897" s="9" t="str">
        <x:v>ET-A-A</x:v>
      </x:c>
      <x:c r="F897" s="9" t="str">
        <x:v>B1</x:v>
      </x:c>
      <x:c r="G897" s="9" t="str">
        <x:v>INT</x:v>
      </x:c>
      <x:c r="H897" s="9" t="str">
        <x:v>OG03</x:v>
      </x:c>
      <x:c r="I897" s="17" t="str">
        <x:v>Calibration ancestry</x:v>
      </x:c>
      <x:c r="J897" s="17" t="str">
        <x:v>all reference, range and uncertainty states cover the live interval</x:v>
      </x:c>
      <x:c r="K897" s="17" t="str">
        <x:v>Metrology courts</x:v>
      </x:c>
      <x:c r="L897" s="9" t="n">
        <x:v>0</x:v>
      </x:c>
      <x:c r="M897" s="9" t="n">
        <x:v>0</x:v>
      </x:c>
      <x:c r="N897" s="9" t="str">
        <x:v>OPEN / UNACCEPTED</x:v>
      </x:c>
      <x:c r="O897" s="9" t="n">
        <x:f>COUNTIFS($A$7:$A$1734,A897)</x:f>
        <x:v>1</x:v>
      </x:c>
    </x:row>
    <x:row r="898">
      <x:c r="A898" s="9" t="str">
        <x:v>EV-AR-ET-A-A-TECH-4-B1-INT-G0-OG04</x:v>
      </x:c>
      <x:c r="B898" s="9" t="str">
        <x:v>EV-AR-ET-A-A-TECH-4-B1-INT-G0</x:v>
      </x:c>
      <x:c r="C898" s="9" t="str">
        <x:v>AR-ET-A-A-TECH-4-B1-INT-G0</x:v>
      </x:c>
      <x:c r="D898" s="9" t="str">
        <x:v>ET-A-A-TECH-4</x:v>
      </x:c>
      <x:c r="E898" s="9" t="str">
        <x:v>ET-A-A</x:v>
      </x:c>
      <x:c r="F898" s="9" t="str">
        <x:v>B1</x:v>
      </x:c>
      <x:c r="G898" s="9" t="str">
        <x:v>INT</x:v>
      </x:c>
      <x:c r="H898" s="9" t="str">
        <x:v>OG04</x:v>
      </x:c>
      <x:c r="I898" s="17" t="str">
        <x:v>Raw completeness</x:v>
      </x:c>
      <x:c r="J898" s="17" t="str">
        <x:v>missingness is enumerated without imputation or outcome-conditioned deletion</x:v>
      </x:c>
      <x:c r="K898" s="17" t="str">
        <x:v>Observation court</x:v>
      </x:c>
      <x:c r="L898" s="9" t="n">
        <x:v>0</x:v>
      </x:c>
      <x:c r="M898" s="9" t="n">
        <x:v>0</x:v>
      </x:c>
      <x:c r="N898" s="9" t="str">
        <x:v>OPEN / UNACCEPTED</x:v>
      </x:c>
      <x:c r="O898" s="9" t="n">
        <x:f>COUNTIFS($A$7:$A$1734,A898)</x:f>
        <x:v>1</x:v>
      </x:c>
    </x:row>
    <x:row r="899">
      <x:c r="A899" s="9" t="str">
        <x:v>EV-AR-ET-A-A-TECH-4-B1-INT-G0-OG05</x:v>
      </x:c>
      <x:c r="B899" s="9" t="str">
        <x:v>EV-AR-ET-A-A-TECH-4-B1-INT-G0</x:v>
      </x:c>
      <x:c r="C899" s="9" t="str">
        <x:v>AR-ET-A-A-TECH-4-B1-INT-G0</x:v>
      </x:c>
      <x:c r="D899" s="9" t="str">
        <x:v>ET-A-A-TECH-4</x:v>
      </x:c>
      <x:c r="E899" s="9" t="str">
        <x:v>ET-A-A</x:v>
      </x:c>
      <x:c r="F899" s="9" t="str">
        <x:v>B1</x:v>
      </x:c>
      <x:c r="G899" s="9" t="str">
        <x:v>INT</x:v>
      </x:c>
      <x:c r="H899" s="9" t="str">
        <x:v>OG05</x:v>
      </x:c>
      <x:c r="I899" s="17" t="str">
        <x:v>Primary provenance</x:v>
      </x:c>
      <x:c r="J899" s="17" t="str">
        <x:v>primary originals, hashes, keys and access history reconcile</x:v>
      </x:c>
      <x:c r="K899" s="17" t="str">
        <x:v>Primary custody</x:v>
      </x:c>
      <x:c r="L899" s="9" t="n">
        <x:v>0</x:v>
      </x:c>
      <x:c r="M899" s="9" t="n">
        <x:v>0</x:v>
      </x:c>
      <x:c r="N899" s="9" t="str">
        <x:v>OPEN / UNACCEPTED</x:v>
      </x:c>
      <x:c r="O899" s="9" t="n">
        <x:f>COUNTIFS($A$7:$A$1734,A899)</x:f>
        <x:v>1</x:v>
      </x:c>
    </x:row>
    <x:row r="900">
      <x:c r="A900" s="9" t="str">
        <x:v>EV-AR-ET-A-A-TECH-4-B1-INT-G0-OG06</x:v>
      </x:c>
      <x:c r="B900" s="9" t="str">
        <x:v>EV-AR-ET-A-A-TECH-4-B1-INT-G0</x:v>
      </x:c>
      <x:c r="C900" s="9" t="str">
        <x:v>AR-ET-A-A-TECH-4-B1-INT-G0</x:v>
      </x:c>
      <x:c r="D900" s="9" t="str">
        <x:v>ET-A-A-TECH-4</x:v>
      </x:c>
      <x:c r="E900" s="9" t="str">
        <x:v>ET-A-A</x:v>
      </x:c>
      <x:c r="F900" s="9" t="str">
        <x:v>B1</x:v>
      </x:c>
      <x:c r="G900" s="9" t="str">
        <x:v>INT</x:v>
      </x:c>
      <x:c r="H900" s="9" t="str">
        <x:v>OG06</x:v>
      </x:c>
      <x:c r="I900" s="17" t="str">
        <x:v>Witness provenance</x:v>
      </x:c>
      <x:c r="J900" s="17" t="str">
        <x:v>unlike witness originals, hashes, keys and access history reconcile</x:v>
      </x:c>
      <x:c r="K900" s="17" t="str">
        <x:v>Witness custody</x:v>
      </x:c>
      <x:c r="L900" s="9" t="n">
        <x:v>0</x:v>
      </x:c>
      <x:c r="M900" s="9" t="n">
        <x:v>0</x:v>
      </x:c>
      <x:c r="N900" s="9" t="str">
        <x:v>OPEN / UNACCEPTED</x:v>
      </x:c>
      <x:c r="O900" s="9" t="n">
        <x:f>COUNTIFS($A$7:$A$1734,A900)</x:f>
        <x:v>1</x:v>
      </x:c>
    </x:row>
    <x:row r="901">
      <x:c r="A901" s="9" t="str">
        <x:v>EV-AR-ET-A-A-TECH-4-B1-INT-G0-OG07</x:v>
      </x:c>
      <x:c r="B901" s="9" t="str">
        <x:v>EV-AR-ET-A-A-TECH-4-B1-INT-G0</x:v>
      </x:c>
      <x:c r="C901" s="9" t="str">
        <x:v>AR-ET-A-A-TECH-4-B1-INT-G0</x:v>
      </x:c>
      <x:c r="D901" s="9" t="str">
        <x:v>ET-A-A-TECH-4</x:v>
      </x:c>
      <x:c r="E901" s="9" t="str">
        <x:v>ET-A-A</x:v>
      </x:c>
      <x:c r="F901" s="9" t="str">
        <x:v>B1</x:v>
      </x:c>
      <x:c r="G901" s="9" t="str">
        <x:v>INT</x:v>
      </x:c>
      <x:c r="H901" s="9" t="str">
        <x:v>OG07</x:v>
      </x:c>
      <x:c r="I901" s="17" t="str">
        <x:v>Receiver denominator</x:v>
      </x:c>
      <x:c r="J901" s="17" t="str">
        <x:v>population, quantity, duration and exclusions match the frozen receipt</x:v>
      </x:c>
      <x:c r="K901" s="17" t="str">
        <x:v>Receiver court</x:v>
      </x:c>
      <x:c r="L901" s="9" t="n">
        <x:v>0</x:v>
      </x:c>
      <x:c r="M901" s="9" t="n">
        <x:v>0</x:v>
      </x:c>
      <x:c r="N901" s="9" t="str">
        <x:v>OPEN / UNACCEPTED</x:v>
      </x:c>
      <x:c r="O901" s="9" t="n">
        <x:f>COUNTIFS($A$7:$A$1734,A901)</x:f>
        <x:v>1</x:v>
      </x:c>
    </x:row>
    <x:row r="902">
      <x:c r="A902" s="9" t="str">
        <x:v>EV-AR-ET-A-A-TECH-4-B1-INT-G0-OG08</x:v>
      </x:c>
      <x:c r="B902" s="9" t="str">
        <x:v>EV-AR-ET-A-A-TECH-4-B1-INT-G0</x:v>
      </x:c>
      <x:c r="C902" s="9" t="str">
        <x:v>AR-ET-A-A-TECH-4-B1-INT-G0</x:v>
      </x:c>
      <x:c r="D902" s="9" t="str">
        <x:v>ET-A-A-TECH-4</x:v>
      </x:c>
      <x:c r="E902" s="9" t="str">
        <x:v>ET-A-A</x:v>
      </x:c>
      <x:c r="F902" s="9" t="str">
        <x:v>B1</x:v>
      </x:c>
      <x:c r="G902" s="9" t="str">
        <x:v>INT</x:v>
      </x:c>
      <x:c r="H902" s="9" t="str">
        <x:v>OG08</x:v>
      </x:c>
      <x:c r="I902" s="17" t="str">
        <x:v>Environment and boundary</x:v>
      </x:c>
      <x:c r="J902" s="17" t="str">
        <x:v>registered weather, water, ground, inlet and outlet states are retained</x:v>
      </x:c>
      <x:c r="K902" s="17" t="str">
        <x:v>Boundary court</x:v>
      </x:c>
      <x:c r="L902" s="9" t="n">
        <x:v>0</x:v>
      </x:c>
      <x:c r="M902" s="9" t="n">
        <x:v>0</x:v>
      </x:c>
      <x:c r="N902" s="9" t="str">
        <x:v>OPEN / UNACCEPTED</x:v>
      </x:c>
      <x:c r="O902" s="9" t="n">
        <x:f>COUNTIFS($A$7:$A$1734,A902)</x:f>
        <x:v>1</x:v>
      </x:c>
    </x:row>
    <x:row r="903">
      <x:c r="A903" s="9" t="str">
        <x:v>EV-AR-ET-A-A-TECH-4-B1-INT-G0-OG09</x:v>
      </x:c>
      <x:c r="B903" s="9" t="str">
        <x:v>EV-AR-ET-A-A-TECH-4-B1-INT-G0</x:v>
      </x:c>
      <x:c r="C903" s="9" t="str">
        <x:v>AR-ET-A-A-TECH-4-B1-INT-G0</x:v>
      </x:c>
      <x:c r="D903" s="9" t="str">
        <x:v>ET-A-A-TECH-4</x:v>
      </x:c>
      <x:c r="E903" s="9" t="str">
        <x:v>ET-A-A</x:v>
      </x:c>
      <x:c r="F903" s="9" t="str">
        <x:v>B1</x:v>
      </x:c>
      <x:c r="G903" s="9" t="str">
        <x:v>INT</x:v>
      </x:c>
      <x:c r="H903" s="9" t="str">
        <x:v>OG09</x:v>
      </x:c>
      <x:c r="I903" s="17" t="str">
        <x:v>Intervention account</x:v>
      </x:c>
      <x:c r="J903" s="17" t="str">
        <x:v>all stop, rescue, operator and public-protection actions remain timestamped</x:v>
      </x:c>
      <x:c r="K903" s="17" t="str">
        <x:v>Safety record court</x:v>
      </x:c>
      <x:c r="L903" s="9" t="n">
        <x:v>0</x:v>
      </x:c>
      <x:c r="M903" s="9" t="n">
        <x:v>0</x:v>
      </x:c>
      <x:c r="N903" s="9" t="str">
        <x:v>OPEN / UNACCEPTED</x:v>
      </x:c>
      <x:c r="O903" s="9" t="n">
        <x:f>COUNTIFS($A$7:$A$1734,A903)</x:f>
        <x:v>1</x:v>
      </x:c>
    </x:row>
    <x:row r="904">
      <x:c r="A904" s="9" t="str">
        <x:v>EV-AR-ET-A-A-TECH-4-B1-INT-G0-OG10</x:v>
      </x:c>
      <x:c r="B904" s="9" t="str">
        <x:v>EV-AR-ET-A-A-TECH-4-B1-INT-G0</x:v>
      </x:c>
      <x:c r="C904" s="9" t="str">
        <x:v>AR-ET-A-A-TECH-4-B1-INT-G0</x:v>
      </x:c>
      <x:c r="D904" s="9" t="str">
        <x:v>ET-A-A-TECH-4</x:v>
      </x:c>
      <x:c r="E904" s="9" t="str">
        <x:v>ET-A-A</x:v>
      </x:c>
      <x:c r="F904" s="9" t="str">
        <x:v>B1</x:v>
      </x:c>
      <x:c r="G904" s="9" t="str">
        <x:v>INT</x:v>
      </x:c>
      <x:c r="H904" s="9" t="str">
        <x:v>OG10</x:v>
      </x:c>
      <x:c r="I904" s="17" t="str">
        <x:v>Uncertainty statement</x:v>
      </x:c>
      <x:c r="J904" s="17" t="str">
        <x:v>range, censoring, resolution and correlation are declared before judgment</x:v>
      </x:c>
      <x:c r="K904" s="17" t="str">
        <x:v>Uncertainty authority</x:v>
      </x:c>
      <x:c r="L904" s="9" t="n">
        <x:v>0</x:v>
      </x:c>
      <x:c r="M904" s="9" t="n">
        <x:v>0</x:v>
      </x:c>
      <x:c r="N904" s="9" t="str">
        <x:v>OPEN / UNACCEPTED</x:v>
      </x:c>
      <x:c r="O904" s="9" t="n">
        <x:f>COUNTIFS($A$7:$A$1734,A904)</x:f>
        <x:v>1</x:v>
      </x:c>
    </x:row>
    <x:row r="905">
      <x:c r="A905" s="9" t="str">
        <x:v>EV-AR-ET-A-A-TECH-4-B1-INT-G0-OG11</x:v>
      </x:c>
      <x:c r="B905" s="9" t="str">
        <x:v>EV-AR-ET-A-A-TECH-4-B1-INT-G0</x:v>
      </x:c>
      <x:c r="C905" s="9" t="str">
        <x:v>AR-ET-A-A-TECH-4-B1-INT-G0</x:v>
      </x:c>
      <x:c r="D905" s="9" t="str">
        <x:v>ET-A-A-TECH-4</x:v>
      </x:c>
      <x:c r="E905" s="9" t="str">
        <x:v>ET-A-A</x:v>
      </x:c>
      <x:c r="F905" s="9" t="str">
        <x:v>B1</x:v>
      </x:c>
      <x:c r="G905" s="9" t="str">
        <x:v>INT</x:v>
      </x:c>
      <x:c r="H905" s="9" t="str">
        <x:v>OG11</x:v>
      </x:c>
      <x:c r="I905" s="17" t="str">
        <x:v>Contradiction preservation</x:v>
      </x:c>
      <x:c r="J905" s="17" t="str">
        <x:v>primary-witness disagreement remains explicit and is never averaged away</x:v>
      </x:c>
      <x:c r="K905" s="17" t="str">
        <x:v>Dissent registrar</x:v>
      </x:c>
      <x:c r="L905" s="9" t="n">
        <x:v>0</x:v>
      </x:c>
      <x:c r="M905" s="9" t="n">
        <x:v>0</x:v>
      </x:c>
      <x:c r="N905" s="9" t="str">
        <x:v>OPEN / UNACCEPTED</x:v>
      </x:c>
      <x:c r="O905" s="9" t="n">
        <x:f>COUNTIFS($A$7:$A$1734,A905)</x:f>
        <x:v>1</x:v>
      </x:c>
    </x:row>
    <x:row r="906">
      <x:c r="A906" s="9" t="str">
        <x:v>EV-AR-ET-A-A-TECH-4-B1-INT-G0-OG12</x:v>
      </x:c>
      <x:c r="B906" s="9" t="str">
        <x:v>EV-AR-ET-A-A-TECH-4-B1-INT-G0</x:v>
      </x:c>
      <x:c r="C906" s="9" t="str">
        <x:v>AR-ET-A-A-TECH-4-B1-INT-G0</x:v>
      </x:c>
      <x:c r="D906" s="9" t="str">
        <x:v>ET-A-A-TECH-4</x:v>
      </x:c>
      <x:c r="E906" s="9" t="str">
        <x:v>ET-A-A</x:v>
      </x:c>
      <x:c r="F906" s="9" t="str">
        <x:v>B1</x:v>
      </x:c>
      <x:c r="G906" s="9" t="str">
        <x:v>INT</x:v>
      </x:c>
      <x:c r="H906" s="9" t="str">
        <x:v>OG12</x:v>
      </x:c>
      <x:c r="I906" s="17" t="str">
        <x:v>Independent replay</x:v>
      </x:c>
      <x:c r="J906" s="17" t="str">
        <x:v>a separated reader reconstructs the registered observables from sealed originals</x:v>
      </x:c>
      <x:c r="K906" s="17" t="str">
        <x:v>Replay court</x:v>
      </x:c>
      <x:c r="L906" s="9" t="n">
        <x:v>0</x:v>
      </x:c>
      <x:c r="M906" s="9" t="n">
        <x:v>0</x:v>
      </x:c>
      <x:c r="N906" s="9" t="str">
        <x:v>OPEN / UNACCEPTED</x:v>
      </x:c>
      <x:c r="O906" s="9" t="n">
        <x:f>COUNTIFS($A$7:$A$1734,A906)</x:f>
        <x:v>1</x:v>
      </x:c>
    </x:row>
    <x:row r="907">
      <x:c r="A907" s="9" t="str">
        <x:v>EV-AR-HU-A-B-TECH-1-B2-RCN-G0-OG01</x:v>
      </x:c>
      <x:c r="B907" s="9" t="str">
        <x:v>EV-AR-HU-A-B-TECH-1-B2-RCN-G0</x:v>
      </x:c>
      <x:c r="C907" s="9" t="str">
        <x:v>AR-HU-A-B-TECH-1-B2-RCN-G0</x:v>
      </x:c>
      <x:c r="D907" s="9" t="str">
        <x:v>HU-A-B-TECH-1</x:v>
      </x:c>
      <x:c r="E907" s="9" t="str">
        <x:v>HU-A-B</x:v>
      </x:c>
      <x:c r="F907" s="9" t="str">
        <x:v>B2</x:v>
      </x:c>
      <x:c r="G907" s="9" t="str">
        <x:v>RCN</x:v>
      </x:c>
      <x:c r="H907" s="9" t="str">
        <x:v>OG01</x:v>
      </x:c>
      <x:c r="I907" s="17" t="str">
        <x:v>Serial and event identity</x:v>
      </x:c>
      <x:c r="J907" s="17" t="str">
        <x:v>record resolves to the issued serial, generation and physical start</x:v>
      </x:c>
      <x:c r="K907" s="17" t="str">
        <x:v>Observation court</x:v>
      </x:c>
      <x:c r="L907" s="9" t="n">
        <x:v>0</x:v>
      </x:c>
      <x:c r="M907" s="9" t="n">
        <x:v>0</x:v>
      </x:c>
      <x:c r="N907" s="9" t="str">
        <x:v>OPEN / UNACCEPTED</x:v>
      </x:c>
      <x:c r="O907" s="9" t="n">
        <x:f>COUNTIFS($A$7:$A$1734,A907)</x:f>
        <x:v>1</x:v>
      </x:c>
    </x:row>
    <x:row r="908">
      <x:c r="A908" s="9" t="str">
        <x:v>EV-AR-HU-A-B-TECH-1-B2-RCN-G0-OG02</x:v>
      </x:c>
      <x:c r="B908" s="9" t="str">
        <x:v>EV-AR-HU-A-B-TECH-1-B2-RCN-G0</x:v>
      </x:c>
      <x:c r="C908" s="9" t="str">
        <x:v>AR-HU-A-B-TECH-1-B2-RCN-G0</x:v>
      </x:c>
      <x:c r="D908" s="9" t="str">
        <x:v>HU-A-B-TECH-1</x:v>
      </x:c>
      <x:c r="E908" s="9" t="str">
        <x:v>HU-A-B</x:v>
      </x:c>
      <x:c r="F908" s="9" t="str">
        <x:v>B2</x:v>
      </x:c>
      <x:c r="G908" s="9" t="str">
        <x:v>RCN</x:v>
      </x:c>
      <x:c r="H908" s="9" t="str">
        <x:v>OG02</x:v>
      </x:c>
      <x:c r="I908" s="17" t="str">
        <x:v>Time ancestry</x:v>
      </x:c>
      <x:c r="J908" s="17" t="str">
        <x:v>primary, witness and public event clocks retain declared offsets and drift</x:v>
      </x:c>
      <x:c r="K908" s="17" t="str">
        <x:v>Time authority</x:v>
      </x:c>
      <x:c r="L908" s="9" t="n">
        <x:v>0</x:v>
      </x:c>
      <x:c r="M908" s="9" t="n">
        <x:v>0</x:v>
      </x:c>
      <x:c r="N908" s="9" t="str">
        <x:v>OPEN / UNACCEPTED</x:v>
      </x:c>
      <x:c r="O908" s="9" t="n">
        <x:f>COUNTIFS($A$7:$A$1734,A908)</x:f>
        <x:v>1</x:v>
      </x:c>
    </x:row>
    <x:row r="909">
      <x:c r="A909" s="9" t="str">
        <x:v>EV-AR-HU-A-B-TECH-1-B2-RCN-G0-OG03</x:v>
      </x:c>
      <x:c r="B909" s="9" t="str">
        <x:v>EV-AR-HU-A-B-TECH-1-B2-RCN-G0</x:v>
      </x:c>
      <x:c r="C909" s="9" t="str">
        <x:v>AR-HU-A-B-TECH-1-B2-RCN-G0</x:v>
      </x:c>
      <x:c r="D909" s="9" t="str">
        <x:v>HU-A-B-TECH-1</x:v>
      </x:c>
      <x:c r="E909" s="9" t="str">
        <x:v>HU-A-B</x:v>
      </x:c>
      <x:c r="F909" s="9" t="str">
        <x:v>B2</x:v>
      </x:c>
      <x:c r="G909" s="9" t="str">
        <x:v>RCN</x:v>
      </x:c>
      <x:c r="H909" s="9" t="str">
        <x:v>OG03</x:v>
      </x:c>
      <x:c r="I909" s="17" t="str">
        <x:v>Calibration ancestry</x:v>
      </x:c>
      <x:c r="J909" s="17" t="str">
        <x:v>all reference, range and uncertainty states cover the live interval</x:v>
      </x:c>
      <x:c r="K909" s="17" t="str">
        <x:v>Metrology courts</x:v>
      </x:c>
      <x:c r="L909" s="9" t="n">
        <x:v>0</x:v>
      </x:c>
      <x:c r="M909" s="9" t="n">
        <x:v>0</x:v>
      </x:c>
      <x:c r="N909" s="9" t="str">
        <x:v>OPEN / UNACCEPTED</x:v>
      </x:c>
      <x:c r="O909" s="9" t="n">
        <x:f>COUNTIFS($A$7:$A$1734,A909)</x:f>
        <x:v>1</x:v>
      </x:c>
    </x:row>
    <x:row r="910">
      <x:c r="A910" s="9" t="str">
        <x:v>EV-AR-HU-A-B-TECH-1-B2-RCN-G0-OG04</x:v>
      </x:c>
      <x:c r="B910" s="9" t="str">
        <x:v>EV-AR-HU-A-B-TECH-1-B2-RCN-G0</x:v>
      </x:c>
      <x:c r="C910" s="9" t="str">
        <x:v>AR-HU-A-B-TECH-1-B2-RCN-G0</x:v>
      </x:c>
      <x:c r="D910" s="9" t="str">
        <x:v>HU-A-B-TECH-1</x:v>
      </x:c>
      <x:c r="E910" s="9" t="str">
        <x:v>HU-A-B</x:v>
      </x:c>
      <x:c r="F910" s="9" t="str">
        <x:v>B2</x:v>
      </x:c>
      <x:c r="G910" s="9" t="str">
        <x:v>RCN</x:v>
      </x:c>
      <x:c r="H910" s="9" t="str">
        <x:v>OG04</x:v>
      </x:c>
      <x:c r="I910" s="17" t="str">
        <x:v>Raw completeness</x:v>
      </x:c>
      <x:c r="J910" s="17" t="str">
        <x:v>missingness is enumerated without imputation or outcome-conditioned deletion</x:v>
      </x:c>
      <x:c r="K910" s="17" t="str">
        <x:v>Observation court</x:v>
      </x:c>
      <x:c r="L910" s="9" t="n">
        <x:v>0</x:v>
      </x:c>
      <x:c r="M910" s="9" t="n">
        <x:v>0</x:v>
      </x:c>
      <x:c r="N910" s="9" t="str">
        <x:v>OPEN / UNACCEPTED</x:v>
      </x:c>
      <x:c r="O910" s="9" t="n">
        <x:f>COUNTIFS($A$7:$A$1734,A910)</x:f>
        <x:v>1</x:v>
      </x:c>
    </x:row>
    <x:row r="911">
      <x:c r="A911" s="9" t="str">
        <x:v>EV-AR-HU-A-B-TECH-1-B2-RCN-G0-OG05</x:v>
      </x:c>
      <x:c r="B911" s="9" t="str">
        <x:v>EV-AR-HU-A-B-TECH-1-B2-RCN-G0</x:v>
      </x:c>
      <x:c r="C911" s="9" t="str">
        <x:v>AR-HU-A-B-TECH-1-B2-RCN-G0</x:v>
      </x:c>
      <x:c r="D911" s="9" t="str">
        <x:v>HU-A-B-TECH-1</x:v>
      </x:c>
      <x:c r="E911" s="9" t="str">
        <x:v>HU-A-B</x:v>
      </x:c>
      <x:c r="F911" s="9" t="str">
        <x:v>B2</x:v>
      </x:c>
      <x:c r="G911" s="9" t="str">
        <x:v>RCN</x:v>
      </x:c>
      <x:c r="H911" s="9" t="str">
        <x:v>OG05</x:v>
      </x:c>
      <x:c r="I911" s="17" t="str">
        <x:v>Primary provenance</x:v>
      </x:c>
      <x:c r="J911" s="17" t="str">
        <x:v>primary originals, hashes, keys and access history reconcile</x:v>
      </x:c>
      <x:c r="K911" s="17" t="str">
        <x:v>Primary custody</x:v>
      </x:c>
      <x:c r="L911" s="9" t="n">
        <x:v>0</x:v>
      </x:c>
      <x:c r="M911" s="9" t="n">
        <x:v>0</x:v>
      </x:c>
      <x:c r="N911" s="9" t="str">
        <x:v>OPEN / UNACCEPTED</x:v>
      </x:c>
      <x:c r="O911" s="9" t="n">
        <x:f>COUNTIFS($A$7:$A$1734,A911)</x:f>
        <x:v>1</x:v>
      </x:c>
    </x:row>
    <x:row r="912">
      <x:c r="A912" s="9" t="str">
        <x:v>EV-AR-HU-A-B-TECH-1-B2-RCN-G0-OG06</x:v>
      </x:c>
      <x:c r="B912" s="9" t="str">
        <x:v>EV-AR-HU-A-B-TECH-1-B2-RCN-G0</x:v>
      </x:c>
      <x:c r="C912" s="9" t="str">
        <x:v>AR-HU-A-B-TECH-1-B2-RCN-G0</x:v>
      </x:c>
      <x:c r="D912" s="9" t="str">
        <x:v>HU-A-B-TECH-1</x:v>
      </x:c>
      <x:c r="E912" s="9" t="str">
        <x:v>HU-A-B</x:v>
      </x:c>
      <x:c r="F912" s="9" t="str">
        <x:v>B2</x:v>
      </x:c>
      <x:c r="G912" s="9" t="str">
        <x:v>RCN</x:v>
      </x:c>
      <x:c r="H912" s="9" t="str">
        <x:v>OG06</x:v>
      </x:c>
      <x:c r="I912" s="17" t="str">
        <x:v>Witness provenance</x:v>
      </x:c>
      <x:c r="J912" s="17" t="str">
        <x:v>unlike witness originals, hashes, keys and access history reconcile</x:v>
      </x:c>
      <x:c r="K912" s="17" t="str">
        <x:v>Witness custody</x:v>
      </x:c>
      <x:c r="L912" s="9" t="n">
        <x:v>0</x:v>
      </x:c>
      <x:c r="M912" s="9" t="n">
        <x:v>0</x:v>
      </x:c>
      <x:c r="N912" s="9" t="str">
        <x:v>OPEN / UNACCEPTED</x:v>
      </x:c>
      <x:c r="O912" s="9" t="n">
        <x:f>COUNTIFS($A$7:$A$1734,A912)</x:f>
        <x:v>1</x:v>
      </x:c>
    </x:row>
    <x:row r="913">
      <x:c r="A913" s="9" t="str">
        <x:v>EV-AR-HU-A-B-TECH-1-B2-RCN-G0-OG07</x:v>
      </x:c>
      <x:c r="B913" s="9" t="str">
        <x:v>EV-AR-HU-A-B-TECH-1-B2-RCN-G0</x:v>
      </x:c>
      <x:c r="C913" s="9" t="str">
        <x:v>AR-HU-A-B-TECH-1-B2-RCN-G0</x:v>
      </x:c>
      <x:c r="D913" s="9" t="str">
        <x:v>HU-A-B-TECH-1</x:v>
      </x:c>
      <x:c r="E913" s="9" t="str">
        <x:v>HU-A-B</x:v>
      </x:c>
      <x:c r="F913" s="9" t="str">
        <x:v>B2</x:v>
      </x:c>
      <x:c r="G913" s="9" t="str">
        <x:v>RCN</x:v>
      </x:c>
      <x:c r="H913" s="9" t="str">
        <x:v>OG07</x:v>
      </x:c>
      <x:c r="I913" s="17" t="str">
        <x:v>Receiver denominator</x:v>
      </x:c>
      <x:c r="J913" s="17" t="str">
        <x:v>population, quantity, duration and exclusions match the frozen receipt</x:v>
      </x:c>
      <x:c r="K913" s="17" t="str">
        <x:v>Receiver court</x:v>
      </x:c>
      <x:c r="L913" s="9" t="n">
        <x:v>0</x:v>
      </x:c>
      <x:c r="M913" s="9" t="n">
        <x:v>0</x:v>
      </x:c>
      <x:c r="N913" s="9" t="str">
        <x:v>OPEN / UNACCEPTED</x:v>
      </x:c>
      <x:c r="O913" s="9" t="n">
        <x:f>COUNTIFS($A$7:$A$1734,A913)</x:f>
        <x:v>1</x:v>
      </x:c>
    </x:row>
    <x:row r="914">
      <x:c r="A914" s="9" t="str">
        <x:v>EV-AR-HU-A-B-TECH-1-B2-RCN-G0-OG08</x:v>
      </x:c>
      <x:c r="B914" s="9" t="str">
        <x:v>EV-AR-HU-A-B-TECH-1-B2-RCN-G0</x:v>
      </x:c>
      <x:c r="C914" s="9" t="str">
        <x:v>AR-HU-A-B-TECH-1-B2-RCN-G0</x:v>
      </x:c>
      <x:c r="D914" s="9" t="str">
        <x:v>HU-A-B-TECH-1</x:v>
      </x:c>
      <x:c r="E914" s="9" t="str">
        <x:v>HU-A-B</x:v>
      </x:c>
      <x:c r="F914" s="9" t="str">
        <x:v>B2</x:v>
      </x:c>
      <x:c r="G914" s="9" t="str">
        <x:v>RCN</x:v>
      </x:c>
      <x:c r="H914" s="9" t="str">
        <x:v>OG08</x:v>
      </x:c>
      <x:c r="I914" s="17" t="str">
        <x:v>Environment and boundary</x:v>
      </x:c>
      <x:c r="J914" s="17" t="str">
        <x:v>registered weather, water, ground, inlet and outlet states are retained</x:v>
      </x:c>
      <x:c r="K914" s="17" t="str">
        <x:v>Boundary court</x:v>
      </x:c>
      <x:c r="L914" s="9" t="n">
        <x:v>0</x:v>
      </x:c>
      <x:c r="M914" s="9" t="n">
        <x:v>0</x:v>
      </x:c>
      <x:c r="N914" s="9" t="str">
        <x:v>OPEN / UNACCEPTED</x:v>
      </x:c>
      <x:c r="O914" s="9" t="n">
        <x:f>COUNTIFS($A$7:$A$1734,A914)</x:f>
        <x:v>1</x:v>
      </x:c>
    </x:row>
    <x:row r="915">
      <x:c r="A915" s="9" t="str">
        <x:v>EV-AR-HU-A-B-TECH-1-B2-RCN-G0-OG09</x:v>
      </x:c>
      <x:c r="B915" s="9" t="str">
        <x:v>EV-AR-HU-A-B-TECH-1-B2-RCN-G0</x:v>
      </x:c>
      <x:c r="C915" s="9" t="str">
        <x:v>AR-HU-A-B-TECH-1-B2-RCN-G0</x:v>
      </x:c>
      <x:c r="D915" s="9" t="str">
        <x:v>HU-A-B-TECH-1</x:v>
      </x:c>
      <x:c r="E915" s="9" t="str">
        <x:v>HU-A-B</x:v>
      </x:c>
      <x:c r="F915" s="9" t="str">
        <x:v>B2</x:v>
      </x:c>
      <x:c r="G915" s="9" t="str">
        <x:v>RCN</x:v>
      </x:c>
      <x:c r="H915" s="9" t="str">
        <x:v>OG09</x:v>
      </x:c>
      <x:c r="I915" s="17" t="str">
        <x:v>Intervention account</x:v>
      </x:c>
      <x:c r="J915" s="17" t="str">
        <x:v>all stop, rescue, operator and public-protection actions remain timestamped</x:v>
      </x:c>
      <x:c r="K915" s="17" t="str">
        <x:v>Safety record court</x:v>
      </x:c>
      <x:c r="L915" s="9" t="n">
        <x:v>0</x:v>
      </x:c>
      <x:c r="M915" s="9" t="n">
        <x:v>0</x:v>
      </x:c>
      <x:c r="N915" s="9" t="str">
        <x:v>OPEN / UNACCEPTED</x:v>
      </x:c>
      <x:c r="O915" s="9" t="n">
        <x:f>COUNTIFS($A$7:$A$1734,A915)</x:f>
        <x:v>1</x:v>
      </x:c>
    </x:row>
    <x:row r="916">
      <x:c r="A916" s="9" t="str">
        <x:v>EV-AR-HU-A-B-TECH-1-B2-RCN-G0-OG10</x:v>
      </x:c>
      <x:c r="B916" s="9" t="str">
        <x:v>EV-AR-HU-A-B-TECH-1-B2-RCN-G0</x:v>
      </x:c>
      <x:c r="C916" s="9" t="str">
        <x:v>AR-HU-A-B-TECH-1-B2-RCN-G0</x:v>
      </x:c>
      <x:c r="D916" s="9" t="str">
        <x:v>HU-A-B-TECH-1</x:v>
      </x:c>
      <x:c r="E916" s="9" t="str">
        <x:v>HU-A-B</x:v>
      </x:c>
      <x:c r="F916" s="9" t="str">
        <x:v>B2</x:v>
      </x:c>
      <x:c r="G916" s="9" t="str">
        <x:v>RCN</x:v>
      </x:c>
      <x:c r="H916" s="9" t="str">
        <x:v>OG10</x:v>
      </x:c>
      <x:c r="I916" s="17" t="str">
        <x:v>Uncertainty statement</x:v>
      </x:c>
      <x:c r="J916" s="17" t="str">
        <x:v>range, censoring, resolution and correlation are declared before judgment</x:v>
      </x:c>
      <x:c r="K916" s="17" t="str">
        <x:v>Uncertainty authority</x:v>
      </x:c>
      <x:c r="L916" s="9" t="n">
        <x:v>0</x:v>
      </x:c>
      <x:c r="M916" s="9" t="n">
        <x:v>0</x:v>
      </x:c>
      <x:c r="N916" s="9" t="str">
        <x:v>OPEN / UNACCEPTED</x:v>
      </x:c>
      <x:c r="O916" s="9" t="n">
        <x:f>COUNTIFS($A$7:$A$1734,A916)</x:f>
        <x:v>1</x:v>
      </x:c>
    </x:row>
    <x:row r="917">
      <x:c r="A917" s="9" t="str">
        <x:v>EV-AR-HU-A-B-TECH-1-B2-RCN-G0-OG11</x:v>
      </x:c>
      <x:c r="B917" s="9" t="str">
        <x:v>EV-AR-HU-A-B-TECH-1-B2-RCN-G0</x:v>
      </x:c>
      <x:c r="C917" s="9" t="str">
        <x:v>AR-HU-A-B-TECH-1-B2-RCN-G0</x:v>
      </x:c>
      <x:c r="D917" s="9" t="str">
        <x:v>HU-A-B-TECH-1</x:v>
      </x:c>
      <x:c r="E917" s="9" t="str">
        <x:v>HU-A-B</x:v>
      </x:c>
      <x:c r="F917" s="9" t="str">
        <x:v>B2</x:v>
      </x:c>
      <x:c r="G917" s="9" t="str">
        <x:v>RCN</x:v>
      </x:c>
      <x:c r="H917" s="9" t="str">
        <x:v>OG11</x:v>
      </x:c>
      <x:c r="I917" s="17" t="str">
        <x:v>Contradiction preservation</x:v>
      </x:c>
      <x:c r="J917" s="17" t="str">
        <x:v>primary-witness disagreement remains explicit and is never averaged away</x:v>
      </x:c>
      <x:c r="K917" s="17" t="str">
        <x:v>Dissent registrar</x:v>
      </x:c>
      <x:c r="L917" s="9" t="n">
        <x:v>0</x:v>
      </x:c>
      <x:c r="M917" s="9" t="n">
        <x:v>0</x:v>
      </x:c>
      <x:c r="N917" s="9" t="str">
        <x:v>OPEN / UNACCEPTED</x:v>
      </x:c>
      <x:c r="O917" s="9" t="n">
        <x:f>COUNTIFS($A$7:$A$1734,A917)</x:f>
        <x:v>1</x:v>
      </x:c>
    </x:row>
    <x:row r="918">
      <x:c r="A918" s="9" t="str">
        <x:v>EV-AR-HU-A-B-TECH-1-B2-RCN-G0-OG12</x:v>
      </x:c>
      <x:c r="B918" s="9" t="str">
        <x:v>EV-AR-HU-A-B-TECH-1-B2-RCN-G0</x:v>
      </x:c>
      <x:c r="C918" s="9" t="str">
        <x:v>AR-HU-A-B-TECH-1-B2-RCN-G0</x:v>
      </x:c>
      <x:c r="D918" s="9" t="str">
        <x:v>HU-A-B-TECH-1</x:v>
      </x:c>
      <x:c r="E918" s="9" t="str">
        <x:v>HU-A-B</x:v>
      </x:c>
      <x:c r="F918" s="9" t="str">
        <x:v>B2</x:v>
      </x:c>
      <x:c r="G918" s="9" t="str">
        <x:v>RCN</x:v>
      </x:c>
      <x:c r="H918" s="9" t="str">
        <x:v>OG12</x:v>
      </x:c>
      <x:c r="I918" s="17" t="str">
        <x:v>Independent replay</x:v>
      </x:c>
      <x:c r="J918" s="17" t="str">
        <x:v>a separated reader reconstructs the registered observables from sealed originals</x:v>
      </x:c>
      <x:c r="K918" s="17" t="str">
        <x:v>Replay court</x:v>
      </x:c>
      <x:c r="L918" s="9" t="n">
        <x:v>0</x:v>
      </x:c>
      <x:c r="M918" s="9" t="n">
        <x:v>0</x:v>
      </x:c>
      <x:c r="N918" s="9" t="str">
        <x:v>OPEN / UNACCEPTED</x:v>
      </x:c>
      <x:c r="O918" s="9" t="n">
        <x:f>COUNTIFS($A$7:$A$1734,A918)</x:f>
        <x:v>1</x:v>
      </x:c>
    </x:row>
    <x:row r="919">
      <x:c r="A919" s="9" t="str">
        <x:v>EV-AR-HU-A-B-TECH-3-B2-BRK-G0-OG01</x:v>
      </x:c>
      <x:c r="B919" s="9" t="str">
        <x:v>EV-AR-HU-A-B-TECH-3-B2-BRK-G0</x:v>
      </x:c>
      <x:c r="C919" s="9" t="str">
        <x:v>AR-HU-A-B-TECH-3-B2-BRK-G0</x:v>
      </x:c>
      <x:c r="D919" s="9" t="str">
        <x:v>HU-A-B-TECH-3</x:v>
      </x:c>
      <x:c r="E919" s="9" t="str">
        <x:v>HU-A-B</x:v>
      </x:c>
      <x:c r="F919" s="9" t="str">
        <x:v>B2</x:v>
      </x:c>
      <x:c r="G919" s="9" t="str">
        <x:v>BRK</x:v>
      </x:c>
      <x:c r="H919" s="9" t="str">
        <x:v>OG01</x:v>
      </x:c>
      <x:c r="I919" s="17" t="str">
        <x:v>Serial and event identity</x:v>
      </x:c>
      <x:c r="J919" s="17" t="str">
        <x:v>record resolves to the issued serial, generation and physical start</x:v>
      </x:c>
      <x:c r="K919" s="17" t="str">
        <x:v>Observation court</x:v>
      </x:c>
      <x:c r="L919" s="9" t="n">
        <x:v>0</x:v>
      </x:c>
      <x:c r="M919" s="9" t="n">
        <x:v>0</x:v>
      </x:c>
      <x:c r="N919" s="9" t="str">
        <x:v>OPEN / UNACCEPTED</x:v>
      </x:c>
      <x:c r="O919" s="9" t="n">
        <x:f>COUNTIFS($A$7:$A$1734,A919)</x:f>
        <x:v>1</x:v>
      </x:c>
    </x:row>
    <x:row r="920">
      <x:c r="A920" s="9" t="str">
        <x:v>EV-AR-HU-A-B-TECH-3-B2-BRK-G0-OG02</x:v>
      </x:c>
      <x:c r="B920" s="9" t="str">
        <x:v>EV-AR-HU-A-B-TECH-3-B2-BRK-G0</x:v>
      </x:c>
      <x:c r="C920" s="9" t="str">
        <x:v>AR-HU-A-B-TECH-3-B2-BRK-G0</x:v>
      </x:c>
      <x:c r="D920" s="9" t="str">
        <x:v>HU-A-B-TECH-3</x:v>
      </x:c>
      <x:c r="E920" s="9" t="str">
        <x:v>HU-A-B</x:v>
      </x:c>
      <x:c r="F920" s="9" t="str">
        <x:v>B2</x:v>
      </x:c>
      <x:c r="G920" s="9" t="str">
        <x:v>BRK</x:v>
      </x:c>
      <x:c r="H920" s="9" t="str">
        <x:v>OG02</x:v>
      </x:c>
      <x:c r="I920" s="17" t="str">
        <x:v>Time ancestry</x:v>
      </x:c>
      <x:c r="J920" s="17" t="str">
        <x:v>primary, witness and public event clocks retain declared offsets and drift</x:v>
      </x:c>
      <x:c r="K920" s="17" t="str">
        <x:v>Time authority</x:v>
      </x:c>
      <x:c r="L920" s="9" t="n">
        <x:v>0</x:v>
      </x:c>
      <x:c r="M920" s="9" t="n">
        <x:v>0</x:v>
      </x:c>
      <x:c r="N920" s="9" t="str">
        <x:v>OPEN / UNACCEPTED</x:v>
      </x:c>
      <x:c r="O920" s="9" t="n">
        <x:f>COUNTIFS($A$7:$A$1734,A920)</x:f>
        <x:v>1</x:v>
      </x:c>
    </x:row>
    <x:row r="921">
      <x:c r="A921" s="9" t="str">
        <x:v>EV-AR-HU-A-B-TECH-3-B2-BRK-G0-OG03</x:v>
      </x:c>
      <x:c r="B921" s="9" t="str">
        <x:v>EV-AR-HU-A-B-TECH-3-B2-BRK-G0</x:v>
      </x:c>
      <x:c r="C921" s="9" t="str">
        <x:v>AR-HU-A-B-TECH-3-B2-BRK-G0</x:v>
      </x:c>
      <x:c r="D921" s="9" t="str">
        <x:v>HU-A-B-TECH-3</x:v>
      </x:c>
      <x:c r="E921" s="9" t="str">
        <x:v>HU-A-B</x:v>
      </x:c>
      <x:c r="F921" s="9" t="str">
        <x:v>B2</x:v>
      </x:c>
      <x:c r="G921" s="9" t="str">
        <x:v>BRK</x:v>
      </x:c>
      <x:c r="H921" s="9" t="str">
        <x:v>OG03</x:v>
      </x:c>
      <x:c r="I921" s="17" t="str">
        <x:v>Calibration ancestry</x:v>
      </x:c>
      <x:c r="J921" s="17" t="str">
        <x:v>all reference, range and uncertainty states cover the live interval</x:v>
      </x:c>
      <x:c r="K921" s="17" t="str">
        <x:v>Metrology courts</x:v>
      </x:c>
      <x:c r="L921" s="9" t="n">
        <x:v>0</x:v>
      </x:c>
      <x:c r="M921" s="9" t="n">
        <x:v>0</x:v>
      </x:c>
      <x:c r="N921" s="9" t="str">
        <x:v>OPEN / UNACCEPTED</x:v>
      </x:c>
      <x:c r="O921" s="9" t="n">
        <x:f>COUNTIFS($A$7:$A$1734,A921)</x:f>
        <x:v>1</x:v>
      </x:c>
    </x:row>
    <x:row r="922">
      <x:c r="A922" s="9" t="str">
        <x:v>EV-AR-HU-A-B-TECH-3-B2-BRK-G0-OG04</x:v>
      </x:c>
      <x:c r="B922" s="9" t="str">
        <x:v>EV-AR-HU-A-B-TECH-3-B2-BRK-G0</x:v>
      </x:c>
      <x:c r="C922" s="9" t="str">
        <x:v>AR-HU-A-B-TECH-3-B2-BRK-G0</x:v>
      </x:c>
      <x:c r="D922" s="9" t="str">
        <x:v>HU-A-B-TECH-3</x:v>
      </x:c>
      <x:c r="E922" s="9" t="str">
        <x:v>HU-A-B</x:v>
      </x:c>
      <x:c r="F922" s="9" t="str">
        <x:v>B2</x:v>
      </x:c>
      <x:c r="G922" s="9" t="str">
        <x:v>BRK</x:v>
      </x:c>
      <x:c r="H922" s="9" t="str">
        <x:v>OG04</x:v>
      </x:c>
      <x:c r="I922" s="17" t="str">
        <x:v>Raw completeness</x:v>
      </x:c>
      <x:c r="J922" s="17" t="str">
        <x:v>missingness is enumerated without imputation or outcome-conditioned deletion</x:v>
      </x:c>
      <x:c r="K922" s="17" t="str">
        <x:v>Observation court</x:v>
      </x:c>
      <x:c r="L922" s="9" t="n">
        <x:v>0</x:v>
      </x:c>
      <x:c r="M922" s="9" t="n">
        <x:v>0</x:v>
      </x:c>
      <x:c r="N922" s="9" t="str">
        <x:v>OPEN / UNACCEPTED</x:v>
      </x:c>
      <x:c r="O922" s="9" t="n">
        <x:f>COUNTIFS($A$7:$A$1734,A922)</x:f>
        <x:v>1</x:v>
      </x:c>
    </x:row>
    <x:row r="923">
      <x:c r="A923" s="9" t="str">
        <x:v>EV-AR-HU-A-B-TECH-3-B2-BRK-G0-OG05</x:v>
      </x:c>
      <x:c r="B923" s="9" t="str">
        <x:v>EV-AR-HU-A-B-TECH-3-B2-BRK-G0</x:v>
      </x:c>
      <x:c r="C923" s="9" t="str">
        <x:v>AR-HU-A-B-TECH-3-B2-BRK-G0</x:v>
      </x:c>
      <x:c r="D923" s="9" t="str">
        <x:v>HU-A-B-TECH-3</x:v>
      </x:c>
      <x:c r="E923" s="9" t="str">
        <x:v>HU-A-B</x:v>
      </x:c>
      <x:c r="F923" s="9" t="str">
        <x:v>B2</x:v>
      </x:c>
      <x:c r="G923" s="9" t="str">
        <x:v>BRK</x:v>
      </x:c>
      <x:c r="H923" s="9" t="str">
        <x:v>OG05</x:v>
      </x:c>
      <x:c r="I923" s="17" t="str">
        <x:v>Primary provenance</x:v>
      </x:c>
      <x:c r="J923" s="17" t="str">
        <x:v>primary originals, hashes, keys and access history reconcile</x:v>
      </x:c>
      <x:c r="K923" s="17" t="str">
        <x:v>Primary custody</x:v>
      </x:c>
      <x:c r="L923" s="9" t="n">
        <x:v>0</x:v>
      </x:c>
      <x:c r="M923" s="9" t="n">
        <x:v>0</x:v>
      </x:c>
      <x:c r="N923" s="9" t="str">
        <x:v>OPEN / UNACCEPTED</x:v>
      </x:c>
      <x:c r="O923" s="9" t="n">
        <x:f>COUNTIFS($A$7:$A$1734,A923)</x:f>
        <x:v>1</x:v>
      </x:c>
    </x:row>
    <x:row r="924">
      <x:c r="A924" s="9" t="str">
        <x:v>EV-AR-HU-A-B-TECH-3-B2-BRK-G0-OG06</x:v>
      </x:c>
      <x:c r="B924" s="9" t="str">
        <x:v>EV-AR-HU-A-B-TECH-3-B2-BRK-G0</x:v>
      </x:c>
      <x:c r="C924" s="9" t="str">
        <x:v>AR-HU-A-B-TECH-3-B2-BRK-G0</x:v>
      </x:c>
      <x:c r="D924" s="9" t="str">
        <x:v>HU-A-B-TECH-3</x:v>
      </x:c>
      <x:c r="E924" s="9" t="str">
        <x:v>HU-A-B</x:v>
      </x:c>
      <x:c r="F924" s="9" t="str">
        <x:v>B2</x:v>
      </x:c>
      <x:c r="G924" s="9" t="str">
        <x:v>BRK</x:v>
      </x:c>
      <x:c r="H924" s="9" t="str">
        <x:v>OG06</x:v>
      </x:c>
      <x:c r="I924" s="17" t="str">
        <x:v>Witness provenance</x:v>
      </x:c>
      <x:c r="J924" s="17" t="str">
        <x:v>unlike witness originals, hashes, keys and access history reconcile</x:v>
      </x:c>
      <x:c r="K924" s="17" t="str">
        <x:v>Witness custody</x:v>
      </x:c>
      <x:c r="L924" s="9" t="n">
        <x:v>0</x:v>
      </x:c>
      <x:c r="M924" s="9" t="n">
        <x:v>0</x:v>
      </x:c>
      <x:c r="N924" s="9" t="str">
        <x:v>OPEN / UNACCEPTED</x:v>
      </x:c>
      <x:c r="O924" s="9" t="n">
        <x:f>COUNTIFS($A$7:$A$1734,A924)</x:f>
        <x:v>1</x:v>
      </x:c>
    </x:row>
    <x:row r="925">
      <x:c r="A925" s="9" t="str">
        <x:v>EV-AR-HU-A-B-TECH-3-B2-BRK-G0-OG07</x:v>
      </x:c>
      <x:c r="B925" s="9" t="str">
        <x:v>EV-AR-HU-A-B-TECH-3-B2-BRK-G0</x:v>
      </x:c>
      <x:c r="C925" s="9" t="str">
        <x:v>AR-HU-A-B-TECH-3-B2-BRK-G0</x:v>
      </x:c>
      <x:c r="D925" s="9" t="str">
        <x:v>HU-A-B-TECH-3</x:v>
      </x:c>
      <x:c r="E925" s="9" t="str">
        <x:v>HU-A-B</x:v>
      </x:c>
      <x:c r="F925" s="9" t="str">
        <x:v>B2</x:v>
      </x:c>
      <x:c r="G925" s="9" t="str">
        <x:v>BRK</x:v>
      </x:c>
      <x:c r="H925" s="9" t="str">
        <x:v>OG07</x:v>
      </x:c>
      <x:c r="I925" s="17" t="str">
        <x:v>Receiver denominator</x:v>
      </x:c>
      <x:c r="J925" s="17" t="str">
        <x:v>population, quantity, duration and exclusions match the frozen receipt</x:v>
      </x:c>
      <x:c r="K925" s="17" t="str">
        <x:v>Receiver court</x:v>
      </x:c>
      <x:c r="L925" s="9" t="n">
        <x:v>0</x:v>
      </x:c>
      <x:c r="M925" s="9" t="n">
        <x:v>0</x:v>
      </x:c>
      <x:c r="N925" s="9" t="str">
        <x:v>OPEN / UNACCEPTED</x:v>
      </x:c>
      <x:c r="O925" s="9" t="n">
        <x:f>COUNTIFS($A$7:$A$1734,A925)</x:f>
        <x:v>1</x:v>
      </x:c>
    </x:row>
    <x:row r="926">
      <x:c r="A926" s="9" t="str">
        <x:v>EV-AR-HU-A-B-TECH-3-B2-BRK-G0-OG08</x:v>
      </x:c>
      <x:c r="B926" s="9" t="str">
        <x:v>EV-AR-HU-A-B-TECH-3-B2-BRK-G0</x:v>
      </x:c>
      <x:c r="C926" s="9" t="str">
        <x:v>AR-HU-A-B-TECH-3-B2-BRK-G0</x:v>
      </x:c>
      <x:c r="D926" s="9" t="str">
        <x:v>HU-A-B-TECH-3</x:v>
      </x:c>
      <x:c r="E926" s="9" t="str">
        <x:v>HU-A-B</x:v>
      </x:c>
      <x:c r="F926" s="9" t="str">
        <x:v>B2</x:v>
      </x:c>
      <x:c r="G926" s="9" t="str">
        <x:v>BRK</x:v>
      </x:c>
      <x:c r="H926" s="9" t="str">
        <x:v>OG08</x:v>
      </x:c>
      <x:c r="I926" s="17" t="str">
        <x:v>Environment and boundary</x:v>
      </x:c>
      <x:c r="J926" s="17" t="str">
        <x:v>registered weather, water, ground, inlet and outlet states are retained</x:v>
      </x:c>
      <x:c r="K926" s="17" t="str">
        <x:v>Boundary court</x:v>
      </x:c>
      <x:c r="L926" s="9" t="n">
        <x:v>0</x:v>
      </x:c>
      <x:c r="M926" s="9" t="n">
        <x:v>0</x:v>
      </x:c>
      <x:c r="N926" s="9" t="str">
        <x:v>OPEN / UNACCEPTED</x:v>
      </x:c>
      <x:c r="O926" s="9" t="n">
        <x:f>COUNTIFS($A$7:$A$1734,A926)</x:f>
        <x:v>1</x:v>
      </x:c>
    </x:row>
    <x:row r="927">
      <x:c r="A927" s="9" t="str">
        <x:v>EV-AR-HU-A-B-TECH-3-B2-BRK-G0-OG09</x:v>
      </x:c>
      <x:c r="B927" s="9" t="str">
        <x:v>EV-AR-HU-A-B-TECH-3-B2-BRK-G0</x:v>
      </x:c>
      <x:c r="C927" s="9" t="str">
        <x:v>AR-HU-A-B-TECH-3-B2-BRK-G0</x:v>
      </x:c>
      <x:c r="D927" s="9" t="str">
        <x:v>HU-A-B-TECH-3</x:v>
      </x:c>
      <x:c r="E927" s="9" t="str">
        <x:v>HU-A-B</x:v>
      </x:c>
      <x:c r="F927" s="9" t="str">
        <x:v>B2</x:v>
      </x:c>
      <x:c r="G927" s="9" t="str">
        <x:v>BRK</x:v>
      </x:c>
      <x:c r="H927" s="9" t="str">
        <x:v>OG09</x:v>
      </x:c>
      <x:c r="I927" s="17" t="str">
        <x:v>Intervention account</x:v>
      </x:c>
      <x:c r="J927" s="17" t="str">
        <x:v>all stop, rescue, operator and public-protection actions remain timestamped</x:v>
      </x:c>
      <x:c r="K927" s="17" t="str">
        <x:v>Safety record court</x:v>
      </x:c>
      <x:c r="L927" s="9" t="n">
        <x:v>0</x:v>
      </x:c>
      <x:c r="M927" s="9" t="n">
        <x:v>0</x:v>
      </x:c>
      <x:c r="N927" s="9" t="str">
        <x:v>OPEN / UNACCEPTED</x:v>
      </x:c>
      <x:c r="O927" s="9" t="n">
        <x:f>COUNTIFS($A$7:$A$1734,A927)</x:f>
        <x:v>1</x:v>
      </x:c>
    </x:row>
    <x:row r="928">
      <x:c r="A928" s="9" t="str">
        <x:v>EV-AR-HU-A-B-TECH-3-B2-BRK-G0-OG10</x:v>
      </x:c>
      <x:c r="B928" s="9" t="str">
        <x:v>EV-AR-HU-A-B-TECH-3-B2-BRK-G0</x:v>
      </x:c>
      <x:c r="C928" s="9" t="str">
        <x:v>AR-HU-A-B-TECH-3-B2-BRK-G0</x:v>
      </x:c>
      <x:c r="D928" s="9" t="str">
        <x:v>HU-A-B-TECH-3</x:v>
      </x:c>
      <x:c r="E928" s="9" t="str">
        <x:v>HU-A-B</x:v>
      </x:c>
      <x:c r="F928" s="9" t="str">
        <x:v>B2</x:v>
      </x:c>
      <x:c r="G928" s="9" t="str">
        <x:v>BRK</x:v>
      </x:c>
      <x:c r="H928" s="9" t="str">
        <x:v>OG10</x:v>
      </x:c>
      <x:c r="I928" s="17" t="str">
        <x:v>Uncertainty statement</x:v>
      </x:c>
      <x:c r="J928" s="17" t="str">
        <x:v>range, censoring, resolution and correlation are declared before judgment</x:v>
      </x:c>
      <x:c r="K928" s="17" t="str">
        <x:v>Uncertainty authority</x:v>
      </x:c>
      <x:c r="L928" s="9" t="n">
        <x:v>0</x:v>
      </x:c>
      <x:c r="M928" s="9" t="n">
        <x:v>0</x:v>
      </x:c>
      <x:c r="N928" s="9" t="str">
        <x:v>OPEN / UNACCEPTED</x:v>
      </x:c>
      <x:c r="O928" s="9" t="n">
        <x:f>COUNTIFS($A$7:$A$1734,A928)</x:f>
        <x:v>1</x:v>
      </x:c>
    </x:row>
    <x:row r="929">
      <x:c r="A929" s="9" t="str">
        <x:v>EV-AR-HU-A-B-TECH-3-B2-BRK-G0-OG11</x:v>
      </x:c>
      <x:c r="B929" s="9" t="str">
        <x:v>EV-AR-HU-A-B-TECH-3-B2-BRK-G0</x:v>
      </x:c>
      <x:c r="C929" s="9" t="str">
        <x:v>AR-HU-A-B-TECH-3-B2-BRK-G0</x:v>
      </x:c>
      <x:c r="D929" s="9" t="str">
        <x:v>HU-A-B-TECH-3</x:v>
      </x:c>
      <x:c r="E929" s="9" t="str">
        <x:v>HU-A-B</x:v>
      </x:c>
      <x:c r="F929" s="9" t="str">
        <x:v>B2</x:v>
      </x:c>
      <x:c r="G929" s="9" t="str">
        <x:v>BRK</x:v>
      </x:c>
      <x:c r="H929" s="9" t="str">
        <x:v>OG11</x:v>
      </x:c>
      <x:c r="I929" s="17" t="str">
        <x:v>Contradiction preservation</x:v>
      </x:c>
      <x:c r="J929" s="17" t="str">
        <x:v>primary-witness disagreement remains explicit and is never averaged away</x:v>
      </x:c>
      <x:c r="K929" s="17" t="str">
        <x:v>Dissent registrar</x:v>
      </x:c>
      <x:c r="L929" s="9" t="n">
        <x:v>0</x:v>
      </x:c>
      <x:c r="M929" s="9" t="n">
        <x:v>0</x:v>
      </x:c>
      <x:c r="N929" s="9" t="str">
        <x:v>OPEN / UNACCEPTED</x:v>
      </x:c>
      <x:c r="O929" s="9" t="n">
        <x:f>COUNTIFS($A$7:$A$1734,A929)</x:f>
        <x:v>1</x:v>
      </x:c>
    </x:row>
    <x:row r="930">
      <x:c r="A930" s="9" t="str">
        <x:v>EV-AR-HU-A-B-TECH-3-B2-BRK-G0-OG12</x:v>
      </x:c>
      <x:c r="B930" s="9" t="str">
        <x:v>EV-AR-HU-A-B-TECH-3-B2-BRK-G0</x:v>
      </x:c>
      <x:c r="C930" s="9" t="str">
        <x:v>AR-HU-A-B-TECH-3-B2-BRK-G0</x:v>
      </x:c>
      <x:c r="D930" s="9" t="str">
        <x:v>HU-A-B-TECH-3</x:v>
      </x:c>
      <x:c r="E930" s="9" t="str">
        <x:v>HU-A-B</x:v>
      </x:c>
      <x:c r="F930" s="9" t="str">
        <x:v>B2</x:v>
      </x:c>
      <x:c r="G930" s="9" t="str">
        <x:v>BRK</x:v>
      </x:c>
      <x:c r="H930" s="9" t="str">
        <x:v>OG12</x:v>
      </x:c>
      <x:c r="I930" s="17" t="str">
        <x:v>Independent replay</x:v>
      </x:c>
      <x:c r="J930" s="17" t="str">
        <x:v>a separated reader reconstructs the registered observables from sealed originals</x:v>
      </x:c>
      <x:c r="K930" s="17" t="str">
        <x:v>Replay court</x:v>
      </x:c>
      <x:c r="L930" s="9" t="n">
        <x:v>0</x:v>
      </x:c>
      <x:c r="M930" s="9" t="n">
        <x:v>0</x:v>
      </x:c>
      <x:c r="N930" s="9" t="str">
        <x:v>OPEN / UNACCEPTED</x:v>
      </x:c>
      <x:c r="O930" s="9" t="n">
        <x:f>COUNTIFS($A$7:$A$1734,A930)</x:f>
        <x:v>1</x:v>
      </x:c>
    </x:row>
    <x:row r="931">
      <x:c r="A931" s="9" t="str">
        <x:v>EV-AR-RT-B-C-TECH-1-B1-RCN-G0-OG01</x:v>
      </x:c>
      <x:c r="B931" s="9" t="str">
        <x:v>EV-AR-RT-B-C-TECH-1-B1-RCN-G0</x:v>
      </x:c>
      <x:c r="C931" s="9" t="str">
        <x:v>AR-RT-B-C-TECH-1-B1-RCN-G0</x:v>
      </x:c>
      <x:c r="D931" s="9" t="str">
        <x:v>RT-B-C-TECH-1</x:v>
      </x:c>
      <x:c r="E931" s="9" t="str">
        <x:v>RT-B-C</x:v>
      </x:c>
      <x:c r="F931" s="9" t="str">
        <x:v>B1</x:v>
      </x:c>
      <x:c r="G931" s="9" t="str">
        <x:v>RCN</x:v>
      </x:c>
      <x:c r="H931" s="9" t="str">
        <x:v>OG01</x:v>
      </x:c>
      <x:c r="I931" s="17" t="str">
        <x:v>Serial and event identity</x:v>
      </x:c>
      <x:c r="J931" s="17" t="str">
        <x:v>record resolves to the issued serial, generation and physical start</x:v>
      </x:c>
      <x:c r="K931" s="17" t="str">
        <x:v>Observation court</x:v>
      </x:c>
      <x:c r="L931" s="9" t="n">
        <x:v>0</x:v>
      </x:c>
      <x:c r="M931" s="9" t="n">
        <x:v>0</x:v>
      </x:c>
      <x:c r="N931" s="9" t="str">
        <x:v>OPEN / UNACCEPTED</x:v>
      </x:c>
      <x:c r="O931" s="9" t="n">
        <x:f>COUNTIFS($A$7:$A$1734,A931)</x:f>
        <x:v>1</x:v>
      </x:c>
    </x:row>
    <x:row r="932">
      <x:c r="A932" s="9" t="str">
        <x:v>EV-AR-RT-B-C-TECH-1-B1-RCN-G0-OG02</x:v>
      </x:c>
      <x:c r="B932" s="9" t="str">
        <x:v>EV-AR-RT-B-C-TECH-1-B1-RCN-G0</x:v>
      </x:c>
      <x:c r="C932" s="9" t="str">
        <x:v>AR-RT-B-C-TECH-1-B1-RCN-G0</x:v>
      </x:c>
      <x:c r="D932" s="9" t="str">
        <x:v>RT-B-C-TECH-1</x:v>
      </x:c>
      <x:c r="E932" s="9" t="str">
        <x:v>RT-B-C</x:v>
      </x:c>
      <x:c r="F932" s="9" t="str">
        <x:v>B1</x:v>
      </x:c>
      <x:c r="G932" s="9" t="str">
        <x:v>RCN</x:v>
      </x:c>
      <x:c r="H932" s="9" t="str">
        <x:v>OG02</x:v>
      </x:c>
      <x:c r="I932" s="17" t="str">
        <x:v>Time ancestry</x:v>
      </x:c>
      <x:c r="J932" s="17" t="str">
        <x:v>primary, witness and public event clocks retain declared offsets and drift</x:v>
      </x:c>
      <x:c r="K932" s="17" t="str">
        <x:v>Time authority</x:v>
      </x:c>
      <x:c r="L932" s="9" t="n">
        <x:v>0</x:v>
      </x:c>
      <x:c r="M932" s="9" t="n">
        <x:v>0</x:v>
      </x:c>
      <x:c r="N932" s="9" t="str">
        <x:v>OPEN / UNACCEPTED</x:v>
      </x:c>
      <x:c r="O932" s="9" t="n">
        <x:f>COUNTIFS($A$7:$A$1734,A932)</x:f>
        <x:v>1</x:v>
      </x:c>
    </x:row>
    <x:row r="933">
      <x:c r="A933" s="9" t="str">
        <x:v>EV-AR-RT-B-C-TECH-1-B1-RCN-G0-OG03</x:v>
      </x:c>
      <x:c r="B933" s="9" t="str">
        <x:v>EV-AR-RT-B-C-TECH-1-B1-RCN-G0</x:v>
      </x:c>
      <x:c r="C933" s="9" t="str">
        <x:v>AR-RT-B-C-TECH-1-B1-RCN-G0</x:v>
      </x:c>
      <x:c r="D933" s="9" t="str">
        <x:v>RT-B-C-TECH-1</x:v>
      </x:c>
      <x:c r="E933" s="9" t="str">
        <x:v>RT-B-C</x:v>
      </x:c>
      <x:c r="F933" s="9" t="str">
        <x:v>B1</x:v>
      </x:c>
      <x:c r="G933" s="9" t="str">
        <x:v>RCN</x:v>
      </x:c>
      <x:c r="H933" s="9" t="str">
        <x:v>OG03</x:v>
      </x:c>
      <x:c r="I933" s="17" t="str">
        <x:v>Calibration ancestry</x:v>
      </x:c>
      <x:c r="J933" s="17" t="str">
        <x:v>all reference, range and uncertainty states cover the live interval</x:v>
      </x:c>
      <x:c r="K933" s="17" t="str">
        <x:v>Metrology courts</x:v>
      </x:c>
      <x:c r="L933" s="9" t="n">
        <x:v>0</x:v>
      </x:c>
      <x:c r="M933" s="9" t="n">
        <x:v>0</x:v>
      </x:c>
      <x:c r="N933" s="9" t="str">
        <x:v>OPEN / UNACCEPTED</x:v>
      </x:c>
      <x:c r="O933" s="9" t="n">
        <x:f>COUNTIFS($A$7:$A$1734,A933)</x:f>
        <x:v>1</x:v>
      </x:c>
    </x:row>
    <x:row r="934">
      <x:c r="A934" s="9" t="str">
        <x:v>EV-AR-RT-B-C-TECH-1-B1-RCN-G0-OG04</x:v>
      </x:c>
      <x:c r="B934" s="9" t="str">
        <x:v>EV-AR-RT-B-C-TECH-1-B1-RCN-G0</x:v>
      </x:c>
      <x:c r="C934" s="9" t="str">
        <x:v>AR-RT-B-C-TECH-1-B1-RCN-G0</x:v>
      </x:c>
      <x:c r="D934" s="9" t="str">
        <x:v>RT-B-C-TECH-1</x:v>
      </x:c>
      <x:c r="E934" s="9" t="str">
        <x:v>RT-B-C</x:v>
      </x:c>
      <x:c r="F934" s="9" t="str">
        <x:v>B1</x:v>
      </x:c>
      <x:c r="G934" s="9" t="str">
        <x:v>RCN</x:v>
      </x:c>
      <x:c r="H934" s="9" t="str">
        <x:v>OG04</x:v>
      </x:c>
      <x:c r="I934" s="17" t="str">
        <x:v>Raw completeness</x:v>
      </x:c>
      <x:c r="J934" s="17" t="str">
        <x:v>missingness is enumerated without imputation or outcome-conditioned deletion</x:v>
      </x:c>
      <x:c r="K934" s="17" t="str">
        <x:v>Observation court</x:v>
      </x:c>
      <x:c r="L934" s="9" t="n">
        <x:v>0</x:v>
      </x:c>
      <x:c r="M934" s="9" t="n">
        <x:v>0</x:v>
      </x:c>
      <x:c r="N934" s="9" t="str">
        <x:v>OPEN / UNACCEPTED</x:v>
      </x:c>
      <x:c r="O934" s="9" t="n">
        <x:f>COUNTIFS($A$7:$A$1734,A934)</x:f>
        <x:v>1</x:v>
      </x:c>
    </x:row>
    <x:row r="935">
      <x:c r="A935" s="9" t="str">
        <x:v>EV-AR-RT-B-C-TECH-1-B1-RCN-G0-OG05</x:v>
      </x:c>
      <x:c r="B935" s="9" t="str">
        <x:v>EV-AR-RT-B-C-TECH-1-B1-RCN-G0</x:v>
      </x:c>
      <x:c r="C935" s="9" t="str">
        <x:v>AR-RT-B-C-TECH-1-B1-RCN-G0</x:v>
      </x:c>
      <x:c r="D935" s="9" t="str">
        <x:v>RT-B-C-TECH-1</x:v>
      </x:c>
      <x:c r="E935" s="9" t="str">
        <x:v>RT-B-C</x:v>
      </x:c>
      <x:c r="F935" s="9" t="str">
        <x:v>B1</x:v>
      </x:c>
      <x:c r="G935" s="9" t="str">
        <x:v>RCN</x:v>
      </x:c>
      <x:c r="H935" s="9" t="str">
        <x:v>OG05</x:v>
      </x:c>
      <x:c r="I935" s="17" t="str">
        <x:v>Primary provenance</x:v>
      </x:c>
      <x:c r="J935" s="17" t="str">
        <x:v>primary originals, hashes, keys and access history reconcile</x:v>
      </x:c>
      <x:c r="K935" s="17" t="str">
        <x:v>Primary custody</x:v>
      </x:c>
      <x:c r="L935" s="9" t="n">
        <x:v>0</x:v>
      </x:c>
      <x:c r="M935" s="9" t="n">
        <x:v>0</x:v>
      </x:c>
      <x:c r="N935" s="9" t="str">
        <x:v>OPEN / UNACCEPTED</x:v>
      </x:c>
      <x:c r="O935" s="9" t="n">
        <x:f>COUNTIFS($A$7:$A$1734,A935)</x:f>
        <x:v>1</x:v>
      </x:c>
    </x:row>
    <x:row r="936">
      <x:c r="A936" s="9" t="str">
        <x:v>EV-AR-RT-B-C-TECH-1-B1-RCN-G0-OG06</x:v>
      </x:c>
      <x:c r="B936" s="9" t="str">
        <x:v>EV-AR-RT-B-C-TECH-1-B1-RCN-G0</x:v>
      </x:c>
      <x:c r="C936" s="9" t="str">
        <x:v>AR-RT-B-C-TECH-1-B1-RCN-G0</x:v>
      </x:c>
      <x:c r="D936" s="9" t="str">
        <x:v>RT-B-C-TECH-1</x:v>
      </x:c>
      <x:c r="E936" s="9" t="str">
        <x:v>RT-B-C</x:v>
      </x:c>
      <x:c r="F936" s="9" t="str">
        <x:v>B1</x:v>
      </x:c>
      <x:c r="G936" s="9" t="str">
        <x:v>RCN</x:v>
      </x:c>
      <x:c r="H936" s="9" t="str">
        <x:v>OG06</x:v>
      </x:c>
      <x:c r="I936" s="17" t="str">
        <x:v>Witness provenance</x:v>
      </x:c>
      <x:c r="J936" s="17" t="str">
        <x:v>unlike witness originals, hashes, keys and access history reconcile</x:v>
      </x:c>
      <x:c r="K936" s="17" t="str">
        <x:v>Witness custody</x:v>
      </x:c>
      <x:c r="L936" s="9" t="n">
        <x:v>0</x:v>
      </x:c>
      <x:c r="M936" s="9" t="n">
        <x:v>0</x:v>
      </x:c>
      <x:c r="N936" s="9" t="str">
        <x:v>OPEN / UNACCEPTED</x:v>
      </x:c>
      <x:c r="O936" s="9" t="n">
        <x:f>COUNTIFS($A$7:$A$1734,A936)</x:f>
        <x:v>1</x:v>
      </x:c>
    </x:row>
    <x:row r="937">
      <x:c r="A937" s="9" t="str">
        <x:v>EV-AR-RT-B-C-TECH-1-B1-RCN-G0-OG07</x:v>
      </x:c>
      <x:c r="B937" s="9" t="str">
        <x:v>EV-AR-RT-B-C-TECH-1-B1-RCN-G0</x:v>
      </x:c>
      <x:c r="C937" s="9" t="str">
        <x:v>AR-RT-B-C-TECH-1-B1-RCN-G0</x:v>
      </x:c>
      <x:c r="D937" s="9" t="str">
        <x:v>RT-B-C-TECH-1</x:v>
      </x:c>
      <x:c r="E937" s="9" t="str">
        <x:v>RT-B-C</x:v>
      </x:c>
      <x:c r="F937" s="9" t="str">
        <x:v>B1</x:v>
      </x:c>
      <x:c r="G937" s="9" t="str">
        <x:v>RCN</x:v>
      </x:c>
      <x:c r="H937" s="9" t="str">
        <x:v>OG07</x:v>
      </x:c>
      <x:c r="I937" s="17" t="str">
        <x:v>Receiver denominator</x:v>
      </x:c>
      <x:c r="J937" s="17" t="str">
        <x:v>population, quantity, duration and exclusions match the frozen receipt</x:v>
      </x:c>
      <x:c r="K937" s="17" t="str">
        <x:v>Receiver court</x:v>
      </x:c>
      <x:c r="L937" s="9" t="n">
        <x:v>0</x:v>
      </x:c>
      <x:c r="M937" s="9" t="n">
        <x:v>0</x:v>
      </x:c>
      <x:c r="N937" s="9" t="str">
        <x:v>OPEN / UNACCEPTED</x:v>
      </x:c>
      <x:c r="O937" s="9" t="n">
        <x:f>COUNTIFS($A$7:$A$1734,A937)</x:f>
        <x:v>1</x:v>
      </x:c>
    </x:row>
    <x:row r="938">
      <x:c r="A938" s="9" t="str">
        <x:v>EV-AR-RT-B-C-TECH-1-B1-RCN-G0-OG08</x:v>
      </x:c>
      <x:c r="B938" s="9" t="str">
        <x:v>EV-AR-RT-B-C-TECH-1-B1-RCN-G0</x:v>
      </x:c>
      <x:c r="C938" s="9" t="str">
        <x:v>AR-RT-B-C-TECH-1-B1-RCN-G0</x:v>
      </x:c>
      <x:c r="D938" s="9" t="str">
        <x:v>RT-B-C-TECH-1</x:v>
      </x:c>
      <x:c r="E938" s="9" t="str">
        <x:v>RT-B-C</x:v>
      </x:c>
      <x:c r="F938" s="9" t="str">
        <x:v>B1</x:v>
      </x:c>
      <x:c r="G938" s="9" t="str">
        <x:v>RCN</x:v>
      </x:c>
      <x:c r="H938" s="9" t="str">
        <x:v>OG08</x:v>
      </x:c>
      <x:c r="I938" s="17" t="str">
        <x:v>Environment and boundary</x:v>
      </x:c>
      <x:c r="J938" s="17" t="str">
        <x:v>registered weather, water, ground, inlet and outlet states are retained</x:v>
      </x:c>
      <x:c r="K938" s="17" t="str">
        <x:v>Boundary court</x:v>
      </x:c>
      <x:c r="L938" s="9" t="n">
        <x:v>0</x:v>
      </x:c>
      <x:c r="M938" s="9" t="n">
        <x:v>0</x:v>
      </x:c>
      <x:c r="N938" s="9" t="str">
        <x:v>OPEN / UNACCEPTED</x:v>
      </x:c>
      <x:c r="O938" s="9" t="n">
        <x:f>COUNTIFS($A$7:$A$1734,A938)</x:f>
        <x:v>1</x:v>
      </x:c>
    </x:row>
    <x:row r="939">
      <x:c r="A939" s="9" t="str">
        <x:v>EV-AR-RT-B-C-TECH-1-B1-RCN-G0-OG09</x:v>
      </x:c>
      <x:c r="B939" s="9" t="str">
        <x:v>EV-AR-RT-B-C-TECH-1-B1-RCN-G0</x:v>
      </x:c>
      <x:c r="C939" s="9" t="str">
        <x:v>AR-RT-B-C-TECH-1-B1-RCN-G0</x:v>
      </x:c>
      <x:c r="D939" s="9" t="str">
        <x:v>RT-B-C-TECH-1</x:v>
      </x:c>
      <x:c r="E939" s="9" t="str">
        <x:v>RT-B-C</x:v>
      </x:c>
      <x:c r="F939" s="9" t="str">
        <x:v>B1</x:v>
      </x:c>
      <x:c r="G939" s="9" t="str">
        <x:v>RCN</x:v>
      </x:c>
      <x:c r="H939" s="9" t="str">
        <x:v>OG09</x:v>
      </x:c>
      <x:c r="I939" s="17" t="str">
        <x:v>Intervention account</x:v>
      </x:c>
      <x:c r="J939" s="17" t="str">
        <x:v>all stop, rescue, operator and public-protection actions remain timestamped</x:v>
      </x:c>
      <x:c r="K939" s="17" t="str">
        <x:v>Safety record court</x:v>
      </x:c>
      <x:c r="L939" s="9" t="n">
        <x:v>0</x:v>
      </x:c>
      <x:c r="M939" s="9" t="n">
        <x:v>0</x:v>
      </x:c>
      <x:c r="N939" s="9" t="str">
        <x:v>OPEN / UNACCEPTED</x:v>
      </x:c>
      <x:c r="O939" s="9" t="n">
        <x:f>COUNTIFS($A$7:$A$1734,A939)</x:f>
        <x:v>1</x:v>
      </x:c>
    </x:row>
    <x:row r="940">
      <x:c r="A940" s="9" t="str">
        <x:v>EV-AR-RT-B-C-TECH-1-B1-RCN-G0-OG10</x:v>
      </x:c>
      <x:c r="B940" s="9" t="str">
        <x:v>EV-AR-RT-B-C-TECH-1-B1-RCN-G0</x:v>
      </x:c>
      <x:c r="C940" s="9" t="str">
        <x:v>AR-RT-B-C-TECH-1-B1-RCN-G0</x:v>
      </x:c>
      <x:c r="D940" s="9" t="str">
        <x:v>RT-B-C-TECH-1</x:v>
      </x:c>
      <x:c r="E940" s="9" t="str">
        <x:v>RT-B-C</x:v>
      </x:c>
      <x:c r="F940" s="9" t="str">
        <x:v>B1</x:v>
      </x:c>
      <x:c r="G940" s="9" t="str">
        <x:v>RCN</x:v>
      </x:c>
      <x:c r="H940" s="9" t="str">
        <x:v>OG10</x:v>
      </x:c>
      <x:c r="I940" s="17" t="str">
        <x:v>Uncertainty statement</x:v>
      </x:c>
      <x:c r="J940" s="17" t="str">
        <x:v>range, censoring, resolution and correlation are declared before judgment</x:v>
      </x:c>
      <x:c r="K940" s="17" t="str">
        <x:v>Uncertainty authority</x:v>
      </x:c>
      <x:c r="L940" s="9" t="n">
        <x:v>0</x:v>
      </x:c>
      <x:c r="M940" s="9" t="n">
        <x:v>0</x:v>
      </x:c>
      <x:c r="N940" s="9" t="str">
        <x:v>OPEN / UNACCEPTED</x:v>
      </x:c>
      <x:c r="O940" s="9" t="n">
        <x:f>COUNTIFS($A$7:$A$1734,A940)</x:f>
        <x:v>1</x:v>
      </x:c>
    </x:row>
    <x:row r="941">
      <x:c r="A941" s="9" t="str">
        <x:v>EV-AR-RT-B-C-TECH-1-B1-RCN-G0-OG11</x:v>
      </x:c>
      <x:c r="B941" s="9" t="str">
        <x:v>EV-AR-RT-B-C-TECH-1-B1-RCN-G0</x:v>
      </x:c>
      <x:c r="C941" s="9" t="str">
        <x:v>AR-RT-B-C-TECH-1-B1-RCN-G0</x:v>
      </x:c>
      <x:c r="D941" s="9" t="str">
        <x:v>RT-B-C-TECH-1</x:v>
      </x:c>
      <x:c r="E941" s="9" t="str">
        <x:v>RT-B-C</x:v>
      </x:c>
      <x:c r="F941" s="9" t="str">
        <x:v>B1</x:v>
      </x:c>
      <x:c r="G941" s="9" t="str">
        <x:v>RCN</x:v>
      </x:c>
      <x:c r="H941" s="9" t="str">
        <x:v>OG11</x:v>
      </x:c>
      <x:c r="I941" s="17" t="str">
        <x:v>Contradiction preservation</x:v>
      </x:c>
      <x:c r="J941" s="17" t="str">
        <x:v>primary-witness disagreement remains explicit and is never averaged away</x:v>
      </x:c>
      <x:c r="K941" s="17" t="str">
        <x:v>Dissent registrar</x:v>
      </x:c>
      <x:c r="L941" s="9" t="n">
        <x:v>0</x:v>
      </x:c>
      <x:c r="M941" s="9" t="n">
        <x:v>0</x:v>
      </x:c>
      <x:c r="N941" s="9" t="str">
        <x:v>OPEN / UNACCEPTED</x:v>
      </x:c>
      <x:c r="O941" s="9" t="n">
        <x:f>COUNTIFS($A$7:$A$1734,A941)</x:f>
        <x:v>1</x:v>
      </x:c>
    </x:row>
    <x:row r="942">
      <x:c r="A942" s="9" t="str">
        <x:v>EV-AR-RT-B-C-TECH-1-B1-RCN-G0-OG12</x:v>
      </x:c>
      <x:c r="B942" s="9" t="str">
        <x:v>EV-AR-RT-B-C-TECH-1-B1-RCN-G0</x:v>
      </x:c>
      <x:c r="C942" s="9" t="str">
        <x:v>AR-RT-B-C-TECH-1-B1-RCN-G0</x:v>
      </x:c>
      <x:c r="D942" s="9" t="str">
        <x:v>RT-B-C-TECH-1</x:v>
      </x:c>
      <x:c r="E942" s="9" t="str">
        <x:v>RT-B-C</x:v>
      </x:c>
      <x:c r="F942" s="9" t="str">
        <x:v>B1</x:v>
      </x:c>
      <x:c r="G942" s="9" t="str">
        <x:v>RCN</x:v>
      </x:c>
      <x:c r="H942" s="9" t="str">
        <x:v>OG12</x:v>
      </x:c>
      <x:c r="I942" s="17" t="str">
        <x:v>Independent replay</x:v>
      </x:c>
      <x:c r="J942" s="17" t="str">
        <x:v>a separated reader reconstructs the registered observables from sealed originals</x:v>
      </x:c>
      <x:c r="K942" s="17" t="str">
        <x:v>Replay court</x:v>
      </x:c>
      <x:c r="L942" s="9" t="n">
        <x:v>0</x:v>
      </x:c>
      <x:c r="M942" s="9" t="n">
        <x:v>0</x:v>
      </x:c>
      <x:c r="N942" s="9" t="str">
        <x:v>OPEN / UNACCEPTED</x:v>
      </x:c>
      <x:c r="O942" s="9" t="n">
        <x:f>COUNTIFS($A$7:$A$1734,A942)</x:f>
        <x:v>1</x:v>
      </x:c>
    </x:row>
    <x:row r="943">
      <x:c r="A943" s="9" t="str">
        <x:v>EV-AR-ET-A-A-TECH-1-B2-BRK-G0-OG01</x:v>
      </x:c>
      <x:c r="B943" s="9" t="str">
        <x:v>EV-AR-ET-A-A-TECH-1-B2-BRK-G0</x:v>
      </x:c>
      <x:c r="C943" s="9" t="str">
        <x:v>AR-ET-A-A-TECH-1-B2-BRK-G0</x:v>
      </x:c>
      <x:c r="D943" s="9" t="str">
        <x:v>ET-A-A-TECH-1</x:v>
      </x:c>
      <x:c r="E943" s="9" t="str">
        <x:v>ET-A-A</x:v>
      </x:c>
      <x:c r="F943" s="9" t="str">
        <x:v>B2</x:v>
      </x:c>
      <x:c r="G943" s="9" t="str">
        <x:v>BRK</x:v>
      </x:c>
      <x:c r="H943" s="9" t="str">
        <x:v>OG01</x:v>
      </x:c>
      <x:c r="I943" s="17" t="str">
        <x:v>Serial and event identity</x:v>
      </x:c>
      <x:c r="J943" s="17" t="str">
        <x:v>record resolves to the issued serial, generation and physical start</x:v>
      </x:c>
      <x:c r="K943" s="17" t="str">
        <x:v>Observation court</x:v>
      </x:c>
      <x:c r="L943" s="9" t="n">
        <x:v>0</x:v>
      </x:c>
      <x:c r="M943" s="9" t="n">
        <x:v>0</x:v>
      </x:c>
      <x:c r="N943" s="9" t="str">
        <x:v>OPEN / UNACCEPTED</x:v>
      </x:c>
      <x:c r="O943" s="9" t="n">
        <x:f>COUNTIFS($A$7:$A$1734,A943)</x:f>
        <x:v>1</x:v>
      </x:c>
    </x:row>
    <x:row r="944">
      <x:c r="A944" s="9" t="str">
        <x:v>EV-AR-ET-A-A-TECH-1-B2-BRK-G0-OG02</x:v>
      </x:c>
      <x:c r="B944" s="9" t="str">
        <x:v>EV-AR-ET-A-A-TECH-1-B2-BRK-G0</x:v>
      </x:c>
      <x:c r="C944" s="9" t="str">
        <x:v>AR-ET-A-A-TECH-1-B2-BRK-G0</x:v>
      </x:c>
      <x:c r="D944" s="9" t="str">
        <x:v>ET-A-A-TECH-1</x:v>
      </x:c>
      <x:c r="E944" s="9" t="str">
        <x:v>ET-A-A</x:v>
      </x:c>
      <x:c r="F944" s="9" t="str">
        <x:v>B2</x:v>
      </x:c>
      <x:c r="G944" s="9" t="str">
        <x:v>BRK</x:v>
      </x:c>
      <x:c r="H944" s="9" t="str">
        <x:v>OG02</x:v>
      </x:c>
      <x:c r="I944" s="17" t="str">
        <x:v>Time ancestry</x:v>
      </x:c>
      <x:c r="J944" s="17" t="str">
        <x:v>primary, witness and public event clocks retain declared offsets and drift</x:v>
      </x:c>
      <x:c r="K944" s="17" t="str">
        <x:v>Time authority</x:v>
      </x:c>
      <x:c r="L944" s="9" t="n">
        <x:v>0</x:v>
      </x:c>
      <x:c r="M944" s="9" t="n">
        <x:v>0</x:v>
      </x:c>
      <x:c r="N944" s="9" t="str">
        <x:v>OPEN / UNACCEPTED</x:v>
      </x:c>
      <x:c r="O944" s="9" t="n">
        <x:f>COUNTIFS($A$7:$A$1734,A944)</x:f>
        <x:v>1</x:v>
      </x:c>
    </x:row>
    <x:row r="945">
      <x:c r="A945" s="9" t="str">
        <x:v>EV-AR-ET-A-A-TECH-1-B2-BRK-G0-OG03</x:v>
      </x:c>
      <x:c r="B945" s="9" t="str">
        <x:v>EV-AR-ET-A-A-TECH-1-B2-BRK-G0</x:v>
      </x:c>
      <x:c r="C945" s="9" t="str">
        <x:v>AR-ET-A-A-TECH-1-B2-BRK-G0</x:v>
      </x:c>
      <x:c r="D945" s="9" t="str">
        <x:v>ET-A-A-TECH-1</x:v>
      </x:c>
      <x:c r="E945" s="9" t="str">
        <x:v>ET-A-A</x:v>
      </x:c>
      <x:c r="F945" s="9" t="str">
        <x:v>B2</x:v>
      </x:c>
      <x:c r="G945" s="9" t="str">
        <x:v>BRK</x:v>
      </x:c>
      <x:c r="H945" s="9" t="str">
        <x:v>OG03</x:v>
      </x:c>
      <x:c r="I945" s="17" t="str">
        <x:v>Calibration ancestry</x:v>
      </x:c>
      <x:c r="J945" s="17" t="str">
        <x:v>all reference, range and uncertainty states cover the live interval</x:v>
      </x:c>
      <x:c r="K945" s="17" t="str">
        <x:v>Metrology courts</x:v>
      </x:c>
      <x:c r="L945" s="9" t="n">
        <x:v>0</x:v>
      </x:c>
      <x:c r="M945" s="9" t="n">
        <x:v>0</x:v>
      </x:c>
      <x:c r="N945" s="9" t="str">
        <x:v>OPEN / UNACCEPTED</x:v>
      </x:c>
      <x:c r="O945" s="9" t="n">
        <x:f>COUNTIFS($A$7:$A$1734,A945)</x:f>
        <x:v>1</x:v>
      </x:c>
    </x:row>
    <x:row r="946">
      <x:c r="A946" s="9" t="str">
        <x:v>EV-AR-ET-A-A-TECH-1-B2-BRK-G0-OG04</x:v>
      </x:c>
      <x:c r="B946" s="9" t="str">
        <x:v>EV-AR-ET-A-A-TECH-1-B2-BRK-G0</x:v>
      </x:c>
      <x:c r="C946" s="9" t="str">
        <x:v>AR-ET-A-A-TECH-1-B2-BRK-G0</x:v>
      </x:c>
      <x:c r="D946" s="9" t="str">
        <x:v>ET-A-A-TECH-1</x:v>
      </x:c>
      <x:c r="E946" s="9" t="str">
        <x:v>ET-A-A</x:v>
      </x:c>
      <x:c r="F946" s="9" t="str">
        <x:v>B2</x:v>
      </x:c>
      <x:c r="G946" s="9" t="str">
        <x:v>BRK</x:v>
      </x:c>
      <x:c r="H946" s="9" t="str">
        <x:v>OG04</x:v>
      </x:c>
      <x:c r="I946" s="17" t="str">
        <x:v>Raw completeness</x:v>
      </x:c>
      <x:c r="J946" s="17" t="str">
        <x:v>missingness is enumerated without imputation or outcome-conditioned deletion</x:v>
      </x:c>
      <x:c r="K946" s="17" t="str">
        <x:v>Observation court</x:v>
      </x:c>
      <x:c r="L946" s="9" t="n">
        <x:v>0</x:v>
      </x:c>
      <x:c r="M946" s="9" t="n">
        <x:v>0</x:v>
      </x:c>
      <x:c r="N946" s="9" t="str">
        <x:v>OPEN / UNACCEPTED</x:v>
      </x:c>
      <x:c r="O946" s="9" t="n">
        <x:f>COUNTIFS($A$7:$A$1734,A946)</x:f>
        <x:v>1</x:v>
      </x:c>
    </x:row>
    <x:row r="947">
      <x:c r="A947" s="9" t="str">
        <x:v>EV-AR-ET-A-A-TECH-1-B2-BRK-G0-OG05</x:v>
      </x:c>
      <x:c r="B947" s="9" t="str">
        <x:v>EV-AR-ET-A-A-TECH-1-B2-BRK-G0</x:v>
      </x:c>
      <x:c r="C947" s="9" t="str">
        <x:v>AR-ET-A-A-TECH-1-B2-BRK-G0</x:v>
      </x:c>
      <x:c r="D947" s="9" t="str">
        <x:v>ET-A-A-TECH-1</x:v>
      </x:c>
      <x:c r="E947" s="9" t="str">
        <x:v>ET-A-A</x:v>
      </x:c>
      <x:c r="F947" s="9" t="str">
        <x:v>B2</x:v>
      </x:c>
      <x:c r="G947" s="9" t="str">
        <x:v>BRK</x:v>
      </x:c>
      <x:c r="H947" s="9" t="str">
        <x:v>OG05</x:v>
      </x:c>
      <x:c r="I947" s="17" t="str">
        <x:v>Primary provenance</x:v>
      </x:c>
      <x:c r="J947" s="17" t="str">
        <x:v>primary originals, hashes, keys and access history reconcile</x:v>
      </x:c>
      <x:c r="K947" s="17" t="str">
        <x:v>Primary custody</x:v>
      </x:c>
      <x:c r="L947" s="9" t="n">
        <x:v>0</x:v>
      </x:c>
      <x:c r="M947" s="9" t="n">
        <x:v>0</x:v>
      </x:c>
      <x:c r="N947" s="9" t="str">
        <x:v>OPEN / UNACCEPTED</x:v>
      </x:c>
      <x:c r="O947" s="9" t="n">
        <x:f>COUNTIFS($A$7:$A$1734,A947)</x:f>
        <x:v>1</x:v>
      </x:c>
    </x:row>
    <x:row r="948">
      <x:c r="A948" s="9" t="str">
        <x:v>EV-AR-ET-A-A-TECH-1-B2-BRK-G0-OG06</x:v>
      </x:c>
      <x:c r="B948" s="9" t="str">
        <x:v>EV-AR-ET-A-A-TECH-1-B2-BRK-G0</x:v>
      </x:c>
      <x:c r="C948" s="9" t="str">
        <x:v>AR-ET-A-A-TECH-1-B2-BRK-G0</x:v>
      </x:c>
      <x:c r="D948" s="9" t="str">
        <x:v>ET-A-A-TECH-1</x:v>
      </x:c>
      <x:c r="E948" s="9" t="str">
        <x:v>ET-A-A</x:v>
      </x:c>
      <x:c r="F948" s="9" t="str">
        <x:v>B2</x:v>
      </x:c>
      <x:c r="G948" s="9" t="str">
        <x:v>BRK</x:v>
      </x:c>
      <x:c r="H948" s="9" t="str">
        <x:v>OG06</x:v>
      </x:c>
      <x:c r="I948" s="17" t="str">
        <x:v>Witness provenance</x:v>
      </x:c>
      <x:c r="J948" s="17" t="str">
        <x:v>unlike witness originals, hashes, keys and access history reconcile</x:v>
      </x:c>
      <x:c r="K948" s="17" t="str">
        <x:v>Witness custody</x:v>
      </x:c>
      <x:c r="L948" s="9" t="n">
        <x:v>0</x:v>
      </x:c>
      <x:c r="M948" s="9" t="n">
        <x:v>0</x:v>
      </x:c>
      <x:c r="N948" s="9" t="str">
        <x:v>OPEN / UNACCEPTED</x:v>
      </x:c>
      <x:c r="O948" s="9" t="n">
        <x:f>COUNTIFS($A$7:$A$1734,A948)</x:f>
        <x:v>1</x:v>
      </x:c>
    </x:row>
    <x:row r="949">
      <x:c r="A949" s="9" t="str">
        <x:v>EV-AR-ET-A-A-TECH-1-B2-BRK-G0-OG07</x:v>
      </x:c>
      <x:c r="B949" s="9" t="str">
        <x:v>EV-AR-ET-A-A-TECH-1-B2-BRK-G0</x:v>
      </x:c>
      <x:c r="C949" s="9" t="str">
        <x:v>AR-ET-A-A-TECH-1-B2-BRK-G0</x:v>
      </x:c>
      <x:c r="D949" s="9" t="str">
        <x:v>ET-A-A-TECH-1</x:v>
      </x:c>
      <x:c r="E949" s="9" t="str">
        <x:v>ET-A-A</x:v>
      </x:c>
      <x:c r="F949" s="9" t="str">
        <x:v>B2</x:v>
      </x:c>
      <x:c r="G949" s="9" t="str">
        <x:v>BRK</x:v>
      </x:c>
      <x:c r="H949" s="9" t="str">
        <x:v>OG07</x:v>
      </x:c>
      <x:c r="I949" s="17" t="str">
        <x:v>Receiver denominator</x:v>
      </x:c>
      <x:c r="J949" s="17" t="str">
        <x:v>population, quantity, duration and exclusions match the frozen receipt</x:v>
      </x:c>
      <x:c r="K949" s="17" t="str">
        <x:v>Receiver court</x:v>
      </x:c>
      <x:c r="L949" s="9" t="n">
        <x:v>0</x:v>
      </x:c>
      <x:c r="M949" s="9" t="n">
        <x:v>0</x:v>
      </x:c>
      <x:c r="N949" s="9" t="str">
        <x:v>OPEN / UNACCEPTED</x:v>
      </x:c>
      <x:c r="O949" s="9" t="n">
        <x:f>COUNTIFS($A$7:$A$1734,A949)</x:f>
        <x:v>1</x:v>
      </x:c>
    </x:row>
    <x:row r="950">
      <x:c r="A950" s="9" t="str">
        <x:v>EV-AR-ET-A-A-TECH-1-B2-BRK-G0-OG08</x:v>
      </x:c>
      <x:c r="B950" s="9" t="str">
        <x:v>EV-AR-ET-A-A-TECH-1-B2-BRK-G0</x:v>
      </x:c>
      <x:c r="C950" s="9" t="str">
        <x:v>AR-ET-A-A-TECH-1-B2-BRK-G0</x:v>
      </x:c>
      <x:c r="D950" s="9" t="str">
        <x:v>ET-A-A-TECH-1</x:v>
      </x:c>
      <x:c r="E950" s="9" t="str">
        <x:v>ET-A-A</x:v>
      </x:c>
      <x:c r="F950" s="9" t="str">
        <x:v>B2</x:v>
      </x:c>
      <x:c r="G950" s="9" t="str">
        <x:v>BRK</x:v>
      </x:c>
      <x:c r="H950" s="9" t="str">
        <x:v>OG08</x:v>
      </x:c>
      <x:c r="I950" s="17" t="str">
        <x:v>Environment and boundary</x:v>
      </x:c>
      <x:c r="J950" s="17" t="str">
        <x:v>registered weather, water, ground, inlet and outlet states are retained</x:v>
      </x:c>
      <x:c r="K950" s="17" t="str">
        <x:v>Boundary court</x:v>
      </x:c>
      <x:c r="L950" s="9" t="n">
        <x:v>0</x:v>
      </x:c>
      <x:c r="M950" s="9" t="n">
        <x:v>0</x:v>
      </x:c>
      <x:c r="N950" s="9" t="str">
        <x:v>OPEN / UNACCEPTED</x:v>
      </x:c>
      <x:c r="O950" s="9" t="n">
        <x:f>COUNTIFS($A$7:$A$1734,A950)</x:f>
        <x:v>1</x:v>
      </x:c>
    </x:row>
    <x:row r="951">
      <x:c r="A951" s="9" t="str">
        <x:v>EV-AR-ET-A-A-TECH-1-B2-BRK-G0-OG09</x:v>
      </x:c>
      <x:c r="B951" s="9" t="str">
        <x:v>EV-AR-ET-A-A-TECH-1-B2-BRK-G0</x:v>
      </x:c>
      <x:c r="C951" s="9" t="str">
        <x:v>AR-ET-A-A-TECH-1-B2-BRK-G0</x:v>
      </x:c>
      <x:c r="D951" s="9" t="str">
        <x:v>ET-A-A-TECH-1</x:v>
      </x:c>
      <x:c r="E951" s="9" t="str">
        <x:v>ET-A-A</x:v>
      </x:c>
      <x:c r="F951" s="9" t="str">
        <x:v>B2</x:v>
      </x:c>
      <x:c r="G951" s="9" t="str">
        <x:v>BRK</x:v>
      </x:c>
      <x:c r="H951" s="9" t="str">
        <x:v>OG09</x:v>
      </x:c>
      <x:c r="I951" s="17" t="str">
        <x:v>Intervention account</x:v>
      </x:c>
      <x:c r="J951" s="17" t="str">
        <x:v>all stop, rescue, operator and public-protection actions remain timestamped</x:v>
      </x:c>
      <x:c r="K951" s="17" t="str">
        <x:v>Safety record court</x:v>
      </x:c>
      <x:c r="L951" s="9" t="n">
        <x:v>0</x:v>
      </x:c>
      <x:c r="M951" s="9" t="n">
        <x:v>0</x:v>
      </x:c>
      <x:c r="N951" s="9" t="str">
        <x:v>OPEN / UNACCEPTED</x:v>
      </x:c>
      <x:c r="O951" s="9" t="n">
        <x:f>COUNTIFS($A$7:$A$1734,A951)</x:f>
        <x:v>1</x:v>
      </x:c>
    </x:row>
    <x:row r="952">
      <x:c r="A952" s="9" t="str">
        <x:v>EV-AR-ET-A-A-TECH-1-B2-BRK-G0-OG10</x:v>
      </x:c>
      <x:c r="B952" s="9" t="str">
        <x:v>EV-AR-ET-A-A-TECH-1-B2-BRK-G0</x:v>
      </x:c>
      <x:c r="C952" s="9" t="str">
        <x:v>AR-ET-A-A-TECH-1-B2-BRK-G0</x:v>
      </x:c>
      <x:c r="D952" s="9" t="str">
        <x:v>ET-A-A-TECH-1</x:v>
      </x:c>
      <x:c r="E952" s="9" t="str">
        <x:v>ET-A-A</x:v>
      </x:c>
      <x:c r="F952" s="9" t="str">
        <x:v>B2</x:v>
      </x:c>
      <x:c r="G952" s="9" t="str">
        <x:v>BRK</x:v>
      </x:c>
      <x:c r="H952" s="9" t="str">
        <x:v>OG10</x:v>
      </x:c>
      <x:c r="I952" s="17" t="str">
        <x:v>Uncertainty statement</x:v>
      </x:c>
      <x:c r="J952" s="17" t="str">
        <x:v>range, censoring, resolution and correlation are declared before judgment</x:v>
      </x:c>
      <x:c r="K952" s="17" t="str">
        <x:v>Uncertainty authority</x:v>
      </x:c>
      <x:c r="L952" s="9" t="n">
        <x:v>0</x:v>
      </x:c>
      <x:c r="M952" s="9" t="n">
        <x:v>0</x:v>
      </x:c>
      <x:c r="N952" s="9" t="str">
        <x:v>OPEN / UNACCEPTED</x:v>
      </x:c>
      <x:c r="O952" s="9" t="n">
        <x:f>COUNTIFS($A$7:$A$1734,A952)</x:f>
        <x:v>1</x:v>
      </x:c>
    </x:row>
    <x:row r="953">
      <x:c r="A953" s="9" t="str">
        <x:v>EV-AR-ET-A-A-TECH-1-B2-BRK-G0-OG11</x:v>
      </x:c>
      <x:c r="B953" s="9" t="str">
        <x:v>EV-AR-ET-A-A-TECH-1-B2-BRK-G0</x:v>
      </x:c>
      <x:c r="C953" s="9" t="str">
        <x:v>AR-ET-A-A-TECH-1-B2-BRK-G0</x:v>
      </x:c>
      <x:c r="D953" s="9" t="str">
        <x:v>ET-A-A-TECH-1</x:v>
      </x:c>
      <x:c r="E953" s="9" t="str">
        <x:v>ET-A-A</x:v>
      </x:c>
      <x:c r="F953" s="9" t="str">
        <x:v>B2</x:v>
      </x:c>
      <x:c r="G953" s="9" t="str">
        <x:v>BRK</x:v>
      </x:c>
      <x:c r="H953" s="9" t="str">
        <x:v>OG11</x:v>
      </x:c>
      <x:c r="I953" s="17" t="str">
        <x:v>Contradiction preservation</x:v>
      </x:c>
      <x:c r="J953" s="17" t="str">
        <x:v>primary-witness disagreement remains explicit and is never averaged away</x:v>
      </x:c>
      <x:c r="K953" s="17" t="str">
        <x:v>Dissent registrar</x:v>
      </x:c>
      <x:c r="L953" s="9" t="n">
        <x:v>0</x:v>
      </x:c>
      <x:c r="M953" s="9" t="n">
        <x:v>0</x:v>
      </x:c>
      <x:c r="N953" s="9" t="str">
        <x:v>OPEN / UNACCEPTED</x:v>
      </x:c>
      <x:c r="O953" s="9" t="n">
        <x:f>COUNTIFS($A$7:$A$1734,A953)</x:f>
        <x:v>1</x:v>
      </x:c>
    </x:row>
    <x:row r="954">
      <x:c r="A954" s="9" t="str">
        <x:v>EV-AR-ET-A-A-TECH-1-B2-BRK-G0-OG12</x:v>
      </x:c>
      <x:c r="B954" s="9" t="str">
        <x:v>EV-AR-ET-A-A-TECH-1-B2-BRK-G0</x:v>
      </x:c>
      <x:c r="C954" s="9" t="str">
        <x:v>AR-ET-A-A-TECH-1-B2-BRK-G0</x:v>
      </x:c>
      <x:c r="D954" s="9" t="str">
        <x:v>ET-A-A-TECH-1</x:v>
      </x:c>
      <x:c r="E954" s="9" t="str">
        <x:v>ET-A-A</x:v>
      </x:c>
      <x:c r="F954" s="9" t="str">
        <x:v>B2</x:v>
      </x:c>
      <x:c r="G954" s="9" t="str">
        <x:v>BRK</x:v>
      </x:c>
      <x:c r="H954" s="9" t="str">
        <x:v>OG12</x:v>
      </x:c>
      <x:c r="I954" s="17" t="str">
        <x:v>Independent replay</x:v>
      </x:c>
      <x:c r="J954" s="17" t="str">
        <x:v>a separated reader reconstructs the registered observables from sealed originals</x:v>
      </x:c>
      <x:c r="K954" s="17" t="str">
        <x:v>Replay court</x:v>
      </x:c>
      <x:c r="L954" s="9" t="n">
        <x:v>0</x:v>
      </x:c>
      <x:c r="M954" s="9" t="n">
        <x:v>0</x:v>
      </x:c>
      <x:c r="N954" s="9" t="str">
        <x:v>OPEN / UNACCEPTED</x:v>
      </x:c>
      <x:c r="O954" s="9" t="n">
        <x:f>COUNTIFS($A$7:$A$1734,A954)</x:f>
        <x:v>1</x:v>
      </x:c>
    </x:row>
    <x:row r="955">
      <x:c r="A955" s="9" t="str">
        <x:v>EV-AR-HC-A-C-TECH-3-B2-RCN-G0-OG01</x:v>
      </x:c>
      <x:c r="B955" s="9" t="str">
        <x:v>EV-AR-HC-A-C-TECH-3-B2-RCN-G0</x:v>
      </x:c>
      <x:c r="C955" s="9" t="str">
        <x:v>AR-HC-A-C-TECH-3-B2-RCN-G0</x:v>
      </x:c>
      <x:c r="D955" s="9" t="str">
        <x:v>HC-A-C-TECH-3</x:v>
      </x:c>
      <x:c r="E955" s="9" t="str">
        <x:v>HC-A-C</x:v>
      </x:c>
      <x:c r="F955" s="9" t="str">
        <x:v>B2</x:v>
      </x:c>
      <x:c r="G955" s="9" t="str">
        <x:v>RCN</x:v>
      </x:c>
      <x:c r="H955" s="9" t="str">
        <x:v>OG01</x:v>
      </x:c>
      <x:c r="I955" s="17" t="str">
        <x:v>Serial and event identity</x:v>
      </x:c>
      <x:c r="J955" s="17" t="str">
        <x:v>record resolves to the issued serial, generation and physical start</x:v>
      </x:c>
      <x:c r="K955" s="17" t="str">
        <x:v>Observation court</x:v>
      </x:c>
      <x:c r="L955" s="9" t="n">
        <x:v>0</x:v>
      </x:c>
      <x:c r="M955" s="9" t="n">
        <x:v>0</x:v>
      </x:c>
      <x:c r="N955" s="9" t="str">
        <x:v>OPEN / UNACCEPTED</x:v>
      </x:c>
      <x:c r="O955" s="9" t="n">
        <x:f>COUNTIFS($A$7:$A$1734,A955)</x:f>
        <x:v>1</x:v>
      </x:c>
    </x:row>
    <x:row r="956">
      <x:c r="A956" s="9" t="str">
        <x:v>EV-AR-HC-A-C-TECH-3-B2-RCN-G0-OG02</x:v>
      </x:c>
      <x:c r="B956" s="9" t="str">
        <x:v>EV-AR-HC-A-C-TECH-3-B2-RCN-G0</x:v>
      </x:c>
      <x:c r="C956" s="9" t="str">
        <x:v>AR-HC-A-C-TECH-3-B2-RCN-G0</x:v>
      </x:c>
      <x:c r="D956" s="9" t="str">
        <x:v>HC-A-C-TECH-3</x:v>
      </x:c>
      <x:c r="E956" s="9" t="str">
        <x:v>HC-A-C</x:v>
      </x:c>
      <x:c r="F956" s="9" t="str">
        <x:v>B2</x:v>
      </x:c>
      <x:c r="G956" s="9" t="str">
        <x:v>RCN</x:v>
      </x:c>
      <x:c r="H956" s="9" t="str">
        <x:v>OG02</x:v>
      </x:c>
      <x:c r="I956" s="17" t="str">
        <x:v>Time ancestry</x:v>
      </x:c>
      <x:c r="J956" s="17" t="str">
        <x:v>primary, witness and public event clocks retain declared offsets and drift</x:v>
      </x:c>
      <x:c r="K956" s="17" t="str">
        <x:v>Time authority</x:v>
      </x:c>
      <x:c r="L956" s="9" t="n">
        <x:v>0</x:v>
      </x:c>
      <x:c r="M956" s="9" t="n">
        <x:v>0</x:v>
      </x:c>
      <x:c r="N956" s="9" t="str">
        <x:v>OPEN / UNACCEPTED</x:v>
      </x:c>
      <x:c r="O956" s="9" t="n">
        <x:f>COUNTIFS($A$7:$A$1734,A956)</x:f>
        <x:v>1</x:v>
      </x:c>
    </x:row>
    <x:row r="957">
      <x:c r="A957" s="9" t="str">
        <x:v>EV-AR-HC-A-C-TECH-3-B2-RCN-G0-OG03</x:v>
      </x:c>
      <x:c r="B957" s="9" t="str">
        <x:v>EV-AR-HC-A-C-TECH-3-B2-RCN-G0</x:v>
      </x:c>
      <x:c r="C957" s="9" t="str">
        <x:v>AR-HC-A-C-TECH-3-B2-RCN-G0</x:v>
      </x:c>
      <x:c r="D957" s="9" t="str">
        <x:v>HC-A-C-TECH-3</x:v>
      </x:c>
      <x:c r="E957" s="9" t="str">
        <x:v>HC-A-C</x:v>
      </x:c>
      <x:c r="F957" s="9" t="str">
        <x:v>B2</x:v>
      </x:c>
      <x:c r="G957" s="9" t="str">
        <x:v>RCN</x:v>
      </x:c>
      <x:c r="H957" s="9" t="str">
        <x:v>OG03</x:v>
      </x:c>
      <x:c r="I957" s="17" t="str">
        <x:v>Calibration ancestry</x:v>
      </x:c>
      <x:c r="J957" s="17" t="str">
        <x:v>all reference, range and uncertainty states cover the live interval</x:v>
      </x:c>
      <x:c r="K957" s="17" t="str">
        <x:v>Metrology courts</x:v>
      </x:c>
      <x:c r="L957" s="9" t="n">
        <x:v>0</x:v>
      </x:c>
      <x:c r="M957" s="9" t="n">
        <x:v>0</x:v>
      </x:c>
      <x:c r="N957" s="9" t="str">
        <x:v>OPEN / UNACCEPTED</x:v>
      </x:c>
      <x:c r="O957" s="9" t="n">
        <x:f>COUNTIFS($A$7:$A$1734,A957)</x:f>
        <x:v>1</x:v>
      </x:c>
    </x:row>
    <x:row r="958">
      <x:c r="A958" s="9" t="str">
        <x:v>EV-AR-HC-A-C-TECH-3-B2-RCN-G0-OG04</x:v>
      </x:c>
      <x:c r="B958" s="9" t="str">
        <x:v>EV-AR-HC-A-C-TECH-3-B2-RCN-G0</x:v>
      </x:c>
      <x:c r="C958" s="9" t="str">
        <x:v>AR-HC-A-C-TECH-3-B2-RCN-G0</x:v>
      </x:c>
      <x:c r="D958" s="9" t="str">
        <x:v>HC-A-C-TECH-3</x:v>
      </x:c>
      <x:c r="E958" s="9" t="str">
        <x:v>HC-A-C</x:v>
      </x:c>
      <x:c r="F958" s="9" t="str">
        <x:v>B2</x:v>
      </x:c>
      <x:c r="G958" s="9" t="str">
        <x:v>RCN</x:v>
      </x:c>
      <x:c r="H958" s="9" t="str">
        <x:v>OG04</x:v>
      </x:c>
      <x:c r="I958" s="17" t="str">
        <x:v>Raw completeness</x:v>
      </x:c>
      <x:c r="J958" s="17" t="str">
        <x:v>missingness is enumerated without imputation or outcome-conditioned deletion</x:v>
      </x:c>
      <x:c r="K958" s="17" t="str">
        <x:v>Observation court</x:v>
      </x:c>
      <x:c r="L958" s="9" t="n">
        <x:v>0</x:v>
      </x:c>
      <x:c r="M958" s="9" t="n">
        <x:v>0</x:v>
      </x:c>
      <x:c r="N958" s="9" t="str">
        <x:v>OPEN / UNACCEPTED</x:v>
      </x:c>
      <x:c r="O958" s="9" t="n">
        <x:f>COUNTIFS($A$7:$A$1734,A958)</x:f>
        <x:v>1</x:v>
      </x:c>
    </x:row>
    <x:row r="959">
      <x:c r="A959" s="9" t="str">
        <x:v>EV-AR-HC-A-C-TECH-3-B2-RCN-G0-OG05</x:v>
      </x:c>
      <x:c r="B959" s="9" t="str">
        <x:v>EV-AR-HC-A-C-TECH-3-B2-RCN-G0</x:v>
      </x:c>
      <x:c r="C959" s="9" t="str">
        <x:v>AR-HC-A-C-TECH-3-B2-RCN-G0</x:v>
      </x:c>
      <x:c r="D959" s="9" t="str">
        <x:v>HC-A-C-TECH-3</x:v>
      </x:c>
      <x:c r="E959" s="9" t="str">
        <x:v>HC-A-C</x:v>
      </x:c>
      <x:c r="F959" s="9" t="str">
        <x:v>B2</x:v>
      </x:c>
      <x:c r="G959" s="9" t="str">
        <x:v>RCN</x:v>
      </x:c>
      <x:c r="H959" s="9" t="str">
        <x:v>OG05</x:v>
      </x:c>
      <x:c r="I959" s="17" t="str">
        <x:v>Primary provenance</x:v>
      </x:c>
      <x:c r="J959" s="17" t="str">
        <x:v>primary originals, hashes, keys and access history reconcile</x:v>
      </x:c>
      <x:c r="K959" s="17" t="str">
        <x:v>Primary custody</x:v>
      </x:c>
      <x:c r="L959" s="9" t="n">
        <x:v>0</x:v>
      </x:c>
      <x:c r="M959" s="9" t="n">
        <x:v>0</x:v>
      </x:c>
      <x:c r="N959" s="9" t="str">
        <x:v>OPEN / UNACCEPTED</x:v>
      </x:c>
      <x:c r="O959" s="9" t="n">
        <x:f>COUNTIFS($A$7:$A$1734,A959)</x:f>
        <x:v>1</x:v>
      </x:c>
    </x:row>
    <x:row r="960">
      <x:c r="A960" s="9" t="str">
        <x:v>EV-AR-HC-A-C-TECH-3-B2-RCN-G0-OG06</x:v>
      </x:c>
      <x:c r="B960" s="9" t="str">
        <x:v>EV-AR-HC-A-C-TECH-3-B2-RCN-G0</x:v>
      </x:c>
      <x:c r="C960" s="9" t="str">
        <x:v>AR-HC-A-C-TECH-3-B2-RCN-G0</x:v>
      </x:c>
      <x:c r="D960" s="9" t="str">
        <x:v>HC-A-C-TECH-3</x:v>
      </x:c>
      <x:c r="E960" s="9" t="str">
        <x:v>HC-A-C</x:v>
      </x:c>
      <x:c r="F960" s="9" t="str">
        <x:v>B2</x:v>
      </x:c>
      <x:c r="G960" s="9" t="str">
        <x:v>RCN</x:v>
      </x:c>
      <x:c r="H960" s="9" t="str">
        <x:v>OG06</x:v>
      </x:c>
      <x:c r="I960" s="17" t="str">
        <x:v>Witness provenance</x:v>
      </x:c>
      <x:c r="J960" s="17" t="str">
        <x:v>unlike witness originals, hashes, keys and access history reconcile</x:v>
      </x:c>
      <x:c r="K960" s="17" t="str">
        <x:v>Witness custody</x:v>
      </x:c>
      <x:c r="L960" s="9" t="n">
        <x:v>0</x:v>
      </x:c>
      <x:c r="M960" s="9" t="n">
        <x:v>0</x:v>
      </x:c>
      <x:c r="N960" s="9" t="str">
        <x:v>OPEN / UNACCEPTED</x:v>
      </x:c>
      <x:c r="O960" s="9" t="n">
        <x:f>COUNTIFS($A$7:$A$1734,A960)</x:f>
        <x:v>1</x:v>
      </x:c>
    </x:row>
    <x:row r="961">
      <x:c r="A961" s="9" t="str">
        <x:v>EV-AR-HC-A-C-TECH-3-B2-RCN-G0-OG07</x:v>
      </x:c>
      <x:c r="B961" s="9" t="str">
        <x:v>EV-AR-HC-A-C-TECH-3-B2-RCN-G0</x:v>
      </x:c>
      <x:c r="C961" s="9" t="str">
        <x:v>AR-HC-A-C-TECH-3-B2-RCN-G0</x:v>
      </x:c>
      <x:c r="D961" s="9" t="str">
        <x:v>HC-A-C-TECH-3</x:v>
      </x:c>
      <x:c r="E961" s="9" t="str">
        <x:v>HC-A-C</x:v>
      </x:c>
      <x:c r="F961" s="9" t="str">
        <x:v>B2</x:v>
      </x:c>
      <x:c r="G961" s="9" t="str">
        <x:v>RCN</x:v>
      </x:c>
      <x:c r="H961" s="9" t="str">
        <x:v>OG07</x:v>
      </x:c>
      <x:c r="I961" s="17" t="str">
        <x:v>Receiver denominator</x:v>
      </x:c>
      <x:c r="J961" s="17" t="str">
        <x:v>population, quantity, duration and exclusions match the frozen receipt</x:v>
      </x:c>
      <x:c r="K961" s="17" t="str">
        <x:v>Receiver court</x:v>
      </x:c>
      <x:c r="L961" s="9" t="n">
        <x:v>0</x:v>
      </x:c>
      <x:c r="M961" s="9" t="n">
        <x:v>0</x:v>
      </x:c>
      <x:c r="N961" s="9" t="str">
        <x:v>OPEN / UNACCEPTED</x:v>
      </x:c>
      <x:c r="O961" s="9" t="n">
        <x:f>COUNTIFS($A$7:$A$1734,A961)</x:f>
        <x:v>1</x:v>
      </x:c>
    </x:row>
    <x:row r="962">
      <x:c r="A962" s="9" t="str">
        <x:v>EV-AR-HC-A-C-TECH-3-B2-RCN-G0-OG08</x:v>
      </x:c>
      <x:c r="B962" s="9" t="str">
        <x:v>EV-AR-HC-A-C-TECH-3-B2-RCN-G0</x:v>
      </x:c>
      <x:c r="C962" s="9" t="str">
        <x:v>AR-HC-A-C-TECH-3-B2-RCN-G0</x:v>
      </x:c>
      <x:c r="D962" s="9" t="str">
        <x:v>HC-A-C-TECH-3</x:v>
      </x:c>
      <x:c r="E962" s="9" t="str">
        <x:v>HC-A-C</x:v>
      </x:c>
      <x:c r="F962" s="9" t="str">
        <x:v>B2</x:v>
      </x:c>
      <x:c r="G962" s="9" t="str">
        <x:v>RCN</x:v>
      </x:c>
      <x:c r="H962" s="9" t="str">
        <x:v>OG08</x:v>
      </x:c>
      <x:c r="I962" s="17" t="str">
        <x:v>Environment and boundary</x:v>
      </x:c>
      <x:c r="J962" s="17" t="str">
        <x:v>registered weather, water, ground, inlet and outlet states are retained</x:v>
      </x:c>
      <x:c r="K962" s="17" t="str">
        <x:v>Boundary court</x:v>
      </x:c>
      <x:c r="L962" s="9" t="n">
        <x:v>0</x:v>
      </x:c>
      <x:c r="M962" s="9" t="n">
        <x:v>0</x:v>
      </x:c>
      <x:c r="N962" s="9" t="str">
        <x:v>OPEN / UNACCEPTED</x:v>
      </x:c>
      <x:c r="O962" s="9" t="n">
        <x:f>COUNTIFS($A$7:$A$1734,A962)</x:f>
        <x:v>1</x:v>
      </x:c>
    </x:row>
    <x:row r="963">
      <x:c r="A963" s="9" t="str">
        <x:v>EV-AR-HC-A-C-TECH-3-B2-RCN-G0-OG09</x:v>
      </x:c>
      <x:c r="B963" s="9" t="str">
        <x:v>EV-AR-HC-A-C-TECH-3-B2-RCN-G0</x:v>
      </x:c>
      <x:c r="C963" s="9" t="str">
        <x:v>AR-HC-A-C-TECH-3-B2-RCN-G0</x:v>
      </x:c>
      <x:c r="D963" s="9" t="str">
        <x:v>HC-A-C-TECH-3</x:v>
      </x:c>
      <x:c r="E963" s="9" t="str">
        <x:v>HC-A-C</x:v>
      </x:c>
      <x:c r="F963" s="9" t="str">
        <x:v>B2</x:v>
      </x:c>
      <x:c r="G963" s="9" t="str">
        <x:v>RCN</x:v>
      </x:c>
      <x:c r="H963" s="9" t="str">
        <x:v>OG09</x:v>
      </x:c>
      <x:c r="I963" s="17" t="str">
        <x:v>Intervention account</x:v>
      </x:c>
      <x:c r="J963" s="17" t="str">
        <x:v>all stop, rescue, operator and public-protection actions remain timestamped</x:v>
      </x:c>
      <x:c r="K963" s="17" t="str">
        <x:v>Safety record court</x:v>
      </x:c>
      <x:c r="L963" s="9" t="n">
        <x:v>0</x:v>
      </x:c>
      <x:c r="M963" s="9" t="n">
        <x:v>0</x:v>
      </x:c>
      <x:c r="N963" s="9" t="str">
        <x:v>OPEN / UNACCEPTED</x:v>
      </x:c>
      <x:c r="O963" s="9" t="n">
        <x:f>COUNTIFS($A$7:$A$1734,A963)</x:f>
        <x:v>1</x:v>
      </x:c>
    </x:row>
    <x:row r="964">
      <x:c r="A964" s="9" t="str">
        <x:v>EV-AR-HC-A-C-TECH-3-B2-RCN-G0-OG10</x:v>
      </x:c>
      <x:c r="B964" s="9" t="str">
        <x:v>EV-AR-HC-A-C-TECH-3-B2-RCN-G0</x:v>
      </x:c>
      <x:c r="C964" s="9" t="str">
        <x:v>AR-HC-A-C-TECH-3-B2-RCN-G0</x:v>
      </x:c>
      <x:c r="D964" s="9" t="str">
        <x:v>HC-A-C-TECH-3</x:v>
      </x:c>
      <x:c r="E964" s="9" t="str">
        <x:v>HC-A-C</x:v>
      </x:c>
      <x:c r="F964" s="9" t="str">
        <x:v>B2</x:v>
      </x:c>
      <x:c r="G964" s="9" t="str">
        <x:v>RCN</x:v>
      </x:c>
      <x:c r="H964" s="9" t="str">
        <x:v>OG10</x:v>
      </x:c>
      <x:c r="I964" s="17" t="str">
        <x:v>Uncertainty statement</x:v>
      </x:c>
      <x:c r="J964" s="17" t="str">
        <x:v>range, censoring, resolution and correlation are declared before judgment</x:v>
      </x:c>
      <x:c r="K964" s="17" t="str">
        <x:v>Uncertainty authority</x:v>
      </x:c>
      <x:c r="L964" s="9" t="n">
        <x:v>0</x:v>
      </x:c>
      <x:c r="M964" s="9" t="n">
        <x:v>0</x:v>
      </x:c>
      <x:c r="N964" s="9" t="str">
        <x:v>OPEN / UNACCEPTED</x:v>
      </x:c>
      <x:c r="O964" s="9" t="n">
        <x:f>COUNTIFS($A$7:$A$1734,A964)</x:f>
        <x:v>1</x:v>
      </x:c>
    </x:row>
    <x:row r="965">
      <x:c r="A965" s="9" t="str">
        <x:v>EV-AR-HC-A-C-TECH-3-B2-RCN-G0-OG11</x:v>
      </x:c>
      <x:c r="B965" s="9" t="str">
        <x:v>EV-AR-HC-A-C-TECH-3-B2-RCN-G0</x:v>
      </x:c>
      <x:c r="C965" s="9" t="str">
        <x:v>AR-HC-A-C-TECH-3-B2-RCN-G0</x:v>
      </x:c>
      <x:c r="D965" s="9" t="str">
        <x:v>HC-A-C-TECH-3</x:v>
      </x:c>
      <x:c r="E965" s="9" t="str">
        <x:v>HC-A-C</x:v>
      </x:c>
      <x:c r="F965" s="9" t="str">
        <x:v>B2</x:v>
      </x:c>
      <x:c r="G965" s="9" t="str">
        <x:v>RCN</x:v>
      </x:c>
      <x:c r="H965" s="9" t="str">
        <x:v>OG11</x:v>
      </x:c>
      <x:c r="I965" s="17" t="str">
        <x:v>Contradiction preservation</x:v>
      </x:c>
      <x:c r="J965" s="17" t="str">
        <x:v>primary-witness disagreement remains explicit and is never averaged away</x:v>
      </x:c>
      <x:c r="K965" s="17" t="str">
        <x:v>Dissent registrar</x:v>
      </x:c>
      <x:c r="L965" s="9" t="n">
        <x:v>0</x:v>
      </x:c>
      <x:c r="M965" s="9" t="n">
        <x:v>0</x:v>
      </x:c>
      <x:c r="N965" s="9" t="str">
        <x:v>OPEN / UNACCEPTED</x:v>
      </x:c>
      <x:c r="O965" s="9" t="n">
        <x:f>COUNTIFS($A$7:$A$1734,A965)</x:f>
        <x:v>1</x:v>
      </x:c>
    </x:row>
    <x:row r="966">
      <x:c r="A966" s="9" t="str">
        <x:v>EV-AR-HC-A-C-TECH-3-B2-RCN-G0-OG12</x:v>
      </x:c>
      <x:c r="B966" s="9" t="str">
        <x:v>EV-AR-HC-A-C-TECH-3-B2-RCN-G0</x:v>
      </x:c>
      <x:c r="C966" s="9" t="str">
        <x:v>AR-HC-A-C-TECH-3-B2-RCN-G0</x:v>
      </x:c>
      <x:c r="D966" s="9" t="str">
        <x:v>HC-A-C-TECH-3</x:v>
      </x:c>
      <x:c r="E966" s="9" t="str">
        <x:v>HC-A-C</x:v>
      </x:c>
      <x:c r="F966" s="9" t="str">
        <x:v>B2</x:v>
      </x:c>
      <x:c r="G966" s="9" t="str">
        <x:v>RCN</x:v>
      </x:c>
      <x:c r="H966" s="9" t="str">
        <x:v>OG12</x:v>
      </x:c>
      <x:c r="I966" s="17" t="str">
        <x:v>Independent replay</x:v>
      </x:c>
      <x:c r="J966" s="17" t="str">
        <x:v>a separated reader reconstructs the registered observables from sealed originals</x:v>
      </x:c>
      <x:c r="K966" s="17" t="str">
        <x:v>Replay court</x:v>
      </x:c>
      <x:c r="L966" s="9" t="n">
        <x:v>0</x:v>
      </x:c>
      <x:c r="M966" s="9" t="n">
        <x:v>0</x:v>
      </x:c>
      <x:c r="N966" s="9" t="str">
        <x:v>OPEN / UNACCEPTED</x:v>
      </x:c>
      <x:c r="O966" s="9" t="n">
        <x:f>COUNTIFS($A$7:$A$1734,A966)</x:f>
        <x:v>1</x:v>
      </x:c>
    </x:row>
    <x:row r="967">
      <x:c r="A967" s="9" t="str">
        <x:v>EV-AR-HC-A-C-TECH-1-B2-INT-G0-OG01</x:v>
      </x:c>
      <x:c r="B967" s="9" t="str">
        <x:v>EV-AR-HC-A-C-TECH-1-B2-INT-G0</x:v>
      </x:c>
      <x:c r="C967" s="9" t="str">
        <x:v>AR-HC-A-C-TECH-1-B2-INT-G0</x:v>
      </x:c>
      <x:c r="D967" s="9" t="str">
        <x:v>HC-A-C-TECH-1</x:v>
      </x:c>
      <x:c r="E967" s="9" t="str">
        <x:v>HC-A-C</x:v>
      </x:c>
      <x:c r="F967" s="9" t="str">
        <x:v>B2</x:v>
      </x:c>
      <x:c r="G967" s="9" t="str">
        <x:v>INT</x:v>
      </x:c>
      <x:c r="H967" s="9" t="str">
        <x:v>OG01</x:v>
      </x:c>
      <x:c r="I967" s="17" t="str">
        <x:v>Serial and event identity</x:v>
      </x:c>
      <x:c r="J967" s="17" t="str">
        <x:v>record resolves to the issued serial, generation and physical start</x:v>
      </x:c>
      <x:c r="K967" s="17" t="str">
        <x:v>Observation court</x:v>
      </x:c>
      <x:c r="L967" s="9" t="n">
        <x:v>0</x:v>
      </x:c>
      <x:c r="M967" s="9" t="n">
        <x:v>0</x:v>
      </x:c>
      <x:c r="N967" s="9" t="str">
        <x:v>OPEN / UNACCEPTED</x:v>
      </x:c>
      <x:c r="O967" s="9" t="n">
        <x:f>COUNTIFS($A$7:$A$1734,A967)</x:f>
        <x:v>1</x:v>
      </x:c>
    </x:row>
    <x:row r="968">
      <x:c r="A968" s="9" t="str">
        <x:v>EV-AR-HC-A-C-TECH-1-B2-INT-G0-OG02</x:v>
      </x:c>
      <x:c r="B968" s="9" t="str">
        <x:v>EV-AR-HC-A-C-TECH-1-B2-INT-G0</x:v>
      </x:c>
      <x:c r="C968" s="9" t="str">
        <x:v>AR-HC-A-C-TECH-1-B2-INT-G0</x:v>
      </x:c>
      <x:c r="D968" s="9" t="str">
        <x:v>HC-A-C-TECH-1</x:v>
      </x:c>
      <x:c r="E968" s="9" t="str">
        <x:v>HC-A-C</x:v>
      </x:c>
      <x:c r="F968" s="9" t="str">
        <x:v>B2</x:v>
      </x:c>
      <x:c r="G968" s="9" t="str">
        <x:v>INT</x:v>
      </x:c>
      <x:c r="H968" s="9" t="str">
        <x:v>OG02</x:v>
      </x:c>
      <x:c r="I968" s="17" t="str">
        <x:v>Time ancestry</x:v>
      </x:c>
      <x:c r="J968" s="17" t="str">
        <x:v>primary, witness and public event clocks retain declared offsets and drift</x:v>
      </x:c>
      <x:c r="K968" s="17" t="str">
        <x:v>Time authority</x:v>
      </x:c>
      <x:c r="L968" s="9" t="n">
        <x:v>0</x:v>
      </x:c>
      <x:c r="M968" s="9" t="n">
        <x:v>0</x:v>
      </x:c>
      <x:c r="N968" s="9" t="str">
        <x:v>OPEN / UNACCEPTED</x:v>
      </x:c>
      <x:c r="O968" s="9" t="n">
        <x:f>COUNTIFS($A$7:$A$1734,A968)</x:f>
        <x:v>1</x:v>
      </x:c>
    </x:row>
    <x:row r="969">
      <x:c r="A969" s="9" t="str">
        <x:v>EV-AR-HC-A-C-TECH-1-B2-INT-G0-OG03</x:v>
      </x:c>
      <x:c r="B969" s="9" t="str">
        <x:v>EV-AR-HC-A-C-TECH-1-B2-INT-G0</x:v>
      </x:c>
      <x:c r="C969" s="9" t="str">
        <x:v>AR-HC-A-C-TECH-1-B2-INT-G0</x:v>
      </x:c>
      <x:c r="D969" s="9" t="str">
        <x:v>HC-A-C-TECH-1</x:v>
      </x:c>
      <x:c r="E969" s="9" t="str">
        <x:v>HC-A-C</x:v>
      </x:c>
      <x:c r="F969" s="9" t="str">
        <x:v>B2</x:v>
      </x:c>
      <x:c r="G969" s="9" t="str">
        <x:v>INT</x:v>
      </x:c>
      <x:c r="H969" s="9" t="str">
        <x:v>OG03</x:v>
      </x:c>
      <x:c r="I969" s="17" t="str">
        <x:v>Calibration ancestry</x:v>
      </x:c>
      <x:c r="J969" s="17" t="str">
        <x:v>all reference, range and uncertainty states cover the live interval</x:v>
      </x:c>
      <x:c r="K969" s="17" t="str">
        <x:v>Metrology courts</x:v>
      </x:c>
      <x:c r="L969" s="9" t="n">
        <x:v>0</x:v>
      </x:c>
      <x:c r="M969" s="9" t="n">
        <x:v>0</x:v>
      </x:c>
      <x:c r="N969" s="9" t="str">
        <x:v>OPEN / UNACCEPTED</x:v>
      </x:c>
      <x:c r="O969" s="9" t="n">
        <x:f>COUNTIFS($A$7:$A$1734,A969)</x:f>
        <x:v>1</x:v>
      </x:c>
    </x:row>
    <x:row r="970">
      <x:c r="A970" s="9" t="str">
        <x:v>EV-AR-HC-A-C-TECH-1-B2-INT-G0-OG04</x:v>
      </x:c>
      <x:c r="B970" s="9" t="str">
        <x:v>EV-AR-HC-A-C-TECH-1-B2-INT-G0</x:v>
      </x:c>
      <x:c r="C970" s="9" t="str">
        <x:v>AR-HC-A-C-TECH-1-B2-INT-G0</x:v>
      </x:c>
      <x:c r="D970" s="9" t="str">
        <x:v>HC-A-C-TECH-1</x:v>
      </x:c>
      <x:c r="E970" s="9" t="str">
        <x:v>HC-A-C</x:v>
      </x:c>
      <x:c r="F970" s="9" t="str">
        <x:v>B2</x:v>
      </x:c>
      <x:c r="G970" s="9" t="str">
        <x:v>INT</x:v>
      </x:c>
      <x:c r="H970" s="9" t="str">
        <x:v>OG04</x:v>
      </x:c>
      <x:c r="I970" s="17" t="str">
        <x:v>Raw completeness</x:v>
      </x:c>
      <x:c r="J970" s="17" t="str">
        <x:v>missingness is enumerated without imputation or outcome-conditioned deletion</x:v>
      </x:c>
      <x:c r="K970" s="17" t="str">
        <x:v>Observation court</x:v>
      </x:c>
      <x:c r="L970" s="9" t="n">
        <x:v>0</x:v>
      </x:c>
      <x:c r="M970" s="9" t="n">
        <x:v>0</x:v>
      </x:c>
      <x:c r="N970" s="9" t="str">
        <x:v>OPEN / UNACCEPTED</x:v>
      </x:c>
      <x:c r="O970" s="9" t="n">
        <x:f>COUNTIFS($A$7:$A$1734,A970)</x:f>
        <x:v>1</x:v>
      </x:c>
    </x:row>
    <x:row r="971">
      <x:c r="A971" s="9" t="str">
        <x:v>EV-AR-HC-A-C-TECH-1-B2-INT-G0-OG05</x:v>
      </x:c>
      <x:c r="B971" s="9" t="str">
        <x:v>EV-AR-HC-A-C-TECH-1-B2-INT-G0</x:v>
      </x:c>
      <x:c r="C971" s="9" t="str">
        <x:v>AR-HC-A-C-TECH-1-B2-INT-G0</x:v>
      </x:c>
      <x:c r="D971" s="9" t="str">
        <x:v>HC-A-C-TECH-1</x:v>
      </x:c>
      <x:c r="E971" s="9" t="str">
        <x:v>HC-A-C</x:v>
      </x:c>
      <x:c r="F971" s="9" t="str">
        <x:v>B2</x:v>
      </x:c>
      <x:c r="G971" s="9" t="str">
        <x:v>INT</x:v>
      </x:c>
      <x:c r="H971" s="9" t="str">
        <x:v>OG05</x:v>
      </x:c>
      <x:c r="I971" s="17" t="str">
        <x:v>Primary provenance</x:v>
      </x:c>
      <x:c r="J971" s="17" t="str">
        <x:v>primary originals, hashes, keys and access history reconcile</x:v>
      </x:c>
      <x:c r="K971" s="17" t="str">
        <x:v>Primary custody</x:v>
      </x:c>
      <x:c r="L971" s="9" t="n">
        <x:v>0</x:v>
      </x:c>
      <x:c r="M971" s="9" t="n">
        <x:v>0</x:v>
      </x:c>
      <x:c r="N971" s="9" t="str">
        <x:v>OPEN / UNACCEPTED</x:v>
      </x:c>
      <x:c r="O971" s="9" t="n">
        <x:f>COUNTIFS($A$7:$A$1734,A971)</x:f>
        <x:v>1</x:v>
      </x:c>
    </x:row>
    <x:row r="972">
      <x:c r="A972" s="9" t="str">
        <x:v>EV-AR-HC-A-C-TECH-1-B2-INT-G0-OG06</x:v>
      </x:c>
      <x:c r="B972" s="9" t="str">
        <x:v>EV-AR-HC-A-C-TECH-1-B2-INT-G0</x:v>
      </x:c>
      <x:c r="C972" s="9" t="str">
        <x:v>AR-HC-A-C-TECH-1-B2-INT-G0</x:v>
      </x:c>
      <x:c r="D972" s="9" t="str">
        <x:v>HC-A-C-TECH-1</x:v>
      </x:c>
      <x:c r="E972" s="9" t="str">
        <x:v>HC-A-C</x:v>
      </x:c>
      <x:c r="F972" s="9" t="str">
        <x:v>B2</x:v>
      </x:c>
      <x:c r="G972" s="9" t="str">
        <x:v>INT</x:v>
      </x:c>
      <x:c r="H972" s="9" t="str">
        <x:v>OG06</x:v>
      </x:c>
      <x:c r="I972" s="17" t="str">
        <x:v>Witness provenance</x:v>
      </x:c>
      <x:c r="J972" s="17" t="str">
        <x:v>unlike witness originals, hashes, keys and access history reconcile</x:v>
      </x:c>
      <x:c r="K972" s="17" t="str">
        <x:v>Witness custody</x:v>
      </x:c>
      <x:c r="L972" s="9" t="n">
        <x:v>0</x:v>
      </x:c>
      <x:c r="M972" s="9" t="n">
        <x:v>0</x:v>
      </x:c>
      <x:c r="N972" s="9" t="str">
        <x:v>OPEN / UNACCEPTED</x:v>
      </x:c>
      <x:c r="O972" s="9" t="n">
        <x:f>COUNTIFS($A$7:$A$1734,A972)</x:f>
        <x:v>1</x:v>
      </x:c>
    </x:row>
    <x:row r="973">
      <x:c r="A973" s="9" t="str">
        <x:v>EV-AR-HC-A-C-TECH-1-B2-INT-G0-OG07</x:v>
      </x:c>
      <x:c r="B973" s="9" t="str">
        <x:v>EV-AR-HC-A-C-TECH-1-B2-INT-G0</x:v>
      </x:c>
      <x:c r="C973" s="9" t="str">
        <x:v>AR-HC-A-C-TECH-1-B2-INT-G0</x:v>
      </x:c>
      <x:c r="D973" s="9" t="str">
        <x:v>HC-A-C-TECH-1</x:v>
      </x:c>
      <x:c r="E973" s="9" t="str">
        <x:v>HC-A-C</x:v>
      </x:c>
      <x:c r="F973" s="9" t="str">
        <x:v>B2</x:v>
      </x:c>
      <x:c r="G973" s="9" t="str">
        <x:v>INT</x:v>
      </x:c>
      <x:c r="H973" s="9" t="str">
        <x:v>OG07</x:v>
      </x:c>
      <x:c r="I973" s="17" t="str">
        <x:v>Receiver denominator</x:v>
      </x:c>
      <x:c r="J973" s="17" t="str">
        <x:v>population, quantity, duration and exclusions match the frozen receipt</x:v>
      </x:c>
      <x:c r="K973" s="17" t="str">
        <x:v>Receiver court</x:v>
      </x:c>
      <x:c r="L973" s="9" t="n">
        <x:v>0</x:v>
      </x:c>
      <x:c r="M973" s="9" t="n">
        <x:v>0</x:v>
      </x:c>
      <x:c r="N973" s="9" t="str">
        <x:v>OPEN / UNACCEPTED</x:v>
      </x:c>
      <x:c r="O973" s="9" t="n">
        <x:f>COUNTIFS($A$7:$A$1734,A973)</x:f>
        <x:v>1</x:v>
      </x:c>
    </x:row>
    <x:row r="974">
      <x:c r="A974" s="9" t="str">
        <x:v>EV-AR-HC-A-C-TECH-1-B2-INT-G0-OG08</x:v>
      </x:c>
      <x:c r="B974" s="9" t="str">
        <x:v>EV-AR-HC-A-C-TECH-1-B2-INT-G0</x:v>
      </x:c>
      <x:c r="C974" s="9" t="str">
        <x:v>AR-HC-A-C-TECH-1-B2-INT-G0</x:v>
      </x:c>
      <x:c r="D974" s="9" t="str">
        <x:v>HC-A-C-TECH-1</x:v>
      </x:c>
      <x:c r="E974" s="9" t="str">
        <x:v>HC-A-C</x:v>
      </x:c>
      <x:c r="F974" s="9" t="str">
        <x:v>B2</x:v>
      </x:c>
      <x:c r="G974" s="9" t="str">
        <x:v>INT</x:v>
      </x:c>
      <x:c r="H974" s="9" t="str">
        <x:v>OG08</x:v>
      </x:c>
      <x:c r="I974" s="17" t="str">
        <x:v>Environment and boundary</x:v>
      </x:c>
      <x:c r="J974" s="17" t="str">
        <x:v>registered weather, water, ground, inlet and outlet states are retained</x:v>
      </x:c>
      <x:c r="K974" s="17" t="str">
        <x:v>Boundary court</x:v>
      </x:c>
      <x:c r="L974" s="9" t="n">
        <x:v>0</x:v>
      </x:c>
      <x:c r="M974" s="9" t="n">
        <x:v>0</x:v>
      </x:c>
      <x:c r="N974" s="9" t="str">
        <x:v>OPEN / UNACCEPTED</x:v>
      </x:c>
      <x:c r="O974" s="9" t="n">
        <x:f>COUNTIFS($A$7:$A$1734,A974)</x:f>
        <x:v>1</x:v>
      </x:c>
    </x:row>
    <x:row r="975">
      <x:c r="A975" s="9" t="str">
        <x:v>EV-AR-HC-A-C-TECH-1-B2-INT-G0-OG09</x:v>
      </x:c>
      <x:c r="B975" s="9" t="str">
        <x:v>EV-AR-HC-A-C-TECH-1-B2-INT-G0</x:v>
      </x:c>
      <x:c r="C975" s="9" t="str">
        <x:v>AR-HC-A-C-TECH-1-B2-INT-G0</x:v>
      </x:c>
      <x:c r="D975" s="9" t="str">
        <x:v>HC-A-C-TECH-1</x:v>
      </x:c>
      <x:c r="E975" s="9" t="str">
        <x:v>HC-A-C</x:v>
      </x:c>
      <x:c r="F975" s="9" t="str">
        <x:v>B2</x:v>
      </x:c>
      <x:c r="G975" s="9" t="str">
        <x:v>INT</x:v>
      </x:c>
      <x:c r="H975" s="9" t="str">
        <x:v>OG09</x:v>
      </x:c>
      <x:c r="I975" s="17" t="str">
        <x:v>Intervention account</x:v>
      </x:c>
      <x:c r="J975" s="17" t="str">
        <x:v>all stop, rescue, operator and public-protection actions remain timestamped</x:v>
      </x:c>
      <x:c r="K975" s="17" t="str">
        <x:v>Safety record court</x:v>
      </x:c>
      <x:c r="L975" s="9" t="n">
        <x:v>0</x:v>
      </x:c>
      <x:c r="M975" s="9" t="n">
        <x:v>0</x:v>
      </x:c>
      <x:c r="N975" s="9" t="str">
        <x:v>OPEN / UNACCEPTED</x:v>
      </x:c>
      <x:c r="O975" s="9" t="n">
        <x:f>COUNTIFS($A$7:$A$1734,A975)</x:f>
        <x:v>1</x:v>
      </x:c>
    </x:row>
    <x:row r="976">
      <x:c r="A976" s="9" t="str">
        <x:v>EV-AR-HC-A-C-TECH-1-B2-INT-G0-OG10</x:v>
      </x:c>
      <x:c r="B976" s="9" t="str">
        <x:v>EV-AR-HC-A-C-TECH-1-B2-INT-G0</x:v>
      </x:c>
      <x:c r="C976" s="9" t="str">
        <x:v>AR-HC-A-C-TECH-1-B2-INT-G0</x:v>
      </x:c>
      <x:c r="D976" s="9" t="str">
        <x:v>HC-A-C-TECH-1</x:v>
      </x:c>
      <x:c r="E976" s="9" t="str">
        <x:v>HC-A-C</x:v>
      </x:c>
      <x:c r="F976" s="9" t="str">
        <x:v>B2</x:v>
      </x:c>
      <x:c r="G976" s="9" t="str">
        <x:v>INT</x:v>
      </x:c>
      <x:c r="H976" s="9" t="str">
        <x:v>OG10</x:v>
      </x:c>
      <x:c r="I976" s="17" t="str">
        <x:v>Uncertainty statement</x:v>
      </x:c>
      <x:c r="J976" s="17" t="str">
        <x:v>range, censoring, resolution and correlation are declared before judgment</x:v>
      </x:c>
      <x:c r="K976" s="17" t="str">
        <x:v>Uncertainty authority</x:v>
      </x:c>
      <x:c r="L976" s="9" t="n">
        <x:v>0</x:v>
      </x:c>
      <x:c r="M976" s="9" t="n">
        <x:v>0</x:v>
      </x:c>
      <x:c r="N976" s="9" t="str">
        <x:v>OPEN / UNACCEPTED</x:v>
      </x:c>
      <x:c r="O976" s="9" t="n">
        <x:f>COUNTIFS($A$7:$A$1734,A976)</x:f>
        <x:v>1</x:v>
      </x:c>
    </x:row>
    <x:row r="977">
      <x:c r="A977" s="9" t="str">
        <x:v>EV-AR-HC-A-C-TECH-1-B2-INT-G0-OG11</x:v>
      </x:c>
      <x:c r="B977" s="9" t="str">
        <x:v>EV-AR-HC-A-C-TECH-1-B2-INT-G0</x:v>
      </x:c>
      <x:c r="C977" s="9" t="str">
        <x:v>AR-HC-A-C-TECH-1-B2-INT-G0</x:v>
      </x:c>
      <x:c r="D977" s="9" t="str">
        <x:v>HC-A-C-TECH-1</x:v>
      </x:c>
      <x:c r="E977" s="9" t="str">
        <x:v>HC-A-C</x:v>
      </x:c>
      <x:c r="F977" s="9" t="str">
        <x:v>B2</x:v>
      </x:c>
      <x:c r="G977" s="9" t="str">
        <x:v>INT</x:v>
      </x:c>
      <x:c r="H977" s="9" t="str">
        <x:v>OG11</x:v>
      </x:c>
      <x:c r="I977" s="17" t="str">
        <x:v>Contradiction preservation</x:v>
      </x:c>
      <x:c r="J977" s="17" t="str">
        <x:v>primary-witness disagreement remains explicit and is never averaged away</x:v>
      </x:c>
      <x:c r="K977" s="17" t="str">
        <x:v>Dissent registrar</x:v>
      </x:c>
      <x:c r="L977" s="9" t="n">
        <x:v>0</x:v>
      </x:c>
      <x:c r="M977" s="9" t="n">
        <x:v>0</x:v>
      </x:c>
      <x:c r="N977" s="9" t="str">
        <x:v>OPEN / UNACCEPTED</x:v>
      </x:c>
      <x:c r="O977" s="9" t="n">
        <x:f>COUNTIFS($A$7:$A$1734,A977)</x:f>
        <x:v>1</x:v>
      </x:c>
    </x:row>
    <x:row r="978">
      <x:c r="A978" s="9" t="str">
        <x:v>EV-AR-HC-A-C-TECH-1-B2-INT-G0-OG12</x:v>
      </x:c>
      <x:c r="B978" s="9" t="str">
        <x:v>EV-AR-HC-A-C-TECH-1-B2-INT-G0</x:v>
      </x:c>
      <x:c r="C978" s="9" t="str">
        <x:v>AR-HC-A-C-TECH-1-B2-INT-G0</x:v>
      </x:c>
      <x:c r="D978" s="9" t="str">
        <x:v>HC-A-C-TECH-1</x:v>
      </x:c>
      <x:c r="E978" s="9" t="str">
        <x:v>HC-A-C</x:v>
      </x:c>
      <x:c r="F978" s="9" t="str">
        <x:v>B2</x:v>
      </x:c>
      <x:c r="G978" s="9" t="str">
        <x:v>INT</x:v>
      </x:c>
      <x:c r="H978" s="9" t="str">
        <x:v>OG12</x:v>
      </x:c>
      <x:c r="I978" s="17" t="str">
        <x:v>Independent replay</x:v>
      </x:c>
      <x:c r="J978" s="17" t="str">
        <x:v>a separated reader reconstructs the registered observables from sealed originals</x:v>
      </x:c>
      <x:c r="K978" s="17" t="str">
        <x:v>Replay court</x:v>
      </x:c>
      <x:c r="L978" s="9" t="n">
        <x:v>0</x:v>
      </x:c>
      <x:c r="M978" s="9" t="n">
        <x:v>0</x:v>
      </x:c>
      <x:c r="N978" s="9" t="str">
        <x:v>OPEN / UNACCEPTED</x:v>
      </x:c>
      <x:c r="O978" s="9" t="n">
        <x:f>COUNTIFS($A$7:$A$1734,A978)</x:f>
        <x:v>1</x:v>
      </x:c>
    </x:row>
    <x:row r="979">
      <x:c r="A979" s="9" t="str">
        <x:v>EV-AR-LF-B-A-TECH-1-B1-INT-G0-OG01</x:v>
      </x:c>
      <x:c r="B979" s="9" t="str">
        <x:v>EV-AR-LF-B-A-TECH-1-B1-INT-G0</x:v>
      </x:c>
      <x:c r="C979" s="9" t="str">
        <x:v>AR-LF-B-A-TECH-1-B1-INT-G0</x:v>
      </x:c>
      <x:c r="D979" s="9" t="str">
        <x:v>LF-B-A-TECH-1</x:v>
      </x:c>
      <x:c r="E979" s="9" t="str">
        <x:v>LF-B-A</x:v>
      </x:c>
      <x:c r="F979" s="9" t="str">
        <x:v>B1</x:v>
      </x:c>
      <x:c r="G979" s="9" t="str">
        <x:v>INT</x:v>
      </x:c>
      <x:c r="H979" s="9" t="str">
        <x:v>OG01</x:v>
      </x:c>
      <x:c r="I979" s="17" t="str">
        <x:v>Serial and event identity</x:v>
      </x:c>
      <x:c r="J979" s="17" t="str">
        <x:v>record resolves to the issued serial, generation and physical start</x:v>
      </x:c>
      <x:c r="K979" s="17" t="str">
        <x:v>Observation court</x:v>
      </x:c>
      <x:c r="L979" s="9" t="n">
        <x:v>0</x:v>
      </x:c>
      <x:c r="M979" s="9" t="n">
        <x:v>0</x:v>
      </x:c>
      <x:c r="N979" s="9" t="str">
        <x:v>OPEN / UNACCEPTED</x:v>
      </x:c>
      <x:c r="O979" s="9" t="n">
        <x:f>COUNTIFS($A$7:$A$1734,A979)</x:f>
        <x:v>1</x:v>
      </x:c>
    </x:row>
    <x:row r="980">
      <x:c r="A980" s="9" t="str">
        <x:v>EV-AR-LF-B-A-TECH-1-B1-INT-G0-OG02</x:v>
      </x:c>
      <x:c r="B980" s="9" t="str">
        <x:v>EV-AR-LF-B-A-TECH-1-B1-INT-G0</x:v>
      </x:c>
      <x:c r="C980" s="9" t="str">
        <x:v>AR-LF-B-A-TECH-1-B1-INT-G0</x:v>
      </x:c>
      <x:c r="D980" s="9" t="str">
        <x:v>LF-B-A-TECH-1</x:v>
      </x:c>
      <x:c r="E980" s="9" t="str">
        <x:v>LF-B-A</x:v>
      </x:c>
      <x:c r="F980" s="9" t="str">
        <x:v>B1</x:v>
      </x:c>
      <x:c r="G980" s="9" t="str">
        <x:v>INT</x:v>
      </x:c>
      <x:c r="H980" s="9" t="str">
        <x:v>OG02</x:v>
      </x:c>
      <x:c r="I980" s="17" t="str">
        <x:v>Time ancestry</x:v>
      </x:c>
      <x:c r="J980" s="17" t="str">
        <x:v>primary, witness and public event clocks retain declared offsets and drift</x:v>
      </x:c>
      <x:c r="K980" s="17" t="str">
        <x:v>Time authority</x:v>
      </x:c>
      <x:c r="L980" s="9" t="n">
        <x:v>0</x:v>
      </x:c>
      <x:c r="M980" s="9" t="n">
        <x:v>0</x:v>
      </x:c>
      <x:c r="N980" s="9" t="str">
        <x:v>OPEN / UNACCEPTED</x:v>
      </x:c>
      <x:c r="O980" s="9" t="n">
        <x:f>COUNTIFS($A$7:$A$1734,A980)</x:f>
        <x:v>1</x:v>
      </x:c>
    </x:row>
    <x:row r="981">
      <x:c r="A981" s="9" t="str">
        <x:v>EV-AR-LF-B-A-TECH-1-B1-INT-G0-OG03</x:v>
      </x:c>
      <x:c r="B981" s="9" t="str">
        <x:v>EV-AR-LF-B-A-TECH-1-B1-INT-G0</x:v>
      </x:c>
      <x:c r="C981" s="9" t="str">
        <x:v>AR-LF-B-A-TECH-1-B1-INT-G0</x:v>
      </x:c>
      <x:c r="D981" s="9" t="str">
        <x:v>LF-B-A-TECH-1</x:v>
      </x:c>
      <x:c r="E981" s="9" t="str">
        <x:v>LF-B-A</x:v>
      </x:c>
      <x:c r="F981" s="9" t="str">
        <x:v>B1</x:v>
      </x:c>
      <x:c r="G981" s="9" t="str">
        <x:v>INT</x:v>
      </x:c>
      <x:c r="H981" s="9" t="str">
        <x:v>OG03</x:v>
      </x:c>
      <x:c r="I981" s="17" t="str">
        <x:v>Calibration ancestry</x:v>
      </x:c>
      <x:c r="J981" s="17" t="str">
        <x:v>all reference, range and uncertainty states cover the live interval</x:v>
      </x:c>
      <x:c r="K981" s="17" t="str">
        <x:v>Metrology courts</x:v>
      </x:c>
      <x:c r="L981" s="9" t="n">
        <x:v>0</x:v>
      </x:c>
      <x:c r="M981" s="9" t="n">
        <x:v>0</x:v>
      </x:c>
      <x:c r="N981" s="9" t="str">
        <x:v>OPEN / UNACCEPTED</x:v>
      </x:c>
      <x:c r="O981" s="9" t="n">
        <x:f>COUNTIFS($A$7:$A$1734,A981)</x:f>
        <x:v>1</x:v>
      </x:c>
    </x:row>
    <x:row r="982">
      <x:c r="A982" s="9" t="str">
        <x:v>EV-AR-LF-B-A-TECH-1-B1-INT-G0-OG04</x:v>
      </x:c>
      <x:c r="B982" s="9" t="str">
        <x:v>EV-AR-LF-B-A-TECH-1-B1-INT-G0</x:v>
      </x:c>
      <x:c r="C982" s="9" t="str">
        <x:v>AR-LF-B-A-TECH-1-B1-INT-G0</x:v>
      </x:c>
      <x:c r="D982" s="9" t="str">
        <x:v>LF-B-A-TECH-1</x:v>
      </x:c>
      <x:c r="E982" s="9" t="str">
        <x:v>LF-B-A</x:v>
      </x:c>
      <x:c r="F982" s="9" t="str">
        <x:v>B1</x:v>
      </x:c>
      <x:c r="G982" s="9" t="str">
        <x:v>INT</x:v>
      </x:c>
      <x:c r="H982" s="9" t="str">
        <x:v>OG04</x:v>
      </x:c>
      <x:c r="I982" s="17" t="str">
        <x:v>Raw completeness</x:v>
      </x:c>
      <x:c r="J982" s="17" t="str">
        <x:v>missingness is enumerated without imputation or outcome-conditioned deletion</x:v>
      </x:c>
      <x:c r="K982" s="17" t="str">
        <x:v>Observation court</x:v>
      </x:c>
      <x:c r="L982" s="9" t="n">
        <x:v>0</x:v>
      </x:c>
      <x:c r="M982" s="9" t="n">
        <x:v>0</x:v>
      </x:c>
      <x:c r="N982" s="9" t="str">
        <x:v>OPEN / UNACCEPTED</x:v>
      </x:c>
      <x:c r="O982" s="9" t="n">
        <x:f>COUNTIFS($A$7:$A$1734,A982)</x:f>
        <x:v>1</x:v>
      </x:c>
    </x:row>
    <x:row r="983">
      <x:c r="A983" s="9" t="str">
        <x:v>EV-AR-LF-B-A-TECH-1-B1-INT-G0-OG05</x:v>
      </x:c>
      <x:c r="B983" s="9" t="str">
        <x:v>EV-AR-LF-B-A-TECH-1-B1-INT-G0</x:v>
      </x:c>
      <x:c r="C983" s="9" t="str">
        <x:v>AR-LF-B-A-TECH-1-B1-INT-G0</x:v>
      </x:c>
      <x:c r="D983" s="9" t="str">
        <x:v>LF-B-A-TECH-1</x:v>
      </x:c>
      <x:c r="E983" s="9" t="str">
        <x:v>LF-B-A</x:v>
      </x:c>
      <x:c r="F983" s="9" t="str">
        <x:v>B1</x:v>
      </x:c>
      <x:c r="G983" s="9" t="str">
        <x:v>INT</x:v>
      </x:c>
      <x:c r="H983" s="9" t="str">
        <x:v>OG05</x:v>
      </x:c>
      <x:c r="I983" s="17" t="str">
        <x:v>Primary provenance</x:v>
      </x:c>
      <x:c r="J983" s="17" t="str">
        <x:v>primary originals, hashes, keys and access history reconcile</x:v>
      </x:c>
      <x:c r="K983" s="17" t="str">
        <x:v>Primary custody</x:v>
      </x:c>
      <x:c r="L983" s="9" t="n">
        <x:v>0</x:v>
      </x:c>
      <x:c r="M983" s="9" t="n">
        <x:v>0</x:v>
      </x:c>
      <x:c r="N983" s="9" t="str">
        <x:v>OPEN / UNACCEPTED</x:v>
      </x:c>
      <x:c r="O983" s="9" t="n">
        <x:f>COUNTIFS($A$7:$A$1734,A983)</x:f>
        <x:v>1</x:v>
      </x:c>
    </x:row>
    <x:row r="984">
      <x:c r="A984" s="9" t="str">
        <x:v>EV-AR-LF-B-A-TECH-1-B1-INT-G0-OG06</x:v>
      </x:c>
      <x:c r="B984" s="9" t="str">
        <x:v>EV-AR-LF-B-A-TECH-1-B1-INT-G0</x:v>
      </x:c>
      <x:c r="C984" s="9" t="str">
        <x:v>AR-LF-B-A-TECH-1-B1-INT-G0</x:v>
      </x:c>
      <x:c r="D984" s="9" t="str">
        <x:v>LF-B-A-TECH-1</x:v>
      </x:c>
      <x:c r="E984" s="9" t="str">
        <x:v>LF-B-A</x:v>
      </x:c>
      <x:c r="F984" s="9" t="str">
        <x:v>B1</x:v>
      </x:c>
      <x:c r="G984" s="9" t="str">
        <x:v>INT</x:v>
      </x:c>
      <x:c r="H984" s="9" t="str">
        <x:v>OG06</x:v>
      </x:c>
      <x:c r="I984" s="17" t="str">
        <x:v>Witness provenance</x:v>
      </x:c>
      <x:c r="J984" s="17" t="str">
        <x:v>unlike witness originals, hashes, keys and access history reconcile</x:v>
      </x:c>
      <x:c r="K984" s="17" t="str">
        <x:v>Witness custody</x:v>
      </x:c>
      <x:c r="L984" s="9" t="n">
        <x:v>0</x:v>
      </x:c>
      <x:c r="M984" s="9" t="n">
        <x:v>0</x:v>
      </x:c>
      <x:c r="N984" s="9" t="str">
        <x:v>OPEN / UNACCEPTED</x:v>
      </x:c>
      <x:c r="O984" s="9" t="n">
        <x:f>COUNTIFS($A$7:$A$1734,A984)</x:f>
        <x:v>1</x:v>
      </x:c>
    </x:row>
    <x:row r="985">
      <x:c r="A985" s="9" t="str">
        <x:v>EV-AR-LF-B-A-TECH-1-B1-INT-G0-OG07</x:v>
      </x:c>
      <x:c r="B985" s="9" t="str">
        <x:v>EV-AR-LF-B-A-TECH-1-B1-INT-G0</x:v>
      </x:c>
      <x:c r="C985" s="9" t="str">
        <x:v>AR-LF-B-A-TECH-1-B1-INT-G0</x:v>
      </x:c>
      <x:c r="D985" s="9" t="str">
        <x:v>LF-B-A-TECH-1</x:v>
      </x:c>
      <x:c r="E985" s="9" t="str">
        <x:v>LF-B-A</x:v>
      </x:c>
      <x:c r="F985" s="9" t="str">
        <x:v>B1</x:v>
      </x:c>
      <x:c r="G985" s="9" t="str">
        <x:v>INT</x:v>
      </x:c>
      <x:c r="H985" s="9" t="str">
        <x:v>OG07</x:v>
      </x:c>
      <x:c r="I985" s="17" t="str">
        <x:v>Receiver denominator</x:v>
      </x:c>
      <x:c r="J985" s="17" t="str">
        <x:v>population, quantity, duration and exclusions match the frozen receipt</x:v>
      </x:c>
      <x:c r="K985" s="17" t="str">
        <x:v>Receiver court</x:v>
      </x:c>
      <x:c r="L985" s="9" t="n">
        <x:v>0</x:v>
      </x:c>
      <x:c r="M985" s="9" t="n">
        <x:v>0</x:v>
      </x:c>
      <x:c r="N985" s="9" t="str">
        <x:v>OPEN / UNACCEPTED</x:v>
      </x:c>
      <x:c r="O985" s="9" t="n">
        <x:f>COUNTIFS($A$7:$A$1734,A985)</x:f>
        <x:v>1</x:v>
      </x:c>
    </x:row>
    <x:row r="986">
      <x:c r="A986" s="9" t="str">
        <x:v>EV-AR-LF-B-A-TECH-1-B1-INT-G0-OG08</x:v>
      </x:c>
      <x:c r="B986" s="9" t="str">
        <x:v>EV-AR-LF-B-A-TECH-1-B1-INT-G0</x:v>
      </x:c>
      <x:c r="C986" s="9" t="str">
        <x:v>AR-LF-B-A-TECH-1-B1-INT-G0</x:v>
      </x:c>
      <x:c r="D986" s="9" t="str">
        <x:v>LF-B-A-TECH-1</x:v>
      </x:c>
      <x:c r="E986" s="9" t="str">
        <x:v>LF-B-A</x:v>
      </x:c>
      <x:c r="F986" s="9" t="str">
        <x:v>B1</x:v>
      </x:c>
      <x:c r="G986" s="9" t="str">
        <x:v>INT</x:v>
      </x:c>
      <x:c r="H986" s="9" t="str">
        <x:v>OG08</x:v>
      </x:c>
      <x:c r="I986" s="17" t="str">
        <x:v>Environment and boundary</x:v>
      </x:c>
      <x:c r="J986" s="17" t="str">
        <x:v>registered weather, water, ground, inlet and outlet states are retained</x:v>
      </x:c>
      <x:c r="K986" s="17" t="str">
        <x:v>Boundary court</x:v>
      </x:c>
      <x:c r="L986" s="9" t="n">
        <x:v>0</x:v>
      </x:c>
      <x:c r="M986" s="9" t="n">
        <x:v>0</x:v>
      </x:c>
      <x:c r="N986" s="9" t="str">
        <x:v>OPEN / UNACCEPTED</x:v>
      </x:c>
      <x:c r="O986" s="9" t="n">
        <x:f>COUNTIFS($A$7:$A$1734,A986)</x:f>
        <x:v>1</x:v>
      </x:c>
    </x:row>
    <x:row r="987">
      <x:c r="A987" s="9" t="str">
        <x:v>EV-AR-LF-B-A-TECH-1-B1-INT-G0-OG09</x:v>
      </x:c>
      <x:c r="B987" s="9" t="str">
        <x:v>EV-AR-LF-B-A-TECH-1-B1-INT-G0</x:v>
      </x:c>
      <x:c r="C987" s="9" t="str">
        <x:v>AR-LF-B-A-TECH-1-B1-INT-G0</x:v>
      </x:c>
      <x:c r="D987" s="9" t="str">
        <x:v>LF-B-A-TECH-1</x:v>
      </x:c>
      <x:c r="E987" s="9" t="str">
        <x:v>LF-B-A</x:v>
      </x:c>
      <x:c r="F987" s="9" t="str">
        <x:v>B1</x:v>
      </x:c>
      <x:c r="G987" s="9" t="str">
        <x:v>INT</x:v>
      </x:c>
      <x:c r="H987" s="9" t="str">
        <x:v>OG09</x:v>
      </x:c>
      <x:c r="I987" s="17" t="str">
        <x:v>Intervention account</x:v>
      </x:c>
      <x:c r="J987" s="17" t="str">
        <x:v>all stop, rescue, operator and public-protection actions remain timestamped</x:v>
      </x:c>
      <x:c r="K987" s="17" t="str">
        <x:v>Safety record court</x:v>
      </x:c>
      <x:c r="L987" s="9" t="n">
        <x:v>0</x:v>
      </x:c>
      <x:c r="M987" s="9" t="n">
        <x:v>0</x:v>
      </x:c>
      <x:c r="N987" s="9" t="str">
        <x:v>OPEN / UNACCEPTED</x:v>
      </x:c>
      <x:c r="O987" s="9" t="n">
        <x:f>COUNTIFS($A$7:$A$1734,A987)</x:f>
        <x:v>1</x:v>
      </x:c>
    </x:row>
    <x:row r="988">
      <x:c r="A988" s="9" t="str">
        <x:v>EV-AR-LF-B-A-TECH-1-B1-INT-G0-OG10</x:v>
      </x:c>
      <x:c r="B988" s="9" t="str">
        <x:v>EV-AR-LF-B-A-TECH-1-B1-INT-G0</x:v>
      </x:c>
      <x:c r="C988" s="9" t="str">
        <x:v>AR-LF-B-A-TECH-1-B1-INT-G0</x:v>
      </x:c>
      <x:c r="D988" s="9" t="str">
        <x:v>LF-B-A-TECH-1</x:v>
      </x:c>
      <x:c r="E988" s="9" t="str">
        <x:v>LF-B-A</x:v>
      </x:c>
      <x:c r="F988" s="9" t="str">
        <x:v>B1</x:v>
      </x:c>
      <x:c r="G988" s="9" t="str">
        <x:v>INT</x:v>
      </x:c>
      <x:c r="H988" s="9" t="str">
        <x:v>OG10</x:v>
      </x:c>
      <x:c r="I988" s="17" t="str">
        <x:v>Uncertainty statement</x:v>
      </x:c>
      <x:c r="J988" s="17" t="str">
        <x:v>range, censoring, resolution and correlation are declared before judgment</x:v>
      </x:c>
      <x:c r="K988" s="17" t="str">
        <x:v>Uncertainty authority</x:v>
      </x:c>
      <x:c r="L988" s="9" t="n">
        <x:v>0</x:v>
      </x:c>
      <x:c r="M988" s="9" t="n">
        <x:v>0</x:v>
      </x:c>
      <x:c r="N988" s="9" t="str">
        <x:v>OPEN / UNACCEPTED</x:v>
      </x:c>
      <x:c r="O988" s="9" t="n">
        <x:f>COUNTIFS($A$7:$A$1734,A988)</x:f>
        <x:v>1</x:v>
      </x:c>
    </x:row>
    <x:row r="989">
      <x:c r="A989" s="9" t="str">
        <x:v>EV-AR-LF-B-A-TECH-1-B1-INT-G0-OG11</x:v>
      </x:c>
      <x:c r="B989" s="9" t="str">
        <x:v>EV-AR-LF-B-A-TECH-1-B1-INT-G0</x:v>
      </x:c>
      <x:c r="C989" s="9" t="str">
        <x:v>AR-LF-B-A-TECH-1-B1-INT-G0</x:v>
      </x:c>
      <x:c r="D989" s="9" t="str">
        <x:v>LF-B-A-TECH-1</x:v>
      </x:c>
      <x:c r="E989" s="9" t="str">
        <x:v>LF-B-A</x:v>
      </x:c>
      <x:c r="F989" s="9" t="str">
        <x:v>B1</x:v>
      </x:c>
      <x:c r="G989" s="9" t="str">
        <x:v>INT</x:v>
      </x:c>
      <x:c r="H989" s="9" t="str">
        <x:v>OG11</x:v>
      </x:c>
      <x:c r="I989" s="17" t="str">
        <x:v>Contradiction preservation</x:v>
      </x:c>
      <x:c r="J989" s="17" t="str">
        <x:v>primary-witness disagreement remains explicit and is never averaged away</x:v>
      </x:c>
      <x:c r="K989" s="17" t="str">
        <x:v>Dissent registrar</x:v>
      </x:c>
      <x:c r="L989" s="9" t="n">
        <x:v>0</x:v>
      </x:c>
      <x:c r="M989" s="9" t="n">
        <x:v>0</x:v>
      </x:c>
      <x:c r="N989" s="9" t="str">
        <x:v>OPEN / UNACCEPTED</x:v>
      </x:c>
      <x:c r="O989" s="9" t="n">
        <x:f>COUNTIFS($A$7:$A$1734,A989)</x:f>
        <x:v>1</x:v>
      </x:c>
    </x:row>
    <x:row r="990">
      <x:c r="A990" s="9" t="str">
        <x:v>EV-AR-LF-B-A-TECH-1-B1-INT-G0-OG12</x:v>
      </x:c>
      <x:c r="B990" s="9" t="str">
        <x:v>EV-AR-LF-B-A-TECH-1-B1-INT-G0</x:v>
      </x:c>
      <x:c r="C990" s="9" t="str">
        <x:v>AR-LF-B-A-TECH-1-B1-INT-G0</x:v>
      </x:c>
      <x:c r="D990" s="9" t="str">
        <x:v>LF-B-A-TECH-1</x:v>
      </x:c>
      <x:c r="E990" s="9" t="str">
        <x:v>LF-B-A</x:v>
      </x:c>
      <x:c r="F990" s="9" t="str">
        <x:v>B1</x:v>
      </x:c>
      <x:c r="G990" s="9" t="str">
        <x:v>INT</x:v>
      </x:c>
      <x:c r="H990" s="9" t="str">
        <x:v>OG12</x:v>
      </x:c>
      <x:c r="I990" s="17" t="str">
        <x:v>Independent replay</x:v>
      </x:c>
      <x:c r="J990" s="17" t="str">
        <x:v>a separated reader reconstructs the registered observables from sealed originals</x:v>
      </x:c>
      <x:c r="K990" s="17" t="str">
        <x:v>Replay court</x:v>
      </x:c>
      <x:c r="L990" s="9" t="n">
        <x:v>0</x:v>
      </x:c>
      <x:c r="M990" s="9" t="n">
        <x:v>0</x:v>
      </x:c>
      <x:c r="N990" s="9" t="str">
        <x:v>OPEN / UNACCEPTED</x:v>
      </x:c>
      <x:c r="O990" s="9" t="n">
        <x:f>COUNTIFS($A$7:$A$1734,A990)</x:f>
        <x:v>1</x:v>
      </x:c>
    </x:row>
    <x:row r="991">
      <x:c r="A991" s="9" t="str">
        <x:v>EV-AR-LF-B-A-TECH-2-B2-RCN-G0-OG01</x:v>
      </x:c>
      <x:c r="B991" s="9" t="str">
        <x:v>EV-AR-LF-B-A-TECH-2-B2-RCN-G0</x:v>
      </x:c>
      <x:c r="C991" s="9" t="str">
        <x:v>AR-LF-B-A-TECH-2-B2-RCN-G0</x:v>
      </x:c>
      <x:c r="D991" s="9" t="str">
        <x:v>LF-B-A-TECH-2</x:v>
      </x:c>
      <x:c r="E991" s="9" t="str">
        <x:v>LF-B-A</x:v>
      </x:c>
      <x:c r="F991" s="9" t="str">
        <x:v>B2</x:v>
      </x:c>
      <x:c r="G991" s="9" t="str">
        <x:v>RCN</x:v>
      </x:c>
      <x:c r="H991" s="9" t="str">
        <x:v>OG01</x:v>
      </x:c>
      <x:c r="I991" s="17" t="str">
        <x:v>Serial and event identity</x:v>
      </x:c>
      <x:c r="J991" s="17" t="str">
        <x:v>record resolves to the issued serial, generation and physical start</x:v>
      </x:c>
      <x:c r="K991" s="17" t="str">
        <x:v>Observation court</x:v>
      </x:c>
      <x:c r="L991" s="9" t="n">
        <x:v>0</x:v>
      </x:c>
      <x:c r="M991" s="9" t="n">
        <x:v>0</x:v>
      </x:c>
      <x:c r="N991" s="9" t="str">
        <x:v>OPEN / UNACCEPTED</x:v>
      </x:c>
      <x:c r="O991" s="9" t="n">
        <x:f>COUNTIFS($A$7:$A$1734,A991)</x:f>
        <x:v>1</x:v>
      </x:c>
    </x:row>
    <x:row r="992">
      <x:c r="A992" s="9" t="str">
        <x:v>EV-AR-LF-B-A-TECH-2-B2-RCN-G0-OG02</x:v>
      </x:c>
      <x:c r="B992" s="9" t="str">
        <x:v>EV-AR-LF-B-A-TECH-2-B2-RCN-G0</x:v>
      </x:c>
      <x:c r="C992" s="9" t="str">
        <x:v>AR-LF-B-A-TECH-2-B2-RCN-G0</x:v>
      </x:c>
      <x:c r="D992" s="9" t="str">
        <x:v>LF-B-A-TECH-2</x:v>
      </x:c>
      <x:c r="E992" s="9" t="str">
        <x:v>LF-B-A</x:v>
      </x:c>
      <x:c r="F992" s="9" t="str">
        <x:v>B2</x:v>
      </x:c>
      <x:c r="G992" s="9" t="str">
        <x:v>RCN</x:v>
      </x:c>
      <x:c r="H992" s="9" t="str">
        <x:v>OG02</x:v>
      </x:c>
      <x:c r="I992" s="17" t="str">
        <x:v>Time ancestry</x:v>
      </x:c>
      <x:c r="J992" s="17" t="str">
        <x:v>primary, witness and public event clocks retain declared offsets and drift</x:v>
      </x:c>
      <x:c r="K992" s="17" t="str">
        <x:v>Time authority</x:v>
      </x:c>
      <x:c r="L992" s="9" t="n">
        <x:v>0</x:v>
      </x:c>
      <x:c r="M992" s="9" t="n">
        <x:v>0</x:v>
      </x:c>
      <x:c r="N992" s="9" t="str">
        <x:v>OPEN / UNACCEPTED</x:v>
      </x:c>
      <x:c r="O992" s="9" t="n">
        <x:f>COUNTIFS($A$7:$A$1734,A992)</x:f>
        <x:v>1</x:v>
      </x:c>
    </x:row>
    <x:row r="993">
      <x:c r="A993" s="9" t="str">
        <x:v>EV-AR-LF-B-A-TECH-2-B2-RCN-G0-OG03</x:v>
      </x:c>
      <x:c r="B993" s="9" t="str">
        <x:v>EV-AR-LF-B-A-TECH-2-B2-RCN-G0</x:v>
      </x:c>
      <x:c r="C993" s="9" t="str">
        <x:v>AR-LF-B-A-TECH-2-B2-RCN-G0</x:v>
      </x:c>
      <x:c r="D993" s="9" t="str">
        <x:v>LF-B-A-TECH-2</x:v>
      </x:c>
      <x:c r="E993" s="9" t="str">
        <x:v>LF-B-A</x:v>
      </x:c>
      <x:c r="F993" s="9" t="str">
        <x:v>B2</x:v>
      </x:c>
      <x:c r="G993" s="9" t="str">
        <x:v>RCN</x:v>
      </x:c>
      <x:c r="H993" s="9" t="str">
        <x:v>OG03</x:v>
      </x:c>
      <x:c r="I993" s="17" t="str">
        <x:v>Calibration ancestry</x:v>
      </x:c>
      <x:c r="J993" s="17" t="str">
        <x:v>all reference, range and uncertainty states cover the live interval</x:v>
      </x:c>
      <x:c r="K993" s="17" t="str">
        <x:v>Metrology courts</x:v>
      </x:c>
      <x:c r="L993" s="9" t="n">
        <x:v>0</x:v>
      </x:c>
      <x:c r="M993" s="9" t="n">
        <x:v>0</x:v>
      </x:c>
      <x:c r="N993" s="9" t="str">
        <x:v>OPEN / UNACCEPTED</x:v>
      </x:c>
      <x:c r="O993" s="9" t="n">
        <x:f>COUNTIFS($A$7:$A$1734,A993)</x:f>
        <x:v>1</x:v>
      </x:c>
    </x:row>
    <x:row r="994">
      <x:c r="A994" s="9" t="str">
        <x:v>EV-AR-LF-B-A-TECH-2-B2-RCN-G0-OG04</x:v>
      </x:c>
      <x:c r="B994" s="9" t="str">
        <x:v>EV-AR-LF-B-A-TECH-2-B2-RCN-G0</x:v>
      </x:c>
      <x:c r="C994" s="9" t="str">
        <x:v>AR-LF-B-A-TECH-2-B2-RCN-G0</x:v>
      </x:c>
      <x:c r="D994" s="9" t="str">
        <x:v>LF-B-A-TECH-2</x:v>
      </x:c>
      <x:c r="E994" s="9" t="str">
        <x:v>LF-B-A</x:v>
      </x:c>
      <x:c r="F994" s="9" t="str">
        <x:v>B2</x:v>
      </x:c>
      <x:c r="G994" s="9" t="str">
        <x:v>RCN</x:v>
      </x:c>
      <x:c r="H994" s="9" t="str">
        <x:v>OG04</x:v>
      </x:c>
      <x:c r="I994" s="17" t="str">
        <x:v>Raw completeness</x:v>
      </x:c>
      <x:c r="J994" s="17" t="str">
        <x:v>missingness is enumerated without imputation or outcome-conditioned deletion</x:v>
      </x:c>
      <x:c r="K994" s="17" t="str">
        <x:v>Observation court</x:v>
      </x:c>
      <x:c r="L994" s="9" t="n">
        <x:v>0</x:v>
      </x:c>
      <x:c r="M994" s="9" t="n">
        <x:v>0</x:v>
      </x:c>
      <x:c r="N994" s="9" t="str">
        <x:v>OPEN / UNACCEPTED</x:v>
      </x:c>
      <x:c r="O994" s="9" t="n">
        <x:f>COUNTIFS($A$7:$A$1734,A994)</x:f>
        <x:v>1</x:v>
      </x:c>
    </x:row>
    <x:row r="995">
      <x:c r="A995" s="9" t="str">
        <x:v>EV-AR-LF-B-A-TECH-2-B2-RCN-G0-OG05</x:v>
      </x:c>
      <x:c r="B995" s="9" t="str">
        <x:v>EV-AR-LF-B-A-TECH-2-B2-RCN-G0</x:v>
      </x:c>
      <x:c r="C995" s="9" t="str">
        <x:v>AR-LF-B-A-TECH-2-B2-RCN-G0</x:v>
      </x:c>
      <x:c r="D995" s="9" t="str">
        <x:v>LF-B-A-TECH-2</x:v>
      </x:c>
      <x:c r="E995" s="9" t="str">
        <x:v>LF-B-A</x:v>
      </x:c>
      <x:c r="F995" s="9" t="str">
        <x:v>B2</x:v>
      </x:c>
      <x:c r="G995" s="9" t="str">
        <x:v>RCN</x:v>
      </x:c>
      <x:c r="H995" s="9" t="str">
        <x:v>OG05</x:v>
      </x:c>
      <x:c r="I995" s="17" t="str">
        <x:v>Primary provenance</x:v>
      </x:c>
      <x:c r="J995" s="17" t="str">
        <x:v>primary originals, hashes, keys and access history reconcile</x:v>
      </x:c>
      <x:c r="K995" s="17" t="str">
        <x:v>Primary custody</x:v>
      </x:c>
      <x:c r="L995" s="9" t="n">
        <x:v>0</x:v>
      </x:c>
      <x:c r="M995" s="9" t="n">
        <x:v>0</x:v>
      </x:c>
      <x:c r="N995" s="9" t="str">
        <x:v>OPEN / UNACCEPTED</x:v>
      </x:c>
      <x:c r="O995" s="9" t="n">
        <x:f>COUNTIFS($A$7:$A$1734,A995)</x:f>
        <x:v>1</x:v>
      </x:c>
    </x:row>
    <x:row r="996">
      <x:c r="A996" s="9" t="str">
        <x:v>EV-AR-LF-B-A-TECH-2-B2-RCN-G0-OG06</x:v>
      </x:c>
      <x:c r="B996" s="9" t="str">
        <x:v>EV-AR-LF-B-A-TECH-2-B2-RCN-G0</x:v>
      </x:c>
      <x:c r="C996" s="9" t="str">
        <x:v>AR-LF-B-A-TECH-2-B2-RCN-G0</x:v>
      </x:c>
      <x:c r="D996" s="9" t="str">
        <x:v>LF-B-A-TECH-2</x:v>
      </x:c>
      <x:c r="E996" s="9" t="str">
        <x:v>LF-B-A</x:v>
      </x:c>
      <x:c r="F996" s="9" t="str">
        <x:v>B2</x:v>
      </x:c>
      <x:c r="G996" s="9" t="str">
        <x:v>RCN</x:v>
      </x:c>
      <x:c r="H996" s="9" t="str">
        <x:v>OG06</x:v>
      </x:c>
      <x:c r="I996" s="17" t="str">
        <x:v>Witness provenance</x:v>
      </x:c>
      <x:c r="J996" s="17" t="str">
        <x:v>unlike witness originals, hashes, keys and access history reconcile</x:v>
      </x:c>
      <x:c r="K996" s="17" t="str">
        <x:v>Witness custody</x:v>
      </x:c>
      <x:c r="L996" s="9" t="n">
        <x:v>0</x:v>
      </x:c>
      <x:c r="M996" s="9" t="n">
        <x:v>0</x:v>
      </x:c>
      <x:c r="N996" s="9" t="str">
        <x:v>OPEN / UNACCEPTED</x:v>
      </x:c>
      <x:c r="O996" s="9" t="n">
        <x:f>COUNTIFS($A$7:$A$1734,A996)</x:f>
        <x:v>1</x:v>
      </x:c>
    </x:row>
    <x:row r="997">
      <x:c r="A997" s="9" t="str">
        <x:v>EV-AR-LF-B-A-TECH-2-B2-RCN-G0-OG07</x:v>
      </x:c>
      <x:c r="B997" s="9" t="str">
        <x:v>EV-AR-LF-B-A-TECH-2-B2-RCN-G0</x:v>
      </x:c>
      <x:c r="C997" s="9" t="str">
        <x:v>AR-LF-B-A-TECH-2-B2-RCN-G0</x:v>
      </x:c>
      <x:c r="D997" s="9" t="str">
        <x:v>LF-B-A-TECH-2</x:v>
      </x:c>
      <x:c r="E997" s="9" t="str">
        <x:v>LF-B-A</x:v>
      </x:c>
      <x:c r="F997" s="9" t="str">
        <x:v>B2</x:v>
      </x:c>
      <x:c r="G997" s="9" t="str">
        <x:v>RCN</x:v>
      </x:c>
      <x:c r="H997" s="9" t="str">
        <x:v>OG07</x:v>
      </x:c>
      <x:c r="I997" s="17" t="str">
        <x:v>Receiver denominator</x:v>
      </x:c>
      <x:c r="J997" s="17" t="str">
        <x:v>population, quantity, duration and exclusions match the frozen receipt</x:v>
      </x:c>
      <x:c r="K997" s="17" t="str">
        <x:v>Receiver court</x:v>
      </x:c>
      <x:c r="L997" s="9" t="n">
        <x:v>0</x:v>
      </x:c>
      <x:c r="M997" s="9" t="n">
        <x:v>0</x:v>
      </x:c>
      <x:c r="N997" s="9" t="str">
        <x:v>OPEN / UNACCEPTED</x:v>
      </x:c>
      <x:c r="O997" s="9" t="n">
        <x:f>COUNTIFS($A$7:$A$1734,A997)</x:f>
        <x:v>1</x:v>
      </x:c>
    </x:row>
    <x:row r="998">
      <x:c r="A998" s="9" t="str">
        <x:v>EV-AR-LF-B-A-TECH-2-B2-RCN-G0-OG08</x:v>
      </x:c>
      <x:c r="B998" s="9" t="str">
        <x:v>EV-AR-LF-B-A-TECH-2-B2-RCN-G0</x:v>
      </x:c>
      <x:c r="C998" s="9" t="str">
        <x:v>AR-LF-B-A-TECH-2-B2-RCN-G0</x:v>
      </x:c>
      <x:c r="D998" s="9" t="str">
        <x:v>LF-B-A-TECH-2</x:v>
      </x:c>
      <x:c r="E998" s="9" t="str">
        <x:v>LF-B-A</x:v>
      </x:c>
      <x:c r="F998" s="9" t="str">
        <x:v>B2</x:v>
      </x:c>
      <x:c r="G998" s="9" t="str">
        <x:v>RCN</x:v>
      </x:c>
      <x:c r="H998" s="9" t="str">
        <x:v>OG08</x:v>
      </x:c>
      <x:c r="I998" s="17" t="str">
        <x:v>Environment and boundary</x:v>
      </x:c>
      <x:c r="J998" s="17" t="str">
        <x:v>registered weather, water, ground, inlet and outlet states are retained</x:v>
      </x:c>
      <x:c r="K998" s="17" t="str">
        <x:v>Boundary court</x:v>
      </x:c>
      <x:c r="L998" s="9" t="n">
        <x:v>0</x:v>
      </x:c>
      <x:c r="M998" s="9" t="n">
        <x:v>0</x:v>
      </x:c>
      <x:c r="N998" s="9" t="str">
        <x:v>OPEN / UNACCEPTED</x:v>
      </x:c>
      <x:c r="O998" s="9" t="n">
        <x:f>COUNTIFS($A$7:$A$1734,A998)</x:f>
        <x:v>1</x:v>
      </x:c>
    </x:row>
    <x:row r="999">
      <x:c r="A999" s="9" t="str">
        <x:v>EV-AR-LF-B-A-TECH-2-B2-RCN-G0-OG09</x:v>
      </x:c>
      <x:c r="B999" s="9" t="str">
        <x:v>EV-AR-LF-B-A-TECH-2-B2-RCN-G0</x:v>
      </x:c>
      <x:c r="C999" s="9" t="str">
        <x:v>AR-LF-B-A-TECH-2-B2-RCN-G0</x:v>
      </x:c>
      <x:c r="D999" s="9" t="str">
        <x:v>LF-B-A-TECH-2</x:v>
      </x:c>
      <x:c r="E999" s="9" t="str">
        <x:v>LF-B-A</x:v>
      </x:c>
      <x:c r="F999" s="9" t="str">
        <x:v>B2</x:v>
      </x:c>
      <x:c r="G999" s="9" t="str">
        <x:v>RCN</x:v>
      </x:c>
      <x:c r="H999" s="9" t="str">
        <x:v>OG09</x:v>
      </x:c>
      <x:c r="I999" s="17" t="str">
        <x:v>Intervention account</x:v>
      </x:c>
      <x:c r="J999" s="17" t="str">
        <x:v>all stop, rescue, operator and public-protection actions remain timestamped</x:v>
      </x:c>
      <x:c r="K999" s="17" t="str">
        <x:v>Safety record court</x:v>
      </x:c>
      <x:c r="L999" s="9" t="n">
        <x:v>0</x:v>
      </x:c>
      <x:c r="M999" s="9" t="n">
        <x:v>0</x:v>
      </x:c>
      <x:c r="N999" s="9" t="str">
        <x:v>OPEN / UNACCEPTED</x:v>
      </x:c>
      <x:c r="O999" s="9" t="n">
        <x:f>COUNTIFS($A$7:$A$1734,A999)</x:f>
        <x:v>1</x:v>
      </x:c>
    </x:row>
    <x:row r="1000">
      <x:c r="A1000" s="9" t="str">
        <x:v>EV-AR-LF-B-A-TECH-2-B2-RCN-G0-OG10</x:v>
      </x:c>
      <x:c r="B1000" s="9" t="str">
        <x:v>EV-AR-LF-B-A-TECH-2-B2-RCN-G0</x:v>
      </x:c>
      <x:c r="C1000" s="9" t="str">
        <x:v>AR-LF-B-A-TECH-2-B2-RCN-G0</x:v>
      </x:c>
      <x:c r="D1000" s="9" t="str">
        <x:v>LF-B-A-TECH-2</x:v>
      </x:c>
      <x:c r="E1000" s="9" t="str">
        <x:v>LF-B-A</x:v>
      </x:c>
      <x:c r="F1000" s="9" t="str">
        <x:v>B2</x:v>
      </x:c>
      <x:c r="G1000" s="9" t="str">
        <x:v>RCN</x:v>
      </x:c>
      <x:c r="H1000" s="9" t="str">
        <x:v>OG10</x:v>
      </x:c>
      <x:c r="I1000" s="17" t="str">
        <x:v>Uncertainty statement</x:v>
      </x:c>
      <x:c r="J1000" s="17" t="str">
        <x:v>range, censoring, resolution and correlation are declared before judgment</x:v>
      </x:c>
      <x:c r="K1000" s="17" t="str">
        <x:v>Uncertainty authority</x:v>
      </x:c>
      <x:c r="L1000" s="9" t="n">
        <x:v>0</x:v>
      </x:c>
      <x:c r="M1000" s="9" t="n">
        <x:v>0</x:v>
      </x:c>
      <x:c r="N1000" s="9" t="str">
        <x:v>OPEN / UNACCEPTED</x:v>
      </x:c>
      <x:c r="O1000" s="9" t="n">
        <x:f>COUNTIFS($A$7:$A$1734,A1000)</x:f>
        <x:v>1</x:v>
      </x:c>
    </x:row>
    <x:row r="1001">
      <x:c r="A1001" s="9" t="str">
        <x:v>EV-AR-LF-B-A-TECH-2-B2-RCN-G0-OG11</x:v>
      </x:c>
      <x:c r="B1001" s="9" t="str">
        <x:v>EV-AR-LF-B-A-TECH-2-B2-RCN-G0</x:v>
      </x:c>
      <x:c r="C1001" s="9" t="str">
        <x:v>AR-LF-B-A-TECH-2-B2-RCN-G0</x:v>
      </x:c>
      <x:c r="D1001" s="9" t="str">
        <x:v>LF-B-A-TECH-2</x:v>
      </x:c>
      <x:c r="E1001" s="9" t="str">
        <x:v>LF-B-A</x:v>
      </x:c>
      <x:c r="F1001" s="9" t="str">
        <x:v>B2</x:v>
      </x:c>
      <x:c r="G1001" s="9" t="str">
        <x:v>RCN</x:v>
      </x:c>
      <x:c r="H1001" s="9" t="str">
        <x:v>OG11</x:v>
      </x:c>
      <x:c r="I1001" s="17" t="str">
        <x:v>Contradiction preservation</x:v>
      </x:c>
      <x:c r="J1001" s="17" t="str">
        <x:v>primary-witness disagreement remains explicit and is never averaged away</x:v>
      </x:c>
      <x:c r="K1001" s="17" t="str">
        <x:v>Dissent registrar</x:v>
      </x:c>
      <x:c r="L1001" s="9" t="n">
        <x:v>0</x:v>
      </x:c>
      <x:c r="M1001" s="9" t="n">
        <x:v>0</x:v>
      </x:c>
      <x:c r="N1001" s="9" t="str">
        <x:v>OPEN / UNACCEPTED</x:v>
      </x:c>
      <x:c r="O1001" s="9" t="n">
        <x:f>COUNTIFS($A$7:$A$1734,A1001)</x:f>
        <x:v>1</x:v>
      </x:c>
    </x:row>
    <x:row r="1002">
      <x:c r="A1002" s="9" t="str">
        <x:v>EV-AR-LF-B-A-TECH-2-B2-RCN-G0-OG12</x:v>
      </x:c>
      <x:c r="B1002" s="9" t="str">
        <x:v>EV-AR-LF-B-A-TECH-2-B2-RCN-G0</x:v>
      </x:c>
      <x:c r="C1002" s="9" t="str">
        <x:v>AR-LF-B-A-TECH-2-B2-RCN-G0</x:v>
      </x:c>
      <x:c r="D1002" s="9" t="str">
        <x:v>LF-B-A-TECH-2</x:v>
      </x:c>
      <x:c r="E1002" s="9" t="str">
        <x:v>LF-B-A</x:v>
      </x:c>
      <x:c r="F1002" s="9" t="str">
        <x:v>B2</x:v>
      </x:c>
      <x:c r="G1002" s="9" t="str">
        <x:v>RCN</x:v>
      </x:c>
      <x:c r="H1002" s="9" t="str">
        <x:v>OG12</x:v>
      </x:c>
      <x:c r="I1002" s="17" t="str">
        <x:v>Independent replay</x:v>
      </x:c>
      <x:c r="J1002" s="17" t="str">
        <x:v>a separated reader reconstructs the registered observables from sealed originals</x:v>
      </x:c>
      <x:c r="K1002" s="17" t="str">
        <x:v>Replay court</x:v>
      </x:c>
      <x:c r="L1002" s="9" t="n">
        <x:v>0</x:v>
      </x:c>
      <x:c r="M1002" s="9" t="n">
        <x:v>0</x:v>
      </x:c>
      <x:c r="N1002" s="9" t="str">
        <x:v>OPEN / UNACCEPTED</x:v>
      </x:c>
      <x:c r="O1002" s="9" t="n">
        <x:f>COUNTIFS($A$7:$A$1734,A1002)</x:f>
        <x:v>1</x:v>
      </x:c>
    </x:row>
    <x:row r="1003">
      <x:c r="A1003" s="9" t="str">
        <x:v>EV-AR-RT-B-C-TECH-3-B1-BRK-G0-OG01</x:v>
      </x:c>
      <x:c r="B1003" s="9" t="str">
        <x:v>EV-AR-RT-B-C-TECH-3-B1-BRK-G0</x:v>
      </x:c>
      <x:c r="C1003" s="9" t="str">
        <x:v>AR-RT-B-C-TECH-3-B1-BRK-G0</x:v>
      </x:c>
      <x:c r="D1003" s="9" t="str">
        <x:v>RT-B-C-TECH-3</x:v>
      </x:c>
      <x:c r="E1003" s="9" t="str">
        <x:v>RT-B-C</x:v>
      </x:c>
      <x:c r="F1003" s="9" t="str">
        <x:v>B1</x:v>
      </x:c>
      <x:c r="G1003" s="9" t="str">
        <x:v>BRK</x:v>
      </x:c>
      <x:c r="H1003" s="9" t="str">
        <x:v>OG01</x:v>
      </x:c>
      <x:c r="I1003" s="17" t="str">
        <x:v>Serial and event identity</x:v>
      </x:c>
      <x:c r="J1003" s="17" t="str">
        <x:v>record resolves to the issued serial, generation and physical start</x:v>
      </x:c>
      <x:c r="K1003" s="17" t="str">
        <x:v>Observation court</x:v>
      </x:c>
      <x:c r="L1003" s="9" t="n">
        <x:v>0</x:v>
      </x:c>
      <x:c r="M1003" s="9" t="n">
        <x:v>0</x:v>
      </x:c>
      <x:c r="N1003" s="9" t="str">
        <x:v>OPEN / UNACCEPTED</x:v>
      </x:c>
      <x:c r="O1003" s="9" t="n">
        <x:f>COUNTIFS($A$7:$A$1734,A1003)</x:f>
        <x:v>1</x:v>
      </x:c>
    </x:row>
    <x:row r="1004">
      <x:c r="A1004" s="9" t="str">
        <x:v>EV-AR-RT-B-C-TECH-3-B1-BRK-G0-OG02</x:v>
      </x:c>
      <x:c r="B1004" s="9" t="str">
        <x:v>EV-AR-RT-B-C-TECH-3-B1-BRK-G0</x:v>
      </x:c>
      <x:c r="C1004" s="9" t="str">
        <x:v>AR-RT-B-C-TECH-3-B1-BRK-G0</x:v>
      </x:c>
      <x:c r="D1004" s="9" t="str">
        <x:v>RT-B-C-TECH-3</x:v>
      </x:c>
      <x:c r="E1004" s="9" t="str">
        <x:v>RT-B-C</x:v>
      </x:c>
      <x:c r="F1004" s="9" t="str">
        <x:v>B1</x:v>
      </x:c>
      <x:c r="G1004" s="9" t="str">
        <x:v>BRK</x:v>
      </x:c>
      <x:c r="H1004" s="9" t="str">
        <x:v>OG02</x:v>
      </x:c>
      <x:c r="I1004" s="17" t="str">
        <x:v>Time ancestry</x:v>
      </x:c>
      <x:c r="J1004" s="17" t="str">
        <x:v>primary, witness and public event clocks retain declared offsets and drift</x:v>
      </x:c>
      <x:c r="K1004" s="17" t="str">
        <x:v>Time authority</x:v>
      </x:c>
      <x:c r="L1004" s="9" t="n">
        <x:v>0</x:v>
      </x:c>
      <x:c r="M1004" s="9" t="n">
        <x:v>0</x:v>
      </x:c>
      <x:c r="N1004" s="9" t="str">
        <x:v>OPEN / UNACCEPTED</x:v>
      </x:c>
      <x:c r="O1004" s="9" t="n">
        <x:f>COUNTIFS($A$7:$A$1734,A1004)</x:f>
        <x:v>1</x:v>
      </x:c>
    </x:row>
    <x:row r="1005">
      <x:c r="A1005" s="9" t="str">
        <x:v>EV-AR-RT-B-C-TECH-3-B1-BRK-G0-OG03</x:v>
      </x:c>
      <x:c r="B1005" s="9" t="str">
        <x:v>EV-AR-RT-B-C-TECH-3-B1-BRK-G0</x:v>
      </x:c>
      <x:c r="C1005" s="9" t="str">
        <x:v>AR-RT-B-C-TECH-3-B1-BRK-G0</x:v>
      </x:c>
      <x:c r="D1005" s="9" t="str">
        <x:v>RT-B-C-TECH-3</x:v>
      </x:c>
      <x:c r="E1005" s="9" t="str">
        <x:v>RT-B-C</x:v>
      </x:c>
      <x:c r="F1005" s="9" t="str">
        <x:v>B1</x:v>
      </x:c>
      <x:c r="G1005" s="9" t="str">
        <x:v>BRK</x:v>
      </x:c>
      <x:c r="H1005" s="9" t="str">
        <x:v>OG03</x:v>
      </x:c>
      <x:c r="I1005" s="17" t="str">
        <x:v>Calibration ancestry</x:v>
      </x:c>
      <x:c r="J1005" s="17" t="str">
        <x:v>all reference, range and uncertainty states cover the live interval</x:v>
      </x:c>
      <x:c r="K1005" s="17" t="str">
        <x:v>Metrology courts</x:v>
      </x:c>
      <x:c r="L1005" s="9" t="n">
        <x:v>0</x:v>
      </x:c>
      <x:c r="M1005" s="9" t="n">
        <x:v>0</x:v>
      </x:c>
      <x:c r="N1005" s="9" t="str">
        <x:v>OPEN / UNACCEPTED</x:v>
      </x:c>
      <x:c r="O1005" s="9" t="n">
        <x:f>COUNTIFS($A$7:$A$1734,A1005)</x:f>
        <x:v>1</x:v>
      </x:c>
    </x:row>
    <x:row r="1006">
      <x:c r="A1006" s="9" t="str">
        <x:v>EV-AR-RT-B-C-TECH-3-B1-BRK-G0-OG04</x:v>
      </x:c>
      <x:c r="B1006" s="9" t="str">
        <x:v>EV-AR-RT-B-C-TECH-3-B1-BRK-G0</x:v>
      </x:c>
      <x:c r="C1006" s="9" t="str">
        <x:v>AR-RT-B-C-TECH-3-B1-BRK-G0</x:v>
      </x:c>
      <x:c r="D1006" s="9" t="str">
        <x:v>RT-B-C-TECH-3</x:v>
      </x:c>
      <x:c r="E1006" s="9" t="str">
        <x:v>RT-B-C</x:v>
      </x:c>
      <x:c r="F1006" s="9" t="str">
        <x:v>B1</x:v>
      </x:c>
      <x:c r="G1006" s="9" t="str">
        <x:v>BRK</x:v>
      </x:c>
      <x:c r="H1006" s="9" t="str">
        <x:v>OG04</x:v>
      </x:c>
      <x:c r="I1006" s="17" t="str">
        <x:v>Raw completeness</x:v>
      </x:c>
      <x:c r="J1006" s="17" t="str">
        <x:v>missingness is enumerated without imputation or outcome-conditioned deletion</x:v>
      </x:c>
      <x:c r="K1006" s="17" t="str">
        <x:v>Observation court</x:v>
      </x:c>
      <x:c r="L1006" s="9" t="n">
        <x:v>0</x:v>
      </x:c>
      <x:c r="M1006" s="9" t="n">
        <x:v>0</x:v>
      </x:c>
      <x:c r="N1006" s="9" t="str">
        <x:v>OPEN / UNACCEPTED</x:v>
      </x:c>
      <x:c r="O1006" s="9" t="n">
        <x:f>COUNTIFS($A$7:$A$1734,A1006)</x:f>
        <x:v>1</x:v>
      </x:c>
    </x:row>
    <x:row r="1007">
      <x:c r="A1007" s="9" t="str">
        <x:v>EV-AR-RT-B-C-TECH-3-B1-BRK-G0-OG05</x:v>
      </x:c>
      <x:c r="B1007" s="9" t="str">
        <x:v>EV-AR-RT-B-C-TECH-3-B1-BRK-G0</x:v>
      </x:c>
      <x:c r="C1007" s="9" t="str">
        <x:v>AR-RT-B-C-TECH-3-B1-BRK-G0</x:v>
      </x:c>
      <x:c r="D1007" s="9" t="str">
        <x:v>RT-B-C-TECH-3</x:v>
      </x:c>
      <x:c r="E1007" s="9" t="str">
        <x:v>RT-B-C</x:v>
      </x:c>
      <x:c r="F1007" s="9" t="str">
        <x:v>B1</x:v>
      </x:c>
      <x:c r="G1007" s="9" t="str">
        <x:v>BRK</x:v>
      </x:c>
      <x:c r="H1007" s="9" t="str">
        <x:v>OG05</x:v>
      </x:c>
      <x:c r="I1007" s="17" t="str">
        <x:v>Primary provenance</x:v>
      </x:c>
      <x:c r="J1007" s="17" t="str">
        <x:v>primary originals, hashes, keys and access history reconcile</x:v>
      </x:c>
      <x:c r="K1007" s="17" t="str">
        <x:v>Primary custody</x:v>
      </x:c>
      <x:c r="L1007" s="9" t="n">
        <x:v>0</x:v>
      </x:c>
      <x:c r="M1007" s="9" t="n">
        <x:v>0</x:v>
      </x:c>
      <x:c r="N1007" s="9" t="str">
        <x:v>OPEN / UNACCEPTED</x:v>
      </x:c>
      <x:c r="O1007" s="9" t="n">
        <x:f>COUNTIFS($A$7:$A$1734,A1007)</x:f>
        <x:v>1</x:v>
      </x:c>
    </x:row>
    <x:row r="1008">
      <x:c r="A1008" s="9" t="str">
        <x:v>EV-AR-RT-B-C-TECH-3-B1-BRK-G0-OG06</x:v>
      </x:c>
      <x:c r="B1008" s="9" t="str">
        <x:v>EV-AR-RT-B-C-TECH-3-B1-BRK-G0</x:v>
      </x:c>
      <x:c r="C1008" s="9" t="str">
        <x:v>AR-RT-B-C-TECH-3-B1-BRK-G0</x:v>
      </x:c>
      <x:c r="D1008" s="9" t="str">
        <x:v>RT-B-C-TECH-3</x:v>
      </x:c>
      <x:c r="E1008" s="9" t="str">
        <x:v>RT-B-C</x:v>
      </x:c>
      <x:c r="F1008" s="9" t="str">
        <x:v>B1</x:v>
      </x:c>
      <x:c r="G1008" s="9" t="str">
        <x:v>BRK</x:v>
      </x:c>
      <x:c r="H1008" s="9" t="str">
        <x:v>OG06</x:v>
      </x:c>
      <x:c r="I1008" s="17" t="str">
        <x:v>Witness provenance</x:v>
      </x:c>
      <x:c r="J1008" s="17" t="str">
        <x:v>unlike witness originals, hashes, keys and access history reconcile</x:v>
      </x:c>
      <x:c r="K1008" s="17" t="str">
        <x:v>Witness custody</x:v>
      </x:c>
      <x:c r="L1008" s="9" t="n">
        <x:v>0</x:v>
      </x:c>
      <x:c r="M1008" s="9" t="n">
        <x:v>0</x:v>
      </x:c>
      <x:c r="N1008" s="9" t="str">
        <x:v>OPEN / UNACCEPTED</x:v>
      </x:c>
      <x:c r="O1008" s="9" t="n">
        <x:f>COUNTIFS($A$7:$A$1734,A1008)</x:f>
        <x:v>1</x:v>
      </x:c>
    </x:row>
    <x:row r="1009">
      <x:c r="A1009" s="9" t="str">
        <x:v>EV-AR-RT-B-C-TECH-3-B1-BRK-G0-OG07</x:v>
      </x:c>
      <x:c r="B1009" s="9" t="str">
        <x:v>EV-AR-RT-B-C-TECH-3-B1-BRK-G0</x:v>
      </x:c>
      <x:c r="C1009" s="9" t="str">
        <x:v>AR-RT-B-C-TECH-3-B1-BRK-G0</x:v>
      </x:c>
      <x:c r="D1009" s="9" t="str">
        <x:v>RT-B-C-TECH-3</x:v>
      </x:c>
      <x:c r="E1009" s="9" t="str">
        <x:v>RT-B-C</x:v>
      </x:c>
      <x:c r="F1009" s="9" t="str">
        <x:v>B1</x:v>
      </x:c>
      <x:c r="G1009" s="9" t="str">
        <x:v>BRK</x:v>
      </x:c>
      <x:c r="H1009" s="9" t="str">
        <x:v>OG07</x:v>
      </x:c>
      <x:c r="I1009" s="17" t="str">
        <x:v>Receiver denominator</x:v>
      </x:c>
      <x:c r="J1009" s="17" t="str">
        <x:v>population, quantity, duration and exclusions match the frozen receipt</x:v>
      </x:c>
      <x:c r="K1009" s="17" t="str">
        <x:v>Receiver court</x:v>
      </x:c>
      <x:c r="L1009" s="9" t="n">
        <x:v>0</x:v>
      </x:c>
      <x:c r="M1009" s="9" t="n">
        <x:v>0</x:v>
      </x:c>
      <x:c r="N1009" s="9" t="str">
        <x:v>OPEN / UNACCEPTED</x:v>
      </x:c>
      <x:c r="O1009" s="9" t="n">
        <x:f>COUNTIFS($A$7:$A$1734,A1009)</x:f>
        <x:v>1</x:v>
      </x:c>
    </x:row>
    <x:row r="1010">
      <x:c r="A1010" s="9" t="str">
        <x:v>EV-AR-RT-B-C-TECH-3-B1-BRK-G0-OG08</x:v>
      </x:c>
      <x:c r="B1010" s="9" t="str">
        <x:v>EV-AR-RT-B-C-TECH-3-B1-BRK-G0</x:v>
      </x:c>
      <x:c r="C1010" s="9" t="str">
        <x:v>AR-RT-B-C-TECH-3-B1-BRK-G0</x:v>
      </x:c>
      <x:c r="D1010" s="9" t="str">
        <x:v>RT-B-C-TECH-3</x:v>
      </x:c>
      <x:c r="E1010" s="9" t="str">
        <x:v>RT-B-C</x:v>
      </x:c>
      <x:c r="F1010" s="9" t="str">
        <x:v>B1</x:v>
      </x:c>
      <x:c r="G1010" s="9" t="str">
        <x:v>BRK</x:v>
      </x:c>
      <x:c r="H1010" s="9" t="str">
        <x:v>OG08</x:v>
      </x:c>
      <x:c r="I1010" s="17" t="str">
        <x:v>Environment and boundary</x:v>
      </x:c>
      <x:c r="J1010" s="17" t="str">
        <x:v>registered weather, water, ground, inlet and outlet states are retained</x:v>
      </x:c>
      <x:c r="K1010" s="17" t="str">
        <x:v>Boundary court</x:v>
      </x:c>
      <x:c r="L1010" s="9" t="n">
        <x:v>0</x:v>
      </x:c>
      <x:c r="M1010" s="9" t="n">
        <x:v>0</x:v>
      </x:c>
      <x:c r="N1010" s="9" t="str">
        <x:v>OPEN / UNACCEPTED</x:v>
      </x:c>
      <x:c r="O1010" s="9" t="n">
        <x:f>COUNTIFS($A$7:$A$1734,A1010)</x:f>
        <x:v>1</x:v>
      </x:c>
    </x:row>
    <x:row r="1011">
      <x:c r="A1011" s="9" t="str">
        <x:v>EV-AR-RT-B-C-TECH-3-B1-BRK-G0-OG09</x:v>
      </x:c>
      <x:c r="B1011" s="9" t="str">
        <x:v>EV-AR-RT-B-C-TECH-3-B1-BRK-G0</x:v>
      </x:c>
      <x:c r="C1011" s="9" t="str">
        <x:v>AR-RT-B-C-TECH-3-B1-BRK-G0</x:v>
      </x:c>
      <x:c r="D1011" s="9" t="str">
        <x:v>RT-B-C-TECH-3</x:v>
      </x:c>
      <x:c r="E1011" s="9" t="str">
        <x:v>RT-B-C</x:v>
      </x:c>
      <x:c r="F1011" s="9" t="str">
        <x:v>B1</x:v>
      </x:c>
      <x:c r="G1011" s="9" t="str">
        <x:v>BRK</x:v>
      </x:c>
      <x:c r="H1011" s="9" t="str">
        <x:v>OG09</x:v>
      </x:c>
      <x:c r="I1011" s="17" t="str">
        <x:v>Intervention account</x:v>
      </x:c>
      <x:c r="J1011" s="17" t="str">
        <x:v>all stop, rescue, operator and public-protection actions remain timestamped</x:v>
      </x:c>
      <x:c r="K1011" s="17" t="str">
        <x:v>Safety record court</x:v>
      </x:c>
      <x:c r="L1011" s="9" t="n">
        <x:v>0</x:v>
      </x:c>
      <x:c r="M1011" s="9" t="n">
        <x:v>0</x:v>
      </x:c>
      <x:c r="N1011" s="9" t="str">
        <x:v>OPEN / UNACCEPTED</x:v>
      </x:c>
      <x:c r="O1011" s="9" t="n">
        <x:f>COUNTIFS($A$7:$A$1734,A1011)</x:f>
        <x:v>1</x:v>
      </x:c>
    </x:row>
    <x:row r="1012">
      <x:c r="A1012" s="9" t="str">
        <x:v>EV-AR-RT-B-C-TECH-3-B1-BRK-G0-OG10</x:v>
      </x:c>
      <x:c r="B1012" s="9" t="str">
        <x:v>EV-AR-RT-B-C-TECH-3-B1-BRK-G0</x:v>
      </x:c>
      <x:c r="C1012" s="9" t="str">
        <x:v>AR-RT-B-C-TECH-3-B1-BRK-G0</x:v>
      </x:c>
      <x:c r="D1012" s="9" t="str">
        <x:v>RT-B-C-TECH-3</x:v>
      </x:c>
      <x:c r="E1012" s="9" t="str">
        <x:v>RT-B-C</x:v>
      </x:c>
      <x:c r="F1012" s="9" t="str">
        <x:v>B1</x:v>
      </x:c>
      <x:c r="G1012" s="9" t="str">
        <x:v>BRK</x:v>
      </x:c>
      <x:c r="H1012" s="9" t="str">
        <x:v>OG10</x:v>
      </x:c>
      <x:c r="I1012" s="17" t="str">
        <x:v>Uncertainty statement</x:v>
      </x:c>
      <x:c r="J1012" s="17" t="str">
        <x:v>range, censoring, resolution and correlation are declared before judgment</x:v>
      </x:c>
      <x:c r="K1012" s="17" t="str">
        <x:v>Uncertainty authority</x:v>
      </x:c>
      <x:c r="L1012" s="9" t="n">
        <x:v>0</x:v>
      </x:c>
      <x:c r="M1012" s="9" t="n">
        <x:v>0</x:v>
      </x:c>
      <x:c r="N1012" s="9" t="str">
        <x:v>OPEN / UNACCEPTED</x:v>
      </x:c>
      <x:c r="O1012" s="9" t="n">
        <x:f>COUNTIFS($A$7:$A$1734,A1012)</x:f>
        <x:v>1</x:v>
      </x:c>
    </x:row>
    <x:row r="1013">
      <x:c r="A1013" s="9" t="str">
        <x:v>EV-AR-RT-B-C-TECH-3-B1-BRK-G0-OG11</x:v>
      </x:c>
      <x:c r="B1013" s="9" t="str">
        <x:v>EV-AR-RT-B-C-TECH-3-B1-BRK-G0</x:v>
      </x:c>
      <x:c r="C1013" s="9" t="str">
        <x:v>AR-RT-B-C-TECH-3-B1-BRK-G0</x:v>
      </x:c>
      <x:c r="D1013" s="9" t="str">
        <x:v>RT-B-C-TECH-3</x:v>
      </x:c>
      <x:c r="E1013" s="9" t="str">
        <x:v>RT-B-C</x:v>
      </x:c>
      <x:c r="F1013" s="9" t="str">
        <x:v>B1</x:v>
      </x:c>
      <x:c r="G1013" s="9" t="str">
        <x:v>BRK</x:v>
      </x:c>
      <x:c r="H1013" s="9" t="str">
        <x:v>OG11</x:v>
      </x:c>
      <x:c r="I1013" s="17" t="str">
        <x:v>Contradiction preservation</x:v>
      </x:c>
      <x:c r="J1013" s="17" t="str">
        <x:v>primary-witness disagreement remains explicit and is never averaged away</x:v>
      </x:c>
      <x:c r="K1013" s="17" t="str">
        <x:v>Dissent registrar</x:v>
      </x:c>
      <x:c r="L1013" s="9" t="n">
        <x:v>0</x:v>
      </x:c>
      <x:c r="M1013" s="9" t="n">
        <x:v>0</x:v>
      </x:c>
      <x:c r="N1013" s="9" t="str">
        <x:v>OPEN / UNACCEPTED</x:v>
      </x:c>
      <x:c r="O1013" s="9" t="n">
        <x:f>COUNTIFS($A$7:$A$1734,A1013)</x:f>
        <x:v>1</x:v>
      </x:c>
    </x:row>
    <x:row r="1014">
      <x:c r="A1014" s="9" t="str">
        <x:v>EV-AR-RT-B-C-TECH-3-B1-BRK-G0-OG12</x:v>
      </x:c>
      <x:c r="B1014" s="9" t="str">
        <x:v>EV-AR-RT-B-C-TECH-3-B1-BRK-G0</x:v>
      </x:c>
      <x:c r="C1014" s="9" t="str">
        <x:v>AR-RT-B-C-TECH-3-B1-BRK-G0</x:v>
      </x:c>
      <x:c r="D1014" s="9" t="str">
        <x:v>RT-B-C-TECH-3</x:v>
      </x:c>
      <x:c r="E1014" s="9" t="str">
        <x:v>RT-B-C</x:v>
      </x:c>
      <x:c r="F1014" s="9" t="str">
        <x:v>B1</x:v>
      </x:c>
      <x:c r="G1014" s="9" t="str">
        <x:v>BRK</x:v>
      </x:c>
      <x:c r="H1014" s="9" t="str">
        <x:v>OG12</x:v>
      </x:c>
      <x:c r="I1014" s="17" t="str">
        <x:v>Independent replay</x:v>
      </x:c>
      <x:c r="J1014" s="17" t="str">
        <x:v>a separated reader reconstructs the registered observables from sealed originals</x:v>
      </x:c>
      <x:c r="K1014" s="17" t="str">
        <x:v>Replay court</x:v>
      </x:c>
      <x:c r="L1014" s="9" t="n">
        <x:v>0</x:v>
      </x:c>
      <x:c r="M1014" s="9" t="n">
        <x:v>0</x:v>
      </x:c>
      <x:c r="N1014" s="9" t="str">
        <x:v>OPEN / UNACCEPTED</x:v>
      </x:c>
      <x:c r="O1014" s="9" t="n">
        <x:f>COUNTIFS($A$7:$A$1734,A1014)</x:f>
        <x:v>1</x:v>
      </x:c>
    </x:row>
    <x:row r="1015">
      <x:c r="A1015" s="9" t="str">
        <x:v>EV-AR-ET-A-A-TECH-3-B2-INT-G0-OG01</x:v>
      </x:c>
      <x:c r="B1015" s="9" t="str">
        <x:v>EV-AR-ET-A-A-TECH-3-B2-INT-G0</x:v>
      </x:c>
      <x:c r="C1015" s="9" t="str">
        <x:v>AR-ET-A-A-TECH-3-B2-INT-G0</x:v>
      </x:c>
      <x:c r="D1015" s="9" t="str">
        <x:v>ET-A-A-TECH-3</x:v>
      </x:c>
      <x:c r="E1015" s="9" t="str">
        <x:v>ET-A-A</x:v>
      </x:c>
      <x:c r="F1015" s="9" t="str">
        <x:v>B2</x:v>
      </x:c>
      <x:c r="G1015" s="9" t="str">
        <x:v>INT</x:v>
      </x:c>
      <x:c r="H1015" s="9" t="str">
        <x:v>OG01</x:v>
      </x:c>
      <x:c r="I1015" s="17" t="str">
        <x:v>Serial and event identity</x:v>
      </x:c>
      <x:c r="J1015" s="17" t="str">
        <x:v>record resolves to the issued serial, generation and physical start</x:v>
      </x:c>
      <x:c r="K1015" s="17" t="str">
        <x:v>Observation court</x:v>
      </x:c>
      <x:c r="L1015" s="9" t="n">
        <x:v>0</x:v>
      </x:c>
      <x:c r="M1015" s="9" t="n">
        <x:v>0</x:v>
      </x:c>
      <x:c r="N1015" s="9" t="str">
        <x:v>OPEN / UNACCEPTED</x:v>
      </x:c>
      <x:c r="O1015" s="9" t="n">
        <x:f>COUNTIFS($A$7:$A$1734,A1015)</x:f>
        <x:v>1</x:v>
      </x:c>
    </x:row>
    <x:row r="1016">
      <x:c r="A1016" s="9" t="str">
        <x:v>EV-AR-ET-A-A-TECH-3-B2-INT-G0-OG02</x:v>
      </x:c>
      <x:c r="B1016" s="9" t="str">
        <x:v>EV-AR-ET-A-A-TECH-3-B2-INT-G0</x:v>
      </x:c>
      <x:c r="C1016" s="9" t="str">
        <x:v>AR-ET-A-A-TECH-3-B2-INT-G0</x:v>
      </x:c>
      <x:c r="D1016" s="9" t="str">
        <x:v>ET-A-A-TECH-3</x:v>
      </x:c>
      <x:c r="E1016" s="9" t="str">
        <x:v>ET-A-A</x:v>
      </x:c>
      <x:c r="F1016" s="9" t="str">
        <x:v>B2</x:v>
      </x:c>
      <x:c r="G1016" s="9" t="str">
        <x:v>INT</x:v>
      </x:c>
      <x:c r="H1016" s="9" t="str">
        <x:v>OG02</x:v>
      </x:c>
      <x:c r="I1016" s="17" t="str">
        <x:v>Time ancestry</x:v>
      </x:c>
      <x:c r="J1016" s="17" t="str">
        <x:v>primary, witness and public event clocks retain declared offsets and drift</x:v>
      </x:c>
      <x:c r="K1016" s="17" t="str">
        <x:v>Time authority</x:v>
      </x:c>
      <x:c r="L1016" s="9" t="n">
        <x:v>0</x:v>
      </x:c>
      <x:c r="M1016" s="9" t="n">
        <x:v>0</x:v>
      </x:c>
      <x:c r="N1016" s="9" t="str">
        <x:v>OPEN / UNACCEPTED</x:v>
      </x:c>
      <x:c r="O1016" s="9" t="n">
        <x:f>COUNTIFS($A$7:$A$1734,A1016)</x:f>
        <x:v>1</x:v>
      </x:c>
    </x:row>
    <x:row r="1017">
      <x:c r="A1017" s="9" t="str">
        <x:v>EV-AR-ET-A-A-TECH-3-B2-INT-G0-OG03</x:v>
      </x:c>
      <x:c r="B1017" s="9" t="str">
        <x:v>EV-AR-ET-A-A-TECH-3-B2-INT-G0</x:v>
      </x:c>
      <x:c r="C1017" s="9" t="str">
        <x:v>AR-ET-A-A-TECH-3-B2-INT-G0</x:v>
      </x:c>
      <x:c r="D1017" s="9" t="str">
        <x:v>ET-A-A-TECH-3</x:v>
      </x:c>
      <x:c r="E1017" s="9" t="str">
        <x:v>ET-A-A</x:v>
      </x:c>
      <x:c r="F1017" s="9" t="str">
        <x:v>B2</x:v>
      </x:c>
      <x:c r="G1017" s="9" t="str">
        <x:v>INT</x:v>
      </x:c>
      <x:c r="H1017" s="9" t="str">
        <x:v>OG03</x:v>
      </x:c>
      <x:c r="I1017" s="17" t="str">
        <x:v>Calibration ancestry</x:v>
      </x:c>
      <x:c r="J1017" s="17" t="str">
        <x:v>all reference, range and uncertainty states cover the live interval</x:v>
      </x:c>
      <x:c r="K1017" s="17" t="str">
        <x:v>Metrology courts</x:v>
      </x:c>
      <x:c r="L1017" s="9" t="n">
        <x:v>0</x:v>
      </x:c>
      <x:c r="M1017" s="9" t="n">
        <x:v>0</x:v>
      </x:c>
      <x:c r="N1017" s="9" t="str">
        <x:v>OPEN / UNACCEPTED</x:v>
      </x:c>
      <x:c r="O1017" s="9" t="n">
        <x:f>COUNTIFS($A$7:$A$1734,A1017)</x:f>
        <x:v>1</x:v>
      </x:c>
    </x:row>
    <x:row r="1018">
      <x:c r="A1018" s="9" t="str">
        <x:v>EV-AR-ET-A-A-TECH-3-B2-INT-G0-OG04</x:v>
      </x:c>
      <x:c r="B1018" s="9" t="str">
        <x:v>EV-AR-ET-A-A-TECH-3-B2-INT-G0</x:v>
      </x:c>
      <x:c r="C1018" s="9" t="str">
        <x:v>AR-ET-A-A-TECH-3-B2-INT-G0</x:v>
      </x:c>
      <x:c r="D1018" s="9" t="str">
        <x:v>ET-A-A-TECH-3</x:v>
      </x:c>
      <x:c r="E1018" s="9" t="str">
        <x:v>ET-A-A</x:v>
      </x:c>
      <x:c r="F1018" s="9" t="str">
        <x:v>B2</x:v>
      </x:c>
      <x:c r="G1018" s="9" t="str">
        <x:v>INT</x:v>
      </x:c>
      <x:c r="H1018" s="9" t="str">
        <x:v>OG04</x:v>
      </x:c>
      <x:c r="I1018" s="17" t="str">
        <x:v>Raw completeness</x:v>
      </x:c>
      <x:c r="J1018" s="17" t="str">
        <x:v>missingness is enumerated without imputation or outcome-conditioned deletion</x:v>
      </x:c>
      <x:c r="K1018" s="17" t="str">
        <x:v>Observation court</x:v>
      </x:c>
      <x:c r="L1018" s="9" t="n">
        <x:v>0</x:v>
      </x:c>
      <x:c r="M1018" s="9" t="n">
        <x:v>0</x:v>
      </x:c>
      <x:c r="N1018" s="9" t="str">
        <x:v>OPEN / UNACCEPTED</x:v>
      </x:c>
      <x:c r="O1018" s="9" t="n">
        <x:f>COUNTIFS($A$7:$A$1734,A1018)</x:f>
        <x:v>1</x:v>
      </x:c>
    </x:row>
    <x:row r="1019">
      <x:c r="A1019" s="9" t="str">
        <x:v>EV-AR-ET-A-A-TECH-3-B2-INT-G0-OG05</x:v>
      </x:c>
      <x:c r="B1019" s="9" t="str">
        <x:v>EV-AR-ET-A-A-TECH-3-B2-INT-G0</x:v>
      </x:c>
      <x:c r="C1019" s="9" t="str">
        <x:v>AR-ET-A-A-TECH-3-B2-INT-G0</x:v>
      </x:c>
      <x:c r="D1019" s="9" t="str">
        <x:v>ET-A-A-TECH-3</x:v>
      </x:c>
      <x:c r="E1019" s="9" t="str">
        <x:v>ET-A-A</x:v>
      </x:c>
      <x:c r="F1019" s="9" t="str">
        <x:v>B2</x:v>
      </x:c>
      <x:c r="G1019" s="9" t="str">
        <x:v>INT</x:v>
      </x:c>
      <x:c r="H1019" s="9" t="str">
        <x:v>OG05</x:v>
      </x:c>
      <x:c r="I1019" s="17" t="str">
        <x:v>Primary provenance</x:v>
      </x:c>
      <x:c r="J1019" s="17" t="str">
        <x:v>primary originals, hashes, keys and access history reconcile</x:v>
      </x:c>
      <x:c r="K1019" s="17" t="str">
        <x:v>Primary custody</x:v>
      </x:c>
      <x:c r="L1019" s="9" t="n">
        <x:v>0</x:v>
      </x:c>
      <x:c r="M1019" s="9" t="n">
        <x:v>0</x:v>
      </x:c>
      <x:c r="N1019" s="9" t="str">
        <x:v>OPEN / UNACCEPTED</x:v>
      </x:c>
      <x:c r="O1019" s="9" t="n">
        <x:f>COUNTIFS($A$7:$A$1734,A1019)</x:f>
        <x:v>1</x:v>
      </x:c>
    </x:row>
    <x:row r="1020">
      <x:c r="A1020" s="9" t="str">
        <x:v>EV-AR-ET-A-A-TECH-3-B2-INT-G0-OG06</x:v>
      </x:c>
      <x:c r="B1020" s="9" t="str">
        <x:v>EV-AR-ET-A-A-TECH-3-B2-INT-G0</x:v>
      </x:c>
      <x:c r="C1020" s="9" t="str">
        <x:v>AR-ET-A-A-TECH-3-B2-INT-G0</x:v>
      </x:c>
      <x:c r="D1020" s="9" t="str">
        <x:v>ET-A-A-TECH-3</x:v>
      </x:c>
      <x:c r="E1020" s="9" t="str">
        <x:v>ET-A-A</x:v>
      </x:c>
      <x:c r="F1020" s="9" t="str">
        <x:v>B2</x:v>
      </x:c>
      <x:c r="G1020" s="9" t="str">
        <x:v>INT</x:v>
      </x:c>
      <x:c r="H1020" s="9" t="str">
        <x:v>OG06</x:v>
      </x:c>
      <x:c r="I1020" s="17" t="str">
        <x:v>Witness provenance</x:v>
      </x:c>
      <x:c r="J1020" s="17" t="str">
        <x:v>unlike witness originals, hashes, keys and access history reconcile</x:v>
      </x:c>
      <x:c r="K1020" s="17" t="str">
        <x:v>Witness custody</x:v>
      </x:c>
      <x:c r="L1020" s="9" t="n">
        <x:v>0</x:v>
      </x:c>
      <x:c r="M1020" s="9" t="n">
        <x:v>0</x:v>
      </x:c>
      <x:c r="N1020" s="9" t="str">
        <x:v>OPEN / UNACCEPTED</x:v>
      </x:c>
      <x:c r="O1020" s="9" t="n">
        <x:f>COUNTIFS($A$7:$A$1734,A1020)</x:f>
        <x:v>1</x:v>
      </x:c>
    </x:row>
    <x:row r="1021">
      <x:c r="A1021" s="9" t="str">
        <x:v>EV-AR-ET-A-A-TECH-3-B2-INT-G0-OG07</x:v>
      </x:c>
      <x:c r="B1021" s="9" t="str">
        <x:v>EV-AR-ET-A-A-TECH-3-B2-INT-G0</x:v>
      </x:c>
      <x:c r="C1021" s="9" t="str">
        <x:v>AR-ET-A-A-TECH-3-B2-INT-G0</x:v>
      </x:c>
      <x:c r="D1021" s="9" t="str">
        <x:v>ET-A-A-TECH-3</x:v>
      </x:c>
      <x:c r="E1021" s="9" t="str">
        <x:v>ET-A-A</x:v>
      </x:c>
      <x:c r="F1021" s="9" t="str">
        <x:v>B2</x:v>
      </x:c>
      <x:c r="G1021" s="9" t="str">
        <x:v>INT</x:v>
      </x:c>
      <x:c r="H1021" s="9" t="str">
        <x:v>OG07</x:v>
      </x:c>
      <x:c r="I1021" s="17" t="str">
        <x:v>Receiver denominator</x:v>
      </x:c>
      <x:c r="J1021" s="17" t="str">
        <x:v>population, quantity, duration and exclusions match the frozen receipt</x:v>
      </x:c>
      <x:c r="K1021" s="17" t="str">
        <x:v>Receiver court</x:v>
      </x:c>
      <x:c r="L1021" s="9" t="n">
        <x:v>0</x:v>
      </x:c>
      <x:c r="M1021" s="9" t="n">
        <x:v>0</x:v>
      </x:c>
      <x:c r="N1021" s="9" t="str">
        <x:v>OPEN / UNACCEPTED</x:v>
      </x:c>
      <x:c r="O1021" s="9" t="n">
        <x:f>COUNTIFS($A$7:$A$1734,A1021)</x:f>
        <x:v>1</x:v>
      </x:c>
    </x:row>
    <x:row r="1022">
      <x:c r="A1022" s="9" t="str">
        <x:v>EV-AR-ET-A-A-TECH-3-B2-INT-G0-OG08</x:v>
      </x:c>
      <x:c r="B1022" s="9" t="str">
        <x:v>EV-AR-ET-A-A-TECH-3-B2-INT-G0</x:v>
      </x:c>
      <x:c r="C1022" s="9" t="str">
        <x:v>AR-ET-A-A-TECH-3-B2-INT-G0</x:v>
      </x:c>
      <x:c r="D1022" s="9" t="str">
        <x:v>ET-A-A-TECH-3</x:v>
      </x:c>
      <x:c r="E1022" s="9" t="str">
        <x:v>ET-A-A</x:v>
      </x:c>
      <x:c r="F1022" s="9" t="str">
        <x:v>B2</x:v>
      </x:c>
      <x:c r="G1022" s="9" t="str">
        <x:v>INT</x:v>
      </x:c>
      <x:c r="H1022" s="9" t="str">
        <x:v>OG08</x:v>
      </x:c>
      <x:c r="I1022" s="17" t="str">
        <x:v>Environment and boundary</x:v>
      </x:c>
      <x:c r="J1022" s="17" t="str">
        <x:v>registered weather, water, ground, inlet and outlet states are retained</x:v>
      </x:c>
      <x:c r="K1022" s="17" t="str">
        <x:v>Boundary court</x:v>
      </x:c>
      <x:c r="L1022" s="9" t="n">
        <x:v>0</x:v>
      </x:c>
      <x:c r="M1022" s="9" t="n">
        <x:v>0</x:v>
      </x:c>
      <x:c r="N1022" s="9" t="str">
        <x:v>OPEN / UNACCEPTED</x:v>
      </x:c>
      <x:c r="O1022" s="9" t="n">
        <x:f>COUNTIFS($A$7:$A$1734,A1022)</x:f>
        <x:v>1</x:v>
      </x:c>
    </x:row>
    <x:row r="1023">
      <x:c r="A1023" s="9" t="str">
        <x:v>EV-AR-ET-A-A-TECH-3-B2-INT-G0-OG09</x:v>
      </x:c>
      <x:c r="B1023" s="9" t="str">
        <x:v>EV-AR-ET-A-A-TECH-3-B2-INT-G0</x:v>
      </x:c>
      <x:c r="C1023" s="9" t="str">
        <x:v>AR-ET-A-A-TECH-3-B2-INT-G0</x:v>
      </x:c>
      <x:c r="D1023" s="9" t="str">
        <x:v>ET-A-A-TECH-3</x:v>
      </x:c>
      <x:c r="E1023" s="9" t="str">
        <x:v>ET-A-A</x:v>
      </x:c>
      <x:c r="F1023" s="9" t="str">
        <x:v>B2</x:v>
      </x:c>
      <x:c r="G1023" s="9" t="str">
        <x:v>INT</x:v>
      </x:c>
      <x:c r="H1023" s="9" t="str">
        <x:v>OG09</x:v>
      </x:c>
      <x:c r="I1023" s="17" t="str">
        <x:v>Intervention account</x:v>
      </x:c>
      <x:c r="J1023" s="17" t="str">
        <x:v>all stop, rescue, operator and public-protection actions remain timestamped</x:v>
      </x:c>
      <x:c r="K1023" s="17" t="str">
        <x:v>Safety record court</x:v>
      </x:c>
      <x:c r="L1023" s="9" t="n">
        <x:v>0</x:v>
      </x:c>
      <x:c r="M1023" s="9" t="n">
        <x:v>0</x:v>
      </x:c>
      <x:c r="N1023" s="9" t="str">
        <x:v>OPEN / UNACCEPTED</x:v>
      </x:c>
      <x:c r="O1023" s="9" t="n">
        <x:f>COUNTIFS($A$7:$A$1734,A1023)</x:f>
        <x:v>1</x:v>
      </x:c>
    </x:row>
    <x:row r="1024">
      <x:c r="A1024" s="9" t="str">
        <x:v>EV-AR-ET-A-A-TECH-3-B2-INT-G0-OG10</x:v>
      </x:c>
      <x:c r="B1024" s="9" t="str">
        <x:v>EV-AR-ET-A-A-TECH-3-B2-INT-G0</x:v>
      </x:c>
      <x:c r="C1024" s="9" t="str">
        <x:v>AR-ET-A-A-TECH-3-B2-INT-G0</x:v>
      </x:c>
      <x:c r="D1024" s="9" t="str">
        <x:v>ET-A-A-TECH-3</x:v>
      </x:c>
      <x:c r="E1024" s="9" t="str">
        <x:v>ET-A-A</x:v>
      </x:c>
      <x:c r="F1024" s="9" t="str">
        <x:v>B2</x:v>
      </x:c>
      <x:c r="G1024" s="9" t="str">
        <x:v>INT</x:v>
      </x:c>
      <x:c r="H1024" s="9" t="str">
        <x:v>OG10</x:v>
      </x:c>
      <x:c r="I1024" s="17" t="str">
        <x:v>Uncertainty statement</x:v>
      </x:c>
      <x:c r="J1024" s="17" t="str">
        <x:v>range, censoring, resolution and correlation are declared before judgment</x:v>
      </x:c>
      <x:c r="K1024" s="17" t="str">
        <x:v>Uncertainty authority</x:v>
      </x:c>
      <x:c r="L1024" s="9" t="n">
        <x:v>0</x:v>
      </x:c>
      <x:c r="M1024" s="9" t="n">
        <x:v>0</x:v>
      </x:c>
      <x:c r="N1024" s="9" t="str">
        <x:v>OPEN / UNACCEPTED</x:v>
      </x:c>
      <x:c r="O1024" s="9" t="n">
        <x:f>COUNTIFS($A$7:$A$1734,A1024)</x:f>
        <x:v>1</x:v>
      </x:c>
    </x:row>
    <x:row r="1025">
      <x:c r="A1025" s="9" t="str">
        <x:v>EV-AR-ET-A-A-TECH-3-B2-INT-G0-OG11</x:v>
      </x:c>
      <x:c r="B1025" s="9" t="str">
        <x:v>EV-AR-ET-A-A-TECH-3-B2-INT-G0</x:v>
      </x:c>
      <x:c r="C1025" s="9" t="str">
        <x:v>AR-ET-A-A-TECH-3-B2-INT-G0</x:v>
      </x:c>
      <x:c r="D1025" s="9" t="str">
        <x:v>ET-A-A-TECH-3</x:v>
      </x:c>
      <x:c r="E1025" s="9" t="str">
        <x:v>ET-A-A</x:v>
      </x:c>
      <x:c r="F1025" s="9" t="str">
        <x:v>B2</x:v>
      </x:c>
      <x:c r="G1025" s="9" t="str">
        <x:v>INT</x:v>
      </x:c>
      <x:c r="H1025" s="9" t="str">
        <x:v>OG11</x:v>
      </x:c>
      <x:c r="I1025" s="17" t="str">
        <x:v>Contradiction preservation</x:v>
      </x:c>
      <x:c r="J1025" s="17" t="str">
        <x:v>primary-witness disagreement remains explicit and is never averaged away</x:v>
      </x:c>
      <x:c r="K1025" s="17" t="str">
        <x:v>Dissent registrar</x:v>
      </x:c>
      <x:c r="L1025" s="9" t="n">
        <x:v>0</x:v>
      </x:c>
      <x:c r="M1025" s="9" t="n">
        <x:v>0</x:v>
      </x:c>
      <x:c r="N1025" s="9" t="str">
        <x:v>OPEN / UNACCEPTED</x:v>
      </x:c>
      <x:c r="O1025" s="9" t="n">
        <x:f>COUNTIFS($A$7:$A$1734,A1025)</x:f>
        <x:v>1</x:v>
      </x:c>
    </x:row>
    <x:row r="1026">
      <x:c r="A1026" s="9" t="str">
        <x:v>EV-AR-ET-A-A-TECH-3-B2-INT-G0-OG12</x:v>
      </x:c>
      <x:c r="B1026" s="9" t="str">
        <x:v>EV-AR-ET-A-A-TECH-3-B2-INT-G0</x:v>
      </x:c>
      <x:c r="C1026" s="9" t="str">
        <x:v>AR-ET-A-A-TECH-3-B2-INT-G0</x:v>
      </x:c>
      <x:c r="D1026" s="9" t="str">
        <x:v>ET-A-A-TECH-3</x:v>
      </x:c>
      <x:c r="E1026" s="9" t="str">
        <x:v>ET-A-A</x:v>
      </x:c>
      <x:c r="F1026" s="9" t="str">
        <x:v>B2</x:v>
      </x:c>
      <x:c r="G1026" s="9" t="str">
        <x:v>INT</x:v>
      </x:c>
      <x:c r="H1026" s="9" t="str">
        <x:v>OG12</x:v>
      </x:c>
      <x:c r="I1026" s="17" t="str">
        <x:v>Independent replay</x:v>
      </x:c>
      <x:c r="J1026" s="17" t="str">
        <x:v>a separated reader reconstructs the registered observables from sealed originals</x:v>
      </x:c>
      <x:c r="K1026" s="17" t="str">
        <x:v>Replay court</x:v>
      </x:c>
      <x:c r="L1026" s="9" t="n">
        <x:v>0</x:v>
      </x:c>
      <x:c r="M1026" s="9" t="n">
        <x:v>0</x:v>
      </x:c>
      <x:c r="N1026" s="9" t="str">
        <x:v>OPEN / UNACCEPTED</x:v>
      </x:c>
      <x:c r="O1026" s="9" t="n">
        <x:f>COUNTIFS($A$7:$A$1734,A1026)</x:f>
        <x:v>1</x:v>
      </x:c>
    </x:row>
    <x:row r="1027">
      <x:c r="A1027" s="9" t="str">
        <x:v>EV-AR-HC-A-C-TECH-4-B1-RCN-G0-OG01</x:v>
      </x:c>
      <x:c r="B1027" s="9" t="str">
        <x:v>EV-AR-HC-A-C-TECH-4-B1-RCN-G0</x:v>
      </x:c>
      <x:c r="C1027" s="9" t="str">
        <x:v>AR-HC-A-C-TECH-4-B1-RCN-G0</x:v>
      </x:c>
      <x:c r="D1027" s="9" t="str">
        <x:v>HC-A-C-TECH-4</x:v>
      </x:c>
      <x:c r="E1027" s="9" t="str">
        <x:v>HC-A-C</x:v>
      </x:c>
      <x:c r="F1027" s="9" t="str">
        <x:v>B1</x:v>
      </x:c>
      <x:c r="G1027" s="9" t="str">
        <x:v>RCN</x:v>
      </x:c>
      <x:c r="H1027" s="9" t="str">
        <x:v>OG01</x:v>
      </x:c>
      <x:c r="I1027" s="17" t="str">
        <x:v>Serial and event identity</x:v>
      </x:c>
      <x:c r="J1027" s="17" t="str">
        <x:v>record resolves to the issued serial, generation and physical start</x:v>
      </x:c>
      <x:c r="K1027" s="17" t="str">
        <x:v>Observation court</x:v>
      </x:c>
      <x:c r="L1027" s="9" t="n">
        <x:v>0</x:v>
      </x:c>
      <x:c r="M1027" s="9" t="n">
        <x:v>0</x:v>
      </x:c>
      <x:c r="N1027" s="9" t="str">
        <x:v>OPEN / UNACCEPTED</x:v>
      </x:c>
      <x:c r="O1027" s="9" t="n">
        <x:f>COUNTIFS($A$7:$A$1734,A1027)</x:f>
        <x:v>1</x:v>
      </x:c>
    </x:row>
    <x:row r="1028">
      <x:c r="A1028" s="9" t="str">
        <x:v>EV-AR-HC-A-C-TECH-4-B1-RCN-G0-OG02</x:v>
      </x:c>
      <x:c r="B1028" s="9" t="str">
        <x:v>EV-AR-HC-A-C-TECH-4-B1-RCN-G0</x:v>
      </x:c>
      <x:c r="C1028" s="9" t="str">
        <x:v>AR-HC-A-C-TECH-4-B1-RCN-G0</x:v>
      </x:c>
      <x:c r="D1028" s="9" t="str">
        <x:v>HC-A-C-TECH-4</x:v>
      </x:c>
      <x:c r="E1028" s="9" t="str">
        <x:v>HC-A-C</x:v>
      </x:c>
      <x:c r="F1028" s="9" t="str">
        <x:v>B1</x:v>
      </x:c>
      <x:c r="G1028" s="9" t="str">
        <x:v>RCN</x:v>
      </x:c>
      <x:c r="H1028" s="9" t="str">
        <x:v>OG02</x:v>
      </x:c>
      <x:c r="I1028" s="17" t="str">
        <x:v>Time ancestry</x:v>
      </x:c>
      <x:c r="J1028" s="17" t="str">
        <x:v>primary, witness and public event clocks retain declared offsets and drift</x:v>
      </x:c>
      <x:c r="K1028" s="17" t="str">
        <x:v>Time authority</x:v>
      </x:c>
      <x:c r="L1028" s="9" t="n">
        <x:v>0</x:v>
      </x:c>
      <x:c r="M1028" s="9" t="n">
        <x:v>0</x:v>
      </x:c>
      <x:c r="N1028" s="9" t="str">
        <x:v>OPEN / UNACCEPTED</x:v>
      </x:c>
      <x:c r="O1028" s="9" t="n">
        <x:f>COUNTIFS($A$7:$A$1734,A1028)</x:f>
        <x:v>1</x:v>
      </x:c>
    </x:row>
    <x:row r="1029">
      <x:c r="A1029" s="9" t="str">
        <x:v>EV-AR-HC-A-C-TECH-4-B1-RCN-G0-OG03</x:v>
      </x:c>
      <x:c r="B1029" s="9" t="str">
        <x:v>EV-AR-HC-A-C-TECH-4-B1-RCN-G0</x:v>
      </x:c>
      <x:c r="C1029" s="9" t="str">
        <x:v>AR-HC-A-C-TECH-4-B1-RCN-G0</x:v>
      </x:c>
      <x:c r="D1029" s="9" t="str">
        <x:v>HC-A-C-TECH-4</x:v>
      </x:c>
      <x:c r="E1029" s="9" t="str">
        <x:v>HC-A-C</x:v>
      </x:c>
      <x:c r="F1029" s="9" t="str">
        <x:v>B1</x:v>
      </x:c>
      <x:c r="G1029" s="9" t="str">
        <x:v>RCN</x:v>
      </x:c>
      <x:c r="H1029" s="9" t="str">
        <x:v>OG03</x:v>
      </x:c>
      <x:c r="I1029" s="17" t="str">
        <x:v>Calibration ancestry</x:v>
      </x:c>
      <x:c r="J1029" s="17" t="str">
        <x:v>all reference, range and uncertainty states cover the live interval</x:v>
      </x:c>
      <x:c r="K1029" s="17" t="str">
        <x:v>Metrology courts</x:v>
      </x:c>
      <x:c r="L1029" s="9" t="n">
        <x:v>0</x:v>
      </x:c>
      <x:c r="M1029" s="9" t="n">
        <x:v>0</x:v>
      </x:c>
      <x:c r="N1029" s="9" t="str">
        <x:v>OPEN / UNACCEPTED</x:v>
      </x:c>
      <x:c r="O1029" s="9" t="n">
        <x:f>COUNTIFS($A$7:$A$1734,A1029)</x:f>
        <x:v>1</x:v>
      </x:c>
    </x:row>
    <x:row r="1030">
      <x:c r="A1030" s="9" t="str">
        <x:v>EV-AR-HC-A-C-TECH-4-B1-RCN-G0-OG04</x:v>
      </x:c>
      <x:c r="B1030" s="9" t="str">
        <x:v>EV-AR-HC-A-C-TECH-4-B1-RCN-G0</x:v>
      </x:c>
      <x:c r="C1030" s="9" t="str">
        <x:v>AR-HC-A-C-TECH-4-B1-RCN-G0</x:v>
      </x:c>
      <x:c r="D1030" s="9" t="str">
        <x:v>HC-A-C-TECH-4</x:v>
      </x:c>
      <x:c r="E1030" s="9" t="str">
        <x:v>HC-A-C</x:v>
      </x:c>
      <x:c r="F1030" s="9" t="str">
        <x:v>B1</x:v>
      </x:c>
      <x:c r="G1030" s="9" t="str">
        <x:v>RCN</x:v>
      </x:c>
      <x:c r="H1030" s="9" t="str">
        <x:v>OG04</x:v>
      </x:c>
      <x:c r="I1030" s="17" t="str">
        <x:v>Raw completeness</x:v>
      </x:c>
      <x:c r="J1030" s="17" t="str">
        <x:v>missingness is enumerated without imputation or outcome-conditioned deletion</x:v>
      </x:c>
      <x:c r="K1030" s="17" t="str">
        <x:v>Observation court</x:v>
      </x:c>
      <x:c r="L1030" s="9" t="n">
        <x:v>0</x:v>
      </x:c>
      <x:c r="M1030" s="9" t="n">
        <x:v>0</x:v>
      </x:c>
      <x:c r="N1030" s="9" t="str">
        <x:v>OPEN / UNACCEPTED</x:v>
      </x:c>
      <x:c r="O1030" s="9" t="n">
        <x:f>COUNTIFS($A$7:$A$1734,A1030)</x:f>
        <x:v>1</x:v>
      </x:c>
    </x:row>
    <x:row r="1031">
      <x:c r="A1031" s="9" t="str">
        <x:v>EV-AR-HC-A-C-TECH-4-B1-RCN-G0-OG05</x:v>
      </x:c>
      <x:c r="B1031" s="9" t="str">
        <x:v>EV-AR-HC-A-C-TECH-4-B1-RCN-G0</x:v>
      </x:c>
      <x:c r="C1031" s="9" t="str">
        <x:v>AR-HC-A-C-TECH-4-B1-RCN-G0</x:v>
      </x:c>
      <x:c r="D1031" s="9" t="str">
        <x:v>HC-A-C-TECH-4</x:v>
      </x:c>
      <x:c r="E1031" s="9" t="str">
        <x:v>HC-A-C</x:v>
      </x:c>
      <x:c r="F1031" s="9" t="str">
        <x:v>B1</x:v>
      </x:c>
      <x:c r="G1031" s="9" t="str">
        <x:v>RCN</x:v>
      </x:c>
      <x:c r="H1031" s="9" t="str">
        <x:v>OG05</x:v>
      </x:c>
      <x:c r="I1031" s="17" t="str">
        <x:v>Primary provenance</x:v>
      </x:c>
      <x:c r="J1031" s="17" t="str">
        <x:v>primary originals, hashes, keys and access history reconcile</x:v>
      </x:c>
      <x:c r="K1031" s="17" t="str">
        <x:v>Primary custody</x:v>
      </x:c>
      <x:c r="L1031" s="9" t="n">
        <x:v>0</x:v>
      </x:c>
      <x:c r="M1031" s="9" t="n">
        <x:v>0</x:v>
      </x:c>
      <x:c r="N1031" s="9" t="str">
        <x:v>OPEN / UNACCEPTED</x:v>
      </x:c>
      <x:c r="O1031" s="9" t="n">
        <x:f>COUNTIFS($A$7:$A$1734,A1031)</x:f>
        <x:v>1</x:v>
      </x:c>
    </x:row>
    <x:row r="1032">
      <x:c r="A1032" s="9" t="str">
        <x:v>EV-AR-HC-A-C-TECH-4-B1-RCN-G0-OG06</x:v>
      </x:c>
      <x:c r="B1032" s="9" t="str">
        <x:v>EV-AR-HC-A-C-TECH-4-B1-RCN-G0</x:v>
      </x:c>
      <x:c r="C1032" s="9" t="str">
        <x:v>AR-HC-A-C-TECH-4-B1-RCN-G0</x:v>
      </x:c>
      <x:c r="D1032" s="9" t="str">
        <x:v>HC-A-C-TECH-4</x:v>
      </x:c>
      <x:c r="E1032" s="9" t="str">
        <x:v>HC-A-C</x:v>
      </x:c>
      <x:c r="F1032" s="9" t="str">
        <x:v>B1</x:v>
      </x:c>
      <x:c r="G1032" s="9" t="str">
        <x:v>RCN</x:v>
      </x:c>
      <x:c r="H1032" s="9" t="str">
        <x:v>OG06</x:v>
      </x:c>
      <x:c r="I1032" s="17" t="str">
        <x:v>Witness provenance</x:v>
      </x:c>
      <x:c r="J1032" s="17" t="str">
        <x:v>unlike witness originals, hashes, keys and access history reconcile</x:v>
      </x:c>
      <x:c r="K1032" s="17" t="str">
        <x:v>Witness custody</x:v>
      </x:c>
      <x:c r="L1032" s="9" t="n">
        <x:v>0</x:v>
      </x:c>
      <x:c r="M1032" s="9" t="n">
        <x:v>0</x:v>
      </x:c>
      <x:c r="N1032" s="9" t="str">
        <x:v>OPEN / UNACCEPTED</x:v>
      </x:c>
      <x:c r="O1032" s="9" t="n">
        <x:f>COUNTIFS($A$7:$A$1734,A1032)</x:f>
        <x:v>1</x:v>
      </x:c>
    </x:row>
    <x:row r="1033">
      <x:c r="A1033" s="9" t="str">
        <x:v>EV-AR-HC-A-C-TECH-4-B1-RCN-G0-OG07</x:v>
      </x:c>
      <x:c r="B1033" s="9" t="str">
        <x:v>EV-AR-HC-A-C-TECH-4-B1-RCN-G0</x:v>
      </x:c>
      <x:c r="C1033" s="9" t="str">
        <x:v>AR-HC-A-C-TECH-4-B1-RCN-G0</x:v>
      </x:c>
      <x:c r="D1033" s="9" t="str">
        <x:v>HC-A-C-TECH-4</x:v>
      </x:c>
      <x:c r="E1033" s="9" t="str">
        <x:v>HC-A-C</x:v>
      </x:c>
      <x:c r="F1033" s="9" t="str">
        <x:v>B1</x:v>
      </x:c>
      <x:c r="G1033" s="9" t="str">
        <x:v>RCN</x:v>
      </x:c>
      <x:c r="H1033" s="9" t="str">
        <x:v>OG07</x:v>
      </x:c>
      <x:c r="I1033" s="17" t="str">
        <x:v>Receiver denominator</x:v>
      </x:c>
      <x:c r="J1033" s="17" t="str">
        <x:v>population, quantity, duration and exclusions match the frozen receipt</x:v>
      </x:c>
      <x:c r="K1033" s="17" t="str">
        <x:v>Receiver court</x:v>
      </x:c>
      <x:c r="L1033" s="9" t="n">
        <x:v>0</x:v>
      </x:c>
      <x:c r="M1033" s="9" t="n">
        <x:v>0</x:v>
      </x:c>
      <x:c r="N1033" s="9" t="str">
        <x:v>OPEN / UNACCEPTED</x:v>
      </x:c>
      <x:c r="O1033" s="9" t="n">
        <x:f>COUNTIFS($A$7:$A$1734,A1033)</x:f>
        <x:v>1</x:v>
      </x:c>
    </x:row>
    <x:row r="1034">
      <x:c r="A1034" s="9" t="str">
        <x:v>EV-AR-HC-A-C-TECH-4-B1-RCN-G0-OG08</x:v>
      </x:c>
      <x:c r="B1034" s="9" t="str">
        <x:v>EV-AR-HC-A-C-TECH-4-B1-RCN-G0</x:v>
      </x:c>
      <x:c r="C1034" s="9" t="str">
        <x:v>AR-HC-A-C-TECH-4-B1-RCN-G0</x:v>
      </x:c>
      <x:c r="D1034" s="9" t="str">
        <x:v>HC-A-C-TECH-4</x:v>
      </x:c>
      <x:c r="E1034" s="9" t="str">
        <x:v>HC-A-C</x:v>
      </x:c>
      <x:c r="F1034" s="9" t="str">
        <x:v>B1</x:v>
      </x:c>
      <x:c r="G1034" s="9" t="str">
        <x:v>RCN</x:v>
      </x:c>
      <x:c r="H1034" s="9" t="str">
        <x:v>OG08</x:v>
      </x:c>
      <x:c r="I1034" s="17" t="str">
        <x:v>Environment and boundary</x:v>
      </x:c>
      <x:c r="J1034" s="17" t="str">
        <x:v>registered weather, water, ground, inlet and outlet states are retained</x:v>
      </x:c>
      <x:c r="K1034" s="17" t="str">
        <x:v>Boundary court</x:v>
      </x:c>
      <x:c r="L1034" s="9" t="n">
        <x:v>0</x:v>
      </x:c>
      <x:c r="M1034" s="9" t="n">
        <x:v>0</x:v>
      </x:c>
      <x:c r="N1034" s="9" t="str">
        <x:v>OPEN / UNACCEPTED</x:v>
      </x:c>
      <x:c r="O1034" s="9" t="n">
        <x:f>COUNTIFS($A$7:$A$1734,A1034)</x:f>
        <x:v>1</x:v>
      </x:c>
    </x:row>
    <x:row r="1035">
      <x:c r="A1035" s="9" t="str">
        <x:v>EV-AR-HC-A-C-TECH-4-B1-RCN-G0-OG09</x:v>
      </x:c>
      <x:c r="B1035" s="9" t="str">
        <x:v>EV-AR-HC-A-C-TECH-4-B1-RCN-G0</x:v>
      </x:c>
      <x:c r="C1035" s="9" t="str">
        <x:v>AR-HC-A-C-TECH-4-B1-RCN-G0</x:v>
      </x:c>
      <x:c r="D1035" s="9" t="str">
        <x:v>HC-A-C-TECH-4</x:v>
      </x:c>
      <x:c r="E1035" s="9" t="str">
        <x:v>HC-A-C</x:v>
      </x:c>
      <x:c r="F1035" s="9" t="str">
        <x:v>B1</x:v>
      </x:c>
      <x:c r="G1035" s="9" t="str">
        <x:v>RCN</x:v>
      </x:c>
      <x:c r="H1035" s="9" t="str">
        <x:v>OG09</x:v>
      </x:c>
      <x:c r="I1035" s="17" t="str">
        <x:v>Intervention account</x:v>
      </x:c>
      <x:c r="J1035" s="17" t="str">
        <x:v>all stop, rescue, operator and public-protection actions remain timestamped</x:v>
      </x:c>
      <x:c r="K1035" s="17" t="str">
        <x:v>Safety record court</x:v>
      </x:c>
      <x:c r="L1035" s="9" t="n">
        <x:v>0</x:v>
      </x:c>
      <x:c r="M1035" s="9" t="n">
        <x:v>0</x:v>
      </x:c>
      <x:c r="N1035" s="9" t="str">
        <x:v>OPEN / UNACCEPTED</x:v>
      </x:c>
      <x:c r="O1035" s="9" t="n">
        <x:f>COUNTIFS($A$7:$A$1734,A1035)</x:f>
        <x:v>1</x:v>
      </x:c>
    </x:row>
    <x:row r="1036">
      <x:c r="A1036" s="9" t="str">
        <x:v>EV-AR-HC-A-C-TECH-4-B1-RCN-G0-OG10</x:v>
      </x:c>
      <x:c r="B1036" s="9" t="str">
        <x:v>EV-AR-HC-A-C-TECH-4-B1-RCN-G0</x:v>
      </x:c>
      <x:c r="C1036" s="9" t="str">
        <x:v>AR-HC-A-C-TECH-4-B1-RCN-G0</x:v>
      </x:c>
      <x:c r="D1036" s="9" t="str">
        <x:v>HC-A-C-TECH-4</x:v>
      </x:c>
      <x:c r="E1036" s="9" t="str">
        <x:v>HC-A-C</x:v>
      </x:c>
      <x:c r="F1036" s="9" t="str">
        <x:v>B1</x:v>
      </x:c>
      <x:c r="G1036" s="9" t="str">
        <x:v>RCN</x:v>
      </x:c>
      <x:c r="H1036" s="9" t="str">
        <x:v>OG10</x:v>
      </x:c>
      <x:c r="I1036" s="17" t="str">
        <x:v>Uncertainty statement</x:v>
      </x:c>
      <x:c r="J1036" s="17" t="str">
        <x:v>range, censoring, resolution and correlation are declared before judgment</x:v>
      </x:c>
      <x:c r="K1036" s="17" t="str">
        <x:v>Uncertainty authority</x:v>
      </x:c>
      <x:c r="L1036" s="9" t="n">
        <x:v>0</x:v>
      </x:c>
      <x:c r="M1036" s="9" t="n">
        <x:v>0</x:v>
      </x:c>
      <x:c r="N1036" s="9" t="str">
        <x:v>OPEN / UNACCEPTED</x:v>
      </x:c>
      <x:c r="O1036" s="9" t="n">
        <x:f>COUNTIFS($A$7:$A$1734,A1036)</x:f>
        <x:v>1</x:v>
      </x:c>
    </x:row>
    <x:row r="1037">
      <x:c r="A1037" s="9" t="str">
        <x:v>EV-AR-HC-A-C-TECH-4-B1-RCN-G0-OG11</x:v>
      </x:c>
      <x:c r="B1037" s="9" t="str">
        <x:v>EV-AR-HC-A-C-TECH-4-B1-RCN-G0</x:v>
      </x:c>
      <x:c r="C1037" s="9" t="str">
        <x:v>AR-HC-A-C-TECH-4-B1-RCN-G0</x:v>
      </x:c>
      <x:c r="D1037" s="9" t="str">
        <x:v>HC-A-C-TECH-4</x:v>
      </x:c>
      <x:c r="E1037" s="9" t="str">
        <x:v>HC-A-C</x:v>
      </x:c>
      <x:c r="F1037" s="9" t="str">
        <x:v>B1</x:v>
      </x:c>
      <x:c r="G1037" s="9" t="str">
        <x:v>RCN</x:v>
      </x:c>
      <x:c r="H1037" s="9" t="str">
        <x:v>OG11</x:v>
      </x:c>
      <x:c r="I1037" s="17" t="str">
        <x:v>Contradiction preservation</x:v>
      </x:c>
      <x:c r="J1037" s="17" t="str">
        <x:v>primary-witness disagreement remains explicit and is never averaged away</x:v>
      </x:c>
      <x:c r="K1037" s="17" t="str">
        <x:v>Dissent registrar</x:v>
      </x:c>
      <x:c r="L1037" s="9" t="n">
        <x:v>0</x:v>
      </x:c>
      <x:c r="M1037" s="9" t="n">
        <x:v>0</x:v>
      </x:c>
      <x:c r="N1037" s="9" t="str">
        <x:v>OPEN / UNACCEPTED</x:v>
      </x:c>
      <x:c r="O1037" s="9" t="n">
        <x:f>COUNTIFS($A$7:$A$1734,A1037)</x:f>
        <x:v>1</x:v>
      </x:c>
    </x:row>
    <x:row r="1038">
      <x:c r="A1038" s="9" t="str">
        <x:v>EV-AR-HC-A-C-TECH-4-B1-RCN-G0-OG12</x:v>
      </x:c>
      <x:c r="B1038" s="9" t="str">
        <x:v>EV-AR-HC-A-C-TECH-4-B1-RCN-G0</x:v>
      </x:c>
      <x:c r="C1038" s="9" t="str">
        <x:v>AR-HC-A-C-TECH-4-B1-RCN-G0</x:v>
      </x:c>
      <x:c r="D1038" s="9" t="str">
        <x:v>HC-A-C-TECH-4</x:v>
      </x:c>
      <x:c r="E1038" s="9" t="str">
        <x:v>HC-A-C</x:v>
      </x:c>
      <x:c r="F1038" s="9" t="str">
        <x:v>B1</x:v>
      </x:c>
      <x:c r="G1038" s="9" t="str">
        <x:v>RCN</x:v>
      </x:c>
      <x:c r="H1038" s="9" t="str">
        <x:v>OG12</x:v>
      </x:c>
      <x:c r="I1038" s="17" t="str">
        <x:v>Independent replay</x:v>
      </x:c>
      <x:c r="J1038" s="17" t="str">
        <x:v>a separated reader reconstructs the registered observables from sealed originals</x:v>
      </x:c>
      <x:c r="K1038" s="17" t="str">
        <x:v>Replay court</x:v>
      </x:c>
      <x:c r="L1038" s="9" t="n">
        <x:v>0</x:v>
      </x:c>
      <x:c r="M1038" s="9" t="n">
        <x:v>0</x:v>
      </x:c>
      <x:c r="N1038" s="9" t="str">
        <x:v>OPEN / UNACCEPTED</x:v>
      </x:c>
      <x:c r="O1038" s="9" t="n">
        <x:f>COUNTIFS($A$7:$A$1734,A1038)</x:f>
        <x:v>1</x:v>
      </x:c>
    </x:row>
    <x:row r="1039">
      <x:c r="A1039" s="9" t="str">
        <x:v>EV-AR-HC-A-C-TECH-2-B1-INT-G0-OG01</x:v>
      </x:c>
      <x:c r="B1039" s="9" t="str">
        <x:v>EV-AR-HC-A-C-TECH-2-B1-INT-G0</x:v>
      </x:c>
      <x:c r="C1039" s="9" t="str">
        <x:v>AR-HC-A-C-TECH-2-B1-INT-G0</x:v>
      </x:c>
      <x:c r="D1039" s="9" t="str">
        <x:v>HC-A-C-TECH-2</x:v>
      </x:c>
      <x:c r="E1039" s="9" t="str">
        <x:v>HC-A-C</x:v>
      </x:c>
      <x:c r="F1039" s="9" t="str">
        <x:v>B1</x:v>
      </x:c>
      <x:c r="G1039" s="9" t="str">
        <x:v>INT</x:v>
      </x:c>
      <x:c r="H1039" s="9" t="str">
        <x:v>OG01</x:v>
      </x:c>
      <x:c r="I1039" s="17" t="str">
        <x:v>Serial and event identity</x:v>
      </x:c>
      <x:c r="J1039" s="17" t="str">
        <x:v>record resolves to the issued serial, generation and physical start</x:v>
      </x:c>
      <x:c r="K1039" s="17" t="str">
        <x:v>Observation court</x:v>
      </x:c>
      <x:c r="L1039" s="9" t="n">
        <x:v>0</x:v>
      </x:c>
      <x:c r="M1039" s="9" t="n">
        <x:v>0</x:v>
      </x:c>
      <x:c r="N1039" s="9" t="str">
        <x:v>OPEN / UNACCEPTED</x:v>
      </x:c>
      <x:c r="O1039" s="9" t="n">
        <x:f>COUNTIFS($A$7:$A$1734,A1039)</x:f>
        <x:v>1</x:v>
      </x:c>
    </x:row>
    <x:row r="1040">
      <x:c r="A1040" s="9" t="str">
        <x:v>EV-AR-HC-A-C-TECH-2-B1-INT-G0-OG02</x:v>
      </x:c>
      <x:c r="B1040" s="9" t="str">
        <x:v>EV-AR-HC-A-C-TECH-2-B1-INT-G0</x:v>
      </x:c>
      <x:c r="C1040" s="9" t="str">
        <x:v>AR-HC-A-C-TECH-2-B1-INT-G0</x:v>
      </x:c>
      <x:c r="D1040" s="9" t="str">
        <x:v>HC-A-C-TECH-2</x:v>
      </x:c>
      <x:c r="E1040" s="9" t="str">
        <x:v>HC-A-C</x:v>
      </x:c>
      <x:c r="F1040" s="9" t="str">
        <x:v>B1</x:v>
      </x:c>
      <x:c r="G1040" s="9" t="str">
        <x:v>INT</x:v>
      </x:c>
      <x:c r="H1040" s="9" t="str">
        <x:v>OG02</x:v>
      </x:c>
      <x:c r="I1040" s="17" t="str">
        <x:v>Time ancestry</x:v>
      </x:c>
      <x:c r="J1040" s="17" t="str">
        <x:v>primary, witness and public event clocks retain declared offsets and drift</x:v>
      </x:c>
      <x:c r="K1040" s="17" t="str">
        <x:v>Time authority</x:v>
      </x:c>
      <x:c r="L1040" s="9" t="n">
        <x:v>0</x:v>
      </x:c>
      <x:c r="M1040" s="9" t="n">
        <x:v>0</x:v>
      </x:c>
      <x:c r="N1040" s="9" t="str">
        <x:v>OPEN / UNACCEPTED</x:v>
      </x:c>
      <x:c r="O1040" s="9" t="n">
        <x:f>COUNTIFS($A$7:$A$1734,A1040)</x:f>
        <x:v>1</x:v>
      </x:c>
    </x:row>
    <x:row r="1041">
      <x:c r="A1041" s="9" t="str">
        <x:v>EV-AR-HC-A-C-TECH-2-B1-INT-G0-OG03</x:v>
      </x:c>
      <x:c r="B1041" s="9" t="str">
        <x:v>EV-AR-HC-A-C-TECH-2-B1-INT-G0</x:v>
      </x:c>
      <x:c r="C1041" s="9" t="str">
        <x:v>AR-HC-A-C-TECH-2-B1-INT-G0</x:v>
      </x:c>
      <x:c r="D1041" s="9" t="str">
        <x:v>HC-A-C-TECH-2</x:v>
      </x:c>
      <x:c r="E1041" s="9" t="str">
        <x:v>HC-A-C</x:v>
      </x:c>
      <x:c r="F1041" s="9" t="str">
        <x:v>B1</x:v>
      </x:c>
      <x:c r="G1041" s="9" t="str">
        <x:v>INT</x:v>
      </x:c>
      <x:c r="H1041" s="9" t="str">
        <x:v>OG03</x:v>
      </x:c>
      <x:c r="I1041" s="17" t="str">
        <x:v>Calibration ancestry</x:v>
      </x:c>
      <x:c r="J1041" s="17" t="str">
        <x:v>all reference, range and uncertainty states cover the live interval</x:v>
      </x:c>
      <x:c r="K1041" s="17" t="str">
        <x:v>Metrology courts</x:v>
      </x:c>
      <x:c r="L1041" s="9" t="n">
        <x:v>0</x:v>
      </x:c>
      <x:c r="M1041" s="9" t="n">
        <x:v>0</x:v>
      </x:c>
      <x:c r="N1041" s="9" t="str">
        <x:v>OPEN / UNACCEPTED</x:v>
      </x:c>
      <x:c r="O1041" s="9" t="n">
        <x:f>COUNTIFS($A$7:$A$1734,A1041)</x:f>
        <x:v>1</x:v>
      </x:c>
    </x:row>
    <x:row r="1042">
      <x:c r="A1042" s="9" t="str">
        <x:v>EV-AR-HC-A-C-TECH-2-B1-INT-G0-OG04</x:v>
      </x:c>
      <x:c r="B1042" s="9" t="str">
        <x:v>EV-AR-HC-A-C-TECH-2-B1-INT-G0</x:v>
      </x:c>
      <x:c r="C1042" s="9" t="str">
        <x:v>AR-HC-A-C-TECH-2-B1-INT-G0</x:v>
      </x:c>
      <x:c r="D1042" s="9" t="str">
        <x:v>HC-A-C-TECH-2</x:v>
      </x:c>
      <x:c r="E1042" s="9" t="str">
        <x:v>HC-A-C</x:v>
      </x:c>
      <x:c r="F1042" s="9" t="str">
        <x:v>B1</x:v>
      </x:c>
      <x:c r="G1042" s="9" t="str">
        <x:v>INT</x:v>
      </x:c>
      <x:c r="H1042" s="9" t="str">
        <x:v>OG04</x:v>
      </x:c>
      <x:c r="I1042" s="17" t="str">
        <x:v>Raw completeness</x:v>
      </x:c>
      <x:c r="J1042" s="17" t="str">
        <x:v>missingness is enumerated without imputation or outcome-conditioned deletion</x:v>
      </x:c>
      <x:c r="K1042" s="17" t="str">
        <x:v>Observation court</x:v>
      </x:c>
      <x:c r="L1042" s="9" t="n">
        <x:v>0</x:v>
      </x:c>
      <x:c r="M1042" s="9" t="n">
        <x:v>0</x:v>
      </x:c>
      <x:c r="N1042" s="9" t="str">
        <x:v>OPEN / UNACCEPTED</x:v>
      </x:c>
      <x:c r="O1042" s="9" t="n">
        <x:f>COUNTIFS($A$7:$A$1734,A1042)</x:f>
        <x:v>1</x:v>
      </x:c>
    </x:row>
    <x:row r="1043">
      <x:c r="A1043" s="9" t="str">
        <x:v>EV-AR-HC-A-C-TECH-2-B1-INT-G0-OG05</x:v>
      </x:c>
      <x:c r="B1043" s="9" t="str">
        <x:v>EV-AR-HC-A-C-TECH-2-B1-INT-G0</x:v>
      </x:c>
      <x:c r="C1043" s="9" t="str">
        <x:v>AR-HC-A-C-TECH-2-B1-INT-G0</x:v>
      </x:c>
      <x:c r="D1043" s="9" t="str">
        <x:v>HC-A-C-TECH-2</x:v>
      </x:c>
      <x:c r="E1043" s="9" t="str">
        <x:v>HC-A-C</x:v>
      </x:c>
      <x:c r="F1043" s="9" t="str">
        <x:v>B1</x:v>
      </x:c>
      <x:c r="G1043" s="9" t="str">
        <x:v>INT</x:v>
      </x:c>
      <x:c r="H1043" s="9" t="str">
        <x:v>OG05</x:v>
      </x:c>
      <x:c r="I1043" s="17" t="str">
        <x:v>Primary provenance</x:v>
      </x:c>
      <x:c r="J1043" s="17" t="str">
        <x:v>primary originals, hashes, keys and access history reconcile</x:v>
      </x:c>
      <x:c r="K1043" s="17" t="str">
        <x:v>Primary custody</x:v>
      </x:c>
      <x:c r="L1043" s="9" t="n">
        <x:v>0</x:v>
      </x:c>
      <x:c r="M1043" s="9" t="n">
        <x:v>0</x:v>
      </x:c>
      <x:c r="N1043" s="9" t="str">
        <x:v>OPEN / UNACCEPTED</x:v>
      </x:c>
      <x:c r="O1043" s="9" t="n">
        <x:f>COUNTIFS($A$7:$A$1734,A1043)</x:f>
        <x:v>1</x:v>
      </x:c>
    </x:row>
    <x:row r="1044">
      <x:c r="A1044" s="9" t="str">
        <x:v>EV-AR-HC-A-C-TECH-2-B1-INT-G0-OG06</x:v>
      </x:c>
      <x:c r="B1044" s="9" t="str">
        <x:v>EV-AR-HC-A-C-TECH-2-B1-INT-G0</x:v>
      </x:c>
      <x:c r="C1044" s="9" t="str">
        <x:v>AR-HC-A-C-TECH-2-B1-INT-G0</x:v>
      </x:c>
      <x:c r="D1044" s="9" t="str">
        <x:v>HC-A-C-TECH-2</x:v>
      </x:c>
      <x:c r="E1044" s="9" t="str">
        <x:v>HC-A-C</x:v>
      </x:c>
      <x:c r="F1044" s="9" t="str">
        <x:v>B1</x:v>
      </x:c>
      <x:c r="G1044" s="9" t="str">
        <x:v>INT</x:v>
      </x:c>
      <x:c r="H1044" s="9" t="str">
        <x:v>OG06</x:v>
      </x:c>
      <x:c r="I1044" s="17" t="str">
        <x:v>Witness provenance</x:v>
      </x:c>
      <x:c r="J1044" s="17" t="str">
        <x:v>unlike witness originals, hashes, keys and access history reconcile</x:v>
      </x:c>
      <x:c r="K1044" s="17" t="str">
        <x:v>Witness custody</x:v>
      </x:c>
      <x:c r="L1044" s="9" t="n">
        <x:v>0</x:v>
      </x:c>
      <x:c r="M1044" s="9" t="n">
        <x:v>0</x:v>
      </x:c>
      <x:c r="N1044" s="9" t="str">
        <x:v>OPEN / UNACCEPTED</x:v>
      </x:c>
      <x:c r="O1044" s="9" t="n">
        <x:f>COUNTIFS($A$7:$A$1734,A1044)</x:f>
        <x:v>1</x:v>
      </x:c>
    </x:row>
    <x:row r="1045">
      <x:c r="A1045" s="9" t="str">
        <x:v>EV-AR-HC-A-C-TECH-2-B1-INT-G0-OG07</x:v>
      </x:c>
      <x:c r="B1045" s="9" t="str">
        <x:v>EV-AR-HC-A-C-TECH-2-B1-INT-G0</x:v>
      </x:c>
      <x:c r="C1045" s="9" t="str">
        <x:v>AR-HC-A-C-TECH-2-B1-INT-G0</x:v>
      </x:c>
      <x:c r="D1045" s="9" t="str">
        <x:v>HC-A-C-TECH-2</x:v>
      </x:c>
      <x:c r="E1045" s="9" t="str">
        <x:v>HC-A-C</x:v>
      </x:c>
      <x:c r="F1045" s="9" t="str">
        <x:v>B1</x:v>
      </x:c>
      <x:c r="G1045" s="9" t="str">
        <x:v>INT</x:v>
      </x:c>
      <x:c r="H1045" s="9" t="str">
        <x:v>OG07</x:v>
      </x:c>
      <x:c r="I1045" s="17" t="str">
        <x:v>Receiver denominator</x:v>
      </x:c>
      <x:c r="J1045" s="17" t="str">
        <x:v>population, quantity, duration and exclusions match the frozen receipt</x:v>
      </x:c>
      <x:c r="K1045" s="17" t="str">
        <x:v>Receiver court</x:v>
      </x:c>
      <x:c r="L1045" s="9" t="n">
        <x:v>0</x:v>
      </x:c>
      <x:c r="M1045" s="9" t="n">
        <x:v>0</x:v>
      </x:c>
      <x:c r="N1045" s="9" t="str">
        <x:v>OPEN / UNACCEPTED</x:v>
      </x:c>
      <x:c r="O1045" s="9" t="n">
        <x:f>COUNTIFS($A$7:$A$1734,A1045)</x:f>
        <x:v>1</x:v>
      </x:c>
    </x:row>
    <x:row r="1046">
      <x:c r="A1046" s="9" t="str">
        <x:v>EV-AR-HC-A-C-TECH-2-B1-INT-G0-OG08</x:v>
      </x:c>
      <x:c r="B1046" s="9" t="str">
        <x:v>EV-AR-HC-A-C-TECH-2-B1-INT-G0</x:v>
      </x:c>
      <x:c r="C1046" s="9" t="str">
        <x:v>AR-HC-A-C-TECH-2-B1-INT-G0</x:v>
      </x:c>
      <x:c r="D1046" s="9" t="str">
        <x:v>HC-A-C-TECH-2</x:v>
      </x:c>
      <x:c r="E1046" s="9" t="str">
        <x:v>HC-A-C</x:v>
      </x:c>
      <x:c r="F1046" s="9" t="str">
        <x:v>B1</x:v>
      </x:c>
      <x:c r="G1046" s="9" t="str">
        <x:v>INT</x:v>
      </x:c>
      <x:c r="H1046" s="9" t="str">
        <x:v>OG08</x:v>
      </x:c>
      <x:c r="I1046" s="17" t="str">
        <x:v>Environment and boundary</x:v>
      </x:c>
      <x:c r="J1046" s="17" t="str">
        <x:v>registered weather, water, ground, inlet and outlet states are retained</x:v>
      </x:c>
      <x:c r="K1046" s="17" t="str">
        <x:v>Boundary court</x:v>
      </x:c>
      <x:c r="L1046" s="9" t="n">
        <x:v>0</x:v>
      </x:c>
      <x:c r="M1046" s="9" t="n">
        <x:v>0</x:v>
      </x:c>
      <x:c r="N1046" s="9" t="str">
        <x:v>OPEN / UNACCEPTED</x:v>
      </x:c>
      <x:c r="O1046" s="9" t="n">
        <x:f>COUNTIFS($A$7:$A$1734,A1046)</x:f>
        <x:v>1</x:v>
      </x:c>
    </x:row>
    <x:row r="1047">
      <x:c r="A1047" s="9" t="str">
        <x:v>EV-AR-HC-A-C-TECH-2-B1-INT-G0-OG09</x:v>
      </x:c>
      <x:c r="B1047" s="9" t="str">
        <x:v>EV-AR-HC-A-C-TECH-2-B1-INT-G0</x:v>
      </x:c>
      <x:c r="C1047" s="9" t="str">
        <x:v>AR-HC-A-C-TECH-2-B1-INT-G0</x:v>
      </x:c>
      <x:c r="D1047" s="9" t="str">
        <x:v>HC-A-C-TECH-2</x:v>
      </x:c>
      <x:c r="E1047" s="9" t="str">
        <x:v>HC-A-C</x:v>
      </x:c>
      <x:c r="F1047" s="9" t="str">
        <x:v>B1</x:v>
      </x:c>
      <x:c r="G1047" s="9" t="str">
        <x:v>INT</x:v>
      </x:c>
      <x:c r="H1047" s="9" t="str">
        <x:v>OG09</x:v>
      </x:c>
      <x:c r="I1047" s="17" t="str">
        <x:v>Intervention account</x:v>
      </x:c>
      <x:c r="J1047" s="17" t="str">
        <x:v>all stop, rescue, operator and public-protection actions remain timestamped</x:v>
      </x:c>
      <x:c r="K1047" s="17" t="str">
        <x:v>Safety record court</x:v>
      </x:c>
      <x:c r="L1047" s="9" t="n">
        <x:v>0</x:v>
      </x:c>
      <x:c r="M1047" s="9" t="n">
        <x:v>0</x:v>
      </x:c>
      <x:c r="N1047" s="9" t="str">
        <x:v>OPEN / UNACCEPTED</x:v>
      </x:c>
      <x:c r="O1047" s="9" t="n">
        <x:f>COUNTIFS($A$7:$A$1734,A1047)</x:f>
        <x:v>1</x:v>
      </x:c>
    </x:row>
    <x:row r="1048">
      <x:c r="A1048" s="9" t="str">
        <x:v>EV-AR-HC-A-C-TECH-2-B1-INT-G0-OG10</x:v>
      </x:c>
      <x:c r="B1048" s="9" t="str">
        <x:v>EV-AR-HC-A-C-TECH-2-B1-INT-G0</x:v>
      </x:c>
      <x:c r="C1048" s="9" t="str">
        <x:v>AR-HC-A-C-TECH-2-B1-INT-G0</x:v>
      </x:c>
      <x:c r="D1048" s="9" t="str">
        <x:v>HC-A-C-TECH-2</x:v>
      </x:c>
      <x:c r="E1048" s="9" t="str">
        <x:v>HC-A-C</x:v>
      </x:c>
      <x:c r="F1048" s="9" t="str">
        <x:v>B1</x:v>
      </x:c>
      <x:c r="G1048" s="9" t="str">
        <x:v>INT</x:v>
      </x:c>
      <x:c r="H1048" s="9" t="str">
        <x:v>OG10</x:v>
      </x:c>
      <x:c r="I1048" s="17" t="str">
        <x:v>Uncertainty statement</x:v>
      </x:c>
      <x:c r="J1048" s="17" t="str">
        <x:v>range, censoring, resolution and correlation are declared before judgment</x:v>
      </x:c>
      <x:c r="K1048" s="17" t="str">
        <x:v>Uncertainty authority</x:v>
      </x:c>
      <x:c r="L1048" s="9" t="n">
        <x:v>0</x:v>
      </x:c>
      <x:c r="M1048" s="9" t="n">
        <x:v>0</x:v>
      </x:c>
      <x:c r="N1048" s="9" t="str">
        <x:v>OPEN / UNACCEPTED</x:v>
      </x:c>
      <x:c r="O1048" s="9" t="n">
        <x:f>COUNTIFS($A$7:$A$1734,A1048)</x:f>
        <x:v>1</x:v>
      </x:c>
    </x:row>
    <x:row r="1049">
      <x:c r="A1049" s="9" t="str">
        <x:v>EV-AR-HC-A-C-TECH-2-B1-INT-G0-OG11</x:v>
      </x:c>
      <x:c r="B1049" s="9" t="str">
        <x:v>EV-AR-HC-A-C-TECH-2-B1-INT-G0</x:v>
      </x:c>
      <x:c r="C1049" s="9" t="str">
        <x:v>AR-HC-A-C-TECH-2-B1-INT-G0</x:v>
      </x:c>
      <x:c r="D1049" s="9" t="str">
        <x:v>HC-A-C-TECH-2</x:v>
      </x:c>
      <x:c r="E1049" s="9" t="str">
        <x:v>HC-A-C</x:v>
      </x:c>
      <x:c r="F1049" s="9" t="str">
        <x:v>B1</x:v>
      </x:c>
      <x:c r="G1049" s="9" t="str">
        <x:v>INT</x:v>
      </x:c>
      <x:c r="H1049" s="9" t="str">
        <x:v>OG11</x:v>
      </x:c>
      <x:c r="I1049" s="17" t="str">
        <x:v>Contradiction preservation</x:v>
      </x:c>
      <x:c r="J1049" s="17" t="str">
        <x:v>primary-witness disagreement remains explicit and is never averaged away</x:v>
      </x:c>
      <x:c r="K1049" s="17" t="str">
        <x:v>Dissent registrar</x:v>
      </x:c>
      <x:c r="L1049" s="9" t="n">
        <x:v>0</x:v>
      </x:c>
      <x:c r="M1049" s="9" t="n">
        <x:v>0</x:v>
      </x:c>
      <x:c r="N1049" s="9" t="str">
        <x:v>OPEN / UNACCEPTED</x:v>
      </x:c>
      <x:c r="O1049" s="9" t="n">
        <x:f>COUNTIFS($A$7:$A$1734,A1049)</x:f>
        <x:v>1</x:v>
      </x:c>
    </x:row>
    <x:row r="1050">
      <x:c r="A1050" s="9" t="str">
        <x:v>EV-AR-HC-A-C-TECH-2-B1-INT-G0-OG12</x:v>
      </x:c>
      <x:c r="B1050" s="9" t="str">
        <x:v>EV-AR-HC-A-C-TECH-2-B1-INT-G0</x:v>
      </x:c>
      <x:c r="C1050" s="9" t="str">
        <x:v>AR-HC-A-C-TECH-2-B1-INT-G0</x:v>
      </x:c>
      <x:c r="D1050" s="9" t="str">
        <x:v>HC-A-C-TECH-2</x:v>
      </x:c>
      <x:c r="E1050" s="9" t="str">
        <x:v>HC-A-C</x:v>
      </x:c>
      <x:c r="F1050" s="9" t="str">
        <x:v>B1</x:v>
      </x:c>
      <x:c r="G1050" s="9" t="str">
        <x:v>INT</x:v>
      </x:c>
      <x:c r="H1050" s="9" t="str">
        <x:v>OG12</x:v>
      </x:c>
      <x:c r="I1050" s="17" t="str">
        <x:v>Independent replay</x:v>
      </x:c>
      <x:c r="J1050" s="17" t="str">
        <x:v>a separated reader reconstructs the registered observables from sealed originals</x:v>
      </x:c>
      <x:c r="K1050" s="17" t="str">
        <x:v>Replay court</x:v>
      </x:c>
      <x:c r="L1050" s="9" t="n">
        <x:v>0</x:v>
      </x:c>
      <x:c r="M1050" s="9" t="n">
        <x:v>0</x:v>
      </x:c>
      <x:c r="N1050" s="9" t="str">
        <x:v>OPEN / UNACCEPTED</x:v>
      </x:c>
      <x:c r="O1050" s="9" t="n">
        <x:f>COUNTIFS($A$7:$A$1734,A1050)</x:f>
        <x:v>1</x:v>
      </x:c>
    </x:row>
    <x:row r="1051">
      <x:c r="A1051" s="9" t="str">
        <x:v>EV-AR-LF-B-A-TECH-4-B2-BRK-G0-OG01</x:v>
      </x:c>
      <x:c r="B1051" s="9" t="str">
        <x:v>EV-AR-LF-B-A-TECH-4-B2-BRK-G0</x:v>
      </x:c>
      <x:c r="C1051" s="9" t="str">
        <x:v>AR-LF-B-A-TECH-4-B2-BRK-G0</x:v>
      </x:c>
      <x:c r="D1051" s="9" t="str">
        <x:v>LF-B-A-TECH-4</x:v>
      </x:c>
      <x:c r="E1051" s="9" t="str">
        <x:v>LF-B-A</x:v>
      </x:c>
      <x:c r="F1051" s="9" t="str">
        <x:v>B2</x:v>
      </x:c>
      <x:c r="G1051" s="9" t="str">
        <x:v>BRK</x:v>
      </x:c>
      <x:c r="H1051" s="9" t="str">
        <x:v>OG01</x:v>
      </x:c>
      <x:c r="I1051" s="17" t="str">
        <x:v>Serial and event identity</x:v>
      </x:c>
      <x:c r="J1051" s="17" t="str">
        <x:v>record resolves to the issued serial, generation and physical start</x:v>
      </x:c>
      <x:c r="K1051" s="17" t="str">
        <x:v>Observation court</x:v>
      </x:c>
      <x:c r="L1051" s="9" t="n">
        <x:v>0</x:v>
      </x:c>
      <x:c r="M1051" s="9" t="n">
        <x:v>0</x:v>
      </x:c>
      <x:c r="N1051" s="9" t="str">
        <x:v>OPEN / UNACCEPTED</x:v>
      </x:c>
      <x:c r="O1051" s="9" t="n">
        <x:f>COUNTIFS($A$7:$A$1734,A1051)</x:f>
        <x:v>1</x:v>
      </x:c>
    </x:row>
    <x:row r="1052">
      <x:c r="A1052" s="9" t="str">
        <x:v>EV-AR-LF-B-A-TECH-4-B2-BRK-G0-OG02</x:v>
      </x:c>
      <x:c r="B1052" s="9" t="str">
        <x:v>EV-AR-LF-B-A-TECH-4-B2-BRK-G0</x:v>
      </x:c>
      <x:c r="C1052" s="9" t="str">
        <x:v>AR-LF-B-A-TECH-4-B2-BRK-G0</x:v>
      </x:c>
      <x:c r="D1052" s="9" t="str">
        <x:v>LF-B-A-TECH-4</x:v>
      </x:c>
      <x:c r="E1052" s="9" t="str">
        <x:v>LF-B-A</x:v>
      </x:c>
      <x:c r="F1052" s="9" t="str">
        <x:v>B2</x:v>
      </x:c>
      <x:c r="G1052" s="9" t="str">
        <x:v>BRK</x:v>
      </x:c>
      <x:c r="H1052" s="9" t="str">
        <x:v>OG02</x:v>
      </x:c>
      <x:c r="I1052" s="17" t="str">
        <x:v>Time ancestry</x:v>
      </x:c>
      <x:c r="J1052" s="17" t="str">
        <x:v>primary, witness and public event clocks retain declared offsets and drift</x:v>
      </x:c>
      <x:c r="K1052" s="17" t="str">
        <x:v>Time authority</x:v>
      </x:c>
      <x:c r="L1052" s="9" t="n">
        <x:v>0</x:v>
      </x:c>
      <x:c r="M1052" s="9" t="n">
        <x:v>0</x:v>
      </x:c>
      <x:c r="N1052" s="9" t="str">
        <x:v>OPEN / UNACCEPTED</x:v>
      </x:c>
      <x:c r="O1052" s="9" t="n">
        <x:f>COUNTIFS($A$7:$A$1734,A1052)</x:f>
        <x:v>1</x:v>
      </x:c>
    </x:row>
    <x:row r="1053">
      <x:c r="A1053" s="9" t="str">
        <x:v>EV-AR-LF-B-A-TECH-4-B2-BRK-G0-OG03</x:v>
      </x:c>
      <x:c r="B1053" s="9" t="str">
        <x:v>EV-AR-LF-B-A-TECH-4-B2-BRK-G0</x:v>
      </x:c>
      <x:c r="C1053" s="9" t="str">
        <x:v>AR-LF-B-A-TECH-4-B2-BRK-G0</x:v>
      </x:c>
      <x:c r="D1053" s="9" t="str">
        <x:v>LF-B-A-TECH-4</x:v>
      </x:c>
      <x:c r="E1053" s="9" t="str">
        <x:v>LF-B-A</x:v>
      </x:c>
      <x:c r="F1053" s="9" t="str">
        <x:v>B2</x:v>
      </x:c>
      <x:c r="G1053" s="9" t="str">
        <x:v>BRK</x:v>
      </x:c>
      <x:c r="H1053" s="9" t="str">
        <x:v>OG03</x:v>
      </x:c>
      <x:c r="I1053" s="17" t="str">
        <x:v>Calibration ancestry</x:v>
      </x:c>
      <x:c r="J1053" s="17" t="str">
        <x:v>all reference, range and uncertainty states cover the live interval</x:v>
      </x:c>
      <x:c r="K1053" s="17" t="str">
        <x:v>Metrology courts</x:v>
      </x:c>
      <x:c r="L1053" s="9" t="n">
        <x:v>0</x:v>
      </x:c>
      <x:c r="M1053" s="9" t="n">
        <x:v>0</x:v>
      </x:c>
      <x:c r="N1053" s="9" t="str">
        <x:v>OPEN / UNACCEPTED</x:v>
      </x:c>
      <x:c r="O1053" s="9" t="n">
        <x:f>COUNTIFS($A$7:$A$1734,A1053)</x:f>
        <x:v>1</x:v>
      </x:c>
    </x:row>
    <x:row r="1054">
      <x:c r="A1054" s="9" t="str">
        <x:v>EV-AR-LF-B-A-TECH-4-B2-BRK-G0-OG04</x:v>
      </x:c>
      <x:c r="B1054" s="9" t="str">
        <x:v>EV-AR-LF-B-A-TECH-4-B2-BRK-G0</x:v>
      </x:c>
      <x:c r="C1054" s="9" t="str">
        <x:v>AR-LF-B-A-TECH-4-B2-BRK-G0</x:v>
      </x:c>
      <x:c r="D1054" s="9" t="str">
        <x:v>LF-B-A-TECH-4</x:v>
      </x:c>
      <x:c r="E1054" s="9" t="str">
        <x:v>LF-B-A</x:v>
      </x:c>
      <x:c r="F1054" s="9" t="str">
        <x:v>B2</x:v>
      </x:c>
      <x:c r="G1054" s="9" t="str">
        <x:v>BRK</x:v>
      </x:c>
      <x:c r="H1054" s="9" t="str">
        <x:v>OG04</x:v>
      </x:c>
      <x:c r="I1054" s="17" t="str">
        <x:v>Raw completeness</x:v>
      </x:c>
      <x:c r="J1054" s="17" t="str">
        <x:v>missingness is enumerated without imputation or outcome-conditioned deletion</x:v>
      </x:c>
      <x:c r="K1054" s="17" t="str">
        <x:v>Observation court</x:v>
      </x:c>
      <x:c r="L1054" s="9" t="n">
        <x:v>0</x:v>
      </x:c>
      <x:c r="M1054" s="9" t="n">
        <x:v>0</x:v>
      </x:c>
      <x:c r="N1054" s="9" t="str">
        <x:v>OPEN / UNACCEPTED</x:v>
      </x:c>
      <x:c r="O1054" s="9" t="n">
        <x:f>COUNTIFS($A$7:$A$1734,A1054)</x:f>
        <x:v>1</x:v>
      </x:c>
    </x:row>
    <x:row r="1055">
      <x:c r="A1055" s="9" t="str">
        <x:v>EV-AR-LF-B-A-TECH-4-B2-BRK-G0-OG05</x:v>
      </x:c>
      <x:c r="B1055" s="9" t="str">
        <x:v>EV-AR-LF-B-A-TECH-4-B2-BRK-G0</x:v>
      </x:c>
      <x:c r="C1055" s="9" t="str">
        <x:v>AR-LF-B-A-TECH-4-B2-BRK-G0</x:v>
      </x:c>
      <x:c r="D1055" s="9" t="str">
        <x:v>LF-B-A-TECH-4</x:v>
      </x:c>
      <x:c r="E1055" s="9" t="str">
        <x:v>LF-B-A</x:v>
      </x:c>
      <x:c r="F1055" s="9" t="str">
        <x:v>B2</x:v>
      </x:c>
      <x:c r="G1055" s="9" t="str">
        <x:v>BRK</x:v>
      </x:c>
      <x:c r="H1055" s="9" t="str">
        <x:v>OG05</x:v>
      </x:c>
      <x:c r="I1055" s="17" t="str">
        <x:v>Primary provenance</x:v>
      </x:c>
      <x:c r="J1055" s="17" t="str">
        <x:v>primary originals, hashes, keys and access history reconcile</x:v>
      </x:c>
      <x:c r="K1055" s="17" t="str">
        <x:v>Primary custody</x:v>
      </x:c>
      <x:c r="L1055" s="9" t="n">
        <x:v>0</x:v>
      </x:c>
      <x:c r="M1055" s="9" t="n">
        <x:v>0</x:v>
      </x:c>
      <x:c r="N1055" s="9" t="str">
        <x:v>OPEN / UNACCEPTED</x:v>
      </x:c>
      <x:c r="O1055" s="9" t="n">
        <x:f>COUNTIFS($A$7:$A$1734,A1055)</x:f>
        <x:v>1</x:v>
      </x:c>
    </x:row>
    <x:row r="1056">
      <x:c r="A1056" s="9" t="str">
        <x:v>EV-AR-LF-B-A-TECH-4-B2-BRK-G0-OG06</x:v>
      </x:c>
      <x:c r="B1056" s="9" t="str">
        <x:v>EV-AR-LF-B-A-TECH-4-B2-BRK-G0</x:v>
      </x:c>
      <x:c r="C1056" s="9" t="str">
        <x:v>AR-LF-B-A-TECH-4-B2-BRK-G0</x:v>
      </x:c>
      <x:c r="D1056" s="9" t="str">
        <x:v>LF-B-A-TECH-4</x:v>
      </x:c>
      <x:c r="E1056" s="9" t="str">
        <x:v>LF-B-A</x:v>
      </x:c>
      <x:c r="F1056" s="9" t="str">
        <x:v>B2</x:v>
      </x:c>
      <x:c r="G1056" s="9" t="str">
        <x:v>BRK</x:v>
      </x:c>
      <x:c r="H1056" s="9" t="str">
        <x:v>OG06</x:v>
      </x:c>
      <x:c r="I1056" s="17" t="str">
        <x:v>Witness provenance</x:v>
      </x:c>
      <x:c r="J1056" s="17" t="str">
        <x:v>unlike witness originals, hashes, keys and access history reconcile</x:v>
      </x:c>
      <x:c r="K1056" s="17" t="str">
        <x:v>Witness custody</x:v>
      </x:c>
      <x:c r="L1056" s="9" t="n">
        <x:v>0</x:v>
      </x:c>
      <x:c r="M1056" s="9" t="n">
        <x:v>0</x:v>
      </x:c>
      <x:c r="N1056" s="9" t="str">
        <x:v>OPEN / UNACCEPTED</x:v>
      </x:c>
      <x:c r="O1056" s="9" t="n">
        <x:f>COUNTIFS($A$7:$A$1734,A1056)</x:f>
        <x:v>1</x:v>
      </x:c>
    </x:row>
    <x:row r="1057">
      <x:c r="A1057" s="9" t="str">
        <x:v>EV-AR-LF-B-A-TECH-4-B2-BRK-G0-OG07</x:v>
      </x:c>
      <x:c r="B1057" s="9" t="str">
        <x:v>EV-AR-LF-B-A-TECH-4-B2-BRK-G0</x:v>
      </x:c>
      <x:c r="C1057" s="9" t="str">
        <x:v>AR-LF-B-A-TECH-4-B2-BRK-G0</x:v>
      </x:c>
      <x:c r="D1057" s="9" t="str">
        <x:v>LF-B-A-TECH-4</x:v>
      </x:c>
      <x:c r="E1057" s="9" t="str">
        <x:v>LF-B-A</x:v>
      </x:c>
      <x:c r="F1057" s="9" t="str">
        <x:v>B2</x:v>
      </x:c>
      <x:c r="G1057" s="9" t="str">
        <x:v>BRK</x:v>
      </x:c>
      <x:c r="H1057" s="9" t="str">
        <x:v>OG07</x:v>
      </x:c>
      <x:c r="I1057" s="17" t="str">
        <x:v>Receiver denominator</x:v>
      </x:c>
      <x:c r="J1057" s="17" t="str">
        <x:v>population, quantity, duration and exclusions match the frozen receipt</x:v>
      </x:c>
      <x:c r="K1057" s="17" t="str">
        <x:v>Receiver court</x:v>
      </x:c>
      <x:c r="L1057" s="9" t="n">
        <x:v>0</x:v>
      </x:c>
      <x:c r="M1057" s="9" t="n">
        <x:v>0</x:v>
      </x:c>
      <x:c r="N1057" s="9" t="str">
        <x:v>OPEN / UNACCEPTED</x:v>
      </x:c>
      <x:c r="O1057" s="9" t="n">
        <x:f>COUNTIFS($A$7:$A$1734,A1057)</x:f>
        <x:v>1</x:v>
      </x:c>
    </x:row>
    <x:row r="1058">
      <x:c r="A1058" s="9" t="str">
        <x:v>EV-AR-LF-B-A-TECH-4-B2-BRK-G0-OG08</x:v>
      </x:c>
      <x:c r="B1058" s="9" t="str">
        <x:v>EV-AR-LF-B-A-TECH-4-B2-BRK-G0</x:v>
      </x:c>
      <x:c r="C1058" s="9" t="str">
        <x:v>AR-LF-B-A-TECH-4-B2-BRK-G0</x:v>
      </x:c>
      <x:c r="D1058" s="9" t="str">
        <x:v>LF-B-A-TECH-4</x:v>
      </x:c>
      <x:c r="E1058" s="9" t="str">
        <x:v>LF-B-A</x:v>
      </x:c>
      <x:c r="F1058" s="9" t="str">
        <x:v>B2</x:v>
      </x:c>
      <x:c r="G1058" s="9" t="str">
        <x:v>BRK</x:v>
      </x:c>
      <x:c r="H1058" s="9" t="str">
        <x:v>OG08</x:v>
      </x:c>
      <x:c r="I1058" s="17" t="str">
        <x:v>Environment and boundary</x:v>
      </x:c>
      <x:c r="J1058" s="17" t="str">
        <x:v>registered weather, water, ground, inlet and outlet states are retained</x:v>
      </x:c>
      <x:c r="K1058" s="17" t="str">
        <x:v>Boundary court</x:v>
      </x:c>
      <x:c r="L1058" s="9" t="n">
        <x:v>0</x:v>
      </x:c>
      <x:c r="M1058" s="9" t="n">
        <x:v>0</x:v>
      </x:c>
      <x:c r="N1058" s="9" t="str">
        <x:v>OPEN / UNACCEPTED</x:v>
      </x:c>
      <x:c r="O1058" s="9" t="n">
        <x:f>COUNTIFS($A$7:$A$1734,A1058)</x:f>
        <x:v>1</x:v>
      </x:c>
    </x:row>
    <x:row r="1059">
      <x:c r="A1059" s="9" t="str">
        <x:v>EV-AR-LF-B-A-TECH-4-B2-BRK-G0-OG09</x:v>
      </x:c>
      <x:c r="B1059" s="9" t="str">
        <x:v>EV-AR-LF-B-A-TECH-4-B2-BRK-G0</x:v>
      </x:c>
      <x:c r="C1059" s="9" t="str">
        <x:v>AR-LF-B-A-TECH-4-B2-BRK-G0</x:v>
      </x:c>
      <x:c r="D1059" s="9" t="str">
        <x:v>LF-B-A-TECH-4</x:v>
      </x:c>
      <x:c r="E1059" s="9" t="str">
        <x:v>LF-B-A</x:v>
      </x:c>
      <x:c r="F1059" s="9" t="str">
        <x:v>B2</x:v>
      </x:c>
      <x:c r="G1059" s="9" t="str">
        <x:v>BRK</x:v>
      </x:c>
      <x:c r="H1059" s="9" t="str">
        <x:v>OG09</x:v>
      </x:c>
      <x:c r="I1059" s="17" t="str">
        <x:v>Intervention account</x:v>
      </x:c>
      <x:c r="J1059" s="17" t="str">
        <x:v>all stop, rescue, operator and public-protection actions remain timestamped</x:v>
      </x:c>
      <x:c r="K1059" s="17" t="str">
        <x:v>Safety record court</x:v>
      </x:c>
      <x:c r="L1059" s="9" t="n">
        <x:v>0</x:v>
      </x:c>
      <x:c r="M1059" s="9" t="n">
        <x:v>0</x:v>
      </x:c>
      <x:c r="N1059" s="9" t="str">
        <x:v>OPEN / UNACCEPTED</x:v>
      </x:c>
      <x:c r="O1059" s="9" t="n">
        <x:f>COUNTIFS($A$7:$A$1734,A1059)</x:f>
        <x:v>1</x:v>
      </x:c>
    </x:row>
    <x:row r="1060">
      <x:c r="A1060" s="9" t="str">
        <x:v>EV-AR-LF-B-A-TECH-4-B2-BRK-G0-OG10</x:v>
      </x:c>
      <x:c r="B1060" s="9" t="str">
        <x:v>EV-AR-LF-B-A-TECH-4-B2-BRK-G0</x:v>
      </x:c>
      <x:c r="C1060" s="9" t="str">
        <x:v>AR-LF-B-A-TECH-4-B2-BRK-G0</x:v>
      </x:c>
      <x:c r="D1060" s="9" t="str">
        <x:v>LF-B-A-TECH-4</x:v>
      </x:c>
      <x:c r="E1060" s="9" t="str">
        <x:v>LF-B-A</x:v>
      </x:c>
      <x:c r="F1060" s="9" t="str">
        <x:v>B2</x:v>
      </x:c>
      <x:c r="G1060" s="9" t="str">
        <x:v>BRK</x:v>
      </x:c>
      <x:c r="H1060" s="9" t="str">
        <x:v>OG10</x:v>
      </x:c>
      <x:c r="I1060" s="17" t="str">
        <x:v>Uncertainty statement</x:v>
      </x:c>
      <x:c r="J1060" s="17" t="str">
        <x:v>range, censoring, resolution and correlation are declared before judgment</x:v>
      </x:c>
      <x:c r="K1060" s="17" t="str">
        <x:v>Uncertainty authority</x:v>
      </x:c>
      <x:c r="L1060" s="9" t="n">
        <x:v>0</x:v>
      </x:c>
      <x:c r="M1060" s="9" t="n">
        <x:v>0</x:v>
      </x:c>
      <x:c r="N1060" s="9" t="str">
        <x:v>OPEN / UNACCEPTED</x:v>
      </x:c>
      <x:c r="O1060" s="9" t="n">
        <x:f>COUNTIFS($A$7:$A$1734,A1060)</x:f>
        <x:v>1</x:v>
      </x:c>
    </x:row>
    <x:row r="1061">
      <x:c r="A1061" s="9" t="str">
        <x:v>EV-AR-LF-B-A-TECH-4-B2-BRK-G0-OG11</x:v>
      </x:c>
      <x:c r="B1061" s="9" t="str">
        <x:v>EV-AR-LF-B-A-TECH-4-B2-BRK-G0</x:v>
      </x:c>
      <x:c r="C1061" s="9" t="str">
        <x:v>AR-LF-B-A-TECH-4-B2-BRK-G0</x:v>
      </x:c>
      <x:c r="D1061" s="9" t="str">
        <x:v>LF-B-A-TECH-4</x:v>
      </x:c>
      <x:c r="E1061" s="9" t="str">
        <x:v>LF-B-A</x:v>
      </x:c>
      <x:c r="F1061" s="9" t="str">
        <x:v>B2</x:v>
      </x:c>
      <x:c r="G1061" s="9" t="str">
        <x:v>BRK</x:v>
      </x:c>
      <x:c r="H1061" s="9" t="str">
        <x:v>OG11</x:v>
      </x:c>
      <x:c r="I1061" s="17" t="str">
        <x:v>Contradiction preservation</x:v>
      </x:c>
      <x:c r="J1061" s="17" t="str">
        <x:v>primary-witness disagreement remains explicit and is never averaged away</x:v>
      </x:c>
      <x:c r="K1061" s="17" t="str">
        <x:v>Dissent registrar</x:v>
      </x:c>
      <x:c r="L1061" s="9" t="n">
        <x:v>0</x:v>
      </x:c>
      <x:c r="M1061" s="9" t="n">
        <x:v>0</x:v>
      </x:c>
      <x:c r="N1061" s="9" t="str">
        <x:v>OPEN / UNACCEPTED</x:v>
      </x:c>
      <x:c r="O1061" s="9" t="n">
        <x:f>COUNTIFS($A$7:$A$1734,A1061)</x:f>
        <x:v>1</x:v>
      </x:c>
    </x:row>
    <x:row r="1062">
      <x:c r="A1062" s="9" t="str">
        <x:v>EV-AR-LF-B-A-TECH-4-B2-BRK-G0-OG12</x:v>
      </x:c>
      <x:c r="B1062" s="9" t="str">
        <x:v>EV-AR-LF-B-A-TECH-4-B2-BRK-G0</x:v>
      </x:c>
      <x:c r="C1062" s="9" t="str">
        <x:v>AR-LF-B-A-TECH-4-B2-BRK-G0</x:v>
      </x:c>
      <x:c r="D1062" s="9" t="str">
        <x:v>LF-B-A-TECH-4</x:v>
      </x:c>
      <x:c r="E1062" s="9" t="str">
        <x:v>LF-B-A</x:v>
      </x:c>
      <x:c r="F1062" s="9" t="str">
        <x:v>B2</x:v>
      </x:c>
      <x:c r="G1062" s="9" t="str">
        <x:v>BRK</x:v>
      </x:c>
      <x:c r="H1062" s="9" t="str">
        <x:v>OG12</x:v>
      </x:c>
      <x:c r="I1062" s="17" t="str">
        <x:v>Independent replay</x:v>
      </x:c>
      <x:c r="J1062" s="17" t="str">
        <x:v>a separated reader reconstructs the registered observables from sealed originals</x:v>
      </x:c>
      <x:c r="K1062" s="17" t="str">
        <x:v>Replay court</x:v>
      </x:c>
      <x:c r="L1062" s="9" t="n">
        <x:v>0</x:v>
      </x:c>
      <x:c r="M1062" s="9" t="n">
        <x:v>0</x:v>
      </x:c>
      <x:c r="N1062" s="9" t="str">
        <x:v>OPEN / UNACCEPTED</x:v>
      </x:c>
      <x:c r="O1062" s="9" t="n">
        <x:f>COUNTIFS($A$7:$A$1734,A1062)</x:f>
        <x:v>1</x:v>
      </x:c>
    </x:row>
    <x:row r="1063">
      <x:c r="A1063" s="9" t="str">
        <x:v>EV-AR-LF-B-A-TECH-3-B1-RCN-G0-OG01</x:v>
      </x:c>
      <x:c r="B1063" s="9" t="str">
        <x:v>EV-AR-LF-B-A-TECH-3-B1-RCN-G0</x:v>
      </x:c>
      <x:c r="C1063" s="9" t="str">
        <x:v>AR-LF-B-A-TECH-3-B1-RCN-G0</x:v>
      </x:c>
      <x:c r="D1063" s="9" t="str">
        <x:v>LF-B-A-TECH-3</x:v>
      </x:c>
      <x:c r="E1063" s="9" t="str">
        <x:v>LF-B-A</x:v>
      </x:c>
      <x:c r="F1063" s="9" t="str">
        <x:v>B1</x:v>
      </x:c>
      <x:c r="G1063" s="9" t="str">
        <x:v>RCN</x:v>
      </x:c>
      <x:c r="H1063" s="9" t="str">
        <x:v>OG01</x:v>
      </x:c>
      <x:c r="I1063" s="17" t="str">
        <x:v>Serial and event identity</x:v>
      </x:c>
      <x:c r="J1063" s="17" t="str">
        <x:v>record resolves to the issued serial, generation and physical start</x:v>
      </x:c>
      <x:c r="K1063" s="17" t="str">
        <x:v>Observation court</x:v>
      </x:c>
      <x:c r="L1063" s="9" t="n">
        <x:v>0</x:v>
      </x:c>
      <x:c r="M1063" s="9" t="n">
        <x:v>0</x:v>
      </x:c>
      <x:c r="N1063" s="9" t="str">
        <x:v>OPEN / UNACCEPTED</x:v>
      </x:c>
      <x:c r="O1063" s="9" t="n">
        <x:f>COUNTIFS($A$7:$A$1734,A1063)</x:f>
        <x:v>1</x:v>
      </x:c>
    </x:row>
    <x:row r="1064">
      <x:c r="A1064" s="9" t="str">
        <x:v>EV-AR-LF-B-A-TECH-3-B1-RCN-G0-OG02</x:v>
      </x:c>
      <x:c r="B1064" s="9" t="str">
        <x:v>EV-AR-LF-B-A-TECH-3-B1-RCN-G0</x:v>
      </x:c>
      <x:c r="C1064" s="9" t="str">
        <x:v>AR-LF-B-A-TECH-3-B1-RCN-G0</x:v>
      </x:c>
      <x:c r="D1064" s="9" t="str">
        <x:v>LF-B-A-TECH-3</x:v>
      </x:c>
      <x:c r="E1064" s="9" t="str">
        <x:v>LF-B-A</x:v>
      </x:c>
      <x:c r="F1064" s="9" t="str">
        <x:v>B1</x:v>
      </x:c>
      <x:c r="G1064" s="9" t="str">
        <x:v>RCN</x:v>
      </x:c>
      <x:c r="H1064" s="9" t="str">
        <x:v>OG02</x:v>
      </x:c>
      <x:c r="I1064" s="17" t="str">
        <x:v>Time ancestry</x:v>
      </x:c>
      <x:c r="J1064" s="17" t="str">
        <x:v>primary, witness and public event clocks retain declared offsets and drift</x:v>
      </x:c>
      <x:c r="K1064" s="17" t="str">
        <x:v>Time authority</x:v>
      </x:c>
      <x:c r="L1064" s="9" t="n">
        <x:v>0</x:v>
      </x:c>
      <x:c r="M1064" s="9" t="n">
        <x:v>0</x:v>
      </x:c>
      <x:c r="N1064" s="9" t="str">
        <x:v>OPEN / UNACCEPTED</x:v>
      </x:c>
      <x:c r="O1064" s="9" t="n">
        <x:f>COUNTIFS($A$7:$A$1734,A1064)</x:f>
        <x:v>1</x:v>
      </x:c>
    </x:row>
    <x:row r="1065">
      <x:c r="A1065" s="9" t="str">
        <x:v>EV-AR-LF-B-A-TECH-3-B1-RCN-G0-OG03</x:v>
      </x:c>
      <x:c r="B1065" s="9" t="str">
        <x:v>EV-AR-LF-B-A-TECH-3-B1-RCN-G0</x:v>
      </x:c>
      <x:c r="C1065" s="9" t="str">
        <x:v>AR-LF-B-A-TECH-3-B1-RCN-G0</x:v>
      </x:c>
      <x:c r="D1065" s="9" t="str">
        <x:v>LF-B-A-TECH-3</x:v>
      </x:c>
      <x:c r="E1065" s="9" t="str">
        <x:v>LF-B-A</x:v>
      </x:c>
      <x:c r="F1065" s="9" t="str">
        <x:v>B1</x:v>
      </x:c>
      <x:c r="G1065" s="9" t="str">
        <x:v>RCN</x:v>
      </x:c>
      <x:c r="H1065" s="9" t="str">
        <x:v>OG03</x:v>
      </x:c>
      <x:c r="I1065" s="17" t="str">
        <x:v>Calibration ancestry</x:v>
      </x:c>
      <x:c r="J1065" s="17" t="str">
        <x:v>all reference, range and uncertainty states cover the live interval</x:v>
      </x:c>
      <x:c r="K1065" s="17" t="str">
        <x:v>Metrology courts</x:v>
      </x:c>
      <x:c r="L1065" s="9" t="n">
        <x:v>0</x:v>
      </x:c>
      <x:c r="M1065" s="9" t="n">
        <x:v>0</x:v>
      </x:c>
      <x:c r="N1065" s="9" t="str">
        <x:v>OPEN / UNACCEPTED</x:v>
      </x:c>
      <x:c r="O1065" s="9" t="n">
        <x:f>COUNTIFS($A$7:$A$1734,A1065)</x:f>
        <x:v>1</x:v>
      </x:c>
    </x:row>
    <x:row r="1066">
      <x:c r="A1066" s="9" t="str">
        <x:v>EV-AR-LF-B-A-TECH-3-B1-RCN-G0-OG04</x:v>
      </x:c>
      <x:c r="B1066" s="9" t="str">
        <x:v>EV-AR-LF-B-A-TECH-3-B1-RCN-G0</x:v>
      </x:c>
      <x:c r="C1066" s="9" t="str">
        <x:v>AR-LF-B-A-TECH-3-B1-RCN-G0</x:v>
      </x:c>
      <x:c r="D1066" s="9" t="str">
        <x:v>LF-B-A-TECH-3</x:v>
      </x:c>
      <x:c r="E1066" s="9" t="str">
        <x:v>LF-B-A</x:v>
      </x:c>
      <x:c r="F1066" s="9" t="str">
        <x:v>B1</x:v>
      </x:c>
      <x:c r="G1066" s="9" t="str">
        <x:v>RCN</x:v>
      </x:c>
      <x:c r="H1066" s="9" t="str">
        <x:v>OG04</x:v>
      </x:c>
      <x:c r="I1066" s="17" t="str">
        <x:v>Raw completeness</x:v>
      </x:c>
      <x:c r="J1066" s="17" t="str">
        <x:v>missingness is enumerated without imputation or outcome-conditioned deletion</x:v>
      </x:c>
      <x:c r="K1066" s="17" t="str">
        <x:v>Observation court</x:v>
      </x:c>
      <x:c r="L1066" s="9" t="n">
        <x:v>0</x:v>
      </x:c>
      <x:c r="M1066" s="9" t="n">
        <x:v>0</x:v>
      </x:c>
      <x:c r="N1066" s="9" t="str">
        <x:v>OPEN / UNACCEPTED</x:v>
      </x:c>
      <x:c r="O1066" s="9" t="n">
        <x:f>COUNTIFS($A$7:$A$1734,A1066)</x:f>
        <x:v>1</x:v>
      </x:c>
    </x:row>
    <x:row r="1067">
      <x:c r="A1067" s="9" t="str">
        <x:v>EV-AR-LF-B-A-TECH-3-B1-RCN-G0-OG05</x:v>
      </x:c>
      <x:c r="B1067" s="9" t="str">
        <x:v>EV-AR-LF-B-A-TECH-3-B1-RCN-G0</x:v>
      </x:c>
      <x:c r="C1067" s="9" t="str">
        <x:v>AR-LF-B-A-TECH-3-B1-RCN-G0</x:v>
      </x:c>
      <x:c r="D1067" s="9" t="str">
        <x:v>LF-B-A-TECH-3</x:v>
      </x:c>
      <x:c r="E1067" s="9" t="str">
        <x:v>LF-B-A</x:v>
      </x:c>
      <x:c r="F1067" s="9" t="str">
        <x:v>B1</x:v>
      </x:c>
      <x:c r="G1067" s="9" t="str">
        <x:v>RCN</x:v>
      </x:c>
      <x:c r="H1067" s="9" t="str">
        <x:v>OG05</x:v>
      </x:c>
      <x:c r="I1067" s="17" t="str">
        <x:v>Primary provenance</x:v>
      </x:c>
      <x:c r="J1067" s="17" t="str">
        <x:v>primary originals, hashes, keys and access history reconcile</x:v>
      </x:c>
      <x:c r="K1067" s="17" t="str">
        <x:v>Primary custody</x:v>
      </x:c>
      <x:c r="L1067" s="9" t="n">
        <x:v>0</x:v>
      </x:c>
      <x:c r="M1067" s="9" t="n">
        <x:v>0</x:v>
      </x:c>
      <x:c r="N1067" s="9" t="str">
        <x:v>OPEN / UNACCEPTED</x:v>
      </x:c>
      <x:c r="O1067" s="9" t="n">
        <x:f>COUNTIFS($A$7:$A$1734,A1067)</x:f>
        <x:v>1</x:v>
      </x:c>
    </x:row>
    <x:row r="1068">
      <x:c r="A1068" s="9" t="str">
        <x:v>EV-AR-LF-B-A-TECH-3-B1-RCN-G0-OG06</x:v>
      </x:c>
      <x:c r="B1068" s="9" t="str">
        <x:v>EV-AR-LF-B-A-TECH-3-B1-RCN-G0</x:v>
      </x:c>
      <x:c r="C1068" s="9" t="str">
        <x:v>AR-LF-B-A-TECH-3-B1-RCN-G0</x:v>
      </x:c>
      <x:c r="D1068" s="9" t="str">
        <x:v>LF-B-A-TECH-3</x:v>
      </x:c>
      <x:c r="E1068" s="9" t="str">
        <x:v>LF-B-A</x:v>
      </x:c>
      <x:c r="F1068" s="9" t="str">
        <x:v>B1</x:v>
      </x:c>
      <x:c r="G1068" s="9" t="str">
        <x:v>RCN</x:v>
      </x:c>
      <x:c r="H1068" s="9" t="str">
        <x:v>OG06</x:v>
      </x:c>
      <x:c r="I1068" s="17" t="str">
        <x:v>Witness provenance</x:v>
      </x:c>
      <x:c r="J1068" s="17" t="str">
        <x:v>unlike witness originals, hashes, keys and access history reconcile</x:v>
      </x:c>
      <x:c r="K1068" s="17" t="str">
        <x:v>Witness custody</x:v>
      </x:c>
      <x:c r="L1068" s="9" t="n">
        <x:v>0</x:v>
      </x:c>
      <x:c r="M1068" s="9" t="n">
        <x:v>0</x:v>
      </x:c>
      <x:c r="N1068" s="9" t="str">
        <x:v>OPEN / UNACCEPTED</x:v>
      </x:c>
      <x:c r="O1068" s="9" t="n">
        <x:f>COUNTIFS($A$7:$A$1734,A1068)</x:f>
        <x:v>1</x:v>
      </x:c>
    </x:row>
    <x:row r="1069">
      <x:c r="A1069" s="9" t="str">
        <x:v>EV-AR-LF-B-A-TECH-3-B1-RCN-G0-OG07</x:v>
      </x:c>
      <x:c r="B1069" s="9" t="str">
        <x:v>EV-AR-LF-B-A-TECH-3-B1-RCN-G0</x:v>
      </x:c>
      <x:c r="C1069" s="9" t="str">
        <x:v>AR-LF-B-A-TECH-3-B1-RCN-G0</x:v>
      </x:c>
      <x:c r="D1069" s="9" t="str">
        <x:v>LF-B-A-TECH-3</x:v>
      </x:c>
      <x:c r="E1069" s="9" t="str">
        <x:v>LF-B-A</x:v>
      </x:c>
      <x:c r="F1069" s="9" t="str">
        <x:v>B1</x:v>
      </x:c>
      <x:c r="G1069" s="9" t="str">
        <x:v>RCN</x:v>
      </x:c>
      <x:c r="H1069" s="9" t="str">
        <x:v>OG07</x:v>
      </x:c>
      <x:c r="I1069" s="17" t="str">
        <x:v>Receiver denominator</x:v>
      </x:c>
      <x:c r="J1069" s="17" t="str">
        <x:v>population, quantity, duration and exclusions match the frozen receipt</x:v>
      </x:c>
      <x:c r="K1069" s="17" t="str">
        <x:v>Receiver court</x:v>
      </x:c>
      <x:c r="L1069" s="9" t="n">
        <x:v>0</x:v>
      </x:c>
      <x:c r="M1069" s="9" t="n">
        <x:v>0</x:v>
      </x:c>
      <x:c r="N1069" s="9" t="str">
        <x:v>OPEN / UNACCEPTED</x:v>
      </x:c>
      <x:c r="O1069" s="9" t="n">
        <x:f>COUNTIFS($A$7:$A$1734,A1069)</x:f>
        <x:v>1</x:v>
      </x:c>
    </x:row>
    <x:row r="1070">
      <x:c r="A1070" s="9" t="str">
        <x:v>EV-AR-LF-B-A-TECH-3-B1-RCN-G0-OG08</x:v>
      </x:c>
      <x:c r="B1070" s="9" t="str">
        <x:v>EV-AR-LF-B-A-TECH-3-B1-RCN-G0</x:v>
      </x:c>
      <x:c r="C1070" s="9" t="str">
        <x:v>AR-LF-B-A-TECH-3-B1-RCN-G0</x:v>
      </x:c>
      <x:c r="D1070" s="9" t="str">
        <x:v>LF-B-A-TECH-3</x:v>
      </x:c>
      <x:c r="E1070" s="9" t="str">
        <x:v>LF-B-A</x:v>
      </x:c>
      <x:c r="F1070" s="9" t="str">
        <x:v>B1</x:v>
      </x:c>
      <x:c r="G1070" s="9" t="str">
        <x:v>RCN</x:v>
      </x:c>
      <x:c r="H1070" s="9" t="str">
        <x:v>OG08</x:v>
      </x:c>
      <x:c r="I1070" s="17" t="str">
        <x:v>Environment and boundary</x:v>
      </x:c>
      <x:c r="J1070" s="17" t="str">
        <x:v>registered weather, water, ground, inlet and outlet states are retained</x:v>
      </x:c>
      <x:c r="K1070" s="17" t="str">
        <x:v>Boundary court</x:v>
      </x:c>
      <x:c r="L1070" s="9" t="n">
        <x:v>0</x:v>
      </x:c>
      <x:c r="M1070" s="9" t="n">
        <x:v>0</x:v>
      </x:c>
      <x:c r="N1070" s="9" t="str">
        <x:v>OPEN / UNACCEPTED</x:v>
      </x:c>
      <x:c r="O1070" s="9" t="n">
        <x:f>COUNTIFS($A$7:$A$1734,A1070)</x:f>
        <x:v>1</x:v>
      </x:c>
    </x:row>
    <x:row r="1071">
      <x:c r="A1071" s="9" t="str">
        <x:v>EV-AR-LF-B-A-TECH-3-B1-RCN-G0-OG09</x:v>
      </x:c>
      <x:c r="B1071" s="9" t="str">
        <x:v>EV-AR-LF-B-A-TECH-3-B1-RCN-G0</x:v>
      </x:c>
      <x:c r="C1071" s="9" t="str">
        <x:v>AR-LF-B-A-TECH-3-B1-RCN-G0</x:v>
      </x:c>
      <x:c r="D1071" s="9" t="str">
        <x:v>LF-B-A-TECH-3</x:v>
      </x:c>
      <x:c r="E1071" s="9" t="str">
        <x:v>LF-B-A</x:v>
      </x:c>
      <x:c r="F1071" s="9" t="str">
        <x:v>B1</x:v>
      </x:c>
      <x:c r="G1071" s="9" t="str">
        <x:v>RCN</x:v>
      </x:c>
      <x:c r="H1071" s="9" t="str">
        <x:v>OG09</x:v>
      </x:c>
      <x:c r="I1071" s="17" t="str">
        <x:v>Intervention account</x:v>
      </x:c>
      <x:c r="J1071" s="17" t="str">
        <x:v>all stop, rescue, operator and public-protection actions remain timestamped</x:v>
      </x:c>
      <x:c r="K1071" s="17" t="str">
        <x:v>Safety record court</x:v>
      </x:c>
      <x:c r="L1071" s="9" t="n">
        <x:v>0</x:v>
      </x:c>
      <x:c r="M1071" s="9" t="n">
        <x:v>0</x:v>
      </x:c>
      <x:c r="N1071" s="9" t="str">
        <x:v>OPEN / UNACCEPTED</x:v>
      </x:c>
      <x:c r="O1071" s="9" t="n">
        <x:f>COUNTIFS($A$7:$A$1734,A1071)</x:f>
        <x:v>1</x:v>
      </x:c>
    </x:row>
    <x:row r="1072">
      <x:c r="A1072" s="9" t="str">
        <x:v>EV-AR-LF-B-A-TECH-3-B1-RCN-G0-OG10</x:v>
      </x:c>
      <x:c r="B1072" s="9" t="str">
        <x:v>EV-AR-LF-B-A-TECH-3-B1-RCN-G0</x:v>
      </x:c>
      <x:c r="C1072" s="9" t="str">
        <x:v>AR-LF-B-A-TECH-3-B1-RCN-G0</x:v>
      </x:c>
      <x:c r="D1072" s="9" t="str">
        <x:v>LF-B-A-TECH-3</x:v>
      </x:c>
      <x:c r="E1072" s="9" t="str">
        <x:v>LF-B-A</x:v>
      </x:c>
      <x:c r="F1072" s="9" t="str">
        <x:v>B1</x:v>
      </x:c>
      <x:c r="G1072" s="9" t="str">
        <x:v>RCN</x:v>
      </x:c>
      <x:c r="H1072" s="9" t="str">
        <x:v>OG10</x:v>
      </x:c>
      <x:c r="I1072" s="17" t="str">
        <x:v>Uncertainty statement</x:v>
      </x:c>
      <x:c r="J1072" s="17" t="str">
        <x:v>range, censoring, resolution and correlation are declared before judgment</x:v>
      </x:c>
      <x:c r="K1072" s="17" t="str">
        <x:v>Uncertainty authority</x:v>
      </x:c>
      <x:c r="L1072" s="9" t="n">
        <x:v>0</x:v>
      </x:c>
      <x:c r="M1072" s="9" t="n">
        <x:v>0</x:v>
      </x:c>
      <x:c r="N1072" s="9" t="str">
        <x:v>OPEN / UNACCEPTED</x:v>
      </x:c>
      <x:c r="O1072" s="9" t="n">
        <x:f>COUNTIFS($A$7:$A$1734,A1072)</x:f>
        <x:v>1</x:v>
      </x:c>
    </x:row>
    <x:row r="1073">
      <x:c r="A1073" s="9" t="str">
        <x:v>EV-AR-LF-B-A-TECH-3-B1-RCN-G0-OG11</x:v>
      </x:c>
      <x:c r="B1073" s="9" t="str">
        <x:v>EV-AR-LF-B-A-TECH-3-B1-RCN-G0</x:v>
      </x:c>
      <x:c r="C1073" s="9" t="str">
        <x:v>AR-LF-B-A-TECH-3-B1-RCN-G0</x:v>
      </x:c>
      <x:c r="D1073" s="9" t="str">
        <x:v>LF-B-A-TECH-3</x:v>
      </x:c>
      <x:c r="E1073" s="9" t="str">
        <x:v>LF-B-A</x:v>
      </x:c>
      <x:c r="F1073" s="9" t="str">
        <x:v>B1</x:v>
      </x:c>
      <x:c r="G1073" s="9" t="str">
        <x:v>RCN</x:v>
      </x:c>
      <x:c r="H1073" s="9" t="str">
        <x:v>OG11</x:v>
      </x:c>
      <x:c r="I1073" s="17" t="str">
        <x:v>Contradiction preservation</x:v>
      </x:c>
      <x:c r="J1073" s="17" t="str">
        <x:v>primary-witness disagreement remains explicit and is never averaged away</x:v>
      </x:c>
      <x:c r="K1073" s="17" t="str">
        <x:v>Dissent registrar</x:v>
      </x:c>
      <x:c r="L1073" s="9" t="n">
        <x:v>0</x:v>
      </x:c>
      <x:c r="M1073" s="9" t="n">
        <x:v>0</x:v>
      </x:c>
      <x:c r="N1073" s="9" t="str">
        <x:v>OPEN / UNACCEPTED</x:v>
      </x:c>
      <x:c r="O1073" s="9" t="n">
        <x:f>COUNTIFS($A$7:$A$1734,A1073)</x:f>
        <x:v>1</x:v>
      </x:c>
    </x:row>
    <x:row r="1074">
      <x:c r="A1074" s="9" t="str">
        <x:v>EV-AR-LF-B-A-TECH-3-B1-RCN-G0-OG12</x:v>
      </x:c>
      <x:c r="B1074" s="9" t="str">
        <x:v>EV-AR-LF-B-A-TECH-3-B1-RCN-G0</x:v>
      </x:c>
      <x:c r="C1074" s="9" t="str">
        <x:v>AR-LF-B-A-TECH-3-B1-RCN-G0</x:v>
      </x:c>
      <x:c r="D1074" s="9" t="str">
        <x:v>LF-B-A-TECH-3</x:v>
      </x:c>
      <x:c r="E1074" s="9" t="str">
        <x:v>LF-B-A</x:v>
      </x:c>
      <x:c r="F1074" s="9" t="str">
        <x:v>B1</x:v>
      </x:c>
      <x:c r="G1074" s="9" t="str">
        <x:v>RCN</x:v>
      </x:c>
      <x:c r="H1074" s="9" t="str">
        <x:v>OG12</x:v>
      </x:c>
      <x:c r="I1074" s="17" t="str">
        <x:v>Independent replay</x:v>
      </x:c>
      <x:c r="J1074" s="17" t="str">
        <x:v>a separated reader reconstructs the registered observables from sealed originals</x:v>
      </x:c>
      <x:c r="K1074" s="17" t="str">
        <x:v>Replay court</x:v>
      </x:c>
      <x:c r="L1074" s="9" t="n">
        <x:v>0</x:v>
      </x:c>
      <x:c r="M1074" s="9" t="n">
        <x:v>0</x:v>
      </x:c>
      <x:c r="N1074" s="9" t="str">
        <x:v>OPEN / UNACCEPTED</x:v>
      </x:c>
      <x:c r="O1074" s="9" t="n">
        <x:f>COUNTIFS($A$7:$A$1734,A1074)</x:f>
        <x:v>1</x:v>
      </x:c>
    </x:row>
    <x:row r="1075">
      <x:c r="A1075" s="9" t="str">
        <x:v>EV-AR-RT-B-C-TECH-4-B2-INT-G0-OG01</x:v>
      </x:c>
      <x:c r="B1075" s="9" t="str">
        <x:v>EV-AR-RT-B-C-TECH-4-B2-INT-G0</x:v>
      </x:c>
      <x:c r="C1075" s="9" t="str">
        <x:v>AR-RT-B-C-TECH-4-B2-INT-G0</x:v>
      </x:c>
      <x:c r="D1075" s="9" t="str">
        <x:v>RT-B-C-TECH-4</x:v>
      </x:c>
      <x:c r="E1075" s="9" t="str">
        <x:v>RT-B-C</x:v>
      </x:c>
      <x:c r="F1075" s="9" t="str">
        <x:v>B2</x:v>
      </x:c>
      <x:c r="G1075" s="9" t="str">
        <x:v>INT</x:v>
      </x:c>
      <x:c r="H1075" s="9" t="str">
        <x:v>OG01</x:v>
      </x:c>
      <x:c r="I1075" s="17" t="str">
        <x:v>Serial and event identity</x:v>
      </x:c>
      <x:c r="J1075" s="17" t="str">
        <x:v>record resolves to the issued serial, generation and physical start</x:v>
      </x:c>
      <x:c r="K1075" s="17" t="str">
        <x:v>Observation court</x:v>
      </x:c>
      <x:c r="L1075" s="9" t="n">
        <x:v>0</x:v>
      </x:c>
      <x:c r="M1075" s="9" t="n">
        <x:v>0</x:v>
      </x:c>
      <x:c r="N1075" s="9" t="str">
        <x:v>OPEN / UNACCEPTED</x:v>
      </x:c>
      <x:c r="O1075" s="9" t="n">
        <x:f>COUNTIFS($A$7:$A$1734,A1075)</x:f>
        <x:v>1</x:v>
      </x:c>
    </x:row>
    <x:row r="1076">
      <x:c r="A1076" s="9" t="str">
        <x:v>EV-AR-RT-B-C-TECH-4-B2-INT-G0-OG02</x:v>
      </x:c>
      <x:c r="B1076" s="9" t="str">
        <x:v>EV-AR-RT-B-C-TECH-4-B2-INT-G0</x:v>
      </x:c>
      <x:c r="C1076" s="9" t="str">
        <x:v>AR-RT-B-C-TECH-4-B2-INT-G0</x:v>
      </x:c>
      <x:c r="D1076" s="9" t="str">
        <x:v>RT-B-C-TECH-4</x:v>
      </x:c>
      <x:c r="E1076" s="9" t="str">
        <x:v>RT-B-C</x:v>
      </x:c>
      <x:c r="F1076" s="9" t="str">
        <x:v>B2</x:v>
      </x:c>
      <x:c r="G1076" s="9" t="str">
        <x:v>INT</x:v>
      </x:c>
      <x:c r="H1076" s="9" t="str">
        <x:v>OG02</x:v>
      </x:c>
      <x:c r="I1076" s="17" t="str">
        <x:v>Time ancestry</x:v>
      </x:c>
      <x:c r="J1076" s="17" t="str">
        <x:v>primary, witness and public event clocks retain declared offsets and drift</x:v>
      </x:c>
      <x:c r="K1076" s="17" t="str">
        <x:v>Time authority</x:v>
      </x:c>
      <x:c r="L1076" s="9" t="n">
        <x:v>0</x:v>
      </x:c>
      <x:c r="M1076" s="9" t="n">
        <x:v>0</x:v>
      </x:c>
      <x:c r="N1076" s="9" t="str">
        <x:v>OPEN / UNACCEPTED</x:v>
      </x:c>
      <x:c r="O1076" s="9" t="n">
        <x:f>COUNTIFS($A$7:$A$1734,A1076)</x:f>
        <x:v>1</x:v>
      </x:c>
    </x:row>
    <x:row r="1077">
      <x:c r="A1077" s="9" t="str">
        <x:v>EV-AR-RT-B-C-TECH-4-B2-INT-G0-OG03</x:v>
      </x:c>
      <x:c r="B1077" s="9" t="str">
        <x:v>EV-AR-RT-B-C-TECH-4-B2-INT-G0</x:v>
      </x:c>
      <x:c r="C1077" s="9" t="str">
        <x:v>AR-RT-B-C-TECH-4-B2-INT-G0</x:v>
      </x:c>
      <x:c r="D1077" s="9" t="str">
        <x:v>RT-B-C-TECH-4</x:v>
      </x:c>
      <x:c r="E1077" s="9" t="str">
        <x:v>RT-B-C</x:v>
      </x:c>
      <x:c r="F1077" s="9" t="str">
        <x:v>B2</x:v>
      </x:c>
      <x:c r="G1077" s="9" t="str">
        <x:v>INT</x:v>
      </x:c>
      <x:c r="H1077" s="9" t="str">
        <x:v>OG03</x:v>
      </x:c>
      <x:c r="I1077" s="17" t="str">
        <x:v>Calibration ancestry</x:v>
      </x:c>
      <x:c r="J1077" s="17" t="str">
        <x:v>all reference, range and uncertainty states cover the live interval</x:v>
      </x:c>
      <x:c r="K1077" s="17" t="str">
        <x:v>Metrology courts</x:v>
      </x:c>
      <x:c r="L1077" s="9" t="n">
        <x:v>0</x:v>
      </x:c>
      <x:c r="M1077" s="9" t="n">
        <x:v>0</x:v>
      </x:c>
      <x:c r="N1077" s="9" t="str">
        <x:v>OPEN / UNACCEPTED</x:v>
      </x:c>
      <x:c r="O1077" s="9" t="n">
        <x:f>COUNTIFS($A$7:$A$1734,A1077)</x:f>
        <x:v>1</x:v>
      </x:c>
    </x:row>
    <x:row r="1078">
      <x:c r="A1078" s="9" t="str">
        <x:v>EV-AR-RT-B-C-TECH-4-B2-INT-G0-OG04</x:v>
      </x:c>
      <x:c r="B1078" s="9" t="str">
        <x:v>EV-AR-RT-B-C-TECH-4-B2-INT-G0</x:v>
      </x:c>
      <x:c r="C1078" s="9" t="str">
        <x:v>AR-RT-B-C-TECH-4-B2-INT-G0</x:v>
      </x:c>
      <x:c r="D1078" s="9" t="str">
        <x:v>RT-B-C-TECH-4</x:v>
      </x:c>
      <x:c r="E1078" s="9" t="str">
        <x:v>RT-B-C</x:v>
      </x:c>
      <x:c r="F1078" s="9" t="str">
        <x:v>B2</x:v>
      </x:c>
      <x:c r="G1078" s="9" t="str">
        <x:v>INT</x:v>
      </x:c>
      <x:c r="H1078" s="9" t="str">
        <x:v>OG04</x:v>
      </x:c>
      <x:c r="I1078" s="17" t="str">
        <x:v>Raw completeness</x:v>
      </x:c>
      <x:c r="J1078" s="17" t="str">
        <x:v>missingness is enumerated without imputation or outcome-conditioned deletion</x:v>
      </x:c>
      <x:c r="K1078" s="17" t="str">
        <x:v>Observation court</x:v>
      </x:c>
      <x:c r="L1078" s="9" t="n">
        <x:v>0</x:v>
      </x:c>
      <x:c r="M1078" s="9" t="n">
        <x:v>0</x:v>
      </x:c>
      <x:c r="N1078" s="9" t="str">
        <x:v>OPEN / UNACCEPTED</x:v>
      </x:c>
      <x:c r="O1078" s="9" t="n">
        <x:f>COUNTIFS($A$7:$A$1734,A1078)</x:f>
        <x:v>1</x:v>
      </x:c>
    </x:row>
    <x:row r="1079">
      <x:c r="A1079" s="9" t="str">
        <x:v>EV-AR-RT-B-C-TECH-4-B2-INT-G0-OG05</x:v>
      </x:c>
      <x:c r="B1079" s="9" t="str">
        <x:v>EV-AR-RT-B-C-TECH-4-B2-INT-G0</x:v>
      </x:c>
      <x:c r="C1079" s="9" t="str">
        <x:v>AR-RT-B-C-TECH-4-B2-INT-G0</x:v>
      </x:c>
      <x:c r="D1079" s="9" t="str">
        <x:v>RT-B-C-TECH-4</x:v>
      </x:c>
      <x:c r="E1079" s="9" t="str">
        <x:v>RT-B-C</x:v>
      </x:c>
      <x:c r="F1079" s="9" t="str">
        <x:v>B2</x:v>
      </x:c>
      <x:c r="G1079" s="9" t="str">
        <x:v>INT</x:v>
      </x:c>
      <x:c r="H1079" s="9" t="str">
        <x:v>OG05</x:v>
      </x:c>
      <x:c r="I1079" s="17" t="str">
        <x:v>Primary provenance</x:v>
      </x:c>
      <x:c r="J1079" s="17" t="str">
        <x:v>primary originals, hashes, keys and access history reconcile</x:v>
      </x:c>
      <x:c r="K1079" s="17" t="str">
        <x:v>Primary custody</x:v>
      </x:c>
      <x:c r="L1079" s="9" t="n">
        <x:v>0</x:v>
      </x:c>
      <x:c r="M1079" s="9" t="n">
        <x:v>0</x:v>
      </x:c>
      <x:c r="N1079" s="9" t="str">
        <x:v>OPEN / UNACCEPTED</x:v>
      </x:c>
      <x:c r="O1079" s="9" t="n">
        <x:f>COUNTIFS($A$7:$A$1734,A1079)</x:f>
        <x:v>1</x:v>
      </x:c>
    </x:row>
    <x:row r="1080">
      <x:c r="A1080" s="9" t="str">
        <x:v>EV-AR-RT-B-C-TECH-4-B2-INT-G0-OG06</x:v>
      </x:c>
      <x:c r="B1080" s="9" t="str">
        <x:v>EV-AR-RT-B-C-TECH-4-B2-INT-G0</x:v>
      </x:c>
      <x:c r="C1080" s="9" t="str">
        <x:v>AR-RT-B-C-TECH-4-B2-INT-G0</x:v>
      </x:c>
      <x:c r="D1080" s="9" t="str">
        <x:v>RT-B-C-TECH-4</x:v>
      </x:c>
      <x:c r="E1080" s="9" t="str">
        <x:v>RT-B-C</x:v>
      </x:c>
      <x:c r="F1080" s="9" t="str">
        <x:v>B2</x:v>
      </x:c>
      <x:c r="G1080" s="9" t="str">
        <x:v>INT</x:v>
      </x:c>
      <x:c r="H1080" s="9" t="str">
        <x:v>OG06</x:v>
      </x:c>
      <x:c r="I1080" s="17" t="str">
        <x:v>Witness provenance</x:v>
      </x:c>
      <x:c r="J1080" s="17" t="str">
        <x:v>unlike witness originals, hashes, keys and access history reconcile</x:v>
      </x:c>
      <x:c r="K1080" s="17" t="str">
        <x:v>Witness custody</x:v>
      </x:c>
      <x:c r="L1080" s="9" t="n">
        <x:v>0</x:v>
      </x:c>
      <x:c r="M1080" s="9" t="n">
        <x:v>0</x:v>
      </x:c>
      <x:c r="N1080" s="9" t="str">
        <x:v>OPEN / UNACCEPTED</x:v>
      </x:c>
      <x:c r="O1080" s="9" t="n">
        <x:f>COUNTIFS($A$7:$A$1734,A1080)</x:f>
        <x:v>1</x:v>
      </x:c>
    </x:row>
    <x:row r="1081">
      <x:c r="A1081" s="9" t="str">
        <x:v>EV-AR-RT-B-C-TECH-4-B2-INT-G0-OG07</x:v>
      </x:c>
      <x:c r="B1081" s="9" t="str">
        <x:v>EV-AR-RT-B-C-TECH-4-B2-INT-G0</x:v>
      </x:c>
      <x:c r="C1081" s="9" t="str">
        <x:v>AR-RT-B-C-TECH-4-B2-INT-G0</x:v>
      </x:c>
      <x:c r="D1081" s="9" t="str">
        <x:v>RT-B-C-TECH-4</x:v>
      </x:c>
      <x:c r="E1081" s="9" t="str">
        <x:v>RT-B-C</x:v>
      </x:c>
      <x:c r="F1081" s="9" t="str">
        <x:v>B2</x:v>
      </x:c>
      <x:c r="G1081" s="9" t="str">
        <x:v>INT</x:v>
      </x:c>
      <x:c r="H1081" s="9" t="str">
        <x:v>OG07</x:v>
      </x:c>
      <x:c r="I1081" s="17" t="str">
        <x:v>Receiver denominator</x:v>
      </x:c>
      <x:c r="J1081" s="17" t="str">
        <x:v>population, quantity, duration and exclusions match the frozen receipt</x:v>
      </x:c>
      <x:c r="K1081" s="17" t="str">
        <x:v>Receiver court</x:v>
      </x:c>
      <x:c r="L1081" s="9" t="n">
        <x:v>0</x:v>
      </x:c>
      <x:c r="M1081" s="9" t="n">
        <x:v>0</x:v>
      </x:c>
      <x:c r="N1081" s="9" t="str">
        <x:v>OPEN / UNACCEPTED</x:v>
      </x:c>
      <x:c r="O1081" s="9" t="n">
        <x:f>COUNTIFS($A$7:$A$1734,A1081)</x:f>
        <x:v>1</x:v>
      </x:c>
    </x:row>
    <x:row r="1082">
      <x:c r="A1082" s="9" t="str">
        <x:v>EV-AR-RT-B-C-TECH-4-B2-INT-G0-OG08</x:v>
      </x:c>
      <x:c r="B1082" s="9" t="str">
        <x:v>EV-AR-RT-B-C-TECH-4-B2-INT-G0</x:v>
      </x:c>
      <x:c r="C1082" s="9" t="str">
        <x:v>AR-RT-B-C-TECH-4-B2-INT-G0</x:v>
      </x:c>
      <x:c r="D1082" s="9" t="str">
        <x:v>RT-B-C-TECH-4</x:v>
      </x:c>
      <x:c r="E1082" s="9" t="str">
        <x:v>RT-B-C</x:v>
      </x:c>
      <x:c r="F1082" s="9" t="str">
        <x:v>B2</x:v>
      </x:c>
      <x:c r="G1082" s="9" t="str">
        <x:v>INT</x:v>
      </x:c>
      <x:c r="H1082" s="9" t="str">
        <x:v>OG08</x:v>
      </x:c>
      <x:c r="I1082" s="17" t="str">
        <x:v>Environment and boundary</x:v>
      </x:c>
      <x:c r="J1082" s="17" t="str">
        <x:v>registered weather, water, ground, inlet and outlet states are retained</x:v>
      </x:c>
      <x:c r="K1082" s="17" t="str">
        <x:v>Boundary court</x:v>
      </x:c>
      <x:c r="L1082" s="9" t="n">
        <x:v>0</x:v>
      </x:c>
      <x:c r="M1082" s="9" t="n">
        <x:v>0</x:v>
      </x:c>
      <x:c r="N1082" s="9" t="str">
        <x:v>OPEN / UNACCEPTED</x:v>
      </x:c>
      <x:c r="O1082" s="9" t="n">
        <x:f>COUNTIFS($A$7:$A$1734,A1082)</x:f>
        <x:v>1</x:v>
      </x:c>
    </x:row>
    <x:row r="1083">
      <x:c r="A1083" s="9" t="str">
        <x:v>EV-AR-RT-B-C-TECH-4-B2-INT-G0-OG09</x:v>
      </x:c>
      <x:c r="B1083" s="9" t="str">
        <x:v>EV-AR-RT-B-C-TECH-4-B2-INT-G0</x:v>
      </x:c>
      <x:c r="C1083" s="9" t="str">
        <x:v>AR-RT-B-C-TECH-4-B2-INT-G0</x:v>
      </x:c>
      <x:c r="D1083" s="9" t="str">
        <x:v>RT-B-C-TECH-4</x:v>
      </x:c>
      <x:c r="E1083" s="9" t="str">
        <x:v>RT-B-C</x:v>
      </x:c>
      <x:c r="F1083" s="9" t="str">
        <x:v>B2</x:v>
      </x:c>
      <x:c r="G1083" s="9" t="str">
        <x:v>INT</x:v>
      </x:c>
      <x:c r="H1083" s="9" t="str">
        <x:v>OG09</x:v>
      </x:c>
      <x:c r="I1083" s="17" t="str">
        <x:v>Intervention account</x:v>
      </x:c>
      <x:c r="J1083" s="17" t="str">
        <x:v>all stop, rescue, operator and public-protection actions remain timestamped</x:v>
      </x:c>
      <x:c r="K1083" s="17" t="str">
        <x:v>Safety record court</x:v>
      </x:c>
      <x:c r="L1083" s="9" t="n">
        <x:v>0</x:v>
      </x:c>
      <x:c r="M1083" s="9" t="n">
        <x:v>0</x:v>
      </x:c>
      <x:c r="N1083" s="9" t="str">
        <x:v>OPEN / UNACCEPTED</x:v>
      </x:c>
      <x:c r="O1083" s="9" t="n">
        <x:f>COUNTIFS($A$7:$A$1734,A1083)</x:f>
        <x:v>1</x:v>
      </x:c>
    </x:row>
    <x:row r="1084">
      <x:c r="A1084" s="9" t="str">
        <x:v>EV-AR-RT-B-C-TECH-4-B2-INT-G0-OG10</x:v>
      </x:c>
      <x:c r="B1084" s="9" t="str">
        <x:v>EV-AR-RT-B-C-TECH-4-B2-INT-G0</x:v>
      </x:c>
      <x:c r="C1084" s="9" t="str">
        <x:v>AR-RT-B-C-TECH-4-B2-INT-G0</x:v>
      </x:c>
      <x:c r="D1084" s="9" t="str">
        <x:v>RT-B-C-TECH-4</x:v>
      </x:c>
      <x:c r="E1084" s="9" t="str">
        <x:v>RT-B-C</x:v>
      </x:c>
      <x:c r="F1084" s="9" t="str">
        <x:v>B2</x:v>
      </x:c>
      <x:c r="G1084" s="9" t="str">
        <x:v>INT</x:v>
      </x:c>
      <x:c r="H1084" s="9" t="str">
        <x:v>OG10</x:v>
      </x:c>
      <x:c r="I1084" s="17" t="str">
        <x:v>Uncertainty statement</x:v>
      </x:c>
      <x:c r="J1084" s="17" t="str">
        <x:v>range, censoring, resolution and correlation are declared before judgment</x:v>
      </x:c>
      <x:c r="K1084" s="17" t="str">
        <x:v>Uncertainty authority</x:v>
      </x:c>
      <x:c r="L1084" s="9" t="n">
        <x:v>0</x:v>
      </x:c>
      <x:c r="M1084" s="9" t="n">
        <x:v>0</x:v>
      </x:c>
      <x:c r="N1084" s="9" t="str">
        <x:v>OPEN / UNACCEPTED</x:v>
      </x:c>
      <x:c r="O1084" s="9" t="n">
        <x:f>COUNTIFS($A$7:$A$1734,A1084)</x:f>
        <x:v>1</x:v>
      </x:c>
    </x:row>
    <x:row r="1085">
      <x:c r="A1085" s="9" t="str">
        <x:v>EV-AR-RT-B-C-TECH-4-B2-INT-G0-OG11</x:v>
      </x:c>
      <x:c r="B1085" s="9" t="str">
        <x:v>EV-AR-RT-B-C-TECH-4-B2-INT-G0</x:v>
      </x:c>
      <x:c r="C1085" s="9" t="str">
        <x:v>AR-RT-B-C-TECH-4-B2-INT-G0</x:v>
      </x:c>
      <x:c r="D1085" s="9" t="str">
        <x:v>RT-B-C-TECH-4</x:v>
      </x:c>
      <x:c r="E1085" s="9" t="str">
        <x:v>RT-B-C</x:v>
      </x:c>
      <x:c r="F1085" s="9" t="str">
        <x:v>B2</x:v>
      </x:c>
      <x:c r="G1085" s="9" t="str">
        <x:v>INT</x:v>
      </x:c>
      <x:c r="H1085" s="9" t="str">
        <x:v>OG11</x:v>
      </x:c>
      <x:c r="I1085" s="17" t="str">
        <x:v>Contradiction preservation</x:v>
      </x:c>
      <x:c r="J1085" s="17" t="str">
        <x:v>primary-witness disagreement remains explicit and is never averaged away</x:v>
      </x:c>
      <x:c r="K1085" s="17" t="str">
        <x:v>Dissent registrar</x:v>
      </x:c>
      <x:c r="L1085" s="9" t="n">
        <x:v>0</x:v>
      </x:c>
      <x:c r="M1085" s="9" t="n">
        <x:v>0</x:v>
      </x:c>
      <x:c r="N1085" s="9" t="str">
        <x:v>OPEN / UNACCEPTED</x:v>
      </x:c>
      <x:c r="O1085" s="9" t="n">
        <x:f>COUNTIFS($A$7:$A$1734,A1085)</x:f>
        <x:v>1</x:v>
      </x:c>
    </x:row>
    <x:row r="1086">
      <x:c r="A1086" s="9" t="str">
        <x:v>EV-AR-RT-B-C-TECH-4-B2-INT-G0-OG12</x:v>
      </x:c>
      <x:c r="B1086" s="9" t="str">
        <x:v>EV-AR-RT-B-C-TECH-4-B2-INT-G0</x:v>
      </x:c>
      <x:c r="C1086" s="9" t="str">
        <x:v>AR-RT-B-C-TECH-4-B2-INT-G0</x:v>
      </x:c>
      <x:c r="D1086" s="9" t="str">
        <x:v>RT-B-C-TECH-4</x:v>
      </x:c>
      <x:c r="E1086" s="9" t="str">
        <x:v>RT-B-C</x:v>
      </x:c>
      <x:c r="F1086" s="9" t="str">
        <x:v>B2</x:v>
      </x:c>
      <x:c r="G1086" s="9" t="str">
        <x:v>INT</x:v>
      </x:c>
      <x:c r="H1086" s="9" t="str">
        <x:v>OG12</x:v>
      </x:c>
      <x:c r="I1086" s="17" t="str">
        <x:v>Independent replay</x:v>
      </x:c>
      <x:c r="J1086" s="17" t="str">
        <x:v>a separated reader reconstructs the registered observables from sealed originals</x:v>
      </x:c>
      <x:c r="K1086" s="17" t="str">
        <x:v>Replay court</x:v>
      </x:c>
      <x:c r="L1086" s="9" t="n">
        <x:v>0</x:v>
      </x:c>
      <x:c r="M1086" s="9" t="n">
        <x:v>0</x:v>
      </x:c>
      <x:c r="N1086" s="9" t="str">
        <x:v>OPEN / UNACCEPTED</x:v>
      </x:c>
      <x:c r="O1086" s="9" t="n">
        <x:f>COUNTIFS($A$7:$A$1734,A1086)</x:f>
        <x:v>1</x:v>
      </x:c>
    </x:row>
    <x:row r="1087">
      <x:c r="A1087" s="9" t="str">
        <x:v>EV-AR-CT-C-B-TECH-4-B2-RCN-G0-OG01</x:v>
      </x:c>
      <x:c r="B1087" s="9" t="str">
        <x:v>EV-AR-CT-C-B-TECH-4-B2-RCN-G0</x:v>
      </x:c>
      <x:c r="C1087" s="9" t="str">
        <x:v>AR-CT-C-B-TECH-4-B2-RCN-G0</x:v>
      </x:c>
      <x:c r="D1087" s="9" t="str">
        <x:v>CT-C-B-TECH-4</x:v>
      </x:c>
      <x:c r="E1087" s="9" t="str">
        <x:v>CT-C-B</x:v>
      </x:c>
      <x:c r="F1087" s="9" t="str">
        <x:v>B2</x:v>
      </x:c>
      <x:c r="G1087" s="9" t="str">
        <x:v>RCN</x:v>
      </x:c>
      <x:c r="H1087" s="9" t="str">
        <x:v>OG01</x:v>
      </x:c>
      <x:c r="I1087" s="17" t="str">
        <x:v>Serial and event identity</x:v>
      </x:c>
      <x:c r="J1087" s="17" t="str">
        <x:v>record resolves to the issued serial, generation and physical start</x:v>
      </x:c>
      <x:c r="K1087" s="17" t="str">
        <x:v>Observation court</x:v>
      </x:c>
      <x:c r="L1087" s="9" t="n">
        <x:v>0</x:v>
      </x:c>
      <x:c r="M1087" s="9" t="n">
        <x:v>0</x:v>
      </x:c>
      <x:c r="N1087" s="9" t="str">
        <x:v>OPEN / UNACCEPTED</x:v>
      </x:c>
      <x:c r="O1087" s="9" t="n">
        <x:f>COUNTIFS($A$7:$A$1734,A1087)</x:f>
        <x:v>1</x:v>
      </x:c>
    </x:row>
    <x:row r="1088">
      <x:c r="A1088" s="9" t="str">
        <x:v>EV-AR-CT-C-B-TECH-4-B2-RCN-G0-OG02</x:v>
      </x:c>
      <x:c r="B1088" s="9" t="str">
        <x:v>EV-AR-CT-C-B-TECH-4-B2-RCN-G0</x:v>
      </x:c>
      <x:c r="C1088" s="9" t="str">
        <x:v>AR-CT-C-B-TECH-4-B2-RCN-G0</x:v>
      </x:c>
      <x:c r="D1088" s="9" t="str">
        <x:v>CT-C-B-TECH-4</x:v>
      </x:c>
      <x:c r="E1088" s="9" t="str">
        <x:v>CT-C-B</x:v>
      </x:c>
      <x:c r="F1088" s="9" t="str">
        <x:v>B2</x:v>
      </x:c>
      <x:c r="G1088" s="9" t="str">
        <x:v>RCN</x:v>
      </x:c>
      <x:c r="H1088" s="9" t="str">
        <x:v>OG02</x:v>
      </x:c>
      <x:c r="I1088" s="17" t="str">
        <x:v>Time ancestry</x:v>
      </x:c>
      <x:c r="J1088" s="17" t="str">
        <x:v>primary, witness and public event clocks retain declared offsets and drift</x:v>
      </x:c>
      <x:c r="K1088" s="17" t="str">
        <x:v>Time authority</x:v>
      </x:c>
      <x:c r="L1088" s="9" t="n">
        <x:v>0</x:v>
      </x:c>
      <x:c r="M1088" s="9" t="n">
        <x:v>0</x:v>
      </x:c>
      <x:c r="N1088" s="9" t="str">
        <x:v>OPEN / UNACCEPTED</x:v>
      </x:c>
      <x:c r="O1088" s="9" t="n">
        <x:f>COUNTIFS($A$7:$A$1734,A1088)</x:f>
        <x:v>1</x:v>
      </x:c>
    </x:row>
    <x:row r="1089">
      <x:c r="A1089" s="9" t="str">
        <x:v>EV-AR-CT-C-B-TECH-4-B2-RCN-G0-OG03</x:v>
      </x:c>
      <x:c r="B1089" s="9" t="str">
        <x:v>EV-AR-CT-C-B-TECH-4-B2-RCN-G0</x:v>
      </x:c>
      <x:c r="C1089" s="9" t="str">
        <x:v>AR-CT-C-B-TECH-4-B2-RCN-G0</x:v>
      </x:c>
      <x:c r="D1089" s="9" t="str">
        <x:v>CT-C-B-TECH-4</x:v>
      </x:c>
      <x:c r="E1089" s="9" t="str">
        <x:v>CT-C-B</x:v>
      </x:c>
      <x:c r="F1089" s="9" t="str">
        <x:v>B2</x:v>
      </x:c>
      <x:c r="G1089" s="9" t="str">
        <x:v>RCN</x:v>
      </x:c>
      <x:c r="H1089" s="9" t="str">
        <x:v>OG03</x:v>
      </x:c>
      <x:c r="I1089" s="17" t="str">
        <x:v>Calibration ancestry</x:v>
      </x:c>
      <x:c r="J1089" s="17" t="str">
        <x:v>all reference, range and uncertainty states cover the live interval</x:v>
      </x:c>
      <x:c r="K1089" s="17" t="str">
        <x:v>Metrology courts</x:v>
      </x:c>
      <x:c r="L1089" s="9" t="n">
        <x:v>0</x:v>
      </x:c>
      <x:c r="M1089" s="9" t="n">
        <x:v>0</x:v>
      </x:c>
      <x:c r="N1089" s="9" t="str">
        <x:v>OPEN / UNACCEPTED</x:v>
      </x:c>
      <x:c r="O1089" s="9" t="n">
        <x:f>COUNTIFS($A$7:$A$1734,A1089)</x:f>
        <x:v>1</x:v>
      </x:c>
    </x:row>
    <x:row r="1090">
      <x:c r="A1090" s="9" t="str">
        <x:v>EV-AR-CT-C-B-TECH-4-B2-RCN-G0-OG04</x:v>
      </x:c>
      <x:c r="B1090" s="9" t="str">
        <x:v>EV-AR-CT-C-B-TECH-4-B2-RCN-G0</x:v>
      </x:c>
      <x:c r="C1090" s="9" t="str">
        <x:v>AR-CT-C-B-TECH-4-B2-RCN-G0</x:v>
      </x:c>
      <x:c r="D1090" s="9" t="str">
        <x:v>CT-C-B-TECH-4</x:v>
      </x:c>
      <x:c r="E1090" s="9" t="str">
        <x:v>CT-C-B</x:v>
      </x:c>
      <x:c r="F1090" s="9" t="str">
        <x:v>B2</x:v>
      </x:c>
      <x:c r="G1090" s="9" t="str">
        <x:v>RCN</x:v>
      </x:c>
      <x:c r="H1090" s="9" t="str">
        <x:v>OG04</x:v>
      </x:c>
      <x:c r="I1090" s="17" t="str">
        <x:v>Raw completeness</x:v>
      </x:c>
      <x:c r="J1090" s="17" t="str">
        <x:v>missingness is enumerated without imputation or outcome-conditioned deletion</x:v>
      </x:c>
      <x:c r="K1090" s="17" t="str">
        <x:v>Observation court</x:v>
      </x:c>
      <x:c r="L1090" s="9" t="n">
        <x:v>0</x:v>
      </x:c>
      <x:c r="M1090" s="9" t="n">
        <x:v>0</x:v>
      </x:c>
      <x:c r="N1090" s="9" t="str">
        <x:v>OPEN / UNACCEPTED</x:v>
      </x:c>
      <x:c r="O1090" s="9" t="n">
        <x:f>COUNTIFS($A$7:$A$1734,A1090)</x:f>
        <x:v>1</x:v>
      </x:c>
    </x:row>
    <x:row r="1091">
      <x:c r="A1091" s="9" t="str">
        <x:v>EV-AR-CT-C-B-TECH-4-B2-RCN-G0-OG05</x:v>
      </x:c>
      <x:c r="B1091" s="9" t="str">
        <x:v>EV-AR-CT-C-B-TECH-4-B2-RCN-G0</x:v>
      </x:c>
      <x:c r="C1091" s="9" t="str">
        <x:v>AR-CT-C-B-TECH-4-B2-RCN-G0</x:v>
      </x:c>
      <x:c r="D1091" s="9" t="str">
        <x:v>CT-C-B-TECH-4</x:v>
      </x:c>
      <x:c r="E1091" s="9" t="str">
        <x:v>CT-C-B</x:v>
      </x:c>
      <x:c r="F1091" s="9" t="str">
        <x:v>B2</x:v>
      </x:c>
      <x:c r="G1091" s="9" t="str">
        <x:v>RCN</x:v>
      </x:c>
      <x:c r="H1091" s="9" t="str">
        <x:v>OG05</x:v>
      </x:c>
      <x:c r="I1091" s="17" t="str">
        <x:v>Primary provenance</x:v>
      </x:c>
      <x:c r="J1091" s="17" t="str">
        <x:v>primary originals, hashes, keys and access history reconcile</x:v>
      </x:c>
      <x:c r="K1091" s="17" t="str">
        <x:v>Primary custody</x:v>
      </x:c>
      <x:c r="L1091" s="9" t="n">
        <x:v>0</x:v>
      </x:c>
      <x:c r="M1091" s="9" t="n">
        <x:v>0</x:v>
      </x:c>
      <x:c r="N1091" s="9" t="str">
        <x:v>OPEN / UNACCEPTED</x:v>
      </x:c>
      <x:c r="O1091" s="9" t="n">
        <x:f>COUNTIFS($A$7:$A$1734,A1091)</x:f>
        <x:v>1</x:v>
      </x:c>
    </x:row>
    <x:row r="1092">
      <x:c r="A1092" s="9" t="str">
        <x:v>EV-AR-CT-C-B-TECH-4-B2-RCN-G0-OG06</x:v>
      </x:c>
      <x:c r="B1092" s="9" t="str">
        <x:v>EV-AR-CT-C-B-TECH-4-B2-RCN-G0</x:v>
      </x:c>
      <x:c r="C1092" s="9" t="str">
        <x:v>AR-CT-C-B-TECH-4-B2-RCN-G0</x:v>
      </x:c>
      <x:c r="D1092" s="9" t="str">
        <x:v>CT-C-B-TECH-4</x:v>
      </x:c>
      <x:c r="E1092" s="9" t="str">
        <x:v>CT-C-B</x:v>
      </x:c>
      <x:c r="F1092" s="9" t="str">
        <x:v>B2</x:v>
      </x:c>
      <x:c r="G1092" s="9" t="str">
        <x:v>RCN</x:v>
      </x:c>
      <x:c r="H1092" s="9" t="str">
        <x:v>OG06</x:v>
      </x:c>
      <x:c r="I1092" s="17" t="str">
        <x:v>Witness provenance</x:v>
      </x:c>
      <x:c r="J1092" s="17" t="str">
        <x:v>unlike witness originals, hashes, keys and access history reconcile</x:v>
      </x:c>
      <x:c r="K1092" s="17" t="str">
        <x:v>Witness custody</x:v>
      </x:c>
      <x:c r="L1092" s="9" t="n">
        <x:v>0</x:v>
      </x:c>
      <x:c r="M1092" s="9" t="n">
        <x:v>0</x:v>
      </x:c>
      <x:c r="N1092" s="9" t="str">
        <x:v>OPEN / UNACCEPTED</x:v>
      </x:c>
      <x:c r="O1092" s="9" t="n">
        <x:f>COUNTIFS($A$7:$A$1734,A1092)</x:f>
        <x:v>1</x:v>
      </x:c>
    </x:row>
    <x:row r="1093">
      <x:c r="A1093" s="9" t="str">
        <x:v>EV-AR-CT-C-B-TECH-4-B2-RCN-G0-OG07</x:v>
      </x:c>
      <x:c r="B1093" s="9" t="str">
        <x:v>EV-AR-CT-C-B-TECH-4-B2-RCN-G0</x:v>
      </x:c>
      <x:c r="C1093" s="9" t="str">
        <x:v>AR-CT-C-B-TECH-4-B2-RCN-G0</x:v>
      </x:c>
      <x:c r="D1093" s="9" t="str">
        <x:v>CT-C-B-TECH-4</x:v>
      </x:c>
      <x:c r="E1093" s="9" t="str">
        <x:v>CT-C-B</x:v>
      </x:c>
      <x:c r="F1093" s="9" t="str">
        <x:v>B2</x:v>
      </x:c>
      <x:c r="G1093" s="9" t="str">
        <x:v>RCN</x:v>
      </x:c>
      <x:c r="H1093" s="9" t="str">
        <x:v>OG07</x:v>
      </x:c>
      <x:c r="I1093" s="17" t="str">
        <x:v>Receiver denominator</x:v>
      </x:c>
      <x:c r="J1093" s="17" t="str">
        <x:v>population, quantity, duration and exclusions match the frozen receipt</x:v>
      </x:c>
      <x:c r="K1093" s="17" t="str">
        <x:v>Receiver court</x:v>
      </x:c>
      <x:c r="L1093" s="9" t="n">
        <x:v>0</x:v>
      </x:c>
      <x:c r="M1093" s="9" t="n">
        <x:v>0</x:v>
      </x:c>
      <x:c r="N1093" s="9" t="str">
        <x:v>OPEN / UNACCEPTED</x:v>
      </x:c>
      <x:c r="O1093" s="9" t="n">
        <x:f>COUNTIFS($A$7:$A$1734,A1093)</x:f>
        <x:v>1</x:v>
      </x:c>
    </x:row>
    <x:row r="1094">
      <x:c r="A1094" s="9" t="str">
        <x:v>EV-AR-CT-C-B-TECH-4-B2-RCN-G0-OG08</x:v>
      </x:c>
      <x:c r="B1094" s="9" t="str">
        <x:v>EV-AR-CT-C-B-TECH-4-B2-RCN-G0</x:v>
      </x:c>
      <x:c r="C1094" s="9" t="str">
        <x:v>AR-CT-C-B-TECH-4-B2-RCN-G0</x:v>
      </x:c>
      <x:c r="D1094" s="9" t="str">
        <x:v>CT-C-B-TECH-4</x:v>
      </x:c>
      <x:c r="E1094" s="9" t="str">
        <x:v>CT-C-B</x:v>
      </x:c>
      <x:c r="F1094" s="9" t="str">
        <x:v>B2</x:v>
      </x:c>
      <x:c r="G1094" s="9" t="str">
        <x:v>RCN</x:v>
      </x:c>
      <x:c r="H1094" s="9" t="str">
        <x:v>OG08</x:v>
      </x:c>
      <x:c r="I1094" s="17" t="str">
        <x:v>Environment and boundary</x:v>
      </x:c>
      <x:c r="J1094" s="17" t="str">
        <x:v>registered weather, water, ground, inlet and outlet states are retained</x:v>
      </x:c>
      <x:c r="K1094" s="17" t="str">
        <x:v>Boundary court</x:v>
      </x:c>
      <x:c r="L1094" s="9" t="n">
        <x:v>0</x:v>
      </x:c>
      <x:c r="M1094" s="9" t="n">
        <x:v>0</x:v>
      </x:c>
      <x:c r="N1094" s="9" t="str">
        <x:v>OPEN / UNACCEPTED</x:v>
      </x:c>
      <x:c r="O1094" s="9" t="n">
        <x:f>COUNTIFS($A$7:$A$1734,A1094)</x:f>
        <x:v>1</x:v>
      </x:c>
    </x:row>
    <x:row r="1095">
      <x:c r="A1095" s="9" t="str">
        <x:v>EV-AR-CT-C-B-TECH-4-B2-RCN-G0-OG09</x:v>
      </x:c>
      <x:c r="B1095" s="9" t="str">
        <x:v>EV-AR-CT-C-B-TECH-4-B2-RCN-G0</x:v>
      </x:c>
      <x:c r="C1095" s="9" t="str">
        <x:v>AR-CT-C-B-TECH-4-B2-RCN-G0</x:v>
      </x:c>
      <x:c r="D1095" s="9" t="str">
        <x:v>CT-C-B-TECH-4</x:v>
      </x:c>
      <x:c r="E1095" s="9" t="str">
        <x:v>CT-C-B</x:v>
      </x:c>
      <x:c r="F1095" s="9" t="str">
        <x:v>B2</x:v>
      </x:c>
      <x:c r="G1095" s="9" t="str">
        <x:v>RCN</x:v>
      </x:c>
      <x:c r="H1095" s="9" t="str">
        <x:v>OG09</x:v>
      </x:c>
      <x:c r="I1095" s="17" t="str">
        <x:v>Intervention account</x:v>
      </x:c>
      <x:c r="J1095" s="17" t="str">
        <x:v>all stop, rescue, operator and public-protection actions remain timestamped</x:v>
      </x:c>
      <x:c r="K1095" s="17" t="str">
        <x:v>Safety record court</x:v>
      </x:c>
      <x:c r="L1095" s="9" t="n">
        <x:v>0</x:v>
      </x:c>
      <x:c r="M1095" s="9" t="n">
        <x:v>0</x:v>
      </x:c>
      <x:c r="N1095" s="9" t="str">
        <x:v>OPEN / UNACCEPTED</x:v>
      </x:c>
      <x:c r="O1095" s="9" t="n">
        <x:f>COUNTIFS($A$7:$A$1734,A1095)</x:f>
        <x:v>1</x:v>
      </x:c>
    </x:row>
    <x:row r="1096">
      <x:c r="A1096" s="9" t="str">
        <x:v>EV-AR-CT-C-B-TECH-4-B2-RCN-G0-OG10</x:v>
      </x:c>
      <x:c r="B1096" s="9" t="str">
        <x:v>EV-AR-CT-C-B-TECH-4-B2-RCN-G0</x:v>
      </x:c>
      <x:c r="C1096" s="9" t="str">
        <x:v>AR-CT-C-B-TECH-4-B2-RCN-G0</x:v>
      </x:c>
      <x:c r="D1096" s="9" t="str">
        <x:v>CT-C-B-TECH-4</x:v>
      </x:c>
      <x:c r="E1096" s="9" t="str">
        <x:v>CT-C-B</x:v>
      </x:c>
      <x:c r="F1096" s="9" t="str">
        <x:v>B2</x:v>
      </x:c>
      <x:c r="G1096" s="9" t="str">
        <x:v>RCN</x:v>
      </x:c>
      <x:c r="H1096" s="9" t="str">
        <x:v>OG10</x:v>
      </x:c>
      <x:c r="I1096" s="17" t="str">
        <x:v>Uncertainty statement</x:v>
      </x:c>
      <x:c r="J1096" s="17" t="str">
        <x:v>range, censoring, resolution and correlation are declared before judgment</x:v>
      </x:c>
      <x:c r="K1096" s="17" t="str">
        <x:v>Uncertainty authority</x:v>
      </x:c>
      <x:c r="L1096" s="9" t="n">
        <x:v>0</x:v>
      </x:c>
      <x:c r="M1096" s="9" t="n">
        <x:v>0</x:v>
      </x:c>
      <x:c r="N1096" s="9" t="str">
        <x:v>OPEN / UNACCEPTED</x:v>
      </x:c>
      <x:c r="O1096" s="9" t="n">
        <x:f>COUNTIFS($A$7:$A$1734,A1096)</x:f>
        <x:v>1</x:v>
      </x:c>
    </x:row>
    <x:row r="1097">
      <x:c r="A1097" s="9" t="str">
        <x:v>EV-AR-CT-C-B-TECH-4-B2-RCN-G0-OG11</x:v>
      </x:c>
      <x:c r="B1097" s="9" t="str">
        <x:v>EV-AR-CT-C-B-TECH-4-B2-RCN-G0</x:v>
      </x:c>
      <x:c r="C1097" s="9" t="str">
        <x:v>AR-CT-C-B-TECH-4-B2-RCN-G0</x:v>
      </x:c>
      <x:c r="D1097" s="9" t="str">
        <x:v>CT-C-B-TECH-4</x:v>
      </x:c>
      <x:c r="E1097" s="9" t="str">
        <x:v>CT-C-B</x:v>
      </x:c>
      <x:c r="F1097" s="9" t="str">
        <x:v>B2</x:v>
      </x:c>
      <x:c r="G1097" s="9" t="str">
        <x:v>RCN</x:v>
      </x:c>
      <x:c r="H1097" s="9" t="str">
        <x:v>OG11</x:v>
      </x:c>
      <x:c r="I1097" s="17" t="str">
        <x:v>Contradiction preservation</x:v>
      </x:c>
      <x:c r="J1097" s="17" t="str">
        <x:v>primary-witness disagreement remains explicit and is never averaged away</x:v>
      </x:c>
      <x:c r="K1097" s="17" t="str">
        <x:v>Dissent registrar</x:v>
      </x:c>
      <x:c r="L1097" s="9" t="n">
        <x:v>0</x:v>
      </x:c>
      <x:c r="M1097" s="9" t="n">
        <x:v>0</x:v>
      </x:c>
      <x:c r="N1097" s="9" t="str">
        <x:v>OPEN / UNACCEPTED</x:v>
      </x:c>
      <x:c r="O1097" s="9" t="n">
        <x:f>COUNTIFS($A$7:$A$1734,A1097)</x:f>
        <x:v>1</x:v>
      </x:c>
    </x:row>
    <x:row r="1098">
      <x:c r="A1098" s="9" t="str">
        <x:v>EV-AR-CT-C-B-TECH-4-B2-RCN-G0-OG12</x:v>
      </x:c>
      <x:c r="B1098" s="9" t="str">
        <x:v>EV-AR-CT-C-B-TECH-4-B2-RCN-G0</x:v>
      </x:c>
      <x:c r="C1098" s="9" t="str">
        <x:v>AR-CT-C-B-TECH-4-B2-RCN-G0</x:v>
      </x:c>
      <x:c r="D1098" s="9" t="str">
        <x:v>CT-C-B-TECH-4</x:v>
      </x:c>
      <x:c r="E1098" s="9" t="str">
        <x:v>CT-C-B</x:v>
      </x:c>
      <x:c r="F1098" s="9" t="str">
        <x:v>B2</x:v>
      </x:c>
      <x:c r="G1098" s="9" t="str">
        <x:v>RCN</x:v>
      </x:c>
      <x:c r="H1098" s="9" t="str">
        <x:v>OG12</x:v>
      </x:c>
      <x:c r="I1098" s="17" t="str">
        <x:v>Independent replay</x:v>
      </x:c>
      <x:c r="J1098" s="17" t="str">
        <x:v>a separated reader reconstructs the registered observables from sealed originals</x:v>
      </x:c>
      <x:c r="K1098" s="17" t="str">
        <x:v>Replay court</x:v>
      </x:c>
      <x:c r="L1098" s="9" t="n">
        <x:v>0</x:v>
      </x:c>
      <x:c r="M1098" s="9" t="n">
        <x:v>0</x:v>
      </x:c>
      <x:c r="N1098" s="9" t="str">
        <x:v>OPEN / UNACCEPTED</x:v>
      </x:c>
      <x:c r="O1098" s="9" t="n">
        <x:f>COUNTIFS($A$7:$A$1734,A1098)</x:f>
        <x:v>1</x:v>
      </x:c>
    </x:row>
    <x:row r="1099">
      <x:c r="A1099" s="9" t="str">
        <x:v>EV-AR-CT-C-B-TECH-1-B1-BRK-G0-OG01</x:v>
      </x:c>
      <x:c r="B1099" s="9" t="str">
        <x:v>EV-AR-CT-C-B-TECH-1-B1-BRK-G0</x:v>
      </x:c>
      <x:c r="C1099" s="9" t="str">
        <x:v>AR-CT-C-B-TECH-1-B1-BRK-G0</x:v>
      </x:c>
      <x:c r="D1099" s="9" t="str">
        <x:v>CT-C-B-TECH-1</x:v>
      </x:c>
      <x:c r="E1099" s="9" t="str">
        <x:v>CT-C-B</x:v>
      </x:c>
      <x:c r="F1099" s="9" t="str">
        <x:v>B1</x:v>
      </x:c>
      <x:c r="G1099" s="9" t="str">
        <x:v>BRK</x:v>
      </x:c>
      <x:c r="H1099" s="9" t="str">
        <x:v>OG01</x:v>
      </x:c>
      <x:c r="I1099" s="17" t="str">
        <x:v>Serial and event identity</x:v>
      </x:c>
      <x:c r="J1099" s="17" t="str">
        <x:v>record resolves to the issued serial, generation and physical start</x:v>
      </x:c>
      <x:c r="K1099" s="17" t="str">
        <x:v>Observation court</x:v>
      </x:c>
      <x:c r="L1099" s="9" t="n">
        <x:v>0</x:v>
      </x:c>
      <x:c r="M1099" s="9" t="n">
        <x:v>0</x:v>
      </x:c>
      <x:c r="N1099" s="9" t="str">
        <x:v>OPEN / UNACCEPTED</x:v>
      </x:c>
      <x:c r="O1099" s="9" t="n">
        <x:f>COUNTIFS($A$7:$A$1734,A1099)</x:f>
        <x:v>1</x:v>
      </x:c>
    </x:row>
    <x:row r="1100">
      <x:c r="A1100" s="9" t="str">
        <x:v>EV-AR-CT-C-B-TECH-1-B1-BRK-G0-OG02</x:v>
      </x:c>
      <x:c r="B1100" s="9" t="str">
        <x:v>EV-AR-CT-C-B-TECH-1-B1-BRK-G0</x:v>
      </x:c>
      <x:c r="C1100" s="9" t="str">
        <x:v>AR-CT-C-B-TECH-1-B1-BRK-G0</x:v>
      </x:c>
      <x:c r="D1100" s="9" t="str">
        <x:v>CT-C-B-TECH-1</x:v>
      </x:c>
      <x:c r="E1100" s="9" t="str">
        <x:v>CT-C-B</x:v>
      </x:c>
      <x:c r="F1100" s="9" t="str">
        <x:v>B1</x:v>
      </x:c>
      <x:c r="G1100" s="9" t="str">
        <x:v>BRK</x:v>
      </x:c>
      <x:c r="H1100" s="9" t="str">
        <x:v>OG02</x:v>
      </x:c>
      <x:c r="I1100" s="17" t="str">
        <x:v>Time ancestry</x:v>
      </x:c>
      <x:c r="J1100" s="17" t="str">
        <x:v>primary, witness and public event clocks retain declared offsets and drift</x:v>
      </x:c>
      <x:c r="K1100" s="17" t="str">
        <x:v>Time authority</x:v>
      </x:c>
      <x:c r="L1100" s="9" t="n">
        <x:v>0</x:v>
      </x:c>
      <x:c r="M1100" s="9" t="n">
        <x:v>0</x:v>
      </x:c>
      <x:c r="N1100" s="9" t="str">
        <x:v>OPEN / UNACCEPTED</x:v>
      </x:c>
      <x:c r="O1100" s="9" t="n">
        <x:f>COUNTIFS($A$7:$A$1734,A1100)</x:f>
        <x:v>1</x:v>
      </x:c>
    </x:row>
    <x:row r="1101">
      <x:c r="A1101" s="9" t="str">
        <x:v>EV-AR-CT-C-B-TECH-1-B1-BRK-G0-OG03</x:v>
      </x:c>
      <x:c r="B1101" s="9" t="str">
        <x:v>EV-AR-CT-C-B-TECH-1-B1-BRK-G0</x:v>
      </x:c>
      <x:c r="C1101" s="9" t="str">
        <x:v>AR-CT-C-B-TECH-1-B1-BRK-G0</x:v>
      </x:c>
      <x:c r="D1101" s="9" t="str">
        <x:v>CT-C-B-TECH-1</x:v>
      </x:c>
      <x:c r="E1101" s="9" t="str">
        <x:v>CT-C-B</x:v>
      </x:c>
      <x:c r="F1101" s="9" t="str">
        <x:v>B1</x:v>
      </x:c>
      <x:c r="G1101" s="9" t="str">
        <x:v>BRK</x:v>
      </x:c>
      <x:c r="H1101" s="9" t="str">
        <x:v>OG03</x:v>
      </x:c>
      <x:c r="I1101" s="17" t="str">
        <x:v>Calibration ancestry</x:v>
      </x:c>
      <x:c r="J1101" s="17" t="str">
        <x:v>all reference, range and uncertainty states cover the live interval</x:v>
      </x:c>
      <x:c r="K1101" s="17" t="str">
        <x:v>Metrology courts</x:v>
      </x:c>
      <x:c r="L1101" s="9" t="n">
        <x:v>0</x:v>
      </x:c>
      <x:c r="M1101" s="9" t="n">
        <x:v>0</x:v>
      </x:c>
      <x:c r="N1101" s="9" t="str">
        <x:v>OPEN / UNACCEPTED</x:v>
      </x:c>
      <x:c r="O1101" s="9" t="n">
        <x:f>COUNTIFS($A$7:$A$1734,A1101)</x:f>
        <x:v>1</x:v>
      </x:c>
    </x:row>
    <x:row r="1102">
      <x:c r="A1102" s="9" t="str">
        <x:v>EV-AR-CT-C-B-TECH-1-B1-BRK-G0-OG04</x:v>
      </x:c>
      <x:c r="B1102" s="9" t="str">
        <x:v>EV-AR-CT-C-B-TECH-1-B1-BRK-G0</x:v>
      </x:c>
      <x:c r="C1102" s="9" t="str">
        <x:v>AR-CT-C-B-TECH-1-B1-BRK-G0</x:v>
      </x:c>
      <x:c r="D1102" s="9" t="str">
        <x:v>CT-C-B-TECH-1</x:v>
      </x:c>
      <x:c r="E1102" s="9" t="str">
        <x:v>CT-C-B</x:v>
      </x:c>
      <x:c r="F1102" s="9" t="str">
        <x:v>B1</x:v>
      </x:c>
      <x:c r="G1102" s="9" t="str">
        <x:v>BRK</x:v>
      </x:c>
      <x:c r="H1102" s="9" t="str">
        <x:v>OG04</x:v>
      </x:c>
      <x:c r="I1102" s="17" t="str">
        <x:v>Raw completeness</x:v>
      </x:c>
      <x:c r="J1102" s="17" t="str">
        <x:v>missingness is enumerated without imputation or outcome-conditioned deletion</x:v>
      </x:c>
      <x:c r="K1102" s="17" t="str">
        <x:v>Observation court</x:v>
      </x:c>
      <x:c r="L1102" s="9" t="n">
        <x:v>0</x:v>
      </x:c>
      <x:c r="M1102" s="9" t="n">
        <x:v>0</x:v>
      </x:c>
      <x:c r="N1102" s="9" t="str">
        <x:v>OPEN / UNACCEPTED</x:v>
      </x:c>
      <x:c r="O1102" s="9" t="n">
        <x:f>COUNTIFS($A$7:$A$1734,A1102)</x:f>
        <x:v>1</x:v>
      </x:c>
    </x:row>
    <x:row r="1103">
      <x:c r="A1103" s="9" t="str">
        <x:v>EV-AR-CT-C-B-TECH-1-B1-BRK-G0-OG05</x:v>
      </x:c>
      <x:c r="B1103" s="9" t="str">
        <x:v>EV-AR-CT-C-B-TECH-1-B1-BRK-G0</x:v>
      </x:c>
      <x:c r="C1103" s="9" t="str">
        <x:v>AR-CT-C-B-TECH-1-B1-BRK-G0</x:v>
      </x:c>
      <x:c r="D1103" s="9" t="str">
        <x:v>CT-C-B-TECH-1</x:v>
      </x:c>
      <x:c r="E1103" s="9" t="str">
        <x:v>CT-C-B</x:v>
      </x:c>
      <x:c r="F1103" s="9" t="str">
        <x:v>B1</x:v>
      </x:c>
      <x:c r="G1103" s="9" t="str">
        <x:v>BRK</x:v>
      </x:c>
      <x:c r="H1103" s="9" t="str">
        <x:v>OG05</x:v>
      </x:c>
      <x:c r="I1103" s="17" t="str">
        <x:v>Primary provenance</x:v>
      </x:c>
      <x:c r="J1103" s="17" t="str">
        <x:v>primary originals, hashes, keys and access history reconcile</x:v>
      </x:c>
      <x:c r="K1103" s="17" t="str">
        <x:v>Primary custody</x:v>
      </x:c>
      <x:c r="L1103" s="9" t="n">
        <x:v>0</x:v>
      </x:c>
      <x:c r="M1103" s="9" t="n">
        <x:v>0</x:v>
      </x:c>
      <x:c r="N1103" s="9" t="str">
        <x:v>OPEN / UNACCEPTED</x:v>
      </x:c>
      <x:c r="O1103" s="9" t="n">
        <x:f>COUNTIFS($A$7:$A$1734,A1103)</x:f>
        <x:v>1</x:v>
      </x:c>
    </x:row>
    <x:row r="1104">
      <x:c r="A1104" s="9" t="str">
        <x:v>EV-AR-CT-C-B-TECH-1-B1-BRK-G0-OG06</x:v>
      </x:c>
      <x:c r="B1104" s="9" t="str">
        <x:v>EV-AR-CT-C-B-TECH-1-B1-BRK-G0</x:v>
      </x:c>
      <x:c r="C1104" s="9" t="str">
        <x:v>AR-CT-C-B-TECH-1-B1-BRK-G0</x:v>
      </x:c>
      <x:c r="D1104" s="9" t="str">
        <x:v>CT-C-B-TECH-1</x:v>
      </x:c>
      <x:c r="E1104" s="9" t="str">
        <x:v>CT-C-B</x:v>
      </x:c>
      <x:c r="F1104" s="9" t="str">
        <x:v>B1</x:v>
      </x:c>
      <x:c r="G1104" s="9" t="str">
        <x:v>BRK</x:v>
      </x:c>
      <x:c r="H1104" s="9" t="str">
        <x:v>OG06</x:v>
      </x:c>
      <x:c r="I1104" s="17" t="str">
        <x:v>Witness provenance</x:v>
      </x:c>
      <x:c r="J1104" s="17" t="str">
        <x:v>unlike witness originals, hashes, keys and access history reconcile</x:v>
      </x:c>
      <x:c r="K1104" s="17" t="str">
        <x:v>Witness custody</x:v>
      </x:c>
      <x:c r="L1104" s="9" t="n">
        <x:v>0</x:v>
      </x:c>
      <x:c r="M1104" s="9" t="n">
        <x:v>0</x:v>
      </x:c>
      <x:c r="N1104" s="9" t="str">
        <x:v>OPEN / UNACCEPTED</x:v>
      </x:c>
      <x:c r="O1104" s="9" t="n">
        <x:f>COUNTIFS($A$7:$A$1734,A1104)</x:f>
        <x:v>1</x:v>
      </x:c>
    </x:row>
    <x:row r="1105">
      <x:c r="A1105" s="9" t="str">
        <x:v>EV-AR-CT-C-B-TECH-1-B1-BRK-G0-OG07</x:v>
      </x:c>
      <x:c r="B1105" s="9" t="str">
        <x:v>EV-AR-CT-C-B-TECH-1-B1-BRK-G0</x:v>
      </x:c>
      <x:c r="C1105" s="9" t="str">
        <x:v>AR-CT-C-B-TECH-1-B1-BRK-G0</x:v>
      </x:c>
      <x:c r="D1105" s="9" t="str">
        <x:v>CT-C-B-TECH-1</x:v>
      </x:c>
      <x:c r="E1105" s="9" t="str">
        <x:v>CT-C-B</x:v>
      </x:c>
      <x:c r="F1105" s="9" t="str">
        <x:v>B1</x:v>
      </x:c>
      <x:c r="G1105" s="9" t="str">
        <x:v>BRK</x:v>
      </x:c>
      <x:c r="H1105" s="9" t="str">
        <x:v>OG07</x:v>
      </x:c>
      <x:c r="I1105" s="17" t="str">
        <x:v>Receiver denominator</x:v>
      </x:c>
      <x:c r="J1105" s="17" t="str">
        <x:v>population, quantity, duration and exclusions match the frozen receipt</x:v>
      </x:c>
      <x:c r="K1105" s="17" t="str">
        <x:v>Receiver court</x:v>
      </x:c>
      <x:c r="L1105" s="9" t="n">
        <x:v>0</x:v>
      </x:c>
      <x:c r="M1105" s="9" t="n">
        <x:v>0</x:v>
      </x:c>
      <x:c r="N1105" s="9" t="str">
        <x:v>OPEN / UNACCEPTED</x:v>
      </x:c>
      <x:c r="O1105" s="9" t="n">
        <x:f>COUNTIFS($A$7:$A$1734,A1105)</x:f>
        <x:v>1</x:v>
      </x:c>
    </x:row>
    <x:row r="1106">
      <x:c r="A1106" s="9" t="str">
        <x:v>EV-AR-CT-C-B-TECH-1-B1-BRK-G0-OG08</x:v>
      </x:c>
      <x:c r="B1106" s="9" t="str">
        <x:v>EV-AR-CT-C-B-TECH-1-B1-BRK-G0</x:v>
      </x:c>
      <x:c r="C1106" s="9" t="str">
        <x:v>AR-CT-C-B-TECH-1-B1-BRK-G0</x:v>
      </x:c>
      <x:c r="D1106" s="9" t="str">
        <x:v>CT-C-B-TECH-1</x:v>
      </x:c>
      <x:c r="E1106" s="9" t="str">
        <x:v>CT-C-B</x:v>
      </x:c>
      <x:c r="F1106" s="9" t="str">
        <x:v>B1</x:v>
      </x:c>
      <x:c r="G1106" s="9" t="str">
        <x:v>BRK</x:v>
      </x:c>
      <x:c r="H1106" s="9" t="str">
        <x:v>OG08</x:v>
      </x:c>
      <x:c r="I1106" s="17" t="str">
        <x:v>Environment and boundary</x:v>
      </x:c>
      <x:c r="J1106" s="17" t="str">
        <x:v>registered weather, water, ground, inlet and outlet states are retained</x:v>
      </x:c>
      <x:c r="K1106" s="17" t="str">
        <x:v>Boundary court</x:v>
      </x:c>
      <x:c r="L1106" s="9" t="n">
        <x:v>0</x:v>
      </x:c>
      <x:c r="M1106" s="9" t="n">
        <x:v>0</x:v>
      </x:c>
      <x:c r="N1106" s="9" t="str">
        <x:v>OPEN / UNACCEPTED</x:v>
      </x:c>
      <x:c r="O1106" s="9" t="n">
        <x:f>COUNTIFS($A$7:$A$1734,A1106)</x:f>
        <x:v>1</x:v>
      </x:c>
    </x:row>
    <x:row r="1107">
      <x:c r="A1107" s="9" t="str">
        <x:v>EV-AR-CT-C-B-TECH-1-B1-BRK-G0-OG09</x:v>
      </x:c>
      <x:c r="B1107" s="9" t="str">
        <x:v>EV-AR-CT-C-B-TECH-1-B1-BRK-G0</x:v>
      </x:c>
      <x:c r="C1107" s="9" t="str">
        <x:v>AR-CT-C-B-TECH-1-B1-BRK-G0</x:v>
      </x:c>
      <x:c r="D1107" s="9" t="str">
        <x:v>CT-C-B-TECH-1</x:v>
      </x:c>
      <x:c r="E1107" s="9" t="str">
        <x:v>CT-C-B</x:v>
      </x:c>
      <x:c r="F1107" s="9" t="str">
        <x:v>B1</x:v>
      </x:c>
      <x:c r="G1107" s="9" t="str">
        <x:v>BRK</x:v>
      </x:c>
      <x:c r="H1107" s="9" t="str">
        <x:v>OG09</x:v>
      </x:c>
      <x:c r="I1107" s="17" t="str">
        <x:v>Intervention account</x:v>
      </x:c>
      <x:c r="J1107" s="17" t="str">
        <x:v>all stop, rescue, operator and public-protection actions remain timestamped</x:v>
      </x:c>
      <x:c r="K1107" s="17" t="str">
        <x:v>Safety record court</x:v>
      </x:c>
      <x:c r="L1107" s="9" t="n">
        <x:v>0</x:v>
      </x:c>
      <x:c r="M1107" s="9" t="n">
        <x:v>0</x:v>
      </x:c>
      <x:c r="N1107" s="9" t="str">
        <x:v>OPEN / UNACCEPTED</x:v>
      </x:c>
      <x:c r="O1107" s="9" t="n">
        <x:f>COUNTIFS($A$7:$A$1734,A1107)</x:f>
        <x:v>1</x:v>
      </x:c>
    </x:row>
    <x:row r="1108">
      <x:c r="A1108" s="9" t="str">
        <x:v>EV-AR-CT-C-B-TECH-1-B1-BRK-G0-OG10</x:v>
      </x:c>
      <x:c r="B1108" s="9" t="str">
        <x:v>EV-AR-CT-C-B-TECH-1-B1-BRK-G0</x:v>
      </x:c>
      <x:c r="C1108" s="9" t="str">
        <x:v>AR-CT-C-B-TECH-1-B1-BRK-G0</x:v>
      </x:c>
      <x:c r="D1108" s="9" t="str">
        <x:v>CT-C-B-TECH-1</x:v>
      </x:c>
      <x:c r="E1108" s="9" t="str">
        <x:v>CT-C-B</x:v>
      </x:c>
      <x:c r="F1108" s="9" t="str">
        <x:v>B1</x:v>
      </x:c>
      <x:c r="G1108" s="9" t="str">
        <x:v>BRK</x:v>
      </x:c>
      <x:c r="H1108" s="9" t="str">
        <x:v>OG10</x:v>
      </x:c>
      <x:c r="I1108" s="17" t="str">
        <x:v>Uncertainty statement</x:v>
      </x:c>
      <x:c r="J1108" s="17" t="str">
        <x:v>range, censoring, resolution and correlation are declared before judgment</x:v>
      </x:c>
      <x:c r="K1108" s="17" t="str">
        <x:v>Uncertainty authority</x:v>
      </x:c>
      <x:c r="L1108" s="9" t="n">
        <x:v>0</x:v>
      </x:c>
      <x:c r="M1108" s="9" t="n">
        <x:v>0</x:v>
      </x:c>
      <x:c r="N1108" s="9" t="str">
        <x:v>OPEN / UNACCEPTED</x:v>
      </x:c>
      <x:c r="O1108" s="9" t="n">
        <x:f>COUNTIFS($A$7:$A$1734,A1108)</x:f>
        <x:v>1</x:v>
      </x:c>
    </x:row>
    <x:row r="1109">
      <x:c r="A1109" s="9" t="str">
        <x:v>EV-AR-CT-C-B-TECH-1-B1-BRK-G0-OG11</x:v>
      </x:c>
      <x:c r="B1109" s="9" t="str">
        <x:v>EV-AR-CT-C-B-TECH-1-B1-BRK-G0</x:v>
      </x:c>
      <x:c r="C1109" s="9" t="str">
        <x:v>AR-CT-C-B-TECH-1-B1-BRK-G0</x:v>
      </x:c>
      <x:c r="D1109" s="9" t="str">
        <x:v>CT-C-B-TECH-1</x:v>
      </x:c>
      <x:c r="E1109" s="9" t="str">
        <x:v>CT-C-B</x:v>
      </x:c>
      <x:c r="F1109" s="9" t="str">
        <x:v>B1</x:v>
      </x:c>
      <x:c r="G1109" s="9" t="str">
        <x:v>BRK</x:v>
      </x:c>
      <x:c r="H1109" s="9" t="str">
        <x:v>OG11</x:v>
      </x:c>
      <x:c r="I1109" s="17" t="str">
        <x:v>Contradiction preservation</x:v>
      </x:c>
      <x:c r="J1109" s="17" t="str">
        <x:v>primary-witness disagreement remains explicit and is never averaged away</x:v>
      </x:c>
      <x:c r="K1109" s="17" t="str">
        <x:v>Dissent registrar</x:v>
      </x:c>
      <x:c r="L1109" s="9" t="n">
        <x:v>0</x:v>
      </x:c>
      <x:c r="M1109" s="9" t="n">
        <x:v>0</x:v>
      </x:c>
      <x:c r="N1109" s="9" t="str">
        <x:v>OPEN / UNACCEPTED</x:v>
      </x:c>
      <x:c r="O1109" s="9" t="n">
        <x:f>COUNTIFS($A$7:$A$1734,A1109)</x:f>
        <x:v>1</x:v>
      </x:c>
    </x:row>
    <x:row r="1110">
      <x:c r="A1110" s="9" t="str">
        <x:v>EV-AR-CT-C-B-TECH-1-B1-BRK-G0-OG12</x:v>
      </x:c>
      <x:c r="B1110" s="9" t="str">
        <x:v>EV-AR-CT-C-B-TECH-1-B1-BRK-G0</x:v>
      </x:c>
      <x:c r="C1110" s="9" t="str">
        <x:v>AR-CT-C-B-TECH-1-B1-BRK-G0</x:v>
      </x:c>
      <x:c r="D1110" s="9" t="str">
        <x:v>CT-C-B-TECH-1</x:v>
      </x:c>
      <x:c r="E1110" s="9" t="str">
        <x:v>CT-C-B</x:v>
      </x:c>
      <x:c r="F1110" s="9" t="str">
        <x:v>B1</x:v>
      </x:c>
      <x:c r="G1110" s="9" t="str">
        <x:v>BRK</x:v>
      </x:c>
      <x:c r="H1110" s="9" t="str">
        <x:v>OG12</x:v>
      </x:c>
      <x:c r="I1110" s="17" t="str">
        <x:v>Independent replay</x:v>
      </x:c>
      <x:c r="J1110" s="17" t="str">
        <x:v>a separated reader reconstructs the registered observables from sealed originals</x:v>
      </x:c>
      <x:c r="K1110" s="17" t="str">
        <x:v>Replay court</x:v>
      </x:c>
      <x:c r="L1110" s="9" t="n">
        <x:v>0</x:v>
      </x:c>
      <x:c r="M1110" s="9" t="n">
        <x:v>0</x:v>
      </x:c>
      <x:c r="N1110" s="9" t="str">
        <x:v>OPEN / UNACCEPTED</x:v>
      </x:c>
      <x:c r="O1110" s="9" t="n">
        <x:f>COUNTIFS($A$7:$A$1734,A1110)</x:f>
        <x:v>1</x:v>
      </x:c>
    </x:row>
    <x:row r="1111">
      <x:c r="A1111" s="9" t="str">
        <x:v>EV-AR-ET-A-A-TECH-2-B1-BRK-G0-OG01</x:v>
      </x:c>
      <x:c r="B1111" s="9" t="str">
        <x:v>EV-AR-ET-A-A-TECH-2-B1-BRK-G0</x:v>
      </x:c>
      <x:c r="C1111" s="9" t="str">
        <x:v>AR-ET-A-A-TECH-2-B1-BRK-G0</x:v>
      </x:c>
      <x:c r="D1111" s="9" t="str">
        <x:v>ET-A-A-TECH-2</x:v>
      </x:c>
      <x:c r="E1111" s="9" t="str">
        <x:v>ET-A-A</x:v>
      </x:c>
      <x:c r="F1111" s="9" t="str">
        <x:v>B1</x:v>
      </x:c>
      <x:c r="G1111" s="9" t="str">
        <x:v>BRK</x:v>
      </x:c>
      <x:c r="H1111" s="9" t="str">
        <x:v>OG01</x:v>
      </x:c>
      <x:c r="I1111" s="17" t="str">
        <x:v>Serial and event identity</x:v>
      </x:c>
      <x:c r="J1111" s="17" t="str">
        <x:v>record resolves to the issued serial, generation and physical start</x:v>
      </x:c>
      <x:c r="K1111" s="17" t="str">
        <x:v>Observation court</x:v>
      </x:c>
      <x:c r="L1111" s="9" t="n">
        <x:v>0</x:v>
      </x:c>
      <x:c r="M1111" s="9" t="n">
        <x:v>0</x:v>
      </x:c>
      <x:c r="N1111" s="9" t="str">
        <x:v>OPEN / UNACCEPTED</x:v>
      </x:c>
      <x:c r="O1111" s="9" t="n">
        <x:f>COUNTIFS($A$7:$A$1734,A1111)</x:f>
        <x:v>1</x:v>
      </x:c>
    </x:row>
    <x:row r="1112">
      <x:c r="A1112" s="9" t="str">
        <x:v>EV-AR-ET-A-A-TECH-2-B1-BRK-G0-OG02</x:v>
      </x:c>
      <x:c r="B1112" s="9" t="str">
        <x:v>EV-AR-ET-A-A-TECH-2-B1-BRK-G0</x:v>
      </x:c>
      <x:c r="C1112" s="9" t="str">
        <x:v>AR-ET-A-A-TECH-2-B1-BRK-G0</x:v>
      </x:c>
      <x:c r="D1112" s="9" t="str">
        <x:v>ET-A-A-TECH-2</x:v>
      </x:c>
      <x:c r="E1112" s="9" t="str">
        <x:v>ET-A-A</x:v>
      </x:c>
      <x:c r="F1112" s="9" t="str">
        <x:v>B1</x:v>
      </x:c>
      <x:c r="G1112" s="9" t="str">
        <x:v>BRK</x:v>
      </x:c>
      <x:c r="H1112" s="9" t="str">
        <x:v>OG02</x:v>
      </x:c>
      <x:c r="I1112" s="17" t="str">
        <x:v>Time ancestry</x:v>
      </x:c>
      <x:c r="J1112" s="17" t="str">
        <x:v>primary, witness and public event clocks retain declared offsets and drift</x:v>
      </x:c>
      <x:c r="K1112" s="17" t="str">
        <x:v>Time authority</x:v>
      </x:c>
      <x:c r="L1112" s="9" t="n">
        <x:v>0</x:v>
      </x:c>
      <x:c r="M1112" s="9" t="n">
        <x:v>0</x:v>
      </x:c>
      <x:c r="N1112" s="9" t="str">
        <x:v>OPEN / UNACCEPTED</x:v>
      </x:c>
      <x:c r="O1112" s="9" t="n">
        <x:f>COUNTIFS($A$7:$A$1734,A1112)</x:f>
        <x:v>1</x:v>
      </x:c>
    </x:row>
    <x:row r="1113">
      <x:c r="A1113" s="9" t="str">
        <x:v>EV-AR-ET-A-A-TECH-2-B1-BRK-G0-OG03</x:v>
      </x:c>
      <x:c r="B1113" s="9" t="str">
        <x:v>EV-AR-ET-A-A-TECH-2-B1-BRK-G0</x:v>
      </x:c>
      <x:c r="C1113" s="9" t="str">
        <x:v>AR-ET-A-A-TECH-2-B1-BRK-G0</x:v>
      </x:c>
      <x:c r="D1113" s="9" t="str">
        <x:v>ET-A-A-TECH-2</x:v>
      </x:c>
      <x:c r="E1113" s="9" t="str">
        <x:v>ET-A-A</x:v>
      </x:c>
      <x:c r="F1113" s="9" t="str">
        <x:v>B1</x:v>
      </x:c>
      <x:c r="G1113" s="9" t="str">
        <x:v>BRK</x:v>
      </x:c>
      <x:c r="H1113" s="9" t="str">
        <x:v>OG03</x:v>
      </x:c>
      <x:c r="I1113" s="17" t="str">
        <x:v>Calibration ancestry</x:v>
      </x:c>
      <x:c r="J1113" s="17" t="str">
        <x:v>all reference, range and uncertainty states cover the live interval</x:v>
      </x:c>
      <x:c r="K1113" s="17" t="str">
        <x:v>Metrology courts</x:v>
      </x:c>
      <x:c r="L1113" s="9" t="n">
        <x:v>0</x:v>
      </x:c>
      <x:c r="M1113" s="9" t="n">
        <x:v>0</x:v>
      </x:c>
      <x:c r="N1113" s="9" t="str">
        <x:v>OPEN / UNACCEPTED</x:v>
      </x:c>
      <x:c r="O1113" s="9" t="n">
        <x:f>COUNTIFS($A$7:$A$1734,A1113)</x:f>
        <x:v>1</x:v>
      </x:c>
    </x:row>
    <x:row r="1114">
      <x:c r="A1114" s="9" t="str">
        <x:v>EV-AR-ET-A-A-TECH-2-B1-BRK-G0-OG04</x:v>
      </x:c>
      <x:c r="B1114" s="9" t="str">
        <x:v>EV-AR-ET-A-A-TECH-2-B1-BRK-G0</x:v>
      </x:c>
      <x:c r="C1114" s="9" t="str">
        <x:v>AR-ET-A-A-TECH-2-B1-BRK-G0</x:v>
      </x:c>
      <x:c r="D1114" s="9" t="str">
        <x:v>ET-A-A-TECH-2</x:v>
      </x:c>
      <x:c r="E1114" s="9" t="str">
        <x:v>ET-A-A</x:v>
      </x:c>
      <x:c r="F1114" s="9" t="str">
        <x:v>B1</x:v>
      </x:c>
      <x:c r="G1114" s="9" t="str">
        <x:v>BRK</x:v>
      </x:c>
      <x:c r="H1114" s="9" t="str">
        <x:v>OG04</x:v>
      </x:c>
      <x:c r="I1114" s="17" t="str">
        <x:v>Raw completeness</x:v>
      </x:c>
      <x:c r="J1114" s="17" t="str">
        <x:v>missingness is enumerated without imputation or outcome-conditioned deletion</x:v>
      </x:c>
      <x:c r="K1114" s="17" t="str">
        <x:v>Observation court</x:v>
      </x:c>
      <x:c r="L1114" s="9" t="n">
        <x:v>0</x:v>
      </x:c>
      <x:c r="M1114" s="9" t="n">
        <x:v>0</x:v>
      </x:c>
      <x:c r="N1114" s="9" t="str">
        <x:v>OPEN / UNACCEPTED</x:v>
      </x:c>
      <x:c r="O1114" s="9" t="n">
        <x:f>COUNTIFS($A$7:$A$1734,A1114)</x:f>
        <x:v>1</x:v>
      </x:c>
    </x:row>
    <x:row r="1115">
      <x:c r="A1115" s="9" t="str">
        <x:v>EV-AR-ET-A-A-TECH-2-B1-BRK-G0-OG05</x:v>
      </x:c>
      <x:c r="B1115" s="9" t="str">
        <x:v>EV-AR-ET-A-A-TECH-2-B1-BRK-G0</x:v>
      </x:c>
      <x:c r="C1115" s="9" t="str">
        <x:v>AR-ET-A-A-TECH-2-B1-BRK-G0</x:v>
      </x:c>
      <x:c r="D1115" s="9" t="str">
        <x:v>ET-A-A-TECH-2</x:v>
      </x:c>
      <x:c r="E1115" s="9" t="str">
        <x:v>ET-A-A</x:v>
      </x:c>
      <x:c r="F1115" s="9" t="str">
        <x:v>B1</x:v>
      </x:c>
      <x:c r="G1115" s="9" t="str">
        <x:v>BRK</x:v>
      </x:c>
      <x:c r="H1115" s="9" t="str">
        <x:v>OG05</x:v>
      </x:c>
      <x:c r="I1115" s="17" t="str">
        <x:v>Primary provenance</x:v>
      </x:c>
      <x:c r="J1115" s="17" t="str">
        <x:v>primary originals, hashes, keys and access history reconcile</x:v>
      </x:c>
      <x:c r="K1115" s="17" t="str">
        <x:v>Primary custody</x:v>
      </x:c>
      <x:c r="L1115" s="9" t="n">
        <x:v>0</x:v>
      </x:c>
      <x:c r="M1115" s="9" t="n">
        <x:v>0</x:v>
      </x:c>
      <x:c r="N1115" s="9" t="str">
        <x:v>OPEN / UNACCEPTED</x:v>
      </x:c>
      <x:c r="O1115" s="9" t="n">
        <x:f>COUNTIFS($A$7:$A$1734,A1115)</x:f>
        <x:v>1</x:v>
      </x:c>
    </x:row>
    <x:row r="1116">
      <x:c r="A1116" s="9" t="str">
        <x:v>EV-AR-ET-A-A-TECH-2-B1-BRK-G0-OG06</x:v>
      </x:c>
      <x:c r="B1116" s="9" t="str">
        <x:v>EV-AR-ET-A-A-TECH-2-B1-BRK-G0</x:v>
      </x:c>
      <x:c r="C1116" s="9" t="str">
        <x:v>AR-ET-A-A-TECH-2-B1-BRK-G0</x:v>
      </x:c>
      <x:c r="D1116" s="9" t="str">
        <x:v>ET-A-A-TECH-2</x:v>
      </x:c>
      <x:c r="E1116" s="9" t="str">
        <x:v>ET-A-A</x:v>
      </x:c>
      <x:c r="F1116" s="9" t="str">
        <x:v>B1</x:v>
      </x:c>
      <x:c r="G1116" s="9" t="str">
        <x:v>BRK</x:v>
      </x:c>
      <x:c r="H1116" s="9" t="str">
        <x:v>OG06</x:v>
      </x:c>
      <x:c r="I1116" s="17" t="str">
        <x:v>Witness provenance</x:v>
      </x:c>
      <x:c r="J1116" s="17" t="str">
        <x:v>unlike witness originals, hashes, keys and access history reconcile</x:v>
      </x:c>
      <x:c r="K1116" s="17" t="str">
        <x:v>Witness custody</x:v>
      </x:c>
      <x:c r="L1116" s="9" t="n">
        <x:v>0</x:v>
      </x:c>
      <x:c r="M1116" s="9" t="n">
        <x:v>0</x:v>
      </x:c>
      <x:c r="N1116" s="9" t="str">
        <x:v>OPEN / UNACCEPTED</x:v>
      </x:c>
      <x:c r="O1116" s="9" t="n">
        <x:f>COUNTIFS($A$7:$A$1734,A1116)</x:f>
        <x:v>1</x:v>
      </x:c>
    </x:row>
    <x:row r="1117">
      <x:c r="A1117" s="9" t="str">
        <x:v>EV-AR-ET-A-A-TECH-2-B1-BRK-G0-OG07</x:v>
      </x:c>
      <x:c r="B1117" s="9" t="str">
        <x:v>EV-AR-ET-A-A-TECH-2-B1-BRK-G0</x:v>
      </x:c>
      <x:c r="C1117" s="9" t="str">
        <x:v>AR-ET-A-A-TECH-2-B1-BRK-G0</x:v>
      </x:c>
      <x:c r="D1117" s="9" t="str">
        <x:v>ET-A-A-TECH-2</x:v>
      </x:c>
      <x:c r="E1117" s="9" t="str">
        <x:v>ET-A-A</x:v>
      </x:c>
      <x:c r="F1117" s="9" t="str">
        <x:v>B1</x:v>
      </x:c>
      <x:c r="G1117" s="9" t="str">
        <x:v>BRK</x:v>
      </x:c>
      <x:c r="H1117" s="9" t="str">
        <x:v>OG07</x:v>
      </x:c>
      <x:c r="I1117" s="17" t="str">
        <x:v>Receiver denominator</x:v>
      </x:c>
      <x:c r="J1117" s="17" t="str">
        <x:v>population, quantity, duration and exclusions match the frozen receipt</x:v>
      </x:c>
      <x:c r="K1117" s="17" t="str">
        <x:v>Receiver court</x:v>
      </x:c>
      <x:c r="L1117" s="9" t="n">
        <x:v>0</x:v>
      </x:c>
      <x:c r="M1117" s="9" t="n">
        <x:v>0</x:v>
      </x:c>
      <x:c r="N1117" s="9" t="str">
        <x:v>OPEN / UNACCEPTED</x:v>
      </x:c>
      <x:c r="O1117" s="9" t="n">
        <x:f>COUNTIFS($A$7:$A$1734,A1117)</x:f>
        <x:v>1</x:v>
      </x:c>
    </x:row>
    <x:row r="1118">
      <x:c r="A1118" s="9" t="str">
        <x:v>EV-AR-ET-A-A-TECH-2-B1-BRK-G0-OG08</x:v>
      </x:c>
      <x:c r="B1118" s="9" t="str">
        <x:v>EV-AR-ET-A-A-TECH-2-B1-BRK-G0</x:v>
      </x:c>
      <x:c r="C1118" s="9" t="str">
        <x:v>AR-ET-A-A-TECH-2-B1-BRK-G0</x:v>
      </x:c>
      <x:c r="D1118" s="9" t="str">
        <x:v>ET-A-A-TECH-2</x:v>
      </x:c>
      <x:c r="E1118" s="9" t="str">
        <x:v>ET-A-A</x:v>
      </x:c>
      <x:c r="F1118" s="9" t="str">
        <x:v>B1</x:v>
      </x:c>
      <x:c r="G1118" s="9" t="str">
        <x:v>BRK</x:v>
      </x:c>
      <x:c r="H1118" s="9" t="str">
        <x:v>OG08</x:v>
      </x:c>
      <x:c r="I1118" s="17" t="str">
        <x:v>Environment and boundary</x:v>
      </x:c>
      <x:c r="J1118" s="17" t="str">
        <x:v>registered weather, water, ground, inlet and outlet states are retained</x:v>
      </x:c>
      <x:c r="K1118" s="17" t="str">
        <x:v>Boundary court</x:v>
      </x:c>
      <x:c r="L1118" s="9" t="n">
        <x:v>0</x:v>
      </x:c>
      <x:c r="M1118" s="9" t="n">
        <x:v>0</x:v>
      </x:c>
      <x:c r="N1118" s="9" t="str">
        <x:v>OPEN / UNACCEPTED</x:v>
      </x:c>
      <x:c r="O1118" s="9" t="n">
        <x:f>COUNTIFS($A$7:$A$1734,A1118)</x:f>
        <x:v>1</x:v>
      </x:c>
    </x:row>
    <x:row r="1119">
      <x:c r="A1119" s="9" t="str">
        <x:v>EV-AR-ET-A-A-TECH-2-B1-BRK-G0-OG09</x:v>
      </x:c>
      <x:c r="B1119" s="9" t="str">
        <x:v>EV-AR-ET-A-A-TECH-2-B1-BRK-G0</x:v>
      </x:c>
      <x:c r="C1119" s="9" t="str">
        <x:v>AR-ET-A-A-TECH-2-B1-BRK-G0</x:v>
      </x:c>
      <x:c r="D1119" s="9" t="str">
        <x:v>ET-A-A-TECH-2</x:v>
      </x:c>
      <x:c r="E1119" s="9" t="str">
        <x:v>ET-A-A</x:v>
      </x:c>
      <x:c r="F1119" s="9" t="str">
        <x:v>B1</x:v>
      </x:c>
      <x:c r="G1119" s="9" t="str">
        <x:v>BRK</x:v>
      </x:c>
      <x:c r="H1119" s="9" t="str">
        <x:v>OG09</x:v>
      </x:c>
      <x:c r="I1119" s="17" t="str">
        <x:v>Intervention account</x:v>
      </x:c>
      <x:c r="J1119" s="17" t="str">
        <x:v>all stop, rescue, operator and public-protection actions remain timestamped</x:v>
      </x:c>
      <x:c r="K1119" s="17" t="str">
        <x:v>Safety record court</x:v>
      </x:c>
      <x:c r="L1119" s="9" t="n">
        <x:v>0</x:v>
      </x:c>
      <x:c r="M1119" s="9" t="n">
        <x:v>0</x:v>
      </x:c>
      <x:c r="N1119" s="9" t="str">
        <x:v>OPEN / UNACCEPTED</x:v>
      </x:c>
      <x:c r="O1119" s="9" t="n">
        <x:f>COUNTIFS($A$7:$A$1734,A1119)</x:f>
        <x:v>1</x:v>
      </x:c>
    </x:row>
    <x:row r="1120">
      <x:c r="A1120" s="9" t="str">
        <x:v>EV-AR-ET-A-A-TECH-2-B1-BRK-G0-OG10</x:v>
      </x:c>
      <x:c r="B1120" s="9" t="str">
        <x:v>EV-AR-ET-A-A-TECH-2-B1-BRK-G0</x:v>
      </x:c>
      <x:c r="C1120" s="9" t="str">
        <x:v>AR-ET-A-A-TECH-2-B1-BRK-G0</x:v>
      </x:c>
      <x:c r="D1120" s="9" t="str">
        <x:v>ET-A-A-TECH-2</x:v>
      </x:c>
      <x:c r="E1120" s="9" t="str">
        <x:v>ET-A-A</x:v>
      </x:c>
      <x:c r="F1120" s="9" t="str">
        <x:v>B1</x:v>
      </x:c>
      <x:c r="G1120" s="9" t="str">
        <x:v>BRK</x:v>
      </x:c>
      <x:c r="H1120" s="9" t="str">
        <x:v>OG10</x:v>
      </x:c>
      <x:c r="I1120" s="17" t="str">
        <x:v>Uncertainty statement</x:v>
      </x:c>
      <x:c r="J1120" s="17" t="str">
        <x:v>range, censoring, resolution and correlation are declared before judgment</x:v>
      </x:c>
      <x:c r="K1120" s="17" t="str">
        <x:v>Uncertainty authority</x:v>
      </x:c>
      <x:c r="L1120" s="9" t="n">
        <x:v>0</x:v>
      </x:c>
      <x:c r="M1120" s="9" t="n">
        <x:v>0</x:v>
      </x:c>
      <x:c r="N1120" s="9" t="str">
        <x:v>OPEN / UNACCEPTED</x:v>
      </x:c>
      <x:c r="O1120" s="9" t="n">
        <x:f>COUNTIFS($A$7:$A$1734,A1120)</x:f>
        <x:v>1</x:v>
      </x:c>
    </x:row>
    <x:row r="1121">
      <x:c r="A1121" s="9" t="str">
        <x:v>EV-AR-ET-A-A-TECH-2-B1-BRK-G0-OG11</x:v>
      </x:c>
      <x:c r="B1121" s="9" t="str">
        <x:v>EV-AR-ET-A-A-TECH-2-B1-BRK-G0</x:v>
      </x:c>
      <x:c r="C1121" s="9" t="str">
        <x:v>AR-ET-A-A-TECH-2-B1-BRK-G0</x:v>
      </x:c>
      <x:c r="D1121" s="9" t="str">
        <x:v>ET-A-A-TECH-2</x:v>
      </x:c>
      <x:c r="E1121" s="9" t="str">
        <x:v>ET-A-A</x:v>
      </x:c>
      <x:c r="F1121" s="9" t="str">
        <x:v>B1</x:v>
      </x:c>
      <x:c r="G1121" s="9" t="str">
        <x:v>BRK</x:v>
      </x:c>
      <x:c r="H1121" s="9" t="str">
        <x:v>OG11</x:v>
      </x:c>
      <x:c r="I1121" s="17" t="str">
        <x:v>Contradiction preservation</x:v>
      </x:c>
      <x:c r="J1121" s="17" t="str">
        <x:v>primary-witness disagreement remains explicit and is never averaged away</x:v>
      </x:c>
      <x:c r="K1121" s="17" t="str">
        <x:v>Dissent registrar</x:v>
      </x:c>
      <x:c r="L1121" s="9" t="n">
        <x:v>0</x:v>
      </x:c>
      <x:c r="M1121" s="9" t="n">
        <x:v>0</x:v>
      </x:c>
      <x:c r="N1121" s="9" t="str">
        <x:v>OPEN / UNACCEPTED</x:v>
      </x:c>
      <x:c r="O1121" s="9" t="n">
        <x:f>COUNTIFS($A$7:$A$1734,A1121)</x:f>
        <x:v>1</x:v>
      </x:c>
    </x:row>
    <x:row r="1122">
      <x:c r="A1122" s="9" t="str">
        <x:v>EV-AR-ET-A-A-TECH-2-B1-BRK-G0-OG12</x:v>
      </x:c>
      <x:c r="B1122" s="9" t="str">
        <x:v>EV-AR-ET-A-A-TECH-2-B1-BRK-G0</x:v>
      </x:c>
      <x:c r="C1122" s="9" t="str">
        <x:v>AR-ET-A-A-TECH-2-B1-BRK-G0</x:v>
      </x:c>
      <x:c r="D1122" s="9" t="str">
        <x:v>ET-A-A-TECH-2</x:v>
      </x:c>
      <x:c r="E1122" s="9" t="str">
        <x:v>ET-A-A</x:v>
      </x:c>
      <x:c r="F1122" s="9" t="str">
        <x:v>B1</x:v>
      </x:c>
      <x:c r="G1122" s="9" t="str">
        <x:v>BRK</x:v>
      </x:c>
      <x:c r="H1122" s="9" t="str">
        <x:v>OG12</x:v>
      </x:c>
      <x:c r="I1122" s="17" t="str">
        <x:v>Independent replay</x:v>
      </x:c>
      <x:c r="J1122" s="17" t="str">
        <x:v>a separated reader reconstructs the registered observables from sealed originals</x:v>
      </x:c>
      <x:c r="K1122" s="17" t="str">
        <x:v>Replay court</x:v>
      </x:c>
      <x:c r="L1122" s="9" t="n">
        <x:v>0</x:v>
      </x:c>
      <x:c r="M1122" s="9" t="n">
        <x:v>0</x:v>
      </x:c>
      <x:c r="N1122" s="9" t="str">
        <x:v>OPEN / UNACCEPTED</x:v>
      </x:c>
      <x:c r="O1122" s="9" t="n">
        <x:f>COUNTIFS($A$7:$A$1734,A1122)</x:f>
        <x:v>1</x:v>
      </x:c>
    </x:row>
    <x:row r="1123">
      <x:c r="A1123" s="9" t="str">
        <x:v>EV-AR-HU-A-B-TECH-4-B1-BRK-G0-OG01</x:v>
      </x:c>
      <x:c r="B1123" s="9" t="str">
        <x:v>EV-AR-HU-A-B-TECH-4-B1-BRK-G0</x:v>
      </x:c>
      <x:c r="C1123" s="9" t="str">
        <x:v>AR-HU-A-B-TECH-4-B1-BRK-G0</x:v>
      </x:c>
      <x:c r="D1123" s="9" t="str">
        <x:v>HU-A-B-TECH-4</x:v>
      </x:c>
      <x:c r="E1123" s="9" t="str">
        <x:v>HU-A-B</x:v>
      </x:c>
      <x:c r="F1123" s="9" t="str">
        <x:v>B1</x:v>
      </x:c>
      <x:c r="G1123" s="9" t="str">
        <x:v>BRK</x:v>
      </x:c>
      <x:c r="H1123" s="9" t="str">
        <x:v>OG01</x:v>
      </x:c>
      <x:c r="I1123" s="17" t="str">
        <x:v>Serial and event identity</x:v>
      </x:c>
      <x:c r="J1123" s="17" t="str">
        <x:v>record resolves to the issued serial, generation and physical start</x:v>
      </x:c>
      <x:c r="K1123" s="17" t="str">
        <x:v>Observation court</x:v>
      </x:c>
      <x:c r="L1123" s="9" t="n">
        <x:v>0</x:v>
      </x:c>
      <x:c r="M1123" s="9" t="n">
        <x:v>0</x:v>
      </x:c>
      <x:c r="N1123" s="9" t="str">
        <x:v>OPEN / UNACCEPTED</x:v>
      </x:c>
      <x:c r="O1123" s="9" t="n">
        <x:f>COUNTIFS($A$7:$A$1734,A1123)</x:f>
        <x:v>1</x:v>
      </x:c>
    </x:row>
    <x:row r="1124">
      <x:c r="A1124" s="9" t="str">
        <x:v>EV-AR-HU-A-B-TECH-4-B1-BRK-G0-OG02</x:v>
      </x:c>
      <x:c r="B1124" s="9" t="str">
        <x:v>EV-AR-HU-A-B-TECH-4-B1-BRK-G0</x:v>
      </x:c>
      <x:c r="C1124" s="9" t="str">
        <x:v>AR-HU-A-B-TECH-4-B1-BRK-G0</x:v>
      </x:c>
      <x:c r="D1124" s="9" t="str">
        <x:v>HU-A-B-TECH-4</x:v>
      </x:c>
      <x:c r="E1124" s="9" t="str">
        <x:v>HU-A-B</x:v>
      </x:c>
      <x:c r="F1124" s="9" t="str">
        <x:v>B1</x:v>
      </x:c>
      <x:c r="G1124" s="9" t="str">
        <x:v>BRK</x:v>
      </x:c>
      <x:c r="H1124" s="9" t="str">
        <x:v>OG02</x:v>
      </x:c>
      <x:c r="I1124" s="17" t="str">
        <x:v>Time ancestry</x:v>
      </x:c>
      <x:c r="J1124" s="17" t="str">
        <x:v>primary, witness and public event clocks retain declared offsets and drift</x:v>
      </x:c>
      <x:c r="K1124" s="17" t="str">
        <x:v>Time authority</x:v>
      </x:c>
      <x:c r="L1124" s="9" t="n">
        <x:v>0</x:v>
      </x:c>
      <x:c r="M1124" s="9" t="n">
        <x:v>0</x:v>
      </x:c>
      <x:c r="N1124" s="9" t="str">
        <x:v>OPEN / UNACCEPTED</x:v>
      </x:c>
      <x:c r="O1124" s="9" t="n">
        <x:f>COUNTIFS($A$7:$A$1734,A1124)</x:f>
        <x:v>1</x:v>
      </x:c>
    </x:row>
    <x:row r="1125">
      <x:c r="A1125" s="9" t="str">
        <x:v>EV-AR-HU-A-B-TECH-4-B1-BRK-G0-OG03</x:v>
      </x:c>
      <x:c r="B1125" s="9" t="str">
        <x:v>EV-AR-HU-A-B-TECH-4-B1-BRK-G0</x:v>
      </x:c>
      <x:c r="C1125" s="9" t="str">
        <x:v>AR-HU-A-B-TECH-4-B1-BRK-G0</x:v>
      </x:c>
      <x:c r="D1125" s="9" t="str">
        <x:v>HU-A-B-TECH-4</x:v>
      </x:c>
      <x:c r="E1125" s="9" t="str">
        <x:v>HU-A-B</x:v>
      </x:c>
      <x:c r="F1125" s="9" t="str">
        <x:v>B1</x:v>
      </x:c>
      <x:c r="G1125" s="9" t="str">
        <x:v>BRK</x:v>
      </x:c>
      <x:c r="H1125" s="9" t="str">
        <x:v>OG03</x:v>
      </x:c>
      <x:c r="I1125" s="17" t="str">
        <x:v>Calibration ancestry</x:v>
      </x:c>
      <x:c r="J1125" s="17" t="str">
        <x:v>all reference, range and uncertainty states cover the live interval</x:v>
      </x:c>
      <x:c r="K1125" s="17" t="str">
        <x:v>Metrology courts</x:v>
      </x:c>
      <x:c r="L1125" s="9" t="n">
        <x:v>0</x:v>
      </x:c>
      <x:c r="M1125" s="9" t="n">
        <x:v>0</x:v>
      </x:c>
      <x:c r="N1125" s="9" t="str">
        <x:v>OPEN / UNACCEPTED</x:v>
      </x:c>
      <x:c r="O1125" s="9" t="n">
        <x:f>COUNTIFS($A$7:$A$1734,A1125)</x:f>
        <x:v>1</x:v>
      </x:c>
    </x:row>
    <x:row r="1126">
      <x:c r="A1126" s="9" t="str">
        <x:v>EV-AR-HU-A-B-TECH-4-B1-BRK-G0-OG04</x:v>
      </x:c>
      <x:c r="B1126" s="9" t="str">
        <x:v>EV-AR-HU-A-B-TECH-4-B1-BRK-G0</x:v>
      </x:c>
      <x:c r="C1126" s="9" t="str">
        <x:v>AR-HU-A-B-TECH-4-B1-BRK-G0</x:v>
      </x:c>
      <x:c r="D1126" s="9" t="str">
        <x:v>HU-A-B-TECH-4</x:v>
      </x:c>
      <x:c r="E1126" s="9" t="str">
        <x:v>HU-A-B</x:v>
      </x:c>
      <x:c r="F1126" s="9" t="str">
        <x:v>B1</x:v>
      </x:c>
      <x:c r="G1126" s="9" t="str">
        <x:v>BRK</x:v>
      </x:c>
      <x:c r="H1126" s="9" t="str">
        <x:v>OG04</x:v>
      </x:c>
      <x:c r="I1126" s="17" t="str">
        <x:v>Raw completeness</x:v>
      </x:c>
      <x:c r="J1126" s="17" t="str">
        <x:v>missingness is enumerated without imputation or outcome-conditioned deletion</x:v>
      </x:c>
      <x:c r="K1126" s="17" t="str">
        <x:v>Observation court</x:v>
      </x:c>
      <x:c r="L1126" s="9" t="n">
        <x:v>0</x:v>
      </x:c>
      <x:c r="M1126" s="9" t="n">
        <x:v>0</x:v>
      </x:c>
      <x:c r="N1126" s="9" t="str">
        <x:v>OPEN / UNACCEPTED</x:v>
      </x:c>
      <x:c r="O1126" s="9" t="n">
        <x:f>COUNTIFS($A$7:$A$1734,A1126)</x:f>
        <x:v>1</x:v>
      </x:c>
    </x:row>
    <x:row r="1127">
      <x:c r="A1127" s="9" t="str">
        <x:v>EV-AR-HU-A-B-TECH-4-B1-BRK-G0-OG05</x:v>
      </x:c>
      <x:c r="B1127" s="9" t="str">
        <x:v>EV-AR-HU-A-B-TECH-4-B1-BRK-G0</x:v>
      </x:c>
      <x:c r="C1127" s="9" t="str">
        <x:v>AR-HU-A-B-TECH-4-B1-BRK-G0</x:v>
      </x:c>
      <x:c r="D1127" s="9" t="str">
        <x:v>HU-A-B-TECH-4</x:v>
      </x:c>
      <x:c r="E1127" s="9" t="str">
        <x:v>HU-A-B</x:v>
      </x:c>
      <x:c r="F1127" s="9" t="str">
        <x:v>B1</x:v>
      </x:c>
      <x:c r="G1127" s="9" t="str">
        <x:v>BRK</x:v>
      </x:c>
      <x:c r="H1127" s="9" t="str">
        <x:v>OG05</x:v>
      </x:c>
      <x:c r="I1127" s="17" t="str">
        <x:v>Primary provenance</x:v>
      </x:c>
      <x:c r="J1127" s="17" t="str">
        <x:v>primary originals, hashes, keys and access history reconcile</x:v>
      </x:c>
      <x:c r="K1127" s="17" t="str">
        <x:v>Primary custody</x:v>
      </x:c>
      <x:c r="L1127" s="9" t="n">
        <x:v>0</x:v>
      </x:c>
      <x:c r="M1127" s="9" t="n">
        <x:v>0</x:v>
      </x:c>
      <x:c r="N1127" s="9" t="str">
        <x:v>OPEN / UNACCEPTED</x:v>
      </x:c>
      <x:c r="O1127" s="9" t="n">
        <x:f>COUNTIFS($A$7:$A$1734,A1127)</x:f>
        <x:v>1</x:v>
      </x:c>
    </x:row>
    <x:row r="1128">
      <x:c r="A1128" s="9" t="str">
        <x:v>EV-AR-HU-A-B-TECH-4-B1-BRK-G0-OG06</x:v>
      </x:c>
      <x:c r="B1128" s="9" t="str">
        <x:v>EV-AR-HU-A-B-TECH-4-B1-BRK-G0</x:v>
      </x:c>
      <x:c r="C1128" s="9" t="str">
        <x:v>AR-HU-A-B-TECH-4-B1-BRK-G0</x:v>
      </x:c>
      <x:c r="D1128" s="9" t="str">
        <x:v>HU-A-B-TECH-4</x:v>
      </x:c>
      <x:c r="E1128" s="9" t="str">
        <x:v>HU-A-B</x:v>
      </x:c>
      <x:c r="F1128" s="9" t="str">
        <x:v>B1</x:v>
      </x:c>
      <x:c r="G1128" s="9" t="str">
        <x:v>BRK</x:v>
      </x:c>
      <x:c r="H1128" s="9" t="str">
        <x:v>OG06</x:v>
      </x:c>
      <x:c r="I1128" s="17" t="str">
        <x:v>Witness provenance</x:v>
      </x:c>
      <x:c r="J1128" s="17" t="str">
        <x:v>unlike witness originals, hashes, keys and access history reconcile</x:v>
      </x:c>
      <x:c r="K1128" s="17" t="str">
        <x:v>Witness custody</x:v>
      </x:c>
      <x:c r="L1128" s="9" t="n">
        <x:v>0</x:v>
      </x:c>
      <x:c r="M1128" s="9" t="n">
        <x:v>0</x:v>
      </x:c>
      <x:c r="N1128" s="9" t="str">
        <x:v>OPEN / UNACCEPTED</x:v>
      </x:c>
      <x:c r="O1128" s="9" t="n">
        <x:f>COUNTIFS($A$7:$A$1734,A1128)</x:f>
        <x:v>1</x:v>
      </x:c>
    </x:row>
    <x:row r="1129">
      <x:c r="A1129" s="9" t="str">
        <x:v>EV-AR-HU-A-B-TECH-4-B1-BRK-G0-OG07</x:v>
      </x:c>
      <x:c r="B1129" s="9" t="str">
        <x:v>EV-AR-HU-A-B-TECH-4-B1-BRK-G0</x:v>
      </x:c>
      <x:c r="C1129" s="9" t="str">
        <x:v>AR-HU-A-B-TECH-4-B1-BRK-G0</x:v>
      </x:c>
      <x:c r="D1129" s="9" t="str">
        <x:v>HU-A-B-TECH-4</x:v>
      </x:c>
      <x:c r="E1129" s="9" t="str">
        <x:v>HU-A-B</x:v>
      </x:c>
      <x:c r="F1129" s="9" t="str">
        <x:v>B1</x:v>
      </x:c>
      <x:c r="G1129" s="9" t="str">
        <x:v>BRK</x:v>
      </x:c>
      <x:c r="H1129" s="9" t="str">
        <x:v>OG07</x:v>
      </x:c>
      <x:c r="I1129" s="17" t="str">
        <x:v>Receiver denominator</x:v>
      </x:c>
      <x:c r="J1129" s="17" t="str">
        <x:v>population, quantity, duration and exclusions match the frozen receipt</x:v>
      </x:c>
      <x:c r="K1129" s="17" t="str">
        <x:v>Receiver court</x:v>
      </x:c>
      <x:c r="L1129" s="9" t="n">
        <x:v>0</x:v>
      </x:c>
      <x:c r="M1129" s="9" t="n">
        <x:v>0</x:v>
      </x:c>
      <x:c r="N1129" s="9" t="str">
        <x:v>OPEN / UNACCEPTED</x:v>
      </x:c>
      <x:c r="O1129" s="9" t="n">
        <x:f>COUNTIFS($A$7:$A$1734,A1129)</x:f>
        <x:v>1</x:v>
      </x:c>
    </x:row>
    <x:row r="1130">
      <x:c r="A1130" s="9" t="str">
        <x:v>EV-AR-HU-A-B-TECH-4-B1-BRK-G0-OG08</x:v>
      </x:c>
      <x:c r="B1130" s="9" t="str">
        <x:v>EV-AR-HU-A-B-TECH-4-B1-BRK-G0</x:v>
      </x:c>
      <x:c r="C1130" s="9" t="str">
        <x:v>AR-HU-A-B-TECH-4-B1-BRK-G0</x:v>
      </x:c>
      <x:c r="D1130" s="9" t="str">
        <x:v>HU-A-B-TECH-4</x:v>
      </x:c>
      <x:c r="E1130" s="9" t="str">
        <x:v>HU-A-B</x:v>
      </x:c>
      <x:c r="F1130" s="9" t="str">
        <x:v>B1</x:v>
      </x:c>
      <x:c r="G1130" s="9" t="str">
        <x:v>BRK</x:v>
      </x:c>
      <x:c r="H1130" s="9" t="str">
        <x:v>OG08</x:v>
      </x:c>
      <x:c r="I1130" s="17" t="str">
        <x:v>Environment and boundary</x:v>
      </x:c>
      <x:c r="J1130" s="17" t="str">
        <x:v>registered weather, water, ground, inlet and outlet states are retained</x:v>
      </x:c>
      <x:c r="K1130" s="17" t="str">
        <x:v>Boundary court</x:v>
      </x:c>
      <x:c r="L1130" s="9" t="n">
        <x:v>0</x:v>
      </x:c>
      <x:c r="M1130" s="9" t="n">
        <x:v>0</x:v>
      </x:c>
      <x:c r="N1130" s="9" t="str">
        <x:v>OPEN / UNACCEPTED</x:v>
      </x:c>
      <x:c r="O1130" s="9" t="n">
        <x:f>COUNTIFS($A$7:$A$1734,A1130)</x:f>
        <x:v>1</x:v>
      </x:c>
    </x:row>
    <x:row r="1131">
      <x:c r="A1131" s="9" t="str">
        <x:v>EV-AR-HU-A-B-TECH-4-B1-BRK-G0-OG09</x:v>
      </x:c>
      <x:c r="B1131" s="9" t="str">
        <x:v>EV-AR-HU-A-B-TECH-4-B1-BRK-G0</x:v>
      </x:c>
      <x:c r="C1131" s="9" t="str">
        <x:v>AR-HU-A-B-TECH-4-B1-BRK-G0</x:v>
      </x:c>
      <x:c r="D1131" s="9" t="str">
        <x:v>HU-A-B-TECH-4</x:v>
      </x:c>
      <x:c r="E1131" s="9" t="str">
        <x:v>HU-A-B</x:v>
      </x:c>
      <x:c r="F1131" s="9" t="str">
        <x:v>B1</x:v>
      </x:c>
      <x:c r="G1131" s="9" t="str">
        <x:v>BRK</x:v>
      </x:c>
      <x:c r="H1131" s="9" t="str">
        <x:v>OG09</x:v>
      </x:c>
      <x:c r="I1131" s="17" t="str">
        <x:v>Intervention account</x:v>
      </x:c>
      <x:c r="J1131" s="17" t="str">
        <x:v>all stop, rescue, operator and public-protection actions remain timestamped</x:v>
      </x:c>
      <x:c r="K1131" s="17" t="str">
        <x:v>Safety record court</x:v>
      </x:c>
      <x:c r="L1131" s="9" t="n">
        <x:v>0</x:v>
      </x:c>
      <x:c r="M1131" s="9" t="n">
        <x:v>0</x:v>
      </x:c>
      <x:c r="N1131" s="9" t="str">
        <x:v>OPEN / UNACCEPTED</x:v>
      </x:c>
      <x:c r="O1131" s="9" t="n">
        <x:f>COUNTIFS($A$7:$A$1734,A1131)</x:f>
        <x:v>1</x:v>
      </x:c>
    </x:row>
    <x:row r="1132">
      <x:c r="A1132" s="9" t="str">
        <x:v>EV-AR-HU-A-B-TECH-4-B1-BRK-G0-OG10</x:v>
      </x:c>
      <x:c r="B1132" s="9" t="str">
        <x:v>EV-AR-HU-A-B-TECH-4-B1-BRK-G0</x:v>
      </x:c>
      <x:c r="C1132" s="9" t="str">
        <x:v>AR-HU-A-B-TECH-4-B1-BRK-G0</x:v>
      </x:c>
      <x:c r="D1132" s="9" t="str">
        <x:v>HU-A-B-TECH-4</x:v>
      </x:c>
      <x:c r="E1132" s="9" t="str">
        <x:v>HU-A-B</x:v>
      </x:c>
      <x:c r="F1132" s="9" t="str">
        <x:v>B1</x:v>
      </x:c>
      <x:c r="G1132" s="9" t="str">
        <x:v>BRK</x:v>
      </x:c>
      <x:c r="H1132" s="9" t="str">
        <x:v>OG10</x:v>
      </x:c>
      <x:c r="I1132" s="17" t="str">
        <x:v>Uncertainty statement</x:v>
      </x:c>
      <x:c r="J1132" s="17" t="str">
        <x:v>range, censoring, resolution and correlation are declared before judgment</x:v>
      </x:c>
      <x:c r="K1132" s="17" t="str">
        <x:v>Uncertainty authority</x:v>
      </x:c>
      <x:c r="L1132" s="9" t="n">
        <x:v>0</x:v>
      </x:c>
      <x:c r="M1132" s="9" t="n">
        <x:v>0</x:v>
      </x:c>
      <x:c r="N1132" s="9" t="str">
        <x:v>OPEN / UNACCEPTED</x:v>
      </x:c>
      <x:c r="O1132" s="9" t="n">
        <x:f>COUNTIFS($A$7:$A$1734,A1132)</x:f>
        <x:v>1</x:v>
      </x:c>
    </x:row>
    <x:row r="1133">
      <x:c r="A1133" s="9" t="str">
        <x:v>EV-AR-HU-A-B-TECH-4-B1-BRK-G0-OG11</x:v>
      </x:c>
      <x:c r="B1133" s="9" t="str">
        <x:v>EV-AR-HU-A-B-TECH-4-B1-BRK-G0</x:v>
      </x:c>
      <x:c r="C1133" s="9" t="str">
        <x:v>AR-HU-A-B-TECH-4-B1-BRK-G0</x:v>
      </x:c>
      <x:c r="D1133" s="9" t="str">
        <x:v>HU-A-B-TECH-4</x:v>
      </x:c>
      <x:c r="E1133" s="9" t="str">
        <x:v>HU-A-B</x:v>
      </x:c>
      <x:c r="F1133" s="9" t="str">
        <x:v>B1</x:v>
      </x:c>
      <x:c r="G1133" s="9" t="str">
        <x:v>BRK</x:v>
      </x:c>
      <x:c r="H1133" s="9" t="str">
        <x:v>OG11</x:v>
      </x:c>
      <x:c r="I1133" s="17" t="str">
        <x:v>Contradiction preservation</x:v>
      </x:c>
      <x:c r="J1133" s="17" t="str">
        <x:v>primary-witness disagreement remains explicit and is never averaged away</x:v>
      </x:c>
      <x:c r="K1133" s="17" t="str">
        <x:v>Dissent registrar</x:v>
      </x:c>
      <x:c r="L1133" s="9" t="n">
        <x:v>0</x:v>
      </x:c>
      <x:c r="M1133" s="9" t="n">
        <x:v>0</x:v>
      </x:c>
      <x:c r="N1133" s="9" t="str">
        <x:v>OPEN / UNACCEPTED</x:v>
      </x:c>
      <x:c r="O1133" s="9" t="n">
        <x:f>COUNTIFS($A$7:$A$1734,A1133)</x:f>
        <x:v>1</x:v>
      </x:c>
    </x:row>
    <x:row r="1134">
      <x:c r="A1134" s="9" t="str">
        <x:v>EV-AR-HU-A-B-TECH-4-B1-BRK-G0-OG12</x:v>
      </x:c>
      <x:c r="B1134" s="9" t="str">
        <x:v>EV-AR-HU-A-B-TECH-4-B1-BRK-G0</x:v>
      </x:c>
      <x:c r="C1134" s="9" t="str">
        <x:v>AR-HU-A-B-TECH-4-B1-BRK-G0</x:v>
      </x:c>
      <x:c r="D1134" s="9" t="str">
        <x:v>HU-A-B-TECH-4</x:v>
      </x:c>
      <x:c r="E1134" s="9" t="str">
        <x:v>HU-A-B</x:v>
      </x:c>
      <x:c r="F1134" s="9" t="str">
        <x:v>B1</x:v>
      </x:c>
      <x:c r="G1134" s="9" t="str">
        <x:v>BRK</x:v>
      </x:c>
      <x:c r="H1134" s="9" t="str">
        <x:v>OG12</x:v>
      </x:c>
      <x:c r="I1134" s="17" t="str">
        <x:v>Independent replay</x:v>
      </x:c>
      <x:c r="J1134" s="17" t="str">
        <x:v>a separated reader reconstructs the registered observables from sealed originals</x:v>
      </x:c>
      <x:c r="K1134" s="17" t="str">
        <x:v>Replay court</x:v>
      </x:c>
      <x:c r="L1134" s="9" t="n">
        <x:v>0</x:v>
      </x:c>
      <x:c r="M1134" s="9" t="n">
        <x:v>0</x:v>
      </x:c>
      <x:c r="N1134" s="9" t="str">
        <x:v>OPEN / UNACCEPTED</x:v>
      </x:c>
      <x:c r="O1134" s="9" t="n">
        <x:f>COUNTIFS($A$7:$A$1734,A1134)</x:f>
        <x:v>1</x:v>
      </x:c>
    </x:row>
    <x:row r="1135">
      <x:c r="A1135" s="9" t="str">
        <x:v>EV-AR-HU-A-B-TECH-2-B1-RCN-G0-OG01</x:v>
      </x:c>
      <x:c r="B1135" s="9" t="str">
        <x:v>EV-AR-HU-A-B-TECH-2-B1-RCN-G0</x:v>
      </x:c>
      <x:c r="C1135" s="9" t="str">
        <x:v>AR-HU-A-B-TECH-2-B1-RCN-G0</x:v>
      </x:c>
      <x:c r="D1135" s="9" t="str">
        <x:v>HU-A-B-TECH-2</x:v>
      </x:c>
      <x:c r="E1135" s="9" t="str">
        <x:v>HU-A-B</x:v>
      </x:c>
      <x:c r="F1135" s="9" t="str">
        <x:v>B1</x:v>
      </x:c>
      <x:c r="G1135" s="9" t="str">
        <x:v>RCN</x:v>
      </x:c>
      <x:c r="H1135" s="9" t="str">
        <x:v>OG01</x:v>
      </x:c>
      <x:c r="I1135" s="17" t="str">
        <x:v>Serial and event identity</x:v>
      </x:c>
      <x:c r="J1135" s="17" t="str">
        <x:v>record resolves to the issued serial, generation and physical start</x:v>
      </x:c>
      <x:c r="K1135" s="17" t="str">
        <x:v>Observation court</x:v>
      </x:c>
      <x:c r="L1135" s="9" t="n">
        <x:v>0</x:v>
      </x:c>
      <x:c r="M1135" s="9" t="n">
        <x:v>0</x:v>
      </x:c>
      <x:c r="N1135" s="9" t="str">
        <x:v>OPEN / UNACCEPTED</x:v>
      </x:c>
      <x:c r="O1135" s="9" t="n">
        <x:f>COUNTIFS($A$7:$A$1734,A1135)</x:f>
        <x:v>1</x:v>
      </x:c>
    </x:row>
    <x:row r="1136">
      <x:c r="A1136" s="9" t="str">
        <x:v>EV-AR-HU-A-B-TECH-2-B1-RCN-G0-OG02</x:v>
      </x:c>
      <x:c r="B1136" s="9" t="str">
        <x:v>EV-AR-HU-A-B-TECH-2-B1-RCN-G0</x:v>
      </x:c>
      <x:c r="C1136" s="9" t="str">
        <x:v>AR-HU-A-B-TECH-2-B1-RCN-G0</x:v>
      </x:c>
      <x:c r="D1136" s="9" t="str">
        <x:v>HU-A-B-TECH-2</x:v>
      </x:c>
      <x:c r="E1136" s="9" t="str">
        <x:v>HU-A-B</x:v>
      </x:c>
      <x:c r="F1136" s="9" t="str">
        <x:v>B1</x:v>
      </x:c>
      <x:c r="G1136" s="9" t="str">
        <x:v>RCN</x:v>
      </x:c>
      <x:c r="H1136" s="9" t="str">
        <x:v>OG02</x:v>
      </x:c>
      <x:c r="I1136" s="17" t="str">
        <x:v>Time ancestry</x:v>
      </x:c>
      <x:c r="J1136" s="17" t="str">
        <x:v>primary, witness and public event clocks retain declared offsets and drift</x:v>
      </x:c>
      <x:c r="K1136" s="17" t="str">
        <x:v>Time authority</x:v>
      </x:c>
      <x:c r="L1136" s="9" t="n">
        <x:v>0</x:v>
      </x:c>
      <x:c r="M1136" s="9" t="n">
        <x:v>0</x:v>
      </x:c>
      <x:c r="N1136" s="9" t="str">
        <x:v>OPEN / UNACCEPTED</x:v>
      </x:c>
      <x:c r="O1136" s="9" t="n">
        <x:f>COUNTIFS($A$7:$A$1734,A1136)</x:f>
        <x:v>1</x:v>
      </x:c>
    </x:row>
    <x:row r="1137">
      <x:c r="A1137" s="9" t="str">
        <x:v>EV-AR-HU-A-B-TECH-2-B1-RCN-G0-OG03</x:v>
      </x:c>
      <x:c r="B1137" s="9" t="str">
        <x:v>EV-AR-HU-A-B-TECH-2-B1-RCN-G0</x:v>
      </x:c>
      <x:c r="C1137" s="9" t="str">
        <x:v>AR-HU-A-B-TECH-2-B1-RCN-G0</x:v>
      </x:c>
      <x:c r="D1137" s="9" t="str">
        <x:v>HU-A-B-TECH-2</x:v>
      </x:c>
      <x:c r="E1137" s="9" t="str">
        <x:v>HU-A-B</x:v>
      </x:c>
      <x:c r="F1137" s="9" t="str">
        <x:v>B1</x:v>
      </x:c>
      <x:c r="G1137" s="9" t="str">
        <x:v>RCN</x:v>
      </x:c>
      <x:c r="H1137" s="9" t="str">
        <x:v>OG03</x:v>
      </x:c>
      <x:c r="I1137" s="17" t="str">
        <x:v>Calibration ancestry</x:v>
      </x:c>
      <x:c r="J1137" s="17" t="str">
        <x:v>all reference, range and uncertainty states cover the live interval</x:v>
      </x:c>
      <x:c r="K1137" s="17" t="str">
        <x:v>Metrology courts</x:v>
      </x:c>
      <x:c r="L1137" s="9" t="n">
        <x:v>0</x:v>
      </x:c>
      <x:c r="M1137" s="9" t="n">
        <x:v>0</x:v>
      </x:c>
      <x:c r="N1137" s="9" t="str">
        <x:v>OPEN / UNACCEPTED</x:v>
      </x:c>
      <x:c r="O1137" s="9" t="n">
        <x:f>COUNTIFS($A$7:$A$1734,A1137)</x:f>
        <x:v>1</x:v>
      </x:c>
    </x:row>
    <x:row r="1138">
      <x:c r="A1138" s="9" t="str">
        <x:v>EV-AR-HU-A-B-TECH-2-B1-RCN-G0-OG04</x:v>
      </x:c>
      <x:c r="B1138" s="9" t="str">
        <x:v>EV-AR-HU-A-B-TECH-2-B1-RCN-G0</x:v>
      </x:c>
      <x:c r="C1138" s="9" t="str">
        <x:v>AR-HU-A-B-TECH-2-B1-RCN-G0</x:v>
      </x:c>
      <x:c r="D1138" s="9" t="str">
        <x:v>HU-A-B-TECH-2</x:v>
      </x:c>
      <x:c r="E1138" s="9" t="str">
        <x:v>HU-A-B</x:v>
      </x:c>
      <x:c r="F1138" s="9" t="str">
        <x:v>B1</x:v>
      </x:c>
      <x:c r="G1138" s="9" t="str">
        <x:v>RCN</x:v>
      </x:c>
      <x:c r="H1138" s="9" t="str">
        <x:v>OG04</x:v>
      </x:c>
      <x:c r="I1138" s="17" t="str">
        <x:v>Raw completeness</x:v>
      </x:c>
      <x:c r="J1138" s="17" t="str">
        <x:v>missingness is enumerated without imputation or outcome-conditioned deletion</x:v>
      </x:c>
      <x:c r="K1138" s="17" t="str">
        <x:v>Observation court</x:v>
      </x:c>
      <x:c r="L1138" s="9" t="n">
        <x:v>0</x:v>
      </x:c>
      <x:c r="M1138" s="9" t="n">
        <x:v>0</x:v>
      </x:c>
      <x:c r="N1138" s="9" t="str">
        <x:v>OPEN / UNACCEPTED</x:v>
      </x:c>
      <x:c r="O1138" s="9" t="n">
        <x:f>COUNTIFS($A$7:$A$1734,A1138)</x:f>
        <x:v>1</x:v>
      </x:c>
    </x:row>
    <x:row r="1139">
      <x:c r="A1139" s="9" t="str">
        <x:v>EV-AR-HU-A-B-TECH-2-B1-RCN-G0-OG05</x:v>
      </x:c>
      <x:c r="B1139" s="9" t="str">
        <x:v>EV-AR-HU-A-B-TECH-2-B1-RCN-G0</x:v>
      </x:c>
      <x:c r="C1139" s="9" t="str">
        <x:v>AR-HU-A-B-TECH-2-B1-RCN-G0</x:v>
      </x:c>
      <x:c r="D1139" s="9" t="str">
        <x:v>HU-A-B-TECH-2</x:v>
      </x:c>
      <x:c r="E1139" s="9" t="str">
        <x:v>HU-A-B</x:v>
      </x:c>
      <x:c r="F1139" s="9" t="str">
        <x:v>B1</x:v>
      </x:c>
      <x:c r="G1139" s="9" t="str">
        <x:v>RCN</x:v>
      </x:c>
      <x:c r="H1139" s="9" t="str">
        <x:v>OG05</x:v>
      </x:c>
      <x:c r="I1139" s="17" t="str">
        <x:v>Primary provenance</x:v>
      </x:c>
      <x:c r="J1139" s="17" t="str">
        <x:v>primary originals, hashes, keys and access history reconcile</x:v>
      </x:c>
      <x:c r="K1139" s="17" t="str">
        <x:v>Primary custody</x:v>
      </x:c>
      <x:c r="L1139" s="9" t="n">
        <x:v>0</x:v>
      </x:c>
      <x:c r="M1139" s="9" t="n">
        <x:v>0</x:v>
      </x:c>
      <x:c r="N1139" s="9" t="str">
        <x:v>OPEN / UNACCEPTED</x:v>
      </x:c>
      <x:c r="O1139" s="9" t="n">
        <x:f>COUNTIFS($A$7:$A$1734,A1139)</x:f>
        <x:v>1</x:v>
      </x:c>
    </x:row>
    <x:row r="1140">
      <x:c r="A1140" s="9" t="str">
        <x:v>EV-AR-HU-A-B-TECH-2-B1-RCN-G0-OG06</x:v>
      </x:c>
      <x:c r="B1140" s="9" t="str">
        <x:v>EV-AR-HU-A-B-TECH-2-B1-RCN-G0</x:v>
      </x:c>
      <x:c r="C1140" s="9" t="str">
        <x:v>AR-HU-A-B-TECH-2-B1-RCN-G0</x:v>
      </x:c>
      <x:c r="D1140" s="9" t="str">
        <x:v>HU-A-B-TECH-2</x:v>
      </x:c>
      <x:c r="E1140" s="9" t="str">
        <x:v>HU-A-B</x:v>
      </x:c>
      <x:c r="F1140" s="9" t="str">
        <x:v>B1</x:v>
      </x:c>
      <x:c r="G1140" s="9" t="str">
        <x:v>RCN</x:v>
      </x:c>
      <x:c r="H1140" s="9" t="str">
        <x:v>OG06</x:v>
      </x:c>
      <x:c r="I1140" s="17" t="str">
        <x:v>Witness provenance</x:v>
      </x:c>
      <x:c r="J1140" s="17" t="str">
        <x:v>unlike witness originals, hashes, keys and access history reconcile</x:v>
      </x:c>
      <x:c r="K1140" s="17" t="str">
        <x:v>Witness custody</x:v>
      </x:c>
      <x:c r="L1140" s="9" t="n">
        <x:v>0</x:v>
      </x:c>
      <x:c r="M1140" s="9" t="n">
        <x:v>0</x:v>
      </x:c>
      <x:c r="N1140" s="9" t="str">
        <x:v>OPEN / UNACCEPTED</x:v>
      </x:c>
      <x:c r="O1140" s="9" t="n">
        <x:f>COUNTIFS($A$7:$A$1734,A1140)</x:f>
        <x:v>1</x:v>
      </x:c>
    </x:row>
    <x:row r="1141">
      <x:c r="A1141" s="9" t="str">
        <x:v>EV-AR-HU-A-B-TECH-2-B1-RCN-G0-OG07</x:v>
      </x:c>
      <x:c r="B1141" s="9" t="str">
        <x:v>EV-AR-HU-A-B-TECH-2-B1-RCN-G0</x:v>
      </x:c>
      <x:c r="C1141" s="9" t="str">
        <x:v>AR-HU-A-B-TECH-2-B1-RCN-G0</x:v>
      </x:c>
      <x:c r="D1141" s="9" t="str">
        <x:v>HU-A-B-TECH-2</x:v>
      </x:c>
      <x:c r="E1141" s="9" t="str">
        <x:v>HU-A-B</x:v>
      </x:c>
      <x:c r="F1141" s="9" t="str">
        <x:v>B1</x:v>
      </x:c>
      <x:c r="G1141" s="9" t="str">
        <x:v>RCN</x:v>
      </x:c>
      <x:c r="H1141" s="9" t="str">
        <x:v>OG07</x:v>
      </x:c>
      <x:c r="I1141" s="17" t="str">
        <x:v>Receiver denominator</x:v>
      </x:c>
      <x:c r="J1141" s="17" t="str">
        <x:v>population, quantity, duration and exclusions match the frozen receipt</x:v>
      </x:c>
      <x:c r="K1141" s="17" t="str">
        <x:v>Receiver court</x:v>
      </x:c>
      <x:c r="L1141" s="9" t="n">
        <x:v>0</x:v>
      </x:c>
      <x:c r="M1141" s="9" t="n">
        <x:v>0</x:v>
      </x:c>
      <x:c r="N1141" s="9" t="str">
        <x:v>OPEN / UNACCEPTED</x:v>
      </x:c>
      <x:c r="O1141" s="9" t="n">
        <x:f>COUNTIFS($A$7:$A$1734,A1141)</x:f>
        <x:v>1</x:v>
      </x:c>
    </x:row>
    <x:row r="1142">
      <x:c r="A1142" s="9" t="str">
        <x:v>EV-AR-HU-A-B-TECH-2-B1-RCN-G0-OG08</x:v>
      </x:c>
      <x:c r="B1142" s="9" t="str">
        <x:v>EV-AR-HU-A-B-TECH-2-B1-RCN-G0</x:v>
      </x:c>
      <x:c r="C1142" s="9" t="str">
        <x:v>AR-HU-A-B-TECH-2-B1-RCN-G0</x:v>
      </x:c>
      <x:c r="D1142" s="9" t="str">
        <x:v>HU-A-B-TECH-2</x:v>
      </x:c>
      <x:c r="E1142" s="9" t="str">
        <x:v>HU-A-B</x:v>
      </x:c>
      <x:c r="F1142" s="9" t="str">
        <x:v>B1</x:v>
      </x:c>
      <x:c r="G1142" s="9" t="str">
        <x:v>RCN</x:v>
      </x:c>
      <x:c r="H1142" s="9" t="str">
        <x:v>OG08</x:v>
      </x:c>
      <x:c r="I1142" s="17" t="str">
        <x:v>Environment and boundary</x:v>
      </x:c>
      <x:c r="J1142" s="17" t="str">
        <x:v>registered weather, water, ground, inlet and outlet states are retained</x:v>
      </x:c>
      <x:c r="K1142" s="17" t="str">
        <x:v>Boundary court</x:v>
      </x:c>
      <x:c r="L1142" s="9" t="n">
        <x:v>0</x:v>
      </x:c>
      <x:c r="M1142" s="9" t="n">
        <x:v>0</x:v>
      </x:c>
      <x:c r="N1142" s="9" t="str">
        <x:v>OPEN / UNACCEPTED</x:v>
      </x:c>
      <x:c r="O1142" s="9" t="n">
        <x:f>COUNTIFS($A$7:$A$1734,A1142)</x:f>
        <x:v>1</x:v>
      </x:c>
    </x:row>
    <x:row r="1143">
      <x:c r="A1143" s="9" t="str">
        <x:v>EV-AR-HU-A-B-TECH-2-B1-RCN-G0-OG09</x:v>
      </x:c>
      <x:c r="B1143" s="9" t="str">
        <x:v>EV-AR-HU-A-B-TECH-2-B1-RCN-G0</x:v>
      </x:c>
      <x:c r="C1143" s="9" t="str">
        <x:v>AR-HU-A-B-TECH-2-B1-RCN-G0</x:v>
      </x:c>
      <x:c r="D1143" s="9" t="str">
        <x:v>HU-A-B-TECH-2</x:v>
      </x:c>
      <x:c r="E1143" s="9" t="str">
        <x:v>HU-A-B</x:v>
      </x:c>
      <x:c r="F1143" s="9" t="str">
        <x:v>B1</x:v>
      </x:c>
      <x:c r="G1143" s="9" t="str">
        <x:v>RCN</x:v>
      </x:c>
      <x:c r="H1143" s="9" t="str">
        <x:v>OG09</x:v>
      </x:c>
      <x:c r="I1143" s="17" t="str">
        <x:v>Intervention account</x:v>
      </x:c>
      <x:c r="J1143" s="17" t="str">
        <x:v>all stop, rescue, operator and public-protection actions remain timestamped</x:v>
      </x:c>
      <x:c r="K1143" s="17" t="str">
        <x:v>Safety record court</x:v>
      </x:c>
      <x:c r="L1143" s="9" t="n">
        <x:v>0</x:v>
      </x:c>
      <x:c r="M1143" s="9" t="n">
        <x:v>0</x:v>
      </x:c>
      <x:c r="N1143" s="9" t="str">
        <x:v>OPEN / UNACCEPTED</x:v>
      </x:c>
      <x:c r="O1143" s="9" t="n">
        <x:f>COUNTIFS($A$7:$A$1734,A1143)</x:f>
        <x:v>1</x:v>
      </x:c>
    </x:row>
    <x:row r="1144">
      <x:c r="A1144" s="9" t="str">
        <x:v>EV-AR-HU-A-B-TECH-2-B1-RCN-G0-OG10</x:v>
      </x:c>
      <x:c r="B1144" s="9" t="str">
        <x:v>EV-AR-HU-A-B-TECH-2-B1-RCN-G0</x:v>
      </x:c>
      <x:c r="C1144" s="9" t="str">
        <x:v>AR-HU-A-B-TECH-2-B1-RCN-G0</x:v>
      </x:c>
      <x:c r="D1144" s="9" t="str">
        <x:v>HU-A-B-TECH-2</x:v>
      </x:c>
      <x:c r="E1144" s="9" t="str">
        <x:v>HU-A-B</x:v>
      </x:c>
      <x:c r="F1144" s="9" t="str">
        <x:v>B1</x:v>
      </x:c>
      <x:c r="G1144" s="9" t="str">
        <x:v>RCN</x:v>
      </x:c>
      <x:c r="H1144" s="9" t="str">
        <x:v>OG10</x:v>
      </x:c>
      <x:c r="I1144" s="17" t="str">
        <x:v>Uncertainty statement</x:v>
      </x:c>
      <x:c r="J1144" s="17" t="str">
        <x:v>range, censoring, resolution and correlation are declared before judgment</x:v>
      </x:c>
      <x:c r="K1144" s="17" t="str">
        <x:v>Uncertainty authority</x:v>
      </x:c>
      <x:c r="L1144" s="9" t="n">
        <x:v>0</x:v>
      </x:c>
      <x:c r="M1144" s="9" t="n">
        <x:v>0</x:v>
      </x:c>
      <x:c r="N1144" s="9" t="str">
        <x:v>OPEN / UNACCEPTED</x:v>
      </x:c>
      <x:c r="O1144" s="9" t="n">
        <x:f>COUNTIFS($A$7:$A$1734,A1144)</x:f>
        <x:v>1</x:v>
      </x:c>
    </x:row>
    <x:row r="1145">
      <x:c r="A1145" s="9" t="str">
        <x:v>EV-AR-HU-A-B-TECH-2-B1-RCN-G0-OG11</x:v>
      </x:c>
      <x:c r="B1145" s="9" t="str">
        <x:v>EV-AR-HU-A-B-TECH-2-B1-RCN-G0</x:v>
      </x:c>
      <x:c r="C1145" s="9" t="str">
        <x:v>AR-HU-A-B-TECH-2-B1-RCN-G0</x:v>
      </x:c>
      <x:c r="D1145" s="9" t="str">
        <x:v>HU-A-B-TECH-2</x:v>
      </x:c>
      <x:c r="E1145" s="9" t="str">
        <x:v>HU-A-B</x:v>
      </x:c>
      <x:c r="F1145" s="9" t="str">
        <x:v>B1</x:v>
      </x:c>
      <x:c r="G1145" s="9" t="str">
        <x:v>RCN</x:v>
      </x:c>
      <x:c r="H1145" s="9" t="str">
        <x:v>OG11</x:v>
      </x:c>
      <x:c r="I1145" s="17" t="str">
        <x:v>Contradiction preservation</x:v>
      </x:c>
      <x:c r="J1145" s="17" t="str">
        <x:v>primary-witness disagreement remains explicit and is never averaged away</x:v>
      </x:c>
      <x:c r="K1145" s="17" t="str">
        <x:v>Dissent registrar</x:v>
      </x:c>
      <x:c r="L1145" s="9" t="n">
        <x:v>0</x:v>
      </x:c>
      <x:c r="M1145" s="9" t="n">
        <x:v>0</x:v>
      </x:c>
      <x:c r="N1145" s="9" t="str">
        <x:v>OPEN / UNACCEPTED</x:v>
      </x:c>
      <x:c r="O1145" s="9" t="n">
        <x:f>COUNTIFS($A$7:$A$1734,A1145)</x:f>
        <x:v>1</x:v>
      </x:c>
    </x:row>
    <x:row r="1146">
      <x:c r="A1146" s="9" t="str">
        <x:v>EV-AR-HU-A-B-TECH-2-B1-RCN-G0-OG12</x:v>
      </x:c>
      <x:c r="B1146" s="9" t="str">
        <x:v>EV-AR-HU-A-B-TECH-2-B1-RCN-G0</x:v>
      </x:c>
      <x:c r="C1146" s="9" t="str">
        <x:v>AR-HU-A-B-TECH-2-B1-RCN-G0</x:v>
      </x:c>
      <x:c r="D1146" s="9" t="str">
        <x:v>HU-A-B-TECH-2</x:v>
      </x:c>
      <x:c r="E1146" s="9" t="str">
        <x:v>HU-A-B</x:v>
      </x:c>
      <x:c r="F1146" s="9" t="str">
        <x:v>B1</x:v>
      </x:c>
      <x:c r="G1146" s="9" t="str">
        <x:v>RCN</x:v>
      </x:c>
      <x:c r="H1146" s="9" t="str">
        <x:v>OG12</x:v>
      </x:c>
      <x:c r="I1146" s="17" t="str">
        <x:v>Independent replay</x:v>
      </x:c>
      <x:c r="J1146" s="17" t="str">
        <x:v>a separated reader reconstructs the registered observables from sealed originals</x:v>
      </x:c>
      <x:c r="K1146" s="17" t="str">
        <x:v>Replay court</x:v>
      </x:c>
      <x:c r="L1146" s="9" t="n">
        <x:v>0</x:v>
      </x:c>
      <x:c r="M1146" s="9" t="n">
        <x:v>0</x:v>
      </x:c>
      <x:c r="N1146" s="9" t="str">
        <x:v>OPEN / UNACCEPTED</x:v>
      </x:c>
      <x:c r="O1146" s="9" t="n">
        <x:f>COUNTIFS($A$7:$A$1734,A1146)</x:f>
        <x:v>1</x:v>
      </x:c>
    </x:row>
    <x:row r="1147">
      <x:c r="A1147" s="9" t="str">
        <x:v>EV-AR-RT-B-C-TECH-2-B2-BRK-G0-OG01</x:v>
      </x:c>
      <x:c r="B1147" s="9" t="str">
        <x:v>EV-AR-RT-B-C-TECH-2-B2-BRK-G0</x:v>
      </x:c>
      <x:c r="C1147" s="9" t="str">
        <x:v>AR-RT-B-C-TECH-2-B2-BRK-G0</x:v>
      </x:c>
      <x:c r="D1147" s="9" t="str">
        <x:v>RT-B-C-TECH-2</x:v>
      </x:c>
      <x:c r="E1147" s="9" t="str">
        <x:v>RT-B-C</x:v>
      </x:c>
      <x:c r="F1147" s="9" t="str">
        <x:v>B2</x:v>
      </x:c>
      <x:c r="G1147" s="9" t="str">
        <x:v>BRK</x:v>
      </x:c>
      <x:c r="H1147" s="9" t="str">
        <x:v>OG01</x:v>
      </x:c>
      <x:c r="I1147" s="17" t="str">
        <x:v>Serial and event identity</x:v>
      </x:c>
      <x:c r="J1147" s="17" t="str">
        <x:v>record resolves to the issued serial, generation and physical start</x:v>
      </x:c>
      <x:c r="K1147" s="17" t="str">
        <x:v>Observation court</x:v>
      </x:c>
      <x:c r="L1147" s="9" t="n">
        <x:v>0</x:v>
      </x:c>
      <x:c r="M1147" s="9" t="n">
        <x:v>0</x:v>
      </x:c>
      <x:c r="N1147" s="9" t="str">
        <x:v>OPEN / UNACCEPTED</x:v>
      </x:c>
      <x:c r="O1147" s="9" t="n">
        <x:f>COUNTIFS($A$7:$A$1734,A1147)</x:f>
        <x:v>1</x:v>
      </x:c>
    </x:row>
    <x:row r="1148">
      <x:c r="A1148" s="9" t="str">
        <x:v>EV-AR-RT-B-C-TECH-2-B2-BRK-G0-OG02</x:v>
      </x:c>
      <x:c r="B1148" s="9" t="str">
        <x:v>EV-AR-RT-B-C-TECH-2-B2-BRK-G0</x:v>
      </x:c>
      <x:c r="C1148" s="9" t="str">
        <x:v>AR-RT-B-C-TECH-2-B2-BRK-G0</x:v>
      </x:c>
      <x:c r="D1148" s="9" t="str">
        <x:v>RT-B-C-TECH-2</x:v>
      </x:c>
      <x:c r="E1148" s="9" t="str">
        <x:v>RT-B-C</x:v>
      </x:c>
      <x:c r="F1148" s="9" t="str">
        <x:v>B2</x:v>
      </x:c>
      <x:c r="G1148" s="9" t="str">
        <x:v>BRK</x:v>
      </x:c>
      <x:c r="H1148" s="9" t="str">
        <x:v>OG02</x:v>
      </x:c>
      <x:c r="I1148" s="17" t="str">
        <x:v>Time ancestry</x:v>
      </x:c>
      <x:c r="J1148" s="17" t="str">
        <x:v>primary, witness and public event clocks retain declared offsets and drift</x:v>
      </x:c>
      <x:c r="K1148" s="17" t="str">
        <x:v>Time authority</x:v>
      </x:c>
      <x:c r="L1148" s="9" t="n">
        <x:v>0</x:v>
      </x:c>
      <x:c r="M1148" s="9" t="n">
        <x:v>0</x:v>
      </x:c>
      <x:c r="N1148" s="9" t="str">
        <x:v>OPEN / UNACCEPTED</x:v>
      </x:c>
      <x:c r="O1148" s="9" t="n">
        <x:f>COUNTIFS($A$7:$A$1734,A1148)</x:f>
        <x:v>1</x:v>
      </x:c>
    </x:row>
    <x:row r="1149">
      <x:c r="A1149" s="9" t="str">
        <x:v>EV-AR-RT-B-C-TECH-2-B2-BRK-G0-OG03</x:v>
      </x:c>
      <x:c r="B1149" s="9" t="str">
        <x:v>EV-AR-RT-B-C-TECH-2-B2-BRK-G0</x:v>
      </x:c>
      <x:c r="C1149" s="9" t="str">
        <x:v>AR-RT-B-C-TECH-2-B2-BRK-G0</x:v>
      </x:c>
      <x:c r="D1149" s="9" t="str">
        <x:v>RT-B-C-TECH-2</x:v>
      </x:c>
      <x:c r="E1149" s="9" t="str">
        <x:v>RT-B-C</x:v>
      </x:c>
      <x:c r="F1149" s="9" t="str">
        <x:v>B2</x:v>
      </x:c>
      <x:c r="G1149" s="9" t="str">
        <x:v>BRK</x:v>
      </x:c>
      <x:c r="H1149" s="9" t="str">
        <x:v>OG03</x:v>
      </x:c>
      <x:c r="I1149" s="17" t="str">
        <x:v>Calibration ancestry</x:v>
      </x:c>
      <x:c r="J1149" s="17" t="str">
        <x:v>all reference, range and uncertainty states cover the live interval</x:v>
      </x:c>
      <x:c r="K1149" s="17" t="str">
        <x:v>Metrology courts</x:v>
      </x:c>
      <x:c r="L1149" s="9" t="n">
        <x:v>0</x:v>
      </x:c>
      <x:c r="M1149" s="9" t="n">
        <x:v>0</x:v>
      </x:c>
      <x:c r="N1149" s="9" t="str">
        <x:v>OPEN / UNACCEPTED</x:v>
      </x:c>
      <x:c r="O1149" s="9" t="n">
        <x:f>COUNTIFS($A$7:$A$1734,A1149)</x:f>
        <x:v>1</x:v>
      </x:c>
    </x:row>
    <x:row r="1150">
      <x:c r="A1150" s="9" t="str">
        <x:v>EV-AR-RT-B-C-TECH-2-B2-BRK-G0-OG04</x:v>
      </x:c>
      <x:c r="B1150" s="9" t="str">
        <x:v>EV-AR-RT-B-C-TECH-2-B2-BRK-G0</x:v>
      </x:c>
      <x:c r="C1150" s="9" t="str">
        <x:v>AR-RT-B-C-TECH-2-B2-BRK-G0</x:v>
      </x:c>
      <x:c r="D1150" s="9" t="str">
        <x:v>RT-B-C-TECH-2</x:v>
      </x:c>
      <x:c r="E1150" s="9" t="str">
        <x:v>RT-B-C</x:v>
      </x:c>
      <x:c r="F1150" s="9" t="str">
        <x:v>B2</x:v>
      </x:c>
      <x:c r="G1150" s="9" t="str">
        <x:v>BRK</x:v>
      </x:c>
      <x:c r="H1150" s="9" t="str">
        <x:v>OG04</x:v>
      </x:c>
      <x:c r="I1150" s="17" t="str">
        <x:v>Raw completeness</x:v>
      </x:c>
      <x:c r="J1150" s="17" t="str">
        <x:v>missingness is enumerated without imputation or outcome-conditioned deletion</x:v>
      </x:c>
      <x:c r="K1150" s="17" t="str">
        <x:v>Observation court</x:v>
      </x:c>
      <x:c r="L1150" s="9" t="n">
        <x:v>0</x:v>
      </x:c>
      <x:c r="M1150" s="9" t="n">
        <x:v>0</x:v>
      </x:c>
      <x:c r="N1150" s="9" t="str">
        <x:v>OPEN / UNACCEPTED</x:v>
      </x:c>
      <x:c r="O1150" s="9" t="n">
        <x:f>COUNTIFS($A$7:$A$1734,A1150)</x:f>
        <x:v>1</x:v>
      </x:c>
    </x:row>
    <x:row r="1151">
      <x:c r="A1151" s="9" t="str">
        <x:v>EV-AR-RT-B-C-TECH-2-B2-BRK-G0-OG05</x:v>
      </x:c>
      <x:c r="B1151" s="9" t="str">
        <x:v>EV-AR-RT-B-C-TECH-2-B2-BRK-G0</x:v>
      </x:c>
      <x:c r="C1151" s="9" t="str">
        <x:v>AR-RT-B-C-TECH-2-B2-BRK-G0</x:v>
      </x:c>
      <x:c r="D1151" s="9" t="str">
        <x:v>RT-B-C-TECH-2</x:v>
      </x:c>
      <x:c r="E1151" s="9" t="str">
        <x:v>RT-B-C</x:v>
      </x:c>
      <x:c r="F1151" s="9" t="str">
        <x:v>B2</x:v>
      </x:c>
      <x:c r="G1151" s="9" t="str">
        <x:v>BRK</x:v>
      </x:c>
      <x:c r="H1151" s="9" t="str">
        <x:v>OG05</x:v>
      </x:c>
      <x:c r="I1151" s="17" t="str">
        <x:v>Primary provenance</x:v>
      </x:c>
      <x:c r="J1151" s="17" t="str">
        <x:v>primary originals, hashes, keys and access history reconcile</x:v>
      </x:c>
      <x:c r="K1151" s="17" t="str">
        <x:v>Primary custody</x:v>
      </x:c>
      <x:c r="L1151" s="9" t="n">
        <x:v>0</x:v>
      </x:c>
      <x:c r="M1151" s="9" t="n">
        <x:v>0</x:v>
      </x:c>
      <x:c r="N1151" s="9" t="str">
        <x:v>OPEN / UNACCEPTED</x:v>
      </x:c>
      <x:c r="O1151" s="9" t="n">
        <x:f>COUNTIFS($A$7:$A$1734,A1151)</x:f>
        <x:v>1</x:v>
      </x:c>
    </x:row>
    <x:row r="1152">
      <x:c r="A1152" s="9" t="str">
        <x:v>EV-AR-RT-B-C-TECH-2-B2-BRK-G0-OG06</x:v>
      </x:c>
      <x:c r="B1152" s="9" t="str">
        <x:v>EV-AR-RT-B-C-TECH-2-B2-BRK-G0</x:v>
      </x:c>
      <x:c r="C1152" s="9" t="str">
        <x:v>AR-RT-B-C-TECH-2-B2-BRK-G0</x:v>
      </x:c>
      <x:c r="D1152" s="9" t="str">
        <x:v>RT-B-C-TECH-2</x:v>
      </x:c>
      <x:c r="E1152" s="9" t="str">
        <x:v>RT-B-C</x:v>
      </x:c>
      <x:c r="F1152" s="9" t="str">
        <x:v>B2</x:v>
      </x:c>
      <x:c r="G1152" s="9" t="str">
        <x:v>BRK</x:v>
      </x:c>
      <x:c r="H1152" s="9" t="str">
        <x:v>OG06</x:v>
      </x:c>
      <x:c r="I1152" s="17" t="str">
        <x:v>Witness provenance</x:v>
      </x:c>
      <x:c r="J1152" s="17" t="str">
        <x:v>unlike witness originals, hashes, keys and access history reconcile</x:v>
      </x:c>
      <x:c r="K1152" s="17" t="str">
        <x:v>Witness custody</x:v>
      </x:c>
      <x:c r="L1152" s="9" t="n">
        <x:v>0</x:v>
      </x:c>
      <x:c r="M1152" s="9" t="n">
        <x:v>0</x:v>
      </x:c>
      <x:c r="N1152" s="9" t="str">
        <x:v>OPEN / UNACCEPTED</x:v>
      </x:c>
      <x:c r="O1152" s="9" t="n">
        <x:f>COUNTIFS($A$7:$A$1734,A1152)</x:f>
        <x:v>1</x:v>
      </x:c>
    </x:row>
    <x:row r="1153">
      <x:c r="A1153" s="9" t="str">
        <x:v>EV-AR-RT-B-C-TECH-2-B2-BRK-G0-OG07</x:v>
      </x:c>
      <x:c r="B1153" s="9" t="str">
        <x:v>EV-AR-RT-B-C-TECH-2-B2-BRK-G0</x:v>
      </x:c>
      <x:c r="C1153" s="9" t="str">
        <x:v>AR-RT-B-C-TECH-2-B2-BRK-G0</x:v>
      </x:c>
      <x:c r="D1153" s="9" t="str">
        <x:v>RT-B-C-TECH-2</x:v>
      </x:c>
      <x:c r="E1153" s="9" t="str">
        <x:v>RT-B-C</x:v>
      </x:c>
      <x:c r="F1153" s="9" t="str">
        <x:v>B2</x:v>
      </x:c>
      <x:c r="G1153" s="9" t="str">
        <x:v>BRK</x:v>
      </x:c>
      <x:c r="H1153" s="9" t="str">
        <x:v>OG07</x:v>
      </x:c>
      <x:c r="I1153" s="17" t="str">
        <x:v>Receiver denominator</x:v>
      </x:c>
      <x:c r="J1153" s="17" t="str">
        <x:v>population, quantity, duration and exclusions match the frozen receipt</x:v>
      </x:c>
      <x:c r="K1153" s="17" t="str">
        <x:v>Receiver court</x:v>
      </x:c>
      <x:c r="L1153" s="9" t="n">
        <x:v>0</x:v>
      </x:c>
      <x:c r="M1153" s="9" t="n">
        <x:v>0</x:v>
      </x:c>
      <x:c r="N1153" s="9" t="str">
        <x:v>OPEN / UNACCEPTED</x:v>
      </x:c>
      <x:c r="O1153" s="9" t="n">
        <x:f>COUNTIFS($A$7:$A$1734,A1153)</x:f>
        <x:v>1</x:v>
      </x:c>
    </x:row>
    <x:row r="1154">
      <x:c r="A1154" s="9" t="str">
        <x:v>EV-AR-RT-B-C-TECH-2-B2-BRK-G0-OG08</x:v>
      </x:c>
      <x:c r="B1154" s="9" t="str">
        <x:v>EV-AR-RT-B-C-TECH-2-B2-BRK-G0</x:v>
      </x:c>
      <x:c r="C1154" s="9" t="str">
        <x:v>AR-RT-B-C-TECH-2-B2-BRK-G0</x:v>
      </x:c>
      <x:c r="D1154" s="9" t="str">
        <x:v>RT-B-C-TECH-2</x:v>
      </x:c>
      <x:c r="E1154" s="9" t="str">
        <x:v>RT-B-C</x:v>
      </x:c>
      <x:c r="F1154" s="9" t="str">
        <x:v>B2</x:v>
      </x:c>
      <x:c r="G1154" s="9" t="str">
        <x:v>BRK</x:v>
      </x:c>
      <x:c r="H1154" s="9" t="str">
        <x:v>OG08</x:v>
      </x:c>
      <x:c r="I1154" s="17" t="str">
        <x:v>Environment and boundary</x:v>
      </x:c>
      <x:c r="J1154" s="17" t="str">
        <x:v>registered weather, water, ground, inlet and outlet states are retained</x:v>
      </x:c>
      <x:c r="K1154" s="17" t="str">
        <x:v>Boundary court</x:v>
      </x:c>
      <x:c r="L1154" s="9" t="n">
        <x:v>0</x:v>
      </x:c>
      <x:c r="M1154" s="9" t="n">
        <x:v>0</x:v>
      </x:c>
      <x:c r="N1154" s="9" t="str">
        <x:v>OPEN / UNACCEPTED</x:v>
      </x:c>
      <x:c r="O1154" s="9" t="n">
        <x:f>COUNTIFS($A$7:$A$1734,A1154)</x:f>
        <x:v>1</x:v>
      </x:c>
    </x:row>
    <x:row r="1155">
      <x:c r="A1155" s="9" t="str">
        <x:v>EV-AR-RT-B-C-TECH-2-B2-BRK-G0-OG09</x:v>
      </x:c>
      <x:c r="B1155" s="9" t="str">
        <x:v>EV-AR-RT-B-C-TECH-2-B2-BRK-G0</x:v>
      </x:c>
      <x:c r="C1155" s="9" t="str">
        <x:v>AR-RT-B-C-TECH-2-B2-BRK-G0</x:v>
      </x:c>
      <x:c r="D1155" s="9" t="str">
        <x:v>RT-B-C-TECH-2</x:v>
      </x:c>
      <x:c r="E1155" s="9" t="str">
        <x:v>RT-B-C</x:v>
      </x:c>
      <x:c r="F1155" s="9" t="str">
        <x:v>B2</x:v>
      </x:c>
      <x:c r="G1155" s="9" t="str">
        <x:v>BRK</x:v>
      </x:c>
      <x:c r="H1155" s="9" t="str">
        <x:v>OG09</x:v>
      </x:c>
      <x:c r="I1155" s="17" t="str">
        <x:v>Intervention account</x:v>
      </x:c>
      <x:c r="J1155" s="17" t="str">
        <x:v>all stop, rescue, operator and public-protection actions remain timestamped</x:v>
      </x:c>
      <x:c r="K1155" s="17" t="str">
        <x:v>Safety record court</x:v>
      </x:c>
      <x:c r="L1155" s="9" t="n">
        <x:v>0</x:v>
      </x:c>
      <x:c r="M1155" s="9" t="n">
        <x:v>0</x:v>
      </x:c>
      <x:c r="N1155" s="9" t="str">
        <x:v>OPEN / UNACCEPTED</x:v>
      </x:c>
      <x:c r="O1155" s="9" t="n">
        <x:f>COUNTIFS($A$7:$A$1734,A1155)</x:f>
        <x:v>1</x:v>
      </x:c>
    </x:row>
    <x:row r="1156">
      <x:c r="A1156" s="9" t="str">
        <x:v>EV-AR-RT-B-C-TECH-2-B2-BRK-G0-OG10</x:v>
      </x:c>
      <x:c r="B1156" s="9" t="str">
        <x:v>EV-AR-RT-B-C-TECH-2-B2-BRK-G0</x:v>
      </x:c>
      <x:c r="C1156" s="9" t="str">
        <x:v>AR-RT-B-C-TECH-2-B2-BRK-G0</x:v>
      </x:c>
      <x:c r="D1156" s="9" t="str">
        <x:v>RT-B-C-TECH-2</x:v>
      </x:c>
      <x:c r="E1156" s="9" t="str">
        <x:v>RT-B-C</x:v>
      </x:c>
      <x:c r="F1156" s="9" t="str">
        <x:v>B2</x:v>
      </x:c>
      <x:c r="G1156" s="9" t="str">
        <x:v>BRK</x:v>
      </x:c>
      <x:c r="H1156" s="9" t="str">
        <x:v>OG10</x:v>
      </x:c>
      <x:c r="I1156" s="17" t="str">
        <x:v>Uncertainty statement</x:v>
      </x:c>
      <x:c r="J1156" s="17" t="str">
        <x:v>range, censoring, resolution and correlation are declared before judgment</x:v>
      </x:c>
      <x:c r="K1156" s="17" t="str">
        <x:v>Uncertainty authority</x:v>
      </x:c>
      <x:c r="L1156" s="9" t="n">
        <x:v>0</x:v>
      </x:c>
      <x:c r="M1156" s="9" t="n">
        <x:v>0</x:v>
      </x:c>
      <x:c r="N1156" s="9" t="str">
        <x:v>OPEN / UNACCEPTED</x:v>
      </x:c>
      <x:c r="O1156" s="9" t="n">
        <x:f>COUNTIFS($A$7:$A$1734,A1156)</x:f>
        <x:v>1</x:v>
      </x:c>
    </x:row>
    <x:row r="1157">
      <x:c r="A1157" s="9" t="str">
        <x:v>EV-AR-RT-B-C-TECH-2-B2-BRK-G0-OG11</x:v>
      </x:c>
      <x:c r="B1157" s="9" t="str">
        <x:v>EV-AR-RT-B-C-TECH-2-B2-BRK-G0</x:v>
      </x:c>
      <x:c r="C1157" s="9" t="str">
        <x:v>AR-RT-B-C-TECH-2-B2-BRK-G0</x:v>
      </x:c>
      <x:c r="D1157" s="9" t="str">
        <x:v>RT-B-C-TECH-2</x:v>
      </x:c>
      <x:c r="E1157" s="9" t="str">
        <x:v>RT-B-C</x:v>
      </x:c>
      <x:c r="F1157" s="9" t="str">
        <x:v>B2</x:v>
      </x:c>
      <x:c r="G1157" s="9" t="str">
        <x:v>BRK</x:v>
      </x:c>
      <x:c r="H1157" s="9" t="str">
        <x:v>OG11</x:v>
      </x:c>
      <x:c r="I1157" s="17" t="str">
        <x:v>Contradiction preservation</x:v>
      </x:c>
      <x:c r="J1157" s="17" t="str">
        <x:v>primary-witness disagreement remains explicit and is never averaged away</x:v>
      </x:c>
      <x:c r="K1157" s="17" t="str">
        <x:v>Dissent registrar</x:v>
      </x:c>
      <x:c r="L1157" s="9" t="n">
        <x:v>0</x:v>
      </x:c>
      <x:c r="M1157" s="9" t="n">
        <x:v>0</x:v>
      </x:c>
      <x:c r="N1157" s="9" t="str">
        <x:v>OPEN / UNACCEPTED</x:v>
      </x:c>
      <x:c r="O1157" s="9" t="n">
        <x:f>COUNTIFS($A$7:$A$1734,A1157)</x:f>
        <x:v>1</x:v>
      </x:c>
    </x:row>
    <x:row r="1158">
      <x:c r="A1158" s="9" t="str">
        <x:v>EV-AR-RT-B-C-TECH-2-B2-BRK-G0-OG12</x:v>
      </x:c>
      <x:c r="B1158" s="9" t="str">
        <x:v>EV-AR-RT-B-C-TECH-2-B2-BRK-G0</x:v>
      </x:c>
      <x:c r="C1158" s="9" t="str">
        <x:v>AR-RT-B-C-TECH-2-B2-BRK-G0</x:v>
      </x:c>
      <x:c r="D1158" s="9" t="str">
        <x:v>RT-B-C-TECH-2</x:v>
      </x:c>
      <x:c r="E1158" s="9" t="str">
        <x:v>RT-B-C</x:v>
      </x:c>
      <x:c r="F1158" s="9" t="str">
        <x:v>B2</x:v>
      </x:c>
      <x:c r="G1158" s="9" t="str">
        <x:v>BRK</x:v>
      </x:c>
      <x:c r="H1158" s="9" t="str">
        <x:v>OG12</x:v>
      </x:c>
      <x:c r="I1158" s="17" t="str">
        <x:v>Independent replay</x:v>
      </x:c>
      <x:c r="J1158" s="17" t="str">
        <x:v>a separated reader reconstructs the registered observables from sealed originals</x:v>
      </x:c>
      <x:c r="K1158" s="17" t="str">
        <x:v>Replay court</x:v>
      </x:c>
      <x:c r="L1158" s="9" t="n">
        <x:v>0</x:v>
      </x:c>
      <x:c r="M1158" s="9" t="n">
        <x:v>0</x:v>
      </x:c>
      <x:c r="N1158" s="9" t="str">
        <x:v>OPEN / UNACCEPTED</x:v>
      </x:c>
      <x:c r="O1158" s="9" t="n">
        <x:f>COUNTIFS($A$7:$A$1734,A1158)</x:f>
        <x:v>1</x:v>
      </x:c>
    </x:row>
    <x:row r="1159">
      <x:c r="A1159" s="9" t="str">
        <x:v>EV-AR-CT-C-B-TECH-3-B2-INT-G0-OG01</x:v>
      </x:c>
      <x:c r="B1159" s="9" t="str">
        <x:v>EV-AR-CT-C-B-TECH-3-B2-INT-G0</x:v>
      </x:c>
      <x:c r="C1159" s="9" t="str">
        <x:v>AR-CT-C-B-TECH-3-B2-INT-G0</x:v>
      </x:c>
      <x:c r="D1159" s="9" t="str">
        <x:v>CT-C-B-TECH-3</x:v>
      </x:c>
      <x:c r="E1159" s="9" t="str">
        <x:v>CT-C-B</x:v>
      </x:c>
      <x:c r="F1159" s="9" t="str">
        <x:v>B2</x:v>
      </x:c>
      <x:c r="G1159" s="9" t="str">
        <x:v>INT</x:v>
      </x:c>
      <x:c r="H1159" s="9" t="str">
        <x:v>OG01</x:v>
      </x:c>
      <x:c r="I1159" s="17" t="str">
        <x:v>Serial and event identity</x:v>
      </x:c>
      <x:c r="J1159" s="17" t="str">
        <x:v>record resolves to the issued serial, generation and physical start</x:v>
      </x:c>
      <x:c r="K1159" s="17" t="str">
        <x:v>Observation court</x:v>
      </x:c>
      <x:c r="L1159" s="9" t="n">
        <x:v>0</x:v>
      </x:c>
      <x:c r="M1159" s="9" t="n">
        <x:v>0</x:v>
      </x:c>
      <x:c r="N1159" s="9" t="str">
        <x:v>OPEN / UNACCEPTED</x:v>
      </x:c>
      <x:c r="O1159" s="9" t="n">
        <x:f>COUNTIFS($A$7:$A$1734,A1159)</x:f>
        <x:v>1</x:v>
      </x:c>
    </x:row>
    <x:row r="1160">
      <x:c r="A1160" s="9" t="str">
        <x:v>EV-AR-CT-C-B-TECH-3-B2-INT-G0-OG02</x:v>
      </x:c>
      <x:c r="B1160" s="9" t="str">
        <x:v>EV-AR-CT-C-B-TECH-3-B2-INT-G0</x:v>
      </x:c>
      <x:c r="C1160" s="9" t="str">
        <x:v>AR-CT-C-B-TECH-3-B2-INT-G0</x:v>
      </x:c>
      <x:c r="D1160" s="9" t="str">
        <x:v>CT-C-B-TECH-3</x:v>
      </x:c>
      <x:c r="E1160" s="9" t="str">
        <x:v>CT-C-B</x:v>
      </x:c>
      <x:c r="F1160" s="9" t="str">
        <x:v>B2</x:v>
      </x:c>
      <x:c r="G1160" s="9" t="str">
        <x:v>INT</x:v>
      </x:c>
      <x:c r="H1160" s="9" t="str">
        <x:v>OG02</x:v>
      </x:c>
      <x:c r="I1160" s="17" t="str">
        <x:v>Time ancestry</x:v>
      </x:c>
      <x:c r="J1160" s="17" t="str">
        <x:v>primary, witness and public event clocks retain declared offsets and drift</x:v>
      </x:c>
      <x:c r="K1160" s="17" t="str">
        <x:v>Time authority</x:v>
      </x:c>
      <x:c r="L1160" s="9" t="n">
        <x:v>0</x:v>
      </x:c>
      <x:c r="M1160" s="9" t="n">
        <x:v>0</x:v>
      </x:c>
      <x:c r="N1160" s="9" t="str">
        <x:v>OPEN / UNACCEPTED</x:v>
      </x:c>
      <x:c r="O1160" s="9" t="n">
        <x:f>COUNTIFS($A$7:$A$1734,A1160)</x:f>
        <x:v>1</x:v>
      </x:c>
    </x:row>
    <x:row r="1161">
      <x:c r="A1161" s="9" t="str">
        <x:v>EV-AR-CT-C-B-TECH-3-B2-INT-G0-OG03</x:v>
      </x:c>
      <x:c r="B1161" s="9" t="str">
        <x:v>EV-AR-CT-C-B-TECH-3-B2-INT-G0</x:v>
      </x:c>
      <x:c r="C1161" s="9" t="str">
        <x:v>AR-CT-C-B-TECH-3-B2-INT-G0</x:v>
      </x:c>
      <x:c r="D1161" s="9" t="str">
        <x:v>CT-C-B-TECH-3</x:v>
      </x:c>
      <x:c r="E1161" s="9" t="str">
        <x:v>CT-C-B</x:v>
      </x:c>
      <x:c r="F1161" s="9" t="str">
        <x:v>B2</x:v>
      </x:c>
      <x:c r="G1161" s="9" t="str">
        <x:v>INT</x:v>
      </x:c>
      <x:c r="H1161" s="9" t="str">
        <x:v>OG03</x:v>
      </x:c>
      <x:c r="I1161" s="17" t="str">
        <x:v>Calibration ancestry</x:v>
      </x:c>
      <x:c r="J1161" s="17" t="str">
        <x:v>all reference, range and uncertainty states cover the live interval</x:v>
      </x:c>
      <x:c r="K1161" s="17" t="str">
        <x:v>Metrology courts</x:v>
      </x:c>
      <x:c r="L1161" s="9" t="n">
        <x:v>0</x:v>
      </x:c>
      <x:c r="M1161" s="9" t="n">
        <x:v>0</x:v>
      </x:c>
      <x:c r="N1161" s="9" t="str">
        <x:v>OPEN / UNACCEPTED</x:v>
      </x:c>
      <x:c r="O1161" s="9" t="n">
        <x:f>COUNTIFS($A$7:$A$1734,A1161)</x:f>
        <x:v>1</x:v>
      </x:c>
    </x:row>
    <x:row r="1162">
      <x:c r="A1162" s="9" t="str">
        <x:v>EV-AR-CT-C-B-TECH-3-B2-INT-G0-OG04</x:v>
      </x:c>
      <x:c r="B1162" s="9" t="str">
        <x:v>EV-AR-CT-C-B-TECH-3-B2-INT-G0</x:v>
      </x:c>
      <x:c r="C1162" s="9" t="str">
        <x:v>AR-CT-C-B-TECH-3-B2-INT-G0</x:v>
      </x:c>
      <x:c r="D1162" s="9" t="str">
        <x:v>CT-C-B-TECH-3</x:v>
      </x:c>
      <x:c r="E1162" s="9" t="str">
        <x:v>CT-C-B</x:v>
      </x:c>
      <x:c r="F1162" s="9" t="str">
        <x:v>B2</x:v>
      </x:c>
      <x:c r="G1162" s="9" t="str">
        <x:v>INT</x:v>
      </x:c>
      <x:c r="H1162" s="9" t="str">
        <x:v>OG04</x:v>
      </x:c>
      <x:c r="I1162" s="17" t="str">
        <x:v>Raw completeness</x:v>
      </x:c>
      <x:c r="J1162" s="17" t="str">
        <x:v>missingness is enumerated without imputation or outcome-conditioned deletion</x:v>
      </x:c>
      <x:c r="K1162" s="17" t="str">
        <x:v>Observation court</x:v>
      </x:c>
      <x:c r="L1162" s="9" t="n">
        <x:v>0</x:v>
      </x:c>
      <x:c r="M1162" s="9" t="n">
        <x:v>0</x:v>
      </x:c>
      <x:c r="N1162" s="9" t="str">
        <x:v>OPEN / UNACCEPTED</x:v>
      </x:c>
      <x:c r="O1162" s="9" t="n">
        <x:f>COUNTIFS($A$7:$A$1734,A1162)</x:f>
        <x:v>1</x:v>
      </x:c>
    </x:row>
    <x:row r="1163">
      <x:c r="A1163" s="9" t="str">
        <x:v>EV-AR-CT-C-B-TECH-3-B2-INT-G0-OG05</x:v>
      </x:c>
      <x:c r="B1163" s="9" t="str">
        <x:v>EV-AR-CT-C-B-TECH-3-B2-INT-G0</x:v>
      </x:c>
      <x:c r="C1163" s="9" t="str">
        <x:v>AR-CT-C-B-TECH-3-B2-INT-G0</x:v>
      </x:c>
      <x:c r="D1163" s="9" t="str">
        <x:v>CT-C-B-TECH-3</x:v>
      </x:c>
      <x:c r="E1163" s="9" t="str">
        <x:v>CT-C-B</x:v>
      </x:c>
      <x:c r="F1163" s="9" t="str">
        <x:v>B2</x:v>
      </x:c>
      <x:c r="G1163" s="9" t="str">
        <x:v>INT</x:v>
      </x:c>
      <x:c r="H1163" s="9" t="str">
        <x:v>OG05</x:v>
      </x:c>
      <x:c r="I1163" s="17" t="str">
        <x:v>Primary provenance</x:v>
      </x:c>
      <x:c r="J1163" s="17" t="str">
        <x:v>primary originals, hashes, keys and access history reconcile</x:v>
      </x:c>
      <x:c r="K1163" s="17" t="str">
        <x:v>Primary custody</x:v>
      </x:c>
      <x:c r="L1163" s="9" t="n">
        <x:v>0</x:v>
      </x:c>
      <x:c r="M1163" s="9" t="n">
        <x:v>0</x:v>
      </x:c>
      <x:c r="N1163" s="9" t="str">
        <x:v>OPEN / UNACCEPTED</x:v>
      </x:c>
      <x:c r="O1163" s="9" t="n">
        <x:f>COUNTIFS($A$7:$A$1734,A1163)</x:f>
        <x:v>1</x:v>
      </x:c>
    </x:row>
    <x:row r="1164">
      <x:c r="A1164" s="9" t="str">
        <x:v>EV-AR-CT-C-B-TECH-3-B2-INT-G0-OG06</x:v>
      </x:c>
      <x:c r="B1164" s="9" t="str">
        <x:v>EV-AR-CT-C-B-TECH-3-B2-INT-G0</x:v>
      </x:c>
      <x:c r="C1164" s="9" t="str">
        <x:v>AR-CT-C-B-TECH-3-B2-INT-G0</x:v>
      </x:c>
      <x:c r="D1164" s="9" t="str">
        <x:v>CT-C-B-TECH-3</x:v>
      </x:c>
      <x:c r="E1164" s="9" t="str">
        <x:v>CT-C-B</x:v>
      </x:c>
      <x:c r="F1164" s="9" t="str">
        <x:v>B2</x:v>
      </x:c>
      <x:c r="G1164" s="9" t="str">
        <x:v>INT</x:v>
      </x:c>
      <x:c r="H1164" s="9" t="str">
        <x:v>OG06</x:v>
      </x:c>
      <x:c r="I1164" s="17" t="str">
        <x:v>Witness provenance</x:v>
      </x:c>
      <x:c r="J1164" s="17" t="str">
        <x:v>unlike witness originals, hashes, keys and access history reconcile</x:v>
      </x:c>
      <x:c r="K1164" s="17" t="str">
        <x:v>Witness custody</x:v>
      </x:c>
      <x:c r="L1164" s="9" t="n">
        <x:v>0</x:v>
      </x:c>
      <x:c r="M1164" s="9" t="n">
        <x:v>0</x:v>
      </x:c>
      <x:c r="N1164" s="9" t="str">
        <x:v>OPEN / UNACCEPTED</x:v>
      </x:c>
      <x:c r="O1164" s="9" t="n">
        <x:f>COUNTIFS($A$7:$A$1734,A1164)</x:f>
        <x:v>1</x:v>
      </x:c>
    </x:row>
    <x:row r="1165">
      <x:c r="A1165" s="9" t="str">
        <x:v>EV-AR-CT-C-B-TECH-3-B2-INT-G0-OG07</x:v>
      </x:c>
      <x:c r="B1165" s="9" t="str">
        <x:v>EV-AR-CT-C-B-TECH-3-B2-INT-G0</x:v>
      </x:c>
      <x:c r="C1165" s="9" t="str">
        <x:v>AR-CT-C-B-TECH-3-B2-INT-G0</x:v>
      </x:c>
      <x:c r="D1165" s="9" t="str">
        <x:v>CT-C-B-TECH-3</x:v>
      </x:c>
      <x:c r="E1165" s="9" t="str">
        <x:v>CT-C-B</x:v>
      </x:c>
      <x:c r="F1165" s="9" t="str">
        <x:v>B2</x:v>
      </x:c>
      <x:c r="G1165" s="9" t="str">
        <x:v>INT</x:v>
      </x:c>
      <x:c r="H1165" s="9" t="str">
        <x:v>OG07</x:v>
      </x:c>
      <x:c r="I1165" s="17" t="str">
        <x:v>Receiver denominator</x:v>
      </x:c>
      <x:c r="J1165" s="17" t="str">
        <x:v>population, quantity, duration and exclusions match the frozen receipt</x:v>
      </x:c>
      <x:c r="K1165" s="17" t="str">
        <x:v>Receiver court</x:v>
      </x:c>
      <x:c r="L1165" s="9" t="n">
        <x:v>0</x:v>
      </x:c>
      <x:c r="M1165" s="9" t="n">
        <x:v>0</x:v>
      </x:c>
      <x:c r="N1165" s="9" t="str">
        <x:v>OPEN / UNACCEPTED</x:v>
      </x:c>
      <x:c r="O1165" s="9" t="n">
        <x:f>COUNTIFS($A$7:$A$1734,A1165)</x:f>
        <x:v>1</x:v>
      </x:c>
    </x:row>
    <x:row r="1166">
      <x:c r="A1166" s="9" t="str">
        <x:v>EV-AR-CT-C-B-TECH-3-B2-INT-G0-OG08</x:v>
      </x:c>
      <x:c r="B1166" s="9" t="str">
        <x:v>EV-AR-CT-C-B-TECH-3-B2-INT-G0</x:v>
      </x:c>
      <x:c r="C1166" s="9" t="str">
        <x:v>AR-CT-C-B-TECH-3-B2-INT-G0</x:v>
      </x:c>
      <x:c r="D1166" s="9" t="str">
        <x:v>CT-C-B-TECH-3</x:v>
      </x:c>
      <x:c r="E1166" s="9" t="str">
        <x:v>CT-C-B</x:v>
      </x:c>
      <x:c r="F1166" s="9" t="str">
        <x:v>B2</x:v>
      </x:c>
      <x:c r="G1166" s="9" t="str">
        <x:v>INT</x:v>
      </x:c>
      <x:c r="H1166" s="9" t="str">
        <x:v>OG08</x:v>
      </x:c>
      <x:c r="I1166" s="17" t="str">
        <x:v>Environment and boundary</x:v>
      </x:c>
      <x:c r="J1166" s="17" t="str">
        <x:v>registered weather, water, ground, inlet and outlet states are retained</x:v>
      </x:c>
      <x:c r="K1166" s="17" t="str">
        <x:v>Boundary court</x:v>
      </x:c>
      <x:c r="L1166" s="9" t="n">
        <x:v>0</x:v>
      </x:c>
      <x:c r="M1166" s="9" t="n">
        <x:v>0</x:v>
      </x:c>
      <x:c r="N1166" s="9" t="str">
        <x:v>OPEN / UNACCEPTED</x:v>
      </x:c>
      <x:c r="O1166" s="9" t="n">
        <x:f>COUNTIFS($A$7:$A$1734,A1166)</x:f>
        <x:v>1</x:v>
      </x:c>
    </x:row>
    <x:row r="1167">
      <x:c r="A1167" s="9" t="str">
        <x:v>EV-AR-CT-C-B-TECH-3-B2-INT-G0-OG09</x:v>
      </x:c>
      <x:c r="B1167" s="9" t="str">
        <x:v>EV-AR-CT-C-B-TECH-3-B2-INT-G0</x:v>
      </x:c>
      <x:c r="C1167" s="9" t="str">
        <x:v>AR-CT-C-B-TECH-3-B2-INT-G0</x:v>
      </x:c>
      <x:c r="D1167" s="9" t="str">
        <x:v>CT-C-B-TECH-3</x:v>
      </x:c>
      <x:c r="E1167" s="9" t="str">
        <x:v>CT-C-B</x:v>
      </x:c>
      <x:c r="F1167" s="9" t="str">
        <x:v>B2</x:v>
      </x:c>
      <x:c r="G1167" s="9" t="str">
        <x:v>INT</x:v>
      </x:c>
      <x:c r="H1167" s="9" t="str">
        <x:v>OG09</x:v>
      </x:c>
      <x:c r="I1167" s="17" t="str">
        <x:v>Intervention account</x:v>
      </x:c>
      <x:c r="J1167" s="17" t="str">
        <x:v>all stop, rescue, operator and public-protection actions remain timestamped</x:v>
      </x:c>
      <x:c r="K1167" s="17" t="str">
        <x:v>Safety record court</x:v>
      </x:c>
      <x:c r="L1167" s="9" t="n">
        <x:v>0</x:v>
      </x:c>
      <x:c r="M1167" s="9" t="n">
        <x:v>0</x:v>
      </x:c>
      <x:c r="N1167" s="9" t="str">
        <x:v>OPEN / UNACCEPTED</x:v>
      </x:c>
      <x:c r="O1167" s="9" t="n">
        <x:f>COUNTIFS($A$7:$A$1734,A1167)</x:f>
        <x:v>1</x:v>
      </x:c>
    </x:row>
    <x:row r="1168">
      <x:c r="A1168" s="9" t="str">
        <x:v>EV-AR-CT-C-B-TECH-3-B2-INT-G0-OG10</x:v>
      </x:c>
      <x:c r="B1168" s="9" t="str">
        <x:v>EV-AR-CT-C-B-TECH-3-B2-INT-G0</x:v>
      </x:c>
      <x:c r="C1168" s="9" t="str">
        <x:v>AR-CT-C-B-TECH-3-B2-INT-G0</x:v>
      </x:c>
      <x:c r="D1168" s="9" t="str">
        <x:v>CT-C-B-TECH-3</x:v>
      </x:c>
      <x:c r="E1168" s="9" t="str">
        <x:v>CT-C-B</x:v>
      </x:c>
      <x:c r="F1168" s="9" t="str">
        <x:v>B2</x:v>
      </x:c>
      <x:c r="G1168" s="9" t="str">
        <x:v>INT</x:v>
      </x:c>
      <x:c r="H1168" s="9" t="str">
        <x:v>OG10</x:v>
      </x:c>
      <x:c r="I1168" s="17" t="str">
        <x:v>Uncertainty statement</x:v>
      </x:c>
      <x:c r="J1168" s="17" t="str">
        <x:v>range, censoring, resolution and correlation are declared before judgment</x:v>
      </x:c>
      <x:c r="K1168" s="17" t="str">
        <x:v>Uncertainty authority</x:v>
      </x:c>
      <x:c r="L1168" s="9" t="n">
        <x:v>0</x:v>
      </x:c>
      <x:c r="M1168" s="9" t="n">
        <x:v>0</x:v>
      </x:c>
      <x:c r="N1168" s="9" t="str">
        <x:v>OPEN / UNACCEPTED</x:v>
      </x:c>
      <x:c r="O1168" s="9" t="n">
        <x:f>COUNTIFS($A$7:$A$1734,A1168)</x:f>
        <x:v>1</x:v>
      </x:c>
    </x:row>
    <x:row r="1169">
      <x:c r="A1169" s="9" t="str">
        <x:v>EV-AR-CT-C-B-TECH-3-B2-INT-G0-OG11</x:v>
      </x:c>
      <x:c r="B1169" s="9" t="str">
        <x:v>EV-AR-CT-C-B-TECH-3-B2-INT-G0</x:v>
      </x:c>
      <x:c r="C1169" s="9" t="str">
        <x:v>AR-CT-C-B-TECH-3-B2-INT-G0</x:v>
      </x:c>
      <x:c r="D1169" s="9" t="str">
        <x:v>CT-C-B-TECH-3</x:v>
      </x:c>
      <x:c r="E1169" s="9" t="str">
        <x:v>CT-C-B</x:v>
      </x:c>
      <x:c r="F1169" s="9" t="str">
        <x:v>B2</x:v>
      </x:c>
      <x:c r="G1169" s="9" t="str">
        <x:v>INT</x:v>
      </x:c>
      <x:c r="H1169" s="9" t="str">
        <x:v>OG11</x:v>
      </x:c>
      <x:c r="I1169" s="17" t="str">
        <x:v>Contradiction preservation</x:v>
      </x:c>
      <x:c r="J1169" s="17" t="str">
        <x:v>primary-witness disagreement remains explicit and is never averaged away</x:v>
      </x:c>
      <x:c r="K1169" s="17" t="str">
        <x:v>Dissent registrar</x:v>
      </x:c>
      <x:c r="L1169" s="9" t="n">
        <x:v>0</x:v>
      </x:c>
      <x:c r="M1169" s="9" t="n">
        <x:v>0</x:v>
      </x:c>
      <x:c r="N1169" s="9" t="str">
        <x:v>OPEN / UNACCEPTED</x:v>
      </x:c>
      <x:c r="O1169" s="9" t="n">
        <x:f>COUNTIFS($A$7:$A$1734,A1169)</x:f>
        <x:v>1</x:v>
      </x:c>
    </x:row>
    <x:row r="1170">
      <x:c r="A1170" s="9" t="str">
        <x:v>EV-AR-CT-C-B-TECH-3-B2-INT-G0-OG12</x:v>
      </x:c>
      <x:c r="B1170" s="9" t="str">
        <x:v>EV-AR-CT-C-B-TECH-3-B2-INT-G0</x:v>
      </x:c>
      <x:c r="C1170" s="9" t="str">
        <x:v>AR-CT-C-B-TECH-3-B2-INT-G0</x:v>
      </x:c>
      <x:c r="D1170" s="9" t="str">
        <x:v>CT-C-B-TECH-3</x:v>
      </x:c>
      <x:c r="E1170" s="9" t="str">
        <x:v>CT-C-B</x:v>
      </x:c>
      <x:c r="F1170" s="9" t="str">
        <x:v>B2</x:v>
      </x:c>
      <x:c r="G1170" s="9" t="str">
        <x:v>INT</x:v>
      </x:c>
      <x:c r="H1170" s="9" t="str">
        <x:v>OG12</x:v>
      </x:c>
      <x:c r="I1170" s="17" t="str">
        <x:v>Independent replay</x:v>
      </x:c>
      <x:c r="J1170" s="17" t="str">
        <x:v>a separated reader reconstructs the registered observables from sealed originals</x:v>
      </x:c>
      <x:c r="K1170" s="17" t="str">
        <x:v>Replay court</x:v>
      </x:c>
      <x:c r="L1170" s="9" t="n">
        <x:v>0</x:v>
      </x:c>
      <x:c r="M1170" s="9" t="n">
        <x:v>0</x:v>
      </x:c>
      <x:c r="N1170" s="9" t="str">
        <x:v>OPEN / UNACCEPTED</x:v>
      </x:c>
      <x:c r="O1170" s="9" t="n">
        <x:f>COUNTIFS($A$7:$A$1734,A1170)</x:f>
        <x:v>1</x:v>
      </x:c>
    </x:row>
    <x:row r="1171">
      <x:c r="A1171" s="9" t="str">
        <x:v>EV-AR-ET-A-A-TECH-1-B1-RCN-G0-OG01</x:v>
      </x:c>
      <x:c r="B1171" s="9" t="str">
        <x:v>EV-AR-ET-A-A-TECH-1-B1-RCN-G0</x:v>
      </x:c>
      <x:c r="C1171" s="9" t="str">
        <x:v>AR-ET-A-A-TECH-1-B1-RCN-G0</x:v>
      </x:c>
      <x:c r="D1171" s="9" t="str">
        <x:v>ET-A-A-TECH-1</x:v>
      </x:c>
      <x:c r="E1171" s="9" t="str">
        <x:v>ET-A-A</x:v>
      </x:c>
      <x:c r="F1171" s="9" t="str">
        <x:v>B1</x:v>
      </x:c>
      <x:c r="G1171" s="9" t="str">
        <x:v>RCN</x:v>
      </x:c>
      <x:c r="H1171" s="9" t="str">
        <x:v>OG01</x:v>
      </x:c>
      <x:c r="I1171" s="17" t="str">
        <x:v>Serial and event identity</x:v>
      </x:c>
      <x:c r="J1171" s="17" t="str">
        <x:v>record resolves to the issued serial, generation and physical start</x:v>
      </x:c>
      <x:c r="K1171" s="17" t="str">
        <x:v>Observation court</x:v>
      </x:c>
      <x:c r="L1171" s="9" t="n">
        <x:v>0</x:v>
      </x:c>
      <x:c r="M1171" s="9" t="n">
        <x:v>0</x:v>
      </x:c>
      <x:c r="N1171" s="9" t="str">
        <x:v>OPEN / UNACCEPTED</x:v>
      </x:c>
      <x:c r="O1171" s="9" t="n">
        <x:f>COUNTIFS($A$7:$A$1734,A1171)</x:f>
        <x:v>1</x:v>
      </x:c>
    </x:row>
    <x:row r="1172">
      <x:c r="A1172" s="9" t="str">
        <x:v>EV-AR-ET-A-A-TECH-1-B1-RCN-G0-OG02</x:v>
      </x:c>
      <x:c r="B1172" s="9" t="str">
        <x:v>EV-AR-ET-A-A-TECH-1-B1-RCN-G0</x:v>
      </x:c>
      <x:c r="C1172" s="9" t="str">
        <x:v>AR-ET-A-A-TECH-1-B1-RCN-G0</x:v>
      </x:c>
      <x:c r="D1172" s="9" t="str">
        <x:v>ET-A-A-TECH-1</x:v>
      </x:c>
      <x:c r="E1172" s="9" t="str">
        <x:v>ET-A-A</x:v>
      </x:c>
      <x:c r="F1172" s="9" t="str">
        <x:v>B1</x:v>
      </x:c>
      <x:c r="G1172" s="9" t="str">
        <x:v>RCN</x:v>
      </x:c>
      <x:c r="H1172" s="9" t="str">
        <x:v>OG02</x:v>
      </x:c>
      <x:c r="I1172" s="17" t="str">
        <x:v>Time ancestry</x:v>
      </x:c>
      <x:c r="J1172" s="17" t="str">
        <x:v>primary, witness and public event clocks retain declared offsets and drift</x:v>
      </x:c>
      <x:c r="K1172" s="17" t="str">
        <x:v>Time authority</x:v>
      </x:c>
      <x:c r="L1172" s="9" t="n">
        <x:v>0</x:v>
      </x:c>
      <x:c r="M1172" s="9" t="n">
        <x:v>0</x:v>
      </x:c>
      <x:c r="N1172" s="9" t="str">
        <x:v>OPEN / UNACCEPTED</x:v>
      </x:c>
      <x:c r="O1172" s="9" t="n">
        <x:f>COUNTIFS($A$7:$A$1734,A1172)</x:f>
        <x:v>1</x:v>
      </x:c>
    </x:row>
    <x:row r="1173">
      <x:c r="A1173" s="9" t="str">
        <x:v>EV-AR-ET-A-A-TECH-1-B1-RCN-G0-OG03</x:v>
      </x:c>
      <x:c r="B1173" s="9" t="str">
        <x:v>EV-AR-ET-A-A-TECH-1-B1-RCN-G0</x:v>
      </x:c>
      <x:c r="C1173" s="9" t="str">
        <x:v>AR-ET-A-A-TECH-1-B1-RCN-G0</x:v>
      </x:c>
      <x:c r="D1173" s="9" t="str">
        <x:v>ET-A-A-TECH-1</x:v>
      </x:c>
      <x:c r="E1173" s="9" t="str">
        <x:v>ET-A-A</x:v>
      </x:c>
      <x:c r="F1173" s="9" t="str">
        <x:v>B1</x:v>
      </x:c>
      <x:c r="G1173" s="9" t="str">
        <x:v>RCN</x:v>
      </x:c>
      <x:c r="H1173" s="9" t="str">
        <x:v>OG03</x:v>
      </x:c>
      <x:c r="I1173" s="17" t="str">
        <x:v>Calibration ancestry</x:v>
      </x:c>
      <x:c r="J1173" s="17" t="str">
        <x:v>all reference, range and uncertainty states cover the live interval</x:v>
      </x:c>
      <x:c r="K1173" s="17" t="str">
        <x:v>Metrology courts</x:v>
      </x:c>
      <x:c r="L1173" s="9" t="n">
        <x:v>0</x:v>
      </x:c>
      <x:c r="M1173" s="9" t="n">
        <x:v>0</x:v>
      </x:c>
      <x:c r="N1173" s="9" t="str">
        <x:v>OPEN / UNACCEPTED</x:v>
      </x:c>
      <x:c r="O1173" s="9" t="n">
        <x:f>COUNTIFS($A$7:$A$1734,A1173)</x:f>
        <x:v>1</x:v>
      </x:c>
    </x:row>
    <x:row r="1174">
      <x:c r="A1174" s="9" t="str">
        <x:v>EV-AR-ET-A-A-TECH-1-B1-RCN-G0-OG04</x:v>
      </x:c>
      <x:c r="B1174" s="9" t="str">
        <x:v>EV-AR-ET-A-A-TECH-1-B1-RCN-G0</x:v>
      </x:c>
      <x:c r="C1174" s="9" t="str">
        <x:v>AR-ET-A-A-TECH-1-B1-RCN-G0</x:v>
      </x:c>
      <x:c r="D1174" s="9" t="str">
        <x:v>ET-A-A-TECH-1</x:v>
      </x:c>
      <x:c r="E1174" s="9" t="str">
        <x:v>ET-A-A</x:v>
      </x:c>
      <x:c r="F1174" s="9" t="str">
        <x:v>B1</x:v>
      </x:c>
      <x:c r="G1174" s="9" t="str">
        <x:v>RCN</x:v>
      </x:c>
      <x:c r="H1174" s="9" t="str">
        <x:v>OG04</x:v>
      </x:c>
      <x:c r="I1174" s="17" t="str">
        <x:v>Raw completeness</x:v>
      </x:c>
      <x:c r="J1174" s="17" t="str">
        <x:v>missingness is enumerated without imputation or outcome-conditioned deletion</x:v>
      </x:c>
      <x:c r="K1174" s="17" t="str">
        <x:v>Observation court</x:v>
      </x:c>
      <x:c r="L1174" s="9" t="n">
        <x:v>0</x:v>
      </x:c>
      <x:c r="M1174" s="9" t="n">
        <x:v>0</x:v>
      </x:c>
      <x:c r="N1174" s="9" t="str">
        <x:v>OPEN / UNACCEPTED</x:v>
      </x:c>
      <x:c r="O1174" s="9" t="n">
        <x:f>COUNTIFS($A$7:$A$1734,A1174)</x:f>
        <x:v>1</x:v>
      </x:c>
    </x:row>
    <x:row r="1175">
      <x:c r="A1175" s="9" t="str">
        <x:v>EV-AR-ET-A-A-TECH-1-B1-RCN-G0-OG05</x:v>
      </x:c>
      <x:c r="B1175" s="9" t="str">
        <x:v>EV-AR-ET-A-A-TECH-1-B1-RCN-G0</x:v>
      </x:c>
      <x:c r="C1175" s="9" t="str">
        <x:v>AR-ET-A-A-TECH-1-B1-RCN-G0</x:v>
      </x:c>
      <x:c r="D1175" s="9" t="str">
        <x:v>ET-A-A-TECH-1</x:v>
      </x:c>
      <x:c r="E1175" s="9" t="str">
        <x:v>ET-A-A</x:v>
      </x:c>
      <x:c r="F1175" s="9" t="str">
        <x:v>B1</x:v>
      </x:c>
      <x:c r="G1175" s="9" t="str">
        <x:v>RCN</x:v>
      </x:c>
      <x:c r="H1175" s="9" t="str">
        <x:v>OG05</x:v>
      </x:c>
      <x:c r="I1175" s="17" t="str">
        <x:v>Primary provenance</x:v>
      </x:c>
      <x:c r="J1175" s="17" t="str">
        <x:v>primary originals, hashes, keys and access history reconcile</x:v>
      </x:c>
      <x:c r="K1175" s="17" t="str">
        <x:v>Primary custody</x:v>
      </x:c>
      <x:c r="L1175" s="9" t="n">
        <x:v>0</x:v>
      </x:c>
      <x:c r="M1175" s="9" t="n">
        <x:v>0</x:v>
      </x:c>
      <x:c r="N1175" s="9" t="str">
        <x:v>OPEN / UNACCEPTED</x:v>
      </x:c>
      <x:c r="O1175" s="9" t="n">
        <x:f>COUNTIFS($A$7:$A$1734,A1175)</x:f>
        <x:v>1</x:v>
      </x:c>
    </x:row>
    <x:row r="1176">
      <x:c r="A1176" s="9" t="str">
        <x:v>EV-AR-ET-A-A-TECH-1-B1-RCN-G0-OG06</x:v>
      </x:c>
      <x:c r="B1176" s="9" t="str">
        <x:v>EV-AR-ET-A-A-TECH-1-B1-RCN-G0</x:v>
      </x:c>
      <x:c r="C1176" s="9" t="str">
        <x:v>AR-ET-A-A-TECH-1-B1-RCN-G0</x:v>
      </x:c>
      <x:c r="D1176" s="9" t="str">
        <x:v>ET-A-A-TECH-1</x:v>
      </x:c>
      <x:c r="E1176" s="9" t="str">
        <x:v>ET-A-A</x:v>
      </x:c>
      <x:c r="F1176" s="9" t="str">
        <x:v>B1</x:v>
      </x:c>
      <x:c r="G1176" s="9" t="str">
        <x:v>RCN</x:v>
      </x:c>
      <x:c r="H1176" s="9" t="str">
        <x:v>OG06</x:v>
      </x:c>
      <x:c r="I1176" s="17" t="str">
        <x:v>Witness provenance</x:v>
      </x:c>
      <x:c r="J1176" s="17" t="str">
        <x:v>unlike witness originals, hashes, keys and access history reconcile</x:v>
      </x:c>
      <x:c r="K1176" s="17" t="str">
        <x:v>Witness custody</x:v>
      </x:c>
      <x:c r="L1176" s="9" t="n">
        <x:v>0</x:v>
      </x:c>
      <x:c r="M1176" s="9" t="n">
        <x:v>0</x:v>
      </x:c>
      <x:c r="N1176" s="9" t="str">
        <x:v>OPEN / UNACCEPTED</x:v>
      </x:c>
      <x:c r="O1176" s="9" t="n">
        <x:f>COUNTIFS($A$7:$A$1734,A1176)</x:f>
        <x:v>1</x:v>
      </x:c>
    </x:row>
    <x:row r="1177">
      <x:c r="A1177" s="9" t="str">
        <x:v>EV-AR-ET-A-A-TECH-1-B1-RCN-G0-OG07</x:v>
      </x:c>
      <x:c r="B1177" s="9" t="str">
        <x:v>EV-AR-ET-A-A-TECH-1-B1-RCN-G0</x:v>
      </x:c>
      <x:c r="C1177" s="9" t="str">
        <x:v>AR-ET-A-A-TECH-1-B1-RCN-G0</x:v>
      </x:c>
      <x:c r="D1177" s="9" t="str">
        <x:v>ET-A-A-TECH-1</x:v>
      </x:c>
      <x:c r="E1177" s="9" t="str">
        <x:v>ET-A-A</x:v>
      </x:c>
      <x:c r="F1177" s="9" t="str">
        <x:v>B1</x:v>
      </x:c>
      <x:c r="G1177" s="9" t="str">
        <x:v>RCN</x:v>
      </x:c>
      <x:c r="H1177" s="9" t="str">
        <x:v>OG07</x:v>
      </x:c>
      <x:c r="I1177" s="17" t="str">
        <x:v>Receiver denominator</x:v>
      </x:c>
      <x:c r="J1177" s="17" t="str">
        <x:v>population, quantity, duration and exclusions match the frozen receipt</x:v>
      </x:c>
      <x:c r="K1177" s="17" t="str">
        <x:v>Receiver court</x:v>
      </x:c>
      <x:c r="L1177" s="9" t="n">
        <x:v>0</x:v>
      </x:c>
      <x:c r="M1177" s="9" t="n">
        <x:v>0</x:v>
      </x:c>
      <x:c r="N1177" s="9" t="str">
        <x:v>OPEN / UNACCEPTED</x:v>
      </x:c>
      <x:c r="O1177" s="9" t="n">
        <x:f>COUNTIFS($A$7:$A$1734,A1177)</x:f>
        <x:v>1</x:v>
      </x:c>
    </x:row>
    <x:row r="1178">
      <x:c r="A1178" s="9" t="str">
        <x:v>EV-AR-ET-A-A-TECH-1-B1-RCN-G0-OG08</x:v>
      </x:c>
      <x:c r="B1178" s="9" t="str">
        <x:v>EV-AR-ET-A-A-TECH-1-B1-RCN-G0</x:v>
      </x:c>
      <x:c r="C1178" s="9" t="str">
        <x:v>AR-ET-A-A-TECH-1-B1-RCN-G0</x:v>
      </x:c>
      <x:c r="D1178" s="9" t="str">
        <x:v>ET-A-A-TECH-1</x:v>
      </x:c>
      <x:c r="E1178" s="9" t="str">
        <x:v>ET-A-A</x:v>
      </x:c>
      <x:c r="F1178" s="9" t="str">
        <x:v>B1</x:v>
      </x:c>
      <x:c r="G1178" s="9" t="str">
        <x:v>RCN</x:v>
      </x:c>
      <x:c r="H1178" s="9" t="str">
        <x:v>OG08</x:v>
      </x:c>
      <x:c r="I1178" s="17" t="str">
        <x:v>Environment and boundary</x:v>
      </x:c>
      <x:c r="J1178" s="17" t="str">
        <x:v>registered weather, water, ground, inlet and outlet states are retained</x:v>
      </x:c>
      <x:c r="K1178" s="17" t="str">
        <x:v>Boundary court</x:v>
      </x:c>
      <x:c r="L1178" s="9" t="n">
        <x:v>0</x:v>
      </x:c>
      <x:c r="M1178" s="9" t="n">
        <x:v>0</x:v>
      </x:c>
      <x:c r="N1178" s="9" t="str">
        <x:v>OPEN / UNACCEPTED</x:v>
      </x:c>
      <x:c r="O1178" s="9" t="n">
        <x:f>COUNTIFS($A$7:$A$1734,A1178)</x:f>
        <x:v>1</x:v>
      </x:c>
    </x:row>
    <x:row r="1179">
      <x:c r="A1179" s="9" t="str">
        <x:v>EV-AR-ET-A-A-TECH-1-B1-RCN-G0-OG09</x:v>
      </x:c>
      <x:c r="B1179" s="9" t="str">
        <x:v>EV-AR-ET-A-A-TECH-1-B1-RCN-G0</x:v>
      </x:c>
      <x:c r="C1179" s="9" t="str">
        <x:v>AR-ET-A-A-TECH-1-B1-RCN-G0</x:v>
      </x:c>
      <x:c r="D1179" s="9" t="str">
        <x:v>ET-A-A-TECH-1</x:v>
      </x:c>
      <x:c r="E1179" s="9" t="str">
        <x:v>ET-A-A</x:v>
      </x:c>
      <x:c r="F1179" s="9" t="str">
        <x:v>B1</x:v>
      </x:c>
      <x:c r="G1179" s="9" t="str">
        <x:v>RCN</x:v>
      </x:c>
      <x:c r="H1179" s="9" t="str">
        <x:v>OG09</x:v>
      </x:c>
      <x:c r="I1179" s="17" t="str">
        <x:v>Intervention account</x:v>
      </x:c>
      <x:c r="J1179" s="17" t="str">
        <x:v>all stop, rescue, operator and public-protection actions remain timestamped</x:v>
      </x:c>
      <x:c r="K1179" s="17" t="str">
        <x:v>Safety record court</x:v>
      </x:c>
      <x:c r="L1179" s="9" t="n">
        <x:v>0</x:v>
      </x:c>
      <x:c r="M1179" s="9" t="n">
        <x:v>0</x:v>
      </x:c>
      <x:c r="N1179" s="9" t="str">
        <x:v>OPEN / UNACCEPTED</x:v>
      </x:c>
      <x:c r="O1179" s="9" t="n">
        <x:f>COUNTIFS($A$7:$A$1734,A1179)</x:f>
        <x:v>1</x:v>
      </x:c>
    </x:row>
    <x:row r="1180">
      <x:c r="A1180" s="9" t="str">
        <x:v>EV-AR-ET-A-A-TECH-1-B1-RCN-G0-OG10</x:v>
      </x:c>
      <x:c r="B1180" s="9" t="str">
        <x:v>EV-AR-ET-A-A-TECH-1-B1-RCN-G0</x:v>
      </x:c>
      <x:c r="C1180" s="9" t="str">
        <x:v>AR-ET-A-A-TECH-1-B1-RCN-G0</x:v>
      </x:c>
      <x:c r="D1180" s="9" t="str">
        <x:v>ET-A-A-TECH-1</x:v>
      </x:c>
      <x:c r="E1180" s="9" t="str">
        <x:v>ET-A-A</x:v>
      </x:c>
      <x:c r="F1180" s="9" t="str">
        <x:v>B1</x:v>
      </x:c>
      <x:c r="G1180" s="9" t="str">
        <x:v>RCN</x:v>
      </x:c>
      <x:c r="H1180" s="9" t="str">
        <x:v>OG10</x:v>
      </x:c>
      <x:c r="I1180" s="17" t="str">
        <x:v>Uncertainty statement</x:v>
      </x:c>
      <x:c r="J1180" s="17" t="str">
        <x:v>range, censoring, resolution and correlation are declared before judgment</x:v>
      </x:c>
      <x:c r="K1180" s="17" t="str">
        <x:v>Uncertainty authority</x:v>
      </x:c>
      <x:c r="L1180" s="9" t="n">
        <x:v>0</x:v>
      </x:c>
      <x:c r="M1180" s="9" t="n">
        <x:v>0</x:v>
      </x:c>
      <x:c r="N1180" s="9" t="str">
        <x:v>OPEN / UNACCEPTED</x:v>
      </x:c>
      <x:c r="O1180" s="9" t="n">
        <x:f>COUNTIFS($A$7:$A$1734,A1180)</x:f>
        <x:v>1</x:v>
      </x:c>
    </x:row>
    <x:row r="1181">
      <x:c r="A1181" s="9" t="str">
        <x:v>EV-AR-ET-A-A-TECH-1-B1-RCN-G0-OG11</x:v>
      </x:c>
      <x:c r="B1181" s="9" t="str">
        <x:v>EV-AR-ET-A-A-TECH-1-B1-RCN-G0</x:v>
      </x:c>
      <x:c r="C1181" s="9" t="str">
        <x:v>AR-ET-A-A-TECH-1-B1-RCN-G0</x:v>
      </x:c>
      <x:c r="D1181" s="9" t="str">
        <x:v>ET-A-A-TECH-1</x:v>
      </x:c>
      <x:c r="E1181" s="9" t="str">
        <x:v>ET-A-A</x:v>
      </x:c>
      <x:c r="F1181" s="9" t="str">
        <x:v>B1</x:v>
      </x:c>
      <x:c r="G1181" s="9" t="str">
        <x:v>RCN</x:v>
      </x:c>
      <x:c r="H1181" s="9" t="str">
        <x:v>OG11</x:v>
      </x:c>
      <x:c r="I1181" s="17" t="str">
        <x:v>Contradiction preservation</x:v>
      </x:c>
      <x:c r="J1181" s="17" t="str">
        <x:v>primary-witness disagreement remains explicit and is never averaged away</x:v>
      </x:c>
      <x:c r="K1181" s="17" t="str">
        <x:v>Dissent registrar</x:v>
      </x:c>
      <x:c r="L1181" s="9" t="n">
        <x:v>0</x:v>
      </x:c>
      <x:c r="M1181" s="9" t="n">
        <x:v>0</x:v>
      </x:c>
      <x:c r="N1181" s="9" t="str">
        <x:v>OPEN / UNACCEPTED</x:v>
      </x:c>
      <x:c r="O1181" s="9" t="n">
        <x:f>COUNTIFS($A$7:$A$1734,A1181)</x:f>
        <x:v>1</x:v>
      </x:c>
    </x:row>
    <x:row r="1182">
      <x:c r="A1182" s="9" t="str">
        <x:v>EV-AR-ET-A-A-TECH-1-B1-RCN-G0-OG12</x:v>
      </x:c>
      <x:c r="B1182" s="9" t="str">
        <x:v>EV-AR-ET-A-A-TECH-1-B1-RCN-G0</x:v>
      </x:c>
      <x:c r="C1182" s="9" t="str">
        <x:v>AR-ET-A-A-TECH-1-B1-RCN-G0</x:v>
      </x:c>
      <x:c r="D1182" s="9" t="str">
        <x:v>ET-A-A-TECH-1</x:v>
      </x:c>
      <x:c r="E1182" s="9" t="str">
        <x:v>ET-A-A</x:v>
      </x:c>
      <x:c r="F1182" s="9" t="str">
        <x:v>B1</x:v>
      </x:c>
      <x:c r="G1182" s="9" t="str">
        <x:v>RCN</x:v>
      </x:c>
      <x:c r="H1182" s="9" t="str">
        <x:v>OG12</x:v>
      </x:c>
      <x:c r="I1182" s="17" t="str">
        <x:v>Independent replay</x:v>
      </x:c>
      <x:c r="J1182" s="17" t="str">
        <x:v>a separated reader reconstructs the registered observables from sealed originals</x:v>
      </x:c>
      <x:c r="K1182" s="17" t="str">
        <x:v>Replay court</x:v>
      </x:c>
      <x:c r="L1182" s="9" t="n">
        <x:v>0</x:v>
      </x:c>
      <x:c r="M1182" s="9" t="n">
        <x:v>0</x:v>
      </x:c>
      <x:c r="N1182" s="9" t="str">
        <x:v>OPEN / UNACCEPTED</x:v>
      </x:c>
      <x:c r="O1182" s="9" t="n">
        <x:f>COUNTIFS($A$7:$A$1734,A1182)</x:f>
        <x:v>1</x:v>
      </x:c>
    </x:row>
    <x:row r="1183">
      <x:c r="A1183" s="9" t="str">
        <x:v>EV-AR-HC-A-C-TECH-4-B2-RCN-G0-OG01</x:v>
      </x:c>
      <x:c r="B1183" s="9" t="str">
        <x:v>EV-AR-HC-A-C-TECH-4-B2-RCN-G0</x:v>
      </x:c>
      <x:c r="C1183" s="9" t="str">
        <x:v>AR-HC-A-C-TECH-4-B2-RCN-G0</x:v>
      </x:c>
      <x:c r="D1183" s="9" t="str">
        <x:v>HC-A-C-TECH-4</x:v>
      </x:c>
      <x:c r="E1183" s="9" t="str">
        <x:v>HC-A-C</x:v>
      </x:c>
      <x:c r="F1183" s="9" t="str">
        <x:v>B2</x:v>
      </x:c>
      <x:c r="G1183" s="9" t="str">
        <x:v>RCN</x:v>
      </x:c>
      <x:c r="H1183" s="9" t="str">
        <x:v>OG01</x:v>
      </x:c>
      <x:c r="I1183" s="17" t="str">
        <x:v>Serial and event identity</x:v>
      </x:c>
      <x:c r="J1183" s="17" t="str">
        <x:v>record resolves to the issued serial, generation and physical start</x:v>
      </x:c>
      <x:c r="K1183" s="17" t="str">
        <x:v>Observation court</x:v>
      </x:c>
      <x:c r="L1183" s="9" t="n">
        <x:v>0</x:v>
      </x:c>
      <x:c r="M1183" s="9" t="n">
        <x:v>0</x:v>
      </x:c>
      <x:c r="N1183" s="9" t="str">
        <x:v>OPEN / UNACCEPTED</x:v>
      </x:c>
      <x:c r="O1183" s="9" t="n">
        <x:f>COUNTIFS($A$7:$A$1734,A1183)</x:f>
        <x:v>1</x:v>
      </x:c>
    </x:row>
    <x:row r="1184">
      <x:c r="A1184" s="9" t="str">
        <x:v>EV-AR-HC-A-C-TECH-4-B2-RCN-G0-OG02</x:v>
      </x:c>
      <x:c r="B1184" s="9" t="str">
        <x:v>EV-AR-HC-A-C-TECH-4-B2-RCN-G0</x:v>
      </x:c>
      <x:c r="C1184" s="9" t="str">
        <x:v>AR-HC-A-C-TECH-4-B2-RCN-G0</x:v>
      </x:c>
      <x:c r="D1184" s="9" t="str">
        <x:v>HC-A-C-TECH-4</x:v>
      </x:c>
      <x:c r="E1184" s="9" t="str">
        <x:v>HC-A-C</x:v>
      </x:c>
      <x:c r="F1184" s="9" t="str">
        <x:v>B2</x:v>
      </x:c>
      <x:c r="G1184" s="9" t="str">
        <x:v>RCN</x:v>
      </x:c>
      <x:c r="H1184" s="9" t="str">
        <x:v>OG02</x:v>
      </x:c>
      <x:c r="I1184" s="17" t="str">
        <x:v>Time ancestry</x:v>
      </x:c>
      <x:c r="J1184" s="17" t="str">
        <x:v>primary, witness and public event clocks retain declared offsets and drift</x:v>
      </x:c>
      <x:c r="K1184" s="17" t="str">
        <x:v>Time authority</x:v>
      </x:c>
      <x:c r="L1184" s="9" t="n">
        <x:v>0</x:v>
      </x:c>
      <x:c r="M1184" s="9" t="n">
        <x:v>0</x:v>
      </x:c>
      <x:c r="N1184" s="9" t="str">
        <x:v>OPEN / UNACCEPTED</x:v>
      </x:c>
      <x:c r="O1184" s="9" t="n">
        <x:f>COUNTIFS($A$7:$A$1734,A1184)</x:f>
        <x:v>1</x:v>
      </x:c>
    </x:row>
    <x:row r="1185">
      <x:c r="A1185" s="9" t="str">
        <x:v>EV-AR-HC-A-C-TECH-4-B2-RCN-G0-OG03</x:v>
      </x:c>
      <x:c r="B1185" s="9" t="str">
        <x:v>EV-AR-HC-A-C-TECH-4-B2-RCN-G0</x:v>
      </x:c>
      <x:c r="C1185" s="9" t="str">
        <x:v>AR-HC-A-C-TECH-4-B2-RCN-G0</x:v>
      </x:c>
      <x:c r="D1185" s="9" t="str">
        <x:v>HC-A-C-TECH-4</x:v>
      </x:c>
      <x:c r="E1185" s="9" t="str">
        <x:v>HC-A-C</x:v>
      </x:c>
      <x:c r="F1185" s="9" t="str">
        <x:v>B2</x:v>
      </x:c>
      <x:c r="G1185" s="9" t="str">
        <x:v>RCN</x:v>
      </x:c>
      <x:c r="H1185" s="9" t="str">
        <x:v>OG03</x:v>
      </x:c>
      <x:c r="I1185" s="17" t="str">
        <x:v>Calibration ancestry</x:v>
      </x:c>
      <x:c r="J1185" s="17" t="str">
        <x:v>all reference, range and uncertainty states cover the live interval</x:v>
      </x:c>
      <x:c r="K1185" s="17" t="str">
        <x:v>Metrology courts</x:v>
      </x:c>
      <x:c r="L1185" s="9" t="n">
        <x:v>0</x:v>
      </x:c>
      <x:c r="M1185" s="9" t="n">
        <x:v>0</x:v>
      </x:c>
      <x:c r="N1185" s="9" t="str">
        <x:v>OPEN / UNACCEPTED</x:v>
      </x:c>
      <x:c r="O1185" s="9" t="n">
        <x:f>COUNTIFS($A$7:$A$1734,A1185)</x:f>
        <x:v>1</x:v>
      </x:c>
    </x:row>
    <x:row r="1186">
      <x:c r="A1186" s="9" t="str">
        <x:v>EV-AR-HC-A-C-TECH-4-B2-RCN-G0-OG04</x:v>
      </x:c>
      <x:c r="B1186" s="9" t="str">
        <x:v>EV-AR-HC-A-C-TECH-4-B2-RCN-G0</x:v>
      </x:c>
      <x:c r="C1186" s="9" t="str">
        <x:v>AR-HC-A-C-TECH-4-B2-RCN-G0</x:v>
      </x:c>
      <x:c r="D1186" s="9" t="str">
        <x:v>HC-A-C-TECH-4</x:v>
      </x:c>
      <x:c r="E1186" s="9" t="str">
        <x:v>HC-A-C</x:v>
      </x:c>
      <x:c r="F1186" s="9" t="str">
        <x:v>B2</x:v>
      </x:c>
      <x:c r="G1186" s="9" t="str">
        <x:v>RCN</x:v>
      </x:c>
      <x:c r="H1186" s="9" t="str">
        <x:v>OG04</x:v>
      </x:c>
      <x:c r="I1186" s="17" t="str">
        <x:v>Raw completeness</x:v>
      </x:c>
      <x:c r="J1186" s="17" t="str">
        <x:v>missingness is enumerated without imputation or outcome-conditioned deletion</x:v>
      </x:c>
      <x:c r="K1186" s="17" t="str">
        <x:v>Observation court</x:v>
      </x:c>
      <x:c r="L1186" s="9" t="n">
        <x:v>0</x:v>
      </x:c>
      <x:c r="M1186" s="9" t="n">
        <x:v>0</x:v>
      </x:c>
      <x:c r="N1186" s="9" t="str">
        <x:v>OPEN / UNACCEPTED</x:v>
      </x:c>
      <x:c r="O1186" s="9" t="n">
        <x:f>COUNTIFS($A$7:$A$1734,A1186)</x:f>
        <x:v>1</x:v>
      </x:c>
    </x:row>
    <x:row r="1187">
      <x:c r="A1187" s="9" t="str">
        <x:v>EV-AR-HC-A-C-TECH-4-B2-RCN-G0-OG05</x:v>
      </x:c>
      <x:c r="B1187" s="9" t="str">
        <x:v>EV-AR-HC-A-C-TECH-4-B2-RCN-G0</x:v>
      </x:c>
      <x:c r="C1187" s="9" t="str">
        <x:v>AR-HC-A-C-TECH-4-B2-RCN-G0</x:v>
      </x:c>
      <x:c r="D1187" s="9" t="str">
        <x:v>HC-A-C-TECH-4</x:v>
      </x:c>
      <x:c r="E1187" s="9" t="str">
        <x:v>HC-A-C</x:v>
      </x:c>
      <x:c r="F1187" s="9" t="str">
        <x:v>B2</x:v>
      </x:c>
      <x:c r="G1187" s="9" t="str">
        <x:v>RCN</x:v>
      </x:c>
      <x:c r="H1187" s="9" t="str">
        <x:v>OG05</x:v>
      </x:c>
      <x:c r="I1187" s="17" t="str">
        <x:v>Primary provenance</x:v>
      </x:c>
      <x:c r="J1187" s="17" t="str">
        <x:v>primary originals, hashes, keys and access history reconcile</x:v>
      </x:c>
      <x:c r="K1187" s="17" t="str">
        <x:v>Primary custody</x:v>
      </x:c>
      <x:c r="L1187" s="9" t="n">
        <x:v>0</x:v>
      </x:c>
      <x:c r="M1187" s="9" t="n">
        <x:v>0</x:v>
      </x:c>
      <x:c r="N1187" s="9" t="str">
        <x:v>OPEN / UNACCEPTED</x:v>
      </x:c>
      <x:c r="O1187" s="9" t="n">
        <x:f>COUNTIFS($A$7:$A$1734,A1187)</x:f>
        <x:v>1</x:v>
      </x:c>
    </x:row>
    <x:row r="1188">
      <x:c r="A1188" s="9" t="str">
        <x:v>EV-AR-HC-A-C-TECH-4-B2-RCN-G0-OG06</x:v>
      </x:c>
      <x:c r="B1188" s="9" t="str">
        <x:v>EV-AR-HC-A-C-TECH-4-B2-RCN-G0</x:v>
      </x:c>
      <x:c r="C1188" s="9" t="str">
        <x:v>AR-HC-A-C-TECH-4-B2-RCN-G0</x:v>
      </x:c>
      <x:c r="D1188" s="9" t="str">
        <x:v>HC-A-C-TECH-4</x:v>
      </x:c>
      <x:c r="E1188" s="9" t="str">
        <x:v>HC-A-C</x:v>
      </x:c>
      <x:c r="F1188" s="9" t="str">
        <x:v>B2</x:v>
      </x:c>
      <x:c r="G1188" s="9" t="str">
        <x:v>RCN</x:v>
      </x:c>
      <x:c r="H1188" s="9" t="str">
        <x:v>OG06</x:v>
      </x:c>
      <x:c r="I1188" s="17" t="str">
        <x:v>Witness provenance</x:v>
      </x:c>
      <x:c r="J1188" s="17" t="str">
        <x:v>unlike witness originals, hashes, keys and access history reconcile</x:v>
      </x:c>
      <x:c r="K1188" s="17" t="str">
        <x:v>Witness custody</x:v>
      </x:c>
      <x:c r="L1188" s="9" t="n">
        <x:v>0</x:v>
      </x:c>
      <x:c r="M1188" s="9" t="n">
        <x:v>0</x:v>
      </x:c>
      <x:c r="N1188" s="9" t="str">
        <x:v>OPEN / UNACCEPTED</x:v>
      </x:c>
      <x:c r="O1188" s="9" t="n">
        <x:f>COUNTIFS($A$7:$A$1734,A1188)</x:f>
        <x:v>1</x:v>
      </x:c>
    </x:row>
    <x:row r="1189">
      <x:c r="A1189" s="9" t="str">
        <x:v>EV-AR-HC-A-C-TECH-4-B2-RCN-G0-OG07</x:v>
      </x:c>
      <x:c r="B1189" s="9" t="str">
        <x:v>EV-AR-HC-A-C-TECH-4-B2-RCN-G0</x:v>
      </x:c>
      <x:c r="C1189" s="9" t="str">
        <x:v>AR-HC-A-C-TECH-4-B2-RCN-G0</x:v>
      </x:c>
      <x:c r="D1189" s="9" t="str">
        <x:v>HC-A-C-TECH-4</x:v>
      </x:c>
      <x:c r="E1189" s="9" t="str">
        <x:v>HC-A-C</x:v>
      </x:c>
      <x:c r="F1189" s="9" t="str">
        <x:v>B2</x:v>
      </x:c>
      <x:c r="G1189" s="9" t="str">
        <x:v>RCN</x:v>
      </x:c>
      <x:c r="H1189" s="9" t="str">
        <x:v>OG07</x:v>
      </x:c>
      <x:c r="I1189" s="17" t="str">
        <x:v>Receiver denominator</x:v>
      </x:c>
      <x:c r="J1189" s="17" t="str">
        <x:v>population, quantity, duration and exclusions match the frozen receipt</x:v>
      </x:c>
      <x:c r="K1189" s="17" t="str">
        <x:v>Receiver court</x:v>
      </x:c>
      <x:c r="L1189" s="9" t="n">
        <x:v>0</x:v>
      </x:c>
      <x:c r="M1189" s="9" t="n">
        <x:v>0</x:v>
      </x:c>
      <x:c r="N1189" s="9" t="str">
        <x:v>OPEN / UNACCEPTED</x:v>
      </x:c>
      <x:c r="O1189" s="9" t="n">
        <x:f>COUNTIFS($A$7:$A$1734,A1189)</x:f>
        <x:v>1</x:v>
      </x:c>
    </x:row>
    <x:row r="1190">
      <x:c r="A1190" s="9" t="str">
        <x:v>EV-AR-HC-A-C-TECH-4-B2-RCN-G0-OG08</x:v>
      </x:c>
      <x:c r="B1190" s="9" t="str">
        <x:v>EV-AR-HC-A-C-TECH-4-B2-RCN-G0</x:v>
      </x:c>
      <x:c r="C1190" s="9" t="str">
        <x:v>AR-HC-A-C-TECH-4-B2-RCN-G0</x:v>
      </x:c>
      <x:c r="D1190" s="9" t="str">
        <x:v>HC-A-C-TECH-4</x:v>
      </x:c>
      <x:c r="E1190" s="9" t="str">
        <x:v>HC-A-C</x:v>
      </x:c>
      <x:c r="F1190" s="9" t="str">
        <x:v>B2</x:v>
      </x:c>
      <x:c r="G1190" s="9" t="str">
        <x:v>RCN</x:v>
      </x:c>
      <x:c r="H1190" s="9" t="str">
        <x:v>OG08</x:v>
      </x:c>
      <x:c r="I1190" s="17" t="str">
        <x:v>Environment and boundary</x:v>
      </x:c>
      <x:c r="J1190" s="17" t="str">
        <x:v>registered weather, water, ground, inlet and outlet states are retained</x:v>
      </x:c>
      <x:c r="K1190" s="17" t="str">
        <x:v>Boundary court</x:v>
      </x:c>
      <x:c r="L1190" s="9" t="n">
        <x:v>0</x:v>
      </x:c>
      <x:c r="M1190" s="9" t="n">
        <x:v>0</x:v>
      </x:c>
      <x:c r="N1190" s="9" t="str">
        <x:v>OPEN / UNACCEPTED</x:v>
      </x:c>
      <x:c r="O1190" s="9" t="n">
        <x:f>COUNTIFS($A$7:$A$1734,A1190)</x:f>
        <x:v>1</x:v>
      </x:c>
    </x:row>
    <x:row r="1191">
      <x:c r="A1191" s="9" t="str">
        <x:v>EV-AR-HC-A-C-TECH-4-B2-RCN-G0-OG09</x:v>
      </x:c>
      <x:c r="B1191" s="9" t="str">
        <x:v>EV-AR-HC-A-C-TECH-4-B2-RCN-G0</x:v>
      </x:c>
      <x:c r="C1191" s="9" t="str">
        <x:v>AR-HC-A-C-TECH-4-B2-RCN-G0</x:v>
      </x:c>
      <x:c r="D1191" s="9" t="str">
        <x:v>HC-A-C-TECH-4</x:v>
      </x:c>
      <x:c r="E1191" s="9" t="str">
        <x:v>HC-A-C</x:v>
      </x:c>
      <x:c r="F1191" s="9" t="str">
        <x:v>B2</x:v>
      </x:c>
      <x:c r="G1191" s="9" t="str">
        <x:v>RCN</x:v>
      </x:c>
      <x:c r="H1191" s="9" t="str">
        <x:v>OG09</x:v>
      </x:c>
      <x:c r="I1191" s="17" t="str">
        <x:v>Intervention account</x:v>
      </x:c>
      <x:c r="J1191" s="17" t="str">
        <x:v>all stop, rescue, operator and public-protection actions remain timestamped</x:v>
      </x:c>
      <x:c r="K1191" s="17" t="str">
        <x:v>Safety record court</x:v>
      </x:c>
      <x:c r="L1191" s="9" t="n">
        <x:v>0</x:v>
      </x:c>
      <x:c r="M1191" s="9" t="n">
        <x:v>0</x:v>
      </x:c>
      <x:c r="N1191" s="9" t="str">
        <x:v>OPEN / UNACCEPTED</x:v>
      </x:c>
      <x:c r="O1191" s="9" t="n">
        <x:f>COUNTIFS($A$7:$A$1734,A1191)</x:f>
        <x:v>1</x:v>
      </x:c>
    </x:row>
    <x:row r="1192">
      <x:c r="A1192" s="9" t="str">
        <x:v>EV-AR-HC-A-C-TECH-4-B2-RCN-G0-OG10</x:v>
      </x:c>
      <x:c r="B1192" s="9" t="str">
        <x:v>EV-AR-HC-A-C-TECH-4-B2-RCN-G0</x:v>
      </x:c>
      <x:c r="C1192" s="9" t="str">
        <x:v>AR-HC-A-C-TECH-4-B2-RCN-G0</x:v>
      </x:c>
      <x:c r="D1192" s="9" t="str">
        <x:v>HC-A-C-TECH-4</x:v>
      </x:c>
      <x:c r="E1192" s="9" t="str">
        <x:v>HC-A-C</x:v>
      </x:c>
      <x:c r="F1192" s="9" t="str">
        <x:v>B2</x:v>
      </x:c>
      <x:c r="G1192" s="9" t="str">
        <x:v>RCN</x:v>
      </x:c>
      <x:c r="H1192" s="9" t="str">
        <x:v>OG10</x:v>
      </x:c>
      <x:c r="I1192" s="17" t="str">
        <x:v>Uncertainty statement</x:v>
      </x:c>
      <x:c r="J1192" s="17" t="str">
        <x:v>range, censoring, resolution and correlation are declared before judgment</x:v>
      </x:c>
      <x:c r="K1192" s="17" t="str">
        <x:v>Uncertainty authority</x:v>
      </x:c>
      <x:c r="L1192" s="9" t="n">
        <x:v>0</x:v>
      </x:c>
      <x:c r="M1192" s="9" t="n">
        <x:v>0</x:v>
      </x:c>
      <x:c r="N1192" s="9" t="str">
        <x:v>OPEN / UNACCEPTED</x:v>
      </x:c>
      <x:c r="O1192" s="9" t="n">
        <x:f>COUNTIFS($A$7:$A$1734,A1192)</x:f>
        <x:v>1</x:v>
      </x:c>
    </x:row>
    <x:row r="1193">
      <x:c r="A1193" s="9" t="str">
        <x:v>EV-AR-HC-A-C-TECH-4-B2-RCN-G0-OG11</x:v>
      </x:c>
      <x:c r="B1193" s="9" t="str">
        <x:v>EV-AR-HC-A-C-TECH-4-B2-RCN-G0</x:v>
      </x:c>
      <x:c r="C1193" s="9" t="str">
        <x:v>AR-HC-A-C-TECH-4-B2-RCN-G0</x:v>
      </x:c>
      <x:c r="D1193" s="9" t="str">
        <x:v>HC-A-C-TECH-4</x:v>
      </x:c>
      <x:c r="E1193" s="9" t="str">
        <x:v>HC-A-C</x:v>
      </x:c>
      <x:c r="F1193" s="9" t="str">
        <x:v>B2</x:v>
      </x:c>
      <x:c r="G1193" s="9" t="str">
        <x:v>RCN</x:v>
      </x:c>
      <x:c r="H1193" s="9" t="str">
        <x:v>OG11</x:v>
      </x:c>
      <x:c r="I1193" s="17" t="str">
        <x:v>Contradiction preservation</x:v>
      </x:c>
      <x:c r="J1193" s="17" t="str">
        <x:v>primary-witness disagreement remains explicit and is never averaged away</x:v>
      </x:c>
      <x:c r="K1193" s="17" t="str">
        <x:v>Dissent registrar</x:v>
      </x:c>
      <x:c r="L1193" s="9" t="n">
        <x:v>0</x:v>
      </x:c>
      <x:c r="M1193" s="9" t="n">
        <x:v>0</x:v>
      </x:c>
      <x:c r="N1193" s="9" t="str">
        <x:v>OPEN / UNACCEPTED</x:v>
      </x:c>
      <x:c r="O1193" s="9" t="n">
        <x:f>COUNTIFS($A$7:$A$1734,A1193)</x:f>
        <x:v>1</x:v>
      </x:c>
    </x:row>
    <x:row r="1194">
      <x:c r="A1194" s="9" t="str">
        <x:v>EV-AR-HC-A-C-TECH-4-B2-RCN-G0-OG12</x:v>
      </x:c>
      <x:c r="B1194" s="9" t="str">
        <x:v>EV-AR-HC-A-C-TECH-4-B2-RCN-G0</x:v>
      </x:c>
      <x:c r="C1194" s="9" t="str">
        <x:v>AR-HC-A-C-TECH-4-B2-RCN-G0</x:v>
      </x:c>
      <x:c r="D1194" s="9" t="str">
        <x:v>HC-A-C-TECH-4</x:v>
      </x:c>
      <x:c r="E1194" s="9" t="str">
        <x:v>HC-A-C</x:v>
      </x:c>
      <x:c r="F1194" s="9" t="str">
        <x:v>B2</x:v>
      </x:c>
      <x:c r="G1194" s="9" t="str">
        <x:v>RCN</x:v>
      </x:c>
      <x:c r="H1194" s="9" t="str">
        <x:v>OG12</x:v>
      </x:c>
      <x:c r="I1194" s="17" t="str">
        <x:v>Independent replay</x:v>
      </x:c>
      <x:c r="J1194" s="17" t="str">
        <x:v>a separated reader reconstructs the registered observables from sealed originals</x:v>
      </x:c>
      <x:c r="K1194" s="17" t="str">
        <x:v>Replay court</x:v>
      </x:c>
      <x:c r="L1194" s="9" t="n">
        <x:v>0</x:v>
      </x:c>
      <x:c r="M1194" s="9" t="n">
        <x:v>0</x:v>
      </x:c>
      <x:c r="N1194" s="9" t="str">
        <x:v>OPEN / UNACCEPTED</x:v>
      </x:c>
      <x:c r="O1194" s="9" t="n">
        <x:f>COUNTIFS($A$7:$A$1734,A1194)</x:f>
        <x:v>1</x:v>
      </x:c>
    </x:row>
    <x:row r="1195">
      <x:c r="A1195" s="9" t="str">
        <x:v>EV-AR-HC-A-C-TECH-2-B2-INT-G0-OG01</x:v>
      </x:c>
      <x:c r="B1195" s="9" t="str">
        <x:v>EV-AR-HC-A-C-TECH-2-B2-INT-G0</x:v>
      </x:c>
      <x:c r="C1195" s="9" t="str">
        <x:v>AR-HC-A-C-TECH-2-B2-INT-G0</x:v>
      </x:c>
      <x:c r="D1195" s="9" t="str">
        <x:v>HC-A-C-TECH-2</x:v>
      </x:c>
      <x:c r="E1195" s="9" t="str">
        <x:v>HC-A-C</x:v>
      </x:c>
      <x:c r="F1195" s="9" t="str">
        <x:v>B2</x:v>
      </x:c>
      <x:c r="G1195" s="9" t="str">
        <x:v>INT</x:v>
      </x:c>
      <x:c r="H1195" s="9" t="str">
        <x:v>OG01</x:v>
      </x:c>
      <x:c r="I1195" s="17" t="str">
        <x:v>Serial and event identity</x:v>
      </x:c>
      <x:c r="J1195" s="17" t="str">
        <x:v>record resolves to the issued serial, generation and physical start</x:v>
      </x:c>
      <x:c r="K1195" s="17" t="str">
        <x:v>Observation court</x:v>
      </x:c>
      <x:c r="L1195" s="9" t="n">
        <x:v>0</x:v>
      </x:c>
      <x:c r="M1195" s="9" t="n">
        <x:v>0</x:v>
      </x:c>
      <x:c r="N1195" s="9" t="str">
        <x:v>OPEN / UNACCEPTED</x:v>
      </x:c>
      <x:c r="O1195" s="9" t="n">
        <x:f>COUNTIFS($A$7:$A$1734,A1195)</x:f>
        <x:v>1</x:v>
      </x:c>
    </x:row>
    <x:row r="1196">
      <x:c r="A1196" s="9" t="str">
        <x:v>EV-AR-HC-A-C-TECH-2-B2-INT-G0-OG02</x:v>
      </x:c>
      <x:c r="B1196" s="9" t="str">
        <x:v>EV-AR-HC-A-C-TECH-2-B2-INT-G0</x:v>
      </x:c>
      <x:c r="C1196" s="9" t="str">
        <x:v>AR-HC-A-C-TECH-2-B2-INT-G0</x:v>
      </x:c>
      <x:c r="D1196" s="9" t="str">
        <x:v>HC-A-C-TECH-2</x:v>
      </x:c>
      <x:c r="E1196" s="9" t="str">
        <x:v>HC-A-C</x:v>
      </x:c>
      <x:c r="F1196" s="9" t="str">
        <x:v>B2</x:v>
      </x:c>
      <x:c r="G1196" s="9" t="str">
        <x:v>INT</x:v>
      </x:c>
      <x:c r="H1196" s="9" t="str">
        <x:v>OG02</x:v>
      </x:c>
      <x:c r="I1196" s="17" t="str">
        <x:v>Time ancestry</x:v>
      </x:c>
      <x:c r="J1196" s="17" t="str">
        <x:v>primary, witness and public event clocks retain declared offsets and drift</x:v>
      </x:c>
      <x:c r="K1196" s="17" t="str">
        <x:v>Time authority</x:v>
      </x:c>
      <x:c r="L1196" s="9" t="n">
        <x:v>0</x:v>
      </x:c>
      <x:c r="M1196" s="9" t="n">
        <x:v>0</x:v>
      </x:c>
      <x:c r="N1196" s="9" t="str">
        <x:v>OPEN / UNACCEPTED</x:v>
      </x:c>
      <x:c r="O1196" s="9" t="n">
        <x:f>COUNTIFS($A$7:$A$1734,A1196)</x:f>
        <x:v>1</x:v>
      </x:c>
    </x:row>
    <x:row r="1197">
      <x:c r="A1197" s="9" t="str">
        <x:v>EV-AR-HC-A-C-TECH-2-B2-INT-G0-OG03</x:v>
      </x:c>
      <x:c r="B1197" s="9" t="str">
        <x:v>EV-AR-HC-A-C-TECH-2-B2-INT-G0</x:v>
      </x:c>
      <x:c r="C1197" s="9" t="str">
        <x:v>AR-HC-A-C-TECH-2-B2-INT-G0</x:v>
      </x:c>
      <x:c r="D1197" s="9" t="str">
        <x:v>HC-A-C-TECH-2</x:v>
      </x:c>
      <x:c r="E1197" s="9" t="str">
        <x:v>HC-A-C</x:v>
      </x:c>
      <x:c r="F1197" s="9" t="str">
        <x:v>B2</x:v>
      </x:c>
      <x:c r="G1197" s="9" t="str">
        <x:v>INT</x:v>
      </x:c>
      <x:c r="H1197" s="9" t="str">
        <x:v>OG03</x:v>
      </x:c>
      <x:c r="I1197" s="17" t="str">
        <x:v>Calibration ancestry</x:v>
      </x:c>
      <x:c r="J1197" s="17" t="str">
        <x:v>all reference, range and uncertainty states cover the live interval</x:v>
      </x:c>
      <x:c r="K1197" s="17" t="str">
        <x:v>Metrology courts</x:v>
      </x:c>
      <x:c r="L1197" s="9" t="n">
        <x:v>0</x:v>
      </x:c>
      <x:c r="M1197" s="9" t="n">
        <x:v>0</x:v>
      </x:c>
      <x:c r="N1197" s="9" t="str">
        <x:v>OPEN / UNACCEPTED</x:v>
      </x:c>
      <x:c r="O1197" s="9" t="n">
        <x:f>COUNTIFS($A$7:$A$1734,A1197)</x:f>
        <x:v>1</x:v>
      </x:c>
    </x:row>
    <x:row r="1198">
      <x:c r="A1198" s="9" t="str">
        <x:v>EV-AR-HC-A-C-TECH-2-B2-INT-G0-OG04</x:v>
      </x:c>
      <x:c r="B1198" s="9" t="str">
        <x:v>EV-AR-HC-A-C-TECH-2-B2-INT-G0</x:v>
      </x:c>
      <x:c r="C1198" s="9" t="str">
        <x:v>AR-HC-A-C-TECH-2-B2-INT-G0</x:v>
      </x:c>
      <x:c r="D1198" s="9" t="str">
        <x:v>HC-A-C-TECH-2</x:v>
      </x:c>
      <x:c r="E1198" s="9" t="str">
        <x:v>HC-A-C</x:v>
      </x:c>
      <x:c r="F1198" s="9" t="str">
        <x:v>B2</x:v>
      </x:c>
      <x:c r="G1198" s="9" t="str">
        <x:v>INT</x:v>
      </x:c>
      <x:c r="H1198" s="9" t="str">
        <x:v>OG04</x:v>
      </x:c>
      <x:c r="I1198" s="17" t="str">
        <x:v>Raw completeness</x:v>
      </x:c>
      <x:c r="J1198" s="17" t="str">
        <x:v>missingness is enumerated without imputation or outcome-conditioned deletion</x:v>
      </x:c>
      <x:c r="K1198" s="17" t="str">
        <x:v>Observation court</x:v>
      </x:c>
      <x:c r="L1198" s="9" t="n">
        <x:v>0</x:v>
      </x:c>
      <x:c r="M1198" s="9" t="n">
        <x:v>0</x:v>
      </x:c>
      <x:c r="N1198" s="9" t="str">
        <x:v>OPEN / UNACCEPTED</x:v>
      </x:c>
      <x:c r="O1198" s="9" t="n">
        <x:f>COUNTIFS($A$7:$A$1734,A1198)</x:f>
        <x:v>1</x:v>
      </x:c>
    </x:row>
    <x:row r="1199">
      <x:c r="A1199" s="9" t="str">
        <x:v>EV-AR-HC-A-C-TECH-2-B2-INT-G0-OG05</x:v>
      </x:c>
      <x:c r="B1199" s="9" t="str">
        <x:v>EV-AR-HC-A-C-TECH-2-B2-INT-G0</x:v>
      </x:c>
      <x:c r="C1199" s="9" t="str">
        <x:v>AR-HC-A-C-TECH-2-B2-INT-G0</x:v>
      </x:c>
      <x:c r="D1199" s="9" t="str">
        <x:v>HC-A-C-TECH-2</x:v>
      </x:c>
      <x:c r="E1199" s="9" t="str">
        <x:v>HC-A-C</x:v>
      </x:c>
      <x:c r="F1199" s="9" t="str">
        <x:v>B2</x:v>
      </x:c>
      <x:c r="G1199" s="9" t="str">
        <x:v>INT</x:v>
      </x:c>
      <x:c r="H1199" s="9" t="str">
        <x:v>OG05</x:v>
      </x:c>
      <x:c r="I1199" s="17" t="str">
        <x:v>Primary provenance</x:v>
      </x:c>
      <x:c r="J1199" s="17" t="str">
        <x:v>primary originals, hashes, keys and access history reconcile</x:v>
      </x:c>
      <x:c r="K1199" s="17" t="str">
        <x:v>Primary custody</x:v>
      </x:c>
      <x:c r="L1199" s="9" t="n">
        <x:v>0</x:v>
      </x:c>
      <x:c r="M1199" s="9" t="n">
        <x:v>0</x:v>
      </x:c>
      <x:c r="N1199" s="9" t="str">
        <x:v>OPEN / UNACCEPTED</x:v>
      </x:c>
      <x:c r="O1199" s="9" t="n">
        <x:f>COUNTIFS($A$7:$A$1734,A1199)</x:f>
        <x:v>1</x:v>
      </x:c>
    </x:row>
    <x:row r="1200">
      <x:c r="A1200" s="9" t="str">
        <x:v>EV-AR-HC-A-C-TECH-2-B2-INT-G0-OG06</x:v>
      </x:c>
      <x:c r="B1200" s="9" t="str">
        <x:v>EV-AR-HC-A-C-TECH-2-B2-INT-G0</x:v>
      </x:c>
      <x:c r="C1200" s="9" t="str">
        <x:v>AR-HC-A-C-TECH-2-B2-INT-G0</x:v>
      </x:c>
      <x:c r="D1200" s="9" t="str">
        <x:v>HC-A-C-TECH-2</x:v>
      </x:c>
      <x:c r="E1200" s="9" t="str">
        <x:v>HC-A-C</x:v>
      </x:c>
      <x:c r="F1200" s="9" t="str">
        <x:v>B2</x:v>
      </x:c>
      <x:c r="G1200" s="9" t="str">
        <x:v>INT</x:v>
      </x:c>
      <x:c r="H1200" s="9" t="str">
        <x:v>OG06</x:v>
      </x:c>
      <x:c r="I1200" s="17" t="str">
        <x:v>Witness provenance</x:v>
      </x:c>
      <x:c r="J1200" s="17" t="str">
        <x:v>unlike witness originals, hashes, keys and access history reconcile</x:v>
      </x:c>
      <x:c r="K1200" s="17" t="str">
        <x:v>Witness custody</x:v>
      </x:c>
      <x:c r="L1200" s="9" t="n">
        <x:v>0</x:v>
      </x:c>
      <x:c r="M1200" s="9" t="n">
        <x:v>0</x:v>
      </x:c>
      <x:c r="N1200" s="9" t="str">
        <x:v>OPEN / UNACCEPTED</x:v>
      </x:c>
      <x:c r="O1200" s="9" t="n">
        <x:f>COUNTIFS($A$7:$A$1734,A1200)</x:f>
        <x:v>1</x:v>
      </x:c>
    </x:row>
    <x:row r="1201">
      <x:c r="A1201" s="9" t="str">
        <x:v>EV-AR-HC-A-C-TECH-2-B2-INT-G0-OG07</x:v>
      </x:c>
      <x:c r="B1201" s="9" t="str">
        <x:v>EV-AR-HC-A-C-TECH-2-B2-INT-G0</x:v>
      </x:c>
      <x:c r="C1201" s="9" t="str">
        <x:v>AR-HC-A-C-TECH-2-B2-INT-G0</x:v>
      </x:c>
      <x:c r="D1201" s="9" t="str">
        <x:v>HC-A-C-TECH-2</x:v>
      </x:c>
      <x:c r="E1201" s="9" t="str">
        <x:v>HC-A-C</x:v>
      </x:c>
      <x:c r="F1201" s="9" t="str">
        <x:v>B2</x:v>
      </x:c>
      <x:c r="G1201" s="9" t="str">
        <x:v>INT</x:v>
      </x:c>
      <x:c r="H1201" s="9" t="str">
        <x:v>OG07</x:v>
      </x:c>
      <x:c r="I1201" s="17" t="str">
        <x:v>Receiver denominator</x:v>
      </x:c>
      <x:c r="J1201" s="17" t="str">
        <x:v>population, quantity, duration and exclusions match the frozen receipt</x:v>
      </x:c>
      <x:c r="K1201" s="17" t="str">
        <x:v>Receiver court</x:v>
      </x:c>
      <x:c r="L1201" s="9" t="n">
        <x:v>0</x:v>
      </x:c>
      <x:c r="M1201" s="9" t="n">
        <x:v>0</x:v>
      </x:c>
      <x:c r="N1201" s="9" t="str">
        <x:v>OPEN / UNACCEPTED</x:v>
      </x:c>
      <x:c r="O1201" s="9" t="n">
        <x:f>COUNTIFS($A$7:$A$1734,A1201)</x:f>
        <x:v>1</x:v>
      </x:c>
    </x:row>
    <x:row r="1202">
      <x:c r="A1202" s="9" t="str">
        <x:v>EV-AR-HC-A-C-TECH-2-B2-INT-G0-OG08</x:v>
      </x:c>
      <x:c r="B1202" s="9" t="str">
        <x:v>EV-AR-HC-A-C-TECH-2-B2-INT-G0</x:v>
      </x:c>
      <x:c r="C1202" s="9" t="str">
        <x:v>AR-HC-A-C-TECH-2-B2-INT-G0</x:v>
      </x:c>
      <x:c r="D1202" s="9" t="str">
        <x:v>HC-A-C-TECH-2</x:v>
      </x:c>
      <x:c r="E1202" s="9" t="str">
        <x:v>HC-A-C</x:v>
      </x:c>
      <x:c r="F1202" s="9" t="str">
        <x:v>B2</x:v>
      </x:c>
      <x:c r="G1202" s="9" t="str">
        <x:v>INT</x:v>
      </x:c>
      <x:c r="H1202" s="9" t="str">
        <x:v>OG08</x:v>
      </x:c>
      <x:c r="I1202" s="17" t="str">
        <x:v>Environment and boundary</x:v>
      </x:c>
      <x:c r="J1202" s="17" t="str">
        <x:v>registered weather, water, ground, inlet and outlet states are retained</x:v>
      </x:c>
      <x:c r="K1202" s="17" t="str">
        <x:v>Boundary court</x:v>
      </x:c>
      <x:c r="L1202" s="9" t="n">
        <x:v>0</x:v>
      </x:c>
      <x:c r="M1202" s="9" t="n">
        <x:v>0</x:v>
      </x:c>
      <x:c r="N1202" s="9" t="str">
        <x:v>OPEN / UNACCEPTED</x:v>
      </x:c>
      <x:c r="O1202" s="9" t="n">
        <x:f>COUNTIFS($A$7:$A$1734,A1202)</x:f>
        <x:v>1</x:v>
      </x:c>
    </x:row>
    <x:row r="1203">
      <x:c r="A1203" s="9" t="str">
        <x:v>EV-AR-HC-A-C-TECH-2-B2-INT-G0-OG09</x:v>
      </x:c>
      <x:c r="B1203" s="9" t="str">
        <x:v>EV-AR-HC-A-C-TECH-2-B2-INT-G0</x:v>
      </x:c>
      <x:c r="C1203" s="9" t="str">
        <x:v>AR-HC-A-C-TECH-2-B2-INT-G0</x:v>
      </x:c>
      <x:c r="D1203" s="9" t="str">
        <x:v>HC-A-C-TECH-2</x:v>
      </x:c>
      <x:c r="E1203" s="9" t="str">
        <x:v>HC-A-C</x:v>
      </x:c>
      <x:c r="F1203" s="9" t="str">
        <x:v>B2</x:v>
      </x:c>
      <x:c r="G1203" s="9" t="str">
        <x:v>INT</x:v>
      </x:c>
      <x:c r="H1203" s="9" t="str">
        <x:v>OG09</x:v>
      </x:c>
      <x:c r="I1203" s="17" t="str">
        <x:v>Intervention account</x:v>
      </x:c>
      <x:c r="J1203" s="17" t="str">
        <x:v>all stop, rescue, operator and public-protection actions remain timestamped</x:v>
      </x:c>
      <x:c r="K1203" s="17" t="str">
        <x:v>Safety record court</x:v>
      </x:c>
      <x:c r="L1203" s="9" t="n">
        <x:v>0</x:v>
      </x:c>
      <x:c r="M1203" s="9" t="n">
        <x:v>0</x:v>
      </x:c>
      <x:c r="N1203" s="9" t="str">
        <x:v>OPEN / UNACCEPTED</x:v>
      </x:c>
      <x:c r="O1203" s="9" t="n">
        <x:f>COUNTIFS($A$7:$A$1734,A1203)</x:f>
        <x:v>1</x:v>
      </x:c>
    </x:row>
    <x:row r="1204">
      <x:c r="A1204" s="9" t="str">
        <x:v>EV-AR-HC-A-C-TECH-2-B2-INT-G0-OG10</x:v>
      </x:c>
      <x:c r="B1204" s="9" t="str">
        <x:v>EV-AR-HC-A-C-TECH-2-B2-INT-G0</x:v>
      </x:c>
      <x:c r="C1204" s="9" t="str">
        <x:v>AR-HC-A-C-TECH-2-B2-INT-G0</x:v>
      </x:c>
      <x:c r="D1204" s="9" t="str">
        <x:v>HC-A-C-TECH-2</x:v>
      </x:c>
      <x:c r="E1204" s="9" t="str">
        <x:v>HC-A-C</x:v>
      </x:c>
      <x:c r="F1204" s="9" t="str">
        <x:v>B2</x:v>
      </x:c>
      <x:c r="G1204" s="9" t="str">
        <x:v>INT</x:v>
      </x:c>
      <x:c r="H1204" s="9" t="str">
        <x:v>OG10</x:v>
      </x:c>
      <x:c r="I1204" s="17" t="str">
        <x:v>Uncertainty statement</x:v>
      </x:c>
      <x:c r="J1204" s="17" t="str">
        <x:v>range, censoring, resolution and correlation are declared before judgment</x:v>
      </x:c>
      <x:c r="K1204" s="17" t="str">
        <x:v>Uncertainty authority</x:v>
      </x:c>
      <x:c r="L1204" s="9" t="n">
        <x:v>0</x:v>
      </x:c>
      <x:c r="M1204" s="9" t="n">
        <x:v>0</x:v>
      </x:c>
      <x:c r="N1204" s="9" t="str">
        <x:v>OPEN / UNACCEPTED</x:v>
      </x:c>
      <x:c r="O1204" s="9" t="n">
        <x:f>COUNTIFS($A$7:$A$1734,A1204)</x:f>
        <x:v>1</x:v>
      </x:c>
    </x:row>
    <x:row r="1205">
      <x:c r="A1205" s="9" t="str">
        <x:v>EV-AR-HC-A-C-TECH-2-B2-INT-G0-OG11</x:v>
      </x:c>
      <x:c r="B1205" s="9" t="str">
        <x:v>EV-AR-HC-A-C-TECH-2-B2-INT-G0</x:v>
      </x:c>
      <x:c r="C1205" s="9" t="str">
        <x:v>AR-HC-A-C-TECH-2-B2-INT-G0</x:v>
      </x:c>
      <x:c r="D1205" s="9" t="str">
        <x:v>HC-A-C-TECH-2</x:v>
      </x:c>
      <x:c r="E1205" s="9" t="str">
        <x:v>HC-A-C</x:v>
      </x:c>
      <x:c r="F1205" s="9" t="str">
        <x:v>B2</x:v>
      </x:c>
      <x:c r="G1205" s="9" t="str">
        <x:v>INT</x:v>
      </x:c>
      <x:c r="H1205" s="9" t="str">
        <x:v>OG11</x:v>
      </x:c>
      <x:c r="I1205" s="17" t="str">
        <x:v>Contradiction preservation</x:v>
      </x:c>
      <x:c r="J1205" s="17" t="str">
        <x:v>primary-witness disagreement remains explicit and is never averaged away</x:v>
      </x:c>
      <x:c r="K1205" s="17" t="str">
        <x:v>Dissent registrar</x:v>
      </x:c>
      <x:c r="L1205" s="9" t="n">
        <x:v>0</x:v>
      </x:c>
      <x:c r="M1205" s="9" t="n">
        <x:v>0</x:v>
      </x:c>
      <x:c r="N1205" s="9" t="str">
        <x:v>OPEN / UNACCEPTED</x:v>
      </x:c>
      <x:c r="O1205" s="9" t="n">
        <x:f>COUNTIFS($A$7:$A$1734,A1205)</x:f>
        <x:v>1</x:v>
      </x:c>
    </x:row>
    <x:row r="1206">
      <x:c r="A1206" s="9" t="str">
        <x:v>EV-AR-HC-A-C-TECH-2-B2-INT-G0-OG12</x:v>
      </x:c>
      <x:c r="B1206" s="9" t="str">
        <x:v>EV-AR-HC-A-C-TECH-2-B2-INT-G0</x:v>
      </x:c>
      <x:c r="C1206" s="9" t="str">
        <x:v>AR-HC-A-C-TECH-2-B2-INT-G0</x:v>
      </x:c>
      <x:c r="D1206" s="9" t="str">
        <x:v>HC-A-C-TECH-2</x:v>
      </x:c>
      <x:c r="E1206" s="9" t="str">
        <x:v>HC-A-C</x:v>
      </x:c>
      <x:c r="F1206" s="9" t="str">
        <x:v>B2</x:v>
      </x:c>
      <x:c r="G1206" s="9" t="str">
        <x:v>INT</x:v>
      </x:c>
      <x:c r="H1206" s="9" t="str">
        <x:v>OG12</x:v>
      </x:c>
      <x:c r="I1206" s="17" t="str">
        <x:v>Independent replay</x:v>
      </x:c>
      <x:c r="J1206" s="17" t="str">
        <x:v>a separated reader reconstructs the registered observables from sealed originals</x:v>
      </x:c>
      <x:c r="K1206" s="17" t="str">
        <x:v>Replay court</x:v>
      </x:c>
      <x:c r="L1206" s="9" t="n">
        <x:v>0</x:v>
      </x:c>
      <x:c r="M1206" s="9" t="n">
        <x:v>0</x:v>
      </x:c>
      <x:c r="N1206" s="9" t="str">
        <x:v>OPEN / UNACCEPTED</x:v>
      </x:c>
      <x:c r="O1206" s="9" t="n">
        <x:f>COUNTIFS($A$7:$A$1734,A1206)</x:f>
        <x:v>1</x:v>
      </x:c>
    </x:row>
    <x:row r="1207">
      <x:c r="A1207" s="9" t="str">
        <x:v>EV-AR-LF-B-A-TECH-3-B2-RCN-G0-OG01</x:v>
      </x:c>
      <x:c r="B1207" s="9" t="str">
        <x:v>EV-AR-LF-B-A-TECH-3-B2-RCN-G0</x:v>
      </x:c>
      <x:c r="C1207" s="9" t="str">
        <x:v>AR-LF-B-A-TECH-3-B2-RCN-G0</x:v>
      </x:c>
      <x:c r="D1207" s="9" t="str">
        <x:v>LF-B-A-TECH-3</x:v>
      </x:c>
      <x:c r="E1207" s="9" t="str">
        <x:v>LF-B-A</x:v>
      </x:c>
      <x:c r="F1207" s="9" t="str">
        <x:v>B2</x:v>
      </x:c>
      <x:c r="G1207" s="9" t="str">
        <x:v>RCN</x:v>
      </x:c>
      <x:c r="H1207" s="9" t="str">
        <x:v>OG01</x:v>
      </x:c>
      <x:c r="I1207" s="17" t="str">
        <x:v>Serial and event identity</x:v>
      </x:c>
      <x:c r="J1207" s="17" t="str">
        <x:v>record resolves to the issued serial, generation and physical start</x:v>
      </x:c>
      <x:c r="K1207" s="17" t="str">
        <x:v>Observation court</x:v>
      </x:c>
      <x:c r="L1207" s="9" t="n">
        <x:v>0</x:v>
      </x:c>
      <x:c r="M1207" s="9" t="n">
        <x:v>0</x:v>
      </x:c>
      <x:c r="N1207" s="9" t="str">
        <x:v>OPEN / UNACCEPTED</x:v>
      </x:c>
      <x:c r="O1207" s="9" t="n">
        <x:f>COUNTIFS($A$7:$A$1734,A1207)</x:f>
        <x:v>1</x:v>
      </x:c>
    </x:row>
    <x:row r="1208">
      <x:c r="A1208" s="9" t="str">
        <x:v>EV-AR-LF-B-A-TECH-3-B2-RCN-G0-OG02</x:v>
      </x:c>
      <x:c r="B1208" s="9" t="str">
        <x:v>EV-AR-LF-B-A-TECH-3-B2-RCN-G0</x:v>
      </x:c>
      <x:c r="C1208" s="9" t="str">
        <x:v>AR-LF-B-A-TECH-3-B2-RCN-G0</x:v>
      </x:c>
      <x:c r="D1208" s="9" t="str">
        <x:v>LF-B-A-TECH-3</x:v>
      </x:c>
      <x:c r="E1208" s="9" t="str">
        <x:v>LF-B-A</x:v>
      </x:c>
      <x:c r="F1208" s="9" t="str">
        <x:v>B2</x:v>
      </x:c>
      <x:c r="G1208" s="9" t="str">
        <x:v>RCN</x:v>
      </x:c>
      <x:c r="H1208" s="9" t="str">
        <x:v>OG02</x:v>
      </x:c>
      <x:c r="I1208" s="17" t="str">
        <x:v>Time ancestry</x:v>
      </x:c>
      <x:c r="J1208" s="17" t="str">
        <x:v>primary, witness and public event clocks retain declared offsets and drift</x:v>
      </x:c>
      <x:c r="K1208" s="17" t="str">
        <x:v>Time authority</x:v>
      </x:c>
      <x:c r="L1208" s="9" t="n">
        <x:v>0</x:v>
      </x:c>
      <x:c r="M1208" s="9" t="n">
        <x:v>0</x:v>
      </x:c>
      <x:c r="N1208" s="9" t="str">
        <x:v>OPEN / UNACCEPTED</x:v>
      </x:c>
      <x:c r="O1208" s="9" t="n">
        <x:f>COUNTIFS($A$7:$A$1734,A1208)</x:f>
        <x:v>1</x:v>
      </x:c>
    </x:row>
    <x:row r="1209">
      <x:c r="A1209" s="9" t="str">
        <x:v>EV-AR-LF-B-A-TECH-3-B2-RCN-G0-OG03</x:v>
      </x:c>
      <x:c r="B1209" s="9" t="str">
        <x:v>EV-AR-LF-B-A-TECH-3-B2-RCN-G0</x:v>
      </x:c>
      <x:c r="C1209" s="9" t="str">
        <x:v>AR-LF-B-A-TECH-3-B2-RCN-G0</x:v>
      </x:c>
      <x:c r="D1209" s="9" t="str">
        <x:v>LF-B-A-TECH-3</x:v>
      </x:c>
      <x:c r="E1209" s="9" t="str">
        <x:v>LF-B-A</x:v>
      </x:c>
      <x:c r="F1209" s="9" t="str">
        <x:v>B2</x:v>
      </x:c>
      <x:c r="G1209" s="9" t="str">
        <x:v>RCN</x:v>
      </x:c>
      <x:c r="H1209" s="9" t="str">
        <x:v>OG03</x:v>
      </x:c>
      <x:c r="I1209" s="17" t="str">
        <x:v>Calibration ancestry</x:v>
      </x:c>
      <x:c r="J1209" s="17" t="str">
        <x:v>all reference, range and uncertainty states cover the live interval</x:v>
      </x:c>
      <x:c r="K1209" s="17" t="str">
        <x:v>Metrology courts</x:v>
      </x:c>
      <x:c r="L1209" s="9" t="n">
        <x:v>0</x:v>
      </x:c>
      <x:c r="M1209" s="9" t="n">
        <x:v>0</x:v>
      </x:c>
      <x:c r="N1209" s="9" t="str">
        <x:v>OPEN / UNACCEPTED</x:v>
      </x:c>
      <x:c r="O1209" s="9" t="n">
        <x:f>COUNTIFS($A$7:$A$1734,A1209)</x:f>
        <x:v>1</x:v>
      </x:c>
    </x:row>
    <x:row r="1210">
      <x:c r="A1210" s="9" t="str">
        <x:v>EV-AR-LF-B-A-TECH-3-B2-RCN-G0-OG04</x:v>
      </x:c>
      <x:c r="B1210" s="9" t="str">
        <x:v>EV-AR-LF-B-A-TECH-3-B2-RCN-G0</x:v>
      </x:c>
      <x:c r="C1210" s="9" t="str">
        <x:v>AR-LF-B-A-TECH-3-B2-RCN-G0</x:v>
      </x:c>
      <x:c r="D1210" s="9" t="str">
        <x:v>LF-B-A-TECH-3</x:v>
      </x:c>
      <x:c r="E1210" s="9" t="str">
        <x:v>LF-B-A</x:v>
      </x:c>
      <x:c r="F1210" s="9" t="str">
        <x:v>B2</x:v>
      </x:c>
      <x:c r="G1210" s="9" t="str">
        <x:v>RCN</x:v>
      </x:c>
      <x:c r="H1210" s="9" t="str">
        <x:v>OG04</x:v>
      </x:c>
      <x:c r="I1210" s="17" t="str">
        <x:v>Raw completeness</x:v>
      </x:c>
      <x:c r="J1210" s="17" t="str">
        <x:v>missingness is enumerated without imputation or outcome-conditioned deletion</x:v>
      </x:c>
      <x:c r="K1210" s="17" t="str">
        <x:v>Observation court</x:v>
      </x:c>
      <x:c r="L1210" s="9" t="n">
        <x:v>0</x:v>
      </x:c>
      <x:c r="M1210" s="9" t="n">
        <x:v>0</x:v>
      </x:c>
      <x:c r="N1210" s="9" t="str">
        <x:v>OPEN / UNACCEPTED</x:v>
      </x:c>
      <x:c r="O1210" s="9" t="n">
        <x:f>COUNTIFS($A$7:$A$1734,A1210)</x:f>
        <x:v>1</x:v>
      </x:c>
    </x:row>
    <x:row r="1211">
      <x:c r="A1211" s="9" t="str">
        <x:v>EV-AR-LF-B-A-TECH-3-B2-RCN-G0-OG05</x:v>
      </x:c>
      <x:c r="B1211" s="9" t="str">
        <x:v>EV-AR-LF-B-A-TECH-3-B2-RCN-G0</x:v>
      </x:c>
      <x:c r="C1211" s="9" t="str">
        <x:v>AR-LF-B-A-TECH-3-B2-RCN-G0</x:v>
      </x:c>
      <x:c r="D1211" s="9" t="str">
        <x:v>LF-B-A-TECH-3</x:v>
      </x:c>
      <x:c r="E1211" s="9" t="str">
        <x:v>LF-B-A</x:v>
      </x:c>
      <x:c r="F1211" s="9" t="str">
        <x:v>B2</x:v>
      </x:c>
      <x:c r="G1211" s="9" t="str">
        <x:v>RCN</x:v>
      </x:c>
      <x:c r="H1211" s="9" t="str">
        <x:v>OG05</x:v>
      </x:c>
      <x:c r="I1211" s="17" t="str">
        <x:v>Primary provenance</x:v>
      </x:c>
      <x:c r="J1211" s="17" t="str">
        <x:v>primary originals, hashes, keys and access history reconcile</x:v>
      </x:c>
      <x:c r="K1211" s="17" t="str">
        <x:v>Primary custody</x:v>
      </x:c>
      <x:c r="L1211" s="9" t="n">
        <x:v>0</x:v>
      </x:c>
      <x:c r="M1211" s="9" t="n">
        <x:v>0</x:v>
      </x:c>
      <x:c r="N1211" s="9" t="str">
        <x:v>OPEN / UNACCEPTED</x:v>
      </x:c>
      <x:c r="O1211" s="9" t="n">
        <x:f>COUNTIFS($A$7:$A$1734,A1211)</x:f>
        <x:v>1</x:v>
      </x:c>
    </x:row>
    <x:row r="1212">
      <x:c r="A1212" s="9" t="str">
        <x:v>EV-AR-LF-B-A-TECH-3-B2-RCN-G0-OG06</x:v>
      </x:c>
      <x:c r="B1212" s="9" t="str">
        <x:v>EV-AR-LF-B-A-TECH-3-B2-RCN-G0</x:v>
      </x:c>
      <x:c r="C1212" s="9" t="str">
        <x:v>AR-LF-B-A-TECH-3-B2-RCN-G0</x:v>
      </x:c>
      <x:c r="D1212" s="9" t="str">
        <x:v>LF-B-A-TECH-3</x:v>
      </x:c>
      <x:c r="E1212" s="9" t="str">
        <x:v>LF-B-A</x:v>
      </x:c>
      <x:c r="F1212" s="9" t="str">
        <x:v>B2</x:v>
      </x:c>
      <x:c r="G1212" s="9" t="str">
        <x:v>RCN</x:v>
      </x:c>
      <x:c r="H1212" s="9" t="str">
        <x:v>OG06</x:v>
      </x:c>
      <x:c r="I1212" s="17" t="str">
        <x:v>Witness provenance</x:v>
      </x:c>
      <x:c r="J1212" s="17" t="str">
        <x:v>unlike witness originals, hashes, keys and access history reconcile</x:v>
      </x:c>
      <x:c r="K1212" s="17" t="str">
        <x:v>Witness custody</x:v>
      </x:c>
      <x:c r="L1212" s="9" t="n">
        <x:v>0</x:v>
      </x:c>
      <x:c r="M1212" s="9" t="n">
        <x:v>0</x:v>
      </x:c>
      <x:c r="N1212" s="9" t="str">
        <x:v>OPEN / UNACCEPTED</x:v>
      </x:c>
      <x:c r="O1212" s="9" t="n">
        <x:f>COUNTIFS($A$7:$A$1734,A1212)</x:f>
        <x:v>1</x:v>
      </x:c>
    </x:row>
    <x:row r="1213">
      <x:c r="A1213" s="9" t="str">
        <x:v>EV-AR-LF-B-A-TECH-3-B2-RCN-G0-OG07</x:v>
      </x:c>
      <x:c r="B1213" s="9" t="str">
        <x:v>EV-AR-LF-B-A-TECH-3-B2-RCN-G0</x:v>
      </x:c>
      <x:c r="C1213" s="9" t="str">
        <x:v>AR-LF-B-A-TECH-3-B2-RCN-G0</x:v>
      </x:c>
      <x:c r="D1213" s="9" t="str">
        <x:v>LF-B-A-TECH-3</x:v>
      </x:c>
      <x:c r="E1213" s="9" t="str">
        <x:v>LF-B-A</x:v>
      </x:c>
      <x:c r="F1213" s="9" t="str">
        <x:v>B2</x:v>
      </x:c>
      <x:c r="G1213" s="9" t="str">
        <x:v>RCN</x:v>
      </x:c>
      <x:c r="H1213" s="9" t="str">
        <x:v>OG07</x:v>
      </x:c>
      <x:c r="I1213" s="17" t="str">
        <x:v>Receiver denominator</x:v>
      </x:c>
      <x:c r="J1213" s="17" t="str">
        <x:v>population, quantity, duration and exclusions match the frozen receipt</x:v>
      </x:c>
      <x:c r="K1213" s="17" t="str">
        <x:v>Receiver court</x:v>
      </x:c>
      <x:c r="L1213" s="9" t="n">
        <x:v>0</x:v>
      </x:c>
      <x:c r="M1213" s="9" t="n">
        <x:v>0</x:v>
      </x:c>
      <x:c r="N1213" s="9" t="str">
        <x:v>OPEN / UNACCEPTED</x:v>
      </x:c>
      <x:c r="O1213" s="9" t="n">
        <x:f>COUNTIFS($A$7:$A$1734,A1213)</x:f>
        <x:v>1</x:v>
      </x:c>
    </x:row>
    <x:row r="1214">
      <x:c r="A1214" s="9" t="str">
        <x:v>EV-AR-LF-B-A-TECH-3-B2-RCN-G0-OG08</x:v>
      </x:c>
      <x:c r="B1214" s="9" t="str">
        <x:v>EV-AR-LF-B-A-TECH-3-B2-RCN-G0</x:v>
      </x:c>
      <x:c r="C1214" s="9" t="str">
        <x:v>AR-LF-B-A-TECH-3-B2-RCN-G0</x:v>
      </x:c>
      <x:c r="D1214" s="9" t="str">
        <x:v>LF-B-A-TECH-3</x:v>
      </x:c>
      <x:c r="E1214" s="9" t="str">
        <x:v>LF-B-A</x:v>
      </x:c>
      <x:c r="F1214" s="9" t="str">
        <x:v>B2</x:v>
      </x:c>
      <x:c r="G1214" s="9" t="str">
        <x:v>RCN</x:v>
      </x:c>
      <x:c r="H1214" s="9" t="str">
        <x:v>OG08</x:v>
      </x:c>
      <x:c r="I1214" s="17" t="str">
        <x:v>Environment and boundary</x:v>
      </x:c>
      <x:c r="J1214" s="17" t="str">
        <x:v>registered weather, water, ground, inlet and outlet states are retained</x:v>
      </x:c>
      <x:c r="K1214" s="17" t="str">
        <x:v>Boundary court</x:v>
      </x:c>
      <x:c r="L1214" s="9" t="n">
        <x:v>0</x:v>
      </x:c>
      <x:c r="M1214" s="9" t="n">
        <x:v>0</x:v>
      </x:c>
      <x:c r="N1214" s="9" t="str">
        <x:v>OPEN / UNACCEPTED</x:v>
      </x:c>
      <x:c r="O1214" s="9" t="n">
        <x:f>COUNTIFS($A$7:$A$1734,A1214)</x:f>
        <x:v>1</x:v>
      </x:c>
    </x:row>
    <x:row r="1215">
      <x:c r="A1215" s="9" t="str">
        <x:v>EV-AR-LF-B-A-TECH-3-B2-RCN-G0-OG09</x:v>
      </x:c>
      <x:c r="B1215" s="9" t="str">
        <x:v>EV-AR-LF-B-A-TECH-3-B2-RCN-G0</x:v>
      </x:c>
      <x:c r="C1215" s="9" t="str">
        <x:v>AR-LF-B-A-TECH-3-B2-RCN-G0</x:v>
      </x:c>
      <x:c r="D1215" s="9" t="str">
        <x:v>LF-B-A-TECH-3</x:v>
      </x:c>
      <x:c r="E1215" s="9" t="str">
        <x:v>LF-B-A</x:v>
      </x:c>
      <x:c r="F1215" s="9" t="str">
        <x:v>B2</x:v>
      </x:c>
      <x:c r="G1215" s="9" t="str">
        <x:v>RCN</x:v>
      </x:c>
      <x:c r="H1215" s="9" t="str">
        <x:v>OG09</x:v>
      </x:c>
      <x:c r="I1215" s="17" t="str">
        <x:v>Intervention account</x:v>
      </x:c>
      <x:c r="J1215" s="17" t="str">
        <x:v>all stop, rescue, operator and public-protection actions remain timestamped</x:v>
      </x:c>
      <x:c r="K1215" s="17" t="str">
        <x:v>Safety record court</x:v>
      </x:c>
      <x:c r="L1215" s="9" t="n">
        <x:v>0</x:v>
      </x:c>
      <x:c r="M1215" s="9" t="n">
        <x:v>0</x:v>
      </x:c>
      <x:c r="N1215" s="9" t="str">
        <x:v>OPEN / UNACCEPTED</x:v>
      </x:c>
      <x:c r="O1215" s="9" t="n">
        <x:f>COUNTIFS($A$7:$A$1734,A1215)</x:f>
        <x:v>1</x:v>
      </x:c>
    </x:row>
    <x:row r="1216">
      <x:c r="A1216" s="9" t="str">
        <x:v>EV-AR-LF-B-A-TECH-3-B2-RCN-G0-OG10</x:v>
      </x:c>
      <x:c r="B1216" s="9" t="str">
        <x:v>EV-AR-LF-B-A-TECH-3-B2-RCN-G0</x:v>
      </x:c>
      <x:c r="C1216" s="9" t="str">
        <x:v>AR-LF-B-A-TECH-3-B2-RCN-G0</x:v>
      </x:c>
      <x:c r="D1216" s="9" t="str">
        <x:v>LF-B-A-TECH-3</x:v>
      </x:c>
      <x:c r="E1216" s="9" t="str">
        <x:v>LF-B-A</x:v>
      </x:c>
      <x:c r="F1216" s="9" t="str">
        <x:v>B2</x:v>
      </x:c>
      <x:c r="G1216" s="9" t="str">
        <x:v>RCN</x:v>
      </x:c>
      <x:c r="H1216" s="9" t="str">
        <x:v>OG10</x:v>
      </x:c>
      <x:c r="I1216" s="17" t="str">
        <x:v>Uncertainty statement</x:v>
      </x:c>
      <x:c r="J1216" s="17" t="str">
        <x:v>range, censoring, resolution and correlation are declared before judgment</x:v>
      </x:c>
      <x:c r="K1216" s="17" t="str">
        <x:v>Uncertainty authority</x:v>
      </x:c>
      <x:c r="L1216" s="9" t="n">
        <x:v>0</x:v>
      </x:c>
      <x:c r="M1216" s="9" t="n">
        <x:v>0</x:v>
      </x:c>
      <x:c r="N1216" s="9" t="str">
        <x:v>OPEN / UNACCEPTED</x:v>
      </x:c>
      <x:c r="O1216" s="9" t="n">
        <x:f>COUNTIFS($A$7:$A$1734,A1216)</x:f>
        <x:v>1</x:v>
      </x:c>
    </x:row>
    <x:row r="1217">
      <x:c r="A1217" s="9" t="str">
        <x:v>EV-AR-LF-B-A-TECH-3-B2-RCN-G0-OG11</x:v>
      </x:c>
      <x:c r="B1217" s="9" t="str">
        <x:v>EV-AR-LF-B-A-TECH-3-B2-RCN-G0</x:v>
      </x:c>
      <x:c r="C1217" s="9" t="str">
        <x:v>AR-LF-B-A-TECH-3-B2-RCN-G0</x:v>
      </x:c>
      <x:c r="D1217" s="9" t="str">
        <x:v>LF-B-A-TECH-3</x:v>
      </x:c>
      <x:c r="E1217" s="9" t="str">
        <x:v>LF-B-A</x:v>
      </x:c>
      <x:c r="F1217" s="9" t="str">
        <x:v>B2</x:v>
      </x:c>
      <x:c r="G1217" s="9" t="str">
        <x:v>RCN</x:v>
      </x:c>
      <x:c r="H1217" s="9" t="str">
        <x:v>OG11</x:v>
      </x:c>
      <x:c r="I1217" s="17" t="str">
        <x:v>Contradiction preservation</x:v>
      </x:c>
      <x:c r="J1217" s="17" t="str">
        <x:v>primary-witness disagreement remains explicit and is never averaged away</x:v>
      </x:c>
      <x:c r="K1217" s="17" t="str">
        <x:v>Dissent registrar</x:v>
      </x:c>
      <x:c r="L1217" s="9" t="n">
        <x:v>0</x:v>
      </x:c>
      <x:c r="M1217" s="9" t="n">
        <x:v>0</x:v>
      </x:c>
      <x:c r="N1217" s="9" t="str">
        <x:v>OPEN / UNACCEPTED</x:v>
      </x:c>
      <x:c r="O1217" s="9" t="n">
        <x:f>COUNTIFS($A$7:$A$1734,A1217)</x:f>
        <x:v>1</x:v>
      </x:c>
    </x:row>
    <x:row r="1218">
      <x:c r="A1218" s="9" t="str">
        <x:v>EV-AR-LF-B-A-TECH-3-B2-RCN-G0-OG12</x:v>
      </x:c>
      <x:c r="B1218" s="9" t="str">
        <x:v>EV-AR-LF-B-A-TECH-3-B2-RCN-G0</x:v>
      </x:c>
      <x:c r="C1218" s="9" t="str">
        <x:v>AR-LF-B-A-TECH-3-B2-RCN-G0</x:v>
      </x:c>
      <x:c r="D1218" s="9" t="str">
        <x:v>LF-B-A-TECH-3</x:v>
      </x:c>
      <x:c r="E1218" s="9" t="str">
        <x:v>LF-B-A</x:v>
      </x:c>
      <x:c r="F1218" s="9" t="str">
        <x:v>B2</x:v>
      </x:c>
      <x:c r="G1218" s="9" t="str">
        <x:v>RCN</x:v>
      </x:c>
      <x:c r="H1218" s="9" t="str">
        <x:v>OG12</x:v>
      </x:c>
      <x:c r="I1218" s="17" t="str">
        <x:v>Independent replay</x:v>
      </x:c>
      <x:c r="J1218" s="17" t="str">
        <x:v>a separated reader reconstructs the registered observables from sealed originals</x:v>
      </x:c>
      <x:c r="K1218" s="17" t="str">
        <x:v>Replay court</x:v>
      </x:c>
      <x:c r="L1218" s="9" t="n">
        <x:v>0</x:v>
      </x:c>
      <x:c r="M1218" s="9" t="n">
        <x:v>0</x:v>
      </x:c>
      <x:c r="N1218" s="9" t="str">
        <x:v>OPEN / UNACCEPTED</x:v>
      </x:c>
      <x:c r="O1218" s="9" t="n">
        <x:f>COUNTIFS($A$7:$A$1734,A1218)</x:f>
        <x:v>1</x:v>
      </x:c>
    </x:row>
    <x:row r="1219">
      <x:c r="A1219" s="9" t="str">
        <x:v>EV-AR-LF-B-A-TECH-4-B1-RCN-G0-OG01</x:v>
      </x:c>
      <x:c r="B1219" s="9" t="str">
        <x:v>EV-AR-LF-B-A-TECH-4-B1-RCN-G0</x:v>
      </x:c>
      <x:c r="C1219" s="9" t="str">
        <x:v>AR-LF-B-A-TECH-4-B1-RCN-G0</x:v>
      </x:c>
      <x:c r="D1219" s="9" t="str">
        <x:v>LF-B-A-TECH-4</x:v>
      </x:c>
      <x:c r="E1219" s="9" t="str">
        <x:v>LF-B-A</x:v>
      </x:c>
      <x:c r="F1219" s="9" t="str">
        <x:v>B1</x:v>
      </x:c>
      <x:c r="G1219" s="9" t="str">
        <x:v>RCN</x:v>
      </x:c>
      <x:c r="H1219" s="9" t="str">
        <x:v>OG01</x:v>
      </x:c>
      <x:c r="I1219" s="17" t="str">
        <x:v>Serial and event identity</x:v>
      </x:c>
      <x:c r="J1219" s="17" t="str">
        <x:v>record resolves to the issued serial, generation and physical start</x:v>
      </x:c>
      <x:c r="K1219" s="17" t="str">
        <x:v>Observation court</x:v>
      </x:c>
      <x:c r="L1219" s="9" t="n">
        <x:v>0</x:v>
      </x:c>
      <x:c r="M1219" s="9" t="n">
        <x:v>0</x:v>
      </x:c>
      <x:c r="N1219" s="9" t="str">
        <x:v>OPEN / UNACCEPTED</x:v>
      </x:c>
      <x:c r="O1219" s="9" t="n">
        <x:f>COUNTIFS($A$7:$A$1734,A1219)</x:f>
        <x:v>1</x:v>
      </x:c>
    </x:row>
    <x:row r="1220">
      <x:c r="A1220" s="9" t="str">
        <x:v>EV-AR-LF-B-A-TECH-4-B1-RCN-G0-OG02</x:v>
      </x:c>
      <x:c r="B1220" s="9" t="str">
        <x:v>EV-AR-LF-B-A-TECH-4-B1-RCN-G0</x:v>
      </x:c>
      <x:c r="C1220" s="9" t="str">
        <x:v>AR-LF-B-A-TECH-4-B1-RCN-G0</x:v>
      </x:c>
      <x:c r="D1220" s="9" t="str">
        <x:v>LF-B-A-TECH-4</x:v>
      </x:c>
      <x:c r="E1220" s="9" t="str">
        <x:v>LF-B-A</x:v>
      </x:c>
      <x:c r="F1220" s="9" t="str">
        <x:v>B1</x:v>
      </x:c>
      <x:c r="G1220" s="9" t="str">
        <x:v>RCN</x:v>
      </x:c>
      <x:c r="H1220" s="9" t="str">
        <x:v>OG02</x:v>
      </x:c>
      <x:c r="I1220" s="17" t="str">
        <x:v>Time ancestry</x:v>
      </x:c>
      <x:c r="J1220" s="17" t="str">
        <x:v>primary, witness and public event clocks retain declared offsets and drift</x:v>
      </x:c>
      <x:c r="K1220" s="17" t="str">
        <x:v>Time authority</x:v>
      </x:c>
      <x:c r="L1220" s="9" t="n">
        <x:v>0</x:v>
      </x:c>
      <x:c r="M1220" s="9" t="n">
        <x:v>0</x:v>
      </x:c>
      <x:c r="N1220" s="9" t="str">
        <x:v>OPEN / UNACCEPTED</x:v>
      </x:c>
      <x:c r="O1220" s="9" t="n">
        <x:f>COUNTIFS($A$7:$A$1734,A1220)</x:f>
        <x:v>1</x:v>
      </x:c>
    </x:row>
    <x:row r="1221">
      <x:c r="A1221" s="9" t="str">
        <x:v>EV-AR-LF-B-A-TECH-4-B1-RCN-G0-OG03</x:v>
      </x:c>
      <x:c r="B1221" s="9" t="str">
        <x:v>EV-AR-LF-B-A-TECH-4-B1-RCN-G0</x:v>
      </x:c>
      <x:c r="C1221" s="9" t="str">
        <x:v>AR-LF-B-A-TECH-4-B1-RCN-G0</x:v>
      </x:c>
      <x:c r="D1221" s="9" t="str">
        <x:v>LF-B-A-TECH-4</x:v>
      </x:c>
      <x:c r="E1221" s="9" t="str">
        <x:v>LF-B-A</x:v>
      </x:c>
      <x:c r="F1221" s="9" t="str">
        <x:v>B1</x:v>
      </x:c>
      <x:c r="G1221" s="9" t="str">
        <x:v>RCN</x:v>
      </x:c>
      <x:c r="H1221" s="9" t="str">
        <x:v>OG03</x:v>
      </x:c>
      <x:c r="I1221" s="17" t="str">
        <x:v>Calibration ancestry</x:v>
      </x:c>
      <x:c r="J1221" s="17" t="str">
        <x:v>all reference, range and uncertainty states cover the live interval</x:v>
      </x:c>
      <x:c r="K1221" s="17" t="str">
        <x:v>Metrology courts</x:v>
      </x:c>
      <x:c r="L1221" s="9" t="n">
        <x:v>0</x:v>
      </x:c>
      <x:c r="M1221" s="9" t="n">
        <x:v>0</x:v>
      </x:c>
      <x:c r="N1221" s="9" t="str">
        <x:v>OPEN / UNACCEPTED</x:v>
      </x:c>
      <x:c r="O1221" s="9" t="n">
        <x:f>COUNTIFS($A$7:$A$1734,A1221)</x:f>
        <x:v>1</x:v>
      </x:c>
    </x:row>
    <x:row r="1222">
      <x:c r="A1222" s="9" t="str">
        <x:v>EV-AR-LF-B-A-TECH-4-B1-RCN-G0-OG04</x:v>
      </x:c>
      <x:c r="B1222" s="9" t="str">
        <x:v>EV-AR-LF-B-A-TECH-4-B1-RCN-G0</x:v>
      </x:c>
      <x:c r="C1222" s="9" t="str">
        <x:v>AR-LF-B-A-TECH-4-B1-RCN-G0</x:v>
      </x:c>
      <x:c r="D1222" s="9" t="str">
        <x:v>LF-B-A-TECH-4</x:v>
      </x:c>
      <x:c r="E1222" s="9" t="str">
        <x:v>LF-B-A</x:v>
      </x:c>
      <x:c r="F1222" s="9" t="str">
        <x:v>B1</x:v>
      </x:c>
      <x:c r="G1222" s="9" t="str">
        <x:v>RCN</x:v>
      </x:c>
      <x:c r="H1222" s="9" t="str">
        <x:v>OG04</x:v>
      </x:c>
      <x:c r="I1222" s="17" t="str">
        <x:v>Raw completeness</x:v>
      </x:c>
      <x:c r="J1222" s="17" t="str">
        <x:v>missingness is enumerated without imputation or outcome-conditioned deletion</x:v>
      </x:c>
      <x:c r="K1222" s="17" t="str">
        <x:v>Observation court</x:v>
      </x:c>
      <x:c r="L1222" s="9" t="n">
        <x:v>0</x:v>
      </x:c>
      <x:c r="M1222" s="9" t="n">
        <x:v>0</x:v>
      </x:c>
      <x:c r="N1222" s="9" t="str">
        <x:v>OPEN / UNACCEPTED</x:v>
      </x:c>
      <x:c r="O1222" s="9" t="n">
        <x:f>COUNTIFS($A$7:$A$1734,A1222)</x:f>
        <x:v>1</x:v>
      </x:c>
    </x:row>
    <x:row r="1223">
      <x:c r="A1223" s="9" t="str">
        <x:v>EV-AR-LF-B-A-TECH-4-B1-RCN-G0-OG05</x:v>
      </x:c>
      <x:c r="B1223" s="9" t="str">
        <x:v>EV-AR-LF-B-A-TECH-4-B1-RCN-G0</x:v>
      </x:c>
      <x:c r="C1223" s="9" t="str">
        <x:v>AR-LF-B-A-TECH-4-B1-RCN-G0</x:v>
      </x:c>
      <x:c r="D1223" s="9" t="str">
        <x:v>LF-B-A-TECH-4</x:v>
      </x:c>
      <x:c r="E1223" s="9" t="str">
        <x:v>LF-B-A</x:v>
      </x:c>
      <x:c r="F1223" s="9" t="str">
        <x:v>B1</x:v>
      </x:c>
      <x:c r="G1223" s="9" t="str">
        <x:v>RCN</x:v>
      </x:c>
      <x:c r="H1223" s="9" t="str">
        <x:v>OG05</x:v>
      </x:c>
      <x:c r="I1223" s="17" t="str">
        <x:v>Primary provenance</x:v>
      </x:c>
      <x:c r="J1223" s="17" t="str">
        <x:v>primary originals, hashes, keys and access history reconcile</x:v>
      </x:c>
      <x:c r="K1223" s="17" t="str">
        <x:v>Primary custody</x:v>
      </x:c>
      <x:c r="L1223" s="9" t="n">
        <x:v>0</x:v>
      </x:c>
      <x:c r="M1223" s="9" t="n">
        <x:v>0</x:v>
      </x:c>
      <x:c r="N1223" s="9" t="str">
        <x:v>OPEN / UNACCEPTED</x:v>
      </x:c>
      <x:c r="O1223" s="9" t="n">
        <x:f>COUNTIFS($A$7:$A$1734,A1223)</x:f>
        <x:v>1</x:v>
      </x:c>
    </x:row>
    <x:row r="1224">
      <x:c r="A1224" s="9" t="str">
        <x:v>EV-AR-LF-B-A-TECH-4-B1-RCN-G0-OG06</x:v>
      </x:c>
      <x:c r="B1224" s="9" t="str">
        <x:v>EV-AR-LF-B-A-TECH-4-B1-RCN-G0</x:v>
      </x:c>
      <x:c r="C1224" s="9" t="str">
        <x:v>AR-LF-B-A-TECH-4-B1-RCN-G0</x:v>
      </x:c>
      <x:c r="D1224" s="9" t="str">
        <x:v>LF-B-A-TECH-4</x:v>
      </x:c>
      <x:c r="E1224" s="9" t="str">
        <x:v>LF-B-A</x:v>
      </x:c>
      <x:c r="F1224" s="9" t="str">
        <x:v>B1</x:v>
      </x:c>
      <x:c r="G1224" s="9" t="str">
        <x:v>RCN</x:v>
      </x:c>
      <x:c r="H1224" s="9" t="str">
        <x:v>OG06</x:v>
      </x:c>
      <x:c r="I1224" s="17" t="str">
        <x:v>Witness provenance</x:v>
      </x:c>
      <x:c r="J1224" s="17" t="str">
        <x:v>unlike witness originals, hashes, keys and access history reconcile</x:v>
      </x:c>
      <x:c r="K1224" s="17" t="str">
        <x:v>Witness custody</x:v>
      </x:c>
      <x:c r="L1224" s="9" t="n">
        <x:v>0</x:v>
      </x:c>
      <x:c r="M1224" s="9" t="n">
        <x:v>0</x:v>
      </x:c>
      <x:c r="N1224" s="9" t="str">
        <x:v>OPEN / UNACCEPTED</x:v>
      </x:c>
      <x:c r="O1224" s="9" t="n">
        <x:f>COUNTIFS($A$7:$A$1734,A1224)</x:f>
        <x:v>1</x:v>
      </x:c>
    </x:row>
    <x:row r="1225">
      <x:c r="A1225" s="9" t="str">
        <x:v>EV-AR-LF-B-A-TECH-4-B1-RCN-G0-OG07</x:v>
      </x:c>
      <x:c r="B1225" s="9" t="str">
        <x:v>EV-AR-LF-B-A-TECH-4-B1-RCN-G0</x:v>
      </x:c>
      <x:c r="C1225" s="9" t="str">
        <x:v>AR-LF-B-A-TECH-4-B1-RCN-G0</x:v>
      </x:c>
      <x:c r="D1225" s="9" t="str">
        <x:v>LF-B-A-TECH-4</x:v>
      </x:c>
      <x:c r="E1225" s="9" t="str">
        <x:v>LF-B-A</x:v>
      </x:c>
      <x:c r="F1225" s="9" t="str">
        <x:v>B1</x:v>
      </x:c>
      <x:c r="G1225" s="9" t="str">
        <x:v>RCN</x:v>
      </x:c>
      <x:c r="H1225" s="9" t="str">
        <x:v>OG07</x:v>
      </x:c>
      <x:c r="I1225" s="17" t="str">
        <x:v>Receiver denominator</x:v>
      </x:c>
      <x:c r="J1225" s="17" t="str">
        <x:v>population, quantity, duration and exclusions match the frozen receipt</x:v>
      </x:c>
      <x:c r="K1225" s="17" t="str">
        <x:v>Receiver court</x:v>
      </x:c>
      <x:c r="L1225" s="9" t="n">
        <x:v>0</x:v>
      </x:c>
      <x:c r="M1225" s="9" t="n">
        <x:v>0</x:v>
      </x:c>
      <x:c r="N1225" s="9" t="str">
        <x:v>OPEN / UNACCEPTED</x:v>
      </x:c>
      <x:c r="O1225" s="9" t="n">
        <x:f>COUNTIFS($A$7:$A$1734,A1225)</x:f>
        <x:v>1</x:v>
      </x:c>
    </x:row>
    <x:row r="1226">
      <x:c r="A1226" s="9" t="str">
        <x:v>EV-AR-LF-B-A-TECH-4-B1-RCN-G0-OG08</x:v>
      </x:c>
      <x:c r="B1226" s="9" t="str">
        <x:v>EV-AR-LF-B-A-TECH-4-B1-RCN-G0</x:v>
      </x:c>
      <x:c r="C1226" s="9" t="str">
        <x:v>AR-LF-B-A-TECH-4-B1-RCN-G0</x:v>
      </x:c>
      <x:c r="D1226" s="9" t="str">
        <x:v>LF-B-A-TECH-4</x:v>
      </x:c>
      <x:c r="E1226" s="9" t="str">
        <x:v>LF-B-A</x:v>
      </x:c>
      <x:c r="F1226" s="9" t="str">
        <x:v>B1</x:v>
      </x:c>
      <x:c r="G1226" s="9" t="str">
        <x:v>RCN</x:v>
      </x:c>
      <x:c r="H1226" s="9" t="str">
        <x:v>OG08</x:v>
      </x:c>
      <x:c r="I1226" s="17" t="str">
        <x:v>Environment and boundary</x:v>
      </x:c>
      <x:c r="J1226" s="17" t="str">
        <x:v>registered weather, water, ground, inlet and outlet states are retained</x:v>
      </x:c>
      <x:c r="K1226" s="17" t="str">
        <x:v>Boundary court</x:v>
      </x:c>
      <x:c r="L1226" s="9" t="n">
        <x:v>0</x:v>
      </x:c>
      <x:c r="M1226" s="9" t="n">
        <x:v>0</x:v>
      </x:c>
      <x:c r="N1226" s="9" t="str">
        <x:v>OPEN / UNACCEPTED</x:v>
      </x:c>
      <x:c r="O1226" s="9" t="n">
        <x:f>COUNTIFS($A$7:$A$1734,A1226)</x:f>
        <x:v>1</x:v>
      </x:c>
    </x:row>
    <x:row r="1227">
      <x:c r="A1227" s="9" t="str">
        <x:v>EV-AR-LF-B-A-TECH-4-B1-RCN-G0-OG09</x:v>
      </x:c>
      <x:c r="B1227" s="9" t="str">
        <x:v>EV-AR-LF-B-A-TECH-4-B1-RCN-G0</x:v>
      </x:c>
      <x:c r="C1227" s="9" t="str">
        <x:v>AR-LF-B-A-TECH-4-B1-RCN-G0</x:v>
      </x:c>
      <x:c r="D1227" s="9" t="str">
        <x:v>LF-B-A-TECH-4</x:v>
      </x:c>
      <x:c r="E1227" s="9" t="str">
        <x:v>LF-B-A</x:v>
      </x:c>
      <x:c r="F1227" s="9" t="str">
        <x:v>B1</x:v>
      </x:c>
      <x:c r="G1227" s="9" t="str">
        <x:v>RCN</x:v>
      </x:c>
      <x:c r="H1227" s="9" t="str">
        <x:v>OG09</x:v>
      </x:c>
      <x:c r="I1227" s="17" t="str">
        <x:v>Intervention account</x:v>
      </x:c>
      <x:c r="J1227" s="17" t="str">
        <x:v>all stop, rescue, operator and public-protection actions remain timestamped</x:v>
      </x:c>
      <x:c r="K1227" s="17" t="str">
        <x:v>Safety record court</x:v>
      </x:c>
      <x:c r="L1227" s="9" t="n">
        <x:v>0</x:v>
      </x:c>
      <x:c r="M1227" s="9" t="n">
        <x:v>0</x:v>
      </x:c>
      <x:c r="N1227" s="9" t="str">
        <x:v>OPEN / UNACCEPTED</x:v>
      </x:c>
      <x:c r="O1227" s="9" t="n">
        <x:f>COUNTIFS($A$7:$A$1734,A1227)</x:f>
        <x:v>1</x:v>
      </x:c>
    </x:row>
    <x:row r="1228">
      <x:c r="A1228" s="9" t="str">
        <x:v>EV-AR-LF-B-A-TECH-4-B1-RCN-G0-OG10</x:v>
      </x:c>
      <x:c r="B1228" s="9" t="str">
        <x:v>EV-AR-LF-B-A-TECH-4-B1-RCN-G0</x:v>
      </x:c>
      <x:c r="C1228" s="9" t="str">
        <x:v>AR-LF-B-A-TECH-4-B1-RCN-G0</x:v>
      </x:c>
      <x:c r="D1228" s="9" t="str">
        <x:v>LF-B-A-TECH-4</x:v>
      </x:c>
      <x:c r="E1228" s="9" t="str">
        <x:v>LF-B-A</x:v>
      </x:c>
      <x:c r="F1228" s="9" t="str">
        <x:v>B1</x:v>
      </x:c>
      <x:c r="G1228" s="9" t="str">
        <x:v>RCN</x:v>
      </x:c>
      <x:c r="H1228" s="9" t="str">
        <x:v>OG10</x:v>
      </x:c>
      <x:c r="I1228" s="17" t="str">
        <x:v>Uncertainty statement</x:v>
      </x:c>
      <x:c r="J1228" s="17" t="str">
        <x:v>range, censoring, resolution and correlation are declared before judgment</x:v>
      </x:c>
      <x:c r="K1228" s="17" t="str">
        <x:v>Uncertainty authority</x:v>
      </x:c>
      <x:c r="L1228" s="9" t="n">
        <x:v>0</x:v>
      </x:c>
      <x:c r="M1228" s="9" t="n">
        <x:v>0</x:v>
      </x:c>
      <x:c r="N1228" s="9" t="str">
        <x:v>OPEN / UNACCEPTED</x:v>
      </x:c>
      <x:c r="O1228" s="9" t="n">
        <x:f>COUNTIFS($A$7:$A$1734,A1228)</x:f>
        <x:v>1</x:v>
      </x:c>
    </x:row>
    <x:row r="1229">
      <x:c r="A1229" s="9" t="str">
        <x:v>EV-AR-LF-B-A-TECH-4-B1-RCN-G0-OG11</x:v>
      </x:c>
      <x:c r="B1229" s="9" t="str">
        <x:v>EV-AR-LF-B-A-TECH-4-B1-RCN-G0</x:v>
      </x:c>
      <x:c r="C1229" s="9" t="str">
        <x:v>AR-LF-B-A-TECH-4-B1-RCN-G0</x:v>
      </x:c>
      <x:c r="D1229" s="9" t="str">
        <x:v>LF-B-A-TECH-4</x:v>
      </x:c>
      <x:c r="E1229" s="9" t="str">
        <x:v>LF-B-A</x:v>
      </x:c>
      <x:c r="F1229" s="9" t="str">
        <x:v>B1</x:v>
      </x:c>
      <x:c r="G1229" s="9" t="str">
        <x:v>RCN</x:v>
      </x:c>
      <x:c r="H1229" s="9" t="str">
        <x:v>OG11</x:v>
      </x:c>
      <x:c r="I1229" s="17" t="str">
        <x:v>Contradiction preservation</x:v>
      </x:c>
      <x:c r="J1229" s="17" t="str">
        <x:v>primary-witness disagreement remains explicit and is never averaged away</x:v>
      </x:c>
      <x:c r="K1229" s="17" t="str">
        <x:v>Dissent registrar</x:v>
      </x:c>
      <x:c r="L1229" s="9" t="n">
        <x:v>0</x:v>
      </x:c>
      <x:c r="M1229" s="9" t="n">
        <x:v>0</x:v>
      </x:c>
      <x:c r="N1229" s="9" t="str">
        <x:v>OPEN / UNACCEPTED</x:v>
      </x:c>
      <x:c r="O1229" s="9" t="n">
        <x:f>COUNTIFS($A$7:$A$1734,A1229)</x:f>
        <x:v>1</x:v>
      </x:c>
    </x:row>
    <x:row r="1230">
      <x:c r="A1230" s="9" t="str">
        <x:v>EV-AR-LF-B-A-TECH-4-B1-RCN-G0-OG12</x:v>
      </x:c>
      <x:c r="B1230" s="9" t="str">
        <x:v>EV-AR-LF-B-A-TECH-4-B1-RCN-G0</x:v>
      </x:c>
      <x:c r="C1230" s="9" t="str">
        <x:v>AR-LF-B-A-TECH-4-B1-RCN-G0</x:v>
      </x:c>
      <x:c r="D1230" s="9" t="str">
        <x:v>LF-B-A-TECH-4</x:v>
      </x:c>
      <x:c r="E1230" s="9" t="str">
        <x:v>LF-B-A</x:v>
      </x:c>
      <x:c r="F1230" s="9" t="str">
        <x:v>B1</x:v>
      </x:c>
      <x:c r="G1230" s="9" t="str">
        <x:v>RCN</x:v>
      </x:c>
      <x:c r="H1230" s="9" t="str">
        <x:v>OG12</x:v>
      </x:c>
      <x:c r="I1230" s="17" t="str">
        <x:v>Independent replay</x:v>
      </x:c>
      <x:c r="J1230" s="17" t="str">
        <x:v>a separated reader reconstructs the registered observables from sealed originals</x:v>
      </x:c>
      <x:c r="K1230" s="17" t="str">
        <x:v>Replay court</x:v>
      </x:c>
      <x:c r="L1230" s="9" t="n">
        <x:v>0</x:v>
      </x:c>
      <x:c r="M1230" s="9" t="n">
        <x:v>0</x:v>
      </x:c>
      <x:c r="N1230" s="9" t="str">
        <x:v>OPEN / UNACCEPTED</x:v>
      </x:c>
      <x:c r="O1230" s="9" t="n">
        <x:f>COUNTIFS($A$7:$A$1734,A1230)</x:f>
        <x:v>1</x:v>
      </x:c>
    </x:row>
    <x:row r="1231">
      <x:c r="A1231" s="9" t="str">
        <x:v>EV-AR-CT-C-B-TECH-2-B1-BRK-G0-OG01</x:v>
      </x:c>
      <x:c r="B1231" s="9" t="str">
        <x:v>EV-AR-CT-C-B-TECH-2-B1-BRK-G0</x:v>
      </x:c>
      <x:c r="C1231" s="9" t="str">
        <x:v>AR-CT-C-B-TECH-2-B1-BRK-G0</x:v>
      </x:c>
      <x:c r="D1231" s="9" t="str">
        <x:v>CT-C-B-TECH-2</x:v>
      </x:c>
      <x:c r="E1231" s="9" t="str">
        <x:v>CT-C-B</x:v>
      </x:c>
      <x:c r="F1231" s="9" t="str">
        <x:v>B1</x:v>
      </x:c>
      <x:c r="G1231" s="9" t="str">
        <x:v>BRK</x:v>
      </x:c>
      <x:c r="H1231" s="9" t="str">
        <x:v>OG01</x:v>
      </x:c>
      <x:c r="I1231" s="17" t="str">
        <x:v>Serial and event identity</x:v>
      </x:c>
      <x:c r="J1231" s="17" t="str">
        <x:v>record resolves to the issued serial, generation and physical start</x:v>
      </x:c>
      <x:c r="K1231" s="17" t="str">
        <x:v>Observation court</x:v>
      </x:c>
      <x:c r="L1231" s="9" t="n">
        <x:v>0</x:v>
      </x:c>
      <x:c r="M1231" s="9" t="n">
        <x:v>0</x:v>
      </x:c>
      <x:c r="N1231" s="9" t="str">
        <x:v>OPEN / UNACCEPTED</x:v>
      </x:c>
      <x:c r="O1231" s="9" t="n">
        <x:f>COUNTIFS($A$7:$A$1734,A1231)</x:f>
        <x:v>1</x:v>
      </x:c>
    </x:row>
    <x:row r="1232">
      <x:c r="A1232" s="9" t="str">
        <x:v>EV-AR-CT-C-B-TECH-2-B1-BRK-G0-OG02</x:v>
      </x:c>
      <x:c r="B1232" s="9" t="str">
        <x:v>EV-AR-CT-C-B-TECH-2-B1-BRK-G0</x:v>
      </x:c>
      <x:c r="C1232" s="9" t="str">
        <x:v>AR-CT-C-B-TECH-2-B1-BRK-G0</x:v>
      </x:c>
      <x:c r="D1232" s="9" t="str">
        <x:v>CT-C-B-TECH-2</x:v>
      </x:c>
      <x:c r="E1232" s="9" t="str">
        <x:v>CT-C-B</x:v>
      </x:c>
      <x:c r="F1232" s="9" t="str">
        <x:v>B1</x:v>
      </x:c>
      <x:c r="G1232" s="9" t="str">
        <x:v>BRK</x:v>
      </x:c>
      <x:c r="H1232" s="9" t="str">
        <x:v>OG02</x:v>
      </x:c>
      <x:c r="I1232" s="17" t="str">
        <x:v>Time ancestry</x:v>
      </x:c>
      <x:c r="J1232" s="17" t="str">
        <x:v>primary, witness and public event clocks retain declared offsets and drift</x:v>
      </x:c>
      <x:c r="K1232" s="17" t="str">
        <x:v>Time authority</x:v>
      </x:c>
      <x:c r="L1232" s="9" t="n">
        <x:v>0</x:v>
      </x:c>
      <x:c r="M1232" s="9" t="n">
        <x:v>0</x:v>
      </x:c>
      <x:c r="N1232" s="9" t="str">
        <x:v>OPEN / UNACCEPTED</x:v>
      </x:c>
      <x:c r="O1232" s="9" t="n">
        <x:f>COUNTIFS($A$7:$A$1734,A1232)</x:f>
        <x:v>1</x:v>
      </x:c>
    </x:row>
    <x:row r="1233">
      <x:c r="A1233" s="9" t="str">
        <x:v>EV-AR-CT-C-B-TECH-2-B1-BRK-G0-OG03</x:v>
      </x:c>
      <x:c r="B1233" s="9" t="str">
        <x:v>EV-AR-CT-C-B-TECH-2-B1-BRK-G0</x:v>
      </x:c>
      <x:c r="C1233" s="9" t="str">
        <x:v>AR-CT-C-B-TECH-2-B1-BRK-G0</x:v>
      </x:c>
      <x:c r="D1233" s="9" t="str">
        <x:v>CT-C-B-TECH-2</x:v>
      </x:c>
      <x:c r="E1233" s="9" t="str">
        <x:v>CT-C-B</x:v>
      </x:c>
      <x:c r="F1233" s="9" t="str">
        <x:v>B1</x:v>
      </x:c>
      <x:c r="G1233" s="9" t="str">
        <x:v>BRK</x:v>
      </x:c>
      <x:c r="H1233" s="9" t="str">
        <x:v>OG03</x:v>
      </x:c>
      <x:c r="I1233" s="17" t="str">
        <x:v>Calibration ancestry</x:v>
      </x:c>
      <x:c r="J1233" s="17" t="str">
        <x:v>all reference, range and uncertainty states cover the live interval</x:v>
      </x:c>
      <x:c r="K1233" s="17" t="str">
        <x:v>Metrology courts</x:v>
      </x:c>
      <x:c r="L1233" s="9" t="n">
        <x:v>0</x:v>
      </x:c>
      <x:c r="M1233" s="9" t="n">
        <x:v>0</x:v>
      </x:c>
      <x:c r="N1233" s="9" t="str">
        <x:v>OPEN / UNACCEPTED</x:v>
      </x:c>
      <x:c r="O1233" s="9" t="n">
        <x:f>COUNTIFS($A$7:$A$1734,A1233)</x:f>
        <x:v>1</x:v>
      </x:c>
    </x:row>
    <x:row r="1234">
      <x:c r="A1234" s="9" t="str">
        <x:v>EV-AR-CT-C-B-TECH-2-B1-BRK-G0-OG04</x:v>
      </x:c>
      <x:c r="B1234" s="9" t="str">
        <x:v>EV-AR-CT-C-B-TECH-2-B1-BRK-G0</x:v>
      </x:c>
      <x:c r="C1234" s="9" t="str">
        <x:v>AR-CT-C-B-TECH-2-B1-BRK-G0</x:v>
      </x:c>
      <x:c r="D1234" s="9" t="str">
        <x:v>CT-C-B-TECH-2</x:v>
      </x:c>
      <x:c r="E1234" s="9" t="str">
        <x:v>CT-C-B</x:v>
      </x:c>
      <x:c r="F1234" s="9" t="str">
        <x:v>B1</x:v>
      </x:c>
      <x:c r="G1234" s="9" t="str">
        <x:v>BRK</x:v>
      </x:c>
      <x:c r="H1234" s="9" t="str">
        <x:v>OG04</x:v>
      </x:c>
      <x:c r="I1234" s="17" t="str">
        <x:v>Raw completeness</x:v>
      </x:c>
      <x:c r="J1234" s="17" t="str">
        <x:v>missingness is enumerated without imputation or outcome-conditioned deletion</x:v>
      </x:c>
      <x:c r="K1234" s="17" t="str">
        <x:v>Observation court</x:v>
      </x:c>
      <x:c r="L1234" s="9" t="n">
        <x:v>0</x:v>
      </x:c>
      <x:c r="M1234" s="9" t="n">
        <x:v>0</x:v>
      </x:c>
      <x:c r="N1234" s="9" t="str">
        <x:v>OPEN / UNACCEPTED</x:v>
      </x:c>
      <x:c r="O1234" s="9" t="n">
        <x:f>COUNTIFS($A$7:$A$1734,A1234)</x:f>
        <x:v>1</x:v>
      </x:c>
    </x:row>
    <x:row r="1235">
      <x:c r="A1235" s="9" t="str">
        <x:v>EV-AR-CT-C-B-TECH-2-B1-BRK-G0-OG05</x:v>
      </x:c>
      <x:c r="B1235" s="9" t="str">
        <x:v>EV-AR-CT-C-B-TECH-2-B1-BRK-G0</x:v>
      </x:c>
      <x:c r="C1235" s="9" t="str">
        <x:v>AR-CT-C-B-TECH-2-B1-BRK-G0</x:v>
      </x:c>
      <x:c r="D1235" s="9" t="str">
        <x:v>CT-C-B-TECH-2</x:v>
      </x:c>
      <x:c r="E1235" s="9" t="str">
        <x:v>CT-C-B</x:v>
      </x:c>
      <x:c r="F1235" s="9" t="str">
        <x:v>B1</x:v>
      </x:c>
      <x:c r="G1235" s="9" t="str">
        <x:v>BRK</x:v>
      </x:c>
      <x:c r="H1235" s="9" t="str">
        <x:v>OG05</x:v>
      </x:c>
      <x:c r="I1235" s="17" t="str">
        <x:v>Primary provenance</x:v>
      </x:c>
      <x:c r="J1235" s="17" t="str">
        <x:v>primary originals, hashes, keys and access history reconcile</x:v>
      </x:c>
      <x:c r="K1235" s="17" t="str">
        <x:v>Primary custody</x:v>
      </x:c>
      <x:c r="L1235" s="9" t="n">
        <x:v>0</x:v>
      </x:c>
      <x:c r="M1235" s="9" t="n">
        <x:v>0</x:v>
      </x:c>
      <x:c r="N1235" s="9" t="str">
        <x:v>OPEN / UNACCEPTED</x:v>
      </x:c>
      <x:c r="O1235" s="9" t="n">
        <x:f>COUNTIFS($A$7:$A$1734,A1235)</x:f>
        <x:v>1</x:v>
      </x:c>
    </x:row>
    <x:row r="1236">
      <x:c r="A1236" s="9" t="str">
        <x:v>EV-AR-CT-C-B-TECH-2-B1-BRK-G0-OG06</x:v>
      </x:c>
      <x:c r="B1236" s="9" t="str">
        <x:v>EV-AR-CT-C-B-TECH-2-B1-BRK-G0</x:v>
      </x:c>
      <x:c r="C1236" s="9" t="str">
        <x:v>AR-CT-C-B-TECH-2-B1-BRK-G0</x:v>
      </x:c>
      <x:c r="D1236" s="9" t="str">
        <x:v>CT-C-B-TECH-2</x:v>
      </x:c>
      <x:c r="E1236" s="9" t="str">
        <x:v>CT-C-B</x:v>
      </x:c>
      <x:c r="F1236" s="9" t="str">
        <x:v>B1</x:v>
      </x:c>
      <x:c r="G1236" s="9" t="str">
        <x:v>BRK</x:v>
      </x:c>
      <x:c r="H1236" s="9" t="str">
        <x:v>OG06</x:v>
      </x:c>
      <x:c r="I1236" s="17" t="str">
        <x:v>Witness provenance</x:v>
      </x:c>
      <x:c r="J1236" s="17" t="str">
        <x:v>unlike witness originals, hashes, keys and access history reconcile</x:v>
      </x:c>
      <x:c r="K1236" s="17" t="str">
        <x:v>Witness custody</x:v>
      </x:c>
      <x:c r="L1236" s="9" t="n">
        <x:v>0</x:v>
      </x:c>
      <x:c r="M1236" s="9" t="n">
        <x:v>0</x:v>
      </x:c>
      <x:c r="N1236" s="9" t="str">
        <x:v>OPEN / UNACCEPTED</x:v>
      </x:c>
      <x:c r="O1236" s="9" t="n">
        <x:f>COUNTIFS($A$7:$A$1734,A1236)</x:f>
        <x:v>1</x:v>
      </x:c>
    </x:row>
    <x:row r="1237">
      <x:c r="A1237" s="9" t="str">
        <x:v>EV-AR-CT-C-B-TECH-2-B1-BRK-G0-OG07</x:v>
      </x:c>
      <x:c r="B1237" s="9" t="str">
        <x:v>EV-AR-CT-C-B-TECH-2-B1-BRK-G0</x:v>
      </x:c>
      <x:c r="C1237" s="9" t="str">
        <x:v>AR-CT-C-B-TECH-2-B1-BRK-G0</x:v>
      </x:c>
      <x:c r="D1237" s="9" t="str">
        <x:v>CT-C-B-TECH-2</x:v>
      </x:c>
      <x:c r="E1237" s="9" t="str">
        <x:v>CT-C-B</x:v>
      </x:c>
      <x:c r="F1237" s="9" t="str">
        <x:v>B1</x:v>
      </x:c>
      <x:c r="G1237" s="9" t="str">
        <x:v>BRK</x:v>
      </x:c>
      <x:c r="H1237" s="9" t="str">
        <x:v>OG07</x:v>
      </x:c>
      <x:c r="I1237" s="17" t="str">
        <x:v>Receiver denominator</x:v>
      </x:c>
      <x:c r="J1237" s="17" t="str">
        <x:v>population, quantity, duration and exclusions match the frozen receipt</x:v>
      </x:c>
      <x:c r="K1237" s="17" t="str">
        <x:v>Receiver court</x:v>
      </x:c>
      <x:c r="L1237" s="9" t="n">
        <x:v>0</x:v>
      </x:c>
      <x:c r="M1237" s="9" t="n">
        <x:v>0</x:v>
      </x:c>
      <x:c r="N1237" s="9" t="str">
        <x:v>OPEN / UNACCEPTED</x:v>
      </x:c>
      <x:c r="O1237" s="9" t="n">
        <x:f>COUNTIFS($A$7:$A$1734,A1237)</x:f>
        <x:v>1</x:v>
      </x:c>
    </x:row>
    <x:row r="1238">
      <x:c r="A1238" s="9" t="str">
        <x:v>EV-AR-CT-C-B-TECH-2-B1-BRK-G0-OG08</x:v>
      </x:c>
      <x:c r="B1238" s="9" t="str">
        <x:v>EV-AR-CT-C-B-TECH-2-B1-BRK-G0</x:v>
      </x:c>
      <x:c r="C1238" s="9" t="str">
        <x:v>AR-CT-C-B-TECH-2-B1-BRK-G0</x:v>
      </x:c>
      <x:c r="D1238" s="9" t="str">
        <x:v>CT-C-B-TECH-2</x:v>
      </x:c>
      <x:c r="E1238" s="9" t="str">
        <x:v>CT-C-B</x:v>
      </x:c>
      <x:c r="F1238" s="9" t="str">
        <x:v>B1</x:v>
      </x:c>
      <x:c r="G1238" s="9" t="str">
        <x:v>BRK</x:v>
      </x:c>
      <x:c r="H1238" s="9" t="str">
        <x:v>OG08</x:v>
      </x:c>
      <x:c r="I1238" s="17" t="str">
        <x:v>Environment and boundary</x:v>
      </x:c>
      <x:c r="J1238" s="17" t="str">
        <x:v>registered weather, water, ground, inlet and outlet states are retained</x:v>
      </x:c>
      <x:c r="K1238" s="17" t="str">
        <x:v>Boundary court</x:v>
      </x:c>
      <x:c r="L1238" s="9" t="n">
        <x:v>0</x:v>
      </x:c>
      <x:c r="M1238" s="9" t="n">
        <x:v>0</x:v>
      </x:c>
      <x:c r="N1238" s="9" t="str">
        <x:v>OPEN / UNACCEPTED</x:v>
      </x:c>
      <x:c r="O1238" s="9" t="n">
        <x:f>COUNTIFS($A$7:$A$1734,A1238)</x:f>
        <x:v>1</x:v>
      </x:c>
    </x:row>
    <x:row r="1239">
      <x:c r="A1239" s="9" t="str">
        <x:v>EV-AR-CT-C-B-TECH-2-B1-BRK-G0-OG09</x:v>
      </x:c>
      <x:c r="B1239" s="9" t="str">
        <x:v>EV-AR-CT-C-B-TECH-2-B1-BRK-G0</x:v>
      </x:c>
      <x:c r="C1239" s="9" t="str">
        <x:v>AR-CT-C-B-TECH-2-B1-BRK-G0</x:v>
      </x:c>
      <x:c r="D1239" s="9" t="str">
        <x:v>CT-C-B-TECH-2</x:v>
      </x:c>
      <x:c r="E1239" s="9" t="str">
        <x:v>CT-C-B</x:v>
      </x:c>
      <x:c r="F1239" s="9" t="str">
        <x:v>B1</x:v>
      </x:c>
      <x:c r="G1239" s="9" t="str">
        <x:v>BRK</x:v>
      </x:c>
      <x:c r="H1239" s="9" t="str">
        <x:v>OG09</x:v>
      </x:c>
      <x:c r="I1239" s="17" t="str">
        <x:v>Intervention account</x:v>
      </x:c>
      <x:c r="J1239" s="17" t="str">
        <x:v>all stop, rescue, operator and public-protection actions remain timestamped</x:v>
      </x:c>
      <x:c r="K1239" s="17" t="str">
        <x:v>Safety record court</x:v>
      </x:c>
      <x:c r="L1239" s="9" t="n">
        <x:v>0</x:v>
      </x:c>
      <x:c r="M1239" s="9" t="n">
        <x:v>0</x:v>
      </x:c>
      <x:c r="N1239" s="9" t="str">
        <x:v>OPEN / UNACCEPTED</x:v>
      </x:c>
      <x:c r="O1239" s="9" t="n">
        <x:f>COUNTIFS($A$7:$A$1734,A1239)</x:f>
        <x:v>1</x:v>
      </x:c>
    </x:row>
    <x:row r="1240">
      <x:c r="A1240" s="9" t="str">
        <x:v>EV-AR-CT-C-B-TECH-2-B1-BRK-G0-OG10</x:v>
      </x:c>
      <x:c r="B1240" s="9" t="str">
        <x:v>EV-AR-CT-C-B-TECH-2-B1-BRK-G0</x:v>
      </x:c>
      <x:c r="C1240" s="9" t="str">
        <x:v>AR-CT-C-B-TECH-2-B1-BRK-G0</x:v>
      </x:c>
      <x:c r="D1240" s="9" t="str">
        <x:v>CT-C-B-TECH-2</x:v>
      </x:c>
      <x:c r="E1240" s="9" t="str">
        <x:v>CT-C-B</x:v>
      </x:c>
      <x:c r="F1240" s="9" t="str">
        <x:v>B1</x:v>
      </x:c>
      <x:c r="G1240" s="9" t="str">
        <x:v>BRK</x:v>
      </x:c>
      <x:c r="H1240" s="9" t="str">
        <x:v>OG10</x:v>
      </x:c>
      <x:c r="I1240" s="17" t="str">
        <x:v>Uncertainty statement</x:v>
      </x:c>
      <x:c r="J1240" s="17" t="str">
        <x:v>range, censoring, resolution and correlation are declared before judgment</x:v>
      </x:c>
      <x:c r="K1240" s="17" t="str">
        <x:v>Uncertainty authority</x:v>
      </x:c>
      <x:c r="L1240" s="9" t="n">
        <x:v>0</x:v>
      </x:c>
      <x:c r="M1240" s="9" t="n">
        <x:v>0</x:v>
      </x:c>
      <x:c r="N1240" s="9" t="str">
        <x:v>OPEN / UNACCEPTED</x:v>
      </x:c>
      <x:c r="O1240" s="9" t="n">
        <x:f>COUNTIFS($A$7:$A$1734,A1240)</x:f>
        <x:v>1</x:v>
      </x:c>
    </x:row>
    <x:row r="1241">
      <x:c r="A1241" s="9" t="str">
        <x:v>EV-AR-CT-C-B-TECH-2-B1-BRK-G0-OG11</x:v>
      </x:c>
      <x:c r="B1241" s="9" t="str">
        <x:v>EV-AR-CT-C-B-TECH-2-B1-BRK-G0</x:v>
      </x:c>
      <x:c r="C1241" s="9" t="str">
        <x:v>AR-CT-C-B-TECH-2-B1-BRK-G0</x:v>
      </x:c>
      <x:c r="D1241" s="9" t="str">
        <x:v>CT-C-B-TECH-2</x:v>
      </x:c>
      <x:c r="E1241" s="9" t="str">
        <x:v>CT-C-B</x:v>
      </x:c>
      <x:c r="F1241" s="9" t="str">
        <x:v>B1</x:v>
      </x:c>
      <x:c r="G1241" s="9" t="str">
        <x:v>BRK</x:v>
      </x:c>
      <x:c r="H1241" s="9" t="str">
        <x:v>OG11</x:v>
      </x:c>
      <x:c r="I1241" s="17" t="str">
        <x:v>Contradiction preservation</x:v>
      </x:c>
      <x:c r="J1241" s="17" t="str">
        <x:v>primary-witness disagreement remains explicit and is never averaged away</x:v>
      </x:c>
      <x:c r="K1241" s="17" t="str">
        <x:v>Dissent registrar</x:v>
      </x:c>
      <x:c r="L1241" s="9" t="n">
        <x:v>0</x:v>
      </x:c>
      <x:c r="M1241" s="9" t="n">
        <x:v>0</x:v>
      </x:c>
      <x:c r="N1241" s="9" t="str">
        <x:v>OPEN / UNACCEPTED</x:v>
      </x:c>
      <x:c r="O1241" s="9" t="n">
        <x:f>COUNTIFS($A$7:$A$1734,A1241)</x:f>
        <x:v>1</x:v>
      </x:c>
    </x:row>
    <x:row r="1242">
      <x:c r="A1242" s="9" t="str">
        <x:v>EV-AR-CT-C-B-TECH-2-B1-BRK-G0-OG12</x:v>
      </x:c>
      <x:c r="B1242" s="9" t="str">
        <x:v>EV-AR-CT-C-B-TECH-2-B1-BRK-G0</x:v>
      </x:c>
      <x:c r="C1242" s="9" t="str">
        <x:v>AR-CT-C-B-TECH-2-B1-BRK-G0</x:v>
      </x:c>
      <x:c r="D1242" s="9" t="str">
        <x:v>CT-C-B-TECH-2</x:v>
      </x:c>
      <x:c r="E1242" s="9" t="str">
        <x:v>CT-C-B</x:v>
      </x:c>
      <x:c r="F1242" s="9" t="str">
        <x:v>B1</x:v>
      </x:c>
      <x:c r="G1242" s="9" t="str">
        <x:v>BRK</x:v>
      </x:c>
      <x:c r="H1242" s="9" t="str">
        <x:v>OG12</x:v>
      </x:c>
      <x:c r="I1242" s="17" t="str">
        <x:v>Independent replay</x:v>
      </x:c>
      <x:c r="J1242" s="17" t="str">
        <x:v>a separated reader reconstructs the registered observables from sealed originals</x:v>
      </x:c>
      <x:c r="K1242" s="17" t="str">
        <x:v>Replay court</x:v>
      </x:c>
      <x:c r="L1242" s="9" t="n">
        <x:v>0</x:v>
      </x:c>
      <x:c r="M1242" s="9" t="n">
        <x:v>0</x:v>
      </x:c>
      <x:c r="N1242" s="9" t="str">
        <x:v>OPEN / UNACCEPTED</x:v>
      </x:c>
      <x:c r="O1242" s="9" t="n">
        <x:f>COUNTIFS($A$7:$A$1734,A1242)</x:f>
        <x:v>1</x:v>
      </x:c>
    </x:row>
    <x:row r="1243">
      <x:c r="A1243" s="9" t="str">
        <x:v>EV-AR-ET-A-A-TECH-3-B1-BRK-G0-OG01</x:v>
      </x:c>
      <x:c r="B1243" s="9" t="str">
        <x:v>EV-AR-ET-A-A-TECH-3-B1-BRK-G0</x:v>
      </x:c>
      <x:c r="C1243" s="9" t="str">
        <x:v>AR-ET-A-A-TECH-3-B1-BRK-G0</x:v>
      </x:c>
      <x:c r="D1243" s="9" t="str">
        <x:v>ET-A-A-TECH-3</x:v>
      </x:c>
      <x:c r="E1243" s="9" t="str">
        <x:v>ET-A-A</x:v>
      </x:c>
      <x:c r="F1243" s="9" t="str">
        <x:v>B1</x:v>
      </x:c>
      <x:c r="G1243" s="9" t="str">
        <x:v>BRK</x:v>
      </x:c>
      <x:c r="H1243" s="9" t="str">
        <x:v>OG01</x:v>
      </x:c>
      <x:c r="I1243" s="17" t="str">
        <x:v>Serial and event identity</x:v>
      </x:c>
      <x:c r="J1243" s="17" t="str">
        <x:v>record resolves to the issued serial, generation and physical start</x:v>
      </x:c>
      <x:c r="K1243" s="17" t="str">
        <x:v>Observation court</x:v>
      </x:c>
      <x:c r="L1243" s="9" t="n">
        <x:v>0</x:v>
      </x:c>
      <x:c r="M1243" s="9" t="n">
        <x:v>0</x:v>
      </x:c>
      <x:c r="N1243" s="9" t="str">
        <x:v>OPEN / UNACCEPTED</x:v>
      </x:c>
      <x:c r="O1243" s="9" t="n">
        <x:f>COUNTIFS($A$7:$A$1734,A1243)</x:f>
        <x:v>1</x:v>
      </x:c>
    </x:row>
    <x:row r="1244">
      <x:c r="A1244" s="9" t="str">
        <x:v>EV-AR-ET-A-A-TECH-3-B1-BRK-G0-OG02</x:v>
      </x:c>
      <x:c r="B1244" s="9" t="str">
        <x:v>EV-AR-ET-A-A-TECH-3-B1-BRK-G0</x:v>
      </x:c>
      <x:c r="C1244" s="9" t="str">
        <x:v>AR-ET-A-A-TECH-3-B1-BRK-G0</x:v>
      </x:c>
      <x:c r="D1244" s="9" t="str">
        <x:v>ET-A-A-TECH-3</x:v>
      </x:c>
      <x:c r="E1244" s="9" t="str">
        <x:v>ET-A-A</x:v>
      </x:c>
      <x:c r="F1244" s="9" t="str">
        <x:v>B1</x:v>
      </x:c>
      <x:c r="G1244" s="9" t="str">
        <x:v>BRK</x:v>
      </x:c>
      <x:c r="H1244" s="9" t="str">
        <x:v>OG02</x:v>
      </x:c>
      <x:c r="I1244" s="17" t="str">
        <x:v>Time ancestry</x:v>
      </x:c>
      <x:c r="J1244" s="17" t="str">
        <x:v>primary, witness and public event clocks retain declared offsets and drift</x:v>
      </x:c>
      <x:c r="K1244" s="17" t="str">
        <x:v>Time authority</x:v>
      </x:c>
      <x:c r="L1244" s="9" t="n">
        <x:v>0</x:v>
      </x:c>
      <x:c r="M1244" s="9" t="n">
        <x:v>0</x:v>
      </x:c>
      <x:c r="N1244" s="9" t="str">
        <x:v>OPEN / UNACCEPTED</x:v>
      </x:c>
      <x:c r="O1244" s="9" t="n">
        <x:f>COUNTIFS($A$7:$A$1734,A1244)</x:f>
        <x:v>1</x:v>
      </x:c>
    </x:row>
    <x:row r="1245">
      <x:c r="A1245" s="9" t="str">
        <x:v>EV-AR-ET-A-A-TECH-3-B1-BRK-G0-OG03</x:v>
      </x:c>
      <x:c r="B1245" s="9" t="str">
        <x:v>EV-AR-ET-A-A-TECH-3-B1-BRK-G0</x:v>
      </x:c>
      <x:c r="C1245" s="9" t="str">
        <x:v>AR-ET-A-A-TECH-3-B1-BRK-G0</x:v>
      </x:c>
      <x:c r="D1245" s="9" t="str">
        <x:v>ET-A-A-TECH-3</x:v>
      </x:c>
      <x:c r="E1245" s="9" t="str">
        <x:v>ET-A-A</x:v>
      </x:c>
      <x:c r="F1245" s="9" t="str">
        <x:v>B1</x:v>
      </x:c>
      <x:c r="G1245" s="9" t="str">
        <x:v>BRK</x:v>
      </x:c>
      <x:c r="H1245" s="9" t="str">
        <x:v>OG03</x:v>
      </x:c>
      <x:c r="I1245" s="17" t="str">
        <x:v>Calibration ancestry</x:v>
      </x:c>
      <x:c r="J1245" s="17" t="str">
        <x:v>all reference, range and uncertainty states cover the live interval</x:v>
      </x:c>
      <x:c r="K1245" s="17" t="str">
        <x:v>Metrology courts</x:v>
      </x:c>
      <x:c r="L1245" s="9" t="n">
        <x:v>0</x:v>
      </x:c>
      <x:c r="M1245" s="9" t="n">
        <x:v>0</x:v>
      </x:c>
      <x:c r="N1245" s="9" t="str">
        <x:v>OPEN / UNACCEPTED</x:v>
      </x:c>
      <x:c r="O1245" s="9" t="n">
        <x:f>COUNTIFS($A$7:$A$1734,A1245)</x:f>
        <x:v>1</x:v>
      </x:c>
    </x:row>
    <x:row r="1246">
      <x:c r="A1246" s="9" t="str">
        <x:v>EV-AR-ET-A-A-TECH-3-B1-BRK-G0-OG04</x:v>
      </x:c>
      <x:c r="B1246" s="9" t="str">
        <x:v>EV-AR-ET-A-A-TECH-3-B1-BRK-G0</x:v>
      </x:c>
      <x:c r="C1246" s="9" t="str">
        <x:v>AR-ET-A-A-TECH-3-B1-BRK-G0</x:v>
      </x:c>
      <x:c r="D1246" s="9" t="str">
        <x:v>ET-A-A-TECH-3</x:v>
      </x:c>
      <x:c r="E1246" s="9" t="str">
        <x:v>ET-A-A</x:v>
      </x:c>
      <x:c r="F1246" s="9" t="str">
        <x:v>B1</x:v>
      </x:c>
      <x:c r="G1246" s="9" t="str">
        <x:v>BRK</x:v>
      </x:c>
      <x:c r="H1246" s="9" t="str">
        <x:v>OG04</x:v>
      </x:c>
      <x:c r="I1246" s="17" t="str">
        <x:v>Raw completeness</x:v>
      </x:c>
      <x:c r="J1246" s="17" t="str">
        <x:v>missingness is enumerated without imputation or outcome-conditioned deletion</x:v>
      </x:c>
      <x:c r="K1246" s="17" t="str">
        <x:v>Observation court</x:v>
      </x:c>
      <x:c r="L1246" s="9" t="n">
        <x:v>0</x:v>
      </x:c>
      <x:c r="M1246" s="9" t="n">
        <x:v>0</x:v>
      </x:c>
      <x:c r="N1246" s="9" t="str">
        <x:v>OPEN / UNACCEPTED</x:v>
      </x:c>
      <x:c r="O1246" s="9" t="n">
        <x:f>COUNTIFS($A$7:$A$1734,A1246)</x:f>
        <x:v>1</x:v>
      </x:c>
    </x:row>
    <x:row r="1247">
      <x:c r="A1247" s="9" t="str">
        <x:v>EV-AR-ET-A-A-TECH-3-B1-BRK-G0-OG05</x:v>
      </x:c>
      <x:c r="B1247" s="9" t="str">
        <x:v>EV-AR-ET-A-A-TECH-3-B1-BRK-G0</x:v>
      </x:c>
      <x:c r="C1247" s="9" t="str">
        <x:v>AR-ET-A-A-TECH-3-B1-BRK-G0</x:v>
      </x:c>
      <x:c r="D1247" s="9" t="str">
        <x:v>ET-A-A-TECH-3</x:v>
      </x:c>
      <x:c r="E1247" s="9" t="str">
        <x:v>ET-A-A</x:v>
      </x:c>
      <x:c r="F1247" s="9" t="str">
        <x:v>B1</x:v>
      </x:c>
      <x:c r="G1247" s="9" t="str">
        <x:v>BRK</x:v>
      </x:c>
      <x:c r="H1247" s="9" t="str">
        <x:v>OG05</x:v>
      </x:c>
      <x:c r="I1247" s="17" t="str">
        <x:v>Primary provenance</x:v>
      </x:c>
      <x:c r="J1247" s="17" t="str">
        <x:v>primary originals, hashes, keys and access history reconcile</x:v>
      </x:c>
      <x:c r="K1247" s="17" t="str">
        <x:v>Primary custody</x:v>
      </x:c>
      <x:c r="L1247" s="9" t="n">
        <x:v>0</x:v>
      </x:c>
      <x:c r="M1247" s="9" t="n">
        <x:v>0</x:v>
      </x:c>
      <x:c r="N1247" s="9" t="str">
        <x:v>OPEN / UNACCEPTED</x:v>
      </x:c>
      <x:c r="O1247" s="9" t="n">
        <x:f>COUNTIFS($A$7:$A$1734,A1247)</x:f>
        <x:v>1</x:v>
      </x:c>
    </x:row>
    <x:row r="1248">
      <x:c r="A1248" s="9" t="str">
        <x:v>EV-AR-ET-A-A-TECH-3-B1-BRK-G0-OG06</x:v>
      </x:c>
      <x:c r="B1248" s="9" t="str">
        <x:v>EV-AR-ET-A-A-TECH-3-B1-BRK-G0</x:v>
      </x:c>
      <x:c r="C1248" s="9" t="str">
        <x:v>AR-ET-A-A-TECH-3-B1-BRK-G0</x:v>
      </x:c>
      <x:c r="D1248" s="9" t="str">
        <x:v>ET-A-A-TECH-3</x:v>
      </x:c>
      <x:c r="E1248" s="9" t="str">
        <x:v>ET-A-A</x:v>
      </x:c>
      <x:c r="F1248" s="9" t="str">
        <x:v>B1</x:v>
      </x:c>
      <x:c r="G1248" s="9" t="str">
        <x:v>BRK</x:v>
      </x:c>
      <x:c r="H1248" s="9" t="str">
        <x:v>OG06</x:v>
      </x:c>
      <x:c r="I1248" s="17" t="str">
        <x:v>Witness provenance</x:v>
      </x:c>
      <x:c r="J1248" s="17" t="str">
        <x:v>unlike witness originals, hashes, keys and access history reconcile</x:v>
      </x:c>
      <x:c r="K1248" s="17" t="str">
        <x:v>Witness custody</x:v>
      </x:c>
      <x:c r="L1248" s="9" t="n">
        <x:v>0</x:v>
      </x:c>
      <x:c r="M1248" s="9" t="n">
        <x:v>0</x:v>
      </x:c>
      <x:c r="N1248" s="9" t="str">
        <x:v>OPEN / UNACCEPTED</x:v>
      </x:c>
      <x:c r="O1248" s="9" t="n">
        <x:f>COUNTIFS($A$7:$A$1734,A1248)</x:f>
        <x:v>1</x:v>
      </x:c>
    </x:row>
    <x:row r="1249">
      <x:c r="A1249" s="9" t="str">
        <x:v>EV-AR-ET-A-A-TECH-3-B1-BRK-G0-OG07</x:v>
      </x:c>
      <x:c r="B1249" s="9" t="str">
        <x:v>EV-AR-ET-A-A-TECH-3-B1-BRK-G0</x:v>
      </x:c>
      <x:c r="C1249" s="9" t="str">
        <x:v>AR-ET-A-A-TECH-3-B1-BRK-G0</x:v>
      </x:c>
      <x:c r="D1249" s="9" t="str">
        <x:v>ET-A-A-TECH-3</x:v>
      </x:c>
      <x:c r="E1249" s="9" t="str">
        <x:v>ET-A-A</x:v>
      </x:c>
      <x:c r="F1249" s="9" t="str">
        <x:v>B1</x:v>
      </x:c>
      <x:c r="G1249" s="9" t="str">
        <x:v>BRK</x:v>
      </x:c>
      <x:c r="H1249" s="9" t="str">
        <x:v>OG07</x:v>
      </x:c>
      <x:c r="I1249" s="17" t="str">
        <x:v>Receiver denominator</x:v>
      </x:c>
      <x:c r="J1249" s="17" t="str">
        <x:v>population, quantity, duration and exclusions match the frozen receipt</x:v>
      </x:c>
      <x:c r="K1249" s="17" t="str">
        <x:v>Receiver court</x:v>
      </x:c>
      <x:c r="L1249" s="9" t="n">
        <x:v>0</x:v>
      </x:c>
      <x:c r="M1249" s="9" t="n">
        <x:v>0</x:v>
      </x:c>
      <x:c r="N1249" s="9" t="str">
        <x:v>OPEN / UNACCEPTED</x:v>
      </x:c>
      <x:c r="O1249" s="9" t="n">
        <x:f>COUNTIFS($A$7:$A$1734,A1249)</x:f>
        <x:v>1</x:v>
      </x:c>
    </x:row>
    <x:row r="1250">
      <x:c r="A1250" s="9" t="str">
        <x:v>EV-AR-ET-A-A-TECH-3-B1-BRK-G0-OG08</x:v>
      </x:c>
      <x:c r="B1250" s="9" t="str">
        <x:v>EV-AR-ET-A-A-TECH-3-B1-BRK-G0</x:v>
      </x:c>
      <x:c r="C1250" s="9" t="str">
        <x:v>AR-ET-A-A-TECH-3-B1-BRK-G0</x:v>
      </x:c>
      <x:c r="D1250" s="9" t="str">
        <x:v>ET-A-A-TECH-3</x:v>
      </x:c>
      <x:c r="E1250" s="9" t="str">
        <x:v>ET-A-A</x:v>
      </x:c>
      <x:c r="F1250" s="9" t="str">
        <x:v>B1</x:v>
      </x:c>
      <x:c r="G1250" s="9" t="str">
        <x:v>BRK</x:v>
      </x:c>
      <x:c r="H1250" s="9" t="str">
        <x:v>OG08</x:v>
      </x:c>
      <x:c r="I1250" s="17" t="str">
        <x:v>Environment and boundary</x:v>
      </x:c>
      <x:c r="J1250" s="17" t="str">
        <x:v>registered weather, water, ground, inlet and outlet states are retained</x:v>
      </x:c>
      <x:c r="K1250" s="17" t="str">
        <x:v>Boundary court</x:v>
      </x:c>
      <x:c r="L1250" s="9" t="n">
        <x:v>0</x:v>
      </x:c>
      <x:c r="M1250" s="9" t="n">
        <x:v>0</x:v>
      </x:c>
      <x:c r="N1250" s="9" t="str">
        <x:v>OPEN / UNACCEPTED</x:v>
      </x:c>
      <x:c r="O1250" s="9" t="n">
        <x:f>COUNTIFS($A$7:$A$1734,A1250)</x:f>
        <x:v>1</x:v>
      </x:c>
    </x:row>
    <x:row r="1251">
      <x:c r="A1251" s="9" t="str">
        <x:v>EV-AR-ET-A-A-TECH-3-B1-BRK-G0-OG09</x:v>
      </x:c>
      <x:c r="B1251" s="9" t="str">
        <x:v>EV-AR-ET-A-A-TECH-3-B1-BRK-G0</x:v>
      </x:c>
      <x:c r="C1251" s="9" t="str">
        <x:v>AR-ET-A-A-TECH-3-B1-BRK-G0</x:v>
      </x:c>
      <x:c r="D1251" s="9" t="str">
        <x:v>ET-A-A-TECH-3</x:v>
      </x:c>
      <x:c r="E1251" s="9" t="str">
        <x:v>ET-A-A</x:v>
      </x:c>
      <x:c r="F1251" s="9" t="str">
        <x:v>B1</x:v>
      </x:c>
      <x:c r="G1251" s="9" t="str">
        <x:v>BRK</x:v>
      </x:c>
      <x:c r="H1251" s="9" t="str">
        <x:v>OG09</x:v>
      </x:c>
      <x:c r="I1251" s="17" t="str">
        <x:v>Intervention account</x:v>
      </x:c>
      <x:c r="J1251" s="17" t="str">
        <x:v>all stop, rescue, operator and public-protection actions remain timestamped</x:v>
      </x:c>
      <x:c r="K1251" s="17" t="str">
        <x:v>Safety record court</x:v>
      </x:c>
      <x:c r="L1251" s="9" t="n">
        <x:v>0</x:v>
      </x:c>
      <x:c r="M1251" s="9" t="n">
        <x:v>0</x:v>
      </x:c>
      <x:c r="N1251" s="9" t="str">
        <x:v>OPEN / UNACCEPTED</x:v>
      </x:c>
      <x:c r="O1251" s="9" t="n">
        <x:f>COUNTIFS($A$7:$A$1734,A1251)</x:f>
        <x:v>1</x:v>
      </x:c>
    </x:row>
    <x:row r="1252">
      <x:c r="A1252" s="9" t="str">
        <x:v>EV-AR-ET-A-A-TECH-3-B1-BRK-G0-OG10</x:v>
      </x:c>
      <x:c r="B1252" s="9" t="str">
        <x:v>EV-AR-ET-A-A-TECH-3-B1-BRK-G0</x:v>
      </x:c>
      <x:c r="C1252" s="9" t="str">
        <x:v>AR-ET-A-A-TECH-3-B1-BRK-G0</x:v>
      </x:c>
      <x:c r="D1252" s="9" t="str">
        <x:v>ET-A-A-TECH-3</x:v>
      </x:c>
      <x:c r="E1252" s="9" t="str">
        <x:v>ET-A-A</x:v>
      </x:c>
      <x:c r="F1252" s="9" t="str">
        <x:v>B1</x:v>
      </x:c>
      <x:c r="G1252" s="9" t="str">
        <x:v>BRK</x:v>
      </x:c>
      <x:c r="H1252" s="9" t="str">
        <x:v>OG10</x:v>
      </x:c>
      <x:c r="I1252" s="17" t="str">
        <x:v>Uncertainty statement</x:v>
      </x:c>
      <x:c r="J1252" s="17" t="str">
        <x:v>range, censoring, resolution and correlation are declared before judgment</x:v>
      </x:c>
      <x:c r="K1252" s="17" t="str">
        <x:v>Uncertainty authority</x:v>
      </x:c>
      <x:c r="L1252" s="9" t="n">
        <x:v>0</x:v>
      </x:c>
      <x:c r="M1252" s="9" t="n">
        <x:v>0</x:v>
      </x:c>
      <x:c r="N1252" s="9" t="str">
        <x:v>OPEN / UNACCEPTED</x:v>
      </x:c>
      <x:c r="O1252" s="9" t="n">
        <x:f>COUNTIFS($A$7:$A$1734,A1252)</x:f>
        <x:v>1</x:v>
      </x:c>
    </x:row>
    <x:row r="1253">
      <x:c r="A1253" s="9" t="str">
        <x:v>EV-AR-ET-A-A-TECH-3-B1-BRK-G0-OG11</x:v>
      </x:c>
      <x:c r="B1253" s="9" t="str">
        <x:v>EV-AR-ET-A-A-TECH-3-B1-BRK-G0</x:v>
      </x:c>
      <x:c r="C1253" s="9" t="str">
        <x:v>AR-ET-A-A-TECH-3-B1-BRK-G0</x:v>
      </x:c>
      <x:c r="D1253" s="9" t="str">
        <x:v>ET-A-A-TECH-3</x:v>
      </x:c>
      <x:c r="E1253" s="9" t="str">
        <x:v>ET-A-A</x:v>
      </x:c>
      <x:c r="F1253" s="9" t="str">
        <x:v>B1</x:v>
      </x:c>
      <x:c r="G1253" s="9" t="str">
        <x:v>BRK</x:v>
      </x:c>
      <x:c r="H1253" s="9" t="str">
        <x:v>OG11</x:v>
      </x:c>
      <x:c r="I1253" s="17" t="str">
        <x:v>Contradiction preservation</x:v>
      </x:c>
      <x:c r="J1253" s="17" t="str">
        <x:v>primary-witness disagreement remains explicit and is never averaged away</x:v>
      </x:c>
      <x:c r="K1253" s="17" t="str">
        <x:v>Dissent registrar</x:v>
      </x:c>
      <x:c r="L1253" s="9" t="n">
        <x:v>0</x:v>
      </x:c>
      <x:c r="M1253" s="9" t="n">
        <x:v>0</x:v>
      </x:c>
      <x:c r="N1253" s="9" t="str">
        <x:v>OPEN / UNACCEPTED</x:v>
      </x:c>
      <x:c r="O1253" s="9" t="n">
        <x:f>COUNTIFS($A$7:$A$1734,A1253)</x:f>
        <x:v>1</x:v>
      </x:c>
    </x:row>
    <x:row r="1254">
      <x:c r="A1254" s="9" t="str">
        <x:v>EV-AR-ET-A-A-TECH-3-B1-BRK-G0-OG12</x:v>
      </x:c>
      <x:c r="B1254" s="9" t="str">
        <x:v>EV-AR-ET-A-A-TECH-3-B1-BRK-G0</x:v>
      </x:c>
      <x:c r="C1254" s="9" t="str">
        <x:v>AR-ET-A-A-TECH-3-B1-BRK-G0</x:v>
      </x:c>
      <x:c r="D1254" s="9" t="str">
        <x:v>ET-A-A-TECH-3</x:v>
      </x:c>
      <x:c r="E1254" s="9" t="str">
        <x:v>ET-A-A</x:v>
      </x:c>
      <x:c r="F1254" s="9" t="str">
        <x:v>B1</x:v>
      </x:c>
      <x:c r="G1254" s="9" t="str">
        <x:v>BRK</x:v>
      </x:c>
      <x:c r="H1254" s="9" t="str">
        <x:v>OG12</x:v>
      </x:c>
      <x:c r="I1254" s="17" t="str">
        <x:v>Independent replay</x:v>
      </x:c>
      <x:c r="J1254" s="17" t="str">
        <x:v>a separated reader reconstructs the registered observables from sealed originals</x:v>
      </x:c>
      <x:c r="K1254" s="17" t="str">
        <x:v>Replay court</x:v>
      </x:c>
      <x:c r="L1254" s="9" t="n">
        <x:v>0</x:v>
      </x:c>
      <x:c r="M1254" s="9" t="n">
        <x:v>0</x:v>
      </x:c>
      <x:c r="N1254" s="9" t="str">
        <x:v>OPEN / UNACCEPTED</x:v>
      </x:c>
      <x:c r="O1254" s="9" t="n">
        <x:f>COUNTIFS($A$7:$A$1734,A1254)</x:f>
        <x:v>1</x:v>
      </x:c>
    </x:row>
    <x:row r="1255">
      <x:c r="A1255" s="9" t="str">
        <x:v>EV-AR-HC-A-C-TECH-3-B1-INT-G0-OG01</x:v>
      </x:c>
      <x:c r="B1255" s="9" t="str">
        <x:v>EV-AR-HC-A-C-TECH-3-B1-INT-G0</x:v>
      </x:c>
      <x:c r="C1255" s="9" t="str">
        <x:v>AR-HC-A-C-TECH-3-B1-INT-G0</x:v>
      </x:c>
      <x:c r="D1255" s="9" t="str">
        <x:v>HC-A-C-TECH-3</x:v>
      </x:c>
      <x:c r="E1255" s="9" t="str">
        <x:v>HC-A-C</x:v>
      </x:c>
      <x:c r="F1255" s="9" t="str">
        <x:v>B1</x:v>
      </x:c>
      <x:c r="G1255" s="9" t="str">
        <x:v>INT</x:v>
      </x:c>
      <x:c r="H1255" s="9" t="str">
        <x:v>OG01</x:v>
      </x:c>
      <x:c r="I1255" s="17" t="str">
        <x:v>Serial and event identity</x:v>
      </x:c>
      <x:c r="J1255" s="17" t="str">
        <x:v>record resolves to the issued serial, generation and physical start</x:v>
      </x:c>
      <x:c r="K1255" s="17" t="str">
        <x:v>Observation court</x:v>
      </x:c>
      <x:c r="L1255" s="9" t="n">
        <x:v>0</x:v>
      </x:c>
      <x:c r="M1255" s="9" t="n">
        <x:v>0</x:v>
      </x:c>
      <x:c r="N1255" s="9" t="str">
        <x:v>OPEN / UNACCEPTED</x:v>
      </x:c>
      <x:c r="O1255" s="9" t="n">
        <x:f>COUNTIFS($A$7:$A$1734,A1255)</x:f>
        <x:v>1</x:v>
      </x:c>
    </x:row>
    <x:row r="1256">
      <x:c r="A1256" s="9" t="str">
        <x:v>EV-AR-HC-A-C-TECH-3-B1-INT-G0-OG02</x:v>
      </x:c>
      <x:c r="B1256" s="9" t="str">
        <x:v>EV-AR-HC-A-C-TECH-3-B1-INT-G0</x:v>
      </x:c>
      <x:c r="C1256" s="9" t="str">
        <x:v>AR-HC-A-C-TECH-3-B1-INT-G0</x:v>
      </x:c>
      <x:c r="D1256" s="9" t="str">
        <x:v>HC-A-C-TECH-3</x:v>
      </x:c>
      <x:c r="E1256" s="9" t="str">
        <x:v>HC-A-C</x:v>
      </x:c>
      <x:c r="F1256" s="9" t="str">
        <x:v>B1</x:v>
      </x:c>
      <x:c r="G1256" s="9" t="str">
        <x:v>INT</x:v>
      </x:c>
      <x:c r="H1256" s="9" t="str">
        <x:v>OG02</x:v>
      </x:c>
      <x:c r="I1256" s="17" t="str">
        <x:v>Time ancestry</x:v>
      </x:c>
      <x:c r="J1256" s="17" t="str">
        <x:v>primary, witness and public event clocks retain declared offsets and drift</x:v>
      </x:c>
      <x:c r="K1256" s="17" t="str">
        <x:v>Time authority</x:v>
      </x:c>
      <x:c r="L1256" s="9" t="n">
        <x:v>0</x:v>
      </x:c>
      <x:c r="M1256" s="9" t="n">
        <x:v>0</x:v>
      </x:c>
      <x:c r="N1256" s="9" t="str">
        <x:v>OPEN / UNACCEPTED</x:v>
      </x:c>
      <x:c r="O1256" s="9" t="n">
        <x:f>COUNTIFS($A$7:$A$1734,A1256)</x:f>
        <x:v>1</x:v>
      </x:c>
    </x:row>
    <x:row r="1257">
      <x:c r="A1257" s="9" t="str">
        <x:v>EV-AR-HC-A-C-TECH-3-B1-INT-G0-OG03</x:v>
      </x:c>
      <x:c r="B1257" s="9" t="str">
        <x:v>EV-AR-HC-A-C-TECH-3-B1-INT-G0</x:v>
      </x:c>
      <x:c r="C1257" s="9" t="str">
        <x:v>AR-HC-A-C-TECH-3-B1-INT-G0</x:v>
      </x:c>
      <x:c r="D1257" s="9" t="str">
        <x:v>HC-A-C-TECH-3</x:v>
      </x:c>
      <x:c r="E1257" s="9" t="str">
        <x:v>HC-A-C</x:v>
      </x:c>
      <x:c r="F1257" s="9" t="str">
        <x:v>B1</x:v>
      </x:c>
      <x:c r="G1257" s="9" t="str">
        <x:v>INT</x:v>
      </x:c>
      <x:c r="H1257" s="9" t="str">
        <x:v>OG03</x:v>
      </x:c>
      <x:c r="I1257" s="17" t="str">
        <x:v>Calibration ancestry</x:v>
      </x:c>
      <x:c r="J1257" s="17" t="str">
        <x:v>all reference, range and uncertainty states cover the live interval</x:v>
      </x:c>
      <x:c r="K1257" s="17" t="str">
        <x:v>Metrology courts</x:v>
      </x:c>
      <x:c r="L1257" s="9" t="n">
        <x:v>0</x:v>
      </x:c>
      <x:c r="M1257" s="9" t="n">
        <x:v>0</x:v>
      </x:c>
      <x:c r="N1257" s="9" t="str">
        <x:v>OPEN / UNACCEPTED</x:v>
      </x:c>
      <x:c r="O1257" s="9" t="n">
        <x:f>COUNTIFS($A$7:$A$1734,A1257)</x:f>
        <x:v>1</x:v>
      </x:c>
    </x:row>
    <x:row r="1258">
      <x:c r="A1258" s="9" t="str">
        <x:v>EV-AR-HC-A-C-TECH-3-B1-INT-G0-OG04</x:v>
      </x:c>
      <x:c r="B1258" s="9" t="str">
        <x:v>EV-AR-HC-A-C-TECH-3-B1-INT-G0</x:v>
      </x:c>
      <x:c r="C1258" s="9" t="str">
        <x:v>AR-HC-A-C-TECH-3-B1-INT-G0</x:v>
      </x:c>
      <x:c r="D1258" s="9" t="str">
        <x:v>HC-A-C-TECH-3</x:v>
      </x:c>
      <x:c r="E1258" s="9" t="str">
        <x:v>HC-A-C</x:v>
      </x:c>
      <x:c r="F1258" s="9" t="str">
        <x:v>B1</x:v>
      </x:c>
      <x:c r="G1258" s="9" t="str">
        <x:v>INT</x:v>
      </x:c>
      <x:c r="H1258" s="9" t="str">
        <x:v>OG04</x:v>
      </x:c>
      <x:c r="I1258" s="17" t="str">
        <x:v>Raw completeness</x:v>
      </x:c>
      <x:c r="J1258" s="17" t="str">
        <x:v>missingness is enumerated without imputation or outcome-conditioned deletion</x:v>
      </x:c>
      <x:c r="K1258" s="17" t="str">
        <x:v>Observation court</x:v>
      </x:c>
      <x:c r="L1258" s="9" t="n">
        <x:v>0</x:v>
      </x:c>
      <x:c r="M1258" s="9" t="n">
        <x:v>0</x:v>
      </x:c>
      <x:c r="N1258" s="9" t="str">
        <x:v>OPEN / UNACCEPTED</x:v>
      </x:c>
      <x:c r="O1258" s="9" t="n">
        <x:f>COUNTIFS($A$7:$A$1734,A1258)</x:f>
        <x:v>1</x:v>
      </x:c>
    </x:row>
    <x:row r="1259">
      <x:c r="A1259" s="9" t="str">
        <x:v>EV-AR-HC-A-C-TECH-3-B1-INT-G0-OG05</x:v>
      </x:c>
      <x:c r="B1259" s="9" t="str">
        <x:v>EV-AR-HC-A-C-TECH-3-B1-INT-G0</x:v>
      </x:c>
      <x:c r="C1259" s="9" t="str">
        <x:v>AR-HC-A-C-TECH-3-B1-INT-G0</x:v>
      </x:c>
      <x:c r="D1259" s="9" t="str">
        <x:v>HC-A-C-TECH-3</x:v>
      </x:c>
      <x:c r="E1259" s="9" t="str">
        <x:v>HC-A-C</x:v>
      </x:c>
      <x:c r="F1259" s="9" t="str">
        <x:v>B1</x:v>
      </x:c>
      <x:c r="G1259" s="9" t="str">
        <x:v>INT</x:v>
      </x:c>
      <x:c r="H1259" s="9" t="str">
        <x:v>OG05</x:v>
      </x:c>
      <x:c r="I1259" s="17" t="str">
        <x:v>Primary provenance</x:v>
      </x:c>
      <x:c r="J1259" s="17" t="str">
        <x:v>primary originals, hashes, keys and access history reconcile</x:v>
      </x:c>
      <x:c r="K1259" s="17" t="str">
        <x:v>Primary custody</x:v>
      </x:c>
      <x:c r="L1259" s="9" t="n">
        <x:v>0</x:v>
      </x:c>
      <x:c r="M1259" s="9" t="n">
        <x:v>0</x:v>
      </x:c>
      <x:c r="N1259" s="9" t="str">
        <x:v>OPEN / UNACCEPTED</x:v>
      </x:c>
      <x:c r="O1259" s="9" t="n">
        <x:f>COUNTIFS($A$7:$A$1734,A1259)</x:f>
        <x:v>1</x:v>
      </x:c>
    </x:row>
    <x:row r="1260">
      <x:c r="A1260" s="9" t="str">
        <x:v>EV-AR-HC-A-C-TECH-3-B1-INT-G0-OG06</x:v>
      </x:c>
      <x:c r="B1260" s="9" t="str">
        <x:v>EV-AR-HC-A-C-TECH-3-B1-INT-G0</x:v>
      </x:c>
      <x:c r="C1260" s="9" t="str">
        <x:v>AR-HC-A-C-TECH-3-B1-INT-G0</x:v>
      </x:c>
      <x:c r="D1260" s="9" t="str">
        <x:v>HC-A-C-TECH-3</x:v>
      </x:c>
      <x:c r="E1260" s="9" t="str">
        <x:v>HC-A-C</x:v>
      </x:c>
      <x:c r="F1260" s="9" t="str">
        <x:v>B1</x:v>
      </x:c>
      <x:c r="G1260" s="9" t="str">
        <x:v>INT</x:v>
      </x:c>
      <x:c r="H1260" s="9" t="str">
        <x:v>OG06</x:v>
      </x:c>
      <x:c r="I1260" s="17" t="str">
        <x:v>Witness provenance</x:v>
      </x:c>
      <x:c r="J1260" s="17" t="str">
        <x:v>unlike witness originals, hashes, keys and access history reconcile</x:v>
      </x:c>
      <x:c r="K1260" s="17" t="str">
        <x:v>Witness custody</x:v>
      </x:c>
      <x:c r="L1260" s="9" t="n">
        <x:v>0</x:v>
      </x:c>
      <x:c r="M1260" s="9" t="n">
        <x:v>0</x:v>
      </x:c>
      <x:c r="N1260" s="9" t="str">
        <x:v>OPEN / UNACCEPTED</x:v>
      </x:c>
      <x:c r="O1260" s="9" t="n">
        <x:f>COUNTIFS($A$7:$A$1734,A1260)</x:f>
        <x:v>1</x:v>
      </x:c>
    </x:row>
    <x:row r="1261">
      <x:c r="A1261" s="9" t="str">
        <x:v>EV-AR-HC-A-C-TECH-3-B1-INT-G0-OG07</x:v>
      </x:c>
      <x:c r="B1261" s="9" t="str">
        <x:v>EV-AR-HC-A-C-TECH-3-B1-INT-G0</x:v>
      </x:c>
      <x:c r="C1261" s="9" t="str">
        <x:v>AR-HC-A-C-TECH-3-B1-INT-G0</x:v>
      </x:c>
      <x:c r="D1261" s="9" t="str">
        <x:v>HC-A-C-TECH-3</x:v>
      </x:c>
      <x:c r="E1261" s="9" t="str">
        <x:v>HC-A-C</x:v>
      </x:c>
      <x:c r="F1261" s="9" t="str">
        <x:v>B1</x:v>
      </x:c>
      <x:c r="G1261" s="9" t="str">
        <x:v>INT</x:v>
      </x:c>
      <x:c r="H1261" s="9" t="str">
        <x:v>OG07</x:v>
      </x:c>
      <x:c r="I1261" s="17" t="str">
        <x:v>Receiver denominator</x:v>
      </x:c>
      <x:c r="J1261" s="17" t="str">
        <x:v>population, quantity, duration and exclusions match the frozen receipt</x:v>
      </x:c>
      <x:c r="K1261" s="17" t="str">
        <x:v>Receiver court</x:v>
      </x:c>
      <x:c r="L1261" s="9" t="n">
        <x:v>0</x:v>
      </x:c>
      <x:c r="M1261" s="9" t="n">
        <x:v>0</x:v>
      </x:c>
      <x:c r="N1261" s="9" t="str">
        <x:v>OPEN / UNACCEPTED</x:v>
      </x:c>
      <x:c r="O1261" s="9" t="n">
        <x:f>COUNTIFS($A$7:$A$1734,A1261)</x:f>
        <x:v>1</x:v>
      </x:c>
    </x:row>
    <x:row r="1262">
      <x:c r="A1262" s="9" t="str">
        <x:v>EV-AR-HC-A-C-TECH-3-B1-INT-G0-OG08</x:v>
      </x:c>
      <x:c r="B1262" s="9" t="str">
        <x:v>EV-AR-HC-A-C-TECH-3-B1-INT-G0</x:v>
      </x:c>
      <x:c r="C1262" s="9" t="str">
        <x:v>AR-HC-A-C-TECH-3-B1-INT-G0</x:v>
      </x:c>
      <x:c r="D1262" s="9" t="str">
        <x:v>HC-A-C-TECH-3</x:v>
      </x:c>
      <x:c r="E1262" s="9" t="str">
        <x:v>HC-A-C</x:v>
      </x:c>
      <x:c r="F1262" s="9" t="str">
        <x:v>B1</x:v>
      </x:c>
      <x:c r="G1262" s="9" t="str">
        <x:v>INT</x:v>
      </x:c>
      <x:c r="H1262" s="9" t="str">
        <x:v>OG08</x:v>
      </x:c>
      <x:c r="I1262" s="17" t="str">
        <x:v>Environment and boundary</x:v>
      </x:c>
      <x:c r="J1262" s="17" t="str">
        <x:v>registered weather, water, ground, inlet and outlet states are retained</x:v>
      </x:c>
      <x:c r="K1262" s="17" t="str">
        <x:v>Boundary court</x:v>
      </x:c>
      <x:c r="L1262" s="9" t="n">
        <x:v>0</x:v>
      </x:c>
      <x:c r="M1262" s="9" t="n">
        <x:v>0</x:v>
      </x:c>
      <x:c r="N1262" s="9" t="str">
        <x:v>OPEN / UNACCEPTED</x:v>
      </x:c>
      <x:c r="O1262" s="9" t="n">
        <x:f>COUNTIFS($A$7:$A$1734,A1262)</x:f>
        <x:v>1</x:v>
      </x:c>
    </x:row>
    <x:row r="1263">
      <x:c r="A1263" s="9" t="str">
        <x:v>EV-AR-HC-A-C-TECH-3-B1-INT-G0-OG09</x:v>
      </x:c>
      <x:c r="B1263" s="9" t="str">
        <x:v>EV-AR-HC-A-C-TECH-3-B1-INT-G0</x:v>
      </x:c>
      <x:c r="C1263" s="9" t="str">
        <x:v>AR-HC-A-C-TECH-3-B1-INT-G0</x:v>
      </x:c>
      <x:c r="D1263" s="9" t="str">
        <x:v>HC-A-C-TECH-3</x:v>
      </x:c>
      <x:c r="E1263" s="9" t="str">
        <x:v>HC-A-C</x:v>
      </x:c>
      <x:c r="F1263" s="9" t="str">
        <x:v>B1</x:v>
      </x:c>
      <x:c r="G1263" s="9" t="str">
        <x:v>INT</x:v>
      </x:c>
      <x:c r="H1263" s="9" t="str">
        <x:v>OG09</x:v>
      </x:c>
      <x:c r="I1263" s="17" t="str">
        <x:v>Intervention account</x:v>
      </x:c>
      <x:c r="J1263" s="17" t="str">
        <x:v>all stop, rescue, operator and public-protection actions remain timestamped</x:v>
      </x:c>
      <x:c r="K1263" s="17" t="str">
        <x:v>Safety record court</x:v>
      </x:c>
      <x:c r="L1263" s="9" t="n">
        <x:v>0</x:v>
      </x:c>
      <x:c r="M1263" s="9" t="n">
        <x:v>0</x:v>
      </x:c>
      <x:c r="N1263" s="9" t="str">
        <x:v>OPEN / UNACCEPTED</x:v>
      </x:c>
      <x:c r="O1263" s="9" t="n">
        <x:f>COUNTIFS($A$7:$A$1734,A1263)</x:f>
        <x:v>1</x:v>
      </x:c>
    </x:row>
    <x:row r="1264">
      <x:c r="A1264" s="9" t="str">
        <x:v>EV-AR-HC-A-C-TECH-3-B1-INT-G0-OG10</x:v>
      </x:c>
      <x:c r="B1264" s="9" t="str">
        <x:v>EV-AR-HC-A-C-TECH-3-B1-INT-G0</x:v>
      </x:c>
      <x:c r="C1264" s="9" t="str">
        <x:v>AR-HC-A-C-TECH-3-B1-INT-G0</x:v>
      </x:c>
      <x:c r="D1264" s="9" t="str">
        <x:v>HC-A-C-TECH-3</x:v>
      </x:c>
      <x:c r="E1264" s="9" t="str">
        <x:v>HC-A-C</x:v>
      </x:c>
      <x:c r="F1264" s="9" t="str">
        <x:v>B1</x:v>
      </x:c>
      <x:c r="G1264" s="9" t="str">
        <x:v>INT</x:v>
      </x:c>
      <x:c r="H1264" s="9" t="str">
        <x:v>OG10</x:v>
      </x:c>
      <x:c r="I1264" s="17" t="str">
        <x:v>Uncertainty statement</x:v>
      </x:c>
      <x:c r="J1264" s="17" t="str">
        <x:v>range, censoring, resolution and correlation are declared before judgment</x:v>
      </x:c>
      <x:c r="K1264" s="17" t="str">
        <x:v>Uncertainty authority</x:v>
      </x:c>
      <x:c r="L1264" s="9" t="n">
        <x:v>0</x:v>
      </x:c>
      <x:c r="M1264" s="9" t="n">
        <x:v>0</x:v>
      </x:c>
      <x:c r="N1264" s="9" t="str">
        <x:v>OPEN / UNACCEPTED</x:v>
      </x:c>
      <x:c r="O1264" s="9" t="n">
        <x:f>COUNTIFS($A$7:$A$1734,A1264)</x:f>
        <x:v>1</x:v>
      </x:c>
    </x:row>
    <x:row r="1265">
      <x:c r="A1265" s="9" t="str">
        <x:v>EV-AR-HC-A-C-TECH-3-B1-INT-G0-OG11</x:v>
      </x:c>
      <x:c r="B1265" s="9" t="str">
        <x:v>EV-AR-HC-A-C-TECH-3-B1-INT-G0</x:v>
      </x:c>
      <x:c r="C1265" s="9" t="str">
        <x:v>AR-HC-A-C-TECH-3-B1-INT-G0</x:v>
      </x:c>
      <x:c r="D1265" s="9" t="str">
        <x:v>HC-A-C-TECH-3</x:v>
      </x:c>
      <x:c r="E1265" s="9" t="str">
        <x:v>HC-A-C</x:v>
      </x:c>
      <x:c r="F1265" s="9" t="str">
        <x:v>B1</x:v>
      </x:c>
      <x:c r="G1265" s="9" t="str">
        <x:v>INT</x:v>
      </x:c>
      <x:c r="H1265" s="9" t="str">
        <x:v>OG11</x:v>
      </x:c>
      <x:c r="I1265" s="17" t="str">
        <x:v>Contradiction preservation</x:v>
      </x:c>
      <x:c r="J1265" s="17" t="str">
        <x:v>primary-witness disagreement remains explicit and is never averaged away</x:v>
      </x:c>
      <x:c r="K1265" s="17" t="str">
        <x:v>Dissent registrar</x:v>
      </x:c>
      <x:c r="L1265" s="9" t="n">
        <x:v>0</x:v>
      </x:c>
      <x:c r="M1265" s="9" t="n">
        <x:v>0</x:v>
      </x:c>
      <x:c r="N1265" s="9" t="str">
        <x:v>OPEN / UNACCEPTED</x:v>
      </x:c>
      <x:c r="O1265" s="9" t="n">
        <x:f>COUNTIFS($A$7:$A$1734,A1265)</x:f>
        <x:v>1</x:v>
      </x:c>
    </x:row>
    <x:row r="1266">
      <x:c r="A1266" s="9" t="str">
        <x:v>EV-AR-HC-A-C-TECH-3-B1-INT-G0-OG12</x:v>
      </x:c>
      <x:c r="B1266" s="9" t="str">
        <x:v>EV-AR-HC-A-C-TECH-3-B1-INT-G0</x:v>
      </x:c>
      <x:c r="C1266" s="9" t="str">
        <x:v>AR-HC-A-C-TECH-3-B1-INT-G0</x:v>
      </x:c>
      <x:c r="D1266" s="9" t="str">
        <x:v>HC-A-C-TECH-3</x:v>
      </x:c>
      <x:c r="E1266" s="9" t="str">
        <x:v>HC-A-C</x:v>
      </x:c>
      <x:c r="F1266" s="9" t="str">
        <x:v>B1</x:v>
      </x:c>
      <x:c r="G1266" s="9" t="str">
        <x:v>INT</x:v>
      </x:c>
      <x:c r="H1266" s="9" t="str">
        <x:v>OG12</x:v>
      </x:c>
      <x:c r="I1266" s="17" t="str">
        <x:v>Independent replay</x:v>
      </x:c>
      <x:c r="J1266" s="17" t="str">
        <x:v>a separated reader reconstructs the registered observables from sealed originals</x:v>
      </x:c>
      <x:c r="K1266" s="17" t="str">
        <x:v>Replay court</x:v>
      </x:c>
      <x:c r="L1266" s="9" t="n">
        <x:v>0</x:v>
      </x:c>
      <x:c r="M1266" s="9" t="n">
        <x:v>0</x:v>
      </x:c>
      <x:c r="N1266" s="9" t="str">
        <x:v>OPEN / UNACCEPTED</x:v>
      </x:c>
      <x:c r="O1266" s="9" t="n">
        <x:f>COUNTIFS($A$7:$A$1734,A1266)</x:f>
        <x:v>1</x:v>
      </x:c>
    </x:row>
    <x:row r="1267">
      <x:c r="A1267" s="9" t="str">
        <x:v>EV-AR-HU-A-B-TECH-2-B2-RCN-G0-OG01</x:v>
      </x:c>
      <x:c r="B1267" s="9" t="str">
        <x:v>EV-AR-HU-A-B-TECH-2-B2-RCN-G0</x:v>
      </x:c>
      <x:c r="C1267" s="9" t="str">
        <x:v>AR-HU-A-B-TECH-2-B2-RCN-G0</x:v>
      </x:c>
      <x:c r="D1267" s="9" t="str">
        <x:v>HU-A-B-TECH-2</x:v>
      </x:c>
      <x:c r="E1267" s="9" t="str">
        <x:v>HU-A-B</x:v>
      </x:c>
      <x:c r="F1267" s="9" t="str">
        <x:v>B2</x:v>
      </x:c>
      <x:c r="G1267" s="9" t="str">
        <x:v>RCN</x:v>
      </x:c>
      <x:c r="H1267" s="9" t="str">
        <x:v>OG01</x:v>
      </x:c>
      <x:c r="I1267" s="17" t="str">
        <x:v>Serial and event identity</x:v>
      </x:c>
      <x:c r="J1267" s="17" t="str">
        <x:v>record resolves to the issued serial, generation and physical start</x:v>
      </x:c>
      <x:c r="K1267" s="17" t="str">
        <x:v>Observation court</x:v>
      </x:c>
      <x:c r="L1267" s="9" t="n">
        <x:v>0</x:v>
      </x:c>
      <x:c r="M1267" s="9" t="n">
        <x:v>0</x:v>
      </x:c>
      <x:c r="N1267" s="9" t="str">
        <x:v>OPEN / UNACCEPTED</x:v>
      </x:c>
      <x:c r="O1267" s="9" t="n">
        <x:f>COUNTIFS($A$7:$A$1734,A1267)</x:f>
        <x:v>1</x:v>
      </x:c>
    </x:row>
    <x:row r="1268">
      <x:c r="A1268" s="9" t="str">
        <x:v>EV-AR-HU-A-B-TECH-2-B2-RCN-G0-OG02</x:v>
      </x:c>
      <x:c r="B1268" s="9" t="str">
        <x:v>EV-AR-HU-A-B-TECH-2-B2-RCN-G0</x:v>
      </x:c>
      <x:c r="C1268" s="9" t="str">
        <x:v>AR-HU-A-B-TECH-2-B2-RCN-G0</x:v>
      </x:c>
      <x:c r="D1268" s="9" t="str">
        <x:v>HU-A-B-TECH-2</x:v>
      </x:c>
      <x:c r="E1268" s="9" t="str">
        <x:v>HU-A-B</x:v>
      </x:c>
      <x:c r="F1268" s="9" t="str">
        <x:v>B2</x:v>
      </x:c>
      <x:c r="G1268" s="9" t="str">
        <x:v>RCN</x:v>
      </x:c>
      <x:c r="H1268" s="9" t="str">
        <x:v>OG02</x:v>
      </x:c>
      <x:c r="I1268" s="17" t="str">
        <x:v>Time ancestry</x:v>
      </x:c>
      <x:c r="J1268" s="17" t="str">
        <x:v>primary, witness and public event clocks retain declared offsets and drift</x:v>
      </x:c>
      <x:c r="K1268" s="17" t="str">
        <x:v>Time authority</x:v>
      </x:c>
      <x:c r="L1268" s="9" t="n">
        <x:v>0</x:v>
      </x:c>
      <x:c r="M1268" s="9" t="n">
        <x:v>0</x:v>
      </x:c>
      <x:c r="N1268" s="9" t="str">
        <x:v>OPEN / UNACCEPTED</x:v>
      </x:c>
      <x:c r="O1268" s="9" t="n">
        <x:f>COUNTIFS($A$7:$A$1734,A1268)</x:f>
        <x:v>1</x:v>
      </x:c>
    </x:row>
    <x:row r="1269">
      <x:c r="A1269" s="9" t="str">
        <x:v>EV-AR-HU-A-B-TECH-2-B2-RCN-G0-OG03</x:v>
      </x:c>
      <x:c r="B1269" s="9" t="str">
        <x:v>EV-AR-HU-A-B-TECH-2-B2-RCN-G0</x:v>
      </x:c>
      <x:c r="C1269" s="9" t="str">
        <x:v>AR-HU-A-B-TECH-2-B2-RCN-G0</x:v>
      </x:c>
      <x:c r="D1269" s="9" t="str">
        <x:v>HU-A-B-TECH-2</x:v>
      </x:c>
      <x:c r="E1269" s="9" t="str">
        <x:v>HU-A-B</x:v>
      </x:c>
      <x:c r="F1269" s="9" t="str">
        <x:v>B2</x:v>
      </x:c>
      <x:c r="G1269" s="9" t="str">
        <x:v>RCN</x:v>
      </x:c>
      <x:c r="H1269" s="9" t="str">
        <x:v>OG03</x:v>
      </x:c>
      <x:c r="I1269" s="17" t="str">
        <x:v>Calibration ancestry</x:v>
      </x:c>
      <x:c r="J1269" s="17" t="str">
        <x:v>all reference, range and uncertainty states cover the live interval</x:v>
      </x:c>
      <x:c r="K1269" s="17" t="str">
        <x:v>Metrology courts</x:v>
      </x:c>
      <x:c r="L1269" s="9" t="n">
        <x:v>0</x:v>
      </x:c>
      <x:c r="M1269" s="9" t="n">
        <x:v>0</x:v>
      </x:c>
      <x:c r="N1269" s="9" t="str">
        <x:v>OPEN / UNACCEPTED</x:v>
      </x:c>
      <x:c r="O1269" s="9" t="n">
        <x:f>COUNTIFS($A$7:$A$1734,A1269)</x:f>
        <x:v>1</x:v>
      </x:c>
    </x:row>
    <x:row r="1270">
      <x:c r="A1270" s="9" t="str">
        <x:v>EV-AR-HU-A-B-TECH-2-B2-RCN-G0-OG04</x:v>
      </x:c>
      <x:c r="B1270" s="9" t="str">
        <x:v>EV-AR-HU-A-B-TECH-2-B2-RCN-G0</x:v>
      </x:c>
      <x:c r="C1270" s="9" t="str">
        <x:v>AR-HU-A-B-TECH-2-B2-RCN-G0</x:v>
      </x:c>
      <x:c r="D1270" s="9" t="str">
        <x:v>HU-A-B-TECH-2</x:v>
      </x:c>
      <x:c r="E1270" s="9" t="str">
        <x:v>HU-A-B</x:v>
      </x:c>
      <x:c r="F1270" s="9" t="str">
        <x:v>B2</x:v>
      </x:c>
      <x:c r="G1270" s="9" t="str">
        <x:v>RCN</x:v>
      </x:c>
      <x:c r="H1270" s="9" t="str">
        <x:v>OG04</x:v>
      </x:c>
      <x:c r="I1270" s="17" t="str">
        <x:v>Raw completeness</x:v>
      </x:c>
      <x:c r="J1270" s="17" t="str">
        <x:v>missingness is enumerated without imputation or outcome-conditioned deletion</x:v>
      </x:c>
      <x:c r="K1270" s="17" t="str">
        <x:v>Observation court</x:v>
      </x:c>
      <x:c r="L1270" s="9" t="n">
        <x:v>0</x:v>
      </x:c>
      <x:c r="M1270" s="9" t="n">
        <x:v>0</x:v>
      </x:c>
      <x:c r="N1270" s="9" t="str">
        <x:v>OPEN / UNACCEPTED</x:v>
      </x:c>
      <x:c r="O1270" s="9" t="n">
        <x:f>COUNTIFS($A$7:$A$1734,A1270)</x:f>
        <x:v>1</x:v>
      </x:c>
    </x:row>
    <x:row r="1271">
      <x:c r="A1271" s="9" t="str">
        <x:v>EV-AR-HU-A-B-TECH-2-B2-RCN-G0-OG05</x:v>
      </x:c>
      <x:c r="B1271" s="9" t="str">
        <x:v>EV-AR-HU-A-B-TECH-2-B2-RCN-G0</x:v>
      </x:c>
      <x:c r="C1271" s="9" t="str">
        <x:v>AR-HU-A-B-TECH-2-B2-RCN-G0</x:v>
      </x:c>
      <x:c r="D1271" s="9" t="str">
        <x:v>HU-A-B-TECH-2</x:v>
      </x:c>
      <x:c r="E1271" s="9" t="str">
        <x:v>HU-A-B</x:v>
      </x:c>
      <x:c r="F1271" s="9" t="str">
        <x:v>B2</x:v>
      </x:c>
      <x:c r="G1271" s="9" t="str">
        <x:v>RCN</x:v>
      </x:c>
      <x:c r="H1271" s="9" t="str">
        <x:v>OG05</x:v>
      </x:c>
      <x:c r="I1271" s="17" t="str">
        <x:v>Primary provenance</x:v>
      </x:c>
      <x:c r="J1271" s="17" t="str">
        <x:v>primary originals, hashes, keys and access history reconcile</x:v>
      </x:c>
      <x:c r="K1271" s="17" t="str">
        <x:v>Primary custody</x:v>
      </x:c>
      <x:c r="L1271" s="9" t="n">
        <x:v>0</x:v>
      </x:c>
      <x:c r="M1271" s="9" t="n">
        <x:v>0</x:v>
      </x:c>
      <x:c r="N1271" s="9" t="str">
        <x:v>OPEN / UNACCEPTED</x:v>
      </x:c>
      <x:c r="O1271" s="9" t="n">
        <x:f>COUNTIFS($A$7:$A$1734,A1271)</x:f>
        <x:v>1</x:v>
      </x:c>
    </x:row>
    <x:row r="1272">
      <x:c r="A1272" s="9" t="str">
        <x:v>EV-AR-HU-A-B-TECH-2-B2-RCN-G0-OG06</x:v>
      </x:c>
      <x:c r="B1272" s="9" t="str">
        <x:v>EV-AR-HU-A-B-TECH-2-B2-RCN-G0</x:v>
      </x:c>
      <x:c r="C1272" s="9" t="str">
        <x:v>AR-HU-A-B-TECH-2-B2-RCN-G0</x:v>
      </x:c>
      <x:c r="D1272" s="9" t="str">
        <x:v>HU-A-B-TECH-2</x:v>
      </x:c>
      <x:c r="E1272" s="9" t="str">
        <x:v>HU-A-B</x:v>
      </x:c>
      <x:c r="F1272" s="9" t="str">
        <x:v>B2</x:v>
      </x:c>
      <x:c r="G1272" s="9" t="str">
        <x:v>RCN</x:v>
      </x:c>
      <x:c r="H1272" s="9" t="str">
        <x:v>OG06</x:v>
      </x:c>
      <x:c r="I1272" s="17" t="str">
        <x:v>Witness provenance</x:v>
      </x:c>
      <x:c r="J1272" s="17" t="str">
        <x:v>unlike witness originals, hashes, keys and access history reconcile</x:v>
      </x:c>
      <x:c r="K1272" s="17" t="str">
        <x:v>Witness custody</x:v>
      </x:c>
      <x:c r="L1272" s="9" t="n">
        <x:v>0</x:v>
      </x:c>
      <x:c r="M1272" s="9" t="n">
        <x:v>0</x:v>
      </x:c>
      <x:c r="N1272" s="9" t="str">
        <x:v>OPEN / UNACCEPTED</x:v>
      </x:c>
      <x:c r="O1272" s="9" t="n">
        <x:f>COUNTIFS($A$7:$A$1734,A1272)</x:f>
        <x:v>1</x:v>
      </x:c>
    </x:row>
    <x:row r="1273">
      <x:c r="A1273" s="9" t="str">
        <x:v>EV-AR-HU-A-B-TECH-2-B2-RCN-G0-OG07</x:v>
      </x:c>
      <x:c r="B1273" s="9" t="str">
        <x:v>EV-AR-HU-A-B-TECH-2-B2-RCN-G0</x:v>
      </x:c>
      <x:c r="C1273" s="9" t="str">
        <x:v>AR-HU-A-B-TECH-2-B2-RCN-G0</x:v>
      </x:c>
      <x:c r="D1273" s="9" t="str">
        <x:v>HU-A-B-TECH-2</x:v>
      </x:c>
      <x:c r="E1273" s="9" t="str">
        <x:v>HU-A-B</x:v>
      </x:c>
      <x:c r="F1273" s="9" t="str">
        <x:v>B2</x:v>
      </x:c>
      <x:c r="G1273" s="9" t="str">
        <x:v>RCN</x:v>
      </x:c>
      <x:c r="H1273" s="9" t="str">
        <x:v>OG07</x:v>
      </x:c>
      <x:c r="I1273" s="17" t="str">
        <x:v>Receiver denominator</x:v>
      </x:c>
      <x:c r="J1273" s="17" t="str">
        <x:v>population, quantity, duration and exclusions match the frozen receipt</x:v>
      </x:c>
      <x:c r="K1273" s="17" t="str">
        <x:v>Receiver court</x:v>
      </x:c>
      <x:c r="L1273" s="9" t="n">
        <x:v>0</x:v>
      </x:c>
      <x:c r="M1273" s="9" t="n">
        <x:v>0</x:v>
      </x:c>
      <x:c r="N1273" s="9" t="str">
        <x:v>OPEN / UNACCEPTED</x:v>
      </x:c>
      <x:c r="O1273" s="9" t="n">
        <x:f>COUNTIFS($A$7:$A$1734,A1273)</x:f>
        <x:v>1</x:v>
      </x:c>
    </x:row>
    <x:row r="1274">
      <x:c r="A1274" s="9" t="str">
        <x:v>EV-AR-HU-A-B-TECH-2-B2-RCN-G0-OG08</x:v>
      </x:c>
      <x:c r="B1274" s="9" t="str">
        <x:v>EV-AR-HU-A-B-TECH-2-B2-RCN-G0</x:v>
      </x:c>
      <x:c r="C1274" s="9" t="str">
        <x:v>AR-HU-A-B-TECH-2-B2-RCN-G0</x:v>
      </x:c>
      <x:c r="D1274" s="9" t="str">
        <x:v>HU-A-B-TECH-2</x:v>
      </x:c>
      <x:c r="E1274" s="9" t="str">
        <x:v>HU-A-B</x:v>
      </x:c>
      <x:c r="F1274" s="9" t="str">
        <x:v>B2</x:v>
      </x:c>
      <x:c r="G1274" s="9" t="str">
        <x:v>RCN</x:v>
      </x:c>
      <x:c r="H1274" s="9" t="str">
        <x:v>OG08</x:v>
      </x:c>
      <x:c r="I1274" s="17" t="str">
        <x:v>Environment and boundary</x:v>
      </x:c>
      <x:c r="J1274" s="17" t="str">
        <x:v>registered weather, water, ground, inlet and outlet states are retained</x:v>
      </x:c>
      <x:c r="K1274" s="17" t="str">
        <x:v>Boundary court</x:v>
      </x:c>
      <x:c r="L1274" s="9" t="n">
        <x:v>0</x:v>
      </x:c>
      <x:c r="M1274" s="9" t="n">
        <x:v>0</x:v>
      </x:c>
      <x:c r="N1274" s="9" t="str">
        <x:v>OPEN / UNACCEPTED</x:v>
      </x:c>
      <x:c r="O1274" s="9" t="n">
        <x:f>COUNTIFS($A$7:$A$1734,A1274)</x:f>
        <x:v>1</x:v>
      </x:c>
    </x:row>
    <x:row r="1275">
      <x:c r="A1275" s="9" t="str">
        <x:v>EV-AR-HU-A-B-TECH-2-B2-RCN-G0-OG09</x:v>
      </x:c>
      <x:c r="B1275" s="9" t="str">
        <x:v>EV-AR-HU-A-B-TECH-2-B2-RCN-G0</x:v>
      </x:c>
      <x:c r="C1275" s="9" t="str">
        <x:v>AR-HU-A-B-TECH-2-B2-RCN-G0</x:v>
      </x:c>
      <x:c r="D1275" s="9" t="str">
        <x:v>HU-A-B-TECH-2</x:v>
      </x:c>
      <x:c r="E1275" s="9" t="str">
        <x:v>HU-A-B</x:v>
      </x:c>
      <x:c r="F1275" s="9" t="str">
        <x:v>B2</x:v>
      </x:c>
      <x:c r="G1275" s="9" t="str">
        <x:v>RCN</x:v>
      </x:c>
      <x:c r="H1275" s="9" t="str">
        <x:v>OG09</x:v>
      </x:c>
      <x:c r="I1275" s="17" t="str">
        <x:v>Intervention account</x:v>
      </x:c>
      <x:c r="J1275" s="17" t="str">
        <x:v>all stop, rescue, operator and public-protection actions remain timestamped</x:v>
      </x:c>
      <x:c r="K1275" s="17" t="str">
        <x:v>Safety record court</x:v>
      </x:c>
      <x:c r="L1275" s="9" t="n">
        <x:v>0</x:v>
      </x:c>
      <x:c r="M1275" s="9" t="n">
        <x:v>0</x:v>
      </x:c>
      <x:c r="N1275" s="9" t="str">
        <x:v>OPEN / UNACCEPTED</x:v>
      </x:c>
      <x:c r="O1275" s="9" t="n">
        <x:f>COUNTIFS($A$7:$A$1734,A1275)</x:f>
        <x:v>1</x:v>
      </x:c>
    </x:row>
    <x:row r="1276">
      <x:c r="A1276" s="9" t="str">
        <x:v>EV-AR-HU-A-B-TECH-2-B2-RCN-G0-OG10</x:v>
      </x:c>
      <x:c r="B1276" s="9" t="str">
        <x:v>EV-AR-HU-A-B-TECH-2-B2-RCN-G0</x:v>
      </x:c>
      <x:c r="C1276" s="9" t="str">
        <x:v>AR-HU-A-B-TECH-2-B2-RCN-G0</x:v>
      </x:c>
      <x:c r="D1276" s="9" t="str">
        <x:v>HU-A-B-TECH-2</x:v>
      </x:c>
      <x:c r="E1276" s="9" t="str">
        <x:v>HU-A-B</x:v>
      </x:c>
      <x:c r="F1276" s="9" t="str">
        <x:v>B2</x:v>
      </x:c>
      <x:c r="G1276" s="9" t="str">
        <x:v>RCN</x:v>
      </x:c>
      <x:c r="H1276" s="9" t="str">
        <x:v>OG10</x:v>
      </x:c>
      <x:c r="I1276" s="17" t="str">
        <x:v>Uncertainty statement</x:v>
      </x:c>
      <x:c r="J1276" s="17" t="str">
        <x:v>range, censoring, resolution and correlation are declared before judgment</x:v>
      </x:c>
      <x:c r="K1276" s="17" t="str">
        <x:v>Uncertainty authority</x:v>
      </x:c>
      <x:c r="L1276" s="9" t="n">
        <x:v>0</x:v>
      </x:c>
      <x:c r="M1276" s="9" t="n">
        <x:v>0</x:v>
      </x:c>
      <x:c r="N1276" s="9" t="str">
        <x:v>OPEN / UNACCEPTED</x:v>
      </x:c>
      <x:c r="O1276" s="9" t="n">
        <x:f>COUNTIFS($A$7:$A$1734,A1276)</x:f>
        <x:v>1</x:v>
      </x:c>
    </x:row>
    <x:row r="1277">
      <x:c r="A1277" s="9" t="str">
        <x:v>EV-AR-HU-A-B-TECH-2-B2-RCN-G0-OG11</x:v>
      </x:c>
      <x:c r="B1277" s="9" t="str">
        <x:v>EV-AR-HU-A-B-TECH-2-B2-RCN-G0</x:v>
      </x:c>
      <x:c r="C1277" s="9" t="str">
        <x:v>AR-HU-A-B-TECH-2-B2-RCN-G0</x:v>
      </x:c>
      <x:c r="D1277" s="9" t="str">
        <x:v>HU-A-B-TECH-2</x:v>
      </x:c>
      <x:c r="E1277" s="9" t="str">
        <x:v>HU-A-B</x:v>
      </x:c>
      <x:c r="F1277" s="9" t="str">
        <x:v>B2</x:v>
      </x:c>
      <x:c r="G1277" s="9" t="str">
        <x:v>RCN</x:v>
      </x:c>
      <x:c r="H1277" s="9" t="str">
        <x:v>OG11</x:v>
      </x:c>
      <x:c r="I1277" s="17" t="str">
        <x:v>Contradiction preservation</x:v>
      </x:c>
      <x:c r="J1277" s="17" t="str">
        <x:v>primary-witness disagreement remains explicit and is never averaged away</x:v>
      </x:c>
      <x:c r="K1277" s="17" t="str">
        <x:v>Dissent registrar</x:v>
      </x:c>
      <x:c r="L1277" s="9" t="n">
        <x:v>0</x:v>
      </x:c>
      <x:c r="M1277" s="9" t="n">
        <x:v>0</x:v>
      </x:c>
      <x:c r="N1277" s="9" t="str">
        <x:v>OPEN / UNACCEPTED</x:v>
      </x:c>
      <x:c r="O1277" s="9" t="n">
        <x:f>COUNTIFS($A$7:$A$1734,A1277)</x:f>
        <x:v>1</x:v>
      </x:c>
    </x:row>
    <x:row r="1278">
      <x:c r="A1278" s="9" t="str">
        <x:v>EV-AR-HU-A-B-TECH-2-B2-RCN-G0-OG12</x:v>
      </x:c>
      <x:c r="B1278" s="9" t="str">
        <x:v>EV-AR-HU-A-B-TECH-2-B2-RCN-G0</x:v>
      </x:c>
      <x:c r="C1278" s="9" t="str">
        <x:v>AR-HU-A-B-TECH-2-B2-RCN-G0</x:v>
      </x:c>
      <x:c r="D1278" s="9" t="str">
        <x:v>HU-A-B-TECH-2</x:v>
      </x:c>
      <x:c r="E1278" s="9" t="str">
        <x:v>HU-A-B</x:v>
      </x:c>
      <x:c r="F1278" s="9" t="str">
        <x:v>B2</x:v>
      </x:c>
      <x:c r="G1278" s="9" t="str">
        <x:v>RCN</x:v>
      </x:c>
      <x:c r="H1278" s="9" t="str">
        <x:v>OG12</x:v>
      </x:c>
      <x:c r="I1278" s="17" t="str">
        <x:v>Independent replay</x:v>
      </x:c>
      <x:c r="J1278" s="17" t="str">
        <x:v>a separated reader reconstructs the registered observables from sealed originals</x:v>
      </x:c>
      <x:c r="K1278" s="17" t="str">
        <x:v>Replay court</x:v>
      </x:c>
      <x:c r="L1278" s="9" t="n">
        <x:v>0</x:v>
      </x:c>
      <x:c r="M1278" s="9" t="n">
        <x:v>0</x:v>
      </x:c>
      <x:c r="N1278" s="9" t="str">
        <x:v>OPEN / UNACCEPTED</x:v>
      </x:c>
      <x:c r="O1278" s="9" t="n">
        <x:f>COUNTIFS($A$7:$A$1734,A1278)</x:f>
        <x:v>1</x:v>
      </x:c>
    </x:row>
    <x:row r="1279">
      <x:c r="A1279" s="9" t="str">
        <x:v>EV-AR-LF-B-A-TECH-2-B1-INT-G0-OG01</x:v>
      </x:c>
      <x:c r="B1279" s="9" t="str">
        <x:v>EV-AR-LF-B-A-TECH-2-B1-INT-G0</x:v>
      </x:c>
      <x:c r="C1279" s="9" t="str">
        <x:v>AR-LF-B-A-TECH-2-B1-INT-G0</x:v>
      </x:c>
      <x:c r="D1279" s="9" t="str">
        <x:v>LF-B-A-TECH-2</x:v>
      </x:c>
      <x:c r="E1279" s="9" t="str">
        <x:v>LF-B-A</x:v>
      </x:c>
      <x:c r="F1279" s="9" t="str">
        <x:v>B1</x:v>
      </x:c>
      <x:c r="G1279" s="9" t="str">
        <x:v>INT</x:v>
      </x:c>
      <x:c r="H1279" s="9" t="str">
        <x:v>OG01</x:v>
      </x:c>
      <x:c r="I1279" s="17" t="str">
        <x:v>Serial and event identity</x:v>
      </x:c>
      <x:c r="J1279" s="17" t="str">
        <x:v>record resolves to the issued serial, generation and physical start</x:v>
      </x:c>
      <x:c r="K1279" s="17" t="str">
        <x:v>Observation court</x:v>
      </x:c>
      <x:c r="L1279" s="9" t="n">
        <x:v>0</x:v>
      </x:c>
      <x:c r="M1279" s="9" t="n">
        <x:v>0</x:v>
      </x:c>
      <x:c r="N1279" s="9" t="str">
        <x:v>OPEN / UNACCEPTED</x:v>
      </x:c>
      <x:c r="O1279" s="9" t="n">
        <x:f>COUNTIFS($A$7:$A$1734,A1279)</x:f>
        <x:v>1</x:v>
      </x:c>
    </x:row>
    <x:row r="1280">
      <x:c r="A1280" s="9" t="str">
        <x:v>EV-AR-LF-B-A-TECH-2-B1-INT-G0-OG02</x:v>
      </x:c>
      <x:c r="B1280" s="9" t="str">
        <x:v>EV-AR-LF-B-A-TECH-2-B1-INT-G0</x:v>
      </x:c>
      <x:c r="C1280" s="9" t="str">
        <x:v>AR-LF-B-A-TECH-2-B1-INT-G0</x:v>
      </x:c>
      <x:c r="D1280" s="9" t="str">
        <x:v>LF-B-A-TECH-2</x:v>
      </x:c>
      <x:c r="E1280" s="9" t="str">
        <x:v>LF-B-A</x:v>
      </x:c>
      <x:c r="F1280" s="9" t="str">
        <x:v>B1</x:v>
      </x:c>
      <x:c r="G1280" s="9" t="str">
        <x:v>INT</x:v>
      </x:c>
      <x:c r="H1280" s="9" t="str">
        <x:v>OG02</x:v>
      </x:c>
      <x:c r="I1280" s="17" t="str">
        <x:v>Time ancestry</x:v>
      </x:c>
      <x:c r="J1280" s="17" t="str">
        <x:v>primary, witness and public event clocks retain declared offsets and drift</x:v>
      </x:c>
      <x:c r="K1280" s="17" t="str">
        <x:v>Time authority</x:v>
      </x:c>
      <x:c r="L1280" s="9" t="n">
        <x:v>0</x:v>
      </x:c>
      <x:c r="M1280" s="9" t="n">
        <x:v>0</x:v>
      </x:c>
      <x:c r="N1280" s="9" t="str">
        <x:v>OPEN / UNACCEPTED</x:v>
      </x:c>
      <x:c r="O1280" s="9" t="n">
        <x:f>COUNTIFS($A$7:$A$1734,A1280)</x:f>
        <x:v>1</x:v>
      </x:c>
    </x:row>
    <x:row r="1281">
      <x:c r="A1281" s="9" t="str">
        <x:v>EV-AR-LF-B-A-TECH-2-B1-INT-G0-OG03</x:v>
      </x:c>
      <x:c r="B1281" s="9" t="str">
        <x:v>EV-AR-LF-B-A-TECH-2-B1-INT-G0</x:v>
      </x:c>
      <x:c r="C1281" s="9" t="str">
        <x:v>AR-LF-B-A-TECH-2-B1-INT-G0</x:v>
      </x:c>
      <x:c r="D1281" s="9" t="str">
        <x:v>LF-B-A-TECH-2</x:v>
      </x:c>
      <x:c r="E1281" s="9" t="str">
        <x:v>LF-B-A</x:v>
      </x:c>
      <x:c r="F1281" s="9" t="str">
        <x:v>B1</x:v>
      </x:c>
      <x:c r="G1281" s="9" t="str">
        <x:v>INT</x:v>
      </x:c>
      <x:c r="H1281" s="9" t="str">
        <x:v>OG03</x:v>
      </x:c>
      <x:c r="I1281" s="17" t="str">
        <x:v>Calibration ancestry</x:v>
      </x:c>
      <x:c r="J1281" s="17" t="str">
        <x:v>all reference, range and uncertainty states cover the live interval</x:v>
      </x:c>
      <x:c r="K1281" s="17" t="str">
        <x:v>Metrology courts</x:v>
      </x:c>
      <x:c r="L1281" s="9" t="n">
        <x:v>0</x:v>
      </x:c>
      <x:c r="M1281" s="9" t="n">
        <x:v>0</x:v>
      </x:c>
      <x:c r="N1281" s="9" t="str">
        <x:v>OPEN / UNACCEPTED</x:v>
      </x:c>
      <x:c r="O1281" s="9" t="n">
        <x:f>COUNTIFS($A$7:$A$1734,A1281)</x:f>
        <x:v>1</x:v>
      </x:c>
    </x:row>
    <x:row r="1282">
      <x:c r="A1282" s="9" t="str">
        <x:v>EV-AR-LF-B-A-TECH-2-B1-INT-G0-OG04</x:v>
      </x:c>
      <x:c r="B1282" s="9" t="str">
        <x:v>EV-AR-LF-B-A-TECH-2-B1-INT-G0</x:v>
      </x:c>
      <x:c r="C1282" s="9" t="str">
        <x:v>AR-LF-B-A-TECH-2-B1-INT-G0</x:v>
      </x:c>
      <x:c r="D1282" s="9" t="str">
        <x:v>LF-B-A-TECH-2</x:v>
      </x:c>
      <x:c r="E1282" s="9" t="str">
        <x:v>LF-B-A</x:v>
      </x:c>
      <x:c r="F1282" s="9" t="str">
        <x:v>B1</x:v>
      </x:c>
      <x:c r="G1282" s="9" t="str">
        <x:v>INT</x:v>
      </x:c>
      <x:c r="H1282" s="9" t="str">
        <x:v>OG04</x:v>
      </x:c>
      <x:c r="I1282" s="17" t="str">
        <x:v>Raw completeness</x:v>
      </x:c>
      <x:c r="J1282" s="17" t="str">
        <x:v>missingness is enumerated without imputation or outcome-conditioned deletion</x:v>
      </x:c>
      <x:c r="K1282" s="17" t="str">
        <x:v>Observation court</x:v>
      </x:c>
      <x:c r="L1282" s="9" t="n">
        <x:v>0</x:v>
      </x:c>
      <x:c r="M1282" s="9" t="n">
        <x:v>0</x:v>
      </x:c>
      <x:c r="N1282" s="9" t="str">
        <x:v>OPEN / UNACCEPTED</x:v>
      </x:c>
      <x:c r="O1282" s="9" t="n">
        <x:f>COUNTIFS($A$7:$A$1734,A1282)</x:f>
        <x:v>1</x:v>
      </x:c>
    </x:row>
    <x:row r="1283">
      <x:c r="A1283" s="9" t="str">
        <x:v>EV-AR-LF-B-A-TECH-2-B1-INT-G0-OG05</x:v>
      </x:c>
      <x:c r="B1283" s="9" t="str">
        <x:v>EV-AR-LF-B-A-TECH-2-B1-INT-G0</x:v>
      </x:c>
      <x:c r="C1283" s="9" t="str">
        <x:v>AR-LF-B-A-TECH-2-B1-INT-G0</x:v>
      </x:c>
      <x:c r="D1283" s="9" t="str">
        <x:v>LF-B-A-TECH-2</x:v>
      </x:c>
      <x:c r="E1283" s="9" t="str">
        <x:v>LF-B-A</x:v>
      </x:c>
      <x:c r="F1283" s="9" t="str">
        <x:v>B1</x:v>
      </x:c>
      <x:c r="G1283" s="9" t="str">
        <x:v>INT</x:v>
      </x:c>
      <x:c r="H1283" s="9" t="str">
        <x:v>OG05</x:v>
      </x:c>
      <x:c r="I1283" s="17" t="str">
        <x:v>Primary provenance</x:v>
      </x:c>
      <x:c r="J1283" s="17" t="str">
        <x:v>primary originals, hashes, keys and access history reconcile</x:v>
      </x:c>
      <x:c r="K1283" s="17" t="str">
        <x:v>Primary custody</x:v>
      </x:c>
      <x:c r="L1283" s="9" t="n">
        <x:v>0</x:v>
      </x:c>
      <x:c r="M1283" s="9" t="n">
        <x:v>0</x:v>
      </x:c>
      <x:c r="N1283" s="9" t="str">
        <x:v>OPEN / UNACCEPTED</x:v>
      </x:c>
      <x:c r="O1283" s="9" t="n">
        <x:f>COUNTIFS($A$7:$A$1734,A1283)</x:f>
        <x:v>1</x:v>
      </x:c>
    </x:row>
    <x:row r="1284">
      <x:c r="A1284" s="9" t="str">
        <x:v>EV-AR-LF-B-A-TECH-2-B1-INT-G0-OG06</x:v>
      </x:c>
      <x:c r="B1284" s="9" t="str">
        <x:v>EV-AR-LF-B-A-TECH-2-B1-INT-G0</x:v>
      </x:c>
      <x:c r="C1284" s="9" t="str">
        <x:v>AR-LF-B-A-TECH-2-B1-INT-G0</x:v>
      </x:c>
      <x:c r="D1284" s="9" t="str">
        <x:v>LF-B-A-TECH-2</x:v>
      </x:c>
      <x:c r="E1284" s="9" t="str">
        <x:v>LF-B-A</x:v>
      </x:c>
      <x:c r="F1284" s="9" t="str">
        <x:v>B1</x:v>
      </x:c>
      <x:c r="G1284" s="9" t="str">
        <x:v>INT</x:v>
      </x:c>
      <x:c r="H1284" s="9" t="str">
        <x:v>OG06</x:v>
      </x:c>
      <x:c r="I1284" s="17" t="str">
        <x:v>Witness provenance</x:v>
      </x:c>
      <x:c r="J1284" s="17" t="str">
        <x:v>unlike witness originals, hashes, keys and access history reconcile</x:v>
      </x:c>
      <x:c r="K1284" s="17" t="str">
        <x:v>Witness custody</x:v>
      </x:c>
      <x:c r="L1284" s="9" t="n">
        <x:v>0</x:v>
      </x:c>
      <x:c r="M1284" s="9" t="n">
        <x:v>0</x:v>
      </x:c>
      <x:c r="N1284" s="9" t="str">
        <x:v>OPEN / UNACCEPTED</x:v>
      </x:c>
      <x:c r="O1284" s="9" t="n">
        <x:f>COUNTIFS($A$7:$A$1734,A1284)</x:f>
        <x:v>1</x:v>
      </x:c>
    </x:row>
    <x:row r="1285">
      <x:c r="A1285" s="9" t="str">
        <x:v>EV-AR-LF-B-A-TECH-2-B1-INT-G0-OG07</x:v>
      </x:c>
      <x:c r="B1285" s="9" t="str">
        <x:v>EV-AR-LF-B-A-TECH-2-B1-INT-G0</x:v>
      </x:c>
      <x:c r="C1285" s="9" t="str">
        <x:v>AR-LF-B-A-TECH-2-B1-INT-G0</x:v>
      </x:c>
      <x:c r="D1285" s="9" t="str">
        <x:v>LF-B-A-TECH-2</x:v>
      </x:c>
      <x:c r="E1285" s="9" t="str">
        <x:v>LF-B-A</x:v>
      </x:c>
      <x:c r="F1285" s="9" t="str">
        <x:v>B1</x:v>
      </x:c>
      <x:c r="G1285" s="9" t="str">
        <x:v>INT</x:v>
      </x:c>
      <x:c r="H1285" s="9" t="str">
        <x:v>OG07</x:v>
      </x:c>
      <x:c r="I1285" s="17" t="str">
        <x:v>Receiver denominator</x:v>
      </x:c>
      <x:c r="J1285" s="17" t="str">
        <x:v>population, quantity, duration and exclusions match the frozen receipt</x:v>
      </x:c>
      <x:c r="K1285" s="17" t="str">
        <x:v>Receiver court</x:v>
      </x:c>
      <x:c r="L1285" s="9" t="n">
        <x:v>0</x:v>
      </x:c>
      <x:c r="M1285" s="9" t="n">
        <x:v>0</x:v>
      </x:c>
      <x:c r="N1285" s="9" t="str">
        <x:v>OPEN / UNACCEPTED</x:v>
      </x:c>
      <x:c r="O1285" s="9" t="n">
        <x:f>COUNTIFS($A$7:$A$1734,A1285)</x:f>
        <x:v>1</x:v>
      </x:c>
    </x:row>
    <x:row r="1286">
      <x:c r="A1286" s="9" t="str">
        <x:v>EV-AR-LF-B-A-TECH-2-B1-INT-G0-OG08</x:v>
      </x:c>
      <x:c r="B1286" s="9" t="str">
        <x:v>EV-AR-LF-B-A-TECH-2-B1-INT-G0</x:v>
      </x:c>
      <x:c r="C1286" s="9" t="str">
        <x:v>AR-LF-B-A-TECH-2-B1-INT-G0</x:v>
      </x:c>
      <x:c r="D1286" s="9" t="str">
        <x:v>LF-B-A-TECH-2</x:v>
      </x:c>
      <x:c r="E1286" s="9" t="str">
        <x:v>LF-B-A</x:v>
      </x:c>
      <x:c r="F1286" s="9" t="str">
        <x:v>B1</x:v>
      </x:c>
      <x:c r="G1286" s="9" t="str">
        <x:v>INT</x:v>
      </x:c>
      <x:c r="H1286" s="9" t="str">
        <x:v>OG08</x:v>
      </x:c>
      <x:c r="I1286" s="17" t="str">
        <x:v>Environment and boundary</x:v>
      </x:c>
      <x:c r="J1286" s="17" t="str">
        <x:v>registered weather, water, ground, inlet and outlet states are retained</x:v>
      </x:c>
      <x:c r="K1286" s="17" t="str">
        <x:v>Boundary court</x:v>
      </x:c>
      <x:c r="L1286" s="9" t="n">
        <x:v>0</x:v>
      </x:c>
      <x:c r="M1286" s="9" t="n">
        <x:v>0</x:v>
      </x:c>
      <x:c r="N1286" s="9" t="str">
        <x:v>OPEN / UNACCEPTED</x:v>
      </x:c>
      <x:c r="O1286" s="9" t="n">
        <x:f>COUNTIFS($A$7:$A$1734,A1286)</x:f>
        <x:v>1</x:v>
      </x:c>
    </x:row>
    <x:row r="1287">
      <x:c r="A1287" s="9" t="str">
        <x:v>EV-AR-LF-B-A-TECH-2-B1-INT-G0-OG09</x:v>
      </x:c>
      <x:c r="B1287" s="9" t="str">
        <x:v>EV-AR-LF-B-A-TECH-2-B1-INT-G0</x:v>
      </x:c>
      <x:c r="C1287" s="9" t="str">
        <x:v>AR-LF-B-A-TECH-2-B1-INT-G0</x:v>
      </x:c>
      <x:c r="D1287" s="9" t="str">
        <x:v>LF-B-A-TECH-2</x:v>
      </x:c>
      <x:c r="E1287" s="9" t="str">
        <x:v>LF-B-A</x:v>
      </x:c>
      <x:c r="F1287" s="9" t="str">
        <x:v>B1</x:v>
      </x:c>
      <x:c r="G1287" s="9" t="str">
        <x:v>INT</x:v>
      </x:c>
      <x:c r="H1287" s="9" t="str">
        <x:v>OG09</x:v>
      </x:c>
      <x:c r="I1287" s="17" t="str">
        <x:v>Intervention account</x:v>
      </x:c>
      <x:c r="J1287" s="17" t="str">
        <x:v>all stop, rescue, operator and public-protection actions remain timestamped</x:v>
      </x:c>
      <x:c r="K1287" s="17" t="str">
        <x:v>Safety record court</x:v>
      </x:c>
      <x:c r="L1287" s="9" t="n">
        <x:v>0</x:v>
      </x:c>
      <x:c r="M1287" s="9" t="n">
        <x:v>0</x:v>
      </x:c>
      <x:c r="N1287" s="9" t="str">
        <x:v>OPEN / UNACCEPTED</x:v>
      </x:c>
      <x:c r="O1287" s="9" t="n">
        <x:f>COUNTIFS($A$7:$A$1734,A1287)</x:f>
        <x:v>1</x:v>
      </x:c>
    </x:row>
    <x:row r="1288">
      <x:c r="A1288" s="9" t="str">
        <x:v>EV-AR-LF-B-A-TECH-2-B1-INT-G0-OG10</x:v>
      </x:c>
      <x:c r="B1288" s="9" t="str">
        <x:v>EV-AR-LF-B-A-TECH-2-B1-INT-G0</x:v>
      </x:c>
      <x:c r="C1288" s="9" t="str">
        <x:v>AR-LF-B-A-TECH-2-B1-INT-G0</x:v>
      </x:c>
      <x:c r="D1288" s="9" t="str">
        <x:v>LF-B-A-TECH-2</x:v>
      </x:c>
      <x:c r="E1288" s="9" t="str">
        <x:v>LF-B-A</x:v>
      </x:c>
      <x:c r="F1288" s="9" t="str">
        <x:v>B1</x:v>
      </x:c>
      <x:c r="G1288" s="9" t="str">
        <x:v>INT</x:v>
      </x:c>
      <x:c r="H1288" s="9" t="str">
        <x:v>OG10</x:v>
      </x:c>
      <x:c r="I1288" s="17" t="str">
        <x:v>Uncertainty statement</x:v>
      </x:c>
      <x:c r="J1288" s="17" t="str">
        <x:v>range, censoring, resolution and correlation are declared before judgment</x:v>
      </x:c>
      <x:c r="K1288" s="17" t="str">
        <x:v>Uncertainty authority</x:v>
      </x:c>
      <x:c r="L1288" s="9" t="n">
        <x:v>0</x:v>
      </x:c>
      <x:c r="M1288" s="9" t="n">
        <x:v>0</x:v>
      </x:c>
      <x:c r="N1288" s="9" t="str">
        <x:v>OPEN / UNACCEPTED</x:v>
      </x:c>
      <x:c r="O1288" s="9" t="n">
        <x:f>COUNTIFS($A$7:$A$1734,A1288)</x:f>
        <x:v>1</x:v>
      </x:c>
    </x:row>
    <x:row r="1289">
      <x:c r="A1289" s="9" t="str">
        <x:v>EV-AR-LF-B-A-TECH-2-B1-INT-G0-OG11</x:v>
      </x:c>
      <x:c r="B1289" s="9" t="str">
        <x:v>EV-AR-LF-B-A-TECH-2-B1-INT-G0</x:v>
      </x:c>
      <x:c r="C1289" s="9" t="str">
        <x:v>AR-LF-B-A-TECH-2-B1-INT-G0</x:v>
      </x:c>
      <x:c r="D1289" s="9" t="str">
        <x:v>LF-B-A-TECH-2</x:v>
      </x:c>
      <x:c r="E1289" s="9" t="str">
        <x:v>LF-B-A</x:v>
      </x:c>
      <x:c r="F1289" s="9" t="str">
        <x:v>B1</x:v>
      </x:c>
      <x:c r="G1289" s="9" t="str">
        <x:v>INT</x:v>
      </x:c>
      <x:c r="H1289" s="9" t="str">
        <x:v>OG11</x:v>
      </x:c>
      <x:c r="I1289" s="17" t="str">
        <x:v>Contradiction preservation</x:v>
      </x:c>
      <x:c r="J1289" s="17" t="str">
        <x:v>primary-witness disagreement remains explicit and is never averaged away</x:v>
      </x:c>
      <x:c r="K1289" s="17" t="str">
        <x:v>Dissent registrar</x:v>
      </x:c>
      <x:c r="L1289" s="9" t="n">
        <x:v>0</x:v>
      </x:c>
      <x:c r="M1289" s="9" t="n">
        <x:v>0</x:v>
      </x:c>
      <x:c r="N1289" s="9" t="str">
        <x:v>OPEN / UNACCEPTED</x:v>
      </x:c>
      <x:c r="O1289" s="9" t="n">
        <x:f>COUNTIFS($A$7:$A$1734,A1289)</x:f>
        <x:v>1</x:v>
      </x:c>
    </x:row>
    <x:row r="1290">
      <x:c r="A1290" s="9" t="str">
        <x:v>EV-AR-LF-B-A-TECH-2-B1-INT-G0-OG12</x:v>
      </x:c>
      <x:c r="B1290" s="9" t="str">
        <x:v>EV-AR-LF-B-A-TECH-2-B1-INT-G0</x:v>
      </x:c>
      <x:c r="C1290" s="9" t="str">
        <x:v>AR-LF-B-A-TECH-2-B1-INT-G0</x:v>
      </x:c>
      <x:c r="D1290" s="9" t="str">
        <x:v>LF-B-A-TECH-2</x:v>
      </x:c>
      <x:c r="E1290" s="9" t="str">
        <x:v>LF-B-A</x:v>
      </x:c>
      <x:c r="F1290" s="9" t="str">
        <x:v>B1</x:v>
      </x:c>
      <x:c r="G1290" s="9" t="str">
        <x:v>INT</x:v>
      </x:c>
      <x:c r="H1290" s="9" t="str">
        <x:v>OG12</x:v>
      </x:c>
      <x:c r="I1290" s="17" t="str">
        <x:v>Independent replay</x:v>
      </x:c>
      <x:c r="J1290" s="17" t="str">
        <x:v>a separated reader reconstructs the registered observables from sealed originals</x:v>
      </x:c>
      <x:c r="K1290" s="17" t="str">
        <x:v>Replay court</x:v>
      </x:c>
      <x:c r="L1290" s="9" t="n">
        <x:v>0</x:v>
      </x:c>
      <x:c r="M1290" s="9" t="n">
        <x:v>0</x:v>
      </x:c>
      <x:c r="N1290" s="9" t="str">
        <x:v>OPEN / UNACCEPTED</x:v>
      </x:c>
      <x:c r="O1290" s="9" t="n">
        <x:f>COUNTIFS($A$7:$A$1734,A1290)</x:f>
        <x:v>1</x:v>
      </x:c>
    </x:row>
    <x:row r="1291">
      <x:c r="A1291" s="9" t="str">
        <x:v>EV-AR-RT-B-C-TECH-2-B1-RCN-G0-OG01</x:v>
      </x:c>
      <x:c r="B1291" s="9" t="str">
        <x:v>EV-AR-RT-B-C-TECH-2-B1-RCN-G0</x:v>
      </x:c>
      <x:c r="C1291" s="9" t="str">
        <x:v>AR-RT-B-C-TECH-2-B1-RCN-G0</x:v>
      </x:c>
      <x:c r="D1291" s="9" t="str">
        <x:v>RT-B-C-TECH-2</x:v>
      </x:c>
      <x:c r="E1291" s="9" t="str">
        <x:v>RT-B-C</x:v>
      </x:c>
      <x:c r="F1291" s="9" t="str">
        <x:v>B1</x:v>
      </x:c>
      <x:c r="G1291" s="9" t="str">
        <x:v>RCN</x:v>
      </x:c>
      <x:c r="H1291" s="9" t="str">
        <x:v>OG01</x:v>
      </x:c>
      <x:c r="I1291" s="17" t="str">
        <x:v>Serial and event identity</x:v>
      </x:c>
      <x:c r="J1291" s="17" t="str">
        <x:v>record resolves to the issued serial, generation and physical start</x:v>
      </x:c>
      <x:c r="K1291" s="17" t="str">
        <x:v>Observation court</x:v>
      </x:c>
      <x:c r="L1291" s="9" t="n">
        <x:v>0</x:v>
      </x:c>
      <x:c r="M1291" s="9" t="n">
        <x:v>0</x:v>
      </x:c>
      <x:c r="N1291" s="9" t="str">
        <x:v>OPEN / UNACCEPTED</x:v>
      </x:c>
      <x:c r="O1291" s="9" t="n">
        <x:f>COUNTIFS($A$7:$A$1734,A1291)</x:f>
        <x:v>1</x:v>
      </x:c>
    </x:row>
    <x:row r="1292">
      <x:c r="A1292" s="9" t="str">
        <x:v>EV-AR-RT-B-C-TECH-2-B1-RCN-G0-OG02</x:v>
      </x:c>
      <x:c r="B1292" s="9" t="str">
        <x:v>EV-AR-RT-B-C-TECH-2-B1-RCN-G0</x:v>
      </x:c>
      <x:c r="C1292" s="9" t="str">
        <x:v>AR-RT-B-C-TECH-2-B1-RCN-G0</x:v>
      </x:c>
      <x:c r="D1292" s="9" t="str">
        <x:v>RT-B-C-TECH-2</x:v>
      </x:c>
      <x:c r="E1292" s="9" t="str">
        <x:v>RT-B-C</x:v>
      </x:c>
      <x:c r="F1292" s="9" t="str">
        <x:v>B1</x:v>
      </x:c>
      <x:c r="G1292" s="9" t="str">
        <x:v>RCN</x:v>
      </x:c>
      <x:c r="H1292" s="9" t="str">
        <x:v>OG02</x:v>
      </x:c>
      <x:c r="I1292" s="17" t="str">
        <x:v>Time ancestry</x:v>
      </x:c>
      <x:c r="J1292" s="17" t="str">
        <x:v>primary, witness and public event clocks retain declared offsets and drift</x:v>
      </x:c>
      <x:c r="K1292" s="17" t="str">
        <x:v>Time authority</x:v>
      </x:c>
      <x:c r="L1292" s="9" t="n">
        <x:v>0</x:v>
      </x:c>
      <x:c r="M1292" s="9" t="n">
        <x:v>0</x:v>
      </x:c>
      <x:c r="N1292" s="9" t="str">
        <x:v>OPEN / UNACCEPTED</x:v>
      </x:c>
      <x:c r="O1292" s="9" t="n">
        <x:f>COUNTIFS($A$7:$A$1734,A1292)</x:f>
        <x:v>1</x:v>
      </x:c>
    </x:row>
    <x:row r="1293">
      <x:c r="A1293" s="9" t="str">
        <x:v>EV-AR-RT-B-C-TECH-2-B1-RCN-G0-OG03</x:v>
      </x:c>
      <x:c r="B1293" s="9" t="str">
        <x:v>EV-AR-RT-B-C-TECH-2-B1-RCN-G0</x:v>
      </x:c>
      <x:c r="C1293" s="9" t="str">
        <x:v>AR-RT-B-C-TECH-2-B1-RCN-G0</x:v>
      </x:c>
      <x:c r="D1293" s="9" t="str">
        <x:v>RT-B-C-TECH-2</x:v>
      </x:c>
      <x:c r="E1293" s="9" t="str">
        <x:v>RT-B-C</x:v>
      </x:c>
      <x:c r="F1293" s="9" t="str">
        <x:v>B1</x:v>
      </x:c>
      <x:c r="G1293" s="9" t="str">
        <x:v>RCN</x:v>
      </x:c>
      <x:c r="H1293" s="9" t="str">
        <x:v>OG03</x:v>
      </x:c>
      <x:c r="I1293" s="17" t="str">
        <x:v>Calibration ancestry</x:v>
      </x:c>
      <x:c r="J1293" s="17" t="str">
        <x:v>all reference, range and uncertainty states cover the live interval</x:v>
      </x:c>
      <x:c r="K1293" s="17" t="str">
        <x:v>Metrology courts</x:v>
      </x:c>
      <x:c r="L1293" s="9" t="n">
        <x:v>0</x:v>
      </x:c>
      <x:c r="M1293" s="9" t="n">
        <x:v>0</x:v>
      </x:c>
      <x:c r="N1293" s="9" t="str">
        <x:v>OPEN / UNACCEPTED</x:v>
      </x:c>
      <x:c r="O1293" s="9" t="n">
        <x:f>COUNTIFS($A$7:$A$1734,A1293)</x:f>
        <x:v>1</x:v>
      </x:c>
    </x:row>
    <x:row r="1294">
      <x:c r="A1294" s="9" t="str">
        <x:v>EV-AR-RT-B-C-TECH-2-B1-RCN-G0-OG04</x:v>
      </x:c>
      <x:c r="B1294" s="9" t="str">
        <x:v>EV-AR-RT-B-C-TECH-2-B1-RCN-G0</x:v>
      </x:c>
      <x:c r="C1294" s="9" t="str">
        <x:v>AR-RT-B-C-TECH-2-B1-RCN-G0</x:v>
      </x:c>
      <x:c r="D1294" s="9" t="str">
        <x:v>RT-B-C-TECH-2</x:v>
      </x:c>
      <x:c r="E1294" s="9" t="str">
        <x:v>RT-B-C</x:v>
      </x:c>
      <x:c r="F1294" s="9" t="str">
        <x:v>B1</x:v>
      </x:c>
      <x:c r="G1294" s="9" t="str">
        <x:v>RCN</x:v>
      </x:c>
      <x:c r="H1294" s="9" t="str">
        <x:v>OG04</x:v>
      </x:c>
      <x:c r="I1294" s="17" t="str">
        <x:v>Raw completeness</x:v>
      </x:c>
      <x:c r="J1294" s="17" t="str">
        <x:v>missingness is enumerated without imputation or outcome-conditioned deletion</x:v>
      </x:c>
      <x:c r="K1294" s="17" t="str">
        <x:v>Observation court</x:v>
      </x:c>
      <x:c r="L1294" s="9" t="n">
        <x:v>0</x:v>
      </x:c>
      <x:c r="M1294" s="9" t="n">
        <x:v>0</x:v>
      </x:c>
      <x:c r="N1294" s="9" t="str">
        <x:v>OPEN / UNACCEPTED</x:v>
      </x:c>
      <x:c r="O1294" s="9" t="n">
        <x:f>COUNTIFS($A$7:$A$1734,A1294)</x:f>
        <x:v>1</x:v>
      </x:c>
    </x:row>
    <x:row r="1295">
      <x:c r="A1295" s="9" t="str">
        <x:v>EV-AR-RT-B-C-TECH-2-B1-RCN-G0-OG05</x:v>
      </x:c>
      <x:c r="B1295" s="9" t="str">
        <x:v>EV-AR-RT-B-C-TECH-2-B1-RCN-G0</x:v>
      </x:c>
      <x:c r="C1295" s="9" t="str">
        <x:v>AR-RT-B-C-TECH-2-B1-RCN-G0</x:v>
      </x:c>
      <x:c r="D1295" s="9" t="str">
        <x:v>RT-B-C-TECH-2</x:v>
      </x:c>
      <x:c r="E1295" s="9" t="str">
        <x:v>RT-B-C</x:v>
      </x:c>
      <x:c r="F1295" s="9" t="str">
        <x:v>B1</x:v>
      </x:c>
      <x:c r="G1295" s="9" t="str">
        <x:v>RCN</x:v>
      </x:c>
      <x:c r="H1295" s="9" t="str">
        <x:v>OG05</x:v>
      </x:c>
      <x:c r="I1295" s="17" t="str">
        <x:v>Primary provenance</x:v>
      </x:c>
      <x:c r="J1295" s="17" t="str">
        <x:v>primary originals, hashes, keys and access history reconcile</x:v>
      </x:c>
      <x:c r="K1295" s="17" t="str">
        <x:v>Primary custody</x:v>
      </x:c>
      <x:c r="L1295" s="9" t="n">
        <x:v>0</x:v>
      </x:c>
      <x:c r="M1295" s="9" t="n">
        <x:v>0</x:v>
      </x:c>
      <x:c r="N1295" s="9" t="str">
        <x:v>OPEN / UNACCEPTED</x:v>
      </x:c>
      <x:c r="O1295" s="9" t="n">
        <x:f>COUNTIFS($A$7:$A$1734,A1295)</x:f>
        <x:v>1</x:v>
      </x:c>
    </x:row>
    <x:row r="1296">
      <x:c r="A1296" s="9" t="str">
        <x:v>EV-AR-RT-B-C-TECH-2-B1-RCN-G0-OG06</x:v>
      </x:c>
      <x:c r="B1296" s="9" t="str">
        <x:v>EV-AR-RT-B-C-TECH-2-B1-RCN-G0</x:v>
      </x:c>
      <x:c r="C1296" s="9" t="str">
        <x:v>AR-RT-B-C-TECH-2-B1-RCN-G0</x:v>
      </x:c>
      <x:c r="D1296" s="9" t="str">
        <x:v>RT-B-C-TECH-2</x:v>
      </x:c>
      <x:c r="E1296" s="9" t="str">
        <x:v>RT-B-C</x:v>
      </x:c>
      <x:c r="F1296" s="9" t="str">
        <x:v>B1</x:v>
      </x:c>
      <x:c r="G1296" s="9" t="str">
        <x:v>RCN</x:v>
      </x:c>
      <x:c r="H1296" s="9" t="str">
        <x:v>OG06</x:v>
      </x:c>
      <x:c r="I1296" s="17" t="str">
        <x:v>Witness provenance</x:v>
      </x:c>
      <x:c r="J1296" s="17" t="str">
        <x:v>unlike witness originals, hashes, keys and access history reconcile</x:v>
      </x:c>
      <x:c r="K1296" s="17" t="str">
        <x:v>Witness custody</x:v>
      </x:c>
      <x:c r="L1296" s="9" t="n">
        <x:v>0</x:v>
      </x:c>
      <x:c r="M1296" s="9" t="n">
        <x:v>0</x:v>
      </x:c>
      <x:c r="N1296" s="9" t="str">
        <x:v>OPEN / UNACCEPTED</x:v>
      </x:c>
      <x:c r="O1296" s="9" t="n">
        <x:f>COUNTIFS($A$7:$A$1734,A1296)</x:f>
        <x:v>1</x:v>
      </x:c>
    </x:row>
    <x:row r="1297">
      <x:c r="A1297" s="9" t="str">
        <x:v>EV-AR-RT-B-C-TECH-2-B1-RCN-G0-OG07</x:v>
      </x:c>
      <x:c r="B1297" s="9" t="str">
        <x:v>EV-AR-RT-B-C-TECH-2-B1-RCN-G0</x:v>
      </x:c>
      <x:c r="C1297" s="9" t="str">
        <x:v>AR-RT-B-C-TECH-2-B1-RCN-G0</x:v>
      </x:c>
      <x:c r="D1297" s="9" t="str">
        <x:v>RT-B-C-TECH-2</x:v>
      </x:c>
      <x:c r="E1297" s="9" t="str">
        <x:v>RT-B-C</x:v>
      </x:c>
      <x:c r="F1297" s="9" t="str">
        <x:v>B1</x:v>
      </x:c>
      <x:c r="G1297" s="9" t="str">
        <x:v>RCN</x:v>
      </x:c>
      <x:c r="H1297" s="9" t="str">
        <x:v>OG07</x:v>
      </x:c>
      <x:c r="I1297" s="17" t="str">
        <x:v>Receiver denominator</x:v>
      </x:c>
      <x:c r="J1297" s="17" t="str">
        <x:v>population, quantity, duration and exclusions match the frozen receipt</x:v>
      </x:c>
      <x:c r="K1297" s="17" t="str">
        <x:v>Receiver court</x:v>
      </x:c>
      <x:c r="L1297" s="9" t="n">
        <x:v>0</x:v>
      </x:c>
      <x:c r="M1297" s="9" t="n">
        <x:v>0</x:v>
      </x:c>
      <x:c r="N1297" s="9" t="str">
        <x:v>OPEN / UNACCEPTED</x:v>
      </x:c>
      <x:c r="O1297" s="9" t="n">
        <x:f>COUNTIFS($A$7:$A$1734,A1297)</x:f>
        <x:v>1</x:v>
      </x:c>
    </x:row>
    <x:row r="1298">
      <x:c r="A1298" s="9" t="str">
        <x:v>EV-AR-RT-B-C-TECH-2-B1-RCN-G0-OG08</x:v>
      </x:c>
      <x:c r="B1298" s="9" t="str">
        <x:v>EV-AR-RT-B-C-TECH-2-B1-RCN-G0</x:v>
      </x:c>
      <x:c r="C1298" s="9" t="str">
        <x:v>AR-RT-B-C-TECH-2-B1-RCN-G0</x:v>
      </x:c>
      <x:c r="D1298" s="9" t="str">
        <x:v>RT-B-C-TECH-2</x:v>
      </x:c>
      <x:c r="E1298" s="9" t="str">
        <x:v>RT-B-C</x:v>
      </x:c>
      <x:c r="F1298" s="9" t="str">
        <x:v>B1</x:v>
      </x:c>
      <x:c r="G1298" s="9" t="str">
        <x:v>RCN</x:v>
      </x:c>
      <x:c r="H1298" s="9" t="str">
        <x:v>OG08</x:v>
      </x:c>
      <x:c r="I1298" s="17" t="str">
        <x:v>Environment and boundary</x:v>
      </x:c>
      <x:c r="J1298" s="17" t="str">
        <x:v>registered weather, water, ground, inlet and outlet states are retained</x:v>
      </x:c>
      <x:c r="K1298" s="17" t="str">
        <x:v>Boundary court</x:v>
      </x:c>
      <x:c r="L1298" s="9" t="n">
        <x:v>0</x:v>
      </x:c>
      <x:c r="M1298" s="9" t="n">
        <x:v>0</x:v>
      </x:c>
      <x:c r="N1298" s="9" t="str">
        <x:v>OPEN / UNACCEPTED</x:v>
      </x:c>
      <x:c r="O1298" s="9" t="n">
        <x:f>COUNTIFS($A$7:$A$1734,A1298)</x:f>
        <x:v>1</x:v>
      </x:c>
    </x:row>
    <x:row r="1299">
      <x:c r="A1299" s="9" t="str">
        <x:v>EV-AR-RT-B-C-TECH-2-B1-RCN-G0-OG09</x:v>
      </x:c>
      <x:c r="B1299" s="9" t="str">
        <x:v>EV-AR-RT-B-C-TECH-2-B1-RCN-G0</x:v>
      </x:c>
      <x:c r="C1299" s="9" t="str">
        <x:v>AR-RT-B-C-TECH-2-B1-RCN-G0</x:v>
      </x:c>
      <x:c r="D1299" s="9" t="str">
        <x:v>RT-B-C-TECH-2</x:v>
      </x:c>
      <x:c r="E1299" s="9" t="str">
        <x:v>RT-B-C</x:v>
      </x:c>
      <x:c r="F1299" s="9" t="str">
        <x:v>B1</x:v>
      </x:c>
      <x:c r="G1299" s="9" t="str">
        <x:v>RCN</x:v>
      </x:c>
      <x:c r="H1299" s="9" t="str">
        <x:v>OG09</x:v>
      </x:c>
      <x:c r="I1299" s="17" t="str">
        <x:v>Intervention account</x:v>
      </x:c>
      <x:c r="J1299" s="17" t="str">
        <x:v>all stop, rescue, operator and public-protection actions remain timestamped</x:v>
      </x:c>
      <x:c r="K1299" s="17" t="str">
        <x:v>Safety record court</x:v>
      </x:c>
      <x:c r="L1299" s="9" t="n">
        <x:v>0</x:v>
      </x:c>
      <x:c r="M1299" s="9" t="n">
        <x:v>0</x:v>
      </x:c>
      <x:c r="N1299" s="9" t="str">
        <x:v>OPEN / UNACCEPTED</x:v>
      </x:c>
      <x:c r="O1299" s="9" t="n">
        <x:f>COUNTIFS($A$7:$A$1734,A1299)</x:f>
        <x:v>1</x:v>
      </x:c>
    </x:row>
    <x:row r="1300">
      <x:c r="A1300" s="9" t="str">
        <x:v>EV-AR-RT-B-C-TECH-2-B1-RCN-G0-OG10</x:v>
      </x:c>
      <x:c r="B1300" s="9" t="str">
        <x:v>EV-AR-RT-B-C-TECH-2-B1-RCN-G0</x:v>
      </x:c>
      <x:c r="C1300" s="9" t="str">
        <x:v>AR-RT-B-C-TECH-2-B1-RCN-G0</x:v>
      </x:c>
      <x:c r="D1300" s="9" t="str">
        <x:v>RT-B-C-TECH-2</x:v>
      </x:c>
      <x:c r="E1300" s="9" t="str">
        <x:v>RT-B-C</x:v>
      </x:c>
      <x:c r="F1300" s="9" t="str">
        <x:v>B1</x:v>
      </x:c>
      <x:c r="G1300" s="9" t="str">
        <x:v>RCN</x:v>
      </x:c>
      <x:c r="H1300" s="9" t="str">
        <x:v>OG10</x:v>
      </x:c>
      <x:c r="I1300" s="17" t="str">
        <x:v>Uncertainty statement</x:v>
      </x:c>
      <x:c r="J1300" s="17" t="str">
        <x:v>range, censoring, resolution and correlation are declared before judgment</x:v>
      </x:c>
      <x:c r="K1300" s="17" t="str">
        <x:v>Uncertainty authority</x:v>
      </x:c>
      <x:c r="L1300" s="9" t="n">
        <x:v>0</x:v>
      </x:c>
      <x:c r="M1300" s="9" t="n">
        <x:v>0</x:v>
      </x:c>
      <x:c r="N1300" s="9" t="str">
        <x:v>OPEN / UNACCEPTED</x:v>
      </x:c>
      <x:c r="O1300" s="9" t="n">
        <x:f>COUNTIFS($A$7:$A$1734,A1300)</x:f>
        <x:v>1</x:v>
      </x:c>
    </x:row>
    <x:row r="1301">
      <x:c r="A1301" s="9" t="str">
        <x:v>EV-AR-RT-B-C-TECH-2-B1-RCN-G0-OG11</x:v>
      </x:c>
      <x:c r="B1301" s="9" t="str">
        <x:v>EV-AR-RT-B-C-TECH-2-B1-RCN-G0</x:v>
      </x:c>
      <x:c r="C1301" s="9" t="str">
        <x:v>AR-RT-B-C-TECH-2-B1-RCN-G0</x:v>
      </x:c>
      <x:c r="D1301" s="9" t="str">
        <x:v>RT-B-C-TECH-2</x:v>
      </x:c>
      <x:c r="E1301" s="9" t="str">
        <x:v>RT-B-C</x:v>
      </x:c>
      <x:c r="F1301" s="9" t="str">
        <x:v>B1</x:v>
      </x:c>
      <x:c r="G1301" s="9" t="str">
        <x:v>RCN</x:v>
      </x:c>
      <x:c r="H1301" s="9" t="str">
        <x:v>OG11</x:v>
      </x:c>
      <x:c r="I1301" s="17" t="str">
        <x:v>Contradiction preservation</x:v>
      </x:c>
      <x:c r="J1301" s="17" t="str">
        <x:v>primary-witness disagreement remains explicit and is never averaged away</x:v>
      </x:c>
      <x:c r="K1301" s="17" t="str">
        <x:v>Dissent registrar</x:v>
      </x:c>
      <x:c r="L1301" s="9" t="n">
        <x:v>0</x:v>
      </x:c>
      <x:c r="M1301" s="9" t="n">
        <x:v>0</x:v>
      </x:c>
      <x:c r="N1301" s="9" t="str">
        <x:v>OPEN / UNACCEPTED</x:v>
      </x:c>
      <x:c r="O1301" s="9" t="n">
        <x:f>COUNTIFS($A$7:$A$1734,A1301)</x:f>
        <x:v>1</x:v>
      </x:c>
    </x:row>
    <x:row r="1302">
      <x:c r="A1302" s="9" t="str">
        <x:v>EV-AR-RT-B-C-TECH-2-B1-RCN-G0-OG12</x:v>
      </x:c>
      <x:c r="B1302" s="9" t="str">
        <x:v>EV-AR-RT-B-C-TECH-2-B1-RCN-G0</x:v>
      </x:c>
      <x:c r="C1302" s="9" t="str">
        <x:v>AR-RT-B-C-TECH-2-B1-RCN-G0</x:v>
      </x:c>
      <x:c r="D1302" s="9" t="str">
        <x:v>RT-B-C-TECH-2</x:v>
      </x:c>
      <x:c r="E1302" s="9" t="str">
        <x:v>RT-B-C</x:v>
      </x:c>
      <x:c r="F1302" s="9" t="str">
        <x:v>B1</x:v>
      </x:c>
      <x:c r="G1302" s="9" t="str">
        <x:v>RCN</x:v>
      </x:c>
      <x:c r="H1302" s="9" t="str">
        <x:v>OG12</x:v>
      </x:c>
      <x:c r="I1302" s="17" t="str">
        <x:v>Independent replay</x:v>
      </x:c>
      <x:c r="J1302" s="17" t="str">
        <x:v>a separated reader reconstructs the registered observables from sealed originals</x:v>
      </x:c>
      <x:c r="K1302" s="17" t="str">
        <x:v>Replay court</x:v>
      </x:c>
      <x:c r="L1302" s="9" t="n">
        <x:v>0</x:v>
      </x:c>
      <x:c r="M1302" s="9" t="n">
        <x:v>0</x:v>
      </x:c>
      <x:c r="N1302" s="9" t="str">
        <x:v>OPEN / UNACCEPTED</x:v>
      </x:c>
      <x:c r="O1302" s="9" t="n">
        <x:f>COUNTIFS($A$7:$A$1734,A1302)</x:f>
        <x:v>1</x:v>
      </x:c>
    </x:row>
    <x:row r="1303">
      <x:c r="A1303" s="9" t="str">
        <x:v>EV-AR-CT-C-B-TECH-4-B1-INT-G0-OG01</x:v>
      </x:c>
      <x:c r="B1303" s="9" t="str">
        <x:v>EV-AR-CT-C-B-TECH-4-B1-INT-G0</x:v>
      </x:c>
      <x:c r="C1303" s="9" t="str">
        <x:v>AR-CT-C-B-TECH-4-B1-INT-G0</x:v>
      </x:c>
      <x:c r="D1303" s="9" t="str">
        <x:v>CT-C-B-TECH-4</x:v>
      </x:c>
      <x:c r="E1303" s="9" t="str">
        <x:v>CT-C-B</x:v>
      </x:c>
      <x:c r="F1303" s="9" t="str">
        <x:v>B1</x:v>
      </x:c>
      <x:c r="G1303" s="9" t="str">
        <x:v>INT</x:v>
      </x:c>
      <x:c r="H1303" s="9" t="str">
        <x:v>OG01</x:v>
      </x:c>
      <x:c r="I1303" s="17" t="str">
        <x:v>Serial and event identity</x:v>
      </x:c>
      <x:c r="J1303" s="17" t="str">
        <x:v>record resolves to the issued serial, generation and physical start</x:v>
      </x:c>
      <x:c r="K1303" s="17" t="str">
        <x:v>Observation court</x:v>
      </x:c>
      <x:c r="L1303" s="9" t="n">
        <x:v>0</x:v>
      </x:c>
      <x:c r="M1303" s="9" t="n">
        <x:v>0</x:v>
      </x:c>
      <x:c r="N1303" s="9" t="str">
        <x:v>OPEN / UNACCEPTED</x:v>
      </x:c>
      <x:c r="O1303" s="9" t="n">
        <x:f>COUNTIFS($A$7:$A$1734,A1303)</x:f>
        <x:v>1</x:v>
      </x:c>
    </x:row>
    <x:row r="1304">
      <x:c r="A1304" s="9" t="str">
        <x:v>EV-AR-CT-C-B-TECH-4-B1-INT-G0-OG02</x:v>
      </x:c>
      <x:c r="B1304" s="9" t="str">
        <x:v>EV-AR-CT-C-B-TECH-4-B1-INT-G0</x:v>
      </x:c>
      <x:c r="C1304" s="9" t="str">
        <x:v>AR-CT-C-B-TECH-4-B1-INT-G0</x:v>
      </x:c>
      <x:c r="D1304" s="9" t="str">
        <x:v>CT-C-B-TECH-4</x:v>
      </x:c>
      <x:c r="E1304" s="9" t="str">
        <x:v>CT-C-B</x:v>
      </x:c>
      <x:c r="F1304" s="9" t="str">
        <x:v>B1</x:v>
      </x:c>
      <x:c r="G1304" s="9" t="str">
        <x:v>INT</x:v>
      </x:c>
      <x:c r="H1304" s="9" t="str">
        <x:v>OG02</x:v>
      </x:c>
      <x:c r="I1304" s="17" t="str">
        <x:v>Time ancestry</x:v>
      </x:c>
      <x:c r="J1304" s="17" t="str">
        <x:v>primary, witness and public event clocks retain declared offsets and drift</x:v>
      </x:c>
      <x:c r="K1304" s="17" t="str">
        <x:v>Time authority</x:v>
      </x:c>
      <x:c r="L1304" s="9" t="n">
        <x:v>0</x:v>
      </x:c>
      <x:c r="M1304" s="9" t="n">
        <x:v>0</x:v>
      </x:c>
      <x:c r="N1304" s="9" t="str">
        <x:v>OPEN / UNACCEPTED</x:v>
      </x:c>
      <x:c r="O1304" s="9" t="n">
        <x:f>COUNTIFS($A$7:$A$1734,A1304)</x:f>
        <x:v>1</x:v>
      </x:c>
    </x:row>
    <x:row r="1305">
      <x:c r="A1305" s="9" t="str">
        <x:v>EV-AR-CT-C-B-TECH-4-B1-INT-G0-OG03</x:v>
      </x:c>
      <x:c r="B1305" s="9" t="str">
        <x:v>EV-AR-CT-C-B-TECH-4-B1-INT-G0</x:v>
      </x:c>
      <x:c r="C1305" s="9" t="str">
        <x:v>AR-CT-C-B-TECH-4-B1-INT-G0</x:v>
      </x:c>
      <x:c r="D1305" s="9" t="str">
        <x:v>CT-C-B-TECH-4</x:v>
      </x:c>
      <x:c r="E1305" s="9" t="str">
        <x:v>CT-C-B</x:v>
      </x:c>
      <x:c r="F1305" s="9" t="str">
        <x:v>B1</x:v>
      </x:c>
      <x:c r="G1305" s="9" t="str">
        <x:v>INT</x:v>
      </x:c>
      <x:c r="H1305" s="9" t="str">
        <x:v>OG03</x:v>
      </x:c>
      <x:c r="I1305" s="17" t="str">
        <x:v>Calibration ancestry</x:v>
      </x:c>
      <x:c r="J1305" s="17" t="str">
        <x:v>all reference, range and uncertainty states cover the live interval</x:v>
      </x:c>
      <x:c r="K1305" s="17" t="str">
        <x:v>Metrology courts</x:v>
      </x:c>
      <x:c r="L1305" s="9" t="n">
        <x:v>0</x:v>
      </x:c>
      <x:c r="M1305" s="9" t="n">
        <x:v>0</x:v>
      </x:c>
      <x:c r="N1305" s="9" t="str">
        <x:v>OPEN / UNACCEPTED</x:v>
      </x:c>
      <x:c r="O1305" s="9" t="n">
        <x:f>COUNTIFS($A$7:$A$1734,A1305)</x:f>
        <x:v>1</x:v>
      </x:c>
    </x:row>
    <x:row r="1306">
      <x:c r="A1306" s="9" t="str">
        <x:v>EV-AR-CT-C-B-TECH-4-B1-INT-G0-OG04</x:v>
      </x:c>
      <x:c r="B1306" s="9" t="str">
        <x:v>EV-AR-CT-C-B-TECH-4-B1-INT-G0</x:v>
      </x:c>
      <x:c r="C1306" s="9" t="str">
        <x:v>AR-CT-C-B-TECH-4-B1-INT-G0</x:v>
      </x:c>
      <x:c r="D1306" s="9" t="str">
        <x:v>CT-C-B-TECH-4</x:v>
      </x:c>
      <x:c r="E1306" s="9" t="str">
        <x:v>CT-C-B</x:v>
      </x:c>
      <x:c r="F1306" s="9" t="str">
        <x:v>B1</x:v>
      </x:c>
      <x:c r="G1306" s="9" t="str">
        <x:v>INT</x:v>
      </x:c>
      <x:c r="H1306" s="9" t="str">
        <x:v>OG04</x:v>
      </x:c>
      <x:c r="I1306" s="17" t="str">
        <x:v>Raw completeness</x:v>
      </x:c>
      <x:c r="J1306" s="17" t="str">
        <x:v>missingness is enumerated without imputation or outcome-conditioned deletion</x:v>
      </x:c>
      <x:c r="K1306" s="17" t="str">
        <x:v>Observation court</x:v>
      </x:c>
      <x:c r="L1306" s="9" t="n">
        <x:v>0</x:v>
      </x:c>
      <x:c r="M1306" s="9" t="n">
        <x:v>0</x:v>
      </x:c>
      <x:c r="N1306" s="9" t="str">
        <x:v>OPEN / UNACCEPTED</x:v>
      </x:c>
      <x:c r="O1306" s="9" t="n">
        <x:f>COUNTIFS($A$7:$A$1734,A1306)</x:f>
        <x:v>1</x:v>
      </x:c>
    </x:row>
    <x:row r="1307">
      <x:c r="A1307" s="9" t="str">
        <x:v>EV-AR-CT-C-B-TECH-4-B1-INT-G0-OG05</x:v>
      </x:c>
      <x:c r="B1307" s="9" t="str">
        <x:v>EV-AR-CT-C-B-TECH-4-B1-INT-G0</x:v>
      </x:c>
      <x:c r="C1307" s="9" t="str">
        <x:v>AR-CT-C-B-TECH-4-B1-INT-G0</x:v>
      </x:c>
      <x:c r="D1307" s="9" t="str">
        <x:v>CT-C-B-TECH-4</x:v>
      </x:c>
      <x:c r="E1307" s="9" t="str">
        <x:v>CT-C-B</x:v>
      </x:c>
      <x:c r="F1307" s="9" t="str">
        <x:v>B1</x:v>
      </x:c>
      <x:c r="G1307" s="9" t="str">
        <x:v>INT</x:v>
      </x:c>
      <x:c r="H1307" s="9" t="str">
        <x:v>OG05</x:v>
      </x:c>
      <x:c r="I1307" s="17" t="str">
        <x:v>Primary provenance</x:v>
      </x:c>
      <x:c r="J1307" s="17" t="str">
        <x:v>primary originals, hashes, keys and access history reconcile</x:v>
      </x:c>
      <x:c r="K1307" s="17" t="str">
        <x:v>Primary custody</x:v>
      </x:c>
      <x:c r="L1307" s="9" t="n">
        <x:v>0</x:v>
      </x:c>
      <x:c r="M1307" s="9" t="n">
        <x:v>0</x:v>
      </x:c>
      <x:c r="N1307" s="9" t="str">
        <x:v>OPEN / UNACCEPTED</x:v>
      </x:c>
      <x:c r="O1307" s="9" t="n">
        <x:f>COUNTIFS($A$7:$A$1734,A1307)</x:f>
        <x:v>1</x:v>
      </x:c>
    </x:row>
    <x:row r="1308">
      <x:c r="A1308" s="9" t="str">
        <x:v>EV-AR-CT-C-B-TECH-4-B1-INT-G0-OG06</x:v>
      </x:c>
      <x:c r="B1308" s="9" t="str">
        <x:v>EV-AR-CT-C-B-TECH-4-B1-INT-G0</x:v>
      </x:c>
      <x:c r="C1308" s="9" t="str">
        <x:v>AR-CT-C-B-TECH-4-B1-INT-G0</x:v>
      </x:c>
      <x:c r="D1308" s="9" t="str">
        <x:v>CT-C-B-TECH-4</x:v>
      </x:c>
      <x:c r="E1308" s="9" t="str">
        <x:v>CT-C-B</x:v>
      </x:c>
      <x:c r="F1308" s="9" t="str">
        <x:v>B1</x:v>
      </x:c>
      <x:c r="G1308" s="9" t="str">
        <x:v>INT</x:v>
      </x:c>
      <x:c r="H1308" s="9" t="str">
        <x:v>OG06</x:v>
      </x:c>
      <x:c r="I1308" s="17" t="str">
        <x:v>Witness provenance</x:v>
      </x:c>
      <x:c r="J1308" s="17" t="str">
        <x:v>unlike witness originals, hashes, keys and access history reconcile</x:v>
      </x:c>
      <x:c r="K1308" s="17" t="str">
        <x:v>Witness custody</x:v>
      </x:c>
      <x:c r="L1308" s="9" t="n">
        <x:v>0</x:v>
      </x:c>
      <x:c r="M1308" s="9" t="n">
        <x:v>0</x:v>
      </x:c>
      <x:c r="N1308" s="9" t="str">
        <x:v>OPEN / UNACCEPTED</x:v>
      </x:c>
      <x:c r="O1308" s="9" t="n">
        <x:f>COUNTIFS($A$7:$A$1734,A1308)</x:f>
        <x:v>1</x:v>
      </x:c>
    </x:row>
    <x:row r="1309">
      <x:c r="A1309" s="9" t="str">
        <x:v>EV-AR-CT-C-B-TECH-4-B1-INT-G0-OG07</x:v>
      </x:c>
      <x:c r="B1309" s="9" t="str">
        <x:v>EV-AR-CT-C-B-TECH-4-B1-INT-G0</x:v>
      </x:c>
      <x:c r="C1309" s="9" t="str">
        <x:v>AR-CT-C-B-TECH-4-B1-INT-G0</x:v>
      </x:c>
      <x:c r="D1309" s="9" t="str">
        <x:v>CT-C-B-TECH-4</x:v>
      </x:c>
      <x:c r="E1309" s="9" t="str">
        <x:v>CT-C-B</x:v>
      </x:c>
      <x:c r="F1309" s="9" t="str">
        <x:v>B1</x:v>
      </x:c>
      <x:c r="G1309" s="9" t="str">
        <x:v>INT</x:v>
      </x:c>
      <x:c r="H1309" s="9" t="str">
        <x:v>OG07</x:v>
      </x:c>
      <x:c r="I1309" s="17" t="str">
        <x:v>Receiver denominator</x:v>
      </x:c>
      <x:c r="J1309" s="17" t="str">
        <x:v>population, quantity, duration and exclusions match the frozen receipt</x:v>
      </x:c>
      <x:c r="K1309" s="17" t="str">
        <x:v>Receiver court</x:v>
      </x:c>
      <x:c r="L1309" s="9" t="n">
        <x:v>0</x:v>
      </x:c>
      <x:c r="M1309" s="9" t="n">
        <x:v>0</x:v>
      </x:c>
      <x:c r="N1309" s="9" t="str">
        <x:v>OPEN / UNACCEPTED</x:v>
      </x:c>
      <x:c r="O1309" s="9" t="n">
        <x:f>COUNTIFS($A$7:$A$1734,A1309)</x:f>
        <x:v>1</x:v>
      </x:c>
    </x:row>
    <x:row r="1310">
      <x:c r="A1310" s="9" t="str">
        <x:v>EV-AR-CT-C-B-TECH-4-B1-INT-G0-OG08</x:v>
      </x:c>
      <x:c r="B1310" s="9" t="str">
        <x:v>EV-AR-CT-C-B-TECH-4-B1-INT-G0</x:v>
      </x:c>
      <x:c r="C1310" s="9" t="str">
        <x:v>AR-CT-C-B-TECH-4-B1-INT-G0</x:v>
      </x:c>
      <x:c r="D1310" s="9" t="str">
        <x:v>CT-C-B-TECH-4</x:v>
      </x:c>
      <x:c r="E1310" s="9" t="str">
        <x:v>CT-C-B</x:v>
      </x:c>
      <x:c r="F1310" s="9" t="str">
        <x:v>B1</x:v>
      </x:c>
      <x:c r="G1310" s="9" t="str">
        <x:v>INT</x:v>
      </x:c>
      <x:c r="H1310" s="9" t="str">
        <x:v>OG08</x:v>
      </x:c>
      <x:c r="I1310" s="17" t="str">
        <x:v>Environment and boundary</x:v>
      </x:c>
      <x:c r="J1310" s="17" t="str">
        <x:v>registered weather, water, ground, inlet and outlet states are retained</x:v>
      </x:c>
      <x:c r="K1310" s="17" t="str">
        <x:v>Boundary court</x:v>
      </x:c>
      <x:c r="L1310" s="9" t="n">
        <x:v>0</x:v>
      </x:c>
      <x:c r="M1310" s="9" t="n">
        <x:v>0</x:v>
      </x:c>
      <x:c r="N1310" s="9" t="str">
        <x:v>OPEN / UNACCEPTED</x:v>
      </x:c>
      <x:c r="O1310" s="9" t="n">
        <x:f>COUNTIFS($A$7:$A$1734,A1310)</x:f>
        <x:v>1</x:v>
      </x:c>
    </x:row>
    <x:row r="1311">
      <x:c r="A1311" s="9" t="str">
        <x:v>EV-AR-CT-C-B-TECH-4-B1-INT-G0-OG09</x:v>
      </x:c>
      <x:c r="B1311" s="9" t="str">
        <x:v>EV-AR-CT-C-B-TECH-4-B1-INT-G0</x:v>
      </x:c>
      <x:c r="C1311" s="9" t="str">
        <x:v>AR-CT-C-B-TECH-4-B1-INT-G0</x:v>
      </x:c>
      <x:c r="D1311" s="9" t="str">
        <x:v>CT-C-B-TECH-4</x:v>
      </x:c>
      <x:c r="E1311" s="9" t="str">
        <x:v>CT-C-B</x:v>
      </x:c>
      <x:c r="F1311" s="9" t="str">
        <x:v>B1</x:v>
      </x:c>
      <x:c r="G1311" s="9" t="str">
        <x:v>INT</x:v>
      </x:c>
      <x:c r="H1311" s="9" t="str">
        <x:v>OG09</x:v>
      </x:c>
      <x:c r="I1311" s="17" t="str">
        <x:v>Intervention account</x:v>
      </x:c>
      <x:c r="J1311" s="17" t="str">
        <x:v>all stop, rescue, operator and public-protection actions remain timestamped</x:v>
      </x:c>
      <x:c r="K1311" s="17" t="str">
        <x:v>Safety record court</x:v>
      </x:c>
      <x:c r="L1311" s="9" t="n">
        <x:v>0</x:v>
      </x:c>
      <x:c r="M1311" s="9" t="n">
        <x:v>0</x:v>
      </x:c>
      <x:c r="N1311" s="9" t="str">
        <x:v>OPEN / UNACCEPTED</x:v>
      </x:c>
      <x:c r="O1311" s="9" t="n">
        <x:f>COUNTIFS($A$7:$A$1734,A1311)</x:f>
        <x:v>1</x:v>
      </x:c>
    </x:row>
    <x:row r="1312">
      <x:c r="A1312" s="9" t="str">
        <x:v>EV-AR-CT-C-B-TECH-4-B1-INT-G0-OG10</x:v>
      </x:c>
      <x:c r="B1312" s="9" t="str">
        <x:v>EV-AR-CT-C-B-TECH-4-B1-INT-G0</x:v>
      </x:c>
      <x:c r="C1312" s="9" t="str">
        <x:v>AR-CT-C-B-TECH-4-B1-INT-G0</x:v>
      </x:c>
      <x:c r="D1312" s="9" t="str">
        <x:v>CT-C-B-TECH-4</x:v>
      </x:c>
      <x:c r="E1312" s="9" t="str">
        <x:v>CT-C-B</x:v>
      </x:c>
      <x:c r="F1312" s="9" t="str">
        <x:v>B1</x:v>
      </x:c>
      <x:c r="G1312" s="9" t="str">
        <x:v>INT</x:v>
      </x:c>
      <x:c r="H1312" s="9" t="str">
        <x:v>OG10</x:v>
      </x:c>
      <x:c r="I1312" s="17" t="str">
        <x:v>Uncertainty statement</x:v>
      </x:c>
      <x:c r="J1312" s="17" t="str">
        <x:v>range, censoring, resolution and correlation are declared before judgment</x:v>
      </x:c>
      <x:c r="K1312" s="17" t="str">
        <x:v>Uncertainty authority</x:v>
      </x:c>
      <x:c r="L1312" s="9" t="n">
        <x:v>0</x:v>
      </x:c>
      <x:c r="M1312" s="9" t="n">
        <x:v>0</x:v>
      </x:c>
      <x:c r="N1312" s="9" t="str">
        <x:v>OPEN / UNACCEPTED</x:v>
      </x:c>
      <x:c r="O1312" s="9" t="n">
        <x:f>COUNTIFS($A$7:$A$1734,A1312)</x:f>
        <x:v>1</x:v>
      </x:c>
    </x:row>
    <x:row r="1313">
      <x:c r="A1313" s="9" t="str">
        <x:v>EV-AR-CT-C-B-TECH-4-B1-INT-G0-OG11</x:v>
      </x:c>
      <x:c r="B1313" s="9" t="str">
        <x:v>EV-AR-CT-C-B-TECH-4-B1-INT-G0</x:v>
      </x:c>
      <x:c r="C1313" s="9" t="str">
        <x:v>AR-CT-C-B-TECH-4-B1-INT-G0</x:v>
      </x:c>
      <x:c r="D1313" s="9" t="str">
        <x:v>CT-C-B-TECH-4</x:v>
      </x:c>
      <x:c r="E1313" s="9" t="str">
        <x:v>CT-C-B</x:v>
      </x:c>
      <x:c r="F1313" s="9" t="str">
        <x:v>B1</x:v>
      </x:c>
      <x:c r="G1313" s="9" t="str">
        <x:v>INT</x:v>
      </x:c>
      <x:c r="H1313" s="9" t="str">
        <x:v>OG11</x:v>
      </x:c>
      <x:c r="I1313" s="17" t="str">
        <x:v>Contradiction preservation</x:v>
      </x:c>
      <x:c r="J1313" s="17" t="str">
        <x:v>primary-witness disagreement remains explicit and is never averaged away</x:v>
      </x:c>
      <x:c r="K1313" s="17" t="str">
        <x:v>Dissent registrar</x:v>
      </x:c>
      <x:c r="L1313" s="9" t="n">
        <x:v>0</x:v>
      </x:c>
      <x:c r="M1313" s="9" t="n">
        <x:v>0</x:v>
      </x:c>
      <x:c r="N1313" s="9" t="str">
        <x:v>OPEN / UNACCEPTED</x:v>
      </x:c>
      <x:c r="O1313" s="9" t="n">
        <x:f>COUNTIFS($A$7:$A$1734,A1313)</x:f>
        <x:v>1</x:v>
      </x:c>
    </x:row>
    <x:row r="1314">
      <x:c r="A1314" s="9" t="str">
        <x:v>EV-AR-CT-C-B-TECH-4-B1-INT-G0-OG12</x:v>
      </x:c>
      <x:c r="B1314" s="9" t="str">
        <x:v>EV-AR-CT-C-B-TECH-4-B1-INT-G0</x:v>
      </x:c>
      <x:c r="C1314" s="9" t="str">
        <x:v>AR-CT-C-B-TECH-4-B1-INT-G0</x:v>
      </x:c>
      <x:c r="D1314" s="9" t="str">
        <x:v>CT-C-B-TECH-4</x:v>
      </x:c>
      <x:c r="E1314" s="9" t="str">
        <x:v>CT-C-B</x:v>
      </x:c>
      <x:c r="F1314" s="9" t="str">
        <x:v>B1</x:v>
      </x:c>
      <x:c r="G1314" s="9" t="str">
        <x:v>INT</x:v>
      </x:c>
      <x:c r="H1314" s="9" t="str">
        <x:v>OG12</x:v>
      </x:c>
      <x:c r="I1314" s="17" t="str">
        <x:v>Independent replay</x:v>
      </x:c>
      <x:c r="J1314" s="17" t="str">
        <x:v>a separated reader reconstructs the registered observables from sealed originals</x:v>
      </x:c>
      <x:c r="K1314" s="17" t="str">
        <x:v>Replay court</x:v>
      </x:c>
      <x:c r="L1314" s="9" t="n">
        <x:v>0</x:v>
      </x:c>
      <x:c r="M1314" s="9" t="n">
        <x:v>0</x:v>
      </x:c>
      <x:c r="N1314" s="9" t="str">
        <x:v>OPEN / UNACCEPTED</x:v>
      </x:c>
      <x:c r="O1314" s="9" t="n">
        <x:f>COUNTIFS($A$7:$A$1734,A1314)</x:f>
        <x:v>1</x:v>
      </x:c>
    </x:row>
    <x:row r="1315">
      <x:c r="A1315" s="9" t="str">
        <x:v>EV-AR-ET-A-A-TECH-4-B2-INT-G0-OG01</x:v>
      </x:c>
      <x:c r="B1315" s="9" t="str">
        <x:v>EV-AR-ET-A-A-TECH-4-B2-INT-G0</x:v>
      </x:c>
      <x:c r="C1315" s="9" t="str">
        <x:v>AR-ET-A-A-TECH-4-B2-INT-G0</x:v>
      </x:c>
      <x:c r="D1315" s="9" t="str">
        <x:v>ET-A-A-TECH-4</x:v>
      </x:c>
      <x:c r="E1315" s="9" t="str">
        <x:v>ET-A-A</x:v>
      </x:c>
      <x:c r="F1315" s="9" t="str">
        <x:v>B2</x:v>
      </x:c>
      <x:c r="G1315" s="9" t="str">
        <x:v>INT</x:v>
      </x:c>
      <x:c r="H1315" s="9" t="str">
        <x:v>OG01</x:v>
      </x:c>
      <x:c r="I1315" s="17" t="str">
        <x:v>Serial and event identity</x:v>
      </x:c>
      <x:c r="J1315" s="17" t="str">
        <x:v>record resolves to the issued serial, generation and physical start</x:v>
      </x:c>
      <x:c r="K1315" s="17" t="str">
        <x:v>Observation court</x:v>
      </x:c>
      <x:c r="L1315" s="9" t="n">
        <x:v>0</x:v>
      </x:c>
      <x:c r="M1315" s="9" t="n">
        <x:v>0</x:v>
      </x:c>
      <x:c r="N1315" s="9" t="str">
        <x:v>OPEN / UNACCEPTED</x:v>
      </x:c>
      <x:c r="O1315" s="9" t="n">
        <x:f>COUNTIFS($A$7:$A$1734,A1315)</x:f>
        <x:v>1</x:v>
      </x:c>
    </x:row>
    <x:row r="1316">
      <x:c r="A1316" s="9" t="str">
        <x:v>EV-AR-ET-A-A-TECH-4-B2-INT-G0-OG02</x:v>
      </x:c>
      <x:c r="B1316" s="9" t="str">
        <x:v>EV-AR-ET-A-A-TECH-4-B2-INT-G0</x:v>
      </x:c>
      <x:c r="C1316" s="9" t="str">
        <x:v>AR-ET-A-A-TECH-4-B2-INT-G0</x:v>
      </x:c>
      <x:c r="D1316" s="9" t="str">
        <x:v>ET-A-A-TECH-4</x:v>
      </x:c>
      <x:c r="E1316" s="9" t="str">
        <x:v>ET-A-A</x:v>
      </x:c>
      <x:c r="F1316" s="9" t="str">
        <x:v>B2</x:v>
      </x:c>
      <x:c r="G1316" s="9" t="str">
        <x:v>INT</x:v>
      </x:c>
      <x:c r="H1316" s="9" t="str">
        <x:v>OG02</x:v>
      </x:c>
      <x:c r="I1316" s="17" t="str">
        <x:v>Time ancestry</x:v>
      </x:c>
      <x:c r="J1316" s="17" t="str">
        <x:v>primary, witness and public event clocks retain declared offsets and drift</x:v>
      </x:c>
      <x:c r="K1316" s="17" t="str">
        <x:v>Time authority</x:v>
      </x:c>
      <x:c r="L1316" s="9" t="n">
        <x:v>0</x:v>
      </x:c>
      <x:c r="M1316" s="9" t="n">
        <x:v>0</x:v>
      </x:c>
      <x:c r="N1316" s="9" t="str">
        <x:v>OPEN / UNACCEPTED</x:v>
      </x:c>
      <x:c r="O1316" s="9" t="n">
        <x:f>COUNTIFS($A$7:$A$1734,A1316)</x:f>
        <x:v>1</x:v>
      </x:c>
    </x:row>
    <x:row r="1317">
      <x:c r="A1317" s="9" t="str">
        <x:v>EV-AR-ET-A-A-TECH-4-B2-INT-G0-OG03</x:v>
      </x:c>
      <x:c r="B1317" s="9" t="str">
        <x:v>EV-AR-ET-A-A-TECH-4-B2-INT-G0</x:v>
      </x:c>
      <x:c r="C1317" s="9" t="str">
        <x:v>AR-ET-A-A-TECH-4-B2-INT-G0</x:v>
      </x:c>
      <x:c r="D1317" s="9" t="str">
        <x:v>ET-A-A-TECH-4</x:v>
      </x:c>
      <x:c r="E1317" s="9" t="str">
        <x:v>ET-A-A</x:v>
      </x:c>
      <x:c r="F1317" s="9" t="str">
        <x:v>B2</x:v>
      </x:c>
      <x:c r="G1317" s="9" t="str">
        <x:v>INT</x:v>
      </x:c>
      <x:c r="H1317" s="9" t="str">
        <x:v>OG03</x:v>
      </x:c>
      <x:c r="I1317" s="17" t="str">
        <x:v>Calibration ancestry</x:v>
      </x:c>
      <x:c r="J1317" s="17" t="str">
        <x:v>all reference, range and uncertainty states cover the live interval</x:v>
      </x:c>
      <x:c r="K1317" s="17" t="str">
        <x:v>Metrology courts</x:v>
      </x:c>
      <x:c r="L1317" s="9" t="n">
        <x:v>0</x:v>
      </x:c>
      <x:c r="M1317" s="9" t="n">
        <x:v>0</x:v>
      </x:c>
      <x:c r="N1317" s="9" t="str">
        <x:v>OPEN / UNACCEPTED</x:v>
      </x:c>
      <x:c r="O1317" s="9" t="n">
        <x:f>COUNTIFS($A$7:$A$1734,A1317)</x:f>
        <x:v>1</x:v>
      </x:c>
    </x:row>
    <x:row r="1318">
      <x:c r="A1318" s="9" t="str">
        <x:v>EV-AR-ET-A-A-TECH-4-B2-INT-G0-OG04</x:v>
      </x:c>
      <x:c r="B1318" s="9" t="str">
        <x:v>EV-AR-ET-A-A-TECH-4-B2-INT-G0</x:v>
      </x:c>
      <x:c r="C1318" s="9" t="str">
        <x:v>AR-ET-A-A-TECH-4-B2-INT-G0</x:v>
      </x:c>
      <x:c r="D1318" s="9" t="str">
        <x:v>ET-A-A-TECH-4</x:v>
      </x:c>
      <x:c r="E1318" s="9" t="str">
        <x:v>ET-A-A</x:v>
      </x:c>
      <x:c r="F1318" s="9" t="str">
        <x:v>B2</x:v>
      </x:c>
      <x:c r="G1318" s="9" t="str">
        <x:v>INT</x:v>
      </x:c>
      <x:c r="H1318" s="9" t="str">
        <x:v>OG04</x:v>
      </x:c>
      <x:c r="I1318" s="17" t="str">
        <x:v>Raw completeness</x:v>
      </x:c>
      <x:c r="J1318" s="17" t="str">
        <x:v>missingness is enumerated without imputation or outcome-conditioned deletion</x:v>
      </x:c>
      <x:c r="K1318" s="17" t="str">
        <x:v>Observation court</x:v>
      </x:c>
      <x:c r="L1318" s="9" t="n">
        <x:v>0</x:v>
      </x:c>
      <x:c r="M1318" s="9" t="n">
        <x:v>0</x:v>
      </x:c>
      <x:c r="N1318" s="9" t="str">
        <x:v>OPEN / UNACCEPTED</x:v>
      </x:c>
      <x:c r="O1318" s="9" t="n">
        <x:f>COUNTIFS($A$7:$A$1734,A1318)</x:f>
        <x:v>1</x:v>
      </x:c>
    </x:row>
    <x:row r="1319">
      <x:c r="A1319" s="9" t="str">
        <x:v>EV-AR-ET-A-A-TECH-4-B2-INT-G0-OG05</x:v>
      </x:c>
      <x:c r="B1319" s="9" t="str">
        <x:v>EV-AR-ET-A-A-TECH-4-B2-INT-G0</x:v>
      </x:c>
      <x:c r="C1319" s="9" t="str">
        <x:v>AR-ET-A-A-TECH-4-B2-INT-G0</x:v>
      </x:c>
      <x:c r="D1319" s="9" t="str">
        <x:v>ET-A-A-TECH-4</x:v>
      </x:c>
      <x:c r="E1319" s="9" t="str">
        <x:v>ET-A-A</x:v>
      </x:c>
      <x:c r="F1319" s="9" t="str">
        <x:v>B2</x:v>
      </x:c>
      <x:c r="G1319" s="9" t="str">
        <x:v>INT</x:v>
      </x:c>
      <x:c r="H1319" s="9" t="str">
        <x:v>OG05</x:v>
      </x:c>
      <x:c r="I1319" s="17" t="str">
        <x:v>Primary provenance</x:v>
      </x:c>
      <x:c r="J1319" s="17" t="str">
        <x:v>primary originals, hashes, keys and access history reconcile</x:v>
      </x:c>
      <x:c r="K1319" s="17" t="str">
        <x:v>Primary custody</x:v>
      </x:c>
      <x:c r="L1319" s="9" t="n">
        <x:v>0</x:v>
      </x:c>
      <x:c r="M1319" s="9" t="n">
        <x:v>0</x:v>
      </x:c>
      <x:c r="N1319" s="9" t="str">
        <x:v>OPEN / UNACCEPTED</x:v>
      </x:c>
      <x:c r="O1319" s="9" t="n">
        <x:f>COUNTIFS($A$7:$A$1734,A1319)</x:f>
        <x:v>1</x:v>
      </x:c>
    </x:row>
    <x:row r="1320">
      <x:c r="A1320" s="9" t="str">
        <x:v>EV-AR-ET-A-A-TECH-4-B2-INT-G0-OG06</x:v>
      </x:c>
      <x:c r="B1320" s="9" t="str">
        <x:v>EV-AR-ET-A-A-TECH-4-B2-INT-G0</x:v>
      </x:c>
      <x:c r="C1320" s="9" t="str">
        <x:v>AR-ET-A-A-TECH-4-B2-INT-G0</x:v>
      </x:c>
      <x:c r="D1320" s="9" t="str">
        <x:v>ET-A-A-TECH-4</x:v>
      </x:c>
      <x:c r="E1320" s="9" t="str">
        <x:v>ET-A-A</x:v>
      </x:c>
      <x:c r="F1320" s="9" t="str">
        <x:v>B2</x:v>
      </x:c>
      <x:c r="G1320" s="9" t="str">
        <x:v>INT</x:v>
      </x:c>
      <x:c r="H1320" s="9" t="str">
        <x:v>OG06</x:v>
      </x:c>
      <x:c r="I1320" s="17" t="str">
        <x:v>Witness provenance</x:v>
      </x:c>
      <x:c r="J1320" s="17" t="str">
        <x:v>unlike witness originals, hashes, keys and access history reconcile</x:v>
      </x:c>
      <x:c r="K1320" s="17" t="str">
        <x:v>Witness custody</x:v>
      </x:c>
      <x:c r="L1320" s="9" t="n">
        <x:v>0</x:v>
      </x:c>
      <x:c r="M1320" s="9" t="n">
        <x:v>0</x:v>
      </x:c>
      <x:c r="N1320" s="9" t="str">
        <x:v>OPEN / UNACCEPTED</x:v>
      </x:c>
      <x:c r="O1320" s="9" t="n">
        <x:f>COUNTIFS($A$7:$A$1734,A1320)</x:f>
        <x:v>1</x:v>
      </x:c>
    </x:row>
    <x:row r="1321">
      <x:c r="A1321" s="9" t="str">
        <x:v>EV-AR-ET-A-A-TECH-4-B2-INT-G0-OG07</x:v>
      </x:c>
      <x:c r="B1321" s="9" t="str">
        <x:v>EV-AR-ET-A-A-TECH-4-B2-INT-G0</x:v>
      </x:c>
      <x:c r="C1321" s="9" t="str">
        <x:v>AR-ET-A-A-TECH-4-B2-INT-G0</x:v>
      </x:c>
      <x:c r="D1321" s="9" t="str">
        <x:v>ET-A-A-TECH-4</x:v>
      </x:c>
      <x:c r="E1321" s="9" t="str">
        <x:v>ET-A-A</x:v>
      </x:c>
      <x:c r="F1321" s="9" t="str">
        <x:v>B2</x:v>
      </x:c>
      <x:c r="G1321" s="9" t="str">
        <x:v>INT</x:v>
      </x:c>
      <x:c r="H1321" s="9" t="str">
        <x:v>OG07</x:v>
      </x:c>
      <x:c r="I1321" s="17" t="str">
        <x:v>Receiver denominator</x:v>
      </x:c>
      <x:c r="J1321" s="17" t="str">
        <x:v>population, quantity, duration and exclusions match the frozen receipt</x:v>
      </x:c>
      <x:c r="K1321" s="17" t="str">
        <x:v>Receiver court</x:v>
      </x:c>
      <x:c r="L1321" s="9" t="n">
        <x:v>0</x:v>
      </x:c>
      <x:c r="M1321" s="9" t="n">
        <x:v>0</x:v>
      </x:c>
      <x:c r="N1321" s="9" t="str">
        <x:v>OPEN / UNACCEPTED</x:v>
      </x:c>
      <x:c r="O1321" s="9" t="n">
        <x:f>COUNTIFS($A$7:$A$1734,A1321)</x:f>
        <x:v>1</x:v>
      </x:c>
    </x:row>
    <x:row r="1322">
      <x:c r="A1322" s="9" t="str">
        <x:v>EV-AR-ET-A-A-TECH-4-B2-INT-G0-OG08</x:v>
      </x:c>
      <x:c r="B1322" s="9" t="str">
        <x:v>EV-AR-ET-A-A-TECH-4-B2-INT-G0</x:v>
      </x:c>
      <x:c r="C1322" s="9" t="str">
        <x:v>AR-ET-A-A-TECH-4-B2-INT-G0</x:v>
      </x:c>
      <x:c r="D1322" s="9" t="str">
        <x:v>ET-A-A-TECH-4</x:v>
      </x:c>
      <x:c r="E1322" s="9" t="str">
        <x:v>ET-A-A</x:v>
      </x:c>
      <x:c r="F1322" s="9" t="str">
        <x:v>B2</x:v>
      </x:c>
      <x:c r="G1322" s="9" t="str">
        <x:v>INT</x:v>
      </x:c>
      <x:c r="H1322" s="9" t="str">
        <x:v>OG08</x:v>
      </x:c>
      <x:c r="I1322" s="17" t="str">
        <x:v>Environment and boundary</x:v>
      </x:c>
      <x:c r="J1322" s="17" t="str">
        <x:v>registered weather, water, ground, inlet and outlet states are retained</x:v>
      </x:c>
      <x:c r="K1322" s="17" t="str">
        <x:v>Boundary court</x:v>
      </x:c>
      <x:c r="L1322" s="9" t="n">
        <x:v>0</x:v>
      </x:c>
      <x:c r="M1322" s="9" t="n">
        <x:v>0</x:v>
      </x:c>
      <x:c r="N1322" s="9" t="str">
        <x:v>OPEN / UNACCEPTED</x:v>
      </x:c>
      <x:c r="O1322" s="9" t="n">
        <x:f>COUNTIFS($A$7:$A$1734,A1322)</x:f>
        <x:v>1</x:v>
      </x:c>
    </x:row>
    <x:row r="1323">
      <x:c r="A1323" s="9" t="str">
        <x:v>EV-AR-ET-A-A-TECH-4-B2-INT-G0-OG09</x:v>
      </x:c>
      <x:c r="B1323" s="9" t="str">
        <x:v>EV-AR-ET-A-A-TECH-4-B2-INT-G0</x:v>
      </x:c>
      <x:c r="C1323" s="9" t="str">
        <x:v>AR-ET-A-A-TECH-4-B2-INT-G0</x:v>
      </x:c>
      <x:c r="D1323" s="9" t="str">
        <x:v>ET-A-A-TECH-4</x:v>
      </x:c>
      <x:c r="E1323" s="9" t="str">
        <x:v>ET-A-A</x:v>
      </x:c>
      <x:c r="F1323" s="9" t="str">
        <x:v>B2</x:v>
      </x:c>
      <x:c r="G1323" s="9" t="str">
        <x:v>INT</x:v>
      </x:c>
      <x:c r="H1323" s="9" t="str">
        <x:v>OG09</x:v>
      </x:c>
      <x:c r="I1323" s="17" t="str">
        <x:v>Intervention account</x:v>
      </x:c>
      <x:c r="J1323" s="17" t="str">
        <x:v>all stop, rescue, operator and public-protection actions remain timestamped</x:v>
      </x:c>
      <x:c r="K1323" s="17" t="str">
        <x:v>Safety record court</x:v>
      </x:c>
      <x:c r="L1323" s="9" t="n">
        <x:v>0</x:v>
      </x:c>
      <x:c r="M1323" s="9" t="n">
        <x:v>0</x:v>
      </x:c>
      <x:c r="N1323" s="9" t="str">
        <x:v>OPEN / UNACCEPTED</x:v>
      </x:c>
      <x:c r="O1323" s="9" t="n">
        <x:f>COUNTIFS($A$7:$A$1734,A1323)</x:f>
        <x:v>1</x:v>
      </x:c>
    </x:row>
    <x:row r="1324">
      <x:c r="A1324" s="9" t="str">
        <x:v>EV-AR-ET-A-A-TECH-4-B2-INT-G0-OG10</x:v>
      </x:c>
      <x:c r="B1324" s="9" t="str">
        <x:v>EV-AR-ET-A-A-TECH-4-B2-INT-G0</x:v>
      </x:c>
      <x:c r="C1324" s="9" t="str">
        <x:v>AR-ET-A-A-TECH-4-B2-INT-G0</x:v>
      </x:c>
      <x:c r="D1324" s="9" t="str">
        <x:v>ET-A-A-TECH-4</x:v>
      </x:c>
      <x:c r="E1324" s="9" t="str">
        <x:v>ET-A-A</x:v>
      </x:c>
      <x:c r="F1324" s="9" t="str">
        <x:v>B2</x:v>
      </x:c>
      <x:c r="G1324" s="9" t="str">
        <x:v>INT</x:v>
      </x:c>
      <x:c r="H1324" s="9" t="str">
        <x:v>OG10</x:v>
      </x:c>
      <x:c r="I1324" s="17" t="str">
        <x:v>Uncertainty statement</x:v>
      </x:c>
      <x:c r="J1324" s="17" t="str">
        <x:v>range, censoring, resolution and correlation are declared before judgment</x:v>
      </x:c>
      <x:c r="K1324" s="17" t="str">
        <x:v>Uncertainty authority</x:v>
      </x:c>
      <x:c r="L1324" s="9" t="n">
        <x:v>0</x:v>
      </x:c>
      <x:c r="M1324" s="9" t="n">
        <x:v>0</x:v>
      </x:c>
      <x:c r="N1324" s="9" t="str">
        <x:v>OPEN / UNACCEPTED</x:v>
      </x:c>
      <x:c r="O1324" s="9" t="n">
        <x:f>COUNTIFS($A$7:$A$1734,A1324)</x:f>
        <x:v>1</x:v>
      </x:c>
    </x:row>
    <x:row r="1325">
      <x:c r="A1325" s="9" t="str">
        <x:v>EV-AR-ET-A-A-TECH-4-B2-INT-G0-OG11</x:v>
      </x:c>
      <x:c r="B1325" s="9" t="str">
        <x:v>EV-AR-ET-A-A-TECH-4-B2-INT-G0</x:v>
      </x:c>
      <x:c r="C1325" s="9" t="str">
        <x:v>AR-ET-A-A-TECH-4-B2-INT-G0</x:v>
      </x:c>
      <x:c r="D1325" s="9" t="str">
        <x:v>ET-A-A-TECH-4</x:v>
      </x:c>
      <x:c r="E1325" s="9" t="str">
        <x:v>ET-A-A</x:v>
      </x:c>
      <x:c r="F1325" s="9" t="str">
        <x:v>B2</x:v>
      </x:c>
      <x:c r="G1325" s="9" t="str">
        <x:v>INT</x:v>
      </x:c>
      <x:c r="H1325" s="9" t="str">
        <x:v>OG11</x:v>
      </x:c>
      <x:c r="I1325" s="17" t="str">
        <x:v>Contradiction preservation</x:v>
      </x:c>
      <x:c r="J1325" s="17" t="str">
        <x:v>primary-witness disagreement remains explicit and is never averaged away</x:v>
      </x:c>
      <x:c r="K1325" s="17" t="str">
        <x:v>Dissent registrar</x:v>
      </x:c>
      <x:c r="L1325" s="9" t="n">
        <x:v>0</x:v>
      </x:c>
      <x:c r="M1325" s="9" t="n">
        <x:v>0</x:v>
      </x:c>
      <x:c r="N1325" s="9" t="str">
        <x:v>OPEN / UNACCEPTED</x:v>
      </x:c>
      <x:c r="O1325" s="9" t="n">
        <x:f>COUNTIFS($A$7:$A$1734,A1325)</x:f>
        <x:v>1</x:v>
      </x:c>
    </x:row>
    <x:row r="1326">
      <x:c r="A1326" s="9" t="str">
        <x:v>EV-AR-ET-A-A-TECH-4-B2-INT-G0-OG12</x:v>
      </x:c>
      <x:c r="B1326" s="9" t="str">
        <x:v>EV-AR-ET-A-A-TECH-4-B2-INT-G0</x:v>
      </x:c>
      <x:c r="C1326" s="9" t="str">
        <x:v>AR-ET-A-A-TECH-4-B2-INT-G0</x:v>
      </x:c>
      <x:c r="D1326" s="9" t="str">
        <x:v>ET-A-A-TECH-4</x:v>
      </x:c>
      <x:c r="E1326" s="9" t="str">
        <x:v>ET-A-A</x:v>
      </x:c>
      <x:c r="F1326" s="9" t="str">
        <x:v>B2</x:v>
      </x:c>
      <x:c r="G1326" s="9" t="str">
        <x:v>INT</x:v>
      </x:c>
      <x:c r="H1326" s="9" t="str">
        <x:v>OG12</x:v>
      </x:c>
      <x:c r="I1326" s="17" t="str">
        <x:v>Independent replay</x:v>
      </x:c>
      <x:c r="J1326" s="17" t="str">
        <x:v>a separated reader reconstructs the registered observables from sealed originals</x:v>
      </x:c>
      <x:c r="K1326" s="17" t="str">
        <x:v>Replay court</x:v>
      </x:c>
      <x:c r="L1326" s="9" t="n">
        <x:v>0</x:v>
      </x:c>
      <x:c r="M1326" s="9" t="n">
        <x:v>0</x:v>
      </x:c>
      <x:c r="N1326" s="9" t="str">
        <x:v>OPEN / UNACCEPTED</x:v>
      </x:c>
      <x:c r="O1326" s="9" t="n">
        <x:f>COUNTIFS($A$7:$A$1734,A1326)</x:f>
        <x:v>1</x:v>
      </x:c>
    </x:row>
    <x:row r="1327">
      <x:c r="A1327" s="9" t="str">
        <x:v>EV-AR-HU-A-B-TECH-1-B1-INT-G0-OG01</x:v>
      </x:c>
      <x:c r="B1327" s="9" t="str">
        <x:v>EV-AR-HU-A-B-TECH-1-B1-INT-G0</x:v>
      </x:c>
      <x:c r="C1327" s="9" t="str">
        <x:v>AR-HU-A-B-TECH-1-B1-INT-G0</x:v>
      </x:c>
      <x:c r="D1327" s="9" t="str">
        <x:v>HU-A-B-TECH-1</x:v>
      </x:c>
      <x:c r="E1327" s="9" t="str">
        <x:v>HU-A-B</x:v>
      </x:c>
      <x:c r="F1327" s="9" t="str">
        <x:v>B1</x:v>
      </x:c>
      <x:c r="G1327" s="9" t="str">
        <x:v>INT</x:v>
      </x:c>
      <x:c r="H1327" s="9" t="str">
        <x:v>OG01</x:v>
      </x:c>
      <x:c r="I1327" s="17" t="str">
        <x:v>Serial and event identity</x:v>
      </x:c>
      <x:c r="J1327" s="17" t="str">
        <x:v>record resolves to the issued serial, generation and physical start</x:v>
      </x:c>
      <x:c r="K1327" s="17" t="str">
        <x:v>Observation court</x:v>
      </x:c>
      <x:c r="L1327" s="9" t="n">
        <x:v>0</x:v>
      </x:c>
      <x:c r="M1327" s="9" t="n">
        <x:v>0</x:v>
      </x:c>
      <x:c r="N1327" s="9" t="str">
        <x:v>OPEN / UNACCEPTED</x:v>
      </x:c>
      <x:c r="O1327" s="9" t="n">
        <x:f>COUNTIFS($A$7:$A$1734,A1327)</x:f>
        <x:v>1</x:v>
      </x:c>
    </x:row>
    <x:row r="1328">
      <x:c r="A1328" s="9" t="str">
        <x:v>EV-AR-HU-A-B-TECH-1-B1-INT-G0-OG02</x:v>
      </x:c>
      <x:c r="B1328" s="9" t="str">
        <x:v>EV-AR-HU-A-B-TECH-1-B1-INT-G0</x:v>
      </x:c>
      <x:c r="C1328" s="9" t="str">
        <x:v>AR-HU-A-B-TECH-1-B1-INT-G0</x:v>
      </x:c>
      <x:c r="D1328" s="9" t="str">
        <x:v>HU-A-B-TECH-1</x:v>
      </x:c>
      <x:c r="E1328" s="9" t="str">
        <x:v>HU-A-B</x:v>
      </x:c>
      <x:c r="F1328" s="9" t="str">
        <x:v>B1</x:v>
      </x:c>
      <x:c r="G1328" s="9" t="str">
        <x:v>INT</x:v>
      </x:c>
      <x:c r="H1328" s="9" t="str">
        <x:v>OG02</x:v>
      </x:c>
      <x:c r="I1328" s="17" t="str">
        <x:v>Time ancestry</x:v>
      </x:c>
      <x:c r="J1328" s="17" t="str">
        <x:v>primary, witness and public event clocks retain declared offsets and drift</x:v>
      </x:c>
      <x:c r="K1328" s="17" t="str">
        <x:v>Time authority</x:v>
      </x:c>
      <x:c r="L1328" s="9" t="n">
        <x:v>0</x:v>
      </x:c>
      <x:c r="M1328" s="9" t="n">
        <x:v>0</x:v>
      </x:c>
      <x:c r="N1328" s="9" t="str">
        <x:v>OPEN / UNACCEPTED</x:v>
      </x:c>
      <x:c r="O1328" s="9" t="n">
        <x:f>COUNTIFS($A$7:$A$1734,A1328)</x:f>
        <x:v>1</x:v>
      </x:c>
    </x:row>
    <x:row r="1329">
      <x:c r="A1329" s="9" t="str">
        <x:v>EV-AR-HU-A-B-TECH-1-B1-INT-G0-OG03</x:v>
      </x:c>
      <x:c r="B1329" s="9" t="str">
        <x:v>EV-AR-HU-A-B-TECH-1-B1-INT-G0</x:v>
      </x:c>
      <x:c r="C1329" s="9" t="str">
        <x:v>AR-HU-A-B-TECH-1-B1-INT-G0</x:v>
      </x:c>
      <x:c r="D1329" s="9" t="str">
        <x:v>HU-A-B-TECH-1</x:v>
      </x:c>
      <x:c r="E1329" s="9" t="str">
        <x:v>HU-A-B</x:v>
      </x:c>
      <x:c r="F1329" s="9" t="str">
        <x:v>B1</x:v>
      </x:c>
      <x:c r="G1329" s="9" t="str">
        <x:v>INT</x:v>
      </x:c>
      <x:c r="H1329" s="9" t="str">
        <x:v>OG03</x:v>
      </x:c>
      <x:c r="I1329" s="17" t="str">
        <x:v>Calibration ancestry</x:v>
      </x:c>
      <x:c r="J1329" s="17" t="str">
        <x:v>all reference, range and uncertainty states cover the live interval</x:v>
      </x:c>
      <x:c r="K1329" s="17" t="str">
        <x:v>Metrology courts</x:v>
      </x:c>
      <x:c r="L1329" s="9" t="n">
        <x:v>0</x:v>
      </x:c>
      <x:c r="M1329" s="9" t="n">
        <x:v>0</x:v>
      </x:c>
      <x:c r="N1329" s="9" t="str">
        <x:v>OPEN / UNACCEPTED</x:v>
      </x:c>
      <x:c r="O1329" s="9" t="n">
        <x:f>COUNTIFS($A$7:$A$1734,A1329)</x:f>
        <x:v>1</x:v>
      </x:c>
    </x:row>
    <x:row r="1330">
      <x:c r="A1330" s="9" t="str">
        <x:v>EV-AR-HU-A-B-TECH-1-B1-INT-G0-OG04</x:v>
      </x:c>
      <x:c r="B1330" s="9" t="str">
        <x:v>EV-AR-HU-A-B-TECH-1-B1-INT-G0</x:v>
      </x:c>
      <x:c r="C1330" s="9" t="str">
        <x:v>AR-HU-A-B-TECH-1-B1-INT-G0</x:v>
      </x:c>
      <x:c r="D1330" s="9" t="str">
        <x:v>HU-A-B-TECH-1</x:v>
      </x:c>
      <x:c r="E1330" s="9" t="str">
        <x:v>HU-A-B</x:v>
      </x:c>
      <x:c r="F1330" s="9" t="str">
        <x:v>B1</x:v>
      </x:c>
      <x:c r="G1330" s="9" t="str">
        <x:v>INT</x:v>
      </x:c>
      <x:c r="H1330" s="9" t="str">
        <x:v>OG04</x:v>
      </x:c>
      <x:c r="I1330" s="17" t="str">
        <x:v>Raw completeness</x:v>
      </x:c>
      <x:c r="J1330" s="17" t="str">
        <x:v>missingness is enumerated without imputation or outcome-conditioned deletion</x:v>
      </x:c>
      <x:c r="K1330" s="17" t="str">
        <x:v>Observation court</x:v>
      </x:c>
      <x:c r="L1330" s="9" t="n">
        <x:v>0</x:v>
      </x:c>
      <x:c r="M1330" s="9" t="n">
        <x:v>0</x:v>
      </x:c>
      <x:c r="N1330" s="9" t="str">
        <x:v>OPEN / UNACCEPTED</x:v>
      </x:c>
      <x:c r="O1330" s="9" t="n">
        <x:f>COUNTIFS($A$7:$A$1734,A1330)</x:f>
        <x:v>1</x:v>
      </x:c>
    </x:row>
    <x:row r="1331">
      <x:c r="A1331" s="9" t="str">
        <x:v>EV-AR-HU-A-B-TECH-1-B1-INT-G0-OG05</x:v>
      </x:c>
      <x:c r="B1331" s="9" t="str">
        <x:v>EV-AR-HU-A-B-TECH-1-B1-INT-G0</x:v>
      </x:c>
      <x:c r="C1331" s="9" t="str">
        <x:v>AR-HU-A-B-TECH-1-B1-INT-G0</x:v>
      </x:c>
      <x:c r="D1331" s="9" t="str">
        <x:v>HU-A-B-TECH-1</x:v>
      </x:c>
      <x:c r="E1331" s="9" t="str">
        <x:v>HU-A-B</x:v>
      </x:c>
      <x:c r="F1331" s="9" t="str">
        <x:v>B1</x:v>
      </x:c>
      <x:c r="G1331" s="9" t="str">
        <x:v>INT</x:v>
      </x:c>
      <x:c r="H1331" s="9" t="str">
        <x:v>OG05</x:v>
      </x:c>
      <x:c r="I1331" s="17" t="str">
        <x:v>Primary provenance</x:v>
      </x:c>
      <x:c r="J1331" s="17" t="str">
        <x:v>primary originals, hashes, keys and access history reconcile</x:v>
      </x:c>
      <x:c r="K1331" s="17" t="str">
        <x:v>Primary custody</x:v>
      </x:c>
      <x:c r="L1331" s="9" t="n">
        <x:v>0</x:v>
      </x:c>
      <x:c r="M1331" s="9" t="n">
        <x:v>0</x:v>
      </x:c>
      <x:c r="N1331" s="9" t="str">
        <x:v>OPEN / UNACCEPTED</x:v>
      </x:c>
      <x:c r="O1331" s="9" t="n">
        <x:f>COUNTIFS($A$7:$A$1734,A1331)</x:f>
        <x:v>1</x:v>
      </x:c>
    </x:row>
    <x:row r="1332">
      <x:c r="A1332" s="9" t="str">
        <x:v>EV-AR-HU-A-B-TECH-1-B1-INT-G0-OG06</x:v>
      </x:c>
      <x:c r="B1332" s="9" t="str">
        <x:v>EV-AR-HU-A-B-TECH-1-B1-INT-G0</x:v>
      </x:c>
      <x:c r="C1332" s="9" t="str">
        <x:v>AR-HU-A-B-TECH-1-B1-INT-G0</x:v>
      </x:c>
      <x:c r="D1332" s="9" t="str">
        <x:v>HU-A-B-TECH-1</x:v>
      </x:c>
      <x:c r="E1332" s="9" t="str">
        <x:v>HU-A-B</x:v>
      </x:c>
      <x:c r="F1332" s="9" t="str">
        <x:v>B1</x:v>
      </x:c>
      <x:c r="G1332" s="9" t="str">
        <x:v>INT</x:v>
      </x:c>
      <x:c r="H1332" s="9" t="str">
        <x:v>OG06</x:v>
      </x:c>
      <x:c r="I1332" s="17" t="str">
        <x:v>Witness provenance</x:v>
      </x:c>
      <x:c r="J1332" s="17" t="str">
        <x:v>unlike witness originals, hashes, keys and access history reconcile</x:v>
      </x:c>
      <x:c r="K1332" s="17" t="str">
        <x:v>Witness custody</x:v>
      </x:c>
      <x:c r="L1332" s="9" t="n">
        <x:v>0</x:v>
      </x:c>
      <x:c r="M1332" s="9" t="n">
        <x:v>0</x:v>
      </x:c>
      <x:c r="N1332" s="9" t="str">
        <x:v>OPEN / UNACCEPTED</x:v>
      </x:c>
      <x:c r="O1332" s="9" t="n">
        <x:f>COUNTIFS($A$7:$A$1734,A1332)</x:f>
        <x:v>1</x:v>
      </x:c>
    </x:row>
    <x:row r="1333">
      <x:c r="A1333" s="9" t="str">
        <x:v>EV-AR-HU-A-B-TECH-1-B1-INT-G0-OG07</x:v>
      </x:c>
      <x:c r="B1333" s="9" t="str">
        <x:v>EV-AR-HU-A-B-TECH-1-B1-INT-G0</x:v>
      </x:c>
      <x:c r="C1333" s="9" t="str">
        <x:v>AR-HU-A-B-TECH-1-B1-INT-G0</x:v>
      </x:c>
      <x:c r="D1333" s="9" t="str">
        <x:v>HU-A-B-TECH-1</x:v>
      </x:c>
      <x:c r="E1333" s="9" t="str">
        <x:v>HU-A-B</x:v>
      </x:c>
      <x:c r="F1333" s="9" t="str">
        <x:v>B1</x:v>
      </x:c>
      <x:c r="G1333" s="9" t="str">
        <x:v>INT</x:v>
      </x:c>
      <x:c r="H1333" s="9" t="str">
        <x:v>OG07</x:v>
      </x:c>
      <x:c r="I1333" s="17" t="str">
        <x:v>Receiver denominator</x:v>
      </x:c>
      <x:c r="J1333" s="17" t="str">
        <x:v>population, quantity, duration and exclusions match the frozen receipt</x:v>
      </x:c>
      <x:c r="K1333" s="17" t="str">
        <x:v>Receiver court</x:v>
      </x:c>
      <x:c r="L1333" s="9" t="n">
        <x:v>0</x:v>
      </x:c>
      <x:c r="M1333" s="9" t="n">
        <x:v>0</x:v>
      </x:c>
      <x:c r="N1333" s="9" t="str">
        <x:v>OPEN / UNACCEPTED</x:v>
      </x:c>
      <x:c r="O1333" s="9" t="n">
        <x:f>COUNTIFS($A$7:$A$1734,A1333)</x:f>
        <x:v>1</x:v>
      </x:c>
    </x:row>
    <x:row r="1334">
      <x:c r="A1334" s="9" t="str">
        <x:v>EV-AR-HU-A-B-TECH-1-B1-INT-G0-OG08</x:v>
      </x:c>
      <x:c r="B1334" s="9" t="str">
        <x:v>EV-AR-HU-A-B-TECH-1-B1-INT-G0</x:v>
      </x:c>
      <x:c r="C1334" s="9" t="str">
        <x:v>AR-HU-A-B-TECH-1-B1-INT-G0</x:v>
      </x:c>
      <x:c r="D1334" s="9" t="str">
        <x:v>HU-A-B-TECH-1</x:v>
      </x:c>
      <x:c r="E1334" s="9" t="str">
        <x:v>HU-A-B</x:v>
      </x:c>
      <x:c r="F1334" s="9" t="str">
        <x:v>B1</x:v>
      </x:c>
      <x:c r="G1334" s="9" t="str">
        <x:v>INT</x:v>
      </x:c>
      <x:c r="H1334" s="9" t="str">
        <x:v>OG08</x:v>
      </x:c>
      <x:c r="I1334" s="17" t="str">
        <x:v>Environment and boundary</x:v>
      </x:c>
      <x:c r="J1334" s="17" t="str">
        <x:v>registered weather, water, ground, inlet and outlet states are retained</x:v>
      </x:c>
      <x:c r="K1334" s="17" t="str">
        <x:v>Boundary court</x:v>
      </x:c>
      <x:c r="L1334" s="9" t="n">
        <x:v>0</x:v>
      </x:c>
      <x:c r="M1334" s="9" t="n">
        <x:v>0</x:v>
      </x:c>
      <x:c r="N1334" s="9" t="str">
        <x:v>OPEN / UNACCEPTED</x:v>
      </x:c>
      <x:c r="O1334" s="9" t="n">
        <x:f>COUNTIFS($A$7:$A$1734,A1334)</x:f>
        <x:v>1</x:v>
      </x:c>
    </x:row>
    <x:row r="1335">
      <x:c r="A1335" s="9" t="str">
        <x:v>EV-AR-HU-A-B-TECH-1-B1-INT-G0-OG09</x:v>
      </x:c>
      <x:c r="B1335" s="9" t="str">
        <x:v>EV-AR-HU-A-B-TECH-1-B1-INT-G0</x:v>
      </x:c>
      <x:c r="C1335" s="9" t="str">
        <x:v>AR-HU-A-B-TECH-1-B1-INT-G0</x:v>
      </x:c>
      <x:c r="D1335" s="9" t="str">
        <x:v>HU-A-B-TECH-1</x:v>
      </x:c>
      <x:c r="E1335" s="9" t="str">
        <x:v>HU-A-B</x:v>
      </x:c>
      <x:c r="F1335" s="9" t="str">
        <x:v>B1</x:v>
      </x:c>
      <x:c r="G1335" s="9" t="str">
        <x:v>INT</x:v>
      </x:c>
      <x:c r="H1335" s="9" t="str">
        <x:v>OG09</x:v>
      </x:c>
      <x:c r="I1335" s="17" t="str">
        <x:v>Intervention account</x:v>
      </x:c>
      <x:c r="J1335" s="17" t="str">
        <x:v>all stop, rescue, operator and public-protection actions remain timestamped</x:v>
      </x:c>
      <x:c r="K1335" s="17" t="str">
        <x:v>Safety record court</x:v>
      </x:c>
      <x:c r="L1335" s="9" t="n">
        <x:v>0</x:v>
      </x:c>
      <x:c r="M1335" s="9" t="n">
        <x:v>0</x:v>
      </x:c>
      <x:c r="N1335" s="9" t="str">
        <x:v>OPEN / UNACCEPTED</x:v>
      </x:c>
      <x:c r="O1335" s="9" t="n">
        <x:f>COUNTIFS($A$7:$A$1734,A1335)</x:f>
        <x:v>1</x:v>
      </x:c>
    </x:row>
    <x:row r="1336">
      <x:c r="A1336" s="9" t="str">
        <x:v>EV-AR-HU-A-B-TECH-1-B1-INT-G0-OG10</x:v>
      </x:c>
      <x:c r="B1336" s="9" t="str">
        <x:v>EV-AR-HU-A-B-TECH-1-B1-INT-G0</x:v>
      </x:c>
      <x:c r="C1336" s="9" t="str">
        <x:v>AR-HU-A-B-TECH-1-B1-INT-G0</x:v>
      </x:c>
      <x:c r="D1336" s="9" t="str">
        <x:v>HU-A-B-TECH-1</x:v>
      </x:c>
      <x:c r="E1336" s="9" t="str">
        <x:v>HU-A-B</x:v>
      </x:c>
      <x:c r="F1336" s="9" t="str">
        <x:v>B1</x:v>
      </x:c>
      <x:c r="G1336" s="9" t="str">
        <x:v>INT</x:v>
      </x:c>
      <x:c r="H1336" s="9" t="str">
        <x:v>OG10</x:v>
      </x:c>
      <x:c r="I1336" s="17" t="str">
        <x:v>Uncertainty statement</x:v>
      </x:c>
      <x:c r="J1336" s="17" t="str">
        <x:v>range, censoring, resolution and correlation are declared before judgment</x:v>
      </x:c>
      <x:c r="K1336" s="17" t="str">
        <x:v>Uncertainty authority</x:v>
      </x:c>
      <x:c r="L1336" s="9" t="n">
        <x:v>0</x:v>
      </x:c>
      <x:c r="M1336" s="9" t="n">
        <x:v>0</x:v>
      </x:c>
      <x:c r="N1336" s="9" t="str">
        <x:v>OPEN / UNACCEPTED</x:v>
      </x:c>
      <x:c r="O1336" s="9" t="n">
        <x:f>COUNTIFS($A$7:$A$1734,A1336)</x:f>
        <x:v>1</x:v>
      </x:c>
    </x:row>
    <x:row r="1337">
      <x:c r="A1337" s="9" t="str">
        <x:v>EV-AR-HU-A-B-TECH-1-B1-INT-G0-OG11</x:v>
      </x:c>
      <x:c r="B1337" s="9" t="str">
        <x:v>EV-AR-HU-A-B-TECH-1-B1-INT-G0</x:v>
      </x:c>
      <x:c r="C1337" s="9" t="str">
        <x:v>AR-HU-A-B-TECH-1-B1-INT-G0</x:v>
      </x:c>
      <x:c r="D1337" s="9" t="str">
        <x:v>HU-A-B-TECH-1</x:v>
      </x:c>
      <x:c r="E1337" s="9" t="str">
        <x:v>HU-A-B</x:v>
      </x:c>
      <x:c r="F1337" s="9" t="str">
        <x:v>B1</x:v>
      </x:c>
      <x:c r="G1337" s="9" t="str">
        <x:v>INT</x:v>
      </x:c>
      <x:c r="H1337" s="9" t="str">
        <x:v>OG11</x:v>
      </x:c>
      <x:c r="I1337" s="17" t="str">
        <x:v>Contradiction preservation</x:v>
      </x:c>
      <x:c r="J1337" s="17" t="str">
        <x:v>primary-witness disagreement remains explicit and is never averaged away</x:v>
      </x:c>
      <x:c r="K1337" s="17" t="str">
        <x:v>Dissent registrar</x:v>
      </x:c>
      <x:c r="L1337" s="9" t="n">
        <x:v>0</x:v>
      </x:c>
      <x:c r="M1337" s="9" t="n">
        <x:v>0</x:v>
      </x:c>
      <x:c r="N1337" s="9" t="str">
        <x:v>OPEN / UNACCEPTED</x:v>
      </x:c>
      <x:c r="O1337" s="9" t="n">
        <x:f>COUNTIFS($A$7:$A$1734,A1337)</x:f>
        <x:v>1</x:v>
      </x:c>
    </x:row>
    <x:row r="1338">
      <x:c r="A1338" s="9" t="str">
        <x:v>EV-AR-HU-A-B-TECH-1-B1-INT-G0-OG12</x:v>
      </x:c>
      <x:c r="B1338" s="9" t="str">
        <x:v>EV-AR-HU-A-B-TECH-1-B1-INT-G0</x:v>
      </x:c>
      <x:c r="C1338" s="9" t="str">
        <x:v>AR-HU-A-B-TECH-1-B1-INT-G0</x:v>
      </x:c>
      <x:c r="D1338" s="9" t="str">
        <x:v>HU-A-B-TECH-1</x:v>
      </x:c>
      <x:c r="E1338" s="9" t="str">
        <x:v>HU-A-B</x:v>
      </x:c>
      <x:c r="F1338" s="9" t="str">
        <x:v>B1</x:v>
      </x:c>
      <x:c r="G1338" s="9" t="str">
        <x:v>INT</x:v>
      </x:c>
      <x:c r="H1338" s="9" t="str">
        <x:v>OG12</x:v>
      </x:c>
      <x:c r="I1338" s="17" t="str">
        <x:v>Independent replay</x:v>
      </x:c>
      <x:c r="J1338" s="17" t="str">
        <x:v>a separated reader reconstructs the registered observables from sealed originals</x:v>
      </x:c>
      <x:c r="K1338" s="17" t="str">
        <x:v>Replay court</x:v>
      </x:c>
      <x:c r="L1338" s="9" t="n">
        <x:v>0</x:v>
      </x:c>
      <x:c r="M1338" s="9" t="n">
        <x:v>0</x:v>
      </x:c>
      <x:c r="N1338" s="9" t="str">
        <x:v>OPEN / UNACCEPTED</x:v>
      </x:c>
      <x:c r="O1338" s="9" t="n">
        <x:f>COUNTIFS($A$7:$A$1734,A1338)</x:f>
        <x:v>1</x:v>
      </x:c>
    </x:row>
    <x:row r="1339">
      <x:c r="A1339" s="9" t="str">
        <x:v>EV-AR-HU-A-B-TECH-4-B2-BRK-G0-OG01</x:v>
      </x:c>
      <x:c r="B1339" s="9" t="str">
        <x:v>EV-AR-HU-A-B-TECH-4-B2-BRK-G0</x:v>
      </x:c>
      <x:c r="C1339" s="9" t="str">
        <x:v>AR-HU-A-B-TECH-4-B2-BRK-G0</x:v>
      </x:c>
      <x:c r="D1339" s="9" t="str">
        <x:v>HU-A-B-TECH-4</x:v>
      </x:c>
      <x:c r="E1339" s="9" t="str">
        <x:v>HU-A-B</x:v>
      </x:c>
      <x:c r="F1339" s="9" t="str">
        <x:v>B2</x:v>
      </x:c>
      <x:c r="G1339" s="9" t="str">
        <x:v>BRK</x:v>
      </x:c>
      <x:c r="H1339" s="9" t="str">
        <x:v>OG01</x:v>
      </x:c>
      <x:c r="I1339" s="17" t="str">
        <x:v>Serial and event identity</x:v>
      </x:c>
      <x:c r="J1339" s="17" t="str">
        <x:v>record resolves to the issued serial, generation and physical start</x:v>
      </x:c>
      <x:c r="K1339" s="17" t="str">
        <x:v>Observation court</x:v>
      </x:c>
      <x:c r="L1339" s="9" t="n">
        <x:v>0</x:v>
      </x:c>
      <x:c r="M1339" s="9" t="n">
        <x:v>0</x:v>
      </x:c>
      <x:c r="N1339" s="9" t="str">
        <x:v>OPEN / UNACCEPTED</x:v>
      </x:c>
      <x:c r="O1339" s="9" t="n">
        <x:f>COUNTIFS($A$7:$A$1734,A1339)</x:f>
        <x:v>1</x:v>
      </x:c>
    </x:row>
    <x:row r="1340">
      <x:c r="A1340" s="9" t="str">
        <x:v>EV-AR-HU-A-B-TECH-4-B2-BRK-G0-OG02</x:v>
      </x:c>
      <x:c r="B1340" s="9" t="str">
        <x:v>EV-AR-HU-A-B-TECH-4-B2-BRK-G0</x:v>
      </x:c>
      <x:c r="C1340" s="9" t="str">
        <x:v>AR-HU-A-B-TECH-4-B2-BRK-G0</x:v>
      </x:c>
      <x:c r="D1340" s="9" t="str">
        <x:v>HU-A-B-TECH-4</x:v>
      </x:c>
      <x:c r="E1340" s="9" t="str">
        <x:v>HU-A-B</x:v>
      </x:c>
      <x:c r="F1340" s="9" t="str">
        <x:v>B2</x:v>
      </x:c>
      <x:c r="G1340" s="9" t="str">
        <x:v>BRK</x:v>
      </x:c>
      <x:c r="H1340" s="9" t="str">
        <x:v>OG02</x:v>
      </x:c>
      <x:c r="I1340" s="17" t="str">
        <x:v>Time ancestry</x:v>
      </x:c>
      <x:c r="J1340" s="17" t="str">
        <x:v>primary, witness and public event clocks retain declared offsets and drift</x:v>
      </x:c>
      <x:c r="K1340" s="17" t="str">
        <x:v>Time authority</x:v>
      </x:c>
      <x:c r="L1340" s="9" t="n">
        <x:v>0</x:v>
      </x:c>
      <x:c r="M1340" s="9" t="n">
        <x:v>0</x:v>
      </x:c>
      <x:c r="N1340" s="9" t="str">
        <x:v>OPEN / UNACCEPTED</x:v>
      </x:c>
      <x:c r="O1340" s="9" t="n">
        <x:f>COUNTIFS($A$7:$A$1734,A1340)</x:f>
        <x:v>1</x:v>
      </x:c>
    </x:row>
    <x:row r="1341">
      <x:c r="A1341" s="9" t="str">
        <x:v>EV-AR-HU-A-B-TECH-4-B2-BRK-G0-OG03</x:v>
      </x:c>
      <x:c r="B1341" s="9" t="str">
        <x:v>EV-AR-HU-A-B-TECH-4-B2-BRK-G0</x:v>
      </x:c>
      <x:c r="C1341" s="9" t="str">
        <x:v>AR-HU-A-B-TECH-4-B2-BRK-G0</x:v>
      </x:c>
      <x:c r="D1341" s="9" t="str">
        <x:v>HU-A-B-TECH-4</x:v>
      </x:c>
      <x:c r="E1341" s="9" t="str">
        <x:v>HU-A-B</x:v>
      </x:c>
      <x:c r="F1341" s="9" t="str">
        <x:v>B2</x:v>
      </x:c>
      <x:c r="G1341" s="9" t="str">
        <x:v>BRK</x:v>
      </x:c>
      <x:c r="H1341" s="9" t="str">
        <x:v>OG03</x:v>
      </x:c>
      <x:c r="I1341" s="17" t="str">
        <x:v>Calibration ancestry</x:v>
      </x:c>
      <x:c r="J1341" s="17" t="str">
        <x:v>all reference, range and uncertainty states cover the live interval</x:v>
      </x:c>
      <x:c r="K1341" s="17" t="str">
        <x:v>Metrology courts</x:v>
      </x:c>
      <x:c r="L1341" s="9" t="n">
        <x:v>0</x:v>
      </x:c>
      <x:c r="M1341" s="9" t="n">
        <x:v>0</x:v>
      </x:c>
      <x:c r="N1341" s="9" t="str">
        <x:v>OPEN / UNACCEPTED</x:v>
      </x:c>
      <x:c r="O1341" s="9" t="n">
        <x:f>COUNTIFS($A$7:$A$1734,A1341)</x:f>
        <x:v>1</x:v>
      </x:c>
    </x:row>
    <x:row r="1342">
      <x:c r="A1342" s="9" t="str">
        <x:v>EV-AR-HU-A-B-TECH-4-B2-BRK-G0-OG04</x:v>
      </x:c>
      <x:c r="B1342" s="9" t="str">
        <x:v>EV-AR-HU-A-B-TECH-4-B2-BRK-G0</x:v>
      </x:c>
      <x:c r="C1342" s="9" t="str">
        <x:v>AR-HU-A-B-TECH-4-B2-BRK-G0</x:v>
      </x:c>
      <x:c r="D1342" s="9" t="str">
        <x:v>HU-A-B-TECH-4</x:v>
      </x:c>
      <x:c r="E1342" s="9" t="str">
        <x:v>HU-A-B</x:v>
      </x:c>
      <x:c r="F1342" s="9" t="str">
        <x:v>B2</x:v>
      </x:c>
      <x:c r="G1342" s="9" t="str">
        <x:v>BRK</x:v>
      </x:c>
      <x:c r="H1342" s="9" t="str">
        <x:v>OG04</x:v>
      </x:c>
      <x:c r="I1342" s="17" t="str">
        <x:v>Raw completeness</x:v>
      </x:c>
      <x:c r="J1342" s="17" t="str">
        <x:v>missingness is enumerated without imputation or outcome-conditioned deletion</x:v>
      </x:c>
      <x:c r="K1342" s="17" t="str">
        <x:v>Observation court</x:v>
      </x:c>
      <x:c r="L1342" s="9" t="n">
        <x:v>0</x:v>
      </x:c>
      <x:c r="M1342" s="9" t="n">
        <x:v>0</x:v>
      </x:c>
      <x:c r="N1342" s="9" t="str">
        <x:v>OPEN / UNACCEPTED</x:v>
      </x:c>
      <x:c r="O1342" s="9" t="n">
        <x:f>COUNTIFS($A$7:$A$1734,A1342)</x:f>
        <x:v>1</x:v>
      </x:c>
    </x:row>
    <x:row r="1343">
      <x:c r="A1343" s="9" t="str">
        <x:v>EV-AR-HU-A-B-TECH-4-B2-BRK-G0-OG05</x:v>
      </x:c>
      <x:c r="B1343" s="9" t="str">
        <x:v>EV-AR-HU-A-B-TECH-4-B2-BRK-G0</x:v>
      </x:c>
      <x:c r="C1343" s="9" t="str">
        <x:v>AR-HU-A-B-TECH-4-B2-BRK-G0</x:v>
      </x:c>
      <x:c r="D1343" s="9" t="str">
        <x:v>HU-A-B-TECH-4</x:v>
      </x:c>
      <x:c r="E1343" s="9" t="str">
        <x:v>HU-A-B</x:v>
      </x:c>
      <x:c r="F1343" s="9" t="str">
        <x:v>B2</x:v>
      </x:c>
      <x:c r="G1343" s="9" t="str">
        <x:v>BRK</x:v>
      </x:c>
      <x:c r="H1343" s="9" t="str">
        <x:v>OG05</x:v>
      </x:c>
      <x:c r="I1343" s="17" t="str">
        <x:v>Primary provenance</x:v>
      </x:c>
      <x:c r="J1343" s="17" t="str">
        <x:v>primary originals, hashes, keys and access history reconcile</x:v>
      </x:c>
      <x:c r="K1343" s="17" t="str">
        <x:v>Primary custody</x:v>
      </x:c>
      <x:c r="L1343" s="9" t="n">
        <x:v>0</x:v>
      </x:c>
      <x:c r="M1343" s="9" t="n">
        <x:v>0</x:v>
      </x:c>
      <x:c r="N1343" s="9" t="str">
        <x:v>OPEN / UNACCEPTED</x:v>
      </x:c>
      <x:c r="O1343" s="9" t="n">
        <x:f>COUNTIFS($A$7:$A$1734,A1343)</x:f>
        <x:v>1</x:v>
      </x:c>
    </x:row>
    <x:row r="1344">
      <x:c r="A1344" s="9" t="str">
        <x:v>EV-AR-HU-A-B-TECH-4-B2-BRK-G0-OG06</x:v>
      </x:c>
      <x:c r="B1344" s="9" t="str">
        <x:v>EV-AR-HU-A-B-TECH-4-B2-BRK-G0</x:v>
      </x:c>
      <x:c r="C1344" s="9" t="str">
        <x:v>AR-HU-A-B-TECH-4-B2-BRK-G0</x:v>
      </x:c>
      <x:c r="D1344" s="9" t="str">
        <x:v>HU-A-B-TECH-4</x:v>
      </x:c>
      <x:c r="E1344" s="9" t="str">
        <x:v>HU-A-B</x:v>
      </x:c>
      <x:c r="F1344" s="9" t="str">
        <x:v>B2</x:v>
      </x:c>
      <x:c r="G1344" s="9" t="str">
        <x:v>BRK</x:v>
      </x:c>
      <x:c r="H1344" s="9" t="str">
        <x:v>OG06</x:v>
      </x:c>
      <x:c r="I1344" s="17" t="str">
        <x:v>Witness provenance</x:v>
      </x:c>
      <x:c r="J1344" s="17" t="str">
        <x:v>unlike witness originals, hashes, keys and access history reconcile</x:v>
      </x:c>
      <x:c r="K1344" s="17" t="str">
        <x:v>Witness custody</x:v>
      </x:c>
      <x:c r="L1344" s="9" t="n">
        <x:v>0</x:v>
      </x:c>
      <x:c r="M1344" s="9" t="n">
        <x:v>0</x:v>
      </x:c>
      <x:c r="N1344" s="9" t="str">
        <x:v>OPEN / UNACCEPTED</x:v>
      </x:c>
      <x:c r="O1344" s="9" t="n">
        <x:f>COUNTIFS($A$7:$A$1734,A1344)</x:f>
        <x:v>1</x:v>
      </x:c>
    </x:row>
    <x:row r="1345">
      <x:c r="A1345" s="9" t="str">
        <x:v>EV-AR-HU-A-B-TECH-4-B2-BRK-G0-OG07</x:v>
      </x:c>
      <x:c r="B1345" s="9" t="str">
        <x:v>EV-AR-HU-A-B-TECH-4-B2-BRK-G0</x:v>
      </x:c>
      <x:c r="C1345" s="9" t="str">
        <x:v>AR-HU-A-B-TECH-4-B2-BRK-G0</x:v>
      </x:c>
      <x:c r="D1345" s="9" t="str">
        <x:v>HU-A-B-TECH-4</x:v>
      </x:c>
      <x:c r="E1345" s="9" t="str">
        <x:v>HU-A-B</x:v>
      </x:c>
      <x:c r="F1345" s="9" t="str">
        <x:v>B2</x:v>
      </x:c>
      <x:c r="G1345" s="9" t="str">
        <x:v>BRK</x:v>
      </x:c>
      <x:c r="H1345" s="9" t="str">
        <x:v>OG07</x:v>
      </x:c>
      <x:c r="I1345" s="17" t="str">
        <x:v>Receiver denominator</x:v>
      </x:c>
      <x:c r="J1345" s="17" t="str">
        <x:v>population, quantity, duration and exclusions match the frozen receipt</x:v>
      </x:c>
      <x:c r="K1345" s="17" t="str">
        <x:v>Receiver court</x:v>
      </x:c>
      <x:c r="L1345" s="9" t="n">
        <x:v>0</x:v>
      </x:c>
      <x:c r="M1345" s="9" t="n">
        <x:v>0</x:v>
      </x:c>
      <x:c r="N1345" s="9" t="str">
        <x:v>OPEN / UNACCEPTED</x:v>
      </x:c>
      <x:c r="O1345" s="9" t="n">
        <x:f>COUNTIFS($A$7:$A$1734,A1345)</x:f>
        <x:v>1</x:v>
      </x:c>
    </x:row>
    <x:row r="1346">
      <x:c r="A1346" s="9" t="str">
        <x:v>EV-AR-HU-A-B-TECH-4-B2-BRK-G0-OG08</x:v>
      </x:c>
      <x:c r="B1346" s="9" t="str">
        <x:v>EV-AR-HU-A-B-TECH-4-B2-BRK-G0</x:v>
      </x:c>
      <x:c r="C1346" s="9" t="str">
        <x:v>AR-HU-A-B-TECH-4-B2-BRK-G0</x:v>
      </x:c>
      <x:c r="D1346" s="9" t="str">
        <x:v>HU-A-B-TECH-4</x:v>
      </x:c>
      <x:c r="E1346" s="9" t="str">
        <x:v>HU-A-B</x:v>
      </x:c>
      <x:c r="F1346" s="9" t="str">
        <x:v>B2</x:v>
      </x:c>
      <x:c r="G1346" s="9" t="str">
        <x:v>BRK</x:v>
      </x:c>
      <x:c r="H1346" s="9" t="str">
        <x:v>OG08</x:v>
      </x:c>
      <x:c r="I1346" s="17" t="str">
        <x:v>Environment and boundary</x:v>
      </x:c>
      <x:c r="J1346" s="17" t="str">
        <x:v>registered weather, water, ground, inlet and outlet states are retained</x:v>
      </x:c>
      <x:c r="K1346" s="17" t="str">
        <x:v>Boundary court</x:v>
      </x:c>
      <x:c r="L1346" s="9" t="n">
        <x:v>0</x:v>
      </x:c>
      <x:c r="M1346" s="9" t="n">
        <x:v>0</x:v>
      </x:c>
      <x:c r="N1346" s="9" t="str">
        <x:v>OPEN / UNACCEPTED</x:v>
      </x:c>
      <x:c r="O1346" s="9" t="n">
        <x:f>COUNTIFS($A$7:$A$1734,A1346)</x:f>
        <x:v>1</x:v>
      </x:c>
    </x:row>
    <x:row r="1347">
      <x:c r="A1347" s="9" t="str">
        <x:v>EV-AR-HU-A-B-TECH-4-B2-BRK-G0-OG09</x:v>
      </x:c>
      <x:c r="B1347" s="9" t="str">
        <x:v>EV-AR-HU-A-B-TECH-4-B2-BRK-G0</x:v>
      </x:c>
      <x:c r="C1347" s="9" t="str">
        <x:v>AR-HU-A-B-TECH-4-B2-BRK-G0</x:v>
      </x:c>
      <x:c r="D1347" s="9" t="str">
        <x:v>HU-A-B-TECH-4</x:v>
      </x:c>
      <x:c r="E1347" s="9" t="str">
        <x:v>HU-A-B</x:v>
      </x:c>
      <x:c r="F1347" s="9" t="str">
        <x:v>B2</x:v>
      </x:c>
      <x:c r="G1347" s="9" t="str">
        <x:v>BRK</x:v>
      </x:c>
      <x:c r="H1347" s="9" t="str">
        <x:v>OG09</x:v>
      </x:c>
      <x:c r="I1347" s="17" t="str">
        <x:v>Intervention account</x:v>
      </x:c>
      <x:c r="J1347" s="17" t="str">
        <x:v>all stop, rescue, operator and public-protection actions remain timestamped</x:v>
      </x:c>
      <x:c r="K1347" s="17" t="str">
        <x:v>Safety record court</x:v>
      </x:c>
      <x:c r="L1347" s="9" t="n">
        <x:v>0</x:v>
      </x:c>
      <x:c r="M1347" s="9" t="n">
        <x:v>0</x:v>
      </x:c>
      <x:c r="N1347" s="9" t="str">
        <x:v>OPEN / UNACCEPTED</x:v>
      </x:c>
      <x:c r="O1347" s="9" t="n">
        <x:f>COUNTIFS($A$7:$A$1734,A1347)</x:f>
        <x:v>1</x:v>
      </x:c>
    </x:row>
    <x:row r="1348">
      <x:c r="A1348" s="9" t="str">
        <x:v>EV-AR-HU-A-B-TECH-4-B2-BRK-G0-OG10</x:v>
      </x:c>
      <x:c r="B1348" s="9" t="str">
        <x:v>EV-AR-HU-A-B-TECH-4-B2-BRK-G0</x:v>
      </x:c>
      <x:c r="C1348" s="9" t="str">
        <x:v>AR-HU-A-B-TECH-4-B2-BRK-G0</x:v>
      </x:c>
      <x:c r="D1348" s="9" t="str">
        <x:v>HU-A-B-TECH-4</x:v>
      </x:c>
      <x:c r="E1348" s="9" t="str">
        <x:v>HU-A-B</x:v>
      </x:c>
      <x:c r="F1348" s="9" t="str">
        <x:v>B2</x:v>
      </x:c>
      <x:c r="G1348" s="9" t="str">
        <x:v>BRK</x:v>
      </x:c>
      <x:c r="H1348" s="9" t="str">
        <x:v>OG10</x:v>
      </x:c>
      <x:c r="I1348" s="17" t="str">
        <x:v>Uncertainty statement</x:v>
      </x:c>
      <x:c r="J1348" s="17" t="str">
        <x:v>range, censoring, resolution and correlation are declared before judgment</x:v>
      </x:c>
      <x:c r="K1348" s="17" t="str">
        <x:v>Uncertainty authority</x:v>
      </x:c>
      <x:c r="L1348" s="9" t="n">
        <x:v>0</x:v>
      </x:c>
      <x:c r="M1348" s="9" t="n">
        <x:v>0</x:v>
      </x:c>
      <x:c r="N1348" s="9" t="str">
        <x:v>OPEN / UNACCEPTED</x:v>
      </x:c>
      <x:c r="O1348" s="9" t="n">
        <x:f>COUNTIFS($A$7:$A$1734,A1348)</x:f>
        <x:v>1</x:v>
      </x:c>
    </x:row>
    <x:row r="1349">
      <x:c r="A1349" s="9" t="str">
        <x:v>EV-AR-HU-A-B-TECH-4-B2-BRK-G0-OG11</x:v>
      </x:c>
      <x:c r="B1349" s="9" t="str">
        <x:v>EV-AR-HU-A-B-TECH-4-B2-BRK-G0</x:v>
      </x:c>
      <x:c r="C1349" s="9" t="str">
        <x:v>AR-HU-A-B-TECH-4-B2-BRK-G0</x:v>
      </x:c>
      <x:c r="D1349" s="9" t="str">
        <x:v>HU-A-B-TECH-4</x:v>
      </x:c>
      <x:c r="E1349" s="9" t="str">
        <x:v>HU-A-B</x:v>
      </x:c>
      <x:c r="F1349" s="9" t="str">
        <x:v>B2</x:v>
      </x:c>
      <x:c r="G1349" s="9" t="str">
        <x:v>BRK</x:v>
      </x:c>
      <x:c r="H1349" s="9" t="str">
        <x:v>OG11</x:v>
      </x:c>
      <x:c r="I1349" s="17" t="str">
        <x:v>Contradiction preservation</x:v>
      </x:c>
      <x:c r="J1349" s="17" t="str">
        <x:v>primary-witness disagreement remains explicit and is never averaged away</x:v>
      </x:c>
      <x:c r="K1349" s="17" t="str">
        <x:v>Dissent registrar</x:v>
      </x:c>
      <x:c r="L1349" s="9" t="n">
        <x:v>0</x:v>
      </x:c>
      <x:c r="M1349" s="9" t="n">
        <x:v>0</x:v>
      </x:c>
      <x:c r="N1349" s="9" t="str">
        <x:v>OPEN / UNACCEPTED</x:v>
      </x:c>
      <x:c r="O1349" s="9" t="n">
        <x:f>COUNTIFS($A$7:$A$1734,A1349)</x:f>
        <x:v>1</x:v>
      </x:c>
    </x:row>
    <x:row r="1350">
      <x:c r="A1350" s="9" t="str">
        <x:v>EV-AR-HU-A-B-TECH-4-B2-BRK-G0-OG12</x:v>
      </x:c>
      <x:c r="B1350" s="9" t="str">
        <x:v>EV-AR-HU-A-B-TECH-4-B2-BRK-G0</x:v>
      </x:c>
      <x:c r="C1350" s="9" t="str">
        <x:v>AR-HU-A-B-TECH-4-B2-BRK-G0</x:v>
      </x:c>
      <x:c r="D1350" s="9" t="str">
        <x:v>HU-A-B-TECH-4</x:v>
      </x:c>
      <x:c r="E1350" s="9" t="str">
        <x:v>HU-A-B</x:v>
      </x:c>
      <x:c r="F1350" s="9" t="str">
        <x:v>B2</x:v>
      </x:c>
      <x:c r="G1350" s="9" t="str">
        <x:v>BRK</x:v>
      </x:c>
      <x:c r="H1350" s="9" t="str">
        <x:v>OG12</x:v>
      </x:c>
      <x:c r="I1350" s="17" t="str">
        <x:v>Independent replay</x:v>
      </x:c>
      <x:c r="J1350" s="17" t="str">
        <x:v>a separated reader reconstructs the registered observables from sealed originals</x:v>
      </x:c>
      <x:c r="K1350" s="17" t="str">
        <x:v>Replay court</x:v>
      </x:c>
      <x:c r="L1350" s="9" t="n">
        <x:v>0</x:v>
      </x:c>
      <x:c r="M1350" s="9" t="n">
        <x:v>0</x:v>
      </x:c>
      <x:c r="N1350" s="9" t="str">
        <x:v>OPEN / UNACCEPTED</x:v>
      </x:c>
      <x:c r="O1350" s="9" t="n">
        <x:f>COUNTIFS($A$7:$A$1734,A1350)</x:f>
        <x:v>1</x:v>
      </x:c>
    </x:row>
    <x:row r="1351">
      <x:c r="A1351" s="9" t="str">
        <x:v>EV-AR-RT-B-C-TECH-4-B1-BRK-G0-OG01</x:v>
      </x:c>
      <x:c r="B1351" s="9" t="str">
        <x:v>EV-AR-RT-B-C-TECH-4-B1-BRK-G0</x:v>
      </x:c>
      <x:c r="C1351" s="9" t="str">
        <x:v>AR-RT-B-C-TECH-4-B1-BRK-G0</x:v>
      </x:c>
      <x:c r="D1351" s="9" t="str">
        <x:v>RT-B-C-TECH-4</x:v>
      </x:c>
      <x:c r="E1351" s="9" t="str">
        <x:v>RT-B-C</x:v>
      </x:c>
      <x:c r="F1351" s="9" t="str">
        <x:v>B1</x:v>
      </x:c>
      <x:c r="G1351" s="9" t="str">
        <x:v>BRK</x:v>
      </x:c>
      <x:c r="H1351" s="9" t="str">
        <x:v>OG01</x:v>
      </x:c>
      <x:c r="I1351" s="17" t="str">
        <x:v>Serial and event identity</x:v>
      </x:c>
      <x:c r="J1351" s="17" t="str">
        <x:v>record resolves to the issued serial, generation and physical start</x:v>
      </x:c>
      <x:c r="K1351" s="17" t="str">
        <x:v>Observation court</x:v>
      </x:c>
      <x:c r="L1351" s="9" t="n">
        <x:v>0</x:v>
      </x:c>
      <x:c r="M1351" s="9" t="n">
        <x:v>0</x:v>
      </x:c>
      <x:c r="N1351" s="9" t="str">
        <x:v>OPEN / UNACCEPTED</x:v>
      </x:c>
      <x:c r="O1351" s="9" t="n">
        <x:f>COUNTIFS($A$7:$A$1734,A1351)</x:f>
        <x:v>1</x:v>
      </x:c>
    </x:row>
    <x:row r="1352">
      <x:c r="A1352" s="9" t="str">
        <x:v>EV-AR-RT-B-C-TECH-4-B1-BRK-G0-OG02</x:v>
      </x:c>
      <x:c r="B1352" s="9" t="str">
        <x:v>EV-AR-RT-B-C-TECH-4-B1-BRK-G0</x:v>
      </x:c>
      <x:c r="C1352" s="9" t="str">
        <x:v>AR-RT-B-C-TECH-4-B1-BRK-G0</x:v>
      </x:c>
      <x:c r="D1352" s="9" t="str">
        <x:v>RT-B-C-TECH-4</x:v>
      </x:c>
      <x:c r="E1352" s="9" t="str">
        <x:v>RT-B-C</x:v>
      </x:c>
      <x:c r="F1352" s="9" t="str">
        <x:v>B1</x:v>
      </x:c>
      <x:c r="G1352" s="9" t="str">
        <x:v>BRK</x:v>
      </x:c>
      <x:c r="H1352" s="9" t="str">
        <x:v>OG02</x:v>
      </x:c>
      <x:c r="I1352" s="17" t="str">
        <x:v>Time ancestry</x:v>
      </x:c>
      <x:c r="J1352" s="17" t="str">
        <x:v>primary, witness and public event clocks retain declared offsets and drift</x:v>
      </x:c>
      <x:c r="K1352" s="17" t="str">
        <x:v>Time authority</x:v>
      </x:c>
      <x:c r="L1352" s="9" t="n">
        <x:v>0</x:v>
      </x:c>
      <x:c r="M1352" s="9" t="n">
        <x:v>0</x:v>
      </x:c>
      <x:c r="N1352" s="9" t="str">
        <x:v>OPEN / UNACCEPTED</x:v>
      </x:c>
      <x:c r="O1352" s="9" t="n">
        <x:f>COUNTIFS($A$7:$A$1734,A1352)</x:f>
        <x:v>1</x:v>
      </x:c>
    </x:row>
    <x:row r="1353">
      <x:c r="A1353" s="9" t="str">
        <x:v>EV-AR-RT-B-C-TECH-4-B1-BRK-G0-OG03</x:v>
      </x:c>
      <x:c r="B1353" s="9" t="str">
        <x:v>EV-AR-RT-B-C-TECH-4-B1-BRK-G0</x:v>
      </x:c>
      <x:c r="C1353" s="9" t="str">
        <x:v>AR-RT-B-C-TECH-4-B1-BRK-G0</x:v>
      </x:c>
      <x:c r="D1353" s="9" t="str">
        <x:v>RT-B-C-TECH-4</x:v>
      </x:c>
      <x:c r="E1353" s="9" t="str">
        <x:v>RT-B-C</x:v>
      </x:c>
      <x:c r="F1353" s="9" t="str">
        <x:v>B1</x:v>
      </x:c>
      <x:c r="G1353" s="9" t="str">
        <x:v>BRK</x:v>
      </x:c>
      <x:c r="H1353" s="9" t="str">
        <x:v>OG03</x:v>
      </x:c>
      <x:c r="I1353" s="17" t="str">
        <x:v>Calibration ancestry</x:v>
      </x:c>
      <x:c r="J1353" s="17" t="str">
        <x:v>all reference, range and uncertainty states cover the live interval</x:v>
      </x:c>
      <x:c r="K1353" s="17" t="str">
        <x:v>Metrology courts</x:v>
      </x:c>
      <x:c r="L1353" s="9" t="n">
        <x:v>0</x:v>
      </x:c>
      <x:c r="M1353" s="9" t="n">
        <x:v>0</x:v>
      </x:c>
      <x:c r="N1353" s="9" t="str">
        <x:v>OPEN / UNACCEPTED</x:v>
      </x:c>
      <x:c r="O1353" s="9" t="n">
        <x:f>COUNTIFS($A$7:$A$1734,A1353)</x:f>
        <x:v>1</x:v>
      </x:c>
    </x:row>
    <x:row r="1354">
      <x:c r="A1354" s="9" t="str">
        <x:v>EV-AR-RT-B-C-TECH-4-B1-BRK-G0-OG04</x:v>
      </x:c>
      <x:c r="B1354" s="9" t="str">
        <x:v>EV-AR-RT-B-C-TECH-4-B1-BRK-G0</x:v>
      </x:c>
      <x:c r="C1354" s="9" t="str">
        <x:v>AR-RT-B-C-TECH-4-B1-BRK-G0</x:v>
      </x:c>
      <x:c r="D1354" s="9" t="str">
        <x:v>RT-B-C-TECH-4</x:v>
      </x:c>
      <x:c r="E1354" s="9" t="str">
        <x:v>RT-B-C</x:v>
      </x:c>
      <x:c r="F1354" s="9" t="str">
        <x:v>B1</x:v>
      </x:c>
      <x:c r="G1354" s="9" t="str">
        <x:v>BRK</x:v>
      </x:c>
      <x:c r="H1354" s="9" t="str">
        <x:v>OG04</x:v>
      </x:c>
      <x:c r="I1354" s="17" t="str">
        <x:v>Raw completeness</x:v>
      </x:c>
      <x:c r="J1354" s="17" t="str">
        <x:v>missingness is enumerated without imputation or outcome-conditioned deletion</x:v>
      </x:c>
      <x:c r="K1354" s="17" t="str">
        <x:v>Observation court</x:v>
      </x:c>
      <x:c r="L1354" s="9" t="n">
        <x:v>0</x:v>
      </x:c>
      <x:c r="M1354" s="9" t="n">
        <x:v>0</x:v>
      </x:c>
      <x:c r="N1354" s="9" t="str">
        <x:v>OPEN / UNACCEPTED</x:v>
      </x:c>
      <x:c r="O1354" s="9" t="n">
        <x:f>COUNTIFS($A$7:$A$1734,A1354)</x:f>
        <x:v>1</x:v>
      </x:c>
    </x:row>
    <x:row r="1355">
      <x:c r="A1355" s="9" t="str">
        <x:v>EV-AR-RT-B-C-TECH-4-B1-BRK-G0-OG05</x:v>
      </x:c>
      <x:c r="B1355" s="9" t="str">
        <x:v>EV-AR-RT-B-C-TECH-4-B1-BRK-G0</x:v>
      </x:c>
      <x:c r="C1355" s="9" t="str">
        <x:v>AR-RT-B-C-TECH-4-B1-BRK-G0</x:v>
      </x:c>
      <x:c r="D1355" s="9" t="str">
        <x:v>RT-B-C-TECH-4</x:v>
      </x:c>
      <x:c r="E1355" s="9" t="str">
        <x:v>RT-B-C</x:v>
      </x:c>
      <x:c r="F1355" s="9" t="str">
        <x:v>B1</x:v>
      </x:c>
      <x:c r="G1355" s="9" t="str">
        <x:v>BRK</x:v>
      </x:c>
      <x:c r="H1355" s="9" t="str">
        <x:v>OG05</x:v>
      </x:c>
      <x:c r="I1355" s="17" t="str">
        <x:v>Primary provenance</x:v>
      </x:c>
      <x:c r="J1355" s="17" t="str">
        <x:v>primary originals, hashes, keys and access history reconcile</x:v>
      </x:c>
      <x:c r="K1355" s="17" t="str">
        <x:v>Primary custody</x:v>
      </x:c>
      <x:c r="L1355" s="9" t="n">
        <x:v>0</x:v>
      </x:c>
      <x:c r="M1355" s="9" t="n">
        <x:v>0</x:v>
      </x:c>
      <x:c r="N1355" s="9" t="str">
        <x:v>OPEN / UNACCEPTED</x:v>
      </x:c>
      <x:c r="O1355" s="9" t="n">
        <x:f>COUNTIFS($A$7:$A$1734,A1355)</x:f>
        <x:v>1</x:v>
      </x:c>
    </x:row>
    <x:row r="1356">
      <x:c r="A1356" s="9" t="str">
        <x:v>EV-AR-RT-B-C-TECH-4-B1-BRK-G0-OG06</x:v>
      </x:c>
      <x:c r="B1356" s="9" t="str">
        <x:v>EV-AR-RT-B-C-TECH-4-B1-BRK-G0</x:v>
      </x:c>
      <x:c r="C1356" s="9" t="str">
        <x:v>AR-RT-B-C-TECH-4-B1-BRK-G0</x:v>
      </x:c>
      <x:c r="D1356" s="9" t="str">
        <x:v>RT-B-C-TECH-4</x:v>
      </x:c>
      <x:c r="E1356" s="9" t="str">
        <x:v>RT-B-C</x:v>
      </x:c>
      <x:c r="F1356" s="9" t="str">
        <x:v>B1</x:v>
      </x:c>
      <x:c r="G1356" s="9" t="str">
        <x:v>BRK</x:v>
      </x:c>
      <x:c r="H1356" s="9" t="str">
        <x:v>OG06</x:v>
      </x:c>
      <x:c r="I1356" s="17" t="str">
        <x:v>Witness provenance</x:v>
      </x:c>
      <x:c r="J1356" s="17" t="str">
        <x:v>unlike witness originals, hashes, keys and access history reconcile</x:v>
      </x:c>
      <x:c r="K1356" s="17" t="str">
        <x:v>Witness custody</x:v>
      </x:c>
      <x:c r="L1356" s="9" t="n">
        <x:v>0</x:v>
      </x:c>
      <x:c r="M1356" s="9" t="n">
        <x:v>0</x:v>
      </x:c>
      <x:c r="N1356" s="9" t="str">
        <x:v>OPEN / UNACCEPTED</x:v>
      </x:c>
      <x:c r="O1356" s="9" t="n">
        <x:f>COUNTIFS($A$7:$A$1734,A1356)</x:f>
        <x:v>1</x:v>
      </x:c>
    </x:row>
    <x:row r="1357">
      <x:c r="A1357" s="9" t="str">
        <x:v>EV-AR-RT-B-C-TECH-4-B1-BRK-G0-OG07</x:v>
      </x:c>
      <x:c r="B1357" s="9" t="str">
        <x:v>EV-AR-RT-B-C-TECH-4-B1-BRK-G0</x:v>
      </x:c>
      <x:c r="C1357" s="9" t="str">
        <x:v>AR-RT-B-C-TECH-4-B1-BRK-G0</x:v>
      </x:c>
      <x:c r="D1357" s="9" t="str">
        <x:v>RT-B-C-TECH-4</x:v>
      </x:c>
      <x:c r="E1357" s="9" t="str">
        <x:v>RT-B-C</x:v>
      </x:c>
      <x:c r="F1357" s="9" t="str">
        <x:v>B1</x:v>
      </x:c>
      <x:c r="G1357" s="9" t="str">
        <x:v>BRK</x:v>
      </x:c>
      <x:c r="H1357" s="9" t="str">
        <x:v>OG07</x:v>
      </x:c>
      <x:c r="I1357" s="17" t="str">
        <x:v>Receiver denominator</x:v>
      </x:c>
      <x:c r="J1357" s="17" t="str">
        <x:v>population, quantity, duration and exclusions match the frozen receipt</x:v>
      </x:c>
      <x:c r="K1357" s="17" t="str">
        <x:v>Receiver court</x:v>
      </x:c>
      <x:c r="L1357" s="9" t="n">
        <x:v>0</x:v>
      </x:c>
      <x:c r="M1357" s="9" t="n">
        <x:v>0</x:v>
      </x:c>
      <x:c r="N1357" s="9" t="str">
        <x:v>OPEN / UNACCEPTED</x:v>
      </x:c>
      <x:c r="O1357" s="9" t="n">
        <x:f>COUNTIFS($A$7:$A$1734,A1357)</x:f>
        <x:v>1</x:v>
      </x:c>
    </x:row>
    <x:row r="1358">
      <x:c r="A1358" s="9" t="str">
        <x:v>EV-AR-RT-B-C-TECH-4-B1-BRK-G0-OG08</x:v>
      </x:c>
      <x:c r="B1358" s="9" t="str">
        <x:v>EV-AR-RT-B-C-TECH-4-B1-BRK-G0</x:v>
      </x:c>
      <x:c r="C1358" s="9" t="str">
        <x:v>AR-RT-B-C-TECH-4-B1-BRK-G0</x:v>
      </x:c>
      <x:c r="D1358" s="9" t="str">
        <x:v>RT-B-C-TECH-4</x:v>
      </x:c>
      <x:c r="E1358" s="9" t="str">
        <x:v>RT-B-C</x:v>
      </x:c>
      <x:c r="F1358" s="9" t="str">
        <x:v>B1</x:v>
      </x:c>
      <x:c r="G1358" s="9" t="str">
        <x:v>BRK</x:v>
      </x:c>
      <x:c r="H1358" s="9" t="str">
        <x:v>OG08</x:v>
      </x:c>
      <x:c r="I1358" s="17" t="str">
        <x:v>Environment and boundary</x:v>
      </x:c>
      <x:c r="J1358" s="17" t="str">
        <x:v>registered weather, water, ground, inlet and outlet states are retained</x:v>
      </x:c>
      <x:c r="K1358" s="17" t="str">
        <x:v>Boundary court</x:v>
      </x:c>
      <x:c r="L1358" s="9" t="n">
        <x:v>0</x:v>
      </x:c>
      <x:c r="M1358" s="9" t="n">
        <x:v>0</x:v>
      </x:c>
      <x:c r="N1358" s="9" t="str">
        <x:v>OPEN / UNACCEPTED</x:v>
      </x:c>
      <x:c r="O1358" s="9" t="n">
        <x:f>COUNTIFS($A$7:$A$1734,A1358)</x:f>
        <x:v>1</x:v>
      </x:c>
    </x:row>
    <x:row r="1359">
      <x:c r="A1359" s="9" t="str">
        <x:v>EV-AR-RT-B-C-TECH-4-B1-BRK-G0-OG09</x:v>
      </x:c>
      <x:c r="B1359" s="9" t="str">
        <x:v>EV-AR-RT-B-C-TECH-4-B1-BRK-G0</x:v>
      </x:c>
      <x:c r="C1359" s="9" t="str">
        <x:v>AR-RT-B-C-TECH-4-B1-BRK-G0</x:v>
      </x:c>
      <x:c r="D1359" s="9" t="str">
        <x:v>RT-B-C-TECH-4</x:v>
      </x:c>
      <x:c r="E1359" s="9" t="str">
        <x:v>RT-B-C</x:v>
      </x:c>
      <x:c r="F1359" s="9" t="str">
        <x:v>B1</x:v>
      </x:c>
      <x:c r="G1359" s="9" t="str">
        <x:v>BRK</x:v>
      </x:c>
      <x:c r="H1359" s="9" t="str">
        <x:v>OG09</x:v>
      </x:c>
      <x:c r="I1359" s="17" t="str">
        <x:v>Intervention account</x:v>
      </x:c>
      <x:c r="J1359" s="17" t="str">
        <x:v>all stop, rescue, operator and public-protection actions remain timestamped</x:v>
      </x:c>
      <x:c r="K1359" s="17" t="str">
        <x:v>Safety record court</x:v>
      </x:c>
      <x:c r="L1359" s="9" t="n">
        <x:v>0</x:v>
      </x:c>
      <x:c r="M1359" s="9" t="n">
        <x:v>0</x:v>
      </x:c>
      <x:c r="N1359" s="9" t="str">
        <x:v>OPEN / UNACCEPTED</x:v>
      </x:c>
      <x:c r="O1359" s="9" t="n">
        <x:f>COUNTIFS($A$7:$A$1734,A1359)</x:f>
        <x:v>1</x:v>
      </x:c>
    </x:row>
    <x:row r="1360">
      <x:c r="A1360" s="9" t="str">
        <x:v>EV-AR-RT-B-C-TECH-4-B1-BRK-G0-OG10</x:v>
      </x:c>
      <x:c r="B1360" s="9" t="str">
        <x:v>EV-AR-RT-B-C-TECH-4-B1-BRK-G0</x:v>
      </x:c>
      <x:c r="C1360" s="9" t="str">
        <x:v>AR-RT-B-C-TECH-4-B1-BRK-G0</x:v>
      </x:c>
      <x:c r="D1360" s="9" t="str">
        <x:v>RT-B-C-TECH-4</x:v>
      </x:c>
      <x:c r="E1360" s="9" t="str">
        <x:v>RT-B-C</x:v>
      </x:c>
      <x:c r="F1360" s="9" t="str">
        <x:v>B1</x:v>
      </x:c>
      <x:c r="G1360" s="9" t="str">
        <x:v>BRK</x:v>
      </x:c>
      <x:c r="H1360" s="9" t="str">
        <x:v>OG10</x:v>
      </x:c>
      <x:c r="I1360" s="17" t="str">
        <x:v>Uncertainty statement</x:v>
      </x:c>
      <x:c r="J1360" s="17" t="str">
        <x:v>range, censoring, resolution and correlation are declared before judgment</x:v>
      </x:c>
      <x:c r="K1360" s="17" t="str">
        <x:v>Uncertainty authority</x:v>
      </x:c>
      <x:c r="L1360" s="9" t="n">
        <x:v>0</x:v>
      </x:c>
      <x:c r="M1360" s="9" t="n">
        <x:v>0</x:v>
      </x:c>
      <x:c r="N1360" s="9" t="str">
        <x:v>OPEN / UNACCEPTED</x:v>
      </x:c>
      <x:c r="O1360" s="9" t="n">
        <x:f>COUNTIFS($A$7:$A$1734,A1360)</x:f>
        <x:v>1</x:v>
      </x:c>
    </x:row>
    <x:row r="1361">
      <x:c r="A1361" s="9" t="str">
        <x:v>EV-AR-RT-B-C-TECH-4-B1-BRK-G0-OG11</x:v>
      </x:c>
      <x:c r="B1361" s="9" t="str">
        <x:v>EV-AR-RT-B-C-TECH-4-B1-BRK-G0</x:v>
      </x:c>
      <x:c r="C1361" s="9" t="str">
        <x:v>AR-RT-B-C-TECH-4-B1-BRK-G0</x:v>
      </x:c>
      <x:c r="D1361" s="9" t="str">
        <x:v>RT-B-C-TECH-4</x:v>
      </x:c>
      <x:c r="E1361" s="9" t="str">
        <x:v>RT-B-C</x:v>
      </x:c>
      <x:c r="F1361" s="9" t="str">
        <x:v>B1</x:v>
      </x:c>
      <x:c r="G1361" s="9" t="str">
        <x:v>BRK</x:v>
      </x:c>
      <x:c r="H1361" s="9" t="str">
        <x:v>OG11</x:v>
      </x:c>
      <x:c r="I1361" s="17" t="str">
        <x:v>Contradiction preservation</x:v>
      </x:c>
      <x:c r="J1361" s="17" t="str">
        <x:v>primary-witness disagreement remains explicit and is never averaged away</x:v>
      </x:c>
      <x:c r="K1361" s="17" t="str">
        <x:v>Dissent registrar</x:v>
      </x:c>
      <x:c r="L1361" s="9" t="n">
        <x:v>0</x:v>
      </x:c>
      <x:c r="M1361" s="9" t="n">
        <x:v>0</x:v>
      </x:c>
      <x:c r="N1361" s="9" t="str">
        <x:v>OPEN / UNACCEPTED</x:v>
      </x:c>
      <x:c r="O1361" s="9" t="n">
        <x:f>COUNTIFS($A$7:$A$1734,A1361)</x:f>
        <x:v>1</x:v>
      </x:c>
    </x:row>
    <x:row r="1362">
      <x:c r="A1362" s="9" t="str">
        <x:v>EV-AR-RT-B-C-TECH-4-B1-BRK-G0-OG12</x:v>
      </x:c>
      <x:c r="B1362" s="9" t="str">
        <x:v>EV-AR-RT-B-C-TECH-4-B1-BRK-G0</x:v>
      </x:c>
      <x:c r="C1362" s="9" t="str">
        <x:v>AR-RT-B-C-TECH-4-B1-BRK-G0</x:v>
      </x:c>
      <x:c r="D1362" s="9" t="str">
        <x:v>RT-B-C-TECH-4</x:v>
      </x:c>
      <x:c r="E1362" s="9" t="str">
        <x:v>RT-B-C</x:v>
      </x:c>
      <x:c r="F1362" s="9" t="str">
        <x:v>B1</x:v>
      </x:c>
      <x:c r="G1362" s="9" t="str">
        <x:v>BRK</x:v>
      </x:c>
      <x:c r="H1362" s="9" t="str">
        <x:v>OG12</x:v>
      </x:c>
      <x:c r="I1362" s="17" t="str">
        <x:v>Independent replay</x:v>
      </x:c>
      <x:c r="J1362" s="17" t="str">
        <x:v>a separated reader reconstructs the registered observables from sealed originals</x:v>
      </x:c>
      <x:c r="K1362" s="17" t="str">
        <x:v>Replay court</x:v>
      </x:c>
      <x:c r="L1362" s="9" t="n">
        <x:v>0</x:v>
      </x:c>
      <x:c r="M1362" s="9" t="n">
        <x:v>0</x:v>
      </x:c>
      <x:c r="N1362" s="9" t="str">
        <x:v>OPEN / UNACCEPTED</x:v>
      </x:c>
      <x:c r="O1362" s="9" t="n">
        <x:f>COUNTIFS($A$7:$A$1734,A1362)</x:f>
        <x:v>1</x:v>
      </x:c>
    </x:row>
    <x:row r="1363">
      <x:c r="A1363" s="9" t="str">
        <x:v>EV-AR-RT-B-C-TECH-3-B2-BRK-G0-OG01</x:v>
      </x:c>
      <x:c r="B1363" s="9" t="str">
        <x:v>EV-AR-RT-B-C-TECH-3-B2-BRK-G0</x:v>
      </x:c>
      <x:c r="C1363" s="9" t="str">
        <x:v>AR-RT-B-C-TECH-3-B2-BRK-G0</x:v>
      </x:c>
      <x:c r="D1363" s="9" t="str">
        <x:v>RT-B-C-TECH-3</x:v>
      </x:c>
      <x:c r="E1363" s="9" t="str">
        <x:v>RT-B-C</x:v>
      </x:c>
      <x:c r="F1363" s="9" t="str">
        <x:v>B2</x:v>
      </x:c>
      <x:c r="G1363" s="9" t="str">
        <x:v>BRK</x:v>
      </x:c>
      <x:c r="H1363" s="9" t="str">
        <x:v>OG01</x:v>
      </x:c>
      <x:c r="I1363" s="17" t="str">
        <x:v>Serial and event identity</x:v>
      </x:c>
      <x:c r="J1363" s="17" t="str">
        <x:v>record resolves to the issued serial, generation and physical start</x:v>
      </x:c>
      <x:c r="K1363" s="17" t="str">
        <x:v>Observation court</x:v>
      </x:c>
      <x:c r="L1363" s="9" t="n">
        <x:v>0</x:v>
      </x:c>
      <x:c r="M1363" s="9" t="n">
        <x:v>0</x:v>
      </x:c>
      <x:c r="N1363" s="9" t="str">
        <x:v>OPEN / UNACCEPTED</x:v>
      </x:c>
      <x:c r="O1363" s="9" t="n">
        <x:f>COUNTIFS($A$7:$A$1734,A1363)</x:f>
        <x:v>1</x:v>
      </x:c>
    </x:row>
    <x:row r="1364">
      <x:c r="A1364" s="9" t="str">
        <x:v>EV-AR-RT-B-C-TECH-3-B2-BRK-G0-OG02</x:v>
      </x:c>
      <x:c r="B1364" s="9" t="str">
        <x:v>EV-AR-RT-B-C-TECH-3-B2-BRK-G0</x:v>
      </x:c>
      <x:c r="C1364" s="9" t="str">
        <x:v>AR-RT-B-C-TECH-3-B2-BRK-G0</x:v>
      </x:c>
      <x:c r="D1364" s="9" t="str">
        <x:v>RT-B-C-TECH-3</x:v>
      </x:c>
      <x:c r="E1364" s="9" t="str">
        <x:v>RT-B-C</x:v>
      </x:c>
      <x:c r="F1364" s="9" t="str">
        <x:v>B2</x:v>
      </x:c>
      <x:c r="G1364" s="9" t="str">
        <x:v>BRK</x:v>
      </x:c>
      <x:c r="H1364" s="9" t="str">
        <x:v>OG02</x:v>
      </x:c>
      <x:c r="I1364" s="17" t="str">
        <x:v>Time ancestry</x:v>
      </x:c>
      <x:c r="J1364" s="17" t="str">
        <x:v>primary, witness and public event clocks retain declared offsets and drift</x:v>
      </x:c>
      <x:c r="K1364" s="17" t="str">
        <x:v>Time authority</x:v>
      </x:c>
      <x:c r="L1364" s="9" t="n">
        <x:v>0</x:v>
      </x:c>
      <x:c r="M1364" s="9" t="n">
        <x:v>0</x:v>
      </x:c>
      <x:c r="N1364" s="9" t="str">
        <x:v>OPEN / UNACCEPTED</x:v>
      </x:c>
      <x:c r="O1364" s="9" t="n">
        <x:f>COUNTIFS($A$7:$A$1734,A1364)</x:f>
        <x:v>1</x:v>
      </x:c>
    </x:row>
    <x:row r="1365">
      <x:c r="A1365" s="9" t="str">
        <x:v>EV-AR-RT-B-C-TECH-3-B2-BRK-G0-OG03</x:v>
      </x:c>
      <x:c r="B1365" s="9" t="str">
        <x:v>EV-AR-RT-B-C-TECH-3-B2-BRK-G0</x:v>
      </x:c>
      <x:c r="C1365" s="9" t="str">
        <x:v>AR-RT-B-C-TECH-3-B2-BRK-G0</x:v>
      </x:c>
      <x:c r="D1365" s="9" t="str">
        <x:v>RT-B-C-TECH-3</x:v>
      </x:c>
      <x:c r="E1365" s="9" t="str">
        <x:v>RT-B-C</x:v>
      </x:c>
      <x:c r="F1365" s="9" t="str">
        <x:v>B2</x:v>
      </x:c>
      <x:c r="G1365" s="9" t="str">
        <x:v>BRK</x:v>
      </x:c>
      <x:c r="H1365" s="9" t="str">
        <x:v>OG03</x:v>
      </x:c>
      <x:c r="I1365" s="17" t="str">
        <x:v>Calibration ancestry</x:v>
      </x:c>
      <x:c r="J1365" s="17" t="str">
        <x:v>all reference, range and uncertainty states cover the live interval</x:v>
      </x:c>
      <x:c r="K1365" s="17" t="str">
        <x:v>Metrology courts</x:v>
      </x:c>
      <x:c r="L1365" s="9" t="n">
        <x:v>0</x:v>
      </x:c>
      <x:c r="M1365" s="9" t="n">
        <x:v>0</x:v>
      </x:c>
      <x:c r="N1365" s="9" t="str">
        <x:v>OPEN / UNACCEPTED</x:v>
      </x:c>
      <x:c r="O1365" s="9" t="n">
        <x:f>COUNTIFS($A$7:$A$1734,A1365)</x:f>
        <x:v>1</x:v>
      </x:c>
    </x:row>
    <x:row r="1366">
      <x:c r="A1366" s="9" t="str">
        <x:v>EV-AR-RT-B-C-TECH-3-B2-BRK-G0-OG04</x:v>
      </x:c>
      <x:c r="B1366" s="9" t="str">
        <x:v>EV-AR-RT-B-C-TECH-3-B2-BRK-G0</x:v>
      </x:c>
      <x:c r="C1366" s="9" t="str">
        <x:v>AR-RT-B-C-TECH-3-B2-BRK-G0</x:v>
      </x:c>
      <x:c r="D1366" s="9" t="str">
        <x:v>RT-B-C-TECH-3</x:v>
      </x:c>
      <x:c r="E1366" s="9" t="str">
        <x:v>RT-B-C</x:v>
      </x:c>
      <x:c r="F1366" s="9" t="str">
        <x:v>B2</x:v>
      </x:c>
      <x:c r="G1366" s="9" t="str">
        <x:v>BRK</x:v>
      </x:c>
      <x:c r="H1366" s="9" t="str">
        <x:v>OG04</x:v>
      </x:c>
      <x:c r="I1366" s="17" t="str">
        <x:v>Raw completeness</x:v>
      </x:c>
      <x:c r="J1366" s="17" t="str">
        <x:v>missingness is enumerated without imputation or outcome-conditioned deletion</x:v>
      </x:c>
      <x:c r="K1366" s="17" t="str">
        <x:v>Observation court</x:v>
      </x:c>
      <x:c r="L1366" s="9" t="n">
        <x:v>0</x:v>
      </x:c>
      <x:c r="M1366" s="9" t="n">
        <x:v>0</x:v>
      </x:c>
      <x:c r="N1366" s="9" t="str">
        <x:v>OPEN / UNACCEPTED</x:v>
      </x:c>
      <x:c r="O1366" s="9" t="n">
        <x:f>COUNTIFS($A$7:$A$1734,A1366)</x:f>
        <x:v>1</x:v>
      </x:c>
    </x:row>
    <x:row r="1367">
      <x:c r="A1367" s="9" t="str">
        <x:v>EV-AR-RT-B-C-TECH-3-B2-BRK-G0-OG05</x:v>
      </x:c>
      <x:c r="B1367" s="9" t="str">
        <x:v>EV-AR-RT-B-C-TECH-3-B2-BRK-G0</x:v>
      </x:c>
      <x:c r="C1367" s="9" t="str">
        <x:v>AR-RT-B-C-TECH-3-B2-BRK-G0</x:v>
      </x:c>
      <x:c r="D1367" s="9" t="str">
        <x:v>RT-B-C-TECH-3</x:v>
      </x:c>
      <x:c r="E1367" s="9" t="str">
        <x:v>RT-B-C</x:v>
      </x:c>
      <x:c r="F1367" s="9" t="str">
        <x:v>B2</x:v>
      </x:c>
      <x:c r="G1367" s="9" t="str">
        <x:v>BRK</x:v>
      </x:c>
      <x:c r="H1367" s="9" t="str">
        <x:v>OG05</x:v>
      </x:c>
      <x:c r="I1367" s="17" t="str">
        <x:v>Primary provenance</x:v>
      </x:c>
      <x:c r="J1367" s="17" t="str">
        <x:v>primary originals, hashes, keys and access history reconcile</x:v>
      </x:c>
      <x:c r="K1367" s="17" t="str">
        <x:v>Primary custody</x:v>
      </x:c>
      <x:c r="L1367" s="9" t="n">
        <x:v>0</x:v>
      </x:c>
      <x:c r="M1367" s="9" t="n">
        <x:v>0</x:v>
      </x:c>
      <x:c r="N1367" s="9" t="str">
        <x:v>OPEN / UNACCEPTED</x:v>
      </x:c>
      <x:c r="O1367" s="9" t="n">
        <x:f>COUNTIFS($A$7:$A$1734,A1367)</x:f>
        <x:v>1</x:v>
      </x:c>
    </x:row>
    <x:row r="1368">
      <x:c r="A1368" s="9" t="str">
        <x:v>EV-AR-RT-B-C-TECH-3-B2-BRK-G0-OG06</x:v>
      </x:c>
      <x:c r="B1368" s="9" t="str">
        <x:v>EV-AR-RT-B-C-TECH-3-B2-BRK-G0</x:v>
      </x:c>
      <x:c r="C1368" s="9" t="str">
        <x:v>AR-RT-B-C-TECH-3-B2-BRK-G0</x:v>
      </x:c>
      <x:c r="D1368" s="9" t="str">
        <x:v>RT-B-C-TECH-3</x:v>
      </x:c>
      <x:c r="E1368" s="9" t="str">
        <x:v>RT-B-C</x:v>
      </x:c>
      <x:c r="F1368" s="9" t="str">
        <x:v>B2</x:v>
      </x:c>
      <x:c r="G1368" s="9" t="str">
        <x:v>BRK</x:v>
      </x:c>
      <x:c r="H1368" s="9" t="str">
        <x:v>OG06</x:v>
      </x:c>
      <x:c r="I1368" s="17" t="str">
        <x:v>Witness provenance</x:v>
      </x:c>
      <x:c r="J1368" s="17" t="str">
        <x:v>unlike witness originals, hashes, keys and access history reconcile</x:v>
      </x:c>
      <x:c r="K1368" s="17" t="str">
        <x:v>Witness custody</x:v>
      </x:c>
      <x:c r="L1368" s="9" t="n">
        <x:v>0</x:v>
      </x:c>
      <x:c r="M1368" s="9" t="n">
        <x:v>0</x:v>
      </x:c>
      <x:c r="N1368" s="9" t="str">
        <x:v>OPEN / UNACCEPTED</x:v>
      </x:c>
      <x:c r="O1368" s="9" t="n">
        <x:f>COUNTIFS($A$7:$A$1734,A1368)</x:f>
        <x:v>1</x:v>
      </x:c>
    </x:row>
    <x:row r="1369">
      <x:c r="A1369" s="9" t="str">
        <x:v>EV-AR-RT-B-C-TECH-3-B2-BRK-G0-OG07</x:v>
      </x:c>
      <x:c r="B1369" s="9" t="str">
        <x:v>EV-AR-RT-B-C-TECH-3-B2-BRK-G0</x:v>
      </x:c>
      <x:c r="C1369" s="9" t="str">
        <x:v>AR-RT-B-C-TECH-3-B2-BRK-G0</x:v>
      </x:c>
      <x:c r="D1369" s="9" t="str">
        <x:v>RT-B-C-TECH-3</x:v>
      </x:c>
      <x:c r="E1369" s="9" t="str">
        <x:v>RT-B-C</x:v>
      </x:c>
      <x:c r="F1369" s="9" t="str">
        <x:v>B2</x:v>
      </x:c>
      <x:c r="G1369" s="9" t="str">
        <x:v>BRK</x:v>
      </x:c>
      <x:c r="H1369" s="9" t="str">
        <x:v>OG07</x:v>
      </x:c>
      <x:c r="I1369" s="17" t="str">
        <x:v>Receiver denominator</x:v>
      </x:c>
      <x:c r="J1369" s="17" t="str">
        <x:v>population, quantity, duration and exclusions match the frozen receipt</x:v>
      </x:c>
      <x:c r="K1369" s="17" t="str">
        <x:v>Receiver court</x:v>
      </x:c>
      <x:c r="L1369" s="9" t="n">
        <x:v>0</x:v>
      </x:c>
      <x:c r="M1369" s="9" t="n">
        <x:v>0</x:v>
      </x:c>
      <x:c r="N1369" s="9" t="str">
        <x:v>OPEN / UNACCEPTED</x:v>
      </x:c>
      <x:c r="O1369" s="9" t="n">
        <x:f>COUNTIFS($A$7:$A$1734,A1369)</x:f>
        <x:v>1</x:v>
      </x:c>
    </x:row>
    <x:row r="1370">
      <x:c r="A1370" s="9" t="str">
        <x:v>EV-AR-RT-B-C-TECH-3-B2-BRK-G0-OG08</x:v>
      </x:c>
      <x:c r="B1370" s="9" t="str">
        <x:v>EV-AR-RT-B-C-TECH-3-B2-BRK-G0</x:v>
      </x:c>
      <x:c r="C1370" s="9" t="str">
        <x:v>AR-RT-B-C-TECH-3-B2-BRK-G0</x:v>
      </x:c>
      <x:c r="D1370" s="9" t="str">
        <x:v>RT-B-C-TECH-3</x:v>
      </x:c>
      <x:c r="E1370" s="9" t="str">
        <x:v>RT-B-C</x:v>
      </x:c>
      <x:c r="F1370" s="9" t="str">
        <x:v>B2</x:v>
      </x:c>
      <x:c r="G1370" s="9" t="str">
        <x:v>BRK</x:v>
      </x:c>
      <x:c r="H1370" s="9" t="str">
        <x:v>OG08</x:v>
      </x:c>
      <x:c r="I1370" s="17" t="str">
        <x:v>Environment and boundary</x:v>
      </x:c>
      <x:c r="J1370" s="17" t="str">
        <x:v>registered weather, water, ground, inlet and outlet states are retained</x:v>
      </x:c>
      <x:c r="K1370" s="17" t="str">
        <x:v>Boundary court</x:v>
      </x:c>
      <x:c r="L1370" s="9" t="n">
        <x:v>0</x:v>
      </x:c>
      <x:c r="M1370" s="9" t="n">
        <x:v>0</x:v>
      </x:c>
      <x:c r="N1370" s="9" t="str">
        <x:v>OPEN / UNACCEPTED</x:v>
      </x:c>
      <x:c r="O1370" s="9" t="n">
        <x:f>COUNTIFS($A$7:$A$1734,A1370)</x:f>
        <x:v>1</x:v>
      </x:c>
    </x:row>
    <x:row r="1371">
      <x:c r="A1371" s="9" t="str">
        <x:v>EV-AR-RT-B-C-TECH-3-B2-BRK-G0-OG09</x:v>
      </x:c>
      <x:c r="B1371" s="9" t="str">
        <x:v>EV-AR-RT-B-C-TECH-3-B2-BRK-G0</x:v>
      </x:c>
      <x:c r="C1371" s="9" t="str">
        <x:v>AR-RT-B-C-TECH-3-B2-BRK-G0</x:v>
      </x:c>
      <x:c r="D1371" s="9" t="str">
        <x:v>RT-B-C-TECH-3</x:v>
      </x:c>
      <x:c r="E1371" s="9" t="str">
        <x:v>RT-B-C</x:v>
      </x:c>
      <x:c r="F1371" s="9" t="str">
        <x:v>B2</x:v>
      </x:c>
      <x:c r="G1371" s="9" t="str">
        <x:v>BRK</x:v>
      </x:c>
      <x:c r="H1371" s="9" t="str">
        <x:v>OG09</x:v>
      </x:c>
      <x:c r="I1371" s="17" t="str">
        <x:v>Intervention account</x:v>
      </x:c>
      <x:c r="J1371" s="17" t="str">
        <x:v>all stop, rescue, operator and public-protection actions remain timestamped</x:v>
      </x:c>
      <x:c r="K1371" s="17" t="str">
        <x:v>Safety record court</x:v>
      </x:c>
      <x:c r="L1371" s="9" t="n">
        <x:v>0</x:v>
      </x:c>
      <x:c r="M1371" s="9" t="n">
        <x:v>0</x:v>
      </x:c>
      <x:c r="N1371" s="9" t="str">
        <x:v>OPEN / UNACCEPTED</x:v>
      </x:c>
      <x:c r="O1371" s="9" t="n">
        <x:f>COUNTIFS($A$7:$A$1734,A1371)</x:f>
        <x:v>1</x:v>
      </x:c>
    </x:row>
    <x:row r="1372">
      <x:c r="A1372" s="9" t="str">
        <x:v>EV-AR-RT-B-C-TECH-3-B2-BRK-G0-OG10</x:v>
      </x:c>
      <x:c r="B1372" s="9" t="str">
        <x:v>EV-AR-RT-B-C-TECH-3-B2-BRK-G0</x:v>
      </x:c>
      <x:c r="C1372" s="9" t="str">
        <x:v>AR-RT-B-C-TECH-3-B2-BRK-G0</x:v>
      </x:c>
      <x:c r="D1372" s="9" t="str">
        <x:v>RT-B-C-TECH-3</x:v>
      </x:c>
      <x:c r="E1372" s="9" t="str">
        <x:v>RT-B-C</x:v>
      </x:c>
      <x:c r="F1372" s="9" t="str">
        <x:v>B2</x:v>
      </x:c>
      <x:c r="G1372" s="9" t="str">
        <x:v>BRK</x:v>
      </x:c>
      <x:c r="H1372" s="9" t="str">
        <x:v>OG10</x:v>
      </x:c>
      <x:c r="I1372" s="17" t="str">
        <x:v>Uncertainty statement</x:v>
      </x:c>
      <x:c r="J1372" s="17" t="str">
        <x:v>range, censoring, resolution and correlation are declared before judgment</x:v>
      </x:c>
      <x:c r="K1372" s="17" t="str">
        <x:v>Uncertainty authority</x:v>
      </x:c>
      <x:c r="L1372" s="9" t="n">
        <x:v>0</x:v>
      </x:c>
      <x:c r="M1372" s="9" t="n">
        <x:v>0</x:v>
      </x:c>
      <x:c r="N1372" s="9" t="str">
        <x:v>OPEN / UNACCEPTED</x:v>
      </x:c>
      <x:c r="O1372" s="9" t="n">
        <x:f>COUNTIFS($A$7:$A$1734,A1372)</x:f>
        <x:v>1</x:v>
      </x:c>
    </x:row>
    <x:row r="1373">
      <x:c r="A1373" s="9" t="str">
        <x:v>EV-AR-RT-B-C-TECH-3-B2-BRK-G0-OG11</x:v>
      </x:c>
      <x:c r="B1373" s="9" t="str">
        <x:v>EV-AR-RT-B-C-TECH-3-B2-BRK-G0</x:v>
      </x:c>
      <x:c r="C1373" s="9" t="str">
        <x:v>AR-RT-B-C-TECH-3-B2-BRK-G0</x:v>
      </x:c>
      <x:c r="D1373" s="9" t="str">
        <x:v>RT-B-C-TECH-3</x:v>
      </x:c>
      <x:c r="E1373" s="9" t="str">
        <x:v>RT-B-C</x:v>
      </x:c>
      <x:c r="F1373" s="9" t="str">
        <x:v>B2</x:v>
      </x:c>
      <x:c r="G1373" s="9" t="str">
        <x:v>BRK</x:v>
      </x:c>
      <x:c r="H1373" s="9" t="str">
        <x:v>OG11</x:v>
      </x:c>
      <x:c r="I1373" s="17" t="str">
        <x:v>Contradiction preservation</x:v>
      </x:c>
      <x:c r="J1373" s="17" t="str">
        <x:v>primary-witness disagreement remains explicit and is never averaged away</x:v>
      </x:c>
      <x:c r="K1373" s="17" t="str">
        <x:v>Dissent registrar</x:v>
      </x:c>
      <x:c r="L1373" s="9" t="n">
        <x:v>0</x:v>
      </x:c>
      <x:c r="M1373" s="9" t="n">
        <x:v>0</x:v>
      </x:c>
      <x:c r="N1373" s="9" t="str">
        <x:v>OPEN / UNACCEPTED</x:v>
      </x:c>
      <x:c r="O1373" s="9" t="n">
        <x:f>COUNTIFS($A$7:$A$1734,A1373)</x:f>
        <x:v>1</x:v>
      </x:c>
    </x:row>
    <x:row r="1374">
      <x:c r="A1374" s="9" t="str">
        <x:v>EV-AR-RT-B-C-TECH-3-B2-BRK-G0-OG12</x:v>
      </x:c>
      <x:c r="B1374" s="9" t="str">
        <x:v>EV-AR-RT-B-C-TECH-3-B2-BRK-G0</x:v>
      </x:c>
      <x:c r="C1374" s="9" t="str">
        <x:v>AR-RT-B-C-TECH-3-B2-BRK-G0</x:v>
      </x:c>
      <x:c r="D1374" s="9" t="str">
        <x:v>RT-B-C-TECH-3</x:v>
      </x:c>
      <x:c r="E1374" s="9" t="str">
        <x:v>RT-B-C</x:v>
      </x:c>
      <x:c r="F1374" s="9" t="str">
        <x:v>B2</x:v>
      </x:c>
      <x:c r="G1374" s="9" t="str">
        <x:v>BRK</x:v>
      </x:c>
      <x:c r="H1374" s="9" t="str">
        <x:v>OG12</x:v>
      </x:c>
      <x:c r="I1374" s="17" t="str">
        <x:v>Independent replay</x:v>
      </x:c>
      <x:c r="J1374" s="17" t="str">
        <x:v>a separated reader reconstructs the registered observables from sealed originals</x:v>
      </x:c>
      <x:c r="K1374" s="17" t="str">
        <x:v>Replay court</x:v>
      </x:c>
      <x:c r="L1374" s="9" t="n">
        <x:v>0</x:v>
      </x:c>
      <x:c r="M1374" s="9" t="n">
        <x:v>0</x:v>
      </x:c>
      <x:c r="N1374" s="9" t="str">
        <x:v>OPEN / UNACCEPTED</x:v>
      </x:c>
      <x:c r="O1374" s="9" t="n">
        <x:f>COUNTIFS($A$7:$A$1734,A1374)</x:f>
        <x:v>1</x:v>
      </x:c>
    </x:row>
    <x:row r="1375">
      <x:c r="A1375" s="9" t="str">
        <x:v>EV-AR-CT-C-B-TECH-1-B2-BRK-G0-OG01</x:v>
      </x:c>
      <x:c r="B1375" s="9" t="str">
        <x:v>EV-AR-CT-C-B-TECH-1-B2-BRK-G0</x:v>
      </x:c>
      <x:c r="C1375" s="9" t="str">
        <x:v>AR-CT-C-B-TECH-1-B2-BRK-G0</x:v>
      </x:c>
      <x:c r="D1375" s="9" t="str">
        <x:v>CT-C-B-TECH-1</x:v>
      </x:c>
      <x:c r="E1375" s="9" t="str">
        <x:v>CT-C-B</x:v>
      </x:c>
      <x:c r="F1375" s="9" t="str">
        <x:v>B2</x:v>
      </x:c>
      <x:c r="G1375" s="9" t="str">
        <x:v>BRK</x:v>
      </x:c>
      <x:c r="H1375" s="9" t="str">
        <x:v>OG01</x:v>
      </x:c>
      <x:c r="I1375" s="17" t="str">
        <x:v>Serial and event identity</x:v>
      </x:c>
      <x:c r="J1375" s="17" t="str">
        <x:v>record resolves to the issued serial, generation and physical start</x:v>
      </x:c>
      <x:c r="K1375" s="17" t="str">
        <x:v>Observation court</x:v>
      </x:c>
      <x:c r="L1375" s="9" t="n">
        <x:v>0</x:v>
      </x:c>
      <x:c r="M1375" s="9" t="n">
        <x:v>0</x:v>
      </x:c>
      <x:c r="N1375" s="9" t="str">
        <x:v>OPEN / UNACCEPTED</x:v>
      </x:c>
      <x:c r="O1375" s="9" t="n">
        <x:f>COUNTIFS($A$7:$A$1734,A1375)</x:f>
        <x:v>1</x:v>
      </x:c>
    </x:row>
    <x:row r="1376">
      <x:c r="A1376" s="9" t="str">
        <x:v>EV-AR-CT-C-B-TECH-1-B2-BRK-G0-OG02</x:v>
      </x:c>
      <x:c r="B1376" s="9" t="str">
        <x:v>EV-AR-CT-C-B-TECH-1-B2-BRK-G0</x:v>
      </x:c>
      <x:c r="C1376" s="9" t="str">
        <x:v>AR-CT-C-B-TECH-1-B2-BRK-G0</x:v>
      </x:c>
      <x:c r="D1376" s="9" t="str">
        <x:v>CT-C-B-TECH-1</x:v>
      </x:c>
      <x:c r="E1376" s="9" t="str">
        <x:v>CT-C-B</x:v>
      </x:c>
      <x:c r="F1376" s="9" t="str">
        <x:v>B2</x:v>
      </x:c>
      <x:c r="G1376" s="9" t="str">
        <x:v>BRK</x:v>
      </x:c>
      <x:c r="H1376" s="9" t="str">
        <x:v>OG02</x:v>
      </x:c>
      <x:c r="I1376" s="17" t="str">
        <x:v>Time ancestry</x:v>
      </x:c>
      <x:c r="J1376" s="17" t="str">
        <x:v>primary, witness and public event clocks retain declared offsets and drift</x:v>
      </x:c>
      <x:c r="K1376" s="17" t="str">
        <x:v>Time authority</x:v>
      </x:c>
      <x:c r="L1376" s="9" t="n">
        <x:v>0</x:v>
      </x:c>
      <x:c r="M1376" s="9" t="n">
        <x:v>0</x:v>
      </x:c>
      <x:c r="N1376" s="9" t="str">
        <x:v>OPEN / UNACCEPTED</x:v>
      </x:c>
      <x:c r="O1376" s="9" t="n">
        <x:f>COUNTIFS($A$7:$A$1734,A1376)</x:f>
        <x:v>1</x:v>
      </x:c>
    </x:row>
    <x:row r="1377">
      <x:c r="A1377" s="9" t="str">
        <x:v>EV-AR-CT-C-B-TECH-1-B2-BRK-G0-OG03</x:v>
      </x:c>
      <x:c r="B1377" s="9" t="str">
        <x:v>EV-AR-CT-C-B-TECH-1-B2-BRK-G0</x:v>
      </x:c>
      <x:c r="C1377" s="9" t="str">
        <x:v>AR-CT-C-B-TECH-1-B2-BRK-G0</x:v>
      </x:c>
      <x:c r="D1377" s="9" t="str">
        <x:v>CT-C-B-TECH-1</x:v>
      </x:c>
      <x:c r="E1377" s="9" t="str">
        <x:v>CT-C-B</x:v>
      </x:c>
      <x:c r="F1377" s="9" t="str">
        <x:v>B2</x:v>
      </x:c>
      <x:c r="G1377" s="9" t="str">
        <x:v>BRK</x:v>
      </x:c>
      <x:c r="H1377" s="9" t="str">
        <x:v>OG03</x:v>
      </x:c>
      <x:c r="I1377" s="17" t="str">
        <x:v>Calibration ancestry</x:v>
      </x:c>
      <x:c r="J1377" s="17" t="str">
        <x:v>all reference, range and uncertainty states cover the live interval</x:v>
      </x:c>
      <x:c r="K1377" s="17" t="str">
        <x:v>Metrology courts</x:v>
      </x:c>
      <x:c r="L1377" s="9" t="n">
        <x:v>0</x:v>
      </x:c>
      <x:c r="M1377" s="9" t="n">
        <x:v>0</x:v>
      </x:c>
      <x:c r="N1377" s="9" t="str">
        <x:v>OPEN / UNACCEPTED</x:v>
      </x:c>
      <x:c r="O1377" s="9" t="n">
        <x:f>COUNTIFS($A$7:$A$1734,A1377)</x:f>
        <x:v>1</x:v>
      </x:c>
    </x:row>
    <x:row r="1378">
      <x:c r="A1378" s="9" t="str">
        <x:v>EV-AR-CT-C-B-TECH-1-B2-BRK-G0-OG04</x:v>
      </x:c>
      <x:c r="B1378" s="9" t="str">
        <x:v>EV-AR-CT-C-B-TECH-1-B2-BRK-G0</x:v>
      </x:c>
      <x:c r="C1378" s="9" t="str">
        <x:v>AR-CT-C-B-TECH-1-B2-BRK-G0</x:v>
      </x:c>
      <x:c r="D1378" s="9" t="str">
        <x:v>CT-C-B-TECH-1</x:v>
      </x:c>
      <x:c r="E1378" s="9" t="str">
        <x:v>CT-C-B</x:v>
      </x:c>
      <x:c r="F1378" s="9" t="str">
        <x:v>B2</x:v>
      </x:c>
      <x:c r="G1378" s="9" t="str">
        <x:v>BRK</x:v>
      </x:c>
      <x:c r="H1378" s="9" t="str">
        <x:v>OG04</x:v>
      </x:c>
      <x:c r="I1378" s="17" t="str">
        <x:v>Raw completeness</x:v>
      </x:c>
      <x:c r="J1378" s="17" t="str">
        <x:v>missingness is enumerated without imputation or outcome-conditioned deletion</x:v>
      </x:c>
      <x:c r="K1378" s="17" t="str">
        <x:v>Observation court</x:v>
      </x:c>
      <x:c r="L1378" s="9" t="n">
        <x:v>0</x:v>
      </x:c>
      <x:c r="M1378" s="9" t="n">
        <x:v>0</x:v>
      </x:c>
      <x:c r="N1378" s="9" t="str">
        <x:v>OPEN / UNACCEPTED</x:v>
      </x:c>
      <x:c r="O1378" s="9" t="n">
        <x:f>COUNTIFS($A$7:$A$1734,A1378)</x:f>
        <x:v>1</x:v>
      </x:c>
    </x:row>
    <x:row r="1379">
      <x:c r="A1379" s="9" t="str">
        <x:v>EV-AR-CT-C-B-TECH-1-B2-BRK-G0-OG05</x:v>
      </x:c>
      <x:c r="B1379" s="9" t="str">
        <x:v>EV-AR-CT-C-B-TECH-1-B2-BRK-G0</x:v>
      </x:c>
      <x:c r="C1379" s="9" t="str">
        <x:v>AR-CT-C-B-TECH-1-B2-BRK-G0</x:v>
      </x:c>
      <x:c r="D1379" s="9" t="str">
        <x:v>CT-C-B-TECH-1</x:v>
      </x:c>
      <x:c r="E1379" s="9" t="str">
        <x:v>CT-C-B</x:v>
      </x:c>
      <x:c r="F1379" s="9" t="str">
        <x:v>B2</x:v>
      </x:c>
      <x:c r="G1379" s="9" t="str">
        <x:v>BRK</x:v>
      </x:c>
      <x:c r="H1379" s="9" t="str">
        <x:v>OG05</x:v>
      </x:c>
      <x:c r="I1379" s="17" t="str">
        <x:v>Primary provenance</x:v>
      </x:c>
      <x:c r="J1379" s="17" t="str">
        <x:v>primary originals, hashes, keys and access history reconcile</x:v>
      </x:c>
      <x:c r="K1379" s="17" t="str">
        <x:v>Primary custody</x:v>
      </x:c>
      <x:c r="L1379" s="9" t="n">
        <x:v>0</x:v>
      </x:c>
      <x:c r="M1379" s="9" t="n">
        <x:v>0</x:v>
      </x:c>
      <x:c r="N1379" s="9" t="str">
        <x:v>OPEN / UNACCEPTED</x:v>
      </x:c>
      <x:c r="O1379" s="9" t="n">
        <x:f>COUNTIFS($A$7:$A$1734,A1379)</x:f>
        <x:v>1</x:v>
      </x:c>
    </x:row>
    <x:row r="1380">
      <x:c r="A1380" s="9" t="str">
        <x:v>EV-AR-CT-C-B-TECH-1-B2-BRK-G0-OG06</x:v>
      </x:c>
      <x:c r="B1380" s="9" t="str">
        <x:v>EV-AR-CT-C-B-TECH-1-B2-BRK-G0</x:v>
      </x:c>
      <x:c r="C1380" s="9" t="str">
        <x:v>AR-CT-C-B-TECH-1-B2-BRK-G0</x:v>
      </x:c>
      <x:c r="D1380" s="9" t="str">
        <x:v>CT-C-B-TECH-1</x:v>
      </x:c>
      <x:c r="E1380" s="9" t="str">
        <x:v>CT-C-B</x:v>
      </x:c>
      <x:c r="F1380" s="9" t="str">
        <x:v>B2</x:v>
      </x:c>
      <x:c r="G1380" s="9" t="str">
        <x:v>BRK</x:v>
      </x:c>
      <x:c r="H1380" s="9" t="str">
        <x:v>OG06</x:v>
      </x:c>
      <x:c r="I1380" s="17" t="str">
        <x:v>Witness provenance</x:v>
      </x:c>
      <x:c r="J1380" s="17" t="str">
        <x:v>unlike witness originals, hashes, keys and access history reconcile</x:v>
      </x:c>
      <x:c r="K1380" s="17" t="str">
        <x:v>Witness custody</x:v>
      </x:c>
      <x:c r="L1380" s="9" t="n">
        <x:v>0</x:v>
      </x:c>
      <x:c r="M1380" s="9" t="n">
        <x:v>0</x:v>
      </x:c>
      <x:c r="N1380" s="9" t="str">
        <x:v>OPEN / UNACCEPTED</x:v>
      </x:c>
      <x:c r="O1380" s="9" t="n">
        <x:f>COUNTIFS($A$7:$A$1734,A1380)</x:f>
        <x:v>1</x:v>
      </x:c>
    </x:row>
    <x:row r="1381">
      <x:c r="A1381" s="9" t="str">
        <x:v>EV-AR-CT-C-B-TECH-1-B2-BRK-G0-OG07</x:v>
      </x:c>
      <x:c r="B1381" s="9" t="str">
        <x:v>EV-AR-CT-C-B-TECH-1-B2-BRK-G0</x:v>
      </x:c>
      <x:c r="C1381" s="9" t="str">
        <x:v>AR-CT-C-B-TECH-1-B2-BRK-G0</x:v>
      </x:c>
      <x:c r="D1381" s="9" t="str">
        <x:v>CT-C-B-TECH-1</x:v>
      </x:c>
      <x:c r="E1381" s="9" t="str">
        <x:v>CT-C-B</x:v>
      </x:c>
      <x:c r="F1381" s="9" t="str">
        <x:v>B2</x:v>
      </x:c>
      <x:c r="G1381" s="9" t="str">
        <x:v>BRK</x:v>
      </x:c>
      <x:c r="H1381" s="9" t="str">
        <x:v>OG07</x:v>
      </x:c>
      <x:c r="I1381" s="17" t="str">
        <x:v>Receiver denominator</x:v>
      </x:c>
      <x:c r="J1381" s="17" t="str">
        <x:v>population, quantity, duration and exclusions match the frozen receipt</x:v>
      </x:c>
      <x:c r="K1381" s="17" t="str">
        <x:v>Receiver court</x:v>
      </x:c>
      <x:c r="L1381" s="9" t="n">
        <x:v>0</x:v>
      </x:c>
      <x:c r="M1381" s="9" t="n">
        <x:v>0</x:v>
      </x:c>
      <x:c r="N1381" s="9" t="str">
        <x:v>OPEN / UNACCEPTED</x:v>
      </x:c>
      <x:c r="O1381" s="9" t="n">
        <x:f>COUNTIFS($A$7:$A$1734,A1381)</x:f>
        <x:v>1</x:v>
      </x:c>
    </x:row>
    <x:row r="1382">
      <x:c r="A1382" s="9" t="str">
        <x:v>EV-AR-CT-C-B-TECH-1-B2-BRK-G0-OG08</x:v>
      </x:c>
      <x:c r="B1382" s="9" t="str">
        <x:v>EV-AR-CT-C-B-TECH-1-B2-BRK-G0</x:v>
      </x:c>
      <x:c r="C1382" s="9" t="str">
        <x:v>AR-CT-C-B-TECH-1-B2-BRK-G0</x:v>
      </x:c>
      <x:c r="D1382" s="9" t="str">
        <x:v>CT-C-B-TECH-1</x:v>
      </x:c>
      <x:c r="E1382" s="9" t="str">
        <x:v>CT-C-B</x:v>
      </x:c>
      <x:c r="F1382" s="9" t="str">
        <x:v>B2</x:v>
      </x:c>
      <x:c r="G1382" s="9" t="str">
        <x:v>BRK</x:v>
      </x:c>
      <x:c r="H1382" s="9" t="str">
        <x:v>OG08</x:v>
      </x:c>
      <x:c r="I1382" s="17" t="str">
        <x:v>Environment and boundary</x:v>
      </x:c>
      <x:c r="J1382" s="17" t="str">
        <x:v>registered weather, water, ground, inlet and outlet states are retained</x:v>
      </x:c>
      <x:c r="K1382" s="17" t="str">
        <x:v>Boundary court</x:v>
      </x:c>
      <x:c r="L1382" s="9" t="n">
        <x:v>0</x:v>
      </x:c>
      <x:c r="M1382" s="9" t="n">
        <x:v>0</x:v>
      </x:c>
      <x:c r="N1382" s="9" t="str">
        <x:v>OPEN / UNACCEPTED</x:v>
      </x:c>
      <x:c r="O1382" s="9" t="n">
        <x:f>COUNTIFS($A$7:$A$1734,A1382)</x:f>
        <x:v>1</x:v>
      </x:c>
    </x:row>
    <x:row r="1383">
      <x:c r="A1383" s="9" t="str">
        <x:v>EV-AR-CT-C-B-TECH-1-B2-BRK-G0-OG09</x:v>
      </x:c>
      <x:c r="B1383" s="9" t="str">
        <x:v>EV-AR-CT-C-B-TECH-1-B2-BRK-G0</x:v>
      </x:c>
      <x:c r="C1383" s="9" t="str">
        <x:v>AR-CT-C-B-TECH-1-B2-BRK-G0</x:v>
      </x:c>
      <x:c r="D1383" s="9" t="str">
        <x:v>CT-C-B-TECH-1</x:v>
      </x:c>
      <x:c r="E1383" s="9" t="str">
        <x:v>CT-C-B</x:v>
      </x:c>
      <x:c r="F1383" s="9" t="str">
        <x:v>B2</x:v>
      </x:c>
      <x:c r="G1383" s="9" t="str">
        <x:v>BRK</x:v>
      </x:c>
      <x:c r="H1383" s="9" t="str">
        <x:v>OG09</x:v>
      </x:c>
      <x:c r="I1383" s="17" t="str">
        <x:v>Intervention account</x:v>
      </x:c>
      <x:c r="J1383" s="17" t="str">
        <x:v>all stop, rescue, operator and public-protection actions remain timestamped</x:v>
      </x:c>
      <x:c r="K1383" s="17" t="str">
        <x:v>Safety record court</x:v>
      </x:c>
      <x:c r="L1383" s="9" t="n">
        <x:v>0</x:v>
      </x:c>
      <x:c r="M1383" s="9" t="n">
        <x:v>0</x:v>
      </x:c>
      <x:c r="N1383" s="9" t="str">
        <x:v>OPEN / UNACCEPTED</x:v>
      </x:c>
      <x:c r="O1383" s="9" t="n">
        <x:f>COUNTIFS($A$7:$A$1734,A1383)</x:f>
        <x:v>1</x:v>
      </x:c>
    </x:row>
    <x:row r="1384">
      <x:c r="A1384" s="9" t="str">
        <x:v>EV-AR-CT-C-B-TECH-1-B2-BRK-G0-OG10</x:v>
      </x:c>
      <x:c r="B1384" s="9" t="str">
        <x:v>EV-AR-CT-C-B-TECH-1-B2-BRK-G0</x:v>
      </x:c>
      <x:c r="C1384" s="9" t="str">
        <x:v>AR-CT-C-B-TECH-1-B2-BRK-G0</x:v>
      </x:c>
      <x:c r="D1384" s="9" t="str">
        <x:v>CT-C-B-TECH-1</x:v>
      </x:c>
      <x:c r="E1384" s="9" t="str">
        <x:v>CT-C-B</x:v>
      </x:c>
      <x:c r="F1384" s="9" t="str">
        <x:v>B2</x:v>
      </x:c>
      <x:c r="G1384" s="9" t="str">
        <x:v>BRK</x:v>
      </x:c>
      <x:c r="H1384" s="9" t="str">
        <x:v>OG10</x:v>
      </x:c>
      <x:c r="I1384" s="17" t="str">
        <x:v>Uncertainty statement</x:v>
      </x:c>
      <x:c r="J1384" s="17" t="str">
        <x:v>range, censoring, resolution and correlation are declared before judgment</x:v>
      </x:c>
      <x:c r="K1384" s="17" t="str">
        <x:v>Uncertainty authority</x:v>
      </x:c>
      <x:c r="L1384" s="9" t="n">
        <x:v>0</x:v>
      </x:c>
      <x:c r="M1384" s="9" t="n">
        <x:v>0</x:v>
      </x:c>
      <x:c r="N1384" s="9" t="str">
        <x:v>OPEN / UNACCEPTED</x:v>
      </x:c>
      <x:c r="O1384" s="9" t="n">
        <x:f>COUNTIFS($A$7:$A$1734,A1384)</x:f>
        <x:v>1</x:v>
      </x:c>
    </x:row>
    <x:row r="1385">
      <x:c r="A1385" s="9" t="str">
        <x:v>EV-AR-CT-C-B-TECH-1-B2-BRK-G0-OG11</x:v>
      </x:c>
      <x:c r="B1385" s="9" t="str">
        <x:v>EV-AR-CT-C-B-TECH-1-B2-BRK-G0</x:v>
      </x:c>
      <x:c r="C1385" s="9" t="str">
        <x:v>AR-CT-C-B-TECH-1-B2-BRK-G0</x:v>
      </x:c>
      <x:c r="D1385" s="9" t="str">
        <x:v>CT-C-B-TECH-1</x:v>
      </x:c>
      <x:c r="E1385" s="9" t="str">
        <x:v>CT-C-B</x:v>
      </x:c>
      <x:c r="F1385" s="9" t="str">
        <x:v>B2</x:v>
      </x:c>
      <x:c r="G1385" s="9" t="str">
        <x:v>BRK</x:v>
      </x:c>
      <x:c r="H1385" s="9" t="str">
        <x:v>OG11</x:v>
      </x:c>
      <x:c r="I1385" s="17" t="str">
        <x:v>Contradiction preservation</x:v>
      </x:c>
      <x:c r="J1385" s="17" t="str">
        <x:v>primary-witness disagreement remains explicit and is never averaged away</x:v>
      </x:c>
      <x:c r="K1385" s="17" t="str">
        <x:v>Dissent registrar</x:v>
      </x:c>
      <x:c r="L1385" s="9" t="n">
        <x:v>0</x:v>
      </x:c>
      <x:c r="M1385" s="9" t="n">
        <x:v>0</x:v>
      </x:c>
      <x:c r="N1385" s="9" t="str">
        <x:v>OPEN / UNACCEPTED</x:v>
      </x:c>
      <x:c r="O1385" s="9" t="n">
        <x:f>COUNTIFS($A$7:$A$1734,A1385)</x:f>
        <x:v>1</x:v>
      </x:c>
    </x:row>
    <x:row r="1386">
      <x:c r="A1386" s="9" t="str">
        <x:v>EV-AR-CT-C-B-TECH-1-B2-BRK-G0-OG12</x:v>
      </x:c>
      <x:c r="B1386" s="9" t="str">
        <x:v>EV-AR-CT-C-B-TECH-1-B2-BRK-G0</x:v>
      </x:c>
      <x:c r="C1386" s="9" t="str">
        <x:v>AR-CT-C-B-TECH-1-B2-BRK-G0</x:v>
      </x:c>
      <x:c r="D1386" s="9" t="str">
        <x:v>CT-C-B-TECH-1</x:v>
      </x:c>
      <x:c r="E1386" s="9" t="str">
        <x:v>CT-C-B</x:v>
      </x:c>
      <x:c r="F1386" s="9" t="str">
        <x:v>B2</x:v>
      </x:c>
      <x:c r="G1386" s="9" t="str">
        <x:v>BRK</x:v>
      </x:c>
      <x:c r="H1386" s="9" t="str">
        <x:v>OG12</x:v>
      </x:c>
      <x:c r="I1386" s="17" t="str">
        <x:v>Independent replay</x:v>
      </x:c>
      <x:c r="J1386" s="17" t="str">
        <x:v>a separated reader reconstructs the registered observables from sealed originals</x:v>
      </x:c>
      <x:c r="K1386" s="17" t="str">
        <x:v>Replay court</x:v>
      </x:c>
      <x:c r="L1386" s="9" t="n">
        <x:v>0</x:v>
      </x:c>
      <x:c r="M1386" s="9" t="n">
        <x:v>0</x:v>
      </x:c>
      <x:c r="N1386" s="9" t="str">
        <x:v>OPEN / UNACCEPTED</x:v>
      </x:c>
      <x:c r="O1386" s="9" t="n">
        <x:f>COUNTIFS($A$7:$A$1734,A1386)</x:f>
        <x:v>1</x:v>
      </x:c>
    </x:row>
    <x:row r="1387">
      <x:c r="A1387" s="9" t="str">
        <x:v>EV-AR-ET-A-A-TECH-2-B2-BRK-G0-OG01</x:v>
      </x:c>
      <x:c r="B1387" s="9" t="str">
        <x:v>EV-AR-ET-A-A-TECH-2-B2-BRK-G0</x:v>
      </x:c>
      <x:c r="C1387" s="9" t="str">
        <x:v>AR-ET-A-A-TECH-2-B2-BRK-G0</x:v>
      </x:c>
      <x:c r="D1387" s="9" t="str">
        <x:v>ET-A-A-TECH-2</x:v>
      </x:c>
      <x:c r="E1387" s="9" t="str">
        <x:v>ET-A-A</x:v>
      </x:c>
      <x:c r="F1387" s="9" t="str">
        <x:v>B2</x:v>
      </x:c>
      <x:c r="G1387" s="9" t="str">
        <x:v>BRK</x:v>
      </x:c>
      <x:c r="H1387" s="9" t="str">
        <x:v>OG01</x:v>
      </x:c>
      <x:c r="I1387" s="17" t="str">
        <x:v>Serial and event identity</x:v>
      </x:c>
      <x:c r="J1387" s="17" t="str">
        <x:v>record resolves to the issued serial, generation and physical start</x:v>
      </x:c>
      <x:c r="K1387" s="17" t="str">
        <x:v>Observation court</x:v>
      </x:c>
      <x:c r="L1387" s="9" t="n">
        <x:v>0</x:v>
      </x:c>
      <x:c r="M1387" s="9" t="n">
        <x:v>0</x:v>
      </x:c>
      <x:c r="N1387" s="9" t="str">
        <x:v>OPEN / UNACCEPTED</x:v>
      </x:c>
      <x:c r="O1387" s="9" t="n">
        <x:f>COUNTIFS($A$7:$A$1734,A1387)</x:f>
        <x:v>1</x:v>
      </x:c>
    </x:row>
    <x:row r="1388">
      <x:c r="A1388" s="9" t="str">
        <x:v>EV-AR-ET-A-A-TECH-2-B2-BRK-G0-OG02</x:v>
      </x:c>
      <x:c r="B1388" s="9" t="str">
        <x:v>EV-AR-ET-A-A-TECH-2-B2-BRK-G0</x:v>
      </x:c>
      <x:c r="C1388" s="9" t="str">
        <x:v>AR-ET-A-A-TECH-2-B2-BRK-G0</x:v>
      </x:c>
      <x:c r="D1388" s="9" t="str">
        <x:v>ET-A-A-TECH-2</x:v>
      </x:c>
      <x:c r="E1388" s="9" t="str">
        <x:v>ET-A-A</x:v>
      </x:c>
      <x:c r="F1388" s="9" t="str">
        <x:v>B2</x:v>
      </x:c>
      <x:c r="G1388" s="9" t="str">
        <x:v>BRK</x:v>
      </x:c>
      <x:c r="H1388" s="9" t="str">
        <x:v>OG02</x:v>
      </x:c>
      <x:c r="I1388" s="17" t="str">
        <x:v>Time ancestry</x:v>
      </x:c>
      <x:c r="J1388" s="17" t="str">
        <x:v>primary, witness and public event clocks retain declared offsets and drift</x:v>
      </x:c>
      <x:c r="K1388" s="17" t="str">
        <x:v>Time authority</x:v>
      </x:c>
      <x:c r="L1388" s="9" t="n">
        <x:v>0</x:v>
      </x:c>
      <x:c r="M1388" s="9" t="n">
        <x:v>0</x:v>
      </x:c>
      <x:c r="N1388" s="9" t="str">
        <x:v>OPEN / UNACCEPTED</x:v>
      </x:c>
      <x:c r="O1388" s="9" t="n">
        <x:f>COUNTIFS($A$7:$A$1734,A1388)</x:f>
        <x:v>1</x:v>
      </x:c>
    </x:row>
    <x:row r="1389">
      <x:c r="A1389" s="9" t="str">
        <x:v>EV-AR-ET-A-A-TECH-2-B2-BRK-G0-OG03</x:v>
      </x:c>
      <x:c r="B1389" s="9" t="str">
        <x:v>EV-AR-ET-A-A-TECH-2-B2-BRK-G0</x:v>
      </x:c>
      <x:c r="C1389" s="9" t="str">
        <x:v>AR-ET-A-A-TECH-2-B2-BRK-G0</x:v>
      </x:c>
      <x:c r="D1389" s="9" t="str">
        <x:v>ET-A-A-TECH-2</x:v>
      </x:c>
      <x:c r="E1389" s="9" t="str">
        <x:v>ET-A-A</x:v>
      </x:c>
      <x:c r="F1389" s="9" t="str">
        <x:v>B2</x:v>
      </x:c>
      <x:c r="G1389" s="9" t="str">
        <x:v>BRK</x:v>
      </x:c>
      <x:c r="H1389" s="9" t="str">
        <x:v>OG03</x:v>
      </x:c>
      <x:c r="I1389" s="17" t="str">
        <x:v>Calibration ancestry</x:v>
      </x:c>
      <x:c r="J1389" s="17" t="str">
        <x:v>all reference, range and uncertainty states cover the live interval</x:v>
      </x:c>
      <x:c r="K1389" s="17" t="str">
        <x:v>Metrology courts</x:v>
      </x:c>
      <x:c r="L1389" s="9" t="n">
        <x:v>0</x:v>
      </x:c>
      <x:c r="M1389" s="9" t="n">
        <x:v>0</x:v>
      </x:c>
      <x:c r="N1389" s="9" t="str">
        <x:v>OPEN / UNACCEPTED</x:v>
      </x:c>
      <x:c r="O1389" s="9" t="n">
        <x:f>COUNTIFS($A$7:$A$1734,A1389)</x:f>
        <x:v>1</x:v>
      </x:c>
    </x:row>
    <x:row r="1390">
      <x:c r="A1390" s="9" t="str">
        <x:v>EV-AR-ET-A-A-TECH-2-B2-BRK-G0-OG04</x:v>
      </x:c>
      <x:c r="B1390" s="9" t="str">
        <x:v>EV-AR-ET-A-A-TECH-2-B2-BRK-G0</x:v>
      </x:c>
      <x:c r="C1390" s="9" t="str">
        <x:v>AR-ET-A-A-TECH-2-B2-BRK-G0</x:v>
      </x:c>
      <x:c r="D1390" s="9" t="str">
        <x:v>ET-A-A-TECH-2</x:v>
      </x:c>
      <x:c r="E1390" s="9" t="str">
        <x:v>ET-A-A</x:v>
      </x:c>
      <x:c r="F1390" s="9" t="str">
        <x:v>B2</x:v>
      </x:c>
      <x:c r="G1390" s="9" t="str">
        <x:v>BRK</x:v>
      </x:c>
      <x:c r="H1390" s="9" t="str">
        <x:v>OG04</x:v>
      </x:c>
      <x:c r="I1390" s="17" t="str">
        <x:v>Raw completeness</x:v>
      </x:c>
      <x:c r="J1390" s="17" t="str">
        <x:v>missingness is enumerated without imputation or outcome-conditioned deletion</x:v>
      </x:c>
      <x:c r="K1390" s="17" t="str">
        <x:v>Observation court</x:v>
      </x:c>
      <x:c r="L1390" s="9" t="n">
        <x:v>0</x:v>
      </x:c>
      <x:c r="M1390" s="9" t="n">
        <x:v>0</x:v>
      </x:c>
      <x:c r="N1390" s="9" t="str">
        <x:v>OPEN / UNACCEPTED</x:v>
      </x:c>
      <x:c r="O1390" s="9" t="n">
        <x:f>COUNTIFS($A$7:$A$1734,A1390)</x:f>
        <x:v>1</x:v>
      </x:c>
    </x:row>
    <x:row r="1391">
      <x:c r="A1391" s="9" t="str">
        <x:v>EV-AR-ET-A-A-TECH-2-B2-BRK-G0-OG05</x:v>
      </x:c>
      <x:c r="B1391" s="9" t="str">
        <x:v>EV-AR-ET-A-A-TECH-2-B2-BRK-G0</x:v>
      </x:c>
      <x:c r="C1391" s="9" t="str">
        <x:v>AR-ET-A-A-TECH-2-B2-BRK-G0</x:v>
      </x:c>
      <x:c r="D1391" s="9" t="str">
        <x:v>ET-A-A-TECH-2</x:v>
      </x:c>
      <x:c r="E1391" s="9" t="str">
        <x:v>ET-A-A</x:v>
      </x:c>
      <x:c r="F1391" s="9" t="str">
        <x:v>B2</x:v>
      </x:c>
      <x:c r="G1391" s="9" t="str">
        <x:v>BRK</x:v>
      </x:c>
      <x:c r="H1391" s="9" t="str">
        <x:v>OG05</x:v>
      </x:c>
      <x:c r="I1391" s="17" t="str">
        <x:v>Primary provenance</x:v>
      </x:c>
      <x:c r="J1391" s="17" t="str">
        <x:v>primary originals, hashes, keys and access history reconcile</x:v>
      </x:c>
      <x:c r="K1391" s="17" t="str">
        <x:v>Primary custody</x:v>
      </x:c>
      <x:c r="L1391" s="9" t="n">
        <x:v>0</x:v>
      </x:c>
      <x:c r="M1391" s="9" t="n">
        <x:v>0</x:v>
      </x:c>
      <x:c r="N1391" s="9" t="str">
        <x:v>OPEN / UNACCEPTED</x:v>
      </x:c>
      <x:c r="O1391" s="9" t="n">
        <x:f>COUNTIFS($A$7:$A$1734,A1391)</x:f>
        <x:v>1</x:v>
      </x:c>
    </x:row>
    <x:row r="1392">
      <x:c r="A1392" s="9" t="str">
        <x:v>EV-AR-ET-A-A-TECH-2-B2-BRK-G0-OG06</x:v>
      </x:c>
      <x:c r="B1392" s="9" t="str">
        <x:v>EV-AR-ET-A-A-TECH-2-B2-BRK-G0</x:v>
      </x:c>
      <x:c r="C1392" s="9" t="str">
        <x:v>AR-ET-A-A-TECH-2-B2-BRK-G0</x:v>
      </x:c>
      <x:c r="D1392" s="9" t="str">
        <x:v>ET-A-A-TECH-2</x:v>
      </x:c>
      <x:c r="E1392" s="9" t="str">
        <x:v>ET-A-A</x:v>
      </x:c>
      <x:c r="F1392" s="9" t="str">
        <x:v>B2</x:v>
      </x:c>
      <x:c r="G1392" s="9" t="str">
        <x:v>BRK</x:v>
      </x:c>
      <x:c r="H1392" s="9" t="str">
        <x:v>OG06</x:v>
      </x:c>
      <x:c r="I1392" s="17" t="str">
        <x:v>Witness provenance</x:v>
      </x:c>
      <x:c r="J1392" s="17" t="str">
        <x:v>unlike witness originals, hashes, keys and access history reconcile</x:v>
      </x:c>
      <x:c r="K1392" s="17" t="str">
        <x:v>Witness custody</x:v>
      </x:c>
      <x:c r="L1392" s="9" t="n">
        <x:v>0</x:v>
      </x:c>
      <x:c r="M1392" s="9" t="n">
        <x:v>0</x:v>
      </x:c>
      <x:c r="N1392" s="9" t="str">
        <x:v>OPEN / UNACCEPTED</x:v>
      </x:c>
      <x:c r="O1392" s="9" t="n">
        <x:f>COUNTIFS($A$7:$A$1734,A1392)</x:f>
        <x:v>1</x:v>
      </x:c>
    </x:row>
    <x:row r="1393">
      <x:c r="A1393" s="9" t="str">
        <x:v>EV-AR-ET-A-A-TECH-2-B2-BRK-G0-OG07</x:v>
      </x:c>
      <x:c r="B1393" s="9" t="str">
        <x:v>EV-AR-ET-A-A-TECH-2-B2-BRK-G0</x:v>
      </x:c>
      <x:c r="C1393" s="9" t="str">
        <x:v>AR-ET-A-A-TECH-2-B2-BRK-G0</x:v>
      </x:c>
      <x:c r="D1393" s="9" t="str">
        <x:v>ET-A-A-TECH-2</x:v>
      </x:c>
      <x:c r="E1393" s="9" t="str">
        <x:v>ET-A-A</x:v>
      </x:c>
      <x:c r="F1393" s="9" t="str">
        <x:v>B2</x:v>
      </x:c>
      <x:c r="G1393" s="9" t="str">
        <x:v>BRK</x:v>
      </x:c>
      <x:c r="H1393" s="9" t="str">
        <x:v>OG07</x:v>
      </x:c>
      <x:c r="I1393" s="17" t="str">
        <x:v>Receiver denominator</x:v>
      </x:c>
      <x:c r="J1393" s="17" t="str">
        <x:v>population, quantity, duration and exclusions match the frozen receipt</x:v>
      </x:c>
      <x:c r="K1393" s="17" t="str">
        <x:v>Receiver court</x:v>
      </x:c>
      <x:c r="L1393" s="9" t="n">
        <x:v>0</x:v>
      </x:c>
      <x:c r="M1393" s="9" t="n">
        <x:v>0</x:v>
      </x:c>
      <x:c r="N1393" s="9" t="str">
        <x:v>OPEN / UNACCEPTED</x:v>
      </x:c>
      <x:c r="O1393" s="9" t="n">
        <x:f>COUNTIFS($A$7:$A$1734,A1393)</x:f>
        <x:v>1</x:v>
      </x:c>
    </x:row>
    <x:row r="1394">
      <x:c r="A1394" s="9" t="str">
        <x:v>EV-AR-ET-A-A-TECH-2-B2-BRK-G0-OG08</x:v>
      </x:c>
      <x:c r="B1394" s="9" t="str">
        <x:v>EV-AR-ET-A-A-TECH-2-B2-BRK-G0</x:v>
      </x:c>
      <x:c r="C1394" s="9" t="str">
        <x:v>AR-ET-A-A-TECH-2-B2-BRK-G0</x:v>
      </x:c>
      <x:c r="D1394" s="9" t="str">
        <x:v>ET-A-A-TECH-2</x:v>
      </x:c>
      <x:c r="E1394" s="9" t="str">
        <x:v>ET-A-A</x:v>
      </x:c>
      <x:c r="F1394" s="9" t="str">
        <x:v>B2</x:v>
      </x:c>
      <x:c r="G1394" s="9" t="str">
        <x:v>BRK</x:v>
      </x:c>
      <x:c r="H1394" s="9" t="str">
        <x:v>OG08</x:v>
      </x:c>
      <x:c r="I1394" s="17" t="str">
        <x:v>Environment and boundary</x:v>
      </x:c>
      <x:c r="J1394" s="17" t="str">
        <x:v>registered weather, water, ground, inlet and outlet states are retained</x:v>
      </x:c>
      <x:c r="K1394" s="17" t="str">
        <x:v>Boundary court</x:v>
      </x:c>
      <x:c r="L1394" s="9" t="n">
        <x:v>0</x:v>
      </x:c>
      <x:c r="M1394" s="9" t="n">
        <x:v>0</x:v>
      </x:c>
      <x:c r="N1394" s="9" t="str">
        <x:v>OPEN / UNACCEPTED</x:v>
      </x:c>
      <x:c r="O1394" s="9" t="n">
        <x:f>COUNTIFS($A$7:$A$1734,A1394)</x:f>
        <x:v>1</x:v>
      </x:c>
    </x:row>
    <x:row r="1395">
      <x:c r="A1395" s="9" t="str">
        <x:v>EV-AR-ET-A-A-TECH-2-B2-BRK-G0-OG09</x:v>
      </x:c>
      <x:c r="B1395" s="9" t="str">
        <x:v>EV-AR-ET-A-A-TECH-2-B2-BRK-G0</x:v>
      </x:c>
      <x:c r="C1395" s="9" t="str">
        <x:v>AR-ET-A-A-TECH-2-B2-BRK-G0</x:v>
      </x:c>
      <x:c r="D1395" s="9" t="str">
        <x:v>ET-A-A-TECH-2</x:v>
      </x:c>
      <x:c r="E1395" s="9" t="str">
        <x:v>ET-A-A</x:v>
      </x:c>
      <x:c r="F1395" s="9" t="str">
        <x:v>B2</x:v>
      </x:c>
      <x:c r="G1395" s="9" t="str">
        <x:v>BRK</x:v>
      </x:c>
      <x:c r="H1395" s="9" t="str">
        <x:v>OG09</x:v>
      </x:c>
      <x:c r="I1395" s="17" t="str">
        <x:v>Intervention account</x:v>
      </x:c>
      <x:c r="J1395" s="17" t="str">
        <x:v>all stop, rescue, operator and public-protection actions remain timestamped</x:v>
      </x:c>
      <x:c r="K1395" s="17" t="str">
        <x:v>Safety record court</x:v>
      </x:c>
      <x:c r="L1395" s="9" t="n">
        <x:v>0</x:v>
      </x:c>
      <x:c r="M1395" s="9" t="n">
        <x:v>0</x:v>
      </x:c>
      <x:c r="N1395" s="9" t="str">
        <x:v>OPEN / UNACCEPTED</x:v>
      </x:c>
      <x:c r="O1395" s="9" t="n">
        <x:f>COUNTIFS($A$7:$A$1734,A1395)</x:f>
        <x:v>1</x:v>
      </x:c>
    </x:row>
    <x:row r="1396">
      <x:c r="A1396" s="9" t="str">
        <x:v>EV-AR-ET-A-A-TECH-2-B2-BRK-G0-OG10</x:v>
      </x:c>
      <x:c r="B1396" s="9" t="str">
        <x:v>EV-AR-ET-A-A-TECH-2-B2-BRK-G0</x:v>
      </x:c>
      <x:c r="C1396" s="9" t="str">
        <x:v>AR-ET-A-A-TECH-2-B2-BRK-G0</x:v>
      </x:c>
      <x:c r="D1396" s="9" t="str">
        <x:v>ET-A-A-TECH-2</x:v>
      </x:c>
      <x:c r="E1396" s="9" t="str">
        <x:v>ET-A-A</x:v>
      </x:c>
      <x:c r="F1396" s="9" t="str">
        <x:v>B2</x:v>
      </x:c>
      <x:c r="G1396" s="9" t="str">
        <x:v>BRK</x:v>
      </x:c>
      <x:c r="H1396" s="9" t="str">
        <x:v>OG10</x:v>
      </x:c>
      <x:c r="I1396" s="17" t="str">
        <x:v>Uncertainty statement</x:v>
      </x:c>
      <x:c r="J1396" s="17" t="str">
        <x:v>range, censoring, resolution and correlation are declared before judgment</x:v>
      </x:c>
      <x:c r="K1396" s="17" t="str">
        <x:v>Uncertainty authority</x:v>
      </x:c>
      <x:c r="L1396" s="9" t="n">
        <x:v>0</x:v>
      </x:c>
      <x:c r="M1396" s="9" t="n">
        <x:v>0</x:v>
      </x:c>
      <x:c r="N1396" s="9" t="str">
        <x:v>OPEN / UNACCEPTED</x:v>
      </x:c>
      <x:c r="O1396" s="9" t="n">
        <x:f>COUNTIFS($A$7:$A$1734,A1396)</x:f>
        <x:v>1</x:v>
      </x:c>
    </x:row>
    <x:row r="1397">
      <x:c r="A1397" s="9" t="str">
        <x:v>EV-AR-ET-A-A-TECH-2-B2-BRK-G0-OG11</x:v>
      </x:c>
      <x:c r="B1397" s="9" t="str">
        <x:v>EV-AR-ET-A-A-TECH-2-B2-BRK-G0</x:v>
      </x:c>
      <x:c r="C1397" s="9" t="str">
        <x:v>AR-ET-A-A-TECH-2-B2-BRK-G0</x:v>
      </x:c>
      <x:c r="D1397" s="9" t="str">
        <x:v>ET-A-A-TECH-2</x:v>
      </x:c>
      <x:c r="E1397" s="9" t="str">
        <x:v>ET-A-A</x:v>
      </x:c>
      <x:c r="F1397" s="9" t="str">
        <x:v>B2</x:v>
      </x:c>
      <x:c r="G1397" s="9" t="str">
        <x:v>BRK</x:v>
      </x:c>
      <x:c r="H1397" s="9" t="str">
        <x:v>OG11</x:v>
      </x:c>
      <x:c r="I1397" s="17" t="str">
        <x:v>Contradiction preservation</x:v>
      </x:c>
      <x:c r="J1397" s="17" t="str">
        <x:v>primary-witness disagreement remains explicit and is never averaged away</x:v>
      </x:c>
      <x:c r="K1397" s="17" t="str">
        <x:v>Dissent registrar</x:v>
      </x:c>
      <x:c r="L1397" s="9" t="n">
        <x:v>0</x:v>
      </x:c>
      <x:c r="M1397" s="9" t="n">
        <x:v>0</x:v>
      </x:c>
      <x:c r="N1397" s="9" t="str">
        <x:v>OPEN / UNACCEPTED</x:v>
      </x:c>
      <x:c r="O1397" s="9" t="n">
        <x:f>COUNTIFS($A$7:$A$1734,A1397)</x:f>
        <x:v>1</x:v>
      </x:c>
    </x:row>
    <x:row r="1398">
      <x:c r="A1398" s="9" t="str">
        <x:v>EV-AR-ET-A-A-TECH-2-B2-BRK-G0-OG12</x:v>
      </x:c>
      <x:c r="B1398" s="9" t="str">
        <x:v>EV-AR-ET-A-A-TECH-2-B2-BRK-G0</x:v>
      </x:c>
      <x:c r="C1398" s="9" t="str">
        <x:v>AR-ET-A-A-TECH-2-B2-BRK-G0</x:v>
      </x:c>
      <x:c r="D1398" s="9" t="str">
        <x:v>ET-A-A-TECH-2</x:v>
      </x:c>
      <x:c r="E1398" s="9" t="str">
        <x:v>ET-A-A</x:v>
      </x:c>
      <x:c r="F1398" s="9" t="str">
        <x:v>B2</x:v>
      </x:c>
      <x:c r="G1398" s="9" t="str">
        <x:v>BRK</x:v>
      </x:c>
      <x:c r="H1398" s="9" t="str">
        <x:v>OG12</x:v>
      </x:c>
      <x:c r="I1398" s="17" t="str">
        <x:v>Independent replay</x:v>
      </x:c>
      <x:c r="J1398" s="17" t="str">
        <x:v>a separated reader reconstructs the registered observables from sealed originals</x:v>
      </x:c>
      <x:c r="K1398" s="17" t="str">
        <x:v>Replay court</x:v>
      </x:c>
      <x:c r="L1398" s="9" t="n">
        <x:v>0</x:v>
      </x:c>
      <x:c r="M1398" s="9" t="n">
        <x:v>0</x:v>
      </x:c>
      <x:c r="N1398" s="9" t="str">
        <x:v>OPEN / UNACCEPTED</x:v>
      </x:c>
      <x:c r="O1398" s="9" t="n">
        <x:f>COUNTIFS($A$7:$A$1734,A1398)</x:f>
        <x:v>1</x:v>
      </x:c>
    </x:row>
    <x:row r="1399">
      <x:c r="A1399" s="9" t="str">
        <x:v>EV-AR-HC-A-C-TECH-1-B1-BRK-G0-OG01</x:v>
      </x:c>
      <x:c r="B1399" s="9" t="str">
        <x:v>EV-AR-HC-A-C-TECH-1-B1-BRK-G0</x:v>
      </x:c>
      <x:c r="C1399" s="9" t="str">
        <x:v>AR-HC-A-C-TECH-1-B1-BRK-G0</x:v>
      </x:c>
      <x:c r="D1399" s="9" t="str">
        <x:v>HC-A-C-TECH-1</x:v>
      </x:c>
      <x:c r="E1399" s="9" t="str">
        <x:v>HC-A-C</x:v>
      </x:c>
      <x:c r="F1399" s="9" t="str">
        <x:v>B1</x:v>
      </x:c>
      <x:c r="G1399" s="9" t="str">
        <x:v>BRK</x:v>
      </x:c>
      <x:c r="H1399" s="9" t="str">
        <x:v>OG01</x:v>
      </x:c>
      <x:c r="I1399" s="17" t="str">
        <x:v>Serial and event identity</x:v>
      </x:c>
      <x:c r="J1399" s="17" t="str">
        <x:v>record resolves to the issued serial, generation and physical start</x:v>
      </x:c>
      <x:c r="K1399" s="17" t="str">
        <x:v>Observation court</x:v>
      </x:c>
      <x:c r="L1399" s="9" t="n">
        <x:v>0</x:v>
      </x:c>
      <x:c r="M1399" s="9" t="n">
        <x:v>0</x:v>
      </x:c>
      <x:c r="N1399" s="9" t="str">
        <x:v>OPEN / UNACCEPTED</x:v>
      </x:c>
      <x:c r="O1399" s="9" t="n">
        <x:f>COUNTIFS($A$7:$A$1734,A1399)</x:f>
        <x:v>1</x:v>
      </x:c>
    </x:row>
    <x:row r="1400">
      <x:c r="A1400" s="9" t="str">
        <x:v>EV-AR-HC-A-C-TECH-1-B1-BRK-G0-OG02</x:v>
      </x:c>
      <x:c r="B1400" s="9" t="str">
        <x:v>EV-AR-HC-A-C-TECH-1-B1-BRK-G0</x:v>
      </x:c>
      <x:c r="C1400" s="9" t="str">
        <x:v>AR-HC-A-C-TECH-1-B1-BRK-G0</x:v>
      </x:c>
      <x:c r="D1400" s="9" t="str">
        <x:v>HC-A-C-TECH-1</x:v>
      </x:c>
      <x:c r="E1400" s="9" t="str">
        <x:v>HC-A-C</x:v>
      </x:c>
      <x:c r="F1400" s="9" t="str">
        <x:v>B1</x:v>
      </x:c>
      <x:c r="G1400" s="9" t="str">
        <x:v>BRK</x:v>
      </x:c>
      <x:c r="H1400" s="9" t="str">
        <x:v>OG02</x:v>
      </x:c>
      <x:c r="I1400" s="17" t="str">
        <x:v>Time ancestry</x:v>
      </x:c>
      <x:c r="J1400" s="17" t="str">
        <x:v>primary, witness and public event clocks retain declared offsets and drift</x:v>
      </x:c>
      <x:c r="K1400" s="17" t="str">
        <x:v>Time authority</x:v>
      </x:c>
      <x:c r="L1400" s="9" t="n">
        <x:v>0</x:v>
      </x:c>
      <x:c r="M1400" s="9" t="n">
        <x:v>0</x:v>
      </x:c>
      <x:c r="N1400" s="9" t="str">
        <x:v>OPEN / UNACCEPTED</x:v>
      </x:c>
      <x:c r="O1400" s="9" t="n">
        <x:f>COUNTIFS($A$7:$A$1734,A1400)</x:f>
        <x:v>1</x:v>
      </x:c>
    </x:row>
    <x:row r="1401">
      <x:c r="A1401" s="9" t="str">
        <x:v>EV-AR-HC-A-C-TECH-1-B1-BRK-G0-OG03</x:v>
      </x:c>
      <x:c r="B1401" s="9" t="str">
        <x:v>EV-AR-HC-A-C-TECH-1-B1-BRK-G0</x:v>
      </x:c>
      <x:c r="C1401" s="9" t="str">
        <x:v>AR-HC-A-C-TECH-1-B1-BRK-G0</x:v>
      </x:c>
      <x:c r="D1401" s="9" t="str">
        <x:v>HC-A-C-TECH-1</x:v>
      </x:c>
      <x:c r="E1401" s="9" t="str">
        <x:v>HC-A-C</x:v>
      </x:c>
      <x:c r="F1401" s="9" t="str">
        <x:v>B1</x:v>
      </x:c>
      <x:c r="G1401" s="9" t="str">
        <x:v>BRK</x:v>
      </x:c>
      <x:c r="H1401" s="9" t="str">
        <x:v>OG03</x:v>
      </x:c>
      <x:c r="I1401" s="17" t="str">
        <x:v>Calibration ancestry</x:v>
      </x:c>
      <x:c r="J1401" s="17" t="str">
        <x:v>all reference, range and uncertainty states cover the live interval</x:v>
      </x:c>
      <x:c r="K1401" s="17" t="str">
        <x:v>Metrology courts</x:v>
      </x:c>
      <x:c r="L1401" s="9" t="n">
        <x:v>0</x:v>
      </x:c>
      <x:c r="M1401" s="9" t="n">
        <x:v>0</x:v>
      </x:c>
      <x:c r="N1401" s="9" t="str">
        <x:v>OPEN / UNACCEPTED</x:v>
      </x:c>
      <x:c r="O1401" s="9" t="n">
        <x:f>COUNTIFS($A$7:$A$1734,A1401)</x:f>
        <x:v>1</x:v>
      </x:c>
    </x:row>
    <x:row r="1402">
      <x:c r="A1402" s="9" t="str">
        <x:v>EV-AR-HC-A-C-TECH-1-B1-BRK-G0-OG04</x:v>
      </x:c>
      <x:c r="B1402" s="9" t="str">
        <x:v>EV-AR-HC-A-C-TECH-1-B1-BRK-G0</x:v>
      </x:c>
      <x:c r="C1402" s="9" t="str">
        <x:v>AR-HC-A-C-TECH-1-B1-BRK-G0</x:v>
      </x:c>
      <x:c r="D1402" s="9" t="str">
        <x:v>HC-A-C-TECH-1</x:v>
      </x:c>
      <x:c r="E1402" s="9" t="str">
        <x:v>HC-A-C</x:v>
      </x:c>
      <x:c r="F1402" s="9" t="str">
        <x:v>B1</x:v>
      </x:c>
      <x:c r="G1402" s="9" t="str">
        <x:v>BRK</x:v>
      </x:c>
      <x:c r="H1402" s="9" t="str">
        <x:v>OG04</x:v>
      </x:c>
      <x:c r="I1402" s="17" t="str">
        <x:v>Raw completeness</x:v>
      </x:c>
      <x:c r="J1402" s="17" t="str">
        <x:v>missingness is enumerated without imputation or outcome-conditioned deletion</x:v>
      </x:c>
      <x:c r="K1402" s="17" t="str">
        <x:v>Observation court</x:v>
      </x:c>
      <x:c r="L1402" s="9" t="n">
        <x:v>0</x:v>
      </x:c>
      <x:c r="M1402" s="9" t="n">
        <x:v>0</x:v>
      </x:c>
      <x:c r="N1402" s="9" t="str">
        <x:v>OPEN / UNACCEPTED</x:v>
      </x:c>
      <x:c r="O1402" s="9" t="n">
        <x:f>COUNTIFS($A$7:$A$1734,A1402)</x:f>
        <x:v>1</x:v>
      </x:c>
    </x:row>
    <x:row r="1403">
      <x:c r="A1403" s="9" t="str">
        <x:v>EV-AR-HC-A-C-TECH-1-B1-BRK-G0-OG05</x:v>
      </x:c>
      <x:c r="B1403" s="9" t="str">
        <x:v>EV-AR-HC-A-C-TECH-1-B1-BRK-G0</x:v>
      </x:c>
      <x:c r="C1403" s="9" t="str">
        <x:v>AR-HC-A-C-TECH-1-B1-BRK-G0</x:v>
      </x:c>
      <x:c r="D1403" s="9" t="str">
        <x:v>HC-A-C-TECH-1</x:v>
      </x:c>
      <x:c r="E1403" s="9" t="str">
        <x:v>HC-A-C</x:v>
      </x:c>
      <x:c r="F1403" s="9" t="str">
        <x:v>B1</x:v>
      </x:c>
      <x:c r="G1403" s="9" t="str">
        <x:v>BRK</x:v>
      </x:c>
      <x:c r="H1403" s="9" t="str">
        <x:v>OG05</x:v>
      </x:c>
      <x:c r="I1403" s="17" t="str">
        <x:v>Primary provenance</x:v>
      </x:c>
      <x:c r="J1403" s="17" t="str">
        <x:v>primary originals, hashes, keys and access history reconcile</x:v>
      </x:c>
      <x:c r="K1403" s="17" t="str">
        <x:v>Primary custody</x:v>
      </x:c>
      <x:c r="L1403" s="9" t="n">
        <x:v>0</x:v>
      </x:c>
      <x:c r="M1403" s="9" t="n">
        <x:v>0</x:v>
      </x:c>
      <x:c r="N1403" s="9" t="str">
        <x:v>OPEN / UNACCEPTED</x:v>
      </x:c>
      <x:c r="O1403" s="9" t="n">
        <x:f>COUNTIFS($A$7:$A$1734,A1403)</x:f>
        <x:v>1</x:v>
      </x:c>
    </x:row>
    <x:row r="1404">
      <x:c r="A1404" s="9" t="str">
        <x:v>EV-AR-HC-A-C-TECH-1-B1-BRK-G0-OG06</x:v>
      </x:c>
      <x:c r="B1404" s="9" t="str">
        <x:v>EV-AR-HC-A-C-TECH-1-B1-BRK-G0</x:v>
      </x:c>
      <x:c r="C1404" s="9" t="str">
        <x:v>AR-HC-A-C-TECH-1-B1-BRK-G0</x:v>
      </x:c>
      <x:c r="D1404" s="9" t="str">
        <x:v>HC-A-C-TECH-1</x:v>
      </x:c>
      <x:c r="E1404" s="9" t="str">
        <x:v>HC-A-C</x:v>
      </x:c>
      <x:c r="F1404" s="9" t="str">
        <x:v>B1</x:v>
      </x:c>
      <x:c r="G1404" s="9" t="str">
        <x:v>BRK</x:v>
      </x:c>
      <x:c r="H1404" s="9" t="str">
        <x:v>OG06</x:v>
      </x:c>
      <x:c r="I1404" s="17" t="str">
        <x:v>Witness provenance</x:v>
      </x:c>
      <x:c r="J1404" s="17" t="str">
        <x:v>unlike witness originals, hashes, keys and access history reconcile</x:v>
      </x:c>
      <x:c r="K1404" s="17" t="str">
        <x:v>Witness custody</x:v>
      </x:c>
      <x:c r="L1404" s="9" t="n">
        <x:v>0</x:v>
      </x:c>
      <x:c r="M1404" s="9" t="n">
        <x:v>0</x:v>
      </x:c>
      <x:c r="N1404" s="9" t="str">
        <x:v>OPEN / UNACCEPTED</x:v>
      </x:c>
      <x:c r="O1404" s="9" t="n">
        <x:f>COUNTIFS($A$7:$A$1734,A1404)</x:f>
        <x:v>1</x:v>
      </x:c>
    </x:row>
    <x:row r="1405">
      <x:c r="A1405" s="9" t="str">
        <x:v>EV-AR-HC-A-C-TECH-1-B1-BRK-G0-OG07</x:v>
      </x:c>
      <x:c r="B1405" s="9" t="str">
        <x:v>EV-AR-HC-A-C-TECH-1-B1-BRK-G0</x:v>
      </x:c>
      <x:c r="C1405" s="9" t="str">
        <x:v>AR-HC-A-C-TECH-1-B1-BRK-G0</x:v>
      </x:c>
      <x:c r="D1405" s="9" t="str">
        <x:v>HC-A-C-TECH-1</x:v>
      </x:c>
      <x:c r="E1405" s="9" t="str">
        <x:v>HC-A-C</x:v>
      </x:c>
      <x:c r="F1405" s="9" t="str">
        <x:v>B1</x:v>
      </x:c>
      <x:c r="G1405" s="9" t="str">
        <x:v>BRK</x:v>
      </x:c>
      <x:c r="H1405" s="9" t="str">
        <x:v>OG07</x:v>
      </x:c>
      <x:c r="I1405" s="17" t="str">
        <x:v>Receiver denominator</x:v>
      </x:c>
      <x:c r="J1405" s="17" t="str">
        <x:v>population, quantity, duration and exclusions match the frozen receipt</x:v>
      </x:c>
      <x:c r="K1405" s="17" t="str">
        <x:v>Receiver court</x:v>
      </x:c>
      <x:c r="L1405" s="9" t="n">
        <x:v>0</x:v>
      </x:c>
      <x:c r="M1405" s="9" t="n">
        <x:v>0</x:v>
      </x:c>
      <x:c r="N1405" s="9" t="str">
        <x:v>OPEN / UNACCEPTED</x:v>
      </x:c>
      <x:c r="O1405" s="9" t="n">
        <x:f>COUNTIFS($A$7:$A$1734,A1405)</x:f>
        <x:v>1</x:v>
      </x:c>
    </x:row>
    <x:row r="1406">
      <x:c r="A1406" s="9" t="str">
        <x:v>EV-AR-HC-A-C-TECH-1-B1-BRK-G0-OG08</x:v>
      </x:c>
      <x:c r="B1406" s="9" t="str">
        <x:v>EV-AR-HC-A-C-TECH-1-B1-BRK-G0</x:v>
      </x:c>
      <x:c r="C1406" s="9" t="str">
        <x:v>AR-HC-A-C-TECH-1-B1-BRK-G0</x:v>
      </x:c>
      <x:c r="D1406" s="9" t="str">
        <x:v>HC-A-C-TECH-1</x:v>
      </x:c>
      <x:c r="E1406" s="9" t="str">
        <x:v>HC-A-C</x:v>
      </x:c>
      <x:c r="F1406" s="9" t="str">
        <x:v>B1</x:v>
      </x:c>
      <x:c r="G1406" s="9" t="str">
        <x:v>BRK</x:v>
      </x:c>
      <x:c r="H1406" s="9" t="str">
        <x:v>OG08</x:v>
      </x:c>
      <x:c r="I1406" s="17" t="str">
        <x:v>Environment and boundary</x:v>
      </x:c>
      <x:c r="J1406" s="17" t="str">
        <x:v>registered weather, water, ground, inlet and outlet states are retained</x:v>
      </x:c>
      <x:c r="K1406" s="17" t="str">
        <x:v>Boundary court</x:v>
      </x:c>
      <x:c r="L1406" s="9" t="n">
        <x:v>0</x:v>
      </x:c>
      <x:c r="M1406" s="9" t="n">
        <x:v>0</x:v>
      </x:c>
      <x:c r="N1406" s="9" t="str">
        <x:v>OPEN / UNACCEPTED</x:v>
      </x:c>
      <x:c r="O1406" s="9" t="n">
        <x:f>COUNTIFS($A$7:$A$1734,A1406)</x:f>
        <x:v>1</x:v>
      </x:c>
    </x:row>
    <x:row r="1407">
      <x:c r="A1407" s="9" t="str">
        <x:v>EV-AR-HC-A-C-TECH-1-B1-BRK-G0-OG09</x:v>
      </x:c>
      <x:c r="B1407" s="9" t="str">
        <x:v>EV-AR-HC-A-C-TECH-1-B1-BRK-G0</x:v>
      </x:c>
      <x:c r="C1407" s="9" t="str">
        <x:v>AR-HC-A-C-TECH-1-B1-BRK-G0</x:v>
      </x:c>
      <x:c r="D1407" s="9" t="str">
        <x:v>HC-A-C-TECH-1</x:v>
      </x:c>
      <x:c r="E1407" s="9" t="str">
        <x:v>HC-A-C</x:v>
      </x:c>
      <x:c r="F1407" s="9" t="str">
        <x:v>B1</x:v>
      </x:c>
      <x:c r="G1407" s="9" t="str">
        <x:v>BRK</x:v>
      </x:c>
      <x:c r="H1407" s="9" t="str">
        <x:v>OG09</x:v>
      </x:c>
      <x:c r="I1407" s="17" t="str">
        <x:v>Intervention account</x:v>
      </x:c>
      <x:c r="J1407" s="17" t="str">
        <x:v>all stop, rescue, operator and public-protection actions remain timestamped</x:v>
      </x:c>
      <x:c r="K1407" s="17" t="str">
        <x:v>Safety record court</x:v>
      </x:c>
      <x:c r="L1407" s="9" t="n">
        <x:v>0</x:v>
      </x:c>
      <x:c r="M1407" s="9" t="n">
        <x:v>0</x:v>
      </x:c>
      <x:c r="N1407" s="9" t="str">
        <x:v>OPEN / UNACCEPTED</x:v>
      </x:c>
      <x:c r="O1407" s="9" t="n">
        <x:f>COUNTIFS($A$7:$A$1734,A1407)</x:f>
        <x:v>1</x:v>
      </x:c>
    </x:row>
    <x:row r="1408">
      <x:c r="A1408" s="9" t="str">
        <x:v>EV-AR-HC-A-C-TECH-1-B1-BRK-G0-OG10</x:v>
      </x:c>
      <x:c r="B1408" s="9" t="str">
        <x:v>EV-AR-HC-A-C-TECH-1-B1-BRK-G0</x:v>
      </x:c>
      <x:c r="C1408" s="9" t="str">
        <x:v>AR-HC-A-C-TECH-1-B1-BRK-G0</x:v>
      </x:c>
      <x:c r="D1408" s="9" t="str">
        <x:v>HC-A-C-TECH-1</x:v>
      </x:c>
      <x:c r="E1408" s="9" t="str">
        <x:v>HC-A-C</x:v>
      </x:c>
      <x:c r="F1408" s="9" t="str">
        <x:v>B1</x:v>
      </x:c>
      <x:c r="G1408" s="9" t="str">
        <x:v>BRK</x:v>
      </x:c>
      <x:c r="H1408" s="9" t="str">
        <x:v>OG10</x:v>
      </x:c>
      <x:c r="I1408" s="17" t="str">
        <x:v>Uncertainty statement</x:v>
      </x:c>
      <x:c r="J1408" s="17" t="str">
        <x:v>range, censoring, resolution and correlation are declared before judgment</x:v>
      </x:c>
      <x:c r="K1408" s="17" t="str">
        <x:v>Uncertainty authority</x:v>
      </x:c>
      <x:c r="L1408" s="9" t="n">
        <x:v>0</x:v>
      </x:c>
      <x:c r="M1408" s="9" t="n">
        <x:v>0</x:v>
      </x:c>
      <x:c r="N1408" s="9" t="str">
        <x:v>OPEN / UNACCEPTED</x:v>
      </x:c>
      <x:c r="O1408" s="9" t="n">
        <x:f>COUNTIFS($A$7:$A$1734,A1408)</x:f>
        <x:v>1</x:v>
      </x:c>
    </x:row>
    <x:row r="1409">
      <x:c r="A1409" s="9" t="str">
        <x:v>EV-AR-HC-A-C-TECH-1-B1-BRK-G0-OG11</x:v>
      </x:c>
      <x:c r="B1409" s="9" t="str">
        <x:v>EV-AR-HC-A-C-TECH-1-B1-BRK-G0</x:v>
      </x:c>
      <x:c r="C1409" s="9" t="str">
        <x:v>AR-HC-A-C-TECH-1-B1-BRK-G0</x:v>
      </x:c>
      <x:c r="D1409" s="9" t="str">
        <x:v>HC-A-C-TECH-1</x:v>
      </x:c>
      <x:c r="E1409" s="9" t="str">
        <x:v>HC-A-C</x:v>
      </x:c>
      <x:c r="F1409" s="9" t="str">
        <x:v>B1</x:v>
      </x:c>
      <x:c r="G1409" s="9" t="str">
        <x:v>BRK</x:v>
      </x:c>
      <x:c r="H1409" s="9" t="str">
        <x:v>OG11</x:v>
      </x:c>
      <x:c r="I1409" s="17" t="str">
        <x:v>Contradiction preservation</x:v>
      </x:c>
      <x:c r="J1409" s="17" t="str">
        <x:v>primary-witness disagreement remains explicit and is never averaged away</x:v>
      </x:c>
      <x:c r="K1409" s="17" t="str">
        <x:v>Dissent registrar</x:v>
      </x:c>
      <x:c r="L1409" s="9" t="n">
        <x:v>0</x:v>
      </x:c>
      <x:c r="M1409" s="9" t="n">
        <x:v>0</x:v>
      </x:c>
      <x:c r="N1409" s="9" t="str">
        <x:v>OPEN / UNACCEPTED</x:v>
      </x:c>
      <x:c r="O1409" s="9" t="n">
        <x:f>COUNTIFS($A$7:$A$1734,A1409)</x:f>
        <x:v>1</x:v>
      </x:c>
    </x:row>
    <x:row r="1410">
      <x:c r="A1410" s="9" t="str">
        <x:v>EV-AR-HC-A-C-TECH-1-B1-BRK-G0-OG12</x:v>
      </x:c>
      <x:c r="B1410" s="9" t="str">
        <x:v>EV-AR-HC-A-C-TECH-1-B1-BRK-G0</x:v>
      </x:c>
      <x:c r="C1410" s="9" t="str">
        <x:v>AR-HC-A-C-TECH-1-B1-BRK-G0</x:v>
      </x:c>
      <x:c r="D1410" s="9" t="str">
        <x:v>HC-A-C-TECH-1</x:v>
      </x:c>
      <x:c r="E1410" s="9" t="str">
        <x:v>HC-A-C</x:v>
      </x:c>
      <x:c r="F1410" s="9" t="str">
        <x:v>B1</x:v>
      </x:c>
      <x:c r="G1410" s="9" t="str">
        <x:v>BRK</x:v>
      </x:c>
      <x:c r="H1410" s="9" t="str">
        <x:v>OG12</x:v>
      </x:c>
      <x:c r="I1410" s="17" t="str">
        <x:v>Independent replay</x:v>
      </x:c>
      <x:c r="J1410" s="17" t="str">
        <x:v>a separated reader reconstructs the registered observables from sealed originals</x:v>
      </x:c>
      <x:c r="K1410" s="17" t="str">
        <x:v>Replay court</x:v>
      </x:c>
      <x:c r="L1410" s="9" t="n">
        <x:v>0</x:v>
      </x:c>
      <x:c r="M1410" s="9" t="n">
        <x:v>0</x:v>
      </x:c>
      <x:c r="N1410" s="9" t="str">
        <x:v>OPEN / UNACCEPTED</x:v>
      </x:c>
      <x:c r="O1410" s="9" t="n">
        <x:f>COUNTIFS($A$7:$A$1734,A1410)</x:f>
        <x:v>1</x:v>
      </x:c>
    </x:row>
    <x:row r="1411">
      <x:c r="A1411" s="9" t="str">
        <x:v>EV-AR-HU-A-B-TECH-3-B1-RCN-G0-OG01</x:v>
      </x:c>
      <x:c r="B1411" s="9" t="str">
        <x:v>EV-AR-HU-A-B-TECH-3-B1-RCN-G0</x:v>
      </x:c>
      <x:c r="C1411" s="9" t="str">
        <x:v>AR-HU-A-B-TECH-3-B1-RCN-G0</x:v>
      </x:c>
      <x:c r="D1411" s="9" t="str">
        <x:v>HU-A-B-TECH-3</x:v>
      </x:c>
      <x:c r="E1411" s="9" t="str">
        <x:v>HU-A-B</x:v>
      </x:c>
      <x:c r="F1411" s="9" t="str">
        <x:v>B1</x:v>
      </x:c>
      <x:c r="G1411" s="9" t="str">
        <x:v>RCN</x:v>
      </x:c>
      <x:c r="H1411" s="9" t="str">
        <x:v>OG01</x:v>
      </x:c>
      <x:c r="I1411" s="17" t="str">
        <x:v>Serial and event identity</x:v>
      </x:c>
      <x:c r="J1411" s="17" t="str">
        <x:v>record resolves to the issued serial, generation and physical start</x:v>
      </x:c>
      <x:c r="K1411" s="17" t="str">
        <x:v>Observation court</x:v>
      </x:c>
      <x:c r="L1411" s="9" t="n">
        <x:v>0</x:v>
      </x:c>
      <x:c r="M1411" s="9" t="n">
        <x:v>0</x:v>
      </x:c>
      <x:c r="N1411" s="9" t="str">
        <x:v>OPEN / UNACCEPTED</x:v>
      </x:c>
      <x:c r="O1411" s="9" t="n">
        <x:f>COUNTIFS($A$7:$A$1734,A1411)</x:f>
        <x:v>1</x:v>
      </x:c>
    </x:row>
    <x:row r="1412">
      <x:c r="A1412" s="9" t="str">
        <x:v>EV-AR-HU-A-B-TECH-3-B1-RCN-G0-OG02</x:v>
      </x:c>
      <x:c r="B1412" s="9" t="str">
        <x:v>EV-AR-HU-A-B-TECH-3-B1-RCN-G0</x:v>
      </x:c>
      <x:c r="C1412" s="9" t="str">
        <x:v>AR-HU-A-B-TECH-3-B1-RCN-G0</x:v>
      </x:c>
      <x:c r="D1412" s="9" t="str">
        <x:v>HU-A-B-TECH-3</x:v>
      </x:c>
      <x:c r="E1412" s="9" t="str">
        <x:v>HU-A-B</x:v>
      </x:c>
      <x:c r="F1412" s="9" t="str">
        <x:v>B1</x:v>
      </x:c>
      <x:c r="G1412" s="9" t="str">
        <x:v>RCN</x:v>
      </x:c>
      <x:c r="H1412" s="9" t="str">
        <x:v>OG02</x:v>
      </x:c>
      <x:c r="I1412" s="17" t="str">
        <x:v>Time ancestry</x:v>
      </x:c>
      <x:c r="J1412" s="17" t="str">
        <x:v>primary, witness and public event clocks retain declared offsets and drift</x:v>
      </x:c>
      <x:c r="K1412" s="17" t="str">
        <x:v>Time authority</x:v>
      </x:c>
      <x:c r="L1412" s="9" t="n">
        <x:v>0</x:v>
      </x:c>
      <x:c r="M1412" s="9" t="n">
        <x:v>0</x:v>
      </x:c>
      <x:c r="N1412" s="9" t="str">
        <x:v>OPEN / UNACCEPTED</x:v>
      </x:c>
      <x:c r="O1412" s="9" t="n">
        <x:f>COUNTIFS($A$7:$A$1734,A1412)</x:f>
        <x:v>1</x:v>
      </x:c>
    </x:row>
    <x:row r="1413">
      <x:c r="A1413" s="9" t="str">
        <x:v>EV-AR-HU-A-B-TECH-3-B1-RCN-G0-OG03</x:v>
      </x:c>
      <x:c r="B1413" s="9" t="str">
        <x:v>EV-AR-HU-A-B-TECH-3-B1-RCN-G0</x:v>
      </x:c>
      <x:c r="C1413" s="9" t="str">
        <x:v>AR-HU-A-B-TECH-3-B1-RCN-G0</x:v>
      </x:c>
      <x:c r="D1413" s="9" t="str">
        <x:v>HU-A-B-TECH-3</x:v>
      </x:c>
      <x:c r="E1413" s="9" t="str">
        <x:v>HU-A-B</x:v>
      </x:c>
      <x:c r="F1413" s="9" t="str">
        <x:v>B1</x:v>
      </x:c>
      <x:c r="G1413" s="9" t="str">
        <x:v>RCN</x:v>
      </x:c>
      <x:c r="H1413" s="9" t="str">
        <x:v>OG03</x:v>
      </x:c>
      <x:c r="I1413" s="17" t="str">
        <x:v>Calibration ancestry</x:v>
      </x:c>
      <x:c r="J1413" s="17" t="str">
        <x:v>all reference, range and uncertainty states cover the live interval</x:v>
      </x:c>
      <x:c r="K1413" s="17" t="str">
        <x:v>Metrology courts</x:v>
      </x:c>
      <x:c r="L1413" s="9" t="n">
        <x:v>0</x:v>
      </x:c>
      <x:c r="M1413" s="9" t="n">
        <x:v>0</x:v>
      </x:c>
      <x:c r="N1413" s="9" t="str">
        <x:v>OPEN / UNACCEPTED</x:v>
      </x:c>
      <x:c r="O1413" s="9" t="n">
        <x:f>COUNTIFS($A$7:$A$1734,A1413)</x:f>
        <x:v>1</x:v>
      </x:c>
    </x:row>
    <x:row r="1414">
      <x:c r="A1414" s="9" t="str">
        <x:v>EV-AR-HU-A-B-TECH-3-B1-RCN-G0-OG04</x:v>
      </x:c>
      <x:c r="B1414" s="9" t="str">
        <x:v>EV-AR-HU-A-B-TECH-3-B1-RCN-G0</x:v>
      </x:c>
      <x:c r="C1414" s="9" t="str">
        <x:v>AR-HU-A-B-TECH-3-B1-RCN-G0</x:v>
      </x:c>
      <x:c r="D1414" s="9" t="str">
        <x:v>HU-A-B-TECH-3</x:v>
      </x:c>
      <x:c r="E1414" s="9" t="str">
        <x:v>HU-A-B</x:v>
      </x:c>
      <x:c r="F1414" s="9" t="str">
        <x:v>B1</x:v>
      </x:c>
      <x:c r="G1414" s="9" t="str">
        <x:v>RCN</x:v>
      </x:c>
      <x:c r="H1414" s="9" t="str">
        <x:v>OG04</x:v>
      </x:c>
      <x:c r="I1414" s="17" t="str">
        <x:v>Raw completeness</x:v>
      </x:c>
      <x:c r="J1414" s="17" t="str">
        <x:v>missingness is enumerated without imputation or outcome-conditioned deletion</x:v>
      </x:c>
      <x:c r="K1414" s="17" t="str">
        <x:v>Observation court</x:v>
      </x:c>
      <x:c r="L1414" s="9" t="n">
        <x:v>0</x:v>
      </x:c>
      <x:c r="M1414" s="9" t="n">
        <x:v>0</x:v>
      </x:c>
      <x:c r="N1414" s="9" t="str">
        <x:v>OPEN / UNACCEPTED</x:v>
      </x:c>
      <x:c r="O1414" s="9" t="n">
        <x:f>COUNTIFS($A$7:$A$1734,A1414)</x:f>
        <x:v>1</x:v>
      </x:c>
    </x:row>
    <x:row r="1415">
      <x:c r="A1415" s="9" t="str">
        <x:v>EV-AR-HU-A-B-TECH-3-B1-RCN-G0-OG05</x:v>
      </x:c>
      <x:c r="B1415" s="9" t="str">
        <x:v>EV-AR-HU-A-B-TECH-3-B1-RCN-G0</x:v>
      </x:c>
      <x:c r="C1415" s="9" t="str">
        <x:v>AR-HU-A-B-TECH-3-B1-RCN-G0</x:v>
      </x:c>
      <x:c r="D1415" s="9" t="str">
        <x:v>HU-A-B-TECH-3</x:v>
      </x:c>
      <x:c r="E1415" s="9" t="str">
        <x:v>HU-A-B</x:v>
      </x:c>
      <x:c r="F1415" s="9" t="str">
        <x:v>B1</x:v>
      </x:c>
      <x:c r="G1415" s="9" t="str">
        <x:v>RCN</x:v>
      </x:c>
      <x:c r="H1415" s="9" t="str">
        <x:v>OG05</x:v>
      </x:c>
      <x:c r="I1415" s="17" t="str">
        <x:v>Primary provenance</x:v>
      </x:c>
      <x:c r="J1415" s="17" t="str">
        <x:v>primary originals, hashes, keys and access history reconcile</x:v>
      </x:c>
      <x:c r="K1415" s="17" t="str">
        <x:v>Primary custody</x:v>
      </x:c>
      <x:c r="L1415" s="9" t="n">
        <x:v>0</x:v>
      </x:c>
      <x:c r="M1415" s="9" t="n">
        <x:v>0</x:v>
      </x:c>
      <x:c r="N1415" s="9" t="str">
        <x:v>OPEN / UNACCEPTED</x:v>
      </x:c>
      <x:c r="O1415" s="9" t="n">
        <x:f>COUNTIFS($A$7:$A$1734,A1415)</x:f>
        <x:v>1</x:v>
      </x:c>
    </x:row>
    <x:row r="1416">
      <x:c r="A1416" s="9" t="str">
        <x:v>EV-AR-HU-A-B-TECH-3-B1-RCN-G0-OG06</x:v>
      </x:c>
      <x:c r="B1416" s="9" t="str">
        <x:v>EV-AR-HU-A-B-TECH-3-B1-RCN-G0</x:v>
      </x:c>
      <x:c r="C1416" s="9" t="str">
        <x:v>AR-HU-A-B-TECH-3-B1-RCN-G0</x:v>
      </x:c>
      <x:c r="D1416" s="9" t="str">
        <x:v>HU-A-B-TECH-3</x:v>
      </x:c>
      <x:c r="E1416" s="9" t="str">
        <x:v>HU-A-B</x:v>
      </x:c>
      <x:c r="F1416" s="9" t="str">
        <x:v>B1</x:v>
      </x:c>
      <x:c r="G1416" s="9" t="str">
        <x:v>RCN</x:v>
      </x:c>
      <x:c r="H1416" s="9" t="str">
        <x:v>OG06</x:v>
      </x:c>
      <x:c r="I1416" s="17" t="str">
        <x:v>Witness provenance</x:v>
      </x:c>
      <x:c r="J1416" s="17" t="str">
        <x:v>unlike witness originals, hashes, keys and access history reconcile</x:v>
      </x:c>
      <x:c r="K1416" s="17" t="str">
        <x:v>Witness custody</x:v>
      </x:c>
      <x:c r="L1416" s="9" t="n">
        <x:v>0</x:v>
      </x:c>
      <x:c r="M1416" s="9" t="n">
        <x:v>0</x:v>
      </x:c>
      <x:c r="N1416" s="9" t="str">
        <x:v>OPEN / UNACCEPTED</x:v>
      </x:c>
      <x:c r="O1416" s="9" t="n">
        <x:f>COUNTIFS($A$7:$A$1734,A1416)</x:f>
        <x:v>1</x:v>
      </x:c>
    </x:row>
    <x:row r="1417">
      <x:c r="A1417" s="9" t="str">
        <x:v>EV-AR-HU-A-B-TECH-3-B1-RCN-G0-OG07</x:v>
      </x:c>
      <x:c r="B1417" s="9" t="str">
        <x:v>EV-AR-HU-A-B-TECH-3-B1-RCN-G0</x:v>
      </x:c>
      <x:c r="C1417" s="9" t="str">
        <x:v>AR-HU-A-B-TECH-3-B1-RCN-G0</x:v>
      </x:c>
      <x:c r="D1417" s="9" t="str">
        <x:v>HU-A-B-TECH-3</x:v>
      </x:c>
      <x:c r="E1417" s="9" t="str">
        <x:v>HU-A-B</x:v>
      </x:c>
      <x:c r="F1417" s="9" t="str">
        <x:v>B1</x:v>
      </x:c>
      <x:c r="G1417" s="9" t="str">
        <x:v>RCN</x:v>
      </x:c>
      <x:c r="H1417" s="9" t="str">
        <x:v>OG07</x:v>
      </x:c>
      <x:c r="I1417" s="17" t="str">
        <x:v>Receiver denominator</x:v>
      </x:c>
      <x:c r="J1417" s="17" t="str">
        <x:v>population, quantity, duration and exclusions match the frozen receipt</x:v>
      </x:c>
      <x:c r="K1417" s="17" t="str">
        <x:v>Receiver court</x:v>
      </x:c>
      <x:c r="L1417" s="9" t="n">
        <x:v>0</x:v>
      </x:c>
      <x:c r="M1417" s="9" t="n">
        <x:v>0</x:v>
      </x:c>
      <x:c r="N1417" s="9" t="str">
        <x:v>OPEN / UNACCEPTED</x:v>
      </x:c>
      <x:c r="O1417" s="9" t="n">
        <x:f>COUNTIFS($A$7:$A$1734,A1417)</x:f>
        <x:v>1</x:v>
      </x:c>
    </x:row>
    <x:row r="1418">
      <x:c r="A1418" s="9" t="str">
        <x:v>EV-AR-HU-A-B-TECH-3-B1-RCN-G0-OG08</x:v>
      </x:c>
      <x:c r="B1418" s="9" t="str">
        <x:v>EV-AR-HU-A-B-TECH-3-B1-RCN-G0</x:v>
      </x:c>
      <x:c r="C1418" s="9" t="str">
        <x:v>AR-HU-A-B-TECH-3-B1-RCN-G0</x:v>
      </x:c>
      <x:c r="D1418" s="9" t="str">
        <x:v>HU-A-B-TECH-3</x:v>
      </x:c>
      <x:c r="E1418" s="9" t="str">
        <x:v>HU-A-B</x:v>
      </x:c>
      <x:c r="F1418" s="9" t="str">
        <x:v>B1</x:v>
      </x:c>
      <x:c r="G1418" s="9" t="str">
        <x:v>RCN</x:v>
      </x:c>
      <x:c r="H1418" s="9" t="str">
        <x:v>OG08</x:v>
      </x:c>
      <x:c r="I1418" s="17" t="str">
        <x:v>Environment and boundary</x:v>
      </x:c>
      <x:c r="J1418" s="17" t="str">
        <x:v>registered weather, water, ground, inlet and outlet states are retained</x:v>
      </x:c>
      <x:c r="K1418" s="17" t="str">
        <x:v>Boundary court</x:v>
      </x:c>
      <x:c r="L1418" s="9" t="n">
        <x:v>0</x:v>
      </x:c>
      <x:c r="M1418" s="9" t="n">
        <x:v>0</x:v>
      </x:c>
      <x:c r="N1418" s="9" t="str">
        <x:v>OPEN / UNACCEPTED</x:v>
      </x:c>
      <x:c r="O1418" s="9" t="n">
        <x:f>COUNTIFS($A$7:$A$1734,A1418)</x:f>
        <x:v>1</x:v>
      </x:c>
    </x:row>
    <x:row r="1419">
      <x:c r="A1419" s="9" t="str">
        <x:v>EV-AR-HU-A-B-TECH-3-B1-RCN-G0-OG09</x:v>
      </x:c>
      <x:c r="B1419" s="9" t="str">
        <x:v>EV-AR-HU-A-B-TECH-3-B1-RCN-G0</x:v>
      </x:c>
      <x:c r="C1419" s="9" t="str">
        <x:v>AR-HU-A-B-TECH-3-B1-RCN-G0</x:v>
      </x:c>
      <x:c r="D1419" s="9" t="str">
        <x:v>HU-A-B-TECH-3</x:v>
      </x:c>
      <x:c r="E1419" s="9" t="str">
        <x:v>HU-A-B</x:v>
      </x:c>
      <x:c r="F1419" s="9" t="str">
        <x:v>B1</x:v>
      </x:c>
      <x:c r="G1419" s="9" t="str">
        <x:v>RCN</x:v>
      </x:c>
      <x:c r="H1419" s="9" t="str">
        <x:v>OG09</x:v>
      </x:c>
      <x:c r="I1419" s="17" t="str">
        <x:v>Intervention account</x:v>
      </x:c>
      <x:c r="J1419" s="17" t="str">
        <x:v>all stop, rescue, operator and public-protection actions remain timestamped</x:v>
      </x:c>
      <x:c r="K1419" s="17" t="str">
        <x:v>Safety record court</x:v>
      </x:c>
      <x:c r="L1419" s="9" t="n">
        <x:v>0</x:v>
      </x:c>
      <x:c r="M1419" s="9" t="n">
        <x:v>0</x:v>
      </x:c>
      <x:c r="N1419" s="9" t="str">
        <x:v>OPEN / UNACCEPTED</x:v>
      </x:c>
      <x:c r="O1419" s="9" t="n">
        <x:f>COUNTIFS($A$7:$A$1734,A1419)</x:f>
        <x:v>1</x:v>
      </x:c>
    </x:row>
    <x:row r="1420">
      <x:c r="A1420" s="9" t="str">
        <x:v>EV-AR-HU-A-B-TECH-3-B1-RCN-G0-OG10</x:v>
      </x:c>
      <x:c r="B1420" s="9" t="str">
        <x:v>EV-AR-HU-A-B-TECH-3-B1-RCN-G0</x:v>
      </x:c>
      <x:c r="C1420" s="9" t="str">
        <x:v>AR-HU-A-B-TECH-3-B1-RCN-G0</x:v>
      </x:c>
      <x:c r="D1420" s="9" t="str">
        <x:v>HU-A-B-TECH-3</x:v>
      </x:c>
      <x:c r="E1420" s="9" t="str">
        <x:v>HU-A-B</x:v>
      </x:c>
      <x:c r="F1420" s="9" t="str">
        <x:v>B1</x:v>
      </x:c>
      <x:c r="G1420" s="9" t="str">
        <x:v>RCN</x:v>
      </x:c>
      <x:c r="H1420" s="9" t="str">
        <x:v>OG10</x:v>
      </x:c>
      <x:c r="I1420" s="17" t="str">
        <x:v>Uncertainty statement</x:v>
      </x:c>
      <x:c r="J1420" s="17" t="str">
        <x:v>range, censoring, resolution and correlation are declared before judgment</x:v>
      </x:c>
      <x:c r="K1420" s="17" t="str">
        <x:v>Uncertainty authority</x:v>
      </x:c>
      <x:c r="L1420" s="9" t="n">
        <x:v>0</x:v>
      </x:c>
      <x:c r="M1420" s="9" t="n">
        <x:v>0</x:v>
      </x:c>
      <x:c r="N1420" s="9" t="str">
        <x:v>OPEN / UNACCEPTED</x:v>
      </x:c>
      <x:c r="O1420" s="9" t="n">
        <x:f>COUNTIFS($A$7:$A$1734,A1420)</x:f>
        <x:v>1</x:v>
      </x:c>
    </x:row>
    <x:row r="1421">
      <x:c r="A1421" s="9" t="str">
        <x:v>EV-AR-HU-A-B-TECH-3-B1-RCN-G0-OG11</x:v>
      </x:c>
      <x:c r="B1421" s="9" t="str">
        <x:v>EV-AR-HU-A-B-TECH-3-B1-RCN-G0</x:v>
      </x:c>
      <x:c r="C1421" s="9" t="str">
        <x:v>AR-HU-A-B-TECH-3-B1-RCN-G0</x:v>
      </x:c>
      <x:c r="D1421" s="9" t="str">
        <x:v>HU-A-B-TECH-3</x:v>
      </x:c>
      <x:c r="E1421" s="9" t="str">
        <x:v>HU-A-B</x:v>
      </x:c>
      <x:c r="F1421" s="9" t="str">
        <x:v>B1</x:v>
      </x:c>
      <x:c r="G1421" s="9" t="str">
        <x:v>RCN</x:v>
      </x:c>
      <x:c r="H1421" s="9" t="str">
        <x:v>OG11</x:v>
      </x:c>
      <x:c r="I1421" s="17" t="str">
        <x:v>Contradiction preservation</x:v>
      </x:c>
      <x:c r="J1421" s="17" t="str">
        <x:v>primary-witness disagreement remains explicit and is never averaged away</x:v>
      </x:c>
      <x:c r="K1421" s="17" t="str">
        <x:v>Dissent registrar</x:v>
      </x:c>
      <x:c r="L1421" s="9" t="n">
        <x:v>0</x:v>
      </x:c>
      <x:c r="M1421" s="9" t="n">
        <x:v>0</x:v>
      </x:c>
      <x:c r="N1421" s="9" t="str">
        <x:v>OPEN / UNACCEPTED</x:v>
      </x:c>
      <x:c r="O1421" s="9" t="n">
        <x:f>COUNTIFS($A$7:$A$1734,A1421)</x:f>
        <x:v>1</x:v>
      </x:c>
    </x:row>
    <x:row r="1422">
      <x:c r="A1422" s="9" t="str">
        <x:v>EV-AR-HU-A-B-TECH-3-B1-RCN-G0-OG12</x:v>
      </x:c>
      <x:c r="B1422" s="9" t="str">
        <x:v>EV-AR-HU-A-B-TECH-3-B1-RCN-G0</x:v>
      </x:c>
      <x:c r="C1422" s="9" t="str">
        <x:v>AR-HU-A-B-TECH-3-B1-RCN-G0</x:v>
      </x:c>
      <x:c r="D1422" s="9" t="str">
        <x:v>HU-A-B-TECH-3</x:v>
      </x:c>
      <x:c r="E1422" s="9" t="str">
        <x:v>HU-A-B</x:v>
      </x:c>
      <x:c r="F1422" s="9" t="str">
        <x:v>B1</x:v>
      </x:c>
      <x:c r="G1422" s="9" t="str">
        <x:v>RCN</x:v>
      </x:c>
      <x:c r="H1422" s="9" t="str">
        <x:v>OG12</x:v>
      </x:c>
      <x:c r="I1422" s="17" t="str">
        <x:v>Independent replay</x:v>
      </x:c>
      <x:c r="J1422" s="17" t="str">
        <x:v>a separated reader reconstructs the registered observables from sealed originals</x:v>
      </x:c>
      <x:c r="K1422" s="17" t="str">
        <x:v>Replay court</x:v>
      </x:c>
      <x:c r="L1422" s="9" t="n">
        <x:v>0</x:v>
      </x:c>
      <x:c r="M1422" s="9" t="n">
        <x:v>0</x:v>
      </x:c>
      <x:c r="N1422" s="9" t="str">
        <x:v>OPEN / UNACCEPTED</x:v>
      </x:c>
      <x:c r="O1422" s="9" t="n">
        <x:f>COUNTIFS($A$7:$A$1734,A1422)</x:f>
        <x:v>1</x:v>
      </x:c>
    </x:row>
    <x:row r="1423">
      <x:c r="A1423" s="9" t="str">
        <x:v>EV-AR-LF-B-A-TECH-1-B2-INT-G0-OG01</x:v>
      </x:c>
      <x:c r="B1423" s="9" t="str">
        <x:v>EV-AR-LF-B-A-TECH-1-B2-INT-G0</x:v>
      </x:c>
      <x:c r="C1423" s="9" t="str">
        <x:v>AR-LF-B-A-TECH-1-B2-INT-G0</x:v>
      </x:c>
      <x:c r="D1423" s="9" t="str">
        <x:v>LF-B-A-TECH-1</x:v>
      </x:c>
      <x:c r="E1423" s="9" t="str">
        <x:v>LF-B-A</x:v>
      </x:c>
      <x:c r="F1423" s="9" t="str">
        <x:v>B2</x:v>
      </x:c>
      <x:c r="G1423" s="9" t="str">
        <x:v>INT</x:v>
      </x:c>
      <x:c r="H1423" s="9" t="str">
        <x:v>OG01</x:v>
      </x:c>
      <x:c r="I1423" s="17" t="str">
        <x:v>Serial and event identity</x:v>
      </x:c>
      <x:c r="J1423" s="17" t="str">
        <x:v>record resolves to the issued serial, generation and physical start</x:v>
      </x:c>
      <x:c r="K1423" s="17" t="str">
        <x:v>Observation court</x:v>
      </x:c>
      <x:c r="L1423" s="9" t="n">
        <x:v>0</x:v>
      </x:c>
      <x:c r="M1423" s="9" t="n">
        <x:v>0</x:v>
      </x:c>
      <x:c r="N1423" s="9" t="str">
        <x:v>OPEN / UNACCEPTED</x:v>
      </x:c>
      <x:c r="O1423" s="9" t="n">
        <x:f>COUNTIFS($A$7:$A$1734,A1423)</x:f>
        <x:v>1</x:v>
      </x:c>
    </x:row>
    <x:row r="1424">
      <x:c r="A1424" s="9" t="str">
        <x:v>EV-AR-LF-B-A-TECH-1-B2-INT-G0-OG02</x:v>
      </x:c>
      <x:c r="B1424" s="9" t="str">
        <x:v>EV-AR-LF-B-A-TECH-1-B2-INT-G0</x:v>
      </x:c>
      <x:c r="C1424" s="9" t="str">
        <x:v>AR-LF-B-A-TECH-1-B2-INT-G0</x:v>
      </x:c>
      <x:c r="D1424" s="9" t="str">
        <x:v>LF-B-A-TECH-1</x:v>
      </x:c>
      <x:c r="E1424" s="9" t="str">
        <x:v>LF-B-A</x:v>
      </x:c>
      <x:c r="F1424" s="9" t="str">
        <x:v>B2</x:v>
      </x:c>
      <x:c r="G1424" s="9" t="str">
        <x:v>INT</x:v>
      </x:c>
      <x:c r="H1424" s="9" t="str">
        <x:v>OG02</x:v>
      </x:c>
      <x:c r="I1424" s="17" t="str">
        <x:v>Time ancestry</x:v>
      </x:c>
      <x:c r="J1424" s="17" t="str">
        <x:v>primary, witness and public event clocks retain declared offsets and drift</x:v>
      </x:c>
      <x:c r="K1424" s="17" t="str">
        <x:v>Time authority</x:v>
      </x:c>
      <x:c r="L1424" s="9" t="n">
        <x:v>0</x:v>
      </x:c>
      <x:c r="M1424" s="9" t="n">
        <x:v>0</x:v>
      </x:c>
      <x:c r="N1424" s="9" t="str">
        <x:v>OPEN / UNACCEPTED</x:v>
      </x:c>
      <x:c r="O1424" s="9" t="n">
        <x:f>COUNTIFS($A$7:$A$1734,A1424)</x:f>
        <x:v>1</x:v>
      </x:c>
    </x:row>
    <x:row r="1425">
      <x:c r="A1425" s="9" t="str">
        <x:v>EV-AR-LF-B-A-TECH-1-B2-INT-G0-OG03</x:v>
      </x:c>
      <x:c r="B1425" s="9" t="str">
        <x:v>EV-AR-LF-B-A-TECH-1-B2-INT-G0</x:v>
      </x:c>
      <x:c r="C1425" s="9" t="str">
        <x:v>AR-LF-B-A-TECH-1-B2-INT-G0</x:v>
      </x:c>
      <x:c r="D1425" s="9" t="str">
        <x:v>LF-B-A-TECH-1</x:v>
      </x:c>
      <x:c r="E1425" s="9" t="str">
        <x:v>LF-B-A</x:v>
      </x:c>
      <x:c r="F1425" s="9" t="str">
        <x:v>B2</x:v>
      </x:c>
      <x:c r="G1425" s="9" t="str">
        <x:v>INT</x:v>
      </x:c>
      <x:c r="H1425" s="9" t="str">
        <x:v>OG03</x:v>
      </x:c>
      <x:c r="I1425" s="17" t="str">
        <x:v>Calibration ancestry</x:v>
      </x:c>
      <x:c r="J1425" s="17" t="str">
        <x:v>all reference, range and uncertainty states cover the live interval</x:v>
      </x:c>
      <x:c r="K1425" s="17" t="str">
        <x:v>Metrology courts</x:v>
      </x:c>
      <x:c r="L1425" s="9" t="n">
        <x:v>0</x:v>
      </x:c>
      <x:c r="M1425" s="9" t="n">
        <x:v>0</x:v>
      </x:c>
      <x:c r="N1425" s="9" t="str">
        <x:v>OPEN / UNACCEPTED</x:v>
      </x:c>
      <x:c r="O1425" s="9" t="n">
        <x:f>COUNTIFS($A$7:$A$1734,A1425)</x:f>
        <x:v>1</x:v>
      </x:c>
    </x:row>
    <x:row r="1426">
      <x:c r="A1426" s="9" t="str">
        <x:v>EV-AR-LF-B-A-TECH-1-B2-INT-G0-OG04</x:v>
      </x:c>
      <x:c r="B1426" s="9" t="str">
        <x:v>EV-AR-LF-B-A-TECH-1-B2-INT-G0</x:v>
      </x:c>
      <x:c r="C1426" s="9" t="str">
        <x:v>AR-LF-B-A-TECH-1-B2-INT-G0</x:v>
      </x:c>
      <x:c r="D1426" s="9" t="str">
        <x:v>LF-B-A-TECH-1</x:v>
      </x:c>
      <x:c r="E1426" s="9" t="str">
        <x:v>LF-B-A</x:v>
      </x:c>
      <x:c r="F1426" s="9" t="str">
        <x:v>B2</x:v>
      </x:c>
      <x:c r="G1426" s="9" t="str">
        <x:v>INT</x:v>
      </x:c>
      <x:c r="H1426" s="9" t="str">
        <x:v>OG04</x:v>
      </x:c>
      <x:c r="I1426" s="17" t="str">
        <x:v>Raw completeness</x:v>
      </x:c>
      <x:c r="J1426" s="17" t="str">
        <x:v>missingness is enumerated without imputation or outcome-conditioned deletion</x:v>
      </x:c>
      <x:c r="K1426" s="17" t="str">
        <x:v>Observation court</x:v>
      </x:c>
      <x:c r="L1426" s="9" t="n">
        <x:v>0</x:v>
      </x:c>
      <x:c r="M1426" s="9" t="n">
        <x:v>0</x:v>
      </x:c>
      <x:c r="N1426" s="9" t="str">
        <x:v>OPEN / UNACCEPTED</x:v>
      </x:c>
      <x:c r="O1426" s="9" t="n">
        <x:f>COUNTIFS($A$7:$A$1734,A1426)</x:f>
        <x:v>1</x:v>
      </x:c>
    </x:row>
    <x:row r="1427">
      <x:c r="A1427" s="9" t="str">
        <x:v>EV-AR-LF-B-A-TECH-1-B2-INT-G0-OG05</x:v>
      </x:c>
      <x:c r="B1427" s="9" t="str">
        <x:v>EV-AR-LF-B-A-TECH-1-B2-INT-G0</x:v>
      </x:c>
      <x:c r="C1427" s="9" t="str">
        <x:v>AR-LF-B-A-TECH-1-B2-INT-G0</x:v>
      </x:c>
      <x:c r="D1427" s="9" t="str">
        <x:v>LF-B-A-TECH-1</x:v>
      </x:c>
      <x:c r="E1427" s="9" t="str">
        <x:v>LF-B-A</x:v>
      </x:c>
      <x:c r="F1427" s="9" t="str">
        <x:v>B2</x:v>
      </x:c>
      <x:c r="G1427" s="9" t="str">
        <x:v>INT</x:v>
      </x:c>
      <x:c r="H1427" s="9" t="str">
        <x:v>OG05</x:v>
      </x:c>
      <x:c r="I1427" s="17" t="str">
        <x:v>Primary provenance</x:v>
      </x:c>
      <x:c r="J1427" s="17" t="str">
        <x:v>primary originals, hashes, keys and access history reconcile</x:v>
      </x:c>
      <x:c r="K1427" s="17" t="str">
        <x:v>Primary custody</x:v>
      </x:c>
      <x:c r="L1427" s="9" t="n">
        <x:v>0</x:v>
      </x:c>
      <x:c r="M1427" s="9" t="n">
        <x:v>0</x:v>
      </x:c>
      <x:c r="N1427" s="9" t="str">
        <x:v>OPEN / UNACCEPTED</x:v>
      </x:c>
      <x:c r="O1427" s="9" t="n">
        <x:f>COUNTIFS($A$7:$A$1734,A1427)</x:f>
        <x:v>1</x:v>
      </x:c>
    </x:row>
    <x:row r="1428">
      <x:c r="A1428" s="9" t="str">
        <x:v>EV-AR-LF-B-A-TECH-1-B2-INT-G0-OG06</x:v>
      </x:c>
      <x:c r="B1428" s="9" t="str">
        <x:v>EV-AR-LF-B-A-TECH-1-B2-INT-G0</x:v>
      </x:c>
      <x:c r="C1428" s="9" t="str">
        <x:v>AR-LF-B-A-TECH-1-B2-INT-G0</x:v>
      </x:c>
      <x:c r="D1428" s="9" t="str">
        <x:v>LF-B-A-TECH-1</x:v>
      </x:c>
      <x:c r="E1428" s="9" t="str">
        <x:v>LF-B-A</x:v>
      </x:c>
      <x:c r="F1428" s="9" t="str">
        <x:v>B2</x:v>
      </x:c>
      <x:c r="G1428" s="9" t="str">
        <x:v>INT</x:v>
      </x:c>
      <x:c r="H1428" s="9" t="str">
        <x:v>OG06</x:v>
      </x:c>
      <x:c r="I1428" s="17" t="str">
        <x:v>Witness provenance</x:v>
      </x:c>
      <x:c r="J1428" s="17" t="str">
        <x:v>unlike witness originals, hashes, keys and access history reconcile</x:v>
      </x:c>
      <x:c r="K1428" s="17" t="str">
        <x:v>Witness custody</x:v>
      </x:c>
      <x:c r="L1428" s="9" t="n">
        <x:v>0</x:v>
      </x:c>
      <x:c r="M1428" s="9" t="n">
        <x:v>0</x:v>
      </x:c>
      <x:c r="N1428" s="9" t="str">
        <x:v>OPEN / UNACCEPTED</x:v>
      </x:c>
      <x:c r="O1428" s="9" t="n">
        <x:f>COUNTIFS($A$7:$A$1734,A1428)</x:f>
        <x:v>1</x:v>
      </x:c>
    </x:row>
    <x:row r="1429">
      <x:c r="A1429" s="9" t="str">
        <x:v>EV-AR-LF-B-A-TECH-1-B2-INT-G0-OG07</x:v>
      </x:c>
      <x:c r="B1429" s="9" t="str">
        <x:v>EV-AR-LF-B-A-TECH-1-B2-INT-G0</x:v>
      </x:c>
      <x:c r="C1429" s="9" t="str">
        <x:v>AR-LF-B-A-TECH-1-B2-INT-G0</x:v>
      </x:c>
      <x:c r="D1429" s="9" t="str">
        <x:v>LF-B-A-TECH-1</x:v>
      </x:c>
      <x:c r="E1429" s="9" t="str">
        <x:v>LF-B-A</x:v>
      </x:c>
      <x:c r="F1429" s="9" t="str">
        <x:v>B2</x:v>
      </x:c>
      <x:c r="G1429" s="9" t="str">
        <x:v>INT</x:v>
      </x:c>
      <x:c r="H1429" s="9" t="str">
        <x:v>OG07</x:v>
      </x:c>
      <x:c r="I1429" s="17" t="str">
        <x:v>Receiver denominator</x:v>
      </x:c>
      <x:c r="J1429" s="17" t="str">
        <x:v>population, quantity, duration and exclusions match the frozen receipt</x:v>
      </x:c>
      <x:c r="K1429" s="17" t="str">
        <x:v>Receiver court</x:v>
      </x:c>
      <x:c r="L1429" s="9" t="n">
        <x:v>0</x:v>
      </x:c>
      <x:c r="M1429" s="9" t="n">
        <x:v>0</x:v>
      </x:c>
      <x:c r="N1429" s="9" t="str">
        <x:v>OPEN / UNACCEPTED</x:v>
      </x:c>
      <x:c r="O1429" s="9" t="n">
        <x:f>COUNTIFS($A$7:$A$1734,A1429)</x:f>
        <x:v>1</x:v>
      </x:c>
    </x:row>
    <x:row r="1430">
      <x:c r="A1430" s="9" t="str">
        <x:v>EV-AR-LF-B-A-TECH-1-B2-INT-G0-OG08</x:v>
      </x:c>
      <x:c r="B1430" s="9" t="str">
        <x:v>EV-AR-LF-B-A-TECH-1-B2-INT-G0</x:v>
      </x:c>
      <x:c r="C1430" s="9" t="str">
        <x:v>AR-LF-B-A-TECH-1-B2-INT-G0</x:v>
      </x:c>
      <x:c r="D1430" s="9" t="str">
        <x:v>LF-B-A-TECH-1</x:v>
      </x:c>
      <x:c r="E1430" s="9" t="str">
        <x:v>LF-B-A</x:v>
      </x:c>
      <x:c r="F1430" s="9" t="str">
        <x:v>B2</x:v>
      </x:c>
      <x:c r="G1430" s="9" t="str">
        <x:v>INT</x:v>
      </x:c>
      <x:c r="H1430" s="9" t="str">
        <x:v>OG08</x:v>
      </x:c>
      <x:c r="I1430" s="17" t="str">
        <x:v>Environment and boundary</x:v>
      </x:c>
      <x:c r="J1430" s="17" t="str">
        <x:v>registered weather, water, ground, inlet and outlet states are retained</x:v>
      </x:c>
      <x:c r="K1430" s="17" t="str">
        <x:v>Boundary court</x:v>
      </x:c>
      <x:c r="L1430" s="9" t="n">
        <x:v>0</x:v>
      </x:c>
      <x:c r="M1430" s="9" t="n">
        <x:v>0</x:v>
      </x:c>
      <x:c r="N1430" s="9" t="str">
        <x:v>OPEN / UNACCEPTED</x:v>
      </x:c>
      <x:c r="O1430" s="9" t="n">
        <x:f>COUNTIFS($A$7:$A$1734,A1430)</x:f>
        <x:v>1</x:v>
      </x:c>
    </x:row>
    <x:row r="1431">
      <x:c r="A1431" s="9" t="str">
        <x:v>EV-AR-LF-B-A-TECH-1-B2-INT-G0-OG09</x:v>
      </x:c>
      <x:c r="B1431" s="9" t="str">
        <x:v>EV-AR-LF-B-A-TECH-1-B2-INT-G0</x:v>
      </x:c>
      <x:c r="C1431" s="9" t="str">
        <x:v>AR-LF-B-A-TECH-1-B2-INT-G0</x:v>
      </x:c>
      <x:c r="D1431" s="9" t="str">
        <x:v>LF-B-A-TECH-1</x:v>
      </x:c>
      <x:c r="E1431" s="9" t="str">
        <x:v>LF-B-A</x:v>
      </x:c>
      <x:c r="F1431" s="9" t="str">
        <x:v>B2</x:v>
      </x:c>
      <x:c r="G1431" s="9" t="str">
        <x:v>INT</x:v>
      </x:c>
      <x:c r="H1431" s="9" t="str">
        <x:v>OG09</x:v>
      </x:c>
      <x:c r="I1431" s="17" t="str">
        <x:v>Intervention account</x:v>
      </x:c>
      <x:c r="J1431" s="17" t="str">
        <x:v>all stop, rescue, operator and public-protection actions remain timestamped</x:v>
      </x:c>
      <x:c r="K1431" s="17" t="str">
        <x:v>Safety record court</x:v>
      </x:c>
      <x:c r="L1431" s="9" t="n">
        <x:v>0</x:v>
      </x:c>
      <x:c r="M1431" s="9" t="n">
        <x:v>0</x:v>
      </x:c>
      <x:c r="N1431" s="9" t="str">
        <x:v>OPEN / UNACCEPTED</x:v>
      </x:c>
      <x:c r="O1431" s="9" t="n">
        <x:f>COUNTIFS($A$7:$A$1734,A1431)</x:f>
        <x:v>1</x:v>
      </x:c>
    </x:row>
    <x:row r="1432">
      <x:c r="A1432" s="9" t="str">
        <x:v>EV-AR-LF-B-A-TECH-1-B2-INT-G0-OG10</x:v>
      </x:c>
      <x:c r="B1432" s="9" t="str">
        <x:v>EV-AR-LF-B-A-TECH-1-B2-INT-G0</x:v>
      </x:c>
      <x:c r="C1432" s="9" t="str">
        <x:v>AR-LF-B-A-TECH-1-B2-INT-G0</x:v>
      </x:c>
      <x:c r="D1432" s="9" t="str">
        <x:v>LF-B-A-TECH-1</x:v>
      </x:c>
      <x:c r="E1432" s="9" t="str">
        <x:v>LF-B-A</x:v>
      </x:c>
      <x:c r="F1432" s="9" t="str">
        <x:v>B2</x:v>
      </x:c>
      <x:c r="G1432" s="9" t="str">
        <x:v>INT</x:v>
      </x:c>
      <x:c r="H1432" s="9" t="str">
        <x:v>OG10</x:v>
      </x:c>
      <x:c r="I1432" s="17" t="str">
        <x:v>Uncertainty statement</x:v>
      </x:c>
      <x:c r="J1432" s="17" t="str">
        <x:v>range, censoring, resolution and correlation are declared before judgment</x:v>
      </x:c>
      <x:c r="K1432" s="17" t="str">
        <x:v>Uncertainty authority</x:v>
      </x:c>
      <x:c r="L1432" s="9" t="n">
        <x:v>0</x:v>
      </x:c>
      <x:c r="M1432" s="9" t="n">
        <x:v>0</x:v>
      </x:c>
      <x:c r="N1432" s="9" t="str">
        <x:v>OPEN / UNACCEPTED</x:v>
      </x:c>
      <x:c r="O1432" s="9" t="n">
        <x:f>COUNTIFS($A$7:$A$1734,A1432)</x:f>
        <x:v>1</x:v>
      </x:c>
    </x:row>
    <x:row r="1433">
      <x:c r="A1433" s="9" t="str">
        <x:v>EV-AR-LF-B-A-TECH-1-B2-INT-G0-OG11</x:v>
      </x:c>
      <x:c r="B1433" s="9" t="str">
        <x:v>EV-AR-LF-B-A-TECH-1-B2-INT-G0</x:v>
      </x:c>
      <x:c r="C1433" s="9" t="str">
        <x:v>AR-LF-B-A-TECH-1-B2-INT-G0</x:v>
      </x:c>
      <x:c r="D1433" s="9" t="str">
        <x:v>LF-B-A-TECH-1</x:v>
      </x:c>
      <x:c r="E1433" s="9" t="str">
        <x:v>LF-B-A</x:v>
      </x:c>
      <x:c r="F1433" s="9" t="str">
        <x:v>B2</x:v>
      </x:c>
      <x:c r="G1433" s="9" t="str">
        <x:v>INT</x:v>
      </x:c>
      <x:c r="H1433" s="9" t="str">
        <x:v>OG11</x:v>
      </x:c>
      <x:c r="I1433" s="17" t="str">
        <x:v>Contradiction preservation</x:v>
      </x:c>
      <x:c r="J1433" s="17" t="str">
        <x:v>primary-witness disagreement remains explicit and is never averaged away</x:v>
      </x:c>
      <x:c r="K1433" s="17" t="str">
        <x:v>Dissent registrar</x:v>
      </x:c>
      <x:c r="L1433" s="9" t="n">
        <x:v>0</x:v>
      </x:c>
      <x:c r="M1433" s="9" t="n">
        <x:v>0</x:v>
      </x:c>
      <x:c r="N1433" s="9" t="str">
        <x:v>OPEN / UNACCEPTED</x:v>
      </x:c>
      <x:c r="O1433" s="9" t="n">
        <x:f>COUNTIFS($A$7:$A$1734,A1433)</x:f>
        <x:v>1</x:v>
      </x:c>
    </x:row>
    <x:row r="1434">
      <x:c r="A1434" s="9" t="str">
        <x:v>EV-AR-LF-B-A-TECH-1-B2-INT-G0-OG12</x:v>
      </x:c>
      <x:c r="B1434" s="9" t="str">
        <x:v>EV-AR-LF-B-A-TECH-1-B2-INT-G0</x:v>
      </x:c>
      <x:c r="C1434" s="9" t="str">
        <x:v>AR-LF-B-A-TECH-1-B2-INT-G0</x:v>
      </x:c>
      <x:c r="D1434" s="9" t="str">
        <x:v>LF-B-A-TECH-1</x:v>
      </x:c>
      <x:c r="E1434" s="9" t="str">
        <x:v>LF-B-A</x:v>
      </x:c>
      <x:c r="F1434" s="9" t="str">
        <x:v>B2</x:v>
      </x:c>
      <x:c r="G1434" s="9" t="str">
        <x:v>INT</x:v>
      </x:c>
      <x:c r="H1434" s="9" t="str">
        <x:v>OG12</x:v>
      </x:c>
      <x:c r="I1434" s="17" t="str">
        <x:v>Independent replay</x:v>
      </x:c>
      <x:c r="J1434" s="17" t="str">
        <x:v>a separated reader reconstructs the registered observables from sealed originals</x:v>
      </x:c>
      <x:c r="K1434" s="17" t="str">
        <x:v>Replay court</x:v>
      </x:c>
      <x:c r="L1434" s="9" t="n">
        <x:v>0</x:v>
      </x:c>
      <x:c r="M1434" s="9" t="n">
        <x:v>0</x:v>
      </x:c>
      <x:c r="N1434" s="9" t="str">
        <x:v>OPEN / UNACCEPTED</x:v>
      </x:c>
      <x:c r="O1434" s="9" t="n">
        <x:f>COUNTIFS($A$7:$A$1734,A1434)</x:f>
        <x:v>1</x:v>
      </x:c>
    </x:row>
    <x:row r="1435">
      <x:c r="A1435" s="9" t="str">
        <x:v>EV-AR-RT-B-C-TECH-1-B2-RCN-G0-OG01</x:v>
      </x:c>
      <x:c r="B1435" s="9" t="str">
        <x:v>EV-AR-RT-B-C-TECH-1-B2-RCN-G0</x:v>
      </x:c>
      <x:c r="C1435" s="9" t="str">
        <x:v>AR-RT-B-C-TECH-1-B2-RCN-G0</x:v>
      </x:c>
      <x:c r="D1435" s="9" t="str">
        <x:v>RT-B-C-TECH-1</x:v>
      </x:c>
      <x:c r="E1435" s="9" t="str">
        <x:v>RT-B-C</x:v>
      </x:c>
      <x:c r="F1435" s="9" t="str">
        <x:v>B2</x:v>
      </x:c>
      <x:c r="G1435" s="9" t="str">
        <x:v>RCN</x:v>
      </x:c>
      <x:c r="H1435" s="9" t="str">
        <x:v>OG01</x:v>
      </x:c>
      <x:c r="I1435" s="17" t="str">
        <x:v>Serial and event identity</x:v>
      </x:c>
      <x:c r="J1435" s="17" t="str">
        <x:v>record resolves to the issued serial, generation and physical start</x:v>
      </x:c>
      <x:c r="K1435" s="17" t="str">
        <x:v>Observation court</x:v>
      </x:c>
      <x:c r="L1435" s="9" t="n">
        <x:v>0</x:v>
      </x:c>
      <x:c r="M1435" s="9" t="n">
        <x:v>0</x:v>
      </x:c>
      <x:c r="N1435" s="9" t="str">
        <x:v>OPEN / UNACCEPTED</x:v>
      </x:c>
      <x:c r="O1435" s="9" t="n">
        <x:f>COUNTIFS($A$7:$A$1734,A1435)</x:f>
        <x:v>1</x:v>
      </x:c>
    </x:row>
    <x:row r="1436">
      <x:c r="A1436" s="9" t="str">
        <x:v>EV-AR-RT-B-C-TECH-1-B2-RCN-G0-OG02</x:v>
      </x:c>
      <x:c r="B1436" s="9" t="str">
        <x:v>EV-AR-RT-B-C-TECH-1-B2-RCN-G0</x:v>
      </x:c>
      <x:c r="C1436" s="9" t="str">
        <x:v>AR-RT-B-C-TECH-1-B2-RCN-G0</x:v>
      </x:c>
      <x:c r="D1436" s="9" t="str">
        <x:v>RT-B-C-TECH-1</x:v>
      </x:c>
      <x:c r="E1436" s="9" t="str">
        <x:v>RT-B-C</x:v>
      </x:c>
      <x:c r="F1436" s="9" t="str">
        <x:v>B2</x:v>
      </x:c>
      <x:c r="G1436" s="9" t="str">
        <x:v>RCN</x:v>
      </x:c>
      <x:c r="H1436" s="9" t="str">
        <x:v>OG02</x:v>
      </x:c>
      <x:c r="I1436" s="17" t="str">
        <x:v>Time ancestry</x:v>
      </x:c>
      <x:c r="J1436" s="17" t="str">
        <x:v>primary, witness and public event clocks retain declared offsets and drift</x:v>
      </x:c>
      <x:c r="K1436" s="17" t="str">
        <x:v>Time authority</x:v>
      </x:c>
      <x:c r="L1436" s="9" t="n">
        <x:v>0</x:v>
      </x:c>
      <x:c r="M1436" s="9" t="n">
        <x:v>0</x:v>
      </x:c>
      <x:c r="N1436" s="9" t="str">
        <x:v>OPEN / UNACCEPTED</x:v>
      </x:c>
      <x:c r="O1436" s="9" t="n">
        <x:f>COUNTIFS($A$7:$A$1734,A1436)</x:f>
        <x:v>1</x:v>
      </x:c>
    </x:row>
    <x:row r="1437">
      <x:c r="A1437" s="9" t="str">
        <x:v>EV-AR-RT-B-C-TECH-1-B2-RCN-G0-OG03</x:v>
      </x:c>
      <x:c r="B1437" s="9" t="str">
        <x:v>EV-AR-RT-B-C-TECH-1-B2-RCN-G0</x:v>
      </x:c>
      <x:c r="C1437" s="9" t="str">
        <x:v>AR-RT-B-C-TECH-1-B2-RCN-G0</x:v>
      </x:c>
      <x:c r="D1437" s="9" t="str">
        <x:v>RT-B-C-TECH-1</x:v>
      </x:c>
      <x:c r="E1437" s="9" t="str">
        <x:v>RT-B-C</x:v>
      </x:c>
      <x:c r="F1437" s="9" t="str">
        <x:v>B2</x:v>
      </x:c>
      <x:c r="G1437" s="9" t="str">
        <x:v>RCN</x:v>
      </x:c>
      <x:c r="H1437" s="9" t="str">
        <x:v>OG03</x:v>
      </x:c>
      <x:c r="I1437" s="17" t="str">
        <x:v>Calibration ancestry</x:v>
      </x:c>
      <x:c r="J1437" s="17" t="str">
        <x:v>all reference, range and uncertainty states cover the live interval</x:v>
      </x:c>
      <x:c r="K1437" s="17" t="str">
        <x:v>Metrology courts</x:v>
      </x:c>
      <x:c r="L1437" s="9" t="n">
        <x:v>0</x:v>
      </x:c>
      <x:c r="M1437" s="9" t="n">
        <x:v>0</x:v>
      </x:c>
      <x:c r="N1437" s="9" t="str">
        <x:v>OPEN / UNACCEPTED</x:v>
      </x:c>
      <x:c r="O1437" s="9" t="n">
        <x:f>COUNTIFS($A$7:$A$1734,A1437)</x:f>
        <x:v>1</x:v>
      </x:c>
    </x:row>
    <x:row r="1438">
      <x:c r="A1438" s="9" t="str">
        <x:v>EV-AR-RT-B-C-TECH-1-B2-RCN-G0-OG04</x:v>
      </x:c>
      <x:c r="B1438" s="9" t="str">
        <x:v>EV-AR-RT-B-C-TECH-1-B2-RCN-G0</x:v>
      </x:c>
      <x:c r="C1438" s="9" t="str">
        <x:v>AR-RT-B-C-TECH-1-B2-RCN-G0</x:v>
      </x:c>
      <x:c r="D1438" s="9" t="str">
        <x:v>RT-B-C-TECH-1</x:v>
      </x:c>
      <x:c r="E1438" s="9" t="str">
        <x:v>RT-B-C</x:v>
      </x:c>
      <x:c r="F1438" s="9" t="str">
        <x:v>B2</x:v>
      </x:c>
      <x:c r="G1438" s="9" t="str">
        <x:v>RCN</x:v>
      </x:c>
      <x:c r="H1438" s="9" t="str">
        <x:v>OG04</x:v>
      </x:c>
      <x:c r="I1438" s="17" t="str">
        <x:v>Raw completeness</x:v>
      </x:c>
      <x:c r="J1438" s="17" t="str">
        <x:v>missingness is enumerated without imputation or outcome-conditioned deletion</x:v>
      </x:c>
      <x:c r="K1438" s="17" t="str">
        <x:v>Observation court</x:v>
      </x:c>
      <x:c r="L1438" s="9" t="n">
        <x:v>0</x:v>
      </x:c>
      <x:c r="M1438" s="9" t="n">
        <x:v>0</x:v>
      </x:c>
      <x:c r="N1438" s="9" t="str">
        <x:v>OPEN / UNACCEPTED</x:v>
      </x:c>
      <x:c r="O1438" s="9" t="n">
        <x:f>COUNTIFS($A$7:$A$1734,A1438)</x:f>
        <x:v>1</x:v>
      </x:c>
    </x:row>
    <x:row r="1439">
      <x:c r="A1439" s="9" t="str">
        <x:v>EV-AR-RT-B-C-TECH-1-B2-RCN-G0-OG05</x:v>
      </x:c>
      <x:c r="B1439" s="9" t="str">
        <x:v>EV-AR-RT-B-C-TECH-1-B2-RCN-G0</x:v>
      </x:c>
      <x:c r="C1439" s="9" t="str">
        <x:v>AR-RT-B-C-TECH-1-B2-RCN-G0</x:v>
      </x:c>
      <x:c r="D1439" s="9" t="str">
        <x:v>RT-B-C-TECH-1</x:v>
      </x:c>
      <x:c r="E1439" s="9" t="str">
        <x:v>RT-B-C</x:v>
      </x:c>
      <x:c r="F1439" s="9" t="str">
        <x:v>B2</x:v>
      </x:c>
      <x:c r="G1439" s="9" t="str">
        <x:v>RCN</x:v>
      </x:c>
      <x:c r="H1439" s="9" t="str">
        <x:v>OG05</x:v>
      </x:c>
      <x:c r="I1439" s="17" t="str">
        <x:v>Primary provenance</x:v>
      </x:c>
      <x:c r="J1439" s="17" t="str">
        <x:v>primary originals, hashes, keys and access history reconcile</x:v>
      </x:c>
      <x:c r="K1439" s="17" t="str">
        <x:v>Primary custody</x:v>
      </x:c>
      <x:c r="L1439" s="9" t="n">
        <x:v>0</x:v>
      </x:c>
      <x:c r="M1439" s="9" t="n">
        <x:v>0</x:v>
      </x:c>
      <x:c r="N1439" s="9" t="str">
        <x:v>OPEN / UNACCEPTED</x:v>
      </x:c>
      <x:c r="O1439" s="9" t="n">
        <x:f>COUNTIFS($A$7:$A$1734,A1439)</x:f>
        <x:v>1</x:v>
      </x:c>
    </x:row>
    <x:row r="1440">
      <x:c r="A1440" s="9" t="str">
        <x:v>EV-AR-RT-B-C-TECH-1-B2-RCN-G0-OG06</x:v>
      </x:c>
      <x:c r="B1440" s="9" t="str">
        <x:v>EV-AR-RT-B-C-TECH-1-B2-RCN-G0</x:v>
      </x:c>
      <x:c r="C1440" s="9" t="str">
        <x:v>AR-RT-B-C-TECH-1-B2-RCN-G0</x:v>
      </x:c>
      <x:c r="D1440" s="9" t="str">
        <x:v>RT-B-C-TECH-1</x:v>
      </x:c>
      <x:c r="E1440" s="9" t="str">
        <x:v>RT-B-C</x:v>
      </x:c>
      <x:c r="F1440" s="9" t="str">
        <x:v>B2</x:v>
      </x:c>
      <x:c r="G1440" s="9" t="str">
        <x:v>RCN</x:v>
      </x:c>
      <x:c r="H1440" s="9" t="str">
        <x:v>OG06</x:v>
      </x:c>
      <x:c r="I1440" s="17" t="str">
        <x:v>Witness provenance</x:v>
      </x:c>
      <x:c r="J1440" s="17" t="str">
        <x:v>unlike witness originals, hashes, keys and access history reconcile</x:v>
      </x:c>
      <x:c r="K1440" s="17" t="str">
        <x:v>Witness custody</x:v>
      </x:c>
      <x:c r="L1440" s="9" t="n">
        <x:v>0</x:v>
      </x:c>
      <x:c r="M1440" s="9" t="n">
        <x:v>0</x:v>
      </x:c>
      <x:c r="N1440" s="9" t="str">
        <x:v>OPEN / UNACCEPTED</x:v>
      </x:c>
      <x:c r="O1440" s="9" t="n">
        <x:f>COUNTIFS($A$7:$A$1734,A1440)</x:f>
        <x:v>1</x:v>
      </x:c>
    </x:row>
    <x:row r="1441">
      <x:c r="A1441" s="9" t="str">
        <x:v>EV-AR-RT-B-C-TECH-1-B2-RCN-G0-OG07</x:v>
      </x:c>
      <x:c r="B1441" s="9" t="str">
        <x:v>EV-AR-RT-B-C-TECH-1-B2-RCN-G0</x:v>
      </x:c>
      <x:c r="C1441" s="9" t="str">
        <x:v>AR-RT-B-C-TECH-1-B2-RCN-G0</x:v>
      </x:c>
      <x:c r="D1441" s="9" t="str">
        <x:v>RT-B-C-TECH-1</x:v>
      </x:c>
      <x:c r="E1441" s="9" t="str">
        <x:v>RT-B-C</x:v>
      </x:c>
      <x:c r="F1441" s="9" t="str">
        <x:v>B2</x:v>
      </x:c>
      <x:c r="G1441" s="9" t="str">
        <x:v>RCN</x:v>
      </x:c>
      <x:c r="H1441" s="9" t="str">
        <x:v>OG07</x:v>
      </x:c>
      <x:c r="I1441" s="17" t="str">
        <x:v>Receiver denominator</x:v>
      </x:c>
      <x:c r="J1441" s="17" t="str">
        <x:v>population, quantity, duration and exclusions match the frozen receipt</x:v>
      </x:c>
      <x:c r="K1441" s="17" t="str">
        <x:v>Receiver court</x:v>
      </x:c>
      <x:c r="L1441" s="9" t="n">
        <x:v>0</x:v>
      </x:c>
      <x:c r="M1441" s="9" t="n">
        <x:v>0</x:v>
      </x:c>
      <x:c r="N1441" s="9" t="str">
        <x:v>OPEN / UNACCEPTED</x:v>
      </x:c>
      <x:c r="O1441" s="9" t="n">
        <x:f>COUNTIFS($A$7:$A$1734,A1441)</x:f>
        <x:v>1</x:v>
      </x:c>
    </x:row>
    <x:row r="1442">
      <x:c r="A1442" s="9" t="str">
        <x:v>EV-AR-RT-B-C-TECH-1-B2-RCN-G0-OG08</x:v>
      </x:c>
      <x:c r="B1442" s="9" t="str">
        <x:v>EV-AR-RT-B-C-TECH-1-B2-RCN-G0</x:v>
      </x:c>
      <x:c r="C1442" s="9" t="str">
        <x:v>AR-RT-B-C-TECH-1-B2-RCN-G0</x:v>
      </x:c>
      <x:c r="D1442" s="9" t="str">
        <x:v>RT-B-C-TECH-1</x:v>
      </x:c>
      <x:c r="E1442" s="9" t="str">
        <x:v>RT-B-C</x:v>
      </x:c>
      <x:c r="F1442" s="9" t="str">
        <x:v>B2</x:v>
      </x:c>
      <x:c r="G1442" s="9" t="str">
        <x:v>RCN</x:v>
      </x:c>
      <x:c r="H1442" s="9" t="str">
        <x:v>OG08</x:v>
      </x:c>
      <x:c r="I1442" s="17" t="str">
        <x:v>Environment and boundary</x:v>
      </x:c>
      <x:c r="J1442" s="17" t="str">
        <x:v>registered weather, water, ground, inlet and outlet states are retained</x:v>
      </x:c>
      <x:c r="K1442" s="17" t="str">
        <x:v>Boundary court</x:v>
      </x:c>
      <x:c r="L1442" s="9" t="n">
        <x:v>0</x:v>
      </x:c>
      <x:c r="M1442" s="9" t="n">
        <x:v>0</x:v>
      </x:c>
      <x:c r="N1442" s="9" t="str">
        <x:v>OPEN / UNACCEPTED</x:v>
      </x:c>
      <x:c r="O1442" s="9" t="n">
        <x:f>COUNTIFS($A$7:$A$1734,A1442)</x:f>
        <x:v>1</x:v>
      </x:c>
    </x:row>
    <x:row r="1443">
      <x:c r="A1443" s="9" t="str">
        <x:v>EV-AR-RT-B-C-TECH-1-B2-RCN-G0-OG09</x:v>
      </x:c>
      <x:c r="B1443" s="9" t="str">
        <x:v>EV-AR-RT-B-C-TECH-1-B2-RCN-G0</x:v>
      </x:c>
      <x:c r="C1443" s="9" t="str">
        <x:v>AR-RT-B-C-TECH-1-B2-RCN-G0</x:v>
      </x:c>
      <x:c r="D1443" s="9" t="str">
        <x:v>RT-B-C-TECH-1</x:v>
      </x:c>
      <x:c r="E1443" s="9" t="str">
        <x:v>RT-B-C</x:v>
      </x:c>
      <x:c r="F1443" s="9" t="str">
        <x:v>B2</x:v>
      </x:c>
      <x:c r="G1443" s="9" t="str">
        <x:v>RCN</x:v>
      </x:c>
      <x:c r="H1443" s="9" t="str">
        <x:v>OG09</x:v>
      </x:c>
      <x:c r="I1443" s="17" t="str">
        <x:v>Intervention account</x:v>
      </x:c>
      <x:c r="J1443" s="17" t="str">
        <x:v>all stop, rescue, operator and public-protection actions remain timestamped</x:v>
      </x:c>
      <x:c r="K1443" s="17" t="str">
        <x:v>Safety record court</x:v>
      </x:c>
      <x:c r="L1443" s="9" t="n">
        <x:v>0</x:v>
      </x:c>
      <x:c r="M1443" s="9" t="n">
        <x:v>0</x:v>
      </x:c>
      <x:c r="N1443" s="9" t="str">
        <x:v>OPEN / UNACCEPTED</x:v>
      </x:c>
      <x:c r="O1443" s="9" t="n">
        <x:f>COUNTIFS($A$7:$A$1734,A1443)</x:f>
        <x:v>1</x:v>
      </x:c>
    </x:row>
    <x:row r="1444">
      <x:c r="A1444" s="9" t="str">
        <x:v>EV-AR-RT-B-C-TECH-1-B2-RCN-G0-OG10</x:v>
      </x:c>
      <x:c r="B1444" s="9" t="str">
        <x:v>EV-AR-RT-B-C-TECH-1-B2-RCN-G0</x:v>
      </x:c>
      <x:c r="C1444" s="9" t="str">
        <x:v>AR-RT-B-C-TECH-1-B2-RCN-G0</x:v>
      </x:c>
      <x:c r="D1444" s="9" t="str">
        <x:v>RT-B-C-TECH-1</x:v>
      </x:c>
      <x:c r="E1444" s="9" t="str">
        <x:v>RT-B-C</x:v>
      </x:c>
      <x:c r="F1444" s="9" t="str">
        <x:v>B2</x:v>
      </x:c>
      <x:c r="G1444" s="9" t="str">
        <x:v>RCN</x:v>
      </x:c>
      <x:c r="H1444" s="9" t="str">
        <x:v>OG10</x:v>
      </x:c>
      <x:c r="I1444" s="17" t="str">
        <x:v>Uncertainty statement</x:v>
      </x:c>
      <x:c r="J1444" s="17" t="str">
        <x:v>range, censoring, resolution and correlation are declared before judgment</x:v>
      </x:c>
      <x:c r="K1444" s="17" t="str">
        <x:v>Uncertainty authority</x:v>
      </x:c>
      <x:c r="L1444" s="9" t="n">
        <x:v>0</x:v>
      </x:c>
      <x:c r="M1444" s="9" t="n">
        <x:v>0</x:v>
      </x:c>
      <x:c r="N1444" s="9" t="str">
        <x:v>OPEN / UNACCEPTED</x:v>
      </x:c>
      <x:c r="O1444" s="9" t="n">
        <x:f>COUNTIFS($A$7:$A$1734,A1444)</x:f>
        <x:v>1</x:v>
      </x:c>
    </x:row>
    <x:row r="1445">
      <x:c r="A1445" s="9" t="str">
        <x:v>EV-AR-RT-B-C-TECH-1-B2-RCN-G0-OG11</x:v>
      </x:c>
      <x:c r="B1445" s="9" t="str">
        <x:v>EV-AR-RT-B-C-TECH-1-B2-RCN-G0</x:v>
      </x:c>
      <x:c r="C1445" s="9" t="str">
        <x:v>AR-RT-B-C-TECH-1-B2-RCN-G0</x:v>
      </x:c>
      <x:c r="D1445" s="9" t="str">
        <x:v>RT-B-C-TECH-1</x:v>
      </x:c>
      <x:c r="E1445" s="9" t="str">
        <x:v>RT-B-C</x:v>
      </x:c>
      <x:c r="F1445" s="9" t="str">
        <x:v>B2</x:v>
      </x:c>
      <x:c r="G1445" s="9" t="str">
        <x:v>RCN</x:v>
      </x:c>
      <x:c r="H1445" s="9" t="str">
        <x:v>OG11</x:v>
      </x:c>
      <x:c r="I1445" s="17" t="str">
        <x:v>Contradiction preservation</x:v>
      </x:c>
      <x:c r="J1445" s="17" t="str">
        <x:v>primary-witness disagreement remains explicit and is never averaged away</x:v>
      </x:c>
      <x:c r="K1445" s="17" t="str">
        <x:v>Dissent registrar</x:v>
      </x:c>
      <x:c r="L1445" s="9" t="n">
        <x:v>0</x:v>
      </x:c>
      <x:c r="M1445" s="9" t="n">
        <x:v>0</x:v>
      </x:c>
      <x:c r="N1445" s="9" t="str">
        <x:v>OPEN / UNACCEPTED</x:v>
      </x:c>
      <x:c r="O1445" s="9" t="n">
        <x:f>COUNTIFS($A$7:$A$1734,A1445)</x:f>
        <x:v>1</x:v>
      </x:c>
    </x:row>
    <x:row r="1446">
      <x:c r="A1446" s="9" t="str">
        <x:v>EV-AR-RT-B-C-TECH-1-B2-RCN-G0-OG12</x:v>
      </x:c>
      <x:c r="B1446" s="9" t="str">
        <x:v>EV-AR-RT-B-C-TECH-1-B2-RCN-G0</x:v>
      </x:c>
      <x:c r="C1446" s="9" t="str">
        <x:v>AR-RT-B-C-TECH-1-B2-RCN-G0</x:v>
      </x:c>
      <x:c r="D1446" s="9" t="str">
        <x:v>RT-B-C-TECH-1</x:v>
      </x:c>
      <x:c r="E1446" s="9" t="str">
        <x:v>RT-B-C</x:v>
      </x:c>
      <x:c r="F1446" s="9" t="str">
        <x:v>B2</x:v>
      </x:c>
      <x:c r="G1446" s="9" t="str">
        <x:v>RCN</x:v>
      </x:c>
      <x:c r="H1446" s="9" t="str">
        <x:v>OG12</x:v>
      </x:c>
      <x:c r="I1446" s="17" t="str">
        <x:v>Independent replay</x:v>
      </x:c>
      <x:c r="J1446" s="17" t="str">
        <x:v>a separated reader reconstructs the registered observables from sealed originals</x:v>
      </x:c>
      <x:c r="K1446" s="17" t="str">
        <x:v>Replay court</x:v>
      </x:c>
      <x:c r="L1446" s="9" t="n">
        <x:v>0</x:v>
      </x:c>
      <x:c r="M1446" s="9" t="n">
        <x:v>0</x:v>
      </x:c>
      <x:c r="N1446" s="9" t="str">
        <x:v>OPEN / UNACCEPTED</x:v>
      </x:c>
      <x:c r="O1446" s="9" t="n">
        <x:f>COUNTIFS($A$7:$A$1734,A1446)</x:f>
        <x:v>1</x:v>
      </x:c>
    </x:row>
    <x:row r="1447">
      <x:c r="A1447" s="9" t="str">
        <x:v>EV-AR-CT-C-B-TECH-1-B1-RCN-G0-OG01</x:v>
      </x:c>
      <x:c r="B1447" s="9" t="str">
        <x:v>EV-AR-CT-C-B-TECH-1-B1-RCN-G0</x:v>
      </x:c>
      <x:c r="C1447" s="9" t="str">
        <x:v>AR-CT-C-B-TECH-1-B1-RCN-G0</x:v>
      </x:c>
      <x:c r="D1447" s="9" t="str">
        <x:v>CT-C-B-TECH-1</x:v>
      </x:c>
      <x:c r="E1447" s="9" t="str">
        <x:v>CT-C-B</x:v>
      </x:c>
      <x:c r="F1447" s="9" t="str">
        <x:v>B1</x:v>
      </x:c>
      <x:c r="G1447" s="9" t="str">
        <x:v>RCN</x:v>
      </x:c>
      <x:c r="H1447" s="9" t="str">
        <x:v>OG01</x:v>
      </x:c>
      <x:c r="I1447" s="17" t="str">
        <x:v>Serial and event identity</x:v>
      </x:c>
      <x:c r="J1447" s="17" t="str">
        <x:v>record resolves to the issued serial, generation and physical start</x:v>
      </x:c>
      <x:c r="K1447" s="17" t="str">
        <x:v>Observation court</x:v>
      </x:c>
      <x:c r="L1447" s="9" t="n">
        <x:v>0</x:v>
      </x:c>
      <x:c r="M1447" s="9" t="n">
        <x:v>0</x:v>
      </x:c>
      <x:c r="N1447" s="9" t="str">
        <x:v>OPEN / UNACCEPTED</x:v>
      </x:c>
      <x:c r="O1447" s="9" t="n">
        <x:f>COUNTIFS($A$7:$A$1734,A1447)</x:f>
        <x:v>1</x:v>
      </x:c>
    </x:row>
    <x:row r="1448">
      <x:c r="A1448" s="9" t="str">
        <x:v>EV-AR-CT-C-B-TECH-1-B1-RCN-G0-OG02</x:v>
      </x:c>
      <x:c r="B1448" s="9" t="str">
        <x:v>EV-AR-CT-C-B-TECH-1-B1-RCN-G0</x:v>
      </x:c>
      <x:c r="C1448" s="9" t="str">
        <x:v>AR-CT-C-B-TECH-1-B1-RCN-G0</x:v>
      </x:c>
      <x:c r="D1448" s="9" t="str">
        <x:v>CT-C-B-TECH-1</x:v>
      </x:c>
      <x:c r="E1448" s="9" t="str">
        <x:v>CT-C-B</x:v>
      </x:c>
      <x:c r="F1448" s="9" t="str">
        <x:v>B1</x:v>
      </x:c>
      <x:c r="G1448" s="9" t="str">
        <x:v>RCN</x:v>
      </x:c>
      <x:c r="H1448" s="9" t="str">
        <x:v>OG02</x:v>
      </x:c>
      <x:c r="I1448" s="17" t="str">
        <x:v>Time ancestry</x:v>
      </x:c>
      <x:c r="J1448" s="17" t="str">
        <x:v>primary, witness and public event clocks retain declared offsets and drift</x:v>
      </x:c>
      <x:c r="K1448" s="17" t="str">
        <x:v>Time authority</x:v>
      </x:c>
      <x:c r="L1448" s="9" t="n">
        <x:v>0</x:v>
      </x:c>
      <x:c r="M1448" s="9" t="n">
        <x:v>0</x:v>
      </x:c>
      <x:c r="N1448" s="9" t="str">
        <x:v>OPEN / UNACCEPTED</x:v>
      </x:c>
      <x:c r="O1448" s="9" t="n">
        <x:f>COUNTIFS($A$7:$A$1734,A1448)</x:f>
        <x:v>1</x:v>
      </x:c>
    </x:row>
    <x:row r="1449">
      <x:c r="A1449" s="9" t="str">
        <x:v>EV-AR-CT-C-B-TECH-1-B1-RCN-G0-OG03</x:v>
      </x:c>
      <x:c r="B1449" s="9" t="str">
        <x:v>EV-AR-CT-C-B-TECH-1-B1-RCN-G0</x:v>
      </x:c>
      <x:c r="C1449" s="9" t="str">
        <x:v>AR-CT-C-B-TECH-1-B1-RCN-G0</x:v>
      </x:c>
      <x:c r="D1449" s="9" t="str">
        <x:v>CT-C-B-TECH-1</x:v>
      </x:c>
      <x:c r="E1449" s="9" t="str">
        <x:v>CT-C-B</x:v>
      </x:c>
      <x:c r="F1449" s="9" t="str">
        <x:v>B1</x:v>
      </x:c>
      <x:c r="G1449" s="9" t="str">
        <x:v>RCN</x:v>
      </x:c>
      <x:c r="H1449" s="9" t="str">
        <x:v>OG03</x:v>
      </x:c>
      <x:c r="I1449" s="17" t="str">
        <x:v>Calibration ancestry</x:v>
      </x:c>
      <x:c r="J1449" s="17" t="str">
        <x:v>all reference, range and uncertainty states cover the live interval</x:v>
      </x:c>
      <x:c r="K1449" s="17" t="str">
        <x:v>Metrology courts</x:v>
      </x:c>
      <x:c r="L1449" s="9" t="n">
        <x:v>0</x:v>
      </x:c>
      <x:c r="M1449" s="9" t="n">
        <x:v>0</x:v>
      </x:c>
      <x:c r="N1449" s="9" t="str">
        <x:v>OPEN / UNACCEPTED</x:v>
      </x:c>
      <x:c r="O1449" s="9" t="n">
        <x:f>COUNTIFS($A$7:$A$1734,A1449)</x:f>
        <x:v>1</x:v>
      </x:c>
    </x:row>
    <x:row r="1450">
      <x:c r="A1450" s="9" t="str">
        <x:v>EV-AR-CT-C-B-TECH-1-B1-RCN-G0-OG04</x:v>
      </x:c>
      <x:c r="B1450" s="9" t="str">
        <x:v>EV-AR-CT-C-B-TECH-1-B1-RCN-G0</x:v>
      </x:c>
      <x:c r="C1450" s="9" t="str">
        <x:v>AR-CT-C-B-TECH-1-B1-RCN-G0</x:v>
      </x:c>
      <x:c r="D1450" s="9" t="str">
        <x:v>CT-C-B-TECH-1</x:v>
      </x:c>
      <x:c r="E1450" s="9" t="str">
        <x:v>CT-C-B</x:v>
      </x:c>
      <x:c r="F1450" s="9" t="str">
        <x:v>B1</x:v>
      </x:c>
      <x:c r="G1450" s="9" t="str">
        <x:v>RCN</x:v>
      </x:c>
      <x:c r="H1450" s="9" t="str">
        <x:v>OG04</x:v>
      </x:c>
      <x:c r="I1450" s="17" t="str">
        <x:v>Raw completeness</x:v>
      </x:c>
      <x:c r="J1450" s="17" t="str">
        <x:v>missingness is enumerated without imputation or outcome-conditioned deletion</x:v>
      </x:c>
      <x:c r="K1450" s="17" t="str">
        <x:v>Observation court</x:v>
      </x:c>
      <x:c r="L1450" s="9" t="n">
        <x:v>0</x:v>
      </x:c>
      <x:c r="M1450" s="9" t="n">
        <x:v>0</x:v>
      </x:c>
      <x:c r="N1450" s="9" t="str">
        <x:v>OPEN / UNACCEPTED</x:v>
      </x:c>
      <x:c r="O1450" s="9" t="n">
        <x:f>COUNTIFS($A$7:$A$1734,A1450)</x:f>
        <x:v>1</x:v>
      </x:c>
    </x:row>
    <x:row r="1451">
      <x:c r="A1451" s="9" t="str">
        <x:v>EV-AR-CT-C-B-TECH-1-B1-RCN-G0-OG05</x:v>
      </x:c>
      <x:c r="B1451" s="9" t="str">
        <x:v>EV-AR-CT-C-B-TECH-1-B1-RCN-G0</x:v>
      </x:c>
      <x:c r="C1451" s="9" t="str">
        <x:v>AR-CT-C-B-TECH-1-B1-RCN-G0</x:v>
      </x:c>
      <x:c r="D1451" s="9" t="str">
        <x:v>CT-C-B-TECH-1</x:v>
      </x:c>
      <x:c r="E1451" s="9" t="str">
        <x:v>CT-C-B</x:v>
      </x:c>
      <x:c r="F1451" s="9" t="str">
        <x:v>B1</x:v>
      </x:c>
      <x:c r="G1451" s="9" t="str">
        <x:v>RCN</x:v>
      </x:c>
      <x:c r="H1451" s="9" t="str">
        <x:v>OG05</x:v>
      </x:c>
      <x:c r="I1451" s="17" t="str">
        <x:v>Primary provenance</x:v>
      </x:c>
      <x:c r="J1451" s="17" t="str">
        <x:v>primary originals, hashes, keys and access history reconcile</x:v>
      </x:c>
      <x:c r="K1451" s="17" t="str">
        <x:v>Primary custody</x:v>
      </x:c>
      <x:c r="L1451" s="9" t="n">
        <x:v>0</x:v>
      </x:c>
      <x:c r="M1451" s="9" t="n">
        <x:v>0</x:v>
      </x:c>
      <x:c r="N1451" s="9" t="str">
        <x:v>OPEN / UNACCEPTED</x:v>
      </x:c>
      <x:c r="O1451" s="9" t="n">
        <x:f>COUNTIFS($A$7:$A$1734,A1451)</x:f>
        <x:v>1</x:v>
      </x:c>
    </x:row>
    <x:row r="1452">
      <x:c r="A1452" s="9" t="str">
        <x:v>EV-AR-CT-C-B-TECH-1-B1-RCN-G0-OG06</x:v>
      </x:c>
      <x:c r="B1452" s="9" t="str">
        <x:v>EV-AR-CT-C-B-TECH-1-B1-RCN-G0</x:v>
      </x:c>
      <x:c r="C1452" s="9" t="str">
        <x:v>AR-CT-C-B-TECH-1-B1-RCN-G0</x:v>
      </x:c>
      <x:c r="D1452" s="9" t="str">
        <x:v>CT-C-B-TECH-1</x:v>
      </x:c>
      <x:c r="E1452" s="9" t="str">
        <x:v>CT-C-B</x:v>
      </x:c>
      <x:c r="F1452" s="9" t="str">
        <x:v>B1</x:v>
      </x:c>
      <x:c r="G1452" s="9" t="str">
        <x:v>RCN</x:v>
      </x:c>
      <x:c r="H1452" s="9" t="str">
        <x:v>OG06</x:v>
      </x:c>
      <x:c r="I1452" s="17" t="str">
        <x:v>Witness provenance</x:v>
      </x:c>
      <x:c r="J1452" s="17" t="str">
        <x:v>unlike witness originals, hashes, keys and access history reconcile</x:v>
      </x:c>
      <x:c r="K1452" s="17" t="str">
        <x:v>Witness custody</x:v>
      </x:c>
      <x:c r="L1452" s="9" t="n">
        <x:v>0</x:v>
      </x:c>
      <x:c r="M1452" s="9" t="n">
        <x:v>0</x:v>
      </x:c>
      <x:c r="N1452" s="9" t="str">
        <x:v>OPEN / UNACCEPTED</x:v>
      </x:c>
      <x:c r="O1452" s="9" t="n">
        <x:f>COUNTIFS($A$7:$A$1734,A1452)</x:f>
        <x:v>1</x:v>
      </x:c>
    </x:row>
    <x:row r="1453">
      <x:c r="A1453" s="9" t="str">
        <x:v>EV-AR-CT-C-B-TECH-1-B1-RCN-G0-OG07</x:v>
      </x:c>
      <x:c r="B1453" s="9" t="str">
        <x:v>EV-AR-CT-C-B-TECH-1-B1-RCN-G0</x:v>
      </x:c>
      <x:c r="C1453" s="9" t="str">
        <x:v>AR-CT-C-B-TECH-1-B1-RCN-G0</x:v>
      </x:c>
      <x:c r="D1453" s="9" t="str">
        <x:v>CT-C-B-TECH-1</x:v>
      </x:c>
      <x:c r="E1453" s="9" t="str">
        <x:v>CT-C-B</x:v>
      </x:c>
      <x:c r="F1453" s="9" t="str">
        <x:v>B1</x:v>
      </x:c>
      <x:c r="G1453" s="9" t="str">
        <x:v>RCN</x:v>
      </x:c>
      <x:c r="H1453" s="9" t="str">
        <x:v>OG07</x:v>
      </x:c>
      <x:c r="I1453" s="17" t="str">
        <x:v>Receiver denominator</x:v>
      </x:c>
      <x:c r="J1453" s="17" t="str">
        <x:v>population, quantity, duration and exclusions match the frozen receipt</x:v>
      </x:c>
      <x:c r="K1453" s="17" t="str">
        <x:v>Receiver court</x:v>
      </x:c>
      <x:c r="L1453" s="9" t="n">
        <x:v>0</x:v>
      </x:c>
      <x:c r="M1453" s="9" t="n">
        <x:v>0</x:v>
      </x:c>
      <x:c r="N1453" s="9" t="str">
        <x:v>OPEN / UNACCEPTED</x:v>
      </x:c>
      <x:c r="O1453" s="9" t="n">
        <x:f>COUNTIFS($A$7:$A$1734,A1453)</x:f>
        <x:v>1</x:v>
      </x:c>
    </x:row>
    <x:row r="1454">
      <x:c r="A1454" s="9" t="str">
        <x:v>EV-AR-CT-C-B-TECH-1-B1-RCN-G0-OG08</x:v>
      </x:c>
      <x:c r="B1454" s="9" t="str">
        <x:v>EV-AR-CT-C-B-TECH-1-B1-RCN-G0</x:v>
      </x:c>
      <x:c r="C1454" s="9" t="str">
        <x:v>AR-CT-C-B-TECH-1-B1-RCN-G0</x:v>
      </x:c>
      <x:c r="D1454" s="9" t="str">
        <x:v>CT-C-B-TECH-1</x:v>
      </x:c>
      <x:c r="E1454" s="9" t="str">
        <x:v>CT-C-B</x:v>
      </x:c>
      <x:c r="F1454" s="9" t="str">
        <x:v>B1</x:v>
      </x:c>
      <x:c r="G1454" s="9" t="str">
        <x:v>RCN</x:v>
      </x:c>
      <x:c r="H1454" s="9" t="str">
        <x:v>OG08</x:v>
      </x:c>
      <x:c r="I1454" s="17" t="str">
        <x:v>Environment and boundary</x:v>
      </x:c>
      <x:c r="J1454" s="17" t="str">
        <x:v>registered weather, water, ground, inlet and outlet states are retained</x:v>
      </x:c>
      <x:c r="K1454" s="17" t="str">
        <x:v>Boundary court</x:v>
      </x:c>
      <x:c r="L1454" s="9" t="n">
        <x:v>0</x:v>
      </x:c>
      <x:c r="M1454" s="9" t="n">
        <x:v>0</x:v>
      </x:c>
      <x:c r="N1454" s="9" t="str">
        <x:v>OPEN / UNACCEPTED</x:v>
      </x:c>
      <x:c r="O1454" s="9" t="n">
        <x:f>COUNTIFS($A$7:$A$1734,A1454)</x:f>
        <x:v>1</x:v>
      </x:c>
    </x:row>
    <x:row r="1455">
      <x:c r="A1455" s="9" t="str">
        <x:v>EV-AR-CT-C-B-TECH-1-B1-RCN-G0-OG09</x:v>
      </x:c>
      <x:c r="B1455" s="9" t="str">
        <x:v>EV-AR-CT-C-B-TECH-1-B1-RCN-G0</x:v>
      </x:c>
      <x:c r="C1455" s="9" t="str">
        <x:v>AR-CT-C-B-TECH-1-B1-RCN-G0</x:v>
      </x:c>
      <x:c r="D1455" s="9" t="str">
        <x:v>CT-C-B-TECH-1</x:v>
      </x:c>
      <x:c r="E1455" s="9" t="str">
        <x:v>CT-C-B</x:v>
      </x:c>
      <x:c r="F1455" s="9" t="str">
        <x:v>B1</x:v>
      </x:c>
      <x:c r="G1455" s="9" t="str">
        <x:v>RCN</x:v>
      </x:c>
      <x:c r="H1455" s="9" t="str">
        <x:v>OG09</x:v>
      </x:c>
      <x:c r="I1455" s="17" t="str">
        <x:v>Intervention account</x:v>
      </x:c>
      <x:c r="J1455" s="17" t="str">
        <x:v>all stop, rescue, operator and public-protection actions remain timestamped</x:v>
      </x:c>
      <x:c r="K1455" s="17" t="str">
        <x:v>Safety record court</x:v>
      </x:c>
      <x:c r="L1455" s="9" t="n">
        <x:v>0</x:v>
      </x:c>
      <x:c r="M1455" s="9" t="n">
        <x:v>0</x:v>
      </x:c>
      <x:c r="N1455" s="9" t="str">
        <x:v>OPEN / UNACCEPTED</x:v>
      </x:c>
      <x:c r="O1455" s="9" t="n">
        <x:f>COUNTIFS($A$7:$A$1734,A1455)</x:f>
        <x:v>1</x:v>
      </x:c>
    </x:row>
    <x:row r="1456">
      <x:c r="A1456" s="9" t="str">
        <x:v>EV-AR-CT-C-B-TECH-1-B1-RCN-G0-OG10</x:v>
      </x:c>
      <x:c r="B1456" s="9" t="str">
        <x:v>EV-AR-CT-C-B-TECH-1-B1-RCN-G0</x:v>
      </x:c>
      <x:c r="C1456" s="9" t="str">
        <x:v>AR-CT-C-B-TECH-1-B1-RCN-G0</x:v>
      </x:c>
      <x:c r="D1456" s="9" t="str">
        <x:v>CT-C-B-TECH-1</x:v>
      </x:c>
      <x:c r="E1456" s="9" t="str">
        <x:v>CT-C-B</x:v>
      </x:c>
      <x:c r="F1456" s="9" t="str">
        <x:v>B1</x:v>
      </x:c>
      <x:c r="G1456" s="9" t="str">
        <x:v>RCN</x:v>
      </x:c>
      <x:c r="H1456" s="9" t="str">
        <x:v>OG10</x:v>
      </x:c>
      <x:c r="I1456" s="17" t="str">
        <x:v>Uncertainty statement</x:v>
      </x:c>
      <x:c r="J1456" s="17" t="str">
        <x:v>range, censoring, resolution and correlation are declared before judgment</x:v>
      </x:c>
      <x:c r="K1456" s="17" t="str">
        <x:v>Uncertainty authority</x:v>
      </x:c>
      <x:c r="L1456" s="9" t="n">
        <x:v>0</x:v>
      </x:c>
      <x:c r="M1456" s="9" t="n">
        <x:v>0</x:v>
      </x:c>
      <x:c r="N1456" s="9" t="str">
        <x:v>OPEN / UNACCEPTED</x:v>
      </x:c>
      <x:c r="O1456" s="9" t="n">
        <x:f>COUNTIFS($A$7:$A$1734,A1456)</x:f>
        <x:v>1</x:v>
      </x:c>
    </x:row>
    <x:row r="1457">
      <x:c r="A1457" s="9" t="str">
        <x:v>EV-AR-CT-C-B-TECH-1-B1-RCN-G0-OG11</x:v>
      </x:c>
      <x:c r="B1457" s="9" t="str">
        <x:v>EV-AR-CT-C-B-TECH-1-B1-RCN-G0</x:v>
      </x:c>
      <x:c r="C1457" s="9" t="str">
        <x:v>AR-CT-C-B-TECH-1-B1-RCN-G0</x:v>
      </x:c>
      <x:c r="D1457" s="9" t="str">
        <x:v>CT-C-B-TECH-1</x:v>
      </x:c>
      <x:c r="E1457" s="9" t="str">
        <x:v>CT-C-B</x:v>
      </x:c>
      <x:c r="F1457" s="9" t="str">
        <x:v>B1</x:v>
      </x:c>
      <x:c r="G1457" s="9" t="str">
        <x:v>RCN</x:v>
      </x:c>
      <x:c r="H1457" s="9" t="str">
        <x:v>OG11</x:v>
      </x:c>
      <x:c r="I1457" s="17" t="str">
        <x:v>Contradiction preservation</x:v>
      </x:c>
      <x:c r="J1457" s="17" t="str">
        <x:v>primary-witness disagreement remains explicit and is never averaged away</x:v>
      </x:c>
      <x:c r="K1457" s="17" t="str">
        <x:v>Dissent registrar</x:v>
      </x:c>
      <x:c r="L1457" s="9" t="n">
        <x:v>0</x:v>
      </x:c>
      <x:c r="M1457" s="9" t="n">
        <x:v>0</x:v>
      </x:c>
      <x:c r="N1457" s="9" t="str">
        <x:v>OPEN / UNACCEPTED</x:v>
      </x:c>
      <x:c r="O1457" s="9" t="n">
        <x:f>COUNTIFS($A$7:$A$1734,A1457)</x:f>
        <x:v>1</x:v>
      </x:c>
    </x:row>
    <x:row r="1458">
      <x:c r="A1458" s="9" t="str">
        <x:v>EV-AR-CT-C-B-TECH-1-B1-RCN-G0-OG12</x:v>
      </x:c>
      <x:c r="B1458" s="9" t="str">
        <x:v>EV-AR-CT-C-B-TECH-1-B1-RCN-G0</x:v>
      </x:c>
      <x:c r="C1458" s="9" t="str">
        <x:v>AR-CT-C-B-TECH-1-B1-RCN-G0</x:v>
      </x:c>
      <x:c r="D1458" s="9" t="str">
        <x:v>CT-C-B-TECH-1</x:v>
      </x:c>
      <x:c r="E1458" s="9" t="str">
        <x:v>CT-C-B</x:v>
      </x:c>
      <x:c r="F1458" s="9" t="str">
        <x:v>B1</x:v>
      </x:c>
      <x:c r="G1458" s="9" t="str">
        <x:v>RCN</x:v>
      </x:c>
      <x:c r="H1458" s="9" t="str">
        <x:v>OG12</x:v>
      </x:c>
      <x:c r="I1458" s="17" t="str">
        <x:v>Independent replay</x:v>
      </x:c>
      <x:c r="J1458" s="17" t="str">
        <x:v>a separated reader reconstructs the registered observables from sealed originals</x:v>
      </x:c>
      <x:c r="K1458" s="17" t="str">
        <x:v>Replay court</x:v>
      </x:c>
      <x:c r="L1458" s="9" t="n">
        <x:v>0</x:v>
      </x:c>
      <x:c r="M1458" s="9" t="n">
        <x:v>0</x:v>
      </x:c>
      <x:c r="N1458" s="9" t="str">
        <x:v>OPEN / UNACCEPTED</x:v>
      </x:c>
      <x:c r="O1458" s="9" t="n">
        <x:f>COUNTIFS($A$7:$A$1734,A1458)</x:f>
        <x:v>1</x:v>
      </x:c>
    </x:row>
    <x:row r="1459">
      <x:c r="A1459" s="9" t="str">
        <x:v>EV-AR-ET-A-A-TECH-4-B1-BRK-G0-OG01</x:v>
      </x:c>
      <x:c r="B1459" s="9" t="str">
        <x:v>EV-AR-ET-A-A-TECH-4-B1-BRK-G0</x:v>
      </x:c>
      <x:c r="C1459" s="9" t="str">
        <x:v>AR-ET-A-A-TECH-4-B1-BRK-G0</x:v>
      </x:c>
      <x:c r="D1459" s="9" t="str">
        <x:v>ET-A-A-TECH-4</x:v>
      </x:c>
      <x:c r="E1459" s="9" t="str">
        <x:v>ET-A-A</x:v>
      </x:c>
      <x:c r="F1459" s="9" t="str">
        <x:v>B1</x:v>
      </x:c>
      <x:c r="G1459" s="9" t="str">
        <x:v>BRK</x:v>
      </x:c>
      <x:c r="H1459" s="9" t="str">
        <x:v>OG01</x:v>
      </x:c>
      <x:c r="I1459" s="17" t="str">
        <x:v>Serial and event identity</x:v>
      </x:c>
      <x:c r="J1459" s="17" t="str">
        <x:v>record resolves to the issued serial, generation and physical start</x:v>
      </x:c>
      <x:c r="K1459" s="17" t="str">
        <x:v>Observation court</x:v>
      </x:c>
      <x:c r="L1459" s="9" t="n">
        <x:v>0</x:v>
      </x:c>
      <x:c r="M1459" s="9" t="n">
        <x:v>0</x:v>
      </x:c>
      <x:c r="N1459" s="9" t="str">
        <x:v>OPEN / UNACCEPTED</x:v>
      </x:c>
      <x:c r="O1459" s="9" t="n">
        <x:f>COUNTIFS($A$7:$A$1734,A1459)</x:f>
        <x:v>1</x:v>
      </x:c>
    </x:row>
    <x:row r="1460">
      <x:c r="A1460" s="9" t="str">
        <x:v>EV-AR-ET-A-A-TECH-4-B1-BRK-G0-OG02</x:v>
      </x:c>
      <x:c r="B1460" s="9" t="str">
        <x:v>EV-AR-ET-A-A-TECH-4-B1-BRK-G0</x:v>
      </x:c>
      <x:c r="C1460" s="9" t="str">
        <x:v>AR-ET-A-A-TECH-4-B1-BRK-G0</x:v>
      </x:c>
      <x:c r="D1460" s="9" t="str">
        <x:v>ET-A-A-TECH-4</x:v>
      </x:c>
      <x:c r="E1460" s="9" t="str">
        <x:v>ET-A-A</x:v>
      </x:c>
      <x:c r="F1460" s="9" t="str">
        <x:v>B1</x:v>
      </x:c>
      <x:c r="G1460" s="9" t="str">
        <x:v>BRK</x:v>
      </x:c>
      <x:c r="H1460" s="9" t="str">
        <x:v>OG02</x:v>
      </x:c>
      <x:c r="I1460" s="17" t="str">
        <x:v>Time ancestry</x:v>
      </x:c>
      <x:c r="J1460" s="17" t="str">
        <x:v>primary, witness and public event clocks retain declared offsets and drift</x:v>
      </x:c>
      <x:c r="K1460" s="17" t="str">
        <x:v>Time authority</x:v>
      </x:c>
      <x:c r="L1460" s="9" t="n">
        <x:v>0</x:v>
      </x:c>
      <x:c r="M1460" s="9" t="n">
        <x:v>0</x:v>
      </x:c>
      <x:c r="N1460" s="9" t="str">
        <x:v>OPEN / UNACCEPTED</x:v>
      </x:c>
      <x:c r="O1460" s="9" t="n">
        <x:f>COUNTIFS($A$7:$A$1734,A1460)</x:f>
        <x:v>1</x:v>
      </x:c>
    </x:row>
    <x:row r="1461">
      <x:c r="A1461" s="9" t="str">
        <x:v>EV-AR-ET-A-A-TECH-4-B1-BRK-G0-OG03</x:v>
      </x:c>
      <x:c r="B1461" s="9" t="str">
        <x:v>EV-AR-ET-A-A-TECH-4-B1-BRK-G0</x:v>
      </x:c>
      <x:c r="C1461" s="9" t="str">
        <x:v>AR-ET-A-A-TECH-4-B1-BRK-G0</x:v>
      </x:c>
      <x:c r="D1461" s="9" t="str">
        <x:v>ET-A-A-TECH-4</x:v>
      </x:c>
      <x:c r="E1461" s="9" t="str">
        <x:v>ET-A-A</x:v>
      </x:c>
      <x:c r="F1461" s="9" t="str">
        <x:v>B1</x:v>
      </x:c>
      <x:c r="G1461" s="9" t="str">
        <x:v>BRK</x:v>
      </x:c>
      <x:c r="H1461" s="9" t="str">
        <x:v>OG03</x:v>
      </x:c>
      <x:c r="I1461" s="17" t="str">
        <x:v>Calibration ancestry</x:v>
      </x:c>
      <x:c r="J1461" s="17" t="str">
        <x:v>all reference, range and uncertainty states cover the live interval</x:v>
      </x:c>
      <x:c r="K1461" s="17" t="str">
        <x:v>Metrology courts</x:v>
      </x:c>
      <x:c r="L1461" s="9" t="n">
        <x:v>0</x:v>
      </x:c>
      <x:c r="M1461" s="9" t="n">
        <x:v>0</x:v>
      </x:c>
      <x:c r="N1461" s="9" t="str">
        <x:v>OPEN / UNACCEPTED</x:v>
      </x:c>
      <x:c r="O1461" s="9" t="n">
        <x:f>COUNTIFS($A$7:$A$1734,A1461)</x:f>
        <x:v>1</x:v>
      </x:c>
    </x:row>
    <x:row r="1462">
      <x:c r="A1462" s="9" t="str">
        <x:v>EV-AR-ET-A-A-TECH-4-B1-BRK-G0-OG04</x:v>
      </x:c>
      <x:c r="B1462" s="9" t="str">
        <x:v>EV-AR-ET-A-A-TECH-4-B1-BRK-G0</x:v>
      </x:c>
      <x:c r="C1462" s="9" t="str">
        <x:v>AR-ET-A-A-TECH-4-B1-BRK-G0</x:v>
      </x:c>
      <x:c r="D1462" s="9" t="str">
        <x:v>ET-A-A-TECH-4</x:v>
      </x:c>
      <x:c r="E1462" s="9" t="str">
        <x:v>ET-A-A</x:v>
      </x:c>
      <x:c r="F1462" s="9" t="str">
        <x:v>B1</x:v>
      </x:c>
      <x:c r="G1462" s="9" t="str">
        <x:v>BRK</x:v>
      </x:c>
      <x:c r="H1462" s="9" t="str">
        <x:v>OG04</x:v>
      </x:c>
      <x:c r="I1462" s="17" t="str">
        <x:v>Raw completeness</x:v>
      </x:c>
      <x:c r="J1462" s="17" t="str">
        <x:v>missingness is enumerated without imputation or outcome-conditioned deletion</x:v>
      </x:c>
      <x:c r="K1462" s="17" t="str">
        <x:v>Observation court</x:v>
      </x:c>
      <x:c r="L1462" s="9" t="n">
        <x:v>0</x:v>
      </x:c>
      <x:c r="M1462" s="9" t="n">
        <x:v>0</x:v>
      </x:c>
      <x:c r="N1462" s="9" t="str">
        <x:v>OPEN / UNACCEPTED</x:v>
      </x:c>
      <x:c r="O1462" s="9" t="n">
        <x:f>COUNTIFS($A$7:$A$1734,A1462)</x:f>
        <x:v>1</x:v>
      </x:c>
    </x:row>
    <x:row r="1463">
      <x:c r="A1463" s="9" t="str">
        <x:v>EV-AR-ET-A-A-TECH-4-B1-BRK-G0-OG05</x:v>
      </x:c>
      <x:c r="B1463" s="9" t="str">
        <x:v>EV-AR-ET-A-A-TECH-4-B1-BRK-G0</x:v>
      </x:c>
      <x:c r="C1463" s="9" t="str">
        <x:v>AR-ET-A-A-TECH-4-B1-BRK-G0</x:v>
      </x:c>
      <x:c r="D1463" s="9" t="str">
        <x:v>ET-A-A-TECH-4</x:v>
      </x:c>
      <x:c r="E1463" s="9" t="str">
        <x:v>ET-A-A</x:v>
      </x:c>
      <x:c r="F1463" s="9" t="str">
        <x:v>B1</x:v>
      </x:c>
      <x:c r="G1463" s="9" t="str">
        <x:v>BRK</x:v>
      </x:c>
      <x:c r="H1463" s="9" t="str">
        <x:v>OG05</x:v>
      </x:c>
      <x:c r="I1463" s="17" t="str">
        <x:v>Primary provenance</x:v>
      </x:c>
      <x:c r="J1463" s="17" t="str">
        <x:v>primary originals, hashes, keys and access history reconcile</x:v>
      </x:c>
      <x:c r="K1463" s="17" t="str">
        <x:v>Primary custody</x:v>
      </x:c>
      <x:c r="L1463" s="9" t="n">
        <x:v>0</x:v>
      </x:c>
      <x:c r="M1463" s="9" t="n">
        <x:v>0</x:v>
      </x:c>
      <x:c r="N1463" s="9" t="str">
        <x:v>OPEN / UNACCEPTED</x:v>
      </x:c>
      <x:c r="O1463" s="9" t="n">
        <x:f>COUNTIFS($A$7:$A$1734,A1463)</x:f>
        <x:v>1</x:v>
      </x:c>
    </x:row>
    <x:row r="1464">
      <x:c r="A1464" s="9" t="str">
        <x:v>EV-AR-ET-A-A-TECH-4-B1-BRK-G0-OG06</x:v>
      </x:c>
      <x:c r="B1464" s="9" t="str">
        <x:v>EV-AR-ET-A-A-TECH-4-B1-BRK-G0</x:v>
      </x:c>
      <x:c r="C1464" s="9" t="str">
        <x:v>AR-ET-A-A-TECH-4-B1-BRK-G0</x:v>
      </x:c>
      <x:c r="D1464" s="9" t="str">
        <x:v>ET-A-A-TECH-4</x:v>
      </x:c>
      <x:c r="E1464" s="9" t="str">
        <x:v>ET-A-A</x:v>
      </x:c>
      <x:c r="F1464" s="9" t="str">
        <x:v>B1</x:v>
      </x:c>
      <x:c r="G1464" s="9" t="str">
        <x:v>BRK</x:v>
      </x:c>
      <x:c r="H1464" s="9" t="str">
        <x:v>OG06</x:v>
      </x:c>
      <x:c r="I1464" s="17" t="str">
        <x:v>Witness provenance</x:v>
      </x:c>
      <x:c r="J1464" s="17" t="str">
        <x:v>unlike witness originals, hashes, keys and access history reconcile</x:v>
      </x:c>
      <x:c r="K1464" s="17" t="str">
        <x:v>Witness custody</x:v>
      </x:c>
      <x:c r="L1464" s="9" t="n">
        <x:v>0</x:v>
      </x:c>
      <x:c r="M1464" s="9" t="n">
        <x:v>0</x:v>
      </x:c>
      <x:c r="N1464" s="9" t="str">
        <x:v>OPEN / UNACCEPTED</x:v>
      </x:c>
      <x:c r="O1464" s="9" t="n">
        <x:f>COUNTIFS($A$7:$A$1734,A1464)</x:f>
        <x:v>1</x:v>
      </x:c>
    </x:row>
    <x:row r="1465">
      <x:c r="A1465" s="9" t="str">
        <x:v>EV-AR-ET-A-A-TECH-4-B1-BRK-G0-OG07</x:v>
      </x:c>
      <x:c r="B1465" s="9" t="str">
        <x:v>EV-AR-ET-A-A-TECH-4-B1-BRK-G0</x:v>
      </x:c>
      <x:c r="C1465" s="9" t="str">
        <x:v>AR-ET-A-A-TECH-4-B1-BRK-G0</x:v>
      </x:c>
      <x:c r="D1465" s="9" t="str">
        <x:v>ET-A-A-TECH-4</x:v>
      </x:c>
      <x:c r="E1465" s="9" t="str">
        <x:v>ET-A-A</x:v>
      </x:c>
      <x:c r="F1465" s="9" t="str">
        <x:v>B1</x:v>
      </x:c>
      <x:c r="G1465" s="9" t="str">
        <x:v>BRK</x:v>
      </x:c>
      <x:c r="H1465" s="9" t="str">
        <x:v>OG07</x:v>
      </x:c>
      <x:c r="I1465" s="17" t="str">
        <x:v>Receiver denominator</x:v>
      </x:c>
      <x:c r="J1465" s="17" t="str">
        <x:v>population, quantity, duration and exclusions match the frozen receipt</x:v>
      </x:c>
      <x:c r="K1465" s="17" t="str">
        <x:v>Receiver court</x:v>
      </x:c>
      <x:c r="L1465" s="9" t="n">
        <x:v>0</x:v>
      </x:c>
      <x:c r="M1465" s="9" t="n">
        <x:v>0</x:v>
      </x:c>
      <x:c r="N1465" s="9" t="str">
        <x:v>OPEN / UNACCEPTED</x:v>
      </x:c>
      <x:c r="O1465" s="9" t="n">
        <x:f>COUNTIFS($A$7:$A$1734,A1465)</x:f>
        <x:v>1</x:v>
      </x:c>
    </x:row>
    <x:row r="1466">
      <x:c r="A1466" s="9" t="str">
        <x:v>EV-AR-ET-A-A-TECH-4-B1-BRK-G0-OG08</x:v>
      </x:c>
      <x:c r="B1466" s="9" t="str">
        <x:v>EV-AR-ET-A-A-TECH-4-B1-BRK-G0</x:v>
      </x:c>
      <x:c r="C1466" s="9" t="str">
        <x:v>AR-ET-A-A-TECH-4-B1-BRK-G0</x:v>
      </x:c>
      <x:c r="D1466" s="9" t="str">
        <x:v>ET-A-A-TECH-4</x:v>
      </x:c>
      <x:c r="E1466" s="9" t="str">
        <x:v>ET-A-A</x:v>
      </x:c>
      <x:c r="F1466" s="9" t="str">
        <x:v>B1</x:v>
      </x:c>
      <x:c r="G1466" s="9" t="str">
        <x:v>BRK</x:v>
      </x:c>
      <x:c r="H1466" s="9" t="str">
        <x:v>OG08</x:v>
      </x:c>
      <x:c r="I1466" s="17" t="str">
        <x:v>Environment and boundary</x:v>
      </x:c>
      <x:c r="J1466" s="17" t="str">
        <x:v>registered weather, water, ground, inlet and outlet states are retained</x:v>
      </x:c>
      <x:c r="K1466" s="17" t="str">
        <x:v>Boundary court</x:v>
      </x:c>
      <x:c r="L1466" s="9" t="n">
        <x:v>0</x:v>
      </x:c>
      <x:c r="M1466" s="9" t="n">
        <x:v>0</x:v>
      </x:c>
      <x:c r="N1466" s="9" t="str">
        <x:v>OPEN / UNACCEPTED</x:v>
      </x:c>
      <x:c r="O1466" s="9" t="n">
        <x:f>COUNTIFS($A$7:$A$1734,A1466)</x:f>
        <x:v>1</x:v>
      </x:c>
    </x:row>
    <x:row r="1467">
      <x:c r="A1467" s="9" t="str">
        <x:v>EV-AR-ET-A-A-TECH-4-B1-BRK-G0-OG09</x:v>
      </x:c>
      <x:c r="B1467" s="9" t="str">
        <x:v>EV-AR-ET-A-A-TECH-4-B1-BRK-G0</x:v>
      </x:c>
      <x:c r="C1467" s="9" t="str">
        <x:v>AR-ET-A-A-TECH-4-B1-BRK-G0</x:v>
      </x:c>
      <x:c r="D1467" s="9" t="str">
        <x:v>ET-A-A-TECH-4</x:v>
      </x:c>
      <x:c r="E1467" s="9" t="str">
        <x:v>ET-A-A</x:v>
      </x:c>
      <x:c r="F1467" s="9" t="str">
        <x:v>B1</x:v>
      </x:c>
      <x:c r="G1467" s="9" t="str">
        <x:v>BRK</x:v>
      </x:c>
      <x:c r="H1467" s="9" t="str">
        <x:v>OG09</x:v>
      </x:c>
      <x:c r="I1467" s="17" t="str">
        <x:v>Intervention account</x:v>
      </x:c>
      <x:c r="J1467" s="17" t="str">
        <x:v>all stop, rescue, operator and public-protection actions remain timestamped</x:v>
      </x:c>
      <x:c r="K1467" s="17" t="str">
        <x:v>Safety record court</x:v>
      </x:c>
      <x:c r="L1467" s="9" t="n">
        <x:v>0</x:v>
      </x:c>
      <x:c r="M1467" s="9" t="n">
        <x:v>0</x:v>
      </x:c>
      <x:c r="N1467" s="9" t="str">
        <x:v>OPEN / UNACCEPTED</x:v>
      </x:c>
      <x:c r="O1467" s="9" t="n">
        <x:f>COUNTIFS($A$7:$A$1734,A1467)</x:f>
        <x:v>1</x:v>
      </x:c>
    </x:row>
    <x:row r="1468">
      <x:c r="A1468" s="9" t="str">
        <x:v>EV-AR-ET-A-A-TECH-4-B1-BRK-G0-OG10</x:v>
      </x:c>
      <x:c r="B1468" s="9" t="str">
        <x:v>EV-AR-ET-A-A-TECH-4-B1-BRK-G0</x:v>
      </x:c>
      <x:c r="C1468" s="9" t="str">
        <x:v>AR-ET-A-A-TECH-4-B1-BRK-G0</x:v>
      </x:c>
      <x:c r="D1468" s="9" t="str">
        <x:v>ET-A-A-TECH-4</x:v>
      </x:c>
      <x:c r="E1468" s="9" t="str">
        <x:v>ET-A-A</x:v>
      </x:c>
      <x:c r="F1468" s="9" t="str">
        <x:v>B1</x:v>
      </x:c>
      <x:c r="G1468" s="9" t="str">
        <x:v>BRK</x:v>
      </x:c>
      <x:c r="H1468" s="9" t="str">
        <x:v>OG10</x:v>
      </x:c>
      <x:c r="I1468" s="17" t="str">
        <x:v>Uncertainty statement</x:v>
      </x:c>
      <x:c r="J1468" s="17" t="str">
        <x:v>range, censoring, resolution and correlation are declared before judgment</x:v>
      </x:c>
      <x:c r="K1468" s="17" t="str">
        <x:v>Uncertainty authority</x:v>
      </x:c>
      <x:c r="L1468" s="9" t="n">
        <x:v>0</x:v>
      </x:c>
      <x:c r="M1468" s="9" t="n">
        <x:v>0</x:v>
      </x:c>
      <x:c r="N1468" s="9" t="str">
        <x:v>OPEN / UNACCEPTED</x:v>
      </x:c>
      <x:c r="O1468" s="9" t="n">
        <x:f>COUNTIFS($A$7:$A$1734,A1468)</x:f>
        <x:v>1</x:v>
      </x:c>
    </x:row>
    <x:row r="1469">
      <x:c r="A1469" s="9" t="str">
        <x:v>EV-AR-ET-A-A-TECH-4-B1-BRK-G0-OG11</x:v>
      </x:c>
      <x:c r="B1469" s="9" t="str">
        <x:v>EV-AR-ET-A-A-TECH-4-B1-BRK-G0</x:v>
      </x:c>
      <x:c r="C1469" s="9" t="str">
        <x:v>AR-ET-A-A-TECH-4-B1-BRK-G0</x:v>
      </x:c>
      <x:c r="D1469" s="9" t="str">
        <x:v>ET-A-A-TECH-4</x:v>
      </x:c>
      <x:c r="E1469" s="9" t="str">
        <x:v>ET-A-A</x:v>
      </x:c>
      <x:c r="F1469" s="9" t="str">
        <x:v>B1</x:v>
      </x:c>
      <x:c r="G1469" s="9" t="str">
        <x:v>BRK</x:v>
      </x:c>
      <x:c r="H1469" s="9" t="str">
        <x:v>OG11</x:v>
      </x:c>
      <x:c r="I1469" s="17" t="str">
        <x:v>Contradiction preservation</x:v>
      </x:c>
      <x:c r="J1469" s="17" t="str">
        <x:v>primary-witness disagreement remains explicit and is never averaged away</x:v>
      </x:c>
      <x:c r="K1469" s="17" t="str">
        <x:v>Dissent registrar</x:v>
      </x:c>
      <x:c r="L1469" s="9" t="n">
        <x:v>0</x:v>
      </x:c>
      <x:c r="M1469" s="9" t="n">
        <x:v>0</x:v>
      </x:c>
      <x:c r="N1469" s="9" t="str">
        <x:v>OPEN / UNACCEPTED</x:v>
      </x:c>
      <x:c r="O1469" s="9" t="n">
        <x:f>COUNTIFS($A$7:$A$1734,A1469)</x:f>
        <x:v>1</x:v>
      </x:c>
    </x:row>
    <x:row r="1470">
      <x:c r="A1470" s="9" t="str">
        <x:v>EV-AR-ET-A-A-TECH-4-B1-BRK-G0-OG12</x:v>
      </x:c>
      <x:c r="B1470" s="9" t="str">
        <x:v>EV-AR-ET-A-A-TECH-4-B1-BRK-G0</x:v>
      </x:c>
      <x:c r="C1470" s="9" t="str">
        <x:v>AR-ET-A-A-TECH-4-B1-BRK-G0</x:v>
      </x:c>
      <x:c r="D1470" s="9" t="str">
        <x:v>ET-A-A-TECH-4</x:v>
      </x:c>
      <x:c r="E1470" s="9" t="str">
        <x:v>ET-A-A</x:v>
      </x:c>
      <x:c r="F1470" s="9" t="str">
        <x:v>B1</x:v>
      </x:c>
      <x:c r="G1470" s="9" t="str">
        <x:v>BRK</x:v>
      </x:c>
      <x:c r="H1470" s="9" t="str">
        <x:v>OG12</x:v>
      </x:c>
      <x:c r="I1470" s="17" t="str">
        <x:v>Independent replay</x:v>
      </x:c>
      <x:c r="J1470" s="17" t="str">
        <x:v>a separated reader reconstructs the registered observables from sealed originals</x:v>
      </x:c>
      <x:c r="K1470" s="17" t="str">
        <x:v>Replay court</x:v>
      </x:c>
      <x:c r="L1470" s="9" t="n">
        <x:v>0</x:v>
      </x:c>
      <x:c r="M1470" s="9" t="n">
        <x:v>0</x:v>
      </x:c>
      <x:c r="N1470" s="9" t="str">
        <x:v>OPEN / UNACCEPTED</x:v>
      </x:c>
      <x:c r="O1470" s="9" t="n">
        <x:f>COUNTIFS($A$7:$A$1734,A1470)</x:f>
        <x:v>1</x:v>
      </x:c>
    </x:row>
    <x:row r="1471">
      <x:c r="A1471" s="9" t="str">
        <x:v>EV-AR-ET-A-A-TECH-3-B2-BRK-G0-OG01</x:v>
      </x:c>
      <x:c r="B1471" s="9" t="str">
        <x:v>EV-AR-ET-A-A-TECH-3-B2-BRK-G0</x:v>
      </x:c>
      <x:c r="C1471" s="9" t="str">
        <x:v>AR-ET-A-A-TECH-3-B2-BRK-G0</x:v>
      </x:c>
      <x:c r="D1471" s="9" t="str">
        <x:v>ET-A-A-TECH-3</x:v>
      </x:c>
      <x:c r="E1471" s="9" t="str">
        <x:v>ET-A-A</x:v>
      </x:c>
      <x:c r="F1471" s="9" t="str">
        <x:v>B2</x:v>
      </x:c>
      <x:c r="G1471" s="9" t="str">
        <x:v>BRK</x:v>
      </x:c>
      <x:c r="H1471" s="9" t="str">
        <x:v>OG01</x:v>
      </x:c>
      <x:c r="I1471" s="17" t="str">
        <x:v>Serial and event identity</x:v>
      </x:c>
      <x:c r="J1471" s="17" t="str">
        <x:v>record resolves to the issued serial, generation and physical start</x:v>
      </x:c>
      <x:c r="K1471" s="17" t="str">
        <x:v>Observation court</x:v>
      </x:c>
      <x:c r="L1471" s="9" t="n">
        <x:v>0</x:v>
      </x:c>
      <x:c r="M1471" s="9" t="n">
        <x:v>0</x:v>
      </x:c>
      <x:c r="N1471" s="9" t="str">
        <x:v>OPEN / UNACCEPTED</x:v>
      </x:c>
      <x:c r="O1471" s="9" t="n">
        <x:f>COUNTIFS($A$7:$A$1734,A1471)</x:f>
        <x:v>1</x:v>
      </x:c>
    </x:row>
    <x:row r="1472">
      <x:c r="A1472" s="9" t="str">
        <x:v>EV-AR-ET-A-A-TECH-3-B2-BRK-G0-OG02</x:v>
      </x:c>
      <x:c r="B1472" s="9" t="str">
        <x:v>EV-AR-ET-A-A-TECH-3-B2-BRK-G0</x:v>
      </x:c>
      <x:c r="C1472" s="9" t="str">
        <x:v>AR-ET-A-A-TECH-3-B2-BRK-G0</x:v>
      </x:c>
      <x:c r="D1472" s="9" t="str">
        <x:v>ET-A-A-TECH-3</x:v>
      </x:c>
      <x:c r="E1472" s="9" t="str">
        <x:v>ET-A-A</x:v>
      </x:c>
      <x:c r="F1472" s="9" t="str">
        <x:v>B2</x:v>
      </x:c>
      <x:c r="G1472" s="9" t="str">
        <x:v>BRK</x:v>
      </x:c>
      <x:c r="H1472" s="9" t="str">
        <x:v>OG02</x:v>
      </x:c>
      <x:c r="I1472" s="17" t="str">
        <x:v>Time ancestry</x:v>
      </x:c>
      <x:c r="J1472" s="17" t="str">
        <x:v>primary, witness and public event clocks retain declared offsets and drift</x:v>
      </x:c>
      <x:c r="K1472" s="17" t="str">
        <x:v>Time authority</x:v>
      </x:c>
      <x:c r="L1472" s="9" t="n">
        <x:v>0</x:v>
      </x:c>
      <x:c r="M1472" s="9" t="n">
        <x:v>0</x:v>
      </x:c>
      <x:c r="N1472" s="9" t="str">
        <x:v>OPEN / UNACCEPTED</x:v>
      </x:c>
      <x:c r="O1472" s="9" t="n">
        <x:f>COUNTIFS($A$7:$A$1734,A1472)</x:f>
        <x:v>1</x:v>
      </x:c>
    </x:row>
    <x:row r="1473">
      <x:c r="A1473" s="9" t="str">
        <x:v>EV-AR-ET-A-A-TECH-3-B2-BRK-G0-OG03</x:v>
      </x:c>
      <x:c r="B1473" s="9" t="str">
        <x:v>EV-AR-ET-A-A-TECH-3-B2-BRK-G0</x:v>
      </x:c>
      <x:c r="C1473" s="9" t="str">
        <x:v>AR-ET-A-A-TECH-3-B2-BRK-G0</x:v>
      </x:c>
      <x:c r="D1473" s="9" t="str">
        <x:v>ET-A-A-TECH-3</x:v>
      </x:c>
      <x:c r="E1473" s="9" t="str">
        <x:v>ET-A-A</x:v>
      </x:c>
      <x:c r="F1473" s="9" t="str">
        <x:v>B2</x:v>
      </x:c>
      <x:c r="G1473" s="9" t="str">
        <x:v>BRK</x:v>
      </x:c>
      <x:c r="H1473" s="9" t="str">
        <x:v>OG03</x:v>
      </x:c>
      <x:c r="I1473" s="17" t="str">
        <x:v>Calibration ancestry</x:v>
      </x:c>
      <x:c r="J1473" s="17" t="str">
        <x:v>all reference, range and uncertainty states cover the live interval</x:v>
      </x:c>
      <x:c r="K1473" s="17" t="str">
        <x:v>Metrology courts</x:v>
      </x:c>
      <x:c r="L1473" s="9" t="n">
        <x:v>0</x:v>
      </x:c>
      <x:c r="M1473" s="9" t="n">
        <x:v>0</x:v>
      </x:c>
      <x:c r="N1473" s="9" t="str">
        <x:v>OPEN / UNACCEPTED</x:v>
      </x:c>
      <x:c r="O1473" s="9" t="n">
        <x:f>COUNTIFS($A$7:$A$1734,A1473)</x:f>
        <x:v>1</x:v>
      </x:c>
    </x:row>
    <x:row r="1474">
      <x:c r="A1474" s="9" t="str">
        <x:v>EV-AR-ET-A-A-TECH-3-B2-BRK-G0-OG04</x:v>
      </x:c>
      <x:c r="B1474" s="9" t="str">
        <x:v>EV-AR-ET-A-A-TECH-3-B2-BRK-G0</x:v>
      </x:c>
      <x:c r="C1474" s="9" t="str">
        <x:v>AR-ET-A-A-TECH-3-B2-BRK-G0</x:v>
      </x:c>
      <x:c r="D1474" s="9" t="str">
        <x:v>ET-A-A-TECH-3</x:v>
      </x:c>
      <x:c r="E1474" s="9" t="str">
        <x:v>ET-A-A</x:v>
      </x:c>
      <x:c r="F1474" s="9" t="str">
        <x:v>B2</x:v>
      </x:c>
      <x:c r="G1474" s="9" t="str">
        <x:v>BRK</x:v>
      </x:c>
      <x:c r="H1474" s="9" t="str">
        <x:v>OG04</x:v>
      </x:c>
      <x:c r="I1474" s="17" t="str">
        <x:v>Raw completeness</x:v>
      </x:c>
      <x:c r="J1474" s="17" t="str">
        <x:v>missingness is enumerated without imputation or outcome-conditioned deletion</x:v>
      </x:c>
      <x:c r="K1474" s="17" t="str">
        <x:v>Observation court</x:v>
      </x:c>
      <x:c r="L1474" s="9" t="n">
        <x:v>0</x:v>
      </x:c>
      <x:c r="M1474" s="9" t="n">
        <x:v>0</x:v>
      </x:c>
      <x:c r="N1474" s="9" t="str">
        <x:v>OPEN / UNACCEPTED</x:v>
      </x:c>
      <x:c r="O1474" s="9" t="n">
        <x:f>COUNTIFS($A$7:$A$1734,A1474)</x:f>
        <x:v>1</x:v>
      </x:c>
    </x:row>
    <x:row r="1475">
      <x:c r="A1475" s="9" t="str">
        <x:v>EV-AR-ET-A-A-TECH-3-B2-BRK-G0-OG05</x:v>
      </x:c>
      <x:c r="B1475" s="9" t="str">
        <x:v>EV-AR-ET-A-A-TECH-3-B2-BRK-G0</x:v>
      </x:c>
      <x:c r="C1475" s="9" t="str">
        <x:v>AR-ET-A-A-TECH-3-B2-BRK-G0</x:v>
      </x:c>
      <x:c r="D1475" s="9" t="str">
        <x:v>ET-A-A-TECH-3</x:v>
      </x:c>
      <x:c r="E1475" s="9" t="str">
        <x:v>ET-A-A</x:v>
      </x:c>
      <x:c r="F1475" s="9" t="str">
        <x:v>B2</x:v>
      </x:c>
      <x:c r="G1475" s="9" t="str">
        <x:v>BRK</x:v>
      </x:c>
      <x:c r="H1475" s="9" t="str">
        <x:v>OG05</x:v>
      </x:c>
      <x:c r="I1475" s="17" t="str">
        <x:v>Primary provenance</x:v>
      </x:c>
      <x:c r="J1475" s="17" t="str">
        <x:v>primary originals, hashes, keys and access history reconcile</x:v>
      </x:c>
      <x:c r="K1475" s="17" t="str">
        <x:v>Primary custody</x:v>
      </x:c>
      <x:c r="L1475" s="9" t="n">
        <x:v>0</x:v>
      </x:c>
      <x:c r="M1475" s="9" t="n">
        <x:v>0</x:v>
      </x:c>
      <x:c r="N1475" s="9" t="str">
        <x:v>OPEN / UNACCEPTED</x:v>
      </x:c>
      <x:c r="O1475" s="9" t="n">
        <x:f>COUNTIFS($A$7:$A$1734,A1475)</x:f>
        <x:v>1</x:v>
      </x:c>
    </x:row>
    <x:row r="1476">
      <x:c r="A1476" s="9" t="str">
        <x:v>EV-AR-ET-A-A-TECH-3-B2-BRK-G0-OG06</x:v>
      </x:c>
      <x:c r="B1476" s="9" t="str">
        <x:v>EV-AR-ET-A-A-TECH-3-B2-BRK-G0</x:v>
      </x:c>
      <x:c r="C1476" s="9" t="str">
        <x:v>AR-ET-A-A-TECH-3-B2-BRK-G0</x:v>
      </x:c>
      <x:c r="D1476" s="9" t="str">
        <x:v>ET-A-A-TECH-3</x:v>
      </x:c>
      <x:c r="E1476" s="9" t="str">
        <x:v>ET-A-A</x:v>
      </x:c>
      <x:c r="F1476" s="9" t="str">
        <x:v>B2</x:v>
      </x:c>
      <x:c r="G1476" s="9" t="str">
        <x:v>BRK</x:v>
      </x:c>
      <x:c r="H1476" s="9" t="str">
        <x:v>OG06</x:v>
      </x:c>
      <x:c r="I1476" s="17" t="str">
        <x:v>Witness provenance</x:v>
      </x:c>
      <x:c r="J1476" s="17" t="str">
        <x:v>unlike witness originals, hashes, keys and access history reconcile</x:v>
      </x:c>
      <x:c r="K1476" s="17" t="str">
        <x:v>Witness custody</x:v>
      </x:c>
      <x:c r="L1476" s="9" t="n">
        <x:v>0</x:v>
      </x:c>
      <x:c r="M1476" s="9" t="n">
        <x:v>0</x:v>
      </x:c>
      <x:c r="N1476" s="9" t="str">
        <x:v>OPEN / UNACCEPTED</x:v>
      </x:c>
      <x:c r="O1476" s="9" t="n">
        <x:f>COUNTIFS($A$7:$A$1734,A1476)</x:f>
        <x:v>1</x:v>
      </x:c>
    </x:row>
    <x:row r="1477">
      <x:c r="A1477" s="9" t="str">
        <x:v>EV-AR-ET-A-A-TECH-3-B2-BRK-G0-OG07</x:v>
      </x:c>
      <x:c r="B1477" s="9" t="str">
        <x:v>EV-AR-ET-A-A-TECH-3-B2-BRK-G0</x:v>
      </x:c>
      <x:c r="C1477" s="9" t="str">
        <x:v>AR-ET-A-A-TECH-3-B2-BRK-G0</x:v>
      </x:c>
      <x:c r="D1477" s="9" t="str">
        <x:v>ET-A-A-TECH-3</x:v>
      </x:c>
      <x:c r="E1477" s="9" t="str">
        <x:v>ET-A-A</x:v>
      </x:c>
      <x:c r="F1477" s="9" t="str">
        <x:v>B2</x:v>
      </x:c>
      <x:c r="G1477" s="9" t="str">
        <x:v>BRK</x:v>
      </x:c>
      <x:c r="H1477" s="9" t="str">
        <x:v>OG07</x:v>
      </x:c>
      <x:c r="I1477" s="17" t="str">
        <x:v>Receiver denominator</x:v>
      </x:c>
      <x:c r="J1477" s="17" t="str">
        <x:v>population, quantity, duration and exclusions match the frozen receipt</x:v>
      </x:c>
      <x:c r="K1477" s="17" t="str">
        <x:v>Receiver court</x:v>
      </x:c>
      <x:c r="L1477" s="9" t="n">
        <x:v>0</x:v>
      </x:c>
      <x:c r="M1477" s="9" t="n">
        <x:v>0</x:v>
      </x:c>
      <x:c r="N1477" s="9" t="str">
        <x:v>OPEN / UNACCEPTED</x:v>
      </x:c>
      <x:c r="O1477" s="9" t="n">
        <x:f>COUNTIFS($A$7:$A$1734,A1477)</x:f>
        <x:v>1</x:v>
      </x:c>
    </x:row>
    <x:row r="1478">
      <x:c r="A1478" s="9" t="str">
        <x:v>EV-AR-ET-A-A-TECH-3-B2-BRK-G0-OG08</x:v>
      </x:c>
      <x:c r="B1478" s="9" t="str">
        <x:v>EV-AR-ET-A-A-TECH-3-B2-BRK-G0</x:v>
      </x:c>
      <x:c r="C1478" s="9" t="str">
        <x:v>AR-ET-A-A-TECH-3-B2-BRK-G0</x:v>
      </x:c>
      <x:c r="D1478" s="9" t="str">
        <x:v>ET-A-A-TECH-3</x:v>
      </x:c>
      <x:c r="E1478" s="9" t="str">
        <x:v>ET-A-A</x:v>
      </x:c>
      <x:c r="F1478" s="9" t="str">
        <x:v>B2</x:v>
      </x:c>
      <x:c r="G1478" s="9" t="str">
        <x:v>BRK</x:v>
      </x:c>
      <x:c r="H1478" s="9" t="str">
        <x:v>OG08</x:v>
      </x:c>
      <x:c r="I1478" s="17" t="str">
        <x:v>Environment and boundary</x:v>
      </x:c>
      <x:c r="J1478" s="17" t="str">
        <x:v>registered weather, water, ground, inlet and outlet states are retained</x:v>
      </x:c>
      <x:c r="K1478" s="17" t="str">
        <x:v>Boundary court</x:v>
      </x:c>
      <x:c r="L1478" s="9" t="n">
        <x:v>0</x:v>
      </x:c>
      <x:c r="M1478" s="9" t="n">
        <x:v>0</x:v>
      </x:c>
      <x:c r="N1478" s="9" t="str">
        <x:v>OPEN / UNACCEPTED</x:v>
      </x:c>
      <x:c r="O1478" s="9" t="n">
        <x:f>COUNTIFS($A$7:$A$1734,A1478)</x:f>
        <x:v>1</x:v>
      </x:c>
    </x:row>
    <x:row r="1479">
      <x:c r="A1479" s="9" t="str">
        <x:v>EV-AR-ET-A-A-TECH-3-B2-BRK-G0-OG09</x:v>
      </x:c>
      <x:c r="B1479" s="9" t="str">
        <x:v>EV-AR-ET-A-A-TECH-3-B2-BRK-G0</x:v>
      </x:c>
      <x:c r="C1479" s="9" t="str">
        <x:v>AR-ET-A-A-TECH-3-B2-BRK-G0</x:v>
      </x:c>
      <x:c r="D1479" s="9" t="str">
        <x:v>ET-A-A-TECH-3</x:v>
      </x:c>
      <x:c r="E1479" s="9" t="str">
        <x:v>ET-A-A</x:v>
      </x:c>
      <x:c r="F1479" s="9" t="str">
        <x:v>B2</x:v>
      </x:c>
      <x:c r="G1479" s="9" t="str">
        <x:v>BRK</x:v>
      </x:c>
      <x:c r="H1479" s="9" t="str">
        <x:v>OG09</x:v>
      </x:c>
      <x:c r="I1479" s="17" t="str">
        <x:v>Intervention account</x:v>
      </x:c>
      <x:c r="J1479" s="17" t="str">
        <x:v>all stop, rescue, operator and public-protection actions remain timestamped</x:v>
      </x:c>
      <x:c r="K1479" s="17" t="str">
        <x:v>Safety record court</x:v>
      </x:c>
      <x:c r="L1479" s="9" t="n">
        <x:v>0</x:v>
      </x:c>
      <x:c r="M1479" s="9" t="n">
        <x:v>0</x:v>
      </x:c>
      <x:c r="N1479" s="9" t="str">
        <x:v>OPEN / UNACCEPTED</x:v>
      </x:c>
      <x:c r="O1479" s="9" t="n">
        <x:f>COUNTIFS($A$7:$A$1734,A1479)</x:f>
        <x:v>1</x:v>
      </x:c>
    </x:row>
    <x:row r="1480">
      <x:c r="A1480" s="9" t="str">
        <x:v>EV-AR-ET-A-A-TECH-3-B2-BRK-G0-OG10</x:v>
      </x:c>
      <x:c r="B1480" s="9" t="str">
        <x:v>EV-AR-ET-A-A-TECH-3-B2-BRK-G0</x:v>
      </x:c>
      <x:c r="C1480" s="9" t="str">
        <x:v>AR-ET-A-A-TECH-3-B2-BRK-G0</x:v>
      </x:c>
      <x:c r="D1480" s="9" t="str">
        <x:v>ET-A-A-TECH-3</x:v>
      </x:c>
      <x:c r="E1480" s="9" t="str">
        <x:v>ET-A-A</x:v>
      </x:c>
      <x:c r="F1480" s="9" t="str">
        <x:v>B2</x:v>
      </x:c>
      <x:c r="G1480" s="9" t="str">
        <x:v>BRK</x:v>
      </x:c>
      <x:c r="H1480" s="9" t="str">
        <x:v>OG10</x:v>
      </x:c>
      <x:c r="I1480" s="17" t="str">
        <x:v>Uncertainty statement</x:v>
      </x:c>
      <x:c r="J1480" s="17" t="str">
        <x:v>range, censoring, resolution and correlation are declared before judgment</x:v>
      </x:c>
      <x:c r="K1480" s="17" t="str">
        <x:v>Uncertainty authority</x:v>
      </x:c>
      <x:c r="L1480" s="9" t="n">
        <x:v>0</x:v>
      </x:c>
      <x:c r="M1480" s="9" t="n">
        <x:v>0</x:v>
      </x:c>
      <x:c r="N1480" s="9" t="str">
        <x:v>OPEN / UNACCEPTED</x:v>
      </x:c>
      <x:c r="O1480" s="9" t="n">
        <x:f>COUNTIFS($A$7:$A$1734,A1480)</x:f>
        <x:v>1</x:v>
      </x:c>
    </x:row>
    <x:row r="1481">
      <x:c r="A1481" s="9" t="str">
        <x:v>EV-AR-ET-A-A-TECH-3-B2-BRK-G0-OG11</x:v>
      </x:c>
      <x:c r="B1481" s="9" t="str">
        <x:v>EV-AR-ET-A-A-TECH-3-B2-BRK-G0</x:v>
      </x:c>
      <x:c r="C1481" s="9" t="str">
        <x:v>AR-ET-A-A-TECH-3-B2-BRK-G0</x:v>
      </x:c>
      <x:c r="D1481" s="9" t="str">
        <x:v>ET-A-A-TECH-3</x:v>
      </x:c>
      <x:c r="E1481" s="9" t="str">
        <x:v>ET-A-A</x:v>
      </x:c>
      <x:c r="F1481" s="9" t="str">
        <x:v>B2</x:v>
      </x:c>
      <x:c r="G1481" s="9" t="str">
        <x:v>BRK</x:v>
      </x:c>
      <x:c r="H1481" s="9" t="str">
        <x:v>OG11</x:v>
      </x:c>
      <x:c r="I1481" s="17" t="str">
        <x:v>Contradiction preservation</x:v>
      </x:c>
      <x:c r="J1481" s="17" t="str">
        <x:v>primary-witness disagreement remains explicit and is never averaged away</x:v>
      </x:c>
      <x:c r="K1481" s="17" t="str">
        <x:v>Dissent registrar</x:v>
      </x:c>
      <x:c r="L1481" s="9" t="n">
        <x:v>0</x:v>
      </x:c>
      <x:c r="M1481" s="9" t="n">
        <x:v>0</x:v>
      </x:c>
      <x:c r="N1481" s="9" t="str">
        <x:v>OPEN / UNACCEPTED</x:v>
      </x:c>
      <x:c r="O1481" s="9" t="n">
        <x:f>COUNTIFS($A$7:$A$1734,A1481)</x:f>
        <x:v>1</x:v>
      </x:c>
    </x:row>
    <x:row r="1482">
      <x:c r="A1482" s="9" t="str">
        <x:v>EV-AR-ET-A-A-TECH-3-B2-BRK-G0-OG12</x:v>
      </x:c>
      <x:c r="B1482" s="9" t="str">
        <x:v>EV-AR-ET-A-A-TECH-3-B2-BRK-G0</x:v>
      </x:c>
      <x:c r="C1482" s="9" t="str">
        <x:v>AR-ET-A-A-TECH-3-B2-BRK-G0</x:v>
      </x:c>
      <x:c r="D1482" s="9" t="str">
        <x:v>ET-A-A-TECH-3</x:v>
      </x:c>
      <x:c r="E1482" s="9" t="str">
        <x:v>ET-A-A</x:v>
      </x:c>
      <x:c r="F1482" s="9" t="str">
        <x:v>B2</x:v>
      </x:c>
      <x:c r="G1482" s="9" t="str">
        <x:v>BRK</x:v>
      </x:c>
      <x:c r="H1482" s="9" t="str">
        <x:v>OG12</x:v>
      </x:c>
      <x:c r="I1482" s="17" t="str">
        <x:v>Independent replay</x:v>
      </x:c>
      <x:c r="J1482" s="17" t="str">
        <x:v>a separated reader reconstructs the registered observables from sealed originals</x:v>
      </x:c>
      <x:c r="K1482" s="17" t="str">
        <x:v>Replay court</x:v>
      </x:c>
      <x:c r="L1482" s="9" t="n">
        <x:v>0</x:v>
      </x:c>
      <x:c r="M1482" s="9" t="n">
        <x:v>0</x:v>
      </x:c>
      <x:c r="N1482" s="9" t="str">
        <x:v>OPEN / UNACCEPTED</x:v>
      </x:c>
      <x:c r="O1482" s="9" t="n">
        <x:f>COUNTIFS($A$7:$A$1734,A1482)</x:f>
        <x:v>1</x:v>
      </x:c>
    </x:row>
    <x:row r="1483">
      <x:c r="A1483" s="9" t="str">
        <x:v>EV-AR-HC-A-C-TECH-4-B1-INT-G0-OG01</x:v>
      </x:c>
      <x:c r="B1483" s="9" t="str">
        <x:v>EV-AR-HC-A-C-TECH-4-B1-INT-G0</x:v>
      </x:c>
      <x:c r="C1483" s="9" t="str">
        <x:v>AR-HC-A-C-TECH-4-B1-INT-G0</x:v>
      </x:c>
      <x:c r="D1483" s="9" t="str">
        <x:v>HC-A-C-TECH-4</x:v>
      </x:c>
      <x:c r="E1483" s="9" t="str">
        <x:v>HC-A-C</x:v>
      </x:c>
      <x:c r="F1483" s="9" t="str">
        <x:v>B1</x:v>
      </x:c>
      <x:c r="G1483" s="9" t="str">
        <x:v>INT</x:v>
      </x:c>
      <x:c r="H1483" s="9" t="str">
        <x:v>OG01</x:v>
      </x:c>
      <x:c r="I1483" s="17" t="str">
        <x:v>Serial and event identity</x:v>
      </x:c>
      <x:c r="J1483" s="17" t="str">
        <x:v>record resolves to the issued serial, generation and physical start</x:v>
      </x:c>
      <x:c r="K1483" s="17" t="str">
        <x:v>Observation court</x:v>
      </x:c>
      <x:c r="L1483" s="9" t="n">
        <x:v>0</x:v>
      </x:c>
      <x:c r="M1483" s="9" t="n">
        <x:v>0</x:v>
      </x:c>
      <x:c r="N1483" s="9" t="str">
        <x:v>OPEN / UNACCEPTED</x:v>
      </x:c>
      <x:c r="O1483" s="9" t="n">
        <x:f>COUNTIFS($A$7:$A$1734,A1483)</x:f>
        <x:v>1</x:v>
      </x:c>
    </x:row>
    <x:row r="1484">
      <x:c r="A1484" s="9" t="str">
        <x:v>EV-AR-HC-A-C-TECH-4-B1-INT-G0-OG02</x:v>
      </x:c>
      <x:c r="B1484" s="9" t="str">
        <x:v>EV-AR-HC-A-C-TECH-4-B1-INT-G0</x:v>
      </x:c>
      <x:c r="C1484" s="9" t="str">
        <x:v>AR-HC-A-C-TECH-4-B1-INT-G0</x:v>
      </x:c>
      <x:c r="D1484" s="9" t="str">
        <x:v>HC-A-C-TECH-4</x:v>
      </x:c>
      <x:c r="E1484" s="9" t="str">
        <x:v>HC-A-C</x:v>
      </x:c>
      <x:c r="F1484" s="9" t="str">
        <x:v>B1</x:v>
      </x:c>
      <x:c r="G1484" s="9" t="str">
        <x:v>INT</x:v>
      </x:c>
      <x:c r="H1484" s="9" t="str">
        <x:v>OG02</x:v>
      </x:c>
      <x:c r="I1484" s="17" t="str">
        <x:v>Time ancestry</x:v>
      </x:c>
      <x:c r="J1484" s="17" t="str">
        <x:v>primary, witness and public event clocks retain declared offsets and drift</x:v>
      </x:c>
      <x:c r="K1484" s="17" t="str">
        <x:v>Time authority</x:v>
      </x:c>
      <x:c r="L1484" s="9" t="n">
        <x:v>0</x:v>
      </x:c>
      <x:c r="M1484" s="9" t="n">
        <x:v>0</x:v>
      </x:c>
      <x:c r="N1484" s="9" t="str">
        <x:v>OPEN / UNACCEPTED</x:v>
      </x:c>
      <x:c r="O1484" s="9" t="n">
        <x:f>COUNTIFS($A$7:$A$1734,A1484)</x:f>
        <x:v>1</x:v>
      </x:c>
    </x:row>
    <x:row r="1485">
      <x:c r="A1485" s="9" t="str">
        <x:v>EV-AR-HC-A-C-TECH-4-B1-INT-G0-OG03</x:v>
      </x:c>
      <x:c r="B1485" s="9" t="str">
        <x:v>EV-AR-HC-A-C-TECH-4-B1-INT-G0</x:v>
      </x:c>
      <x:c r="C1485" s="9" t="str">
        <x:v>AR-HC-A-C-TECH-4-B1-INT-G0</x:v>
      </x:c>
      <x:c r="D1485" s="9" t="str">
        <x:v>HC-A-C-TECH-4</x:v>
      </x:c>
      <x:c r="E1485" s="9" t="str">
        <x:v>HC-A-C</x:v>
      </x:c>
      <x:c r="F1485" s="9" t="str">
        <x:v>B1</x:v>
      </x:c>
      <x:c r="G1485" s="9" t="str">
        <x:v>INT</x:v>
      </x:c>
      <x:c r="H1485" s="9" t="str">
        <x:v>OG03</x:v>
      </x:c>
      <x:c r="I1485" s="17" t="str">
        <x:v>Calibration ancestry</x:v>
      </x:c>
      <x:c r="J1485" s="17" t="str">
        <x:v>all reference, range and uncertainty states cover the live interval</x:v>
      </x:c>
      <x:c r="K1485" s="17" t="str">
        <x:v>Metrology courts</x:v>
      </x:c>
      <x:c r="L1485" s="9" t="n">
        <x:v>0</x:v>
      </x:c>
      <x:c r="M1485" s="9" t="n">
        <x:v>0</x:v>
      </x:c>
      <x:c r="N1485" s="9" t="str">
        <x:v>OPEN / UNACCEPTED</x:v>
      </x:c>
      <x:c r="O1485" s="9" t="n">
        <x:f>COUNTIFS($A$7:$A$1734,A1485)</x:f>
        <x:v>1</x:v>
      </x:c>
    </x:row>
    <x:row r="1486">
      <x:c r="A1486" s="9" t="str">
        <x:v>EV-AR-HC-A-C-TECH-4-B1-INT-G0-OG04</x:v>
      </x:c>
      <x:c r="B1486" s="9" t="str">
        <x:v>EV-AR-HC-A-C-TECH-4-B1-INT-G0</x:v>
      </x:c>
      <x:c r="C1486" s="9" t="str">
        <x:v>AR-HC-A-C-TECH-4-B1-INT-G0</x:v>
      </x:c>
      <x:c r="D1486" s="9" t="str">
        <x:v>HC-A-C-TECH-4</x:v>
      </x:c>
      <x:c r="E1486" s="9" t="str">
        <x:v>HC-A-C</x:v>
      </x:c>
      <x:c r="F1486" s="9" t="str">
        <x:v>B1</x:v>
      </x:c>
      <x:c r="G1486" s="9" t="str">
        <x:v>INT</x:v>
      </x:c>
      <x:c r="H1486" s="9" t="str">
        <x:v>OG04</x:v>
      </x:c>
      <x:c r="I1486" s="17" t="str">
        <x:v>Raw completeness</x:v>
      </x:c>
      <x:c r="J1486" s="17" t="str">
        <x:v>missingness is enumerated without imputation or outcome-conditioned deletion</x:v>
      </x:c>
      <x:c r="K1486" s="17" t="str">
        <x:v>Observation court</x:v>
      </x:c>
      <x:c r="L1486" s="9" t="n">
        <x:v>0</x:v>
      </x:c>
      <x:c r="M1486" s="9" t="n">
        <x:v>0</x:v>
      </x:c>
      <x:c r="N1486" s="9" t="str">
        <x:v>OPEN / UNACCEPTED</x:v>
      </x:c>
      <x:c r="O1486" s="9" t="n">
        <x:f>COUNTIFS($A$7:$A$1734,A1486)</x:f>
        <x:v>1</x:v>
      </x:c>
    </x:row>
    <x:row r="1487">
      <x:c r="A1487" s="9" t="str">
        <x:v>EV-AR-HC-A-C-TECH-4-B1-INT-G0-OG05</x:v>
      </x:c>
      <x:c r="B1487" s="9" t="str">
        <x:v>EV-AR-HC-A-C-TECH-4-B1-INT-G0</x:v>
      </x:c>
      <x:c r="C1487" s="9" t="str">
        <x:v>AR-HC-A-C-TECH-4-B1-INT-G0</x:v>
      </x:c>
      <x:c r="D1487" s="9" t="str">
        <x:v>HC-A-C-TECH-4</x:v>
      </x:c>
      <x:c r="E1487" s="9" t="str">
        <x:v>HC-A-C</x:v>
      </x:c>
      <x:c r="F1487" s="9" t="str">
        <x:v>B1</x:v>
      </x:c>
      <x:c r="G1487" s="9" t="str">
        <x:v>INT</x:v>
      </x:c>
      <x:c r="H1487" s="9" t="str">
        <x:v>OG05</x:v>
      </x:c>
      <x:c r="I1487" s="17" t="str">
        <x:v>Primary provenance</x:v>
      </x:c>
      <x:c r="J1487" s="17" t="str">
        <x:v>primary originals, hashes, keys and access history reconcile</x:v>
      </x:c>
      <x:c r="K1487" s="17" t="str">
        <x:v>Primary custody</x:v>
      </x:c>
      <x:c r="L1487" s="9" t="n">
        <x:v>0</x:v>
      </x:c>
      <x:c r="M1487" s="9" t="n">
        <x:v>0</x:v>
      </x:c>
      <x:c r="N1487" s="9" t="str">
        <x:v>OPEN / UNACCEPTED</x:v>
      </x:c>
      <x:c r="O1487" s="9" t="n">
        <x:f>COUNTIFS($A$7:$A$1734,A1487)</x:f>
        <x:v>1</x:v>
      </x:c>
    </x:row>
    <x:row r="1488">
      <x:c r="A1488" s="9" t="str">
        <x:v>EV-AR-HC-A-C-TECH-4-B1-INT-G0-OG06</x:v>
      </x:c>
      <x:c r="B1488" s="9" t="str">
        <x:v>EV-AR-HC-A-C-TECH-4-B1-INT-G0</x:v>
      </x:c>
      <x:c r="C1488" s="9" t="str">
        <x:v>AR-HC-A-C-TECH-4-B1-INT-G0</x:v>
      </x:c>
      <x:c r="D1488" s="9" t="str">
        <x:v>HC-A-C-TECH-4</x:v>
      </x:c>
      <x:c r="E1488" s="9" t="str">
        <x:v>HC-A-C</x:v>
      </x:c>
      <x:c r="F1488" s="9" t="str">
        <x:v>B1</x:v>
      </x:c>
      <x:c r="G1488" s="9" t="str">
        <x:v>INT</x:v>
      </x:c>
      <x:c r="H1488" s="9" t="str">
        <x:v>OG06</x:v>
      </x:c>
      <x:c r="I1488" s="17" t="str">
        <x:v>Witness provenance</x:v>
      </x:c>
      <x:c r="J1488" s="17" t="str">
        <x:v>unlike witness originals, hashes, keys and access history reconcile</x:v>
      </x:c>
      <x:c r="K1488" s="17" t="str">
        <x:v>Witness custody</x:v>
      </x:c>
      <x:c r="L1488" s="9" t="n">
        <x:v>0</x:v>
      </x:c>
      <x:c r="M1488" s="9" t="n">
        <x:v>0</x:v>
      </x:c>
      <x:c r="N1488" s="9" t="str">
        <x:v>OPEN / UNACCEPTED</x:v>
      </x:c>
      <x:c r="O1488" s="9" t="n">
        <x:f>COUNTIFS($A$7:$A$1734,A1488)</x:f>
        <x:v>1</x:v>
      </x:c>
    </x:row>
    <x:row r="1489">
      <x:c r="A1489" s="9" t="str">
        <x:v>EV-AR-HC-A-C-TECH-4-B1-INT-G0-OG07</x:v>
      </x:c>
      <x:c r="B1489" s="9" t="str">
        <x:v>EV-AR-HC-A-C-TECH-4-B1-INT-G0</x:v>
      </x:c>
      <x:c r="C1489" s="9" t="str">
        <x:v>AR-HC-A-C-TECH-4-B1-INT-G0</x:v>
      </x:c>
      <x:c r="D1489" s="9" t="str">
        <x:v>HC-A-C-TECH-4</x:v>
      </x:c>
      <x:c r="E1489" s="9" t="str">
        <x:v>HC-A-C</x:v>
      </x:c>
      <x:c r="F1489" s="9" t="str">
        <x:v>B1</x:v>
      </x:c>
      <x:c r="G1489" s="9" t="str">
        <x:v>INT</x:v>
      </x:c>
      <x:c r="H1489" s="9" t="str">
        <x:v>OG07</x:v>
      </x:c>
      <x:c r="I1489" s="17" t="str">
        <x:v>Receiver denominator</x:v>
      </x:c>
      <x:c r="J1489" s="17" t="str">
        <x:v>population, quantity, duration and exclusions match the frozen receipt</x:v>
      </x:c>
      <x:c r="K1489" s="17" t="str">
        <x:v>Receiver court</x:v>
      </x:c>
      <x:c r="L1489" s="9" t="n">
        <x:v>0</x:v>
      </x:c>
      <x:c r="M1489" s="9" t="n">
        <x:v>0</x:v>
      </x:c>
      <x:c r="N1489" s="9" t="str">
        <x:v>OPEN / UNACCEPTED</x:v>
      </x:c>
      <x:c r="O1489" s="9" t="n">
        <x:f>COUNTIFS($A$7:$A$1734,A1489)</x:f>
        <x:v>1</x:v>
      </x:c>
    </x:row>
    <x:row r="1490">
      <x:c r="A1490" s="9" t="str">
        <x:v>EV-AR-HC-A-C-TECH-4-B1-INT-G0-OG08</x:v>
      </x:c>
      <x:c r="B1490" s="9" t="str">
        <x:v>EV-AR-HC-A-C-TECH-4-B1-INT-G0</x:v>
      </x:c>
      <x:c r="C1490" s="9" t="str">
        <x:v>AR-HC-A-C-TECH-4-B1-INT-G0</x:v>
      </x:c>
      <x:c r="D1490" s="9" t="str">
        <x:v>HC-A-C-TECH-4</x:v>
      </x:c>
      <x:c r="E1490" s="9" t="str">
        <x:v>HC-A-C</x:v>
      </x:c>
      <x:c r="F1490" s="9" t="str">
        <x:v>B1</x:v>
      </x:c>
      <x:c r="G1490" s="9" t="str">
        <x:v>INT</x:v>
      </x:c>
      <x:c r="H1490" s="9" t="str">
        <x:v>OG08</x:v>
      </x:c>
      <x:c r="I1490" s="17" t="str">
        <x:v>Environment and boundary</x:v>
      </x:c>
      <x:c r="J1490" s="17" t="str">
        <x:v>registered weather, water, ground, inlet and outlet states are retained</x:v>
      </x:c>
      <x:c r="K1490" s="17" t="str">
        <x:v>Boundary court</x:v>
      </x:c>
      <x:c r="L1490" s="9" t="n">
        <x:v>0</x:v>
      </x:c>
      <x:c r="M1490" s="9" t="n">
        <x:v>0</x:v>
      </x:c>
      <x:c r="N1490" s="9" t="str">
        <x:v>OPEN / UNACCEPTED</x:v>
      </x:c>
      <x:c r="O1490" s="9" t="n">
        <x:f>COUNTIFS($A$7:$A$1734,A1490)</x:f>
        <x:v>1</x:v>
      </x:c>
    </x:row>
    <x:row r="1491">
      <x:c r="A1491" s="9" t="str">
        <x:v>EV-AR-HC-A-C-TECH-4-B1-INT-G0-OG09</x:v>
      </x:c>
      <x:c r="B1491" s="9" t="str">
        <x:v>EV-AR-HC-A-C-TECH-4-B1-INT-G0</x:v>
      </x:c>
      <x:c r="C1491" s="9" t="str">
        <x:v>AR-HC-A-C-TECH-4-B1-INT-G0</x:v>
      </x:c>
      <x:c r="D1491" s="9" t="str">
        <x:v>HC-A-C-TECH-4</x:v>
      </x:c>
      <x:c r="E1491" s="9" t="str">
        <x:v>HC-A-C</x:v>
      </x:c>
      <x:c r="F1491" s="9" t="str">
        <x:v>B1</x:v>
      </x:c>
      <x:c r="G1491" s="9" t="str">
        <x:v>INT</x:v>
      </x:c>
      <x:c r="H1491" s="9" t="str">
        <x:v>OG09</x:v>
      </x:c>
      <x:c r="I1491" s="17" t="str">
        <x:v>Intervention account</x:v>
      </x:c>
      <x:c r="J1491" s="17" t="str">
        <x:v>all stop, rescue, operator and public-protection actions remain timestamped</x:v>
      </x:c>
      <x:c r="K1491" s="17" t="str">
        <x:v>Safety record court</x:v>
      </x:c>
      <x:c r="L1491" s="9" t="n">
        <x:v>0</x:v>
      </x:c>
      <x:c r="M1491" s="9" t="n">
        <x:v>0</x:v>
      </x:c>
      <x:c r="N1491" s="9" t="str">
        <x:v>OPEN / UNACCEPTED</x:v>
      </x:c>
      <x:c r="O1491" s="9" t="n">
        <x:f>COUNTIFS($A$7:$A$1734,A1491)</x:f>
        <x:v>1</x:v>
      </x:c>
    </x:row>
    <x:row r="1492">
      <x:c r="A1492" s="9" t="str">
        <x:v>EV-AR-HC-A-C-TECH-4-B1-INT-G0-OG10</x:v>
      </x:c>
      <x:c r="B1492" s="9" t="str">
        <x:v>EV-AR-HC-A-C-TECH-4-B1-INT-G0</x:v>
      </x:c>
      <x:c r="C1492" s="9" t="str">
        <x:v>AR-HC-A-C-TECH-4-B1-INT-G0</x:v>
      </x:c>
      <x:c r="D1492" s="9" t="str">
        <x:v>HC-A-C-TECH-4</x:v>
      </x:c>
      <x:c r="E1492" s="9" t="str">
        <x:v>HC-A-C</x:v>
      </x:c>
      <x:c r="F1492" s="9" t="str">
        <x:v>B1</x:v>
      </x:c>
      <x:c r="G1492" s="9" t="str">
        <x:v>INT</x:v>
      </x:c>
      <x:c r="H1492" s="9" t="str">
        <x:v>OG10</x:v>
      </x:c>
      <x:c r="I1492" s="17" t="str">
        <x:v>Uncertainty statement</x:v>
      </x:c>
      <x:c r="J1492" s="17" t="str">
        <x:v>range, censoring, resolution and correlation are declared before judgment</x:v>
      </x:c>
      <x:c r="K1492" s="17" t="str">
        <x:v>Uncertainty authority</x:v>
      </x:c>
      <x:c r="L1492" s="9" t="n">
        <x:v>0</x:v>
      </x:c>
      <x:c r="M1492" s="9" t="n">
        <x:v>0</x:v>
      </x:c>
      <x:c r="N1492" s="9" t="str">
        <x:v>OPEN / UNACCEPTED</x:v>
      </x:c>
      <x:c r="O1492" s="9" t="n">
        <x:f>COUNTIFS($A$7:$A$1734,A1492)</x:f>
        <x:v>1</x:v>
      </x:c>
    </x:row>
    <x:row r="1493">
      <x:c r="A1493" s="9" t="str">
        <x:v>EV-AR-HC-A-C-TECH-4-B1-INT-G0-OG11</x:v>
      </x:c>
      <x:c r="B1493" s="9" t="str">
        <x:v>EV-AR-HC-A-C-TECH-4-B1-INT-G0</x:v>
      </x:c>
      <x:c r="C1493" s="9" t="str">
        <x:v>AR-HC-A-C-TECH-4-B1-INT-G0</x:v>
      </x:c>
      <x:c r="D1493" s="9" t="str">
        <x:v>HC-A-C-TECH-4</x:v>
      </x:c>
      <x:c r="E1493" s="9" t="str">
        <x:v>HC-A-C</x:v>
      </x:c>
      <x:c r="F1493" s="9" t="str">
        <x:v>B1</x:v>
      </x:c>
      <x:c r="G1493" s="9" t="str">
        <x:v>INT</x:v>
      </x:c>
      <x:c r="H1493" s="9" t="str">
        <x:v>OG11</x:v>
      </x:c>
      <x:c r="I1493" s="17" t="str">
        <x:v>Contradiction preservation</x:v>
      </x:c>
      <x:c r="J1493" s="17" t="str">
        <x:v>primary-witness disagreement remains explicit and is never averaged away</x:v>
      </x:c>
      <x:c r="K1493" s="17" t="str">
        <x:v>Dissent registrar</x:v>
      </x:c>
      <x:c r="L1493" s="9" t="n">
        <x:v>0</x:v>
      </x:c>
      <x:c r="M1493" s="9" t="n">
        <x:v>0</x:v>
      </x:c>
      <x:c r="N1493" s="9" t="str">
        <x:v>OPEN / UNACCEPTED</x:v>
      </x:c>
      <x:c r="O1493" s="9" t="n">
        <x:f>COUNTIFS($A$7:$A$1734,A1493)</x:f>
        <x:v>1</x:v>
      </x:c>
    </x:row>
    <x:row r="1494">
      <x:c r="A1494" s="9" t="str">
        <x:v>EV-AR-HC-A-C-TECH-4-B1-INT-G0-OG12</x:v>
      </x:c>
      <x:c r="B1494" s="9" t="str">
        <x:v>EV-AR-HC-A-C-TECH-4-B1-INT-G0</x:v>
      </x:c>
      <x:c r="C1494" s="9" t="str">
        <x:v>AR-HC-A-C-TECH-4-B1-INT-G0</x:v>
      </x:c>
      <x:c r="D1494" s="9" t="str">
        <x:v>HC-A-C-TECH-4</x:v>
      </x:c>
      <x:c r="E1494" s="9" t="str">
        <x:v>HC-A-C</x:v>
      </x:c>
      <x:c r="F1494" s="9" t="str">
        <x:v>B1</x:v>
      </x:c>
      <x:c r="G1494" s="9" t="str">
        <x:v>INT</x:v>
      </x:c>
      <x:c r="H1494" s="9" t="str">
        <x:v>OG12</x:v>
      </x:c>
      <x:c r="I1494" s="17" t="str">
        <x:v>Independent replay</x:v>
      </x:c>
      <x:c r="J1494" s="17" t="str">
        <x:v>a separated reader reconstructs the registered observables from sealed originals</x:v>
      </x:c>
      <x:c r="K1494" s="17" t="str">
        <x:v>Replay court</x:v>
      </x:c>
      <x:c r="L1494" s="9" t="n">
        <x:v>0</x:v>
      </x:c>
      <x:c r="M1494" s="9" t="n">
        <x:v>0</x:v>
      </x:c>
      <x:c r="N1494" s="9" t="str">
        <x:v>OPEN / UNACCEPTED</x:v>
      </x:c>
      <x:c r="O1494" s="9" t="n">
        <x:f>COUNTIFS($A$7:$A$1734,A1494)</x:f>
        <x:v>1</x:v>
      </x:c>
    </x:row>
    <x:row r="1495">
      <x:c r="A1495" s="9" t="str">
        <x:v>EV-AR-LF-B-A-TECH-4-B2-RCN-G0-OG01</x:v>
      </x:c>
      <x:c r="B1495" s="9" t="str">
        <x:v>EV-AR-LF-B-A-TECH-4-B2-RCN-G0</x:v>
      </x:c>
      <x:c r="C1495" s="9" t="str">
        <x:v>AR-LF-B-A-TECH-4-B2-RCN-G0</x:v>
      </x:c>
      <x:c r="D1495" s="9" t="str">
        <x:v>LF-B-A-TECH-4</x:v>
      </x:c>
      <x:c r="E1495" s="9" t="str">
        <x:v>LF-B-A</x:v>
      </x:c>
      <x:c r="F1495" s="9" t="str">
        <x:v>B2</x:v>
      </x:c>
      <x:c r="G1495" s="9" t="str">
        <x:v>RCN</x:v>
      </x:c>
      <x:c r="H1495" s="9" t="str">
        <x:v>OG01</x:v>
      </x:c>
      <x:c r="I1495" s="17" t="str">
        <x:v>Serial and event identity</x:v>
      </x:c>
      <x:c r="J1495" s="17" t="str">
        <x:v>record resolves to the issued serial, generation and physical start</x:v>
      </x:c>
      <x:c r="K1495" s="17" t="str">
        <x:v>Observation court</x:v>
      </x:c>
      <x:c r="L1495" s="9" t="n">
        <x:v>0</x:v>
      </x:c>
      <x:c r="M1495" s="9" t="n">
        <x:v>0</x:v>
      </x:c>
      <x:c r="N1495" s="9" t="str">
        <x:v>OPEN / UNACCEPTED</x:v>
      </x:c>
      <x:c r="O1495" s="9" t="n">
        <x:f>COUNTIFS($A$7:$A$1734,A1495)</x:f>
        <x:v>1</x:v>
      </x:c>
    </x:row>
    <x:row r="1496">
      <x:c r="A1496" s="9" t="str">
        <x:v>EV-AR-LF-B-A-TECH-4-B2-RCN-G0-OG02</x:v>
      </x:c>
      <x:c r="B1496" s="9" t="str">
        <x:v>EV-AR-LF-B-A-TECH-4-B2-RCN-G0</x:v>
      </x:c>
      <x:c r="C1496" s="9" t="str">
        <x:v>AR-LF-B-A-TECH-4-B2-RCN-G0</x:v>
      </x:c>
      <x:c r="D1496" s="9" t="str">
        <x:v>LF-B-A-TECH-4</x:v>
      </x:c>
      <x:c r="E1496" s="9" t="str">
        <x:v>LF-B-A</x:v>
      </x:c>
      <x:c r="F1496" s="9" t="str">
        <x:v>B2</x:v>
      </x:c>
      <x:c r="G1496" s="9" t="str">
        <x:v>RCN</x:v>
      </x:c>
      <x:c r="H1496" s="9" t="str">
        <x:v>OG02</x:v>
      </x:c>
      <x:c r="I1496" s="17" t="str">
        <x:v>Time ancestry</x:v>
      </x:c>
      <x:c r="J1496" s="17" t="str">
        <x:v>primary, witness and public event clocks retain declared offsets and drift</x:v>
      </x:c>
      <x:c r="K1496" s="17" t="str">
        <x:v>Time authority</x:v>
      </x:c>
      <x:c r="L1496" s="9" t="n">
        <x:v>0</x:v>
      </x:c>
      <x:c r="M1496" s="9" t="n">
        <x:v>0</x:v>
      </x:c>
      <x:c r="N1496" s="9" t="str">
        <x:v>OPEN / UNACCEPTED</x:v>
      </x:c>
      <x:c r="O1496" s="9" t="n">
        <x:f>COUNTIFS($A$7:$A$1734,A1496)</x:f>
        <x:v>1</x:v>
      </x:c>
    </x:row>
    <x:row r="1497">
      <x:c r="A1497" s="9" t="str">
        <x:v>EV-AR-LF-B-A-TECH-4-B2-RCN-G0-OG03</x:v>
      </x:c>
      <x:c r="B1497" s="9" t="str">
        <x:v>EV-AR-LF-B-A-TECH-4-B2-RCN-G0</x:v>
      </x:c>
      <x:c r="C1497" s="9" t="str">
        <x:v>AR-LF-B-A-TECH-4-B2-RCN-G0</x:v>
      </x:c>
      <x:c r="D1497" s="9" t="str">
        <x:v>LF-B-A-TECH-4</x:v>
      </x:c>
      <x:c r="E1497" s="9" t="str">
        <x:v>LF-B-A</x:v>
      </x:c>
      <x:c r="F1497" s="9" t="str">
        <x:v>B2</x:v>
      </x:c>
      <x:c r="G1497" s="9" t="str">
        <x:v>RCN</x:v>
      </x:c>
      <x:c r="H1497" s="9" t="str">
        <x:v>OG03</x:v>
      </x:c>
      <x:c r="I1497" s="17" t="str">
        <x:v>Calibration ancestry</x:v>
      </x:c>
      <x:c r="J1497" s="17" t="str">
        <x:v>all reference, range and uncertainty states cover the live interval</x:v>
      </x:c>
      <x:c r="K1497" s="17" t="str">
        <x:v>Metrology courts</x:v>
      </x:c>
      <x:c r="L1497" s="9" t="n">
        <x:v>0</x:v>
      </x:c>
      <x:c r="M1497" s="9" t="n">
        <x:v>0</x:v>
      </x:c>
      <x:c r="N1497" s="9" t="str">
        <x:v>OPEN / UNACCEPTED</x:v>
      </x:c>
      <x:c r="O1497" s="9" t="n">
        <x:f>COUNTIFS($A$7:$A$1734,A1497)</x:f>
        <x:v>1</x:v>
      </x:c>
    </x:row>
    <x:row r="1498">
      <x:c r="A1498" s="9" t="str">
        <x:v>EV-AR-LF-B-A-TECH-4-B2-RCN-G0-OG04</x:v>
      </x:c>
      <x:c r="B1498" s="9" t="str">
        <x:v>EV-AR-LF-B-A-TECH-4-B2-RCN-G0</x:v>
      </x:c>
      <x:c r="C1498" s="9" t="str">
        <x:v>AR-LF-B-A-TECH-4-B2-RCN-G0</x:v>
      </x:c>
      <x:c r="D1498" s="9" t="str">
        <x:v>LF-B-A-TECH-4</x:v>
      </x:c>
      <x:c r="E1498" s="9" t="str">
        <x:v>LF-B-A</x:v>
      </x:c>
      <x:c r="F1498" s="9" t="str">
        <x:v>B2</x:v>
      </x:c>
      <x:c r="G1498" s="9" t="str">
        <x:v>RCN</x:v>
      </x:c>
      <x:c r="H1498" s="9" t="str">
        <x:v>OG04</x:v>
      </x:c>
      <x:c r="I1498" s="17" t="str">
        <x:v>Raw completeness</x:v>
      </x:c>
      <x:c r="J1498" s="17" t="str">
        <x:v>missingness is enumerated without imputation or outcome-conditioned deletion</x:v>
      </x:c>
      <x:c r="K1498" s="17" t="str">
        <x:v>Observation court</x:v>
      </x:c>
      <x:c r="L1498" s="9" t="n">
        <x:v>0</x:v>
      </x:c>
      <x:c r="M1498" s="9" t="n">
        <x:v>0</x:v>
      </x:c>
      <x:c r="N1498" s="9" t="str">
        <x:v>OPEN / UNACCEPTED</x:v>
      </x:c>
      <x:c r="O1498" s="9" t="n">
        <x:f>COUNTIFS($A$7:$A$1734,A1498)</x:f>
        <x:v>1</x:v>
      </x:c>
    </x:row>
    <x:row r="1499">
      <x:c r="A1499" s="9" t="str">
        <x:v>EV-AR-LF-B-A-TECH-4-B2-RCN-G0-OG05</x:v>
      </x:c>
      <x:c r="B1499" s="9" t="str">
        <x:v>EV-AR-LF-B-A-TECH-4-B2-RCN-G0</x:v>
      </x:c>
      <x:c r="C1499" s="9" t="str">
        <x:v>AR-LF-B-A-TECH-4-B2-RCN-G0</x:v>
      </x:c>
      <x:c r="D1499" s="9" t="str">
        <x:v>LF-B-A-TECH-4</x:v>
      </x:c>
      <x:c r="E1499" s="9" t="str">
        <x:v>LF-B-A</x:v>
      </x:c>
      <x:c r="F1499" s="9" t="str">
        <x:v>B2</x:v>
      </x:c>
      <x:c r="G1499" s="9" t="str">
        <x:v>RCN</x:v>
      </x:c>
      <x:c r="H1499" s="9" t="str">
        <x:v>OG05</x:v>
      </x:c>
      <x:c r="I1499" s="17" t="str">
        <x:v>Primary provenance</x:v>
      </x:c>
      <x:c r="J1499" s="17" t="str">
        <x:v>primary originals, hashes, keys and access history reconcile</x:v>
      </x:c>
      <x:c r="K1499" s="17" t="str">
        <x:v>Primary custody</x:v>
      </x:c>
      <x:c r="L1499" s="9" t="n">
        <x:v>0</x:v>
      </x:c>
      <x:c r="M1499" s="9" t="n">
        <x:v>0</x:v>
      </x:c>
      <x:c r="N1499" s="9" t="str">
        <x:v>OPEN / UNACCEPTED</x:v>
      </x:c>
      <x:c r="O1499" s="9" t="n">
        <x:f>COUNTIFS($A$7:$A$1734,A1499)</x:f>
        <x:v>1</x:v>
      </x:c>
    </x:row>
    <x:row r="1500">
      <x:c r="A1500" s="9" t="str">
        <x:v>EV-AR-LF-B-A-TECH-4-B2-RCN-G0-OG06</x:v>
      </x:c>
      <x:c r="B1500" s="9" t="str">
        <x:v>EV-AR-LF-B-A-TECH-4-B2-RCN-G0</x:v>
      </x:c>
      <x:c r="C1500" s="9" t="str">
        <x:v>AR-LF-B-A-TECH-4-B2-RCN-G0</x:v>
      </x:c>
      <x:c r="D1500" s="9" t="str">
        <x:v>LF-B-A-TECH-4</x:v>
      </x:c>
      <x:c r="E1500" s="9" t="str">
        <x:v>LF-B-A</x:v>
      </x:c>
      <x:c r="F1500" s="9" t="str">
        <x:v>B2</x:v>
      </x:c>
      <x:c r="G1500" s="9" t="str">
        <x:v>RCN</x:v>
      </x:c>
      <x:c r="H1500" s="9" t="str">
        <x:v>OG06</x:v>
      </x:c>
      <x:c r="I1500" s="17" t="str">
        <x:v>Witness provenance</x:v>
      </x:c>
      <x:c r="J1500" s="17" t="str">
        <x:v>unlike witness originals, hashes, keys and access history reconcile</x:v>
      </x:c>
      <x:c r="K1500" s="17" t="str">
        <x:v>Witness custody</x:v>
      </x:c>
      <x:c r="L1500" s="9" t="n">
        <x:v>0</x:v>
      </x:c>
      <x:c r="M1500" s="9" t="n">
        <x:v>0</x:v>
      </x:c>
      <x:c r="N1500" s="9" t="str">
        <x:v>OPEN / UNACCEPTED</x:v>
      </x:c>
      <x:c r="O1500" s="9" t="n">
        <x:f>COUNTIFS($A$7:$A$1734,A1500)</x:f>
        <x:v>1</x:v>
      </x:c>
    </x:row>
    <x:row r="1501">
      <x:c r="A1501" s="9" t="str">
        <x:v>EV-AR-LF-B-A-TECH-4-B2-RCN-G0-OG07</x:v>
      </x:c>
      <x:c r="B1501" s="9" t="str">
        <x:v>EV-AR-LF-B-A-TECH-4-B2-RCN-G0</x:v>
      </x:c>
      <x:c r="C1501" s="9" t="str">
        <x:v>AR-LF-B-A-TECH-4-B2-RCN-G0</x:v>
      </x:c>
      <x:c r="D1501" s="9" t="str">
        <x:v>LF-B-A-TECH-4</x:v>
      </x:c>
      <x:c r="E1501" s="9" t="str">
        <x:v>LF-B-A</x:v>
      </x:c>
      <x:c r="F1501" s="9" t="str">
        <x:v>B2</x:v>
      </x:c>
      <x:c r="G1501" s="9" t="str">
        <x:v>RCN</x:v>
      </x:c>
      <x:c r="H1501" s="9" t="str">
        <x:v>OG07</x:v>
      </x:c>
      <x:c r="I1501" s="17" t="str">
        <x:v>Receiver denominator</x:v>
      </x:c>
      <x:c r="J1501" s="17" t="str">
        <x:v>population, quantity, duration and exclusions match the frozen receipt</x:v>
      </x:c>
      <x:c r="K1501" s="17" t="str">
        <x:v>Receiver court</x:v>
      </x:c>
      <x:c r="L1501" s="9" t="n">
        <x:v>0</x:v>
      </x:c>
      <x:c r="M1501" s="9" t="n">
        <x:v>0</x:v>
      </x:c>
      <x:c r="N1501" s="9" t="str">
        <x:v>OPEN / UNACCEPTED</x:v>
      </x:c>
      <x:c r="O1501" s="9" t="n">
        <x:f>COUNTIFS($A$7:$A$1734,A1501)</x:f>
        <x:v>1</x:v>
      </x:c>
    </x:row>
    <x:row r="1502">
      <x:c r="A1502" s="9" t="str">
        <x:v>EV-AR-LF-B-A-TECH-4-B2-RCN-G0-OG08</x:v>
      </x:c>
      <x:c r="B1502" s="9" t="str">
        <x:v>EV-AR-LF-B-A-TECH-4-B2-RCN-G0</x:v>
      </x:c>
      <x:c r="C1502" s="9" t="str">
        <x:v>AR-LF-B-A-TECH-4-B2-RCN-G0</x:v>
      </x:c>
      <x:c r="D1502" s="9" t="str">
        <x:v>LF-B-A-TECH-4</x:v>
      </x:c>
      <x:c r="E1502" s="9" t="str">
        <x:v>LF-B-A</x:v>
      </x:c>
      <x:c r="F1502" s="9" t="str">
        <x:v>B2</x:v>
      </x:c>
      <x:c r="G1502" s="9" t="str">
        <x:v>RCN</x:v>
      </x:c>
      <x:c r="H1502" s="9" t="str">
        <x:v>OG08</x:v>
      </x:c>
      <x:c r="I1502" s="17" t="str">
        <x:v>Environment and boundary</x:v>
      </x:c>
      <x:c r="J1502" s="17" t="str">
        <x:v>registered weather, water, ground, inlet and outlet states are retained</x:v>
      </x:c>
      <x:c r="K1502" s="17" t="str">
        <x:v>Boundary court</x:v>
      </x:c>
      <x:c r="L1502" s="9" t="n">
        <x:v>0</x:v>
      </x:c>
      <x:c r="M1502" s="9" t="n">
        <x:v>0</x:v>
      </x:c>
      <x:c r="N1502" s="9" t="str">
        <x:v>OPEN / UNACCEPTED</x:v>
      </x:c>
      <x:c r="O1502" s="9" t="n">
        <x:f>COUNTIFS($A$7:$A$1734,A1502)</x:f>
        <x:v>1</x:v>
      </x:c>
    </x:row>
    <x:row r="1503">
      <x:c r="A1503" s="9" t="str">
        <x:v>EV-AR-LF-B-A-TECH-4-B2-RCN-G0-OG09</x:v>
      </x:c>
      <x:c r="B1503" s="9" t="str">
        <x:v>EV-AR-LF-B-A-TECH-4-B2-RCN-G0</x:v>
      </x:c>
      <x:c r="C1503" s="9" t="str">
        <x:v>AR-LF-B-A-TECH-4-B2-RCN-G0</x:v>
      </x:c>
      <x:c r="D1503" s="9" t="str">
        <x:v>LF-B-A-TECH-4</x:v>
      </x:c>
      <x:c r="E1503" s="9" t="str">
        <x:v>LF-B-A</x:v>
      </x:c>
      <x:c r="F1503" s="9" t="str">
        <x:v>B2</x:v>
      </x:c>
      <x:c r="G1503" s="9" t="str">
        <x:v>RCN</x:v>
      </x:c>
      <x:c r="H1503" s="9" t="str">
        <x:v>OG09</x:v>
      </x:c>
      <x:c r="I1503" s="17" t="str">
        <x:v>Intervention account</x:v>
      </x:c>
      <x:c r="J1503" s="17" t="str">
        <x:v>all stop, rescue, operator and public-protection actions remain timestamped</x:v>
      </x:c>
      <x:c r="K1503" s="17" t="str">
        <x:v>Safety record court</x:v>
      </x:c>
      <x:c r="L1503" s="9" t="n">
        <x:v>0</x:v>
      </x:c>
      <x:c r="M1503" s="9" t="n">
        <x:v>0</x:v>
      </x:c>
      <x:c r="N1503" s="9" t="str">
        <x:v>OPEN / UNACCEPTED</x:v>
      </x:c>
      <x:c r="O1503" s="9" t="n">
        <x:f>COUNTIFS($A$7:$A$1734,A1503)</x:f>
        <x:v>1</x:v>
      </x:c>
    </x:row>
    <x:row r="1504">
      <x:c r="A1504" s="9" t="str">
        <x:v>EV-AR-LF-B-A-TECH-4-B2-RCN-G0-OG10</x:v>
      </x:c>
      <x:c r="B1504" s="9" t="str">
        <x:v>EV-AR-LF-B-A-TECH-4-B2-RCN-G0</x:v>
      </x:c>
      <x:c r="C1504" s="9" t="str">
        <x:v>AR-LF-B-A-TECH-4-B2-RCN-G0</x:v>
      </x:c>
      <x:c r="D1504" s="9" t="str">
        <x:v>LF-B-A-TECH-4</x:v>
      </x:c>
      <x:c r="E1504" s="9" t="str">
        <x:v>LF-B-A</x:v>
      </x:c>
      <x:c r="F1504" s="9" t="str">
        <x:v>B2</x:v>
      </x:c>
      <x:c r="G1504" s="9" t="str">
        <x:v>RCN</x:v>
      </x:c>
      <x:c r="H1504" s="9" t="str">
        <x:v>OG10</x:v>
      </x:c>
      <x:c r="I1504" s="17" t="str">
        <x:v>Uncertainty statement</x:v>
      </x:c>
      <x:c r="J1504" s="17" t="str">
        <x:v>range, censoring, resolution and correlation are declared before judgment</x:v>
      </x:c>
      <x:c r="K1504" s="17" t="str">
        <x:v>Uncertainty authority</x:v>
      </x:c>
      <x:c r="L1504" s="9" t="n">
        <x:v>0</x:v>
      </x:c>
      <x:c r="M1504" s="9" t="n">
        <x:v>0</x:v>
      </x:c>
      <x:c r="N1504" s="9" t="str">
        <x:v>OPEN / UNACCEPTED</x:v>
      </x:c>
      <x:c r="O1504" s="9" t="n">
        <x:f>COUNTIFS($A$7:$A$1734,A1504)</x:f>
        <x:v>1</x:v>
      </x:c>
    </x:row>
    <x:row r="1505">
      <x:c r="A1505" s="9" t="str">
        <x:v>EV-AR-LF-B-A-TECH-4-B2-RCN-G0-OG11</x:v>
      </x:c>
      <x:c r="B1505" s="9" t="str">
        <x:v>EV-AR-LF-B-A-TECH-4-B2-RCN-G0</x:v>
      </x:c>
      <x:c r="C1505" s="9" t="str">
        <x:v>AR-LF-B-A-TECH-4-B2-RCN-G0</x:v>
      </x:c>
      <x:c r="D1505" s="9" t="str">
        <x:v>LF-B-A-TECH-4</x:v>
      </x:c>
      <x:c r="E1505" s="9" t="str">
        <x:v>LF-B-A</x:v>
      </x:c>
      <x:c r="F1505" s="9" t="str">
        <x:v>B2</x:v>
      </x:c>
      <x:c r="G1505" s="9" t="str">
        <x:v>RCN</x:v>
      </x:c>
      <x:c r="H1505" s="9" t="str">
        <x:v>OG11</x:v>
      </x:c>
      <x:c r="I1505" s="17" t="str">
        <x:v>Contradiction preservation</x:v>
      </x:c>
      <x:c r="J1505" s="17" t="str">
        <x:v>primary-witness disagreement remains explicit and is never averaged away</x:v>
      </x:c>
      <x:c r="K1505" s="17" t="str">
        <x:v>Dissent registrar</x:v>
      </x:c>
      <x:c r="L1505" s="9" t="n">
        <x:v>0</x:v>
      </x:c>
      <x:c r="M1505" s="9" t="n">
        <x:v>0</x:v>
      </x:c>
      <x:c r="N1505" s="9" t="str">
        <x:v>OPEN / UNACCEPTED</x:v>
      </x:c>
      <x:c r="O1505" s="9" t="n">
        <x:f>COUNTIFS($A$7:$A$1734,A1505)</x:f>
        <x:v>1</x:v>
      </x:c>
    </x:row>
    <x:row r="1506">
      <x:c r="A1506" s="9" t="str">
        <x:v>EV-AR-LF-B-A-TECH-4-B2-RCN-G0-OG12</x:v>
      </x:c>
      <x:c r="B1506" s="9" t="str">
        <x:v>EV-AR-LF-B-A-TECH-4-B2-RCN-G0</x:v>
      </x:c>
      <x:c r="C1506" s="9" t="str">
        <x:v>AR-LF-B-A-TECH-4-B2-RCN-G0</x:v>
      </x:c>
      <x:c r="D1506" s="9" t="str">
        <x:v>LF-B-A-TECH-4</x:v>
      </x:c>
      <x:c r="E1506" s="9" t="str">
        <x:v>LF-B-A</x:v>
      </x:c>
      <x:c r="F1506" s="9" t="str">
        <x:v>B2</x:v>
      </x:c>
      <x:c r="G1506" s="9" t="str">
        <x:v>RCN</x:v>
      </x:c>
      <x:c r="H1506" s="9" t="str">
        <x:v>OG12</x:v>
      </x:c>
      <x:c r="I1506" s="17" t="str">
        <x:v>Independent replay</x:v>
      </x:c>
      <x:c r="J1506" s="17" t="str">
        <x:v>a separated reader reconstructs the registered observables from sealed originals</x:v>
      </x:c>
      <x:c r="K1506" s="17" t="str">
        <x:v>Replay court</x:v>
      </x:c>
      <x:c r="L1506" s="9" t="n">
        <x:v>0</x:v>
      </x:c>
      <x:c r="M1506" s="9" t="n">
        <x:v>0</x:v>
      </x:c>
      <x:c r="N1506" s="9" t="str">
        <x:v>OPEN / UNACCEPTED</x:v>
      </x:c>
      <x:c r="O1506" s="9" t="n">
        <x:f>COUNTIFS($A$7:$A$1734,A1506)</x:f>
        <x:v>1</x:v>
      </x:c>
    </x:row>
    <x:row r="1507">
      <x:c r="A1507" s="9" t="str">
        <x:v>EV-AR-LF-B-A-TECH-2-B2-INT-G0-OG01</x:v>
      </x:c>
      <x:c r="B1507" s="9" t="str">
        <x:v>EV-AR-LF-B-A-TECH-2-B2-INT-G0</x:v>
      </x:c>
      <x:c r="C1507" s="9" t="str">
        <x:v>AR-LF-B-A-TECH-2-B2-INT-G0</x:v>
      </x:c>
      <x:c r="D1507" s="9" t="str">
        <x:v>LF-B-A-TECH-2</x:v>
      </x:c>
      <x:c r="E1507" s="9" t="str">
        <x:v>LF-B-A</x:v>
      </x:c>
      <x:c r="F1507" s="9" t="str">
        <x:v>B2</x:v>
      </x:c>
      <x:c r="G1507" s="9" t="str">
        <x:v>INT</x:v>
      </x:c>
      <x:c r="H1507" s="9" t="str">
        <x:v>OG01</x:v>
      </x:c>
      <x:c r="I1507" s="17" t="str">
        <x:v>Serial and event identity</x:v>
      </x:c>
      <x:c r="J1507" s="17" t="str">
        <x:v>record resolves to the issued serial, generation and physical start</x:v>
      </x:c>
      <x:c r="K1507" s="17" t="str">
        <x:v>Observation court</x:v>
      </x:c>
      <x:c r="L1507" s="9" t="n">
        <x:v>0</x:v>
      </x:c>
      <x:c r="M1507" s="9" t="n">
        <x:v>0</x:v>
      </x:c>
      <x:c r="N1507" s="9" t="str">
        <x:v>OPEN / UNACCEPTED</x:v>
      </x:c>
      <x:c r="O1507" s="9" t="n">
        <x:f>COUNTIFS($A$7:$A$1734,A1507)</x:f>
        <x:v>1</x:v>
      </x:c>
    </x:row>
    <x:row r="1508">
      <x:c r="A1508" s="9" t="str">
        <x:v>EV-AR-LF-B-A-TECH-2-B2-INT-G0-OG02</x:v>
      </x:c>
      <x:c r="B1508" s="9" t="str">
        <x:v>EV-AR-LF-B-A-TECH-2-B2-INT-G0</x:v>
      </x:c>
      <x:c r="C1508" s="9" t="str">
        <x:v>AR-LF-B-A-TECH-2-B2-INT-G0</x:v>
      </x:c>
      <x:c r="D1508" s="9" t="str">
        <x:v>LF-B-A-TECH-2</x:v>
      </x:c>
      <x:c r="E1508" s="9" t="str">
        <x:v>LF-B-A</x:v>
      </x:c>
      <x:c r="F1508" s="9" t="str">
        <x:v>B2</x:v>
      </x:c>
      <x:c r="G1508" s="9" t="str">
        <x:v>INT</x:v>
      </x:c>
      <x:c r="H1508" s="9" t="str">
        <x:v>OG02</x:v>
      </x:c>
      <x:c r="I1508" s="17" t="str">
        <x:v>Time ancestry</x:v>
      </x:c>
      <x:c r="J1508" s="17" t="str">
        <x:v>primary, witness and public event clocks retain declared offsets and drift</x:v>
      </x:c>
      <x:c r="K1508" s="17" t="str">
        <x:v>Time authority</x:v>
      </x:c>
      <x:c r="L1508" s="9" t="n">
        <x:v>0</x:v>
      </x:c>
      <x:c r="M1508" s="9" t="n">
        <x:v>0</x:v>
      </x:c>
      <x:c r="N1508" s="9" t="str">
        <x:v>OPEN / UNACCEPTED</x:v>
      </x:c>
      <x:c r="O1508" s="9" t="n">
        <x:f>COUNTIFS($A$7:$A$1734,A1508)</x:f>
        <x:v>1</x:v>
      </x:c>
    </x:row>
    <x:row r="1509">
      <x:c r="A1509" s="9" t="str">
        <x:v>EV-AR-LF-B-A-TECH-2-B2-INT-G0-OG03</x:v>
      </x:c>
      <x:c r="B1509" s="9" t="str">
        <x:v>EV-AR-LF-B-A-TECH-2-B2-INT-G0</x:v>
      </x:c>
      <x:c r="C1509" s="9" t="str">
        <x:v>AR-LF-B-A-TECH-2-B2-INT-G0</x:v>
      </x:c>
      <x:c r="D1509" s="9" t="str">
        <x:v>LF-B-A-TECH-2</x:v>
      </x:c>
      <x:c r="E1509" s="9" t="str">
        <x:v>LF-B-A</x:v>
      </x:c>
      <x:c r="F1509" s="9" t="str">
        <x:v>B2</x:v>
      </x:c>
      <x:c r="G1509" s="9" t="str">
        <x:v>INT</x:v>
      </x:c>
      <x:c r="H1509" s="9" t="str">
        <x:v>OG03</x:v>
      </x:c>
      <x:c r="I1509" s="17" t="str">
        <x:v>Calibration ancestry</x:v>
      </x:c>
      <x:c r="J1509" s="17" t="str">
        <x:v>all reference, range and uncertainty states cover the live interval</x:v>
      </x:c>
      <x:c r="K1509" s="17" t="str">
        <x:v>Metrology courts</x:v>
      </x:c>
      <x:c r="L1509" s="9" t="n">
        <x:v>0</x:v>
      </x:c>
      <x:c r="M1509" s="9" t="n">
        <x:v>0</x:v>
      </x:c>
      <x:c r="N1509" s="9" t="str">
        <x:v>OPEN / UNACCEPTED</x:v>
      </x:c>
      <x:c r="O1509" s="9" t="n">
        <x:f>COUNTIFS($A$7:$A$1734,A1509)</x:f>
        <x:v>1</x:v>
      </x:c>
    </x:row>
    <x:row r="1510">
      <x:c r="A1510" s="9" t="str">
        <x:v>EV-AR-LF-B-A-TECH-2-B2-INT-G0-OG04</x:v>
      </x:c>
      <x:c r="B1510" s="9" t="str">
        <x:v>EV-AR-LF-B-A-TECH-2-B2-INT-G0</x:v>
      </x:c>
      <x:c r="C1510" s="9" t="str">
        <x:v>AR-LF-B-A-TECH-2-B2-INT-G0</x:v>
      </x:c>
      <x:c r="D1510" s="9" t="str">
        <x:v>LF-B-A-TECH-2</x:v>
      </x:c>
      <x:c r="E1510" s="9" t="str">
        <x:v>LF-B-A</x:v>
      </x:c>
      <x:c r="F1510" s="9" t="str">
        <x:v>B2</x:v>
      </x:c>
      <x:c r="G1510" s="9" t="str">
        <x:v>INT</x:v>
      </x:c>
      <x:c r="H1510" s="9" t="str">
        <x:v>OG04</x:v>
      </x:c>
      <x:c r="I1510" s="17" t="str">
        <x:v>Raw completeness</x:v>
      </x:c>
      <x:c r="J1510" s="17" t="str">
        <x:v>missingness is enumerated without imputation or outcome-conditioned deletion</x:v>
      </x:c>
      <x:c r="K1510" s="17" t="str">
        <x:v>Observation court</x:v>
      </x:c>
      <x:c r="L1510" s="9" t="n">
        <x:v>0</x:v>
      </x:c>
      <x:c r="M1510" s="9" t="n">
        <x:v>0</x:v>
      </x:c>
      <x:c r="N1510" s="9" t="str">
        <x:v>OPEN / UNACCEPTED</x:v>
      </x:c>
      <x:c r="O1510" s="9" t="n">
        <x:f>COUNTIFS($A$7:$A$1734,A1510)</x:f>
        <x:v>1</x:v>
      </x:c>
    </x:row>
    <x:row r="1511">
      <x:c r="A1511" s="9" t="str">
        <x:v>EV-AR-LF-B-A-TECH-2-B2-INT-G0-OG05</x:v>
      </x:c>
      <x:c r="B1511" s="9" t="str">
        <x:v>EV-AR-LF-B-A-TECH-2-B2-INT-G0</x:v>
      </x:c>
      <x:c r="C1511" s="9" t="str">
        <x:v>AR-LF-B-A-TECH-2-B2-INT-G0</x:v>
      </x:c>
      <x:c r="D1511" s="9" t="str">
        <x:v>LF-B-A-TECH-2</x:v>
      </x:c>
      <x:c r="E1511" s="9" t="str">
        <x:v>LF-B-A</x:v>
      </x:c>
      <x:c r="F1511" s="9" t="str">
        <x:v>B2</x:v>
      </x:c>
      <x:c r="G1511" s="9" t="str">
        <x:v>INT</x:v>
      </x:c>
      <x:c r="H1511" s="9" t="str">
        <x:v>OG05</x:v>
      </x:c>
      <x:c r="I1511" s="17" t="str">
        <x:v>Primary provenance</x:v>
      </x:c>
      <x:c r="J1511" s="17" t="str">
        <x:v>primary originals, hashes, keys and access history reconcile</x:v>
      </x:c>
      <x:c r="K1511" s="17" t="str">
        <x:v>Primary custody</x:v>
      </x:c>
      <x:c r="L1511" s="9" t="n">
        <x:v>0</x:v>
      </x:c>
      <x:c r="M1511" s="9" t="n">
        <x:v>0</x:v>
      </x:c>
      <x:c r="N1511" s="9" t="str">
        <x:v>OPEN / UNACCEPTED</x:v>
      </x:c>
      <x:c r="O1511" s="9" t="n">
        <x:f>COUNTIFS($A$7:$A$1734,A1511)</x:f>
        <x:v>1</x:v>
      </x:c>
    </x:row>
    <x:row r="1512">
      <x:c r="A1512" s="9" t="str">
        <x:v>EV-AR-LF-B-A-TECH-2-B2-INT-G0-OG06</x:v>
      </x:c>
      <x:c r="B1512" s="9" t="str">
        <x:v>EV-AR-LF-B-A-TECH-2-B2-INT-G0</x:v>
      </x:c>
      <x:c r="C1512" s="9" t="str">
        <x:v>AR-LF-B-A-TECH-2-B2-INT-G0</x:v>
      </x:c>
      <x:c r="D1512" s="9" t="str">
        <x:v>LF-B-A-TECH-2</x:v>
      </x:c>
      <x:c r="E1512" s="9" t="str">
        <x:v>LF-B-A</x:v>
      </x:c>
      <x:c r="F1512" s="9" t="str">
        <x:v>B2</x:v>
      </x:c>
      <x:c r="G1512" s="9" t="str">
        <x:v>INT</x:v>
      </x:c>
      <x:c r="H1512" s="9" t="str">
        <x:v>OG06</x:v>
      </x:c>
      <x:c r="I1512" s="17" t="str">
        <x:v>Witness provenance</x:v>
      </x:c>
      <x:c r="J1512" s="17" t="str">
        <x:v>unlike witness originals, hashes, keys and access history reconcile</x:v>
      </x:c>
      <x:c r="K1512" s="17" t="str">
        <x:v>Witness custody</x:v>
      </x:c>
      <x:c r="L1512" s="9" t="n">
        <x:v>0</x:v>
      </x:c>
      <x:c r="M1512" s="9" t="n">
        <x:v>0</x:v>
      </x:c>
      <x:c r="N1512" s="9" t="str">
        <x:v>OPEN / UNACCEPTED</x:v>
      </x:c>
      <x:c r="O1512" s="9" t="n">
        <x:f>COUNTIFS($A$7:$A$1734,A1512)</x:f>
        <x:v>1</x:v>
      </x:c>
    </x:row>
    <x:row r="1513">
      <x:c r="A1513" s="9" t="str">
        <x:v>EV-AR-LF-B-A-TECH-2-B2-INT-G0-OG07</x:v>
      </x:c>
      <x:c r="B1513" s="9" t="str">
        <x:v>EV-AR-LF-B-A-TECH-2-B2-INT-G0</x:v>
      </x:c>
      <x:c r="C1513" s="9" t="str">
        <x:v>AR-LF-B-A-TECH-2-B2-INT-G0</x:v>
      </x:c>
      <x:c r="D1513" s="9" t="str">
        <x:v>LF-B-A-TECH-2</x:v>
      </x:c>
      <x:c r="E1513" s="9" t="str">
        <x:v>LF-B-A</x:v>
      </x:c>
      <x:c r="F1513" s="9" t="str">
        <x:v>B2</x:v>
      </x:c>
      <x:c r="G1513" s="9" t="str">
        <x:v>INT</x:v>
      </x:c>
      <x:c r="H1513" s="9" t="str">
        <x:v>OG07</x:v>
      </x:c>
      <x:c r="I1513" s="17" t="str">
        <x:v>Receiver denominator</x:v>
      </x:c>
      <x:c r="J1513" s="17" t="str">
        <x:v>population, quantity, duration and exclusions match the frozen receipt</x:v>
      </x:c>
      <x:c r="K1513" s="17" t="str">
        <x:v>Receiver court</x:v>
      </x:c>
      <x:c r="L1513" s="9" t="n">
        <x:v>0</x:v>
      </x:c>
      <x:c r="M1513" s="9" t="n">
        <x:v>0</x:v>
      </x:c>
      <x:c r="N1513" s="9" t="str">
        <x:v>OPEN / UNACCEPTED</x:v>
      </x:c>
      <x:c r="O1513" s="9" t="n">
        <x:f>COUNTIFS($A$7:$A$1734,A1513)</x:f>
        <x:v>1</x:v>
      </x:c>
    </x:row>
    <x:row r="1514">
      <x:c r="A1514" s="9" t="str">
        <x:v>EV-AR-LF-B-A-TECH-2-B2-INT-G0-OG08</x:v>
      </x:c>
      <x:c r="B1514" s="9" t="str">
        <x:v>EV-AR-LF-B-A-TECH-2-B2-INT-G0</x:v>
      </x:c>
      <x:c r="C1514" s="9" t="str">
        <x:v>AR-LF-B-A-TECH-2-B2-INT-G0</x:v>
      </x:c>
      <x:c r="D1514" s="9" t="str">
        <x:v>LF-B-A-TECH-2</x:v>
      </x:c>
      <x:c r="E1514" s="9" t="str">
        <x:v>LF-B-A</x:v>
      </x:c>
      <x:c r="F1514" s="9" t="str">
        <x:v>B2</x:v>
      </x:c>
      <x:c r="G1514" s="9" t="str">
        <x:v>INT</x:v>
      </x:c>
      <x:c r="H1514" s="9" t="str">
        <x:v>OG08</x:v>
      </x:c>
      <x:c r="I1514" s="17" t="str">
        <x:v>Environment and boundary</x:v>
      </x:c>
      <x:c r="J1514" s="17" t="str">
        <x:v>registered weather, water, ground, inlet and outlet states are retained</x:v>
      </x:c>
      <x:c r="K1514" s="17" t="str">
        <x:v>Boundary court</x:v>
      </x:c>
      <x:c r="L1514" s="9" t="n">
        <x:v>0</x:v>
      </x:c>
      <x:c r="M1514" s="9" t="n">
        <x:v>0</x:v>
      </x:c>
      <x:c r="N1514" s="9" t="str">
        <x:v>OPEN / UNACCEPTED</x:v>
      </x:c>
      <x:c r="O1514" s="9" t="n">
        <x:f>COUNTIFS($A$7:$A$1734,A1514)</x:f>
        <x:v>1</x:v>
      </x:c>
    </x:row>
    <x:row r="1515">
      <x:c r="A1515" s="9" t="str">
        <x:v>EV-AR-LF-B-A-TECH-2-B2-INT-G0-OG09</x:v>
      </x:c>
      <x:c r="B1515" s="9" t="str">
        <x:v>EV-AR-LF-B-A-TECH-2-B2-INT-G0</x:v>
      </x:c>
      <x:c r="C1515" s="9" t="str">
        <x:v>AR-LF-B-A-TECH-2-B2-INT-G0</x:v>
      </x:c>
      <x:c r="D1515" s="9" t="str">
        <x:v>LF-B-A-TECH-2</x:v>
      </x:c>
      <x:c r="E1515" s="9" t="str">
        <x:v>LF-B-A</x:v>
      </x:c>
      <x:c r="F1515" s="9" t="str">
        <x:v>B2</x:v>
      </x:c>
      <x:c r="G1515" s="9" t="str">
        <x:v>INT</x:v>
      </x:c>
      <x:c r="H1515" s="9" t="str">
        <x:v>OG09</x:v>
      </x:c>
      <x:c r="I1515" s="17" t="str">
        <x:v>Intervention account</x:v>
      </x:c>
      <x:c r="J1515" s="17" t="str">
        <x:v>all stop, rescue, operator and public-protection actions remain timestamped</x:v>
      </x:c>
      <x:c r="K1515" s="17" t="str">
        <x:v>Safety record court</x:v>
      </x:c>
      <x:c r="L1515" s="9" t="n">
        <x:v>0</x:v>
      </x:c>
      <x:c r="M1515" s="9" t="n">
        <x:v>0</x:v>
      </x:c>
      <x:c r="N1515" s="9" t="str">
        <x:v>OPEN / UNACCEPTED</x:v>
      </x:c>
      <x:c r="O1515" s="9" t="n">
        <x:f>COUNTIFS($A$7:$A$1734,A1515)</x:f>
        <x:v>1</x:v>
      </x:c>
    </x:row>
    <x:row r="1516">
      <x:c r="A1516" s="9" t="str">
        <x:v>EV-AR-LF-B-A-TECH-2-B2-INT-G0-OG10</x:v>
      </x:c>
      <x:c r="B1516" s="9" t="str">
        <x:v>EV-AR-LF-B-A-TECH-2-B2-INT-G0</x:v>
      </x:c>
      <x:c r="C1516" s="9" t="str">
        <x:v>AR-LF-B-A-TECH-2-B2-INT-G0</x:v>
      </x:c>
      <x:c r="D1516" s="9" t="str">
        <x:v>LF-B-A-TECH-2</x:v>
      </x:c>
      <x:c r="E1516" s="9" t="str">
        <x:v>LF-B-A</x:v>
      </x:c>
      <x:c r="F1516" s="9" t="str">
        <x:v>B2</x:v>
      </x:c>
      <x:c r="G1516" s="9" t="str">
        <x:v>INT</x:v>
      </x:c>
      <x:c r="H1516" s="9" t="str">
        <x:v>OG10</x:v>
      </x:c>
      <x:c r="I1516" s="17" t="str">
        <x:v>Uncertainty statement</x:v>
      </x:c>
      <x:c r="J1516" s="17" t="str">
        <x:v>range, censoring, resolution and correlation are declared before judgment</x:v>
      </x:c>
      <x:c r="K1516" s="17" t="str">
        <x:v>Uncertainty authority</x:v>
      </x:c>
      <x:c r="L1516" s="9" t="n">
        <x:v>0</x:v>
      </x:c>
      <x:c r="M1516" s="9" t="n">
        <x:v>0</x:v>
      </x:c>
      <x:c r="N1516" s="9" t="str">
        <x:v>OPEN / UNACCEPTED</x:v>
      </x:c>
      <x:c r="O1516" s="9" t="n">
        <x:f>COUNTIFS($A$7:$A$1734,A1516)</x:f>
        <x:v>1</x:v>
      </x:c>
    </x:row>
    <x:row r="1517">
      <x:c r="A1517" s="9" t="str">
        <x:v>EV-AR-LF-B-A-TECH-2-B2-INT-G0-OG11</x:v>
      </x:c>
      <x:c r="B1517" s="9" t="str">
        <x:v>EV-AR-LF-B-A-TECH-2-B2-INT-G0</x:v>
      </x:c>
      <x:c r="C1517" s="9" t="str">
        <x:v>AR-LF-B-A-TECH-2-B2-INT-G0</x:v>
      </x:c>
      <x:c r="D1517" s="9" t="str">
        <x:v>LF-B-A-TECH-2</x:v>
      </x:c>
      <x:c r="E1517" s="9" t="str">
        <x:v>LF-B-A</x:v>
      </x:c>
      <x:c r="F1517" s="9" t="str">
        <x:v>B2</x:v>
      </x:c>
      <x:c r="G1517" s="9" t="str">
        <x:v>INT</x:v>
      </x:c>
      <x:c r="H1517" s="9" t="str">
        <x:v>OG11</x:v>
      </x:c>
      <x:c r="I1517" s="17" t="str">
        <x:v>Contradiction preservation</x:v>
      </x:c>
      <x:c r="J1517" s="17" t="str">
        <x:v>primary-witness disagreement remains explicit and is never averaged away</x:v>
      </x:c>
      <x:c r="K1517" s="17" t="str">
        <x:v>Dissent registrar</x:v>
      </x:c>
      <x:c r="L1517" s="9" t="n">
        <x:v>0</x:v>
      </x:c>
      <x:c r="M1517" s="9" t="n">
        <x:v>0</x:v>
      </x:c>
      <x:c r="N1517" s="9" t="str">
        <x:v>OPEN / UNACCEPTED</x:v>
      </x:c>
      <x:c r="O1517" s="9" t="n">
        <x:f>COUNTIFS($A$7:$A$1734,A1517)</x:f>
        <x:v>1</x:v>
      </x:c>
    </x:row>
    <x:row r="1518">
      <x:c r="A1518" s="9" t="str">
        <x:v>EV-AR-LF-B-A-TECH-2-B2-INT-G0-OG12</x:v>
      </x:c>
      <x:c r="B1518" s="9" t="str">
        <x:v>EV-AR-LF-B-A-TECH-2-B2-INT-G0</x:v>
      </x:c>
      <x:c r="C1518" s="9" t="str">
        <x:v>AR-LF-B-A-TECH-2-B2-INT-G0</x:v>
      </x:c>
      <x:c r="D1518" s="9" t="str">
        <x:v>LF-B-A-TECH-2</x:v>
      </x:c>
      <x:c r="E1518" s="9" t="str">
        <x:v>LF-B-A</x:v>
      </x:c>
      <x:c r="F1518" s="9" t="str">
        <x:v>B2</x:v>
      </x:c>
      <x:c r="G1518" s="9" t="str">
        <x:v>INT</x:v>
      </x:c>
      <x:c r="H1518" s="9" t="str">
        <x:v>OG12</x:v>
      </x:c>
      <x:c r="I1518" s="17" t="str">
        <x:v>Independent replay</x:v>
      </x:c>
      <x:c r="J1518" s="17" t="str">
        <x:v>a separated reader reconstructs the registered observables from sealed originals</x:v>
      </x:c>
      <x:c r="K1518" s="17" t="str">
        <x:v>Replay court</x:v>
      </x:c>
      <x:c r="L1518" s="9" t="n">
        <x:v>0</x:v>
      </x:c>
      <x:c r="M1518" s="9" t="n">
        <x:v>0</x:v>
      </x:c>
      <x:c r="N1518" s="9" t="str">
        <x:v>OPEN / UNACCEPTED</x:v>
      </x:c>
      <x:c r="O1518" s="9" t="n">
        <x:f>COUNTIFS($A$7:$A$1734,A1518)</x:f>
        <x:v>1</x:v>
      </x:c>
    </x:row>
    <x:row r="1519">
      <x:c r="A1519" s="9" t="str">
        <x:v>EV-AR-CT-C-B-TECH-3-B1-BRK-G0-OG01</x:v>
      </x:c>
      <x:c r="B1519" s="9" t="str">
        <x:v>EV-AR-CT-C-B-TECH-3-B1-BRK-G0</x:v>
      </x:c>
      <x:c r="C1519" s="9" t="str">
        <x:v>AR-CT-C-B-TECH-3-B1-BRK-G0</x:v>
      </x:c>
      <x:c r="D1519" s="9" t="str">
        <x:v>CT-C-B-TECH-3</x:v>
      </x:c>
      <x:c r="E1519" s="9" t="str">
        <x:v>CT-C-B</x:v>
      </x:c>
      <x:c r="F1519" s="9" t="str">
        <x:v>B1</x:v>
      </x:c>
      <x:c r="G1519" s="9" t="str">
        <x:v>BRK</x:v>
      </x:c>
      <x:c r="H1519" s="9" t="str">
        <x:v>OG01</x:v>
      </x:c>
      <x:c r="I1519" s="17" t="str">
        <x:v>Serial and event identity</x:v>
      </x:c>
      <x:c r="J1519" s="17" t="str">
        <x:v>record resolves to the issued serial, generation and physical start</x:v>
      </x:c>
      <x:c r="K1519" s="17" t="str">
        <x:v>Observation court</x:v>
      </x:c>
      <x:c r="L1519" s="9" t="n">
        <x:v>0</x:v>
      </x:c>
      <x:c r="M1519" s="9" t="n">
        <x:v>0</x:v>
      </x:c>
      <x:c r="N1519" s="9" t="str">
        <x:v>OPEN / UNACCEPTED</x:v>
      </x:c>
      <x:c r="O1519" s="9" t="n">
        <x:f>COUNTIFS($A$7:$A$1734,A1519)</x:f>
        <x:v>1</x:v>
      </x:c>
    </x:row>
    <x:row r="1520">
      <x:c r="A1520" s="9" t="str">
        <x:v>EV-AR-CT-C-B-TECH-3-B1-BRK-G0-OG02</x:v>
      </x:c>
      <x:c r="B1520" s="9" t="str">
        <x:v>EV-AR-CT-C-B-TECH-3-B1-BRK-G0</x:v>
      </x:c>
      <x:c r="C1520" s="9" t="str">
        <x:v>AR-CT-C-B-TECH-3-B1-BRK-G0</x:v>
      </x:c>
      <x:c r="D1520" s="9" t="str">
        <x:v>CT-C-B-TECH-3</x:v>
      </x:c>
      <x:c r="E1520" s="9" t="str">
        <x:v>CT-C-B</x:v>
      </x:c>
      <x:c r="F1520" s="9" t="str">
        <x:v>B1</x:v>
      </x:c>
      <x:c r="G1520" s="9" t="str">
        <x:v>BRK</x:v>
      </x:c>
      <x:c r="H1520" s="9" t="str">
        <x:v>OG02</x:v>
      </x:c>
      <x:c r="I1520" s="17" t="str">
        <x:v>Time ancestry</x:v>
      </x:c>
      <x:c r="J1520" s="17" t="str">
        <x:v>primary, witness and public event clocks retain declared offsets and drift</x:v>
      </x:c>
      <x:c r="K1520" s="17" t="str">
        <x:v>Time authority</x:v>
      </x:c>
      <x:c r="L1520" s="9" t="n">
        <x:v>0</x:v>
      </x:c>
      <x:c r="M1520" s="9" t="n">
        <x:v>0</x:v>
      </x:c>
      <x:c r="N1520" s="9" t="str">
        <x:v>OPEN / UNACCEPTED</x:v>
      </x:c>
      <x:c r="O1520" s="9" t="n">
        <x:f>COUNTIFS($A$7:$A$1734,A1520)</x:f>
        <x:v>1</x:v>
      </x:c>
    </x:row>
    <x:row r="1521">
      <x:c r="A1521" s="9" t="str">
        <x:v>EV-AR-CT-C-B-TECH-3-B1-BRK-G0-OG03</x:v>
      </x:c>
      <x:c r="B1521" s="9" t="str">
        <x:v>EV-AR-CT-C-B-TECH-3-B1-BRK-G0</x:v>
      </x:c>
      <x:c r="C1521" s="9" t="str">
        <x:v>AR-CT-C-B-TECH-3-B1-BRK-G0</x:v>
      </x:c>
      <x:c r="D1521" s="9" t="str">
        <x:v>CT-C-B-TECH-3</x:v>
      </x:c>
      <x:c r="E1521" s="9" t="str">
        <x:v>CT-C-B</x:v>
      </x:c>
      <x:c r="F1521" s="9" t="str">
        <x:v>B1</x:v>
      </x:c>
      <x:c r="G1521" s="9" t="str">
        <x:v>BRK</x:v>
      </x:c>
      <x:c r="H1521" s="9" t="str">
        <x:v>OG03</x:v>
      </x:c>
      <x:c r="I1521" s="17" t="str">
        <x:v>Calibration ancestry</x:v>
      </x:c>
      <x:c r="J1521" s="17" t="str">
        <x:v>all reference, range and uncertainty states cover the live interval</x:v>
      </x:c>
      <x:c r="K1521" s="17" t="str">
        <x:v>Metrology courts</x:v>
      </x:c>
      <x:c r="L1521" s="9" t="n">
        <x:v>0</x:v>
      </x:c>
      <x:c r="M1521" s="9" t="n">
        <x:v>0</x:v>
      </x:c>
      <x:c r="N1521" s="9" t="str">
        <x:v>OPEN / UNACCEPTED</x:v>
      </x:c>
      <x:c r="O1521" s="9" t="n">
        <x:f>COUNTIFS($A$7:$A$1734,A1521)</x:f>
        <x:v>1</x:v>
      </x:c>
    </x:row>
    <x:row r="1522">
      <x:c r="A1522" s="9" t="str">
        <x:v>EV-AR-CT-C-B-TECH-3-B1-BRK-G0-OG04</x:v>
      </x:c>
      <x:c r="B1522" s="9" t="str">
        <x:v>EV-AR-CT-C-B-TECH-3-B1-BRK-G0</x:v>
      </x:c>
      <x:c r="C1522" s="9" t="str">
        <x:v>AR-CT-C-B-TECH-3-B1-BRK-G0</x:v>
      </x:c>
      <x:c r="D1522" s="9" t="str">
        <x:v>CT-C-B-TECH-3</x:v>
      </x:c>
      <x:c r="E1522" s="9" t="str">
        <x:v>CT-C-B</x:v>
      </x:c>
      <x:c r="F1522" s="9" t="str">
        <x:v>B1</x:v>
      </x:c>
      <x:c r="G1522" s="9" t="str">
        <x:v>BRK</x:v>
      </x:c>
      <x:c r="H1522" s="9" t="str">
        <x:v>OG04</x:v>
      </x:c>
      <x:c r="I1522" s="17" t="str">
        <x:v>Raw completeness</x:v>
      </x:c>
      <x:c r="J1522" s="17" t="str">
        <x:v>missingness is enumerated without imputation or outcome-conditioned deletion</x:v>
      </x:c>
      <x:c r="K1522" s="17" t="str">
        <x:v>Observation court</x:v>
      </x:c>
      <x:c r="L1522" s="9" t="n">
        <x:v>0</x:v>
      </x:c>
      <x:c r="M1522" s="9" t="n">
        <x:v>0</x:v>
      </x:c>
      <x:c r="N1522" s="9" t="str">
        <x:v>OPEN / UNACCEPTED</x:v>
      </x:c>
      <x:c r="O1522" s="9" t="n">
        <x:f>COUNTIFS($A$7:$A$1734,A1522)</x:f>
        <x:v>1</x:v>
      </x:c>
    </x:row>
    <x:row r="1523">
      <x:c r="A1523" s="9" t="str">
        <x:v>EV-AR-CT-C-B-TECH-3-B1-BRK-G0-OG05</x:v>
      </x:c>
      <x:c r="B1523" s="9" t="str">
        <x:v>EV-AR-CT-C-B-TECH-3-B1-BRK-G0</x:v>
      </x:c>
      <x:c r="C1523" s="9" t="str">
        <x:v>AR-CT-C-B-TECH-3-B1-BRK-G0</x:v>
      </x:c>
      <x:c r="D1523" s="9" t="str">
        <x:v>CT-C-B-TECH-3</x:v>
      </x:c>
      <x:c r="E1523" s="9" t="str">
        <x:v>CT-C-B</x:v>
      </x:c>
      <x:c r="F1523" s="9" t="str">
        <x:v>B1</x:v>
      </x:c>
      <x:c r="G1523" s="9" t="str">
        <x:v>BRK</x:v>
      </x:c>
      <x:c r="H1523" s="9" t="str">
        <x:v>OG05</x:v>
      </x:c>
      <x:c r="I1523" s="17" t="str">
        <x:v>Primary provenance</x:v>
      </x:c>
      <x:c r="J1523" s="17" t="str">
        <x:v>primary originals, hashes, keys and access history reconcile</x:v>
      </x:c>
      <x:c r="K1523" s="17" t="str">
        <x:v>Primary custody</x:v>
      </x:c>
      <x:c r="L1523" s="9" t="n">
        <x:v>0</x:v>
      </x:c>
      <x:c r="M1523" s="9" t="n">
        <x:v>0</x:v>
      </x:c>
      <x:c r="N1523" s="9" t="str">
        <x:v>OPEN / UNACCEPTED</x:v>
      </x:c>
      <x:c r="O1523" s="9" t="n">
        <x:f>COUNTIFS($A$7:$A$1734,A1523)</x:f>
        <x:v>1</x:v>
      </x:c>
    </x:row>
    <x:row r="1524">
      <x:c r="A1524" s="9" t="str">
        <x:v>EV-AR-CT-C-B-TECH-3-B1-BRK-G0-OG06</x:v>
      </x:c>
      <x:c r="B1524" s="9" t="str">
        <x:v>EV-AR-CT-C-B-TECH-3-B1-BRK-G0</x:v>
      </x:c>
      <x:c r="C1524" s="9" t="str">
        <x:v>AR-CT-C-B-TECH-3-B1-BRK-G0</x:v>
      </x:c>
      <x:c r="D1524" s="9" t="str">
        <x:v>CT-C-B-TECH-3</x:v>
      </x:c>
      <x:c r="E1524" s="9" t="str">
        <x:v>CT-C-B</x:v>
      </x:c>
      <x:c r="F1524" s="9" t="str">
        <x:v>B1</x:v>
      </x:c>
      <x:c r="G1524" s="9" t="str">
        <x:v>BRK</x:v>
      </x:c>
      <x:c r="H1524" s="9" t="str">
        <x:v>OG06</x:v>
      </x:c>
      <x:c r="I1524" s="17" t="str">
        <x:v>Witness provenance</x:v>
      </x:c>
      <x:c r="J1524" s="17" t="str">
        <x:v>unlike witness originals, hashes, keys and access history reconcile</x:v>
      </x:c>
      <x:c r="K1524" s="17" t="str">
        <x:v>Witness custody</x:v>
      </x:c>
      <x:c r="L1524" s="9" t="n">
        <x:v>0</x:v>
      </x:c>
      <x:c r="M1524" s="9" t="n">
        <x:v>0</x:v>
      </x:c>
      <x:c r="N1524" s="9" t="str">
        <x:v>OPEN / UNACCEPTED</x:v>
      </x:c>
      <x:c r="O1524" s="9" t="n">
        <x:f>COUNTIFS($A$7:$A$1734,A1524)</x:f>
        <x:v>1</x:v>
      </x:c>
    </x:row>
    <x:row r="1525">
      <x:c r="A1525" s="9" t="str">
        <x:v>EV-AR-CT-C-B-TECH-3-B1-BRK-G0-OG07</x:v>
      </x:c>
      <x:c r="B1525" s="9" t="str">
        <x:v>EV-AR-CT-C-B-TECH-3-B1-BRK-G0</x:v>
      </x:c>
      <x:c r="C1525" s="9" t="str">
        <x:v>AR-CT-C-B-TECH-3-B1-BRK-G0</x:v>
      </x:c>
      <x:c r="D1525" s="9" t="str">
        <x:v>CT-C-B-TECH-3</x:v>
      </x:c>
      <x:c r="E1525" s="9" t="str">
        <x:v>CT-C-B</x:v>
      </x:c>
      <x:c r="F1525" s="9" t="str">
        <x:v>B1</x:v>
      </x:c>
      <x:c r="G1525" s="9" t="str">
        <x:v>BRK</x:v>
      </x:c>
      <x:c r="H1525" s="9" t="str">
        <x:v>OG07</x:v>
      </x:c>
      <x:c r="I1525" s="17" t="str">
        <x:v>Receiver denominator</x:v>
      </x:c>
      <x:c r="J1525" s="17" t="str">
        <x:v>population, quantity, duration and exclusions match the frozen receipt</x:v>
      </x:c>
      <x:c r="K1525" s="17" t="str">
        <x:v>Receiver court</x:v>
      </x:c>
      <x:c r="L1525" s="9" t="n">
        <x:v>0</x:v>
      </x:c>
      <x:c r="M1525" s="9" t="n">
        <x:v>0</x:v>
      </x:c>
      <x:c r="N1525" s="9" t="str">
        <x:v>OPEN / UNACCEPTED</x:v>
      </x:c>
      <x:c r="O1525" s="9" t="n">
        <x:f>COUNTIFS($A$7:$A$1734,A1525)</x:f>
        <x:v>1</x:v>
      </x:c>
    </x:row>
    <x:row r="1526">
      <x:c r="A1526" s="9" t="str">
        <x:v>EV-AR-CT-C-B-TECH-3-B1-BRK-G0-OG08</x:v>
      </x:c>
      <x:c r="B1526" s="9" t="str">
        <x:v>EV-AR-CT-C-B-TECH-3-B1-BRK-G0</x:v>
      </x:c>
      <x:c r="C1526" s="9" t="str">
        <x:v>AR-CT-C-B-TECH-3-B1-BRK-G0</x:v>
      </x:c>
      <x:c r="D1526" s="9" t="str">
        <x:v>CT-C-B-TECH-3</x:v>
      </x:c>
      <x:c r="E1526" s="9" t="str">
        <x:v>CT-C-B</x:v>
      </x:c>
      <x:c r="F1526" s="9" t="str">
        <x:v>B1</x:v>
      </x:c>
      <x:c r="G1526" s="9" t="str">
        <x:v>BRK</x:v>
      </x:c>
      <x:c r="H1526" s="9" t="str">
        <x:v>OG08</x:v>
      </x:c>
      <x:c r="I1526" s="17" t="str">
        <x:v>Environment and boundary</x:v>
      </x:c>
      <x:c r="J1526" s="17" t="str">
        <x:v>registered weather, water, ground, inlet and outlet states are retained</x:v>
      </x:c>
      <x:c r="K1526" s="17" t="str">
        <x:v>Boundary court</x:v>
      </x:c>
      <x:c r="L1526" s="9" t="n">
        <x:v>0</x:v>
      </x:c>
      <x:c r="M1526" s="9" t="n">
        <x:v>0</x:v>
      </x:c>
      <x:c r="N1526" s="9" t="str">
        <x:v>OPEN / UNACCEPTED</x:v>
      </x:c>
      <x:c r="O1526" s="9" t="n">
        <x:f>COUNTIFS($A$7:$A$1734,A1526)</x:f>
        <x:v>1</x:v>
      </x:c>
    </x:row>
    <x:row r="1527">
      <x:c r="A1527" s="9" t="str">
        <x:v>EV-AR-CT-C-B-TECH-3-B1-BRK-G0-OG09</x:v>
      </x:c>
      <x:c r="B1527" s="9" t="str">
        <x:v>EV-AR-CT-C-B-TECH-3-B1-BRK-G0</x:v>
      </x:c>
      <x:c r="C1527" s="9" t="str">
        <x:v>AR-CT-C-B-TECH-3-B1-BRK-G0</x:v>
      </x:c>
      <x:c r="D1527" s="9" t="str">
        <x:v>CT-C-B-TECH-3</x:v>
      </x:c>
      <x:c r="E1527" s="9" t="str">
        <x:v>CT-C-B</x:v>
      </x:c>
      <x:c r="F1527" s="9" t="str">
        <x:v>B1</x:v>
      </x:c>
      <x:c r="G1527" s="9" t="str">
        <x:v>BRK</x:v>
      </x:c>
      <x:c r="H1527" s="9" t="str">
        <x:v>OG09</x:v>
      </x:c>
      <x:c r="I1527" s="17" t="str">
        <x:v>Intervention account</x:v>
      </x:c>
      <x:c r="J1527" s="17" t="str">
        <x:v>all stop, rescue, operator and public-protection actions remain timestamped</x:v>
      </x:c>
      <x:c r="K1527" s="17" t="str">
        <x:v>Safety record court</x:v>
      </x:c>
      <x:c r="L1527" s="9" t="n">
        <x:v>0</x:v>
      </x:c>
      <x:c r="M1527" s="9" t="n">
        <x:v>0</x:v>
      </x:c>
      <x:c r="N1527" s="9" t="str">
        <x:v>OPEN / UNACCEPTED</x:v>
      </x:c>
      <x:c r="O1527" s="9" t="n">
        <x:f>COUNTIFS($A$7:$A$1734,A1527)</x:f>
        <x:v>1</x:v>
      </x:c>
    </x:row>
    <x:row r="1528">
      <x:c r="A1528" s="9" t="str">
        <x:v>EV-AR-CT-C-B-TECH-3-B1-BRK-G0-OG10</x:v>
      </x:c>
      <x:c r="B1528" s="9" t="str">
        <x:v>EV-AR-CT-C-B-TECH-3-B1-BRK-G0</x:v>
      </x:c>
      <x:c r="C1528" s="9" t="str">
        <x:v>AR-CT-C-B-TECH-3-B1-BRK-G0</x:v>
      </x:c>
      <x:c r="D1528" s="9" t="str">
        <x:v>CT-C-B-TECH-3</x:v>
      </x:c>
      <x:c r="E1528" s="9" t="str">
        <x:v>CT-C-B</x:v>
      </x:c>
      <x:c r="F1528" s="9" t="str">
        <x:v>B1</x:v>
      </x:c>
      <x:c r="G1528" s="9" t="str">
        <x:v>BRK</x:v>
      </x:c>
      <x:c r="H1528" s="9" t="str">
        <x:v>OG10</x:v>
      </x:c>
      <x:c r="I1528" s="17" t="str">
        <x:v>Uncertainty statement</x:v>
      </x:c>
      <x:c r="J1528" s="17" t="str">
        <x:v>range, censoring, resolution and correlation are declared before judgment</x:v>
      </x:c>
      <x:c r="K1528" s="17" t="str">
        <x:v>Uncertainty authority</x:v>
      </x:c>
      <x:c r="L1528" s="9" t="n">
        <x:v>0</x:v>
      </x:c>
      <x:c r="M1528" s="9" t="n">
        <x:v>0</x:v>
      </x:c>
      <x:c r="N1528" s="9" t="str">
        <x:v>OPEN / UNACCEPTED</x:v>
      </x:c>
      <x:c r="O1528" s="9" t="n">
        <x:f>COUNTIFS($A$7:$A$1734,A1528)</x:f>
        <x:v>1</x:v>
      </x:c>
    </x:row>
    <x:row r="1529">
      <x:c r="A1529" s="9" t="str">
        <x:v>EV-AR-CT-C-B-TECH-3-B1-BRK-G0-OG11</x:v>
      </x:c>
      <x:c r="B1529" s="9" t="str">
        <x:v>EV-AR-CT-C-B-TECH-3-B1-BRK-G0</x:v>
      </x:c>
      <x:c r="C1529" s="9" t="str">
        <x:v>AR-CT-C-B-TECH-3-B1-BRK-G0</x:v>
      </x:c>
      <x:c r="D1529" s="9" t="str">
        <x:v>CT-C-B-TECH-3</x:v>
      </x:c>
      <x:c r="E1529" s="9" t="str">
        <x:v>CT-C-B</x:v>
      </x:c>
      <x:c r="F1529" s="9" t="str">
        <x:v>B1</x:v>
      </x:c>
      <x:c r="G1529" s="9" t="str">
        <x:v>BRK</x:v>
      </x:c>
      <x:c r="H1529" s="9" t="str">
        <x:v>OG11</x:v>
      </x:c>
      <x:c r="I1529" s="17" t="str">
        <x:v>Contradiction preservation</x:v>
      </x:c>
      <x:c r="J1529" s="17" t="str">
        <x:v>primary-witness disagreement remains explicit and is never averaged away</x:v>
      </x:c>
      <x:c r="K1529" s="17" t="str">
        <x:v>Dissent registrar</x:v>
      </x:c>
      <x:c r="L1529" s="9" t="n">
        <x:v>0</x:v>
      </x:c>
      <x:c r="M1529" s="9" t="n">
        <x:v>0</x:v>
      </x:c>
      <x:c r="N1529" s="9" t="str">
        <x:v>OPEN / UNACCEPTED</x:v>
      </x:c>
      <x:c r="O1529" s="9" t="n">
        <x:f>COUNTIFS($A$7:$A$1734,A1529)</x:f>
        <x:v>1</x:v>
      </x:c>
    </x:row>
    <x:row r="1530">
      <x:c r="A1530" s="9" t="str">
        <x:v>EV-AR-CT-C-B-TECH-3-B1-BRK-G0-OG12</x:v>
      </x:c>
      <x:c r="B1530" s="9" t="str">
        <x:v>EV-AR-CT-C-B-TECH-3-B1-BRK-G0</x:v>
      </x:c>
      <x:c r="C1530" s="9" t="str">
        <x:v>AR-CT-C-B-TECH-3-B1-BRK-G0</x:v>
      </x:c>
      <x:c r="D1530" s="9" t="str">
        <x:v>CT-C-B-TECH-3</x:v>
      </x:c>
      <x:c r="E1530" s="9" t="str">
        <x:v>CT-C-B</x:v>
      </x:c>
      <x:c r="F1530" s="9" t="str">
        <x:v>B1</x:v>
      </x:c>
      <x:c r="G1530" s="9" t="str">
        <x:v>BRK</x:v>
      </x:c>
      <x:c r="H1530" s="9" t="str">
        <x:v>OG12</x:v>
      </x:c>
      <x:c r="I1530" s="17" t="str">
        <x:v>Independent replay</x:v>
      </x:c>
      <x:c r="J1530" s="17" t="str">
        <x:v>a separated reader reconstructs the registered observables from sealed originals</x:v>
      </x:c>
      <x:c r="K1530" s="17" t="str">
        <x:v>Replay court</x:v>
      </x:c>
      <x:c r="L1530" s="9" t="n">
        <x:v>0</x:v>
      </x:c>
      <x:c r="M1530" s="9" t="n">
        <x:v>0</x:v>
      </x:c>
      <x:c r="N1530" s="9" t="str">
        <x:v>OPEN / UNACCEPTED</x:v>
      </x:c>
      <x:c r="O1530" s="9" t="n">
        <x:f>COUNTIFS($A$7:$A$1734,A1530)</x:f>
        <x:v>1</x:v>
      </x:c>
    </x:row>
    <x:row r="1531">
      <x:c r="A1531" s="9" t="str">
        <x:v>EV-AR-ET-A-A-TECH-1-B2-RCN-G0-OG01</x:v>
      </x:c>
      <x:c r="B1531" s="9" t="str">
        <x:v>EV-AR-ET-A-A-TECH-1-B2-RCN-G0</x:v>
      </x:c>
      <x:c r="C1531" s="9" t="str">
        <x:v>AR-ET-A-A-TECH-1-B2-RCN-G0</x:v>
      </x:c>
      <x:c r="D1531" s="9" t="str">
        <x:v>ET-A-A-TECH-1</x:v>
      </x:c>
      <x:c r="E1531" s="9" t="str">
        <x:v>ET-A-A</x:v>
      </x:c>
      <x:c r="F1531" s="9" t="str">
        <x:v>B2</x:v>
      </x:c>
      <x:c r="G1531" s="9" t="str">
        <x:v>RCN</x:v>
      </x:c>
      <x:c r="H1531" s="9" t="str">
        <x:v>OG01</x:v>
      </x:c>
      <x:c r="I1531" s="17" t="str">
        <x:v>Serial and event identity</x:v>
      </x:c>
      <x:c r="J1531" s="17" t="str">
        <x:v>record resolves to the issued serial, generation and physical start</x:v>
      </x:c>
      <x:c r="K1531" s="17" t="str">
        <x:v>Observation court</x:v>
      </x:c>
      <x:c r="L1531" s="9" t="n">
        <x:v>0</x:v>
      </x:c>
      <x:c r="M1531" s="9" t="n">
        <x:v>0</x:v>
      </x:c>
      <x:c r="N1531" s="9" t="str">
        <x:v>OPEN / UNACCEPTED</x:v>
      </x:c>
      <x:c r="O1531" s="9" t="n">
        <x:f>COUNTIFS($A$7:$A$1734,A1531)</x:f>
        <x:v>1</x:v>
      </x:c>
    </x:row>
    <x:row r="1532">
      <x:c r="A1532" s="9" t="str">
        <x:v>EV-AR-ET-A-A-TECH-1-B2-RCN-G0-OG02</x:v>
      </x:c>
      <x:c r="B1532" s="9" t="str">
        <x:v>EV-AR-ET-A-A-TECH-1-B2-RCN-G0</x:v>
      </x:c>
      <x:c r="C1532" s="9" t="str">
        <x:v>AR-ET-A-A-TECH-1-B2-RCN-G0</x:v>
      </x:c>
      <x:c r="D1532" s="9" t="str">
        <x:v>ET-A-A-TECH-1</x:v>
      </x:c>
      <x:c r="E1532" s="9" t="str">
        <x:v>ET-A-A</x:v>
      </x:c>
      <x:c r="F1532" s="9" t="str">
        <x:v>B2</x:v>
      </x:c>
      <x:c r="G1532" s="9" t="str">
        <x:v>RCN</x:v>
      </x:c>
      <x:c r="H1532" s="9" t="str">
        <x:v>OG02</x:v>
      </x:c>
      <x:c r="I1532" s="17" t="str">
        <x:v>Time ancestry</x:v>
      </x:c>
      <x:c r="J1532" s="17" t="str">
        <x:v>primary, witness and public event clocks retain declared offsets and drift</x:v>
      </x:c>
      <x:c r="K1532" s="17" t="str">
        <x:v>Time authority</x:v>
      </x:c>
      <x:c r="L1532" s="9" t="n">
        <x:v>0</x:v>
      </x:c>
      <x:c r="M1532" s="9" t="n">
        <x:v>0</x:v>
      </x:c>
      <x:c r="N1532" s="9" t="str">
        <x:v>OPEN / UNACCEPTED</x:v>
      </x:c>
      <x:c r="O1532" s="9" t="n">
        <x:f>COUNTIFS($A$7:$A$1734,A1532)</x:f>
        <x:v>1</x:v>
      </x:c>
    </x:row>
    <x:row r="1533">
      <x:c r="A1533" s="9" t="str">
        <x:v>EV-AR-ET-A-A-TECH-1-B2-RCN-G0-OG03</x:v>
      </x:c>
      <x:c r="B1533" s="9" t="str">
        <x:v>EV-AR-ET-A-A-TECH-1-B2-RCN-G0</x:v>
      </x:c>
      <x:c r="C1533" s="9" t="str">
        <x:v>AR-ET-A-A-TECH-1-B2-RCN-G0</x:v>
      </x:c>
      <x:c r="D1533" s="9" t="str">
        <x:v>ET-A-A-TECH-1</x:v>
      </x:c>
      <x:c r="E1533" s="9" t="str">
        <x:v>ET-A-A</x:v>
      </x:c>
      <x:c r="F1533" s="9" t="str">
        <x:v>B2</x:v>
      </x:c>
      <x:c r="G1533" s="9" t="str">
        <x:v>RCN</x:v>
      </x:c>
      <x:c r="H1533" s="9" t="str">
        <x:v>OG03</x:v>
      </x:c>
      <x:c r="I1533" s="17" t="str">
        <x:v>Calibration ancestry</x:v>
      </x:c>
      <x:c r="J1533" s="17" t="str">
        <x:v>all reference, range and uncertainty states cover the live interval</x:v>
      </x:c>
      <x:c r="K1533" s="17" t="str">
        <x:v>Metrology courts</x:v>
      </x:c>
      <x:c r="L1533" s="9" t="n">
        <x:v>0</x:v>
      </x:c>
      <x:c r="M1533" s="9" t="n">
        <x:v>0</x:v>
      </x:c>
      <x:c r="N1533" s="9" t="str">
        <x:v>OPEN / UNACCEPTED</x:v>
      </x:c>
      <x:c r="O1533" s="9" t="n">
        <x:f>COUNTIFS($A$7:$A$1734,A1533)</x:f>
        <x:v>1</x:v>
      </x:c>
    </x:row>
    <x:row r="1534">
      <x:c r="A1534" s="9" t="str">
        <x:v>EV-AR-ET-A-A-TECH-1-B2-RCN-G0-OG04</x:v>
      </x:c>
      <x:c r="B1534" s="9" t="str">
        <x:v>EV-AR-ET-A-A-TECH-1-B2-RCN-G0</x:v>
      </x:c>
      <x:c r="C1534" s="9" t="str">
        <x:v>AR-ET-A-A-TECH-1-B2-RCN-G0</x:v>
      </x:c>
      <x:c r="D1534" s="9" t="str">
        <x:v>ET-A-A-TECH-1</x:v>
      </x:c>
      <x:c r="E1534" s="9" t="str">
        <x:v>ET-A-A</x:v>
      </x:c>
      <x:c r="F1534" s="9" t="str">
        <x:v>B2</x:v>
      </x:c>
      <x:c r="G1534" s="9" t="str">
        <x:v>RCN</x:v>
      </x:c>
      <x:c r="H1534" s="9" t="str">
        <x:v>OG04</x:v>
      </x:c>
      <x:c r="I1534" s="17" t="str">
        <x:v>Raw completeness</x:v>
      </x:c>
      <x:c r="J1534" s="17" t="str">
        <x:v>missingness is enumerated without imputation or outcome-conditioned deletion</x:v>
      </x:c>
      <x:c r="K1534" s="17" t="str">
        <x:v>Observation court</x:v>
      </x:c>
      <x:c r="L1534" s="9" t="n">
        <x:v>0</x:v>
      </x:c>
      <x:c r="M1534" s="9" t="n">
        <x:v>0</x:v>
      </x:c>
      <x:c r="N1534" s="9" t="str">
        <x:v>OPEN / UNACCEPTED</x:v>
      </x:c>
      <x:c r="O1534" s="9" t="n">
        <x:f>COUNTIFS($A$7:$A$1734,A1534)</x:f>
        <x:v>1</x:v>
      </x:c>
    </x:row>
    <x:row r="1535">
      <x:c r="A1535" s="9" t="str">
        <x:v>EV-AR-ET-A-A-TECH-1-B2-RCN-G0-OG05</x:v>
      </x:c>
      <x:c r="B1535" s="9" t="str">
        <x:v>EV-AR-ET-A-A-TECH-1-B2-RCN-G0</x:v>
      </x:c>
      <x:c r="C1535" s="9" t="str">
        <x:v>AR-ET-A-A-TECH-1-B2-RCN-G0</x:v>
      </x:c>
      <x:c r="D1535" s="9" t="str">
        <x:v>ET-A-A-TECH-1</x:v>
      </x:c>
      <x:c r="E1535" s="9" t="str">
        <x:v>ET-A-A</x:v>
      </x:c>
      <x:c r="F1535" s="9" t="str">
        <x:v>B2</x:v>
      </x:c>
      <x:c r="G1535" s="9" t="str">
        <x:v>RCN</x:v>
      </x:c>
      <x:c r="H1535" s="9" t="str">
        <x:v>OG05</x:v>
      </x:c>
      <x:c r="I1535" s="17" t="str">
        <x:v>Primary provenance</x:v>
      </x:c>
      <x:c r="J1535" s="17" t="str">
        <x:v>primary originals, hashes, keys and access history reconcile</x:v>
      </x:c>
      <x:c r="K1535" s="17" t="str">
        <x:v>Primary custody</x:v>
      </x:c>
      <x:c r="L1535" s="9" t="n">
        <x:v>0</x:v>
      </x:c>
      <x:c r="M1535" s="9" t="n">
        <x:v>0</x:v>
      </x:c>
      <x:c r="N1535" s="9" t="str">
        <x:v>OPEN / UNACCEPTED</x:v>
      </x:c>
      <x:c r="O1535" s="9" t="n">
        <x:f>COUNTIFS($A$7:$A$1734,A1535)</x:f>
        <x:v>1</x:v>
      </x:c>
    </x:row>
    <x:row r="1536">
      <x:c r="A1536" s="9" t="str">
        <x:v>EV-AR-ET-A-A-TECH-1-B2-RCN-G0-OG06</x:v>
      </x:c>
      <x:c r="B1536" s="9" t="str">
        <x:v>EV-AR-ET-A-A-TECH-1-B2-RCN-G0</x:v>
      </x:c>
      <x:c r="C1536" s="9" t="str">
        <x:v>AR-ET-A-A-TECH-1-B2-RCN-G0</x:v>
      </x:c>
      <x:c r="D1536" s="9" t="str">
        <x:v>ET-A-A-TECH-1</x:v>
      </x:c>
      <x:c r="E1536" s="9" t="str">
        <x:v>ET-A-A</x:v>
      </x:c>
      <x:c r="F1536" s="9" t="str">
        <x:v>B2</x:v>
      </x:c>
      <x:c r="G1536" s="9" t="str">
        <x:v>RCN</x:v>
      </x:c>
      <x:c r="H1536" s="9" t="str">
        <x:v>OG06</x:v>
      </x:c>
      <x:c r="I1536" s="17" t="str">
        <x:v>Witness provenance</x:v>
      </x:c>
      <x:c r="J1536" s="17" t="str">
        <x:v>unlike witness originals, hashes, keys and access history reconcile</x:v>
      </x:c>
      <x:c r="K1536" s="17" t="str">
        <x:v>Witness custody</x:v>
      </x:c>
      <x:c r="L1536" s="9" t="n">
        <x:v>0</x:v>
      </x:c>
      <x:c r="M1536" s="9" t="n">
        <x:v>0</x:v>
      </x:c>
      <x:c r="N1536" s="9" t="str">
        <x:v>OPEN / UNACCEPTED</x:v>
      </x:c>
      <x:c r="O1536" s="9" t="n">
        <x:f>COUNTIFS($A$7:$A$1734,A1536)</x:f>
        <x:v>1</x:v>
      </x:c>
    </x:row>
    <x:row r="1537">
      <x:c r="A1537" s="9" t="str">
        <x:v>EV-AR-ET-A-A-TECH-1-B2-RCN-G0-OG07</x:v>
      </x:c>
      <x:c r="B1537" s="9" t="str">
        <x:v>EV-AR-ET-A-A-TECH-1-B2-RCN-G0</x:v>
      </x:c>
      <x:c r="C1537" s="9" t="str">
        <x:v>AR-ET-A-A-TECH-1-B2-RCN-G0</x:v>
      </x:c>
      <x:c r="D1537" s="9" t="str">
        <x:v>ET-A-A-TECH-1</x:v>
      </x:c>
      <x:c r="E1537" s="9" t="str">
        <x:v>ET-A-A</x:v>
      </x:c>
      <x:c r="F1537" s="9" t="str">
        <x:v>B2</x:v>
      </x:c>
      <x:c r="G1537" s="9" t="str">
        <x:v>RCN</x:v>
      </x:c>
      <x:c r="H1537" s="9" t="str">
        <x:v>OG07</x:v>
      </x:c>
      <x:c r="I1537" s="17" t="str">
        <x:v>Receiver denominator</x:v>
      </x:c>
      <x:c r="J1537" s="17" t="str">
        <x:v>population, quantity, duration and exclusions match the frozen receipt</x:v>
      </x:c>
      <x:c r="K1537" s="17" t="str">
        <x:v>Receiver court</x:v>
      </x:c>
      <x:c r="L1537" s="9" t="n">
        <x:v>0</x:v>
      </x:c>
      <x:c r="M1537" s="9" t="n">
        <x:v>0</x:v>
      </x:c>
      <x:c r="N1537" s="9" t="str">
        <x:v>OPEN / UNACCEPTED</x:v>
      </x:c>
      <x:c r="O1537" s="9" t="n">
        <x:f>COUNTIFS($A$7:$A$1734,A1537)</x:f>
        <x:v>1</x:v>
      </x:c>
    </x:row>
    <x:row r="1538">
      <x:c r="A1538" s="9" t="str">
        <x:v>EV-AR-ET-A-A-TECH-1-B2-RCN-G0-OG08</x:v>
      </x:c>
      <x:c r="B1538" s="9" t="str">
        <x:v>EV-AR-ET-A-A-TECH-1-B2-RCN-G0</x:v>
      </x:c>
      <x:c r="C1538" s="9" t="str">
        <x:v>AR-ET-A-A-TECH-1-B2-RCN-G0</x:v>
      </x:c>
      <x:c r="D1538" s="9" t="str">
        <x:v>ET-A-A-TECH-1</x:v>
      </x:c>
      <x:c r="E1538" s="9" t="str">
        <x:v>ET-A-A</x:v>
      </x:c>
      <x:c r="F1538" s="9" t="str">
        <x:v>B2</x:v>
      </x:c>
      <x:c r="G1538" s="9" t="str">
        <x:v>RCN</x:v>
      </x:c>
      <x:c r="H1538" s="9" t="str">
        <x:v>OG08</x:v>
      </x:c>
      <x:c r="I1538" s="17" t="str">
        <x:v>Environment and boundary</x:v>
      </x:c>
      <x:c r="J1538" s="17" t="str">
        <x:v>registered weather, water, ground, inlet and outlet states are retained</x:v>
      </x:c>
      <x:c r="K1538" s="17" t="str">
        <x:v>Boundary court</x:v>
      </x:c>
      <x:c r="L1538" s="9" t="n">
        <x:v>0</x:v>
      </x:c>
      <x:c r="M1538" s="9" t="n">
        <x:v>0</x:v>
      </x:c>
      <x:c r="N1538" s="9" t="str">
        <x:v>OPEN / UNACCEPTED</x:v>
      </x:c>
      <x:c r="O1538" s="9" t="n">
        <x:f>COUNTIFS($A$7:$A$1734,A1538)</x:f>
        <x:v>1</x:v>
      </x:c>
    </x:row>
    <x:row r="1539">
      <x:c r="A1539" s="9" t="str">
        <x:v>EV-AR-ET-A-A-TECH-1-B2-RCN-G0-OG09</x:v>
      </x:c>
      <x:c r="B1539" s="9" t="str">
        <x:v>EV-AR-ET-A-A-TECH-1-B2-RCN-G0</x:v>
      </x:c>
      <x:c r="C1539" s="9" t="str">
        <x:v>AR-ET-A-A-TECH-1-B2-RCN-G0</x:v>
      </x:c>
      <x:c r="D1539" s="9" t="str">
        <x:v>ET-A-A-TECH-1</x:v>
      </x:c>
      <x:c r="E1539" s="9" t="str">
        <x:v>ET-A-A</x:v>
      </x:c>
      <x:c r="F1539" s="9" t="str">
        <x:v>B2</x:v>
      </x:c>
      <x:c r="G1539" s="9" t="str">
        <x:v>RCN</x:v>
      </x:c>
      <x:c r="H1539" s="9" t="str">
        <x:v>OG09</x:v>
      </x:c>
      <x:c r="I1539" s="17" t="str">
        <x:v>Intervention account</x:v>
      </x:c>
      <x:c r="J1539" s="17" t="str">
        <x:v>all stop, rescue, operator and public-protection actions remain timestamped</x:v>
      </x:c>
      <x:c r="K1539" s="17" t="str">
        <x:v>Safety record court</x:v>
      </x:c>
      <x:c r="L1539" s="9" t="n">
        <x:v>0</x:v>
      </x:c>
      <x:c r="M1539" s="9" t="n">
        <x:v>0</x:v>
      </x:c>
      <x:c r="N1539" s="9" t="str">
        <x:v>OPEN / UNACCEPTED</x:v>
      </x:c>
      <x:c r="O1539" s="9" t="n">
        <x:f>COUNTIFS($A$7:$A$1734,A1539)</x:f>
        <x:v>1</x:v>
      </x:c>
    </x:row>
    <x:row r="1540">
      <x:c r="A1540" s="9" t="str">
        <x:v>EV-AR-ET-A-A-TECH-1-B2-RCN-G0-OG10</x:v>
      </x:c>
      <x:c r="B1540" s="9" t="str">
        <x:v>EV-AR-ET-A-A-TECH-1-B2-RCN-G0</x:v>
      </x:c>
      <x:c r="C1540" s="9" t="str">
        <x:v>AR-ET-A-A-TECH-1-B2-RCN-G0</x:v>
      </x:c>
      <x:c r="D1540" s="9" t="str">
        <x:v>ET-A-A-TECH-1</x:v>
      </x:c>
      <x:c r="E1540" s="9" t="str">
        <x:v>ET-A-A</x:v>
      </x:c>
      <x:c r="F1540" s="9" t="str">
        <x:v>B2</x:v>
      </x:c>
      <x:c r="G1540" s="9" t="str">
        <x:v>RCN</x:v>
      </x:c>
      <x:c r="H1540" s="9" t="str">
        <x:v>OG10</x:v>
      </x:c>
      <x:c r="I1540" s="17" t="str">
        <x:v>Uncertainty statement</x:v>
      </x:c>
      <x:c r="J1540" s="17" t="str">
        <x:v>range, censoring, resolution and correlation are declared before judgment</x:v>
      </x:c>
      <x:c r="K1540" s="17" t="str">
        <x:v>Uncertainty authority</x:v>
      </x:c>
      <x:c r="L1540" s="9" t="n">
        <x:v>0</x:v>
      </x:c>
      <x:c r="M1540" s="9" t="n">
        <x:v>0</x:v>
      </x:c>
      <x:c r="N1540" s="9" t="str">
        <x:v>OPEN / UNACCEPTED</x:v>
      </x:c>
      <x:c r="O1540" s="9" t="n">
        <x:f>COUNTIFS($A$7:$A$1734,A1540)</x:f>
        <x:v>1</x:v>
      </x:c>
    </x:row>
    <x:row r="1541">
      <x:c r="A1541" s="9" t="str">
        <x:v>EV-AR-ET-A-A-TECH-1-B2-RCN-G0-OG11</x:v>
      </x:c>
      <x:c r="B1541" s="9" t="str">
        <x:v>EV-AR-ET-A-A-TECH-1-B2-RCN-G0</x:v>
      </x:c>
      <x:c r="C1541" s="9" t="str">
        <x:v>AR-ET-A-A-TECH-1-B2-RCN-G0</x:v>
      </x:c>
      <x:c r="D1541" s="9" t="str">
        <x:v>ET-A-A-TECH-1</x:v>
      </x:c>
      <x:c r="E1541" s="9" t="str">
        <x:v>ET-A-A</x:v>
      </x:c>
      <x:c r="F1541" s="9" t="str">
        <x:v>B2</x:v>
      </x:c>
      <x:c r="G1541" s="9" t="str">
        <x:v>RCN</x:v>
      </x:c>
      <x:c r="H1541" s="9" t="str">
        <x:v>OG11</x:v>
      </x:c>
      <x:c r="I1541" s="17" t="str">
        <x:v>Contradiction preservation</x:v>
      </x:c>
      <x:c r="J1541" s="17" t="str">
        <x:v>primary-witness disagreement remains explicit and is never averaged away</x:v>
      </x:c>
      <x:c r="K1541" s="17" t="str">
        <x:v>Dissent registrar</x:v>
      </x:c>
      <x:c r="L1541" s="9" t="n">
        <x:v>0</x:v>
      </x:c>
      <x:c r="M1541" s="9" t="n">
        <x:v>0</x:v>
      </x:c>
      <x:c r="N1541" s="9" t="str">
        <x:v>OPEN / UNACCEPTED</x:v>
      </x:c>
      <x:c r="O1541" s="9" t="n">
        <x:f>COUNTIFS($A$7:$A$1734,A1541)</x:f>
        <x:v>1</x:v>
      </x:c>
    </x:row>
    <x:row r="1542">
      <x:c r="A1542" s="9" t="str">
        <x:v>EV-AR-ET-A-A-TECH-1-B2-RCN-G0-OG12</x:v>
      </x:c>
      <x:c r="B1542" s="9" t="str">
        <x:v>EV-AR-ET-A-A-TECH-1-B2-RCN-G0</x:v>
      </x:c>
      <x:c r="C1542" s="9" t="str">
        <x:v>AR-ET-A-A-TECH-1-B2-RCN-G0</x:v>
      </x:c>
      <x:c r="D1542" s="9" t="str">
        <x:v>ET-A-A-TECH-1</x:v>
      </x:c>
      <x:c r="E1542" s="9" t="str">
        <x:v>ET-A-A</x:v>
      </x:c>
      <x:c r="F1542" s="9" t="str">
        <x:v>B2</x:v>
      </x:c>
      <x:c r="G1542" s="9" t="str">
        <x:v>RCN</x:v>
      </x:c>
      <x:c r="H1542" s="9" t="str">
        <x:v>OG12</x:v>
      </x:c>
      <x:c r="I1542" s="17" t="str">
        <x:v>Independent replay</x:v>
      </x:c>
      <x:c r="J1542" s="17" t="str">
        <x:v>a separated reader reconstructs the registered observables from sealed originals</x:v>
      </x:c>
      <x:c r="K1542" s="17" t="str">
        <x:v>Replay court</x:v>
      </x:c>
      <x:c r="L1542" s="9" t="n">
        <x:v>0</x:v>
      </x:c>
      <x:c r="M1542" s="9" t="n">
        <x:v>0</x:v>
      </x:c>
      <x:c r="N1542" s="9" t="str">
        <x:v>OPEN / UNACCEPTED</x:v>
      </x:c>
      <x:c r="O1542" s="9" t="n">
        <x:f>COUNTIFS($A$7:$A$1734,A1542)</x:f>
        <x:v>1</x:v>
      </x:c>
    </x:row>
    <x:row r="1543">
      <x:c r="A1543" s="9" t="str">
        <x:v>EV-AR-HC-A-C-TECH-1-B2-BRK-G0-OG01</x:v>
      </x:c>
      <x:c r="B1543" s="9" t="str">
        <x:v>EV-AR-HC-A-C-TECH-1-B2-BRK-G0</x:v>
      </x:c>
      <x:c r="C1543" s="9" t="str">
        <x:v>AR-HC-A-C-TECH-1-B2-BRK-G0</x:v>
      </x:c>
      <x:c r="D1543" s="9" t="str">
        <x:v>HC-A-C-TECH-1</x:v>
      </x:c>
      <x:c r="E1543" s="9" t="str">
        <x:v>HC-A-C</x:v>
      </x:c>
      <x:c r="F1543" s="9" t="str">
        <x:v>B2</x:v>
      </x:c>
      <x:c r="G1543" s="9" t="str">
        <x:v>BRK</x:v>
      </x:c>
      <x:c r="H1543" s="9" t="str">
        <x:v>OG01</x:v>
      </x:c>
      <x:c r="I1543" s="17" t="str">
        <x:v>Serial and event identity</x:v>
      </x:c>
      <x:c r="J1543" s="17" t="str">
        <x:v>record resolves to the issued serial, generation and physical start</x:v>
      </x:c>
      <x:c r="K1543" s="17" t="str">
        <x:v>Observation court</x:v>
      </x:c>
      <x:c r="L1543" s="9" t="n">
        <x:v>0</x:v>
      </x:c>
      <x:c r="M1543" s="9" t="n">
        <x:v>0</x:v>
      </x:c>
      <x:c r="N1543" s="9" t="str">
        <x:v>OPEN / UNACCEPTED</x:v>
      </x:c>
      <x:c r="O1543" s="9" t="n">
        <x:f>COUNTIFS($A$7:$A$1734,A1543)</x:f>
        <x:v>1</x:v>
      </x:c>
    </x:row>
    <x:row r="1544">
      <x:c r="A1544" s="9" t="str">
        <x:v>EV-AR-HC-A-C-TECH-1-B2-BRK-G0-OG02</x:v>
      </x:c>
      <x:c r="B1544" s="9" t="str">
        <x:v>EV-AR-HC-A-C-TECH-1-B2-BRK-G0</x:v>
      </x:c>
      <x:c r="C1544" s="9" t="str">
        <x:v>AR-HC-A-C-TECH-1-B2-BRK-G0</x:v>
      </x:c>
      <x:c r="D1544" s="9" t="str">
        <x:v>HC-A-C-TECH-1</x:v>
      </x:c>
      <x:c r="E1544" s="9" t="str">
        <x:v>HC-A-C</x:v>
      </x:c>
      <x:c r="F1544" s="9" t="str">
        <x:v>B2</x:v>
      </x:c>
      <x:c r="G1544" s="9" t="str">
        <x:v>BRK</x:v>
      </x:c>
      <x:c r="H1544" s="9" t="str">
        <x:v>OG02</x:v>
      </x:c>
      <x:c r="I1544" s="17" t="str">
        <x:v>Time ancestry</x:v>
      </x:c>
      <x:c r="J1544" s="17" t="str">
        <x:v>primary, witness and public event clocks retain declared offsets and drift</x:v>
      </x:c>
      <x:c r="K1544" s="17" t="str">
        <x:v>Time authority</x:v>
      </x:c>
      <x:c r="L1544" s="9" t="n">
        <x:v>0</x:v>
      </x:c>
      <x:c r="M1544" s="9" t="n">
        <x:v>0</x:v>
      </x:c>
      <x:c r="N1544" s="9" t="str">
        <x:v>OPEN / UNACCEPTED</x:v>
      </x:c>
      <x:c r="O1544" s="9" t="n">
        <x:f>COUNTIFS($A$7:$A$1734,A1544)</x:f>
        <x:v>1</x:v>
      </x:c>
    </x:row>
    <x:row r="1545">
      <x:c r="A1545" s="9" t="str">
        <x:v>EV-AR-HC-A-C-TECH-1-B2-BRK-G0-OG03</x:v>
      </x:c>
      <x:c r="B1545" s="9" t="str">
        <x:v>EV-AR-HC-A-C-TECH-1-B2-BRK-G0</x:v>
      </x:c>
      <x:c r="C1545" s="9" t="str">
        <x:v>AR-HC-A-C-TECH-1-B2-BRK-G0</x:v>
      </x:c>
      <x:c r="D1545" s="9" t="str">
        <x:v>HC-A-C-TECH-1</x:v>
      </x:c>
      <x:c r="E1545" s="9" t="str">
        <x:v>HC-A-C</x:v>
      </x:c>
      <x:c r="F1545" s="9" t="str">
        <x:v>B2</x:v>
      </x:c>
      <x:c r="G1545" s="9" t="str">
        <x:v>BRK</x:v>
      </x:c>
      <x:c r="H1545" s="9" t="str">
        <x:v>OG03</x:v>
      </x:c>
      <x:c r="I1545" s="17" t="str">
        <x:v>Calibration ancestry</x:v>
      </x:c>
      <x:c r="J1545" s="17" t="str">
        <x:v>all reference, range and uncertainty states cover the live interval</x:v>
      </x:c>
      <x:c r="K1545" s="17" t="str">
        <x:v>Metrology courts</x:v>
      </x:c>
      <x:c r="L1545" s="9" t="n">
        <x:v>0</x:v>
      </x:c>
      <x:c r="M1545" s="9" t="n">
        <x:v>0</x:v>
      </x:c>
      <x:c r="N1545" s="9" t="str">
        <x:v>OPEN / UNACCEPTED</x:v>
      </x:c>
      <x:c r="O1545" s="9" t="n">
        <x:f>COUNTIFS($A$7:$A$1734,A1545)</x:f>
        <x:v>1</x:v>
      </x:c>
    </x:row>
    <x:row r="1546">
      <x:c r="A1546" s="9" t="str">
        <x:v>EV-AR-HC-A-C-TECH-1-B2-BRK-G0-OG04</x:v>
      </x:c>
      <x:c r="B1546" s="9" t="str">
        <x:v>EV-AR-HC-A-C-TECH-1-B2-BRK-G0</x:v>
      </x:c>
      <x:c r="C1546" s="9" t="str">
        <x:v>AR-HC-A-C-TECH-1-B2-BRK-G0</x:v>
      </x:c>
      <x:c r="D1546" s="9" t="str">
        <x:v>HC-A-C-TECH-1</x:v>
      </x:c>
      <x:c r="E1546" s="9" t="str">
        <x:v>HC-A-C</x:v>
      </x:c>
      <x:c r="F1546" s="9" t="str">
        <x:v>B2</x:v>
      </x:c>
      <x:c r="G1546" s="9" t="str">
        <x:v>BRK</x:v>
      </x:c>
      <x:c r="H1546" s="9" t="str">
        <x:v>OG04</x:v>
      </x:c>
      <x:c r="I1546" s="17" t="str">
        <x:v>Raw completeness</x:v>
      </x:c>
      <x:c r="J1546" s="17" t="str">
        <x:v>missingness is enumerated without imputation or outcome-conditioned deletion</x:v>
      </x:c>
      <x:c r="K1546" s="17" t="str">
        <x:v>Observation court</x:v>
      </x:c>
      <x:c r="L1546" s="9" t="n">
        <x:v>0</x:v>
      </x:c>
      <x:c r="M1546" s="9" t="n">
        <x:v>0</x:v>
      </x:c>
      <x:c r="N1546" s="9" t="str">
        <x:v>OPEN / UNACCEPTED</x:v>
      </x:c>
      <x:c r="O1546" s="9" t="n">
        <x:f>COUNTIFS($A$7:$A$1734,A1546)</x:f>
        <x:v>1</x:v>
      </x:c>
    </x:row>
    <x:row r="1547">
      <x:c r="A1547" s="9" t="str">
        <x:v>EV-AR-HC-A-C-TECH-1-B2-BRK-G0-OG05</x:v>
      </x:c>
      <x:c r="B1547" s="9" t="str">
        <x:v>EV-AR-HC-A-C-TECH-1-B2-BRK-G0</x:v>
      </x:c>
      <x:c r="C1547" s="9" t="str">
        <x:v>AR-HC-A-C-TECH-1-B2-BRK-G0</x:v>
      </x:c>
      <x:c r="D1547" s="9" t="str">
        <x:v>HC-A-C-TECH-1</x:v>
      </x:c>
      <x:c r="E1547" s="9" t="str">
        <x:v>HC-A-C</x:v>
      </x:c>
      <x:c r="F1547" s="9" t="str">
        <x:v>B2</x:v>
      </x:c>
      <x:c r="G1547" s="9" t="str">
        <x:v>BRK</x:v>
      </x:c>
      <x:c r="H1547" s="9" t="str">
        <x:v>OG05</x:v>
      </x:c>
      <x:c r="I1547" s="17" t="str">
        <x:v>Primary provenance</x:v>
      </x:c>
      <x:c r="J1547" s="17" t="str">
        <x:v>primary originals, hashes, keys and access history reconcile</x:v>
      </x:c>
      <x:c r="K1547" s="17" t="str">
        <x:v>Primary custody</x:v>
      </x:c>
      <x:c r="L1547" s="9" t="n">
        <x:v>0</x:v>
      </x:c>
      <x:c r="M1547" s="9" t="n">
        <x:v>0</x:v>
      </x:c>
      <x:c r="N1547" s="9" t="str">
        <x:v>OPEN / UNACCEPTED</x:v>
      </x:c>
      <x:c r="O1547" s="9" t="n">
        <x:f>COUNTIFS($A$7:$A$1734,A1547)</x:f>
        <x:v>1</x:v>
      </x:c>
    </x:row>
    <x:row r="1548">
      <x:c r="A1548" s="9" t="str">
        <x:v>EV-AR-HC-A-C-TECH-1-B2-BRK-G0-OG06</x:v>
      </x:c>
      <x:c r="B1548" s="9" t="str">
        <x:v>EV-AR-HC-A-C-TECH-1-B2-BRK-G0</x:v>
      </x:c>
      <x:c r="C1548" s="9" t="str">
        <x:v>AR-HC-A-C-TECH-1-B2-BRK-G0</x:v>
      </x:c>
      <x:c r="D1548" s="9" t="str">
        <x:v>HC-A-C-TECH-1</x:v>
      </x:c>
      <x:c r="E1548" s="9" t="str">
        <x:v>HC-A-C</x:v>
      </x:c>
      <x:c r="F1548" s="9" t="str">
        <x:v>B2</x:v>
      </x:c>
      <x:c r="G1548" s="9" t="str">
        <x:v>BRK</x:v>
      </x:c>
      <x:c r="H1548" s="9" t="str">
        <x:v>OG06</x:v>
      </x:c>
      <x:c r="I1548" s="17" t="str">
        <x:v>Witness provenance</x:v>
      </x:c>
      <x:c r="J1548" s="17" t="str">
        <x:v>unlike witness originals, hashes, keys and access history reconcile</x:v>
      </x:c>
      <x:c r="K1548" s="17" t="str">
        <x:v>Witness custody</x:v>
      </x:c>
      <x:c r="L1548" s="9" t="n">
        <x:v>0</x:v>
      </x:c>
      <x:c r="M1548" s="9" t="n">
        <x:v>0</x:v>
      </x:c>
      <x:c r="N1548" s="9" t="str">
        <x:v>OPEN / UNACCEPTED</x:v>
      </x:c>
      <x:c r="O1548" s="9" t="n">
        <x:f>COUNTIFS($A$7:$A$1734,A1548)</x:f>
        <x:v>1</x:v>
      </x:c>
    </x:row>
    <x:row r="1549">
      <x:c r="A1549" s="9" t="str">
        <x:v>EV-AR-HC-A-C-TECH-1-B2-BRK-G0-OG07</x:v>
      </x:c>
      <x:c r="B1549" s="9" t="str">
        <x:v>EV-AR-HC-A-C-TECH-1-B2-BRK-G0</x:v>
      </x:c>
      <x:c r="C1549" s="9" t="str">
        <x:v>AR-HC-A-C-TECH-1-B2-BRK-G0</x:v>
      </x:c>
      <x:c r="D1549" s="9" t="str">
        <x:v>HC-A-C-TECH-1</x:v>
      </x:c>
      <x:c r="E1549" s="9" t="str">
        <x:v>HC-A-C</x:v>
      </x:c>
      <x:c r="F1549" s="9" t="str">
        <x:v>B2</x:v>
      </x:c>
      <x:c r="G1549" s="9" t="str">
        <x:v>BRK</x:v>
      </x:c>
      <x:c r="H1549" s="9" t="str">
        <x:v>OG07</x:v>
      </x:c>
      <x:c r="I1549" s="17" t="str">
        <x:v>Receiver denominator</x:v>
      </x:c>
      <x:c r="J1549" s="17" t="str">
        <x:v>population, quantity, duration and exclusions match the frozen receipt</x:v>
      </x:c>
      <x:c r="K1549" s="17" t="str">
        <x:v>Receiver court</x:v>
      </x:c>
      <x:c r="L1549" s="9" t="n">
        <x:v>0</x:v>
      </x:c>
      <x:c r="M1549" s="9" t="n">
        <x:v>0</x:v>
      </x:c>
      <x:c r="N1549" s="9" t="str">
        <x:v>OPEN / UNACCEPTED</x:v>
      </x:c>
      <x:c r="O1549" s="9" t="n">
        <x:f>COUNTIFS($A$7:$A$1734,A1549)</x:f>
        <x:v>1</x:v>
      </x:c>
    </x:row>
    <x:row r="1550">
      <x:c r="A1550" s="9" t="str">
        <x:v>EV-AR-HC-A-C-TECH-1-B2-BRK-G0-OG08</x:v>
      </x:c>
      <x:c r="B1550" s="9" t="str">
        <x:v>EV-AR-HC-A-C-TECH-1-B2-BRK-G0</x:v>
      </x:c>
      <x:c r="C1550" s="9" t="str">
        <x:v>AR-HC-A-C-TECH-1-B2-BRK-G0</x:v>
      </x:c>
      <x:c r="D1550" s="9" t="str">
        <x:v>HC-A-C-TECH-1</x:v>
      </x:c>
      <x:c r="E1550" s="9" t="str">
        <x:v>HC-A-C</x:v>
      </x:c>
      <x:c r="F1550" s="9" t="str">
        <x:v>B2</x:v>
      </x:c>
      <x:c r="G1550" s="9" t="str">
        <x:v>BRK</x:v>
      </x:c>
      <x:c r="H1550" s="9" t="str">
        <x:v>OG08</x:v>
      </x:c>
      <x:c r="I1550" s="17" t="str">
        <x:v>Environment and boundary</x:v>
      </x:c>
      <x:c r="J1550" s="17" t="str">
        <x:v>registered weather, water, ground, inlet and outlet states are retained</x:v>
      </x:c>
      <x:c r="K1550" s="17" t="str">
        <x:v>Boundary court</x:v>
      </x:c>
      <x:c r="L1550" s="9" t="n">
        <x:v>0</x:v>
      </x:c>
      <x:c r="M1550" s="9" t="n">
        <x:v>0</x:v>
      </x:c>
      <x:c r="N1550" s="9" t="str">
        <x:v>OPEN / UNACCEPTED</x:v>
      </x:c>
      <x:c r="O1550" s="9" t="n">
        <x:f>COUNTIFS($A$7:$A$1734,A1550)</x:f>
        <x:v>1</x:v>
      </x:c>
    </x:row>
    <x:row r="1551">
      <x:c r="A1551" s="9" t="str">
        <x:v>EV-AR-HC-A-C-TECH-1-B2-BRK-G0-OG09</x:v>
      </x:c>
      <x:c r="B1551" s="9" t="str">
        <x:v>EV-AR-HC-A-C-TECH-1-B2-BRK-G0</x:v>
      </x:c>
      <x:c r="C1551" s="9" t="str">
        <x:v>AR-HC-A-C-TECH-1-B2-BRK-G0</x:v>
      </x:c>
      <x:c r="D1551" s="9" t="str">
        <x:v>HC-A-C-TECH-1</x:v>
      </x:c>
      <x:c r="E1551" s="9" t="str">
        <x:v>HC-A-C</x:v>
      </x:c>
      <x:c r="F1551" s="9" t="str">
        <x:v>B2</x:v>
      </x:c>
      <x:c r="G1551" s="9" t="str">
        <x:v>BRK</x:v>
      </x:c>
      <x:c r="H1551" s="9" t="str">
        <x:v>OG09</x:v>
      </x:c>
      <x:c r="I1551" s="17" t="str">
        <x:v>Intervention account</x:v>
      </x:c>
      <x:c r="J1551" s="17" t="str">
        <x:v>all stop, rescue, operator and public-protection actions remain timestamped</x:v>
      </x:c>
      <x:c r="K1551" s="17" t="str">
        <x:v>Safety record court</x:v>
      </x:c>
      <x:c r="L1551" s="9" t="n">
        <x:v>0</x:v>
      </x:c>
      <x:c r="M1551" s="9" t="n">
        <x:v>0</x:v>
      </x:c>
      <x:c r="N1551" s="9" t="str">
        <x:v>OPEN / UNACCEPTED</x:v>
      </x:c>
      <x:c r="O1551" s="9" t="n">
        <x:f>COUNTIFS($A$7:$A$1734,A1551)</x:f>
        <x:v>1</x:v>
      </x:c>
    </x:row>
    <x:row r="1552">
      <x:c r="A1552" s="9" t="str">
        <x:v>EV-AR-HC-A-C-TECH-1-B2-BRK-G0-OG10</x:v>
      </x:c>
      <x:c r="B1552" s="9" t="str">
        <x:v>EV-AR-HC-A-C-TECH-1-B2-BRK-G0</x:v>
      </x:c>
      <x:c r="C1552" s="9" t="str">
        <x:v>AR-HC-A-C-TECH-1-B2-BRK-G0</x:v>
      </x:c>
      <x:c r="D1552" s="9" t="str">
        <x:v>HC-A-C-TECH-1</x:v>
      </x:c>
      <x:c r="E1552" s="9" t="str">
        <x:v>HC-A-C</x:v>
      </x:c>
      <x:c r="F1552" s="9" t="str">
        <x:v>B2</x:v>
      </x:c>
      <x:c r="G1552" s="9" t="str">
        <x:v>BRK</x:v>
      </x:c>
      <x:c r="H1552" s="9" t="str">
        <x:v>OG10</x:v>
      </x:c>
      <x:c r="I1552" s="17" t="str">
        <x:v>Uncertainty statement</x:v>
      </x:c>
      <x:c r="J1552" s="17" t="str">
        <x:v>range, censoring, resolution and correlation are declared before judgment</x:v>
      </x:c>
      <x:c r="K1552" s="17" t="str">
        <x:v>Uncertainty authority</x:v>
      </x:c>
      <x:c r="L1552" s="9" t="n">
        <x:v>0</x:v>
      </x:c>
      <x:c r="M1552" s="9" t="n">
        <x:v>0</x:v>
      </x:c>
      <x:c r="N1552" s="9" t="str">
        <x:v>OPEN / UNACCEPTED</x:v>
      </x:c>
      <x:c r="O1552" s="9" t="n">
        <x:f>COUNTIFS($A$7:$A$1734,A1552)</x:f>
        <x:v>1</x:v>
      </x:c>
    </x:row>
    <x:row r="1553">
      <x:c r="A1553" s="9" t="str">
        <x:v>EV-AR-HC-A-C-TECH-1-B2-BRK-G0-OG11</x:v>
      </x:c>
      <x:c r="B1553" s="9" t="str">
        <x:v>EV-AR-HC-A-C-TECH-1-B2-BRK-G0</x:v>
      </x:c>
      <x:c r="C1553" s="9" t="str">
        <x:v>AR-HC-A-C-TECH-1-B2-BRK-G0</x:v>
      </x:c>
      <x:c r="D1553" s="9" t="str">
        <x:v>HC-A-C-TECH-1</x:v>
      </x:c>
      <x:c r="E1553" s="9" t="str">
        <x:v>HC-A-C</x:v>
      </x:c>
      <x:c r="F1553" s="9" t="str">
        <x:v>B2</x:v>
      </x:c>
      <x:c r="G1553" s="9" t="str">
        <x:v>BRK</x:v>
      </x:c>
      <x:c r="H1553" s="9" t="str">
        <x:v>OG11</x:v>
      </x:c>
      <x:c r="I1553" s="17" t="str">
        <x:v>Contradiction preservation</x:v>
      </x:c>
      <x:c r="J1553" s="17" t="str">
        <x:v>primary-witness disagreement remains explicit and is never averaged away</x:v>
      </x:c>
      <x:c r="K1553" s="17" t="str">
        <x:v>Dissent registrar</x:v>
      </x:c>
      <x:c r="L1553" s="9" t="n">
        <x:v>0</x:v>
      </x:c>
      <x:c r="M1553" s="9" t="n">
        <x:v>0</x:v>
      </x:c>
      <x:c r="N1553" s="9" t="str">
        <x:v>OPEN / UNACCEPTED</x:v>
      </x:c>
      <x:c r="O1553" s="9" t="n">
        <x:f>COUNTIFS($A$7:$A$1734,A1553)</x:f>
        <x:v>1</x:v>
      </x:c>
    </x:row>
    <x:row r="1554">
      <x:c r="A1554" s="9" t="str">
        <x:v>EV-AR-HC-A-C-TECH-1-B2-BRK-G0-OG12</x:v>
      </x:c>
      <x:c r="B1554" s="9" t="str">
        <x:v>EV-AR-HC-A-C-TECH-1-B2-BRK-G0</x:v>
      </x:c>
      <x:c r="C1554" s="9" t="str">
        <x:v>AR-HC-A-C-TECH-1-B2-BRK-G0</x:v>
      </x:c>
      <x:c r="D1554" s="9" t="str">
        <x:v>HC-A-C-TECH-1</x:v>
      </x:c>
      <x:c r="E1554" s="9" t="str">
        <x:v>HC-A-C</x:v>
      </x:c>
      <x:c r="F1554" s="9" t="str">
        <x:v>B2</x:v>
      </x:c>
      <x:c r="G1554" s="9" t="str">
        <x:v>BRK</x:v>
      </x:c>
      <x:c r="H1554" s="9" t="str">
        <x:v>OG12</x:v>
      </x:c>
      <x:c r="I1554" s="17" t="str">
        <x:v>Independent replay</x:v>
      </x:c>
      <x:c r="J1554" s="17" t="str">
        <x:v>a separated reader reconstructs the registered observables from sealed originals</x:v>
      </x:c>
      <x:c r="K1554" s="17" t="str">
        <x:v>Replay court</x:v>
      </x:c>
      <x:c r="L1554" s="9" t="n">
        <x:v>0</x:v>
      </x:c>
      <x:c r="M1554" s="9" t="n">
        <x:v>0</x:v>
      </x:c>
      <x:c r="N1554" s="9" t="str">
        <x:v>OPEN / UNACCEPTED</x:v>
      </x:c>
      <x:c r="O1554" s="9" t="n">
        <x:f>COUNTIFS($A$7:$A$1734,A1554)</x:f>
        <x:v>1</x:v>
      </x:c>
    </x:row>
    <x:row r="1555">
      <x:c r="A1555" s="9" t="str">
        <x:v>EV-AR-HU-A-B-TECH-1-B2-INT-G0-OG01</x:v>
      </x:c>
      <x:c r="B1555" s="9" t="str">
        <x:v>EV-AR-HU-A-B-TECH-1-B2-INT-G0</x:v>
      </x:c>
      <x:c r="C1555" s="9" t="str">
        <x:v>AR-HU-A-B-TECH-1-B2-INT-G0</x:v>
      </x:c>
      <x:c r="D1555" s="9" t="str">
        <x:v>HU-A-B-TECH-1</x:v>
      </x:c>
      <x:c r="E1555" s="9" t="str">
        <x:v>HU-A-B</x:v>
      </x:c>
      <x:c r="F1555" s="9" t="str">
        <x:v>B2</x:v>
      </x:c>
      <x:c r="G1555" s="9" t="str">
        <x:v>INT</x:v>
      </x:c>
      <x:c r="H1555" s="9" t="str">
        <x:v>OG01</x:v>
      </x:c>
      <x:c r="I1555" s="17" t="str">
        <x:v>Serial and event identity</x:v>
      </x:c>
      <x:c r="J1555" s="17" t="str">
        <x:v>record resolves to the issued serial, generation and physical start</x:v>
      </x:c>
      <x:c r="K1555" s="17" t="str">
        <x:v>Observation court</x:v>
      </x:c>
      <x:c r="L1555" s="9" t="n">
        <x:v>0</x:v>
      </x:c>
      <x:c r="M1555" s="9" t="n">
        <x:v>0</x:v>
      </x:c>
      <x:c r="N1555" s="9" t="str">
        <x:v>OPEN / UNACCEPTED</x:v>
      </x:c>
      <x:c r="O1555" s="9" t="n">
        <x:f>COUNTIFS($A$7:$A$1734,A1555)</x:f>
        <x:v>1</x:v>
      </x:c>
    </x:row>
    <x:row r="1556">
      <x:c r="A1556" s="9" t="str">
        <x:v>EV-AR-HU-A-B-TECH-1-B2-INT-G0-OG02</x:v>
      </x:c>
      <x:c r="B1556" s="9" t="str">
        <x:v>EV-AR-HU-A-B-TECH-1-B2-INT-G0</x:v>
      </x:c>
      <x:c r="C1556" s="9" t="str">
        <x:v>AR-HU-A-B-TECH-1-B2-INT-G0</x:v>
      </x:c>
      <x:c r="D1556" s="9" t="str">
        <x:v>HU-A-B-TECH-1</x:v>
      </x:c>
      <x:c r="E1556" s="9" t="str">
        <x:v>HU-A-B</x:v>
      </x:c>
      <x:c r="F1556" s="9" t="str">
        <x:v>B2</x:v>
      </x:c>
      <x:c r="G1556" s="9" t="str">
        <x:v>INT</x:v>
      </x:c>
      <x:c r="H1556" s="9" t="str">
        <x:v>OG02</x:v>
      </x:c>
      <x:c r="I1556" s="17" t="str">
        <x:v>Time ancestry</x:v>
      </x:c>
      <x:c r="J1556" s="17" t="str">
        <x:v>primary, witness and public event clocks retain declared offsets and drift</x:v>
      </x:c>
      <x:c r="K1556" s="17" t="str">
        <x:v>Time authority</x:v>
      </x:c>
      <x:c r="L1556" s="9" t="n">
        <x:v>0</x:v>
      </x:c>
      <x:c r="M1556" s="9" t="n">
        <x:v>0</x:v>
      </x:c>
      <x:c r="N1556" s="9" t="str">
        <x:v>OPEN / UNACCEPTED</x:v>
      </x:c>
      <x:c r="O1556" s="9" t="n">
        <x:f>COUNTIFS($A$7:$A$1734,A1556)</x:f>
        <x:v>1</x:v>
      </x:c>
    </x:row>
    <x:row r="1557">
      <x:c r="A1557" s="9" t="str">
        <x:v>EV-AR-HU-A-B-TECH-1-B2-INT-G0-OG03</x:v>
      </x:c>
      <x:c r="B1557" s="9" t="str">
        <x:v>EV-AR-HU-A-B-TECH-1-B2-INT-G0</x:v>
      </x:c>
      <x:c r="C1557" s="9" t="str">
        <x:v>AR-HU-A-B-TECH-1-B2-INT-G0</x:v>
      </x:c>
      <x:c r="D1557" s="9" t="str">
        <x:v>HU-A-B-TECH-1</x:v>
      </x:c>
      <x:c r="E1557" s="9" t="str">
        <x:v>HU-A-B</x:v>
      </x:c>
      <x:c r="F1557" s="9" t="str">
        <x:v>B2</x:v>
      </x:c>
      <x:c r="G1557" s="9" t="str">
        <x:v>INT</x:v>
      </x:c>
      <x:c r="H1557" s="9" t="str">
        <x:v>OG03</x:v>
      </x:c>
      <x:c r="I1557" s="17" t="str">
        <x:v>Calibration ancestry</x:v>
      </x:c>
      <x:c r="J1557" s="17" t="str">
        <x:v>all reference, range and uncertainty states cover the live interval</x:v>
      </x:c>
      <x:c r="K1557" s="17" t="str">
        <x:v>Metrology courts</x:v>
      </x:c>
      <x:c r="L1557" s="9" t="n">
        <x:v>0</x:v>
      </x:c>
      <x:c r="M1557" s="9" t="n">
        <x:v>0</x:v>
      </x:c>
      <x:c r="N1557" s="9" t="str">
        <x:v>OPEN / UNACCEPTED</x:v>
      </x:c>
      <x:c r="O1557" s="9" t="n">
        <x:f>COUNTIFS($A$7:$A$1734,A1557)</x:f>
        <x:v>1</x:v>
      </x:c>
    </x:row>
    <x:row r="1558">
      <x:c r="A1558" s="9" t="str">
        <x:v>EV-AR-HU-A-B-TECH-1-B2-INT-G0-OG04</x:v>
      </x:c>
      <x:c r="B1558" s="9" t="str">
        <x:v>EV-AR-HU-A-B-TECH-1-B2-INT-G0</x:v>
      </x:c>
      <x:c r="C1558" s="9" t="str">
        <x:v>AR-HU-A-B-TECH-1-B2-INT-G0</x:v>
      </x:c>
      <x:c r="D1558" s="9" t="str">
        <x:v>HU-A-B-TECH-1</x:v>
      </x:c>
      <x:c r="E1558" s="9" t="str">
        <x:v>HU-A-B</x:v>
      </x:c>
      <x:c r="F1558" s="9" t="str">
        <x:v>B2</x:v>
      </x:c>
      <x:c r="G1558" s="9" t="str">
        <x:v>INT</x:v>
      </x:c>
      <x:c r="H1558" s="9" t="str">
        <x:v>OG04</x:v>
      </x:c>
      <x:c r="I1558" s="17" t="str">
        <x:v>Raw completeness</x:v>
      </x:c>
      <x:c r="J1558" s="17" t="str">
        <x:v>missingness is enumerated without imputation or outcome-conditioned deletion</x:v>
      </x:c>
      <x:c r="K1558" s="17" t="str">
        <x:v>Observation court</x:v>
      </x:c>
      <x:c r="L1558" s="9" t="n">
        <x:v>0</x:v>
      </x:c>
      <x:c r="M1558" s="9" t="n">
        <x:v>0</x:v>
      </x:c>
      <x:c r="N1558" s="9" t="str">
        <x:v>OPEN / UNACCEPTED</x:v>
      </x:c>
      <x:c r="O1558" s="9" t="n">
        <x:f>COUNTIFS($A$7:$A$1734,A1558)</x:f>
        <x:v>1</x:v>
      </x:c>
    </x:row>
    <x:row r="1559">
      <x:c r="A1559" s="9" t="str">
        <x:v>EV-AR-HU-A-B-TECH-1-B2-INT-G0-OG05</x:v>
      </x:c>
      <x:c r="B1559" s="9" t="str">
        <x:v>EV-AR-HU-A-B-TECH-1-B2-INT-G0</x:v>
      </x:c>
      <x:c r="C1559" s="9" t="str">
        <x:v>AR-HU-A-B-TECH-1-B2-INT-G0</x:v>
      </x:c>
      <x:c r="D1559" s="9" t="str">
        <x:v>HU-A-B-TECH-1</x:v>
      </x:c>
      <x:c r="E1559" s="9" t="str">
        <x:v>HU-A-B</x:v>
      </x:c>
      <x:c r="F1559" s="9" t="str">
        <x:v>B2</x:v>
      </x:c>
      <x:c r="G1559" s="9" t="str">
        <x:v>INT</x:v>
      </x:c>
      <x:c r="H1559" s="9" t="str">
        <x:v>OG05</x:v>
      </x:c>
      <x:c r="I1559" s="17" t="str">
        <x:v>Primary provenance</x:v>
      </x:c>
      <x:c r="J1559" s="17" t="str">
        <x:v>primary originals, hashes, keys and access history reconcile</x:v>
      </x:c>
      <x:c r="K1559" s="17" t="str">
        <x:v>Primary custody</x:v>
      </x:c>
      <x:c r="L1559" s="9" t="n">
        <x:v>0</x:v>
      </x:c>
      <x:c r="M1559" s="9" t="n">
        <x:v>0</x:v>
      </x:c>
      <x:c r="N1559" s="9" t="str">
        <x:v>OPEN / UNACCEPTED</x:v>
      </x:c>
      <x:c r="O1559" s="9" t="n">
        <x:f>COUNTIFS($A$7:$A$1734,A1559)</x:f>
        <x:v>1</x:v>
      </x:c>
    </x:row>
    <x:row r="1560">
      <x:c r="A1560" s="9" t="str">
        <x:v>EV-AR-HU-A-B-TECH-1-B2-INT-G0-OG06</x:v>
      </x:c>
      <x:c r="B1560" s="9" t="str">
        <x:v>EV-AR-HU-A-B-TECH-1-B2-INT-G0</x:v>
      </x:c>
      <x:c r="C1560" s="9" t="str">
        <x:v>AR-HU-A-B-TECH-1-B2-INT-G0</x:v>
      </x:c>
      <x:c r="D1560" s="9" t="str">
        <x:v>HU-A-B-TECH-1</x:v>
      </x:c>
      <x:c r="E1560" s="9" t="str">
        <x:v>HU-A-B</x:v>
      </x:c>
      <x:c r="F1560" s="9" t="str">
        <x:v>B2</x:v>
      </x:c>
      <x:c r="G1560" s="9" t="str">
        <x:v>INT</x:v>
      </x:c>
      <x:c r="H1560" s="9" t="str">
        <x:v>OG06</x:v>
      </x:c>
      <x:c r="I1560" s="17" t="str">
        <x:v>Witness provenance</x:v>
      </x:c>
      <x:c r="J1560" s="17" t="str">
        <x:v>unlike witness originals, hashes, keys and access history reconcile</x:v>
      </x:c>
      <x:c r="K1560" s="17" t="str">
        <x:v>Witness custody</x:v>
      </x:c>
      <x:c r="L1560" s="9" t="n">
        <x:v>0</x:v>
      </x:c>
      <x:c r="M1560" s="9" t="n">
        <x:v>0</x:v>
      </x:c>
      <x:c r="N1560" s="9" t="str">
        <x:v>OPEN / UNACCEPTED</x:v>
      </x:c>
      <x:c r="O1560" s="9" t="n">
        <x:f>COUNTIFS($A$7:$A$1734,A1560)</x:f>
        <x:v>1</x:v>
      </x:c>
    </x:row>
    <x:row r="1561">
      <x:c r="A1561" s="9" t="str">
        <x:v>EV-AR-HU-A-B-TECH-1-B2-INT-G0-OG07</x:v>
      </x:c>
      <x:c r="B1561" s="9" t="str">
        <x:v>EV-AR-HU-A-B-TECH-1-B2-INT-G0</x:v>
      </x:c>
      <x:c r="C1561" s="9" t="str">
        <x:v>AR-HU-A-B-TECH-1-B2-INT-G0</x:v>
      </x:c>
      <x:c r="D1561" s="9" t="str">
        <x:v>HU-A-B-TECH-1</x:v>
      </x:c>
      <x:c r="E1561" s="9" t="str">
        <x:v>HU-A-B</x:v>
      </x:c>
      <x:c r="F1561" s="9" t="str">
        <x:v>B2</x:v>
      </x:c>
      <x:c r="G1561" s="9" t="str">
        <x:v>INT</x:v>
      </x:c>
      <x:c r="H1561" s="9" t="str">
        <x:v>OG07</x:v>
      </x:c>
      <x:c r="I1561" s="17" t="str">
        <x:v>Receiver denominator</x:v>
      </x:c>
      <x:c r="J1561" s="17" t="str">
        <x:v>population, quantity, duration and exclusions match the frozen receipt</x:v>
      </x:c>
      <x:c r="K1561" s="17" t="str">
        <x:v>Receiver court</x:v>
      </x:c>
      <x:c r="L1561" s="9" t="n">
        <x:v>0</x:v>
      </x:c>
      <x:c r="M1561" s="9" t="n">
        <x:v>0</x:v>
      </x:c>
      <x:c r="N1561" s="9" t="str">
        <x:v>OPEN / UNACCEPTED</x:v>
      </x:c>
      <x:c r="O1561" s="9" t="n">
        <x:f>COUNTIFS($A$7:$A$1734,A1561)</x:f>
        <x:v>1</x:v>
      </x:c>
    </x:row>
    <x:row r="1562">
      <x:c r="A1562" s="9" t="str">
        <x:v>EV-AR-HU-A-B-TECH-1-B2-INT-G0-OG08</x:v>
      </x:c>
      <x:c r="B1562" s="9" t="str">
        <x:v>EV-AR-HU-A-B-TECH-1-B2-INT-G0</x:v>
      </x:c>
      <x:c r="C1562" s="9" t="str">
        <x:v>AR-HU-A-B-TECH-1-B2-INT-G0</x:v>
      </x:c>
      <x:c r="D1562" s="9" t="str">
        <x:v>HU-A-B-TECH-1</x:v>
      </x:c>
      <x:c r="E1562" s="9" t="str">
        <x:v>HU-A-B</x:v>
      </x:c>
      <x:c r="F1562" s="9" t="str">
        <x:v>B2</x:v>
      </x:c>
      <x:c r="G1562" s="9" t="str">
        <x:v>INT</x:v>
      </x:c>
      <x:c r="H1562" s="9" t="str">
        <x:v>OG08</x:v>
      </x:c>
      <x:c r="I1562" s="17" t="str">
        <x:v>Environment and boundary</x:v>
      </x:c>
      <x:c r="J1562" s="17" t="str">
        <x:v>registered weather, water, ground, inlet and outlet states are retained</x:v>
      </x:c>
      <x:c r="K1562" s="17" t="str">
        <x:v>Boundary court</x:v>
      </x:c>
      <x:c r="L1562" s="9" t="n">
        <x:v>0</x:v>
      </x:c>
      <x:c r="M1562" s="9" t="n">
        <x:v>0</x:v>
      </x:c>
      <x:c r="N1562" s="9" t="str">
        <x:v>OPEN / UNACCEPTED</x:v>
      </x:c>
      <x:c r="O1562" s="9" t="n">
        <x:f>COUNTIFS($A$7:$A$1734,A1562)</x:f>
        <x:v>1</x:v>
      </x:c>
    </x:row>
    <x:row r="1563">
      <x:c r="A1563" s="9" t="str">
        <x:v>EV-AR-HU-A-B-TECH-1-B2-INT-G0-OG09</x:v>
      </x:c>
      <x:c r="B1563" s="9" t="str">
        <x:v>EV-AR-HU-A-B-TECH-1-B2-INT-G0</x:v>
      </x:c>
      <x:c r="C1563" s="9" t="str">
        <x:v>AR-HU-A-B-TECH-1-B2-INT-G0</x:v>
      </x:c>
      <x:c r="D1563" s="9" t="str">
        <x:v>HU-A-B-TECH-1</x:v>
      </x:c>
      <x:c r="E1563" s="9" t="str">
        <x:v>HU-A-B</x:v>
      </x:c>
      <x:c r="F1563" s="9" t="str">
        <x:v>B2</x:v>
      </x:c>
      <x:c r="G1563" s="9" t="str">
        <x:v>INT</x:v>
      </x:c>
      <x:c r="H1563" s="9" t="str">
        <x:v>OG09</x:v>
      </x:c>
      <x:c r="I1563" s="17" t="str">
        <x:v>Intervention account</x:v>
      </x:c>
      <x:c r="J1563" s="17" t="str">
        <x:v>all stop, rescue, operator and public-protection actions remain timestamped</x:v>
      </x:c>
      <x:c r="K1563" s="17" t="str">
        <x:v>Safety record court</x:v>
      </x:c>
      <x:c r="L1563" s="9" t="n">
        <x:v>0</x:v>
      </x:c>
      <x:c r="M1563" s="9" t="n">
        <x:v>0</x:v>
      </x:c>
      <x:c r="N1563" s="9" t="str">
        <x:v>OPEN / UNACCEPTED</x:v>
      </x:c>
      <x:c r="O1563" s="9" t="n">
        <x:f>COUNTIFS($A$7:$A$1734,A1563)</x:f>
        <x:v>1</x:v>
      </x:c>
    </x:row>
    <x:row r="1564">
      <x:c r="A1564" s="9" t="str">
        <x:v>EV-AR-HU-A-B-TECH-1-B2-INT-G0-OG10</x:v>
      </x:c>
      <x:c r="B1564" s="9" t="str">
        <x:v>EV-AR-HU-A-B-TECH-1-B2-INT-G0</x:v>
      </x:c>
      <x:c r="C1564" s="9" t="str">
        <x:v>AR-HU-A-B-TECH-1-B2-INT-G0</x:v>
      </x:c>
      <x:c r="D1564" s="9" t="str">
        <x:v>HU-A-B-TECH-1</x:v>
      </x:c>
      <x:c r="E1564" s="9" t="str">
        <x:v>HU-A-B</x:v>
      </x:c>
      <x:c r="F1564" s="9" t="str">
        <x:v>B2</x:v>
      </x:c>
      <x:c r="G1564" s="9" t="str">
        <x:v>INT</x:v>
      </x:c>
      <x:c r="H1564" s="9" t="str">
        <x:v>OG10</x:v>
      </x:c>
      <x:c r="I1564" s="17" t="str">
        <x:v>Uncertainty statement</x:v>
      </x:c>
      <x:c r="J1564" s="17" t="str">
        <x:v>range, censoring, resolution and correlation are declared before judgment</x:v>
      </x:c>
      <x:c r="K1564" s="17" t="str">
        <x:v>Uncertainty authority</x:v>
      </x:c>
      <x:c r="L1564" s="9" t="n">
        <x:v>0</x:v>
      </x:c>
      <x:c r="M1564" s="9" t="n">
        <x:v>0</x:v>
      </x:c>
      <x:c r="N1564" s="9" t="str">
        <x:v>OPEN / UNACCEPTED</x:v>
      </x:c>
      <x:c r="O1564" s="9" t="n">
        <x:f>COUNTIFS($A$7:$A$1734,A1564)</x:f>
        <x:v>1</x:v>
      </x:c>
    </x:row>
    <x:row r="1565">
      <x:c r="A1565" s="9" t="str">
        <x:v>EV-AR-HU-A-B-TECH-1-B2-INT-G0-OG11</x:v>
      </x:c>
      <x:c r="B1565" s="9" t="str">
        <x:v>EV-AR-HU-A-B-TECH-1-B2-INT-G0</x:v>
      </x:c>
      <x:c r="C1565" s="9" t="str">
        <x:v>AR-HU-A-B-TECH-1-B2-INT-G0</x:v>
      </x:c>
      <x:c r="D1565" s="9" t="str">
        <x:v>HU-A-B-TECH-1</x:v>
      </x:c>
      <x:c r="E1565" s="9" t="str">
        <x:v>HU-A-B</x:v>
      </x:c>
      <x:c r="F1565" s="9" t="str">
        <x:v>B2</x:v>
      </x:c>
      <x:c r="G1565" s="9" t="str">
        <x:v>INT</x:v>
      </x:c>
      <x:c r="H1565" s="9" t="str">
        <x:v>OG11</x:v>
      </x:c>
      <x:c r="I1565" s="17" t="str">
        <x:v>Contradiction preservation</x:v>
      </x:c>
      <x:c r="J1565" s="17" t="str">
        <x:v>primary-witness disagreement remains explicit and is never averaged away</x:v>
      </x:c>
      <x:c r="K1565" s="17" t="str">
        <x:v>Dissent registrar</x:v>
      </x:c>
      <x:c r="L1565" s="9" t="n">
        <x:v>0</x:v>
      </x:c>
      <x:c r="M1565" s="9" t="n">
        <x:v>0</x:v>
      </x:c>
      <x:c r="N1565" s="9" t="str">
        <x:v>OPEN / UNACCEPTED</x:v>
      </x:c>
      <x:c r="O1565" s="9" t="n">
        <x:f>COUNTIFS($A$7:$A$1734,A1565)</x:f>
        <x:v>1</x:v>
      </x:c>
    </x:row>
    <x:row r="1566">
      <x:c r="A1566" s="9" t="str">
        <x:v>EV-AR-HU-A-B-TECH-1-B2-INT-G0-OG12</x:v>
      </x:c>
      <x:c r="B1566" s="9" t="str">
        <x:v>EV-AR-HU-A-B-TECH-1-B2-INT-G0</x:v>
      </x:c>
      <x:c r="C1566" s="9" t="str">
        <x:v>AR-HU-A-B-TECH-1-B2-INT-G0</x:v>
      </x:c>
      <x:c r="D1566" s="9" t="str">
        <x:v>HU-A-B-TECH-1</x:v>
      </x:c>
      <x:c r="E1566" s="9" t="str">
        <x:v>HU-A-B</x:v>
      </x:c>
      <x:c r="F1566" s="9" t="str">
        <x:v>B2</x:v>
      </x:c>
      <x:c r="G1566" s="9" t="str">
        <x:v>INT</x:v>
      </x:c>
      <x:c r="H1566" s="9" t="str">
        <x:v>OG12</x:v>
      </x:c>
      <x:c r="I1566" s="17" t="str">
        <x:v>Independent replay</x:v>
      </x:c>
      <x:c r="J1566" s="17" t="str">
        <x:v>a separated reader reconstructs the registered observables from sealed originals</x:v>
      </x:c>
      <x:c r="K1566" s="17" t="str">
        <x:v>Replay court</x:v>
      </x:c>
      <x:c r="L1566" s="9" t="n">
        <x:v>0</x:v>
      </x:c>
      <x:c r="M1566" s="9" t="n">
        <x:v>0</x:v>
      </x:c>
      <x:c r="N1566" s="9" t="str">
        <x:v>OPEN / UNACCEPTED</x:v>
      </x:c>
      <x:c r="O1566" s="9" t="n">
        <x:f>COUNTIFS($A$7:$A$1734,A1566)</x:f>
        <x:v>1</x:v>
      </x:c>
    </x:row>
    <x:row r="1567">
      <x:c r="A1567" s="9" t="str">
        <x:v>EV-AR-LF-B-A-TECH-3-B1-INT-G0-OG01</x:v>
      </x:c>
      <x:c r="B1567" s="9" t="str">
        <x:v>EV-AR-LF-B-A-TECH-3-B1-INT-G0</x:v>
      </x:c>
      <x:c r="C1567" s="9" t="str">
        <x:v>AR-LF-B-A-TECH-3-B1-INT-G0</x:v>
      </x:c>
      <x:c r="D1567" s="9" t="str">
        <x:v>LF-B-A-TECH-3</x:v>
      </x:c>
      <x:c r="E1567" s="9" t="str">
        <x:v>LF-B-A</x:v>
      </x:c>
      <x:c r="F1567" s="9" t="str">
        <x:v>B1</x:v>
      </x:c>
      <x:c r="G1567" s="9" t="str">
        <x:v>INT</x:v>
      </x:c>
      <x:c r="H1567" s="9" t="str">
        <x:v>OG01</x:v>
      </x:c>
      <x:c r="I1567" s="17" t="str">
        <x:v>Serial and event identity</x:v>
      </x:c>
      <x:c r="J1567" s="17" t="str">
        <x:v>record resolves to the issued serial, generation and physical start</x:v>
      </x:c>
      <x:c r="K1567" s="17" t="str">
        <x:v>Observation court</x:v>
      </x:c>
      <x:c r="L1567" s="9" t="n">
        <x:v>0</x:v>
      </x:c>
      <x:c r="M1567" s="9" t="n">
        <x:v>0</x:v>
      </x:c>
      <x:c r="N1567" s="9" t="str">
        <x:v>OPEN / UNACCEPTED</x:v>
      </x:c>
      <x:c r="O1567" s="9" t="n">
        <x:f>COUNTIFS($A$7:$A$1734,A1567)</x:f>
        <x:v>1</x:v>
      </x:c>
    </x:row>
    <x:row r="1568">
      <x:c r="A1568" s="9" t="str">
        <x:v>EV-AR-LF-B-A-TECH-3-B1-INT-G0-OG02</x:v>
      </x:c>
      <x:c r="B1568" s="9" t="str">
        <x:v>EV-AR-LF-B-A-TECH-3-B1-INT-G0</x:v>
      </x:c>
      <x:c r="C1568" s="9" t="str">
        <x:v>AR-LF-B-A-TECH-3-B1-INT-G0</x:v>
      </x:c>
      <x:c r="D1568" s="9" t="str">
        <x:v>LF-B-A-TECH-3</x:v>
      </x:c>
      <x:c r="E1568" s="9" t="str">
        <x:v>LF-B-A</x:v>
      </x:c>
      <x:c r="F1568" s="9" t="str">
        <x:v>B1</x:v>
      </x:c>
      <x:c r="G1568" s="9" t="str">
        <x:v>INT</x:v>
      </x:c>
      <x:c r="H1568" s="9" t="str">
        <x:v>OG02</x:v>
      </x:c>
      <x:c r="I1568" s="17" t="str">
        <x:v>Time ancestry</x:v>
      </x:c>
      <x:c r="J1568" s="17" t="str">
        <x:v>primary, witness and public event clocks retain declared offsets and drift</x:v>
      </x:c>
      <x:c r="K1568" s="17" t="str">
        <x:v>Time authority</x:v>
      </x:c>
      <x:c r="L1568" s="9" t="n">
        <x:v>0</x:v>
      </x:c>
      <x:c r="M1568" s="9" t="n">
        <x:v>0</x:v>
      </x:c>
      <x:c r="N1568" s="9" t="str">
        <x:v>OPEN / UNACCEPTED</x:v>
      </x:c>
      <x:c r="O1568" s="9" t="n">
        <x:f>COUNTIFS($A$7:$A$1734,A1568)</x:f>
        <x:v>1</x:v>
      </x:c>
    </x:row>
    <x:row r="1569">
      <x:c r="A1569" s="9" t="str">
        <x:v>EV-AR-LF-B-A-TECH-3-B1-INT-G0-OG03</x:v>
      </x:c>
      <x:c r="B1569" s="9" t="str">
        <x:v>EV-AR-LF-B-A-TECH-3-B1-INT-G0</x:v>
      </x:c>
      <x:c r="C1569" s="9" t="str">
        <x:v>AR-LF-B-A-TECH-3-B1-INT-G0</x:v>
      </x:c>
      <x:c r="D1569" s="9" t="str">
        <x:v>LF-B-A-TECH-3</x:v>
      </x:c>
      <x:c r="E1569" s="9" t="str">
        <x:v>LF-B-A</x:v>
      </x:c>
      <x:c r="F1569" s="9" t="str">
        <x:v>B1</x:v>
      </x:c>
      <x:c r="G1569" s="9" t="str">
        <x:v>INT</x:v>
      </x:c>
      <x:c r="H1569" s="9" t="str">
        <x:v>OG03</x:v>
      </x:c>
      <x:c r="I1569" s="17" t="str">
        <x:v>Calibration ancestry</x:v>
      </x:c>
      <x:c r="J1569" s="17" t="str">
        <x:v>all reference, range and uncertainty states cover the live interval</x:v>
      </x:c>
      <x:c r="K1569" s="17" t="str">
        <x:v>Metrology courts</x:v>
      </x:c>
      <x:c r="L1569" s="9" t="n">
        <x:v>0</x:v>
      </x:c>
      <x:c r="M1569" s="9" t="n">
        <x:v>0</x:v>
      </x:c>
      <x:c r="N1569" s="9" t="str">
        <x:v>OPEN / UNACCEPTED</x:v>
      </x:c>
      <x:c r="O1569" s="9" t="n">
        <x:f>COUNTIFS($A$7:$A$1734,A1569)</x:f>
        <x:v>1</x:v>
      </x:c>
    </x:row>
    <x:row r="1570">
      <x:c r="A1570" s="9" t="str">
        <x:v>EV-AR-LF-B-A-TECH-3-B1-INT-G0-OG04</x:v>
      </x:c>
      <x:c r="B1570" s="9" t="str">
        <x:v>EV-AR-LF-B-A-TECH-3-B1-INT-G0</x:v>
      </x:c>
      <x:c r="C1570" s="9" t="str">
        <x:v>AR-LF-B-A-TECH-3-B1-INT-G0</x:v>
      </x:c>
      <x:c r="D1570" s="9" t="str">
        <x:v>LF-B-A-TECH-3</x:v>
      </x:c>
      <x:c r="E1570" s="9" t="str">
        <x:v>LF-B-A</x:v>
      </x:c>
      <x:c r="F1570" s="9" t="str">
        <x:v>B1</x:v>
      </x:c>
      <x:c r="G1570" s="9" t="str">
        <x:v>INT</x:v>
      </x:c>
      <x:c r="H1570" s="9" t="str">
        <x:v>OG04</x:v>
      </x:c>
      <x:c r="I1570" s="17" t="str">
        <x:v>Raw completeness</x:v>
      </x:c>
      <x:c r="J1570" s="17" t="str">
        <x:v>missingness is enumerated without imputation or outcome-conditioned deletion</x:v>
      </x:c>
      <x:c r="K1570" s="17" t="str">
        <x:v>Observation court</x:v>
      </x:c>
      <x:c r="L1570" s="9" t="n">
        <x:v>0</x:v>
      </x:c>
      <x:c r="M1570" s="9" t="n">
        <x:v>0</x:v>
      </x:c>
      <x:c r="N1570" s="9" t="str">
        <x:v>OPEN / UNACCEPTED</x:v>
      </x:c>
      <x:c r="O1570" s="9" t="n">
        <x:f>COUNTIFS($A$7:$A$1734,A1570)</x:f>
        <x:v>1</x:v>
      </x:c>
    </x:row>
    <x:row r="1571">
      <x:c r="A1571" s="9" t="str">
        <x:v>EV-AR-LF-B-A-TECH-3-B1-INT-G0-OG05</x:v>
      </x:c>
      <x:c r="B1571" s="9" t="str">
        <x:v>EV-AR-LF-B-A-TECH-3-B1-INT-G0</x:v>
      </x:c>
      <x:c r="C1571" s="9" t="str">
        <x:v>AR-LF-B-A-TECH-3-B1-INT-G0</x:v>
      </x:c>
      <x:c r="D1571" s="9" t="str">
        <x:v>LF-B-A-TECH-3</x:v>
      </x:c>
      <x:c r="E1571" s="9" t="str">
        <x:v>LF-B-A</x:v>
      </x:c>
      <x:c r="F1571" s="9" t="str">
        <x:v>B1</x:v>
      </x:c>
      <x:c r="G1571" s="9" t="str">
        <x:v>INT</x:v>
      </x:c>
      <x:c r="H1571" s="9" t="str">
        <x:v>OG05</x:v>
      </x:c>
      <x:c r="I1571" s="17" t="str">
        <x:v>Primary provenance</x:v>
      </x:c>
      <x:c r="J1571" s="17" t="str">
        <x:v>primary originals, hashes, keys and access history reconcile</x:v>
      </x:c>
      <x:c r="K1571" s="17" t="str">
        <x:v>Primary custody</x:v>
      </x:c>
      <x:c r="L1571" s="9" t="n">
        <x:v>0</x:v>
      </x:c>
      <x:c r="M1571" s="9" t="n">
        <x:v>0</x:v>
      </x:c>
      <x:c r="N1571" s="9" t="str">
        <x:v>OPEN / UNACCEPTED</x:v>
      </x:c>
      <x:c r="O1571" s="9" t="n">
        <x:f>COUNTIFS($A$7:$A$1734,A1571)</x:f>
        <x:v>1</x:v>
      </x:c>
    </x:row>
    <x:row r="1572">
      <x:c r="A1572" s="9" t="str">
        <x:v>EV-AR-LF-B-A-TECH-3-B1-INT-G0-OG06</x:v>
      </x:c>
      <x:c r="B1572" s="9" t="str">
        <x:v>EV-AR-LF-B-A-TECH-3-B1-INT-G0</x:v>
      </x:c>
      <x:c r="C1572" s="9" t="str">
        <x:v>AR-LF-B-A-TECH-3-B1-INT-G0</x:v>
      </x:c>
      <x:c r="D1572" s="9" t="str">
        <x:v>LF-B-A-TECH-3</x:v>
      </x:c>
      <x:c r="E1572" s="9" t="str">
        <x:v>LF-B-A</x:v>
      </x:c>
      <x:c r="F1572" s="9" t="str">
        <x:v>B1</x:v>
      </x:c>
      <x:c r="G1572" s="9" t="str">
        <x:v>INT</x:v>
      </x:c>
      <x:c r="H1572" s="9" t="str">
        <x:v>OG06</x:v>
      </x:c>
      <x:c r="I1572" s="17" t="str">
        <x:v>Witness provenance</x:v>
      </x:c>
      <x:c r="J1572" s="17" t="str">
        <x:v>unlike witness originals, hashes, keys and access history reconcile</x:v>
      </x:c>
      <x:c r="K1572" s="17" t="str">
        <x:v>Witness custody</x:v>
      </x:c>
      <x:c r="L1572" s="9" t="n">
        <x:v>0</x:v>
      </x:c>
      <x:c r="M1572" s="9" t="n">
        <x:v>0</x:v>
      </x:c>
      <x:c r="N1572" s="9" t="str">
        <x:v>OPEN / UNACCEPTED</x:v>
      </x:c>
      <x:c r="O1572" s="9" t="n">
        <x:f>COUNTIFS($A$7:$A$1734,A1572)</x:f>
        <x:v>1</x:v>
      </x:c>
    </x:row>
    <x:row r="1573">
      <x:c r="A1573" s="9" t="str">
        <x:v>EV-AR-LF-B-A-TECH-3-B1-INT-G0-OG07</x:v>
      </x:c>
      <x:c r="B1573" s="9" t="str">
        <x:v>EV-AR-LF-B-A-TECH-3-B1-INT-G0</x:v>
      </x:c>
      <x:c r="C1573" s="9" t="str">
        <x:v>AR-LF-B-A-TECH-3-B1-INT-G0</x:v>
      </x:c>
      <x:c r="D1573" s="9" t="str">
        <x:v>LF-B-A-TECH-3</x:v>
      </x:c>
      <x:c r="E1573" s="9" t="str">
        <x:v>LF-B-A</x:v>
      </x:c>
      <x:c r="F1573" s="9" t="str">
        <x:v>B1</x:v>
      </x:c>
      <x:c r="G1573" s="9" t="str">
        <x:v>INT</x:v>
      </x:c>
      <x:c r="H1573" s="9" t="str">
        <x:v>OG07</x:v>
      </x:c>
      <x:c r="I1573" s="17" t="str">
        <x:v>Receiver denominator</x:v>
      </x:c>
      <x:c r="J1573" s="17" t="str">
        <x:v>population, quantity, duration and exclusions match the frozen receipt</x:v>
      </x:c>
      <x:c r="K1573" s="17" t="str">
        <x:v>Receiver court</x:v>
      </x:c>
      <x:c r="L1573" s="9" t="n">
        <x:v>0</x:v>
      </x:c>
      <x:c r="M1573" s="9" t="n">
        <x:v>0</x:v>
      </x:c>
      <x:c r="N1573" s="9" t="str">
        <x:v>OPEN / UNACCEPTED</x:v>
      </x:c>
      <x:c r="O1573" s="9" t="n">
        <x:f>COUNTIFS($A$7:$A$1734,A1573)</x:f>
        <x:v>1</x:v>
      </x:c>
    </x:row>
    <x:row r="1574">
      <x:c r="A1574" s="9" t="str">
        <x:v>EV-AR-LF-B-A-TECH-3-B1-INT-G0-OG08</x:v>
      </x:c>
      <x:c r="B1574" s="9" t="str">
        <x:v>EV-AR-LF-B-A-TECH-3-B1-INT-G0</x:v>
      </x:c>
      <x:c r="C1574" s="9" t="str">
        <x:v>AR-LF-B-A-TECH-3-B1-INT-G0</x:v>
      </x:c>
      <x:c r="D1574" s="9" t="str">
        <x:v>LF-B-A-TECH-3</x:v>
      </x:c>
      <x:c r="E1574" s="9" t="str">
        <x:v>LF-B-A</x:v>
      </x:c>
      <x:c r="F1574" s="9" t="str">
        <x:v>B1</x:v>
      </x:c>
      <x:c r="G1574" s="9" t="str">
        <x:v>INT</x:v>
      </x:c>
      <x:c r="H1574" s="9" t="str">
        <x:v>OG08</x:v>
      </x:c>
      <x:c r="I1574" s="17" t="str">
        <x:v>Environment and boundary</x:v>
      </x:c>
      <x:c r="J1574" s="17" t="str">
        <x:v>registered weather, water, ground, inlet and outlet states are retained</x:v>
      </x:c>
      <x:c r="K1574" s="17" t="str">
        <x:v>Boundary court</x:v>
      </x:c>
      <x:c r="L1574" s="9" t="n">
        <x:v>0</x:v>
      </x:c>
      <x:c r="M1574" s="9" t="n">
        <x:v>0</x:v>
      </x:c>
      <x:c r="N1574" s="9" t="str">
        <x:v>OPEN / UNACCEPTED</x:v>
      </x:c>
      <x:c r="O1574" s="9" t="n">
        <x:f>COUNTIFS($A$7:$A$1734,A1574)</x:f>
        <x:v>1</x:v>
      </x:c>
    </x:row>
    <x:row r="1575">
      <x:c r="A1575" s="9" t="str">
        <x:v>EV-AR-LF-B-A-TECH-3-B1-INT-G0-OG09</x:v>
      </x:c>
      <x:c r="B1575" s="9" t="str">
        <x:v>EV-AR-LF-B-A-TECH-3-B1-INT-G0</x:v>
      </x:c>
      <x:c r="C1575" s="9" t="str">
        <x:v>AR-LF-B-A-TECH-3-B1-INT-G0</x:v>
      </x:c>
      <x:c r="D1575" s="9" t="str">
        <x:v>LF-B-A-TECH-3</x:v>
      </x:c>
      <x:c r="E1575" s="9" t="str">
        <x:v>LF-B-A</x:v>
      </x:c>
      <x:c r="F1575" s="9" t="str">
        <x:v>B1</x:v>
      </x:c>
      <x:c r="G1575" s="9" t="str">
        <x:v>INT</x:v>
      </x:c>
      <x:c r="H1575" s="9" t="str">
        <x:v>OG09</x:v>
      </x:c>
      <x:c r="I1575" s="17" t="str">
        <x:v>Intervention account</x:v>
      </x:c>
      <x:c r="J1575" s="17" t="str">
        <x:v>all stop, rescue, operator and public-protection actions remain timestamped</x:v>
      </x:c>
      <x:c r="K1575" s="17" t="str">
        <x:v>Safety record court</x:v>
      </x:c>
      <x:c r="L1575" s="9" t="n">
        <x:v>0</x:v>
      </x:c>
      <x:c r="M1575" s="9" t="n">
        <x:v>0</x:v>
      </x:c>
      <x:c r="N1575" s="9" t="str">
        <x:v>OPEN / UNACCEPTED</x:v>
      </x:c>
      <x:c r="O1575" s="9" t="n">
        <x:f>COUNTIFS($A$7:$A$1734,A1575)</x:f>
        <x:v>1</x:v>
      </x:c>
    </x:row>
    <x:row r="1576">
      <x:c r="A1576" s="9" t="str">
        <x:v>EV-AR-LF-B-A-TECH-3-B1-INT-G0-OG10</x:v>
      </x:c>
      <x:c r="B1576" s="9" t="str">
        <x:v>EV-AR-LF-B-A-TECH-3-B1-INT-G0</x:v>
      </x:c>
      <x:c r="C1576" s="9" t="str">
        <x:v>AR-LF-B-A-TECH-3-B1-INT-G0</x:v>
      </x:c>
      <x:c r="D1576" s="9" t="str">
        <x:v>LF-B-A-TECH-3</x:v>
      </x:c>
      <x:c r="E1576" s="9" t="str">
        <x:v>LF-B-A</x:v>
      </x:c>
      <x:c r="F1576" s="9" t="str">
        <x:v>B1</x:v>
      </x:c>
      <x:c r="G1576" s="9" t="str">
        <x:v>INT</x:v>
      </x:c>
      <x:c r="H1576" s="9" t="str">
        <x:v>OG10</x:v>
      </x:c>
      <x:c r="I1576" s="17" t="str">
        <x:v>Uncertainty statement</x:v>
      </x:c>
      <x:c r="J1576" s="17" t="str">
        <x:v>range, censoring, resolution and correlation are declared before judgment</x:v>
      </x:c>
      <x:c r="K1576" s="17" t="str">
        <x:v>Uncertainty authority</x:v>
      </x:c>
      <x:c r="L1576" s="9" t="n">
        <x:v>0</x:v>
      </x:c>
      <x:c r="M1576" s="9" t="n">
        <x:v>0</x:v>
      </x:c>
      <x:c r="N1576" s="9" t="str">
        <x:v>OPEN / UNACCEPTED</x:v>
      </x:c>
      <x:c r="O1576" s="9" t="n">
        <x:f>COUNTIFS($A$7:$A$1734,A1576)</x:f>
        <x:v>1</x:v>
      </x:c>
    </x:row>
    <x:row r="1577">
      <x:c r="A1577" s="9" t="str">
        <x:v>EV-AR-LF-B-A-TECH-3-B1-INT-G0-OG11</x:v>
      </x:c>
      <x:c r="B1577" s="9" t="str">
        <x:v>EV-AR-LF-B-A-TECH-3-B1-INT-G0</x:v>
      </x:c>
      <x:c r="C1577" s="9" t="str">
        <x:v>AR-LF-B-A-TECH-3-B1-INT-G0</x:v>
      </x:c>
      <x:c r="D1577" s="9" t="str">
        <x:v>LF-B-A-TECH-3</x:v>
      </x:c>
      <x:c r="E1577" s="9" t="str">
        <x:v>LF-B-A</x:v>
      </x:c>
      <x:c r="F1577" s="9" t="str">
        <x:v>B1</x:v>
      </x:c>
      <x:c r="G1577" s="9" t="str">
        <x:v>INT</x:v>
      </x:c>
      <x:c r="H1577" s="9" t="str">
        <x:v>OG11</x:v>
      </x:c>
      <x:c r="I1577" s="17" t="str">
        <x:v>Contradiction preservation</x:v>
      </x:c>
      <x:c r="J1577" s="17" t="str">
        <x:v>primary-witness disagreement remains explicit and is never averaged away</x:v>
      </x:c>
      <x:c r="K1577" s="17" t="str">
        <x:v>Dissent registrar</x:v>
      </x:c>
      <x:c r="L1577" s="9" t="n">
        <x:v>0</x:v>
      </x:c>
      <x:c r="M1577" s="9" t="n">
        <x:v>0</x:v>
      </x:c>
      <x:c r="N1577" s="9" t="str">
        <x:v>OPEN / UNACCEPTED</x:v>
      </x:c>
      <x:c r="O1577" s="9" t="n">
        <x:f>COUNTIFS($A$7:$A$1734,A1577)</x:f>
        <x:v>1</x:v>
      </x:c>
    </x:row>
    <x:row r="1578">
      <x:c r="A1578" s="9" t="str">
        <x:v>EV-AR-LF-B-A-TECH-3-B1-INT-G0-OG12</x:v>
      </x:c>
      <x:c r="B1578" s="9" t="str">
        <x:v>EV-AR-LF-B-A-TECH-3-B1-INT-G0</x:v>
      </x:c>
      <x:c r="C1578" s="9" t="str">
        <x:v>AR-LF-B-A-TECH-3-B1-INT-G0</x:v>
      </x:c>
      <x:c r="D1578" s="9" t="str">
        <x:v>LF-B-A-TECH-3</x:v>
      </x:c>
      <x:c r="E1578" s="9" t="str">
        <x:v>LF-B-A</x:v>
      </x:c>
      <x:c r="F1578" s="9" t="str">
        <x:v>B1</x:v>
      </x:c>
      <x:c r="G1578" s="9" t="str">
        <x:v>INT</x:v>
      </x:c>
      <x:c r="H1578" s="9" t="str">
        <x:v>OG12</x:v>
      </x:c>
      <x:c r="I1578" s="17" t="str">
        <x:v>Independent replay</x:v>
      </x:c>
      <x:c r="J1578" s="17" t="str">
        <x:v>a separated reader reconstructs the registered observables from sealed originals</x:v>
      </x:c>
      <x:c r="K1578" s="17" t="str">
        <x:v>Replay court</x:v>
      </x:c>
      <x:c r="L1578" s="9" t="n">
        <x:v>0</x:v>
      </x:c>
      <x:c r="M1578" s="9" t="n">
        <x:v>0</x:v>
      </x:c>
      <x:c r="N1578" s="9" t="str">
        <x:v>OPEN / UNACCEPTED</x:v>
      </x:c>
      <x:c r="O1578" s="9" t="n">
        <x:f>COUNTIFS($A$7:$A$1734,A1578)</x:f>
        <x:v>1</x:v>
      </x:c>
    </x:row>
    <x:row r="1579">
      <x:c r="A1579" s="9" t="str">
        <x:v>EV-AR-RT-B-C-TECH-2-B2-RCN-G0-OG01</x:v>
      </x:c>
      <x:c r="B1579" s="9" t="str">
        <x:v>EV-AR-RT-B-C-TECH-2-B2-RCN-G0</x:v>
      </x:c>
      <x:c r="C1579" s="9" t="str">
        <x:v>AR-RT-B-C-TECH-2-B2-RCN-G0</x:v>
      </x:c>
      <x:c r="D1579" s="9" t="str">
        <x:v>RT-B-C-TECH-2</x:v>
      </x:c>
      <x:c r="E1579" s="9" t="str">
        <x:v>RT-B-C</x:v>
      </x:c>
      <x:c r="F1579" s="9" t="str">
        <x:v>B2</x:v>
      </x:c>
      <x:c r="G1579" s="9" t="str">
        <x:v>RCN</x:v>
      </x:c>
      <x:c r="H1579" s="9" t="str">
        <x:v>OG01</x:v>
      </x:c>
      <x:c r="I1579" s="17" t="str">
        <x:v>Serial and event identity</x:v>
      </x:c>
      <x:c r="J1579" s="17" t="str">
        <x:v>record resolves to the issued serial, generation and physical start</x:v>
      </x:c>
      <x:c r="K1579" s="17" t="str">
        <x:v>Observation court</x:v>
      </x:c>
      <x:c r="L1579" s="9" t="n">
        <x:v>0</x:v>
      </x:c>
      <x:c r="M1579" s="9" t="n">
        <x:v>0</x:v>
      </x:c>
      <x:c r="N1579" s="9" t="str">
        <x:v>OPEN / UNACCEPTED</x:v>
      </x:c>
      <x:c r="O1579" s="9" t="n">
        <x:f>COUNTIFS($A$7:$A$1734,A1579)</x:f>
        <x:v>1</x:v>
      </x:c>
    </x:row>
    <x:row r="1580">
      <x:c r="A1580" s="9" t="str">
        <x:v>EV-AR-RT-B-C-TECH-2-B2-RCN-G0-OG02</x:v>
      </x:c>
      <x:c r="B1580" s="9" t="str">
        <x:v>EV-AR-RT-B-C-TECH-2-B2-RCN-G0</x:v>
      </x:c>
      <x:c r="C1580" s="9" t="str">
        <x:v>AR-RT-B-C-TECH-2-B2-RCN-G0</x:v>
      </x:c>
      <x:c r="D1580" s="9" t="str">
        <x:v>RT-B-C-TECH-2</x:v>
      </x:c>
      <x:c r="E1580" s="9" t="str">
        <x:v>RT-B-C</x:v>
      </x:c>
      <x:c r="F1580" s="9" t="str">
        <x:v>B2</x:v>
      </x:c>
      <x:c r="G1580" s="9" t="str">
        <x:v>RCN</x:v>
      </x:c>
      <x:c r="H1580" s="9" t="str">
        <x:v>OG02</x:v>
      </x:c>
      <x:c r="I1580" s="17" t="str">
        <x:v>Time ancestry</x:v>
      </x:c>
      <x:c r="J1580" s="17" t="str">
        <x:v>primary, witness and public event clocks retain declared offsets and drift</x:v>
      </x:c>
      <x:c r="K1580" s="17" t="str">
        <x:v>Time authority</x:v>
      </x:c>
      <x:c r="L1580" s="9" t="n">
        <x:v>0</x:v>
      </x:c>
      <x:c r="M1580" s="9" t="n">
        <x:v>0</x:v>
      </x:c>
      <x:c r="N1580" s="9" t="str">
        <x:v>OPEN / UNACCEPTED</x:v>
      </x:c>
      <x:c r="O1580" s="9" t="n">
        <x:f>COUNTIFS($A$7:$A$1734,A1580)</x:f>
        <x:v>1</x:v>
      </x:c>
    </x:row>
    <x:row r="1581">
      <x:c r="A1581" s="9" t="str">
        <x:v>EV-AR-RT-B-C-TECH-2-B2-RCN-G0-OG03</x:v>
      </x:c>
      <x:c r="B1581" s="9" t="str">
        <x:v>EV-AR-RT-B-C-TECH-2-B2-RCN-G0</x:v>
      </x:c>
      <x:c r="C1581" s="9" t="str">
        <x:v>AR-RT-B-C-TECH-2-B2-RCN-G0</x:v>
      </x:c>
      <x:c r="D1581" s="9" t="str">
        <x:v>RT-B-C-TECH-2</x:v>
      </x:c>
      <x:c r="E1581" s="9" t="str">
        <x:v>RT-B-C</x:v>
      </x:c>
      <x:c r="F1581" s="9" t="str">
        <x:v>B2</x:v>
      </x:c>
      <x:c r="G1581" s="9" t="str">
        <x:v>RCN</x:v>
      </x:c>
      <x:c r="H1581" s="9" t="str">
        <x:v>OG03</x:v>
      </x:c>
      <x:c r="I1581" s="17" t="str">
        <x:v>Calibration ancestry</x:v>
      </x:c>
      <x:c r="J1581" s="17" t="str">
        <x:v>all reference, range and uncertainty states cover the live interval</x:v>
      </x:c>
      <x:c r="K1581" s="17" t="str">
        <x:v>Metrology courts</x:v>
      </x:c>
      <x:c r="L1581" s="9" t="n">
        <x:v>0</x:v>
      </x:c>
      <x:c r="M1581" s="9" t="n">
        <x:v>0</x:v>
      </x:c>
      <x:c r="N1581" s="9" t="str">
        <x:v>OPEN / UNACCEPTED</x:v>
      </x:c>
      <x:c r="O1581" s="9" t="n">
        <x:f>COUNTIFS($A$7:$A$1734,A1581)</x:f>
        <x:v>1</x:v>
      </x:c>
    </x:row>
    <x:row r="1582">
      <x:c r="A1582" s="9" t="str">
        <x:v>EV-AR-RT-B-C-TECH-2-B2-RCN-G0-OG04</x:v>
      </x:c>
      <x:c r="B1582" s="9" t="str">
        <x:v>EV-AR-RT-B-C-TECH-2-B2-RCN-G0</x:v>
      </x:c>
      <x:c r="C1582" s="9" t="str">
        <x:v>AR-RT-B-C-TECH-2-B2-RCN-G0</x:v>
      </x:c>
      <x:c r="D1582" s="9" t="str">
        <x:v>RT-B-C-TECH-2</x:v>
      </x:c>
      <x:c r="E1582" s="9" t="str">
        <x:v>RT-B-C</x:v>
      </x:c>
      <x:c r="F1582" s="9" t="str">
        <x:v>B2</x:v>
      </x:c>
      <x:c r="G1582" s="9" t="str">
        <x:v>RCN</x:v>
      </x:c>
      <x:c r="H1582" s="9" t="str">
        <x:v>OG04</x:v>
      </x:c>
      <x:c r="I1582" s="17" t="str">
        <x:v>Raw completeness</x:v>
      </x:c>
      <x:c r="J1582" s="17" t="str">
        <x:v>missingness is enumerated without imputation or outcome-conditioned deletion</x:v>
      </x:c>
      <x:c r="K1582" s="17" t="str">
        <x:v>Observation court</x:v>
      </x:c>
      <x:c r="L1582" s="9" t="n">
        <x:v>0</x:v>
      </x:c>
      <x:c r="M1582" s="9" t="n">
        <x:v>0</x:v>
      </x:c>
      <x:c r="N1582" s="9" t="str">
        <x:v>OPEN / UNACCEPTED</x:v>
      </x:c>
      <x:c r="O1582" s="9" t="n">
        <x:f>COUNTIFS($A$7:$A$1734,A1582)</x:f>
        <x:v>1</x:v>
      </x:c>
    </x:row>
    <x:row r="1583">
      <x:c r="A1583" s="9" t="str">
        <x:v>EV-AR-RT-B-C-TECH-2-B2-RCN-G0-OG05</x:v>
      </x:c>
      <x:c r="B1583" s="9" t="str">
        <x:v>EV-AR-RT-B-C-TECH-2-B2-RCN-G0</x:v>
      </x:c>
      <x:c r="C1583" s="9" t="str">
        <x:v>AR-RT-B-C-TECH-2-B2-RCN-G0</x:v>
      </x:c>
      <x:c r="D1583" s="9" t="str">
        <x:v>RT-B-C-TECH-2</x:v>
      </x:c>
      <x:c r="E1583" s="9" t="str">
        <x:v>RT-B-C</x:v>
      </x:c>
      <x:c r="F1583" s="9" t="str">
        <x:v>B2</x:v>
      </x:c>
      <x:c r="G1583" s="9" t="str">
        <x:v>RCN</x:v>
      </x:c>
      <x:c r="H1583" s="9" t="str">
        <x:v>OG05</x:v>
      </x:c>
      <x:c r="I1583" s="17" t="str">
        <x:v>Primary provenance</x:v>
      </x:c>
      <x:c r="J1583" s="17" t="str">
        <x:v>primary originals, hashes, keys and access history reconcile</x:v>
      </x:c>
      <x:c r="K1583" s="17" t="str">
        <x:v>Primary custody</x:v>
      </x:c>
      <x:c r="L1583" s="9" t="n">
        <x:v>0</x:v>
      </x:c>
      <x:c r="M1583" s="9" t="n">
        <x:v>0</x:v>
      </x:c>
      <x:c r="N1583" s="9" t="str">
        <x:v>OPEN / UNACCEPTED</x:v>
      </x:c>
      <x:c r="O1583" s="9" t="n">
        <x:f>COUNTIFS($A$7:$A$1734,A1583)</x:f>
        <x:v>1</x:v>
      </x:c>
    </x:row>
    <x:row r="1584">
      <x:c r="A1584" s="9" t="str">
        <x:v>EV-AR-RT-B-C-TECH-2-B2-RCN-G0-OG06</x:v>
      </x:c>
      <x:c r="B1584" s="9" t="str">
        <x:v>EV-AR-RT-B-C-TECH-2-B2-RCN-G0</x:v>
      </x:c>
      <x:c r="C1584" s="9" t="str">
        <x:v>AR-RT-B-C-TECH-2-B2-RCN-G0</x:v>
      </x:c>
      <x:c r="D1584" s="9" t="str">
        <x:v>RT-B-C-TECH-2</x:v>
      </x:c>
      <x:c r="E1584" s="9" t="str">
        <x:v>RT-B-C</x:v>
      </x:c>
      <x:c r="F1584" s="9" t="str">
        <x:v>B2</x:v>
      </x:c>
      <x:c r="G1584" s="9" t="str">
        <x:v>RCN</x:v>
      </x:c>
      <x:c r="H1584" s="9" t="str">
        <x:v>OG06</x:v>
      </x:c>
      <x:c r="I1584" s="17" t="str">
        <x:v>Witness provenance</x:v>
      </x:c>
      <x:c r="J1584" s="17" t="str">
        <x:v>unlike witness originals, hashes, keys and access history reconcile</x:v>
      </x:c>
      <x:c r="K1584" s="17" t="str">
        <x:v>Witness custody</x:v>
      </x:c>
      <x:c r="L1584" s="9" t="n">
        <x:v>0</x:v>
      </x:c>
      <x:c r="M1584" s="9" t="n">
        <x:v>0</x:v>
      </x:c>
      <x:c r="N1584" s="9" t="str">
        <x:v>OPEN / UNACCEPTED</x:v>
      </x:c>
      <x:c r="O1584" s="9" t="n">
        <x:f>COUNTIFS($A$7:$A$1734,A1584)</x:f>
        <x:v>1</x:v>
      </x:c>
    </x:row>
    <x:row r="1585">
      <x:c r="A1585" s="9" t="str">
        <x:v>EV-AR-RT-B-C-TECH-2-B2-RCN-G0-OG07</x:v>
      </x:c>
      <x:c r="B1585" s="9" t="str">
        <x:v>EV-AR-RT-B-C-TECH-2-B2-RCN-G0</x:v>
      </x:c>
      <x:c r="C1585" s="9" t="str">
        <x:v>AR-RT-B-C-TECH-2-B2-RCN-G0</x:v>
      </x:c>
      <x:c r="D1585" s="9" t="str">
        <x:v>RT-B-C-TECH-2</x:v>
      </x:c>
      <x:c r="E1585" s="9" t="str">
        <x:v>RT-B-C</x:v>
      </x:c>
      <x:c r="F1585" s="9" t="str">
        <x:v>B2</x:v>
      </x:c>
      <x:c r="G1585" s="9" t="str">
        <x:v>RCN</x:v>
      </x:c>
      <x:c r="H1585" s="9" t="str">
        <x:v>OG07</x:v>
      </x:c>
      <x:c r="I1585" s="17" t="str">
        <x:v>Receiver denominator</x:v>
      </x:c>
      <x:c r="J1585" s="17" t="str">
        <x:v>population, quantity, duration and exclusions match the frozen receipt</x:v>
      </x:c>
      <x:c r="K1585" s="17" t="str">
        <x:v>Receiver court</x:v>
      </x:c>
      <x:c r="L1585" s="9" t="n">
        <x:v>0</x:v>
      </x:c>
      <x:c r="M1585" s="9" t="n">
        <x:v>0</x:v>
      </x:c>
      <x:c r="N1585" s="9" t="str">
        <x:v>OPEN / UNACCEPTED</x:v>
      </x:c>
      <x:c r="O1585" s="9" t="n">
        <x:f>COUNTIFS($A$7:$A$1734,A1585)</x:f>
        <x:v>1</x:v>
      </x:c>
    </x:row>
    <x:row r="1586">
      <x:c r="A1586" s="9" t="str">
        <x:v>EV-AR-RT-B-C-TECH-2-B2-RCN-G0-OG08</x:v>
      </x:c>
      <x:c r="B1586" s="9" t="str">
        <x:v>EV-AR-RT-B-C-TECH-2-B2-RCN-G0</x:v>
      </x:c>
      <x:c r="C1586" s="9" t="str">
        <x:v>AR-RT-B-C-TECH-2-B2-RCN-G0</x:v>
      </x:c>
      <x:c r="D1586" s="9" t="str">
        <x:v>RT-B-C-TECH-2</x:v>
      </x:c>
      <x:c r="E1586" s="9" t="str">
        <x:v>RT-B-C</x:v>
      </x:c>
      <x:c r="F1586" s="9" t="str">
        <x:v>B2</x:v>
      </x:c>
      <x:c r="G1586" s="9" t="str">
        <x:v>RCN</x:v>
      </x:c>
      <x:c r="H1586" s="9" t="str">
        <x:v>OG08</x:v>
      </x:c>
      <x:c r="I1586" s="17" t="str">
        <x:v>Environment and boundary</x:v>
      </x:c>
      <x:c r="J1586" s="17" t="str">
        <x:v>registered weather, water, ground, inlet and outlet states are retained</x:v>
      </x:c>
      <x:c r="K1586" s="17" t="str">
        <x:v>Boundary court</x:v>
      </x:c>
      <x:c r="L1586" s="9" t="n">
        <x:v>0</x:v>
      </x:c>
      <x:c r="M1586" s="9" t="n">
        <x:v>0</x:v>
      </x:c>
      <x:c r="N1586" s="9" t="str">
        <x:v>OPEN / UNACCEPTED</x:v>
      </x:c>
      <x:c r="O1586" s="9" t="n">
        <x:f>COUNTIFS($A$7:$A$1734,A1586)</x:f>
        <x:v>1</x:v>
      </x:c>
    </x:row>
    <x:row r="1587">
      <x:c r="A1587" s="9" t="str">
        <x:v>EV-AR-RT-B-C-TECH-2-B2-RCN-G0-OG09</x:v>
      </x:c>
      <x:c r="B1587" s="9" t="str">
        <x:v>EV-AR-RT-B-C-TECH-2-B2-RCN-G0</x:v>
      </x:c>
      <x:c r="C1587" s="9" t="str">
        <x:v>AR-RT-B-C-TECH-2-B2-RCN-G0</x:v>
      </x:c>
      <x:c r="D1587" s="9" t="str">
        <x:v>RT-B-C-TECH-2</x:v>
      </x:c>
      <x:c r="E1587" s="9" t="str">
        <x:v>RT-B-C</x:v>
      </x:c>
      <x:c r="F1587" s="9" t="str">
        <x:v>B2</x:v>
      </x:c>
      <x:c r="G1587" s="9" t="str">
        <x:v>RCN</x:v>
      </x:c>
      <x:c r="H1587" s="9" t="str">
        <x:v>OG09</x:v>
      </x:c>
      <x:c r="I1587" s="17" t="str">
        <x:v>Intervention account</x:v>
      </x:c>
      <x:c r="J1587" s="17" t="str">
        <x:v>all stop, rescue, operator and public-protection actions remain timestamped</x:v>
      </x:c>
      <x:c r="K1587" s="17" t="str">
        <x:v>Safety record court</x:v>
      </x:c>
      <x:c r="L1587" s="9" t="n">
        <x:v>0</x:v>
      </x:c>
      <x:c r="M1587" s="9" t="n">
        <x:v>0</x:v>
      </x:c>
      <x:c r="N1587" s="9" t="str">
        <x:v>OPEN / UNACCEPTED</x:v>
      </x:c>
      <x:c r="O1587" s="9" t="n">
        <x:f>COUNTIFS($A$7:$A$1734,A1587)</x:f>
        <x:v>1</x:v>
      </x:c>
    </x:row>
    <x:row r="1588">
      <x:c r="A1588" s="9" t="str">
        <x:v>EV-AR-RT-B-C-TECH-2-B2-RCN-G0-OG10</x:v>
      </x:c>
      <x:c r="B1588" s="9" t="str">
        <x:v>EV-AR-RT-B-C-TECH-2-B2-RCN-G0</x:v>
      </x:c>
      <x:c r="C1588" s="9" t="str">
        <x:v>AR-RT-B-C-TECH-2-B2-RCN-G0</x:v>
      </x:c>
      <x:c r="D1588" s="9" t="str">
        <x:v>RT-B-C-TECH-2</x:v>
      </x:c>
      <x:c r="E1588" s="9" t="str">
        <x:v>RT-B-C</x:v>
      </x:c>
      <x:c r="F1588" s="9" t="str">
        <x:v>B2</x:v>
      </x:c>
      <x:c r="G1588" s="9" t="str">
        <x:v>RCN</x:v>
      </x:c>
      <x:c r="H1588" s="9" t="str">
        <x:v>OG10</x:v>
      </x:c>
      <x:c r="I1588" s="17" t="str">
        <x:v>Uncertainty statement</x:v>
      </x:c>
      <x:c r="J1588" s="17" t="str">
        <x:v>range, censoring, resolution and correlation are declared before judgment</x:v>
      </x:c>
      <x:c r="K1588" s="17" t="str">
        <x:v>Uncertainty authority</x:v>
      </x:c>
      <x:c r="L1588" s="9" t="n">
        <x:v>0</x:v>
      </x:c>
      <x:c r="M1588" s="9" t="n">
        <x:v>0</x:v>
      </x:c>
      <x:c r="N1588" s="9" t="str">
        <x:v>OPEN / UNACCEPTED</x:v>
      </x:c>
      <x:c r="O1588" s="9" t="n">
        <x:f>COUNTIFS($A$7:$A$1734,A1588)</x:f>
        <x:v>1</x:v>
      </x:c>
    </x:row>
    <x:row r="1589">
      <x:c r="A1589" s="9" t="str">
        <x:v>EV-AR-RT-B-C-TECH-2-B2-RCN-G0-OG11</x:v>
      </x:c>
      <x:c r="B1589" s="9" t="str">
        <x:v>EV-AR-RT-B-C-TECH-2-B2-RCN-G0</x:v>
      </x:c>
      <x:c r="C1589" s="9" t="str">
        <x:v>AR-RT-B-C-TECH-2-B2-RCN-G0</x:v>
      </x:c>
      <x:c r="D1589" s="9" t="str">
        <x:v>RT-B-C-TECH-2</x:v>
      </x:c>
      <x:c r="E1589" s="9" t="str">
        <x:v>RT-B-C</x:v>
      </x:c>
      <x:c r="F1589" s="9" t="str">
        <x:v>B2</x:v>
      </x:c>
      <x:c r="G1589" s="9" t="str">
        <x:v>RCN</x:v>
      </x:c>
      <x:c r="H1589" s="9" t="str">
        <x:v>OG11</x:v>
      </x:c>
      <x:c r="I1589" s="17" t="str">
        <x:v>Contradiction preservation</x:v>
      </x:c>
      <x:c r="J1589" s="17" t="str">
        <x:v>primary-witness disagreement remains explicit and is never averaged away</x:v>
      </x:c>
      <x:c r="K1589" s="17" t="str">
        <x:v>Dissent registrar</x:v>
      </x:c>
      <x:c r="L1589" s="9" t="n">
        <x:v>0</x:v>
      </x:c>
      <x:c r="M1589" s="9" t="n">
        <x:v>0</x:v>
      </x:c>
      <x:c r="N1589" s="9" t="str">
        <x:v>OPEN / UNACCEPTED</x:v>
      </x:c>
      <x:c r="O1589" s="9" t="n">
        <x:f>COUNTIFS($A$7:$A$1734,A1589)</x:f>
        <x:v>1</x:v>
      </x:c>
    </x:row>
    <x:row r="1590">
      <x:c r="A1590" s="9" t="str">
        <x:v>EV-AR-RT-B-C-TECH-2-B2-RCN-G0-OG12</x:v>
      </x:c>
      <x:c r="B1590" s="9" t="str">
        <x:v>EV-AR-RT-B-C-TECH-2-B2-RCN-G0</x:v>
      </x:c>
      <x:c r="C1590" s="9" t="str">
        <x:v>AR-RT-B-C-TECH-2-B2-RCN-G0</x:v>
      </x:c>
      <x:c r="D1590" s="9" t="str">
        <x:v>RT-B-C-TECH-2</x:v>
      </x:c>
      <x:c r="E1590" s="9" t="str">
        <x:v>RT-B-C</x:v>
      </x:c>
      <x:c r="F1590" s="9" t="str">
        <x:v>B2</x:v>
      </x:c>
      <x:c r="G1590" s="9" t="str">
        <x:v>RCN</x:v>
      </x:c>
      <x:c r="H1590" s="9" t="str">
        <x:v>OG12</x:v>
      </x:c>
      <x:c r="I1590" s="17" t="str">
        <x:v>Independent replay</x:v>
      </x:c>
      <x:c r="J1590" s="17" t="str">
        <x:v>a separated reader reconstructs the registered observables from sealed originals</x:v>
      </x:c>
      <x:c r="K1590" s="17" t="str">
        <x:v>Replay court</x:v>
      </x:c>
      <x:c r="L1590" s="9" t="n">
        <x:v>0</x:v>
      </x:c>
      <x:c r="M1590" s="9" t="n">
        <x:v>0</x:v>
      </x:c>
      <x:c r="N1590" s="9" t="str">
        <x:v>OPEN / UNACCEPTED</x:v>
      </x:c>
      <x:c r="O1590" s="9" t="n">
        <x:f>COUNTIFS($A$7:$A$1734,A1590)</x:f>
        <x:v>1</x:v>
      </x:c>
    </x:row>
    <x:row r="1591">
      <x:c r="A1591" s="9" t="str">
        <x:v>EV-AR-CT-C-B-TECH-4-B2-INT-G0-OG01</x:v>
      </x:c>
      <x:c r="B1591" s="9" t="str">
        <x:v>EV-AR-CT-C-B-TECH-4-B2-INT-G0</x:v>
      </x:c>
      <x:c r="C1591" s="9" t="str">
        <x:v>AR-CT-C-B-TECH-4-B2-INT-G0</x:v>
      </x:c>
      <x:c r="D1591" s="9" t="str">
        <x:v>CT-C-B-TECH-4</x:v>
      </x:c>
      <x:c r="E1591" s="9" t="str">
        <x:v>CT-C-B</x:v>
      </x:c>
      <x:c r="F1591" s="9" t="str">
        <x:v>B2</x:v>
      </x:c>
      <x:c r="G1591" s="9" t="str">
        <x:v>INT</x:v>
      </x:c>
      <x:c r="H1591" s="9" t="str">
        <x:v>OG01</x:v>
      </x:c>
      <x:c r="I1591" s="17" t="str">
        <x:v>Serial and event identity</x:v>
      </x:c>
      <x:c r="J1591" s="17" t="str">
        <x:v>record resolves to the issued serial, generation and physical start</x:v>
      </x:c>
      <x:c r="K1591" s="17" t="str">
        <x:v>Observation court</x:v>
      </x:c>
      <x:c r="L1591" s="9" t="n">
        <x:v>0</x:v>
      </x:c>
      <x:c r="M1591" s="9" t="n">
        <x:v>0</x:v>
      </x:c>
      <x:c r="N1591" s="9" t="str">
        <x:v>OPEN / UNACCEPTED</x:v>
      </x:c>
      <x:c r="O1591" s="9" t="n">
        <x:f>COUNTIFS($A$7:$A$1734,A1591)</x:f>
        <x:v>1</x:v>
      </x:c>
    </x:row>
    <x:row r="1592">
      <x:c r="A1592" s="9" t="str">
        <x:v>EV-AR-CT-C-B-TECH-4-B2-INT-G0-OG02</x:v>
      </x:c>
      <x:c r="B1592" s="9" t="str">
        <x:v>EV-AR-CT-C-B-TECH-4-B2-INT-G0</x:v>
      </x:c>
      <x:c r="C1592" s="9" t="str">
        <x:v>AR-CT-C-B-TECH-4-B2-INT-G0</x:v>
      </x:c>
      <x:c r="D1592" s="9" t="str">
        <x:v>CT-C-B-TECH-4</x:v>
      </x:c>
      <x:c r="E1592" s="9" t="str">
        <x:v>CT-C-B</x:v>
      </x:c>
      <x:c r="F1592" s="9" t="str">
        <x:v>B2</x:v>
      </x:c>
      <x:c r="G1592" s="9" t="str">
        <x:v>INT</x:v>
      </x:c>
      <x:c r="H1592" s="9" t="str">
        <x:v>OG02</x:v>
      </x:c>
      <x:c r="I1592" s="17" t="str">
        <x:v>Time ancestry</x:v>
      </x:c>
      <x:c r="J1592" s="17" t="str">
        <x:v>primary, witness and public event clocks retain declared offsets and drift</x:v>
      </x:c>
      <x:c r="K1592" s="17" t="str">
        <x:v>Time authority</x:v>
      </x:c>
      <x:c r="L1592" s="9" t="n">
        <x:v>0</x:v>
      </x:c>
      <x:c r="M1592" s="9" t="n">
        <x:v>0</x:v>
      </x:c>
      <x:c r="N1592" s="9" t="str">
        <x:v>OPEN / UNACCEPTED</x:v>
      </x:c>
      <x:c r="O1592" s="9" t="n">
        <x:f>COUNTIFS($A$7:$A$1734,A1592)</x:f>
        <x:v>1</x:v>
      </x:c>
    </x:row>
    <x:row r="1593">
      <x:c r="A1593" s="9" t="str">
        <x:v>EV-AR-CT-C-B-TECH-4-B2-INT-G0-OG03</x:v>
      </x:c>
      <x:c r="B1593" s="9" t="str">
        <x:v>EV-AR-CT-C-B-TECH-4-B2-INT-G0</x:v>
      </x:c>
      <x:c r="C1593" s="9" t="str">
        <x:v>AR-CT-C-B-TECH-4-B2-INT-G0</x:v>
      </x:c>
      <x:c r="D1593" s="9" t="str">
        <x:v>CT-C-B-TECH-4</x:v>
      </x:c>
      <x:c r="E1593" s="9" t="str">
        <x:v>CT-C-B</x:v>
      </x:c>
      <x:c r="F1593" s="9" t="str">
        <x:v>B2</x:v>
      </x:c>
      <x:c r="G1593" s="9" t="str">
        <x:v>INT</x:v>
      </x:c>
      <x:c r="H1593" s="9" t="str">
        <x:v>OG03</x:v>
      </x:c>
      <x:c r="I1593" s="17" t="str">
        <x:v>Calibration ancestry</x:v>
      </x:c>
      <x:c r="J1593" s="17" t="str">
        <x:v>all reference, range and uncertainty states cover the live interval</x:v>
      </x:c>
      <x:c r="K1593" s="17" t="str">
        <x:v>Metrology courts</x:v>
      </x:c>
      <x:c r="L1593" s="9" t="n">
        <x:v>0</x:v>
      </x:c>
      <x:c r="M1593" s="9" t="n">
        <x:v>0</x:v>
      </x:c>
      <x:c r="N1593" s="9" t="str">
        <x:v>OPEN / UNACCEPTED</x:v>
      </x:c>
      <x:c r="O1593" s="9" t="n">
        <x:f>COUNTIFS($A$7:$A$1734,A1593)</x:f>
        <x:v>1</x:v>
      </x:c>
    </x:row>
    <x:row r="1594">
      <x:c r="A1594" s="9" t="str">
        <x:v>EV-AR-CT-C-B-TECH-4-B2-INT-G0-OG04</x:v>
      </x:c>
      <x:c r="B1594" s="9" t="str">
        <x:v>EV-AR-CT-C-B-TECH-4-B2-INT-G0</x:v>
      </x:c>
      <x:c r="C1594" s="9" t="str">
        <x:v>AR-CT-C-B-TECH-4-B2-INT-G0</x:v>
      </x:c>
      <x:c r="D1594" s="9" t="str">
        <x:v>CT-C-B-TECH-4</x:v>
      </x:c>
      <x:c r="E1594" s="9" t="str">
        <x:v>CT-C-B</x:v>
      </x:c>
      <x:c r="F1594" s="9" t="str">
        <x:v>B2</x:v>
      </x:c>
      <x:c r="G1594" s="9" t="str">
        <x:v>INT</x:v>
      </x:c>
      <x:c r="H1594" s="9" t="str">
        <x:v>OG04</x:v>
      </x:c>
      <x:c r="I1594" s="17" t="str">
        <x:v>Raw completeness</x:v>
      </x:c>
      <x:c r="J1594" s="17" t="str">
        <x:v>missingness is enumerated without imputation or outcome-conditioned deletion</x:v>
      </x:c>
      <x:c r="K1594" s="17" t="str">
        <x:v>Observation court</x:v>
      </x:c>
      <x:c r="L1594" s="9" t="n">
        <x:v>0</x:v>
      </x:c>
      <x:c r="M1594" s="9" t="n">
        <x:v>0</x:v>
      </x:c>
      <x:c r="N1594" s="9" t="str">
        <x:v>OPEN / UNACCEPTED</x:v>
      </x:c>
      <x:c r="O1594" s="9" t="n">
        <x:f>COUNTIFS($A$7:$A$1734,A1594)</x:f>
        <x:v>1</x:v>
      </x:c>
    </x:row>
    <x:row r="1595">
      <x:c r="A1595" s="9" t="str">
        <x:v>EV-AR-CT-C-B-TECH-4-B2-INT-G0-OG05</x:v>
      </x:c>
      <x:c r="B1595" s="9" t="str">
        <x:v>EV-AR-CT-C-B-TECH-4-B2-INT-G0</x:v>
      </x:c>
      <x:c r="C1595" s="9" t="str">
        <x:v>AR-CT-C-B-TECH-4-B2-INT-G0</x:v>
      </x:c>
      <x:c r="D1595" s="9" t="str">
        <x:v>CT-C-B-TECH-4</x:v>
      </x:c>
      <x:c r="E1595" s="9" t="str">
        <x:v>CT-C-B</x:v>
      </x:c>
      <x:c r="F1595" s="9" t="str">
        <x:v>B2</x:v>
      </x:c>
      <x:c r="G1595" s="9" t="str">
        <x:v>INT</x:v>
      </x:c>
      <x:c r="H1595" s="9" t="str">
        <x:v>OG05</x:v>
      </x:c>
      <x:c r="I1595" s="17" t="str">
        <x:v>Primary provenance</x:v>
      </x:c>
      <x:c r="J1595" s="17" t="str">
        <x:v>primary originals, hashes, keys and access history reconcile</x:v>
      </x:c>
      <x:c r="K1595" s="17" t="str">
        <x:v>Primary custody</x:v>
      </x:c>
      <x:c r="L1595" s="9" t="n">
        <x:v>0</x:v>
      </x:c>
      <x:c r="M1595" s="9" t="n">
        <x:v>0</x:v>
      </x:c>
      <x:c r="N1595" s="9" t="str">
        <x:v>OPEN / UNACCEPTED</x:v>
      </x:c>
      <x:c r="O1595" s="9" t="n">
        <x:f>COUNTIFS($A$7:$A$1734,A1595)</x:f>
        <x:v>1</x:v>
      </x:c>
    </x:row>
    <x:row r="1596">
      <x:c r="A1596" s="9" t="str">
        <x:v>EV-AR-CT-C-B-TECH-4-B2-INT-G0-OG06</x:v>
      </x:c>
      <x:c r="B1596" s="9" t="str">
        <x:v>EV-AR-CT-C-B-TECH-4-B2-INT-G0</x:v>
      </x:c>
      <x:c r="C1596" s="9" t="str">
        <x:v>AR-CT-C-B-TECH-4-B2-INT-G0</x:v>
      </x:c>
      <x:c r="D1596" s="9" t="str">
        <x:v>CT-C-B-TECH-4</x:v>
      </x:c>
      <x:c r="E1596" s="9" t="str">
        <x:v>CT-C-B</x:v>
      </x:c>
      <x:c r="F1596" s="9" t="str">
        <x:v>B2</x:v>
      </x:c>
      <x:c r="G1596" s="9" t="str">
        <x:v>INT</x:v>
      </x:c>
      <x:c r="H1596" s="9" t="str">
        <x:v>OG06</x:v>
      </x:c>
      <x:c r="I1596" s="17" t="str">
        <x:v>Witness provenance</x:v>
      </x:c>
      <x:c r="J1596" s="17" t="str">
        <x:v>unlike witness originals, hashes, keys and access history reconcile</x:v>
      </x:c>
      <x:c r="K1596" s="17" t="str">
        <x:v>Witness custody</x:v>
      </x:c>
      <x:c r="L1596" s="9" t="n">
        <x:v>0</x:v>
      </x:c>
      <x:c r="M1596" s="9" t="n">
        <x:v>0</x:v>
      </x:c>
      <x:c r="N1596" s="9" t="str">
        <x:v>OPEN / UNACCEPTED</x:v>
      </x:c>
      <x:c r="O1596" s="9" t="n">
        <x:f>COUNTIFS($A$7:$A$1734,A1596)</x:f>
        <x:v>1</x:v>
      </x:c>
    </x:row>
    <x:row r="1597">
      <x:c r="A1597" s="9" t="str">
        <x:v>EV-AR-CT-C-B-TECH-4-B2-INT-G0-OG07</x:v>
      </x:c>
      <x:c r="B1597" s="9" t="str">
        <x:v>EV-AR-CT-C-B-TECH-4-B2-INT-G0</x:v>
      </x:c>
      <x:c r="C1597" s="9" t="str">
        <x:v>AR-CT-C-B-TECH-4-B2-INT-G0</x:v>
      </x:c>
      <x:c r="D1597" s="9" t="str">
        <x:v>CT-C-B-TECH-4</x:v>
      </x:c>
      <x:c r="E1597" s="9" t="str">
        <x:v>CT-C-B</x:v>
      </x:c>
      <x:c r="F1597" s="9" t="str">
        <x:v>B2</x:v>
      </x:c>
      <x:c r="G1597" s="9" t="str">
        <x:v>INT</x:v>
      </x:c>
      <x:c r="H1597" s="9" t="str">
        <x:v>OG07</x:v>
      </x:c>
      <x:c r="I1597" s="17" t="str">
        <x:v>Receiver denominator</x:v>
      </x:c>
      <x:c r="J1597" s="17" t="str">
        <x:v>population, quantity, duration and exclusions match the frozen receipt</x:v>
      </x:c>
      <x:c r="K1597" s="17" t="str">
        <x:v>Receiver court</x:v>
      </x:c>
      <x:c r="L1597" s="9" t="n">
        <x:v>0</x:v>
      </x:c>
      <x:c r="M1597" s="9" t="n">
        <x:v>0</x:v>
      </x:c>
      <x:c r="N1597" s="9" t="str">
        <x:v>OPEN / UNACCEPTED</x:v>
      </x:c>
      <x:c r="O1597" s="9" t="n">
        <x:f>COUNTIFS($A$7:$A$1734,A1597)</x:f>
        <x:v>1</x:v>
      </x:c>
    </x:row>
    <x:row r="1598">
      <x:c r="A1598" s="9" t="str">
        <x:v>EV-AR-CT-C-B-TECH-4-B2-INT-G0-OG08</x:v>
      </x:c>
      <x:c r="B1598" s="9" t="str">
        <x:v>EV-AR-CT-C-B-TECH-4-B2-INT-G0</x:v>
      </x:c>
      <x:c r="C1598" s="9" t="str">
        <x:v>AR-CT-C-B-TECH-4-B2-INT-G0</x:v>
      </x:c>
      <x:c r="D1598" s="9" t="str">
        <x:v>CT-C-B-TECH-4</x:v>
      </x:c>
      <x:c r="E1598" s="9" t="str">
        <x:v>CT-C-B</x:v>
      </x:c>
      <x:c r="F1598" s="9" t="str">
        <x:v>B2</x:v>
      </x:c>
      <x:c r="G1598" s="9" t="str">
        <x:v>INT</x:v>
      </x:c>
      <x:c r="H1598" s="9" t="str">
        <x:v>OG08</x:v>
      </x:c>
      <x:c r="I1598" s="17" t="str">
        <x:v>Environment and boundary</x:v>
      </x:c>
      <x:c r="J1598" s="17" t="str">
        <x:v>registered weather, water, ground, inlet and outlet states are retained</x:v>
      </x:c>
      <x:c r="K1598" s="17" t="str">
        <x:v>Boundary court</x:v>
      </x:c>
      <x:c r="L1598" s="9" t="n">
        <x:v>0</x:v>
      </x:c>
      <x:c r="M1598" s="9" t="n">
        <x:v>0</x:v>
      </x:c>
      <x:c r="N1598" s="9" t="str">
        <x:v>OPEN / UNACCEPTED</x:v>
      </x:c>
      <x:c r="O1598" s="9" t="n">
        <x:f>COUNTIFS($A$7:$A$1734,A1598)</x:f>
        <x:v>1</x:v>
      </x:c>
    </x:row>
    <x:row r="1599">
      <x:c r="A1599" s="9" t="str">
        <x:v>EV-AR-CT-C-B-TECH-4-B2-INT-G0-OG09</x:v>
      </x:c>
      <x:c r="B1599" s="9" t="str">
        <x:v>EV-AR-CT-C-B-TECH-4-B2-INT-G0</x:v>
      </x:c>
      <x:c r="C1599" s="9" t="str">
        <x:v>AR-CT-C-B-TECH-4-B2-INT-G0</x:v>
      </x:c>
      <x:c r="D1599" s="9" t="str">
        <x:v>CT-C-B-TECH-4</x:v>
      </x:c>
      <x:c r="E1599" s="9" t="str">
        <x:v>CT-C-B</x:v>
      </x:c>
      <x:c r="F1599" s="9" t="str">
        <x:v>B2</x:v>
      </x:c>
      <x:c r="G1599" s="9" t="str">
        <x:v>INT</x:v>
      </x:c>
      <x:c r="H1599" s="9" t="str">
        <x:v>OG09</x:v>
      </x:c>
      <x:c r="I1599" s="17" t="str">
        <x:v>Intervention account</x:v>
      </x:c>
      <x:c r="J1599" s="17" t="str">
        <x:v>all stop, rescue, operator and public-protection actions remain timestamped</x:v>
      </x:c>
      <x:c r="K1599" s="17" t="str">
        <x:v>Safety record court</x:v>
      </x:c>
      <x:c r="L1599" s="9" t="n">
        <x:v>0</x:v>
      </x:c>
      <x:c r="M1599" s="9" t="n">
        <x:v>0</x:v>
      </x:c>
      <x:c r="N1599" s="9" t="str">
        <x:v>OPEN / UNACCEPTED</x:v>
      </x:c>
      <x:c r="O1599" s="9" t="n">
        <x:f>COUNTIFS($A$7:$A$1734,A1599)</x:f>
        <x:v>1</x:v>
      </x:c>
    </x:row>
    <x:row r="1600">
      <x:c r="A1600" s="9" t="str">
        <x:v>EV-AR-CT-C-B-TECH-4-B2-INT-G0-OG10</x:v>
      </x:c>
      <x:c r="B1600" s="9" t="str">
        <x:v>EV-AR-CT-C-B-TECH-4-B2-INT-G0</x:v>
      </x:c>
      <x:c r="C1600" s="9" t="str">
        <x:v>AR-CT-C-B-TECH-4-B2-INT-G0</x:v>
      </x:c>
      <x:c r="D1600" s="9" t="str">
        <x:v>CT-C-B-TECH-4</x:v>
      </x:c>
      <x:c r="E1600" s="9" t="str">
        <x:v>CT-C-B</x:v>
      </x:c>
      <x:c r="F1600" s="9" t="str">
        <x:v>B2</x:v>
      </x:c>
      <x:c r="G1600" s="9" t="str">
        <x:v>INT</x:v>
      </x:c>
      <x:c r="H1600" s="9" t="str">
        <x:v>OG10</x:v>
      </x:c>
      <x:c r="I1600" s="17" t="str">
        <x:v>Uncertainty statement</x:v>
      </x:c>
      <x:c r="J1600" s="17" t="str">
        <x:v>range, censoring, resolution and correlation are declared before judgment</x:v>
      </x:c>
      <x:c r="K1600" s="17" t="str">
        <x:v>Uncertainty authority</x:v>
      </x:c>
      <x:c r="L1600" s="9" t="n">
        <x:v>0</x:v>
      </x:c>
      <x:c r="M1600" s="9" t="n">
        <x:v>0</x:v>
      </x:c>
      <x:c r="N1600" s="9" t="str">
        <x:v>OPEN / UNACCEPTED</x:v>
      </x:c>
      <x:c r="O1600" s="9" t="n">
        <x:f>COUNTIFS($A$7:$A$1734,A1600)</x:f>
        <x:v>1</x:v>
      </x:c>
    </x:row>
    <x:row r="1601">
      <x:c r="A1601" s="9" t="str">
        <x:v>EV-AR-CT-C-B-TECH-4-B2-INT-G0-OG11</x:v>
      </x:c>
      <x:c r="B1601" s="9" t="str">
        <x:v>EV-AR-CT-C-B-TECH-4-B2-INT-G0</x:v>
      </x:c>
      <x:c r="C1601" s="9" t="str">
        <x:v>AR-CT-C-B-TECH-4-B2-INT-G0</x:v>
      </x:c>
      <x:c r="D1601" s="9" t="str">
        <x:v>CT-C-B-TECH-4</x:v>
      </x:c>
      <x:c r="E1601" s="9" t="str">
        <x:v>CT-C-B</x:v>
      </x:c>
      <x:c r="F1601" s="9" t="str">
        <x:v>B2</x:v>
      </x:c>
      <x:c r="G1601" s="9" t="str">
        <x:v>INT</x:v>
      </x:c>
      <x:c r="H1601" s="9" t="str">
        <x:v>OG11</x:v>
      </x:c>
      <x:c r="I1601" s="17" t="str">
        <x:v>Contradiction preservation</x:v>
      </x:c>
      <x:c r="J1601" s="17" t="str">
        <x:v>primary-witness disagreement remains explicit and is never averaged away</x:v>
      </x:c>
      <x:c r="K1601" s="17" t="str">
        <x:v>Dissent registrar</x:v>
      </x:c>
      <x:c r="L1601" s="9" t="n">
        <x:v>0</x:v>
      </x:c>
      <x:c r="M1601" s="9" t="n">
        <x:v>0</x:v>
      </x:c>
      <x:c r="N1601" s="9" t="str">
        <x:v>OPEN / UNACCEPTED</x:v>
      </x:c>
      <x:c r="O1601" s="9" t="n">
        <x:f>COUNTIFS($A$7:$A$1734,A1601)</x:f>
        <x:v>1</x:v>
      </x:c>
    </x:row>
    <x:row r="1602">
      <x:c r="A1602" s="9" t="str">
        <x:v>EV-AR-CT-C-B-TECH-4-B2-INT-G0-OG12</x:v>
      </x:c>
      <x:c r="B1602" s="9" t="str">
        <x:v>EV-AR-CT-C-B-TECH-4-B2-INT-G0</x:v>
      </x:c>
      <x:c r="C1602" s="9" t="str">
        <x:v>AR-CT-C-B-TECH-4-B2-INT-G0</x:v>
      </x:c>
      <x:c r="D1602" s="9" t="str">
        <x:v>CT-C-B-TECH-4</x:v>
      </x:c>
      <x:c r="E1602" s="9" t="str">
        <x:v>CT-C-B</x:v>
      </x:c>
      <x:c r="F1602" s="9" t="str">
        <x:v>B2</x:v>
      </x:c>
      <x:c r="G1602" s="9" t="str">
        <x:v>INT</x:v>
      </x:c>
      <x:c r="H1602" s="9" t="str">
        <x:v>OG12</x:v>
      </x:c>
      <x:c r="I1602" s="17" t="str">
        <x:v>Independent replay</x:v>
      </x:c>
      <x:c r="J1602" s="17" t="str">
        <x:v>a separated reader reconstructs the registered observables from sealed originals</x:v>
      </x:c>
      <x:c r="K1602" s="17" t="str">
        <x:v>Replay court</x:v>
      </x:c>
      <x:c r="L1602" s="9" t="n">
        <x:v>0</x:v>
      </x:c>
      <x:c r="M1602" s="9" t="n">
        <x:v>0</x:v>
      </x:c>
      <x:c r="N1602" s="9" t="str">
        <x:v>OPEN / UNACCEPTED</x:v>
      </x:c>
      <x:c r="O1602" s="9" t="n">
        <x:f>COUNTIFS($A$7:$A$1734,A1602)</x:f>
        <x:v>1</x:v>
      </x:c>
    </x:row>
    <x:row r="1603">
      <x:c r="A1603" s="9" t="str">
        <x:v>EV-AR-HC-A-C-TECH-3-B2-INT-G0-OG01</x:v>
      </x:c>
      <x:c r="B1603" s="9" t="str">
        <x:v>EV-AR-HC-A-C-TECH-3-B2-INT-G0</x:v>
      </x:c>
      <x:c r="C1603" s="9" t="str">
        <x:v>AR-HC-A-C-TECH-3-B2-INT-G0</x:v>
      </x:c>
      <x:c r="D1603" s="9" t="str">
        <x:v>HC-A-C-TECH-3</x:v>
      </x:c>
      <x:c r="E1603" s="9" t="str">
        <x:v>HC-A-C</x:v>
      </x:c>
      <x:c r="F1603" s="9" t="str">
        <x:v>B2</x:v>
      </x:c>
      <x:c r="G1603" s="9" t="str">
        <x:v>INT</x:v>
      </x:c>
      <x:c r="H1603" s="9" t="str">
        <x:v>OG01</x:v>
      </x:c>
      <x:c r="I1603" s="17" t="str">
        <x:v>Serial and event identity</x:v>
      </x:c>
      <x:c r="J1603" s="17" t="str">
        <x:v>record resolves to the issued serial, generation and physical start</x:v>
      </x:c>
      <x:c r="K1603" s="17" t="str">
        <x:v>Observation court</x:v>
      </x:c>
      <x:c r="L1603" s="9" t="n">
        <x:v>0</x:v>
      </x:c>
      <x:c r="M1603" s="9" t="n">
        <x:v>0</x:v>
      </x:c>
      <x:c r="N1603" s="9" t="str">
        <x:v>OPEN / UNACCEPTED</x:v>
      </x:c>
      <x:c r="O1603" s="9" t="n">
        <x:f>COUNTIFS($A$7:$A$1734,A1603)</x:f>
        <x:v>1</x:v>
      </x:c>
    </x:row>
    <x:row r="1604">
      <x:c r="A1604" s="9" t="str">
        <x:v>EV-AR-HC-A-C-TECH-3-B2-INT-G0-OG02</x:v>
      </x:c>
      <x:c r="B1604" s="9" t="str">
        <x:v>EV-AR-HC-A-C-TECH-3-B2-INT-G0</x:v>
      </x:c>
      <x:c r="C1604" s="9" t="str">
        <x:v>AR-HC-A-C-TECH-3-B2-INT-G0</x:v>
      </x:c>
      <x:c r="D1604" s="9" t="str">
        <x:v>HC-A-C-TECH-3</x:v>
      </x:c>
      <x:c r="E1604" s="9" t="str">
        <x:v>HC-A-C</x:v>
      </x:c>
      <x:c r="F1604" s="9" t="str">
        <x:v>B2</x:v>
      </x:c>
      <x:c r="G1604" s="9" t="str">
        <x:v>INT</x:v>
      </x:c>
      <x:c r="H1604" s="9" t="str">
        <x:v>OG02</x:v>
      </x:c>
      <x:c r="I1604" s="17" t="str">
        <x:v>Time ancestry</x:v>
      </x:c>
      <x:c r="J1604" s="17" t="str">
        <x:v>primary, witness and public event clocks retain declared offsets and drift</x:v>
      </x:c>
      <x:c r="K1604" s="17" t="str">
        <x:v>Time authority</x:v>
      </x:c>
      <x:c r="L1604" s="9" t="n">
        <x:v>0</x:v>
      </x:c>
      <x:c r="M1604" s="9" t="n">
        <x:v>0</x:v>
      </x:c>
      <x:c r="N1604" s="9" t="str">
        <x:v>OPEN / UNACCEPTED</x:v>
      </x:c>
      <x:c r="O1604" s="9" t="n">
        <x:f>COUNTIFS($A$7:$A$1734,A1604)</x:f>
        <x:v>1</x:v>
      </x:c>
    </x:row>
    <x:row r="1605">
      <x:c r="A1605" s="9" t="str">
        <x:v>EV-AR-HC-A-C-TECH-3-B2-INT-G0-OG03</x:v>
      </x:c>
      <x:c r="B1605" s="9" t="str">
        <x:v>EV-AR-HC-A-C-TECH-3-B2-INT-G0</x:v>
      </x:c>
      <x:c r="C1605" s="9" t="str">
        <x:v>AR-HC-A-C-TECH-3-B2-INT-G0</x:v>
      </x:c>
      <x:c r="D1605" s="9" t="str">
        <x:v>HC-A-C-TECH-3</x:v>
      </x:c>
      <x:c r="E1605" s="9" t="str">
        <x:v>HC-A-C</x:v>
      </x:c>
      <x:c r="F1605" s="9" t="str">
        <x:v>B2</x:v>
      </x:c>
      <x:c r="G1605" s="9" t="str">
        <x:v>INT</x:v>
      </x:c>
      <x:c r="H1605" s="9" t="str">
        <x:v>OG03</x:v>
      </x:c>
      <x:c r="I1605" s="17" t="str">
        <x:v>Calibration ancestry</x:v>
      </x:c>
      <x:c r="J1605" s="17" t="str">
        <x:v>all reference, range and uncertainty states cover the live interval</x:v>
      </x:c>
      <x:c r="K1605" s="17" t="str">
        <x:v>Metrology courts</x:v>
      </x:c>
      <x:c r="L1605" s="9" t="n">
        <x:v>0</x:v>
      </x:c>
      <x:c r="M1605" s="9" t="n">
        <x:v>0</x:v>
      </x:c>
      <x:c r="N1605" s="9" t="str">
        <x:v>OPEN / UNACCEPTED</x:v>
      </x:c>
      <x:c r="O1605" s="9" t="n">
        <x:f>COUNTIFS($A$7:$A$1734,A1605)</x:f>
        <x:v>1</x:v>
      </x:c>
    </x:row>
    <x:row r="1606">
      <x:c r="A1606" s="9" t="str">
        <x:v>EV-AR-HC-A-C-TECH-3-B2-INT-G0-OG04</x:v>
      </x:c>
      <x:c r="B1606" s="9" t="str">
        <x:v>EV-AR-HC-A-C-TECH-3-B2-INT-G0</x:v>
      </x:c>
      <x:c r="C1606" s="9" t="str">
        <x:v>AR-HC-A-C-TECH-3-B2-INT-G0</x:v>
      </x:c>
      <x:c r="D1606" s="9" t="str">
        <x:v>HC-A-C-TECH-3</x:v>
      </x:c>
      <x:c r="E1606" s="9" t="str">
        <x:v>HC-A-C</x:v>
      </x:c>
      <x:c r="F1606" s="9" t="str">
        <x:v>B2</x:v>
      </x:c>
      <x:c r="G1606" s="9" t="str">
        <x:v>INT</x:v>
      </x:c>
      <x:c r="H1606" s="9" t="str">
        <x:v>OG04</x:v>
      </x:c>
      <x:c r="I1606" s="17" t="str">
        <x:v>Raw completeness</x:v>
      </x:c>
      <x:c r="J1606" s="17" t="str">
        <x:v>missingness is enumerated without imputation or outcome-conditioned deletion</x:v>
      </x:c>
      <x:c r="K1606" s="17" t="str">
        <x:v>Observation court</x:v>
      </x:c>
      <x:c r="L1606" s="9" t="n">
        <x:v>0</x:v>
      </x:c>
      <x:c r="M1606" s="9" t="n">
        <x:v>0</x:v>
      </x:c>
      <x:c r="N1606" s="9" t="str">
        <x:v>OPEN / UNACCEPTED</x:v>
      </x:c>
      <x:c r="O1606" s="9" t="n">
        <x:f>COUNTIFS($A$7:$A$1734,A1606)</x:f>
        <x:v>1</x:v>
      </x:c>
    </x:row>
    <x:row r="1607">
      <x:c r="A1607" s="9" t="str">
        <x:v>EV-AR-HC-A-C-TECH-3-B2-INT-G0-OG05</x:v>
      </x:c>
      <x:c r="B1607" s="9" t="str">
        <x:v>EV-AR-HC-A-C-TECH-3-B2-INT-G0</x:v>
      </x:c>
      <x:c r="C1607" s="9" t="str">
        <x:v>AR-HC-A-C-TECH-3-B2-INT-G0</x:v>
      </x:c>
      <x:c r="D1607" s="9" t="str">
        <x:v>HC-A-C-TECH-3</x:v>
      </x:c>
      <x:c r="E1607" s="9" t="str">
        <x:v>HC-A-C</x:v>
      </x:c>
      <x:c r="F1607" s="9" t="str">
        <x:v>B2</x:v>
      </x:c>
      <x:c r="G1607" s="9" t="str">
        <x:v>INT</x:v>
      </x:c>
      <x:c r="H1607" s="9" t="str">
        <x:v>OG05</x:v>
      </x:c>
      <x:c r="I1607" s="17" t="str">
        <x:v>Primary provenance</x:v>
      </x:c>
      <x:c r="J1607" s="17" t="str">
        <x:v>primary originals, hashes, keys and access history reconcile</x:v>
      </x:c>
      <x:c r="K1607" s="17" t="str">
        <x:v>Primary custody</x:v>
      </x:c>
      <x:c r="L1607" s="9" t="n">
        <x:v>0</x:v>
      </x:c>
      <x:c r="M1607" s="9" t="n">
        <x:v>0</x:v>
      </x:c>
      <x:c r="N1607" s="9" t="str">
        <x:v>OPEN / UNACCEPTED</x:v>
      </x:c>
      <x:c r="O1607" s="9" t="n">
        <x:f>COUNTIFS($A$7:$A$1734,A1607)</x:f>
        <x:v>1</x:v>
      </x:c>
    </x:row>
    <x:row r="1608">
      <x:c r="A1608" s="9" t="str">
        <x:v>EV-AR-HC-A-C-TECH-3-B2-INT-G0-OG06</x:v>
      </x:c>
      <x:c r="B1608" s="9" t="str">
        <x:v>EV-AR-HC-A-C-TECH-3-B2-INT-G0</x:v>
      </x:c>
      <x:c r="C1608" s="9" t="str">
        <x:v>AR-HC-A-C-TECH-3-B2-INT-G0</x:v>
      </x:c>
      <x:c r="D1608" s="9" t="str">
        <x:v>HC-A-C-TECH-3</x:v>
      </x:c>
      <x:c r="E1608" s="9" t="str">
        <x:v>HC-A-C</x:v>
      </x:c>
      <x:c r="F1608" s="9" t="str">
        <x:v>B2</x:v>
      </x:c>
      <x:c r="G1608" s="9" t="str">
        <x:v>INT</x:v>
      </x:c>
      <x:c r="H1608" s="9" t="str">
        <x:v>OG06</x:v>
      </x:c>
      <x:c r="I1608" s="17" t="str">
        <x:v>Witness provenance</x:v>
      </x:c>
      <x:c r="J1608" s="17" t="str">
        <x:v>unlike witness originals, hashes, keys and access history reconcile</x:v>
      </x:c>
      <x:c r="K1608" s="17" t="str">
        <x:v>Witness custody</x:v>
      </x:c>
      <x:c r="L1608" s="9" t="n">
        <x:v>0</x:v>
      </x:c>
      <x:c r="M1608" s="9" t="n">
        <x:v>0</x:v>
      </x:c>
      <x:c r="N1608" s="9" t="str">
        <x:v>OPEN / UNACCEPTED</x:v>
      </x:c>
      <x:c r="O1608" s="9" t="n">
        <x:f>COUNTIFS($A$7:$A$1734,A1608)</x:f>
        <x:v>1</x:v>
      </x:c>
    </x:row>
    <x:row r="1609">
      <x:c r="A1609" s="9" t="str">
        <x:v>EV-AR-HC-A-C-TECH-3-B2-INT-G0-OG07</x:v>
      </x:c>
      <x:c r="B1609" s="9" t="str">
        <x:v>EV-AR-HC-A-C-TECH-3-B2-INT-G0</x:v>
      </x:c>
      <x:c r="C1609" s="9" t="str">
        <x:v>AR-HC-A-C-TECH-3-B2-INT-G0</x:v>
      </x:c>
      <x:c r="D1609" s="9" t="str">
        <x:v>HC-A-C-TECH-3</x:v>
      </x:c>
      <x:c r="E1609" s="9" t="str">
        <x:v>HC-A-C</x:v>
      </x:c>
      <x:c r="F1609" s="9" t="str">
        <x:v>B2</x:v>
      </x:c>
      <x:c r="G1609" s="9" t="str">
        <x:v>INT</x:v>
      </x:c>
      <x:c r="H1609" s="9" t="str">
        <x:v>OG07</x:v>
      </x:c>
      <x:c r="I1609" s="17" t="str">
        <x:v>Receiver denominator</x:v>
      </x:c>
      <x:c r="J1609" s="17" t="str">
        <x:v>population, quantity, duration and exclusions match the frozen receipt</x:v>
      </x:c>
      <x:c r="K1609" s="17" t="str">
        <x:v>Receiver court</x:v>
      </x:c>
      <x:c r="L1609" s="9" t="n">
        <x:v>0</x:v>
      </x:c>
      <x:c r="M1609" s="9" t="n">
        <x:v>0</x:v>
      </x:c>
      <x:c r="N1609" s="9" t="str">
        <x:v>OPEN / UNACCEPTED</x:v>
      </x:c>
      <x:c r="O1609" s="9" t="n">
        <x:f>COUNTIFS($A$7:$A$1734,A1609)</x:f>
        <x:v>1</x:v>
      </x:c>
    </x:row>
    <x:row r="1610">
      <x:c r="A1610" s="9" t="str">
        <x:v>EV-AR-HC-A-C-TECH-3-B2-INT-G0-OG08</x:v>
      </x:c>
      <x:c r="B1610" s="9" t="str">
        <x:v>EV-AR-HC-A-C-TECH-3-B2-INT-G0</x:v>
      </x:c>
      <x:c r="C1610" s="9" t="str">
        <x:v>AR-HC-A-C-TECH-3-B2-INT-G0</x:v>
      </x:c>
      <x:c r="D1610" s="9" t="str">
        <x:v>HC-A-C-TECH-3</x:v>
      </x:c>
      <x:c r="E1610" s="9" t="str">
        <x:v>HC-A-C</x:v>
      </x:c>
      <x:c r="F1610" s="9" t="str">
        <x:v>B2</x:v>
      </x:c>
      <x:c r="G1610" s="9" t="str">
        <x:v>INT</x:v>
      </x:c>
      <x:c r="H1610" s="9" t="str">
        <x:v>OG08</x:v>
      </x:c>
      <x:c r="I1610" s="17" t="str">
        <x:v>Environment and boundary</x:v>
      </x:c>
      <x:c r="J1610" s="17" t="str">
        <x:v>registered weather, water, ground, inlet and outlet states are retained</x:v>
      </x:c>
      <x:c r="K1610" s="17" t="str">
        <x:v>Boundary court</x:v>
      </x:c>
      <x:c r="L1610" s="9" t="n">
        <x:v>0</x:v>
      </x:c>
      <x:c r="M1610" s="9" t="n">
        <x:v>0</x:v>
      </x:c>
      <x:c r="N1610" s="9" t="str">
        <x:v>OPEN / UNACCEPTED</x:v>
      </x:c>
      <x:c r="O1610" s="9" t="n">
        <x:f>COUNTIFS($A$7:$A$1734,A1610)</x:f>
        <x:v>1</x:v>
      </x:c>
    </x:row>
    <x:row r="1611">
      <x:c r="A1611" s="9" t="str">
        <x:v>EV-AR-HC-A-C-TECH-3-B2-INT-G0-OG09</x:v>
      </x:c>
      <x:c r="B1611" s="9" t="str">
        <x:v>EV-AR-HC-A-C-TECH-3-B2-INT-G0</x:v>
      </x:c>
      <x:c r="C1611" s="9" t="str">
        <x:v>AR-HC-A-C-TECH-3-B2-INT-G0</x:v>
      </x:c>
      <x:c r="D1611" s="9" t="str">
        <x:v>HC-A-C-TECH-3</x:v>
      </x:c>
      <x:c r="E1611" s="9" t="str">
        <x:v>HC-A-C</x:v>
      </x:c>
      <x:c r="F1611" s="9" t="str">
        <x:v>B2</x:v>
      </x:c>
      <x:c r="G1611" s="9" t="str">
        <x:v>INT</x:v>
      </x:c>
      <x:c r="H1611" s="9" t="str">
        <x:v>OG09</x:v>
      </x:c>
      <x:c r="I1611" s="17" t="str">
        <x:v>Intervention account</x:v>
      </x:c>
      <x:c r="J1611" s="17" t="str">
        <x:v>all stop, rescue, operator and public-protection actions remain timestamped</x:v>
      </x:c>
      <x:c r="K1611" s="17" t="str">
        <x:v>Safety record court</x:v>
      </x:c>
      <x:c r="L1611" s="9" t="n">
        <x:v>0</x:v>
      </x:c>
      <x:c r="M1611" s="9" t="n">
        <x:v>0</x:v>
      </x:c>
      <x:c r="N1611" s="9" t="str">
        <x:v>OPEN / UNACCEPTED</x:v>
      </x:c>
      <x:c r="O1611" s="9" t="n">
        <x:f>COUNTIFS($A$7:$A$1734,A1611)</x:f>
        <x:v>1</x:v>
      </x:c>
    </x:row>
    <x:row r="1612">
      <x:c r="A1612" s="9" t="str">
        <x:v>EV-AR-HC-A-C-TECH-3-B2-INT-G0-OG10</x:v>
      </x:c>
      <x:c r="B1612" s="9" t="str">
        <x:v>EV-AR-HC-A-C-TECH-3-B2-INT-G0</x:v>
      </x:c>
      <x:c r="C1612" s="9" t="str">
        <x:v>AR-HC-A-C-TECH-3-B2-INT-G0</x:v>
      </x:c>
      <x:c r="D1612" s="9" t="str">
        <x:v>HC-A-C-TECH-3</x:v>
      </x:c>
      <x:c r="E1612" s="9" t="str">
        <x:v>HC-A-C</x:v>
      </x:c>
      <x:c r="F1612" s="9" t="str">
        <x:v>B2</x:v>
      </x:c>
      <x:c r="G1612" s="9" t="str">
        <x:v>INT</x:v>
      </x:c>
      <x:c r="H1612" s="9" t="str">
        <x:v>OG10</x:v>
      </x:c>
      <x:c r="I1612" s="17" t="str">
        <x:v>Uncertainty statement</x:v>
      </x:c>
      <x:c r="J1612" s="17" t="str">
        <x:v>range, censoring, resolution and correlation are declared before judgment</x:v>
      </x:c>
      <x:c r="K1612" s="17" t="str">
        <x:v>Uncertainty authority</x:v>
      </x:c>
      <x:c r="L1612" s="9" t="n">
        <x:v>0</x:v>
      </x:c>
      <x:c r="M1612" s="9" t="n">
        <x:v>0</x:v>
      </x:c>
      <x:c r="N1612" s="9" t="str">
        <x:v>OPEN / UNACCEPTED</x:v>
      </x:c>
      <x:c r="O1612" s="9" t="n">
        <x:f>COUNTIFS($A$7:$A$1734,A1612)</x:f>
        <x:v>1</x:v>
      </x:c>
    </x:row>
    <x:row r="1613">
      <x:c r="A1613" s="9" t="str">
        <x:v>EV-AR-HC-A-C-TECH-3-B2-INT-G0-OG11</x:v>
      </x:c>
      <x:c r="B1613" s="9" t="str">
        <x:v>EV-AR-HC-A-C-TECH-3-B2-INT-G0</x:v>
      </x:c>
      <x:c r="C1613" s="9" t="str">
        <x:v>AR-HC-A-C-TECH-3-B2-INT-G0</x:v>
      </x:c>
      <x:c r="D1613" s="9" t="str">
        <x:v>HC-A-C-TECH-3</x:v>
      </x:c>
      <x:c r="E1613" s="9" t="str">
        <x:v>HC-A-C</x:v>
      </x:c>
      <x:c r="F1613" s="9" t="str">
        <x:v>B2</x:v>
      </x:c>
      <x:c r="G1613" s="9" t="str">
        <x:v>INT</x:v>
      </x:c>
      <x:c r="H1613" s="9" t="str">
        <x:v>OG11</x:v>
      </x:c>
      <x:c r="I1613" s="17" t="str">
        <x:v>Contradiction preservation</x:v>
      </x:c>
      <x:c r="J1613" s="17" t="str">
        <x:v>primary-witness disagreement remains explicit and is never averaged away</x:v>
      </x:c>
      <x:c r="K1613" s="17" t="str">
        <x:v>Dissent registrar</x:v>
      </x:c>
      <x:c r="L1613" s="9" t="n">
        <x:v>0</x:v>
      </x:c>
      <x:c r="M1613" s="9" t="n">
        <x:v>0</x:v>
      </x:c>
      <x:c r="N1613" s="9" t="str">
        <x:v>OPEN / UNACCEPTED</x:v>
      </x:c>
      <x:c r="O1613" s="9" t="n">
        <x:f>COUNTIFS($A$7:$A$1734,A1613)</x:f>
        <x:v>1</x:v>
      </x:c>
    </x:row>
    <x:row r="1614">
      <x:c r="A1614" s="9" t="str">
        <x:v>EV-AR-HC-A-C-TECH-3-B2-INT-G0-OG12</x:v>
      </x:c>
      <x:c r="B1614" s="9" t="str">
        <x:v>EV-AR-HC-A-C-TECH-3-B2-INT-G0</x:v>
      </x:c>
      <x:c r="C1614" s="9" t="str">
        <x:v>AR-HC-A-C-TECH-3-B2-INT-G0</x:v>
      </x:c>
      <x:c r="D1614" s="9" t="str">
        <x:v>HC-A-C-TECH-3</x:v>
      </x:c>
      <x:c r="E1614" s="9" t="str">
        <x:v>HC-A-C</x:v>
      </x:c>
      <x:c r="F1614" s="9" t="str">
        <x:v>B2</x:v>
      </x:c>
      <x:c r="G1614" s="9" t="str">
        <x:v>INT</x:v>
      </x:c>
      <x:c r="H1614" s="9" t="str">
        <x:v>OG12</x:v>
      </x:c>
      <x:c r="I1614" s="17" t="str">
        <x:v>Independent replay</x:v>
      </x:c>
      <x:c r="J1614" s="17" t="str">
        <x:v>a separated reader reconstructs the registered observables from sealed originals</x:v>
      </x:c>
      <x:c r="K1614" s="17" t="str">
        <x:v>Replay court</x:v>
      </x:c>
      <x:c r="L1614" s="9" t="n">
        <x:v>0</x:v>
      </x:c>
      <x:c r="M1614" s="9" t="n">
        <x:v>0</x:v>
      </x:c>
      <x:c r="N1614" s="9" t="str">
        <x:v>OPEN / UNACCEPTED</x:v>
      </x:c>
      <x:c r="O1614" s="9" t="n">
        <x:f>COUNTIFS($A$7:$A$1734,A1614)</x:f>
        <x:v>1</x:v>
      </x:c>
    </x:row>
    <x:row r="1615">
      <x:c r="A1615" s="9" t="str">
        <x:v>EV-AR-HU-A-B-TECH-3-B2-RCN-G0-OG01</x:v>
      </x:c>
      <x:c r="B1615" s="9" t="str">
        <x:v>EV-AR-HU-A-B-TECH-3-B2-RCN-G0</x:v>
      </x:c>
      <x:c r="C1615" s="9" t="str">
        <x:v>AR-HU-A-B-TECH-3-B2-RCN-G0</x:v>
      </x:c>
      <x:c r="D1615" s="9" t="str">
        <x:v>HU-A-B-TECH-3</x:v>
      </x:c>
      <x:c r="E1615" s="9" t="str">
        <x:v>HU-A-B</x:v>
      </x:c>
      <x:c r="F1615" s="9" t="str">
        <x:v>B2</x:v>
      </x:c>
      <x:c r="G1615" s="9" t="str">
        <x:v>RCN</x:v>
      </x:c>
      <x:c r="H1615" s="9" t="str">
        <x:v>OG01</x:v>
      </x:c>
      <x:c r="I1615" s="17" t="str">
        <x:v>Serial and event identity</x:v>
      </x:c>
      <x:c r="J1615" s="17" t="str">
        <x:v>record resolves to the issued serial, generation and physical start</x:v>
      </x:c>
      <x:c r="K1615" s="17" t="str">
        <x:v>Observation court</x:v>
      </x:c>
      <x:c r="L1615" s="9" t="n">
        <x:v>0</x:v>
      </x:c>
      <x:c r="M1615" s="9" t="n">
        <x:v>0</x:v>
      </x:c>
      <x:c r="N1615" s="9" t="str">
        <x:v>OPEN / UNACCEPTED</x:v>
      </x:c>
      <x:c r="O1615" s="9" t="n">
        <x:f>COUNTIFS($A$7:$A$1734,A1615)</x:f>
        <x:v>1</x:v>
      </x:c>
    </x:row>
    <x:row r="1616">
      <x:c r="A1616" s="9" t="str">
        <x:v>EV-AR-HU-A-B-TECH-3-B2-RCN-G0-OG02</x:v>
      </x:c>
      <x:c r="B1616" s="9" t="str">
        <x:v>EV-AR-HU-A-B-TECH-3-B2-RCN-G0</x:v>
      </x:c>
      <x:c r="C1616" s="9" t="str">
        <x:v>AR-HU-A-B-TECH-3-B2-RCN-G0</x:v>
      </x:c>
      <x:c r="D1616" s="9" t="str">
        <x:v>HU-A-B-TECH-3</x:v>
      </x:c>
      <x:c r="E1616" s="9" t="str">
        <x:v>HU-A-B</x:v>
      </x:c>
      <x:c r="F1616" s="9" t="str">
        <x:v>B2</x:v>
      </x:c>
      <x:c r="G1616" s="9" t="str">
        <x:v>RCN</x:v>
      </x:c>
      <x:c r="H1616" s="9" t="str">
        <x:v>OG02</x:v>
      </x:c>
      <x:c r="I1616" s="17" t="str">
        <x:v>Time ancestry</x:v>
      </x:c>
      <x:c r="J1616" s="17" t="str">
        <x:v>primary, witness and public event clocks retain declared offsets and drift</x:v>
      </x:c>
      <x:c r="K1616" s="17" t="str">
        <x:v>Time authority</x:v>
      </x:c>
      <x:c r="L1616" s="9" t="n">
        <x:v>0</x:v>
      </x:c>
      <x:c r="M1616" s="9" t="n">
        <x:v>0</x:v>
      </x:c>
      <x:c r="N1616" s="9" t="str">
        <x:v>OPEN / UNACCEPTED</x:v>
      </x:c>
      <x:c r="O1616" s="9" t="n">
        <x:f>COUNTIFS($A$7:$A$1734,A1616)</x:f>
        <x:v>1</x:v>
      </x:c>
    </x:row>
    <x:row r="1617">
      <x:c r="A1617" s="9" t="str">
        <x:v>EV-AR-HU-A-B-TECH-3-B2-RCN-G0-OG03</x:v>
      </x:c>
      <x:c r="B1617" s="9" t="str">
        <x:v>EV-AR-HU-A-B-TECH-3-B2-RCN-G0</x:v>
      </x:c>
      <x:c r="C1617" s="9" t="str">
        <x:v>AR-HU-A-B-TECH-3-B2-RCN-G0</x:v>
      </x:c>
      <x:c r="D1617" s="9" t="str">
        <x:v>HU-A-B-TECH-3</x:v>
      </x:c>
      <x:c r="E1617" s="9" t="str">
        <x:v>HU-A-B</x:v>
      </x:c>
      <x:c r="F1617" s="9" t="str">
        <x:v>B2</x:v>
      </x:c>
      <x:c r="G1617" s="9" t="str">
        <x:v>RCN</x:v>
      </x:c>
      <x:c r="H1617" s="9" t="str">
        <x:v>OG03</x:v>
      </x:c>
      <x:c r="I1617" s="17" t="str">
        <x:v>Calibration ancestry</x:v>
      </x:c>
      <x:c r="J1617" s="17" t="str">
        <x:v>all reference, range and uncertainty states cover the live interval</x:v>
      </x:c>
      <x:c r="K1617" s="17" t="str">
        <x:v>Metrology courts</x:v>
      </x:c>
      <x:c r="L1617" s="9" t="n">
        <x:v>0</x:v>
      </x:c>
      <x:c r="M1617" s="9" t="n">
        <x:v>0</x:v>
      </x:c>
      <x:c r="N1617" s="9" t="str">
        <x:v>OPEN / UNACCEPTED</x:v>
      </x:c>
      <x:c r="O1617" s="9" t="n">
        <x:f>COUNTIFS($A$7:$A$1734,A1617)</x:f>
        <x:v>1</x:v>
      </x:c>
    </x:row>
    <x:row r="1618">
      <x:c r="A1618" s="9" t="str">
        <x:v>EV-AR-HU-A-B-TECH-3-B2-RCN-G0-OG04</x:v>
      </x:c>
      <x:c r="B1618" s="9" t="str">
        <x:v>EV-AR-HU-A-B-TECH-3-B2-RCN-G0</x:v>
      </x:c>
      <x:c r="C1618" s="9" t="str">
        <x:v>AR-HU-A-B-TECH-3-B2-RCN-G0</x:v>
      </x:c>
      <x:c r="D1618" s="9" t="str">
        <x:v>HU-A-B-TECH-3</x:v>
      </x:c>
      <x:c r="E1618" s="9" t="str">
        <x:v>HU-A-B</x:v>
      </x:c>
      <x:c r="F1618" s="9" t="str">
        <x:v>B2</x:v>
      </x:c>
      <x:c r="G1618" s="9" t="str">
        <x:v>RCN</x:v>
      </x:c>
      <x:c r="H1618" s="9" t="str">
        <x:v>OG04</x:v>
      </x:c>
      <x:c r="I1618" s="17" t="str">
        <x:v>Raw completeness</x:v>
      </x:c>
      <x:c r="J1618" s="17" t="str">
        <x:v>missingness is enumerated without imputation or outcome-conditioned deletion</x:v>
      </x:c>
      <x:c r="K1618" s="17" t="str">
        <x:v>Observation court</x:v>
      </x:c>
      <x:c r="L1618" s="9" t="n">
        <x:v>0</x:v>
      </x:c>
      <x:c r="M1618" s="9" t="n">
        <x:v>0</x:v>
      </x:c>
      <x:c r="N1618" s="9" t="str">
        <x:v>OPEN / UNACCEPTED</x:v>
      </x:c>
      <x:c r="O1618" s="9" t="n">
        <x:f>COUNTIFS($A$7:$A$1734,A1618)</x:f>
        <x:v>1</x:v>
      </x:c>
    </x:row>
    <x:row r="1619">
      <x:c r="A1619" s="9" t="str">
        <x:v>EV-AR-HU-A-B-TECH-3-B2-RCN-G0-OG05</x:v>
      </x:c>
      <x:c r="B1619" s="9" t="str">
        <x:v>EV-AR-HU-A-B-TECH-3-B2-RCN-G0</x:v>
      </x:c>
      <x:c r="C1619" s="9" t="str">
        <x:v>AR-HU-A-B-TECH-3-B2-RCN-G0</x:v>
      </x:c>
      <x:c r="D1619" s="9" t="str">
        <x:v>HU-A-B-TECH-3</x:v>
      </x:c>
      <x:c r="E1619" s="9" t="str">
        <x:v>HU-A-B</x:v>
      </x:c>
      <x:c r="F1619" s="9" t="str">
        <x:v>B2</x:v>
      </x:c>
      <x:c r="G1619" s="9" t="str">
        <x:v>RCN</x:v>
      </x:c>
      <x:c r="H1619" s="9" t="str">
        <x:v>OG05</x:v>
      </x:c>
      <x:c r="I1619" s="17" t="str">
        <x:v>Primary provenance</x:v>
      </x:c>
      <x:c r="J1619" s="17" t="str">
        <x:v>primary originals, hashes, keys and access history reconcile</x:v>
      </x:c>
      <x:c r="K1619" s="17" t="str">
        <x:v>Primary custody</x:v>
      </x:c>
      <x:c r="L1619" s="9" t="n">
        <x:v>0</x:v>
      </x:c>
      <x:c r="M1619" s="9" t="n">
        <x:v>0</x:v>
      </x:c>
      <x:c r="N1619" s="9" t="str">
        <x:v>OPEN / UNACCEPTED</x:v>
      </x:c>
      <x:c r="O1619" s="9" t="n">
        <x:f>COUNTIFS($A$7:$A$1734,A1619)</x:f>
        <x:v>1</x:v>
      </x:c>
    </x:row>
    <x:row r="1620">
      <x:c r="A1620" s="9" t="str">
        <x:v>EV-AR-HU-A-B-TECH-3-B2-RCN-G0-OG06</x:v>
      </x:c>
      <x:c r="B1620" s="9" t="str">
        <x:v>EV-AR-HU-A-B-TECH-3-B2-RCN-G0</x:v>
      </x:c>
      <x:c r="C1620" s="9" t="str">
        <x:v>AR-HU-A-B-TECH-3-B2-RCN-G0</x:v>
      </x:c>
      <x:c r="D1620" s="9" t="str">
        <x:v>HU-A-B-TECH-3</x:v>
      </x:c>
      <x:c r="E1620" s="9" t="str">
        <x:v>HU-A-B</x:v>
      </x:c>
      <x:c r="F1620" s="9" t="str">
        <x:v>B2</x:v>
      </x:c>
      <x:c r="G1620" s="9" t="str">
        <x:v>RCN</x:v>
      </x:c>
      <x:c r="H1620" s="9" t="str">
        <x:v>OG06</x:v>
      </x:c>
      <x:c r="I1620" s="17" t="str">
        <x:v>Witness provenance</x:v>
      </x:c>
      <x:c r="J1620" s="17" t="str">
        <x:v>unlike witness originals, hashes, keys and access history reconcile</x:v>
      </x:c>
      <x:c r="K1620" s="17" t="str">
        <x:v>Witness custody</x:v>
      </x:c>
      <x:c r="L1620" s="9" t="n">
        <x:v>0</x:v>
      </x:c>
      <x:c r="M1620" s="9" t="n">
        <x:v>0</x:v>
      </x:c>
      <x:c r="N1620" s="9" t="str">
        <x:v>OPEN / UNACCEPTED</x:v>
      </x:c>
      <x:c r="O1620" s="9" t="n">
        <x:f>COUNTIFS($A$7:$A$1734,A1620)</x:f>
        <x:v>1</x:v>
      </x:c>
    </x:row>
    <x:row r="1621">
      <x:c r="A1621" s="9" t="str">
        <x:v>EV-AR-HU-A-B-TECH-3-B2-RCN-G0-OG07</x:v>
      </x:c>
      <x:c r="B1621" s="9" t="str">
        <x:v>EV-AR-HU-A-B-TECH-3-B2-RCN-G0</x:v>
      </x:c>
      <x:c r="C1621" s="9" t="str">
        <x:v>AR-HU-A-B-TECH-3-B2-RCN-G0</x:v>
      </x:c>
      <x:c r="D1621" s="9" t="str">
        <x:v>HU-A-B-TECH-3</x:v>
      </x:c>
      <x:c r="E1621" s="9" t="str">
        <x:v>HU-A-B</x:v>
      </x:c>
      <x:c r="F1621" s="9" t="str">
        <x:v>B2</x:v>
      </x:c>
      <x:c r="G1621" s="9" t="str">
        <x:v>RCN</x:v>
      </x:c>
      <x:c r="H1621" s="9" t="str">
        <x:v>OG07</x:v>
      </x:c>
      <x:c r="I1621" s="17" t="str">
        <x:v>Receiver denominator</x:v>
      </x:c>
      <x:c r="J1621" s="17" t="str">
        <x:v>population, quantity, duration and exclusions match the frozen receipt</x:v>
      </x:c>
      <x:c r="K1621" s="17" t="str">
        <x:v>Receiver court</x:v>
      </x:c>
      <x:c r="L1621" s="9" t="n">
        <x:v>0</x:v>
      </x:c>
      <x:c r="M1621" s="9" t="n">
        <x:v>0</x:v>
      </x:c>
      <x:c r="N1621" s="9" t="str">
        <x:v>OPEN / UNACCEPTED</x:v>
      </x:c>
      <x:c r="O1621" s="9" t="n">
        <x:f>COUNTIFS($A$7:$A$1734,A1621)</x:f>
        <x:v>1</x:v>
      </x:c>
    </x:row>
    <x:row r="1622">
      <x:c r="A1622" s="9" t="str">
        <x:v>EV-AR-HU-A-B-TECH-3-B2-RCN-G0-OG08</x:v>
      </x:c>
      <x:c r="B1622" s="9" t="str">
        <x:v>EV-AR-HU-A-B-TECH-3-B2-RCN-G0</x:v>
      </x:c>
      <x:c r="C1622" s="9" t="str">
        <x:v>AR-HU-A-B-TECH-3-B2-RCN-G0</x:v>
      </x:c>
      <x:c r="D1622" s="9" t="str">
        <x:v>HU-A-B-TECH-3</x:v>
      </x:c>
      <x:c r="E1622" s="9" t="str">
        <x:v>HU-A-B</x:v>
      </x:c>
      <x:c r="F1622" s="9" t="str">
        <x:v>B2</x:v>
      </x:c>
      <x:c r="G1622" s="9" t="str">
        <x:v>RCN</x:v>
      </x:c>
      <x:c r="H1622" s="9" t="str">
        <x:v>OG08</x:v>
      </x:c>
      <x:c r="I1622" s="17" t="str">
        <x:v>Environment and boundary</x:v>
      </x:c>
      <x:c r="J1622" s="17" t="str">
        <x:v>registered weather, water, ground, inlet and outlet states are retained</x:v>
      </x:c>
      <x:c r="K1622" s="17" t="str">
        <x:v>Boundary court</x:v>
      </x:c>
      <x:c r="L1622" s="9" t="n">
        <x:v>0</x:v>
      </x:c>
      <x:c r="M1622" s="9" t="n">
        <x:v>0</x:v>
      </x:c>
      <x:c r="N1622" s="9" t="str">
        <x:v>OPEN / UNACCEPTED</x:v>
      </x:c>
      <x:c r="O1622" s="9" t="n">
        <x:f>COUNTIFS($A$7:$A$1734,A1622)</x:f>
        <x:v>1</x:v>
      </x:c>
    </x:row>
    <x:row r="1623">
      <x:c r="A1623" s="9" t="str">
        <x:v>EV-AR-HU-A-B-TECH-3-B2-RCN-G0-OG09</x:v>
      </x:c>
      <x:c r="B1623" s="9" t="str">
        <x:v>EV-AR-HU-A-B-TECH-3-B2-RCN-G0</x:v>
      </x:c>
      <x:c r="C1623" s="9" t="str">
        <x:v>AR-HU-A-B-TECH-3-B2-RCN-G0</x:v>
      </x:c>
      <x:c r="D1623" s="9" t="str">
        <x:v>HU-A-B-TECH-3</x:v>
      </x:c>
      <x:c r="E1623" s="9" t="str">
        <x:v>HU-A-B</x:v>
      </x:c>
      <x:c r="F1623" s="9" t="str">
        <x:v>B2</x:v>
      </x:c>
      <x:c r="G1623" s="9" t="str">
        <x:v>RCN</x:v>
      </x:c>
      <x:c r="H1623" s="9" t="str">
        <x:v>OG09</x:v>
      </x:c>
      <x:c r="I1623" s="17" t="str">
        <x:v>Intervention account</x:v>
      </x:c>
      <x:c r="J1623" s="17" t="str">
        <x:v>all stop, rescue, operator and public-protection actions remain timestamped</x:v>
      </x:c>
      <x:c r="K1623" s="17" t="str">
        <x:v>Safety record court</x:v>
      </x:c>
      <x:c r="L1623" s="9" t="n">
        <x:v>0</x:v>
      </x:c>
      <x:c r="M1623" s="9" t="n">
        <x:v>0</x:v>
      </x:c>
      <x:c r="N1623" s="9" t="str">
        <x:v>OPEN / UNACCEPTED</x:v>
      </x:c>
      <x:c r="O1623" s="9" t="n">
        <x:f>COUNTIFS($A$7:$A$1734,A1623)</x:f>
        <x:v>1</x:v>
      </x:c>
    </x:row>
    <x:row r="1624">
      <x:c r="A1624" s="9" t="str">
        <x:v>EV-AR-HU-A-B-TECH-3-B2-RCN-G0-OG10</x:v>
      </x:c>
      <x:c r="B1624" s="9" t="str">
        <x:v>EV-AR-HU-A-B-TECH-3-B2-RCN-G0</x:v>
      </x:c>
      <x:c r="C1624" s="9" t="str">
        <x:v>AR-HU-A-B-TECH-3-B2-RCN-G0</x:v>
      </x:c>
      <x:c r="D1624" s="9" t="str">
        <x:v>HU-A-B-TECH-3</x:v>
      </x:c>
      <x:c r="E1624" s="9" t="str">
        <x:v>HU-A-B</x:v>
      </x:c>
      <x:c r="F1624" s="9" t="str">
        <x:v>B2</x:v>
      </x:c>
      <x:c r="G1624" s="9" t="str">
        <x:v>RCN</x:v>
      </x:c>
      <x:c r="H1624" s="9" t="str">
        <x:v>OG10</x:v>
      </x:c>
      <x:c r="I1624" s="17" t="str">
        <x:v>Uncertainty statement</x:v>
      </x:c>
      <x:c r="J1624" s="17" t="str">
        <x:v>range, censoring, resolution and correlation are declared before judgment</x:v>
      </x:c>
      <x:c r="K1624" s="17" t="str">
        <x:v>Uncertainty authority</x:v>
      </x:c>
      <x:c r="L1624" s="9" t="n">
        <x:v>0</x:v>
      </x:c>
      <x:c r="M1624" s="9" t="n">
        <x:v>0</x:v>
      </x:c>
      <x:c r="N1624" s="9" t="str">
        <x:v>OPEN / UNACCEPTED</x:v>
      </x:c>
      <x:c r="O1624" s="9" t="n">
        <x:f>COUNTIFS($A$7:$A$1734,A1624)</x:f>
        <x:v>1</x:v>
      </x:c>
    </x:row>
    <x:row r="1625">
      <x:c r="A1625" s="9" t="str">
        <x:v>EV-AR-HU-A-B-TECH-3-B2-RCN-G0-OG11</x:v>
      </x:c>
      <x:c r="B1625" s="9" t="str">
        <x:v>EV-AR-HU-A-B-TECH-3-B2-RCN-G0</x:v>
      </x:c>
      <x:c r="C1625" s="9" t="str">
        <x:v>AR-HU-A-B-TECH-3-B2-RCN-G0</x:v>
      </x:c>
      <x:c r="D1625" s="9" t="str">
        <x:v>HU-A-B-TECH-3</x:v>
      </x:c>
      <x:c r="E1625" s="9" t="str">
        <x:v>HU-A-B</x:v>
      </x:c>
      <x:c r="F1625" s="9" t="str">
        <x:v>B2</x:v>
      </x:c>
      <x:c r="G1625" s="9" t="str">
        <x:v>RCN</x:v>
      </x:c>
      <x:c r="H1625" s="9" t="str">
        <x:v>OG11</x:v>
      </x:c>
      <x:c r="I1625" s="17" t="str">
        <x:v>Contradiction preservation</x:v>
      </x:c>
      <x:c r="J1625" s="17" t="str">
        <x:v>primary-witness disagreement remains explicit and is never averaged away</x:v>
      </x:c>
      <x:c r="K1625" s="17" t="str">
        <x:v>Dissent registrar</x:v>
      </x:c>
      <x:c r="L1625" s="9" t="n">
        <x:v>0</x:v>
      </x:c>
      <x:c r="M1625" s="9" t="n">
        <x:v>0</x:v>
      </x:c>
      <x:c r="N1625" s="9" t="str">
        <x:v>OPEN / UNACCEPTED</x:v>
      </x:c>
      <x:c r="O1625" s="9" t="n">
        <x:f>COUNTIFS($A$7:$A$1734,A1625)</x:f>
        <x:v>1</x:v>
      </x:c>
    </x:row>
    <x:row r="1626">
      <x:c r="A1626" s="9" t="str">
        <x:v>EV-AR-HU-A-B-TECH-3-B2-RCN-G0-OG12</x:v>
      </x:c>
      <x:c r="B1626" s="9" t="str">
        <x:v>EV-AR-HU-A-B-TECH-3-B2-RCN-G0</x:v>
      </x:c>
      <x:c r="C1626" s="9" t="str">
        <x:v>AR-HU-A-B-TECH-3-B2-RCN-G0</x:v>
      </x:c>
      <x:c r="D1626" s="9" t="str">
        <x:v>HU-A-B-TECH-3</x:v>
      </x:c>
      <x:c r="E1626" s="9" t="str">
        <x:v>HU-A-B</x:v>
      </x:c>
      <x:c r="F1626" s="9" t="str">
        <x:v>B2</x:v>
      </x:c>
      <x:c r="G1626" s="9" t="str">
        <x:v>RCN</x:v>
      </x:c>
      <x:c r="H1626" s="9" t="str">
        <x:v>OG12</x:v>
      </x:c>
      <x:c r="I1626" s="17" t="str">
        <x:v>Independent replay</x:v>
      </x:c>
      <x:c r="J1626" s="17" t="str">
        <x:v>a separated reader reconstructs the registered observables from sealed originals</x:v>
      </x:c>
      <x:c r="K1626" s="17" t="str">
        <x:v>Replay court</x:v>
      </x:c>
      <x:c r="L1626" s="9" t="n">
        <x:v>0</x:v>
      </x:c>
      <x:c r="M1626" s="9" t="n">
        <x:v>0</x:v>
      </x:c>
      <x:c r="N1626" s="9" t="str">
        <x:v>OPEN / UNACCEPTED</x:v>
      </x:c>
      <x:c r="O1626" s="9" t="n">
        <x:f>COUNTIFS($A$7:$A$1734,A1626)</x:f>
        <x:v>1</x:v>
      </x:c>
    </x:row>
    <x:row r="1627">
      <x:c r="A1627" s="9" t="str">
        <x:v>EV-AR-HU-A-B-TECH-4-B1-RCN-G0-OG01</x:v>
      </x:c>
      <x:c r="B1627" s="9" t="str">
        <x:v>EV-AR-HU-A-B-TECH-4-B1-RCN-G0</x:v>
      </x:c>
      <x:c r="C1627" s="9" t="str">
        <x:v>AR-HU-A-B-TECH-4-B1-RCN-G0</x:v>
      </x:c>
      <x:c r="D1627" s="9" t="str">
        <x:v>HU-A-B-TECH-4</x:v>
      </x:c>
      <x:c r="E1627" s="9" t="str">
        <x:v>HU-A-B</x:v>
      </x:c>
      <x:c r="F1627" s="9" t="str">
        <x:v>B1</x:v>
      </x:c>
      <x:c r="G1627" s="9" t="str">
        <x:v>RCN</x:v>
      </x:c>
      <x:c r="H1627" s="9" t="str">
        <x:v>OG01</x:v>
      </x:c>
      <x:c r="I1627" s="17" t="str">
        <x:v>Serial and event identity</x:v>
      </x:c>
      <x:c r="J1627" s="17" t="str">
        <x:v>record resolves to the issued serial, generation and physical start</x:v>
      </x:c>
      <x:c r="K1627" s="17" t="str">
        <x:v>Observation court</x:v>
      </x:c>
      <x:c r="L1627" s="9" t="n">
        <x:v>0</x:v>
      </x:c>
      <x:c r="M1627" s="9" t="n">
        <x:v>0</x:v>
      </x:c>
      <x:c r="N1627" s="9" t="str">
        <x:v>OPEN / UNACCEPTED</x:v>
      </x:c>
      <x:c r="O1627" s="9" t="n">
        <x:f>COUNTIFS($A$7:$A$1734,A1627)</x:f>
        <x:v>1</x:v>
      </x:c>
    </x:row>
    <x:row r="1628">
      <x:c r="A1628" s="9" t="str">
        <x:v>EV-AR-HU-A-B-TECH-4-B1-RCN-G0-OG02</x:v>
      </x:c>
      <x:c r="B1628" s="9" t="str">
        <x:v>EV-AR-HU-A-B-TECH-4-B1-RCN-G0</x:v>
      </x:c>
      <x:c r="C1628" s="9" t="str">
        <x:v>AR-HU-A-B-TECH-4-B1-RCN-G0</x:v>
      </x:c>
      <x:c r="D1628" s="9" t="str">
        <x:v>HU-A-B-TECH-4</x:v>
      </x:c>
      <x:c r="E1628" s="9" t="str">
        <x:v>HU-A-B</x:v>
      </x:c>
      <x:c r="F1628" s="9" t="str">
        <x:v>B1</x:v>
      </x:c>
      <x:c r="G1628" s="9" t="str">
        <x:v>RCN</x:v>
      </x:c>
      <x:c r="H1628" s="9" t="str">
        <x:v>OG02</x:v>
      </x:c>
      <x:c r="I1628" s="17" t="str">
        <x:v>Time ancestry</x:v>
      </x:c>
      <x:c r="J1628" s="17" t="str">
        <x:v>primary, witness and public event clocks retain declared offsets and drift</x:v>
      </x:c>
      <x:c r="K1628" s="17" t="str">
        <x:v>Time authority</x:v>
      </x:c>
      <x:c r="L1628" s="9" t="n">
        <x:v>0</x:v>
      </x:c>
      <x:c r="M1628" s="9" t="n">
        <x:v>0</x:v>
      </x:c>
      <x:c r="N1628" s="9" t="str">
        <x:v>OPEN / UNACCEPTED</x:v>
      </x:c>
      <x:c r="O1628" s="9" t="n">
        <x:f>COUNTIFS($A$7:$A$1734,A1628)</x:f>
        <x:v>1</x:v>
      </x:c>
    </x:row>
    <x:row r="1629">
      <x:c r="A1629" s="9" t="str">
        <x:v>EV-AR-HU-A-B-TECH-4-B1-RCN-G0-OG03</x:v>
      </x:c>
      <x:c r="B1629" s="9" t="str">
        <x:v>EV-AR-HU-A-B-TECH-4-B1-RCN-G0</x:v>
      </x:c>
      <x:c r="C1629" s="9" t="str">
        <x:v>AR-HU-A-B-TECH-4-B1-RCN-G0</x:v>
      </x:c>
      <x:c r="D1629" s="9" t="str">
        <x:v>HU-A-B-TECH-4</x:v>
      </x:c>
      <x:c r="E1629" s="9" t="str">
        <x:v>HU-A-B</x:v>
      </x:c>
      <x:c r="F1629" s="9" t="str">
        <x:v>B1</x:v>
      </x:c>
      <x:c r="G1629" s="9" t="str">
        <x:v>RCN</x:v>
      </x:c>
      <x:c r="H1629" s="9" t="str">
        <x:v>OG03</x:v>
      </x:c>
      <x:c r="I1629" s="17" t="str">
        <x:v>Calibration ancestry</x:v>
      </x:c>
      <x:c r="J1629" s="17" t="str">
        <x:v>all reference, range and uncertainty states cover the live interval</x:v>
      </x:c>
      <x:c r="K1629" s="17" t="str">
        <x:v>Metrology courts</x:v>
      </x:c>
      <x:c r="L1629" s="9" t="n">
        <x:v>0</x:v>
      </x:c>
      <x:c r="M1629" s="9" t="n">
        <x:v>0</x:v>
      </x:c>
      <x:c r="N1629" s="9" t="str">
        <x:v>OPEN / UNACCEPTED</x:v>
      </x:c>
      <x:c r="O1629" s="9" t="n">
        <x:f>COUNTIFS($A$7:$A$1734,A1629)</x:f>
        <x:v>1</x:v>
      </x:c>
    </x:row>
    <x:row r="1630">
      <x:c r="A1630" s="9" t="str">
        <x:v>EV-AR-HU-A-B-TECH-4-B1-RCN-G0-OG04</x:v>
      </x:c>
      <x:c r="B1630" s="9" t="str">
        <x:v>EV-AR-HU-A-B-TECH-4-B1-RCN-G0</x:v>
      </x:c>
      <x:c r="C1630" s="9" t="str">
        <x:v>AR-HU-A-B-TECH-4-B1-RCN-G0</x:v>
      </x:c>
      <x:c r="D1630" s="9" t="str">
        <x:v>HU-A-B-TECH-4</x:v>
      </x:c>
      <x:c r="E1630" s="9" t="str">
        <x:v>HU-A-B</x:v>
      </x:c>
      <x:c r="F1630" s="9" t="str">
        <x:v>B1</x:v>
      </x:c>
      <x:c r="G1630" s="9" t="str">
        <x:v>RCN</x:v>
      </x:c>
      <x:c r="H1630" s="9" t="str">
        <x:v>OG04</x:v>
      </x:c>
      <x:c r="I1630" s="17" t="str">
        <x:v>Raw completeness</x:v>
      </x:c>
      <x:c r="J1630" s="17" t="str">
        <x:v>missingness is enumerated without imputation or outcome-conditioned deletion</x:v>
      </x:c>
      <x:c r="K1630" s="17" t="str">
        <x:v>Observation court</x:v>
      </x:c>
      <x:c r="L1630" s="9" t="n">
        <x:v>0</x:v>
      </x:c>
      <x:c r="M1630" s="9" t="n">
        <x:v>0</x:v>
      </x:c>
      <x:c r="N1630" s="9" t="str">
        <x:v>OPEN / UNACCEPTED</x:v>
      </x:c>
      <x:c r="O1630" s="9" t="n">
        <x:f>COUNTIFS($A$7:$A$1734,A1630)</x:f>
        <x:v>1</x:v>
      </x:c>
    </x:row>
    <x:row r="1631">
      <x:c r="A1631" s="9" t="str">
        <x:v>EV-AR-HU-A-B-TECH-4-B1-RCN-G0-OG05</x:v>
      </x:c>
      <x:c r="B1631" s="9" t="str">
        <x:v>EV-AR-HU-A-B-TECH-4-B1-RCN-G0</x:v>
      </x:c>
      <x:c r="C1631" s="9" t="str">
        <x:v>AR-HU-A-B-TECH-4-B1-RCN-G0</x:v>
      </x:c>
      <x:c r="D1631" s="9" t="str">
        <x:v>HU-A-B-TECH-4</x:v>
      </x:c>
      <x:c r="E1631" s="9" t="str">
        <x:v>HU-A-B</x:v>
      </x:c>
      <x:c r="F1631" s="9" t="str">
        <x:v>B1</x:v>
      </x:c>
      <x:c r="G1631" s="9" t="str">
        <x:v>RCN</x:v>
      </x:c>
      <x:c r="H1631" s="9" t="str">
        <x:v>OG05</x:v>
      </x:c>
      <x:c r="I1631" s="17" t="str">
        <x:v>Primary provenance</x:v>
      </x:c>
      <x:c r="J1631" s="17" t="str">
        <x:v>primary originals, hashes, keys and access history reconcile</x:v>
      </x:c>
      <x:c r="K1631" s="17" t="str">
        <x:v>Primary custody</x:v>
      </x:c>
      <x:c r="L1631" s="9" t="n">
        <x:v>0</x:v>
      </x:c>
      <x:c r="M1631" s="9" t="n">
        <x:v>0</x:v>
      </x:c>
      <x:c r="N1631" s="9" t="str">
        <x:v>OPEN / UNACCEPTED</x:v>
      </x:c>
      <x:c r="O1631" s="9" t="n">
        <x:f>COUNTIFS($A$7:$A$1734,A1631)</x:f>
        <x:v>1</x:v>
      </x:c>
    </x:row>
    <x:row r="1632">
      <x:c r="A1632" s="9" t="str">
        <x:v>EV-AR-HU-A-B-TECH-4-B1-RCN-G0-OG06</x:v>
      </x:c>
      <x:c r="B1632" s="9" t="str">
        <x:v>EV-AR-HU-A-B-TECH-4-B1-RCN-G0</x:v>
      </x:c>
      <x:c r="C1632" s="9" t="str">
        <x:v>AR-HU-A-B-TECH-4-B1-RCN-G0</x:v>
      </x:c>
      <x:c r="D1632" s="9" t="str">
        <x:v>HU-A-B-TECH-4</x:v>
      </x:c>
      <x:c r="E1632" s="9" t="str">
        <x:v>HU-A-B</x:v>
      </x:c>
      <x:c r="F1632" s="9" t="str">
        <x:v>B1</x:v>
      </x:c>
      <x:c r="G1632" s="9" t="str">
        <x:v>RCN</x:v>
      </x:c>
      <x:c r="H1632" s="9" t="str">
        <x:v>OG06</x:v>
      </x:c>
      <x:c r="I1632" s="17" t="str">
        <x:v>Witness provenance</x:v>
      </x:c>
      <x:c r="J1632" s="17" t="str">
        <x:v>unlike witness originals, hashes, keys and access history reconcile</x:v>
      </x:c>
      <x:c r="K1632" s="17" t="str">
        <x:v>Witness custody</x:v>
      </x:c>
      <x:c r="L1632" s="9" t="n">
        <x:v>0</x:v>
      </x:c>
      <x:c r="M1632" s="9" t="n">
        <x:v>0</x:v>
      </x:c>
      <x:c r="N1632" s="9" t="str">
        <x:v>OPEN / UNACCEPTED</x:v>
      </x:c>
      <x:c r="O1632" s="9" t="n">
        <x:f>COUNTIFS($A$7:$A$1734,A1632)</x:f>
        <x:v>1</x:v>
      </x:c>
    </x:row>
    <x:row r="1633">
      <x:c r="A1633" s="9" t="str">
        <x:v>EV-AR-HU-A-B-TECH-4-B1-RCN-G0-OG07</x:v>
      </x:c>
      <x:c r="B1633" s="9" t="str">
        <x:v>EV-AR-HU-A-B-TECH-4-B1-RCN-G0</x:v>
      </x:c>
      <x:c r="C1633" s="9" t="str">
        <x:v>AR-HU-A-B-TECH-4-B1-RCN-G0</x:v>
      </x:c>
      <x:c r="D1633" s="9" t="str">
        <x:v>HU-A-B-TECH-4</x:v>
      </x:c>
      <x:c r="E1633" s="9" t="str">
        <x:v>HU-A-B</x:v>
      </x:c>
      <x:c r="F1633" s="9" t="str">
        <x:v>B1</x:v>
      </x:c>
      <x:c r="G1633" s="9" t="str">
        <x:v>RCN</x:v>
      </x:c>
      <x:c r="H1633" s="9" t="str">
        <x:v>OG07</x:v>
      </x:c>
      <x:c r="I1633" s="17" t="str">
        <x:v>Receiver denominator</x:v>
      </x:c>
      <x:c r="J1633" s="17" t="str">
        <x:v>population, quantity, duration and exclusions match the frozen receipt</x:v>
      </x:c>
      <x:c r="K1633" s="17" t="str">
        <x:v>Receiver court</x:v>
      </x:c>
      <x:c r="L1633" s="9" t="n">
        <x:v>0</x:v>
      </x:c>
      <x:c r="M1633" s="9" t="n">
        <x:v>0</x:v>
      </x:c>
      <x:c r="N1633" s="9" t="str">
        <x:v>OPEN / UNACCEPTED</x:v>
      </x:c>
      <x:c r="O1633" s="9" t="n">
        <x:f>COUNTIFS($A$7:$A$1734,A1633)</x:f>
        <x:v>1</x:v>
      </x:c>
    </x:row>
    <x:row r="1634">
      <x:c r="A1634" s="9" t="str">
        <x:v>EV-AR-HU-A-B-TECH-4-B1-RCN-G0-OG08</x:v>
      </x:c>
      <x:c r="B1634" s="9" t="str">
        <x:v>EV-AR-HU-A-B-TECH-4-B1-RCN-G0</x:v>
      </x:c>
      <x:c r="C1634" s="9" t="str">
        <x:v>AR-HU-A-B-TECH-4-B1-RCN-G0</x:v>
      </x:c>
      <x:c r="D1634" s="9" t="str">
        <x:v>HU-A-B-TECH-4</x:v>
      </x:c>
      <x:c r="E1634" s="9" t="str">
        <x:v>HU-A-B</x:v>
      </x:c>
      <x:c r="F1634" s="9" t="str">
        <x:v>B1</x:v>
      </x:c>
      <x:c r="G1634" s="9" t="str">
        <x:v>RCN</x:v>
      </x:c>
      <x:c r="H1634" s="9" t="str">
        <x:v>OG08</x:v>
      </x:c>
      <x:c r="I1634" s="17" t="str">
        <x:v>Environment and boundary</x:v>
      </x:c>
      <x:c r="J1634" s="17" t="str">
        <x:v>registered weather, water, ground, inlet and outlet states are retained</x:v>
      </x:c>
      <x:c r="K1634" s="17" t="str">
        <x:v>Boundary court</x:v>
      </x:c>
      <x:c r="L1634" s="9" t="n">
        <x:v>0</x:v>
      </x:c>
      <x:c r="M1634" s="9" t="n">
        <x:v>0</x:v>
      </x:c>
      <x:c r="N1634" s="9" t="str">
        <x:v>OPEN / UNACCEPTED</x:v>
      </x:c>
      <x:c r="O1634" s="9" t="n">
        <x:f>COUNTIFS($A$7:$A$1734,A1634)</x:f>
        <x:v>1</x:v>
      </x:c>
    </x:row>
    <x:row r="1635">
      <x:c r="A1635" s="9" t="str">
        <x:v>EV-AR-HU-A-B-TECH-4-B1-RCN-G0-OG09</x:v>
      </x:c>
      <x:c r="B1635" s="9" t="str">
        <x:v>EV-AR-HU-A-B-TECH-4-B1-RCN-G0</x:v>
      </x:c>
      <x:c r="C1635" s="9" t="str">
        <x:v>AR-HU-A-B-TECH-4-B1-RCN-G0</x:v>
      </x:c>
      <x:c r="D1635" s="9" t="str">
        <x:v>HU-A-B-TECH-4</x:v>
      </x:c>
      <x:c r="E1635" s="9" t="str">
        <x:v>HU-A-B</x:v>
      </x:c>
      <x:c r="F1635" s="9" t="str">
        <x:v>B1</x:v>
      </x:c>
      <x:c r="G1635" s="9" t="str">
        <x:v>RCN</x:v>
      </x:c>
      <x:c r="H1635" s="9" t="str">
        <x:v>OG09</x:v>
      </x:c>
      <x:c r="I1635" s="17" t="str">
        <x:v>Intervention account</x:v>
      </x:c>
      <x:c r="J1635" s="17" t="str">
        <x:v>all stop, rescue, operator and public-protection actions remain timestamped</x:v>
      </x:c>
      <x:c r="K1635" s="17" t="str">
        <x:v>Safety record court</x:v>
      </x:c>
      <x:c r="L1635" s="9" t="n">
        <x:v>0</x:v>
      </x:c>
      <x:c r="M1635" s="9" t="n">
        <x:v>0</x:v>
      </x:c>
      <x:c r="N1635" s="9" t="str">
        <x:v>OPEN / UNACCEPTED</x:v>
      </x:c>
      <x:c r="O1635" s="9" t="n">
        <x:f>COUNTIFS($A$7:$A$1734,A1635)</x:f>
        <x:v>1</x:v>
      </x:c>
    </x:row>
    <x:row r="1636">
      <x:c r="A1636" s="9" t="str">
        <x:v>EV-AR-HU-A-B-TECH-4-B1-RCN-G0-OG10</x:v>
      </x:c>
      <x:c r="B1636" s="9" t="str">
        <x:v>EV-AR-HU-A-B-TECH-4-B1-RCN-G0</x:v>
      </x:c>
      <x:c r="C1636" s="9" t="str">
        <x:v>AR-HU-A-B-TECH-4-B1-RCN-G0</x:v>
      </x:c>
      <x:c r="D1636" s="9" t="str">
        <x:v>HU-A-B-TECH-4</x:v>
      </x:c>
      <x:c r="E1636" s="9" t="str">
        <x:v>HU-A-B</x:v>
      </x:c>
      <x:c r="F1636" s="9" t="str">
        <x:v>B1</x:v>
      </x:c>
      <x:c r="G1636" s="9" t="str">
        <x:v>RCN</x:v>
      </x:c>
      <x:c r="H1636" s="9" t="str">
        <x:v>OG10</x:v>
      </x:c>
      <x:c r="I1636" s="17" t="str">
        <x:v>Uncertainty statement</x:v>
      </x:c>
      <x:c r="J1636" s="17" t="str">
        <x:v>range, censoring, resolution and correlation are declared before judgment</x:v>
      </x:c>
      <x:c r="K1636" s="17" t="str">
        <x:v>Uncertainty authority</x:v>
      </x:c>
      <x:c r="L1636" s="9" t="n">
        <x:v>0</x:v>
      </x:c>
      <x:c r="M1636" s="9" t="n">
        <x:v>0</x:v>
      </x:c>
      <x:c r="N1636" s="9" t="str">
        <x:v>OPEN / UNACCEPTED</x:v>
      </x:c>
      <x:c r="O1636" s="9" t="n">
        <x:f>COUNTIFS($A$7:$A$1734,A1636)</x:f>
        <x:v>1</x:v>
      </x:c>
    </x:row>
    <x:row r="1637">
      <x:c r="A1637" s="9" t="str">
        <x:v>EV-AR-HU-A-B-TECH-4-B1-RCN-G0-OG11</x:v>
      </x:c>
      <x:c r="B1637" s="9" t="str">
        <x:v>EV-AR-HU-A-B-TECH-4-B1-RCN-G0</x:v>
      </x:c>
      <x:c r="C1637" s="9" t="str">
        <x:v>AR-HU-A-B-TECH-4-B1-RCN-G0</x:v>
      </x:c>
      <x:c r="D1637" s="9" t="str">
        <x:v>HU-A-B-TECH-4</x:v>
      </x:c>
      <x:c r="E1637" s="9" t="str">
        <x:v>HU-A-B</x:v>
      </x:c>
      <x:c r="F1637" s="9" t="str">
        <x:v>B1</x:v>
      </x:c>
      <x:c r="G1637" s="9" t="str">
        <x:v>RCN</x:v>
      </x:c>
      <x:c r="H1637" s="9" t="str">
        <x:v>OG11</x:v>
      </x:c>
      <x:c r="I1637" s="17" t="str">
        <x:v>Contradiction preservation</x:v>
      </x:c>
      <x:c r="J1637" s="17" t="str">
        <x:v>primary-witness disagreement remains explicit and is never averaged away</x:v>
      </x:c>
      <x:c r="K1637" s="17" t="str">
        <x:v>Dissent registrar</x:v>
      </x:c>
      <x:c r="L1637" s="9" t="n">
        <x:v>0</x:v>
      </x:c>
      <x:c r="M1637" s="9" t="n">
        <x:v>0</x:v>
      </x:c>
      <x:c r="N1637" s="9" t="str">
        <x:v>OPEN / UNACCEPTED</x:v>
      </x:c>
      <x:c r="O1637" s="9" t="n">
        <x:f>COUNTIFS($A$7:$A$1734,A1637)</x:f>
        <x:v>1</x:v>
      </x:c>
    </x:row>
    <x:row r="1638">
      <x:c r="A1638" s="9" t="str">
        <x:v>EV-AR-HU-A-B-TECH-4-B1-RCN-G0-OG12</x:v>
      </x:c>
      <x:c r="B1638" s="9" t="str">
        <x:v>EV-AR-HU-A-B-TECH-4-B1-RCN-G0</x:v>
      </x:c>
      <x:c r="C1638" s="9" t="str">
        <x:v>AR-HU-A-B-TECH-4-B1-RCN-G0</x:v>
      </x:c>
      <x:c r="D1638" s="9" t="str">
        <x:v>HU-A-B-TECH-4</x:v>
      </x:c>
      <x:c r="E1638" s="9" t="str">
        <x:v>HU-A-B</x:v>
      </x:c>
      <x:c r="F1638" s="9" t="str">
        <x:v>B1</x:v>
      </x:c>
      <x:c r="G1638" s="9" t="str">
        <x:v>RCN</x:v>
      </x:c>
      <x:c r="H1638" s="9" t="str">
        <x:v>OG12</x:v>
      </x:c>
      <x:c r="I1638" s="17" t="str">
        <x:v>Independent replay</x:v>
      </x:c>
      <x:c r="J1638" s="17" t="str">
        <x:v>a separated reader reconstructs the registered observables from sealed originals</x:v>
      </x:c>
      <x:c r="K1638" s="17" t="str">
        <x:v>Replay court</x:v>
      </x:c>
      <x:c r="L1638" s="9" t="n">
        <x:v>0</x:v>
      </x:c>
      <x:c r="M1638" s="9" t="n">
        <x:v>0</x:v>
      </x:c>
      <x:c r="N1638" s="9" t="str">
        <x:v>OPEN / UNACCEPTED</x:v>
      </x:c>
      <x:c r="O1638" s="9" t="n">
        <x:f>COUNTIFS($A$7:$A$1734,A1638)</x:f>
        <x:v>1</x:v>
      </x:c>
    </x:row>
    <x:row r="1639">
      <x:c r="A1639" s="9" t="str">
        <x:v>EV-AR-RT-B-C-TECH-1-B1-INT-G0-OG01</x:v>
      </x:c>
      <x:c r="B1639" s="9" t="str">
        <x:v>EV-AR-RT-B-C-TECH-1-B1-INT-G0</x:v>
      </x:c>
      <x:c r="C1639" s="9" t="str">
        <x:v>AR-RT-B-C-TECH-1-B1-INT-G0</x:v>
      </x:c>
      <x:c r="D1639" s="9" t="str">
        <x:v>RT-B-C-TECH-1</x:v>
      </x:c>
      <x:c r="E1639" s="9" t="str">
        <x:v>RT-B-C</x:v>
      </x:c>
      <x:c r="F1639" s="9" t="str">
        <x:v>B1</x:v>
      </x:c>
      <x:c r="G1639" s="9" t="str">
        <x:v>INT</x:v>
      </x:c>
      <x:c r="H1639" s="9" t="str">
        <x:v>OG01</x:v>
      </x:c>
      <x:c r="I1639" s="17" t="str">
        <x:v>Serial and event identity</x:v>
      </x:c>
      <x:c r="J1639" s="17" t="str">
        <x:v>record resolves to the issued serial, generation and physical start</x:v>
      </x:c>
      <x:c r="K1639" s="17" t="str">
        <x:v>Observation court</x:v>
      </x:c>
      <x:c r="L1639" s="9" t="n">
        <x:v>0</x:v>
      </x:c>
      <x:c r="M1639" s="9" t="n">
        <x:v>0</x:v>
      </x:c>
      <x:c r="N1639" s="9" t="str">
        <x:v>OPEN / UNACCEPTED</x:v>
      </x:c>
      <x:c r="O1639" s="9" t="n">
        <x:f>COUNTIFS($A$7:$A$1734,A1639)</x:f>
        <x:v>1</x:v>
      </x:c>
    </x:row>
    <x:row r="1640">
      <x:c r="A1640" s="9" t="str">
        <x:v>EV-AR-RT-B-C-TECH-1-B1-INT-G0-OG02</x:v>
      </x:c>
      <x:c r="B1640" s="9" t="str">
        <x:v>EV-AR-RT-B-C-TECH-1-B1-INT-G0</x:v>
      </x:c>
      <x:c r="C1640" s="9" t="str">
        <x:v>AR-RT-B-C-TECH-1-B1-INT-G0</x:v>
      </x:c>
      <x:c r="D1640" s="9" t="str">
        <x:v>RT-B-C-TECH-1</x:v>
      </x:c>
      <x:c r="E1640" s="9" t="str">
        <x:v>RT-B-C</x:v>
      </x:c>
      <x:c r="F1640" s="9" t="str">
        <x:v>B1</x:v>
      </x:c>
      <x:c r="G1640" s="9" t="str">
        <x:v>INT</x:v>
      </x:c>
      <x:c r="H1640" s="9" t="str">
        <x:v>OG02</x:v>
      </x:c>
      <x:c r="I1640" s="17" t="str">
        <x:v>Time ancestry</x:v>
      </x:c>
      <x:c r="J1640" s="17" t="str">
        <x:v>primary, witness and public event clocks retain declared offsets and drift</x:v>
      </x:c>
      <x:c r="K1640" s="17" t="str">
        <x:v>Time authority</x:v>
      </x:c>
      <x:c r="L1640" s="9" t="n">
        <x:v>0</x:v>
      </x:c>
      <x:c r="M1640" s="9" t="n">
        <x:v>0</x:v>
      </x:c>
      <x:c r="N1640" s="9" t="str">
        <x:v>OPEN / UNACCEPTED</x:v>
      </x:c>
      <x:c r="O1640" s="9" t="n">
        <x:f>COUNTIFS($A$7:$A$1734,A1640)</x:f>
        <x:v>1</x:v>
      </x:c>
    </x:row>
    <x:row r="1641">
      <x:c r="A1641" s="9" t="str">
        <x:v>EV-AR-RT-B-C-TECH-1-B1-INT-G0-OG03</x:v>
      </x:c>
      <x:c r="B1641" s="9" t="str">
        <x:v>EV-AR-RT-B-C-TECH-1-B1-INT-G0</x:v>
      </x:c>
      <x:c r="C1641" s="9" t="str">
        <x:v>AR-RT-B-C-TECH-1-B1-INT-G0</x:v>
      </x:c>
      <x:c r="D1641" s="9" t="str">
        <x:v>RT-B-C-TECH-1</x:v>
      </x:c>
      <x:c r="E1641" s="9" t="str">
        <x:v>RT-B-C</x:v>
      </x:c>
      <x:c r="F1641" s="9" t="str">
        <x:v>B1</x:v>
      </x:c>
      <x:c r="G1641" s="9" t="str">
        <x:v>INT</x:v>
      </x:c>
      <x:c r="H1641" s="9" t="str">
        <x:v>OG03</x:v>
      </x:c>
      <x:c r="I1641" s="17" t="str">
        <x:v>Calibration ancestry</x:v>
      </x:c>
      <x:c r="J1641" s="17" t="str">
        <x:v>all reference, range and uncertainty states cover the live interval</x:v>
      </x:c>
      <x:c r="K1641" s="17" t="str">
        <x:v>Metrology courts</x:v>
      </x:c>
      <x:c r="L1641" s="9" t="n">
        <x:v>0</x:v>
      </x:c>
      <x:c r="M1641" s="9" t="n">
        <x:v>0</x:v>
      </x:c>
      <x:c r="N1641" s="9" t="str">
        <x:v>OPEN / UNACCEPTED</x:v>
      </x:c>
      <x:c r="O1641" s="9" t="n">
        <x:f>COUNTIFS($A$7:$A$1734,A1641)</x:f>
        <x:v>1</x:v>
      </x:c>
    </x:row>
    <x:row r="1642">
      <x:c r="A1642" s="9" t="str">
        <x:v>EV-AR-RT-B-C-TECH-1-B1-INT-G0-OG04</x:v>
      </x:c>
      <x:c r="B1642" s="9" t="str">
        <x:v>EV-AR-RT-B-C-TECH-1-B1-INT-G0</x:v>
      </x:c>
      <x:c r="C1642" s="9" t="str">
        <x:v>AR-RT-B-C-TECH-1-B1-INT-G0</x:v>
      </x:c>
      <x:c r="D1642" s="9" t="str">
        <x:v>RT-B-C-TECH-1</x:v>
      </x:c>
      <x:c r="E1642" s="9" t="str">
        <x:v>RT-B-C</x:v>
      </x:c>
      <x:c r="F1642" s="9" t="str">
        <x:v>B1</x:v>
      </x:c>
      <x:c r="G1642" s="9" t="str">
        <x:v>INT</x:v>
      </x:c>
      <x:c r="H1642" s="9" t="str">
        <x:v>OG04</x:v>
      </x:c>
      <x:c r="I1642" s="17" t="str">
        <x:v>Raw completeness</x:v>
      </x:c>
      <x:c r="J1642" s="17" t="str">
        <x:v>missingness is enumerated without imputation or outcome-conditioned deletion</x:v>
      </x:c>
      <x:c r="K1642" s="17" t="str">
        <x:v>Observation court</x:v>
      </x:c>
      <x:c r="L1642" s="9" t="n">
        <x:v>0</x:v>
      </x:c>
      <x:c r="M1642" s="9" t="n">
        <x:v>0</x:v>
      </x:c>
      <x:c r="N1642" s="9" t="str">
        <x:v>OPEN / UNACCEPTED</x:v>
      </x:c>
      <x:c r="O1642" s="9" t="n">
        <x:f>COUNTIFS($A$7:$A$1734,A1642)</x:f>
        <x:v>1</x:v>
      </x:c>
    </x:row>
    <x:row r="1643">
      <x:c r="A1643" s="9" t="str">
        <x:v>EV-AR-RT-B-C-TECH-1-B1-INT-G0-OG05</x:v>
      </x:c>
      <x:c r="B1643" s="9" t="str">
        <x:v>EV-AR-RT-B-C-TECH-1-B1-INT-G0</x:v>
      </x:c>
      <x:c r="C1643" s="9" t="str">
        <x:v>AR-RT-B-C-TECH-1-B1-INT-G0</x:v>
      </x:c>
      <x:c r="D1643" s="9" t="str">
        <x:v>RT-B-C-TECH-1</x:v>
      </x:c>
      <x:c r="E1643" s="9" t="str">
        <x:v>RT-B-C</x:v>
      </x:c>
      <x:c r="F1643" s="9" t="str">
        <x:v>B1</x:v>
      </x:c>
      <x:c r="G1643" s="9" t="str">
        <x:v>INT</x:v>
      </x:c>
      <x:c r="H1643" s="9" t="str">
        <x:v>OG05</x:v>
      </x:c>
      <x:c r="I1643" s="17" t="str">
        <x:v>Primary provenance</x:v>
      </x:c>
      <x:c r="J1643" s="17" t="str">
        <x:v>primary originals, hashes, keys and access history reconcile</x:v>
      </x:c>
      <x:c r="K1643" s="17" t="str">
        <x:v>Primary custody</x:v>
      </x:c>
      <x:c r="L1643" s="9" t="n">
        <x:v>0</x:v>
      </x:c>
      <x:c r="M1643" s="9" t="n">
        <x:v>0</x:v>
      </x:c>
      <x:c r="N1643" s="9" t="str">
        <x:v>OPEN / UNACCEPTED</x:v>
      </x:c>
      <x:c r="O1643" s="9" t="n">
        <x:f>COUNTIFS($A$7:$A$1734,A1643)</x:f>
        <x:v>1</x:v>
      </x:c>
    </x:row>
    <x:row r="1644">
      <x:c r="A1644" s="9" t="str">
        <x:v>EV-AR-RT-B-C-TECH-1-B1-INT-G0-OG06</x:v>
      </x:c>
      <x:c r="B1644" s="9" t="str">
        <x:v>EV-AR-RT-B-C-TECH-1-B1-INT-G0</x:v>
      </x:c>
      <x:c r="C1644" s="9" t="str">
        <x:v>AR-RT-B-C-TECH-1-B1-INT-G0</x:v>
      </x:c>
      <x:c r="D1644" s="9" t="str">
        <x:v>RT-B-C-TECH-1</x:v>
      </x:c>
      <x:c r="E1644" s="9" t="str">
        <x:v>RT-B-C</x:v>
      </x:c>
      <x:c r="F1644" s="9" t="str">
        <x:v>B1</x:v>
      </x:c>
      <x:c r="G1644" s="9" t="str">
        <x:v>INT</x:v>
      </x:c>
      <x:c r="H1644" s="9" t="str">
        <x:v>OG06</x:v>
      </x:c>
      <x:c r="I1644" s="17" t="str">
        <x:v>Witness provenance</x:v>
      </x:c>
      <x:c r="J1644" s="17" t="str">
        <x:v>unlike witness originals, hashes, keys and access history reconcile</x:v>
      </x:c>
      <x:c r="K1644" s="17" t="str">
        <x:v>Witness custody</x:v>
      </x:c>
      <x:c r="L1644" s="9" t="n">
        <x:v>0</x:v>
      </x:c>
      <x:c r="M1644" s="9" t="n">
        <x:v>0</x:v>
      </x:c>
      <x:c r="N1644" s="9" t="str">
        <x:v>OPEN / UNACCEPTED</x:v>
      </x:c>
      <x:c r="O1644" s="9" t="n">
        <x:f>COUNTIFS($A$7:$A$1734,A1644)</x:f>
        <x:v>1</x:v>
      </x:c>
    </x:row>
    <x:row r="1645">
      <x:c r="A1645" s="9" t="str">
        <x:v>EV-AR-RT-B-C-TECH-1-B1-INT-G0-OG07</x:v>
      </x:c>
      <x:c r="B1645" s="9" t="str">
        <x:v>EV-AR-RT-B-C-TECH-1-B1-INT-G0</x:v>
      </x:c>
      <x:c r="C1645" s="9" t="str">
        <x:v>AR-RT-B-C-TECH-1-B1-INT-G0</x:v>
      </x:c>
      <x:c r="D1645" s="9" t="str">
        <x:v>RT-B-C-TECH-1</x:v>
      </x:c>
      <x:c r="E1645" s="9" t="str">
        <x:v>RT-B-C</x:v>
      </x:c>
      <x:c r="F1645" s="9" t="str">
        <x:v>B1</x:v>
      </x:c>
      <x:c r="G1645" s="9" t="str">
        <x:v>INT</x:v>
      </x:c>
      <x:c r="H1645" s="9" t="str">
        <x:v>OG07</x:v>
      </x:c>
      <x:c r="I1645" s="17" t="str">
        <x:v>Receiver denominator</x:v>
      </x:c>
      <x:c r="J1645" s="17" t="str">
        <x:v>population, quantity, duration and exclusions match the frozen receipt</x:v>
      </x:c>
      <x:c r="K1645" s="17" t="str">
        <x:v>Receiver court</x:v>
      </x:c>
      <x:c r="L1645" s="9" t="n">
        <x:v>0</x:v>
      </x:c>
      <x:c r="M1645" s="9" t="n">
        <x:v>0</x:v>
      </x:c>
      <x:c r="N1645" s="9" t="str">
        <x:v>OPEN / UNACCEPTED</x:v>
      </x:c>
      <x:c r="O1645" s="9" t="n">
        <x:f>COUNTIFS($A$7:$A$1734,A1645)</x:f>
        <x:v>1</x:v>
      </x:c>
    </x:row>
    <x:row r="1646">
      <x:c r="A1646" s="9" t="str">
        <x:v>EV-AR-RT-B-C-TECH-1-B1-INT-G0-OG08</x:v>
      </x:c>
      <x:c r="B1646" s="9" t="str">
        <x:v>EV-AR-RT-B-C-TECH-1-B1-INT-G0</x:v>
      </x:c>
      <x:c r="C1646" s="9" t="str">
        <x:v>AR-RT-B-C-TECH-1-B1-INT-G0</x:v>
      </x:c>
      <x:c r="D1646" s="9" t="str">
        <x:v>RT-B-C-TECH-1</x:v>
      </x:c>
      <x:c r="E1646" s="9" t="str">
        <x:v>RT-B-C</x:v>
      </x:c>
      <x:c r="F1646" s="9" t="str">
        <x:v>B1</x:v>
      </x:c>
      <x:c r="G1646" s="9" t="str">
        <x:v>INT</x:v>
      </x:c>
      <x:c r="H1646" s="9" t="str">
        <x:v>OG08</x:v>
      </x:c>
      <x:c r="I1646" s="17" t="str">
        <x:v>Environment and boundary</x:v>
      </x:c>
      <x:c r="J1646" s="17" t="str">
        <x:v>registered weather, water, ground, inlet and outlet states are retained</x:v>
      </x:c>
      <x:c r="K1646" s="17" t="str">
        <x:v>Boundary court</x:v>
      </x:c>
      <x:c r="L1646" s="9" t="n">
        <x:v>0</x:v>
      </x:c>
      <x:c r="M1646" s="9" t="n">
        <x:v>0</x:v>
      </x:c>
      <x:c r="N1646" s="9" t="str">
        <x:v>OPEN / UNACCEPTED</x:v>
      </x:c>
      <x:c r="O1646" s="9" t="n">
        <x:f>COUNTIFS($A$7:$A$1734,A1646)</x:f>
        <x:v>1</x:v>
      </x:c>
    </x:row>
    <x:row r="1647">
      <x:c r="A1647" s="9" t="str">
        <x:v>EV-AR-RT-B-C-TECH-1-B1-INT-G0-OG09</x:v>
      </x:c>
      <x:c r="B1647" s="9" t="str">
        <x:v>EV-AR-RT-B-C-TECH-1-B1-INT-G0</x:v>
      </x:c>
      <x:c r="C1647" s="9" t="str">
        <x:v>AR-RT-B-C-TECH-1-B1-INT-G0</x:v>
      </x:c>
      <x:c r="D1647" s="9" t="str">
        <x:v>RT-B-C-TECH-1</x:v>
      </x:c>
      <x:c r="E1647" s="9" t="str">
        <x:v>RT-B-C</x:v>
      </x:c>
      <x:c r="F1647" s="9" t="str">
        <x:v>B1</x:v>
      </x:c>
      <x:c r="G1647" s="9" t="str">
        <x:v>INT</x:v>
      </x:c>
      <x:c r="H1647" s="9" t="str">
        <x:v>OG09</x:v>
      </x:c>
      <x:c r="I1647" s="17" t="str">
        <x:v>Intervention account</x:v>
      </x:c>
      <x:c r="J1647" s="17" t="str">
        <x:v>all stop, rescue, operator and public-protection actions remain timestamped</x:v>
      </x:c>
      <x:c r="K1647" s="17" t="str">
        <x:v>Safety record court</x:v>
      </x:c>
      <x:c r="L1647" s="9" t="n">
        <x:v>0</x:v>
      </x:c>
      <x:c r="M1647" s="9" t="n">
        <x:v>0</x:v>
      </x:c>
      <x:c r="N1647" s="9" t="str">
        <x:v>OPEN / UNACCEPTED</x:v>
      </x:c>
      <x:c r="O1647" s="9" t="n">
        <x:f>COUNTIFS($A$7:$A$1734,A1647)</x:f>
        <x:v>1</x:v>
      </x:c>
    </x:row>
    <x:row r="1648">
      <x:c r="A1648" s="9" t="str">
        <x:v>EV-AR-RT-B-C-TECH-1-B1-INT-G0-OG10</x:v>
      </x:c>
      <x:c r="B1648" s="9" t="str">
        <x:v>EV-AR-RT-B-C-TECH-1-B1-INT-G0</x:v>
      </x:c>
      <x:c r="C1648" s="9" t="str">
        <x:v>AR-RT-B-C-TECH-1-B1-INT-G0</x:v>
      </x:c>
      <x:c r="D1648" s="9" t="str">
        <x:v>RT-B-C-TECH-1</x:v>
      </x:c>
      <x:c r="E1648" s="9" t="str">
        <x:v>RT-B-C</x:v>
      </x:c>
      <x:c r="F1648" s="9" t="str">
        <x:v>B1</x:v>
      </x:c>
      <x:c r="G1648" s="9" t="str">
        <x:v>INT</x:v>
      </x:c>
      <x:c r="H1648" s="9" t="str">
        <x:v>OG10</x:v>
      </x:c>
      <x:c r="I1648" s="17" t="str">
        <x:v>Uncertainty statement</x:v>
      </x:c>
      <x:c r="J1648" s="17" t="str">
        <x:v>range, censoring, resolution and correlation are declared before judgment</x:v>
      </x:c>
      <x:c r="K1648" s="17" t="str">
        <x:v>Uncertainty authority</x:v>
      </x:c>
      <x:c r="L1648" s="9" t="n">
        <x:v>0</x:v>
      </x:c>
      <x:c r="M1648" s="9" t="n">
        <x:v>0</x:v>
      </x:c>
      <x:c r="N1648" s="9" t="str">
        <x:v>OPEN / UNACCEPTED</x:v>
      </x:c>
      <x:c r="O1648" s="9" t="n">
        <x:f>COUNTIFS($A$7:$A$1734,A1648)</x:f>
        <x:v>1</x:v>
      </x:c>
    </x:row>
    <x:row r="1649">
      <x:c r="A1649" s="9" t="str">
        <x:v>EV-AR-RT-B-C-TECH-1-B1-INT-G0-OG11</x:v>
      </x:c>
      <x:c r="B1649" s="9" t="str">
        <x:v>EV-AR-RT-B-C-TECH-1-B1-INT-G0</x:v>
      </x:c>
      <x:c r="C1649" s="9" t="str">
        <x:v>AR-RT-B-C-TECH-1-B1-INT-G0</x:v>
      </x:c>
      <x:c r="D1649" s="9" t="str">
        <x:v>RT-B-C-TECH-1</x:v>
      </x:c>
      <x:c r="E1649" s="9" t="str">
        <x:v>RT-B-C</x:v>
      </x:c>
      <x:c r="F1649" s="9" t="str">
        <x:v>B1</x:v>
      </x:c>
      <x:c r="G1649" s="9" t="str">
        <x:v>INT</x:v>
      </x:c>
      <x:c r="H1649" s="9" t="str">
        <x:v>OG11</x:v>
      </x:c>
      <x:c r="I1649" s="17" t="str">
        <x:v>Contradiction preservation</x:v>
      </x:c>
      <x:c r="J1649" s="17" t="str">
        <x:v>primary-witness disagreement remains explicit and is never averaged away</x:v>
      </x:c>
      <x:c r="K1649" s="17" t="str">
        <x:v>Dissent registrar</x:v>
      </x:c>
      <x:c r="L1649" s="9" t="n">
        <x:v>0</x:v>
      </x:c>
      <x:c r="M1649" s="9" t="n">
        <x:v>0</x:v>
      </x:c>
      <x:c r="N1649" s="9" t="str">
        <x:v>OPEN / UNACCEPTED</x:v>
      </x:c>
      <x:c r="O1649" s="9" t="n">
        <x:f>COUNTIFS($A$7:$A$1734,A1649)</x:f>
        <x:v>1</x:v>
      </x:c>
    </x:row>
    <x:row r="1650">
      <x:c r="A1650" s="9" t="str">
        <x:v>EV-AR-RT-B-C-TECH-1-B1-INT-G0-OG12</x:v>
      </x:c>
      <x:c r="B1650" s="9" t="str">
        <x:v>EV-AR-RT-B-C-TECH-1-B1-INT-G0</x:v>
      </x:c>
      <x:c r="C1650" s="9" t="str">
        <x:v>AR-RT-B-C-TECH-1-B1-INT-G0</x:v>
      </x:c>
      <x:c r="D1650" s="9" t="str">
        <x:v>RT-B-C-TECH-1</x:v>
      </x:c>
      <x:c r="E1650" s="9" t="str">
        <x:v>RT-B-C</x:v>
      </x:c>
      <x:c r="F1650" s="9" t="str">
        <x:v>B1</x:v>
      </x:c>
      <x:c r="G1650" s="9" t="str">
        <x:v>INT</x:v>
      </x:c>
      <x:c r="H1650" s="9" t="str">
        <x:v>OG12</x:v>
      </x:c>
      <x:c r="I1650" s="17" t="str">
        <x:v>Independent replay</x:v>
      </x:c>
      <x:c r="J1650" s="17" t="str">
        <x:v>a separated reader reconstructs the registered observables from sealed originals</x:v>
      </x:c>
      <x:c r="K1650" s="17" t="str">
        <x:v>Replay court</x:v>
      </x:c>
      <x:c r="L1650" s="9" t="n">
        <x:v>0</x:v>
      </x:c>
      <x:c r="M1650" s="9" t="n">
        <x:v>0</x:v>
      </x:c>
      <x:c r="N1650" s="9" t="str">
        <x:v>OPEN / UNACCEPTED</x:v>
      </x:c>
      <x:c r="O1650" s="9" t="n">
        <x:f>COUNTIFS($A$7:$A$1734,A1650)</x:f>
        <x:v>1</x:v>
      </x:c>
    </x:row>
    <x:row r="1651">
      <x:c r="A1651" s="9" t="str">
        <x:v>EV-AR-RT-B-C-TECH-4-B2-BRK-G0-OG01</x:v>
      </x:c>
      <x:c r="B1651" s="9" t="str">
        <x:v>EV-AR-RT-B-C-TECH-4-B2-BRK-G0</x:v>
      </x:c>
      <x:c r="C1651" s="9" t="str">
        <x:v>AR-RT-B-C-TECH-4-B2-BRK-G0</x:v>
      </x:c>
      <x:c r="D1651" s="9" t="str">
        <x:v>RT-B-C-TECH-4</x:v>
      </x:c>
      <x:c r="E1651" s="9" t="str">
        <x:v>RT-B-C</x:v>
      </x:c>
      <x:c r="F1651" s="9" t="str">
        <x:v>B2</x:v>
      </x:c>
      <x:c r="G1651" s="9" t="str">
        <x:v>BRK</x:v>
      </x:c>
      <x:c r="H1651" s="9" t="str">
        <x:v>OG01</x:v>
      </x:c>
      <x:c r="I1651" s="17" t="str">
        <x:v>Serial and event identity</x:v>
      </x:c>
      <x:c r="J1651" s="17" t="str">
        <x:v>record resolves to the issued serial, generation and physical start</x:v>
      </x:c>
      <x:c r="K1651" s="17" t="str">
        <x:v>Observation court</x:v>
      </x:c>
      <x:c r="L1651" s="9" t="n">
        <x:v>0</x:v>
      </x:c>
      <x:c r="M1651" s="9" t="n">
        <x:v>0</x:v>
      </x:c>
      <x:c r="N1651" s="9" t="str">
        <x:v>OPEN / UNACCEPTED</x:v>
      </x:c>
      <x:c r="O1651" s="9" t="n">
        <x:f>COUNTIFS($A$7:$A$1734,A1651)</x:f>
        <x:v>1</x:v>
      </x:c>
    </x:row>
    <x:row r="1652">
      <x:c r="A1652" s="9" t="str">
        <x:v>EV-AR-RT-B-C-TECH-4-B2-BRK-G0-OG02</x:v>
      </x:c>
      <x:c r="B1652" s="9" t="str">
        <x:v>EV-AR-RT-B-C-TECH-4-B2-BRK-G0</x:v>
      </x:c>
      <x:c r="C1652" s="9" t="str">
        <x:v>AR-RT-B-C-TECH-4-B2-BRK-G0</x:v>
      </x:c>
      <x:c r="D1652" s="9" t="str">
        <x:v>RT-B-C-TECH-4</x:v>
      </x:c>
      <x:c r="E1652" s="9" t="str">
        <x:v>RT-B-C</x:v>
      </x:c>
      <x:c r="F1652" s="9" t="str">
        <x:v>B2</x:v>
      </x:c>
      <x:c r="G1652" s="9" t="str">
        <x:v>BRK</x:v>
      </x:c>
      <x:c r="H1652" s="9" t="str">
        <x:v>OG02</x:v>
      </x:c>
      <x:c r="I1652" s="17" t="str">
        <x:v>Time ancestry</x:v>
      </x:c>
      <x:c r="J1652" s="17" t="str">
        <x:v>primary, witness and public event clocks retain declared offsets and drift</x:v>
      </x:c>
      <x:c r="K1652" s="17" t="str">
        <x:v>Time authority</x:v>
      </x:c>
      <x:c r="L1652" s="9" t="n">
        <x:v>0</x:v>
      </x:c>
      <x:c r="M1652" s="9" t="n">
        <x:v>0</x:v>
      </x:c>
      <x:c r="N1652" s="9" t="str">
        <x:v>OPEN / UNACCEPTED</x:v>
      </x:c>
      <x:c r="O1652" s="9" t="n">
        <x:f>COUNTIFS($A$7:$A$1734,A1652)</x:f>
        <x:v>1</x:v>
      </x:c>
    </x:row>
    <x:row r="1653">
      <x:c r="A1653" s="9" t="str">
        <x:v>EV-AR-RT-B-C-TECH-4-B2-BRK-G0-OG03</x:v>
      </x:c>
      <x:c r="B1653" s="9" t="str">
        <x:v>EV-AR-RT-B-C-TECH-4-B2-BRK-G0</x:v>
      </x:c>
      <x:c r="C1653" s="9" t="str">
        <x:v>AR-RT-B-C-TECH-4-B2-BRK-G0</x:v>
      </x:c>
      <x:c r="D1653" s="9" t="str">
        <x:v>RT-B-C-TECH-4</x:v>
      </x:c>
      <x:c r="E1653" s="9" t="str">
        <x:v>RT-B-C</x:v>
      </x:c>
      <x:c r="F1653" s="9" t="str">
        <x:v>B2</x:v>
      </x:c>
      <x:c r="G1653" s="9" t="str">
        <x:v>BRK</x:v>
      </x:c>
      <x:c r="H1653" s="9" t="str">
        <x:v>OG03</x:v>
      </x:c>
      <x:c r="I1653" s="17" t="str">
        <x:v>Calibration ancestry</x:v>
      </x:c>
      <x:c r="J1653" s="17" t="str">
        <x:v>all reference, range and uncertainty states cover the live interval</x:v>
      </x:c>
      <x:c r="K1653" s="17" t="str">
        <x:v>Metrology courts</x:v>
      </x:c>
      <x:c r="L1653" s="9" t="n">
        <x:v>0</x:v>
      </x:c>
      <x:c r="M1653" s="9" t="n">
        <x:v>0</x:v>
      </x:c>
      <x:c r="N1653" s="9" t="str">
        <x:v>OPEN / UNACCEPTED</x:v>
      </x:c>
      <x:c r="O1653" s="9" t="n">
        <x:f>COUNTIFS($A$7:$A$1734,A1653)</x:f>
        <x:v>1</x:v>
      </x:c>
    </x:row>
    <x:row r="1654">
      <x:c r="A1654" s="9" t="str">
        <x:v>EV-AR-RT-B-C-TECH-4-B2-BRK-G0-OG04</x:v>
      </x:c>
      <x:c r="B1654" s="9" t="str">
        <x:v>EV-AR-RT-B-C-TECH-4-B2-BRK-G0</x:v>
      </x:c>
      <x:c r="C1654" s="9" t="str">
        <x:v>AR-RT-B-C-TECH-4-B2-BRK-G0</x:v>
      </x:c>
      <x:c r="D1654" s="9" t="str">
        <x:v>RT-B-C-TECH-4</x:v>
      </x:c>
      <x:c r="E1654" s="9" t="str">
        <x:v>RT-B-C</x:v>
      </x:c>
      <x:c r="F1654" s="9" t="str">
        <x:v>B2</x:v>
      </x:c>
      <x:c r="G1654" s="9" t="str">
        <x:v>BRK</x:v>
      </x:c>
      <x:c r="H1654" s="9" t="str">
        <x:v>OG04</x:v>
      </x:c>
      <x:c r="I1654" s="17" t="str">
        <x:v>Raw completeness</x:v>
      </x:c>
      <x:c r="J1654" s="17" t="str">
        <x:v>missingness is enumerated without imputation or outcome-conditioned deletion</x:v>
      </x:c>
      <x:c r="K1654" s="17" t="str">
        <x:v>Observation court</x:v>
      </x:c>
      <x:c r="L1654" s="9" t="n">
        <x:v>0</x:v>
      </x:c>
      <x:c r="M1654" s="9" t="n">
        <x:v>0</x:v>
      </x:c>
      <x:c r="N1654" s="9" t="str">
        <x:v>OPEN / UNACCEPTED</x:v>
      </x:c>
      <x:c r="O1654" s="9" t="n">
        <x:f>COUNTIFS($A$7:$A$1734,A1654)</x:f>
        <x:v>1</x:v>
      </x:c>
    </x:row>
    <x:row r="1655">
      <x:c r="A1655" s="9" t="str">
        <x:v>EV-AR-RT-B-C-TECH-4-B2-BRK-G0-OG05</x:v>
      </x:c>
      <x:c r="B1655" s="9" t="str">
        <x:v>EV-AR-RT-B-C-TECH-4-B2-BRK-G0</x:v>
      </x:c>
      <x:c r="C1655" s="9" t="str">
        <x:v>AR-RT-B-C-TECH-4-B2-BRK-G0</x:v>
      </x:c>
      <x:c r="D1655" s="9" t="str">
        <x:v>RT-B-C-TECH-4</x:v>
      </x:c>
      <x:c r="E1655" s="9" t="str">
        <x:v>RT-B-C</x:v>
      </x:c>
      <x:c r="F1655" s="9" t="str">
        <x:v>B2</x:v>
      </x:c>
      <x:c r="G1655" s="9" t="str">
        <x:v>BRK</x:v>
      </x:c>
      <x:c r="H1655" s="9" t="str">
        <x:v>OG05</x:v>
      </x:c>
      <x:c r="I1655" s="17" t="str">
        <x:v>Primary provenance</x:v>
      </x:c>
      <x:c r="J1655" s="17" t="str">
        <x:v>primary originals, hashes, keys and access history reconcile</x:v>
      </x:c>
      <x:c r="K1655" s="17" t="str">
        <x:v>Primary custody</x:v>
      </x:c>
      <x:c r="L1655" s="9" t="n">
        <x:v>0</x:v>
      </x:c>
      <x:c r="M1655" s="9" t="n">
        <x:v>0</x:v>
      </x:c>
      <x:c r="N1655" s="9" t="str">
        <x:v>OPEN / UNACCEPTED</x:v>
      </x:c>
      <x:c r="O1655" s="9" t="n">
        <x:f>COUNTIFS($A$7:$A$1734,A1655)</x:f>
        <x:v>1</x:v>
      </x:c>
    </x:row>
    <x:row r="1656">
      <x:c r="A1656" s="9" t="str">
        <x:v>EV-AR-RT-B-C-TECH-4-B2-BRK-G0-OG06</x:v>
      </x:c>
      <x:c r="B1656" s="9" t="str">
        <x:v>EV-AR-RT-B-C-TECH-4-B2-BRK-G0</x:v>
      </x:c>
      <x:c r="C1656" s="9" t="str">
        <x:v>AR-RT-B-C-TECH-4-B2-BRK-G0</x:v>
      </x:c>
      <x:c r="D1656" s="9" t="str">
        <x:v>RT-B-C-TECH-4</x:v>
      </x:c>
      <x:c r="E1656" s="9" t="str">
        <x:v>RT-B-C</x:v>
      </x:c>
      <x:c r="F1656" s="9" t="str">
        <x:v>B2</x:v>
      </x:c>
      <x:c r="G1656" s="9" t="str">
        <x:v>BRK</x:v>
      </x:c>
      <x:c r="H1656" s="9" t="str">
        <x:v>OG06</x:v>
      </x:c>
      <x:c r="I1656" s="17" t="str">
        <x:v>Witness provenance</x:v>
      </x:c>
      <x:c r="J1656" s="17" t="str">
        <x:v>unlike witness originals, hashes, keys and access history reconcile</x:v>
      </x:c>
      <x:c r="K1656" s="17" t="str">
        <x:v>Witness custody</x:v>
      </x:c>
      <x:c r="L1656" s="9" t="n">
        <x:v>0</x:v>
      </x:c>
      <x:c r="M1656" s="9" t="n">
        <x:v>0</x:v>
      </x:c>
      <x:c r="N1656" s="9" t="str">
        <x:v>OPEN / UNACCEPTED</x:v>
      </x:c>
      <x:c r="O1656" s="9" t="n">
        <x:f>COUNTIFS($A$7:$A$1734,A1656)</x:f>
        <x:v>1</x:v>
      </x:c>
    </x:row>
    <x:row r="1657">
      <x:c r="A1657" s="9" t="str">
        <x:v>EV-AR-RT-B-C-TECH-4-B2-BRK-G0-OG07</x:v>
      </x:c>
      <x:c r="B1657" s="9" t="str">
        <x:v>EV-AR-RT-B-C-TECH-4-B2-BRK-G0</x:v>
      </x:c>
      <x:c r="C1657" s="9" t="str">
        <x:v>AR-RT-B-C-TECH-4-B2-BRK-G0</x:v>
      </x:c>
      <x:c r="D1657" s="9" t="str">
        <x:v>RT-B-C-TECH-4</x:v>
      </x:c>
      <x:c r="E1657" s="9" t="str">
        <x:v>RT-B-C</x:v>
      </x:c>
      <x:c r="F1657" s="9" t="str">
        <x:v>B2</x:v>
      </x:c>
      <x:c r="G1657" s="9" t="str">
        <x:v>BRK</x:v>
      </x:c>
      <x:c r="H1657" s="9" t="str">
        <x:v>OG07</x:v>
      </x:c>
      <x:c r="I1657" s="17" t="str">
        <x:v>Receiver denominator</x:v>
      </x:c>
      <x:c r="J1657" s="17" t="str">
        <x:v>population, quantity, duration and exclusions match the frozen receipt</x:v>
      </x:c>
      <x:c r="K1657" s="17" t="str">
        <x:v>Receiver court</x:v>
      </x:c>
      <x:c r="L1657" s="9" t="n">
        <x:v>0</x:v>
      </x:c>
      <x:c r="M1657" s="9" t="n">
        <x:v>0</x:v>
      </x:c>
      <x:c r="N1657" s="9" t="str">
        <x:v>OPEN / UNACCEPTED</x:v>
      </x:c>
      <x:c r="O1657" s="9" t="n">
        <x:f>COUNTIFS($A$7:$A$1734,A1657)</x:f>
        <x:v>1</x:v>
      </x:c>
    </x:row>
    <x:row r="1658">
      <x:c r="A1658" s="9" t="str">
        <x:v>EV-AR-RT-B-C-TECH-4-B2-BRK-G0-OG08</x:v>
      </x:c>
      <x:c r="B1658" s="9" t="str">
        <x:v>EV-AR-RT-B-C-TECH-4-B2-BRK-G0</x:v>
      </x:c>
      <x:c r="C1658" s="9" t="str">
        <x:v>AR-RT-B-C-TECH-4-B2-BRK-G0</x:v>
      </x:c>
      <x:c r="D1658" s="9" t="str">
        <x:v>RT-B-C-TECH-4</x:v>
      </x:c>
      <x:c r="E1658" s="9" t="str">
        <x:v>RT-B-C</x:v>
      </x:c>
      <x:c r="F1658" s="9" t="str">
        <x:v>B2</x:v>
      </x:c>
      <x:c r="G1658" s="9" t="str">
        <x:v>BRK</x:v>
      </x:c>
      <x:c r="H1658" s="9" t="str">
        <x:v>OG08</x:v>
      </x:c>
      <x:c r="I1658" s="17" t="str">
        <x:v>Environment and boundary</x:v>
      </x:c>
      <x:c r="J1658" s="17" t="str">
        <x:v>registered weather, water, ground, inlet and outlet states are retained</x:v>
      </x:c>
      <x:c r="K1658" s="17" t="str">
        <x:v>Boundary court</x:v>
      </x:c>
      <x:c r="L1658" s="9" t="n">
        <x:v>0</x:v>
      </x:c>
      <x:c r="M1658" s="9" t="n">
        <x:v>0</x:v>
      </x:c>
      <x:c r="N1658" s="9" t="str">
        <x:v>OPEN / UNACCEPTED</x:v>
      </x:c>
      <x:c r="O1658" s="9" t="n">
        <x:f>COUNTIFS($A$7:$A$1734,A1658)</x:f>
        <x:v>1</x:v>
      </x:c>
    </x:row>
    <x:row r="1659">
      <x:c r="A1659" s="9" t="str">
        <x:v>EV-AR-RT-B-C-TECH-4-B2-BRK-G0-OG09</x:v>
      </x:c>
      <x:c r="B1659" s="9" t="str">
        <x:v>EV-AR-RT-B-C-TECH-4-B2-BRK-G0</x:v>
      </x:c>
      <x:c r="C1659" s="9" t="str">
        <x:v>AR-RT-B-C-TECH-4-B2-BRK-G0</x:v>
      </x:c>
      <x:c r="D1659" s="9" t="str">
        <x:v>RT-B-C-TECH-4</x:v>
      </x:c>
      <x:c r="E1659" s="9" t="str">
        <x:v>RT-B-C</x:v>
      </x:c>
      <x:c r="F1659" s="9" t="str">
        <x:v>B2</x:v>
      </x:c>
      <x:c r="G1659" s="9" t="str">
        <x:v>BRK</x:v>
      </x:c>
      <x:c r="H1659" s="9" t="str">
        <x:v>OG09</x:v>
      </x:c>
      <x:c r="I1659" s="17" t="str">
        <x:v>Intervention account</x:v>
      </x:c>
      <x:c r="J1659" s="17" t="str">
        <x:v>all stop, rescue, operator and public-protection actions remain timestamped</x:v>
      </x:c>
      <x:c r="K1659" s="17" t="str">
        <x:v>Safety record court</x:v>
      </x:c>
      <x:c r="L1659" s="9" t="n">
        <x:v>0</x:v>
      </x:c>
      <x:c r="M1659" s="9" t="n">
        <x:v>0</x:v>
      </x:c>
      <x:c r="N1659" s="9" t="str">
        <x:v>OPEN / UNACCEPTED</x:v>
      </x:c>
      <x:c r="O1659" s="9" t="n">
        <x:f>COUNTIFS($A$7:$A$1734,A1659)</x:f>
        <x:v>1</x:v>
      </x:c>
    </x:row>
    <x:row r="1660">
      <x:c r="A1660" s="9" t="str">
        <x:v>EV-AR-RT-B-C-TECH-4-B2-BRK-G0-OG10</x:v>
      </x:c>
      <x:c r="B1660" s="9" t="str">
        <x:v>EV-AR-RT-B-C-TECH-4-B2-BRK-G0</x:v>
      </x:c>
      <x:c r="C1660" s="9" t="str">
        <x:v>AR-RT-B-C-TECH-4-B2-BRK-G0</x:v>
      </x:c>
      <x:c r="D1660" s="9" t="str">
        <x:v>RT-B-C-TECH-4</x:v>
      </x:c>
      <x:c r="E1660" s="9" t="str">
        <x:v>RT-B-C</x:v>
      </x:c>
      <x:c r="F1660" s="9" t="str">
        <x:v>B2</x:v>
      </x:c>
      <x:c r="G1660" s="9" t="str">
        <x:v>BRK</x:v>
      </x:c>
      <x:c r="H1660" s="9" t="str">
        <x:v>OG10</x:v>
      </x:c>
      <x:c r="I1660" s="17" t="str">
        <x:v>Uncertainty statement</x:v>
      </x:c>
      <x:c r="J1660" s="17" t="str">
        <x:v>range, censoring, resolution and correlation are declared before judgment</x:v>
      </x:c>
      <x:c r="K1660" s="17" t="str">
        <x:v>Uncertainty authority</x:v>
      </x:c>
      <x:c r="L1660" s="9" t="n">
        <x:v>0</x:v>
      </x:c>
      <x:c r="M1660" s="9" t="n">
        <x:v>0</x:v>
      </x:c>
      <x:c r="N1660" s="9" t="str">
        <x:v>OPEN / UNACCEPTED</x:v>
      </x:c>
      <x:c r="O1660" s="9" t="n">
        <x:f>COUNTIFS($A$7:$A$1734,A1660)</x:f>
        <x:v>1</x:v>
      </x:c>
    </x:row>
    <x:row r="1661">
      <x:c r="A1661" s="9" t="str">
        <x:v>EV-AR-RT-B-C-TECH-4-B2-BRK-G0-OG11</x:v>
      </x:c>
      <x:c r="B1661" s="9" t="str">
        <x:v>EV-AR-RT-B-C-TECH-4-B2-BRK-G0</x:v>
      </x:c>
      <x:c r="C1661" s="9" t="str">
        <x:v>AR-RT-B-C-TECH-4-B2-BRK-G0</x:v>
      </x:c>
      <x:c r="D1661" s="9" t="str">
        <x:v>RT-B-C-TECH-4</x:v>
      </x:c>
      <x:c r="E1661" s="9" t="str">
        <x:v>RT-B-C</x:v>
      </x:c>
      <x:c r="F1661" s="9" t="str">
        <x:v>B2</x:v>
      </x:c>
      <x:c r="G1661" s="9" t="str">
        <x:v>BRK</x:v>
      </x:c>
      <x:c r="H1661" s="9" t="str">
        <x:v>OG11</x:v>
      </x:c>
      <x:c r="I1661" s="17" t="str">
        <x:v>Contradiction preservation</x:v>
      </x:c>
      <x:c r="J1661" s="17" t="str">
        <x:v>primary-witness disagreement remains explicit and is never averaged away</x:v>
      </x:c>
      <x:c r="K1661" s="17" t="str">
        <x:v>Dissent registrar</x:v>
      </x:c>
      <x:c r="L1661" s="9" t="n">
        <x:v>0</x:v>
      </x:c>
      <x:c r="M1661" s="9" t="n">
        <x:v>0</x:v>
      </x:c>
      <x:c r="N1661" s="9" t="str">
        <x:v>OPEN / UNACCEPTED</x:v>
      </x:c>
      <x:c r="O1661" s="9" t="n">
        <x:f>COUNTIFS($A$7:$A$1734,A1661)</x:f>
        <x:v>1</x:v>
      </x:c>
    </x:row>
    <x:row r="1662">
      <x:c r="A1662" s="9" t="str">
        <x:v>EV-AR-RT-B-C-TECH-4-B2-BRK-G0-OG12</x:v>
      </x:c>
      <x:c r="B1662" s="9" t="str">
        <x:v>EV-AR-RT-B-C-TECH-4-B2-BRK-G0</x:v>
      </x:c>
      <x:c r="C1662" s="9" t="str">
        <x:v>AR-RT-B-C-TECH-4-B2-BRK-G0</x:v>
      </x:c>
      <x:c r="D1662" s="9" t="str">
        <x:v>RT-B-C-TECH-4</x:v>
      </x:c>
      <x:c r="E1662" s="9" t="str">
        <x:v>RT-B-C</x:v>
      </x:c>
      <x:c r="F1662" s="9" t="str">
        <x:v>B2</x:v>
      </x:c>
      <x:c r="G1662" s="9" t="str">
        <x:v>BRK</x:v>
      </x:c>
      <x:c r="H1662" s="9" t="str">
        <x:v>OG12</x:v>
      </x:c>
      <x:c r="I1662" s="17" t="str">
        <x:v>Independent replay</x:v>
      </x:c>
      <x:c r="J1662" s="17" t="str">
        <x:v>a separated reader reconstructs the registered observables from sealed originals</x:v>
      </x:c>
      <x:c r="K1662" s="17" t="str">
        <x:v>Replay court</x:v>
      </x:c>
      <x:c r="L1662" s="9" t="n">
        <x:v>0</x:v>
      </x:c>
      <x:c r="M1662" s="9" t="n">
        <x:v>0</x:v>
      </x:c>
      <x:c r="N1662" s="9" t="str">
        <x:v>OPEN / UNACCEPTED</x:v>
      </x:c>
      <x:c r="O1662" s="9" t="n">
        <x:f>COUNTIFS($A$7:$A$1734,A1662)</x:f>
        <x:v>1</x:v>
      </x:c>
    </x:row>
    <x:row r="1663">
      <x:c r="A1663" s="9" t="str">
        <x:v>EV-AR-CT-C-B-TECH-2-B2-BRK-G0-OG01</x:v>
      </x:c>
      <x:c r="B1663" s="9" t="str">
        <x:v>EV-AR-CT-C-B-TECH-2-B2-BRK-G0</x:v>
      </x:c>
      <x:c r="C1663" s="9" t="str">
        <x:v>AR-CT-C-B-TECH-2-B2-BRK-G0</x:v>
      </x:c>
      <x:c r="D1663" s="9" t="str">
        <x:v>CT-C-B-TECH-2</x:v>
      </x:c>
      <x:c r="E1663" s="9" t="str">
        <x:v>CT-C-B</x:v>
      </x:c>
      <x:c r="F1663" s="9" t="str">
        <x:v>B2</x:v>
      </x:c>
      <x:c r="G1663" s="9" t="str">
        <x:v>BRK</x:v>
      </x:c>
      <x:c r="H1663" s="9" t="str">
        <x:v>OG01</x:v>
      </x:c>
      <x:c r="I1663" s="17" t="str">
        <x:v>Serial and event identity</x:v>
      </x:c>
      <x:c r="J1663" s="17" t="str">
        <x:v>record resolves to the issued serial, generation and physical start</x:v>
      </x:c>
      <x:c r="K1663" s="17" t="str">
        <x:v>Observation court</x:v>
      </x:c>
      <x:c r="L1663" s="9" t="n">
        <x:v>0</x:v>
      </x:c>
      <x:c r="M1663" s="9" t="n">
        <x:v>0</x:v>
      </x:c>
      <x:c r="N1663" s="9" t="str">
        <x:v>OPEN / UNACCEPTED</x:v>
      </x:c>
      <x:c r="O1663" s="9" t="n">
        <x:f>COUNTIFS($A$7:$A$1734,A1663)</x:f>
        <x:v>1</x:v>
      </x:c>
    </x:row>
    <x:row r="1664">
      <x:c r="A1664" s="9" t="str">
        <x:v>EV-AR-CT-C-B-TECH-2-B2-BRK-G0-OG02</x:v>
      </x:c>
      <x:c r="B1664" s="9" t="str">
        <x:v>EV-AR-CT-C-B-TECH-2-B2-BRK-G0</x:v>
      </x:c>
      <x:c r="C1664" s="9" t="str">
        <x:v>AR-CT-C-B-TECH-2-B2-BRK-G0</x:v>
      </x:c>
      <x:c r="D1664" s="9" t="str">
        <x:v>CT-C-B-TECH-2</x:v>
      </x:c>
      <x:c r="E1664" s="9" t="str">
        <x:v>CT-C-B</x:v>
      </x:c>
      <x:c r="F1664" s="9" t="str">
        <x:v>B2</x:v>
      </x:c>
      <x:c r="G1664" s="9" t="str">
        <x:v>BRK</x:v>
      </x:c>
      <x:c r="H1664" s="9" t="str">
        <x:v>OG02</x:v>
      </x:c>
      <x:c r="I1664" s="17" t="str">
        <x:v>Time ancestry</x:v>
      </x:c>
      <x:c r="J1664" s="17" t="str">
        <x:v>primary, witness and public event clocks retain declared offsets and drift</x:v>
      </x:c>
      <x:c r="K1664" s="17" t="str">
        <x:v>Time authority</x:v>
      </x:c>
      <x:c r="L1664" s="9" t="n">
        <x:v>0</x:v>
      </x:c>
      <x:c r="M1664" s="9" t="n">
        <x:v>0</x:v>
      </x:c>
      <x:c r="N1664" s="9" t="str">
        <x:v>OPEN / UNACCEPTED</x:v>
      </x:c>
      <x:c r="O1664" s="9" t="n">
        <x:f>COUNTIFS($A$7:$A$1734,A1664)</x:f>
        <x:v>1</x:v>
      </x:c>
    </x:row>
    <x:row r="1665">
      <x:c r="A1665" s="9" t="str">
        <x:v>EV-AR-CT-C-B-TECH-2-B2-BRK-G0-OG03</x:v>
      </x:c>
      <x:c r="B1665" s="9" t="str">
        <x:v>EV-AR-CT-C-B-TECH-2-B2-BRK-G0</x:v>
      </x:c>
      <x:c r="C1665" s="9" t="str">
        <x:v>AR-CT-C-B-TECH-2-B2-BRK-G0</x:v>
      </x:c>
      <x:c r="D1665" s="9" t="str">
        <x:v>CT-C-B-TECH-2</x:v>
      </x:c>
      <x:c r="E1665" s="9" t="str">
        <x:v>CT-C-B</x:v>
      </x:c>
      <x:c r="F1665" s="9" t="str">
        <x:v>B2</x:v>
      </x:c>
      <x:c r="G1665" s="9" t="str">
        <x:v>BRK</x:v>
      </x:c>
      <x:c r="H1665" s="9" t="str">
        <x:v>OG03</x:v>
      </x:c>
      <x:c r="I1665" s="17" t="str">
        <x:v>Calibration ancestry</x:v>
      </x:c>
      <x:c r="J1665" s="17" t="str">
        <x:v>all reference, range and uncertainty states cover the live interval</x:v>
      </x:c>
      <x:c r="K1665" s="17" t="str">
        <x:v>Metrology courts</x:v>
      </x:c>
      <x:c r="L1665" s="9" t="n">
        <x:v>0</x:v>
      </x:c>
      <x:c r="M1665" s="9" t="n">
        <x:v>0</x:v>
      </x:c>
      <x:c r="N1665" s="9" t="str">
        <x:v>OPEN / UNACCEPTED</x:v>
      </x:c>
      <x:c r="O1665" s="9" t="n">
        <x:f>COUNTIFS($A$7:$A$1734,A1665)</x:f>
        <x:v>1</x:v>
      </x:c>
    </x:row>
    <x:row r="1666">
      <x:c r="A1666" s="9" t="str">
        <x:v>EV-AR-CT-C-B-TECH-2-B2-BRK-G0-OG04</x:v>
      </x:c>
      <x:c r="B1666" s="9" t="str">
        <x:v>EV-AR-CT-C-B-TECH-2-B2-BRK-G0</x:v>
      </x:c>
      <x:c r="C1666" s="9" t="str">
        <x:v>AR-CT-C-B-TECH-2-B2-BRK-G0</x:v>
      </x:c>
      <x:c r="D1666" s="9" t="str">
        <x:v>CT-C-B-TECH-2</x:v>
      </x:c>
      <x:c r="E1666" s="9" t="str">
        <x:v>CT-C-B</x:v>
      </x:c>
      <x:c r="F1666" s="9" t="str">
        <x:v>B2</x:v>
      </x:c>
      <x:c r="G1666" s="9" t="str">
        <x:v>BRK</x:v>
      </x:c>
      <x:c r="H1666" s="9" t="str">
        <x:v>OG04</x:v>
      </x:c>
      <x:c r="I1666" s="17" t="str">
        <x:v>Raw completeness</x:v>
      </x:c>
      <x:c r="J1666" s="17" t="str">
        <x:v>missingness is enumerated without imputation or outcome-conditioned deletion</x:v>
      </x:c>
      <x:c r="K1666" s="17" t="str">
        <x:v>Observation court</x:v>
      </x:c>
      <x:c r="L1666" s="9" t="n">
        <x:v>0</x:v>
      </x:c>
      <x:c r="M1666" s="9" t="n">
        <x:v>0</x:v>
      </x:c>
      <x:c r="N1666" s="9" t="str">
        <x:v>OPEN / UNACCEPTED</x:v>
      </x:c>
      <x:c r="O1666" s="9" t="n">
        <x:f>COUNTIFS($A$7:$A$1734,A1666)</x:f>
        <x:v>1</x:v>
      </x:c>
    </x:row>
    <x:row r="1667">
      <x:c r="A1667" s="9" t="str">
        <x:v>EV-AR-CT-C-B-TECH-2-B2-BRK-G0-OG05</x:v>
      </x:c>
      <x:c r="B1667" s="9" t="str">
        <x:v>EV-AR-CT-C-B-TECH-2-B2-BRK-G0</x:v>
      </x:c>
      <x:c r="C1667" s="9" t="str">
        <x:v>AR-CT-C-B-TECH-2-B2-BRK-G0</x:v>
      </x:c>
      <x:c r="D1667" s="9" t="str">
        <x:v>CT-C-B-TECH-2</x:v>
      </x:c>
      <x:c r="E1667" s="9" t="str">
        <x:v>CT-C-B</x:v>
      </x:c>
      <x:c r="F1667" s="9" t="str">
        <x:v>B2</x:v>
      </x:c>
      <x:c r="G1667" s="9" t="str">
        <x:v>BRK</x:v>
      </x:c>
      <x:c r="H1667" s="9" t="str">
        <x:v>OG05</x:v>
      </x:c>
      <x:c r="I1667" s="17" t="str">
        <x:v>Primary provenance</x:v>
      </x:c>
      <x:c r="J1667" s="17" t="str">
        <x:v>primary originals, hashes, keys and access history reconcile</x:v>
      </x:c>
      <x:c r="K1667" s="17" t="str">
        <x:v>Primary custody</x:v>
      </x:c>
      <x:c r="L1667" s="9" t="n">
        <x:v>0</x:v>
      </x:c>
      <x:c r="M1667" s="9" t="n">
        <x:v>0</x:v>
      </x:c>
      <x:c r="N1667" s="9" t="str">
        <x:v>OPEN / UNACCEPTED</x:v>
      </x:c>
      <x:c r="O1667" s="9" t="n">
        <x:f>COUNTIFS($A$7:$A$1734,A1667)</x:f>
        <x:v>1</x:v>
      </x:c>
    </x:row>
    <x:row r="1668">
      <x:c r="A1668" s="9" t="str">
        <x:v>EV-AR-CT-C-B-TECH-2-B2-BRK-G0-OG06</x:v>
      </x:c>
      <x:c r="B1668" s="9" t="str">
        <x:v>EV-AR-CT-C-B-TECH-2-B2-BRK-G0</x:v>
      </x:c>
      <x:c r="C1668" s="9" t="str">
        <x:v>AR-CT-C-B-TECH-2-B2-BRK-G0</x:v>
      </x:c>
      <x:c r="D1668" s="9" t="str">
        <x:v>CT-C-B-TECH-2</x:v>
      </x:c>
      <x:c r="E1668" s="9" t="str">
        <x:v>CT-C-B</x:v>
      </x:c>
      <x:c r="F1668" s="9" t="str">
        <x:v>B2</x:v>
      </x:c>
      <x:c r="G1668" s="9" t="str">
        <x:v>BRK</x:v>
      </x:c>
      <x:c r="H1668" s="9" t="str">
        <x:v>OG06</x:v>
      </x:c>
      <x:c r="I1668" s="17" t="str">
        <x:v>Witness provenance</x:v>
      </x:c>
      <x:c r="J1668" s="17" t="str">
        <x:v>unlike witness originals, hashes, keys and access history reconcile</x:v>
      </x:c>
      <x:c r="K1668" s="17" t="str">
        <x:v>Witness custody</x:v>
      </x:c>
      <x:c r="L1668" s="9" t="n">
        <x:v>0</x:v>
      </x:c>
      <x:c r="M1668" s="9" t="n">
        <x:v>0</x:v>
      </x:c>
      <x:c r="N1668" s="9" t="str">
        <x:v>OPEN / UNACCEPTED</x:v>
      </x:c>
      <x:c r="O1668" s="9" t="n">
        <x:f>COUNTIFS($A$7:$A$1734,A1668)</x:f>
        <x:v>1</x:v>
      </x:c>
    </x:row>
    <x:row r="1669">
      <x:c r="A1669" s="9" t="str">
        <x:v>EV-AR-CT-C-B-TECH-2-B2-BRK-G0-OG07</x:v>
      </x:c>
      <x:c r="B1669" s="9" t="str">
        <x:v>EV-AR-CT-C-B-TECH-2-B2-BRK-G0</x:v>
      </x:c>
      <x:c r="C1669" s="9" t="str">
        <x:v>AR-CT-C-B-TECH-2-B2-BRK-G0</x:v>
      </x:c>
      <x:c r="D1669" s="9" t="str">
        <x:v>CT-C-B-TECH-2</x:v>
      </x:c>
      <x:c r="E1669" s="9" t="str">
        <x:v>CT-C-B</x:v>
      </x:c>
      <x:c r="F1669" s="9" t="str">
        <x:v>B2</x:v>
      </x:c>
      <x:c r="G1669" s="9" t="str">
        <x:v>BRK</x:v>
      </x:c>
      <x:c r="H1669" s="9" t="str">
        <x:v>OG07</x:v>
      </x:c>
      <x:c r="I1669" s="17" t="str">
        <x:v>Receiver denominator</x:v>
      </x:c>
      <x:c r="J1669" s="17" t="str">
        <x:v>population, quantity, duration and exclusions match the frozen receipt</x:v>
      </x:c>
      <x:c r="K1669" s="17" t="str">
        <x:v>Receiver court</x:v>
      </x:c>
      <x:c r="L1669" s="9" t="n">
        <x:v>0</x:v>
      </x:c>
      <x:c r="M1669" s="9" t="n">
        <x:v>0</x:v>
      </x:c>
      <x:c r="N1669" s="9" t="str">
        <x:v>OPEN / UNACCEPTED</x:v>
      </x:c>
      <x:c r="O1669" s="9" t="n">
        <x:f>COUNTIFS($A$7:$A$1734,A1669)</x:f>
        <x:v>1</x:v>
      </x:c>
    </x:row>
    <x:row r="1670">
      <x:c r="A1670" s="9" t="str">
        <x:v>EV-AR-CT-C-B-TECH-2-B2-BRK-G0-OG08</x:v>
      </x:c>
      <x:c r="B1670" s="9" t="str">
        <x:v>EV-AR-CT-C-B-TECH-2-B2-BRK-G0</x:v>
      </x:c>
      <x:c r="C1670" s="9" t="str">
        <x:v>AR-CT-C-B-TECH-2-B2-BRK-G0</x:v>
      </x:c>
      <x:c r="D1670" s="9" t="str">
        <x:v>CT-C-B-TECH-2</x:v>
      </x:c>
      <x:c r="E1670" s="9" t="str">
        <x:v>CT-C-B</x:v>
      </x:c>
      <x:c r="F1670" s="9" t="str">
        <x:v>B2</x:v>
      </x:c>
      <x:c r="G1670" s="9" t="str">
        <x:v>BRK</x:v>
      </x:c>
      <x:c r="H1670" s="9" t="str">
        <x:v>OG08</x:v>
      </x:c>
      <x:c r="I1670" s="17" t="str">
        <x:v>Environment and boundary</x:v>
      </x:c>
      <x:c r="J1670" s="17" t="str">
        <x:v>registered weather, water, ground, inlet and outlet states are retained</x:v>
      </x:c>
      <x:c r="K1670" s="17" t="str">
        <x:v>Boundary court</x:v>
      </x:c>
      <x:c r="L1670" s="9" t="n">
        <x:v>0</x:v>
      </x:c>
      <x:c r="M1670" s="9" t="n">
        <x:v>0</x:v>
      </x:c>
      <x:c r="N1670" s="9" t="str">
        <x:v>OPEN / UNACCEPTED</x:v>
      </x:c>
      <x:c r="O1670" s="9" t="n">
        <x:f>COUNTIFS($A$7:$A$1734,A1670)</x:f>
        <x:v>1</x:v>
      </x:c>
    </x:row>
    <x:row r="1671">
      <x:c r="A1671" s="9" t="str">
        <x:v>EV-AR-CT-C-B-TECH-2-B2-BRK-G0-OG09</x:v>
      </x:c>
      <x:c r="B1671" s="9" t="str">
        <x:v>EV-AR-CT-C-B-TECH-2-B2-BRK-G0</x:v>
      </x:c>
      <x:c r="C1671" s="9" t="str">
        <x:v>AR-CT-C-B-TECH-2-B2-BRK-G0</x:v>
      </x:c>
      <x:c r="D1671" s="9" t="str">
        <x:v>CT-C-B-TECH-2</x:v>
      </x:c>
      <x:c r="E1671" s="9" t="str">
        <x:v>CT-C-B</x:v>
      </x:c>
      <x:c r="F1671" s="9" t="str">
        <x:v>B2</x:v>
      </x:c>
      <x:c r="G1671" s="9" t="str">
        <x:v>BRK</x:v>
      </x:c>
      <x:c r="H1671" s="9" t="str">
        <x:v>OG09</x:v>
      </x:c>
      <x:c r="I1671" s="17" t="str">
        <x:v>Intervention account</x:v>
      </x:c>
      <x:c r="J1671" s="17" t="str">
        <x:v>all stop, rescue, operator and public-protection actions remain timestamped</x:v>
      </x:c>
      <x:c r="K1671" s="17" t="str">
        <x:v>Safety record court</x:v>
      </x:c>
      <x:c r="L1671" s="9" t="n">
        <x:v>0</x:v>
      </x:c>
      <x:c r="M1671" s="9" t="n">
        <x:v>0</x:v>
      </x:c>
      <x:c r="N1671" s="9" t="str">
        <x:v>OPEN / UNACCEPTED</x:v>
      </x:c>
      <x:c r="O1671" s="9" t="n">
        <x:f>COUNTIFS($A$7:$A$1734,A1671)</x:f>
        <x:v>1</x:v>
      </x:c>
    </x:row>
    <x:row r="1672">
      <x:c r="A1672" s="9" t="str">
        <x:v>EV-AR-CT-C-B-TECH-2-B2-BRK-G0-OG10</x:v>
      </x:c>
      <x:c r="B1672" s="9" t="str">
        <x:v>EV-AR-CT-C-B-TECH-2-B2-BRK-G0</x:v>
      </x:c>
      <x:c r="C1672" s="9" t="str">
        <x:v>AR-CT-C-B-TECH-2-B2-BRK-G0</x:v>
      </x:c>
      <x:c r="D1672" s="9" t="str">
        <x:v>CT-C-B-TECH-2</x:v>
      </x:c>
      <x:c r="E1672" s="9" t="str">
        <x:v>CT-C-B</x:v>
      </x:c>
      <x:c r="F1672" s="9" t="str">
        <x:v>B2</x:v>
      </x:c>
      <x:c r="G1672" s="9" t="str">
        <x:v>BRK</x:v>
      </x:c>
      <x:c r="H1672" s="9" t="str">
        <x:v>OG10</x:v>
      </x:c>
      <x:c r="I1672" s="17" t="str">
        <x:v>Uncertainty statement</x:v>
      </x:c>
      <x:c r="J1672" s="17" t="str">
        <x:v>range, censoring, resolution and correlation are declared before judgment</x:v>
      </x:c>
      <x:c r="K1672" s="17" t="str">
        <x:v>Uncertainty authority</x:v>
      </x:c>
      <x:c r="L1672" s="9" t="n">
        <x:v>0</x:v>
      </x:c>
      <x:c r="M1672" s="9" t="n">
        <x:v>0</x:v>
      </x:c>
      <x:c r="N1672" s="9" t="str">
        <x:v>OPEN / UNACCEPTED</x:v>
      </x:c>
      <x:c r="O1672" s="9" t="n">
        <x:f>COUNTIFS($A$7:$A$1734,A1672)</x:f>
        <x:v>1</x:v>
      </x:c>
    </x:row>
    <x:row r="1673">
      <x:c r="A1673" s="9" t="str">
        <x:v>EV-AR-CT-C-B-TECH-2-B2-BRK-G0-OG11</x:v>
      </x:c>
      <x:c r="B1673" s="9" t="str">
        <x:v>EV-AR-CT-C-B-TECH-2-B2-BRK-G0</x:v>
      </x:c>
      <x:c r="C1673" s="9" t="str">
        <x:v>AR-CT-C-B-TECH-2-B2-BRK-G0</x:v>
      </x:c>
      <x:c r="D1673" s="9" t="str">
        <x:v>CT-C-B-TECH-2</x:v>
      </x:c>
      <x:c r="E1673" s="9" t="str">
        <x:v>CT-C-B</x:v>
      </x:c>
      <x:c r="F1673" s="9" t="str">
        <x:v>B2</x:v>
      </x:c>
      <x:c r="G1673" s="9" t="str">
        <x:v>BRK</x:v>
      </x:c>
      <x:c r="H1673" s="9" t="str">
        <x:v>OG11</x:v>
      </x:c>
      <x:c r="I1673" s="17" t="str">
        <x:v>Contradiction preservation</x:v>
      </x:c>
      <x:c r="J1673" s="17" t="str">
        <x:v>primary-witness disagreement remains explicit and is never averaged away</x:v>
      </x:c>
      <x:c r="K1673" s="17" t="str">
        <x:v>Dissent registrar</x:v>
      </x:c>
      <x:c r="L1673" s="9" t="n">
        <x:v>0</x:v>
      </x:c>
      <x:c r="M1673" s="9" t="n">
        <x:v>0</x:v>
      </x:c>
      <x:c r="N1673" s="9" t="str">
        <x:v>OPEN / UNACCEPTED</x:v>
      </x:c>
      <x:c r="O1673" s="9" t="n">
        <x:f>COUNTIFS($A$7:$A$1734,A1673)</x:f>
        <x:v>1</x:v>
      </x:c>
    </x:row>
    <x:row r="1674">
      <x:c r="A1674" s="9" t="str">
        <x:v>EV-AR-CT-C-B-TECH-2-B2-BRK-G0-OG12</x:v>
      </x:c>
      <x:c r="B1674" s="9" t="str">
        <x:v>EV-AR-CT-C-B-TECH-2-B2-BRK-G0</x:v>
      </x:c>
      <x:c r="C1674" s="9" t="str">
        <x:v>AR-CT-C-B-TECH-2-B2-BRK-G0</x:v>
      </x:c>
      <x:c r="D1674" s="9" t="str">
        <x:v>CT-C-B-TECH-2</x:v>
      </x:c>
      <x:c r="E1674" s="9" t="str">
        <x:v>CT-C-B</x:v>
      </x:c>
      <x:c r="F1674" s="9" t="str">
        <x:v>B2</x:v>
      </x:c>
      <x:c r="G1674" s="9" t="str">
        <x:v>BRK</x:v>
      </x:c>
      <x:c r="H1674" s="9" t="str">
        <x:v>OG12</x:v>
      </x:c>
      <x:c r="I1674" s="17" t="str">
        <x:v>Independent replay</x:v>
      </x:c>
      <x:c r="J1674" s="17" t="str">
        <x:v>a separated reader reconstructs the registered observables from sealed originals</x:v>
      </x:c>
      <x:c r="K1674" s="17" t="str">
        <x:v>Replay court</x:v>
      </x:c>
      <x:c r="L1674" s="9" t="n">
        <x:v>0</x:v>
      </x:c>
      <x:c r="M1674" s="9" t="n">
        <x:v>0</x:v>
      </x:c>
      <x:c r="N1674" s="9" t="str">
        <x:v>OPEN / UNACCEPTED</x:v>
      </x:c>
      <x:c r="O1674" s="9" t="n">
        <x:f>COUNTIFS($A$7:$A$1734,A1674)</x:f>
        <x:v>1</x:v>
      </x:c>
    </x:row>
    <x:row r="1675">
      <x:c r="A1675" s="9" t="str">
        <x:v>EV-AR-ET-A-A-TECH-2-B1-RCN-G0-OG01</x:v>
      </x:c>
      <x:c r="B1675" s="9" t="str">
        <x:v>EV-AR-ET-A-A-TECH-2-B1-RCN-G0</x:v>
      </x:c>
      <x:c r="C1675" s="9" t="str">
        <x:v>AR-ET-A-A-TECH-2-B1-RCN-G0</x:v>
      </x:c>
      <x:c r="D1675" s="9" t="str">
        <x:v>ET-A-A-TECH-2</x:v>
      </x:c>
      <x:c r="E1675" s="9" t="str">
        <x:v>ET-A-A</x:v>
      </x:c>
      <x:c r="F1675" s="9" t="str">
        <x:v>B1</x:v>
      </x:c>
      <x:c r="G1675" s="9" t="str">
        <x:v>RCN</x:v>
      </x:c>
      <x:c r="H1675" s="9" t="str">
        <x:v>OG01</x:v>
      </x:c>
      <x:c r="I1675" s="17" t="str">
        <x:v>Serial and event identity</x:v>
      </x:c>
      <x:c r="J1675" s="17" t="str">
        <x:v>record resolves to the issued serial, generation and physical start</x:v>
      </x:c>
      <x:c r="K1675" s="17" t="str">
        <x:v>Observation court</x:v>
      </x:c>
      <x:c r="L1675" s="9" t="n">
        <x:v>0</x:v>
      </x:c>
      <x:c r="M1675" s="9" t="n">
        <x:v>0</x:v>
      </x:c>
      <x:c r="N1675" s="9" t="str">
        <x:v>OPEN / UNACCEPTED</x:v>
      </x:c>
      <x:c r="O1675" s="9" t="n">
        <x:f>COUNTIFS($A$7:$A$1734,A1675)</x:f>
        <x:v>1</x:v>
      </x:c>
    </x:row>
    <x:row r="1676">
      <x:c r="A1676" s="9" t="str">
        <x:v>EV-AR-ET-A-A-TECH-2-B1-RCN-G0-OG02</x:v>
      </x:c>
      <x:c r="B1676" s="9" t="str">
        <x:v>EV-AR-ET-A-A-TECH-2-B1-RCN-G0</x:v>
      </x:c>
      <x:c r="C1676" s="9" t="str">
        <x:v>AR-ET-A-A-TECH-2-B1-RCN-G0</x:v>
      </x:c>
      <x:c r="D1676" s="9" t="str">
        <x:v>ET-A-A-TECH-2</x:v>
      </x:c>
      <x:c r="E1676" s="9" t="str">
        <x:v>ET-A-A</x:v>
      </x:c>
      <x:c r="F1676" s="9" t="str">
        <x:v>B1</x:v>
      </x:c>
      <x:c r="G1676" s="9" t="str">
        <x:v>RCN</x:v>
      </x:c>
      <x:c r="H1676" s="9" t="str">
        <x:v>OG02</x:v>
      </x:c>
      <x:c r="I1676" s="17" t="str">
        <x:v>Time ancestry</x:v>
      </x:c>
      <x:c r="J1676" s="17" t="str">
        <x:v>primary, witness and public event clocks retain declared offsets and drift</x:v>
      </x:c>
      <x:c r="K1676" s="17" t="str">
        <x:v>Time authority</x:v>
      </x:c>
      <x:c r="L1676" s="9" t="n">
        <x:v>0</x:v>
      </x:c>
      <x:c r="M1676" s="9" t="n">
        <x:v>0</x:v>
      </x:c>
      <x:c r="N1676" s="9" t="str">
        <x:v>OPEN / UNACCEPTED</x:v>
      </x:c>
      <x:c r="O1676" s="9" t="n">
        <x:f>COUNTIFS($A$7:$A$1734,A1676)</x:f>
        <x:v>1</x:v>
      </x:c>
    </x:row>
    <x:row r="1677">
      <x:c r="A1677" s="9" t="str">
        <x:v>EV-AR-ET-A-A-TECH-2-B1-RCN-G0-OG03</x:v>
      </x:c>
      <x:c r="B1677" s="9" t="str">
        <x:v>EV-AR-ET-A-A-TECH-2-B1-RCN-G0</x:v>
      </x:c>
      <x:c r="C1677" s="9" t="str">
        <x:v>AR-ET-A-A-TECH-2-B1-RCN-G0</x:v>
      </x:c>
      <x:c r="D1677" s="9" t="str">
        <x:v>ET-A-A-TECH-2</x:v>
      </x:c>
      <x:c r="E1677" s="9" t="str">
        <x:v>ET-A-A</x:v>
      </x:c>
      <x:c r="F1677" s="9" t="str">
        <x:v>B1</x:v>
      </x:c>
      <x:c r="G1677" s="9" t="str">
        <x:v>RCN</x:v>
      </x:c>
      <x:c r="H1677" s="9" t="str">
        <x:v>OG03</x:v>
      </x:c>
      <x:c r="I1677" s="17" t="str">
        <x:v>Calibration ancestry</x:v>
      </x:c>
      <x:c r="J1677" s="17" t="str">
        <x:v>all reference, range and uncertainty states cover the live interval</x:v>
      </x:c>
      <x:c r="K1677" s="17" t="str">
        <x:v>Metrology courts</x:v>
      </x:c>
      <x:c r="L1677" s="9" t="n">
        <x:v>0</x:v>
      </x:c>
      <x:c r="M1677" s="9" t="n">
        <x:v>0</x:v>
      </x:c>
      <x:c r="N1677" s="9" t="str">
        <x:v>OPEN / UNACCEPTED</x:v>
      </x:c>
      <x:c r="O1677" s="9" t="n">
        <x:f>COUNTIFS($A$7:$A$1734,A1677)</x:f>
        <x:v>1</x:v>
      </x:c>
    </x:row>
    <x:row r="1678">
      <x:c r="A1678" s="9" t="str">
        <x:v>EV-AR-ET-A-A-TECH-2-B1-RCN-G0-OG04</x:v>
      </x:c>
      <x:c r="B1678" s="9" t="str">
        <x:v>EV-AR-ET-A-A-TECH-2-B1-RCN-G0</x:v>
      </x:c>
      <x:c r="C1678" s="9" t="str">
        <x:v>AR-ET-A-A-TECH-2-B1-RCN-G0</x:v>
      </x:c>
      <x:c r="D1678" s="9" t="str">
        <x:v>ET-A-A-TECH-2</x:v>
      </x:c>
      <x:c r="E1678" s="9" t="str">
        <x:v>ET-A-A</x:v>
      </x:c>
      <x:c r="F1678" s="9" t="str">
        <x:v>B1</x:v>
      </x:c>
      <x:c r="G1678" s="9" t="str">
        <x:v>RCN</x:v>
      </x:c>
      <x:c r="H1678" s="9" t="str">
        <x:v>OG04</x:v>
      </x:c>
      <x:c r="I1678" s="17" t="str">
        <x:v>Raw completeness</x:v>
      </x:c>
      <x:c r="J1678" s="17" t="str">
        <x:v>missingness is enumerated without imputation or outcome-conditioned deletion</x:v>
      </x:c>
      <x:c r="K1678" s="17" t="str">
        <x:v>Observation court</x:v>
      </x:c>
      <x:c r="L1678" s="9" t="n">
        <x:v>0</x:v>
      </x:c>
      <x:c r="M1678" s="9" t="n">
        <x:v>0</x:v>
      </x:c>
      <x:c r="N1678" s="9" t="str">
        <x:v>OPEN / UNACCEPTED</x:v>
      </x:c>
      <x:c r="O1678" s="9" t="n">
        <x:f>COUNTIFS($A$7:$A$1734,A1678)</x:f>
        <x:v>1</x:v>
      </x:c>
    </x:row>
    <x:row r="1679">
      <x:c r="A1679" s="9" t="str">
        <x:v>EV-AR-ET-A-A-TECH-2-B1-RCN-G0-OG05</x:v>
      </x:c>
      <x:c r="B1679" s="9" t="str">
        <x:v>EV-AR-ET-A-A-TECH-2-B1-RCN-G0</x:v>
      </x:c>
      <x:c r="C1679" s="9" t="str">
        <x:v>AR-ET-A-A-TECH-2-B1-RCN-G0</x:v>
      </x:c>
      <x:c r="D1679" s="9" t="str">
        <x:v>ET-A-A-TECH-2</x:v>
      </x:c>
      <x:c r="E1679" s="9" t="str">
        <x:v>ET-A-A</x:v>
      </x:c>
      <x:c r="F1679" s="9" t="str">
        <x:v>B1</x:v>
      </x:c>
      <x:c r="G1679" s="9" t="str">
        <x:v>RCN</x:v>
      </x:c>
      <x:c r="H1679" s="9" t="str">
        <x:v>OG05</x:v>
      </x:c>
      <x:c r="I1679" s="17" t="str">
        <x:v>Primary provenance</x:v>
      </x:c>
      <x:c r="J1679" s="17" t="str">
        <x:v>primary originals, hashes, keys and access history reconcile</x:v>
      </x:c>
      <x:c r="K1679" s="17" t="str">
        <x:v>Primary custody</x:v>
      </x:c>
      <x:c r="L1679" s="9" t="n">
        <x:v>0</x:v>
      </x:c>
      <x:c r="M1679" s="9" t="n">
        <x:v>0</x:v>
      </x:c>
      <x:c r="N1679" s="9" t="str">
        <x:v>OPEN / UNACCEPTED</x:v>
      </x:c>
      <x:c r="O1679" s="9" t="n">
        <x:f>COUNTIFS($A$7:$A$1734,A1679)</x:f>
        <x:v>1</x:v>
      </x:c>
    </x:row>
    <x:row r="1680">
      <x:c r="A1680" s="9" t="str">
        <x:v>EV-AR-ET-A-A-TECH-2-B1-RCN-G0-OG06</x:v>
      </x:c>
      <x:c r="B1680" s="9" t="str">
        <x:v>EV-AR-ET-A-A-TECH-2-B1-RCN-G0</x:v>
      </x:c>
      <x:c r="C1680" s="9" t="str">
        <x:v>AR-ET-A-A-TECH-2-B1-RCN-G0</x:v>
      </x:c>
      <x:c r="D1680" s="9" t="str">
        <x:v>ET-A-A-TECH-2</x:v>
      </x:c>
      <x:c r="E1680" s="9" t="str">
        <x:v>ET-A-A</x:v>
      </x:c>
      <x:c r="F1680" s="9" t="str">
        <x:v>B1</x:v>
      </x:c>
      <x:c r="G1680" s="9" t="str">
        <x:v>RCN</x:v>
      </x:c>
      <x:c r="H1680" s="9" t="str">
        <x:v>OG06</x:v>
      </x:c>
      <x:c r="I1680" s="17" t="str">
        <x:v>Witness provenance</x:v>
      </x:c>
      <x:c r="J1680" s="17" t="str">
        <x:v>unlike witness originals, hashes, keys and access history reconcile</x:v>
      </x:c>
      <x:c r="K1680" s="17" t="str">
        <x:v>Witness custody</x:v>
      </x:c>
      <x:c r="L1680" s="9" t="n">
        <x:v>0</x:v>
      </x:c>
      <x:c r="M1680" s="9" t="n">
        <x:v>0</x:v>
      </x:c>
      <x:c r="N1680" s="9" t="str">
        <x:v>OPEN / UNACCEPTED</x:v>
      </x:c>
      <x:c r="O1680" s="9" t="n">
        <x:f>COUNTIFS($A$7:$A$1734,A1680)</x:f>
        <x:v>1</x:v>
      </x:c>
    </x:row>
    <x:row r="1681">
      <x:c r="A1681" s="9" t="str">
        <x:v>EV-AR-ET-A-A-TECH-2-B1-RCN-G0-OG07</x:v>
      </x:c>
      <x:c r="B1681" s="9" t="str">
        <x:v>EV-AR-ET-A-A-TECH-2-B1-RCN-G0</x:v>
      </x:c>
      <x:c r="C1681" s="9" t="str">
        <x:v>AR-ET-A-A-TECH-2-B1-RCN-G0</x:v>
      </x:c>
      <x:c r="D1681" s="9" t="str">
        <x:v>ET-A-A-TECH-2</x:v>
      </x:c>
      <x:c r="E1681" s="9" t="str">
        <x:v>ET-A-A</x:v>
      </x:c>
      <x:c r="F1681" s="9" t="str">
        <x:v>B1</x:v>
      </x:c>
      <x:c r="G1681" s="9" t="str">
        <x:v>RCN</x:v>
      </x:c>
      <x:c r="H1681" s="9" t="str">
        <x:v>OG07</x:v>
      </x:c>
      <x:c r="I1681" s="17" t="str">
        <x:v>Receiver denominator</x:v>
      </x:c>
      <x:c r="J1681" s="17" t="str">
        <x:v>population, quantity, duration and exclusions match the frozen receipt</x:v>
      </x:c>
      <x:c r="K1681" s="17" t="str">
        <x:v>Receiver court</x:v>
      </x:c>
      <x:c r="L1681" s="9" t="n">
        <x:v>0</x:v>
      </x:c>
      <x:c r="M1681" s="9" t="n">
        <x:v>0</x:v>
      </x:c>
      <x:c r="N1681" s="9" t="str">
        <x:v>OPEN / UNACCEPTED</x:v>
      </x:c>
      <x:c r="O1681" s="9" t="n">
        <x:f>COUNTIFS($A$7:$A$1734,A1681)</x:f>
        <x:v>1</x:v>
      </x:c>
    </x:row>
    <x:row r="1682">
      <x:c r="A1682" s="9" t="str">
        <x:v>EV-AR-ET-A-A-TECH-2-B1-RCN-G0-OG08</x:v>
      </x:c>
      <x:c r="B1682" s="9" t="str">
        <x:v>EV-AR-ET-A-A-TECH-2-B1-RCN-G0</x:v>
      </x:c>
      <x:c r="C1682" s="9" t="str">
        <x:v>AR-ET-A-A-TECH-2-B1-RCN-G0</x:v>
      </x:c>
      <x:c r="D1682" s="9" t="str">
        <x:v>ET-A-A-TECH-2</x:v>
      </x:c>
      <x:c r="E1682" s="9" t="str">
        <x:v>ET-A-A</x:v>
      </x:c>
      <x:c r="F1682" s="9" t="str">
        <x:v>B1</x:v>
      </x:c>
      <x:c r="G1682" s="9" t="str">
        <x:v>RCN</x:v>
      </x:c>
      <x:c r="H1682" s="9" t="str">
        <x:v>OG08</x:v>
      </x:c>
      <x:c r="I1682" s="17" t="str">
        <x:v>Environment and boundary</x:v>
      </x:c>
      <x:c r="J1682" s="17" t="str">
        <x:v>registered weather, water, ground, inlet and outlet states are retained</x:v>
      </x:c>
      <x:c r="K1682" s="17" t="str">
        <x:v>Boundary court</x:v>
      </x:c>
      <x:c r="L1682" s="9" t="n">
        <x:v>0</x:v>
      </x:c>
      <x:c r="M1682" s="9" t="n">
        <x:v>0</x:v>
      </x:c>
      <x:c r="N1682" s="9" t="str">
        <x:v>OPEN / UNACCEPTED</x:v>
      </x:c>
      <x:c r="O1682" s="9" t="n">
        <x:f>COUNTIFS($A$7:$A$1734,A1682)</x:f>
        <x:v>1</x:v>
      </x:c>
    </x:row>
    <x:row r="1683">
      <x:c r="A1683" s="9" t="str">
        <x:v>EV-AR-ET-A-A-TECH-2-B1-RCN-G0-OG09</x:v>
      </x:c>
      <x:c r="B1683" s="9" t="str">
        <x:v>EV-AR-ET-A-A-TECH-2-B1-RCN-G0</x:v>
      </x:c>
      <x:c r="C1683" s="9" t="str">
        <x:v>AR-ET-A-A-TECH-2-B1-RCN-G0</x:v>
      </x:c>
      <x:c r="D1683" s="9" t="str">
        <x:v>ET-A-A-TECH-2</x:v>
      </x:c>
      <x:c r="E1683" s="9" t="str">
        <x:v>ET-A-A</x:v>
      </x:c>
      <x:c r="F1683" s="9" t="str">
        <x:v>B1</x:v>
      </x:c>
      <x:c r="G1683" s="9" t="str">
        <x:v>RCN</x:v>
      </x:c>
      <x:c r="H1683" s="9" t="str">
        <x:v>OG09</x:v>
      </x:c>
      <x:c r="I1683" s="17" t="str">
        <x:v>Intervention account</x:v>
      </x:c>
      <x:c r="J1683" s="17" t="str">
        <x:v>all stop, rescue, operator and public-protection actions remain timestamped</x:v>
      </x:c>
      <x:c r="K1683" s="17" t="str">
        <x:v>Safety record court</x:v>
      </x:c>
      <x:c r="L1683" s="9" t="n">
        <x:v>0</x:v>
      </x:c>
      <x:c r="M1683" s="9" t="n">
        <x:v>0</x:v>
      </x:c>
      <x:c r="N1683" s="9" t="str">
        <x:v>OPEN / UNACCEPTED</x:v>
      </x:c>
      <x:c r="O1683" s="9" t="n">
        <x:f>COUNTIFS($A$7:$A$1734,A1683)</x:f>
        <x:v>1</x:v>
      </x:c>
    </x:row>
    <x:row r="1684">
      <x:c r="A1684" s="9" t="str">
        <x:v>EV-AR-ET-A-A-TECH-2-B1-RCN-G0-OG10</x:v>
      </x:c>
      <x:c r="B1684" s="9" t="str">
        <x:v>EV-AR-ET-A-A-TECH-2-B1-RCN-G0</x:v>
      </x:c>
      <x:c r="C1684" s="9" t="str">
        <x:v>AR-ET-A-A-TECH-2-B1-RCN-G0</x:v>
      </x:c>
      <x:c r="D1684" s="9" t="str">
        <x:v>ET-A-A-TECH-2</x:v>
      </x:c>
      <x:c r="E1684" s="9" t="str">
        <x:v>ET-A-A</x:v>
      </x:c>
      <x:c r="F1684" s="9" t="str">
        <x:v>B1</x:v>
      </x:c>
      <x:c r="G1684" s="9" t="str">
        <x:v>RCN</x:v>
      </x:c>
      <x:c r="H1684" s="9" t="str">
        <x:v>OG10</x:v>
      </x:c>
      <x:c r="I1684" s="17" t="str">
        <x:v>Uncertainty statement</x:v>
      </x:c>
      <x:c r="J1684" s="17" t="str">
        <x:v>range, censoring, resolution and correlation are declared before judgment</x:v>
      </x:c>
      <x:c r="K1684" s="17" t="str">
        <x:v>Uncertainty authority</x:v>
      </x:c>
      <x:c r="L1684" s="9" t="n">
        <x:v>0</x:v>
      </x:c>
      <x:c r="M1684" s="9" t="n">
        <x:v>0</x:v>
      </x:c>
      <x:c r="N1684" s="9" t="str">
        <x:v>OPEN / UNACCEPTED</x:v>
      </x:c>
      <x:c r="O1684" s="9" t="n">
        <x:f>COUNTIFS($A$7:$A$1734,A1684)</x:f>
        <x:v>1</x:v>
      </x:c>
    </x:row>
    <x:row r="1685">
      <x:c r="A1685" s="9" t="str">
        <x:v>EV-AR-ET-A-A-TECH-2-B1-RCN-G0-OG11</x:v>
      </x:c>
      <x:c r="B1685" s="9" t="str">
        <x:v>EV-AR-ET-A-A-TECH-2-B1-RCN-G0</x:v>
      </x:c>
      <x:c r="C1685" s="9" t="str">
        <x:v>AR-ET-A-A-TECH-2-B1-RCN-G0</x:v>
      </x:c>
      <x:c r="D1685" s="9" t="str">
        <x:v>ET-A-A-TECH-2</x:v>
      </x:c>
      <x:c r="E1685" s="9" t="str">
        <x:v>ET-A-A</x:v>
      </x:c>
      <x:c r="F1685" s="9" t="str">
        <x:v>B1</x:v>
      </x:c>
      <x:c r="G1685" s="9" t="str">
        <x:v>RCN</x:v>
      </x:c>
      <x:c r="H1685" s="9" t="str">
        <x:v>OG11</x:v>
      </x:c>
      <x:c r="I1685" s="17" t="str">
        <x:v>Contradiction preservation</x:v>
      </x:c>
      <x:c r="J1685" s="17" t="str">
        <x:v>primary-witness disagreement remains explicit and is never averaged away</x:v>
      </x:c>
      <x:c r="K1685" s="17" t="str">
        <x:v>Dissent registrar</x:v>
      </x:c>
      <x:c r="L1685" s="9" t="n">
        <x:v>0</x:v>
      </x:c>
      <x:c r="M1685" s="9" t="n">
        <x:v>0</x:v>
      </x:c>
      <x:c r="N1685" s="9" t="str">
        <x:v>OPEN / UNACCEPTED</x:v>
      </x:c>
      <x:c r="O1685" s="9" t="n">
        <x:f>COUNTIFS($A$7:$A$1734,A1685)</x:f>
        <x:v>1</x:v>
      </x:c>
    </x:row>
    <x:row r="1686">
      <x:c r="A1686" s="9" t="str">
        <x:v>EV-AR-ET-A-A-TECH-2-B1-RCN-G0-OG12</x:v>
      </x:c>
      <x:c r="B1686" s="9" t="str">
        <x:v>EV-AR-ET-A-A-TECH-2-B1-RCN-G0</x:v>
      </x:c>
      <x:c r="C1686" s="9" t="str">
        <x:v>AR-ET-A-A-TECH-2-B1-RCN-G0</x:v>
      </x:c>
      <x:c r="D1686" s="9" t="str">
        <x:v>ET-A-A-TECH-2</x:v>
      </x:c>
      <x:c r="E1686" s="9" t="str">
        <x:v>ET-A-A</x:v>
      </x:c>
      <x:c r="F1686" s="9" t="str">
        <x:v>B1</x:v>
      </x:c>
      <x:c r="G1686" s="9" t="str">
        <x:v>RCN</x:v>
      </x:c>
      <x:c r="H1686" s="9" t="str">
        <x:v>OG12</x:v>
      </x:c>
      <x:c r="I1686" s="17" t="str">
        <x:v>Independent replay</x:v>
      </x:c>
      <x:c r="J1686" s="17" t="str">
        <x:v>a separated reader reconstructs the registered observables from sealed originals</x:v>
      </x:c>
      <x:c r="K1686" s="17" t="str">
        <x:v>Replay court</x:v>
      </x:c>
      <x:c r="L1686" s="9" t="n">
        <x:v>0</x:v>
      </x:c>
      <x:c r="M1686" s="9" t="n">
        <x:v>0</x:v>
      </x:c>
      <x:c r="N1686" s="9" t="str">
        <x:v>OPEN / UNACCEPTED</x:v>
      </x:c>
      <x:c r="O1686" s="9" t="n">
        <x:f>COUNTIFS($A$7:$A$1734,A1686)</x:f>
        <x:v>1</x:v>
      </x:c>
    </x:row>
    <x:row r="1687">
      <x:c r="A1687" s="9" t="str">
        <x:v>EV-AR-HC-A-C-TECH-2-B1-BRK-G0-OG01</x:v>
      </x:c>
      <x:c r="B1687" s="9" t="str">
        <x:v>EV-AR-HC-A-C-TECH-2-B1-BRK-G0</x:v>
      </x:c>
      <x:c r="C1687" s="9" t="str">
        <x:v>AR-HC-A-C-TECH-2-B1-BRK-G0</x:v>
      </x:c>
      <x:c r="D1687" s="9" t="str">
        <x:v>HC-A-C-TECH-2</x:v>
      </x:c>
      <x:c r="E1687" s="9" t="str">
        <x:v>HC-A-C</x:v>
      </x:c>
      <x:c r="F1687" s="9" t="str">
        <x:v>B1</x:v>
      </x:c>
      <x:c r="G1687" s="9" t="str">
        <x:v>BRK</x:v>
      </x:c>
      <x:c r="H1687" s="9" t="str">
        <x:v>OG01</x:v>
      </x:c>
      <x:c r="I1687" s="17" t="str">
        <x:v>Serial and event identity</x:v>
      </x:c>
      <x:c r="J1687" s="17" t="str">
        <x:v>record resolves to the issued serial, generation and physical start</x:v>
      </x:c>
      <x:c r="K1687" s="17" t="str">
        <x:v>Observation court</x:v>
      </x:c>
      <x:c r="L1687" s="9" t="n">
        <x:v>0</x:v>
      </x:c>
      <x:c r="M1687" s="9" t="n">
        <x:v>0</x:v>
      </x:c>
      <x:c r="N1687" s="9" t="str">
        <x:v>OPEN / UNACCEPTED</x:v>
      </x:c>
      <x:c r="O1687" s="9" t="n">
        <x:f>COUNTIFS($A$7:$A$1734,A1687)</x:f>
        <x:v>1</x:v>
      </x:c>
    </x:row>
    <x:row r="1688">
      <x:c r="A1688" s="9" t="str">
        <x:v>EV-AR-HC-A-C-TECH-2-B1-BRK-G0-OG02</x:v>
      </x:c>
      <x:c r="B1688" s="9" t="str">
        <x:v>EV-AR-HC-A-C-TECH-2-B1-BRK-G0</x:v>
      </x:c>
      <x:c r="C1688" s="9" t="str">
        <x:v>AR-HC-A-C-TECH-2-B1-BRK-G0</x:v>
      </x:c>
      <x:c r="D1688" s="9" t="str">
        <x:v>HC-A-C-TECH-2</x:v>
      </x:c>
      <x:c r="E1688" s="9" t="str">
        <x:v>HC-A-C</x:v>
      </x:c>
      <x:c r="F1688" s="9" t="str">
        <x:v>B1</x:v>
      </x:c>
      <x:c r="G1688" s="9" t="str">
        <x:v>BRK</x:v>
      </x:c>
      <x:c r="H1688" s="9" t="str">
        <x:v>OG02</x:v>
      </x:c>
      <x:c r="I1688" s="17" t="str">
        <x:v>Time ancestry</x:v>
      </x:c>
      <x:c r="J1688" s="17" t="str">
        <x:v>primary, witness and public event clocks retain declared offsets and drift</x:v>
      </x:c>
      <x:c r="K1688" s="17" t="str">
        <x:v>Time authority</x:v>
      </x:c>
      <x:c r="L1688" s="9" t="n">
        <x:v>0</x:v>
      </x:c>
      <x:c r="M1688" s="9" t="n">
        <x:v>0</x:v>
      </x:c>
      <x:c r="N1688" s="9" t="str">
        <x:v>OPEN / UNACCEPTED</x:v>
      </x:c>
      <x:c r="O1688" s="9" t="n">
        <x:f>COUNTIFS($A$7:$A$1734,A1688)</x:f>
        <x:v>1</x:v>
      </x:c>
    </x:row>
    <x:row r="1689">
      <x:c r="A1689" s="9" t="str">
        <x:v>EV-AR-HC-A-C-TECH-2-B1-BRK-G0-OG03</x:v>
      </x:c>
      <x:c r="B1689" s="9" t="str">
        <x:v>EV-AR-HC-A-C-TECH-2-B1-BRK-G0</x:v>
      </x:c>
      <x:c r="C1689" s="9" t="str">
        <x:v>AR-HC-A-C-TECH-2-B1-BRK-G0</x:v>
      </x:c>
      <x:c r="D1689" s="9" t="str">
        <x:v>HC-A-C-TECH-2</x:v>
      </x:c>
      <x:c r="E1689" s="9" t="str">
        <x:v>HC-A-C</x:v>
      </x:c>
      <x:c r="F1689" s="9" t="str">
        <x:v>B1</x:v>
      </x:c>
      <x:c r="G1689" s="9" t="str">
        <x:v>BRK</x:v>
      </x:c>
      <x:c r="H1689" s="9" t="str">
        <x:v>OG03</x:v>
      </x:c>
      <x:c r="I1689" s="17" t="str">
        <x:v>Calibration ancestry</x:v>
      </x:c>
      <x:c r="J1689" s="17" t="str">
        <x:v>all reference, range and uncertainty states cover the live interval</x:v>
      </x:c>
      <x:c r="K1689" s="17" t="str">
        <x:v>Metrology courts</x:v>
      </x:c>
      <x:c r="L1689" s="9" t="n">
        <x:v>0</x:v>
      </x:c>
      <x:c r="M1689" s="9" t="n">
        <x:v>0</x:v>
      </x:c>
      <x:c r="N1689" s="9" t="str">
        <x:v>OPEN / UNACCEPTED</x:v>
      </x:c>
      <x:c r="O1689" s="9" t="n">
        <x:f>COUNTIFS($A$7:$A$1734,A1689)</x:f>
        <x:v>1</x:v>
      </x:c>
    </x:row>
    <x:row r="1690">
      <x:c r="A1690" s="9" t="str">
        <x:v>EV-AR-HC-A-C-TECH-2-B1-BRK-G0-OG04</x:v>
      </x:c>
      <x:c r="B1690" s="9" t="str">
        <x:v>EV-AR-HC-A-C-TECH-2-B1-BRK-G0</x:v>
      </x:c>
      <x:c r="C1690" s="9" t="str">
        <x:v>AR-HC-A-C-TECH-2-B1-BRK-G0</x:v>
      </x:c>
      <x:c r="D1690" s="9" t="str">
        <x:v>HC-A-C-TECH-2</x:v>
      </x:c>
      <x:c r="E1690" s="9" t="str">
        <x:v>HC-A-C</x:v>
      </x:c>
      <x:c r="F1690" s="9" t="str">
        <x:v>B1</x:v>
      </x:c>
      <x:c r="G1690" s="9" t="str">
        <x:v>BRK</x:v>
      </x:c>
      <x:c r="H1690" s="9" t="str">
        <x:v>OG04</x:v>
      </x:c>
      <x:c r="I1690" s="17" t="str">
        <x:v>Raw completeness</x:v>
      </x:c>
      <x:c r="J1690" s="17" t="str">
        <x:v>missingness is enumerated without imputation or outcome-conditioned deletion</x:v>
      </x:c>
      <x:c r="K1690" s="17" t="str">
        <x:v>Observation court</x:v>
      </x:c>
      <x:c r="L1690" s="9" t="n">
        <x:v>0</x:v>
      </x:c>
      <x:c r="M1690" s="9" t="n">
        <x:v>0</x:v>
      </x:c>
      <x:c r="N1690" s="9" t="str">
        <x:v>OPEN / UNACCEPTED</x:v>
      </x:c>
      <x:c r="O1690" s="9" t="n">
        <x:f>COUNTIFS($A$7:$A$1734,A1690)</x:f>
        <x:v>1</x:v>
      </x:c>
    </x:row>
    <x:row r="1691">
      <x:c r="A1691" s="9" t="str">
        <x:v>EV-AR-HC-A-C-TECH-2-B1-BRK-G0-OG05</x:v>
      </x:c>
      <x:c r="B1691" s="9" t="str">
        <x:v>EV-AR-HC-A-C-TECH-2-B1-BRK-G0</x:v>
      </x:c>
      <x:c r="C1691" s="9" t="str">
        <x:v>AR-HC-A-C-TECH-2-B1-BRK-G0</x:v>
      </x:c>
      <x:c r="D1691" s="9" t="str">
        <x:v>HC-A-C-TECH-2</x:v>
      </x:c>
      <x:c r="E1691" s="9" t="str">
        <x:v>HC-A-C</x:v>
      </x:c>
      <x:c r="F1691" s="9" t="str">
        <x:v>B1</x:v>
      </x:c>
      <x:c r="G1691" s="9" t="str">
        <x:v>BRK</x:v>
      </x:c>
      <x:c r="H1691" s="9" t="str">
        <x:v>OG05</x:v>
      </x:c>
      <x:c r="I1691" s="17" t="str">
        <x:v>Primary provenance</x:v>
      </x:c>
      <x:c r="J1691" s="17" t="str">
        <x:v>primary originals, hashes, keys and access history reconcile</x:v>
      </x:c>
      <x:c r="K1691" s="17" t="str">
        <x:v>Primary custody</x:v>
      </x:c>
      <x:c r="L1691" s="9" t="n">
        <x:v>0</x:v>
      </x:c>
      <x:c r="M1691" s="9" t="n">
        <x:v>0</x:v>
      </x:c>
      <x:c r="N1691" s="9" t="str">
        <x:v>OPEN / UNACCEPTED</x:v>
      </x:c>
      <x:c r="O1691" s="9" t="n">
        <x:f>COUNTIFS($A$7:$A$1734,A1691)</x:f>
        <x:v>1</x:v>
      </x:c>
    </x:row>
    <x:row r="1692">
      <x:c r="A1692" s="9" t="str">
        <x:v>EV-AR-HC-A-C-TECH-2-B1-BRK-G0-OG06</x:v>
      </x:c>
      <x:c r="B1692" s="9" t="str">
        <x:v>EV-AR-HC-A-C-TECH-2-B1-BRK-G0</x:v>
      </x:c>
      <x:c r="C1692" s="9" t="str">
        <x:v>AR-HC-A-C-TECH-2-B1-BRK-G0</x:v>
      </x:c>
      <x:c r="D1692" s="9" t="str">
        <x:v>HC-A-C-TECH-2</x:v>
      </x:c>
      <x:c r="E1692" s="9" t="str">
        <x:v>HC-A-C</x:v>
      </x:c>
      <x:c r="F1692" s="9" t="str">
        <x:v>B1</x:v>
      </x:c>
      <x:c r="G1692" s="9" t="str">
        <x:v>BRK</x:v>
      </x:c>
      <x:c r="H1692" s="9" t="str">
        <x:v>OG06</x:v>
      </x:c>
      <x:c r="I1692" s="17" t="str">
        <x:v>Witness provenance</x:v>
      </x:c>
      <x:c r="J1692" s="17" t="str">
        <x:v>unlike witness originals, hashes, keys and access history reconcile</x:v>
      </x:c>
      <x:c r="K1692" s="17" t="str">
        <x:v>Witness custody</x:v>
      </x:c>
      <x:c r="L1692" s="9" t="n">
        <x:v>0</x:v>
      </x:c>
      <x:c r="M1692" s="9" t="n">
        <x:v>0</x:v>
      </x:c>
      <x:c r="N1692" s="9" t="str">
        <x:v>OPEN / UNACCEPTED</x:v>
      </x:c>
      <x:c r="O1692" s="9" t="n">
        <x:f>COUNTIFS($A$7:$A$1734,A1692)</x:f>
        <x:v>1</x:v>
      </x:c>
    </x:row>
    <x:row r="1693">
      <x:c r="A1693" s="9" t="str">
        <x:v>EV-AR-HC-A-C-TECH-2-B1-BRK-G0-OG07</x:v>
      </x:c>
      <x:c r="B1693" s="9" t="str">
        <x:v>EV-AR-HC-A-C-TECH-2-B1-BRK-G0</x:v>
      </x:c>
      <x:c r="C1693" s="9" t="str">
        <x:v>AR-HC-A-C-TECH-2-B1-BRK-G0</x:v>
      </x:c>
      <x:c r="D1693" s="9" t="str">
        <x:v>HC-A-C-TECH-2</x:v>
      </x:c>
      <x:c r="E1693" s="9" t="str">
        <x:v>HC-A-C</x:v>
      </x:c>
      <x:c r="F1693" s="9" t="str">
        <x:v>B1</x:v>
      </x:c>
      <x:c r="G1693" s="9" t="str">
        <x:v>BRK</x:v>
      </x:c>
      <x:c r="H1693" s="9" t="str">
        <x:v>OG07</x:v>
      </x:c>
      <x:c r="I1693" s="17" t="str">
        <x:v>Receiver denominator</x:v>
      </x:c>
      <x:c r="J1693" s="17" t="str">
        <x:v>population, quantity, duration and exclusions match the frozen receipt</x:v>
      </x:c>
      <x:c r="K1693" s="17" t="str">
        <x:v>Receiver court</x:v>
      </x:c>
      <x:c r="L1693" s="9" t="n">
        <x:v>0</x:v>
      </x:c>
      <x:c r="M1693" s="9" t="n">
        <x:v>0</x:v>
      </x:c>
      <x:c r="N1693" s="9" t="str">
        <x:v>OPEN / UNACCEPTED</x:v>
      </x:c>
      <x:c r="O1693" s="9" t="n">
        <x:f>COUNTIFS($A$7:$A$1734,A1693)</x:f>
        <x:v>1</x:v>
      </x:c>
    </x:row>
    <x:row r="1694">
      <x:c r="A1694" s="9" t="str">
        <x:v>EV-AR-HC-A-C-TECH-2-B1-BRK-G0-OG08</x:v>
      </x:c>
      <x:c r="B1694" s="9" t="str">
        <x:v>EV-AR-HC-A-C-TECH-2-B1-BRK-G0</x:v>
      </x:c>
      <x:c r="C1694" s="9" t="str">
        <x:v>AR-HC-A-C-TECH-2-B1-BRK-G0</x:v>
      </x:c>
      <x:c r="D1694" s="9" t="str">
        <x:v>HC-A-C-TECH-2</x:v>
      </x:c>
      <x:c r="E1694" s="9" t="str">
        <x:v>HC-A-C</x:v>
      </x:c>
      <x:c r="F1694" s="9" t="str">
        <x:v>B1</x:v>
      </x:c>
      <x:c r="G1694" s="9" t="str">
        <x:v>BRK</x:v>
      </x:c>
      <x:c r="H1694" s="9" t="str">
        <x:v>OG08</x:v>
      </x:c>
      <x:c r="I1694" s="17" t="str">
        <x:v>Environment and boundary</x:v>
      </x:c>
      <x:c r="J1694" s="17" t="str">
        <x:v>registered weather, water, ground, inlet and outlet states are retained</x:v>
      </x:c>
      <x:c r="K1694" s="17" t="str">
        <x:v>Boundary court</x:v>
      </x:c>
      <x:c r="L1694" s="9" t="n">
        <x:v>0</x:v>
      </x:c>
      <x:c r="M1694" s="9" t="n">
        <x:v>0</x:v>
      </x:c>
      <x:c r="N1694" s="9" t="str">
        <x:v>OPEN / UNACCEPTED</x:v>
      </x:c>
      <x:c r="O1694" s="9" t="n">
        <x:f>COUNTIFS($A$7:$A$1734,A1694)</x:f>
        <x:v>1</x:v>
      </x:c>
    </x:row>
    <x:row r="1695">
      <x:c r="A1695" s="9" t="str">
        <x:v>EV-AR-HC-A-C-TECH-2-B1-BRK-G0-OG09</x:v>
      </x:c>
      <x:c r="B1695" s="9" t="str">
        <x:v>EV-AR-HC-A-C-TECH-2-B1-BRK-G0</x:v>
      </x:c>
      <x:c r="C1695" s="9" t="str">
        <x:v>AR-HC-A-C-TECH-2-B1-BRK-G0</x:v>
      </x:c>
      <x:c r="D1695" s="9" t="str">
        <x:v>HC-A-C-TECH-2</x:v>
      </x:c>
      <x:c r="E1695" s="9" t="str">
        <x:v>HC-A-C</x:v>
      </x:c>
      <x:c r="F1695" s="9" t="str">
        <x:v>B1</x:v>
      </x:c>
      <x:c r="G1695" s="9" t="str">
        <x:v>BRK</x:v>
      </x:c>
      <x:c r="H1695" s="9" t="str">
        <x:v>OG09</x:v>
      </x:c>
      <x:c r="I1695" s="17" t="str">
        <x:v>Intervention account</x:v>
      </x:c>
      <x:c r="J1695" s="17" t="str">
        <x:v>all stop, rescue, operator and public-protection actions remain timestamped</x:v>
      </x:c>
      <x:c r="K1695" s="17" t="str">
        <x:v>Safety record court</x:v>
      </x:c>
      <x:c r="L1695" s="9" t="n">
        <x:v>0</x:v>
      </x:c>
      <x:c r="M1695" s="9" t="n">
        <x:v>0</x:v>
      </x:c>
      <x:c r="N1695" s="9" t="str">
        <x:v>OPEN / UNACCEPTED</x:v>
      </x:c>
      <x:c r="O1695" s="9" t="n">
        <x:f>COUNTIFS($A$7:$A$1734,A1695)</x:f>
        <x:v>1</x:v>
      </x:c>
    </x:row>
    <x:row r="1696">
      <x:c r="A1696" s="9" t="str">
        <x:v>EV-AR-HC-A-C-TECH-2-B1-BRK-G0-OG10</x:v>
      </x:c>
      <x:c r="B1696" s="9" t="str">
        <x:v>EV-AR-HC-A-C-TECH-2-B1-BRK-G0</x:v>
      </x:c>
      <x:c r="C1696" s="9" t="str">
        <x:v>AR-HC-A-C-TECH-2-B1-BRK-G0</x:v>
      </x:c>
      <x:c r="D1696" s="9" t="str">
        <x:v>HC-A-C-TECH-2</x:v>
      </x:c>
      <x:c r="E1696" s="9" t="str">
        <x:v>HC-A-C</x:v>
      </x:c>
      <x:c r="F1696" s="9" t="str">
        <x:v>B1</x:v>
      </x:c>
      <x:c r="G1696" s="9" t="str">
        <x:v>BRK</x:v>
      </x:c>
      <x:c r="H1696" s="9" t="str">
        <x:v>OG10</x:v>
      </x:c>
      <x:c r="I1696" s="17" t="str">
        <x:v>Uncertainty statement</x:v>
      </x:c>
      <x:c r="J1696" s="17" t="str">
        <x:v>range, censoring, resolution and correlation are declared before judgment</x:v>
      </x:c>
      <x:c r="K1696" s="17" t="str">
        <x:v>Uncertainty authority</x:v>
      </x:c>
      <x:c r="L1696" s="9" t="n">
        <x:v>0</x:v>
      </x:c>
      <x:c r="M1696" s="9" t="n">
        <x:v>0</x:v>
      </x:c>
      <x:c r="N1696" s="9" t="str">
        <x:v>OPEN / UNACCEPTED</x:v>
      </x:c>
      <x:c r="O1696" s="9" t="n">
        <x:f>COUNTIFS($A$7:$A$1734,A1696)</x:f>
        <x:v>1</x:v>
      </x:c>
    </x:row>
    <x:row r="1697">
      <x:c r="A1697" s="9" t="str">
        <x:v>EV-AR-HC-A-C-TECH-2-B1-BRK-G0-OG11</x:v>
      </x:c>
      <x:c r="B1697" s="9" t="str">
        <x:v>EV-AR-HC-A-C-TECH-2-B1-BRK-G0</x:v>
      </x:c>
      <x:c r="C1697" s="9" t="str">
        <x:v>AR-HC-A-C-TECH-2-B1-BRK-G0</x:v>
      </x:c>
      <x:c r="D1697" s="9" t="str">
        <x:v>HC-A-C-TECH-2</x:v>
      </x:c>
      <x:c r="E1697" s="9" t="str">
        <x:v>HC-A-C</x:v>
      </x:c>
      <x:c r="F1697" s="9" t="str">
        <x:v>B1</x:v>
      </x:c>
      <x:c r="G1697" s="9" t="str">
        <x:v>BRK</x:v>
      </x:c>
      <x:c r="H1697" s="9" t="str">
        <x:v>OG11</x:v>
      </x:c>
      <x:c r="I1697" s="17" t="str">
        <x:v>Contradiction preservation</x:v>
      </x:c>
      <x:c r="J1697" s="17" t="str">
        <x:v>primary-witness disagreement remains explicit and is never averaged away</x:v>
      </x:c>
      <x:c r="K1697" s="17" t="str">
        <x:v>Dissent registrar</x:v>
      </x:c>
      <x:c r="L1697" s="9" t="n">
        <x:v>0</x:v>
      </x:c>
      <x:c r="M1697" s="9" t="n">
        <x:v>0</x:v>
      </x:c>
      <x:c r="N1697" s="9" t="str">
        <x:v>OPEN / UNACCEPTED</x:v>
      </x:c>
      <x:c r="O1697" s="9" t="n">
        <x:f>COUNTIFS($A$7:$A$1734,A1697)</x:f>
        <x:v>1</x:v>
      </x:c>
    </x:row>
    <x:row r="1698">
      <x:c r="A1698" s="9" t="str">
        <x:v>EV-AR-HC-A-C-TECH-2-B1-BRK-G0-OG12</x:v>
      </x:c>
      <x:c r="B1698" s="9" t="str">
        <x:v>EV-AR-HC-A-C-TECH-2-B1-BRK-G0</x:v>
      </x:c>
      <x:c r="C1698" s="9" t="str">
        <x:v>AR-HC-A-C-TECH-2-B1-BRK-G0</x:v>
      </x:c>
      <x:c r="D1698" s="9" t="str">
        <x:v>HC-A-C-TECH-2</x:v>
      </x:c>
      <x:c r="E1698" s="9" t="str">
        <x:v>HC-A-C</x:v>
      </x:c>
      <x:c r="F1698" s="9" t="str">
        <x:v>B1</x:v>
      </x:c>
      <x:c r="G1698" s="9" t="str">
        <x:v>BRK</x:v>
      </x:c>
      <x:c r="H1698" s="9" t="str">
        <x:v>OG12</x:v>
      </x:c>
      <x:c r="I1698" s="17" t="str">
        <x:v>Independent replay</x:v>
      </x:c>
      <x:c r="J1698" s="17" t="str">
        <x:v>a separated reader reconstructs the registered observables from sealed originals</x:v>
      </x:c>
      <x:c r="K1698" s="17" t="str">
        <x:v>Replay court</x:v>
      </x:c>
      <x:c r="L1698" s="9" t="n">
        <x:v>0</x:v>
      </x:c>
      <x:c r="M1698" s="9" t="n">
        <x:v>0</x:v>
      </x:c>
      <x:c r="N1698" s="9" t="str">
        <x:v>OPEN / UNACCEPTED</x:v>
      </x:c>
      <x:c r="O1698" s="9" t="n">
        <x:f>COUNTIFS($A$7:$A$1734,A1698)</x:f>
        <x:v>1</x:v>
      </x:c>
    </x:row>
    <x:row r="1699">
      <x:c r="A1699" s="9" t="str">
        <x:v>EV-AR-HU-A-B-TECH-2-B1-INT-G0-OG01</x:v>
      </x:c>
      <x:c r="B1699" s="9" t="str">
        <x:v>EV-AR-HU-A-B-TECH-2-B1-INT-G0</x:v>
      </x:c>
      <x:c r="C1699" s="9" t="str">
        <x:v>AR-HU-A-B-TECH-2-B1-INT-G0</x:v>
      </x:c>
      <x:c r="D1699" s="9" t="str">
        <x:v>HU-A-B-TECH-2</x:v>
      </x:c>
      <x:c r="E1699" s="9" t="str">
        <x:v>HU-A-B</x:v>
      </x:c>
      <x:c r="F1699" s="9" t="str">
        <x:v>B1</x:v>
      </x:c>
      <x:c r="G1699" s="9" t="str">
        <x:v>INT</x:v>
      </x:c>
      <x:c r="H1699" s="9" t="str">
        <x:v>OG01</x:v>
      </x:c>
      <x:c r="I1699" s="17" t="str">
        <x:v>Serial and event identity</x:v>
      </x:c>
      <x:c r="J1699" s="17" t="str">
        <x:v>record resolves to the issued serial, generation and physical start</x:v>
      </x:c>
      <x:c r="K1699" s="17" t="str">
        <x:v>Observation court</x:v>
      </x:c>
      <x:c r="L1699" s="9" t="n">
        <x:v>0</x:v>
      </x:c>
      <x:c r="M1699" s="9" t="n">
        <x:v>0</x:v>
      </x:c>
      <x:c r="N1699" s="9" t="str">
        <x:v>OPEN / UNACCEPTED</x:v>
      </x:c>
      <x:c r="O1699" s="9" t="n">
        <x:f>COUNTIFS($A$7:$A$1734,A1699)</x:f>
        <x:v>1</x:v>
      </x:c>
    </x:row>
    <x:row r="1700">
      <x:c r="A1700" s="9" t="str">
        <x:v>EV-AR-HU-A-B-TECH-2-B1-INT-G0-OG02</x:v>
      </x:c>
      <x:c r="B1700" s="9" t="str">
        <x:v>EV-AR-HU-A-B-TECH-2-B1-INT-G0</x:v>
      </x:c>
      <x:c r="C1700" s="9" t="str">
        <x:v>AR-HU-A-B-TECH-2-B1-INT-G0</x:v>
      </x:c>
      <x:c r="D1700" s="9" t="str">
        <x:v>HU-A-B-TECH-2</x:v>
      </x:c>
      <x:c r="E1700" s="9" t="str">
        <x:v>HU-A-B</x:v>
      </x:c>
      <x:c r="F1700" s="9" t="str">
        <x:v>B1</x:v>
      </x:c>
      <x:c r="G1700" s="9" t="str">
        <x:v>INT</x:v>
      </x:c>
      <x:c r="H1700" s="9" t="str">
        <x:v>OG02</x:v>
      </x:c>
      <x:c r="I1700" s="17" t="str">
        <x:v>Time ancestry</x:v>
      </x:c>
      <x:c r="J1700" s="17" t="str">
        <x:v>primary, witness and public event clocks retain declared offsets and drift</x:v>
      </x:c>
      <x:c r="K1700" s="17" t="str">
        <x:v>Time authority</x:v>
      </x:c>
      <x:c r="L1700" s="9" t="n">
        <x:v>0</x:v>
      </x:c>
      <x:c r="M1700" s="9" t="n">
        <x:v>0</x:v>
      </x:c>
      <x:c r="N1700" s="9" t="str">
        <x:v>OPEN / UNACCEPTED</x:v>
      </x:c>
      <x:c r="O1700" s="9" t="n">
        <x:f>COUNTIFS($A$7:$A$1734,A1700)</x:f>
        <x:v>1</x:v>
      </x:c>
    </x:row>
    <x:row r="1701">
      <x:c r="A1701" s="9" t="str">
        <x:v>EV-AR-HU-A-B-TECH-2-B1-INT-G0-OG03</x:v>
      </x:c>
      <x:c r="B1701" s="9" t="str">
        <x:v>EV-AR-HU-A-B-TECH-2-B1-INT-G0</x:v>
      </x:c>
      <x:c r="C1701" s="9" t="str">
        <x:v>AR-HU-A-B-TECH-2-B1-INT-G0</x:v>
      </x:c>
      <x:c r="D1701" s="9" t="str">
        <x:v>HU-A-B-TECH-2</x:v>
      </x:c>
      <x:c r="E1701" s="9" t="str">
        <x:v>HU-A-B</x:v>
      </x:c>
      <x:c r="F1701" s="9" t="str">
        <x:v>B1</x:v>
      </x:c>
      <x:c r="G1701" s="9" t="str">
        <x:v>INT</x:v>
      </x:c>
      <x:c r="H1701" s="9" t="str">
        <x:v>OG03</x:v>
      </x:c>
      <x:c r="I1701" s="17" t="str">
        <x:v>Calibration ancestry</x:v>
      </x:c>
      <x:c r="J1701" s="17" t="str">
        <x:v>all reference, range and uncertainty states cover the live interval</x:v>
      </x:c>
      <x:c r="K1701" s="17" t="str">
        <x:v>Metrology courts</x:v>
      </x:c>
      <x:c r="L1701" s="9" t="n">
        <x:v>0</x:v>
      </x:c>
      <x:c r="M1701" s="9" t="n">
        <x:v>0</x:v>
      </x:c>
      <x:c r="N1701" s="9" t="str">
        <x:v>OPEN / UNACCEPTED</x:v>
      </x:c>
      <x:c r="O1701" s="9" t="n">
        <x:f>COUNTIFS($A$7:$A$1734,A1701)</x:f>
        <x:v>1</x:v>
      </x:c>
    </x:row>
    <x:row r="1702">
      <x:c r="A1702" s="9" t="str">
        <x:v>EV-AR-HU-A-B-TECH-2-B1-INT-G0-OG04</x:v>
      </x:c>
      <x:c r="B1702" s="9" t="str">
        <x:v>EV-AR-HU-A-B-TECH-2-B1-INT-G0</x:v>
      </x:c>
      <x:c r="C1702" s="9" t="str">
        <x:v>AR-HU-A-B-TECH-2-B1-INT-G0</x:v>
      </x:c>
      <x:c r="D1702" s="9" t="str">
        <x:v>HU-A-B-TECH-2</x:v>
      </x:c>
      <x:c r="E1702" s="9" t="str">
        <x:v>HU-A-B</x:v>
      </x:c>
      <x:c r="F1702" s="9" t="str">
        <x:v>B1</x:v>
      </x:c>
      <x:c r="G1702" s="9" t="str">
        <x:v>INT</x:v>
      </x:c>
      <x:c r="H1702" s="9" t="str">
        <x:v>OG04</x:v>
      </x:c>
      <x:c r="I1702" s="17" t="str">
        <x:v>Raw completeness</x:v>
      </x:c>
      <x:c r="J1702" s="17" t="str">
        <x:v>missingness is enumerated without imputation or outcome-conditioned deletion</x:v>
      </x:c>
      <x:c r="K1702" s="17" t="str">
        <x:v>Observation court</x:v>
      </x:c>
      <x:c r="L1702" s="9" t="n">
        <x:v>0</x:v>
      </x:c>
      <x:c r="M1702" s="9" t="n">
        <x:v>0</x:v>
      </x:c>
      <x:c r="N1702" s="9" t="str">
        <x:v>OPEN / UNACCEPTED</x:v>
      </x:c>
      <x:c r="O1702" s="9" t="n">
        <x:f>COUNTIFS($A$7:$A$1734,A1702)</x:f>
        <x:v>1</x:v>
      </x:c>
    </x:row>
    <x:row r="1703">
      <x:c r="A1703" s="9" t="str">
        <x:v>EV-AR-HU-A-B-TECH-2-B1-INT-G0-OG05</x:v>
      </x:c>
      <x:c r="B1703" s="9" t="str">
        <x:v>EV-AR-HU-A-B-TECH-2-B1-INT-G0</x:v>
      </x:c>
      <x:c r="C1703" s="9" t="str">
        <x:v>AR-HU-A-B-TECH-2-B1-INT-G0</x:v>
      </x:c>
      <x:c r="D1703" s="9" t="str">
        <x:v>HU-A-B-TECH-2</x:v>
      </x:c>
      <x:c r="E1703" s="9" t="str">
        <x:v>HU-A-B</x:v>
      </x:c>
      <x:c r="F1703" s="9" t="str">
        <x:v>B1</x:v>
      </x:c>
      <x:c r="G1703" s="9" t="str">
        <x:v>INT</x:v>
      </x:c>
      <x:c r="H1703" s="9" t="str">
        <x:v>OG05</x:v>
      </x:c>
      <x:c r="I1703" s="17" t="str">
        <x:v>Primary provenance</x:v>
      </x:c>
      <x:c r="J1703" s="17" t="str">
        <x:v>primary originals, hashes, keys and access history reconcile</x:v>
      </x:c>
      <x:c r="K1703" s="17" t="str">
        <x:v>Primary custody</x:v>
      </x:c>
      <x:c r="L1703" s="9" t="n">
        <x:v>0</x:v>
      </x:c>
      <x:c r="M1703" s="9" t="n">
        <x:v>0</x:v>
      </x:c>
      <x:c r="N1703" s="9" t="str">
        <x:v>OPEN / UNACCEPTED</x:v>
      </x:c>
      <x:c r="O1703" s="9" t="n">
        <x:f>COUNTIFS($A$7:$A$1734,A1703)</x:f>
        <x:v>1</x:v>
      </x:c>
    </x:row>
    <x:row r="1704">
      <x:c r="A1704" s="9" t="str">
        <x:v>EV-AR-HU-A-B-TECH-2-B1-INT-G0-OG06</x:v>
      </x:c>
      <x:c r="B1704" s="9" t="str">
        <x:v>EV-AR-HU-A-B-TECH-2-B1-INT-G0</x:v>
      </x:c>
      <x:c r="C1704" s="9" t="str">
        <x:v>AR-HU-A-B-TECH-2-B1-INT-G0</x:v>
      </x:c>
      <x:c r="D1704" s="9" t="str">
        <x:v>HU-A-B-TECH-2</x:v>
      </x:c>
      <x:c r="E1704" s="9" t="str">
        <x:v>HU-A-B</x:v>
      </x:c>
      <x:c r="F1704" s="9" t="str">
        <x:v>B1</x:v>
      </x:c>
      <x:c r="G1704" s="9" t="str">
        <x:v>INT</x:v>
      </x:c>
      <x:c r="H1704" s="9" t="str">
        <x:v>OG06</x:v>
      </x:c>
      <x:c r="I1704" s="17" t="str">
        <x:v>Witness provenance</x:v>
      </x:c>
      <x:c r="J1704" s="17" t="str">
        <x:v>unlike witness originals, hashes, keys and access history reconcile</x:v>
      </x:c>
      <x:c r="K1704" s="17" t="str">
        <x:v>Witness custody</x:v>
      </x:c>
      <x:c r="L1704" s="9" t="n">
        <x:v>0</x:v>
      </x:c>
      <x:c r="M1704" s="9" t="n">
        <x:v>0</x:v>
      </x:c>
      <x:c r="N1704" s="9" t="str">
        <x:v>OPEN / UNACCEPTED</x:v>
      </x:c>
      <x:c r="O1704" s="9" t="n">
        <x:f>COUNTIFS($A$7:$A$1734,A1704)</x:f>
        <x:v>1</x:v>
      </x:c>
    </x:row>
    <x:row r="1705">
      <x:c r="A1705" s="9" t="str">
        <x:v>EV-AR-HU-A-B-TECH-2-B1-INT-G0-OG07</x:v>
      </x:c>
      <x:c r="B1705" s="9" t="str">
        <x:v>EV-AR-HU-A-B-TECH-2-B1-INT-G0</x:v>
      </x:c>
      <x:c r="C1705" s="9" t="str">
        <x:v>AR-HU-A-B-TECH-2-B1-INT-G0</x:v>
      </x:c>
      <x:c r="D1705" s="9" t="str">
        <x:v>HU-A-B-TECH-2</x:v>
      </x:c>
      <x:c r="E1705" s="9" t="str">
        <x:v>HU-A-B</x:v>
      </x:c>
      <x:c r="F1705" s="9" t="str">
        <x:v>B1</x:v>
      </x:c>
      <x:c r="G1705" s="9" t="str">
        <x:v>INT</x:v>
      </x:c>
      <x:c r="H1705" s="9" t="str">
        <x:v>OG07</x:v>
      </x:c>
      <x:c r="I1705" s="17" t="str">
        <x:v>Receiver denominator</x:v>
      </x:c>
      <x:c r="J1705" s="17" t="str">
        <x:v>population, quantity, duration and exclusions match the frozen receipt</x:v>
      </x:c>
      <x:c r="K1705" s="17" t="str">
        <x:v>Receiver court</x:v>
      </x:c>
      <x:c r="L1705" s="9" t="n">
        <x:v>0</x:v>
      </x:c>
      <x:c r="M1705" s="9" t="n">
        <x:v>0</x:v>
      </x:c>
      <x:c r="N1705" s="9" t="str">
        <x:v>OPEN / UNACCEPTED</x:v>
      </x:c>
      <x:c r="O1705" s="9" t="n">
        <x:f>COUNTIFS($A$7:$A$1734,A1705)</x:f>
        <x:v>1</x:v>
      </x:c>
    </x:row>
    <x:row r="1706">
      <x:c r="A1706" s="9" t="str">
        <x:v>EV-AR-HU-A-B-TECH-2-B1-INT-G0-OG08</x:v>
      </x:c>
      <x:c r="B1706" s="9" t="str">
        <x:v>EV-AR-HU-A-B-TECH-2-B1-INT-G0</x:v>
      </x:c>
      <x:c r="C1706" s="9" t="str">
        <x:v>AR-HU-A-B-TECH-2-B1-INT-G0</x:v>
      </x:c>
      <x:c r="D1706" s="9" t="str">
        <x:v>HU-A-B-TECH-2</x:v>
      </x:c>
      <x:c r="E1706" s="9" t="str">
        <x:v>HU-A-B</x:v>
      </x:c>
      <x:c r="F1706" s="9" t="str">
        <x:v>B1</x:v>
      </x:c>
      <x:c r="G1706" s="9" t="str">
        <x:v>INT</x:v>
      </x:c>
      <x:c r="H1706" s="9" t="str">
        <x:v>OG08</x:v>
      </x:c>
      <x:c r="I1706" s="17" t="str">
        <x:v>Environment and boundary</x:v>
      </x:c>
      <x:c r="J1706" s="17" t="str">
        <x:v>registered weather, water, ground, inlet and outlet states are retained</x:v>
      </x:c>
      <x:c r="K1706" s="17" t="str">
        <x:v>Boundary court</x:v>
      </x:c>
      <x:c r="L1706" s="9" t="n">
        <x:v>0</x:v>
      </x:c>
      <x:c r="M1706" s="9" t="n">
        <x:v>0</x:v>
      </x:c>
      <x:c r="N1706" s="9" t="str">
        <x:v>OPEN / UNACCEPTED</x:v>
      </x:c>
      <x:c r="O1706" s="9" t="n">
        <x:f>COUNTIFS($A$7:$A$1734,A1706)</x:f>
        <x:v>1</x:v>
      </x:c>
    </x:row>
    <x:row r="1707">
      <x:c r="A1707" s="9" t="str">
        <x:v>EV-AR-HU-A-B-TECH-2-B1-INT-G0-OG09</x:v>
      </x:c>
      <x:c r="B1707" s="9" t="str">
        <x:v>EV-AR-HU-A-B-TECH-2-B1-INT-G0</x:v>
      </x:c>
      <x:c r="C1707" s="9" t="str">
        <x:v>AR-HU-A-B-TECH-2-B1-INT-G0</x:v>
      </x:c>
      <x:c r="D1707" s="9" t="str">
        <x:v>HU-A-B-TECH-2</x:v>
      </x:c>
      <x:c r="E1707" s="9" t="str">
        <x:v>HU-A-B</x:v>
      </x:c>
      <x:c r="F1707" s="9" t="str">
        <x:v>B1</x:v>
      </x:c>
      <x:c r="G1707" s="9" t="str">
        <x:v>INT</x:v>
      </x:c>
      <x:c r="H1707" s="9" t="str">
        <x:v>OG09</x:v>
      </x:c>
      <x:c r="I1707" s="17" t="str">
        <x:v>Intervention account</x:v>
      </x:c>
      <x:c r="J1707" s="17" t="str">
        <x:v>all stop, rescue, operator and public-protection actions remain timestamped</x:v>
      </x:c>
      <x:c r="K1707" s="17" t="str">
        <x:v>Safety record court</x:v>
      </x:c>
      <x:c r="L1707" s="9" t="n">
        <x:v>0</x:v>
      </x:c>
      <x:c r="M1707" s="9" t="n">
        <x:v>0</x:v>
      </x:c>
      <x:c r="N1707" s="9" t="str">
        <x:v>OPEN / UNACCEPTED</x:v>
      </x:c>
      <x:c r="O1707" s="9" t="n">
        <x:f>COUNTIFS($A$7:$A$1734,A1707)</x:f>
        <x:v>1</x:v>
      </x:c>
    </x:row>
    <x:row r="1708">
      <x:c r="A1708" s="9" t="str">
        <x:v>EV-AR-HU-A-B-TECH-2-B1-INT-G0-OG10</x:v>
      </x:c>
      <x:c r="B1708" s="9" t="str">
        <x:v>EV-AR-HU-A-B-TECH-2-B1-INT-G0</x:v>
      </x:c>
      <x:c r="C1708" s="9" t="str">
        <x:v>AR-HU-A-B-TECH-2-B1-INT-G0</x:v>
      </x:c>
      <x:c r="D1708" s="9" t="str">
        <x:v>HU-A-B-TECH-2</x:v>
      </x:c>
      <x:c r="E1708" s="9" t="str">
        <x:v>HU-A-B</x:v>
      </x:c>
      <x:c r="F1708" s="9" t="str">
        <x:v>B1</x:v>
      </x:c>
      <x:c r="G1708" s="9" t="str">
        <x:v>INT</x:v>
      </x:c>
      <x:c r="H1708" s="9" t="str">
        <x:v>OG10</x:v>
      </x:c>
      <x:c r="I1708" s="17" t="str">
        <x:v>Uncertainty statement</x:v>
      </x:c>
      <x:c r="J1708" s="17" t="str">
        <x:v>range, censoring, resolution and correlation are declared before judgment</x:v>
      </x:c>
      <x:c r="K1708" s="17" t="str">
        <x:v>Uncertainty authority</x:v>
      </x:c>
      <x:c r="L1708" s="9" t="n">
        <x:v>0</x:v>
      </x:c>
      <x:c r="M1708" s="9" t="n">
        <x:v>0</x:v>
      </x:c>
      <x:c r="N1708" s="9" t="str">
        <x:v>OPEN / UNACCEPTED</x:v>
      </x:c>
      <x:c r="O1708" s="9" t="n">
        <x:f>COUNTIFS($A$7:$A$1734,A1708)</x:f>
        <x:v>1</x:v>
      </x:c>
    </x:row>
    <x:row r="1709">
      <x:c r="A1709" s="9" t="str">
        <x:v>EV-AR-HU-A-B-TECH-2-B1-INT-G0-OG11</x:v>
      </x:c>
      <x:c r="B1709" s="9" t="str">
        <x:v>EV-AR-HU-A-B-TECH-2-B1-INT-G0</x:v>
      </x:c>
      <x:c r="C1709" s="9" t="str">
        <x:v>AR-HU-A-B-TECH-2-B1-INT-G0</x:v>
      </x:c>
      <x:c r="D1709" s="9" t="str">
        <x:v>HU-A-B-TECH-2</x:v>
      </x:c>
      <x:c r="E1709" s="9" t="str">
        <x:v>HU-A-B</x:v>
      </x:c>
      <x:c r="F1709" s="9" t="str">
        <x:v>B1</x:v>
      </x:c>
      <x:c r="G1709" s="9" t="str">
        <x:v>INT</x:v>
      </x:c>
      <x:c r="H1709" s="9" t="str">
        <x:v>OG11</x:v>
      </x:c>
      <x:c r="I1709" s="17" t="str">
        <x:v>Contradiction preservation</x:v>
      </x:c>
      <x:c r="J1709" s="17" t="str">
        <x:v>primary-witness disagreement remains explicit and is never averaged away</x:v>
      </x:c>
      <x:c r="K1709" s="17" t="str">
        <x:v>Dissent registrar</x:v>
      </x:c>
      <x:c r="L1709" s="9" t="n">
        <x:v>0</x:v>
      </x:c>
      <x:c r="M1709" s="9" t="n">
        <x:v>0</x:v>
      </x:c>
      <x:c r="N1709" s="9" t="str">
        <x:v>OPEN / UNACCEPTED</x:v>
      </x:c>
      <x:c r="O1709" s="9" t="n">
        <x:f>COUNTIFS($A$7:$A$1734,A1709)</x:f>
        <x:v>1</x:v>
      </x:c>
    </x:row>
    <x:row r="1710">
      <x:c r="A1710" s="9" t="str">
        <x:v>EV-AR-HU-A-B-TECH-2-B1-INT-G0-OG12</x:v>
      </x:c>
      <x:c r="B1710" s="9" t="str">
        <x:v>EV-AR-HU-A-B-TECH-2-B1-INT-G0</x:v>
      </x:c>
      <x:c r="C1710" s="9" t="str">
        <x:v>AR-HU-A-B-TECH-2-B1-INT-G0</x:v>
      </x:c>
      <x:c r="D1710" s="9" t="str">
        <x:v>HU-A-B-TECH-2</x:v>
      </x:c>
      <x:c r="E1710" s="9" t="str">
        <x:v>HU-A-B</x:v>
      </x:c>
      <x:c r="F1710" s="9" t="str">
        <x:v>B1</x:v>
      </x:c>
      <x:c r="G1710" s="9" t="str">
        <x:v>INT</x:v>
      </x:c>
      <x:c r="H1710" s="9" t="str">
        <x:v>OG12</x:v>
      </x:c>
      <x:c r="I1710" s="17" t="str">
        <x:v>Independent replay</x:v>
      </x:c>
      <x:c r="J1710" s="17" t="str">
        <x:v>a separated reader reconstructs the registered observables from sealed originals</x:v>
      </x:c>
      <x:c r="K1710" s="17" t="str">
        <x:v>Replay court</x:v>
      </x:c>
      <x:c r="L1710" s="9" t="n">
        <x:v>0</x:v>
      </x:c>
      <x:c r="M1710" s="9" t="n">
        <x:v>0</x:v>
      </x:c>
      <x:c r="N1710" s="9" t="str">
        <x:v>OPEN / UNACCEPTED</x:v>
      </x:c>
      <x:c r="O1710" s="9" t="n">
        <x:f>COUNTIFS($A$7:$A$1734,A1710)</x:f>
        <x:v>1</x:v>
      </x:c>
    </x:row>
    <x:row r="1711">
      <x:c r="A1711" s="9" t="str">
        <x:v>EV-AR-LF-B-A-TECH-1-B1-BRK-G0-OG01</x:v>
      </x:c>
      <x:c r="B1711" s="9" t="str">
        <x:v>EV-AR-LF-B-A-TECH-1-B1-BRK-G0</x:v>
      </x:c>
      <x:c r="C1711" s="9" t="str">
        <x:v>AR-LF-B-A-TECH-1-B1-BRK-G0</x:v>
      </x:c>
      <x:c r="D1711" s="9" t="str">
        <x:v>LF-B-A-TECH-1</x:v>
      </x:c>
      <x:c r="E1711" s="9" t="str">
        <x:v>LF-B-A</x:v>
      </x:c>
      <x:c r="F1711" s="9" t="str">
        <x:v>B1</x:v>
      </x:c>
      <x:c r="G1711" s="9" t="str">
        <x:v>BRK</x:v>
      </x:c>
      <x:c r="H1711" s="9" t="str">
        <x:v>OG01</x:v>
      </x:c>
      <x:c r="I1711" s="17" t="str">
        <x:v>Serial and event identity</x:v>
      </x:c>
      <x:c r="J1711" s="17" t="str">
        <x:v>record resolves to the issued serial, generation and physical start</x:v>
      </x:c>
      <x:c r="K1711" s="17" t="str">
        <x:v>Observation court</x:v>
      </x:c>
      <x:c r="L1711" s="9" t="n">
        <x:v>0</x:v>
      </x:c>
      <x:c r="M1711" s="9" t="n">
        <x:v>0</x:v>
      </x:c>
      <x:c r="N1711" s="9" t="str">
        <x:v>OPEN / UNACCEPTED</x:v>
      </x:c>
      <x:c r="O1711" s="9" t="n">
        <x:f>COUNTIFS($A$7:$A$1734,A1711)</x:f>
        <x:v>1</x:v>
      </x:c>
    </x:row>
    <x:row r="1712">
      <x:c r="A1712" s="9" t="str">
        <x:v>EV-AR-LF-B-A-TECH-1-B1-BRK-G0-OG02</x:v>
      </x:c>
      <x:c r="B1712" s="9" t="str">
        <x:v>EV-AR-LF-B-A-TECH-1-B1-BRK-G0</x:v>
      </x:c>
      <x:c r="C1712" s="9" t="str">
        <x:v>AR-LF-B-A-TECH-1-B1-BRK-G0</x:v>
      </x:c>
      <x:c r="D1712" s="9" t="str">
        <x:v>LF-B-A-TECH-1</x:v>
      </x:c>
      <x:c r="E1712" s="9" t="str">
        <x:v>LF-B-A</x:v>
      </x:c>
      <x:c r="F1712" s="9" t="str">
        <x:v>B1</x:v>
      </x:c>
      <x:c r="G1712" s="9" t="str">
        <x:v>BRK</x:v>
      </x:c>
      <x:c r="H1712" s="9" t="str">
        <x:v>OG02</x:v>
      </x:c>
      <x:c r="I1712" s="17" t="str">
        <x:v>Time ancestry</x:v>
      </x:c>
      <x:c r="J1712" s="17" t="str">
        <x:v>primary, witness and public event clocks retain declared offsets and drift</x:v>
      </x:c>
      <x:c r="K1712" s="17" t="str">
        <x:v>Time authority</x:v>
      </x:c>
      <x:c r="L1712" s="9" t="n">
        <x:v>0</x:v>
      </x:c>
      <x:c r="M1712" s="9" t="n">
        <x:v>0</x:v>
      </x:c>
      <x:c r="N1712" s="9" t="str">
        <x:v>OPEN / UNACCEPTED</x:v>
      </x:c>
      <x:c r="O1712" s="9" t="n">
        <x:f>COUNTIFS($A$7:$A$1734,A1712)</x:f>
        <x:v>1</x:v>
      </x:c>
    </x:row>
    <x:row r="1713">
      <x:c r="A1713" s="9" t="str">
        <x:v>EV-AR-LF-B-A-TECH-1-B1-BRK-G0-OG03</x:v>
      </x:c>
      <x:c r="B1713" s="9" t="str">
        <x:v>EV-AR-LF-B-A-TECH-1-B1-BRK-G0</x:v>
      </x:c>
      <x:c r="C1713" s="9" t="str">
        <x:v>AR-LF-B-A-TECH-1-B1-BRK-G0</x:v>
      </x:c>
      <x:c r="D1713" s="9" t="str">
        <x:v>LF-B-A-TECH-1</x:v>
      </x:c>
      <x:c r="E1713" s="9" t="str">
        <x:v>LF-B-A</x:v>
      </x:c>
      <x:c r="F1713" s="9" t="str">
        <x:v>B1</x:v>
      </x:c>
      <x:c r="G1713" s="9" t="str">
        <x:v>BRK</x:v>
      </x:c>
      <x:c r="H1713" s="9" t="str">
        <x:v>OG03</x:v>
      </x:c>
      <x:c r="I1713" s="17" t="str">
        <x:v>Calibration ancestry</x:v>
      </x:c>
      <x:c r="J1713" s="17" t="str">
        <x:v>all reference, range and uncertainty states cover the live interval</x:v>
      </x:c>
      <x:c r="K1713" s="17" t="str">
        <x:v>Metrology courts</x:v>
      </x:c>
      <x:c r="L1713" s="9" t="n">
        <x:v>0</x:v>
      </x:c>
      <x:c r="M1713" s="9" t="n">
        <x:v>0</x:v>
      </x:c>
      <x:c r="N1713" s="9" t="str">
        <x:v>OPEN / UNACCEPTED</x:v>
      </x:c>
      <x:c r="O1713" s="9" t="n">
        <x:f>COUNTIFS($A$7:$A$1734,A1713)</x:f>
        <x:v>1</x:v>
      </x:c>
    </x:row>
    <x:row r="1714">
      <x:c r="A1714" s="9" t="str">
        <x:v>EV-AR-LF-B-A-TECH-1-B1-BRK-G0-OG04</x:v>
      </x:c>
      <x:c r="B1714" s="9" t="str">
        <x:v>EV-AR-LF-B-A-TECH-1-B1-BRK-G0</x:v>
      </x:c>
      <x:c r="C1714" s="9" t="str">
        <x:v>AR-LF-B-A-TECH-1-B1-BRK-G0</x:v>
      </x:c>
      <x:c r="D1714" s="9" t="str">
        <x:v>LF-B-A-TECH-1</x:v>
      </x:c>
      <x:c r="E1714" s="9" t="str">
        <x:v>LF-B-A</x:v>
      </x:c>
      <x:c r="F1714" s="9" t="str">
        <x:v>B1</x:v>
      </x:c>
      <x:c r="G1714" s="9" t="str">
        <x:v>BRK</x:v>
      </x:c>
      <x:c r="H1714" s="9" t="str">
        <x:v>OG04</x:v>
      </x:c>
      <x:c r="I1714" s="17" t="str">
        <x:v>Raw completeness</x:v>
      </x:c>
      <x:c r="J1714" s="17" t="str">
        <x:v>missingness is enumerated without imputation or outcome-conditioned deletion</x:v>
      </x:c>
      <x:c r="K1714" s="17" t="str">
        <x:v>Observation court</x:v>
      </x:c>
      <x:c r="L1714" s="9" t="n">
        <x:v>0</x:v>
      </x:c>
      <x:c r="M1714" s="9" t="n">
        <x:v>0</x:v>
      </x:c>
      <x:c r="N1714" s="9" t="str">
        <x:v>OPEN / UNACCEPTED</x:v>
      </x:c>
      <x:c r="O1714" s="9" t="n">
        <x:f>COUNTIFS($A$7:$A$1734,A1714)</x:f>
        <x:v>1</x:v>
      </x:c>
    </x:row>
    <x:row r="1715">
      <x:c r="A1715" s="9" t="str">
        <x:v>EV-AR-LF-B-A-TECH-1-B1-BRK-G0-OG05</x:v>
      </x:c>
      <x:c r="B1715" s="9" t="str">
        <x:v>EV-AR-LF-B-A-TECH-1-B1-BRK-G0</x:v>
      </x:c>
      <x:c r="C1715" s="9" t="str">
        <x:v>AR-LF-B-A-TECH-1-B1-BRK-G0</x:v>
      </x:c>
      <x:c r="D1715" s="9" t="str">
        <x:v>LF-B-A-TECH-1</x:v>
      </x:c>
      <x:c r="E1715" s="9" t="str">
        <x:v>LF-B-A</x:v>
      </x:c>
      <x:c r="F1715" s="9" t="str">
        <x:v>B1</x:v>
      </x:c>
      <x:c r="G1715" s="9" t="str">
        <x:v>BRK</x:v>
      </x:c>
      <x:c r="H1715" s="9" t="str">
        <x:v>OG05</x:v>
      </x:c>
      <x:c r="I1715" s="17" t="str">
        <x:v>Primary provenance</x:v>
      </x:c>
      <x:c r="J1715" s="17" t="str">
        <x:v>primary originals, hashes, keys and access history reconcile</x:v>
      </x:c>
      <x:c r="K1715" s="17" t="str">
        <x:v>Primary custody</x:v>
      </x:c>
      <x:c r="L1715" s="9" t="n">
        <x:v>0</x:v>
      </x:c>
      <x:c r="M1715" s="9" t="n">
        <x:v>0</x:v>
      </x:c>
      <x:c r="N1715" s="9" t="str">
        <x:v>OPEN / UNACCEPTED</x:v>
      </x:c>
      <x:c r="O1715" s="9" t="n">
        <x:f>COUNTIFS($A$7:$A$1734,A1715)</x:f>
        <x:v>1</x:v>
      </x:c>
    </x:row>
    <x:row r="1716">
      <x:c r="A1716" s="9" t="str">
        <x:v>EV-AR-LF-B-A-TECH-1-B1-BRK-G0-OG06</x:v>
      </x:c>
      <x:c r="B1716" s="9" t="str">
        <x:v>EV-AR-LF-B-A-TECH-1-B1-BRK-G0</x:v>
      </x:c>
      <x:c r="C1716" s="9" t="str">
        <x:v>AR-LF-B-A-TECH-1-B1-BRK-G0</x:v>
      </x:c>
      <x:c r="D1716" s="9" t="str">
        <x:v>LF-B-A-TECH-1</x:v>
      </x:c>
      <x:c r="E1716" s="9" t="str">
        <x:v>LF-B-A</x:v>
      </x:c>
      <x:c r="F1716" s="9" t="str">
        <x:v>B1</x:v>
      </x:c>
      <x:c r="G1716" s="9" t="str">
        <x:v>BRK</x:v>
      </x:c>
      <x:c r="H1716" s="9" t="str">
        <x:v>OG06</x:v>
      </x:c>
      <x:c r="I1716" s="17" t="str">
        <x:v>Witness provenance</x:v>
      </x:c>
      <x:c r="J1716" s="17" t="str">
        <x:v>unlike witness originals, hashes, keys and access history reconcile</x:v>
      </x:c>
      <x:c r="K1716" s="17" t="str">
        <x:v>Witness custody</x:v>
      </x:c>
      <x:c r="L1716" s="9" t="n">
        <x:v>0</x:v>
      </x:c>
      <x:c r="M1716" s="9" t="n">
        <x:v>0</x:v>
      </x:c>
      <x:c r="N1716" s="9" t="str">
        <x:v>OPEN / UNACCEPTED</x:v>
      </x:c>
      <x:c r="O1716" s="9" t="n">
        <x:f>COUNTIFS($A$7:$A$1734,A1716)</x:f>
        <x:v>1</x:v>
      </x:c>
    </x:row>
    <x:row r="1717">
      <x:c r="A1717" s="9" t="str">
        <x:v>EV-AR-LF-B-A-TECH-1-B1-BRK-G0-OG07</x:v>
      </x:c>
      <x:c r="B1717" s="9" t="str">
        <x:v>EV-AR-LF-B-A-TECH-1-B1-BRK-G0</x:v>
      </x:c>
      <x:c r="C1717" s="9" t="str">
        <x:v>AR-LF-B-A-TECH-1-B1-BRK-G0</x:v>
      </x:c>
      <x:c r="D1717" s="9" t="str">
        <x:v>LF-B-A-TECH-1</x:v>
      </x:c>
      <x:c r="E1717" s="9" t="str">
        <x:v>LF-B-A</x:v>
      </x:c>
      <x:c r="F1717" s="9" t="str">
        <x:v>B1</x:v>
      </x:c>
      <x:c r="G1717" s="9" t="str">
        <x:v>BRK</x:v>
      </x:c>
      <x:c r="H1717" s="9" t="str">
        <x:v>OG07</x:v>
      </x:c>
      <x:c r="I1717" s="17" t="str">
        <x:v>Receiver denominator</x:v>
      </x:c>
      <x:c r="J1717" s="17" t="str">
        <x:v>population, quantity, duration and exclusions match the frozen receipt</x:v>
      </x:c>
      <x:c r="K1717" s="17" t="str">
        <x:v>Receiver court</x:v>
      </x:c>
      <x:c r="L1717" s="9" t="n">
        <x:v>0</x:v>
      </x:c>
      <x:c r="M1717" s="9" t="n">
        <x:v>0</x:v>
      </x:c>
      <x:c r="N1717" s="9" t="str">
        <x:v>OPEN / UNACCEPTED</x:v>
      </x:c>
      <x:c r="O1717" s="9" t="n">
        <x:f>COUNTIFS($A$7:$A$1734,A1717)</x:f>
        <x:v>1</x:v>
      </x:c>
    </x:row>
    <x:row r="1718">
      <x:c r="A1718" s="9" t="str">
        <x:v>EV-AR-LF-B-A-TECH-1-B1-BRK-G0-OG08</x:v>
      </x:c>
      <x:c r="B1718" s="9" t="str">
        <x:v>EV-AR-LF-B-A-TECH-1-B1-BRK-G0</x:v>
      </x:c>
      <x:c r="C1718" s="9" t="str">
        <x:v>AR-LF-B-A-TECH-1-B1-BRK-G0</x:v>
      </x:c>
      <x:c r="D1718" s="9" t="str">
        <x:v>LF-B-A-TECH-1</x:v>
      </x:c>
      <x:c r="E1718" s="9" t="str">
        <x:v>LF-B-A</x:v>
      </x:c>
      <x:c r="F1718" s="9" t="str">
        <x:v>B1</x:v>
      </x:c>
      <x:c r="G1718" s="9" t="str">
        <x:v>BRK</x:v>
      </x:c>
      <x:c r="H1718" s="9" t="str">
        <x:v>OG08</x:v>
      </x:c>
      <x:c r="I1718" s="17" t="str">
        <x:v>Environment and boundary</x:v>
      </x:c>
      <x:c r="J1718" s="17" t="str">
        <x:v>registered weather, water, ground, inlet and outlet states are retained</x:v>
      </x:c>
      <x:c r="K1718" s="17" t="str">
        <x:v>Boundary court</x:v>
      </x:c>
      <x:c r="L1718" s="9" t="n">
        <x:v>0</x:v>
      </x:c>
      <x:c r="M1718" s="9" t="n">
        <x:v>0</x:v>
      </x:c>
      <x:c r="N1718" s="9" t="str">
        <x:v>OPEN / UNACCEPTED</x:v>
      </x:c>
      <x:c r="O1718" s="9" t="n">
        <x:f>COUNTIFS($A$7:$A$1734,A1718)</x:f>
        <x:v>1</x:v>
      </x:c>
    </x:row>
    <x:row r="1719">
      <x:c r="A1719" s="9" t="str">
        <x:v>EV-AR-LF-B-A-TECH-1-B1-BRK-G0-OG09</x:v>
      </x:c>
      <x:c r="B1719" s="9" t="str">
        <x:v>EV-AR-LF-B-A-TECH-1-B1-BRK-G0</x:v>
      </x:c>
      <x:c r="C1719" s="9" t="str">
        <x:v>AR-LF-B-A-TECH-1-B1-BRK-G0</x:v>
      </x:c>
      <x:c r="D1719" s="9" t="str">
        <x:v>LF-B-A-TECH-1</x:v>
      </x:c>
      <x:c r="E1719" s="9" t="str">
        <x:v>LF-B-A</x:v>
      </x:c>
      <x:c r="F1719" s="9" t="str">
        <x:v>B1</x:v>
      </x:c>
      <x:c r="G1719" s="9" t="str">
        <x:v>BRK</x:v>
      </x:c>
      <x:c r="H1719" s="9" t="str">
        <x:v>OG09</x:v>
      </x:c>
      <x:c r="I1719" s="17" t="str">
        <x:v>Intervention account</x:v>
      </x:c>
      <x:c r="J1719" s="17" t="str">
        <x:v>all stop, rescue, operator and public-protection actions remain timestamped</x:v>
      </x:c>
      <x:c r="K1719" s="17" t="str">
        <x:v>Safety record court</x:v>
      </x:c>
      <x:c r="L1719" s="9" t="n">
        <x:v>0</x:v>
      </x:c>
      <x:c r="M1719" s="9" t="n">
        <x:v>0</x:v>
      </x:c>
      <x:c r="N1719" s="9" t="str">
        <x:v>OPEN / UNACCEPTED</x:v>
      </x:c>
      <x:c r="O1719" s="9" t="n">
        <x:f>COUNTIFS($A$7:$A$1734,A1719)</x:f>
        <x:v>1</x:v>
      </x:c>
    </x:row>
    <x:row r="1720">
      <x:c r="A1720" s="9" t="str">
        <x:v>EV-AR-LF-B-A-TECH-1-B1-BRK-G0-OG10</x:v>
      </x:c>
      <x:c r="B1720" s="9" t="str">
        <x:v>EV-AR-LF-B-A-TECH-1-B1-BRK-G0</x:v>
      </x:c>
      <x:c r="C1720" s="9" t="str">
        <x:v>AR-LF-B-A-TECH-1-B1-BRK-G0</x:v>
      </x:c>
      <x:c r="D1720" s="9" t="str">
        <x:v>LF-B-A-TECH-1</x:v>
      </x:c>
      <x:c r="E1720" s="9" t="str">
        <x:v>LF-B-A</x:v>
      </x:c>
      <x:c r="F1720" s="9" t="str">
        <x:v>B1</x:v>
      </x:c>
      <x:c r="G1720" s="9" t="str">
        <x:v>BRK</x:v>
      </x:c>
      <x:c r="H1720" s="9" t="str">
        <x:v>OG10</x:v>
      </x:c>
      <x:c r="I1720" s="17" t="str">
        <x:v>Uncertainty statement</x:v>
      </x:c>
      <x:c r="J1720" s="17" t="str">
        <x:v>range, censoring, resolution and correlation are declared before judgment</x:v>
      </x:c>
      <x:c r="K1720" s="17" t="str">
        <x:v>Uncertainty authority</x:v>
      </x:c>
      <x:c r="L1720" s="9" t="n">
        <x:v>0</x:v>
      </x:c>
      <x:c r="M1720" s="9" t="n">
        <x:v>0</x:v>
      </x:c>
      <x:c r="N1720" s="9" t="str">
        <x:v>OPEN / UNACCEPTED</x:v>
      </x:c>
      <x:c r="O1720" s="9" t="n">
        <x:f>COUNTIFS($A$7:$A$1734,A1720)</x:f>
        <x:v>1</x:v>
      </x:c>
    </x:row>
    <x:row r="1721">
      <x:c r="A1721" s="9" t="str">
        <x:v>EV-AR-LF-B-A-TECH-1-B1-BRK-G0-OG11</x:v>
      </x:c>
      <x:c r="B1721" s="9" t="str">
        <x:v>EV-AR-LF-B-A-TECH-1-B1-BRK-G0</x:v>
      </x:c>
      <x:c r="C1721" s="9" t="str">
        <x:v>AR-LF-B-A-TECH-1-B1-BRK-G0</x:v>
      </x:c>
      <x:c r="D1721" s="9" t="str">
        <x:v>LF-B-A-TECH-1</x:v>
      </x:c>
      <x:c r="E1721" s="9" t="str">
        <x:v>LF-B-A</x:v>
      </x:c>
      <x:c r="F1721" s="9" t="str">
        <x:v>B1</x:v>
      </x:c>
      <x:c r="G1721" s="9" t="str">
        <x:v>BRK</x:v>
      </x:c>
      <x:c r="H1721" s="9" t="str">
        <x:v>OG11</x:v>
      </x:c>
      <x:c r="I1721" s="17" t="str">
        <x:v>Contradiction preservation</x:v>
      </x:c>
      <x:c r="J1721" s="17" t="str">
        <x:v>primary-witness disagreement remains explicit and is never averaged away</x:v>
      </x:c>
      <x:c r="K1721" s="17" t="str">
        <x:v>Dissent registrar</x:v>
      </x:c>
      <x:c r="L1721" s="9" t="n">
        <x:v>0</x:v>
      </x:c>
      <x:c r="M1721" s="9" t="n">
        <x:v>0</x:v>
      </x:c>
      <x:c r="N1721" s="9" t="str">
        <x:v>OPEN / UNACCEPTED</x:v>
      </x:c>
      <x:c r="O1721" s="9" t="n">
        <x:f>COUNTIFS($A$7:$A$1734,A1721)</x:f>
        <x:v>1</x:v>
      </x:c>
    </x:row>
    <x:row r="1722">
      <x:c r="A1722" s="9" t="str">
        <x:v>EV-AR-LF-B-A-TECH-1-B1-BRK-G0-OG12</x:v>
      </x:c>
      <x:c r="B1722" s="9" t="str">
        <x:v>EV-AR-LF-B-A-TECH-1-B1-BRK-G0</x:v>
      </x:c>
      <x:c r="C1722" s="9" t="str">
        <x:v>AR-LF-B-A-TECH-1-B1-BRK-G0</x:v>
      </x:c>
      <x:c r="D1722" s="9" t="str">
        <x:v>LF-B-A-TECH-1</x:v>
      </x:c>
      <x:c r="E1722" s="9" t="str">
        <x:v>LF-B-A</x:v>
      </x:c>
      <x:c r="F1722" s="9" t="str">
        <x:v>B1</x:v>
      </x:c>
      <x:c r="G1722" s="9" t="str">
        <x:v>BRK</x:v>
      </x:c>
      <x:c r="H1722" s="9" t="str">
        <x:v>OG12</x:v>
      </x:c>
      <x:c r="I1722" s="17" t="str">
        <x:v>Independent replay</x:v>
      </x:c>
      <x:c r="J1722" s="17" t="str">
        <x:v>a separated reader reconstructs the registered observables from sealed originals</x:v>
      </x:c>
      <x:c r="K1722" s="17" t="str">
        <x:v>Replay court</x:v>
      </x:c>
      <x:c r="L1722" s="9" t="n">
        <x:v>0</x:v>
      </x:c>
      <x:c r="M1722" s="9" t="n">
        <x:v>0</x:v>
      </x:c>
      <x:c r="N1722" s="9" t="str">
        <x:v>OPEN / UNACCEPTED</x:v>
      </x:c>
      <x:c r="O1722" s="9" t="n">
        <x:f>COUNTIFS($A$7:$A$1734,A1722)</x:f>
        <x:v>1</x:v>
      </x:c>
    </x:row>
    <x:row r="1723">
      <x:c r="A1723" s="9" t="str">
        <x:v>EV-AR-RT-B-C-TECH-3-B1-RCN-G0-OG01</x:v>
      </x:c>
      <x:c r="B1723" s="9" t="str">
        <x:v>EV-AR-RT-B-C-TECH-3-B1-RCN-G0</x:v>
      </x:c>
      <x:c r="C1723" s="9" t="str">
        <x:v>AR-RT-B-C-TECH-3-B1-RCN-G0</x:v>
      </x:c>
      <x:c r="D1723" s="9" t="str">
        <x:v>RT-B-C-TECH-3</x:v>
      </x:c>
      <x:c r="E1723" s="9" t="str">
        <x:v>RT-B-C</x:v>
      </x:c>
      <x:c r="F1723" s="9" t="str">
        <x:v>B1</x:v>
      </x:c>
      <x:c r="G1723" s="9" t="str">
        <x:v>RCN</x:v>
      </x:c>
      <x:c r="H1723" s="9" t="str">
        <x:v>OG01</x:v>
      </x:c>
      <x:c r="I1723" s="17" t="str">
        <x:v>Serial and event identity</x:v>
      </x:c>
      <x:c r="J1723" s="17" t="str">
        <x:v>record resolves to the issued serial, generation and physical start</x:v>
      </x:c>
      <x:c r="K1723" s="17" t="str">
        <x:v>Observation court</x:v>
      </x:c>
      <x:c r="L1723" s="9" t="n">
        <x:v>0</x:v>
      </x:c>
      <x:c r="M1723" s="9" t="n">
        <x:v>0</x:v>
      </x:c>
      <x:c r="N1723" s="9" t="str">
        <x:v>OPEN / UNACCEPTED</x:v>
      </x:c>
      <x:c r="O1723" s="9" t="n">
        <x:f>COUNTIFS($A$7:$A$1734,A1723)</x:f>
        <x:v>1</x:v>
      </x:c>
    </x:row>
    <x:row r="1724">
      <x:c r="A1724" s="9" t="str">
        <x:v>EV-AR-RT-B-C-TECH-3-B1-RCN-G0-OG02</x:v>
      </x:c>
      <x:c r="B1724" s="9" t="str">
        <x:v>EV-AR-RT-B-C-TECH-3-B1-RCN-G0</x:v>
      </x:c>
      <x:c r="C1724" s="9" t="str">
        <x:v>AR-RT-B-C-TECH-3-B1-RCN-G0</x:v>
      </x:c>
      <x:c r="D1724" s="9" t="str">
        <x:v>RT-B-C-TECH-3</x:v>
      </x:c>
      <x:c r="E1724" s="9" t="str">
        <x:v>RT-B-C</x:v>
      </x:c>
      <x:c r="F1724" s="9" t="str">
        <x:v>B1</x:v>
      </x:c>
      <x:c r="G1724" s="9" t="str">
        <x:v>RCN</x:v>
      </x:c>
      <x:c r="H1724" s="9" t="str">
        <x:v>OG02</x:v>
      </x:c>
      <x:c r="I1724" s="17" t="str">
        <x:v>Time ancestry</x:v>
      </x:c>
      <x:c r="J1724" s="17" t="str">
        <x:v>primary, witness and public event clocks retain declared offsets and drift</x:v>
      </x:c>
      <x:c r="K1724" s="17" t="str">
        <x:v>Time authority</x:v>
      </x:c>
      <x:c r="L1724" s="9" t="n">
        <x:v>0</x:v>
      </x:c>
      <x:c r="M1724" s="9" t="n">
        <x:v>0</x:v>
      </x:c>
      <x:c r="N1724" s="9" t="str">
        <x:v>OPEN / UNACCEPTED</x:v>
      </x:c>
      <x:c r="O1724" s="9" t="n">
        <x:f>COUNTIFS($A$7:$A$1734,A1724)</x:f>
        <x:v>1</x:v>
      </x:c>
    </x:row>
    <x:row r="1725">
      <x:c r="A1725" s="9" t="str">
        <x:v>EV-AR-RT-B-C-TECH-3-B1-RCN-G0-OG03</x:v>
      </x:c>
      <x:c r="B1725" s="9" t="str">
        <x:v>EV-AR-RT-B-C-TECH-3-B1-RCN-G0</x:v>
      </x:c>
      <x:c r="C1725" s="9" t="str">
        <x:v>AR-RT-B-C-TECH-3-B1-RCN-G0</x:v>
      </x:c>
      <x:c r="D1725" s="9" t="str">
        <x:v>RT-B-C-TECH-3</x:v>
      </x:c>
      <x:c r="E1725" s="9" t="str">
        <x:v>RT-B-C</x:v>
      </x:c>
      <x:c r="F1725" s="9" t="str">
        <x:v>B1</x:v>
      </x:c>
      <x:c r="G1725" s="9" t="str">
        <x:v>RCN</x:v>
      </x:c>
      <x:c r="H1725" s="9" t="str">
        <x:v>OG03</x:v>
      </x:c>
      <x:c r="I1725" s="17" t="str">
        <x:v>Calibration ancestry</x:v>
      </x:c>
      <x:c r="J1725" s="17" t="str">
        <x:v>all reference, range and uncertainty states cover the live interval</x:v>
      </x:c>
      <x:c r="K1725" s="17" t="str">
        <x:v>Metrology courts</x:v>
      </x:c>
      <x:c r="L1725" s="9" t="n">
        <x:v>0</x:v>
      </x:c>
      <x:c r="M1725" s="9" t="n">
        <x:v>0</x:v>
      </x:c>
      <x:c r="N1725" s="9" t="str">
        <x:v>OPEN / UNACCEPTED</x:v>
      </x:c>
      <x:c r="O1725" s="9" t="n">
        <x:f>COUNTIFS($A$7:$A$1734,A1725)</x:f>
        <x:v>1</x:v>
      </x:c>
    </x:row>
    <x:row r="1726">
      <x:c r="A1726" s="9" t="str">
        <x:v>EV-AR-RT-B-C-TECH-3-B1-RCN-G0-OG04</x:v>
      </x:c>
      <x:c r="B1726" s="9" t="str">
        <x:v>EV-AR-RT-B-C-TECH-3-B1-RCN-G0</x:v>
      </x:c>
      <x:c r="C1726" s="9" t="str">
        <x:v>AR-RT-B-C-TECH-3-B1-RCN-G0</x:v>
      </x:c>
      <x:c r="D1726" s="9" t="str">
        <x:v>RT-B-C-TECH-3</x:v>
      </x:c>
      <x:c r="E1726" s="9" t="str">
        <x:v>RT-B-C</x:v>
      </x:c>
      <x:c r="F1726" s="9" t="str">
        <x:v>B1</x:v>
      </x:c>
      <x:c r="G1726" s="9" t="str">
        <x:v>RCN</x:v>
      </x:c>
      <x:c r="H1726" s="9" t="str">
        <x:v>OG04</x:v>
      </x:c>
      <x:c r="I1726" s="17" t="str">
        <x:v>Raw completeness</x:v>
      </x:c>
      <x:c r="J1726" s="17" t="str">
        <x:v>missingness is enumerated without imputation or outcome-conditioned deletion</x:v>
      </x:c>
      <x:c r="K1726" s="17" t="str">
        <x:v>Observation court</x:v>
      </x:c>
      <x:c r="L1726" s="9" t="n">
        <x:v>0</x:v>
      </x:c>
      <x:c r="M1726" s="9" t="n">
        <x:v>0</x:v>
      </x:c>
      <x:c r="N1726" s="9" t="str">
        <x:v>OPEN / UNACCEPTED</x:v>
      </x:c>
      <x:c r="O1726" s="9" t="n">
        <x:f>COUNTIFS($A$7:$A$1734,A1726)</x:f>
        <x:v>1</x:v>
      </x:c>
    </x:row>
    <x:row r="1727">
      <x:c r="A1727" s="9" t="str">
        <x:v>EV-AR-RT-B-C-TECH-3-B1-RCN-G0-OG05</x:v>
      </x:c>
      <x:c r="B1727" s="9" t="str">
        <x:v>EV-AR-RT-B-C-TECH-3-B1-RCN-G0</x:v>
      </x:c>
      <x:c r="C1727" s="9" t="str">
        <x:v>AR-RT-B-C-TECH-3-B1-RCN-G0</x:v>
      </x:c>
      <x:c r="D1727" s="9" t="str">
        <x:v>RT-B-C-TECH-3</x:v>
      </x:c>
      <x:c r="E1727" s="9" t="str">
        <x:v>RT-B-C</x:v>
      </x:c>
      <x:c r="F1727" s="9" t="str">
        <x:v>B1</x:v>
      </x:c>
      <x:c r="G1727" s="9" t="str">
        <x:v>RCN</x:v>
      </x:c>
      <x:c r="H1727" s="9" t="str">
        <x:v>OG05</x:v>
      </x:c>
      <x:c r="I1727" s="17" t="str">
        <x:v>Primary provenance</x:v>
      </x:c>
      <x:c r="J1727" s="17" t="str">
        <x:v>primary originals, hashes, keys and access history reconcile</x:v>
      </x:c>
      <x:c r="K1727" s="17" t="str">
        <x:v>Primary custody</x:v>
      </x:c>
      <x:c r="L1727" s="9" t="n">
        <x:v>0</x:v>
      </x:c>
      <x:c r="M1727" s="9" t="n">
        <x:v>0</x:v>
      </x:c>
      <x:c r="N1727" s="9" t="str">
        <x:v>OPEN / UNACCEPTED</x:v>
      </x:c>
      <x:c r="O1727" s="9" t="n">
        <x:f>COUNTIFS($A$7:$A$1734,A1727)</x:f>
        <x:v>1</x:v>
      </x:c>
    </x:row>
    <x:row r="1728">
      <x:c r="A1728" s="9" t="str">
        <x:v>EV-AR-RT-B-C-TECH-3-B1-RCN-G0-OG06</x:v>
      </x:c>
      <x:c r="B1728" s="9" t="str">
        <x:v>EV-AR-RT-B-C-TECH-3-B1-RCN-G0</x:v>
      </x:c>
      <x:c r="C1728" s="9" t="str">
        <x:v>AR-RT-B-C-TECH-3-B1-RCN-G0</x:v>
      </x:c>
      <x:c r="D1728" s="9" t="str">
        <x:v>RT-B-C-TECH-3</x:v>
      </x:c>
      <x:c r="E1728" s="9" t="str">
        <x:v>RT-B-C</x:v>
      </x:c>
      <x:c r="F1728" s="9" t="str">
        <x:v>B1</x:v>
      </x:c>
      <x:c r="G1728" s="9" t="str">
        <x:v>RCN</x:v>
      </x:c>
      <x:c r="H1728" s="9" t="str">
        <x:v>OG06</x:v>
      </x:c>
      <x:c r="I1728" s="17" t="str">
        <x:v>Witness provenance</x:v>
      </x:c>
      <x:c r="J1728" s="17" t="str">
        <x:v>unlike witness originals, hashes, keys and access history reconcile</x:v>
      </x:c>
      <x:c r="K1728" s="17" t="str">
        <x:v>Witness custody</x:v>
      </x:c>
      <x:c r="L1728" s="9" t="n">
        <x:v>0</x:v>
      </x:c>
      <x:c r="M1728" s="9" t="n">
        <x:v>0</x:v>
      </x:c>
      <x:c r="N1728" s="9" t="str">
        <x:v>OPEN / UNACCEPTED</x:v>
      </x:c>
      <x:c r="O1728" s="9" t="n">
        <x:f>COUNTIFS($A$7:$A$1734,A1728)</x:f>
        <x:v>1</x:v>
      </x:c>
    </x:row>
    <x:row r="1729">
      <x:c r="A1729" s="9" t="str">
        <x:v>EV-AR-RT-B-C-TECH-3-B1-RCN-G0-OG07</x:v>
      </x:c>
      <x:c r="B1729" s="9" t="str">
        <x:v>EV-AR-RT-B-C-TECH-3-B1-RCN-G0</x:v>
      </x:c>
      <x:c r="C1729" s="9" t="str">
        <x:v>AR-RT-B-C-TECH-3-B1-RCN-G0</x:v>
      </x:c>
      <x:c r="D1729" s="9" t="str">
        <x:v>RT-B-C-TECH-3</x:v>
      </x:c>
      <x:c r="E1729" s="9" t="str">
        <x:v>RT-B-C</x:v>
      </x:c>
      <x:c r="F1729" s="9" t="str">
        <x:v>B1</x:v>
      </x:c>
      <x:c r="G1729" s="9" t="str">
        <x:v>RCN</x:v>
      </x:c>
      <x:c r="H1729" s="9" t="str">
        <x:v>OG07</x:v>
      </x:c>
      <x:c r="I1729" s="17" t="str">
        <x:v>Receiver denominator</x:v>
      </x:c>
      <x:c r="J1729" s="17" t="str">
        <x:v>population, quantity, duration and exclusions match the frozen receipt</x:v>
      </x:c>
      <x:c r="K1729" s="17" t="str">
        <x:v>Receiver court</x:v>
      </x:c>
      <x:c r="L1729" s="9" t="n">
        <x:v>0</x:v>
      </x:c>
      <x:c r="M1729" s="9" t="n">
        <x:v>0</x:v>
      </x:c>
      <x:c r="N1729" s="9" t="str">
        <x:v>OPEN / UNACCEPTED</x:v>
      </x:c>
      <x:c r="O1729" s="9" t="n">
        <x:f>COUNTIFS($A$7:$A$1734,A1729)</x:f>
        <x:v>1</x:v>
      </x:c>
    </x:row>
    <x:row r="1730">
      <x:c r="A1730" s="9" t="str">
        <x:v>EV-AR-RT-B-C-TECH-3-B1-RCN-G0-OG08</x:v>
      </x:c>
      <x:c r="B1730" s="9" t="str">
        <x:v>EV-AR-RT-B-C-TECH-3-B1-RCN-G0</x:v>
      </x:c>
      <x:c r="C1730" s="9" t="str">
        <x:v>AR-RT-B-C-TECH-3-B1-RCN-G0</x:v>
      </x:c>
      <x:c r="D1730" s="9" t="str">
        <x:v>RT-B-C-TECH-3</x:v>
      </x:c>
      <x:c r="E1730" s="9" t="str">
        <x:v>RT-B-C</x:v>
      </x:c>
      <x:c r="F1730" s="9" t="str">
        <x:v>B1</x:v>
      </x:c>
      <x:c r="G1730" s="9" t="str">
        <x:v>RCN</x:v>
      </x:c>
      <x:c r="H1730" s="9" t="str">
        <x:v>OG08</x:v>
      </x:c>
      <x:c r="I1730" s="17" t="str">
        <x:v>Environment and boundary</x:v>
      </x:c>
      <x:c r="J1730" s="17" t="str">
        <x:v>registered weather, water, ground, inlet and outlet states are retained</x:v>
      </x:c>
      <x:c r="K1730" s="17" t="str">
        <x:v>Boundary court</x:v>
      </x:c>
      <x:c r="L1730" s="9" t="n">
        <x:v>0</x:v>
      </x:c>
      <x:c r="M1730" s="9" t="n">
        <x:v>0</x:v>
      </x:c>
      <x:c r="N1730" s="9" t="str">
        <x:v>OPEN / UNACCEPTED</x:v>
      </x:c>
      <x:c r="O1730" s="9" t="n">
        <x:f>COUNTIFS($A$7:$A$1734,A1730)</x:f>
        <x:v>1</x:v>
      </x:c>
    </x:row>
    <x:row r="1731">
      <x:c r="A1731" s="9" t="str">
        <x:v>EV-AR-RT-B-C-TECH-3-B1-RCN-G0-OG09</x:v>
      </x:c>
      <x:c r="B1731" s="9" t="str">
        <x:v>EV-AR-RT-B-C-TECH-3-B1-RCN-G0</x:v>
      </x:c>
      <x:c r="C1731" s="9" t="str">
        <x:v>AR-RT-B-C-TECH-3-B1-RCN-G0</x:v>
      </x:c>
      <x:c r="D1731" s="9" t="str">
        <x:v>RT-B-C-TECH-3</x:v>
      </x:c>
      <x:c r="E1731" s="9" t="str">
        <x:v>RT-B-C</x:v>
      </x:c>
      <x:c r="F1731" s="9" t="str">
        <x:v>B1</x:v>
      </x:c>
      <x:c r="G1731" s="9" t="str">
        <x:v>RCN</x:v>
      </x:c>
      <x:c r="H1731" s="9" t="str">
        <x:v>OG09</x:v>
      </x:c>
      <x:c r="I1731" s="17" t="str">
        <x:v>Intervention account</x:v>
      </x:c>
      <x:c r="J1731" s="17" t="str">
        <x:v>all stop, rescue, operator and public-protection actions remain timestamped</x:v>
      </x:c>
      <x:c r="K1731" s="17" t="str">
        <x:v>Safety record court</x:v>
      </x:c>
      <x:c r="L1731" s="9" t="n">
        <x:v>0</x:v>
      </x:c>
      <x:c r="M1731" s="9" t="n">
        <x:v>0</x:v>
      </x:c>
      <x:c r="N1731" s="9" t="str">
        <x:v>OPEN / UNACCEPTED</x:v>
      </x:c>
      <x:c r="O1731" s="9" t="n">
        <x:f>COUNTIFS($A$7:$A$1734,A1731)</x:f>
        <x:v>1</x:v>
      </x:c>
    </x:row>
    <x:row r="1732">
      <x:c r="A1732" s="9" t="str">
        <x:v>EV-AR-RT-B-C-TECH-3-B1-RCN-G0-OG10</x:v>
      </x:c>
      <x:c r="B1732" s="9" t="str">
        <x:v>EV-AR-RT-B-C-TECH-3-B1-RCN-G0</x:v>
      </x:c>
      <x:c r="C1732" s="9" t="str">
        <x:v>AR-RT-B-C-TECH-3-B1-RCN-G0</x:v>
      </x:c>
      <x:c r="D1732" s="9" t="str">
        <x:v>RT-B-C-TECH-3</x:v>
      </x:c>
      <x:c r="E1732" s="9" t="str">
        <x:v>RT-B-C</x:v>
      </x:c>
      <x:c r="F1732" s="9" t="str">
        <x:v>B1</x:v>
      </x:c>
      <x:c r="G1732" s="9" t="str">
        <x:v>RCN</x:v>
      </x:c>
      <x:c r="H1732" s="9" t="str">
        <x:v>OG10</x:v>
      </x:c>
      <x:c r="I1732" s="17" t="str">
        <x:v>Uncertainty statement</x:v>
      </x:c>
      <x:c r="J1732" s="17" t="str">
        <x:v>range, censoring, resolution and correlation are declared before judgment</x:v>
      </x:c>
      <x:c r="K1732" s="17" t="str">
        <x:v>Uncertainty authority</x:v>
      </x:c>
      <x:c r="L1732" s="9" t="n">
        <x:v>0</x:v>
      </x:c>
      <x:c r="M1732" s="9" t="n">
        <x:v>0</x:v>
      </x:c>
      <x:c r="N1732" s="9" t="str">
        <x:v>OPEN / UNACCEPTED</x:v>
      </x:c>
      <x:c r="O1732" s="9" t="n">
        <x:f>COUNTIFS($A$7:$A$1734,A1732)</x:f>
        <x:v>1</x:v>
      </x:c>
    </x:row>
    <x:row r="1733">
      <x:c r="A1733" s="9" t="str">
        <x:v>EV-AR-RT-B-C-TECH-3-B1-RCN-G0-OG11</x:v>
      </x:c>
      <x:c r="B1733" s="9" t="str">
        <x:v>EV-AR-RT-B-C-TECH-3-B1-RCN-G0</x:v>
      </x:c>
      <x:c r="C1733" s="9" t="str">
        <x:v>AR-RT-B-C-TECH-3-B1-RCN-G0</x:v>
      </x:c>
      <x:c r="D1733" s="9" t="str">
        <x:v>RT-B-C-TECH-3</x:v>
      </x:c>
      <x:c r="E1733" s="9" t="str">
        <x:v>RT-B-C</x:v>
      </x:c>
      <x:c r="F1733" s="9" t="str">
        <x:v>B1</x:v>
      </x:c>
      <x:c r="G1733" s="9" t="str">
        <x:v>RCN</x:v>
      </x:c>
      <x:c r="H1733" s="9" t="str">
        <x:v>OG11</x:v>
      </x:c>
      <x:c r="I1733" s="17" t="str">
        <x:v>Contradiction preservation</x:v>
      </x:c>
      <x:c r="J1733" s="17" t="str">
        <x:v>primary-witness disagreement remains explicit and is never averaged away</x:v>
      </x:c>
      <x:c r="K1733" s="17" t="str">
        <x:v>Dissent registrar</x:v>
      </x:c>
      <x:c r="L1733" s="9" t="n">
        <x:v>0</x:v>
      </x:c>
      <x:c r="M1733" s="9" t="n">
        <x:v>0</x:v>
      </x:c>
      <x:c r="N1733" s="9" t="str">
        <x:v>OPEN / UNACCEPTED</x:v>
      </x:c>
      <x:c r="O1733" s="9" t="n">
        <x:f>COUNTIFS($A$7:$A$1734,A1733)</x:f>
        <x:v>1</x:v>
      </x:c>
    </x:row>
    <x:row r="1734">
      <x:c r="A1734" s="9" t="str">
        <x:v>EV-AR-RT-B-C-TECH-3-B1-RCN-G0-OG12</x:v>
      </x:c>
      <x:c r="B1734" s="9" t="str">
        <x:v>EV-AR-RT-B-C-TECH-3-B1-RCN-G0</x:v>
      </x:c>
      <x:c r="C1734" s="9" t="str">
        <x:v>AR-RT-B-C-TECH-3-B1-RCN-G0</x:v>
      </x:c>
      <x:c r="D1734" s="9" t="str">
        <x:v>RT-B-C-TECH-3</x:v>
      </x:c>
      <x:c r="E1734" s="9" t="str">
        <x:v>RT-B-C</x:v>
      </x:c>
      <x:c r="F1734" s="9" t="str">
        <x:v>B1</x:v>
      </x:c>
      <x:c r="G1734" s="9" t="str">
        <x:v>RCN</x:v>
      </x:c>
      <x:c r="H1734" s="9" t="str">
        <x:v>OG12</x:v>
      </x:c>
      <x:c r="I1734" s="17" t="str">
        <x:v>Independent replay</x:v>
      </x:c>
      <x:c r="J1734" s="17" t="str">
        <x:v>a separated reader reconstructs the registered observables from sealed originals</x:v>
      </x:c>
      <x:c r="K1734" s="17" t="str">
        <x:v>Replay court</x:v>
      </x:c>
      <x:c r="L1734" s="9" t="n">
        <x:v>0</x:v>
      </x:c>
      <x:c r="M1734" s="9" t="n">
        <x:v>0</x:v>
      </x:c>
      <x:c r="N1734" s="9" t="str">
        <x:v>OPEN / UNACCEPTED</x:v>
      </x:c>
      <x:c r="O1734" s="9" t="n">
        <x:f>COUNTIFS($A$7:$A$1734,A1734)</x:f>
        <x:v>1</x:v>
      </x:c>
    </x:row>
  </x:sheetData>
  <x:conditionalFormatting sqref="N7:N1734">
    <x:cfRule type="containsText" dxfId="48" priority="1" operator="containsText" text="OPEN"/>
    <x:cfRule type="containsText" dxfId="49" priority="2" operator="containsText" text="BLOCKED"/>
    <x:cfRule type="containsText" dxfId="50" priority="3" operator="containsText" text="UNSTARTED"/>
    <x:cfRule type="containsText" dxfId="51" priority="4" operator="containsText" text="UNSEALED"/>
    <x:cfRule type="containsText" dxfId="52" priority="5" operator="containsText" text="UNACCEPTED"/>
    <x:cfRule type="containsText" dxfId="53" priority="6" operator="containsText" text="UNFILED"/>
    <x:cfRule type="containsText" dxfId="54" priority="7" operator="containsText" text="UNJUDGED"/>
    <x:cfRule type="containsText" dxfId="55" priority="8" operator="containsText" text="UNRELEASED"/>
    <x:cfRule type="containsText" dxfId="56" priority="9" operator="containsText" text="HELD"/>
    <x:cfRule type="containsText" dxfId="57" priority="10" operator="containsText" text="PENDING"/>
    <x:cfRule type="containsText" dxfId="58" priority="11" operator="containsText" text="SOURCE-EMPTY"/>
    <x:cfRule type="containsText" dxfId="59" priority="12" operator="containsText" text="FAIL"/>
    <x:cfRule type="containsText" dxfId="60" priority="13" operator="containsText" text="TERMINATE"/>
    <x:cfRule type="containsText" dxfId="61" priority="14" operator="containsText" text="PROHIBITED"/>
    <x:cfRule type="containsText" dxfId="62" priority="15" operator="containsText" text="BREACH"/>
    <x:cfRule type="containsText" dxfId="63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8ede54a15a48495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4" hidden="0" customWidth="1"/>
    <x:col min="2" max="2" width="48" hidden="0" customWidth="1"/>
    <x:col min="3" max="3" width="42" hidden="0" customWidth="1"/>
    <x:col min="4" max="4" width="24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28" hidden="0" customWidth="1"/>
    <x:col min="10" max="10" width="62" hidden="0" customWidth="1"/>
    <x:col min="11" max="11" width="24" hidden="0" customWidth="1"/>
    <x:col min="12" max="12" width="12" hidden="0" customWidth="1"/>
    <x:col min="13" max="13" width="22" hidden="0" customWidth="1"/>
    <x:col min="14" max="14" width="25" hidden="0" customWidth="1"/>
    <x:col min="15" max="15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>
      <x:c r="A2" s="31" t="str">
        <x:v>Facility invalidity requires affirmative causal proof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 ht="34" customHeight="1">
      <x:c r="A6" s="35" t="str">
        <x:v>Test record</x:v>
      </x:c>
      <x:c r="B6" s="35" t="str">
        <x:v>Event</x:v>
      </x:c>
      <x:c r="C6" s="35" t="str">
        <x:v>Serial</x:v>
      </x:c>
      <x:c r="D6" s="35" t="str">
        <x:v>Order</x:v>
      </x:c>
      <x:c r="E6" s="35" t="str">
        <x:v>Form</x:v>
      </x:c>
      <x:c r="F6" s="35" t="str">
        <x:v>Builder</x:v>
      </x:c>
      <x:c r="G6" s="35" t="str">
        <x:v>Role</x:v>
      </x:c>
      <x:c r="H6" s="35" t="str">
        <x:v>Test</x:v>
      </x:c>
      <x:c r="I6" s="35" t="str">
        <x:v>Object</x:v>
      </x:c>
      <x:c r="J6" s="35" t="str">
        <x:v>Burden</x:v>
      </x:c>
      <x:c r="K6" s="35" t="str">
        <x:v>Authority</x:v>
      </x:c>
      <x:c r="L6" s="35" t="str">
        <x:v>Satisfied</x:v>
      </x:c>
      <x:c r="M6" s="35" t="str">
        <x:v>Candidate exculpation</x:v>
      </x:c>
      <x:c r="N6" s="35" t="str">
        <x:v>State</x:v>
      </x:c>
      <x:c r="O6" s="35" t="str">
        <x:v>Record multiplicity</x:v>
      </x:c>
    </x:row>
    <x:row r="7">
      <x:c r="A7" s="9" t="str">
        <x:v>EV-AR-CT-C-B-TECH-1-B2-RCN-G0-IV01</x:v>
      </x:c>
      <x:c r="B7" s="9" t="str">
        <x:v>EV-AR-CT-C-B-TECH-1-B2-RCN-G0</x:v>
      </x:c>
      <x:c r="C7" s="9" t="str">
        <x:v>AR-CT-C-B-TECH-1-B2-RCN-G0</x:v>
      </x:c>
      <x:c r="D7" s="9" t="str">
        <x:v>CT-C-B-TECH-1</x:v>
      </x:c>
      <x:c r="E7" s="9" t="str">
        <x:v>CT-C-B</x:v>
      </x:c>
      <x:c r="F7" s="9" t="str">
        <x:v>B2</x:v>
      </x:c>
      <x:c r="G7" s="9" t="str">
        <x:v>RCN</x:v>
      </x:c>
      <x:c r="H7" s="9" t="str">
        <x:v>IV01</x:v>
      </x:c>
      <x:c r="I7" s="17" t="str">
        <x:v>Timely petition</x:v>
      </x:c>
      <x:c r="J7" s="17" t="str">
        <x:v>petition enters within seventy-two hours of event close</x:v>
      </x:c>
      <x:c r="K7" s="17" t="str">
        <x:v>Invalidity registrar</x:v>
      </x:c>
      <x:c r="L7" s="9" t="n">
        <x:v>0</x:v>
      </x:c>
      <x:c r="M7" s="9" t="n">
        <x:v>0</x:v>
      </x:c>
      <x:c r="N7" s="9" t="str">
        <x:v>UNFILED / UNPROVEN</x:v>
      </x:c>
      <x:c r="O7" s="9" t="n">
        <x:f>COUNTIFS($A$7:$A$1302,A7)</x:f>
        <x:v>1</x:v>
      </x:c>
    </x:row>
    <x:row r="8">
      <x:c r="A8" s="9" t="str">
        <x:v>EV-AR-CT-C-B-TECH-1-B2-RCN-G0-IV02</x:v>
      </x:c>
      <x:c r="B8" s="9" t="str">
        <x:v>EV-AR-CT-C-B-TECH-1-B2-RCN-G0</x:v>
      </x:c>
      <x:c r="C8" s="9" t="str">
        <x:v>AR-CT-C-B-TECH-1-B2-RCN-G0</x:v>
      </x:c>
      <x:c r="D8" s="9" t="str">
        <x:v>CT-C-B-TECH-1</x:v>
      </x:c>
      <x:c r="E8" s="9" t="str">
        <x:v>CT-C-B</x:v>
      </x:c>
      <x:c r="F8" s="9" t="str">
        <x:v>B2</x:v>
      </x:c>
      <x:c r="G8" s="9" t="str">
        <x:v>RCN</x:v>
      </x:c>
      <x:c r="H8" s="9" t="str">
        <x:v>IV02</x:v>
      </x:c>
      <x:c r="I8" s="17" t="str">
        <x:v>Named facility cause</x:v>
      </x:c>
      <x:c r="J8" s="17" t="str">
        <x:v>one pre-registered noncandidate cause is identified</x:v>
      </x:c>
      <x:c r="K8" s="17" t="str">
        <x:v>Facility-cause court</x:v>
      </x:c>
      <x:c r="L8" s="9" t="n">
        <x:v>0</x:v>
      </x:c>
      <x:c r="M8" s="9" t="n">
        <x:v>0</x:v>
      </x:c>
      <x:c r="N8" s="9" t="str">
        <x:v>UNFILED / UNPROVEN</x:v>
      </x:c>
      <x:c r="O8" s="9" t="n">
        <x:f>COUNTIFS($A$7:$A$1302,A8)</x:f>
        <x:v>1</x:v>
      </x:c>
    </x:row>
    <x:row r="9">
      <x:c r="A9" s="9" t="str">
        <x:v>EV-AR-CT-C-B-TECH-1-B2-RCN-G0-IV03</x:v>
      </x:c>
      <x:c r="B9" s="9" t="str">
        <x:v>EV-AR-CT-C-B-TECH-1-B2-RCN-G0</x:v>
      </x:c>
      <x:c r="C9" s="9" t="str">
        <x:v>AR-CT-C-B-TECH-1-B2-RCN-G0</x:v>
      </x:c>
      <x:c r="D9" s="9" t="str">
        <x:v>CT-C-B-TECH-1</x:v>
      </x:c>
      <x:c r="E9" s="9" t="str">
        <x:v>CT-C-B</x:v>
      </x:c>
      <x:c r="F9" s="9" t="str">
        <x:v>B2</x:v>
      </x:c>
      <x:c r="G9" s="9" t="str">
        <x:v>RCN</x:v>
      </x:c>
      <x:c r="H9" s="9" t="str">
        <x:v>IV03</x:v>
      </x:c>
      <x:c r="I9" s="17" t="str">
        <x:v>Temporal priority</x:v>
      </x:c>
      <x:c r="J9" s="17" t="str">
        <x:v>cause demonstrably precedes the disputed candidate behavior</x:v>
      </x:c>
      <x:c r="K9" s="17" t="str">
        <x:v>Time authority</x:v>
      </x:c>
      <x:c r="L9" s="9" t="n">
        <x:v>0</x:v>
      </x:c>
      <x:c r="M9" s="9" t="n">
        <x:v>0</x:v>
      </x:c>
      <x:c r="N9" s="9" t="str">
        <x:v>UNFILED / UNPROVEN</x:v>
      </x:c>
      <x:c r="O9" s="9" t="n">
        <x:f>COUNTIFS($A$7:$A$1302,A9)</x:f>
        <x:v>1</x:v>
      </x:c>
    </x:row>
    <x:row r="10">
      <x:c r="A10" s="9" t="str">
        <x:v>EV-AR-CT-C-B-TECH-1-B2-RCN-G0-IV04</x:v>
      </x:c>
      <x:c r="B10" s="9" t="str">
        <x:v>EV-AR-CT-C-B-TECH-1-B2-RCN-G0</x:v>
      </x:c>
      <x:c r="C10" s="9" t="str">
        <x:v>AR-CT-C-B-TECH-1-B2-RCN-G0</x:v>
      </x:c>
      <x:c r="D10" s="9" t="str">
        <x:v>CT-C-B-TECH-1</x:v>
      </x:c>
      <x:c r="E10" s="9" t="str">
        <x:v>CT-C-B</x:v>
      </x:c>
      <x:c r="F10" s="9" t="str">
        <x:v>B2</x:v>
      </x:c>
      <x:c r="G10" s="9" t="str">
        <x:v>RCN</x:v>
      </x:c>
      <x:c r="H10" s="9" t="str">
        <x:v>IV04</x:v>
      </x:c>
      <x:c r="I10" s="17" t="str">
        <x:v>Independent trace</x:v>
      </x:c>
      <x:c r="J10" s="17" t="str">
        <x:v>two unlike records carry the cause without candidate custody</x:v>
      </x:c>
      <x:c r="K10" s="17" t="str">
        <x:v>Invalidity court</x:v>
      </x:c>
      <x:c r="L10" s="9" t="n">
        <x:v>0</x:v>
      </x:c>
      <x:c r="M10" s="9" t="n">
        <x:v>0</x:v>
      </x:c>
      <x:c r="N10" s="9" t="str">
        <x:v>UNFILED / UNPROVEN</x:v>
      </x:c>
      <x:c r="O10" s="9" t="n">
        <x:f>COUNTIFS($A$7:$A$1302,A10)</x:f>
        <x:v>1</x:v>
      </x:c>
    </x:row>
    <x:row r="11">
      <x:c r="A11" s="9" t="str">
        <x:v>EV-AR-CT-C-B-TECH-1-B2-RCN-G0-IV05</x:v>
      </x:c>
      <x:c r="B11" s="9" t="str">
        <x:v>EV-AR-CT-C-B-TECH-1-B2-RCN-G0</x:v>
      </x:c>
      <x:c r="C11" s="9" t="str">
        <x:v>AR-CT-C-B-TECH-1-B2-RCN-G0</x:v>
      </x:c>
      <x:c r="D11" s="9" t="str">
        <x:v>CT-C-B-TECH-1</x:v>
      </x:c>
      <x:c r="E11" s="9" t="str">
        <x:v>CT-C-B</x:v>
      </x:c>
      <x:c r="F11" s="9" t="str">
        <x:v>B2</x:v>
      </x:c>
      <x:c r="G11" s="9" t="str">
        <x:v>RCN</x:v>
      </x:c>
      <x:c r="H11" s="9" t="str">
        <x:v>IV05</x:v>
      </x:c>
      <x:c r="I11" s="17" t="str">
        <x:v>Causal counterfactual</x:v>
      </x:c>
      <x:c r="J11" s="17" t="str">
        <x:v>registered counterfactual shows the cause can create the defect</x:v>
      </x:c>
      <x:c r="K11" s="17" t="str">
        <x:v>Causal court</x:v>
      </x:c>
      <x:c r="L11" s="9" t="n">
        <x:v>0</x:v>
      </x:c>
      <x:c r="M11" s="9" t="n">
        <x:v>0</x:v>
      </x:c>
      <x:c r="N11" s="9" t="str">
        <x:v>UNFILED / UNPROVEN</x:v>
      </x:c>
      <x:c r="O11" s="9" t="n">
        <x:f>COUNTIFS($A$7:$A$1302,A11)</x:f>
        <x:v>1</x:v>
      </x:c>
    </x:row>
    <x:row r="12">
      <x:c r="A12" s="9" t="str">
        <x:v>EV-AR-CT-C-B-TECH-1-B2-RCN-G0-IV06</x:v>
      </x:c>
      <x:c r="B12" s="9" t="str">
        <x:v>EV-AR-CT-C-B-TECH-1-B2-RCN-G0</x:v>
      </x:c>
      <x:c r="C12" s="9" t="str">
        <x:v>AR-CT-C-B-TECH-1-B2-RCN-G0</x:v>
      </x:c>
      <x:c r="D12" s="9" t="str">
        <x:v>CT-C-B-TECH-1</x:v>
      </x:c>
      <x:c r="E12" s="9" t="str">
        <x:v>CT-C-B</x:v>
      </x:c>
      <x:c r="F12" s="9" t="str">
        <x:v>B2</x:v>
      </x:c>
      <x:c r="G12" s="9" t="str">
        <x:v>RCN</x:v>
      </x:c>
      <x:c r="H12" s="9" t="str">
        <x:v>IV06</x:v>
      </x:c>
      <x:c r="I12" s="17" t="str">
        <x:v>Candidate non-causation</x:v>
      </x:c>
      <x:c r="J12" s="17" t="str">
        <x:v>evidence excludes candidate induction of the facility condition</x:v>
      </x:c>
      <x:c r="K12" s="17" t="str">
        <x:v>Causal court</x:v>
      </x:c>
      <x:c r="L12" s="9" t="n">
        <x:v>0</x:v>
      </x:c>
      <x:c r="M12" s="9" t="n">
        <x:v>0</x:v>
      </x:c>
      <x:c r="N12" s="9" t="str">
        <x:v>UNFILED / UNPROVEN</x:v>
      </x:c>
      <x:c r="O12" s="9" t="n">
        <x:f>COUNTIFS($A$7:$A$1302,A12)</x:f>
        <x:v>1</x:v>
      </x:c>
    </x:row>
    <x:row r="13">
      <x:c r="A13" s="9" t="str">
        <x:v>EV-AR-CT-C-B-TECH-1-B2-RCN-G0-IV07</x:v>
      </x:c>
      <x:c r="B13" s="9" t="str">
        <x:v>EV-AR-CT-C-B-TECH-1-B2-RCN-G0</x:v>
      </x:c>
      <x:c r="C13" s="9" t="str">
        <x:v>AR-CT-C-B-TECH-1-B2-RCN-G0</x:v>
      </x:c>
      <x:c r="D13" s="9" t="str">
        <x:v>CT-C-B-TECH-1</x:v>
      </x:c>
      <x:c r="E13" s="9" t="str">
        <x:v>CT-C-B</x:v>
      </x:c>
      <x:c r="F13" s="9" t="str">
        <x:v>B2</x:v>
      </x:c>
      <x:c r="G13" s="9" t="str">
        <x:v>RCN</x:v>
      </x:c>
      <x:c r="H13" s="9" t="str">
        <x:v>IV07</x:v>
      </x:c>
      <x:c r="I13" s="17" t="str">
        <x:v>No outcome selection</x:v>
      </x:c>
      <x:c r="J13" s="17" t="str">
        <x:v>petition rule and evidence scope were fixed before visibility</x:v>
      </x:c>
      <x:c r="K13" s="17" t="str">
        <x:v>Conflict registrar</x:v>
      </x:c>
      <x:c r="L13" s="9" t="n">
        <x:v>0</x:v>
      </x:c>
      <x:c r="M13" s="9" t="n">
        <x:v>0</x:v>
      </x:c>
      <x:c r="N13" s="9" t="str">
        <x:v>UNFILED / UNPROVEN</x:v>
      </x:c>
      <x:c r="O13" s="9" t="n">
        <x:f>COUNTIFS($A$7:$A$1302,A13)</x:f>
        <x:v>1</x:v>
      </x:c>
    </x:row>
    <x:row r="14">
      <x:c r="A14" s="9" t="str">
        <x:v>EV-AR-CT-C-B-TECH-1-B2-RCN-G0-IV08</x:v>
      </x:c>
      <x:c r="B14" s="9" t="str">
        <x:v>EV-AR-CT-C-B-TECH-1-B2-RCN-G0</x:v>
      </x:c>
      <x:c r="C14" s="9" t="str">
        <x:v>AR-CT-C-B-TECH-1-B2-RCN-G0</x:v>
      </x:c>
      <x:c r="D14" s="9" t="str">
        <x:v>CT-C-B-TECH-1</x:v>
      </x:c>
      <x:c r="E14" s="9" t="str">
        <x:v>CT-C-B</x:v>
      </x:c>
      <x:c r="F14" s="9" t="str">
        <x:v>B2</x:v>
      </x:c>
      <x:c r="G14" s="9" t="str">
        <x:v>RCN</x:v>
      </x:c>
      <x:c r="H14" s="9" t="str">
        <x:v>IV08</x:v>
      </x:c>
      <x:c r="I14" s="17" t="str">
        <x:v>Whole-record preservation</x:v>
      </x:c>
      <x:c r="J14" s="17" t="str">
        <x:v>start, raw behavior, dissent and intervention remain in archive</x:v>
      </x:c>
      <x:c r="K14" s="17" t="str">
        <x:v>Archive authority</x:v>
      </x:c>
      <x:c r="L14" s="9" t="n">
        <x:v>0</x:v>
      </x:c>
      <x:c r="M14" s="9" t="n">
        <x:v>0</x:v>
      </x:c>
      <x:c r="N14" s="9" t="str">
        <x:v>UNFILED / UNPROVEN</x:v>
      </x:c>
      <x:c r="O14" s="9" t="n">
        <x:f>COUNTIFS($A$7:$A$1302,A14)</x:f>
        <x:v>1</x:v>
      </x:c>
    </x:row>
    <x:row r="15">
      <x:c r="A15" s="9" t="str">
        <x:v>EV-AR-CT-C-B-TECH-1-B2-RCN-G0-IV09</x:v>
      </x:c>
      <x:c r="B15" s="9" t="str">
        <x:v>EV-AR-CT-C-B-TECH-1-B2-RCN-G0</x:v>
      </x:c>
      <x:c r="C15" s="9" t="str">
        <x:v>AR-CT-C-B-TECH-1-B2-RCN-G0</x:v>
      </x:c>
      <x:c r="D15" s="9" t="str">
        <x:v>CT-C-B-TECH-1</x:v>
      </x:c>
      <x:c r="E15" s="9" t="str">
        <x:v>CT-C-B</x:v>
      </x:c>
      <x:c r="F15" s="9" t="str">
        <x:v>B2</x:v>
      </x:c>
      <x:c r="G15" s="9" t="str">
        <x:v>RCN</x:v>
      </x:c>
      <x:c r="H15" s="9" t="str">
        <x:v>IV09</x:v>
      </x:c>
      <x:c r="I15" s="17" t="str">
        <x:v>Bounded remedy</x:v>
      </x:c>
      <x:c r="J15" s="17" t="str">
        <x:v>only a new slot and EOW may follow; no favorable credit or erased attempt</x:v>
      </x:c>
      <x:c r="K15" s="17" t="str">
        <x:v>Invalidity court</x:v>
      </x:c>
      <x:c r="L15" s="9" t="n">
        <x:v>0</x:v>
      </x:c>
      <x:c r="M15" s="9" t="n">
        <x:v>0</x:v>
      </x:c>
      <x:c r="N15" s="9" t="str">
        <x:v>UNFILED / UNPROVEN</x:v>
      </x:c>
      <x:c r="O15" s="9" t="n">
        <x:f>COUNTIFS($A$7:$A$1302,A15)</x:f>
        <x:v>1</x:v>
      </x:c>
    </x:row>
    <x:row r="16">
      <x:c r="A16" s="9" t="str">
        <x:v>EV-AR-CT-C-B-TECH-3-B2-BRK-G0-IV01</x:v>
      </x:c>
      <x:c r="B16" s="9" t="str">
        <x:v>EV-AR-CT-C-B-TECH-3-B2-BRK-G0</x:v>
      </x:c>
      <x:c r="C16" s="9" t="str">
        <x:v>AR-CT-C-B-TECH-3-B2-BRK-G0</x:v>
      </x:c>
      <x:c r="D16" s="9" t="str">
        <x:v>CT-C-B-TECH-3</x:v>
      </x:c>
      <x:c r="E16" s="9" t="str">
        <x:v>CT-C-B</x:v>
      </x:c>
      <x:c r="F16" s="9" t="str">
        <x:v>B2</x:v>
      </x:c>
      <x:c r="G16" s="9" t="str">
        <x:v>BRK</x:v>
      </x:c>
      <x:c r="H16" s="9" t="str">
        <x:v>IV01</x:v>
      </x:c>
      <x:c r="I16" s="17" t="str">
        <x:v>Timely petition</x:v>
      </x:c>
      <x:c r="J16" s="17" t="str">
        <x:v>petition enters within seventy-two hours of event close</x:v>
      </x:c>
      <x:c r="K16" s="17" t="str">
        <x:v>Invalidity registrar</x:v>
      </x:c>
      <x:c r="L16" s="9" t="n">
        <x:v>0</x:v>
      </x:c>
      <x:c r="M16" s="9" t="n">
        <x:v>0</x:v>
      </x:c>
      <x:c r="N16" s="9" t="str">
        <x:v>UNFILED / UNPROVEN</x:v>
      </x:c>
      <x:c r="O16" s="9" t="n">
        <x:f>COUNTIFS($A$7:$A$1302,A16)</x:f>
        <x:v>1</x:v>
      </x:c>
    </x:row>
    <x:row r="17">
      <x:c r="A17" s="9" t="str">
        <x:v>EV-AR-CT-C-B-TECH-3-B2-BRK-G0-IV02</x:v>
      </x:c>
      <x:c r="B17" s="9" t="str">
        <x:v>EV-AR-CT-C-B-TECH-3-B2-BRK-G0</x:v>
      </x:c>
      <x:c r="C17" s="9" t="str">
        <x:v>AR-CT-C-B-TECH-3-B2-BRK-G0</x:v>
      </x:c>
      <x:c r="D17" s="9" t="str">
        <x:v>CT-C-B-TECH-3</x:v>
      </x:c>
      <x:c r="E17" s="9" t="str">
        <x:v>CT-C-B</x:v>
      </x:c>
      <x:c r="F17" s="9" t="str">
        <x:v>B2</x:v>
      </x:c>
      <x:c r="G17" s="9" t="str">
        <x:v>BRK</x:v>
      </x:c>
      <x:c r="H17" s="9" t="str">
        <x:v>IV02</x:v>
      </x:c>
      <x:c r="I17" s="17" t="str">
        <x:v>Named facility cause</x:v>
      </x:c>
      <x:c r="J17" s="17" t="str">
        <x:v>one pre-registered noncandidate cause is identified</x:v>
      </x:c>
      <x:c r="K17" s="17" t="str">
        <x:v>Facility-cause court</x:v>
      </x:c>
      <x:c r="L17" s="9" t="n">
        <x:v>0</x:v>
      </x:c>
      <x:c r="M17" s="9" t="n">
        <x:v>0</x:v>
      </x:c>
      <x:c r="N17" s="9" t="str">
        <x:v>UNFILED / UNPROVEN</x:v>
      </x:c>
      <x:c r="O17" s="9" t="n">
        <x:f>COUNTIFS($A$7:$A$1302,A17)</x:f>
        <x:v>1</x:v>
      </x:c>
    </x:row>
    <x:row r="18">
      <x:c r="A18" s="9" t="str">
        <x:v>EV-AR-CT-C-B-TECH-3-B2-BRK-G0-IV03</x:v>
      </x:c>
      <x:c r="B18" s="9" t="str">
        <x:v>EV-AR-CT-C-B-TECH-3-B2-BRK-G0</x:v>
      </x:c>
      <x:c r="C18" s="9" t="str">
        <x:v>AR-CT-C-B-TECH-3-B2-BRK-G0</x:v>
      </x:c>
      <x:c r="D18" s="9" t="str">
        <x:v>CT-C-B-TECH-3</x:v>
      </x:c>
      <x:c r="E18" s="9" t="str">
        <x:v>CT-C-B</x:v>
      </x:c>
      <x:c r="F18" s="9" t="str">
        <x:v>B2</x:v>
      </x:c>
      <x:c r="G18" s="9" t="str">
        <x:v>BRK</x:v>
      </x:c>
      <x:c r="H18" s="9" t="str">
        <x:v>IV03</x:v>
      </x:c>
      <x:c r="I18" s="17" t="str">
        <x:v>Temporal priority</x:v>
      </x:c>
      <x:c r="J18" s="17" t="str">
        <x:v>cause demonstrably precedes the disputed candidate behavior</x:v>
      </x:c>
      <x:c r="K18" s="17" t="str">
        <x:v>Time authority</x:v>
      </x:c>
      <x:c r="L18" s="9" t="n">
        <x:v>0</x:v>
      </x:c>
      <x:c r="M18" s="9" t="n">
        <x:v>0</x:v>
      </x:c>
      <x:c r="N18" s="9" t="str">
        <x:v>UNFILED / UNPROVEN</x:v>
      </x:c>
      <x:c r="O18" s="9" t="n">
        <x:f>COUNTIFS($A$7:$A$1302,A18)</x:f>
        <x:v>1</x:v>
      </x:c>
    </x:row>
    <x:row r="19">
      <x:c r="A19" s="9" t="str">
        <x:v>EV-AR-CT-C-B-TECH-3-B2-BRK-G0-IV04</x:v>
      </x:c>
      <x:c r="B19" s="9" t="str">
        <x:v>EV-AR-CT-C-B-TECH-3-B2-BRK-G0</x:v>
      </x:c>
      <x:c r="C19" s="9" t="str">
        <x:v>AR-CT-C-B-TECH-3-B2-BRK-G0</x:v>
      </x:c>
      <x:c r="D19" s="9" t="str">
        <x:v>CT-C-B-TECH-3</x:v>
      </x:c>
      <x:c r="E19" s="9" t="str">
        <x:v>CT-C-B</x:v>
      </x:c>
      <x:c r="F19" s="9" t="str">
        <x:v>B2</x:v>
      </x:c>
      <x:c r="G19" s="9" t="str">
        <x:v>BRK</x:v>
      </x:c>
      <x:c r="H19" s="9" t="str">
        <x:v>IV04</x:v>
      </x:c>
      <x:c r="I19" s="17" t="str">
        <x:v>Independent trace</x:v>
      </x:c>
      <x:c r="J19" s="17" t="str">
        <x:v>two unlike records carry the cause without candidate custody</x:v>
      </x:c>
      <x:c r="K19" s="17" t="str">
        <x:v>Invalidity court</x:v>
      </x:c>
      <x:c r="L19" s="9" t="n">
        <x:v>0</x:v>
      </x:c>
      <x:c r="M19" s="9" t="n">
        <x:v>0</x:v>
      </x:c>
      <x:c r="N19" s="9" t="str">
        <x:v>UNFILED / UNPROVEN</x:v>
      </x:c>
      <x:c r="O19" s="9" t="n">
        <x:f>COUNTIFS($A$7:$A$1302,A19)</x:f>
        <x:v>1</x:v>
      </x:c>
    </x:row>
    <x:row r="20">
      <x:c r="A20" s="9" t="str">
        <x:v>EV-AR-CT-C-B-TECH-3-B2-BRK-G0-IV05</x:v>
      </x:c>
      <x:c r="B20" s="9" t="str">
        <x:v>EV-AR-CT-C-B-TECH-3-B2-BRK-G0</x:v>
      </x:c>
      <x:c r="C20" s="9" t="str">
        <x:v>AR-CT-C-B-TECH-3-B2-BRK-G0</x:v>
      </x:c>
      <x:c r="D20" s="9" t="str">
        <x:v>CT-C-B-TECH-3</x:v>
      </x:c>
      <x:c r="E20" s="9" t="str">
        <x:v>CT-C-B</x:v>
      </x:c>
      <x:c r="F20" s="9" t="str">
        <x:v>B2</x:v>
      </x:c>
      <x:c r="G20" s="9" t="str">
        <x:v>BRK</x:v>
      </x:c>
      <x:c r="H20" s="9" t="str">
        <x:v>IV05</x:v>
      </x:c>
      <x:c r="I20" s="17" t="str">
        <x:v>Causal counterfactual</x:v>
      </x:c>
      <x:c r="J20" s="17" t="str">
        <x:v>registered counterfactual shows the cause can create the defect</x:v>
      </x:c>
      <x:c r="K20" s="17" t="str">
        <x:v>Causal court</x:v>
      </x:c>
      <x:c r="L20" s="9" t="n">
        <x:v>0</x:v>
      </x:c>
      <x:c r="M20" s="9" t="n">
        <x:v>0</x:v>
      </x:c>
      <x:c r="N20" s="9" t="str">
        <x:v>UNFILED / UNPROVEN</x:v>
      </x:c>
      <x:c r="O20" s="9" t="n">
        <x:f>COUNTIFS($A$7:$A$1302,A20)</x:f>
        <x:v>1</x:v>
      </x:c>
    </x:row>
    <x:row r="21">
      <x:c r="A21" s="9" t="str">
        <x:v>EV-AR-CT-C-B-TECH-3-B2-BRK-G0-IV06</x:v>
      </x:c>
      <x:c r="B21" s="9" t="str">
        <x:v>EV-AR-CT-C-B-TECH-3-B2-BRK-G0</x:v>
      </x:c>
      <x:c r="C21" s="9" t="str">
        <x:v>AR-CT-C-B-TECH-3-B2-BRK-G0</x:v>
      </x:c>
      <x:c r="D21" s="9" t="str">
        <x:v>CT-C-B-TECH-3</x:v>
      </x:c>
      <x:c r="E21" s="9" t="str">
        <x:v>CT-C-B</x:v>
      </x:c>
      <x:c r="F21" s="9" t="str">
        <x:v>B2</x:v>
      </x:c>
      <x:c r="G21" s="9" t="str">
        <x:v>BRK</x:v>
      </x:c>
      <x:c r="H21" s="9" t="str">
        <x:v>IV06</x:v>
      </x:c>
      <x:c r="I21" s="17" t="str">
        <x:v>Candidate non-causation</x:v>
      </x:c>
      <x:c r="J21" s="17" t="str">
        <x:v>evidence excludes candidate induction of the facility condition</x:v>
      </x:c>
      <x:c r="K21" s="17" t="str">
        <x:v>Causal court</x:v>
      </x:c>
      <x:c r="L21" s="9" t="n">
        <x:v>0</x:v>
      </x:c>
      <x:c r="M21" s="9" t="n">
        <x:v>0</x:v>
      </x:c>
      <x:c r="N21" s="9" t="str">
        <x:v>UNFILED / UNPROVEN</x:v>
      </x:c>
      <x:c r="O21" s="9" t="n">
        <x:f>COUNTIFS($A$7:$A$1302,A21)</x:f>
        <x:v>1</x:v>
      </x:c>
    </x:row>
    <x:row r="22">
      <x:c r="A22" s="9" t="str">
        <x:v>EV-AR-CT-C-B-TECH-3-B2-BRK-G0-IV07</x:v>
      </x:c>
      <x:c r="B22" s="9" t="str">
        <x:v>EV-AR-CT-C-B-TECH-3-B2-BRK-G0</x:v>
      </x:c>
      <x:c r="C22" s="9" t="str">
        <x:v>AR-CT-C-B-TECH-3-B2-BRK-G0</x:v>
      </x:c>
      <x:c r="D22" s="9" t="str">
        <x:v>CT-C-B-TECH-3</x:v>
      </x:c>
      <x:c r="E22" s="9" t="str">
        <x:v>CT-C-B</x:v>
      </x:c>
      <x:c r="F22" s="9" t="str">
        <x:v>B2</x:v>
      </x:c>
      <x:c r="G22" s="9" t="str">
        <x:v>BRK</x:v>
      </x:c>
      <x:c r="H22" s="9" t="str">
        <x:v>IV07</x:v>
      </x:c>
      <x:c r="I22" s="17" t="str">
        <x:v>No outcome selection</x:v>
      </x:c>
      <x:c r="J22" s="17" t="str">
        <x:v>petition rule and evidence scope were fixed before visibility</x:v>
      </x:c>
      <x:c r="K22" s="17" t="str">
        <x:v>Conflict registrar</x:v>
      </x:c>
      <x:c r="L22" s="9" t="n">
        <x:v>0</x:v>
      </x:c>
      <x:c r="M22" s="9" t="n">
        <x:v>0</x:v>
      </x:c>
      <x:c r="N22" s="9" t="str">
        <x:v>UNFILED / UNPROVEN</x:v>
      </x:c>
      <x:c r="O22" s="9" t="n">
        <x:f>COUNTIFS($A$7:$A$1302,A22)</x:f>
        <x:v>1</x:v>
      </x:c>
    </x:row>
    <x:row r="23">
      <x:c r="A23" s="9" t="str">
        <x:v>EV-AR-CT-C-B-TECH-3-B2-BRK-G0-IV08</x:v>
      </x:c>
      <x:c r="B23" s="9" t="str">
        <x:v>EV-AR-CT-C-B-TECH-3-B2-BRK-G0</x:v>
      </x:c>
      <x:c r="C23" s="9" t="str">
        <x:v>AR-CT-C-B-TECH-3-B2-BRK-G0</x:v>
      </x:c>
      <x:c r="D23" s="9" t="str">
        <x:v>CT-C-B-TECH-3</x:v>
      </x:c>
      <x:c r="E23" s="9" t="str">
        <x:v>CT-C-B</x:v>
      </x:c>
      <x:c r="F23" s="9" t="str">
        <x:v>B2</x:v>
      </x:c>
      <x:c r="G23" s="9" t="str">
        <x:v>BRK</x:v>
      </x:c>
      <x:c r="H23" s="9" t="str">
        <x:v>IV08</x:v>
      </x:c>
      <x:c r="I23" s="17" t="str">
        <x:v>Whole-record preservation</x:v>
      </x:c>
      <x:c r="J23" s="17" t="str">
        <x:v>start, raw behavior, dissent and intervention remain in archive</x:v>
      </x:c>
      <x:c r="K23" s="17" t="str">
        <x:v>Archive authority</x:v>
      </x:c>
      <x:c r="L23" s="9" t="n">
        <x:v>0</x:v>
      </x:c>
      <x:c r="M23" s="9" t="n">
        <x:v>0</x:v>
      </x:c>
      <x:c r="N23" s="9" t="str">
        <x:v>UNFILED / UNPROVEN</x:v>
      </x:c>
      <x:c r="O23" s="9" t="n">
        <x:f>COUNTIFS($A$7:$A$1302,A23)</x:f>
        <x:v>1</x:v>
      </x:c>
    </x:row>
    <x:row r="24">
      <x:c r="A24" s="9" t="str">
        <x:v>EV-AR-CT-C-B-TECH-3-B2-BRK-G0-IV09</x:v>
      </x:c>
      <x:c r="B24" s="9" t="str">
        <x:v>EV-AR-CT-C-B-TECH-3-B2-BRK-G0</x:v>
      </x:c>
      <x:c r="C24" s="9" t="str">
        <x:v>AR-CT-C-B-TECH-3-B2-BRK-G0</x:v>
      </x:c>
      <x:c r="D24" s="9" t="str">
        <x:v>CT-C-B-TECH-3</x:v>
      </x:c>
      <x:c r="E24" s="9" t="str">
        <x:v>CT-C-B</x:v>
      </x:c>
      <x:c r="F24" s="9" t="str">
        <x:v>B2</x:v>
      </x:c>
      <x:c r="G24" s="9" t="str">
        <x:v>BRK</x:v>
      </x:c>
      <x:c r="H24" s="9" t="str">
        <x:v>IV09</x:v>
      </x:c>
      <x:c r="I24" s="17" t="str">
        <x:v>Bounded remedy</x:v>
      </x:c>
      <x:c r="J24" s="17" t="str">
        <x:v>only a new slot and EOW may follow; no favorable credit or erased attempt</x:v>
      </x:c>
      <x:c r="K24" s="17" t="str">
        <x:v>Invalidity court</x:v>
      </x:c>
      <x:c r="L24" s="9" t="n">
        <x:v>0</x:v>
      </x:c>
      <x:c r="M24" s="9" t="n">
        <x:v>0</x:v>
      </x:c>
      <x:c r="N24" s="9" t="str">
        <x:v>UNFILED / UNPROVEN</x:v>
      </x:c>
      <x:c r="O24" s="9" t="n">
        <x:f>COUNTIFS($A$7:$A$1302,A24)</x:f>
        <x:v>1</x:v>
      </x:c>
    </x:row>
    <x:row r="25">
      <x:c r="A25" s="9" t="str">
        <x:v>EV-AR-HC-A-C-TECH-1-B1-RCN-G0-IV01</x:v>
      </x:c>
      <x:c r="B25" s="9" t="str">
        <x:v>EV-AR-HC-A-C-TECH-1-B1-RCN-G0</x:v>
      </x:c>
      <x:c r="C25" s="9" t="str">
        <x:v>AR-HC-A-C-TECH-1-B1-RCN-G0</x:v>
      </x:c>
      <x:c r="D25" s="9" t="str">
        <x:v>HC-A-C-TECH-1</x:v>
      </x:c>
      <x:c r="E25" s="9" t="str">
        <x:v>HC-A-C</x:v>
      </x:c>
      <x:c r="F25" s="9" t="str">
        <x:v>B1</x:v>
      </x:c>
      <x:c r="G25" s="9" t="str">
        <x:v>RCN</x:v>
      </x:c>
      <x:c r="H25" s="9" t="str">
        <x:v>IV01</x:v>
      </x:c>
      <x:c r="I25" s="17" t="str">
        <x:v>Timely petition</x:v>
      </x:c>
      <x:c r="J25" s="17" t="str">
        <x:v>petition enters within seventy-two hours of event close</x:v>
      </x:c>
      <x:c r="K25" s="17" t="str">
        <x:v>Invalidity registrar</x:v>
      </x:c>
      <x:c r="L25" s="9" t="n">
        <x:v>0</x:v>
      </x:c>
      <x:c r="M25" s="9" t="n">
        <x:v>0</x:v>
      </x:c>
      <x:c r="N25" s="9" t="str">
        <x:v>UNFILED / UNPROVEN</x:v>
      </x:c>
      <x:c r="O25" s="9" t="n">
        <x:f>COUNTIFS($A$7:$A$1302,A25)</x:f>
        <x:v>1</x:v>
      </x:c>
    </x:row>
    <x:row r="26">
      <x:c r="A26" s="9" t="str">
        <x:v>EV-AR-HC-A-C-TECH-1-B1-RCN-G0-IV02</x:v>
      </x:c>
      <x:c r="B26" s="9" t="str">
        <x:v>EV-AR-HC-A-C-TECH-1-B1-RCN-G0</x:v>
      </x:c>
      <x:c r="C26" s="9" t="str">
        <x:v>AR-HC-A-C-TECH-1-B1-RCN-G0</x:v>
      </x:c>
      <x:c r="D26" s="9" t="str">
        <x:v>HC-A-C-TECH-1</x:v>
      </x:c>
      <x:c r="E26" s="9" t="str">
        <x:v>HC-A-C</x:v>
      </x:c>
      <x:c r="F26" s="9" t="str">
        <x:v>B1</x:v>
      </x:c>
      <x:c r="G26" s="9" t="str">
        <x:v>RCN</x:v>
      </x:c>
      <x:c r="H26" s="9" t="str">
        <x:v>IV02</x:v>
      </x:c>
      <x:c r="I26" s="17" t="str">
        <x:v>Named facility cause</x:v>
      </x:c>
      <x:c r="J26" s="17" t="str">
        <x:v>one pre-registered noncandidate cause is identified</x:v>
      </x:c>
      <x:c r="K26" s="17" t="str">
        <x:v>Facility-cause court</x:v>
      </x:c>
      <x:c r="L26" s="9" t="n">
        <x:v>0</x:v>
      </x:c>
      <x:c r="M26" s="9" t="n">
        <x:v>0</x:v>
      </x:c>
      <x:c r="N26" s="9" t="str">
        <x:v>UNFILED / UNPROVEN</x:v>
      </x:c>
      <x:c r="O26" s="9" t="n">
        <x:f>COUNTIFS($A$7:$A$1302,A26)</x:f>
        <x:v>1</x:v>
      </x:c>
    </x:row>
    <x:row r="27">
      <x:c r="A27" s="9" t="str">
        <x:v>EV-AR-HC-A-C-TECH-1-B1-RCN-G0-IV03</x:v>
      </x:c>
      <x:c r="B27" s="9" t="str">
        <x:v>EV-AR-HC-A-C-TECH-1-B1-RCN-G0</x:v>
      </x:c>
      <x:c r="C27" s="9" t="str">
        <x:v>AR-HC-A-C-TECH-1-B1-RCN-G0</x:v>
      </x:c>
      <x:c r="D27" s="9" t="str">
        <x:v>HC-A-C-TECH-1</x:v>
      </x:c>
      <x:c r="E27" s="9" t="str">
        <x:v>HC-A-C</x:v>
      </x:c>
      <x:c r="F27" s="9" t="str">
        <x:v>B1</x:v>
      </x:c>
      <x:c r="G27" s="9" t="str">
        <x:v>RCN</x:v>
      </x:c>
      <x:c r="H27" s="9" t="str">
        <x:v>IV03</x:v>
      </x:c>
      <x:c r="I27" s="17" t="str">
        <x:v>Temporal priority</x:v>
      </x:c>
      <x:c r="J27" s="17" t="str">
        <x:v>cause demonstrably precedes the disputed candidate behavior</x:v>
      </x:c>
      <x:c r="K27" s="17" t="str">
        <x:v>Time authority</x:v>
      </x:c>
      <x:c r="L27" s="9" t="n">
        <x:v>0</x:v>
      </x:c>
      <x:c r="M27" s="9" t="n">
        <x:v>0</x:v>
      </x:c>
      <x:c r="N27" s="9" t="str">
        <x:v>UNFILED / UNPROVEN</x:v>
      </x:c>
      <x:c r="O27" s="9" t="n">
        <x:f>COUNTIFS($A$7:$A$1302,A27)</x:f>
        <x:v>1</x:v>
      </x:c>
    </x:row>
    <x:row r="28">
      <x:c r="A28" s="9" t="str">
        <x:v>EV-AR-HC-A-C-TECH-1-B1-RCN-G0-IV04</x:v>
      </x:c>
      <x:c r="B28" s="9" t="str">
        <x:v>EV-AR-HC-A-C-TECH-1-B1-RCN-G0</x:v>
      </x:c>
      <x:c r="C28" s="9" t="str">
        <x:v>AR-HC-A-C-TECH-1-B1-RCN-G0</x:v>
      </x:c>
      <x:c r="D28" s="9" t="str">
        <x:v>HC-A-C-TECH-1</x:v>
      </x:c>
      <x:c r="E28" s="9" t="str">
        <x:v>HC-A-C</x:v>
      </x:c>
      <x:c r="F28" s="9" t="str">
        <x:v>B1</x:v>
      </x:c>
      <x:c r="G28" s="9" t="str">
        <x:v>RCN</x:v>
      </x:c>
      <x:c r="H28" s="9" t="str">
        <x:v>IV04</x:v>
      </x:c>
      <x:c r="I28" s="17" t="str">
        <x:v>Independent trace</x:v>
      </x:c>
      <x:c r="J28" s="17" t="str">
        <x:v>two unlike records carry the cause without candidate custody</x:v>
      </x:c>
      <x:c r="K28" s="17" t="str">
        <x:v>Invalidity court</x:v>
      </x:c>
      <x:c r="L28" s="9" t="n">
        <x:v>0</x:v>
      </x:c>
      <x:c r="M28" s="9" t="n">
        <x:v>0</x:v>
      </x:c>
      <x:c r="N28" s="9" t="str">
        <x:v>UNFILED / UNPROVEN</x:v>
      </x:c>
      <x:c r="O28" s="9" t="n">
        <x:f>COUNTIFS($A$7:$A$1302,A28)</x:f>
        <x:v>1</x:v>
      </x:c>
    </x:row>
    <x:row r="29">
      <x:c r="A29" s="9" t="str">
        <x:v>EV-AR-HC-A-C-TECH-1-B1-RCN-G0-IV05</x:v>
      </x:c>
      <x:c r="B29" s="9" t="str">
        <x:v>EV-AR-HC-A-C-TECH-1-B1-RCN-G0</x:v>
      </x:c>
      <x:c r="C29" s="9" t="str">
        <x:v>AR-HC-A-C-TECH-1-B1-RCN-G0</x:v>
      </x:c>
      <x:c r="D29" s="9" t="str">
        <x:v>HC-A-C-TECH-1</x:v>
      </x:c>
      <x:c r="E29" s="9" t="str">
        <x:v>HC-A-C</x:v>
      </x:c>
      <x:c r="F29" s="9" t="str">
        <x:v>B1</x:v>
      </x:c>
      <x:c r="G29" s="9" t="str">
        <x:v>RCN</x:v>
      </x:c>
      <x:c r="H29" s="9" t="str">
        <x:v>IV05</x:v>
      </x:c>
      <x:c r="I29" s="17" t="str">
        <x:v>Causal counterfactual</x:v>
      </x:c>
      <x:c r="J29" s="17" t="str">
        <x:v>registered counterfactual shows the cause can create the defect</x:v>
      </x:c>
      <x:c r="K29" s="17" t="str">
        <x:v>Causal court</x:v>
      </x:c>
      <x:c r="L29" s="9" t="n">
        <x:v>0</x:v>
      </x:c>
      <x:c r="M29" s="9" t="n">
        <x:v>0</x:v>
      </x:c>
      <x:c r="N29" s="9" t="str">
        <x:v>UNFILED / UNPROVEN</x:v>
      </x:c>
      <x:c r="O29" s="9" t="n">
        <x:f>COUNTIFS($A$7:$A$1302,A29)</x:f>
        <x:v>1</x:v>
      </x:c>
    </x:row>
    <x:row r="30">
      <x:c r="A30" s="9" t="str">
        <x:v>EV-AR-HC-A-C-TECH-1-B1-RCN-G0-IV06</x:v>
      </x:c>
      <x:c r="B30" s="9" t="str">
        <x:v>EV-AR-HC-A-C-TECH-1-B1-RCN-G0</x:v>
      </x:c>
      <x:c r="C30" s="9" t="str">
        <x:v>AR-HC-A-C-TECH-1-B1-RCN-G0</x:v>
      </x:c>
      <x:c r="D30" s="9" t="str">
        <x:v>HC-A-C-TECH-1</x:v>
      </x:c>
      <x:c r="E30" s="9" t="str">
        <x:v>HC-A-C</x:v>
      </x:c>
      <x:c r="F30" s="9" t="str">
        <x:v>B1</x:v>
      </x:c>
      <x:c r="G30" s="9" t="str">
        <x:v>RCN</x:v>
      </x:c>
      <x:c r="H30" s="9" t="str">
        <x:v>IV06</x:v>
      </x:c>
      <x:c r="I30" s="17" t="str">
        <x:v>Candidate non-causation</x:v>
      </x:c>
      <x:c r="J30" s="17" t="str">
        <x:v>evidence excludes candidate induction of the facility condition</x:v>
      </x:c>
      <x:c r="K30" s="17" t="str">
        <x:v>Causal court</x:v>
      </x:c>
      <x:c r="L30" s="9" t="n">
        <x:v>0</x:v>
      </x:c>
      <x:c r="M30" s="9" t="n">
        <x:v>0</x:v>
      </x:c>
      <x:c r="N30" s="9" t="str">
        <x:v>UNFILED / UNPROVEN</x:v>
      </x:c>
      <x:c r="O30" s="9" t="n">
        <x:f>COUNTIFS($A$7:$A$1302,A30)</x:f>
        <x:v>1</x:v>
      </x:c>
    </x:row>
    <x:row r="31">
      <x:c r="A31" s="9" t="str">
        <x:v>EV-AR-HC-A-C-TECH-1-B1-RCN-G0-IV07</x:v>
      </x:c>
      <x:c r="B31" s="9" t="str">
        <x:v>EV-AR-HC-A-C-TECH-1-B1-RCN-G0</x:v>
      </x:c>
      <x:c r="C31" s="9" t="str">
        <x:v>AR-HC-A-C-TECH-1-B1-RCN-G0</x:v>
      </x:c>
      <x:c r="D31" s="9" t="str">
        <x:v>HC-A-C-TECH-1</x:v>
      </x:c>
      <x:c r="E31" s="9" t="str">
        <x:v>HC-A-C</x:v>
      </x:c>
      <x:c r="F31" s="9" t="str">
        <x:v>B1</x:v>
      </x:c>
      <x:c r="G31" s="9" t="str">
        <x:v>RCN</x:v>
      </x:c>
      <x:c r="H31" s="9" t="str">
        <x:v>IV07</x:v>
      </x:c>
      <x:c r="I31" s="17" t="str">
        <x:v>No outcome selection</x:v>
      </x:c>
      <x:c r="J31" s="17" t="str">
        <x:v>petition rule and evidence scope were fixed before visibility</x:v>
      </x:c>
      <x:c r="K31" s="17" t="str">
        <x:v>Conflict registrar</x:v>
      </x:c>
      <x:c r="L31" s="9" t="n">
        <x:v>0</x:v>
      </x:c>
      <x:c r="M31" s="9" t="n">
        <x:v>0</x:v>
      </x:c>
      <x:c r="N31" s="9" t="str">
        <x:v>UNFILED / UNPROVEN</x:v>
      </x:c>
      <x:c r="O31" s="9" t="n">
        <x:f>COUNTIFS($A$7:$A$1302,A31)</x:f>
        <x:v>1</x:v>
      </x:c>
    </x:row>
    <x:row r="32">
      <x:c r="A32" s="9" t="str">
        <x:v>EV-AR-HC-A-C-TECH-1-B1-RCN-G0-IV08</x:v>
      </x:c>
      <x:c r="B32" s="9" t="str">
        <x:v>EV-AR-HC-A-C-TECH-1-B1-RCN-G0</x:v>
      </x:c>
      <x:c r="C32" s="9" t="str">
        <x:v>AR-HC-A-C-TECH-1-B1-RCN-G0</x:v>
      </x:c>
      <x:c r="D32" s="9" t="str">
        <x:v>HC-A-C-TECH-1</x:v>
      </x:c>
      <x:c r="E32" s="9" t="str">
        <x:v>HC-A-C</x:v>
      </x:c>
      <x:c r="F32" s="9" t="str">
        <x:v>B1</x:v>
      </x:c>
      <x:c r="G32" s="9" t="str">
        <x:v>RCN</x:v>
      </x:c>
      <x:c r="H32" s="9" t="str">
        <x:v>IV08</x:v>
      </x:c>
      <x:c r="I32" s="17" t="str">
        <x:v>Whole-record preservation</x:v>
      </x:c>
      <x:c r="J32" s="17" t="str">
        <x:v>start, raw behavior, dissent and intervention remain in archive</x:v>
      </x:c>
      <x:c r="K32" s="17" t="str">
        <x:v>Archive authority</x:v>
      </x:c>
      <x:c r="L32" s="9" t="n">
        <x:v>0</x:v>
      </x:c>
      <x:c r="M32" s="9" t="n">
        <x:v>0</x:v>
      </x:c>
      <x:c r="N32" s="9" t="str">
        <x:v>UNFILED / UNPROVEN</x:v>
      </x:c>
      <x:c r="O32" s="9" t="n">
        <x:f>COUNTIFS($A$7:$A$1302,A32)</x:f>
        <x:v>1</x:v>
      </x:c>
    </x:row>
    <x:row r="33">
      <x:c r="A33" s="9" t="str">
        <x:v>EV-AR-HC-A-C-TECH-1-B1-RCN-G0-IV09</x:v>
      </x:c>
      <x:c r="B33" s="9" t="str">
        <x:v>EV-AR-HC-A-C-TECH-1-B1-RCN-G0</x:v>
      </x:c>
      <x:c r="C33" s="9" t="str">
        <x:v>AR-HC-A-C-TECH-1-B1-RCN-G0</x:v>
      </x:c>
      <x:c r="D33" s="9" t="str">
        <x:v>HC-A-C-TECH-1</x:v>
      </x:c>
      <x:c r="E33" s="9" t="str">
        <x:v>HC-A-C</x:v>
      </x:c>
      <x:c r="F33" s="9" t="str">
        <x:v>B1</x:v>
      </x:c>
      <x:c r="G33" s="9" t="str">
        <x:v>RCN</x:v>
      </x:c>
      <x:c r="H33" s="9" t="str">
        <x:v>IV09</x:v>
      </x:c>
      <x:c r="I33" s="17" t="str">
        <x:v>Bounded remedy</x:v>
      </x:c>
      <x:c r="J33" s="17" t="str">
        <x:v>only a new slot and EOW may follow; no favorable credit or erased attempt</x:v>
      </x:c>
      <x:c r="K33" s="17" t="str">
        <x:v>Invalidity court</x:v>
      </x:c>
      <x:c r="L33" s="9" t="n">
        <x:v>0</x:v>
      </x:c>
      <x:c r="M33" s="9" t="n">
        <x:v>0</x:v>
      </x:c>
      <x:c r="N33" s="9" t="str">
        <x:v>UNFILED / UNPROVEN</x:v>
      </x:c>
      <x:c r="O33" s="9" t="n">
        <x:f>COUNTIFS($A$7:$A$1302,A33)</x:f>
        <x:v>1</x:v>
      </x:c>
    </x:row>
    <x:row r="34">
      <x:c r="A34" s="9" t="str">
        <x:v>EV-AR-HU-A-B-TECH-4-B2-RCN-G0-IV01</x:v>
      </x:c>
      <x:c r="B34" s="9" t="str">
        <x:v>EV-AR-HU-A-B-TECH-4-B2-RCN-G0</x:v>
      </x:c>
      <x:c r="C34" s="9" t="str">
        <x:v>AR-HU-A-B-TECH-4-B2-RCN-G0</x:v>
      </x:c>
      <x:c r="D34" s="9" t="str">
        <x:v>HU-A-B-TECH-4</x:v>
      </x:c>
      <x:c r="E34" s="9" t="str">
        <x:v>HU-A-B</x:v>
      </x:c>
      <x:c r="F34" s="9" t="str">
        <x:v>B2</x:v>
      </x:c>
      <x:c r="G34" s="9" t="str">
        <x:v>RCN</x:v>
      </x:c>
      <x:c r="H34" s="9" t="str">
        <x:v>IV01</x:v>
      </x:c>
      <x:c r="I34" s="17" t="str">
        <x:v>Timely petition</x:v>
      </x:c>
      <x:c r="J34" s="17" t="str">
        <x:v>petition enters within seventy-two hours of event close</x:v>
      </x:c>
      <x:c r="K34" s="17" t="str">
        <x:v>Invalidity registrar</x:v>
      </x:c>
      <x:c r="L34" s="9" t="n">
        <x:v>0</x:v>
      </x:c>
      <x:c r="M34" s="9" t="n">
        <x:v>0</x:v>
      </x:c>
      <x:c r="N34" s="9" t="str">
        <x:v>UNFILED / UNPROVEN</x:v>
      </x:c>
      <x:c r="O34" s="9" t="n">
        <x:f>COUNTIFS($A$7:$A$1302,A34)</x:f>
        <x:v>1</x:v>
      </x:c>
    </x:row>
    <x:row r="35">
      <x:c r="A35" s="9" t="str">
        <x:v>EV-AR-HU-A-B-TECH-4-B2-RCN-G0-IV02</x:v>
      </x:c>
      <x:c r="B35" s="9" t="str">
        <x:v>EV-AR-HU-A-B-TECH-4-B2-RCN-G0</x:v>
      </x:c>
      <x:c r="C35" s="9" t="str">
        <x:v>AR-HU-A-B-TECH-4-B2-RCN-G0</x:v>
      </x:c>
      <x:c r="D35" s="9" t="str">
        <x:v>HU-A-B-TECH-4</x:v>
      </x:c>
      <x:c r="E35" s="9" t="str">
        <x:v>HU-A-B</x:v>
      </x:c>
      <x:c r="F35" s="9" t="str">
        <x:v>B2</x:v>
      </x:c>
      <x:c r="G35" s="9" t="str">
        <x:v>RCN</x:v>
      </x:c>
      <x:c r="H35" s="9" t="str">
        <x:v>IV02</x:v>
      </x:c>
      <x:c r="I35" s="17" t="str">
        <x:v>Named facility cause</x:v>
      </x:c>
      <x:c r="J35" s="17" t="str">
        <x:v>one pre-registered noncandidate cause is identified</x:v>
      </x:c>
      <x:c r="K35" s="17" t="str">
        <x:v>Facility-cause court</x:v>
      </x:c>
      <x:c r="L35" s="9" t="n">
        <x:v>0</x:v>
      </x:c>
      <x:c r="M35" s="9" t="n">
        <x:v>0</x:v>
      </x:c>
      <x:c r="N35" s="9" t="str">
        <x:v>UNFILED / UNPROVEN</x:v>
      </x:c>
      <x:c r="O35" s="9" t="n">
        <x:f>COUNTIFS($A$7:$A$1302,A35)</x:f>
        <x:v>1</x:v>
      </x:c>
    </x:row>
    <x:row r="36">
      <x:c r="A36" s="9" t="str">
        <x:v>EV-AR-HU-A-B-TECH-4-B2-RCN-G0-IV03</x:v>
      </x:c>
      <x:c r="B36" s="9" t="str">
        <x:v>EV-AR-HU-A-B-TECH-4-B2-RCN-G0</x:v>
      </x:c>
      <x:c r="C36" s="9" t="str">
        <x:v>AR-HU-A-B-TECH-4-B2-RCN-G0</x:v>
      </x:c>
      <x:c r="D36" s="9" t="str">
        <x:v>HU-A-B-TECH-4</x:v>
      </x:c>
      <x:c r="E36" s="9" t="str">
        <x:v>HU-A-B</x:v>
      </x:c>
      <x:c r="F36" s="9" t="str">
        <x:v>B2</x:v>
      </x:c>
      <x:c r="G36" s="9" t="str">
        <x:v>RCN</x:v>
      </x:c>
      <x:c r="H36" s="9" t="str">
        <x:v>IV03</x:v>
      </x:c>
      <x:c r="I36" s="17" t="str">
        <x:v>Temporal priority</x:v>
      </x:c>
      <x:c r="J36" s="17" t="str">
        <x:v>cause demonstrably precedes the disputed candidate behavior</x:v>
      </x:c>
      <x:c r="K36" s="17" t="str">
        <x:v>Time authority</x:v>
      </x:c>
      <x:c r="L36" s="9" t="n">
        <x:v>0</x:v>
      </x:c>
      <x:c r="M36" s="9" t="n">
        <x:v>0</x:v>
      </x:c>
      <x:c r="N36" s="9" t="str">
        <x:v>UNFILED / UNPROVEN</x:v>
      </x:c>
      <x:c r="O36" s="9" t="n">
        <x:f>COUNTIFS($A$7:$A$1302,A36)</x:f>
        <x:v>1</x:v>
      </x:c>
    </x:row>
    <x:row r="37">
      <x:c r="A37" s="9" t="str">
        <x:v>EV-AR-HU-A-B-TECH-4-B2-RCN-G0-IV04</x:v>
      </x:c>
      <x:c r="B37" s="9" t="str">
        <x:v>EV-AR-HU-A-B-TECH-4-B2-RCN-G0</x:v>
      </x:c>
      <x:c r="C37" s="9" t="str">
        <x:v>AR-HU-A-B-TECH-4-B2-RCN-G0</x:v>
      </x:c>
      <x:c r="D37" s="9" t="str">
        <x:v>HU-A-B-TECH-4</x:v>
      </x:c>
      <x:c r="E37" s="9" t="str">
        <x:v>HU-A-B</x:v>
      </x:c>
      <x:c r="F37" s="9" t="str">
        <x:v>B2</x:v>
      </x:c>
      <x:c r="G37" s="9" t="str">
        <x:v>RCN</x:v>
      </x:c>
      <x:c r="H37" s="9" t="str">
        <x:v>IV04</x:v>
      </x:c>
      <x:c r="I37" s="17" t="str">
        <x:v>Independent trace</x:v>
      </x:c>
      <x:c r="J37" s="17" t="str">
        <x:v>two unlike records carry the cause without candidate custody</x:v>
      </x:c>
      <x:c r="K37" s="17" t="str">
        <x:v>Invalidity court</x:v>
      </x:c>
      <x:c r="L37" s="9" t="n">
        <x:v>0</x:v>
      </x:c>
      <x:c r="M37" s="9" t="n">
        <x:v>0</x:v>
      </x:c>
      <x:c r="N37" s="9" t="str">
        <x:v>UNFILED / UNPROVEN</x:v>
      </x:c>
      <x:c r="O37" s="9" t="n">
        <x:f>COUNTIFS($A$7:$A$1302,A37)</x:f>
        <x:v>1</x:v>
      </x:c>
    </x:row>
    <x:row r="38">
      <x:c r="A38" s="9" t="str">
        <x:v>EV-AR-HU-A-B-TECH-4-B2-RCN-G0-IV05</x:v>
      </x:c>
      <x:c r="B38" s="9" t="str">
        <x:v>EV-AR-HU-A-B-TECH-4-B2-RCN-G0</x:v>
      </x:c>
      <x:c r="C38" s="9" t="str">
        <x:v>AR-HU-A-B-TECH-4-B2-RCN-G0</x:v>
      </x:c>
      <x:c r="D38" s="9" t="str">
        <x:v>HU-A-B-TECH-4</x:v>
      </x:c>
      <x:c r="E38" s="9" t="str">
        <x:v>HU-A-B</x:v>
      </x:c>
      <x:c r="F38" s="9" t="str">
        <x:v>B2</x:v>
      </x:c>
      <x:c r="G38" s="9" t="str">
        <x:v>RCN</x:v>
      </x:c>
      <x:c r="H38" s="9" t="str">
        <x:v>IV05</x:v>
      </x:c>
      <x:c r="I38" s="17" t="str">
        <x:v>Causal counterfactual</x:v>
      </x:c>
      <x:c r="J38" s="17" t="str">
        <x:v>registered counterfactual shows the cause can create the defect</x:v>
      </x:c>
      <x:c r="K38" s="17" t="str">
        <x:v>Causal court</x:v>
      </x:c>
      <x:c r="L38" s="9" t="n">
        <x:v>0</x:v>
      </x:c>
      <x:c r="M38" s="9" t="n">
        <x:v>0</x:v>
      </x:c>
      <x:c r="N38" s="9" t="str">
        <x:v>UNFILED / UNPROVEN</x:v>
      </x:c>
      <x:c r="O38" s="9" t="n">
        <x:f>COUNTIFS($A$7:$A$1302,A38)</x:f>
        <x:v>1</x:v>
      </x:c>
    </x:row>
    <x:row r="39">
      <x:c r="A39" s="9" t="str">
        <x:v>EV-AR-HU-A-B-TECH-4-B2-RCN-G0-IV06</x:v>
      </x:c>
      <x:c r="B39" s="9" t="str">
        <x:v>EV-AR-HU-A-B-TECH-4-B2-RCN-G0</x:v>
      </x:c>
      <x:c r="C39" s="9" t="str">
        <x:v>AR-HU-A-B-TECH-4-B2-RCN-G0</x:v>
      </x:c>
      <x:c r="D39" s="9" t="str">
        <x:v>HU-A-B-TECH-4</x:v>
      </x:c>
      <x:c r="E39" s="9" t="str">
        <x:v>HU-A-B</x:v>
      </x:c>
      <x:c r="F39" s="9" t="str">
        <x:v>B2</x:v>
      </x:c>
      <x:c r="G39" s="9" t="str">
        <x:v>RCN</x:v>
      </x:c>
      <x:c r="H39" s="9" t="str">
        <x:v>IV06</x:v>
      </x:c>
      <x:c r="I39" s="17" t="str">
        <x:v>Candidate non-causation</x:v>
      </x:c>
      <x:c r="J39" s="17" t="str">
        <x:v>evidence excludes candidate induction of the facility condition</x:v>
      </x:c>
      <x:c r="K39" s="17" t="str">
        <x:v>Causal court</x:v>
      </x:c>
      <x:c r="L39" s="9" t="n">
        <x:v>0</x:v>
      </x:c>
      <x:c r="M39" s="9" t="n">
        <x:v>0</x:v>
      </x:c>
      <x:c r="N39" s="9" t="str">
        <x:v>UNFILED / UNPROVEN</x:v>
      </x:c>
      <x:c r="O39" s="9" t="n">
        <x:f>COUNTIFS($A$7:$A$1302,A39)</x:f>
        <x:v>1</x:v>
      </x:c>
    </x:row>
    <x:row r="40">
      <x:c r="A40" s="9" t="str">
        <x:v>EV-AR-HU-A-B-TECH-4-B2-RCN-G0-IV07</x:v>
      </x:c>
      <x:c r="B40" s="9" t="str">
        <x:v>EV-AR-HU-A-B-TECH-4-B2-RCN-G0</x:v>
      </x:c>
      <x:c r="C40" s="9" t="str">
        <x:v>AR-HU-A-B-TECH-4-B2-RCN-G0</x:v>
      </x:c>
      <x:c r="D40" s="9" t="str">
        <x:v>HU-A-B-TECH-4</x:v>
      </x:c>
      <x:c r="E40" s="9" t="str">
        <x:v>HU-A-B</x:v>
      </x:c>
      <x:c r="F40" s="9" t="str">
        <x:v>B2</x:v>
      </x:c>
      <x:c r="G40" s="9" t="str">
        <x:v>RCN</x:v>
      </x:c>
      <x:c r="H40" s="9" t="str">
        <x:v>IV07</x:v>
      </x:c>
      <x:c r="I40" s="17" t="str">
        <x:v>No outcome selection</x:v>
      </x:c>
      <x:c r="J40" s="17" t="str">
        <x:v>petition rule and evidence scope were fixed before visibility</x:v>
      </x:c>
      <x:c r="K40" s="17" t="str">
        <x:v>Conflict registrar</x:v>
      </x:c>
      <x:c r="L40" s="9" t="n">
        <x:v>0</x:v>
      </x:c>
      <x:c r="M40" s="9" t="n">
        <x:v>0</x:v>
      </x:c>
      <x:c r="N40" s="9" t="str">
        <x:v>UNFILED / UNPROVEN</x:v>
      </x:c>
      <x:c r="O40" s="9" t="n">
        <x:f>COUNTIFS($A$7:$A$1302,A40)</x:f>
        <x:v>1</x:v>
      </x:c>
    </x:row>
    <x:row r="41">
      <x:c r="A41" s="9" t="str">
        <x:v>EV-AR-HU-A-B-TECH-4-B2-RCN-G0-IV08</x:v>
      </x:c>
      <x:c r="B41" s="9" t="str">
        <x:v>EV-AR-HU-A-B-TECH-4-B2-RCN-G0</x:v>
      </x:c>
      <x:c r="C41" s="9" t="str">
        <x:v>AR-HU-A-B-TECH-4-B2-RCN-G0</x:v>
      </x:c>
      <x:c r="D41" s="9" t="str">
        <x:v>HU-A-B-TECH-4</x:v>
      </x:c>
      <x:c r="E41" s="9" t="str">
        <x:v>HU-A-B</x:v>
      </x:c>
      <x:c r="F41" s="9" t="str">
        <x:v>B2</x:v>
      </x:c>
      <x:c r="G41" s="9" t="str">
        <x:v>RCN</x:v>
      </x:c>
      <x:c r="H41" s="9" t="str">
        <x:v>IV08</x:v>
      </x:c>
      <x:c r="I41" s="17" t="str">
        <x:v>Whole-record preservation</x:v>
      </x:c>
      <x:c r="J41" s="17" t="str">
        <x:v>start, raw behavior, dissent and intervention remain in archive</x:v>
      </x:c>
      <x:c r="K41" s="17" t="str">
        <x:v>Archive authority</x:v>
      </x:c>
      <x:c r="L41" s="9" t="n">
        <x:v>0</x:v>
      </x:c>
      <x:c r="M41" s="9" t="n">
        <x:v>0</x:v>
      </x:c>
      <x:c r="N41" s="9" t="str">
        <x:v>UNFILED / UNPROVEN</x:v>
      </x:c>
      <x:c r="O41" s="9" t="n">
        <x:f>COUNTIFS($A$7:$A$1302,A41)</x:f>
        <x:v>1</x:v>
      </x:c>
    </x:row>
    <x:row r="42">
      <x:c r="A42" s="9" t="str">
        <x:v>EV-AR-HU-A-B-TECH-4-B2-RCN-G0-IV09</x:v>
      </x:c>
      <x:c r="B42" s="9" t="str">
        <x:v>EV-AR-HU-A-B-TECH-4-B2-RCN-G0</x:v>
      </x:c>
      <x:c r="C42" s="9" t="str">
        <x:v>AR-HU-A-B-TECH-4-B2-RCN-G0</x:v>
      </x:c>
      <x:c r="D42" s="9" t="str">
        <x:v>HU-A-B-TECH-4</x:v>
      </x:c>
      <x:c r="E42" s="9" t="str">
        <x:v>HU-A-B</x:v>
      </x:c>
      <x:c r="F42" s="9" t="str">
        <x:v>B2</x:v>
      </x:c>
      <x:c r="G42" s="9" t="str">
        <x:v>RCN</x:v>
      </x:c>
      <x:c r="H42" s="9" t="str">
        <x:v>IV09</x:v>
      </x:c>
      <x:c r="I42" s="17" t="str">
        <x:v>Bounded remedy</x:v>
      </x:c>
      <x:c r="J42" s="17" t="str">
        <x:v>only a new slot and EOW may follow; no favorable credit or erased attempt</x:v>
      </x:c>
      <x:c r="K42" s="17" t="str">
        <x:v>Invalidity court</x:v>
      </x:c>
      <x:c r="L42" s="9" t="n">
        <x:v>0</x:v>
      </x:c>
      <x:c r="M42" s="9" t="n">
        <x:v>0</x:v>
      </x:c>
      <x:c r="N42" s="9" t="str">
        <x:v>UNFILED / UNPROVEN</x:v>
      </x:c>
      <x:c r="O42" s="9" t="n">
        <x:f>COUNTIFS($A$7:$A$1302,A42)</x:f>
        <x:v>1</x:v>
      </x:c>
    </x:row>
    <x:row r="43">
      <x:c r="A43" s="9" t="str">
        <x:v>EV-AR-HU-A-B-TECH-2-B2-INT-G0-IV01</x:v>
      </x:c>
      <x:c r="B43" s="9" t="str">
        <x:v>EV-AR-HU-A-B-TECH-2-B2-INT-G0</x:v>
      </x:c>
      <x:c r="C43" s="9" t="str">
        <x:v>AR-HU-A-B-TECH-2-B2-INT-G0</x:v>
      </x:c>
      <x:c r="D43" s="9" t="str">
        <x:v>HU-A-B-TECH-2</x:v>
      </x:c>
      <x:c r="E43" s="9" t="str">
        <x:v>HU-A-B</x:v>
      </x:c>
      <x:c r="F43" s="9" t="str">
        <x:v>B2</x:v>
      </x:c>
      <x:c r="G43" s="9" t="str">
        <x:v>INT</x:v>
      </x:c>
      <x:c r="H43" s="9" t="str">
        <x:v>IV01</x:v>
      </x:c>
      <x:c r="I43" s="17" t="str">
        <x:v>Timely petition</x:v>
      </x:c>
      <x:c r="J43" s="17" t="str">
        <x:v>petition enters within seventy-two hours of event close</x:v>
      </x:c>
      <x:c r="K43" s="17" t="str">
        <x:v>Invalidity registrar</x:v>
      </x:c>
      <x:c r="L43" s="9" t="n">
        <x:v>0</x:v>
      </x:c>
      <x:c r="M43" s="9" t="n">
        <x:v>0</x:v>
      </x:c>
      <x:c r="N43" s="9" t="str">
        <x:v>UNFILED / UNPROVEN</x:v>
      </x:c>
      <x:c r="O43" s="9" t="n">
        <x:f>COUNTIFS($A$7:$A$1302,A43)</x:f>
        <x:v>1</x:v>
      </x:c>
    </x:row>
    <x:row r="44">
      <x:c r="A44" s="9" t="str">
        <x:v>EV-AR-HU-A-B-TECH-2-B2-INT-G0-IV02</x:v>
      </x:c>
      <x:c r="B44" s="9" t="str">
        <x:v>EV-AR-HU-A-B-TECH-2-B2-INT-G0</x:v>
      </x:c>
      <x:c r="C44" s="9" t="str">
        <x:v>AR-HU-A-B-TECH-2-B2-INT-G0</x:v>
      </x:c>
      <x:c r="D44" s="9" t="str">
        <x:v>HU-A-B-TECH-2</x:v>
      </x:c>
      <x:c r="E44" s="9" t="str">
        <x:v>HU-A-B</x:v>
      </x:c>
      <x:c r="F44" s="9" t="str">
        <x:v>B2</x:v>
      </x:c>
      <x:c r="G44" s="9" t="str">
        <x:v>INT</x:v>
      </x:c>
      <x:c r="H44" s="9" t="str">
        <x:v>IV02</x:v>
      </x:c>
      <x:c r="I44" s="17" t="str">
        <x:v>Named facility cause</x:v>
      </x:c>
      <x:c r="J44" s="17" t="str">
        <x:v>one pre-registered noncandidate cause is identified</x:v>
      </x:c>
      <x:c r="K44" s="17" t="str">
        <x:v>Facility-cause court</x:v>
      </x:c>
      <x:c r="L44" s="9" t="n">
        <x:v>0</x:v>
      </x:c>
      <x:c r="M44" s="9" t="n">
        <x:v>0</x:v>
      </x:c>
      <x:c r="N44" s="9" t="str">
        <x:v>UNFILED / UNPROVEN</x:v>
      </x:c>
      <x:c r="O44" s="9" t="n">
        <x:f>COUNTIFS($A$7:$A$1302,A44)</x:f>
        <x:v>1</x:v>
      </x:c>
    </x:row>
    <x:row r="45">
      <x:c r="A45" s="9" t="str">
        <x:v>EV-AR-HU-A-B-TECH-2-B2-INT-G0-IV03</x:v>
      </x:c>
      <x:c r="B45" s="9" t="str">
        <x:v>EV-AR-HU-A-B-TECH-2-B2-INT-G0</x:v>
      </x:c>
      <x:c r="C45" s="9" t="str">
        <x:v>AR-HU-A-B-TECH-2-B2-INT-G0</x:v>
      </x:c>
      <x:c r="D45" s="9" t="str">
        <x:v>HU-A-B-TECH-2</x:v>
      </x:c>
      <x:c r="E45" s="9" t="str">
        <x:v>HU-A-B</x:v>
      </x:c>
      <x:c r="F45" s="9" t="str">
        <x:v>B2</x:v>
      </x:c>
      <x:c r="G45" s="9" t="str">
        <x:v>INT</x:v>
      </x:c>
      <x:c r="H45" s="9" t="str">
        <x:v>IV03</x:v>
      </x:c>
      <x:c r="I45" s="17" t="str">
        <x:v>Temporal priority</x:v>
      </x:c>
      <x:c r="J45" s="17" t="str">
        <x:v>cause demonstrably precedes the disputed candidate behavior</x:v>
      </x:c>
      <x:c r="K45" s="17" t="str">
        <x:v>Time authority</x:v>
      </x:c>
      <x:c r="L45" s="9" t="n">
        <x:v>0</x:v>
      </x:c>
      <x:c r="M45" s="9" t="n">
        <x:v>0</x:v>
      </x:c>
      <x:c r="N45" s="9" t="str">
        <x:v>UNFILED / UNPROVEN</x:v>
      </x:c>
      <x:c r="O45" s="9" t="n">
        <x:f>COUNTIFS($A$7:$A$1302,A45)</x:f>
        <x:v>1</x:v>
      </x:c>
    </x:row>
    <x:row r="46">
      <x:c r="A46" s="9" t="str">
        <x:v>EV-AR-HU-A-B-TECH-2-B2-INT-G0-IV04</x:v>
      </x:c>
      <x:c r="B46" s="9" t="str">
        <x:v>EV-AR-HU-A-B-TECH-2-B2-INT-G0</x:v>
      </x:c>
      <x:c r="C46" s="9" t="str">
        <x:v>AR-HU-A-B-TECH-2-B2-INT-G0</x:v>
      </x:c>
      <x:c r="D46" s="9" t="str">
        <x:v>HU-A-B-TECH-2</x:v>
      </x:c>
      <x:c r="E46" s="9" t="str">
        <x:v>HU-A-B</x:v>
      </x:c>
      <x:c r="F46" s="9" t="str">
        <x:v>B2</x:v>
      </x:c>
      <x:c r="G46" s="9" t="str">
        <x:v>INT</x:v>
      </x:c>
      <x:c r="H46" s="9" t="str">
        <x:v>IV04</x:v>
      </x:c>
      <x:c r="I46" s="17" t="str">
        <x:v>Independent trace</x:v>
      </x:c>
      <x:c r="J46" s="17" t="str">
        <x:v>two unlike records carry the cause without candidate custody</x:v>
      </x:c>
      <x:c r="K46" s="17" t="str">
        <x:v>Invalidity court</x:v>
      </x:c>
      <x:c r="L46" s="9" t="n">
        <x:v>0</x:v>
      </x:c>
      <x:c r="M46" s="9" t="n">
        <x:v>0</x:v>
      </x:c>
      <x:c r="N46" s="9" t="str">
        <x:v>UNFILED / UNPROVEN</x:v>
      </x:c>
      <x:c r="O46" s="9" t="n">
        <x:f>COUNTIFS($A$7:$A$1302,A46)</x:f>
        <x:v>1</x:v>
      </x:c>
    </x:row>
    <x:row r="47">
      <x:c r="A47" s="9" t="str">
        <x:v>EV-AR-HU-A-B-TECH-2-B2-INT-G0-IV05</x:v>
      </x:c>
      <x:c r="B47" s="9" t="str">
        <x:v>EV-AR-HU-A-B-TECH-2-B2-INT-G0</x:v>
      </x:c>
      <x:c r="C47" s="9" t="str">
        <x:v>AR-HU-A-B-TECH-2-B2-INT-G0</x:v>
      </x:c>
      <x:c r="D47" s="9" t="str">
        <x:v>HU-A-B-TECH-2</x:v>
      </x:c>
      <x:c r="E47" s="9" t="str">
        <x:v>HU-A-B</x:v>
      </x:c>
      <x:c r="F47" s="9" t="str">
        <x:v>B2</x:v>
      </x:c>
      <x:c r="G47" s="9" t="str">
        <x:v>INT</x:v>
      </x:c>
      <x:c r="H47" s="9" t="str">
        <x:v>IV05</x:v>
      </x:c>
      <x:c r="I47" s="17" t="str">
        <x:v>Causal counterfactual</x:v>
      </x:c>
      <x:c r="J47" s="17" t="str">
        <x:v>registered counterfactual shows the cause can create the defect</x:v>
      </x:c>
      <x:c r="K47" s="17" t="str">
        <x:v>Causal court</x:v>
      </x:c>
      <x:c r="L47" s="9" t="n">
        <x:v>0</x:v>
      </x:c>
      <x:c r="M47" s="9" t="n">
        <x:v>0</x:v>
      </x:c>
      <x:c r="N47" s="9" t="str">
        <x:v>UNFILED / UNPROVEN</x:v>
      </x:c>
      <x:c r="O47" s="9" t="n">
        <x:f>COUNTIFS($A$7:$A$1302,A47)</x:f>
        <x:v>1</x:v>
      </x:c>
    </x:row>
    <x:row r="48">
      <x:c r="A48" s="9" t="str">
        <x:v>EV-AR-HU-A-B-TECH-2-B2-INT-G0-IV06</x:v>
      </x:c>
      <x:c r="B48" s="9" t="str">
        <x:v>EV-AR-HU-A-B-TECH-2-B2-INT-G0</x:v>
      </x:c>
      <x:c r="C48" s="9" t="str">
        <x:v>AR-HU-A-B-TECH-2-B2-INT-G0</x:v>
      </x:c>
      <x:c r="D48" s="9" t="str">
        <x:v>HU-A-B-TECH-2</x:v>
      </x:c>
      <x:c r="E48" s="9" t="str">
        <x:v>HU-A-B</x:v>
      </x:c>
      <x:c r="F48" s="9" t="str">
        <x:v>B2</x:v>
      </x:c>
      <x:c r="G48" s="9" t="str">
        <x:v>INT</x:v>
      </x:c>
      <x:c r="H48" s="9" t="str">
        <x:v>IV06</x:v>
      </x:c>
      <x:c r="I48" s="17" t="str">
        <x:v>Candidate non-causation</x:v>
      </x:c>
      <x:c r="J48" s="17" t="str">
        <x:v>evidence excludes candidate induction of the facility condition</x:v>
      </x:c>
      <x:c r="K48" s="17" t="str">
        <x:v>Causal court</x:v>
      </x:c>
      <x:c r="L48" s="9" t="n">
        <x:v>0</x:v>
      </x:c>
      <x:c r="M48" s="9" t="n">
        <x:v>0</x:v>
      </x:c>
      <x:c r="N48" s="9" t="str">
        <x:v>UNFILED / UNPROVEN</x:v>
      </x:c>
      <x:c r="O48" s="9" t="n">
        <x:f>COUNTIFS($A$7:$A$1302,A48)</x:f>
        <x:v>1</x:v>
      </x:c>
    </x:row>
    <x:row r="49">
      <x:c r="A49" s="9" t="str">
        <x:v>EV-AR-HU-A-B-TECH-2-B2-INT-G0-IV07</x:v>
      </x:c>
      <x:c r="B49" s="9" t="str">
        <x:v>EV-AR-HU-A-B-TECH-2-B2-INT-G0</x:v>
      </x:c>
      <x:c r="C49" s="9" t="str">
        <x:v>AR-HU-A-B-TECH-2-B2-INT-G0</x:v>
      </x:c>
      <x:c r="D49" s="9" t="str">
        <x:v>HU-A-B-TECH-2</x:v>
      </x:c>
      <x:c r="E49" s="9" t="str">
        <x:v>HU-A-B</x:v>
      </x:c>
      <x:c r="F49" s="9" t="str">
        <x:v>B2</x:v>
      </x:c>
      <x:c r="G49" s="9" t="str">
        <x:v>INT</x:v>
      </x:c>
      <x:c r="H49" s="9" t="str">
        <x:v>IV07</x:v>
      </x:c>
      <x:c r="I49" s="17" t="str">
        <x:v>No outcome selection</x:v>
      </x:c>
      <x:c r="J49" s="17" t="str">
        <x:v>petition rule and evidence scope were fixed before visibility</x:v>
      </x:c>
      <x:c r="K49" s="17" t="str">
        <x:v>Conflict registrar</x:v>
      </x:c>
      <x:c r="L49" s="9" t="n">
        <x:v>0</x:v>
      </x:c>
      <x:c r="M49" s="9" t="n">
        <x:v>0</x:v>
      </x:c>
      <x:c r="N49" s="9" t="str">
        <x:v>UNFILED / UNPROVEN</x:v>
      </x:c>
      <x:c r="O49" s="9" t="n">
        <x:f>COUNTIFS($A$7:$A$1302,A49)</x:f>
        <x:v>1</x:v>
      </x:c>
    </x:row>
    <x:row r="50">
      <x:c r="A50" s="9" t="str">
        <x:v>EV-AR-HU-A-B-TECH-2-B2-INT-G0-IV08</x:v>
      </x:c>
      <x:c r="B50" s="9" t="str">
        <x:v>EV-AR-HU-A-B-TECH-2-B2-INT-G0</x:v>
      </x:c>
      <x:c r="C50" s="9" t="str">
        <x:v>AR-HU-A-B-TECH-2-B2-INT-G0</x:v>
      </x:c>
      <x:c r="D50" s="9" t="str">
        <x:v>HU-A-B-TECH-2</x:v>
      </x:c>
      <x:c r="E50" s="9" t="str">
        <x:v>HU-A-B</x:v>
      </x:c>
      <x:c r="F50" s="9" t="str">
        <x:v>B2</x:v>
      </x:c>
      <x:c r="G50" s="9" t="str">
        <x:v>INT</x:v>
      </x:c>
      <x:c r="H50" s="9" t="str">
        <x:v>IV08</x:v>
      </x:c>
      <x:c r="I50" s="17" t="str">
        <x:v>Whole-record preservation</x:v>
      </x:c>
      <x:c r="J50" s="17" t="str">
        <x:v>start, raw behavior, dissent and intervention remain in archive</x:v>
      </x:c>
      <x:c r="K50" s="17" t="str">
        <x:v>Archive authority</x:v>
      </x:c>
      <x:c r="L50" s="9" t="n">
        <x:v>0</x:v>
      </x:c>
      <x:c r="M50" s="9" t="n">
        <x:v>0</x:v>
      </x:c>
      <x:c r="N50" s="9" t="str">
        <x:v>UNFILED / UNPROVEN</x:v>
      </x:c>
      <x:c r="O50" s="9" t="n">
        <x:f>COUNTIFS($A$7:$A$1302,A50)</x:f>
        <x:v>1</x:v>
      </x:c>
    </x:row>
    <x:row r="51">
      <x:c r="A51" s="9" t="str">
        <x:v>EV-AR-HU-A-B-TECH-2-B2-INT-G0-IV09</x:v>
      </x:c>
      <x:c r="B51" s="9" t="str">
        <x:v>EV-AR-HU-A-B-TECH-2-B2-INT-G0</x:v>
      </x:c>
      <x:c r="C51" s="9" t="str">
        <x:v>AR-HU-A-B-TECH-2-B2-INT-G0</x:v>
      </x:c>
      <x:c r="D51" s="9" t="str">
        <x:v>HU-A-B-TECH-2</x:v>
      </x:c>
      <x:c r="E51" s="9" t="str">
        <x:v>HU-A-B</x:v>
      </x:c>
      <x:c r="F51" s="9" t="str">
        <x:v>B2</x:v>
      </x:c>
      <x:c r="G51" s="9" t="str">
        <x:v>INT</x:v>
      </x:c>
      <x:c r="H51" s="9" t="str">
        <x:v>IV09</x:v>
      </x:c>
      <x:c r="I51" s="17" t="str">
        <x:v>Bounded remedy</x:v>
      </x:c>
      <x:c r="J51" s="17" t="str">
        <x:v>only a new slot and EOW may follow; no favorable credit or erased attempt</x:v>
      </x:c>
      <x:c r="K51" s="17" t="str">
        <x:v>Invalidity court</x:v>
      </x:c>
      <x:c r="L51" s="9" t="n">
        <x:v>0</x:v>
      </x:c>
      <x:c r="M51" s="9" t="n">
        <x:v>0</x:v>
      </x:c>
      <x:c r="N51" s="9" t="str">
        <x:v>UNFILED / UNPROVEN</x:v>
      </x:c>
      <x:c r="O51" s="9" t="n">
        <x:f>COUNTIFS($A$7:$A$1302,A51)</x:f>
        <x:v>1</x:v>
      </x:c>
    </x:row>
    <x:row r="52">
      <x:c r="A52" s="9" t="str">
        <x:v>EV-AR-LF-B-A-TECH-4-B1-INT-G0-IV01</x:v>
      </x:c>
      <x:c r="B52" s="9" t="str">
        <x:v>EV-AR-LF-B-A-TECH-4-B1-INT-G0</x:v>
      </x:c>
      <x:c r="C52" s="9" t="str">
        <x:v>AR-LF-B-A-TECH-4-B1-INT-G0</x:v>
      </x:c>
      <x:c r="D52" s="9" t="str">
        <x:v>LF-B-A-TECH-4</x:v>
      </x:c>
      <x:c r="E52" s="9" t="str">
        <x:v>LF-B-A</x:v>
      </x:c>
      <x:c r="F52" s="9" t="str">
        <x:v>B1</x:v>
      </x:c>
      <x:c r="G52" s="9" t="str">
        <x:v>INT</x:v>
      </x:c>
      <x:c r="H52" s="9" t="str">
        <x:v>IV01</x:v>
      </x:c>
      <x:c r="I52" s="17" t="str">
        <x:v>Timely petition</x:v>
      </x:c>
      <x:c r="J52" s="17" t="str">
        <x:v>petition enters within seventy-two hours of event close</x:v>
      </x:c>
      <x:c r="K52" s="17" t="str">
        <x:v>Invalidity registrar</x:v>
      </x:c>
      <x:c r="L52" s="9" t="n">
        <x:v>0</x:v>
      </x:c>
      <x:c r="M52" s="9" t="n">
        <x:v>0</x:v>
      </x:c>
      <x:c r="N52" s="9" t="str">
        <x:v>UNFILED / UNPROVEN</x:v>
      </x:c>
      <x:c r="O52" s="9" t="n">
        <x:f>COUNTIFS($A$7:$A$1302,A52)</x:f>
        <x:v>1</x:v>
      </x:c>
    </x:row>
    <x:row r="53">
      <x:c r="A53" s="9" t="str">
        <x:v>EV-AR-LF-B-A-TECH-4-B1-INT-G0-IV02</x:v>
      </x:c>
      <x:c r="B53" s="9" t="str">
        <x:v>EV-AR-LF-B-A-TECH-4-B1-INT-G0</x:v>
      </x:c>
      <x:c r="C53" s="9" t="str">
        <x:v>AR-LF-B-A-TECH-4-B1-INT-G0</x:v>
      </x:c>
      <x:c r="D53" s="9" t="str">
        <x:v>LF-B-A-TECH-4</x:v>
      </x:c>
      <x:c r="E53" s="9" t="str">
        <x:v>LF-B-A</x:v>
      </x:c>
      <x:c r="F53" s="9" t="str">
        <x:v>B1</x:v>
      </x:c>
      <x:c r="G53" s="9" t="str">
        <x:v>INT</x:v>
      </x:c>
      <x:c r="H53" s="9" t="str">
        <x:v>IV02</x:v>
      </x:c>
      <x:c r="I53" s="17" t="str">
        <x:v>Named facility cause</x:v>
      </x:c>
      <x:c r="J53" s="17" t="str">
        <x:v>one pre-registered noncandidate cause is identified</x:v>
      </x:c>
      <x:c r="K53" s="17" t="str">
        <x:v>Facility-cause court</x:v>
      </x:c>
      <x:c r="L53" s="9" t="n">
        <x:v>0</x:v>
      </x:c>
      <x:c r="M53" s="9" t="n">
        <x:v>0</x:v>
      </x:c>
      <x:c r="N53" s="9" t="str">
        <x:v>UNFILED / UNPROVEN</x:v>
      </x:c>
      <x:c r="O53" s="9" t="n">
        <x:f>COUNTIFS($A$7:$A$1302,A53)</x:f>
        <x:v>1</x:v>
      </x:c>
    </x:row>
    <x:row r="54">
      <x:c r="A54" s="9" t="str">
        <x:v>EV-AR-LF-B-A-TECH-4-B1-INT-G0-IV03</x:v>
      </x:c>
      <x:c r="B54" s="9" t="str">
        <x:v>EV-AR-LF-B-A-TECH-4-B1-INT-G0</x:v>
      </x:c>
      <x:c r="C54" s="9" t="str">
        <x:v>AR-LF-B-A-TECH-4-B1-INT-G0</x:v>
      </x:c>
      <x:c r="D54" s="9" t="str">
        <x:v>LF-B-A-TECH-4</x:v>
      </x:c>
      <x:c r="E54" s="9" t="str">
        <x:v>LF-B-A</x:v>
      </x:c>
      <x:c r="F54" s="9" t="str">
        <x:v>B1</x:v>
      </x:c>
      <x:c r="G54" s="9" t="str">
        <x:v>INT</x:v>
      </x:c>
      <x:c r="H54" s="9" t="str">
        <x:v>IV03</x:v>
      </x:c>
      <x:c r="I54" s="17" t="str">
        <x:v>Temporal priority</x:v>
      </x:c>
      <x:c r="J54" s="17" t="str">
        <x:v>cause demonstrably precedes the disputed candidate behavior</x:v>
      </x:c>
      <x:c r="K54" s="17" t="str">
        <x:v>Time authority</x:v>
      </x:c>
      <x:c r="L54" s="9" t="n">
        <x:v>0</x:v>
      </x:c>
      <x:c r="M54" s="9" t="n">
        <x:v>0</x:v>
      </x:c>
      <x:c r="N54" s="9" t="str">
        <x:v>UNFILED / UNPROVEN</x:v>
      </x:c>
      <x:c r="O54" s="9" t="n">
        <x:f>COUNTIFS($A$7:$A$1302,A54)</x:f>
        <x:v>1</x:v>
      </x:c>
    </x:row>
    <x:row r="55">
      <x:c r="A55" s="9" t="str">
        <x:v>EV-AR-LF-B-A-TECH-4-B1-INT-G0-IV04</x:v>
      </x:c>
      <x:c r="B55" s="9" t="str">
        <x:v>EV-AR-LF-B-A-TECH-4-B1-INT-G0</x:v>
      </x:c>
      <x:c r="C55" s="9" t="str">
        <x:v>AR-LF-B-A-TECH-4-B1-INT-G0</x:v>
      </x:c>
      <x:c r="D55" s="9" t="str">
        <x:v>LF-B-A-TECH-4</x:v>
      </x:c>
      <x:c r="E55" s="9" t="str">
        <x:v>LF-B-A</x:v>
      </x:c>
      <x:c r="F55" s="9" t="str">
        <x:v>B1</x:v>
      </x:c>
      <x:c r="G55" s="9" t="str">
        <x:v>INT</x:v>
      </x:c>
      <x:c r="H55" s="9" t="str">
        <x:v>IV04</x:v>
      </x:c>
      <x:c r="I55" s="17" t="str">
        <x:v>Independent trace</x:v>
      </x:c>
      <x:c r="J55" s="17" t="str">
        <x:v>two unlike records carry the cause without candidate custody</x:v>
      </x:c>
      <x:c r="K55" s="17" t="str">
        <x:v>Invalidity court</x:v>
      </x:c>
      <x:c r="L55" s="9" t="n">
        <x:v>0</x:v>
      </x:c>
      <x:c r="M55" s="9" t="n">
        <x:v>0</x:v>
      </x:c>
      <x:c r="N55" s="9" t="str">
        <x:v>UNFILED / UNPROVEN</x:v>
      </x:c>
      <x:c r="O55" s="9" t="n">
        <x:f>COUNTIFS($A$7:$A$1302,A55)</x:f>
        <x:v>1</x:v>
      </x:c>
    </x:row>
    <x:row r="56">
      <x:c r="A56" s="9" t="str">
        <x:v>EV-AR-LF-B-A-TECH-4-B1-INT-G0-IV05</x:v>
      </x:c>
      <x:c r="B56" s="9" t="str">
        <x:v>EV-AR-LF-B-A-TECH-4-B1-INT-G0</x:v>
      </x:c>
      <x:c r="C56" s="9" t="str">
        <x:v>AR-LF-B-A-TECH-4-B1-INT-G0</x:v>
      </x:c>
      <x:c r="D56" s="9" t="str">
        <x:v>LF-B-A-TECH-4</x:v>
      </x:c>
      <x:c r="E56" s="9" t="str">
        <x:v>LF-B-A</x:v>
      </x:c>
      <x:c r="F56" s="9" t="str">
        <x:v>B1</x:v>
      </x:c>
      <x:c r="G56" s="9" t="str">
        <x:v>INT</x:v>
      </x:c>
      <x:c r="H56" s="9" t="str">
        <x:v>IV05</x:v>
      </x:c>
      <x:c r="I56" s="17" t="str">
        <x:v>Causal counterfactual</x:v>
      </x:c>
      <x:c r="J56" s="17" t="str">
        <x:v>registered counterfactual shows the cause can create the defect</x:v>
      </x:c>
      <x:c r="K56" s="17" t="str">
        <x:v>Causal court</x:v>
      </x:c>
      <x:c r="L56" s="9" t="n">
        <x:v>0</x:v>
      </x:c>
      <x:c r="M56" s="9" t="n">
        <x:v>0</x:v>
      </x:c>
      <x:c r="N56" s="9" t="str">
        <x:v>UNFILED / UNPROVEN</x:v>
      </x:c>
      <x:c r="O56" s="9" t="n">
        <x:f>COUNTIFS($A$7:$A$1302,A56)</x:f>
        <x:v>1</x:v>
      </x:c>
    </x:row>
    <x:row r="57">
      <x:c r="A57" s="9" t="str">
        <x:v>EV-AR-LF-B-A-TECH-4-B1-INT-G0-IV06</x:v>
      </x:c>
      <x:c r="B57" s="9" t="str">
        <x:v>EV-AR-LF-B-A-TECH-4-B1-INT-G0</x:v>
      </x:c>
      <x:c r="C57" s="9" t="str">
        <x:v>AR-LF-B-A-TECH-4-B1-INT-G0</x:v>
      </x:c>
      <x:c r="D57" s="9" t="str">
        <x:v>LF-B-A-TECH-4</x:v>
      </x:c>
      <x:c r="E57" s="9" t="str">
        <x:v>LF-B-A</x:v>
      </x:c>
      <x:c r="F57" s="9" t="str">
        <x:v>B1</x:v>
      </x:c>
      <x:c r="G57" s="9" t="str">
        <x:v>INT</x:v>
      </x:c>
      <x:c r="H57" s="9" t="str">
        <x:v>IV06</x:v>
      </x:c>
      <x:c r="I57" s="17" t="str">
        <x:v>Candidate non-causation</x:v>
      </x:c>
      <x:c r="J57" s="17" t="str">
        <x:v>evidence excludes candidate induction of the facility condition</x:v>
      </x:c>
      <x:c r="K57" s="17" t="str">
        <x:v>Causal court</x:v>
      </x:c>
      <x:c r="L57" s="9" t="n">
        <x:v>0</x:v>
      </x:c>
      <x:c r="M57" s="9" t="n">
        <x:v>0</x:v>
      </x:c>
      <x:c r="N57" s="9" t="str">
        <x:v>UNFILED / UNPROVEN</x:v>
      </x:c>
      <x:c r="O57" s="9" t="n">
        <x:f>COUNTIFS($A$7:$A$1302,A57)</x:f>
        <x:v>1</x:v>
      </x:c>
    </x:row>
    <x:row r="58">
      <x:c r="A58" s="9" t="str">
        <x:v>EV-AR-LF-B-A-TECH-4-B1-INT-G0-IV07</x:v>
      </x:c>
      <x:c r="B58" s="9" t="str">
        <x:v>EV-AR-LF-B-A-TECH-4-B1-INT-G0</x:v>
      </x:c>
      <x:c r="C58" s="9" t="str">
        <x:v>AR-LF-B-A-TECH-4-B1-INT-G0</x:v>
      </x:c>
      <x:c r="D58" s="9" t="str">
        <x:v>LF-B-A-TECH-4</x:v>
      </x:c>
      <x:c r="E58" s="9" t="str">
        <x:v>LF-B-A</x:v>
      </x:c>
      <x:c r="F58" s="9" t="str">
        <x:v>B1</x:v>
      </x:c>
      <x:c r="G58" s="9" t="str">
        <x:v>INT</x:v>
      </x:c>
      <x:c r="H58" s="9" t="str">
        <x:v>IV07</x:v>
      </x:c>
      <x:c r="I58" s="17" t="str">
        <x:v>No outcome selection</x:v>
      </x:c>
      <x:c r="J58" s="17" t="str">
        <x:v>petition rule and evidence scope were fixed before visibility</x:v>
      </x:c>
      <x:c r="K58" s="17" t="str">
        <x:v>Conflict registrar</x:v>
      </x:c>
      <x:c r="L58" s="9" t="n">
        <x:v>0</x:v>
      </x:c>
      <x:c r="M58" s="9" t="n">
        <x:v>0</x:v>
      </x:c>
      <x:c r="N58" s="9" t="str">
        <x:v>UNFILED / UNPROVEN</x:v>
      </x:c>
      <x:c r="O58" s="9" t="n">
        <x:f>COUNTIFS($A$7:$A$1302,A58)</x:f>
        <x:v>1</x:v>
      </x:c>
    </x:row>
    <x:row r="59">
      <x:c r="A59" s="9" t="str">
        <x:v>EV-AR-LF-B-A-TECH-4-B1-INT-G0-IV08</x:v>
      </x:c>
      <x:c r="B59" s="9" t="str">
        <x:v>EV-AR-LF-B-A-TECH-4-B1-INT-G0</x:v>
      </x:c>
      <x:c r="C59" s="9" t="str">
        <x:v>AR-LF-B-A-TECH-4-B1-INT-G0</x:v>
      </x:c>
      <x:c r="D59" s="9" t="str">
        <x:v>LF-B-A-TECH-4</x:v>
      </x:c>
      <x:c r="E59" s="9" t="str">
        <x:v>LF-B-A</x:v>
      </x:c>
      <x:c r="F59" s="9" t="str">
        <x:v>B1</x:v>
      </x:c>
      <x:c r="G59" s="9" t="str">
        <x:v>INT</x:v>
      </x:c>
      <x:c r="H59" s="9" t="str">
        <x:v>IV08</x:v>
      </x:c>
      <x:c r="I59" s="17" t="str">
        <x:v>Whole-record preservation</x:v>
      </x:c>
      <x:c r="J59" s="17" t="str">
        <x:v>start, raw behavior, dissent and intervention remain in archive</x:v>
      </x:c>
      <x:c r="K59" s="17" t="str">
        <x:v>Archive authority</x:v>
      </x:c>
      <x:c r="L59" s="9" t="n">
        <x:v>0</x:v>
      </x:c>
      <x:c r="M59" s="9" t="n">
        <x:v>0</x:v>
      </x:c>
      <x:c r="N59" s="9" t="str">
        <x:v>UNFILED / UNPROVEN</x:v>
      </x:c>
      <x:c r="O59" s="9" t="n">
        <x:f>COUNTIFS($A$7:$A$1302,A59)</x:f>
        <x:v>1</x:v>
      </x:c>
    </x:row>
    <x:row r="60">
      <x:c r="A60" s="9" t="str">
        <x:v>EV-AR-LF-B-A-TECH-4-B1-INT-G0-IV09</x:v>
      </x:c>
      <x:c r="B60" s="9" t="str">
        <x:v>EV-AR-LF-B-A-TECH-4-B1-INT-G0</x:v>
      </x:c>
      <x:c r="C60" s="9" t="str">
        <x:v>AR-LF-B-A-TECH-4-B1-INT-G0</x:v>
      </x:c>
      <x:c r="D60" s="9" t="str">
        <x:v>LF-B-A-TECH-4</x:v>
      </x:c>
      <x:c r="E60" s="9" t="str">
        <x:v>LF-B-A</x:v>
      </x:c>
      <x:c r="F60" s="9" t="str">
        <x:v>B1</x:v>
      </x:c>
      <x:c r="G60" s="9" t="str">
        <x:v>INT</x:v>
      </x:c>
      <x:c r="H60" s="9" t="str">
        <x:v>IV09</x:v>
      </x:c>
      <x:c r="I60" s="17" t="str">
        <x:v>Bounded remedy</x:v>
      </x:c>
      <x:c r="J60" s="17" t="str">
        <x:v>only a new slot and EOW may follow; no favorable credit or erased attempt</x:v>
      </x:c>
      <x:c r="K60" s="17" t="str">
        <x:v>Invalidity court</x:v>
      </x:c>
      <x:c r="L60" s="9" t="n">
        <x:v>0</x:v>
      </x:c>
      <x:c r="M60" s="9" t="n">
        <x:v>0</x:v>
      </x:c>
      <x:c r="N60" s="9" t="str">
        <x:v>UNFILED / UNPROVEN</x:v>
      </x:c>
      <x:c r="O60" s="9" t="n">
        <x:f>COUNTIFS($A$7:$A$1302,A60)</x:f>
        <x:v>1</x:v>
      </x:c>
    </x:row>
    <x:row r="61">
      <x:c r="A61" s="9" t="str">
        <x:v>EV-AR-ET-A-A-TECH-1-B1-INT-G0-IV01</x:v>
      </x:c>
      <x:c r="B61" s="9" t="str">
        <x:v>EV-AR-ET-A-A-TECH-1-B1-INT-G0</x:v>
      </x:c>
      <x:c r="C61" s="9" t="str">
        <x:v>AR-ET-A-A-TECH-1-B1-INT-G0</x:v>
      </x:c>
      <x:c r="D61" s="9" t="str">
        <x:v>ET-A-A-TECH-1</x:v>
      </x:c>
      <x:c r="E61" s="9" t="str">
        <x:v>ET-A-A</x:v>
      </x:c>
      <x:c r="F61" s="9" t="str">
        <x:v>B1</x:v>
      </x:c>
      <x:c r="G61" s="9" t="str">
        <x:v>INT</x:v>
      </x:c>
      <x:c r="H61" s="9" t="str">
        <x:v>IV01</x:v>
      </x:c>
      <x:c r="I61" s="17" t="str">
        <x:v>Timely petition</x:v>
      </x:c>
      <x:c r="J61" s="17" t="str">
        <x:v>petition enters within seventy-two hours of event close</x:v>
      </x:c>
      <x:c r="K61" s="17" t="str">
        <x:v>Invalidity registrar</x:v>
      </x:c>
      <x:c r="L61" s="9" t="n">
        <x:v>0</x:v>
      </x:c>
      <x:c r="M61" s="9" t="n">
        <x:v>0</x:v>
      </x:c>
      <x:c r="N61" s="9" t="str">
        <x:v>UNFILED / UNPROVEN</x:v>
      </x:c>
      <x:c r="O61" s="9" t="n">
        <x:f>COUNTIFS($A$7:$A$1302,A61)</x:f>
        <x:v>1</x:v>
      </x:c>
    </x:row>
    <x:row r="62">
      <x:c r="A62" s="9" t="str">
        <x:v>EV-AR-ET-A-A-TECH-1-B1-INT-G0-IV02</x:v>
      </x:c>
      <x:c r="B62" s="9" t="str">
        <x:v>EV-AR-ET-A-A-TECH-1-B1-INT-G0</x:v>
      </x:c>
      <x:c r="C62" s="9" t="str">
        <x:v>AR-ET-A-A-TECH-1-B1-INT-G0</x:v>
      </x:c>
      <x:c r="D62" s="9" t="str">
        <x:v>ET-A-A-TECH-1</x:v>
      </x:c>
      <x:c r="E62" s="9" t="str">
        <x:v>ET-A-A</x:v>
      </x:c>
      <x:c r="F62" s="9" t="str">
        <x:v>B1</x:v>
      </x:c>
      <x:c r="G62" s="9" t="str">
        <x:v>INT</x:v>
      </x:c>
      <x:c r="H62" s="9" t="str">
        <x:v>IV02</x:v>
      </x:c>
      <x:c r="I62" s="17" t="str">
        <x:v>Named facility cause</x:v>
      </x:c>
      <x:c r="J62" s="17" t="str">
        <x:v>one pre-registered noncandidate cause is identified</x:v>
      </x:c>
      <x:c r="K62" s="17" t="str">
        <x:v>Facility-cause court</x:v>
      </x:c>
      <x:c r="L62" s="9" t="n">
        <x:v>0</x:v>
      </x:c>
      <x:c r="M62" s="9" t="n">
        <x:v>0</x:v>
      </x:c>
      <x:c r="N62" s="9" t="str">
        <x:v>UNFILED / UNPROVEN</x:v>
      </x:c>
      <x:c r="O62" s="9" t="n">
        <x:f>COUNTIFS($A$7:$A$1302,A62)</x:f>
        <x:v>1</x:v>
      </x:c>
    </x:row>
    <x:row r="63">
      <x:c r="A63" s="9" t="str">
        <x:v>EV-AR-ET-A-A-TECH-1-B1-INT-G0-IV03</x:v>
      </x:c>
      <x:c r="B63" s="9" t="str">
        <x:v>EV-AR-ET-A-A-TECH-1-B1-INT-G0</x:v>
      </x:c>
      <x:c r="C63" s="9" t="str">
        <x:v>AR-ET-A-A-TECH-1-B1-INT-G0</x:v>
      </x:c>
      <x:c r="D63" s="9" t="str">
        <x:v>ET-A-A-TECH-1</x:v>
      </x:c>
      <x:c r="E63" s="9" t="str">
        <x:v>ET-A-A</x:v>
      </x:c>
      <x:c r="F63" s="9" t="str">
        <x:v>B1</x:v>
      </x:c>
      <x:c r="G63" s="9" t="str">
        <x:v>INT</x:v>
      </x:c>
      <x:c r="H63" s="9" t="str">
        <x:v>IV03</x:v>
      </x:c>
      <x:c r="I63" s="17" t="str">
        <x:v>Temporal priority</x:v>
      </x:c>
      <x:c r="J63" s="17" t="str">
        <x:v>cause demonstrably precedes the disputed candidate behavior</x:v>
      </x:c>
      <x:c r="K63" s="17" t="str">
        <x:v>Time authority</x:v>
      </x:c>
      <x:c r="L63" s="9" t="n">
        <x:v>0</x:v>
      </x:c>
      <x:c r="M63" s="9" t="n">
        <x:v>0</x:v>
      </x:c>
      <x:c r="N63" s="9" t="str">
        <x:v>UNFILED / UNPROVEN</x:v>
      </x:c>
      <x:c r="O63" s="9" t="n">
        <x:f>COUNTIFS($A$7:$A$1302,A63)</x:f>
        <x:v>1</x:v>
      </x:c>
    </x:row>
    <x:row r="64">
      <x:c r="A64" s="9" t="str">
        <x:v>EV-AR-ET-A-A-TECH-1-B1-INT-G0-IV04</x:v>
      </x:c>
      <x:c r="B64" s="9" t="str">
        <x:v>EV-AR-ET-A-A-TECH-1-B1-INT-G0</x:v>
      </x:c>
      <x:c r="C64" s="9" t="str">
        <x:v>AR-ET-A-A-TECH-1-B1-INT-G0</x:v>
      </x:c>
      <x:c r="D64" s="9" t="str">
        <x:v>ET-A-A-TECH-1</x:v>
      </x:c>
      <x:c r="E64" s="9" t="str">
        <x:v>ET-A-A</x:v>
      </x:c>
      <x:c r="F64" s="9" t="str">
        <x:v>B1</x:v>
      </x:c>
      <x:c r="G64" s="9" t="str">
        <x:v>INT</x:v>
      </x:c>
      <x:c r="H64" s="9" t="str">
        <x:v>IV04</x:v>
      </x:c>
      <x:c r="I64" s="17" t="str">
        <x:v>Independent trace</x:v>
      </x:c>
      <x:c r="J64" s="17" t="str">
        <x:v>two unlike records carry the cause without candidate custody</x:v>
      </x:c>
      <x:c r="K64" s="17" t="str">
        <x:v>Invalidity court</x:v>
      </x:c>
      <x:c r="L64" s="9" t="n">
        <x:v>0</x:v>
      </x:c>
      <x:c r="M64" s="9" t="n">
        <x:v>0</x:v>
      </x:c>
      <x:c r="N64" s="9" t="str">
        <x:v>UNFILED / UNPROVEN</x:v>
      </x:c>
      <x:c r="O64" s="9" t="n">
        <x:f>COUNTIFS($A$7:$A$1302,A64)</x:f>
        <x:v>1</x:v>
      </x:c>
    </x:row>
    <x:row r="65">
      <x:c r="A65" s="9" t="str">
        <x:v>EV-AR-ET-A-A-TECH-1-B1-INT-G0-IV05</x:v>
      </x:c>
      <x:c r="B65" s="9" t="str">
        <x:v>EV-AR-ET-A-A-TECH-1-B1-INT-G0</x:v>
      </x:c>
      <x:c r="C65" s="9" t="str">
        <x:v>AR-ET-A-A-TECH-1-B1-INT-G0</x:v>
      </x:c>
      <x:c r="D65" s="9" t="str">
        <x:v>ET-A-A-TECH-1</x:v>
      </x:c>
      <x:c r="E65" s="9" t="str">
        <x:v>ET-A-A</x:v>
      </x:c>
      <x:c r="F65" s="9" t="str">
        <x:v>B1</x:v>
      </x:c>
      <x:c r="G65" s="9" t="str">
        <x:v>INT</x:v>
      </x:c>
      <x:c r="H65" s="9" t="str">
        <x:v>IV05</x:v>
      </x:c>
      <x:c r="I65" s="17" t="str">
        <x:v>Causal counterfactual</x:v>
      </x:c>
      <x:c r="J65" s="17" t="str">
        <x:v>registered counterfactual shows the cause can create the defect</x:v>
      </x:c>
      <x:c r="K65" s="17" t="str">
        <x:v>Causal court</x:v>
      </x:c>
      <x:c r="L65" s="9" t="n">
        <x:v>0</x:v>
      </x:c>
      <x:c r="M65" s="9" t="n">
        <x:v>0</x:v>
      </x:c>
      <x:c r="N65" s="9" t="str">
        <x:v>UNFILED / UNPROVEN</x:v>
      </x:c>
      <x:c r="O65" s="9" t="n">
        <x:f>COUNTIFS($A$7:$A$1302,A65)</x:f>
        <x:v>1</x:v>
      </x:c>
    </x:row>
    <x:row r="66">
      <x:c r="A66" s="9" t="str">
        <x:v>EV-AR-ET-A-A-TECH-1-B1-INT-G0-IV06</x:v>
      </x:c>
      <x:c r="B66" s="9" t="str">
        <x:v>EV-AR-ET-A-A-TECH-1-B1-INT-G0</x:v>
      </x:c>
      <x:c r="C66" s="9" t="str">
        <x:v>AR-ET-A-A-TECH-1-B1-INT-G0</x:v>
      </x:c>
      <x:c r="D66" s="9" t="str">
        <x:v>ET-A-A-TECH-1</x:v>
      </x:c>
      <x:c r="E66" s="9" t="str">
        <x:v>ET-A-A</x:v>
      </x:c>
      <x:c r="F66" s="9" t="str">
        <x:v>B1</x:v>
      </x:c>
      <x:c r="G66" s="9" t="str">
        <x:v>INT</x:v>
      </x:c>
      <x:c r="H66" s="9" t="str">
        <x:v>IV06</x:v>
      </x:c>
      <x:c r="I66" s="17" t="str">
        <x:v>Candidate non-causation</x:v>
      </x:c>
      <x:c r="J66" s="17" t="str">
        <x:v>evidence excludes candidate induction of the facility condition</x:v>
      </x:c>
      <x:c r="K66" s="17" t="str">
        <x:v>Causal court</x:v>
      </x:c>
      <x:c r="L66" s="9" t="n">
        <x:v>0</x:v>
      </x:c>
      <x:c r="M66" s="9" t="n">
        <x:v>0</x:v>
      </x:c>
      <x:c r="N66" s="9" t="str">
        <x:v>UNFILED / UNPROVEN</x:v>
      </x:c>
      <x:c r="O66" s="9" t="n">
        <x:f>COUNTIFS($A$7:$A$1302,A66)</x:f>
        <x:v>1</x:v>
      </x:c>
    </x:row>
    <x:row r="67">
      <x:c r="A67" s="9" t="str">
        <x:v>EV-AR-ET-A-A-TECH-1-B1-INT-G0-IV07</x:v>
      </x:c>
      <x:c r="B67" s="9" t="str">
        <x:v>EV-AR-ET-A-A-TECH-1-B1-INT-G0</x:v>
      </x:c>
      <x:c r="C67" s="9" t="str">
        <x:v>AR-ET-A-A-TECH-1-B1-INT-G0</x:v>
      </x:c>
      <x:c r="D67" s="9" t="str">
        <x:v>ET-A-A-TECH-1</x:v>
      </x:c>
      <x:c r="E67" s="9" t="str">
        <x:v>ET-A-A</x:v>
      </x:c>
      <x:c r="F67" s="9" t="str">
        <x:v>B1</x:v>
      </x:c>
      <x:c r="G67" s="9" t="str">
        <x:v>INT</x:v>
      </x:c>
      <x:c r="H67" s="9" t="str">
        <x:v>IV07</x:v>
      </x:c>
      <x:c r="I67" s="17" t="str">
        <x:v>No outcome selection</x:v>
      </x:c>
      <x:c r="J67" s="17" t="str">
        <x:v>petition rule and evidence scope were fixed before visibility</x:v>
      </x:c>
      <x:c r="K67" s="17" t="str">
        <x:v>Conflict registrar</x:v>
      </x:c>
      <x:c r="L67" s="9" t="n">
        <x:v>0</x:v>
      </x:c>
      <x:c r="M67" s="9" t="n">
        <x:v>0</x:v>
      </x:c>
      <x:c r="N67" s="9" t="str">
        <x:v>UNFILED / UNPROVEN</x:v>
      </x:c>
      <x:c r="O67" s="9" t="n">
        <x:f>COUNTIFS($A$7:$A$1302,A67)</x:f>
        <x:v>1</x:v>
      </x:c>
    </x:row>
    <x:row r="68">
      <x:c r="A68" s="9" t="str">
        <x:v>EV-AR-ET-A-A-TECH-1-B1-INT-G0-IV08</x:v>
      </x:c>
      <x:c r="B68" s="9" t="str">
        <x:v>EV-AR-ET-A-A-TECH-1-B1-INT-G0</x:v>
      </x:c>
      <x:c r="C68" s="9" t="str">
        <x:v>AR-ET-A-A-TECH-1-B1-INT-G0</x:v>
      </x:c>
      <x:c r="D68" s="9" t="str">
        <x:v>ET-A-A-TECH-1</x:v>
      </x:c>
      <x:c r="E68" s="9" t="str">
        <x:v>ET-A-A</x:v>
      </x:c>
      <x:c r="F68" s="9" t="str">
        <x:v>B1</x:v>
      </x:c>
      <x:c r="G68" s="9" t="str">
        <x:v>INT</x:v>
      </x:c>
      <x:c r="H68" s="9" t="str">
        <x:v>IV08</x:v>
      </x:c>
      <x:c r="I68" s="17" t="str">
        <x:v>Whole-record preservation</x:v>
      </x:c>
      <x:c r="J68" s="17" t="str">
        <x:v>start, raw behavior, dissent and intervention remain in archive</x:v>
      </x:c>
      <x:c r="K68" s="17" t="str">
        <x:v>Archive authority</x:v>
      </x:c>
      <x:c r="L68" s="9" t="n">
        <x:v>0</x:v>
      </x:c>
      <x:c r="M68" s="9" t="n">
        <x:v>0</x:v>
      </x:c>
      <x:c r="N68" s="9" t="str">
        <x:v>UNFILED / UNPROVEN</x:v>
      </x:c>
      <x:c r="O68" s="9" t="n">
        <x:f>COUNTIFS($A$7:$A$1302,A68)</x:f>
        <x:v>1</x:v>
      </x:c>
    </x:row>
    <x:row r="69">
      <x:c r="A69" s="9" t="str">
        <x:v>EV-AR-ET-A-A-TECH-1-B1-INT-G0-IV09</x:v>
      </x:c>
      <x:c r="B69" s="9" t="str">
        <x:v>EV-AR-ET-A-A-TECH-1-B1-INT-G0</x:v>
      </x:c>
      <x:c r="C69" s="9" t="str">
        <x:v>AR-ET-A-A-TECH-1-B1-INT-G0</x:v>
      </x:c>
      <x:c r="D69" s="9" t="str">
        <x:v>ET-A-A-TECH-1</x:v>
      </x:c>
      <x:c r="E69" s="9" t="str">
        <x:v>ET-A-A</x:v>
      </x:c>
      <x:c r="F69" s="9" t="str">
        <x:v>B1</x:v>
      </x:c>
      <x:c r="G69" s="9" t="str">
        <x:v>INT</x:v>
      </x:c>
      <x:c r="H69" s="9" t="str">
        <x:v>IV09</x:v>
      </x:c>
      <x:c r="I69" s="17" t="str">
        <x:v>Bounded remedy</x:v>
      </x:c>
      <x:c r="J69" s="17" t="str">
        <x:v>only a new slot and EOW may follow; no favorable credit or erased attempt</x:v>
      </x:c>
      <x:c r="K69" s="17" t="str">
        <x:v>Invalidity court</x:v>
      </x:c>
      <x:c r="L69" s="9" t="n">
        <x:v>0</x:v>
      </x:c>
      <x:c r="M69" s="9" t="n">
        <x:v>0</x:v>
      </x:c>
      <x:c r="N69" s="9" t="str">
        <x:v>UNFILED / UNPROVEN</x:v>
      </x:c>
      <x:c r="O69" s="9" t="n">
        <x:f>COUNTIFS($A$7:$A$1302,A69)</x:f>
        <x:v>1</x:v>
      </x:c>
    </x:row>
    <x:row r="70">
      <x:c r="A70" s="9" t="str">
        <x:v>EV-AR-ET-A-A-TECH-2-B2-RCN-G0-IV01</x:v>
      </x:c>
      <x:c r="B70" s="9" t="str">
        <x:v>EV-AR-ET-A-A-TECH-2-B2-RCN-G0</x:v>
      </x:c>
      <x:c r="C70" s="9" t="str">
        <x:v>AR-ET-A-A-TECH-2-B2-RCN-G0</x:v>
      </x:c>
      <x:c r="D70" s="9" t="str">
        <x:v>ET-A-A-TECH-2</x:v>
      </x:c>
      <x:c r="E70" s="9" t="str">
        <x:v>ET-A-A</x:v>
      </x:c>
      <x:c r="F70" s="9" t="str">
        <x:v>B2</x:v>
      </x:c>
      <x:c r="G70" s="9" t="str">
        <x:v>RCN</x:v>
      </x:c>
      <x:c r="H70" s="9" t="str">
        <x:v>IV01</x:v>
      </x:c>
      <x:c r="I70" s="17" t="str">
        <x:v>Timely petition</x:v>
      </x:c>
      <x:c r="J70" s="17" t="str">
        <x:v>petition enters within seventy-two hours of event close</x:v>
      </x:c>
      <x:c r="K70" s="17" t="str">
        <x:v>Invalidity registrar</x:v>
      </x:c>
      <x:c r="L70" s="9" t="n">
        <x:v>0</x:v>
      </x:c>
      <x:c r="M70" s="9" t="n">
        <x:v>0</x:v>
      </x:c>
      <x:c r="N70" s="9" t="str">
        <x:v>UNFILED / UNPROVEN</x:v>
      </x:c>
      <x:c r="O70" s="9" t="n">
        <x:f>COUNTIFS($A$7:$A$1302,A70)</x:f>
        <x:v>1</x:v>
      </x:c>
    </x:row>
    <x:row r="71">
      <x:c r="A71" s="9" t="str">
        <x:v>EV-AR-ET-A-A-TECH-2-B2-RCN-G0-IV02</x:v>
      </x:c>
      <x:c r="B71" s="9" t="str">
        <x:v>EV-AR-ET-A-A-TECH-2-B2-RCN-G0</x:v>
      </x:c>
      <x:c r="C71" s="9" t="str">
        <x:v>AR-ET-A-A-TECH-2-B2-RCN-G0</x:v>
      </x:c>
      <x:c r="D71" s="9" t="str">
        <x:v>ET-A-A-TECH-2</x:v>
      </x:c>
      <x:c r="E71" s="9" t="str">
        <x:v>ET-A-A</x:v>
      </x:c>
      <x:c r="F71" s="9" t="str">
        <x:v>B2</x:v>
      </x:c>
      <x:c r="G71" s="9" t="str">
        <x:v>RCN</x:v>
      </x:c>
      <x:c r="H71" s="9" t="str">
        <x:v>IV02</x:v>
      </x:c>
      <x:c r="I71" s="17" t="str">
        <x:v>Named facility cause</x:v>
      </x:c>
      <x:c r="J71" s="17" t="str">
        <x:v>one pre-registered noncandidate cause is identified</x:v>
      </x:c>
      <x:c r="K71" s="17" t="str">
        <x:v>Facility-cause court</x:v>
      </x:c>
      <x:c r="L71" s="9" t="n">
        <x:v>0</x:v>
      </x:c>
      <x:c r="M71" s="9" t="n">
        <x:v>0</x:v>
      </x:c>
      <x:c r="N71" s="9" t="str">
        <x:v>UNFILED / UNPROVEN</x:v>
      </x:c>
      <x:c r="O71" s="9" t="n">
        <x:f>COUNTIFS($A$7:$A$1302,A71)</x:f>
        <x:v>1</x:v>
      </x:c>
    </x:row>
    <x:row r="72">
      <x:c r="A72" s="9" t="str">
        <x:v>EV-AR-ET-A-A-TECH-2-B2-RCN-G0-IV03</x:v>
      </x:c>
      <x:c r="B72" s="9" t="str">
        <x:v>EV-AR-ET-A-A-TECH-2-B2-RCN-G0</x:v>
      </x:c>
      <x:c r="C72" s="9" t="str">
        <x:v>AR-ET-A-A-TECH-2-B2-RCN-G0</x:v>
      </x:c>
      <x:c r="D72" s="9" t="str">
        <x:v>ET-A-A-TECH-2</x:v>
      </x:c>
      <x:c r="E72" s="9" t="str">
        <x:v>ET-A-A</x:v>
      </x:c>
      <x:c r="F72" s="9" t="str">
        <x:v>B2</x:v>
      </x:c>
      <x:c r="G72" s="9" t="str">
        <x:v>RCN</x:v>
      </x:c>
      <x:c r="H72" s="9" t="str">
        <x:v>IV03</x:v>
      </x:c>
      <x:c r="I72" s="17" t="str">
        <x:v>Temporal priority</x:v>
      </x:c>
      <x:c r="J72" s="17" t="str">
        <x:v>cause demonstrably precedes the disputed candidate behavior</x:v>
      </x:c>
      <x:c r="K72" s="17" t="str">
        <x:v>Time authority</x:v>
      </x:c>
      <x:c r="L72" s="9" t="n">
        <x:v>0</x:v>
      </x:c>
      <x:c r="M72" s="9" t="n">
        <x:v>0</x:v>
      </x:c>
      <x:c r="N72" s="9" t="str">
        <x:v>UNFILED / UNPROVEN</x:v>
      </x:c>
      <x:c r="O72" s="9" t="n">
        <x:f>COUNTIFS($A$7:$A$1302,A72)</x:f>
        <x:v>1</x:v>
      </x:c>
    </x:row>
    <x:row r="73">
      <x:c r="A73" s="9" t="str">
        <x:v>EV-AR-ET-A-A-TECH-2-B2-RCN-G0-IV04</x:v>
      </x:c>
      <x:c r="B73" s="9" t="str">
        <x:v>EV-AR-ET-A-A-TECH-2-B2-RCN-G0</x:v>
      </x:c>
      <x:c r="C73" s="9" t="str">
        <x:v>AR-ET-A-A-TECH-2-B2-RCN-G0</x:v>
      </x:c>
      <x:c r="D73" s="9" t="str">
        <x:v>ET-A-A-TECH-2</x:v>
      </x:c>
      <x:c r="E73" s="9" t="str">
        <x:v>ET-A-A</x:v>
      </x:c>
      <x:c r="F73" s="9" t="str">
        <x:v>B2</x:v>
      </x:c>
      <x:c r="G73" s="9" t="str">
        <x:v>RCN</x:v>
      </x:c>
      <x:c r="H73" s="9" t="str">
        <x:v>IV04</x:v>
      </x:c>
      <x:c r="I73" s="17" t="str">
        <x:v>Independent trace</x:v>
      </x:c>
      <x:c r="J73" s="17" t="str">
        <x:v>two unlike records carry the cause without candidate custody</x:v>
      </x:c>
      <x:c r="K73" s="17" t="str">
        <x:v>Invalidity court</x:v>
      </x:c>
      <x:c r="L73" s="9" t="n">
        <x:v>0</x:v>
      </x:c>
      <x:c r="M73" s="9" t="n">
        <x:v>0</x:v>
      </x:c>
      <x:c r="N73" s="9" t="str">
        <x:v>UNFILED / UNPROVEN</x:v>
      </x:c>
      <x:c r="O73" s="9" t="n">
        <x:f>COUNTIFS($A$7:$A$1302,A73)</x:f>
        <x:v>1</x:v>
      </x:c>
    </x:row>
    <x:row r="74">
      <x:c r="A74" s="9" t="str">
        <x:v>EV-AR-ET-A-A-TECH-2-B2-RCN-G0-IV05</x:v>
      </x:c>
      <x:c r="B74" s="9" t="str">
        <x:v>EV-AR-ET-A-A-TECH-2-B2-RCN-G0</x:v>
      </x:c>
      <x:c r="C74" s="9" t="str">
        <x:v>AR-ET-A-A-TECH-2-B2-RCN-G0</x:v>
      </x:c>
      <x:c r="D74" s="9" t="str">
        <x:v>ET-A-A-TECH-2</x:v>
      </x:c>
      <x:c r="E74" s="9" t="str">
        <x:v>ET-A-A</x:v>
      </x:c>
      <x:c r="F74" s="9" t="str">
        <x:v>B2</x:v>
      </x:c>
      <x:c r="G74" s="9" t="str">
        <x:v>RCN</x:v>
      </x:c>
      <x:c r="H74" s="9" t="str">
        <x:v>IV05</x:v>
      </x:c>
      <x:c r="I74" s="17" t="str">
        <x:v>Causal counterfactual</x:v>
      </x:c>
      <x:c r="J74" s="17" t="str">
        <x:v>registered counterfactual shows the cause can create the defect</x:v>
      </x:c>
      <x:c r="K74" s="17" t="str">
        <x:v>Causal court</x:v>
      </x:c>
      <x:c r="L74" s="9" t="n">
        <x:v>0</x:v>
      </x:c>
      <x:c r="M74" s="9" t="n">
        <x:v>0</x:v>
      </x:c>
      <x:c r="N74" s="9" t="str">
        <x:v>UNFILED / UNPROVEN</x:v>
      </x:c>
      <x:c r="O74" s="9" t="n">
        <x:f>COUNTIFS($A$7:$A$1302,A74)</x:f>
        <x:v>1</x:v>
      </x:c>
    </x:row>
    <x:row r="75">
      <x:c r="A75" s="9" t="str">
        <x:v>EV-AR-ET-A-A-TECH-2-B2-RCN-G0-IV06</x:v>
      </x:c>
      <x:c r="B75" s="9" t="str">
        <x:v>EV-AR-ET-A-A-TECH-2-B2-RCN-G0</x:v>
      </x:c>
      <x:c r="C75" s="9" t="str">
        <x:v>AR-ET-A-A-TECH-2-B2-RCN-G0</x:v>
      </x:c>
      <x:c r="D75" s="9" t="str">
        <x:v>ET-A-A-TECH-2</x:v>
      </x:c>
      <x:c r="E75" s="9" t="str">
        <x:v>ET-A-A</x:v>
      </x:c>
      <x:c r="F75" s="9" t="str">
        <x:v>B2</x:v>
      </x:c>
      <x:c r="G75" s="9" t="str">
        <x:v>RCN</x:v>
      </x:c>
      <x:c r="H75" s="9" t="str">
        <x:v>IV06</x:v>
      </x:c>
      <x:c r="I75" s="17" t="str">
        <x:v>Candidate non-causation</x:v>
      </x:c>
      <x:c r="J75" s="17" t="str">
        <x:v>evidence excludes candidate induction of the facility condition</x:v>
      </x:c>
      <x:c r="K75" s="17" t="str">
        <x:v>Causal court</x:v>
      </x:c>
      <x:c r="L75" s="9" t="n">
        <x:v>0</x:v>
      </x:c>
      <x:c r="M75" s="9" t="n">
        <x:v>0</x:v>
      </x:c>
      <x:c r="N75" s="9" t="str">
        <x:v>UNFILED / UNPROVEN</x:v>
      </x:c>
      <x:c r="O75" s="9" t="n">
        <x:f>COUNTIFS($A$7:$A$1302,A75)</x:f>
        <x:v>1</x:v>
      </x:c>
    </x:row>
    <x:row r="76">
      <x:c r="A76" s="9" t="str">
        <x:v>EV-AR-ET-A-A-TECH-2-B2-RCN-G0-IV07</x:v>
      </x:c>
      <x:c r="B76" s="9" t="str">
        <x:v>EV-AR-ET-A-A-TECH-2-B2-RCN-G0</x:v>
      </x:c>
      <x:c r="C76" s="9" t="str">
        <x:v>AR-ET-A-A-TECH-2-B2-RCN-G0</x:v>
      </x:c>
      <x:c r="D76" s="9" t="str">
        <x:v>ET-A-A-TECH-2</x:v>
      </x:c>
      <x:c r="E76" s="9" t="str">
        <x:v>ET-A-A</x:v>
      </x:c>
      <x:c r="F76" s="9" t="str">
        <x:v>B2</x:v>
      </x:c>
      <x:c r="G76" s="9" t="str">
        <x:v>RCN</x:v>
      </x:c>
      <x:c r="H76" s="9" t="str">
        <x:v>IV07</x:v>
      </x:c>
      <x:c r="I76" s="17" t="str">
        <x:v>No outcome selection</x:v>
      </x:c>
      <x:c r="J76" s="17" t="str">
        <x:v>petition rule and evidence scope were fixed before visibility</x:v>
      </x:c>
      <x:c r="K76" s="17" t="str">
        <x:v>Conflict registrar</x:v>
      </x:c>
      <x:c r="L76" s="9" t="n">
        <x:v>0</x:v>
      </x:c>
      <x:c r="M76" s="9" t="n">
        <x:v>0</x:v>
      </x:c>
      <x:c r="N76" s="9" t="str">
        <x:v>UNFILED / UNPROVEN</x:v>
      </x:c>
      <x:c r="O76" s="9" t="n">
        <x:f>COUNTIFS($A$7:$A$1302,A76)</x:f>
        <x:v>1</x:v>
      </x:c>
    </x:row>
    <x:row r="77">
      <x:c r="A77" s="9" t="str">
        <x:v>EV-AR-ET-A-A-TECH-2-B2-RCN-G0-IV08</x:v>
      </x:c>
      <x:c r="B77" s="9" t="str">
        <x:v>EV-AR-ET-A-A-TECH-2-B2-RCN-G0</x:v>
      </x:c>
      <x:c r="C77" s="9" t="str">
        <x:v>AR-ET-A-A-TECH-2-B2-RCN-G0</x:v>
      </x:c>
      <x:c r="D77" s="9" t="str">
        <x:v>ET-A-A-TECH-2</x:v>
      </x:c>
      <x:c r="E77" s="9" t="str">
        <x:v>ET-A-A</x:v>
      </x:c>
      <x:c r="F77" s="9" t="str">
        <x:v>B2</x:v>
      </x:c>
      <x:c r="G77" s="9" t="str">
        <x:v>RCN</x:v>
      </x:c>
      <x:c r="H77" s="9" t="str">
        <x:v>IV08</x:v>
      </x:c>
      <x:c r="I77" s="17" t="str">
        <x:v>Whole-record preservation</x:v>
      </x:c>
      <x:c r="J77" s="17" t="str">
        <x:v>start, raw behavior, dissent and intervention remain in archive</x:v>
      </x:c>
      <x:c r="K77" s="17" t="str">
        <x:v>Archive authority</x:v>
      </x:c>
      <x:c r="L77" s="9" t="n">
        <x:v>0</x:v>
      </x:c>
      <x:c r="M77" s="9" t="n">
        <x:v>0</x:v>
      </x:c>
      <x:c r="N77" s="9" t="str">
        <x:v>UNFILED / UNPROVEN</x:v>
      </x:c>
      <x:c r="O77" s="9" t="n">
        <x:f>COUNTIFS($A$7:$A$1302,A77)</x:f>
        <x:v>1</x:v>
      </x:c>
    </x:row>
    <x:row r="78">
      <x:c r="A78" s="9" t="str">
        <x:v>EV-AR-ET-A-A-TECH-2-B2-RCN-G0-IV09</x:v>
      </x:c>
      <x:c r="B78" s="9" t="str">
        <x:v>EV-AR-ET-A-A-TECH-2-B2-RCN-G0</x:v>
      </x:c>
      <x:c r="C78" s="9" t="str">
        <x:v>AR-ET-A-A-TECH-2-B2-RCN-G0</x:v>
      </x:c>
      <x:c r="D78" s="9" t="str">
        <x:v>ET-A-A-TECH-2</x:v>
      </x:c>
      <x:c r="E78" s="9" t="str">
        <x:v>ET-A-A</x:v>
      </x:c>
      <x:c r="F78" s="9" t="str">
        <x:v>B2</x:v>
      </x:c>
      <x:c r="G78" s="9" t="str">
        <x:v>RCN</x:v>
      </x:c>
      <x:c r="H78" s="9" t="str">
        <x:v>IV09</x:v>
      </x:c>
      <x:c r="I78" s="17" t="str">
        <x:v>Bounded remedy</x:v>
      </x:c>
      <x:c r="J78" s="17" t="str">
        <x:v>only a new slot and EOW may follow; no favorable credit or erased attempt</x:v>
      </x:c>
      <x:c r="K78" s="17" t="str">
        <x:v>Invalidity court</x:v>
      </x:c>
      <x:c r="L78" s="9" t="n">
        <x:v>0</x:v>
      </x:c>
      <x:c r="M78" s="9" t="n">
        <x:v>0</x:v>
      </x:c>
      <x:c r="N78" s="9" t="str">
        <x:v>UNFILED / UNPROVEN</x:v>
      </x:c>
      <x:c r="O78" s="9" t="n">
        <x:f>COUNTIFS($A$7:$A$1302,A78)</x:f>
        <x:v>1</x:v>
      </x:c>
    </x:row>
    <x:row r="79">
      <x:c r="A79" s="9" t="str">
        <x:v>EV-AR-HC-A-C-TECH-3-B1-BRK-G0-IV01</x:v>
      </x:c>
      <x:c r="B79" s="9" t="str">
        <x:v>EV-AR-HC-A-C-TECH-3-B1-BRK-G0</x:v>
      </x:c>
      <x:c r="C79" s="9" t="str">
        <x:v>AR-HC-A-C-TECH-3-B1-BRK-G0</x:v>
      </x:c>
      <x:c r="D79" s="9" t="str">
        <x:v>HC-A-C-TECH-3</x:v>
      </x:c>
      <x:c r="E79" s="9" t="str">
        <x:v>HC-A-C</x:v>
      </x:c>
      <x:c r="F79" s="9" t="str">
        <x:v>B1</x:v>
      </x:c>
      <x:c r="G79" s="9" t="str">
        <x:v>BRK</x:v>
      </x:c>
      <x:c r="H79" s="9" t="str">
        <x:v>IV01</x:v>
      </x:c>
      <x:c r="I79" s="17" t="str">
        <x:v>Timely petition</x:v>
      </x:c>
      <x:c r="J79" s="17" t="str">
        <x:v>petition enters within seventy-two hours of event close</x:v>
      </x:c>
      <x:c r="K79" s="17" t="str">
        <x:v>Invalidity registrar</x:v>
      </x:c>
      <x:c r="L79" s="9" t="n">
        <x:v>0</x:v>
      </x:c>
      <x:c r="M79" s="9" t="n">
        <x:v>0</x:v>
      </x:c>
      <x:c r="N79" s="9" t="str">
        <x:v>UNFILED / UNPROVEN</x:v>
      </x:c>
      <x:c r="O79" s="9" t="n">
        <x:f>COUNTIFS($A$7:$A$1302,A79)</x:f>
        <x:v>1</x:v>
      </x:c>
    </x:row>
    <x:row r="80">
      <x:c r="A80" s="9" t="str">
        <x:v>EV-AR-HC-A-C-TECH-3-B1-BRK-G0-IV02</x:v>
      </x:c>
      <x:c r="B80" s="9" t="str">
        <x:v>EV-AR-HC-A-C-TECH-3-B1-BRK-G0</x:v>
      </x:c>
      <x:c r="C80" s="9" t="str">
        <x:v>AR-HC-A-C-TECH-3-B1-BRK-G0</x:v>
      </x:c>
      <x:c r="D80" s="9" t="str">
        <x:v>HC-A-C-TECH-3</x:v>
      </x:c>
      <x:c r="E80" s="9" t="str">
        <x:v>HC-A-C</x:v>
      </x:c>
      <x:c r="F80" s="9" t="str">
        <x:v>B1</x:v>
      </x:c>
      <x:c r="G80" s="9" t="str">
        <x:v>BRK</x:v>
      </x:c>
      <x:c r="H80" s="9" t="str">
        <x:v>IV02</x:v>
      </x:c>
      <x:c r="I80" s="17" t="str">
        <x:v>Named facility cause</x:v>
      </x:c>
      <x:c r="J80" s="17" t="str">
        <x:v>one pre-registered noncandidate cause is identified</x:v>
      </x:c>
      <x:c r="K80" s="17" t="str">
        <x:v>Facility-cause court</x:v>
      </x:c>
      <x:c r="L80" s="9" t="n">
        <x:v>0</x:v>
      </x:c>
      <x:c r="M80" s="9" t="n">
        <x:v>0</x:v>
      </x:c>
      <x:c r="N80" s="9" t="str">
        <x:v>UNFILED / UNPROVEN</x:v>
      </x:c>
      <x:c r="O80" s="9" t="n">
        <x:f>COUNTIFS($A$7:$A$1302,A80)</x:f>
        <x:v>1</x:v>
      </x:c>
    </x:row>
    <x:row r="81">
      <x:c r="A81" s="9" t="str">
        <x:v>EV-AR-HC-A-C-TECH-3-B1-BRK-G0-IV03</x:v>
      </x:c>
      <x:c r="B81" s="9" t="str">
        <x:v>EV-AR-HC-A-C-TECH-3-B1-BRK-G0</x:v>
      </x:c>
      <x:c r="C81" s="9" t="str">
        <x:v>AR-HC-A-C-TECH-3-B1-BRK-G0</x:v>
      </x:c>
      <x:c r="D81" s="9" t="str">
        <x:v>HC-A-C-TECH-3</x:v>
      </x:c>
      <x:c r="E81" s="9" t="str">
        <x:v>HC-A-C</x:v>
      </x:c>
      <x:c r="F81" s="9" t="str">
        <x:v>B1</x:v>
      </x:c>
      <x:c r="G81" s="9" t="str">
        <x:v>BRK</x:v>
      </x:c>
      <x:c r="H81" s="9" t="str">
        <x:v>IV03</x:v>
      </x:c>
      <x:c r="I81" s="17" t="str">
        <x:v>Temporal priority</x:v>
      </x:c>
      <x:c r="J81" s="17" t="str">
        <x:v>cause demonstrably precedes the disputed candidate behavior</x:v>
      </x:c>
      <x:c r="K81" s="17" t="str">
        <x:v>Time authority</x:v>
      </x:c>
      <x:c r="L81" s="9" t="n">
        <x:v>0</x:v>
      </x:c>
      <x:c r="M81" s="9" t="n">
        <x:v>0</x:v>
      </x:c>
      <x:c r="N81" s="9" t="str">
        <x:v>UNFILED / UNPROVEN</x:v>
      </x:c>
      <x:c r="O81" s="9" t="n">
        <x:f>COUNTIFS($A$7:$A$1302,A81)</x:f>
        <x:v>1</x:v>
      </x:c>
    </x:row>
    <x:row r="82">
      <x:c r="A82" s="9" t="str">
        <x:v>EV-AR-HC-A-C-TECH-3-B1-BRK-G0-IV04</x:v>
      </x:c>
      <x:c r="B82" s="9" t="str">
        <x:v>EV-AR-HC-A-C-TECH-3-B1-BRK-G0</x:v>
      </x:c>
      <x:c r="C82" s="9" t="str">
        <x:v>AR-HC-A-C-TECH-3-B1-BRK-G0</x:v>
      </x:c>
      <x:c r="D82" s="9" t="str">
        <x:v>HC-A-C-TECH-3</x:v>
      </x:c>
      <x:c r="E82" s="9" t="str">
        <x:v>HC-A-C</x:v>
      </x:c>
      <x:c r="F82" s="9" t="str">
        <x:v>B1</x:v>
      </x:c>
      <x:c r="G82" s="9" t="str">
        <x:v>BRK</x:v>
      </x:c>
      <x:c r="H82" s="9" t="str">
        <x:v>IV04</x:v>
      </x:c>
      <x:c r="I82" s="17" t="str">
        <x:v>Independent trace</x:v>
      </x:c>
      <x:c r="J82" s="17" t="str">
        <x:v>two unlike records carry the cause without candidate custody</x:v>
      </x:c>
      <x:c r="K82" s="17" t="str">
        <x:v>Invalidity court</x:v>
      </x:c>
      <x:c r="L82" s="9" t="n">
        <x:v>0</x:v>
      </x:c>
      <x:c r="M82" s="9" t="n">
        <x:v>0</x:v>
      </x:c>
      <x:c r="N82" s="9" t="str">
        <x:v>UNFILED / UNPROVEN</x:v>
      </x:c>
      <x:c r="O82" s="9" t="n">
        <x:f>COUNTIFS($A$7:$A$1302,A82)</x:f>
        <x:v>1</x:v>
      </x:c>
    </x:row>
    <x:row r="83">
      <x:c r="A83" s="9" t="str">
        <x:v>EV-AR-HC-A-C-TECH-3-B1-BRK-G0-IV05</x:v>
      </x:c>
      <x:c r="B83" s="9" t="str">
        <x:v>EV-AR-HC-A-C-TECH-3-B1-BRK-G0</x:v>
      </x:c>
      <x:c r="C83" s="9" t="str">
        <x:v>AR-HC-A-C-TECH-3-B1-BRK-G0</x:v>
      </x:c>
      <x:c r="D83" s="9" t="str">
        <x:v>HC-A-C-TECH-3</x:v>
      </x:c>
      <x:c r="E83" s="9" t="str">
        <x:v>HC-A-C</x:v>
      </x:c>
      <x:c r="F83" s="9" t="str">
        <x:v>B1</x:v>
      </x:c>
      <x:c r="G83" s="9" t="str">
        <x:v>BRK</x:v>
      </x:c>
      <x:c r="H83" s="9" t="str">
        <x:v>IV05</x:v>
      </x:c>
      <x:c r="I83" s="17" t="str">
        <x:v>Causal counterfactual</x:v>
      </x:c>
      <x:c r="J83" s="17" t="str">
        <x:v>registered counterfactual shows the cause can create the defect</x:v>
      </x:c>
      <x:c r="K83" s="17" t="str">
        <x:v>Causal court</x:v>
      </x:c>
      <x:c r="L83" s="9" t="n">
        <x:v>0</x:v>
      </x:c>
      <x:c r="M83" s="9" t="n">
        <x:v>0</x:v>
      </x:c>
      <x:c r="N83" s="9" t="str">
        <x:v>UNFILED / UNPROVEN</x:v>
      </x:c>
      <x:c r="O83" s="9" t="n">
        <x:f>COUNTIFS($A$7:$A$1302,A83)</x:f>
        <x:v>1</x:v>
      </x:c>
    </x:row>
    <x:row r="84">
      <x:c r="A84" s="9" t="str">
        <x:v>EV-AR-HC-A-C-TECH-3-B1-BRK-G0-IV06</x:v>
      </x:c>
      <x:c r="B84" s="9" t="str">
        <x:v>EV-AR-HC-A-C-TECH-3-B1-BRK-G0</x:v>
      </x:c>
      <x:c r="C84" s="9" t="str">
        <x:v>AR-HC-A-C-TECH-3-B1-BRK-G0</x:v>
      </x:c>
      <x:c r="D84" s="9" t="str">
        <x:v>HC-A-C-TECH-3</x:v>
      </x:c>
      <x:c r="E84" s="9" t="str">
        <x:v>HC-A-C</x:v>
      </x:c>
      <x:c r="F84" s="9" t="str">
        <x:v>B1</x:v>
      </x:c>
      <x:c r="G84" s="9" t="str">
        <x:v>BRK</x:v>
      </x:c>
      <x:c r="H84" s="9" t="str">
        <x:v>IV06</x:v>
      </x:c>
      <x:c r="I84" s="17" t="str">
        <x:v>Candidate non-causation</x:v>
      </x:c>
      <x:c r="J84" s="17" t="str">
        <x:v>evidence excludes candidate induction of the facility condition</x:v>
      </x:c>
      <x:c r="K84" s="17" t="str">
        <x:v>Causal court</x:v>
      </x:c>
      <x:c r="L84" s="9" t="n">
        <x:v>0</x:v>
      </x:c>
      <x:c r="M84" s="9" t="n">
        <x:v>0</x:v>
      </x:c>
      <x:c r="N84" s="9" t="str">
        <x:v>UNFILED / UNPROVEN</x:v>
      </x:c>
      <x:c r="O84" s="9" t="n">
        <x:f>COUNTIFS($A$7:$A$1302,A84)</x:f>
        <x:v>1</x:v>
      </x:c>
    </x:row>
    <x:row r="85">
      <x:c r="A85" s="9" t="str">
        <x:v>EV-AR-HC-A-C-TECH-3-B1-BRK-G0-IV07</x:v>
      </x:c>
      <x:c r="B85" s="9" t="str">
        <x:v>EV-AR-HC-A-C-TECH-3-B1-BRK-G0</x:v>
      </x:c>
      <x:c r="C85" s="9" t="str">
        <x:v>AR-HC-A-C-TECH-3-B1-BRK-G0</x:v>
      </x:c>
      <x:c r="D85" s="9" t="str">
        <x:v>HC-A-C-TECH-3</x:v>
      </x:c>
      <x:c r="E85" s="9" t="str">
        <x:v>HC-A-C</x:v>
      </x:c>
      <x:c r="F85" s="9" t="str">
        <x:v>B1</x:v>
      </x:c>
      <x:c r="G85" s="9" t="str">
        <x:v>BRK</x:v>
      </x:c>
      <x:c r="H85" s="9" t="str">
        <x:v>IV07</x:v>
      </x:c>
      <x:c r="I85" s="17" t="str">
        <x:v>No outcome selection</x:v>
      </x:c>
      <x:c r="J85" s="17" t="str">
        <x:v>petition rule and evidence scope were fixed before visibility</x:v>
      </x:c>
      <x:c r="K85" s="17" t="str">
        <x:v>Conflict registrar</x:v>
      </x:c>
      <x:c r="L85" s="9" t="n">
        <x:v>0</x:v>
      </x:c>
      <x:c r="M85" s="9" t="n">
        <x:v>0</x:v>
      </x:c>
      <x:c r="N85" s="9" t="str">
        <x:v>UNFILED / UNPROVEN</x:v>
      </x:c>
      <x:c r="O85" s="9" t="n">
        <x:f>COUNTIFS($A$7:$A$1302,A85)</x:f>
        <x:v>1</x:v>
      </x:c>
    </x:row>
    <x:row r="86">
      <x:c r="A86" s="9" t="str">
        <x:v>EV-AR-HC-A-C-TECH-3-B1-BRK-G0-IV08</x:v>
      </x:c>
      <x:c r="B86" s="9" t="str">
        <x:v>EV-AR-HC-A-C-TECH-3-B1-BRK-G0</x:v>
      </x:c>
      <x:c r="C86" s="9" t="str">
        <x:v>AR-HC-A-C-TECH-3-B1-BRK-G0</x:v>
      </x:c>
      <x:c r="D86" s="9" t="str">
        <x:v>HC-A-C-TECH-3</x:v>
      </x:c>
      <x:c r="E86" s="9" t="str">
        <x:v>HC-A-C</x:v>
      </x:c>
      <x:c r="F86" s="9" t="str">
        <x:v>B1</x:v>
      </x:c>
      <x:c r="G86" s="9" t="str">
        <x:v>BRK</x:v>
      </x:c>
      <x:c r="H86" s="9" t="str">
        <x:v>IV08</x:v>
      </x:c>
      <x:c r="I86" s="17" t="str">
        <x:v>Whole-record preservation</x:v>
      </x:c>
      <x:c r="J86" s="17" t="str">
        <x:v>start, raw behavior, dissent and intervention remain in archive</x:v>
      </x:c>
      <x:c r="K86" s="17" t="str">
        <x:v>Archive authority</x:v>
      </x:c>
      <x:c r="L86" s="9" t="n">
        <x:v>0</x:v>
      </x:c>
      <x:c r="M86" s="9" t="n">
        <x:v>0</x:v>
      </x:c>
      <x:c r="N86" s="9" t="str">
        <x:v>UNFILED / UNPROVEN</x:v>
      </x:c>
      <x:c r="O86" s="9" t="n">
        <x:f>COUNTIFS($A$7:$A$1302,A86)</x:f>
        <x:v>1</x:v>
      </x:c>
    </x:row>
    <x:row r="87">
      <x:c r="A87" s="9" t="str">
        <x:v>EV-AR-HC-A-C-TECH-3-B1-BRK-G0-IV09</x:v>
      </x:c>
      <x:c r="B87" s="9" t="str">
        <x:v>EV-AR-HC-A-C-TECH-3-B1-BRK-G0</x:v>
      </x:c>
      <x:c r="C87" s="9" t="str">
        <x:v>AR-HC-A-C-TECH-3-B1-BRK-G0</x:v>
      </x:c>
      <x:c r="D87" s="9" t="str">
        <x:v>HC-A-C-TECH-3</x:v>
      </x:c>
      <x:c r="E87" s="9" t="str">
        <x:v>HC-A-C</x:v>
      </x:c>
      <x:c r="F87" s="9" t="str">
        <x:v>B1</x:v>
      </x:c>
      <x:c r="G87" s="9" t="str">
        <x:v>BRK</x:v>
      </x:c>
      <x:c r="H87" s="9" t="str">
        <x:v>IV09</x:v>
      </x:c>
      <x:c r="I87" s="17" t="str">
        <x:v>Bounded remedy</x:v>
      </x:c>
      <x:c r="J87" s="17" t="str">
        <x:v>only a new slot and EOW may follow; no favorable credit or erased attempt</x:v>
      </x:c>
      <x:c r="K87" s="17" t="str">
        <x:v>Invalidity court</x:v>
      </x:c>
      <x:c r="L87" s="9" t="n">
        <x:v>0</x:v>
      </x:c>
      <x:c r="M87" s="9" t="n">
        <x:v>0</x:v>
      </x:c>
      <x:c r="N87" s="9" t="str">
        <x:v>UNFILED / UNPROVEN</x:v>
      </x:c>
      <x:c r="O87" s="9" t="n">
        <x:f>COUNTIFS($A$7:$A$1302,A87)</x:f>
        <x:v>1</x:v>
      </x:c>
    </x:row>
    <x:row r="88">
      <x:c r="A88" s="9" t="str">
        <x:v>EV-AR-HU-A-B-TECH-3-B1-INT-G0-IV01</x:v>
      </x:c>
      <x:c r="B88" s="9" t="str">
        <x:v>EV-AR-HU-A-B-TECH-3-B1-INT-G0</x:v>
      </x:c>
      <x:c r="C88" s="9" t="str">
        <x:v>AR-HU-A-B-TECH-3-B1-INT-G0</x:v>
      </x:c>
      <x:c r="D88" s="9" t="str">
        <x:v>HU-A-B-TECH-3</x:v>
      </x:c>
      <x:c r="E88" s="9" t="str">
        <x:v>HU-A-B</x:v>
      </x:c>
      <x:c r="F88" s="9" t="str">
        <x:v>B1</x:v>
      </x:c>
      <x:c r="G88" s="9" t="str">
        <x:v>INT</x:v>
      </x:c>
      <x:c r="H88" s="9" t="str">
        <x:v>IV01</x:v>
      </x:c>
      <x:c r="I88" s="17" t="str">
        <x:v>Timely petition</x:v>
      </x:c>
      <x:c r="J88" s="17" t="str">
        <x:v>petition enters within seventy-two hours of event close</x:v>
      </x:c>
      <x:c r="K88" s="17" t="str">
        <x:v>Invalidity registrar</x:v>
      </x:c>
      <x:c r="L88" s="9" t="n">
        <x:v>0</x:v>
      </x:c>
      <x:c r="M88" s="9" t="n">
        <x:v>0</x:v>
      </x:c>
      <x:c r="N88" s="9" t="str">
        <x:v>UNFILED / UNPROVEN</x:v>
      </x:c>
      <x:c r="O88" s="9" t="n">
        <x:f>COUNTIFS($A$7:$A$1302,A88)</x:f>
        <x:v>1</x:v>
      </x:c>
    </x:row>
    <x:row r="89">
      <x:c r="A89" s="9" t="str">
        <x:v>EV-AR-HU-A-B-TECH-3-B1-INT-G0-IV02</x:v>
      </x:c>
      <x:c r="B89" s="9" t="str">
        <x:v>EV-AR-HU-A-B-TECH-3-B1-INT-G0</x:v>
      </x:c>
      <x:c r="C89" s="9" t="str">
        <x:v>AR-HU-A-B-TECH-3-B1-INT-G0</x:v>
      </x:c>
      <x:c r="D89" s="9" t="str">
        <x:v>HU-A-B-TECH-3</x:v>
      </x:c>
      <x:c r="E89" s="9" t="str">
        <x:v>HU-A-B</x:v>
      </x:c>
      <x:c r="F89" s="9" t="str">
        <x:v>B1</x:v>
      </x:c>
      <x:c r="G89" s="9" t="str">
        <x:v>INT</x:v>
      </x:c>
      <x:c r="H89" s="9" t="str">
        <x:v>IV02</x:v>
      </x:c>
      <x:c r="I89" s="17" t="str">
        <x:v>Named facility cause</x:v>
      </x:c>
      <x:c r="J89" s="17" t="str">
        <x:v>one pre-registered noncandidate cause is identified</x:v>
      </x:c>
      <x:c r="K89" s="17" t="str">
        <x:v>Facility-cause court</x:v>
      </x:c>
      <x:c r="L89" s="9" t="n">
        <x:v>0</x:v>
      </x:c>
      <x:c r="M89" s="9" t="n">
        <x:v>0</x:v>
      </x:c>
      <x:c r="N89" s="9" t="str">
        <x:v>UNFILED / UNPROVEN</x:v>
      </x:c>
      <x:c r="O89" s="9" t="n">
        <x:f>COUNTIFS($A$7:$A$1302,A89)</x:f>
        <x:v>1</x:v>
      </x:c>
    </x:row>
    <x:row r="90">
      <x:c r="A90" s="9" t="str">
        <x:v>EV-AR-HU-A-B-TECH-3-B1-INT-G0-IV03</x:v>
      </x:c>
      <x:c r="B90" s="9" t="str">
        <x:v>EV-AR-HU-A-B-TECH-3-B1-INT-G0</x:v>
      </x:c>
      <x:c r="C90" s="9" t="str">
        <x:v>AR-HU-A-B-TECH-3-B1-INT-G0</x:v>
      </x:c>
      <x:c r="D90" s="9" t="str">
        <x:v>HU-A-B-TECH-3</x:v>
      </x:c>
      <x:c r="E90" s="9" t="str">
        <x:v>HU-A-B</x:v>
      </x:c>
      <x:c r="F90" s="9" t="str">
        <x:v>B1</x:v>
      </x:c>
      <x:c r="G90" s="9" t="str">
        <x:v>INT</x:v>
      </x:c>
      <x:c r="H90" s="9" t="str">
        <x:v>IV03</x:v>
      </x:c>
      <x:c r="I90" s="17" t="str">
        <x:v>Temporal priority</x:v>
      </x:c>
      <x:c r="J90" s="17" t="str">
        <x:v>cause demonstrably precedes the disputed candidate behavior</x:v>
      </x:c>
      <x:c r="K90" s="17" t="str">
        <x:v>Time authority</x:v>
      </x:c>
      <x:c r="L90" s="9" t="n">
        <x:v>0</x:v>
      </x:c>
      <x:c r="M90" s="9" t="n">
        <x:v>0</x:v>
      </x:c>
      <x:c r="N90" s="9" t="str">
        <x:v>UNFILED / UNPROVEN</x:v>
      </x:c>
      <x:c r="O90" s="9" t="n">
        <x:f>COUNTIFS($A$7:$A$1302,A90)</x:f>
        <x:v>1</x:v>
      </x:c>
    </x:row>
    <x:row r="91">
      <x:c r="A91" s="9" t="str">
        <x:v>EV-AR-HU-A-B-TECH-3-B1-INT-G0-IV04</x:v>
      </x:c>
      <x:c r="B91" s="9" t="str">
        <x:v>EV-AR-HU-A-B-TECH-3-B1-INT-G0</x:v>
      </x:c>
      <x:c r="C91" s="9" t="str">
        <x:v>AR-HU-A-B-TECH-3-B1-INT-G0</x:v>
      </x:c>
      <x:c r="D91" s="9" t="str">
        <x:v>HU-A-B-TECH-3</x:v>
      </x:c>
      <x:c r="E91" s="9" t="str">
        <x:v>HU-A-B</x:v>
      </x:c>
      <x:c r="F91" s="9" t="str">
        <x:v>B1</x:v>
      </x:c>
      <x:c r="G91" s="9" t="str">
        <x:v>INT</x:v>
      </x:c>
      <x:c r="H91" s="9" t="str">
        <x:v>IV04</x:v>
      </x:c>
      <x:c r="I91" s="17" t="str">
        <x:v>Independent trace</x:v>
      </x:c>
      <x:c r="J91" s="17" t="str">
        <x:v>two unlike records carry the cause without candidate custody</x:v>
      </x:c>
      <x:c r="K91" s="17" t="str">
        <x:v>Invalidity court</x:v>
      </x:c>
      <x:c r="L91" s="9" t="n">
        <x:v>0</x:v>
      </x:c>
      <x:c r="M91" s="9" t="n">
        <x:v>0</x:v>
      </x:c>
      <x:c r="N91" s="9" t="str">
        <x:v>UNFILED / UNPROVEN</x:v>
      </x:c>
      <x:c r="O91" s="9" t="n">
        <x:f>COUNTIFS($A$7:$A$1302,A91)</x:f>
        <x:v>1</x:v>
      </x:c>
    </x:row>
    <x:row r="92">
      <x:c r="A92" s="9" t="str">
        <x:v>EV-AR-HU-A-B-TECH-3-B1-INT-G0-IV05</x:v>
      </x:c>
      <x:c r="B92" s="9" t="str">
        <x:v>EV-AR-HU-A-B-TECH-3-B1-INT-G0</x:v>
      </x:c>
      <x:c r="C92" s="9" t="str">
        <x:v>AR-HU-A-B-TECH-3-B1-INT-G0</x:v>
      </x:c>
      <x:c r="D92" s="9" t="str">
        <x:v>HU-A-B-TECH-3</x:v>
      </x:c>
      <x:c r="E92" s="9" t="str">
        <x:v>HU-A-B</x:v>
      </x:c>
      <x:c r="F92" s="9" t="str">
        <x:v>B1</x:v>
      </x:c>
      <x:c r="G92" s="9" t="str">
        <x:v>INT</x:v>
      </x:c>
      <x:c r="H92" s="9" t="str">
        <x:v>IV05</x:v>
      </x:c>
      <x:c r="I92" s="17" t="str">
        <x:v>Causal counterfactual</x:v>
      </x:c>
      <x:c r="J92" s="17" t="str">
        <x:v>registered counterfactual shows the cause can create the defect</x:v>
      </x:c>
      <x:c r="K92" s="17" t="str">
        <x:v>Causal court</x:v>
      </x:c>
      <x:c r="L92" s="9" t="n">
        <x:v>0</x:v>
      </x:c>
      <x:c r="M92" s="9" t="n">
        <x:v>0</x:v>
      </x:c>
      <x:c r="N92" s="9" t="str">
        <x:v>UNFILED / UNPROVEN</x:v>
      </x:c>
      <x:c r="O92" s="9" t="n">
        <x:f>COUNTIFS($A$7:$A$1302,A92)</x:f>
        <x:v>1</x:v>
      </x:c>
    </x:row>
    <x:row r="93">
      <x:c r="A93" s="9" t="str">
        <x:v>EV-AR-HU-A-B-TECH-3-B1-INT-G0-IV06</x:v>
      </x:c>
      <x:c r="B93" s="9" t="str">
        <x:v>EV-AR-HU-A-B-TECH-3-B1-INT-G0</x:v>
      </x:c>
      <x:c r="C93" s="9" t="str">
        <x:v>AR-HU-A-B-TECH-3-B1-INT-G0</x:v>
      </x:c>
      <x:c r="D93" s="9" t="str">
        <x:v>HU-A-B-TECH-3</x:v>
      </x:c>
      <x:c r="E93" s="9" t="str">
        <x:v>HU-A-B</x:v>
      </x:c>
      <x:c r="F93" s="9" t="str">
        <x:v>B1</x:v>
      </x:c>
      <x:c r="G93" s="9" t="str">
        <x:v>INT</x:v>
      </x:c>
      <x:c r="H93" s="9" t="str">
        <x:v>IV06</x:v>
      </x:c>
      <x:c r="I93" s="17" t="str">
        <x:v>Candidate non-causation</x:v>
      </x:c>
      <x:c r="J93" s="17" t="str">
        <x:v>evidence excludes candidate induction of the facility condition</x:v>
      </x:c>
      <x:c r="K93" s="17" t="str">
        <x:v>Causal court</x:v>
      </x:c>
      <x:c r="L93" s="9" t="n">
        <x:v>0</x:v>
      </x:c>
      <x:c r="M93" s="9" t="n">
        <x:v>0</x:v>
      </x:c>
      <x:c r="N93" s="9" t="str">
        <x:v>UNFILED / UNPROVEN</x:v>
      </x:c>
      <x:c r="O93" s="9" t="n">
        <x:f>COUNTIFS($A$7:$A$1302,A93)</x:f>
        <x:v>1</x:v>
      </x:c>
    </x:row>
    <x:row r="94">
      <x:c r="A94" s="9" t="str">
        <x:v>EV-AR-HU-A-B-TECH-3-B1-INT-G0-IV07</x:v>
      </x:c>
      <x:c r="B94" s="9" t="str">
        <x:v>EV-AR-HU-A-B-TECH-3-B1-INT-G0</x:v>
      </x:c>
      <x:c r="C94" s="9" t="str">
        <x:v>AR-HU-A-B-TECH-3-B1-INT-G0</x:v>
      </x:c>
      <x:c r="D94" s="9" t="str">
        <x:v>HU-A-B-TECH-3</x:v>
      </x:c>
      <x:c r="E94" s="9" t="str">
        <x:v>HU-A-B</x:v>
      </x:c>
      <x:c r="F94" s="9" t="str">
        <x:v>B1</x:v>
      </x:c>
      <x:c r="G94" s="9" t="str">
        <x:v>INT</x:v>
      </x:c>
      <x:c r="H94" s="9" t="str">
        <x:v>IV07</x:v>
      </x:c>
      <x:c r="I94" s="17" t="str">
        <x:v>No outcome selection</x:v>
      </x:c>
      <x:c r="J94" s="17" t="str">
        <x:v>petition rule and evidence scope were fixed before visibility</x:v>
      </x:c>
      <x:c r="K94" s="17" t="str">
        <x:v>Conflict registrar</x:v>
      </x:c>
      <x:c r="L94" s="9" t="n">
        <x:v>0</x:v>
      </x:c>
      <x:c r="M94" s="9" t="n">
        <x:v>0</x:v>
      </x:c>
      <x:c r="N94" s="9" t="str">
        <x:v>UNFILED / UNPROVEN</x:v>
      </x:c>
      <x:c r="O94" s="9" t="n">
        <x:f>COUNTIFS($A$7:$A$1302,A94)</x:f>
        <x:v>1</x:v>
      </x:c>
    </x:row>
    <x:row r="95">
      <x:c r="A95" s="9" t="str">
        <x:v>EV-AR-HU-A-B-TECH-3-B1-INT-G0-IV08</x:v>
      </x:c>
      <x:c r="B95" s="9" t="str">
        <x:v>EV-AR-HU-A-B-TECH-3-B1-INT-G0</x:v>
      </x:c>
      <x:c r="C95" s="9" t="str">
        <x:v>AR-HU-A-B-TECH-3-B1-INT-G0</x:v>
      </x:c>
      <x:c r="D95" s="9" t="str">
        <x:v>HU-A-B-TECH-3</x:v>
      </x:c>
      <x:c r="E95" s="9" t="str">
        <x:v>HU-A-B</x:v>
      </x:c>
      <x:c r="F95" s="9" t="str">
        <x:v>B1</x:v>
      </x:c>
      <x:c r="G95" s="9" t="str">
        <x:v>INT</x:v>
      </x:c>
      <x:c r="H95" s="9" t="str">
        <x:v>IV08</x:v>
      </x:c>
      <x:c r="I95" s="17" t="str">
        <x:v>Whole-record preservation</x:v>
      </x:c>
      <x:c r="J95" s="17" t="str">
        <x:v>start, raw behavior, dissent and intervention remain in archive</x:v>
      </x:c>
      <x:c r="K95" s="17" t="str">
        <x:v>Archive authority</x:v>
      </x:c>
      <x:c r="L95" s="9" t="n">
        <x:v>0</x:v>
      </x:c>
      <x:c r="M95" s="9" t="n">
        <x:v>0</x:v>
      </x:c>
      <x:c r="N95" s="9" t="str">
        <x:v>UNFILED / UNPROVEN</x:v>
      </x:c>
      <x:c r="O95" s="9" t="n">
        <x:f>COUNTIFS($A$7:$A$1302,A95)</x:f>
        <x:v>1</x:v>
      </x:c>
    </x:row>
    <x:row r="96">
      <x:c r="A96" s="9" t="str">
        <x:v>EV-AR-HU-A-B-TECH-3-B1-INT-G0-IV09</x:v>
      </x:c>
      <x:c r="B96" s="9" t="str">
        <x:v>EV-AR-HU-A-B-TECH-3-B1-INT-G0</x:v>
      </x:c>
      <x:c r="C96" s="9" t="str">
        <x:v>AR-HU-A-B-TECH-3-B1-INT-G0</x:v>
      </x:c>
      <x:c r="D96" s="9" t="str">
        <x:v>HU-A-B-TECH-3</x:v>
      </x:c>
      <x:c r="E96" s="9" t="str">
        <x:v>HU-A-B</x:v>
      </x:c>
      <x:c r="F96" s="9" t="str">
        <x:v>B1</x:v>
      </x:c>
      <x:c r="G96" s="9" t="str">
        <x:v>INT</x:v>
      </x:c>
      <x:c r="H96" s="9" t="str">
        <x:v>IV09</x:v>
      </x:c>
      <x:c r="I96" s="17" t="str">
        <x:v>Bounded remedy</x:v>
      </x:c>
      <x:c r="J96" s="17" t="str">
        <x:v>only a new slot and EOW may follow; no favorable credit or erased attempt</x:v>
      </x:c>
      <x:c r="K96" s="17" t="str">
        <x:v>Invalidity court</x:v>
      </x:c>
      <x:c r="L96" s="9" t="n">
        <x:v>0</x:v>
      </x:c>
      <x:c r="M96" s="9" t="n">
        <x:v>0</x:v>
      </x:c>
      <x:c r="N96" s="9" t="str">
        <x:v>UNFILED / UNPROVEN</x:v>
      </x:c>
      <x:c r="O96" s="9" t="n">
        <x:f>COUNTIFS($A$7:$A$1302,A96)</x:f>
        <x:v>1</x:v>
      </x:c>
    </x:row>
    <x:row r="97">
      <x:c r="A97" s="9" t="str">
        <x:v>EV-AR-LF-B-A-TECH-1-B2-BRK-G0-IV01</x:v>
      </x:c>
      <x:c r="B97" s="9" t="str">
        <x:v>EV-AR-LF-B-A-TECH-1-B2-BRK-G0</x:v>
      </x:c>
      <x:c r="C97" s="9" t="str">
        <x:v>AR-LF-B-A-TECH-1-B2-BRK-G0</x:v>
      </x:c>
      <x:c r="D97" s="9" t="str">
        <x:v>LF-B-A-TECH-1</x:v>
      </x:c>
      <x:c r="E97" s="9" t="str">
        <x:v>LF-B-A</x:v>
      </x:c>
      <x:c r="F97" s="9" t="str">
        <x:v>B2</x:v>
      </x:c>
      <x:c r="G97" s="9" t="str">
        <x:v>BRK</x:v>
      </x:c>
      <x:c r="H97" s="9" t="str">
        <x:v>IV01</x:v>
      </x:c>
      <x:c r="I97" s="17" t="str">
        <x:v>Timely petition</x:v>
      </x:c>
      <x:c r="J97" s="17" t="str">
        <x:v>petition enters within seventy-two hours of event close</x:v>
      </x:c>
      <x:c r="K97" s="17" t="str">
        <x:v>Invalidity registrar</x:v>
      </x:c>
      <x:c r="L97" s="9" t="n">
        <x:v>0</x:v>
      </x:c>
      <x:c r="M97" s="9" t="n">
        <x:v>0</x:v>
      </x:c>
      <x:c r="N97" s="9" t="str">
        <x:v>UNFILED / UNPROVEN</x:v>
      </x:c>
      <x:c r="O97" s="9" t="n">
        <x:f>COUNTIFS($A$7:$A$1302,A97)</x:f>
        <x:v>1</x:v>
      </x:c>
    </x:row>
    <x:row r="98">
      <x:c r="A98" s="9" t="str">
        <x:v>EV-AR-LF-B-A-TECH-1-B2-BRK-G0-IV02</x:v>
      </x:c>
      <x:c r="B98" s="9" t="str">
        <x:v>EV-AR-LF-B-A-TECH-1-B2-BRK-G0</x:v>
      </x:c>
      <x:c r="C98" s="9" t="str">
        <x:v>AR-LF-B-A-TECH-1-B2-BRK-G0</x:v>
      </x:c>
      <x:c r="D98" s="9" t="str">
        <x:v>LF-B-A-TECH-1</x:v>
      </x:c>
      <x:c r="E98" s="9" t="str">
        <x:v>LF-B-A</x:v>
      </x:c>
      <x:c r="F98" s="9" t="str">
        <x:v>B2</x:v>
      </x:c>
      <x:c r="G98" s="9" t="str">
        <x:v>BRK</x:v>
      </x:c>
      <x:c r="H98" s="9" t="str">
        <x:v>IV02</x:v>
      </x:c>
      <x:c r="I98" s="17" t="str">
        <x:v>Named facility cause</x:v>
      </x:c>
      <x:c r="J98" s="17" t="str">
        <x:v>one pre-registered noncandidate cause is identified</x:v>
      </x:c>
      <x:c r="K98" s="17" t="str">
        <x:v>Facility-cause court</x:v>
      </x:c>
      <x:c r="L98" s="9" t="n">
        <x:v>0</x:v>
      </x:c>
      <x:c r="M98" s="9" t="n">
        <x:v>0</x:v>
      </x:c>
      <x:c r="N98" s="9" t="str">
        <x:v>UNFILED / UNPROVEN</x:v>
      </x:c>
      <x:c r="O98" s="9" t="n">
        <x:f>COUNTIFS($A$7:$A$1302,A98)</x:f>
        <x:v>1</x:v>
      </x:c>
    </x:row>
    <x:row r="99">
      <x:c r="A99" s="9" t="str">
        <x:v>EV-AR-LF-B-A-TECH-1-B2-BRK-G0-IV03</x:v>
      </x:c>
      <x:c r="B99" s="9" t="str">
        <x:v>EV-AR-LF-B-A-TECH-1-B2-BRK-G0</x:v>
      </x:c>
      <x:c r="C99" s="9" t="str">
        <x:v>AR-LF-B-A-TECH-1-B2-BRK-G0</x:v>
      </x:c>
      <x:c r="D99" s="9" t="str">
        <x:v>LF-B-A-TECH-1</x:v>
      </x:c>
      <x:c r="E99" s="9" t="str">
        <x:v>LF-B-A</x:v>
      </x:c>
      <x:c r="F99" s="9" t="str">
        <x:v>B2</x:v>
      </x:c>
      <x:c r="G99" s="9" t="str">
        <x:v>BRK</x:v>
      </x:c>
      <x:c r="H99" s="9" t="str">
        <x:v>IV03</x:v>
      </x:c>
      <x:c r="I99" s="17" t="str">
        <x:v>Temporal priority</x:v>
      </x:c>
      <x:c r="J99" s="17" t="str">
        <x:v>cause demonstrably precedes the disputed candidate behavior</x:v>
      </x:c>
      <x:c r="K99" s="17" t="str">
        <x:v>Time authority</x:v>
      </x:c>
      <x:c r="L99" s="9" t="n">
        <x:v>0</x:v>
      </x:c>
      <x:c r="M99" s="9" t="n">
        <x:v>0</x:v>
      </x:c>
      <x:c r="N99" s="9" t="str">
        <x:v>UNFILED / UNPROVEN</x:v>
      </x:c>
      <x:c r="O99" s="9" t="n">
        <x:f>COUNTIFS($A$7:$A$1302,A99)</x:f>
        <x:v>1</x:v>
      </x:c>
    </x:row>
    <x:row r="100">
      <x:c r="A100" s="9" t="str">
        <x:v>EV-AR-LF-B-A-TECH-1-B2-BRK-G0-IV04</x:v>
      </x:c>
      <x:c r="B100" s="9" t="str">
        <x:v>EV-AR-LF-B-A-TECH-1-B2-BRK-G0</x:v>
      </x:c>
      <x:c r="C100" s="9" t="str">
        <x:v>AR-LF-B-A-TECH-1-B2-BRK-G0</x:v>
      </x:c>
      <x:c r="D100" s="9" t="str">
        <x:v>LF-B-A-TECH-1</x:v>
      </x:c>
      <x:c r="E100" s="9" t="str">
        <x:v>LF-B-A</x:v>
      </x:c>
      <x:c r="F100" s="9" t="str">
        <x:v>B2</x:v>
      </x:c>
      <x:c r="G100" s="9" t="str">
        <x:v>BRK</x:v>
      </x:c>
      <x:c r="H100" s="9" t="str">
        <x:v>IV04</x:v>
      </x:c>
      <x:c r="I100" s="17" t="str">
        <x:v>Independent trace</x:v>
      </x:c>
      <x:c r="J100" s="17" t="str">
        <x:v>two unlike records carry the cause without candidate custody</x:v>
      </x:c>
      <x:c r="K100" s="17" t="str">
        <x:v>Invalidity court</x:v>
      </x:c>
      <x:c r="L100" s="9" t="n">
        <x:v>0</x:v>
      </x:c>
      <x:c r="M100" s="9" t="n">
        <x:v>0</x:v>
      </x:c>
      <x:c r="N100" s="9" t="str">
        <x:v>UNFILED / UNPROVEN</x:v>
      </x:c>
      <x:c r="O100" s="9" t="n">
        <x:f>COUNTIFS($A$7:$A$1302,A100)</x:f>
        <x:v>1</x:v>
      </x:c>
    </x:row>
    <x:row r="101">
      <x:c r="A101" s="9" t="str">
        <x:v>EV-AR-LF-B-A-TECH-1-B2-BRK-G0-IV05</x:v>
      </x:c>
      <x:c r="B101" s="9" t="str">
        <x:v>EV-AR-LF-B-A-TECH-1-B2-BRK-G0</x:v>
      </x:c>
      <x:c r="C101" s="9" t="str">
        <x:v>AR-LF-B-A-TECH-1-B2-BRK-G0</x:v>
      </x:c>
      <x:c r="D101" s="9" t="str">
        <x:v>LF-B-A-TECH-1</x:v>
      </x:c>
      <x:c r="E101" s="9" t="str">
        <x:v>LF-B-A</x:v>
      </x:c>
      <x:c r="F101" s="9" t="str">
        <x:v>B2</x:v>
      </x:c>
      <x:c r="G101" s="9" t="str">
        <x:v>BRK</x:v>
      </x:c>
      <x:c r="H101" s="9" t="str">
        <x:v>IV05</x:v>
      </x:c>
      <x:c r="I101" s="17" t="str">
        <x:v>Causal counterfactual</x:v>
      </x:c>
      <x:c r="J101" s="17" t="str">
        <x:v>registered counterfactual shows the cause can create the defect</x:v>
      </x:c>
      <x:c r="K101" s="17" t="str">
        <x:v>Causal court</x:v>
      </x:c>
      <x:c r="L101" s="9" t="n">
        <x:v>0</x:v>
      </x:c>
      <x:c r="M101" s="9" t="n">
        <x:v>0</x:v>
      </x:c>
      <x:c r="N101" s="9" t="str">
        <x:v>UNFILED / UNPROVEN</x:v>
      </x:c>
      <x:c r="O101" s="9" t="n">
        <x:f>COUNTIFS($A$7:$A$1302,A101)</x:f>
        <x:v>1</x:v>
      </x:c>
    </x:row>
    <x:row r="102">
      <x:c r="A102" s="9" t="str">
        <x:v>EV-AR-LF-B-A-TECH-1-B2-BRK-G0-IV06</x:v>
      </x:c>
      <x:c r="B102" s="9" t="str">
        <x:v>EV-AR-LF-B-A-TECH-1-B2-BRK-G0</x:v>
      </x:c>
      <x:c r="C102" s="9" t="str">
        <x:v>AR-LF-B-A-TECH-1-B2-BRK-G0</x:v>
      </x:c>
      <x:c r="D102" s="9" t="str">
        <x:v>LF-B-A-TECH-1</x:v>
      </x:c>
      <x:c r="E102" s="9" t="str">
        <x:v>LF-B-A</x:v>
      </x:c>
      <x:c r="F102" s="9" t="str">
        <x:v>B2</x:v>
      </x:c>
      <x:c r="G102" s="9" t="str">
        <x:v>BRK</x:v>
      </x:c>
      <x:c r="H102" s="9" t="str">
        <x:v>IV06</x:v>
      </x:c>
      <x:c r="I102" s="17" t="str">
        <x:v>Candidate non-causation</x:v>
      </x:c>
      <x:c r="J102" s="17" t="str">
        <x:v>evidence excludes candidate induction of the facility condition</x:v>
      </x:c>
      <x:c r="K102" s="17" t="str">
        <x:v>Causal court</x:v>
      </x:c>
      <x:c r="L102" s="9" t="n">
        <x:v>0</x:v>
      </x:c>
      <x:c r="M102" s="9" t="n">
        <x:v>0</x:v>
      </x:c>
      <x:c r="N102" s="9" t="str">
        <x:v>UNFILED / UNPROVEN</x:v>
      </x:c>
      <x:c r="O102" s="9" t="n">
        <x:f>COUNTIFS($A$7:$A$1302,A102)</x:f>
        <x:v>1</x:v>
      </x:c>
    </x:row>
    <x:row r="103">
      <x:c r="A103" s="9" t="str">
        <x:v>EV-AR-LF-B-A-TECH-1-B2-BRK-G0-IV07</x:v>
      </x:c>
      <x:c r="B103" s="9" t="str">
        <x:v>EV-AR-LF-B-A-TECH-1-B2-BRK-G0</x:v>
      </x:c>
      <x:c r="C103" s="9" t="str">
        <x:v>AR-LF-B-A-TECH-1-B2-BRK-G0</x:v>
      </x:c>
      <x:c r="D103" s="9" t="str">
        <x:v>LF-B-A-TECH-1</x:v>
      </x:c>
      <x:c r="E103" s="9" t="str">
        <x:v>LF-B-A</x:v>
      </x:c>
      <x:c r="F103" s="9" t="str">
        <x:v>B2</x:v>
      </x:c>
      <x:c r="G103" s="9" t="str">
        <x:v>BRK</x:v>
      </x:c>
      <x:c r="H103" s="9" t="str">
        <x:v>IV07</x:v>
      </x:c>
      <x:c r="I103" s="17" t="str">
        <x:v>No outcome selection</x:v>
      </x:c>
      <x:c r="J103" s="17" t="str">
        <x:v>petition rule and evidence scope were fixed before visibility</x:v>
      </x:c>
      <x:c r="K103" s="17" t="str">
        <x:v>Conflict registrar</x:v>
      </x:c>
      <x:c r="L103" s="9" t="n">
        <x:v>0</x:v>
      </x:c>
      <x:c r="M103" s="9" t="n">
        <x:v>0</x:v>
      </x:c>
      <x:c r="N103" s="9" t="str">
        <x:v>UNFILED / UNPROVEN</x:v>
      </x:c>
      <x:c r="O103" s="9" t="n">
        <x:f>COUNTIFS($A$7:$A$1302,A103)</x:f>
        <x:v>1</x:v>
      </x:c>
    </x:row>
    <x:row r="104">
      <x:c r="A104" s="9" t="str">
        <x:v>EV-AR-LF-B-A-TECH-1-B2-BRK-G0-IV08</x:v>
      </x:c>
      <x:c r="B104" s="9" t="str">
        <x:v>EV-AR-LF-B-A-TECH-1-B2-BRK-G0</x:v>
      </x:c>
      <x:c r="C104" s="9" t="str">
        <x:v>AR-LF-B-A-TECH-1-B2-BRK-G0</x:v>
      </x:c>
      <x:c r="D104" s="9" t="str">
        <x:v>LF-B-A-TECH-1</x:v>
      </x:c>
      <x:c r="E104" s="9" t="str">
        <x:v>LF-B-A</x:v>
      </x:c>
      <x:c r="F104" s="9" t="str">
        <x:v>B2</x:v>
      </x:c>
      <x:c r="G104" s="9" t="str">
        <x:v>BRK</x:v>
      </x:c>
      <x:c r="H104" s="9" t="str">
        <x:v>IV08</x:v>
      </x:c>
      <x:c r="I104" s="17" t="str">
        <x:v>Whole-record preservation</x:v>
      </x:c>
      <x:c r="J104" s="17" t="str">
        <x:v>start, raw behavior, dissent and intervention remain in archive</x:v>
      </x:c>
      <x:c r="K104" s="17" t="str">
        <x:v>Archive authority</x:v>
      </x:c>
      <x:c r="L104" s="9" t="n">
        <x:v>0</x:v>
      </x:c>
      <x:c r="M104" s="9" t="n">
        <x:v>0</x:v>
      </x:c>
      <x:c r="N104" s="9" t="str">
        <x:v>UNFILED / UNPROVEN</x:v>
      </x:c>
      <x:c r="O104" s="9" t="n">
        <x:f>COUNTIFS($A$7:$A$1302,A104)</x:f>
        <x:v>1</x:v>
      </x:c>
    </x:row>
    <x:row r="105">
      <x:c r="A105" s="9" t="str">
        <x:v>EV-AR-LF-B-A-TECH-1-B2-BRK-G0-IV09</x:v>
      </x:c>
      <x:c r="B105" s="9" t="str">
        <x:v>EV-AR-LF-B-A-TECH-1-B2-BRK-G0</x:v>
      </x:c>
      <x:c r="C105" s="9" t="str">
        <x:v>AR-LF-B-A-TECH-1-B2-BRK-G0</x:v>
      </x:c>
      <x:c r="D105" s="9" t="str">
        <x:v>LF-B-A-TECH-1</x:v>
      </x:c>
      <x:c r="E105" s="9" t="str">
        <x:v>LF-B-A</x:v>
      </x:c>
      <x:c r="F105" s="9" t="str">
        <x:v>B2</x:v>
      </x:c>
      <x:c r="G105" s="9" t="str">
        <x:v>BRK</x:v>
      </x:c>
      <x:c r="H105" s="9" t="str">
        <x:v>IV09</x:v>
      </x:c>
      <x:c r="I105" s="17" t="str">
        <x:v>Bounded remedy</x:v>
      </x:c>
      <x:c r="J105" s="17" t="str">
        <x:v>only a new slot and EOW may follow; no favorable credit or erased attempt</x:v>
      </x:c>
      <x:c r="K105" s="17" t="str">
        <x:v>Invalidity court</x:v>
      </x:c>
      <x:c r="L105" s="9" t="n">
        <x:v>0</x:v>
      </x:c>
      <x:c r="M105" s="9" t="n">
        <x:v>0</x:v>
      </x:c>
      <x:c r="N105" s="9" t="str">
        <x:v>UNFILED / UNPROVEN</x:v>
      </x:c>
      <x:c r="O105" s="9" t="n">
        <x:f>COUNTIFS($A$7:$A$1302,A105)</x:f>
        <x:v>1</x:v>
      </x:c>
    </x:row>
    <x:row r="106">
      <x:c r="A106" s="9" t="str">
        <x:v>EV-AR-RT-B-C-TECH-1-B2-INT-G0-IV01</x:v>
      </x:c>
      <x:c r="B106" s="9" t="str">
        <x:v>EV-AR-RT-B-C-TECH-1-B2-INT-G0</x:v>
      </x:c>
      <x:c r="C106" s="9" t="str">
        <x:v>AR-RT-B-C-TECH-1-B2-INT-G0</x:v>
      </x:c>
      <x:c r="D106" s="9" t="str">
        <x:v>RT-B-C-TECH-1</x:v>
      </x:c>
      <x:c r="E106" s="9" t="str">
        <x:v>RT-B-C</x:v>
      </x:c>
      <x:c r="F106" s="9" t="str">
        <x:v>B2</x:v>
      </x:c>
      <x:c r="G106" s="9" t="str">
        <x:v>INT</x:v>
      </x:c>
      <x:c r="H106" s="9" t="str">
        <x:v>IV01</x:v>
      </x:c>
      <x:c r="I106" s="17" t="str">
        <x:v>Timely petition</x:v>
      </x:c>
      <x:c r="J106" s="17" t="str">
        <x:v>petition enters within seventy-two hours of event close</x:v>
      </x:c>
      <x:c r="K106" s="17" t="str">
        <x:v>Invalidity registrar</x:v>
      </x:c>
      <x:c r="L106" s="9" t="n">
        <x:v>0</x:v>
      </x:c>
      <x:c r="M106" s="9" t="n">
        <x:v>0</x:v>
      </x:c>
      <x:c r="N106" s="9" t="str">
        <x:v>UNFILED / UNPROVEN</x:v>
      </x:c>
      <x:c r="O106" s="9" t="n">
        <x:f>COUNTIFS($A$7:$A$1302,A106)</x:f>
        <x:v>1</x:v>
      </x:c>
    </x:row>
    <x:row r="107">
      <x:c r="A107" s="9" t="str">
        <x:v>EV-AR-RT-B-C-TECH-1-B2-INT-G0-IV02</x:v>
      </x:c>
      <x:c r="B107" s="9" t="str">
        <x:v>EV-AR-RT-B-C-TECH-1-B2-INT-G0</x:v>
      </x:c>
      <x:c r="C107" s="9" t="str">
        <x:v>AR-RT-B-C-TECH-1-B2-INT-G0</x:v>
      </x:c>
      <x:c r="D107" s="9" t="str">
        <x:v>RT-B-C-TECH-1</x:v>
      </x:c>
      <x:c r="E107" s="9" t="str">
        <x:v>RT-B-C</x:v>
      </x:c>
      <x:c r="F107" s="9" t="str">
        <x:v>B2</x:v>
      </x:c>
      <x:c r="G107" s="9" t="str">
        <x:v>INT</x:v>
      </x:c>
      <x:c r="H107" s="9" t="str">
        <x:v>IV02</x:v>
      </x:c>
      <x:c r="I107" s="17" t="str">
        <x:v>Named facility cause</x:v>
      </x:c>
      <x:c r="J107" s="17" t="str">
        <x:v>one pre-registered noncandidate cause is identified</x:v>
      </x:c>
      <x:c r="K107" s="17" t="str">
        <x:v>Facility-cause court</x:v>
      </x:c>
      <x:c r="L107" s="9" t="n">
        <x:v>0</x:v>
      </x:c>
      <x:c r="M107" s="9" t="n">
        <x:v>0</x:v>
      </x:c>
      <x:c r="N107" s="9" t="str">
        <x:v>UNFILED / UNPROVEN</x:v>
      </x:c>
      <x:c r="O107" s="9" t="n">
        <x:f>COUNTIFS($A$7:$A$1302,A107)</x:f>
        <x:v>1</x:v>
      </x:c>
    </x:row>
    <x:row r="108">
      <x:c r="A108" s="9" t="str">
        <x:v>EV-AR-RT-B-C-TECH-1-B2-INT-G0-IV03</x:v>
      </x:c>
      <x:c r="B108" s="9" t="str">
        <x:v>EV-AR-RT-B-C-TECH-1-B2-INT-G0</x:v>
      </x:c>
      <x:c r="C108" s="9" t="str">
        <x:v>AR-RT-B-C-TECH-1-B2-INT-G0</x:v>
      </x:c>
      <x:c r="D108" s="9" t="str">
        <x:v>RT-B-C-TECH-1</x:v>
      </x:c>
      <x:c r="E108" s="9" t="str">
        <x:v>RT-B-C</x:v>
      </x:c>
      <x:c r="F108" s="9" t="str">
        <x:v>B2</x:v>
      </x:c>
      <x:c r="G108" s="9" t="str">
        <x:v>INT</x:v>
      </x:c>
      <x:c r="H108" s="9" t="str">
        <x:v>IV03</x:v>
      </x:c>
      <x:c r="I108" s="17" t="str">
        <x:v>Temporal priority</x:v>
      </x:c>
      <x:c r="J108" s="17" t="str">
        <x:v>cause demonstrably precedes the disputed candidate behavior</x:v>
      </x:c>
      <x:c r="K108" s="17" t="str">
        <x:v>Time authority</x:v>
      </x:c>
      <x:c r="L108" s="9" t="n">
        <x:v>0</x:v>
      </x:c>
      <x:c r="M108" s="9" t="n">
        <x:v>0</x:v>
      </x:c>
      <x:c r="N108" s="9" t="str">
        <x:v>UNFILED / UNPROVEN</x:v>
      </x:c>
      <x:c r="O108" s="9" t="n">
        <x:f>COUNTIFS($A$7:$A$1302,A108)</x:f>
        <x:v>1</x:v>
      </x:c>
    </x:row>
    <x:row r="109">
      <x:c r="A109" s="9" t="str">
        <x:v>EV-AR-RT-B-C-TECH-1-B2-INT-G0-IV04</x:v>
      </x:c>
      <x:c r="B109" s="9" t="str">
        <x:v>EV-AR-RT-B-C-TECH-1-B2-INT-G0</x:v>
      </x:c>
      <x:c r="C109" s="9" t="str">
        <x:v>AR-RT-B-C-TECH-1-B2-INT-G0</x:v>
      </x:c>
      <x:c r="D109" s="9" t="str">
        <x:v>RT-B-C-TECH-1</x:v>
      </x:c>
      <x:c r="E109" s="9" t="str">
        <x:v>RT-B-C</x:v>
      </x:c>
      <x:c r="F109" s="9" t="str">
        <x:v>B2</x:v>
      </x:c>
      <x:c r="G109" s="9" t="str">
        <x:v>INT</x:v>
      </x:c>
      <x:c r="H109" s="9" t="str">
        <x:v>IV04</x:v>
      </x:c>
      <x:c r="I109" s="17" t="str">
        <x:v>Independent trace</x:v>
      </x:c>
      <x:c r="J109" s="17" t="str">
        <x:v>two unlike records carry the cause without candidate custody</x:v>
      </x:c>
      <x:c r="K109" s="17" t="str">
        <x:v>Invalidity court</x:v>
      </x:c>
      <x:c r="L109" s="9" t="n">
        <x:v>0</x:v>
      </x:c>
      <x:c r="M109" s="9" t="n">
        <x:v>0</x:v>
      </x:c>
      <x:c r="N109" s="9" t="str">
        <x:v>UNFILED / UNPROVEN</x:v>
      </x:c>
      <x:c r="O109" s="9" t="n">
        <x:f>COUNTIFS($A$7:$A$1302,A109)</x:f>
        <x:v>1</x:v>
      </x:c>
    </x:row>
    <x:row r="110">
      <x:c r="A110" s="9" t="str">
        <x:v>EV-AR-RT-B-C-TECH-1-B2-INT-G0-IV05</x:v>
      </x:c>
      <x:c r="B110" s="9" t="str">
        <x:v>EV-AR-RT-B-C-TECH-1-B2-INT-G0</x:v>
      </x:c>
      <x:c r="C110" s="9" t="str">
        <x:v>AR-RT-B-C-TECH-1-B2-INT-G0</x:v>
      </x:c>
      <x:c r="D110" s="9" t="str">
        <x:v>RT-B-C-TECH-1</x:v>
      </x:c>
      <x:c r="E110" s="9" t="str">
        <x:v>RT-B-C</x:v>
      </x:c>
      <x:c r="F110" s="9" t="str">
        <x:v>B2</x:v>
      </x:c>
      <x:c r="G110" s="9" t="str">
        <x:v>INT</x:v>
      </x:c>
      <x:c r="H110" s="9" t="str">
        <x:v>IV05</x:v>
      </x:c>
      <x:c r="I110" s="17" t="str">
        <x:v>Causal counterfactual</x:v>
      </x:c>
      <x:c r="J110" s="17" t="str">
        <x:v>registered counterfactual shows the cause can create the defect</x:v>
      </x:c>
      <x:c r="K110" s="17" t="str">
        <x:v>Causal court</x:v>
      </x:c>
      <x:c r="L110" s="9" t="n">
        <x:v>0</x:v>
      </x:c>
      <x:c r="M110" s="9" t="n">
        <x:v>0</x:v>
      </x:c>
      <x:c r="N110" s="9" t="str">
        <x:v>UNFILED / UNPROVEN</x:v>
      </x:c>
      <x:c r="O110" s="9" t="n">
        <x:f>COUNTIFS($A$7:$A$1302,A110)</x:f>
        <x:v>1</x:v>
      </x:c>
    </x:row>
    <x:row r="111">
      <x:c r="A111" s="9" t="str">
        <x:v>EV-AR-RT-B-C-TECH-1-B2-INT-G0-IV06</x:v>
      </x:c>
      <x:c r="B111" s="9" t="str">
        <x:v>EV-AR-RT-B-C-TECH-1-B2-INT-G0</x:v>
      </x:c>
      <x:c r="C111" s="9" t="str">
        <x:v>AR-RT-B-C-TECH-1-B2-INT-G0</x:v>
      </x:c>
      <x:c r="D111" s="9" t="str">
        <x:v>RT-B-C-TECH-1</x:v>
      </x:c>
      <x:c r="E111" s="9" t="str">
        <x:v>RT-B-C</x:v>
      </x:c>
      <x:c r="F111" s="9" t="str">
        <x:v>B2</x:v>
      </x:c>
      <x:c r="G111" s="9" t="str">
        <x:v>INT</x:v>
      </x:c>
      <x:c r="H111" s="9" t="str">
        <x:v>IV06</x:v>
      </x:c>
      <x:c r="I111" s="17" t="str">
        <x:v>Candidate non-causation</x:v>
      </x:c>
      <x:c r="J111" s="17" t="str">
        <x:v>evidence excludes candidate induction of the facility condition</x:v>
      </x:c>
      <x:c r="K111" s="17" t="str">
        <x:v>Causal court</x:v>
      </x:c>
      <x:c r="L111" s="9" t="n">
        <x:v>0</x:v>
      </x:c>
      <x:c r="M111" s="9" t="n">
        <x:v>0</x:v>
      </x:c>
      <x:c r="N111" s="9" t="str">
        <x:v>UNFILED / UNPROVEN</x:v>
      </x:c>
      <x:c r="O111" s="9" t="n">
        <x:f>COUNTIFS($A$7:$A$1302,A111)</x:f>
        <x:v>1</x:v>
      </x:c>
    </x:row>
    <x:row r="112">
      <x:c r="A112" s="9" t="str">
        <x:v>EV-AR-RT-B-C-TECH-1-B2-INT-G0-IV07</x:v>
      </x:c>
      <x:c r="B112" s="9" t="str">
        <x:v>EV-AR-RT-B-C-TECH-1-B2-INT-G0</x:v>
      </x:c>
      <x:c r="C112" s="9" t="str">
        <x:v>AR-RT-B-C-TECH-1-B2-INT-G0</x:v>
      </x:c>
      <x:c r="D112" s="9" t="str">
        <x:v>RT-B-C-TECH-1</x:v>
      </x:c>
      <x:c r="E112" s="9" t="str">
        <x:v>RT-B-C</x:v>
      </x:c>
      <x:c r="F112" s="9" t="str">
        <x:v>B2</x:v>
      </x:c>
      <x:c r="G112" s="9" t="str">
        <x:v>INT</x:v>
      </x:c>
      <x:c r="H112" s="9" t="str">
        <x:v>IV07</x:v>
      </x:c>
      <x:c r="I112" s="17" t="str">
        <x:v>No outcome selection</x:v>
      </x:c>
      <x:c r="J112" s="17" t="str">
        <x:v>petition rule and evidence scope were fixed before visibility</x:v>
      </x:c>
      <x:c r="K112" s="17" t="str">
        <x:v>Conflict registrar</x:v>
      </x:c>
      <x:c r="L112" s="9" t="n">
        <x:v>0</x:v>
      </x:c>
      <x:c r="M112" s="9" t="n">
        <x:v>0</x:v>
      </x:c>
      <x:c r="N112" s="9" t="str">
        <x:v>UNFILED / UNPROVEN</x:v>
      </x:c>
      <x:c r="O112" s="9" t="n">
        <x:f>COUNTIFS($A$7:$A$1302,A112)</x:f>
        <x:v>1</x:v>
      </x:c>
    </x:row>
    <x:row r="113">
      <x:c r="A113" s="9" t="str">
        <x:v>EV-AR-RT-B-C-TECH-1-B2-INT-G0-IV08</x:v>
      </x:c>
      <x:c r="B113" s="9" t="str">
        <x:v>EV-AR-RT-B-C-TECH-1-B2-INT-G0</x:v>
      </x:c>
      <x:c r="C113" s="9" t="str">
        <x:v>AR-RT-B-C-TECH-1-B2-INT-G0</x:v>
      </x:c>
      <x:c r="D113" s="9" t="str">
        <x:v>RT-B-C-TECH-1</x:v>
      </x:c>
      <x:c r="E113" s="9" t="str">
        <x:v>RT-B-C</x:v>
      </x:c>
      <x:c r="F113" s="9" t="str">
        <x:v>B2</x:v>
      </x:c>
      <x:c r="G113" s="9" t="str">
        <x:v>INT</x:v>
      </x:c>
      <x:c r="H113" s="9" t="str">
        <x:v>IV08</x:v>
      </x:c>
      <x:c r="I113" s="17" t="str">
        <x:v>Whole-record preservation</x:v>
      </x:c>
      <x:c r="J113" s="17" t="str">
        <x:v>start, raw behavior, dissent and intervention remain in archive</x:v>
      </x:c>
      <x:c r="K113" s="17" t="str">
        <x:v>Archive authority</x:v>
      </x:c>
      <x:c r="L113" s="9" t="n">
        <x:v>0</x:v>
      </x:c>
      <x:c r="M113" s="9" t="n">
        <x:v>0</x:v>
      </x:c>
      <x:c r="N113" s="9" t="str">
        <x:v>UNFILED / UNPROVEN</x:v>
      </x:c>
      <x:c r="O113" s="9" t="n">
        <x:f>COUNTIFS($A$7:$A$1302,A113)</x:f>
        <x:v>1</x:v>
      </x:c>
    </x:row>
    <x:row r="114">
      <x:c r="A114" s="9" t="str">
        <x:v>EV-AR-RT-B-C-TECH-1-B2-INT-G0-IV09</x:v>
      </x:c>
      <x:c r="B114" s="9" t="str">
        <x:v>EV-AR-RT-B-C-TECH-1-B2-INT-G0</x:v>
      </x:c>
      <x:c r="C114" s="9" t="str">
        <x:v>AR-RT-B-C-TECH-1-B2-INT-G0</x:v>
      </x:c>
      <x:c r="D114" s="9" t="str">
        <x:v>RT-B-C-TECH-1</x:v>
      </x:c>
      <x:c r="E114" s="9" t="str">
        <x:v>RT-B-C</x:v>
      </x:c>
      <x:c r="F114" s="9" t="str">
        <x:v>B2</x:v>
      </x:c>
      <x:c r="G114" s="9" t="str">
        <x:v>INT</x:v>
      </x:c>
      <x:c r="H114" s="9" t="str">
        <x:v>IV09</x:v>
      </x:c>
      <x:c r="I114" s="17" t="str">
        <x:v>Bounded remedy</x:v>
      </x:c>
      <x:c r="J114" s="17" t="str">
        <x:v>only a new slot and EOW may follow; no favorable credit or erased attempt</x:v>
      </x:c>
      <x:c r="K114" s="17" t="str">
        <x:v>Invalidity court</x:v>
      </x:c>
      <x:c r="L114" s="9" t="n">
        <x:v>0</x:v>
      </x:c>
      <x:c r="M114" s="9" t="n">
        <x:v>0</x:v>
      </x:c>
      <x:c r="N114" s="9" t="str">
        <x:v>UNFILED / UNPROVEN</x:v>
      </x:c>
      <x:c r="O114" s="9" t="n">
        <x:f>COUNTIFS($A$7:$A$1302,A114)</x:f>
        <x:v>1</x:v>
      </x:c>
    </x:row>
    <x:row r="115">
      <x:c r="A115" s="9" t="str">
        <x:v>EV-AR-ET-A-A-TECH-4-B2-BRK-G0-IV01</x:v>
      </x:c>
      <x:c r="B115" s="9" t="str">
        <x:v>EV-AR-ET-A-A-TECH-4-B2-BRK-G0</x:v>
      </x:c>
      <x:c r="C115" s="9" t="str">
        <x:v>AR-ET-A-A-TECH-4-B2-BRK-G0</x:v>
      </x:c>
      <x:c r="D115" s="9" t="str">
        <x:v>ET-A-A-TECH-4</x:v>
      </x:c>
      <x:c r="E115" s="9" t="str">
        <x:v>ET-A-A</x:v>
      </x:c>
      <x:c r="F115" s="9" t="str">
        <x:v>B2</x:v>
      </x:c>
      <x:c r="G115" s="9" t="str">
        <x:v>BRK</x:v>
      </x:c>
      <x:c r="H115" s="9" t="str">
        <x:v>IV01</x:v>
      </x:c>
      <x:c r="I115" s="17" t="str">
        <x:v>Timely petition</x:v>
      </x:c>
      <x:c r="J115" s="17" t="str">
        <x:v>petition enters within seventy-two hours of event close</x:v>
      </x:c>
      <x:c r="K115" s="17" t="str">
        <x:v>Invalidity registrar</x:v>
      </x:c>
      <x:c r="L115" s="9" t="n">
        <x:v>0</x:v>
      </x:c>
      <x:c r="M115" s="9" t="n">
        <x:v>0</x:v>
      </x:c>
      <x:c r="N115" s="9" t="str">
        <x:v>UNFILED / UNPROVEN</x:v>
      </x:c>
      <x:c r="O115" s="9" t="n">
        <x:f>COUNTIFS($A$7:$A$1302,A115)</x:f>
        <x:v>1</x:v>
      </x:c>
    </x:row>
    <x:row r="116">
      <x:c r="A116" s="9" t="str">
        <x:v>EV-AR-ET-A-A-TECH-4-B2-BRK-G0-IV02</x:v>
      </x:c>
      <x:c r="B116" s="9" t="str">
        <x:v>EV-AR-ET-A-A-TECH-4-B2-BRK-G0</x:v>
      </x:c>
      <x:c r="C116" s="9" t="str">
        <x:v>AR-ET-A-A-TECH-4-B2-BRK-G0</x:v>
      </x:c>
      <x:c r="D116" s="9" t="str">
        <x:v>ET-A-A-TECH-4</x:v>
      </x:c>
      <x:c r="E116" s="9" t="str">
        <x:v>ET-A-A</x:v>
      </x:c>
      <x:c r="F116" s="9" t="str">
        <x:v>B2</x:v>
      </x:c>
      <x:c r="G116" s="9" t="str">
        <x:v>BRK</x:v>
      </x:c>
      <x:c r="H116" s="9" t="str">
        <x:v>IV02</x:v>
      </x:c>
      <x:c r="I116" s="17" t="str">
        <x:v>Named facility cause</x:v>
      </x:c>
      <x:c r="J116" s="17" t="str">
        <x:v>one pre-registered noncandidate cause is identified</x:v>
      </x:c>
      <x:c r="K116" s="17" t="str">
        <x:v>Facility-cause court</x:v>
      </x:c>
      <x:c r="L116" s="9" t="n">
        <x:v>0</x:v>
      </x:c>
      <x:c r="M116" s="9" t="n">
        <x:v>0</x:v>
      </x:c>
      <x:c r="N116" s="9" t="str">
        <x:v>UNFILED / UNPROVEN</x:v>
      </x:c>
      <x:c r="O116" s="9" t="n">
        <x:f>COUNTIFS($A$7:$A$1302,A116)</x:f>
        <x:v>1</x:v>
      </x:c>
    </x:row>
    <x:row r="117">
      <x:c r="A117" s="9" t="str">
        <x:v>EV-AR-ET-A-A-TECH-4-B2-BRK-G0-IV03</x:v>
      </x:c>
      <x:c r="B117" s="9" t="str">
        <x:v>EV-AR-ET-A-A-TECH-4-B2-BRK-G0</x:v>
      </x:c>
      <x:c r="C117" s="9" t="str">
        <x:v>AR-ET-A-A-TECH-4-B2-BRK-G0</x:v>
      </x:c>
      <x:c r="D117" s="9" t="str">
        <x:v>ET-A-A-TECH-4</x:v>
      </x:c>
      <x:c r="E117" s="9" t="str">
        <x:v>ET-A-A</x:v>
      </x:c>
      <x:c r="F117" s="9" t="str">
        <x:v>B2</x:v>
      </x:c>
      <x:c r="G117" s="9" t="str">
        <x:v>BRK</x:v>
      </x:c>
      <x:c r="H117" s="9" t="str">
        <x:v>IV03</x:v>
      </x:c>
      <x:c r="I117" s="17" t="str">
        <x:v>Temporal priority</x:v>
      </x:c>
      <x:c r="J117" s="17" t="str">
        <x:v>cause demonstrably precedes the disputed candidate behavior</x:v>
      </x:c>
      <x:c r="K117" s="17" t="str">
        <x:v>Time authority</x:v>
      </x:c>
      <x:c r="L117" s="9" t="n">
        <x:v>0</x:v>
      </x:c>
      <x:c r="M117" s="9" t="n">
        <x:v>0</x:v>
      </x:c>
      <x:c r="N117" s="9" t="str">
        <x:v>UNFILED / UNPROVEN</x:v>
      </x:c>
      <x:c r="O117" s="9" t="n">
        <x:f>COUNTIFS($A$7:$A$1302,A117)</x:f>
        <x:v>1</x:v>
      </x:c>
    </x:row>
    <x:row r="118">
      <x:c r="A118" s="9" t="str">
        <x:v>EV-AR-ET-A-A-TECH-4-B2-BRK-G0-IV04</x:v>
      </x:c>
      <x:c r="B118" s="9" t="str">
        <x:v>EV-AR-ET-A-A-TECH-4-B2-BRK-G0</x:v>
      </x:c>
      <x:c r="C118" s="9" t="str">
        <x:v>AR-ET-A-A-TECH-4-B2-BRK-G0</x:v>
      </x:c>
      <x:c r="D118" s="9" t="str">
        <x:v>ET-A-A-TECH-4</x:v>
      </x:c>
      <x:c r="E118" s="9" t="str">
        <x:v>ET-A-A</x:v>
      </x:c>
      <x:c r="F118" s="9" t="str">
        <x:v>B2</x:v>
      </x:c>
      <x:c r="G118" s="9" t="str">
        <x:v>BRK</x:v>
      </x:c>
      <x:c r="H118" s="9" t="str">
        <x:v>IV04</x:v>
      </x:c>
      <x:c r="I118" s="17" t="str">
        <x:v>Independent trace</x:v>
      </x:c>
      <x:c r="J118" s="17" t="str">
        <x:v>two unlike records carry the cause without candidate custody</x:v>
      </x:c>
      <x:c r="K118" s="17" t="str">
        <x:v>Invalidity court</x:v>
      </x:c>
      <x:c r="L118" s="9" t="n">
        <x:v>0</x:v>
      </x:c>
      <x:c r="M118" s="9" t="n">
        <x:v>0</x:v>
      </x:c>
      <x:c r="N118" s="9" t="str">
        <x:v>UNFILED / UNPROVEN</x:v>
      </x:c>
      <x:c r="O118" s="9" t="n">
        <x:f>COUNTIFS($A$7:$A$1302,A118)</x:f>
        <x:v>1</x:v>
      </x:c>
    </x:row>
    <x:row r="119">
      <x:c r="A119" s="9" t="str">
        <x:v>EV-AR-ET-A-A-TECH-4-B2-BRK-G0-IV05</x:v>
      </x:c>
      <x:c r="B119" s="9" t="str">
        <x:v>EV-AR-ET-A-A-TECH-4-B2-BRK-G0</x:v>
      </x:c>
      <x:c r="C119" s="9" t="str">
        <x:v>AR-ET-A-A-TECH-4-B2-BRK-G0</x:v>
      </x:c>
      <x:c r="D119" s="9" t="str">
        <x:v>ET-A-A-TECH-4</x:v>
      </x:c>
      <x:c r="E119" s="9" t="str">
        <x:v>ET-A-A</x:v>
      </x:c>
      <x:c r="F119" s="9" t="str">
        <x:v>B2</x:v>
      </x:c>
      <x:c r="G119" s="9" t="str">
        <x:v>BRK</x:v>
      </x:c>
      <x:c r="H119" s="9" t="str">
        <x:v>IV05</x:v>
      </x:c>
      <x:c r="I119" s="17" t="str">
        <x:v>Causal counterfactual</x:v>
      </x:c>
      <x:c r="J119" s="17" t="str">
        <x:v>registered counterfactual shows the cause can create the defect</x:v>
      </x:c>
      <x:c r="K119" s="17" t="str">
        <x:v>Causal court</x:v>
      </x:c>
      <x:c r="L119" s="9" t="n">
        <x:v>0</x:v>
      </x:c>
      <x:c r="M119" s="9" t="n">
        <x:v>0</x:v>
      </x:c>
      <x:c r="N119" s="9" t="str">
        <x:v>UNFILED / UNPROVEN</x:v>
      </x:c>
      <x:c r="O119" s="9" t="n">
        <x:f>COUNTIFS($A$7:$A$1302,A119)</x:f>
        <x:v>1</x:v>
      </x:c>
    </x:row>
    <x:row r="120">
      <x:c r="A120" s="9" t="str">
        <x:v>EV-AR-ET-A-A-TECH-4-B2-BRK-G0-IV06</x:v>
      </x:c>
      <x:c r="B120" s="9" t="str">
        <x:v>EV-AR-ET-A-A-TECH-4-B2-BRK-G0</x:v>
      </x:c>
      <x:c r="C120" s="9" t="str">
        <x:v>AR-ET-A-A-TECH-4-B2-BRK-G0</x:v>
      </x:c>
      <x:c r="D120" s="9" t="str">
        <x:v>ET-A-A-TECH-4</x:v>
      </x:c>
      <x:c r="E120" s="9" t="str">
        <x:v>ET-A-A</x:v>
      </x:c>
      <x:c r="F120" s="9" t="str">
        <x:v>B2</x:v>
      </x:c>
      <x:c r="G120" s="9" t="str">
        <x:v>BRK</x:v>
      </x:c>
      <x:c r="H120" s="9" t="str">
        <x:v>IV06</x:v>
      </x:c>
      <x:c r="I120" s="17" t="str">
        <x:v>Candidate non-causation</x:v>
      </x:c>
      <x:c r="J120" s="17" t="str">
        <x:v>evidence excludes candidate induction of the facility condition</x:v>
      </x:c>
      <x:c r="K120" s="17" t="str">
        <x:v>Causal court</x:v>
      </x:c>
      <x:c r="L120" s="9" t="n">
        <x:v>0</x:v>
      </x:c>
      <x:c r="M120" s="9" t="n">
        <x:v>0</x:v>
      </x:c>
      <x:c r="N120" s="9" t="str">
        <x:v>UNFILED / UNPROVEN</x:v>
      </x:c>
      <x:c r="O120" s="9" t="n">
        <x:f>COUNTIFS($A$7:$A$1302,A120)</x:f>
        <x:v>1</x:v>
      </x:c>
    </x:row>
    <x:row r="121">
      <x:c r="A121" s="9" t="str">
        <x:v>EV-AR-ET-A-A-TECH-4-B2-BRK-G0-IV07</x:v>
      </x:c>
      <x:c r="B121" s="9" t="str">
        <x:v>EV-AR-ET-A-A-TECH-4-B2-BRK-G0</x:v>
      </x:c>
      <x:c r="C121" s="9" t="str">
        <x:v>AR-ET-A-A-TECH-4-B2-BRK-G0</x:v>
      </x:c>
      <x:c r="D121" s="9" t="str">
        <x:v>ET-A-A-TECH-4</x:v>
      </x:c>
      <x:c r="E121" s="9" t="str">
        <x:v>ET-A-A</x:v>
      </x:c>
      <x:c r="F121" s="9" t="str">
        <x:v>B2</x:v>
      </x:c>
      <x:c r="G121" s="9" t="str">
        <x:v>BRK</x:v>
      </x:c>
      <x:c r="H121" s="9" t="str">
        <x:v>IV07</x:v>
      </x:c>
      <x:c r="I121" s="17" t="str">
        <x:v>No outcome selection</x:v>
      </x:c>
      <x:c r="J121" s="17" t="str">
        <x:v>petition rule and evidence scope were fixed before visibility</x:v>
      </x:c>
      <x:c r="K121" s="17" t="str">
        <x:v>Conflict registrar</x:v>
      </x:c>
      <x:c r="L121" s="9" t="n">
        <x:v>0</x:v>
      </x:c>
      <x:c r="M121" s="9" t="n">
        <x:v>0</x:v>
      </x:c>
      <x:c r="N121" s="9" t="str">
        <x:v>UNFILED / UNPROVEN</x:v>
      </x:c>
      <x:c r="O121" s="9" t="n">
        <x:f>COUNTIFS($A$7:$A$1302,A121)</x:f>
        <x:v>1</x:v>
      </x:c>
    </x:row>
    <x:row r="122">
      <x:c r="A122" s="9" t="str">
        <x:v>EV-AR-ET-A-A-TECH-4-B2-BRK-G0-IV08</x:v>
      </x:c>
      <x:c r="B122" s="9" t="str">
        <x:v>EV-AR-ET-A-A-TECH-4-B2-BRK-G0</x:v>
      </x:c>
      <x:c r="C122" s="9" t="str">
        <x:v>AR-ET-A-A-TECH-4-B2-BRK-G0</x:v>
      </x:c>
      <x:c r="D122" s="9" t="str">
        <x:v>ET-A-A-TECH-4</x:v>
      </x:c>
      <x:c r="E122" s="9" t="str">
        <x:v>ET-A-A</x:v>
      </x:c>
      <x:c r="F122" s="9" t="str">
        <x:v>B2</x:v>
      </x:c>
      <x:c r="G122" s="9" t="str">
        <x:v>BRK</x:v>
      </x:c>
      <x:c r="H122" s="9" t="str">
        <x:v>IV08</x:v>
      </x:c>
      <x:c r="I122" s="17" t="str">
        <x:v>Whole-record preservation</x:v>
      </x:c>
      <x:c r="J122" s="17" t="str">
        <x:v>start, raw behavior, dissent and intervention remain in archive</x:v>
      </x:c>
      <x:c r="K122" s="17" t="str">
        <x:v>Archive authority</x:v>
      </x:c>
      <x:c r="L122" s="9" t="n">
        <x:v>0</x:v>
      </x:c>
      <x:c r="M122" s="9" t="n">
        <x:v>0</x:v>
      </x:c>
      <x:c r="N122" s="9" t="str">
        <x:v>UNFILED / UNPROVEN</x:v>
      </x:c>
      <x:c r="O122" s="9" t="n">
        <x:f>COUNTIFS($A$7:$A$1302,A122)</x:f>
        <x:v>1</x:v>
      </x:c>
    </x:row>
    <x:row r="123">
      <x:c r="A123" s="9" t="str">
        <x:v>EV-AR-ET-A-A-TECH-4-B2-BRK-G0-IV09</x:v>
      </x:c>
      <x:c r="B123" s="9" t="str">
        <x:v>EV-AR-ET-A-A-TECH-4-B2-BRK-G0</x:v>
      </x:c>
      <x:c r="C123" s="9" t="str">
        <x:v>AR-ET-A-A-TECH-4-B2-BRK-G0</x:v>
      </x:c>
      <x:c r="D123" s="9" t="str">
        <x:v>ET-A-A-TECH-4</x:v>
      </x:c>
      <x:c r="E123" s="9" t="str">
        <x:v>ET-A-A</x:v>
      </x:c>
      <x:c r="F123" s="9" t="str">
        <x:v>B2</x:v>
      </x:c>
      <x:c r="G123" s="9" t="str">
        <x:v>BRK</x:v>
      </x:c>
      <x:c r="H123" s="9" t="str">
        <x:v>IV09</x:v>
      </x:c>
      <x:c r="I123" s="17" t="str">
        <x:v>Bounded remedy</x:v>
      </x:c>
      <x:c r="J123" s="17" t="str">
        <x:v>only a new slot and EOW may follow; no favorable credit or erased attempt</x:v>
      </x:c>
      <x:c r="K123" s="17" t="str">
        <x:v>Invalidity court</x:v>
      </x:c>
      <x:c r="L123" s="9" t="n">
        <x:v>0</x:v>
      </x:c>
      <x:c r="M123" s="9" t="n">
        <x:v>0</x:v>
      </x:c>
      <x:c r="N123" s="9" t="str">
        <x:v>UNFILED / UNPROVEN</x:v>
      </x:c>
      <x:c r="O123" s="9" t="n">
        <x:f>COUNTIFS($A$7:$A$1302,A123)</x:f>
        <x:v>1</x:v>
      </x:c>
    </x:row>
    <x:row r="124">
      <x:c r="A124" s="9" t="str">
        <x:v>EV-AR-ET-A-A-TECH-3-B1-RCN-G0-IV01</x:v>
      </x:c>
      <x:c r="B124" s="9" t="str">
        <x:v>EV-AR-ET-A-A-TECH-3-B1-RCN-G0</x:v>
      </x:c>
      <x:c r="C124" s="9" t="str">
        <x:v>AR-ET-A-A-TECH-3-B1-RCN-G0</x:v>
      </x:c>
      <x:c r="D124" s="9" t="str">
        <x:v>ET-A-A-TECH-3</x:v>
      </x:c>
      <x:c r="E124" s="9" t="str">
        <x:v>ET-A-A</x:v>
      </x:c>
      <x:c r="F124" s="9" t="str">
        <x:v>B1</x:v>
      </x:c>
      <x:c r="G124" s="9" t="str">
        <x:v>RCN</x:v>
      </x:c>
      <x:c r="H124" s="9" t="str">
        <x:v>IV01</x:v>
      </x:c>
      <x:c r="I124" s="17" t="str">
        <x:v>Timely petition</x:v>
      </x:c>
      <x:c r="J124" s="17" t="str">
        <x:v>petition enters within seventy-two hours of event close</x:v>
      </x:c>
      <x:c r="K124" s="17" t="str">
        <x:v>Invalidity registrar</x:v>
      </x:c>
      <x:c r="L124" s="9" t="n">
        <x:v>0</x:v>
      </x:c>
      <x:c r="M124" s="9" t="n">
        <x:v>0</x:v>
      </x:c>
      <x:c r="N124" s="9" t="str">
        <x:v>UNFILED / UNPROVEN</x:v>
      </x:c>
      <x:c r="O124" s="9" t="n">
        <x:f>COUNTIFS($A$7:$A$1302,A124)</x:f>
        <x:v>1</x:v>
      </x:c>
    </x:row>
    <x:row r="125">
      <x:c r="A125" s="9" t="str">
        <x:v>EV-AR-ET-A-A-TECH-3-B1-RCN-G0-IV02</x:v>
      </x:c>
      <x:c r="B125" s="9" t="str">
        <x:v>EV-AR-ET-A-A-TECH-3-B1-RCN-G0</x:v>
      </x:c>
      <x:c r="C125" s="9" t="str">
        <x:v>AR-ET-A-A-TECH-3-B1-RCN-G0</x:v>
      </x:c>
      <x:c r="D125" s="9" t="str">
        <x:v>ET-A-A-TECH-3</x:v>
      </x:c>
      <x:c r="E125" s="9" t="str">
        <x:v>ET-A-A</x:v>
      </x:c>
      <x:c r="F125" s="9" t="str">
        <x:v>B1</x:v>
      </x:c>
      <x:c r="G125" s="9" t="str">
        <x:v>RCN</x:v>
      </x:c>
      <x:c r="H125" s="9" t="str">
        <x:v>IV02</x:v>
      </x:c>
      <x:c r="I125" s="17" t="str">
        <x:v>Named facility cause</x:v>
      </x:c>
      <x:c r="J125" s="17" t="str">
        <x:v>one pre-registered noncandidate cause is identified</x:v>
      </x:c>
      <x:c r="K125" s="17" t="str">
        <x:v>Facility-cause court</x:v>
      </x:c>
      <x:c r="L125" s="9" t="n">
        <x:v>0</x:v>
      </x:c>
      <x:c r="M125" s="9" t="n">
        <x:v>0</x:v>
      </x:c>
      <x:c r="N125" s="9" t="str">
        <x:v>UNFILED / UNPROVEN</x:v>
      </x:c>
      <x:c r="O125" s="9" t="n">
        <x:f>COUNTIFS($A$7:$A$1302,A125)</x:f>
        <x:v>1</x:v>
      </x:c>
    </x:row>
    <x:row r="126">
      <x:c r="A126" s="9" t="str">
        <x:v>EV-AR-ET-A-A-TECH-3-B1-RCN-G0-IV03</x:v>
      </x:c>
      <x:c r="B126" s="9" t="str">
        <x:v>EV-AR-ET-A-A-TECH-3-B1-RCN-G0</x:v>
      </x:c>
      <x:c r="C126" s="9" t="str">
        <x:v>AR-ET-A-A-TECH-3-B1-RCN-G0</x:v>
      </x:c>
      <x:c r="D126" s="9" t="str">
        <x:v>ET-A-A-TECH-3</x:v>
      </x:c>
      <x:c r="E126" s="9" t="str">
        <x:v>ET-A-A</x:v>
      </x:c>
      <x:c r="F126" s="9" t="str">
        <x:v>B1</x:v>
      </x:c>
      <x:c r="G126" s="9" t="str">
        <x:v>RCN</x:v>
      </x:c>
      <x:c r="H126" s="9" t="str">
        <x:v>IV03</x:v>
      </x:c>
      <x:c r="I126" s="17" t="str">
        <x:v>Temporal priority</x:v>
      </x:c>
      <x:c r="J126" s="17" t="str">
        <x:v>cause demonstrably precedes the disputed candidate behavior</x:v>
      </x:c>
      <x:c r="K126" s="17" t="str">
        <x:v>Time authority</x:v>
      </x:c>
      <x:c r="L126" s="9" t="n">
        <x:v>0</x:v>
      </x:c>
      <x:c r="M126" s="9" t="n">
        <x:v>0</x:v>
      </x:c>
      <x:c r="N126" s="9" t="str">
        <x:v>UNFILED / UNPROVEN</x:v>
      </x:c>
      <x:c r="O126" s="9" t="n">
        <x:f>COUNTIFS($A$7:$A$1302,A126)</x:f>
        <x:v>1</x:v>
      </x:c>
    </x:row>
    <x:row r="127">
      <x:c r="A127" s="9" t="str">
        <x:v>EV-AR-ET-A-A-TECH-3-B1-RCN-G0-IV04</x:v>
      </x:c>
      <x:c r="B127" s="9" t="str">
        <x:v>EV-AR-ET-A-A-TECH-3-B1-RCN-G0</x:v>
      </x:c>
      <x:c r="C127" s="9" t="str">
        <x:v>AR-ET-A-A-TECH-3-B1-RCN-G0</x:v>
      </x:c>
      <x:c r="D127" s="9" t="str">
        <x:v>ET-A-A-TECH-3</x:v>
      </x:c>
      <x:c r="E127" s="9" t="str">
        <x:v>ET-A-A</x:v>
      </x:c>
      <x:c r="F127" s="9" t="str">
        <x:v>B1</x:v>
      </x:c>
      <x:c r="G127" s="9" t="str">
        <x:v>RCN</x:v>
      </x:c>
      <x:c r="H127" s="9" t="str">
        <x:v>IV04</x:v>
      </x:c>
      <x:c r="I127" s="17" t="str">
        <x:v>Independent trace</x:v>
      </x:c>
      <x:c r="J127" s="17" t="str">
        <x:v>two unlike records carry the cause without candidate custody</x:v>
      </x:c>
      <x:c r="K127" s="17" t="str">
        <x:v>Invalidity court</x:v>
      </x:c>
      <x:c r="L127" s="9" t="n">
        <x:v>0</x:v>
      </x:c>
      <x:c r="M127" s="9" t="n">
        <x:v>0</x:v>
      </x:c>
      <x:c r="N127" s="9" t="str">
        <x:v>UNFILED / UNPROVEN</x:v>
      </x:c>
      <x:c r="O127" s="9" t="n">
        <x:f>COUNTIFS($A$7:$A$1302,A127)</x:f>
        <x:v>1</x:v>
      </x:c>
    </x:row>
    <x:row r="128">
      <x:c r="A128" s="9" t="str">
        <x:v>EV-AR-ET-A-A-TECH-3-B1-RCN-G0-IV05</x:v>
      </x:c>
      <x:c r="B128" s="9" t="str">
        <x:v>EV-AR-ET-A-A-TECH-3-B1-RCN-G0</x:v>
      </x:c>
      <x:c r="C128" s="9" t="str">
        <x:v>AR-ET-A-A-TECH-3-B1-RCN-G0</x:v>
      </x:c>
      <x:c r="D128" s="9" t="str">
        <x:v>ET-A-A-TECH-3</x:v>
      </x:c>
      <x:c r="E128" s="9" t="str">
        <x:v>ET-A-A</x:v>
      </x:c>
      <x:c r="F128" s="9" t="str">
        <x:v>B1</x:v>
      </x:c>
      <x:c r="G128" s="9" t="str">
        <x:v>RCN</x:v>
      </x:c>
      <x:c r="H128" s="9" t="str">
        <x:v>IV05</x:v>
      </x:c>
      <x:c r="I128" s="17" t="str">
        <x:v>Causal counterfactual</x:v>
      </x:c>
      <x:c r="J128" s="17" t="str">
        <x:v>registered counterfactual shows the cause can create the defect</x:v>
      </x:c>
      <x:c r="K128" s="17" t="str">
        <x:v>Causal court</x:v>
      </x:c>
      <x:c r="L128" s="9" t="n">
        <x:v>0</x:v>
      </x:c>
      <x:c r="M128" s="9" t="n">
        <x:v>0</x:v>
      </x:c>
      <x:c r="N128" s="9" t="str">
        <x:v>UNFILED / UNPROVEN</x:v>
      </x:c>
      <x:c r="O128" s="9" t="n">
        <x:f>COUNTIFS($A$7:$A$1302,A128)</x:f>
        <x:v>1</x:v>
      </x:c>
    </x:row>
    <x:row r="129">
      <x:c r="A129" s="9" t="str">
        <x:v>EV-AR-ET-A-A-TECH-3-B1-RCN-G0-IV06</x:v>
      </x:c>
      <x:c r="B129" s="9" t="str">
        <x:v>EV-AR-ET-A-A-TECH-3-B1-RCN-G0</x:v>
      </x:c>
      <x:c r="C129" s="9" t="str">
        <x:v>AR-ET-A-A-TECH-3-B1-RCN-G0</x:v>
      </x:c>
      <x:c r="D129" s="9" t="str">
        <x:v>ET-A-A-TECH-3</x:v>
      </x:c>
      <x:c r="E129" s="9" t="str">
        <x:v>ET-A-A</x:v>
      </x:c>
      <x:c r="F129" s="9" t="str">
        <x:v>B1</x:v>
      </x:c>
      <x:c r="G129" s="9" t="str">
        <x:v>RCN</x:v>
      </x:c>
      <x:c r="H129" s="9" t="str">
        <x:v>IV06</x:v>
      </x:c>
      <x:c r="I129" s="17" t="str">
        <x:v>Candidate non-causation</x:v>
      </x:c>
      <x:c r="J129" s="17" t="str">
        <x:v>evidence excludes candidate induction of the facility condition</x:v>
      </x:c>
      <x:c r="K129" s="17" t="str">
        <x:v>Causal court</x:v>
      </x:c>
      <x:c r="L129" s="9" t="n">
        <x:v>0</x:v>
      </x:c>
      <x:c r="M129" s="9" t="n">
        <x:v>0</x:v>
      </x:c>
      <x:c r="N129" s="9" t="str">
        <x:v>UNFILED / UNPROVEN</x:v>
      </x:c>
      <x:c r="O129" s="9" t="n">
        <x:f>COUNTIFS($A$7:$A$1302,A129)</x:f>
        <x:v>1</x:v>
      </x:c>
    </x:row>
    <x:row r="130">
      <x:c r="A130" s="9" t="str">
        <x:v>EV-AR-ET-A-A-TECH-3-B1-RCN-G0-IV07</x:v>
      </x:c>
      <x:c r="B130" s="9" t="str">
        <x:v>EV-AR-ET-A-A-TECH-3-B1-RCN-G0</x:v>
      </x:c>
      <x:c r="C130" s="9" t="str">
        <x:v>AR-ET-A-A-TECH-3-B1-RCN-G0</x:v>
      </x:c>
      <x:c r="D130" s="9" t="str">
        <x:v>ET-A-A-TECH-3</x:v>
      </x:c>
      <x:c r="E130" s="9" t="str">
        <x:v>ET-A-A</x:v>
      </x:c>
      <x:c r="F130" s="9" t="str">
        <x:v>B1</x:v>
      </x:c>
      <x:c r="G130" s="9" t="str">
        <x:v>RCN</x:v>
      </x:c>
      <x:c r="H130" s="9" t="str">
        <x:v>IV07</x:v>
      </x:c>
      <x:c r="I130" s="17" t="str">
        <x:v>No outcome selection</x:v>
      </x:c>
      <x:c r="J130" s="17" t="str">
        <x:v>petition rule and evidence scope were fixed before visibility</x:v>
      </x:c>
      <x:c r="K130" s="17" t="str">
        <x:v>Conflict registrar</x:v>
      </x:c>
      <x:c r="L130" s="9" t="n">
        <x:v>0</x:v>
      </x:c>
      <x:c r="M130" s="9" t="n">
        <x:v>0</x:v>
      </x:c>
      <x:c r="N130" s="9" t="str">
        <x:v>UNFILED / UNPROVEN</x:v>
      </x:c>
      <x:c r="O130" s="9" t="n">
        <x:f>COUNTIFS($A$7:$A$1302,A130)</x:f>
        <x:v>1</x:v>
      </x:c>
    </x:row>
    <x:row r="131">
      <x:c r="A131" s="9" t="str">
        <x:v>EV-AR-ET-A-A-TECH-3-B1-RCN-G0-IV08</x:v>
      </x:c>
      <x:c r="B131" s="9" t="str">
        <x:v>EV-AR-ET-A-A-TECH-3-B1-RCN-G0</x:v>
      </x:c>
      <x:c r="C131" s="9" t="str">
        <x:v>AR-ET-A-A-TECH-3-B1-RCN-G0</x:v>
      </x:c>
      <x:c r="D131" s="9" t="str">
        <x:v>ET-A-A-TECH-3</x:v>
      </x:c>
      <x:c r="E131" s="9" t="str">
        <x:v>ET-A-A</x:v>
      </x:c>
      <x:c r="F131" s="9" t="str">
        <x:v>B1</x:v>
      </x:c>
      <x:c r="G131" s="9" t="str">
        <x:v>RCN</x:v>
      </x:c>
      <x:c r="H131" s="9" t="str">
        <x:v>IV08</x:v>
      </x:c>
      <x:c r="I131" s="17" t="str">
        <x:v>Whole-record preservation</x:v>
      </x:c>
      <x:c r="J131" s="17" t="str">
        <x:v>start, raw behavior, dissent and intervention remain in archive</x:v>
      </x:c>
      <x:c r="K131" s="17" t="str">
        <x:v>Archive authority</x:v>
      </x:c>
      <x:c r="L131" s="9" t="n">
        <x:v>0</x:v>
      </x:c>
      <x:c r="M131" s="9" t="n">
        <x:v>0</x:v>
      </x:c>
      <x:c r="N131" s="9" t="str">
        <x:v>UNFILED / UNPROVEN</x:v>
      </x:c>
      <x:c r="O131" s="9" t="n">
        <x:f>COUNTIFS($A$7:$A$1302,A131)</x:f>
        <x:v>1</x:v>
      </x:c>
    </x:row>
    <x:row r="132">
      <x:c r="A132" s="9" t="str">
        <x:v>EV-AR-ET-A-A-TECH-3-B1-RCN-G0-IV09</x:v>
      </x:c>
      <x:c r="B132" s="9" t="str">
        <x:v>EV-AR-ET-A-A-TECH-3-B1-RCN-G0</x:v>
      </x:c>
      <x:c r="C132" s="9" t="str">
        <x:v>AR-ET-A-A-TECH-3-B1-RCN-G0</x:v>
      </x:c>
      <x:c r="D132" s="9" t="str">
        <x:v>ET-A-A-TECH-3</x:v>
      </x:c>
      <x:c r="E132" s="9" t="str">
        <x:v>ET-A-A</x:v>
      </x:c>
      <x:c r="F132" s="9" t="str">
        <x:v>B1</x:v>
      </x:c>
      <x:c r="G132" s="9" t="str">
        <x:v>RCN</x:v>
      </x:c>
      <x:c r="H132" s="9" t="str">
        <x:v>IV09</x:v>
      </x:c>
      <x:c r="I132" s="17" t="str">
        <x:v>Bounded remedy</x:v>
      </x:c>
      <x:c r="J132" s="17" t="str">
        <x:v>only a new slot and EOW may follow; no favorable credit or erased attempt</x:v>
      </x:c>
      <x:c r="K132" s="17" t="str">
        <x:v>Invalidity court</x:v>
      </x:c>
      <x:c r="L132" s="9" t="n">
        <x:v>0</x:v>
      </x:c>
      <x:c r="M132" s="9" t="n">
        <x:v>0</x:v>
      </x:c>
      <x:c r="N132" s="9" t="str">
        <x:v>UNFILED / UNPROVEN</x:v>
      </x:c>
      <x:c r="O132" s="9" t="n">
        <x:f>COUNTIFS($A$7:$A$1302,A132)</x:f>
        <x:v>1</x:v>
      </x:c>
    </x:row>
    <x:row r="133">
      <x:c r="A133" s="9" t="str">
        <x:v>EV-AR-HC-A-C-TECH-4-B2-INT-G0-IV01</x:v>
      </x:c>
      <x:c r="B133" s="9" t="str">
        <x:v>EV-AR-HC-A-C-TECH-4-B2-INT-G0</x:v>
      </x:c>
      <x:c r="C133" s="9" t="str">
        <x:v>AR-HC-A-C-TECH-4-B2-INT-G0</x:v>
      </x:c>
      <x:c r="D133" s="9" t="str">
        <x:v>HC-A-C-TECH-4</x:v>
      </x:c>
      <x:c r="E133" s="9" t="str">
        <x:v>HC-A-C</x:v>
      </x:c>
      <x:c r="F133" s="9" t="str">
        <x:v>B2</x:v>
      </x:c>
      <x:c r="G133" s="9" t="str">
        <x:v>INT</x:v>
      </x:c>
      <x:c r="H133" s="9" t="str">
        <x:v>IV01</x:v>
      </x:c>
      <x:c r="I133" s="17" t="str">
        <x:v>Timely petition</x:v>
      </x:c>
      <x:c r="J133" s="17" t="str">
        <x:v>petition enters within seventy-two hours of event close</x:v>
      </x:c>
      <x:c r="K133" s="17" t="str">
        <x:v>Invalidity registrar</x:v>
      </x:c>
      <x:c r="L133" s="9" t="n">
        <x:v>0</x:v>
      </x:c>
      <x:c r="M133" s="9" t="n">
        <x:v>0</x:v>
      </x:c>
      <x:c r="N133" s="9" t="str">
        <x:v>UNFILED / UNPROVEN</x:v>
      </x:c>
      <x:c r="O133" s="9" t="n">
        <x:f>COUNTIFS($A$7:$A$1302,A133)</x:f>
        <x:v>1</x:v>
      </x:c>
    </x:row>
    <x:row r="134">
      <x:c r="A134" s="9" t="str">
        <x:v>EV-AR-HC-A-C-TECH-4-B2-INT-G0-IV02</x:v>
      </x:c>
      <x:c r="B134" s="9" t="str">
        <x:v>EV-AR-HC-A-C-TECH-4-B2-INT-G0</x:v>
      </x:c>
      <x:c r="C134" s="9" t="str">
        <x:v>AR-HC-A-C-TECH-4-B2-INT-G0</x:v>
      </x:c>
      <x:c r="D134" s="9" t="str">
        <x:v>HC-A-C-TECH-4</x:v>
      </x:c>
      <x:c r="E134" s="9" t="str">
        <x:v>HC-A-C</x:v>
      </x:c>
      <x:c r="F134" s="9" t="str">
        <x:v>B2</x:v>
      </x:c>
      <x:c r="G134" s="9" t="str">
        <x:v>INT</x:v>
      </x:c>
      <x:c r="H134" s="9" t="str">
        <x:v>IV02</x:v>
      </x:c>
      <x:c r="I134" s="17" t="str">
        <x:v>Named facility cause</x:v>
      </x:c>
      <x:c r="J134" s="17" t="str">
        <x:v>one pre-registered noncandidate cause is identified</x:v>
      </x:c>
      <x:c r="K134" s="17" t="str">
        <x:v>Facility-cause court</x:v>
      </x:c>
      <x:c r="L134" s="9" t="n">
        <x:v>0</x:v>
      </x:c>
      <x:c r="M134" s="9" t="n">
        <x:v>0</x:v>
      </x:c>
      <x:c r="N134" s="9" t="str">
        <x:v>UNFILED / UNPROVEN</x:v>
      </x:c>
      <x:c r="O134" s="9" t="n">
        <x:f>COUNTIFS($A$7:$A$1302,A134)</x:f>
        <x:v>1</x:v>
      </x:c>
    </x:row>
    <x:row r="135">
      <x:c r="A135" s="9" t="str">
        <x:v>EV-AR-HC-A-C-TECH-4-B2-INT-G0-IV03</x:v>
      </x:c>
      <x:c r="B135" s="9" t="str">
        <x:v>EV-AR-HC-A-C-TECH-4-B2-INT-G0</x:v>
      </x:c>
      <x:c r="C135" s="9" t="str">
        <x:v>AR-HC-A-C-TECH-4-B2-INT-G0</x:v>
      </x:c>
      <x:c r="D135" s="9" t="str">
        <x:v>HC-A-C-TECH-4</x:v>
      </x:c>
      <x:c r="E135" s="9" t="str">
        <x:v>HC-A-C</x:v>
      </x:c>
      <x:c r="F135" s="9" t="str">
        <x:v>B2</x:v>
      </x:c>
      <x:c r="G135" s="9" t="str">
        <x:v>INT</x:v>
      </x:c>
      <x:c r="H135" s="9" t="str">
        <x:v>IV03</x:v>
      </x:c>
      <x:c r="I135" s="17" t="str">
        <x:v>Temporal priority</x:v>
      </x:c>
      <x:c r="J135" s="17" t="str">
        <x:v>cause demonstrably precedes the disputed candidate behavior</x:v>
      </x:c>
      <x:c r="K135" s="17" t="str">
        <x:v>Time authority</x:v>
      </x:c>
      <x:c r="L135" s="9" t="n">
        <x:v>0</x:v>
      </x:c>
      <x:c r="M135" s="9" t="n">
        <x:v>0</x:v>
      </x:c>
      <x:c r="N135" s="9" t="str">
        <x:v>UNFILED / UNPROVEN</x:v>
      </x:c>
      <x:c r="O135" s="9" t="n">
        <x:f>COUNTIFS($A$7:$A$1302,A135)</x:f>
        <x:v>1</x:v>
      </x:c>
    </x:row>
    <x:row r="136">
      <x:c r="A136" s="9" t="str">
        <x:v>EV-AR-HC-A-C-TECH-4-B2-INT-G0-IV04</x:v>
      </x:c>
      <x:c r="B136" s="9" t="str">
        <x:v>EV-AR-HC-A-C-TECH-4-B2-INT-G0</x:v>
      </x:c>
      <x:c r="C136" s="9" t="str">
        <x:v>AR-HC-A-C-TECH-4-B2-INT-G0</x:v>
      </x:c>
      <x:c r="D136" s="9" t="str">
        <x:v>HC-A-C-TECH-4</x:v>
      </x:c>
      <x:c r="E136" s="9" t="str">
        <x:v>HC-A-C</x:v>
      </x:c>
      <x:c r="F136" s="9" t="str">
        <x:v>B2</x:v>
      </x:c>
      <x:c r="G136" s="9" t="str">
        <x:v>INT</x:v>
      </x:c>
      <x:c r="H136" s="9" t="str">
        <x:v>IV04</x:v>
      </x:c>
      <x:c r="I136" s="17" t="str">
        <x:v>Independent trace</x:v>
      </x:c>
      <x:c r="J136" s="17" t="str">
        <x:v>two unlike records carry the cause without candidate custody</x:v>
      </x:c>
      <x:c r="K136" s="17" t="str">
        <x:v>Invalidity court</x:v>
      </x:c>
      <x:c r="L136" s="9" t="n">
        <x:v>0</x:v>
      </x:c>
      <x:c r="M136" s="9" t="n">
        <x:v>0</x:v>
      </x:c>
      <x:c r="N136" s="9" t="str">
        <x:v>UNFILED / UNPROVEN</x:v>
      </x:c>
      <x:c r="O136" s="9" t="n">
        <x:f>COUNTIFS($A$7:$A$1302,A136)</x:f>
        <x:v>1</x:v>
      </x:c>
    </x:row>
    <x:row r="137">
      <x:c r="A137" s="9" t="str">
        <x:v>EV-AR-HC-A-C-TECH-4-B2-INT-G0-IV05</x:v>
      </x:c>
      <x:c r="B137" s="9" t="str">
        <x:v>EV-AR-HC-A-C-TECH-4-B2-INT-G0</x:v>
      </x:c>
      <x:c r="C137" s="9" t="str">
        <x:v>AR-HC-A-C-TECH-4-B2-INT-G0</x:v>
      </x:c>
      <x:c r="D137" s="9" t="str">
        <x:v>HC-A-C-TECH-4</x:v>
      </x:c>
      <x:c r="E137" s="9" t="str">
        <x:v>HC-A-C</x:v>
      </x:c>
      <x:c r="F137" s="9" t="str">
        <x:v>B2</x:v>
      </x:c>
      <x:c r="G137" s="9" t="str">
        <x:v>INT</x:v>
      </x:c>
      <x:c r="H137" s="9" t="str">
        <x:v>IV05</x:v>
      </x:c>
      <x:c r="I137" s="17" t="str">
        <x:v>Causal counterfactual</x:v>
      </x:c>
      <x:c r="J137" s="17" t="str">
        <x:v>registered counterfactual shows the cause can create the defect</x:v>
      </x:c>
      <x:c r="K137" s="17" t="str">
        <x:v>Causal court</x:v>
      </x:c>
      <x:c r="L137" s="9" t="n">
        <x:v>0</x:v>
      </x:c>
      <x:c r="M137" s="9" t="n">
        <x:v>0</x:v>
      </x:c>
      <x:c r="N137" s="9" t="str">
        <x:v>UNFILED / UNPROVEN</x:v>
      </x:c>
      <x:c r="O137" s="9" t="n">
        <x:f>COUNTIFS($A$7:$A$1302,A137)</x:f>
        <x:v>1</x:v>
      </x:c>
    </x:row>
    <x:row r="138">
      <x:c r="A138" s="9" t="str">
        <x:v>EV-AR-HC-A-C-TECH-4-B2-INT-G0-IV06</x:v>
      </x:c>
      <x:c r="B138" s="9" t="str">
        <x:v>EV-AR-HC-A-C-TECH-4-B2-INT-G0</x:v>
      </x:c>
      <x:c r="C138" s="9" t="str">
        <x:v>AR-HC-A-C-TECH-4-B2-INT-G0</x:v>
      </x:c>
      <x:c r="D138" s="9" t="str">
        <x:v>HC-A-C-TECH-4</x:v>
      </x:c>
      <x:c r="E138" s="9" t="str">
        <x:v>HC-A-C</x:v>
      </x:c>
      <x:c r="F138" s="9" t="str">
        <x:v>B2</x:v>
      </x:c>
      <x:c r="G138" s="9" t="str">
        <x:v>INT</x:v>
      </x:c>
      <x:c r="H138" s="9" t="str">
        <x:v>IV06</x:v>
      </x:c>
      <x:c r="I138" s="17" t="str">
        <x:v>Candidate non-causation</x:v>
      </x:c>
      <x:c r="J138" s="17" t="str">
        <x:v>evidence excludes candidate induction of the facility condition</x:v>
      </x:c>
      <x:c r="K138" s="17" t="str">
        <x:v>Causal court</x:v>
      </x:c>
      <x:c r="L138" s="9" t="n">
        <x:v>0</x:v>
      </x:c>
      <x:c r="M138" s="9" t="n">
        <x:v>0</x:v>
      </x:c>
      <x:c r="N138" s="9" t="str">
        <x:v>UNFILED / UNPROVEN</x:v>
      </x:c>
      <x:c r="O138" s="9" t="n">
        <x:f>COUNTIFS($A$7:$A$1302,A138)</x:f>
        <x:v>1</x:v>
      </x:c>
    </x:row>
    <x:row r="139">
      <x:c r="A139" s="9" t="str">
        <x:v>EV-AR-HC-A-C-TECH-4-B2-INT-G0-IV07</x:v>
      </x:c>
      <x:c r="B139" s="9" t="str">
        <x:v>EV-AR-HC-A-C-TECH-4-B2-INT-G0</x:v>
      </x:c>
      <x:c r="C139" s="9" t="str">
        <x:v>AR-HC-A-C-TECH-4-B2-INT-G0</x:v>
      </x:c>
      <x:c r="D139" s="9" t="str">
        <x:v>HC-A-C-TECH-4</x:v>
      </x:c>
      <x:c r="E139" s="9" t="str">
        <x:v>HC-A-C</x:v>
      </x:c>
      <x:c r="F139" s="9" t="str">
        <x:v>B2</x:v>
      </x:c>
      <x:c r="G139" s="9" t="str">
        <x:v>INT</x:v>
      </x:c>
      <x:c r="H139" s="9" t="str">
        <x:v>IV07</x:v>
      </x:c>
      <x:c r="I139" s="17" t="str">
        <x:v>No outcome selection</x:v>
      </x:c>
      <x:c r="J139" s="17" t="str">
        <x:v>petition rule and evidence scope were fixed before visibility</x:v>
      </x:c>
      <x:c r="K139" s="17" t="str">
        <x:v>Conflict registrar</x:v>
      </x:c>
      <x:c r="L139" s="9" t="n">
        <x:v>0</x:v>
      </x:c>
      <x:c r="M139" s="9" t="n">
        <x:v>0</x:v>
      </x:c>
      <x:c r="N139" s="9" t="str">
        <x:v>UNFILED / UNPROVEN</x:v>
      </x:c>
      <x:c r="O139" s="9" t="n">
        <x:f>COUNTIFS($A$7:$A$1302,A139)</x:f>
        <x:v>1</x:v>
      </x:c>
    </x:row>
    <x:row r="140">
      <x:c r="A140" s="9" t="str">
        <x:v>EV-AR-HC-A-C-TECH-4-B2-INT-G0-IV08</x:v>
      </x:c>
      <x:c r="B140" s="9" t="str">
        <x:v>EV-AR-HC-A-C-TECH-4-B2-INT-G0</x:v>
      </x:c>
      <x:c r="C140" s="9" t="str">
        <x:v>AR-HC-A-C-TECH-4-B2-INT-G0</x:v>
      </x:c>
      <x:c r="D140" s="9" t="str">
        <x:v>HC-A-C-TECH-4</x:v>
      </x:c>
      <x:c r="E140" s="9" t="str">
        <x:v>HC-A-C</x:v>
      </x:c>
      <x:c r="F140" s="9" t="str">
        <x:v>B2</x:v>
      </x:c>
      <x:c r="G140" s="9" t="str">
        <x:v>INT</x:v>
      </x:c>
      <x:c r="H140" s="9" t="str">
        <x:v>IV08</x:v>
      </x:c>
      <x:c r="I140" s="17" t="str">
        <x:v>Whole-record preservation</x:v>
      </x:c>
      <x:c r="J140" s="17" t="str">
        <x:v>start, raw behavior, dissent and intervention remain in archive</x:v>
      </x:c>
      <x:c r="K140" s="17" t="str">
        <x:v>Archive authority</x:v>
      </x:c>
      <x:c r="L140" s="9" t="n">
        <x:v>0</x:v>
      </x:c>
      <x:c r="M140" s="9" t="n">
        <x:v>0</x:v>
      </x:c>
      <x:c r="N140" s="9" t="str">
        <x:v>UNFILED / UNPROVEN</x:v>
      </x:c>
      <x:c r="O140" s="9" t="n">
        <x:f>COUNTIFS($A$7:$A$1302,A140)</x:f>
        <x:v>1</x:v>
      </x:c>
    </x:row>
    <x:row r="141">
      <x:c r="A141" s="9" t="str">
        <x:v>EV-AR-HC-A-C-TECH-4-B2-INT-G0-IV09</x:v>
      </x:c>
      <x:c r="B141" s="9" t="str">
        <x:v>EV-AR-HC-A-C-TECH-4-B2-INT-G0</x:v>
      </x:c>
      <x:c r="C141" s="9" t="str">
        <x:v>AR-HC-A-C-TECH-4-B2-INT-G0</x:v>
      </x:c>
      <x:c r="D141" s="9" t="str">
        <x:v>HC-A-C-TECH-4</x:v>
      </x:c>
      <x:c r="E141" s="9" t="str">
        <x:v>HC-A-C</x:v>
      </x:c>
      <x:c r="F141" s="9" t="str">
        <x:v>B2</x:v>
      </x:c>
      <x:c r="G141" s="9" t="str">
        <x:v>INT</x:v>
      </x:c>
      <x:c r="H141" s="9" t="str">
        <x:v>IV09</x:v>
      </x:c>
      <x:c r="I141" s="17" t="str">
        <x:v>Bounded remedy</x:v>
      </x:c>
      <x:c r="J141" s="17" t="str">
        <x:v>only a new slot and EOW may follow; no favorable credit or erased attempt</x:v>
      </x:c>
      <x:c r="K141" s="17" t="str">
        <x:v>Invalidity court</x:v>
      </x:c>
      <x:c r="L141" s="9" t="n">
        <x:v>0</x:v>
      </x:c>
      <x:c r="M141" s="9" t="n">
        <x:v>0</x:v>
      </x:c>
      <x:c r="N141" s="9" t="str">
        <x:v>UNFILED / UNPROVEN</x:v>
      </x:c>
      <x:c r="O141" s="9" t="n">
        <x:f>COUNTIFS($A$7:$A$1302,A141)</x:f>
        <x:v>1</x:v>
      </x:c>
    </x:row>
    <x:row r="142">
      <x:c r="A142" s="9" t="str">
        <x:v>EV-AR-LF-B-A-TECH-3-B2-INT-G0-IV01</x:v>
      </x:c>
      <x:c r="B142" s="9" t="str">
        <x:v>EV-AR-LF-B-A-TECH-3-B2-INT-G0</x:v>
      </x:c>
      <x:c r="C142" s="9" t="str">
        <x:v>AR-LF-B-A-TECH-3-B2-INT-G0</x:v>
      </x:c>
      <x:c r="D142" s="9" t="str">
        <x:v>LF-B-A-TECH-3</x:v>
      </x:c>
      <x:c r="E142" s="9" t="str">
        <x:v>LF-B-A</x:v>
      </x:c>
      <x:c r="F142" s="9" t="str">
        <x:v>B2</x:v>
      </x:c>
      <x:c r="G142" s="9" t="str">
        <x:v>INT</x:v>
      </x:c>
      <x:c r="H142" s="9" t="str">
        <x:v>IV01</x:v>
      </x:c>
      <x:c r="I142" s="17" t="str">
        <x:v>Timely petition</x:v>
      </x:c>
      <x:c r="J142" s="17" t="str">
        <x:v>petition enters within seventy-two hours of event close</x:v>
      </x:c>
      <x:c r="K142" s="17" t="str">
        <x:v>Invalidity registrar</x:v>
      </x:c>
      <x:c r="L142" s="9" t="n">
        <x:v>0</x:v>
      </x:c>
      <x:c r="M142" s="9" t="n">
        <x:v>0</x:v>
      </x:c>
      <x:c r="N142" s="9" t="str">
        <x:v>UNFILED / UNPROVEN</x:v>
      </x:c>
      <x:c r="O142" s="9" t="n">
        <x:f>COUNTIFS($A$7:$A$1302,A142)</x:f>
        <x:v>1</x:v>
      </x:c>
    </x:row>
    <x:row r="143">
      <x:c r="A143" s="9" t="str">
        <x:v>EV-AR-LF-B-A-TECH-3-B2-INT-G0-IV02</x:v>
      </x:c>
      <x:c r="B143" s="9" t="str">
        <x:v>EV-AR-LF-B-A-TECH-3-B2-INT-G0</x:v>
      </x:c>
      <x:c r="C143" s="9" t="str">
        <x:v>AR-LF-B-A-TECH-3-B2-INT-G0</x:v>
      </x:c>
      <x:c r="D143" s="9" t="str">
        <x:v>LF-B-A-TECH-3</x:v>
      </x:c>
      <x:c r="E143" s="9" t="str">
        <x:v>LF-B-A</x:v>
      </x:c>
      <x:c r="F143" s="9" t="str">
        <x:v>B2</x:v>
      </x:c>
      <x:c r="G143" s="9" t="str">
        <x:v>INT</x:v>
      </x:c>
      <x:c r="H143" s="9" t="str">
        <x:v>IV02</x:v>
      </x:c>
      <x:c r="I143" s="17" t="str">
        <x:v>Named facility cause</x:v>
      </x:c>
      <x:c r="J143" s="17" t="str">
        <x:v>one pre-registered noncandidate cause is identified</x:v>
      </x:c>
      <x:c r="K143" s="17" t="str">
        <x:v>Facility-cause court</x:v>
      </x:c>
      <x:c r="L143" s="9" t="n">
        <x:v>0</x:v>
      </x:c>
      <x:c r="M143" s="9" t="n">
        <x:v>0</x:v>
      </x:c>
      <x:c r="N143" s="9" t="str">
        <x:v>UNFILED / UNPROVEN</x:v>
      </x:c>
      <x:c r="O143" s="9" t="n">
        <x:f>COUNTIFS($A$7:$A$1302,A143)</x:f>
        <x:v>1</x:v>
      </x:c>
    </x:row>
    <x:row r="144">
      <x:c r="A144" s="9" t="str">
        <x:v>EV-AR-LF-B-A-TECH-3-B2-INT-G0-IV03</x:v>
      </x:c>
      <x:c r="B144" s="9" t="str">
        <x:v>EV-AR-LF-B-A-TECH-3-B2-INT-G0</x:v>
      </x:c>
      <x:c r="C144" s="9" t="str">
        <x:v>AR-LF-B-A-TECH-3-B2-INT-G0</x:v>
      </x:c>
      <x:c r="D144" s="9" t="str">
        <x:v>LF-B-A-TECH-3</x:v>
      </x:c>
      <x:c r="E144" s="9" t="str">
        <x:v>LF-B-A</x:v>
      </x:c>
      <x:c r="F144" s="9" t="str">
        <x:v>B2</x:v>
      </x:c>
      <x:c r="G144" s="9" t="str">
        <x:v>INT</x:v>
      </x:c>
      <x:c r="H144" s="9" t="str">
        <x:v>IV03</x:v>
      </x:c>
      <x:c r="I144" s="17" t="str">
        <x:v>Temporal priority</x:v>
      </x:c>
      <x:c r="J144" s="17" t="str">
        <x:v>cause demonstrably precedes the disputed candidate behavior</x:v>
      </x:c>
      <x:c r="K144" s="17" t="str">
        <x:v>Time authority</x:v>
      </x:c>
      <x:c r="L144" s="9" t="n">
        <x:v>0</x:v>
      </x:c>
      <x:c r="M144" s="9" t="n">
        <x:v>0</x:v>
      </x:c>
      <x:c r="N144" s="9" t="str">
        <x:v>UNFILED / UNPROVEN</x:v>
      </x:c>
      <x:c r="O144" s="9" t="n">
        <x:f>COUNTIFS($A$7:$A$1302,A144)</x:f>
        <x:v>1</x:v>
      </x:c>
    </x:row>
    <x:row r="145">
      <x:c r="A145" s="9" t="str">
        <x:v>EV-AR-LF-B-A-TECH-3-B2-INT-G0-IV04</x:v>
      </x:c>
      <x:c r="B145" s="9" t="str">
        <x:v>EV-AR-LF-B-A-TECH-3-B2-INT-G0</x:v>
      </x:c>
      <x:c r="C145" s="9" t="str">
        <x:v>AR-LF-B-A-TECH-3-B2-INT-G0</x:v>
      </x:c>
      <x:c r="D145" s="9" t="str">
        <x:v>LF-B-A-TECH-3</x:v>
      </x:c>
      <x:c r="E145" s="9" t="str">
        <x:v>LF-B-A</x:v>
      </x:c>
      <x:c r="F145" s="9" t="str">
        <x:v>B2</x:v>
      </x:c>
      <x:c r="G145" s="9" t="str">
        <x:v>INT</x:v>
      </x:c>
      <x:c r="H145" s="9" t="str">
        <x:v>IV04</x:v>
      </x:c>
      <x:c r="I145" s="17" t="str">
        <x:v>Independent trace</x:v>
      </x:c>
      <x:c r="J145" s="17" t="str">
        <x:v>two unlike records carry the cause without candidate custody</x:v>
      </x:c>
      <x:c r="K145" s="17" t="str">
        <x:v>Invalidity court</x:v>
      </x:c>
      <x:c r="L145" s="9" t="n">
        <x:v>0</x:v>
      </x:c>
      <x:c r="M145" s="9" t="n">
        <x:v>0</x:v>
      </x:c>
      <x:c r="N145" s="9" t="str">
        <x:v>UNFILED / UNPROVEN</x:v>
      </x:c>
      <x:c r="O145" s="9" t="n">
        <x:f>COUNTIFS($A$7:$A$1302,A145)</x:f>
        <x:v>1</x:v>
      </x:c>
    </x:row>
    <x:row r="146">
      <x:c r="A146" s="9" t="str">
        <x:v>EV-AR-LF-B-A-TECH-3-B2-INT-G0-IV05</x:v>
      </x:c>
      <x:c r="B146" s="9" t="str">
        <x:v>EV-AR-LF-B-A-TECH-3-B2-INT-G0</x:v>
      </x:c>
      <x:c r="C146" s="9" t="str">
        <x:v>AR-LF-B-A-TECH-3-B2-INT-G0</x:v>
      </x:c>
      <x:c r="D146" s="9" t="str">
        <x:v>LF-B-A-TECH-3</x:v>
      </x:c>
      <x:c r="E146" s="9" t="str">
        <x:v>LF-B-A</x:v>
      </x:c>
      <x:c r="F146" s="9" t="str">
        <x:v>B2</x:v>
      </x:c>
      <x:c r="G146" s="9" t="str">
        <x:v>INT</x:v>
      </x:c>
      <x:c r="H146" s="9" t="str">
        <x:v>IV05</x:v>
      </x:c>
      <x:c r="I146" s="17" t="str">
        <x:v>Causal counterfactual</x:v>
      </x:c>
      <x:c r="J146" s="17" t="str">
        <x:v>registered counterfactual shows the cause can create the defect</x:v>
      </x:c>
      <x:c r="K146" s="17" t="str">
        <x:v>Causal court</x:v>
      </x:c>
      <x:c r="L146" s="9" t="n">
        <x:v>0</x:v>
      </x:c>
      <x:c r="M146" s="9" t="n">
        <x:v>0</x:v>
      </x:c>
      <x:c r="N146" s="9" t="str">
        <x:v>UNFILED / UNPROVEN</x:v>
      </x:c>
      <x:c r="O146" s="9" t="n">
        <x:f>COUNTIFS($A$7:$A$1302,A146)</x:f>
        <x:v>1</x:v>
      </x:c>
    </x:row>
    <x:row r="147">
      <x:c r="A147" s="9" t="str">
        <x:v>EV-AR-LF-B-A-TECH-3-B2-INT-G0-IV06</x:v>
      </x:c>
      <x:c r="B147" s="9" t="str">
        <x:v>EV-AR-LF-B-A-TECH-3-B2-INT-G0</x:v>
      </x:c>
      <x:c r="C147" s="9" t="str">
        <x:v>AR-LF-B-A-TECH-3-B2-INT-G0</x:v>
      </x:c>
      <x:c r="D147" s="9" t="str">
        <x:v>LF-B-A-TECH-3</x:v>
      </x:c>
      <x:c r="E147" s="9" t="str">
        <x:v>LF-B-A</x:v>
      </x:c>
      <x:c r="F147" s="9" t="str">
        <x:v>B2</x:v>
      </x:c>
      <x:c r="G147" s="9" t="str">
        <x:v>INT</x:v>
      </x:c>
      <x:c r="H147" s="9" t="str">
        <x:v>IV06</x:v>
      </x:c>
      <x:c r="I147" s="17" t="str">
        <x:v>Candidate non-causation</x:v>
      </x:c>
      <x:c r="J147" s="17" t="str">
        <x:v>evidence excludes candidate induction of the facility condition</x:v>
      </x:c>
      <x:c r="K147" s="17" t="str">
        <x:v>Causal court</x:v>
      </x:c>
      <x:c r="L147" s="9" t="n">
        <x:v>0</x:v>
      </x:c>
      <x:c r="M147" s="9" t="n">
        <x:v>0</x:v>
      </x:c>
      <x:c r="N147" s="9" t="str">
        <x:v>UNFILED / UNPROVEN</x:v>
      </x:c>
      <x:c r="O147" s="9" t="n">
        <x:f>COUNTIFS($A$7:$A$1302,A147)</x:f>
        <x:v>1</x:v>
      </x:c>
    </x:row>
    <x:row r="148">
      <x:c r="A148" s="9" t="str">
        <x:v>EV-AR-LF-B-A-TECH-3-B2-INT-G0-IV07</x:v>
      </x:c>
      <x:c r="B148" s="9" t="str">
        <x:v>EV-AR-LF-B-A-TECH-3-B2-INT-G0</x:v>
      </x:c>
      <x:c r="C148" s="9" t="str">
        <x:v>AR-LF-B-A-TECH-3-B2-INT-G0</x:v>
      </x:c>
      <x:c r="D148" s="9" t="str">
        <x:v>LF-B-A-TECH-3</x:v>
      </x:c>
      <x:c r="E148" s="9" t="str">
        <x:v>LF-B-A</x:v>
      </x:c>
      <x:c r="F148" s="9" t="str">
        <x:v>B2</x:v>
      </x:c>
      <x:c r="G148" s="9" t="str">
        <x:v>INT</x:v>
      </x:c>
      <x:c r="H148" s="9" t="str">
        <x:v>IV07</x:v>
      </x:c>
      <x:c r="I148" s="17" t="str">
        <x:v>No outcome selection</x:v>
      </x:c>
      <x:c r="J148" s="17" t="str">
        <x:v>petition rule and evidence scope were fixed before visibility</x:v>
      </x:c>
      <x:c r="K148" s="17" t="str">
        <x:v>Conflict registrar</x:v>
      </x:c>
      <x:c r="L148" s="9" t="n">
        <x:v>0</x:v>
      </x:c>
      <x:c r="M148" s="9" t="n">
        <x:v>0</x:v>
      </x:c>
      <x:c r="N148" s="9" t="str">
        <x:v>UNFILED / UNPROVEN</x:v>
      </x:c>
      <x:c r="O148" s="9" t="n">
        <x:f>COUNTIFS($A$7:$A$1302,A148)</x:f>
        <x:v>1</x:v>
      </x:c>
    </x:row>
    <x:row r="149">
      <x:c r="A149" s="9" t="str">
        <x:v>EV-AR-LF-B-A-TECH-3-B2-INT-G0-IV08</x:v>
      </x:c>
      <x:c r="B149" s="9" t="str">
        <x:v>EV-AR-LF-B-A-TECH-3-B2-INT-G0</x:v>
      </x:c>
      <x:c r="C149" s="9" t="str">
        <x:v>AR-LF-B-A-TECH-3-B2-INT-G0</x:v>
      </x:c>
      <x:c r="D149" s="9" t="str">
        <x:v>LF-B-A-TECH-3</x:v>
      </x:c>
      <x:c r="E149" s="9" t="str">
        <x:v>LF-B-A</x:v>
      </x:c>
      <x:c r="F149" s="9" t="str">
        <x:v>B2</x:v>
      </x:c>
      <x:c r="G149" s="9" t="str">
        <x:v>INT</x:v>
      </x:c>
      <x:c r="H149" s="9" t="str">
        <x:v>IV08</x:v>
      </x:c>
      <x:c r="I149" s="17" t="str">
        <x:v>Whole-record preservation</x:v>
      </x:c>
      <x:c r="J149" s="17" t="str">
        <x:v>start, raw behavior, dissent and intervention remain in archive</x:v>
      </x:c>
      <x:c r="K149" s="17" t="str">
        <x:v>Archive authority</x:v>
      </x:c>
      <x:c r="L149" s="9" t="n">
        <x:v>0</x:v>
      </x:c>
      <x:c r="M149" s="9" t="n">
        <x:v>0</x:v>
      </x:c>
      <x:c r="N149" s="9" t="str">
        <x:v>UNFILED / UNPROVEN</x:v>
      </x:c>
      <x:c r="O149" s="9" t="n">
        <x:f>COUNTIFS($A$7:$A$1302,A149)</x:f>
        <x:v>1</x:v>
      </x:c>
    </x:row>
    <x:row r="150">
      <x:c r="A150" s="9" t="str">
        <x:v>EV-AR-LF-B-A-TECH-3-B2-INT-G0-IV09</x:v>
      </x:c>
      <x:c r="B150" s="9" t="str">
        <x:v>EV-AR-LF-B-A-TECH-3-B2-INT-G0</x:v>
      </x:c>
      <x:c r="C150" s="9" t="str">
        <x:v>AR-LF-B-A-TECH-3-B2-INT-G0</x:v>
      </x:c>
      <x:c r="D150" s="9" t="str">
        <x:v>LF-B-A-TECH-3</x:v>
      </x:c>
      <x:c r="E150" s="9" t="str">
        <x:v>LF-B-A</x:v>
      </x:c>
      <x:c r="F150" s="9" t="str">
        <x:v>B2</x:v>
      </x:c>
      <x:c r="G150" s="9" t="str">
        <x:v>INT</x:v>
      </x:c>
      <x:c r="H150" s="9" t="str">
        <x:v>IV09</x:v>
      </x:c>
      <x:c r="I150" s="17" t="str">
        <x:v>Bounded remedy</x:v>
      </x:c>
      <x:c r="J150" s="17" t="str">
        <x:v>only a new slot and EOW may follow; no favorable credit or erased attempt</x:v>
      </x:c>
      <x:c r="K150" s="17" t="str">
        <x:v>Invalidity court</x:v>
      </x:c>
      <x:c r="L150" s="9" t="n">
        <x:v>0</x:v>
      </x:c>
      <x:c r="M150" s="9" t="n">
        <x:v>0</x:v>
      </x:c>
      <x:c r="N150" s="9" t="str">
        <x:v>UNFILED / UNPROVEN</x:v>
      </x:c>
      <x:c r="O150" s="9" t="n">
        <x:f>COUNTIFS($A$7:$A$1302,A150)</x:f>
        <x:v>1</x:v>
      </x:c>
    </x:row>
    <x:row r="151">
      <x:c r="A151" s="9" t="str">
        <x:v>EV-AR-RT-B-C-TECH-3-B2-RCN-G0-IV01</x:v>
      </x:c>
      <x:c r="B151" s="9" t="str">
        <x:v>EV-AR-RT-B-C-TECH-3-B2-RCN-G0</x:v>
      </x:c>
      <x:c r="C151" s="9" t="str">
        <x:v>AR-RT-B-C-TECH-3-B2-RCN-G0</x:v>
      </x:c>
      <x:c r="D151" s="9" t="str">
        <x:v>RT-B-C-TECH-3</x:v>
      </x:c>
      <x:c r="E151" s="9" t="str">
        <x:v>RT-B-C</x:v>
      </x:c>
      <x:c r="F151" s="9" t="str">
        <x:v>B2</x:v>
      </x:c>
      <x:c r="G151" s="9" t="str">
        <x:v>RCN</x:v>
      </x:c>
      <x:c r="H151" s="9" t="str">
        <x:v>IV01</x:v>
      </x:c>
      <x:c r="I151" s="17" t="str">
        <x:v>Timely petition</x:v>
      </x:c>
      <x:c r="J151" s="17" t="str">
        <x:v>petition enters within seventy-two hours of event close</x:v>
      </x:c>
      <x:c r="K151" s="17" t="str">
        <x:v>Invalidity registrar</x:v>
      </x:c>
      <x:c r="L151" s="9" t="n">
        <x:v>0</x:v>
      </x:c>
      <x:c r="M151" s="9" t="n">
        <x:v>0</x:v>
      </x:c>
      <x:c r="N151" s="9" t="str">
        <x:v>UNFILED / UNPROVEN</x:v>
      </x:c>
      <x:c r="O151" s="9" t="n">
        <x:f>COUNTIFS($A$7:$A$1302,A151)</x:f>
        <x:v>1</x:v>
      </x:c>
    </x:row>
    <x:row r="152">
      <x:c r="A152" s="9" t="str">
        <x:v>EV-AR-RT-B-C-TECH-3-B2-RCN-G0-IV02</x:v>
      </x:c>
      <x:c r="B152" s="9" t="str">
        <x:v>EV-AR-RT-B-C-TECH-3-B2-RCN-G0</x:v>
      </x:c>
      <x:c r="C152" s="9" t="str">
        <x:v>AR-RT-B-C-TECH-3-B2-RCN-G0</x:v>
      </x:c>
      <x:c r="D152" s="9" t="str">
        <x:v>RT-B-C-TECH-3</x:v>
      </x:c>
      <x:c r="E152" s="9" t="str">
        <x:v>RT-B-C</x:v>
      </x:c>
      <x:c r="F152" s="9" t="str">
        <x:v>B2</x:v>
      </x:c>
      <x:c r="G152" s="9" t="str">
        <x:v>RCN</x:v>
      </x:c>
      <x:c r="H152" s="9" t="str">
        <x:v>IV02</x:v>
      </x:c>
      <x:c r="I152" s="17" t="str">
        <x:v>Named facility cause</x:v>
      </x:c>
      <x:c r="J152" s="17" t="str">
        <x:v>one pre-registered noncandidate cause is identified</x:v>
      </x:c>
      <x:c r="K152" s="17" t="str">
        <x:v>Facility-cause court</x:v>
      </x:c>
      <x:c r="L152" s="9" t="n">
        <x:v>0</x:v>
      </x:c>
      <x:c r="M152" s="9" t="n">
        <x:v>0</x:v>
      </x:c>
      <x:c r="N152" s="9" t="str">
        <x:v>UNFILED / UNPROVEN</x:v>
      </x:c>
      <x:c r="O152" s="9" t="n">
        <x:f>COUNTIFS($A$7:$A$1302,A152)</x:f>
        <x:v>1</x:v>
      </x:c>
    </x:row>
    <x:row r="153">
      <x:c r="A153" s="9" t="str">
        <x:v>EV-AR-RT-B-C-TECH-3-B2-RCN-G0-IV03</x:v>
      </x:c>
      <x:c r="B153" s="9" t="str">
        <x:v>EV-AR-RT-B-C-TECH-3-B2-RCN-G0</x:v>
      </x:c>
      <x:c r="C153" s="9" t="str">
        <x:v>AR-RT-B-C-TECH-3-B2-RCN-G0</x:v>
      </x:c>
      <x:c r="D153" s="9" t="str">
        <x:v>RT-B-C-TECH-3</x:v>
      </x:c>
      <x:c r="E153" s="9" t="str">
        <x:v>RT-B-C</x:v>
      </x:c>
      <x:c r="F153" s="9" t="str">
        <x:v>B2</x:v>
      </x:c>
      <x:c r="G153" s="9" t="str">
        <x:v>RCN</x:v>
      </x:c>
      <x:c r="H153" s="9" t="str">
        <x:v>IV03</x:v>
      </x:c>
      <x:c r="I153" s="17" t="str">
        <x:v>Temporal priority</x:v>
      </x:c>
      <x:c r="J153" s="17" t="str">
        <x:v>cause demonstrably precedes the disputed candidate behavior</x:v>
      </x:c>
      <x:c r="K153" s="17" t="str">
        <x:v>Time authority</x:v>
      </x:c>
      <x:c r="L153" s="9" t="n">
        <x:v>0</x:v>
      </x:c>
      <x:c r="M153" s="9" t="n">
        <x:v>0</x:v>
      </x:c>
      <x:c r="N153" s="9" t="str">
        <x:v>UNFILED / UNPROVEN</x:v>
      </x:c>
      <x:c r="O153" s="9" t="n">
        <x:f>COUNTIFS($A$7:$A$1302,A153)</x:f>
        <x:v>1</x:v>
      </x:c>
    </x:row>
    <x:row r="154">
      <x:c r="A154" s="9" t="str">
        <x:v>EV-AR-RT-B-C-TECH-3-B2-RCN-G0-IV04</x:v>
      </x:c>
      <x:c r="B154" s="9" t="str">
        <x:v>EV-AR-RT-B-C-TECH-3-B2-RCN-G0</x:v>
      </x:c>
      <x:c r="C154" s="9" t="str">
        <x:v>AR-RT-B-C-TECH-3-B2-RCN-G0</x:v>
      </x:c>
      <x:c r="D154" s="9" t="str">
        <x:v>RT-B-C-TECH-3</x:v>
      </x:c>
      <x:c r="E154" s="9" t="str">
        <x:v>RT-B-C</x:v>
      </x:c>
      <x:c r="F154" s="9" t="str">
        <x:v>B2</x:v>
      </x:c>
      <x:c r="G154" s="9" t="str">
        <x:v>RCN</x:v>
      </x:c>
      <x:c r="H154" s="9" t="str">
        <x:v>IV04</x:v>
      </x:c>
      <x:c r="I154" s="17" t="str">
        <x:v>Independent trace</x:v>
      </x:c>
      <x:c r="J154" s="17" t="str">
        <x:v>two unlike records carry the cause without candidate custody</x:v>
      </x:c>
      <x:c r="K154" s="17" t="str">
        <x:v>Invalidity court</x:v>
      </x:c>
      <x:c r="L154" s="9" t="n">
        <x:v>0</x:v>
      </x:c>
      <x:c r="M154" s="9" t="n">
        <x:v>0</x:v>
      </x:c>
      <x:c r="N154" s="9" t="str">
        <x:v>UNFILED / UNPROVEN</x:v>
      </x:c>
      <x:c r="O154" s="9" t="n">
        <x:f>COUNTIFS($A$7:$A$1302,A154)</x:f>
        <x:v>1</x:v>
      </x:c>
    </x:row>
    <x:row r="155">
      <x:c r="A155" s="9" t="str">
        <x:v>EV-AR-RT-B-C-TECH-3-B2-RCN-G0-IV05</x:v>
      </x:c>
      <x:c r="B155" s="9" t="str">
        <x:v>EV-AR-RT-B-C-TECH-3-B2-RCN-G0</x:v>
      </x:c>
      <x:c r="C155" s="9" t="str">
        <x:v>AR-RT-B-C-TECH-3-B2-RCN-G0</x:v>
      </x:c>
      <x:c r="D155" s="9" t="str">
        <x:v>RT-B-C-TECH-3</x:v>
      </x:c>
      <x:c r="E155" s="9" t="str">
        <x:v>RT-B-C</x:v>
      </x:c>
      <x:c r="F155" s="9" t="str">
        <x:v>B2</x:v>
      </x:c>
      <x:c r="G155" s="9" t="str">
        <x:v>RCN</x:v>
      </x:c>
      <x:c r="H155" s="9" t="str">
        <x:v>IV05</x:v>
      </x:c>
      <x:c r="I155" s="17" t="str">
        <x:v>Causal counterfactual</x:v>
      </x:c>
      <x:c r="J155" s="17" t="str">
        <x:v>registered counterfactual shows the cause can create the defect</x:v>
      </x:c>
      <x:c r="K155" s="17" t="str">
        <x:v>Causal court</x:v>
      </x:c>
      <x:c r="L155" s="9" t="n">
        <x:v>0</x:v>
      </x:c>
      <x:c r="M155" s="9" t="n">
        <x:v>0</x:v>
      </x:c>
      <x:c r="N155" s="9" t="str">
        <x:v>UNFILED / UNPROVEN</x:v>
      </x:c>
      <x:c r="O155" s="9" t="n">
        <x:f>COUNTIFS($A$7:$A$1302,A155)</x:f>
        <x:v>1</x:v>
      </x:c>
    </x:row>
    <x:row r="156">
      <x:c r="A156" s="9" t="str">
        <x:v>EV-AR-RT-B-C-TECH-3-B2-RCN-G0-IV06</x:v>
      </x:c>
      <x:c r="B156" s="9" t="str">
        <x:v>EV-AR-RT-B-C-TECH-3-B2-RCN-G0</x:v>
      </x:c>
      <x:c r="C156" s="9" t="str">
        <x:v>AR-RT-B-C-TECH-3-B2-RCN-G0</x:v>
      </x:c>
      <x:c r="D156" s="9" t="str">
        <x:v>RT-B-C-TECH-3</x:v>
      </x:c>
      <x:c r="E156" s="9" t="str">
        <x:v>RT-B-C</x:v>
      </x:c>
      <x:c r="F156" s="9" t="str">
        <x:v>B2</x:v>
      </x:c>
      <x:c r="G156" s="9" t="str">
        <x:v>RCN</x:v>
      </x:c>
      <x:c r="H156" s="9" t="str">
        <x:v>IV06</x:v>
      </x:c>
      <x:c r="I156" s="17" t="str">
        <x:v>Candidate non-causation</x:v>
      </x:c>
      <x:c r="J156" s="17" t="str">
        <x:v>evidence excludes candidate induction of the facility condition</x:v>
      </x:c>
      <x:c r="K156" s="17" t="str">
        <x:v>Causal court</x:v>
      </x:c>
      <x:c r="L156" s="9" t="n">
        <x:v>0</x:v>
      </x:c>
      <x:c r="M156" s="9" t="n">
        <x:v>0</x:v>
      </x:c>
      <x:c r="N156" s="9" t="str">
        <x:v>UNFILED / UNPROVEN</x:v>
      </x:c>
      <x:c r="O156" s="9" t="n">
        <x:f>COUNTIFS($A$7:$A$1302,A156)</x:f>
        <x:v>1</x:v>
      </x:c>
    </x:row>
    <x:row r="157">
      <x:c r="A157" s="9" t="str">
        <x:v>EV-AR-RT-B-C-TECH-3-B2-RCN-G0-IV07</x:v>
      </x:c>
      <x:c r="B157" s="9" t="str">
        <x:v>EV-AR-RT-B-C-TECH-3-B2-RCN-G0</x:v>
      </x:c>
      <x:c r="C157" s="9" t="str">
        <x:v>AR-RT-B-C-TECH-3-B2-RCN-G0</x:v>
      </x:c>
      <x:c r="D157" s="9" t="str">
        <x:v>RT-B-C-TECH-3</x:v>
      </x:c>
      <x:c r="E157" s="9" t="str">
        <x:v>RT-B-C</x:v>
      </x:c>
      <x:c r="F157" s="9" t="str">
        <x:v>B2</x:v>
      </x:c>
      <x:c r="G157" s="9" t="str">
        <x:v>RCN</x:v>
      </x:c>
      <x:c r="H157" s="9" t="str">
        <x:v>IV07</x:v>
      </x:c>
      <x:c r="I157" s="17" t="str">
        <x:v>No outcome selection</x:v>
      </x:c>
      <x:c r="J157" s="17" t="str">
        <x:v>petition rule and evidence scope were fixed before visibility</x:v>
      </x:c>
      <x:c r="K157" s="17" t="str">
        <x:v>Conflict registrar</x:v>
      </x:c>
      <x:c r="L157" s="9" t="n">
        <x:v>0</x:v>
      </x:c>
      <x:c r="M157" s="9" t="n">
        <x:v>0</x:v>
      </x:c>
      <x:c r="N157" s="9" t="str">
        <x:v>UNFILED / UNPROVEN</x:v>
      </x:c>
      <x:c r="O157" s="9" t="n">
        <x:f>COUNTIFS($A$7:$A$1302,A157)</x:f>
        <x:v>1</x:v>
      </x:c>
    </x:row>
    <x:row r="158">
      <x:c r="A158" s="9" t="str">
        <x:v>EV-AR-RT-B-C-TECH-3-B2-RCN-G0-IV08</x:v>
      </x:c>
      <x:c r="B158" s="9" t="str">
        <x:v>EV-AR-RT-B-C-TECH-3-B2-RCN-G0</x:v>
      </x:c>
      <x:c r="C158" s="9" t="str">
        <x:v>AR-RT-B-C-TECH-3-B2-RCN-G0</x:v>
      </x:c>
      <x:c r="D158" s="9" t="str">
        <x:v>RT-B-C-TECH-3</x:v>
      </x:c>
      <x:c r="E158" s="9" t="str">
        <x:v>RT-B-C</x:v>
      </x:c>
      <x:c r="F158" s="9" t="str">
        <x:v>B2</x:v>
      </x:c>
      <x:c r="G158" s="9" t="str">
        <x:v>RCN</x:v>
      </x:c>
      <x:c r="H158" s="9" t="str">
        <x:v>IV08</x:v>
      </x:c>
      <x:c r="I158" s="17" t="str">
        <x:v>Whole-record preservation</x:v>
      </x:c>
      <x:c r="J158" s="17" t="str">
        <x:v>start, raw behavior, dissent and intervention remain in archive</x:v>
      </x:c>
      <x:c r="K158" s="17" t="str">
        <x:v>Archive authority</x:v>
      </x:c>
      <x:c r="L158" s="9" t="n">
        <x:v>0</x:v>
      </x:c>
      <x:c r="M158" s="9" t="n">
        <x:v>0</x:v>
      </x:c>
      <x:c r="N158" s="9" t="str">
        <x:v>UNFILED / UNPROVEN</x:v>
      </x:c>
      <x:c r="O158" s="9" t="n">
        <x:f>COUNTIFS($A$7:$A$1302,A158)</x:f>
        <x:v>1</x:v>
      </x:c>
    </x:row>
    <x:row r="159">
      <x:c r="A159" s="9" t="str">
        <x:v>EV-AR-RT-B-C-TECH-3-B2-RCN-G0-IV09</x:v>
      </x:c>
      <x:c r="B159" s="9" t="str">
        <x:v>EV-AR-RT-B-C-TECH-3-B2-RCN-G0</x:v>
      </x:c>
      <x:c r="C159" s="9" t="str">
        <x:v>AR-RT-B-C-TECH-3-B2-RCN-G0</x:v>
      </x:c>
      <x:c r="D159" s="9" t="str">
        <x:v>RT-B-C-TECH-3</x:v>
      </x:c>
      <x:c r="E159" s="9" t="str">
        <x:v>RT-B-C</x:v>
      </x:c>
      <x:c r="F159" s="9" t="str">
        <x:v>B2</x:v>
      </x:c>
      <x:c r="G159" s="9" t="str">
        <x:v>RCN</x:v>
      </x:c>
      <x:c r="H159" s="9" t="str">
        <x:v>IV09</x:v>
      </x:c>
      <x:c r="I159" s="17" t="str">
        <x:v>Bounded remedy</x:v>
      </x:c>
      <x:c r="J159" s="17" t="str">
        <x:v>only a new slot and EOW may follow; no favorable credit or erased attempt</x:v>
      </x:c>
      <x:c r="K159" s="17" t="str">
        <x:v>Invalidity court</x:v>
      </x:c>
      <x:c r="L159" s="9" t="n">
        <x:v>0</x:v>
      </x:c>
      <x:c r="M159" s="9" t="n">
        <x:v>0</x:v>
      </x:c>
      <x:c r="N159" s="9" t="str">
        <x:v>UNFILED / UNPROVEN</x:v>
      </x:c>
      <x:c r="O159" s="9" t="n">
        <x:f>COUNTIFS($A$7:$A$1302,A159)</x:f>
        <x:v>1</x:v>
      </x:c>
    </x:row>
    <x:row r="160">
      <x:c r="A160" s="9" t="str">
        <x:v>EV-AR-RT-B-C-TECH-4-B1-RCN-G0-IV01</x:v>
      </x:c>
      <x:c r="B160" s="9" t="str">
        <x:v>EV-AR-RT-B-C-TECH-4-B1-RCN-G0</x:v>
      </x:c>
      <x:c r="C160" s="9" t="str">
        <x:v>AR-RT-B-C-TECH-4-B1-RCN-G0</x:v>
      </x:c>
      <x:c r="D160" s="9" t="str">
        <x:v>RT-B-C-TECH-4</x:v>
      </x:c>
      <x:c r="E160" s="9" t="str">
        <x:v>RT-B-C</x:v>
      </x:c>
      <x:c r="F160" s="9" t="str">
        <x:v>B1</x:v>
      </x:c>
      <x:c r="G160" s="9" t="str">
        <x:v>RCN</x:v>
      </x:c>
      <x:c r="H160" s="9" t="str">
        <x:v>IV01</x:v>
      </x:c>
      <x:c r="I160" s="17" t="str">
        <x:v>Timely petition</x:v>
      </x:c>
      <x:c r="J160" s="17" t="str">
        <x:v>petition enters within seventy-two hours of event close</x:v>
      </x:c>
      <x:c r="K160" s="17" t="str">
        <x:v>Invalidity registrar</x:v>
      </x:c>
      <x:c r="L160" s="9" t="n">
        <x:v>0</x:v>
      </x:c>
      <x:c r="M160" s="9" t="n">
        <x:v>0</x:v>
      </x:c>
      <x:c r="N160" s="9" t="str">
        <x:v>UNFILED / UNPROVEN</x:v>
      </x:c>
      <x:c r="O160" s="9" t="n">
        <x:f>COUNTIFS($A$7:$A$1302,A160)</x:f>
        <x:v>1</x:v>
      </x:c>
    </x:row>
    <x:row r="161">
      <x:c r="A161" s="9" t="str">
        <x:v>EV-AR-RT-B-C-TECH-4-B1-RCN-G0-IV02</x:v>
      </x:c>
      <x:c r="B161" s="9" t="str">
        <x:v>EV-AR-RT-B-C-TECH-4-B1-RCN-G0</x:v>
      </x:c>
      <x:c r="C161" s="9" t="str">
        <x:v>AR-RT-B-C-TECH-4-B1-RCN-G0</x:v>
      </x:c>
      <x:c r="D161" s="9" t="str">
        <x:v>RT-B-C-TECH-4</x:v>
      </x:c>
      <x:c r="E161" s="9" t="str">
        <x:v>RT-B-C</x:v>
      </x:c>
      <x:c r="F161" s="9" t="str">
        <x:v>B1</x:v>
      </x:c>
      <x:c r="G161" s="9" t="str">
        <x:v>RCN</x:v>
      </x:c>
      <x:c r="H161" s="9" t="str">
        <x:v>IV02</x:v>
      </x:c>
      <x:c r="I161" s="17" t="str">
        <x:v>Named facility cause</x:v>
      </x:c>
      <x:c r="J161" s="17" t="str">
        <x:v>one pre-registered noncandidate cause is identified</x:v>
      </x:c>
      <x:c r="K161" s="17" t="str">
        <x:v>Facility-cause court</x:v>
      </x:c>
      <x:c r="L161" s="9" t="n">
        <x:v>0</x:v>
      </x:c>
      <x:c r="M161" s="9" t="n">
        <x:v>0</x:v>
      </x:c>
      <x:c r="N161" s="9" t="str">
        <x:v>UNFILED / UNPROVEN</x:v>
      </x:c>
      <x:c r="O161" s="9" t="n">
        <x:f>COUNTIFS($A$7:$A$1302,A161)</x:f>
        <x:v>1</x:v>
      </x:c>
    </x:row>
    <x:row r="162">
      <x:c r="A162" s="9" t="str">
        <x:v>EV-AR-RT-B-C-TECH-4-B1-RCN-G0-IV03</x:v>
      </x:c>
      <x:c r="B162" s="9" t="str">
        <x:v>EV-AR-RT-B-C-TECH-4-B1-RCN-G0</x:v>
      </x:c>
      <x:c r="C162" s="9" t="str">
        <x:v>AR-RT-B-C-TECH-4-B1-RCN-G0</x:v>
      </x:c>
      <x:c r="D162" s="9" t="str">
        <x:v>RT-B-C-TECH-4</x:v>
      </x:c>
      <x:c r="E162" s="9" t="str">
        <x:v>RT-B-C</x:v>
      </x:c>
      <x:c r="F162" s="9" t="str">
        <x:v>B1</x:v>
      </x:c>
      <x:c r="G162" s="9" t="str">
        <x:v>RCN</x:v>
      </x:c>
      <x:c r="H162" s="9" t="str">
        <x:v>IV03</x:v>
      </x:c>
      <x:c r="I162" s="17" t="str">
        <x:v>Temporal priority</x:v>
      </x:c>
      <x:c r="J162" s="17" t="str">
        <x:v>cause demonstrably precedes the disputed candidate behavior</x:v>
      </x:c>
      <x:c r="K162" s="17" t="str">
        <x:v>Time authority</x:v>
      </x:c>
      <x:c r="L162" s="9" t="n">
        <x:v>0</x:v>
      </x:c>
      <x:c r="M162" s="9" t="n">
        <x:v>0</x:v>
      </x:c>
      <x:c r="N162" s="9" t="str">
        <x:v>UNFILED / UNPROVEN</x:v>
      </x:c>
      <x:c r="O162" s="9" t="n">
        <x:f>COUNTIFS($A$7:$A$1302,A162)</x:f>
        <x:v>1</x:v>
      </x:c>
    </x:row>
    <x:row r="163">
      <x:c r="A163" s="9" t="str">
        <x:v>EV-AR-RT-B-C-TECH-4-B1-RCN-G0-IV04</x:v>
      </x:c>
      <x:c r="B163" s="9" t="str">
        <x:v>EV-AR-RT-B-C-TECH-4-B1-RCN-G0</x:v>
      </x:c>
      <x:c r="C163" s="9" t="str">
        <x:v>AR-RT-B-C-TECH-4-B1-RCN-G0</x:v>
      </x:c>
      <x:c r="D163" s="9" t="str">
        <x:v>RT-B-C-TECH-4</x:v>
      </x:c>
      <x:c r="E163" s="9" t="str">
        <x:v>RT-B-C</x:v>
      </x:c>
      <x:c r="F163" s="9" t="str">
        <x:v>B1</x:v>
      </x:c>
      <x:c r="G163" s="9" t="str">
        <x:v>RCN</x:v>
      </x:c>
      <x:c r="H163" s="9" t="str">
        <x:v>IV04</x:v>
      </x:c>
      <x:c r="I163" s="17" t="str">
        <x:v>Independent trace</x:v>
      </x:c>
      <x:c r="J163" s="17" t="str">
        <x:v>two unlike records carry the cause without candidate custody</x:v>
      </x:c>
      <x:c r="K163" s="17" t="str">
        <x:v>Invalidity court</x:v>
      </x:c>
      <x:c r="L163" s="9" t="n">
        <x:v>0</x:v>
      </x:c>
      <x:c r="M163" s="9" t="n">
        <x:v>0</x:v>
      </x:c>
      <x:c r="N163" s="9" t="str">
        <x:v>UNFILED / UNPROVEN</x:v>
      </x:c>
      <x:c r="O163" s="9" t="n">
        <x:f>COUNTIFS($A$7:$A$1302,A163)</x:f>
        <x:v>1</x:v>
      </x:c>
    </x:row>
    <x:row r="164">
      <x:c r="A164" s="9" t="str">
        <x:v>EV-AR-RT-B-C-TECH-4-B1-RCN-G0-IV05</x:v>
      </x:c>
      <x:c r="B164" s="9" t="str">
        <x:v>EV-AR-RT-B-C-TECH-4-B1-RCN-G0</x:v>
      </x:c>
      <x:c r="C164" s="9" t="str">
        <x:v>AR-RT-B-C-TECH-4-B1-RCN-G0</x:v>
      </x:c>
      <x:c r="D164" s="9" t="str">
        <x:v>RT-B-C-TECH-4</x:v>
      </x:c>
      <x:c r="E164" s="9" t="str">
        <x:v>RT-B-C</x:v>
      </x:c>
      <x:c r="F164" s="9" t="str">
        <x:v>B1</x:v>
      </x:c>
      <x:c r="G164" s="9" t="str">
        <x:v>RCN</x:v>
      </x:c>
      <x:c r="H164" s="9" t="str">
        <x:v>IV05</x:v>
      </x:c>
      <x:c r="I164" s="17" t="str">
        <x:v>Causal counterfactual</x:v>
      </x:c>
      <x:c r="J164" s="17" t="str">
        <x:v>registered counterfactual shows the cause can create the defect</x:v>
      </x:c>
      <x:c r="K164" s="17" t="str">
        <x:v>Causal court</x:v>
      </x:c>
      <x:c r="L164" s="9" t="n">
        <x:v>0</x:v>
      </x:c>
      <x:c r="M164" s="9" t="n">
        <x:v>0</x:v>
      </x:c>
      <x:c r="N164" s="9" t="str">
        <x:v>UNFILED / UNPROVEN</x:v>
      </x:c>
      <x:c r="O164" s="9" t="n">
        <x:f>COUNTIFS($A$7:$A$1302,A164)</x:f>
        <x:v>1</x:v>
      </x:c>
    </x:row>
    <x:row r="165">
      <x:c r="A165" s="9" t="str">
        <x:v>EV-AR-RT-B-C-TECH-4-B1-RCN-G0-IV06</x:v>
      </x:c>
      <x:c r="B165" s="9" t="str">
        <x:v>EV-AR-RT-B-C-TECH-4-B1-RCN-G0</x:v>
      </x:c>
      <x:c r="C165" s="9" t="str">
        <x:v>AR-RT-B-C-TECH-4-B1-RCN-G0</x:v>
      </x:c>
      <x:c r="D165" s="9" t="str">
        <x:v>RT-B-C-TECH-4</x:v>
      </x:c>
      <x:c r="E165" s="9" t="str">
        <x:v>RT-B-C</x:v>
      </x:c>
      <x:c r="F165" s="9" t="str">
        <x:v>B1</x:v>
      </x:c>
      <x:c r="G165" s="9" t="str">
        <x:v>RCN</x:v>
      </x:c>
      <x:c r="H165" s="9" t="str">
        <x:v>IV06</x:v>
      </x:c>
      <x:c r="I165" s="17" t="str">
        <x:v>Candidate non-causation</x:v>
      </x:c>
      <x:c r="J165" s="17" t="str">
        <x:v>evidence excludes candidate induction of the facility condition</x:v>
      </x:c>
      <x:c r="K165" s="17" t="str">
        <x:v>Causal court</x:v>
      </x:c>
      <x:c r="L165" s="9" t="n">
        <x:v>0</x:v>
      </x:c>
      <x:c r="M165" s="9" t="n">
        <x:v>0</x:v>
      </x:c>
      <x:c r="N165" s="9" t="str">
        <x:v>UNFILED / UNPROVEN</x:v>
      </x:c>
      <x:c r="O165" s="9" t="n">
        <x:f>COUNTIFS($A$7:$A$1302,A165)</x:f>
        <x:v>1</x:v>
      </x:c>
    </x:row>
    <x:row r="166">
      <x:c r="A166" s="9" t="str">
        <x:v>EV-AR-RT-B-C-TECH-4-B1-RCN-G0-IV07</x:v>
      </x:c>
      <x:c r="B166" s="9" t="str">
        <x:v>EV-AR-RT-B-C-TECH-4-B1-RCN-G0</x:v>
      </x:c>
      <x:c r="C166" s="9" t="str">
        <x:v>AR-RT-B-C-TECH-4-B1-RCN-G0</x:v>
      </x:c>
      <x:c r="D166" s="9" t="str">
        <x:v>RT-B-C-TECH-4</x:v>
      </x:c>
      <x:c r="E166" s="9" t="str">
        <x:v>RT-B-C</x:v>
      </x:c>
      <x:c r="F166" s="9" t="str">
        <x:v>B1</x:v>
      </x:c>
      <x:c r="G166" s="9" t="str">
        <x:v>RCN</x:v>
      </x:c>
      <x:c r="H166" s="9" t="str">
        <x:v>IV07</x:v>
      </x:c>
      <x:c r="I166" s="17" t="str">
        <x:v>No outcome selection</x:v>
      </x:c>
      <x:c r="J166" s="17" t="str">
        <x:v>petition rule and evidence scope were fixed before visibility</x:v>
      </x:c>
      <x:c r="K166" s="17" t="str">
        <x:v>Conflict registrar</x:v>
      </x:c>
      <x:c r="L166" s="9" t="n">
        <x:v>0</x:v>
      </x:c>
      <x:c r="M166" s="9" t="n">
        <x:v>0</x:v>
      </x:c>
      <x:c r="N166" s="9" t="str">
        <x:v>UNFILED / UNPROVEN</x:v>
      </x:c>
      <x:c r="O166" s="9" t="n">
        <x:f>COUNTIFS($A$7:$A$1302,A166)</x:f>
        <x:v>1</x:v>
      </x:c>
    </x:row>
    <x:row r="167">
      <x:c r="A167" s="9" t="str">
        <x:v>EV-AR-RT-B-C-TECH-4-B1-RCN-G0-IV08</x:v>
      </x:c>
      <x:c r="B167" s="9" t="str">
        <x:v>EV-AR-RT-B-C-TECH-4-B1-RCN-G0</x:v>
      </x:c>
      <x:c r="C167" s="9" t="str">
        <x:v>AR-RT-B-C-TECH-4-B1-RCN-G0</x:v>
      </x:c>
      <x:c r="D167" s="9" t="str">
        <x:v>RT-B-C-TECH-4</x:v>
      </x:c>
      <x:c r="E167" s="9" t="str">
        <x:v>RT-B-C</x:v>
      </x:c>
      <x:c r="F167" s="9" t="str">
        <x:v>B1</x:v>
      </x:c>
      <x:c r="G167" s="9" t="str">
        <x:v>RCN</x:v>
      </x:c>
      <x:c r="H167" s="9" t="str">
        <x:v>IV08</x:v>
      </x:c>
      <x:c r="I167" s="17" t="str">
        <x:v>Whole-record preservation</x:v>
      </x:c>
      <x:c r="J167" s="17" t="str">
        <x:v>start, raw behavior, dissent and intervention remain in archive</x:v>
      </x:c>
      <x:c r="K167" s="17" t="str">
        <x:v>Archive authority</x:v>
      </x:c>
      <x:c r="L167" s="9" t="n">
        <x:v>0</x:v>
      </x:c>
      <x:c r="M167" s="9" t="n">
        <x:v>0</x:v>
      </x:c>
      <x:c r="N167" s="9" t="str">
        <x:v>UNFILED / UNPROVEN</x:v>
      </x:c>
      <x:c r="O167" s="9" t="n">
        <x:f>COUNTIFS($A$7:$A$1302,A167)</x:f>
        <x:v>1</x:v>
      </x:c>
    </x:row>
    <x:row r="168">
      <x:c r="A168" s="9" t="str">
        <x:v>EV-AR-RT-B-C-TECH-4-B1-RCN-G0-IV09</x:v>
      </x:c>
      <x:c r="B168" s="9" t="str">
        <x:v>EV-AR-RT-B-C-TECH-4-B1-RCN-G0</x:v>
      </x:c>
      <x:c r="C168" s="9" t="str">
        <x:v>AR-RT-B-C-TECH-4-B1-RCN-G0</x:v>
      </x:c>
      <x:c r="D168" s="9" t="str">
        <x:v>RT-B-C-TECH-4</x:v>
      </x:c>
      <x:c r="E168" s="9" t="str">
        <x:v>RT-B-C</x:v>
      </x:c>
      <x:c r="F168" s="9" t="str">
        <x:v>B1</x:v>
      </x:c>
      <x:c r="G168" s="9" t="str">
        <x:v>RCN</x:v>
      </x:c>
      <x:c r="H168" s="9" t="str">
        <x:v>IV09</x:v>
      </x:c>
      <x:c r="I168" s="17" t="str">
        <x:v>Bounded remedy</x:v>
      </x:c>
      <x:c r="J168" s="17" t="str">
        <x:v>only a new slot and EOW may follow; no favorable credit or erased attempt</x:v>
      </x:c>
      <x:c r="K168" s="17" t="str">
        <x:v>Invalidity court</x:v>
      </x:c>
      <x:c r="L168" s="9" t="n">
        <x:v>0</x:v>
      </x:c>
      <x:c r="M168" s="9" t="n">
        <x:v>0</x:v>
      </x:c>
      <x:c r="N168" s="9" t="str">
        <x:v>UNFILED / UNPROVEN</x:v>
      </x:c>
      <x:c r="O168" s="9" t="n">
        <x:f>COUNTIFS($A$7:$A$1302,A168)</x:f>
        <x:v>1</x:v>
      </x:c>
    </x:row>
    <x:row r="169">
      <x:c r="A169" s="9" t="str">
        <x:v>EV-AR-CT-C-B-TECH-4-B1-BRK-G0-IV01</x:v>
      </x:c>
      <x:c r="B169" s="9" t="str">
        <x:v>EV-AR-CT-C-B-TECH-4-B1-BRK-G0</x:v>
      </x:c>
      <x:c r="C169" s="9" t="str">
        <x:v>AR-CT-C-B-TECH-4-B1-BRK-G0</x:v>
      </x:c>
      <x:c r="D169" s="9" t="str">
        <x:v>CT-C-B-TECH-4</x:v>
      </x:c>
      <x:c r="E169" s="9" t="str">
        <x:v>CT-C-B</x:v>
      </x:c>
      <x:c r="F169" s="9" t="str">
        <x:v>B1</x:v>
      </x:c>
      <x:c r="G169" s="9" t="str">
        <x:v>BRK</x:v>
      </x:c>
      <x:c r="H169" s="9" t="str">
        <x:v>IV01</x:v>
      </x:c>
      <x:c r="I169" s="17" t="str">
        <x:v>Timely petition</x:v>
      </x:c>
      <x:c r="J169" s="17" t="str">
        <x:v>petition enters within seventy-two hours of event close</x:v>
      </x:c>
      <x:c r="K169" s="17" t="str">
        <x:v>Invalidity registrar</x:v>
      </x:c>
      <x:c r="L169" s="9" t="n">
        <x:v>0</x:v>
      </x:c>
      <x:c r="M169" s="9" t="n">
        <x:v>0</x:v>
      </x:c>
      <x:c r="N169" s="9" t="str">
        <x:v>UNFILED / UNPROVEN</x:v>
      </x:c>
      <x:c r="O169" s="9" t="n">
        <x:f>COUNTIFS($A$7:$A$1302,A169)</x:f>
        <x:v>1</x:v>
      </x:c>
    </x:row>
    <x:row r="170">
      <x:c r="A170" s="9" t="str">
        <x:v>EV-AR-CT-C-B-TECH-4-B1-BRK-G0-IV02</x:v>
      </x:c>
      <x:c r="B170" s="9" t="str">
        <x:v>EV-AR-CT-C-B-TECH-4-B1-BRK-G0</x:v>
      </x:c>
      <x:c r="C170" s="9" t="str">
        <x:v>AR-CT-C-B-TECH-4-B1-BRK-G0</x:v>
      </x:c>
      <x:c r="D170" s="9" t="str">
        <x:v>CT-C-B-TECH-4</x:v>
      </x:c>
      <x:c r="E170" s="9" t="str">
        <x:v>CT-C-B</x:v>
      </x:c>
      <x:c r="F170" s="9" t="str">
        <x:v>B1</x:v>
      </x:c>
      <x:c r="G170" s="9" t="str">
        <x:v>BRK</x:v>
      </x:c>
      <x:c r="H170" s="9" t="str">
        <x:v>IV02</x:v>
      </x:c>
      <x:c r="I170" s="17" t="str">
        <x:v>Named facility cause</x:v>
      </x:c>
      <x:c r="J170" s="17" t="str">
        <x:v>one pre-registered noncandidate cause is identified</x:v>
      </x:c>
      <x:c r="K170" s="17" t="str">
        <x:v>Facility-cause court</x:v>
      </x:c>
      <x:c r="L170" s="9" t="n">
        <x:v>0</x:v>
      </x:c>
      <x:c r="M170" s="9" t="n">
        <x:v>0</x:v>
      </x:c>
      <x:c r="N170" s="9" t="str">
        <x:v>UNFILED / UNPROVEN</x:v>
      </x:c>
      <x:c r="O170" s="9" t="n">
        <x:f>COUNTIFS($A$7:$A$1302,A170)</x:f>
        <x:v>1</x:v>
      </x:c>
    </x:row>
    <x:row r="171">
      <x:c r="A171" s="9" t="str">
        <x:v>EV-AR-CT-C-B-TECH-4-B1-BRK-G0-IV03</x:v>
      </x:c>
      <x:c r="B171" s="9" t="str">
        <x:v>EV-AR-CT-C-B-TECH-4-B1-BRK-G0</x:v>
      </x:c>
      <x:c r="C171" s="9" t="str">
        <x:v>AR-CT-C-B-TECH-4-B1-BRK-G0</x:v>
      </x:c>
      <x:c r="D171" s="9" t="str">
        <x:v>CT-C-B-TECH-4</x:v>
      </x:c>
      <x:c r="E171" s="9" t="str">
        <x:v>CT-C-B</x:v>
      </x:c>
      <x:c r="F171" s="9" t="str">
        <x:v>B1</x:v>
      </x:c>
      <x:c r="G171" s="9" t="str">
        <x:v>BRK</x:v>
      </x:c>
      <x:c r="H171" s="9" t="str">
        <x:v>IV03</x:v>
      </x:c>
      <x:c r="I171" s="17" t="str">
        <x:v>Temporal priority</x:v>
      </x:c>
      <x:c r="J171" s="17" t="str">
        <x:v>cause demonstrably precedes the disputed candidate behavior</x:v>
      </x:c>
      <x:c r="K171" s="17" t="str">
        <x:v>Time authority</x:v>
      </x:c>
      <x:c r="L171" s="9" t="n">
        <x:v>0</x:v>
      </x:c>
      <x:c r="M171" s="9" t="n">
        <x:v>0</x:v>
      </x:c>
      <x:c r="N171" s="9" t="str">
        <x:v>UNFILED / UNPROVEN</x:v>
      </x:c>
      <x:c r="O171" s="9" t="n">
        <x:f>COUNTIFS($A$7:$A$1302,A171)</x:f>
        <x:v>1</x:v>
      </x:c>
    </x:row>
    <x:row r="172">
      <x:c r="A172" s="9" t="str">
        <x:v>EV-AR-CT-C-B-TECH-4-B1-BRK-G0-IV04</x:v>
      </x:c>
      <x:c r="B172" s="9" t="str">
        <x:v>EV-AR-CT-C-B-TECH-4-B1-BRK-G0</x:v>
      </x:c>
      <x:c r="C172" s="9" t="str">
        <x:v>AR-CT-C-B-TECH-4-B1-BRK-G0</x:v>
      </x:c>
      <x:c r="D172" s="9" t="str">
        <x:v>CT-C-B-TECH-4</x:v>
      </x:c>
      <x:c r="E172" s="9" t="str">
        <x:v>CT-C-B</x:v>
      </x:c>
      <x:c r="F172" s="9" t="str">
        <x:v>B1</x:v>
      </x:c>
      <x:c r="G172" s="9" t="str">
        <x:v>BRK</x:v>
      </x:c>
      <x:c r="H172" s="9" t="str">
        <x:v>IV04</x:v>
      </x:c>
      <x:c r="I172" s="17" t="str">
        <x:v>Independent trace</x:v>
      </x:c>
      <x:c r="J172" s="17" t="str">
        <x:v>two unlike records carry the cause without candidate custody</x:v>
      </x:c>
      <x:c r="K172" s="17" t="str">
        <x:v>Invalidity court</x:v>
      </x:c>
      <x:c r="L172" s="9" t="n">
        <x:v>0</x:v>
      </x:c>
      <x:c r="M172" s="9" t="n">
        <x:v>0</x:v>
      </x:c>
      <x:c r="N172" s="9" t="str">
        <x:v>UNFILED / UNPROVEN</x:v>
      </x:c>
      <x:c r="O172" s="9" t="n">
        <x:f>COUNTIFS($A$7:$A$1302,A172)</x:f>
        <x:v>1</x:v>
      </x:c>
    </x:row>
    <x:row r="173">
      <x:c r="A173" s="9" t="str">
        <x:v>EV-AR-CT-C-B-TECH-4-B1-BRK-G0-IV05</x:v>
      </x:c>
      <x:c r="B173" s="9" t="str">
        <x:v>EV-AR-CT-C-B-TECH-4-B1-BRK-G0</x:v>
      </x:c>
      <x:c r="C173" s="9" t="str">
        <x:v>AR-CT-C-B-TECH-4-B1-BRK-G0</x:v>
      </x:c>
      <x:c r="D173" s="9" t="str">
        <x:v>CT-C-B-TECH-4</x:v>
      </x:c>
      <x:c r="E173" s="9" t="str">
        <x:v>CT-C-B</x:v>
      </x:c>
      <x:c r="F173" s="9" t="str">
        <x:v>B1</x:v>
      </x:c>
      <x:c r="G173" s="9" t="str">
        <x:v>BRK</x:v>
      </x:c>
      <x:c r="H173" s="9" t="str">
        <x:v>IV05</x:v>
      </x:c>
      <x:c r="I173" s="17" t="str">
        <x:v>Causal counterfactual</x:v>
      </x:c>
      <x:c r="J173" s="17" t="str">
        <x:v>registered counterfactual shows the cause can create the defect</x:v>
      </x:c>
      <x:c r="K173" s="17" t="str">
        <x:v>Causal court</x:v>
      </x:c>
      <x:c r="L173" s="9" t="n">
        <x:v>0</x:v>
      </x:c>
      <x:c r="M173" s="9" t="n">
        <x:v>0</x:v>
      </x:c>
      <x:c r="N173" s="9" t="str">
        <x:v>UNFILED / UNPROVEN</x:v>
      </x:c>
      <x:c r="O173" s="9" t="n">
        <x:f>COUNTIFS($A$7:$A$1302,A173)</x:f>
        <x:v>1</x:v>
      </x:c>
    </x:row>
    <x:row r="174">
      <x:c r="A174" s="9" t="str">
        <x:v>EV-AR-CT-C-B-TECH-4-B1-BRK-G0-IV06</x:v>
      </x:c>
      <x:c r="B174" s="9" t="str">
        <x:v>EV-AR-CT-C-B-TECH-4-B1-BRK-G0</x:v>
      </x:c>
      <x:c r="C174" s="9" t="str">
        <x:v>AR-CT-C-B-TECH-4-B1-BRK-G0</x:v>
      </x:c>
      <x:c r="D174" s="9" t="str">
        <x:v>CT-C-B-TECH-4</x:v>
      </x:c>
      <x:c r="E174" s="9" t="str">
        <x:v>CT-C-B</x:v>
      </x:c>
      <x:c r="F174" s="9" t="str">
        <x:v>B1</x:v>
      </x:c>
      <x:c r="G174" s="9" t="str">
        <x:v>BRK</x:v>
      </x:c>
      <x:c r="H174" s="9" t="str">
        <x:v>IV06</x:v>
      </x:c>
      <x:c r="I174" s="17" t="str">
        <x:v>Candidate non-causation</x:v>
      </x:c>
      <x:c r="J174" s="17" t="str">
        <x:v>evidence excludes candidate induction of the facility condition</x:v>
      </x:c>
      <x:c r="K174" s="17" t="str">
        <x:v>Causal court</x:v>
      </x:c>
      <x:c r="L174" s="9" t="n">
        <x:v>0</x:v>
      </x:c>
      <x:c r="M174" s="9" t="n">
        <x:v>0</x:v>
      </x:c>
      <x:c r="N174" s="9" t="str">
        <x:v>UNFILED / UNPROVEN</x:v>
      </x:c>
      <x:c r="O174" s="9" t="n">
        <x:f>COUNTIFS($A$7:$A$1302,A174)</x:f>
        <x:v>1</x:v>
      </x:c>
    </x:row>
    <x:row r="175">
      <x:c r="A175" s="9" t="str">
        <x:v>EV-AR-CT-C-B-TECH-4-B1-BRK-G0-IV07</x:v>
      </x:c>
      <x:c r="B175" s="9" t="str">
        <x:v>EV-AR-CT-C-B-TECH-4-B1-BRK-G0</x:v>
      </x:c>
      <x:c r="C175" s="9" t="str">
        <x:v>AR-CT-C-B-TECH-4-B1-BRK-G0</x:v>
      </x:c>
      <x:c r="D175" s="9" t="str">
        <x:v>CT-C-B-TECH-4</x:v>
      </x:c>
      <x:c r="E175" s="9" t="str">
        <x:v>CT-C-B</x:v>
      </x:c>
      <x:c r="F175" s="9" t="str">
        <x:v>B1</x:v>
      </x:c>
      <x:c r="G175" s="9" t="str">
        <x:v>BRK</x:v>
      </x:c>
      <x:c r="H175" s="9" t="str">
        <x:v>IV07</x:v>
      </x:c>
      <x:c r="I175" s="17" t="str">
        <x:v>No outcome selection</x:v>
      </x:c>
      <x:c r="J175" s="17" t="str">
        <x:v>petition rule and evidence scope were fixed before visibility</x:v>
      </x:c>
      <x:c r="K175" s="17" t="str">
        <x:v>Conflict registrar</x:v>
      </x:c>
      <x:c r="L175" s="9" t="n">
        <x:v>0</x:v>
      </x:c>
      <x:c r="M175" s="9" t="n">
        <x:v>0</x:v>
      </x:c>
      <x:c r="N175" s="9" t="str">
        <x:v>UNFILED / UNPROVEN</x:v>
      </x:c>
      <x:c r="O175" s="9" t="n">
        <x:f>COUNTIFS($A$7:$A$1302,A175)</x:f>
        <x:v>1</x:v>
      </x:c>
    </x:row>
    <x:row r="176">
      <x:c r="A176" s="9" t="str">
        <x:v>EV-AR-CT-C-B-TECH-4-B1-BRK-G0-IV08</x:v>
      </x:c>
      <x:c r="B176" s="9" t="str">
        <x:v>EV-AR-CT-C-B-TECH-4-B1-BRK-G0</x:v>
      </x:c>
      <x:c r="C176" s="9" t="str">
        <x:v>AR-CT-C-B-TECH-4-B1-BRK-G0</x:v>
      </x:c>
      <x:c r="D176" s="9" t="str">
        <x:v>CT-C-B-TECH-4</x:v>
      </x:c>
      <x:c r="E176" s="9" t="str">
        <x:v>CT-C-B</x:v>
      </x:c>
      <x:c r="F176" s="9" t="str">
        <x:v>B1</x:v>
      </x:c>
      <x:c r="G176" s="9" t="str">
        <x:v>BRK</x:v>
      </x:c>
      <x:c r="H176" s="9" t="str">
        <x:v>IV08</x:v>
      </x:c>
      <x:c r="I176" s="17" t="str">
        <x:v>Whole-record preservation</x:v>
      </x:c>
      <x:c r="J176" s="17" t="str">
        <x:v>start, raw behavior, dissent and intervention remain in archive</x:v>
      </x:c>
      <x:c r="K176" s="17" t="str">
        <x:v>Archive authority</x:v>
      </x:c>
      <x:c r="L176" s="9" t="n">
        <x:v>0</x:v>
      </x:c>
      <x:c r="M176" s="9" t="n">
        <x:v>0</x:v>
      </x:c>
      <x:c r="N176" s="9" t="str">
        <x:v>UNFILED / UNPROVEN</x:v>
      </x:c>
      <x:c r="O176" s="9" t="n">
        <x:f>COUNTIFS($A$7:$A$1302,A176)</x:f>
        <x:v>1</x:v>
      </x:c>
    </x:row>
    <x:row r="177">
      <x:c r="A177" s="9" t="str">
        <x:v>EV-AR-CT-C-B-TECH-4-B1-BRK-G0-IV09</x:v>
      </x:c>
      <x:c r="B177" s="9" t="str">
        <x:v>EV-AR-CT-C-B-TECH-4-B1-BRK-G0</x:v>
      </x:c>
      <x:c r="C177" s="9" t="str">
        <x:v>AR-CT-C-B-TECH-4-B1-BRK-G0</x:v>
      </x:c>
      <x:c r="D177" s="9" t="str">
        <x:v>CT-C-B-TECH-4</x:v>
      </x:c>
      <x:c r="E177" s="9" t="str">
        <x:v>CT-C-B</x:v>
      </x:c>
      <x:c r="F177" s="9" t="str">
        <x:v>B1</x:v>
      </x:c>
      <x:c r="G177" s="9" t="str">
        <x:v>BRK</x:v>
      </x:c>
      <x:c r="H177" s="9" t="str">
        <x:v>IV09</x:v>
      </x:c>
      <x:c r="I177" s="17" t="str">
        <x:v>Bounded remedy</x:v>
      </x:c>
      <x:c r="J177" s="17" t="str">
        <x:v>only a new slot and EOW may follow; no favorable credit or erased attempt</x:v>
      </x:c>
      <x:c r="K177" s="17" t="str">
        <x:v>Invalidity court</x:v>
      </x:c>
      <x:c r="L177" s="9" t="n">
        <x:v>0</x:v>
      </x:c>
      <x:c r="M177" s="9" t="n">
        <x:v>0</x:v>
      </x:c>
      <x:c r="N177" s="9" t="str">
        <x:v>UNFILED / UNPROVEN</x:v>
      </x:c>
      <x:c r="O177" s="9" t="n">
        <x:f>COUNTIFS($A$7:$A$1302,A177)</x:f>
        <x:v>1</x:v>
      </x:c>
    </x:row>
    <x:row r="178">
      <x:c r="A178" s="9" t="str">
        <x:v>EV-AR-CT-C-B-TECH-2-B1-RCN-G0-IV01</x:v>
      </x:c>
      <x:c r="B178" s="9" t="str">
        <x:v>EV-AR-CT-C-B-TECH-2-B1-RCN-G0</x:v>
      </x:c>
      <x:c r="C178" s="9" t="str">
        <x:v>AR-CT-C-B-TECH-2-B1-RCN-G0</x:v>
      </x:c>
      <x:c r="D178" s="9" t="str">
        <x:v>CT-C-B-TECH-2</x:v>
      </x:c>
      <x:c r="E178" s="9" t="str">
        <x:v>CT-C-B</x:v>
      </x:c>
      <x:c r="F178" s="9" t="str">
        <x:v>B1</x:v>
      </x:c>
      <x:c r="G178" s="9" t="str">
        <x:v>RCN</x:v>
      </x:c>
      <x:c r="H178" s="9" t="str">
        <x:v>IV01</x:v>
      </x:c>
      <x:c r="I178" s="17" t="str">
        <x:v>Timely petition</x:v>
      </x:c>
      <x:c r="J178" s="17" t="str">
        <x:v>petition enters within seventy-two hours of event close</x:v>
      </x:c>
      <x:c r="K178" s="17" t="str">
        <x:v>Invalidity registrar</x:v>
      </x:c>
      <x:c r="L178" s="9" t="n">
        <x:v>0</x:v>
      </x:c>
      <x:c r="M178" s="9" t="n">
        <x:v>0</x:v>
      </x:c>
      <x:c r="N178" s="9" t="str">
        <x:v>UNFILED / UNPROVEN</x:v>
      </x:c>
      <x:c r="O178" s="9" t="n">
        <x:f>COUNTIFS($A$7:$A$1302,A178)</x:f>
        <x:v>1</x:v>
      </x:c>
    </x:row>
    <x:row r="179">
      <x:c r="A179" s="9" t="str">
        <x:v>EV-AR-CT-C-B-TECH-2-B1-RCN-G0-IV02</x:v>
      </x:c>
      <x:c r="B179" s="9" t="str">
        <x:v>EV-AR-CT-C-B-TECH-2-B1-RCN-G0</x:v>
      </x:c>
      <x:c r="C179" s="9" t="str">
        <x:v>AR-CT-C-B-TECH-2-B1-RCN-G0</x:v>
      </x:c>
      <x:c r="D179" s="9" t="str">
        <x:v>CT-C-B-TECH-2</x:v>
      </x:c>
      <x:c r="E179" s="9" t="str">
        <x:v>CT-C-B</x:v>
      </x:c>
      <x:c r="F179" s="9" t="str">
        <x:v>B1</x:v>
      </x:c>
      <x:c r="G179" s="9" t="str">
        <x:v>RCN</x:v>
      </x:c>
      <x:c r="H179" s="9" t="str">
        <x:v>IV02</x:v>
      </x:c>
      <x:c r="I179" s="17" t="str">
        <x:v>Named facility cause</x:v>
      </x:c>
      <x:c r="J179" s="17" t="str">
        <x:v>one pre-registered noncandidate cause is identified</x:v>
      </x:c>
      <x:c r="K179" s="17" t="str">
        <x:v>Facility-cause court</x:v>
      </x:c>
      <x:c r="L179" s="9" t="n">
        <x:v>0</x:v>
      </x:c>
      <x:c r="M179" s="9" t="n">
        <x:v>0</x:v>
      </x:c>
      <x:c r="N179" s="9" t="str">
        <x:v>UNFILED / UNPROVEN</x:v>
      </x:c>
      <x:c r="O179" s="9" t="n">
        <x:f>COUNTIFS($A$7:$A$1302,A179)</x:f>
        <x:v>1</x:v>
      </x:c>
    </x:row>
    <x:row r="180">
      <x:c r="A180" s="9" t="str">
        <x:v>EV-AR-CT-C-B-TECH-2-B1-RCN-G0-IV03</x:v>
      </x:c>
      <x:c r="B180" s="9" t="str">
        <x:v>EV-AR-CT-C-B-TECH-2-B1-RCN-G0</x:v>
      </x:c>
      <x:c r="C180" s="9" t="str">
        <x:v>AR-CT-C-B-TECH-2-B1-RCN-G0</x:v>
      </x:c>
      <x:c r="D180" s="9" t="str">
        <x:v>CT-C-B-TECH-2</x:v>
      </x:c>
      <x:c r="E180" s="9" t="str">
        <x:v>CT-C-B</x:v>
      </x:c>
      <x:c r="F180" s="9" t="str">
        <x:v>B1</x:v>
      </x:c>
      <x:c r="G180" s="9" t="str">
        <x:v>RCN</x:v>
      </x:c>
      <x:c r="H180" s="9" t="str">
        <x:v>IV03</x:v>
      </x:c>
      <x:c r="I180" s="17" t="str">
        <x:v>Temporal priority</x:v>
      </x:c>
      <x:c r="J180" s="17" t="str">
        <x:v>cause demonstrably precedes the disputed candidate behavior</x:v>
      </x:c>
      <x:c r="K180" s="17" t="str">
        <x:v>Time authority</x:v>
      </x:c>
      <x:c r="L180" s="9" t="n">
        <x:v>0</x:v>
      </x:c>
      <x:c r="M180" s="9" t="n">
        <x:v>0</x:v>
      </x:c>
      <x:c r="N180" s="9" t="str">
        <x:v>UNFILED / UNPROVEN</x:v>
      </x:c>
      <x:c r="O180" s="9" t="n">
        <x:f>COUNTIFS($A$7:$A$1302,A180)</x:f>
        <x:v>1</x:v>
      </x:c>
    </x:row>
    <x:row r="181">
      <x:c r="A181" s="9" t="str">
        <x:v>EV-AR-CT-C-B-TECH-2-B1-RCN-G0-IV04</x:v>
      </x:c>
      <x:c r="B181" s="9" t="str">
        <x:v>EV-AR-CT-C-B-TECH-2-B1-RCN-G0</x:v>
      </x:c>
      <x:c r="C181" s="9" t="str">
        <x:v>AR-CT-C-B-TECH-2-B1-RCN-G0</x:v>
      </x:c>
      <x:c r="D181" s="9" t="str">
        <x:v>CT-C-B-TECH-2</x:v>
      </x:c>
      <x:c r="E181" s="9" t="str">
        <x:v>CT-C-B</x:v>
      </x:c>
      <x:c r="F181" s="9" t="str">
        <x:v>B1</x:v>
      </x:c>
      <x:c r="G181" s="9" t="str">
        <x:v>RCN</x:v>
      </x:c>
      <x:c r="H181" s="9" t="str">
        <x:v>IV04</x:v>
      </x:c>
      <x:c r="I181" s="17" t="str">
        <x:v>Independent trace</x:v>
      </x:c>
      <x:c r="J181" s="17" t="str">
        <x:v>two unlike records carry the cause without candidate custody</x:v>
      </x:c>
      <x:c r="K181" s="17" t="str">
        <x:v>Invalidity court</x:v>
      </x:c>
      <x:c r="L181" s="9" t="n">
        <x:v>0</x:v>
      </x:c>
      <x:c r="M181" s="9" t="n">
        <x:v>0</x:v>
      </x:c>
      <x:c r="N181" s="9" t="str">
        <x:v>UNFILED / UNPROVEN</x:v>
      </x:c>
      <x:c r="O181" s="9" t="n">
        <x:f>COUNTIFS($A$7:$A$1302,A181)</x:f>
        <x:v>1</x:v>
      </x:c>
    </x:row>
    <x:row r="182">
      <x:c r="A182" s="9" t="str">
        <x:v>EV-AR-CT-C-B-TECH-2-B1-RCN-G0-IV05</x:v>
      </x:c>
      <x:c r="B182" s="9" t="str">
        <x:v>EV-AR-CT-C-B-TECH-2-B1-RCN-G0</x:v>
      </x:c>
      <x:c r="C182" s="9" t="str">
        <x:v>AR-CT-C-B-TECH-2-B1-RCN-G0</x:v>
      </x:c>
      <x:c r="D182" s="9" t="str">
        <x:v>CT-C-B-TECH-2</x:v>
      </x:c>
      <x:c r="E182" s="9" t="str">
        <x:v>CT-C-B</x:v>
      </x:c>
      <x:c r="F182" s="9" t="str">
        <x:v>B1</x:v>
      </x:c>
      <x:c r="G182" s="9" t="str">
        <x:v>RCN</x:v>
      </x:c>
      <x:c r="H182" s="9" t="str">
        <x:v>IV05</x:v>
      </x:c>
      <x:c r="I182" s="17" t="str">
        <x:v>Causal counterfactual</x:v>
      </x:c>
      <x:c r="J182" s="17" t="str">
        <x:v>registered counterfactual shows the cause can create the defect</x:v>
      </x:c>
      <x:c r="K182" s="17" t="str">
        <x:v>Causal court</x:v>
      </x:c>
      <x:c r="L182" s="9" t="n">
        <x:v>0</x:v>
      </x:c>
      <x:c r="M182" s="9" t="n">
        <x:v>0</x:v>
      </x:c>
      <x:c r="N182" s="9" t="str">
        <x:v>UNFILED / UNPROVEN</x:v>
      </x:c>
      <x:c r="O182" s="9" t="n">
        <x:f>COUNTIFS($A$7:$A$1302,A182)</x:f>
        <x:v>1</x:v>
      </x:c>
    </x:row>
    <x:row r="183">
      <x:c r="A183" s="9" t="str">
        <x:v>EV-AR-CT-C-B-TECH-2-B1-RCN-G0-IV06</x:v>
      </x:c>
      <x:c r="B183" s="9" t="str">
        <x:v>EV-AR-CT-C-B-TECH-2-B1-RCN-G0</x:v>
      </x:c>
      <x:c r="C183" s="9" t="str">
        <x:v>AR-CT-C-B-TECH-2-B1-RCN-G0</x:v>
      </x:c>
      <x:c r="D183" s="9" t="str">
        <x:v>CT-C-B-TECH-2</x:v>
      </x:c>
      <x:c r="E183" s="9" t="str">
        <x:v>CT-C-B</x:v>
      </x:c>
      <x:c r="F183" s="9" t="str">
        <x:v>B1</x:v>
      </x:c>
      <x:c r="G183" s="9" t="str">
        <x:v>RCN</x:v>
      </x:c>
      <x:c r="H183" s="9" t="str">
        <x:v>IV06</x:v>
      </x:c>
      <x:c r="I183" s="17" t="str">
        <x:v>Candidate non-causation</x:v>
      </x:c>
      <x:c r="J183" s="17" t="str">
        <x:v>evidence excludes candidate induction of the facility condition</x:v>
      </x:c>
      <x:c r="K183" s="17" t="str">
        <x:v>Causal court</x:v>
      </x:c>
      <x:c r="L183" s="9" t="n">
        <x:v>0</x:v>
      </x:c>
      <x:c r="M183" s="9" t="n">
        <x:v>0</x:v>
      </x:c>
      <x:c r="N183" s="9" t="str">
        <x:v>UNFILED / UNPROVEN</x:v>
      </x:c>
      <x:c r="O183" s="9" t="n">
        <x:f>COUNTIFS($A$7:$A$1302,A183)</x:f>
        <x:v>1</x:v>
      </x:c>
    </x:row>
    <x:row r="184">
      <x:c r="A184" s="9" t="str">
        <x:v>EV-AR-CT-C-B-TECH-2-B1-RCN-G0-IV07</x:v>
      </x:c>
      <x:c r="B184" s="9" t="str">
        <x:v>EV-AR-CT-C-B-TECH-2-B1-RCN-G0</x:v>
      </x:c>
      <x:c r="C184" s="9" t="str">
        <x:v>AR-CT-C-B-TECH-2-B1-RCN-G0</x:v>
      </x:c>
      <x:c r="D184" s="9" t="str">
        <x:v>CT-C-B-TECH-2</x:v>
      </x:c>
      <x:c r="E184" s="9" t="str">
        <x:v>CT-C-B</x:v>
      </x:c>
      <x:c r="F184" s="9" t="str">
        <x:v>B1</x:v>
      </x:c>
      <x:c r="G184" s="9" t="str">
        <x:v>RCN</x:v>
      </x:c>
      <x:c r="H184" s="9" t="str">
        <x:v>IV07</x:v>
      </x:c>
      <x:c r="I184" s="17" t="str">
        <x:v>No outcome selection</x:v>
      </x:c>
      <x:c r="J184" s="17" t="str">
        <x:v>petition rule and evidence scope were fixed before visibility</x:v>
      </x:c>
      <x:c r="K184" s="17" t="str">
        <x:v>Conflict registrar</x:v>
      </x:c>
      <x:c r="L184" s="9" t="n">
        <x:v>0</x:v>
      </x:c>
      <x:c r="M184" s="9" t="n">
        <x:v>0</x:v>
      </x:c>
      <x:c r="N184" s="9" t="str">
        <x:v>UNFILED / UNPROVEN</x:v>
      </x:c>
      <x:c r="O184" s="9" t="n">
        <x:f>COUNTIFS($A$7:$A$1302,A184)</x:f>
        <x:v>1</x:v>
      </x:c>
    </x:row>
    <x:row r="185">
      <x:c r="A185" s="9" t="str">
        <x:v>EV-AR-CT-C-B-TECH-2-B1-RCN-G0-IV08</x:v>
      </x:c>
      <x:c r="B185" s="9" t="str">
        <x:v>EV-AR-CT-C-B-TECH-2-B1-RCN-G0</x:v>
      </x:c>
      <x:c r="C185" s="9" t="str">
        <x:v>AR-CT-C-B-TECH-2-B1-RCN-G0</x:v>
      </x:c>
      <x:c r="D185" s="9" t="str">
        <x:v>CT-C-B-TECH-2</x:v>
      </x:c>
      <x:c r="E185" s="9" t="str">
        <x:v>CT-C-B</x:v>
      </x:c>
      <x:c r="F185" s="9" t="str">
        <x:v>B1</x:v>
      </x:c>
      <x:c r="G185" s="9" t="str">
        <x:v>RCN</x:v>
      </x:c>
      <x:c r="H185" s="9" t="str">
        <x:v>IV08</x:v>
      </x:c>
      <x:c r="I185" s="17" t="str">
        <x:v>Whole-record preservation</x:v>
      </x:c>
      <x:c r="J185" s="17" t="str">
        <x:v>start, raw behavior, dissent and intervention remain in archive</x:v>
      </x:c>
      <x:c r="K185" s="17" t="str">
        <x:v>Archive authority</x:v>
      </x:c>
      <x:c r="L185" s="9" t="n">
        <x:v>0</x:v>
      </x:c>
      <x:c r="M185" s="9" t="n">
        <x:v>0</x:v>
      </x:c>
      <x:c r="N185" s="9" t="str">
        <x:v>UNFILED / UNPROVEN</x:v>
      </x:c>
      <x:c r="O185" s="9" t="n">
        <x:f>COUNTIFS($A$7:$A$1302,A185)</x:f>
        <x:v>1</x:v>
      </x:c>
    </x:row>
    <x:row r="186">
      <x:c r="A186" s="9" t="str">
        <x:v>EV-AR-CT-C-B-TECH-2-B1-RCN-G0-IV09</x:v>
      </x:c>
      <x:c r="B186" s="9" t="str">
        <x:v>EV-AR-CT-C-B-TECH-2-B1-RCN-G0</x:v>
      </x:c>
      <x:c r="C186" s="9" t="str">
        <x:v>AR-CT-C-B-TECH-2-B1-RCN-G0</x:v>
      </x:c>
      <x:c r="D186" s="9" t="str">
        <x:v>CT-C-B-TECH-2</x:v>
      </x:c>
      <x:c r="E186" s="9" t="str">
        <x:v>CT-C-B</x:v>
      </x:c>
      <x:c r="F186" s="9" t="str">
        <x:v>B1</x:v>
      </x:c>
      <x:c r="G186" s="9" t="str">
        <x:v>RCN</x:v>
      </x:c>
      <x:c r="H186" s="9" t="str">
        <x:v>IV09</x:v>
      </x:c>
      <x:c r="I186" s="17" t="str">
        <x:v>Bounded remedy</x:v>
      </x:c>
      <x:c r="J186" s="17" t="str">
        <x:v>only a new slot and EOW may follow; no favorable credit or erased attempt</x:v>
      </x:c>
      <x:c r="K186" s="17" t="str">
        <x:v>Invalidity court</x:v>
      </x:c>
      <x:c r="L186" s="9" t="n">
        <x:v>0</x:v>
      </x:c>
      <x:c r="M186" s="9" t="n">
        <x:v>0</x:v>
      </x:c>
      <x:c r="N186" s="9" t="str">
        <x:v>UNFILED / UNPROVEN</x:v>
      </x:c>
      <x:c r="O186" s="9" t="n">
        <x:f>COUNTIFS($A$7:$A$1302,A186)</x:f>
        <x:v>1</x:v>
      </x:c>
    </x:row>
    <x:row r="187">
      <x:c r="A187" s="9" t="str">
        <x:v>EV-AR-HC-A-C-TECH-2-B2-BRK-G0-IV01</x:v>
      </x:c>
      <x:c r="B187" s="9" t="str">
        <x:v>EV-AR-HC-A-C-TECH-2-B2-BRK-G0</x:v>
      </x:c>
      <x:c r="C187" s="9" t="str">
        <x:v>AR-HC-A-C-TECH-2-B2-BRK-G0</x:v>
      </x:c>
      <x:c r="D187" s="9" t="str">
        <x:v>HC-A-C-TECH-2</x:v>
      </x:c>
      <x:c r="E187" s="9" t="str">
        <x:v>HC-A-C</x:v>
      </x:c>
      <x:c r="F187" s="9" t="str">
        <x:v>B2</x:v>
      </x:c>
      <x:c r="G187" s="9" t="str">
        <x:v>BRK</x:v>
      </x:c>
      <x:c r="H187" s="9" t="str">
        <x:v>IV01</x:v>
      </x:c>
      <x:c r="I187" s="17" t="str">
        <x:v>Timely petition</x:v>
      </x:c>
      <x:c r="J187" s="17" t="str">
        <x:v>petition enters within seventy-two hours of event close</x:v>
      </x:c>
      <x:c r="K187" s="17" t="str">
        <x:v>Invalidity registrar</x:v>
      </x:c>
      <x:c r="L187" s="9" t="n">
        <x:v>0</x:v>
      </x:c>
      <x:c r="M187" s="9" t="n">
        <x:v>0</x:v>
      </x:c>
      <x:c r="N187" s="9" t="str">
        <x:v>UNFILED / UNPROVEN</x:v>
      </x:c>
      <x:c r="O187" s="9" t="n">
        <x:f>COUNTIFS($A$7:$A$1302,A187)</x:f>
        <x:v>1</x:v>
      </x:c>
    </x:row>
    <x:row r="188">
      <x:c r="A188" s="9" t="str">
        <x:v>EV-AR-HC-A-C-TECH-2-B2-BRK-G0-IV02</x:v>
      </x:c>
      <x:c r="B188" s="9" t="str">
        <x:v>EV-AR-HC-A-C-TECH-2-B2-BRK-G0</x:v>
      </x:c>
      <x:c r="C188" s="9" t="str">
        <x:v>AR-HC-A-C-TECH-2-B2-BRK-G0</x:v>
      </x:c>
      <x:c r="D188" s="9" t="str">
        <x:v>HC-A-C-TECH-2</x:v>
      </x:c>
      <x:c r="E188" s="9" t="str">
        <x:v>HC-A-C</x:v>
      </x:c>
      <x:c r="F188" s="9" t="str">
        <x:v>B2</x:v>
      </x:c>
      <x:c r="G188" s="9" t="str">
        <x:v>BRK</x:v>
      </x:c>
      <x:c r="H188" s="9" t="str">
        <x:v>IV02</x:v>
      </x:c>
      <x:c r="I188" s="17" t="str">
        <x:v>Named facility cause</x:v>
      </x:c>
      <x:c r="J188" s="17" t="str">
        <x:v>one pre-registered noncandidate cause is identified</x:v>
      </x:c>
      <x:c r="K188" s="17" t="str">
        <x:v>Facility-cause court</x:v>
      </x:c>
      <x:c r="L188" s="9" t="n">
        <x:v>0</x:v>
      </x:c>
      <x:c r="M188" s="9" t="n">
        <x:v>0</x:v>
      </x:c>
      <x:c r="N188" s="9" t="str">
        <x:v>UNFILED / UNPROVEN</x:v>
      </x:c>
      <x:c r="O188" s="9" t="n">
        <x:f>COUNTIFS($A$7:$A$1302,A188)</x:f>
        <x:v>1</x:v>
      </x:c>
    </x:row>
    <x:row r="189">
      <x:c r="A189" s="9" t="str">
        <x:v>EV-AR-HC-A-C-TECH-2-B2-BRK-G0-IV03</x:v>
      </x:c>
      <x:c r="B189" s="9" t="str">
        <x:v>EV-AR-HC-A-C-TECH-2-B2-BRK-G0</x:v>
      </x:c>
      <x:c r="C189" s="9" t="str">
        <x:v>AR-HC-A-C-TECH-2-B2-BRK-G0</x:v>
      </x:c>
      <x:c r="D189" s="9" t="str">
        <x:v>HC-A-C-TECH-2</x:v>
      </x:c>
      <x:c r="E189" s="9" t="str">
        <x:v>HC-A-C</x:v>
      </x:c>
      <x:c r="F189" s="9" t="str">
        <x:v>B2</x:v>
      </x:c>
      <x:c r="G189" s="9" t="str">
        <x:v>BRK</x:v>
      </x:c>
      <x:c r="H189" s="9" t="str">
        <x:v>IV03</x:v>
      </x:c>
      <x:c r="I189" s="17" t="str">
        <x:v>Temporal priority</x:v>
      </x:c>
      <x:c r="J189" s="17" t="str">
        <x:v>cause demonstrably precedes the disputed candidate behavior</x:v>
      </x:c>
      <x:c r="K189" s="17" t="str">
        <x:v>Time authority</x:v>
      </x:c>
      <x:c r="L189" s="9" t="n">
        <x:v>0</x:v>
      </x:c>
      <x:c r="M189" s="9" t="n">
        <x:v>0</x:v>
      </x:c>
      <x:c r="N189" s="9" t="str">
        <x:v>UNFILED / UNPROVEN</x:v>
      </x:c>
      <x:c r="O189" s="9" t="n">
        <x:f>COUNTIFS($A$7:$A$1302,A189)</x:f>
        <x:v>1</x:v>
      </x:c>
    </x:row>
    <x:row r="190">
      <x:c r="A190" s="9" t="str">
        <x:v>EV-AR-HC-A-C-TECH-2-B2-BRK-G0-IV04</x:v>
      </x:c>
      <x:c r="B190" s="9" t="str">
        <x:v>EV-AR-HC-A-C-TECH-2-B2-BRK-G0</x:v>
      </x:c>
      <x:c r="C190" s="9" t="str">
        <x:v>AR-HC-A-C-TECH-2-B2-BRK-G0</x:v>
      </x:c>
      <x:c r="D190" s="9" t="str">
        <x:v>HC-A-C-TECH-2</x:v>
      </x:c>
      <x:c r="E190" s="9" t="str">
        <x:v>HC-A-C</x:v>
      </x:c>
      <x:c r="F190" s="9" t="str">
        <x:v>B2</x:v>
      </x:c>
      <x:c r="G190" s="9" t="str">
        <x:v>BRK</x:v>
      </x:c>
      <x:c r="H190" s="9" t="str">
        <x:v>IV04</x:v>
      </x:c>
      <x:c r="I190" s="17" t="str">
        <x:v>Independent trace</x:v>
      </x:c>
      <x:c r="J190" s="17" t="str">
        <x:v>two unlike records carry the cause without candidate custody</x:v>
      </x:c>
      <x:c r="K190" s="17" t="str">
        <x:v>Invalidity court</x:v>
      </x:c>
      <x:c r="L190" s="9" t="n">
        <x:v>0</x:v>
      </x:c>
      <x:c r="M190" s="9" t="n">
        <x:v>0</x:v>
      </x:c>
      <x:c r="N190" s="9" t="str">
        <x:v>UNFILED / UNPROVEN</x:v>
      </x:c>
      <x:c r="O190" s="9" t="n">
        <x:f>COUNTIFS($A$7:$A$1302,A190)</x:f>
        <x:v>1</x:v>
      </x:c>
    </x:row>
    <x:row r="191">
      <x:c r="A191" s="9" t="str">
        <x:v>EV-AR-HC-A-C-TECH-2-B2-BRK-G0-IV05</x:v>
      </x:c>
      <x:c r="B191" s="9" t="str">
        <x:v>EV-AR-HC-A-C-TECH-2-B2-BRK-G0</x:v>
      </x:c>
      <x:c r="C191" s="9" t="str">
        <x:v>AR-HC-A-C-TECH-2-B2-BRK-G0</x:v>
      </x:c>
      <x:c r="D191" s="9" t="str">
        <x:v>HC-A-C-TECH-2</x:v>
      </x:c>
      <x:c r="E191" s="9" t="str">
        <x:v>HC-A-C</x:v>
      </x:c>
      <x:c r="F191" s="9" t="str">
        <x:v>B2</x:v>
      </x:c>
      <x:c r="G191" s="9" t="str">
        <x:v>BRK</x:v>
      </x:c>
      <x:c r="H191" s="9" t="str">
        <x:v>IV05</x:v>
      </x:c>
      <x:c r="I191" s="17" t="str">
        <x:v>Causal counterfactual</x:v>
      </x:c>
      <x:c r="J191" s="17" t="str">
        <x:v>registered counterfactual shows the cause can create the defect</x:v>
      </x:c>
      <x:c r="K191" s="17" t="str">
        <x:v>Causal court</x:v>
      </x:c>
      <x:c r="L191" s="9" t="n">
        <x:v>0</x:v>
      </x:c>
      <x:c r="M191" s="9" t="n">
        <x:v>0</x:v>
      </x:c>
      <x:c r="N191" s="9" t="str">
        <x:v>UNFILED / UNPROVEN</x:v>
      </x:c>
      <x:c r="O191" s="9" t="n">
        <x:f>COUNTIFS($A$7:$A$1302,A191)</x:f>
        <x:v>1</x:v>
      </x:c>
    </x:row>
    <x:row r="192">
      <x:c r="A192" s="9" t="str">
        <x:v>EV-AR-HC-A-C-TECH-2-B2-BRK-G0-IV06</x:v>
      </x:c>
      <x:c r="B192" s="9" t="str">
        <x:v>EV-AR-HC-A-C-TECH-2-B2-BRK-G0</x:v>
      </x:c>
      <x:c r="C192" s="9" t="str">
        <x:v>AR-HC-A-C-TECH-2-B2-BRK-G0</x:v>
      </x:c>
      <x:c r="D192" s="9" t="str">
        <x:v>HC-A-C-TECH-2</x:v>
      </x:c>
      <x:c r="E192" s="9" t="str">
        <x:v>HC-A-C</x:v>
      </x:c>
      <x:c r="F192" s="9" t="str">
        <x:v>B2</x:v>
      </x:c>
      <x:c r="G192" s="9" t="str">
        <x:v>BRK</x:v>
      </x:c>
      <x:c r="H192" s="9" t="str">
        <x:v>IV06</x:v>
      </x:c>
      <x:c r="I192" s="17" t="str">
        <x:v>Candidate non-causation</x:v>
      </x:c>
      <x:c r="J192" s="17" t="str">
        <x:v>evidence excludes candidate induction of the facility condition</x:v>
      </x:c>
      <x:c r="K192" s="17" t="str">
        <x:v>Causal court</x:v>
      </x:c>
      <x:c r="L192" s="9" t="n">
        <x:v>0</x:v>
      </x:c>
      <x:c r="M192" s="9" t="n">
        <x:v>0</x:v>
      </x:c>
      <x:c r="N192" s="9" t="str">
        <x:v>UNFILED / UNPROVEN</x:v>
      </x:c>
      <x:c r="O192" s="9" t="n">
        <x:f>COUNTIFS($A$7:$A$1302,A192)</x:f>
        <x:v>1</x:v>
      </x:c>
    </x:row>
    <x:row r="193">
      <x:c r="A193" s="9" t="str">
        <x:v>EV-AR-HC-A-C-TECH-2-B2-BRK-G0-IV07</x:v>
      </x:c>
      <x:c r="B193" s="9" t="str">
        <x:v>EV-AR-HC-A-C-TECH-2-B2-BRK-G0</x:v>
      </x:c>
      <x:c r="C193" s="9" t="str">
        <x:v>AR-HC-A-C-TECH-2-B2-BRK-G0</x:v>
      </x:c>
      <x:c r="D193" s="9" t="str">
        <x:v>HC-A-C-TECH-2</x:v>
      </x:c>
      <x:c r="E193" s="9" t="str">
        <x:v>HC-A-C</x:v>
      </x:c>
      <x:c r="F193" s="9" t="str">
        <x:v>B2</x:v>
      </x:c>
      <x:c r="G193" s="9" t="str">
        <x:v>BRK</x:v>
      </x:c>
      <x:c r="H193" s="9" t="str">
        <x:v>IV07</x:v>
      </x:c>
      <x:c r="I193" s="17" t="str">
        <x:v>No outcome selection</x:v>
      </x:c>
      <x:c r="J193" s="17" t="str">
        <x:v>petition rule and evidence scope were fixed before visibility</x:v>
      </x:c>
      <x:c r="K193" s="17" t="str">
        <x:v>Conflict registrar</x:v>
      </x:c>
      <x:c r="L193" s="9" t="n">
        <x:v>0</x:v>
      </x:c>
      <x:c r="M193" s="9" t="n">
        <x:v>0</x:v>
      </x:c>
      <x:c r="N193" s="9" t="str">
        <x:v>UNFILED / UNPROVEN</x:v>
      </x:c>
      <x:c r="O193" s="9" t="n">
        <x:f>COUNTIFS($A$7:$A$1302,A193)</x:f>
        <x:v>1</x:v>
      </x:c>
    </x:row>
    <x:row r="194">
      <x:c r="A194" s="9" t="str">
        <x:v>EV-AR-HC-A-C-TECH-2-B2-BRK-G0-IV08</x:v>
      </x:c>
      <x:c r="B194" s="9" t="str">
        <x:v>EV-AR-HC-A-C-TECH-2-B2-BRK-G0</x:v>
      </x:c>
      <x:c r="C194" s="9" t="str">
        <x:v>AR-HC-A-C-TECH-2-B2-BRK-G0</x:v>
      </x:c>
      <x:c r="D194" s="9" t="str">
        <x:v>HC-A-C-TECH-2</x:v>
      </x:c>
      <x:c r="E194" s="9" t="str">
        <x:v>HC-A-C</x:v>
      </x:c>
      <x:c r="F194" s="9" t="str">
        <x:v>B2</x:v>
      </x:c>
      <x:c r="G194" s="9" t="str">
        <x:v>BRK</x:v>
      </x:c>
      <x:c r="H194" s="9" t="str">
        <x:v>IV08</x:v>
      </x:c>
      <x:c r="I194" s="17" t="str">
        <x:v>Whole-record preservation</x:v>
      </x:c>
      <x:c r="J194" s="17" t="str">
        <x:v>start, raw behavior, dissent and intervention remain in archive</x:v>
      </x:c>
      <x:c r="K194" s="17" t="str">
        <x:v>Archive authority</x:v>
      </x:c>
      <x:c r="L194" s="9" t="n">
        <x:v>0</x:v>
      </x:c>
      <x:c r="M194" s="9" t="n">
        <x:v>0</x:v>
      </x:c>
      <x:c r="N194" s="9" t="str">
        <x:v>UNFILED / UNPROVEN</x:v>
      </x:c>
      <x:c r="O194" s="9" t="n">
        <x:f>COUNTIFS($A$7:$A$1302,A194)</x:f>
        <x:v>1</x:v>
      </x:c>
    </x:row>
    <x:row r="195">
      <x:c r="A195" s="9" t="str">
        <x:v>EV-AR-HC-A-C-TECH-2-B2-BRK-G0-IV09</x:v>
      </x:c>
      <x:c r="B195" s="9" t="str">
        <x:v>EV-AR-HC-A-C-TECH-2-B2-BRK-G0</x:v>
      </x:c>
      <x:c r="C195" s="9" t="str">
        <x:v>AR-HC-A-C-TECH-2-B2-BRK-G0</x:v>
      </x:c>
      <x:c r="D195" s="9" t="str">
        <x:v>HC-A-C-TECH-2</x:v>
      </x:c>
      <x:c r="E195" s="9" t="str">
        <x:v>HC-A-C</x:v>
      </x:c>
      <x:c r="F195" s="9" t="str">
        <x:v>B2</x:v>
      </x:c>
      <x:c r="G195" s="9" t="str">
        <x:v>BRK</x:v>
      </x:c>
      <x:c r="H195" s="9" t="str">
        <x:v>IV09</x:v>
      </x:c>
      <x:c r="I195" s="17" t="str">
        <x:v>Bounded remedy</x:v>
      </x:c>
      <x:c r="J195" s="17" t="str">
        <x:v>only a new slot and EOW may follow; no favorable credit or erased attempt</x:v>
      </x:c>
      <x:c r="K195" s="17" t="str">
        <x:v>Invalidity court</x:v>
      </x:c>
      <x:c r="L195" s="9" t="n">
        <x:v>0</x:v>
      </x:c>
      <x:c r="M195" s="9" t="n">
        <x:v>0</x:v>
      </x:c>
      <x:c r="N195" s="9" t="str">
        <x:v>UNFILED / UNPROVEN</x:v>
      </x:c>
      <x:c r="O195" s="9" t="n">
        <x:f>COUNTIFS($A$7:$A$1302,A195)</x:f>
        <x:v>1</x:v>
      </x:c>
    </x:row>
    <x:row r="196">
      <x:c r="A196" s="9" t="str">
        <x:v>EV-AR-HU-A-B-TECH-1-B1-BRK-G0-IV01</x:v>
      </x:c>
      <x:c r="B196" s="9" t="str">
        <x:v>EV-AR-HU-A-B-TECH-1-B1-BRK-G0</x:v>
      </x:c>
      <x:c r="C196" s="9" t="str">
        <x:v>AR-HU-A-B-TECH-1-B1-BRK-G0</x:v>
      </x:c>
      <x:c r="D196" s="9" t="str">
        <x:v>HU-A-B-TECH-1</x:v>
      </x:c>
      <x:c r="E196" s="9" t="str">
        <x:v>HU-A-B</x:v>
      </x:c>
      <x:c r="F196" s="9" t="str">
        <x:v>B1</x:v>
      </x:c>
      <x:c r="G196" s="9" t="str">
        <x:v>BRK</x:v>
      </x:c>
      <x:c r="H196" s="9" t="str">
        <x:v>IV01</x:v>
      </x:c>
      <x:c r="I196" s="17" t="str">
        <x:v>Timely petition</x:v>
      </x:c>
      <x:c r="J196" s="17" t="str">
        <x:v>petition enters within seventy-two hours of event close</x:v>
      </x:c>
      <x:c r="K196" s="17" t="str">
        <x:v>Invalidity registrar</x:v>
      </x:c>
      <x:c r="L196" s="9" t="n">
        <x:v>0</x:v>
      </x:c>
      <x:c r="M196" s="9" t="n">
        <x:v>0</x:v>
      </x:c>
      <x:c r="N196" s="9" t="str">
        <x:v>UNFILED / UNPROVEN</x:v>
      </x:c>
      <x:c r="O196" s="9" t="n">
        <x:f>COUNTIFS($A$7:$A$1302,A196)</x:f>
        <x:v>1</x:v>
      </x:c>
    </x:row>
    <x:row r="197">
      <x:c r="A197" s="9" t="str">
        <x:v>EV-AR-HU-A-B-TECH-1-B1-BRK-G0-IV02</x:v>
      </x:c>
      <x:c r="B197" s="9" t="str">
        <x:v>EV-AR-HU-A-B-TECH-1-B1-BRK-G0</x:v>
      </x:c>
      <x:c r="C197" s="9" t="str">
        <x:v>AR-HU-A-B-TECH-1-B1-BRK-G0</x:v>
      </x:c>
      <x:c r="D197" s="9" t="str">
        <x:v>HU-A-B-TECH-1</x:v>
      </x:c>
      <x:c r="E197" s="9" t="str">
        <x:v>HU-A-B</x:v>
      </x:c>
      <x:c r="F197" s="9" t="str">
        <x:v>B1</x:v>
      </x:c>
      <x:c r="G197" s="9" t="str">
        <x:v>BRK</x:v>
      </x:c>
      <x:c r="H197" s="9" t="str">
        <x:v>IV02</x:v>
      </x:c>
      <x:c r="I197" s="17" t="str">
        <x:v>Named facility cause</x:v>
      </x:c>
      <x:c r="J197" s="17" t="str">
        <x:v>one pre-registered noncandidate cause is identified</x:v>
      </x:c>
      <x:c r="K197" s="17" t="str">
        <x:v>Facility-cause court</x:v>
      </x:c>
      <x:c r="L197" s="9" t="n">
        <x:v>0</x:v>
      </x:c>
      <x:c r="M197" s="9" t="n">
        <x:v>0</x:v>
      </x:c>
      <x:c r="N197" s="9" t="str">
        <x:v>UNFILED / UNPROVEN</x:v>
      </x:c>
      <x:c r="O197" s="9" t="n">
        <x:f>COUNTIFS($A$7:$A$1302,A197)</x:f>
        <x:v>1</x:v>
      </x:c>
    </x:row>
    <x:row r="198">
      <x:c r="A198" s="9" t="str">
        <x:v>EV-AR-HU-A-B-TECH-1-B1-BRK-G0-IV03</x:v>
      </x:c>
      <x:c r="B198" s="9" t="str">
        <x:v>EV-AR-HU-A-B-TECH-1-B1-BRK-G0</x:v>
      </x:c>
      <x:c r="C198" s="9" t="str">
        <x:v>AR-HU-A-B-TECH-1-B1-BRK-G0</x:v>
      </x:c>
      <x:c r="D198" s="9" t="str">
        <x:v>HU-A-B-TECH-1</x:v>
      </x:c>
      <x:c r="E198" s="9" t="str">
        <x:v>HU-A-B</x:v>
      </x:c>
      <x:c r="F198" s="9" t="str">
        <x:v>B1</x:v>
      </x:c>
      <x:c r="G198" s="9" t="str">
        <x:v>BRK</x:v>
      </x:c>
      <x:c r="H198" s="9" t="str">
        <x:v>IV03</x:v>
      </x:c>
      <x:c r="I198" s="17" t="str">
        <x:v>Temporal priority</x:v>
      </x:c>
      <x:c r="J198" s="17" t="str">
        <x:v>cause demonstrably precedes the disputed candidate behavior</x:v>
      </x:c>
      <x:c r="K198" s="17" t="str">
        <x:v>Time authority</x:v>
      </x:c>
      <x:c r="L198" s="9" t="n">
        <x:v>0</x:v>
      </x:c>
      <x:c r="M198" s="9" t="n">
        <x:v>0</x:v>
      </x:c>
      <x:c r="N198" s="9" t="str">
        <x:v>UNFILED / UNPROVEN</x:v>
      </x:c>
      <x:c r="O198" s="9" t="n">
        <x:f>COUNTIFS($A$7:$A$1302,A198)</x:f>
        <x:v>1</x:v>
      </x:c>
    </x:row>
    <x:row r="199">
      <x:c r="A199" s="9" t="str">
        <x:v>EV-AR-HU-A-B-TECH-1-B1-BRK-G0-IV04</x:v>
      </x:c>
      <x:c r="B199" s="9" t="str">
        <x:v>EV-AR-HU-A-B-TECH-1-B1-BRK-G0</x:v>
      </x:c>
      <x:c r="C199" s="9" t="str">
        <x:v>AR-HU-A-B-TECH-1-B1-BRK-G0</x:v>
      </x:c>
      <x:c r="D199" s="9" t="str">
        <x:v>HU-A-B-TECH-1</x:v>
      </x:c>
      <x:c r="E199" s="9" t="str">
        <x:v>HU-A-B</x:v>
      </x:c>
      <x:c r="F199" s="9" t="str">
        <x:v>B1</x:v>
      </x:c>
      <x:c r="G199" s="9" t="str">
        <x:v>BRK</x:v>
      </x:c>
      <x:c r="H199" s="9" t="str">
        <x:v>IV04</x:v>
      </x:c>
      <x:c r="I199" s="17" t="str">
        <x:v>Independent trace</x:v>
      </x:c>
      <x:c r="J199" s="17" t="str">
        <x:v>two unlike records carry the cause without candidate custody</x:v>
      </x:c>
      <x:c r="K199" s="17" t="str">
        <x:v>Invalidity court</x:v>
      </x:c>
      <x:c r="L199" s="9" t="n">
        <x:v>0</x:v>
      </x:c>
      <x:c r="M199" s="9" t="n">
        <x:v>0</x:v>
      </x:c>
      <x:c r="N199" s="9" t="str">
        <x:v>UNFILED / UNPROVEN</x:v>
      </x:c>
      <x:c r="O199" s="9" t="n">
        <x:f>COUNTIFS($A$7:$A$1302,A199)</x:f>
        <x:v>1</x:v>
      </x:c>
    </x:row>
    <x:row r="200">
      <x:c r="A200" s="9" t="str">
        <x:v>EV-AR-HU-A-B-TECH-1-B1-BRK-G0-IV05</x:v>
      </x:c>
      <x:c r="B200" s="9" t="str">
        <x:v>EV-AR-HU-A-B-TECH-1-B1-BRK-G0</x:v>
      </x:c>
      <x:c r="C200" s="9" t="str">
        <x:v>AR-HU-A-B-TECH-1-B1-BRK-G0</x:v>
      </x:c>
      <x:c r="D200" s="9" t="str">
        <x:v>HU-A-B-TECH-1</x:v>
      </x:c>
      <x:c r="E200" s="9" t="str">
        <x:v>HU-A-B</x:v>
      </x:c>
      <x:c r="F200" s="9" t="str">
        <x:v>B1</x:v>
      </x:c>
      <x:c r="G200" s="9" t="str">
        <x:v>BRK</x:v>
      </x:c>
      <x:c r="H200" s="9" t="str">
        <x:v>IV05</x:v>
      </x:c>
      <x:c r="I200" s="17" t="str">
        <x:v>Causal counterfactual</x:v>
      </x:c>
      <x:c r="J200" s="17" t="str">
        <x:v>registered counterfactual shows the cause can create the defect</x:v>
      </x:c>
      <x:c r="K200" s="17" t="str">
        <x:v>Causal court</x:v>
      </x:c>
      <x:c r="L200" s="9" t="n">
        <x:v>0</x:v>
      </x:c>
      <x:c r="M200" s="9" t="n">
        <x:v>0</x:v>
      </x:c>
      <x:c r="N200" s="9" t="str">
        <x:v>UNFILED / UNPROVEN</x:v>
      </x:c>
      <x:c r="O200" s="9" t="n">
        <x:f>COUNTIFS($A$7:$A$1302,A200)</x:f>
        <x:v>1</x:v>
      </x:c>
    </x:row>
    <x:row r="201">
      <x:c r="A201" s="9" t="str">
        <x:v>EV-AR-HU-A-B-TECH-1-B1-BRK-G0-IV06</x:v>
      </x:c>
      <x:c r="B201" s="9" t="str">
        <x:v>EV-AR-HU-A-B-TECH-1-B1-BRK-G0</x:v>
      </x:c>
      <x:c r="C201" s="9" t="str">
        <x:v>AR-HU-A-B-TECH-1-B1-BRK-G0</x:v>
      </x:c>
      <x:c r="D201" s="9" t="str">
        <x:v>HU-A-B-TECH-1</x:v>
      </x:c>
      <x:c r="E201" s="9" t="str">
        <x:v>HU-A-B</x:v>
      </x:c>
      <x:c r="F201" s="9" t="str">
        <x:v>B1</x:v>
      </x:c>
      <x:c r="G201" s="9" t="str">
        <x:v>BRK</x:v>
      </x:c>
      <x:c r="H201" s="9" t="str">
        <x:v>IV06</x:v>
      </x:c>
      <x:c r="I201" s="17" t="str">
        <x:v>Candidate non-causation</x:v>
      </x:c>
      <x:c r="J201" s="17" t="str">
        <x:v>evidence excludes candidate induction of the facility condition</x:v>
      </x:c>
      <x:c r="K201" s="17" t="str">
        <x:v>Causal court</x:v>
      </x:c>
      <x:c r="L201" s="9" t="n">
        <x:v>0</x:v>
      </x:c>
      <x:c r="M201" s="9" t="n">
        <x:v>0</x:v>
      </x:c>
      <x:c r="N201" s="9" t="str">
        <x:v>UNFILED / UNPROVEN</x:v>
      </x:c>
      <x:c r="O201" s="9" t="n">
        <x:f>COUNTIFS($A$7:$A$1302,A201)</x:f>
        <x:v>1</x:v>
      </x:c>
    </x:row>
    <x:row r="202">
      <x:c r="A202" s="9" t="str">
        <x:v>EV-AR-HU-A-B-TECH-1-B1-BRK-G0-IV07</x:v>
      </x:c>
      <x:c r="B202" s="9" t="str">
        <x:v>EV-AR-HU-A-B-TECH-1-B1-BRK-G0</x:v>
      </x:c>
      <x:c r="C202" s="9" t="str">
        <x:v>AR-HU-A-B-TECH-1-B1-BRK-G0</x:v>
      </x:c>
      <x:c r="D202" s="9" t="str">
        <x:v>HU-A-B-TECH-1</x:v>
      </x:c>
      <x:c r="E202" s="9" t="str">
        <x:v>HU-A-B</x:v>
      </x:c>
      <x:c r="F202" s="9" t="str">
        <x:v>B1</x:v>
      </x:c>
      <x:c r="G202" s="9" t="str">
        <x:v>BRK</x:v>
      </x:c>
      <x:c r="H202" s="9" t="str">
        <x:v>IV07</x:v>
      </x:c>
      <x:c r="I202" s="17" t="str">
        <x:v>No outcome selection</x:v>
      </x:c>
      <x:c r="J202" s="17" t="str">
        <x:v>petition rule and evidence scope were fixed before visibility</x:v>
      </x:c>
      <x:c r="K202" s="17" t="str">
        <x:v>Conflict registrar</x:v>
      </x:c>
      <x:c r="L202" s="9" t="n">
        <x:v>0</x:v>
      </x:c>
      <x:c r="M202" s="9" t="n">
        <x:v>0</x:v>
      </x:c>
      <x:c r="N202" s="9" t="str">
        <x:v>UNFILED / UNPROVEN</x:v>
      </x:c>
      <x:c r="O202" s="9" t="n">
        <x:f>COUNTIFS($A$7:$A$1302,A202)</x:f>
        <x:v>1</x:v>
      </x:c>
    </x:row>
    <x:row r="203">
      <x:c r="A203" s="9" t="str">
        <x:v>EV-AR-HU-A-B-TECH-1-B1-BRK-G0-IV08</x:v>
      </x:c>
      <x:c r="B203" s="9" t="str">
        <x:v>EV-AR-HU-A-B-TECH-1-B1-BRK-G0</x:v>
      </x:c>
      <x:c r="C203" s="9" t="str">
        <x:v>AR-HU-A-B-TECH-1-B1-BRK-G0</x:v>
      </x:c>
      <x:c r="D203" s="9" t="str">
        <x:v>HU-A-B-TECH-1</x:v>
      </x:c>
      <x:c r="E203" s="9" t="str">
        <x:v>HU-A-B</x:v>
      </x:c>
      <x:c r="F203" s="9" t="str">
        <x:v>B1</x:v>
      </x:c>
      <x:c r="G203" s="9" t="str">
        <x:v>BRK</x:v>
      </x:c>
      <x:c r="H203" s="9" t="str">
        <x:v>IV08</x:v>
      </x:c>
      <x:c r="I203" s="17" t="str">
        <x:v>Whole-record preservation</x:v>
      </x:c>
      <x:c r="J203" s="17" t="str">
        <x:v>start, raw behavior, dissent and intervention remain in archive</x:v>
      </x:c>
      <x:c r="K203" s="17" t="str">
        <x:v>Archive authority</x:v>
      </x:c>
      <x:c r="L203" s="9" t="n">
        <x:v>0</x:v>
      </x:c>
      <x:c r="M203" s="9" t="n">
        <x:v>0</x:v>
      </x:c>
      <x:c r="N203" s="9" t="str">
        <x:v>UNFILED / UNPROVEN</x:v>
      </x:c>
      <x:c r="O203" s="9" t="n">
        <x:f>COUNTIFS($A$7:$A$1302,A203)</x:f>
        <x:v>1</x:v>
      </x:c>
    </x:row>
    <x:row r="204">
      <x:c r="A204" s="9" t="str">
        <x:v>EV-AR-HU-A-B-TECH-1-B1-BRK-G0-IV09</x:v>
      </x:c>
      <x:c r="B204" s="9" t="str">
        <x:v>EV-AR-HU-A-B-TECH-1-B1-BRK-G0</x:v>
      </x:c>
      <x:c r="C204" s="9" t="str">
        <x:v>AR-HU-A-B-TECH-1-B1-BRK-G0</x:v>
      </x:c>
      <x:c r="D204" s="9" t="str">
        <x:v>HU-A-B-TECH-1</x:v>
      </x:c>
      <x:c r="E204" s="9" t="str">
        <x:v>HU-A-B</x:v>
      </x:c>
      <x:c r="F204" s="9" t="str">
        <x:v>B1</x:v>
      </x:c>
      <x:c r="G204" s="9" t="str">
        <x:v>BRK</x:v>
      </x:c>
      <x:c r="H204" s="9" t="str">
        <x:v>IV09</x:v>
      </x:c>
      <x:c r="I204" s="17" t="str">
        <x:v>Bounded remedy</x:v>
      </x:c>
      <x:c r="J204" s="17" t="str">
        <x:v>only a new slot and EOW may follow; no favorable credit or erased attempt</x:v>
      </x:c>
      <x:c r="K204" s="17" t="str">
        <x:v>Invalidity court</x:v>
      </x:c>
      <x:c r="L204" s="9" t="n">
        <x:v>0</x:v>
      </x:c>
      <x:c r="M204" s="9" t="n">
        <x:v>0</x:v>
      </x:c>
      <x:c r="N204" s="9" t="str">
        <x:v>UNFILED / UNPROVEN</x:v>
      </x:c>
      <x:c r="O204" s="9" t="n">
        <x:f>COUNTIFS($A$7:$A$1302,A204)</x:f>
        <x:v>1</x:v>
      </x:c>
    </x:row>
    <x:row r="205">
      <x:c r="A205" s="9" t="str">
        <x:v>EV-AR-LF-B-A-TECH-2-B1-BRK-G0-IV01</x:v>
      </x:c>
      <x:c r="B205" s="9" t="str">
        <x:v>EV-AR-LF-B-A-TECH-2-B1-BRK-G0</x:v>
      </x:c>
      <x:c r="C205" s="9" t="str">
        <x:v>AR-LF-B-A-TECH-2-B1-BRK-G0</x:v>
      </x:c>
      <x:c r="D205" s="9" t="str">
        <x:v>LF-B-A-TECH-2</x:v>
      </x:c>
      <x:c r="E205" s="9" t="str">
        <x:v>LF-B-A</x:v>
      </x:c>
      <x:c r="F205" s="9" t="str">
        <x:v>B1</x:v>
      </x:c>
      <x:c r="G205" s="9" t="str">
        <x:v>BRK</x:v>
      </x:c>
      <x:c r="H205" s="9" t="str">
        <x:v>IV01</x:v>
      </x:c>
      <x:c r="I205" s="17" t="str">
        <x:v>Timely petition</x:v>
      </x:c>
      <x:c r="J205" s="17" t="str">
        <x:v>petition enters within seventy-two hours of event close</x:v>
      </x:c>
      <x:c r="K205" s="17" t="str">
        <x:v>Invalidity registrar</x:v>
      </x:c>
      <x:c r="L205" s="9" t="n">
        <x:v>0</x:v>
      </x:c>
      <x:c r="M205" s="9" t="n">
        <x:v>0</x:v>
      </x:c>
      <x:c r="N205" s="9" t="str">
        <x:v>UNFILED / UNPROVEN</x:v>
      </x:c>
      <x:c r="O205" s="9" t="n">
        <x:f>COUNTIFS($A$7:$A$1302,A205)</x:f>
        <x:v>1</x:v>
      </x:c>
    </x:row>
    <x:row r="206">
      <x:c r="A206" s="9" t="str">
        <x:v>EV-AR-LF-B-A-TECH-2-B1-BRK-G0-IV02</x:v>
      </x:c>
      <x:c r="B206" s="9" t="str">
        <x:v>EV-AR-LF-B-A-TECH-2-B1-BRK-G0</x:v>
      </x:c>
      <x:c r="C206" s="9" t="str">
        <x:v>AR-LF-B-A-TECH-2-B1-BRK-G0</x:v>
      </x:c>
      <x:c r="D206" s="9" t="str">
        <x:v>LF-B-A-TECH-2</x:v>
      </x:c>
      <x:c r="E206" s="9" t="str">
        <x:v>LF-B-A</x:v>
      </x:c>
      <x:c r="F206" s="9" t="str">
        <x:v>B1</x:v>
      </x:c>
      <x:c r="G206" s="9" t="str">
        <x:v>BRK</x:v>
      </x:c>
      <x:c r="H206" s="9" t="str">
        <x:v>IV02</x:v>
      </x:c>
      <x:c r="I206" s="17" t="str">
        <x:v>Named facility cause</x:v>
      </x:c>
      <x:c r="J206" s="17" t="str">
        <x:v>one pre-registered noncandidate cause is identified</x:v>
      </x:c>
      <x:c r="K206" s="17" t="str">
        <x:v>Facility-cause court</x:v>
      </x:c>
      <x:c r="L206" s="9" t="n">
        <x:v>0</x:v>
      </x:c>
      <x:c r="M206" s="9" t="n">
        <x:v>0</x:v>
      </x:c>
      <x:c r="N206" s="9" t="str">
        <x:v>UNFILED / UNPROVEN</x:v>
      </x:c>
      <x:c r="O206" s="9" t="n">
        <x:f>COUNTIFS($A$7:$A$1302,A206)</x:f>
        <x:v>1</x:v>
      </x:c>
    </x:row>
    <x:row r="207">
      <x:c r="A207" s="9" t="str">
        <x:v>EV-AR-LF-B-A-TECH-2-B1-BRK-G0-IV03</x:v>
      </x:c>
      <x:c r="B207" s="9" t="str">
        <x:v>EV-AR-LF-B-A-TECH-2-B1-BRK-G0</x:v>
      </x:c>
      <x:c r="C207" s="9" t="str">
        <x:v>AR-LF-B-A-TECH-2-B1-BRK-G0</x:v>
      </x:c>
      <x:c r="D207" s="9" t="str">
        <x:v>LF-B-A-TECH-2</x:v>
      </x:c>
      <x:c r="E207" s="9" t="str">
        <x:v>LF-B-A</x:v>
      </x:c>
      <x:c r="F207" s="9" t="str">
        <x:v>B1</x:v>
      </x:c>
      <x:c r="G207" s="9" t="str">
        <x:v>BRK</x:v>
      </x:c>
      <x:c r="H207" s="9" t="str">
        <x:v>IV03</x:v>
      </x:c>
      <x:c r="I207" s="17" t="str">
        <x:v>Temporal priority</x:v>
      </x:c>
      <x:c r="J207" s="17" t="str">
        <x:v>cause demonstrably precedes the disputed candidate behavior</x:v>
      </x:c>
      <x:c r="K207" s="17" t="str">
        <x:v>Time authority</x:v>
      </x:c>
      <x:c r="L207" s="9" t="n">
        <x:v>0</x:v>
      </x:c>
      <x:c r="M207" s="9" t="n">
        <x:v>0</x:v>
      </x:c>
      <x:c r="N207" s="9" t="str">
        <x:v>UNFILED / UNPROVEN</x:v>
      </x:c>
      <x:c r="O207" s="9" t="n">
        <x:f>COUNTIFS($A$7:$A$1302,A207)</x:f>
        <x:v>1</x:v>
      </x:c>
    </x:row>
    <x:row r="208">
      <x:c r="A208" s="9" t="str">
        <x:v>EV-AR-LF-B-A-TECH-2-B1-BRK-G0-IV04</x:v>
      </x:c>
      <x:c r="B208" s="9" t="str">
        <x:v>EV-AR-LF-B-A-TECH-2-B1-BRK-G0</x:v>
      </x:c>
      <x:c r="C208" s="9" t="str">
        <x:v>AR-LF-B-A-TECH-2-B1-BRK-G0</x:v>
      </x:c>
      <x:c r="D208" s="9" t="str">
        <x:v>LF-B-A-TECH-2</x:v>
      </x:c>
      <x:c r="E208" s="9" t="str">
        <x:v>LF-B-A</x:v>
      </x:c>
      <x:c r="F208" s="9" t="str">
        <x:v>B1</x:v>
      </x:c>
      <x:c r="G208" s="9" t="str">
        <x:v>BRK</x:v>
      </x:c>
      <x:c r="H208" s="9" t="str">
        <x:v>IV04</x:v>
      </x:c>
      <x:c r="I208" s="17" t="str">
        <x:v>Independent trace</x:v>
      </x:c>
      <x:c r="J208" s="17" t="str">
        <x:v>two unlike records carry the cause without candidate custody</x:v>
      </x:c>
      <x:c r="K208" s="17" t="str">
        <x:v>Invalidity court</x:v>
      </x:c>
      <x:c r="L208" s="9" t="n">
        <x:v>0</x:v>
      </x:c>
      <x:c r="M208" s="9" t="n">
        <x:v>0</x:v>
      </x:c>
      <x:c r="N208" s="9" t="str">
        <x:v>UNFILED / UNPROVEN</x:v>
      </x:c>
      <x:c r="O208" s="9" t="n">
        <x:f>COUNTIFS($A$7:$A$1302,A208)</x:f>
        <x:v>1</x:v>
      </x:c>
    </x:row>
    <x:row r="209">
      <x:c r="A209" s="9" t="str">
        <x:v>EV-AR-LF-B-A-TECH-2-B1-BRK-G0-IV05</x:v>
      </x:c>
      <x:c r="B209" s="9" t="str">
        <x:v>EV-AR-LF-B-A-TECH-2-B1-BRK-G0</x:v>
      </x:c>
      <x:c r="C209" s="9" t="str">
        <x:v>AR-LF-B-A-TECH-2-B1-BRK-G0</x:v>
      </x:c>
      <x:c r="D209" s="9" t="str">
        <x:v>LF-B-A-TECH-2</x:v>
      </x:c>
      <x:c r="E209" s="9" t="str">
        <x:v>LF-B-A</x:v>
      </x:c>
      <x:c r="F209" s="9" t="str">
        <x:v>B1</x:v>
      </x:c>
      <x:c r="G209" s="9" t="str">
        <x:v>BRK</x:v>
      </x:c>
      <x:c r="H209" s="9" t="str">
        <x:v>IV05</x:v>
      </x:c>
      <x:c r="I209" s="17" t="str">
        <x:v>Causal counterfactual</x:v>
      </x:c>
      <x:c r="J209" s="17" t="str">
        <x:v>registered counterfactual shows the cause can create the defect</x:v>
      </x:c>
      <x:c r="K209" s="17" t="str">
        <x:v>Causal court</x:v>
      </x:c>
      <x:c r="L209" s="9" t="n">
        <x:v>0</x:v>
      </x:c>
      <x:c r="M209" s="9" t="n">
        <x:v>0</x:v>
      </x:c>
      <x:c r="N209" s="9" t="str">
        <x:v>UNFILED / UNPROVEN</x:v>
      </x:c>
      <x:c r="O209" s="9" t="n">
        <x:f>COUNTIFS($A$7:$A$1302,A209)</x:f>
        <x:v>1</x:v>
      </x:c>
    </x:row>
    <x:row r="210">
      <x:c r="A210" s="9" t="str">
        <x:v>EV-AR-LF-B-A-TECH-2-B1-BRK-G0-IV06</x:v>
      </x:c>
      <x:c r="B210" s="9" t="str">
        <x:v>EV-AR-LF-B-A-TECH-2-B1-BRK-G0</x:v>
      </x:c>
      <x:c r="C210" s="9" t="str">
        <x:v>AR-LF-B-A-TECH-2-B1-BRK-G0</x:v>
      </x:c>
      <x:c r="D210" s="9" t="str">
        <x:v>LF-B-A-TECH-2</x:v>
      </x:c>
      <x:c r="E210" s="9" t="str">
        <x:v>LF-B-A</x:v>
      </x:c>
      <x:c r="F210" s="9" t="str">
        <x:v>B1</x:v>
      </x:c>
      <x:c r="G210" s="9" t="str">
        <x:v>BRK</x:v>
      </x:c>
      <x:c r="H210" s="9" t="str">
        <x:v>IV06</x:v>
      </x:c>
      <x:c r="I210" s="17" t="str">
        <x:v>Candidate non-causation</x:v>
      </x:c>
      <x:c r="J210" s="17" t="str">
        <x:v>evidence excludes candidate induction of the facility condition</x:v>
      </x:c>
      <x:c r="K210" s="17" t="str">
        <x:v>Causal court</x:v>
      </x:c>
      <x:c r="L210" s="9" t="n">
        <x:v>0</x:v>
      </x:c>
      <x:c r="M210" s="9" t="n">
        <x:v>0</x:v>
      </x:c>
      <x:c r="N210" s="9" t="str">
        <x:v>UNFILED / UNPROVEN</x:v>
      </x:c>
      <x:c r="O210" s="9" t="n">
        <x:f>COUNTIFS($A$7:$A$1302,A210)</x:f>
        <x:v>1</x:v>
      </x:c>
    </x:row>
    <x:row r="211">
      <x:c r="A211" s="9" t="str">
        <x:v>EV-AR-LF-B-A-TECH-2-B1-BRK-G0-IV07</x:v>
      </x:c>
      <x:c r="B211" s="9" t="str">
        <x:v>EV-AR-LF-B-A-TECH-2-B1-BRK-G0</x:v>
      </x:c>
      <x:c r="C211" s="9" t="str">
        <x:v>AR-LF-B-A-TECH-2-B1-BRK-G0</x:v>
      </x:c>
      <x:c r="D211" s="9" t="str">
        <x:v>LF-B-A-TECH-2</x:v>
      </x:c>
      <x:c r="E211" s="9" t="str">
        <x:v>LF-B-A</x:v>
      </x:c>
      <x:c r="F211" s="9" t="str">
        <x:v>B1</x:v>
      </x:c>
      <x:c r="G211" s="9" t="str">
        <x:v>BRK</x:v>
      </x:c>
      <x:c r="H211" s="9" t="str">
        <x:v>IV07</x:v>
      </x:c>
      <x:c r="I211" s="17" t="str">
        <x:v>No outcome selection</x:v>
      </x:c>
      <x:c r="J211" s="17" t="str">
        <x:v>petition rule and evidence scope were fixed before visibility</x:v>
      </x:c>
      <x:c r="K211" s="17" t="str">
        <x:v>Conflict registrar</x:v>
      </x:c>
      <x:c r="L211" s="9" t="n">
        <x:v>0</x:v>
      </x:c>
      <x:c r="M211" s="9" t="n">
        <x:v>0</x:v>
      </x:c>
      <x:c r="N211" s="9" t="str">
        <x:v>UNFILED / UNPROVEN</x:v>
      </x:c>
      <x:c r="O211" s="9" t="n">
        <x:f>COUNTIFS($A$7:$A$1302,A211)</x:f>
        <x:v>1</x:v>
      </x:c>
    </x:row>
    <x:row r="212">
      <x:c r="A212" s="9" t="str">
        <x:v>EV-AR-LF-B-A-TECH-2-B1-BRK-G0-IV08</x:v>
      </x:c>
      <x:c r="B212" s="9" t="str">
        <x:v>EV-AR-LF-B-A-TECH-2-B1-BRK-G0</x:v>
      </x:c>
      <x:c r="C212" s="9" t="str">
        <x:v>AR-LF-B-A-TECH-2-B1-BRK-G0</x:v>
      </x:c>
      <x:c r="D212" s="9" t="str">
        <x:v>LF-B-A-TECH-2</x:v>
      </x:c>
      <x:c r="E212" s="9" t="str">
        <x:v>LF-B-A</x:v>
      </x:c>
      <x:c r="F212" s="9" t="str">
        <x:v>B1</x:v>
      </x:c>
      <x:c r="G212" s="9" t="str">
        <x:v>BRK</x:v>
      </x:c>
      <x:c r="H212" s="9" t="str">
        <x:v>IV08</x:v>
      </x:c>
      <x:c r="I212" s="17" t="str">
        <x:v>Whole-record preservation</x:v>
      </x:c>
      <x:c r="J212" s="17" t="str">
        <x:v>start, raw behavior, dissent and intervention remain in archive</x:v>
      </x:c>
      <x:c r="K212" s="17" t="str">
        <x:v>Archive authority</x:v>
      </x:c>
      <x:c r="L212" s="9" t="n">
        <x:v>0</x:v>
      </x:c>
      <x:c r="M212" s="9" t="n">
        <x:v>0</x:v>
      </x:c>
      <x:c r="N212" s="9" t="str">
        <x:v>UNFILED / UNPROVEN</x:v>
      </x:c>
      <x:c r="O212" s="9" t="n">
        <x:f>COUNTIFS($A$7:$A$1302,A212)</x:f>
        <x:v>1</x:v>
      </x:c>
    </x:row>
    <x:row r="213">
      <x:c r="A213" s="9" t="str">
        <x:v>EV-AR-LF-B-A-TECH-2-B1-BRK-G0-IV09</x:v>
      </x:c>
      <x:c r="B213" s="9" t="str">
        <x:v>EV-AR-LF-B-A-TECH-2-B1-BRK-G0</x:v>
      </x:c>
      <x:c r="C213" s="9" t="str">
        <x:v>AR-LF-B-A-TECH-2-B1-BRK-G0</x:v>
      </x:c>
      <x:c r="D213" s="9" t="str">
        <x:v>LF-B-A-TECH-2</x:v>
      </x:c>
      <x:c r="E213" s="9" t="str">
        <x:v>LF-B-A</x:v>
      </x:c>
      <x:c r="F213" s="9" t="str">
        <x:v>B1</x:v>
      </x:c>
      <x:c r="G213" s="9" t="str">
        <x:v>BRK</x:v>
      </x:c>
      <x:c r="H213" s="9" t="str">
        <x:v>IV09</x:v>
      </x:c>
      <x:c r="I213" s="17" t="str">
        <x:v>Bounded remedy</x:v>
      </x:c>
      <x:c r="J213" s="17" t="str">
        <x:v>only a new slot and EOW may follow; no favorable credit or erased attempt</x:v>
      </x:c>
      <x:c r="K213" s="17" t="str">
        <x:v>Invalidity court</x:v>
      </x:c>
      <x:c r="L213" s="9" t="n">
        <x:v>0</x:v>
      </x:c>
      <x:c r="M213" s="9" t="n">
        <x:v>0</x:v>
      </x:c>
      <x:c r="N213" s="9" t="str">
        <x:v>UNFILED / UNPROVEN</x:v>
      </x:c>
      <x:c r="O213" s="9" t="n">
        <x:f>COUNTIFS($A$7:$A$1302,A213)</x:f>
        <x:v>1</x:v>
      </x:c>
    </x:row>
    <x:row r="214">
      <x:c r="A214" s="9" t="str">
        <x:v>EV-AR-RT-B-C-TECH-2-B1-INT-G0-IV01</x:v>
      </x:c>
      <x:c r="B214" s="9" t="str">
        <x:v>EV-AR-RT-B-C-TECH-2-B1-INT-G0</x:v>
      </x:c>
      <x:c r="C214" s="9" t="str">
        <x:v>AR-RT-B-C-TECH-2-B1-INT-G0</x:v>
      </x:c>
      <x:c r="D214" s="9" t="str">
        <x:v>RT-B-C-TECH-2</x:v>
      </x:c>
      <x:c r="E214" s="9" t="str">
        <x:v>RT-B-C</x:v>
      </x:c>
      <x:c r="F214" s="9" t="str">
        <x:v>B1</x:v>
      </x:c>
      <x:c r="G214" s="9" t="str">
        <x:v>INT</x:v>
      </x:c>
      <x:c r="H214" s="9" t="str">
        <x:v>IV01</x:v>
      </x:c>
      <x:c r="I214" s="17" t="str">
        <x:v>Timely petition</x:v>
      </x:c>
      <x:c r="J214" s="17" t="str">
        <x:v>petition enters within seventy-two hours of event close</x:v>
      </x:c>
      <x:c r="K214" s="17" t="str">
        <x:v>Invalidity registrar</x:v>
      </x:c>
      <x:c r="L214" s="9" t="n">
        <x:v>0</x:v>
      </x:c>
      <x:c r="M214" s="9" t="n">
        <x:v>0</x:v>
      </x:c>
      <x:c r="N214" s="9" t="str">
        <x:v>UNFILED / UNPROVEN</x:v>
      </x:c>
      <x:c r="O214" s="9" t="n">
        <x:f>COUNTIFS($A$7:$A$1302,A214)</x:f>
        <x:v>1</x:v>
      </x:c>
    </x:row>
    <x:row r="215">
      <x:c r="A215" s="9" t="str">
        <x:v>EV-AR-RT-B-C-TECH-2-B1-INT-G0-IV02</x:v>
      </x:c>
      <x:c r="B215" s="9" t="str">
        <x:v>EV-AR-RT-B-C-TECH-2-B1-INT-G0</x:v>
      </x:c>
      <x:c r="C215" s="9" t="str">
        <x:v>AR-RT-B-C-TECH-2-B1-INT-G0</x:v>
      </x:c>
      <x:c r="D215" s="9" t="str">
        <x:v>RT-B-C-TECH-2</x:v>
      </x:c>
      <x:c r="E215" s="9" t="str">
        <x:v>RT-B-C</x:v>
      </x:c>
      <x:c r="F215" s="9" t="str">
        <x:v>B1</x:v>
      </x:c>
      <x:c r="G215" s="9" t="str">
        <x:v>INT</x:v>
      </x:c>
      <x:c r="H215" s="9" t="str">
        <x:v>IV02</x:v>
      </x:c>
      <x:c r="I215" s="17" t="str">
        <x:v>Named facility cause</x:v>
      </x:c>
      <x:c r="J215" s="17" t="str">
        <x:v>one pre-registered noncandidate cause is identified</x:v>
      </x:c>
      <x:c r="K215" s="17" t="str">
        <x:v>Facility-cause court</x:v>
      </x:c>
      <x:c r="L215" s="9" t="n">
        <x:v>0</x:v>
      </x:c>
      <x:c r="M215" s="9" t="n">
        <x:v>0</x:v>
      </x:c>
      <x:c r="N215" s="9" t="str">
        <x:v>UNFILED / UNPROVEN</x:v>
      </x:c>
      <x:c r="O215" s="9" t="n">
        <x:f>COUNTIFS($A$7:$A$1302,A215)</x:f>
        <x:v>1</x:v>
      </x:c>
    </x:row>
    <x:row r="216">
      <x:c r="A216" s="9" t="str">
        <x:v>EV-AR-RT-B-C-TECH-2-B1-INT-G0-IV03</x:v>
      </x:c>
      <x:c r="B216" s="9" t="str">
        <x:v>EV-AR-RT-B-C-TECH-2-B1-INT-G0</x:v>
      </x:c>
      <x:c r="C216" s="9" t="str">
        <x:v>AR-RT-B-C-TECH-2-B1-INT-G0</x:v>
      </x:c>
      <x:c r="D216" s="9" t="str">
        <x:v>RT-B-C-TECH-2</x:v>
      </x:c>
      <x:c r="E216" s="9" t="str">
        <x:v>RT-B-C</x:v>
      </x:c>
      <x:c r="F216" s="9" t="str">
        <x:v>B1</x:v>
      </x:c>
      <x:c r="G216" s="9" t="str">
        <x:v>INT</x:v>
      </x:c>
      <x:c r="H216" s="9" t="str">
        <x:v>IV03</x:v>
      </x:c>
      <x:c r="I216" s="17" t="str">
        <x:v>Temporal priority</x:v>
      </x:c>
      <x:c r="J216" s="17" t="str">
        <x:v>cause demonstrably precedes the disputed candidate behavior</x:v>
      </x:c>
      <x:c r="K216" s="17" t="str">
        <x:v>Time authority</x:v>
      </x:c>
      <x:c r="L216" s="9" t="n">
        <x:v>0</x:v>
      </x:c>
      <x:c r="M216" s="9" t="n">
        <x:v>0</x:v>
      </x:c>
      <x:c r="N216" s="9" t="str">
        <x:v>UNFILED / UNPROVEN</x:v>
      </x:c>
      <x:c r="O216" s="9" t="n">
        <x:f>COUNTIFS($A$7:$A$1302,A216)</x:f>
        <x:v>1</x:v>
      </x:c>
    </x:row>
    <x:row r="217">
      <x:c r="A217" s="9" t="str">
        <x:v>EV-AR-RT-B-C-TECH-2-B1-INT-G0-IV04</x:v>
      </x:c>
      <x:c r="B217" s="9" t="str">
        <x:v>EV-AR-RT-B-C-TECH-2-B1-INT-G0</x:v>
      </x:c>
      <x:c r="C217" s="9" t="str">
        <x:v>AR-RT-B-C-TECH-2-B1-INT-G0</x:v>
      </x:c>
      <x:c r="D217" s="9" t="str">
        <x:v>RT-B-C-TECH-2</x:v>
      </x:c>
      <x:c r="E217" s="9" t="str">
        <x:v>RT-B-C</x:v>
      </x:c>
      <x:c r="F217" s="9" t="str">
        <x:v>B1</x:v>
      </x:c>
      <x:c r="G217" s="9" t="str">
        <x:v>INT</x:v>
      </x:c>
      <x:c r="H217" s="9" t="str">
        <x:v>IV04</x:v>
      </x:c>
      <x:c r="I217" s="17" t="str">
        <x:v>Independent trace</x:v>
      </x:c>
      <x:c r="J217" s="17" t="str">
        <x:v>two unlike records carry the cause without candidate custody</x:v>
      </x:c>
      <x:c r="K217" s="17" t="str">
        <x:v>Invalidity court</x:v>
      </x:c>
      <x:c r="L217" s="9" t="n">
        <x:v>0</x:v>
      </x:c>
      <x:c r="M217" s="9" t="n">
        <x:v>0</x:v>
      </x:c>
      <x:c r="N217" s="9" t="str">
        <x:v>UNFILED / UNPROVEN</x:v>
      </x:c>
      <x:c r="O217" s="9" t="n">
        <x:f>COUNTIFS($A$7:$A$1302,A217)</x:f>
        <x:v>1</x:v>
      </x:c>
    </x:row>
    <x:row r="218">
      <x:c r="A218" s="9" t="str">
        <x:v>EV-AR-RT-B-C-TECH-2-B1-INT-G0-IV05</x:v>
      </x:c>
      <x:c r="B218" s="9" t="str">
        <x:v>EV-AR-RT-B-C-TECH-2-B1-INT-G0</x:v>
      </x:c>
      <x:c r="C218" s="9" t="str">
        <x:v>AR-RT-B-C-TECH-2-B1-INT-G0</x:v>
      </x:c>
      <x:c r="D218" s="9" t="str">
        <x:v>RT-B-C-TECH-2</x:v>
      </x:c>
      <x:c r="E218" s="9" t="str">
        <x:v>RT-B-C</x:v>
      </x:c>
      <x:c r="F218" s="9" t="str">
        <x:v>B1</x:v>
      </x:c>
      <x:c r="G218" s="9" t="str">
        <x:v>INT</x:v>
      </x:c>
      <x:c r="H218" s="9" t="str">
        <x:v>IV05</x:v>
      </x:c>
      <x:c r="I218" s="17" t="str">
        <x:v>Causal counterfactual</x:v>
      </x:c>
      <x:c r="J218" s="17" t="str">
        <x:v>registered counterfactual shows the cause can create the defect</x:v>
      </x:c>
      <x:c r="K218" s="17" t="str">
        <x:v>Causal court</x:v>
      </x:c>
      <x:c r="L218" s="9" t="n">
        <x:v>0</x:v>
      </x:c>
      <x:c r="M218" s="9" t="n">
        <x:v>0</x:v>
      </x:c>
      <x:c r="N218" s="9" t="str">
        <x:v>UNFILED / UNPROVEN</x:v>
      </x:c>
      <x:c r="O218" s="9" t="n">
        <x:f>COUNTIFS($A$7:$A$1302,A218)</x:f>
        <x:v>1</x:v>
      </x:c>
    </x:row>
    <x:row r="219">
      <x:c r="A219" s="9" t="str">
        <x:v>EV-AR-RT-B-C-TECH-2-B1-INT-G0-IV06</x:v>
      </x:c>
      <x:c r="B219" s="9" t="str">
        <x:v>EV-AR-RT-B-C-TECH-2-B1-INT-G0</x:v>
      </x:c>
      <x:c r="C219" s="9" t="str">
        <x:v>AR-RT-B-C-TECH-2-B1-INT-G0</x:v>
      </x:c>
      <x:c r="D219" s="9" t="str">
        <x:v>RT-B-C-TECH-2</x:v>
      </x:c>
      <x:c r="E219" s="9" t="str">
        <x:v>RT-B-C</x:v>
      </x:c>
      <x:c r="F219" s="9" t="str">
        <x:v>B1</x:v>
      </x:c>
      <x:c r="G219" s="9" t="str">
        <x:v>INT</x:v>
      </x:c>
      <x:c r="H219" s="9" t="str">
        <x:v>IV06</x:v>
      </x:c>
      <x:c r="I219" s="17" t="str">
        <x:v>Candidate non-causation</x:v>
      </x:c>
      <x:c r="J219" s="17" t="str">
        <x:v>evidence excludes candidate induction of the facility condition</x:v>
      </x:c>
      <x:c r="K219" s="17" t="str">
        <x:v>Causal court</x:v>
      </x:c>
      <x:c r="L219" s="9" t="n">
        <x:v>0</x:v>
      </x:c>
      <x:c r="M219" s="9" t="n">
        <x:v>0</x:v>
      </x:c>
      <x:c r="N219" s="9" t="str">
        <x:v>UNFILED / UNPROVEN</x:v>
      </x:c>
      <x:c r="O219" s="9" t="n">
        <x:f>COUNTIFS($A$7:$A$1302,A219)</x:f>
        <x:v>1</x:v>
      </x:c>
    </x:row>
    <x:row r="220">
      <x:c r="A220" s="9" t="str">
        <x:v>EV-AR-RT-B-C-TECH-2-B1-INT-G0-IV07</x:v>
      </x:c>
      <x:c r="B220" s="9" t="str">
        <x:v>EV-AR-RT-B-C-TECH-2-B1-INT-G0</x:v>
      </x:c>
      <x:c r="C220" s="9" t="str">
        <x:v>AR-RT-B-C-TECH-2-B1-INT-G0</x:v>
      </x:c>
      <x:c r="D220" s="9" t="str">
        <x:v>RT-B-C-TECH-2</x:v>
      </x:c>
      <x:c r="E220" s="9" t="str">
        <x:v>RT-B-C</x:v>
      </x:c>
      <x:c r="F220" s="9" t="str">
        <x:v>B1</x:v>
      </x:c>
      <x:c r="G220" s="9" t="str">
        <x:v>INT</x:v>
      </x:c>
      <x:c r="H220" s="9" t="str">
        <x:v>IV07</x:v>
      </x:c>
      <x:c r="I220" s="17" t="str">
        <x:v>No outcome selection</x:v>
      </x:c>
      <x:c r="J220" s="17" t="str">
        <x:v>petition rule and evidence scope were fixed before visibility</x:v>
      </x:c>
      <x:c r="K220" s="17" t="str">
        <x:v>Conflict registrar</x:v>
      </x:c>
      <x:c r="L220" s="9" t="n">
        <x:v>0</x:v>
      </x:c>
      <x:c r="M220" s="9" t="n">
        <x:v>0</x:v>
      </x:c>
      <x:c r="N220" s="9" t="str">
        <x:v>UNFILED / UNPROVEN</x:v>
      </x:c>
      <x:c r="O220" s="9" t="n">
        <x:f>COUNTIFS($A$7:$A$1302,A220)</x:f>
        <x:v>1</x:v>
      </x:c>
    </x:row>
    <x:row r="221">
      <x:c r="A221" s="9" t="str">
        <x:v>EV-AR-RT-B-C-TECH-2-B1-INT-G0-IV08</x:v>
      </x:c>
      <x:c r="B221" s="9" t="str">
        <x:v>EV-AR-RT-B-C-TECH-2-B1-INT-G0</x:v>
      </x:c>
      <x:c r="C221" s="9" t="str">
        <x:v>AR-RT-B-C-TECH-2-B1-INT-G0</x:v>
      </x:c>
      <x:c r="D221" s="9" t="str">
        <x:v>RT-B-C-TECH-2</x:v>
      </x:c>
      <x:c r="E221" s="9" t="str">
        <x:v>RT-B-C</x:v>
      </x:c>
      <x:c r="F221" s="9" t="str">
        <x:v>B1</x:v>
      </x:c>
      <x:c r="G221" s="9" t="str">
        <x:v>INT</x:v>
      </x:c>
      <x:c r="H221" s="9" t="str">
        <x:v>IV08</x:v>
      </x:c>
      <x:c r="I221" s="17" t="str">
        <x:v>Whole-record preservation</x:v>
      </x:c>
      <x:c r="J221" s="17" t="str">
        <x:v>start, raw behavior, dissent and intervention remain in archive</x:v>
      </x:c>
      <x:c r="K221" s="17" t="str">
        <x:v>Archive authority</x:v>
      </x:c>
      <x:c r="L221" s="9" t="n">
        <x:v>0</x:v>
      </x:c>
      <x:c r="M221" s="9" t="n">
        <x:v>0</x:v>
      </x:c>
      <x:c r="N221" s="9" t="str">
        <x:v>UNFILED / UNPROVEN</x:v>
      </x:c>
      <x:c r="O221" s="9" t="n">
        <x:f>COUNTIFS($A$7:$A$1302,A221)</x:f>
        <x:v>1</x:v>
      </x:c>
    </x:row>
    <x:row r="222">
      <x:c r="A222" s="9" t="str">
        <x:v>EV-AR-RT-B-C-TECH-2-B1-INT-G0-IV09</x:v>
      </x:c>
      <x:c r="B222" s="9" t="str">
        <x:v>EV-AR-RT-B-C-TECH-2-B1-INT-G0</x:v>
      </x:c>
      <x:c r="C222" s="9" t="str">
        <x:v>AR-RT-B-C-TECH-2-B1-INT-G0</x:v>
      </x:c>
      <x:c r="D222" s="9" t="str">
        <x:v>RT-B-C-TECH-2</x:v>
      </x:c>
      <x:c r="E222" s="9" t="str">
        <x:v>RT-B-C</x:v>
      </x:c>
      <x:c r="F222" s="9" t="str">
        <x:v>B1</x:v>
      </x:c>
      <x:c r="G222" s="9" t="str">
        <x:v>INT</x:v>
      </x:c>
      <x:c r="H222" s="9" t="str">
        <x:v>IV09</x:v>
      </x:c>
      <x:c r="I222" s="17" t="str">
        <x:v>Bounded remedy</x:v>
      </x:c>
      <x:c r="J222" s="17" t="str">
        <x:v>only a new slot and EOW may follow; no favorable credit or erased attempt</x:v>
      </x:c>
      <x:c r="K222" s="17" t="str">
        <x:v>Invalidity court</x:v>
      </x:c>
      <x:c r="L222" s="9" t="n">
        <x:v>0</x:v>
      </x:c>
      <x:c r="M222" s="9" t="n">
        <x:v>0</x:v>
      </x:c>
      <x:c r="N222" s="9" t="str">
        <x:v>UNFILED / UNPROVEN</x:v>
      </x:c>
      <x:c r="O222" s="9" t="n">
        <x:f>COUNTIFS($A$7:$A$1302,A222)</x:f>
        <x:v>1</x:v>
      </x:c>
    </x:row>
    <x:row r="223">
      <x:c r="A223" s="9" t="str">
        <x:v>EV-AR-CT-C-B-TECH-4-B2-BRK-G0-IV01</x:v>
      </x:c>
      <x:c r="B223" s="9" t="str">
        <x:v>EV-AR-CT-C-B-TECH-4-B2-BRK-G0</x:v>
      </x:c>
      <x:c r="C223" s="9" t="str">
        <x:v>AR-CT-C-B-TECH-4-B2-BRK-G0</x:v>
      </x:c>
      <x:c r="D223" s="9" t="str">
        <x:v>CT-C-B-TECH-4</x:v>
      </x:c>
      <x:c r="E223" s="9" t="str">
        <x:v>CT-C-B</x:v>
      </x:c>
      <x:c r="F223" s="9" t="str">
        <x:v>B2</x:v>
      </x:c>
      <x:c r="G223" s="9" t="str">
        <x:v>BRK</x:v>
      </x:c>
      <x:c r="H223" s="9" t="str">
        <x:v>IV01</x:v>
      </x:c>
      <x:c r="I223" s="17" t="str">
        <x:v>Timely petition</x:v>
      </x:c>
      <x:c r="J223" s="17" t="str">
        <x:v>petition enters within seventy-two hours of event close</x:v>
      </x:c>
      <x:c r="K223" s="17" t="str">
        <x:v>Invalidity registrar</x:v>
      </x:c>
      <x:c r="L223" s="9" t="n">
        <x:v>0</x:v>
      </x:c>
      <x:c r="M223" s="9" t="n">
        <x:v>0</x:v>
      </x:c>
      <x:c r="N223" s="9" t="str">
        <x:v>UNFILED / UNPROVEN</x:v>
      </x:c>
      <x:c r="O223" s="9" t="n">
        <x:f>COUNTIFS($A$7:$A$1302,A223)</x:f>
        <x:v>1</x:v>
      </x:c>
    </x:row>
    <x:row r="224">
      <x:c r="A224" s="9" t="str">
        <x:v>EV-AR-CT-C-B-TECH-4-B2-BRK-G0-IV02</x:v>
      </x:c>
      <x:c r="B224" s="9" t="str">
        <x:v>EV-AR-CT-C-B-TECH-4-B2-BRK-G0</x:v>
      </x:c>
      <x:c r="C224" s="9" t="str">
        <x:v>AR-CT-C-B-TECH-4-B2-BRK-G0</x:v>
      </x:c>
      <x:c r="D224" s="9" t="str">
        <x:v>CT-C-B-TECH-4</x:v>
      </x:c>
      <x:c r="E224" s="9" t="str">
        <x:v>CT-C-B</x:v>
      </x:c>
      <x:c r="F224" s="9" t="str">
        <x:v>B2</x:v>
      </x:c>
      <x:c r="G224" s="9" t="str">
        <x:v>BRK</x:v>
      </x:c>
      <x:c r="H224" s="9" t="str">
        <x:v>IV02</x:v>
      </x:c>
      <x:c r="I224" s="17" t="str">
        <x:v>Named facility cause</x:v>
      </x:c>
      <x:c r="J224" s="17" t="str">
        <x:v>one pre-registered noncandidate cause is identified</x:v>
      </x:c>
      <x:c r="K224" s="17" t="str">
        <x:v>Facility-cause court</x:v>
      </x:c>
      <x:c r="L224" s="9" t="n">
        <x:v>0</x:v>
      </x:c>
      <x:c r="M224" s="9" t="n">
        <x:v>0</x:v>
      </x:c>
      <x:c r="N224" s="9" t="str">
        <x:v>UNFILED / UNPROVEN</x:v>
      </x:c>
      <x:c r="O224" s="9" t="n">
        <x:f>COUNTIFS($A$7:$A$1302,A224)</x:f>
        <x:v>1</x:v>
      </x:c>
    </x:row>
    <x:row r="225">
      <x:c r="A225" s="9" t="str">
        <x:v>EV-AR-CT-C-B-TECH-4-B2-BRK-G0-IV03</x:v>
      </x:c>
      <x:c r="B225" s="9" t="str">
        <x:v>EV-AR-CT-C-B-TECH-4-B2-BRK-G0</x:v>
      </x:c>
      <x:c r="C225" s="9" t="str">
        <x:v>AR-CT-C-B-TECH-4-B2-BRK-G0</x:v>
      </x:c>
      <x:c r="D225" s="9" t="str">
        <x:v>CT-C-B-TECH-4</x:v>
      </x:c>
      <x:c r="E225" s="9" t="str">
        <x:v>CT-C-B</x:v>
      </x:c>
      <x:c r="F225" s="9" t="str">
        <x:v>B2</x:v>
      </x:c>
      <x:c r="G225" s="9" t="str">
        <x:v>BRK</x:v>
      </x:c>
      <x:c r="H225" s="9" t="str">
        <x:v>IV03</x:v>
      </x:c>
      <x:c r="I225" s="17" t="str">
        <x:v>Temporal priority</x:v>
      </x:c>
      <x:c r="J225" s="17" t="str">
        <x:v>cause demonstrably precedes the disputed candidate behavior</x:v>
      </x:c>
      <x:c r="K225" s="17" t="str">
        <x:v>Time authority</x:v>
      </x:c>
      <x:c r="L225" s="9" t="n">
        <x:v>0</x:v>
      </x:c>
      <x:c r="M225" s="9" t="n">
        <x:v>0</x:v>
      </x:c>
      <x:c r="N225" s="9" t="str">
        <x:v>UNFILED / UNPROVEN</x:v>
      </x:c>
      <x:c r="O225" s="9" t="n">
        <x:f>COUNTIFS($A$7:$A$1302,A225)</x:f>
        <x:v>1</x:v>
      </x:c>
    </x:row>
    <x:row r="226">
      <x:c r="A226" s="9" t="str">
        <x:v>EV-AR-CT-C-B-TECH-4-B2-BRK-G0-IV04</x:v>
      </x:c>
      <x:c r="B226" s="9" t="str">
        <x:v>EV-AR-CT-C-B-TECH-4-B2-BRK-G0</x:v>
      </x:c>
      <x:c r="C226" s="9" t="str">
        <x:v>AR-CT-C-B-TECH-4-B2-BRK-G0</x:v>
      </x:c>
      <x:c r="D226" s="9" t="str">
        <x:v>CT-C-B-TECH-4</x:v>
      </x:c>
      <x:c r="E226" s="9" t="str">
        <x:v>CT-C-B</x:v>
      </x:c>
      <x:c r="F226" s="9" t="str">
        <x:v>B2</x:v>
      </x:c>
      <x:c r="G226" s="9" t="str">
        <x:v>BRK</x:v>
      </x:c>
      <x:c r="H226" s="9" t="str">
        <x:v>IV04</x:v>
      </x:c>
      <x:c r="I226" s="17" t="str">
        <x:v>Independent trace</x:v>
      </x:c>
      <x:c r="J226" s="17" t="str">
        <x:v>two unlike records carry the cause without candidate custody</x:v>
      </x:c>
      <x:c r="K226" s="17" t="str">
        <x:v>Invalidity court</x:v>
      </x:c>
      <x:c r="L226" s="9" t="n">
        <x:v>0</x:v>
      </x:c>
      <x:c r="M226" s="9" t="n">
        <x:v>0</x:v>
      </x:c>
      <x:c r="N226" s="9" t="str">
        <x:v>UNFILED / UNPROVEN</x:v>
      </x:c>
      <x:c r="O226" s="9" t="n">
        <x:f>COUNTIFS($A$7:$A$1302,A226)</x:f>
        <x:v>1</x:v>
      </x:c>
    </x:row>
    <x:row r="227">
      <x:c r="A227" s="9" t="str">
        <x:v>EV-AR-CT-C-B-TECH-4-B2-BRK-G0-IV05</x:v>
      </x:c>
      <x:c r="B227" s="9" t="str">
        <x:v>EV-AR-CT-C-B-TECH-4-B2-BRK-G0</x:v>
      </x:c>
      <x:c r="C227" s="9" t="str">
        <x:v>AR-CT-C-B-TECH-4-B2-BRK-G0</x:v>
      </x:c>
      <x:c r="D227" s="9" t="str">
        <x:v>CT-C-B-TECH-4</x:v>
      </x:c>
      <x:c r="E227" s="9" t="str">
        <x:v>CT-C-B</x:v>
      </x:c>
      <x:c r="F227" s="9" t="str">
        <x:v>B2</x:v>
      </x:c>
      <x:c r="G227" s="9" t="str">
        <x:v>BRK</x:v>
      </x:c>
      <x:c r="H227" s="9" t="str">
        <x:v>IV05</x:v>
      </x:c>
      <x:c r="I227" s="17" t="str">
        <x:v>Causal counterfactual</x:v>
      </x:c>
      <x:c r="J227" s="17" t="str">
        <x:v>registered counterfactual shows the cause can create the defect</x:v>
      </x:c>
      <x:c r="K227" s="17" t="str">
        <x:v>Causal court</x:v>
      </x:c>
      <x:c r="L227" s="9" t="n">
        <x:v>0</x:v>
      </x:c>
      <x:c r="M227" s="9" t="n">
        <x:v>0</x:v>
      </x:c>
      <x:c r="N227" s="9" t="str">
        <x:v>UNFILED / UNPROVEN</x:v>
      </x:c>
      <x:c r="O227" s="9" t="n">
        <x:f>COUNTIFS($A$7:$A$1302,A227)</x:f>
        <x:v>1</x:v>
      </x:c>
    </x:row>
    <x:row r="228">
      <x:c r="A228" s="9" t="str">
        <x:v>EV-AR-CT-C-B-TECH-4-B2-BRK-G0-IV06</x:v>
      </x:c>
      <x:c r="B228" s="9" t="str">
        <x:v>EV-AR-CT-C-B-TECH-4-B2-BRK-G0</x:v>
      </x:c>
      <x:c r="C228" s="9" t="str">
        <x:v>AR-CT-C-B-TECH-4-B2-BRK-G0</x:v>
      </x:c>
      <x:c r="D228" s="9" t="str">
        <x:v>CT-C-B-TECH-4</x:v>
      </x:c>
      <x:c r="E228" s="9" t="str">
        <x:v>CT-C-B</x:v>
      </x:c>
      <x:c r="F228" s="9" t="str">
        <x:v>B2</x:v>
      </x:c>
      <x:c r="G228" s="9" t="str">
        <x:v>BRK</x:v>
      </x:c>
      <x:c r="H228" s="9" t="str">
        <x:v>IV06</x:v>
      </x:c>
      <x:c r="I228" s="17" t="str">
        <x:v>Candidate non-causation</x:v>
      </x:c>
      <x:c r="J228" s="17" t="str">
        <x:v>evidence excludes candidate induction of the facility condition</x:v>
      </x:c>
      <x:c r="K228" s="17" t="str">
        <x:v>Causal court</x:v>
      </x:c>
      <x:c r="L228" s="9" t="n">
        <x:v>0</x:v>
      </x:c>
      <x:c r="M228" s="9" t="n">
        <x:v>0</x:v>
      </x:c>
      <x:c r="N228" s="9" t="str">
        <x:v>UNFILED / UNPROVEN</x:v>
      </x:c>
      <x:c r="O228" s="9" t="n">
        <x:f>COUNTIFS($A$7:$A$1302,A228)</x:f>
        <x:v>1</x:v>
      </x:c>
    </x:row>
    <x:row r="229">
      <x:c r="A229" s="9" t="str">
        <x:v>EV-AR-CT-C-B-TECH-4-B2-BRK-G0-IV07</x:v>
      </x:c>
      <x:c r="B229" s="9" t="str">
        <x:v>EV-AR-CT-C-B-TECH-4-B2-BRK-G0</x:v>
      </x:c>
      <x:c r="C229" s="9" t="str">
        <x:v>AR-CT-C-B-TECH-4-B2-BRK-G0</x:v>
      </x:c>
      <x:c r="D229" s="9" t="str">
        <x:v>CT-C-B-TECH-4</x:v>
      </x:c>
      <x:c r="E229" s="9" t="str">
        <x:v>CT-C-B</x:v>
      </x:c>
      <x:c r="F229" s="9" t="str">
        <x:v>B2</x:v>
      </x:c>
      <x:c r="G229" s="9" t="str">
        <x:v>BRK</x:v>
      </x:c>
      <x:c r="H229" s="9" t="str">
        <x:v>IV07</x:v>
      </x:c>
      <x:c r="I229" s="17" t="str">
        <x:v>No outcome selection</x:v>
      </x:c>
      <x:c r="J229" s="17" t="str">
        <x:v>petition rule and evidence scope were fixed before visibility</x:v>
      </x:c>
      <x:c r="K229" s="17" t="str">
        <x:v>Conflict registrar</x:v>
      </x:c>
      <x:c r="L229" s="9" t="n">
        <x:v>0</x:v>
      </x:c>
      <x:c r="M229" s="9" t="n">
        <x:v>0</x:v>
      </x:c>
      <x:c r="N229" s="9" t="str">
        <x:v>UNFILED / UNPROVEN</x:v>
      </x:c>
      <x:c r="O229" s="9" t="n">
        <x:f>COUNTIFS($A$7:$A$1302,A229)</x:f>
        <x:v>1</x:v>
      </x:c>
    </x:row>
    <x:row r="230">
      <x:c r="A230" s="9" t="str">
        <x:v>EV-AR-CT-C-B-TECH-4-B2-BRK-G0-IV08</x:v>
      </x:c>
      <x:c r="B230" s="9" t="str">
        <x:v>EV-AR-CT-C-B-TECH-4-B2-BRK-G0</x:v>
      </x:c>
      <x:c r="C230" s="9" t="str">
        <x:v>AR-CT-C-B-TECH-4-B2-BRK-G0</x:v>
      </x:c>
      <x:c r="D230" s="9" t="str">
        <x:v>CT-C-B-TECH-4</x:v>
      </x:c>
      <x:c r="E230" s="9" t="str">
        <x:v>CT-C-B</x:v>
      </x:c>
      <x:c r="F230" s="9" t="str">
        <x:v>B2</x:v>
      </x:c>
      <x:c r="G230" s="9" t="str">
        <x:v>BRK</x:v>
      </x:c>
      <x:c r="H230" s="9" t="str">
        <x:v>IV08</x:v>
      </x:c>
      <x:c r="I230" s="17" t="str">
        <x:v>Whole-record preservation</x:v>
      </x:c>
      <x:c r="J230" s="17" t="str">
        <x:v>start, raw behavior, dissent and intervention remain in archive</x:v>
      </x:c>
      <x:c r="K230" s="17" t="str">
        <x:v>Archive authority</x:v>
      </x:c>
      <x:c r="L230" s="9" t="n">
        <x:v>0</x:v>
      </x:c>
      <x:c r="M230" s="9" t="n">
        <x:v>0</x:v>
      </x:c>
      <x:c r="N230" s="9" t="str">
        <x:v>UNFILED / UNPROVEN</x:v>
      </x:c>
      <x:c r="O230" s="9" t="n">
        <x:f>COUNTIFS($A$7:$A$1302,A230)</x:f>
        <x:v>1</x:v>
      </x:c>
    </x:row>
    <x:row r="231">
      <x:c r="A231" s="9" t="str">
        <x:v>EV-AR-CT-C-B-TECH-4-B2-BRK-G0-IV09</x:v>
      </x:c>
      <x:c r="B231" s="9" t="str">
        <x:v>EV-AR-CT-C-B-TECH-4-B2-BRK-G0</x:v>
      </x:c>
      <x:c r="C231" s="9" t="str">
        <x:v>AR-CT-C-B-TECH-4-B2-BRK-G0</x:v>
      </x:c>
      <x:c r="D231" s="9" t="str">
        <x:v>CT-C-B-TECH-4</x:v>
      </x:c>
      <x:c r="E231" s="9" t="str">
        <x:v>CT-C-B</x:v>
      </x:c>
      <x:c r="F231" s="9" t="str">
        <x:v>B2</x:v>
      </x:c>
      <x:c r="G231" s="9" t="str">
        <x:v>BRK</x:v>
      </x:c>
      <x:c r="H231" s="9" t="str">
        <x:v>IV09</x:v>
      </x:c>
      <x:c r="I231" s="17" t="str">
        <x:v>Bounded remedy</x:v>
      </x:c>
      <x:c r="J231" s="17" t="str">
        <x:v>only a new slot and EOW may follow; no favorable credit or erased attempt</x:v>
      </x:c>
      <x:c r="K231" s="17" t="str">
        <x:v>Invalidity court</x:v>
      </x:c>
      <x:c r="L231" s="9" t="n">
        <x:v>0</x:v>
      </x:c>
      <x:c r="M231" s="9" t="n">
        <x:v>0</x:v>
      </x:c>
      <x:c r="N231" s="9" t="str">
        <x:v>UNFILED / UNPROVEN</x:v>
      </x:c>
      <x:c r="O231" s="9" t="n">
        <x:f>COUNTIFS($A$7:$A$1302,A231)</x:f>
        <x:v>1</x:v>
      </x:c>
    </x:row>
    <x:row r="232">
      <x:c r="A232" s="9" t="str">
        <x:v>EV-AR-CT-C-B-TECH-3-B1-RCN-G0-IV01</x:v>
      </x:c>
      <x:c r="B232" s="9" t="str">
        <x:v>EV-AR-CT-C-B-TECH-3-B1-RCN-G0</x:v>
      </x:c>
      <x:c r="C232" s="9" t="str">
        <x:v>AR-CT-C-B-TECH-3-B1-RCN-G0</x:v>
      </x:c>
      <x:c r="D232" s="9" t="str">
        <x:v>CT-C-B-TECH-3</x:v>
      </x:c>
      <x:c r="E232" s="9" t="str">
        <x:v>CT-C-B</x:v>
      </x:c>
      <x:c r="F232" s="9" t="str">
        <x:v>B1</x:v>
      </x:c>
      <x:c r="G232" s="9" t="str">
        <x:v>RCN</x:v>
      </x:c>
      <x:c r="H232" s="9" t="str">
        <x:v>IV01</x:v>
      </x:c>
      <x:c r="I232" s="17" t="str">
        <x:v>Timely petition</x:v>
      </x:c>
      <x:c r="J232" s="17" t="str">
        <x:v>petition enters within seventy-two hours of event close</x:v>
      </x:c>
      <x:c r="K232" s="17" t="str">
        <x:v>Invalidity registrar</x:v>
      </x:c>
      <x:c r="L232" s="9" t="n">
        <x:v>0</x:v>
      </x:c>
      <x:c r="M232" s="9" t="n">
        <x:v>0</x:v>
      </x:c>
      <x:c r="N232" s="9" t="str">
        <x:v>UNFILED / UNPROVEN</x:v>
      </x:c>
      <x:c r="O232" s="9" t="n">
        <x:f>COUNTIFS($A$7:$A$1302,A232)</x:f>
        <x:v>1</x:v>
      </x:c>
    </x:row>
    <x:row r="233">
      <x:c r="A233" s="9" t="str">
        <x:v>EV-AR-CT-C-B-TECH-3-B1-RCN-G0-IV02</x:v>
      </x:c>
      <x:c r="B233" s="9" t="str">
        <x:v>EV-AR-CT-C-B-TECH-3-B1-RCN-G0</x:v>
      </x:c>
      <x:c r="C233" s="9" t="str">
        <x:v>AR-CT-C-B-TECH-3-B1-RCN-G0</x:v>
      </x:c>
      <x:c r="D233" s="9" t="str">
        <x:v>CT-C-B-TECH-3</x:v>
      </x:c>
      <x:c r="E233" s="9" t="str">
        <x:v>CT-C-B</x:v>
      </x:c>
      <x:c r="F233" s="9" t="str">
        <x:v>B1</x:v>
      </x:c>
      <x:c r="G233" s="9" t="str">
        <x:v>RCN</x:v>
      </x:c>
      <x:c r="H233" s="9" t="str">
        <x:v>IV02</x:v>
      </x:c>
      <x:c r="I233" s="17" t="str">
        <x:v>Named facility cause</x:v>
      </x:c>
      <x:c r="J233" s="17" t="str">
        <x:v>one pre-registered noncandidate cause is identified</x:v>
      </x:c>
      <x:c r="K233" s="17" t="str">
        <x:v>Facility-cause court</x:v>
      </x:c>
      <x:c r="L233" s="9" t="n">
        <x:v>0</x:v>
      </x:c>
      <x:c r="M233" s="9" t="n">
        <x:v>0</x:v>
      </x:c>
      <x:c r="N233" s="9" t="str">
        <x:v>UNFILED / UNPROVEN</x:v>
      </x:c>
      <x:c r="O233" s="9" t="n">
        <x:f>COUNTIFS($A$7:$A$1302,A233)</x:f>
        <x:v>1</x:v>
      </x:c>
    </x:row>
    <x:row r="234">
      <x:c r="A234" s="9" t="str">
        <x:v>EV-AR-CT-C-B-TECH-3-B1-RCN-G0-IV03</x:v>
      </x:c>
      <x:c r="B234" s="9" t="str">
        <x:v>EV-AR-CT-C-B-TECH-3-B1-RCN-G0</x:v>
      </x:c>
      <x:c r="C234" s="9" t="str">
        <x:v>AR-CT-C-B-TECH-3-B1-RCN-G0</x:v>
      </x:c>
      <x:c r="D234" s="9" t="str">
        <x:v>CT-C-B-TECH-3</x:v>
      </x:c>
      <x:c r="E234" s="9" t="str">
        <x:v>CT-C-B</x:v>
      </x:c>
      <x:c r="F234" s="9" t="str">
        <x:v>B1</x:v>
      </x:c>
      <x:c r="G234" s="9" t="str">
        <x:v>RCN</x:v>
      </x:c>
      <x:c r="H234" s="9" t="str">
        <x:v>IV03</x:v>
      </x:c>
      <x:c r="I234" s="17" t="str">
        <x:v>Temporal priority</x:v>
      </x:c>
      <x:c r="J234" s="17" t="str">
        <x:v>cause demonstrably precedes the disputed candidate behavior</x:v>
      </x:c>
      <x:c r="K234" s="17" t="str">
        <x:v>Time authority</x:v>
      </x:c>
      <x:c r="L234" s="9" t="n">
        <x:v>0</x:v>
      </x:c>
      <x:c r="M234" s="9" t="n">
        <x:v>0</x:v>
      </x:c>
      <x:c r="N234" s="9" t="str">
        <x:v>UNFILED / UNPROVEN</x:v>
      </x:c>
      <x:c r="O234" s="9" t="n">
        <x:f>COUNTIFS($A$7:$A$1302,A234)</x:f>
        <x:v>1</x:v>
      </x:c>
    </x:row>
    <x:row r="235">
      <x:c r="A235" s="9" t="str">
        <x:v>EV-AR-CT-C-B-TECH-3-B1-RCN-G0-IV04</x:v>
      </x:c>
      <x:c r="B235" s="9" t="str">
        <x:v>EV-AR-CT-C-B-TECH-3-B1-RCN-G0</x:v>
      </x:c>
      <x:c r="C235" s="9" t="str">
        <x:v>AR-CT-C-B-TECH-3-B1-RCN-G0</x:v>
      </x:c>
      <x:c r="D235" s="9" t="str">
        <x:v>CT-C-B-TECH-3</x:v>
      </x:c>
      <x:c r="E235" s="9" t="str">
        <x:v>CT-C-B</x:v>
      </x:c>
      <x:c r="F235" s="9" t="str">
        <x:v>B1</x:v>
      </x:c>
      <x:c r="G235" s="9" t="str">
        <x:v>RCN</x:v>
      </x:c>
      <x:c r="H235" s="9" t="str">
        <x:v>IV04</x:v>
      </x:c>
      <x:c r="I235" s="17" t="str">
        <x:v>Independent trace</x:v>
      </x:c>
      <x:c r="J235" s="17" t="str">
        <x:v>two unlike records carry the cause without candidate custody</x:v>
      </x:c>
      <x:c r="K235" s="17" t="str">
        <x:v>Invalidity court</x:v>
      </x:c>
      <x:c r="L235" s="9" t="n">
        <x:v>0</x:v>
      </x:c>
      <x:c r="M235" s="9" t="n">
        <x:v>0</x:v>
      </x:c>
      <x:c r="N235" s="9" t="str">
        <x:v>UNFILED / UNPROVEN</x:v>
      </x:c>
      <x:c r="O235" s="9" t="n">
        <x:f>COUNTIFS($A$7:$A$1302,A235)</x:f>
        <x:v>1</x:v>
      </x:c>
    </x:row>
    <x:row r="236">
      <x:c r="A236" s="9" t="str">
        <x:v>EV-AR-CT-C-B-TECH-3-B1-RCN-G0-IV05</x:v>
      </x:c>
      <x:c r="B236" s="9" t="str">
        <x:v>EV-AR-CT-C-B-TECH-3-B1-RCN-G0</x:v>
      </x:c>
      <x:c r="C236" s="9" t="str">
        <x:v>AR-CT-C-B-TECH-3-B1-RCN-G0</x:v>
      </x:c>
      <x:c r="D236" s="9" t="str">
        <x:v>CT-C-B-TECH-3</x:v>
      </x:c>
      <x:c r="E236" s="9" t="str">
        <x:v>CT-C-B</x:v>
      </x:c>
      <x:c r="F236" s="9" t="str">
        <x:v>B1</x:v>
      </x:c>
      <x:c r="G236" s="9" t="str">
        <x:v>RCN</x:v>
      </x:c>
      <x:c r="H236" s="9" t="str">
        <x:v>IV05</x:v>
      </x:c>
      <x:c r="I236" s="17" t="str">
        <x:v>Causal counterfactual</x:v>
      </x:c>
      <x:c r="J236" s="17" t="str">
        <x:v>registered counterfactual shows the cause can create the defect</x:v>
      </x:c>
      <x:c r="K236" s="17" t="str">
        <x:v>Causal court</x:v>
      </x:c>
      <x:c r="L236" s="9" t="n">
        <x:v>0</x:v>
      </x:c>
      <x:c r="M236" s="9" t="n">
        <x:v>0</x:v>
      </x:c>
      <x:c r="N236" s="9" t="str">
        <x:v>UNFILED / UNPROVEN</x:v>
      </x:c>
      <x:c r="O236" s="9" t="n">
        <x:f>COUNTIFS($A$7:$A$1302,A236)</x:f>
        <x:v>1</x:v>
      </x:c>
    </x:row>
    <x:row r="237">
      <x:c r="A237" s="9" t="str">
        <x:v>EV-AR-CT-C-B-TECH-3-B1-RCN-G0-IV06</x:v>
      </x:c>
      <x:c r="B237" s="9" t="str">
        <x:v>EV-AR-CT-C-B-TECH-3-B1-RCN-G0</x:v>
      </x:c>
      <x:c r="C237" s="9" t="str">
        <x:v>AR-CT-C-B-TECH-3-B1-RCN-G0</x:v>
      </x:c>
      <x:c r="D237" s="9" t="str">
        <x:v>CT-C-B-TECH-3</x:v>
      </x:c>
      <x:c r="E237" s="9" t="str">
        <x:v>CT-C-B</x:v>
      </x:c>
      <x:c r="F237" s="9" t="str">
        <x:v>B1</x:v>
      </x:c>
      <x:c r="G237" s="9" t="str">
        <x:v>RCN</x:v>
      </x:c>
      <x:c r="H237" s="9" t="str">
        <x:v>IV06</x:v>
      </x:c>
      <x:c r="I237" s="17" t="str">
        <x:v>Candidate non-causation</x:v>
      </x:c>
      <x:c r="J237" s="17" t="str">
        <x:v>evidence excludes candidate induction of the facility condition</x:v>
      </x:c>
      <x:c r="K237" s="17" t="str">
        <x:v>Causal court</x:v>
      </x:c>
      <x:c r="L237" s="9" t="n">
        <x:v>0</x:v>
      </x:c>
      <x:c r="M237" s="9" t="n">
        <x:v>0</x:v>
      </x:c>
      <x:c r="N237" s="9" t="str">
        <x:v>UNFILED / UNPROVEN</x:v>
      </x:c>
      <x:c r="O237" s="9" t="n">
        <x:f>COUNTIFS($A$7:$A$1302,A237)</x:f>
        <x:v>1</x:v>
      </x:c>
    </x:row>
    <x:row r="238">
      <x:c r="A238" s="9" t="str">
        <x:v>EV-AR-CT-C-B-TECH-3-B1-RCN-G0-IV07</x:v>
      </x:c>
      <x:c r="B238" s="9" t="str">
        <x:v>EV-AR-CT-C-B-TECH-3-B1-RCN-G0</x:v>
      </x:c>
      <x:c r="C238" s="9" t="str">
        <x:v>AR-CT-C-B-TECH-3-B1-RCN-G0</x:v>
      </x:c>
      <x:c r="D238" s="9" t="str">
        <x:v>CT-C-B-TECH-3</x:v>
      </x:c>
      <x:c r="E238" s="9" t="str">
        <x:v>CT-C-B</x:v>
      </x:c>
      <x:c r="F238" s="9" t="str">
        <x:v>B1</x:v>
      </x:c>
      <x:c r="G238" s="9" t="str">
        <x:v>RCN</x:v>
      </x:c>
      <x:c r="H238" s="9" t="str">
        <x:v>IV07</x:v>
      </x:c>
      <x:c r="I238" s="17" t="str">
        <x:v>No outcome selection</x:v>
      </x:c>
      <x:c r="J238" s="17" t="str">
        <x:v>petition rule and evidence scope were fixed before visibility</x:v>
      </x:c>
      <x:c r="K238" s="17" t="str">
        <x:v>Conflict registrar</x:v>
      </x:c>
      <x:c r="L238" s="9" t="n">
        <x:v>0</x:v>
      </x:c>
      <x:c r="M238" s="9" t="n">
        <x:v>0</x:v>
      </x:c>
      <x:c r="N238" s="9" t="str">
        <x:v>UNFILED / UNPROVEN</x:v>
      </x:c>
      <x:c r="O238" s="9" t="n">
        <x:f>COUNTIFS($A$7:$A$1302,A238)</x:f>
        <x:v>1</x:v>
      </x:c>
    </x:row>
    <x:row r="239">
      <x:c r="A239" s="9" t="str">
        <x:v>EV-AR-CT-C-B-TECH-3-B1-RCN-G0-IV08</x:v>
      </x:c>
      <x:c r="B239" s="9" t="str">
        <x:v>EV-AR-CT-C-B-TECH-3-B1-RCN-G0</x:v>
      </x:c>
      <x:c r="C239" s="9" t="str">
        <x:v>AR-CT-C-B-TECH-3-B1-RCN-G0</x:v>
      </x:c>
      <x:c r="D239" s="9" t="str">
        <x:v>CT-C-B-TECH-3</x:v>
      </x:c>
      <x:c r="E239" s="9" t="str">
        <x:v>CT-C-B</x:v>
      </x:c>
      <x:c r="F239" s="9" t="str">
        <x:v>B1</x:v>
      </x:c>
      <x:c r="G239" s="9" t="str">
        <x:v>RCN</x:v>
      </x:c>
      <x:c r="H239" s="9" t="str">
        <x:v>IV08</x:v>
      </x:c>
      <x:c r="I239" s="17" t="str">
        <x:v>Whole-record preservation</x:v>
      </x:c>
      <x:c r="J239" s="17" t="str">
        <x:v>start, raw behavior, dissent and intervention remain in archive</x:v>
      </x:c>
      <x:c r="K239" s="17" t="str">
        <x:v>Archive authority</x:v>
      </x:c>
      <x:c r="L239" s="9" t="n">
        <x:v>0</x:v>
      </x:c>
      <x:c r="M239" s="9" t="n">
        <x:v>0</x:v>
      </x:c>
      <x:c r="N239" s="9" t="str">
        <x:v>UNFILED / UNPROVEN</x:v>
      </x:c>
      <x:c r="O239" s="9" t="n">
        <x:f>COUNTIFS($A$7:$A$1302,A239)</x:f>
        <x:v>1</x:v>
      </x:c>
    </x:row>
    <x:row r="240">
      <x:c r="A240" s="9" t="str">
        <x:v>EV-AR-CT-C-B-TECH-3-B1-RCN-G0-IV09</x:v>
      </x:c>
      <x:c r="B240" s="9" t="str">
        <x:v>EV-AR-CT-C-B-TECH-3-B1-RCN-G0</x:v>
      </x:c>
      <x:c r="C240" s="9" t="str">
        <x:v>AR-CT-C-B-TECH-3-B1-RCN-G0</x:v>
      </x:c>
      <x:c r="D240" s="9" t="str">
        <x:v>CT-C-B-TECH-3</x:v>
      </x:c>
      <x:c r="E240" s="9" t="str">
        <x:v>CT-C-B</x:v>
      </x:c>
      <x:c r="F240" s="9" t="str">
        <x:v>B1</x:v>
      </x:c>
      <x:c r="G240" s="9" t="str">
        <x:v>RCN</x:v>
      </x:c>
      <x:c r="H240" s="9" t="str">
        <x:v>IV09</x:v>
      </x:c>
      <x:c r="I240" s="17" t="str">
        <x:v>Bounded remedy</x:v>
      </x:c>
      <x:c r="J240" s="17" t="str">
        <x:v>only a new slot and EOW may follow; no favorable credit or erased attempt</x:v>
      </x:c>
      <x:c r="K240" s="17" t="str">
        <x:v>Invalidity court</x:v>
      </x:c>
      <x:c r="L240" s="9" t="n">
        <x:v>0</x:v>
      </x:c>
      <x:c r="M240" s="9" t="n">
        <x:v>0</x:v>
      </x:c>
      <x:c r="N240" s="9" t="str">
        <x:v>UNFILED / UNPROVEN</x:v>
      </x:c>
      <x:c r="O240" s="9" t="n">
        <x:f>COUNTIFS($A$7:$A$1302,A240)</x:f>
        <x:v>1</x:v>
      </x:c>
    </x:row>
    <x:row r="241">
      <x:c r="A241" s="9" t="str">
        <x:v>EV-AR-HC-A-C-TECH-1-B2-RCN-G0-IV01</x:v>
      </x:c>
      <x:c r="B241" s="9" t="str">
        <x:v>EV-AR-HC-A-C-TECH-1-B2-RCN-G0</x:v>
      </x:c>
      <x:c r="C241" s="9" t="str">
        <x:v>AR-HC-A-C-TECH-1-B2-RCN-G0</x:v>
      </x:c>
      <x:c r="D241" s="9" t="str">
        <x:v>HC-A-C-TECH-1</x:v>
      </x:c>
      <x:c r="E241" s="9" t="str">
        <x:v>HC-A-C</x:v>
      </x:c>
      <x:c r="F241" s="9" t="str">
        <x:v>B2</x:v>
      </x:c>
      <x:c r="G241" s="9" t="str">
        <x:v>RCN</x:v>
      </x:c>
      <x:c r="H241" s="9" t="str">
        <x:v>IV01</x:v>
      </x:c>
      <x:c r="I241" s="17" t="str">
        <x:v>Timely petition</x:v>
      </x:c>
      <x:c r="J241" s="17" t="str">
        <x:v>petition enters within seventy-two hours of event close</x:v>
      </x:c>
      <x:c r="K241" s="17" t="str">
        <x:v>Invalidity registrar</x:v>
      </x:c>
      <x:c r="L241" s="9" t="n">
        <x:v>0</x:v>
      </x:c>
      <x:c r="M241" s="9" t="n">
        <x:v>0</x:v>
      </x:c>
      <x:c r="N241" s="9" t="str">
        <x:v>UNFILED / UNPROVEN</x:v>
      </x:c>
      <x:c r="O241" s="9" t="n">
        <x:f>COUNTIFS($A$7:$A$1302,A241)</x:f>
        <x:v>1</x:v>
      </x:c>
    </x:row>
    <x:row r="242">
      <x:c r="A242" s="9" t="str">
        <x:v>EV-AR-HC-A-C-TECH-1-B2-RCN-G0-IV02</x:v>
      </x:c>
      <x:c r="B242" s="9" t="str">
        <x:v>EV-AR-HC-A-C-TECH-1-B2-RCN-G0</x:v>
      </x:c>
      <x:c r="C242" s="9" t="str">
        <x:v>AR-HC-A-C-TECH-1-B2-RCN-G0</x:v>
      </x:c>
      <x:c r="D242" s="9" t="str">
        <x:v>HC-A-C-TECH-1</x:v>
      </x:c>
      <x:c r="E242" s="9" t="str">
        <x:v>HC-A-C</x:v>
      </x:c>
      <x:c r="F242" s="9" t="str">
        <x:v>B2</x:v>
      </x:c>
      <x:c r="G242" s="9" t="str">
        <x:v>RCN</x:v>
      </x:c>
      <x:c r="H242" s="9" t="str">
        <x:v>IV02</x:v>
      </x:c>
      <x:c r="I242" s="17" t="str">
        <x:v>Named facility cause</x:v>
      </x:c>
      <x:c r="J242" s="17" t="str">
        <x:v>one pre-registered noncandidate cause is identified</x:v>
      </x:c>
      <x:c r="K242" s="17" t="str">
        <x:v>Facility-cause court</x:v>
      </x:c>
      <x:c r="L242" s="9" t="n">
        <x:v>0</x:v>
      </x:c>
      <x:c r="M242" s="9" t="n">
        <x:v>0</x:v>
      </x:c>
      <x:c r="N242" s="9" t="str">
        <x:v>UNFILED / UNPROVEN</x:v>
      </x:c>
      <x:c r="O242" s="9" t="n">
        <x:f>COUNTIFS($A$7:$A$1302,A242)</x:f>
        <x:v>1</x:v>
      </x:c>
    </x:row>
    <x:row r="243">
      <x:c r="A243" s="9" t="str">
        <x:v>EV-AR-HC-A-C-TECH-1-B2-RCN-G0-IV03</x:v>
      </x:c>
      <x:c r="B243" s="9" t="str">
        <x:v>EV-AR-HC-A-C-TECH-1-B2-RCN-G0</x:v>
      </x:c>
      <x:c r="C243" s="9" t="str">
        <x:v>AR-HC-A-C-TECH-1-B2-RCN-G0</x:v>
      </x:c>
      <x:c r="D243" s="9" t="str">
        <x:v>HC-A-C-TECH-1</x:v>
      </x:c>
      <x:c r="E243" s="9" t="str">
        <x:v>HC-A-C</x:v>
      </x:c>
      <x:c r="F243" s="9" t="str">
        <x:v>B2</x:v>
      </x:c>
      <x:c r="G243" s="9" t="str">
        <x:v>RCN</x:v>
      </x:c>
      <x:c r="H243" s="9" t="str">
        <x:v>IV03</x:v>
      </x:c>
      <x:c r="I243" s="17" t="str">
        <x:v>Temporal priority</x:v>
      </x:c>
      <x:c r="J243" s="17" t="str">
        <x:v>cause demonstrably precedes the disputed candidate behavior</x:v>
      </x:c>
      <x:c r="K243" s="17" t="str">
        <x:v>Time authority</x:v>
      </x:c>
      <x:c r="L243" s="9" t="n">
        <x:v>0</x:v>
      </x:c>
      <x:c r="M243" s="9" t="n">
        <x:v>0</x:v>
      </x:c>
      <x:c r="N243" s="9" t="str">
        <x:v>UNFILED / UNPROVEN</x:v>
      </x:c>
      <x:c r="O243" s="9" t="n">
        <x:f>COUNTIFS($A$7:$A$1302,A243)</x:f>
        <x:v>1</x:v>
      </x:c>
    </x:row>
    <x:row r="244">
      <x:c r="A244" s="9" t="str">
        <x:v>EV-AR-HC-A-C-TECH-1-B2-RCN-G0-IV04</x:v>
      </x:c>
      <x:c r="B244" s="9" t="str">
        <x:v>EV-AR-HC-A-C-TECH-1-B2-RCN-G0</x:v>
      </x:c>
      <x:c r="C244" s="9" t="str">
        <x:v>AR-HC-A-C-TECH-1-B2-RCN-G0</x:v>
      </x:c>
      <x:c r="D244" s="9" t="str">
        <x:v>HC-A-C-TECH-1</x:v>
      </x:c>
      <x:c r="E244" s="9" t="str">
        <x:v>HC-A-C</x:v>
      </x:c>
      <x:c r="F244" s="9" t="str">
        <x:v>B2</x:v>
      </x:c>
      <x:c r="G244" s="9" t="str">
        <x:v>RCN</x:v>
      </x:c>
      <x:c r="H244" s="9" t="str">
        <x:v>IV04</x:v>
      </x:c>
      <x:c r="I244" s="17" t="str">
        <x:v>Independent trace</x:v>
      </x:c>
      <x:c r="J244" s="17" t="str">
        <x:v>two unlike records carry the cause without candidate custody</x:v>
      </x:c>
      <x:c r="K244" s="17" t="str">
        <x:v>Invalidity court</x:v>
      </x:c>
      <x:c r="L244" s="9" t="n">
        <x:v>0</x:v>
      </x:c>
      <x:c r="M244" s="9" t="n">
        <x:v>0</x:v>
      </x:c>
      <x:c r="N244" s="9" t="str">
        <x:v>UNFILED / UNPROVEN</x:v>
      </x:c>
      <x:c r="O244" s="9" t="n">
        <x:f>COUNTIFS($A$7:$A$1302,A244)</x:f>
        <x:v>1</x:v>
      </x:c>
    </x:row>
    <x:row r="245">
      <x:c r="A245" s="9" t="str">
        <x:v>EV-AR-HC-A-C-TECH-1-B2-RCN-G0-IV05</x:v>
      </x:c>
      <x:c r="B245" s="9" t="str">
        <x:v>EV-AR-HC-A-C-TECH-1-B2-RCN-G0</x:v>
      </x:c>
      <x:c r="C245" s="9" t="str">
        <x:v>AR-HC-A-C-TECH-1-B2-RCN-G0</x:v>
      </x:c>
      <x:c r="D245" s="9" t="str">
        <x:v>HC-A-C-TECH-1</x:v>
      </x:c>
      <x:c r="E245" s="9" t="str">
        <x:v>HC-A-C</x:v>
      </x:c>
      <x:c r="F245" s="9" t="str">
        <x:v>B2</x:v>
      </x:c>
      <x:c r="G245" s="9" t="str">
        <x:v>RCN</x:v>
      </x:c>
      <x:c r="H245" s="9" t="str">
        <x:v>IV05</x:v>
      </x:c>
      <x:c r="I245" s="17" t="str">
        <x:v>Causal counterfactual</x:v>
      </x:c>
      <x:c r="J245" s="17" t="str">
        <x:v>registered counterfactual shows the cause can create the defect</x:v>
      </x:c>
      <x:c r="K245" s="17" t="str">
        <x:v>Causal court</x:v>
      </x:c>
      <x:c r="L245" s="9" t="n">
        <x:v>0</x:v>
      </x:c>
      <x:c r="M245" s="9" t="n">
        <x:v>0</x:v>
      </x:c>
      <x:c r="N245" s="9" t="str">
        <x:v>UNFILED / UNPROVEN</x:v>
      </x:c>
      <x:c r="O245" s="9" t="n">
        <x:f>COUNTIFS($A$7:$A$1302,A245)</x:f>
        <x:v>1</x:v>
      </x:c>
    </x:row>
    <x:row r="246">
      <x:c r="A246" s="9" t="str">
        <x:v>EV-AR-HC-A-C-TECH-1-B2-RCN-G0-IV06</x:v>
      </x:c>
      <x:c r="B246" s="9" t="str">
        <x:v>EV-AR-HC-A-C-TECH-1-B2-RCN-G0</x:v>
      </x:c>
      <x:c r="C246" s="9" t="str">
        <x:v>AR-HC-A-C-TECH-1-B2-RCN-G0</x:v>
      </x:c>
      <x:c r="D246" s="9" t="str">
        <x:v>HC-A-C-TECH-1</x:v>
      </x:c>
      <x:c r="E246" s="9" t="str">
        <x:v>HC-A-C</x:v>
      </x:c>
      <x:c r="F246" s="9" t="str">
        <x:v>B2</x:v>
      </x:c>
      <x:c r="G246" s="9" t="str">
        <x:v>RCN</x:v>
      </x:c>
      <x:c r="H246" s="9" t="str">
        <x:v>IV06</x:v>
      </x:c>
      <x:c r="I246" s="17" t="str">
        <x:v>Candidate non-causation</x:v>
      </x:c>
      <x:c r="J246" s="17" t="str">
        <x:v>evidence excludes candidate induction of the facility condition</x:v>
      </x:c>
      <x:c r="K246" s="17" t="str">
        <x:v>Causal court</x:v>
      </x:c>
      <x:c r="L246" s="9" t="n">
        <x:v>0</x:v>
      </x:c>
      <x:c r="M246" s="9" t="n">
        <x:v>0</x:v>
      </x:c>
      <x:c r="N246" s="9" t="str">
        <x:v>UNFILED / UNPROVEN</x:v>
      </x:c>
      <x:c r="O246" s="9" t="n">
        <x:f>COUNTIFS($A$7:$A$1302,A246)</x:f>
        <x:v>1</x:v>
      </x:c>
    </x:row>
    <x:row r="247">
      <x:c r="A247" s="9" t="str">
        <x:v>EV-AR-HC-A-C-TECH-1-B2-RCN-G0-IV07</x:v>
      </x:c>
      <x:c r="B247" s="9" t="str">
        <x:v>EV-AR-HC-A-C-TECH-1-B2-RCN-G0</x:v>
      </x:c>
      <x:c r="C247" s="9" t="str">
        <x:v>AR-HC-A-C-TECH-1-B2-RCN-G0</x:v>
      </x:c>
      <x:c r="D247" s="9" t="str">
        <x:v>HC-A-C-TECH-1</x:v>
      </x:c>
      <x:c r="E247" s="9" t="str">
        <x:v>HC-A-C</x:v>
      </x:c>
      <x:c r="F247" s="9" t="str">
        <x:v>B2</x:v>
      </x:c>
      <x:c r="G247" s="9" t="str">
        <x:v>RCN</x:v>
      </x:c>
      <x:c r="H247" s="9" t="str">
        <x:v>IV07</x:v>
      </x:c>
      <x:c r="I247" s="17" t="str">
        <x:v>No outcome selection</x:v>
      </x:c>
      <x:c r="J247" s="17" t="str">
        <x:v>petition rule and evidence scope were fixed before visibility</x:v>
      </x:c>
      <x:c r="K247" s="17" t="str">
        <x:v>Conflict registrar</x:v>
      </x:c>
      <x:c r="L247" s="9" t="n">
        <x:v>0</x:v>
      </x:c>
      <x:c r="M247" s="9" t="n">
        <x:v>0</x:v>
      </x:c>
      <x:c r="N247" s="9" t="str">
        <x:v>UNFILED / UNPROVEN</x:v>
      </x:c>
      <x:c r="O247" s="9" t="n">
        <x:f>COUNTIFS($A$7:$A$1302,A247)</x:f>
        <x:v>1</x:v>
      </x:c>
    </x:row>
    <x:row r="248">
      <x:c r="A248" s="9" t="str">
        <x:v>EV-AR-HC-A-C-TECH-1-B2-RCN-G0-IV08</x:v>
      </x:c>
      <x:c r="B248" s="9" t="str">
        <x:v>EV-AR-HC-A-C-TECH-1-B2-RCN-G0</x:v>
      </x:c>
      <x:c r="C248" s="9" t="str">
        <x:v>AR-HC-A-C-TECH-1-B2-RCN-G0</x:v>
      </x:c>
      <x:c r="D248" s="9" t="str">
        <x:v>HC-A-C-TECH-1</x:v>
      </x:c>
      <x:c r="E248" s="9" t="str">
        <x:v>HC-A-C</x:v>
      </x:c>
      <x:c r="F248" s="9" t="str">
        <x:v>B2</x:v>
      </x:c>
      <x:c r="G248" s="9" t="str">
        <x:v>RCN</x:v>
      </x:c>
      <x:c r="H248" s="9" t="str">
        <x:v>IV08</x:v>
      </x:c>
      <x:c r="I248" s="17" t="str">
        <x:v>Whole-record preservation</x:v>
      </x:c>
      <x:c r="J248" s="17" t="str">
        <x:v>start, raw behavior, dissent and intervention remain in archive</x:v>
      </x:c>
      <x:c r="K248" s="17" t="str">
        <x:v>Archive authority</x:v>
      </x:c>
      <x:c r="L248" s="9" t="n">
        <x:v>0</x:v>
      </x:c>
      <x:c r="M248" s="9" t="n">
        <x:v>0</x:v>
      </x:c>
      <x:c r="N248" s="9" t="str">
        <x:v>UNFILED / UNPROVEN</x:v>
      </x:c>
      <x:c r="O248" s="9" t="n">
        <x:f>COUNTIFS($A$7:$A$1302,A248)</x:f>
        <x:v>1</x:v>
      </x:c>
    </x:row>
    <x:row r="249">
      <x:c r="A249" s="9" t="str">
        <x:v>EV-AR-HC-A-C-TECH-1-B2-RCN-G0-IV09</x:v>
      </x:c>
      <x:c r="B249" s="9" t="str">
        <x:v>EV-AR-HC-A-C-TECH-1-B2-RCN-G0</x:v>
      </x:c>
      <x:c r="C249" s="9" t="str">
        <x:v>AR-HC-A-C-TECH-1-B2-RCN-G0</x:v>
      </x:c>
      <x:c r="D249" s="9" t="str">
        <x:v>HC-A-C-TECH-1</x:v>
      </x:c>
      <x:c r="E249" s="9" t="str">
        <x:v>HC-A-C</x:v>
      </x:c>
      <x:c r="F249" s="9" t="str">
        <x:v>B2</x:v>
      </x:c>
      <x:c r="G249" s="9" t="str">
        <x:v>RCN</x:v>
      </x:c>
      <x:c r="H249" s="9" t="str">
        <x:v>IV09</x:v>
      </x:c>
      <x:c r="I249" s="17" t="str">
        <x:v>Bounded remedy</x:v>
      </x:c>
      <x:c r="J249" s="17" t="str">
        <x:v>only a new slot and EOW may follow; no favorable credit or erased attempt</x:v>
      </x:c>
      <x:c r="K249" s="17" t="str">
        <x:v>Invalidity court</x:v>
      </x:c>
      <x:c r="L249" s="9" t="n">
        <x:v>0</x:v>
      </x:c>
      <x:c r="M249" s="9" t="n">
        <x:v>0</x:v>
      </x:c>
      <x:c r="N249" s="9" t="str">
        <x:v>UNFILED / UNPROVEN</x:v>
      </x:c>
      <x:c r="O249" s="9" t="n">
        <x:f>COUNTIFS($A$7:$A$1302,A249)</x:f>
        <x:v>1</x:v>
      </x:c>
    </x:row>
    <x:row r="250">
      <x:c r="A250" s="9" t="str">
        <x:v>EV-AR-HC-A-C-TECH-3-B2-BRK-G0-IV01</x:v>
      </x:c>
      <x:c r="B250" s="9" t="str">
        <x:v>EV-AR-HC-A-C-TECH-3-B2-BRK-G0</x:v>
      </x:c>
      <x:c r="C250" s="9" t="str">
        <x:v>AR-HC-A-C-TECH-3-B2-BRK-G0</x:v>
      </x:c>
      <x:c r="D250" s="9" t="str">
        <x:v>HC-A-C-TECH-3</x:v>
      </x:c>
      <x:c r="E250" s="9" t="str">
        <x:v>HC-A-C</x:v>
      </x:c>
      <x:c r="F250" s="9" t="str">
        <x:v>B2</x:v>
      </x:c>
      <x:c r="G250" s="9" t="str">
        <x:v>BRK</x:v>
      </x:c>
      <x:c r="H250" s="9" t="str">
        <x:v>IV01</x:v>
      </x:c>
      <x:c r="I250" s="17" t="str">
        <x:v>Timely petition</x:v>
      </x:c>
      <x:c r="J250" s="17" t="str">
        <x:v>petition enters within seventy-two hours of event close</x:v>
      </x:c>
      <x:c r="K250" s="17" t="str">
        <x:v>Invalidity registrar</x:v>
      </x:c>
      <x:c r="L250" s="9" t="n">
        <x:v>0</x:v>
      </x:c>
      <x:c r="M250" s="9" t="n">
        <x:v>0</x:v>
      </x:c>
      <x:c r="N250" s="9" t="str">
        <x:v>UNFILED / UNPROVEN</x:v>
      </x:c>
      <x:c r="O250" s="9" t="n">
        <x:f>COUNTIFS($A$7:$A$1302,A250)</x:f>
        <x:v>1</x:v>
      </x:c>
    </x:row>
    <x:row r="251">
      <x:c r="A251" s="9" t="str">
        <x:v>EV-AR-HC-A-C-TECH-3-B2-BRK-G0-IV02</x:v>
      </x:c>
      <x:c r="B251" s="9" t="str">
        <x:v>EV-AR-HC-A-C-TECH-3-B2-BRK-G0</x:v>
      </x:c>
      <x:c r="C251" s="9" t="str">
        <x:v>AR-HC-A-C-TECH-3-B2-BRK-G0</x:v>
      </x:c>
      <x:c r="D251" s="9" t="str">
        <x:v>HC-A-C-TECH-3</x:v>
      </x:c>
      <x:c r="E251" s="9" t="str">
        <x:v>HC-A-C</x:v>
      </x:c>
      <x:c r="F251" s="9" t="str">
        <x:v>B2</x:v>
      </x:c>
      <x:c r="G251" s="9" t="str">
        <x:v>BRK</x:v>
      </x:c>
      <x:c r="H251" s="9" t="str">
        <x:v>IV02</x:v>
      </x:c>
      <x:c r="I251" s="17" t="str">
        <x:v>Named facility cause</x:v>
      </x:c>
      <x:c r="J251" s="17" t="str">
        <x:v>one pre-registered noncandidate cause is identified</x:v>
      </x:c>
      <x:c r="K251" s="17" t="str">
        <x:v>Facility-cause court</x:v>
      </x:c>
      <x:c r="L251" s="9" t="n">
        <x:v>0</x:v>
      </x:c>
      <x:c r="M251" s="9" t="n">
        <x:v>0</x:v>
      </x:c>
      <x:c r="N251" s="9" t="str">
        <x:v>UNFILED / UNPROVEN</x:v>
      </x:c>
      <x:c r="O251" s="9" t="n">
        <x:f>COUNTIFS($A$7:$A$1302,A251)</x:f>
        <x:v>1</x:v>
      </x:c>
    </x:row>
    <x:row r="252">
      <x:c r="A252" s="9" t="str">
        <x:v>EV-AR-HC-A-C-TECH-3-B2-BRK-G0-IV03</x:v>
      </x:c>
      <x:c r="B252" s="9" t="str">
        <x:v>EV-AR-HC-A-C-TECH-3-B2-BRK-G0</x:v>
      </x:c>
      <x:c r="C252" s="9" t="str">
        <x:v>AR-HC-A-C-TECH-3-B2-BRK-G0</x:v>
      </x:c>
      <x:c r="D252" s="9" t="str">
        <x:v>HC-A-C-TECH-3</x:v>
      </x:c>
      <x:c r="E252" s="9" t="str">
        <x:v>HC-A-C</x:v>
      </x:c>
      <x:c r="F252" s="9" t="str">
        <x:v>B2</x:v>
      </x:c>
      <x:c r="G252" s="9" t="str">
        <x:v>BRK</x:v>
      </x:c>
      <x:c r="H252" s="9" t="str">
        <x:v>IV03</x:v>
      </x:c>
      <x:c r="I252" s="17" t="str">
        <x:v>Temporal priority</x:v>
      </x:c>
      <x:c r="J252" s="17" t="str">
        <x:v>cause demonstrably precedes the disputed candidate behavior</x:v>
      </x:c>
      <x:c r="K252" s="17" t="str">
        <x:v>Time authority</x:v>
      </x:c>
      <x:c r="L252" s="9" t="n">
        <x:v>0</x:v>
      </x:c>
      <x:c r="M252" s="9" t="n">
        <x:v>0</x:v>
      </x:c>
      <x:c r="N252" s="9" t="str">
        <x:v>UNFILED / UNPROVEN</x:v>
      </x:c>
      <x:c r="O252" s="9" t="n">
        <x:f>COUNTIFS($A$7:$A$1302,A252)</x:f>
        <x:v>1</x:v>
      </x:c>
    </x:row>
    <x:row r="253">
      <x:c r="A253" s="9" t="str">
        <x:v>EV-AR-HC-A-C-TECH-3-B2-BRK-G0-IV04</x:v>
      </x:c>
      <x:c r="B253" s="9" t="str">
        <x:v>EV-AR-HC-A-C-TECH-3-B2-BRK-G0</x:v>
      </x:c>
      <x:c r="C253" s="9" t="str">
        <x:v>AR-HC-A-C-TECH-3-B2-BRK-G0</x:v>
      </x:c>
      <x:c r="D253" s="9" t="str">
        <x:v>HC-A-C-TECH-3</x:v>
      </x:c>
      <x:c r="E253" s="9" t="str">
        <x:v>HC-A-C</x:v>
      </x:c>
      <x:c r="F253" s="9" t="str">
        <x:v>B2</x:v>
      </x:c>
      <x:c r="G253" s="9" t="str">
        <x:v>BRK</x:v>
      </x:c>
      <x:c r="H253" s="9" t="str">
        <x:v>IV04</x:v>
      </x:c>
      <x:c r="I253" s="17" t="str">
        <x:v>Independent trace</x:v>
      </x:c>
      <x:c r="J253" s="17" t="str">
        <x:v>two unlike records carry the cause without candidate custody</x:v>
      </x:c>
      <x:c r="K253" s="17" t="str">
        <x:v>Invalidity court</x:v>
      </x:c>
      <x:c r="L253" s="9" t="n">
        <x:v>0</x:v>
      </x:c>
      <x:c r="M253" s="9" t="n">
        <x:v>0</x:v>
      </x:c>
      <x:c r="N253" s="9" t="str">
        <x:v>UNFILED / UNPROVEN</x:v>
      </x:c>
      <x:c r="O253" s="9" t="n">
        <x:f>COUNTIFS($A$7:$A$1302,A253)</x:f>
        <x:v>1</x:v>
      </x:c>
    </x:row>
    <x:row r="254">
      <x:c r="A254" s="9" t="str">
        <x:v>EV-AR-HC-A-C-TECH-3-B2-BRK-G0-IV05</x:v>
      </x:c>
      <x:c r="B254" s="9" t="str">
        <x:v>EV-AR-HC-A-C-TECH-3-B2-BRK-G0</x:v>
      </x:c>
      <x:c r="C254" s="9" t="str">
        <x:v>AR-HC-A-C-TECH-3-B2-BRK-G0</x:v>
      </x:c>
      <x:c r="D254" s="9" t="str">
        <x:v>HC-A-C-TECH-3</x:v>
      </x:c>
      <x:c r="E254" s="9" t="str">
        <x:v>HC-A-C</x:v>
      </x:c>
      <x:c r="F254" s="9" t="str">
        <x:v>B2</x:v>
      </x:c>
      <x:c r="G254" s="9" t="str">
        <x:v>BRK</x:v>
      </x:c>
      <x:c r="H254" s="9" t="str">
        <x:v>IV05</x:v>
      </x:c>
      <x:c r="I254" s="17" t="str">
        <x:v>Causal counterfactual</x:v>
      </x:c>
      <x:c r="J254" s="17" t="str">
        <x:v>registered counterfactual shows the cause can create the defect</x:v>
      </x:c>
      <x:c r="K254" s="17" t="str">
        <x:v>Causal court</x:v>
      </x:c>
      <x:c r="L254" s="9" t="n">
        <x:v>0</x:v>
      </x:c>
      <x:c r="M254" s="9" t="n">
        <x:v>0</x:v>
      </x:c>
      <x:c r="N254" s="9" t="str">
        <x:v>UNFILED / UNPROVEN</x:v>
      </x:c>
      <x:c r="O254" s="9" t="n">
        <x:f>COUNTIFS($A$7:$A$1302,A254)</x:f>
        <x:v>1</x:v>
      </x:c>
    </x:row>
    <x:row r="255">
      <x:c r="A255" s="9" t="str">
        <x:v>EV-AR-HC-A-C-TECH-3-B2-BRK-G0-IV06</x:v>
      </x:c>
      <x:c r="B255" s="9" t="str">
        <x:v>EV-AR-HC-A-C-TECH-3-B2-BRK-G0</x:v>
      </x:c>
      <x:c r="C255" s="9" t="str">
        <x:v>AR-HC-A-C-TECH-3-B2-BRK-G0</x:v>
      </x:c>
      <x:c r="D255" s="9" t="str">
        <x:v>HC-A-C-TECH-3</x:v>
      </x:c>
      <x:c r="E255" s="9" t="str">
        <x:v>HC-A-C</x:v>
      </x:c>
      <x:c r="F255" s="9" t="str">
        <x:v>B2</x:v>
      </x:c>
      <x:c r="G255" s="9" t="str">
        <x:v>BRK</x:v>
      </x:c>
      <x:c r="H255" s="9" t="str">
        <x:v>IV06</x:v>
      </x:c>
      <x:c r="I255" s="17" t="str">
        <x:v>Candidate non-causation</x:v>
      </x:c>
      <x:c r="J255" s="17" t="str">
        <x:v>evidence excludes candidate induction of the facility condition</x:v>
      </x:c>
      <x:c r="K255" s="17" t="str">
        <x:v>Causal court</x:v>
      </x:c>
      <x:c r="L255" s="9" t="n">
        <x:v>0</x:v>
      </x:c>
      <x:c r="M255" s="9" t="n">
        <x:v>0</x:v>
      </x:c>
      <x:c r="N255" s="9" t="str">
        <x:v>UNFILED / UNPROVEN</x:v>
      </x:c>
      <x:c r="O255" s="9" t="n">
        <x:f>COUNTIFS($A$7:$A$1302,A255)</x:f>
        <x:v>1</x:v>
      </x:c>
    </x:row>
    <x:row r="256">
      <x:c r="A256" s="9" t="str">
        <x:v>EV-AR-HC-A-C-TECH-3-B2-BRK-G0-IV07</x:v>
      </x:c>
      <x:c r="B256" s="9" t="str">
        <x:v>EV-AR-HC-A-C-TECH-3-B2-BRK-G0</x:v>
      </x:c>
      <x:c r="C256" s="9" t="str">
        <x:v>AR-HC-A-C-TECH-3-B2-BRK-G0</x:v>
      </x:c>
      <x:c r="D256" s="9" t="str">
        <x:v>HC-A-C-TECH-3</x:v>
      </x:c>
      <x:c r="E256" s="9" t="str">
        <x:v>HC-A-C</x:v>
      </x:c>
      <x:c r="F256" s="9" t="str">
        <x:v>B2</x:v>
      </x:c>
      <x:c r="G256" s="9" t="str">
        <x:v>BRK</x:v>
      </x:c>
      <x:c r="H256" s="9" t="str">
        <x:v>IV07</x:v>
      </x:c>
      <x:c r="I256" s="17" t="str">
        <x:v>No outcome selection</x:v>
      </x:c>
      <x:c r="J256" s="17" t="str">
        <x:v>petition rule and evidence scope were fixed before visibility</x:v>
      </x:c>
      <x:c r="K256" s="17" t="str">
        <x:v>Conflict registrar</x:v>
      </x:c>
      <x:c r="L256" s="9" t="n">
        <x:v>0</x:v>
      </x:c>
      <x:c r="M256" s="9" t="n">
        <x:v>0</x:v>
      </x:c>
      <x:c r="N256" s="9" t="str">
        <x:v>UNFILED / UNPROVEN</x:v>
      </x:c>
      <x:c r="O256" s="9" t="n">
        <x:f>COUNTIFS($A$7:$A$1302,A256)</x:f>
        <x:v>1</x:v>
      </x:c>
    </x:row>
    <x:row r="257">
      <x:c r="A257" s="9" t="str">
        <x:v>EV-AR-HC-A-C-TECH-3-B2-BRK-G0-IV08</x:v>
      </x:c>
      <x:c r="B257" s="9" t="str">
        <x:v>EV-AR-HC-A-C-TECH-3-B2-BRK-G0</x:v>
      </x:c>
      <x:c r="C257" s="9" t="str">
        <x:v>AR-HC-A-C-TECH-3-B2-BRK-G0</x:v>
      </x:c>
      <x:c r="D257" s="9" t="str">
        <x:v>HC-A-C-TECH-3</x:v>
      </x:c>
      <x:c r="E257" s="9" t="str">
        <x:v>HC-A-C</x:v>
      </x:c>
      <x:c r="F257" s="9" t="str">
        <x:v>B2</x:v>
      </x:c>
      <x:c r="G257" s="9" t="str">
        <x:v>BRK</x:v>
      </x:c>
      <x:c r="H257" s="9" t="str">
        <x:v>IV08</x:v>
      </x:c>
      <x:c r="I257" s="17" t="str">
        <x:v>Whole-record preservation</x:v>
      </x:c>
      <x:c r="J257" s="17" t="str">
        <x:v>start, raw behavior, dissent and intervention remain in archive</x:v>
      </x:c>
      <x:c r="K257" s="17" t="str">
        <x:v>Archive authority</x:v>
      </x:c>
      <x:c r="L257" s="9" t="n">
        <x:v>0</x:v>
      </x:c>
      <x:c r="M257" s="9" t="n">
        <x:v>0</x:v>
      </x:c>
      <x:c r="N257" s="9" t="str">
        <x:v>UNFILED / UNPROVEN</x:v>
      </x:c>
      <x:c r="O257" s="9" t="n">
        <x:f>COUNTIFS($A$7:$A$1302,A257)</x:f>
        <x:v>1</x:v>
      </x:c>
    </x:row>
    <x:row r="258">
      <x:c r="A258" s="9" t="str">
        <x:v>EV-AR-HC-A-C-TECH-3-B2-BRK-G0-IV09</x:v>
      </x:c>
      <x:c r="B258" s="9" t="str">
        <x:v>EV-AR-HC-A-C-TECH-3-B2-BRK-G0</x:v>
      </x:c>
      <x:c r="C258" s="9" t="str">
        <x:v>AR-HC-A-C-TECH-3-B2-BRK-G0</x:v>
      </x:c>
      <x:c r="D258" s="9" t="str">
        <x:v>HC-A-C-TECH-3</x:v>
      </x:c>
      <x:c r="E258" s="9" t="str">
        <x:v>HC-A-C</x:v>
      </x:c>
      <x:c r="F258" s="9" t="str">
        <x:v>B2</x:v>
      </x:c>
      <x:c r="G258" s="9" t="str">
        <x:v>BRK</x:v>
      </x:c>
      <x:c r="H258" s="9" t="str">
        <x:v>IV09</x:v>
      </x:c>
      <x:c r="I258" s="17" t="str">
        <x:v>Bounded remedy</x:v>
      </x:c>
      <x:c r="J258" s="17" t="str">
        <x:v>only a new slot and EOW may follow; no favorable credit or erased attempt</x:v>
      </x:c>
      <x:c r="K258" s="17" t="str">
        <x:v>Invalidity court</x:v>
      </x:c>
      <x:c r="L258" s="9" t="n">
        <x:v>0</x:v>
      </x:c>
      <x:c r="M258" s="9" t="n">
        <x:v>0</x:v>
      </x:c>
      <x:c r="N258" s="9" t="str">
        <x:v>UNFILED / UNPROVEN</x:v>
      </x:c>
      <x:c r="O258" s="9" t="n">
        <x:f>COUNTIFS($A$7:$A$1302,A258)</x:f>
        <x:v>1</x:v>
      </x:c>
    </x:row>
    <x:row r="259">
      <x:c r="A259" s="9" t="str">
        <x:v>EV-AR-HU-A-B-TECH-4-B1-INT-G0-IV01</x:v>
      </x:c>
      <x:c r="B259" s="9" t="str">
        <x:v>EV-AR-HU-A-B-TECH-4-B1-INT-G0</x:v>
      </x:c>
      <x:c r="C259" s="9" t="str">
        <x:v>AR-HU-A-B-TECH-4-B1-INT-G0</x:v>
      </x:c>
      <x:c r="D259" s="9" t="str">
        <x:v>HU-A-B-TECH-4</x:v>
      </x:c>
      <x:c r="E259" s="9" t="str">
        <x:v>HU-A-B</x:v>
      </x:c>
      <x:c r="F259" s="9" t="str">
        <x:v>B1</x:v>
      </x:c>
      <x:c r="G259" s="9" t="str">
        <x:v>INT</x:v>
      </x:c>
      <x:c r="H259" s="9" t="str">
        <x:v>IV01</x:v>
      </x:c>
      <x:c r="I259" s="17" t="str">
        <x:v>Timely petition</x:v>
      </x:c>
      <x:c r="J259" s="17" t="str">
        <x:v>petition enters within seventy-two hours of event close</x:v>
      </x:c>
      <x:c r="K259" s="17" t="str">
        <x:v>Invalidity registrar</x:v>
      </x:c>
      <x:c r="L259" s="9" t="n">
        <x:v>0</x:v>
      </x:c>
      <x:c r="M259" s="9" t="n">
        <x:v>0</x:v>
      </x:c>
      <x:c r="N259" s="9" t="str">
        <x:v>UNFILED / UNPROVEN</x:v>
      </x:c>
      <x:c r="O259" s="9" t="n">
        <x:f>COUNTIFS($A$7:$A$1302,A259)</x:f>
        <x:v>1</x:v>
      </x:c>
    </x:row>
    <x:row r="260">
      <x:c r="A260" s="9" t="str">
        <x:v>EV-AR-HU-A-B-TECH-4-B1-INT-G0-IV02</x:v>
      </x:c>
      <x:c r="B260" s="9" t="str">
        <x:v>EV-AR-HU-A-B-TECH-4-B1-INT-G0</x:v>
      </x:c>
      <x:c r="C260" s="9" t="str">
        <x:v>AR-HU-A-B-TECH-4-B1-INT-G0</x:v>
      </x:c>
      <x:c r="D260" s="9" t="str">
        <x:v>HU-A-B-TECH-4</x:v>
      </x:c>
      <x:c r="E260" s="9" t="str">
        <x:v>HU-A-B</x:v>
      </x:c>
      <x:c r="F260" s="9" t="str">
        <x:v>B1</x:v>
      </x:c>
      <x:c r="G260" s="9" t="str">
        <x:v>INT</x:v>
      </x:c>
      <x:c r="H260" s="9" t="str">
        <x:v>IV02</x:v>
      </x:c>
      <x:c r="I260" s="17" t="str">
        <x:v>Named facility cause</x:v>
      </x:c>
      <x:c r="J260" s="17" t="str">
        <x:v>one pre-registered noncandidate cause is identified</x:v>
      </x:c>
      <x:c r="K260" s="17" t="str">
        <x:v>Facility-cause court</x:v>
      </x:c>
      <x:c r="L260" s="9" t="n">
        <x:v>0</x:v>
      </x:c>
      <x:c r="M260" s="9" t="n">
        <x:v>0</x:v>
      </x:c>
      <x:c r="N260" s="9" t="str">
        <x:v>UNFILED / UNPROVEN</x:v>
      </x:c>
      <x:c r="O260" s="9" t="n">
        <x:f>COUNTIFS($A$7:$A$1302,A260)</x:f>
        <x:v>1</x:v>
      </x:c>
    </x:row>
    <x:row r="261">
      <x:c r="A261" s="9" t="str">
        <x:v>EV-AR-HU-A-B-TECH-4-B1-INT-G0-IV03</x:v>
      </x:c>
      <x:c r="B261" s="9" t="str">
        <x:v>EV-AR-HU-A-B-TECH-4-B1-INT-G0</x:v>
      </x:c>
      <x:c r="C261" s="9" t="str">
        <x:v>AR-HU-A-B-TECH-4-B1-INT-G0</x:v>
      </x:c>
      <x:c r="D261" s="9" t="str">
        <x:v>HU-A-B-TECH-4</x:v>
      </x:c>
      <x:c r="E261" s="9" t="str">
        <x:v>HU-A-B</x:v>
      </x:c>
      <x:c r="F261" s="9" t="str">
        <x:v>B1</x:v>
      </x:c>
      <x:c r="G261" s="9" t="str">
        <x:v>INT</x:v>
      </x:c>
      <x:c r="H261" s="9" t="str">
        <x:v>IV03</x:v>
      </x:c>
      <x:c r="I261" s="17" t="str">
        <x:v>Temporal priority</x:v>
      </x:c>
      <x:c r="J261" s="17" t="str">
        <x:v>cause demonstrably precedes the disputed candidate behavior</x:v>
      </x:c>
      <x:c r="K261" s="17" t="str">
        <x:v>Time authority</x:v>
      </x:c>
      <x:c r="L261" s="9" t="n">
        <x:v>0</x:v>
      </x:c>
      <x:c r="M261" s="9" t="n">
        <x:v>0</x:v>
      </x:c>
      <x:c r="N261" s="9" t="str">
        <x:v>UNFILED / UNPROVEN</x:v>
      </x:c>
      <x:c r="O261" s="9" t="n">
        <x:f>COUNTIFS($A$7:$A$1302,A261)</x:f>
        <x:v>1</x:v>
      </x:c>
    </x:row>
    <x:row r="262">
      <x:c r="A262" s="9" t="str">
        <x:v>EV-AR-HU-A-B-TECH-4-B1-INT-G0-IV04</x:v>
      </x:c>
      <x:c r="B262" s="9" t="str">
        <x:v>EV-AR-HU-A-B-TECH-4-B1-INT-G0</x:v>
      </x:c>
      <x:c r="C262" s="9" t="str">
        <x:v>AR-HU-A-B-TECH-4-B1-INT-G0</x:v>
      </x:c>
      <x:c r="D262" s="9" t="str">
        <x:v>HU-A-B-TECH-4</x:v>
      </x:c>
      <x:c r="E262" s="9" t="str">
        <x:v>HU-A-B</x:v>
      </x:c>
      <x:c r="F262" s="9" t="str">
        <x:v>B1</x:v>
      </x:c>
      <x:c r="G262" s="9" t="str">
        <x:v>INT</x:v>
      </x:c>
      <x:c r="H262" s="9" t="str">
        <x:v>IV04</x:v>
      </x:c>
      <x:c r="I262" s="17" t="str">
        <x:v>Independent trace</x:v>
      </x:c>
      <x:c r="J262" s="17" t="str">
        <x:v>two unlike records carry the cause without candidate custody</x:v>
      </x:c>
      <x:c r="K262" s="17" t="str">
        <x:v>Invalidity court</x:v>
      </x:c>
      <x:c r="L262" s="9" t="n">
        <x:v>0</x:v>
      </x:c>
      <x:c r="M262" s="9" t="n">
        <x:v>0</x:v>
      </x:c>
      <x:c r="N262" s="9" t="str">
        <x:v>UNFILED / UNPROVEN</x:v>
      </x:c>
      <x:c r="O262" s="9" t="n">
        <x:f>COUNTIFS($A$7:$A$1302,A262)</x:f>
        <x:v>1</x:v>
      </x:c>
    </x:row>
    <x:row r="263">
      <x:c r="A263" s="9" t="str">
        <x:v>EV-AR-HU-A-B-TECH-4-B1-INT-G0-IV05</x:v>
      </x:c>
      <x:c r="B263" s="9" t="str">
        <x:v>EV-AR-HU-A-B-TECH-4-B1-INT-G0</x:v>
      </x:c>
      <x:c r="C263" s="9" t="str">
        <x:v>AR-HU-A-B-TECH-4-B1-INT-G0</x:v>
      </x:c>
      <x:c r="D263" s="9" t="str">
        <x:v>HU-A-B-TECH-4</x:v>
      </x:c>
      <x:c r="E263" s="9" t="str">
        <x:v>HU-A-B</x:v>
      </x:c>
      <x:c r="F263" s="9" t="str">
        <x:v>B1</x:v>
      </x:c>
      <x:c r="G263" s="9" t="str">
        <x:v>INT</x:v>
      </x:c>
      <x:c r="H263" s="9" t="str">
        <x:v>IV05</x:v>
      </x:c>
      <x:c r="I263" s="17" t="str">
        <x:v>Causal counterfactual</x:v>
      </x:c>
      <x:c r="J263" s="17" t="str">
        <x:v>registered counterfactual shows the cause can create the defect</x:v>
      </x:c>
      <x:c r="K263" s="17" t="str">
        <x:v>Causal court</x:v>
      </x:c>
      <x:c r="L263" s="9" t="n">
        <x:v>0</x:v>
      </x:c>
      <x:c r="M263" s="9" t="n">
        <x:v>0</x:v>
      </x:c>
      <x:c r="N263" s="9" t="str">
        <x:v>UNFILED / UNPROVEN</x:v>
      </x:c>
      <x:c r="O263" s="9" t="n">
        <x:f>COUNTIFS($A$7:$A$1302,A263)</x:f>
        <x:v>1</x:v>
      </x:c>
    </x:row>
    <x:row r="264">
      <x:c r="A264" s="9" t="str">
        <x:v>EV-AR-HU-A-B-TECH-4-B1-INT-G0-IV06</x:v>
      </x:c>
      <x:c r="B264" s="9" t="str">
        <x:v>EV-AR-HU-A-B-TECH-4-B1-INT-G0</x:v>
      </x:c>
      <x:c r="C264" s="9" t="str">
        <x:v>AR-HU-A-B-TECH-4-B1-INT-G0</x:v>
      </x:c>
      <x:c r="D264" s="9" t="str">
        <x:v>HU-A-B-TECH-4</x:v>
      </x:c>
      <x:c r="E264" s="9" t="str">
        <x:v>HU-A-B</x:v>
      </x:c>
      <x:c r="F264" s="9" t="str">
        <x:v>B1</x:v>
      </x:c>
      <x:c r="G264" s="9" t="str">
        <x:v>INT</x:v>
      </x:c>
      <x:c r="H264" s="9" t="str">
        <x:v>IV06</x:v>
      </x:c>
      <x:c r="I264" s="17" t="str">
        <x:v>Candidate non-causation</x:v>
      </x:c>
      <x:c r="J264" s="17" t="str">
        <x:v>evidence excludes candidate induction of the facility condition</x:v>
      </x:c>
      <x:c r="K264" s="17" t="str">
        <x:v>Causal court</x:v>
      </x:c>
      <x:c r="L264" s="9" t="n">
        <x:v>0</x:v>
      </x:c>
      <x:c r="M264" s="9" t="n">
        <x:v>0</x:v>
      </x:c>
      <x:c r="N264" s="9" t="str">
        <x:v>UNFILED / UNPROVEN</x:v>
      </x:c>
      <x:c r="O264" s="9" t="n">
        <x:f>COUNTIFS($A$7:$A$1302,A264)</x:f>
        <x:v>1</x:v>
      </x:c>
    </x:row>
    <x:row r="265">
      <x:c r="A265" s="9" t="str">
        <x:v>EV-AR-HU-A-B-TECH-4-B1-INT-G0-IV07</x:v>
      </x:c>
      <x:c r="B265" s="9" t="str">
        <x:v>EV-AR-HU-A-B-TECH-4-B1-INT-G0</x:v>
      </x:c>
      <x:c r="C265" s="9" t="str">
        <x:v>AR-HU-A-B-TECH-4-B1-INT-G0</x:v>
      </x:c>
      <x:c r="D265" s="9" t="str">
        <x:v>HU-A-B-TECH-4</x:v>
      </x:c>
      <x:c r="E265" s="9" t="str">
        <x:v>HU-A-B</x:v>
      </x:c>
      <x:c r="F265" s="9" t="str">
        <x:v>B1</x:v>
      </x:c>
      <x:c r="G265" s="9" t="str">
        <x:v>INT</x:v>
      </x:c>
      <x:c r="H265" s="9" t="str">
        <x:v>IV07</x:v>
      </x:c>
      <x:c r="I265" s="17" t="str">
        <x:v>No outcome selection</x:v>
      </x:c>
      <x:c r="J265" s="17" t="str">
        <x:v>petition rule and evidence scope were fixed before visibility</x:v>
      </x:c>
      <x:c r="K265" s="17" t="str">
        <x:v>Conflict registrar</x:v>
      </x:c>
      <x:c r="L265" s="9" t="n">
        <x:v>0</x:v>
      </x:c>
      <x:c r="M265" s="9" t="n">
        <x:v>0</x:v>
      </x:c>
      <x:c r="N265" s="9" t="str">
        <x:v>UNFILED / UNPROVEN</x:v>
      </x:c>
      <x:c r="O265" s="9" t="n">
        <x:f>COUNTIFS($A$7:$A$1302,A265)</x:f>
        <x:v>1</x:v>
      </x:c>
    </x:row>
    <x:row r="266">
      <x:c r="A266" s="9" t="str">
        <x:v>EV-AR-HU-A-B-TECH-4-B1-INT-G0-IV08</x:v>
      </x:c>
      <x:c r="B266" s="9" t="str">
        <x:v>EV-AR-HU-A-B-TECH-4-B1-INT-G0</x:v>
      </x:c>
      <x:c r="C266" s="9" t="str">
        <x:v>AR-HU-A-B-TECH-4-B1-INT-G0</x:v>
      </x:c>
      <x:c r="D266" s="9" t="str">
        <x:v>HU-A-B-TECH-4</x:v>
      </x:c>
      <x:c r="E266" s="9" t="str">
        <x:v>HU-A-B</x:v>
      </x:c>
      <x:c r="F266" s="9" t="str">
        <x:v>B1</x:v>
      </x:c>
      <x:c r="G266" s="9" t="str">
        <x:v>INT</x:v>
      </x:c>
      <x:c r="H266" s="9" t="str">
        <x:v>IV08</x:v>
      </x:c>
      <x:c r="I266" s="17" t="str">
        <x:v>Whole-record preservation</x:v>
      </x:c>
      <x:c r="J266" s="17" t="str">
        <x:v>start, raw behavior, dissent and intervention remain in archive</x:v>
      </x:c>
      <x:c r="K266" s="17" t="str">
        <x:v>Archive authority</x:v>
      </x:c>
      <x:c r="L266" s="9" t="n">
        <x:v>0</x:v>
      </x:c>
      <x:c r="M266" s="9" t="n">
        <x:v>0</x:v>
      </x:c>
      <x:c r="N266" s="9" t="str">
        <x:v>UNFILED / UNPROVEN</x:v>
      </x:c>
      <x:c r="O266" s="9" t="n">
        <x:f>COUNTIFS($A$7:$A$1302,A266)</x:f>
        <x:v>1</x:v>
      </x:c>
    </x:row>
    <x:row r="267">
      <x:c r="A267" s="9" t="str">
        <x:v>EV-AR-HU-A-B-TECH-4-B1-INT-G0-IV09</x:v>
      </x:c>
      <x:c r="B267" s="9" t="str">
        <x:v>EV-AR-HU-A-B-TECH-4-B1-INT-G0</x:v>
      </x:c>
      <x:c r="C267" s="9" t="str">
        <x:v>AR-HU-A-B-TECH-4-B1-INT-G0</x:v>
      </x:c>
      <x:c r="D267" s="9" t="str">
        <x:v>HU-A-B-TECH-4</x:v>
      </x:c>
      <x:c r="E267" s="9" t="str">
        <x:v>HU-A-B</x:v>
      </x:c>
      <x:c r="F267" s="9" t="str">
        <x:v>B1</x:v>
      </x:c>
      <x:c r="G267" s="9" t="str">
        <x:v>INT</x:v>
      </x:c>
      <x:c r="H267" s="9" t="str">
        <x:v>IV09</x:v>
      </x:c>
      <x:c r="I267" s="17" t="str">
        <x:v>Bounded remedy</x:v>
      </x:c>
      <x:c r="J267" s="17" t="str">
        <x:v>only a new slot and EOW may follow; no favorable credit or erased attempt</x:v>
      </x:c>
      <x:c r="K267" s="17" t="str">
        <x:v>Invalidity court</x:v>
      </x:c>
      <x:c r="L267" s="9" t="n">
        <x:v>0</x:v>
      </x:c>
      <x:c r="M267" s="9" t="n">
        <x:v>0</x:v>
      </x:c>
      <x:c r="N267" s="9" t="str">
        <x:v>UNFILED / UNPROVEN</x:v>
      </x:c>
      <x:c r="O267" s="9" t="n">
        <x:f>COUNTIFS($A$7:$A$1302,A267)</x:f>
        <x:v>1</x:v>
      </x:c>
    </x:row>
    <x:row r="268">
      <x:c r="A268" s="9" t="str">
        <x:v>EV-AR-LF-B-A-TECH-1-B1-RCN-G0-IV01</x:v>
      </x:c>
      <x:c r="B268" s="9" t="str">
        <x:v>EV-AR-LF-B-A-TECH-1-B1-RCN-G0</x:v>
      </x:c>
      <x:c r="C268" s="9" t="str">
        <x:v>AR-LF-B-A-TECH-1-B1-RCN-G0</x:v>
      </x:c>
      <x:c r="D268" s="9" t="str">
        <x:v>LF-B-A-TECH-1</x:v>
      </x:c>
      <x:c r="E268" s="9" t="str">
        <x:v>LF-B-A</x:v>
      </x:c>
      <x:c r="F268" s="9" t="str">
        <x:v>B1</x:v>
      </x:c>
      <x:c r="G268" s="9" t="str">
        <x:v>RCN</x:v>
      </x:c>
      <x:c r="H268" s="9" t="str">
        <x:v>IV01</x:v>
      </x:c>
      <x:c r="I268" s="17" t="str">
        <x:v>Timely petition</x:v>
      </x:c>
      <x:c r="J268" s="17" t="str">
        <x:v>petition enters within seventy-two hours of event close</x:v>
      </x:c>
      <x:c r="K268" s="17" t="str">
        <x:v>Invalidity registrar</x:v>
      </x:c>
      <x:c r="L268" s="9" t="n">
        <x:v>0</x:v>
      </x:c>
      <x:c r="M268" s="9" t="n">
        <x:v>0</x:v>
      </x:c>
      <x:c r="N268" s="9" t="str">
        <x:v>UNFILED / UNPROVEN</x:v>
      </x:c>
      <x:c r="O268" s="9" t="n">
        <x:f>COUNTIFS($A$7:$A$1302,A268)</x:f>
        <x:v>1</x:v>
      </x:c>
    </x:row>
    <x:row r="269">
      <x:c r="A269" s="9" t="str">
        <x:v>EV-AR-LF-B-A-TECH-1-B1-RCN-G0-IV02</x:v>
      </x:c>
      <x:c r="B269" s="9" t="str">
        <x:v>EV-AR-LF-B-A-TECH-1-B1-RCN-G0</x:v>
      </x:c>
      <x:c r="C269" s="9" t="str">
        <x:v>AR-LF-B-A-TECH-1-B1-RCN-G0</x:v>
      </x:c>
      <x:c r="D269" s="9" t="str">
        <x:v>LF-B-A-TECH-1</x:v>
      </x:c>
      <x:c r="E269" s="9" t="str">
        <x:v>LF-B-A</x:v>
      </x:c>
      <x:c r="F269" s="9" t="str">
        <x:v>B1</x:v>
      </x:c>
      <x:c r="G269" s="9" t="str">
        <x:v>RCN</x:v>
      </x:c>
      <x:c r="H269" s="9" t="str">
        <x:v>IV02</x:v>
      </x:c>
      <x:c r="I269" s="17" t="str">
        <x:v>Named facility cause</x:v>
      </x:c>
      <x:c r="J269" s="17" t="str">
        <x:v>one pre-registered noncandidate cause is identified</x:v>
      </x:c>
      <x:c r="K269" s="17" t="str">
        <x:v>Facility-cause court</x:v>
      </x:c>
      <x:c r="L269" s="9" t="n">
        <x:v>0</x:v>
      </x:c>
      <x:c r="M269" s="9" t="n">
        <x:v>0</x:v>
      </x:c>
      <x:c r="N269" s="9" t="str">
        <x:v>UNFILED / UNPROVEN</x:v>
      </x:c>
      <x:c r="O269" s="9" t="n">
        <x:f>COUNTIFS($A$7:$A$1302,A269)</x:f>
        <x:v>1</x:v>
      </x:c>
    </x:row>
    <x:row r="270">
      <x:c r="A270" s="9" t="str">
        <x:v>EV-AR-LF-B-A-TECH-1-B1-RCN-G0-IV03</x:v>
      </x:c>
      <x:c r="B270" s="9" t="str">
        <x:v>EV-AR-LF-B-A-TECH-1-B1-RCN-G0</x:v>
      </x:c>
      <x:c r="C270" s="9" t="str">
        <x:v>AR-LF-B-A-TECH-1-B1-RCN-G0</x:v>
      </x:c>
      <x:c r="D270" s="9" t="str">
        <x:v>LF-B-A-TECH-1</x:v>
      </x:c>
      <x:c r="E270" s="9" t="str">
        <x:v>LF-B-A</x:v>
      </x:c>
      <x:c r="F270" s="9" t="str">
        <x:v>B1</x:v>
      </x:c>
      <x:c r="G270" s="9" t="str">
        <x:v>RCN</x:v>
      </x:c>
      <x:c r="H270" s="9" t="str">
        <x:v>IV03</x:v>
      </x:c>
      <x:c r="I270" s="17" t="str">
        <x:v>Temporal priority</x:v>
      </x:c>
      <x:c r="J270" s="17" t="str">
        <x:v>cause demonstrably precedes the disputed candidate behavior</x:v>
      </x:c>
      <x:c r="K270" s="17" t="str">
        <x:v>Time authority</x:v>
      </x:c>
      <x:c r="L270" s="9" t="n">
        <x:v>0</x:v>
      </x:c>
      <x:c r="M270" s="9" t="n">
        <x:v>0</x:v>
      </x:c>
      <x:c r="N270" s="9" t="str">
        <x:v>UNFILED / UNPROVEN</x:v>
      </x:c>
      <x:c r="O270" s="9" t="n">
        <x:f>COUNTIFS($A$7:$A$1302,A270)</x:f>
        <x:v>1</x:v>
      </x:c>
    </x:row>
    <x:row r="271">
      <x:c r="A271" s="9" t="str">
        <x:v>EV-AR-LF-B-A-TECH-1-B1-RCN-G0-IV04</x:v>
      </x:c>
      <x:c r="B271" s="9" t="str">
        <x:v>EV-AR-LF-B-A-TECH-1-B1-RCN-G0</x:v>
      </x:c>
      <x:c r="C271" s="9" t="str">
        <x:v>AR-LF-B-A-TECH-1-B1-RCN-G0</x:v>
      </x:c>
      <x:c r="D271" s="9" t="str">
        <x:v>LF-B-A-TECH-1</x:v>
      </x:c>
      <x:c r="E271" s="9" t="str">
        <x:v>LF-B-A</x:v>
      </x:c>
      <x:c r="F271" s="9" t="str">
        <x:v>B1</x:v>
      </x:c>
      <x:c r="G271" s="9" t="str">
        <x:v>RCN</x:v>
      </x:c>
      <x:c r="H271" s="9" t="str">
        <x:v>IV04</x:v>
      </x:c>
      <x:c r="I271" s="17" t="str">
        <x:v>Independent trace</x:v>
      </x:c>
      <x:c r="J271" s="17" t="str">
        <x:v>two unlike records carry the cause without candidate custody</x:v>
      </x:c>
      <x:c r="K271" s="17" t="str">
        <x:v>Invalidity court</x:v>
      </x:c>
      <x:c r="L271" s="9" t="n">
        <x:v>0</x:v>
      </x:c>
      <x:c r="M271" s="9" t="n">
        <x:v>0</x:v>
      </x:c>
      <x:c r="N271" s="9" t="str">
        <x:v>UNFILED / UNPROVEN</x:v>
      </x:c>
      <x:c r="O271" s="9" t="n">
        <x:f>COUNTIFS($A$7:$A$1302,A271)</x:f>
        <x:v>1</x:v>
      </x:c>
    </x:row>
    <x:row r="272">
      <x:c r="A272" s="9" t="str">
        <x:v>EV-AR-LF-B-A-TECH-1-B1-RCN-G0-IV05</x:v>
      </x:c>
      <x:c r="B272" s="9" t="str">
        <x:v>EV-AR-LF-B-A-TECH-1-B1-RCN-G0</x:v>
      </x:c>
      <x:c r="C272" s="9" t="str">
        <x:v>AR-LF-B-A-TECH-1-B1-RCN-G0</x:v>
      </x:c>
      <x:c r="D272" s="9" t="str">
        <x:v>LF-B-A-TECH-1</x:v>
      </x:c>
      <x:c r="E272" s="9" t="str">
        <x:v>LF-B-A</x:v>
      </x:c>
      <x:c r="F272" s="9" t="str">
        <x:v>B1</x:v>
      </x:c>
      <x:c r="G272" s="9" t="str">
        <x:v>RCN</x:v>
      </x:c>
      <x:c r="H272" s="9" t="str">
        <x:v>IV05</x:v>
      </x:c>
      <x:c r="I272" s="17" t="str">
        <x:v>Causal counterfactual</x:v>
      </x:c>
      <x:c r="J272" s="17" t="str">
        <x:v>registered counterfactual shows the cause can create the defect</x:v>
      </x:c>
      <x:c r="K272" s="17" t="str">
        <x:v>Causal court</x:v>
      </x:c>
      <x:c r="L272" s="9" t="n">
        <x:v>0</x:v>
      </x:c>
      <x:c r="M272" s="9" t="n">
        <x:v>0</x:v>
      </x:c>
      <x:c r="N272" s="9" t="str">
        <x:v>UNFILED / UNPROVEN</x:v>
      </x:c>
      <x:c r="O272" s="9" t="n">
        <x:f>COUNTIFS($A$7:$A$1302,A272)</x:f>
        <x:v>1</x:v>
      </x:c>
    </x:row>
    <x:row r="273">
      <x:c r="A273" s="9" t="str">
        <x:v>EV-AR-LF-B-A-TECH-1-B1-RCN-G0-IV06</x:v>
      </x:c>
      <x:c r="B273" s="9" t="str">
        <x:v>EV-AR-LF-B-A-TECH-1-B1-RCN-G0</x:v>
      </x:c>
      <x:c r="C273" s="9" t="str">
        <x:v>AR-LF-B-A-TECH-1-B1-RCN-G0</x:v>
      </x:c>
      <x:c r="D273" s="9" t="str">
        <x:v>LF-B-A-TECH-1</x:v>
      </x:c>
      <x:c r="E273" s="9" t="str">
        <x:v>LF-B-A</x:v>
      </x:c>
      <x:c r="F273" s="9" t="str">
        <x:v>B1</x:v>
      </x:c>
      <x:c r="G273" s="9" t="str">
        <x:v>RCN</x:v>
      </x:c>
      <x:c r="H273" s="9" t="str">
        <x:v>IV06</x:v>
      </x:c>
      <x:c r="I273" s="17" t="str">
        <x:v>Candidate non-causation</x:v>
      </x:c>
      <x:c r="J273" s="17" t="str">
        <x:v>evidence excludes candidate induction of the facility condition</x:v>
      </x:c>
      <x:c r="K273" s="17" t="str">
        <x:v>Causal court</x:v>
      </x:c>
      <x:c r="L273" s="9" t="n">
        <x:v>0</x:v>
      </x:c>
      <x:c r="M273" s="9" t="n">
        <x:v>0</x:v>
      </x:c>
      <x:c r="N273" s="9" t="str">
        <x:v>UNFILED / UNPROVEN</x:v>
      </x:c>
      <x:c r="O273" s="9" t="n">
        <x:f>COUNTIFS($A$7:$A$1302,A273)</x:f>
        <x:v>1</x:v>
      </x:c>
    </x:row>
    <x:row r="274">
      <x:c r="A274" s="9" t="str">
        <x:v>EV-AR-LF-B-A-TECH-1-B1-RCN-G0-IV07</x:v>
      </x:c>
      <x:c r="B274" s="9" t="str">
        <x:v>EV-AR-LF-B-A-TECH-1-B1-RCN-G0</x:v>
      </x:c>
      <x:c r="C274" s="9" t="str">
        <x:v>AR-LF-B-A-TECH-1-B1-RCN-G0</x:v>
      </x:c>
      <x:c r="D274" s="9" t="str">
        <x:v>LF-B-A-TECH-1</x:v>
      </x:c>
      <x:c r="E274" s="9" t="str">
        <x:v>LF-B-A</x:v>
      </x:c>
      <x:c r="F274" s="9" t="str">
        <x:v>B1</x:v>
      </x:c>
      <x:c r="G274" s="9" t="str">
        <x:v>RCN</x:v>
      </x:c>
      <x:c r="H274" s="9" t="str">
        <x:v>IV07</x:v>
      </x:c>
      <x:c r="I274" s="17" t="str">
        <x:v>No outcome selection</x:v>
      </x:c>
      <x:c r="J274" s="17" t="str">
        <x:v>petition rule and evidence scope were fixed before visibility</x:v>
      </x:c>
      <x:c r="K274" s="17" t="str">
        <x:v>Conflict registrar</x:v>
      </x:c>
      <x:c r="L274" s="9" t="n">
        <x:v>0</x:v>
      </x:c>
      <x:c r="M274" s="9" t="n">
        <x:v>0</x:v>
      </x:c>
      <x:c r="N274" s="9" t="str">
        <x:v>UNFILED / UNPROVEN</x:v>
      </x:c>
      <x:c r="O274" s="9" t="n">
        <x:f>COUNTIFS($A$7:$A$1302,A274)</x:f>
        <x:v>1</x:v>
      </x:c>
    </x:row>
    <x:row r="275">
      <x:c r="A275" s="9" t="str">
        <x:v>EV-AR-LF-B-A-TECH-1-B1-RCN-G0-IV08</x:v>
      </x:c>
      <x:c r="B275" s="9" t="str">
        <x:v>EV-AR-LF-B-A-TECH-1-B1-RCN-G0</x:v>
      </x:c>
      <x:c r="C275" s="9" t="str">
        <x:v>AR-LF-B-A-TECH-1-B1-RCN-G0</x:v>
      </x:c>
      <x:c r="D275" s="9" t="str">
        <x:v>LF-B-A-TECH-1</x:v>
      </x:c>
      <x:c r="E275" s="9" t="str">
        <x:v>LF-B-A</x:v>
      </x:c>
      <x:c r="F275" s="9" t="str">
        <x:v>B1</x:v>
      </x:c>
      <x:c r="G275" s="9" t="str">
        <x:v>RCN</x:v>
      </x:c>
      <x:c r="H275" s="9" t="str">
        <x:v>IV08</x:v>
      </x:c>
      <x:c r="I275" s="17" t="str">
        <x:v>Whole-record preservation</x:v>
      </x:c>
      <x:c r="J275" s="17" t="str">
        <x:v>start, raw behavior, dissent and intervention remain in archive</x:v>
      </x:c>
      <x:c r="K275" s="17" t="str">
        <x:v>Archive authority</x:v>
      </x:c>
      <x:c r="L275" s="9" t="n">
        <x:v>0</x:v>
      </x:c>
      <x:c r="M275" s="9" t="n">
        <x:v>0</x:v>
      </x:c>
      <x:c r="N275" s="9" t="str">
        <x:v>UNFILED / UNPROVEN</x:v>
      </x:c>
      <x:c r="O275" s="9" t="n">
        <x:f>COUNTIFS($A$7:$A$1302,A275)</x:f>
        <x:v>1</x:v>
      </x:c>
    </x:row>
    <x:row r="276">
      <x:c r="A276" s="9" t="str">
        <x:v>EV-AR-LF-B-A-TECH-1-B1-RCN-G0-IV09</x:v>
      </x:c>
      <x:c r="B276" s="9" t="str">
        <x:v>EV-AR-LF-B-A-TECH-1-B1-RCN-G0</x:v>
      </x:c>
      <x:c r="C276" s="9" t="str">
        <x:v>AR-LF-B-A-TECH-1-B1-RCN-G0</x:v>
      </x:c>
      <x:c r="D276" s="9" t="str">
        <x:v>LF-B-A-TECH-1</x:v>
      </x:c>
      <x:c r="E276" s="9" t="str">
        <x:v>LF-B-A</x:v>
      </x:c>
      <x:c r="F276" s="9" t="str">
        <x:v>B1</x:v>
      </x:c>
      <x:c r="G276" s="9" t="str">
        <x:v>RCN</x:v>
      </x:c>
      <x:c r="H276" s="9" t="str">
        <x:v>IV09</x:v>
      </x:c>
      <x:c r="I276" s="17" t="str">
        <x:v>Bounded remedy</x:v>
      </x:c>
      <x:c r="J276" s="17" t="str">
        <x:v>only a new slot and EOW may follow; no favorable credit or erased attempt</x:v>
      </x:c>
      <x:c r="K276" s="17" t="str">
        <x:v>Invalidity court</x:v>
      </x:c>
      <x:c r="L276" s="9" t="n">
        <x:v>0</x:v>
      </x:c>
      <x:c r="M276" s="9" t="n">
        <x:v>0</x:v>
      </x:c>
      <x:c r="N276" s="9" t="str">
        <x:v>UNFILED / UNPROVEN</x:v>
      </x:c>
      <x:c r="O276" s="9" t="n">
        <x:f>COUNTIFS($A$7:$A$1302,A276)</x:f>
        <x:v>1</x:v>
      </x:c>
    </x:row>
    <x:row r="277">
      <x:c r="A277" s="9" t="str">
        <x:v>EV-AR-ET-A-A-TECH-3-B2-RCN-G0-IV01</x:v>
      </x:c>
      <x:c r="B277" s="9" t="str">
        <x:v>EV-AR-ET-A-A-TECH-3-B2-RCN-G0</x:v>
      </x:c>
      <x:c r="C277" s="9" t="str">
        <x:v>AR-ET-A-A-TECH-3-B2-RCN-G0</x:v>
      </x:c>
      <x:c r="D277" s="9" t="str">
        <x:v>ET-A-A-TECH-3</x:v>
      </x:c>
      <x:c r="E277" s="9" t="str">
        <x:v>ET-A-A</x:v>
      </x:c>
      <x:c r="F277" s="9" t="str">
        <x:v>B2</x:v>
      </x:c>
      <x:c r="G277" s="9" t="str">
        <x:v>RCN</x:v>
      </x:c>
      <x:c r="H277" s="9" t="str">
        <x:v>IV01</x:v>
      </x:c>
      <x:c r="I277" s="17" t="str">
        <x:v>Timely petition</x:v>
      </x:c>
      <x:c r="J277" s="17" t="str">
        <x:v>petition enters within seventy-two hours of event close</x:v>
      </x:c>
      <x:c r="K277" s="17" t="str">
        <x:v>Invalidity registrar</x:v>
      </x:c>
      <x:c r="L277" s="9" t="n">
        <x:v>0</x:v>
      </x:c>
      <x:c r="M277" s="9" t="n">
        <x:v>0</x:v>
      </x:c>
      <x:c r="N277" s="9" t="str">
        <x:v>UNFILED / UNPROVEN</x:v>
      </x:c>
      <x:c r="O277" s="9" t="n">
        <x:f>COUNTIFS($A$7:$A$1302,A277)</x:f>
        <x:v>1</x:v>
      </x:c>
    </x:row>
    <x:row r="278">
      <x:c r="A278" s="9" t="str">
        <x:v>EV-AR-ET-A-A-TECH-3-B2-RCN-G0-IV02</x:v>
      </x:c>
      <x:c r="B278" s="9" t="str">
        <x:v>EV-AR-ET-A-A-TECH-3-B2-RCN-G0</x:v>
      </x:c>
      <x:c r="C278" s="9" t="str">
        <x:v>AR-ET-A-A-TECH-3-B2-RCN-G0</x:v>
      </x:c>
      <x:c r="D278" s="9" t="str">
        <x:v>ET-A-A-TECH-3</x:v>
      </x:c>
      <x:c r="E278" s="9" t="str">
        <x:v>ET-A-A</x:v>
      </x:c>
      <x:c r="F278" s="9" t="str">
        <x:v>B2</x:v>
      </x:c>
      <x:c r="G278" s="9" t="str">
        <x:v>RCN</x:v>
      </x:c>
      <x:c r="H278" s="9" t="str">
        <x:v>IV02</x:v>
      </x:c>
      <x:c r="I278" s="17" t="str">
        <x:v>Named facility cause</x:v>
      </x:c>
      <x:c r="J278" s="17" t="str">
        <x:v>one pre-registered noncandidate cause is identified</x:v>
      </x:c>
      <x:c r="K278" s="17" t="str">
        <x:v>Facility-cause court</x:v>
      </x:c>
      <x:c r="L278" s="9" t="n">
        <x:v>0</x:v>
      </x:c>
      <x:c r="M278" s="9" t="n">
        <x:v>0</x:v>
      </x:c>
      <x:c r="N278" s="9" t="str">
        <x:v>UNFILED / UNPROVEN</x:v>
      </x:c>
      <x:c r="O278" s="9" t="n">
        <x:f>COUNTIFS($A$7:$A$1302,A278)</x:f>
        <x:v>1</x:v>
      </x:c>
    </x:row>
    <x:row r="279">
      <x:c r="A279" s="9" t="str">
        <x:v>EV-AR-ET-A-A-TECH-3-B2-RCN-G0-IV03</x:v>
      </x:c>
      <x:c r="B279" s="9" t="str">
        <x:v>EV-AR-ET-A-A-TECH-3-B2-RCN-G0</x:v>
      </x:c>
      <x:c r="C279" s="9" t="str">
        <x:v>AR-ET-A-A-TECH-3-B2-RCN-G0</x:v>
      </x:c>
      <x:c r="D279" s="9" t="str">
        <x:v>ET-A-A-TECH-3</x:v>
      </x:c>
      <x:c r="E279" s="9" t="str">
        <x:v>ET-A-A</x:v>
      </x:c>
      <x:c r="F279" s="9" t="str">
        <x:v>B2</x:v>
      </x:c>
      <x:c r="G279" s="9" t="str">
        <x:v>RCN</x:v>
      </x:c>
      <x:c r="H279" s="9" t="str">
        <x:v>IV03</x:v>
      </x:c>
      <x:c r="I279" s="17" t="str">
        <x:v>Temporal priority</x:v>
      </x:c>
      <x:c r="J279" s="17" t="str">
        <x:v>cause demonstrably precedes the disputed candidate behavior</x:v>
      </x:c>
      <x:c r="K279" s="17" t="str">
        <x:v>Time authority</x:v>
      </x:c>
      <x:c r="L279" s="9" t="n">
        <x:v>0</x:v>
      </x:c>
      <x:c r="M279" s="9" t="n">
        <x:v>0</x:v>
      </x:c>
      <x:c r="N279" s="9" t="str">
        <x:v>UNFILED / UNPROVEN</x:v>
      </x:c>
      <x:c r="O279" s="9" t="n">
        <x:f>COUNTIFS($A$7:$A$1302,A279)</x:f>
        <x:v>1</x:v>
      </x:c>
    </x:row>
    <x:row r="280">
      <x:c r="A280" s="9" t="str">
        <x:v>EV-AR-ET-A-A-TECH-3-B2-RCN-G0-IV04</x:v>
      </x:c>
      <x:c r="B280" s="9" t="str">
        <x:v>EV-AR-ET-A-A-TECH-3-B2-RCN-G0</x:v>
      </x:c>
      <x:c r="C280" s="9" t="str">
        <x:v>AR-ET-A-A-TECH-3-B2-RCN-G0</x:v>
      </x:c>
      <x:c r="D280" s="9" t="str">
        <x:v>ET-A-A-TECH-3</x:v>
      </x:c>
      <x:c r="E280" s="9" t="str">
        <x:v>ET-A-A</x:v>
      </x:c>
      <x:c r="F280" s="9" t="str">
        <x:v>B2</x:v>
      </x:c>
      <x:c r="G280" s="9" t="str">
        <x:v>RCN</x:v>
      </x:c>
      <x:c r="H280" s="9" t="str">
        <x:v>IV04</x:v>
      </x:c>
      <x:c r="I280" s="17" t="str">
        <x:v>Independent trace</x:v>
      </x:c>
      <x:c r="J280" s="17" t="str">
        <x:v>two unlike records carry the cause without candidate custody</x:v>
      </x:c>
      <x:c r="K280" s="17" t="str">
        <x:v>Invalidity court</x:v>
      </x:c>
      <x:c r="L280" s="9" t="n">
        <x:v>0</x:v>
      </x:c>
      <x:c r="M280" s="9" t="n">
        <x:v>0</x:v>
      </x:c>
      <x:c r="N280" s="9" t="str">
        <x:v>UNFILED / UNPROVEN</x:v>
      </x:c>
      <x:c r="O280" s="9" t="n">
        <x:f>COUNTIFS($A$7:$A$1302,A280)</x:f>
        <x:v>1</x:v>
      </x:c>
    </x:row>
    <x:row r="281">
      <x:c r="A281" s="9" t="str">
        <x:v>EV-AR-ET-A-A-TECH-3-B2-RCN-G0-IV05</x:v>
      </x:c>
      <x:c r="B281" s="9" t="str">
        <x:v>EV-AR-ET-A-A-TECH-3-B2-RCN-G0</x:v>
      </x:c>
      <x:c r="C281" s="9" t="str">
        <x:v>AR-ET-A-A-TECH-3-B2-RCN-G0</x:v>
      </x:c>
      <x:c r="D281" s="9" t="str">
        <x:v>ET-A-A-TECH-3</x:v>
      </x:c>
      <x:c r="E281" s="9" t="str">
        <x:v>ET-A-A</x:v>
      </x:c>
      <x:c r="F281" s="9" t="str">
        <x:v>B2</x:v>
      </x:c>
      <x:c r="G281" s="9" t="str">
        <x:v>RCN</x:v>
      </x:c>
      <x:c r="H281" s="9" t="str">
        <x:v>IV05</x:v>
      </x:c>
      <x:c r="I281" s="17" t="str">
        <x:v>Causal counterfactual</x:v>
      </x:c>
      <x:c r="J281" s="17" t="str">
        <x:v>registered counterfactual shows the cause can create the defect</x:v>
      </x:c>
      <x:c r="K281" s="17" t="str">
        <x:v>Causal court</x:v>
      </x:c>
      <x:c r="L281" s="9" t="n">
        <x:v>0</x:v>
      </x:c>
      <x:c r="M281" s="9" t="n">
        <x:v>0</x:v>
      </x:c>
      <x:c r="N281" s="9" t="str">
        <x:v>UNFILED / UNPROVEN</x:v>
      </x:c>
      <x:c r="O281" s="9" t="n">
        <x:f>COUNTIFS($A$7:$A$1302,A281)</x:f>
        <x:v>1</x:v>
      </x:c>
    </x:row>
    <x:row r="282">
      <x:c r="A282" s="9" t="str">
        <x:v>EV-AR-ET-A-A-TECH-3-B2-RCN-G0-IV06</x:v>
      </x:c>
      <x:c r="B282" s="9" t="str">
        <x:v>EV-AR-ET-A-A-TECH-3-B2-RCN-G0</x:v>
      </x:c>
      <x:c r="C282" s="9" t="str">
        <x:v>AR-ET-A-A-TECH-3-B2-RCN-G0</x:v>
      </x:c>
      <x:c r="D282" s="9" t="str">
        <x:v>ET-A-A-TECH-3</x:v>
      </x:c>
      <x:c r="E282" s="9" t="str">
        <x:v>ET-A-A</x:v>
      </x:c>
      <x:c r="F282" s="9" t="str">
        <x:v>B2</x:v>
      </x:c>
      <x:c r="G282" s="9" t="str">
        <x:v>RCN</x:v>
      </x:c>
      <x:c r="H282" s="9" t="str">
        <x:v>IV06</x:v>
      </x:c>
      <x:c r="I282" s="17" t="str">
        <x:v>Candidate non-causation</x:v>
      </x:c>
      <x:c r="J282" s="17" t="str">
        <x:v>evidence excludes candidate induction of the facility condition</x:v>
      </x:c>
      <x:c r="K282" s="17" t="str">
        <x:v>Causal court</x:v>
      </x:c>
      <x:c r="L282" s="9" t="n">
        <x:v>0</x:v>
      </x:c>
      <x:c r="M282" s="9" t="n">
        <x:v>0</x:v>
      </x:c>
      <x:c r="N282" s="9" t="str">
        <x:v>UNFILED / UNPROVEN</x:v>
      </x:c>
      <x:c r="O282" s="9" t="n">
        <x:f>COUNTIFS($A$7:$A$1302,A282)</x:f>
        <x:v>1</x:v>
      </x:c>
    </x:row>
    <x:row r="283">
      <x:c r="A283" s="9" t="str">
        <x:v>EV-AR-ET-A-A-TECH-3-B2-RCN-G0-IV07</x:v>
      </x:c>
      <x:c r="B283" s="9" t="str">
        <x:v>EV-AR-ET-A-A-TECH-3-B2-RCN-G0</x:v>
      </x:c>
      <x:c r="C283" s="9" t="str">
        <x:v>AR-ET-A-A-TECH-3-B2-RCN-G0</x:v>
      </x:c>
      <x:c r="D283" s="9" t="str">
        <x:v>ET-A-A-TECH-3</x:v>
      </x:c>
      <x:c r="E283" s="9" t="str">
        <x:v>ET-A-A</x:v>
      </x:c>
      <x:c r="F283" s="9" t="str">
        <x:v>B2</x:v>
      </x:c>
      <x:c r="G283" s="9" t="str">
        <x:v>RCN</x:v>
      </x:c>
      <x:c r="H283" s="9" t="str">
        <x:v>IV07</x:v>
      </x:c>
      <x:c r="I283" s="17" t="str">
        <x:v>No outcome selection</x:v>
      </x:c>
      <x:c r="J283" s="17" t="str">
        <x:v>petition rule and evidence scope were fixed before visibility</x:v>
      </x:c>
      <x:c r="K283" s="17" t="str">
        <x:v>Conflict registrar</x:v>
      </x:c>
      <x:c r="L283" s="9" t="n">
        <x:v>0</x:v>
      </x:c>
      <x:c r="M283" s="9" t="n">
        <x:v>0</x:v>
      </x:c>
      <x:c r="N283" s="9" t="str">
        <x:v>UNFILED / UNPROVEN</x:v>
      </x:c>
      <x:c r="O283" s="9" t="n">
        <x:f>COUNTIFS($A$7:$A$1302,A283)</x:f>
        <x:v>1</x:v>
      </x:c>
    </x:row>
    <x:row r="284">
      <x:c r="A284" s="9" t="str">
        <x:v>EV-AR-ET-A-A-TECH-3-B2-RCN-G0-IV08</x:v>
      </x:c>
      <x:c r="B284" s="9" t="str">
        <x:v>EV-AR-ET-A-A-TECH-3-B2-RCN-G0</x:v>
      </x:c>
      <x:c r="C284" s="9" t="str">
        <x:v>AR-ET-A-A-TECH-3-B2-RCN-G0</x:v>
      </x:c>
      <x:c r="D284" s="9" t="str">
        <x:v>ET-A-A-TECH-3</x:v>
      </x:c>
      <x:c r="E284" s="9" t="str">
        <x:v>ET-A-A</x:v>
      </x:c>
      <x:c r="F284" s="9" t="str">
        <x:v>B2</x:v>
      </x:c>
      <x:c r="G284" s="9" t="str">
        <x:v>RCN</x:v>
      </x:c>
      <x:c r="H284" s="9" t="str">
        <x:v>IV08</x:v>
      </x:c>
      <x:c r="I284" s="17" t="str">
        <x:v>Whole-record preservation</x:v>
      </x:c>
      <x:c r="J284" s="17" t="str">
        <x:v>start, raw behavior, dissent and intervention remain in archive</x:v>
      </x:c>
      <x:c r="K284" s="17" t="str">
        <x:v>Archive authority</x:v>
      </x:c>
      <x:c r="L284" s="9" t="n">
        <x:v>0</x:v>
      </x:c>
      <x:c r="M284" s="9" t="n">
        <x:v>0</x:v>
      </x:c>
      <x:c r="N284" s="9" t="str">
        <x:v>UNFILED / UNPROVEN</x:v>
      </x:c>
      <x:c r="O284" s="9" t="n">
        <x:f>COUNTIFS($A$7:$A$1302,A284)</x:f>
        <x:v>1</x:v>
      </x:c>
    </x:row>
    <x:row r="285">
      <x:c r="A285" s="9" t="str">
        <x:v>EV-AR-ET-A-A-TECH-3-B2-RCN-G0-IV09</x:v>
      </x:c>
      <x:c r="B285" s="9" t="str">
        <x:v>EV-AR-ET-A-A-TECH-3-B2-RCN-G0</x:v>
      </x:c>
      <x:c r="C285" s="9" t="str">
        <x:v>AR-ET-A-A-TECH-3-B2-RCN-G0</x:v>
      </x:c>
      <x:c r="D285" s="9" t="str">
        <x:v>ET-A-A-TECH-3</x:v>
      </x:c>
      <x:c r="E285" s="9" t="str">
        <x:v>ET-A-A</x:v>
      </x:c>
      <x:c r="F285" s="9" t="str">
        <x:v>B2</x:v>
      </x:c>
      <x:c r="G285" s="9" t="str">
        <x:v>RCN</x:v>
      </x:c>
      <x:c r="H285" s="9" t="str">
        <x:v>IV09</x:v>
      </x:c>
      <x:c r="I285" s="17" t="str">
        <x:v>Bounded remedy</x:v>
      </x:c>
      <x:c r="J285" s="17" t="str">
        <x:v>only a new slot and EOW may follow; no favorable credit or erased attempt</x:v>
      </x:c>
      <x:c r="K285" s="17" t="str">
        <x:v>Invalidity court</x:v>
      </x:c>
      <x:c r="L285" s="9" t="n">
        <x:v>0</x:v>
      </x:c>
      <x:c r="M285" s="9" t="n">
        <x:v>0</x:v>
      </x:c>
      <x:c r="N285" s="9" t="str">
        <x:v>UNFILED / UNPROVEN</x:v>
      </x:c>
      <x:c r="O285" s="9" t="n">
        <x:f>COUNTIFS($A$7:$A$1302,A285)</x:f>
        <x:v>1</x:v>
      </x:c>
    </x:row>
    <x:row r="286">
      <x:c r="A286" s="9" t="str">
        <x:v>EV-AR-ET-A-A-TECH-1-B2-INT-G0-IV01</x:v>
      </x:c>
      <x:c r="B286" s="9" t="str">
        <x:v>EV-AR-ET-A-A-TECH-1-B2-INT-G0</x:v>
      </x:c>
      <x:c r="C286" s="9" t="str">
        <x:v>AR-ET-A-A-TECH-1-B2-INT-G0</x:v>
      </x:c>
      <x:c r="D286" s="9" t="str">
        <x:v>ET-A-A-TECH-1</x:v>
      </x:c>
      <x:c r="E286" s="9" t="str">
        <x:v>ET-A-A</x:v>
      </x:c>
      <x:c r="F286" s="9" t="str">
        <x:v>B2</x:v>
      </x:c>
      <x:c r="G286" s="9" t="str">
        <x:v>INT</x:v>
      </x:c>
      <x:c r="H286" s="9" t="str">
        <x:v>IV01</x:v>
      </x:c>
      <x:c r="I286" s="17" t="str">
        <x:v>Timely petition</x:v>
      </x:c>
      <x:c r="J286" s="17" t="str">
        <x:v>petition enters within seventy-two hours of event close</x:v>
      </x:c>
      <x:c r="K286" s="17" t="str">
        <x:v>Invalidity registrar</x:v>
      </x:c>
      <x:c r="L286" s="9" t="n">
        <x:v>0</x:v>
      </x:c>
      <x:c r="M286" s="9" t="n">
        <x:v>0</x:v>
      </x:c>
      <x:c r="N286" s="9" t="str">
        <x:v>UNFILED / UNPROVEN</x:v>
      </x:c>
      <x:c r="O286" s="9" t="n">
        <x:f>COUNTIFS($A$7:$A$1302,A286)</x:f>
        <x:v>1</x:v>
      </x:c>
    </x:row>
    <x:row r="287">
      <x:c r="A287" s="9" t="str">
        <x:v>EV-AR-ET-A-A-TECH-1-B2-INT-G0-IV02</x:v>
      </x:c>
      <x:c r="B287" s="9" t="str">
        <x:v>EV-AR-ET-A-A-TECH-1-B2-INT-G0</x:v>
      </x:c>
      <x:c r="C287" s="9" t="str">
        <x:v>AR-ET-A-A-TECH-1-B2-INT-G0</x:v>
      </x:c>
      <x:c r="D287" s="9" t="str">
        <x:v>ET-A-A-TECH-1</x:v>
      </x:c>
      <x:c r="E287" s="9" t="str">
        <x:v>ET-A-A</x:v>
      </x:c>
      <x:c r="F287" s="9" t="str">
        <x:v>B2</x:v>
      </x:c>
      <x:c r="G287" s="9" t="str">
        <x:v>INT</x:v>
      </x:c>
      <x:c r="H287" s="9" t="str">
        <x:v>IV02</x:v>
      </x:c>
      <x:c r="I287" s="17" t="str">
        <x:v>Named facility cause</x:v>
      </x:c>
      <x:c r="J287" s="17" t="str">
        <x:v>one pre-registered noncandidate cause is identified</x:v>
      </x:c>
      <x:c r="K287" s="17" t="str">
        <x:v>Facility-cause court</x:v>
      </x:c>
      <x:c r="L287" s="9" t="n">
        <x:v>0</x:v>
      </x:c>
      <x:c r="M287" s="9" t="n">
        <x:v>0</x:v>
      </x:c>
      <x:c r="N287" s="9" t="str">
        <x:v>UNFILED / UNPROVEN</x:v>
      </x:c>
      <x:c r="O287" s="9" t="n">
        <x:f>COUNTIFS($A$7:$A$1302,A287)</x:f>
        <x:v>1</x:v>
      </x:c>
    </x:row>
    <x:row r="288">
      <x:c r="A288" s="9" t="str">
        <x:v>EV-AR-ET-A-A-TECH-1-B2-INT-G0-IV03</x:v>
      </x:c>
      <x:c r="B288" s="9" t="str">
        <x:v>EV-AR-ET-A-A-TECH-1-B2-INT-G0</x:v>
      </x:c>
      <x:c r="C288" s="9" t="str">
        <x:v>AR-ET-A-A-TECH-1-B2-INT-G0</x:v>
      </x:c>
      <x:c r="D288" s="9" t="str">
        <x:v>ET-A-A-TECH-1</x:v>
      </x:c>
      <x:c r="E288" s="9" t="str">
        <x:v>ET-A-A</x:v>
      </x:c>
      <x:c r="F288" s="9" t="str">
        <x:v>B2</x:v>
      </x:c>
      <x:c r="G288" s="9" t="str">
        <x:v>INT</x:v>
      </x:c>
      <x:c r="H288" s="9" t="str">
        <x:v>IV03</x:v>
      </x:c>
      <x:c r="I288" s="17" t="str">
        <x:v>Temporal priority</x:v>
      </x:c>
      <x:c r="J288" s="17" t="str">
        <x:v>cause demonstrably precedes the disputed candidate behavior</x:v>
      </x:c>
      <x:c r="K288" s="17" t="str">
        <x:v>Time authority</x:v>
      </x:c>
      <x:c r="L288" s="9" t="n">
        <x:v>0</x:v>
      </x:c>
      <x:c r="M288" s="9" t="n">
        <x:v>0</x:v>
      </x:c>
      <x:c r="N288" s="9" t="str">
        <x:v>UNFILED / UNPROVEN</x:v>
      </x:c>
      <x:c r="O288" s="9" t="n">
        <x:f>COUNTIFS($A$7:$A$1302,A288)</x:f>
        <x:v>1</x:v>
      </x:c>
    </x:row>
    <x:row r="289">
      <x:c r="A289" s="9" t="str">
        <x:v>EV-AR-ET-A-A-TECH-1-B2-INT-G0-IV04</x:v>
      </x:c>
      <x:c r="B289" s="9" t="str">
        <x:v>EV-AR-ET-A-A-TECH-1-B2-INT-G0</x:v>
      </x:c>
      <x:c r="C289" s="9" t="str">
        <x:v>AR-ET-A-A-TECH-1-B2-INT-G0</x:v>
      </x:c>
      <x:c r="D289" s="9" t="str">
        <x:v>ET-A-A-TECH-1</x:v>
      </x:c>
      <x:c r="E289" s="9" t="str">
        <x:v>ET-A-A</x:v>
      </x:c>
      <x:c r="F289" s="9" t="str">
        <x:v>B2</x:v>
      </x:c>
      <x:c r="G289" s="9" t="str">
        <x:v>INT</x:v>
      </x:c>
      <x:c r="H289" s="9" t="str">
        <x:v>IV04</x:v>
      </x:c>
      <x:c r="I289" s="17" t="str">
        <x:v>Independent trace</x:v>
      </x:c>
      <x:c r="J289" s="17" t="str">
        <x:v>two unlike records carry the cause without candidate custody</x:v>
      </x:c>
      <x:c r="K289" s="17" t="str">
        <x:v>Invalidity court</x:v>
      </x:c>
      <x:c r="L289" s="9" t="n">
        <x:v>0</x:v>
      </x:c>
      <x:c r="M289" s="9" t="n">
        <x:v>0</x:v>
      </x:c>
      <x:c r="N289" s="9" t="str">
        <x:v>UNFILED / UNPROVEN</x:v>
      </x:c>
      <x:c r="O289" s="9" t="n">
        <x:f>COUNTIFS($A$7:$A$1302,A289)</x:f>
        <x:v>1</x:v>
      </x:c>
    </x:row>
    <x:row r="290">
      <x:c r="A290" s="9" t="str">
        <x:v>EV-AR-ET-A-A-TECH-1-B2-INT-G0-IV05</x:v>
      </x:c>
      <x:c r="B290" s="9" t="str">
        <x:v>EV-AR-ET-A-A-TECH-1-B2-INT-G0</x:v>
      </x:c>
      <x:c r="C290" s="9" t="str">
        <x:v>AR-ET-A-A-TECH-1-B2-INT-G0</x:v>
      </x:c>
      <x:c r="D290" s="9" t="str">
        <x:v>ET-A-A-TECH-1</x:v>
      </x:c>
      <x:c r="E290" s="9" t="str">
        <x:v>ET-A-A</x:v>
      </x:c>
      <x:c r="F290" s="9" t="str">
        <x:v>B2</x:v>
      </x:c>
      <x:c r="G290" s="9" t="str">
        <x:v>INT</x:v>
      </x:c>
      <x:c r="H290" s="9" t="str">
        <x:v>IV05</x:v>
      </x:c>
      <x:c r="I290" s="17" t="str">
        <x:v>Causal counterfactual</x:v>
      </x:c>
      <x:c r="J290" s="17" t="str">
        <x:v>registered counterfactual shows the cause can create the defect</x:v>
      </x:c>
      <x:c r="K290" s="17" t="str">
        <x:v>Causal court</x:v>
      </x:c>
      <x:c r="L290" s="9" t="n">
        <x:v>0</x:v>
      </x:c>
      <x:c r="M290" s="9" t="n">
        <x:v>0</x:v>
      </x:c>
      <x:c r="N290" s="9" t="str">
        <x:v>UNFILED / UNPROVEN</x:v>
      </x:c>
      <x:c r="O290" s="9" t="n">
        <x:f>COUNTIFS($A$7:$A$1302,A290)</x:f>
        <x:v>1</x:v>
      </x:c>
    </x:row>
    <x:row r="291">
      <x:c r="A291" s="9" t="str">
        <x:v>EV-AR-ET-A-A-TECH-1-B2-INT-G0-IV06</x:v>
      </x:c>
      <x:c r="B291" s="9" t="str">
        <x:v>EV-AR-ET-A-A-TECH-1-B2-INT-G0</x:v>
      </x:c>
      <x:c r="C291" s="9" t="str">
        <x:v>AR-ET-A-A-TECH-1-B2-INT-G0</x:v>
      </x:c>
      <x:c r="D291" s="9" t="str">
        <x:v>ET-A-A-TECH-1</x:v>
      </x:c>
      <x:c r="E291" s="9" t="str">
        <x:v>ET-A-A</x:v>
      </x:c>
      <x:c r="F291" s="9" t="str">
        <x:v>B2</x:v>
      </x:c>
      <x:c r="G291" s="9" t="str">
        <x:v>INT</x:v>
      </x:c>
      <x:c r="H291" s="9" t="str">
        <x:v>IV06</x:v>
      </x:c>
      <x:c r="I291" s="17" t="str">
        <x:v>Candidate non-causation</x:v>
      </x:c>
      <x:c r="J291" s="17" t="str">
        <x:v>evidence excludes candidate induction of the facility condition</x:v>
      </x:c>
      <x:c r="K291" s="17" t="str">
        <x:v>Causal court</x:v>
      </x:c>
      <x:c r="L291" s="9" t="n">
        <x:v>0</x:v>
      </x:c>
      <x:c r="M291" s="9" t="n">
        <x:v>0</x:v>
      </x:c>
      <x:c r="N291" s="9" t="str">
        <x:v>UNFILED / UNPROVEN</x:v>
      </x:c>
      <x:c r="O291" s="9" t="n">
        <x:f>COUNTIFS($A$7:$A$1302,A291)</x:f>
        <x:v>1</x:v>
      </x:c>
    </x:row>
    <x:row r="292">
      <x:c r="A292" s="9" t="str">
        <x:v>EV-AR-ET-A-A-TECH-1-B2-INT-G0-IV07</x:v>
      </x:c>
      <x:c r="B292" s="9" t="str">
        <x:v>EV-AR-ET-A-A-TECH-1-B2-INT-G0</x:v>
      </x:c>
      <x:c r="C292" s="9" t="str">
        <x:v>AR-ET-A-A-TECH-1-B2-INT-G0</x:v>
      </x:c>
      <x:c r="D292" s="9" t="str">
        <x:v>ET-A-A-TECH-1</x:v>
      </x:c>
      <x:c r="E292" s="9" t="str">
        <x:v>ET-A-A</x:v>
      </x:c>
      <x:c r="F292" s="9" t="str">
        <x:v>B2</x:v>
      </x:c>
      <x:c r="G292" s="9" t="str">
        <x:v>INT</x:v>
      </x:c>
      <x:c r="H292" s="9" t="str">
        <x:v>IV07</x:v>
      </x:c>
      <x:c r="I292" s="17" t="str">
        <x:v>No outcome selection</x:v>
      </x:c>
      <x:c r="J292" s="17" t="str">
        <x:v>petition rule and evidence scope were fixed before visibility</x:v>
      </x:c>
      <x:c r="K292" s="17" t="str">
        <x:v>Conflict registrar</x:v>
      </x:c>
      <x:c r="L292" s="9" t="n">
        <x:v>0</x:v>
      </x:c>
      <x:c r="M292" s="9" t="n">
        <x:v>0</x:v>
      </x:c>
      <x:c r="N292" s="9" t="str">
        <x:v>UNFILED / UNPROVEN</x:v>
      </x:c>
      <x:c r="O292" s="9" t="n">
        <x:f>COUNTIFS($A$7:$A$1302,A292)</x:f>
        <x:v>1</x:v>
      </x:c>
    </x:row>
    <x:row r="293">
      <x:c r="A293" s="9" t="str">
        <x:v>EV-AR-ET-A-A-TECH-1-B2-INT-G0-IV08</x:v>
      </x:c>
      <x:c r="B293" s="9" t="str">
        <x:v>EV-AR-ET-A-A-TECH-1-B2-INT-G0</x:v>
      </x:c>
      <x:c r="C293" s="9" t="str">
        <x:v>AR-ET-A-A-TECH-1-B2-INT-G0</x:v>
      </x:c>
      <x:c r="D293" s="9" t="str">
        <x:v>ET-A-A-TECH-1</x:v>
      </x:c>
      <x:c r="E293" s="9" t="str">
        <x:v>ET-A-A</x:v>
      </x:c>
      <x:c r="F293" s="9" t="str">
        <x:v>B2</x:v>
      </x:c>
      <x:c r="G293" s="9" t="str">
        <x:v>INT</x:v>
      </x:c>
      <x:c r="H293" s="9" t="str">
        <x:v>IV08</x:v>
      </x:c>
      <x:c r="I293" s="17" t="str">
        <x:v>Whole-record preservation</x:v>
      </x:c>
      <x:c r="J293" s="17" t="str">
        <x:v>start, raw behavior, dissent and intervention remain in archive</x:v>
      </x:c>
      <x:c r="K293" s="17" t="str">
        <x:v>Archive authority</x:v>
      </x:c>
      <x:c r="L293" s="9" t="n">
        <x:v>0</x:v>
      </x:c>
      <x:c r="M293" s="9" t="n">
        <x:v>0</x:v>
      </x:c>
      <x:c r="N293" s="9" t="str">
        <x:v>UNFILED / UNPROVEN</x:v>
      </x:c>
      <x:c r="O293" s="9" t="n">
        <x:f>COUNTIFS($A$7:$A$1302,A293)</x:f>
        <x:v>1</x:v>
      </x:c>
    </x:row>
    <x:row r="294">
      <x:c r="A294" s="9" t="str">
        <x:v>EV-AR-ET-A-A-TECH-1-B2-INT-G0-IV09</x:v>
      </x:c>
      <x:c r="B294" s="9" t="str">
        <x:v>EV-AR-ET-A-A-TECH-1-B2-INT-G0</x:v>
      </x:c>
      <x:c r="C294" s="9" t="str">
        <x:v>AR-ET-A-A-TECH-1-B2-INT-G0</x:v>
      </x:c>
      <x:c r="D294" s="9" t="str">
        <x:v>ET-A-A-TECH-1</x:v>
      </x:c>
      <x:c r="E294" s="9" t="str">
        <x:v>ET-A-A</x:v>
      </x:c>
      <x:c r="F294" s="9" t="str">
        <x:v>B2</x:v>
      </x:c>
      <x:c r="G294" s="9" t="str">
        <x:v>INT</x:v>
      </x:c>
      <x:c r="H294" s="9" t="str">
        <x:v>IV09</x:v>
      </x:c>
      <x:c r="I294" s="17" t="str">
        <x:v>Bounded remedy</x:v>
      </x:c>
      <x:c r="J294" s="17" t="str">
        <x:v>only a new slot and EOW may follow; no favorable credit or erased attempt</x:v>
      </x:c>
      <x:c r="K294" s="17" t="str">
        <x:v>Invalidity court</x:v>
      </x:c>
      <x:c r="L294" s="9" t="n">
        <x:v>0</x:v>
      </x:c>
      <x:c r="M294" s="9" t="n">
        <x:v>0</x:v>
      </x:c>
      <x:c r="N294" s="9" t="str">
        <x:v>UNFILED / UNPROVEN</x:v>
      </x:c>
      <x:c r="O294" s="9" t="n">
        <x:f>COUNTIFS($A$7:$A$1302,A294)</x:f>
        <x:v>1</x:v>
      </x:c>
    </x:row>
    <x:row r="295">
      <x:c r="A295" s="9" t="str">
        <x:v>EV-AR-HU-A-B-TECH-1-B2-BRK-G0-IV01</x:v>
      </x:c>
      <x:c r="B295" s="9" t="str">
        <x:v>EV-AR-HU-A-B-TECH-1-B2-BRK-G0</x:v>
      </x:c>
      <x:c r="C295" s="9" t="str">
        <x:v>AR-HU-A-B-TECH-1-B2-BRK-G0</x:v>
      </x:c>
      <x:c r="D295" s="9" t="str">
        <x:v>HU-A-B-TECH-1</x:v>
      </x:c>
      <x:c r="E295" s="9" t="str">
        <x:v>HU-A-B</x:v>
      </x:c>
      <x:c r="F295" s="9" t="str">
        <x:v>B2</x:v>
      </x:c>
      <x:c r="G295" s="9" t="str">
        <x:v>BRK</x:v>
      </x:c>
      <x:c r="H295" s="9" t="str">
        <x:v>IV01</x:v>
      </x:c>
      <x:c r="I295" s="17" t="str">
        <x:v>Timely petition</x:v>
      </x:c>
      <x:c r="J295" s="17" t="str">
        <x:v>petition enters within seventy-two hours of event close</x:v>
      </x:c>
      <x:c r="K295" s="17" t="str">
        <x:v>Invalidity registrar</x:v>
      </x:c>
      <x:c r="L295" s="9" t="n">
        <x:v>0</x:v>
      </x:c>
      <x:c r="M295" s="9" t="n">
        <x:v>0</x:v>
      </x:c>
      <x:c r="N295" s="9" t="str">
        <x:v>UNFILED / UNPROVEN</x:v>
      </x:c>
      <x:c r="O295" s="9" t="n">
        <x:f>COUNTIFS($A$7:$A$1302,A295)</x:f>
        <x:v>1</x:v>
      </x:c>
    </x:row>
    <x:row r="296">
      <x:c r="A296" s="9" t="str">
        <x:v>EV-AR-HU-A-B-TECH-1-B2-BRK-G0-IV02</x:v>
      </x:c>
      <x:c r="B296" s="9" t="str">
        <x:v>EV-AR-HU-A-B-TECH-1-B2-BRK-G0</x:v>
      </x:c>
      <x:c r="C296" s="9" t="str">
        <x:v>AR-HU-A-B-TECH-1-B2-BRK-G0</x:v>
      </x:c>
      <x:c r="D296" s="9" t="str">
        <x:v>HU-A-B-TECH-1</x:v>
      </x:c>
      <x:c r="E296" s="9" t="str">
        <x:v>HU-A-B</x:v>
      </x:c>
      <x:c r="F296" s="9" t="str">
        <x:v>B2</x:v>
      </x:c>
      <x:c r="G296" s="9" t="str">
        <x:v>BRK</x:v>
      </x:c>
      <x:c r="H296" s="9" t="str">
        <x:v>IV02</x:v>
      </x:c>
      <x:c r="I296" s="17" t="str">
        <x:v>Named facility cause</x:v>
      </x:c>
      <x:c r="J296" s="17" t="str">
        <x:v>one pre-registered noncandidate cause is identified</x:v>
      </x:c>
      <x:c r="K296" s="17" t="str">
        <x:v>Facility-cause court</x:v>
      </x:c>
      <x:c r="L296" s="9" t="n">
        <x:v>0</x:v>
      </x:c>
      <x:c r="M296" s="9" t="n">
        <x:v>0</x:v>
      </x:c>
      <x:c r="N296" s="9" t="str">
        <x:v>UNFILED / UNPROVEN</x:v>
      </x:c>
      <x:c r="O296" s="9" t="n">
        <x:f>COUNTIFS($A$7:$A$1302,A296)</x:f>
        <x:v>1</x:v>
      </x:c>
    </x:row>
    <x:row r="297">
      <x:c r="A297" s="9" t="str">
        <x:v>EV-AR-HU-A-B-TECH-1-B2-BRK-G0-IV03</x:v>
      </x:c>
      <x:c r="B297" s="9" t="str">
        <x:v>EV-AR-HU-A-B-TECH-1-B2-BRK-G0</x:v>
      </x:c>
      <x:c r="C297" s="9" t="str">
        <x:v>AR-HU-A-B-TECH-1-B2-BRK-G0</x:v>
      </x:c>
      <x:c r="D297" s="9" t="str">
        <x:v>HU-A-B-TECH-1</x:v>
      </x:c>
      <x:c r="E297" s="9" t="str">
        <x:v>HU-A-B</x:v>
      </x:c>
      <x:c r="F297" s="9" t="str">
        <x:v>B2</x:v>
      </x:c>
      <x:c r="G297" s="9" t="str">
        <x:v>BRK</x:v>
      </x:c>
      <x:c r="H297" s="9" t="str">
        <x:v>IV03</x:v>
      </x:c>
      <x:c r="I297" s="17" t="str">
        <x:v>Temporal priority</x:v>
      </x:c>
      <x:c r="J297" s="17" t="str">
        <x:v>cause demonstrably precedes the disputed candidate behavior</x:v>
      </x:c>
      <x:c r="K297" s="17" t="str">
        <x:v>Time authority</x:v>
      </x:c>
      <x:c r="L297" s="9" t="n">
        <x:v>0</x:v>
      </x:c>
      <x:c r="M297" s="9" t="n">
        <x:v>0</x:v>
      </x:c>
      <x:c r="N297" s="9" t="str">
        <x:v>UNFILED / UNPROVEN</x:v>
      </x:c>
      <x:c r="O297" s="9" t="n">
        <x:f>COUNTIFS($A$7:$A$1302,A297)</x:f>
        <x:v>1</x:v>
      </x:c>
    </x:row>
    <x:row r="298">
      <x:c r="A298" s="9" t="str">
        <x:v>EV-AR-HU-A-B-TECH-1-B2-BRK-G0-IV04</x:v>
      </x:c>
      <x:c r="B298" s="9" t="str">
        <x:v>EV-AR-HU-A-B-TECH-1-B2-BRK-G0</x:v>
      </x:c>
      <x:c r="C298" s="9" t="str">
        <x:v>AR-HU-A-B-TECH-1-B2-BRK-G0</x:v>
      </x:c>
      <x:c r="D298" s="9" t="str">
        <x:v>HU-A-B-TECH-1</x:v>
      </x:c>
      <x:c r="E298" s="9" t="str">
        <x:v>HU-A-B</x:v>
      </x:c>
      <x:c r="F298" s="9" t="str">
        <x:v>B2</x:v>
      </x:c>
      <x:c r="G298" s="9" t="str">
        <x:v>BRK</x:v>
      </x:c>
      <x:c r="H298" s="9" t="str">
        <x:v>IV04</x:v>
      </x:c>
      <x:c r="I298" s="17" t="str">
        <x:v>Independent trace</x:v>
      </x:c>
      <x:c r="J298" s="17" t="str">
        <x:v>two unlike records carry the cause without candidate custody</x:v>
      </x:c>
      <x:c r="K298" s="17" t="str">
        <x:v>Invalidity court</x:v>
      </x:c>
      <x:c r="L298" s="9" t="n">
        <x:v>0</x:v>
      </x:c>
      <x:c r="M298" s="9" t="n">
        <x:v>0</x:v>
      </x:c>
      <x:c r="N298" s="9" t="str">
        <x:v>UNFILED / UNPROVEN</x:v>
      </x:c>
      <x:c r="O298" s="9" t="n">
        <x:f>COUNTIFS($A$7:$A$1302,A298)</x:f>
        <x:v>1</x:v>
      </x:c>
    </x:row>
    <x:row r="299">
      <x:c r="A299" s="9" t="str">
        <x:v>EV-AR-HU-A-B-TECH-1-B2-BRK-G0-IV05</x:v>
      </x:c>
      <x:c r="B299" s="9" t="str">
        <x:v>EV-AR-HU-A-B-TECH-1-B2-BRK-G0</x:v>
      </x:c>
      <x:c r="C299" s="9" t="str">
        <x:v>AR-HU-A-B-TECH-1-B2-BRK-G0</x:v>
      </x:c>
      <x:c r="D299" s="9" t="str">
        <x:v>HU-A-B-TECH-1</x:v>
      </x:c>
      <x:c r="E299" s="9" t="str">
        <x:v>HU-A-B</x:v>
      </x:c>
      <x:c r="F299" s="9" t="str">
        <x:v>B2</x:v>
      </x:c>
      <x:c r="G299" s="9" t="str">
        <x:v>BRK</x:v>
      </x:c>
      <x:c r="H299" s="9" t="str">
        <x:v>IV05</x:v>
      </x:c>
      <x:c r="I299" s="17" t="str">
        <x:v>Causal counterfactual</x:v>
      </x:c>
      <x:c r="J299" s="17" t="str">
        <x:v>registered counterfactual shows the cause can create the defect</x:v>
      </x:c>
      <x:c r="K299" s="17" t="str">
        <x:v>Causal court</x:v>
      </x:c>
      <x:c r="L299" s="9" t="n">
        <x:v>0</x:v>
      </x:c>
      <x:c r="M299" s="9" t="n">
        <x:v>0</x:v>
      </x:c>
      <x:c r="N299" s="9" t="str">
        <x:v>UNFILED / UNPROVEN</x:v>
      </x:c>
      <x:c r="O299" s="9" t="n">
        <x:f>COUNTIFS($A$7:$A$1302,A299)</x:f>
        <x:v>1</x:v>
      </x:c>
    </x:row>
    <x:row r="300">
      <x:c r="A300" s="9" t="str">
        <x:v>EV-AR-HU-A-B-TECH-1-B2-BRK-G0-IV06</x:v>
      </x:c>
      <x:c r="B300" s="9" t="str">
        <x:v>EV-AR-HU-A-B-TECH-1-B2-BRK-G0</x:v>
      </x:c>
      <x:c r="C300" s="9" t="str">
        <x:v>AR-HU-A-B-TECH-1-B2-BRK-G0</x:v>
      </x:c>
      <x:c r="D300" s="9" t="str">
        <x:v>HU-A-B-TECH-1</x:v>
      </x:c>
      <x:c r="E300" s="9" t="str">
        <x:v>HU-A-B</x:v>
      </x:c>
      <x:c r="F300" s="9" t="str">
        <x:v>B2</x:v>
      </x:c>
      <x:c r="G300" s="9" t="str">
        <x:v>BRK</x:v>
      </x:c>
      <x:c r="H300" s="9" t="str">
        <x:v>IV06</x:v>
      </x:c>
      <x:c r="I300" s="17" t="str">
        <x:v>Candidate non-causation</x:v>
      </x:c>
      <x:c r="J300" s="17" t="str">
        <x:v>evidence excludes candidate induction of the facility condition</x:v>
      </x:c>
      <x:c r="K300" s="17" t="str">
        <x:v>Causal court</x:v>
      </x:c>
      <x:c r="L300" s="9" t="n">
        <x:v>0</x:v>
      </x:c>
      <x:c r="M300" s="9" t="n">
        <x:v>0</x:v>
      </x:c>
      <x:c r="N300" s="9" t="str">
        <x:v>UNFILED / UNPROVEN</x:v>
      </x:c>
      <x:c r="O300" s="9" t="n">
        <x:f>COUNTIFS($A$7:$A$1302,A300)</x:f>
        <x:v>1</x:v>
      </x:c>
    </x:row>
    <x:row r="301">
      <x:c r="A301" s="9" t="str">
        <x:v>EV-AR-HU-A-B-TECH-1-B2-BRK-G0-IV07</x:v>
      </x:c>
      <x:c r="B301" s="9" t="str">
        <x:v>EV-AR-HU-A-B-TECH-1-B2-BRK-G0</x:v>
      </x:c>
      <x:c r="C301" s="9" t="str">
        <x:v>AR-HU-A-B-TECH-1-B2-BRK-G0</x:v>
      </x:c>
      <x:c r="D301" s="9" t="str">
        <x:v>HU-A-B-TECH-1</x:v>
      </x:c>
      <x:c r="E301" s="9" t="str">
        <x:v>HU-A-B</x:v>
      </x:c>
      <x:c r="F301" s="9" t="str">
        <x:v>B2</x:v>
      </x:c>
      <x:c r="G301" s="9" t="str">
        <x:v>BRK</x:v>
      </x:c>
      <x:c r="H301" s="9" t="str">
        <x:v>IV07</x:v>
      </x:c>
      <x:c r="I301" s="17" t="str">
        <x:v>No outcome selection</x:v>
      </x:c>
      <x:c r="J301" s="17" t="str">
        <x:v>petition rule and evidence scope were fixed before visibility</x:v>
      </x:c>
      <x:c r="K301" s="17" t="str">
        <x:v>Conflict registrar</x:v>
      </x:c>
      <x:c r="L301" s="9" t="n">
        <x:v>0</x:v>
      </x:c>
      <x:c r="M301" s="9" t="n">
        <x:v>0</x:v>
      </x:c>
      <x:c r="N301" s="9" t="str">
        <x:v>UNFILED / UNPROVEN</x:v>
      </x:c>
      <x:c r="O301" s="9" t="n">
        <x:f>COUNTIFS($A$7:$A$1302,A301)</x:f>
        <x:v>1</x:v>
      </x:c>
    </x:row>
    <x:row r="302">
      <x:c r="A302" s="9" t="str">
        <x:v>EV-AR-HU-A-B-TECH-1-B2-BRK-G0-IV08</x:v>
      </x:c>
      <x:c r="B302" s="9" t="str">
        <x:v>EV-AR-HU-A-B-TECH-1-B2-BRK-G0</x:v>
      </x:c>
      <x:c r="C302" s="9" t="str">
        <x:v>AR-HU-A-B-TECH-1-B2-BRK-G0</x:v>
      </x:c>
      <x:c r="D302" s="9" t="str">
        <x:v>HU-A-B-TECH-1</x:v>
      </x:c>
      <x:c r="E302" s="9" t="str">
        <x:v>HU-A-B</x:v>
      </x:c>
      <x:c r="F302" s="9" t="str">
        <x:v>B2</x:v>
      </x:c>
      <x:c r="G302" s="9" t="str">
        <x:v>BRK</x:v>
      </x:c>
      <x:c r="H302" s="9" t="str">
        <x:v>IV08</x:v>
      </x:c>
      <x:c r="I302" s="17" t="str">
        <x:v>Whole-record preservation</x:v>
      </x:c>
      <x:c r="J302" s="17" t="str">
        <x:v>start, raw behavior, dissent and intervention remain in archive</x:v>
      </x:c>
      <x:c r="K302" s="17" t="str">
        <x:v>Archive authority</x:v>
      </x:c>
      <x:c r="L302" s="9" t="n">
        <x:v>0</x:v>
      </x:c>
      <x:c r="M302" s="9" t="n">
        <x:v>0</x:v>
      </x:c>
      <x:c r="N302" s="9" t="str">
        <x:v>UNFILED / UNPROVEN</x:v>
      </x:c>
      <x:c r="O302" s="9" t="n">
        <x:f>COUNTIFS($A$7:$A$1302,A302)</x:f>
        <x:v>1</x:v>
      </x:c>
    </x:row>
    <x:row r="303">
      <x:c r="A303" s="9" t="str">
        <x:v>EV-AR-HU-A-B-TECH-1-B2-BRK-G0-IV09</x:v>
      </x:c>
      <x:c r="B303" s="9" t="str">
        <x:v>EV-AR-HU-A-B-TECH-1-B2-BRK-G0</x:v>
      </x:c>
      <x:c r="C303" s="9" t="str">
        <x:v>AR-HU-A-B-TECH-1-B2-BRK-G0</x:v>
      </x:c>
      <x:c r="D303" s="9" t="str">
        <x:v>HU-A-B-TECH-1</x:v>
      </x:c>
      <x:c r="E303" s="9" t="str">
        <x:v>HU-A-B</x:v>
      </x:c>
      <x:c r="F303" s="9" t="str">
        <x:v>B2</x:v>
      </x:c>
      <x:c r="G303" s="9" t="str">
        <x:v>BRK</x:v>
      </x:c>
      <x:c r="H303" s="9" t="str">
        <x:v>IV09</x:v>
      </x:c>
      <x:c r="I303" s="17" t="str">
        <x:v>Bounded remedy</x:v>
      </x:c>
      <x:c r="J303" s="17" t="str">
        <x:v>only a new slot and EOW may follow; no favorable credit or erased attempt</x:v>
      </x:c>
      <x:c r="K303" s="17" t="str">
        <x:v>Invalidity court</x:v>
      </x:c>
      <x:c r="L303" s="9" t="n">
        <x:v>0</x:v>
      </x:c>
      <x:c r="M303" s="9" t="n">
        <x:v>0</x:v>
      </x:c>
      <x:c r="N303" s="9" t="str">
        <x:v>UNFILED / UNPROVEN</x:v>
      </x:c>
      <x:c r="O303" s="9" t="n">
        <x:f>COUNTIFS($A$7:$A$1302,A303)</x:f>
        <x:v>1</x:v>
      </x:c>
    </x:row>
    <x:row r="304">
      <x:c r="A304" s="9" t="str">
        <x:v>EV-AR-LF-B-A-TECH-3-B1-BRK-G0-IV01</x:v>
      </x:c>
      <x:c r="B304" s="9" t="str">
        <x:v>EV-AR-LF-B-A-TECH-3-B1-BRK-G0</x:v>
      </x:c>
      <x:c r="C304" s="9" t="str">
        <x:v>AR-LF-B-A-TECH-3-B1-BRK-G0</x:v>
      </x:c>
      <x:c r="D304" s="9" t="str">
        <x:v>LF-B-A-TECH-3</x:v>
      </x:c>
      <x:c r="E304" s="9" t="str">
        <x:v>LF-B-A</x:v>
      </x:c>
      <x:c r="F304" s="9" t="str">
        <x:v>B1</x:v>
      </x:c>
      <x:c r="G304" s="9" t="str">
        <x:v>BRK</x:v>
      </x:c>
      <x:c r="H304" s="9" t="str">
        <x:v>IV01</x:v>
      </x:c>
      <x:c r="I304" s="17" t="str">
        <x:v>Timely petition</x:v>
      </x:c>
      <x:c r="J304" s="17" t="str">
        <x:v>petition enters within seventy-two hours of event close</x:v>
      </x:c>
      <x:c r="K304" s="17" t="str">
        <x:v>Invalidity registrar</x:v>
      </x:c>
      <x:c r="L304" s="9" t="n">
        <x:v>0</x:v>
      </x:c>
      <x:c r="M304" s="9" t="n">
        <x:v>0</x:v>
      </x:c>
      <x:c r="N304" s="9" t="str">
        <x:v>UNFILED / UNPROVEN</x:v>
      </x:c>
      <x:c r="O304" s="9" t="n">
        <x:f>COUNTIFS($A$7:$A$1302,A304)</x:f>
        <x:v>1</x:v>
      </x:c>
    </x:row>
    <x:row r="305">
      <x:c r="A305" s="9" t="str">
        <x:v>EV-AR-LF-B-A-TECH-3-B1-BRK-G0-IV02</x:v>
      </x:c>
      <x:c r="B305" s="9" t="str">
        <x:v>EV-AR-LF-B-A-TECH-3-B1-BRK-G0</x:v>
      </x:c>
      <x:c r="C305" s="9" t="str">
        <x:v>AR-LF-B-A-TECH-3-B1-BRK-G0</x:v>
      </x:c>
      <x:c r="D305" s="9" t="str">
        <x:v>LF-B-A-TECH-3</x:v>
      </x:c>
      <x:c r="E305" s="9" t="str">
        <x:v>LF-B-A</x:v>
      </x:c>
      <x:c r="F305" s="9" t="str">
        <x:v>B1</x:v>
      </x:c>
      <x:c r="G305" s="9" t="str">
        <x:v>BRK</x:v>
      </x:c>
      <x:c r="H305" s="9" t="str">
        <x:v>IV02</x:v>
      </x:c>
      <x:c r="I305" s="17" t="str">
        <x:v>Named facility cause</x:v>
      </x:c>
      <x:c r="J305" s="17" t="str">
        <x:v>one pre-registered noncandidate cause is identified</x:v>
      </x:c>
      <x:c r="K305" s="17" t="str">
        <x:v>Facility-cause court</x:v>
      </x:c>
      <x:c r="L305" s="9" t="n">
        <x:v>0</x:v>
      </x:c>
      <x:c r="M305" s="9" t="n">
        <x:v>0</x:v>
      </x:c>
      <x:c r="N305" s="9" t="str">
        <x:v>UNFILED / UNPROVEN</x:v>
      </x:c>
      <x:c r="O305" s="9" t="n">
        <x:f>COUNTIFS($A$7:$A$1302,A305)</x:f>
        <x:v>1</x:v>
      </x:c>
    </x:row>
    <x:row r="306">
      <x:c r="A306" s="9" t="str">
        <x:v>EV-AR-LF-B-A-TECH-3-B1-BRK-G0-IV03</x:v>
      </x:c>
      <x:c r="B306" s="9" t="str">
        <x:v>EV-AR-LF-B-A-TECH-3-B1-BRK-G0</x:v>
      </x:c>
      <x:c r="C306" s="9" t="str">
        <x:v>AR-LF-B-A-TECH-3-B1-BRK-G0</x:v>
      </x:c>
      <x:c r="D306" s="9" t="str">
        <x:v>LF-B-A-TECH-3</x:v>
      </x:c>
      <x:c r="E306" s="9" t="str">
        <x:v>LF-B-A</x:v>
      </x:c>
      <x:c r="F306" s="9" t="str">
        <x:v>B1</x:v>
      </x:c>
      <x:c r="G306" s="9" t="str">
        <x:v>BRK</x:v>
      </x:c>
      <x:c r="H306" s="9" t="str">
        <x:v>IV03</x:v>
      </x:c>
      <x:c r="I306" s="17" t="str">
        <x:v>Temporal priority</x:v>
      </x:c>
      <x:c r="J306" s="17" t="str">
        <x:v>cause demonstrably precedes the disputed candidate behavior</x:v>
      </x:c>
      <x:c r="K306" s="17" t="str">
        <x:v>Time authority</x:v>
      </x:c>
      <x:c r="L306" s="9" t="n">
        <x:v>0</x:v>
      </x:c>
      <x:c r="M306" s="9" t="n">
        <x:v>0</x:v>
      </x:c>
      <x:c r="N306" s="9" t="str">
        <x:v>UNFILED / UNPROVEN</x:v>
      </x:c>
      <x:c r="O306" s="9" t="n">
        <x:f>COUNTIFS($A$7:$A$1302,A306)</x:f>
        <x:v>1</x:v>
      </x:c>
    </x:row>
    <x:row r="307">
      <x:c r="A307" s="9" t="str">
        <x:v>EV-AR-LF-B-A-TECH-3-B1-BRK-G0-IV04</x:v>
      </x:c>
      <x:c r="B307" s="9" t="str">
        <x:v>EV-AR-LF-B-A-TECH-3-B1-BRK-G0</x:v>
      </x:c>
      <x:c r="C307" s="9" t="str">
        <x:v>AR-LF-B-A-TECH-3-B1-BRK-G0</x:v>
      </x:c>
      <x:c r="D307" s="9" t="str">
        <x:v>LF-B-A-TECH-3</x:v>
      </x:c>
      <x:c r="E307" s="9" t="str">
        <x:v>LF-B-A</x:v>
      </x:c>
      <x:c r="F307" s="9" t="str">
        <x:v>B1</x:v>
      </x:c>
      <x:c r="G307" s="9" t="str">
        <x:v>BRK</x:v>
      </x:c>
      <x:c r="H307" s="9" t="str">
        <x:v>IV04</x:v>
      </x:c>
      <x:c r="I307" s="17" t="str">
        <x:v>Independent trace</x:v>
      </x:c>
      <x:c r="J307" s="17" t="str">
        <x:v>two unlike records carry the cause without candidate custody</x:v>
      </x:c>
      <x:c r="K307" s="17" t="str">
        <x:v>Invalidity court</x:v>
      </x:c>
      <x:c r="L307" s="9" t="n">
        <x:v>0</x:v>
      </x:c>
      <x:c r="M307" s="9" t="n">
        <x:v>0</x:v>
      </x:c>
      <x:c r="N307" s="9" t="str">
        <x:v>UNFILED / UNPROVEN</x:v>
      </x:c>
      <x:c r="O307" s="9" t="n">
        <x:f>COUNTIFS($A$7:$A$1302,A307)</x:f>
        <x:v>1</x:v>
      </x:c>
    </x:row>
    <x:row r="308">
      <x:c r="A308" s="9" t="str">
        <x:v>EV-AR-LF-B-A-TECH-3-B1-BRK-G0-IV05</x:v>
      </x:c>
      <x:c r="B308" s="9" t="str">
        <x:v>EV-AR-LF-B-A-TECH-3-B1-BRK-G0</x:v>
      </x:c>
      <x:c r="C308" s="9" t="str">
        <x:v>AR-LF-B-A-TECH-3-B1-BRK-G0</x:v>
      </x:c>
      <x:c r="D308" s="9" t="str">
        <x:v>LF-B-A-TECH-3</x:v>
      </x:c>
      <x:c r="E308" s="9" t="str">
        <x:v>LF-B-A</x:v>
      </x:c>
      <x:c r="F308" s="9" t="str">
        <x:v>B1</x:v>
      </x:c>
      <x:c r="G308" s="9" t="str">
        <x:v>BRK</x:v>
      </x:c>
      <x:c r="H308" s="9" t="str">
        <x:v>IV05</x:v>
      </x:c>
      <x:c r="I308" s="17" t="str">
        <x:v>Causal counterfactual</x:v>
      </x:c>
      <x:c r="J308" s="17" t="str">
        <x:v>registered counterfactual shows the cause can create the defect</x:v>
      </x:c>
      <x:c r="K308" s="17" t="str">
        <x:v>Causal court</x:v>
      </x:c>
      <x:c r="L308" s="9" t="n">
        <x:v>0</x:v>
      </x:c>
      <x:c r="M308" s="9" t="n">
        <x:v>0</x:v>
      </x:c>
      <x:c r="N308" s="9" t="str">
        <x:v>UNFILED / UNPROVEN</x:v>
      </x:c>
      <x:c r="O308" s="9" t="n">
        <x:f>COUNTIFS($A$7:$A$1302,A308)</x:f>
        <x:v>1</x:v>
      </x:c>
    </x:row>
    <x:row r="309">
      <x:c r="A309" s="9" t="str">
        <x:v>EV-AR-LF-B-A-TECH-3-B1-BRK-G0-IV06</x:v>
      </x:c>
      <x:c r="B309" s="9" t="str">
        <x:v>EV-AR-LF-B-A-TECH-3-B1-BRK-G0</x:v>
      </x:c>
      <x:c r="C309" s="9" t="str">
        <x:v>AR-LF-B-A-TECH-3-B1-BRK-G0</x:v>
      </x:c>
      <x:c r="D309" s="9" t="str">
        <x:v>LF-B-A-TECH-3</x:v>
      </x:c>
      <x:c r="E309" s="9" t="str">
        <x:v>LF-B-A</x:v>
      </x:c>
      <x:c r="F309" s="9" t="str">
        <x:v>B1</x:v>
      </x:c>
      <x:c r="G309" s="9" t="str">
        <x:v>BRK</x:v>
      </x:c>
      <x:c r="H309" s="9" t="str">
        <x:v>IV06</x:v>
      </x:c>
      <x:c r="I309" s="17" t="str">
        <x:v>Candidate non-causation</x:v>
      </x:c>
      <x:c r="J309" s="17" t="str">
        <x:v>evidence excludes candidate induction of the facility condition</x:v>
      </x:c>
      <x:c r="K309" s="17" t="str">
        <x:v>Causal court</x:v>
      </x:c>
      <x:c r="L309" s="9" t="n">
        <x:v>0</x:v>
      </x:c>
      <x:c r="M309" s="9" t="n">
        <x:v>0</x:v>
      </x:c>
      <x:c r="N309" s="9" t="str">
        <x:v>UNFILED / UNPROVEN</x:v>
      </x:c>
      <x:c r="O309" s="9" t="n">
        <x:f>COUNTIFS($A$7:$A$1302,A309)</x:f>
        <x:v>1</x:v>
      </x:c>
    </x:row>
    <x:row r="310">
      <x:c r="A310" s="9" t="str">
        <x:v>EV-AR-LF-B-A-TECH-3-B1-BRK-G0-IV07</x:v>
      </x:c>
      <x:c r="B310" s="9" t="str">
        <x:v>EV-AR-LF-B-A-TECH-3-B1-BRK-G0</x:v>
      </x:c>
      <x:c r="C310" s="9" t="str">
        <x:v>AR-LF-B-A-TECH-3-B1-BRK-G0</x:v>
      </x:c>
      <x:c r="D310" s="9" t="str">
        <x:v>LF-B-A-TECH-3</x:v>
      </x:c>
      <x:c r="E310" s="9" t="str">
        <x:v>LF-B-A</x:v>
      </x:c>
      <x:c r="F310" s="9" t="str">
        <x:v>B1</x:v>
      </x:c>
      <x:c r="G310" s="9" t="str">
        <x:v>BRK</x:v>
      </x:c>
      <x:c r="H310" s="9" t="str">
        <x:v>IV07</x:v>
      </x:c>
      <x:c r="I310" s="17" t="str">
        <x:v>No outcome selection</x:v>
      </x:c>
      <x:c r="J310" s="17" t="str">
        <x:v>petition rule and evidence scope were fixed before visibility</x:v>
      </x:c>
      <x:c r="K310" s="17" t="str">
        <x:v>Conflict registrar</x:v>
      </x:c>
      <x:c r="L310" s="9" t="n">
        <x:v>0</x:v>
      </x:c>
      <x:c r="M310" s="9" t="n">
        <x:v>0</x:v>
      </x:c>
      <x:c r="N310" s="9" t="str">
        <x:v>UNFILED / UNPROVEN</x:v>
      </x:c>
      <x:c r="O310" s="9" t="n">
        <x:f>COUNTIFS($A$7:$A$1302,A310)</x:f>
        <x:v>1</x:v>
      </x:c>
    </x:row>
    <x:row r="311">
      <x:c r="A311" s="9" t="str">
        <x:v>EV-AR-LF-B-A-TECH-3-B1-BRK-G0-IV08</x:v>
      </x:c>
      <x:c r="B311" s="9" t="str">
        <x:v>EV-AR-LF-B-A-TECH-3-B1-BRK-G0</x:v>
      </x:c>
      <x:c r="C311" s="9" t="str">
        <x:v>AR-LF-B-A-TECH-3-B1-BRK-G0</x:v>
      </x:c>
      <x:c r="D311" s="9" t="str">
        <x:v>LF-B-A-TECH-3</x:v>
      </x:c>
      <x:c r="E311" s="9" t="str">
        <x:v>LF-B-A</x:v>
      </x:c>
      <x:c r="F311" s="9" t="str">
        <x:v>B1</x:v>
      </x:c>
      <x:c r="G311" s="9" t="str">
        <x:v>BRK</x:v>
      </x:c>
      <x:c r="H311" s="9" t="str">
        <x:v>IV08</x:v>
      </x:c>
      <x:c r="I311" s="17" t="str">
        <x:v>Whole-record preservation</x:v>
      </x:c>
      <x:c r="J311" s="17" t="str">
        <x:v>start, raw behavior, dissent and intervention remain in archive</x:v>
      </x:c>
      <x:c r="K311" s="17" t="str">
        <x:v>Archive authority</x:v>
      </x:c>
      <x:c r="L311" s="9" t="n">
        <x:v>0</x:v>
      </x:c>
      <x:c r="M311" s="9" t="n">
        <x:v>0</x:v>
      </x:c>
      <x:c r="N311" s="9" t="str">
        <x:v>UNFILED / UNPROVEN</x:v>
      </x:c>
      <x:c r="O311" s="9" t="n">
        <x:f>COUNTIFS($A$7:$A$1302,A311)</x:f>
        <x:v>1</x:v>
      </x:c>
    </x:row>
    <x:row r="312">
      <x:c r="A312" s="9" t="str">
        <x:v>EV-AR-LF-B-A-TECH-3-B1-BRK-G0-IV09</x:v>
      </x:c>
      <x:c r="B312" s="9" t="str">
        <x:v>EV-AR-LF-B-A-TECH-3-B1-BRK-G0</x:v>
      </x:c>
      <x:c r="C312" s="9" t="str">
        <x:v>AR-LF-B-A-TECH-3-B1-BRK-G0</x:v>
      </x:c>
      <x:c r="D312" s="9" t="str">
        <x:v>LF-B-A-TECH-3</x:v>
      </x:c>
      <x:c r="E312" s="9" t="str">
        <x:v>LF-B-A</x:v>
      </x:c>
      <x:c r="F312" s="9" t="str">
        <x:v>B1</x:v>
      </x:c>
      <x:c r="G312" s="9" t="str">
        <x:v>BRK</x:v>
      </x:c>
      <x:c r="H312" s="9" t="str">
        <x:v>IV09</x:v>
      </x:c>
      <x:c r="I312" s="17" t="str">
        <x:v>Bounded remedy</x:v>
      </x:c>
      <x:c r="J312" s="17" t="str">
        <x:v>only a new slot and EOW may follow; no favorable credit or erased attempt</x:v>
      </x:c>
      <x:c r="K312" s="17" t="str">
        <x:v>Invalidity court</x:v>
      </x:c>
      <x:c r="L312" s="9" t="n">
        <x:v>0</x:v>
      </x:c>
      <x:c r="M312" s="9" t="n">
        <x:v>0</x:v>
      </x:c>
      <x:c r="N312" s="9" t="str">
        <x:v>UNFILED / UNPROVEN</x:v>
      </x:c>
      <x:c r="O312" s="9" t="n">
        <x:f>COUNTIFS($A$7:$A$1302,A312)</x:f>
        <x:v>1</x:v>
      </x:c>
    </x:row>
    <x:row r="313">
      <x:c r="A313" s="9" t="str">
        <x:v>EV-AR-LF-B-A-TECH-2-B2-BRK-G0-IV01</x:v>
      </x:c>
      <x:c r="B313" s="9" t="str">
        <x:v>EV-AR-LF-B-A-TECH-2-B2-BRK-G0</x:v>
      </x:c>
      <x:c r="C313" s="9" t="str">
        <x:v>AR-LF-B-A-TECH-2-B2-BRK-G0</x:v>
      </x:c>
      <x:c r="D313" s="9" t="str">
        <x:v>LF-B-A-TECH-2</x:v>
      </x:c>
      <x:c r="E313" s="9" t="str">
        <x:v>LF-B-A</x:v>
      </x:c>
      <x:c r="F313" s="9" t="str">
        <x:v>B2</x:v>
      </x:c>
      <x:c r="G313" s="9" t="str">
        <x:v>BRK</x:v>
      </x:c>
      <x:c r="H313" s="9" t="str">
        <x:v>IV01</x:v>
      </x:c>
      <x:c r="I313" s="17" t="str">
        <x:v>Timely petition</x:v>
      </x:c>
      <x:c r="J313" s="17" t="str">
        <x:v>petition enters within seventy-two hours of event close</x:v>
      </x:c>
      <x:c r="K313" s="17" t="str">
        <x:v>Invalidity registrar</x:v>
      </x:c>
      <x:c r="L313" s="9" t="n">
        <x:v>0</x:v>
      </x:c>
      <x:c r="M313" s="9" t="n">
        <x:v>0</x:v>
      </x:c>
      <x:c r="N313" s="9" t="str">
        <x:v>UNFILED / UNPROVEN</x:v>
      </x:c>
      <x:c r="O313" s="9" t="n">
        <x:f>COUNTIFS($A$7:$A$1302,A313)</x:f>
        <x:v>1</x:v>
      </x:c>
    </x:row>
    <x:row r="314">
      <x:c r="A314" s="9" t="str">
        <x:v>EV-AR-LF-B-A-TECH-2-B2-BRK-G0-IV02</x:v>
      </x:c>
      <x:c r="B314" s="9" t="str">
        <x:v>EV-AR-LF-B-A-TECH-2-B2-BRK-G0</x:v>
      </x:c>
      <x:c r="C314" s="9" t="str">
        <x:v>AR-LF-B-A-TECH-2-B2-BRK-G0</x:v>
      </x:c>
      <x:c r="D314" s="9" t="str">
        <x:v>LF-B-A-TECH-2</x:v>
      </x:c>
      <x:c r="E314" s="9" t="str">
        <x:v>LF-B-A</x:v>
      </x:c>
      <x:c r="F314" s="9" t="str">
        <x:v>B2</x:v>
      </x:c>
      <x:c r="G314" s="9" t="str">
        <x:v>BRK</x:v>
      </x:c>
      <x:c r="H314" s="9" t="str">
        <x:v>IV02</x:v>
      </x:c>
      <x:c r="I314" s="17" t="str">
        <x:v>Named facility cause</x:v>
      </x:c>
      <x:c r="J314" s="17" t="str">
        <x:v>one pre-registered noncandidate cause is identified</x:v>
      </x:c>
      <x:c r="K314" s="17" t="str">
        <x:v>Facility-cause court</x:v>
      </x:c>
      <x:c r="L314" s="9" t="n">
        <x:v>0</x:v>
      </x:c>
      <x:c r="M314" s="9" t="n">
        <x:v>0</x:v>
      </x:c>
      <x:c r="N314" s="9" t="str">
        <x:v>UNFILED / UNPROVEN</x:v>
      </x:c>
      <x:c r="O314" s="9" t="n">
        <x:f>COUNTIFS($A$7:$A$1302,A314)</x:f>
        <x:v>1</x:v>
      </x:c>
    </x:row>
    <x:row r="315">
      <x:c r="A315" s="9" t="str">
        <x:v>EV-AR-LF-B-A-TECH-2-B2-BRK-G0-IV03</x:v>
      </x:c>
      <x:c r="B315" s="9" t="str">
        <x:v>EV-AR-LF-B-A-TECH-2-B2-BRK-G0</x:v>
      </x:c>
      <x:c r="C315" s="9" t="str">
        <x:v>AR-LF-B-A-TECH-2-B2-BRK-G0</x:v>
      </x:c>
      <x:c r="D315" s="9" t="str">
        <x:v>LF-B-A-TECH-2</x:v>
      </x:c>
      <x:c r="E315" s="9" t="str">
        <x:v>LF-B-A</x:v>
      </x:c>
      <x:c r="F315" s="9" t="str">
        <x:v>B2</x:v>
      </x:c>
      <x:c r="G315" s="9" t="str">
        <x:v>BRK</x:v>
      </x:c>
      <x:c r="H315" s="9" t="str">
        <x:v>IV03</x:v>
      </x:c>
      <x:c r="I315" s="17" t="str">
        <x:v>Temporal priority</x:v>
      </x:c>
      <x:c r="J315" s="17" t="str">
        <x:v>cause demonstrably precedes the disputed candidate behavior</x:v>
      </x:c>
      <x:c r="K315" s="17" t="str">
        <x:v>Time authority</x:v>
      </x:c>
      <x:c r="L315" s="9" t="n">
        <x:v>0</x:v>
      </x:c>
      <x:c r="M315" s="9" t="n">
        <x:v>0</x:v>
      </x:c>
      <x:c r="N315" s="9" t="str">
        <x:v>UNFILED / UNPROVEN</x:v>
      </x:c>
      <x:c r="O315" s="9" t="n">
        <x:f>COUNTIFS($A$7:$A$1302,A315)</x:f>
        <x:v>1</x:v>
      </x:c>
    </x:row>
    <x:row r="316">
      <x:c r="A316" s="9" t="str">
        <x:v>EV-AR-LF-B-A-TECH-2-B2-BRK-G0-IV04</x:v>
      </x:c>
      <x:c r="B316" s="9" t="str">
        <x:v>EV-AR-LF-B-A-TECH-2-B2-BRK-G0</x:v>
      </x:c>
      <x:c r="C316" s="9" t="str">
        <x:v>AR-LF-B-A-TECH-2-B2-BRK-G0</x:v>
      </x:c>
      <x:c r="D316" s="9" t="str">
        <x:v>LF-B-A-TECH-2</x:v>
      </x:c>
      <x:c r="E316" s="9" t="str">
        <x:v>LF-B-A</x:v>
      </x:c>
      <x:c r="F316" s="9" t="str">
        <x:v>B2</x:v>
      </x:c>
      <x:c r="G316" s="9" t="str">
        <x:v>BRK</x:v>
      </x:c>
      <x:c r="H316" s="9" t="str">
        <x:v>IV04</x:v>
      </x:c>
      <x:c r="I316" s="17" t="str">
        <x:v>Independent trace</x:v>
      </x:c>
      <x:c r="J316" s="17" t="str">
        <x:v>two unlike records carry the cause without candidate custody</x:v>
      </x:c>
      <x:c r="K316" s="17" t="str">
        <x:v>Invalidity court</x:v>
      </x:c>
      <x:c r="L316" s="9" t="n">
        <x:v>0</x:v>
      </x:c>
      <x:c r="M316" s="9" t="n">
        <x:v>0</x:v>
      </x:c>
      <x:c r="N316" s="9" t="str">
        <x:v>UNFILED / UNPROVEN</x:v>
      </x:c>
      <x:c r="O316" s="9" t="n">
        <x:f>COUNTIFS($A$7:$A$1302,A316)</x:f>
        <x:v>1</x:v>
      </x:c>
    </x:row>
    <x:row r="317">
      <x:c r="A317" s="9" t="str">
        <x:v>EV-AR-LF-B-A-TECH-2-B2-BRK-G0-IV05</x:v>
      </x:c>
      <x:c r="B317" s="9" t="str">
        <x:v>EV-AR-LF-B-A-TECH-2-B2-BRK-G0</x:v>
      </x:c>
      <x:c r="C317" s="9" t="str">
        <x:v>AR-LF-B-A-TECH-2-B2-BRK-G0</x:v>
      </x:c>
      <x:c r="D317" s="9" t="str">
        <x:v>LF-B-A-TECH-2</x:v>
      </x:c>
      <x:c r="E317" s="9" t="str">
        <x:v>LF-B-A</x:v>
      </x:c>
      <x:c r="F317" s="9" t="str">
        <x:v>B2</x:v>
      </x:c>
      <x:c r="G317" s="9" t="str">
        <x:v>BRK</x:v>
      </x:c>
      <x:c r="H317" s="9" t="str">
        <x:v>IV05</x:v>
      </x:c>
      <x:c r="I317" s="17" t="str">
        <x:v>Causal counterfactual</x:v>
      </x:c>
      <x:c r="J317" s="17" t="str">
        <x:v>registered counterfactual shows the cause can create the defect</x:v>
      </x:c>
      <x:c r="K317" s="17" t="str">
        <x:v>Causal court</x:v>
      </x:c>
      <x:c r="L317" s="9" t="n">
        <x:v>0</x:v>
      </x:c>
      <x:c r="M317" s="9" t="n">
        <x:v>0</x:v>
      </x:c>
      <x:c r="N317" s="9" t="str">
        <x:v>UNFILED / UNPROVEN</x:v>
      </x:c>
      <x:c r="O317" s="9" t="n">
        <x:f>COUNTIFS($A$7:$A$1302,A317)</x:f>
        <x:v>1</x:v>
      </x:c>
    </x:row>
    <x:row r="318">
      <x:c r="A318" s="9" t="str">
        <x:v>EV-AR-LF-B-A-TECH-2-B2-BRK-G0-IV06</x:v>
      </x:c>
      <x:c r="B318" s="9" t="str">
        <x:v>EV-AR-LF-B-A-TECH-2-B2-BRK-G0</x:v>
      </x:c>
      <x:c r="C318" s="9" t="str">
        <x:v>AR-LF-B-A-TECH-2-B2-BRK-G0</x:v>
      </x:c>
      <x:c r="D318" s="9" t="str">
        <x:v>LF-B-A-TECH-2</x:v>
      </x:c>
      <x:c r="E318" s="9" t="str">
        <x:v>LF-B-A</x:v>
      </x:c>
      <x:c r="F318" s="9" t="str">
        <x:v>B2</x:v>
      </x:c>
      <x:c r="G318" s="9" t="str">
        <x:v>BRK</x:v>
      </x:c>
      <x:c r="H318" s="9" t="str">
        <x:v>IV06</x:v>
      </x:c>
      <x:c r="I318" s="17" t="str">
        <x:v>Candidate non-causation</x:v>
      </x:c>
      <x:c r="J318" s="17" t="str">
        <x:v>evidence excludes candidate induction of the facility condition</x:v>
      </x:c>
      <x:c r="K318" s="17" t="str">
        <x:v>Causal court</x:v>
      </x:c>
      <x:c r="L318" s="9" t="n">
        <x:v>0</x:v>
      </x:c>
      <x:c r="M318" s="9" t="n">
        <x:v>0</x:v>
      </x:c>
      <x:c r="N318" s="9" t="str">
        <x:v>UNFILED / UNPROVEN</x:v>
      </x:c>
      <x:c r="O318" s="9" t="n">
        <x:f>COUNTIFS($A$7:$A$1302,A318)</x:f>
        <x:v>1</x:v>
      </x:c>
    </x:row>
    <x:row r="319">
      <x:c r="A319" s="9" t="str">
        <x:v>EV-AR-LF-B-A-TECH-2-B2-BRK-G0-IV07</x:v>
      </x:c>
      <x:c r="B319" s="9" t="str">
        <x:v>EV-AR-LF-B-A-TECH-2-B2-BRK-G0</x:v>
      </x:c>
      <x:c r="C319" s="9" t="str">
        <x:v>AR-LF-B-A-TECH-2-B2-BRK-G0</x:v>
      </x:c>
      <x:c r="D319" s="9" t="str">
        <x:v>LF-B-A-TECH-2</x:v>
      </x:c>
      <x:c r="E319" s="9" t="str">
        <x:v>LF-B-A</x:v>
      </x:c>
      <x:c r="F319" s="9" t="str">
        <x:v>B2</x:v>
      </x:c>
      <x:c r="G319" s="9" t="str">
        <x:v>BRK</x:v>
      </x:c>
      <x:c r="H319" s="9" t="str">
        <x:v>IV07</x:v>
      </x:c>
      <x:c r="I319" s="17" t="str">
        <x:v>No outcome selection</x:v>
      </x:c>
      <x:c r="J319" s="17" t="str">
        <x:v>petition rule and evidence scope were fixed before visibility</x:v>
      </x:c>
      <x:c r="K319" s="17" t="str">
        <x:v>Conflict registrar</x:v>
      </x:c>
      <x:c r="L319" s="9" t="n">
        <x:v>0</x:v>
      </x:c>
      <x:c r="M319" s="9" t="n">
        <x:v>0</x:v>
      </x:c>
      <x:c r="N319" s="9" t="str">
        <x:v>UNFILED / UNPROVEN</x:v>
      </x:c>
      <x:c r="O319" s="9" t="n">
        <x:f>COUNTIFS($A$7:$A$1302,A319)</x:f>
        <x:v>1</x:v>
      </x:c>
    </x:row>
    <x:row r="320">
      <x:c r="A320" s="9" t="str">
        <x:v>EV-AR-LF-B-A-TECH-2-B2-BRK-G0-IV08</x:v>
      </x:c>
      <x:c r="B320" s="9" t="str">
        <x:v>EV-AR-LF-B-A-TECH-2-B2-BRK-G0</x:v>
      </x:c>
      <x:c r="C320" s="9" t="str">
        <x:v>AR-LF-B-A-TECH-2-B2-BRK-G0</x:v>
      </x:c>
      <x:c r="D320" s="9" t="str">
        <x:v>LF-B-A-TECH-2</x:v>
      </x:c>
      <x:c r="E320" s="9" t="str">
        <x:v>LF-B-A</x:v>
      </x:c>
      <x:c r="F320" s="9" t="str">
        <x:v>B2</x:v>
      </x:c>
      <x:c r="G320" s="9" t="str">
        <x:v>BRK</x:v>
      </x:c>
      <x:c r="H320" s="9" t="str">
        <x:v>IV08</x:v>
      </x:c>
      <x:c r="I320" s="17" t="str">
        <x:v>Whole-record preservation</x:v>
      </x:c>
      <x:c r="J320" s="17" t="str">
        <x:v>start, raw behavior, dissent and intervention remain in archive</x:v>
      </x:c>
      <x:c r="K320" s="17" t="str">
        <x:v>Archive authority</x:v>
      </x:c>
      <x:c r="L320" s="9" t="n">
        <x:v>0</x:v>
      </x:c>
      <x:c r="M320" s="9" t="n">
        <x:v>0</x:v>
      </x:c>
      <x:c r="N320" s="9" t="str">
        <x:v>UNFILED / UNPROVEN</x:v>
      </x:c>
      <x:c r="O320" s="9" t="n">
        <x:f>COUNTIFS($A$7:$A$1302,A320)</x:f>
        <x:v>1</x:v>
      </x:c>
    </x:row>
    <x:row r="321">
      <x:c r="A321" s="9" t="str">
        <x:v>EV-AR-LF-B-A-TECH-2-B2-BRK-G0-IV09</x:v>
      </x:c>
      <x:c r="B321" s="9" t="str">
        <x:v>EV-AR-LF-B-A-TECH-2-B2-BRK-G0</x:v>
      </x:c>
      <x:c r="C321" s="9" t="str">
        <x:v>AR-LF-B-A-TECH-2-B2-BRK-G0</x:v>
      </x:c>
      <x:c r="D321" s="9" t="str">
        <x:v>LF-B-A-TECH-2</x:v>
      </x:c>
      <x:c r="E321" s="9" t="str">
        <x:v>LF-B-A</x:v>
      </x:c>
      <x:c r="F321" s="9" t="str">
        <x:v>B2</x:v>
      </x:c>
      <x:c r="G321" s="9" t="str">
        <x:v>BRK</x:v>
      </x:c>
      <x:c r="H321" s="9" t="str">
        <x:v>IV09</x:v>
      </x:c>
      <x:c r="I321" s="17" t="str">
        <x:v>Bounded remedy</x:v>
      </x:c>
      <x:c r="J321" s="17" t="str">
        <x:v>only a new slot and EOW may follow; no favorable credit or erased attempt</x:v>
      </x:c>
      <x:c r="K321" s="17" t="str">
        <x:v>Invalidity court</x:v>
      </x:c>
      <x:c r="L321" s="9" t="n">
        <x:v>0</x:v>
      </x:c>
      <x:c r="M321" s="9" t="n">
        <x:v>0</x:v>
      </x:c>
      <x:c r="N321" s="9" t="str">
        <x:v>UNFILED / UNPROVEN</x:v>
      </x:c>
      <x:c r="O321" s="9" t="n">
        <x:f>COUNTIFS($A$7:$A$1302,A321)</x:f>
        <x:v>1</x:v>
      </x:c>
    </x:row>
    <x:row r="322">
      <x:c r="A322" s="9" t="str">
        <x:v>EV-AR-RT-B-C-TECH-1-B1-BRK-G0-IV01</x:v>
      </x:c>
      <x:c r="B322" s="9" t="str">
        <x:v>EV-AR-RT-B-C-TECH-1-B1-BRK-G0</x:v>
      </x:c>
      <x:c r="C322" s="9" t="str">
        <x:v>AR-RT-B-C-TECH-1-B1-BRK-G0</x:v>
      </x:c>
      <x:c r="D322" s="9" t="str">
        <x:v>RT-B-C-TECH-1</x:v>
      </x:c>
      <x:c r="E322" s="9" t="str">
        <x:v>RT-B-C</x:v>
      </x:c>
      <x:c r="F322" s="9" t="str">
        <x:v>B1</x:v>
      </x:c>
      <x:c r="G322" s="9" t="str">
        <x:v>BRK</x:v>
      </x:c>
      <x:c r="H322" s="9" t="str">
        <x:v>IV01</x:v>
      </x:c>
      <x:c r="I322" s="17" t="str">
        <x:v>Timely petition</x:v>
      </x:c>
      <x:c r="J322" s="17" t="str">
        <x:v>petition enters within seventy-two hours of event close</x:v>
      </x:c>
      <x:c r="K322" s="17" t="str">
        <x:v>Invalidity registrar</x:v>
      </x:c>
      <x:c r="L322" s="9" t="n">
        <x:v>0</x:v>
      </x:c>
      <x:c r="M322" s="9" t="n">
        <x:v>0</x:v>
      </x:c>
      <x:c r="N322" s="9" t="str">
        <x:v>UNFILED / UNPROVEN</x:v>
      </x:c>
      <x:c r="O322" s="9" t="n">
        <x:f>COUNTIFS($A$7:$A$1302,A322)</x:f>
        <x:v>1</x:v>
      </x:c>
    </x:row>
    <x:row r="323">
      <x:c r="A323" s="9" t="str">
        <x:v>EV-AR-RT-B-C-TECH-1-B1-BRK-G0-IV02</x:v>
      </x:c>
      <x:c r="B323" s="9" t="str">
        <x:v>EV-AR-RT-B-C-TECH-1-B1-BRK-G0</x:v>
      </x:c>
      <x:c r="C323" s="9" t="str">
        <x:v>AR-RT-B-C-TECH-1-B1-BRK-G0</x:v>
      </x:c>
      <x:c r="D323" s="9" t="str">
        <x:v>RT-B-C-TECH-1</x:v>
      </x:c>
      <x:c r="E323" s="9" t="str">
        <x:v>RT-B-C</x:v>
      </x:c>
      <x:c r="F323" s="9" t="str">
        <x:v>B1</x:v>
      </x:c>
      <x:c r="G323" s="9" t="str">
        <x:v>BRK</x:v>
      </x:c>
      <x:c r="H323" s="9" t="str">
        <x:v>IV02</x:v>
      </x:c>
      <x:c r="I323" s="17" t="str">
        <x:v>Named facility cause</x:v>
      </x:c>
      <x:c r="J323" s="17" t="str">
        <x:v>one pre-registered noncandidate cause is identified</x:v>
      </x:c>
      <x:c r="K323" s="17" t="str">
        <x:v>Facility-cause court</x:v>
      </x:c>
      <x:c r="L323" s="9" t="n">
        <x:v>0</x:v>
      </x:c>
      <x:c r="M323" s="9" t="n">
        <x:v>0</x:v>
      </x:c>
      <x:c r="N323" s="9" t="str">
        <x:v>UNFILED / UNPROVEN</x:v>
      </x:c>
      <x:c r="O323" s="9" t="n">
        <x:f>COUNTIFS($A$7:$A$1302,A323)</x:f>
        <x:v>1</x:v>
      </x:c>
    </x:row>
    <x:row r="324">
      <x:c r="A324" s="9" t="str">
        <x:v>EV-AR-RT-B-C-TECH-1-B1-BRK-G0-IV03</x:v>
      </x:c>
      <x:c r="B324" s="9" t="str">
        <x:v>EV-AR-RT-B-C-TECH-1-B1-BRK-G0</x:v>
      </x:c>
      <x:c r="C324" s="9" t="str">
        <x:v>AR-RT-B-C-TECH-1-B1-BRK-G0</x:v>
      </x:c>
      <x:c r="D324" s="9" t="str">
        <x:v>RT-B-C-TECH-1</x:v>
      </x:c>
      <x:c r="E324" s="9" t="str">
        <x:v>RT-B-C</x:v>
      </x:c>
      <x:c r="F324" s="9" t="str">
        <x:v>B1</x:v>
      </x:c>
      <x:c r="G324" s="9" t="str">
        <x:v>BRK</x:v>
      </x:c>
      <x:c r="H324" s="9" t="str">
        <x:v>IV03</x:v>
      </x:c>
      <x:c r="I324" s="17" t="str">
        <x:v>Temporal priority</x:v>
      </x:c>
      <x:c r="J324" s="17" t="str">
        <x:v>cause demonstrably precedes the disputed candidate behavior</x:v>
      </x:c>
      <x:c r="K324" s="17" t="str">
        <x:v>Time authority</x:v>
      </x:c>
      <x:c r="L324" s="9" t="n">
        <x:v>0</x:v>
      </x:c>
      <x:c r="M324" s="9" t="n">
        <x:v>0</x:v>
      </x:c>
      <x:c r="N324" s="9" t="str">
        <x:v>UNFILED / UNPROVEN</x:v>
      </x:c>
      <x:c r="O324" s="9" t="n">
        <x:f>COUNTIFS($A$7:$A$1302,A324)</x:f>
        <x:v>1</x:v>
      </x:c>
    </x:row>
    <x:row r="325">
      <x:c r="A325" s="9" t="str">
        <x:v>EV-AR-RT-B-C-TECH-1-B1-BRK-G0-IV04</x:v>
      </x:c>
      <x:c r="B325" s="9" t="str">
        <x:v>EV-AR-RT-B-C-TECH-1-B1-BRK-G0</x:v>
      </x:c>
      <x:c r="C325" s="9" t="str">
        <x:v>AR-RT-B-C-TECH-1-B1-BRK-G0</x:v>
      </x:c>
      <x:c r="D325" s="9" t="str">
        <x:v>RT-B-C-TECH-1</x:v>
      </x:c>
      <x:c r="E325" s="9" t="str">
        <x:v>RT-B-C</x:v>
      </x:c>
      <x:c r="F325" s="9" t="str">
        <x:v>B1</x:v>
      </x:c>
      <x:c r="G325" s="9" t="str">
        <x:v>BRK</x:v>
      </x:c>
      <x:c r="H325" s="9" t="str">
        <x:v>IV04</x:v>
      </x:c>
      <x:c r="I325" s="17" t="str">
        <x:v>Independent trace</x:v>
      </x:c>
      <x:c r="J325" s="17" t="str">
        <x:v>two unlike records carry the cause without candidate custody</x:v>
      </x:c>
      <x:c r="K325" s="17" t="str">
        <x:v>Invalidity court</x:v>
      </x:c>
      <x:c r="L325" s="9" t="n">
        <x:v>0</x:v>
      </x:c>
      <x:c r="M325" s="9" t="n">
        <x:v>0</x:v>
      </x:c>
      <x:c r="N325" s="9" t="str">
        <x:v>UNFILED / UNPROVEN</x:v>
      </x:c>
      <x:c r="O325" s="9" t="n">
        <x:f>COUNTIFS($A$7:$A$1302,A325)</x:f>
        <x:v>1</x:v>
      </x:c>
    </x:row>
    <x:row r="326">
      <x:c r="A326" s="9" t="str">
        <x:v>EV-AR-RT-B-C-TECH-1-B1-BRK-G0-IV05</x:v>
      </x:c>
      <x:c r="B326" s="9" t="str">
        <x:v>EV-AR-RT-B-C-TECH-1-B1-BRK-G0</x:v>
      </x:c>
      <x:c r="C326" s="9" t="str">
        <x:v>AR-RT-B-C-TECH-1-B1-BRK-G0</x:v>
      </x:c>
      <x:c r="D326" s="9" t="str">
        <x:v>RT-B-C-TECH-1</x:v>
      </x:c>
      <x:c r="E326" s="9" t="str">
        <x:v>RT-B-C</x:v>
      </x:c>
      <x:c r="F326" s="9" t="str">
        <x:v>B1</x:v>
      </x:c>
      <x:c r="G326" s="9" t="str">
        <x:v>BRK</x:v>
      </x:c>
      <x:c r="H326" s="9" t="str">
        <x:v>IV05</x:v>
      </x:c>
      <x:c r="I326" s="17" t="str">
        <x:v>Causal counterfactual</x:v>
      </x:c>
      <x:c r="J326" s="17" t="str">
        <x:v>registered counterfactual shows the cause can create the defect</x:v>
      </x:c>
      <x:c r="K326" s="17" t="str">
        <x:v>Causal court</x:v>
      </x:c>
      <x:c r="L326" s="9" t="n">
        <x:v>0</x:v>
      </x:c>
      <x:c r="M326" s="9" t="n">
        <x:v>0</x:v>
      </x:c>
      <x:c r="N326" s="9" t="str">
        <x:v>UNFILED / UNPROVEN</x:v>
      </x:c>
      <x:c r="O326" s="9" t="n">
        <x:f>COUNTIFS($A$7:$A$1302,A326)</x:f>
        <x:v>1</x:v>
      </x:c>
    </x:row>
    <x:row r="327">
      <x:c r="A327" s="9" t="str">
        <x:v>EV-AR-RT-B-C-TECH-1-B1-BRK-G0-IV06</x:v>
      </x:c>
      <x:c r="B327" s="9" t="str">
        <x:v>EV-AR-RT-B-C-TECH-1-B1-BRK-G0</x:v>
      </x:c>
      <x:c r="C327" s="9" t="str">
        <x:v>AR-RT-B-C-TECH-1-B1-BRK-G0</x:v>
      </x:c>
      <x:c r="D327" s="9" t="str">
        <x:v>RT-B-C-TECH-1</x:v>
      </x:c>
      <x:c r="E327" s="9" t="str">
        <x:v>RT-B-C</x:v>
      </x:c>
      <x:c r="F327" s="9" t="str">
        <x:v>B1</x:v>
      </x:c>
      <x:c r="G327" s="9" t="str">
        <x:v>BRK</x:v>
      </x:c>
      <x:c r="H327" s="9" t="str">
        <x:v>IV06</x:v>
      </x:c>
      <x:c r="I327" s="17" t="str">
        <x:v>Candidate non-causation</x:v>
      </x:c>
      <x:c r="J327" s="17" t="str">
        <x:v>evidence excludes candidate induction of the facility condition</x:v>
      </x:c>
      <x:c r="K327" s="17" t="str">
        <x:v>Causal court</x:v>
      </x:c>
      <x:c r="L327" s="9" t="n">
        <x:v>0</x:v>
      </x:c>
      <x:c r="M327" s="9" t="n">
        <x:v>0</x:v>
      </x:c>
      <x:c r="N327" s="9" t="str">
        <x:v>UNFILED / UNPROVEN</x:v>
      </x:c>
      <x:c r="O327" s="9" t="n">
        <x:f>COUNTIFS($A$7:$A$1302,A327)</x:f>
        <x:v>1</x:v>
      </x:c>
    </x:row>
    <x:row r="328">
      <x:c r="A328" s="9" t="str">
        <x:v>EV-AR-RT-B-C-TECH-1-B1-BRK-G0-IV07</x:v>
      </x:c>
      <x:c r="B328" s="9" t="str">
        <x:v>EV-AR-RT-B-C-TECH-1-B1-BRK-G0</x:v>
      </x:c>
      <x:c r="C328" s="9" t="str">
        <x:v>AR-RT-B-C-TECH-1-B1-BRK-G0</x:v>
      </x:c>
      <x:c r="D328" s="9" t="str">
        <x:v>RT-B-C-TECH-1</x:v>
      </x:c>
      <x:c r="E328" s="9" t="str">
        <x:v>RT-B-C</x:v>
      </x:c>
      <x:c r="F328" s="9" t="str">
        <x:v>B1</x:v>
      </x:c>
      <x:c r="G328" s="9" t="str">
        <x:v>BRK</x:v>
      </x:c>
      <x:c r="H328" s="9" t="str">
        <x:v>IV07</x:v>
      </x:c>
      <x:c r="I328" s="17" t="str">
        <x:v>No outcome selection</x:v>
      </x:c>
      <x:c r="J328" s="17" t="str">
        <x:v>petition rule and evidence scope were fixed before visibility</x:v>
      </x:c>
      <x:c r="K328" s="17" t="str">
        <x:v>Conflict registrar</x:v>
      </x:c>
      <x:c r="L328" s="9" t="n">
        <x:v>0</x:v>
      </x:c>
      <x:c r="M328" s="9" t="n">
        <x:v>0</x:v>
      </x:c>
      <x:c r="N328" s="9" t="str">
        <x:v>UNFILED / UNPROVEN</x:v>
      </x:c>
      <x:c r="O328" s="9" t="n">
        <x:f>COUNTIFS($A$7:$A$1302,A328)</x:f>
        <x:v>1</x:v>
      </x:c>
    </x:row>
    <x:row r="329">
      <x:c r="A329" s="9" t="str">
        <x:v>EV-AR-RT-B-C-TECH-1-B1-BRK-G0-IV08</x:v>
      </x:c>
      <x:c r="B329" s="9" t="str">
        <x:v>EV-AR-RT-B-C-TECH-1-B1-BRK-G0</x:v>
      </x:c>
      <x:c r="C329" s="9" t="str">
        <x:v>AR-RT-B-C-TECH-1-B1-BRK-G0</x:v>
      </x:c>
      <x:c r="D329" s="9" t="str">
        <x:v>RT-B-C-TECH-1</x:v>
      </x:c>
      <x:c r="E329" s="9" t="str">
        <x:v>RT-B-C</x:v>
      </x:c>
      <x:c r="F329" s="9" t="str">
        <x:v>B1</x:v>
      </x:c>
      <x:c r="G329" s="9" t="str">
        <x:v>BRK</x:v>
      </x:c>
      <x:c r="H329" s="9" t="str">
        <x:v>IV08</x:v>
      </x:c>
      <x:c r="I329" s="17" t="str">
        <x:v>Whole-record preservation</x:v>
      </x:c>
      <x:c r="J329" s="17" t="str">
        <x:v>start, raw behavior, dissent and intervention remain in archive</x:v>
      </x:c>
      <x:c r="K329" s="17" t="str">
        <x:v>Archive authority</x:v>
      </x:c>
      <x:c r="L329" s="9" t="n">
        <x:v>0</x:v>
      </x:c>
      <x:c r="M329" s="9" t="n">
        <x:v>0</x:v>
      </x:c>
      <x:c r="N329" s="9" t="str">
        <x:v>UNFILED / UNPROVEN</x:v>
      </x:c>
      <x:c r="O329" s="9" t="n">
        <x:f>COUNTIFS($A$7:$A$1302,A329)</x:f>
        <x:v>1</x:v>
      </x:c>
    </x:row>
    <x:row r="330">
      <x:c r="A330" s="9" t="str">
        <x:v>EV-AR-RT-B-C-TECH-1-B1-BRK-G0-IV09</x:v>
      </x:c>
      <x:c r="B330" s="9" t="str">
        <x:v>EV-AR-RT-B-C-TECH-1-B1-BRK-G0</x:v>
      </x:c>
      <x:c r="C330" s="9" t="str">
        <x:v>AR-RT-B-C-TECH-1-B1-BRK-G0</x:v>
      </x:c>
      <x:c r="D330" s="9" t="str">
        <x:v>RT-B-C-TECH-1</x:v>
      </x:c>
      <x:c r="E330" s="9" t="str">
        <x:v>RT-B-C</x:v>
      </x:c>
      <x:c r="F330" s="9" t="str">
        <x:v>B1</x:v>
      </x:c>
      <x:c r="G330" s="9" t="str">
        <x:v>BRK</x:v>
      </x:c>
      <x:c r="H330" s="9" t="str">
        <x:v>IV09</x:v>
      </x:c>
      <x:c r="I330" s="17" t="str">
        <x:v>Bounded remedy</x:v>
      </x:c>
      <x:c r="J330" s="17" t="str">
        <x:v>only a new slot and EOW may follow; no favorable credit or erased attempt</x:v>
      </x:c>
      <x:c r="K330" s="17" t="str">
        <x:v>Invalidity court</x:v>
      </x:c>
      <x:c r="L330" s="9" t="n">
        <x:v>0</x:v>
      </x:c>
      <x:c r="M330" s="9" t="n">
        <x:v>0</x:v>
      </x:c>
      <x:c r="N330" s="9" t="str">
        <x:v>UNFILED / UNPROVEN</x:v>
      </x:c>
      <x:c r="O330" s="9" t="n">
        <x:f>COUNTIFS($A$7:$A$1302,A330)</x:f>
        <x:v>1</x:v>
      </x:c>
    </x:row>
    <x:row r="331">
      <x:c r="A331" s="9" t="str">
        <x:v>EV-AR-ET-A-A-TECH-4-B1-RCN-G0-IV01</x:v>
      </x:c>
      <x:c r="B331" s="9" t="str">
        <x:v>EV-AR-ET-A-A-TECH-4-B1-RCN-G0</x:v>
      </x:c>
      <x:c r="C331" s="9" t="str">
        <x:v>AR-ET-A-A-TECH-4-B1-RCN-G0</x:v>
      </x:c>
      <x:c r="D331" s="9" t="str">
        <x:v>ET-A-A-TECH-4</x:v>
      </x:c>
      <x:c r="E331" s="9" t="str">
        <x:v>ET-A-A</x:v>
      </x:c>
      <x:c r="F331" s="9" t="str">
        <x:v>B1</x:v>
      </x:c>
      <x:c r="G331" s="9" t="str">
        <x:v>RCN</x:v>
      </x:c>
      <x:c r="H331" s="9" t="str">
        <x:v>IV01</x:v>
      </x:c>
      <x:c r="I331" s="17" t="str">
        <x:v>Timely petition</x:v>
      </x:c>
      <x:c r="J331" s="17" t="str">
        <x:v>petition enters within seventy-two hours of event close</x:v>
      </x:c>
      <x:c r="K331" s="17" t="str">
        <x:v>Invalidity registrar</x:v>
      </x:c>
      <x:c r="L331" s="9" t="n">
        <x:v>0</x:v>
      </x:c>
      <x:c r="M331" s="9" t="n">
        <x:v>0</x:v>
      </x:c>
      <x:c r="N331" s="9" t="str">
        <x:v>UNFILED / UNPROVEN</x:v>
      </x:c>
      <x:c r="O331" s="9" t="n">
        <x:f>COUNTIFS($A$7:$A$1302,A331)</x:f>
        <x:v>1</x:v>
      </x:c>
    </x:row>
    <x:row r="332">
      <x:c r="A332" s="9" t="str">
        <x:v>EV-AR-ET-A-A-TECH-4-B1-RCN-G0-IV02</x:v>
      </x:c>
      <x:c r="B332" s="9" t="str">
        <x:v>EV-AR-ET-A-A-TECH-4-B1-RCN-G0</x:v>
      </x:c>
      <x:c r="C332" s="9" t="str">
        <x:v>AR-ET-A-A-TECH-4-B1-RCN-G0</x:v>
      </x:c>
      <x:c r="D332" s="9" t="str">
        <x:v>ET-A-A-TECH-4</x:v>
      </x:c>
      <x:c r="E332" s="9" t="str">
        <x:v>ET-A-A</x:v>
      </x:c>
      <x:c r="F332" s="9" t="str">
        <x:v>B1</x:v>
      </x:c>
      <x:c r="G332" s="9" t="str">
        <x:v>RCN</x:v>
      </x:c>
      <x:c r="H332" s="9" t="str">
        <x:v>IV02</x:v>
      </x:c>
      <x:c r="I332" s="17" t="str">
        <x:v>Named facility cause</x:v>
      </x:c>
      <x:c r="J332" s="17" t="str">
        <x:v>one pre-registered noncandidate cause is identified</x:v>
      </x:c>
      <x:c r="K332" s="17" t="str">
        <x:v>Facility-cause court</x:v>
      </x:c>
      <x:c r="L332" s="9" t="n">
        <x:v>0</x:v>
      </x:c>
      <x:c r="M332" s="9" t="n">
        <x:v>0</x:v>
      </x:c>
      <x:c r="N332" s="9" t="str">
        <x:v>UNFILED / UNPROVEN</x:v>
      </x:c>
      <x:c r="O332" s="9" t="n">
        <x:f>COUNTIFS($A$7:$A$1302,A332)</x:f>
        <x:v>1</x:v>
      </x:c>
    </x:row>
    <x:row r="333">
      <x:c r="A333" s="9" t="str">
        <x:v>EV-AR-ET-A-A-TECH-4-B1-RCN-G0-IV03</x:v>
      </x:c>
      <x:c r="B333" s="9" t="str">
        <x:v>EV-AR-ET-A-A-TECH-4-B1-RCN-G0</x:v>
      </x:c>
      <x:c r="C333" s="9" t="str">
        <x:v>AR-ET-A-A-TECH-4-B1-RCN-G0</x:v>
      </x:c>
      <x:c r="D333" s="9" t="str">
        <x:v>ET-A-A-TECH-4</x:v>
      </x:c>
      <x:c r="E333" s="9" t="str">
        <x:v>ET-A-A</x:v>
      </x:c>
      <x:c r="F333" s="9" t="str">
        <x:v>B1</x:v>
      </x:c>
      <x:c r="G333" s="9" t="str">
        <x:v>RCN</x:v>
      </x:c>
      <x:c r="H333" s="9" t="str">
        <x:v>IV03</x:v>
      </x:c>
      <x:c r="I333" s="17" t="str">
        <x:v>Temporal priority</x:v>
      </x:c>
      <x:c r="J333" s="17" t="str">
        <x:v>cause demonstrably precedes the disputed candidate behavior</x:v>
      </x:c>
      <x:c r="K333" s="17" t="str">
        <x:v>Time authority</x:v>
      </x:c>
      <x:c r="L333" s="9" t="n">
        <x:v>0</x:v>
      </x:c>
      <x:c r="M333" s="9" t="n">
        <x:v>0</x:v>
      </x:c>
      <x:c r="N333" s="9" t="str">
        <x:v>UNFILED / UNPROVEN</x:v>
      </x:c>
      <x:c r="O333" s="9" t="n">
        <x:f>COUNTIFS($A$7:$A$1302,A333)</x:f>
        <x:v>1</x:v>
      </x:c>
    </x:row>
    <x:row r="334">
      <x:c r="A334" s="9" t="str">
        <x:v>EV-AR-ET-A-A-TECH-4-B1-RCN-G0-IV04</x:v>
      </x:c>
      <x:c r="B334" s="9" t="str">
        <x:v>EV-AR-ET-A-A-TECH-4-B1-RCN-G0</x:v>
      </x:c>
      <x:c r="C334" s="9" t="str">
        <x:v>AR-ET-A-A-TECH-4-B1-RCN-G0</x:v>
      </x:c>
      <x:c r="D334" s="9" t="str">
        <x:v>ET-A-A-TECH-4</x:v>
      </x:c>
      <x:c r="E334" s="9" t="str">
        <x:v>ET-A-A</x:v>
      </x:c>
      <x:c r="F334" s="9" t="str">
        <x:v>B1</x:v>
      </x:c>
      <x:c r="G334" s="9" t="str">
        <x:v>RCN</x:v>
      </x:c>
      <x:c r="H334" s="9" t="str">
        <x:v>IV04</x:v>
      </x:c>
      <x:c r="I334" s="17" t="str">
        <x:v>Independent trace</x:v>
      </x:c>
      <x:c r="J334" s="17" t="str">
        <x:v>two unlike records carry the cause without candidate custody</x:v>
      </x:c>
      <x:c r="K334" s="17" t="str">
        <x:v>Invalidity court</x:v>
      </x:c>
      <x:c r="L334" s="9" t="n">
        <x:v>0</x:v>
      </x:c>
      <x:c r="M334" s="9" t="n">
        <x:v>0</x:v>
      </x:c>
      <x:c r="N334" s="9" t="str">
        <x:v>UNFILED / UNPROVEN</x:v>
      </x:c>
      <x:c r="O334" s="9" t="n">
        <x:f>COUNTIFS($A$7:$A$1302,A334)</x:f>
        <x:v>1</x:v>
      </x:c>
    </x:row>
    <x:row r="335">
      <x:c r="A335" s="9" t="str">
        <x:v>EV-AR-ET-A-A-TECH-4-B1-RCN-G0-IV05</x:v>
      </x:c>
      <x:c r="B335" s="9" t="str">
        <x:v>EV-AR-ET-A-A-TECH-4-B1-RCN-G0</x:v>
      </x:c>
      <x:c r="C335" s="9" t="str">
        <x:v>AR-ET-A-A-TECH-4-B1-RCN-G0</x:v>
      </x:c>
      <x:c r="D335" s="9" t="str">
        <x:v>ET-A-A-TECH-4</x:v>
      </x:c>
      <x:c r="E335" s="9" t="str">
        <x:v>ET-A-A</x:v>
      </x:c>
      <x:c r="F335" s="9" t="str">
        <x:v>B1</x:v>
      </x:c>
      <x:c r="G335" s="9" t="str">
        <x:v>RCN</x:v>
      </x:c>
      <x:c r="H335" s="9" t="str">
        <x:v>IV05</x:v>
      </x:c>
      <x:c r="I335" s="17" t="str">
        <x:v>Causal counterfactual</x:v>
      </x:c>
      <x:c r="J335" s="17" t="str">
        <x:v>registered counterfactual shows the cause can create the defect</x:v>
      </x:c>
      <x:c r="K335" s="17" t="str">
        <x:v>Causal court</x:v>
      </x:c>
      <x:c r="L335" s="9" t="n">
        <x:v>0</x:v>
      </x:c>
      <x:c r="M335" s="9" t="n">
        <x:v>0</x:v>
      </x:c>
      <x:c r="N335" s="9" t="str">
        <x:v>UNFILED / UNPROVEN</x:v>
      </x:c>
      <x:c r="O335" s="9" t="n">
        <x:f>COUNTIFS($A$7:$A$1302,A335)</x:f>
        <x:v>1</x:v>
      </x:c>
    </x:row>
    <x:row r="336">
      <x:c r="A336" s="9" t="str">
        <x:v>EV-AR-ET-A-A-TECH-4-B1-RCN-G0-IV06</x:v>
      </x:c>
      <x:c r="B336" s="9" t="str">
        <x:v>EV-AR-ET-A-A-TECH-4-B1-RCN-G0</x:v>
      </x:c>
      <x:c r="C336" s="9" t="str">
        <x:v>AR-ET-A-A-TECH-4-B1-RCN-G0</x:v>
      </x:c>
      <x:c r="D336" s="9" t="str">
        <x:v>ET-A-A-TECH-4</x:v>
      </x:c>
      <x:c r="E336" s="9" t="str">
        <x:v>ET-A-A</x:v>
      </x:c>
      <x:c r="F336" s="9" t="str">
        <x:v>B1</x:v>
      </x:c>
      <x:c r="G336" s="9" t="str">
        <x:v>RCN</x:v>
      </x:c>
      <x:c r="H336" s="9" t="str">
        <x:v>IV06</x:v>
      </x:c>
      <x:c r="I336" s="17" t="str">
        <x:v>Candidate non-causation</x:v>
      </x:c>
      <x:c r="J336" s="17" t="str">
        <x:v>evidence excludes candidate induction of the facility condition</x:v>
      </x:c>
      <x:c r="K336" s="17" t="str">
        <x:v>Causal court</x:v>
      </x:c>
      <x:c r="L336" s="9" t="n">
        <x:v>0</x:v>
      </x:c>
      <x:c r="M336" s="9" t="n">
        <x:v>0</x:v>
      </x:c>
      <x:c r="N336" s="9" t="str">
        <x:v>UNFILED / UNPROVEN</x:v>
      </x:c>
      <x:c r="O336" s="9" t="n">
        <x:f>COUNTIFS($A$7:$A$1302,A336)</x:f>
        <x:v>1</x:v>
      </x:c>
    </x:row>
    <x:row r="337">
      <x:c r="A337" s="9" t="str">
        <x:v>EV-AR-ET-A-A-TECH-4-B1-RCN-G0-IV07</x:v>
      </x:c>
      <x:c r="B337" s="9" t="str">
        <x:v>EV-AR-ET-A-A-TECH-4-B1-RCN-G0</x:v>
      </x:c>
      <x:c r="C337" s="9" t="str">
        <x:v>AR-ET-A-A-TECH-4-B1-RCN-G0</x:v>
      </x:c>
      <x:c r="D337" s="9" t="str">
        <x:v>ET-A-A-TECH-4</x:v>
      </x:c>
      <x:c r="E337" s="9" t="str">
        <x:v>ET-A-A</x:v>
      </x:c>
      <x:c r="F337" s="9" t="str">
        <x:v>B1</x:v>
      </x:c>
      <x:c r="G337" s="9" t="str">
        <x:v>RCN</x:v>
      </x:c>
      <x:c r="H337" s="9" t="str">
        <x:v>IV07</x:v>
      </x:c>
      <x:c r="I337" s="17" t="str">
        <x:v>No outcome selection</x:v>
      </x:c>
      <x:c r="J337" s="17" t="str">
        <x:v>petition rule and evidence scope were fixed before visibility</x:v>
      </x:c>
      <x:c r="K337" s="17" t="str">
        <x:v>Conflict registrar</x:v>
      </x:c>
      <x:c r="L337" s="9" t="n">
        <x:v>0</x:v>
      </x:c>
      <x:c r="M337" s="9" t="n">
        <x:v>0</x:v>
      </x:c>
      <x:c r="N337" s="9" t="str">
        <x:v>UNFILED / UNPROVEN</x:v>
      </x:c>
      <x:c r="O337" s="9" t="n">
        <x:f>COUNTIFS($A$7:$A$1302,A337)</x:f>
        <x:v>1</x:v>
      </x:c>
    </x:row>
    <x:row r="338">
      <x:c r="A338" s="9" t="str">
        <x:v>EV-AR-ET-A-A-TECH-4-B1-RCN-G0-IV08</x:v>
      </x:c>
      <x:c r="B338" s="9" t="str">
        <x:v>EV-AR-ET-A-A-TECH-4-B1-RCN-G0</x:v>
      </x:c>
      <x:c r="C338" s="9" t="str">
        <x:v>AR-ET-A-A-TECH-4-B1-RCN-G0</x:v>
      </x:c>
      <x:c r="D338" s="9" t="str">
        <x:v>ET-A-A-TECH-4</x:v>
      </x:c>
      <x:c r="E338" s="9" t="str">
        <x:v>ET-A-A</x:v>
      </x:c>
      <x:c r="F338" s="9" t="str">
        <x:v>B1</x:v>
      </x:c>
      <x:c r="G338" s="9" t="str">
        <x:v>RCN</x:v>
      </x:c>
      <x:c r="H338" s="9" t="str">
        <x:v>IV08</x:v>
      </x:c>
      <x:c r="I338" s="17" t="str">
        <x:v>Whole-record preservation</x:v>
      </x:c>
      <x:c r="J338" s="17" t="str">
        <x:v>start, raw behavior, dissent and intervention remain in archive</x:v>
      </x:c>
      <x:c r="K338" s="17" t="str">
        <x:v>Archive authority</x:v>
      </x:c>
      <x:c r="L338" s="9" t="n">
        <x:v>0</x:v>
      </x:c>
      <x:c r="M338" s="9" t="n">
        <x:v>0</x:v>
      </x:c>
      <x:c r="N338" s="9" t="str">
        <x:v>UNFILED / UNPROVEN</x:v>
      </x:c>
      <x:c r="O338" s="9" t="n">
        <x:f>COUNTIFS($A$7:$A$1302,A338)</x:f>
        <x:v>1</x:v>
      </x:c>
    </x:row>
    <x:row r="339">
      <x:c r="A339" s="9" t="str">
        <x:v>EV-AR-ET-A-A-TECH-4-B1-RCN-G0-IV09</x:v>
      </x:c>
      <x:c r="B339" s="9" t="str">
        <x:v>EV-AR-ET-A-A-TECH-4-B1-RCN-G0</x:v>
      </x:c>
      <x:c r="C339" s="9" t="str">
        <x:v>AR-ET-A-A-TECH-4-B1-RCN-G0</x:v>
      </x:c>
      <x:c r="D339" s="9" t="str">
        <x:v>ET-A-A-TECH-4</x:v>
      </x:c>
      <x:c r="E339" s="9" t="str">
        <x:v>ET-A-A</x:v>
      </x:c>
      <x:c r="F339" s="9" t="str">
        <x:v>B1</x:v>
      </x:c>
      <x:c r="G339" s="9" t="str">
        <x:v>RCN</x:v>
      </x:c>
      <x:c r="H339" s="9" t="str">
        <x:v>IV09</x:v>
      </x:c>
      <x:c r="I339" s="17" t="str">
        <x:v>Bounded remedy</x:v>
      </x:c>
      <x:c r="J339" s="17" t="str">
        <x:v>only a new slot and EOW may follow; no favorable credit or erased attempt</x:v>
      </x:c>
      <x:c r="K339" s="17" t="str">
        <x:v>Invalidity court</x:v>
      </x:c>
      <x:c r="L339" s="9" t="n">
        <x:v>0</x:v>
      </x:c>
      <x:c r="M339" s="9" t="n">
        <x:v>0</x:v>
      </x:c>
      <x:c r="N339" s="9" t="str">
        <x:v>UNFILED / UNPROVEN</x:v>
      </x:c>
      <x:c r="O339" s="9" t="n">
        <x:f>COUNTIFS($A$7:$A$1302,A339)</x:f>
        <x:v>1</x:v>
      </x:c>
    </x:row>
    <x:row r="340">
      <x:c r="A340" s="9" t="str">
        <x:v>EV-AR-ET-A-A-TECH-2-B1-INT-G0-IV01</x:v>
      </x:c>
      <x:c r="B340" s="9" t="str">
        <x:v>EV-AR-ET-A-A-TECH-2-B1-INT-G0</x:v>
      </x:c>
      <x:c r="C340" s="9" t="str">
        <x:v>AR-ET-A-A-TECH-2-B1-INT-G0</x:v>
      </x:c>
      <x:c r="D340" s="9" t="str">
        <x:v>ET-A-A-TECH-2</x:v>
      </x:c>
      <x:c r="E340" s="9" t="str">
        <x:v>ET-A-A</x:v>
      </x:c>
      <x:c r="F340" s="9" t="str">
        <x:v>B1</x:v>
      </x:c>
      <x:c r="G340" s="9" t="str">
        <x:v>INT</x:v>
      </x:c>
      <x:c r="H340" s="9" t="str">
        <x:v>IV01</x:v>
      </x:c>
      <x:c r="I340" s="17" t="str">
        <x:v>Timely petition</x:v>
      </x:c>
      <x:c r="J340" s="17" t="str">
        <x:v>petition enters within seventy-two hours of event close</x:v>
      </x:c>
      <x:c r="K340" s="17" t="str">
        <x:v>Invalidity registrar</x:v>
      </x:c>
      <x:c r="L340" s="9" t="n">
        <x:v>0</x:v>
      </x:c>
      <x:c r="M340" s="9" t="n">
        <x:v>0</x:v>
      </x:c>
      <x:c r="N340" s="9" t="str">
        <x:v>UNFILED / UNPROVEN</x:v>
      </x:c>
      <x:c r="O340" s="9" t="n">
        <x:f>COUNTIFS($A$7:$A$1302,A340)</x:f>
        <x:v>1</x:v>
      </x:c>
    </x:row>
    <x:row r="341">
      <x:c r="A341" s="9" t="str">
        <x:v>EV-AR-ET-A-A-TECH-2-B1-INT-G0-IV02</x:v>
      </x:c>
      <x:c r="B341" s="9" t="str">
        <x:v>EV-AR-ET-A-A-TECH-2-B1-INT-G0</x:v>
      </x:c>
      <x:c r="C341" s="9" t="str">
        <x:v>AR-ET-A-A-TECH-2-B1-INT-G0</x:v>
      </x:c>
      <x:c r="D341" s="9" t="str">
        <x:v>ET-A-A-TECH-2</x:v>
      </x:c>
      <x:c r="E341" s="9" t="str">
        <x:v>ET-A-A</x:v>
      </x:c>
      <x:c r="F341" s="9" t="str">
        <x:v>B1</x:v>
      </x:c>
      <x:c r="G341" s="9" t="str">
        <x:v>INT</x:v>
      </x:c>
      <x:c r="H341" s="9" t="str">
        <x:v>IV02</x:v>
      </x:c>
      <x:c r="I341" s="17" t="str">
        <x:v>Named facility cause</x:v>
      </x:c>
      <x:c r="J341" s="17" t="str">
        <x:v>one pre-registered noncandidate cause is identified</x:v>
      </x:c>
      <x:c r="K341" s="17" t="str">
        <x:v>Facility-cause court</x:v>
      </x:c>
      <x:c r="L341" s="9" t="n">
        <x:v>0</x:v>
      </x:c>
      <x:c r="M341" s="9" t="n">
        <x:v>0</x:v>
      </x:c>
      <x:c r="N341" s="9" t="str">
        <x:v>UNFILED / UNPROVEN</x:v>
      </x:c>
      <x:c r="O341" s="9" t="n">
        <x:f>COUNTIFS($A$7:$A$1302,A341)</x:f>
        <x:v>1</x:v>
      </x:c>
    </x:row>
    <x:row r="342">
      <x:c r="A342" s="9" t="str">
        <x:v>EV-AR-ET-A-A-TECH-2-B1-INT-G0-IV03</x:v>
      </x:c>
      <x:c r="B342" s="9" t="str">
        <x:v>EV-AR-ET-A-A-TECH-2-B1-INT-G0</x:v>
      </x:c>
      <x:c r="C342" s="9" t="str">
        <x:v>AR-ET-A-A-TECH-2-B1-INT-G0</x:v>
      </x:c>
      <x:c r="D342" s="9" t="str">
        <x:v>ET-A-A-TECH-2</x:v>
      </x:c>
      <x:c r="E342" s="9" t="str">
        <x:v>ET-A-A</x:v>
      </x:c>
      <x:c r="F342" s="9" t="str">
        <x:v>B1</x:v>
      </x:c>
      <x:c r="G342" s="9" t="str">
        <x:v>INT</x:v>
      </x:c>
      <x:c r="H342" s="9" t="str">
        <x:v>IV03</x:v>
      </x:c>
      <x:c r="I342" s="17" t="str">
        <x:v>Temporal priority</x:v>
      </x:c>
      <x:c r="J342" s="17" t="str">
        <x:v>cause demonstrably precedes the disputed candidate behavior</x:v>
      </x:c>
      <x:c r="K342" s="17" t="str">
        <x:v>Time authority</x:v>
      </x:c>
      <x:c r="L342" s="9" t="n">
        <x:v>0</x:v>
      </x:c>
      <x:c r="M342" s="9" t="n">
        <x:v>0</x:v>
      </x:c>
      <x:c r="N342" s="9" t="str">
        <x:v>UNFILED / UNPROVEN</x:v>
      </x:c>
      <x:c r="O342" s="9" t="n">
        <x:f>COUNTIFS($A$7:$A$1302,A342)</x:f>
        <x:v>1</x:v>
      </x:c>
    </x:row>
    <x:row r="343">
      <x:c r="A343" s="9" t="str">
        <x:v>EV-AR-ET-A-A-TECH-2-B1-INT-G0-IV04</x:v>
      </x:c>
      <x:c r="B343" s="9" t="str">
        <x:v>EV-AR-ET-A-A-TECH-2-B1-INT-G0</x:v>
      </x:c>
      <x:c r="C343" s="9" t="str">
        <x:v>AR-ET-A-A-TECH-2-B1-INT-G0</x:v>
      </x:c>
      <x:c r="D343" s="9" t="str">
        <x:v>ET-A-A-TECH-2</x:v>
      </x:c>
      <x:c r="E343" s="9" t="str">
        <x:v>ET-A-A</x:v>
      </x:c>
      <x:c r="F343" s="9" t="str">
        <x:v>B1</x:v>
      </x:c>
      <x:c r="G343" s="9" t="str">
        <x:v>INT</x:v>
      </x:c>
      <x:c r="H343" s="9" t="str">
        <x:v>IV04</x:v>
      </x:c>
      <x:c r="I343" s="17" t="str">
        <x:v>Independent trace</x:v>
      </x:c>
      <x:c r="J343" s="17" t="str">
        <x:v>two unlike records carry the cause without candidate custody</x:v>
      </x:c>
      <x:c r="K343" s="17" t="str">
        <x:v>Invalidity court</x:v>
      </x:c>
      <x:c r="L343" s="9" t="n">
        <x:v>0</x:v>
      </x:c>
      <x:c r="M343" s="9" t="n">
        <x:v>0</x:v>
      </x:c>
      <x:c r="N343" s="9" t="str">
        <x:v>UNFILED / UNPROVEN</x:v>
      </x:c>
      <x:c r="O343" s="9" t="n">
        <x:f>COUNTIFS($A$7:$A$1302,A343)</x:f>
        <x:v>1</x:v>
      </x:c>
    </x:row>
    <x:row r="344">
      <x:c r="A344" s="9" t="str">
        <x:v>EV-AR-ET-A-A-TECH-2-B1-INT-G0-IV05</x:v>
      </x:c>
      <x:c r="B344" s="9" t="str">
        <x:v>EV-AR-ET-A-A-TECH-2-B1-INT-G0</x:v>
      </x:c>
      <x:c r="C344" s="9" t="str">
        <x:v>AR-ET-A-A-TECH-2-B1-INT-G0</x:v>
      </x:c>
      <x:c r="D344" s="9" t="str">
        <x:v>ET-A-A-TECH-2</x:v>
      </x:c>
      <x:c r="E344" s="9" t="str">
        <x:v>ET-A-A</x:v>
      </x:c>
      <x:c r="F344" s="9" t="str">
        <x:v>B1</x:v>
      </x:c>
      <x:c r="G344" s="9" t="str">
        <x:v>INT</x:v>
      </x:c>
      <x:c r="H344" s="9" t="str">
        <x:v>IV05</x:v>
      </x:c>
      <x:c r="I344" s="17" t="str">
        <x:v>Causal counterfactual</x:v>
      </x:c>
      <x:c r="J344" s="17" t="str">
        <x:v>registered counterfactual shows the cause can create the defect</x:v>
      </x:c>
      <x:c r="K344" s="17" t="str">
        <x:v>Causal court</x:v>
      </x:c>
      <x:c r="L344" s="9" t="n">
        <x:v>0</x:v>
      </x:c>
      <x:c r="M344" s="9" t="n">
        <x:v>0</x:v>
      </x:c>
      <x:c r="N344" s="9" t="str">
        <x:v>UNFILED / UNPROVEN</x:v>
      </x:c>
      <x:c r="O344" s="9" t="n">
        <x:f>COUNTIFS($A$7:$A$1302,A344)</x:f>
        <x:v>1</x:v>
      </x:c>
    </x:row>
    <x:row r="345">
      <x:c r="A345" s="9" t="str">
        <x:v>EV-AR-ET-A-A-TECH-2-B1-INT-G0-IV06</x:v>
      </x:c>
      <x:c r="B345" s="9" t="str">
        <x:v>EV-AR-ET-A-A-TECH-2-B1-INT-G0</x:v>
      </x:c>
      <x:c r="C345" s="9" t="str">
        <x:v>AR-ET-A-A-TECH-2-B1-INT-G0</x:v>
      </x:c>
      <x:c r="D345" s="9" t="str">
        <x:v>ET-A-A-TECH-2</x:v>
      </x:c>
      <x:c r="E345" s="9" t="str">
        <x:v>ET-A-A</x:v>
      </x:c>
      <x:c r="F345" s="9" t="str">
        <x:v>B1</x:v>
      </x:c>
      <x:c r="G345" s="9" t="str">
        <x:v>INT</x:v>
      </x:c>
      <x:c r="H345" s="9" t="str">
        <x:v>IV06</x:v>
      </x:c>
      <x:c r="I345" s="17" t="str">
        <x:v>Candidate non-causation</x:v>
      </x:c>
      <x:c r="J345" s="17" t="str">
        <x:v>evidence excludes candidate induction of the facility condition</x:v>
      </x:c>
      <x:c r="K345" s="17" t="str">
        <x:v>Causal court</x:v>
      </x:c>
      <x:c r="L345" s="9" t="n">
        <x:v>0</x:v>
      </x:c>
      <x:c r="M345" s="9" t="n">
        <x:v>0</x:v>
      </x:c>
      <x:c r="N345" s="9" t="str">
        <x:v>UNFILED / UNPROVEN</x:v>
      </x:c>
      <x:c r="O345" s="9" t="n">
        <x:f>COUNTIFS($A$7:$A$1302,A345)</x:f>
        <x:v>1</x:v>
      </x:c>
    </x:row>
    <x:row r="346">
      <x:c r="A346" s="9" t="str">
        <x:v>EV-AR-ET-A-A-TECH-2-B1-INT-G0-IV07</x:v>
      </x:c>
      <x:c r="B346" s="9" t="str">
        <x:v>EV-AR-ET-A-A-TECH-2-B1-INT-G0</x:v>
      </x:c>
      <x:c r="C346" s="9" t="str">
        <x:v>AR-ET-A-A-TECH-2-B1-INT-G0</x:v>
      </x:c>
      <x:c r="D346" s="9" t="str">
        <x:v>ET-A-A-TECH-2</x:v>
      </x:c>
      <x:c r="E346" s="9" t="str">
        <x:v>ET-A-A</x:v>
      </x:c>
      <x:c r="F346" s="9" t="str">
        <x:v>B1</x:v>
      </x:c>
      <x:c r="G346" s="9" t="str">
        <x:v>INT</x:v>
      </x:c>
      <x:c r="H346" s="9" t="str">
        <x:v>IV07</x:v>
      </x:c>
      <x:c r="I346" s="17" t="str">
        <x:v>No outcome selection</x:v>
      </x:c>
      <x:c r="J346" s="17" t="str">
        <x:v>petition rule and evidence scope were fixed before visibility</x:v>
      </x:c>
      <x:c r="K346" s="17" t="str">
        <x:v>Conflict registrar</x:v>
      </x:c>
      <x:c r="L346" s="9" t="n">
        <x:v>0</x:v>
      </x:c>
      <x:c r="M346" s="9" t="n">
        <x:v>0</x:v>
      </x:c>
      <x:c r="N346" s="9" t="str">
        <x:v>UNFILED / UNPROVEN</x:v>
      </x:c>
      <x:c r="O346" s="9" t="n">
        <x:f>COUNTIFS($A$7:$A$1302,A346)</x:f>
        <x:v>1</x:v>
      </x:c>
    </x:row>
    <x:row r="347">
      <x:c r="A347" s="9" t="str">
        <x:v>EV-AR-ET-A-A-TECH-2-B1-INT-G0-IV08</x:v>
      </x:c>
      <x:c r="B347" s="9" t="str">
        <x:v>EV-AR-ET-A-A-TECH-2-B1-INT-G0</x:v>
      </x:c>
      <x:c r="C347" s="9" t="str">
        <x:v>AR-ET-A-A-TECH-2-B1-INT-G0</x:v>
      </x:c>
      <x:c r="D347" s="9" t="str">
        <x:v>ET-A-A-TECH-2</x:v>
      </x:c>
      <x:c r="E347" s="9" t="str">
        <x:v>ET-A-A</x:v>
      </x:c>
      <x:c r="F347" s="9" t="str">
        <x:v>B1</x:v>
      </x:c>
      <x:c r="G347" s="9" t="str">
        <x:v>INT</x:v>
      </x:c>
      <x:c r="H347" s="9" t="str">
        <x:v>IV08</x:v>
      </x:c>
      <x:c r="I347" s="17" t="str">
        <x:v>Whole-record preservation</x:v>
      </x:c>
      <x:c r="J347" s="17" t="str">
        <x:v>start, raw behavior, dissent and intervention remain in archive</x:v>
      </x:c>
      <x:c r="K347" s="17" t="str">
        <x:v>Archive authority</x:v>
      </x:c>
      <x:c r="L347" s="9" t="n">
        <x:v>0</x:v>
      </x:c>
      <x:c r="M347" s="9" t="n">
        <x:v>0</x:v>
      </x:c>
      <x:c r="N347" s="9" t="str">
        <x:v>UNFILED / UNPROVEN</x:v>
      </x:c>
      <x:c r="O347" s="9" t="n">
        <x:f>COUNTIFS($A$7:$A$1302,A347)</x:f>
        <x:v>1</x:v>
      </x:c>
    </x:row>
    <x:row r="348">
      <x:c r="A348" s="9" t="str">
        <x:v>EV-AR-ET-A-A-TECH-2-B1-INT-G0-IV09</x:v>
      </x:c>
      <x:c r="B348" s="9" t="str">
        <x:v>EV-AR-ET-A-A-TECH-2-B1-INT-G0</x:v>
      </x:c>
      <x:c r="C348" s="9" t="str">
        <x:v>AR-ET-A-A-TECH-2-B1-INT-G0</x:v>
      </x:c>
      <x:c r="D348" s="9" t="str">
        <x:v>ET-A-A-TECH-2</x:v>
      </x:c>
      <x:c r="E348" s="9" t="str">
        <x:v>ET-A-A</x:v>
      </x:c>
      <x:c r="F348" s="9" t="str">
        <x:v>B1</x:v>
      </x:c>
      <x:c r="G348" s="9" t="str">
        <x:v>INT</x:v>
      </x:c>
      <x:c r="H348" s="9" t="str">
        <x:v>IV09</x:v>
      </x:c>
      <x:c r="I348" s="17" t="str">
        <x:v>Bounded remedy</x:v>
      </x:c>
      <x:c r="J348" s="17" t="str">
        <x:v>only a new slot and EOW may follow; no favorable credit or erased attempt</x:v>
      </x:c>
      <x:c r="K348" s="17" t="str">
        <x:v>Invalidity court</x:v>
      </x:c>
      <x:c r="L348" s="9" t="n">
        <x:v>0</x:v>
      </x:c>
      <x:c r="M348" s="9" t="n">
        <x:v>0</x:v>
      </x:c>
      <x:c r="N348" s="9" t="str">
        <x:v>UNFILED / UNPROVEN</x:v>
      </x:c>
      <x:c r="O348" s="9" t="n">
        <x:f>COUNTIFS($A$7:$A$1302,A348)</x:f>
        <x:v>1</x:v>
      </x:c>
    </x:row>
    <x:row r="349">
      <x:c r="A349" s="9" t="str">
        <x:v>EV-AR-HU-A-B-TECH-3-B2-INT-G0-IV01</x:v>
      </x:c>
      <x:c r="B349" s="9" t="str">
        <x:v>EV-AR-HU-A-B-TECH-3-B2-INT-G0</x:v>
      </x:c>
      <x:c r="C349" s="9" t="str">
        <x:v>AR-HU-A-B-TECH-3-B2-INT-G0</x:v>
      </x:c>
      <x:c r="D349" s="9" t="str">
        <x:v>HU-A-B-TECH-3</x:v>
      </x:c>
      <x:c r="E349" s="9" t="str">
        <x:v>HU-A-B</x:v>
      </x:c>
      <x:c r="F349" s="9" t="str">
        <x:v>B2</x:v>
      </x:c>
      <x:c r="G349" s="9" t="str">
        <x:v>INT</x:v>
      </x:c>
      <x:c r="H349" s="9" t="str">
        <x:v>IV01</x:v>
      </x:c>
      <x:c r="I349" s="17" t="str">
        <x:v>Timely petition</x:v>
      </x:c>
      <x:c r="J349" s="17" t="str">
        <x:v>petition enters within seventy-two hours of event close</x:v>
      </x:c>
      <x:c r="K349" s="17" t="str">
        <x:v>Invalidity registrar</x:v>
      </x:c>
      <x:c r="L349" s="9" t="n">
        <x:v>0</x:v>
      </x:c>
      <x:c r="M349" s="9" t="n">
        <x:v>0</x:v>
      </x:c>
      <x:c r="N349" s="9" t="str">
        <x:v>UNFILED / UNPROVEN</x:v>
      </x:c>
      <x:c r="O349" s="9" t="n">
        <x:f>COUNTIFS($A$7:$A$1302,A349)</x:f>
        <x:v>1</x:v>
      </x:c>
    </x:row>
    <x:row r="350">
      <x:c r="A350" s="9" t="str">
        <x:v>EV-AR-HU-A-B-TECH-3-B2-INT-G0-IV02</x:v>
      </x:c>
      <x:c r="B350" s="9" t="str">
        <x:v>EV-AR-HU-A-B-TECH-3-B2-INT-G0</x:v>
      </x:c>
      <x:c r="C350" s="9" t="str">
        <x:v>AR-HU-A-B-TECH-3-B2-INT-G0</x:v>
      </x:c>
      <x:c r="D350" s="9" t="str">
        <x:v>HU-A-B-TECH-3</x:v>
      </x:c>
      <x:c r="E350" s="9" t="str">
        <x:v>HU-A-B</x:v>
      </x:c>
      <x:c r="F350" s="9" t="str">
        <x:v>B2</x:v>
      </x:c>
      <x:c r="G350" s="9" t="str">
        <x:v>INT</x:v>
      </x:c>
      <x:c r="H350" s="9" t="str">
        <x:v>IV02</x:v>
      </x:c>
      <x:c r="I350" s="17" t="str">
        <x:v>Named facility cause</x:v>
      </x:c>
      <x:c r="J350" s="17" t="str">
        <x:v>one pre-registered noncandidate cause is identified</x:v>
      </x:c>
      <x:c r="K350" s="17" t="str">
        <x:v>Facility-cause court</x:v>
      </x:c>
      <x:c r="L350" s="9" t="n">
        <x:v>0</x:v>
      </x:c>
      <x:c r="M350" s="9" t="n">
        <x:v>0</x:v>
      </x:c>
      <x:c r="N350" s="9" t="str">
        <x:v>UNFILED / UNPROVEN</x:v>
      </x:c>
      <x:c r="O350" s="9" t="n">
        <x:f>COUNTIFS($A$7:$A$1302,A350)</x:f>
        <x:v>1</x:v>
      </x:c>
    </x:row>
    <x:row r="351">
      <x:c r="A351" s="9" t="str">
        <x:v>EV-AR-HU-A-B-TECH-3-B2-INT-G0-IV03</x:v>
      </x:c>
      <x:c r="B351" s="9" t="str">
        <x:v>EV-AR-HU-A-B-TECH-3-B2-INT-G0</x:v>
      </x:c>
      <x:c r="C351" s="9" t="str">
        <x:v>AR-HU-A-B-TECH-3-B2-INT-G0</x:v>
      </x:c>
      <x:c r="D351" s="9" t="str">
        <x:v>HU-A-B-TECH-3</x:v>
      </x:c>
      <x:c r="E351" s="9" t="str">
        <x:v>HU-A-B</x:v>
      </x:c>
      <x:c r="F351" s="9" t="str">
        <x:v>B2</x:v>
      </x:c>
      <x:c r="G351" s="9" t="str">
        <x:v>INT</x:v>
      </x:c>
      <x:c r="H351" s="9" t="str">
        <x:v>IV03</x:v>
      </x:c>
      <x:c r="I351" s="17" t="str">
        <x:v>Temporal priority</x:v>
      </x:c>
      <x:c r="J351" s="17" t="str">
        <x:v>cause demonstrably precedes the disputed candidate behavior</x:v>
      </x:c>
      <x:c r="K351" s="17" t="str">
        <x:v>Time authority</x:v>
      </x:c>
      <x:c r="L351" s="9" t="n">
        <x:v>0</x:v>
      </x:c>
      <x:c r="M351" s="9" t="n">
        <x:v>0</x:v>
      </x:c>
      <x:c r="N351" s="9" t="str">
        <x:v>UNFILED / UNPROVEN</x:v>
      </x:c>
      <x:c r="O351" s="9" t="n">
        <x:f>COUNTIFS($A$7:$A$1302,A351)</x:f>
        <x:v>1</x:v>
      </x:c>
    </x:row>
    <x:row r="352">
      <x:c r="A352" s="9" t="str">
        <x:v>EV-AR-HU-A-B-TECH-3-B2-INT-G0-IV04</x:v>
      </x:c>
      <x:c r="B352" s="9" t="str">
        <x:v>EV-AR-HU-A-B-TECH-3-B2-INT-G0</x:v>
      </x:c>
      <x:c r="C352" s="9" t="str">
        <x:v>AR-HU-A-B-TECH-3-B2-INT-G0</x:v>
      </x:c>
      <x:c r="D352" s="9" t="str">
        <x:v>HU-A-B-TECH-3</x:v>
      </x:c>
      <x:c r="E352" s="9" t="str">
        <x:v>HU-A-B</x:v>
      </x:c>
      <x:c r="F352" s="9" t="str">
        <x:v>B2</x:v>
      </x:c>
      <x:c r="G352" s="9" t="str">
        <x:v>INT</x:v>
      </x:c>
      <x:c r="H352" s="9" t="str">
        <x:v>IV04</x:v>
      </x:c>
      <x:c r="I352" s="17" t="str">
        <x:v>Independent trace</x:v>
      </x:c>
      <x:c r="J352" s="17" t="str">
        <x:v>two unlike records carry the cause without candidate custody</x:v>
      </x:c>
      <x:c r="K352" s="17" t="str">
        <x:v>Invalidity court</x:v>
      </x:c>
      <x:c r="L352" s="9" t="n">
        <x:v>0</x:v>
      </x:c>
      <x:c r="M352" s="9" t="n">
        <x:v>0</x:v>
      </x:c>
      <x:c r="N352" s="9" t="str">
        <x:v>UNFILED / UNPROVEN</x:v>
      </x:c>
      <x:c r="O352" s="9" t="n">
        <x:f>COUNTIFS($A$7:$A$1302,A352)</x:f>
        <x:v>1</x:v>
      </x:c>
    </x:row>
    <x:row r="353">
      <x:c r="A353" s="9" t="str">
        <x:v>EV-AR-HU-A-B-TECH-3-B2-INT-G0-IV05</x:v>
      </x:c>
      <x:c r="B353" s="9" t="str">
        <x:v>EV-AR-HU-A-B-TECH-3-B2-INT-G0</x:v>
      </x:c>
      <x:c r="C353" s="9" t="str">
        <x:v>AR-HU-A-B-TECH-3-B2-INT-G0</x:v>
      </x:c>
      <x:c r="D353" s="9" t="str">
        <x:v>HU-A-B-TECH-3</x:v>
      </x:c>
      <x:c r="E353" s="9" t="str">
        <x:v>HU-A-B</x:v>
      </x:c>
      <x:c r="F353" s="9" t="str">
        <x:v>B2</x:v>
      </x:c>
      <x:c r="G353" s="9" t="str">
        <x:v>INT</x:v>
      </x:c>
      <x:c r="H353" s="9" t="str">
        <x:v>IV05</x:v>
      </x:c>
      <x:c r="I353" s="17" t="str">
        <x:v>Causal counterfactual</x:v>
      </x:c>
      <x:c r="J353" s="17" t="str">
        <x:v>registered counterfactual shows the cause can create the defect</x:v>
      </x:c>
      <x:c r="K353" s="17" t="str">
        <x:v>Causal court</x:v>
      </x:c>
      <x:c r="L353" s="9" t="n">
        <x:v>0</x:v>
      </x:c>
      <x:c r="M353" s="9" t="n">
        <x:v>0</x:v>
      </x:c>
      <x:c r="N353" s="9" t="str">
        <x:v>UNFILED / UNPROVEN</x:v>
      </x:c>
      <x:c r="O353" s="9" t="n">
        <x:f>COUNTIFS($A$7:$A$1302,A353)</x:f>
        <x:v>1</x:v>
      </x:c>
    </x:row>
    <x:row r="354">
      <x:c r="A354" s="9" t="str">
        <x:v>EV-AR-HU-A-B-TECH-3-B2-INT-G0-IV06</x:v>
      </x:c>
      <x:c r="B354" s="9" t="str">
        <x:v>EV-AR-HU-A-B-TECH-3-B2-INT-G0</x:v>
      </x:c>
      <x:c r="C354" s="9" t="str">
        <x:v>AR-HU-A-B-TECH-3-B2-INT-G0</x:v>
      </x:c>
      <x:c r="D354" s="9" t="str">
        <x:v>HU-A-B-TECH-3</x:v>
      </x:c>
      <x:c r="E354" s="9" t="str">
        <x:v>HU-A-B</x:v>
      </x:c>
      <x:c r="F354" s="9" t="str">
        <x:v>B2</x:v>
      </x:c>
      <x:c r="G354" s="9" t="str">
        <x:v>INT</x:v>
      </x:c>
      <x:c r="H354" s="9" t="str">
        <x:v>IV06</x:v>
      </x:c>
      <x:c r="I354" s="17" t="str">
        <x:v>Candidate non-causation</x:v>
      </x:c>
      <x:c r="J354" s="17" t="str">
        <x:v>evidence excludes candidate induction of the facility condition</x:v>
      </x:c>
      <x:c r="K354" s="17" t="str">
        <x:v>Causal court</x:v>
      </x:c>
      <x:c r="L354" s="9" t="n">
        <x:v>0</x:v>
      </x:c>
      <x:c r="M354" s="9" t="n">
        <x:v>0</x:v>
      </x:c>
      <x:c r="N354" s="9" t="str">
        <x:v>UNFILED / UNPROVEN</x:v>
      </x:c>
      <x:c r="O354" s="9" t="n">
        <x:f>COUNTIFS($A$7:$A$1302,A354)</x:f>
        <x:v>1</x:v>
      </x:c>
    </x:row>
    <x:row r="355">
      <x:c r="A355" s="9" t="str">
        <x:v>EV-AR-HU-A-B-TECH-3-B2-INT-G0-IV07</x:v>
      </x:c>
      <x:c r="B355" s="9" t="str">
        <x:v>EV-AR-HU-A-B-TECH-3-B2-INT-G0</x:v>
      </x:c>
      <x:c r="C355" s="9" t="str">
        <x:v>AR-HU-A-B-TECH-3-B2-INT-G0</x:v>
      </x:c>
      <x:c r="D355" s="9" t="str">
        <x:v>HU-A-B-TECH-3</x:v>
      </x:c>
      <x:c r="E355" s="9" t="str">
        <x:v>HU-A-B</x:v>
      </x:c>
      <x:c r="F355" s="9" t="str">
        <x:v>B2</x:v>
      </x:c>
      <x:c r="G355" s="9" t="str">
        <x:v>INT</x:v>
      </x:c>
      <x:c r="H355" s="9" t="str">
        <x:v>IV07</x:v>
      </x:c>
      <x:c r="I355" s="17" t="str">
        <x:v>No outcome selection</x:v>
      </x:c>
      <x:c r="J355" s="17" t="str">
        <x:v>petition rule and evidence scope were fixed before visibility</x:v>
      </x:c>
      <x:c r="K355" s="17" t="str">
        <x:v>Conflict registrar</x:v>
      </x:c>
      <x:c r="L355" s="9" t="n">
        <x:v>0</x:v>
      </x:c>
      <x:c r="M355" s="9" t="n">
        <x:v>0</x:v>
      </x:c>
      <x:c r="N355" s="9" t="str">
        <x:v>UNFILED / UNPROVEN</x:v>
      </x:c>
      <x:c r="O355" s="9" t="n">
        <x:f>COUNTIFS($A$7:$A$1302,A355)</x:f>
        <x:v>1</x:v>
      </x:c>
    </x:row>
    <x:row r="356">
      <x:c r="A356" s="9" t="str">
        <x:v>EV-AR-HU-A-B-TECH-3-B2-INT-G0-IV08</x:v>
      </x:c>
      <x:c r="B356" s="9" t="str">
        <x:v>EV-AR-HU-A-B-TECH-3-B2-INT-G0</x:v>
      </x:c>
      <x:c r="C356" s="9" t="str">
        <x:v>AR-HU-A-B-TECH-3-B2-INT-G0</x:v>
      </x:c>
      <x:c r="D356" s="9" t="str">
        <x:v>HU-A-B-TECH-3</x:v>
      </x:c>
      <x:c r="E356" s="9" t="str">
        <x:v>HU-A-B</x:v>
      </x:c>
      <x:c r="F356" s="9" t="str">
        <x:v>B2</x:v>
      </x:c>
      <x:c r="G356" s="9" t="str">
        <x:v>INT</x:v>
      </x:c>
      <x:c r="H356" s="9" t="str">
        <x:v>IV08</x:v>
      </x:c>
      <x:c r="I356" s="17" t="str">
        <x:v>Whole-record preservation</x:v>
      </x:c>
      <x:c r="J356" s="17" t="str">
        <x:v>start, raw behavior, dissent and intervention remain in archive</x:v>
      </x:c>
      <x:c r="K356" s="17" t="str">
        <x:v>Archive authority</x:v>
      </x:c>
      <x:c r="L356" s="9" t="n">
        <x:v>0</x:v>
      </x:c>
      <x:c r="M356" s="9" t="n">
        <x:v>0</x:v>
      </x:c>
      <x:c r="N356" s="9" t="str">
        <x:v>UNFILED / UNPROVEN</x:v>
      </x:c>
      <x:c r="O356" s="9" t="n">
        <x:f>COUNTIFS($A$7:$A$1302,A356)</x:f>
        <x:v>1</x:v>
      </x:c>
    </x:row>
    <x:row r="357">
      <x:c r="A357" s="9" t="str">
        <x:v>EV-AR-HU-A-B-TECH-3-B2-INT-G0-IV09</x:v>
      </x:c>
      <x:c r="B357" s="9" t="str">
        <x:v>EV-AR-HU-A-B-TECH-3-B2-INT-G0</x:v>
      </x:c>
      <x:c r="C357" s="9" t="str">
        <x:v>AR-HU-A-B-TECH-3-B2-INT-G0</x:v>
      </x:c>
      <x:c r="D357" s="9" t="str">
        <x:v>HU-A-B-TECH-3</x:v>
      </x:c>
      <x:c r="E357" s="9" t="str">
        <x:v>HU-A-B</x:v>
      </x:c>
      <x:c r="F357" s="9" t="str">
        <x:v>B2</x:v>
      </x:c>
      <x:c r="G357" s="9" t="str">
        <x:v>INT</x:v>
      </x:c>
      <x:c r="H357" s="9" t="str">
        <x:v>IV09</x:v>
      </x:c>
      <x:c r="I357" s="17" t="str">
        <x:v>Bounded remedy</x:v>
      </x:c>
      <x:c r="J357" s="17" t="str">
        <x:v>only a new slot and EOW may follow; no favorable credit or erased attempt</x:v>
      </x:c>
      <x:c r="K357" s="17" t="str">
        <x:v>Invalidity court</x:v>
      </x:c>
      <x:c r="L357" s="9" t="n">
        <x:v>0</x:v>
      </x:c>
      <x:c r="M357" s="9" t="n">
        <x:v>0</x:v>
      </x:c>
      <x:c r="N357" s="9" t="str">
        <x:v>UNFILED / UNPROVEN</x:v>
      </x:c>
      <x:c r="O357" s="9" t="n">
        <x:f>COUNTIFS($A$7:$A$1302,A357)</x:f>
        <x:v>1</x:v>
      </x:c>
    </x:row>
    <x:row r="358">
      <x:c r="A358" s="9" t="str">
        <x:v>EV-AR-LF-B-A-TECH-4-B2-INT-G0-IV01</x:v>
      </x:c>
      <x:c r="B358" s="9" t="str">
        <x:v>EV-AR-LF-B-A-TECH-4-B2-INT-G0</x:v>
      </x:c>
      <x:c r="C358" s="9" t="str">
        <x:v>AR-LF-B-A-TECH-4-B2-INT-G0</x:v>
      </x:c>
      <x:c r="D358" s="9" t="str">
        <x:v>LF-B-A-TECH-4</x:v>
      </x:c>
      <x:c r="E358" s="9" t="str">
        <x:v>LF-B-A</x:v>
      </x:c>
      <x:c r="F358" s="9" t="str">
        <x:v>B2</x:v>
      </x:c>
      <x:c r="G358" s="9" t="str">
        <x:v>INT</x:v>
      </x:c>
      <x:c r="H358" s="9" t="str">
        <x:v>IV01</x:v>
      </x:c>
      <x:c r="I358" s="17" t="str">
        <x:v>Timely petition</x:v>
      </x:c>
      <x:c r="J358" s="17" t="str">
        <x:v>petition enters within seventy-two hours of event close</x:v>
      </x:c>
      <x:c r="K358" s="17" t="str">
        <x:v>Invalidity registrar</x:v>
      </x:c>
      <x:c r="L358" s="9" t="n">
        <x:v>0</x:v>
      </x:c>
      <x:c r="M358" s="9" t="n">
        <x:v>0</x:v>
      </x:c>
      <x:c r="N358" s="9" t="str">
        <x:v>UNFILED / UNPROVEN</x:v>
      </x:c>
      <x:c r="O358" s="9" t="n">
        <x:f>COUNTIFS($A$7:$A$1302,A358)</x:f>
        <x:v>1</x:v>
      </x:c>
    </x:row>
    <x:row r="359">
      <x:c r="A359" s="9" t="str">
        <x:v>EV-AR-LF-B-A-TECH-4-B2-INT-G0-IV02</x:v>
      </x:c>
      <x:c r="B359" s="9" t="str">
        <x:v>EV-AR-LF-B-A-TECH-4-B2-INT-G0</x:v>
      </x:c>
      <x:c r="C359" s="9" t="str">
        <x:v>AR-LF-B-A-TECH-4-B2-INT-G0</x:v>
      </x:c>
      <x:c r="D359" s="9" t="str">
        <x:v>LF-B-A-TECH-4</x:v>
      </x:c>
      <x:c r="E359" s="9" t="str">
        <x:v>LF-B-A</x:v>
      </x:c>
      <x:c r="F359" s="9" t="str">
        <x:v>B2</x:v>
      </x:c>
      <x:c r="G359" s="9" t="str">
        <x:v>INT</x:v>
      </x:c>
      <x:c r="H359" s="9" t="str">
        <x:v>IV02</x:v>
      </x:c>
      <x:c r="I359" s="17" t="str">
        <x:v>Named facility cause</x:v>
      </x:c>
      <x:c r="J359" s="17" t="str">
        <x:v>one pre-registered noncandidate cause is identified</x:v>
      </x:c>
      <x:c r="K359" s="17" t="str">
        <x:v>Facility-cause court</x:v>
      </x:c>
      <x:c r="L359" s="9" t="n">
        <x:v>0</x:v>
      </x:c>
      <x:c r="M359" s="9" t="n">
        <x:v>0</x:v>
      </x:c>
      <x:c r="N359" s="9" t="str">
        <x:v>UNFILED / UNPROVEN</x:v>
      </x:c>
      <x:c r="O359" s="9" t="n">
        <x:f>COUNTIFS($A$7:$A$1302,A359)</x:f>
        <x:v>1</x:v>
      </x:c>
    </x:row>
    <x:row r="360">
      <x:c r="A360" s="9" t="str">
        <x:v>EV-AR-LF-B-A-TECH-4-B2-INT-G0-IV03</x:v>
      </x:c>
      <x:c r="B360" s="9" t="str">
        <x:v>EV-AR-LF-B-A-TECH-4-B2-INT-G0</x:v>
      </x:c>
      <x:c r="C360" s="9" t="str">
        <x:v>AR-LF-B-A-TECH-4-B2-INT-G0</x:v>
      </x:c>
      <x:c r="D360" s="9" t="str">
        <x:v>LF-B-A-TECH-4</x:v>
      </x:c>
      <x:c r="E360" s="9" t="str">
        <x:v>LF-B-A</x:v>
      </x:c>
      <x:c r="F360" s="9" t="str">
        <x:v>B2</x:v>
      </x:c>
      <x:c r="G360" s="9" t="str">
        <x:v>INT</x:v>
      </x:c>
      <x:c r="H360" s="9" t="str">
        <x:v>IV03</x:v>
      </x:c>
      <x:c r="I360" s="17" t="str">
        <x:v>Temporal priority</x:v>
      </x:c>
      <x:c r="J360" s="17" t="str">
        <x:v>cause demonstrably precedes the disputed candidate behavior</x:v>
      </x:c>
      <x:c r="K360" s="17" t="str">
        <x:v>Time authority</x:v>
      </x:c>
      <x:c r="L360" s="9" t="n">
        <x:v>0</x:v>
      </x:c>
      <x:c r="M360" s="9" t="n">
        <x:v>0</x:v>
      </x:c>
      <x:c r="N360" s="9" t="str">
        <x:v>UNFILED / UNPROVEN</x:v>
      </x:c>
      <x:c r="O360" s="9" t="n">
        <x:f>COUNTIFS($A$7:$A$1302,A360)</x:f>
        <x:v>1</x:v>
      </x:c>
    </x:row>
    <x:row r="361">
      <x:c r="A361" s="9" t="str">
        <x:v>EV-AR-LF-B-A-TECH-4-B2-INT-G0-IV04</x:v>
      </x:c>
      <x:c r="B361" s="9" t="str">
        <x:v>EV-AR-LF-B-A-TECH-4-B2-INT-G0</x:v>
      </x:c>
      <x:c r="C361" s="9" t="str">
        <x:v>AR-LF-B-A-TECH-4-B2-INT-G0</x:v>
      </x:c>
      <x:c r="D361" s="9" t="str">
        <x:v>LF-B-A-TECH-4</x:v>
      </x:c>
      <x:c r="E361" s="9" t="str">
        <x:v>LF-B-A</x:v>
      </x:c>
      <x:c r="F361" s="9" t="str">
        <x:v>B2</x:v>
      </x:c>
      <x:c r="G361" s="9" t="str">
        <x:v>INT</x:v>
      </x:c>
      <x:c r="H361" s="9" t="str">
        <x:v>IV04</x:v>
      </x:c>
      <x:c r="I361" s="17" t="str">
        <x:v>Independent trace</x:v>
      </x:c>
      <x:c r="J361" s="17" t="str">
        <x:v>two unlike records carry the cause without candidate custody</x:v>
      </x:c>
      <x:c r="K361" s="17" t="str">
        <x:v>Invalidity court</x:v>
      </x:c>
      <x:c r="L361" s="9" t="n">
        <x:v>0</x:v>
      </x:c>
      <x:c r="M361" s="9" t="n">
        <x:v>0</x:v>
      </x:c>
      <x:c r="N361" s="9" t="str">
        <x:v>UNFILED / UNPROVEN</x:v>
      </x:c>
      <x:c r="O361" s="9" t="n">
        <x:f>COUNTIFS($A$7:$A$1302,A361)</x:f>
        <x:v>1</x:v>
      </x:c>
    </x:row>
    <x:row r="362">
      <x:c r="A362" s="9" t="str">
        <x:v>EV-AR-LF-B-A-TECH-4-B2-INT-G0-IV05</x:v>
      </x:c>
      <x:c r="B362" s="9" t="str">
        <x:v>EV-AR-LF-B-A-TECH-4-B2-INT-G0</x:v>
      </x:c>
      <x:c r="C362" s="9" t="str">
        <x:v>AR-LF-B-A-TECH-4-B2-INT-G0</x:v>
      </x:c>
      <x:c r="D362" s="9" t="str">
        <x:v>LF-B-A-TECH-4</x:v>
      </x:c>
      <x:c r="E362" s="9" t="str">
        <x:v>LF-B-A</x:v>
      </x:c>
      <x:c r="F362" s="9" t="str">
        <x:v>B2</x:v>
      </x:c>
      <x:c r="G362" s="9" t="str">
        <x:v>INT</x:v>
      </x:c>
      <x:c r="H362" s="9" t="str">
        <x:v>IV05</x:v>
      </x:c>
      <x:c r="I362" s="17" t="str">
        <x:v>Causal counterfactual</x:v>
      </x:c>
      <x:c r="J362" s="17" t="str">
        <x:v>registered counterfactual shows the cause can create the defect</x:v>
      </x:c>
      <x:c r="K362" s="17" t="str">
        <x:v>Causal court</x:v>
      </x:c>
      <x:c r="L362" s="9" t="n">
        <x:v>0</x:v>
      </x:c>
      <x:c r="M362" s="9" t="n">
        <x:v>0</x:v>
      </x:c>
      <x:c r="N362" s="9" t="str">
        <x:v>UNFILED / UNPROVEN</x:v>
      </x:c>
      <x:c r="O362" s="9" t="n">
        <x:f>COUNTIFS($A$7:$A$1302,A362)</x:f>
        <x:v>1</x:v>
      </x:c>
    </x:row>
    <x:row r="363">
      <x:c r="A363" s="9" t="str">
        <x:v>EV-AR-LF-B-A-TECH-4-B2-INT-G0-IV06</x:v>
      </x:c>
      <x:c r="B363" s="9" t="str">
        <x:v>EV-AR-LF-B-A-TECH-4-B2-INT-G0</x:v>
      </x:c>
      <x:c r="C363" s="9" t="str">
        <x:v>AR-LF-B-A-TECH-4-B2-INT-G0</x:v>
      </x:c>
      <x:c r="D363" s="9" t="str">
        <x:v>LF-B-A-TECH-4</x:v>
      </x:c>
      <x:c r="E363" s="9" t="str">
        <x:v>LF-B-A</x:v>
      </x:c>
      <x:c r="F363" s="9" t="str">
        <x:v>B2</x:v>
      </x:c>
      <x:c r="G363" s="9" t="str">
        <x:v>INT</x:v>
      </x:c>
      <x:c r="H363" s="9" t="str">
        <x:v>IV06</x:v>
      </x:c>
      <x:c r="I363" s="17" t="str">
        <x:v>Candidate non-causation</x:v>
      </x:c>
      <x:c r="J363" s="17" t="str">
        <x:v>evidence excludes candidate induction of the facility condition</x:v>
      </x:c>
      <x:c r="K363" s="17" t="str">
        <x:v>Causal court</x:v>
      </x:c>
      <x:c r="L363" s="9" t="n">
        <x:v>0</x:v>
      </x:c>
      <x:c r="M363" s="9" t="n">
        <x:v>0</x:v>
      </x:c>
      <x:c r="N363" s="9" t="str">
        <x:v>UNFILED / UNPROVEN</x:v>
      </x:c>
      <x:c r="O363" s="9" t="n">
        <x:f>COUNTIFS($A$7:$A$1302,A363)</x:f>
        <x:v>1</x:v>
      </x:c>
    </x:row>
    <x:row r="364">
      <x:c r="A364" s="9" t="str">
        <x:v>EV-AR-LF-B-A-TECH-4-B2-INT-G0-IV07</x:v>
      </x:c>
      <x:c r="B364" s="9" t="str">
        <x:v>EV-AR-LF-B-A-TECH-4-B2-INT-G0</x:v>
      </x:c>
      <x:c r="C364" s="9" t="str">
        <x:v>AR-LF-B-A-TECH-4-B2-INT-G0</x:v>
      </x:c>
      <x:c r="D364" s="9" t="str">
        <x:v>LF-B-A-TECH-4</x:v>
      </x:c>
      <x:c r="E364" s="9" t="str">
        <x:v>LF-B-A</x:v>
      </x:c>
      <x:c r="F364" s="9" t="str">
        <x:v>B2</x:v>
      </x:c>
      <x:c r="G364" s="9" t="str">
        <x:v>INT</x:v>
      </x:c>
      <x:c r="H364" s="9" t="str">
        <x:v>IV07</x:v>
      </x:c>
      <x:c r="I364" s="17" t="str">
        <x:v>No outcome selection</x:v>
      </x:c>
      <x:c r="J364" s="17" t="str">
        <x:v>petition rule and evidence scope were fixed before visibility</x:v>
      </x:c>
      <x:c r="K364" s="17" t="str">
        <x:v>Conflict registrar</x:v>
      </x:c>
      <x:c r="L364" s="9" t="n">
        <x:v>0</x:v>
      </x:c>
      <x:c r="M364" s="9" t="n">
        <x:v>0</x:v>
      </x:c>
      <x:c r="N364" s="9" t="str">
        <x:v>UNFILED / UNPROVEN</x:v>
      </x:c>
      <x:c r="O364" s="9" t="n">
        <x:f>COUNTIFS($A$7:$A$1302,A364)</x:f>
        <x:v>1</x:v>
      </x:c>
    </x:row>
    <x:row r="365">
      <x:c r="A365" s="9" t="str">
        <x:v>EV-AR-LF-B-A-TECH-4-B2-INT-G0-IV08</x:v>
      </x:c>
      <x:c r="B365" s="9" t="str">
        <x:v>EV-AR-LF-B-A-TECH-4-B2-INT-G0</x:v>
      </x:c>
      <x:c r="C365" s="9" t="str">
        <x:v>AR-LF-B-A-TECH-4-B2-INT-G0</x:v>
      </x:c>
      <x:c r="D365" s="9" t="str">
        <x:v>LF-B-A-TECH-4</x:v>
      </x:c>
      <x:c r="E365" s="9" t="str">
        <x:v>LF-B-A</x:v>
      </x:c>
      <x:c r="F365" s="9" t="str">
        <x:v>B2</x:v>
      </x:c>
      <x:c r="G365" s="9" t="str">
        <x:v>INT</x:v>
      </x:c>
      <x:c r="H365" s="9" t="str">
        <x:v>IV08</x:v>
      </x:c>
      <x:c r="I365" s="17" t="str">
        <x:v>Whole-record preservation</x:v>
      </x:c>
      <x:c r="J365" s="17" t="str">
        <x:v>start, raw behavior, dissent and intervention remain in archive</x:v>
      </x:c>
      <x:c r="K365" s="17" t="str">
        <x:v>Archive authority</x:v>
      </x:c>
      <x:c r="L365" s="9" t="n">
        <x:v>0</x:v>
      </x:c>
      <x:c r="M365" s="9" t="n">
        <x:v>0</x:v>
      </x:c>
      <x:c r="N365" s="9" t="str">
        <x:v>UNFILED / UNPROVEN</x:v>
      </x:c>
      <x:c r="O365" s="9" t="n">
        <x:f>COUNTIFS($A$7:$A$1302,A365)</x:f>
        <x:v>1</x:v>
      </x:c>
    </x:row>
    <x:row r="366">
      <x:c r="A366" s="9" t="str">
        <x:v>EV-AR-LF-B-A-TECH-4-B2-INT-G0-IV09</x:v>
      </x:c>
      <x:c r="B366" s="9" t="str">
        <x:v>EV-AR-LF-B-A-TECH-4-B2-INT-G0</x:v>
      </x:c>
      <x:c r="C366" s="9" t="str">
        <x:v>AR-LF-B-A-TECH-4-B2-INT-G0</x:v>
      </x:c>
      <x:c r="D366" s="9" t="str">
        <x:v>LF-B-A-TECH-4</x:v>
      </x:c>
      <x:c r="E366" s="9" t="str">
        <x:v>LF-B-A</x:v>
      </x:c>
      <x:c r="F366" s="9" t="str">
        <x:v>B2</x:v>
      </x:c>
      <x:c r="G366" s="9" t="str">
        <x:v>INT</x:v>
      </x:c>
      <x:c r="H366" s="9" t="str">
        <x:v>IV09</x:v>
      </x:c>
      <x:c r="I366" s="17" t="str">
        <x:v>Bounded remedy</x:v>
      </x:c>
      <x:c r="J366" s="17" t="str">
        <x:v>only a new slot and EOW may follow; no favorable credit or erased attempt</x:v>
      </x:c>
      <x:c r="K366" s="17" t="str">
        <x:v>Invalidity court</x:v>
      </x:c>
      <x:c r="L366" s="9" t="n">
        <x:v>0</x:v>
      </x:c>
      <x:c r="M366" s="9" t="n">
        <x:v>0</x:v>
      </x:c>
      <x:c r="N366" s="9" t="str">
        <x:v>UNFILED / UNPROVEN</x:v>
      </x:c>
      <x:c r="O366" s="9" t="n">
        <x:f>COUNTIFS($A$7:$A$1302,A366)</x:f>
        <x:v>1</x:v>
      </x:c>
    </x:row>
    <x:row r="367">
      <x:c r="A367" s="9" t="str">
        <x:v>EV-AR-RT-B-C-TECH-4-B2-RCN-G0-IV01</x:v>
      </x:c>
      <x:c r="B367" s="9" t="str">
        <x:v>EV-AR-RT-B-C-TECH-4-B2-RCN-G0</x:v>
      </x:c>
      <x:c r="C367" s="9" t="str">
        <x:v>AR-RT-B-C-TECH-4-B2-RCN-G0</x:v>
      </x:c>
      <x:c r="D367" s="9" t="str">
        <x:v>RT-B-C-TECH-4</x:v>
      </x:c>
      <x:c r="E367" s="9" t="str">
        <x:v>RT-B-C</x:v>
      </x:c>
      <x:c r="F367" s="9" t="str">
        <x:v>B2</x:v>
      </x:c>
      <x:c r="G367" s="9" t="str">
        <x:v>RCN</x:v>
      </x:c>
      <x:c r="H367" s="9" t="str">
        <x:v>IV01</x:v>
      </x:c>
      <x:c r="I367" s="17" t="str">
        <x:v>Timely petition</x:v>
      </x:c>
      <x:c r="J367" s="17" t="str">
        <x:v>petition enters within seventy-two hours of event close</x:v>
      </x:c>
      <x:c r="K367" s="17" t="str">
        <x:v>Invalidity registrar</x:v>
      </x:c>
      <x:c r="L367" s="9" t="n">
        <x:v>0</x:v>
      </x:c>
      <x:c r="M367" s="9" t="n">
        <x:v>0</x:v>
      </x:c>
      <x:c r="N367" s="9" t="str">
        <x:v>UNFILED / UNPROVEN</x:v>
      </x:c>
      <x:c r="O367" s="9" t="n">
        <x:f>COUNTIFS($A$7:$A$1302,A367)</x:f>
        <x:v>1</x:v>
      </x:c>
    </x:row>
    <x:row r="368">
      <x:c r="A368" s="9" t="str">
        <x:v>EV-AR-RT-B-C-TECH-4-B2-RCN-G0-IV02</x:v>
      </x:c>
      <x:c r="B368" s="9" t="str">
        <x:v>EV-AR-RT-B-C-TECH-4-B2-RCN-G0</x:v>
      </x:c>
      <x:c r="C368" s="9" t="str">
        <x:v>AR-RT-B-C-TECH-4-B2-RCN-G0</x:v>
      </x:c>
      <x:c r="D368" s="9" t="str">
        <x:v>RT-B-C-TECH-4</x:v>
      </x:c>
      <x:c r="E368" s="9" t="str">
        <x:v>RT-B-C</x:v>
      </x:c>
      <x:c r="F368" s="9" t="str">
        <x:v>B2</x:v>
      </x:c>
      <x:c r="G368" s="9" t="str">
        <x:v>RCN</x:v>
      </x:c>
      <x:c r="H368" s="9" t="str">
        <x:v>IV02</x:v>
      </x:c>
      <x:c r="I368" s="17" t="str">
        <x:v>Named facility cause</x:v>
      </x:c>
      <x:c r="J368" s="17" t="str">
        <x:v>one pre-registered noncandidate cause is identified</x:v>
      </x:c>
      <x:c r="K368" s="17" t="str">
        <x:v>Facility-cause court</x:v>
      </x:c>
      <x:c r="L368" s="9" t="n">
        <x:v>0</x:v>
      </x:c>
      <x:c r="M368" s="9" t="n">
        <x:v>0</x:v>
      </x:c>
      <x:c r="N368" s="9" t="str">
        <x:v>UNFILED / UNPROVEN</x:v>
      </x:c>
      <x:c r="O368" s="9" t="n">
        <x:f>COUNTIFS($A$7:$A$1302,A368)</x:f>
        <x:v>1</x:v>
      </x:c>
    </x:row>
    <x:row r="369">
      <x:c r="A369" s="9" t="str">
        <x:v>EV-AR-RT-B-C-TECH-4-B2-RCN-G0-IV03</x:v>
      </x:c>
      <x:c r="B369" s="9" t="str">
        <x:v>EV-AR-RT-B-C-TECH-4-B2-RCN-G0</x:v>
      </x:c>
      <x:c r="C369" s="9" t="str">
        <x:v>AR-RT-B-C-TECH-4-B2-RCN-G0</x:v>
      </x:c>
      <x:c r="D369" s="9" t="str">
        <x:v>RT-B-C-TECH-4</x:v>
      </x:c>
      <x:c r="E369" s="9" t="str">
        <x:v>RT-B-C</x:v>
      </x:c>
      <x:c r="F369" s="9" t="str">
        <x:v>B2</x:v>
      </x:c>
      <x:c r="G369" s="9" t="str">
        <x:v>RCN</x:v>
      </x:c>
      <x:c r="H369" s="9" t="str">
        <x:v>IV03</x:v>
      </x:c>
      <x:c r="I369" s="17" t="str">
        <x:v>Temporal priority</x:v>
      </x:c>
      <x:c r="J369" s="17" t="str">
        <x:v>cause demonstrably precedes the disputed candidate behavior</x:v>
      </x:c>
      <x:c r="K369" s="17" t="str">
        <x:v>Time authority</x:v>
      </x:c>
      <x:c r="L369" s="9" t="n">
        <x:v>0</x:v>
      </x:c>
      <x:c r="M369" s="9" t="n">
        <x:v>0</x:v>
      </x:c>
      <x:c r="N369" s="9" t="str">
        <x:v>UNFILED / UNPROVEN</x:v>
      </x:c>
      <x:c r="O369" s="9" t="n">
        <x:f>COUNTIFS($A$7:$A$1302,A369)</x:f>
        <x:v>1</x:v>
      </x:c>
    </x:row>
    <x:row r="370">
      <x:c r="A370" s="9" t="str">
        <x:v>EV-AR-RT-B-C-TECH-4-B2-RCN-G0-IV04</x:v>
      </x:c>
      <x:c r="B370" s="9" t="str">
        <x:v>EV-AR-RT-B-C-TECH-4-B2-RCN-G0</x:v>
      </x:c>
      <x:c r="C370" s="9" t="str">
        <x:v>AR-RT-B-C-TECH-4-B2-RCN-G0</x:v>
      </x:c>
      <x:c r="D370" s="9" t="str">
        <x:v>RT-B-C-TECH-4</x:v>
      </x:c>
      <x:c r="E370" s="9" t="str">
        <x:v>RT-B-C</x:v>
      </x:c>
      <x:c r="F370" s="9" t="str">
        <x:v>B2</x:v>
      </x:c>
      <x:c r="G370" s="9" t="str">
        <x:v>RCN</x:v>
      </x:c>
      <x:c r="H370" s="9" t="str">
        <x:v>IV04</x:v>
      </x:c>
      <x:c r="I370" s="17" t="str">
        <x:v>Independent trace</x:v>
      </x:c>
      <x:c r="J370" s="17" t="str">
        <x:v>two unlike records carry the cause without candidate custody</x:v>
      </x:c>
      <x:c r="K370" s="17" t="str">
        <x:v>Invalidity court</x:v>
      </x:c>
      <x:c r="L370" s="9" t="n">
        <x:v>0</x:v>
      </x:c>
      <x:c r="M370" s="9" t="n">
        <x:v>0</x:v>
      </x:c>
      <x:c r="N370" s="9" t="str">
        <x:v>UNFILED / UNPROVEN</x:v>
      </x:c>
      <x:c r="O370" s="9" t="n">
        <x:f>COUNTIFS($A$7:$A$1302,A370)</x:f>
        <x:v>1</x:v>
      </x:c>
    </x:row>
    <x:row r="371">
      <x:c r="A371" s="9" t="str">
        <x:v>EV-AR-RT-B-C-TECH-4-B2-RCN-G0-IV05</x:v>
      </x:c>
      <x:c r="B371" s="9" t="str">
        <x:v>EV-AR-RT-B-C-TECH-4-B2-RCN-G0</x:v>
      </x:c>
      <x:c r="C371" s="9" t="str">
        <x:v>AR-RT-B-C-TECH-4-B2-RCN-G0</x:v>
      </x:c>
      <x:c r="D371" s="9" t="str">
        <x:v>RT-B-C-TECH-4</x:v>
      </x:c>
      <x:c r="E371" s="9" t="str">
        <x:v>RT-B-C</x:v>
      </x:c>
      <x:c r="F371" s="9" t="str">
        <x:v>B2</x:v>
      </x:c>
      <x:c r="G371" s="9" t="str">
        <x:v>RCN</x:v>
      </x:c>
      <x:c r="H371" s="9" t="str">
        <x:v>IV05</x:v>
      </x:c>
      <x:c r="I371" s="17" t="str">
        <x:v>Causal counterfactual</x:v>
      </x:c>
      <x:c r="J371" s="17" t="str">
        <x:v>registered counterfactual shows the cause can create the defect</x:v>
      </x:c>
      <x:c r="K371" s="17" t="str">
        <x:v>Causal court</x:v>
      </x:c>
      <x:c r="L371" s="9" t="n">
        <x:v>0</x:v>
      </x:c>
      <x:c r="M371" s="9" t="n">
        <x:v>0</x:v>
      </x:c>
      <x:c r="N371" s="9" t="str">
        <x:v>UNFILED / UNPROVEN</x:v>
      </x:c>
      <x:c r="O371" s="9" t="n">
        <x:f>COUNTIFS($A$7:$A$1302,A371)</x:f>
        <x:v>1</x:v>
      </x:c>
    </x:row>
    <x:row r="372">
      <x:c r="A372" s="9" t="str">
        <x:v>EV-AR-RT-B-C-TECH-4-B2-RCN-G0-IV06</x:v>
      </x:c>
      <x:c r="B372" s="9" t="str">
        <x:v>EV-AR-RT-B-C-TECH-4-B2-RCN-G0</x:v>
      </x:c>
      <x:c r="C372" s="9" t="str">
        <x:v>AR-RT-B-C-TECH-4-B2-RCN-G0</x:v>
      </x:c>
      <x:c r="D372" s="9" t="str">
        <x:v>RT-B-C-TECH-4</x:v>
      </x:c>
      <x:c r="E372" s="9" t="str">
        <x:v>RT-B-C</x:v>
      </x:c>
      <x:c r="F372" s="9" t="str">
        <x:v>B2</x:v>
      </x:c>
      <x:c r="G372" s="9" t="str">
        <x:v>RCN</x:v>
      </x:c>
      <x:c r="H372" s="9" t="str">
        <x:v>IV06</x:v>
      </x:c>
      <x:c r="I372" s="17" t="str">
        <x:v>Candidate non-causation</x:v>
      </x:c>
      <x:c r="J372" s="17" t="str">
        <x:v>evidence excludes candidate induction of the facility condition</x:v>
      </x:c>
      <x:c r="K372" s="17" t="str">
        <x:v>Causal court</x:v>
      </x:c>
      <x:c r="L372" s="9" t="n">
        <x:v>0</x:v>
      </x:c>
      <x:c r="M372" s="9" t="n">
        <x:v>0</x:v>
      </x:c>
      <x:c r="N372" s="9" t="str">
        <x:v>UNFILED / UNPROVEN</x:v>
      </x:c>
      <x:c r="O372" s="9" t="n">
        <x:f>COUNTIFS($A$7:$A$1302,A372)</x:f>
        <x:v>1</x:v>
      </x:c>
    </x:row>
    <x:row r="373">
      <x:c r="A373" s="9" t="str">
        <x:v>EV-AR-RT-B-C-TECH-4-B2-RCN-G0-IV07</x:v>
      </x:c>
      <x:c r="B373" s="9" t="str">
        <x:v>EV-AR-RT-B-C-TECH-4-B2-RCN-G0</x:v>
      </x:c>
      <x:c r="C373" s="9" t="str">
        <x:v>AR-RT-B-C-TECH-4-B2-RCN-G0</x:v>
      </x:c>
      <x:c r="D373" s="9" t="str">
        <x:v>RT-B-C-TECH-4</x:v>
      </x:c>
      <x:c r="E373" s="9" t="str">
        <x:v>RT-B-C</x:v>
      </x:c>
      <x:c r="F373" s="9" t="str">
        <x:v>B2</x:v>
      </x:c>
      <x:c r="G373" s="9" t="str">
        <x:v>RCN</x:v>
      </x:c>
      <x:c r="H373" s="9" t="str">
        <x:v>IV07</x:v>
      </x:c>
      <x:c r="I373" s="17" t="str">
        <x:v>No outcome selection</x:v>
      </x:c>
      <x:c r="J373" s="17" t="str">
        <x:v>petition rule and evidence scope were fixed before visibility</x:v>
      </x:c>
      <x:c r="K373" s="17" t="str">
        <x:v>Conflict registrar</x:v>
      </x:c>
      <x:c r="L373" s="9" t="n">
        <x:v>0</x:v>
      </x:c>
      <x:c r="M373" s="9" t="n">
        <x:v>0</x:v>
      </x:c>
      <x:c r="N373" s="9" t="str">
        <x:v>UNFILED / UNPROVEN</x:v>
      </x:c>
      <x:c r="O373" s="9" t="n">
        <x:f>COUNTIFS($A$7:$A$1302,A373)</x:f>
        <x:v>1</x:v>
      </x:c>
    </x:row>
    <x:row r="374">
      <x:c r="A374" s="9" t="str">
        <x:v>EV-AR-RT-B-C-TECH-4-B2-RCN-G0-IV08</x:v>
      </x:c>
      <x:c r="B374" s="9" t="str">
        <x:v>EV-AR-RT-B-C-TECH-4-B2-RCN-G0</x:v>
      </x:c>
      <x:c r="C374" s="9" t="str">
        <x:v>AR-RT-B-C-TECH-4-B2-RCN-G0</x:v>
      </x:c>
      <x:c r="D374" s="9" t="str">
        <x:v>RT-B-C-TECH-4</x:v>
      </x:c>
      <x:c r="E374" s="9" t="str">
        <x:v>RT-B-C</x:v>
      </x:c>
      <x:c r="F374" s="9" t="str">
        <x:v>B2</x:v>
      </x:c>
      <x:c r="G374" s="9" t="str">
        <x:v>RCN</x:v>
      </x:c>
      <x:c r="H374" s="9" t="str">
        <x:v>IV08</x:v>
      </x:c>
      <x:c r="I374" s="17" t="str">
        <x:v>Whole-record preservation</x:v>
      </x:c>
      <x:c r="J374" s="17" t="str">
        <x:v>start, raw behavior, dissent and intervention remain in archive</x:v>
      </x:c>
      <x:c r="K374" s="17" t="str">
        <x:v>Archive authority</x:v>
      </x:c>
      <x:c r="L374" s="9" t="n">
        <x:v>0</x:v>
      </x:c>
      <x:c r="M374" s="9" t="n">
        <x:v>0</x:v>
      </x:c>
      <x:c r="N374" s="9" t="str">
        <x:v>UNFILED / UNPROVEN</x:v>
      </x:c>
      <x:c r="O374" s="9" t="n">
        <x:f>COUNTIFS($A$7:$A$1302,A374)</x:f>
        <x:v>1</x:v>
      </x:c>
    </x:row>
    <x:row r="375">
      <x:c r="A375" s="9" t="str">
        <x:v>EV-AR-RT-B-C-TECH-4-B2-RCN-G0-IV09</x:v>
      </x:c>
      <x:c r="B375" s="9" t="str">
        <x:v>EV-AR-RT-B-C-TECH-4-B2-RCN-G0</x:v>
      </x:c>
      <x:c r="C375" s="9" t="str">
        <x:v>AR-RT-B-C-TECH-4-B2-RCN-G0</x:v>
      </x:c>
      <x:c r="D375" s="9" t="str">
        <x:v>RT-B-C-TECH-4</x:v>
      </x:c>
      <x:c r="E375" s="9" t="str">
        <x:v>RT-B-C</x:v>
      </x:c>
      <x:c r="F375" s="9" t="str">
        <x:v>B2</x:v>
      </x:c>
      <x:c r="G375" s="9" t="str">
        <x:v>RCN</x:v>
      </x:c>
      <x:c r="H375" s="9" t="str">
        <x:v>IV09</x:v>
      </x:c>
      <x:c r="I375" s="17" t="str">
        <x:v>Bounded remedy</x:v>
      </x:c>
      <x:c r="J375" s="17" t="str">
        <x:v>only a new slot and EOW may follow; no favorable credit or erased attempt</x:v>
      </x:c>
      <x:c r="K375" s="17" t="str">
        <x:v>Invalidity court</x:v>
      </x:c>
      <x:c r="L375" s="9" t="n">
        <x:v>0</x:v>
      </x:c>
      <x:c r="M375" s="9" t="n">
        <x:v>0</x:v>
      </x:c>
      <x:c r="N375" s="9" t="str">
        <x:v>UNFILED / UNPROVEN</x:v>
      </x:c>
      <x:c r="O375" s="9" t="n">
        <x:f>COUNTIFS($A$7:$A$1302,A375)</x:f>
        <x:v>1</x:v>
      </x:c>
    </x:row>
    <x:row r="376">
      <x:c r="A376" s="9" t="str">
        <x:v>EV-AR-RT-B-C-TECH-2-B2-INT-G0-IV01</x:v>
      </x:c>
      <x:c r="B376" s="9" t="str">
        <x:v>EV-AR-RT-B-C-TECH-2-B2-INT-G0</x:v>
      </x:c>
      <x:c r="C376" s="9" t="str">
        <x:v>AR-RT-B-C-TECH-2-B2-INT-G0</x:v>
      </x:c>
      <x:c r="D376" s="9" t="str">
        <x:v>RT-B-C-TECH-2</x:v>
      </x:c>
      <x:c r="E376" s="9" t="str">
        <x:v>RT-B-C</x:v>
      </x:c>
      <x:c r="F376" s="9" t="str">
        <x:v>B2</x:v>
      </x:c>
      <x:c r="G376" s="9" t="str">
        <x:v>INT</x:v>
      </x:c>
      <x:c r="H376" s="9" t="str">
        <x:v>IV01</x:v>
      </x:c>
      <x:c r="I376" s="17" t="str">
        <x:v>Timely petition</x:v>
      </x:c>
      <x:c r="J376" s="17" t="str">
        <x:v>petition enters within seventy-two hours of event close</x:v>
      </x:c>
      <x:c r="K376" s="17" t="str">
        <x:v>Invalidity registrar</x:v>
      </x:c>
      <x:c r="L376" s="9" t="n">
        <x:v>0</x:v>
      </x:c>
      <x:c r="M376" s="9" t="n">
        <x:v>0</x:v>
      </x:c>
      <x:c r="N376" s="9" t="str">
        <x:v>UNFILED / UNPROVEN</x:v>
      </x:c>
      <x:c r="O376" s="9" t="n">
        <x:f>COUNTIFS($A$7:$A$1302,A376)</x:f>
        <x:v>1</x:v>
      </x:c>
    </x:row>
    <x:row r="377">
      <x:c r="A377" s="9" t="str">
        <x:v>EV-AR-RT-B-C-TECH-2-B2-INT-G0-IV02</x:v>
      </x:c>
      <x:c r="B377" s="9" t="str">
        <x:v>EV-AR-RT-B-C-TECH-2-B2-INT-G0</x:v>
      </x:c>
      <x:c r="C377" s="9" t="str">
        <x:v>AR-RT-B-C-TECH-2-B2-INT-G0</x:v>
      </x:c>
      <x:c r="D377" s="9" t="str">
        <x:v>RT-B-C-TECH-2</x:v>
      </x:c>
      <x:c r="E377" s="9" t="str">
        <x:v>RT-B-C</x:v>
      </x:c>
      <x:c r="F377" s="9" t="str">
        <x:v>B2</x:v>
      </x:c>
      <x:c r="G377" s="9" t="str">
        <x:v>INT</x:v>
      </x:c>
      <x:c r="H377" s="9" t="str">
        <x:v>IV02</x:v>
      </x:c>
      <x:c r="I377" s="17" t="str">
        <x:v>Named facility cause</x:v>
      </x:c>
      <x:c r="J377" s="17" t="str">
        <x:v>one pre-registered noncandidate cause is identified</x:v>
      </x:c>
      <x:c r="K377" s="17" t="str">
        <x:v>Facility-cause court</x:v>
      </x:c>
      <x:c r="L377" s="9" t="n">
        <x:v>0</x:v>
      </x:c>
      <x:c r="M377" s="9" t="n">
        <x:v>0</x:v>
      </x:c>
      <x:c r="N377" s="9" t="str">
        <x:v>UNFILED / UNPROVEN</x:v>
      </x:c>
      <x:c r="O377" s="9" t="n">
        <x:f>COUNTIFS($A$7:$A$1302,A377)</x:f>
        <x:v>1</x:v>
      </x:c>
    </x:row>
    <x:row r="378">
      <x:c r="A378" s="9" t="str">
        <x:v>EV-AR-RT-B-C-TECH-2-B2-INT-G0-IV03</x:v>
      </x:c>
      <x:c r="B378" s="9" t="str">
        <x:v>EV-AR-RT-B-C-TECH-2-B2-INT-G0</x:v>
      </x:c>
      <x:c r="C378" s="9" t="str">
        <x:v>AR-RT-B-C-TECH-2-B2-INT-G0</x:v>
      </x:c>
      <x:c r="D378" s="9" t="str">
        <x:v>RT-B-C-TECH-2</x:v>
      </x:c>
      <x:c r="E378" s="9" t="str">
        <x:v>RT-B-C</x:v>
      </x:c>
      <x:c r="F378" s="9" t="str">
        <x:v>B2</x:v>
      </x:c>
      <x:c r="G378" s="9" t="str">
        <x:v>INT</x:v>
      </x:c>
      <x:c r="H378" s="9" t="str">
        <x:v>IV03</x:v>
      </x:c>
      <x:c r="I378" s="17" t="str">
        <x:v>Temporal priority</x:v>
      </x:c>
      <x:c r="J378" s="17" t="str">
        <x:v>cause demonstrably precedes the disputed candidate behavior</x:v>
      </x:c>
      <x:c r="K378" s="17" t="str">
        <x:v>Time authority</x:v>
      </x:c>
      <x:c r="L378" s="9" t="n">
        <x:v>0</x:v>
      </x:c>
      <x:c r="M378" s="9" t="n">
        <x:v>0</x:v>
      </x:c>
      <x:c r="N378" s="9" t="str">
        <x:v>UNFILED / UNPROVEN</x:v>
      </x:c>
      <x:c r="O378" s="9" t="n">
        <x:f>COUNTIFS($A$7:$A$1302,A378)</x:f>
        <x:v>1</x:v>
      </x:c>
    </x:row>
    <x:row r="379">
      <x:c r="A379" s="9" t="str">
        <x:v>EV-AR-RT-B-C-TECH-2-B2-INT-G0-IV04</x:v>
      </x:c>
      <x:c r="B379" s="9" t="str">
        <x:v>EV-AR-RT-B-C-TECH-2-B2-INT-G0</x:v>
      </x:c>
      <x:c r="C379" s="9" t="str">
        <x:v>AR-RT-B-C-TECH-2-B2-INT-G0</x:v>
      </x:c>
      <x:c r="D379" s="9" t="str">
        <x:v>RT-B-C-TECH-2</x:v>
      </x:c>
      <x:c r="E379" s="9" t="str">
        <x:v>RT-B-C</x:v>
      </x:c>
      <x:c r="F379" s="9" t="str">
        <x:v>B2</x:v>
      </x:c>
      <x:c r="G379" s="9" t="str">
        <x:v>INT</x:v>
      </x:c>
      <x:c r="H379" s="9" t="str">
        <x:v>IV04</x:v>
      </x:c>
      <x:c r="I379" s="17" t="str">
        <x:v>Independent trace</x:v>
      </x:c>
      <x:c r="J379" s="17" t="str">
        <x:v>two unlike records carry the cause without candidate custody</x:v>
      </x:c>
      <x:c r="K379" s="17" t="str">
        <x:v>Invalidity court</x:v>
      </x:c>
      <x:c r="L379" s="9" t="n">
        <x:v>0</x:v>
      </x:c>
      <x:c r="M379" s="9" t="n">
        <x:v>0</x:v>
      </x:c>
      <x:c r="N379" s="9" t="str">
        <x:v>UNFILED / UNPROVEN</x:v>
      </x:c>
      <x:c r="O379" s="9" t="n">
        <x:f>COUNTIFS($A$7:$A$1302,A379)</x:f>
        <x:v>1</x:v>
      </x:c>
    </x:row>
    <x:row r="380">
      <x:c r="A380" s="9" t="str">
        <x:v>EV-AR-RT-B-C-TECH-2-B2-INT-G0-IV05</x:v>
      </x:c>
      <x:c r="B380" s="9" t="str">
        <x:v>EV-AR-RT-B-C-TECH-2-B2-INT-G0</x:v>
      </x:c>
      <x:c r="C380" s="9" t="str">
        <x:v>AR-RT-B-C-TECH-2-B2-INT-G0</x:v>
      </x:c>
      <x:c r="D380" s="9" t="str">
        <x:v>RT-B-C-TECH-2</x:v>
      </x:c>
      <x:c r="E380" s="9" t="str">
        <x:v>RT-B-C</x:v>
      </x:c>
      <x:c r="F380" s="9" t="str">
        <x:v>B2</x:v>
      </x:c>
      <x:c r="G380" s="9" t="str">
        <x:v>INT</x:v>
      </x:c>
      <x:c r="H380" s="9" t="str">
        <x:v>IV05</x:v>
      </x:c>
      <x:c r="I380" s="17" t="str">
        <x:v>Causal counterfactual</x:v>
      </x:c>
      <x:c r="J380" s="17" t="str">
        <x:v>registered counterfactual shows the cause can create the defect</x:v>
      </x:c>
      <x:c r="K380" s="17" t="str">
        <x:v>Causal court</x:v>
      </x:c>
      <x:c r="L380" s="9" t="n">
        <x:v>0</x:v>
      </x:c>
      <x:c r="M380" s="9" t="n">
        <x:v>0</x:v>
      </x:c>
      <x:c r="N380" s="9" t="str">
        <x:v>UNFILED / UNPROVEN</x:v>
      </x:c>
      <x:c r="O380" s="9" t="n">
        <x:f>COUNTIFS($A$7:$A$1302,A380)</x:f>
        <x:v>1</x:v>
      </x:c>
    </x:row>
    <x:row r="381">
      <x:c r="A381" s="9" t="str">
        <x:v>EV-AR-RT-B-C-TECH-2-B2-INT-G0-IV06</x:v>
      </x:c>
      <x:c r="B381" s="9" t="str">
        <x:v>EV-AR-RT-B-C-TECH-2-B2-INT-G0</x:v>
      </x:c>
      <x:c r="C381" s="9" t="str">
        <x:v>AR-RT-B-C-TECH-2-B2-INT-G0</x:v>
      </x:c>
      <x:c r="D381" s="9" t="str">
        <x:v>RT-B-C-TECH-2</x:v>
      </x:c>
      <x:c r="E381" s="9" t="str">
        <x:v>RT-B-C</x:v>
      </x:c>
      <x:c r="F381" s="9" t="str">
        <x:v>B2</x:v>
      </x:c>
      <x:c r="G381" s="9" t="str">
        <x:v>INT</x:v>
      </x:c>
      <x:c r="H381" s="9" t="str">
        <x:v>IV06</x:v>
      </x:c>
      <x:c r="I381" s="17" t="str">
        <x:v>Candidate non-causation</x:v>
      </x:c>
      <x:c r="J381" s="17" t="str">
        <x:v>evidence excludes candidate induction of the facility condition</x:v>
      </x:c>
      <x:c r="K381" s="17" t="str">
        <x:v>Causal court</x:v>
      </x:c>
      <x:c r="L381" s="9" t="n">
        <x:v>0</x:v>
      </x:c>
      <x:c r="M381" s="9" t="n">
        <x:v>0</x:v>
      </x:c>
      <x:c r="N381" s="9" t="str">
        <x:v>UNFILED / UNPROVEN</x:v>
      </x:c>
      <x:c r="O381" s="9" t="n">
        <x:f>COUNTIFS($A$7:$A$1302,A381)</x:f>
        <x:v>1</x:v>
      </x:c>
    </x:row>
    <x:row r="382">
      <x:c r="A382" s="9" t="str">
        <x:v>EV-AR-RT-B-C-TECH-2-B2-INT-G0-IV07</x:v>
      </x:c>
      <x:c r="B382" s="9" t="str">
        <x:v>EV-AR-RT-B-C-TECH-2-B2-INT-G0</x:v>
      </x:c>
      <x:c r="C382" s="9" t="str">
        <x:v>AR-RT-B-C-TECH-2-B2-INT-G0</x:v>
      </x:c>
      <x:c r="D382" s="9" t="str">
        <x:v>RT-B-C-TECH-2</x:v>
      </x:c>
      <x:c r="E382" s="9" t="str">
        <x:v>RT-B-C</x:v>
      </x:c>
      <x:c r="F382" s="9" t="str">
        <x:v>B2</x:v>
      </x:c>
      <x:c r="G382" s="9" t="str">
        <x:v>INT</x:v>
      </x:c>
      <x:c r="H382" s="9" t="str">
        <x:v>IV07</x:v>
      </x:c>
      <x:c r="I382" s="17" t="str">
        <x:v>No outcome selection</x:v>
      </x:c>
      <x:c r="J382" s="17" t="str">
        <x:v>petition rule and evidence scope were fixed before visibility</x:v>
      </x:c>
      <x:c r="K382" s="17" t="str">
        <x:v>Conflict registrar</x:v>
      </x:c>
      <x:c r="L382" s="9" t="n">
        <x:v>0</x:v>
      </x:c>
      <x:c r="M382" s="9" t="n">
        <x:v>0</x:v>
      </x:c>
      <x:c r="N382" s="9" t="str">
        <x:v>UNFILED / UNPROVEN</x:v>
      </x:c>
      <x:c r="O382" s="9" t="n">
        <x:f>COUNTIFS($A$7:$A$1302,A382)</x:f>
        <x:v>1</x:v>
      </x:c>
    </x:row>
    <x:row r="383">
      <x:c r="A383" s="9" t="str">
        <x:v>EV-AR-RT-B-C-TECH-2-B2-INT-G0-IV08</x:v>
      </x:c>
      <x:c r="B383" s="9" t="str">
        <x:v>EV-AR-RT-B-C-TECH-2-B2-INT-G0</x:v>
      </x:c>
      <x:c r="C383" s="9" t="str">
        <x:v>AR-RT-B-C-TECH-2-B2-INT-G0</x:v>
      </x:c>
      <x:c r="D383" s="9" t="str">
        <x:v>RT-B-C-TECH-2</x:v>
      </x:c>
      <x:c r="E383" s="9" t="str">
        <x:v>RT-B-C</x:v>
      </x:c>
      <x:c r="F383" s="9" t="str">
        <x:v>B2</x:v>
      </x:c>
      <x:c r="G383" s="9" t="str">
        <x:v>INT</x:v>
      </x:c>
      <x:c r="H383" s="9" t="str">
        <x:v>IV08</x:v>
      </x:c>
      <x:c r="I383" s="17" t="str">
        <x:v>Whole-record preservation</x:v>
      </x:c>
      <x:c r="J383" s="17" t="str">
        <x:v>start, raw behavior, dissent and intervention remain in archive</x:v>
      </x:c>
      <x:c r="K383" s="17" t="str">
        <x:v>Archive authority</x:v>
      </x:c>
      <x:c r="L383" s="9" t="n">
        <x:v>0</x:v>
      </x:c>
      <x:c r="M383" s="9" t="n">
        <x:v>0</x:v>
      </x:c>
      <x:c r="N383" s="9" t="str">
        <x:v>UNFILED / UNPROVEN</x:v>
      </x:c>
      <x:c r="O383" s="9" t="n">
        <x:f>COUNTIFS($A$7:$A$1302,A383)</x:f>
        <x:v>1</x:v>
      </x:c>
    </x:row>
    <x:row r="384">
      <x:c r="A384" s="9" t="str">
        <x:v>EV-AR-RT-B-C-TECH-2-B2-INT-G0-IV09</x:v>
      </x:c>
      <x:c r="B384" s="9" t="str">
        <x:v>EV-AR-RT-B-C-TECH-2-B2-INT-G0</x:v>
      </x:c>
      <x:c r="C384" s="9" t="str">
        <x:v>AR-RT-B-C-TECH-2-B2-INT-G0</x:v>
      </x:c>
      <x:c r="D384" s="9" t="str">
        <x:v>RT-B-C-TECH-2</x:v>
      </x:c>
      <x:c r="E384" s="9" t="str">
        <x:v>RT-B-C</x:v>
      </x:c>
      <x:c r="F384" s="9" t="str">
        <x:v>B2</x:v>
      </x:c>
      <x:c r="G384" s="9" t="str">
        <x:v>INT</x:v>
      </x:c>
      <x:c r="H384" s="9" t="str">
        <x:v>IV09</x:v>
      </x:c>
      <x:c r="I384" s="17" t="str">
        <x:v>Bounded remedy</x:v>
      </x:c>
      <x:c r="J384" s="17" t="str">
        <x:v>only a new slot and EOW may follow; no favorable credit or erased attempt</x:v>
      </x:c>
      <x:c r="K384" s="17" t="str">
        <x:v>Invalidity court</x:v>
      </x:c>
      <x:c r="L384" s="9" t="n">
        <x:v>0</x:v>
      </x:c>
      <x:c r="M384" s="9" t="n">
        <x:v>0</x:v>
      </x:c>
      <x:c r="N384" s="9" t="str">
        <x:v>UNFILED / UNPROVEN</x:v>
      </x:c>
      <x:c r="O384" s="9" t="n">
        <x:f>COUNTIFS($A$7:$A$1302,A384)</x:f>
        <x:v>1</x:v>
      </x:c>
    </x:row>
    <x:row r="385">
      <x:c r="A385" s="9" t="str">
        <x:v>EV-AR-CT-C-B-TECH-1-B1-INT-G0-IV01</x:v>
      </x:c>
      <x:c r="B385" s="9" t="str">
        <x:v>EV-AR-CT-C-B-TECH-1-B1-INT-G0</x:v>
      </x:c>
      <x:c r="C385" s="9" t="str">
        <x:v>AR-CT-C-B-TECH-1-B1-INT-G0</x:v>
      </x:c>
      <x:c r="D385" s="9" t="str">
        <x:v>CT-C-B-TECH-1</x:v>
      </x:c>
      <x:c r="E385" s="9" t="str">
        <x:v>CT-C-B</x:v>
      </x:c>
      <x:c r="F385" s="9" t="str">
        <x:v>B1</x:v>
      </x:c>
      <x:c r="G385" s="9" t="str">
        <x:v>INT</x:v>
      </x:c>
      <x:c r="H385" s="9" t="str">
        <x:v>IV01</x:v>
      </x:c>
      <x:c r="I385" s="17" t="str">
        <x:v>Timely petition</x:v>
      </x:c>
      <x:c r="J385" s="17" t="str">
        <x:v>petition enters within seventy-two hours of event close</x:v>
      </x:c>
      <x:c r="K385" s="17" t="str">
        <x:v>Invalidity registrar</x:v>
      </x:c>
      <x:c r="L385" s="9" t="n">
        <x:v>0</x:v>
      </x:c>
      <x:c r="M385" s="9" t="n">
        <x:v>0</x:v>
      </x:c>
      <x:c r="N385" s="9" t="str">
        <x:v>UNFILED / UNPROVEN</x:v>
      </x:c>
      <x:c r="O385" s="9" t="n">
        <x:f>COUNTIFS($A$7:$A$1302,A385)</x:f>
        <x:v>1</x:v>
      </x:c>
    </x:row>
    <x:row r="386">
      <x:c r="A386" s="9" t="str">
        <x:v>EV-AR-CT-C-B-TECH-1-B1-INT-G0-IV02</x:v>
      </x:c>
      <x:c r="B386" s="9" t="str">
        <x:v>EV-AR-CT-C-B-TECH-1-B1-INT-G0</x:v>
      </x:c>
      <x:c r="C386" s="9" t="str">
        <x:v>AR-CT-C-B-TECH-1-B1-INT-G0</x:v>
      </x:c>
      <x:c r="D386" s="9" t="str">
        <x:v>CT-C-B-TECH-1</x:v>
      </x:c>
      <x:c r="E386" s="9" t="str">
        <x:v>CT-C-B</x:v>
      </x:c>
      <x:c r="F386" s="9" t="str">
        <x:v>B1</x:v>
      </x:c>
      <x:c r="G386" s="9" t="str">
        <x:v>INT</x:v>
      </x:c>
      <x:c r="H386" s="9" t="str">
        <x:v>IV02</x:v>
      </x:c>
      <x:c r="I386" s="17" t="str">
        <x:v>Named facility cause</x:v>
      </x:c>
      <x:c r="J386" s="17" t="str">
        <x:v>one pre-registered noncandidate cause is identified</x:v>
      </x:c>
      <x:c r="K386" s="17" t="str">
        <x:v>Facility-cause court</x:v>
      </x:c>
      <x:c r="L386" s="9" t="n">
        <x:v>0</x:v>
      </x:c>
      <x:c r="M386" s="9" t="n">
        <x:v>0</x:v>
      </x:c>
      <x:c r="N386" s="9" t="str">
        <x:v>UNFILED / UNPROVEN</x:v>
      </x:c>
      <x:c r="O386" s="9" t="n">
        <x:f>COUNTIFS($A$7:$A$1302,A386)</x:f>
        <x:v>1</x:v>
      </x:c>
    </x:row>
    <x:row r="387">
      <x:c r="A387" s="9" t="str">
        <x:v>EV-AR-CT-C-B-TECH-1-B1-INT-G0-IV03</x:v>
      </x:c>
      <x:c r="B387" s="9" t="str">
        <x:v>EV-AR-CT-C-B-TECH-1-B1-INT-G0</x:v>
      </x:c>
      <x:c r="C387" s="9" t="str">
        <x:v>AR-CT-C-B-TECH-1-B1-INT-G0</x:v>
      </x:c>
      <x:c r="D387" s="9" t="str">
        <x:v>CT-C-B-TECH-1</x:v>
      </x:c>
      <x:c r="E387" s="9" t="str">
        <x:v>CT-C-B</x:v>
      </x:c>
      <x:c r="F387" s="9" t="str">
        <x:v>B1</x:v>
      </x:c>
      <x:c r="G387" s="9" t="str">
        <x:v>INT</x:v>
      </x:c>
      <x:c r="H387" s="9" t="str">
        <x:v>IV03</x:v>
      </x:c>
      <x:c r="I387" s="17" t="str">
        <x:v>Temporal priority</x:v>
      </x:c>
      <x:c r="J387" s="17" t="str">
        <x:v>cause demonstrably precedes the disputed candidate behavior</x:v>
      </x:c>
      <x:c r="K387" s="17" t="str">
        <x:v>Time authority</x:v>
      </x:c>
      <x:c r="L387" s="9" t="n">
        <x:v>0</x:v>
      </x:c>
      <x:c r="M387" s="9" t="n">
        <x:v>0</x:v>
      </x:c>
      <x:c r="N387" s="9" t="str">
        <x:v>UNFILED / UNPROVEN</x:v>
      </x:c>
      <x:c r="O387" s="9" t="n">
        <x:f>COUNTIFS($A$7:$A$1302,A387)</x:f>
        <x:v>1</x:v>
      </x:c>
    </x:row>
    <x:row r="388">
      <x:c r="A388" s="9" t="str">
        <x:v>EV-AR-CT-C-B-TECH-1-B1-INT-G0-IV04</x:v>
      </x:c>
      <x:c r="B388" s="9" t="str">
        <x:v>EV-AR-CT-C-B-TECH-1-B1-INT-G0</x:v>
      </x:c>
      <x:c r="C388" s="9" t="str">
        <x:v>AR-CT-C-B-TECH-1-B1-INT-G0</x:v>
      </x:c>
      <x:c r="D388" s="9" t="str">
        <x:v>CT-C-B-TECH-1</x:v>
      </x:c>
      <x:c r="E388" s="9" t="str">
        <x:v>CT-C-B</x:v>
      </x:c>
      <x:c r="F388" s="9" t="str">
        <x:v>B1</x:v>
      </x:c>
      <x:c r="G388" s="9" t="str">
        <x:v>INT</x:v>
      </x:c>
      <x:c r="H388" s="9" t="str">
        <x:v>IV04</x:v>
      </x:c>
      <x:c r="I388" s="17" t="str">
        <x:v>Independent trace</x:v>
      </x:c>
      <x:c r="J388" s="17" t="str">
        <x:v>two unlike records carry the cause without candidate custody</x:v>
      </x:c>
      <x:c r="K388" s="17" t="str">
        <x:v>Invalidity court</x:v>
      </x:c>
      <x:c r="L388" s="9" t="n">
        <x:v>0</x:v>
      </x:c>
      <x:c r="M388" s="9" t="n">
        <x:v>0</x:v>
      </x:c>
      <x:c r="N388" s="9" t="str">
        <x:v>UNFILED / UNPROVEN</x:v>
      </x:c>
      <x:c r="O388" s="9" t="n">
        <x:f>COUNTIFS($A$7:$A$1302,A388)</x:f>
        <x:v>1</x:v>
      </x:c>
    </x:row>
    <x:row r="389">
      <x:c r="A389" s="9" t="str">
        <x:v>EV-AR-CT-C-B-TECH-1-B1-INT-G0-IV05</x:v>
      </x:c>
      <x:c r="B389" s="9" t="str">
        <x:v>EV-AR-CT-C-B-TECH-1-B1-INT-G0</x:v>
      </x:c>
      <x:c r="C389" s="9" t="str">
        <x:v>AR-CT-C-B-TECH-1-B1-INT-G0</x:v>
      </x:c>
      <x:c r="D389" s="9" t="str">
        <x:v>CT-C-B-TECH-1</x:v>
      </x:c>
      <x:c r="E389" s="9" t="str">
        <x:v>CT-C-B</x:v>
      </x:c>
      <x:c r="F389" s="9" t="str">
        <x:v>B1</x:v>
      </x:c>
      <x:c r="G389" s="9" t="str">
        <x:v>INT</x:v>
      </x:c>
      <x:c r="H389" s="9" t="str">
        <x:v>IV05</x:v>
      </x:c>
      <x:c r="I389" s="17" t="str">
        <x:v>Causal counterfactual</x:v>
      </x:c>
      <x:c r="J389" s="17" t="str">
        <x:v>registered counterfactual shows the cause can create the defect</x:v>
      </x:c>
      <x:c r="K389" s="17" t="str">
        <x:v>Causal court</x:v>
      </x:c>
      <x:c r="L389" s="9" t="n">
        <x:v>0</x:v>
      </x:c>
      <x:c r="M389" s="9" t="n">
        <x:v>0</x:v>
      </x:c>
      <x:c r="N389" s="9" t="str">
        <x:v>UNFILED / UNPROVEN</x:v>
      </x:c>
      <x:c r="O389" s="9" t="n">
        <x:f>COUNTIFS($A$7:$A$1302,A389)</x:f>
        <x:v>1</x:v>
      </x:c>
    </x:row>
    <x:row r="390">
      <x:c r="A390" s="9" t="str">
        <x:v>EV-AR-CT-C-B-TECH-1-B1-INT-G0-IV06</x:v>
      </x:c>
      <x:c r="B390" s="9" t="str">
        <x:v>EV-AR-CT-C-B-TECH-1-B1-INT-G0</x:v>
      </x:c>
      <x:c r="C390" s="9" t="str">
        <x:v>AR-CT-C-B-TECH-1-B1-INT-G0</x:v>
      </x:c>
      <x:c r="D390" s="9" t="str">
        <x:v>CT-C-B-TECH-1</x:v>
      </x:c>
      <x:c r="E390" s="9" t="str">
        <x:v>CT-C-B</x:v>
      </x:c>
      <x:c r="F390" s="9" t="str">
        <x:v>B1</x:v>
      </x:c>
      <x:c r="G390" s="9" t="str">
        <x:v>INT</x:v>
      </x:c>
      <x:c r="H390" s="9" t="str">
        <x:v>IV06</x:v>
      </x:c>
      <x:c r="I390" s="17" t="str">
        <x:v>Candidate non-causation</x:v>
      </x:c>
      <x:c r="J390" s="17" t="str">
        <x:v>evidence excludes candidate induction of the facility condition</x:v>
      </x:c>
      <x:c r="K390" s="17" t="str">
        <x:v>Causal court</x:v>
      </x:c>
      <x:c r="L390" s="9" t="n">
        <x:v>0</x:v>
      </x:c>
      <x:c r="M390" s="9" t="n">
        <x:v>0</x:v>
      </x:c>
      <x:c r="N390" s="9" t="str">
        <x:v>UNFILED / UNPROVEN</x:v>
      </x:c>
      <x:c r="O390" s="9" t="n">
        <x:f>COUNTIFS($A$7:$A$1302,A390)</x:f>
        <x:v>1</x:v>
      </x:c>
    </x:row>
    <x:row r="391">
      <x:c r="A391" s="9" t="str">
        <x:v>EV-AR-CT-C-B-TECH-1-B1-INT-G0-IV07</x:v>
      </x:c>
      <x:c r="B391" s="9" t="str">
        <x:v>EV-AR-CT-C-B-TECH-1-B1-INT-G0</x:v>
      </x:c>
      <x:c r="C391" s="9" t="str">
        <x:v>AR-CT-C-B-TECH-1-B1-INT-G0</x:v>
      </x:c>
      <x:c r="D391" s="9" t="str">
        <x:v>CT-C-B-TECH-1</x:v>
      </x:c>
      <x:c r="E391" s="9" t="str">
        <x:v>CT-C-B</x:v>
      </x:c>
      <x:c r="F391" s="9" t="str">
        <x:v>B1</x:v>
      </x:c>
      <x:c r="G391" s="9" t="str">
        <x:v>INT</x:v>
      </x:c>
      <x:c r="H391" s="9" t="str">
        <x:v>IV07</x:v>
      </x:c>
      <x:c r="I391" s="17" t="str">
        <x:v>No outcome selection</x:v>
      </x:c>
      <x:c r="J391" s="17" t="str">
        <x:v>petition rule and evidence scope were fixed before visibility</x:v>
      </x:c>
      <x:c r="K391" s="17" t="str">
        <x:v>Conflict registrar</x:v>
      </x:c>
      <x:c r="L391" s="9" t="n">
        <x:v>0</x:v>
      </x:c>
      <x:c r="M391" s="9" t="n">
        <x:v>0</x:v>
      </x:c>
      <x:c r="N391" s="9" t="str">
        <x:v>UNFILED / UNPROVEN</x:v>
      </x:c>
      <x:c r="O391" s="9" t="n">
        <x:f>COUNTIFS($A$7:$A$1302,A391)</x:f>
        <x:v>1</x:v>
      </x:c>
    </x:row>
    <x:row r="392">
      <x:c r="A392" s="9" t="str">
        <x:v>EV-AR-CT-C-B-TECH-1-B1-INT-G0-IV08</x:v>
      </x:c>
      <x:c r="B392" s="9" t="str">
        <x:v>EV-AR-CT-C-B-TECH-1-B1-INT-G0</x:v>
      </x:c>
      <x:c r="C392" s="9" t="str">
        <x:v>AR-CT-C-B-TECH-1-B1-INT-G0</x:v>
      </x:c>
      <x:c r="D392" s="9" t="str">
        <x:v>CT-C-B-TECH-1</x:v>
      </x:c>
      <x:c r="E392" s="9" t="str">
        <x:v>CT-C-B</x:v>
      </x:c>
      <x:c r="F392" s="9" t="str">
        <x:v>B1</x:v>
      </x:c>
      <x:c r="G392" s="9" t="str">
        <x:v>INT</x:v>
      </x:c>
      <x:c r="H392" s="9" t="str">
        <x:v>IV08</x:v>
      </x:c>
      <x:c r="I392" s="17" t="str">
        <x:v>Whole-record preservation</x:v>
      </x:c>
      <x:c r="J392" s="17" t="str">
        <x:v>start, raw behavior, dissent and intervention remain in archive</x:v>
      </x:c>
      <x:c r="K392" s="17" t="str">
        <x:v>Archive authority</x:v>
      </x:c>
      <x:c r="L392" s="9" t="n">
        <x:v>0</x:v>
      </x:c>
      <x:c r="M392" s="9" t="n">
        <x:v>0</x:v>
      </x:c>
      <x:c r="N392" s="9" t="str">
        <x:v>UNFILED / UNPROVEN</x:v>
      </x:c>
      <x:c r="O392" s="9" t="n">
        <x:f>COUNTIFS($A$7:$A$1302,A392)</x:f>
        <x:v>1</x:v>
      </x:c>
    </x:row>
    <x:row r="393">
      <x:c r="A393" s="9" t="str">
        <x:v>EV-AR-CT-C-B-TECH-1-B1-INT-G0-IV09</x:v>
      </x:c>
      <x:c r="B393" s="9" t="str">
        <x:v>EV-AR-CT-C-B-TECH-1-B1-INT-G0</x:v>
      </x:c>
      <x:c r="C393" s="9" t="str">
        <x:v>AR-CT-C-B-TECH-1-B1-INT-G0</x:v>
      </x:c>
      <x:c r="D393" s="9" t="str">
        <x:v>CT-C-B-TECH-1</x:v>
      </x:c>
      <x:c r="E393" s="9" t="str">
        <x:v>CT-C-B</x:v>
      </x:c>
      <x:c r="F393" s="9" t="str">
        <x:v>B1</x:v>
      </x:c>
      <x:c r="G393" s="9" t="str">
        <x:v>INT</x:v>
      </x:c>
      <x:c r="H393" s="9" t="str">
        <x:v>IV09</x:v>
      </x:c>
      <x:c r="I393" s="17" t="str">
        <x:v>Bounded remedy</x:v>
      </x:c>
      <x:c r="J393" s="17" t="str">
        <x:v>only a new slot and EOW may follow; no favorable credit or erased attempt</x:v>
      </x:c>
      <x:c r="K393" s="17" t="str">
        <x:v>Invalidity court</x:v>
      </x:c>
      <x:c r="L393" s="9" t="n">
        <x:v>0</x:v>
      </x:c>
      <x:c r="M393" s="9" t="n">
        <x:v>0</x:v>
      </x:c>
      <x:c r="N393" s="9" t="str">
        <x:v>UNFILED / UNPROVEN</x:v>
      </x:c>
      <x:c r="O393" s="9" t="n">
        <x:f>COUNTIFS($A$7:$A$1302,A393)</x:f>
        <x:v>1</x:v>
      </x:c>
    </x:row>
    <x:row r="394">
      <x:c r="A394" s="9" t="str">
        <x:v>EV-AR-CT-C-B-TECH-2-B2-RCN-G0-IV01</x:v>
      </x:c>
      <x:c r="B394" s="9" t="str">
        <x:v>EV-AR-CT-C-B-TECH-2-B2-RCN-G0</x:v>
      </x:c>
      <x:c r="C394" s="9" t="str">
        <x:v>AR-CT-C-B-TECH-2-B2-RCN-G0</x:v>
      </x:c>
      <x:c r="D394" s="9" t="str">
        <x:v>CT-C-B-TECH-2</x:v>
      </x:c>
      <x:c r="E394" s="9" t="str">
        <x:v>CT-C-B</x:v>
      </x:c>
      <x:c r="F394" s="9" t="str">
        <x:v>B2</x:v>
      </x:c>
      <x:c r="G394" s="9" t="str">
        <x:v>RCN</x:v>
      </x:c>
      <x:c r="H394" s="9" t="str">
        <x:v>IV01</x:v>
      </x:c>
      <x:c r="I394" s="17" t="str">
        <x:v>Timely petition</x:v>
      </x:c>
      <x:c r="J394" s="17" t="str">
        <x:v>petition enters within seventy-two hours of event close</x:v>
      </x:c>
      <x:c r="K394" s="17" t="str">
        <x:v>Invalidity registrar</x:v>
      </x:c>
      <x:c r="L394" s="9" t="n">
        <x:v>0</x:v>
      </x:c>
      <x:c r="M394" s="9" t="n">
        <x:v>0</x:v>
      </x:c>
      <x:c r="N394" s="9" t="str">
        <x:v>UNFILED / UNPROVEN</x:v>
      </x:c>
      <x:c r="O394" s="9" t="n">
        <x:f>COUNTIFS($A$7:$A$1302,A394)</x:f>
        <x:v>1</x:v>
      </x:c>
    </x:row>
    <x:row r="395">
      <x:c r="A395" s="9" t="str">
        <x:v>EV-AR-CT-C-B-TECH-2-B2-RCN-G0-IV02</x:v>
      </x:c>
      <x:c r="B395" s="9" t="str">
        <x:v>EV-AR-CT-C-B-TECH-2-B2-RCN-G0</x:v>
      </x:c>
      <x:c r="C395" s="9" t="str">
        <x:v>AR-CT-C-B-TECH-2-B2-RCN-G0</x:v>
      </x:c>
      <x:c r="D395" s="9" t="str">
        <x:v>CT-C-B-TECH-2</x:v>
      </x:c>
      <x:c r="E395" s="9" t="str">
        <x:v>CT-C-B</x:v>
      </x:c>
      <x:c r="F395" s="9" t="str">
        <x:v>B2</x:v>
      </x:c>
      <x:c r="G395" s="9" t="str">
        <x:v>RCN</x:v>
      </x:c>
      <x:c r="H395" s="9" t="str">
        <x:v>IV02</x:v>
      </x:c>
      <x:c r="I395" s="17" t="str">
        <x:v>Named facility cause</x:v>
      </x:c>
      <x:c r="J395" s="17" t="str">
        <x:v>one pre-registered noncandidate cause is identified</x:v>
      </x:c>
      <x:c r="K395" s="17" t="str">
        <x:v>Facility-cause court</x:v>
      </x:c>
      <x:c r="L395" s="9" t="n">
        <x:v>0</x:v>
      </x:c>
      <x:c r="M395" s="9" t="n">
        <x:v>0</x:v>
      </x:c>
      <x:c r="N395" s="9" t="str">
        <x:v>UNFILED / UNPROVEN</x:v>
      </x:c>
      <x:c r="O395" s="9" t="n">
        <x:f>COUNTIFS($A$7:$A$1302,A395)</x:f>
        <x:v>1</x:v>
      </x:c>
    </x:row>
    <x:row r="396">
      <x:c r="A396" s="9" t="str">
        <x:v>EV-AR-CT-C-B-TECH-2-B2-RCN-G0-IV03</x:v>
      </x:c>
      <x:c r="B396" s="9" t="str">
        <x:v>EV-AR-CT-C-B-TECH-2-B2-RCN-G0</x:v>
      </x:c>
      <x:c r="C396" s="9" t="str">
        <x:v>AR-CT-C-B-TECH-2-B2-RCN-G0</x:v>
      </x:c>
      <x:c r="D396" s="9" t="str">
        <x:v>CT-C-B-TECH-2</x:v>
      </x:c>
      <x:c r="E396" s="9" t="str">
        <x:v>CT-C-B</x:v>
      </x:c>
      <x:c r="F396" s="9" t="str">
        <x:v>B2</x:v>
      </x:c>
      <x:c r="G396" s="9" t="str">
        <x:v>RCN</x:v>
      </x:c>
      <x:c r="H396" s="9" t="str">
        <x:v>IV03</x:v>
      </x:c>
      <x:c r="I396" s="17" t="str">
        <x:v>Temporal priority</x:v>
      </x:c>
      <x:c r="J396" s="17" t="str">
        <x:v>cause demonstrably precedes the disputed candidate behavior</x:v>
      </x:c>
      <x:c r="K396" s="17" t="str">
        <x:v>Time authority</x:v>
      </x:c>
      <x:c r="L396" s="9" t="n">
        <x:v>0</x:v>
      </x:c>
      <x:c r="M396" s="9" t="n">
        <x:v>0</x:v>
      </x:c>
      <x:c r="N396" s="9" t="str">
        <x:v>UNFILED / UNPROVEN</x:v>
      </x:c>
      <x:c r="O396" s="9" t="n">
        <x:f>COUNTIFS($A$7:$A$1302,A396)</x:f>
        <x:v>1</x:v>
      </x:c>
    </x:row>
    <x:row r="397">
      <x:c r="A397" s="9" t="str">
        <x:v>EV-AR-CT-C-B-TECH-2-B2-RCN-G0-IV04</x:v>
      </x:c>
      <x:c r="B397" s="9" t="str">
        <x:v>EV-AR-CT-C-B-TECH-2-B2-RCN-G0</x:v>
      </x:c>
      <x:c r="C397" s="9" t="str">
        <x:v>AR-CT-C-B-TECH-2-B2-RCN-G0</x:v>
      </x:c>
      <x:c r="D397" s="9" t="str">
        <x:v>CT-C-B-TECH-2</x:v>
      </x:c>
      <x:c r="E397" s="9" t="str">
        <x:v>CT-C-B</x:v>
      </x:c>
      <x:c r="F397" s="9" t="str">
        <x:v>B2</x:v>
      </x:c>
      <x:c r="G397" s="9" t="str">
        <x:v>RCN</x:v>
      </x:c>
      <x:c r="H397" s="9" t="str">
        <x:v>IV04</x:v>
      </x:c>
      <x:c r="I397" s="17" t="str">
        <x:v>Independent trace</x:v>
      </x:c>
      <x:c r="J397" s="17" t="str">
        <x:v>two unlike records carry the cause without candidate custody</x:v>
      </x:c>
      <x:c r="K397" s="17" t="str">
        <x:v>Invalidity court</x:v>
      </x:c>
      <x:c r="L397" s="9" t="n">
        <x:v>0</x:v>
      </x:c>
      <x:c r="M397" s="9" t="n">
        <x:v>0</x:v>
      </x:c>
      <x:c r="N397" s="9" t="str">
        <x:v>UNFILED / UNPROVEN</x:v>
      </x:c>
      <x:c r="O397" s="9" t="n">
        <x:f>COUNTIFS($A$7:$A$1302,A397)</x:f>
        <x:v>1</x:v>
      </x:c>
    </x:row>
    <x:row r="398">
      <x:c r="A398" s="9" t="str">
        <x:v>EV-AR-CT-C-B-TECH-2-B2-RCN-G0-IV05</x:v>
      </x:c>
      <x:c r="B398" s="9" t="str">
        <x:v>EV-AR-CT-C-B-TECH-2-B2-RCN-G0</x:v>
      </x:c>
      <x:c r="C398" s="9" t="str">
        <x:v>AR-CT-C-B-TECH-2-B2-RCN-G0</x:v>
      </x:c>
      <x:c r="D398" s="9" t="str">
        <x:v>CT-C-B-TECH-2</x:v>
      </x:c>
      <x:c r="E398" s="9" t="str">
        <x:v>CT-C-B</x:v>
      </x:c>
      <x:c r="F398" s="9" t="str">
        <x:v>B2</x:v>
      </x:c>
      <x:c r="G398" s="9" t="str">
        <x:v>RCN</x:v>
      </x:c>
      <x:c r="H398" s="9" t="str">
        <x:v>IV05</x:v>
      </x:c>
      <x:c r="I398" s="17" t="str">
        <x:v>Causal counterfactual</x:v>
      </x:c>
      <x:c r="J398" s="17" t="str">
        <x:v>registered counterfactual shows the cause can create the defect</x:v>
      </x:c>
      <x:c r="K398" s="17" t="str">
        <x:v>Causal court</x:v>
      </x:c>
      <x:c r="L398" s="9" t="n">
        <x:v>0</x:v>
      </x:c>
      <x:c r="M398" s="9" t="n">
        <x:v>0</x:v>
      </x:c>
      <x:c r="N398" s="9" t="str">
        <x:v>UNFILED / UNPROVEN</x:v>
      </x:c>
      <x:c r="O398" s="9" t="n">
        <x:f>COUNTIFS($A$7:$A$1302,A398)</x:f>
        <x:v>1</x:v>
      </x:c>
    </x:row>
    <x:row r="399">
      <x:c r="A399" s="9" t="str">
        <x:v>EV-AR-CT-C-B-TECH-2-B2-RCN-G0-IV06</x:v>
      </x:c>
      <x:c r="B399" s="9" t="str">
        <x:v>EV-AR-CT-C-B-TECH-2-B2-RCN-G0</x:v>
      </x:c>
      <x:c r="C399" s="9" t="str">
        <x:v>AR-CT-C-B-TECH-2-B2-RCN-G0</x:v>
      </x:c>
      <x:c r="D399" s="9" t="str">
        <x:v>CT-C-B-TECH-2</x:v>
      </x:c>
      <x:c r="E399" s="9" t="str">
        <x:v>CT-C-B</x:v>
      </x:c>
      <x:c r="F399" s="9" t="str">
        <x:v>B2</x:v>
      </x:c>
      <x:c r="G399" s="9" t="str">
        <x:v>RCN</x:v>
      </x:c>
      <x:c r="H399" s="9" t="str">
        <x:v>IV06</x:v>
      </x:c>
      <x:c r="I399" s="17" t="str">
        <x:v>Candidate non-causation</x:v>
      </x:c>
      <x:c r="J399" s="17" t="str">
        <x:v>evidence excludes candidate induction of the facility condition</x:v>
      </x:c>
      <x:c r="K399" s="17" t="str">
        <x:v>Causal court</x:v>
      </x:c>
      <x:c r="L399" s="9" t="n">
        <x:v>0</x:v>
      </x:c>
      <x:c r="M399" s="9" t="n">
        <x:v>0</x:v>
      </x:c>
      <x:c r="N399" s="9" t="str">
        <x:v>UNFILED / UNPROVEN</x:v>
      </x:c>
      <x:c r="O399" s="9" t="n">
        <x:f>COUNTIFS($A$7:$A$1302,A399)</x:f>
        <x:v>1</x:v>
      </x:c>
    </x:row>
    <x:row r="400">
      <x:c r="A400" s="9" t="str">
        <x:v>EV-AR-CT-C-B-TECH-2-B2-RCN-G0-IV07</x:v>
      </x:c>
      <x:c r="B400" s="9" t="str">
        <x:v>EV-AR-CT-C-B-TECH-2-B2-RCN-G0</x:v>
      </x:c>
      <x:c r="C400" s="9" t="str">
        <x:v>AR-CT-C-B-TECH-2-B2-RCN-G0</x:v>
      </x:c>
      <x:c r="D400" s="9" t="str">
        <x:v>CT-C-B-TECH-2</x:v>
      </x:c>
      <x:c r="E400" s="9" t="str">
        <x:v>CT-C-B</x:v>
      </x:c>
      <x:c r="F400" s="9" t="str">
        <x:v>B2</x:v>
      </x:c>
      <x:c r="G400" s="9" t="str">
        <x:v>RCN</x:v>
      </x:c>
      <x:c r="H400" s="9" t="str">
        <x:v>IV07</x:v>
      </x:c>
      <x:c r="I400" s="17" t="str">
        <x:v>No outcome selection</x:v>
      </x:c>
      <x:c r="J400" s="17" t="str">
        <x:v>petition rule and evidence scope were fixed before visibility</x:v>
      </x:c>
      <x:c r="K400" s="17" t="str">
        <x:v>Conflict registrar</x:v>
      </x:c>
      <x:c r="L400" s="9" t="n">
        <x:v>0</x:v>
      </x:c>
      <x:c r="M400" s="9" t="n">
        <x:v>0</x:v>
      </x:c>
      <x:c r="N400" s="9" t="str">
        <x:v>UNFILED / UNPROVEN</x:v>
      </x:c>
      <x:c r="O400" s="9" t="n">
        <x:f>COUNTIFS($A$7:$A$1302,A400)</x:f>
        <x:v>1</x:v>
      </x:c>
    </x:row>
    <x:row r="401">
      <x:c r="A401" s="9" t="str">
        <x:v>EV-AR-CT-C-B-TECH-2-B2-RCN-G0-IV08</x:v>
      </x:c>
      <x:c r="B401" s="9" t="str">
        <x:v>EV-AR-CT-C-B-TECH-2-B2-RCN-G0</x:v>
      </x:c>
      <x:c r="C401" s="9" t="str">
        <x:v>AR-CT-C-B-TECH-2-B2-RCN-G0</x:v>
      </x:c>
      <x:c r="D401" s="9" t="str">
        <x:v>CT-C-B-TECH-2</x:v>
      </x:c>
      <x:c r="E401" s="9" t="str">
        <x:v>CT-C-B</x:v>
      </x:c>
      <x:c r="F401" s="9" t="str">
        <x:v>B2</x:v>
      </x:c>
      <x:c r="G401" s="9" t="str">
        <x:v>RCN</x:v>
      </x:c>
      <x:c r="H401" s="9" t="str">
        <x:v>IV08</x:v>
      </x:c>
      <x:c r="I401" s="17" t="str">
        <x:v>Whole-record preservation</x:v>
      </x:c>
      <x:c r="J401" s="17" t="str">
        <x:v>start, raw behavior, dissent and intervention remain in archive</x:v>
      </x:c>
      <x:c r="K401" s="17" t="str">
        <x:v>Archive authority</x:v>
      </x:c>
      <x:c r="L401" s="9" t="n">
        <x:v>0</x:v>
      </x:c>
      <x:c r="M401" s="9" t="n">
        <x:v>0</x:v>
      </x:c>
      <x:c r="N401" s="9" t="str">
        <x:v>UNFILED / UNPROVEN</x:v>
      </x:c>
      <x:c r="O401" s="9" t="n">
        <x:f>COUNTIFS($A$7:$A$1302,A401)</x:f>
        <x:v>1</x:v>
      </x:c>
    </x:row>
    <x:row r="402">
      <x:c r="A402" s="9" t="str">
        <x:v>EV-AR-CT-C-B-TECH-2-B2-RCN-G0-IV09</x:v>
      </x:c>
      <x:c r="B402" s="9" t="str">
        <x:v>EV-AR-CT-C-B-TECH-2-B2-RCN-G0</x:v>
      </x:c>
      <x:c r="C402" s="9" t="str">
        <x:v>AR-CT-C-B-TECH-2-B2-RCN-G0</x:v>
      </x:c>
      <x:c r="D402" s="9" t="str">
        <x:v>CT-C-B-TECH-2</x:v>
      </x:c>
      <x:c r="E402" s="9" t="str">
        <x:v>CT-C-B</x:v>
      </x:c>
      <x:c r="F402" s="9" t="str">
        <x:v>B2</x:v>
      </x:c>
      <x:c r="G402" s="9" t="str">
        <x:v>RCN</x:v>
      </x:c>
      <x:c r="H402" s="9" t="str">
        <x:v>IV09</x:v>
      </x:c>
      <x:c r="I402" s="17" t="str">
        <x:v>Bounded remedy</x:v>
      </x:c>
      <x:c r="J402" s="17" t="str">
        <x:v>only a new slot and EOW may follow; no favorable credit or erased attempt</x:v>
      </x:c>
      <x:c r="K402" s="17" t="str">
        <x:v>Invalidity court</x:v>
      </x:c>
      <x:c r="L402" s="9" t="n">
        <x:v>0</x:v>
      </x:c>
      <x:c r="M402" s="9" t="n">
        <x:v>0</x:v>
      </x:c>
      <x:c r="N402" s="9" t="str">
        <x:v>UNFILED / UNPROVEN</x:v>
      </x:c>
      <x:c r="O402" s="9" t="n">
        <x:f>COUNTIFS($A$7:$A$1302,A402)</x:f>
        <x:v>1</x:v>
      </x:c>
    </x:row>
    <x:row r="403">
      <x:c r="A403" s="9" t="str">
        <x:v>EV-AR-HC-A-C-TECH-4-B1-BRK-G0-IV01</x:v>
      </x:c>
      <x:c r="B403" s="9" t="str">
        <x:v>EV-AR-HC-A-C-TECH-4-B1-BRK-G0</x:v>
      </x:c>
      <x:c r="C403" s="9" t="str">
        <x:v>AR-HC-A-C-TECH-4-B1-BRK-G0</x:v>
      </x:c>
      <x:c r="D403" s="9" t="str">
        <x:v>HC-A-C-TECH-4</x:v>
      </x:c>
      <x:c r="E403" s="9" t="str">
        <x:v>HC-A-C</x:v>
      </x:c>
      <x:c r="F403" s="9" t="str">
        <x:v>B1</x:v>
      </x:c>
      <x:c r="G403" s="9" t="str">
        <x:v>BRK</x:v>
      </x:c>
      <x:c r="H403" s="9" t="str">
        <x:v>IV01</x:v>
      </x:c>
      <x:c r="I403" s="17" t="str">
        <x:v>Timely petition</x:v>
      </x:c>
      <x:c r="J403" s="17" t="str">
        <x:v>petition enters within seventy-two hours of event close</x:v>
      </x:c>
      <x:c r="K403" s="17" t="str">
        <x:v>Invalidity registrar</x:v>
      </x:c>
      <x:c r="L403" s="9" t="n">
        <x:v>0</x:v>
      </x:c>
      <x:c r="M403" s="9" t="n">
        <x:v>0</x:v>
      </x:c>
      <x:c r="N403" s="9" t="str">
        <x:v>UNFILED / UNPROVEN</x:v>
      </x:c>
      <x:c r="O403" s="9" t="n">
        <x:f>COUNTIFS($A$7:$A$1302,A403)</x:f>
        <x:v>1</x:v>
      </x:c>
    </x:row>
    <x:row r="404">
      <x:c r="A404" s="9" t="str">
        <x:v>EV-AR-HC-A-C-TECH-4-B1-BRK-G0-IV02</x:v>
      </x:c>
      <x:c r="B404" s="9" t="str">
        <x:v>EV-AR-HC-A-C-TECH-4-B1-BRK-G0</x:v>
      </x:c>
      <x:c r="C404" s="9" t="str">
        <x:v>AR-HC-A-C-TECH-4-B1-BRK-G0</x:v>
      </x:c>
      <x:c r="D404" s="9" t="str">
        <x:v>HC-A-C-TECH-4</x:v>
      </x:c>
      <x:c r="E404" s="9" t="str">
        <x:v>HC-A-C</x:v>
      </x:c>
      <x:c r="F404" s="9" t="str">
        <x:v>B1</x:v>
      </x:c>
      <x:c r="G404" s="9" t="str">
        <x:v>BRK</x:v>
      </x:c>
      <x:c r="H404" s="9" t="str">
        <x:v>IV02</x:v>
      </x:c>
      <x:c r="I404" s="17" t="str">
        <x:v>Named facility cause</x:v>
      </x:c>
      <x:c r="J404" s="17" t="str">
        <x:v>one pre-registered noncandidate cause is identified</x:v>
      </x:c>
      <x:c r="K404" s="17" t="str">
        <x:v>Facility-cause court</x:v>
      </x:c>
      <x:c r="L404" s="9" t="n">
        <x:v>0</x:v>
      </x:c>
      <x:c r="M404" s="9" t="n">
        <x:v>0</x:v>
      </x:c>
      <x:c r="N404" s="9" t="str">
        <x:v>UNFILED / UNPROVEN</x:v>
      </x:c>
      <x:c r="O404" s="9" t="n">
        <x:f>COUNTIFS($A$7:$A$1302,A404)</x:f>
        <x:v>1</x:v>
      </x:c>
    </x:row>
    <x:row r="405">
      <x:c r="A405" s="9" t="str">
        <x:v>EV-AR-HC-A-C-TECH-4-B1-BRK-G0-IV03</x:v>
      </x:c>
      <x:c r="B405" s="9" t="str">
        <x:v>EV-AR-HC-A-C-TECH-4-B1-BRK-G0</x:v>
      </x:c>
      <x:c r="C405" s="9" t="str">
        <x:v>AR-HC-A-C-TECH-4-B1-BRK-G0</x:v>
      </x:c>
      <x:c r="D405" s="9" t="str">
        <x:v>HC-A-C-TECH-4</x:v>
      </x:c>
      <x:c r="E405" s="9" t="str">
        <x:v>HC-A-C</x:v>
      </x:c>
      <x:c r="F405" s="9" t="str">
        <x:v>B1</x:v>
      </x:c>
      <x:c r="G405" s="9" t="str">
        <x:v>BRK</x:v>
      </x:c>
      <x:c r="H405" s="9" t="str">
        <x:v>IV03</x:v>
      </x:c>
      <x:c r="I405" s="17" t="str">
        <x:v>Temporal priority</x:v>
      </x:c>
      <x:c r="J405" s="17" t="str">
        <x:v>cause demonstrably precedes the disputed candidate behavior</x:v>
      </x:c>
      <x:c r="K405" s="17" t="str">
        <x:v>Time authority</x:v>
      </x:c>
      <x:c r="L405" s="9" t="n">
        <x:v>0</x:v>
      </x:c>
      <x:c r="M405" s="9" t="n">
        <x:v>0</x:v>
      </x:c>
      <x:c r="N405" s="9" t="str">
        <x:v>UNFILED / UNPROVEN</x:v>
      </x:c>
      <x:c r="O405" s="9" t="n">
        <x:f>COUNTIFS($A$7:$A$1302,A405)</x:f>
        <x:v>1</x:v>
      </x:c>
    </x:row>
    <x:row r="406">
      <x:c r="A406" s="9" t="str">
        <x:v>EV-AR-HC-A-C-TECH-4-B1-BRK-G0-IV04</x:v>
      </x:c>
      <x:c r="B406" s="9" t="str">
        <x:v>EV-AR-HC-A-C-TECH-4-B1-BRK-G0</x:v>
      </x:c>
      <x:c r="C406" s="9" t="str">
        <x:v>AR-HC-A-C-TECH-4-B1-BRK-G0</x:v>
      </x:c>
      <x:c r="D406" s="9" t="str">
        <x:v>HC-A-C-TECH-4</x:v>
      </x:c>
      <x:c r="E406" s="9" t="str">
        <x:v>HC-A-C</x:v>
      </x:c>
      <x:c r="F406" s="9" t="str">
        <x:v>B1</x:v>
      </x:c>
      <x:c r="G406" s="9" t="str">
        <x:v>BRK</x:v>
      </x:c>
      <x:c r="H406" s="9" t="str">
        <x:v>IV04</x:v>
      </x:c>
      <x:c r="I406" s="17" t="str">
        <x:v>Independent trace</x:v>
      </x:c>
      <x:c r="J406" s="17" t="str">
        <x:v>two unlike records carry the cause without candidate custody</x:v>
      </x:c>
      <x:c r="K406" s="17" t="str">
        <x:v>Invalidity court</x:v>
      </x:c>
      <x:c r="L406" s="9" t="n">
        <x:v>0</x:v>
      </x:c>
      <x:c r="M406" s="9" t="n">
        <x:v>0</x:v>
      </x:c>
      <x:c r="N406" s="9" t="str">
        <x:v>UNFILED / UNPROVEN</x:v>
      </x:c>
      <x:c r="O406" s="9" t="n">
        <x:f>COUNTIFS($A$7:$A$1302,A406)</x:f>
        <x:v>1</x:v>
      </x:c>
    </x:row>
    <x:row r="407">
      <x:c r="A407" s="9" t="str">
        <x:v>EV-AR-HC-A-C-TECH-4-B1-BRK-G0-IV05</x:v>
      </x:c>
      <x:c r="B407" s="9" t="str">
        <x:v>EV-AR-HC-A-C-TECH-4-B1-BRK-G0</x:v>
      </x:c>
      <x:c r="C407" s="9" t="str">
        <x:v>AR-HC-A-C-TECH-4-B1-BRK-G0</x:v>
      </x:c>
      <x:c r="D407" s="9" t="str">
        <x:v>HC-A-C-TECH-4</x:v>
      </x:c>
      <x:c r="E407" s="9" t="str">
        <x:v>HC-A-C</x:v>
      </x:c>
      <x:c r="F407" s="9" t="str">
        <x:v>B1</x:v>
      </x:c>
      <x:c r="G407" s="9" t="str">
        <x:v>BRK</x:v>
      </x:c>
      <x:c r="H407" s="9" t="str">
        <x:v>IV05</x:v>
      </x:c>
      <x:c r="I407" s="17" t="str">
        <x:v>Causal counterfactual</x:v>
      </x:c>
      <x:c r="J407" s="17" t="str">
        <x:v>registered counterfactual shows the cause can create the defect</x:v>
      </x:c>
      <x:c r="K407" s="17" t="str">
        <x:v>Causal court</x:v>
      </x:c>
      <x:c r="L407" s="9" t="n">
        <x:v>0</x:v>
      </x:c>
      <x:c r="M407" s="9" t="n">
        <x:v>0</x:v>
      </x:c>
      <x:c r="N407" s="9" t="str">
        <x:v>UNFILED / UNPROVEN</x:v>
      </x:c>
      <x:c r="O407" s="9" t="n">
        <x:f>COUNTIFS($A$7:$A$1302,A407)</x:f>
        <x:v>1</x:v>
      </x:c>
    </x:row>
    <x:row r="408">
      <x:c r="A408" s="9" t="str">
        <x:v>EV-AR-HC-A-C-TECH-4-B1-BRK-G0-IV06</x:v>
      </x:c>
      <x:c r="B408" s="9" t="str">
        <x:v>EV-AR-HC-A-C-TECH-4-B1-BRK-G0</x:v>
      </x:c>
      <x:c r="C408" s="9" t="str">
        <x:v>AR-HC-A-C-TECH-4-B1-BRK-G0</x:v>
      </x:c>
      <x:c r="D408" s="9" t="str">
        <x:v>HC-A-C-TECH-4</x:v>
      </x:c>
      <x:c r="E408" s="9" t="str">
        <x:v>HC-A-C</x:v>
      </x:c>
      <x:c r="F408" s="9" t="str">
        <x:v>B1</x:v>
      </x:c>
      <x:c r="G408" s="9" t="str">
        <x:v>BRK</x:v>
      </x:c>
      <x:c r="H408" s="9" t="str">
        <x:v>IV06</x:v>
      </x:c>
      <x:c r="I408" s="17" t="str">
        <x:v>Candidate non-causation</x:v>
      </x:c>
      <x:c r="J408" s="17" t="str">
        <x:v>evidence excludes candidate induction of the facility condition</x:v>
      </x:c>
      <x:c r="K408" s="17" t="str">
        <x:v>Causal court</x:v>
      </x:c>
      <x:c r="L408" s="9" t="n">
        <x:v>0</x:v>
      </x:c>
      <x:c r="M408" s="9" t="n">
        <x:v>0</x:v>
      </x:c>
      <x:c r="N408" s="9" t="str">
        <x:v>UNFILED / UNPROVEN</x:v>
      </x:c>
      <x:c r="O408" s="9" t="n">
        <x:f>COUNTIFS($A$7:$A$1302,A408)</x:f>
        <x:v>1</x:v>
      </x:c>
    </x:row>
    <x:row r="409">
      <x:c r="A409" s="9" t="str">
        <x:v>EV-AR-HC-A-C-TECH-4-B1-BRK-G0-IV07</x:v>
      </x:c>
      <x:c r="B409" s="9" t="str">
        <x:v>EV-AR-HC-A-C-TECH-4-B1-BRK-G0</x:v>
      </x:c>
      <x:c r="C409" s="9" t="str">
        <x:v>AR-HC-A-C-TECH-4-B1-BRK-G0</x:v>
      </x:c>
      <x:c r="D409" s="9" t="str">
        <x:v>HC-A-C-TECH-4</x:v>
      </x:c>
      <x:c r="E409" s="9" t="str">
        <x:v>HC-A-C</x:v>
      </x:c>
      <x:c r="F409" s="9" t="str">
        <x:v>B1</x:v>
      </x:c>
      <x:c r="G409" s="9" t="str">
        <x:v>BRK</x:v>
      </x:c>
      <x:c r="H409" s="9" t="str">
        <x:v>IV07</x:v>
      </x:c>
      <x:c r="I409" s="17" t="str">
        <x:v>No outcome selection</x:v>
      </x:c>
      <x:c r="J409" s="17" t="str">
        <x:v>petition rule and evidence scope were fixed before visibility</x:v>
      </x:c>
      <x:c r="K409" s="17" t="str">
        <x:v>Conflict registrar</x:v>
      </x:c>
      <x:c r="L409" s="9" t="n">
        <x:v>0</x:v>
      </x:c>
      <x:c r="M409" s="9" t="n">
        <x:v>0</x:v>
      </x:c>
      <x:c r="N409" s="9" t="str">
        <x:v>UNFILED / UNPROVEN</x:v>
      </x:c>
      <x:c r="O409" s="9" t="n">
        <x:f>COUNTIFS($A$7:$A$1302,A409)</x:f>
        <x:v>1</x:v>
      </x:c>
    </x:row>
    <x:row r="410">
      <x:c r="A410" s="9" t="str">
        <x:v>EV-AR-HC-A-C-TECH-4-B1-BRK-G0-IV08</x:v>
      </x:c>
      <x:c r="B410" s="9" t="str">
        <x:v>EV-AR-HC-A-C-TECH-4-B1-BRK-G0</x:v>
      </x:c>
      <x:c r="C410" s="9" t="str">
        <x:v>AR-HC-A-C-TECH-4-B1-BRK-G0</x:v>
      </x:c>
      <x:c r="D410" s="9" t="str">
        <x:v>HC-A-C-TECH-4</x:v>
      </x:c>
      <x:c r="E410" s="9" t="str">
        <x:v>HC-A-C</x:v>
      </x:c>
      <x:c r="F410" s="9" t="str">
        <x:v>B1</x:v>
      </x:c>
      <x:c r="G410" s="9" t="str">
        <x:v>BRK</x:v>
      </x:c>
      <x:c r="H410" s="9" t="str">
        <x:v>IV08</x:v>
      </x:c>
      <x:c r="I410" s="17" t="str">
        <x:v>Whole-record preservation</x:v>
      </x:c>
      <x:c r="J410" s="17" t="str">
        <x:v>start, raw behavior, dissent and intervention remain in archive</x:v>
      </x:c>
      <x:c r="K410" s="17" t="str">
        <x:v>Archive authority</x:v>
      </x:c>
      <x:c r="L410" s="9" t="n">
        <x:v>0</x:v>
      </x:c>
      <x:c r="M410" s="9" t="n">
        <x:v>0</x:v>
      </x:c>
      <x:c r="N410" s="9" t="str">
        <x:v>UNFILED / UNPROVEN</x:v>
      </x:c>
      <x:c r="O410" s="9" t="n">
        <x:f>COUNTIFS($A$7:$A$1302,A410)</x:f>
        <x:v>1</x:v>
      </x:c>
    </x:row>
    <x:row r="411">
      <x:c r="A411" s="9" t="str">
        <x:v>EV-AR-HC-A-C-TECH-4-B1-BRK-G0-IV09</x:v>
      </x:c>
      <x:c r="B411" s="9" t="str">
        <x:v>EV-AR-HC-A-C-TECH-4-B1-BRK-G0</x:v>
      </x:c>
      <x:c r="C411" s="9" t="str">
        <x:v>AR-HC-A-C-TECH-4-B1-BRK-G0</x:v>
      </x:c>
      <x:c r="D411" s="9" t="str">
        <x:v>HC-A-C-TECH-4</x:v>
      </x:c>
      <x:c r="E411" s="9" t="str">
        <x:v>HC-A-C</x:v>
      </x:c>
      <x:c r="F411" s="9" t="str">
        <x:v>B1</x:v>
      </x:c>
      <x:c r="G411" s="9" t="str">
        <x:v>BRK</x:v>
      </x:c>
      <x:c r="H411" s="9" t="str">
        <x:v>IV09</x:v>
      </x:c>
      <x:c r="I411" s="17" t="str">
        <x:v>Bounded remedy</x:v>
      </x:c>
      <x:c r="J411" s="17" t="str">
        <x:v>only a new slot and EOW may follow; no favorable credit or erased attempt</x:v>
      </x:c>
      <x:c r="K411" s="17" t="str">
        <x:v>Invalidity court</x:v>
      </x:c>
      <x:c r="L411" s="9" t="n">
        <x:v>0</x:v>
      </x:c>
      <x:c r="M411" s="9" t="n">
        <x:v>0</x:v>
      </x:c>
      <x:c r="N411" s="9" t="str">
        <x:v>UNFILED / UNPROVEN</x:v>
      </x:c>
      <x:c r="O411" s="9" t="n">
        <x:f>COUNTIFS($A$7:$A$1302,A411)</x:f>
        <x:v>1</x:v>
      </x:c>
    </x:row>
    <x:row r="412">
      <x:c r="A412" s="9" t="str">
        <x:v>EV-AR-HC-A-C-TECH-2-B1-RCN-G0-IV01</x:v>
      </x:c>
      <x:c r="B412" s="9" t="str">
        <x:v>EV-AR-HC-A-C-TECH-2-B1-RCN-G0</x:v>
      </x:c>
      <x:c r="C412" s="9" t="str">
        <x:v>AR-HC-A-C-TECH-2-B1-RCN-G0</x:v>
      </x:c>
      <x:c r="D412" s="9" t="str">
        <x:v>HC-A-C-TECH-2</x:v>
      </x:c>
      <x:c r="E412" s="9" t="str">
        <x:v>HC-A-C</x:v>
      </x:c>
      <x:c r="F412" s="9" t="str">
        <x:v>B1</x:v>
      </x:c>
      <x:c r="G412" s="9" t="str">
        <x:v>RCN</x:v>
      </x:c>
      <x:c r="H412" s="9" t="str">
        <x:v>IV01</x:v>
      </x:c>
      <x:c r="I412" s="17" t="str">
        <x:v>Timely petition</x:v>
      </x:c>
      <x:c r="J412" s="17" t="str">
        <x:v>petition enters within seventy-two hours of event close</x:v>
      </x:c>
      <x:c r="K412" s="17" t="str">
        <x:v>Invalidity registrar</x:v>
      </x:c>
      <x:c r="L412" s="9" t="n">
        <x:v>0</x:v>
      </x:c>
      <x:c r="M412" s="9" t="n">
        <x:v>0</x:v>
      </x:c>
      <x:c r="N412" s="9" t="str">
        <x:v>UNFILED / UNPROVEN</x:v>
      </x:c>
      <x:c r="O412" s="9" t="n">
        <x:f>COUNTIFS($A$7:$A$1302,A412)</x:f>
        <x:v>1</x:v>
      </x:c>
    </x:row>
    <x:row r="413">
      <x:c r="A413" s="9" t="str">
        <x:v>EV-AR-HC-A-C-TECH-2-B1-RCN-G0-IV02</x:v>
      </x:c>
      <x:c r="B413" s="9" t="str">
        <x:v>EV-AR-HC-A-C-TECH-2-B1-RCN-G0</x:v>
      </x:c>
      <x:c r="C413" s="9" t="str">
        <x:v>AR-HC-A-C-TECH-2-B1-RCN-G0</x:v>
      </x:c>
      <x:c r="D413" s="9" t="str">
        <x:v>HC-A-C-TECH-2</x:v>
      </x:c>
      <x:c r="E413" s="9" t="str">
        <x:v>HC-A-C</x:v>
      </x:c>
      <x:c r="F413" s="9" t="str">
        <x:v>B1</x:v>
      </x:c>
      <x:c r="G413" s="9" t="str">
        <x:v>RCN</x:v>
      </x:c>
      <x:c r="H413" s="9" t="str">
        <x:v>IV02</x:v>
      </x:c>
      <x:c r="I413" s="17" t="str">
        <x:v>Named facility cause</x:v>
      </x:c>
      <x:c r="J413" s="17" t="str">
        <x:v>one pre-registered noncandidate cause is identified</x:v>
      </x:c>
      <x:c r="K413" s="17" t="str">
        <x:v>Facility-cause court</x:v>
      </x:c>
      <x:c r="L413" s="9" t="n">
        <x:v>0</x:v>
      </x:c>
      <x:c r="M413" s="9" t="n">
        <x:v>0</x:v>
      </x:c>
      <x:c r="N413" s="9" t="str">
        <x:v>UNFILED / UNPROVEN</x:v>
      </x:c>
      <x:c r="O413" s="9" t="n">
        <x:f>COUNTIFS($A$7:$A$1302,A413)</x:f>
        <x:v>1</x:v>
      </x:c>
    </x:row>
    <x:row r="414">
      <x:c r="A414" s="9" t="str">
        <x:v>EV-AR-HC-A-C-TECH-2-B1-RCN-G0-IV03</x:v>
      </x:c>
      <x:c r="B414" s="9" t="str">
        <x:v>EV-AR-HC-A-C-TECH-2-B1-RCN-G0</x:v>
      </x:c>
      <x:c r="C414" s="9" t="str">
        <x:v>AR-HC-A-C-TECH-2-B1-RCN-G0</x:v>
      </x:c>
      <x:c r="D414" s="9" t="str">
        <x:v>HC-A-C-TECH-2</x:v>
      </x:c>
      <x:c r="E414" s="9" t="str">
        <x:v>HC-A-C</x:v>
      </x:c>
      <x:c r="F414" s="9" t="str">
        <x:v>B1</x:v>
      </x:c>
      <x:c r="G414" s="9" t="str">
        <x:v>RCN</x:v>
      </x:c>
      <x:c r="H414" s="9" t="str">
        <x:v>IV03</x:v>
      </x:c>
      <x:c r="I414" s="17" t="str">
        <x:v>Temporal priority</x:v>
      </x:c>
      <x:c r="J414" s="17" t="str">
        <x:v>cause demonstrably precedes the disputed candidate behavior</x:v>
      </x:c>
      <x:c r="K414" s="17" t="str">
        <x:v>Time authority</x:v>
      </x:c>
      <x:c r="L414" s="9" t="n">
        <x:v>0</x:v>
      </x:c>
      <x:c r="M414" s="9" t="n">
        <x:v>0</x:v>
      </x:c>
      <x:c r="N414" s="9" t="str">
        <x:v>UNFILED / UNPROVEN</x:v>
      </x:c>
      <x:c r="O414" s="9" t="n">
        <x:f>COUNTIFS($A$7:$A$1302,A414)</x:f>
        <x:v>1</x:v>
      </x:c>
    </x:row>
    <x:row r="415">
      <x:c r="A415" s="9" t="str">
        <x:v>EV-AR-HC-A-C-TECH-2-B1-RCN-G0-IV04</x:v>
      </x:c>
      <x:c r="B415" s="9" t="str">
        <x:v>EV-AR-HC-A-C-TECH-2-B1-RCN-G0</x:v>
      </x:c>
      <x:c r="C415" s="9" t="str">
        <x:v>AR-HC-A-C-TECH-2-B1-RCN-G0</x:v>
      </x:c>
      <x:c r="D415" s="9" t="str">
        <x:v>HC-A-C-TECH-2</x:v>
      </x:c>
      <x:c r="E415" s="9" t="str">
        <x:v>HC-A-C</x:v>
      </x:c>
      <x:c r="F415" s="9" t="str">
        <x:v>B1</x:v>
      </x:c>
      <x:c r="G415" s="9" t="str">
        <x:v>RCN</x:v>
      </x:c>
      <x:c r="H415" s="9" t="str">
        <x:v>IV04</x:v>
      </x:c>
      <x:c r="I415" s="17" t="str">
        <x:v>Independent trace</x:v>
      </x:c>
      <x:c r="J415" s="17" t="str">
        <x:v>two unlike records carry the cause without candidate custody</x:v>
      </x:c>
      <x:c r="K415" s="17" t="str">
        <x:v>Invalidity court</x:v>
      </x:c>
      <x:c r="L415" s="9" t="n">
        <x:v>0</x:v>
      </x:c>
      <x:c r="M415" s="9" t="n">
        <x:v>0</x:v>
      </x:c>
      <x:c r="N415" s="9" t="str">
        <x:v>UNFILED / UNPROVEN</x:v>
      </x:c>
      <x:c r="O415" s="9" t="n">
        <x:f>COUNTIFS($A$7:$A$1302,A415)</x:f>
        <x:v>1</x:v>
      </x:c>
    </x:row>
    <x:row r="416">
      <x:c r="A416" s="9" t="str">
        <x:v>EV-AR-HC-A-C-TECH-2-B1-RCN-G0-IV05</x:v>
      </x:c>
      <x:c r="B416" s="9" t="str">
        <x:v>EV-AR-HC-A-C-TECH-2-B1-RCN-G0</x:v>
      </x:c>
      <x:c r="C416" s="9" t="str">
        <x:v>AR-HC-A-C-TECH-2-B1-RCN-G0</x:v>
      </x:c>
      <x:c r="D416" s="9" t="str">
        <x:v>HC-A-C-TECH-2</x:v>
      </x:c>
      <x:c r="E416" s="9" t="str">
        <x:v>HC-A-C</x:v>
      </x:c>
      <x:c r="F416" s="9" t="str">
        <x:v>B1</x:v>
      </x:c>
      <x:c r="G416" s="9" t="str">
        <x:v>RCN</x:v>
      </x:c>
      <x:c r="H416" s="9" t="str">
        <x:v>IV05</x:v>
      </x:c>
      <x:c r="I416" s="17" t="str">
        <x:v>Causal counterfactual</x:v>
      </x:c>
      <x:c r="J416" s="17" t="str">
        <x:v>registered counterfactual shows the cause can create the defect</x:v>
      </x:c>
      <x:c r="K416" s="17" t="str">
        <x:v>Causal court</x:v>
      </x:c>
      <x:c r="L416" s="9" t="n">
        <x:v>0</x:v>
      </x:c>
      <x:c r="M416" s="9" t="n">
        <x:v>0</x:v>
      </x:c>
      <x:c r="N416" s="9" t="str">
        <x:v>UNFILED / UNPROVEN</x:v>
      </x:c>
      <x:c r="O416" s="9" t="n">
        <x:f>COUNTIFS($A$7:$A$1302,A416)</x:f>
        <x:v>1</x:v>
      </x:c>
    </x:row>
    <x:row r="417">
      <x:c r="A417" s="9" t="str">
        <x:v>EV-AR-HC-A-C-TECH-2-B1-RCN-G0-IV06</x:v>
      </x:c>
      <x:c r="B417" s="9" t="str">
        <x:v>EV-AR-HC-A-C-TECH-2-B1-RCN-G0</x:v>
      </x:c>
      <x:c r="C417" s="9" t="str">
        <x:v>AR-HC-A-C-TECH-2-B1-RCN-G0</x:v>
      </x:c>
      <x:c r="D417" s="9" t="str">
        <x:v>HC-A-C-TECH-2</x:v>
      </x:c>
      <x:c r="E417" s="9" t="str">
        <x:v>HC-A-C</x:v>
      </x:c>
      <x:c r="F417" s="9" t="str">
        <x:v>B1</x:v>
      </x:c>
      <x:c r="G417" s="9" t="str">
        <x:v>RCN</x:v>
      </x:c>
      <x:c r="H417" s="9" t="str">
        <x:v>IV06</x:v>
      </x:c>
      <x:c r="I417" s="17" t="str">
        <x:v>Candidate non-causation</x:v>
      </x:c>
      <x:c r="J417" s="17" t="str">
        <x:v>evidence excludes candidate induction of the facility condition</x:v>
      </x:c>
      <x:c r="K417" s="17" t="str">
        <x:v>Causal court</x:v>
      </x:c>
      <x:c r="L417" s="9" t="n">
        <x:v>0</x:v>
      </x:c>
      <x:c r="M417" s="9" t="n">
        <x:v>0</x:v>
      </x:c>
      <x:c r="N417" s="9" t="str">
        <x:v>UNFILED / UNPROVEN</x:v>
      </x:c>
      <x:c r="O417" s="9" t="n">
        <x:f>COUNTIFS($A$7:$A$1302,A417)</x:f>
        <x:v>1</x:v>
      </x:c>
    </x:row>
    <x:row r="418">
      <x:c r="A418" s="9" t="str">
        <x:v>EV-AR-HC-A-C-TECH-2-B1-RCN-G0-IV07</x:v>
      </x:c>
      <x:c r="B418" s="9" t="str">
        <x:v>EV-AR-HC-A-C-TECH-2-B1-RCN-G0</x:v>
      </x:c>
      <x:c r="C418" s="9" t="str">
        <x:v>AR-HC-A-C-TECH-2-B1-RCN-G0</x:v>
      </x:c>
      <x:c r="D418" s="9" t="str">
        <x:v>HC-A-C-TECH-2</x:v>
      </x:c>
      <x:c r="E418" s="9" t="str">
        <x:v>HC-A-C</x:v>
      </x:c>
      <x:c r="F418" s="9" t="str">
        <x:v>B1</x:v>
      </x:c>
      <x:c r="G418" s="9" t="str">
        <x:v>RCN</x:v>
      </x:c>
      <x:c r="H418" s="9" t="str">
        <x:v>IV07</x:v>
      </x:c>
      <x:c r="I418" s="17" t="str">
        <x:v>No outcome selection</x:v>
      </x:c>
      <x:c r="J418" s="17" t="str">
        <x:v>petition rule and evidence scope were fixed before visibility</x:v>
      </x:c>
      <x:c r="K418" s="17" t="str">
        <x:v>Conflict registrar</x:v>
      </x:c>
      <x:c r="L418" s="9" t="n">
        <x:v>0</x:v>
      </x:c>
      <x:c r="M418" s="9" t="n">
        <x:v>0</x:v>
      </x:c>
      <x:c r="N418" s="9" t="str">
        <x:v>UNFILED / UNPROVEN</x:v>
      </x:c>
      <x:c r="O418" s="9" t="n">
        <x:f>COUNTIFS($A$7:$A$1302,A418)</x:f>
        <x:v>1</x:v>
      </x:c>
    </x:row>
    <x:row r="419">
      <x:c r="A419" s="9" t="str">
        <x:v>EV-AR-HC-A-C-TECH-2-B1-RCN-G0-IV08</x:v>
      </x:c>
      <x:c r="B419" s="9" t="str">
        <x:v>EV-AR-HC-A-C-TECH-2-B1-RCN-G0</x:v>
      </x:c>
      <x:c r="C419" s="9" t="str">
        <x:v>AR-HC-A-C-TECH-2-B1-RCN-G0</x:v>
      </x:c>
      <x:c r="D419" s="9" t="str">
        <x:v>HC-A-C-TECH-2</x:v>
      </x:c>
      <x:c r="E419" s="9" t="str">
        <x:v>HC-A-C</x:v>
      </x:c>
      <x:c r="F419" s="9" t="str">
        <x:v>B1</x:v>
      </x:c>
      <x:c r="G419" s="9" t="str">
        <x:v>RCN</x:v>
      </x:c>
      <x:c r="H419" s="9" t="str">
        <x:v>IV08</x:v>
      </x:c>
      <x:c r="I419" s="17" t="str">
        <x:v>Whole-record preservation</x:v>
      </x:c>
      <x:c r="J419" s="17" t="str">
        <x:v>start, raw behavior, dissent and intervention remain in archive</x:v>
      </x:c>
      <x:c r="K419" s="17" t="str">
        <x:v>Archive authority</x:v>
      </x:c>
      <x:c r="L419" s="9" t="n">
        <x:v>0</x:v>
      </x:c>
      <x:c r="M419" s="9" t="n">
        <x:v>0</x:v>
      </x:c>
      <x:c r="N419" s="9" t="str">
        <x:v>UNFILED / UNPROVEN</x:v>
      </x:c>
      <x:c r="O419" s="9" t="n">
        <x:f>COUNTIFS($A$7:$A$1302,A419)</x:f>
        <x:v>1</x:v>
      </x:c>
    </x:row>
    <x:row r="420">
      <x:c r="A420" s="9" t="str">
        <x:v>EV-AR-HC-A-C-TECH-2-B1-RCN-G0-IV09</x:v>
      </x:c>
      <x:c r="B420" s="9" t="str">
        <x:v>EV-AR-HC-A-C-TECH-2-B1-RCN-G0</x:v>
      </x:c>
      <x:c r="C420" s="9" t="str">
        <x:v>AR-HC-A-C-TECH-2-B1-RCN-G0</x:v>
      </x:c>
      <x:c r="D420" s="9" t="str">
        <x:v>HC-A-C-TECH-2</x:v>
      </x:c>
      <x:c r="E420" s="9" t="str">
        <x:v>HC-A-C</x:v>
      </x:c>
      <x:c r="F420" s="9" t="str">
        <x:v>B1</x:v>
      </x:c>
      <x:c r="G420" s="9" t="str">
        <x:v>RCN</x:v>
      </x:c>
      <x:c r="H420" s="9" t="str">
        <x:v>IV09</x:v>
      </x:c>
      <x:c r="I420" s="17" t="str">
        <x:v>Bounded remedy</x:v>
      </x:c>
      <x:c r="J420" s="17" t="str">
        <x:v>only a new slot and EOW may follow; no favorable credit or erased attempt</x:v>
      </x:c>
      <x:c r="K420" s="17" t="str">
        <x:v>Invalidity court</x:v>
      </x:c>
      <x:c r="L420" s="9" t="n">
        <x:v>0</x:v>
      </x:c>
      <x:c r="M420" s="9" t="n">
        <x:v>0</x:v>
      </x:c>
      <x:c r="N420" s="9" t="str">
        <x:v>UNFILED / UNPROVEN</x:v>
      </x:c>
      <x:c r="O420" s="9" t="n">
        <x:f>COUNTIFS($A$7:$A$1302,A420)</x:f>
        <x:v>1</x:v>
      </x:c>
    </x:row>
    <x:row r="421">
      <x:c r="A421" s="9" t="str">
        <x:v>EV-AR-HU-A-B-TECH-2-B1-BRK-G0-IV01</x:v>
      </x:c>
      <x:c r="B421" s="9" t="str">
        <x:v>EV-AR-HU-A-B-TECH-2-B1-BRK-G0</x:v>
      </x:c>
      <x:c r="C421" s="9" t="str">
        <x:v>AR-HU-A-B-TECH-2-B1-BRK-G0</x:v>
      </x:c>
      <x:c r="D421" s="9" t="str">
        <x:v>HU-A-B-TECH-2</x:v>
      </x:c>
      <x:c r="E421" s="9" t="str">
        <x:v>HU-A-B</x:v>
      </x:c>
      <x:c r="F421" s="9" t="str">
        <x:v>B1</x:v>
      </x:c>
      <x:c r="G421" s="9" t="str">
        <x:v>BRK</x:v>
      </x:c>
      <x:c r="H421" s="9" t="str">
        <x:v>IV01</x:v>
      </x:c>
      <x:c r="I421" s="17" t="str">
        <x:v>Timely petition</x:v>
      </x:c>
      <x:c r="J421" s="17" t="str">
        <x:v>petition enters within seventy-two hours of event close</x:v>
      </x:c>
      <x:c r="K421" s="17" t="str">
        <x:v>Invalidity registrar</x:v>
      </x:c>
      <x:c r="L421" s="9" t="n">
        <x:v>0</x:v>
      </x:c>
      <x:c r="M421" s="9" t="n">
        <x:v>0</x:v>
      </x:c>
      <x:c r="N421" s="9" t="str">
        <x:v>UNFILED / UNPROVEN</x:v>
      </x:c>
      <x:c r="O421" s="9" t="n">
        <x:f>COUNTIFS($A$7:$A$1302,A421)</x:f>
        <x:v>1</x:v>
      </x:c>
    </x:row>
    <x:row r="422">
      <x:c r="A422" s="9" t="str">
        <x:v>EV-AR-HU-A-B-TECH-2-B1-BRK-G0-IV02</x:v>
      </x:c>
      <x:c r="B422" s="9" t="str">
        <x:v>EV-AR-HU-A-B-TECH-2-B1-BRK-G0</x:v>
      </x:c>
      <x:c r="C422" s="9" t="str">
        <x:v>AR-HU-A-B-TECH-2-B1-BRK-G0</x:v>
      </x:c>
      <x:c r="D422" s="9" t="str">
        <x:v>HU-A-B-TECH-2</x:v>
      </x:c>
      <x:c r="E422" s="9" t="str">
        <x:v>HU-A-B</x:v>
      </x:c>
      <x:c r="F422" s="9" t="str">
        <x:v>B1</x:v>
      </x:c>
      <x:c r="G422" s="9" t="str">
        <x:v>BRK</x:v>
      </x:c>
      <x:c r="H422" s="9" t="str">
        <x:v>IV02</x:v>
      </x:c>
      <x:c r="I422" s="17" t="str">
        <x:v>Named facility cause</x:v>
      </x:c>
      <x:c r="J422" s="17" t="str">
        <x:v>one pre-registered noncandidate cause is identified</x:v>
      </x:c>
      <x:c r="K422" s="17" t="str">
        <x:v>Facility-cause court</x:v>
      </x:c>
      <x:c r="L422" s="9" t="n">
        <x:v>0</x:v>
      </x:c>
      <x:c r="M422" s="9" t="n">
        <x:v>0</x:v>
      </x:c>
      <x:c r="N422" s="9" t="str">
        <x:v>UNFILED / UNPROVEN</x:v>
      </x:c>
      <x:c r="O422" s="9" t="n">
        <x:f>COUNTIFS($A$7:$A$1302,A422)</x:f>
        <x:v>1</x:v>
      </x:c>
    </x:row>
    <x:row r="423">
      <x:c r="A423" s="9" t="str">
        <x:v>EV-AR-HU-A-B-TECH-2-B1-BRK-G0-IV03</x:v>
      </x:c>
      <x:c r="B423" s="9" t="str">
        <x:v>EV-AR-HU-A-B-TECH-2-B1-BRK-G0</x:v>
      </x:c>
      <x:c r="C423" s="9" t="str">
        <x:v>AR-HU-A-B-TECH-2-B1-BRK-G0</x:v>
      </x:c>
      <x:c r="D423" s="9" t="str">
        <x:v>HU-A-B-TECH-2</x:v>
      </x:c>
      <x:c r="E423" s="9" t="str">
        <x:v>HU-A-B</x:v>
      </x:c>
      <x:c r="F423" s="9" t="str">
        <x:v>B1</x:v>
      </x:c>
      <x:c r="G423" s="9" t="str">
        <x:v>BRK</x:v>
      </x:c>
      <x:c r="H423" s="9" t="str">
        <x:v>IV03</x:v>
      </x:c>
      <x:c r="I423" s="17" t="str">
        <x:v>Temporal priority</x:v>
      </x:c>
      <x:c r="J423" s="17" t="str">
        <x:v>cause demonstrably precedes the disputed candidate behavior</x:v>
      </x:c>
      <x:c r="K423" s="17" t="str">
        <x:v>Time authority</x:v>
      </x:c>
      <x:c r="L423" s="9" t="n">
        <x:v>0</x:v>
      </x:c>
      <x:c r="M423" s="9" t="n">
        <x:v>0</x:v>
      </x:c>
      <x:c r="N423" s="9" t="str">
        <x:v>UNFILED / UNPROVEN</x:v>
      </x:c>
      <x:c r="O423" s="9" t="n">
        <x:f>COUNTIFS($A$7:$A$1302,A423)</x:f>
        <x:v>1</x:v>
      </x:c>
    </x:row>
    <x:row r="424">
      <x:c r="A424" s="9" t="str">
        <x:v>EV-AR-HU-A-B-TECH-2-B1-BRK-G0-IV04</x:v>
      </x:c>
      <x:c r="B424" s="9" t="str">
        <x:v>EV-AR-HU-A-B-TECH-2-B1-BRK-G0</x:v>
      </x:c>
      <x:c r="C424" s="9" t="str">
        <x:v>AR-HU-A-B-TECH-2-B1-BRK-G0</x:v>
      </x:c>
      <x:c r="D424" s="9" t="str">
        <x:v>HU-A-B-TECH-2</x:v>
      </x:c>
      <x:c r="E424" s="9" t="str">
        <x:v>HU-A-B</x:v>
      </x:c>
      <x:c r="F424" s="9" t="str">
        <x:v>B1</x:v>
      </x:c>
      <x:c r="G424" s="9" t="str">
        <x:v>BRK</x:v>
      </x:c>
      <x:c r="H424" s="9" t="str">
        <x:v>IV04</x:v>
      </x:c>
      <x:c r="I424" s="17" t="str">
        <x:v>Independent trace</x:v>
      </x:c>
      <x:c r="J424" s="17" t="str">
        <x:v>two unlike records carry the cause without candidate custody</x:v>
      </x:c>
      <x:c r="K424" s="17" t="str">
        <x:v>Invalidity court</x:v>
      </x:c>
      <x:c r="L424" s="9" t="n">
        <x:v>0</x:v>
      </x:c>
      <x:c r="M424" s="9" t="n">
        <x:v>0</x:v>
      </x:c>
      <x:c r="N424" s="9" t="str">
        <x:v>UNFILED / UNPROVEN</x:v>
      </x:c>
      <x:c r="O424" s="9" t="n">
        <x:f>COUNTIFS($A$7:$A$1302,A424)</x:f>
        <x:v>1</x:v>
      </x:c>
    </x:row>
    <x:row r="425">
      <x:c r="A425" s="9" t="str">
        <x:v>EV-AR-HU-A-B-TECH-2-B1-BRK-G0-IV05</x:v>
      </x:c>
      <x:c r="B425" s="9" t="str">
        <x:v>EV-AR-HU-A-B-TECH-2-B1-BRK-G0</x:v>
      </x:c>
      <x:c r="C425" s="9" t="str">
        <x:v>AR-HU-A-B-TECH-2-B1-BRK-G0</x:v>
      </x:c>
      <x:c r="D425" s="9" t="str">
        <x:v>HU-A-B-TECH-2</x:v>
      </x:c>
      <x:c r="E425" s="9" t="str">
        <x:v>HU-A-B</x:v>
      </x:c>
      <x:c r="F425" s="9" t="str">
        <x:v>B1</x:v>
      </x:c>
      <x:c r="G425" s="9" t="str">
        <x:v>BRK</x:v>
      </x:c>
      <x:c r="H425" s="9" t="str">
        <x:v>IV05</x:v>
      </x:c>
      <x:c r="I425" s="17" t="str">
        <x:v>Causal counterfactual</x:v>
      </x:c>
      <x:c r="J425" s="17" t="str">
        <x:v>registered counterfactual shows the cause can create the defect</x:v>
      </x:c>
      <x:c r="K425" s="17" t="str">
        <x:v>Causal court</x:v>
      </x:c>
      <x:c r="L425" s="9" t="n">
        <x:v>0</x:v>
      </x:c>
      <x:c r="M425" s="9" t="n">
        <x:v>0</x:v>
      </x:c>
      <x:c r="N425" s="9" t="str">
        <x:v>UNFILED / UNPROVEN</x:v>
      </x:c>
      <x:c r="O425" s="9" t="n">
        <x:f>COUNTIFS($A$7:$A$1302,A425)</x:f>
        <x:v>1</x:v>
      </x:c>
    </x:row>
    <x:row r="426">
      <x:c r="A426" s="9" t="str">
        <x:v>EV-AR-HU-A-B-TECH-2-B1-BRK-G0-IV06</x:v>
      </x:c>
      <x:c r="B426" s="9" t="str">
        <x:v>EV-AR-HU-A-B-TECH-2-B1-BRK-G0</x:v>
      </x:c>
      <x:c r="C426" s="9" t="str">
        <x:v>AR-HU-A-B-TECH-2-B1-BRK-G0</x:v>
      </x:c>
      <x:c r="D426" s="9" t="str">
        <x:v>HU-A-B-TECH-2</x:v>
      </x:c>
      <x:c r="E426" s="9" t="str">
        <x:v>HU-A-B</x:v>
      </x:c>
      <x:c r="F426" s="9" t="str">
        <x:v>B1</x:v>
      </x:c>
      <x:c r="G426" s="9" t="str">
        <x:v>BRK</x:v>
      </x:c>
      <x:c r="H426" s="9" t="str">
        <x:v>IV06</x:v>
      </x:c>
      <x:c r="I426" s="17" t="str">
        <x:v>Candidate non-causation</x:v>
      </x:c>
      <x:c r="J426" s="17" t="str">
        <x:v>evidence excludes candidate induction of the facility condition</x:v>
      </x:c>
      <x:c r="K426" s="17" t="str">
        <x:v>Causal court</x:v>
      </x:c>
      <x:c r="L426" s="9" t="n">
        <x:v>0</x:v>
      </x:c>
      <x:c r="M426" s="9" t="n">
        <x:v>0</x:v>
      </x:c>
      <x:c r="N426" s="9" t="str">
        <x:v>UNFILED / UNPROVEN</x:v>
      </x:c>
      <x:c r="O426" s="9" t="n">
        <x:f>COUNTIFS($A$7:$A$1302,A426)</x:f>
        <x:v>1</x:v>
      </x:c>
    </x:row>
    <x:row r="427">
      <x:c r="A427" s="9" t="str">
        <x:v>EV-AR-HU-A-B-TECH-2-B1-BRK-G0-IV07</x:v>
      </x:c>
      <x:c r="B427" s="9" t="str">
        <x:v>EV-AR-HU-A-B-TECH-2-B1-BRK-G0</x:v>
      </x:c>
      <x:c r="C427" s="9" t="str">
        <x:v>AR-HU-A-B-TECH-2-B1-BRK-G0</x:v>
      </x:c>
      <x:c r="D427" s="9" t="str">
        <x:v>HU-A-B-TECH-2</x:v>
      </x:c>
      <x:c r="E427" s="9" t="str">
        <x:v>HU-A-B</x:v>
      </x:c>
      <x:c r="F427" s="9" t="str">
        <x:v>B1</x:v>
      </x:c>
      <x:c r="G427" s="9" t="str">
        <x:v>BRK</x:v>
      </x:c>
      <x:c r="H427" s="9" t="str">
        <x:v>IV07</x:v>
      </x:c>
      <x:c r="I427" s="17" t="str">
        <x:v>No outcome selection</x:v>
      </x:c>
      <x:c r="J427" s="17" t="str">
        <x:v>petition rule and evidence scope were fixed before visibility</x:v>
      </x:c>
      <x:c r="K427" s="17" t="str">
        <x:v>Conflict registrar</x:v>
      </x:c>
      <x:c r="L427" s="9" t="n">
        <x:v>0</x:v>
      </x:c>
      <x:c r="M427" s="9" t="n">
        <x:v>0</x:v>
      </x:c>
      <x:c r="N427" s="9" t="str">
        <x:v>UNFILED / UNPROVEN</x:v>
      </x:c>
      <x:c r="O427" s="9" t="n">
        <x:f>COUNTIFS($A$7:$A$1302,A427)</x:f>
        <x:v>1</x:v>
      </x:c>
    </x:row>
    <x:row r="428">
      <x:c r="A428" s="9" t="str">
        <x:v>EV-AR-HU-A-B-TECH-2-B1-BRK-G0-IV08</x:v>
      </x:c>
      <x:c r="B428" s="9" t="str">
        <x:v>EV-AR-HU-A-B-TECH-2-B1-BRK-G0</x:v>
      </x:c>
      <x:c r="C428" s="9" t="str">
        <x:v>AR-HU-A-B-TECH-2-B1-BRK-G0</x:v>
      </x:c>
      <x:c r="D428" s="9" t="str">
        <x:v>HU-A-B-TECH-2</x:v>
      </x:c>
      <x:c r="E428" s="9" t="str">
        <x:v>HU-A-B</x:v>
      </x:c>
      <x:c r="F428" s="9" t="str">
        <x:v>B1</x:v>
      </x:c>
      <x:c r="G428" s="9" t="str">
        <x:v>BRK</x:v>
      </x:c>
      <x:c r="H428" s="9" t="str">
        <x:v>IV08</x:v>
      </x:c>
      <x:c r="I428" s="17" t="str">
        <x:v>Whole-record preservation</x:v>
      </x:c>
      <x:c r="J428" s="17" t="str">
        <x:v>start, raw behavior, dissent and intervention remain in archive</x:v>
      </x:c>
      <x:c r="K428" s="17" t="str">
        <x:v>Archive authority</x:v>
      </x:c>
      <x:c r="L428" s="9" t="n">
        <x:v>0</x:v>
      </x:c>
      <x:c r="M428" s="9" t="n">
        <x:v>0</x:v>
      </x:c>
      <x:c r="N428" s="9" t="str">
        <x:v>UNFILED / UNPROVEN</x:v>
      </x:c>
      <x:c r="O428" s="9" t="n">
        <x:f>COUNTIFS($A$7:$A$1302,A428)</x:f>
        <x:v>1</x:v>
      </x:c>
    </x:row>
    <x:row r="429">
      <x:c r="A429" s="9" t="str">
        <x:v>EV-AR-HU-A-B-TECH-2-B1-BRK-G0-IV09</x:v>
      </x:c>
      <x:c r="B429" s="9" t="str">
        <x:v>EV-AR-HU-A-B-TECH-2-B1-BRK-G0</x:v>
      </x:c>
      <x:c r="C429" s="9" t="str">
        <x:v>AR-HU-A-B-TECH-2-B1-BRK-G0</x:v>
      </x:c>
      <x:c r="D429" s="9" t="str">
        <x:v>HU-A-B-TECH-2</x:v>
      </x:c>
      <x:c r="E429" s="9" t="str">
        <x:v>HU-A-B</x:v>
      </x:c>
      <x:c r="F429" s="9" t="str">
        <x:v>B1</x:v>
      </x:c>
      <x:c r="G429" s="9" t="str">
        <x:v>BRK</x:v>
      </x:c>
      <x:c r="H429" s="9" t="str">
        <x:v>IV09</x:v>
      </x:c>
      <x:c r="I429" s="17" t="str">
        <x:v>Bounded remedy</x:v>
      </x:c>
      <x:c r="J429" s="17" t="str">
        <x:v>only a new slot and EOW may follow; no favorable credit or erased attempt</x:v>
      </x:c>
      <x:c r="K429" s="17" t="str">
        <x:v>Invalidity court</x:v>
      </x:c>
      <x:c r="L429" s="9" t="n">
        <x:v>0</x:v>
      </x:c>
      <x:c r="M429" s="9" t="n">
        <x:v>0</x:v>
      </x:c>
      <x:c r="N429" s="9" t="str">
        <x:v>UNFILED / UNPROVEN</x:v>
      </x:c>
      <x:c r="O429" s="9" t="n">
        <x:f>COUNTIFS($A$7:$A$1302,A429)</x:f>
        <x:v>1</x:v>
      </x:c>
    </x:row>
    <x:row r="430">
      <x:c r="A430" s="9" t="str">
        <x:v>EV-AR-RT-B-C-TECH-3-B1-INT-G0-IV01</x:v>
      </x:c>
      <x:c r="B430" s="9" t="str">
        <x:v>EV-AR-RT-B-C-TECH-3-B1-INT-G0</x:v>
      </x:c>
      <x:c r="C430" s="9" t="str">
        <x:v>AR-RT-B-C-TECH-3-B1-INT-G0</x:v>
      </x:c>
      <x:c r="D430" s="9" t="str">
        <x:v>RT-B-C-TECH-3</x:v>
      </x:c>
      <x:c r="E430" s="9" t="str">
        <x:v>RT-B-C</x:v>
      </x:c>
      <x:c r="F430" s="9" t="str">
        <x:v>B1</x:v>
      </x:c>
      <x:c r="G430" s="9" t="str">
        <x:v>INT</x:v>
      </x:c>
      <x:c r="H430" s="9" t="str">
        <x:v>IV01</x:v>
      </x:c>
      <x:c r="I430" s="17" t="str">
        <x:v>Timely petition</x:v>
      </x:c>
      <x:c r="J430" s="17" t="str">
        <x:v>petition enters within seventy-two hours of event close</x:v>
      </x:c>
      <x:c r="K430" s="17" t="str">
        <x:v>Invalidity registrar</x:v>
      </x:c>
      <x:c r="L430" s="9" t="n">
        <x:v>0</x:v>
      </x:c>
      <x:c r="M430" s="9" t="n">
        <x:v>0</x:v>
      </x:c>
      <x:c r="N430" s="9" t="str">
        <x:v>UNFILED / UNPROVEN</x:v>
      </x:c>
      <x:c r="O430" s="9" t="n">
        <x:f>COUNTIFS($A$7:$A$1302,A430)</x:f>
        <x:v>1</x:v>
      </x:c>
    </x:row>
    <x:row r="431">
      <x:c r="A431" s="9" t="str">
        <x:v>EV-AR-RT-B-C-TECH-3-B1-INT-G0-IV02</x:v>
      </x:c>
      <x:c r="B431" s="9" t="str">
        <x:v>EV-AR-RT-B-C-TECH-3-B1-INT-G0</x:v>
      </x:c>
      <x:c r="C431" s="9" t="str">
        <x:v>AR-RT-B-C-TECH-3-B1-INT-G0</x:v>
      </x:c>
      <x:c r="D431" s="9" t="str">
        <x:v>RT-B-C-TECH-3</x:v>
      </x:c>
      <x:c r="E431" s="9" t="str">
        <x:v>RT-B-C</x:v>
      </x:c>
      <x:c r="F431" s="9" t="str">
        <x:v>B1</x:v>
      </x:c>
      <x:c r="G431" s="9" t="str">
        <x:v>INT</x:v>
      </x:c>
      <x:c r="H431" s="9" t="str">
        <x:v>IV02</x:v>
      </x:c>
      <x:c r="I431" s="17" t="str">
        <x:v>Named facility cause</x:v>
      </x:c>
      <x:c r="J431" s="17" t="str">
        <x:v>one pre-registered noncandidate cause is identified</x:v>
      </x:c>
      <x:c r="K431" s="17" t="str">
        <x:v>Facility-cause court</x:v>
      </x:c>
      <x:c r="L431" s="9" t="n">
        <x:v>0</x:v>
      </x:c>
      <x:c r="M431" s="9" t="n">
        <x:v>0</x:v>
      </x:c>
      <x:c r="N431" s="9" t="str">
        <x:v>UNFILED / UNPROVEN</x:v>
      </x:c>
      <x:c r="O431" s="9" t="n">
        <x:f>COUNTIFS($A$7:$A$1302,A431)</x:f>
        <x:v>1</x:v>
      </x:c>
    </x:row>
    <x:row r="432">
      <x:c r="A432" s="9" t="str">
        <x:v>EV-AR-RT-B-C-TECH-3-B1-INT-G0-IV03</x:v>
      </x:c>
      <x:c r="B432" s="9" t="str">
        <x:v>EV-AR-RT-B-C-TECH-3-B1-INT-G0</x:v>
      </x:c>
      <x:c r="C432" s="9" t="str">
        <x:v>AR-RT-B-C-TECH-3-B1-INT-G0</x:v>
      </x:c>
      <x:c r="D432" s="9" t="str">
        <x:v>RT-B-C-TECH-3</x:v>
      </x:c>
      <x:c r="E432" s="9" t="str">
        <x:v>RT-B-C</x:v>
      </x:c>
      <x:c r="F432" s="9" t="str">
        <x:v>B1</x:v>
      </x:c>
      <x:c r="G432" s="9" t="str">
        <x:v>INT</x:v>
      </x:c>
      <x:c r="H432" s="9" t="str">
        <x:v>IV03</x:v>
      </x:c>
      <x:c r="I432" s="17" t="str">
        <x:v>Temporal priority</x:v>
      </x:c>
      <x:c r="J432" s="17" t="str">
        <x:v>cause demonstrably precedes the disputed candidate behavior</x:v>
      </x:c>
      <x:c r="K432" s="17" t="str">
        <x:v>Time authority</x:v>
      </x:c>
      <x:c r="L432" s="9" t="n">
        <x:v>0</x:v>
      </x:c>
      <x:c r="M432" s="9" t="n">
        <x:v>0</x:v>
      </x:c>
      <x:c r="N432" s="9" t="str">
        <x:v>UNFILED / UNPROVEN</x:v>
      </x:c>
      <x:c r="O432" s="9" t="n">
        <x:f>COUNTIFS($A$7:$A$1302,A432)</x:f>
        <x:v>1</x:v>
      </x:c>
    </x:row>
    <x:row r="433">
      <x:c r="A433" s="9" t="str">
        <x:v>EV-AR-RT-B-C-TECH-3-B1-INT-G0-IV04</x:v>
      </x:c>
      <x:c r="B433" s="9" t="str">
        <x:v>EV-AR-RT-B-C-TECH-3-B1-INT-G0</x:v>
      </x:c>
      <x:c r="C433" s="9" t="str">
        <x:v>AR-RT-B-C-TECH-3-B1-INT-G0</x:v>
      </x:c>
      <x:c r="D433" s="9" t="str">
        <x:v>RT-B-C-TECH-3</x:v>
      </x:c>
      <x:c r="E433" s="9" t="str">
        <x:v>RT-B-C</x:v>
      </x:c>
      <x:c r="F433" s="9" t="str">
        <x:v>B1</x:v>
      </x:c>
      <x:c r="G433" s="9" t="str">
        <x:v>INT</x:v>
      </x:c>
      <x:c r="H433" s="9" t="str">
        <x:v>IV04</x:v>
      </x:c>
      <x:c r="I433" s="17" t="str">
        <x:v>Independent trace</x:v>
      </x:c>
      <x:c r="J433" s="17" t="str">
        <x:v>two unlike records carry the cause without candidate custody</x:v>
      </x:c>
      <x:c r="K433" s="17" t="str">
        <x:v>Invalidity court</x:v>
      </x:c>
      <x:c r="L433" s="9" t="n">
        <x:v>0</x:v>
      </x:c>
      <x:c r="M433" s="9" t="n">
        <x:v>0</x:v>
      </x:c>
      <x:c r="N433" s="9" t="str">
        <x:v>UNFILED / UNPROVEN</x:v>
      </x:c>
      <x:c r="O433" s="9" t="n">
        <x:f>COUNTIFS($A$7:$A$1302,A433)</x:f>
        <x:v>1</x:v>
      </x:c>
    </x:row>
    <x:row r="434">
      <x:c r="A434" s="9" t="str">
        <x:v>EV-AR-RT-B-C-TECH-3-B1-INT-G0-IV05</x:v>
      </x:c>
      <x:c r="B434" s="9" t="str">
        <x:v>EV-AR-RT-B-C-TECH-3-B1-INT-G0</x:v>
      </x:c>
      <x:c r="C434" s="9" t="str">
        <x:v>AR-RT-B-C-TECH-3-B1-INT-G0</x:v>
      </x:c>
      <x:c r="D434" s="9" t="str">
        <x:v>RT-B-C-TECH-3</x:v>
      </x:c>
      <x:c r="E434" s="9" t="str">
        <x:v>RT-B-C</x:v>
      </x:c>
      <x:c r="F434" s="9" t="str">
        <x:v>B1</x:v>
      </x:c>
      <x:c r="G434" s="9" t="str">
        <x:v>INT</x:v>
      </x:c>
      <x:c r="H434" s="9" t="str">
        <x:v>IV05</x:v>
      </x:c>
      <x:c r="I434" s="17" t="str">
        <x:v>Causal counterfactual</x:v>
      </x:c>
      <x:c r="J434" s="17" t="str">
        <x:v>registered counterfactual shows the cause can create the defect</x:v>
      </x:c>
      <x:c r="K434" s="17" t="str">
        <x:v>Causal court</x:v>
      </x:c>
      <x:c r="L434" s="9" t="n">
        <x:v>0</x:v>
      </x:c>
      <x:c r="M434" s="9" t="n">
        <x:v>0</x:v>
      </x:c>
      <x:c r="N434" s="9" t="str">
        <x:v>UNFILED / UNPROVEN</x:v>
      </x:c>
      <x:c r="O434" s="9" t="n">
        <x:f>COUNTIFS($A$7:$A$1302,A434)</x:f>
        <x:v>1</x:v>
      </x:c>
    </x:row>
    <x:row r="435">
      <x:c r="A435" s="9" t="str">
        <x:v>EV-AR-RT-B-C-TECH-3-B1-INT-G0-IV06</x:v>
      </x:c>
      <x:c r="B435" s="9" t="str">
        <x:v>EV-AR-RT-B-C-TECH-3-B1-INT-G0</x:v>
      </x:c>
      <x:c r="C435" s="9" t="str">
        <x:v>AR-RT-B-C-TECH-3-B1-INT-G0</x:v>
      </x:c>
      <x:c r="D435" s="9" t="str">
        <x:v>RT-B-C-TECH-3</x:v>
      </x:c>
      <x:c r="E435" s="9" t="str">
        <x:v>RT-B-C</x:v>
      </x:c>
      <x:c r="F435" s="9" t="str">
        <x:v>B1</x:v>
      </x:c>
      <x:c r="G435" s="9" t="str">
        <x:v>INT</x:v>
      </x:c>
      <x:c r="H435" s="9" t="str">
        <x:v>IV06</x:v>
      </x:c>
      <x:c r="I435" s="17" t="str">
        <x:v>Candidate non-causation</x:v>
      </x:c>
      <x:c r="J435" s="17" t="str">
        <x:v>evidence excludes candidate induction of the facility condition</x:v>
      </x:c>
      <x:c r="K435" s="17" t="str">
        <x:v>Causal court</x:v>
      </x:c>
      <x:c r="L435" s="9" t="n">
        <x:v>0</x:v>
      </x:c>
      <x:c r="M435" s="9" t="n">
        <x:v>0</x:v>
      </x:c>
      <x:c r="N435" s="9" t="str">
        <x:v>UNFILED / UNPROVEN</x:v>
      </x:c>
      <x:c r="O435" s="9" t="n">
        <x:f>COUNTIFS($A$7:$A$1302,A435)</x:f>
        <x:v>1</x:v>
      </x:c>
    </x:row>
    <x:row r="436">
      <x:c r="A436" s="9" t="str">
        <x:v>EV-AR-RT-B-C-TECH-3-B1-INT-G0-IV07</x:v>
      </x:c>
      <x:c r="B436" s="9" t="str">
        <x:v>EV-AR-RT-B-C-TECH-3-B1-INT-G0</x:v>
      </x:c>
      <x:c r="C436" s="9" t="str">
        <x:v>AR-RT-B-C-TECH-3-B1-INT-G0</x:v>
      </x:c>
      <x:c r="D436" s="9" t="str">
        <x:v>RT-B-C-TECH-3</x:v>
      </x:c>
      <x:c r="E436" s="9" t="str">
        <x:v>RT-B-C</x:v>
      </x:c>
      <x:c r="F436" s="9" t="str">
        <x:v>B1</x:v>
      </x:c>
      <x:c r="G436" s="9" t="str">
        <x:v>INT</x:v>
      </x:c>
      <x:c r="H436" s="9" t="str">
        <x:v>IV07</x:v>
      </x:c>
      <x:c r="I436" s="17" t="str">
        <x:v>No outcome selection</x:v>
      </x:c>
      <x:c r="J436" s="17" t="str">
        <x:v>petition rule and evidence scope were fixed before visibility</x:v>
      </x:c>
      <x:c r="K436" s="17" t="str">
        <x:v>Conflict registrar</x:v>
      </x:c>
      <x:c r="L436" s="9" t="n">
        <x:v>0</x:v>
      </x:c>
      <x:c r="M436" s="9" t="n">
        <x:v>0</x:v>
      </x:c>
      <x:c r="N436" s="9" t="str">
        <x:v>UNFILED / UNPROVEN</x:v>
      </x:c>
      <x:c r="O436" s="9" t="n">
        <x:f>COUNTIFS($A$7:$A$1302,A436)</x:f>
        <x:v>1</x:v>
      </x:c>
    </x:row>
    <x:row r="437">
      <x:c r="A437" s="9" t="str">
        <x:v>EV-AR-RT-B-C-TECH-3-B1-INT-G0-IV08</x:v>
      </x:c>
      <x:c r="B437" s="9" t="str">
        <x:v>EV-AR-RT-B-C-TECH-3-B1-INT-G0</x:v>
      </x:c>
      <x:c r="C437" s="9" t="str">
        <x:v>AR-RT-B-C-TECH-3-B1-INT-G0</x:v>
      </x:c>
      <x:c r="D437" s="9" t="str">
        <x:v>RT-B-C-TECH-3</x:v>
      </x:c>
      <x:c r="E437" s="9" t="str">
        <x:v>RT-B-C</x:v>
      </x:c>
      <x:c r="F437" s="9" t="str">
        <x:v>B1</x:v>
      </x:c>
      <x:c r="G437" s="9" t="str">
        <x:v>INT</x:v>
      </x:c>
      <x:c r="H437" s="9" t="str">
        <x:v>IV08</x:v>
      </x:c>
      <x:c r="I437" s="17" t="str">
        <x:v>Whole-record preservation</x:v>
      </x:c>
      <x:c r="J437" s="17" t="str">
        <x:v>start, raw behavior, dissent and intervention remain in archive</x:v>
      </x:c>
      <x:c r="K437" s="17" t="str">
        <x:v>Archive authority</x:v>
      </x:c>
      <x:c r="L437" s="9" t="n">
        <x:v>0</x:v>
      </x:c>
      <x:c r="M437" s="9" t="n">
        <x:v>0</x:v>
      </x:c>
      <x:c r="N437" s="9" t="str">
        <x:v>UNFILED / UNPROVEN</x:v>
      </x:c>
      <x:c r="O437" s="9" t="n">
        <x:f>COUNTIFS($A$7:$A$1302,A437)</x:f>
        <x:v>1</x:v>
      </x:c>
    </x:row>
    <x:row r="438">
      <x:c r="A438" s="9" t="str">
        <x:v>EV-AR-RT-B-C-TECH-3-B1-INT-G0-IV09</x:v>
      </x:c>
      <x:c r="B438" s="9" t="str">
        <x:v>EV-AR-RT-B-C-TECH-3-B1-INT-G0</x:v>
      </x:c>
      <x:c r="C438" s="9" t="str">
        <x:v>AR-RT-B-C-TECH-3-B1-INT-G0</x:v>
      </x:c>
      <x:c r="D438" s="9" t="str">
        <x:v>RT-B-C-TECH-3</x:v>
      </x:c>
      <x:c r="E438" s="9" t="str">
        <x:v>RT-B-C</x:v>
      </x:c>
      <x:c r="F438" s="9" t="str">
        <x:v>B1</x:v>
      </x:c>
      <x:c r="G438" s="9" t="str">
        <x:v>INT</x:v>
      </x:c>
      <x:c r="H438" s="9" t="str">
        <x:v>IV09</x:v>
      </x:c>
      <x:c r="I438" s="17" t="str">
        <x:v>Bounded remedy</x:v>
      </x:c>
      <x:c r="J438" s="17" t="str">
        <x:v>only a new slot and EOW may follow; no favorable credit or erased attempt</x:v>
      </x:c>
      <x:c r="K438" s="17" t="str">
        <x:v>Invalidity court</x:v>
      </x:c>
      <x:c r="L438" s="9" t="n">
        <x:v>0</x:v>
      </x:c>
      <x:c r="M438" s="9" t="n">
        <x:v>0</x:v>
      </x:c>
      <x:c r="N438" s="9" t="str">
        <x:v>UNFILED / UNPROVEN</x:v>
      </x:c>
      <x:c r="O438" s="9" t="n">
        <x:f>COUNTIFS($A$7:$A$1302,A438)</x:f>
        <x:v>1</x:v>
      </x:c>
    </x:row>
    <x:row r="439">
      <x:c r="A439" s="9" t="str">
        <x:v>EV-AR-CT-C-B-TECH-4-B1-RCN-G0-IV01</x:v>
      </x:c>
      <x:c r="B439" s="9" t="str">
        <x:v>EV-AR-CT-C-B-TECH-4-B1-RCN-G0</x:v>
      </x:c>
      <x:c r="C439" s="9" t="str">
        <x:v>AR-CT-C-B-TECH-4-B1-RCN-G0</x:v>
      </x:c>
      <x:c r="D439" s="9" t="str">
        <x:v>CT-C-B-TECH-4</x:v>
      </x:c>
      <x:c r="E439" s="9" t="str">
        <x:v>CT-C-B</x:v>
      </x:c>
      <x:c r="F439" s="9" t="str">
        <x:v>B1</x:v>
      </x:c>
      <x:c r="G439" s="9" t="str">
        <x:v>RCN</x:v>
      </x:c>
      <x:c r="H439" s="9" t="str">
        <x:v>IV01</x:v>
      </x:c>
      <x:c r="I439" s="17" t="str">
        <x:v>Timely petition</x:v>
      </x:c>
      <x:c r="J439" s="17" t="str">
        <x:v>petition enters within seventy-two hours of event close</x:v>
      </x:c>
      <x:c r="K439" s="17" t="str">
        <x:v>Invalidity registrar</x:v>
      </x:c>
      <x:c r="L439" s="9" t="n">
        <x:v>0</x:v>
      </x:c>
      <x:c r="M439" s="9" t="n">
        <x:v>0</x:v>
      </x:c>
      <x:c r="N439" s="9" t="str">
        <x:v>UNFILED / UNPROVEN</x:v>
      </x:c>
      <x:c r="O439" s="9" t="n">
        <x:f>COUNTIFS($A$7:$A$1302,A439)</x:f>
        <x:v>1</x:v>
      </x:c>
    </x:row>
    <x:row r="440">
      <x:c r="A440" s="9" t="str">
        <x:v>EV-AR-CT-C-B-TECH-4-B1-RCN-G0-IV02</x:v>
      </x:c>
      <x:c r="B440" s="9" t="str">
        <x:v>EV-AR-CT-C-B-TECH-4-B1-RCN-G0</x:v>
      </x:c>
      <x:c r="C440" s="9" t="str">
        <x:v>AR-CT-C-B-TECH-4-B1-RCN-G0</x:v>
      </x:c>
      <x:c r="D440" s="9" t="str">
        <x:v>CT-C-B-TECH-4</x:v>
      </x:c>
      <x:c r="E440" s="9" t="str">
        <x:v>CT-C-B</x:v>
      </x:c>
      <x:c r="F440" s="9" t="str">
        <x:v>B1</x:v>
      </x:c>
      <x:c r="G440" s="9" t="str">
        <x:v>RCN</x:v>
      </x:c>
      <x:c r="H440" s="9" t="str">
        <x:v>IV02</x:v>
      </x:c>
      <x:c r="I440" s="17" t="str">
        <x:v>Named facility cause</x:v>
      </x:c>
      <x:c r="J440" s="17" t="str">
        <x:v>one pre-registered noncandidate cause is identified</x:v>
      </x:c>
      <x:c r="K440" s="17" t="str">
        <x:v>Facility-cause court</x:v>
      </x:c>
      <x:c r="L440" s="9" t="n">
        <x:v>0</x:v>
      </x:c>
      <x:c r="M440" s="9" t="n">
        <x:v>0</x:v>
      </x:c>
      <x:c r="N440" s="9" t="str">
        <x:v>UNFILED / UNPROVEN</x:v>
      </x:c>
      <x:c r="O440" s="9" t="n">
        <x:f>COUNTIFS($A$7:$A$1302,A440)</x:f>
        <x:v>1</x:v>
      </x:c>
    </x:row>
    <x:row r="441">
      <x:c r="A441" s="9" t="str">
        <x:v>EV-AR-CT-C-B-TECH-4-B1-RCN-G0-IV03</x:v>
      </x:c>
      <x:c r="B441" s="9" t="str">
        <x:v>EV-AR-CT-C-B-TECH-4-B1-RCN-G0</x:v>
      </x:c>
      <x:c r="C441" s="9" t="str">
        <x:v>AR-CT-C-B-TECH-4-B1-RCN-G0</x:v>
      </x:c>
      <x:c r="D441" s="9" t="str">
        <x:v>CT-C-B-TECH-4</x:v>
      </x:c>
      <x:c r="E441" s="9" t="str">
        <x:v>CT-C-B</x:v>
      </x:c>
      <x:c r="F441" s="9" t="str">
        <x:v>B1</x:v>
      </x:c>
      <x:c r="G441" s="9" t="str">
        <x:v>RCN</x:v>
      </x:c>
      <x:c r="H441" s="9" t="str">
        <x:v>IV03</x:v>
      </x:c>
      <x:c r="I441" s="17" t="str">
        <x:v>Temporal priority</x:v>
      </x:c>
      <x:c r="J441" s="17" t="str">
        <x:v>cause demonstrably precedes the disputed candidate behavior</x:v>
      </x:c>
      <x:c r="K441" s="17" t="str">
        <x:v>Time authority</x:v>
      </x:c>
      <x:c r="L441" s="9" t="n">
        <x:v>0</x:v>
      </x:c>
      <x:c r="M441" s="9" t="n">
        <x:v>0</x:v>
      </x:c>
      <x:c r="N441" s="9" t="str">
        <x:v>UNFILED / UNPROVEN</x:v>
      </x:c>
      <x:c r="O441" s="9" t="n">
        <x:f>COUNTIFS($A$7:$A$1302,A441)</x:f>
        <x:v>1</x:v>
      </x:c>
    </x:row>
    <x:row r="442">
      <x:c r="A442" s="9" t="str">
        <x:v>EV-AR-CT-C-B-TECH-4-B1-RCN-G0-IV04</x:v>
      </x:c>
      <x:c r="B442" s="9" t="str">
        <x:v>EV-AR-CT-C-B-TECH-4-B1-RCN-G0</x:v>
      </x:c>
      <x:c r="C442" s="9" t="str">
        <x:v>AR-CT-C-B-TECH-4-B1-RCN-G0</x:v>
      </x:c>
      <x:c r="D442" s="9" t="str">
        <x:v>CT-C-B-TECH-4</x:v>
      </x:c>
      <x:c r="E442" s="9" t="str">
        <x:v>CT-C-B</x:v>
      </x:c>
      <x:c r="F442" s="9" t="str">
        <x:v>B1</x:v>
      </x:c>
      <x:c r="G442" s="9" t="str">
        <x:v>RCN</x:v>
      </x:c>
      <x:c r="H442" s="9" t="str">
        <x:v>IV04</x:v>
      </x:c>
      <x:c r="I442" s="17" t="str">
        <x:v>Independent trace</x:v>
      </x:c>
      <x:c r="J442" s="17" t="str">
        <x:v>two unlike records carry the cause without candidate custody</x:v>
      </x:c>
      <x:c r="K442" s="17" t="str">
        <x:v>Invalidity court</x:v>
      </x:c>
      <x:c r="L442" s="9" t="n">
        <x:v>0</x:v>
      </x:c>
      <x:c r="M442" s="9" t="n">
        <x:v>0</x:v>
      </x:c>
      <x:c r="N442" s="9" t="str">
        <x:v>UNFILED / UNPROVEN</x:v>
      </x:c>
      <x:c r="O442" s="9" t="n">
        <x:f>COUNTIFS($A$7:$A$1302,A442)</x:f>
        <x:v>1</x:v>
      </x:c>
    </x:row>
    <x:row r="443">
      <x:c r="A443" s="9" t="str">
        <x:v>EV-AR-CT-C-B-TECH-4-B1-RCN-G0-IV05</x:v>
      </x:c>
      <x:c r="B443" s="9" t="str">
        <x:v>EV-AR-CT-C-B-TECH-4-B1-RCN-G0</x:v>
      </x:c>
      <x:c r="C443" s="9" t="str">
        <x:v>AR-CT-C-B-TECH-4-B1-RCN-G0</x:v>
      </x:c>
      <x:c r="D443" s="9" t="str">
        <x:v>CT-C-B-TECH-4</x:v>
      </x:c>
      <x:c r="E443" s="9" t="str">
        <x:v>CT-C-B</x:v>
      </x:c>
      <x:c r="F443" s="9" t="str">
        <x:v>B1</x:v>
      </x:c>
      <x:c r="G443" s="9" t="str">
        <x:v>RCN</x:v>
      </x:c>
      <x:c r="H443" s="9" t="str">
        <x:v>IV05</x:v>
      </x:c>
      <x:c r="I443" s="17" t="str">
        <x:v>Causal counterfactual</x:v>
      </x:c>
      <x:c r="J443" s="17" t="str">
        <x:v>registered counterfactual shows the cause can create the defect</x:v>
      </x:c>
      <x:c r="K443" s="17" t="str">
        <x:v>Causal court</x:v>
      </x:c>
      <x:c r="L443" s="9" t="n">
        <x:v>0</x:v>
      </x:c>
      <x:c r="M443" s="9" t="n">
        <x:v>0</x:v>
      </x:c>
      <x:c r="N443" s="9" t="str">
        <x:v>UNFILED / UNPROVEN</x:v>
      </x:c>
      <x:c r="O443" s="9" t="n">
        <x:f>COUNTIFS($A$7:$A$1302,A443)</x:f>
        <x:v>1</x:v>
      </x:c>
    </x:row>
    <x:row r="444">
      <x:c r="A444" s="9" t="str">
        <x:v>EV-AR-CT-C-B-TECH-4-B1-RCN-G0-IV06</x:v>
      </x:c>
      <x:c r="B444" s="9" t="str">
        <x:v>EV-AR-CT-C-B-TECH-4-B1-RCN-G0</x:v>
      </x:c>
      <x:c r="C444" s="9" t="str">
        <x:v>AR-CT-C-B-TECH-4-B1-RCN-G0</x:v>
      </x:c>
      <x:c r="D444" s="9" t="str">
        <x:v>CT-C-B-TECH-4</x:v>
      </x:c>
      <x:c r="E444" s="9" t="str">
        <x:v>CT-C-B</x:v>
      </x:c>
      <x:c r="F444" s="9" t="str">
        <x:v>B1</x:v>
      </x:c>
      <x:c r="G444" s="9" t="str">
        <x:v>RCN</x:v>
      </x:c>
      <x:c r="H444" s="9" t="str">
        <x:v>IV06</x:v>
      </x:c>
      <x:c r="I444" s="17" t="str">
        <x:v>Candidate non-causation</x:v>
      </x:c>
      <x:c r="J444" s="17" t="str">
        <x:v>evidence excludes candidate induction of the facility condition</x:v>
      </x:c>
      <x:c r="K444" s="17" t="str">
        <x:v>Causal court</x:v>
      </x:c>
      <x:c r="L444" s="9" t="n">
        <x:v>0</x:v>
      </x:c>
      <x:c r="M444" s="9" t="n">
        <x:v>0</x:v>
      </x:c>
      <x:c r="N444" s="9" t="str">
        <x:v>UNFILED / UNPROVEN</x:v>
      </x:c>
      <x:c r="O444" s="9" t="n">
        <x:f>COUNTIFS($A$7:$A$1302,A444)</x:f>
        <x:v>1</x:v>
      </x:c>
    </x:row>
    <x:row r="445">
      <x:c r="A445" s="9" t="str">
        <x:v>EV-AR-CT-C-B-TECH-4-B1-RCN-G0-IV07</x:v>
      </x:c>
      <x:c r="B445" s="9" t="str">
        <x:v>EV-AR-CT-C-B-TECH-4-B1-RCN-G0</x:v>
      </x:c>
      <x:c r="C445" s="9" t="str">
        <x:v>AR-CT-C-B-TECH-4-B1-RCN-G0</x:v>
      </x:c>
      <x:c r="D445" s="9" t="str">
        <x:v>CT-C-B-TECH-4</x:v>
      </x:c>
      <x:c r="E445" s="9" t="str">
        <x:v>CT-C-B</x:v>
      </x:c>
      <x:c r="F445" s="9" t="str">
        <x:v>B1</x:v>
      </x:c>
      <x:c r="G445" s="9" t="str">
        <x:v>RCN</x:v>
      </x:c>
      <x:c r="H445" s="9" t="str">
        <x:v>IV07</x:v>
      </x:c>
      <x:c r="I445" s="17" t="str">
        <x:v>No outcome selection</x:v>
      </x:c>
      <x:c r="J445" s="17" t="str">
        <x:v>petition rule and evidence scope were fixed before visibility</x:v>
      </x:c>
      <x:c r="K445" s="17" t="str">
        <x:v>Conflict registrar</x:v>
      </x:c>
      <x:c r="L445" s="9" t="n">
        <x:v>0</x:v>
      </x:c>
      <x:c r="M445" s="9" t="n">
        <x:v>0</x:v>
      </x:c>
      <x:c r="N445" s="9" t="str">
        <x:v>UNFILED / UNPROVEN</x:v>
      </x:c>
      <x:c r="O445" s="9" t="n">
        <x:f>COUNTIFS($A$7:$A$1302,A445)</x:f>
        <x:v>1</x:v>
      </x:c>
    </x:row>
    <x:row r="446">
      <x:c r="A446" s="9" t="str">
        <x:v>EV-AR-CT-C-B-TECH-4-B1-RCN-G0-IV08</x:v>
      </x:c>
      <x:c r="B446" s="9" t="str">
        <x:v>EV-AR-CT-C-B-TECH-4-B1-RCN-G0</x:v>
      </x:c>
      <x:c r="C446" s="9" t="str">
        <x:v>AR-CT-C-B-TECH-4-B1-RCN-G0</x:v>
      </x:c>
      <x:c r="D446" s="9" t="str">
        <x:v>CT-C-B-TECH-4</x:v>
      </x:c>
      <x:c r="E446" s="9" t="str">
        <x:v>CT-C-B</x:v>
      </x:c>
      <x:c r="F446" s="9" t="str">
        <x:v>B1</x:v>
      </x:c>
      <x:c r="G446" s="9" t="str">
        <x:v>RCN</x:v>
      </x:c>
      <x:c r="H446" s="9" t="str">
        <x:v>IV08</x:v>
      </x:c>
      <x:c r="I446" s="17" t="str">
        <x:v>Whole-record preservation</x:v>
      </x:c>
      <x:c r="J446" s="17" t="str">
        <x:v>start, raw behavior, dissent and intervention remain in archive</x:v>
      </x:c>
      <x:c r="K446" s="17" t="str">
        <x:v>Archive authority</x:v>
      </x:c>
      <x:c r="L446" s="9" t="n">
        <x:v>0</x:v>
      </x:c>
      <x:c r="M446" s="9" t="n">
        <x:v>0</x:v>
      </x:c>
      <x:c r="N446" s="9" t="str">
        <x:v>UNFILED / UNPROVEN</x:v>
      </x:c>
      <x:c r="O446" s="9" t="n">
        <x:f>COUNTIFS($A$7:$A$1302,A446)</x:f>
        <x:v>1</x:v>
      </x:c>
    </x:row>
    <x:row r="447">
      <x:c r="A447" s="9" t="str">
        <x:v>EV-AR-CT-C-B-TECH-4-B1-RCN-G0-IV09</x:v>
      </x:c>
      <x:c r="B447" s="9" t="str">
        <x:v>EV-AR-CT-C-B-TECH-4-B1-RCN-G0</x:v>
      </x:c>
      <x:c r="C447" s="9" t="str">
        <x:v>AR-CT-C-B-TECH-4-B1-RCN-G0</x:v>
      </x:c>
      <x:c r="D447" s="9" t="str">
        <x:v>CT-C-B-TECH-4</x:v>
      </x:c>
      <x:c r="E447" s="9" t="str">
        <x:v>CT-C-B</x:v>
      </x:c>
      <x:c r="F447" s="9" t="str">
        <x:v>B1</x:v>
      </x:c>
      <x:c r="G447" s="9" t="str">
        <x:v>RCN</x:v>
      </x:c>
      <x:c r="H447" s="9" t="str">
        <x:v>IV09</x:v>
      </x:c>
      <x:c r="I447" s="17" t="str">
        <x:v>Bounded remedy</x:v>
      </x:c>
      <x:c r="J447" s="17" t="str">
        <x:v>only a new slot and EOW may follow; no favorable credit or erased attempt</x:v>
      </x:c>
      <x:c r="K447" s="17" t="str">
        <x:v>Invalidity court</x:v>
      </x:c>
      <x:c r="L447" s="9" t="n">
        <x:v>0</x:v>
      </x:c>
      <x:c r="M447" s="9" t="n">
        <x:v>0</x:v>
      </x:c>
      <x:c r="N447" s="9" t="str">
        <x:v>UNFILED / UNPROVEN</x:v>
      </x:c>
      <x:c r="O447" s="9" t="n">
        <x:f>COUNTIFS($A$7:$A$1302,A447)</x:f>
        <x:v>1</x:v>
      </x:c>
    </x:row>
    <x:row r="448">
      <x:c r="A448" s="9" t="str">
        <x:v>EV-AR-CT-C-B-TECH-2-B1-INT-G0-IV01</x:v>
      </x:c>
      <x:c r="B448" s="9" t="str">
        <x:v>EV-AR-CT-C-B-TECH-2-B1-INT-G0</x:v>
      </x:c>
      <x:c r="C448" s="9" t="str">
        <x:v>AR-CT-C-B-TECH-2-B1-INT-G0</x:v>
      </x:c>
      <x:c r="D448" s="9" t="str">
        <x:v>CT-C-B-TECH-2</x:v>
      </x:c>
      <x:c r="E448" s="9" t="str">
        <x:v>CT-C-B</x:v>
      </x:c>
      <x:c r="F448" s="9" t="str">
        <x:v>B1</x:v>
      </x:c>
      <x:c r="G448" s="9" t="str">
        <x:v>INT</x:v>
      </x:c>
      <x:c r="H448" s="9" t="str">
        <x:v>IV01</x:v>
      </x:c>
      <x:c r="I448" s="17" t="str">
        <x:v>Timely petition</x:v>
      </x:c>
      <x:c r="J448" s="17" t="str">
        <x:v>petition enters within seventy-two hours of event close</x:v>
      </x:c>
      <x:c r="K448" s="17" t="str">
        <x:v>Invalidity registrar</x:v>
      </x:c>
      <x:c r="L448" s="9" t="n">
        <x:v>0</x:v>
      </x:c>
      <x:c r="M448" s="9" t="n">
        <x:v>0</x:v>
      </x:c>
      <x:c r="N448" s="9" t="str">
        <x:v>UNFILED / UNPROVEN</x:v>
      </x:c>
      <x:c r="O448" s="9" t="n">
        <x:f>COUNTIFS($A$7:$A$1302,A448)</x:f>
        <x:v>1</x:v>
      </x:c>
    </x:row>
    <x:row r="449">
      <x:c r="A449" s="9" t="str">
        <x:v>EV-AR-CT-C-B-TECH-2-B1-INT-G0-IV02</x:v>
      </x:c>
      <x:c r="B449" s="9" t="str">
        <x:v>EV-AR-CT-C-B-TECH-2-B1-INT-G0</x:v>
      </x:c>
      <x:c r="C449" s="9" t="str">
        <x:v>AR-CT-C-B-TECH-2-B1-INT-G0</x:v>
      </x:c>
      <x:c r="D449" s="9" t="str">
        <x:v>CT-C-B-TECH-2</x:v>
      </x:c>
      <x:c r="E449" s="9" t="str">
        <x:v>CT-C-B</x:v>
      </x:c>
      <x:c r="F449" s="9" t="str">
        <x:v>B1</x:v>
      </x:c>
      <x:c r="G449" s="9" t="str">
        <x:v>INT</x:v>
      </x:c>
      <x:c r="H449" s="9" t="str">
        <x:v>IV02</x:v>
      </x:c>
      <x:c r="I449" s="17" t="str">
        <x:v>Named facility cause</x:v>
      </x:c>
      <x:c r="J449" s="17" t="str">
        <x:v>one pre-registered noncandidate cause is identified</x:v>
      </x:c>
      <x:c r="K449" s="17" t="str">
        <x:v>Facility-cause court</x:v>
      </x:c>
      <x:c r="L449" s="9" t="n">
        <x:v>0</x:v>
      </x:c>
      <x:c r="M449" s="9" t="n">
        <x:v>0</x:v>
      </x:c>
      <x:c r="N449" s="9" t="str">
        <x:v>UNFILED / UNPROVEN</x:v>
      </x:c>
      <x:c r="O449" s="9" t="n">
        <x:f>COUNTIFS($A$7:$A$1302,A449)</x:f>
        <x:v>1</x:v>
      </x:c>
    </x:row>
    <x:row r="450">
      <x:c r="A450" s="9" t="str">
        <x:v>EV-AR-CT-C-B-TECH-2-B1-INT-G0-IV03</x:v>
      </x:c>
      <x:c r="B450" s="9" t="str">
        <x:v>EV-AR-CT-C-B-TECH-2-B1-INT-G0</x:v>
      </x:c>
      <x:c r="C450" s="9" t="str">
        <x:v>AR-CT-C-B-TECH-2-B1-INT-G0</x:v>
      </x:c>
      <x:c r="D450" s="9" t="str">
        <x:v>CT-C-B-TECH-2</x:v>
      </x:c>
      <x:c r="E450" s="9" t="str">
        <x:v>CT-C-B</x:v>
      </x:c>
      <x:c r="F450" s="9" t="str">
        <x:v>B1</x:v>
      </x:c>
      <x:c r="G450" s="9" t="str">
        <x:v>INT</x:v>
      </x:c>
      <x:c r="H450" s="9" t="str">
        <x:v>IV03</x:v>
      </x:c>
      <x:c r="I450" s="17" t="str">
        <x:v>Temporal priority</x:v>
      </x:c>
      <x:c r="J450" s="17" t="str">
        <x:v>cause demonstrably precedes the disputed candidate behavior</x:v>
      </x:c>
      <x:c r="K450" s="17" t="str">
        <x:v>Time authority</x:v>
      </x:c>
      <x:c r="L450" s="9" t="n">
        <x:v>0</x:v>
      </x:c>
      <x:c r="M450" s="9" t="n">
        <x:v>0</x:v>
      </x:c>
      <x:c r="N450" s="9" t="str">
        <x:v>UNFILED / UNPROVEN</x:v>
      </x:c>
      <x:c r="O450" s="9" t="n">
        <x:f>COUNTIFS($A$7:$A$1302,A450)</x:f>
        <x:v>1</x:v>
      </x:c>
    </x:row>
    <x:row r="451">
      <x:c r="A451" s="9" t="str">
        <x:v>EV-AR-CT-C-B-TECH-2-B1-INT-G0-IV04</x:v>
      </x:c>
      <x:c r="B451" s="9" t="str">
        <x:v>EV-AR-CT-C-B-TECH-2-B1-INT-G0</x:v>
      </x:c>
      <x:c r="C451" s="9" t="str">
        <x:v>AR-CT-C-B-TECH-2-B1-INT-G0</x:v>
      </x:c>
      <x:c r="D451" s="9" t="str">
        <x:v>CT-C-B-TECH-2</x:v>
      </x:c>
      <x:c r="E451" s="9" t="str">
        <x:v>CT-C-B</x:v>
      </x:c>
      <x:c r="F451" s="9" t="str">
        <x:v>B1</x:v>
      </x:c>
      <x:c r="G451" s="9" t="str">
        <x:v>INT</x:v>
      </x:c>
      <x:c r="H451" s="9" t="str">
        <x:v>IV04</x:v>
      </x:c>
      <x:c r="I451" s="17" t="str">
        <x:v>Independent trace</x:v>
      </x:c>
      <x:c r="J451" s="17" t="str">
        <x:v>two unlike records carry the cause without candidate custody</x:v>
      </x:c>
      <x:c r="K451" s="17" t="str">
        <x:v>Invalidity court</x:v>
      </x:c>
      <x:c r="L451" s="9" t="n">
        <x:v>0</x:v>
      </x:c>
      <x:c r="M451" s="9" t="n">
        <x:v>0</x:v>
      </x:c>
      <x:c r="N451" s="9" t="str">
        <x:v>UNFILED / UNPROVEN</x:v>
      </x:c>
      <x:c r="O451" s="9" t="n">
        <x:f>COUNTIFS($A$7:$A$1302,A451)</x:f>
        <x:v>1</x:v>
      </x:c>
    </x:row>
    <x:row r="452">
      <x:c r="A452" s="9" t="str">
        <x:v>EV-AR-CT-C-B-TECH-2-B1-INT-G0-IV05</x:v>
      </x:c>
      <x:c r="B452" s="9" t="str">
        <x:v>EV-AR-CT-C-B-TECH-2-B1-INT-G0</x:v>
      </x:c>
      <x:c r="C452" s="9" t="str">
        <x:v>AR-CT-C-B-TECH-2-B1-INT-G0</x:v>
      </x:c>
      <x:c r="D452" s="9" t="str">
        <x:v>CT-C-B-TECH-2</x:v>
      </x:c>
      <x:c r="E452" s="9" t="str">
        <x:v>CT-C-B</x:v>
      </x:c>
      <x:c r="F452" s="9" t="str">
        <x:v>B1</x:v>
      </x:c>
      <x:c r="G452" s="9" t="str">
        <x:v>INT</x:v>
      </x:c>
      <x:c r="H452" s="9" t="str">
        <x:v>IV05</x:v>
      </x:c>
      <x:c r="I452" s="17" t="str">
        <x:v>Causal counterfactual</x:v>
      </x:c>
      <x:c r="J452" s="17" t="str">
        <x:v>registered counterfactual shows the cause can create the defect</x:v>
      </x:c>
      <x:c r="K452" s="17" t="str">
        <x:v>Causal court</x:v>
      </x:c>
      <x:c r="L452" s="9" t="n">
        <x:v>0</x:v>
      </x:c>
      <x:c r="M452" s="9" t="n">
        <x:v>0</x:v>
      </x:c>
      <x:c r="N452" s="9" t="str">
        <x:v>UNFILED / UNPROVEN</x:v>
      </x:c>
      <x:c r="O452" s="9" t="n">
        <x:f>COUNTIFS($A$7:$A$1302,A452)</x:f>
        <x:v>1</x:v>
      </x:c>
    </x:row>
    <x:row r="453">
      <x:c r="A453" s="9" t="str">
        <x:v>EV-AR-CT-C-B-TECH-2-B1-INT-G0-IV06</x:v>
      </x:c>
      <x:c r="B453" s="9" t="str">
        <x:v>EV-AR-CT-C-B-TECH-2-B1-INT-G0</x:v>
      </x:c>
      <x:c r="C453" s="9" t="str">
        <x:v>AR-CT-C-B-TECH-2-B1-INT-G0</x:v>
      </x:c>
      <x:c r="D453" s="9" t="str">
        <x:v>CT-C-B-TECH-2</x:v>
      </x:c>
      <x:c r="E453" s="9" t="str">
        <x:v>CT-C-B</x:v>
      </x:c>
      <x:c r="F453" s="9" t="str">
        <x:v>B1</x:v>
      </x:c>
      <x:c r="G453" s="9" t="str">
        <x:v>INT</x:v>
      </x:c>
      <x:c r="H453" s="9" t="str">
        <x:v>IV06</x:v>
      </x:c>
      <x:c r="I453" s="17" t="str">
        <x:v>Candidate non-causation</x:v>
      </x:c>
      <x:c r="J453" s="17" t="str">
        <x:v>evidence excludes candidate induction of the facility condition</x:v>
      </x:c>
      <x:c r="K453" s="17" t="str">
        <x:v>Causal court</x:v>
      </x:c>
      <x:c r="L453" s="9" t="n">
        <x:v>0</x:v>
      </x:c>
      <x:c r="M453" s="9" t="n">
        <x:v>0</x:v>
      </x:c>
      <x:c r="N453" s="9" t="str">
        <x:v>UNFILED / UNPROVEN</x:v>
      </x:c>
      <x:c r="O453" s="9" t="n">
        <x:f>COUNTIFS($A$7:$A$1302,A453)</x:f>
        <x:v>1</x:v>
      </x:c>
    </x:row>
    <x:row r="454">
      <x:c r="A454" s="9" t="str">
        <x:v>EV-AR-CT-C-B-TECH-2-B1-INT-G0-IV07</x:v>
      </x:c>
      <x:c r="B454" s="9" t="str">
        <x:v>EV-AR-CT-C-B-TECH-2-B1-INT-G0</x:v>
      </x:c>
      <x:c r="C454" s="9" t="str">
        <x:v>AR-CT-C-B-TECH-2-B1-INT-G0</x:v>
      </x:c>
      <x:c r="D454" s="9" t="str">
        <x:v>CT-C-B-TECH-2</x:v>
      </x:c>
      <x:c r="E454" s="9" t="str">
        <x:v>CT-C-B</x:v>
      </x:c>
      <x:c r="F454" s="9" t="str">
        <x:v>B1</x:v>
      </x:c>
      <x:c r="G454" s="9" t="str">
        <x:v>INT</x:v>
      </x:c>
      <x:c r="H454" s="9" t="str">
        <x:v>IV07</x:v>
      </x:c>
      <x:c r="I454" s="17" t="str">
        <x:v>No outcome selection</x:v>
      </x:c>
      <x:c r="J454" s="17" t="str">
        <x:v>petition rule and evidence scope were fixed before visibility</x:v>
      </x:c>
      <x:c r="K454" s="17" t="str">
        <x:v>Conflict registrar</x:v>
      </x:c>
      <x:c r="L454" s="9" t="n">
        <x:v>0</x:v>
      </x:c>
      <x:c r="M454" s="9" t="n">
        <x:v>0</x:v>
      </x:c>
      <x:c r="N454" s="9" t="str">
        <x:v>UNFILED / UNPROVEN</x:v>
      </x:c>
      <x:c r="O454" s="9" t="n">
        <x:f>COUNTIFS($A$7:$A$1302,A454)</x:f>
        <x:v>1</x:v>
      </x:c>
    </x:row>
    <x:row r="455">
      <x:c r="A455" s="9" t="str">
        <x:v>EV-AR-CT-C-B-TECH-2-B1-INT-G0-IV08</x:v>
      </x:c>
      <x:c r="B455" s="9" t="str">
        <x:v>EV-AR-CT-C-B-TECH-2-B1-INT-G0</x:v>
      </x:c>
      <x:c r="C455" s="9" t="str">
        <x:v>AR-CT-C-B-TECH-2-B1-INT-G0</x:v>
      </x:c>
      <x:c r="D455" s="9" t="str">
        <x:v>CT-C-B-TECH-2</x:v>
      </x:c>
      <x:c r="E455" s="9" t="str">
        <x:v>CT-C-B</x:v>
      </x:c>
      <x:c r="F455" s="9" t="str">
        <x:v>B1</x:v>
      </x:c>
      <x:c r="G455" s="9" t="str">
        <x:v>INT</x:v>
      </x:c>
      <x:c r="H455" s="9" t="str">
        <x:v>IV08</x:v>
      </x:c>
      <x:c r="I455" s="17" t="str">
        <x:v>Whole-record preservation</x:v>
      </x:c>
      <x:c r="J455" s="17" t="str">
        <x:v>start, raw behavior, dissent and intervention remain in archive</x:v>
      </x:c>
      <x:c r="K455" s="17" t="str">
        <x:v>Archive authority</x:v>
      </x:c>
      <x:c r="L455" s="9" t="n">
        <x:v>0</x:v>
      </x:c>
      <x:c r="M455" s="9" t="n">
        <x:v>0</x:v>
      </x:c>
      <x:c r="N455" s="9" t="str">
        <x:v>UNFILED / UNPROVEN</x:v>
      </x:c>
      <x:c r="O455" s="9" t="n">
        <x:f>COUNTIFS($A$7:$A$1302,A455)</x:f>
        <x:v>1</x:v>
      </x:c>
    </x:row>
    <x:row r="456">
      <x:c r="A456" s="9" t="str">
        <x:v>EV-AR-CT-C-B-TECH-2-B1-INT-G0-IV09</x:v>
      </x:c>
      <x:c r="B456" s="9" t="str">
        <x:v>EV-AR-CT-C-B-TECH-2-B1-INT-G0</x:v>
      </x:c>
      <x:c r="C456" s="9" t="str">
        <x:v>AR-CT-C-B-TECH-2-B1-INT-G0</x:v>
      </x:c>
      <x:c r="D456" s="9" t="str">
        <x:v>CT-C-B-TECH-2</x:v>
      </x:c>
      <x:c r="E456" s="9" t="str">
        <x:v>CT-C-B</x:v>
      </x:c>
      <x:c r="F456" s="9" t="str">
        <x:v>B1</x:v>
      </x:c>
      <x:c r="G456" s="9" t="str">
        <x:v>INT</x:v>
      </x:c>
      <x:c r="H456" s="9" t="str">
        <x:v>IV09</x:v>
      </x:c>
      <x:c r="I456" s="17" t="str">
        <x:v>Bounded remedy</x:v>
      </x:c>
      <x:c r="J456" s="17" t="str">
        <x:v>only a new slot and EOW may follow; no favorable credit or erased attempt</x:v>
      </x:c>
      <x:c r="K456" s="17" t="str">
        <x:v>Invalidity court</x:v>
      </x:c>
      <x:c r="L456" s="9" t="n">
        <x:v>0</x:v>
      </x:c>
      <x:c r="M456" s="9" t="n">
        <x:v>0</x:v>
      </x:c>
      <x:c r="N456" s="9" t="str">
        <x:v>UNFILED / UNPROVEN</x:v>
      </x:c>
      <x:c r="O456" s="9" t="n">
        <x:f>COUNTIFS($A$7:$A$1302,A456)</x:f>
        <x:v>1</x:v>
      </x:c>
    </x:row>
    <x:row r="457">
      <x:c r="A457" s="9" t="str">
        <x:v>EV-AR-HC-A-C-TECH-4-B2-BRK-G0-IV01</x:v>
      </x:c>
      <x:c r="B457" s="9" t="str">
        <x:v>EV-AR-HC-A-C-TECH-4-B2-BRK-G0</x:v>
      </x:c>
      <x:c r="C457" s="9" t="str">
        <x:v>AR-HC-A-C-TECH-4-B2-BRK-G0</x:v>
      </x:c>
      <x:c r="D457" s="9" t="str">
        <x:v>HC-A-C-TECH-4</x:v>
      </x:c>
      <x:c r="E457" s="9" t="str">
        <x:v>HC-A-C</x:v>
      </x:c>
      <x:c r="F457" s="9" t="str">
        <x:v>B2</x:v>
      </x:c>
      <x:c r="G457" s="9" t="str">
        <x:v>BRK</x:v>
      </x:c>
      <x:c r="H457" s="9" t="str">
        <x:v>IV01</x:v>
      </x:c>
      <x:c r="I457" s="17" t="str">
        <x:v>Timely petition</x:v>
      </x:c>
      <x:c r="J457" s="17" t="str">
        <x:v>petition enters within seventy-two hours of event close</x:v>
      </x:c>
      <x:c r="K457" s="17" t="str">
        <x:v>Invalidity registrar</x:v>
      </x:c>
      <x:c r="L457" s="9" t="n">
        <x:v>0</x:v>
      </x:c>
      <x:c r="M457" s="9" t="n">
        <x:v>0</x:v>
      </x:c>
      <x:c r="N457" s="9" t="str">
        <x:v>UNFILED / UNPROVEN</x:v>
      </x:c>
      <x:c r="O457" s="9" t="n">
        <x:f>COUNTIFS($A$7:$A$1302,A457)</x:f>
        <x:v>1</x:v>
      </x:c>
    </x:row>
    <x:row r="458">
      <x:c r="A458" s="9" t="str">
        <x:v>EV-AR-HC-A-C-TECH-4-B2-BRK-G0-IV02</x:v>
      </x:c>
      <x:c r="B458" s="9" t="str">
        <x:v>EV-AR-HC-A-C-TECH-4-B2-BRK-G0</x:v>
      </x:c>
      <x:c r="C458" s="9" t="str">
        <x:v>AR-HC-A-C-TECH-4-B2-BRK-G0</x:v>
      </x:c>
      <x:c r="D458" s="9" t="str">
        <x:v>HC-A-C-TECH-4</x:v>
      </x:c>
      <x:c r="E458" s="9" t="str">
        <x:v>HC-A-C</x:v>
      </x:c>
      <x:c r="F458" s="9" t="str">
        <x:v>B2</x:v>
      </x:c>
      <x:c r="G458" s="9" t="str">
        <x:v>BRK</x:v>
      </x:c>
      <x:c r="H458" s="9" t="str">
        <x:v>IV02</x:v>
      </x:c>
      <x:c r="I458" s="17" t="str">
        <x:v>Named facility cause</x:v>
      </x:c>
      <x:c r="J458" s="17" t="str">
        <x:v>one pre-registered noncandidate cause is identified</x:v>
      </x:c>
      <x:c r="K458" s="17" t="str">
        <x:v>Facility-cause court</x:v>
      </x:c>
      <x:c r="L458" s="9" t="n">
        <x:v>0</x:v>
      </x:c>
      <x:c r="M458" s="9" t="n">
        <x:v>0</x:v>
      </x:c>
      <x:c r="N458" s="9" t="str">
        <x:v>UNFILED / UNPROVEN</x:v>
      </x:c>
      <x:c r="O458" s="9" t="n">
        <x:f>COUNTIFS($A$7:$A$1302,A458)</x:f>
        <x:v>1</x:v>
      </x:c>
    </x:row>
    <x:row r="459">
      <x:c r="A459" s="9" t="str">
        <x:v>EV-AR-HC-A-C-TECH-4-B2-BRK-G0-IV03</x:v>
      </x:c>
      <x:c r="B459" s="9" t="str">
        <x:v>EV-AR-HC-A-C-TECH-4-B2-BRK-G0</x:v>
      </x:c>
      <x:c r="C459" s="9" t="str">
        <x:v>AR-HC-A-C-TECH-4-B2-BRK-G0</x:v>
      </x:c>
      <x:c r="D459" s="9" t="str">
        <x:v>HC-A-C-TECH-4</x:v>
      </x:c>
      <x:c r="E459" s="9" t="str">
        <x:v>HC-A-C</x:v>
      </x:c>
      <x:c r="F459" s="9" t="str">
        <x:v>B2</x:v>
      </x:c>
      <x:c r="G459" s="9" t="str">
        <x:v>BRK</x:v>
      </x:c>
      <x:c r="H459" s="9" t="str">
        <x:v>IV03</x:v>
      </x:c>
      <x:c r="I459" s="17" t="str">
        <x:v>Temporal priority</x:v>
      </x:c>
      <x:c r="J459" s="17" t="str">
        <x:v>cause demonstrably precedes the disputed candidate behavior</x:v>
      </x:c>
      <x:c r="K459" s="17" t="str">
        <x:v>Time authority</x:v>
      </x:c>
      <x:c r="L459" s="9" t="n">
        <x:v>0</x:v>
      </x:c>
      <x:c r="M459" s="9" t="n">
        <x:v>0</x:v>
      </x:c>
      <x:c r="N459" s="9" t="str">
        <x:v>UNFILED / UNPROVEN</x:v>
      </x:c>
      <x:c r="O459" s="9" t="n">
        <x:f>COUNTIFS($A$7:$A$1302,A459)</x:f>
        <x:v>1</x:v>
      </x:c>
    </x:row>
    <x:row r="460">
      <x:c r="A460" s="9" t="str">
        <x:v>EV-AR-HC-A-C-TECH-4-B2-BRK-G0-IV04</x:v>
      </x:c>
      <x:c r="B460" s="9" t="str">
        <x:v>EV-AR-HC-A-C-TECH-4-B2-BRK-G0</x:v>
      </x:c>
      <x:c r="C460" s="9" t="str">
        <x:v>AR-HC-A-C-TECH-4-B2-BRK-G0</x:v>
      </x:c>
      <x:c r="D460" s="9" t="str">
        <x:v>HC-A-C-TECH-4</x:v>
      </x:c>
      <x:c r="E460" s="9" t="str">
        <x:v>HC-A-C</x:v>
      </x:c>
      <x:c r="F460" s="9" t="str">
        <x:v>B2</x:v>
      </x:c>
      <x:c r="G460" s="9" t="str">
        <x:v>BRK</x:v>
      </x:c>
      <x:c r="H460" s="9" t="str">
        <x:v>IV04</x:v>
      </x:c>
      <x:c r="I460" s="17" t="str">
        <x:v>Independent trace</x:v>
      </x:c>
      <x:c r="J460" s="17" t="str">
        <x:v>two unlike records carry the cause without candidate custody</x:v>
      </x:c>
      <x:c r="K460" s="17" t="str">
        <x:v>Invalidity court</x:v>
      </x:c>
      <x:c r="L460" s="9" t="n">
        <x:v>0</x:v>
      </x:c>
      <x:c r="M460" s="9" t="n">
        <x:v>0</x:v>
      </x:c>
      <x:c r="N460" s="9" t="str">
        <x:v>UNFILED / UNPROVEN</x:v>
      </x:c>
      <x:c r="O460" s="9" t="n">
        <x:f>COUNTIFS($A$7:$A$1302,A460)</x:f>
        <x:v>1</x:v>
      </x:c>
    </x:row>
    <x:row r="461">
      <x:c r="A461" s="9" t="str">
        <x:v>EV-AR-HC-A-C-TECH-4-B2-BRK-G0-IV05</x:v>
      </x:c>
      <x:c r="B461" s="9" t="str">
        <x:v>EV-AR-HC-A-C-TECH-4-B2-BRK-G0</x:v>
      </x:c>
      <x:c r="C461" s="9" t="str">
        <x:v>AR-HC-A-C-TECH-4-B2-BRK-G0</x:v>
      </x:c>
      <x:c r="D461" s="9" t="str">
        <x:v>HC-A-C-TECH-4</x:v>
      </x:c>
      <x:c r="E461" s="9" t="str">
        <x:v>HC-A-C</x:v>
      </x:c>
      <x:c r="F461" s="9" t="str">
        <x:v>B2</x:v>
      </x:c>
      <x:c r="G461" s="9" t="str">
        <x:v>BRK</x:v>
      </x:c>
      <x:c r="H461" s="9" t="str">
        <x:v>IV05</x:v>
      </x:c>
      <x:c r="I461" s="17" t="str">
        <x:v>Causal counterfactual</x:v>
      </x:c>
      <x:c r="J461" s="17" t="str">
        <x:v>registered counterfactual shows the cause can create the defect</x:v>
      </x:c>
      <x:c r="K461" s="17" t="str">
        <x:v>Causal court</x:v>
      </x:c>
      <x:c r="L461" s="9" t="n">
        <x:v>0</x:v>
      </x:c>
      <x:c r="M461" s="9" t="n">
        <x:v>0</x:v>
      </x:c>
      <x:c r="N461" s="9" t="str">
        <x:v>UNFILED / UNPROVEN</x:v>
      </x:c>
      <x:c r="O461" s="9" t="n">
        <x:f>COUNTIFS($A$7:$A$1302,A461)</x:f>
        <x:v>1</x:v>
      </x:c>
    </x:row>
    <x:row r="462">
      <x:c r="A462" s="9" t="str">
        <x:v>EV-AR-HC-A-C-TECH-4-B2-BRK-G0-IV06</x:v>
      </x:c>
      <x:c r="B462" s="9" t="str">
        <x:v>EV-AR-HC-A-C-TECH-4-B2-BRK-G0</x:v>
      </x:c>
      <x:c r="C462" s="9" t="str">
        <x:v>AR-HC-A-C-TECH-4-B2-BRK-G0</x:v>
      </x:c>
      <x:c r="D462" s="9" t="str">
        <x:v>HC-A-C-TECH-4</x:v>
      </x:c>
      <x:c r="E462" s="9" t="str">
        <x:v>HC-A-C</x:v>
      </x:c>
      <x:c r="F462" s="9" t="str">
        <x:v>B2</x:v>
      </x:c>
      <x:c r="G462" s="9" t="str">
        <x:v>BRK</x:v>
      </x:c>
      <x:c r="H462" s="9" t="str">
        <x:v>IV06</x:v>
      </x:c>
      <x:c r="I462" s="17" t="str">
        <x:v>Candidate non-causation</x:v>
      </x:c>
      <x:c r="J462" s="17" t="str">
        <x:v>evidence excludes candidate induction of the facility condition</x:v>
      </x:c>
      <x:c r="K462" s="17" t="str">
        <x:v>Causal court</x:v>
      </x:c>
      <x:c r="L462" s="9" t="n">
        <x:v>0</x:v>
      </x:c>
      <x:c r="M462" s="9" t="n">
        <x:v>0</x:v>
      </x:c>
      <x:c r="N462" s="9" t="str">
        <x:v>UNFILED / UNPROVEN</x:v>
      </x:c>
      <x:c r="O462" s="9" t="n">
        <x:f>COUNTIFS($A$7:$A$1302,A462)</x:f>
        <x:v>1</x:v>
      </x:c>
    </x:row>
    <x:row r="463">
      <x:c r="A463" s="9" t="str">
        <x:v>EV-AR-HC-A-C-TECH-4-B2-BRK-G0-IV07</x:v>
      </x:c>
      <x:c r="B463" s="9" t="str">
        <x:v>EV-AR-HC-A-C-TECH-4-B2-BRK-G0</x:v>
      </x:c>
      <x:c r="C463" s="9" t="str">
        <x:v>AR-HC-A-C-TECH-4-B2-BRK-G0</x:v>
      </x:c>
      <x:c r="D463" s="9" t="str">
        <x:v>HC-A-C-TECH-4</x:v>
      </x:c>
      <x:c r="E463" s="9" t="str">
        <x:v>HC-A-C</x:v>
      </x:c>
      <x:c r="F463" s="9" t="str">
        <x:v>B2</x:v>
      </x:c>
      <x:c r="G463" s="9" t="str">
        <x:v>BRK</x:v>
      </x:c>
      <x:c r="H463" s="9" t="str">
        <x:v>IV07</x:v>
      </x:c>
      <x:c r="I463" s="17" t="str">
        <x:v>No outcome selection</x:v>
      </x:c>
      <x:c r="J463" s="17" t="str">
        <x:v>petition rule and evidence scope were fixed before visibility</x:v>
      </x:c>
      <x:c r="K463" s="17" t="str">
        <x:v>Conflict registrar</x:v>
      </x:c>
      <x:c r="L463" s="9" t="n">
        <x:v>0</x:v>
      </x:c>
      <x:c r="M463" s="9" t="n">
        <x:v>0</x:v>
      </x:c>
      <x:c r="N463" s="9" t="str">
        <x:v>UNFILED / UNPROVEN</x:v>
      </x:c>
      <x:c r="O463" s="9" t="n">
        <x:f>COUNTIFS($A$7:$A$1302,A463)</x:f>
        <x:v>1</x:v>
      </x:c>
    </x:row>
    <x:row r="464">
      <x:c r="A464" s="9" t="str">
        <x:v>EV-AR-HC-A-C-TECH-4-B2-BRK-G0-IV08</x:v>
      </x:c>
      <x:c r="B464" s="9" t="str">
        <x:v>EV-AR-HC-A-C-TECH-4-B2-BRK-G0</x:v>
      </x:c>
      <x:c r="C464" s="9" t="str">
        <x:v>AR-HC-A-C-TECH-4-B2-BRK-G0</x:v>
      </x:c>
      <x:c r="D464" s="9" t="str">
        <x:v>HC-A-C-TECH-4</x:v>
      </x:c>
      <x:c r="E464" s="9" t="str">
        <x:v>HC-A-C</x:v>
      </x:c>
      <x:c r="F464" s="9" t="str">
        <x:v>B2</x:v>
      </x:c>
      <x:c r="G464" s="9" t="str">
        <x:v>BRK</x:v>
      </x:c>
      <x:c r="H464" s="9" t="str">
        <x:v>IV08</x:v>
      </x:c>
      <x:c r="I464" s="17" t="str">
        <x:v>Whole-record preservation</x:v>
      </x:c>
      <x:c r="J464" s="17" t="str">
        <x:v>start, raw behavior, dissent and intervention remain in archive</x:v>
      </x:c>
      <x:c r="K464" s="17" t="str">
        <x:v>Archive authority</x:v>
      </x:c>
      <x:c r="L464" s="9" t="n">
        <x:v>0</x:v>
      </x:c>
      <x:c r="M464" s="9" t="n">
        <x:v>0</x:v>
      </x:c>
      <x:c r="N464" s="9" t="str">
        <x:v>UNFILED / UNPROVEN</x:v>
      </x:c>
      <x:c r="O464" s="9" t="n">
        <x:f>COUNTIFS($A$7:$A$1302,A464)</x:f>
        <x:v>1</x:v>
      </x:c>
    </x:row>
    <x:row r="465">
      <x:c r="A465" s="9" t="str">
        <x:v>EV-AR-HC-A-C-TECH-4-B2-BRK-G0-IV09</x:v>
      </x:c>
      <x:c r="B465" s="9" t="str">
        <x:v>EV-AR-HC-A-C-TECH-4-B2-BRK-G0</x:v>
      </x:c>
      <x:c r="C465" s="9" t="str">
        <x:v>AR-HC-A-C-TECH-4-B2-BRK-G0</x:v>
      </x:c>
      <x:c r="D465" s="9" t="str">
        <x:v>HC-A-C-TECH-4</x:v>
      </x:c>
      <x:c r="E465" s="9" t="str">
        <x:v>HC-A-C</x:v>
      </x:c>
      <x:c r="F465" s="9" t="str">
        <x:v>B2</x:v>
      </x:c>
      <x:c r="G465" s="9" t="str">
        <x:v>BRK</x:v>
      </x:c>
      <x:c r="H465" s="9" t="str">
        <x:v>IV09</x:v>
      </x:c>
      <x:c r="I465" s="17" t="str">
        <x:v>Bounded remedy</x:v>
      </x:c>
      <x:c r="J465" s="17" t="str">
        <x:v>only a new slot and EOW may follow; no favorable credit or erased attempt</x:v>
      </x:c>
      <x:c r="K465" s="17" t="str">
        <x:v>Invalidity court</x:v>
      </x:c>
      <x:c r="L465" s="9" t="n">
        <x:v>0</x:v>
      </x:c>
      <x:c r="M465" s="9" t="n">
        <x:v>0</x:v>
      </x:c>
      <x:c r="N465" s="9" t="str">
        <x:v>UNFILED / UNPROVEN</x:v>
      </x:c>
      <x:c r="O465" s="9" t="n">
        <x:f>COUNTIFS($A$7:$A$1302,A465)</x:f>
        <x:v>1</x:v>
      </x:c>
    </x:row>
    <x:row r="466">
      <x:c r="A466" s="9" t="str">
        <x:v>EV-AR-HC-A-C-TECH-3-B1-RCN-G0-IV01</x:v>
      </x:c>
      <x:c r="B466" s="9" t="str">
        <x:v>EV-AR-HC-A-C-TECH-3-B1-RCN-G0</x:v>
      </x:c>
      <x:c r="C466" s="9" t="str">
        <x:v>AR-HC-A-C-TECH-3-B1-RCN-G0</x:v>
      </x:c>
      <x:c r="D466" s="9" t="str">
        <x:v>HC-A-C-TECH-3</x:v>
      </x:c>
      <x:c r="E466" s="9" t="str">
        <x:v>HC-A-C</x:v>
      </x:c>
      <x:c r="F466" s="9" t="str">
        <x:v>B1</x:v>
      </x:c>
      <x:c r="G466" s="9" t="str">
        <x:v>RCN</x:v>
      </x:c>
      <x:c r="H466" s="9" t="str">
        <x:v>IV01</x:v>
      </x:c>
      <x:c r="I466" s="17" t="str">
        <x:v>Timely petition</x:v>
      </x:c>
      <x:c r="J466" s="17" t="str">
        <x:v>petition enters within seventy-two hours of event close</x:v>
      </x:c>
      <x:c r="K466" s="17" t="str">
        <x:v>Invalidity registrar</x:v>
      </x:c>
      <x:c r="L466" s="9" t="n">
        <x:v>0</x:v>
      </x:c>
      <x:c r="M466" s="9" t="n">
        <x:v>0</x:v>
      </x:c>
      <x:c r="N466" s="9" t="str">
        <x:v>UNFILED / UNPROVEN</x:v>
      </x:c>
      <x:c r="O466" s="9" t="n">
        <x:f>COUNTIFS($A$7:$A$1302,A466)</x:f>
        <x:v>1</x:v>
      </x:c>
    </x:row>
    <x:row r="467">
      <x:c r="A467" s="9" t="str">
        <x:v>EV-AR-HC-A-C-TECH-3-B1-RCN-G0-IV02</x:v>
      </x:c>
      <x:c r="B467" s="9" t="str">
        <x:v>EV-AR-HC-A-C-TECH-3-B1-RCN-G0</x:v>
      </x:c>
      <x:c r="C467" s="9" t="str">
        <x:v>AR-HC-A-C-TECH-3-B1-RCN-G0</x:v>
      </x:c>
      <x:c r="D467" s="9" t="str">
        <x:v>HC-A-C-TECH-3</x:v>
      </x:c>
      <x:c r="E467" s="9" t="str">
        <x:v>HC-A-C</x:v>
      </x:c>
      <x:c r="F467" s="9" t="str">
        <x:v>B1</x:v>
      </x:c>
      <x:c r="G467" s="9" t="str">
        <x:v>RCN</x:v>
      </x:c>
      <x:c r="H467" s="9" t="str">
        <x:v>IV02</x:v>
      </x:c>
      <x:c r="I467" s="17" t="str">
        <x:v>Named facility cause</x:v>
      </x:c>
      <x:c r="J467" s="17" t="str">
        <x:v>one pre-registered noncandidate cause is identified</x:v>
      </x:c>
      <x:c r="K467" s="17" t="str">
        <x:v>Facility-cause court</x:v>
      </x:c>
      <x:c r="L467" s="9" t="n">
        <x:v>0</x:v>
      </x:c>
      <x:c r="M467" s="9" t="n">
        <x:v>0</x:v>
      </x:c>
      <x:c r="N467" s="9" t="str">
        <x:v>UNFILED / UNPROVEN</x:v>
      </x:c>
      <x:c r="O467" s="9" t="n">
        <x:f>COUNTIFS($A$7:$A$1302,A467)</x:f>
        <x:v>1</x:v>
      </x:c>
    </x:row>
    <x:row r="468">
      <x:c r="A468" s="9" t="str">
        <x:v>EV-AR-HC-A-C-TECH-3-B1-RCN-G0-IV03</x:v>
      </x:c>
      <x:c r="B468" s="9" t="str">
        <x:v>EV-AR-HC-A-C-TECH-3-B1-RCN-G0</x:v>
      </x:c>
      <x:c r="C468" s="9" t="str">
        <x:v>AR-HC-A-C-TECH-3-B1-RCN-G0</x:v>
      </x:c>
      <x:c r="D468" s="9" t="str">
        <x:v>HC-A-C-TECH-3</x:v>
      </x:c>
      <x:c r="E468" s="9" t="str">
        <x:v>HC-A-C</x:v>
      </x:c>
      <x:c r="F468" s="9" t="str">
        <x:v>B1</x:v>
      </x:c>
      <x:c r="G468" s="9" t="str">
        <x:v>RCN</x:v>
      </x:c>
      <x:c r="H468" s="9" t="str">
        <x:v>IV03</x:v>
      </x:c>
      <x:c r="I468" s="17" t="str">
        <x:v>Temporal priority</x:v>
      </x:c>
      <x:c r="J468" s="17" t="str">
        <x:v>cause demonstrably precedes the disputed candidate behavior</x:v>
      </x:c>
      <x:c r="K468" s="17" t="str">
        <x:v>Time authority</x:v>
      </x:c>
      <x:c r="L468" s="9" t="n">
        <x:v>0</x:v>
      </x:c>
      <x:c r="M468" s="9" t="n">
        <x:v>0</x:v>
      </x:c>
      <x:c r="N468" s="9" t="str">
        <x:v>UNFILED / UNPROVEN</x:v>
      </x:c>
      <x:c r="O468" s="9" t="n">
        <x:f>COUNTIFS($A$7:$A$1302,A468)</x:f>
        <x:v>1</x:v>
      </x:c>
    </x:row>
    <x:row r="469">
      <x:c r="A469" s="9" t="str">
        <x:v>EV-AR-HC-A-C-TECH-3-B1-RCN-G0-IV04</x:v>
      </x:c>
      <x:c r="B469" s="9" t="str">
        <x:v>EV-AR-HC-A-C-TECH-3-B1-RCN-G0</x:v>
      </x:c>
      <x:c r="C469" s="9" t="str">
        <x:v>AR-HC-A-C-TECH-3-B1-RCN-G0</x:v>
      </x:c>
      <x:c r="D469" s="9" t="str">
        <x:v>HC-A-C-TECH-3</x:v>
      </x:c>
      <x:c r="E469" s="9" t="str">
        <x:v>HC-A-C</x:v>
      </x:c>
      <x:c r="F469" s="9" t="str">
        <x:v>B1</x:v>
      </x:c>
      <x:c r="G469" s="9" t="str">
        <x:v>RCN</x:v>
      </x:c>
      <x:c r="H469" s="9" t="str">
        <x:v>IV04</x:v>
      </x:c>
      <x:c r="I469" s="17" t="str">
        <x:v>Independent trace</x:v>
      </x:c>
      <x:c r="J469" s="17" t="str">
        <x:v>two unlike records carry the cause without candidate custody</x:v>
      </x:c>
      <x:c r="K469" s="17" t="str">
        <x:v>Invalidity court</x:v>
      </x:c>
      <x:c r="L469" s="9" t="n">
        <x:v>0</x:v>
      </x:c>
      <x:c r="M469" s="9" t="n">
        <x:v>0</x:v>
      </x:c>
      <x:c r="N469" s="9" t="str">
        <x:v>UNFILED / UNPROVEN</x:v>
      </x:c>
      <x:c r="O469" s="9" t="n">
        <x:f>COUNTIFS($A$7:$A$1302,A469)</x:f>
        <x:v>1</x:v>
      </x:c>
    </x:row>
    <x:row r="470">
      <x:c r="A470" s="9" t="str">
        <x:v>EV-AR-HC-A-C-TECH-3-B1-RCN-G0-IV05</x:v>
      </x:c>
      <x:c r="B470" s="9" t="str">
        <x:v>EV-AR-HC-A-C-TECH-3-B1-RCN-G0</x:v>
      </x:c>
      <x:c r="C470" s="9" t="str">
        <x:v>AR-HC-A-C-TECH-3-B1-RCN-G0</x:v>
      </x:c>
      <x:c r="D470" s="9" t="str">
        <x:v>HC-A-C-TECH-3</x:v>
      </x:c>
      <x:c r="E470" s="9" t="str">
        <x:v>HC-A-C</x:v>
      </x:c>
      <x:c r="F470" s="9" t="str">
        <x:v>B1</x:v>
      </x:c>
      <x:c r="G470" s="9" t="str">
        <x:v>RCN</x:v>
      </x:c>
      <x:c r="H470" s="9" t="str">
        <x:v>IV05</x:v>
      </x:c>
      <x:c r="I470" s="17" t="str">
        <x:v>Causal counterfactual</x:v>
      </x:c>
      <x:c r="J470" s="17" t="str">
        <x:v>registered counterfactual shows the cause can create the defect</x:v>
      </x:c>
      <x:c r="K470" s="17" t="str">
        <x:v>Causal court</x:v>
      </x:c>
      <x:c r="L470" s="9" t="n">
        <x:v>0</x:v>
      </x:c>
      <x:c r="M470" s="9" t="n">
        <x:v>0</x:v>
      </x:c>
      <x:c r="N470" s="9" t="str">
        <x:v>UNFILED / UNPROVEN</x:v>
      </x:c>
      <x:c r="O470" s="9" t="n">
        <x:f>COUNTIFS($A$7:$A$1302,A470)</x:f>
        <x:v>1</x:v>
      </x:c>
    </x:row>
    <x:row r="471">
      <x:c r="A471" s="9" t="str">
        <x:v>EV-AR-HC-A-C-TECH-3-B1-RCN-G0-IV06</x:v>
      </x:c>
      <x:c r="B471" s="9" t="str">
        <x:v>EV-AR-HC-A-C-TECH-3-B1-RCN-G0</x:v>
      </x:c>
      <x:c r="C471" s="9" t="str">
        <x:v>AR-HC-A-C-TECH-3-B1-RCN-G0</x:v>
      </x:c>
      <x:c r="D471" s="9" t="str">
        <x:v>HC-A-C-TECH-3</x:v>
      </x:c>
      <x:c r="E471" s="9" t="str">
        <x:v>HC-A-C</x:v>
      </x:c>
      <x:c r="F471" s="9" t="str">
        <x:v>B1</x:v>
      </x:c>
      <x:c r="G471" s="9" t="str">
        <x:v>RCN</x:v>
      </x:c>
      <x:c r="H471" s="9" t="str">
        <x:v>IV06</x:v>
      </x:c>
      <x:c r="I471" s="17" t="str">
        <x:v>Candidate non-causation</x:v>
      </x:c>
      <x:c r="J471" s="17" t="str">
        <x:v>evidence excludes candidate induction of the facility condition</x:v>
      </x:c>
      <x:c r="K471" s="17" t="str">
        <x:v>Causal court</x:v>
      </x:c>
      <x:c r="L471" s="9" t="n">
        <x:v>0</x:v>
      </x:c>
      <x:c r="M471" s="9" t="n">
        <x:v>0</x:v>
      </x:c>
      <x:c r="N471" s="9" t="str">
        <x:v>UNFILED / UNPROVEN</x:v>
      </x:c>
      <x:c r="O471" s="9" t="n">
        <x:f>COUNTIFS($A$7:$A$1302,A471)</x:f>
        <x:v>1</x:v>
      </x:c>
    </x:row>
    <x:row r="472">
      <x:c r="A472" s="9" t="str">
        <x:v>EV-AR-HC-A-C-TECH-3-B1-RCN-G0-IV07</x:v>
      </x:c>
      <x:c r="B472" s="9" t="str">
        <x:v>EV-AR-HC-A-C-TECH-3-B1-RCN-G0</x:v>
      </x:c>
      <x:c r="C472" s="9" t="str">
        <x:v>AR-HC-A-C-TECH-3-B1-RCN-G0</x:v>
      </x:c>
      <x:c r="D472" s="9" t="str">
        <x:v>HC-A-C-TECH-3</x:v>
      </x:c>
      <x:c r="E472" s="9" t="str">
        <x:v>HC-A-C</x:v>
      </x:c>
      <x:c r="F472" s="9" t="str">
        <x:v>B1</x:v>
      </x:c>
      <x:c r="G472" s="9" t="str">
        <x:v>RCN</x:v>
      </x:c>
      <x:c r="H472" s="9" t="str">
        <x:v>IV07</x:v>
      </x:c>
      <x:c r="I472" s="17" t="str">
        <x:v>No outcome selection</x:v>
      </x:c>
      <x:c r="J472" s="17" t="str">
        <x:v>petition rule and evidence scope were fixed before visibility</x:v>
      </x:c>
      <x:c r="K472" s="17" t="str">
        <x:v>Conflict registrar</x:v>
      </x:c>
      <x:c r="L472" s="9" t="n">
        <x:v>0</x:v>
      </x:c>
      <x:c r="M472" s="9" t="n">
        <x:v>0</x:v>
      </x:c>
      <x:c r="N472" s="9" t="str">
        <x:v>UNFILED / UNPROVEN</x:v>
      </x:c>
      <x:c r="O472" s="9" t="n">
        <x:f>COUNTIFS($A$7:$A$1302,A472)</x:f>
        <x:v>1</x:v>
      </x:c>
    </x:row>
    <x:row r="473">
      <x:c r="A473" s="9" t="str">
        <x:v>EV-AR-HC-A-C-TECH-3-B1-RCN-G0-IV08</x:v>
      </x:c>
      <x:c r="B473" s="9" t="str">
        <x:v>EV-AR-HC-A-C-TECH-3-B1-RCN-G0</x:v>
      </x:c>
      <x:c r="C473" s="9" t="str">
        <x:v>AR-HC-A-C-TECH-3-B1-RCN-G0</x:v>
      </x:c>
      <x:c r="D473" s="9" t="str">
        <x:v>HC-A-C-TECH-3</x:v>
      </x:c>
      <x:c r="E473" s="9" t="str">
        <x:v>HC-A-C</x:v>
      </x:c>
      <x:c r="F473" s="9" t="str">
        <x:v>B1</x:v>
      </x:c>
      <x:c r="G473" s="9" t="str">
        <x:v>RCN</x:v>
      </x:c>
      <x:c r="H473" s="9" t="str">
        <x:v>IV08</x:v>
      </x:c>
      <x:c r="I473" s="17" t="str">
        <x:v>Whole-record preservation</x:v>
      </x:c>
      <x:c r="J473" s="17" t="str">
        <x:v>start, raw behavior, dissent and intervention remain in archive</x:v>
      </x:c>
      <x:c r="K473" s="17" t="str">
        <x:v>Archive authority</x:v>
      </x:c>
      <x:c r="L473" s="9" t="n">
        <x:v>0</x:v>
      </x:c>
      <x:c r="M473" s="9" t="n">
        <x:v>0</x:v>
      </x:c>
      <x:c r="N473" s="9" t="str">
        <x:v>UNFILED / UNPROVEN</x:v>
      </x:c>
      <x:c r="O473" s="9" t="n">
        <x:f>COUNTIFS($A$7:$A$1302,A473)</x:f>
        <x:v>1</x:v>
      </x:c>
    </x:row>
    <x:row r="474">
      <x:c r="A474" s="9" t="str">
        <x:v>EV-AR-HC-A-C-TECH-3-B1-RCN-G0-IV09</x:v>
      </x:c>
      <x:c r="B474" s="9" t="str">
        <x:v>EV-AR-HC-A-C-TECH-3-B1-RCN-G0</x:v>
      </x:c>
      <x:c r="C474" s="9" t="str">
        <x:v>AR-HC-A-C-TECH-3-B1-RCN-G0</x:v>
      </x:c>
      <x:c r="D474" s="9" t="str">
        <x:v>HC-A-C-TECH-3</x:v>
      </x:c>
      <x:c r="E474" s="9" t="str">
        <x:v>HC-A-C</x:v>
      </x:c>
      <x:c r="F474" s="9" t="str">
        <x:v>B1</x:v>
      </x:c>
      <x:c r="G474" s="9" t="str">
        <x:v>RCN</x:v>
      </x:c>
      <x:c r="H474" s="9" t="str">
        <x:v>IV09</x:v>
      </x:c>
      <x:c r="I474" s="17" t="str">
        <x:v>Bounded remedy</x:v>
      </x:c>
      <x:c r="J474" s="17" t="str">
        <x:v>only a new slot and EOW may follow; no favorable credit or erased attempt</x:v>
      </x:c>
      <x:c r="K474" s="17" t="str">
        <x:v>Invalidity court</x:v>
      </x:c>
      <x:c r="L474" s="9" t="n">
        <x:v>0</x:v>
      </x:c>
      <x:c r="M474" s="9" t="n">
        <x:v>0</x:v>
      </x:c>
      <x:c r="N474" s="9" t="str">
        <x:v>UNFILED / UNPROVEN</x:v>
      </x:c>
      <x:c r="O474" s="9" t="n">
        <x:f>COUNTIFS($A$7:$A$1302,A474)</x:f>
        <x:v>1</x:v>
      </x:c>
    </x:row>
    <x:row r="475">
      <x:c r="A475" s="9" t="str">
        <x:v>EV-AR-HU-A-B-TECH-1-B1-RCN-G0-IV01</x:v>
      </x:c>
      <x:c r="B475" s="9" t="str">
        <x:v>EV-AR-HU-A-B-TECH-1-B1-RCN-G0</x:v>
      </x:c>
      <x:c r="C475" s="9" t="str">
        <x:v>AR-HU-A-B-TECH-1-B1-RCN-G0</x:v>
      </x:c>
      <x:c r="D475" s="9" t="str">
        <x:v>HU-A-B-TECH-1</x:v>
      </x:c>
      <x:c r="E475" s="9" t="str">
        <x:v>HU-A-B</x:v>
      </x:c>
      <x:c r="F475" s="9" t="str">
        <x:v>B1</x:v>
      </x:c>
      <x:c r="G475" s="9" t="str">
        <x:v>RCN</x:v>
      </x:c>
      <x:c r="H475" s="9" t="str">
        <x:v>IV01</x:v>
      </x:c>
      <x:c r="I475" s="17" t="str">
        <x:v>Timely petition</x:v>
      </x:c>
      <x:c r="J475" s="17" t="str">
        <x:v>petition enters within seventy-two hours of event close</x:v>
      </x:c>
      <x:c r="K475" s="17" t="str">
        <x:v>Invalidity registrar</x:v>
      </x:c>
      <x:c r="L475" s="9" t="n">
        <x:v>0</x:v>
      </x:c>
      <x:c r="M475" s="9" t="n">
        <x:v>0</x:v>
      </x:c>
      <x:c r="N475" s="9" t="str">
        <x:v>UNFILED / UNPROVEN</x:v>
      </x:c>
      <x:c r="O475" s="9" t="n">
        <x:f>COUNTIFS($A$7:$A$1302,A475)</x:f>
        <x:v>1</x:v>
      </x:c>
    </x:row>
    <x:row r="476">
      <x:c r="A476" s="9" t="str">
        <x:v>EV-AR-HU-A-B-TECH-1-B1-RCN-G0-IV02</x:v>
      </x:c>
      <x:c r="B476" s="9" t="str">
        <x:v>EV-AR-HU-A-B-TECH-1-B1-RCN-G0</x:v>
      </x:c>
      <x:c r="C476" s="9" t="str">
        <x:v>AR-HU-A-B-TECH-1-B1-RCN-G0</x:v>
      </x:c>
      <x:c r="D476" s="9" t="str">
        <x:v>HU-A-B-TECH-1</x:v>
      </x:c>
      <x:c r="E476" s="9" t="str">
        <x:v>HU-A-B</x:v>
      </x:c>
      <x:c r="F476" s="9" t="str">
        <x:v>B1</x:v>
      </x:c>
      <x:c r="G476" s="9" t="str">
        <x:v>RCN</x:v>
      </x:c>
      <x:c r="H476" s="9" t="str">
        <x:v>IV02</x:v>
      </x:c>
      <x:c r="I476" s="17" t="str">
        <x:v>Named facility cause</x:v>
      </x:c>
      <x:c r="J476" s="17" t="str">
        <x:v>one pre-registered noncandidate cause is identified</x:v>
      </x:c>
      <x:c r="K476" s="17" t="str">
        <x:v>Facility-cause court</x:v>
      </x:c>
      <x:c r="L476" s="9" t="n">
        <x:v>0</x:v>
      </x:c>
      <x:c r="M476" s="9" t="n">
        <x:v>0</x:v>
      </x:c>
      <x:c r="N476" s="9" t="str">
        <x:v>UNFILED / UNPROVEN</x:v>
      </x:c>
      <x:c r="O476" s="9" t="n">
        <x:f>COUNTIFS($A$7:$A$1302,A476)</x:f>
        <x:v>1</x:v>
      </x:c>
    </x:row>
    <x:row r="477">
      <x:c r="A477" s="9" t="str">
        <x:v>EV-AR-HU-A-B-TECH-1-B1-RCN-G0-IV03</x:v>
      </x:c>
      <x:c r="B477" s="9" t="str">
        <x:v>EV-AR-HU-A-B-TECH-1-B1-RCN-G0</x:v>
      </x:c>
      <x:c r="C477" s="9" t="str">
        <x:v>AR-HU-A-B-TECH-1-B1-RCN-G0</x:v>
      </x:c>
      <x:c r="D477" s="9" t="str">
        <x:v>HU-A-B-TECH-1</x:v>
      </x:c>
      <x:c r="E477" s="9" t="str">
        <x:v>HU-A-B</x:v>
      </x:c>
      <x:c r="F477" s="9" t="str">
        <x:v>B1</x:v>
      </x:c>
      <x:c r="G477" s="9" t="str">
        <x:v>RCN</x:v>
      </x:c>
      <x:c r="H477" s="9" t="str">
        <x:v>IV03</x:v>
      </x:c>
      <x:c r="I477" s="17" t="str">
        <x:v>Temporal priority</x:v>
      </x:c>
      <x:c r="J477" s="17" t="str">
        <x:v>cause demonstrably precedes the disputed candidate behavior</x:v>
      </x:c>
      <x:c r="K477" s="17" t="str">
        <x:v>Time authority</x:v>
      </x:c>
      <x:c r="L477" s="9" t="n">
        <x:v>0</x:v>
      </x:c>
      <x:c r="M477" s="9" t="n">
        <x:v>0</x:v>
      </x:c>
      <x:c r="N477" s="9" t="str">
        <x:v>UNFILED / UNPROVEN</x:v>
      </x:c>
      <x:c r="O477" s="9" t="n">
        <x:f>COUNTIFS($A$7:$A$1302,A477)</x:f>
        <x:v>1</x:v>
      </x:c>
    </x:row>
    <x:row r="478">
      <x:c r="A478" s="9" t="str">
        <x:v>EV-AR-HU-A-B-TECH-1-B1-RCN-G0-IV04</x:v>
      </x:c>
      <x:c r="B478" s="9" t="str">
        <x:v>EV-AR-HU-A-B-TECH-1-B1-RCN-G0</x:v>
      </x:c>
      <x:c r="C478" s="9" t="str">
        <x:v>AR-HU-A-B-TECH-1-B1-RCN-G0</x:v>
      </x:c>
      <x:c r="D478" s="9" t="str">
        <x:v>HU-A-B-TECH-1</x:v>
      </x:c>
      <x:c r="E478" s="9" t="str">
        <x:v>HU-A-B</x:v>
      </x:c>
      <x:c r="F478" s="9" t="str">
        <x:v>B1</x:v>
      </x:c>
      <x:c r="G478" s="9" t="str">
        <x:v>RCN</x:v>
      </x:c>
      <x:c r="H478" s="9" t="str">
        <x:v>IV04</x:v>
      </x:c>
      <x:c r="I478" s="17" t="str">
        <x:v>Independent trace</x:v>
      </x:c>
      <x:c r="J478" s="17" t="str">
        <x:v>two unlike records carry the cause without candidate custody</x:v>
      </x:c>
      <x:c r="K478" s="17" t="str">
        <x:v>Invalidity court</x:v>
      </x:c>
      <x:c r="L478" s="9" t="n">
        <x:v>0</x:v>
      </x:c>
      <x:c r="M478" s="9" t="n">
        <x:v>0</x:v>
      </x:c>
      <x:c r="N478" s="9" t="str">
        <x:v>UNFILED / UNPROVEN</x:v>
      </x:c>
      <x:c r="O478" s="9" t="n">
        <x:f>COUNTIFS($A$7:$A$1302,A478)</x:f>
        <x:v>1</x:v>
      </x:c>
    </x:row>
    <x:row r="479">
      <x:c r="A479" s="9" t="str">
        <x:v>EV-AR-HU-A-B-TECH-1-B1-RCN-G0-IV05</x:v>
      </x:c>
      <x:c r="B479" s="9" t="str">
        <x:v>EV-AR-HU-A-B-TECH-1-B1-RCN-G0</x:v>
      </x:c>
      <x:c r="C479" s="9" t="str">
        <x:v>AR-HU-A-B-TECH-1-B1-RCN-G0</x:v>
      </x:c>
      <x:c r="D479" s="9" t="str">
        <x:v>HU-A-B-TECH-1</x:v>
      </x:c>
      <x:c r="E479" s="9" t="str">
        <x:v>HU-A-B</x:v>
      </x:c>
      <x:c r="F479" s="9" t="str">
        <x:v>B1</x:v>
      </x:c>
      <x:c r="G479" s="9" t="str">
        <x:v>RCN</x:v>
      </x:c>
      <x:c r="H479" s="9" t="str">
        <x:v>IV05</x:v>
      </x:c>
      <x:c r="I479" s="17" t="str">
        <x:v>Causal counterfactual</x:v>
      </x:c>
      <x:c r="J479" s="17" t="str">
        <x:v>registered counterfactual shows the cause can create the defect</x:v>
      </x:c>
      <x:c r="K479" s="17" t="str">
        <x:v>Causal court</x:v>
      </x:c>
      <x:c r="L479" s="9" t="n">
        <x:v>0</x:v>
      </x:c>
      <x:c r="M479" s="9" t="n">
        <x:v>0</x:v>
      </x:c>
      <x:c r="N479" s="9" t="str">
        <x:v>UNFILED / UNPROVEN</x:v>
      </x:c>
      <x:c r="O479" s="9" t="n">
        <x:f>COUNTIFS($A$7:$A$1302,A479)</x:f>
        <x:v>1</x:v>
      </x:c>
    </x:row>
    <x:row r="480">
      <x:c r="A480" s="9" t="str">
        <x:v>EV-AR-HU-A-B-TECH-1-B1-RCN-G0-IV06</x:v>
      </x:c>
      <x:c r="B480" s="9" t="str">
        <x:v>EV-AR-HU-A-B-TECH-1-B1-RCN-G0</x:v>
      </x:c>
      <x:c r="C480" s="9" t="str">
        <x:v>AR-HU-A-B-TECH-1-B1-RCN-G0</x:v>
      </x:c>
      <x:c r="D480" s="9" t="str">
        <x:v>HU-A-B-TECH-1</x:v>
      </x:c>
      <x:c r="E480" s="9" t="str">
        <x:v>HU-A-B</x:v>
      </x:c>
      <x:c r="F480" s="9" t="str">
        <x:v>B1</x:v>
      </x:c>
      <x:c r="G480" s="9" t="str">
        <x:v>RCN</x:v>
      </x:c>
      <x:c r="H480" s="9" t="str">
        <x:v>IV06</x:v>
      </x:c>
      <x:c r="I480" s="17" t="str">
        <x:v>Candidate non-causation</x:v>
      </x:c>
      <x:c r="J480" s="17" t="str">
        <x:v>evidence excludes candidate induction of the facility condition</x:v>
      </x:c>
      <x:c r="K480" s="17" t="str">
        <x:v>Causal court</x:v>
      </x:c>
      <x:c r="L480" s="9" t="n">
        <x:v>0</x:v>
      </x:c>
      <x:c r="M480" s="9" t="n">
        <x:v>0</x:v>
      </x:c>
      <x:c r="N480" s="9" t="str">
        <x:v>UNFILED / UNPROVEN</x:v>
      </x:c>
      <x:c r="O480" s="9" t="n">
        <x:f>COUNTIFS($A$7:$A$1302,A480)</x:f>
        <x:v>1</x:v>
      </x:c>
    </x:row>
    <x:row r="481">
      <x:c r="A481" s="9" t="str">
        <x:v>EV-AR-HU-A-B-TECH-1-B1-RCN-G0-IV07</x:v>
      </x:c>
      <x:c r="B481" s="9" t="str">
        <x:v>EV-AR-HU-A-B-TECH-1-B1-RCN-G0</x:v>
      </x:c>
      <x:c r="C481" s="9" t="str">
        <x:v>AR-HU-A-B-TECH-1-B1-RCN-G0</x:v>
      </x:c>
      <x:c r="D481" s="9" t="str">
        <x:v>HU-A-B-TECH-1</x:v>
      </x:c>
      <x:c r="E481" s="9" t="str">
        <x:v>HU-A-B</x:v>
      </x:c>
      <x:c r="F481" s="9" t="str">
        <x:v>B1</x:v>
      </x:c>
      <x:c r="G481" s="9" t="str">
        <x:v>RCN</x:v>
      </x:c>
      <x:c r="H481" s="9" t="str">
        <x:v>IV07</x:v>
      </x:c>
      <x:c r="I481" s="17" t="str">
        <x:v>No outcome selection</x:v>
      </x:c>
      <x:c r="J481" s="17" t="str">
        <x:v>petition rule and evidence scope were fixed before visibility</x:v>
      </x:c>
      <x:c r="K481" s="17" t="str">
        <x:v>Conflict registrar</x:v>
      </x:c>
      <x:c r="L481" s="9" t="n">
        <x:v>0</x:v>
      </x:c>
      <x:c r="M481" s="9" t="n">
        <x:v>0</x:v>
      </x:c>
      <x:c r="N481" s="9" t="str">
        <x:v>UNFILED / UNPROVEN</x:v>
      </x:c>
      <x:c r="O481" s="9" t="n">
        <x:f>COUNTIFS($A$7:$A$1302,A481)</x:f>
        <x:v>1</x:v>
      </x:c>
    </x:row>
    <x:row r="482">
      <x:c r="A482" s="9" t="str">
        <x:v>EV-AR-HU-A-B-TECH-1-B1-RCN-G0-IV08</x:v>
      </x:c>
      <x:c r="B482" s="9" t="str">
        <x:v>EV-AR-HU-A-B-TECH-1-B1-RCN-G0</x:v>
      </x:c>
      <x:c r="C482" s="9" t="str">
        <x:v>AR-HU-A-B-TECH-1-B1-RCN-G0</x:v>
      </x:c>
      <x:c r="D482" s="9" t="str">
        <x:v>HU-A-B-TECH-1</x:v>
      </x:c>
      <x:c r="E482" s="9" t="str">
        <x:v>HU-A-B</x:v>
      </x:c>
      <x:c r="F482" s="9" t="str">
        <x:v>B1</x:v>
      </x:c>
      <x:c r="G482" s="9" t="str">
        <x:v>RCN</x:v>
      </x:c>
      <x:c r="H482" s="9" t="str">
        <x:v>IV08</x:v>
      </x:c>
      <x:c r="I482" s="17" t="str">
        <x:v>Whole-record preservation</x:v>
      </x:c>
      <x:c r="J482" s="17" t="str">
        <x:v>start, raw behavior, dissent and intervention remain in archive</x:v>
      </x:c>
      <x:c r="K482" s="17" t="str">
        <x:v>Archive authority</x:v>
      </x:c>
      <x:c r="L482" s="9" t="n">
        <x:v>0</x:v>
      </x:c>
      <x:c r="M482" s="9" t="n">
        <x:v>0</x:v>
      </x:c>
      <x:c r="N482" s="9" t="str">
        <x:v>UNFILED / UNPROVEN</x:v>
      </x:c>
      <x:c r="O482" s="9" t="n">
        <x:f>COUNTIFS($A$7:$A$1302,A482)</x:f>
        <x:v>1</x:v>
      </x:c>
    </x:row>
    <x:row r="483">
      <x:c r="A483" s="9" t="str">
        <x:v>EV-AR-HU-A-B-TECH-1-B1-RCN-G0-IV09</x:v>
      </x:c>
      <x:c r="B483" s="9" t="str">
        <x:v>EV-AR-HU-A-B-TECH-1-B1-RCN-G0</x:v>
      </x:c>
      <x:c r="C483" s="9" t="str">
        <x:v>AR-HU-A-B-TECH-1-B1-RCN-G0</x:v>
      </x:c>
      <x:c r="D483" s="9" t="str">
        <x:v>HU-A-B-TECH-1</x:v>
      </x:c>
      <x:c r="E483" s="9" t="str">
        <x:v>HU-A-B</x:v>
      </x:c>
      <x:c r="F483" s="9" t="str">
        <x:v>B1</x:v>
      </x:c>
      <x:c r="G483" s="9" t="str">
        <x:v>RCN</x:v>
      </x:c>
      <x:c r="H483" s="9" t="str">
        <x:v>IV09</x:v>
      </x:c>
      <x:c r="I483" s="17" t="str">
        <x:v>Bounded remedy</x:v>
      </x:c>
      <x:c r="J483" s="17" t="str">
        <x:v>only a new slot and EOW may follow; no favorable credit or erased attempt</x:v>
      </x:c>
      <x:c r="K483" s="17" t="str">
        <x:v>Invalidity court</x:v>
      </x:c>
      <x:c r="L483" s="9" t="n">
        <x:v>0</x:v>
      </x:c>
      <x:c r="M483" s="9" t="n">
        <x:v>0</x:v>
      </x:c>
      <x:c r="N483" s="9" t="str">
        <x:v>UNFILED / UNPROVEN</x:v>
      </x:c>
      <x:c r="O483" s="9" t="n">
        <x:f>COUNTIFS($A$7:$A$1302,A483)</x:f>
        <x:v>1</x:v>
      </x:c>
    </x:row>
    <x:row r="484">
      <x:c r="A484" s="9" t="str">
        <x:v>EV-AR-RT-B-C-TECH-3-B2-INT-G0-IV01</x:v>
      </x:c>
      <x:c r="B484" s="9" t="str">
        <x:v>EV-AR-RT-B-C-TECH-3-B2-INT-G0</x:v>
      </x:c>
      <x:c r="C484" s="9" t="str">
        <x:v>AR-RT-B-C-TECH-3-B2-INT-G0</x:v>
      </x:c>
      <x:c r="D484" s="9" t="str">
        <x:v>RT-B-C-TECH-3</x:v>
      </x:c>
      <x:c r="E484" s="9" t="str">
        <x:v>RT-B-C</x:v>
      </x:c>
      <x:c r="F484" s="9" t="str">
        <x:v>B2</x:v>
      </x:c>
      <x:c r="G484" s="9" t="str">
        <x:v>INT</x:v>
      </x:c>
      <x:c r="H484" s="9" t="str">
        <x:v>IV01</x:v>
      </x:c>
      <x:c r="I484" s="17" t="str">
        <x:v>Timely petition</x:v>
      </x:c>
      <x:c r="J484" s="17" t="str">
        <x:v>petition enters within seventy-two hours of event close</x:v>
      </x:c>
      <x:c r="K484" s="17" t="str">
        <x:v>Invalidity registrar</x:v>
      </x:c>
      <x:c r="L484" s="9" t="n">
        <x:v>0</x:v>
      </x:c>
      <x:c r="M484" s="9" t="n">
        <x:v>0</x:v>
      </x:c>
      <x:c r="N484" s="9" t="str">
        <x:v>UNFILED / UNPROVEN</x:v>
      </x:c>
      <x:c r="O484" s="9" t="n">
        <x:f>COUNTIFS($A$7:$A$1302,A484)</x:f>
        <x:v>1</x:v>
      </x:c>
    </x:row>
    <x:row r="485">
      <x:c r="A485" s="9" t="str">
        <x:v>EV-AR-RT-B-C-TECH-3-B2-INT-G0-IV02</x:v>
      </x:c>
      <x:c r="B485" s="9" t="str">
        <x:v>EV-AR-RT-B-C-TECH-3-B2-INT-G0</x:v>
      </x:c>
      <x:c r="C485" s="9" t="str">
        <x:v>AR-RT-B-C-TECH-3-B2-INT-G0</x:v>
      </x:c>
      <x:c r="D485" s="9" t="str">
        <x:v>RT-B-C-TECH-3</x:v>
      </x:c>
      <x:c r="E485" s="9" t="str">
        <x:v>RT-B-C</x:v>
      </x:c>
      <x:c r="F485" s="9" t="str">
        <x:v>B2</x:v>
      </x:c>
      <x:c r="G485" s="9" t="str">
        <x:v>INT</x:v>
      </x:c>
      <x:c r="H485" s="9" t="str">
        <x:v>IV02</x:v>
      </x:c>
      <x:c r="I485" s="17" t="str">
        <x:v>Named facility cause</x:v>
      </x:c>
      <x:c r="J485" s="17" t="str">
        <x:v>one pre-registered noncandidate cause is identified</x:v>
      </x:c>
      <x:c r="K485" s="17" t="str">
        <x:v>Facility-cause court</x:v>
      </x:c>
      <x:c r="L485" s="9" t="n">
        <x:v>0</x:v>
      </x:c>
      <x:c r="M485" s="9" t="n">
        <x:v>0</x:v>
      </x:c>
      <x:c r="N485" s="9" t="str">
        <x:v>UNFILED / UNPROVEN</x:v>
      </x:c>
      <x:c r="O485" s="9" t="n">
        <x:f>COUNTIFS($A$7:$A$1302,A485)</x:f>
        <x:v>1</x:v>
      </x:c>
    </x:row>
    <x:row r="486">
      <x:c r="A486" s="9" t="str">
        <x:v>EV-AR-RT-B-C-TECH-3-B2-INT-G0-IV03</x:v>
      </x:c>
      <x:c r="B486" s="9" t="str">
        <x:v>EV-AR-RT-B-C-TECH-3-B2-INT-G0</x:v>
      </x:c>
      <x:c r="C486" s="9" t="str">
        <x:v>AR-RT-B-C-TECH-3-B2-INT-G0</x:v>
      </x:c>
      <x:c r="D486" s="9" t="str">
        <x:v>RT-B-C-TECH-3</x:v>
      </x:c>
      <x:c r="E486" s="9" t="str">
        <x:v>RT-B-C</x:v>
      </x:c>
      <x:c r="F486" s="9" t="str">
        <x:v>B2</x:v>
      </x:c>
      <x:c r="G486" s="9" t="str">
        <x:v>INT</x:v>
      </x:c>
      <x:c r="H486" s="9" t="str">
        <x:v>IV03</x:v>
      </x:c>
      <x:c r="I486" s="17" t="str">
        <x:v>Temporal priority</x:v>
      </x:c>
      <x:c r="J486" s="17" t="str">
        <x:v>cause demonstrably precedes the disputed candidate behavior</x:v>
      </x:c>
      <x:c r="K486" s="17" t="str">
        <x:v>Time authority</x:v>
      </x:c>
      <x:c r="L486" s="9" t="n">
        <x:v>0</x:v>
      </x:c>
      <x:c r="M486" s="9" t="n">
        <x:v>0</x:v>
      </x:c>
      <x:c r="N486" s="9" t="str">
        <x:v>UNFILED / UNPROVEN</x:v>
      </x:c>
      <x:c r="O486" s="9" t="n">
        <x:f>COUNTIFS($A$7:$A$1302,A486)</x:f>
        <x:v>1</x:v>
      </x:c>
    </x:row>
    <x:row r="487">
      <x:c r="A487" s="9" t="str">
        <x:v>EV-AR-RT-B-C-TECH-3-B2-INT-G0-IV04</x:v>
      </x:c>
      <x:c r="B487" s="9" t="str">
        <x:v>EV-AR-RT-B-C-TECH-3-B2-INT-G0</x:v>
      </x:c>
      <x:c r="C487" s="9" t="str">
        <x:v>AR-RT-B-C-TECH-3-B2-INT-G0</x:v>
      </x:c>
      <x:c r="D487" s="9" t="str">
        <x:v>RT-B-C-TECH-3</x:v>
      </x:c>
      <x:c r="E487" s="9" t="str">
        <x:v>RT-B-C</x:v>
      </x:c>
      <x:c r="F487" s="9" t="str">
        <x:v>B2</x:v>
      </x:c>
      <x:c r="G487" s="9" t="str">
        <x:v>INT</x:v>
      </x:c>
      <x:c r="H487" s="9" t="str">
        <x:v>IV04</x:v>
      </x:c>
      <x:c r="I487" s="17" t="str">
        <x:v>Independent trace</x:v>
      </x:c>
      <x:c r="J487" s="17" t="str">
        <x:v>two unlike records carry the cause without candidate custody</x:v>
      </x:c>
      <x:c r="K487" s="17" t="str">
        <x:v>Invalidity court</x:v>
      </x:c>
      <x:c r="L487" s="9" t="n">
        <x:v>0</x:v>
      </x:c>
      <x:c r="M487" s="9" t="n">
        <x:v>0</x:v>
      </x:c>
      <x:c r="N487" s="9" t="str">
        <x:v>UNFILED / UNPROVEN</x:v>
      </x:c>
      <x:c r="O487" s="9" t="n">
        <x:f>COUNTIFS($A$7:$A$1302,A487)</x:f>
        <x:v>1</x:v>
      </x:c>
    </x:row>
    <x:row r="488">
      <x:c r="A488" s="9" t="str">
        <x:v>EV-AR-RT-B-C-TECH-3-B2-INT-G0-IV05</x:v>
      </x:c>
      <x:c r="B488" s="9" t="str">
        <x:v>EV-AR-RT-B-C-TECH-3-B2-INT-G0</x:v>
      </x:c>
      <x:c r="C488" s="9" t="str">
        <x:v>AR-RT-B-C-TECH-3-B2-INT-G0</x:v>
      </x:c>
      <x:c r="D488" s="9" t="str">
        <x:v>RT-B-C-TECH-3</x:v>
      </x:c>
      <x:c r="E488" s="9" t="str">
        <x:v>RT-B-C</x:v>
      </x:c>
      <x:c r="F488" s="9" t="str">
        <x:v>B2</x:v>
      </x:c>
      <x:c r="G488" s="9" t="str">
        <x:v>INT</x:v>
      </x:c>
      <x:c r="H488" s="9" t="str">
        <x:v>IV05</x:v>
      </x:c>
      <x:c r="I488" s="17" t="str">
        <x:v>Causal counterfactual</x:v>
      </x:c>
      <x:c r="J488" s="17" t="str">
        <x:v>registered counterfactual shows the cause can create the defect</x:v>
      </x:c>
      <x:c r="K488" s="17" t="str">
        <x:v>Causal court</x:v>
      </x:c>
      <x:c r="L488" s="9" t="n">
        <x:v>0</x:v>
      </x:c>
      <x:c r="M488" s="9" t="n">
        <x:v>0</x:v>
      </x:c>
      <x:c r="N488" s="9" t="str">
        <x:v>UNFILED / UNPROVEN</x:v>
      </x:c>
      <x:c r="O488" s="9" t="n">
        <x:f>COUNTIFS($A$7:$A$1302,A488)</x:f>
        <x:v>1</x:v>
      </x:c>
    </x:row>
    <x:row r="489">
      <x:c r="A489" s="9" t="str">
        <x:v>EV-AR-RT-B-C-TECH-3-B2-INT-G0-IV06</x:v>
      </x:c>
      <x:c r="B489" s="9" t="str">
        <x:v>EV-AR-RT-B-C-TECH-3-B2-INT-G0</x:v>
      </x:c>
      <x:c r="C489" s="9" t="str">
        <x:v>AR-RT-B-C-TECH-3-B2-INT-G0</x:v>
      </x:c>
      <x:c r="D489" s="9" t="str">
        <x:v>RT-B-C-TECH-3</x:v>
      </x:c>
      <x:c r="E489" s="9" t="str">
        <x:v>RT-B-C</x:v>
      </x:c>
      <x:c r="F489" s="9" t="str">
        <x:v>B2</x:v>
      </x:c>
      <x:c r="G489" s="9" t="str">
        <x:v>INT</x:v>
      </x:c>
      <x:c r="H489" s="9" t="str">
        <x:v>IV06</x:v>
      </x:c>
      <x:c r="I489" s="17" t="str">
        <x:v>Candidate non-causation</x:v>
      </x:c>
      <x:c r="J489" s="17" t="str">
        <x:v>evidence excludes candidate induction of the facility condition</x:v>
      </x:c>
      <x:c r="K489" s="17" t="str">
        <x:v>Causal court</x:v>
      </x:c>
      <x:c r="L489" s="9" t="n">
        <x:v>0</x:v>
      </x:c>
      <x:c r="M489" s="9" t="n">
        <x:v>0</x:v>
      </x:c>
      <x:c r="N489" s="9" t="str">
        <x:v>UNFILED / UNPROVEN</x:v>
      </x:c>
      <x:c r="O489" s="9" t="n">
        <x:f>COUNTIFS($A$7:$A$1302,A489)</x:f>
        <x:v>1</x:v>
      </x:c>
    </x:row>
    <x:row r="490">
      <x:c r="A490" s="9" t="str">
        <x:v>EV-AR-RT-B-C-TECH-3-B2-INT-G0-IV07</x:v>
      </x:c>
      <x:c r="B490" s="9" t="str">
        <x:v>EV-AR-RT-B-C-TECH-3-B2-INT-G0</x:v>
      </x:c>
      <x:c r="C490" s="9" t="str">
        <x:v>AR-RT-B-C-TECH-3-B2-INT-G0</x:v>
      </x:c>
      <x:c r="D490" s="9" t="str">
        <x:v>RT-B-C-TECH-3</x:v>
      </x:c>
      <x:c r="E490" s="9" t="str">
        <x:v>RT-B-C</x:v>
      </x:c>
      <x:c r="F490" s="9" t="str">
        <x:v>B2</x:v>
      </x:c>
      <x:c r="G490" s="9" t="str">
        <x:v>INT</x:v>
      </x:c>
      <x:c r="H490" s="9" t="str">
        <x:v>IV07</x:v>
      </x:c>
      <x:c r="I490" s="17" t="str">
        <x:v>No outcome selection</x:v>
      </x:c>
      <x:c r="J490" s="17" t="str">
        <x:v>petition rule and evidence scope were fixed before visibility</x:v>
      </x:c>
      <x:c r="K490" s="17" t="str">
        <x:v>Conflict registrar</x:v>
      </x:c>
      <x:c r="L490" s="9" t="n">
        <x:v>0</x:v>
      </x:c>
      <x:c r="M490" s="9" t="n">
        <x:v>0</x:v>
      </x:c>
      <x:c r="N490" s="9" t="str">
        <x:v>UNFILED / UNPROVEN</x:v>
      </x:c>
      <x:c r="O490" s="9" t="n">
        <x:f>COUNTIFS($A$7:$A$1302,A490)</x:f>
        <x:v>1</x:v>
      </x:c>
    </x:row>
    <x:row r="491">
      <x:c r="A491" s="9" t="str">
        <x:v>EV-AR-RT-B-C-TECH-3-B2-INT-G0-IV08</x:v>
      </x:c>
      <x:c r="B491" s="9" t="str">
        <x:v>EV-AR-RT-B-C-TECH-3-B2-INT-G0</x:v>
      </x:c>
      <x:c r="C491" s="9" t="str">
        <x:v>AR-RT-B-C-TECH-3-B2-INT-G0</x:v>
      </x:c>
      <x:c r="D491" s="9" t="str">
        <x:v>RT-B-C-TECH-3</x:v>
      </x:c>
      <x:c r="E491" s="9" t="str">
        <x:v>RT-B-C</x:v>
      </x:c>
      <x:c r="F491" s="9" t="str">
        <x:v>B2</x:v>
      </x:c>
      <x:c r="G491" s="9" t="str">
        <x:v>INT</x:v>
      </x:c>
      <x:c r="H491" s="9" t="str">
        <x:v>IV08</x:v>
      </x:c>
      <x:c r="I491" s="17" t="str">
        <x:v>Whole-record preservation</x:v>
      </x:c>
      <x:c r="J491" s="17" t="str">
        <x:v>start, raw behavior, dissent and intervention remain in archive</x:v>
      </x:c>
      <x:c r="K491" s="17" t="str">
        <x:v>Archive authority</x:v>
      </x:c>
      <x:c r="L491" s="9" t="n">
        <x:v>0</x:v>
      </x:c>
      <x:c r="M491" s="9" t="n">
        <x:v>0</x:v>
      </x:c>
      <x:c r="N491" s="9" t="str">
        <x:v>UNFILED / UNPROVEN</x:v>
      </x:c>
      <x:c r="O491" s="9" t="n">
        <x:f>COUNTIFS($A$7:$A$1302,A491)</x:f>
        <x:v>1</x:v>
      </x:c>
    </x:row>
    <x:row r="492">
      <x:c r="A492" s="9" t="str">
        <x:v>EV-AR-RT-B-C-TECH-3-B2-INT-G0-IV09</x:v>
      </x:c>
      <x:c r="B492" s="9" t="str">
        <x:v>EV-AR-RT-B-C-TECH-3-B2-INT-G0</x:v>
      </x:c>
      <x:c r="C492" s="9" t="str">
        <x:v>AR-RT-B-C-TECH-3-B2-INT-G0</x:v>
      </x:c>
      <x:c r="D492" s="9" t="str">
        <x:v>RT-B-C-TECH-3</x:v>
      </x:c>
      <x:c r="E492" s="9" t="str">
        <x:v>RT-B-C</x:v>
      </x:c>
      <x:c r="F492" s="9" t="str">
        <x:v>B2</x:v>
      </x:c>
      <x:c r="G492" s="9" t="str">
        <x:v>INT</x:v>
      </x:c>
      <x:c r="H492" s="9" t="str">
        <x:v>IV09</x:v>
      </x:c>
      <x:c r="I492" s="17" t="str">
        <x:v>Bounded remedy</x:v>
      </x:c>
      <x:c r="J492" s="17" t="str">
        <x:v>only a new slot and EOW may follow; no favorable credit or erased attempt</x:v>
      </x:c>
      <x:c r="K492" s="17" t="str">
        <x:v>Invalidity court</x:v>
      </x:c>
      <x:c r="L492" s="9" t="n">
        <x:v>0</x:v>
      </x:c>
      <x:c r="M492" s="9" t="n">
        <x:v>0</x:v>
      </x:c>
      <x:c r="N492" s="9" t="str">
        <x:v>UNFILED / UNPROVEN</x:v>
      </x:c>
      <x:c r="O492" s="9" t="n">
        <x:f>COUNTIFS($A$7:$A$1302,A492)</x:f>
        <x:v>1</x:v>
      </x:c>
    </x:row>
    <x:row r="493">
      <x:c r="A493" s="9" t="str">
        <x:v>EV-AR-ET-A-A-TECH-4-B2-RCN-G0-IV01</x:v>
      </x:c>
      <x:c r="B493" s="9" t="str">
        <x:v>EV-AR-ET-A-A-TECH-4-B2-RCN-G0</x:v>
      </x:c>
      <x:c r="C493" s="9" t="str">
        <x:v>AR-ET-A-A-TECH-4-B2-RCN-G0</x:v>
      </x:c>
      <x:c r="D493" s="9" t="str">
        <x:v>ET-A-A-TECH-4</x:v>
      </x:c>
      <x:c r="E493" s="9" t="str">
        <x:v>ET-A-A</x:v>
      </x:c>
      <x:c r="F493" s="9" t="str">
        <x:v>B2</x:v>
      </x:c>
      <x:c r="G493" s="9" t="str">
        <x:v>RCN</x:v>
      </x:c>
      <x:c r="H493" s="9" t="str">
        <x:v>IV01</x:v>
      </x:c>
      <x:c r="I493" s="17" t="str">
        <x:v>Timely petition</x:v>
      </x:c>
      <x:c r="J493" s="17" t="str">
        <x:v>petition enters within seventy-two hours of event close</x:v>
      </x:c>
      <x:c r="K493" s="17" t="str">
        <x:v>Invalidity registrar</x:v>
      </x:c>
      <x:c r="L493" s="9" t="n">
        <x:v>0</x:v>
      </x:c>
      <x:c r="M493" s="9" t="n">
        <x:v>0</x:v>
      </x:c>
      <x:c r="N493" s="9" t="str">
        <x:v>UNFILED / UNPROVEN</x:v>
      </x:c>
      <x:c r="O493" s="9" t="n">
        <x:f>COUNTIFS($A$7:$A$1302,A493)</x:f>
        <x:v>1</x:v>
      </x:c>
    </x:row>
    <x:row r="494">
      <x:c r="A494" s="9" t="str">
        <x:v>EV-AR-ET-A-A-TECH-4-B2-RCN-G0-IV02</x:v>
      </x:c>
      <x:c r="B494" s="9" t="str">
        <x:v>EV-AR-ET-A-A-TECH-4-B2-RCN-G0</x:v>
      </x:c>
      <x:c r="C494" s="9" t="str">
        <x:v>AR-ET-A-A-TECH-4-B2-RCN-G0</x:v>
      </x:c>
      <x:c r="D494" s="9" t="str">
        <x:v>ET-A-A-TECH-4</x:v>
      </x:c>
      <x:c r="E494" s="9" t="str">
        <x:v>ET-A-A</x:v>
      </x:c>
      <x:c r="F494" s="9" t="str">
        <x:v>B2</x:v>
      </x:c>
      <x:c r="G494" s="9" t="str">
        <x:v>RCN</x:v>
      </x:c>
      <x:c r="H494" s="9" t="str">
        <x:v>IV02</x:v>
      </x:c>
      <x:c r="I494" s="17" t="str">
        <x:v>Named facility cause</x:v>
      </x:c>
      <x:c r="J494" s="17" t="str">
        <x:v>one pre-registered noncandidate cause is identified</x:v>
      </x:c>
      <x:c r="K494" s="17" t="str">
        <x:v>Facility-cause court</x:v>
      </x:c>
      <x:c r="L494" s="9" t="n">
        <x:v>0</x:v>
      </x:c>
      <x:c r="M494" s="9" t="n">
        <x:v>0</x:v>
      </x:c>
      <x:c r="N494" s="9" t="str">
        <x:v>UNFILED / UNPROVEN</x:v>
      </x:c>
      <x:c r="O494" s="9" t="n">
        <x:f>COUNTIFS($A$7:$A$1302,A494)</x:f>
        <x:v>1</x:v>
      </x:c>
    </x:row>
    <x:row r="495">
      <x:c r="A495" s="9" t="str">
        <x:v>EV-AR-ET-A-A-TECH-4-B2-RCN-G0-IV03</x:v>
      </x:c>
      <x:c r="B495" s="9" t="str">
        <x:v>EV-AR-ET-A-A-TECH-4-B2-RCN-G0</x:v>
      </x:c>
      <x:c r="C495" s="9" t="str">
        <x:v>AR-ET-A-A-TECH-4-B2-RCN-G0</x:v>
      </x:c>
      <x:c r="D495" s="9" t="str">
        <x:v>ET-A-A-TECH-4</x:v>
      </x:c>
      <x:c r="E495" s="9" t="str">
        <x:v>ET-A-A</x:v>
      </x:c>
      <x:c r="F495" s="9" t="str">
        <x:v>B2</x:v>
      </x:c>
      <x:c r="G495" s="9" t="str">
        <x:v>RCN</x:v>
      </x:c>
      <x:c r="H495" s="9" t="str">
        <x:v>IV03</x:v>
      </x:c>
      <x:c r="I495" s="17" t="str">
        <x:v>Temporal priority</x:v>
      </x:c>
      <x:c r="J495" s="17" t="str">
        <x:v>cause demonstrably precedes the disputed candidate behavior</x:v>
      </x:c>
      <x:c r="K495" s="17" t="str">
        <x:v>Time authority</x:v>
      </x:c>
      <x:c r="L495" s="9" t="n">
        <x:v>0</x:v>
      </x:c>
      <x:c r="M495" s="9" t="n">
        <x:v>0</x:v>
      </x:c>
      <x:c r="N495" s="9" t="str">
        <x:v>UNFILED / UNPROVEN</x:v>
      </x:c>
      <x:c r="O495" s="9" t="n">
        <x:f>COUNTIFS($A$7:$A$1302,A495)</x:f>
        <x:v>1</x:v>
      </x:c>
    </x:row>
    <x:row r="496">
      <x:c r="A496" s="9" t="str">
        <x:v>EV-AR-ET-A-A-TECH-4-B2-RCN-G0-IV04</x:v>
      </x:c>
      <x:c r="B496" s="9" t="str">
        <x:v>EV-AR-ET-A-A-TECH-4-B2-RCN-G0</x:v>
      </x:c>
      <x:c r="C496" s="9" t="str">
        <x:v>AR-ET-A-A-TECH-4-B2-RCN-G0</x:v>
      </x:c>
      <x:c r="D496" s="9" t="str">
        <x:v>ET-A-A-TECH-4</x:v>
      </x:c>
      <x:c r="E496" s="9" t="str">
        <x:v>ET-A-A</x:v>
      </x:c>
      <x:c r="F496" s="9" t="str">
        <x:v>B2</x:v>
      </x:c>
      <x:c r="G496" s="9" t="str">
        <x:v>RCN</x:v>
      </x:c>
      <x:c r="H496" s="9" t="str">
        <x:v>IV04</x:v>
      </x:c>
      <x:c r="I496" s="17" t="str">
        <x:v>Independent trace</x:v>
      </x:c>
      <x:c r="J496" s="17" t="str">
        <x:v>two unlike records carry the cause without candidate custody</x:v>
      </x:c>
      <x:c r="K496" s="17" t="str">
        <x:v>Invalidity court</x:v>
      </x:c>
      <x:c r="L496" s="9" t="n">
        <x:v>0</x:v>
      </x:c>
      <x:c r="M496" s="9" t="n">
        <x:v>0</x:v>
      </x:c>
      <x:c r="N496" s="9" t="str">
        <x:v>UNFILED / UNPROVEN</x:v>
      </x:c>
      <x:c r="O496" s="9" t="n">
        <x:f>COUNTIFS($A$7:$A$1302,A496)</x:f>
        <x:v>1</x:v>
      </x:c>
    </x:row>
    <x:row r="497">
      <x:c r="A497" s="9" t="str">
        <x:v>EV-AR-ET-A-A-TECH-4-B2-RCN-G0-IV05</x:v>
      </x:c>
      <x:c r="B497" s="9" t="str">
        <x:v>EV-AR-ET-A-A-TECH-4-B2-RCN-G0</x:v>
      </x:c>
      <x:c r="C497" s="9" t="str">
        <x:v>AR-ET-A-A-TECH-4-B2-RCN-G0</x:v>
      </x:c>
      <x:c r="D497" s="9" t="str">
        <x:v>ET-A-A-TECH-4</x:v>
      </x:c>
      <x:c r="E497" s="9" t="str">
        <x:v>ET-A-A</x:v>
      </x:c>
      <x:c r="F497" s="9" t="str">
        <x:v>B2</x:v>
      </x:c>
      <x:c r="G497" s="9" t="str">
        <x:v>RCN</x:v>
      </x:c>
      <x:c r="H497" s="9" t="str">
        <x:v>IV05</x:v>
      </x:c>
      <x:c r="I497" s="17" t="str">
        <x:v>Causal counterfactual</x:v>
      </x:c>
      <x:c r="J497" s="17" t="str">
        <x:v>registered counterfactual shows the cause can create the defect</x:v>
      </x:c>
      <x:c r="K497" s="17" t="str">
        <x:v>Causal court</x:v>
      </x:c>
      <x:c r="L497" s="9" t="n">
        <x:v>0</x:v>
      </x:c>
      <x:c r="M497" s="9" t="n">
        <x:v>0</x:v>
      </x:c>
      <x:c r="N497" s="9" t="str">
        <x:v>UNFILED / UNPROVEN</x:v>
      </x:c>
      <x:c r="O497" s="9" t="n">
        <x:f>COUNTIFS($A$7:$A$1302,A497)</x:f>
        <x:v>1</x:v>
      </x:c>
    </x:row>
    <x:row r="498">
      <x:c r="A498" s="9" t="str">
        <x:v>EV-AR-ET-A-A-TECH-4-B2-RCN-G0-IV06</x:v>
      </x:c>
      <x:c r="B498" s="9" t="str">
        <x:v>EV-AR-ET-A-A-TECH-4-B2-RCN-G0</x:v>
      </x:c>
      <x:c r="C498" s="9" t="str">
        <x:v>AR-ET-A-A-TECH-4-B2-RCN-G0</x:v>
      </x:c>
      <x:c r="D498" s="9" t="str">
        <x:v>ET-A-A-TECH-4</x:v>
      </x:c>
      <x:c r="E498" s="9" t="str">
        <x:v>ET-A-A</x:v>
      </x:c>
      <x:c r="F498" s="9" t="str">
        <x:v>B2</x:v>
      </x:c>
      <x:c r="G498" s="9" t="str">
        <x:v>RCN</x:v>
      </x:c>
      <x:c r="H498" s="9" t="str">
        <x:v>IV06</x:v>
      </x:c>
      <x:c r="I498" s="17" t="str">
        <x:v>Candidate non-causation</x:v>
      </x:c>
      <x:c r="J498" s="17" t="str">
        <x:v>evidence excludes candidate induction of the facility condition</x:v>
      </x:c>
      <x:c r="K498" s="17" t="str">
        <x:v>Causal court</x:v>
      </x:c>
      <x:c r="L498" s="9" t="n">
        <x:v>0</x:v>
      </x:c>
      <x:c r="M498" s="9" t="n">
        <x:v>0</x:v>
      </x:c>
      <x:c r="N498" s="9" t="str">
        <x:v>UNFILED / UNPROVEN</x:v>
      </x:c>
      <x:c r="O498" s="9" t="n">
        <x:f>COUNTIFS($A$7:$A$1302,A498)</x:f>
        <x:v>1</x:v>
      </x:c>
    </x:row>
    <x:row r="499">
      <x:c r="A499" s="9" t="str">
        <x:v>EV-AR-ET-A-A-TECH-4-B2-RCN-G0-IV07</x:v>
      </x:c>
      <x:c r="B499" s="9" t="str">
        <x:v>EV-AR-ET-A-A-TECH-4-B2-RCN-G0</x:v>
      </x:c>
      <x:c r="C499" s="9" t="str">
        <x:v>AR-ET-A-A-TECH-4-B2-RCN-G0</x:v>
      </x:c>
      <x:c r="D499" s="9" t="str">
        <x:v>ET-A-A-TECH-4</x:v>
      </x:c>
      <x:c r="E499" s="9" t="str">
        <x:v>ET-A-A</x:v>
      </x:c>
      <x:c r="F499" s="9" t="str">
        <x:v>B2</x:v>
      </x:c>
      <x:c r="G499" s="9" t="str">
        <x:v>RCN</x:v>
      </x:c>
      <x:c r="H499" s="9" t="str">
        <x:v>IV07</x:v>
      </x:c>
      <x:c r="I499" s="17" t="str">
        <x:v>No outcome selection</x:v>
      </x:c>
      <x:c r="J499" s="17" t="str">
        <x:v>petition rule and evidence scope were fixed before visibility</x:v>
      </x:c>
      <x:c r="K499" s="17" t="str">
        <x:v>Conflict registrar</x:v>
      </x:c>
      <x:c r="L499" s="9" t="n">
        <x:v>0</x:v>
      </x:c>
      <x:c r="M499" s="9" t="n">
        <x:v>0</x:v>
      </x:c>
      <x:c r="N499" s="9" t="str">
        <x:v>UNFILED / UNPROVEN</x:v>
      </x:c>
      <x:c r="O499" s="9" t="n">
        <x:f>COUNTIFS($A$7:$A$1302,A499)</x:f>
        <x:v>1</x:v>
      </x:c>
    </x:row>
    <x:row r="500">
      <x:c r="A500" s="9" t="str">
        <x:v>EV-AR-ET-A-A-TECH-4-B2-RCN-G0-IV08</x:v>
      </x:c>
      <x:c r="B500" s="9" t="str">
        <x:v>EV-AR-ET-A-A-TECH-4-B2-RCN-G0</x:v>
      </x:c>
      <x:c r="C500" s="9" t="str">
        <x:v>AR-ET-A-A-TECH-4-B2-RCN-G0</x:v>
      </x:c>
      <x:c r="D500" s="9" t="str">
        <x:v>ET-A-A-TECH-4</x:v>
      </x:c>
      <x:c r="E500" s="9" t="str">
        <x:v>ET-A-A</x:v>
      </x:c>
      <x:c r="F500" s="9" t="str">
        <x:v>B2</x:v>
      </x:c>
      <x:c r="G500" s="9" t="str">
        <x:v>RCN</x:v>
      </x:c>
      <x:c r="H500" s="9" t="str">
        <x:v>IV08</x:v>
      </x:c>
      <x:c r="I500" s="17" t="str">
        <x:v>Whole-record preservation</x:v>
      </x:c>
      <x:c r="J500" s="17" t="str">
        <x:v>start, raw behavior, dissent and intervention remain in archive</x:v>
      </x:c>
      <x:c r="K500" s="17" t="str">
        <x:v>Archive authority</x:v>
      </x:c>
      <x:c r="L500" s="9" t="n">
        <x:v>0</x:v>
      </x:c>
      <x:c r="M500" s="9" t="n">
        <x:v>0</x:v>
      </x:c>
      <x:c r="N500" s="9" t="str">
        <x:v>UNFILED / UNPROVEN</x:v>
      </x:c>
      <x:c r="O500" s="9" t="n">
        <x:f>COUNTIFS($A$7:$A$1302,A500)</x:f>
        <x:v>1</x:v>
      </x:c>
    </x:row>
    <x:row r="501">
      <x:c r="A501" s="9" t="str">
        <x:v>EV-AR-ET-A-A-TECH-4-B2-RCN-G0-IV09</x:v>
      </x:c>
      <x:c r="B501" s="9" t="str">
        <x:v>EV-AR-ET-A-A-TECH-4-B2-RCN-G0</x:v>
      </x:c>
      <x:c r="C501" s="9" t="str">
        <x:v>AR-ET-A-A-TECH-4-B2-RCN-G0</x:v>
      </x:c>
      <x:c r="D501" s="9" t="str">
        <x:v>ET-A-A-TECH-4</x:v>
      </x:c>
      <x:c r="E501" s="9" t="str">
        <x:v>ET-A-A</x:v>
      </x:c>
      <x:c r="F501" s="9" t="str">
        <x:v>B2</x:v>
      </x:c>
      <x:c r="G501" s="9" t="str">
        <x:v>RCN</x:v>
      </x:c>
      <x:c r="H501" s="9" t="str">
        <x:v>IV09</x:v>
      </x:c>
      <x:c r="I501" s="17" t="str">
        <x:v>Bounded remedy</x:v>
      </x:c>
      <x:c r="J501" s="17" t="str">
        <x:v>only a new slot and EOW may follow; no favorable credit or erased attempt</x:v>
      </x:c>
      <x:c r="K501" s="17" t="str">
        <x:v>Invalidity court</x:v>
      </x:c>
      <x:c r="L501" s="9" t="n">
        <x:v>0</x:v>
      </x:c>
      <x:c r="M501" s="9" t="n">
        <x:v>0</x:v>
      </x:c>
      <x:c r="N501" s="9" t="str">
        <x:v>UNFILED / UNPROVEN</x:v>
      </x:c>
      <x:c r="O501" s="9" t="n">
        <x:f>COUNTIFS($A$7:$A$1302,A501)</x:f>
        <x:v>1</x:v>
      </x:c>
    </x:row>
    <x:row r="502">
      <x:c r="A502" s="9" t="str">
        <x:v>EV-AR-ET-A-A-TECH-1-B1-BRK-G0-IV01</x:v>
      </x:c>
      <x:c r="B502" s="9" t="str">
        <x:v>EV-AR-ET-A-A-TECH-1-B1-BRK-G0</x:v>
      </x:c>
      <x:c r="C502" s="9" t="str">
        <x:v>AR-ET-A-A-TECH-1-B1-BRK-G0</x:v>
      </x:c>
      <x:c r="D502" s="9" t="str">
        <x:v>ET-A-A-TECH-1</x:v>
      </x:c>
      <x:c r="E502" s="9" t="str">
        <x:v>ET-A-A</x:v>
      </x:c>
      <x:c r="F502" s="9" t="str">
        <x:v>B1</x:v>
      </x:c>
      <x:c r="G502" s="9" t="str">
        <x:v>BRK</x:v>
      </x:c>
      <x:c r="H502" s="9" t="str">
        <x:v>IV01</x:v>
      </x:c>
      <x:c r="I502" s="17" t="str">
        <x:v>Timely petition</x:v>
      </x:c>
      <x:c r="J502" s="17" t="str">
        <x:v>petition enters within seventy-two hours of event close</x:v>
      </x:c>
      <x:c r="K502" s="17" t="str">
        <x:v>Invalidity registrar</x:v>
      </x:c>
      <x:c r="L502" s="9" t="n">
        <x:v>0</x:v>
      </x:c>
      <x:c r="M502" s="9" t="n">
        <x:v>0</x:v>
      </x:c>
      <x:c r="N502" s="9" t="str">
        <x:v>UNFILED / UNPROVEN</x:v>
      </x:c>
      <x:c r="O502" s="9" t="n">
        <x:f>COUNTIFS($A$7:$A$1302,A502)</x:f>
        <x:v>1</x:v>
      </x:c>
    </x:row>
    <x:row r="503">
      <x:c r="A503" s="9" t="str">
        <x:v>EV-AR-ET-A-A-TECH-1-B1-BRK-G0-IV02</x:v>
      </x:c>
      <x:c r="B503" s="9" t="str">
        <x:v>EV-AR-ET-A-A-TECH-1-B1-BRK-G0</x:v>
      </x:c>
      <x:c r="C503" s="9" t="str">
        <x:v>AR-ET-A-A-TECH-1-B1-BRK-G0</x:v>
      </x:c>
      <x:c r="D503" s="9" t="str">
        <x:v>ET-A-A-TECH-1</x:v>
      </x:c>
      <x:c r="E503" s="9" t="str">
        <x:v>ET-A-A</x:v>
      </x:c>
      <x:c r="F503" s="9" t="str">
        <x:v>B1</x:v>
      </x:c>
      <x:c r="G503" s="9" t="str">
        <x:v>BRK</x:v>
      </x:c>
      <x:c r="H503" s="9" t="str">
        <x:v>IV02</x:v>
      </x:c>
      <x:c r="I503" s="17" t="str">
        <x:v>Named facility cause</x:v>
      </x:c>
      <x:c r="J503" s="17" t="str">
        <x:v>one pre-registered noncandidate cause is identified</x:v>
      </x:c>
      <x:c r="K503" s="17" t="str">
        <x:v>Facility-cause court</x:v>
      </x:c>
      <x:c r="L503" s="9" t="n">
        <x:v>0</x:v>
      </x:c>
      <x:c r="M503" s="9" t="n">
        <x:v>0</x:v>
      </x:c>
      <x:c r="N503" s="9" t="str">
        <x:v>UNFILED / UNPROVEN</x:v>
      </x:c>
      <x:c r="O503" s="9" t="n">
        <x:f>COUNTIFS($A$7:$A$1302,A503)</x:f>
        <x:v>1</x:v>
      </x:c>
    </x:row>
    <x:row r="504">
      <x:c r="A504" s="9" t="str">
        <x:v>EV-AR-ET-A-A-TECH-1-B1-BRK-G0-IV03</x:v>
      </x:c>
      <x:c r="B504" s="9" t="str">
        <x:v>EV-AR-ET-A-A-TECH-1-B1-BRK-G0</x:v>
      </x:c>
      <x:c r="C504" s="9" t="str">
        <x:v>AR-ET-A-A-TECH-1-B1-BRK-G0</x:v>
      </x:c>
      <x:c r="D504" s="9" t="str">
        <x:v>ET-A-A-TECH-1</x:v>
      </x:c>
      <x:c r="E504" s="9" t="str">
        <x:v>ET-A-A</x:v>
      </x:c>
      <x:c r="F504" s="9" t="str">
        <x:v>B1</x:v>
      </x:c>
      <x:c r="G504" s="9" t="str">
        <x:v>BRK</x:v>
      </x:c>
      <x:c r="H504" s="9" t="str">
        <x:v>IV03</x:v>
      </x:c>
      <x:c r="I504" s="17" t="str">
        <x:v>Temporal priority</x:v>
      </x:c>
      <x:c r="J504" s="17" t="str">
        <x:v>cause demonstrably precedes the disputed candidate behavior</x:v>
      </x:c>
      <x:c r="K504" s="17" t="str">
        <x:v>Time authority</x:v>
      </x:c>
      <x:c r="L504" s="9" t="n">
        <x:v>0</x:v>
      </x:c>
      <x:c r="M504" s="9" t="n">
        <x:v>0</x:v>
      </x:c>
      <x:c r="N504" s="9" t="str">
        <x:v>UNFILED / UNPROVEN</x:v>
      </x:c>
      <x:c r="O504" s="9" t="n">
        <x:f>COUNTIFS($A$7:$A$1302,A504)</x:f>
        <x:v>1</x:v>
      </x:c>
    </x:row>
    <x:row r="505">
      <x:c r="A505" s="9" t="str">
        <x:v>EV-AR-ET-A-A-TECH-1-B1-BRK-G0-IV04</x:v>
      </x:c>
      <x:c r="B505" s="9" t="str">
        <x:v>EV-AR-ET-A-A-TECH-1-B1-BRK-G0</x:v>
      </x:c>
      <x:c r="C505" s="9" t="str">
        <x:v>AR-ET-A-A-TECH-1-B1-BRK-G0</x:v>
      </x:c>
      <x:c r="D505" s="9" t="str">
        <x:v>ET-A-A-TECH-1</x:v>
      </x:c>
      <x:c r="E505" s="9" t="str">
        <x:v>ET-A-A</x:v>
      </x:c>
      <x:c r="F505" s="9" t="str">
        <x:v>B1</x:v>
      </x:c>
      <x:c r="G505" s="9" t="str">
        <x:v>BRK</x:v>
      </x:c>
      <x:c r="H505" s="9" t="str">
        <x:v>IV04</x:v>
      </x:c>
      <x:c r="I505" s="17" t="str">
        <x:v>Independent trace</x:v>
      </x:c>
      <x:c r="J505" s="17" t="str">
        <x:v>two unlike records carry the cause without candidate custody</x:v>
      </x:c>
      <x:c r="K505" s="17" t="str">
        <x:v>Invalidity court</x:v>
      </x:c>
      <x:c r="L505" s="9" t="n">
        <x:v>0</x:v>
      </x:c>
      <x:c r="M505" s="9" t="n">
        <x:v>0</x:v>
      </x:c>
      <x:c r="N505" s="9" t="str">
        <x:v>UNFILED / UNPROVEN</x:v>
      </x:c>
      <x:c r="O505" s="9" t="n">
        <x:f>COUNTIFS($A$7:$A$1302,A505)</x:f>
        <x:v>1</x:v>
      </x:c>
    </x:row>
    <x:row r="506">
      <x:c r="A506" s="9" t="str">
        <x:v>EV-AR-ET-A-A-TECH-1-B1-BRK-G0-IV05</x:v>
      </x:c>
      <x:c r="B506" s="9" t="str">
        <x:v>EV-AR-ET-A-A-TECH-1-B1-BRK-G0</x:v>
      </x:c>
      <x:c r="C506" s="9" t="str">
        <x:v>AR-ET-A-A-TECH-1-B1-BRK-G0</x:v>
      </x:c>
      <x:c r="D506" s="9" t="str">
        <x:v>ET-A-A-TECH-1</x:v>
      </x:c>
      <x:c r="E506" s="9" t="str">
        <x:v>ET-A-A</x:v>
      </x:c>
      <x:c r="F506" s="9" t="str">
        <x:v>B1</x:v>
      </x:c>
      <x:c r="G506" s="9" t="str">
        <x:v>BRK</x:v>
      </x:c>
      <x:c r="H506" s="9" t="str">
        <x:v>IV05</x:v>
      </x:c>
      <x:c r="I506" s="17" t="str">
        <x:v>Causal counterfactual</x:v>
      </x:c>
      <x:c r="J506" s="17" t="str">
        <x:v>registered counterfactual shows the cause can create the defect</x:v>
      </x:c>
      <x:c r="K506" s="17" t="str">
        <x:v>Causal court</x:v>
      </x:c>
      <x:c r="L506" s="9" t="n">
        <x:v>0</x:v>
      </x:c>
      <x:c r="M506" s="9" t="n">
        <x:v>0</x:v>
      </x:c>
      <x:c r="N506" s="9" t="str">
        <x:v>UNFILED / UNPROVEN</x:v>
      </x:c>
      <x:c r="O506" s="9" t="n">
        <x:f>COUNTIFS($A$7:$A$1302,A506)</x:f>
        <x:v>1</x:v>
      </x:c>
    </x:row>
    <x:row r="507">
      <x:c r="A507" s="9" t="str">
        <x:v>EV-AR-ET-A-A-TECH-1-B1-BRK-G0-IV06</x:v>
      </x:c>
      <x:c r="B507" s="9" t="str">
        <x:v>EV-AR-ET-A-A-TECH-1-B1-BRK-G0</x:v>
      </x:c>
      <x:c r="C507" s="9" t="str">
        <x:v>AR-ET-A-A-TECH-1-B1-BRK-G0</x:v>
      </x:c>
      <x:c r="D507" s="9" t="str">
        <x:v>ET-A-A-TECH-1</x:v>
      </x:c>
      <x:c r="E507" s="9" t="str">
        <x:v>ET-A-A</x:v>
      </x:c>
      <x:c r="F507" s="9" t="str">
        <x:v>B1</x:v>
      </x:c>
      <x:c r="G507" s="9" t="str">
        <x:v>BRK</x:v>
      </x:c>
      <x:c r="H507" s="9" t="str">
        <x:v>IV06</x:v>
      </x:c>
      <x:c r="I507" s="17" t="str">
        <x:v>Candidate non-causation</x:v>
      </x:c>
      <x:c r="J507" s="17" t="str">
        <x:v>evidence excludes candidate induction of the facility condition</x:v>
      </x:c>
      <x:c r="K507" s="17" t="str">
        <x:v>Causal court</x:v>
      </x:c>
      <x:c r="L507" s="9" t="n">
        <x:v>0</x:v>
      </x:c>
      <x:c r="M507" s="9" t="n">
        <x:v>0</x:v>
      </x:c>
      <x:c r="N507" s="9" t="str">
        <x:v>UNFILED / UNPROVEN</x:v>
      </x:c>
      <x:c r="O507" s="9" t="n">
        <x:f>COUNTIFS($A$7:$A$1302,A507)</x:f>
        <x:v>1</x:v>
      </x:c>
    </x:row>
    <x:row r="508">
      <x:c r="A508" s="9" t="str">
        <x:v>EV-AR-ET-A-A-TECH-1-B1-BRK-G0-IV07</x:v>
      </x:c>
      <x:c r="B508" s="9" t="str">
        <x:v>EV-AR-ET-A-A-TECH-1-B1-BRK-G0</x:v>
      </x:c>
      <x:c r="C508" s="9" t="str">
        <x:v>AR-ET-A-A-TECH-1-B1-BRK-G0</x:v>
      </x:c>
      <x:c r="D508" s="9" t="str">
        <x:v>ET-A-A-TECH-1</x:v>
      </x:c>
      <x:c r="E508" s="9" t="str">
        <x:v>ET-A-A</x:v>
      </x:c>
      <x:c r="F508" s="9" t="str">
        <x:v>B1</x:v>
      </x:c>
      <x:c r="G508" s="9" t="str">
        <x:v>BRK</x:v>
      </x:c>
      <x:c r="H508" s="9" t="str">
        <x:v>IV07</x:v>
      </x:c>
      <x:c r="I508" s="17" t="str">
        <x:v>No outcome selection</x:v>
      </x:c>
      <x:c r="J508" s="17" t="str">
        <x:v>petition rule and evidence scope were fixed before visibility</x:v>
      </x:c>
      <x:c r="K508" s="17" t="str">
        <x:v>Conflict registrar</x:v>
      </x:c>
      <x:c r="L508" s="9" t="n">
        <x:v>0</x:v>
      </x:c>
      <x:c r="M508" s="9" t="n">
        <x:v>0</x:v>
      </x:c>
      <x:c r="N508" s="9" t="str">
        <x:v>UNFILED / UNPROVEN</x:v>
      </x:c>
      <x:c r="O508" s="9" t="n">
        <x:f>COUNTIFS($A$7:$A$1302,A508)</x:f>
        <x:v>1</x:v>
      </x:c>
    </x:row>
    <x:row r="509">
      <x:c r="A509" s="9" t="str">
        <x:v>EV-AR-ET-A-A-TECH-1-B1-BRK-G0-IV08</x:v>
      </x:c>
      <x:c r="B509" s="9" t="str">
        <x:v>EV-AR-ET-A-A-TECH-1-B1-BRK-G0</x:v>
      </x:c>
      <x:c r="C509" s="9" t="str">
        <x:v>AR-ET-A-A-TECH-1-B1-BRK-G0</x:v>
      </x:c>
      <x:c r="D509" s="9" t="str">
        <x:v>ET-A-A-TECH-1</x:v>
      </x:c>
      <x:c r="E509" s="9" t="str">
        <x:v>ET-A-A</x:v>
      </x:c>
      <x:c r="F509" s="9" t="str">
        <x:v>B1</x:v>
      </x:c>
      <x:c r="G509" s="9" t="str">
        <x:v>BRK</x:v>
      </x:c>
      <x:c r="H509" s="9" t="str">
        <x:v>IV08</x:v>
      </x:c>
      <x:c r="I509" s="17" t="str">
        <x:v>Whole-record preservation</x:v>
      </x:c>
      <x:c r="J509" s="17" t="str">
        <x:v>start, raw behavior, dissent and intervention remain in archive</x:v>
      </x:c>
      <x:c r="K509" s="17" t="str">
        <x:v>Archive authority</x:v>
      </x:c>
      <x:c r="L509" s="9" t="n">
        <x:v>0</x:v>
      </x:c>
      <x:c r="M509" s="9" t="n">
        <x:v>0</x:v>
      </x:c>
      <x:c r="N509" s="9" t="str">
        <x:v>UNFILED / UNPROVEN</x:v>
      </x:c>
      <x:c r="O509" s="9" t="n">
        <x:f>COUNTIFS($A$7:$A$1302,A509)</x:f>
        <x:v>1</x:v>
      </x:c>
    </x:row>
    <x:row r="510">
      <x:c r="A510" s="9" t="str">
        <x:v>EV-AR-ET-A-A-TECH-1-B1-BRK-G0-IV09</x:v>
      </x:c>
      <x:c r="B510" s="9" t="str">
        <x:v>EV-AR-ET-A-A-TECH-1-B1-BRK-G0</x:v>
      </x:c>
      <x:c r="C510" s="9" t="str">
        <x:v>AR-ET-A-A-TECH-1-B1-BRK-G0</x:v>
      </x:c>
      <x:c r="D510" s="9" t="str">
        <x:v>ET-A-A-TECH-1</x:v>
      </x:c>
      <x:c r="E510" s="9" t="str">
        <x:v>ET-A-A</x:v>
      </x:c>
      <x:c r="F510" s="9" t="str">
        <x:v>B1</x:v>
      </x:c>
      <x:c r="G510" s="9" t="str">
        <x:v>BRK</x:v>
      </x:c>
      <x:c r="H510" s="9" t="str">
        <x:v>IV09</x:v>
      </x:c>
      <x:c r="I510" s="17" t="str">
        <x:v>Bounded remedy</x:v>
      </x:c>
      <x:c r="J510" s="17" t="str">
        <x:v>only a new slot and EOW may follow; no favorable credit or erased attempt</x:v>
      </x:c>
      <x:c r="K510" s="17" t="str">
        <x:v>Invalidity court</x:v>
      </x:c>
      <x:c r="L510" s="9" t="n">
        <x:v>0</x:v>
      </x:c>
      <x:c r="M510" s="9" t="n">
        <x:v>0</x:v>
      </x:c>
      <x:c r="N510" s="9" t="str">
        <x:v>UNFILED / UNPROVEN</x:v>
      </x:c>
      <x:c r="O510" s="9" t="n">
        <x:f>COUNTIFS($A$7:$A$1302,A510)</x:f>
        <x:v>1</x:v>
      </x:c>
    </x:row>
    <x:row r="511">
      <x:c r="A511" s="9" t="str">
        <x:v>EV-AR-HU-A-B-TECH-3-B1-BRK-G0-IV01</x:v>
      </x:c>
      <x:c r="B511" s="9" t="str">
        <x:v>EV-AR-HU-A-B-TECH-3-B1-BRK-G0</x:v>
      </x:c>
      <x:c r="C511" s="9" t="str">
        <x:v>AR-HU-A-B-TECH-3-B1-BRK-G0</x:v>
      </x:c>
      <x:c r="D511" s="9" t="str">
        <x:v>HU-A-B-TECH-3</x:v>
      </x:c>
      <x:c r="E511" s="9" t="str">
        <x:v>HU-A-B</x:v>
      </x:c>
      <x:c r="F511" s="9" t="str">
        <x:v>B1</x:v>
      </x:c>
      <x:c r="G511" s="9" t="str">
        <x:v>BRK</x:v>
      </x:c>
      <x:c r="H511" s="9" t="str">
        <x:v>IV01</x:v>
      </x:c>
      <x:c r="I511" s="17" t="str">
        <x:v>Timely petition</x:v>
      </x:c>
      <x:c r="J511" s="17" t="str">
        <x:v>petition enters within seventy-two hours of event close</x:v>
      </x:c>
      <x:c r="K511" s="17" t="str">
        <x:v>Invalidity registrar</x:v>
      </x:c>
      <x:c r="L511" s="9" t="n">
        <x:v>0</x:v>
      </x:c>
      <x:c r="M511" s="9" t="n">
        <x:v>0</x:v>
      </x:c>
      <x:c r="N511" s="9" t="str">
        <x:v>UNFILED / UNPROVEN</x:v>
      </x:c>
      <x:c r="O511" s="9" t="n">
        <x:f>COUNTIFS($A$7:$A$1302,A511)</x:f>
        <x:v>1</x:v>
      </x:c>
    </x:row>
    <x:row r="512">
      <x:c r="A512" s="9" t="str">
        <x:v>EV-AR-HU-A-B-TECH-3-B1-BRK-G0-IV02</x:v>
      </x:c>
      <x:c r="B512" s="9" t="str">
        <x:v>EV-AR-HU-A-B-TECH-3-B1-BRK-G0</x:v>
      </x:c>
      <x:c r="C512" s="9" t="str">
        <x:v>AR-HU-A-B-TECH-3-B1-BRK-G0</x:v>
      </x:c>
      <x:c r="D512" s="9" t="str">
        <x:v>HU-A-B-TECH-3</x:v>
      </x:c>
      <x:c r="E512" s="9" t="str">
        <x:v>HU-A-B</x:v>
      </x:c>
      <x:c r="F512" s="9" t="str">
        <x:v>B1</x:v>
      </x:c>
      <x:c r="G512" s="9" t="str">
        <x:v>BRK</x:v>
      </x:c>
      <x:c r="H512" s="9" t="str">
        <x:v>IV02</x:v>
      </x:c>
      <x:c r="I512" s="17" t="str">
        <x:v>Named facility cause</x:v>
      </x:c>
      <x:c r="J512" s="17" t="str">
        <x:v>one pre-registered noncandidate cause is identified</x:v>
      </x:c>
      <x:c r="K512" s="17" t="str">
        <x:v>Facility-cause court</x:v>
      </x:c>
      <x:c r="L512" s="9" t="n">
        <x:v>0</x:v>
      </x:c>
      <x:c r="M512" s="9" t="n">
        <x:v>0</x:v>
      </x:c>
      <x:c r="N512" s="9" t="str">
        <x:v>UNFILED / UNPROVEN</x:v>
      </x:c>
      <x:c r="O512" s="9" t="n">
        <x:f>COUNTIFS($A$7:$A$1302,A512)</x:f>
        <x:v>1</x:v>
      </x:c>
    </x:row>
    <x:row r="513">
      <x:c r="A513" s="9" t="str">
        <x:v>EV-AR-HU-A-B-TECH-3-B1-BRK-G0-IV03</x:v>
      </x:c>
      <x:c r="B513" s="9" t="str">
        <x:v>EV-AR-HU-A-B-TECH-3-B1-BRK-G0</x:v>
      </x:c>
      <x:c r="C513" s="9" t="str">
        <x:v>AR-HU-A-B-TECH-3-B1-BRK-G0</x:v>
      </x:c>
      <x:c r="D513" s="9" t="str">
        <x:v>HU-A-B-TECH-3</x:v>
      </x:c>
      <x:c r="E513" s="9" t="str">
        <x:v>HU-A-B</x:v>
      </x:c>
      <x:c r="F513" s="9" t="str">
        <x:v>B1</x:v>
      </x:c>
      <x:c r="G513" s="9" t="str">
        <x:v>BRK</x:v>
      </x:c>
      <x:c r="H513" s="9" t="str">
        <x:v>IV03</x:v>
      </x:c>
      <x:c r="I513" s="17" t="str">
        <x:v>Temporal priority</x:v>
      </x:c>
      <x:c r="J513" s="17" t="str">
        <x:v>cause demonstrably precedes the disputed candidate behavior</x:v>
      </x:c>
      <x:c r="K513" s="17" t="str">
        <x:v>Time authority</x:v>
      </x:c>
      <x:c r="L513" s="9" t="n">
        <x:v>0</x:v>
      </x:c>
      <x:c r="M513" s="9" t="n">
        <x:v>0</x:v>
      </x:c>
      <x:c r="N513" s="9" t="str">
        <x:v>UNFILED / UNPROVEN</x:v>
      </x:c>
      <x:c r="O513" s="9" t="n">
        <x:f>COUNTIFS($A$7:$A$1302,A513)</x:f>
        <x:v>1</x:v>
      </x:c>
    </x:row>
    <x:row r="514">
      <x:c r="A514" s="9" t="str">
        <x:v>EV-AR-HU-A-B-TECH-3-B1-BRK-G0-IV04</x:v>
      </x:c>
      <x:c r="B514" s="9" t="str">
        <x:v>EV-AR-HU-A-B-TECH-3-B1-BRK-G0</x:v>
      </x:c>
      <x:c r="C514" s="9" t="str">
        <x:v>AR-HU-A-B-TECH-3-B1-BRK-G0</x:v>
      </x:c>
      <x:c r="D514" s="9" t="str">
        <x:v>HU-A-B-TECH-3</x:v>
      </x:c>
      <x:c r="E514" s="9" t="str">
        <x:v>HU-A-B</x:v>
      </x:c>
      <x:c r="F514" s="9" t="str">
        <x:v>B1</x:v>
      </x:c>
      <x:c r="G514" s="9" t="str">
        <x:v>BRK</x:v>
      </x:c>
      <x:c r="H514" s="9" t="str">
        <x:v>IV04</x:v>
      </x:c>
      <x:c r="I514" s="17" t="str">
        <x:v>Independent trace</x:v>
      </x:c>
      <x:c r="J514" s="17" t="str">
        <x:v>two unlike records carry the cause without candidate custody</x:v>
      </x:c>
      <x:c r="K514" s="17" t="str">
        <x:v>Invalidity court</x:v>
      </x:c>
      <x:c r="L514" s="9" t="n">
        <x:v>0</x:v>
      </x:c>
      <x:c r="M514" s="9" t="n">
        <x:v>0</x:v>
      </x:c>
      <x:c r="N514" s="9" t="str">
        <x:v>UNFILED / UNPROVEN</x:v>
      </x:c>
      <x:c r="O514" s="9" t="n">
        <x:f>COUNTIFS($A$7:$A$1302,A514)</x:f>
        <x:v>1</x:v>
      </x:c>
    </x:row>
    <x:row r="515">
      <x:c r="A515" s="9" t="str">
        <x:v>EV-AR-HU-A-B-TECH-3-B1-BRK-G0-IV05</x:v>
      </x:c>
      <x:c r="B515" s="9" t="str">
        <x:v>EV-AR-HU-A-B-TECH-3-B1-BRK-G0</x:v>
      </x:c>
      <x:c r="C515" s="9" t="str">
        <x:v>AR-HU-A-B-TECH-3-B1-BRK-G0</x:v>
      </x:c>
      <x:c r="D515" s="9" t="str">
        <x:v>HU-A-B-TECH-3</x:v>
      </x:c>
      <x:c r="E515" s="9" t="str">
        <x:v>HU-A-B</x:v>
      </x:c>
      <x:c r="F515" s="9" t="str">
        <x:v>B1</x:v>
      </x:c>
      <x:c r="G515" s="9" t="str">
        <x:v>BRK</x:v>
      </x:c>
      <x:c r="H515" s="9" t="str">
        <x:v>IV05</x:v>
      </x:c>
      <x:c r="I515" s="17" t="str">
        <x:v>Causal counterfactual</x:v>
      </x:c>
      <x:c r="J515" s="17" t="str">
        <x:v>registered counterfactual shows the cause can create the defect</x:v>
      </x:c>
      <x:c r="K515" s="17" t="str">
        <x:v>Causal court</x:v>
      </x:c>
      <x:c r="L515" s="9" t="n">
        <x:v>0</x:v>
      </x:c>
      <x:c r="M515" s="9" t="n">
        <x:v>0</x:v>
      </x:c>
      <x:c r="N515" s="9" t="str">
        <x:v>UNFILED / UNPROVEN</x:v>
      </x:c>
      <x:c r="O515" s="9" t="n">
        <x:f>COUNTIFS($A$7:$A$1302,A515)</x:f>
        <x:v>1</x:v>
      </x:c>
    </x:row>
    <x:row r="516">
      <x:c r="A516" s="9" t="str">
        <x:v>EV-AR-HU-A-B-TECH-3-B1-BRK-G0-IV06</x:v>
      </x:c>
      <x:c r="B516" s="9" t="str">
        <x:v>EV-AR-HU-A-B-TECH-3-B1-BRK-G0</x:v>
      </x:c>
      <x:c r="C516" s="9" t="str">
        <x:v>AR-HU-A-B-TECH-3-B1-BRK-G0</x:v>
      </x:c>
      <x:c r="D516" s="9" t="str">
        <x:v>HU-A-B-TECH-3</x:v>
      </x:c>
      <x:c r="E516" s="9" t="str">
        <x:v>HU-A-B</x:v>
      </x:c>
      <x:c r="F516" s="9" t="str">
        <x:v>B1</x:v>
      </x:c>
      <x:c r="G516" s="9" t="str">
        <x:v>BRK</x:v>
      </x:c>
      <x:c r="H516" s="9" t="str">
        <x:v>IV06</x:v>
      </x:c>
      <x:c r="I516" s="17" t="str">
        <x:v>Candidate non-causation</x:v>
      </x:c>
      <x:c r="J516" s="17" t="str">
        <x:v>evidence excludes candidate induction of the facility condition</x:v>
      </x:c>
      <x:c r="K516" s="17" t="str">
        <x:v>Causal court</x:v>
      </x:c>
      <x:c r="L516" s="9" t="n">
        <x:v>0</x:v>
      </x:c>
      <x:c r="M516" s="9" t="n">
        <x:v>0</x:v>
      </x:c>
      <x:c r="N516" s="9" t="str">
        <x:v>UNFILED / UNPROVEN</x:v>
      </x:c>
      <x:c r="O516" s="9" t="n">
        <x:f>COUNTIFS($A$7:$A$1302,A516)</x:f>
        <x:v>1</x:v>
      </x:c>
    </x:row>
    <x:row r="517">
      <x:c r="A517" s="9" t="str">
        <x:v>EV-AR-HU-A-B-TECH-3-B1-BRK-G0-IV07</x:v>
      </x:c>
      <x:c r="B517" s="9" t="str">
        <x:v>EV-AR-HU-A-B-TECH-3-B1-BRK-G0</x:v>
      </x:c>
      <x:c r="C517" s="9" t="str">
        <x:v>AR-HU-A-B-TECH-3-B1-BRK-G0</x:v>
      </x:c>
      <x:c r="D517" s="9" t="str">
        <x:v>HU-A-B-TECH-3</x:v>
      </x:c>
      <x:c r="E517" s="9" t="str">
        <x:v>HU-A-B</x:v>
      </x:c>
      <x:c r="F517" s="9" t="str">
        <x:v>B1</x:v>
      </x:c>
      <x:c r="G517" s="9" t="str">
        <x:v>BRK</x:v>
      </x:c>
      <x:c r="H517" s="9" t="str">
        <x:v>IV07</x:v>
      </x:c>
      <x:c r="I517" s="17" t="str">
        <x:v>No outcome selection</x:v>
      </x:c>
      <x:c r="J517" s="17" t="str">
        <x:v>petition rule and evidence scope were fixed before visibility</x:v>
      </x:c>
      <x:c r="K517" s="17" t="str">
        <x:v>Conflict registrar</x:v>
      </x:c>
      <x:c r="L517" s="9" t="n">
        <x:v>0</x:v>
      </x:c>
      <x:c r="M517" s="9" t="n">
        <x:v>0</x:v>
      </x:c>
      <x:c r="N517" s="9" t="str">
        <x:v>UNFILED / UNPROVEN</x:v>
      </x:c>
      <x:c r="O517" s="9" t="n">
        <x:f>COUNTIFS($A$7:$A$1302,A517)</x:f>
        <x:v>1</x:v>
      </x:c>
    </x:row>
    <x:row r="518">
      <x:c r="A518" s="9" t="str">
        <x:v>EV-AR-HU-A-B-TECH-3-B1-BRK-G0-IV08</x:v>
      </x:c>
      <x:c r="B518" s="9" t="str">
        <x:v>EV-AR-HU-A-B-TECH-3-B1-BRK-G0</x:v>
      </x:c>
      <x:c r="C518" s="9" t="str">
        <x:v>AR-HU-A-B-TECH-3-B1-BRK-G0</x:v>
      </x:c>
      <x:c r="D518" s="9" t="str">
        <x:v>HU-A-B-TECH-3</x:v>
      </x:c>
      <x:c r="E518" s="9" t="str">
        <x:v>HU-A-B</x:v>
      </x:c>
      <x:c r="F518" s="9" t="str">
        <x:v>B1</x:v>
      </x:c>
      <x:c r="G518" s="9" t="str">
        <x:v>BRK</x:v>
      </x:c>
      <x:c r="H518" s="9" t="str">
        <x:v>IV08</x:v>
      </x:c>
      <x:c r="I518" s="17" t="str">
        <x:v>Whole-record preservation</x:v>
      </x:c>
      <x:c r="J518" s="17" t="str">
        <x:v>start, raw behavior, dissent and intervention remain in archive</x:v>
      </x:c>
      <x:c r="K518" s="17" t="str">
        <x:v>Archive authority</x:v>
      </x:c>
      <x:c r="L518" s="9" t="n">
        <x:v>0</x:v>
      </x:c>
      <x:c r="M518" s="9" t="n">
        <x:v>0</x:v>
      </x:c>
      <x:c r="N518" s="9" t="str">
        <x:v>UNFILED / UNPROVEN</x:v>
      </x:c>
      <x:c r="O518" s="9" t="n">
        <x:f>COUNTIFS($A$7:$A$1302,A518)</x:f>
        <x:v>1</x:v>
      </x:c>
    </x:row>
    <x:row r="519">
      <x:c r="A519" s="9" t="str">
        <x:v>EV-AR-HU-A-B-TECH-3-B1-BRK-G0-IV09</x:v>
      </x:c>
      <x:c r="B519" s="9" t="str">
        <x:v>EV-AR-HU-A-B-TECH-3-B1-BRK-G0</x:v>
      </x:c>
      <x:c r="C519" s="9" t="str">
        <x:v>AR-HU-A-B-TECH-3-B1-BRK-G0</x:v>
      </x:c>
      <x:c r="D519" s="9" t="str">
        <x:v>HU-A-B-TECH-3</x:v>
      </x:c>
      <x:c r="E519" s="9" t="str">
        <x:v>HU-A-B</x:v>
      </x:c>
      <x:c r="F519" s="9" t="str">
        <x:v>B1</x:v>
      </x:c>
      <x:c r="G519" s="9" t="str">
        <x:v>BRK</x:v>
      </x:c>
      <x:c r="H519" s="9" t="str">
        <x:v>IV09</x:v>
      </x:c>
      <x:c r="I519" s="17" t="str">
        <x:v>Bounded remedy</x:v>
      </x:c>
      <x:c r="J519" s="17" t="str">
        <x:v>only a new slot and EOW may follow; no favorable credit or erased attempt</x:v>
      </x:c>
      <x:c r="K519" s="17" t="str">
        <x:v>Invalidity court</x:v>
      </x:c>
      <x:c r="L519" s="9" t="n">
        <x:v>0</x:v>
      </x:c>
      <x:c r="M519" s="9" t="n">
        <x:v>0</x:v>
      </x:c>
      <x:c r="N519" s="9" t="str">
        <x:v>UNFILED / UNPROVEN</x:v>
      </x:c>
      <x:c r="O519" s="9" t="n">
        <x:f>COUNTIFS($A$7:$A$1302,A519)</x:f>
        <x:v>1</x:v>
      </x:c>
    </x:row>
    <x:row r="520">
      <x:c r="A520" s="9" t="str">
        <x:v>EV-AR-HU-A-B-TECH-2-B2-BRK-G0-IV01</x:v>
      </x:c>
      <x:c r="B520" s="9" t="str">
        <x:v>EV-AR-HU-A-B-TECH-2-B2-BRK-G0</x:v>
      </x:c>
      <x:c r="C520" s="9" t="str">
        <x:v>AR-HU-A-B-TECH-2-B2-BRK-G0</x:v>
      </x:c>
      <x:c r="D520" s="9" t="str">
        <x:v>HU-A-B-TECH-2</x:v>
      </x:c>
      <x:c r="E520" s="9" t="str">
        <x:v>HU-A-B</x:v>
      </x:c>
      <x:c r="F520" s="9" t="str">
        <x:v>B2</x:v>
      </x:c>
      <x:c r="G520" s="9" t="str">
        <x:v>BRK</x:v>
      </x:c>
      <x:c r="H520" s="9" t="str">
        <x:v>IV01</x:v>
      </x:c>
      <x:c r="I520" s="17" t="str">
        <x:v>Timely petition</x:v>
      </x:c>
      <x:c r="J520" s="17" t="str">
        <x:v>petition enters within seventy-two hours of event close</x:v>
      </x:c>
      <x:c r="K520" s="17" t="str">
        <x:v>Invalidity registrar</x:v>
      </x:c>
      <x:c r="L520" s="9" t="n">
        <x:v>0</x:v>
      </x:c>
      <x:c r="M520" s="9" t="n">
        <x:v>0</x:v>
      </x:c>
      <x:c r="N520" s="9" t="str">
        <x:v>UNFILED / UNPROVEN</x:v>
      </x:c>
      <x:c r="O520" s="9" t="n">
        <x:f>COUNTIFS($A$7:$A$1302,A520)</x:f>
        <x:v>1</x:v>
      </x:c>
    </x:row>
    <x:row r="521">
      <x:c r="A521" s="9" t="str">
        <x:v>EV-AR-HU-A-B-TECH-2-B2-BRK-G0-IV02</x:v>
      </x:c>
      <x:c r="B521" s="9" t="str">
        <x:v>EV-AR-HU-A-B-TECH-2-B2-BRK-G0</x:v>
      </x:c>
      <x:c r="C521" s="9" t="str">
        <x:v>AR-HU-A-B-TECH-2-B2-BRK-G0</x:v>
      </x:c>
      <x:c r="D521" s="9" t="str">
        <x:v>HU-A-B-TECH-2</x:v>
      </x:c>
      <x:c r="E521" s="9" t="str">
        <x:v>HU-A-B</x:v>
      </x:c>
      <x:c r="F521" s="9" t="str">
        <x:v>B2</x:v>
      </x:c>
      <x:c r="G521" s="9" t="str">
        <x:v>BRK</x:v>
      </x:c>
      <x:c r="H521" s="9" t="str">
        <x:v>IV02</x:v>
      </x:c>
      <x:c r="I521" s="17" t="str">
        <x:v>Named facility cause</x:v>
      </x:c>
      <x:c r="J521" s="17" t="str">
        <x:v>one pre-registered noncandidate cause is identified</x:v>
      </x:c>
      <x:c r="K521" s="17" t="str">
        <x:v>Facility-cause court</x:v>
      </x:c>
      <x:c r="L521" s="9" t="n">
        <x:v>0</x:v>
      </x:c>
      <x:c r="M521" s="9" t="n">
        <x:v>0</x:v>
      </x:c>
      <x:c r="N521" s="9" t="str">
        <x:v>UNFILED / UNPROVEN</x:v>
      </x:c>
      <x:c r="O521" s="9" t="n">
        <x:f>COUNTIFS($A$7:$A$1302,A521)</x:f>
        <x:v>1</x:v>
      </x:c>
    </x:row>
    <x:row r="522">
      <x:c r="A522" s="9" t="str">
        <x:v>EV-AR-HU-A-B-TECH-2-B2-BRK-G0-IV03</x:v>
      </x:c>
      <x:c r="B522" s="9" t="str">
        <x:v>EV-AR-HU-A-B-TECH-2-B2-BRK-G0</x:v>
      </x:c>
      <x:c r="C522" s="9" t="str">
        <x:v>AR-HU-A-B-TECH-2-B2-BRK-G0</x:v>
      </x:c>
      <x:c r="D522" s="9" t="str">
        <x:v>HU-A-B-TECH-2</x:v>
      </x:c>
      <x:c r="E522" s="9" t="str">
        <x:v>HU-A-B</x:v>
      </x:c>
      <x:c r="F522" s="9" t="str">
        <x:v>B2</x:v>
      </x:c>
      <x:c r="G522" s="9" t="str">
        <x:v>BRK</x:v>
      </x:c>
      <x:c r="H522" s="9" t="str">
        <x:v>IV03</x:v>
      </x:c>
      <x:c r="I522" s="17" t="str">
        <x:v>Temporal priority</x:v>
      </x:c>
      <x:c r="J522" s="17" t="str">
        <x:v>cause demonstrably precedes the disputed candidate behavior</x:v>
      </x:c>
      <x:c r="K522" s="17" t="str">
        <x:v>Time authority</x:v>
      </x:c>
      <x:c r="L522" s="9" t="n">
        <x:v>0</x:v>
      </x:c>
      <x:c r="M522" s="9" t="n">
        <x:v>0</x:v>
      </x:c>
      <x:c r="N522" s="9" t="str">
        <x:v>UNFILED / UNPROVEN</x:v>
      </x:c>
      <x:c r="O522" s="9" t="n">
        <x:f>COUNTIFS($A$7:$A$1302,A522)</x:f>
        <x:v>1</x:v>
      </x:c>
    </x:row>
    <x:row r="523">
      <x:c r="A523" s="9" t="str">
        <x:v>EV-AR-HU-A-B-TECH-2-B2-BRK-G0-IV04</x:v>
      </x:c>
      <x:c r="B523" s="9" t="str">
        <x:v>EV-AR-HU-A-B-TECH-2-B2-BRK-G0</x:v>
      </x:c>
      <x:c r="C523" s="9" t="str">
        <x:v>AR-HU-A-B-TECH-2-B2-BRK-G0</x:v>
      </x:c>
      <x:c r="D523" s="9" t="str">
        <x:v>HU-A-B-TECH-2</x:v>
      </x:c>
      <x:c r="E523" s="9" t="str">
        <x:v>HU-A-B</x:v>
      </x:c>
      <x:c r="F523" s="9" t="str">
        <x:v>B2</x:v>
      </x:c>
      <x:c r="G523" s="9" t="str">
        <x:v>BRK</x:v>
      </x:c>
      <x:c r="H523" s="9" t="str">
        <x:v>IV04</x:v>
      </x:c>
      <x:c r="I523" s="17" t="str">
        <x:v>Independent trace</x:v>
      </x:c>
      <x:c r="J523" s="17" t="str">
        <x:v>two unlike records carry the cause without candidate custody</x:v>
      </x:c>
      <x:c r="K523" s="17" t="str">
        <x:v>Invalidity court</x:v>
      </x:c>
      <x:c r="L523" s="9" t="n">
        <x:v>0</x:v>
      </x:c>
      <x:c r="M523" s="9" t="n">
        <x:v>0</x:v>
      </x:c>
      <x:c r="N523" s="9" t="str">
        <x:v>UNFILED / UNPROVEN</x:v>
      </x:c>
      <x:c r="O523" s="9" t="n">
        <x:f>COUNTIFS($A$7:$A$1302,A523)</x:f>
        <x:v>1</x:v>
      </x:c>
    </x:row>
    <x:row r="524">
      <x:c r="A524" s="9" t="str">
        <x:v>EV-AR-HU-A-B-TECH-2-B2-BRK-G0-IV05</x:v>
      </x:c>
      <x:c r="B524" s="9" t="str">
        <x:v>EV-AR-HU-A-B-TECH-2-B2-BRK-G0</x:v>
      </x:c>
      <x:c r="C524" s="9" t="str">
        <x:v>AR-HU-A-B-TECH-2-B2-BRK-G0</x:v>
      </x:c>
      <x:c r="D524" s="9" t="str">
        <x:v>HU-A-B-TECH-2</x:v>
      </x:c>
      <x:c r="E524" s="9" t="str">
        <x:v>HU-A-B</x:v>
      </x:c>
      <x:c r="F524" s="9" t="str">
        <x:v>B2</x:v>
      </x:c>
      <x:c r="G524" s="9" t="str">
        <x:v>BRK</x:v>
      </x:c>
      <x:c r="H524" s="9" t="str">
        <x:v>IV05</x:v>
      </x:c>
      <x:c r="I524" s="17" t="str">
        <x:v>Causal counterfactual</x:v>
      </x:c>
      <x:c r="J524" s="17" t="str">
        <x:v>registered counterfactual shows the cause can create the defect</x:v>
      </x:c>
      <x:c r="K524" s="17" t="str">
        <x:v>Causal court</x:v>
      </x:c>
      <x:c r="L524" s="9" t="n">
        <x:v>0</x:v>
      </x:c>
      <x:c r="M524" s="9" t="n">
        <x:v>0</x:v>
      </x:c>
      <x:c r="N524" s="9" t="str">
        <x:v>UNFILED / UNPROVEN</x:v>
      </x:c>
      <x:c r="O524" s="9" t="n">
        <x:f>COUNTIFS($A$7:$A$1302,A524)</x:f>
        <x:v>1</x:v>
      </x:c>
    </x:row>
    <x:row r="525">
      <x:c r="A525" s="9" t="str">
        <x:v>EV-AR-HU-A-B-TECH-2-B2-BRK-G0-IV06</x:v>
      </x:c>
      <x:c r="B525" s="9" t="str">
        <x:v>EV-AR-HU-A-B-TECH-2-B2-BRK-G0</x:v>
      </x:c>
      <x:c r="C525" s="9" t="str">
        <x:v>AR-HU-A-B-TECH-2-B2-BRK-G0</x:v>
      </x:c>
      <x:c r="D525" s="9" t="str">
        <x:v>HU-A-B-TECH-2</x:v>
      </x:c>
      <x:c r="E525" s="9" t="str">
        <x:v>HU-A-B</x:v>
      </x:c>
      <x:c r="F525" s="9" t="str">
        <x:v>B2</x:v>
      </x:c>
      <x:c r="G525" s="9" t="str">
        <x:v>BRK</x:v>
      </x:c>
      <x:c r="H525" s="9" t="str">
        <x:v>IV06</x:v>
      </x:c>
      <x:c r="I525" s="17" t="str">
        <x:v>Candidate non-causation</x:v>
      </x:c>
      <x:c r="J525" s="17" t="str">
        <x:v>evidence excludes candidate induction of the facility condition</x:v>
      </x:c>
      <x:c r="K525" s="17" t="str">
        <x:v>Causal court</x:v>
      </x:c>
      <x:c r="L525" s="9" t="n">
        <x:v>0</x:v>
      </x:c>
      <x:c r="M525" s="9" t="n">
        <x:v>0</x:v>
      </x:c>
      <x:c r="N525" s="9" t="str">
        <x:v>UNFILED / UNPROVEN</x:v>
      </x:c>
      <x:c r="O525" s="9" t="n">
        <x:f>COUNTIFS($A$7:$A$1302,A525)</x:f>
        <x:v>1</x:v>
      </x:c>
    </x:row>
    <x:row r="526">
      <x:c r="A526" s="9" t="str">
        <x:v>EV-AR-HU-A-B-TECH-2-B2-BRK-G0-IV07</x:v>
      </x:c>
      <x:c r="B526" s="9" t="str">
        <x:v>EV-AR-HU-A-B-TECH-2-B2-BRK-G0</x:v>
      </x:c>
      <x:c r="C526" s="9" t="str">
        <x:v>AR-HU-A-B-TECH-2-B2-BRK-G0</x:v>
      </x:c>
      <x:c r="D526" s="9" t="str">
        <x:v>HU-A-B-TECH-2</x:v>
      </x:c>
      <x:c r="E526" s="9" t="str">
        <x:v>HU-A-B</x:v>
      </x:c>
      <x:c r="F526" s="9" t="str">
        <x:v>B2</x:v>
      </x:c>
      <x:c r="G526" s="9" t="str">
        <x:v>BRK</x:v>
      </x:c>
      <x:c r="H526" s="9" t="str">
        <x:v>IV07</x:v>
      </x:c>
      <x:c r="I526" s="17" t="str">
        <x:v>No outcome selection</x:v>
      </x:c>
      <x:c r="J526" s="17" t="str">
        <x:v>petition rule and evidence scope were fixed before visibility</x:v>
      </x:c>
      <x:c r="K526" s="17" t="str">
        <x:v>Conflict registrar</x:v>
      </x:c>
      <x:c r="L526" s="9" t="n">
        <x:v>0</x:v>
      </x:c>
      <x:c r="M526" s="9" t="n">
        <x:v>0</x:v>
      </x:c>
      <x:c r="N526" s="9" t="str">
        <x:v>UNFILED / UNPROVEN</x:v>
      </x:c>
      <x:c r="O526" s="9" t="n">
        <x:f>COUNTIFS($A$7:$A$1302,A526)</x:f>
        <x:v>1</x:v>
      </x:c>
    </x:row>
    <x:row r="527">
      <x:c r="A527" s="9" t="str">
        <x:v>EV-AR-HU-A-B-TECH-2-B2-BRK-G0-IV08</x:v>
      </x:c>
      <x:c r="B527" s="9" t="str">
        <x:v>EV-AR-HU-A-B-TECH-2-B2-BRK-G0</x:v>
      </x:c>
      <x:c r="C527" s="9" t="str">
        <x:v>AR-HU-A-B-TECH-2-B2-BRK-G0</x:v>
      </x:c>
      <x:c r="D527" s="9" t="str">
        <x:v>HU-A-B-TECH-2</x:v>
      </x:c>
      <x:c r="E527" s="9" t="str">
        <x:v>HU-A-B</x:v>
      </x:c>
      <x:c r="F527" s="9" t="str">
        <x:v>B2</x:v>
      </x:c>
      <x:c r="G527" s="9" t="str">
        <x:v>BRK</x:v>
      </x:c>
      <x:c r="H527" s="9" t="str">
        <x:v>IV08</x:v>
      </x:c>
      <x:c r="I527" s="17" t="str">
        <x:v>Whole-record preservation</x:v>
      </x:c>
      <x:c r="J527" s="17" t="str">
        <x:v>start, raw behavior, dissent and intervention remain in archive</x:v>
      </x:c>
      <x:c r="K527" s="17" t="str">
        <x:v>Archive authority</x:v>
      </x:c>
      <x:c r="L527" s="9" t="n">
        <x:v>0</x:v>
      </x:c>
      <x:c r="M527" s="9" t="n">
        <x:v>0</x:v>
      </x:c>
      <x:c r="N527" s="9" t="str">
        <x:v>UNFILED / UNPROVEN</x:v>
      </x:c>
      <x:c r="O527" s="9" t="n">
        <x:f>COUNTIFS($A$7:$A$1302,A527)</x:f>
        <x:v>1</x:v>
      </x:c>
    </x:row>
    <x:row r="528">
      <x:c r="A528" s="9" t="str">
        <x:v>EV-AR-HU-A-B-TECH-2-B2-BRK-G0-IV09</x:v>
      </x:c>
      <x:c r="B528" s="9" t="str">
        <x:v>EV-AR-HU-A-B-TECH-2-B2-BRK-G0</x:v>
      </x:c>
      <x:c r="C528" s="9" t="str">
        <x:v>AR-HU-A-B-TECH-2-B2-BRK-G0</x:v>
      </x:c>
      <x:c r="D528" s="9" t="str">
        <x:v>HU-A-B-TECH-2</x:v>
      </x:c>
      <x:c r="E528" s="9" t="str">
        <x:v>HU-A-B</x:v>
      </x:c>
      <x:c r="F528" s="9" t="str">
        <x:v>B2</x:v>
      </x:c>
      <x:c r="G528" s="9" t="str">
        <x:v>BRK</x:v>
      </x:c>
      <x:c r="H528" s="9" t="str">
        <x:v>IV09</x:v>
      </x:c>
      <x:c r="I528" s="17" t="str">
        <x:v>Bounded remedy</x:v>
      </x:c>
      <x:c r="J528" s="17" t="str">
        <x:v>only a new slot and EOW may follow; no favorable credit or erased attempt</x:v>
      </x:c>
      <x:c r="K528" s="17" t="str">
        <x:v>Invalidity court</x:v>
      </x:c>
      <x:c r="L528" s="9" t="n">
        <x:v>0</x:v>
      </x:c>
      <x:c r="M528" s="9" t="n">
        <x:v>0</x:v>
      </x:c>
      <x:c r="N528" s="9" t="str">
        <x:v>UNFILED / UNPROVEN</x:v>
      </x:c>
      <x:c r="O528" s="9" t="n">
        <x:f>COUNTIFS($A$7:$A$1302,A528)</x:f>
        <x:v>1</x:v>
      </x:c>
    </x:row>
    <x:row r="529">
      <x:c r="A529" s="9" t="str">
        <x:v>EV-AR-LF-B-A-TECH-2-B1-RCN-G0-IV01</x:v>
      </x:c>
      <x:c r="B529" s="9" t="str">
        <x:v>EV-AR-LF-B-A-TECH-2-B1-RCN-G0</x:v>
      </x:c>
      <x:c r="C529" s="9" t="str">
        <x:v>AR-LF-B-A-TECH-2-B1-RCN-G0</x:v>
      </x:c>
      <x:c r="D529" s="9" t="str">
        <x:v>LF-B-A-TECH-2</x:v>
      </x:c>
      <x:c r="E529" s="9" t="str">
        <x:v>LF-B-A</x:v>
      </x:c>
      <x:c r="F529" s="9" t="str">
        <x:v>B1</x:v>
      </x:c>
      <x:c r="G529" s="9" t="str">
        <x:v>RCN</x:v>
      </x:c>
      <x:c r="H529" s="9" t="str">
        <x:v>IV01</x:v>
      </x:c>
      <x:c r="I529" s="17" t="str">
        <x:v>Timely petition</x:v>
      </x:c>
      <x:c r="J529" s="17" t="str">
        <x:v>petition enters within seventy-two hours of event close</x:v>
      </x:c>
      <x:c r="K529" s="17" t="str">
        <x:v>Invalidity registrar</x:v>
      </x:c>
      <x:c r="L529" s="9" t="n">
        <x:v>0</x:v>
      </x:c>
      <x:c r="M529" s="9" t="n">
        <x:v>0</x:v>
      </x:c>
      <x:c r="N529" s="9" t="str">
        <x:v>UNFILED / UNPROVEN</x:v>
      </x:c>
      <x:c r="O529" s="9" t="n">
        <x:f>COUNTIFS($A$7:$A$1302,A529)</x:f>
        <x:v>1</x:v>
      </x:c>
    </x:row>
    <x:row r="530">
      <x:c r="A530" s="9" t="str">
        <x:v>EV-AR-LF-B-A-TECH-2-B1-RCN-G0-IV02</x:v>
      </x:c>
      <x:c r="B530" s="9" t="str">
        <x:v>EV-AR-LF-B-A-TECH-2-B1-RCN-G0</x:v>
      </x:c>
      <x:c r="C530" s="9" t="str">
        <x:v>AR-LF-B-A-TECH-2-B1-RCN-G0</x:v>
      </x:c>
      <x:c r="D530" s="9" t="str">
        <x:v>LF-B-A-TECH-2</x:v>
      </x:c>
      <x:c r="E530" s="9" t="str">
        <x:v>LF-B-A</x:v>
      </x:c>
      <x:c r="F530" s="9" t="str">
        <x:v>B1</x:v>
      </x:c>
      <x:c r="G530" s="9" t="str">
        <x:v>RCN</x:v>
      </x:c>
      <x:c r="H530" s="9" t="str">
        <x:v>IV02</x:v>
      </x:c>
      <x:c r="I530" s="17" t="str">
        <x:v>Named facility cause</x:v>
      </x:c>
      <x:c r="J530" s="17" t="str">
        <x:v>one pre-registered noncandidate cause is identified</x:v>
      </x:c>
      <x:c r="K530" s="17" t="str">
        <x:v>Facility-cause court</x:v>
      </x:c>
      <x:c r="L530" s="9" t="n">
        <x:v>0</x:v>
      </x:c>
      <x:c r="M530" s="9" t="n">
        <x:v>0</x:v>
      </x:c>
      <x:c r="N530" s="9" t="str">
        <x:v>UNFILED / UNPROVEN</x:v>
      </x:c>
      <x:c r="O530" s="9" t="n">
        <x:f>COUNTIFS($A$7:$A$1302,A530)</x:f>
        <x:v>1</x:v>
      </x:c>
    </x:row>
    <x:row r="531">
      <x:c r="A531" s="9" t="str">
        <x:v>EV-AR-LF-B-A-TECH-2-B1-RCN-G0-IV03</x:v>
      </x:c>
      <x:c r="B531" s="9" t="str">
        <x:v>EV-AR-LF-B-A-TECH-2-B1-RCN-G0</x:v>
      </x:c>
      <x:c r="C531" s="9" t="str">
        <x:v>AR-LF-B-A-TECH-2-B1-RCN-G0</x:v>
      </x:c>
      <x:c r="D531" s="9" t="str">
        <x:v>LF-B-A-TECH-2</x:v>
      </x:c>
      <x:c r="E531" s="9" t="str">
        <x:v>LF-B-A</x:v>
      </x:c>
      <x:c r="F531" s="9" t="str">
        <x:v>B1</x:v>
      </x:c>
      <x:c r="G531" s="9" t="str">
        <x:v>RCN</x:v>
      </x:c>
      <x:c r="H531" s="9" t="str">
        <x:v>IV03</x:v>
      </x:c>
      <x:c r="I531" s="17" t="str">
        <x:v>Temporal priority</x:v>
      </x:c>
      <x:c r="J531" s="17" t="str">
        <x:v>cause demonstrably precedes the disputed candidate behavior</x:v>
      </x:c>
      <x:c r="K531" s="17" t="str">
        <x:v>Time authority</x:v>
      </x:c>
      <x:c r="L531" s="9" t="n">
        <x:v>0</x:v>
      </x:c>
      <x:c r="M531" s="9" t="n">
        <x:v>0</x:v>
      </x:c>
      <x:c r="N531" s="9" t="str">
        <x:v>UNFILED / UNPROVEN</x:v>
      </x:c>
      <x:c r="O531" s="9" t="n">
        <x:f>COUNTIFS($A$7:$A$1302,A531)</x:f>
        <x:v>1</x:v>
      </x:c>
    </x:row>
    <x:row r="532">
      <x:c r="A532" s="9" t="str">
        <x:v>EV-AR-LF-B-A-TECH-2-B1-RCN-G0-IV04</x:v>
      </x:c>
      <x:c r="B532" s="9" t="str">
        <x:v>EV-AR-LF-B-A-TECH-2-B1-RCN-G0</x:v>
      </x:c>
      <x:c r="C532" s="9" t="str">
        <x:v>AR-LF-B-A-TECH-2-B1-RCN-G0</x:v>
      </x:c>
      <x:c r="D532" s="9" t="str">
        <x:v>LF-B-A-TECH-2</x:v>
      </x:c>
      <x:c r="E532" s="9" t="str">
        <x:v>LF-B-A</x:v>
      </x:c>
      <x:c r="F532" s="9" t="str">
        <x:v>B1</x:v>
      </x:c>
      <x:c r="G532" s="9" t="str">
        <x:v>RCN</x:v>
      </x:c>
      <x:c r="H532" s="9" t="str">
        <x:v>IV04</x:v>
      </x:c>
      <x:c r="I532" s="17" t="str">
        <x:v>Independent trace</x:v>
      </x:c>
      <x:c r="J532" s="17" t="str">
        <x:v>two unlike records carry the cause without candidate custody</x:v>
      </x:c>
      <x:c r="K532" s="17" t="str">
        <x:v>Invalidity court</x:v>
      </x:c>
      <x:c r="L532" s="9" t="n">
        <x:v>0</x:v>
      </x:c>
      <x:c r="M532" s="9" t="n">
        <x:v>0</x:v>
      </x:c>
      <x:c r="N532" s="9" t="str">
        <x:v>UNFILED / UNPROVEN</x:v>
      </x:c>
      <x:c r="O532" s="9" t="n">
        <x:f>COUNTIFS($A$7:$A$1302,A532)</x:f>
        <x:v>1</x:v>
      </x:c>
    </x:row>
    <x:row r="533">
      <x:c r="A533" s="9" t="str">
        <x:v>EV-AR-LF-B-A-TECH-2-B1-RCN-G0-IV05</x:v>
      </x:c>
      <x:c r="B533" s="9" t="str">
        <x:v>EV-AR-LF-B-A-TECH-2-B1-RCN-G0</x:v>
      </x:c>
      <x:c r="C533" s="9" t="str">
        <x:v>AR-LF-B-A-TECH-2-B1-RCN-G0</x:v>
      </x:c>
      <x:c r="D533" s="9" t="str">
        <x:v>LF-B-A-TECH-2</x:v>
      </x:c>
      <x:c r="E533" s="9" t="str">
        <x:v>LF-B-A</x:v>
      </x:c>
      <x:c r="F533" s="9" t="str">
        <x:v>B1</x:v>
      </x:c>
      <x:c r="G533" s="9" t="str">
        <x:v>RCN</x:v>
      </x:c>
      <x:c r="H533" s="9" t="str">
        <x:v>IV05</x:v>
      </x:c>
      <x:c r="I533" s="17" t="str">
        <x:v>Causal counterfactual</x:v>
      </x:c>
      <x:c r="J533" s="17" t="str">
        <x:v>registered counterfactual shows the cause can create the defect</x:v>
      </x:c>
      <x:c r="K533" s="17" t="str">
        <x:v>Causal court</x:v>
      </x:c>
      <x:c r="L533" s="9" t="n">
        <x:v>0</x:v>
      </x:c>
      <x:c r="M533" s="9" t="n">
        <x:v>0</x:v>
      </x:c>
      <x:c r="N533" s="9" t="str">
        <x:v>UNFILED / UNPROVEN</x:v>
      </x:c>
      <x:c r="O533" s="9" t="n">
        <x:f>COUNTIFS($A$7:$A$1302,A533)</x:f>
        <x:v>1</x:v>
      </x:c>
    </x:row>
    <x:row r="534">
      <x:c r="A534" s="9" t="str">
        <x:v>EV-AR-LF-B-A-TECH-2-B1-RCN-G0-IV06</x:v>
      </x:c>
      <x:c r="B534" s="9" t="str">
        <x:v>EV-AR-LF-B-A-TECH-2-B1-RCN-G0</x:v>
      </x:c>
      <x:c r="C534" s="9" t="str">
        <x:v>AR-LF-B-A-TECH-2-B1-RCN-G0</x:v>
      </x:c>
      <x:c r="D534" s="9" t="str">
        <x:v>LF-B-A-TECH-2</x:v>
      </x:c>
      <x:c r="E534" s="9" t="str">
        <x:v>LF-B-A</x:v>
      </x:c>
      <x:c r="F534" s="9" t="str">
        <x:v>B1</x:v>
      </x:c>
      <x:c r="G534" s="9" t="str">
        <x:v>RCN</x:v>
      </x:c>
      <x:c r="H534" s="9" t="str">
        <x:v>IV06</x:v>
      </x:c>
      <x:c r="I534" s="17" t="str">
        <x:v>Candidate non-causation</x:v>
      </x:c>
      <x:c r="J534" s="17" t="str">
        <x:v>evidence excludes candidate induction of the facility condition</x:v>
      </x:c>
      <x:c r="K534" s="17" t="str">
        <x:v>Causal court</x:v>
      </x:c>
      <x:c r="L534" s="9" t="n">
        <x:v>0</x:v>
      </x:c>
      <x:c r="M534" s="9" t="n">
        <x:v>0</x:v>
      </x:c>
      <x:c r="N534" s="9" t="str">
        <x:v>UNFILED / UNPROVEN</x:v>
      </x:c>
      <x:c r="O534" s="9" t="n">
        <x:f>COUNTIFS($A$7:$A$1302,A534)</x:f>
        <x:v>1</x:v>
      </x:c>
    </x:row>
    <x:row r="535">
      <x:c r="A535" s="9" t="str">
        <x:v>EV-AR-LF-B-A-TECH-2-B1-RCN-G0-IV07</x:v>
      </x:c>
      <x:c r="B535" s="9" t="str">
        <x:v>EV-AR-LF-B-A-TECH-2-B1-RCN-G0</x:v>
      </x:c>
      <x:c r="C535" s="9" t="str">
        <x:v>AR-LF-B-A-TECH-2-B1-RCN-G0</x:v>
      </x:c>
      <x:c r="D535" s="9" t="str">
        <x:v>LF-B-A-TECH-2</x:v>
      </x:c>
      <x:c r="E535" s="9" t="str">
        <x:v>LF-B-A</x:v>
      </x:c>
      <x:c r="F535" s="9" t="str">
        <x:v>B1</x:v>
      </x:c>
      <x:c r="G535" s="9" t="str">
        <x:v>RCN</x:v>
      </x:c>
      <x:c r="H535" s="9" t="str">
        <x:v>IV07</x:v>
      </x:c>
      <x:c r="I535" s="17" t="str">
        <x:v>No outcome selection</x:v>
      </x:c>
      <x:c r="J535" s="17" t="str">
        <x:v>petition rule and evidence scope were fixed before visibility</x:v>
      </x:c>
      <x:c r="K535" s="17" t="str">
        <x:v>Conflict registrar</x:v>
      </x:c>
      <x:c r="L535" s="9" t="n">
        <x:v>0</x:v>
      </x:c>
      <x:c r="M535" s="9" t="n">
        <x:v>0</x:v>
      </x:c>
      <x:c r="N535" s="9" t="str">
        <x:v>UNFILED / UNPROVEN</x:v>
      </x:c>
      <x:c r="O535" s="9" t="n">
        <x:f>COUNTIFS($A$7:$A$1302,A535)</x:f>
        <x:v>1</x:v>
      </x:c>
    </x:row>
    <x:row r="536">
      <x:c r="A536" s="9" t="str">
        <x:v>EV-AR-LF-B-A-TECH-2-B1-RCN-G0-IV08</x:v>
      </x:c>
      <x:c r="B536" s="9" t="str">
        <x:v>EV-AR-LF-B-A-TECH-2-B1-RCN-G0</x:v>
      </x:c>
      <x:c r="C536" s="9" t="str">
        <x:v>AR-LF-B-A-TECH-2-B1-RCN-G0</x:v>
      </x:c>
      <x:c r="D536" s="9" t="str">
        <x:v>LF-B-A-TECH-2</x:v>
      </x:c>
      <x:c r="E536" s="9" t="str">
        <x:v>LF-B-A</x:v>
      </x:c>
      <x:c r="F536" s="9" t="str">
        <x:v>B1</x:v>
      </x:c>
      <x:c r="G536" s="9" t="str">
        <x:v>RCN</x:v>
      </x:c>
      <x:c r="H536" s="9" t="str">
        <x:v>IV08</x:v>
      </x:c>
      <x:c r="I536" s="17" t="str">
        <x:v>Whole-record preservation</x:v>
      </x:c>
      <x:c r="J536" s="17" t="str">
        <x:v>start, raw behavior, dissent and intervention remain in archive</x:v>
      </x:c>
      <x:c r="K536" s="17" t="str">
        <x:v>Archive authority</x:v>
      </x:c>
      <x:c r="L536" s="9" t="n">
        <x:v>0</x:v>
      </x:c>
      <x:c r="M536" s="9" t="n">
        <x:v>0</x:v>
      </x:c>
      <x:c r="N536" s="9" t="str">
        <x:v>UNFILED / UNPROVEN</x:v>
      </x:c>
      <x:c r="O536" s="9" t="n">
        <x:f>COUNTIFS($A$7:$A$1302,A536)</x:f>
        <x:v>1</x:v>
      </x:c>
    </x:row>
    <x:row r="537">
      <x:c r="A537" s="9" t="str">
        <x:v>EV-AR-LF-B-A-TECH-2-B1-RCN-G0-IV09</x:v>
      </x:c>
      <x:c r="B537" s="9" t="str">
        <x:v>EV-AR-LF-B-A-TECH-2-B1-RCN-G0</x:v>
      </x:c>
      <x:c r="C537" s="9" t="str">
        <x:v>AR-LF-B-A-TECH-2-B1-RCN-G0</x:v>
      </x:c>
      <x:c r="D537" s="9" t="str">
        <x:v>LF-B-A-TECH-2</x:v>
      </x:c>
      <x:c r="E537" s="9" t="str">
        <x:v>LF-B-A</x:v>
      </x:c>
      <x:c r="F537" s="9" t="str">
        <x:v>B1</x:v>
      </x:c>
      <x:c r="G537" s="9" t="str">
        <x:v>RCN</x:v>
      </x:c>
      <x:c r="H537" s="9" t="str">
        <x:v>IV09</x:v>
      </x:c>
      <x:c r="I537" s="17" t="str">
        <x:v>Bounded remedy</x:v>
      </x:c>
      <x:c r="J537" s="17" t="str">
        <x:v>only a new slot and EOW may follow; no favorable credit or erased attempt</x:v>
      </x:c>
      <x:c r="K537" s="17" t="str">
        <x:v>Invalidity court</x:v>
      </x:c>
      <x:c r="L537" s="9" t="n">
        <x:v>0</x:v>
      </x:c>
      <x:c r="M537" s="9" t="n">
        <x:v>0</x:v>
      </x:c>
      <x:c r="N537" s="9" t="str">
        <x:v>UNFILED / UNPROVEN</x:v>
      </x:c>
      <x:c r="O537" s="9" t="n">
        <x:f>COUNTIFS($A$7:$A$1302,A537)</x:f>
        <x:v>1</x:v>
      </x:c>
    </x:row>
    <x:row r="538">
      <x:c r="A538" s="9" t="str">
        <x:v>EV-AR-RT-B-C-TECH-2-B1-BRK-G0-IV01</x:v>
      </x:c>
      <x:c r="B538" s="9" t="str">
        <x:v>EV-AR-RT-B-C-TECH-2-B1-BRK-G0</x:v>
      </x:c>
      <x:c r="C538" s="9" t="str">
        <x:v>AR-RT-B-C-TECH-2-B1-BRK-G0</x:v>
      </x:c>
      <x:c r="D538" s="9" t="str">
        <x:v>RT-B-C-TECH-2</x:v>
      </x:c>
      <x:c r="E538" s="9" t="str">
        <x:v>RT-B-C</x:v>
      </x:c>
      <x:c r="F538" s="9" t="str">
        <x:v>B1</x:v>
      </x:c>
      <x:c r="G538" s="9" t="str">
        <x:v>BRK</x:v>
      </x:c>
      <x:c r="H538" s="9" t="str">
        <x:v>IV01</x:v>
      </x:c>
      <x:c r="I538" s="17" t="str">
        <x:v>Timely petition</x:v>
      </x:c>
      <x:c r="J538" s="17" t="str">
        <x:v>petition enters within seventy-two hours of event close</x:v>
      </x:c>
      <x:c r="K538" s="17" t="str">
        <x:v>Invalidity registrar</x:v>
      </x:c>
      <x:c r="L538" s="9" t="n">
        <x:v>0</x:v>
      </x:c>
      <x:c r="M538" s="9" t="n">
        <x:v>0</x:v>
      </x:c>
      <x:c r="N538" s="9" t="str">
        <x:v>UNFILED / UNPROVEN</x:v>
      </x:c>
      <x:c r="O538" s="9" t="n">
        <x:f>COUNTIFS($A$7:$A$1302,A538)</x:f>
        <x:v>1</x:v>
      </x:c>
    </x:row>
    <x:row r="539">
      <x:c r="A539" s="9" t="str">
        <x:v>EV-AR-RT-B-C-TECH-2-B1-BRK-G0-IV02</x:v>
      </x:c>
      <x:c r="B539" s="9" t="str">
        <x:v>EV-AR-RT-B-C-TECH-2-B1-BRK-G0</x:v>
      </x:c>
      <x:c r="C539" s="9" t="str">
        <x:v>AR-RT-B-C-TECH-2-B1-BRK-G0</x:v>
      </x:c>
      <x:c r="D539" s="9" t="str">
        <x:v>RT-B-C-TECH-2</x:v>
      </x:c>
      <x:c r="E539" s="9" t="str">
        <x:v>RT-B-C</x:v>
      </x:c>
      <x:c r="F539" s="9" t="str">
        <x:v>B1</x:v>
      </x:c>
      <x:c r="G539" s="9" t="str">
        <x:v>BRK</x:v>
      </x:c>
      <x:c r="H539" s="9" t="str">
        <x:v>IV02</x:v>
      </x:c>
      <x:c r="I539" s="17" t="str">
        <x:v>Named facility cause</x:v>
      </x:c>
      <x:c r="J539" s="17" t="str">
        <x:v>one pre-registered noncandidate cause is identified</x:v>
      </x:c>
      <x:c r="K539" s="17" t="str">
        <x:v>Facility-cause court</x:v>
      </x:c>
      <x:c r="L539" s="9" t="n">
        <x:v>0</x:v>
      </x:c>
      <x:c r="M539" s="9" t="n">
        <x:v>0</x:v>
      </x:c>
      <x:c r="N539" s="9" t="str">
        <x:v>UNFILED / UNPROVEN</x:v>
      </x:c>
      <x:c r="O539" s="9" t="n">
        <x:f>COUNTIFS($A$7:$A$1302,A539)</x:f>
        <x:v>1</x:v>
      </x:c>
    </x:row>
    <x:row r="540">
      <x:c r="A540" s="9" t="str">
        <x:v>EV-AR-RT-B-C-TECH-2-B1-BRK-G0-IV03</x:v>
      </x:c>
      <x:c r="B540" s="9" t="str">
        <x:v>EV-AR-RT-B-C-TECH-2-B1-BRK-G0</x:v>
      </x:c>
      <x:c r="C540" s="9" t="str">
        <x:v>AR-RT-B-C-TECH-2-B1-BRK-G0</x:v>
      </x:c>
      <x:c r="D540" s="9" t="str">
        <x:v>RT-B-C-TECH-2</x:v>
      </x:c>
      <x:c r="E540" s="9" t="str">
        <x:v>RT-B-C</x:v>
      </x:c>
      <x:c r="F540" s="9" t="str">
        <x:v>B1</x:v>
      </x:c>
      <x:c r="G540" s="9" t="str">
        <x:v>BRK</x:v>
      </x:c>
      <x:c r="H540" s="9" t="str">
        <x:v>IV03</x:v>
      </x:c>
      <x:c r="I540" s="17" t="str">
        <x:v>Temporal priority</x:v>
      </x:c>
      <x:c r="J540" s="17" t="str">
        <x:v>cause demonstrably precedes the disputed candidate behavior</x:v>
      </x:c>
      <x:c r="K540" s="17" t="str">
        <x:v>Time authority</x:v>
      </x:c>
      <x:c r="L540" s="9" t="n">
        <x:v>0</x:v>
      </x:c>
      <x:c r="M540" s="9" t="n">
        <x:v>0</x:v>
      </x:c>
      <x:c r="N540" s="9" t="str">
        <x:v>UNFILED / UNPROVEN</x:v>
      </x:c>
      <x:c r="O540" s="9" t="n">
        <x:f>COUNTIFS($A$7:$A$1302,A540)</x:f>
        <x:v>1</x:v>
      </x:c>
    </x:row>
    <x:row r="541">
      <x:c r="A541" s="9" t="str">
        <x:v>EV-AR-RT-B-C-TECH-2-B1-BRK-G0-IV04</x:v>
      </x:c>
      <x:c r="B541" s="9" t="str">
        <x:v>EV-AR-RT-B-C-TECH-2-B1-BRK-G0</x:v>
      </x:c>
      <x:c r="C541" s="9" t="str">
        <x:v>AR-RT-B-C-TECH-2-B1-BRK-G0</x:v>
      </x:c>
      <x:c r="D541" s="9" t="str">
        <x:v>RT-B-C-TECH-2</x:v>
      </x:c>
      <x:c r="E541" s="9" t="str">
        <x:v>RT-B-C</x:v>
      </x:c>
      <x:c r="F541" s="9" t="str">
        <x:v>B1</x:v>
      </x:c>
      <x:c r="G541" s="9" t="str">
        <x:v>BRK</x:v>
      </x:c>
      <x:c r="H541" s="9" t="str">
        <x:v>IV04</x:v>
      </x:c>
      <x:c r="I541" s="17" t="str">
        <x:v>Independent trace</x:v>
      </x:c>
      <x:c r="J541" s="17" t="str">
        <x:v>two unlike records carry the cause without candidate custody</x:v>
      </x:c>
      <x:c r="K541" s="17" t="str">
        <x:v>Invalidity court</x:v>
      </x:c>
      <x:c r="L541" s="9" t="n">
        <x:v>0</x:v>
      </x:c>
      <x:c r="M541" s="9" t="n">
        <x:v>0</x:v>
      </x:c>
      <x:c r="N541" s="9" t="str">
        <x:v>UNFILED / UNPROVEN</x:v>
      </x:c>
      <x:c r="O541" s="9" t="n">
        <x:f>COUNTIFS($A$7:$A$1302,A541)</x:f>
        <x:v>1</x:v>
      </x:c>
    </x:row>
    <x:row r="542">
      <x:c r="A542" s="9" t="str">
        <x:v>EV-AR-RT-B-C-TECH-2-B1-BRK-G0-IV05</x:v>
      </x:c>
      <x:c r="B542" s="9" t="str">
        <x:v>EV-AR-RT-B-C-TECH-2-B1-BRK-G0</x:v>
      </x:c>
      <x:c r="C542" s="9" t="str">
        <x:v>AR-RT-B-C-TECH-2-B1-BRK-G0</x:v>
      </x:c>
      <x:c r="D542" s="9" t="str">
        <x:v>RT-B-C-TECH-2</x:v>
      </x:c>
      <x:c r="E542" s="9" t="str">
        <x:v>RT-B-C</x:v>
      </x:c>
      <x:c r="F542" s="9" t="str">
        <x:v>B1</x:v>
      </x:c>
      <x:c r="G542" s="9" t="str">
        <x:v>BRK</x:v>
      </x:c>
      <x:c r="H542" s="9" t="str">
        <x:v>IV05</x:v>
      </x:c>
      <x:c r="I542" s="17" t="str">
        <x:v>Causal counterfactual</x:v>
      </x:c>
      <x:c r="J542" s="17" t="str">
        <x:v>registered counterfactual shows the cause can create the defect</x:v>
      </x:c>
      <x:c r="K542" s="17" t="str">
        <x:v>Causal court</x:v>
      </x:c>
      <x:c r="L542" s="9" t="n">
        <x:v>0</x:v>
      </x:c>
      <x:c r="M542" s="9" t="n">
        <x:v>0</x:v>
      </x:c>
      <x:c r="N542" s="9" t="str">
        <x:v>UNFILED / UNPROVEN</x:v>
      </x:c>
      <x:c r="O542" s="9" t="n">
        <x:f>COUNTIFS($A$7:$A$1302,A542)</x:f>
        <x:v>1</x:v>
      </x:c>
    </x:row>
    <x:row r="543">
      <x:c r="A543" s="9" t="str">
        <x:v>EV-AR-RT-B-C-TECH-2-B1-BRK-G0-IV06</x:v>
      </x:c>
      <x:c r="B543" s="9" t="str">
        <x:v>EV-AR-RT-B-C-TECH-2-B1-BRK-G0</x:v>
      </x:c>
      <x:c r="C543" s="9" t="str">
        <x:v>AR-RT-B-C-TECH-2-B1-BRK-G0</x:v>
      </x:c>
      <x:c r="D543" s="9" t="str">
        <x:v>RT-B-C-TECH-2</x:v>
      </x:c>
      <x:c r="E543" s="9" t="str">
        <x:v>RT-B-C</x:v>
      </x:c>
      <x:c r="F543" s="9" t="str">
        <x:v>B1</x:v>
      </x:c>
      <x:c r="G543" s="9" t="str">
        <x:v>BRK</x:v>
      </x:c>
      <x:c r="H543" s="9" t="str">
        <x:v>IV06</x:v>
      </x:c>
      <x:c r="I543" s="17" t="str">
        <x:v>Candidate non-causation</x:v>
      </x:c>
      <x:c r="J543" s="17" t="str">
        <x:v>evidence excludes candidate induction of the facility condition</x:v>
      </x:c>
      <x:c r="K543" s="17" t="str">
        <x:v>Causal court</x:v>
      </x:c>
      <x:c r="L543" s="9" t="n">
        <x:v>0</x:v>
      </x:c>
      <x:c r="M543" s="9" t="n">
        <x:v>0</x:v>
      </x:c>
      <x:c r="N543" s="9" t="str">
        <x:v>UNFILED / UNPROVEN</x:v>
      </x:c>
      <x:c r="O543" s="9" t="n">
        <x:f>COUNTIFS($A$7:$A$1302,A543)</x:f>
        <x:v>1</x:v>
      </x:c>
    </x:row>
    <x:row r="544">
      <x:c r="A544" s="9" t="str">
        <x:v>EV-AR-RT-B-C-TECH-2-B1-BRK-G0-IV07</x:v>
      </x:c>
      <x:c r="B544" s="9" t="str">
        <x:v>EV-AR-RT-B-C-TECH-2-B1-BRK-G0</x:v>
      </x:c>
      <x:c r="C544" s="9" t="str">
        <x:v>AR-RT-B-C-TECH-2-B1-BRK-G0</x:v>
      </x:c>
      <x:c r="D544" s="9" t="str">
        <x:v>RT-B-C-TECH-2</x:v>
      </x:c>
      <x:c r="E544" s="9" t="str">
        <x:v>RT-B-C</x:v>
      </x:c>
      <x:c r="F544" s="9" t="str">
        <x:v>B1</x:v>
      </x:c>
      <x:c r="G544" s="9" t="str">
        <x:v>BRK</x:v>
      </x:c>
      <x:c r="H544" s="9" t="str">
        <x:v>IV07</x:v>
      </x:c>
      <x:c r="I544" s="17" t="str">
        <x:v>No outcome selection</x:v>
      </x:c>
      <x:c r="J544" s="17" t="str">
        <x:v>petition rule and evidence scope were fixed before visibility</x:v>
      </x:c>
      <x:c r="K544" s="17" t="str">
        <x:v>Conflict registrar</x:v>
      </x:c>
      <x:c r="L544" s="9" t="n">
        <x:v>0</x:v>
      </x:c>
      <x:c r="M544" s="9" t="n">
        <x:v>0</x:v>
      </x:c>
      <x:c r="N544" s="9" t="str">
        <x:v>UNFILED / UNPROVEN</x:v>
      </x:c>
      <x:c r="O544" s="9" t="n">
        <x:f>COUNTIFS($A$7:$A$1302,A544)</x:f>
        <x:v>1</x:v>
      </x:c>
    </x:row>
    <x:row r="545">
      <x:c r="A545" s="9" t="str">
        <x:v>EV-AR-RT-B-C-TECH-2-B1-BRK-G0-IV08</x:v>
      </x:c>
      <x:c r="B545" s="9" t="str">
        <x:v>EV-AR-RT-B-C-TECH-2-B1-BRK-G0</x:v>
      </x:c>
      <x:c r="C545" s="9" t="str">
        <x:v>AR-RT-B-C-TECH-2-B1-BRK-G0</x:v>
      </x:c>
      <x:c r="D545" s="9" t="str">
        <x:v>RT-B-C-TECH-2</x:v>
      </x:c>
      <x:c r="E545" s="9" t="str">
        <x:v>RT-B-C</x:v>
      </x:c>
      <x:c r="F545" s="9" t="str">
        <x:v>B1</x:v>
      </x:c>
      <x:c r="G545" s="9" t="str">
        <x:v>BRK</x:v>
      </x:c>
      <x:c r="H545" s="9" t="str">
        <x:v>IV08</x:v>
      </x:c>
      <x:c r="I545" s="17" t="str">
        <x:v>Whole-record preservation</x:v>
      </x:c>
      <x:c r="J545" s="17" t="str">
        <x:v>start, raw behavior, dissent and intervention remain in archive</x:v>
      </x:c>
      <x:c r="K545" s="17" t="str">
        <x:v>Archive authority</x:v>
      </x:c>
      <x:c r="L545" s="9" t="n">
        <x:v>0</x:v>
      </x:c>
      <x:c r="M545" s="9" t="n">
        <x:v>0</x:v>
      </x:c>
      <x:c r="N545" s="9" t="str">
        <x:v>UNFILED / UNPROVEN</x:v>
      </x:c>
      <x:c r="O545" s="9" t="n">
        <x:f>COUNTIFS($A$7:$A$1302,A545)</x:f>
        <x:v>1</x:v>
      </x:c>
    </x:row>
    <x:row r="546">
      <x:c r="A546" s="9" t="str">
        <x:v>EV-AR-RT-B-C-TECH-2-B1-BRK-G0-IV09</x:v>
      </x:c>
      <x:c r="B546" s="9" t="str">
        <x:v>EV-AR-RT-B-C-TECH-2-B1-BRK-G0</x:v>
      </x:c>
      <x:c r="C546" s="9" t="str">
        <x:v>AR-RT-B-C-TECH-2-B1-BRK-G0</x:v>
      </x:c>
      <x:c r="D546" s="9" t="str">
        <x:v>RT-B-C-TECH-2</x:v>
      </x:c>
      <x:c r="E546" s="9" t="str">
        <x:v>RT-B-C</x:v>
      </x:c>
      <x:c r="F546" s="9" t="str">
        <x:v>B1</x:v>
      </x:c>
      <x:c r="G546" s="9" t="str">
        <x:v>BRK</x:v>
      </x:c>
      <x:c r="H546" s="9" t="str">
        <x:v>IV09</x:v>
      </x:c>
      <x:c r="I546" s="17" t="str">
        <x:v>Bounded remedy</x:v>
      </x:c>
      <x:c r="J546" s="17" t="str">
        <x:v>only a new slot and EOW may follow; no favorable credit or erased attempt</x:v>
      </x:c>
      <x:c r="K546" s="17" t="str">
        <x:v>Invalidity court</x:v>
      </x:c>
      <x:c r="L546" s="9" t="n">
        <x:v>0</x:v>
      </x:c>
      <x:c r="M546" s="9" t="n">
        <x:v>0</x:v>
      </x:c>
      <x:c r="N546" s="9" t="str">
        <x:v>UNFILED / UNPROVEN</x:v>
      </x:c>
      <x:c r="O546" s="9" t="n">
        <x:f>COUNTIFS($A$7:$A$1302,A546)</x:f>
        <x:v>1</x:v>
      </x:c>
    </x:row>
    <x:row r="547">
      <x:c r="A547" s="9" t="str">
        <x:v>EV-AR-ET-A-A-TECH-2-B2-INT-G0-IV01</x:v>
      </x:c>
      <x:c r="B547" s="9" t="str">
        <x:v>EV-AR-ET-A-A-TECH-2-B2-INT-G0</x:v>
      </x:c>
      <x:c r="C547" s="9" t="str">
        <x:v>AR-ET-A-A-TECH-2-B2-INT-G0</x:v>
      </x:c>
      <x:c r="D547" s="9" t="str">
        <x:v>ET-A-A-TECH-2</x:v>
      </x:c>
      <x:c r="E547" s="9" t="str">
        <x:v>ET-A-A</x:v>
      </x:c>
      <x:c r="F547" s="9" t="str">
        <x:v>B2</x:v>
      </x:c>
      <x:c r="G547" s="9" t="str">
        <x:v>INT</x:v>
      </x:c>
      <x:c r="H547" s="9" t="str">
        <x:v>IV01</x:v>
      </x:c>
      <x:c r="I547" s="17" t="str">
        <x:v>Timely petition</x:v>
      </x:c>
      <x:c r="J547" s="17" t="str">
        <x:v>petition enters within seventy-two hours of event close</x:v>
      </x:c>
      <x:c r="K547" s="17" t="str">
        <x:v>Invalidity registrar</x:v>
      </x:c>
      <x:c r="L547" s="9" t="n">
        <x:v>0</x:v>
      </x:c>
      <x:c r="M547" s="9" t="n">
        <x:v>0</x:v>
      </x:c>
      <x:c r="N547" s="9" t="str">
        <x:v>UNFILED / UNPROVEN</x:v>
      </x:c>
      <x:c r="O547" s="9" t="n">
        <x:f>COUNTIFS($A$7:$A$1302,A547)</x:f>
        <x:v>1</x:v>
      </x:c>
    </x:row>
    <x:row r="548">
      <x:c r="A548" s="9" t="str">
        <x:v>EV-AR-ET-A-A-TECH-2-B2-INT-G0-IV02</x:v>
      </x:c>
      <x:c r="B548" s="9" t="str">
        <x:v>EV-AR-ET-A-A-TECH-2-B2-INT-G0</x:v>
      </x:c>
      <x:c r="C548" s="9" t="str">
        <x:v>AR-ET-A-A-TECH-2-B2-INT-G0</x:v>
      </x:c>
      <x:c r="D548" s="9" t="str">
        <x:v>ET-A-A-TECH-2</x:v>
      </x:c>
      <x:c r="E548" s="9" t="str">
        <x:v>ET-A-A</x:v>
      </x:c>
      <x:c r="F548" s="9" t="str">
        <x:v>B2</x:v>
      </x:c>
      <x:c r="G548" s="9" t="str">
        <x:v>INT</x:v>
      </x:c>
      <x:c r="H548" s="9" t="str">
        <x:v>IV02</x:v>
      </x:c>
      <x:c r="I548" s="17" t="str">
        <x:v>Named facility cause</x:v>
      </x:c>
      <x:c r="J548" s="17" t="str">
        <x:v>one pre-registered noncandidate cause is identified</x:v>
      </x:c>
      <x:c r="K548" s="17" t="str">
        <x:v>Facility-cause court</x:v>
      </x:c>
      <x:c r="L548" s="9" t="n">
        <x:v>0</x:v>
      </x:c>
      <x:c r="M548" s="9" t="n">
        <x:v>0</x:v>
      </x:c>
      <x:c r="N548" s="9" t="str">
        <x:v>UNFILED / UNPROVEN</x:v>
      </x:c>
      <x:c r="O548" s="9" t="n">
        <x:f>COUNTIFS($A$7:$A$1302,A548)</x:f>
        <x:v>1</x:v>
      </x:c>
    </x:row>
    <x:row r="549">
      <x:c r="A549" s="9" t="str">
        <x:v>EV-AR-ET-A-A-TECH-2-B2-INT-G0-IV03</x:v>
      </x:c>
      <x:c r="B549" s="9" t="str">
        <x:v>EV-AR-ET-A-A-TECH-2-B2-INT-G0</x:v>
      </x:c>
      <x:c r="C549" s="9" t="str">
        <x:v>AR-ET-A-A-TECH-2-B2-INT-G0</x:v>
      </x:c>
      <x:c r="D549" s="9" t="str">
        <x:v>ET-A-A-TECH-2</x:v>
      </x:c>
      <x:c r="E549" s="9" t="str">
        <x:v>ET-A-A</x:v>
      </x:c>
      <x:c r="F549" s="9" t="str">
        <x:v>B2</x:v>
      </x:c>
      <x:c r="G549" s="9" t="str">
        <x:v>INT</x:v>
      </x:c>
      <x:c r="H549" s="9" t="str">
        <x:v>IV03</x:v>
      </x:c>
      <x:c r="I549" s="17" t="str">
        <x:v>Temporal priority</x:v>
      </x:c>
      <x:c r="J549" s="17" t="str">
        <x:v>cause demonstrably precedes the disputed candidate behavior</x:v>
      </x:c>
      <x:c r="K549" s="17" t="str">
        <x:v>Time authority</x:v>
      </x:c>
      <x:c r="L549" s="9" t="n">
        <x:v>0</x:v>
      </x:c>
      <x:c r="M549" s="9" t="n">
        <x:v>0</x:v>
      </x:c>
      <x:c r="N549" s="9" t="str">
        <x:v>UNFILED / UNPROVEN</x:v>
      </x:c>
      <x:c r="O549" s="9" t="n">
        <x:f>COUNTIFS($A$7:$A$1302,A549)</x:f>
        <x:v>1</x:v>
      </x:c>
    </x:row>
    <x:row r="550">
      <x:c r="A550" s="9" t="str">
        <x:v>EV-AR-ET-A-A-TECH-2-B2-INT-G0-IV04</x:v>
      </x:c>
      <x:c r="B550" s="9" t="str">
        <x:v>EV-AR-ET-A-A-TECH-2-B2-INT-G0</x:v>
      </x:c>
      <x:c r="C550" s="9" t="str">
        <x:v>AR-ET-A-A-TECH-2-B2-INT-G0</x:v>
      </x:c>
      <x:c r="D550" s="9" t="str">
        <x:v>ET-A-A-TECH-2</x:v>
      </x:c>
      <x:c r="E550" s="9" t="str">
        <x:v>ET-A-A</x:v>
      </x:c>
      <x:c r="F550" s="9" t="str">
        <x:v>B2</x:v>
      </x:c>
      <x:c r="G550" s="9" t="str">
        <x:v>INT</x:v>
      </x:c>
      <x:c r="H550" s="9" t="str">
        <x:v>IV04</x:v>
      </x:c>
      <x:c r="I550" s="17" t="str">
        <x:v>Independent trace</x:v>
      </x:c>
      <x:c r="J550" s="17" t="str">
        <x:v>two unlike records carry the cause without candidate custody</x:v>
      </x:c>
      <x:c r="K550" s="17" t="str">
        <x:v>Invalidity court</x:v>
      </x:c>
      <x:c r="L550" s="9" t="n">
        <x:v>0</x:v>
      </x:c>
      <x:c r="M550" s="9" t="n">
        <x:v>0</x:v>
      </x:c>
      <x:c r="N550" s="9" t="str">
        <x:v>UNFILED / UNPROVEN</x:v>
      </x:c>
      <x:c r="O550" s="9" t="n">
        <x:f>COUNTIFS($A$7:$A$1302,A550)</x:f>
        <x:v>1</x:v>
      </x:c>
    </x:row>
    <x:row r="551">
      <x:c r="A551" s="9" t="str">
        <x:v>EV-AR-ET-A-A-TECH-2-B2-INT-G0-IV05</x:v>
      </x:c>
      <x:c r="B551" s="9" t="str">
        <x:v>EV-AR-ET-A-A-TECH-2-B2-INT-G0</x:v>
      </x:c>
      <x:c r="C551" s="9" t="str">
        <x:v>AR-ET-A-A-TECH-2-B2-INT-G0</x:v>
      </x:c>
      <x:c r="D551" s="9" t="str">
        <x:v>ET-A-A-TECH-2</x:v>
      </x:c>
      <x:c r="E551" s="9" t="str">
        <x:v>ET-A-A</x:v>
      </x:c>
      <x:c r="F551" s="9" t="str">
        <x:v>B2</x:v>
      </x:c>
      <x:c r="G551" s="9" t="str">
        <x:v>INT</x:v>
      </x:c>
      <x:c r="H551" s="9" t="str">
        <x:v>IV05</x:v>
      </x:c>
      <x:c r="I551" s="17" t="str">
        <x:v>Causal counterfactual</x:v>
      </x:c>
      <x:c r="J551" s="17" t="str">
        <x:v>registered counterfactual shows the cause can create the defect</x:v>
      </x:c>
      <x:c r="K551" s="17" t="str">
        <x:v>Causal court</x:v>
      </x:c>
      <x:c r="L551" s="9" t="n">
        <x:v>0</x:v>
      </x:c>
      <x:c r="M551" s="9" t="n">
        <x:v>0</x:v>
      </x:c>
      <x:c r="N551" s="9" t="str">
        <x:v>UNFILED / UNPROVEN</x:v>
      </x:c>
      <x:c r="O551" s="9" t="n">
        <x:f>COUNTIFS($A$7:$A$1302,A551)</x:f>
        <x:v>1</x:v>
      </x:c>
    </x:row>
    <x:row r="552">
      <x:c r="A552" s="9" t="str">
        <x:v>EV-AR-ET-A-A-TECH-2-B2-INT-G0-IV06</x:v>
      </x:c>
      <x:c r="B552" s="9" t="str">
        <x:v>EV-AR-ET-A-A-TECH-2-B2-INT-G0</x:v>
      </x:c>
      <x:c r="C552" s="9" t="str">
        <x:v>AR-ET-A-A-TECH-2-B2-INT-G0</x:v>
      </x:c>
      <x:c r="D552" s="9" t="str">
        <x:v>ET-A-A-TECH-2</x:v>
      </x:c>
      <x:c r="E552" s="9" t="str">
        <x:v>ET-A-A</x:v>
      </x:c>
      <x:c r="F552" s="9" t="str">
        <x:v>B2</x:v>
      </x:c>
      <x:c r="G552" s="9" t="str">
        <x:v>INT</x:v>
      </x:c>
      <x:c r="H552" s="9" t="str">
        <x:v>IV06</x:v>
      </x:c>
      <x:c r="I552" s="17" t="str">
        <x:v>Candidate non-causation</x:v>
      </x:c>
      <x:c r="J552" s="17" t="str">
        <x:v>evidence excludes candidate induction of the facility condition</x:v>
      </x:c>
      <x:c r="K552" s="17" t="str">
        <x:v>Causal court</x:v>
      </x:c>
      <x:c r="L552" s="9" t="n">
        <x:v>0</x:v>
      </x:c>
      <x:c r="M552" s="9" t="n">
        <x:v>0</x:v>
      </x:c>
      <x:c r="N552" s="9" t="str">
        <x:v>UNFILED / UNPROVEN</x:v>
      </x:c>
      <x:c r="O552" s="9" t="n">
        <x:f>COUNTIFS($A$7:$A$1302,A552)</x:f>
        <x:v>1</x:v>
      </x:c>
    </x:row>
    <x:row r="553">
      <x:c r="A553" s="9" t="str">
        <x:v>EV-AR-ET-A-A-TECH-2-B2-INT-G0-IV07</x:v>
      </x:c>
      <x:c r="B553" s="9" t="str">
        <x:v>EV-AR-ET-A-A-TECH-2-B2-INT-G0</x:v>
      </x:c>
      <x:c r="C553" s="9" t="str">
        <x:v>AR-ET-A-A-TECH-2-B2-INT-G0</x:v>
      </x:c>
      <x:c r="D553" s="9" t="str">
        <x:v>ET-A-A-TECH-2</x:v>
      </x:c>
      <x:c r="E553" s="9" t="str">
        <x:v>ET-A-A</x:v>
      </x:c>
      <x:c r="F553" s="9" t="str">
        <x:v>B2</x:v>
      </x:c>
      <x:c r="G553" s="9" t="str">
        <x:v>INT</x:v>
      </x:c>
      <x:c r="H553" s="9" t="str">
        <x:v>IV07</x:v>
      </x:c>
      <x:c r="I553" s="17" t="str">
        <x:v>No outcome selection</x:v>
      </x:c>
      <x:c r="J553" s="17" t="str">
        <x:v>petition rule and evidence scope were fixed before visibility</x:v>
      </x:c>
      <x:c r="K553" s="17" t="str">
        <x:v>Conflict registrar</x:v>
      </x:c>
      <x:c r="L553" s="9" t="n">
        <x:v>0</x:v>
      </x:c>
      <x:c r="M553" s="9" t="n">
        <x:v>0</x:v>
      </x:c>
      <x:c r="N553" s="9" t="str">
        <x:v>UNFILED / UNPROVEN</x:v>
      </x:c>
      <x:c r="O553" s="9" t="n">
        <x:f>COUNTIFS($A$7:$A$1302,A553)</x:f>
        <x:v>1</x:v>
      </x:c>
    </x:row>
    <x:row r="554">
      <x:c r="A554" s="9" t="str">
        <x:v>EV-AR-ET-A-A-TECH-2-B2-INT-G0-IV08</x:v>
      </x:c>
      <x:c r="B554" s="9" t="str">
        <x:v>EV-AR-ET-A-A-TECH-2-B2-INT-G0</x:v>
      </x:c>
      <x:c r="C554" s="9" t="str">
        <x:v>AR-ET-A-A-TECH-2-B2-INT-G0</x:v>
      </x:c>
      <x:c r="D554" s="9" t="str">
        <x:v>ET-A-A-TECH-2</x:v>
      </x:c>
      <x:c r="E554" s="9" t="str">
        <x:v>ET-A-A</x:v>
      </x:c>
      <x:c r="F554" s="9" t="str">
        <x:v>B2</x:v>
      </x:c>
      <x:c r="G554" s="9" t="str">
        <x:v>INT</x:v>
      </x:c>
      <x:c r="H554" s="9" t="str">
        <x:v>IV08</x:v>
      </x:c>
      <x:c r="I554" s="17" t="str">
        <x:v>Whole-record preservation</x:v>
      </x:c>
      <x:c r="J554" s="17" t="str">
        <x:v>start, raw behavior, dissent and intervention remain in archive</x:v>
      </x:c>
      <x:c r="K554" s="17" t="str">
        <x:v>Archive authority</x:v>
      </x:c>
      <x:c r="L554" s="9" t="n">
        <x:v>0</x:v>
      </x:c>
      <x:c r="M554" s="9" t="n">
        <x:v>0</x:v>
      </x:c>
      <x:c r="N554" s="9" t="str">
        <x:v>UNFILED / UNPROVEN</x:v>
      </x:c>
      <x:c r="O554" s="9" t="n">
        <x:f>COUNTIFS($A$7:$A$1302,A554)</x:f>
        <x:v>1</x:v>
      </x:c>
    </x:row>
    <x:row r="555">
      <x:c r="A555" s="9" t="str">
        <x:v>EV-AR-ET-A-A-TECH-2-B2-INT-G0-IV09</x:v>
      </x:c>
      <x:c r="B555" s="9" t="str">
        <x:v>EV-AR-ET-A-A-TECH-2-B2-INT-G0</x:v>
      </x:c>
      <x:c r="C555" s="9" t="str">
        <x:v>AR-ET-A-A-TECH-2-B2-INT-G0</x:v>
      </x:c>
      <x:c r="D555" s="9" t="str">
        <x:v>ET-A-A-TECH-2</x:v>
      </x:c>
      <x:c r="E555" s="9" t="str">
        <x:v>ET-A-A</x:v>
      </x:c>
      <x:c r="F555" s="9" t="str">
        <x:v>B2</x:v>
      </x:c>
      <x:c r="G555" s="9" t="str">
        <x:v>INT</x:v>
      </x:c>
      <x:c r="H555" s="9" t="str">
        <x:v>IV09</x:v>
      </x:c>
      <x:c r="I555" s="17" t="str">
        <x:v>Bounded remedy</x:v>
      </x:c>
      <x:c r="J555" s="17" t="str">
        <x:v>only a new slot and EOW may follow; no favorable credit or erased attempt</x:v>
      </x:c>
      <x:c r="K555" s="17" t="str">
        <x:v>Invalidity court</x:v>
      </x:c>
      <x:c r="L555" s="9" t="n">
        <x:v>0</x:v>
      </x:c>
      <x:c r="M555" s="9" t="n">
        <x:v>0</x:v>
      </x:c>
      <x:c r="N555" s="9" t="str">
        <x:v>UNFILED / UNPROVEN</x:v>
      </x:c>
      <x:c r="O555" s="9" t="n">
        <x:f>COUNTIFS($A$7:$A$1302,A555)</x:f>
        <x:v>1</x:v>
      </x:c>
    </x:row>
    <x:row r="556">
      <x:c r="A556" s="9" t="str">
        <x:v>EV-AR-ET-A-A-TECH-3-B1-INT-G0-IV01</x:v>
      </x:c>
      <x:c r="B556" s="9" t="str">
        <x:v>EV-AR-ET-A-A-TECH-3-B1-INT-G0</x:v>
      </x:c>
      <x:c r="C556" s="9" t="str">
        <x:v>AR-ET-A-A-TECH-3-B1-INT-G0</x:v>
      </x:c>
      <x:c r="D556" s="9" t="str">
        <x:v>ET-A-A-TECH-3</x:v>
      </x:c>
      <x:c r="E556" s="9" t="str">
        <x:v>ET-A-A</x:v>
      </x:c>
      <x:c r="F556" s="9" t="str">
        <x:v>B1</x:v>
      </x:c>
      <x:c r="G556" s="9" t="str">
        <x:v>INT</x:v>
      </x:c>
      <x:c r="H556" s="9" t="str">
        <x:v>IV01</x:v>
      </x:c>
      <x:c r="I556" s="17" t="str">
        <x:v>Timely petition</x:v>
      </x:c>
      <x:c r="J556" s="17" t="str">
        <x:v>petition enters within seventy-two hours of event close</x:v>
      </x:c>
      <x:c r="K556" s="17" t="str">
        <x:v>Invalidity registrar</x:v>
      </x:c>
      <x:c r="L556" s="9" t="n">
        <x:v>0</x:v>
      </x:c>
      <x:c r="M556" s="9" t="n">
        <x:v>0</x:v>
      </x:c>
      <x:c r="N556" s="9" t="str">
        <x:v>UNFILED / UNPROVEN</x:v>
      </x:c>
      <x:c r="O556" s="9" t="n">
        <x:f>COUNTIFS($A$7:$A$1302,A556)</x:f>
        <x:v>1</x:v>
      </x:c>
    </x:row>
    <x:row r="557">
      <x:c r="A557" s="9" t="str">
        <x:v>EV-AR-ET-A-A-TECH-3-B1-INT-G0-IV02</x:v>
      </x:c>
      <x:c r="B557" s="9" t="str">
        <x:v>EV-AR-ET-A-A-TECH-3-B1-INT-G0</x:v>
      </x:c>
      <x:c r="C557" s="9" t="str">
        <x:v>AR-ET-A-A-TECH-3-B1-INT-G0</x:v>
      </x:c>
      <x:c r="D557" s="9" t="str">
        <x:v>ET-A-A-TECH-3</x:v>
      </x:c>
      <x:c r="E557" s="9" t="str">
        <x:v>ET-A-A</x:v>
      </x:c>
      <x:c r="F557" s="9" t="str">
        <x:v>B1</x:v>
      </x:c>
      <x:c r="G557" s="9" t="str">
        <x:v>INT</x:v>
      </x:c>
      <x:c r="H557" s="9" t="str">
        <x:v>IV02</x:v>
      </x:c>
      <x:c r="I557" s="17" t="str">
        <x:v>Named facility cause</x:v>
      </x:c>
      <x:c r="J557" s="17" t="str">
        <x:v>one pre-registered noncandidate cause is identified</x:v>
      </x:c>
      <x:c r="K557" s="17" t="str">
        <x:v>Facility-cause court</x:v>
      </x:c>
      <x:c r="L557" s="9" t="n">
        <x:v>0</x:v>
      </x:c>
      <x:c r="M557" s="9" t="n">
        <x:v>0</x:v>
      </x:c>
      <x:c r="N557" s="9" t="str">
        <x:v>UNFILED / UNPROVEN</x:v>
      </x:c>
      <x:c r="O557" s="9" t="n">
        <x:f>COUNTIFS($A$7:$A$1302,A557)</x:f>
        <x:v>1</x:v>
      </x:c>
    </x:row>
    <x:row r="558">
      <x:c r="A558" s="9" t="str">
        <x:v>EV-AR-ET-A-A-TECH-3-B1-INT-G0-IV03</x:v>
      </x:c>
      <x:c r="B558" s="9" t="str">
        <x:v>EV-AR-ET-A-A-TECH-3-B1-INT-G0</x:v>
      </x:c>
      <x:c r="C558" s="9" t="str">
        <x:v>AR-ET-A-A-TECH-3-B1-INT-G0</x:v>
      </x:c>
      <x:c r="D558" s="9" t="str">
        <x:v>ET-A-A-TECH-3</x:v>
      </x:c>
      <x:c r="E558" s="9" t="str">
        <x:v>ET-A-A</x:v>
      </x:c>
      <x:c r="F558" s="9" t="str">
        <x:v>B1</x:v>
      </x:c>
      <x:c r="G558" s="9" t="str">
        <x:v>INT</x:v>
      </x:c>
      <x:c r="H558" s="9" t="str">
        <x:v>IV03</x:v>
      </x:c>
      <x:c r="I558" s="17" t="str">
        <x:v>Temporal priority</x:v>
      </x:c>
      <x:c r="J558" s="17" t="str">
        <x:v>cause demonstrably precedes the disputed candidate behavior</x:v>
      </x:c>
      <x:c r="K558" s="17" t="str">
        <x:v>Time authority</x:v>
      </x:c>
      <x:c r="L558" s="9" t="n">
        <x:v>0</x:v>
      </x:c>
      <x:c r="M558" s="9" t="n">
        <x:v>0</x:v>
      </x:c>
      <x:c r="N558" s="9" t="str">
        <x:v>UNFILED / UNPROVEN</x:v>
      </x:c>
      <x:c r="O558" s="9" t="n">
        <x:f>COUNTIFS($A$7:$A$1302,A558)</x:f>
        <x:v>1</x:v>
      </x:c>
    </x:row>
    <x:row r="559">
      <x:c r="A559" s="9" t="str">
        <x:v>EV-AR-ET-A-A-TECH-3-B1-INT-G0-IV04</x:v>
      </x:c>
      <x:c r="B559" s="9" t="str">
        <x:v>EV-AR-ET-A-A-TECH-3-B1-INT-G0</x:v>
      </x:c>
      <x:c r="C559" s="9" t="str">
        <x:v>AR-ET-A-A-TECH-3-B1-INT-G0</x:v>
      </x:c>
      <x:c r="D559" s="9" t="str">
        <x:v>ET-A-A-TECH-3</x:v>
      </x:c>
      <x:c r="E559" s="9" t="str">
        <x:v>ET-A-A</x:v>
      </x:c>
      <x:c r="F559" s="9" t="str">
        <x:v>B1</x:v>
      </x:c>
      <x:c r="G559" s="9" t="str">
        <x:v>INT</x:v>
      </x:c>
      <x:c r="H559" s="9" t="str">
        <x:v>IV04</x:v>
      </x:c>
      <x:c r="I559" s="17" t="str">
        <x:v>Independent trace</x:v>
      </x:c>
      <x:c r="J559" s="17" t="str">
        <x:v>two unlike records carry the cause without candidate custody</x:v>
      </x:c>
      <x:c r="K559" s="17" t="str">
        <x:v>Invalidity court</x:v>
      </x:c>
      <x:c r="L559" s="9" t="n">
        <x:v>0</x:v>
      </x:c>
      <x:c r="M559" s="9" t="n">
        <x:v>0</x:v>
      </x:c>
      <x:c r="N559" s="9" t="str">
        <x:v>UNFILED / UNPROVEN</x:v>
      </x:c>
      <x:c r="O559" s="9" t="n">
        <x:f>COUNTIFS($A$7:$A$1302,A559)</x:f>
        <x:v>1</x:v>
      </x:c>
    </x:row>
    <x:row r="560">
      <x:c r="A560" s="9" t="str">
        <x:v>EV-AR-ET-A-A-TECH-3-B1-INT-G0-IV05</x:v>
      </x:c>
      <x:c r="B560" s="9" t="str">
        <x:v>EV-AR-ET-A-A-TECH-3-B1-INT-G0</x:v>
      </x:c>
      <x:c r="C560" s="9" t="str">
        <x:v>AR-ET-A-A-TECH-3-B1-INT-G0</x:v>
      </x:c>
      <x:c r="D560" s="9" t="str">
        <x:v>ET-A-A-TECH-3</x:v>
      </x:c>
      <x:c r="E560" s="9" t="str">
        <x:v>ET-A-A</x:v>
      </x:c>
      <x:c r="F560" s="9" t="str">
        <x:v>B1</x:v>
      </x:c>
      <x:c r="G560" s="9" t="str">
        <x:v>INT</x:v>
      </x:c>
      <x:c r="H560" s="9" t="str">
        <x:v>IV05</x:v>
      </x:c>
      <x:c r="I560" s="17" t="str">
        <x:v>Causal counterfactual</x:v>
      </x:c>
      <x:c r="J560" s="17" t="str">
        <x:v>registered counterfactual shows the cause can create the defect</x:v>
      </x:c>
      <x:c r="K560" s="17" t="str">
        <x:v>Causal court</x:v>
      </x:c>
      <x:c r="L560" s="9" t="n">
        <x:v>0</x:v>
      </x:c>
      <x:c r="M560" s="9" t="n">
        <x:v>0</x:v>
      </x:c>
      <x:c r="N560" s="9" t="str">
        <x:v>UNFILED / UNPROVEN</x:v>
      </x:c>
      <x:c r="O560" s="9" t="n">
        <x:f>COUNTIFS($A$7:$A$1302,A560)</x:f>
        <x:v>1</x:v>
      </x:c>
    </x:row>
    <x:row r="561">
      <x:c r="A561" s="9" t="str">
        <x:v>EV-AR-ET-A-A-TECH-3-B1-INT-G0-IV06</x:v>
      </x:c>
      <x:c r="B561" s="9" t="str">
        <x:v>EV-AR-ET-A-A-TECH-3-B1-INT-G0</x:v>
      </x:c>
      <x:c r="C561" s="9" t="str">
        <x:v>AR-ET-A-A-TECH-3-B1-INT-G0</x:v>
      </x:c>
      <x:c r="D561" s="9" t="str">
        <x:v>ET-A-A-TECH-3</x:v>
      </x:c>
      <x:c r="E561" s="9" t="str">
        <x:v>ET-A-A</x:v>
      </x:c>
      <x:c r="F561" s="9" t="str">
        <x:v>B1</x:v>
      </x:c>
      <x:c r="G561" s="9" t="str">
        <x:v>INT</x:v>
      </x:c>
      <x:c r="H561" s="9" t="str">
        <x:v>IV06</x:v>
      </x:c>
      <x:c r="I561" s="17" t="str">
        <x:v>Candidate non-causation</x:v>
      </x:c>
      <x:c r="J561" s="17" t="str">
        <x:v>evidence excludes candidate induction of the facility condition</x:v>
      </x:c>
      <x:c r="K561" s="17" t="str">
        <x:v>Causal court</x:v>
      </x:c>
      <x:c r="L561" s="9" t="n">
        <x:v>0</x:v>
      </x:c>
      <x:c r="M561" s="9" t="n">
        <x:v>0</x:v>
      </x:c>
      <x:c r="N561" s="9" t="str">
        <x:v>UNFILED / UNPROVEN</x:v>
      </x:c>
      <x:c r="O561" s="9" t="n">
        <x:f>COUNTIFS($A$7:$A$1302,A561)</x:f>
        <x:v>1</x:v>
      </x:c>
    </x:row>
    <x:row r="562">
      <x:c r="A562" s="9" t="str">
        <x:v>EV-AR-ET-A-A-TECH-3-B1-INT-G0-IV07</x:v>
      </x:c>
      <x:c r="B562" s="9" t="str">
        <x:v>EV-AR-ET-A-A-TECH-3-B1-INT-G0</x:v>
      </x:c>
      <x:c r="C562" s="9" t="str">
        <x:v>AR-ET-A-A-TECH-3-B1-INT-G0</x:v>
      </x:c>
      <x:c r="D562" s="9" t="str">
        <x:v>ET-A-A-TECH-3</x:v>
      </x:c>
      <x:c r="E562" s="9" t="str">
        <x:v>ET-A-A</x:v>
      </x:c>
      <x:c r="F562" s="9" t="str">
        <x:v>B1</x:v>
      </x:c>
      <x:c r="G562" s="9" t="str">
        <x:v>INT</x:v>
      </x:c>
      <x:c r="H562" s="9" t="str">
        <x:v>IV07</x:v>
      </x:c>
      <x:c r="I562" s="17" t="str">
        <x:v>No outcome selection</x:v>
      </x:c>
      <x:c r="J562" s="17" t="str">
        <x:v>petition rule and evidence scope were fixed before visibility</x:v>
      </x:c>
      <x:c r="K562" s="17" t="str">
        <x:v>Conflict registrar</x:v>
      </x:c>
      <x:c r="L562" s="9" t="n">
        <x:v>0</x:v>
      </x:c>
      <x:c r="M562" s="9" t="n">
        <x:v>0</x:v>
      </x:c>
      <x:c r="N562" s="9" t="str">
        <x:v>UNFILED / UNPROVEN</x:v>
      </x:c>
      <x:c r="O562" s="9" t="n">
        <x:f>COUNTIFS($A$7:$A$1302,A562)</x:f>
        <x:v>1</x:v>
      </x:c>
    </x:row>
    <x:row r="563">
      <x:c r="A563" s="9" t="str">
        <x:v>EV-AR-ET-A-A-TECH-3-B1-INT-G0-IV08</x:v>
      </x:c>
      <x:c r="B563" s="9" t="str">
        <x:v>EV-AR-ET-A-A-TECH-3-B1-INT-G0</x:v>
      </x:c>
      <x:c r="C563" s="9" t="str">
        <x:v>AR-ET-A-A-TECH-3-B1-INT-G0</x:v>
      </x:c>
      <x:c r="D563" s="9" t="str">
        <x:v>ET-A-A-TECH-3</x:v>
      </x:c>
      <x:c r="E563" s="9" t="str">
        <x:v>ET-A-A</x:v>
      </x:c>
      <x:c r="F563" s="9" t="str">
        <x:v>B1</x:v>
      </x:c>
      <x:c r="G563" s="9" t="str">
        <x:v>INT</x:v>
      </x:c>
      <x:c r="H563" s="9" t="str">
        <x:v>IV08</x:v>
      </x:c>
      <x:c r="I563" s="17" t="str">
        <x:v>Whole-record preservation</x:v>
      </x:c>
      <x:c r="J563" s="17" t="str">
        <x:v>start, raw behavior, dissent and intervention remain in archive</x:v>
      </x:c>
      <x:c r="K563" s="17" t="str">
        <x:v>Archive authority</x:v>
      </x:c>
      <x:c r="L563" s="9" t="n">
        <x:v>0</x:v>
      </x:c>
      <x:c r="M563" s="9" t="n">
        <x:v>0</x:v>
      </x:c>
      <x:c r="N563" s="9" t="str">
        <x:v>UNFILED / UNPROVEN</x:v>
      </x:c>
      <x:c r="O563" s="9" t="n">
        <x:f>COUNTIFS($A$7:$A$1302,A563)</x:f>
        <x:v>1</x:v>
      </x:c>
    </x:row>
    <x:row r="564">
      <x:c r="A564" s="9" t="str">
        <x:v>EV-AR-ET-A-A-TECH-3-B1-INT-G0-IV09</x:v>
      </x:c>
      <x:c r="B564" s="9" t="str">
        <x:v>EV-AR-ET-A-A-TECH-3-B1-INT-G0</x:v>
      </x:c>
      <x:c r="C564" s="9" t="str">
        <x:v>AR-ET-A-A-TECH-3-B1-INT-G0</x:v>
      </x:c>
      <x:c r="D564" s="9" t="str">
        <x:v>ET-A-A-TECH-3</x:v>
      </x:c>
      <x:c r="E564" s="9" t="str">
        <x:v>ET-A-A</x:v>
      </x:c>
      <x:c r="F564" s="9" t="str">
        <x:v>B1</x:v>
      </x:c>
      <x:c r="G564" s="9" t="str">
        <x:v>INT</x:v>
      </x:c>
      <x:c r="H564" s="9" t="str">
        <x:v>IV09</x:v>
      </x:c>
      <x:c r="I564" s="17" t="str">
        <x:v>Bounded remedy</x:v>
      </x:c>
      <x:c r="J564" s="17" t="str">
        <x:v>only a new slot and EOW may follow; no favorable credit or erased attempt</x:v>
      </x:c>
      <x:c r="K564" s="17" t="str">
        <x:v>Invalidity court</x:v>
      </x:c>
      <x:c r="L564" s="9" t="n">
        <x:v>0</x:v>
      </x:c>
      <x:c r="M564" s="9" t="n">
        <x:v>0</x:v>
      </x:c>
      <x:c r="N564" s="9" t="str">
        <x:v>UNFILED / UNPROVEN</x:v>
      </x:c>
      <x:c r="O564" s="9" t="n">
        <x:f>COUNTIFS($A$7:$A$1302,A564)</x:f>
        <x:v>1</x:v>
      </x:c>
    </x:row>
    <x:row r="565">
      <x:c r="A565" s="9" t="str">
        <x:v>EV-AR-HU-A-B-TECH-4-B2-INT-G0-IV01</x:v>
      </x:c>
      <x:c r="B565" s="9" t="str">
        <x:v>EV-AR-HU-A-B-TECH-4-B2-INT-G0</x:v>
      </x:c>
      <x:c r="C565" s="9" t="str">
        <x:v>AR-HU-A-B-TECH-4-B2-INT-G0</x:v>
      </x:c>
      <x:c r="D565" s="9" t="str">
        <x:v>HU-A-B-TECH-4</x:v>
      </x:c>
      <x:c r="E565" s="9" t="str">
        <x:v>HU-A-B</x:v>
      </x:c>
      <x:c r="F565" s="9" t="str">
        <x:v>B2</x:v>
      </x:c>
      <x:c r="G565" s="9" t="str">
        <x:v>INT</x:v>
      </x:c>
      <x:c r="H565" s="9" t="str">
        <x:v>IV01</x:v>
      </x:c>
      <x:c r="I565" s="17" t="str">
        <x:v>Timely petition</x:v>
      </x:c>
      <x:c r="J565" s="17" t="str">
        <x:v>petition enters within seventy-two hours of event close</x:v>
      </x:c>
      <x:c r="K565" s="17" t="str">
        <x:v>Invalidity registrar</x:v>
      </x:c>
      <x:c r="L565" s="9" t="n">
        <x:v>0</x:v>
      </x:c>
      <x:c r="M565" s="9" t="n">
        <x:v>0</x:v>
      </x:c>
      <x:c r="N565" s="9" t="str">
        <x:v>UNFILED / UNPROVEN</x:v>
      </x:c>
      <x:c r="O565" s="9" t="n">
        <x:f>COUNTIFS($A$7:$A$1302,A565)</x:f>
        <x:v>1</x:v>
      </x:c>
    </x:row>
    <x:row r="566">
      <x:c r="A566" s="9" t="str">
        <x:v>EV-AR-HU-A-B-TECH-4-B2-INT-G0-IV02</x:v>
      </x:c>
      <x:c r="B566" s="9" t="str">
        <x:v>EV-AR-HU-A-B-TECH-4-B2-INT-G0</x:v>
      </x:c>
      <x:c r="C566" s="9" t="str">
        <x:v>AR-HU-A-B-TECH-4-B2-INT-G0</x:v>
      </x:c>
      <x:c r="D566" s="9" t="str">
        <x:v>HU-A-B-TECH-4</x:v>
      </x:c>
      <x:c r="E566" s="9" t="str">
        <x:v>HU-A-B</x:v>
      </x:c>
      <x:c r="F566" s="9" t="str">
        <x:v>B2</x:v>
      </x:c>
      <x:c r="G566" s="9" t="str">
        <x:v>INT</x:v>
      </x:c>
      <x:c r="H566" s="9" t="str">
        <x:v>IV02</x:v>
      </x:c>
      <x:c r="I566" s="17" t="str">
        <x:v>Named facility cause</x:v>
      </x:c>
      <x:c r="J566" s="17" t="str">
        <x:v>one pre-registered noncandidate cause is identified</x:v>
      </x:c>
      <x:c r="K566" s="17" t="str">
        <x:v>Facility-cause court</x:v>
      </x:c>
      <x:c r="L566" s="9" t="n">
        <x:v>0</x:v>
      </x:c>
      <x:c r="M566" s="9" t="n">
        <x:v>0</x:v>
      </x:c>
      <x:c r="N566" s="9" t="str">
        <x:v>UNFILED / UNPROVEN</x:v>
      </x:c>
      <x:c r="O566" s="9" t="n">
        <x:f>COUNTIFS($A$7:$A$1302,A566)</x:f>
        <x:v>1</x:v>
      </x:c>
    </x:row>
    <x:row r="567">
      <x:c r="A567" s="9" t="str">
        <x:v>EV-AR-HU-A-B-TECH-4-B2-INT-G0-IV03</x:v>
      </x:c>
      <x:c r="B567" s="9" t="str">
        <x:v>EV-AR-HU-A-B-TECH-4-B2-INT-G0</x:v>
      </x:c>
      <x:c r="C567" s="9" t="str">
        <x:v>AR-HU-A-B-TECH-4-B2-INT-G0</x:v>
      </x:c>
      <x:c r="D567" s="9" t="str">
        <x:v>HU-A-B-TECH-4</x:v>
      </x:c>
      <x:c r="E567" s="9" t="str">
        <x:v>HU-A-B</x:v>
      </x:c>
      <x:c r="F567" s="9" t="str">
        <x:v>B2</x:v>
      </x:c>
      <x:c r="G567" s="9" t="str">
        <x:v>INT</x:v>
      </x:c>
      <x:c r="H567" s="9" t="str">
        <x:v>IV03</x:v>
      </x:c>
      <x:c r="I567" s="17" t="str">
        <x:v>Temporal priority</x:v>
      </x:c>
      <x:c r="J567" s="17" t="str">
        <x:v>cause demonstrably precedes the disputed candidate behavior</x:v>
      </x:c>
      <x:c r="K567" s="17" t="str">
        <x:v>Time authority</x:v>
      </x:c>
      <x:c r="L567" s="9" t="n">
        <x:v>0</x:v>
      </x:c>
      <x:c r="M567" s="9" t="n">
        <x:v>0</x:v>
      </x:c>
      <x:c r="N567" s="9" t="str">
        <x:v>UNFILED / UNPROVEN</x:v>
      </x:c>
      <x:c r="O567" s="9" t="n">
        <x:f>COUNTIFS($A$7:$A$1302,A567)</x:f>
        <x:v>1</x:v>
      </x:c>
    </x:row>
    <x:row r="568">
      <x:c r="A568" s="9" t="str">
        <x:v>EV-AR-HU-A-B-TECH-4-B2-INT-G0-IV04</x:v>
      </x:c>
      <x:c r="B568" s="9" t="str">
        <x:v>EV-AR-HU-A-B-TECH-4-B2-INT-G0</x:v>
      </x:c>
      <x:c r="C568" s="9" t="str">
        <x:v>AR-HU-A-B-TECH-4-B2-INT-G0</x:v>
      </x:c>
      <x:c r="D568" s="9" t="str">
        <x:v>HU-A-B-TECH-4</x:v>
      </x:c>
      <x:c r="E568" s="9" t="str">
        <x:v>HU-A-B</x:v>
      </x:c>
      <x:c r="F568" s="9" t="str">
        <x:v>B2</x:v>
      </x:c>
      <x:c r="G568" s="9" t="str">
        <x:v>INT</x:v>
      </x:c>
      <x:c r="H568" s="9" t="str">
        <x:v>IV04</x:v>
      </x:c>
      <x:c r="I568" s="17" t="str">
        <x:v>Independent trace</x:v>
      </x:c>
      <x:c r="J568" s="17" t="str">
        <x:v>two unlike records carry the cause without candidate custody</x:v>
      </x:c>
      <x:c r="K568" s="17" t="str">
        <x:v>Invalidity court</x:v>
      </x:c>
      <x:c r="L568" s="9" t="n">
        <x:v>0</x:v>
      </x:c>
      <x:c r="M568" s="9" t="n">
        <x:v>0</x:v>
      </x:c>
      <x:c r="N568" s="9" t="str">
        <x:v>UNFILED / UNPROVEN</x:v>
      </x:c>
      <x:c r="O568" s="9" t="n">
        <x:f>COUNTIFS($A$7:$A$1302,A568)</x:f>
        <x:v>1</x:v>
      </x:c>
    </x:row>
    <x:row r="569">
      <x:c r="A569" s="9" t="str">
        <x:v>EV-AR-HU-A-B-TECH-4-B2-INT-G0-IV05</x:v>
      </x:c>
      <x:c r="B569" s="9" t="str">
        <x:v>EV-AR-HU-A-B-TECH-4-B2-INT-G0</x:v>
      </x:c>
      <x:c r="C569" s="9" t="str">
        <x:v>AR-HU-A-B-TECH-4-B2-INT-G0</x:v>
      </x:c>
      <x:c r="D569" s="9" t="str">
        <x:v>HU-A-B-TECH-4</x:v>
      </x:c>
      <x:c r="E569" s="9" t="str">
        <x:v>HU-A-B</x:v>
      </x:c>
      <x:c r="F569" s="9" t="str">
        <x:v>B2</x:v>
      </x:c>
      <x:c r="G569" s="9" t="str">
        <x:v>INT</x:v>
      </x:c>
      <x:c r="H569" s="9" t="str">
        <x:v>IV05</x:v>
      </x:c>
      <x:c r="I569" s="17" t="str">
        <x:v>Causal counterfactual</x:v>
      </x:c>
      <x:c r="J569" s="17" t="str">
        <x:v>registered counterfactual shows the cause can create the defect</x:v>
      </x:c>
      <x:c r="K569" s="17" t="str">
        <x:v>Causal court</x:v>
      </x:c>
      <x:c r="L569" s="9" t="n">
        <x:v>0</x:v>
      </x:c>
      <x:c r="M569" s="9" t="n">
        <x:v>0</x:v>
      </x:c>
      <x:c r="N569" s="9" t="str">
        <x:v>UNFILED / UNPROVEN</x:v>
      </x:c>
      <x:c r="O569" s="9" t="n">
        <x:f>COUNTIFS($A$7:$A$1302,A569)</x:f>
        <x:v>1</x:v>
      </x:c>
    </x:row>
    <x:row r="570">
      <x:c r="A570" s="9" t="str">
        <x:v>EV-AR-HU-A-B-TECH-4-B2-INT-G0-IV06</x:v>
      </x:c>
      <x:c r="B570" s="9" t="str">
        <x:v>EV-AR-HU-A-B-TECH-4-B2-INT-G0</x:v>
      </x:c>
      <x:c r="C570" s="9" t="str">
        <x:v>AR-HU-A-B-TECH-4-B2-INT-G0</x:v>
      </x:c>
      <x:c r="D570" s="9" t="str">
        <x:v>HU-A-B-TECH-4</x:v>
      </x:c>
      <x:c r="E570" s="9" t="str">
        <x:v>HU-A-B</x:v>
      </x:c>
      <x:c r="F570" s="9" t="str">
        <x:v>B2</x:v>
      </x:c>
      <x:c r="G570" s="9" t="str">
        <x:v>INT</x:v>
      </x:c>
      <x:c r="H570" s="9" t="str">
        <x:v>IV06</x:v>
      </x:c>
      <x:c r="I570" s="17" t="str">
        <x:v>Candidate non-causation</x:v>
      </x:c>
      <x:c r="J570" s="17" t="str">
        <x:v>evidence excludes candidate induction of the facility condition</x:v>
      </x:c>
      <x:c r="K570" s="17" t="str">
        <x:v>Causal court</x:v>
      </x:c>
      <x:c r="L570" s="9" t="n">
        <x:v>0</x:v>
      </x:c>
      <x:c r="M570" s="9" t="n">
        <x:v>0</x:v>
      </x:c>
      <x:c r="N570" s="9" t="str">
        <x:v>UNFILED / UNPROVEN</x:v>
      </x:c>
      <x:c r="O570" s="9" t="n">
        <x:f>COUNTIFS($A$7:$A$1302,A570)</x:f>
        <x:v>1</x:v>
      </x:c>
    </x:row>
    <x:row r="571">
      <x:c r="A571" s="9" t="str">
        <x:v>EV-AR-HU-A-B-TECH-4-B2-INT-G0-IV07</x:v>
      </x:c>
      <x:c r="B571" s="9" t="str">
        <x:v>EV-AR-HU-A-B-TECH-4-B2-INT-G0</x:v>
      </x:c>
      <x:c r="C571" s="9" t="str">
        <x:v>AR-HU-A-B-TECH-4-B2-INT-G0</x:v>
      </x:c>
      <x:c r="D571" s="9" t="str">
        <x:v>HU-A-B-TECH-4</x:v>
      </x:c>
      <x:c r="E571" s="9" t="str">
        <x:v>HU-A-B</x:v>
      </x:c>
      <x:c r="F571" s="9" t="str">
        <x:v>B2</x:v>
      </x:c>
      <x:c r="G571" s="9" t="str">
        <x:v>INT</x:v>
      </x:c>
      <x:c r="H571" s="9" t="str">
        <x:v>IV07</x:v>
      </x:c>
      <x:c r="I571" s="17" t="str">
        <x:v>No outcome selection</x:v>
      </x:c>
      <x:c r="J571" s="17" t="str">
        <x:v>petition rule and evidence scope were fixed before visibility</x:v>
      </x:c>
      <x:c r="K571" s="17" t="str">
        <x:v>Conflict registrar</x:v>
      </x:c>
      <x:c r="L571" s="9" t="n">
        <x:v>0</x:v>
      </x:c>
      <x:c r="M571" s="9" t="n">
        <x:v>0</x:v>
      </x:c>
      <x:c r="N571" s="9" t="str">
        <x:v>UNFILED / UNPROVEN</x:v>
      </x:c>
      <x:c r="O571" s="9" t="n">
        <x:f>COUNTIFS($A$7:$A$1302,A571)</x:f>
        <x:v>1</x:v>
      </x:c>
    </x:row>
    <x:row r="572">
      <x:c r="A572" s="9" t="str">
        <x:v>EV-AR-HU-A-B-TECH-4-B2-INT-G0-IV08</x:v>
      </x:c>
      <x:c r="B572" s="9" t="str">
        <x:v>EV-AR-HU-A-B-TECH-4-B2-INT-G0</x:v>
      </x:c>
      <x:c r="C572" s="9" t="str">
        <x:v>AR-HU-A-B-TECH-4-B2-INT-G0</x:v>
      </x:c>
      <x:c r="D572" s="9" t="str">
        <x:v>HU-A-B-TECH-4</x:v>
      </x:c>
      <x:c r="E572" s="9" t="str">
        <x:v>HU-A-B</x:v>
      </x:c>
      <x:c r="F572" s="9" t="str">
        <x:v>B2</x:v>
      </x:c>
      <x:c r="G572" s="9" t="str">
        <x:v>INT</x:v>
      </x:c>
      <x:c r="H572" s="9" t="str">
        <x:v>IV08</x:v>
      </x:c>
      <x:c r="I572" s="17" t="str">
        <x:v>Whole-record preservation</x:v>
      </x:c>
      <x:c r="J572" s="17" t="str">
        <x:v>start, raw behavior, dissent and intervention remain in archive</x:v>
      </x:c>
      <x:c r="K572" s="17" t="str">
        <x:v>Archive authority</x:v>
      </x:c>
      <x:c r="L572" s="9" t="n">
        <x:v>0</x:v>
      </x:c>
      <x:c r="M572" s="9" t="n">
        <x:v>0</x:v>
      </x:c>
      <x:c r="N572" s="9" t="str">
        <x:v>UNFILED / UNPROVEN</x:v>
      </x:c>
      <x:c r="O572" s="9" t="n">
        <x:f>COUNTIFS($A$7:$A$1302,A572)</x:f>
        <x:v>1</x:v>
      </x:c>
    </x:row>
    <x:row r="573">
      <x:c r="A573" s="9" t="str">
        <x:v>EV-AR-HU-A-B-TECH-4-B2-INT-G0-IV09</x:v>
      </x:c>
      <x:c r="B573" s="9" t="str">
        <x:v>EV-AR-HU-A-B-TECH-4-B2-INT-G0</x:v>
      </x:c>
      <x:c r="C573" s="9" t="str">
        <x:v>AR-HU-A-B-TECH-4-B2-INT-G0</x:v>
      </x:c>
      <x:c r="D573" s="9" t="str">
        <x:v>HU-A-B-TECH-4</x:v>
      </x:c>
      <x:c r="E573" s="9" t="str">
        <x:v>HU-A-B</x:v>
      </x:c>
      <x:c r="F573" s="9" t="str">
        <x:v>B2</x:v>
      </x:c>
      <x:c r="G573" s="9" t="str">
        <x:v>INT</x:v>
      </x:c>
      <x:c r="H573" s="9" t="str">
        <x:v>IV09</x:v>
      </x:c>
      <x:c r="I573" s="17" t="str">
        <x:v>Bounded remedy</x:v>
      </x:c>
      <x:c r="J573" s="17" t="str">
        <x:v>only a new slot and EOW may follow; no favorable credit or erased attempt</x:v>
      </x:c>
      <x:c r="K573" s="17" t="str">
        <x:v>Invalidity court</x:v>
      </x:c>
      <x:c r="L573" s="9" t="n">
        <x:v>0</x:v>
      </x:c>
      <x:c r="M573" s="9" t="n">
        <x:v>0</x:v>
      </x:c>
      <x:c r="N573" s="9" t="str">
        <x:v>UNFILED / UNPROVEN</x:v>
      </x:c>
      <x:c r="O573" s="9" t="n">
        <x:f>COUNTIFS($A$7:$A$1302,A573)</x:f>
        <x:v>1</x:v>
      </x:c>
    </x:row>
    <x:row r="574">
      <x:c r="A574" s="9" t="str">
        <x:v>EV-AR-LF-B-A-TECH-4-B1-BRK-G0-IV01</x:v>
      </x:c>
      <x:c r="B574" s="9" t="str">
        <x:v>EV-AR-LF-B-A-TECH-4-B1-BRK-G0</x:v>
      </x:c>
      <x:c r="C574" s="9" t="str">
        <x:v>AR-LF-B-A-TECH-4-B1-BRK-G0</x:v>
      </x:c>
      <x:c r="D574" s="9" t="str">
        <x:v>LF-B-A-TECH-4</x:v>
      </x:c>
      <x:c r="E574" s="9" t="str">
        <x:v>LF-B-A</x:v>
      </x:c>
      <x:c r="F574" s="9" t="str">
        <x:v>B1</x:v>
      </x:c>
      <x:c r="G574" s="9" t="str">
        <x:v>BRK</x:v>
      </x:c>
      <x:c r="H574" s="9" t="str">
        <x:v>IV01</x:v>
      </x:c>
      <x:c r="I574" s="17" t="str">
        <x:v>Timely petition</x:v>
      </x:c>
      <x:c r="J574" s="17" t="str">
        <x:v>petition enters within seventy-two hours of event close</x:v>
      </x:c>
      <x:c r="K574" s="17" t="str">
        <x:v>Invalidity registrar</x:v>
      </x:c>
      <x:c r="L574" s="9" t="n">
        <x:v>0</x:v>
      </x:c>
      <x:c r="M574" s="9" t="n">
        <x:v>0</x:v>
      </x:c>
      <x:c r="N574" s="9" t="str">
        <x:v>UNFILED / UNPROVEN</x:v>
      </x:c>
      <x:c r="O574" s="9" t="n">
        <x:f>COUNTIFS($A$7:$A$1302,A574)</x:f>
        <x:v>1</x:v>
      </x:c>
    </x:row>
    <x:row r="575">
      <x:c r="A575" s="9" t="str">
        <x:v>EV-AR-LF-B-A-TECH-4-B1-BRK-G0-IV02</x:v>
      </x:c>
      <x:c r="B575" s="9" t="str">
        <x:v>EV-AR-LF-B-A-TECH-4-B1-BRK-G0</x:v>
      </x:c>
      <x:c r="C575" s="9" t="str">
        <x:v>AR-LF-B-A-TECH-4-B1-BRK-G0</x:v>
      </x:c>
      <x:c r="D575" s="9" t="str">
        <x:v>LF-B-A-TECH-4</x:v>
      </x:c>
      <x:c r="E575" s="9" t="str">
        <x:v>LF-B-A</x:v>
      </x:c>
      <x:c r="F575" s="9" t="str">
        <x:v>B1</x:v>
      </x:c>
      <x:c r="G575" s="9" t="str">
        <x:v>BRK</x:v>
      </x:c>
      <x:c r="H575" s="9" t="str">
        <x:v>IV02</x:v>
      </x:c>
      <x:c r="I575" s="17" t="str">
        <x:v>Named facility cause</x:v>
      </x:c>
      <x:c r="J575" s="17" t="str">
        <x:v>one pre-registered noncandidate cause is identified</x:v>
      </x:c>
      <x:c r="K575" s="17" t="str">
        <x:v>Facility-cause court</x:v>
      </x:c>
      <x:c r="L575" s="9" t="n">
        <x:v>0</x:v>
      </x:c>
      <x:c r="M575" s="9" t="n">
        <x:v>0</x:v>
      </x:c>
      <x:c r="N575" s="9" t="str">
        <x:v>UNFILED / UNPROVEN</x:v>
      </x:c>
      <x:c r="O575" s="9" t="n">
        <x:f>COUNTIFS($A$7:$A$1302,A575)</x:f>
        <x:v>1</x:v>
      </x:c>
    </x:row>
    <x:row r="576">
      <x:c r="A576" s="9" t="str">
        <x:v>EV-AR-LF-B-A-TECH-4-B1-BRK-G0-IV03</x:v>
      </x:c>
      <x:c r="B576" s="9" t="str">
        <x:v>EV-AR-LF-B-A-TECH-4-B1-BRK-G0</x:v>
      </x:c>
      <x:c r="C576" s="9" t="str">
        <x:v>AR-LF-B-A-TECH-4-B1-BRK-G0</x:v>
      </x:c>
      <x:c r="D576" s="9" t="str">
        <x:v>LF-B-A-TECH-4</x:v>
      </x:c>
      <x:c r="E576" s="9" t="str">
        <x:v>LF-B-A</x:v>
      </x:c>
      <x:c r="F576" s="9" t="str">
        <x:v>B1</x:v>
      </x:c>
      <x:c r="G576" s="9" t="str">
        <x:v>BRK</x:v>
      </x:c>
      <x:c r="H576" s="9" t="str">
        <x:v>IV03</x:v>
      </x:c>
      <x:c r="I576" s="17" t="str">
        <x:v>Temporal priority</x:v>
      </x:c>
      <x:c r="J576" s="17" t="str">
        <x:v>cause demonstrably precedes the disputed candidate behavior</x:v>
      </x:c>
      <x:c r="K576" s="17" t="str">
        <x:v>Time authority</x:v>
      </x:c>
      <x:c r="L576" s="9" t="n">
        <x:v>0</x:v>
      </x:c>
      <x:c r="M576" s="9" t="n">
        <x:v>0</x:v>
      </x:c>
      <x:c r="N576" s="9" t="str">
        <x:v>UNFILED / UNPROVEN</x:v>
      </x:c>
      <x:c r="O576" s="9" t="n">
        <x:f>COUNTIFS($A$7:$A$1302,A576)</x:f>
        <x:v>1</x:v>
      </x:c>
    </x:row>
    <x:row r="577">
      <x:c r="A577" s="9" t="str">
        <x:v>EV-AR-LF-B-A-TECH-4-B1-BRK-G0-IV04</x:v>
      </x:c>
      <x:c r="B577" s="9" t="str">
        <x:v>EV-AR-LF-B-A-TECH-4-B1-BRK-G0</x:v>
      </x:c>
      <x:c r="C577" s="9" t="str">
        <x:v>AR-LF-B-A-TECH-4-B1-BRK-G0</x:v>
      </x:c>
      <x:c r="D577" s="9" t="str">
        <x:v>LF-B-A-TECH-4</x:v>
      </x:c>
      <x:c r="E577" s="9" t="str">
        <x:v>LF-B-A</x:v>
      </x:c>
      <x:c r="F577" s="9" t="str">
        <x:v>B1</x:v>
      </x:c>
      <x:c r="G577" s="9" t="str">
        <x:v>BRK</x:v>
      </x:c>
      <x:c r="H577" s="9" t="str">
        <x:v>IV04</x:v>
      </x:c>
      <x:c r="I577" s="17" t="str">
        <x:v>Independent trace</x:v>
      </x:c>
      <x:c r="J577" s="17" t="str">
        <x:v>two unlike records carry the cause without candidate custody</x:v>
      </x:c>
      <x:c r="K577" s="17" t="str">
        <x:v>Invalidity court</x:v>
      </x:c>
      <x:c r="L577" s="9" t="n">
        <x:v>0</x:v>
      </x:c>
      <x:c r="M577" s="9" t="n">
        <x:v>0</x:v>
      </x:c>
      <x:c r="N577" s="9" t="str">
        <x:v>UNFILED / UNPROVEN</x:v>
      </x:c>
      <x:c r="O577" s="9" t="n">
        <x:f>COUNTIFS($A$7:$A$1302,A577)</x:f>
        <x:v>1</x:v>
      </x:c>
    </x:row>
    <x:row r="578">
      <x:c r="A578" s="9" t="str">
        <x:v>EV-AR-LF-B-A-TECH-4-B1-BRK-G0-IV05</x:v>
      </x:c>
      <x:c r="B578" s="9" t="str">
        <x:v>EV-AR-LF-B-A-TECH-4-B1-BRK-G0</x:v>
      </x:c>
      <x:c r="C578" s="9" t="str">
        <x:v>AR-LF-B-A-TECH-4-B1-BRK-G0</x:v>
      </x:c>
      <x:c r="D578" s="9" t="str">
        <x:v>LF-B-A-TECH-4</x:v>
      </x:c>
      <x:c r="E578" s="9" t="str">
        <x:v>LF-B-A</x:v>
      </x:c>
      <x:c r="F578" s="9" t="str">
        <x:v>B1</x:v>
      </x:c>
      <x:c r="G578" s="9" t="str">
        <x:v>BRK</x:v>
      </x:c>
      <x:c r="H578" s="9" t="str">
        <x:v>IV05</x:v>
      </x:c>
      <x:c r="I578" s="17" t="str">
        <x:v>Causal counterfactual</x:v>
      </x:c>
      <x:c r="J578" s="17" t="str">
        <x:v>registered counterfactual shows the cause can create the defect</x:v>
      </x:c>
      <x:c r="K578" s="17" t="str">
        <x:v>Causal court</x:v>
      </x:c>
      <x:c r="L578" s="9" t="n">
        <x:v>0</x:v>
      </x:c>
      <x:c r="M578" s="9" t="n">
        <x:v>0</x:v>
      </x:c>
      <x:c r="N578" s="9" t="str">
        <x:v>UNFILED / UNPROVEN</x:v>
      </x:c>
      <x:c r="O578" s="9" t="n">
        <x:f>COUNTIFS($A$7:$A$1302,A578)</x:f>
        <x:v>1</x:v>
      </x:c>
    </x:row>
    <x:row r="579">
      <x:c r="A579" s="9" t="str">
        <x:v>EV-AR-LF-B-A-TECH-4-B1-BRK-G0-IV06</x:v>
      </x:c>
      <x:c r="B579" s="9" t="str">
        <x:v>EV-AR-LF-B-A-TECH-4-B1-BRK-G0</x:v>
      </x:c>
      <x:c r="C579" s="9" t="str">
        <x:v>AR-LF-B-A-TECH-4-B1-BRK-G0</x:v>
      </x:c>
      <x:c r="D579" s="9" t="str">
        <x:v>LF-B-A-TECH-4</x:v>
      </x:c>
      <x:c r="E579" s="9" t="str">
        <x:v>LF-B-A</x:v>
      </x:c>
      <x:c r="F579" s="9" t="str">
        <x:v>B1</x:v>
      </x:c>
      <x:c r="G579" s="9" t="str">
        <x:v>BRK</x:v>
      </x:c>
      <x:c r="H579" s="9" t="str">
        <x:v>IV06</x:v>
      </x:c>
      <x:c r="I579" s="17" t="str">
        <x:v>Candidate non-causation</x:v>
      </x:c>
      <x:c r="J579" s="17" t="str">
        <x:v>evidence excludes candidate induction of the facility condition</x:v>
      </x:c>
      <x:c r="K579" s="17" t="str">
        <x:v>Causal court</x:v>
      </x:c>
      <x:c r="L579" s="9" t="n">
        <x:v>0</x:v>
      </x:c>
      <x:c r="M579" s="9" t="n">
        <x:v>0</x:v>
      </x:c>
      <x:c r="N579" s="9" t="str">
        <x:v>UNFILED / UNPROVEN</x:v>
      </x:c>
      <x:c r="O579" s="9" t="n">
        <x:f>COUNTIFS($A$7:$A$1302,A579)</x:f>
        <x:v>1</x:v>
      </x:c>
    </x:row>
    <x:row r="580">
      <x:c r="A580" s="9" t="str">
        <x:v>EV-AR-LF-B-A-TECH-4-B1-BRK-G0-IV07</x:v>
      </x:c>
      <x:c r="B580" s="9" t="str">
        <x:v>EV-AR-LF-B-A-TECH-4-B1-BRK-G0</x:v>
      </x:c>
      <x:c r="C580" s="9" t="str">
        <x:v>AR-LF-B-A-TECH-4-B1-BRK-G0</x:v>
      </x:c>
      <x:c r="D580" s="9" t="str">
        <x:v>LF-B-A-TECH-4</x:v>
      </x:c>
      <x:c r="E580" s="9" t="str">
        <x:v>LF-B-A</x:v>
      </x:c>
      <x:c r="F580" s="9" t="str">
        <x:v>B1</x:v>
      </x:c>
      <x:c r="G580" s="9" t="str">
        <x:v>BRK</x:v>
      </x:c>
      <x:c r="H580" s="9" t="str">
        <x:v>IV07</x:v>
      </x:c>
      <x:c r="I580" s="17" t="str">
        <x:v>No outcome selection</x:v>
      </x:c>
      <x:c r="J580" s="17" t="str">
        <x:v>petition rule and evidence scope were fixed before visibility</x:v>
      </x:c>
      <x:c r="K580" s="17" t="str">
        <x:v>Conflict registrar</x:v>
      </x:c>
      <x:c r="L580" s="9" t="n">
        <x:v>0</x:v>
      </x:c>
      <x:c r="M580" s="9" t="n">
        <x:v>0</x:v>
      </x:c>
      <x:c r="N580" s="9" t="str">
        <x:v>UNFILED / UNPROVEN</x:v>
      </x:c>
      <x:c r="O580" s="9" t="n">
        <x:f>COUNTIFS($A$7:$A$1302,A580)</x:f>
        <x:v>1</x:v>
      </x:c>
    </x:row>
    <x:row r="581">
      <x:c r="A581" s="9" t="str">
        <x:v>EV-AR-LF-B-A-TECH-4-B1-BRK-G0-IV08</x:v>
      </x:c>
      <x:c r="B581" s="9" t="str">
        <x:v>EV-AR-LF-B-A-TECH-4-B1-BRK-G0</x:v>
      </x:c>
      <x:c r="C581" s="9" t="str">
        <x:v>AR-LF-B-A-TECH-4-B1-BRK-G0</x:v>
      </x:c>
      <x:c r="D581" s="9" t="str">
        <x:v>LF-B-A-TECH-4</x:v>
      </x:c>
      <x:c r="E581" s="9" t="str">
        <x:v>LF-B-A</x:v>
      </x:c>
      <x:c r="F581" s="9" t="str">
        <x:v>B1</x:v>
      </x:c>
      <x:c r="G581" s="9" t="str">
        <x:v>BRK</x:v>
      </x:c>
      <x:c r="H581" s="9" t="str">
        <x:v>IV08</x:v>
      </x:c>
      <x:c r="I581" s="17" t="str">
        <x:v>Whole-record preservation</x:v>
      </x:c>
      <x:c r="J581" s="17" t="str">
        <x:v>start, raw behavior, dissent and intervention remain in archive</x:v>
      </x:c>
      <x:c r="K581" s="17" t="str">
        <x:v>Archive authority</x:v>
      </x:c>
      <x:c r="L581" s="9" t="n">
        <x:v>0</x:v>
      </x:c>
      <x:c r="M581" s="9" t="n">
        <x:v>0</x:v>
      </x:c>
      <x:c r="N581" s="9" t="str">
        <x:v>UNFILED / UNPROVEN</x:v>
      </x:c>
      <x:c r="O581" s="9" t="n">
        <x:f>COUNTIFS($A$7:$A$1302,A581)</x:f>
        <x:v>1</x:v>
      </x:c>
    </x:row>
    <x:row r="582">
      <x:c r="A582" s="9" t="str">
        <x:v>EV-AR-LF-B-A-TECH-4-B1-BRK-G0-IV09</x:v>
      </x:c>
      <x:c r="B582" s="9" t="str">
        <x:v>EV-AR-LF-B-A-TECH-4-B1-BRK-G0</x:v>
      </x:c>
      <x:c r="C582" s="9" t="str">
        <x:v>AR-LF-B-A-TECH-4-B1-BRK-G0</x:v>
      </x:c>
      <x:c r="D582" s="9" t="str">
        <x:v>LF-B-A-TECH-4</x:v>
      </x:c>
      <x:c r="E582" s="9" t="str">
        <x:v>LF-B-A</x:v>
      </x:c>
      <x:c r="F582" s="9" t="str">
        <x:v>B1</x:v>
      </x:c>
      <x:c r="G582" s="9" t="str">
        <x:v>BRK</x:v>
      </x:c>
      <x:c r="H582" s="9" t="str">
        <x:v>IV09</x:v>
      </x:c>
      <x:c r="I582" s="17" t="str">
        <x:v>Bounded remedy</x:v>
      </x:c>
      <x:c r="J582" s="17" t="str">
        <x:v>only a new slot and EOW may follow; no favorable credit or erased attempt</x:v>
      </x:c>
      <x:c r="K582" s="17" t="str">
        <x:v>Invalidity court</x:v>
      </x:c>
      <x:c r="L582" s="9" t="n">
        <x:v>0</x:v>
      </x:c>
      <x:c r="M582" s="9" t="n">
        <x:v>0</x:v>
      </x:c>
      <x:c r="N582" s="9" t="str">
        <x:v>UNFILED / UNPROVEN</x:v>
      </x:c>
      <x:c r="O582" s="9" t="n">
        <x:f>COUNTIFS($A$7:$A$1302,A582)</x:f>
        <x:v>1</x:v>
      </x:c>
    </x:row>
    <x:row r="583">
      <x:c r="A583" s="9" t="str">
        <x:v>EV-AR-LF-B-A-TECH-3-B2-BRK-G0-IV01</x:v>
      </x:c>
      <x:c r="B583" s="9" t="str">
        <x:v>EV-AR-LF-B-A-TECH-3-B2-BRK-G0</x:v>
      </x:c>
      <x:c r="C583" s="9" t="str">
        <x:v>AR-LF-B-A-TECH-3-B2-BRK-G0</x:v>
      </x:c>
      <x:c r="D583" s="9" t="str">
        <x:v>LF-B-A-TECH-3</x:v>
      </x:c>
      <x:c r="E583" s="9" t="str">
        <x:v>LF-B-A</x:v>
      </x:c>
      <x:c r="F583" s="9" t="str">
        <x:v>B2</x:v>
      </x:c>
      <x:c r="G583" s="9" t="str">
        <x:v>BRK</x:v>
      </x:c>
      <x:c r="H583" s="9" t="str">
        <x:v>IV01</x:v>
      </x:c>
      <x:c r="I583" s="17" t="str">
        <x:v>Timely petition</x:v>
      </x:c>
      <x:c r="J583" s="17" t="str">
        <x:v>petition enters within seventy-two hours of event close</x:v>
      </x:c>
      <x:c r="K583" s="17" t="str">
        <x:v>Invalidity registrar</x:v>
      </x:c>
      <x:c r="L583" s="9" t="n">
        <x:v>0</x:v>
      </x:c>
      <x:c r="M583" s="9" t="n">
        <x:v>0</x:v>
      </x:c>
      <x:c r="N583" s="9" t="str">
        <x:v>UNFILED / UNPROVEN</x:v>
      </x:c>
      <x:c r="O583" s="9" t="n">
        <x:f>COUNTIFS($A$7:$A$1302,A583)</x:f>
        <x:v>1</x:v>
      </x:c>
    </x:row>
    <x:row r="584">
      <x:c r="A584" s="9" t="str">
        <x:v>EV-AR-LF-B-A-TECH-3-B2-BRK-G0-IV02</x:v>
      </x:c>
      <x:c r="B584" s="9" t="str">
        <x:v>EV-AR-LF-B-A-TECH-3-B2-BRK-G0</x:v>
      </x:c>
      <x:c r="C584" s="9" t="str">
        <x:v>AR-LF-B-A-TECH-3-B2-BRK-G0</x:v>
      </x:c>
      <x:c r="D584" s="9" t="str">
        <x:v>LF-B-A-TECH-3</x:v>
      </x:c>
      <x:c r="E584" s="9" t="str">
        <x:v>LF-B-A</x:v>
      </x:c>
      <x:c r="F584" s="9" t="str">
        <x:v>B2</x:v>
      </x:c>
      <x:c r="G584" s="9" t="str">
        <x:v>BRK</x:v>
      </x:c>
      <x:c r="H584" s="9" t="str">
        <x:v>IV02</x:v>
      </x:c>
      <x:c r="I584" s="17" t="str">
        <x:v>Named facility cause</x:v>
      </x:c>
      <x:c r="J584" s="17" t="str">
        <x:v>one pre-registered noncandidate cause is identified</x:v>
      </x:c>
      <x:c r="K584" s="17" t="str">
        <x:v>Facility-cause court</x:v>
      </x:c>
      <x:c r="L584" s="9" t="n">
        <x:v>0</x:v>
      </x:c>
      <x:c r="M584" s="9" t="n">
        <x:v>0</x:v>
      </x:c>
      <x:c r="N584" s="9" t="str">
        <x:v>UNFILED / UNPROVEN</x:v>
      </x:c>
      <x:c r="O584" s="9" t="n">
        <x:f>COUNTIFS($A$7:$A$1302,A584)</x:f>
        <x:v>1</x:v>
      </x:c>
    </x:row>
    <x:row r="585">
      <x:c r="A585" s="9" t="str">
        <x:v>EV-AR-LF-B-A-TECH-3-B2-BRK-G0-IV03</x:v>
      </x:c>
      <x:c r="B585" s="9" t="str">
        <x:v>EV-AR-LF-B-A-TECH-3-B2-BRK-G0</x:v>
      </x:c>
      <x:c r="C585" s="9" t="str">
        <x:v>AR-LF-B-A-TECH-3-B2-BRK-G0</x:v>
      </x:c>
      <x:c r="D585" s="9" t="str">
        <x:v>LF-B-A-TECH-3</x:v>
      </x:c>
      <x:c r="E585" s="9" t="str">
        <x:v>LF-B-A</x:v>
      </x:c>
      <x:c r="F585" s="9" t="str">
        <x:v>B2</x:v>
      </x:c>
      <x:c r="G585" s="9" t="str">
        <x:v>BRK</x:v>
      </x:c>
      <x:c r="H585" s="9" t="str">
        <x:v>IV03</x:v>
      </x:c>
      <x:c r="I585" s="17" t="str">
        <x:v>Temporal priority</x:v>
      </x:c>
      <x:c r="J585" s="17" t="str">
        <x:v>cause demonstrably precedes the disputed candidate behavior</x:v>
      </x:c>
      <x:c r="K585" s="17" t="str">
        <x:v>Time authority</x:v>
      </x:c>
      <x:c r="L585" s="9" t="n">
        <x:v>0</x:v>
      </x:c>
      <x:c r="M585" s="9" t="n">
        <x:v>0</x:v>
      </x:c>
      <x:c r="N585" s="9" t="str">
        <x:v>UNFILED / UNPROVEN</x:v>
      </x:c>
      <x:c r="O585" s="9" t="n">
        <x:f>COUNTIFS($A$7:$A$1302,A585)</x:f>
        <x:v>1</x:v>
      </x:c>
    </x:row>
    <x:row r="586">
      <x:c r="A586" s="9" t="str">
        <x:v>EV-AR-LF-B-A-TECH-3-B2-BRK-G0-IV04</x:v>
      </x:c>
      <x:c r="B586" s="9" t="str">
        <x:v>EV-AR-LF-B-A-TECH-3-B2-BRK-G0</x:v>
      </x:c>
      <x:c r="C586" s="9" t="str">
        <x:v>AR-LF-B-A-TECH-3-B2-BRK-G0</x:v>
      </x:c>
      <x:c r="D586" s="9" t="str">
        <x:v>LF-B-A-TECH-3</x:v>
      </x:c>
      <x:c r="E586" s="9" t="str">
        <x:v>LF-B-A</x:v>
      </x:c>
      <x:c r="F586" s="9" t="str">
        <x:v>B2</x:v>
      </x:c>
      <x:c r="G586" s="9" t="str">
        <x:v>BRK</x:v>
      </x:c>
      <x:c r="H586" s="9" t="str">
        <x:v>IV04</x:v>
      </x:c>
      <x:c r="I586" s="17" t="str">
        <x:v>Independent trace</x:v>
      </x:c>
      <x:c r="J586" s="17" t="str">
        <x:v>two unlike records carry the cause without candidate custody</x:v>
      </x:c>
      <x:c r="K586" s="17" t="str">
        <x:v>Invalidity court</x:v>
      </x:c>
      <x:c r="L586" s="9" t="n">
        <x:v>0</x:v>
      </x:c>
      <x:c r="M586" s="9" t="n">
        <x:v>0</x:v>
      </x:c>
      <x:c r="N586" s="9" t="str">
        <x:v>UNFILED / UNPROVEN</x:v>
      </x:c>
      <x:c r="O586" s="9" t="n">
        <x:f>COUNTIFS($A$7:$A$1302,A586)</x:f>
        <x:v>1</x:v>
      </x:c>
    </x:row>
    <x:row r="587">
      <x:c r="A587" s="9" t="str">
        <x:v>EV-AR-LF-B-A-TECH-3-B2-BRK-G0-IV05</x:v>
      </x:c>
      <x:c r="B587" s="9" t="str">
        <x:v>EV-AR-LF-B-A-TECH-3-B2-BRK-G0</x:v>
      </x:c>
      <x:c r="C587" s="9" t="str">
        <x:v>AR-LF-B-A-TECH-3-B2-BRK-G0</x:v>
      </x:c>
      <x:c r="D587" s="9" t="str">
        <x:v>LF-B-A-TECH-3</x:v>
      </x:c>
      <x:c r="E587" s="9" t="str">
        <x:v>LF-B-A</x:v>
      </x:c>
      <x:c r="F587" s="9" t="str">
        <x:v>B2</x:v>
      </x:c>
      <x:c r="G587" s="9" t="str">
        <x:v>BRK</x:v>
      </x:c>
      <x:c r="H587" s="9" t="str">
        <x:v>IV05</x:v>
      </x:c>
      <x:c r="I587" s="17" t="str">
        <x:v>Causal counterfactual</x:v>
      </x:c>
      <x:c r="J587" s="17" t="str">
        <x:v>registered counterfactual shows the cause can create the defect</x:v>
      </x:c>
      <x:c r="K587" s="17" t="str">
        <x:v>Causal court</x:v>
      </x:c>
      <x:c r="L587" s="9" t="n">
        <x:v>0</x:v>
      </x:c>
      <x:c r="M587" s="9" t="n">
        <x:v>0</x:v>
      </x:c>
      <x:c r="N587" s="9" t="str">
        <x:v>UNFILED / UNPROVEN</x:v>
      </x:c>
      <x:c r="O587" s="9" t="n">
        <x:f>COUNTIFS($A$7:$A$1302,A587)</x:f>
        <x:v>1</x:v>
      </x:c>
    </x:row>
    <x:row r="588">
      <x:c r="A588" s="9" t="str">
        <x:v>EV-AR-LF-B-A-TECH-3-B2-BRK-G0-IV06</x:v>
      </x:c>
      <x:c r="B588" s="9" t="str">
        <x:v>EV-AR-LF-B-A-TECH-3-B2-BRK-G0</x:v>
      </x:c>
      <x:c r="C588" s="9" t="str">
        <x:v>AR-LF-B-A-TECH-3-B2-BRK-G0</x:v>
      </x:c>
      <x:c r="D588" s="9" t="str">
        <x:v>LF-B-A-TECH-3</x:v>
      </x:c>
      <x:c r="E588" s="9" t="str">
        <x:v>LF-B-A</x:v>
      </x:c>
      <x:c r="F588" s="9" t="str">
        <x:v>B2</x:v>
      </x:c>
      <x:c r="G588" s="9" t="str">
        <x:v>BRK</x:v>
      </x:c>
      <x:c r="H588" s="9" t="str">
        <x:v>IV06</x:v>
      </x:c>
      <x:c r="I588" s="17" t="str">
        <x:v>Candidate non-causation</x:v>
      </x:c>
      <x:c r="J588" s="17" t="str">
        <x:v>evidence excludes candidate induction of the facility condition</x:v>
      </x:c>
      <x:c r="K588" s="17" t="str">
        <x:v>Causal court</x:v>
      </x:c>
      <x:c r="L588" s="9" t="n">
        <x:v>0</x:v>
      </x:c>
      <x:c r="M588" s="9" t="n">
        <x:v>0</x:v>
      </x:c>
      <x:c r="N588" s="9" t="str">
        <x:v>UNFILED / UNPROVEN</x:v>
      </x:c>
      <x:c r="O588" s="9" t="n">
        <x:f>COUNTIFS($A$7:$A$1302,A588)</x:f>
        <x:v>1</x:v>
      </x:c>
    </x:row>
    <x:row r="589">
      <x:c r="A589" s="9" t="str">
        <x:v>EV-AR-LF-B-A-TECH-3-B2-BRK-G0-IV07</x:v>
      </x:c>
      <x:c r="B589" s="9" t="str">
        <x:v>EV-AR-LF-B-A-TECH-3-B2-BRK-G0</x:v>
      </x:c>
      <x:c r="C589" s="9" t="str">
        <x:v>AR-LF-B-A-TECH-3-B2-BRK-G0</x:v>
      </x:c>
      <x:c r="D589" s="9" t="str">
        <x:v>LF-B-A-TECH-3</x:v>
      </x:c>
      <x:c r="E589" s="9" t="str">
        <x:v>LF-B-A</x:v>
      </x:c>
      <x:c r="F589" s="9" t="str">
        <x:v>B2</x:v>
      </x:c>
      <x:c r="G589" s="9" t="str">
        <x:v>BRK</x:v>
      </x:c>
      <x:c r="H589" s="9" t="str">
        <x:v>IV07</x:v>
      </x:c>
      <x:c r="I589" s="17" t="str">
        <x:v>No outcome selection</x:v>
      </x:c>
      <x:c r="J589" s="17" t="str">
        <x:v>petition rule and evidence scope were fixed before visibility</x:v>
      </x:c>
      <x:c r="K589" s="17" t="str">
        <x:v>Conflict registrar</x:v>
      </x:c>
      <x:c r="L589" s="9" t="n">
        <x:v>0</x:v>
      </x:c>
      <x:c r="M589" s="9" t="n">
        <x:v>0</x:v>
      </x:c>
      <x:c r="N589" s="9" t="str">
        <x:v>UNFILED / UNPROVEN</x:v>
      </x:c>
      <x:c r="O589" s="9" t="n">
        <x:f>COUNTIFS($A$7:$A$1302,A589)</x:f>
        <x:v>1</x:v>
      </x:c>
    </x:row>
    <x:row r="590">
      <x:c r="A590" s="9" t="str">
        <x:v>EV-AR-LF-B-A-TECH-3-B2-BRK-G0-IV08</x:v>
      </x:c>
      <x:c r="B590" s="9" t="str">
        <x:v>EV-AR-LF-B-A-TECH-3-B2-BRK-G0</x:v>
      </x:c>
      <x:c r="C590" s="9" t="str">
        <x:v>AR-LF-B-A-TECH-3-B2-BRK-G0</x:v>
      </x:c>
      <x:c r="D590" s="9" t="str">
        <x:v>LF-B-A-TECH-3</x:v>
      </x:c>
      <x:c r="E590" s="9" t="str">
        <x:v>LF-B-A</x:v>
      </x:c>
      <x:c r="F590" s="9" t="str">
        <x:v>B2</x:v>
      </x:c>
      <x:c r="G590" s="9" t="str">
        <x:v>BRK</x:v>
      </x:c>
      <x:c r="H590" s="9" t="str">
        <x:v>IV08</x:v>
      </x:c>
      <x:c r="I590" s="17" t="str">
        <x:v>Whole-record preservation</x:v>
      </x:c>
      <x:c r="J590" s="17" t="str">
        <x:v>start, raw behavior, dissent and intervention remain in archive</x:v>
      </x:c>
      <x:c r="K590" s="17" t="str">
        <x:v>Archive authority</x:v>
      </x:c>
      <x:c r="L590" s="9" t="n">
        <x:v>0</x:v>
      </x:c>
      <x:c r="M590" s="9" t="n">
        <x:v>0</x:v>
      </x:c>
      <x:c r="N590" s="9" t="str">
        <x:v>UNFILED / UNPROVEN</x:v>
      </x:c>
      <x:c r="O590" s="9" t="n">
        <x:f>COUNTIFS($A$7:$A$1302,A590)</x:f>
        <x:v>1</x:v>
      </x:c>
    </x:row>
    <x:row r="591">
      <x:c r="A591" s="9" t="str">
        <x:v>EV-AR-LF-B-A-TECH-3-B2-BRK-G0-IV09</x:v>
      </x:c>
      <x:c r="B591" s="9" t="str">
        <x:v>EV-AR-LF-B-A-TECH-3-B2-BRK-G0</x:v>
      </x:c>
      <x:c r="C591" s="9" t="str">
        <x:v>AR-LF-B-A-TECH-3-B2-BRK-G0</x:v>
      </x:c>
      <x:c r="D591" s="9" t="str">
        <x:v>LF-B-A-TECH-3</x:v>
      </x:c>
      <x:c r="E591" s="9" t="str">
        <x:v>LF-B-A</x:v>
      </x:c>
      <x:c r="F591" s="9" t="str">
        <x:v>B2</x:v>
      </x:c>
      <x:c r="G591" s="9" t="str">
        <x:v>BRK</x:v>
      </x:c>
      <x:c r="H591" s="9" t="str">
        <x:v>IV09</x:v>
      </x:c>
      <x:c r="I591" s="17" t="str">
        <x:v>Bounded remedy</x:v>
      </x:c>
      <x:c r="J591" s="17" t="str">
        <x:v>only a new slot and EOW may follow; no favorable credit or erased attempt</x:v>
      </x:c>
      <x:c r="K591" s="17" t="str">
        <x:v>Invalidity court</x:v>
      </x:c>
      <x:c r="L591" s="9" t="n">
        <x:v>0</x:v>
      </x:c>
      <x:c r="M591" s="9" t="n">
        <x:v>0</x:v>
      </x:c>
      <x:c r="N591" s="9" t="str">
        <x:v>UNFILED / UNPROVEN</x:v>
      </x:c>
      <x:c r="O591" s="9" t="n">
        <x:f>COUNTIFS($A$7:$A$1302,A591)</x:f>
        <x:v>1</x:v>
      </x:c>
    </x:row>
    <x:row r="592">
      <x:c r="A592" s="9" t="str">
        <x:v>EV-AR-RT-B-C-TECH-4-B1-INT-G0-IV01</x:v>
      </x:c>
      <x:c r="B592" s="9" t="str">
        <x:v>EV-AR-RT-B-C-TECH-4-B1-INT-G0</x:v>
      </x:c>
      <x:c r="C592" s="9" t="str">
        <x:v>AR-RT-B-C-TECH-4-B1-INT-G0</x:v>
      </x:c>
      <x:c r="D592" s="9" t="str">
        <x:v>RT-B-C-TECH-4</x:v>
      </x:c>
      <x:c r="E592" s="9" t="str">
        <x:v>RT-B-C</x:v>
      </x:c>
      <x:c r="F592" s="9" t="str">
        <x:v>B1</x:v>
      </x:c>
      <x:c r="G592" s="9" t="str">
        <x:v>INT</x:v>
      </x:c>
      <x:c r="H592" s="9" t="str">
        <x:v>IV01</x:v>
      </x:c>
      <x:c r="I592" s="17" t="str">
        <x:v>Timely petition</x:v>
      </x:c>
      <x:c r="J592" s="17" t="str">
        <x:v>petition enters within seventy-two hours of event close</x:v>
      </x:c>
      <x:c r="K592" s="17" t="str">
        <x:v>Invalidity registrar</x:v>
      </x:c>
      <x:c r="L592" s="9" t="n">
        <x:v>0</x:v>
      </x:c>
      <x:c r="M592" s="9" t="n">
        <x:v>0</x:v>
      </x:c>
      <x:c r="N592" s="9" t="str">
        <x:v>UNFILED / UNPROVEN</x:v>
      </x:c>
      <x:c r="O592" s="9" t="n">
        <x:f>COUNTIFS($A$7:$A$1302,A592)</x:f>
        <x:v>1</x:v>
      </x:c>
    </x:row>
    <x:row r="593">
      <x:c r="A593" s="9" t="str">
        <x:v>EV-AR-RT-B-C-TECH-4-B1-INT-G0-IV02</x:v>
      </x:c>
      <x:c r="B593" s="9" t="str">
        <x:v>EV-AR-RT-B-C-TECH-4-B1-INT-G0</x:v>
      </x:c>
      <x:c r="C593" s="9" t="str">
        <x:v>AR-RT-B-C-TECH-4-B1-INT-G0</x:v>
      </x:c>
      <x:c r="D593" s="9" t="str">
        <x:v>RT-B-C-TECH-4</x:v>
      </x:c>
      <x:c r="E593" s="9" t="str">
        <x:v>RT-B-C</x:v>
      </x:c>
      <x:c r="F593" s="9" t="str">
        <x:v>B1</x:v>
      </x:c>
      <x:c r="G593" s="9" t="str">
        <x:v>INT</x:v>
      </x:c>
      <x:c r="H593" s="9" t="str">
        <x:v>IV02</x:v>
      </x:c>
      <x:c r="I593" s="17" t="str">
        <x:v>Named facility cause</x:v>
      </x:c>
      <x:c r="J593" s="17" t="str">
        <x:v>one pre-registered noncandidate cause is identified</x:v>
      </x:c>
      <x:c r="K593" s="17" t="str">
        <x:v>Facility-cause court</x:v>
      </x:c>
      <x:c r="L593" s="9" t="n">
        <x:v>0</x:v>
      </x:c>
      <x:c r="M593" s="9" t="n">
        <x:v>0</x:v>
      </x:c>
      <x:c r="N593" s="9" t="str">
        <x:v>UNFILED / UNPROVEN</x:v>
      </x:c>
      <x:c r="O593" s="9" t="n">
        <x:f>COUNTIFS($A$7:$A$1302,A593)</x:f>
        <x:v>1</x:v>
      </x:c>
    </x:row>
    <x:row r="594">
      <x:c r="A594" s="9" t="str">
        <x:v>EV-AR-RT-B-C-TECH-4-B1-INT-G0-IV03</x:v>
      </x:c>
      <x:c r="B594" s="9" t="str">
        <x:v>EV-AR-RT-B-C-TECH-4-B1-INT-G0</x:v>
      </x:c>
      <x:c r="C594" s="9" t="str">
        <x:v>AR-RT-B-C-TECH-4-B1-INT-G0</x:v>
      </x:c>
      <x:c r="D594" s="9" t="str">
        <x:v>RT-B-C-TECH-4</x:v>
      </x:c>
      <x:c r="E594" s="9" t="str">
        <x:v>RT-B-C</x:v>
      </x:c>
      <x:c r="F594" s="9" t="str">
        <x:v>B1</x:v>
      </x:c>
      <x:c r="G594" s="9" t="str">
        <x:v>INT</x:v>
      </x:c>
      <x:c r="H594" s="9" t="str">
        <x:v>IV03</x:v>
      </x:c>
      <x:c r="I594" s="17" t="str">
        <x:v>Temporal priority</x:v>
      </x:c>
      <x:c r="J594" s="17" t="str">
        <x:v>cause demonstrably precedes the disputed candidate behavior</x:v>
      </x:c>
      <x:c r="K594" s="17" t="str">
        <x:v>Time authority</x:v>
      </x:c>
      <x:c r="L594" s="9" t="n">
        <x:v>0</x:v>
      </x:c>
      <x:c r="M594" s="9" t="n">
        <x:v>0</x:v>
      </x:c>
      <x:c r="N594" s="9" t="str">
        <x:v>UNFILED / UNPROVEN</x:v>
      </x:c>
      <x:c r="O594" s="9" t="n">
        <x:f>COUNTIFS($A$7:$A$1302,A594)</x:f>
        <x:v>1</x:v>
      </x:c>
    </x:row>
    <x:row r="595">
      <x:c r="A595" s="9" t="str">
        <x:v>EV-AR-RT-B-C-TECH-4-B1-INT-G0-IV04</x:v>
      </x:c>
      <x:c r="B595" s="9" t="str">
        <x:v>EV-AR-RT-B-C-TECH-4-B1-INT-G0</x:v>
      </x:c>
      <x:c r="C595" s="9" t="str">
        <x:v>AR-RT-B-C-TECH-4-B1-INT-G0</x:v>
      </x:c>
      <x:c r="D595" s="9" t="str">
        <x:v>RT-B-C-TECH-4</x:v>
      </x:c>
      <x:c r="E595" s="9" t="str">
        <x:v>RT-B-C</x:v>
      </x:c>
      <x:c r="F595" s="9" t="str">
        <x:v>B1</x:v>
      </x:c>
      <x:c r="G595" s="9" t="str">
        <x:v>INT</x:v>
      </x:c>
      <x:c r="H595" s="9" t="str">
        <x:v>IV04</x:v>
      </x:c>
      <x:c r="I595" s="17" t="str">
        <x:v>Independent trace</x:v>
      </x:c>
      <x:c r="J595" s="17" t="str">
        <x:v>two unlike records carry the cause without candidate custody</x:v>
      </x:c>
      <x:c r="K595" s="17" t="str">
        <x:v>Invalidity court</x:v>
      </x:c>
      <x:c r="L595" s="9" t="n">
        <x:v>0</x:v>
      </x:c>
      <x:c r="M595" s="9" t="n">
        <x:v>0</x:v>
      </x:c>
      <x:c r="N595" s="9" t="str">
        <x:v>UNFILED / UNPROVEN</x:v>
      </x:c>
      <x:c r="O595" s="9" t="n">
        <x:f>COUNTIFS($A$7:$A$1302,A595)</x:f>
        <x:v>1</x:v>
      </x:c>
    </x:row>
    <x:row r="596">
      <x:c r="A596" s="9" t="str">
        <x:v>EV-AR-RT-B-C-TECH-4-B1-INT-G0-IV05</x:v>
      </x:c>
      <x:c r="B596" s="9" t="str">
        <x:v>EV-AR-RT-B-C-TECH-4-B1-INT-G0</x:v>
      </x:c>
      <x:c r="C596" s="9" t="str">
        <x:v>AR-RT-B-C-TECH-4-B1-INT-G0</x:v>
      </x:c>
      <x:c r="D596" s="9" t="str">
        <x:v>RT-B-C-TECH-4</x:v>
      </x:c>
      <x:c r="E596" s="9" t="str">
        <x:v>RT-B-C</x:v>
      </x:c>
      <x:c r="F596" s="9" t="str">
        <x:v>B1</x:v>
      </x:c>
      <x:c r="G596" s="9" t="str">
        <x:v>INT</x:v>
      </x:c>
      <x:c r="H596" s="9" t="str">
        <x:v>IV05</x:v>
      </x:c>
      <x:c r="I596" s="17" t="str">
        <x:v>Causal counterfactual</x:v>
      </x:c>
      <x:c r="J596" s="17" t="str">
        <x:v>registered counterfactual shows the cause can create the defect</x:v>
      </x:c>
      <x:c r="K596" s="17" t="str">
        <x:v>Causal court</x:v>
      </x:c>
      <x:c r="L596" s="9" t="n">
        <x:v>0</x:v>
      </x:c>
      <x:c r="M596" s="9" t="n">
        <x:v>0</x:v>
      </x:c>
      <x:c r="N596" s="9" t="str">
        <x:v>UNFILED / UNPROVEN</x:v>
      </x:c>
      <x:c r="O596" s="9" t="n">
        <x:f>COUNTIFS($A$7:$A$1302,A596)</x:f>
        <x:v>1</x:v>
      </x:c>
    </x:row>
    <x:row r="597">
      <x:c r="A597" s="9" t="str">
        <x:v>EV-AR-RT-B-C-TECH-4-B1-INT-G0-IV06</x:v>
      </x:c>
      <x:c r="B597" s="9" t="str">
        <x:v>EV-AR-RT-B-C-TECH-4-B1-INT-G0</x:v>
      </x:c>
      <x:c r="C597" s="9" t="str">
        <x:v>AR-RT-B-C-TECH-4-B1-INT-G0</x:v>
      </x:c>
      <x:c r="D597" s="9" t="str">
        <x:v>RT-B-C-TECH-4</x:v>
      </x:c>
      <x:c r="E597" s="9" t="str">
        <x:v>RT-B-C</x:v>
      </x:c>
      <x:c r="F597" s="9" t="str">
        <x:v>B1</x:v>
      </x:c>
      <x:c r="G597" s="9" t="str">
        <x:v>INT</x:v>
      </x:c>
      <x:c r="H597" s="9" t="str">
        <x:v>IV06</x:v>
      </x:c>
      <x:c r="I597" s="17" t="str">
        <x:v>Candidate non-causation</x:v>
      </x:c>
      <x:c r="J597" s="17" t="str">
        <x:v>evidence excludes candidate induction of the facility condition</x:v>
      </x:c>
      <x:c r="K597" s="17" t="str">
        <x:v>Causal court</x:v>
      </x:c>
      <x:c r="L597" s="9" t="n">
        <x:v>0</x:v>
      </x:c>
      <x:c r="M597" s="9" t="n">
        <x:v>0</x:v>
      </x:c>
      <x:c r="N597" s="9" t="str">
        <x:v>UNFILED / UNPROVEN</x:v>
      </x:c>
      <x:c r="O597" s="9" t="n">
        <x:f>COUNTIFS($A$7:$A$1302,A597)</x:f>
        <x:v>1</x:v>
      </x:c>
    </x:row>
    <x:row r="598">
      <x:c r="A598" s="9" t="str">
        <x:v>EV-AR-RT-B-C-TECH-4-B1-INT-G0-IV07</x:v>
      </x:c>
      <x:c r="B598" s="9" t="str">
        <x:v>EV-AR-RT-B-C-TECH-4-B1-INT-G0</x:v>
      </x:c>
      <x:c r="C598" s="9" t="str">
        <x:v>AR-RT-B-C-TECH-4-B1-INT-G0</x:v>
      </x:c>
      <x:c r="D598" s="9" t="str">
        <x:v>RT-B-C-TECH-4</x:v>
      </x:c>
      <x:c r="E598" s="9" t="str">
        <x:v>RT-B-C</x:v>
      </x:c>
      <x:c r="F598" s="9" t="str">
        <x:v>B1</x:v>
      </x:c>
      <x:c r="G598" s="9" t="str">
        <x:v>INT</x:v>
      </x:c>
      <x:c r="H598" s="9" t="str">
        <x:v>IV07</x:v>
      </x:c>
      <x:c r="I598" s="17" t="str">
        <x:v>No outcome selection</x:v>
      </x:c>
      <x:c r="J598" s="17" t="str">
        <x:v>petition rule and evidence scope were fixed before visibility</x:v>
      </x:c>
      <x:c r="K598" s="17" t="str">
        <x:v>Conflict registrar</x:v>
      </x:c>
      <x:c r="L598" s="9" t="n">
        <x:v>0</x:v>
      </x:c>
      <x:c r="M598" s="9" t="n">
        <x:v>0</x:v>
      </x:c>
      <x:c r="N598" s="9" t="str">
        <x:v>UNFILED / UNPROVEN</x:v>
      </x:c>
      <x:c r="O598" s="9" t="n">
        <x:f>COUNTIFS($A$7:$A$1302,A598)</x:f>
        <x:v>1</x:v>
      </x:c>
    </x:row>
    <x:row r="599">
      <x:c r="A599" s="9" t="str">
        <x:v>EV-AR-RT-B-C-TECH-4-B1-INT-G0-IV08</x:v>
      </x:c>
      <x:c r="B599" s="9" t="str">
        <x:v>EV-AR-RT-B-C-TECH-4-B1-INT-G0</x:v>
      </x:c>
      <x:c r="C599" s="9" t="str">
        <x:v>AR-RT-B-C-TECH-4-B1-INT-G0</x:v>
      </x:c>
      <x:c r="D599" s="9" t="str">
        <x:v>RT-B-C-TECH-4</x:v>
      </x:c>
      <x:c r="E599" s="9" t="str">
        <x:v>RT-B-C</x:v>
      </x:c>
      <x:c r="F599" s="9" t="str">
        <x:v>B1</x:v>
      </x:c>
      <x:c r="G599" s="9" t="str">
        <x:v>INT</x:v>
      </x:c>
      <x:c r="H599" s="9" t="str">
        <x:v>IV08</x:v>
      </x:c>
      <x:c r="I599" s="17" t="str">
        <x:v>Whole-record preservation</x:v>
      </x:c>
      <x:c r="J599" s="17" t="str">
        <x:v>start, raw behavior, dissent and intervention remain in archive</x:v>
      </x:c>
      <x:c r="K599" s="17" t="str">
        <x:v>Archive authority</x:v>
      </x:c>
      <x:c r="L599" s="9" t="n">
        <x:v>0</x:v>
      </x:c>
      <x:c r="M599" s="9" t="n">
        <x:v>0</x:v>
      </x:c>
      <x:c r="N599" s="9" t="str">
        <x:v>UNFILED / UNPROVEN</x:v>
      </x:c>
      <x:c r="O599" s="9" t="n">
        <x:f>COUNTIFS($A$7:$A$1302,A599)</x:f>
        <x:v>1</x:v>
      </x:c>
    </x:row>
    <x:row r="600">
      <x:c r="A600" s="9" t="str">
        <x:v>EV-AR-RT-B-C-TECH-4-B1-INT-G0-IV09</x:v>
      </x:c>
      <x:c r="B600" s="9" t="str">
        <x:v>EV-AR-RT-B-C-TECH-4-B1-INT-G0</x:v>
      </x:c>
      <x:c r="C600" s="9" t="str">
        <x:v>AR-RT-B-C-TECH-4-B1-INT-G0</x:v>
      </x:c>
      <x:c r="D600" s="9" t="str">
        <x:v>RT-B-C-TECH-4</x:v>
      </x:c>
      <x:c r="E600" s="9" t="str">
        <x:v>RT-B-C</x:v>
      </x:c>
      <x:c r="F600" s="9" t="str">
        <x:v>B1</x:v>
      </x:c>
      <x:c r="G600" s="9" t="str">
        <x:v>INT</x:v>
      </x:c>
      <x:c r="H600" s="9" t="str">
        <x:v>IV09</x:v>
      </x:c>
      <x:c r="I600" s="17" t="str">
        <x:v>Bounded remedy</x:v>
      </x:c>
      <x:c r="J600" s="17" t="str">
        <x:v>only a new slot and EOW may follow; no favorable credit or erased attempt</x:v>
      </x:c>
      <x:c r="K600" s="17" t="str">
        <x:v>Invalidity court</x:v>
      </x:c>
      <x:c r="L600" s="9" t="n">
        <x:v>0</x:v>
      </x:c>
      <x:c r="M600" s="9" t="n">
        <x:v>0</x:v>
      </x:c>
      <x:c r="N600" s="9" t="str">
        <x:v>UNFILED / UNPROVEN</x:v>
      </x:c>
      <x:c r="O600" s="9" t="n">
        <x:f>COUNTIFS($A$7:$A$1302,A600)</x:f>
        <x:v>1</x:v>
      </x:c>
    </x:row>
    <x:row r="601">
      <x:c r="A601" s="9" t="str">
        <x:v>EV-AR-CT-C-B-TECH-3-B2-RCN-G0-IV01</x:v>
      </x:c>
      <x:c r="B601" s="9" t="str">
        <x:v>EV-AR-CT-C-B-TECH-3-B2-RCN-G0</x:v>
      </x:c>
      <x:c r="C601" s="9" t="str">
        <x:v>AR-CT-C-B-TECH-3-B2-RCN-G0</x:v>
      </x:c>
      <x:c r="D601" s="9" t="str">
        <x:v>CT-C-B-TECH-3</x:v>
      </x:c>
      <x:c r="E601" s="9" t="str">
        <x:v>CT-C-B</x:v>
      </x:c>
      <x:c r="F601" s="9" t="str">
        <x:v>B2</x:v>
      </x:c>
      <x:c r="G601" s="9" t="str">
        <x:v>RCN</x:v>
      </x:c>
      <x:c r="H601" s="9" t="str">
        <x:v>IV01</x:v>
      </x:c>
      <x:c r="I601" s="17" t="str">
        <x:v>Timely petition</x:v>
      </x:c>
      <x:c r="J601" s="17" t="str">
        <x:v>petition enters within seventy-two hours of event close</x:v>
      </x:c>
      <x:c r="K601" s="17" t="str">
        <x:v>Invalidity registrar</x:v>
      </x:c>
      <x:c r="L601" s="9" t="n">
        <x:v>0</x:v>
      </x:c>
      <x:c r="M601" s="9" t="n">
        <x:v>0</x:v>
      </x:c>
      <x:c r="N601" s="9" t="str">
        <x:v>UNFILED / UNPROVEN</x:v>
      </x:c>
      <x:c r="O601" s="9" t="n">
        <x:f>COUNTIFS($A$7:$A$1302,A601)</x:f>
        <x:v>1</x:v>
      </x:c>
    </x:row>
    <x:row r="602">
      <x:c r="A602" s="9" t="str">
        <x:v>EV-AR-CT-C-B-TECH-3-B2-RCN-G0-IV02</x:v>
      </x:c>
      <x:c r="B602" s="9" t="str">
        <x:v>EV-AR-CT-C-B-TECH-3-B2-RCN-G0</x:v>
      </x:c>
      <x:c r="C602" s="9" t="str">
        <x:v>AR-CT-C-B-TECH-3-B2-RCN-G0</x:v>
      </x:c>
      <x:c r="D602" s="9" t="str">
        <x:v>CT-C-B-TECH-3</x:v>
      </x:c>
      <x:c r="E602" s="9" t="str">
        <x:v>CT-C-B</x:v>
      </x:c>
      <x:c r="F602" s="9" t="str">
        <x:v>B2</x:v>
      </x:c>
      <x:c r="G602" s="9" t="str">
        <x:v>RCN</x:v>
      </x:c>
      <x:c r="H602" s="9" t="str">
        <x:v>IV02</x:v>
      </x:c>
      <x:c r="I602" s="17" t="str">
        <x:v>Named facility cause</x:v>
      </x:c>
      <x:c r="J602" s="17" t="str">
        <x:v>one pre-registered noncandidate cause is identified</x:v>
      </x:c>
      <x:c r="K602" s="17" t="str">
        <x:v>Facility-cause court</x:v>
      </x:c>
      <x:c r="L602" s="9" t="n">
        <x:v>0</x:v>
      </x:c>
      <x:c r="M602" s="9" t="n">
        <x:v>0</x:v>
      </x:c>
      <x:c r="N602" s="9" t="str">
        <x:v>UNFILED / UNPROVEN</x:v>
      </x:c>
      <x:c r="O602" s="9" t="n">
        <x:f>COUNTIFS($A$7:$A$1302,A602)</x:f>
        <x:v>1</x:v>
      </x:c>
    </x:row>
    <x:row r="603">
      <x:c r="A603" s="9" t="str">
        <x:v>EV-AR-CT-C-B-TECH-3-B2-RCN-G0-IV03</x:v>
      </x:c>
      <x:c r="B603" s="9" t="str">
        <x:v>EV-AR-CT-C-B-TECH-3-B2-RCN-G0</x:v>
      </x:c>
      <x:c r="C603" s="9" t="str">
        <x:v>AR-CT-C-B-TECH-3-B2-RCN-G0</x:v>
      </x:c>
      <x:c r="D603" s="9" t="str">
        <x:v>CT-C-B-TECH-3</x:v>
      </x:c>
      <x:c r="E603" s="9" t="str">
        <x:v>CT-C-B</x:v>
      </x:c>
      <x:c r="F603" s="9" t="str">
        <x:v>B2</x:v>
      </x:c>
      <x:c r="G603" s="9" t="str">
        <x:v>RCN</x:v>
      </x:c>
      <x:c r="H603" s="9" t="str">
        <x:v>IV03</x:v>
      </x:c>
      <x:c r="I603" s="17" t="str">
        <x:v>Temporal priority</x:v>
      </x:c>
      <x:c r="J603" s="17" t="str">
        <x:v>cause demonstrably precedes the disputed candidate behavior</x:v>
      </x:c>
      <x:c r="K603" s="17" t="str">
        <x:v>Time authority</x:v>
      </x:c>
      <x:c r="L603" s="9" t="n">
        <x:v>0</x:v>
      </x:c>
      <x:c r="M603" s="9" t="n">
        <x:v>0</x:v>
      </x:c>
      <x:c r="N603" s="9" t="str">
        <x:v>UNFILED / UNPROVEN</x:v>
      </x:c>
      <x:c r="O603" s="9" t="n">
        <x:f>COUNTIFS($A$7:$A$1302,A603)</x:f>
        <x:v>1</x:v>
      </x:c>
    </x:row>
    <x:row r="604">
      <x:c r="A604" s="9" t="str">
        <x:v>EV-AR-CT-C-B-TECH-3-B2-RCN-G0-IV04</x:v>
      </x:c>
      <x:c r="B604" s="9" t="str">
        <x:v>EV-AR-CT-C-B-TECH-3-B2-RCN-G0</x:v>
      </x:c>
      <x:c r="C604" s="9" t="str">
        <x:v>AR-CT-C-B-TECH-3-B2-RCN-G0</x:v>
      </x:c>
      <x:c r="D604" s="9" t="str">
        <x:v>CT-C-B-TECH-3</x:v>
      </x:c>
      <x:c r="E604" s="9" t="str">
        <x:v>CT-C-B</x:v>
      </x:c>
      <x:c r="F604" s="9" t="str">
        <x:v>B2</x:v>
      </x:c>
      <x:c r="G604" s="9" t="str">
        <x:v>RCN</x:v>
      </x:c>
      <x:c r="H604" s="9" t="str">
        <x:v>IV04</x:v>
      </x:c>
      <x:c r="I604" s="17" t="str">
        <x:v>Independent trace</x:v>
      </x:c>
      <x:c r="J604" s="17" t="str">
        <x:v>two unlike records carry the cause without candidate custody</x:v>
      </x:c>
      <x:c r="K604" s="17" t="str">
        <x:v>Invalidity court</x:v>
      </x:c>
      <x:c r="L604" s="9" t="n">
        <x:v>0</x:v>
      </x:c>
      <x:c r="M604" s="9" t="n">
        <x:v>0</x:v>
      </x:c>
      <x:c r="N604" s="9" t="str">
        <x:v>UNFILED / UNPROVEN</x:v>
      </x:c>
      <x:c r="O604" s="9" t="n">
        <x:f>COUNTIFS($A$7:$A$1302,A604)</x:f>
        <x:v>1</x:v>
      </x:c>
    </x:row>
    <x:row r="605">
      <x:c r="A605" s="9" t="str">
        <x:v>EV-AR-CT-C-B-TECH-3-B2-RCN-G0-IV05</x:v>
      </x:c>
      <x:c r="B605" s="9" t="str">
        <x:v>EV-AR-CT-C-B-TECH-3-B2-RCN-G0</x:v>
      </x:c>
      <x:c r="C605" s="9" t="str">
        <x:v>AR-CT-C-B-TECH-3-B2-RCN-G0</x:v>
      </x:c>
      <x:c r="D605" s="9" t="str">
        <x:v>CT-C-B-TECH-3</x:v>
      </x:c>
      <x:c r="E605" s="9" t="str">
        <x:v>CT-C-B</x:v>
      </x:c>
      <x:c r="F605" s="9" t="str">
        <x:v>B2</x:v>
      </x:c>
      <x:c r="G605" s="9" t="str">
        <x:v>RCN</x:v>
      </x:c>
      <x:c r="H605" s="9" t="str">
        <x:v>IV05</x:v>
      </x:c>
      <x:c r="I605" s="17" t="str">
        <x:v>Causal counterfactual</x:v>
      </x:c>
      <x:c r="J605" s="17" t="str">
        <x:v>registered counterfactual shows the cause can create the defect</x:v>
      </x:c>
      <x:c r="K605" s="17" t="str">
        <x:v>Causal court</x:v>
      </x:c>
      <x:c r="L605" s="9" t="n">
        <x:v>0</x:v>
      </x:c>
      <x:c r="M605" s="9" t="n">
        <x:v>0</x:v>
      </x:c>
      <x:c r="N605" s="9" t="str">
        <x:v>UNFILED / UNPROVEN</x:v>
      </x:c>
      <x:c r="O605" s="9" t="n">
        <x:f>COUNTIFS($A$7:$A$1302,A605)</x:f>
        <x:v>1</x:v>
      </x:c>
    </x:row>
    <x:row r="606">
      <x:c r="A606" s="9" t="str">
        <x:v>EV-AR-CT-C-B-TECH-3-B2-RCN-G0-IV06</x:v>
      </x:c>
      <x:c r="B606" s="9" t="str">
        <x:v>EV-AR-CT-C-B-TECH-3-B2-RCN-G0</x:v>
      </x:c>
      <x:c r="C606" s="9" t="str">
        <x:v>AR-CT-C-B-TECH-3-B2-RCN-G0</x:v>
      </x:c>
      <x:c r="D606" s="9" t="str">
        <x:v>CT-C-B-TECH-3</x:v>
      </x:c>
      <x:c r="E606" s="9" t="str">
        <x:v>CT-C-B</x:v>
      </x:c>
      <x:c r="F606" s="9" t="str">
        <x:v>B2</x:v>
      </x:c>
      <x:c r="G606" s="9" t="str">
        <x:v>RCN</x:v>
      </x:c>
      <x:c r="H606" s="9" t="str">
        <x:v>IV06</x:v>
      </x:c>
      <x:c r="I606" s="17" t="str">
        <x:v>Candidate non-causation</x:v>
      </x:c>
      <x:c r="J606" s="17" t="str">
        <x:v>evidence excludes candidate induction of the facility condition</x:v>
      </x:c>
      <x:c r="K606" s="17" t="str">
        <x:v>Causal court</x:v>
      </x:c>
      <x:c r="L606" s="9" t="n">
        <x:v>0</x:v>
      </x:c>
      <x:c r="M606" s="9" t="n">
        <x:v>0</x:v>
      </x:c>
      <x:c r="N606" s="9" t="str">
        <x:v>UNFILED / UNPROVEN</x:v>
      </x:c>
      <x:c r="O606" s="9" t="n">
        <x:f>COUNTIFS($A$7:$A$1302,A606)</x:f>
        <x:v>1</x:v>
      </x:c>
    </x:row>
    <x:row r="607">
      <x:c r="A607" s="9" t="str">
        <x:v>EV-AR-CT-C-B-TECH-3-B2-RCN-G0-IV07</x:v>
      </x:c>
      <x:c r="B607" s="9" t="str">
        <x:v>EV-AR-CT-C-B-TECH-3-B2-RCN-G0</x:v>
      </x:c>
      <x:c r="C607" s="9" t="str">
        <x:v>AR-CT-C-B-TECH-3-B2-RCN-G0</x:v>
      </x:c>
      <x:c r="D607" s="9" t="str">
        <x:v>CT-C-B-TECH-3</x:v>
      </x:c>
      <x:c r="E607" s="9" t="str">
        <x:v>CT-C-B</x:v>
      </x:c>
      <x:c r="F607" s="9" t="str">
        <x:v>B2</x:v>
      </x:c>
      <x:c r="G607" s="9" t="str">
        <x:v>RCN</x:v>
      </x:c>
      <x:c r="H607" s="9" t="str">
        <x:v>IV07</x:v>
      </x:c>
      <x:c r="I607" s="17" t="str">
        <x:v>No outcome selection</x:v>
      </x:c>
      <x:c r="J607" s="17" t="str">
        <x:v>petition rule and evidence scope were fixed before visibility</x:v>
      </x:c>
      <x:c r="K607" s="17" t="str">
        <x:v>Conflict registrar</x:v>
      </x:c>
      <x:c r="L607" s="9" t="n">
        <x:v>0</x:v>
      </x:c>
      <x:c r="M607" s="9" t="n">
        <x:v>0</x:v>
      </x:c>
      <x:c r="N607" s="9" t="str">
        <x:v>UNFILED / UNPROVEN</x:v>
      </x:c>
      <x:c r="O607" s="9" t="n">
        <x:f>COUNTIFS($A$7:$A$1302,A607)</x:f>
        <x:v>1</x:v>
      </x:c>
    </x:row>
    <x:row r="608">
      <x:c r="A608" s="9" t="str">
        <x:v>EV-AR-CT-C-B-TECH-3-B2-RCN-G0-IV08</x:v>
      </x:c>
      <x:c r="B608" s="9" t="str">
        <x:v>EV-AR-CT-C-B-TECH-3-B2-RCN-G0</x:v>
      </x:c>
      <x:c r="C608" s="9" t="str">
        <x:v>AR-CT-C-B-TECH-3-B2-RCN-G0</x:v>
      </x:c>
      <x:c r="D608" s="9" t="str">
        <x:v>CT-C-B-TECH-3</x:v>
      </x:c>
      <x:c r="E608" s="9" t="str">
        <x:v>CT-C-B</x:v>
      </x:c>
      <x:c r="F608" s="9" t="str">
        <x:v>B2</x:v>
      </x:c>
      <x:c r="G608" s="9" t="str">
        <x:v>RCN</x:v>
      </x:c>
      <x:c r="H608" s="9" t="str">
        <x:v>IV08</x:v>
      </x:c>
      <x:c r="I608" s="17" t="str">
        <x:v>Whole-record preservation</x:v>
      </x:c>
      <x:c r="J608" s="17" t="str">
        <x:v>start, raw behavior, dissent and intervention remain in archive</x:v>
      </x:c>
      <x:c r="K608" s="17" t="str">
        <x:v>Archive authority</x:v>
      </x:c>
      <x:c r="L608" s="9" t="n">
        <x:v>0</x:v>
      </x:c>
      <x:c r="M608" s="9" t="n">
        <x:v>0</x:v>
      </x:c>
      <x:c r="N608" s="9" t="str">
        <x:v>UNFILED / UNPROVEN</x:v>
      </x:c>
      <x:c r="O608" s="9" t="n">
        <x:f>COUNTIFS($A$7:$A$1302,A608)</x:f>
        <x:v>1</x:v>
      </x:c>
    </x:row>
    <x:row r="609">
      <x:c r="A609" s="9" t="str">
        <x:v>EV-AR-CT-C-B-TECH-3-B2-RCN-G0-IV09</x:v>
      </x:c>
      <x:c r="B609" s="9" t="str">
        <x:v>EV-AR-CT-C-B-TECH-3-B2-RCN-G0</x:v>
      </x:c>
      <x:c r="C609" s="9" t="str">
        <x:v>AR-CT-C-B-TECH-3-B2-RCN-G0</x:v>
      </x:c>
      <x:c r="D609" s="9" t="str">
        <x:v>CT-C-B-TECH-3</x:v>
      </x:c>
      <x:c r="E609" s="9" t="str">
        <x:v>CT-C-B</x:v>
      </x:c>
      <x:c r="F609" s="9" t="str">
        <x:v>B2</x:v>
      </x:c>
      <x:c r="G609" s="9" t="str">
        <x:v>RCN</x:v>
      </x:c>
      <x:c r="H609" s="9" t="str">
        <x:v>IV09</x:v>
      </x:c>
      <x:c r="I609" s="17" t="str">
        <x:v>Bounded remedy</x:v>
      </x:c>
      <x:c r="J609" s="17" t="str">
        <x:v>only a new slot and EOW may follow; no favorable credit or erased attempt</x:v>
      </x:c>
      <x:c r="K609" s="17" t="str">
        <x:v>Invalidity court</x:v>
      </x:c>
      <x:c r="L609" s="9" t="n">
        <x:v>0</x:v>
      </x:c>
      <x:c r="M609" s="9" t="n">
        <x:v>0</x:v>
      </x:c>
      <x:c r="N609" s="9" t="str">
        <x:v>UNFILED / UNPROVEN</x:v>
      </x:c>
      <x:c r="O609" s="9" t="n">
        <x:f>COUNTIFS($A$7:$A$1302,A609)</x:f>
        <x:v>1</x:v>
      </x:c>
    </x:row>
    <x:row r="610">
      <x:c r="A610" s="9" t="str">
        <x:v>EV-AR-CT-C-B-TECH-1-B2-INT-G0-IV01</x:v>
      </x:c>
      <x:c r="B610" s="9" t="str">
        <x:v>EV-AR-CT-C-B-TECH-1-B2-INT-G0</x:v>
      </x:c>
      <x:c r="C610" s="9" t="str">
        <x:v>AR-CT-C-B-TECH-1-B2-INT-G0</x:v>
      </x:c>
      <x:c r="D610" s="9" t="str">
        <x:v>CT-C-B-TECH-1</x:v>
      </x:c>
      <x:c r="E610" s="9" t="str">
        <x:v>CT-C-B</x:v>
      </x:c>
      <x:c r="F610" s="9" t="str">
        <x:v>B2</x:v>
      </x:c>
      <x:c r="G610" s="9" t="str">
        <x:v>INT</x:v>
      </x:c>
      <x:c r="H610" s="9" t="str">
        <x:v>IV01</x:v>
      </x:c>
      <x:c r="I610" s="17" t="str">
        <x:v>Timely petition</x:v>
      </x:c>
      <x:c r="J610" s="17" t="str">
        <x:v>petition enters within seventy-two hours of event close</x:v>
      </x:c>
      <x:c r="K610" s="17" t="str">
        <x:v>Invalidity registrar</x:v>
      </x:c>
      <x:c r="L610" s="9" t="n">
        <x:v>0</x:v>
      </x:c>
      <x:c r="M610" s="9" t="n">
        <x:v>0</x:v>
      </x:c>
      <x:c r="N610" s="9" t="str">
        <x:v>UNFILED / UNPROVEN</x:v>
      </x:c>
      <x:c r="O610" s="9" t="n">
        <x:f>COUNTIFS($A$7:$A$1302,A610)</x:f>
        <x:v>1</x:v>
      </x:c>
    </x:row>
    <x:row r="611">
      <x:c r="A611" s="9" t="str">
        <x:v>EV-AR-CT-C-B-TECH-1-B2-INT-G0-IV02</x:v>
      </x:c>
      <x:c r="B611" s="9" t="str">
        <x:v>EV-AR-CT-C-B-TECH-1-B2-INT-G0</x:v>
      </x:c>
      <x:c r="C611" s="9" t="str">
        <x:v>AR-CT-C-B-TECH-1-B2-INT-G0</x:v>
      </x:c>
      <x:c r="D611" s="9" t="str">
        <x:v>CT-C-B-TECH-1</x:v>
      </x:c>
      <x:c r="E611" s="9" t="str">
        <x:v>CT-C-B</x:v>
      </x:c>
      <x:c r="F611" s="9" t="str">
        <x:v>B2</x:v>
      </x:c>
      <x:c r="G611" s="9" t="str">
        <x:v>INT</x:v>
      </x:c>
      <x:c r="H611" s="9" t="str">
        <x:v>IV02</x:v>
      </x:c>
      <x:c r="I611" s="17" t="str">
        <x:v>Named facility cause</x:v>
      </x:c>
      <x:c r="J611" s="17" t="str">
        <x:v>one pre-registered noncandidate cause is identified</x:v>
      </x:c>
      <x:c r="K611" s="17" t="str">
        <x:v>Facility-cause court</x:v>
      </x:c>
      <x:c r="L611" s="9" t="n">
        <x:v>0</x:v>
      </x:c>
      <x:c r="M611" s="9" t="n">
        <x:v>0</x:v>
      </x:c>
      <x:c r="N611" s="9" t="str">
        <x:v>UNFILED / UNPROVEN</x:v>
      </x:c>
      <x:c r="O611" s="9" t="n">
        <x:f>COUNTIFS($A$7:$A$1302,A611)</x:f>
        <x:v>1</x:v>
      </x:c>
    </x:row>
    <x:row r="612">
      <x:c r="A612" s="9" t="str">
        <x:v>EV-AR-CT-C-B-TECH-1-B2-INT-G0-IV03</x:v>
      </x:c>
      <x:c r="B612" s="9" t="str">
        <x:v>EV-AR-CT-C-B-TECH-1-B2-INT-G0</x:v>
      </x:c>
      <x:c r="C612" s="9" t="str">
        <x:v>AR-CT-C-B-TECH-1-B2-INT-G0</x:v>
      </x:c>
      <x:c r="D612" s="9" t="str">
        <x:v>CT-C-B-TECH-1</x:v>
      </x:c>
      <x:c r="E612" s="9" t="str">
        <x:v>CT-C-B</x:v>
      </x:c>
      <x:c r="F612" s="9" t="str">
        <x:v>B2</x:v>
      </x:c>
      <x:c r="G612" s="9" t="str">
        <x:v>INT</x:v>
      </x:c>
      <x:c r="H612" s="9" t="str">
        <x:v>IV03</x:v>
      </x:c>
      <x:c r="I612" s="17" t="str">
        <x:v>Temporal priority</x:v>
      </x:c>
      <x:c r="J612" s="17" t="str">
        <x:v>cause demonstrably precedes the disputed candidate behavior</x:v>
      </x:c>
      <x:c r="K612" s="17" t="str">
        <x:v>Time authority</x:v>
      </x:c>
      <x:c r="L612" s="9" t="n">
        <x:v>0</x:v>
      </x:c>
      <x:c r="M612" s="9" t="n">
        <x:v>0</x:v>
      </x:c>
      <x:c r="N612" s="9" t="str">
        <x:v>UNFILED / UNPROVEN</x:v>
      </x:c>
      <x:c r="O612" s="9" t="n">
        <x:f>COUNTIFS($A$7:$A$1302,A612)</x:f>
        <x:v>1</x:v>
      </x:c>
    </x:row>
    <x:row r="613">
      <x:c r="A613" s="9" t="str">
        <x:v>EV-AR-CT-C-B-TECH-1-B2-INT-G0-IV04</x:v>
      </x:c>
      <x:c r="B613" s="9" t="str">
        <x:v>EV-AR-CT-C-B-TECH-1-B2-INT-G0</x:v>
      </x:c>
      <x:c r="C613" s="9" t="str">
        <x:v>AR-CT-C-B-TECH-1-B2-INT-G0</x:v>
      </x:c>
      <x:c r="D613" s="9" t="str">
        <x:v>CT-C-B-TECH-1</x:v>
      </x:c>
      <x:c r="E613" s="9" t="str">
        <x:v>CT-C-B</x:v>
      </x:c>
      <x:c r="F613" s="9" t="str">
        <x:v>B2</x:v>
      </x:c>
      <x:c r="G613" s="9" t="str">
        <x:v>INT</x:v>
      </x:c>
      <x:c r="H613" s="9" t="str">
        <x:v>IV04</x:v>
      </x:c>
      <x:c r="I613" s="17" t="str">
        <x:v>Independent trace</x:v>
      </x:c>
      <x:c r="J613" s="17" t="str">
        <x:v>two unlike records carry the cause without candidate custody</x:v>
      </x:c>
      <x:c r="K613" s="17" t="str">
        <x:v>Invalidity court</x:v>
      </x:c>
      <x:c r="L613" s="9" t="n">
        <x:v>0</x:v>
      </x:c>
      <x:c r="M613" s="9" t="n">
        <x:v>0</x:v>
      </x:c>
      <x:c r="N613" s="9" t="str">
        <x:v>UNFILED / UNPROVEN</x:v>
      </x:c>
      <x:c r="O613" s="9" t="n">
        <x:f>COUNTIFS($A$7:$A$1302,A613)</x:f>
        <x:v>1</x:v>
      </x:c>
    </x:row>
    <x:row r="614">
      <x:c r="A614" s="9" t="str">
        <x:v>EV-AR-CT-C-B-TECH-1-B2-INT-G0-IV05</x:v>
      </x:c>
      <x:c r="B614" s="9" t="str">
        <x:v>EV-AR-CT-C-B-TECH-1-B2-INT-G0</x:v>
      </x:c>
      <x:c r="C614" s="9" t="str">
        <x:v>AR-CT-C-B-TECH-1-B2-INT-G0</x:v>
      </x:c>
      <x:c r="D614" s="9" t="str">
        <x:v>CT-C-B-TECH-1</x:v>
      </x:c>
      <x:c r="E614" s="9" t="str">
        <x:v>CT-C-B</x:v>
      </x:c>
      <x:c r="F614" s="9" t="str">
        <x:v>B2</x:v>
      </x:c>
      <x:c r="G614" s="9" t="str">
        <x:v>INT</x:v>
      </x:c>
      <x:c r="H614" s="9" t="str">
        <x:v>IV05</x:v>
      </x:c>
      <x:c r="I614" s="17" t="str">
        <x:v>Causal counterfactual</x:v>
      </x:c>
      <x:c r="J614" s="17" t="str">
        <x:v>registered counterfactual shows the cause can create the defect</x:v>
      </x:c>
      <x:c r="K614" s="17" t="str">
        <x:v>Causal court</x:v>
      </x:c>
      <x:c r="L614" s="9" t="n">
        <x:v>0</x:v>
      </x:c>
      <x:c r="M614" s="9" t="n">
        <x:v>0</x:v>
      </x:c>
      <x:c r="N614" s="9" t="str">
        <x:v>UNFILED / UNPROVEN</x:v>
      </x:c>
      <x:c r="O614" s="9" t="n">
        <x:f>COUNTIFS($A$7:$A$1302,A614)</x:f>
        <x:v>1</x:v>
      </x:c>
    </x:row>
    <x:row r="615">
      <x:c r="A615" s="9" t="str">
        <x:v>EV-AR-CT-C-B-TECH-1-B2-INT-G0-IV06</x:v>
      </x:c>
      <x:c r="B615" s="9" t="str">
        <x:v>EV-AR-CT-C-B-TECH-1-B2-INT-G0</x:v>
      </x:c>
      <x:c r="C615" s="9" t="str">
        <x:v>AR-CT-C-B-TECH-1-B2-INT-G0</x:v>
      </x:c>
      <x:c r="D615" s="9" t="str">
        <x:v>CT-C-B-TECH-1</x:v>
      </x:c>
      <x:c r="E615" s="9" t="str">
        <x:v>CT-C-B</x:v>
      </x:c>
      <x:c r="F615" s="9" t="str">
        <x:v>B2</x:v>
      </x:c>
      <x:c r="G615" s="9" t="str">
        <x:v>INT</x:v>
      </x:c>
      <x:c r="H615" s="9" t="str">
        <x:v>IV06</x:v>
      </x:c>
      <x:c r="I615" s="17" t="str">
        <x:v>Candidate non-causation</x:v>
      </x:c>
      <x:c r="J615" s="17" t="str">
        <x:v>evidence excludes candidate induction of the facility condition</x:v>
      </x:c>
      <x:c r="K615" s="17" t="str">
        <x:v>Causal court</x:v>
      </x:c>
      <x:c r="L615" s="9" t="n">
        <x:v>0</x:v>
      </x:c>
      <x:c r="M615" s="9" t="n">
        <x:v>0</x:v>
      </x:c>
      <x:c r="N615" s="9" t="str">
        <x:v>UNFILED / UNPROVEN</x:v>
      </x:c>
      <x:c r="O615" s="9" t="n">
        <x:f>COUNTIFS($A$7:$A$1302,A615)</x:f>
        <x:v>1</x:v>
      </x:c>
    </x:row>
    <x:row r="616">
      <x:c r="A616" s="9" t="str">
        <x:v>EV-AR-CT-C-B-TECH-1-B2-INT-G0-IV07</x:v>
      </x:c>
      <x:c r="B616" s="9" t="str">
        <x:v>EV-AR-CT-C-B-TECH-1-B2-INT-G0</x:v>
      </x:c>
      <x:c r="C616" s="9" t="str">
        <x:v>AR-CT-C-B-TECH-1-B2-INT-G0</x:v>
      </x:c>
      <x:c r="D616" s="9" t="str">
        <x:v>CT-C-B-TECH-1</x:v>
      </x:c>
      <x:c r="E616" s="9" t="str">
        <x:v>CT-C-B</x:v>
      </x:c>
      <x:c r="F616" s="9" t="str">
        <x:v>B2</x:v>
      </x:c>
      <x:c r="G616" s="9" t="str">
        <x:v>INT</x:v>
      </x:c>
      <x:c r="H616" s="9" t="str">
        <x:v>IV07</x:v>
      </x:c>
      <x:c r="I616" s="17" t="str">
        <x:v>No outcome selection</x:v>
      </x:c>
      <x:c r="J616" s="17" t="str">
        <x:v>petition rule and evidence scope were fixed before visibility</x:v>
      </x:c>
      <x:c r="K616" s="17" t="str">
        <x:v>Conflict registrar</x:v>
      </x:c>
      <x:c r="L616" s="9" t="n">
        <x:v>0</x:v>
      </x:c>
      <x:c r="M616" s="9" t="n">
        <x:v>0</x:v>
      </x:c>
      <x:c r="N616" s="9" t="str">
        <x:v>UNFILED / UNPROVEN</x:v>
      </x:c>
      <x:c r="O616" s="9" t="n">
        <x:f>COUNTIFS($A$7:$A$1302,A616)</x:f>
        <x:v>1</x:v>
      </x:c>
    </x:row>
    <x:row r="617">
      <x:c r="A617" s="9" t="str">
        <x:v>EV-AR-CT-C-B-TECH-1-B2-INT-G0-IV08</x:v>
      </x:c>
      <x:c r="B617" s="9" t="str">
        <x:v>EV-AR-CT-C-B-TECH-1-B2-INT-G0</x:v>
      </x:c>
      <x:c r="C617" s="9" t="str">
        <x:v>AR-CT-C-B-TECH-1-B2-INT-G0</x:v>
      </x:c>
      <x:c r="D617" s="9" t="str">
        <x:v>CT-C-B-TECH-1</x:v>
      </x:c>
      <x:c r="E617" s="9" t="str">
        <x:v>CT-C-B</x:v>
      </x:c>
      <x:c r="F617" s="9" t="str">
        <x:v>B2</x:v>
      </x:c>
      <x:c r="G617" s="9" t="str">
        <x:v>INT</x:v>
      </x:c>
      <x:c r="H617" s="9" t="str">
        <x:v>IV08</x:v>
      </x:c>
      <x:c r="I617" s="17" t="str">
        <x:v>Whole-record preservation</x:v>
      </x:c>
      <x:c r="J617" s="17" t="str">
        <x:v>start, raw behavior, dissent and intervention remain in archive</x:v>
      </x:c>
      <x:c r="K617" s="17" t="str">
        <x:v>Archive authority</x:v>
      </x:c>
      <x:c r="L617" s="9" t="n">
        <x:v>0</x:v>
      </x:c>
      <x:c r="M617" s="9" t="n">
        <x:v>0</x:v>
      </x:c>
      <x:c r="N617" s="9" t="str">
        <x:v>UNFILED / UNPROVEN</x:v>
      </x:c>
      <x:c r="O617" s="9" t="n">
        <x:f>COUNTIFS($A$7:$A$1302,A617)</x:f>
        <x:v>1</x:v>
      </x:c>
    </x:row>
    <x:row r="618">
      <x:c r="A618" s="9" t="str">
        <x:v>EV-AR-CT-C-B-TECH-1-B2-INT-G0-IV09</x:v>
      </x:c>
      <x:c r="B618" s="9" t="str">
        <x:v>EV-AR-CT-C-B-TECH-1-B2-INT-G0</x:v>
      </x:c>
      <x:c r="C618" s="9" t="str">
        <x:v>AR-CT-C-B-TECH-1-B2-INT-G0</x:v>
      </x:c>
      <x:c r="D618" s="9" t="str">
        <x:v>CT-C-B-TECH-1</x:v>
      </x:c>
      <x:c r="E618" s="9" t="str">
        <x:v>CT-C-B</x:v>
      </x:c>
      <x:c r="F618" s="9" t="str">
        <x:v>B2</x:v>
      </x:c>
      <x:c r="G618" s="9" t="str">
        <x:v>INT</x:v>
      </x:c>
      <x:c r="H618" s="9" t="str">
        <x:v>IV09</x:v>
      </x:c>
      <x:c r="I618" s="17" t="str">
        <x:v>Bounded remedy</x:v>
      </x:c>
      <x:c r="J618" s="17" t="str">
        <x:v>only a new slot and EOW may follow; no favorable credit or erased attempt</x:v>
      </x:c>
      <x:c r="K618" s="17" t="str">
        <x:v>Invalidity court</x:v>
      </x:c>
      <x:c r="L618" s="9" t="n">
        <x:v>0</x:v>
      </x:c>
      <x:c r="M618" s="9" t="n">
        <x:v>0</x:v>
      </x:c>
      <x:c r="N618" s="9" t="str">
        <x:v>UNFILED / UNPROVEN</x:v>
      </x:c>
      <x:c r="O618" s="9" t="n">
        <x:f>COUNTIFS($A$7:$A$1302,A618)</x:f>
        <x:v>1</x:v>
      </x:c>
    </x:row>
    <x:row r="619">
      <x:c r="A619" s="9" t="str">
        <x:v>EV-AR-HC-A-C-TECH-1-B1-INT-G0-IV01</x:v>
      </x:c>
      <x:c r="B619" s="9" t="str">
        <x:v>EV-AR-HC-A-C-TECH-1-B1-INT-G0</x:v>
      </x:c>
      <x:c r="C619" s="9" t="str">
        <x:v>AR-HC-A-C-TECH-1-B1-INT-G0</x:v>
      </x:c>
      <x:c r="D619" s="9" t="str">
        <x:v>HC-A-C-TECH-1</x:v>
      </x:c>
      <x:c r="E619" s="9" t="str">
        <x:v>HC-A-C</x:v>
      </x:c>
      <x:c r="F619" s="9" t="str">
        <x:v>B1</x:v>
      </x:c>
      <x:c r="G619" s="9" t="str">
        <x:v>INT</x:v>
      </x:c>
      <x:c r="H619" s="9" t="str">
        <x:v>IV01</x:v>
      </x:c>
      <x:c r="I619" s="17" t="str">
        <x:v>Timely petition</x:v>
      </x:c>
      <x:c r="J619" s="17" t="str">
        <x:v>petition enters within seventy-two hours of event close</x:v>
      </x:c>
      <x:c r="K619" s="17" t="str">
        <x:v>Invalidity registrar</x:v>
      </x:c>
      <x:c r="L619" s="9" t="n">
        <x:v>0</x:v>
      </x:c>
      <x:c r="M619" s="9" t="n">
        <x:v>0</x:v>
      </x:c>
      <x:c r="N619" s="9" t="str">
        <x:v>UNFILED / UNPROVEN</x:v>
      </x:c>
      <x:c r="O619" s="9" t="n">
        <x:f>COUNTIFS($A$7:$A$1302,A619)</x:f>
        <x:v>1</x:v>
      </x:c>
    </x:row>
    <x:row r="620">
      <x:c r="A620" s="9" t="str">
        <x:v>EV-AR-HC-A-C-TECH-1-B1-INT-G0-IV02</x:v>
      </x:c>
      <x:c r="B620" s="9" t="str">
        <x:v>EV-AR-HC-A-C-TECH-1-B1-INT-G0</x:v>
      </x:c>
      <x:c r="C620" s="9" t="str">
        <x:v>AR-HC-A-C-TECH-1-B1-INT-G0</x:v>
      </x:c>
      <x:c r="D620" s="9" t="str">
        <x:v>HC-A-C-TECH-1</x:v>
      </x:c>
      <x:c r="E620" s="9" t="str">
        <x:v>HC-A-C</x:v>
      </x:c>
      <x:c r="F620" s="9" t="str">
        <x:v>B1</x:v>
      </x:c>
      <x:c r="G620" s="9" t="str">
        <x:v>INT</x:v>
      </x:c>
      <x:c r="H620" s="9" t="str">
        <x:v>IV02</x:v>
      </x:c>
      <x:c r="I620" s="17" t="str">
        <x:v>Named facility cause</x:v>
      </x:c>
      <x:c r="J620" s="17" t="str">
        <x:v>one pre-registered noncandidate cause is identified</x:v>
      </x:c>
      <x:c r="K620" s="17" t="str">
        <x:v>Facility-cause court</x:v>
      </x:c>
      <x:c r="L620" s="9" t="n">
        <x:v>0</x:v>
      </x:c>
      <x:c r="M620" s="9" t="n">
        <x:v>0</x:v>
      </x:c>
      <x:c r="N620" s="9" t="str">
        <x:v>UNFILED / UNPROVEN</x:v>
      </x:c>
      <x:c r="O620" s="9" t="n">
        <x:f>COUNTIFS($A$7:$A$1302,A620)</x:f>
        <x:v>1</x:v>
      </x:c>
    </x:row>
    <x:row r="621">
      <x:c r="A621" s="9" t="str">
        <x:v>EV-AR-HC-A-C-TECH-1-B1-INT-G0-IV03</x:v>
      </x:c>
      <x:c r="B621" s="9" t="str">
        <x:v>EV-AR-HC-A-C-TECH-1-B1-INT-G0</x:v>
      </x:c>
      <x:c r="C621" s="9" t="str">
        <x:v>AR-HC-A-C-TECH-1-B1-INT-G0</x:v>
      </x:c>
      <x:c r="D621" s="9" t="str">
        <x:v>HC-A-C-TECH-1</x:v>
      </x:c>
      <x:c r="E621" s="9" t="str">
        <x:v>HC-A-C</x:v>
      </x:c>
      <x:c r="F621" s="9" t="str">
        <x:v>B1</x:v>
      </x:c>
      <x:c r="G621" s="9" t="str">
        <x:v>INT</x:v>
      </x:c>
      <x:c r="H621" s="9" t="str">
        <x:v>IV03</x:v>
      </x:c>
      <x:c r="I621" s="17" t="str">
        <x:v>Temporal priority</x:v>
      </x:c>
      <x:c r="J621" s="17" t="str">
        <x:v>cause demonstrably precedes the disputed candidate behavior</x:v>
      </x:c>
      <x:c r="K621" s="17" t="str">
        <x:v>Time authority</x:v>
      </x:c>
      <x:c r="L621" s="9" t="n">
        <x:v>0</x:v>
      </x:c>
      <x:c r="M621" s="9" t="n">
        <x:v>0</x:v>
      </x:c>
      <x:c r="N621" s="9" t="str">
        <x:v>UNFILED / UNPROVEN</x:v>
      </x:c>
      <x:c r="O621" s="9" t="n">
        <x:f>COUNTIFS($A$7:$A$1302,A621)</x:f>
        <x:v>1</x:v>
      </x:c>
    </x:row>
    <x:row r="622">
      <x:c r="A622" s="9" t="str">
        <x:v>EV-AR-HC-A-C-TECH-1-B1-INT-G0-IV04</x:v>
      </x:c>
      <x:c r="B622" s="9" t="str">
        <x:v>EV-AR-HC-A-C-TECH-1-B1-INT-G0</x:v>
      </x:c>
      <x:c r="C622" s="9" t="str">
        <x:v>AR-HC-A-C-TECH-1-B1-INT-G0</x:v>
      </x:c>
      <x:c r="D622" s="9" t="str">
        <x:v>HC-A-C-TECH-1</x:v>
      </x:c>
      <x:c r="E622" s="9" t="str">
        <x:v>HC-A-C</x:v>
      </x:c>
      <x:c r="F622" s="9" t="str">
        <x:v>B1</x:v>
      </x:c>
      <x:c r="G622" s="9" t="str">
        <x:v>INT</x:v>
      </x:c>
      <x:c r="H622" s="9" t="str">
        <x:v>IV04</x:v>
      </x:c>
      <x:c r="I622" s="17" t="str">
        <x:v>Independent trace</x:v>
      </x:c>
      <x:c r="J622" s="17" t="str">
        <x:v>two unlike records carry the cause without candidate custody</x:v>
      </x:c>
      <x:c r="K622" s="17" t="str">
        <x:v>Invalidity court</x:v>
      </x:c>
      <x:c r="L622" s="9" t="n">
        <x:v>0</x:v>
      </x:c>
      <x:c r="M622" s="9" t="n">
        <x:v>0</x:v>
      </x:c>
      <x:c r="N622" s="9" t="str">
        <x:v>UNFILED / UNPROVEN</x:v>
      </x:c>
      <x:c r="O622" s="9" t="n">
        <x:f>COUNTIFS($A$7:$A$1302,A622)</x:f>
        <x:v>1</x:v>
      </x:c>
    </x:row>
    <x:row r="623">
      <x:c r="A623" s="9" t="str">
        <x:v>EV-AR-HC-A-C-TECH-1-B1-INT-G0-IV05</x:v>
      </x:c>
      <x:c r="B623" s="9" t="str">
        <x:v>EV-AR-HC-A-C-TECH-1-B1-INT-G0</x:v>
      </x:c>
      <x:c r="C623" s="9" t="str">
        <x:v>AR-HC-A-C-TECH-1-B1-INT-G0</x:v>
      </x:c>
      <x:c r="D623" s="9" t="str">
        <x:v>HC-A-C-TECH-1</x:v>
      </x:c>
      <x:c r="E623" s="9" t="str">
        <x:v>HC-A-C</x:v>
      </x:c>
      <x:c r="F623" s="9" t="str">
        <x:v>B1</x:v>
      </x:c>
      <x:c r="G623" s="9" t="str">
        <x:v>INT</x:v>
      </x:c>
      <x:c r="H623" s="9" t="str">
        <x:v>IV05</x:v>
      </x:c>
      <x:c r="I623" s="17" t="str">
        <x:v>Causal counterfactual</x:v>
      </x:c>
      <x:c r="J623" s="17" t="str">
        <x:v>registered counterfactual shows the cause can create the defect</x:v>
      </x:c>
      <x:c r="K623" s="17" t="str">
        <x:v>Causal court</x:v>
      </x:c>
      <x:c r="L623" s="9" t="n">
        <x:v>0</x:v>
      </x:c>
      <x:c r="M623" s="9" t="n">
        <x:v>0</x:v>
      </x:c>
      <x:c r="N623" s="9" t="str">
        <x:v>UNFILED / UNPROVEN</x:v>
      </x:c>
      <x:c r="O623" s="9" t="n">
        <x:f>COUNTIFS($A$7:$A$1302,A623)</x:f>
        <x:v>1</x:v>
      </x:c>
    </x:row>
    <x:row r="624">
      <x:c r="A624" s="9" t="str">
        <x:v>EV-AR-HC-A-C-TECH-1-B1-INT-G0-IV06</x:v>
      </x:c>
      <x:c r="B624" s="9" t="str">
        <x:v>EV-AR-HC-A-C-TECH-1-B1-INT-G0</x:v>
      </x:c>
      <x:c r="C624" s="9" t="str">
        <x:v>AR-HC-A-C-TECH-1-B1-INT-G0</x:v>
      </x:c>
      <x:c r="D624" s="9" t="str">
        <x:v>HC-A-C-TECH-1</x:v>
      </x:c>
      <x:c r="E624" s="9" t="str">
        <x:v>HC-A-C</x:v>
      </x:c>
      <x:c r="F624" s="9" t="str">
        <x:v>B1</x:v>
      </x:c>
      <x:c r="G624" s="9" t="str">
        <x:v>INT</x:v>
      </x:c>
      <x:c r="H624" s="9" t="str">
        <x:v>IV06</x:v>
      </x:c>
      <x:c r="I624" s="17" t="str">
        <x:v>Candidate non-causation</x:v>
      </x:c>
      <x:c r="J624" s="17" t="str">
        <x:v>evidence excludes candidate induction of the facility condition</x:v>
      </x:c>
      <x:c r="K624" s="17" t="str">
        <x:v>Causal court</x:v>
      </x:c>
      <x:c r="L624" s="9" t="n">
        <x:v>0</x:v>
      </x:c>
      <x:c r="M624" s="9" t="n">
        <x:v>0</x:v>
      </x:c>
      <x:c r="N624" s="9" t="str">
        <x:v>UNFILED / UNPROVEN</x:v>
      </x:c>
      <x:c r="O624" s="9" t="n">
        <x:f>COUNTIFS($A$7:$A$1302,A624)</x:f>
        <x:v>1</x:v>
      </x:c>
    </x:row>
    <x:row r="625">
      <x:c r="A625" s="9" t="str">
        <x:v>EV-AR-HC-A-C-TECH-1-B1-INT-G0-IV07</x:v>
      </x:c>
      <x:c r="B625" s="9" t="str">
        <x:v>EV-AR-HC-A-C-TECH-1-B1-INT-G0</x:v>
      </x:c>
      <x:c r="C625" s="9" t="str">
        <x:v>AR-HC-A-C-TECH-1-B1-INT-G0</x:v>
      </x:c>
      <x:c r="D625" s="9" t="str">
        <x:v>HC-A-C-TECH-1</x:v>
      </x:c>
      <x:c r="E625" s="9" t="str">
        <x:v>HC-A-C</x:v>
      </x:c>
      <x:c r="F625" s="9" t="str">
        <x:v>B1</x:v>
      </x:c>
      <x:c r="G625" s="9" t="str">
        <x:v>INT</x:v>
      </x:c>
      <x:c r="H625" s="9" t="str">
        <x:v>IV07</x:v>
      </x:c>
      <x:c r="I625" s="17" t="str">
        <x:v>No outcome selection</x:v>
      </x:c>
      <x:c r="J625" s="17" t="str">
        <x:v>petition rule and evidence scope were fixed before visibility</x:v>
      </x:c>
      <x:c r="K625" s="17" t="str">
        <x:v>Conflict registrar</x:v>
      </x:c>
      <x:c r="L625" s="9" t="n">
        <x:v>0</x:v>
      </x:c>
      <x:c r="M625" s="9" t="n">
        <x:v>0</x:v>
      </x:c>
      <x:c r="N625" s="9" t="str">
        <x:v>UNFILED / UNPROVEN</x:v>
      </x:c>
      <x:c r="O625" s="9" t="n">
        <x:f>COUNTIFS($A$7:$A$1302,A625)</x:f>
        <x:v>1</x:v>
      </x:c>
    </x:row>
    <x:row r="626">
      <x:c r="A626" s="9" t="str">
        <x:v>EV-AR-HC-A-C-TECH-1-B1-INT-G0-IV08</x:v>
      </x:c>
      <x:c r="B626" s="9" t="str">
        <x:v>EV-AR-HC-A-C-TECH-1-B1-INT-G0</x:v>
      </x:c>
      <x:c r="C626" s="9" t="str">
        <x:v>AR-HC-A-C-TECH-1-B1-INT-G0</x:v>
      </x:c>
      <x:c r="D626" s="9" t="str">
        <x:v>HC-A-C-TECH-1</x:v>
      </x:c>
      <x:c r="E626" s="9" t="str">
        <x:v>HC-A-C</x:v>
      </x:c>
      <x:c r="F626" s="9" t="str">
        <x:v>B1</x:v>
      </x:c>
      <x:c r="G626" s="9" t="str">
        <x:v>INT</x:v>
      </x:c>
      <x:c r="H626" s="9" t="str">
        <x:v>IV08</x:v>
      </x:c>
      <x:c r="I626" s="17" t="str">
        <x:v>Whole-record preservation</x:v>
      </x:c>
      <x:c r="J626" s="17" t="str">
        <x:v>start, raw behavior, dissent and intervention remain in archive</x:v>
      </x:c>
      <x:c r="K626" s="17" t="str">
        <x:v>Archive authority</x:v>
      </x:c>
      <x:c r="L626" s="9" t="n">
        <x:v>0</x:v>
      </x:c>
      <x:c r="M626" s="9" t="n">
        <x:v>0</x:v>
      </x:c>
      <x:c r="N626" s="9" t="str">
        <x:v>UNFILED / UNPROVEN</x:v>
      </x:c>
      <x:c r="O626" s="9" t="n">
        <x:f>COUNTIFS($A$7:$A$1302,A626)</x:f>
        <x:v>1</x:v>
      </x:c>
    </x:row>
    <x:row r="627">
      <x:c r="A627" s="9" t="str">
        <x:v>EV-AR-HC-A-C-TECH-1-B1-INT-G0-IV09</x:v>
      </x:c>
      <x:c r="B627" s="9" t="str">
        <x:v>EV-AR-HC-A-C-TECH-1-B1-INT-G0</x:v>
      </x:c>
      <x:c r="C627" s="9" t="str">
        <x:v>AR-HC-A-C-TECH-1-B1-INT-G0</x:v>
      </x:c>
      <x:c r="D627" s="9" t="str">
        <x:v>HC-A-C-TECH-1</x:v>
      </x:c>
      <x:c r="E627" s="9" t="str">
        <x:v>HC-A-C</x:v>
      </x:c>
      <x:c r="F627" s="9" t="str">
        <x:v>B1</x:v>
      </x:c>
      <x:c r="G627" s="9" t="str">
        <x:v>INT</x:v>
      </x:c>
      <x:c r="H627" s="9" t="str">
        <x:v>IV09</x:v>
      </x:c>
      <x:c r="I627" s="17" t="str">
        <x:v>Bounded remedy</x:v>
      </x:c>
      <x:c r="J627" s="17" t="str">
        <x:v>only a new slot and EOW may follow; no favorable credit or erased attempt</x:v>
      </x:c>
      <x:c r="K627" s="17" t="str">
        <x:v>Invalidity court</x:v>
      </x:c>
      <x:c r="L627" s="9" t="n">
        <x:v>0</x:v>
      </x:c>
      <x:c r="M627" s="9" t="n">
        <x:v>0</x:v>
      </x:c>
      <x:c r="N627" s="9" t="str">
        <x:v>UNFILED / UNPROVEN</x:v>
      </x:c>
      <x:c r="O627" s="9" t="n">
        <x:f>COUNTIFS($A$7:$A$1302,A627)</x:f>
        <x:v>1</x:v>
      </x:c>
    </x:row>
    <x:row r="628">
      <x:c r="A628" s="9" t="str">
        <x:v>EV-AR-HC-A-C-TECH-2-B2-RCN-G0-IV01</x:v>
      </x:c>
      <x:c r="B628" s="9" t="str">
        <x:v>EV-AR-HC-A-C-TECH-2-B2-RCN-G0</x:v>
      </x:c>
      <x:c r="C628" s="9" t="str">
        <x:v>AR-HC-A-C-TECH-2-B2-RCN-G0</x:v>
      </x:c>
      <x:c r="D628" s="9" t="str">
        <x:v>HC-A-C-TECH-2</x:v>
      </x:c>
      <x:c r="E628" s="9" t="str">
        <x:v>HC-A-C</x:v>
      </x:c>
      <x:c r="F628" s="9" t="str">
        <x:v>B2</x:v>
      </x:c>
      <x:c r="G628" s="9" t="str">
        <x:v>RCN</x:v>
      </x:c>
      <x:c r="H628" s="9" t="str">
        <x:v>IV01</x:v>
      </x:c>
      <x:c r="I628" s="17" t="str">
        <x:v>Timely petition</x:v>
      </x:c>
      <x:c r="J628" s="17" t="str">
        <x:v>petition enters within seventy-two hours of event close</x:v>
      </x:c>
      <x:c r="K628" s="17" t="str">
        <x:v>Invalidity registrar</x:v>
      </x:c>
      <x:c r="L628" s="9" t="n">
        <x:v>0</x:v>
      </x:c>
      <x:c r="M628" s="9" t="n">
        <x:v>0</x:v>
      </x:c>
      <x:c r="N628" s="9" t="str">
        <x:v>UNFILED / UNPROVEN</x:v>
      </x:c>
      <x:c r="O628" s="9" t="n">
        <x:f>COUNTIFS($A$7:$A$1302,A628)</x:f>
        <x:v>1</x:v>
      </x:c>
    </x:row>
    <x:row r="629">
      <x:c r="A629" s="9" t="str">
        <x:v>EV-AR-HC-A-C-TECH-2-B2-RCN-G0-IV02</x:v>
      </x:c>
      <x:c r="B629" s="9" t="str">
        <x:v>EV-AR-HC-A-C-TECH-2-B2-RCN-G0</x:v>
      </x:c>
      <x:c r="C629" s="9" t="str">
        <x:v>AR-HC-A-C-TECH-2-B2-RCN-G0</x:v>
      </x:c>
      <x:c r="D629" s="9" t="str">
        <x:v>HC-A-C-TECH-2</x:v>
      </x:c>
      <x:c r="E629" s="9" t="str">
        <x:v>HC-A-C</x:v>
      </x:c>
      <x:c r="F629" s="9" t="str">
        <x:v>B2</x:v>
      </x:c>
      <x:c r="G629" s="9" t="str">
        <x:v>RCN</x:v>
      </x:c>
      <x:c r="H629" s="9" t="str">
        <x:v>IV02</x:v>
      </x:c>
      <x:c r="I629" s="17" t="str">
        <x:v>Named facility cause</x:v>
      </x:c>
      <x:c r="J629" s="17" t="str">
        <x:v>one pre-registered noncandidate cause is identified</x:v>
      </x:c>
      <x:c r="K629" s="17" t="str">
        <x:v>Facility-cause court</x:v>
      </x:c>
      <x:c r="L629" s="9" t="n">
        <x:v>0</x:v>
      </x:c>
      <x:c r="M629" s="9" t="n">
        <x:v>0</x:v>
      </x:c>
      <x:c r="N629" s="9" t="str">
        <x:v>UNFILED / UNPROVEN</x:v>
      </x:c>
      <x:c r="O629" s="9" t="n">
        <x:f>COUNTIFS($A$7:$A$1302,A629)</x:f>
        <x:v>1</x:v>
      </x:c>
    </x:row>
    <x:row r="630">
      <x:c r="A630" s="9" t="str">
        <x:v>EV-AR-HC-A-C-TECH-2-B2-RCN-G0-IV03</x:v>
      </x:c>
      <x:c r="B630" s="9" t="str">
        <x:v>EV-AR-HC-A-C-TECH-2-B2-RCN-G0</x:v>
      </x:c>
      <x:c r="C630" s="9" t="str">
        <x:v>AR-HC-A-C-TECH-2-B2-RCN-G0</x:v>
      </x:c>
      <x:c r="D630" s="9" t="str">
        <x:v>HC-A-C-TECH-2</x:v>
      </x:c>
      <x:c r="E630" s="9" t="str">
        <x:v>HC-A-C</x:v>
      </x:c>
      <x:c r="F630" s="9" t="str">
        <x:v>B2</x:v>
      </x:c>
      <x:c r="G630" s="9" t="str">
        <x:v>RCN</x:v>
      </x:c>
      <x:c r="H630" s="9" t="str">
        <x:v>IV03</x:v>
      </x:c>
      <x:c r="I630" s="17" t="str">
        <x:v>Temporal priority</x:v>
      </x:c>
      <x:c r="J630" s="17" t="str">
        <x:v>cause demonstrably precedes the disputed candidate behavior</x:v>
      </x:c>
      <x:c r="K630" s="17" t="str">
        <x:v>Time authority</x:v>
      </x:c>
      <x:c r="L630" s="9" t="n">
        <x:v>0</x:v>
      </x:c>
      <x:c r="M630" s="9" t="n">
        <x:v>0</x:v>
      </x:c>
      <x:c r="N630" s="9" t="str">
        <x:v>UNFILED / UNPROVEN</x:v>
      </x:c>
      <x:c r="O630" s="9" t="n">
        <x:f>COUNTIFS($A$7:$A$1302,A630)</x:f>
        <x:v>1</x:v>
      </x:c>
    </x:row>
    <x:row r="631">
      <x:c r="A631" s="9" t="str">
        <x:v>EV-AR-HC-A-C-TECH-2-B2-RCN-G0-IV04</x:v>
      </x:c>
      <x:c r="B631" s="9" t="str">
        <x:v>EV-AR-HC-A-C-TECH-2-B2-RCN-G0</x:v>
      </x:c>
      <x:c r="C631" s="9" t="str">
        <x:v>AR-HC-A-C-TECH-2-B2-RCN-G0</x:v>
      </x:c>
      <x:c r="D631" s="9" t="str">
        <x:v>HC-A-C-TECH-2</x:v>
      </x:c>
      <x:c r="E631" s="9" t="str">
        <x:v>HC-A-C</x:v>
      </x:c>
      <x:c r="F631" s="9" t="str">
        <x:v>B2</x:v>
      </x:c>
      <x:c r="G631" s="9" t="str">
        <x:v>RCN</x:v>
      </x:c>
      <x:c r="H631" s="9" t="str">
        <x:v>IV04</x:v>
      </x:c>
      <x:c r="I631" s="17" t="str">
        <x:v>Independent trace</x:v>
      </x:c>
      <x:c r="J631" s="17" t="str">
        <x:v>two unlike records carry the cause without candidate custody</x:v>
      </x:c>
      <x:c r="K631" s="17" t="str">
        <x:v>Invalidity court</x:v>
      </x:c>
      <x:c r="L631" s="9" t="n">
        <x:v>0</x:v>
      </x:c>
      <x:c r="M631" s="9" t="n">
        <x:v>0</x:v>
      </x:c>
      <x:c r="N631" s="9" t="str">
        <x:v>UNFILED / UNPROVEN</x:v>
      </x:c>
      <x:c r="O631" s="9" t="n">
        <x:f>COUNTIFS($A$7:$A$1302,A631)</x:f>
        <x:v>1</x:v>
      </x:c>
    </x:row>
    <x:row r="632">
      <x:c r="A632" s="9" t="str">
        <x:v>EV-AR-HC-A-C-TECH-2-B2-RCN-G0-IV05</x:v>
      </x:c>
      <x:c r="B632" s="9" t="str">
        <x:v>EV-AR-HC-A-C-TECH-2-B2-RCN-G0</x:v>
      </x:c>
      <x:c r="C632" s="9" t="str">
        <x:v>AR-HC-A-C-TECH-2-B2-RCN-G0</x:v>
      </x:c>
      <x:c r="D632" s="9" t="str">
        <x:v>HC-A-C-TECH-2</x:v>
      </x:c>
      <x:c r="E632" s="9" t="str">
        <x:v>HC-A-C</x:v>
      </x:c>
      <x:c r="F632" s="9" t="str">
        <x:v>B2</x:v>
      </x:c>
      <x:c r="G632" s="9" t="str">
        <x:v>RCN</x:v>
      </x:c>
      <x:c r="H632" s="9" t="str">
        <x:v>IV05</x:v>
      </x:c>
      <x:c r="I632" s="17" t="str">
        <x:v>Causal counterfactual</x:v>
      </x:c>
      <x:c r="J632" s="17" t="str">
        <x:v>registered counterfactual shows the cause can create the defect</x:v>
      </x:c>
      <x:c r="K632" s="17" t="str">
        <x:v>Causal court</x:v>
      </x:c>
      <x:c r="L632" s="9" t="n">
        <x:v>0</x:v>
      </x:c>
      <x:c r="M632" s="9" t="n">
        <x:v>0</x:v>
      </x:c>
      <x:c r="N632" s="9" t="str">
        <x:v>UNFILED / UNPROVEN</x:v>
      </x:c>
      <x:c r="O632" s="9" t="n">
        <x:f>COUNTIFS($A$7:$A$1302,A632)</x:f>
        <x:v>1</x:v>
      </x:c>
    </x:row>
    <x:row r="633">
      <x:c r="A633" s="9" t="str">
        <x:v>EV-AR-HC-A-C-TECH-2-B2-RCN-G0-IV06</x:v>
      </x:c>
      <x:c r="B633" s="9" t="str">
        <x:v>EV-AR-HC-A-C-TECH-2-B2-RCN-G0</x:v>
      </x:c>
      <x:c r="C633" s="9" t="str">
        <x:v>AR-HC-A-C-TECH-2-B2-RCN-G0</x:v>
      </x:c>
      <x:c r="D633" s="9" t="str">
        <x:v>HC-A-C-TECH-2</x:v>
      </x:c>
      <x:c r="E633" s="9" t="str">
        <x:v>HC-A-C</x:v>
      </x:c>
      <x:c r="F633" s="9" t="str">
        <x:v>B2</x:v>
      </x:c>
      <x:c r="G633" s="9" t="str">
        <x:v>RCN</x:v>
      </x:c>
      <x:c r="H633" s="9" t="str">
        <x:v>IV06</x:v>
      </x:c>
      <x:c r="I633" s="17" t="str">
        <x:v>Candidate non-causation</x:v>
      </x:c>
      <x:c r="J633" s="17" t="str">
        <x:v>evidence excludes candidate induction of the facility condition</x:v>
      </x:c>
      <x:c r="K633" s="17" t="str">
        <x:v>Causal court</x:v>
      </x:c>
      <x:c r="L633" s="9" t="n">
        <x:v>0</x:v>
      </x:c>
      <x:c r="M633" s="9" t="n">
        <x:v>0</x:v>
      </x:c>
      <x:c r="N633" s="9" t="str">
        <x:v>UNFILED / UNPROVEN</x:v>
      </x:c>
      <x:c r="O633" s="9" t="n">
        <x:f>COUNTIFS($A$7:$A$1302,A633)</x:f>
        <x:v>1</x:v>
      </x:c>
    </x:row>
    <x:row r="634">
      <x:c r="A634" s="9" t="str">
        <x:v>EV-AR-HC-A-C-TECH-2-B2-RCN-G0-IV07</x:v>
      </x:c>
      <x:c r="B634" s="9" t="str">
        <x:v>EV-AR-HC-A-C-TECH-2-B2-RCN-G0</x:v>
      </x:c>
      <x:c r="C634" s="9" t="str">
        <x:v>AR-HC-A-C-TECH-2-B2-RCN-G0</x:v>
      </x:c>
      <x:c r="D634" s="9" t="str">
        <x:v>HC-A-C-TECH-2</x:v>
      </x:c>
      <x:c r="E634" s="9" t="str">
        <x:v>HC-A-C</x:v>
      </x:c>
      <x:c r="F634" s="9" t="str">
        <x:v>B2</x:v>
      </x:c>
      <x:c r="G634" s="9" t="str">
        <x:v>RCN</x:v>
      </x:c>
      <x:c r="H634" s="9" t="str">
        <x:v>IV07</x:v>
      </x:c>
      <x:c r="I634" s="17" t="str">
        <x:v>No outcome selection</x:v>
      </x:c>
      <x:c r="J634" s="17" t="str">
        <x:v>petition rule and evidence scope were fixed before visibility</x:v>
      </x:c>
      <x:c r="K634" s="17" t="str">
        <x:v>Conflict registrar</x:v>
      </x:c>
      <x:c r="L634" s="9" t="n">
        <x:v>0</x:v>
      </x:c>
      <x:c r="M634" s="9" t="n">
        <x:v>0</x:v>
      </x:c>
      <x:c r="N634" s="9" t="str">
        <x:v>UNFILED / UNPROVEN</x:v>
      </x:c>
      <x:c r="O634" s="9" t="n">
        <x:f>COUNTIFS($A$7:$A$1302,A634)</x:f>
        <x:v>1</x:v>
      </x:c>
    </x:row>
    <x:row r="635">
      <x:c r="A635" s="9" t="str">
        <x:v>EV-AR-HC-A-C-TECH-2-B2-RCN-G0-IV08</x:v>
      </x:c>
      <x:c r="B635" s="9" t="str">
        <x:v>EV-AR-HC-A-C-TECH-2-B2-RCN-G0</x:v>
      </x:c>
      <x:c r="C635" s="9" t="str">
        <x:v>AR-HC-A-C-TECH-2-B2-RCN-G0</x:v>
      </x:c>
      <x:c r="D635" s="9" t="str">
        <x:v>HC-A-C-TECH-2</x:v>
      </x:c>
      <x:c r="E635" s="9" t="str">
        <x:v>HC-A-C</x:v>
      </x:c>
      <x:c r="F635" s="9" t="str">
        <x:v>B2</x:v>
      </x:c>
      <x:c r="G635" s="9" t="str">
        <x:v>RCN</x:v>
      </x:c>
      <x:c r="H635" s="9" t="str">
        <x:v>IV08</x:v>
      </x:c>
      <x:c r="I635" s="17" t="str">
        <x:v>Whole-record preservation</x:v>
      </x:c>
      <x:c r="J635" s="17" t="str">
        <x:v>start, raw behavior, dissent and intervention remain in archive</x:v>
      </x:c>
      <x:c r="K635" s="17" t="str">
        <x:v>Archive authority</x:v>
      </x:c>
      <x:c r="L635" s="9" t="n">
        <x:v>0</x:v>
      </x:c>
      <x:c r="M635" s="9" t="n">
        <x:v>0</x:v>
      </x:c>
      <x:c r="N635" s="9" t="str">
        <x:v>UNFILED / UNPROVEN</x:v>
      </x:c>
      <x:c r="O635" s="9" t="n">
        <x:f>COUNTIFS($A$7:$A$1302,A635)</x:f>
        <x:v>1</x:v>
      </x:c>
    </x:row>
    <x:row r="636">
      <x:c r="A636" s="9" t="str">
        <x:v>EV-AR-HC-A-C-TECH-2-B2-RCN-G0-IV09</x:v>
      </x:c>
      <x:c r="B636" s="9" t="str">
        <x:v>EV-AR-HC-A-C-TECH-2-B2-RCN-G0</x:v>
      </x:c>
      <x:c r="C636" s="9" t="str">
        <x:v>AR-HC-A-C-TECH-2-B2-RCN-G0</x:v>
      </x:c>
      <x:c r="D636" s="9" t="str">
        <x:v>HC-A-C-TECH-2</x:v>
      </x:c>
      <x:c r="E636" s="9" t="str">
        <x:v>HC-A-C</x:v>
      </x:c>
      <x:c r="F636" s="9" t="str">
        <x:v>B2</x:v>
      </x:c>
      <x:c r="G636" s="9" t="str">
        <x:v>RCN</x:v>
      </x:c>
      <x:c r="H636" s="9" t="str">
        <x:v>IV09</x:v>
      </x:c>
      <x:c r="I636" s="17" t="str">
        <x:v>Bounded remedy</x:v>
      </x:c>
      <x:c r="J636" s="17" t="str">
        <x:v>only a new slot and EOW may follow; no favorable credit or erased attempt</x:v>
      </x:c>
      <x:c r="K636" s="17" t="str">
        <x:v>Invalidity court</x:v>
      </x:c>
      <x:c r="L636" s="9" t="n">
        <x:v>0</x:v>
      </x:c>
      <x:c r="M636" s="9" t="n">
        <x:v>0</x:v>
      </x:c>
      <x:c r="N636" s="9" t="str">
        <x:v>UNFILED / UNPROVEN</x:v>
      </x:c>
      <x:c r="O636" s="9" t="n">
        <x:f>COUNTIFS($A$7:$A$1302,A636)</x:f>
        <x:v>1</x:v>
      </x:c>
    </x:row>
    <x:row r="637">
      <x:c r="A637" s="9" t="str">
        <x:v>EV-AR-LF-B-A-TECH-1-B2-RCN-G0-IV01</x:v>
      </x:c>
      <x:c r="B637" s="9" t="str">
        <x:v>EV-AR-LF-B-A-TECH-1-B2-RCN-G0</x:v>
      </x:c>
      <x:c r="C637" s="9" t="str">
        <x:v>AR-LF-B-A-TECH-1-B2-RCN-G0</x:v>
      </x:c>
      <x:c r="D637" s="9" t="str">
        <x:v>LF-B-A-TECH-1</x:v>
      </x:c>
      <x:c r="E637" s="9" t="str">
        <x:v>LF-B-A</x:v>
      </x:c>
      <x:c r="F637" s="9" t="str">
        <x:v>B2</x:v>
      </x:c>
      <x:c r="G637" s="9" t="str">
        <x:v>RCN</x:v>
      </x:c>
      <x:c r="H637" s="9" t="str">
        <x:v>IV01</x:v>
      </x:c>
      <x:c r="I637" s="17" t="str">
        <x:v>Timely petition</x:v>
      </x:c>
      <x:c r="J637" s="17" t="str">
        <x:v>petition enters within seventy-two hours of event close</x:v>
      </x:c>
      <x:c r="K637" s="17" t="str">
        <x:v>Invalidity registrar</x:v>
      </x:c>
      <x:c r="L637" s="9" t="n">
        <x:v>0</x:v>
      </x:c>
      <x:c r="M637" s="9" t="n">
        <x:v>0</x:v>
      </x:c>
      <x:c r="N637" s="9" t="str">
        <x:v>UNFILED / UNPROVEN</x:v>
      </x:c>
      <x:c r="O637" s="9" t="n">
        <x:f>COUNTIFS($A$7:$A$1302,A637)</x:f>
        <x:v>1</x:v>
      </x:c>
    </x:row>
    <x:row r="638">
      <x:c r="A638" s="9" t="str">
        <x:v>EV-AR-LF-B-A-TECH-1-B2-RCN-G0-IV02</x:v>
      </x:c>
      <x:c r="B638" s="9" t="str">
        <x:v>EV-AR-LF-B-A-TECH-1-B2-RCN-G0</x:v>
      </x:c>
      <x:c r="C638" s="9" t="str">
        <x:v>AR-LF-B-A-TECH-1-B2-RCN-G0</x:v>
      </x:c>
      <x:c r="D638" s="9" t="str">
        <x:v>LF-B-A-TECH-1</x:v>
      </x:c>
      <x:c r="E638" s="9" t="str">
        <x:v>LF-B-A</x:v>
      </x:c>
      <x:c r="F638" s="9" t="str">
        <x:v>B2</x:v>
      </x:c>
      <x:c r="G638" s="9" t="str">
        <x:v>RCN</x:v>
      </x:c>
      <x:c r="H638" s="9" t="str">
        <x:v>IV02</x:v>
      </x:c>
      <x:c r="I638" s="17" t="str">
        <x:v>Named facility cause</x:v>
      </x:c>
      <x:c r="J638" s="17" t="str">
        <x:v>one pre-registered noncandidate cause is identified</x:v>
      </x:c>
      <x:c r="K638" s="17" t="str">
        <x:v>Facility-cause court</x:v>
      </x:c>
      <x:c r="L638" s="9" t="n">
        <x:v>0</x:v>
      </x:c>
      <x:c r="M638" s="9" t="n">
        <x:v>0</x:v>
      </x:c>
      <x:c r="N638" s="9" t="str">
        <x:v>UNFILED / UNPROVEN</x:v>
      </x:c>
      <x:c r="O638" s="9" t="n">
        <x:f>COUNTIFS($A$7:$A$1302,A638)</x:f>
        <x:v>1</x:v>
      </x:c>
    </x:row>
    <x:row r="639">
      <x:c r="A639" s="9" t="str">
        <x:v>EV-AR-LF-B-A-TECH-1-B2-RCN-G0-IV03</x:v>
      </x:c>
      <x:c r="B639" s="9" t="str">
        <x:v>EV-AR-LF-B-A-TECH-1-B2-RCN-G0</x:v>
      </x:c>
      <x:c r="C639" s="9" t="str">
        <x:v>AR-LF-B-A-TECH-1-B2-RCN-G0</x:v>
      </x:c>
      <x:c r="D639" s="9" t="str">
        <x:v>LF-B-A-TECH-1</x:v>
      </x:c>
      <x:c r="E639" s="9" t="str">
        <x:v>LF-B-A</x:v>
      </x:c>
      <x:c r="F639" s="9" t="str">
        <x:v>B2</x:v>
      </x:c>
      <x:c r="G639" s="9" t="str">
        <x:v>RCN</x:v>
      </x:c>
      <x:c r="H639" s="9" t="str">
        <x:v>IV03</x:v>
      </x:c>
      <x:c r="I639" s="17" t="str">
        <x:v>Temporal priority</x:v>
      </x:c>
      <x:c r="J639" s="17" t="str">
        <x:v>cause demonstrably precedes the disputed candidate behavior</x:v>
      </x:c>
      <x:c r="K639" s="17" t="str">
        <x:v>Time authority</x:v>
      </x:c>
      <x:c r="L639" s="9" t="n">
        <x:v>0</x:v>
      </x:c>
      <x:c r="M639" s="9" t="n">
        <x:v>0</x:v>
      </x:c>
      <x:c r="N639" s="9" t="str">
        <x:v>UNFILED / UNPROVEN</x:v>
      </x:c>
      <x:c r="O639" s="9" t="n">
        <x:f>COUNTIFS($A$7:$A$1302,A639)</x:f>
        <x:v>1</x:v>
      </x:c>
    </x:row>
    <x:row r="640">
      <x:c r="A640" s="9" t="str">
        <x:v>EV-AR-LF-B-A-TECH-1-B2-RCN-G0-IV04</x:v>
      </x:c>
      <x:c r="B640" s="9" t="str">
        <x:v>EV-AR-LF-B-A-TECH-1-B2-RCN-G0</x:v>
      </x:c>
      <x:c r="C640" s="9" t="str">
        <x:v>AR-LF-B-A-TECH-1-B2-RCN-G0</x:v>
      </x:c>
      <x:c r="D640" s="9" t="str">
        <x:v>LF-B-A-TECH-1</x:v>
      </x:c>
      <x:c r="E640" s="9" t="str">
        <x:v>LF-B-A</x:v>
      </x:c>
      <x:c r="F640" s="9" t="str">
        <x:v>B2</x:v>
      </x:c>
      <x:c r="G640" s="9" t="str">
        <x:v>RCN</x:v>
      </x:c>
      <x:c r="H640" s="9" t="str">
        <x:v>IV04</x:v>
      </x:c>
      <x:c r="I640" s="17" t="str">
        <x:v>Independent trace</x:v>
      </x:c>
      <x:c r="J640" s="17" t="str">
        <x:v>two unlike records carry the cause without candidate custody</x:v>
      </x:c>
      <x:c r="K640" s="17" t="str">
        <x:v>Invalidity court</x:v>
      </x:c>
      <x:c r="L640" s="9" t="n">
        <x:v>0</x:v>
      </x:c>
      <x:c r="M640" s="9" t="n">
        <x:v>0</x:v>
      </x:c>
      <x:c r="N640" s="9" t="str">
        <x:v>UNFILED / UNPROVEN</x:v>
      </x:c>
      <x:c r="O640" s="9" t="n">
        <x:f>COUNTIFS($A$7:$A$1302,A640)</x:f>
        <x:v>1</x:v>
      </x:c>
    </x:row>
    <x:row r="641">
      <x:c r="A641" s="9" t="str">
        <x:v>EV-AR-LF-B-A-TECH-1-B2-RCN-G0-IV05</x:v>
      </x:c>
      <x:c r="B641" s="9" t="str">
        <x:v>EV-AR-LF-B-A-TECH-1-B2-RCN-G0</x:v>
      </x:c>
      <x:c r="C641" s="9" t="str">
        <x:v>AR-LF-B-A-TECH-1-B2-RCN-G0</x:v>
      </x:c>
      <x:c r="D641" s="9" t="str">
        <x:v>LF-B-A-TECH-1</x:v>
      </x:c>
      <x:c r="E641" s="9" t="str">
        <x:v>LF-B-A</x:v>
      </x:c>
      <x:c r="F641" s="9" t="str">
        <x:v>B2</x:v>
      </x:c>
      <x:c r="G641" s="9" t="str">
        <x:v>RCN</x:v>
      </x:c>
      <x:c r="H641" s="9" t="str">
        <x:v>IV05</x:v>
      </x:c>
      <x:c r="I641" s="17" t="str">
        <x:v>Causal counterfactual</x:v>
      </x:c>
      <x:c r="J641" s="17" t="str">
        <x:v>registered counterfactual shows the cause can create the defect</x:v>
      </x:c>
      <x:c r="K641" s="17" t="str">
        <x:v>Causal court</x:v>
      </x:c>
      <x:c r="L641" s="9" t="n">
        <x:v>0</x:v>
      </x:c>
      <x:c r="M641" s="9" t="n">
        <x:v>0</x:v>
      </x:c>
      <x:c r="N641" s="9" t="str">
        <x:v>UNFILED / UNPROVEN</x:v>
      </x:c>
      <x:c r="O641" s="9" t="n">
        <x:f>COUNTIFS($A$7:$A$1302,A641)</x:f>
        <x:v>1</x:v>
      </x:c>
    </x:row>
    <x:row r="642">
      <x:c r="A642" s="9" t="str">
        <x:v>EV-AR-LF-B-A-TECH-1-B2-RCN-G0-IV06</x:v>
      </x:c>
      <x:c r="B642" s="9" t="str">
        <x:v>EV-AR-LF-B-A-TECH-1-B2-RCN-G0</x:v>
      </x:c>
      <x:c r="C642" s="9" t="str">
        <x:v>AR-LF-B-A-TECH-1-B2-RCN-G0</x:v>
      </x:c>
      <x:c r="D642" s="9" t="str">
        <x:v>LF-B-A-TECH-1</x:v>
      </x:c>
      <x:c r="E642" s="9" t="str">
        <x:v>LF-B-A</x:v>
      </x:c>
      <x:c r="F642" s="9" t="str">
        <x:v>B2</x:v>
      </x:c>
      <x:c r="G642" s="9" t="str">
        <x:v>RCN</x:v>
      </x:c>
      <x:c r="H642" s="9" t="str">
        <x:v>IV06</x:v>
      </x:c>
      <x:c r="I642" s="17" t="str">
        <x:v>Candidate non-causation</x:v>
      </x:c>
      <x:c r="J642" s="17" t="str">
        <x:v>evidence excludes candidate induction of the facility condition</x:v>
      </x:c>
      <x:c r="K642" s="17" t="str">
        <x:v>Causal court</x:v>
      </x:c>
      <x:c r="L642" s="9" t="n">
        <x:v>0</x:v>
      </x:c>
      <x:c r="M642" s="9" t="n">
        <x:v>0</x:v>
      </x:c>
      <x:c r="N642" s="9" t="str">
        <x:v>UNFILED / UNPROVEN</x:v>
      </x:c>
      <x:c r="O642" s="9" t="n">
        <x:f>COUNTIFS($A$7:$A$1302,A642)</x:f>
        <x:v>1</x:v>
      </x:c>
    </x:row>
    <x:row r="643">
      <x:c r="A643" s="9" t="str">
        <x:v>EV-AR-LF-B-A-TECH-1-B2-RCN-G0-IV07</x:v>
      </x:c>
      <x:c r="B643" s="9" t="str">
        <x:v>EV-AR-LF-B-A-TECH-1-B2-RCN-G0</x:v>
      </x:c>
      <x:c r="C643" s="9" t="str">
        <x:v>AR-LF-B-A-TECH-1-B2-RCN-G0</x:v>
      </x:c>
      <x:c r="D643" s="9" t="str">
        <x:v>LF-B-A-TECH-1</x:v>
      </x:c>
      <x:c r="E643" s="9" t="str">
        <x:v>LF-B-A</x:v>
      </x:c>
      <x:c r="F643" s="9" t="str">
        <x:v>B2</x:v>
      </x:c>
      <x:c r="G643" s="9" t="str">
        <x:v>RCN</x:v>
      </x:c>
      <x:c r="H643" s="9" t="str">
        <x:v>IV07</x:v>
      </x:c>
      <x:c r="I643" s="17" t="str">
        <x:v>No outcome selection</x:v>
      </x:c>
      <x:c r="J643" s="17" t="str">
        <x:v>petition rule and evidence scope were fixed before visibility</x:v>
      </x:c>
      <x:c r="K643" s="17" t="str">
        <x:v>Conflict registrar</x:v>
      </x:c>
      <x:c r="L643" s="9" t="n">
        <x:v>0</x:v>
      </x:c>
      <x:c r="M643" s="9" t="n">
        <x:v>0</x:v>
      </x:c>
      <x:c r="N643" s="9" t="str">
        <x:v>UNFILED / UNPROVEN</x:v>
      </x:c>
      <x:c r="O643" s="9" t="n">
        <x:f>COUNTIFS($A$7:$A$1302,A643)</x:f>
        <x:v>1</x:v>
      </x:c>
    </x:row>
    <x:row r="644">
      <x:c r="A644" s="9" t="str">
        <x:v>EV-AR-LF-B-A-TECH-1-B2-RCN-G0-IV08</x:v>
      </x:c>
      <x:c r="B644" s="9" t="str">
        <x:v>EV-AR-LF-B-A-TECH-1-B2-RCN-G0</x:v>
      </x:c>
      <x:c r="C644" s="9" t="str">
        <x:v>AR-LF-B-A-TECH-1-B2-RCN-G0</x:v>
      </x:c>
      <x:c r="D644" s="9" t="str">
        <x:v>LF-B-A-TECH-1</x:v>
      </x:c>
      <x:c r="E644" s="9" t="str">
        <x:v>LF-B-A</x:v>
      </x:c>
      <x:c r="F644" s="9" t="str">
        <x:v>B2</x:v>
      </x:c>
      <x:c r="G644" s="9" t="str">
        <x:v>RCN</x:v>
      </x:c>
      <x:c r="H644" s="9" t="str">
        <x:v>IV08</x:v>
      </x:c>
      <x:c r="I644" s="17" t="str">
        <x:v>Whole-record preservation</x:v>
      </x:c>
      <x:c r="J644" s="17" t="str">
        <x:v>start, raw behavior, dissent and intervention remain in archive</x:v>
      </x:c>
      <x:c r="K644" s="17" t="str">
        <x:v>Archive authority</x:v>
      </x:c>
      <x:c r="L644" s="9" t="n">
        <x:v>0</x:v>
      </x:c>
      <x:c r="M644" s="9" t="n">
        <x:v>0</x:v>
      </x:c>
      <x:c r="N644" s="9" t="str">
        <x:v>UNFILED / UNPROVEN</x:v>
      </x:c>
      <x:c r="O644" s="9" t="n">
        <x:f>COUNTIFS($A$7:$A$1302,A644)</x:f>
        <x:v>1</x:v>
      </x:c>
    </x:row>
    <x:row r="645">
      <x:c r="A645" s="9" t="str">
        <x:v>EV-AR-LF-B-A-TECH-1-B2-RCN-G0-IV09</x:v>
      </x:c>
      <x:c r="B645" s="9" t="str">
        <x:v>EV-AR-LF-B-A-TECH-1-B2-RCN-G0</x:v>
      </x:c>
      <x:c r="C645" s="9" t="str">
        <x:v>AR-LF-B-A-TECH-1-B2-RCN-G0</x:v>
      </x:c>
      <x:c r="D645" s="9" t="str">
        <x:v>LF-B-A-TECH-1</x:v>
      </x:c>
      <x:c r="E645" s="9" t="str">
        <x:v>LF-B-A</x:v>
      </x:c>
      <x:c r="F645" s="9" t="str">
        <x:v>B2</x:v>
      </x:c>
      <x:c r="G645" s="9" t="str">
        <x:v>RCN</x:v>
      </x:c>
      <x:c r="H645" s="9" t="str">
        <x:v>IV09</x:v>
      </x:c>
      <x:c r="I645" s="17" t="str">
        <x:v>Bounded remedy</x:v>
      </x:c>
      <x:c r="J645" s="17" t="str">
        <x:v>only a new slot and EOW may follow; no favorable credit or erased attempt</x:v>
      </x:c>
      <x:c r="K645" s="17" t="str">
        <x:v>Invalidity court</x:v>
      </x:c>
      <x:c r="L645" s="9" t="n">
        <x:v>0</x:v>
      </x:c>
      <x:c r="M645" s="9" t="n">
        <x:v>0</x:v>
      </x:c>
      <x:c r="N645" s="9" t="str">
        <x:v>UNFILED / UNPROVEN</x:v>
      </x:c>
      <x:c r="O645" s="9" t="n">
        <x:f>COUNTIFS($A$7:$A$1302,A645)</x:f>
        <x:v>1</x:v>
      </x:c>
    </x:row>
    <x:row r="646">
      <x:c r="A646" s="9" t="str">
        <x:v>EV-AR-RT-B-C-TECH-1-B2-BRK-G0-IV01</x:v>
      </x:c>
      <x:c r="B646" s="9" t="str">
        <x:v>EV-AR-RT-B-C-TECH-1-B2-BRK-G0</x:v>
      </x:c>
      <x:c r="C646" s="9" t="str">
        <x:v>AR-RT-B-C-TECH-1-B2-BRK-G0</x:v>
      </x:c>
      <x:c r="D646" s="9" t="str">
        <x:v>RT-B-C-TECH-1</x:v>
      </x:c>
      <x:c r="E646" s="9" t="str">
        <x:v>RT-B-C</x:v>
      </x:c>
      <x:c r="F646" s="9" t="str">
        <x:v>B2</x:v>
      </x:c>
      <x:c r="G646" s="9" t="str">
        <x:v>BRK</x:v>
      </x:c>
      <x:c r="H646" s="9" t="str">
        <x:v>IV01</x:v>
      </x:c>
      <x:c r="I646" s="17" t="str">
        <x:v>Timely petition</x:v>
      </x:c>
      <x:c r="J646" s="17" t="str">
        <x:v>petition enters within seventy-two hours of event close</x:v>
      </x:c>
      <x:c r="K646" s="17" t="str">
        <x:v>Invalidity registrar</x:v>
      </x:c>
      <x:c r="L646" s="9" t="n">
        <x:v>0</x:v>
      </x:c>
      <x:c r="M646" s="9" t="n">
        <x:v>0</x:v>
      </x:c>
      <x:c r="N646" s="9" t="str">
        <x:v>UNFILED / UNPROVEN</x:v>
      </x:c>
      <x:c r="O646" s="9" t="n">
        <x:f>COUNTIFS($A$7:$A$1302,A646)</x:f>
        <x:v>1</x:v>
      </x:c>
    </x:row>
    <x:row r="647">
      <x:c r="A647" s="9" t="str">
        <x:v>EV-AR-RT-B-C-TECH-1-B2-BRK-G0-IV02</x:v>
      </x:c>
      <x:c r="B647" s="9" t="str">
        <x:v>EV-AR-RT-B-C-TECH-1-B2-BRK-G0</x:v>
      </x:c>
      <x:c r="C647" s="9" t="str">
        <x:v>AR-RT-B-C-TECH-1-B2-BRK-G0</x:v>
      </x:c>
      <x:c r="D647" s="9" t="str">
        <x:v>RT-B-C-TECH-1</x:v>
      </x:c>
      <x:c r="E647" s="9" t="str">
        <x:v>RT-B-C</x:v>
      </x:c>
      <x:c r="F647" s="9" t="str">
        <x:v>B2</x:v>
      </x:c>
      <x:c r="G647" s="9" t="str">
        <x:v>BRK</x:v>
      </x:c>
      <x:c r="H647" s="9" t="str">
        <x:v>IV02</x:v>
      </x:c>
      <x:c r="I647" s="17" t="str">
        <x:v>Named facility cause</x:v>
      </x:c>
      <x:c r="J647" s="17" t="str">
        <x:v>one pre-registered noncandidate cause is identified</x:v>
      </x:c>
      <x:c r="K647" s="17" t="str">
        <x:v>Facility-cause court</x:v>
      </x:c>
      <x:c r="L647" s="9" t="n">
        <x:v>0</x:v>
      </x:c>
      <x:c r="M647" s="9" t="n">
        <x:v>0</x:v>
      </x:c>
      <x:c r="N647" s="9" t="str">
        <x:v>UNFILED / UNPROVEN</x:v>
      </x:c>
      <x:c r="O647" s="9" t="n">
        <x:f>COUNTIFS($A$7:$A$1302,A647)</x:f>
        <x:v>1</x:v>
      </x:c>
    </x:row>
    <x:row r="648">
      <x:c r="A648" s="9" t="str">
        <x:v>EV-AR-RT-B-C-TECH-1-B2-BRK-G0-IV03</x:v>
      </x:c>
      <x:c r="B648" s="9" t="str">
        <x:v>EV-AR-RT-B-C-TECH-1-B2-BRK-G0</x:v>
      </x:c>
      <x:c r="C648" s="9" t="str">
        <x:v>AR-RT-B-C-TECH-1-B2-BRK-G0</x:v>
      </x:c>
      <x:c r="D648" s="9" t="str">
        <x:v>RT-B-C-TECH-1</x:v>
      </x:c>
      <x:c r="E648" s="9" t="str">
        <x:v>RT-B-C</x:v>
      </x:c>
      <x:c r="F648" s="9" t="str">
        <x:v>B2</x:v>
      </x:c>
      <x:c r="G648" s="9" t="str">
        <x:v>BRK</x:v>
      </x:c>
      <x:c r="H648" s="9" t="str">
        <x:v>IV03</x:v>
      </x:c>
      <x:c r="I648" s="17" t="str">
        <x:v>Temporal priority</x:v>
      </x:c>
      <x:c r="J648" s="17" t="str">
        <x:v>cause demonstrably precedes the disputed candidate behavior</x:v>
      </x:c>
      <x:c r="K648" s="17" t="str">
        <x:v>Time authority</x:v>
      </x:c>
      <x:c r="L648" s="9" t="n">
        <x:v>0</x:v>
      </x:c>
      <x:c r="M648" s="9" t="n">
        <x:v>0</x:v>
      </x:c>
      <x:c r="N648" s="9" t="str">
        <x:v>UNFILED / UNPROVEN</x:v>
      </x:c>
      <x:c r="O648" s="9" t="n">
        <x:f>COUNTIFS($A$7:$A$1302,A648)</x:f>
        <x:v>1</x:v>
      </x:c>
    </x:row>
    <x:row r="649">
      <x:c r="A649" s="9" t="str">
        <x:v>EV-AR-RT-B-C-TECH-1-B2-BRK-G0-IV04</x:v>
      </x:c>
      <x:c r="B649" s="9" t="str">
        <x:v>EV-AR-RT-B-C-TECH-1-B2-BRK-G0</x:v>
      </x:c>
      <x:c r="C649" s="9" t="str">
        <x:v>AR-RT-B-C-TECH-1-B2-BRK-G0</x:v>
      </x:c>
      <x:c r="D649" s="9" t="str">
        <x:v>RT-B-C-TECH-1</x:v>
      </x:c>
      <x:c r="E649" s="9" t="str">
        <x:v>RT-B-C</x:v>
      </x:c>
      <x:c r="F649" s="9" t="str">
        <x:v>B2</x:v>
      </x:c>
      <x:c r="G649" s="9" t="str">
        <x:v>BRK</x:v>
      </x:c>
      <x:c r="H649" s="9" t="str">
        <x:v>IV04</x:v>
      </x:c>
      <x:c r="I649" s="17" t="str">
        <x:v>Independent trace</x:v>
      </x:c>
      <x:c r="J649" s="17" t="str">
        <x:v>two unlike records carry the cause without candidate custody</x:v>
      </x:c>
      <x:c r="K649" s="17" t="str">
        <x:v>Invalidity court</x:v>
      </x:c>
      <x:c r="L649" s="9" t="n">
        <x:v>0</x:v>
      </x:c>
      <x:c r="M649" s="9" t="n">
        <x:v>0</x:v>
      </x:c>
      <x:c r="N649" s="9" t="str">
        <x:v>UNFILED / UNPROVEN</x:v>
      </x:c>
      <x:c r="O649" s="9" t="n">
        <x:f>COUNTIFS($A$7:$A$1302,A649)</x:f>
        <x:v>1</x:v>
      </x:c>
    </x:row>
    <x:row r="650">
      <x:c r="A650" s="9" t="str">
        <x:v>EV-AR-RT-B-C-TECH-1-B2-BRK-G0-IV05</x:v>
      </x:c>
      <x:c r="B650" s="9" t="str">
        <x:v>EV-AR-RT-B-C-TECH-1-B2-BRK-G0</x:v>
      </x:c>
      <x:c r="C650" s="9" t="str">
        <x:v>AR-RT-B-C-TECH-1-B2-BRK-G0</x:v>
      </x:c>
      <x:c r="D650" s="9" t="str">
        <x:v>RT-B-C-TECH-1</x:v>
      </x:c>
      <x:c r="E650" s="9" t="str">
        <x:v>RT-B-C</x:v>
      </x:c>
      <x:c r="F650" s="9" t="str">
        <x:v>B2</x:v>
      </x:c>
      <x:c r="G650" s="9" t="str">
        <x:v>BRK</x:v>
      </x:c>
      <x:c r="H650" s="9" t="str">
        <x:v>IV05</x:v>
      </x:c>
      <x:c r="I650" s="17" t="str">
        <x:v>Causal counterfactual</x:v>
      </x:c>
      <x:c r="J650" s="17" t="str">
        <x:v>registered counterfactual shows the cause can create the defect</x:v>
      </x:c>
      <x:c r="K650" s="17" t="str">
        <x:v>Causal court</x:v>
      </x:c>
      <x:c r="L650" s="9" t="n">
        <x:v>0</x:v>
      </x:c>
      <x:c r="M650" s="9" t="n">
        <x:v>0</x:v>
      </x:c>
      <x:c r="N650" s="9" t="str">
        <x:v>UNFILED / UNPROVEN</x:v>
      </x:c>
      <x:c r="O650" s="9" t="n">
        <x:f>COUNTIFS($A$7:$A$1302,A650)</x:f>
        <x:v>1</x:v>
      </x:c>
    </x:row>
    <x:row r="651">
      <x:c r="A651" s="9" t="str">
        <x:v>EV-AR-RT-B-C-TECH-1-B2-BRK-G0-IV06</x:v>
      </x:c>
      <x:c r="B651" s="9" t="str">
        <x:v>EV-AR-RT-B-C-TECH-1-B2-BRK-G0</x:v>
      </x:c>
      <x:c r="C651" s="9" t="str">
        <x:v>AR-RT-B-C-TECH-1-B2-BRK-G0</x:v>
      </x:c>
      <x:c r="D651" s="9" t="str">
        <x:v>RT-B-C-TECH-1</x:v>
      </x:c>
      <x:c r="E651" s="9" t="str">
        <x:v>RT-B-C</x:v>
      </x:c>
      <x:c r="F651" s="9" t="str">
        <x:v>B2</x:v>
      </x:c>
      <x:c r="G651" s="9" t="str">
        <x:v>BRK</x:v>
      </x:c>
      <x:c r="H651" s="9" t="str">
        <x:v>IV06</x:v>
      </x:c>
      <x:c r="I651" s="17" t="str">
        <x:v>Candidate non-causation</x:v>
      </x:c>
      <x:c r="J651" s="17" t="str">
        <x:v>evidence excludes candidate induction of the facility condition</x:v>
      </x:c>
      <x:c r="K651" s="17" t="str">
        <x:v>Causal court</x:v>
      </x:c>
      <x:c r="L651" s="9" t="n">
        <x:v>0</x:v>
      </x:c>
      <x:c r="M651" s="9" t="n">
        <x:v>0</x:v>
      </x:c>
      <x:c r="N651" s="9" t="str">
        <x:v>UNFILED / UNPROVEN</x:v>
      </x:c>
      <x:c r="O651" s="9" t="n">
        <x:f>COUNTIFS($A$7:$A$1302,A651)</x:f>
        <x:v>1</x:v>
      </x:c>
    </x:row>
    <x:row r="652">
      <x:c r="A652" s="9" t="str">
        <x:v>EV-AR-RT-B-C-TECH-1-B2-BRK-G0-IV07</x:v>
      </x:c>
      <x:c r="B652" s="9" t="str">
        <x:v>EV-AR-RT-B-C-TECH-1-B2-BRK-G0</x:v>
      </x:c>
      <x:c r="C652" s="9" t="str">
        <x:v>AR-RT-B-C-TECH-1-B2-BRK-G0</x:v>
      </x:c>
      <x:c r="D652" s="9" t="str">
        <x:v>RT-B-C-TECH-1</x:v>
      </x:c>
      <x:c r="E652" s="9" t="str">
        <x:v>RT-B-C</x:v>
      </x:c>
      <x:c r="F652" s="9" t="str">
        <x:v>B2</x:v>
      </x:c>
      <x:c r="G652" s="9" t="str">
        <x:v>BRK</x:v>
      </x:c>
      <x:c r="H652" s="9" t="str">
        <x:v>IV07</x:v>
      </x:c>
      <x:c r="I652" s="17" t="str">
        <x:v>No outcome selection</x:v>
      </x:c>
      <x:c r="J652" s="17" t="str">
        <x:v>petition rule and evidence scope were fixed before visibility</x:v>
      </x:c>
      <x:c r="K652" s="17" t="str">
        <x:v>Conflict registrar</x:v>
      </x:c>
      <x:c r="L652" s="9" t="n">
        <x:v>0</x:v>
      </x:c>
      <x:c r="M652" s="9" t="n">
        <x:v>0</x:v>
      </x:c>
      <x:c r="N652" s="9" t="str">
        <x:v>UNFILED / UNPROVEN</x:v>
      </x:c>
      <x:c r="O652" s="9" t="n">
        <x:f>COUNTIFS($A$7:$A$1302,A652)</x:f>
        <x:v>1</x:v>
      </x:c>
    </x:row>
    <x:row r="653">
      <x:c r="A653" s="9" t="str">
        <x:v>EV-AR-RT-B-C-TECH-1-B2-BRK-G0-IV08</x:v>
      </x:c>
      <x:c r="B653" s="9" t="str">
        <x:v>EV-AR-RT-B-C-TECH-1-B2-BRK-G0</x:v>
      </x:c>
      <x:c r="C653" s="9" t="str">
        <x:v>AR-RT-B-C-TECH-1-B2-BRK-G0</x:v>
      </x:c>
      <x:c r="D653" s="9" t="str">
        <x:v>RT-B-C-TECH-1</x:v>
      </x:c>
      <x:c r="E653" s="9" t="str">
        <x:v>RT-B-C</x:v>
      </x:c>
      <x:c r="F653" s="9" t="str">
        <x:v>B2</x:v>
      </x:c>
      <x:c r="G653" s="9" t="str">
        <x:v>BRK</x:v>
      </x:c>
      <x:c r="H653" s="9" t="str">
        <x:v>IV08</x:v>
      </x:c>
      <x:c r="I653" s="17" t="str">
        <x:v>Whole-record preservation</x:v>
      </x:c>
      <x:c r="J653" s="17" t="str">
        <x:v>start, raw behavior, dissent and intervention remain in archive</x:v>
      </x:c>
      <x:c r="K653" s="17" t="str">
        <x:v>Archive authority</x:v>
      </x:c>
      <x:c r="L653" s="9" t="n">
        <x:v>0</x:v>
      </x:c>
      <x:c r="M653" s="9" t="n">
        <x:v>0</x:v>
      </x:c>
      <x:c r="N653" s="9" t="str">
        <x:v>UNFILED / UNPROVEN</x:v>
      </x:c>
      <x:c r="O653" s="9" t="n">
        <x:f>COUNTIFS($A$7:$A$1302,A653)</x:f>
        <x:v>1</x:v>
      </x:c>
    </x:row>
    <x:row r="654">
      <x:c r="A654" s="9" t="str">
        <x:v>EV-AR-RT-B-C-TECH-1-B2-BRK-G0-IV09</x:v>
      </x:c>
      <x:c r="B654" s="9" t="str">
        <x:v>EV-AR-RT-B-C-TECH-1-B2-BRK-G0</x:v>
      </x:c>
      <x:c r="C654" s="9" t="str">
        <x:v>AR-RT-B-C-TECH-1-B2-BRK-G0</x:v>
      </x:c>
      <x:c r="D654" s="9" t="str">
        <x:v>RT-B-C-TECH-1</x:v>
      </x:c>
      <x:c r="E654" s="9" t="str">
        <x:v>RT-B-C</x:v>
      </x:c>
      <x:c r="F654" s="9" t="str">
        <x:v>B2</x:v>
      </x:c>
      <x:c r="G654" s="9" t="str">
        <x:v>BRK</x:v>
      </x:c>
      <x:c r="H654" s="9" t="str">
        <x:v>IV09</x:v>
      </x:c>
      <x:c r="I654" s="17" t="str">
        <x:v>Bounded remedy</x:v>
      </x:c>
      <x:c r="J654" s="17" t="str">
        <x:v>only a new slot and EOW may follow; no favorable credit or erased attempt</x:v>
      </x:c>
      <x:c r="K654" s="17" t="str">
        <x:v>Invalidity court</x:v>
      </x:c>
      <x:c r="L654" s="9" t="n">
        <x:v>0</x:v>
      </x:c>
      <x:c r="M654" s="9" t="n">
        <x:v>0</x:v>
      </x:c>
      <x:c r="N654" s="9" t="str">
        <x:v>UNFILED / UNPROVEN</x:v>
      </x:c>
      <x:c r="O654" s="9" t="n">
        <x:f>COUNTIFS($A$7:$A$1302,A654)</x:f>
        <x:v>1</x:v>
      </x:c>
    </x:row>
    <x:row r="655">
      <x:c r="A655" s="9" t="str">
        <x:v>EV-AR-CT-C-B-TECH-2-B2-INT-G0-IV01</x:v>
      </x:c>
      <x:c r="B655" s="9" t="str">
        <x:v>EV-AR-CT-C-B-TECH-2-B2-INT-G0</x:v>
      </x:c>
      <x:c r="C655" s="9" t="str">
        <x:v>AR-CT-C-B-TECH-2-B2-INT-G0</x:v>
      </x:c>
      <x:c r="D655" s="9" t="str">
        <x:v>CT-C-B-TECH-2</x:v>
      </x:c>
      <x:c r="E655" s="9" t="str">
        <x:v>CT-C-B</x:v>
      </x:c>
      <x:c r="F655" s="9" t="str">
        <x:v>B2</x:v>
      </x:c>
      <x:c r="G655" s="9" t="str">
        <x:v>INT</x:v>
      </x:c>
      <x:c r="H655" s="9" t="str">
        <x:v>IV01</x:v>
      </x:c>
      <x:c r="I655" s="17" t="str">
        <x:v>Timely petition</x:v>
      </x:c>
      <x:c r="J655" s="17" t="str">
        <x:v>petition enters within seventy-two hours of event close</x:v>
      </x:c>
      <x:c r="K655" s="17" t="str">
        <x:v>Invalidity registrar</x:v>
      </x:c>
      <x:c r="L655" s="9" t="n">
        <x:v>0</x:v>
      </x:c>
      <x:c r="M655" s="9" t="n">
        <x:v>0</x:v>
      </x:c>
      <x:c r="N655" s="9" t="str">
        <x:v>UNFILED / UNPROVEN</x:v>
      </x:c>
      <x:c r="O655" s="9" t="n">
        <x:f>COUNTIFS($A$7:$A$1302,A655)</x:f>
        <x:v>1</x:v>
      </x:c>
    </x:row>
    <x:row r="656">
      <x:c r="A656" s="9" t="str">
        <x:v>EV-AR-CT-C-B-TECH-2-B2-INT-G0-IV02</x:v>
      </x:c>
      <x:c r="B656" s="9" t="str">
        <x:v>EV-AR-CT-C-B-TECH-2-B2-INT-G0</x:v>
      </x:c>
      <x:c r="C656" s="9" t="str">
        <x:v>AR-CT-C-B-TECH-2-B2-INT-G0</x:v>
      </x:c>
      <x:c r="D656" s="9" t="str">
        <x:v>CT-C-B-TECH-2</x:v>
      </x:c>
      <x:c r="E656" s="9" t="str">
        <x:v>CT-C-B</x:v>
      </x:c>
      <x:c r="F656" s="9" t="str">
        <x:v>B2</x:v>
      </x:c>
      <x:c r="G656" s="9" t="str">
        <x:v>INT</x:v>
      </x:c>
      <x:c r="H656" s="9" t="str">
        <x:v>IV02</x:v>
      </x:c>
      <x:c r="I656" s="17" t="str">
        <x:v>Named facility cause</x:v>
      </x:c>
      <x:c r="J656" s="17" t="str">
        <x:v>one pre-registered noncandidate cause is identified</x:v>
      </x:c>
      <x:c r="K656" s="17" t="str">
        <x:v>Facility-cause court</x:v>
      </x:c>
      <x:c r="L656" s="9" t="n">
        <x:v>0</x:v>
      </x:c>
      <x:c r="M656" s="9" t="n">
        <x:v>0</x:v>
      </x:c>
      <x:c r="N656" s="9" t="str">
        <x:v>UNFILED / UNPROVEN</x:v>
      </x:c>
      <x:c r="O656" s="9" t="n">
        <x:f>COUNTIFS($A$7:$A$1302,A656)</x:f>
        <x:v>1</x:v>
      </x:c>
    </x:row>
    <x:row r="657">
      <x:c r="A657" s="9" t="str">
        <x:v>EV-AR-CT-C-B-TECH-2-B2-INT-G0-IV03</x:v>
      </x:c>
      <x:c r="B657" s="9" t="str">
        <x:v>EV-AR-CT-C-B-TECH-2-B2-INT-G0</x:v>
      </x:c>
      <x:c r="C657" s="9" t="str">
        <x:v>AR-CT-C-B-TECH-2-B2-INT-G0</x:v>
      </x:c>
      <x:c r="D657" s="9" t="str">
        <x:v>CT-C-B-TECH-2</x:v>
      </x:c>
      <x:c r="E657" s="9" t="str">
        <x:v>CT-C-B</x:v>
      </x:c>
      <x:c r="F657" s="9" t="str">
        <x:v>B2</x:v>
      </x:c>
      <x:c r="G657" s="9" t="str">
        <x:v>INT</x:v>
      </x:c>
      <x:c r="H657" s="9" t="str">
        <x:v>IV03</x:v>
      </x:c>
      <x:c r="I657" s="17" t="str">
        <x:v>Temporal priority</x:v>
      </x:c>
      <x:c r="J657" s="17" t="str">
        <x:v>cause demonstrably precedes the disputed candidate behavior</x:v>
      </x:c>
      <x:c r="K657" s="17" t="str">
        <x:v>Time authority</x:v>
      </x:c>
      <x:c r="L657" s="9" t="n">
        <x:v>0</x:v>
      </x:c>
      <x:c r="M657" s="9" t="n">
        <x:v>0</x:v>
      </x:c>
      <x:c r="N657" s="9" t="str">
        <x:v>UNFILED / UNPROVEN</x:v>
      </x:c>
      <x:c r="O657" s="9" t="n">
        <x:f>COUNTIFS($A$7:$A$1302,A657)</x:f>
        <x:v>1</x:v>
      </x:c>
    </x:row>
    <x:row r="658">
      <x:c r="A658" s="9" t="str">
        <x:v>EV-AR-CT-C-B-TECH-2-B2-INT-G0-IV04</x:v>
      </x:c>
      <x:c r="B658" s="9" t="str">
        <x:v>EV-AR-CT-C-B-TECH-2-B2-INT-G0</x:v>
      </x:c>
      <x:c r="C658" s="9" t="str">
        <x:v>AR-CT-C-B-TECH-2-B2-INT-G0</x:v>
      </x:c>
      <x:c r="D658" s="9" t="str">
        <x:v>CT-C-B-TECH-2</x:v>
      </x:c>
      <x:c r="E658" s="9" t="str">
        <x:v>CT-C-B</x:v>
      </x:c>
      <x:c r="F658" s="9" t="str">
        <x:v>B2</x:v>
      </x:c>
      <x:c r="G658" s="9" t="str">
        <x:v>INT</x:v>
      </x:c>
      <x:c r="H658" s="9" t="str">
        <x:v>IV04</x:v>
      </x:c>
      <x:c r="I658" s="17" t="str">
        <x:v>Independent trace</x:v>
      </x:c>
      <x:c r="J658" s="17" t="str">
        <x:v>two unlike records carry the cause without candidate custody</x:v>
      </x:c>
      <x:c r="K658" s="17" t="str">
        <x:v>Invalidity court</x:v>
      </x:c>
      <x:c r="L658" s="9" t="n">
        <x:v>0</x:v>
      </x:c>
      <x:c r="M658" s="9" t="n">
        <x:v>0</x:v>
      </x:c>
      <x:c r="N658" s="9" t="str">
        <x:v>UNFILED / UNPROVEN</x:v>
      </x:c>
      <x:c r="O658" s="9" t="n">
        <x:f>COUNTIFS($A$7:$A$1302,A658)</x:f>
        <x:v>1</x:v>
      </x:c>
    </x:row>
    <x:row r="659">
      <x:c r="A659" s="9" t="str">
        <x:v>EV-AR-CT-C-B-TECH-2-B2-INT-G0-IV05</x:v>
      </x:c>
      <x:c r="B659" s="9" t="str">
        <x:v>EV-AR-CT-C-B-TECH-2-B2-INT-G0</x:v>
      </x:c>
      <x:c r="C659" s="9" t="str">
        <x:v>AR-CT-C-B-TECH-2-B2-INT-G0</x:v>
      </x:c>
      <x:c r="D659" s="9" t="str">
        <x:v>CT-C-B-TECH-2</x:v>
      </x:c>
      <x:c r="E659" s="9" t="str">
        <x:v>CT-C-B</x:v>
      </x:c>
      <x:c r="F659" s="9" t="str">
        <x:v>B2</x:v>
      </x:c>
      <x:c r="G659" s="9" t="str">
        <x:v>INT</x:v>
      </x:c>
      <x:c r="H659" s="9" t="str">
        <x:v>IV05</x:v>
      </x:c>
      <x:c r="I659" s="17" t="str">
        <x:v>Causal counterfactual</x:v>
      </x:c>
      <x:c r="J659" s="17" t="str">
        <x:v>registered counterfactual shows the cause can create the defect</x:v>
      </x:c>
      <x:c r="K659" s="17" t="str">
        <x:v>Causal court</x:v>
      </x:c>
      <x:c r="L659" s="9" t="n">
        <x:v>0</x:v>
      </x:c>
      <x:c r="M659" s="9" t="n">
        <x:v>0</x:v>
      </x:c>
      <x:c r="N659" s="9" t="str">
        <x:v>UNFILED / UNPROVEN</x:v>
      </x:c>
      <x:c r="O659" s="9" t="n">
        <x:f>COUNTIFS($A$7:$A$1302,A659)</x:f>
        <x:v>1</x:v>
      </x:c>
    </x:row>
    <x:row r="660">
      <x:c r="A660" s="9" t="str">
        <x:v>EV-AR-CT-C-B-TECH-2-B2-INT-G0-IV06</x:v>
      </x:c>
      <x:c r="B660" s="9" t="str">
        <x:v>EV-AR-CT-C-B-TECH-2-B2-INT-G0</x:v>
      </x:c>
      <x:c r="C660" s="9" t="str">
        <x:v>AR-CT-C-B-TECH-2-B2-INT-G0</x:v>
      </x:c>
      <x:c r="D660" s="9" t="str">
        <x:v>CT-C-B-TECH-2</x:v>
      </x:c>
      <x:c r="E660" s="9" t="str">
        <x:v>CT-C-B</x:v>
      </x:c>
      <x:c r="F660" s="9" t="str">
        <x:v>B2</x:v>
      </x:c>
      <x:c r="G660" s="9" t="str">
        <x:v>INT</x:v>
      </x:c>
      <x:c r="H660" s="9" t="str">
        <x:v>IV06</x:v>
      </x:c>
      <x:c r="I660" s="17" t="str">
        <x:v>Candidate non-causation</x:v>
      </x:c>
      <x:c r="J660" s="17" t="str">
        <x:v>evidence excludes candidate induction of the facility condition</x:v>
      </x:c>
      <x:c r="K660" s="17" t="str">
        <x:v>Causal court</x:v>
      </x:c>
      <x:c r="L660" s="9" t="n">
        <x:v>0</x:v>
      </x:c>
      <x:c r="M660" s="9" t="n">
        <x:v>0</x:v>
      </x:c>
      <x:c r="N660" s="9" t="str">
        <x:v>UNFILED / UNPROVEN</x:v>
      </x:c>
      <x:c r="O660" s="9" t="n">
        <x:f>COUNTIFS($A$7:$A$1302,A660)</x:f>
        <x:v>1</x:v>
      </x:c>
    </x:row>
    <x:row r="661">
      <x:c r="A661" s="9" t="str">
        <x:v>EV-AR-CT-C-B-TECH-2-B2-INT-G0-IV07</x:v>
      </x:c>
      <x:c r="B661" s="9" t="str">
        <x:v>EV-AR-CT-C-B-TECH-2-B2-INT-G0</x:v>
      </x:c>
      <x:c r="C661" s="9" t="str">
        <x:v>AR-CT-C-B-TECH-2-B2-INT-G0</x:v>
      </x:c>
      <x:c r="D661" s="9" t="str">
        <x:v>CT-C-B-TECH-2</x:v>
      </x:c>
      <x:c r="E661" s="9" t="str">
        <x:v>CT-C-B</x:v>
      </x:c>
      <x:c r="F661" s="9" t="str">
        <x:v>B2</x:v>
      </x:c>
      <x:c r="G661" s="9" t="str">
        <x:v>INT</x:v>
      </x:c>
      <x:c r="H661" s="9" t="str">
        <x:v>IV07</x:v>
      </x:c>
      <x:c r="I661" s="17" t="str">
        <x:v>No outcome selection</x:v>
      </x:c>
      <x:c r="J661" s="17" t="str">
        <x:v>petition rule and evidence scope were fixed before visibility</x:v>
      </x:c>
      <x:c r="K661" s="17" t="str">
        <x:v>Conflict registrar</x:v>
      </x:c>
      <x:c r="L661" s="9" t="n">
        <x:v>0</x:v>
      </x:c>
      <x:c r="M661" s="9" t="n">
        <x:v>0</x:v>
      </x:c>
      <x:c r="N661" s="9" t="str">
        <x:v>UNFILED / UNPROVEN</x:v>
      </x:c>
      <x:c r="O661" s="9" t="n">
        <x:f>COUNTIFS($A$7:$A$1302,A661)</x:f>
        <x:v>1</x:v>
      </x:c>
    </x:row>
    <x:row r="662">
      <x:c r="A662" s="9" t="str">
        <x:v>EV-AR-CT-C-B-TECH-2-B2-INT-G0-IV08</x:v>
      </x:c>
      <x:c r="B662" s="9" t="str">
        <x:v>EV-AR-CT-C-B-TECH-2-B2-INT-G0</x:v>
      </x:c>
      <x:c r="C662" s="9" t="str">
        <x:v>AR-CT-C-B-TECH-2-B2-INT-G0</x:v>
      </x:c>
      <x:c r="D662" s="9" t="str">
        <x:v>CT-C-B-TECH-2</x:v>
      </x:c>
      <x:c r="E662" s="9" t="str">
        <x:v>CT-C-B</x:v>
      </x:c>
      <x:c r="F662" s="9" t="str">
        <x:v>B2</x:v>
      </x:c>
      <x:c r="G662" s="9" t="str">
        <x:v>INT</x:v>
      </x:c>
      <x:c r="H662" s="9" t="str">
        <x:v>IV08</x:v>
      </x:c>
      <x:c r="I662" s="17" t="str">
        <x:v>Whole-record preservation</x:v>
      </x:c>
      <x:c r="J662" s="17" t="str">
        <x:v>start, raw behavior, dissent and intervention remain in archive</x:v>
      </x:c>
      <x:c r="K662" s="17" t="str">
        <x:v>Archive authority</x:v>
      </x:c>
      <x:c r="L662" s="9" t="n">
        <x:v>0</x:v>
      </x:c>
      <x:c r="M662" s="9" t="n">
        <x:v>0</x:v>
      </x:c>
      <x:c r="N662" s="9" t="str">
        <x:v>UNFILED / UNPROVEN</x:v>
      </x:c>
      <x:c r="O662" s="9" t="n">
        <x:f>COUNTIFS($A$7:$A$1302,A662)</x:f>
        <x:v>1</x:v>
      </x:c>
    </x:row>
    <x:row r="663">
      <x:c r="A663" s="9" t="str">
        <x:v>EV-AR-CT-C-B-TECH-2-B2-INT-G0-IV09</x:v>
      </x:c>
      <x:c r="B663" s="9" t="str">
        <x:v>EV-AR-CT-C-B-TECH-2-B2-INT-G0</x:v>
      </x:c>
      <x:c r="C663" s="9" t="str">
        <x:v>AR-CT-C-B-TECH-2-B2-INT-G0</x:v>
      </x:c>
      <x:c r="D663" s="9" t="str">
        <x:v>CT-C-B-TECH-2</x:v>
      </x:c>
      <x:c r="E663" s="9" t="str">
        <x:v>CT-C-B</x:v>
      </x:c>
      <x:c r="F663" s="9" t="str">
        <x:v>B2</x:v>
      </x:c>
      <x:c r="G663" s="9" t="str">
        <x:v>INT</x:v>
      </x:c>
      <x:c r="H663" s="9" t="str">
        <x:v>IV09</x:v>
      </x:c>
      <x:c r="I663" s="17" t="str">
        <x:v>Bounded remedy</x:v>
      </x:c>
      <x:c r="J663" s="17" t="str">
        <x:v>only a new slot and EOW may follow; no favorable credit or erased attempt</x:v>
      </x:c>
      <x:c r="K663" s="17" t="str">
        <x:v>Invalidity court</x:v>
      </x:c>
      <x:c r="L663" s="9" t="n">
        <x:v>0</x:v>
      </x:c>
      <x:c r="M663" s="9" t="n">
        <x:v>0</x:v>
      </x:c>
      <x:c r="N663" s="9" t="str">
        <x:v>UNFILED / UNPROVEN</x:v>
      </x:c>
      <x:c r="O663" s="9" t="n">
        <x:f>COUNTIFS($A$7:$A$1302,A663)</x:f>
        <x:v>1</x:v>
      </x:c>
    </x:row>
    <x:row r="664">
      <x:c r="A664" s="9" t="str">
        <x:v>EV-AR-CT-C-B-TECH-3-B1-INT-G0-IV01</x:v>
      </x:c>
      <x:c r="B664" s="9" t="str">
        <x:v>EV-AR-CT-C-B-TECH-3-B1-INT-G0</x:v>
      </x:c>
      <x:c r="C664" s="9" t="str">
        <x:v>AR-CT-C-B-TECH-3-B1-INT-G0</x:v>
      </x:c>
      <x:c r="D664" s="9" t="str">
        <x:v>CT-C-B-TECH-3</x:v>
      </x:c>
      <x:c r="E664" s="9" t="str">
        <x:v>CT-C-B</x:v>
      </x:c>
      <x:c r="F664" s="9" t="str">
        <x:v>B1</x:v>
      </x:c>
      <x:c r="G664" s="9" t="str">
        <x:v>INT</x:v>
      </x:c>
      <x:c r="H664" s="9" t="str">
        <x:v>IV01</x:v>
      </x:c>
      <x:c r="I664" s="17" t="str">
        <x:v>Timely petition</x:v>
      </x:c>
      <x:c r="J664" s="17" t="str">
        <x:v>petition enters within seventy-two hours of event close</x:v>
      </x:c>
      <x:c r="K664" s="17" t="str">
        <x:v>Invalidity registrar</x:v>
      </x:c>
      <x:c r="L664" s="9" t="n">
        <x:v>0</x:v>
      </x:c>
      <x:c r="M664" s="9" t="n">
        <x:v>0</x:v>
      </x:c>
      <x:c r="N664" s="9" t="str">
        <x:v>UNFILED / UNPROVEN</x:v>
      </x:c>
      <x:c r="O664" s="9" t="n">
        <x:f>COUNTIFS($A$7:$A$1302,A664)</x:f>
        <x:v>1</x:v>
      </x:c>
    </x:row>
    <x:row r="665">
      <x:c r="A665" s="9" t="str">
        <x:v>EV-AR-CT-C-B-TECH-3-B1-INT-G0-IV02</x:v>
      </x:c>
      <x:c r="B665" s="9" t="str">
        <x:v>EV-AR-CT-C-B-TECH-3-B1-INT-G0</x:v>
      </x:c>
      <x:c r="C665" s="9" t="str">
        <x:v>AR-CT-C-B-TECH-3-B1-INT-G0</x:v>
      </x:c>
      <x:c r="D665" s="9" t="str">
        <x:v>CT-C-B-TECH-3</x:v>
      </x:c>
      <x:c r="E665" s="9" t="str">
        <x:v>CT-C-B</x:v>
      </x:c>
      <x:c r="F665" s="9" t="str">
        <x:v>B1</x:v>
      </x:c>
      <x:c r="G665" s="9" t="str">
        <x:v>INT</x:v>
      </x:c>
      <x:c r="H665" s="9" t="str">
        <x:v>IV02</x:v>
      </x:c>
      <x:c r="I665" s="17" t="str">
        <x:v>Named facility cause</x:v>
      </x:c>
      <x:c r="J665" s="17" t="str">
        <x:v>one pre-registered noncandidate cause is identified</x:v>
      </x:c>
      <x:c r="K665" s="17" t="str">
        <x:v>Facility-cause court</x:v>
      </x:c>
      <x:c r="L665" s="9" t="n">
        <x:v>0</x:v>
      </x:c>
      <x:c r="M665" s="9" t="n">
        <x:v>0</x:v>
      </x:c>
      <x:c r="N665" s="9" t="str">
        <x:v>UNFILED / UNPROVEN</x:v>
      </x:c>
      <x:c r="O665" s="9" t="n">
        <x:f>COUNTIFS($A$7:$A$1302,A665)</x:f>
        <x:v>1</x:v>
      </x:c>
    </x:row>
    <x:row r="666">
      <x:c r="A666" s="9" t="str">
        <x:v>EV-AR-CT-C-B-TECH-3-B1-INT-G0-IV03</x:v>
      </x:c>
      <x:c r="B666" s="9" t="str">
        <x:v>EV-AR-CT-C-B-TECH-3-B1-INT-G0</x:v>
      </x:c>
      <x:c r="C666" s="9" t="str">
        <x:v>AR-CT-C-B-TECH-3-B1-INT-G0</x:v>
      </x:c>
      <x:c r="D666" s="9" t="str">
        <x:v>CT-C-B-TECH-3</x:v>
      </x:c>
      <x:c r="E666" s="9" t="str">
        <x:v>CT-C-B</x:v>
      </x:c>
      <x:c r="F666" s="9" t="str">
        <x:v>B1</x:v>
      </x:c>
      <x:c r="G666" s="9" t="str">
        <x:v>INT</x:v>
      </x:c>
      <x:c r="H666" s="9" t="str">
        <x:v>IV03</x:v>
      </x:c>
      <x:c r="I666" s="17" t="str">
        <x:v>Temporal priority</x:v>
      </x:c>
      <x:c r="J666" s="17" t="str">
        <x:v>cause demonstrably precedes the disputed candidate behavior</x:v>
      </x:c>
      <x:c r="K666" s="17" t="str">
        <x:v>Time authority</x:v>
      </x:c>
      <x:c r="L666" s="9" t="n">
        <x:v>0</x:v>
      </x:c>
      <x:c r="M666" s="9" t="n">
        <x:v>0</x:v>
      </x:c>
      <x:c r="N666" s="9" t="str">
        <x:v>UNFILED / UNPROVEN</x:v>
      </x:c>
      <x:c r="O666" s="9" t="n">
        <x:f>COUNTIFS($A$7:$A$1302,A666)</x:f>
        <x:v>1</x:v>
      </x:c>
    </x:row>
    <x:row r="667">
      <x:c r="A667" s="9" t="str">
        <x:v>EV-AR-CT-C-B-TECH-3-B1-INT-G0-IV04</x:v>
      </x:c>
      <x:c r="B667" s="9" t="str">
        <x:v>EV-AR-CT-C-B-TECH-3-B1-INT-G0</x:v>
      </x:c>
      <x:c r="C667" s="9" t="str">
        <x:v>AR-CT-C-B-TECH-3-B1-INT-G0</x:v>
      </x:c>
      <x:c r="D667" s="9" t="str">
        <x:v>CT-C-B-TECH-3</x:v>
      </x:c>
      <x:c r="E667" s="9" t="str">
        <x:v>CT-C-B</x:v>
      </x:c>
      <x:c r="F667" s="9" t="str">
        <x:v>B1</x:v>
      </x:c>
      <x:c r="G667" s="9" t="str">
        <x:v>INT</x:v>
      </x:c>
      <x:c r="H667" s="9" t="str">
        <x:v>IV04</x:v>
      </x:c>
      <x:c r="I667" s="17" t="str">
        <x:v>Independent trace</x:v>
      </x:c>
      <x:c r="J667" s="17" t="str">
        <x:v>two unlike records carry the cause without candidate custody</x:v>
      </x:c>
      <x:c r="K667" s="17" t="str">
        <x:v>Invalidity court</x:v>
      </x:c>
      <x:c r="L667" s="9" t="n">
        <x:v>0</x:v>
      </x:c>
      <x:c r="M667" s="9" t="n">
        <x:v>0</x:v>
      </x:c>
      <x:c r="N667" s="9" t="str">
        <x:v>UNFILED / UNPROVEN</x:v>
      </x:c>
      <x:c r="O667" s="9" t="n">
        <x:f>COUNTIFS($A$7:$A$1302,A667)</x:f>
        <x:v>1</x:v>
      </x:c>
    </x:row>
    <x:row r="668">
      <x:c r="A668" s="9" t="str">
        <x:v>EV-AR-CT-C-B-TECH-3-B1-INT-G0-IV05</x:v>
      </x:c>
      <x:c r="B668" s="9" t="str">
        <x:v>EV-AR-CT-C-B-TECH-3-B1-INT-G0</x:v>
      </x:c>
      <x:c r="C668" s="9" t="str">
        <x:v>AR-CT-C-B-TECH-3-B1-INT-G0</x:v>
      </x:c>
      <x:c r="D668" s="9" t="str">
        <x:v>CT-C-B-TECH-3</x:v>
      </x:c>
      <x:c r="E668" s="9" t="str">
        <x:v>CT-C-B</x:v>
      </x:c>
      <x:c r="F668" s="9" t="str">
        <x:v>B1</x:v>
      </x:c>
      <x:c r="G668" s="9" t="str">
        <x:v>INT</x:v>
      </x:c>
      <x:c r="H668" s="9" t="str">
        <x:v>IV05</x:v>
      </x:c>
      <x:c r="I668" s="17" t="str">
        <x:v>Causal counterfactual</x:v>
      </x:c>
      <x:c r="J668" s="17" t="str">
        <x:v>registered counterfactual shows the cause can create the defect</x:v>
      </x:c>
      <x:c r="K668" s="17" t="str">
        <x:v>Causal court</x:v>
      </x:c>
      <x:c r="L668" s="9" t="n">
        <x:v>0</x:v>
      </x:c>
      <x:c r="M668" s="9" t="n">
        <x:v>0</x:v>
      </x:c>
      <x:c r="N668" s="9" t="str">
        <x:v>UNFILED / UNPROVEN</x:v>
      </x:c>
      <x:c r="O668" s="9" t="n">
        <x:f>COUNTIFS($A$7:$A$1302,A668)</x:f>
        <x:v>1</x:v>
      </x:c>
    </x:row>
    <x:row r="669">
      <x:c r="A669" s="9" t="str">
        <x:v>EV-AR-CT-C-B-TECH-3-B1-INT-G0-IV06</x:v>
      </x:c>
      <x:c r="B669" s="9" t="str">
        <x:v>EV-AR-CT-C-B-TECH-3-B1-INT-G0</x:v>
      </x:c>
      <x:c r="C669" s="9" t="str">
        <x:v>AR-CT-C-B-TECH-3-B1-INT-G0</x:v>
      </x:c>
      <x:c r="D669" s="9" t="str">
        <x:v>CT-C-B-TECH-3</x:v>
      </x:c>
      <x:c r="E669" s="9" t="str">
        <x:v>CT-C-B</x:v>
      </x:c>
      <x:c r="F669" s="9" t="str">
        <x:v>B1</x:v>
      </x:c>
      <x:c r="G669" s="9" t="str">
        <x:v>INT</x:v>
      </x:c>
      <x:c r="H669" s="9" t="str">
        <x:v>IV06</x:v>
      </x:c>
      <x:c r="I669" s="17" t="str">
        <x:v>Candidate non-causation</x:v>
      </x:c>
      <x:c r="J669" s="17" t="str">
        <x:v>evidence excludes candidate induction of the facility condition</x:v>
      </x:c>
      <x:c r="K669" s="17" t="str">
        <x:v>Causal court</x:v>
      </x:c>
      <x:c r="L669" s="9" t="n">
        <x:v>0</x:v>
      </x:c>
      <x:c r="M669" s="9" t="n">
        <x:v>0</x:v>
      </x:c>
      <x:c r="N669" s="9" t="str">
        <x:v>UNFILED / UNPROVEN</x:v>
      </x:c>
      <x:c r="O669" s="9" t="n">
        <x:f>COUNTIFS($A$7:$A$1302,A669)</x:f>
        <x:v>1</x:v>
      </x:c>
    </x:row>
    <x:row r="670">
      <x:c r="A670" s="9" t="str">
        <x:v>EV-AR-CT-C-B-TECH-3-B1-INT-G0-IV07</x:v>
      </x:c>
      <x:c r="B670" s="9" t="str">
        <x:v>EV-AR-CT-C-B-TECH-3-B1-INT-G0</x:v>
      </x:c>
      <x:c r="C670" s="9" t="str">
        <x:v>AR-CT-C-B-TECH-3-B1-INT-G0</x:v>
      </x:c>
      <x:c r="D670" s="9" t="str">
        <x:v>CT-C-B-TECH-3</x:v>
      </x:c>
      <x:c r="E670" s="9" t="str">
        <x:v>CT-C-B</x:v>
      </x:c>
      <x:c r="F670" s="9" t="str">
        <x:v>B1</x:v>
      </x:c>
      <x:c r="G670" s="9" t="str">
        <x:v>INT</x:v>
      </x:c>
      <x:c r="H670" s="9" t="str">
        <x:v>IV07</x:v>
      </x:c>
      <x:c r="I670" s="17" t="str">
        <x:v>No outcome selection</x:v>
      </x:c>
      <x:c r="J670" s="17" t="str">
        <x:v>petition rule and evidence scope were fixed before visibility</x:v>
      </x:c>
      <x:c r="K670" s="17" t="str">
        <x:v>Conflict registrar</x:v>
      </x:c>
      <x:c r="L670" s="9" t="n">
        <x:v>0</x:v>
      </x:c>
      <x:c r="M670" s="9" t="n">
        <x:v>0</x:v>
      </x:c>
      <x:c r="N670" s="9" t="str">
        <x:v>UNFILED / UNPROVEN</x:v>
      </x:c>
      <x:c r="O670" s="9" t="n">
        <x:f>COUNTIFS($A$7:$A$1302,A670)</x:f>
        <x:v>1</x:v>
      </x:c>
    </x:row>
    <x:row r="671">
      <x:c r="A671" s="9" t="str">
        <x:v>EV-AR-CT-C-B-TECH-3-B1-INT-G0-IV08</x:v>
      </x:c>
      <x:c r="B671" s="9" t="str">
        <x:v>EV-AR-CT-C-B-TECH-3-B1-INT-G0</x:v>
      </x:c>
      <x:c r="C671" s="9" t="str">
        <x:v>AR-CT-C-B-TECH-3-B1-INT-G0</x:v>
      </x:c>
      <x:c r="D671" s="9" t="str">
        <x:v>CT-C-B-TECH-3</x:v>
      </x:c>
      <x:c r="E671" s="9" t="str">
        <x:v>CT-C-B</x:v>
      </x:c>
      <x:c r="F671" s="9" t="str">
        <x:v>B1</x:v>
      </x:c>
      <x:c r="G671" s="9" t="str">
        <x:v>INT</x:v>
      </x:c>
      <x:c r="H671" s="9" t="str">
        <x:v>IV08</x:v>
      </x:c>
      <x:c r="I671" s="17" t="str">
        <x:v>Whole-record preservation</x:v>
      </x:c>
      <x:c r="J671" s="17" t="str">
        <x:v>start, raw behavior, dissent and intervention remain in archive</x:v>
      </x:c>
      <x:c r="K671" s="17" t="str">
        <x:v>Archive authority</x:v>
      </x:c>
      <x:c r="L671" s="9" t="n">
        <x:v>0</x:v>
      </x:c>
      <x:c r="M671" s="9" t="n">
        <x:v>0</x:v>
      </x:c>
      <x:c r="N671" s="9" t="str">
        <x:v>UNFILED / UNPROVEN</x:v>
      </x:c>
      <x:c r="O671" s="9" t="n">
        <x:f>COUNTIFS($A$7:$A$1302,A671)</x:f>
        <x:v>1</x:v>
      </x:c>
    </x:row>
    <x:row r="672">
      <x:c r="A672" s="9" t="str">
        <x:v>EV-AR-CT-C-B-TECH-3-B1-INT-G0-IV09</x:v>
      </x:c>
      <x:c r="B672" s="9" t="str">
        <x:v>EV-AR-CT-C-B-TECH-3-B1-INT-G0</x:v>
      </x:c>
      <x:c r="C672" s="9" t="str">
        <x:v>AR-CT-C-B-TECH-3-B1-INT-G0</x:v>
      </x:c>
      <x:c r="D672" s="9" t="str">
        <x:v>CT-C-B-TECH-3</x:v>
      </x:c>
      <x:c r="E672" s="9" t="str">
        <x:v>CT-C-B</x:v>
      </x:c>
      <x:c r="F672" s="9" t="str">
        <x:v>B1</x:v>
      </x:c>
      <x:c r="G672" s="9" t="str">
        <x:v>INT</x:v>
      </x:c>
      <x:c r="H672" s="9" t="str">
        <x:v>IV09</x:v>
      </x:c>
      <x:c r="I672" s="17" t="str">
        <x:v>Bounded remedy</x:v>
      </x:c>
      <x:c r="J672" s="17" t="str">
        <x:v>only a new slot and EOW may follow; no favorable credit or erased attempt</x:v>
      </x:c>
      <x:c r="K672" s="17" t="str">
        <x:v>Invalidity court</x:v>
      </x:c>
      <x:c r="L672" s="9" t="n">
        <x:v>0</x:v>
      </x:c>
      <x:c r="M672" s="9" t="n">
        <x:v>0</x:v>
      </x:c>
      <x:c r="N672" s="9" t="str">
        <x:v>UNFILED / UNPROVEN</x:v>
      </x:c>
      <x:c r="O672" s="9" t="n">
        <x:f>COUNTIFS($A$7:$A$1302,A672)</x:f>
        <x:v>1</x:v>
      </x:c>
    </x:row>
    <x:row r="673">
      <x:c r="A673" s="9" t="str">
        <x:v>EV-AR-ET-A-A-TECH-4-B1-INT-G0-IV01</x:v>
      </x:c>
      <x:c r="B673" s="9" t="str">
        <x:v>EV-AR-ET-A-A-TECH-4-B1-INT-G0</x:v>
      </x:c>
      <x:c r="C673" s="9" t="str">
        <x:v>AR-ET-A-A-TECH-4-B1-INT-G0</x:v>
      </x:c>
      <x:c r="D673" s="9" t="str">
        <x:v>ET-A-A-TECH-4</x:v>
      </x:c>
      <x:c r="E673" s="9" t="str">
        <x:v>ET-A-A</x:v>
      </x:c>
      <x:c r="F673" s="9" t="str">
        <x:v>B1</x:v>
      </x:c>
      <x:c r="G673" s="9" t="str">
        <x:v>INT</x:v>
      </x:c>
      <x:c r="H673" s="9" t="str">
        <x:v>IV01</x:v>
      </x:c>
      <x:c r="I673" s="17" t="str">
        <x:v>Timely petition</x:v>
      </x:c>
      <x:c r="J673" s="17" t="str">
        <x:v>petition enters within seventy-two hours of event close</x:v>
      </x:c>
      <x:c r="K673" s="17" t="str">
        <x:v>Invalidity registrar</x:v>
      </x:c>
      <x:c r="L673" s="9" t="n">
        <x:v>0</x:v>
      </x:c>
      <x:c r="M673" s="9" t="n">
        <x:v>0</x:v>
      </x:c>
      <x:c r="N673" s="9" t="str">
        <x:v>UNFILED / UNPROVEN</x:v>
      </x:c>
      <x:c r="O673" s="9" t="n">
        <x:f>COUNTIFS($A$7:$A$1302,A673)</x:f>
        <x:v>1</x:v>
      </x:c>
    </x:row>
    <x:row r="674">
      <x:c r="A674" s="9" t="str">
        <x:v>EV-AR-ET-A-A-TECH-4-B1-INT-G0-IV02</x:v>
      </x:c>
      <x:c r="B674" s="9" t="str">
        <x:v>EV-AR-ET-A-A-TECH-4-B1-INT-G0</x:v>
      </x:c>
      <x:c r="C674" s="9" t="str">
        <x:v>AR-ET-A-A-TECH-4-B1-INT-G0</x:v>
      </x:c>
      <x:c r="D674" s="9" t="str">
        <x:v>ET-A-A-TECH-4</x:v>
      </x:c>
      <x:c r="E674" s="9" t="str">
        <x:v>ET-A-A</x:v>
      </x:c>
      <x:c r="F674" s="9" t="str">
        <x:v>B1</x:v>
      </x:c>
      <x:c r="G674" s="9" t="str">
        <x:v>INT</x:v>
      </x:c>
      <x:c r="H674" s="9" t="str">
        <x:v>IV02</x:v>
      </x:c>
      <x:c r="I674" s="17" t="str">
        <x:v>Named facility cause</x:v>
      </x:c>
      <x:c r="J674" s="17" t="str">
        <x:v>one pre-registered noncandidate cause is identified</x:v>
      </x:c>
      <x:c r="K674" s="17" t="str">
        <x:v>Facility-cause court</x:v>
      </x:c>
      <x:c r="L674" s="9" t="n">
        <x:v>0</x:v>
      </x:c>
      <x:c r="M674" s="9" t="n">
        <x:v>0</x:v>
      </x:c>
      <x:c r="N674" s="9" t="str">
        <x:v>UNFILED / UNPROVEN</x:v>
      </x:c>
      <x:c r="O674" s="9" t="n">
        <x:f>COUNTIFS($A$7:$A$1302,A674)</x:f>
        <x:v>1</x:v>
      </x:c>
    </x:row>
    <x:row r="675">
      <x:c r="A675" s="9" t="str">
        <x:v>EV-AR-ET-A-A-TECH-4-B1-INT-G0-IV03</x:v>
      </x:c>
      <x:c r="B675" s="9" t="str">
        <x:v>EV-AR-ET-A-A-TECH-4-B1-INT-G0</x:v>
      </x:c>
      <x:c r="C675" s="9" t="str">
        <x:v>AR-ET-A-A-TECH-4-B1-INT-G0</x:v>
      </x:c>
      <x:c r="D675" s="9" t="str">
        <x:v>ET-A-A-TECH-4</x:v>
      </x:c>
      <x:c r="E675" s="9" t="str">
        <x:v>ET-A-A</x:v>
      </x:c>
      <x:c r="F675" s="9" t="str">
        <x:v>B1</x:v>
      </x:c>
      <x:c r="G675" s="9" t="str">
        <x:v>INT</x:v>
      </x:c>
      <x:c r="H675" s="9" t="str">
        <x:v>IV03</x:v>
      </x:c>
      <x:c r="I675" s="17" t="str">
        <x:v>Temporal priority</x:v>
      </x:c>
      <x:c r="J675" s="17" t="str">
        <x:v>cause demonstrably precedes the disputed candidate behavior</x:v>
      </x:c>
      <x:c r="K675" s="17" t="str">
        <x:v>Time authority</x:v>
      </x:c>
      <x:c r="L675" s="9" t="n">
        <x:v>0</x:v>
      </x:c>
      <x:c r="M675" s="9" t="n">
        <x:v>0</x:v>
      </x:c>
      <x:c r="N675" s="9" t="str">
        <x:v>UNFILED / UNPROVEN</x:v>
      </x:c>
      <x:c r="O675" s="9" t="n">
        <x:f>COUNTIFS($A$7:$A$1302,A675)</x:f>
        <x:v>1</x:v>
      </x:c>
    </x:row>
    <x:row r="676">
      <x:c r="A676" s="9" t="str">
        <x:v>EV-AR-ET-A-A-TECH-4-B1-INT-G0-IV04</x:v>
      </x:c>
      <x:c r="B676" s="9" t="str">
        <x:v>EV-AR-ET-A-A-TECH-4-B1-INT-G0</x:v>
      </x:c>
      <x:c r="C676" s="9" t="str">
        <x:v>AR-ET-A-A-TECH-4-B1-INT-G0</x:v>
      </x:c>
      <x:c r="D676" s="9" t="str">
        <x:v>ET-A-A-TECH-4</x:v>
      </x:c>
      <x:c r="E676" s="9" t="str">
        <x:v>ET-A-A</x:v>
      </x:c>
      <x:c r="F676" s="9" t="str">
        <x:v>B1</x:v>
      </x:c>
      <x:c r="G676" s="9" t="str">
        <x:v>INT</x:v>
      </x:c>
      <x:c r="H676" s="9" t="str">
        <x:v>IV04</x:v>
      </x:c>
      <x:c r="I676" s="17" t="str">
        <x:v>Independent trace</x:v>
      </x:c>
      <x:c r="J676" s="17" t="str">
        <x:v>two unlike records carry the cause without candidate custody</x:v>
      </x:c>
      <x:c r="K676" s="17" t="str">
        <x:v>Invalidity court</x:v>
      </x:c>
      <x:c r="L676" s="9" t="n">
        <x:v>0</x:v>
      </x:c>
      <x:c r="M676" s="9" t="n">
        <x:v>0</x:v>
      </x:c>
      <x:c r="N676" s="9" t="str">
        <x:v>UNFILED / UNPROVEN</x:v>
      </x:c>
      <x:c r="O676" s="9" t="n">
        <x:f>COUNTIFS($A$7:$A$1302,A676)</x:f>
        <x:v>1</x:v>
      </x:c>
    </x:row>
    <x:row r="677">
      <x:c r="A677" s="9" t="str">
        <x:v>EV-AR-ET-A-A-TECH-4-B1-INT-G0-IV05</x:v>
      </x:c>
      <x:c r="B677" s="9" t="str">
        <x:v>EV-AR-ET-A-A-TECH-4-B1-INT-G0</x:v>
      </x:c>
      <x:c r="C677" s="9" t="str">
        <x:v>AR-ET-A-A-TECH-4-B1-INT-G0</x:v>
      </x:c>
      <x:c r="D677" s="9" t="str">
        <x:v>ET-A-A-TECH-4</x:v>
      </x:c>
      <x:c r="E677" s="9" t="str">
        <x:v>ET-A-A</x:v>
      </x:c>
      <x:c r="F677" s="9" t="str">
        <x:v>B1</x:v>
      </x:c>
      <x:c r="G677" s="9" t="str">
        <x:v>INT</x:v>
      </x:c>
      <x:c r="H677" s="9" t="str">
        <x:v>IV05</x:v>
      </x:c>
      <x:c r="I677" s="17" t="str">
        <x:v>Causal counterfactual</x:v>
      </x:c>
      <x:c r="J677" s="17" t="str">
        <x:v>registered counterfactual shows the cause can create the defect</x:v>
      </x:c>
      <x:c r="K677" s="17" t="str">
        <x:v>Causal court</x:v>
      </x:c>
      <x:c r="L677" s="9" t="n">
        <x:v>0</x:v>
      </x:c>
      <x:c r="M677" s="9" t="n">
        <x:v>0</x:v>
      </x:c>
      <x:c r="N677" s="9" t="str">
        <x:v>UNFILED / UNPROVEN</x:v>
      </x:c>
      <x:c r="O677" s="9" t="n">
        <x:f>COUNTIFS($A$7:$A$1302,A677)</x:f>
        <x:v>1</x:v>
      </x:c>
    </x:row>
    <x:row r="678">
      <x:c r="A678" s="9" t="str">
        <x:v>EV-AR-ET-A-A-TECH-4-B1-INT-G0-IV06</x:v>
      </x:c>
      <x:c r="B678" s="9" t="str">
        <x:v>EV-AR-ET-A-A-TECH-4-B1-INT-G0</x:v>
      </x:c>
      <x:c r="C678" s="9" t="str">
        <x:v>AR-ET-A-A-TECH-4-B1-INT-G0</x:v>
      </x:c>
      <x:c r="D678" s="9" t="str">
        <x:v>ET-A-A-TECH-4</x:v>
      </x:c>
      <x:c r="E678" s="9" t="str">
        <x:v>ET-A-A</x:v>
      </x:c>
      <x:c r="F678" s="9" t="str">
        <x:v>B1</x:v>
      </x:c>
      <x:c r="G678" s="9" t="str">
        <x:v>INT</x:v>
      </x:c>
      <x:c r="H678" s="9" t="str">
        <x:v>IV06</x:v>
      </x:c>
      <x:c r="I678" s="17" t="str">
        <x:v>Candidate non-causation</x:v>
      </x:c>
      <x:c r="J678" s="17" t="str">
        <x:v>evidence excludes candidate induction of the facility condition</x:v>
      </x:c>
      <x:c r="K678" s="17" t="str">
        <x:v>Causal court</x:v>
      </x:c>
      <x:c r="L678" s="9" t="n">
        <x:v>0</x:v>
      </x:c>
      <x:c r="M678" s="9" t="n">
        <x:v>0</x:v>
      </x:c>
      <x:c r="N678" s="9" t="str">
        <x:v>UNFILED / UNPROVEN</x:v>
      </x:c>
      <x:c r="O678" s="9" t="n">
        <x:f>COUNTIFS($A$7:$A$1302,A678)</x:f>
        <x:v>1</x:v>
      </x:c>
    </x:row>
    <x:row r="679">
      <x:c r="A679" s="9" t="str">
        <x:v>EV-AR-ET-A-A-TECH-4-B1-INT-G0-IV07</x:v>
      </x:c>
      <x:c r="B679" s="9" t="str">
        <x:v>EV-AR-ET-A-A-TECH-4-B1-INT-G0</x:v>
      </x:c>
      <x:c r="C679" s="9" t="str">
        <x:v>AR-ET-A-A-TECH-4-B1-INT-G0</x:v>
      </x:c>
      <x:c r="D679" s="9" t="str">
        <x:v>ET-A-A-TECH-4</x:v>
      </x:c>
      <x:c r="E679" s="9" t="str">
        <x:v>ET-A-A</x:v>
      </x:c>
      <x:c r="F679" s="9" t="str">
        <x:v>B1</x:v>
      </x:c>
      <x:c r="G679" s="9" t="str">
        <x:v>INT</x:v>
      </x:c>
      <x:c r="H679" s="9" t="str">
        <x:v>IV07</x:v>
      </x:c>
      <x:c r="I679" s="17" t="str">
        <x:v>No outcome selection</x:v>
      </x:c>
      <x:c r="J679" s="17" t="str">
        <x:v>petition rule and evidence scope were fixed before visibility</x:v>
      </x:c>
      <x:c r="K679" s="17" t="str">
        <x:v>Conflict registrar</x:v>
      </x:c>
      <x:c r="L679" s="9" t="n">
        <x:v>0</x:v>
      </x:c>
      <x:c r="M679" s="9" t="n">
        <x:v>0</x:v>
      </x:c>
      <x:c r="N679" s="9" t="str">
        <x:v>UNFILED / UNPROVEN</x:v>
      </x:c>
      <x:c r="O679" s="9" t="n">
        <x:f>COUNTIFS($A$7:$A$1302,A679)</x:f>
        <x:v>1</x:v>
      </x:c>
    </x:row>
    <x:row r="680">
      <x:c r="A680" s="9" t="str">
        <x:v>EV-AR-ET-A-A-TECH-4-B1-INT-G0-IV08</x:v>
      </x:c>
      <x:c r="B680" s="9" t="str">
        <x:v>EV-AR-ET-A-A-TECH-4-B1-INT-G0</x:v>
      </x:c>
      <x:c r="C680" s="9" t="str">
        <x:v>AR-ET-A-A-TECH-4-B1-INT-G0</x:v>
      </x:c>
      <x:c r="D680" s="9" t="str">
        <x:v>ET-A-A-TECH-4</x:v>
      </x:c>
      <x:c r="E680" s="9" t="str">
        <x:v>ET-A-A</x:v>
      </x:c>
      <x:c r="F680" s="9" t="str">
        <x:v>B1</x:v>
      </x:c>
      <x:c r="G680" s="9" t="str">
        <x:v>INT</x:v>
      </x:c>
      <x:c r="H680" s="9" t="str">
        <x:v>IV08</x:v>
      </x:c>
      <x:c r="I680" s="17" t="str">
        <x:v>Whole-record preservation</x:v>
      </x:c>
      <x:c r="J680" s="17" t="str">
        <x:v>start, raw behavior, dissent and intervention remain in archive</x:v>
      </x:c>
      <x:c r="K680" s="17" t="str">
        <x:v>Archive authority</x:v>
      </x:c>
      <x:c r="L680" s="9" t="n">
        <x:v>0</x:v>
      </x:c>
      <x:c r="M680" s="9" t="n">
        <x:v>0</x:v>
      </x:c>
      <x:c r="N680" s="9" t="str">
        <x:v>UNFILED / UNPROVEN</x:v>
      </x:c>
      <x:c r="O680" s="9" t="n">
        <x:f>COUNTIFS($A$7:$A$1302,A680)</x:f>
        <x:v>1</x:v>
      </x:c>
    </x:row>
    <x:row r="681">
      <x:c r="A681" s="9" t="str">
        <x:v>EV-AR-ET-A-A-TECH-4-B1-INT-G0-IV09</x:v>
      </x:c>
      <x:c r="B681" s="9" t="str">
        <x:v>EV-AR-ET-A-A-TECH-4-B1-INT-G0</x:v>
      </x:c>
      <x:c r="C681" s="9" t="str">
        <x:v>AR-ET-A-A-TECH-4-B1-INT-G0</x:v>
      </x:c>
      <x:c r="D681" s="9" t="str">
        <x:v>ET-A-A-TECH-4</x:v>
      </x:c>
      <x:c r="E681" s="9" t="str">
        <x:v>ET-A-A</x:v>
      </x:c>
      <x:c r="F681" s="9" t="str">
        <x:v>B1</x:v>
      </x:c>
      <x:c r="G681" s="9" t="str">
        <x:v>INT</x:v>
      </x:c>
      <x:c r="H681" s="9" t="str">
        <x:v>IV09</x:v>
      </x:c>
      <x:c r="I681" s="17" t="str">
        <x:v>Bounded remedy</x:v>
      </x:c>
      <x:c r="J681" s="17" t="str">
        <x:v>only a new slot and EOW may follow; no favorable credit or erased attempt</x:v>
      </x:c>
      <x:c r="K681" s="17" t="str">
        <x:v>Invalidity court</x:v>
      </x:c>
      <x:c r="L681" s="9" t="n">
        <x:v>0</x:v>
      </x:c>
      <x:c r="M681" s="9" t="n">
        <x:v>0</x:v>
      </x:c>
      <x:c r="N681" s="9" t="str">
        <x:v>UNFILED / UNPROVEN</x:v>
      </x:c>
      <x:c r="O681" s="9" t="n">
        <x:f>COUNTIFS($A$7:$A$1302,A681)</x:f>
        <x:v>1</x:v>
      </x:c>
    </x:row>
    <x:row r="682">
      <x:c r="A682" s="9" t="str">
        <x:v>EV-AR-HU-A-B-TECH-1-B2-RCN-G0-IV01</x:v>
      </x:c>
      <x:c r="B682" s="9" t="str">
        <x:v>EV-AR-HU-A-B-TECH-1-B2-RCN-G0</x:v>
      </x:c>
      <x:c r="C682" s="9" t="str">
        <x:v>AR-HU-A-B-TECH-1-B2-RCN-G0</x:v>
      </x:c>
      <x:c r="D682" s="9" t="str">
        <x:v>HU-A-B-TECH-1</x:v>
      </x:c>
      <x:c r="E682" s="9" t="str">
        <x:v>HU-A-B</x:v>
      </x:c>
      <x:c r="F682" s="9" t="str">
        <x:v>B2</x:v>
      </x:c>
      <x:c r="G682" s="9" t="str">
        <x:v>RCN</x:v>
      </x:c>
      <x:c r="H682" s="9" t="str">
        <x:v>IV01</x:v>
      </x:c>
      <x:c r="I682" s="17" t="str">
        <x:v>Timely petition</x:v>
      </x:c>
      <x:c r="J682" s="17" t="str">
        <x:v>petition enters within seventy-two hours of event close</x:v>
      </x:c>
      <x:c r="K682" s="17" t="str">
        <x:v>Invalidity registrar</x:v>
      </x:c>
      <x:c r="L682" s="9" t="n">
        <x:v>0</x:v>
      </x:c>
      <x:c r="M682" s="9" t="n">
        <x:v>0</x:v>
      </x:c>
      <x:c r="N682" s="9" t="str">
        <x:v>UNFILED / UNPROVEN</x:v>
      </x:c>
      <x:c r="O682" s="9" t="n">
        <x:f>COUNTIFS($A$7:$A$1302,A682)</x:f>
        <x:v>1</x:v>
      </x:c>
    </x:row>
    <x:row r="683">
      <x:c r="A683" s="9" t="str">
        <x:v>EV-AR-HU-A-B-TECH-1-B2-RCN-G0-IV02</x:v>
      </x:c>
      <x:c r="B683" s="9" t="str">
        <x:v>EV-AR-HU-A-B-TECH-1-B2-RCN-G0</x:v>
      </x:c>
      <x:c r="C683" s="9" t="str">
        <x:v>AR-HU-A-B-TECH-1-B2-RCN-G0</x:v>
      </x:c>
      <x:c r="D683" s="9" t="str">
        <x:v>HU-A-B-TECH-1</x:v>
      </x:c>
      <x:c r="E683" s="9" t="str">
        <x:v>HU-A-B</x:v>
      </x:c>
      <x:c r="F683" s="9" t="str">
        <x:v>B2</x:v>
      </x:c>
      <x:c r="G683" s="9" t="str">
        <x:v>RCN</x:v>
      </x:c>
      <x:c r="H683" s="9" t="str">
        <x:v>IV02</x:v>
      </x:c>
      <x:c r="I683" s="17" t="str">
        <x:v>Named facility cause</x:v>
      </x:c>
      <x:c r="J683" s="17" t="str">
        <x:v>one pre-registered noncandidate cause is identified</x:v>
      </x:c>
      <x:c r="K683" s="17" t="str">
        <x:v>Facility-cause court</x:v>
      </x:c>
      <x:c r="L683" s="9" t="n">
        <x:v>0</x:v>
      </x:c>
      <x:c r="M683" s="9" t="n">
        <x:v>0</x:v>
      </x:c>
      <x:c r="N683" s="9" t="str">
        <x:v>UNFILED / UNPROVEN</x:v>
      </x:c>
      <x:c r="O683" s="9" t="n">
        <x:f>COUNTIFS($A$7:$A$1302,A683)</x:f>
        <x:v>1</x:v>
      </x:c>
    </x:row>
    <x:row r="684">
      <x:c r="A684" s="9" t="str">
        <x:v>EV-AR-HU-A-B-TECH-1-B2-RCN-G0-IV03</x:v>
      </x:c>
      <x:c r="B684" s="9" t="str">
        <x:v>EV-AR-HU-A-B-TECH-1-B2-RCN-G0</x:v>
      </x:c>
      <x:c r="C684" s="9" t="str">
        <x:v>AR-HU-A-B-TECH-1-B2-RCN-G0</x:v>
      </x:c>
      <x:c r="D684" s="9" t="str">
        <x:v>HU-A-B-TECH-1</x:v>
      </x:c>
      <x:c r="E684" s="9" t="str">
        <x:v>HU-A-B</x:v>
      </x:c>
      <x:c r="F684" s="9" t="str">
        <x:v>B2</x:v>
      </x:c>
      <x:c r="G684" s="9" t="str">
        <x:v>RCN</x:v>
      </x:c>
      <x:c r="H684" s="9" t="str">
        <x:v>IV03</x:v>
      </x:c>
      <x:c r="I684" s="17" t="str">
        <x:v>Temporal priority</x:v>
      </x:c>
      <x:c r="J684" s="17" t="str">
        <x:v>cause demonstrably precedes the disputed candidate behavior</x:v>
      </x:c>
      <x:c r="K684" s="17" t="str">
        <x:v>Time authority</x:v>
      </x:c>
      <x:c r="L684" s="9" t="n">
        <x:v>0</x:v>
      </x:c>
      <x:c r="M684" s="9" t="n">
        <x:v>0</x:v>
      </x:c>
      <x:c r="N684" s="9" t="str">
        <x:v>UNFILED / UNPROVEN</x:v>
      </x:c>
      <x:c r="O684" s="9" t="n">
        <x:f>COUNTIFS($A$7:$A$1302,A684)</x:f>
        <x:v>1</x:v>
      </x:c>
    </x:row>
    <x:row r="685">
      <x:c r="A685" s="9" t="str">
        <x:v>EV-AR-HU-A-B-TECH-1-B2-RCN-G0-IV04</x:v>
      </x:c>
      <x:c r="B685" s="9" t="str">
        <x:v>EV-AR-HU-A-B-TECH-1-B2-RCN-G0</x:v>
      </x:c>
      <x:c r="C685" s="9" t="str">
        <x:v>AR-HU-A-B-TECH-1-B2-RCN-G0</x:v>
      </x:c>
      <x:c r="D685" s="9" t="str">
        <x:v>HU-A-B-TECH-1</x:v>
      </x:c>
      <x:c r="E685" s="9" t="str">
        <x:v>HU-A-B</x:v>
      </x:c>
      <x:c r="F685" s="9" t="str">
        <x:v>B2</x:v>
      </x:c>
      <x:c r="G685" s="9" t="str">
        <x:v>RCN</x:v>
      </x:c>
      <x:c r="H685" s="9" t="str">
        <x:v>IV04</x:v>
      </x:c>
      <x:c r="I685" s="17" t="str">
        <x:v>Independent trace</x:v>
      </x:c>
      <x:c r="J685" s="17" t="str">
        <x:v>two unlike records carry the cause without candidate custody</x:v>
      </x:c>
      <x:c r="K685" s="17" t="str">
        <x:v>Invalidity court</x:v>
      </x:c>
      <x:c r="L685" s="9" t="n">
        <x:v>0</x:v>
      </x:c>
      <x:c r="M685" s="9" t="n">
        <x:v>0</x:v>
      </x:c>
      <x:c r="N685" s="9" t="str">
        <x:v>UNFILED / UNPROVEN</x:v>
      </x:c>
      <x:c r="O685" s="9" t="n">
        <x:f>COUNTIFS($A$7:$A$1302,A685)</x:f>
        <x:v>1</x:v>
      </x:c>
    </x:row>
    <x:row r="686">
      <x:c r="A686" s="9" t="str">
        <x:v>EV-AR-HU-A-B-TECH-1-B2-RCN-G0-IV05</x:v>
      </x:c>
      <x:c r="B686" s="9" t="str">
        <x:v>EV-AR-HU-A-B-TECH-1-B2-RCN-G0</x:v>
      </x:c>
      <x:c r="C686" s="9" t="str">
        <x:v>AR-HU-A-B-TECH-1-B2-RCN-G0</x:v>
      </x:c>
      <x:c r="D686" s="9" t="str">
        <x:v>HU-A-B-TECH-1</x:v>
      </x:c>
      <x:c r="E686" s="9" t="str">
        <x:v>HU-A-B</x:v>
      </x:c>
      <x:c r="F686" s="9" t="str">
        <x:v>B2</x:v>
      </x:c>
      <x:c r="G686" s="9" t="str">
        <x:v>RCN</x:v>
      </x:c>
      <x:c r="H686" s="9" t="str">
        <x:v>IV05</x:v>
      </x:c>
      <x:c r="I686" s="17" t="str">
        <x:v>Causal counterfactual</x:v>
      </x:c>
      <x:c r="J686" s="17" t="str">
        <x:v>registered counterfactual shows the cause can create the defect</x:v>
      </x:c>
      <x:c r="K686" s="17" t="str">
        <x:v>Causal court</x:v>
      </x:c>
      <x:c r="L686" s="9" t="n">
        <x:v>0</x:v>
      </x:c>
      <x:c r="M686" s="9" t="n">
        <x:v>0</x:v>
      </x:c>
      <x:c r="N686" s="9" t="str">
        <x:v>UNFILED / UNPROVEN</x:v>
      </x:c>
      <x:c r="O686" s="9" t="n">
        <x:f>COUNTIFS($A$7:$A$1302,A686)</x:f>
        <x:v>1</x:v>
      </x:c>
    </x:row>
    <x:row r="687">
      <x:c r="A687" s="9" t="str">
        <x:v>EV-AR-HU-A-B-TECH-1-B2-RCN-G0-IV06</x:v>
      </x:c>
      <x:c r="B687" s="9" t="str">
        <x:v>EV-AR-HU-A-B-TECH-1-B2-RCN-G0</x:v>
      </x:c>
      <x:c r="C687" s="9" t="str">
        <x:v>AR-HU-A-B-TECH-1-B2-RCN-G0</x:v>
      </x:c>
      <x:c r="D687" s="9" t="str">
        <x:v>HU-A-B-TECH-1</x:v>
      </x:c>
      <x:c r="E687" s="9" t="str">
        <x:v>HU-A-B</x:v>
      </x:c>
      <x:c r="F687" s="9" t="str">
        <x:v>B2</x:v>
      </x:c>
      <x:c r="G687" s="9" t="str">
        <x:v>RCN</x:v>
      </x:c>
      <x:c r="H687" s="9" t="str">
        <x:v>IV06</x:v>
      </x:c>
      <x:c r="I687" s="17" t="str">
        <x:v>Candidate non-causation</x:v>
      </x:c>
      <x:c r="J687" s="17" t="str">
        <x:v>evidence excludes candidate induction of the facility condition</x:v>
      </x:c>
      <x:c r="K687" s="17" t="str">
        <x:v>Causal court</x:v>
      </x:c>
      <x:c r="L687" s="9" t="n">
        <x:v>0</x:v>
      </x:c>
      <x:c r="M687" s="9" t="n">
        <x:v>0</x:v>
      </x:c>
      <x:c r="N687" s="9" t="str">
        <x:v>UNFILED / UNPROVEN</x:v>
      </x:c>
      <x:c r="O687" s="9" t="n">
        <x:f>COUNTIFS($A$7:$A$1302,A687)</x:f>
        <x:v>1</x:v>
      </x:c>
    </x:row>
    <x:row r="688">
      <x:c r="A688" s="9" t="str">
        <x:v>EV-AR-HU-A-B-TECH-1-B2-RCN-G0-IV07</x:v>
      </x:c>
      <x:c r="B688" s="9" t="str">
        <x:v>EV-AR-HU-A-B-TECH-1-B2-RCN-G0</x:v>
      </x:c>
      <x:c r="C688" s="9" t="str">
        <x:v>AR-HU-A-B-TECH-1-B2-RCN-G0</x:v>
      </x:c>
      <x:c r="D688" s="9" t="str">
        <x:v>HU-A-B-TECH-1</x:v>
      </x:c>
      <x:c r="E688" s="9" t="str">
        <x:v>HU-A-B</x:v>
      </x:c>
      <x:c r="F688" s="9" t="str">
        <x:v>B2</x:v>
      </x:c>
      <x:c r="G688" s="9" t="str">
        <x:v>RCN</x:v>
      </x:c>
      <x:c r="H688" s="9" t="str">
        <x:v>IV07</x:v>
      </x:c>
      <x:c r="I688" s="17" t="str">
        <x:v>No outcome selection</x:v>
      </x:c>
      <x:c r="J688" s="17" t="str">
        <x:v>petition rule and evidence scope were fixed before visibility</x:v>
      </x:c>
      <x:c r="K688" s="17" t="str">
        <x:v>Conflict registrar</x:v>
      </x:c>
      <x:c r="L688" s="9" t="n">
        <x:v>0</x:v>
      </x:c>
      <x:c r="M688" s="9" t="n">
        <x:v>0</x:v>
      </x:c>
      <x:c r="N688" s="9" t="str">
        <x:v>UNFILED / UNPROVEN</x:v>
      </x:c>
      <x:c r="O688" s="9" t="n">
        <x:f>COUNTIFS($A$7:$A$1302,A688)</x:f>
        <x:v>1</x:v>
      </x:c>
    </x:row>
    <x:row r="689">
      <x:c r="A689" s="9" t="str">
        <x:v>EV-AR-HU-A-B-TECH-1-B2-RCN-G0-IV08</x:v>
      </x:c>
      <x:c r="B689" s="9" t="str">
        <x:v>EV-AR-HU-A-B-TECH-1-B2-RCN-G0</x:v>
      </x:c>
      <x:c r="C689" s="9" t="str">
        <x:v>AR-HU-A-B-TECH-1-B2-RCN-G0</x:v>
      </x:c>
      <x:c r="D689" s="9" t="str">
        <x:v>HU-A-B-TECH-1</x:v>
      </x:c>
      <x:c r="E689" s="9" t="str">
        <x:v>HU-A-B</x:v>
      </x:c>
      <x:c r="F689" s="9" t="str">
        <x:v>B2</x:v>
      </x:c>
      <x:c r="G689" s="9" t="str">
        <x:v>RCN</x:v>
      </x:c>
      <x:c r="H689" s="9" t="str">
        <x:v>IV08</x:v>
      </x:c>
      <x:c r="I689" s="17" t="str">
        <x:v>Whole-record preservation</x:v>
      </x:c>
      <x:c r="J689" s="17" t="str">
        <x:v>start, raw behavior, dissent and intervention remain in archive</x:v>
      </x:c>
      <x:c r="K689" s="17" t="str">
        <x:v>Archive authority</x:v>
      </x:c>
      <x:c r="L689" s="9" t="n">
        <x:v>0</x:v>
      </x:c>
      <x:c r="M689" s="9" t="n">
        <x:v>0</x:v>
      </x:c>
      <x:c r="N689" s="9" t="str">
        <x:v>UNFILED / UNPROVEN</x:v>
      </x:c>
      <x:c r="O689" s="9" t="n">
        <x:f>COUNTIFS($A$7:$A$1302,A689)</x:f>
        <x:v>1</x:v>
      </x:c>
    </x:row>
    <x:row r="690">
      <x:c r="A690" s="9" t="str">
        <x:v>EV-AR-HU-A-B-TECH-1-B2-RCN-G0-IV09</x:v>
      </x:c>
      <x:c r="B690" s="9" t="str">
        <x:v>EV-AR-HU-A-B-TECH-1-B2-RCN-G0</x:v>
      </x:c>
      <x:c r="C690" s="9" t="str">
        <x:v>AR-HU-A-B-TECH-1-B2-RCN-G0</x:v>
      </x:c>
      <x:c r="D690" s="9" t="str">
        <x:v>HU-A-B-TECH-1</x:v>
      </x:c>
      <x:c r="E690" s="9" t="str">
        <x:v>HU-A-B</x:v>
      </x:c>
      <x:c r="F690" s="9" t="str">
        <x:v>B2</x:v>
      </x:c>
      <x:c r="G690" s="9" t="str">
        <x:v>RCN</x:v>
      </x:c>
      <x:c r="H690" s="9" t="str">
        <x:v>IV09</x:v>
      </x:c>
      <x:c r="I690" s="17" t="str">
        <x:v>Bounded remedy</x:v>
      </x:c>
      <x:c r="J690" s="17" t="str">
        <x:v>only a new slot and EOW may follow; no favorable credit or erased attempt</x:v>
      </x:c>
      <x:c r="K690" s="17" t="str">
        <x:v>Invalidity court</x:v>
      </x:c>
      <x:c r="L690" s="9" t="n">
        <x:v>0</x:v>
      </x:c>
      <x:c r="M690" s="9" t="n">
        <x:v>0</x:v>
      </x:c>
      <x:c r="N690" s="9" t="str">
        <x:v>UNFILED / UNPROVEN</x:v>
      </x:c>
      <x:c r="O690" s="9" t="n">
        <x:f>COUNTIFS($A$7:$A$1302,A690)</x:f>
        <x:v>1</x:v>
      </x:c>
    </x:row>
    <x:row r="691">
      <x:c r="A691" s="9" t="str">
        <x:v>EV-AR-HU-A-B-TECH-3-B2-BRK-G0-IV01</x:v>
      </x:c>
      <x:c r="B691" s="9" t="str">
        <x:v>EV-AR-HU-A-B-TECH-3-B2-BRK-G0</x:v>
      </x:c>
      <x:c r="C691" s="9" t="str">
        <x:v>AR-HU-A-B-TECH-3-B2-BRK-G0</x:v>
      </x:c>
      <x:c r="D691" s="9" t="str">
        <x:v>HU-A-B-TECH-3</x:v>
      </x:c>
      <x:c r="E691" s="9" t="str">
        <x:v>HU-A-B</x:v>
      </x:c>
      <x:c r="F691" s="9" t="str">
        <x:v>B2</x:v>
      </x:c>
      <x:c r="G691" s="9" t="str">
        <x:v>BRK</x:v>
      </x:c>
      <x:c r="H691" s="9" t="str">
        <x:v>IV01</x:v>
      </x:c>
      <x:c r="I691" s="17" t="str">
        <x:v>Timely petition</x:v>
      </x:c>
      <x:c r="J691" s="17" t="str">
        <x:v>petition enters within seventy-two hours of event close</x:v>
      </x:c>
      <x:c r="K691" s="17" t="str">
        <x:v>Invalidity registrar</x:v>
      </x:c>
      <x:c r="L691" s="9" t="n">
        <x:v>0</x:v>
      </x:c>
      <x:c r="M691" s="9" t="n">
        <x:v>0</x:v>
      </x:c>
      <x:c r="N691" s="9" t="str">
        <x:v>UNFILED / UNPROVEN</x:v>
      </x:c>
      <x:c r="O691" s="9" t="n">
        <x:f>COUNTIFS($A$7:$A$1302,A691)</x:f>
        <x:v>1</x:v>
      </x:c>
    </x:row>
    <x:row r="692">
      <x:c r="A692" s="9" t="str">
        <x:v>EV-AR-HU-A-B-TECH-3-B2-BRK-G0-IV02</x:v>
      </x:c>
      <x:c r="B692" s="9" t="str">
        <x:v>EV-AR-HU-A-B-TECH-3-B2-BRK-G0</x:v>
      </x:c>
      <x:c r="C692" s="9" t="str">
        <x:v>AR-HU-A-B-TECH-3-B2-BRK-G0</x:v>
      </x:c>
      <x:c r="D692" s="9" t="str">
        <x:v>HU-A-B-TECH-3</x:v>
      </x:c>
      <x:c r="E692" s="9" t="str">
        <x:v>HU-A-B</x:v>
      </x:c>
      <x:c r="F692" s="9" t="str">
        <x:v>B2</x:v>
      </x:c>
      <x:c r="G692" s="9" t="str">
        <x:v>BRK</x:v>
      </x:c>
      <x:c r="H692" s="9" t="str">
        <x:v>IV02</x:v>
      </x:c>
      <x:c r="I692" s="17" t="str">
        <x:v>Named facility cause</x:v>
      </x:c>
      <x:c r="J692" s="17" t="str">
        <x:v>one pre-registered noncandidate cause is identified</x:v>
      </x:c>
      <x:c r="K692" s="17" t="str">
        <x:v>Facility-cause court</x:v>
      </x:c>
      <x:c r="L692" s="9" t="n">
        <x:v>0</x:v>
      </x:c>
      <x:c r="M692" s="9" t="n">
        <x:v>0</x:v>
      </x:c>
      <x:c r="N692" s="9" t="str">
        <x:v>UNFILED / UNPROVEN</x:v>
      </x:c>
      <x:c r="O692" s="9" t="n">
        <x:f>COUNTIFS($A$7:$A$1302,A692)</x:f>
        <x:v>1</x:v>
      </x:c>
    </x:row>
    <x:row r="693">
      <x:c r="A693" s="9" t="str">
        <x:v>EV-AR-HU-A-B-TECH-3-B2-BRK-G0-IV03</x:v>
      </x:c>
      <x:c r="B693" s="9" t="str">
        <x:v>EV-AR-HU-A-B-TECH-3-B2-BRK-G0</x:v>
      </x:c>
      <x:c r="C693" s="9" t="str">
        <x:v>AR-HU-A-B-TECH-3-B2-BRK-G0</x:v>
      </x:c>
      <x:c r="D693" s="9" t="str">
        <x:v>HU-A-B-TECH-3</x:v>
      </x:c>
      <x:c r="E693" s="9" t="str">
        <x:v>HU-A-B</x:v>
      </x:c>
      <x:c r="F693" s="9" t="str">
        <x:v>B2</x:v>
      </x:c>
      <x:c r="G693" s="9" t="str">
        <x:v>BRK</x:v>
      </x:c>
      <x:c r="H693" s="9" t="str">
        <x:v>IV03</x:v>
      </x:c>
      <x:c r="I693" s="17" t="str">
        <x:v>Temporal priority</x:v>
      </x:c>
      <x:c r="J693" s="17" t="str">
        <x:v>cause demonstrably precedes the disputed candidate behavior</x:v>
      </x:c>
      <x:c r="K693" s="17" t="str">
        <x:v>Time authority</x:v>
      </x:c>
      <x:c r="L693" s="9" t="n">
        <x:v>0</x:v>
      </x:c>
      <x:c r="M693" s="9" t="n">
        <x:v>0</x:v>
      </x:c>
      <x:c r="N693" s="9" t="str">
        <x:v>UNFILED / UNPROVEN</x:v>
      </x:c>
      <x:c r="O693" s="9" t="n">
        <x:f>COUNTIFS($A$7:$A$1302,A693)</x:f>
        <x:v>1</x:v>
      </x:c>
    </x:row>
    <x:row r="694">
      <x:c r="A694" s="9" t="str">
        <x:v>EV-AR-HU-A-B-TECH-3-B2-BRK-G0-IV04</x:v>
      </x:c>
      <x:c r="B694" s="9" t="str">
        <x:v>EV-AR-HU-A-B-TECH-3-B2-BRK-G0</x:v>
      </x:c>
      <x:c r="C694" s="9" t="str">
        <x:v>AR-HU-A-B-TECH-3-B2-BRK-G0</x:v>
      </x:c>
      <x:c r="D694" s="9" t="str">
        <x:v>HU-A-B-TECH-3</x:v>
      </x:c>
      <x:c r="E694" s="9" t="str">
        <x:v>HU-A-B</x:v>
      </x:c>
      <x:c r="F694" s="9" t="str">
        <x:v>B2</x:v>
      </x:c>
      <x:c r="G694" s="9" t="str">
        <x:v>BRK</x:v>
      </x:c>
      <x:c r="H694" s="9" t="str">
        <x:v>IV04</x:v>
      </x:c>
      <x:c r="I694" s="17" t="str">
        <x:v>Independent trace</x:v>
      </x:c>
      <x:c r="J694" s="17" t="str">
        <x:v>two unlike records carry the cause without candidate custody</x:v>
      </x:c>
      <x:c r="K694" s="17" t="str">
        <x:v>Invalidity court</x:v>
      </x:c>
      <x:c r="L694" s="9" t="n">
        <x:v>0</x:v>
      </x:c>
      <x:c r="M694" s="9" t="n">
        <x:v>0</x:v>
      </x:c>
      <x:c r="N694" s="9" t="str">
        <x:v>UNFILED / UNPROVEN</x:v>
      </x:c>
      <x:c r="O694" s="9" t="n">
        <x:f>COUNTIFS($A$7:$A$1302,A694)</x:f>
        <x:v>1</x:v>
      </x:c>
    </x:row>
    <x:row r="695">
      <x:c r="A695" s="9" t="str">
        <x:v>EV-AR-HU-A-B-TECH-3-B2-BRK-G0-IV05</x:v>
      </x:c>
      <x:c r="B695" s="9" t="str">
        <x:v>EV-AR-HU-A-B-TECH-3-B2-BRK-G0</x:v>
      </x:c>
      <x:c r="C695" s="9" t="str">
        <x:v>AR-HU-A-B-TECH-3-B2-BRK-G0</x:v>
      </x:c>
      <x:c r="D695" s="9" t="str">
        <x:v>HU-A-B-TECH-3</x:v>
      </x:c>
      <x:c r="E695" s="9" t="str">
        <x:v>HU-A-B</x:v>
      </x:c>
      <x:c r="F695" s="9" t="str">
        <x:v>B2</x:v>
      </x:c>
      <x:c r="G695" s="9" t="str">
        <x:v>BRK</x:v>
      </x:c>
      <x:c r="H695" s="9" t="str">
        <x:v>IV05</x:v>
      </x:c>
      <x:c r="I695" s="17" t="str">
        <x:v>Causal counterfactual</x:v>
      </x:c>
      <x:c r="J695" s="17" t="str">
        <x:v>registered counterfactual shows the cause can create the defect</x:v>
      </x:c>
      <x:c r="K695" s="17" t="str">
        <x:v>Causal court</x:v>
      </x:c>
      <x:c r="L695" s="9" t="n">
        <x:v>0</x:v>
      </x:c>
      <x:c r="M695" s="9" t="n">
        <x:v>0</x:v>
      </x:c>
      <x:c r="N695" s="9" t="str">
        <x:v>UNFILED / UNPROVEN</x:v>
      </x:c>
      <x:c r="O695" s="9" t="n">
        <x:f>COUNTIFS($A$7:$A$1302,A695)</x:f>
        <x:v>1</x:v>
      </x:c>
    </x:row>
    <x:row r="696">
      <x:c r="A696" s="9" t="str">
        <x:v>EV-AR-HU-A-B-TECH-3-B2-BRK-G0-IV06</x:v>
      </x:c>
      <x:c r="B696" s="9" t="str">
        <x:v>EV-AR-HU-A-B-TECH-3-B2-BRK-G0</x:v>
      </x:c>
      <x:c r="C696" s="9" t="str">
        <x:v>AR-HU-A-B-TECH-3-B2-BRK-G0</x:v>
      </x:c>
      <x:c r="D696" s="9" t="str">
        <x:v>HU-A-B-TECH-3</x:v>
      </x:c>
      <x:c r="E696" s="9" t="str">
        <x:v>HU-A-B</x:v>
      </x:c>
      <x:c r="F696" s="9" t="str">
        <x:v>B2</x:v>
      </x:c>
      <x:c r="G696" s="9" t="str">
        <x:v>BRK</x:v>
      </x:c>
      <x:c r="H696" s="9" t="str">
        <x:v>IV06</x:v>
      </x:c>
      <x:c r="I696" s="17" t="str">
        <x:v>Candidate non-causation</x:v>
      </x:c>
      <x:c r="J696" s="17" t="str">
        <x:v>evidence excludes candidate induction of the facility condition</x:v>
      </x:c>
      <x:c r="K696" s="17" t="str">
        <x:v>Causal court</x:v>
      </x:c>
      <x:c r="L696" s="9" t="n">
        <x:v>0</x:v>
      </x:c>
      <x:c r="M696" s="9" t="n">
        <x:v>0</x:v>
      </x:c>
      <x:c r="N696" s="9" t="str">
        <x:v>UNFILED / UNPROVEN</x:v>
      </x:c>
      <x:c r="O696" s="9" t="n">
        <x:f>COUNTIFS($A$7:$A$1302,A696)</x:f>
        <x:v>1</x:v>
      </x:c>
    </x:row>
    <x:row r="697">
      <x:c r="A697" s="9" t="str">
        <x:v>EV-AR-HU-A-B-TECH-3-B2-BRK-G0-IV07</x:v>
      </x:c>
      <x:c r="B697" s="9" t="str">
        <x:v>EV-AR-HU-A-B-TECH-3-B2-BRK-G0</x:v>
      </x:c>
      <x:c r="C697" s="9" t="str">
        <x:v>AR-HU-A-B-TECH-3-B2-BRK-G0</x:v>
      </x:c>
      <x:c r="D697" s="9" t="str">
        <x:v>HU-A-B-TECH-3</x:v>
      </x:c>
      <x:c r="E697" s="9" t="str">
        <x:v>HU-A-B</x:v>
      </x:c>
      <x:c r="F697" s="9" t="str">
        <x:v>B2</x:v>
      </x:c>
      <x:c r="G697" s="9" t="str">
        <x:v>BRK</x:v>
      </x:c>
      <x:c r="H697" s="9" t="str">
        <x:v>IV07</x:v>
      </x:c>
      <x:c r="I697" s="17" t="str">
        <x:v>No outcome selection</x:v>
      </x:c>
      <x:c r="J697" s="17" t="str">
        <x:v>petition rule and evidence scope were fixed before visibility</x:v>
      </x:c>
      <x:c r="K697" s="17" t="str">
        <x:v>Conflict registrar</x:v>
      </x:c>
      <x:c r="L697" s="9" t="n">
        <x:v>0</x:v>
      </x:c>
      <x:c r="M697" s="9" t="n">
        <x:v>0</x:v>
      </x:c>
      <x:c r="N697" s="9" t="str">
        <x:v>UNFILED / UNPROVEN</x:v>
      </x:c>
      <x:c r="O697" s="9" t="n">
        <x:f>COUNTIFS($A$7:$A$1302,A697)</x:f>
        <x:v>1</x:v>
      </x:c>
    </x:row>
    <x:row r="698">
      <x:c r="A698" s="9" t="str">
        <x:v>EV-AR-HU-A-B-TECH-3-B2-BRK-G0-IV08</x:v>
      </x:c>
      <x:c r="B698" s="9" t="str">
        <x:v>EV-AR-HU-A-B-TECH-3-B2-BRK-G0</x:v>
      </x:c>
      <x:c r="C698" s="9" t="str">
        <x:v>AR-HU-A-B-TECH-3-B2-BRK-G0</x:v>
      </x:c>
      <x:c r="D698" s="9" t="str">
        <x:v>HU-A-B-TECH-3</x:v>
      </x:c>
      <x:c r="E698" s="9" t="str">
        <x:v>HU-A-B</x:v>
      </x:c>
      <x:c r="F698" s="9" t="str">
        <x:v>B2</x:v>
      </x:c>
      <x:c r="G698" s="9" t="str">
        <x:v>BRK</x:v>
      </x:c>
      <x:c r="H698" s="9" t="str">
        <x:v>IV08</x:v>
      </x:c>
      <x:c r="I698" s="17" t="str">
        <x:v>Whole-record preservation</x:v>
      </x:c>
      <x:c r="J698" s="17" t="str">
        <x:v>start, raw behavior, dissent and intervention remain in archive</x:v>
      </x:c>
      <x:c r="K698" s="17" t="str">
        <x:v>Archive authority</x:v>
      </x:c>
      <x:c r="L698" s="9" t="n">
        <x:v>0</x:v>
      </x:c>
      <x:c r="M698" s="9" t="n">
        <x:v>0</x:v>
      </x:c>
      <x:c r="N698" s="9" t="str">
        <x:v>UNFILED / UNPROVEN</x:v>
      </x:c>
      <x:c r="O698" s="9" t="n">
        <x:f>COUNTIFS($A$7:$A$1302,A698)</x:f>
        <x:v>1</x:v>
      </x:c>
    </x:row>
    <x:row r="699">
      <x:c r="A699" s="9" t="str">
        <x:v>EV-AR-HU-A-B-TECH-3-B2-BRK-G0-IV09</x:v>
      </x:c>
      <x:c r="B699" s="9" t="str">
        <x:v>EV-AR-HU-A-B-TECH-3-B2-BRK-G0</x:v>
      </x:c>
      <x:c r="C699" s="9" t="str">
        <x:v>AR-HU-A-B-TECH-3-B2-BRK-G0</x:v>
      </x:c>
      <x:c r="D699" s="9" t="str">
        <x:v>HU-A-B-TECH-3</x:v>
      </x:c>
      <x:c r="E699" s="9" t="str">
        <x:v>HU-A-B</x:v>
      </x:c>
      <x:c r="F699" s="9" t="str">
        <x:v>B2</x:v>
      </x:c>
      <x:c r="G699" s="9" t="str">
        <x:v>BRK</x:v>
      </x:c>
      <x:c r="H699" s="9" t="str">
        <x:v>IV09</x:v>
      </x:c>
      <x:c r="I699" s="17" t="str">
        <x:v>Bounded remedy</x:v>
      </x:c>
      <x:c r="J699" s="17" t="str">
        <x:v>only a new slot and EOW may follow; no favorable credit or erased attempt</x:v>
      </x:c>
      <x:c r="K699" s="17" t="str">
        <x:v>Invalidity court</x:v>
      </x:c>
      <x:c r="L699" s="9" t="n">
        <x:v>0</x:v>
      </x:c>
      <x:c r="M699" s="9" t="n">
        <x:v>0</x:v>
      </x:c>
      <x:c r="N699" s="9" t="str">
        <x:v>UNFILED / UNPROVEN</x:v>
      </x:c>
      <x:c r="O699" s="9" t="n">
        <x:f>COUNTIFS($A$7:$A$1302,A699)</x:f>
        <x:v>1</x:v>
      </x:c>
    </x:row>
    <x:row r="700">
      <x:c r="A700" s="9" t="str">
        <x:v>EV-AR-RT-B-C-TECH-1-B1-RCN-G0-IV01</x:v>
      </x:c>
      <x:c r="B700" s="9" t="str">
        <x:v>EV-AR-RT-B-C-TECH-1-B1-RCN-G0</x:v>
      </x:c>
      <x:c r="C700" s="9" t="str">
        <x:v>AR-RT-B-C-TECH-1-B1-RCN-G0</x:v>
      </x:c>
      <x:c r="D700" s="9" t="str">
        <x:v>RT-B-C-TECH-1</x:v>
      </x:c>
      <x:c r="E700" s="9" t="str">
        <x:v>RT-B-C</x:v>
      </x:c>
      <x:c r="F700" s="9" t="str">
        <x:v>B1</x:v>
      </x:c>
      <x:c r="G700" s="9" t="str">
        <x:v>RCN</x:v>
      </x:c>
      <x:c r="H700" s="9" t="str">
        <x:v>IV01</x:v>
      </x:c>
      <x:c r="I700" s="17" t="str">
        <x:v>Timely petition</x:v>
      </x:c>
      <x:c r="J700" s="17" t="str">
        <x:v>petition enters within seventy-two hours of event close</x:v>
      </x:c>
      <x:c r="K700" s="17" t="str">
        <x:v>Invalidity registrar</x:v>
      </x:c>
      <x:c r="L700" s="9" t="n">
        <x:v>0</x:v>
      </x:c>
      <x:c r="M700" s="9" t="n">
        <x:v>0</x:v>
      </x:c>
      <x:c r="N700" s="9" t="str">
        <x:v>UNFILED / UNPROVEN</x:v>
      </x:c>
      <x:c r="O700" s="9" t="n">
        <x:f>COUNTIFS($A$7:$A$1302,A700)</x:f>
        <x:v>1</x:v>
      </x:c>
    </x:row>
    <x:row r="701">
      <x:c r="A701" s="9" t="str">
        <x:v>EV-AR-RT-B-C-TECH-1-B1-RCN-G0-IV02</x:v>
      </x:c>
      <x:c r="B701" s="9" t="str">
        <x:v>EV-AR-RT-B-C-TECH-1-B1-RCN-G0</x:v>
      </x:c>
      <x:c r="C701" s="9" t="str">
        <x:v>AR-RT-B-C-TECH-1-B1-RCN-G0</x:v>
      </x:c>
      <x:c r="D701" s="9" t="str">
        <x:v>RT-B-C-TECH-1</x:v>
      </x:c>
      <x:c r="E701" s="9" t="str">
        <x:v>RT-B-C</x:v>
      </x:c>
      <x:c r="F701" s="9" t="str">
        <x:v>B1</x:v>
      </x:c>
      <x:c r="G701" s="9" t="str">
        <x:v>RCN</x:v>
      </x:c>
      <x:c r="H701" s="9" t="str">
        <x:v>IV02</x:v>
      </x:c>
      <x:c r="I701" s="17" t="str">
        <x:v>Named facility cause</x:v>
      </x:c>
      <x:c r="J701" s="17" t="str">
        <x:v>one pre-registered noncandidate cause is identified</x:v>
      </x:c>
      <x:c r="K701" s="17" t="str">
        <x:v>Facility-cause court</x:v>
      </x:c>
      <x:c r="L701" s="9" t="n">
        <x:v>0</x:v>
      </x:c>
      <x:c r="M701" s="9" t="n">
        <x:v>0</x:v>
      </x:c>
      <x:c r="N701" s="9" t="str">
        <x:v>UNFILED / UNPROVEN</x:v>
      </x:c>
      <x:c r="O701" s="9" t="n">
        <x:f>COUNTIFS($A$7:$A$1302,A701)</x:f>
        <x:v>1</x:v>
      </x:c>
    </x:row>
    <x:row r="702">
      <x:c r="A702" s="9" t="str">
        <x:v>EV-AR-RT-B-C-TECH-1-B1-RCN-G0-IV03</x:v>
      </x:c>
      <x:c r="B702" s="9" t="str">
        <x:v>EV-AR-RT-B-C-TECH-1-B1-RCN-G0</x:v>
      </x:c>
      <x:c r="C702" s="9" t="str">
        <x:v>AR-RT-B-C-TECH-1-B1-RCN-G0</x:v>
      </x:c>
      <x:c r="D702" s="9" t="str">
        <x:v>RT-B-C-TECH-1</x:v>
      </x:c>
      <x:c r="E702" s="9" t="str">
        <x:v>RT-B-C</x:v>
      </x:c>
      <x:c r="F702" s="9" t="str">
        <x:v>B1</x:v>
      </x:c>
      <x:c r="G702" s="9" t="str">
        <x:v>RCN</x:v>
      </x:c>
      <x:c r="H702" s="9" t="str">
        <x:v>IV03</x:v>
      </x:c>
      <x:c r="I702" s="17" t="str">
        <x:v>Temporal priority</x:v>
      </x:c>
      <x:c r="J702" s="17" t="str">
        <x:v>cause demonstrably precedes the disputed candidate behavior</x:v>
      </x:c>
      <x:c r="K702" s="17" t="str">
        <x:v>Time authority</x:v>
      </x:c>
      <x:c r="L702" s="9" t="n">
        <x:v>0</x:v>
      </x:c>
      <x:c r="M702" s="9" t="n">
        <x:v>0</x:v>
      </x:c>
      <x:c r="N702" s="9" t="str">
        <x:v>UNFILED / UNPROVEN</x:v>
      </x:c>
      <x:c r="O702" s="9" t="n">
        <x:f>COUNTIFS($A$7:$A$1302,A702)</x:f>
        <x:v>1</x:v>
      </x:c>
    </x:row>
    <x:row r="703">
      <x:c r="A703" s="9" t="str">
        <x:v>EV-AR-RT-B-C-TECH-1-B1-RCN-G0-IV04</x:v>
      </x:c>
      <x:c r="B703" s="9" t="str">
        <x:v>EV-AR-RT-B-C-TECH-1-B1-RCN-G0</x:v>
      </x:c>
      <x:c r="C703" s="9" t="str">
        <x:v>AR-RT-B-C-TECH-1-B1-RCN-G0</x:v>
      </x:c>
      <x:c r="D703" s="9" t="str">
        <x:v>RT-B-C-TECH-1</x:v>
      </x:c>
      <x:c r="E703" s="9" t="str">
        <x:v>RT-B-C</x:v>
      </x:c>
      <x:c r="F703" s="9" t="str">
        <x:v>B1</x:v>
      </x:c>
      <x:c r="G703" s="9" t="str">
        <x:v>RCN</x:v>
      </x:c>
      <x:c r="H703" s="9" t="str">
        <x:v>IV04</x:v>
      </x:c>
      <x:c r="I703" s="17" t="str">
        <x:v>Independent trace</x:v>
      </x:c>
      <x:c r="J703" s="17" t="str">
        <x:v>two unlike records carry the cause without candidate custody</x:v>
      </x:c>
      <x:c r="K703" s="17" t="str">
        <x:v>Invalidity court</x:v>
      </x:c>
      <x:c r="L703" s="9" t="n">
        <x:v>0</x:v>
      </x:c>
      <x:c r="M703" s="9" t="n">
        <x:v>0</x:v>
      </x:c>
      <x:c r="N703" s="9" t="str">
        <x:v>UNFILED / UNPROVEN</x:v>
      </x:c>
      <x:c r="O703" s="9" t="n">
        <x:f>COUNTIFS($A$7:$A$1302,A703)</x:f>
        <x:v>1</x:v>
      </x:c>
    </x:row>
    <x:row r="704">
      <x:c r="A704" s="9" t="str">
        <x:v>EV-AR-RT-B-C-TECH-1-B1-RCN-G0-IV05</x:v>
      </x:c>
      <x:c r="B704" s="9" t="str">
        <x:v>EV-AR-RT-B-C-TECH-1-B1-RCN-G0</x:v>
      </x:c>
      <x:c r="C704" s="9" t="str">
        <x:v>AR-RT-B-C-TECH-1-B1-RCN-G0</x:v>
      </x:c>
      <x:c r="D704" s="9" t="str">
        <x:v>RT-B-C-TECH-1</x:v>
      </x:c>
      <x:c r="E704" s="9" t="str">
        <x:v>RT-B-C</x:v>
      </x:c>
      <x:c r="F704" s="9" t="str">
        <x:v>B1</x:v>
      </x:c>
      <x:c r="G704" s="9" t="str">
        <x:v>RCN</x:v>
      </x:c>
      <x:c r="H704" s="9" t="str">
        <x:v>IV05</x:v>
      </x:c>
      <x:c r="I704" s="17" t="str">
        <x:v>Causal counterfactual</x:v>
      </x:c>
      <x:c r="J704" s="17" t="str">
        <x:v>registered counterfactual shows the cause can create the defect</x:v>
      </x:c>
      <x:c r="K704" s="17" t="str">
        <x:v>Causal court</x:v>
      </x:c>
      <x:c r="L704" s="9" t="n">
        <x:v>0</x:v>
      </x:c>
      <x:c r="M704" s="9" t="n">
        <x:v>0</x:v>
      </x:c>
      <x:c r="N704" s="9" t="str">
        <x:v>UNFILED / UNPROVEN</x:v>
      </x:c>
      <x:c r="O704" s="9" t="n">
        <x:f>COUNTIFS($A$7:$A$1302,A704)</x:f>
        <x:v>1</x:v>
      </x:c>
    </x:row>
    <x:row r="705">
      <x:c r="A705" s="9" t="str">
        <x:v>EV-AR-RT-B-C-TECH-1-B1-RCN-G0-IV06</x:v>
      </x:c>
      <x:c r="B705" s="9" t="str">
        <x:v>EV-AR-RT-B-C-TECH-1-B1-RCN-G0</x:v>
      </x:c>
      <x:c r="C705" s="9" t="str">
        <x:v>AR-RT-B-C-TECH-1-B1-RCN-G0</x:v>
      </x:c>
      <x:c r="D705" s="9" t="str">
        <x:v>RT-B-C-TECH-1</x:v>
      </x:c>
      <x:c r="E705" s="9" t="str">
        <x:v>RT-B-C</x:v>
      </x:c>
      <x:c r="F705" s="9" t="str">
        <x:v>B1</x:v>
      </x:c>
      <x:c r="G705" s="9" t="str">
        <x:v>RCN</x:v>
      </x:c>
      <x:c r="H705" s="9" t="str">
        <x:v>IV06</x:v>
      </x:c>
      <x:c r="I705" s="17" t="str">
        <x:v>Candidate non-causation</x:v>
      </x:c>
      <x:c r="J705" s="17" t="str">
        <x:v>evidence excludes candidate induction of the facility condition</x:v>
      </x:c>
      <x:c r="K705" s="17" t="str">
        <x:v>Causal court</x:v>
      </x:c>
      <x:c r="L705" s="9" t="n">
        <x:v>0</x:v>
      </x:c>
      <x:c r="M705" s="9" t="n">
        <x:v>0</x:v>
      </x:c>
      <x:c r="N705" s="9" t="str">
        <x:v>UNFILED / UNPROVEN</x:v>
      </x:c>
      <x:c r="O705" s="9" t="n">
        <x:f>COUNTIFS($A$7:$A$1302,A705)</x:f>
        <x:v>1</x:v>
      </x:c>
    </x:row>
    <x:row r="706">
      <x:c r="A706" s="9" t="str">
        <x:v>EV-AR-RT-B-C-TECH-1-B1-RCN-G0-IV07</x:v>
      </x:c>
      <x:c r="B706" s="9" t="str">
        <x:v>EV-AR-RT-B-C-TECH-1-B1-RCN-G0</x:v>
      </x:c>
      <x:c r="C706" s="9" t="str">
        <x:v>AR-RT-B-C-TECH-1-B1-RCN-G0</x:v>
      </x:c>
      <x:c r="D706" s="9" t="str">
        <x:v>RT-B-C-TECH-1</x:v>
      </x:c>
      <x:c r="E706" s="9" t="str">
        <x:v>RT-B-C</x:v>
      </x:c>
      <x:c r="F706" s="9" t="str">
        <x:v>B1</x:v>
      </x:c>
      <x:c r="G706" s="9" t="str">
        <x:v>RCN</x:v>
      </x:c>
      <x:c r="H706" s="9" t="str">
        <x:v>IV07</x:v>
      </x:c>
      <x:c r="I706" s="17" t="str">
        <x:v>No outcome selection</x:v>
      </x:c>
      <x:c r="J706" s="17" t="str">
        <x:v>petition rule and evidence scope were fixed before visibility</x:v>
      </x:c>
      <x:c r="K706" s="17" t="str">
        <x:v>Conflict registrar</x:v>
      </x:c>
      <x:c r="L706" s="9" t="n">
        <x:v>0</x:v>
      </x:c>
      <x:c r="M706" s="9" t="n">
        <x:v>0</x:v>
      </x:c>
      <x:c r="N706" s="9" t="str">
        <x:v>UNFILED / UNPROVEN</x:v>
      </x:c>
      <x:c r="O706" s="9" t="n">
        <x:f>COUNTIFS($A$7:$A$1302,A706)</x:f>
        <x:v>1</x:v>
      </x:c>
    </x:row>
    <x:row r="707">
      <x:c r="A707" s="9" t="str">
        <x:v>EV-AR-RT-B-C-TECH-1-B1-RCN-G0-IV08</x:v>
      </x:c>
      <x:c r="B707" s="9" t="str">
        <x:v>EV-AR-RT-B-C-TECH-1-B1-RCN-G0</x:v>
      </x:c>
      <x:c r="C707" s="9" t="str">
        <x:v>AR-RT-B-C-TECH-1-B1-RCN-G0</x:v>
      </x:c>
      <x:c r="D707" s="9" t="str">
        <x:v>RT-B-C-TECH-1</x:v>
      </x:c>
      <x:c r="E707" s="9" t="str">
        <x:v>RT-B-C</x:v>
      </x:c>
      <x:c r="F707" s="9" t="str">
        <x:v>B1</x:v>
      </x:c>
      <x:c r="G707" s="9" t="str">
        <x:v>RCN</x:v>
      </x:c>
      <x:c r="H707" s="9" t="str">
        <x:v>IV08</x:v>
      </x:c>
      <x:c r="I707" s="17" t="str">
        <x:v>Whole-record preservation</x:v>
      </x:c>
      <x:c r="J707" s="17" t="str">
        <x:v>start, raw behavior, dissent and intervention remain in archive</x:v>
      </x:c>
      <x:c r="K707" s="17" t="str">
        <x:v>Archive authority</x:v>
      </x:c>
      <x:c r="L707" s="9" t="n">
        <x:v>0</x:v>
      </x:c>
      <x:c r="M707" s="9" t="n">
        <x:v>0</x:v>
      </x:c>
      <x:c r="N707" s="9" t="str">
        <x:v>UNFILED / UNPROVEN</x:v>
      </x:c>
      <x:c r="O707" s="9" t="n">
        <x:f>COUNTIFS($A$7:$A$1302,A707)</x:f>
        <x:v>1</x:v>
      </x:c>
    </x:row>
    <x:row r="708">
      <x:c r="A708" s="9" t="str">
        <x:v>EV-AR-RT-B-C-TECH-1-B1-RCN-G0-IV09</x:v>
      </x:c>
      <x:c r="B708" s="9" t="str">
        <x:v>EV-AR-RT-B-C-TECH-1-B1-RCN-G0</x:v>
      </x:c>
      <x:c r="C708" s="9" t="str">
        <x:v>AR-RT-B-C-TECH-1-B1-RCN-G0</x:v>
      </x:c>
      <x:c r="D708" s="9" t="str">
        <x:v>RT-B-C-TECH-1</x:v>
      </x:c>
      <x:c r="E708" s="9" t="str">
        <x:v>RT-B-C</x:v>
      </x:c>
      <x:c r="F708" s="9" t="str">
        <x:v>B1</x:v>
      </x:c>
      <x:c r="G708" s="9" t="str">
        <x:v>RCN</x:v>
      </x:c>
      <x:c r="H708" s="9" t="str">
        <x:v>IV09</x:v>
      </x:c>
      <x:c r="I708" s="17" t="str">
        <x:v>Bounded remedy</x:v>
      </x:c>
      <x:c r="J708" s="17" t="str">
        <x:v>only a new slot and EOW may follow; no favorable credit or erased attempt</x:v>
      </x:c>
      <x:c r="K708" s="17" t="str">
        <x:v>Invalidity court</x:v>
      </x:c>
      <x:c r="L708" s="9" t="n">
        <x:v>0</x:v>
      </x:c>
      <x:c r="M708" s="9" t="n">
        <x:v>0</x:v>
      </x:c>
      <x:c r="N708" s="9" t="str">
        <x:v>UNFILED / UNPROVEN</x:v>
      </x:c>
      <x:c r="O708" s="9" t="n">
        <x:f>COUNTIFS($A$7:$A$1302,A708)</x:f>
        <x:v>1</x:v>
      </x:c>
    </x:row>
    <x:row r="709">
      <x:c r="A709" s="9" t="str">
        <x:v>EV-AR-ET-A-A-TECH-1-B2-BRK-G0-IV01</x:v>
      </x:c>
      <x:c r="B709" s="9" t="str">
        <x:v>EV-AR-ET-A-A-TECH-1-B2-BRK-G0</x:v>
      </x:c>
      <x:c r="C709" s="9" t="str">
        <x:v>AR-ET-A-A-TECH-1-B2-BRK-G0</x:v>
      </x:c>
      <x:c r="D709" s="9" t="str">
        <x:v>ET-A-A-TECH-1</x:v>
      </x:c>
      <x:c r="E709" s="9" t="str">
        <x:v>ET-A-A</x:v>
      </x:c>
      <x:c r="F709" s="9" t="str">
        <x:v>B2</x:v>
      </x:c>
      <x:c r="G709" s="9" t="str">
        <x:v>BRK</x:v>
      </x:c>
      <x:c r="H709" s="9" t="str">
        <x:v>IV01</x:v>
      </x:c>
      <x:c r="I709" s="17" t="str">
        <x:v>Timely petition</x:v>
      </x:c>
      <x:c r="J709" s="17" t="str">
        <x:v>petition enters within seventy-two hours of event close</x:v>
      </x:c>
      <x:c r="K709" s="17" t="str">
        <x:v>Invalidity registrar</x:v>
      </x:c>
      <x:c r="L709" s="9" t="n">
        <x:v>0</x:v>
      </x:c>
      <x:c r="M709" s="9" t="n">
        <x:v>0</x:v>
      </x:c>
      <x:c r="N709" s="9" t="str">
        <x:v>UNFILED / UNPROVEN</x:v>
      </x:c>
      <x:c r="O709" s="9" t="n">
        <x:f>COUNTIFS($A$7:$A$1302,A709)</x:f>
        <x:v>1</x:v>
      </x:c>
    </x:row>
    <x:row r="710">
      <x:c r="A710" s="9" t="str">
        <x:v>EV-AR-ET-A-A-TECH-1-B2-BRK-G0-IV02</x:v>
      </x:c>
      <x:c r="B710" s="9" t="str">
        <x:v>EV-AR-ET-A-A-TECH-1-B2-BRK-G0</x:v>
      </x:c>
      <x:c r="C710" s="9" t="str">
        <x:v>AR-ET-A-A-TECH-1-B2-BRK-G0</x:v>
      </x:c>
      <x:c r="D710" s="9" t="str">
        <x:v>ET-A-A-TECH-1</x:v>
      </x:c>
      <x:c r="E710" s="9" t="str">
        <x:v>ET-A-A</x:v>
      </x:c>
      <x:c r="F710" s="9" t="str">
        <x:v>B2</x:v>
      </x:c>
      <x:c r="G710" s="9" t="str">
        <x:v>BRK</x:v>
      </x:c>
      <x:c r="H710" s="9" t="str">
        <x:v>IV02</x:v>
      </x:c>
      <x:c r="I710" s="17" t="str">
        <x:v>Named facility cause</x:v>
      </x:c>
      <x:c r="J710" s="17" t="str">
        <x:v>one pre-registered noncandidate cause is identified</x:v>
      </x:c>
      <x:c r="K710" s="17" t="str">
        <x:v>Facility-cause court</x:v>
      </x:c>
      <x:c r="L710" s="9" t="n">
        <x:v>0</x:v>
      </x:c>
      <x:c r="M710" s="9" t="n">
        <x:v>0</x:v>
      </x:c>
      <x:c r="N710" s="9" t="str">
        <x:v>UNFILED / UNPROVEN</x:v>
      </x:c>
      <x:c r="O710" s="9" t="n">
        <x:f>COUNTIFS($A$7:$A$1302,A710)</x:f>
        <x:v>1</x:v>
      </x:c>
    </x:row>
    <x:row r="711">
      <x:c r="A711" s="9" t="str">
        <x:v>EV-AR-ET-A-A-TECH-1-B2-BRK-G0-IV03</x:v>
      </x:c>
      <x:c r="B711" s="9" t="str">
        <x:v>EV-AR-ET-A-A-TECH-1-B2-BRK-G0</x:v>
      </x:c>
      <x:c r="C711" s="9" t="str">
        <x:v>AR-ET-A-A-TECH-1-B2-BRK-G0</x:v>
      </x:c>
      <x:c r="D711" s="9" t="str">
        <x:v>ET-A-A-TECH-1</x:v>
      </x:c>
      <x:c r="E711" s="9" t="str">
        <x:v>ET-A-A</x:v>
      </x:c>
      <x:c r="F711" s="9" t="str">
        <x:v>B2</x:v>
      </x:c>
      <x:c r="G711" s="9" t="str">
        <x:v>BRK</x:v>
      </x:c>
      <x:c r="H711" s="9" t="str">
        <x:v>IV03</x:v>
      </x:c>
      <x:c r="I711" s="17" t="str">
        <x:v>Temporal priority</x:v>
      </x:c>
      <x:c r="J711" s="17" t="str">
        <x:v>cause demonstrably precedes the disputed candidate behavior</x:v>
      </x:c>
      <x:c r="K711" s="17" t="str">
        <x:v>Time authority</x:v>
      </x:c>
      <x:c r="L711" s="9" t="n">
        <x:v>0</x:v>
      </x:c>
      <x:c r="M711" s="9" t="n">
        <x:v>0</x:v>
      </x:c>
      <x:c r="N711" s="9" t="str">
        <x:v>UNFILED / UNPROVEN</x:v>
      </x:c>
      <x:c r="O711" s="9" t="n">
        <x:f>COUNTIFS($A$7:$A$1302,A711)</x:f>
        <x:v>1</x:v>
      </x:c>
    </x:row>
    <x:row r="712">
      <x:c r="A712" s="9" t="str">
        <x:v>EV-AR-ET-A-A-TECH-1-B2-BRK-G0-IV04</x:v>
      </x:c>
      <x:c r="B712" s="9" t="str">
        <x:v>EV-AR-ET-A-A-TECH-1-B2-BRK-G0</x:v>
      </x:c>
      <x:c r="C712" s="9" t="str">
        <x:v>AR-ET-A-A-TECH-1-B2-BRK-G0</x:v>
      </x:c>
      <x:c r="D712" s="9" t="str">
        <x:v>ET-A-A-TECH-1</x:v>
      </x:c>
      <x:c r="E712" s="9" t="str">
        <x:v>ET-A-A</x:v>
      </x:c>
      <x:c r="F712" s="9" t="str">
        <x:v>B2</x:v>
      </x:c>
      <x:c r="G712" s="9" t="str">
        <x:v>BRK</x:v>
      </x:c>
      <x:c r="H712" s="9" t="str">
        <x:v>IV04</x:v>
      </x:c>
      <x:c r="I712" s="17" t="str">
        <x:v>Independent trace</x:v>
      </x:c>
      <x:c r="J712" s="17" t="str">
        <x:v>two unlike records carry the cause without candidate custody</x:v>
      </x:c>
      <x:c r="K712" s="17" t="str">
        <x:v>Invalidity court</x:v>
      </x:c>
      <x:c r="L712" s="9" t="n">
        <x:v>0</x:v>
      </x:c>
      <x:c r="M712" s="9" t="n">
        <x:v>0</x:v>
      </x:c>
      <x:c r="N712" s="9" t="str">
        <x:v>UNFILED / UNPROVEN</x:v>
      </x:c>
      <x:c r="O712" s="9" t="n">
        <x:f>COUNTIFS($A$7:$A$1302,A712)</x:f>
        <x:v>1</x:v>
      </x:c>
    </x:row>
    <x:row r="713">
      <x:c r="A713" s="9" t="str">
        <x:v>EV-AR-ET-A-A-TECH-1-B2-BRK-G0-IV05</x:v>
      </x:c>
      <x:c r="B713" s="9" t="str">
        <x:v>EV-AR-ET-A-A-TECH-1-B2-BRK-G0</x:v>
      </x:c>
      <x:c r="C713" s="9" t="str">
        <x:v>AR-ET-A-A-TECH-1-B2-BRK-G0</x:v>
      </x:c>
      <x:c r="D713" s="9" t="str">
        <x:v>ET-A-A-TECH-1</x:v>
      </x:c>
      <x:c r="E713" s="9" t="str">
        <x:v>ET-A-A</x:v>
      </x:c>
      <x:c r="F713" s="9" t="str">
        <x:v>B2</x:v>
      </x:c>
      <x:c r="G713" s="9" t="str">
        <x:v>BRK</x:v>
      </x:c>
      <x:c r="H713" s="9" t="str">
        <x:v>IV05</x:v>
      </x:c>
      <x:c r="I713" s="17" t="str">
        <x:v>Causal counterfactual</x:v>
      </x:c>
      <x:c r="J713" s="17" t="str">
        <x:v>registered counterfactual shows the cause can create the defect</x:v>
      </x:c>
      <x:c r="K713" s="17" t="str">
        <x:v>Causal court</x:v>
      </x:c>
      <x:c r="L713" s="9" t="n">
        <x:v>0</x:v>
      </x:c>
      <x:c r="M713" s="9" t="n">
        <x:v>0</x:v>
      </x:c>
      <x:c r="N713" s="9" t="str">
        <x:v>UNFILED / UNPROVEN</x:v>
      </x:c>
      <x:c r="O713" s="9" t="n">
        <x:f>COUNTIFS($A$7:$A$1302,A713)</x:f>
        <x:v>1</x:v>
      </x:c>
    </x:row>
    <x:row r="714">
      <x:c r="A714" s="9" t="str">
        <x:v>EV-AR-ET-A-A-TECH-1-B2-BRK-G0-IV06</x:v>
      </x:c>
      <x:c r="B714" s="9" t="str">
        <x:v>EV-AR-ET-A-A-TECH-1-B2-BRK-G0</x:v>
      </x:c>
      <x:c r="C714" s="9" t="str">
        <x:v>AR-ET-A-A-TECH-1-B2-BRK-G0</x:v>
      </x:c>
      <x:c r="D714" s="9" t="str">
        <x:v>ET-A-A-TECH-1</x:v>
      </x:c>
      <x:c r="E714" s="9" t="str">
        <x:v>ET-A-A</x:v>
      </x:c>
      <x:c r="F714" s="9" t="str">
        <x:v>B2</x:v>
      </x:c>
      <x:c r="G714" s="9" t="str">
        <x:v>BRK</x:v>
      </x:c>
      <x:c r="H714" s="9" t="str">
        <x:v>IV06</x:v>
      </x:c>
      <x:c r="I714" s="17" t="str">
        <x:v>Candidate non-causation</x:v>
      </x:c>
      <x:c r="J714" s="17" t="str">
        <x:v>evidence excludes candidate induction of the facility condition</x:v>
      </x:c>
      <x:c r="K714" s="17" t="str">
        <x:v>Causal court</x:v>
      </x:c>
      <x:c r="L714" s="9" t="n">
        <x:v>0</x:v>
      </x:c>
      <x:c r="M714" s="9" t="n">
        <x:v>0</x:v>
      </x:c>
      <x:c r="N714" s="9" t="str">
        <x:v>UNFILED / UNPROVEN</x:v>
      </x:c>
      <x:c r="O714" s="9" t="n">
        <x:f>COUNTIFS($A$7:$A$1302,A714)</x:f>
        <x:v>1</x:v>
      </x:c>
    </x:row>
    <x:row r="715">
      <x:c r="A715" s="9" t="str">
        <x:v>EV-AR-ET-A-A-TECH-1-B2-BRK-G0-IV07</x:v>
      </x:c>
      <x:c r="B715" s="9" t="str">
        <x:v>EV-AR-ET-A-A-TECH-1-B2-BRK-G0</x:v>
      </x:c>
      <x:c r="C715" s="9" t="str">
        <x:v>AR-ET-A-A-TECH-1-B2-BRK-G0</x:v>
      </x:c>
      <x:c r="D715" s="9" t="str">
        <x:v>ET-A-A-TECH-1</x:v>
      </x:c>
      <x:c r="E715" s="9" t="str">
        <x:v>ET-A-A</x:v>
      </x:c>
      <x:c r="F715" s="9" t="str">
        <x:v>B2</x:v>
      </x:c>
      <x:c r="G715" s="9" t="str">
        <x:v>BRK</x:v>
      </x:c>
      <x:c r="H715" s="9" t="str">
        <x:v>IV07</x:v>
      </x:c>
      <x:c r="I715" s="17" t="str">
        <x:v>No outcome selection</x:v>
      </x:c>
      <x:c r="J715" s="17" t="str">
        <x:v>petition rule and evidence scope were fixed before visibility</x:v>
      </x:c>
      <x:c r="K715" s="17" t="str">
        <x:v>Conflict registrar</x:v>
      </x:c>
      <x:c r="L715" s="9" t="n">
        <x:v>0</x:v>
      </x:c>
      <x:c r="M715" s="9" t="n">
        <x:v>0</x:v>
      </x:c>
      <x:c r="N715" s="9" t="str">
        <x:v>UNFILED / UNPROVEN</x:v>
      </x:c>
      <x:c r="O715" s="9" t="n">
        <x:f>COUNTIFS($A$7:$A$1302,A715)</x:f>
        <x:v>1</x:v>
      </x:c>
    </x:row>
    <x:row r="716">
      <x:c r="A716" s="9" t="str">
        <x:v>EV-AR-ET-A-A-TECH-1-B2-BRK-G0-IV08</x:v>
      </x:c>
      <x:c r="B716" s="9" t="str">
        <x:v>EV-AR-ET-A-A-TECH-1-B2-BRK-G0</x:v>
      </x:c>
      <x:c r="C716" s="9" t="str">
        <x:v>AR-ET-A-A-TECH-1-B2-BRK-G0</x:v>
      </x:c>
      <x:c r="D716" s="9" t="str">
        <x:v>ET-A-A-TECH-1</x:v>
      </x:c>
      <x:c r="E716" s="9" t="str">
        <x:v>ET-A-A</x:v>
      </x:c>
      <x:c r="F716" s="9" t="str">
        <x:v>B2</x:v>
      </x:c>
      <x:c r="G716" s="9" t="str">
        <x:v>BRK</x:v>
      </x:c>
      <x:c r="H716" s="9" t="str">
        <x:v>IV08</x:v>
      </x:c>
      <x:c r="I716" s="17" t="str">
        <x:v>Whole-record preservation</x:v>
      </x:c>
      <x:c r="J716" s="17" t="str">
        <x:v>start, raw behavior, dissent and intervention remain in archive</x:v>
      </x:c>
      <x:c r="K716" s="17" t="str">
        <x:v>Archive authority</x:v>
      </x:c>
      <x:c r="L716" s="9" t="n">
        <x:v>0</x:v>
      </x:c>
      <x:c r="M716" s="9" t="n">
        <x:v>0</x:v>
      </x:c>
      <x:c r="N716" s="9" t="str">
        <x:v>UNFILED / UNPROVEN</x:v>
      </x:c>
      <x:c r="O716" s="9" t="n">
        <x:f>COUNTIFS($A$7:$A$1302,A716)</x:f>
        <x:v>1</x:v>
      </x:c>
    </x:row>
    <x:row r="717">
      <x:c r="A717" s="9" t="str">
        <x:v>EV-AR-ET-A-A-TECH-1-B2-BRK-G0-IV09</x:v>
      </x:c>
      <x:c r="B717" s="9" t="str">
        <x:v>EV-AR-ET-A-A-TECH-1-B2-BRK-G0</x:v>
      </x:c>
      <x:c r="C717" s="9" t="str">
        <x:v>AR-ET-A-A-TECH-1-B2-BRK-G0</x:v>
      </x:c>
      <x:c r="D717" s="9" t="str">
        <x:v>ET-A-A-TECH-1</x:v>
      </x:c>
      <x:c r="E717" s="9" t="str">
        <x:v>ET-A-A</x:v>
      </x:c>
      <x:c r="F717" s="9" t="str">
        <x:v>B2</x:v>
      </x:c>
      <x:c r="G717" s="9" t="str">
        <x:v>BRK</x:v>
      </x:c>
      <x:c r="H717" s="9" t="str">
        <x:v>IV09</x:v>
      </x:c>
      <x:c r="I717" s="17" t="str">
        <x:v>Bounded remedy</x:v>
      </x:c>
      <x:c r="J717" s="17" t="str">
        <x:v>only a new slot and EOW may follow; no favorable credit or erased attempt</x:v>
      </x:c>
      <x:c r="K717" s="17" t="str">
        <x:v>Invalidity court</x:v>
      </x:c>
      <x:c r="L717" s="9" t="n">
        <x:v>0</x:v>
      </x:c>
      <x:c r="M717" s="9" t="n">
        <x:v>0</x:v>
      </x:c>
      <x:c r="N717" s="9" t="str">
        <x:v>UNFILED / UNPROVEN</x:v>
      </x:c>
      <x:c r="O717" s="9" t="n">
        <x:f>COUNTIFS($A$7:$A$1302,A717)</x:f>
        <x:v>1</x:v>
      </x:c>
    </x:row>
    <x:row r="718">
      <x:c r="A718" s="9" t="str">
        <x:v>EV-AR-HC-A-C-TECH-3-B2-RCN-G0-IV01</x:v>
      </x:c>
      <x:c r="B718" s="9" t="str">
        <x:v>EV-AR-HC-A-C-TECH-3-B2-RCN-G0</x:v>
      </x:c>
      <x:c r="C718" s="9" t="str">
        <x:v>AR-HC-A-C-TECH-3-B2-RCN-G0</x:v>
      </x:c>
      <x:c r="D718" s="9" t="str">
        <x:v>HC-A-C-TECH-3</x:v>
      </x:c>
      <x:c r="E718" s="9" t="str">
        <x:v>HC-A-C</x:v>
      </x:c>
      <x:c r="F718" s="9" t="str">
        <x:v>B2</x:v>
      </x:c>
      <x:c r="G718" s="9" t="str">
        <x:v>RCN</x:v>
      </x:c>
      <x:c r="H718" s="9" t="str">
        <x:v>IV01</x:v>
      </x:c>
      <x:c r="I718" s="17" t="str">
        <x:v>Timely petition</x:v>
      </x:c>
      <x:c r="J718" s="17" t="str">
        <x:v>petition enters within seventy-two hours of event close</x:v>
      </x:c>
      <x:c r="K718" s="17" t="str">
        <x:v>Invalidity registrar</x:v>
      </x:c>
      <x:c r="L718" s="9" t="n">
        <x:v>0</x:v>
      </x:c>
      <x:c r="M718" s="9" t="n">
        <x:v>0</x:v>
      </x:c>
      <x:c r="N718" s="9" t="str">
        <x:v>UNFILED / UNPROVEN</x:v>
      </x:c>
      <x:c r="O718" s="9" t="n">
        <x:f>COUNTIFS($A$7:$A$1302,A718)</x:f>
        <x:v>1</x:v>
      </x:c>
    </x:row>
    <x:row r="719">
      <x:c r="A719" s="9" t="str">
        <x:v>EV-AR-HC-A-C-TECH-3-B2-RCN-G0-IV02</x:v>
      </x:c>
      <x:c r="B719" s="9" t="str">
        <x:v>EV-AR-HC-A-C-TECH-3-B2-RCN-G0</x:v>
      </x:c>
      <x:c r="C719" s="9" t="str">
        <x:v>AR-HC-A-C-TECH-3-B2-RCN-G0</x:v>
      </x:c>
      <x:c r="D719" s="9" t="str">
        <x:v>HC-A-C-TECH-3</x:v>
      </x:c>
      <x:c r="E719" s="9" t="str">
        <x:v>HC-A-C</x:v>
      </x:c>
      <x:c r="F719" s="9" t="str">
        <x:v>B2</x:v>
      </x:c>
      <x:c r="G719" s="9" t="str">
        <x:v>RCN</x:v>
      </x:c>
      <x:c r="H719" s="9" t="str">
        <x:v>IV02</x:v>
      </x:c>
      <x:c r="I719" s="17" t="str">
        <x:v>Named facility cause</x:v>
      </x:c>
      <x:c r="J719" s="17" t="str">
        <x:v>one pre-registered noncandidate cause is identified</x:v>
      </x:c>
      <x:c r="K719" s="17" t="str">
        <x:v>Facility-cause court</x:v>
      </x:c>
      <x:c r="L719" s="9" t="n">
        <x:v>0</x:v>
      </x:c>
      <x:c r="M719" s="9" t="n">
        <x:v>0</x:v>
      </x:c>
      <x:c r="N719" s="9" t="str">
        <x:v>UNFILED / UNPROVEN</x:v>
      </x:c>
      <x:c r="O719" s="9" t="n">
        <x:f>COUNTIFS($A$7:$A$1302,A719)</x:f>
        <x:v>1</x:v>
      </x:c>
    </x:row>
    <x:row r="720">
      <x:c r="A720" s="9" t="str">
        <x:v>EV-AR-HC-A-C-TECH-3-B2-RCN-G0-IV03</x:v>
      </x:c>
      <x:c r="B720" s="9" t="str">
        <x:v>EV-AR-HC-A-C-TECH-3-B2-RCN-G0</x:v>
      </x:c>
      <x:c r="C720" s="9" t="str">
        <x:v>AR-HC-A-C-TECH-3-B2-RCN-G0</x:v>
      </x:c>
      <x:c r="D720" s="9" t="str">
        <x:v>HC-A-C-TECH-3</x:v>
      </x:c>
      <x:c r="E720" s="9" t="str">
        <x:v>HC-A-C</x:v>
      </x:c>
      <x:c r="F720" s="9" t="str">
        <x:v>B2</x:v>
      </x:c>
      <x:c r="G720" s="9" t="str">
        <x:v>RCN</x:v>
      </x:c>
      <x:c r="H720" s="9" t="str">
        <x:v>IV03</x:v>
      </x:c>
      <x:c r="I720" s="17" t="str">
        <x:v>Temporal priority</x:v>
      </x:c>
      <x:c r="J720" s="17" t="str">
        <x:v>cause demonstrably precedes the disputed candidate behavior</x:v>
      </x:c>
      <x:c r="K720" s="17" t="str">
        <x:v>Time authority</x:v>
      </x:c>
      <x:c r="L720" s="9" t="n">
        <x:v>0</x:v>
      </x:c>
      <x:c r="M720" s="9" t="n">
        <x:v>0</x:v>
      </x:c>
      <x:c r="N720" s="9" t="str">
        <x:v>UNFILED / UNPROVEN</x:v>
      </x:c>
      <x:c r="O720" s="9" t="n">
        <x:f>COUNTIFS($A$7:$A$1302,A720)</x:f>
        <x:v>1</x:v>
      </x:c>
    </x:row>
    <x:row r="721">
      <x:c r="A721" s="9" t="str">
        <x:v>EV-AR-HC-A-C-TECH-3-B2-RCN-G0-IV04</x:v>
      </x:c>
      <x:c r="B721" s="9" t="str">
        <x:v>EV-AR-HC-A-C-TECH-3-B2-RCN-G0</x:v>
      </x:c>
      <x:c r="C721" s="9" t="str">
        <x:v>AR-HC-A-C-TECH-3-B2-RCN-G0</x:v>
      </x:c>
      <x:c r="D721" s="9" t="str">
        <x:v>HC-A-C-TECH-3</x:v>
      </x:c>
      <x:c r="E721" s="9" t="str">
        <x:v>HC-A-C</x:v>
      </x:c>
      <x:c r="F721" s="9" t="str">
        <x:v>B2</x:v>
      </x:c>
      <x:c r="G721" s="9" t="str">
        <x:v>RCN</x:v>
      </x:c>
      <x:c r="H721" s="9" t="str">
        <x:v>IV04</x:v>
      </x:c>
      <x:c r="I721" s="17" t="str">
        <x:v>Independent trace</x:v>
      </x:c>
      <x:c r="J721" s="17" t="str">
        <x:v>two unlike records carry the cause without candidate custody</x:v>
      </x:c>
      <x:c r="K721" s="17" t="str">
        <x:v>Invalidity court</x:v>
      </x:c>
      <x:c r="L721" s="9" t="n">
        <x:v>0</x:v>
      </x:c>
      <x:c r="M721" s="9" t="n">
        <x:v>0</x:v>
      </x:c>
      <x:c r="N721" s="9" t="str">
        <x:v>UNFILED / UNPROVEN</x:v>
      </x:c>
      <x:c r="O721" s="9" t="n">
        <x:f>COUNTIFS($A$7:$A$1302,A721)</x:f>
        <x:v>1</x:v>
      </x:c>
    </x:row>
    <x:row r="722">
      <x:c r="A722" s="9" t="str">
        <x:v>EV-AR-HC-A-C-TECH-3-B2-RCN-G0-IV05</x:v>
      </x:c>
      <x:c r="B722" s="9" t="str">
        <x:v>EV-AR-HC-A-C-TECH-3-B2-RCN-G0</x:v>
      </x:c>
      <x:c r="C722" s="9" t="str">
        <x:v>AR-HC-A-C-TECH-3-B2-RCN-G0</x:v>
      </x:c>
      <x:c r="D722" s="9" t="str">
        <x:v>HC-A-C-TECH-3</x:v>
      </x:c>
      <x:c r="E722" s="9" t="str">
        <x:v>HC-A-C</x:v>
      </x:c>
      <x:c r="F722" s="9" t="str">
        <x:v>B2</x:v>
      </x:c>
      <x:c r="G722" s="9" t="str">
        <x:v>RCN</x:v>
      </x:c>
      <x:c r="H722" s="9" t="str">
        <x:v>IV05</x:v>
      </x:c>
      <x:c r="I722" s="17" t="str">
        <x:v>Causal counterfactual</x:v>
      </x:c>
      <x:c r="J722" s="17" t="str">
        <x:v>registered counterfactual shows the cause can create the defect</x:v>
      </x:c>
      <x:c r="K722" s="17" t="str">
        <x:v>Causal court</x:v>
      </x:c>
      <x:c r="L722" s="9" t="n">
        <x:v>0</x:v>
      </x:c>
      <x:c r="M722" s="9" t="n">
        <x:v>0</x:v>
      </x:c>
      <x:c r="N722" s="9" t="str">
        <x:v>UNFILED / UNPROVEN</x:v>
      </x:c>
      <x:c r="O722" s="9" t="n">
        <x:f>COUNTIFS($A$7:$A$1302,A722)</x:f>
        <x:v>1</x:v>
      </x:c>
    </x:row>
    <x:row r="723">
      <x:c r="A723" s="9" t="str">
        <x:v>EV-AR-HC-A-C-TECH-3-B2-RCN-G0-IV06</x:v>
      </x:c>
      <x:c r="B723" s="9" t="str">
        <x:v>EV-AR-HC-A-C-TECH-3-B2-RCN-G0</x:v>
      </x:c>
      <x:c r="C723" s="9" t="str">
        <x:v>AR-HC-A-C-TECH-3-B2-RCN-G0</x:v>
      </x:c>
      <x:c r="D723" s="9" t="str">
        <x:v>HC-A-C-TECH-3</x:v>
      </x:c>
      <x:c r="E723" s="9" t="str">
        <x:v>HC-A-C</x:v>
      </x:c>
      <x:c r="F723" s="9" t="str">
        <x:v>B2</x:v>
      </x:c>
      <x:c r="G723" s="9" t="str">
        <x:v>RCN</x:v>
      </x:c>
      <x:c r="H723" s="9" t="str">
        <x:v>IV06</x:v>
      </x:c>
      <x:c r="I723" s="17" t="str">
        <x:v>Candidate non-causation</x:v>
      </x:c>
      <x:c r="J723" s="17" t="str">
        <x:v>evidence excludes candidate induction of the facility condition</x:v>
      </x:c>
      <x:c r="K723" s="17" t="str">
        <x:v>Causal court</x:v>
      </x:c>
      <x:c r="L723" s="9" t="n">
        <x:v>0</x:v>
      </x:c>
      <x:c r="M723" s="9" t="n">
        <x:v>0</x:v>
      </x:c>
      <x:c r="N723" s="9" t="str">
        <x:v>UNFILED / UNPROVEN</x:v>
      </x:c>
      <x:c r="O723" s="9" t="n">
        <x:f>COUNTIFS($A$7:$A$1302,A723)</x:f>
        <x:v>1</x:v>
      </x:c>
    </x:row>
    <x:row r="724">
      <x:c r="A724" s="9" t="str">
        <x:v>EV-AR-HC-A-C-TECH-3-B2-RCN-G0-IV07</x:v>
      </x:c>
      <x:c r="B724" s="9" t="str">
        <x:v>EV-AR-HC-A-C-TECH-3-B2-RCN-G0</x:v>
      </x:c>
      <x:c r="C724" s="9" t="str">
        <x:v>AR-HC-A-C-TECH-3-B2-RCN-G0</x:v>
      </x:c>
      <x:c r="D724" s="9" t="str">
        <x:v>HC-A-C-TECH-3</x:v>
      </x:c>
      <x:c r="E724" s="9" t="str">
        <x:v>HC-A-C</x:v>
      </x:c>
      <x:c r="F724" s="9" t="str">
        <x:v>B2</x:v>
      </x:c>
      <x:c r="G724" s="9" t="str">
        <x:v>RCN</x:v>
      </x:c>
      <x:c r="H724" s="9" t="str">
        <x:v>IV07</x:v>
      </x:c>
      <x:c r="I724" s="17" t="str">
        <x:v>No outcome selection</x:v>
      </x:c>
      <x:c r="J724" s="17" t="str">
        <x:v>petition rule and evidence scope were fixed before visibility</x:v>
      </x:c>
      <x:c r="K724" s="17" t="str">
        <x:v>Conflict registrar</x:v>
      </x:c>
      <x:c r="L724" s="9" t="n">
        <x:v>0</x:v>
      </x:c>
      <x:c r="M724" s="9" t="n">
        <x:v>0</x:v>
      </x:c>
      <x:c r="N724" s="9" t="str">
        <x:v>UNFILED / UNPROVEN</x:v>
      </x:c>
      <x:c r="O724" s="9" t="n">
        <x:f>COUNTIFS($A$7:$A$1302,A724)</x:f>
        <x:v>1</x:v>
      </x:c>
    </x:row>
    <x:row r="725">
      <x:c r="A725" s="9" t="str">
        <x:v>EV-AR-HC-A-C-TECH-3-B2-RCN-G0-IV08</x:v>
      </x:c>
      <x:c r="B725" s="9" t="str">
        <x:v>EV-AR-HC-A-C-TECH-3-B2-RCN-G0</x:v>
      </x:c>
      <x:c r="C725" s="9" t="str">
        <x:v>AR-HC-A-C-TECH-3-B2-RCN-G0</x:v>
      </x:c>
      <x:c r="D725" s="9" t="str">
        <x:v>HC-A-C-TECH-3</x:v>
      </x:c>
      <x:c r="E725" s="9" t="str">
        <x:v>HC-A-C</x:v>
      </x:c>
      <x:c r="F725" s="9" t="str">
        <x:v>B2</x:v>
      </x:c>
      <x:c r="G725" s="9" t="str">
        <x:v>RCN</x:v>
      </x:c>
      <x:c r="H725" s="9" t="str">
        <x:v>IV08</x:v>
      </x:c>
      <x:c r="I725" s="17" t="str">
        <x:v>Whole-record preservation</x:v>
      </x:c>
      <x:c r="J725" s="17" t="str">
        <x:v>start, raw behavior, dissent and intervention remain in archive</x:v>
      </x:c>
      <x:c r="K725" s="17" t="str">
        <x:v>Archive authority</x:v>
      </x:c>
      <x:c r="L725" s="9" t="n">
        <x:v>0</x:v>
      </x:c>
      <x:c r="M725" s="9" t="n">
        <x:v>0</x:v>
      </x:c>
      <x:c r="N725" s="9" t="str">
        <x:v>UNFILED / UNPROVEN</x:v>
      </x:c>
      <x:c r="O725" s="9" t="n">
        <x:f>COUNTIFS($A$7:$A$1302,A725)</x:f>
        <x:v>1</x:v>
      </x:c>
    </x:row>
    <x:row r="726">
      <x:c r="A726" s="9" t="str">
        <x:v>EV-AR-HC-A-C-TECH-3-B2-RCN-G0-IV09</x:v>
      </x:c>
      <x:c r="B726" s="9" t="str">
        <x:v>EV-AR-HC-A-C-TECH-3-B2-RCN-G0</x:v>
      </x:c>
      <x:c r="C726" s="9" t="str">
        <x:v>AR-HC-A-C-TECH-3-B2-RCN-G0</x:v>
      </x:c>
      <x:c r="D726" s="9" t="str">
        <x:v>HC-A-C-TECH-3</x:v>
      </x:c>
      <x:c r="E726" s="9" t="str">
        <x:v>HC-A-C</x:v>
      </x:c>
      <x:c r="F726" s="9" t="str">
        <x:v>B2</x:v>
      </x:c>
      <x:c r="G726" s="9" t="str">
        <x:v>RCN</x:v>
      </x:c>
      <x:c r="H726" s="9" t="str">
        <x:v>IV09</x:v>
      </x:c>
      <x:c r="I726" s="17" t="str">
        <x:v>Bounded remedy</x:v>
      </x:c>
      <x:c r="J726" s="17" t="str">
        <x:v>only a new slot and EOW may follow; no favorable credit or erased attempt</x:v>
      </x:c>
      <x:c r="K726" s="17" t="str">
        <x:v>Invalidity court</x:v>
      </x:c>
      <x:c r="L726" s="9" t="n">
        <x:v>0</x:v>
      </x:c>
      <x:c r="M726" s="9" t="n">
        <x:v>0</x:v>
      </x:c>
      <x:c r="N726" s="9" t="str">
        <x:v>UNFILED / UNPROVEN</x:v>
      </x:c>
      <x:c r="O726" s="9" t="n">
        <x:f>COUNTIFS($A$7:$A$1302,A726)</x:f>
        <x:v>1</x:v>
      </x:c>
    </x:row>
    <x:row r="727">
      <x:c r="A727" s="9" t="str">
        <x:v>EV-AR-HC-A-C-TECH-1-B2-INT-G0-IV01</x:v>
      </x:c>
      <x:c r="B727" s="9" t="str">
        <x:v>EV-AR-HC-A-C-TECH-1-B2-INT-G0</x:v>
      </x:c>
      <x:c r="C727" s="9" t="str">
        <x:v>AR-HC-A-C-TECH-1-B2-INT-G0</x:v>
      </x:c>
      <x:c r="D727" s="9" t="str">
        <x:v>HC-A-C-TECH-1</x:v>
      </x:c>
      <x:c r="E727" s="9" t="str">
        <x:v>HC-A-C</x:v>
      </x:c>
      <x:c r="F727" s="9" t="str">
        <x:v>B2</x:v>
      </x:c>
      <x:c r="G727" s="9" t="str">
        <x:v>INT</x:v>
      </x:c>
      <x:c r="H727" s="9" t="str">
        <x:v>IV01</x:v>
      </x:c>
      <x:c r="I727" s="17" t="str">
        <x:v>Timely petition</x:v>
      </x:c>
      <x:c r="J727" s="17" t="str">
        <x:v>petition enters within seventy-two hours of event close</x:v>
      </x:c>
      <x:c r="K727" s="17" t="str">
        <x:v>Invalidity registrar</x:v>
      </x:c>
      <x:c r="L727" s="9" t="n">
        <x:v>0</x:v>
      </x:c>
      <x:c r="M727" s="9" t="n">
        <x:v>0</x:v>
      </x:c>
      <x:c r="N727" s="9" t="str">
        <x:v>UNFILED / UNPROVEN</x:v>
      </x:c>
      <x:c r="O727" s="9" t="n">
        <x:f>COUNTIFS($A$7:$A$1302,A727)</x:f>
        <x:v>1</x:v>
      </x:c>
    </x:row>
    <x:row r="728">
      <x:c r="A728" s="9" t="str">
        <x:v>EV-AR-HC-A-C-TECH-1-B2-INT-G0-IV02</x:v>
      </x:c>
      <x:c r="B728" s="9" t="str">
        <x:v>EV-AR-HC-A-C-TECH-1-B2-INT-G0</x:v>
      </x:c>
      <x:c r="C728" s="9" t="str">
        <x:v>AR-HC-A-C-TECH-1-B2-INT-G0</x:v>
      </x:c>
      <x:c r="D728" s="9" t="str">
        <x:v>HC-A-C-TECH-1</x:v>
      </x:c>
      <x:c r="E728" s="9" t="str">
        <x:v>HC-A-C</x:v>
      </x:c>
      <x:c r="F728" s="9" t="str">
        <x:v>B2</x:v>
      </x:c>
      <x:c r="G728" s="9" t="str">
        <x:v>INT</x:v>
      </x:c>
      <x:c r="H728" s="9" t="str">
        <x:v>IV02</x:v>
      </x:c>
      <x:c r="I728" s="17" t="str">
        <x:v>Named facility cause</x:v>
      </x:c>
      <x:c r="J728" s="17" t="str">
        <x:v>one pre-registered noncandidate cause is identified</x:v>
      </x:c>
      <x:c r="K728" s="17" t="str">
        <x:v>Facility-cause court</x:v>
      </x:c>
      <x:c r="L728" s="9" t="n">
        <x:v>0</x:v>
      </x:c>
      <x:c r="M728" s="9" t="n">
        <x:v>0</x:v>
      </x:c>
      <x:c r="N728" s="9" t="str">
        <x:v>UNFILED / UNPROVEN</x:v>
      </x:c>
      <x:c r="O728" s="9" t="n">
        <x:f>COUNTIFS($A$7:$A$1302,A728)</x:f>
        <x:v>1</x:v>
      </x:c>
    </x:row>
    <x:row r="729">
      <x:c r="A729" s="9" t="str">
        <x:v>EV-AR-HC-A-C-TECH-1-B2-INT-G0-IV03</x:v>
      </x:c>
      <x:c r="B729" s="9" t="str">
        <x:v>EV-AR-HC-A-C-TECH-1-B2-INT-G0</x:v>
      </x:c>
      <x:c r="C729" s="9" t="str">
        <x:v>AR-HC-A-C-TECH-1-B2-INT-G0</x:v>
      </x:c>
      <x:c r="D729" s="9" t="str">
        <x:v>HC-A-C-TECH-1</x:v>
      </x:c>
      <x:c r="E729" s="9" t="str">
        <x:v>HC-A-C</x:v>
      </x:c>
      <x:c r="F729" s="9" t="str">
        <x:v>B2</x:v>
      </x:c>
      <x:c r="G729" s="9" t="str">
        <x:v>INT</x:v>
      </x:c>
      <x:c r="H729" s="9" t="str">
        <x:v>IV03</x:v>
      </x:c>
      <x:c r="I729" s="17" t="str">
        <x:v>Temporal priority</x:v>
      </x:c>
      <x:c r="J729" s="17" t="str">
        <x:v>cause demonstrably precedes the disputed candidate behavior</x:v>
      </x:c>
      <x:c r="K729" s="17" t="str">
        <x:v>Time authority</x:v>
      </x:c>
      <x:c r="L729" s="9" t="n">
        <x:v>0</x:v>
      </x:c>
      <x:c r="M729" s="9" t="n">
        <x:v>0</x:v>
      </x:c>
      <x:c r="N729" s="9" t="str">
        <x:v>UNFILED / UNPROVEN</x:v>
      </x:c>
      <x:c r="O729" s="9" t="n">
        <x:f>COUNTIFS($A$7:$A$1302,A729)</x:f>
        <x:v>1</x:v>
      </x:c>
    </x:row>
    <x:row r="730">
      <x:c r="A730" s="9" t="str">
        <x:v>EV-AR-HC-A-C-TECH-1-B2-INT-G0-IV04</x:v>
      </x:c>
      <x:c r="B730" s="9" t="str">
        <x:v>EV-AR-HC-A-C-TECH-1-B2-INT-G0</x:v>
      </x:c>
      <x:c r="C730" s="9" t="str">
        <x:v>AR-HC-A-C-TECH-1-B2-INT-G0</x:v>
      </x:c>
      <x:c r="D730" s="9" t="str">
        <x:v>HC-A-C-TECH-1</x:v>
      </x:c>
      <x:c r="E730" s="9" t="str">
        <x:v>HC-A-C</x:v>
      </x:c>
      <x:c r="F730" s="9" t="str">
        <x:v>B2</x:v>
      </x:c>
      <x:c r="G730" s="9" t="str">
        <x:v>INT</x:v>
      </x:c>
      <x:c r="H730" s="9" t="str">
        <x:v>IV04</x:v>
      </x:c>
      <x:c r="I730" s="17" t="str">
        <x:v>Independent trace</x:v>
      </x:c>
      <x:c r="J730" s="17" t="str">
        <x:v>two unlike records carry the cause without candidate custody</x:v>
      </x:c>
      <x:c r="K730" s="17" t="str">
        <x:v>Invalidity court</x:v>
      </x:c>
      <x:c r="L730" s="9" t="n">
        <x:v>0</x:v>
      </x:c>
      <x:c r="M730" s="9" t="n">
        <x:v>0</x:v>
      </x:c>
      <x:c r="N730" s="9" t="str">
        <x:v>UNFILED / UNPROVEN</x:v>
      </x:c>
      <x:c r="O730" s="9" t="n">
        <x:f>COUNTIFS($A$7:$A$1302,A730)</x:f>
        <x:v>1</x:v>
      </x:c>
    </x:row>
    <x:row r="731">
      <x:c r="A731" s="9" t="str">
        <x:v>EV-AR-HC-A-C-TECH-1-B2-INT-G0-IV05</x:v>
      </x:c>
      <x:c r="B731" s="9" t="str">
        <x:v>EV-AR-HC-A-C-TECH-1-B2-INT-G0</x:v>
      </x:c>
      <x:c r="C731" s="9" t="str">
        <x:v>AR-HC-A-C-TECH-1-B2-INT-G0</x:v>
      </x:c>
      <x:c r="D731" s="9" t="str">
        <x:v>HC-A-C-TECH-1</x:v>
      </x:c>
      <x:c r="E731" s="9" t="str">
        <x:v>HC-A-C</x:v>
      </x:c>
      <x:c r="F731" s="9" t="str">
        <x:v>B2</x:v>
      </x:c>
      <x:c r="G731" s="9" t="str">
        <x:v>INT</x:v>
      </x:c>
      <x:c r="H731" s="9" t="str">
        <x:v>IV05</x:v>
      </x:c>
      <x:c r="I731" s="17" t="str">
        <x:v>Causal counterfactual</x:v>
      </x:c>
      <x:c r="J731" s="17" t="str">
        <x:v>registered counterfactual shows the cause can create the defect</x:v>
      </x:c>
      <x:c r="K731" s="17" t="str">
        <x:v>Causal court</x:v>
      </x:c>
      <x:c r="L731" s="9" t="n">
        <x:v>0</x:v>
      </x:c>
      <x:c r="M731" s="9" t="n">
        <x:v>0</x:v>
      </x:c>
      <x:c r="N731" s="9" t="str">
        <x:v>UNFILED / UNPROVEN</x:v>
      </x:c>
      <x:c r="O731" s="9" t="n">
        <x:f>COUNTIFS($A$7:$A$1302,A731)</x:f>
        <x:v>1</x:v>
      </x:c>
    </x:row>
    <x:row r="732">
      <x:c r="A732" s="9" t="str">
        <x:v>EV-AR-HC-A-C-TECH-1-B2-INT-G0-IV06</x:v>
      </x:c>
      <x:c r="B732" s="9" t="str">
        <x:v>EV-AR-HC-A-C-TECH-1-B2-INT-G0</x:v>
      </x:c>
      <x:c r="C732" s="9" t="str">
        <x:v>AR-HC-A-C-TECH-1-B2-INT-G0</x:v>
      </x:c>
      <x:c r="D732" s="9" t="str">
        <x:v>HC-A-C-TECH-1</x:v>
      </x:c>
      <x:c r="E732" s="9" t="str">
        <x:v>HC-A-C</x:v>
      </x:c>
      <x:c r="F732" s="9" t="str">
        <x:v>B2</x:v>
      </x:c>
      <x:c r="G732" s="9" t="str">
        <x:v>INT</x:v>
      </x:c>
      <x:c r="H732" s="9" t="str">
        <x:v>IV06</x:v>
      </x:c>
      <x:c r="I732" s="17" t="str">
        <x:v>Candidate non-causation</x:v>
      </x:c>
      <x:c r="J732" s="17" t="str">
        <x:v>evidence excludes candidate induction of the facility condition</x:v>
      </x:c>
      <x:c r="K732" s="17" t="str">
        <x:v>Causal court</x:v>
      </x:c>
      <x:c r="L732" s="9" t="n">
        <x:v>0</x:v>
      </x:c>
      <x:c r="M732" s="9" t="n">
        <x:v>0</x:v>
      </x:c>
      <x:c r="N732" s="9" t="str">
        <x:v>UNFILED / UNPROVEN</x:v>
      </x:c>
      <x:c r="O732" s="9" t="n">
        <x:f>COUNTIFS($A$7:$A$1302,A732)</x:f>
        <x:v>1</x:v>
      </x:c>
    </x:row>
    <x:row r="733">
      <x:c r="A733" s="9" t="str">
        <x:v>EV-AR-HC-A-C-TECH-1-B2-INT-G0-IV07</x:v>
      </x:c>
      <x:c r="B733" s="9" t="str">
        <x:v>EV-AR-HC-A-C-TECH-1-B2-INT-G0</x:v>
      </x:c>
      <x:c r="C733" s="9" t="str">
        <x:v>AR-HC-A-C-TECH-1-B2-INT-G0</x:v>
      </x:c>
      <x:c r="D733" s="9" t="str">
        <x:v>HC-A-C-TECH-1</x:v>
      </x:c>
      <x:c r="E733" s="9" t="str">
        <x:v>HC-A-C</x:v>
      </x:c>
      <x:c r="F733" s="9" t="str">
        <x:v>B2</x:v>
      </x:c>
      <x:c r="G733" s="9" t="str">
        <x:v>INT</x:v>
      </x:c>
      <x:c r="H733" s="9" t="str">
        <x:v>IV07</x:v>
      </x:c>
      <x:c r="I733" s="17" t="str">
        <x:v>No outcome selection</x:v>
      </x:c>
      <x:c r="J733" s="17" t="str">
        <x:v>petition rule and evidence scope were fixed before visibility</x:v>
      </x:c>
      <x:c r="K733" s="17" t="str">
        <x:v>Conflict registrar</x:v>
      </x:c>
      <x:c r="L733" s="9" t="n">
        <x:v>0</x:v>
      </x:c>
      <x:c r="M733" s="9" t="n">
        <x:v>0</x:v>
      </x:c>
      <x:c r="N733" s="9" t="str">
        <x:v>UNFILED / UNPROVEN</x:v>
      </x:c>
      <x:c r="O733" s="9" t="n">
        <x:f>COUNTIFS($A$7:$A$1302,A733)</x:f>
        <x:v>1</x:v>
      </x:c>
    </x:row>
    <x:row r="734">
      <x:c r="A734" s="9" t="str">
        <x:v>EV-AR-HC-A-C-TECH-1-B2-INT-G0-IV08</x:v>
      </x:c>
      <x:c r="B734" s="9" t="str">
        <x:v>EV-AR-HC-A-C-TECH-1-B2-INT-G0</x:v>
      </x:c>
      <x:c r="C734" s="9" t="str">
        <x:v>AR-HC-A-C-TECH-1-B2-INT-G0</x:v>
      </x:c>
      <x:c r="D734" s="9" t="str">
        <x:v>HC-A-C-TECH-1</x:v>
      </x:c>
      <x:c r="E734" s="9" t="str">
        <x:v>HC-A-C</x:v>
      </x:c>
      <x:c r="F734" s="9" t="str">
        <x:v>B2</x:v>
      </x:c>
      <x:c r="G734" s="9" t="str">
        <x:v>INT</x:v>
      </x:c>
      <x:c r="H734" s="9" t="str">
        <x:v>IV08</x:v>
      </x:c>
      <x:c r="I734" s="17" t="str">
        <x:v>Whole-record preservation</x:v>
      </x:c>
      <x:c r="J734" s="17" t="str">
        <x:v>start, raw behavior, dissent and intervention remain in archive</x:v>
      </x:c>
      <x:c r="K734" s="17" t="str">
        <x:v>Archive authority</x:v>
      </x:c>
      <x:c r="L734" s="9" t="n">
        <x:v>0</x:v>
      </x:c>
      <x:c r="M734" s="9" t="n">
        <x:v>0</x:v>
      </x:c>
      <x:c r="N734" s="9" t="str">
        <x:v>UNFILED / UNPROVEN</x:v>
      </x:c>
      <x:c r="O734" s="9" t="n">
        <x:f>COUNTIFS($A$7:$A$1302,A734)</x:f>
        <x:v>1</x:v>
      </x:c>
    </x:row>
    <x:row r="735">
      <x:c r="A735" s="9" t="str">
        <x:v>EV-AR-HC-A-C-TECH-1-B2-INT-G0-IV09</x:v>
      </x:c>
      <x:c r="B735" s="9" t="str">
        <x:v>EV-AR-HC-A-C-TECH-1-B2-INT-G0</x:v>
      </x:c>
      <x:c r="C735" s="9" t="str">
        <x:v>AR-HC-A-C-TECH-1-B2-INT-G0</x:v>
      </x:c>
      <x:c r="D735" s="9" t="str">
        <x:v>HC-A-C-TECH-1</x:v>
      </x:c>
      <x:c r="E735" s="9" t="str">
        <x:v>HC-A-C</x:v>
      </x:c>
      <x:c r="F735" s="9" t="str">
        <x:v>B2</x:v>
      </x:c>
      <x:c r="G735" s="9" t="str">
        <x:v>INT</x:v>
      </x:c>
      <x:c r="H735" s="9" t="str">
        <x:v>IV09</x:v>
      </x:c>
      <x:c r="I735" s="17" t="str">
        <x:v>Bounded remedy</x:v>
      </x:c>
      <x:c r="J735" s="17" t="str">
        <x:v>only a new slot and EOW may follow; no favorable credit or erased attempt</x:v>
      </x:c>
      <x:c r="K735" s="17" t="str">
        <x:v>Invalidity court</x:v>
      </x:c>
      <x:c r="L735" s="9" t="n">
        <x:v>0</x:v>
      </x:c>
      <x:c r="M735" s="9" t="n">
        <x:v>0</x:v>
      </x:c>
      <x:c r="N735" s="9" t="str">
        <x:v>UNFILED / UNPROVEN</x:v>
      </x:c>
      <x:c r="O735" s="9" t="n">
        <x:f>COUNTIFS($A$7:$A$1302,A735)</x:f>
        <x:v>1</x:v>
      </x:c>
    </x:row>
    <x:row r="736">
      <x:c r="A736" s="9" t="str">
        <x:v>EV-AR-LF-B-A-TECH-1-B1-INT-G0-IV01</x:v>
      </x:c>
      <x:c r="B736" s="9" t="str">
        <x:v>EV-AR-LF-B-A-TECH-1-B1-INT-G0</x:v>
      </x:c>
      <x:c r="C736" s="9" t="str">
        <x:v>AR-LF-B-A-TECH-1-B1-INT-G0</x:v>
      </x:c>
      <x:c r="D736" s="9" t="str">
        <x:v>LF-B-A-TECH-1</x:v>
      </x:c>
      <x:c r="E736" s="9" t="str">
        <x:v>LF-B-A</x:v>
      </x:c>
      <x:c r="F736" s="9" t="str">
        <x:v>B1</x:v>
      </x:c>
      <x:c r="G736" s="9" t="str">
        <x:v>INT</x:v>
      </x:c>
      <x:c r="H736" s="9" t="str">
        <x:v>IV01</x:v>
      </x:c>
      <x:c r="I736" s="17" t="str">
        <x:v>Timely petition</x:v>
      </x:c>
      <x:c r="J736" s="17" t="str">
        <x:v>petition enters within seventy-two hours of event close</x:v>
      </x:c>
      <x:c r="K736" s="17" t="str">
        <x:v>Invalidity registrar</x:v>
      </x:c>
      <x:c r="L736" s="9" t="n">
        <x:v>0</x:v>
      </x:c>
      <x:c r="M736" s="9" t="n">
        <x:v>0</x:v>
      </x:c>
      <x:c r="N736" s="9" t="str">
        <x:v>UNFILED / UNPROVEN</x:v>
      </x:c>
      <x:c r="O736" s="9" t="n">
        <x:f>COUNTIFS($A$7:$A$1302,A736)</x:f>
        <x:v>1</x:v>
      </x:c>
    </x:row>
    <x:row r="737">
      <x:c r="A737" s="9" t="str">
        <x:v>EV-AR-LF-B-A-TECH-1-B1-INT-G0-IV02</x:v>
      </x:c>
      <x:c r="B737" s="9" t="str">
        <x:v>EV-AR-LF-B-A-TECH-1-B1-INT-G0</x:v>
      </x:c>
      <x:c r="C737" s="9" t="str">
        <x:v>AR-LF-B-A-TECH-1-B1-INT-G0</x:v>
      </x:c>
      <x:c r="D737" s="9" t="str">
        <x:v>LF-B-A-TECH-1</x:v>
      </x:c>
      <x:c r="E737" s="9" t="str">
        <x:v>LF-B-A</x:v>
      </x:c>
      <x:c r="F737" s="9" t="str">
        <x:v>B1</x:v>
      </x:c>
      <x:c r="G737" s="9" t="str">
        <x:v>INT</x:v>
      </x:c>
      <x:c r="H737" s="9" t="str">
        <x:v>IV02</x:v>
      </x:c>
      <x:c r="I737" s="17" t="str">
        <x:v>Named facility cause</x:v>
      </x:c>
      <x:c r="J737" s="17" t="str">
        <x:v>one pre-registered noncandidate cause is identified</x:v>
      </x:c>
      <x:c r="K737" s="17" t="str">
        <x:v>Facility-cause court</x:v>
      </x:c>
      <x:c r="L737" s="9" t="n">
        <x:v>0</x:v>
      </x:c>
      <x:c r="M737" s="9" t="n">
        <x:v>0</x:v>
      </x:c>
      <x:c r="N737" s="9" t="str">
        <x:v>UNFILED / UNPROVEN</x:v>
      </x:c>
      <x:c r="O737" s="9" t="n">
        <x:f>COUNTIFS($A$7:$A$1302,A737)</x:f>
        <x:v>1</x:v>
      </x:c>
    </x:row>
    <x:row r="738">
      <x:c r="A738" s="9" t="str">
        <x:v>EV-AR-LF-B-A-TECH-1-B1-INT-G0-IV03</x:v>
      </x:c>
      <x:c r="B738" s="9" t="str">
        <x:v>EV-AR-LF-B-A-TECH-1-B1-INT-G0</x:v>
      </x:c>
      <x:c r="C738" s="9" t="str">
        <x:v>AR-LF-B-A-TECH-1-B1-INT-G0</x:v>
      </x:c>
      <x:c r="D738" s="9" t="str">
        <x:v>LF-B-A-TECH-1</x:v>
      </x:c>
      <x:c r="E738" s="9" t="str">
        <x:v>LF-B-A</x:v>
      </x:c>
      <x:c r="F738" s="9" t="str">
        <x:v>B1</x:v>
      </x:c>
      <x:c r="G738" s="9" t="str">
        <x:v>INT</x:v>
      </x:c>
      <x:c r="H738" s="9" t="str">
        <x:v>IV03</x:v>
      </x:c>
      <x:c r="I738" s="17" t="str">
        <x:v>Temporal priority</x:v>
      </x:c>
      <x:c r="J738" s="17" t="str">
        <x:v>cause demonstrably precedes the disputed candidate behavior</x:v>
      </x:c>
      <x:c r="K738" s="17" t="str">
        <x:v>Time authority</x:v>
      </x:c>
      <x:c r="L738" s="9" t="n">
        <x:v>0</x:v>
      </x:c>
      <x:c r="M738" s="9" t="n">
        <x:v>0</x:v>
      </x:c>
      <x:c r="N738" s="9" t="str">
        <x:v>UNFILED / UNPROVEN</x:v>
      </x:c>
      <x:c r="O738" s="9" t="n">
        <x:f>COUNTIFS($A$7:$A$1302,A738)</x:f>
        <x:v>1</x:v>
      </x:c>
    </x:row>
    <x:row r="739">
      <x:c r="A739" s="9" t="str">
        <x:v>EV-AR-LF-B-A-TECH-1-B1-INT-G0-IV04</x:v>
      </x:c>
      <x:c r="B739" s="9" t="str">
        <x:v>EV-AR-LF-B-A-TECH-1-B1-INT-G0</x:v>
      </x:c>
      <x:c r="C739" s="9" t="str">
        <x:v>AR-LF-B-A-TECH-1-B1-INT-G0</x:v>
      </x:c>
      <x:c r="D739" s="9" t="str">
        <x:v>LF-B-A-TECH-1</x:v>
      </x:c>
      <x:c r="E739" s="9" t="str">
        <x:v>LF-B-A</x:v>
      </x:c>
      <x:c r="F739" s="9" t="str">
        <x:v>B1</x:v>
      </x:c>
      <x:c r="G739" s="9" t="str">
        <x:v>INT</x:v>
      </x:c>
      <x:c r="H739" s="9" t="str">
        <x:v>IV04</x:v>
      </x:c>
      <x:c r="I739" s="17" t="str">
        <x:v>Independent trace</x:v>
      </x:c>
      <x:c r="J739" s="17" t="str">
        <x:v>two unlike records carry the cause without candidate custody</x:v>
      </x:c>
      <x:c r="K739" s="17" t="str">
        <x:v>Invalidity court</x:v>
      </x:c>
      <x:c r="L739" s="9" t="n">
        <x:v>0</x:v>
      </x:c>
      <x:c r="M739" s="9" t="n">
        <x:v>0</x:v>
      </x:c>
      <x:c r="N739" s="9" t="str">
        <x:v>UNFILED / UNPROVEN</x:v>
      </x:c>
      <x:c r="O739" s="9" t="n">
        <x:f>COUNTIFS($A$7:$A$1302,A739)</x:f>
        <x:v>1</x:v>
      </x:c>
    </x:row>
    <x:row r="740">
      <x:c r="A740" s="9" t="str">
        <x:v>EV-AR-LF-B-A-TECH-1-B1-INT-G0-IV05</x:v>
      </x:c>
      <x:c r="B740" s="9" t="str">
        <x:v>EV-AR-LF-B-A-TECH-1-B1-INT-G0</x:v>
      </x:c>
      <x:c r="C740" s="9" t="str">
        <x:v>AR-LF-B-A-TECH-1-B1-INT-G0</x:v>
      </x:c>
      <x:c r="D740" s="9" t="str">
        <x:v>LF-B-A-TECH-1</x:v>
      </x:c>
      <x:c r="E740" s="9" t="str">
        <x:v>LF-B-A</x:v>
      </x:c>
      <x:c r="F740" s="9" t="str">
        <x:v>B1</x:v>
      </x:c>
      <x:c r="G740" s="9" t="str">
        <x:v>INT</x:v>
      </x:c>
      <x:c r="H740" s="9" t="str">
        <x:v>IV05</x:v>
      </x:c>
      <x:c r="I740" s="17" t="str">
        <x:v>Causal counterfactual</x:v>
      </x:c>
      <x:c r="J740" s="17" t="str">
        <x:v>registered counterfactual shows the cause can create the defect</x:v>
      </x:c>
      <x:c r="K740" s="17" t="str">
        <x:v>Causal court</x:v>
      </x:c>
      <x:c r="L740" s="9" t="n">
        <x:v>0</x:v>
      </x:c>
      <x:c r="M740" s="9" t="n">
        <x:v>0</x:v>
      </x:c>
      <x:c r="N740" s="9" t="str">
        <x:v>UNFILED / UNPROVEN</x:v>
      </x:c>
      <x:c r="O740" s="9" t="n">
        <x:f>COUNTIFS($A$7:$A$1302,A740)</x:f>
        <x:v>1</x:v>
      </x:c>
    </x:row>
    <x:row r="741">
      <x:c r="A741" s="9" t="str">
        <x:v>EV-AR-LF-B-A-TECH-1-B1-INT-G0-IV06</x:v>
      </x:c>
      <x:c r="B741" s="9" t="str">
        <x:v>EV-AR-LF-B-A-TECH-1-B1-INT-G0</x:v>
      </x:c>
      <x:c r="C741" s="9" t="str">
        <x:v>AR-LF-B-A-TECH-1-B1-INT-G0</x:v>
      </x:c>
      <x:c r="D741" s="9" t="str">
        <x:v>LF-B-A-TECH-1</x:v>
      </x:c>
      <x:c r="E741" s="9" t="str">
        <x:v>LF-B-A</x:v>
      </x:c>
      <x:c r="F741" s="9" t="str">
        <x:v>B1</x:v>
      </x:c>
      <x:c r="G741" s="9" t="str">
        <x:v>INT</x:v>
      </x:c>
      <x:c r="H741" s="9" t="str">
        <x:v>IV06</x:v>
      </x:c>
      <x:c r="I741" s="17" t="str">
        <x:v>Candidate non-causation</x:v>
      </x:c>
      <x:c r="J741" s="17" t="str">
        <x:v>evidence excludes candidate induction of the facility condition</x:v>
      </x:c>
      <x:c r="K741" s="17" t="str">
        <x:v>Causal court</x:v>
      </x:c>
      <x:c r="L741" s="9" t="n">
        <x:v>0</x:v>
      </x:c>
      <x:c r="M741" s="9" t="n">
        <x:v>0</x:v>
      </x:c>
      <x:c r="N741" s="9" t="str">
        <x:v>UNFILED / UNPROVEN</x:v>
      </x:c>
      <x:c r="O741" s="9" t="n">
        <x:f>COUNTIFS($A$7:$A$1302,A741)</x:f>
        <x:v>1</x:v>
      </x:c>
    </x:row>
    <x:row r="742">
      <x:c r="A742" s="9" t="str">
        <x:v>EV-AR-LF-B-A-TECH-1-B1-INT-G0-IV07</x:v>
      </x:c>
      <x:c r="B742" s="9" t="str">
        <x:v>EV-AR-LF-B-A-TECH-1-B1-INT-G0</x:v>
      </x:c>
      <x:c r="C742" s="9" t="str">
        <x:v>AR-LF-B-A-TECH-1-B1-INT-G0</x:v>
      </x:c>
      <x:c r="D742" s="9" t="str">
        <x:v>LF-B-A-TECH-1</x:v>
      </x:c>
      <x:c r="E742" s="9" t="str">
        <x:v>LF-B-A</x:v>
      </x:c>
      <x:c r="F742" s="9" t="str">
        <x:v>B1</x:v>
      </x:c>
      <x:c r="G742" s="9" t="str">
        <x:v>INT</x:v>
      </x:c>
      <x:c r="H742" s="9" t="str">
        <x:v>IV07</x:v>
      </x:c>
      <x:c r="I742" s="17" t="str">
        <x:v>No outcome selection</x:v>
      </x:c>
      <x:c r="J742" s="17" t="str">
        <x:v>petition rule and evidence scope were fixed before visibility</x:v>
      </x:c>
      <x:c r="K742" s="17" t="str">
        <x:v>Conflict registrar</x:v>
      </x:c>
      <x:c r="L742" s="9" t="n">
        <x:v>0</x:v>
      </x:c>
      <x:c r="M742" s="9" t="n">
        <x:v>0</x:v>
      </x:c>
      <x:c r="N742" s="9" t="str">
        <x:v>UNFILED / UNPROVEN</x:v>
      </x:c>
      <x:c r="O742" s="9" t="n">
        <x:f>COUNTIFS($A$7:$A$1302,A742)</x:f>
        <x:v>1</x:v>
      </x:c>
    </x:row>
    <x:row r="743">
      <x:c r="A743" s="9" t="str">
        <x:v>EV-AR-LF-B-A-TECH-1-B1-INT-G0-IV08</x:v>
      </x:c>
      <x:c r="B743" s="9" t="str">
        <x:v>EV-AR-LF-B-A-TECH-1-B1-INT-G0</x:v>
      </x:c>
      <x:c r="C743" s="9" t="str">
        <x:v>AR-LF-B-A-TECH-1-B1-INT-G0</x:v>
      </x:c>
      <x:c r="D743" s="9" t="str">
        <x:v>LF-B-A-TECH-1</x:v>
      </x:c>
      <x:c r="E743" s="9" t="str">
        <x:v>LF-B-A</x:v>
      </x:c>
      <x:c r="F743" s="9" t="str">
        <x:v>B1</x:v>
      </x:c>
      <x:c r="G743" s="9" t="str">
        <x:v>INT</x:v>
      </x:c>
      <x:c r="H743" s="9" t="str">
        <x:v>IV08</x:v>
      </x:c>
      <x:c r="I743" s="17" t="str">
        <x:v>Whole-record preservation</x:v>
      </x:c>
      <x:c r="J743" s="17" t="str">
        <x:v>start, raw behavior, dissent and intervention remain in archive</x:v>
      </x:c>
      <x:c r="K743" s="17" t="str">
        <x:v>Archive authority</x:v>
      </x:c>
      <x:c r="L743" s="9" t="n">
        <x:v>0</x:v>
      </x:c>
      <x:c r="M743" s="9" t="n">
        <x:v>0</x:v>
      </x:c>
      <x:c r="N743" s="9" t="str">
        <x:v>UNFILED / UNPROVEN</x:v>
      </x:c>
      <x:c r="O743" s="9" t="n">
        <x:f>COUNTIFS($A$7:$A$1302,A743)</x:f>
        <x:v>1</x:v>
      </x:c>
    </x:row>
    <x:row r="744">
      <x:c r="A744" s="9" t="str">
        <x:v>EV-AR-LF-B-A-TECH-1-B1-INT-G0-IV09</x:v>
      </x:c>
      <x:c r="B744" s="9" t="str">
        <x:v>EV-AR-LF-B-A-TECH-1-B1-INT-G0</x:v>
      </x:c>
      <x:c r="C744" s="9" t="str">
        <x:v>AR-LF-B-A-TECH-1-B1-INT-G0</x:v>
      </x:c>
      <x:c r="D744" s="9" t="str">
        <x:v>LF-B-A-TECH-1</x:v>
      </x:c>
      <x:c r="E744" s="9" t="str">
        <x:v>LF-B-A</x:v>
      </x:c>
      <x:c r="F744" s="9" t="str">
        <x:v>B1</x:v>
      </x:c>
      <x:c r="G744" s="9" t="str">
        <x:v>INT</x:v>
      </x:c>
      <x:c r="H744" s="9" t="str">
        <x:v>IV09</x:v>
      </x:c>
      <x:c r="I744" s="17" t="str">
        <x:v>Bounded remedy</x:v>
      </x:c>
      <x:c r="J744" s="17" t="str">
        <x:v>only a new slot and EOW may follow; no favorable credit or erased attempt</x:v>
      </x:c>
      <x:c r="K744" s="17" t="str">
        <x:v>Invalidity court</x:v>
      </x:c>
      <x:c r="L744" s="9" t="n">
        <x:v>0</x:v>
      </x:c>
      <x:c r="M744" s="9" t="n">
        <x:v>0</x:v>
      </x:c>
      <x:c r="N744" s="9" t="str">
        <x:v>UNFILED / UNPROVEN</x:v>
      </x:c>
      <x:c r="O744" s="9" t="n">
        <x:f>COUNTIFS($A$7:$A$1302,A744)</x:f>
        <x:v>1</x:v>
      </x:c>
    </x:row>
    <x:row r="745">
      <x:c r="A745" s="9" t="str">
        <x:v>EV-AR-LF-B-A-TECH-2-B2-RCN-G0-IV01</x:v>
      </x:c>
      <x:c r="B745" s="9" t="str">
        <x:v>EV-AR-LF-B-A-TECH-2-B2-RCN-G0</x:v>
      </x:c>
      <x:c r="C745" s="9" t="str">
        <x:v>AR-LF-B-A-TECH-2-B2-RCN-G0</x:v>
      </x:c>
      <x:c r="D745" s="9" t="str">
        <x:v>LF-B-A-TECH-2</x:v>
      </x:c>
      <x:c r="E745" s="9" t="str">
        <x:v>LF-B-A</x:v>
      </x:c>
      <x:c r="F745" s="9" t="str">
        <x:v>B2</x:v>
      </x:c>
      <x:c r="G745" s="9" t="str">
        <x:v>RCN</x:v>
      </x:c>
      <x:c r="H745" s="9" t="str">
        <x:v>IV01</x:v>
      </x:c>
      <x:c r="I745" s="17" t="str">
        <x:v>Timely petition</x:v>
      </x:c>
      <x:c r="J745" s="17" t="str">
        <x:v>petition enters within seventy-two hours of event close</x:v>
      </x:c>
      <x:c r="K745" s="17" t="str">
        <x:v>Invalidity registrar</x:v>
      </x:c>
      <x:c r="L745" s="9" t="n">
        <x:v>0</x:v>
      </x:c>
      <x:c r="M745" s="9" t="n">
        <x:v>0</x:v>
      </x:c>
      <x:c r="N745" s="9" t="str">
        <x:v>UNFILED / UNPROVEN</x:v>
      </x:c>
      <x:c r="O745" s="9" t="n">
        <x:f>COUNTIFS($A$7:$A$1302,A745)</x:f>
        <x:v>1</x:v>
      </x:c>
    </x:row>
    <x:row r="746">
      <x:c r="A746" s="9" t="str">
        <x:v>EV-AR-LF-B-A-TECH-2-B2-RCN-G0-IV02</x:v>
      </x:c>
      <x:c r="B746" s="9" t="str">
        <x:v>EV-AR-LF-B-A-TECH-2-B2-RCN-G0</x:v>
      </x:c>
      <x:c r="C746" s="9" t="str">
        <x:v>AR-LF-B-A-TECH-2-B2-RCN-G0</x:v>
      </x:c>
      <x:c r="D746" s="9" t="str">
        <x:v>LF-B-A-TECH-2</x:v>
      </x:c>
      <x:c r="E746" s="9" t="str">
        <x:v>LF-B-A</x:v>
      </x:c>
      <x:c r="F746" s="9" t="str">
        <x:v>B2</x:v>
      </x:c>
      <x:c r="G746" s="9" t="str">
        <x:v>RCN</x:v>
      </x:c>
      <x:c r="H746" s="9" t="str">
        <x:v>IV02</x:v>
      </x:c>
      <x:c r="I746" s="17" t="str">
        <x:v>Named facility cause</x:v>
      </x:c>
      <x:c r="J746" s="17" t="str">
        <x:v>one pre-registered noncandidate cause is identified</x:v>
      </x:c>
      <x:c r="K746" s="17" t="str">
        <x:v>Facility-cause court</x:v>
      </x:c>
      <x:c r="L746" s="9" t="n">
        <x:v>0</x:v>
      </x:c>
      <x:c r="M746" s="9" t="n">
        <x:v>0</x:v>
      </x:c>
      <x:c r="N746" s="9" t="str">
        <x:v>UNFILED / UNPROVEN</x:v>
      </x:c>
      <x:c r="O746" s="9" t="n">
        <x:f>COUNTIFS($A$7:$A$1302,A746)</x:f>
        <x:v>1</x:v>
      </x:c>
    </x:row>
    <x:row r="747">
      <x:c r="A747" s="9" t="str">
        <x:v>EV-AR-LF-B-A-TECH-2-B2-RCN-G0-IV03</x:v>
      </x:c>
      <x:c r="B747" s="9" t="str">
        <x:v>EV-AR-LF-B-A-TECH-2-B2-RCN-G0</x:v>
      </x:c>
      <x:c r="C747" s="9" t="str">
        <x:v>AR-LF-B-A-TECH-2-B2-RCN-G0</x:v>
      </x:c>
      <x:c r="D747" s="9" t="str">
        <x:v>LF-B-A-TECH-2</x:v>
      </x:c>
      <x:c r="E747" s="9" t="str">
        <x:v>LF-B-A</x:v>
      </x:c>
      <x:c r="F747" s="9" t="str">
        <x:v>B2</x:v>
      </x:c>
      <x:c r="G747" s="9" t="str">
        <x:v>RCN</x:v>
      </x:c>
      <x:c r="H747" s="9" t="str">
        <x:v>IV03</x:v>
      </x:c>
      <x:c r="I747" s="17" t="str">
        <x:v>Temporal priority</x:v>
      </x:c>
      <x:c r="J747" s="17" t="str">
        <x:v>cause demonstrably precedes the disputed candidate behavior</x:v>
      </x:c>
      <x:c r="K747" s="17" t="str">
        <x:v>Time authority</x:v>
      </x:c>
      <x:c r="L747" s="9" t="n">
        <x:v>0</x:v>
      </x:c>
      <x:c r="M747" s="9" t="n">
        <x:v>0</x:v>
      </x:c>
      <x:c r="N747" s="9" t="str">
        <x:v>UNFILED / UNPROVEN</x:v>
      </x:c>
      <x:c r="O747" s="9" t="n">
        <x:f>COUNTIFS($A$7:$A$1302,A747)</x:f>
        <x:v>1</x:v>
      </x:c>
    </x:row>
    <x:row r="748">
      <x:c r="A748" s="9" t="str">
        <x:v>EV-AR-LF-B-A-TECH-2-B2-RCN-G0-IV04</x:v>
      </x:c>
      <x:c r="B748" s="9" t="str">
        <x:v>EV-AR-LF-B-A-TECH-2-B2-RCN-G0</x:v>
      </x:c>
      <x:c r="C748" s="9" t="str">
        <x:v>AR-LF-B-A-TECH-2-B2-RCN-G0</x:v>
      </x:c>
      <x:c r="D748" s="9" t="str">
        <x:v>LF-B-A-TECH-2</x:v>
      </x:c>
      <x:c r="E748" s="9" t="str">
        <x:v>LF-B-A</x:v>
      </x:c>
      <x:c r="F748" s="9" t="str">
        <x:v>B2</x:v>
      </x:c>
      <x:c r="G748" s="9" t="str">
        <x:v>RCN</x:v>
      </x:c>
      <x:c r="H748" s="9" t="str">
        <x:v>IV04</x:v>
      </x:c>
      <x:c r="I748" s="17" t="str">
        <x:v>Independent trace</x:v>
      </x:c>
      <x:c r="J748" s="17" t="str">
        <x:v>two unlike records carry the cause without candidate custody</x:v>
      </x:c>
      <x:c r="K748" s="17" t="str">
        <x:v>Invalidity court</x:v>
      </x:c>
      <x:c r="L748" s="9" t="n">
        <x:v>0</x:v>
      </x:c>
      <x:c r="M748" s="9" t="n">
        <x:v>0</x:v>
      </x:c>
      <x:c r="N748" s="9" t="str">
        <x:v>UNFILED / UNPROVEN</x:v>
      </x:c>
      <x:c r="O748" s="9" t="n">
        <x:f>COUNTIFS($A$7:$A$1302,A748)</x:f>
        <x:v>1</x:v>
      </x:c>
    </x:row>
    <x:row r="749">
      <x:c r="A749" s="9" t="str">
        <x:v>EV-AR-LF-B-A-TECH-2-B2-RCN-G0-IV05</x:v>
      </x:c>
      <x:c r="B749" s="9" t="str">
        <x:v>EV-AR-LF-B-A-TECH-2-B2-RCN-G0</x:v>
      </x:c>
      <x:c r="C749" s="9" t="str">
        <x:v>AR-LF-B-A-TECH-2-B2-RCN-G0</x:v>
      </x:c>
      <x:c r="D749" s="9" t="str">
        <x:v>LF-B-A-TECH-2</x:v>
      </x:c>
      <x:c r="E749" s="9" t="str">
        <x:v>LF-B-A</x:v>
      </x:c>
      <x:c r="F749" s="9" t="str">
        <x:v>B2</x:v>
      </x:c>
      <x:c r="G749" s="9" t="str">
        <x:v>RCN</x:v>
      </x:c>
      <x:c r="H749" s="9" t="str">
        <x:v>IV05</x:v>
      </x:c>
      <x:c r="I749" s="17" t="str">
        <x:v>Causal counterfactual</x:v>
      </x:c>
      <x:c r="J749" s="17" t="str">
        <x:v>registered counterfactual shows the cause can create the defect</x:v>
      </x:c>
      <x:c r="K749" s="17" t="str">
        <x:v>Causal court</x:v>
      </x:c>
      <x:c r="L749" s="9" t="n">
        <x:v>0</x:v>
      </x:c>
      <x:c r="M749" s="9" t="n">
        <x:v>0</x:v>
      </x:c>
      <x:c r="N749" s="9" t="str">
        <x:v>UNFILED / UNPROVEN</x:v>
      </x:c>
      <x:c r="O749" s="9" t="n">
        <x:f>COUNTIFS($A$7:$A$1302,A749)</x:f>
        <x:v>1</x:v>
      </x:c>
    </x:row>
    <x:row r="750">
      <x:c r="A750" s="9" t="str">
        <x:v>EV-AR-LF-B-A-TECH-2-B2-RCN-G0-IV06</x:v>
      </x:c>
      <x:c r="B750" s="9" t="str">
        <x:v>EV-AR-LF-B-A-TECH-2-B2-RCN-G0</x:v>
      </x:c>
      <x:c r="C750" s="9" t="str">
        <x:v>AR-LF-B-A-TECH-2-B2-RCN-G0</x:v>
      </x:c>
      <x:c r="D750" s="9" t="str">
        <x:v>LF-B-A-TECH-2</x:v>
      </x:c>
      <x:c r="E750" s="9" t="str">
        <x:v>LF-B-A</x:v>
      </x:c>
      <x:c r="F750" s="9" t="str">
        <x:v>B2</x:v>
      </x:c>
      <x:c r="G750" s="9" t="str">
        <x:v>RCN</x:v>
      </x:c>
      <x:c r="H750" s="9" t="str">
        <x:v>IV06</x:v>
      </x:c>
      <x:c r="I750" s="17" t="str">
        <x:v>Candidate non-causation</x:v>
      </x:c>
      <x:c r="J750" s="17" t="str">
        <x:v>evidence excludes candidate induction of the facility condition</x:v>
      </x:c>
      <x:c r="K750" s="17" t="str">
        <x:v>Causal court</x:v>
      </x:c>
      <x:c r="L750" s="9" t="n">
        <x:v>0</x:v>
      </x:c>
      <x:c r="M750" s="9" t="n">
        <x:v>0</x:v>
      </x:c>
      <x:c r="N750" s="9" t="str">
        <x:v>UNFILED / UNPROVEN</x:v>
      </x:c>
      <x:c r="O750" s="9" t="n">
        <x:f>COUNTIFS($A$7:$A$1302,A750)</x:f>
        <x:v>1</x:v>
      </x:c>
    </x:row>
    <x:row r="751">
      <x:c r="A751" s="9" t="str">
        <x:v>EV-AR-LF-B-A-TECH-2-B2-RCN-G0-IV07</x:v>
      </x:c>
      <x:c r="B751" s="9" t="str">
        <x:v>EV-AR-LF-B-A-TECH-2-B2-RCN-G0</x:v>
      </x:c>
      <x:c r="C751" s="9" t="str">
        <x:v>AR-LF-B-A-TECH-2-B2-RCN-G0</x:v>
      </x:c>
      <x:c r="D751" s="9" t="str">
        <x:v>LF-B-A-TECH-2</x:v>
      </x:c>
      <x:c r="E751" s="9" t="str">
        <x:v>LF-B-A</x:v>
      </x:c>
      <x:c r="F751" s="9" t="str">
        <x:v>B2</x:v>
      </x:c>
      <x:c r="G751" s="9" t="str">
        <x:v>RCN</x:v>
      </x:c>
      <x:c r="H751" s="9" t="str">
        <x:v>IV07</x:v>
      </x:c>
      <x:c r="I751" s="17" t="str">
        <x:v>No outcome selection</x:v>
      </x:c>
      <x:c r="J751" s="17" t="str">
        <x:v>petition rule and evidence scope were fixed before visibility</x:v>
      </x:c>
      <x:c r="K751" s="17" t="str">
        <x:v>Conflict registrar</x:v>
      </x:c>
      <x:c r="L751" s="9" t="n">
        <x:v>0</x:v>
      </x:c>
      <x:c r="M751" s="9" t="n">
        <x:v>0</x:v>
      </x:c>
      <x:c r="N751" s="9" t="str">
        <x:v>UNFILED / UNPROVEN</x:v>
      </x:c>
      <x:c r="O751" s="9" t="n">
        <x:f>COUNTIFS($A$7:$A$1302,A751)</x:f>
        <x:v>1</x:v>
      </x:c>
    </x:row>
    <x:row r="752">
      <x:c r="A752" s="9" t="str">
        <x:v>EV-AR-LF-B-A-TECH-2-B2-RCN-G0-IV08</x:v>
      </x:c>
      <x:c r="B752" s="9" t="str">
        <x:v>EV-AR-LF-B-A-TECH-2-B2-RCN-G0</x:v>
      </x:c>
      <x:c r="C752" s="9" t="str">
        <x:v>AR-LF-B-A-TECH-2-B2-RCN-G0</x:v>
      </x:c>
      <x:c r="D752" s="9" t="str">
        <x:v>LF-B-A-TECH-2</x:v>
      </x:c>
      <x:c r="E752" s="9" t="str">
        <x:v>LF-B-A</x:v>
      </x:c>
      <x:c r="F752" s="9" t="str">
        <x:v>B2</x:v>
      </x:c>
      <x:c r="G752" s="9" t="str">
        <x:v>RCN</x:v>
      </x:c>
      <x:c r="H752" s="9" t="str">
        <x:v>IV08</x:v>
      </x:c>
      <x:c r="I752" s="17" t="str">
        <x:v>Whole-record preservation</x:v>
      </x:c>
      <x:c r="J752" s="17" t="str">
        <x:v>start, raw behavior, dissent and intervention remain in archive</x:v>
      </x:c>
      <x:c r="K752" s="17" t="str">
        <x:v>Archive authority</x:v>
      </x:c>
      <x:c r="L752" s="9" t="n">
        <x:v>0</x:v>
      </x:c>
      <x:c r="M752" s="9" t="n">
        <x:v>0</x:v>
      </x:c>
      <x:c r="N752" s="9" t="str">
        <x:v>UNFILED / UNPROVEN</x:v>
      </x:c>
      <x:c r="O752" s="9" t="n">
        <x:f>COUNTIFS($A$7:$A$1302,A752)</x:f>
        <x:v>1</x:v>
      </x:c>
    </x:row>
    <x:row r="753">
      <x:c r="A753" s="9" t="str">
        <x:v>EV-AR-LF-B-A-TECH-2-B2-RCN-G0-IV09</x:v>
      </x:c>
      <x:c r="B753" s="9" t="str">
        <x:v>EV-AR-LF-B-A-TECH-2-B2-RCN-G0</x:v>
      </x:c>
      <x:c r="C753" s="9" t="str">
        <x:v>AR-LF-B-A-TECH-2-B2-RCN-G0</x:v>
      </x:c>
      <x:c r="D753" s="9" t="str">
        <x:v>LF-B-A-TECH-2</x:v>
      </x:c>
      <x:c r="E753" s="9" t="str">
        <x:v>LF-B-A</x:v>
      </x:c>
      <x:c r="F753" s="9" t="str">
        <x:v>B2</x:v>
      </x:c>
      <x:c r="G753" s="9" t="str">
        <x:v>RCN</x:v>
      </x:c>
      <x:c r="H753" s="9" t="str">
        <x:v>IV09</x:v>
      </x:c>
      <x:c r="I753" s="17" t="str">
        <x:v>Bounded remedy</x:v>
      </x:c>
      <x:c r="J753" s="17" t="str">
        <x:v>only a new slot and EOW may follow; no favorable credit or erased attempt</x:v>
      </x:c>
      <x:c r="K753" s="17" t="str">
        <x:v>Invalidity court</x:v>
      </x:c>
      <x:c r="L753" s="9" t="n">
        <x:v>0</x:v>
      </x:c>
      <x:c r="M753" s="9" t="n">
        <x:v>0</x:v>
      </x:c>
      <x:c r="N753" s="9" t="str">
        <x:v>UNFILED / UNPROVEN</x:v>
      </x:c>
      <x:c r="O753" s="9" t="n">
        <x:f>COUNTIFS($A$7:$A$1302,A753)</x:f>
        <x:v>1</x:v>
      </x:c>
    </x:row>
    <x:row r="754">
      <x:c r="A754" s="9" t="str">
        <x:v>EV-AR-RT-B-C-TECH-3-B1-BRK-G0-IV01</x:v>
      </x:c>
      <x:c r="B754" s="9" t="str">
        <x:v>EV-AR-RT-B-C-TECH-3-B1-BRK-G0</x:v>
      </x:c>
      <x:c r="C754" s="9" t="str">
        <x:v>AR-RT-B-C-TECH-3-B1-BRK-G0</x:v>
      </x:c>
      <x:c r="D754" s="9" t="str">
        <x:v>RT-B-C-TECH-3</x:v>
      </x:c>
      <x:c r="E754" s="9" t="str">
        <x:v>RT-B-C</x:v>
      </x:c>
      <x:c r="F754" s="9" t="str">
        <x:v>B1</x:v>
      </x:c>
      <x:c r="G754" s="9" t="str">
        <x:v>BRK</x:v>
      </x:c>
      <x:c r="H754" s="9" t="str">
        <x:v>IV01</x:v>
      </x:c>
      <x:c r="I754" s="17" t="str">
        <x:v>Timely petition</x:v>
      </x:c>
      <x:c r="J754" s="17" t="str">
        <x:v>petition enters within seventy-two hours of event close</x:v>
      </x:c>
      <x:c r="K754" s="17" t="str">
        <x:v>Invalidity registrar</x:v>
      </x:c>
      <x:c r="L754" s="9" t="n">
        <x:v>0</x:v>
      </x:c>
      <x:c r="M754" s="9" t="n">
        <x:v>0</x:v>
      </x:c>
      <x:c r="N754" s="9" t="str">
        <x:v>UNFILED / UNPROVEN</x:v>
      </x:c>
      <x:c r="O754" s="9" t="n">
        <x:f>COUNTIFS($A$7:$A$1302,A754)</x:f>
        <x:v>1</x:v>
      </x:c>
    </x:row>
    <x:row r="755">
      <x:c r="A755" s="9" t="str">
        <x:v>EV-AR-RT-B-C-TECH-3-B1-BRK-G0-IV02</x:v>
      </x:c>
      <x:c r="B755" s="9" t="str">
        <x:v>EV-AR-RT-B-C-TECH-3-B1-BRK-G0</x:v>
      </x:c>
      <x:c r="C755" s="9" t="str">
        <x:v>AR-RT-B-C-TECH-3-B1-BRK-G0</x:v>
      </x:c>
      <x:c r="D755" s="9" t="str">
        <x:v>RT-B-C-TECH-3</x:v>
      </x:c>
      <x:c r="E755" s="9" t="str">
        <x:v>RT-B-C</x:v>
      </x:c>
      <x:c r="F755" s="9" t="str">
        <x:v>B1</x:v>
      </x:c>
      <x:c r="G755" s="9" t="str">
        <x:v>BRK</x:v>
      </x:c>
      <x:c r="H755" s="9" t="str">
        <x:v>IV02</x:v>
      </x:c>
      <x:c r="I755" s="17" t="str">
        <x:v>Named facility cause</x:v>
      </x:c>
      <x:c r="J755" s="17" t="str">
        <x:v>one pre-registered noncandidate cause is identified</x:v>
      </x:c>
      <x:c r="K755" s="17" t="str">
        <x:v>Facility-cause court</x:v>
      </x:c>
      <x:c r="L755" s="9" t="n">
        <x:v>0</x:v>
      </x:c>
      <x:c r="M755" s="9" t="n">
        <x:v>0</x:v>
      </x:c>
      <x:c r="N755" s="9" t="str">
        <x:v>UNFILED / UNPROVEN</x:v>
      </x:c>
      <x:c r="O755" s="9" t="n">
        <x:f>COUNTIFS($A$7:$A$1302,A755)</x:f>
        <x:v>1</x:v>
      </x:c>
    </x:row>
    <x:row r="756">
      <x:c r="A756" s="9" t="str">
        <x:v>EV-AR-RT-B-C-TECH-3-B1-BRK-G0-IV03</x:v>
      </x:c>
      <x:c r="B756" s="9" t="str">
        <x:v>EV-AR-RT-B-C-TECH-3-B1-BRK-G0</x:v>
      </x:c>
      <x:c r="C756" s="9" t="str">
        <x:v>AR-RT-B-C-TECH-3-B1-BRK-G0</x:v>
      </x:c>
      <x:c r="D756" s="9" t="str">
        <x:v>RT-B-C-TECH-3</x:v>
      </x:c>
      <x:c r="E756" s="9" t="str">
        <x:v>RT-B-C</x:v>
      </x:c>
      <x:c r="F756" s="9" t="str">
        <x:v>B1</x:v>
      </x:c>
      <x:c r="G756" s="9" t="str">
        <x:v>BRK</x:v>
      </x:c>
      <x:c r="H756" s="9" t="str">
        <x:v>IV03</x:v>
      </x:c>
      <x:c r="I756" s="17" t="str">
        <x:v>Temporal priority</x:v>
      </x:c>
      <x:c r="J756" s="17" t="str">
        <x:v>cause demonstrably precedes the disputed candidate behavior</x:v>
      </x:c>
      <x:c r="K756" s="17" t="str">
        <x:v>Time authority</x:v>
      </x:c>
      <x:c r="L756" s="9" t="n">
        <x:v>0</x:v>
      </x:c>
      <x:c r="M756" s="9" t="n">
        <x:v>0</x:v>
      </x:c>
      <x:c r="N756" s="9" t="str">
        <x:v>UNFILED / UNPROVEN</x:v>
      </x:c>
      <x:c r="O756" s="9" t="n">
        <x:f>COUNTIFS($A$7:$A$1302,A756)</x:f>
        <x:v>1</x:v>
      </x:c>
    </x:row>
    <x:row r="757">
      <x:c r="A757" s="9" t="str">
        <x:v>EV-AR-RT-B-C-TECH-3-B1-BRK-G0-IV04</x:v>
      </x:c>
      <x:c r="B757" s="9" t="str">
        <x:v>EV-AR-RT-B-C-TECH-3-B1-BRK-G0</x:v>
      </x:c>
      <x:c r="C757" s="9" t="str">
        <x:v>AR-RT-B-C-TECH-3-B1-BRK-G0</x:v>
      </x:c>
      <x:c r="D757" s="9" t="str">
        <x:v>RT-B-C-TECH-3</x:v>
      </x:c>
      <x:c r="E757" s="9" t="str">
        <x:v>RT-B-C</x:v>
      </x:c>
      <x:c r="F757" s="9" t="str">
        <x:v>B1</x:v>
      </x:c>
      <x:c r="G757" s="9" t="str">
        <x:v>BRK</x:v>
      </x:c>
      <x:c r="H757" s="9" t="str">
        <x:v>IV04</x:v>
      </x:c>
      <x:c r="I757" s="17" t="str">
        <x:v>Independent trace</x:v>
      </x:c>
      <x:c r="J757" s="17" t="str">
        <x:v>two unlike records carry the cause without candidate custody</x:v>
      </x:c>
      <x:c r="K757" s="17" t="str">
        <x:v>Invalidity court</x:v>
      </x:c>
      <x:c r="L757" s="9" t="n">
        <x:v>0</x:v>
      </x:c>
      <x:c r="M757" s="9" t="n">
        <x:v>0</x:v>
      </x:c>
      <x:c r="N757" s="9" t="str">
        <x:v>UNFILED / UNPROVEN</x:v>
      </x:c>
      <x:c r="O757" s="9" t="n">
        <x:f>COUNTIFS($A$7:$A$1302,A757)</x:f>
        <x:v>1</x:v>
      </x:c>
    </x:row>
    <x:row r="758">
      <x:c r="A758" s="9" t="str">
        <x:v>EV-AR-RT-B-C-TECH-3-B1-BRK-G0-IV05</x:v>
      </x:c>
      <x:c r="B758" s="9" t="str">
        <x:v>EV-AR-RT-B-C-TECH-3-B1-BRK-G0</x:v>
      </x:c>
      <x:c r="C758" s="9" t="str">
        <x:v>AR-RT-B-C-TECH-3-B1-BRK-G0</x:v>
      </x:c>
      <x:c r="D758" s="9" t="str">
        <x:v>RT-B-C-TECH-3</x:v>
      </x:c>
      <x:c r="E758" s="9" t="str">
        <x:v>RT-B-C</x:v>
      </x:c>
      <x:c r="F758" s="9" t="str">
        <x:v>B1</x:v>
      </x:c>
      <x:c r="G758" s="9" t="str">
        <x:v>BRK</x:v>
      </x:c>
      <x:c r="H758" s="9" t="str">
        <x:v>IV05</x:v>
      </x:c>
      <x:c r="I758" s="17" t="str">
        <x:v>Causal counterfactual</x:v>
      </x:c>
      <x:c r="J758" s="17" t="str">
        <x:v>registered counterfactual shows the cause can create the defect</x:v>
      </x:c>
      <x:c r="K758" s="17" t="str">
        <x:v>Causal court</x:v>
      </x:c>
      <x:c r="L758" s="9" t="n">
        <x:v>0</x:v>
      </x:c>
      <x:c r="M758" s="9" t="n">
        <x:v>0</x:v>
      </x:c>
      <x:c r="N758" s="9" t="str">
        <x:v>UNFILED / UNPROVEN</x:v>
      </x:c>
      <x:c r="O758" s="9" t="n">
        <x:f>COUNTIFS($A$7:$A$1302,A758)</x:f>
        <x:v>1</x:v>
      </x:c>
    </x:row>
    <x:row r="759">
      <x:c r="A759" s="9" t="str">
        <x:v>EV-AR-RT-B-C-TECH-3-B1-BRK-G0-IV06</x:v>
      </x:c>
      <x:c r="B759" s="9" t="str">
        <x:v>EV-AR-RT-B-C-TECH-3-B1-BRK-G0</x:v>
      </x:c>
      <x:c r="C759" s="9" t="str">
        <x:v>AR-RT-B-C-TECH-3-B1-BRK-G0</x:v>
      </x:c>
      <x:c r="D759" s="9" t="str">
        <x:v>RT-B-C-TECH-3</x:v>
      </x:c>
      <x:c r="E759" s="9" t="str">
        <x:v>RT-B-C</x:v>
      </x:c>
      <x:c r="F759" s="9" t="str">
        <x:v>B1</x:v>
      </x:c>
      <x:c r="G759" s="9" t="str">
        <x:v>BRK</x:v>
      </x:c>
      <x:c r="H759" s="9" t="str">
        <x:v>IV06</x:v>
      </x:c>
      <x:c r="I759" s="17" t="str">
        <x:v>Candidate non-causation</x:v>
      </x:c>
      <x:c r="J759" s="17" t="str">
        <x:v>evidence excludes candidate induction of the facility condition</x:v>
      </x:c>
      <x:c r="K759" s="17" t="str">
        <x:v>Causal court</x:v>
      </x:c>
      <x:c r="L759" s="9" t="n">
        <x:v>0</x:v>
      </x:c>
      <x:c r="M759" s="9" t="n">
        <x:v>0</x:v>
      </x:c>
      <x:c r="N759" s="9" t="str">
        <x:v>UNFILED / UNPROVEN</x:v>
      </x:c>
      <x:c r="O759" s="9" t="n">
        <x:f>COUNTIFS($A$7:$A$1302,A759)</x:f>
        <x:v>1</x:v>
      </x:c>
    </x:row>
    <x:row r="760">
      <x:c r="A760" s="9" t="str">
        <x:v>EV-AR-RT-B-C-TECH-3-B1-BRK-G0-IV07</x:v>
      </x:c>
      <x:c r="B760" s="9" t="str">
        <x:v>EV-AR-RT-B-C-TECH-3-B1-BRK-G0</x:v>
      </x:c>
      <x:c r="C760" s="9" t="str">
        <x:v>AR-RT-B-C-TECH-3-B1-BRK-G0</x:v>
      </x:c>
      <x:c r="D760" s="9" t="str">
        <x:v>RT-B-C-TECH-3</x:v>
      </x:c>
      <x:c r="E760" s="9" t="str">
        <x:v>RT-B-C</x:v>
      </x:c>
      <x:c r="F760" s="9" t="str">
        <x:v>B1</x:v>
      </x:c>
      <x:c r="G760" s="9" t="str">
        <x:v>BRK</x:v>
      </x:c>
      <x:c r="H760" s="9" t="str">
        <x:v>IV07</x:v>
      </x:c>
      <x:c r="I760" s="17" t="str">
        <x:v>No outcome selection</x:v>
      </x:c>
      <x:c r="J760" s="17" t="str">
        <x:v>petition rule and evidence scope were fixed before visibility</x:v>
      </x:c>
      <x:c r="K760" s="17" t="str">
        <x:v>Conflict registrar</x:v>
      </x:c>
      <x:c r="L760" s="9" t="n">
        <x:v>0</x:v>
      </x:c>
      <x:c r="M760" s="9" t="n">
        <x:v>0</x:v>
      </x:c>
      <x:c r="N760" s="9" t="str">
        <x:v>UNFILED / UNPROVEN</x:v>
      </x:c>
      <x:c r="O760" s="9" t="n">
        <x:f>COUNTIFS($A$7:$A$1302,A760)</x:f>
        <x:v>1</x:v>
      </x:c>
    </x:row>
    <x:row r="761">
      <x:c r="A761" s="9" t="str">
        <x:v>EV-AR-RT-B-C-TECH-3-B1-BRK-G0-IV08</x:v>
      </x:c>
      <x:c r="B761" s="9" t="str">
        <x:v>EV-AR-RT-B-C-TECH-3-B1-BRK-G0</x:v>
      </x:c>
      <x:c r="C761" s="9" t="str">
        <x:v>AR-RT-B-C-TECH-3-B1-BRK-G0</x:v>
      </x:c>
      <x:c r="D761" s="9" t="str">
        <x:v>RT-B-C-TECH-3</x:v>
      </x:c>
      <x:c r="E761" s="9" t="str">
        <x:v>RT-B-C</x:v>
      </x:c>
      <x:c r="F761" s="9" t="str">
        <x:v>B1</x:v>
      </x:c>
      <x:c r="G761" s="9" t="str">
        <x:v>BRK</x:v>
      </x:c>
      <x:c r="H761" s="9" t="str">
        <x:v>IV08</x:v>
      </x:c>
      <x:c r="I761" s="17" t="str">
        <x:v>Whole-record preservation</x:v>
      </x:c>
      <x:c r="J761" s="17" t="str">
        <x:v>start, raw behavior, dissent and intervention remain in archive</x:v>
      </x:c>
      <x:c r="K761" s="17" t="str">
        <x:v>Archive authority</x:v>
      </x:c>
      <x:c r="L761" s="9" t="n">
        <x:v>0</x:v>
      </x:c>
      <x:c r="M761" s="9" t="n">
        <x:v>0</x:v>
      </x:c>
      <x:c r="N761" s="9" t="str">
        <x:v>UNFILED / UNPROVEN</x:v>
      </x:c>
      <x:c r="O761" s="9" t="n">
        <x:f>COUNTIFS($A$7:$A$1302,A761)</x:f>
        <x:v>1</x:v>
      </x:c>
    </x:row>
    <x:row r="762">
      <x:c r="A762" s="9" t="str">
        <x:v>EV-AR-RT-B-C-TECH-3-B1-BRK-G0-IV09</x:v>
      </x:c>
      <x:c r="B762" s="9" t="str">
        <x:v>EV-AR-RT-B-C-TECH-3-B1-BRK-G0</x:v>
      </x:c>
      <x:c r="C762" s="9" t="str">
        <x:v>AR-RT-B-C-TECH-3-B1-BRK-G0</x:v>
      </x:c>
      <x:c r="D762" s="9" t="str">
        <x:v>RT-B-C-TECH-3</x:v>
      </x:c>
      <x:c r="E762" s="9" t="str">
        <x:v>RT-B-C</x:v>
      </x:c>
      <x:c r="F762" s="9" t="str">
        <x:v>B1</x:v>
      </x:c>
      <x:c r="G762" s="9" t="str">
        <x:v>BRK</x:v>
      </x:c>
      <x:c r="H762" s="9" t="str">
        <x:v>IV09</x:v>
      </x:c>
      <x:c r="I762" s="17" t="str">
        <x:v>Bounded remedy</x:v>
      </x:c>
      <x:c r="J762" s="17" t="str">
        <x:v>only a new slot and EOW may follow; no favorable credit or erased attempt</x:v>
      </x:c>
      <x:c r="K762" s="17" t="str">
        <x:v>Invalidity court</x:v>
      </x:c>
      <x:c r="L762" s="9" t="n">
        <x:v>0</x:v>
      </x:c>
      <x:c r="M762" s="9" t="n">
        <x:v>0</x:v>
      </x:c>
      <x:c r="N762" s="9" t="str">
        <x:v>UNFILED / UNPROVEN</x:v>
      </x:c>
      <x:c r="O762" s="9" t="n">
        <x:f>COUNTIFS($A$7:$A$1302,A762)</x:f>
        <x:v>1</x:v>
      </x:c>
    </x:row>
    <x:row r="763">
      <x:c r="A763" s="9" t="str">
        <x:v>EV-AR-ET-A-A-TECH-3-B2-INT-G0-IV01</x:v>
      </x:c>
      <x:c r="B763" s="9" t="str">
        <x:v>EV-AR-ET-A-A-TECH-3-B2-INT-G0</x:v>
      </x:c>
      <x:c r="C763" s="9" t="str">
        <x:v>AR-ET-A-A-TECH-3-B2-INT-G0</x:v>
      </x:c>
      <x:c r="D763" s="9" t="str">
        <x:v>ET-A-A-TECH-3</x:v>
      </x:c>
      <x:c r="E763" s="9" t="str">
        <x:v>ET-A-A</x:v>
      </x:c>
      <x:c r="F763" s="9" t="str">
        <x:v>B2</x:v>
      </x:c>
      <x:c r="G763" s="9" t="str">
        <x:v>INT</x:v>
      </x:c>
      <x:c r="H763" s="9" t="str">
        <x:v>IV01</x:v>
      </x:c>
      <x:c r="I763" s="17" t="str">
        <x:v>Timely petition</x:v>
      </x:c>
      <x:c r="J763" s="17" t="str">
        <x:v>petition enters within seventy-two hours of event close</x:v>
      </x:c>
      <x:c r="K763" s="17" t="str">
        <x:v>Invalidity registrar</x:v>
      </x:c>
      <x:c r="L763" s="9" t="n">
        <x:v>0</x:v>
      </x:c>
      <x:c r="M763" s="9" t="n">
        <x:v>0</x:v>
      </x:c>
      <x:c r="N763" s="9" t="str">
        <x:v>UNFILED / UNPROVEN</x:v>
      </x:c>
      <x:c r="O763" s="9" t="n">
        <x:f>COUNTIFS($A$7:$A$1302,A763)</x:f>
        <x:v>1</x:v>
      </x:c>
    </x:row>
    <x:row r="764">
      <x:c r="A764" s="9" t="str">
        <x:v>EV-AR-ET-A-A-TECH-3-B2-INT-G0-IV02</x:v>
      </x:c>
      <x:c r="B764" s="9" t="str">
        <x:v>EV-AR-ET-A-A-TECH-3-B2-INT-G0</x:v>
      </x:c>
      <x:c r="C764" s="9" t="str">
        <x:v>AR-ET-A-A-TECH-3-B2-INT-G0</x:v>
      </x:c>
      <x:c r="D764" s="9" t="str">
        <x:v>ET-A-A-TECH-3</x:v>
      </x:c>
      <x:c r="E764" s="9" t="str">
        <x:v>ET-A-A</x:v>
      </x:c>
      <x:c r="F764" s="9" t="str">
        <x:v>B2</x:v>
      </x:c>
      <x:c r="G764" s="9" t="str">
        <x:v>INT</x:v>
      </x:c>
      <x:c r="H764" s="9" t="str">
        <x:v>IV02</x:v>
      </x:c>
      <x:c r="I764" s="17" t="str">
        <x:v>Named facility cause</x:v>
      </x:c>
      <x:c r="J764" s="17" t="str">
        <x:v>one pre-registered noncandidate cause is identified</x:v>
      </x:c>
      <x:c r="K764" s="17" t="str">
        <x:v>Facility-cause court</x:v>
      </x:c>
      <x:c r="L764" s="9" t="n">
        <x:v>0</x:v>
      </x:c>
      <x:c r="M764" s="9" t="n">
        <x:v>0</x:v>
      </x:c>
      <x:c r="N764" s="9" t="str">
        <x:v>UNFILED / UNPROVEN</x:v>
      </x:c>
      <x:c r="O764" s="9" t="n">
        <x:f>COUNTIFS($A$7:$A$1302,A764)</x:f>
        <x:v>1</x:v>
      </x:c>
    </x:row>
    <x:row r="765">
      <x:c r="A765" s="9" t="str">
        <x:v>EV-AR-ET-A-A-TECH-3-B2-INT-G0-IV03</x:v>
      </x:c>
      <x:c r="B765" s="9" t="str">
        <x:v>EV-AR-ET-A-A-TECH-3-B2-INT-G0</x:v>
      </x:c>
      <x:c r="C765" s="9" t="str">
        <x:v>AR-ET-A-A-TECH-3-B2-INT-G0</x:v>
      </x:c>
      <x:c r="D765" s="9" t="str">
        <x:v>ET-A-A-TECH-3</x:v>
      </x:c>
      <x:c r="E765" s="9" t="str">
        <x:v>ET-A-A</x:v>
      </x:c>
      <x:c r="F765" s="9" t="str">
        <x:v>B2</x:v>
      </x:c>
      <x:c r="G765" s="9" t="str">
        <x:v>INT</x:v>
      </x:c>
      <x:c r="H765" s="9" t="str">
        <x:v>IV03</x:v>
      </x:c>
      <x:c r="I765" s="17" t="str">
        <x:v>Temporal priority</x:v>
      </x:c>
      <x:c r="J765" s="17" t="str">
        <x:v>cause demonstrably precedes the disputed candidate behavior</x:v>
      </x:c>
      <x:c r="K765" s="17" t="str">
        <x:v>Time authority</x:v>
      </x:c>
      <x:c r="L765" s="9" t="n">
        <x:v>0</x:v>
      </x:c>
      <x:c r="M765" s="9" t="n">
        <x:v>0</x:v>
      </x:c>
      <x:c r="N765" s="9" t="str">
        <x:v>UNFILED / UNPROVEN</x:v>
      </x:c>
      <x:c r="O765" s="9" t="n">
        <x:f>COUNTIFS($A$7:$A$1302,A765)</x:f>
        <x:v>1</x:v>
      </x:c>
    </x:row>
    <x:row r="766">
      <x:c r="A766" s="9" t="str">
        <x:v>EV-AR-ET-A-A-TECH-3-B2-INT-G0-IV04</x:v>
      </x:c>
      <x:c r="B766" s="9" t="str">
        <x:v>EV-AR-ET-A-A-TECH-3-B2-INT-G0</x:v>
      </x:c>
      <x:c r="C766" s="9" t="str">
        <x:v>AR-ET-A-A-TECH-3-B2-INT-G0</x:v>
      </x:c>
      <x:c r="D766" s="9" t="str">
        <x:v>ET-A-A-TECH-3</x:v>
      </x:c>
      <x:c r="E766" s="9" t="str">
        <x:v>ET-A-A</x:v>
      </x:c>
      <x:c r="F766" s="9" t="str">
        <x:v>B2</x:v>
      </x:c>
      <x:c r="G766" s="9" t="str">
        <x:v>INT</x:v>
      </x:c>
      <x:c r="H766" s="9" t="str">
        <x:v>IV04</x:v>
      </x:c>
      <x:c r="I766" s="17" t="str">
        <x:v>Independent trace</x:v>
      </x:c>
      <x:c r="J766" s="17" t="str">
        <x:v>two unlike records carry the cause without candidate custody</x:v>
      </x:c>
      <x:c r="K766" s="17" t="str">
        <x:v>Invalidity court</x:v>
      </x:c>
      <x:c r="L766" s="9" t="n">
        <x:v>0</x:v>
      </x:c>
      <x:c r="M766" s="9" t="n">
        <x:v>0</x:v>
      </x:c>
      <x:c r="N766" s="9" t="str">
        <x:v>UNFILED / UNPROVEN</x:v>
      </x:c>
      <x:c r="O766" s="9" t="n">
        <x:f>COUNTIFS($A$7:$A$1302,A766)</x:f>
        <x:v>1</x:v>
      </x:c>
    </x:row>
    <x:row r="767">
      <x:c r="A767" s="9" t="str">
        <x:v>EV-AR-ET-A-A-TECH-3-B2-INT-G0-IV05</x:v>
      </x:c>
      <x:c r="B767" s="9" t="str">
        <x:v>EV-AR-ET-A-A-TECH-3-B2-INT-G0</x:v>
      </x:c>
      <x:c r="C767" s="9" t="str">
        <x:v>AR-ET-A-A-TECH-3-B2-INT-G0</x:v>
      </x:c>
      <x:c r="D767" s="9" t="str">
        <x:v>ET-A-A-TECH-3</x:v>
      </x:c>
      <x:c r="E767" s="9" t="str">
        <x:v>ET-A-A</x:v>
      </x:c>
      <x:c r="F767" s="9" t="str">
        <x:v>B2</x:v>
      </x:c>
      <x:c r="G767" s="9" t="str">
        <x:v>INT</x:v>
      </x:c>
      <x:c r="H767" s="9" t="str">
        <x:v>IV05</x:v>
      </x:c>
      <x:c r="I767" s="17" t="str">
        <x:v>Causal counterfactual</x:v>
      </x:c>
      <x:c r="J767" s="17" t="str">
        <x:v>registered counterfactual shows the cause can create the defect</x:v>
      </x:c>
      <x:c r="K767" s="17" t="str">
        <x:v>Causal court</x:v>
      </x:c>
      <x:c r="L767" s="9" t="n">
        <x:v>0</x:v>
      </x:c>
      <x:c r="M767" s="9" t="n">
        <x:v>0</x:v>
      </x:c>
      <x:c r="N767" s="9" t="str">
        <x:v>UNFILED / UNPROVEN</x:v>
      </x:c>
      <x:c r="O767" s="9" t="n">
        <x:f>COUNTIFS($A$7:$A$1302,A767)</x:f>
        <x:v>1</x:v>
      </x:c>
    </x:row>
    <x:row r="768">
      <x:c r="A768" s="9" t="str">
        <x:v>EV-AR-ET-A-A-TECH-3-B2-INT-G0-IV06</x:v>
      </x:c>
      <x:c r="B768" s="9" t="str">
        <x:v>EV-AR-ET-A-A-TECH-3-B2-INT-G0</x:v>
      </x:c>
      <x:c r="C768" s="9" t="str">
        <x:v>AR-ET-A-A-TECH-3-B2-INT-G0</x:v>
      </x:c>
      <x:c r="D768" s="9" t="str">
        <x:v>ET-A-A-TECH-3</x:v>
      </x:c>
      <x:c r="E768" s="9" t="str">
        <x:v>ET-A-A</x:v>
      </x:c>
      <x:c r="F768" s="9" t="str">
        <x:v>B2</x:v>
      </x:c>
      <x:c r="G768" s="9" t="str">
        <x:v>INT</x:v>
      </x:c>
      <x:c r="H768" s="9" t="str">
        <x:v>IV06</x:v>
      </x:c>
      <x:c r="I768" s="17" t="str">
        <x:v>Candidate non-causation</x:v>
      </x:c>
      <x:c r="J768" s="17" t="str">
        <x:v>evidence excludes candidate induction of the facility condition</x:v>
      </x:c>
      <x:c r="K768" s="17" t="str">
        <x:v>Causal court</x:v>
      </x:c>
      <x:c r="L768" s="9" t="n">
        <x:v>0</x:v>
      </x:c>
      <x:c r="M768" s="9" t="n">
        <x:v>0</x:v>
      </x:c>
      <x:c r="N768" s="9" t="str">
        <x:v>UNFILED / UNPROVEN</x:v>
      </x:c>
      <x:c r="O768" s="9" t="n">
        <x:f>COUNTIFS($A$7:$A$1302,A768)</x:f>
        <x:v>1</x:v>
      </x:c>
    </x:row>
    <x:row r="769">
      <x:c r="A769" s="9" t="str">
        <x:v>EV-AR-ET-A-A-TECH-3-B2-INT-G0-IV07</x:v>
      </x:c>
      <x:c r="B769" s="9" t="str">
        <x:v>EV-AR-ET-A-A-TECH-3-B2-INT-G0</x:v>
      </x:c>
      <x:c r="C769" s="9" t="str">
        <x:v>AR-ET-A-A-TECH-3-B2-INT-G0</x:v>
      </x:c>
      <x:c r="D769" s="9" t="str">
        <x:v>ET-A-A-TECH-3</x:v>
      </x:c>
      <x:c r="E769" s="9" t="str">
        <x:v>ET-A-A</x:v>
      </x:c>
      <x:c r="F769" s="9" t="str">
        <x:v>B2</x:v>
      </x:c>
      <x:c r="G769" s="9" t="str">
        <x:v>INT</x:v>
      </x:c>
      <x:c r="H769" s="9" t="str">
        <x:v>IV07</x:v>
      </x:c>
      <x:c r="I769" s="17" t="str">
        <x:v>No outcome selection</x:v>
      </x:c>
      <x:c r="J769" s="17" t="str">
        <x:v>petition rule and evidence scope were fixed before visibility</x:v>
      </x:c>
      <x:c r="K769" s="17" t="str">
        <x:v>Conflict registrar</x:v>
      </x:c>
      <x:c r="L769" s="9" t="n">
        <x:v>0</x:v>
      </x:c>
      <x:c r="M769" s="9" t="n">
        <x:v>0</x:v>
      </x:c>
      <x:c r="N769" s="9" t="str">
        <x:v>UNFILED / UNPROVEN</x:v>
      </x:c>
      <x:c r="O769" s="9" t="n">
        <x:f>COUNTIFS($A$7:$A$1302,A769)</x:f>
        <x:v>1</x:v>
      </x:c>
    </x:row>
    <x:row r="770">
      <x:c r="A770" s="9" t="str">
        <x:v>EV-AR-ET-A-A-TECH-3-B2-INT-G0-IV08</x:v>
      </x:c>
      <x:c r="B770" s="9" t="str">
        <x:v>EV-AR-ET-A-A-TECH-3-B2-INT-G0</x:v>
      </x:c>
      <x:c r="C770" s="9" t="str">
        <x:v>AR-ET-A-A-TECH-3-B2-INT-G0</x:v>
      </x:c>
      <x:c r="D770" s="9" t="str">
        <x:v>ET-A-A-TECH-3</x:v>
      </x:c>
      <x:c r="E770" s="9" t="str">
        <x:v>ET-A-A</x:v>
      </x:c>
      <x:c r="F770" s="9" t="str">
        <x:v>B2</x:v>
      </x:c>
      <x:c r="G770" s="9" t="str">
        <x:v>INT</x:v>
      </x:c>
      <x:c r="H770" s="9" t="str">
        <x:v>IV08</x:v>
      </x:c>
      <x:c r="I770" s="17" t="str">
        <x:v>Whole-record preservation</x:v>
      </x:c>
      <x:c r="J770" s="17" t="str">
        <x:v>start, raw behavior, dissent and intervention remain in archive</x:v>
      </x:c>
      <x:c r="K770" s="17" t="str">
        <x:v>Archive authority</x:v>
      </x:c>
      <x:c r="L770" s="9" t="n">
        <x:v>0</x:v>
      </x:c>
      <x:c r="M770" s="9" t="n">
        <x:v>0</x:v>
      </x:c>
      <x:c r="N770" s="9" t="str">
        <x:v>UNFILED / UNPROVEN</x:v>
      </x:c>
      <x:c r="O770" s="9" t="n">
        <x:f>COUNTIFS($A$7:$A$1302,A770)</x:f>
        <x:v>1</x:v>
      </x:c>
    </x:row>
    <x:row r="771">
      <x:c r="A771" s="9" t="str">
        <x:v>EV-AR-ET-A-A-TECH-3-B2-INT-G0-IV09</x:v>
      </x:c>
      <x:c r="B771" s="9" t="str">
        <x:v>EV-AR-ET-A-A-TECH-3-B2-INT-G0</x:v>
      </x:c>
      <x:c r="C771" s="9" t="str">
        <x:v>AR-ET-A-A-TECH-3-B2-INT-G0</x:v>
      </x:c>
      <x:c r="D771" s="9" t="str">
        <x:v>ET-A-A-TECH-3</x:v>
      </x:c>
      <x:c r="E771" s="9" t="str">
        <x:v>ET-A-A</x:v>
      </x:c>
      <x:c r="F771" s="9" t="str">
        <x:v>B2</x:v>
      </x:c>
      <x:c r="G771" s="9" t="str">
        <x:v>INT</x:v>
      </x:c>
      <x:c r="H771" s="9" t="str">
        <x:v>IV09</x:v>
      </x:c>
      <x:c r="I771" s="17" t="str">
        <x:v>Bounded remedy</x:v>
      </x:c>
      <x:c r="J771" s="17" t="str">
        <x:v>only a new slot and EOW may follow; no favorable credit or erased attempt</x:v>
      </x:c>
      <x:c r="K771" s="17" t="str">
        <x:v>Invalidity court</x:v>
      </x:c>
      <x:c r="L771" s="9" t="n">
        <x:v>0</x:v>
      </x:c>
      <x:c r="M771" s="9" t="n">
        <x:v>0</x:v>
      </x:c>
      <x:c r="N771" s="9" t="str">
        <x:v>UNFILED / UNPROVEN</x:v>
      </x:c>
      <x:c r="O771" s="9" t="n">
        <x:f>COUNTIFS($A$7:$A$1302,A771)</x:f>
        <x:v>1</x:v>
      </x:c>
    </x:row>
    <x:row r="772">
      <x:c r="A772" s="9" t="str">
        <x:v>EV-AR-HC-A-C-TECH-4-B1-RCN-G0-IV01</x:v>
      </x:c>
      <x:c r="B772" s="9" t="str">
        <x:v>EV-AR-HC-A-C-TECH-4-B1-RCN-G0</x:v>
      </x:c>
      <x:c r="C772" s="9" t="str">
        <x:v>AR-HC-A-C-TECH-4-B1-RCN-G0</x:v>
      </x:c>
      <x:c r="D772" s="9" t="str">
        <x:v>HC-A-C-TECH-4</x:v>
      </x:c>
      <x:c r="E772" s="9" t="str">
        <x:v>HC-A-C</x:v>
      </x:c>
      <x:c r="F772" s="9" t="str">
        <x:v>B1</x:v>
      </x:c>
      <x:c r="G772" s="9" t="str">
        <x:v>RCN</x:v>
      </x:c>
      <x:c r="H772" s="9" t="str">
        <x:v>IV01</x:v>
      </x:c>
      <x:c r="I772" s="17" t="str">
        <x:v>Timely petition</x:v>
      </x:c>
      <x:c r="J772" s="17" t="str">
        <x:v>petition enters within seventy-two hours of event close</x:v>
      </x:c>
      <x:c r="K772" s="17" t="str">
        <x:v>Invalidity registrar</x:v>
      </x:c>
      <x:c r="L772" s="9" t="n">
        <x:v>0</x:v>
      </x:c>
      <x:c r="M772" s="9" t="n">
        <x:v>0</x:v>
      </x:c>
      <x:c r="N772" s="9" t="str">
        <x:v>UNFILED / UNPROVEN</x:v>
      </x:c>
      <x:c r="O772" s="9" t="n">
        <x:f>COUNTIFS($A$7:$A$1302,A772)</x:f>
        <x:v>1</x:v>
      </x:c>
    </x:row>
    <x:row r="773">
      <x:c r="A773" s="9" t="str">
        <x:v>EV-AR-HC-A-C-TECH-4-B1-RCN-G0-IV02</x:v>
      </x:c>
      <x:c r="B773" s="9" t="str">
        <x:v>EV-AR-HC-A-C-TECH-4-B1-RCN-G0</x:v>
      </x:c>
      <x:c r="C773" s="9" t="str">
        <x:v>AR-HC-A-C-TECH-4-B1-RCN-G0</x:v>
      </x:c>
      <x:c r="D773" s="9" t="str">
        <x:v>HC-A-C-TECH-4</x:v>
      </x:c>
      <x:c r="E773" s="9" t="str">
        <x:v>HC-A-C</x:v>
      </x:c>
      <x:c r="F773" s="9" t="str">
        <x:v>B1</x:v>
      </x:c>
      <x:c r="G773" s="9" t="str">
        <x:v>RCN</x:v>
      </x:c>
      <x:c r="H773" s="9" t="str">
        <x:v>IV02</x:v>
      </x:c>
      <x:c r="I773" s="17" t="str">
        <x:v>Named facility cause</x:v>
      </x:c>
      <x:c r="J773" s="17" t="str">
        <x:v>one pre-registered noncandidate cause is identified</x:v>
      </x:c>
      <x:c r="K773" s="17" t="str">
        <x:v>Facility-cause court</x:v>
      </x:c>
      <x:c r="L773" s="9" t="n">
        <x:v>0</x:v>
      </x:c>
      <x:c r="M773" s="9" t="n">
        <x:v>0</x:v>
      </x:c>
      <x:c r="N773" s="9" t="str">
        <x:v>UNFILED / UNPROVEN</x:v>
      </x:c>
      <x:c r="O773" s="9" t="n">
        <x:f>COUNTIFS($A$7:$A$1302,A773)</x:f>
        <x:v>1</x:v>
      </x:c>
    </x:row>
    <x:row r="774">
      <x:c r="A774" s="9" t="str">
        <x:v>EV-AR-HC-A-C-TECH-4-B1-RCN-G0-IV03</x:v>
      </x:c>
      <x:c r="B774" s="9" t="str">
        <x:v>EV-AR-HC-A-C-TECH-4-B1-RCN-G0</x:v>
      </x:c>
      <x:c r="C774" s="9" t="str">
        <x:v>AR-HC-A-C-TECH-4-B1-RCN-G0</x:v>
      </x:c>
      <x:c r="D774" s="9" t="str">
        <x:v>HC-A-C-TECH-4</x:v>
      </x:c>
      <x:c r="E774" s="9" t="str">
        <x:v>HC-A-C</x:v>
      </x:c>
      <x:c r="F774" s="9" t="str">
        <x:v>B1</x:v>
      </x:c>
      <x:c r="G774" s="9" t="str">
        <x:v>RCN</x:v>
      </x:c>
      <x:c r="H774" s="9" t="str">
        <x:v>IV03</x:v>
      </x:c>
      <x:c r="I774" s="17" t="str">
        <x:v>Temporal priority</x:v>
      </x:c>
      <x:c r="J774" s="17" t="str">
        <x:v>cause demonstrably precedes the disputed candidate behavior</x:v>
      </x:c>
      <x:c r="K774" s="17" t="str">
        <x:v>Time authority</x:v>
      </x:c>
      <x:c r="L774" s="9" t="n">
        <x:v>0</x:v>
      </x:c>
      <x:c r="M774" s="9" t="n">
        <x:v>0</x:v>
      </x:c>
      <x:c r="N774" s="9" t="str">
        <x:v>UNFILED / UNPROVEN</x:v>
      </x:c>
      <x:c r="O774" s="9" t="n">
        <x:f>COUNTIFS($A$7:$A$1302,A774)</x:f>
        <x:v>1</x:v>
      </x:c>
    </x:row>
    <x:row r="775">
      <x:c r="A775" s="9" t="str">
        <x:v>EV-AR-HC-A-C-TECH-4-B1-RCN-G0-IV04</x:v>
      </x:c>
      <x:c r="B775" s="9" t="str">
        <x:v>EV-AR-HC-A-C-TECH-4-B1-RCN-G0</x:v>
      </x:c>
      <x:c r="C775" s="9" t="str">
        <x:v>AR-HC-A-C-TECH-4-B1-RCN-G0</x:v>
      </x:c>
      <x:c r="D775" s="9" t="str">
        <x:v>HC-A-C-TECH-4</x:v>
      </x:c>
      <x:c r="E775" s="9" t="str">
        <x:v>HC-A-C</x:v>
      </x:c>
      <x:c r="F775" s="9" t="str">
        <x:v>B1</x:v>
      </x:c>
      <x:c r="G775" s="9" t="str">
        <x:v>RCN</x:v>
      </x:c>
      <x:c r="H775" s="9" t="str">
        <x:v>IV04</x:v>
      </x:c>
      <x:c r="I775" s="17" t="str">
        <x:v>Independent trace</x:v>
      </x:c>
      <x:c r="J775" s="17" t="str">
        <x:v>two unlike records carry the cause without candidate custody</x:v>
      </x:c>
      <x:c r="K775" s="17" t="str">
        <x:v>Invalidity court</x:v>
      </x:c>
      <x:c r="L775" s="9" t="n">
        <x:v>0</x:v>
      </x:c>
      <x:c r="M775" s="9" t="n">
        <x:v>0</x:v>
      </x:c>
      <x:c r="N775" s="9" t="str">
        <x:v>UNFILED / UNPROVEN</x:v>
      </x:c>
      <x:c r="O775" s="9" t="n">
        <x:f>COUNTIFS($A$7:$A$1302,A775)</x:f>
        <x:v>1</x:v>
      </x:c>
    </x:row>
    <x:row r="776">
      <x:c r="A776" s="9" t="str">
        <x:v>EV-AR-HC-A-C-TECH-4-B1-RCN-G0-IV05</x:v>
      </x:c>
      <x:c r="B776" s="9" t="str">
        <x:v>EV-AR-HC-A-C-TECH-4-B1-RCN-G0</x:v>
      </x:c>
      <x:c r="C776" s="9" t="str">
        <x:v>AR-HC-A-C-TECH-4-B1-RCN-G0</x:v>
      </x:c>
      <x:c r="D776" s="9" t="str">
        <x:v>HC-A-C-TECH-4</x:v>
      </x:c>
      <x:c r="E776" s="9" t="str">
        <x:v>HC-A-C</x:v>
      </x:c>
      <x:c r="F776" s="9" t="str">
        <x:v>B1</x:v>
      </x:c>
      <x:c r="G776" s="9" t="str">
        <x:v>RCN</x:v>
      </x:c>
      <x:c r="H776" s="9" t="str">
        <x:v>IV05</x:v>
      </x:c>
      <x:c r="I776" s="17" t="str">
        <x:v>Causal counterfactual</x:v>
      </x:c>
      <x:c r="J776" s="17" t="str">
        <x:v>registered counterfactual shows the cause can create the defect</x:v>
      </x:c>
      <x:c r="K776" s="17" t="str">
        <x:v>Causal court</x:v>
      </x:c>
      <x:c r="L776" s="9" t="n">
        <x:v>0</x:v>
      </x:c>
      <x:c r="M776" s="9" t="n">
        <x:v>0</x:v>
      </x:c>
      <x:c r="N776" s="9" t="str">
        <x:v>UNFILED / UNPROVEN</x:v>
      </x:c>
      <x:c r="O776" s="9" t="n">
        <x:f>COUNTIFS($A$7:$A$1302,A776)</x:f>
        <x:v>1</x:v>
      </x:c>
    </x:row>
    <x:row r="777">
      <x:c r="A777" s="9" t="str">
        <x:v>EV-AR-HC-A-C-TECH-4-B1-RCN-G0-IV06</x:v>
      </x:c>
      <x:c r="B777" s="9" t="str">
        <x:v>EV-AR-HC-A-C-TECH-4-B1-RCN-G0</x:v>
      </x:c>
      <x:c r="C777" s="9" t="str">
        <x:v>AR-HC-A-C-TECH-4-B1-RCN-G0</x:v>
      </x:c>
      <x:c r="D777" s="9" t="str">
        <x:v>HC-A-C-TECH-4</x:v>
      </x:c>
      <x:c r="E777" s="9" t="str">
        <x:v>HC-A-C</x:v>
      </x:c>
      <x:c r="F777" s="9" t="str">
        <x:v>B1</x:v>
      </x:c>
      <x:c r="G777" s="9" t="str">
        <x:v>RCN</x:v>
      </x:c>
      <x:c r="H777" s="9" t="str">
        <x:v>IV06</x:v>
      </x:c>
      <x:c r="I777" s="17" t="str">
        <x:v>Candidate non-causation</x:v>
      </x:c>
      <x:c r="J777" s="17" t="str">
        <x:v>evidence excludes candidate induction of the facility condition</x:v>
      </x:c>
      <x:c r="K777" s="17" t="str">
        <x:v>Causal court</x:v>
      </x:c>
      <x:c r="L777" s="9" t="n">
        <x:v>0</x:v>
      </x:c>
      <x:c r="M777" s="9" t="n">
        <x:v>0</x:v>
      </x:c>
      <x:c r="N777" s="9" t="str">
        <x:v>UNFILED / UNPROVEN</x:v>
      </x:c>
      <x:c r="O777" s="9" t="n">
        <x:f>COUNTIFS($A$7:$A$1302,A777)</x:f>
        <x:v>1</x:v>
      </x:c>
    </x:row>
    <x:row r="778">
      <x:c r="A778" s="9" t="str">
        <x:v>EV-AR-HC-A-C-TECH-4-B1-RCN-G0-IV07</x:v>
      </x:c>
      <x:c r="B778" s="9" t="str">
        <x:v>EV-AR-HC-A-C-TECH-4-B1-RCN-G0</x:v>
      </x:c>
      <x:c r="C778" s="9" t="str">
        <x:v>AR-HC-A-C-TECH-4-B1-RCN-G0</x:v>
      </x:c>
      <x:c r="D778" s="9" t="str">
        <x:v>HC-A-C-TECH-4</x:v>
      </x:c>
      <x:c r="E778" s="9" t="str">
        <x:v>HC-A-C</x:v>
      </x:c>
      <x:c r="F778" s="9" t="str">
        <x:v>B1</x:v>
      </x:c>
      <x:c r="G778" s="9" t="str">
        <x:v>RCN</x:v>
      </x:c>
      <x:c r="H778" s="9" t="str">
        <x:v>IV07</x:v>
      </x:c>
      <x:c r="I778" s="17" t="str">
        <x:v>No outcome selection</x:v>
      </x:c>
      <x:c r="J778" s="17" t="str">
        <x:v>petition rule and evidence scope were fixed before visibility</x:v>
      </x:c>
      <x:c r="K778" s="17" t="str">
        <x:v>Conflict registrar</x:v>
      </x:c>
      <x:c r="L778" s="9" t="n">
        <x:v>0</x:v>
      </x:c>
      <x:c r="M778" s="9" t="n">
        <x:v>0</x:v>
      </x:c>
      <x:c r="N778" s="9" t="str">
        <x:v>UNFILED / UNPROVEN</x:v>
      </x:c>
      <x:c r="O778" s="9" t="n">
        <x:f>COUNTIFS($A$7:$A$1302,A778)</x:f>
        <x:v>1</x:v>
      </x:c>
    </x:row>
    <x:row r="779">
      <x:c r="A779" s="9" t="str">
        <x:v>EV-AR-HC-A-C-TECH-4-B1-RCN-G0-IV08</x:v>
      </x:c>
      <x:c r="B779" s="9" t="str">
        <x:v>EV-AR-HC-A-C-TECH-4-B1-RCN-G0</x:v>
      </x:c>
      <x:c r="C779" s="9" t="str">
        <x:v>AR-HC-A-C-TECH-4-B1-RCN-G0</x:v>
      </x:c>
      <x:c r="D779" s="9" t="str">
        <x:v>HC-A-C-TECH-4</x:v>
      </x:c>
      <x:c r="E779" s="9" t="str">
        <x:v>HC-A-C</x:v>
      </x:c>
      <x:c r="F779" s="9" t="str">
        <x:v>B1</x:v>
      </x:c>
      <x:c r="G779" s="9" t="str">
        <x:v>RCN</x:v>
      </x:c>
      <x:c r="H779" s="9" t="str">
        <x:v>IV08</x:v>
      </x:c>
      <x:c r="I779" s="17" t="str">
        <x:v>Whole-record preservation</x:v>
      </x:c>
      <x:c r="J779" s="17" t="str">
        <x:v>start, raw behavior, dissent and intervention remain in archive</x:v>
      </x:c>
      <x:c r="K779" s="17" t="str">
        <x:v>Archive authority</x:v>
      </x:c>
      <x:c r="L779" s="9" t="n">
        <x:v>0</x:v>
      </x:c>
      <x:c r="M779" s="9" t="n">
        <x:v>0</x:v>
      </x:c>
      <x:c r="N779" s="9" t="str">
        <x:v>UNFILED / UNPROVEN</x:v>
      </x:c>
      <x:c r="O779" s="9" t="n">
        <x:f>COUNTIFS($A$7:$A$1302,A779)</x:f>
        <x:v>1</x:v>
      </x:c>
    </x:row>
    <x:row r="780">
      <x:c r="A780" s="9" t="str">
        <x:v>EV-AR-HC-A-C-TECH-4-B1-RCN-G0-IV09</x:v>
      </x:c>
      <x:c r="B780" s="9" t="str">
        <x:v>EV-AR-HC-A-C-TECH-4-B1-RCN-G0</x:v>
      </x:c>
      <x:c r="C780" s="9" t="str">
        <x:v>AR-HC-A-C-TECH-4-B1-RCN-G0</x:v>
      </x:c>
      <x:c r="D780" s="9" t="str">
        <x:v>HC-A-C-TECH-4</x:v>
      </x:c>
      <x:c r="E780" s="9" t="str">
        <x:v>HC-A-C</x:v>
      </x:c>
      <x:c r="F780" s="9" t="str">
        <x:v>B1</x:v>
      </x:c>
      <x:c r="G780" s="9" t="str">
        <x:v>RCN</x:v>
      </x:c>
      <x:c r="H780" s="9" t="str">
        <x:v>IV09</x:v>
      </x:c>
      <x:c r="I780" s="17" t="str">
        <x:v>Bounded remedy</x:v>
      </x:c>
      <x:c r="J780" s="17" t="str">
        <x:v>only a new slot and EOW may follow; no favorable credit or erased attempt</x:v>
      </x:c>
      <x:c r="K780" s="17" t="str">
        <x:v>Invalidity court</x:v>
      </x:c>
      <x:c r="L780" s="9" t="n">
        <x:v>0</x:v>
      </x:c>
      <x:c r="M780" s="9" t="n">
        <x:v>0</x:v>
      </x:c>
      <x:c r="N780" s="9" t="str">
        <x:v>UNFILED / UNPROVEN</x:v>
      </x:c>
      <x:c r="O780" s="9" t="n">
        <x:f>COUNTIFS($A$7:$A$1302,A780)</x:f>
        <x:v>1</x:v>
      </x:c>
    </x:row>
    <x:row r="781">
      <x:c r="A781" s="9" t="str">
        <x:v>EV-AR-HC-A-C-TECH-2-B1-INT-G0-IV01</x:v>
      </x:c>
      <x:c r="B781" s="9" t="str">
        <x:v>EV-AR-HC-A-C-TECH-2-B1-INT-G0</x:v>
      </x:c>
      <x:c r="C781" s="9" t="str">
        <x:v>AR-HC-A-C-TECH-2-B1-INT-G0</x:v>
      </x:c>
      <x:c r="D781" s="9" t="str">
        <x:v>HC-A-C-TECH-2</x:v>
      </x:c>
      <x:c r="E781" s="9" t="str">
        <x:v>HC-A-C</x:v>
      </x:c>
      <x:c r="F781" s="9" t="str">
        <x:v>B1</x:v>
      </x:c>
      <x:c r="G781" s="9" t="str">
        <x:v>INT</x:v>
      </x:c>
      <x:c r="H781" s="9" t="str">
        <x:v>IV01</x:v>
      </x:c>
      <x:c r="I781" s="17" t="str">
        <x:v>Timely petition</x:v>
      </x:c>
      <x:c r="J781" s="17" t="str">
        <x:v>petition enters within seventy-two hours of event close</x:v>
      </x:c>
      <x:c r="K781" s="17" t="str">
        <x:v>Invalidity registrar</x:v>
      </x:c>
      <x:c r="L781" s="9" t="n">
        <x:v>0</x:v>
      </x:c>
      <x:c r="M781" s="9" t="n">
        <x:v>0</x:v>
      </x:c>
      <x:c r="N781" s="9" t="str">
        <x:v>UNFILED / UNPROVEN</x:v>
      </x:c>
      <x:c r="O781" s="9" t="n">
        <x:f>COUNTIFS($A$7:$A$1302,A781)</x:f>
        <x:v>1</x:v>
      </x:c>
    </x:row>
    <x:row r="782">
      <x:c r="A782" s="9" t="str">
        <x:v>EV-AR-HC-A-C-TECH-2-B1-INT-G0-IV02</x:v>
      </x:c>
      <x:c r="B782" s="9" t="str">
        <x:v>EV-AR-HC-A-C-TECH-2-B1-INT-G0</x:v>
      </x:c>
      <x:c r="C782" s="9" t="str">
        <x:v>AR-HC-A-C-TECH-2-B1-INT-G0</x:v>
      </x:c>
      <x:c r="D782" s="9" t="str">
        <x:v>HC-A-C-TECH-2</x:v>
      </x:c>
      <x:c r="E782" s="9" t="str">
        <x:v>HC-A-C</x:v>
      </x:c>
      <x:c r="F782" s="9" t="str">
        <x:v>B1</x:v>
      </x:c>
      <x:c r="G782" s="9" t="str">
        <x:v>INT</x:v>
      </x:c>
      <x:c r="H782" s="9" t="str">
        <x:v>IV02</x:v>
      </x:c>
      <x:c r="I782" s="17" t="str">
        <x:v>Named facility cause</x:v>
      </x:c>
      <x:c r="J782" s="17" t="str">
        <x:v>one pre-registered noncandidate cause is identified</x:v>
      </x:c>
      <x:c r="K782" s="17" t="str">
        <x:v>Facility-cause court</x:v>
      </x:c>
      <x:c r="L782" s="9" t="n">
        <x:v>0</x:v>
      </x:c>
      <x:c r="M782" s="9" t="n">
        <x:v>0</x:v>
      </x:c>
      <x:c r="N782" s="9" t="str">
        <x:v>UNFILED / UNPROVEN</x:v>
      </x:c>
      <x:c r="O782" s="9" t="n">
        <x:f>COUNTIFS($A$7:$A$1302,A782)</x:f>
        <x:v>1</x:v>
      </x:c>
    </x:row>
    <x:row r="783">
      <x:c r="A783" s="9" t="str">
        <x:v>EV-AR-HC-A-C-TECH-2-B1-INT-G0-IV03</x:v>
      </x:c>
      <x:c r="B783" s="9" t="str">
        <x:v>EV-AR-HC-A-C-TECH-2-B1-INT-G0</x:v>
      </x:c>
      <x:c r="C783" s="9" t="str">
        <x:v>AR-HC-A-C-TECH-2-B1-INT-G0</x:v>
      </x:c>
      <x:c r="D783" s="9" t="str">
        <x:v>HC-A-C-TECH-2</x:v>
      </x:c>
      <x:c r="E783" s="9" t="str">
        <x:v>HC-A-C</x:v>
      </x:c>
      <x:c r="F783" s="9" t="str">
        <x:v>B1</x:v>
      </x:c>
      <x:c r="G783" s="9" t="str">
        <x:v>INT</x:v>
      </x:c>
      <x:c r="H783" s="9" t="str">
        <x:v>IV03</x:v>
      </x:c>
      <x:c r="I783" s="17" t="str">
        <x:v>Temporal priority</x:v>
      </x:c>
      <x:c r="J783" s="17" t="str">
        <x:v>cause demonstrably precedes the disputed candidate behavior</x:v>
      </x:c>
      <x:c r="K783" s="17" t="str">
        <x:v>Time authority</x:v>
      </x:c>
      <x:c r="L783" s="9" t="n">
        <x:v>0</x:v>
      </x:c>
      <x:c r="M783" s="9" t="n">
        <x:v>0</x:v>
      </x:c>
      <x:c r="N783" s="9" t="str">
        <x:v>UNFILED / UNPROVEN</x:v>
      </x:c>
      <x:c r="O783" s="9" t="n">
        <x:f>COUNTIFS($A$7:$A$1302,A783)</x:f>
        <x:v>1</x:v>
      </x:c>
    </x:row>
    <x:row r="784">
      <x:c r="A784" s="9" t="str">
        <x:v>EV-AR-HC-A-C-TECH-2-B1-INT-G0-IV04</x:v>
      </x:c>
      <x:c r="B784" s="9" t="str">
        <x:v>EV-AR-HC-A-C-TECH-2-B1-INT-G0</x:v>
      </x:c>
      <x:c r="C784" s="9" t="str">
        <x:v>AR-HC-A-C-TECH-2-B1-INT-G0</x:v>
      </x:c>
      <x:c r="D784" s="9" t="str">
        <x:v>HC-A-C-TECH-2</x:v>
      </x:c>
      <x:c r="E784" s="9" t="str">
        <x:v>HC-A-C</x:v>
      </x:c>
      <x:c r="F784" s="9" t="str">
        <x:v>B1</x:v>
      </x:c>
      <x:c r="G784" s="9" t="str">
        <x:v>INT</x:v>
      </x:c>
      <x:c r="H784" s="9" t="str">
        <x:v>IV04</x:v>
      </x:c>
      <x:c r="I784" s="17" t="str">
        <x:v>Independent trace</x:v>
      </x:c>
      <x:c r="J784" s="17" t="str">
        <x:v>two unlike records carry the cause without candidate custody</x:v>
      </x:c>
      <x:c r="K784" s="17" t="str">
        <x:v>Invalidity court</x:v>
      </x:c>
      <x:c r="L784" s="9" t="n">
        <x:v>0</x:v>
      </x:c>
      <x:c r="M784" s="9" t="n">
        <x:v>0</x:v>
      </x:c>
      <x:c r="N784" s="9" t="str">
        <x:v>UNFILED / UNPROVEN</x:v>
      </x:c>
      <x:c r="O784" s="9" t="n">
        <x:f>COUNTIFS($A$7:$A$1302,A784)</x:f>
        <x:v>1</x:v>
      </x:c>
    </x:row>
    <x:row r="785">
      <x:c r="A785" s="9" t="str">
        <x:v>EV-AR-HC-A-C-TECH-2-B1-INT-G0-IV05</x:v>
      </x:c>
      <x:c r="B785" s="9" t="str">
        <x:v>EV-AR-HC-A-C-TECH-2-B1-INT-G0</x:v>
      </x:c>
      <x:c r="C785" s="9" t="str">
        <x:v>AR-HC-A-C-TECH-2-B1-INT-G0</x:v>
      </x:c>
      <x:c r="D785" s="9" t="str">
        <x:v>HC-A-C-TECH-2</x:v>
      </x:c>
      <x:c r="E785" s="9" t="str">
        <x:v>HC-A-C</x:v>
      </x:c>
      <x:c r="F785" s="9" t="str">
        <x:v>B1</x:v>
      </x:c>
      <x:c r="G785" s="9" t="str">
        <x:v>INT</x:v>
      </x:c>
      <x:c r="H785" s="9" t="str">
        <x:v>IV05</x:v>
      </x:c>
      <x:c r="I785" s="17" t="str">
        <x:v>Causal counterfactual</x:v>
      </x:c>
      <x:c r="J785" s="17" t="str">
        <x:v>registered counterfactual shows the cause can create the defect</x:v>
      </x:c>
      <x:c r="K785" s="17" t="str">
        <x:v>Causal court</x:v>
      </x:c>
      <x:c r="L785" s="9" t="n">
        <x:v>0</x:v>
      </x:c>
      <x:c r="M785" s="9" t="n">
        <x:v>0</x:v>
      </x:c>
      <x:c r="N785" s="9" t="str">
        <x:v>UNFILED / UNPROVEN</x:v>
      </x:c>
      <x:c r="O785" s="9" t="n">
        <x:f>COUNTIFS($A$7:$A$1302,A785)</x:f>
        <x:v>1</x:v>
      </x:c>
    </x:row>
    <x:row r="786">
      <x:c r="A786" s="9" t="str">
        <x:v>EV-AR-HC-A-C-TECH-2-B1-INT-G0-IV06</x:v>
      </x:c>
      <x:c r="B786" s="9" t="str">
        <x:v>EV-AR-HC-A-C-TECH-2-B1-INT-G0</x:v>
      </x:c>
      <x:c r="C786" s="9" t="str">
        <x:v>AR-HC-A-C-TECH-2-B1-INT-G0</x:v>
      </x:c>
      <x:c r="D786" s="9" t="str">
        <x:v>HC-A-C-TECH-2</x:v>
      </x:c>
      <x:c r="E786" s="9" t="str">
        <x:v>HC-A-C</x:v>
      </x:c>
      <x:c r="F786" s="9" t="str">
        <x:v>B1</x:v>
      </x:c>
      <x:c r="G786" s="9" t="str">
        <x:v>INT</x:v>
      </x:c>
      <x:c r="H786" s="9" t="str">
        <x:v>IV06</x:v>
      </x:c>
      <x:c r="I786" s="17" t="str">
        <x:v>Candidate non-causation</x:v>
      </x:c>
      <x:c r="J786" s="17" t="str">
        <x:v>evidence excludes candidate induction of the facility condition</x:v>
      </x:c>
      <x:c r="K786" s="17" t="str">
        <x:v>Causal court</x:v>
      </x:c>
      <x:c r="L786" s="9" t="n">
        <x:v>0</x:v>
      </x:c>
      <x:c r="M786" s="9" t="n">
        <x:v>0</x:v>
      </x:c>
      <x:c r="N786" s="9" t="str">
        <x:v>UNFILED / UNPROVEN</x:v>
      </x:c>
      <x:c r="O786" s="9" t="n">
        <x:f>COUNTIFS($A$7:$A$1302,A786)</x:f>
        <x:v>1</x:v>
      </x:c>
    </x:row>
    <x:row r="787">
      <x:c r="A787" s="9" t="str">
        <x:v>EV-AR-HC-A-C-TECH-2-B1-INT-G0-IV07</x:v>
      </x:c>
      <x:c r="B787" s="9" t="str">
        <x:v>EV-AR-HC-A-C-TECH-2-B1-INT-G0</x:v>
      </x:c>
      <x:c r="C787" s="9" t="str">
        <x:v>AR-HC-A-C-TECH-2-B1-INT-G0</x:v>
      </x:c>
      <x:c r="D787" s="9" t="str">
        <x:v>HC-A-C-TECH-2</x:v>
      </x:c>
      <x:c r="E787" s="9" t="str">
        <x:v>HC-A-C</x:v>
      </x:c>
      <x:c r="F787" s="9" t="str">
        <x:v>B1</x:v>
      </x:c>
      <x:c r="G787" s="9" t="str">
        <x:v>INT</x:v>
      </x:c>
      <x:c r="H787" s="9" t="str">
        <x:v>IV07</x:v>
      </x:c>
      <x:c r="I787" s="17" t="str">
        <x:v>No outcome selection</x:v>
      </x:c>
      <x:c r="J787" s="17" t="str">
        <x:v>petition rule and evidence scope were fixed before visibility</x:v>
      </x:c>
      <x:c r="K787" s="17" t="str">
        <x:v>Conflict registrar</x:v>
      </x:c>
      <x:c r="L787" s="9" t="n">
        <x:v>0</x:v>
      </x:c>
      <x:c r="M787" s="9" t="n">
        <x:v>0</x:v>
      </x:c>
      <x:c r="N787" s="9" t="str">
        <x:v>UNFILED / UNPROVEN</x:v>
      </x:c>
      <x:c r="O787" s="9" t="n">
        <x:f>COUNTIFS($A$7:$A$1302,A787)</x:f>
        <x:v>1</x:v>
      </x:c>
    </x:row>
    <x:row r="788">
      <x:c r="A788" s="9" t="str">
        <x:v>EV-AR-HC-A-C-TECH-2-B1-INT-G0-IV08</x:v>
      </x:c>
      <x:c r="B788" s="9" t="str">
        <x:v>EV-AR-HC-A-C-TECH-2-B1-INT-G0</x:v>
      </x:c>
      <x:c r="C788" s="9" t="str">
        <x:v>AR-HC-A-C-TECH-2-B1-INT-G0</x:v>
      </x:c>
      <x:c r="D788" s="9" t="str">
        <x:v>HC-A-C-TECH-2</x:v>
      </x:c>
      <x:c r="E788" s="9" t="str">
        <x:v>HC-A-C</x:v>
      </x:c>
      <x:c r="F788" s="9" t="str">
        <x:v>B1</x:v>
      </x:c>
      <x:c r="G788" s="9" t="str">
        <x:v>INT</x:v>
      </x:c>
      <x:c r="H788" s="9" t="str">
        <x:v>IV08</x:v>
      </x:c>
      <x:c r="I788" s="17" t="str">
        <x:v>Whole-record preservation</x:v>
      </x:c>
      <x:c r="J788" s="17" t="str">
        <x:v>start, raw behavior, dissent and intervention remain in archive</x:v>
      </x:c>
      <x:c r="K788" s="17" t="str">
        <x:v>Archive authority</x:v>
      </x:c>
      <x:c r="L788" s="9" t="n">
        <x:v>0</x:v>
      </x:c>
      <x:c r="M788" s="9" t="n">
        <x:v>0</x:v>
      </x:c>
      <x:c r="N788" s="9" t="str">
        <x:v>UNFILED / UNPROVEN</x:v>
      </x:c>
      <x:c r="O788" s="9" t="n">
        <x:f>COUNTIFS($A$7:$A$1302,A788)</x:f>
        <x:v>1</x:v>
      </x:c>
    </x:row>
    <x:row r="789">
      <x:c r="A789" s="9" t="str">
        <x:v>EV-AR-HC-A-C-TECH-2-B1-INT-G0-IV09</x:v>
      </x:c>
      <x:c r="B789" s="9" t="str">
        <x:v>EV-AR-HC-A-C-TECH-2-B1-INT-G0</x:v>
      </x:c>
      <x:c r="C789" s="9" t="str">
        <x:v>AR-HC-A-C-TECH-2-B1-INT-G0</x:v>
      </x:c>
      <x:c r="D789" s="9" t="str">
        <x:v>HC-A-C-TECH-2</x:v>
      </x:c>
      <x:c r="E789" s="9" t="str">
        <x:v>HC-A-C</x:v>
      </x:c>
      <x:c r="F789" s="9" t="str">
        <x:v>B1</x:v>
      </x:c>
      <x:c r="G789" s="9" t="str">
        <x:v>INT</x:v>
      </x:c>
      <x:c r="H789" s="9" t="str">
        <x:v>IV09</x:v>
      </x:c>
      <x:c r="I789" s="17" t="str">
        <x:v>Bounded remedy</x:v>
      </x:c>
      <x:c r="J789" s="17" t="str">
        <x:v>only a new slot and EOW may follow; no favorable credit or erased attempt</x:v>
      </x:c>
      <x:c r="K789" s="17" t="str">
        <x:v>Invalidity court</x:v>
      </x:c>
      <x:c r="L789" s="9" t="n">
        <x:v>0</x:v>
      </x:c>
      <x:c r="M789" s="9" t="n">
        <x:v>0</x:v>
      </x:c>
      <x:c r="N789" s="9" t="str">
        <x:v>UNFILED / UNPROVEN</x:v>
      </x:c>
      <x:c r="O789" s="9" t="n">
        <x:f>COUNTIFS($A$7:$A$1302,A789)</x:f>
        <x:v>1</x:v>
      </x:c>
    </x:row>
    <x:row r="790">
      <x:c r="A790" s="9" t="str">
        <x:v>EV-AR-LF-B-A-TECH-4-B2-BRK-G0-IV01</x:v>
      </x:c>
      <x:c r="B790" s="9" t="str">
        <x:v>EV-AR-LF-B-A-TECH-4-B2-BRK-G0</x:v>
      </x:c>
      <x:c r="C790" s="9" t="str">
        <x:v>AR-LF-B-A-TECH-4-B2-BRK-G0</x:v>
      </x:c>
      <x:c r="D790" s="9" t="str">
        <x:v>LF-B-A-TECH-4</x:v>
      </x:c>
      <x:c r="E790" s="9" t="str">
        <x:v>LF-B-A</x:v>
      </x:c>
      <x:c r="F790" s="9" t="str">
        <x:v>B2</x:v>
      </x:c>
      <x:c r="G790" s="9" t="str">
        <x:v>BRK</x:v>
      </x:c>
      <x:c r="H790" s="9" t="str">
        <x:v>IV01</x:v>
      </x:c>
      <x:c r="I790" s="17" t="str">
        <x:v>Timely petition</x:v>
      </x:c>
      <x:c r="J790" s="17" t="str">
        <x:v>petition enters within seventy-two hours of event close</x:v>
      </x:c>
      <x:c r="K790" s="17" t="str">
        <x:v>Invalidity registrar</x:v>
      </x:c>
      <x:c r="L790" s="9" t="n">
        <x:v>0</x:v>
      </x:c>
      <x:c r="M790" s="9" t="n">
        <x:v>0</x:v>
      </x:c>
      <x:c r="N790" s="9" t="str">
        <x:v>UNFILED / UNPROVEN</x:v>
      </x:c>
      <x:c r="O790" s="9" t="n">
        <x:f>COUNTIFS($A$7:$A$1302,A790)</x:f>
        <x:v>1</x:v>
      </x:c>
    </x:row>
    <x:row r="791">
      <x:c r="A791" s="9" t="str">
        <x:v>EV-AR-LF-B-A-TECH-4-B2-BRK-G0-IV02</x:v>
      </x:c>
      <x:c r="B791" s="9" t="str">
        <x:v>EV-AR-LF-B-A-TECH-4-B2-BRK-G0</x:v>
      </x:c>
      <x:c r="C791" s="9" t="str">
        <x:v>AR-LF-B-A-TECH-4-B2-BRK-G0</x:v>
      </x:c>
      <x:c r="D791" s="9" t="str">
        <x:v>LF-B-A-TECH-4</x:v>
      </x:c>
      <x:c r="E791" s="9" t="str">
        <x:v>LF-B-A</x:v>
      </x:c>
      <x:c r="F791" s="9" t="str">
        <x:v>B2</x:v>
      </x:c>
      <x:c r="G791" s="9" t="str">
        <x:v>BRK</x:v>
      </x:c>
      <x:c r="H791" s="9" t="str">
        <x:v>IV02</x:v>
      </x:c>
      <x:c r="I791" s="17" t="str">
        <x:v>Named facility cause</x:v>
      </x:c>
      <x:c r="J791" s="17" t="str">
        <x:v>one pre-registered noncandidate cause is identified</x:v>
      </x:c>
      <x:c r="K791" s="17" t="str">
        <x:v>Facility-cause court</x:v>
      </x:c>
      <x:c r="L791" s="9" t="n">
        <x:v>0</x:v>
      </x:c>
      <x:c r="M791" s="9" t="n">
        <x:v>0</x:v>
      </x:c>
      <x:c r="N791" s="9" t="str">
        <x:v>UNFILED / UNPROVEN</x:v>
      </x:c>
      <x:c r="O791" s="9" t="n">
        <x:f>COUNTIFS($A$7:$A$1302,A791)</x:f>
        <x:v>1</x:v>
      </x:c>
    </x:row>
    <x:row r="792">
      <x:c r="A792" s="9" t="str">
        <x:v>EV-AR-LF-B-A-TECH-4-B2-BRK-G0-IV03</x:v>
      </x:c>
      <x:c r="B792" s="9" t="str">
        <x:v>EV-AR-LF-B-A-TECH-4-B2-BRK-G0</x:v>
      </x:c>
      <x:c r="C792" s="9" t="str">
        <x:v>AR-LF-B-A-TECH-4-B2-BRK-G0</x:v>
      </x:c>
      <x:c r="D792" s="9" t="str">
        <x:v>LF-B-A-TECH-4</x:v>
      </x:c>
      <x:c r="E792" s="9" t="str">
        <x:v>LF-B-A</x:v>
      </x:c>
      <x:c r="F792" s="9" t="str">
        <x:v>B2</x:v>
      </x:c>
      <x:c r="G792" s="9" t="str">
        <x:v>BRK</x:v>
      </x:c>
      <x:c r="H792" s="9" t="str">
        <x:v>IV03</x:v>
      </x:c>
      <x:c r="I792" s="17" t="str">
        <x:v>Temporal priority</x:v>
      </x:c>
      <x:c r="J792" s="17" t="str">
        <x:v>cause demonstrably precedes the disputed candidate behavior</x:v>
      </x:c>
      <x:c r="K792" s="17" t="str">
        <x:v>Time authority</x:v>
      </x:c>
      <x:c r="L792" s="9" t="n">
        <x:v>0</x:v>
      </x:c>
      <x:c r="M792" s="9" t="n">
        <x:v>0</x:v>
      </x:c>
      <x:c r="N792" s="9" t="str">
        <x:v>UNFILED / UNPROVEN</x:v>
      </x:c>
      <x:c r="O792" s="9" t="n">
        <x:f>COUNTIFS($A$7:$A$1302,A792)</x:f>
        <x:v>1</x:v>
      </x:c>
    </x:row>
    <x:row r="793">
      <x:c r="A793" s="9" t="str">
        <x:v>EV-AR-LF-B-A-TECH-4-B2-BRK-G0-IV04</x:v>
      </x:c>
      <x:c r="B793" s="9" t="str">
        <x:v>EV-AR-LF-B-A-TECH-4-B2-BRK-G0</x:v>
      </x:c>
      <x:c r="C793" s="9" t="str">
        <x:v>AR-LF-B-A-TECH-4-B2-BRK-G0</x:v>
      </x:c>
      <x:c r="D793" s="9" t="str">
        <x:v>LF-B-A-TECH-4</x:v>
      </x:c>
      <x:c r="E793" s="9" t="str">
        <x:v>LF-B-A</x:v>
      </x:c>
      <x:c r="F793" s="9" t="str">
        <x:v>B2</x:v>
      </x:c>
      <x:c r="G793" s="9" t="str">
        <x:v>BRK</x:v>
      </x:c>
      <x:c r="H793" s="9" t="str">
        <x:v>IV04</x:v>
      </x:c>
      <x:c r="I793" s="17" t="str">
        <x:v>Independent trace</x:v>
      </x:c>
      <x:c r="J793" s="17" t="str">
        <x:v>two unlike records carry the cause without candidate custody</x:v>
      </x:c>
      <x:c r="K793" s="17" t="str">
        <x:v>Invalidity court</x:v>
      </x:c>
      <x:c r="L793" s="9" t="n">
        <x:v>0</x:v>
      </x:c>
      <x:c r="M793" s="9" t="n">
        <x:v>0</x:v>
      </x:c>
      <x:c r="N793" s="9" t="str">
        <x:v>UNFILED / UNPROVEN</x:v>
      </x:c>
      <x:c r="O793" s="9" t="n">
        <x:f>COUNTIFS($A$7:$A$1302,A793)</x:f>
        <x:v>1</x:v>
      </x:c>
    </x:row>
    <x:row r="794">
      <x:c r="A794" s="9" t="str">
        <x:v>EV-AR-LF-B-A-TECH-4-B2-BRK-G0-IV05</x:v>
      </x:c>
      <x:c r="B794" s="9" t="str">
        <x:v>EV-AR-LF-B-A-TECH-4-B2-BRK-G0</x:v>
      </x:c>
      <x:c r="C794" s="9" t="str">
        <x:v>AR-LF-B-A-TECH-4-B2-BRK-G0</x:v>
      </x:c>
      <x:c r="D794" s="9" t="str">
        <x:v>LF-B-A-TECH-4</x:v>
      </x:c>
      <x:c r="E794" s="9" t="str">
        <x:v>LF-B-A</x:v>
      </x:c>
      <x:c r="F794" s="9" t="str">
        <x:v>B2</x:v>
      </x:c>
      <x:c r="G794" s="9" t="str">
        <x:v>BRK</x:v>
      </x:c>
      <x:c r="H794" s="9" t="str">
        <x:v>IV05</x:v>
      </x:c>
      <x:c r="I794" s="17" t="str">
        <x:v>Causal counterfactual</x:v>
      </x:c>
      <x:c r="J794" s="17" t="str">
        <x:v>registered counterfactual shows the cause can create the defect</x:v>
      </x:c>
      <x:c r="K794" s="17" t="str">
        <x:v>Causal court</x:v>
      </x:c>
      <x:c r="L794" s="9" t="n">
        <x:v>0</x:v>
      </x:c>
      <x:c r="M794" s="9" t="n">
        <x:v>0</x:v>
      </x:c>
      <x:c r="N794" s="9" t="str">
        <x:v>UNFILED / UNPROVEN</x:v>
      </x:c>
      <x:c r="O794" s="9" t="n">
        <x:f>COUNTIFS($A$7:$A$1302,A794)</x:f>
        <x:v>1</x:v>
      </x:c>
    </x:row>
    <x:row r="795">
      <x:c r="A795" s="9" t="str">
        <x:v>EV-AR-LF-B-A-TECH-4-B2-BRK-G0-IV06</x:v>
      </x:c>
      <x:c r="B795" s="9" t="str">
        <x:v>EV-AR-LF-B-A-TECH-4-B2-BRK-G0</x:v>
      </x:c>
      <x:c r="C795" s="9" t="str">
        <x:v>AR-LF-B-A-TECH-4-B2-BRK-G0</x:v>
      </x:c>
      <x:c r="D795" s="9" t="str">
        <x:v>LF-B-A-TECH-4</x:v>
      </x:c>
      <x:c r="E795" s="9" t="str">
        <x:v>LF-B-A</x:v>
      </x:c>
      <x:c r="F795" s="9" t="str">
        <x:v>B2</x:v>
      </x:c>
      <x:c r="G795" s="9" t="str">
        <x:v>BRK</x:v>
      </x:c>
      <x:c r="H795" s="9" t="str">
        <x:v>IV06</x:v>
      </x:c>
      <x:c r="I795" s="17" t="str">
        <x:v>Candidate non-causation</x:v>
      </x:c>
      <x:c r="J795" s="17" t="str">
        <x:v>evidence excludes candidate induction of the facility condition</x:v>
      </x:c>
      <x:c r="K795" s="17" t="str">
        <x:v>Causal court</x:v>
      </x:c>
      <x:c r="L795" s="9" t="n">
        <x:v>0</x:v>
      </x:c>
      <x:c r="M795" s="9" t="n">
        <x:v>0</x:v>
      </x:c>
      <x:c r="N795" s="9" t="str">
        <x:v>UNFILED / UNPROVEN</x:v>
      </x:c>
      <x:c r="O795" s="9" t="n">
        <x:f>COUNTIFS($A$7:$A$1302,A795)</x:f>
        <x:v>1</x:v>
      </x:c>
    </x:row>
    <x:row r="796">
      <x:c r="A796" s="9" t="str">
        <x:v>EV-AR-LF-B-A-TECH-4-B2-BRK-G0-IV07</x:v>
      </x:c>
      <x:c r="B796" s="9" t="str">
        <x:v>EV-AR-LF-B-A-TECH-4-B2-BRK-G0</x:v>
      </x:c>
      <x:c r="C796" s="9" t="str">
        <x:v>AR-LF-B-A-TECH-4-B2-BRK-G0</x:v>
      </x:c>
      <x:c r="D796" s="9" t="str">
        <x:v>LF-B-A-TECH-4</x:v>
      </x:c>
      <x:c r="E796" s="9" t="str">
        <x:v>LF-B-A</x:v>
      </x:c>
      <x:c r="F796" s="9" t="str">
        <x:v>B2</x:v>
      </x:c>
      <x:c r="G796" s="9" t="str">
        <x:v>BRK</x:v>
      </x:c>
      <x:c r="H796" s="9" t="str">
        <x:v>IV07</x:v>
      </x:c>
      <x:c r="I796" s="17" t="str">
        <x:v>No outcome selection</x:v>
      </x:c>
      <x:c r="J796" s="17" t="str">
        <x:v>petition rule and evidence scope were fixed before visibility</x:v>
      </x:c>
      <x:c r="K796" s="17" t="str">
        <x:v>Conflict registrar</x:v>
      </x:c>
      <x:c r="L796" s="9" t="n">
        <x:v>0</x:v>
      </x:c>
      <x:c r="M796" s="9" t="n">
        <x:v>0</x:v>
      </x:c>
      <x:c r="N796" s="9" t="str">
        <x:v>UNFILED / UNPROVEN</x:v>
      </x:c>
      <x:c r="O796" s="9" t="n">
        <x:f>COUNTIFS($A$7:$A$1302,A796)</x:f>
        <x:v>1</x:v>
      </x:c>
    </x:row>
    <x:row r="797">
      <x:c r="A797" s="9" t="str">
        <x:v>EV-AR-LF-B-A-TECH-4-B2-BRK-G0-IV08</x:v>
      </x:c>
      <x:c r="B797" s="9" t="str">
        <x:v>EV-AR-LF-B-A-TECH-4-B2-BRK-G0</x:v>
      </x:c>
      <x:c r="C797" s="9" t="str">
        <x:v>AR-LF-B-A-TECH-4-B2-BRK-G0</x:v>
      </x:c>
      <x:c r="D797" s="9" t="str">
        <x:v>LF-B-A-TECH-4</x:v>
      </x:c>
      <x:c r="E797" s="9" t="str">
        <x:v>LF-B-A</x:v>
      </x:c>
      <x:c r="F797" s="9" t="str">
        <x:v>B2</x:v>
      </x:c>
      <x:c r="G797" s="9" t="str">
        <x:v>BRK</x:v>
      </x:c>
      <x:c r="H797" s="9" t="str">
        <x:v>IV08</x:v>
      </x:c>
      <x:c r="I797" s="17" t="str">
        <x:v>Whole-record preservation</x:v>
      </x:c>
      <x:c r="J797" s="17" t="str">
        <x:v>start, raw behavior, dissent and intervention remain in archive</x:v>
      </x:c>
      <x:c r="K797" s="17" t="str">
        <x:v>Archive authority</x:v>
      </x:c>
      <x:c r="L797" s="9" t="n">
        <x:v>0</x:v>
      </x:c>
      <x:c r="M797" s="9" t="n">
        <x:v>0</x:v>
      </x:c>
      <x:c r="N797" s="9" t="str">
        <x:v>UNFILED / UNPROVEN</x:v>
      </x:c>
      <x:c r="O797" s="9" t="n">
        <x:f>COUNTIFS($A$7:$A$1302,A797)</x:f>
        <x:v>1</x:v>
      </x:c>
    </x:row>
    <x:row r="798">
      <x:c r="A798" s="9" t="str">
        <x:v>EV-AR-LF-B-A-TECH-4-B2-BRK-G0-IV09</x:v>
      </x:c>
      <x:c r="B798" s="9" t="str">
        <x:v>EV-AR-LF-B-A-TECH-4-B2-BRK-G0</x:v>
      </x:c>
      <x:c r="C798" s="9" t="str">
        <x:v>AR-LF-B-A-TECH-4-B2-BRK-G0</x:v>
      </x:c>
      <x:c r="D798" s="9" t="str">
        <x:v>LF-B-A-TECH-4</x:v>
      </x:c>
      <x:c r="E798" s="9" t="str">
        <x:v>LF-B-A</x:v>
      </x:c>
      <x:c r="F798" s="9" t="str">
        <x:v>B2</x:v>
      </x:c>
      <x:c r="G798" s="9" t="str">
        <x:v>BRK</x:v>
      </x:c>
      <x:c r="H798" s="9" t="str">
        <x:v>IV09</x:v>
      </x:c>
      <x:c r="I798" s="17" t="str">
        <x:v>Bounded remedy</x:v>
      </x:c>
      <x:c r="J798" s="17" t="str">
        <x:v>only a new slot and EOW may follow; no favorable credit or erased attempt</x:v>
      </x:c>
      <x:c r="K798" s="17" t="str">
        <x:v>Invalidity court</x:v>
      </x:c>
      <x:c r="L798" s="9" t="n">
        <x:v>0</x:v>
      </x:c>
      <x:c r="M798" s="9" t="n">
        <x:v>0</x:v>
      </x:c>
      <x:c r="N798" s="9" t="str">
        <x:v>UNFILED / UNPROVEN</x:v>
      </x:c>
      <x:c r="O798" s="9" t="n">
        <x:f>COUNTIFS($A$7:$A$1302,A798)</x:f>
        <x:v>1</x:v>
      </x:c>
    </x:row>
    <x:row r="799">
      <x:c r="A799" s="9" t="str">
        <x:v>EV-AR-LF-B-A-TECH-3-B1-RCN-G0-IV01</x:v>
      </x:c>
      <x:c r="B799" s="9" t="str">
        <x:v>EV-AR-LF-B-A-TECH-3-B1-RCN-G0</x:v>
      </x:c>
      <x:c r="C799" s="9" t="str">
        <x:v>AR-LF-B-A-TECH-3-B1-RCN-G0</x:v>
      </x:c>
      <x:c r="D799" s="9" t="str">
        <x:v>LF-B-A-TECH-3</x:v>
      </x:c>
      <x:c r="E799" s="9" t="str">
        <x:v>LF-B-A</x:v>
      </x:c>
      <x:c r="F799" s="9" t="str">
        <x:v>B1</x:v>
      </x:c>
      <x:c r="G799" s="9" t="str">
        <x:v>RCN</x:v>
      </x:c>
      <x:c r="H799" s="9" t="str">
        <x:v>IV01</x:v>
      </x:c>
      <x:c r="I799" s="17" t="str">
        <x:v>Timely petition</x:v>
      </x:c>
      <x:c r="J799" s="17" t="str">
        <x:v>petition enters within seventy-two hours of event close</x:v>
      </x:c>
      <x:c r="K799" s="17" t="str">
        <x:v>Invalidity registrar</x:v>
      </x:c>
      <x:c r="L799" s="9" t="n">
        <x:v>0</x:v>
      </x:c>
      <x:c r="M799" s="9" t="n">
        <x:v>0</x:v>
      </x:c>
      <x:c r="N799" s="9" t="str">
        <x:v>UNFILED / UNPROVEN</x:v>
      </x:c>
      <x:c r="O799" s="9" t="n">
        <x:f>COUNTIFS($A$7:$A$1302,A799)</x:f>
        <x:v>1</x:v>
      </x:c>
    </x:row>
    <x:row r="800">
      <x:c r="A800" s="9" t="str">
        <x:v>EV-AR-LF-B-A-TECH-3-B1-RCN-G0-IV02</x:v>
      </x:c>
      <x:c r="B800" s="9" t="str">
        <x:v>EV-AR-LF-B-A-TECH-3-B1-RCN-G0</x:v>
      </x:c>
      <x:c r="C800" s="9" t="str">
        <x:v>AR-LF-B-A-TECH-3-B1-RCN-G0</x:v>
      </x:c>
      <x:c r="D800" s="9" t="str">
        <x:v>LF-B-A-TECH-3</x:v>
      </x:c>
      <x:c r="E800" s="9" t="str">
        <x:v>LF-B-A</x:v>
      </x:c>
      <x:c r="F800" s="9" t="str">
        <x:v>B1</x:v>
      </x:c>
      <x:c r="G800" s="9" t="str">
        <x:v>RCN</x:v>
      </x:c>
      <x:c r="H800" s="9" t="str">
        <x:v>IV02</x:v>
      </x:c>
      <x:c r="I800" s="17" t="str">
        <x:v>Named facility cause</x:v>
      </x:c>
      <x:c r="J800" s="17" t="str">
        <x:v>one pre-registered noncandidate cause is identified</x:v>
      </x:c>
      <x:c r="K800" s="17" t="str">
        <x:v>Facility-cause court</x:v>
      </x:c>
      <x:c r="L800" s="9" t="n">
        <x:v>0</x:v>
      </x:c>
      <x:c r="M800" s="9" t="n">
        <x:v>0</x:v>
      </x:c>
      <x:c r="N800" s="9" t="str">
        <x:v>UNFILED / UNPROVEN</x:v>
      </x:c>
      <x:c r="O800" s="9" t="n">
        <x:f>COUNTIFS($A$7:$A$1302,A800)</x:f>
        <x:v>1</x:v>
      </x:c>
    </x:row>
    <x:row r="801">
      <x:c r="A801" s="9" t="str">
        <x:v>EV-AR-LF-B-A-TECH-3-B1-RCN-G0-IV03</x:v>
      </x:c>
      <x:c r="B801" s="9" t="str">
        <x:v>EV-AR-LF-B-A-TECH-3-B1-RCN-G0</x:v>
      </x:c>
      <x:c r="C801" s="9" t="str">
        <x:v>AR-LF-B-A-TECH-3-B1-RCN-G0</x:v>
      </x:c>
      <x:c r="D801" s="9" t="str">
        <x:v>LF-B-A-TECH-3</x:v>
      </x:c>
      <x:c r="E801" s="9" t="str">
        <x:v>LF-B-A</x:v>
      </x:c>
      <x:c r="F801" s="9" t="str">
        <x:v>B1</x:v>
      </x:c>
      <x:c r="G801" s="9" t="str">
        <x:v>RCN</x:v>
      </x:c>
      <x:c r="H801" s="9" t="str">
        <x:v>IV03</x:v>
      </x:c>
      <x:c r="I801" s="17" t="str">
        <x:v>Temporal priority</x:v>
      </x:c>
      <x:c r="J801" s="17" t="str">
        <x:v>cause demonstrably precedes the disputed candidate behavior</x:v>
      </x:c>
      <x:c r="K801" s="17" t="str">
        <x:v>Time authority</x:v>
      </x:c>
      <x:c r="L801" s="9" t="n">
        <x:v>0</x:v>
      </x:c>
      <x:c r="M801" s="9" t="n">
        <x:v>0</x:v>
      </x:c>
      <x:c r="N801" s="9" t="str">
        <x:v>UNFILED / UNPROVEN</x:v>
      </x:c>
      <x:c r="O801" s="9" t="n">
        <x:f>COUNTIFS($A$7:$A$1302,A801)</x:f>
        <x:v>1</x:v>
      </x:c>
    </x:row>
    <x:row r="802">
      <x:c r="A802" s="9" t="str">
        <x:v>EV-AR-LF-B-A-TECH-3-B1-RCN-G0-IV04</x:v>
      </x:c>
      <x:c r="B802" s="9" t="str">
        <x:v>EV-AR-LF-B-A-TECH-3-B1-RCN-G0</x:v>
      </x:c>
      <x:c r="C802" s="9" t="str">
        <x:v>AR-LF-B-A-TECH-3-B1-RCN-G0</x:v>
      </x:c>
      <x:c r="D802" s="9" t="str">
        <x:v>LF-B-A-TECH-3</x:v>
      </x:c>
      <x:c r="E802" s="9" t="str">
        <x:v>LF-B-A</x:v>
      </x:c>
      <x:c r="F802" s="9" t="str">
        <x:v>B1</x:v>
      </x:c>
      <x:c r="G802" s="9" t="str">
        <x:v>RCN</x:v>
      </x:c>
      <x:c r="H802" s="9" t="str">
        <x:v>IV04</x:v>
      </x:c>
      <x:c r="I802" s="17" t="str">
        <x:v>Independent trace</x:v>
      </x:c>
      <x:c r="J802" s="17" t="str">
        <x:v>two unlike records carry the cause without candidate custody</x:v>
      </x:c>
      <x:c r="K802" s="17" t="str">
        <x:v>Invalidity court</x:v>
      </x:c>
      <x:c r="L802" s="9" t="n">
        <x:v>0</x:v>
      </x:c>
      <x:c r="M802" s="9" t="n">
        <x:v>0</x:v>
      </x:c>
      <x:c r="N802" s="9" t="str">
        <x:v>UNFILED / UNPROVEN</x:v>
      </x:c>
      <x:c r="O802" s="9" t="n">
        <x:f>COUNTIFS($A$7:$A$1302,A802)</x:f>
        <x:v>1</x:v>
      </x:c>
    </x:row>
    <x:row r="803">
      <x:c r="A803" s="9" t="str">
        <x:v>EV-AR-LF-B-A-TECH-3-B1-RCN-G0-IV05</x:v>
      </x:c>
      <x:c r="B803" s="9" t="str">
        <x:v>EV-AR-LF-B-A-TECH-3-B1-RCN-G0</x:v>
      </x:c>
      <x:c r="C803" s="9" t="str">
        <x:v>AR-LF-B-A-TECH-3-B1-RCN-G0</x:v>
      </x:c>
      <x:c r="D803" s="9" t="str">
        <x:v>LF-B-A-TECH-3</x:v>
      </x:c>
      <x:c r="E803" s="9" t="str">
        <x:v>LF-B-A</x:v>
      </x:c>
      <x:c r="F803" s="9" t="str">
        <x:v>B1</x:v>
      </x:c>
      <x:c r="G803" s="9" t="str">
        <x:v>RCN</x:v>
      </x:c>
      <x:c r="H803" s="9" t="str">
        <x:v>IV05</x:v>
      </x:c>
      <x:c r="I803" s="17" t="str">
        <x:v>Causal counterfactual</x:v>
      </x:c>
      <x:c r="J803" s="17" t="str">
        <x:v>registered counterfactual shows the cause can create the defect</x:v>
      </x:c>
      <x:c r="K803" s="17" t="str">
        <x:v>Causal court</x:v>
      </x:c>
      <x:c r="L803" s="9" t="n">
        <x:v>0</x:v>
      </x:c>
      <x:c r="M803" s="9" t="n">
        <x:v>0</x:v>
      </x:c>
      <x:c r="N803" s="9" t="str">
        <x:v>UNFILED / UNPROVEN</x:v>
      </x:c>
      <x:c r="O803" s="9" t="n">
        <x:f>COUNTIFS($A$7:$A$1302,A803)</x:f>
        <x:v>1</x:v>
      </x:c>
    </x:row>
    <x:row r="804">
      <x:c r="A804" s="9" t="str">
        <x:v>EV-AR-LF-B-A-TECH-3-B1-RCN-G0-IV06</x:v>
      </x:c>
      <x:c r="B804" s="9" t="str">
        <x:v>EV-AR-LF-B-A-TECH-3-B1-RCN-G0</x:v>
      </x:c>
      <x:c r="C804" s="9" t="str">
        <x:v>AR-LF-B-A-TECH-3-B1-RCN-G0</x:v>
      </x:c>
      <x:c r="D804" s="9" t="str">
        <x:v>LF-B-A-TECH-3</x:v>
      </x:c>
      <x:c r="E804" s="9" t="str">
        <x:v>LF-B-A</x:v>
      </x:c>
      <x:c r="F804" s="9" t="str">
        <x:v>B1</x:v>
      </x:c>
      <x:c r="G804" s="9" t="str">
        <x:v>RCN</x:v>
      </x:c>
      <x:c r="H804" s="9" t="str">
        <x:v>IV06</x:v>
      </x:c>
      <x:c r="I804" s="17" t="str">
        <x:v>Candidate non-causation</x:v>
      </x:c>
      <x:c r="J804" s="17" t="str">
        <x:v>evidence excludes candidate induction of the facility condition</x:v>
      </x:c>
      <x:c r="K804" s="17" t="str">
        <x:v>Causal court</x:v>
      </x:c>
      <x:c r="L804" s="9" t="n">
        <x:v>0</x:v>
      </x:c>
      <x:c r="M804" s="9" t="n">
        <x:v>0</x:v>
      </x:c>
      <x:c r="N804" s="9" t="str">
        <x:v>UNFILED / UNPROVEN</x:v>
      </x:c>
      <x:c r="O804" s="9" t="n">
        <x:f>COUNTIFS($A$7:$A$1302,A804)</x:f>
        <x:v>1</x:v>
      </x:c>
    </x:row>
    <x:row r="805">
      <x:c r="A805" s="9" t="str">
        <x:v>EV-AR-LF-B-A-TECH-3-B1-RCN-G0-IV07</x:v>
      </x:c>
      <x:c r="B805" s="9" t="str">
        <x:v>EV-AR-LF-B-A-TECH-3-B1-RCN-G0</x:v>
      </x:c>
      <x:c r="C805" s="9" t="str">
        <x:v>AR-LF-B-A-TECH-3-B1-RCN-G0</x:v>
      </x:c>
      <x:c r="D805" s="9" t="str">
        <x:v>LF-B-A-TECH-3</x:v>
      </x:c>
      <x:c r="E805" s="9" t="str">
        <x:v>LF-B-A</x:v>
      </x:c>
      <x:c r="F805" s="9" t="str">
        <x:v>B1</x:v>
      </x:c>
      <x:c r="G805" s="9" t="str">
        <x:v>RCN</x:v>
      </x:c>
      <x:c r="H805" s="9" t="str">
        <x:v>IV07</x:v>
      </x:c>
      <x:c r="I805" s="17" t="str">
        <x:v>No outcome selection</x:v>
      </x:c>
      <x:c r="J805" s="17" t="str">
        <x:v>petition rule and evidence scope were fixed before visibility</x:v>
      </x:c>
      <x:c r="K805" s="17" t="str">
        <x:v>Conflict registrar</x:v>
      </x:c>
      <x:c r="L805" s="9" t="n">
        <x:v>0</x:v>
      </x:c>
      <x:c r="M805" s="9" t="n">
        <x:v>0</x:v>
      </x:c>
      <x:c r="N805" s="9" t="str">
        <x:v>UNFILED / UNPROVEN</x:v>
      </x:c>
      <x:c r="O805" s="9" t="n">
        <x:f>COUNTIFS($A$7:$A$1302,A805)</x:f>
        <x:v>1</x:v>
      </x:c>
    </x:row>
    <x:row r="806">
      <x:c r="A806" s="9" t="str">
        <x:v>EV-AR-LF-B-A-TECH-3-B1-RCN-G0-IV08</x:v>
      </x:c>
      <x:c r="B806" s="9" t="str">
        <x:v>EV-AR-LF-B-A-TECH-3-B1-RCN-G0</x:v>
      </x:c>
      <x:c r="C806" s="9" t="str">
        <x:v>AR-LF-B-A-TECH-3-B1-RCN-G0</x:v>
      </x:c>
      <x:c r="D806" s="9" t="str">
        <x:v>LF-B-A-TECH-3</x:v>
      </x:c>
      <x:c r="E806" s="9" t="str">
        <x:v>LF-B-A</x:v>
      </x:c>
      <x:c r="F806" s="9" t="str">
        <x:v>B1</x:v>
      </x:c>
      <x:c r="G806" s="9" t="str">
        <x:v>RCN</x:v>
      </x:c>
      <x:c r="H806" s="9" t="str">
        <x:v>IV08</x:v>
      </x:c>
      <x:c r="I806" s="17" t="str">
        <x:v>Whole-record preservation</x:v>
      </x:c>
      <x:c r="J806" s="17" t="str">
        <x:v>start, raw behavior, dissent and intervention remain in archive</x:v>
      </x:c>
      <x:c r="K806" s="17" t="str">
        <x:v>Archive authority</x:v>
      </x:c>
      <x:c r="L806" s="9" t="n">
        <x:v>0</x:v>
      </x:c>
      <x:c r="M806" s="9" t="n">
        <x:v>0</x:v>
      </x:c>
      <x:c r="N806" s="9" t="str">
        <x:v>UNFILED / UNPROVEN</x:v>
      </x:c>
      <x:c r="O806" s="9" t="n">
        <x:f>COUNTIFS($A$7:$A$1302,A806)</x:f>
        <x:v>1</x:v>
      </x:c>
    </x:row>
    <x:row r="807">
      <x:c r="A807" s="9" t="str">
        <x:v>EV-AR-LF-B-A-TECH-3-B1-RCN-G0-IV09</x:v>
      </x:c>
      <x:c r="B807" s="9" t="str">
        <x:v>EV-AR-LF-B-A-TECH-3-B1-RCN-G0</x:v>
      </x:c>
      <x:c r="C807" s="9" t="str">
        <x:v>AR-LF-B-A-TECH-3-B1-RCN-G0</x:v>
      </x:c>
      <x:c r="D807" s="9" t="str">
        <x:v>LF-B-A-TECH-3</x:v>
      </x:c>
      <x:c r="E807" s="9" t="str">
        <x:v>LF-B-A</x:v>
      </x:c>
      <x:c r="F807" s="9" t="str">
        <x:v>B1</x:v>
      </x:c>
      <x:c r="G807" s="9" t="str">
        <x:v>RCN</x:v>
      </x:c>
      <x:c r="H807" s="9" t="str">
        <x:v>IV09</x:v>
      </x:c>
      <x:c r="I807" s="17" t="str">
        <x:v>Bounded remedy</x:v>
      </x:c>
      <x:c r="J807" s="17" t="str">
        <x:v>only a new slot and EOW may follow; no favorable credit or erased attempt</x:v>
      </x:c>
      <x:c r="K807" s="17" t="str">
        <x:v>Invalidity court</x:v>
      </x:c>
      <x:c r="L807" s="9" t="n">
        <x:v>0</x:v>
      </x:c>
      <x:c r="M807" s="9" t="n">
        <x:v>0</x:v>
      </x:c>
      <x:c r="N807" s="9" t="str">
        <x:v>UNFILED / UNPROVEN</x:v>
      </x:c>
      <x:c r="O807" s="9" t="n">
        <x:f>COUNTIFS($A$7:$A$1302,A807)</x:f>
        <x:v>1</x:v>
      </x:c>
    </x:row>
    <x:row r="808">
      <x:c r="A808" s="9" t="str">
        <x:v>EV-AR-RT-B-C-TECH-4-B2-INT-G0-IV01</x:v>
      </x:c>
      <x:c r="B808" s="9" t="str">
        <x:v>EV-AR-RT-B-C-TECH-4-B2-INT-G0</x:v>
      </x:c>
      <x:c r="C808" s="9" t="str">
        <x:v>AR-RT-B-C-TECH-4-B2-INT-G0</x:v>
      </x:c>
      <x:c r="D808" s="9" t="str">
        <x:v>RT-B-C-TECH-4</x:v>
      </x:c>
      <x:c r="E808" s="9" t="str">
        <x:v>RT-B-C</x:v>
      </x:c>
      <x:c r="F808" s="9" t="str">
        <x:v>B2</x:v>
      </x:c>
      <x:c r="G808" s="9" t="str">
        <x:v>INT</x:v>
      </x:c>
      <x:c r="H808" s="9" t="str">
        <x:v>IV01</x:v>
      </x:c>
      <x:c r="I808" s="17" t="str">
        <x:v>Timely petition</x:v>
      </x:c>
      <x:c r="J808" s="17" t="str">
        <x:v>petition enters within seventy-two hours of event close</x:v>
      </x:c>
      <x:c r="K808" s="17" t="str">
        <x:v>Invalidity registrar</x:v>
      </x:c>
      <x:c r="L808" s="9" t="n">
        <x:v>0</x:v>
      </x:c>
      <x:c r="M808" s="9" t="n">
        <x:v>0</x:v>
      </x:c>
      <x:c r="N808" s="9" t="str">
        <x:v>UNFILED / UNPROVEN</x:v>
      </x:c>
      <x:c r="O808" s="9" t="n">
        <x:f>COUNTIFS($A$7:$A$1302,A808)</x:f>
        <x:v>1</x:v>
      </x:c>
    </x:row>
    <x:row r="809">
      <x:c r="A809" s="9" t="str">
        <x:v>EV-AR-RT-B-C-TECH-4-B2-INT-G0-IV02</x:v>
      </x:c>
      <x:c r="B809" s="9" t="str">
        <x:v>EV-AR-RT-B-C-TECH-4-B2-INT-G0</x:v>
      </x:c>
      <x:c r="C809" s="9" t="str">
        <x:v>AR-RT-B-C-TECH-4-B2-INT-G0</x:v>
      </x:c>
      <x:c r="D809" s="9" t="str">
        <x:v>RT-B-C-TECH-4</x:v>
      </x:c>
      <x:c r="E809" s="9" t="str">
        <x:v>RT-B-C</x:v>
      </x:c>
      <x:c r="F809" s="9" t="str">
        <x:v>B2</x:v>
      </x:c>
      <x:c r="G809" s="9" t="str">
        <x:v>INT</x:v>
      </x:c>
      <x:c r="H809" s="9" t="str">
        <x:v>IV02</x:v>
      </x:c>
      <x:c r="I809" s="17" t="str">
        <x:v>Named facility cause</x:v>
      </x:c>
      <x:c r="J809" s="17" t="str">
        <x:v>one pre-registered noncandidate cause is identified</x:v>
      </x:c>
      <x:c r="K809" s="17" t="str">
        <x:v>Facility-cause court</x:v>
      </x:c>
      <x:c r="L809" s="9" t="n">
        <x:v>0</x:v>
      </x:c>
      <x:c r="M809" s="9" t="n">
        <x:v>0</x:v>
      </x:c>
      <x:c r="N809" s="9" t="str">
        <x:v>UNFILED / UNPROVEN</x:v>
      </x:c>
      <x:c r="O809" s="9" t="n">
        <x:f>COUNTIFS($A$7:$A$1302,A809)</x:f>
        <x:v>1</x:v>
      </x:c>
    </x:row>
    <x:row r="810">
      <x:c r="A810" s="9" t="str">
        <x:v>EV-AR-RT-B-C-TECH-4-B2-INT-G0-IV03</x:v>
      </x:c>
      <x:c r="B810" s="9" t="str">
        <x:v>EV-AR-RT-B-C-TECH-4-B2-INT-G0</x:v>
      </x:c>
      <x:c r="C810" s="9" t="str">
        <x:v>AR-RT-B-C-TECH-4-B2-INT-G0</x:v>
      </x:c>
      <x:c r="D810" s="9" t="str">
        <x:v>RT-B-C-TECH-4</x:v>
      </x:c>
      <x:c r="E810" s="9" t="str">
        <x:v>RT-B-C</x:v>
      </x:c>
      <x:c r="F810" s="9" t="str">
        <x:v>B2</x:v>
      </x:c>
      <x:c r="G810" s="9" t="str">
        <x:v>INT</x:v>
      </x:c>
      <x:c r="H810" s="9" t="str">
        <x:v>IV03</x:v>
      </x:c>
      <x:c r="I810" s="17" t="str">
        <x:v>Temporal priority</x:v>
      </x:c>
      <x:c r="J810" s="17" t="str">
        <x:v>cause demonstrably precedes the disputed candidate behavior</x:v>
      </x:c>
      <x:c r="K810" s="17" t="str">
        <x:v>Time authority</x:v>
      </x:c>
      <x:c r="L810" s="9" t="n">
        <x:v>0</x:v>
      </x:c>
      <x:c r="M810" s="9" t="n">
        <x:v>0</x:v>
      </x:c>
      <x:c r="N810" s="9" t="str">
        <x:v>UNFILED / UNPROVEN</x:v>
      </x:c>
      <x:c r="O810" s="9" t="n">
        <x:f>COUNTIFS($A$7:$A$1302,A810)</x:f>
        <x:v>1</x:v>
      </x:c>
    </x:row>
    <x:row r="811">
      <x:c r="A811" s="9" t="str">
        <x:v>EV-AR-RT-B-C-TECH-4-B2-INT-G0-IV04</x:v>
      </x:c>
      <x:c r="B811" s="9" t="str">
        <x:v>EV-AR-RT-B-C-TECH-4-B2-INT-G0</x:v>
      </x:c>
      <x:c r="C811" s="9" t="str">
        <x:v>AR-RT-B-C-TECH-4-B2-INT-G0</x:v>
      </x:c>
      <x:c r="D811" s="9" t="str">
        <x:v>RT-B-C-TECH-4</x:v>
      </x:c>
      <x:c r="E811" s="9" t="str">
        <x:v>RT-B-C</x:v>
      </x:c>
      <x:c r="F811" s="9" t="str">
        <x:v>B2</x:v>
      </x:c>
      <x:c r="G811" s="9" t="str">
        <x:v>INT</x:v>
      </x:c>
      <x:c r="H811" s="9" t="str">
        <x:v>IV04</x:v>
      </x:c>
      <x:c r="I811" s="17" t="str">
        <x:v>Independent trace</x:v>
      </x:c>
      <x:c r="J811" s="17" t="str">
        <x:v>two unlike records carry the cause without candidate custody</x:v>
      </x:c>
      <x:c r="K811" s="17" t="str">
        <x:v>Invalidity court</x:v>
      </x:c>
      <x:c r="L811" s="9" t="n">
        <x:v>0</x:v>
      </x:c>
      <x:c r="M811" s="9" t="n">
        <x:v>0</x:v>
      </x:c>
      <x:c r="N811" s="9" t="str">
        <x:v>UNFILED / UNPROVEN</x:v>
      </x:c>
      <x:c r="O811" s="9" t="n">
        <x:f>COUNTIFS($A$7:$A$1302,A811)</x:f>
        <x:v>1</x:v>
      </x:c>
    </x:row>
    <x:row r="812">
      <x:c r="A812" s="9" t="str">
        <x:v>EV-AR-RT-B-C-TECH-4-B2-INT-G0-IV05</x:v>
      </x:c>
      <x:c r="B812" s="9" t="str">
        <x:v>EV-AR-RT-B-C-TECH-4-B2-INT-G0</x:v>
      </x:c>
      <x:c r="C812" s="9" t="str">
        <x:v>AR-RT-B-C-TECH-4-B2-INT-G0</x:v>
      </x:c>
      <x:c r="D812" s="9" t="str">
        <x:v>RT-B-C-TECH-4</x:v>
      </x:c>
      <x:c r="E812" s="9" t="str">
        <x:v>RT-B-C</x:v>
      </x:c>
      <x:c r="F812" s="9" t="str">
        <x:v>B2</x:v>
      </x:c>
      <x:c r="G812" s="9" t="str">
        <x:v>INT</x:v>
      </x:c>
      <x:c r="H812" s="9" t="str">
        <x:v>IV05</x:v>
      </x:c>
      <x:c r="I812" s="17" t="str">
        <x:v>Causal counterfactual</x:v>
      </x:c>
      <x:c r="J812" s="17" t="str">
        <x:v>registered counterfactual shows the cause can create the defect</x:v>
      </x:c>
      <x:c r="K812" s="17" t="str">
        <x:v>Causal court</x:v>
      </x:c>
      <x:c r="L812" s="9" t="n">
        <x:v>0</x:v>
      </x:c>
      <x:c r="M812" s="9" t="n">
        <x:v>0</x:v>
      </x:c>
      <x:c r="N812" s="9" t="str">
        <x:v>UNFILED / UNPROVEN</x:v>
      </x:c>
      <x:c r="O812" s="9" t="n">
        <x:f>COUNTIFS($A$7:$A$1302,A812)</x:f>
        <x:v>1</x:v>
      </x:c>
    </x:row>
    <x:row r="813">
      <x:c r="A813" s="9" t="str">
        <x:v>EV-AR-RT-B-C-TECH-4-B2-INT-G0-IV06</x:v>
      </x:c>
      <x:c r="B813" s="9" t="str">
        <x:v>EV-AR-RT-B-C-TECH-4-B2-INT-G0</x:v>
      </x:c>
      <x:c r="C813" s="9" t="str">
        <x:v>AR-RT-B-C-TECH-4-B2-INT-G0</x:v>
      </x:c>
      <x:c r="D813" s="9" t="str">
        <x:v>RT-B-C-TECH-4</x:v>
      </x:c>
      <x:c r="E813" s="9" t="str">
        <x:v>RT-B-C</x:v>
      </x:c>
      <x:c r="F813" s="9" t="str">
        <x:v>B2</x:v>
      </x:c>
      <x:c r="G813" s="9" t="str">
        <x:v>INT</x:v>
      </x:c>
      <x:c r="H813" s="9" t="str">
        <x:v>IV06</x:v>
      </x:c>
      <x:c r="I813" s="17" t="str">
        <x:v>Candidate non-causation</x:v>
      </x:c>
      <x:c r="J813" s="17" t="str">
        <x:v>evidence excludes candidate induction of the facility condition</x:v>
      </x:c>
      <x:c r="K813" s="17" t="str">
        <x:v>Causal court</x:v>
      </x:c>
      <x:c r="L813" s="9" t="n">
        <x:v>0</x:v>
      </x:c>
      <x:c r="M813" s="9" t="n">
        <x:v>0</x:v>
      </x:c>
      <x:c r="N813" s="9" t="str">
        <x:v>UNFILED / UNPROVEN</x:v>
      </x:c>
      <x:c r="O813" s="9" t="n">
        <x:f>COUNTIFS($A$7:$A$1302,A813)</x:f>
        <x:v>1</x:v>
      </x:c>
    </x:row>
    <x:row r="814">
      <x:c r="A814" s="9" t="str">
        <x:v>EV-AR-RT-B-C-TECH-4-B2-INT-G0-IV07</x:v>
      </x:c>
      <x:c r="B814" s="9" t="str">
        <x:v>EV-AR-RT-B-C-TECH-4-B2-INT-G0</x:v>
      </x:c>
      <x:c r="C814" s="9" t="str">
        <x:v>AR-RT-B-C-TECH-4-B2-INT-G0</x:v>
      </x:c>
      <x:c r="D814" s="9" t="str">
        <x:v>RT-B-C-TECH-4</x:v>
      </x:c>
      <x:c r="E814" s="9" t="str">
        <x:v>RT-B-C</x:v>
      </x:c>
      <x:c r="F814" s="9" t="str">
        <x:v>B2</x:v>
      </x:c>
      <x:c r="G814" s="9" t="str">
        <x:v>INT</x:v>
      </x:c>
      <x:c r="H814" s="9" t="str">
        <x:v>IV07</x:v>
      </x:c>
      <x:c r="I814" s="17" t="str">
        <x:v>No outcome selection</x:v>
      </x:c>
      <x:c r="J814" s="17" t="str">
        <x:v>petition rule and evidence scope were fixed before visibility</x:v>
      </x:c>
      <x:c r="K814" s="17" t="str">
        <x:v>Conflict registrar</x:v>
      </x:c>
      <x:c r="L814" s="9" t="n">
        <x:v>0</x:v>
      </x:c>
      <x:c r="M814" s="9" t="n">
        <x:v>0</x:v>
      </x:c>
      <x:c r="N814" s="9" t="str">
        <x:v>UNFILED / UNPROVEN</x:v>
      </x:c>
      <x:c r="O814" s="9" t="n">
        <x:f>COUNTIFS($A$7:$A$1302,A814)</x:f>
        <x:v>1</x:v>
      </x:c>
    </x:row>
    <x:row r="815">
      <x:c r="A815" s="9" t="str">
        <x:v>EV-AR-RT-B-C-TECH-4-B2-INT-G0-IV08</x:v>
      </x:c>
      <x:c r="B815" s="9" t="str">
        <x:v>EV-AR-RT-B-C-TECH-4-B2-INT-G0</x:v>
      </x:c>
      <x:c r="C815" s="9" t="str">
        <x:v>AR-RT-B-C-TECH-4-B2-INT-G0</x:v>
      </x:c>
      <x:c r="D815" s="9" t="str">
        <x:v>RT-B-C-TECH-4</x:v>
      </x:c>
      <x:c r="E815" s="9" t="str">
        <x:v>RT-B-C</x:v>
      </x:c>
      <x:c r="F815" s="9" t="str">
        <x:v>B2</x:v>
      </x:c>
      <x:c r="G815" s="9" t="str">
        <x:v>INT</x:v>
      </x:c>
      <x:c r="H815" s="9" t="str">
        <x:v>IV08</x:v>
      </x:c>
      <x:c r="I815" s="17" t="str">
        <x:v>Whole-record preservation</x:v>
      </x:c>
      <x:c r="J815" s="17" t="str">
        <x:v>start, raw behavior, dissent and intervention remain in archive</x:v>
      </x:c>
      <x:c r="K815" s="17" t="str">
        <x:v>Archive authority</x:v>
      </x:c>
      <x:c r="L815" s="9" t="n">
        <x:v>0</x:v>
      </x:c>
      <x:c r="M815" s="9" t="n">
        <x:v>0</x:v>
      </x:c>
      <x:c r="N815" s="9" t="str">
        <x:v>UNFILED / UNPROVEN</x:v>
      </x:c>
      <x:c r="O815" s="9" t="n">
        <x:f>COUNTIFS($A$7:$A$1302,A815)</x:f>
        <x:v>1</x:v>
      </x:c>
    </x:row>
    <x:row r="816">
      <x:c r="A816" s="9" t="str">
        <x:v>EV-AR-RT-B-C-TECH-4-B2-INT-G0-IV09</x:v>
      </x:c>
      <x:c r="B816" s="9" t="str">
        <x:v>EV-AR-RT-B-C-TECH-4-B2-INT-G0</x:v>
      </x:c>
      <x:c r="C816" s="9" t="str">
        <x:v>AR-RT-B-C-TECH-4-B2-INT-G0</x:v>
      </x:c>
      <x:c r="D816" s="9" t="str">
        <x:v>RT-B-C-TECH-4</x:v>
      </x:c>
      <x:c r="E816" s="9" t="str">
        <x:v>RT-B-C</x:v>
      </x:c>
      <x:c r="F816" s="9" t="str">
        <x:v>B2</x:v>
      </x:c>
      <x:c r="G816" s="9" t="str">
        <x:v>INT</x:v>
      </x:c>
      <x:c r="H816" s="9" t="str">
        <x:v>IV09</x:v>
      </x:c>
      <x:c r="I816" s="17" t="str">
        <x:v>Bounded remedy</x:v>
      </x:c>
      <x:c r="J816" s="17" t="str">
        <x:v>only a new slot and EOW may follow; no favorable credit or erased attempt</x:v>
      </x:c>
      <x:c r="K816" s="17" t="str">
        <x:v>Invalidity court</x:v>
      </x:c>
      <x:c r="L816" s="9" t="n">
        <x:v>0</x:v>
      </x:c>
      <x:c r="M816" s="9" t="n">
        <x:v>0</x:v>
      </x:c>
      <x:c r="N816" s="9" t="str">
        <x:v>UNFILED / UNPROVEN</x:v>
      </x:c>
      <x:c r="O816" s="9" t="n">
        <x:f>COUNTIFS($A$7:$A$1302,A816)</x:f>
        <x:v>1</x:v>
      </x:c>
    </x:row>
    <x:row r="817">
      <x:c r="A817" s="9" t="str">
        <x:v>EV-AR-CT-C-B-TECH-4-B2-RCN-G0-IV01</x:v>
      </x:c>
      <x:c r="B817" s="9" t="str">
        <x:v>EV-AR-CT-C-B-TECH-4-B2-RCN-G0</x:v>
      </x:c>
      <x:c r="C817" s="9" t="str">
        <x:v>AR-CT-C-B-TECH-4-B2-RCN-G0</x:v>
      </x:c>
      <x:c r="D817" s="9" t="str">
        <x:v>CT-C-B-TECH-4</x:v>
      </x:c>
      <x:c r="E817" s="9" t="str">
        <x:v>CT-C-B</x:v>
      </x:c>
      <x:c r="F817" s="9" t="str">
        <x:v>B2</x:v>
      </x:c>
      <x:c r="G817" s="9" t="str">
        <x:v>RCN</x:v>
      </x:c>
      <x:c r="H817" s="9" t="str">
        <x:v>IV01</x:v>
      </x:c>
      <x:c r="I817" s="17" t="str">
        <x:v>Timely petition</x:v>
      </x:c>
      <x:c r="J817" s="17" t="str">
        <x:v>petition enters within seventy-two hours of event close</x:v>
      </x:c>
      <x:c r="K817" s="17" t="str">
        <x:v>Invalidity registrar</x:v>
      </x:c>
      <x:c r="L817" s="9" t="n">
        <x:v>0</x:v>
      </x:c>
      <x:c r="M817" s="9" t="n">
        <x:v>0</x:v>
      </x:c>
      <x:c r="N817" s="9" t="str">
        <x:v>UNFILED / UNPROVEN</x:v>
      </x:c>
      <x:c r="O817" s="9" t="n">
        <x:f>COUNTIFS($A$7:$A$1302,A817)</x:f>
        <x:v>1</x:v>
      </x:c>
    </x:row>
    <x:row r="818">
      <x:c r="A818" s="9" t="str">
        <x:v>EV-AR-CT-C-B-TECH-4-B2-RCN-G0-IV02</x:v>
      </x:c>
      <x:c r="B818" s="9" t="str">
        <x:v>EV-AR-CT-C-B-TECH-4-B2-RCN-G0</x:v>
      </x:c>
      <x:c r="C818" s="9" t="str">
        <x:v>AR-CT-C-B-TECH-4-B2-RCN-G0</x:v>
      </x:c>
      <x:c r="D818" s="9" t="str">
        <x:v>CT-C-B-TECH-4</x:v>
      </x:c>
      <x:c r="E818" s="9" t="str">
        <x:v>CT-C-B</x:v>
      </x:c>
      <x:c r="F818" s="9" t="str">
        <x:v>B2</x:v>
      </x:c>
      <x:c r="G818" s="9" t="str">
        <x:v>RCN</x:v>
      </x:c>
      <x:c r="H818" s="9" t="str">
        <x:v>IV02</x:v>
      </x:c>
      <x:c r="I818" s="17" t="str">
        <x:v>Named facility cause</x:v>
      </x:c>
      <x:c r="J818" s="17" t="str">
        <x:v>one pre-registered noncandidate cause is identified</x:v>
      </x:c>
      <x:c r="K818" s="17" t="str">
        <x:v>Facility-cause court</x:v>
      </x:c>
      <x:c r="L818" s="9" t="n">
        <x:v>0</x:v>
      </x:c>
      <x:c r="M818" s="9" t="n">
        <x:v>0</x:v>
      </x:c>
      <x:c r="N818" s="9" t="str">
        <x:v>UNFILED / UNPROVEN</x:v>
      </x:c>
      <x:c r="O818" s="9" t="n">
        <x:f>COUNTIFS($A$7:$A$1302,A818)</x:f>
        <x:v>1</x:v>
      </x:c>
    </x:row>
    <x:row r="819">
      <x:c r="A819" s="9" t="str">
        <x:v>EV-AR-CT-C-B-TECH-4-B2-RCN-G0-IV03</x:v>
      </x:c>
      <x:c r="B819" s="9" t="str">
        <x:v>EV-AR-CT-C-B-TECH-4-B2-RCN-G0</x:v>
      </x:c>
      <x:c r="C819" s="9" t="str">
        <x:v>AR-CT-C-B-TECH-4-B2-RCN-G0</x:v>
      </x:c>
      <x:c r="D819" s="9" t="str">
        <x:v>CT-C-B-TECH-4</x:v>
      </x:c>
      <x:c r="E819" s="9" t="str">
        <x:v>CT-C-B</x:v>
      </x:c>
      <x:c r="F819" s="9" t="str">
        <x:v>B2</x:v>
      </x:c>
      <x:c r="G819" s="9" t="str">
        <x:v>RCN</x:v>
      </x:c>
      <x:c r="H819" s="9" t="str">
        <x:v>IV03</x:v>
      </x:c>
      <x:c r="I819" s="17" t="str">
        <x:v>Temporal priority</x:v>
      </x:c>
      <x:c r="J819" s="17" t="str">
        <x:v>cause demonstrably precedes the disputed candidate behavior</x:v>
      </x:c>
      <x:c r="K819" s="17" t="str">
        <x:v>Time authority</x:v>
      </x:c>
      <x:c r="L819" s="9" t="n">
        <x:v>0</x:v>
      </x:c>
      <x:c r="M819" s="9" t="n">
        <x:v>0</x:v>
      </x:c>
      <x:c r="N819" s="9" t="str">
        <x:v>UNFILED / UNPROVEN</x:v>
      </x:c>
      <x:c r="O819" s="9" t="n">
        <x:f>COUNTIFS($A$7:$A$1302,A819)</x:f>
        <x:v>1</x:v>
      </x:c>
    </x:row>
    <x:row r="820">
      <x:c r="A820" s="9" t="str">
        <x:v>EV-AR-CT-C-B-TECH-4-B2-RCN-G0-IV04</x:v>
      </x:c>
      <x:c r="B820" s="9" t="str">
        <x:v>EV-AR-CT-C-B-TECH-4-B2-RCN-G0</x:v>
      </x:c>
      <x:c r="C820" s="9" t="str">
        <x:v>AR-CT-C-B-TECH-4-B2-RCN-G0</x:v>
      </x:c>
      <x:c r="D820" s="9" t="str">
        <x:v>CT-C-B-TECH-4</x:v>
      </x:c>
      <x:c r="E820" s="9" t="str">
        <x:v>CT-C-B</x:v>
      </x:c>
      <x:c r="F820" s="9" t="str">
        <x:v>B2</x:v>
      </x:c>
      <x:c r="G820" s="9" t="str">
        <x:v>RCN</x:v>
      </x:c>
      <x:c r="H820" s="9" t="str">
        <x:v>IV04</x:v>
      </x:c>
      <x:c r="I820" s="17" t="str">
        <x:v>Independent trace</x:v>
      </x:c>
      <x:c r="J820" s="17" t="str">
        <x:v>two unlike records carry the cause without candidate custody</x:v>
      </x:c>
      <x:c r="K820" s="17" t="str">
        <x:v>Invalidity court</x:v>
      </x:c>
      <x:c r="L820" s="9" t="n">
        <x:v>0</x:v>
      </x:c>
      <x:c r="M820" s="9" t="n">
        <x:v>0</x:v>
      </x:c>
      <x:c r="N820" s="9" t="str">
        <x:v>UNFILED / UNPROVEN</x:v>
      </x:c>
      <x:c r="O820" s="9" t="n">
        <x:f>COUNTIFS($A$7:$A$1302,A820)</x:f>
        <x:v>1</x:v>
      </x:c>
    </x:row>
    <x:row r="821">
      <x:c r="A821" s="9" t="str">
        <x:v>EV-AR-CT-C-B-TECH-4-B2-RCN-G0-IV05</x:v>
      </x:c>
      <x:c r="B821" s="9" t="str">
        <x:v>EV-AR-CT-C-B-TECH-4-B2-RCN-G0</x:v>
      </x:c>
      <x:c r="C821" s="9" t="str">
        <x:v>AR-CT-C-B-TECH-4-B2-RCN-G0</x:v>
      </x:c>
      <x:c r="D821" s="9" t="str">
        <x:v>CT-C-B-TECH-4</x:v>
      </x:c>
      <x:c r="E821" s="9" t="str">
        <x:v>CT-C-B</x:v>
      </x:c>
      <x:c r="F821" s="9" t="str">
        <x:v>B2</x:v>
      </x:c>
      <x:c r="G821" s="9" t="str">
        <x:v>RCN</x:v>
      </x:c>
      <x:c r="H821" s="9" t="str">
        <x:v>IV05</x:v>
      </x:c>
      <x:c r="I821" s="17" t="str">
        <x:v>Causal counterfactual</x:v>
      </x:c>
      <x:c r="J821" s="17" t="str">
        <x:v>registered counterfactual shows the cause can create the defect</x:v>
      </x:c>
      <x:c r="K821" s="17" t="str">
        <x:v>Causal court</x:v>
      </x:c>
      <x:c r="L821" s="9" t="n">
        <x:v>0</x:v>
      </x:c>
      <x:c r="M821" s="9" t="n">
        <x:v>0</x:v>
      </x:c>
      <x:c r="N821" s="9" t="str">
        <x:v>UNFILED / UNPROVEN</x:v>
      </x:c>
      <x:c r="O821" s="9" t="n">
        <x:f>COUNTIFS($A$7:$A$1302,A821)</x:f>
        <x:v>1</x:v>
      </x:c>
    </x:row>
    <x:row r="822">
      <x:c r="A822" s="9" t="str">
        <x:v>EV-AR-CT-C-B-TECH-4-B2-RCN-G0-IV06</x:v>
      </x:c>
      <x:c r="B822" s="9" t="str">
        <x:v>EV-AR-CT-C-B-TECH-4-B2-RCN-G0</x:v>
      </x:c>
      <x:c r="C822" s="9" t="str">
        <x:v>AR-CT-C-B-TECH-4-B2-RCN-G0</x:v>
      </x:c>
      <x:c r="D822" s="9" t="str">
        <x:v>CT-C-B-TECH-4</x:v>
      </x:c>
      <x:c r="E822" s="9" t="str">
        <x:v>CT-C-B</x:v>
      </x:c>
      <x:c r="F822" s="9" t="str">
        <x:v>B2</x:v>
      </x:c>
      <x:c r="G822" s="9" t="str">
        <x:v>RCN</x:v>
      </x:c>
      <x:c r="H822" s="9" t="str">
        <x:v>IV06</x:v>
      </x:c>
      <x:c r="I822" s="17" t="str">
        <x:v>Candidate non-causation</x:v>
      </x:c>
      <x:c r="J822" s="17" t="str">
        <x:v>evidence excludes candidate induction of the facility condition</x:v>
      </x:c>
      <x:c r="K822" s="17" t="str">
        <x:v>Causal court</x:v>
      </x:c>
      <x:c r="L822" s="9" t="n">
        <x:v>0</x:v>
      </x:c>
      <x:c r="M822" s="9" t="n">
        <x:v>0</x:v>
      </x:c>
      <x:c r="N822" s="9" t="str">
        <x:v>UNFILED / UNPROVEN</x:v>
      </x:c>
      <x:c r="O822" s="9" t="n">
        <x:f>COUNTIFS($A$7:$A$1302,A822)</x:f>
        <x:v>1</x:v>
      </x:c>
    </x:row>
    <x:row r="823">
      <x:c r="A823" s="9" t="str">
        <x:v>EV-AR-CT-C-B-TECH-4-B2-RCN-G0-IV07</x:v>
      </x:c>
      <x:c r="B823" s="9" t="str">
        <x:v>EV-AR-CT-C-B-TECH-4-B2-RCN-G0</x:v>
      </x:c>
      <x:c r="C823" s="9" t="str">
        <x:v>AR-CT-C-B-TECH-4-B2-RCN-G0</x:v>
      </x:c>
      <x:c r="D823" s="9" t="str">
        <x:v>CT-C-B-TECH-4</x:v>
      </x:c>
      <x:c r="E823" s="9" t="str">
        <x:v>CT-C-B</x:v>
      </x:c>
      <x:c r="F823" s="9" t="str">
        <x:v>B2</x:v>
      </x:c>
      <x:c r="G823" s="9" t="str">
        <x:v>RCN</x:v>
      </x:c>
      <x:c r="H823" s="9" t="str">
        <x:v>IV07</x:v>
      </x:c>
      <x:c r="I823" s="17" t="str">
        <x:v>No outcome selection</x:v>
      </x:c>
      <x:c r="J823" s="17" t="str">
        <x:v>petition rule and evidence scope were fixed before visibility</x:v>
      </x:c>
      <x:c r="K823" s="17" t="str">
        <x:v>Conflict registrar</x:v>
      </x:c>
      <x:c r="L823" s="9" t="n">
        <x:v>0</x:v>
      </x:c>
      <x:c r="M823" s="9" t="n">
        <x:v>0</x:v>
      </x:c>
      <x:c r="N823" s="9" t="str">
        <x:v>UNFILED / UNPROVEN</x:v>
      </x:c>
      <x:c r="O823" s="9" t="n">
        <x:f>COUNTIFS($A$7:$A$1302,A823)</x:f>
        <x:v>1</x:v>
      </x:c>
    </x:row>
    <x:row r="824">
      <x:c r="A824" s="9" t="str">
        <x:v>EV-AR-CT-C-B-TECH-4-B2-RCN-G0-IV08</x:v>
      </x:c>
      <x:c r="B824" s="9" t="str">
        <x:v>EV-AR-CT-C-B-TECH-4-B2-RCN-G0</x:v>
      </x:c>
      <x:c r="C824" s="9" t="str">
        <x:v>AR-CT-C-B-TECH-4-B2-RCN-G0</x:v>
      </x:c>
      <x:c r="D824" s="9" t="str">
        <x:v>CT-C-B-TECH-4</x:v>
      </x:c>
      <x:c r="E824" s="9" t="str">
        <x:v>CT-C-B</x:v>
      </x:c>
      <x:c r="F824" s="9" t="str">
        <x:v>B2</x:v>
      </x:c>
      <x:c r="G824" s="9" t="str">
        <x:v>RCN</x:v>
      </x:c>
      <x:c r="H824" s="9" t="str">
        <x:v>IV08</x:v>
      </x:c>
      <x:c r="I824" s="17" t="str">
        <x:v>Whole-record preservation</x:v>
      </x:c>
      <x:c r="J824" s="17" t="str">
        <x:v>start, raw behavior, dissent and intervention remain in archive</x:v>
      </x:c>
      <x:c r="K824" s="17" t="str">
        <x:v>Archive authority</x:v>
      </x:c>
      <x:c r="L824" s="9" t="n">
        <x:v>0</x:v>
      </x:c>
      <x:c r="M824" s="9" t="n">
        <x:v>0</x:v>
      </x:c>
      <x:c r="N824" s="9" t="str">
        <x:v>UNFILED / UNPROVEN</x:v>
      </x:c>
      <x:c r="O824" s="9" t="n">
        <x:f>COUNTIFS($A$7:$A$1302,A824)</x:f>
        <x:v>1</x:v>
      </x:c>
    </x:row>
    <x:row r="825">
      <x:c r="A825" s="9" t="str">
        <x:v>EV-AR-CT-C-B-TECH-4-B2-RCN-G0-IV09</x:v>
      </x:c>
      <x:c r="B825" s="9" t="str">
        <x:v>EV-AR-CT-C-B-TECH-4-B2-RCN-G0</x:v>
      </x:c>
      <x:c r="C825" s="9" t="str">
        <x:v>AR-CT-C-B-TECH-4-B2-RCN-G0</x:v>
      </x:c>
      <x:c r="D825" s="9" t="str">
        <x:v>CT-C-B-TECH-4</x:v>
      </x:c>
      <x:c r="E825" s="9" t="str">
        <x:v>CT-C-B</x:v>
      </x:c>
      <x:c r="F825" s="9" t="str">
        <x:v>B2</x:v>
      </x:c>
      <x:c r="G825" s="9" t="str">
        <x:v>RCN</x:v>
      </x:c>
      <x:c r="H825" s="9" t="str">
        <x:v>IV09</x:v>
      </x:c>
      <x:c r="I825" s="17" t="str">
        <x:v>Bounded remedy</x:v>
      </x:c>
      <x:c r="J825" s="17" t="str">
        <x:v>only a new slot and EOW may follow; no favorable credit or erased attempt</x:v>
      </x:c>
      <x:c r="K825" s="17" t="str">
        <x:v>Invalidity court</x:v>
      </x:c>
      <x:c r="L825" s="9" t="n">
        <x:v>0</x:v>
      </x:c>
      <x:c r="M825" s="9" t="n">
        <x:v>0</x:v>
      </x:c>
      <x:c r="N825" s="9" t="str">
        <x:v>UNFILED / UNPROVEN</x:v>
      </x:c>
      <x:c r="O825" s="9" t="n">
        <x:f>COUNTIFS($A$7:$A$1302,A825)</x:f>
        <x:v>1</x:v>
      </x:c>
    </x:row>
    <x:row r="826">
      <x:c r="A826" s="9" t="str">
        <x:v>EV-AR-CT-C-B-TECH-1-B1-BRK-G0-IV01</x:v>
      </x:c>
      <x:c r="B826" s="9" t="str">
        <x:v>EV-AR-CT-C-B-TECH-1-B1-BRK-G0</x:v>
      </x:c>
      <x:c r="C826" s="9" t="str">
        <x:v>AR-CT-C-B-TECH-1-B1-BRK-G0</x:v>
      </x:c>
      <x:c r="D826" s="9" t="str">
        <x:v>CT-C-B-TECH-1</x:v>
      </x:c>
      <x:c r="E826" s="9" t="str">
        <x:v>CT-C-B</x:v>
      </x:c>
      <x:c r="F826" s="9" t="str">
        <x:v>B1</x:v>
      </x:c>
      <x:c r="G826" s="9" t="str">
        <x:v>BRK</x:v>
      </x:c>
      <x:c r="H826" s="9" t="str">
        <x:v>IV01</x:v>
      </x:c>
      <x:c r="I826" s="17" t="str">
        <x:v>Timely petition</x:v>
      </x:c>
      <x:c r="J826" s="17" t="str">
        <x:v>petition enters within seventy-two hours of event close</x:v>
      </x:c>
      <x:c r="K826" s="17" t="str">
        <x:v>Invalidity registrar</x:v>
      </x:c>
      <x:c r="L826" s="9" t="n">
        <x:v>0</x:v>
      </x:c>
      <x:c r="M826" s="9" t="n">
        <x:v>0</x:v>
      </x:c>
      <x:c r="N826" s="9" t="str">
        <x:v>UNFILED / UNPROVEN</x:v>
      </x:c>
      <x:c r="O826" s="9" t="n">
        <x:f>COUNTIFS($A$7:$A$1302,A826)</x:f>
        <x:v>1</x:v>
      </x:c>
    </x:row>
    <x:row r="827">
      <x:c r="A827" s="9" t="str">
        <x:v>EV-AR-CT-C-B-TECH-1-B1-BRK-G0-IV02</x:v>
      </x:c>
      <x:c r="B827" s="9" t="str">
        <x:v>EV-AR-CT-C-B-TECH-1-B1-BRK-G0</x:v>
      </x:c>
      <x:c r="C827" s="9" t="str">
        <x:v>AR-CT-C-B-TECH-1-B1-BRK-G0</x:v>
      </x:c>
      <x:c r="D827" s="9" t="str">
        <x:v>CT-C-B-TECH-1</x:v>
      </x:c>
      <x:c r="E827" s="9" t="str">
        <x:v>CT-C-B</x:v>
      </x:c>
      <x:c r="F827" s="9" t="str">
        <x:v>B1</x:v>
      </x:c>
      <x:c r="G827" s="9" t="str">
        <x:v>BRK</x:v>
      </x:c>
      <x:c r="H827" s="9" t="str">
        <x:v>IV02</x:v>
      </x:c>
      <x:c r="I827" s="17" t="str">
        <x:v>Named facility cause</x:v>
      </x:c>
      <x:c r="J827" s="17" t="str">
        <x:v>one pre-registered noncandidate cause is identified</x:v>
      </x:c>
      <x:c r="K827" s="17" t="str">
        <x:v>Facility-cause court</x:v>
      </x:c>
      <x:c r="L827" s="9" t="n">
        <x:v>0</x:v>
      </x:c>
      <x:c r="M827" s="9" t="n">
        <x:v>0</x:v>
      </x:c>
      <x:c r="N827" s="9" t="str">
        <x:v>UNFILED / UNPROVEN</x:v>
      </x:c>
      <x:c r="O827" s="9" t="n">
        <x:f>COUNTIFS($A$7:$A$1302,A827)</x:f>
        <x:v>1</x:v>
      </x:c>
    </x:row>
    <x:row r="828">
      <x:c r="A828" s="9" t="str">
        <x:v>EV-AR-CT-C-B-TECH-1-B1-BRK-G0-IV03</x:v>
      </x:c>
      <x:c r="B828" s="9" t="str">
        <x:v>EV-AR-CT-C-B-TECH-1-B1-BRK-G0</x:v>
      </x:c>
      <x:c r="C828" s="9" t="str">
        <x:v>AR-CT-C-B-TECH-1-B1-BRK-G0</x:v>
      </x:c>
      <x:c r="D828" s="9" t="str">
        <x:v>CT-C-B-TECH-1</x:v>
      </x:c>
      <x:c r="E828" s="9" t="str">
        <x:v>CT-C-B</x:v>
      </x:c>
      <x:c r="F828" s="9" t="str">
        <x:v>B1</x:v>
      </x:c>
      <x:c r="G828" s="9" t="str">
        <x:v>BRK</x:v>
      </x:c>
      <x:c r="H828" s="9" t="str">
        <x:v>IV03</x:v>
      </x:c>
      <x:c r="I828" s="17" t="str">
        <x:v>Temporal priority</x:v>
      </x:c>
      <x:c r="J828" s="17" t="str">
        <x:v>cause demonstrably precedes the disputed candidate behavior</x:v>
      </x:c>
      <x:c r="K828" s="17" t="str">
        <x:v>Time authority</x:v>
      </x:c>
      <x:c r="L828" s="9" t="n">
        <x:v>0</x:v>
      </x:c>
      <x:c r="M828" s="9" t="n">
        <x:v>0</x:v>
      </x:c>
      <x:c r="N828" s="9" t="str">
        <x:v>UNFILED / UNPROVEN</x:v>
      </x:c>
      <x:c r="O828" s="9" t="n">
        <x:f>COUNTIFS($A$7:$A$1302,A828)</x:f>
        <x:v>1</x:v>
      </x:c>
    </x:row>
    <x:row r="829">
      <x:c r="A829" s="9" t="str">
        <x:v>EV-AR-CT-C-B-TECH-1-B1-BRK-G0-IV04</x:v>
      </x:c>
      <x:c r="B829" s="9" t="str">
        <x:v>EV-AR-CT-C-B-TECH-1-B1-BRK-G0</x:v>
      </x:c>
      <x:c r="C829" s="9" t="str">
        <x:v>AR-CT-C-B-TECH-1-B1-BRK-G0</x:v>
      </x:c>
      <x:c r="D829" s="9" t="str">
        <x:v>CT-C-B-TECH-1</x:v>
      </x:c>
      <x:c r="E829" s="9" t="str">
        <x:v>CT-C-B</x:v>
      </x:c>
      <x:c r="F829" s="9" t="str">
        <x:v>B1</x:v>
      </x:c>
      <x:c r="G829" s="9" t="str">
        <x:v>BRK</x:v>
      </x:c>
      <x:c r="H829" s="9" t="str">
        <x:v>IV04</x:v>
      </x:c>
      <x:c r="I829" s="17" t="str">
        <x:v>Independent trace</x:v>
      </x:c>
      <x:c r="J829" s="17" t="str">
        <x:v>two unlike records carry the cause without candidate custody</x:v>
      </x:c>
      <x:c r="K829" s="17" t="str">
        <x:v>Invalidity court</x:v>
      </x:c>
      <x:c r="L829" s="9" t="n">
        <x:v>0</x:v>
      </x:c>
      <x:c r="M829" s="9" t="n">
        <x:v>0</x:v>
      </x:c>
      <x:c r="N829" s="9" t="str">
        <x:v>UNFILED / UNPROVEN</x:v>
      </x:c>
      <x:c r="O829" s="9" t="n">
        <x:f>COUNTIFS($A$7:$A$1302,A829)</x:f>
        <x:v>1</x:v>
      </x:c>
    </x:row>
    <x:row r="830">
      <x:c r="A830" s="9" t="str">
        <x:v>EV-AR-CT-C-B-TECH-1-B1-BRK-G0-IV05</x:v>
      </x:c>
      <x:c r="B830" s="9" t="str">
        <x:v>EV-AR-CT-C-B-TECH-1-B1-BRK-G0</x:v>
      </x:c>
      <x:c r="C830" s="9" t="str">
        <x:v>AR-CT-C-B-TECH-1-B1-BRK-G0</x:v>
      </x:c>
      <x:c r="D830" s="9" t="str">
        <x:v>CT-C-B-TECH-1</x:v>
      </x:c>
      <x:c r="E830" s="9" t="str">
        <x:v>CT-C-B</x:v>
      </x:c>
      <x:c r="F830" s="9" t="str">
        <x:v>B1</x:v>
      </x:c>
      <x:c r="G830" s="9" t="str">
        <x:v>BRK</x:v>
      </x:c>
      <x:c r="H830" s="9" t="str">
        <x:v>IV05</x:v>
      </x:c>
      <x:c r="I830" s="17" t="str">
        <x:v>Causal counterfactual</x:v>
      </x:c>
      <x:c r="J830" s="17" t="str">
        <x:v>registered counterfactual shows the cause can create the defect</x:v>
      </x:c>
      <x:c r="K830" s="17" t="str">
        <x:v>Causal court</x:v>
      </x:c>
      <x:c r="L830" s="9" t="n">
        <x:v>0</x:v>
      </x:c>
      <x:c r="M830" s="9" t="n">
        <x:v>0</x:v>
      </x:c>
      <x:c r="N830" s="9" t="str">
        <x:v>UNFILED / UNPROVEN</x:v>
      </x:c>
      <x:c r="O830" s="9" t="n">
        <x:f>COUNTIFS($A$7:$A$1302,A830)</x:f>
        <x:v>1</x:v>
      </x:c>
    </x:row>
    <x:row r="831">
      <x:c r="A831" s="9" t="str">
        <x:v>EV-AR-CT-C-B-TECH-1-B1-BRK-G0-IV06</x:v>
      </x:c>
      <x:c r="B831" s="9" t="str">
        <x:v>EV-AR-CT-C-B-TECH-1-B1-BRK-G0</x:v>
      </x:c>
      <x:c r="C831" s="9" t="str">
        <x:v>AR-CT-C-B-TECH-1-B1-BRK-G0</x:v>
      </x:c>
      <x:c r="D831" s="9" t="str">
        <x:v>CT-C-B-TECH-1</x:v>
      </x:c>
      <x:c r="E831" s="9" t="str">
        <x:v>CT-C-B</x:v>
      </x:c>
      <x:c r="F831" s="9" t="str">
        <x:v>B1</x:v>
      </x:c>
      <x:c r="G831" s="9" t="str">
        <x:v>BRK</x:v>
      </x:c>
      <x:c r="H831" s="9" t="str">
        <x:v>IV06</x:v>
      </x:c>
      <x:c r="I831" s="17" t="str">
        <x:v>Candidate non-causation</x:v>
      </x:c>
      <x:c r="J831" s="17" t="str">
        <x:v>evidence excludes candidate induction of the facility condition</x:v>
      </x:c>
      <x:c r="K831" s="17" t="str">
        <x:v>Causal court</x:v>
      </x:c>
      <x:c r="L831" s="9" t="n">
        <x:v>0</x:v>
      </x:c>
      <x:c r="M831" s="9" t="n">
        <x:v>0</x:v>
      </x:c>
      <x:c r="N831" s="9" t="str">
        <x:v>UNFILED / UNPROVEN</x:v>
      </x:c>
      <x:c r="O831" s="9" t="n">
        <x:f>COUNTIFS($A$7:$A$1302,A831)</x:f>
        <x:v>1</x:v>
      </x:c>
    </x:row>
    <x:row r="832">
      <x:c r="A832" s="9" t="str">
        <x:v>EV-AR-CT-C-B-TECH-1-B1-BRK-G0-IV07</x:v>
      </x:c>
      <x:c r="B832" s="9" t="str">
        <x:v>EV-AR-CT-C-B-TECH-1-B1-BRK-G0</x:v>
      </x:c>
      <x:c r="C832" s="9" t="str">
        <x:v>AR-CT-C-B-TECH-1-B1-BRK-G0</x:v>
      </x:c>
      <x:c r="D832" s="9" t="str">
        <x:v>CT-C-B-TECH-1</x:v>
      </x:c>
      <x:c r="E832" s="9" t="str">
        <x:v>CT-C-B</x:v>
      </x:c>
      <x:c r="F832" s="9" t="str">
        <x:v>B1</x:v>
      </x:c>
      <x:c r="G832" s="9" t="str">
        <x:v>BRK</x:v>
      </x:c>
      <x:c r="H832" s="9" t="str">
        <x:v>IV07</x:v>
      </x:c>
      <x:c r="I832" s="17" t="str">
        <x:v>No outcome selection</x:v>
      </x:c>
      <x:c r="J832" s="17" t="str">
        <x:v>petition rule and evidence scope were fixed before visibility</x:v>
      </x:c>
      <x:c r="K832" s="17" t="str">
        <x:v>Conflict registrar</x:v>
      </x:c>
      <x:c r="L832" s="9" t="n">
        <x:v>0</x:v>
      </x:c>
      <x:c r="M832" s="9" t="n">
        <x:v>0</x:v>
      </x:c>
      <x:c r="N832" s="9" t="str">
        <x:v>UNFILED / UNPROVEN</x:v>
      </x:c>
      <x:c r="O832" s="9" t="n">
        <x:f>COUNTIFS($A$7:$A$1302,A832)</x:f>
        <x:v>1</x:v>
      </x:c>
    </x:row>
    <x:row r="833">
      <x:c r="A833" s="9" t="str">
        <x:v>EV-AR-CT-C-B-TECH-1-B1-BRK-G0-IV08</x:v>
      </x:c>
      <x:c r="B833" s="9" t="str">
        <x:v>EV-AR-CT-C-B-TECH-1-B1-BRK-G0</x:v>
      </x:c>
      <x:c r="C833" s="9" t="str">
        <x:v>AR-CT-C-B-TECH-1-B1-BRK-G0</x:v>
      </x:c>
      <x:c r="D833" s="9" t="str">
        <x:v>CT-C-B-TECH-1</x:v>
      </x:c>
      <x:c r="E833" s="9" t="str">
        <x:v>CT-C-B</x:v>
      </x:c>
      <x:c r="F833" s="9" t="str">
        <x:v>B1</x:v>
      </x:c>
      <x:c r="G833" s="9" t="str">
        <x:v>BRK</x:v>
      </x:c>
      <x:c r="H833" s="9" t="str">
        <x:v>IV08</x:v>
      </x:c>
      <x:c r="I833" s="17" t="str">
        <x:v>Whole-record preservation</x:v>
      </x:c>
      <x:c r="J833" s="17" t="str">
        <x:v>start, raw behavior, dissent and intervention remain in archive</x:v>
      </x:c>
      <x:c r="K833" s="17" t="str">
        <x:v>Archive authority</x:v>
      </x:c>
      <x:c r="L833" s="9" t="n">
        <x:v>0</x:v>
      </x:c>
      <x:c r="M833" s="9" t="n">
        <x:v>0</x:v>
      </x:c>
      <x:c r="N833" s="9" t="str">
        <x:v>UNFILED / UNPROVEN</x:v>
      </x:c>
      <x:c r="O833" s="9" t="n">
        <x:f>COUNTIFS($A$7:$A$1302,A833)</x:f>
        <x:v>1</x:v>
      </x:c>
    </x:row>
    <x:row r="834">
      <x:c r="A834" s="9" t="str">
        <x:v>EV-AR-CT-C-B-TECH-1-B1-BRK-G0-IV09</x:v>
      </x:c>
      <x:c r="B834" s="9" t="str">
        <x:v>EV-AR-CT-C-B-TECH-1-B1-BRK-G0</x:v>
      </x:c>
      <x:c r="C834" s="9" t="str">
        <x:v>AR-CT-C-B-TECH-1-B1-BRK-G0</x:v>
      </x:c>
      <x:c r="D834" s="9" t="str">
        <x:v>CT-C-B-TECH-1</x:v>
      </x:c>
      <x:c r="E834" s="9" t="str">
        <x:v>CT-C-B</x:v>
      </x:c>
      <x:c r="F834" s="9" t="str">
        <x:v>B1</x:v>
      </x:c>
      <x:c r="G834" s="9" t="str">
        <x:v>BRK</x:v>
      </x:c>
      <x:c r="H834" s="9" t="str">
        <x:v>IV09</x:v>
      </x:c>
      <x:c r="I834" s="17" t="str">
        <x:v>Bounded remedy</x:v>
      </x:c>
      <x:c r="J834" s="17" t="str">
        <x:v>only a new slot and EOW may follow; no favorable credit or erased attempt</x:v>
      </x:c>
      <x:c r="K834" s="17" t="str">
        <x:v>Invalidity court</x:v>
      </x:c>
      <x:c r="L834" s="9" t="n">
        <x:v>0</x:v>
      </x:c>
      <x:c r="M834" s="9" t="n">
        <x:v>0</x:v>
      </x:c>
      <x:c r="N834" s="9" t="str">
        <x:v>UNFILED / UNPROVEN</x:v>
      </x:c>
      <x:c r="O834" s="9" t="n">
        <x:f>COUNTIFS($A$7:$A$1302,A834)</x:f>
        <x:v>1</x:v>
      </x:c>
    </x:row>
    <x:row r="835">
      <x:c r="A835" s="9" t="str">
        <x:v>EV-AR-ET-A-A-TECH-2-B1-BRK-G0-IV01</x:v>
      </x:c>
      <x:c r="B835" s="9" t="str">
        <x:v>EV-AR-ET-A-A-TECH-2-B1-BRK-G0</x:v>
      </x:c>
      <x:c r="C835" s="9" t="str">
        <x:v>AR-ET-A-A-TECH-2-B1-BRK-G0</x:v>
      </x:c>
      <x:c r="D835" s="9" t="str">
        <x:v>ET-A-A-TECH-2</x:v>
      </x:c>
      <x:c r="E835" s="9" t="str">
        <x:v>ET-A-A</x:v>
      </x:c>
      <x:c r="F835" s="9" t="str">
        <x:v>B1</x:v>
      </x:c>
      <x:c r="G835" s="9" t="str">
        <x:v>BRK</x:v>
      </x:c>
      <x:c r="H835" s="9" t="str">
        <x:v>IV01</x:v>
      </x:c>
      <x:c r="I835" s="17" t="str">
        <x:v>Timely petition</x:v>
      </x:c>
      <x:c r="J835" s="17" t="str">
        <x:v>petition enters within seventy-two hours of event close</x:v>
      </x:c>
      <x:c r="K835" s="17" t="str">
        <x:v>Invalidity registrar</x:v>
      </x:c>
      <x:c r="L835" s="9" t="n">
        <x:v>0</x:v>
      </x:c>
      <x:c r="M835" s="9" t="n">
        <x:v>0</x:v>
      </x:c>
      <x:c r="N835" s="9" t="str">
        <x:v>UNFILED / UNPROVEN</x:v>
      </x:c>
      <x:c r="O835" s="9" t="n">
        <x:f>COUNTIFS($A$7:$A$1302,A835)</x:f>
        <x:v>1</x:v>
      </x:c>
    </x:row>
    <x:row r="836">
      <x:c r="A836" s="9" t="str">
        <x:v>EV-AR-ET-A-A-TECH-2-B1-BRK-G0-IV02</x:v>
      </x:c>
      <x:c r="B836" s="9" t="str">
        <x:v>EV-AR-ET-A-A-TECH-2-B1-BRK-G0</x:v>
      </x:c>
      <x:c r="C836" s="9" t="str">
        <x:v>AR-ET-A-A-TECH-2-B1-BRK-G0</x:v>
      </x:c>
      <x:c r="D836" s="9" t="str">
        <x:v>ET-A-A-TECH-2</x:v>
      </x:c>
      <x:c r="E836" s="9" t="str">
        <x:v>ET-A-A</x:v>
      </x:c>
      <x:c r="F836" s="9" t="str">
        <x:v>B1</x:v>
      </x:c>
      <x:c r="G836" s="9" t="str">
        <x:v>BRK</x:v>
      </x:c>
      <x:c r="H836" s="9" t="str">
        <x:v>IV02</x:v>
      </x:c>
      <x:c r="I836" s="17" t="str">
        <x:v>Named facility cause</x:v>
      </x:c>
      <x:c r="J836" s="17" t="str">
        <x:v>one pre-registered noncandidate cause is identified</x:v>
      </x:c>
      <x:c r="K836" s="17" t="str">
        <x:v>Facility-cause court</x:v>
      </x:c>
      <x:c r="L836" s="9" t="n">
        <x:v>0</x:v>
      </x:c>
      <x:c r="M836" s="9" t="n">
        <x:v>0</x:v>
      </x:c>
      <x:c r="N836" s="9" t="str">
        <x:v>UNFILED / UNPROVEN</x:v>
      </x:c>
      <x:c r="O836" s="9" t="n">
        <x:f>COUNTIFS($A$7:$A$1302,A836)</x:f>
        <x:v>1</x:v>
      </x:c>
    </x:row>
    <x:row r="837">
      <x:c r="A837" s="9" t="str">
        <x:v>EV-AR-ET-A-A-TECH-2-B1-BRK-G0-IV03</x:v>
      </x:c>
      <x:c r="B837" s="9" t="str">
        <x:v>EV-AR-ET-A-A-TECH-2-B1-BRK-G0</x:v>
      </x:c>
      <x:c r="C837" s="9" t="str">
        <x:v>AR-ET-A-A-TECH-2-B1-BRK-G0</x:v>
      </x:c>
      <x:c r="D837" s="9" t="str">
        <x:v>ET-A-A-TECH-2</x:v>
      </x:c>
      <x:c r="E837" s="9" t="str">
        <x:v>ET-A-A</x:v>
      </x:c>
      <x:c r="F837" s="9" t="str">
        <x:v>B1</x:v>
      </x:c>
      <x:c r="G837" s="9" t="str">
        <x:v>BRK</x:v>
      </x:c>
      <x:c r="H837" s="9" t="str">
        <x:v>IV03</x:v>
      </x:c>
      <x:c r="I837" s="17" t="str">
        <x:v>Temporal priority</x:v>
      </x:c>
      <x:c r="J837" s="17" t="str">
        <x:v>cause demonstrably precedes the disputed candidate behavior</x:v>
      </x:c>
      <x:c r="K837" s="17" t="str">
        <x:v>Time authority</x:v>
      </x:c>
      <x:c r="L837" s="9" t="n">
        <x:v>0</x:v>
      </x:c>
      <x:c r="M837" s="9" t="n">
        <x:v>0</x:v>
      </x:c>
      <x:c r="N837" s="9" t="str">
        <x:v>UNFILED / UNPROVEN</x:v>
      </x:c>
      <x:c r="O837" s="9" t="n">
        <x:f>COUNTIFS($A$7:$A$1302,A837)</x:f>
        <x:v>1</x:v>
      </x:c>
    </x:row>
    <x:row r="838">
      <x:c r="A838" s="9" t="str">
        <x:v>EV-AR-ET-A-A-TECH-2-B1-BRK-G0-IV04</x:v>
      </x:c>
      <x:c r="B838" s="9" t="str">
        <x:v>EV-AR-ET-A-A-TECH-2-B1-BRK-G0</x:v>
      </x:c>
      <x:c r="C838" s="9" t="str">
        <x:v>AR-ET-A-A-TECH-2-B1-BRK-G0</x:v>
      </x:c>
      <x:c r="D838" s="9" t="str">
        <x:v>ET-A-A-TECH-2</x:v>
      </x:c>
      <x:c r="E838" s="9" t="str">
        <x:v>ET-A-A</x:v>
      </x:c>
      <x:c r="F838" s="9" t="str">
        <x:v>B1</x:v>
      </x:c>
      <x:c r="G838" s="9" t="str">
        <x:v>BRK</x:v>
      </x:c>
      <x:c r="H838" s="9" t="str">
        <x:v>IV04</x:v>
      </x:c>
      <x:c r="I838" s="17" t="str">
        <x:v>Independent trace</x:v>
      </x:c>
      <x:c r="J838" s="17" t="str">
        <x:v>two unlike records carry the cause without candidate custody</x:v>
      </x:c>
      <x:c r="K838" s="17" t="str">
        <x:v>Invalidity court</x:v>
      </x:c>
      <x:c r="L838" s="9" t="n">
        <x:v>0</x:v>
      </x:c>
      <x:c r="M838" s="9" t="n">
        <x:v>0</x:v>
      </x:c>
      <x:c r="N838" s="9" t="str">
        <x:v>UNFILED / UNPROVEN</x:v>
      </x:c>
      <x:c r="O838" s="9" t="n">
        <x:f>COUNTIFS($A$7:$A$1302,A838)</x:f>
        <x:v>1</x:v>
      </x:c>
    </x:row>
    <x:row r="839">
      <x:c r="A839" s="9" t="str">
        <x:v>EV-AR-ET-A-A-TECH-2-B1-BRK-G0-IV05</x:v>
      </x:c>
      <x:c r="B839" s="9" t="str">
        <x:v>EV-AR-ET-A-A-TECH-2-B1-BRK-G0</x:v>
      </x:c>
      <x:c r="C839" s="9" t="str">
        <x:v>AR-ET-A-A-TECH-2-B1-BRK-G0</x:v>
      </x:c>
      <x:c r="D839" s="9" t="str">
        <x:v>ET-A-A-TECH-2</x:v>
      </x:c>
      <x:c r="E839" s="9" t="str">
        <x:v>ET-A-A</x:v>
      </x:c>
      <x:c r="F839" s="9" t="str">
        <x:v>B1</x:v>
      </x:c>
      <x:c r="G839" s="9" t="str">
        <x:v>BRK</x:v>
      </x:c>
      <x:c r="H839" s="9" t="str">
        <x:v>IV05</x:v>
      </x:c>
      <x:c r="I839" s="17" t="str">
        <x:v>Causal counterfactual</x:v>
      </x:c>
      <x:c r="J839" s="17" t="str">
        <x:v>registered counterfactual shows the cause can create the defect</x:v>
      </x:c>
      <x:c r="K839" s="17" t="str">
        <x:v>Causal court</x:v>
      </x:c>
      <x:c r="L839" s="9" t="n">
        <x:v>0</x:v>
      </x:c>
      <x:c r="M839" s="9" t="n">
        <x:v>0</x:v>
      </x:c>
      <x:c r="N839" s="9" t="str">
        <x:v>UNFILED / UNPROVEN</x:v>
      </x:c>
      <x:c r="O839" s="9" t="n">
        <x:f>COUNTIFS($A$7:$A$1302,A839)</x:f>
        <x:v>1</x:v>
      </x:c>
    </x:row>
    <x:row r="840">
      <x:c r="A840" s="9" t="str">
        <x:v>EV-AR-ET-A-A-TECH-2-B1-BRK-G0-IV06</x:v>
      </x:c>
      <x:c r="B840" s="9" t="str">
        <x:v>EV-AR-ET-A-A-TECH-2-B1-BRK-G0</x:v>
      </x:c>
      <x:c r="C840" s="9" t="str">
        <x:v>AR-ET-A-A-TECH-2-B1-BRK-G0</x:v>
      </x:c>
      <x:c r="D840" s="9" t="str">
        <x:v>ET-A-A-TECH-2</x:v>
      </x:c>
      <x:c r="E840" s="9" t="str">
        <x:v>ET-A-A</x:v>
      </x:c>
      <x:c r="F840" s="9" t="str">
        <x:v>B1</x:v>
      </x:c>
      <x:c r="G840" s="9" t="str">
        <x:v>BRK</x:v>
      </x:c>
      <x:c r="H840" s="9" t="str">
        <x:v>IV06</x:v>
      </x:c>
      <x:c r="I840" s="17" t="str">
        <x:v>Candidate non-causation</x:v>
      </x:c>
      <x:c r="J840" s="17" t="str">
        <x:v>evidence excludes candidate induction of the facility condition</x:v>
      </x:c>
      <x:c r="K840" s="17" t="str">
        <x:v>Causal court</x:v>
      </x:c>
      <x:c r="L840" s="9" t="n">
        <x:v>0</x:v>
      </x:c>
      <x:c r="M840" s="9" t="n">
        <x:v>0</x:v>
      </x:c>
      <x:c r="N840" s="9" t="str">
        <x:v>UNFILED / UNPROVEN</x:v>
      </x:c>
      <x:c r="O840" s="9" t="n">
        <x:f>COUNTIFS($A$7:$A$1302,A840)</x:f>
        <x:v>1</x:v>
      </x:c>
    </x:row>
    <x:row r="841">
      <x:c r="A841" s="9" t="str">
        <x:v>EV-AR-ET-A-A-TECH-2-B1-BRK-G0-IV07</x:v>
      </x:c>
      <x:c r="B841" s="9" t="str">
        <x:v>EV-AR-ET-A-A-TECH-2-B1-BRK-G0</x:v>
      </x:c>
      <x:c r="C841" s="9" t="str">
        <x:v>AR-ET-A-A-TECH-2-B1-BRK-G0</x:v>
      </x:c>
      <x:c r="D841" s="9" t="str">
        <x:v>ET-A-A-TECH-2</x:v>
      </x:c>
      <x:c r="E841" s="9" t="str">
        <x:v>ET-A-A</x:v>
      </x:c>
      <x:c r="F841" s="9" t="str">
        <x:v>B1</x:v>
      </x:c>
      <x:c r="G841" s="9" t="str">
        <x:v>BRK</x:v>
      </x:c>
      <x:c r="H841" s="9" t="str">
        <x:v>IV07</x:v>
      </x:c>
      <x:c r="I841" s="17" t="str">
        <x:v>No outcome selection</x:v>
      </x:c>
      <x:c r="J841" s="17" t="str">
        <x:v>petition rule and evidence scope were fixed before visibility</x:v>
      </x:c>
      <x:c r="K841" s="17" t="str">
        <x:v>Conflict registrar</x:v>
      </x:c>
      <x:c r="L841" s="9" t="n">
        <x:v>0</x:v>
      </x:c>
      <x:c r="M841" s="9" t="n">
        <x:v>0</x:v>
      </x:c>
      <x:c r="N841" s="9" t="str">
        <x:v>UNFILED / UNPROVEN</x:v>
      </x:c>
      <x:c r="O841" s="9" t="n">
        <x:f>COUNTIFS($A$7:$A$1302,A841)</x:f>
        <x:v>1</x:v>
      </x:c>
    </x:row>
    <x:row r="842">
      <x:c r="A842" s="9" t="str">
        <x:v>EV-AR-ET-A-A-TECH-2-B1-BRK-G0-IV08</x:v>
      </x:c>
      <x:c r="B842" s="9" t="str">
        <x:v>EV-AR-ET-A-A-TECH-2-B1-BRK-G0</x:v>
      </x:c>
      <x:c r="C842" s="9" t="str">
        <x:v>AR-ET-A-A-TECH-2-B1-BRK-G0</x:v>
      </x:c>
      <x:c r="D842" s="9" t="str">
        <x:v>ET-A-A-TECH-2</x:v>
      </x:c>
      <x:c r="E842" s="9" t="str">
        <x:v>ET-A-A</x:v>
      </x:c>
      <x:c r="F842" s="9" t="str">
        <x:v>B1</x:v>
      </x:c>
      <x:c r="G842" s="9" t="str">
        <x:v>BRK</x:v>
      </x:c>
      <x:c r="H842" s="9" t="str">
        <x:v>IV08</x:v>
      </x:c>
      <x:c r="I842" s="17" t="str">
        <x:v>Whole-record preservation</x:v>
      </x:c>
      <x:c r="J842" s="17" t="str">
        <x:v>start, raw behavior, dissent and intervention remain in archive</x:v>
      </x:c>
      <x:c r="K842" s="17" t="str">
        <x:v>Archive authority</x:v>
      </x:c>
      <x:c r="L842" s="9" t="n">
        <x:v>0</x:v>
      </x:c>
      <x:c r="M842" s="9" t="n">
        <x:v>0</x:v>
      </x:c>
      <x:c r="N842" s="9" t="str">
        <x:v>UNFILED / UNPROVEN</x:v>
      </x:c>
      <x:c r="O842" s="9" t="n">
        <x:f>COUNTIFS($A$7:$A$1302,A842)</x:f>
        <x:v>1</x:v>
      </x:c>
    </x:row>
    <x:row r="843">
      <x:c r="A843" s="9" t="str">
        <x:v>EV-AR-ET-A-A-TECH-2-B1-BRK-G0-IV09</x:v>
      </x:c>
      <x:c r="B843" s="9" t="str">
        <x:v>EV-AR-ET-A-A-TECH-2-B1-BRK-G0</x:v>
      </x:c>
      <x:c r="C843" s="9" t="str">
        <x:v>AR-ET-A-A-TECH-2-B1-BRK-G0</x:v>
      </x:c>
      <x:c r="D843" s="9" t="str">
        <x:v>ET-A-A-TECH-2</x:v>
      </x:c>
      <x:c r="E843" s="9" t="str">
        <x:v>ET-A-A</x:v>
      </x:c>
      <x:c r="F843" s="9" t="str">
        <x:v>B1</x:v>
      </x:c>
      <x:c r="G843" s="9" t="str">
        <x:v>BRK</x:v>
      </x:c>
      <x:c r="H843" s="9" t="str">
        <x:v>IV09</x:v>
      </x:c>
      <x:c r="I843" s="17" t="str">
        <x:v>Bounded remedy</x:v>
      </x:c>
      <x:c r="J843" s="17" t="str">
        <x:v>only a new slot and EOW may follow; no favorable credit or erased attempt</x:v>
      </x:c>
      <x:c r="K843" s="17" t="str">
        <x:v>Invalidity court</x:v>
      </x:c>
      <x:c r="L843" s="9" t="n">
        <x:v>0</x:v>
      </x:c>
      <x:c r="M843" s="9" t="n">
        <x:v>0</x:v>
      </x:c>
      <x:c r="N843" s="9" t="str">
        <x:v>UNFILED / UNPROVEN</x:v>
      </x:c>
      <x:c r="O843" s="9" t="n">
        <x:f>COUNTIFS($A$7:$A$1302,A843)</x:f>
        <x:v>1</x:v>
      </x:c>
    </x:row>
    <x:row r="844">
      <x:c r="A844" s="9" t="str">
        <x:v>EV-AR-HU-A-B-TECH-4-B1-BRK-G0-IV01</x:v>
      </x:c>
      <x:c r="B844" s="9" t="str">
        <x:v>EV-AR-HU-A-B-TECH-4-B1-BRK-G0</x:v>
      </x:c>
      <x:c r="C844" s="9" t="str">
        <x:v>AR-HU-A-B-TECH-4-B1-BRK-G0</x:v>
      </x:c>
      <x:c r="D844" s="9" t="str">
        <x:v>HU-A-B-TECH-4</x:v>
      </x:c>
      <x:c r="E844" s="9" t="str">
        <x:v>HU-A-B</x:v>
      </x:c>
      <x:c r="F844" s="9" t="str">
        <x:v>B1</x:v>
      </x:c>
      <x:c r="G844" s="9" t="str">
        <x:v>BRK</x:v>
      </x:c>
      <x:c r="H844" s="9" t="str">
        <x:v>IV01</x:v>
      </x:c>
      <x:c r="I844" s="17" t="str">
        <x:v>Timely petition</x:v>
      </x:c>
      <x:c r="J844" s="17" t="str">
        <x:v>petition enters within seventy-two hours of event close</x:v>
      </x:c>
      <x:c r="K844" s="17" t="str">
        <x:v>Invalidity registrar</x:v>
      </x:c>
      <x:c r="L844" s="9" t="n">
        <x:v>0</x:v>
      </x:c>
      <x:c r="M844" s="9" t="n">
        <x:v>0</x:v>
      </x:c>
      <x:c r="N844" s="9" t="str">
        <x:v>UNFILED / UNPROVEN</x:v>
      </x:c>
      <x:c r="O844" s="9" t="n">
        <x:f>COUNTIFS($A$7:$A$1302,A844)</x:f>
        <x:v>1</x:v>
      </x:c>
    </x:row>
    <x:row r="845">
      <x:c r="A845" s="9" t="str">
        <x:v>EV-AR-HU-A-B-TECH-4-B1-BRK-G0-IV02</x:v>
      </x:c>
      <x:c r="B845" s="9" t="str">
        <x:v>EV-AR-HU-A-B-TECH-4-B1-BRK-G0</x:v>
      </x:c>
      <x:c r="C845" s="9" t="str">
        <x:v>AR-HU-A-B-TECH-4-B1-BRK-G0</x:v>
      </x:c>
      <x:c r="D845" s="9" t="str">
        <x:v>HU-A-B-TECH-4</x:v>
      </x:c>
      <x:c r="E845" s="9" t="str">
        <x:v>HU-A-B</x:v>
      </x:c>
      <x:c r="F845" s="9" t="str">
        <x:v>B1</x:v>
      </x:c>
      <x:c r="G845" s="9" t="str">
        <x:v>BRK</x:v>
      </x:c>
      <x:c r="H845" s="9" t="str">
        <x:v>IV02</x:v>
      </x:c>
      <x:c r="I845" s="17" t="str">
        <x:v>Named facility cause</x:v>
      </x:c>
      <x:c r="J845" s="17" t="str">
        <x:v>one pre-registered noncandidate cause is identified</x:v>
      </x:c>
      <x:c r="K845" s="17" t="str">
        <x:v>Facility-cause court</x:v>
      </x:c>
      <x:c r="L845" s="9" t="n">
        <x:v>0</x:v>
      </x:c>
      <x:c r="M845" s="9" t="n">
        <x:v>0</x:v>
      </x:c>
      <x:c r="N845" s="9" t="str">
        <x:v>UNFILED / UNPROVEN</x:v>
      </x:c>
      <x:c r="O845" s="9" t="n">
        <x:f>COUNTIFS($A$7:$A$1302,A845)</x:f>
        <x:v>1</x:v>
      </x:c>
    </x:row>
    <x:row r="846">
      <x:c r="A846" s="9" t="str">
        <x:v>EV-AR-HU-A-B-TECH-4-B1-BRK-G0-IV03</x:v>
      </x:c>
      <x:c r="B846" s="9" t="str">
        <x:v>EV-AR-HU-A-B-TECH-4-B1-BRK-G0</x:v>
      </x:c>
      <x:c r="C846" s="9" t="str">
        <x:v>AR-HU-A-B-TECH-4-B1-BRK-G0</x:v>
      </x:c>
      <x:c r="D846" s="9" t="str">
        <x:v>HU-A-B-TECH-4</x:v>
      </x:c>
      <x:c r="E846" s="9" t="str">
        <x:v>HU-A-B</x:v>
      </x:c>
      <x:c r="F846" s="9" t="str">
        <x:v>B1</x:v>
      </x:c>
      <x:c r="G846" s="9" t="str">
        <x:v>BRK</x:v>
      </x:c>
      <x:c r="H846" s="9" t="str">
        <x:v>IV03</x:v>
      </x:c>
      <x:c r="I846" s="17" t="str">
        <x:v>Temporal priority</x:v>
      </x:c>
      <x:c r="J846" s="17" t="str">
        <x:v>cause demonstrably precedes the disputed candidate behavior</x:v>
      </x:c>
      <x:c r="K846" s="17" t="str">
        <x:v>Time authority</x:v>
      </x:c>
      <x:c r="L846" s="9" t="n">
        <x:v>0</x:v>
      </x:c>
      <x:c r="M846" s="9" t="n">
        <x:v>0</x:v>
      </x:c>
      <x:c r="N846" s="9" t="str">
        <x:v>UNFILED / UNPROVEN</x:v>
      </x:c>
      <x:c r="O846" s="9" t="n">
        <x:f>COUNTIFS($A$7:$A$1302,A846)</x:f>
        <x:v>1</x:v>
      </x:c>
    </x:row>
    <x:row r="847">
      <x:c r="A847" s="9" t="str">
        <x:v>EV-AR-HU-A-B-TECH-4-B1-BRK-G0-IV04</x:v>
      </x:c>
      <x:c r="B847" s="9" t="str">
        <x:v>EV-AR-HU-A-B-TECH-4-B1-BRK-G0</x:v>
      </x:c>
      <x:c r="C847" s="9" t="str">
        <x:v>AR-HU-A-B-TECH-4-B1-BRK-G0</x:v>
      </x:c>
      <x:c r="D847" s="9" t="str">
        <x:v>HU-A-B-TECH-4</x:v>
      </x:c>
      <x:c r="E847" s="9" t="str">
        <x:v>HU-A-B</x:v>
      </x:c>
      <x:c r="F847" s="9" t="str">
        <x:v>B1</x:v>
      </x:c>
      <x:c r="G847" s="9" t="str">
        <x:v>BRK</x:v>
      </x:c>
      <x:c r="H847" s="9" t="str">
        <x:v>IV04</x:v>
      </x:c>
      <x:c r="I847" s="17" t="str">
        <x:v>Independent trace</x:v>
      </x:c>
      <x:c r="J847" s="17" t="str">
        <x:v>two unlike records carry the cause without candidate custody</x:v>
      </x:c>
      <x:c r="K847" s="17" t="str">
        <x:v>Invalidity court</x:v>
      </x:c>
      <x:c r="L847" s="9" t="n">
        <x:v>0</x:v>
      </x:c>
      <x:c r="M847" s="9" t="n">
        <x:v>0</x:v>
      </x:c>
      <x:c r="N847" s="9" t="str">
        <x:v>UNFILED / UNPROVEN</x:v>
      </x:c>
      <x:c r="O847" s="9" t="n">
        <x:f>COUNTIFS($A$7:$A$1302,A847)</x:f>
        <x:v>1</x:v>
      </x:c>
    </x:row>
    <x:row r="848">
      <x:c r="A848" s="9" t="str">
        <x:v>EV-AR-HU-A-B-TECH-4-B1-BRK-G0-IV05</x:v>
      </x:c>
      <x:c r="B848" s="9" t="str">
        <x:v>EV-AR-HU-A-B-TECH-4-B1-BRK-G0</x:v>
      </x:c>
      <x:c r="C848" s="9" t="str">
        <x:v>AR-HU-A-B-TECH-4-B1-BRK-G0</x:v>
      </x:c>
      <x:c r="D848" s="9" t="str">
        <x:v>HU-A-B-TECH-4</x:v>
      </x:c>
      <x:c r="E848" s="9" t="str">
        <x:v>HU-A-B</x:v>
      </x:c>
      <x:c r="F848" s="9" t="str">
        <x:v>B1</x:v>
      </x:c>
      <x:c r="G848" s="9" t="str">
        <x:v>BRK</x:v>
      </x:c>
      <x:c r="H848" s="9" t="str">
        <x:v>IV05</x:v>
      </x:c>
      <x:c r="I848" s="17" t="str">
        <x:v>Causal counterfactual</x:v>
      </x:c>
      <x:c r="J848" s="17" t="str">
        <x:v>registered counterfactual shows the cause can create the defect</x:v>
      </x:c>
      <x:c r="K848" s="17" t="str">
        <x:v>Causal court</x:v>
      </x:c>
      <x:c r="L848" s="9" t="n">
        <x:v>0</x:v>
      </x:c>
      <x:c r="M848" s="9" t="n">
        <x:v>0</x:v>
      </x:c>
      <x:c r="N848" s="9" t="str">
        <x:v>UNFILED / UNPROVEN</x:v>
      </x:c>
      <x:c r="O848" s="9" t="n">
        <x:f>COUNTIFS($A$7:$A$1302,A848)</x:f>
        <x:v>1</x:v>
      </x:c>
    </x:row>
    <x:row r="849">
      <x:c r="A849" s="9" t="str">
        <x:v>EV-AR-HU-A-B-TECH-4-B1-BRK-G0-IV06</x:v>
      </x:c>
      <x:c r="B849" s="9" t="str">
        <x:v>EV-AR-HU-A-B-TECH-4-B1-BRK-G0</x:v>
      </x:c>
      <x:c r="C849" s="9" t="str">
        <x:v>AR-HU-A-B-TECH-4-B1-BRK-G0</x:v>
      </x:c>
      <x:c r="D849" s="9" t="str">
        <x:v>HU-A-B-TECH-4</x:v>
      </x:c>
      <x:c r="E849" s="9" t="str">
        <x:v>HU-A-B</x:v>
      </x:c>
      <x:c r="F849" s="9" t="str">
        <x:v>B1</x:v>
      </x:c>
      <x:c r="G849" s="9" t="str">
        <x:v>BRK</x:v>
      </x:c>
      <x:c r="H849" s="9" t="str">
        <x:v>IV06</x:v>
      </x:c>
      <x:c r="I849" s="17" t="str">
        <x:v>Candidate non-causation</x:v>
      </x:c>
      <x:c r="J849" s="17" t="str">
        <x:v>evidence excludes candidate induction of the facility condition</x:v>
      </x:c>
      <x:c r="K849" s="17" t="str">
        <x:v>Causal court</x:v>
      </x:c>
      <x:c r="L849" s="9" t="n">
        <x:v>0</x:v>
      </x:c>
      <x:c r="M849" s="9" t="n">
        <x:v>0</x:v>
      </x:c>
      <x:c r="N849" s="9" t="str">
        <x:v>UNFILED / UNPROVEN</x:v>
      </x:c>
      <x:c r="O849" s="9" t="n">
        <x:f>COUNTIFS($A$7:$A$1302,A849)</x:f>
        <x:v>1</x:v>
      </x:c>
    </x:row>
    <x:row r="850">
      <x:c r="A850" s="9" t="str">
        <x:v>EV-AR-HU-A-B-TECH-4-B1-BRK-G0-IV07</x:v>
      </x:c>
      <x:c r="B850" s="9" t="str">
        <x:v>EV-AR-HU-A-B-TECH-4-B1-BRK-G0</x:v>
      </x:c>
      <x:c r="C850" s="9" t="str">
        <x:v>AR-HU-A-B-TECH-4-B1-BRK-G0</x:v>
      </x:c>
      <x:c r="D850" s="9" t="str">
        <x:v>HU-A-B-TECH-4</x:v>
      </x:c>
      <x:c r="E850" s="9" t="str">
        <x:v>HU-A-B</x:v>
      </x:c>
      <x:c r="F850" s="9" t="str">
        <x:v>B1</x:v>
      </x:c>
      <x:c r="G850" s="9" t="str">
        <x:v>BRK</x:v>
      </x:c>
      <x:c r="H850" s="9" t="str">
        <x:v>IV07</x:v>
      </x:c>
      <x:c r="I850" s="17" t="str">
        <x:v>No outcome selection</x:v>
      </x:c>
      <x:c r="J850" s="17" t="str">
        <x:v>petition rule and evidence scope were fixed before visibility</x:v>
      </x:c>
      <x:c r="K850" s="17" t="str">
        <x:v>Conflict registrar</x:v>
      </x:c>
      <x:c r="L850" s="9" t="n">
        <x:v>0</x:v>
      </x:c>
      <x:c r="M850" s="9" t="n">
        <x:v>0</x:v>
      </x:c>
      <x:c r="N850" s="9" t="str">
        <x:v>UNFILED / UNPROVEN</x:v>
      </x:c>
      <x:c r="O850" s="9" t="n">
        <x:f>COUNTIFS($A$7:$A$1302,A850)</x:f>
        <x:v>1</x:v>
      </x:c>
    </x:row>
    <x:row r="851">
      <x:c r="A851" s="9" t="str">
        <x:v>EV-AR-HU-A-B-TECH-4-B1-BRK-G0-IV08</x:v>
      </x:c>
      <x:c r="B851" s="9" t="str">
        <x:v>EV-AR-HU-A-B-TECH-4-B1-BRK-G0</x:v>
      </x:c>
      <x:c r="C851" s="9" t="str">
        <x:v>AR-HU-A-B-TECH-4-B1-BRK-G0</x:v>
      </x:c>
      <x:c r="D851" s="9" t="str">
        <x:v>HU-A-B-TECH-4</x:v>
      </x:c>
      <x:c r="E851" s="9" t="str">
        <x:v>HU-A-B</x:v>
      </x:c>
      <x:c r="F851" s="9" t="str">
        <x:v>B1</x:v>
      </x:c>
      <x:c r="G851" s="9" t="str">
        <x:v>BRK</x:v>
      </x:c>
      <x:c r="H851" s="9" t="str">
        <x:v>IV08</x:v>
      </x:c>
      <x:c r="I851" s="17" t="str">
        <x:v>Whole-record preservation</x:v>
      </x:c>
      <x:c r="J851" s="17" t="str">
        <x:v>start, raw behavior, dissent and intervention remain in archive</x:v>
      </x:c>
      <x:c r="K851" s="17" t="str">
        <x:v>Archive authority</x:v>
      </x:c>
      <x:c r="L851" s="9" t="n">
        <x:v>0</x:v>
      </x:c>
      <x:c r="M851" s="9" t="n">
        <x:v>0</x:v>
      </x:c>
      <x:c r="N851" s="9" t="str">
        <x:v>UNFILED / UNPROVEN</x:v>
      </x:c>
      <x:c r="O851" s="9" t="n">
        <x:f>COUNTIFS($A$7:$A$1302,A851)</x:f>
        <x:v>1</x:v>
      </x:c>
    </x:row>
    <x:row r="852">
      <x:c r="A852" s="9" t="str">
        <x:v>EV-AR-HU-A-B-TECH-4-B1-BRK-G0-IV09</x:v>
      </x:c>
      <x:c r="B852" s="9" t="str">
        <x:v>EV-AR-HU-A-B-TECH-4-B1-BRK-G0</x:v>
      </x:c>
      <x:c r="C852" s="9" t="str">
        <x:v>AR-HU-A-B-TECH-4-B1-BRK-G0</x:v>
      </x:c>
      <x:c r="D852" s="9" t="str">
        <x:v>HU-A-B-TECH-4</x:v>
      </x:c>
      <x:c r="E852" s="9" t="str">
        <x:v>HU-A-B</x:v>
      </x:c>
      <x:c r="F852" s="9" t="str">
        <x:v>B1</x:v>
      </x:c>
      <x:c r="G852" s="9" t="str">
        <x:v>BRK</x:v>
      </x:c>
      <x:c r="H852" s="9" t="str">
        <x:v>IV09</x:v>
      </x:c>
      <x:c r="I852" s="17" t="str">
        <x:v>Bounded remedy</x:v>
      </x:c>
      <x:c r="J852" s="17" t="str">
        <x:v>only a new slot and EOW may follow; no favorable credit or erased attempt</x:v>
      </x:c>
      <x:c r="K852" s="17" t="str">
        <x:v>Invalidity court</x:v>
      </x:c>
      <x:c r="L852" s="9" t="n">
        <x:v>0</x:v>
      </x:c>
      <x:c r="M852" s="9" t="n">
        <x:v>0</x:v>
      </x:c>
      <x:c r="N852" s="9" t="str">
        <x:v>UNFILED / UNPROVEN</x:v>
      </x:c>
      <x:c r="O852" s="9" t="n">
        <x:f>COUNTIFS($A$7:$A$1302,A852)</x:f>
        <x:v>1</x:v>
      </x:c>
    </x:row>
    <x:row r="853">
      <x:c r="A853" s="9" t="str">
        <x:v>EV-AR-HU-A-B-TECH-2-B1-RCN-G0-IV01</x:v>
      </x:c>
      <x:c r="B853" s="9" t="str">
        <x:v>EV-AR-HU-A-B-TECH-2-B1-RCN-G0</x:v>
      </x:c>
      <x:c r="C853" s="9" t="str">
        <x:v>AR-HU-A-B-TECH-2-B1-RCN-G0</x:v>
      </x:c>
      <x:c r="D853" s="9" t="str">
        <x:v>HU-A-B-TECH-2</x:v>
      </x:c>
      <x:c r="E853" s="9" t="str">
        <x:v>HU-A-B</x:v>
      </x:c>
      <x:c r="F853" s="9" t="str">
        <x:v>B1</x:v>
      </x:c>
      <x:c r="G853" s="9" t="str">
        <x:v>RCN</x:v>
      </x:c>
      <x:c r="H853" s="9" t="str">
        <x:v>IV01</x:v>
      </x:c>
      <x:c r="I853" s="17" t="str">
        <x:v>Timely petition</x:v>
      </x:c>
      <x:c r="J853" s="17" t="str">
        <x:v>petition enters within seventy-two hours of event close</x:v>
      </x:c>
      <x:c r="K853" s="17" t="str">
        <x:v>Invalidity registrar</x:v>
      </x:c>
      <x:c r="L853" s="9" t="n">
        <x:v>0</x:v>
      </x:c>
      <x:c r="M853" s="9" t="n">
        <x:v>0</x:v>
      </x:c>
      <x:c r="N853" s="9" t="str">
        <x:v>UNFILED / UNPROVEN</x:v>
      </x:c>
      <x:c r="O853" s="9" t="n">
        <x:f>COUNTIFS($A$7:$A$1302,A853)</x:f>
        <x:v>1</x:v>
      </x:c>
    </x:row>
    <x:row r="854">
      <x:c r="A854" s="9" t="str">
        <x:v>EV-AR-HU-A-B-TECH-2-B1-RCN-G0-IV02</x:v>
      </x:c>
      <x:c r="B854" s="9" t="str">
        <x:v>EV-AR-HU-A-B-TECH-2-B1-RCN-G0</x:v>
      </x:c>
      <x:c r="C854" s="9" t="str">
        <x:v>AR-HU-A-B-TECH-2-B1-RCN-G0</x:v>
      </x:c>
      <x:c r="D854" s="9" t="str">
        <x:v>HU-A-B-TECH-2</x:v>
      </x:c>
      <x:c r="E854" s="9" t="str">
        <x:v>HU-A-B</x:v>
      </x:c>
      <x:c r="F854" s="9" t="str">
        <x:v>B1</x:v>
      </x:c>
      <x:c r="G854" s="9" t="str">
        <x:v>RCN</x:v>
      </x:c>
      <x:c r="H854" s="9" t="str">
        <x:v>IV02</x:v>
      </x:c>
      <x:c r="I854" s="17" t="str">
        <x:v>Named facility cause</x:v>
      </x:c>
      <x:c r="J854" s="17" t="str">
        <x:v>one pre-registered noncandidate cause is identified</x:v>
      </x:c>
      <x:c r="K854" s="17" t="str">
        <x:v>Facility-cause court</x:v>
      </x:c>
      <x:c r="L854" s="9" t="n">
        <x:v>0</x:v>
      </x:c>
      <x:c r="M854" s="9" t="n">
        <x:v>0</x:v>
      </x:c>
      <x:c r="N854" s="9" t="str">
        <x:v>UNFILED / UNPROVEN</x:v>
      </x:c>
      <x:c r="O854" s="9" t="n">
        <x:f>COUNTIFS($A$7:$A$1302,A854)</x:f>
        <x:v>1</x:v>
      </x:c>
    </x:row>
    <x:row r="855">
      <x:c r="A855" s="9" t="str">
        <x:v>EV-AR-HU-A-B-TECH-2-B1-RCN-G0-IV03</x:v>
      </x:c>
      <x:c r="B855" s="9" t="str">
        <x:v>EV-AR-HU-A-B-TECH-2-B1-RCN-G0</x:v>
      </x:c>
      <x:c r="C855" s="9" t="str">
        <x:v>AR-HU-A-B-TECH-2-B1-RCN-G0</x:v>
      </x:c>
      <x:c r="D855" s="9" t="str">
        <x:v>HU-A-B-TECH-2</x:v>
      </x:c>
      <x:c r="E855" s="9" t="str">
        <x:v>HU-A-B</x:v>
      </x:c>
      <x:c r="F855" s="9" t="str">
        <x:v>B1</x:v>
      </x:c>
      <x:c r="G855" s="9" t="str">
        <x:v>RCN</x:v>
      </x:c>
      <x:c r="H855" s="9" t="str">
        <x:v>IV03</x:v>
      </x:c>
      <x:c r="I855" s="17" t="str">
        <x:v>Temporal priority</x:v>
      </x:c>
      <x:c r="J855" s="17" t="str">
        <x:v>cause demonstrably precedes the disputed candidate behavior</x:v>
      </x:c>
      <x:c r="K855" s="17" t="str">
        <x:v>Time authority</x:v>
      </x:c>
      <x:c r="L855" s="9" t="n">
        <x:v>0</x:v>
      </x:c>
      <x:c r="M855" s="9" t="n">
        <x:v>0</x:v>
      </x:c>
      <x:c r="N855" s="9" t="str">
        <x:v>UNFILED / UNPROVEN</x:v>
      </x:c>
      <x:c r="O855" s="9" t="n">
        <x:f>COUNTIFS($A$7:$A$1302,A855)</x:f>
        <x:v>1</x:v>
      </x:c>
    </x:row>
    <x:row r="856">
      <x:c r="A856" s="9" t="str">
        <x:v>EV-AR-HU-A-B-TECH-2-B1-RCN-G0-IV04</x:v>
      </x:c>
      <x:c r="B856" s="9" t="str">
        <x:v>EV-AR-HU-A-B-TECH-2-B1-RCN-G0</x:v>
      </x:c>
      <x:c r="C856" s="9" t="str">
        <x:v>AR-HU-A-B-TECH-2-B1-RCN-G0</x:v>
      </x:c>
      <x:c r="D856" s="9" t="str">
        <x:v>HU-A-B-TECH-2</x:v>
      </x:c>
      <x:c r="E856" s="9" t="str">
        <x:v>HU-A-B</x:v>
      </x:c>
      <x:c r="F856" s="9" t="str">
        <x:v>B1</x:v>
      </x:c>
      <x:c r="G856" s="9" t="str">
        <x:v>RCN</x:v>
      </x:c>
      <x:c r="H856" s="9" t="str">
        <x:v>IV04</x:v>
      </x:c>
      <x:c r="I856" s="17" t="str">
        <x:v>Independent trace</x:v>
      </x:c>
      <x:c r="J856" s="17" t="str">
        <x:v>two unlike records carry the cause without candidate custody</x:v>
      </x:c>
      <x:c r="K856" s="17" t="str">
        <x:v>Invalidity court</x:v>
      </x:c>
      <x:c r="L856" s="9" t="n">
        <x:v>0</x:v>
      </x:c>
      <x:c r="M856" s="9" t="n">
        <x:v>0</x:v>
      </x:c>
      <x:c r="N856" s="9" t="str">
        <x:v>UNFILED / UNPROVEN</x:v>
      </x:c>
      <x:c r="O856" s="9" t="n">
        <x:f>COUNTIFS($A$7:$A$1302,A856)</x:f>
        <x:v>1</x:v>
      </x:c>
    </x:row>
    <x:row r="857">
      <x:c r="A857" s="9" t="str">
        <x:v>EV-AR-HU-A-B-TECH-2-B1-RCN-G0-IV05</x:v>
      </x:c>
      <x:c r="B857" s="9" t="str">
        <x:v>EV-AR-HU-A-B-TECH-2-B1-RCN-G0</x:v>
      </x:c>
      <x:c r="C857" s="9" t="str">
        <x:v>AR-HU-A-B-TECH-2-B1-RCN-G0</x:v>
      </x:c>
      <x:c r="D857" s="9" t="str">
        <x:v>HU-A-B-TECH-2</x:v>
      </x:c>
      <x:c r="E857" s="9" t="str">
        <x:v>HU-A-B</x:v>
      </x:c>
      <x:c r="F857" s="9" t="str">
        <x:v>B1</x:v>
      </x:c>
      <x:c r="G857" s="9" t="str">
        <x:v>RCN</x:v>
      </x:c>
      <x:c r="H857" s="9" t="str">
        <x:v>IV05</x:v>
      </x:c>
      <x:c r="I857" s="17" t="str">
        <x:v>Causal counterfactual</x:v>
      </x:c>
      <x:c r="J857" s="17" t="str">
        <x:v>registered counterfactual shows the cause can create the defect</x:v>
      </x:c>
      <x:c r="K857" s="17" t="str">
        <x:v>Causal court</x:v>
      </x:c>
      <x:c r="L857" s="9" t="n">
        <x:v>0</x:v>
      </x:c>
      <x:c r="M857" s="9" t="n">
        <x:v>0</x:v>
      </x:c>
      <x:c r="N857" s="9" t="str">
        <x:v>UNFILED / UNPROVEN</x:v>
      </x:c>
      <x:c r="O857" s="9" t="n">
        <x:f>COUNTIFS($A$7:$A$1302,A857)</x:f>
        <x:v>1</x:v>
      </x:c>
    </x:row>
    <x:row r="858">
      <x:c r="A858" s="9" t="str">
        <x:v>EV-AR-HU-A-B-TECH-2-B1-RCN-G0-IV06</x:v>
      </x:c>
      <x:c r="B858" s="9" t="str">
        <x:v>EV-AR-HU-A-B-TECH-2-B1-RCN-G0</x:v>
      </x:c>
      <x:c r="C858" s="9" t="str">
        <x:v>AR-HU-A-B-TECH-2-B1-RCN-G0</x:v>
      </x:c>
      <x:c r="D858" s="9" t="str">
        <x:v>HU-A-B-TECH-2</x:v>
      </x:c>
      <x:c r="E858" s="9" t="str">
        <x:v>HU-A-B</x:v>
      </x:c>
      <x:c r="F858" s="9" t="str">
        <x:v>B1</x:v>
      </x:c>
      <x:c r="G858" s="9" t="str">
        <x:v>RCN</x:v>
      </x:c>
      <x:c r="H858" s="9" t="str">
        <x:v>IV06</x:v>
      </x:c>
      <x:c r="I858" s="17" t="str">
        <x:v>Candidate non-causation</x:v>
      </x:c>
      <x:c r="J858" s="17" t="str">
        <x:v>evidence excludes candidate induction of the facility condition</x:v>
      </x:c>
      <x:c r="K858" s="17" t="str">
        <x:v>Causal court</x:v>
      </x:c>
      <x:c r="L858" s="9" t="n">
        <x:v>0</x:v>
      </x:c>
      <x:c r="M858" s="9" t="n">
        <x:v>0</x:v>
      </x:c>
      <x:c r="N858" s="9" t="str">
        <x:v>UNFILED / UNPROVEN</x:v>
      </x:c>
      <x:c r="O858" s="9" t="n">
        <x:f>COUNTIFS($A$7:$A$1302,A858)</x:f>
        <x:v>1</x:v>
      </x:c>
    </x:row>
    <x:row r="859">
      <x:c r="A859" s="9" t="str">
        <x:v>EV-AR-HU-A-B-TECH-2-B1-RCN-G0-IV07</x:v>
      </x:c>
      <x:c r="B859" s="9" t="str">
        <x:v>EV-AR-HU-A-B-TECH-2-B1-RCN-G0</x:v>
      </x:c>
      <x:c r="C859" s="9" t="str">
        <x:v>AR-HU-A-B-TECH-2-B1-RCN-G0</x:v>
      </x:c>
      <x:c r="D859" s="9" t="str">
        <x:v>HU-A-B-TECH-2</x:v>
      </x:c>
      <x:c r="E859" s="9" t="str">
        <x:v>HU-A-B</x:v>
      </x:c>
      <x:c r="F859" s="9" t="str">
        <x:v>B1</x:v>
      </x:c>
      <x:c r="G859" s="9" t="str">
        <x:v>RCN</x:v>
      </x:c>
      <x:c r="H859" s="9" t="str">
        <x:v>IV07</x:v>
      </x:c>
      <x:c r="I859" s="17" t="str">
        <x:v>No outcome selection</x:v>
      </x:c>
      <x:c r="J859" s="17" t="str">
        <x:v>petition rule and evidence scope were fixed before visibility</x:v>
      </x:c>
      <x:c r="K859" s="17" t="str">
        <x:v>Conflict registrar</x:v>
      </x:c>
      <x:c r="L859" s="9" t="n">
        <x:v>0</x:v>
      </x:c>
      <x:c r="M859" s="9" t="n">
        <x:v>0</x:v>
      </x:c>
      <x:c r="N859" s="9" t="str">
        <x:v>UNFILED / UNPROVEN</x:v>
      </x:c>
      <x:c r="O859" s="9" t="n">
        <x:f>COUNTIFS($A$7:$A$1302,A859)</x:f>
        <x:v>1</x:v>
      </x:c>
    </x:row>
    <x:row r="860">
      <x:c r="A860" s="9" t="str">
        <x:v>EV-AR-HU-A-B-TECH-2-B1-RCN-G0-IV08</x:v>
      </x:c>
      <x:c r="B860" s="9" t="str">
        <x:v>EV-AR-HU-A-B-TECH-2-B1-RCN-G0</x:v>
      </x:c>
      <x:c r="C860" s="9" t="str">
        <x:v>AR-HU-A-B-TECH-2-B1-RCN-G0</x:v>
      </x:c>
      <x:c r="D860" s="9" t="str">
        <x:v>HU-A-B-TECH-2</x:v>
      </x:c>
      <x:c r="E860" s="9" t="str">
        <x:v>HU-A-B</x:v>
      </x:c>
      <x:c r="F860" s="9" t="str">
        <x:v>B1</x:v>
      </x:c>
      <x:c r="G860" s="9" t="str">
        <x:v>RCN</x:v>
      </x:c>
      <x:c r="H860" s="9" t="str">
        <x:v>IV08</x:v>
      </x:c>
      <x:c r="I860" s="17" t="str">
        <x:v>Whole-record preservation</x:v>
      </x:c>
      <x:c r="J860" s="17" t="str">
        <x:v>start, raw behavior, dissent and intervention remain in archive</x:v>
      </x:c>
      <x:c r="K860" s="17" t="str">
        <x:v>Archive authority</x:v>
      </x:c>
      <x:c r="L860" s="9" t="n">
        <x:v>0</x:v>
      </x:c>
      <x:c r="M860" s="9" t="n">
        <x:v>0</x:v>
      </x:c>
      <x:c r="N860" s="9" t="str">
        <x:v>UNFILED / UNPROVEN</x:v>
      </x:c>
      <x:c r="O860" s="9" t="n">
        <x:f>COUNTIFS($A$7:$A$1302,A860)</x:f>
        <x:v>1</x:v>
      </x:c>
    </x:row>
    <x:row r="861">
      <x:c r="A861" s="9" t="str">
        <x:v>EV-AR-HU-A-B-TECH-2-B1-RCN-G0-IV09</x:v>
      </x:c>
      <x:c r="B861" s="9" t="str">
        <x:v>EV-AR-HU-A-B-TECH-2-B1-RCN-G0</x:v>
      </x:c>
      <x:c r="C861" s="9" t="str">
        <x:v>AR-HU-A-B-TECH-2-B1-RCN-G0</x:v>
      </x:c>
      <x:c r="D861" s="9" t="str">
        <x:v>HU-A-B-TECH-2</x:v>
      </x:c>
      <x:c r="E861" s="9" t="str">
        <x:v>HU-A-B</x:v>
      </x:c>
      <x:c r="F861" s="9" t="str">
        <x:v>B1</x:v>
      </x:c>
      <x:c r="G861" s="9" t="str">
        <x:v>RCN</x:v>
      </x:c>
      <x:c r="H861" s="9" t="str">
        <x:v>IV09</x:v>
      </x:c>
      <x:c r="I861" s="17" t="str">
        <x:v>Bounded remedy</x:v>
      </x:c>
      <x:c r="J861" s="17" t="str">
        <x:v>only a new slot and EOW may follow; no favorable credit or erased attempt</x:v>
      </x:c>
      <x:c r="K861" s="17" t="str">
        <x:v>Invalidity court</x:v>
      </x:c>
      <x:c r="L861" s="9" t="n">
        <x:v>0</x:v>
      </x:c>
      <x:c r="M861" s="9" t="n">
        <x:v>0</x:v>
      </x:c>
      <x:c r="N861" s="9" t="str">
        <x:v>UNFILED / UNPROVEN</x:v>
      </x:c>
      <x:c r="O861" s="9" t="n">
        <x:f>COUNTIFS($A$7:$A$1302,A861)</x:f>
        <x:v>1</x:v>
      </x:c>
    </x:row>
    <x:row r="862">
      <x:c r="A862" s="9" t="str">
        <x:v>EV-AR-RT-B-C-TECH-2-B2-BRK-G0-IV01</x:v>
      </x:c>
      <x:c r="B862" s="9" t="str">
        <x:v>EV-AR-RT-B-C-TECH-2-B2-BRK-G0</x:v>
      </x:c>
      <x:c r="C862" s="9" t="str">
        <x:v>AR-RT-B-C-TECH-2-B2-BRK-G0</x:v>
      </x:c>
      <x:c r="D862" s="9" t="str">
        <x:v>RT-B-C-TECH-2</x:v>
      </x:c>
      <x:c r="E862" s="9" t="str">
        <x:v>RT-B-C</x:v>
      </x:c>
      <x:c r="F862" s="9" t="str">
        <x:v>B2</x:v>
      </x:c>
      <x:c r="G862" s="9" t="str">
        <x:v>BRK</x:v>
      </x:c>
      <x:c r="H862" s="9" t="str">
        <x:v>IV01</x:v>
      </x:c>
      <x:c r="I862" s="17" t="str">
        <x:v>Timely petition</x:v>
      </x:c>
      <x:c r="J862" s="17" t="str">
        <x:v>petition enters within seventy-two hours of event close</x:v>
      </x:c>
      <x:c r="K862" s="17" t="str">
        <x:v>Invalidity registrar</x:v>
      </x:c>
      <x:c r="L862" s="9" t="n">
        <x:v>0</x:v>
      </x:c>
      <x:c r="M862" s="9" t="n">
        <x:v>0</x:v>
      </x:c>
      <x:c r="N862" s="9" t="str">
        <x:v>UNFILED / UNPROVEN</x:v>
      </x:c>
      <x:c r="O862" s="9" t="n">
        <x:f>COUNTIFS($A$7:$A$1302,A862)</x:f>
        <x:v>1</x:v>
      </x:c>
    </x:row>
    <x:row r="863">
      <x:c r="A863" s="9" t="str">
        <x:v>EV-AR-RT-B-C-TECH-2-B2-BRK-G0-IV02</x:v>
      </x:c>
      <x:c r="B863" s="9" t="str">
        <x:v>EV-AR-RT-B-C-TECH-2-B2-BRK-G0</x:v>
      </x:c>
      <x:c r="C863" s="9" t="str">
        <x:v>AR-RT-B-C-TECH-2-B2-BRK-G0</x:v>
      </x:c>
      <x:c r="D863" s="9" t="str">
        <x:v>RT-B-C-TECH-2</x:v>
      </x:c>
      <x:c r="E863" s="9" t="str">
        <x:v>RT-B-C</x:v>
      </x:c>
      <x:c r="F863" s="9" t="str">
        <x:v>B2</x:v>
      </x:c>
      <x:c r="G863" s="9" t="str">
        <x:v>BRK</x:v>
      </x:c>
      <x:c r="H863" s="9" t="str">
        <x:v>IV02</x:v>
      </x:c>
      <x:c r="I863" s="17" t="str">
        <x:v>Named facility cause</x:v>
      </x:c>
      <x:c r="J863" s="17" t="str">
        <x:v>one pre-registered noncandidate cause is identified</x:v>
      </x:c>
      <x:c r="K863" s="17" t="str">
        <x:v>Facility-cause court</x:v>
      </x:c>
      <x:c r="L863" s="9" t="n">
        <x:v>0</x:v>
      </x:c>
      <x:c r="M863" s="9" t="n">
        <x:v>0</x:v>
      </x:c>
      <x:c r="N863" s="9" t="str">
        <x:v>UNFILED / UNPROVEN</x:v>
      </x:c>
      <x:c r="O863" s="9" t="n">
        <x:f>COUNTIFS($A$7:$A$1302,A863)</x:f>
        <x:v>1</x:v>
      </x:c>
    </x:row>
    <x:row r="864">
      <x:c r="A864" s="9" t="str">
        <x:v>EV-AR-RT-B-C-TECH-2-B2-BRK-G0-IV03</x:v>
      </x:c>
      <x:c r="B864" s="9" t="str">
        <x:v>EV-AR-RT-B-C-TECH-2-B2-BRK-G0</x:v>
      </x:c>
      <x:c r="C864" s="9" t="str">
        <x:v>AR-RT-B-C-TECH-2-B2-BRK-G0</x:v>
      </x:c>
      <x:c r="D864" s="9" t="str">
        <x:v>RT-B-C-TECH-2</x:v>
      </x:c>
      <x:c r="E864" s="9" t="str">
        <x:v>RT-B-C</x:v>
      </x:c>
      <x:c r="F864" s="9" t="str">
        <x:v>B2</x:v>
      </x:c>
      <x:c r="G864" s="9" t="str">
        <x:v>BRK</x:v>
      </x:c>
      <x:c r="H864" s="9" t="str">
        <x:v>IV03</x:v>
      </x:c>
      <x:c r="I864" s="17" t="str">
        <x:v>Temporal priority</x:v>
      </x:c>
      <x:c r="J864" s="17" t="str">
        <x:v>cause demonstrably precedes the disputed candidate behavior</x:v>
      </x:c>
      <x:c r="K864" s="17" t="str">
        <x:v>Time authority</x:v>
      </x:c>
      <x:c r="L864" s="9" t="n">
        <x:v>0</x:v>
      </x:c>
      <x:c r="M864" s="9" t="n">
        <x:v>0</x:v>
      </x:c>
      <x:c r="N864" s="9" t="str">
        <x:v>UNFILED / UNPROVEN</x:v>
      </x:c>
      <x:c r="O864" s="9" t="n">
        <x:f>COUNTIFS($A$7:$A$1302,A864)</x:f>
        <x:v>1</x:v>
      </x:c>
    </x:row>
    <x:row r="865">
      <x:c r="A865" s="9" t="str">
        <x:v>EV-AR-RT-B-C-TECH-2-B2-BRK-G0-IV04</x:v>
      </x:c>
      <x:c r="B865" s="9" t="str">
        <x:v>EV-AR-RT-B-C-TECH-2-B2-BRK-G0</x:v>
      </x:c>
      <x:c r="C865" s="9" t="str">
        <x:v>AR-RT-B-C-TECH-2-B2-BRK-G0</x:v>
      </x:c>
      <x:c r="D865" s="9" t="str">
        <x:v>RT-B-C-TECH-2</x:v>
      </x:c>
      <x:c r="E865" s="9" t="str">
        <x:v>RT-B-C</x:v>
      </x:c>
      <x:c r="F865" s="9" t="str">
        <x:v>B2</x:v>
      </x:c>
      <x:c r="G865" s="9" t="str">
        <x:v>BRK</x:v>
      </x:c>
      <x:c r="H865" s="9" t="str">
        <x:v>IV04</x:v>
      </x:c>
      <x:c r="I865" s="17" t="str">
        <x:v>Independent trace</x:v>
      </x:c>
      <x:c r="J865" s="17" t="str">
        <x:v>two unlike records carry the cause without candidate custody</x:v>
      </x:c>
      <x:c r="K865" s="17" t="str">
        <x:v>Invalidity court</x:v>
      </x:c>
      <x:c r="L865" s="9" t="n">
        <x:v>0</x:v>
      </x:c>
      <x:c r="M865" s="9" t="n">
        <x:v>0</x:v>
      </x:c>
      <x:c r="N865" s="9" t="str">
        <x:v>UNFILED / UNPROVEN</x:v>
      </x:c>
      <x:c r="O865" s="9" t="n">
        <x:f>COUNTIFS($A$7:$A$1302,A865)</x:f>
        <x:v>1</x:v>
      </x:c>
    </x:row>
    <x:row r="866">
      <x:c r="A866" s="9" t="str">
        <x:v>EV-AR-RT-B-C-TECH-2-B2-BRK-G0-IV05</x:v>
      </x:c>
      <x:c r="B866" s="9" t="str">
        <x:v>EV-AR-RT-B-C-TECH-2-B2-BRK-G0</x:v>
      </x:c>
      <x:c r="C866" s="9" t="str">
        <x:v>AR-RT-B-C-TECH-2-B2-BRK-G0</x:v>
      </x:c>
      <x:c r="D866" s="9" t="str">
        <x:v>RT-B-C-TECH-2</x:v>
      </x:c>
      <x:c r="E866" s="9" t="str">
        <x:v>RT-B-C</x:v>
      </x:c>
      <x:c r="F866" s="9" t="str">
        <x:v>B2</x:v>
      </x:c>
      <x:c r="G866" s="9" t="str">
        <x:v>BRK</x:v>
      </x:c>
      <x:c r="H866" s="9" t="str">
        <x:v>IV05</x:v>
      </x:c>
      <x:c r="I866" s="17" t="str">
        <x:v>Causal counterfactual</x:v>
      </x:c>
      <x:c r="J866" s="17" t="str">
        <x:v>registered counterfactual shows the cause can create the defect</x:v>
      </x:c>
      <x:c r="K866" s="17" t="str">
        <x:v>Causal court</x:v>
      </x:c>
      <x:c r="L866" s="9" t="n">
        <x:v>0</x:v>
      </x:c>
      <x:c r="M866" s="9" t="n">
        <x:v>0</x:v>
      </x:c>
      <x:c r="N866" s="9" t="str">
        <x:v>UNFILED / UNPROVEN</x:v>
      </x:c>
      <x:c r="O866" s="9" t="n">
        <x:f>COUNTIFS($A$7:$A$1302,A866)</x:f>
        <x:v>1</x:v>
      </x:c>
    </x:row>
    <x:row r="867">
      <x:c r="A867" s="9" t="str">
        <x:v>EV-AR-RT-B-C-TECH-2-B2-BRK-G0-IV06</x:v>
      </x:c>
      <x:c r="B867" s="9" t="str">
        <x:v>EV-AR-RT-B-C-TECH-2-B2-BRK-G0</x:v>
      </x:c>
      <x:c r="C867" s="9" t="str">
        <x:v>AR-RT-B-C-TECH-2-B2-BRK-G0</x:v>
      </x:c>
      <x:c r="D867" s="9" t="str">
        <x:v>RT-B-C-TECH-2</x:v>
      </x:c>
      <x:c r="E867" s="9" t="str">
        <x:v>RT-B-C</x:v>
      </x:c>
      <x:c r="F867" s="9" t="str">
        <x:v>B2</x:v>
      </x:c>
      <x:c r="G867" s="9" t="str">
        <x:v>BRK</x:v>
      </x:c>
      <x:c r="H867" s="9" t="str">
        <x:v>IV06</x:v>
      </x:c>
      <x:c r="I867" s="17" t="str">
        <x:v>Candidate non-causation</x:v>
      </x:c>
      <x:c r="J867" s="17" t="str">
        <x:v>evidence excludes candidate induction of the facility condition</x:v>
      </x:c>
      <x:c r="K867" s="17" t="str">
        <x:v>Causal court</x:v>
      </x:c>
      <x:c r="L867" s="9" t="n">
        <x:v>0</x:v>
      </x:c>
      <x:c r="M867" s="9" t="n">
        <x:v>0</x:v>
      </x:c>
      <x:c r="N867" s="9" t="str">
        <x:v>UNFILED / UNPROVEN</x:v>
      </x:c>
      <x:c r="O867" s="9" t="n">
        <x:f>COUNTIFS($A$7:$A$1302,A867)</x:f>
        <x:v>1</x:v>
      </x:c>
    </x:row>
    <x:row r="868">
      <x:c r="A868" s="9" t="str">
        <x:v>EV-AR-RT-B-C-TECH-2-B2-BRK-G0-IV07</x:v>
      </x:c>
      <x:c r="B868" s="9" t="str">
        <x:v>EV-AR-RT-B-C-TECH-2-B2-BRK-G0</x:v>
      </x:c>
      <x:c r="C868" s="9" t="str">
        <x:v>AR-RT-B-C-TECH-2-B2-BRK-G0</x:v>
      </x:c>
      <x:c r="D868" s="9" t="str">
        <x:v>RT-B-C-TECH-2</x:v>
      </x:c>
      <x:c r="E868" s="9" t="str">
        <x:v>RT-B-C</x:v>
      </x:c>
      <x:c r="F868" s="9" t="str">
        <x:v>B2</x:v>
      </x:c>
      <x:c r="G868" s="9" t="str">
        <x:v>BRK</x:v>
      </x:c>
      <x:c r="H868" s="9" t="str">
        <x:v>IV07</x:v>
      </x:c>
      <x:c r="I868" s="17" t="str">
        <x:v>No outcome selection</x:v>
      </x:c>
      <x:c r="J868" s="17" t="str">
        <x:v>petition rule and evidence scope were fixed before visibility</x:v>
      </x:c>
      <x:c r="K868" s="17" t="str">
        <x:v>Conflict registrar</x:v>
      </x:c>
      <x:c r="L868" s="9" t="n">
        <x:v>0</x:v>
      </x:c>
      <x:c r="M868" s="9" t="n">
        <x:v>0</x:v>
      </x:c>
      <x:c r="N868" s="9" t="str">
        <x:v>UNFILED / UNPROVEN</x:v>
      </x:c>
      <x:c r="O868" s="9" t="n">
        <x:f>COUNTIFS($A$7:$A$1302,A868)</x:f>
        <x:v>1</x:v>
      </x:c>
    </x:row>
    <x:row r="869">
      <x:c r="A869" s="9" t="str">
        <x:v>EV-AR-RT-B-C-TECH-2-B2-BRK-G0-IV08</x:v>
      </x:c>
      <x:c r="B869" s="9" t="str">
        <x:v>EV-AR-RT-B-C-TECH-2-B2-BRK-G0</x:v>
      </x:c>
      <x:c r="C869" s="9" t="str">
        <x:v>AR-RT-B-C-TECH-2-B2-BRK-G0</x:v>
      </x:c>
      <x:c r="D869" s="9" t="str">
        <x:v>RT-B-C-TECH-2</x:v>
      </x:c>
      <x:c r="E869" s="9" t="str">
        <x:v>RT-B-C</x:v>
      </x:c>
      <x:c r="F869" s="9" t="str">
        <x:v>B2</x:v>
      </x:c>
      <x:c r="G869" s="9" t="str">
        <x:v>BRK</x:v>
      </x:c>
      <x:c r="H869" s="9" t="str">
        <x:v>IV08</x:v>
      </x:c>
      <x:c r="I869" s="17" t="str">
        <x:v>Whole-record preservation</x:v>
      </x:c>
      <x:c r="J869" s="17" t="str">
        <x:v>start, raw behavior, dissent and intervention remain in archive</x:v>
      </x:c>
      <x:c r="K869" s="17" t="str">
        <x:v>Archive authority</x:v>
      </x:c>
      <x:c r="L869" s="9" t="n">
        <x:v>0</x:v>
      </x:c>
      <x:c r="M869" s="9" t="n">
        <x:v>0</x:v>
      </x:c>
      <x:c r="N869" s="9" t="str">
        <x:v>UNFILED / UNPROVEN</x:v>
      </x:c>
      <x:c r="O869" s="9" t="n">
        <x:f>COUNTIFS($A$7:$A$1302,A869)</x:f>
        <x:v>1</x:v>
      </x:c>
    </x:row>
    <x:row r="870">
      <x:c r="A870" s="9" t="str">
        <x:v>EV-AR-RT-B-C-TECH-2-B2-BRK-G0-IV09</x:v>
      </x:c>
      <x:c r="B870" s="9" t="str">
        <x:v>EV-AR-RT-B-C-TECH-2-B2-BRK-G0</x:v>
      </x:c>
      <x:c r="C870" s="9" t="str">
        <x:v>AR-RT-B-C-TECH-2-B2-BRK-G0</x:v>
      </x:c>
      <x:c r="D870" s="9" t="str">
        <x:v>RT-B-C-TECH-2</x:v>
      </x:c>
      <x:c r="E870" s="9" t="str">
        <x:v>RT-B-C</x:v>
      </x:c>
      <x:c r="F870" s="9" t="str">
        <x:v>B2</x:v>
      </x:c>
      <x:c r="G870" s="9" t="str">
        <x:v>BRK</x:v>
      </x:c>
      <x:c r="H870" s="9" t="str">
        <x:v>IV09</x:v>
      </x:c>
      <x:c r="I870" s="17" t="str">
        <x:v>Bounded remedy</x:v>
      </x:c>
      <x:c r="J870" s="17" t="str">
        <x:v>only a new slot and EOW may follow; no favorable credit or erased attempt</x:v>
      </x:c>
      <x:c r="K870" s="17" t="str">
        <x:v>Invalidity court</x:v>
      </x:c>
      <x:c r="L870" s="9" t="n">
        <x:v>0</x:v>
      </x:c>
      <x:c r="M870" s="9" t="n">
        <x:v>0</x:v>
      </x:c>
      <x:c r="N870" s="9" t="str">
        <x:v>UNFILED / UNPROVEN</x:v>
      </x:c>
      <x:c r="O870" s="9" t="n">
        <x:f>COUNTIFS($A$7:$A$1302,A870)</x:f>
        <x:v>1</x:v>
      </x:c>
    </x:row>
    <x:row r="871">
      <x:c r="A871" s="9" t="str">
        <x:v>EV-AR-CT-C-B-TECH-3-B2-INT-G0-IV01</x:v>
      </x:c>
      <x:c r="B871" s="9" t="str">
        <x:v>EV-AR-CT-C-B-TECH-3-B2-INT-G0</x:v>
      </x:c>
      <x:c r="C871" s="9" t="str">
        <x:v>AR-CT-C-B-TECH-3-B2-INT-G0</x:v>
      </x:c>
      <x:c r="D871" s="9" t="str">
        <x:v>CT-C-B-TECH-3</x:v>
      </x:c>
      <x:c r="E871" s="9" t="str">
        <x:v>CT-C-B</x:v>
      </x:c>
      <x:c r="F871" s="9" t="str">
        <x:v>B2</x:v>
      </x:c>
      <x:c r="G871" s="9" t="str">
        <x:v>INT</x:v>
      </x:c>
      <x:c r="H871" s="9" t="str">
        <x:v>IV01</x:v>
      </x:c>
      <x:c r="I871" s="17" t="str">
        <x:v>Timely petition</x:v>
      </x:c>
      <x:c r="J871" s="17" t="str">
        <x:v>petition enters within seventy-two hours of event close</x:v>
      </x:c>
      <x:c r="K871" s="17" t="str">
        <x:v>Invalidity registrar</x:v>
      </x:c>
      <x:c r="L871" s="9" t="n">
        <x:v>0</x:v>
      </x:c>
      <x:c r="M871" s="9" t="n">
        <x:v>0</x:v>
      </x:c>
      <x:c r="N871" s="9" t="str">
        <x:v>UNFILED / UNPROVEN</x:v>
      </x:c>
      <x:c r="O871" s="9" t="n">
        <x:f>COUNTIFS($A$7:$A$1302,A871)</x:f>
        <x:v>1</x:v>
      </x:c>
    </x:row>
    <x:row r="872">
      <x:c r="A872" s="9" t="str">
        <x:v>EV-AR-CT-C-B-TECH-3-B2-INT-G0-IV02</x:v>
      </x:c>
      <x:c r="B872" s="9" t="str">
        <x:v>EV-AR-CT-C-B-TECH-3-B2-INT-G0</x:v>
      </x:c>
      <x:c r="C872" s="9" t="str">
        <x:v>AR-CT-C-B-TECH-3-B2-INT-G0</x:v>
      </x:c>
      <x:c r="D872" s="9" t="str">
        <x:v>CT-C-B-TECH-3</x:v>
      </x:c>
      <x:c r="E872" s="9" t="str">
        <x:v>CT-C-B</x:v>
      </x:c>
      <x:c r="F872" s="9" t="str">
        <x:v>B2</x:v>
      </x:c>
      <x:c r="G872" s="9" t="str">
        <x:v>INT</x:v>
      </x:c>
      <x:c r="H872" s="9" t="str">
        <x:v>IV02</x:v>
      </x:c>
      <x:c r="I872" s="17" t="str">
        <x:v>Named facility cause</x:v>
      </x:c>
      <x:c r="J872" s="17" t="str">
        <x:v>one pre-registered noncandidate cause is identified</x:v>
      </x:c>
      <x:c r="K872" s="17" t="str">
        <x:v>Facility-cause court</x:v>
      </x:c>
      <x:c r="L872" s="9" t="n">
        <x:v>0</x:v>
      </x:c>
      <x:c r="M872" s="9" t="n">
        <x:v>0</x:v>
      </x:c>
      <x:c r="N872" s="9" t="str">
        <x:v>UNFILED / UNPROVEN</x:v>
      </x:c>
      <x:c r="O872" s="9" t="n">
        <x:f>COUNTIFS($A$7:$A$1302,A872)</x:f>
        <x:v>1</x:v>
      </x:c>
    </x:row>
    <x:row r="873">
      <x:c r="A873" s="9" t="str">
        <x:v>EV-AR-CT-C-B-TECH-3-B2-INT-G0-IV03</x:v>
      </x:c>
      <x:c r="B873" s="9" t="str">
        <x:v>EV-AR-CT-C-B-TECH-3-B2-INT-G0</x:v>
      </x:c>
      <x:c r="C873" s="9" t="str">
        <x:v>AR-CT-C-B-TECH-3-B2-INT-G0</x:v>
      </x:c>
      <x:c r="D873" s="9" t="str">
        <x:v>CT-C-B-TECH-3</x:v>
      </x:c>
      <x:c r="E873" s="9" t="str">
        <x:v>CT-C-B</x:v>
      </x:c>
      <x:c r="F873" s="9" t="str">
        <x:v>B2</x:v>
      </x:c>
      <x:c r="G873" s="9" t="str">
        <x:v>INT</x:v>
      </x:c>
      <x:c r="H873" s="9" t="str">
        <x:v>IV03</x:v>
      </x:c>
      <x:c r="I873" s="17" t="str">
        <x:v>Temporal priority</x:v>
      </x:c>
      <x:c r="J873" s="17" t="str">
        <x:v>cause demonstrably precedes the disputed candidate behavior</x:v>
      </x:c>
      <x:c r="K873" s="17" t="str">
        <x:v>Time authority</x:v>
      </x:c>
      <x:c r="L873" s="9" t="n">
        <x:v>0</x:v>
      </x:c>
      <x:c r="M873" s="9" t="n">
        <x:v>0</x:v>
      </x:c>
      <x:c r="N873" s="9" t="str">
        <x:v>UNFILED / UNPROVEN</x:v>
      </x:c>
      <x:c r="O873" s="9" t="n">
        <x:f>COUNTIFS($A$7:$A$1302,A873)</x:f>
        <x:v>1</x:v>
      </x:c>
    </x:row>
    <x:row r="874">
      <x:c r="A874" s="9" t="str">
        <x:v>EV-AR-CT-C-B-TECH-3-B2-INT-G0-IV04</x:v>
      </x:c>
      <x:c r="B874" s="9" t="str">
        <x:v>EV-AR-CT-C-B-TECH-3-B2-INT-G0</x:v>
      </x:c>
      <x:c r="C874" s="9" t="str">
        <x:v>AR-CT-C-B-TECH-3-B2-INT-G0</x:v>
      </x:c>
      <x:c r="D874" s="9" t="str">
        <x:v>CT-C-B-TECH-3</x:v>
      </x:c>
      <x:c r="E874" s="9" t="str">
        <x:v>CT-C-B</x:v>
      </x:c>
      <x:c r="F874" s="9" t="str">
        <x:v>B2</x:v>
      </x:c>
      <x:c r="G874" s="9" t="str">
        <x:v>INT</x:v>
      </x:c>
      <x:c r="H874" s="9" t="str">
        <x:v>IV04</x:v>
      </x:c>
      <x:c r="I874" s="17" t="str">
        <x:v>Independent trace</x:v>
      </x:c>
      <x:c r="J874" s="17" t="str">
        <x:v>two unlike records carry the cause without candidate custody</x:v>
      </x:c>
      <x:c r="K874" s="17" t="str">
        <x:v>Invalidity court</x:v>
      </x:c>
      <x:c r="L874" s="9" t="n">
        <x:v>0</x:v>
      </x:c>
      <x:c r="M874" s="9" t="n">
        <x:v>0</x:v>
      </x:c>
      <x:c r="N874" s="9" t="str">
        <x:v>UNFILED / UNPROVEN</x:v>
      </x:c>
      <x:c r="O874" s="9" t="n">
        <x:f>COUNTIFS($A$7:$A$1302,A874)</x:f>
        <x:v>1</x:v>
      </x:c>
    </x:row>
    <x:row r="875">
      <x:c r="A875" s="9" t="str">
        <x:v>EV-AR-CT-C-B-TECH-3-B2-INT-G0-IV05</x:v>
      </x:c>
      <x:c r="B875" s="9" t="str">
        <x:v>EV-AR-CT-C-B-TECH-3-B2-INT-G0</x:v>
      </x:c>
      <x:c r="C875" s="9" t="str">
        <x:v>AR-CT-C-B-TECH-3-B2-INT-G0</x:v>
      </x:c>
      <x:c r="D875" s="9" t="str">
        <x:v>CT-C-B-TECH-3</x:v>
      </x:c>
      <x:c r="E875" s="9" t="str">
        <x:v>CT-C-B</x:v>
      </x:c>
      <x:c r="F875" s="9" t="str">
        <x:v>B2</x:v>
      </x:c>
      <x:c r="G875" s="9" t="str">
        <x:v>INT</x:v>
      </x:c>
      <x:c r="H875" s="9" t="str">
        <x:v>IV05</x:v>
      </x:c>
      <x:c r="I875" s="17" t="str">
        <x:v>Causal counterfactual</x:v>
      </x:c>
      <x:c r="J875" s="17" t="str">
        <x:v>registered counterfactual shows the cause can create the defect</x:v>
      </x:c>
      <x:c r="K875" s="17" t="str">
        <x:v>Causal court</x:v>
      </x:c>
      <x:c r="L875" s="9" t="n">
        <x:v>0</x:v>
      </x:c>
      <x:c r="M875" s="9" t="n">
        <x:v>0</x:v>
      </x:c>
      <x:c r="N875" s="9" t="str">
        <x:v>UNFILED / UNPROVEN</x:v>
      </x:c>
      <x:c r="O875" s="9" t="n">
        <x:f>COUNTIFS($A$7:$A$1302,A875)</x:f>
        <x:v>1</x:v>
      </x:c>
    </x:row>
    <x:row r="876">
      <x:c r="A876" s="9" t="str">
        <x:v>EV-AR-CT-C-B-TECH-3-B2-INT-G0-IV06</x:v>
      </x:c>
      <x:c r="B876" s="9" t="str">
        <x:v>EV-AR-CT-C-B-TECH-3-B2-INT-G0</x:v>
      </x:c>
      <x:c r="C876" s="9" t="str">
        <x:v>AR-CT-C-B-TECH-3-B2-INT-G0</x:v>
      </x:c>
      <x:c r="D876" s="9" t="str">
        <x:v>CT-C-B-TECH-3</x:v>
      </x:c>
      <x:c r="E876" s="9" t="str">
        <x:v>CT-C-B</x:v>
      </x:c>
      <x:c r="F876" s="9" t="str">
        <x:v>B2</x:v>
      </x:c>
      <x:c r="G876" s="9" t="str">
        <x:v>INT</x:v>
      </x:c>
      <x:c r="H876" s="9" t="str">
        <x:v>IV06</x:v>
      </x:c>
      <x:c r="I876" s="17" t="str">
        <x:v>Candidate non-causation</x:v>
      </x:c>
      <x:c r="J876" s="17" t="str">
        <x:v>evidence excludes candidate induction of the facility condition</x:v>
      </x:c>
      <x:c r="K876" s="17" t="str">
        <x:v>Causal court</x:v>
      </x:c>
      <x:c r="L876" s="9" t="n">
        <x:v>0</x:v>
      </x:c>
      <x:c r="M876" s="9" t="n">
        <x:v>0</x:v>
      </x:c>
      <x:c r="N876" s="9" t="str">
        <x:v>UNFILED / UNPROVEN</x:v>
      </x:c>
      <x:c r="O876" s="9" t="n">
        <x:f>COUNTIFS($A$7:$A$1302,A876)</x:f>
        <x:v>1</x:v>
      </x:c>
    </x:row>
    <x:row r="877">
      <x:c r="A877" s="9" t="str">
        <x:v>EV-AR-CT-C-B-TECH-3-B2-INT-G0-IV07</x:v>
      </x:c>
      <x:c r="B877" s="9" t="str">
        <x:v>EV-AR-CT-C-B-TECH-3-B2-INT-G0</x:v>
      </x:c>
      <x:c r="C877" s="9" t="str">
        <x:v>AR-CT-C-B-TECH-3-B2-INT-G0</x:v>
      </x:c>
      <x:c r="D877" s="9" t="str">
        <x:v>CT-C-B-TECH-3</x:v>
      </x:c>
      <x:c r="E877" s="9" t="str">
        <x:v>CT-C-B</x:v>
      </x:c>
      <x:c r="F877" s="9" t="str">
        <x:v>B2</x:v>
      </x:c>
      <x:c r="G877" s="9" t="str">
        <x:v>INT</x:v>
      </x:c>
      <x:c r="H877" s="9" t="str">
        <x:v>IV07</x:v>
      </x:c>
      <x:c r="I877" s="17" t="str">
        <x:v>No outcome selection</x:v>
      </x:c>
      <x:c r="J877" s="17" t="str">
        <x:v>petition rule and evidence scope were fixed before visibility</x:v>
      </x:c>
      <x:c r="K877" s="17" t="str">
        <x:v>Conflict registrar</x:v>
      </x:c>
      <x:c r="L877" s="9" t="n">
        <x:v>0</x:v>
      </x:c>
      <x:c r="M877" s="9" t="n">
        <x:v>0</x:v>
      </x:c>
      <x:c r="N877" s="9" t="str">
        <x:v>UNFILED / UNPROVEN</x:v>
      </x:c>
      <x:c r="O877" s="9" t="n">
        <x:f>COUNTIFS($A$7:$A$1302,A877)</x:f>
        <x:v>1</x:v>
      </x:c>
    </x:row>
    <x:row r="878">
      <x:c r="A878" s="9" t="str">
        <x:v>EV-AR-CT-C-B-TECH-3-B2-INT-G0-IV08</x:v>
      </x:c>
      <x:c r="B878" s="9" t="str">
        <x:v>EV-AR-CT-C-B-TECH-3-B2-INT-G0</x:v>
      </x:c>
      <x:c r="C878" s="9" t="str">
        <x:v>AR-CT-C-B-TECH-3-B2-INT-G0</x:v>
      </x:c>
      <x:c r="D878" s="9" t="str">
        <x:v>CT-C-B-TECH-3</x:v>
      </x:c>
      <x:c r="E878" s="9" t="str">
        <x:v>CT-C-B</x:v>
      </x:c>
      <x:c r="F878" s="9" t="str">
        <x:v>B2</x:v>
      </x:c>
      <x:c r="G878" s="9" t="str">
        <x:v>INT</x:v>
      </x:c>
      <x:c r="H878" s="9" t="str">
        <x:v>IV08</x:v>
      </x:c>
      <x:c r="I878" s="17" t="str">
        <x:v>Whole-record preservation</x:v>
      </x:c>
      <x:c r="J878" s="17" t="str">
        <x:v>start, raw behavior, dissent and intervention remain in archive</x:v>
      </x:c>
      <x:c r="K878" s="17" t="str">
        <x:v>Archive authority</x:v>
      </x:c>
      <x:c r="L878" s="9" t="n">
        <x:v>0</x:v>
      </x:c>
      <x:c r="M878" s="9" t="n">
        <x:v>0</x:v>
      </x:c>
      <x:c r="N878" s="9" t="str">
        <x:v>UNFILED / UNPROVEN</x:v>
      </x:c>
      <x:c r="O878" s="9" t="n">
        <x:f>COUNTIFS($A$7:$A$1302,A878)</x:f>
        <x:v>1</x:v>
      </x:c>
    </x:row>
    <x:row r="879">
      <x:c r="A879" s="9" t="str">
        <x:v>EV-AR-CT-C-B-TECH-3-B2-INT-G0-IV09</x:v>
      </x:c>
      <x:c r="B879" s="9" t="str">
        <x:v>EV-AR-CT-C-B-TECH-3-B2-INT-G0</x:v>
      </x:c>
      <x:c r="C879" s="9" t="str">
        <x:v>AR-CT-C-B-TECH-3-B2-INT-G0</x:v>
      </x:c>
      <x:c r="D879" s="9" t="str">
        <x:v>CT-C-B-TECH-3</x:v>
      </x:c>
      <x:c r="E879" s="9" t="str">
        <x:v>CT-C-B</x:v>
      </x:c>
      <x:c r="F879" s="9" t="str">
        <x:v>B2</x:v>
      </x:c>
      <x:c r="G879" s="9" t="str">
        <x:v>INT</x:v>
      </x:c>
      <x:c r="H879" s="9" t="str">
        <x:v>IV09</x:v>
      </x:c>
      <x:c r="I879" s="17" t="str">
        <x:v>Bounded remedy</x:v>
      </x:c>
      <x:c r="J879" s="17" t="str">
        <x:v>only a new slot and EOW may follow; no favorable credit or erased attempt</x:v>
      </x:c>
      <x:c r="K879" s="17" t="str">
        <x:v>Invalidity court</x:v>
      </x:c>
      <x:c r="L879" s="9" t="n">
        <x:v>0</x:v>
      </x:c>
      <x:c r="M879" s="9" t="n">
        <x:v>0</x:v>
      </x:c>
      <x:c r="N879" s="9" t="str">
        <x:v>UNFILED / UNPROVEN</x:v>
      </x:c>
      <x:c r="O879" s="9" t="n">
        <x:f>COUNTIFS($A$7:$A$1302,A879)</x:f>
        <x:v>1</x:v>
      </x:c>
    </x:row>
    <x:row r="880">
      <x:c r="A880" s="9" t="str">
        <x:v>EV-AR-ET-A-A-TECH-1-B1-RCN-G0-IV01</x:v>
      </x:c>
      <x:c r="B880" s="9" t="str">
        <x:v>EV-AR-ET-A-A-TECH-1-B1-RCN-G0</x:v>
      </x:c>
      <x:c r="C880" s="9" t="str">
        <x:v>AR-ET-A-A-TECH-1-B1-RCN-G0</x:v>
      </x:c>
      <x:c r="D880" s="9" t="str">
        <x:v>ET-A-A-TECH-1</x:v>
      </x:c>
      <x:c r="E880" s="9" t="str">
        <x:v>ET-A-A</x:v>
      </x:c>
      <x:c r="F880" s="9" t="str">
        <x:v>B1</x:v>
      </x:c>
      <x:c r="G880" s="9" t="str">
        <x:v>RCN</x:v>
      </x:c>
      <x:c r="H880" s="9" t="str">
        <x:v>IV01</x:v>
      </x:c>
      <x:c r="I880" s="17" t="str">
        <x:v>Timely petition</x:v>
      </x:c>
      <x:c r="J880" s="17" t="str">
        <x:v>petition enters within seventy-two hours of event close</x:v>
      </x:c>
      <x:c r="K880" s="17" t="str">
        <x:v>Invalidity registrar</x:v>
      </x:c>
      <x:c r="L880" s="9" t="n">
        <x:v>0</x:v>
      </x:c>
      <x:c r="M880" s="9" t="n">
        <x:v>0</x:v>
      </x:c>
      <x:c r="N880" s="9" t="str">
        <x:v>UNFILED / UNPROVEN</x:v>
      </x:c>
      <x:c r="O880" s="9" t="n">
        <x:f>COUNTIFS($A$7:$A$1302,A880)</x:f>
        <x:v>1</x:v>
      </x:c>
    </x:row>
    <x:row r="881">
      <x:c r="A881" s="9" t="str">
        <x:v>EV-AR-ET-A-A-TECH-1-B1-RCN-G0-IV02</x:v>
      </x:c>
      <x:c r="B881" s="9" t="str">
        <x:v>EV-AR-ET-A-A-TECH-1-B1-RCN-G0</x:v>
      </x:c>
      <x:c r="C881" s="9" t="str">
        <x:v>AR-ET-A-A-TECH-1-B1-RCN-G0</x:v>
      </x:c>
      <x:c r="D881" s="9" t="str">
        <x:v>ET-A-A-TECH-1</x:v>
      </x:c>
      <x:c r="E881" s="9" t="str">
        <x:v>ET-A-A</x:v>
      </x:c>
      <x:c r="F881" s="9" t="str">
        <x:v>B1</x:v>
      </x:c>
      <x:c r="G881" s="9" t="str">
        <x:v>RCN</x:v>
      </x:c>
      <x:c r="H881" s="9" t="str">
        <x:v>IV02</x:v>
      </x:c>
      <x:c r="I881" s="17" t="str">
        <x:v>Named facility cause</x:v>
      </x:c>
      <x:c r="J881" s="17" t="str">
        <x:v>one pre-registered noncandidate cause is identified</x:v>
      </x:c>
      <x:c r="K881" s="17" t="str">
        <x:v>Facility-cause court</x:v>
      </x:c>
      <x:c r="L881" s="9" t="n">
        <x:v>0</x:v>
      </x:c>
      <x:c r="M881" s="9" t="n">
        <x:v>0</x:v>
      </x:c>
      <x:c r="N881" s="9" t="str">
        <x:v>UNFILED / UNPROVEN</x:v>
      </x:c>
      <x:c r="O881" s="9" t="n">
        <x:f>COUNTIFS($A$7:$A$1302,A881)</x:f>
        <x:v>1</x:v>
      </x:c>
    </x:row>
    <x:row r="882">
      <x:c r="A882" s="9" t="str">
        <x:v>EV-AR-ET-A-A-TECH-1-B1-RCN-G0-IV03</x:v>
      </x:c>
      <x:c r="B882" s="9" t="str">
        <x:v>EV-AR-ET-A-A-TECH-1-B1-RCN-G0</x:v>
      </x:c>
      <x:c r="C882" s="9" t="str">
        <x:v>AR-ET-A-A-TECH-1-B1-RCN-G0</x:v>
      </x:c>
      <x:c r="D882" s="9" t="str">
        <x:v>ET-A-A-TECH-1</x:v>
      </x:c>
      <x:c r="E882" s="9" t="str">
        <x:v>ET-A-A</x:v>
      </x:c>
      <x:c r="F882" s="9" t="str">
        <x:v>B1</x:v>
      </x:c>
      <x:c r="G882" s="9" t="str">
        <x:v>RCN</x:v>
      </x:c>
      <x:c r="H882" s="9" t="str">
        <x:v>IV03</x:v>
      </x:c>
      <x:c r="I882" s="17" t="str">
        <x:v>Temporal priority</x:v>
      </x:c>
      <x:c r="J882" s="17" t="str">
        <x:v>cause demonstrably precedes the disputed candidate behavior</x:v>
      </x:c>
      <x:c r="K882" s="17" t="str">
        <x:v>Time authority</x:v>
      </x:c>
      <x:c r="L882" s="9" t="n">
        <x:v>0</x:v>
      </x:c>
      <x:c r="M882" s="9" t="n">
        <x:v>0</x:v>
      </x:c>
      <x:c r="N882" s="9" t="str">
        <x:v>UNFILED / UNPROVEN</x:v>
      </x:c>
      <x:c r="O882" s="9" t="n">
        <x:f>COUNTIFS($A$7:$A$1302,A882)</x:f>
        <x:v>1</x:v>
      </x:c>
    </x:row>
    <x:row r="883">
      <x:c r="A883" s="9" t="str">
        <x:v>EV-AR-ET-A-A-TECH-1-B1-RCN-G0-IV04</x:v>
      </x:c>
      <x:c r="B883" s="9" t="str">
        <x:v>EV-AR-ET-A-A-TECH-1-B1-RCN-G0</x:v>
      </x:c>
      <x:c r="C883" s="9" t="str">
        <x:v>AR-ET-A-A-TECH-1-B1-RCN-G0</x:v>
      </x:c>
      <x:c r="D883" s="9" t="str">
        <x:v>ET-A-A-TECH-1</x:v>
      </x:c>
      <x:c r="E883" s="9" t="str">
        <x:v>ET-A-A</x:v>
      </x:c>
      <x:c r="F883" s="9" t="str">
        <x:v>B1</x:v>
      </x:c>
      <x:c r="G883" s="9" t="str">
        <x:v>RCN</x:v>
      </x:c>
      <x:c r="H883" s="9" t="str">
        <x:v>IV04</x:v>
      </x:c>
      <x:c r="I883" s="17" t="str">
        <x:v>Independent trace</x:v>
      </x:c>
      <x:c r="J883" s="17" t="str">
        <x:v>two unlike records carry the cause without candidate custody</x:v>
      </x:c>
      <x:c r="K883" s="17" t="str">
        <x:v>Invalidity court</x:v>
      </x:c>
      <x:c r="L883" s="9" t="n">
        <x:v>0</x:v>
      </x:c>
      <x:c r="M883" s="9" t="n">
        <x:v>0</x:v>
      </x:c>
      <x:c r="N883" s="9" t="str">
        <x:v>UNFILED / UNPROVEN</x:v>
      </x:c>
      <x:c r="O883" s="9" t="n">
        <x:f>COUNTIFS($A$7:$A$1302,A883)</x:f>
        <x:v>1</x:v>
      </x:c>
    </x:row>
    <x:row r="884">
      <x:c r="A884" s="9" t="str">
        <x:v>EV-AR-ET-A-A-TECH-1-B1-RCN-G0-IV05</x:v>
      </x:c>
      <x:c r="B884" s="9" t="str">
        <x:v>EV-AR-ET-A-A-TECH-1-B1-RCN-G0</x:v>
      </x:c>
      <x:c r="C884" s="9" t="str">
        <x:v>AR-ET-A-A-TECH-1-B1-RCN-G0</x:v>
      </x:c>
      <x:c r="D884" s="9" t="str">
        <x:v>ET-A-A-TECH-1</x:v>
      </x:c>
      <x:c r="E884" s="9" t="str">
        <x:v>ET-A-A</x:v>
      </x:c>
      <x:c r="F884" s="9" t="str">
        <x:v>B1</x:v>
      </x:c>
      <x:c r="G884" s="9" t="str">
        <x:v>RCN</x:v>
      </x:c>
      <x:c r="H884" s="9" t="str">
        <x:v>IV05</x:v>
      </x:c>
      <x:c r="I884" s="17" t="str">
        <x:v>Causal counterfactual</x:v>
      </x:c>
      <x:c r="J884" s="17" t="str">
        <x:v>registered counterfactual shows the cause can create the defect</x:v>
      </x:c>
      <x:c r="K884" s="17" t="str">
        <x:v>Causal court</x:v>
      </x:c>
      <x:c r="L884" s="9" t="n">
        <x:v>0</x:v>
      </x:c>
      <x:c r="M884" s="9" t="n">
        <x:v>0</x:v>
      </x:c>
      <x:c r="N884" s="9" t="str">
        <x:v>UNFILED / UNPROVEN</x:v>
      </x:c>
      <x:c r="O884" s="9" t="n">
        <x:f>COUNTIFS($A$7:$A$1302,A884)</x:f>
        <x:v>1</x:v>
      </x:c>
    </x:row>
    <x:row r="885">
      <x:c r="A885" s="9" t="str">
        <x:v>EV-AR-ET-A-A-TECH-1-B1-RCN-G0-IV06</x:v>
      </x:c>
      <x:c r="B885" s="9" t="str">
        <x:v>EV-AR-ET-A-A-TECH-1-B1-RCN-G0</x:v>
      </x:c>
      <x:c r="C885" s="9" t="str">
        <x:v>AR-ET-A-A-TECH-1-B1-RCN-G0</x:v>
      </x:c>
      <x:c r="D885" s="9" t="str">
        <x:v>ET-A-A-TECH-1</x:v>
      </x:c>
      <x:c r="E885" s="9" t="str">
        <x:v>ET-A-A</x:v>
      </x:c>
      <x:c r="F885" s="9" t="str">
        <x:v>B1</x:v>
      </x:c>
      <x:c r="G885" s="9" t="str">
        <x:v>RCN</x:v>
      </x:c>
      <x:c r="H885" s="9" t="str">
        <x:v>IV06</x:v>
      </x:c>
      <x:c r="I885" s="17" t="str">
        <x:v>Candidate non-causation</x:v>
      </x:c>
      <x:c r="J885" s="17" t="str">
        <x:v>evidence excludes candidate induction of the facility condition</x:v>
      </x:c>
      <x:c r="K885" s="17" t="str">
        <x:v>Causal court</x:v>
      </x:c>
      <x:c r="L885" s="9" t="n">
        <x:v>0</x:v>
      </x:c>
      <x:c r="M885" s="9" t="n">
        <x:v>0</x:v>
      </x:c>
      <x:c r="N885" s="9" t="str">
        <x:v>UNFILED / UNPROVEN</x:v>
      </x:c>
      <x:c r="O885" s="9" t="n">
        <x:f>COUNTIFS($A$7:$A$1302,A885)</x:f>
        <x:v>1</x:v>
      </x:c>
    </x:row>
    <x:row r="886">
      <x:c r="A886" s="9" t="str">
        <x:v>EV-AR-ET-A-A-TECH-1-B1-RCN-G0-IV07</x:v>
      </x:c>
      <x:c r="B886" s="9" t="str">
        <x:v>EV-AR-ET-A-A-TECH-1-B1-RCN-G0</x:v>
      </x:c>
      <x:c r="C886" s="9" t="str">
        <x:v>AR-ET-A-A-TECH-1-B1-RCN-G0</x:v>
      </x:c>
      <x:c r="D886" s="9" t="str">
        <x:v>ET-A-A-TECH-1</x:v>
      </x:c>
      <x:c r="E886" s="9" t="str">
        <x:v>ET-A-A</x:v>
      </x:c>
      <x:c r="F886" s="9" t="str">
        <x:v>B1</x:v>
      </x:c>
      <x:c r="G886" s="9" t="str">
        <x:v>RCN</x:v>
      </x:c>
      <x:c r="H886" s="9" t="str">
        <x:v>IV07</x:v>
      </x:c>
      <x:c r="I886" s="17" t="str">
        <x:v>No outcome selection</x:v>
      </x:c>
      <x:c r="J886" s="17" t="str">
        <x:v>petition rule and evidence scope were fixed before visibility</x:v>
      </x:c>
      <x:c r="K886" s="17" t="str">
        <x:v>Conflict registrar</x:v>
      </x:c>
      <x:c r="L886" s="9" t="n">
        <x:v>0</x:v>
      </x:c>
      <x:c r="M886" s="9" t="n">
        <x:v>0</x:v>
      </x:c>
      <x:c r="N886" s="9" t="str">
        <x:v>UNFILED / UNPROVEN</x:v>
      </x:c>
      <x:c r="O886" s="9" t="n">
        <x:f>COUNTIFS($A$7:$A$1302,A886)</x:f>
        <x:v>1</x:v>
      </x:c>
    </x:row>
    <x:row r="887">
      <x:c r="A887" s="9" t="str">
        <x:v>EV-AR-ET-A-A-TECH-1-B1-RCN-G0-IV08</x:v>
      </x:c>
      <x:c r="B887" s="9" t="str">
        <x:v>EV-AR-ET-A-A-TECH-1-B1-RCN-G0</x:v>
      </x:c>
      <x:c r="C887" s="9" t="str">
        <x:v>AR-ET-A-A-TECH-1-B1-RCN-G0</x:v>
      </x:c>
      <x:c r="D887" s="9" t="str">
        <x:v>ET-A-A-TECH-1</x:v>
      </x:c>
      <x:c r="E887" s="9" t="str">
        <x:v>ET-A-A</x:v>
      </x:c>
      <x:c r="F887" s="9" t="str">
        <x:v>B1</x:v>
      </x:c>
      <x:c r="G887" s="9" t="str">
        <x:v>RCN</x:v>
      </x:c>
      <x:c r="H887" s="9" t="str">
        <x:v>IV08</x:v>
      </x:c>
      <x:c r="I887" s="17" t="str">
        <x:v>Whole-record preservation</x:v>
      </x:c>
      <x:c r="J887" s="17" t="str">
        <x:v>start, raw behavior, dissent and intervention remain in archive</x:v>
      </x:c>
      <x:c r="K887" s="17" t="str">
        <x:v>Archive authority</x:v>
      </x:c>
      <x:c r="L887" s="9" t="n">
        <x:v>0</x:v>
      </x:c>
      <x:c r="M887" s="9" t="n">
        <x:v>0</x:v>
      </x:c>
      <x:c r="N887" s="9" t="str">
        <x:v>UNFILED / UNPROVEN</x:v>
      </x:c>
      <x:c r="O887" s="9" t="n">
        <x:f>COUNTIFS($A$7:$A$1302,A887)</x:f>
        <x:v>1</x:v>
      </x:c>
    </x:row>
    <x:row r="888">
      <x:c r="A888" s="9" t="str">
        <x:v>EV-AR-ET-A-A-TECH-1-B1-RCN-G0-IV09</x:v>
      </x:c>
      <x:c r="B888" s="9" t="str">
        <x:v>EV-AR-ET-A-A-TECH-1-B1-RCN-G0</x:v>
      </x:c>
      <x:c r="C888" s="9" t="str">
        <x:v>AR-ET-A-A-TECH-1-B1-RCN-G0</x:v>
      </x:c>
      <x:c r="D888" s="9" t="str">
        <x:v>ET-A-A-TECH-1</x:v>
      </x:c>
      <x:c r="E888" s="9" t="str">
        <x:v>ET-A-A</x:v>
      </x:c>
      <x:c r="F888" s="9" t="str">
        <x:v>B1</x:v>
      </x:c>
      <x:c r="G888" s="9" t="str">
        <x:v>RCN</x:v>
      </x:c>
      <x:c r="H888" s="9" t="str">
        <x:v>IV09</x:v>
      </x:c>
      <x:c r="I888" s="17" t="str">
        <x:v>Bounded remedy</x:v>
      </x:c>
      <x:c r="J888" s="17" t="str">
        <x:v>only a new slot and EOW may follow; no favorable credit or erased attempt</x:v>
      </x:c>
      <x:c r="K888" s="17" t="str">
        <x:v>Invalidity court</x:v>
      </x:c>
      <x:c r="L888" s="9" t="n">
        <x:v>0</x:v>
      </x:c>
      <x:c r="M888" s="9" t="n">
        <x:v>0</x:v>
      </x:c>
      <x:c r="N888" s="9" t="str">
        <x:v>UNFILED / UNPROVEN</x:v>
      </x:c>
      <x:c r="O888" s="9" t="n">
        <x:f>COUNTIFS($A$7:$A$1302,A888)</x:f>
        <x:v>1</x:v>
      </x:c>
    </x:row>
    <x:row r="889">
      <x:c r="A889" s="9" t="str">
        <x:v>EV-AR-HC-A-C-TECH-4-B2-RCN-G0-IV01</x:v>
      </x:c>
      <x:c r="B889" s="9" t="str">
        <x:v>EV-AR-HC-A-C-TECH-4-B2-RCN-G0</x:v>
      </x:c>
      <x:c r="C889" s="9" t="str">
        <x:v>AR-HC-A-C-TECH-4-B2-RCN-G0</x:v>
      </x:c>
      <x:c r="D889" s="9" t="str">
        <x:v>HC-A-C-TECH-4</x:v>
      </x:c>
      <x:c r="E889" s="9" t="str">
        <x:v>HC-A-C</x:v>
      </x:c>
      <x:c r="F889" s="9" t="str">
        <x:v>B2</x:v>
      </x:c>
      <x:c r="G889" s="9" t="str">
        <x:v>RCN</x:v>
      </x:c>
      <x:c r="H889" s="9" t="str">
        <x:v>IV01</x:v>
      </x:c>
      <x:c r="I889" s="17" t="str">
        <x:v>Timely petition</x:v>
      </x:c>
      <x:c r="J889" s="17" t="str">
        <x:v>petition enters within seventy-two hours of event close</x:v>
      </x:c>
      <x:c r="K889" s="17" t="str">
        <x:v>Invalidity registrar</x:v>
      </x:c>
      <x:c r="L889" s="9" t="n">
        <x:v>0</x:v>
      </x:c>
      <x:c r="M889" s="9" t="n">
        <x:v>0</x:v>
      </x:c>
      <x:c r="N889" s="9" t="str">
        <x:v>UNFILED / UNPROVEN</x:v>
      </x:c>
      <x:c r="O889" s="9" t="n">
        <x:f>COUNTIFS($A$7:$A$1302,A889)</x:f>
        <x:v>1</x:v>
      </x:c>
    </x:row>
    <x:row r="890">
      <x:c r="A890" s="9" t="str">
        <x:v>EV-AR-HC-A-C-TECH-4-B2-RCN-G0-IV02</x:v>
      </x:c>
      <x:c r="B890" s="9" t="str">
        <x:v>EV-AR-HC-A-C-TECH-4-B2-RCN-G0</x:v>
      </x:c>
      <x:c r="C890" s="9" t="str">
        <x:v>AR-HC-A-C-TECH-4-B2-RCN-G0</x:v>
      </x:c>
      <x:c r="D890" s="9" t="str">
        <x:v>HC-A-C-TECH-4</x:v>
      </x:c>
      <x:c r="E890" s="9" t="str">
        <x:v>HC-A-C</x:v>
      </x:c>
      <x:c r="F890" s="9" t="str">
        <x:v>B2</x:v>
      </x:c>
      <x:c r="G890" s="9" t="str">
        <x:v>RCN</x:v>
      </x:c>
      <x:c r="H890" s="9" t="str">
        <x:v>IV02</x:v>
      </x:c>
      <x:c r="I890" s="17" t="str">
        <x:v>Named facility cause</x:v>
      </x:c>
      <x:c r="J890" s="17" t="str">
        <x:v>one pre-registered noncandidate cause is identified</x:v>
      </x:c>
      <x:c r="K890" s="17" t="str">
        <x:v>Facility-cause court</x:v>
      </x:c>
      <x:c r="L890" s="9" t="n">
        <x:v>0</x:v>
      </x:c>
      <x:c r="M890" s="9" t="n">
        <x:v>0</x:v>
      </x:c>
      <x:c r="N890" s="9" t="str">
        <x:v>UNFILED / UNPROVEN</x:v>
      </x:c>
      <x:c r="O890" s="9" t="n">
        <x:f>COUNTIFS($A$7:$A$1302,A890)</x:f>
        <x:v>1</x:v>
      </x:c>
    </x:row>
    <x:row r="891">
      <x:c r="A891" s="9" t="str">
        <x:v>EV-AR-HC-A-C-TECH-4-B2-RCN-G0-IV03</x:v>
      </x:c>
      <x:c r="B891" s="9" t="str">
        <x:v>EV-AR-HC-A-C-TECH-4-B2-RCN-G0</x:v>
      </x:c>
      <x:c r="C891" s="9" t="str">
        <x:v>AR-HC-A-C-TECH-4-B2-RCN-G0</x:v>
      </x:c>
      <x:c r="D891" s="9" t="str">
        <x:v>HC-A-C-TECH-4</x:v>
      </x:c>
      <x:c r="E891" s="9" t="str">
        <x:v>HC-A-C</x:v>
      </x:c>
      <x:c r="F891" s="9" t="str">
        <x:v>B2</x:v>
      </x:c>
      <x:c r="G891" s="9" t="str">
        <x:v>RCN</x:v>
      </x:c>
      <x:c r="H891" s="9" t="str">
        <x:v>IV03</x:v>
      </x:c>
      <x:c r="I891" s="17" t="str">
        <x:v>Temporal priority</x:v>
      </x:c>
      <x:c r="J891" s="17" t="str">
        <x:v>cause demonstrably precedes the disputed candidate behavior</x:v>
      </x:c>
      <x:c r="K891" s="17" t="str">
        <x:v>Time authority</x:v>
      </x:c>
      <x:c r="L891" s="9" t="n">
        <x:v>0</x:v>
      </x:c>
      <x:c r="M891" s="9" t="n">
        <x:v>0</x:v>
      </x:c>
      <x:c r="N891" s="9" t="str">
        <x:v>UNFILED / UNPROVEN</x:v>
      </x:c>
      <x:c r="O891" s="9" t="n">
        <x:f>COUNTIFS($A$7:$A$1302,A891)</x:f>
        <x:v>1</x:v>
      </x:c>
    </x:row>
    <x:row r="892">
      <x:c r="A892" s="9" t="str">
        <x:v>EV-AR-HC-A-C-TECH-4-B2-RCN-G0-IV04</x:v>
      </x:c>
      <x:c r="B892" s="9" t="str">
        <x:v>EV-AR-HC-A-C-TECH-4-B2-RCN-G0</x:v>
      </x:c>
      <x:c r="C892" s="9" t="str">
        <x:v>AR-HC-A-C-TECH-4-B2-RCN-G0</x:v>
      </x:c>
      <x:c r="D892" s="9" t="str">
        <x:v>HC-A-C-TECH-4</x:v>
      </x:c>
      <x:c r="E892" s="9" t="str">
        <x:v>HC-A-C</x:v>
      </x:c>
      <x:c r="F892" s="9" t="str">
        <x:v>B2</x:v>
      </x:c>
      <x:c r="G892" s="9" t="str">
        <x:v>RCN</x:v>
      </x:c>
      <x:c r="H892" s="9" t="str">
        <x:v>IV04</x:v>
      </x:c>
      <x:c r="I892" s="17" t="str">
        <x:v>Independent trace</x:v>
      </x:c>
      <x:c r="J892" s="17" t="str">
        <x:v>two unlike records carry the cause without candidate custody</x:v>
      </x:c>
      <x:c r="K892" s="17" t="str">
        <x:v>Invalidity court</x:v>
      </x:c>
      <x:c r="L892" s="9" t="n">
        <x:v>0</x:v>
      </x:c>
      <x:c r="M892" s="9" t="n">
        <x:v>0</x:v>
      </x:c>
      <x:c r="N892" s="9" t="str">
        <x:v>UNFILED / UNPROVEN</x:v>
      </x:c>
      <x:c r="O892" s="9" t="n">
        <x:f>COUNTIFS($A$7:$A$1302,A892)</x:f>
        <x:v>1</x:v>
      </x:c>
    </x:row>
    <x:row r="893">
      <x:c r="A893" s="9" t="str">
        <x:v>EV-AR-HC-A-C-TECH-4-B2-RCN-G0-IV05</x:v>
      </x:c>
      <x:c r="B893" s="9" t="str">
        <x:v>EV-AR-HC-A-C-TECH-4-B2-RCN-G0</x:v>
      </x:c>
      <x:c r="C893" s="9" t="str">
        <x:v>AR-HC-A-C-TECH-4-B2-RCN-G0</x:v>
      </x:c>
      <x:c r="D893" s="9" t="str">
        <x:v>HC-A-C-TECH-4</x:v>
      </x:c>
      <x:c r="E893" s="9" t="str">
        <x:v>HC-A-C</x:v>
      </x:c>
      <x:c r="F893" s="9" t="str">
        <x:v>B2</x:v>
      </x:c>
      <x:c r="G893" s="9" t="str">
        <x:v>RCN</x:v>
      </x:c>
      <x:c r="H893" s="9" t="str">
        <x:v>IV05</x:v>
      </x:c>
      <x:c r="I893" s="17" t="str">
        <x:v>Causal counterfactual</x:v>
      </x:c>
      <x:c r="J893" s="17" t="str">
        <x:v>registered counterfactual shows the cause can create the defect</x:v>
      </x:c>
      <x:c r="K893" s="17" t="str">
        <x:v>Causal court</x:v>
      </x:c>
      <x:c r="L893" s="9" t="n">
        <x:v>0</x:v>
      </x:c>
      <x:c r="M893" s="9" t="n">
        <x:v>0</x:v>
      </x:c>
      <x:c r="N893" s="9" t="str">
        <x:v>UNFILED / UNPROVEN</x:v>
      </x:c>
      <x:c r="O893" s="9" t="n">
        <x:f>COUNTIFS($A$7:$A$1302,A893)</x:f>
        <x:v>1</x:v>
      </x:c>
    </x:row>
    <x:row r="894">
      <x:c r="A894" s="9" t="str">
        <x:v>EV-AR-HC-A-C-TECH-4-B2-RCN-G0-IV06</x:v>
      </x:c>
      <x:c r="B894" s="9" t="str">
        <x:v>EV-AR-HC-A-C-TECH-4-B2-RCN-G0</x:v>
      </x:c>
      <x:c r="C894" s="9" t="str">
        <x:v>AR-HC-A-C-TECH-4-B2-RCN-G0</x:v>
      </x:c>
      <x:c r="D894" s="9" t="str">
        <x:v>HC-A-C-TECH-4</x:v>
      </x:c>
      <x:c r="E894" s="9" t="str">
        <x:v>HC-A-C</x:v>
      </x:c>
      <x:c r="F894" s="9" t="str">
        <x:v>B2</x:v>
      </x:c>
      <x:c r="G894" s="9" t="str">
        <x:v>RCN</x:v>
      </x:c>
      <x:c r="H894" s="9" t="str">
        <x:v>IV06</x:v>
      </x:c>
      <x:c r="I894" s="17" t="str">
        <x:v>Candidate non-causation</x:v>
      </x:c>
      <x:c r="J894" s="17" t="str">
        <x:v>evidence excludes candidate induction of the facility condition</x:v>
      </x:c>
      <x:c r="K894" s="17" t="str">
        <x:v>Causal court</x:v>
      </x:c>
      <x:c r="L894" s="9" t="n">
        <x:v>0</x:v>
      </x:c>
      <x:c r="M894" s="9" t="n">
        <x:v>0</x:v>
      </x:c>
      <x:c r="N894" s="9" t="str">
        <x:v>UNFILED / UNPROVEN</x:v>
      </x:c>
      <x:c r="O894" s="9" t="n">
        <x:f>COUNTIFS($A$7:$A$1302,A894)</x:f>
        <x:v>1</x:v>
      </x:c>
    </x:row>
    <x:row r="895">
      <x:c r="A895" s="9" t="str">
        <x:v>EV-AR-HC-A-C-TECH-4-B2-RCN-G0-IV07</x:v>
      </x:c>
      <x:c r="B895" s="9" t="str">
        <x:v>EV-AR-HC-A-C-TECH-4-B2-RCN-G0</x:v>
      </x:c>
      <x:c r="C895" s="9" t="str">
        <x:v>AR-HC-A-C-TECH-4-B2-RCN-G0</x:v>
      </x:c>
      <x:c r="D895" s="9" t="str">
        <x:v>HC-A-C-TECH-4</x:v>
      </x:c>
      <x:c r="E895" s="9" t="str">
        <x:v>HC-A-C</x:v>
      </x:c>
      <x:c r="F895" s="9" t="str">
        <x:v>B2</x:v>
      </x:c>
      <x:c r="G895" s="9" t="str">
        <x:v>RCN</x:v>
      </x:c>
      <x:c r="H895" s="9" t="str">
        <x:v>IV07</x:v>
      </x:c>
      <x:c r="I895" s="17" t="str">
        <x:v>No outcome selection</x:v>
      </x:c>
      <x:c r="J895" s="17" t="str">
        <x:v>petition rule and evidence scope were fixed before visibility</x:v>
      </x:c>
      <x:c r="K895" s="17" t="str">
        <x:v>Conflict registrar</x:v>
      </x:c>
      <x:c r="L895" s="9" t="n">
        <x:v>0</x:v>
      </x:c>
      <x:c r="M895" s="9" t="n">
        <x:v>0</x:v>
      </x:c>
      <x:c r="N895" s="9" t="str">
        <x:v>UNFILED / UNPROVEN</x:v>
      </x:c>
      <x:c r="O895" s="9" t="n">
        <x:f>COUNTIFS($A$7:$A$1302,A895)</x:f>
        <x:v>1</x:v>
      </x:c>
    </x:row>
    <x:row r="896">
      <x:c r="A896" s="9" t="str">
        <x:v>EV-AR-HC-A-C-TECH-4-B2-RCN-G0-IV08</x:v>
      </x:c>
      <x:c r="B896" s="9" t="str">
        <x:v>EV-AR-HC-A-C-TECH-4-B2-RCN-G0</x:v>
      </x:c>
      <x:c r="C896" s="9" t="str">
        <x:v>AR-HC-A-C-TECH-4-B2-RCN-G0</x:v>
      </x:c>
      <x:c r="D896" s="9" t="str">
        <x:v>HC-A-C-TECH-4</x:v>
      </x:c>
      <x:c r="E896" s="9" t="str">
        <x:v>HC-A-C</x:v>
      </x:c>
      <x:c r="F896" s="9" t="str">
        <x:v>B2</x:v>
      </x:c>
      <x:c r="G896" s="9" t="str">
        <x:v>RCN</x:v>
      </x:c>
      <x:c r="H896" s="9" t="str">
        <x:v>IV08</x:v>
      </x:c>
      <x:c r="I896" s="17" t="str">
        <x:v>Whole-record preservation</x:v>
      </x:c>
      <x:c r="J896" s="17" t="str">
        <x:v>start, raw behavior, dissent and intervention remain in archive</x:v>
      </x:c>
      <x:c r="K896" s="17" t="str">
        <x:v>Archive authority</x:v>
      </x:c>
      <x:c r="L896" s="9" t="n">
        <x:v>0</x:v>
      </x:c>
      <x:c r="M896" s="9" t="n">
        <x:v>0</x:v>
      </x:c>
      <x:c r="N896" s="9" t="str">
        <x:v>UNFILED / UNPROVEN</x:v>
      </x:c>
      <x:c r="O896" s="9" t="n">
        <x:f>COUNTIFS($A$7:$A$1302,A896)</x:f>
        <x:v>1</x:v>
      </x:c>
    </x:row>
    <x:row r="897">
      <x:c r="A897" s="9" t="str">
        <x:v>EV-AR-HC-A-C-TECH-4-B2-RCN-G0-IV09</x:v>
      </x:c>
      <x:c r="B897" s="9" t="str">
        <x:v>EV-AR-HC-A-C-TECH-4-B2-RCN-G0</x:v>
      </x:c>
      <x:c r="C897" s="9" t="str">
        <x:v>AR-HC-A-C-TECH-4-B2-RCN-G0</x:v>
      </x:c>
      <x:c r="D897" s="9" t="str">
        <x:v>HC-A-C-TECH-4</x:v>
      </x:c>
      <x:c r="E897" s="9" t="str">
        <x:v>HC-A-C</x:v>
      </x:c>
      <x:c r="F897" s="9" t="str">
        <x:v>B2</x:v>
      </x:c>
      <x:c r="G897" s="9" t="str">
        <x:v>RCN</x:v>
      </x:c>
      <x:c r="H897" s="9" t="str">
        <x:v>IV09</x:v>
      </x:c>
      <x:c r="I897" s="17" t="str">
        <x:v>Bounded remedy</x:v>
      </x:c>
      <x:c r="J897" s="17" t="str">
        <x:v>only a new slot and EOW may follow; no favorable credit or erased attempt</x:v>
      </x:c>
      <x:c r="K897" s="17" t="str">
        <x:v>Invalidity court</x:v>
      </x:c>
      <x:c r="L897" s="9" t="n">
        <x:v>0</x:v>
      </x:c>
      <x:c r="M897" s="9" t="n">
        <x:v>0</x:v>
      </x:c>
      <x:c r="N897" s="9" t="str">
        <x:v>UNFILED / UNPROVEN</x:v>
      </x:c>
      <x:c r="O897" s="9" t="n">
        <x:f>COUNTIFS($A$7:$A$1302,A897)</x:f>
        <x:v>1</x:v>
      </x:c>
    </x:row>
    <x:row r="898">
      <x:c r="A898" s="9" t="str">
        <x:v>EV-AR-HC-A-C-TECH-2-B2-INT-G0-IV01</x:v>
      </x:c>
      <x:c r="B898" s="9" t="str">
        <x:v>EV-AR-HC-A-C-TECH-2-B2-INT-G0</x:v>
      </x:c>
      <x:c r="C898" s="9" t="str">
        <x:v>AR-HC-A-C-TECH-2-B2-INT-G0</x:v>
      </x:c>
      <x:c r="D898" s="9" t="str">
        <x:v>HC-A-C-TECH-2</x:v>
      </x:c>
      <x:c r="E898" s="9" t="str">
        <x:v>HC-A-C</x:v>
      </x:c>
      <x:c r="F898" s="9" t="str">
        <x:v>B2</x:v>
      </x:c>
      <x:c r="G898" s="9" t="str">
        <x:v>INT</x:v>
      </x:c>
      <x:c r="H898" s="9" t="str">
        <x:v>IV01</x:v>
      </x:c>
      <x:c r="I898" s="17" t="str">
        <x:v>Timely petition</x:v>
      </x:c>
      <x:c r="J898" s="17" t="str">
        <x:v>petition enters within seventy-two hours of event close</x:v>
      </x:c>
      <x:c r="K898" s="17" t="str">
        <x:v>Invalidity registrar</x:v>
      </x:c>
      <x:c r="L898" s="9" t="n">
        <x:v>0</x:v>
      </x:c>
      <x:c r="M898" s="9" t="n">
        <x:v>0</x:v>
      </x:c>
      <x:c r="N898" s="9" t="str">
        <x:v>UNFILED / UNPROVEN</x:v>
      </x:c>
      <x:c r="O898" s="9" t="n">
        <x:f>COUNTIFS($A$7:$A$1302,A898)</x:f>
        <x:v>1</x:v>
      </x:c>
    </x:row>
    <x:row r="899">
      <x:c r="A899" s="9" t="str">
        <x:v>EV-AR-HC-A-C-TECH-2-B2-INT-G0-IV02</x:v>
      </x:c>
      <x:c r="B899" s="9" t="str">
        <x:v>EV-AR-HC-A-C-TECH-2-B2-INT-G0</x:v>
      </x:c>
      <x:c r="C899" s="9" t="str">
        <x:v>AR-HC-A-C-TECH-2-B2-INT-G0</x:v>
      </x:c>
      <x:c r="D899" s="9" t="str">
        <x:v>HC-A-C-TECH-2</x:v>
      </x:c>
      <x:c r="E899" s="9" t="str">
        <x:v>HC-A-C</x:v>
      </x:c>
      <x:c r="F899" s="9" t="str">
        <x:v>B2</x:v>
      </x:c>
      <x:c r="G899" s="9" t="str">
        <x:v>INT</x:v>
      </x:c>
      <x:c r="H899" s="9" t="str">
        <x:v>IV02</x:v>
      </x:c>
      <x:c r="I899" s="17" t="str">
        <x:v>Named facility cause</x:v>
      </x:c>
      <x:c r="J899" s="17" t="str">
        <x:v>one pre-registered noncandidate cause is identified</x:v>
      </x:c>
      <x:c r="K899" s="17" t="str">
        <x:v>Facility-cause court</x:v>
      </x:c>
      <x:c r="L899" s="9" t="n">
        <x:v>0</x:v>
      </x:c>
      <x:c r="M899" s="9" t="n">
        <x:v>0</x:v>
      </x:c>
      <x:c r="N899" s="9" t="str">
        <x:v>UNFILED / UNPROVEN</x:v>
      </x:c>
      <x:c r="O899" s="9" t="n">
        <x:f>COUNTIFS($A$7:$A$1302,A899)</x:f>
        <x:v>1</x:v>
      </x:c>
    </x:row>
    <x:row r="900">
      <x:c r="A900" s="9" t="str">
        <x:v>EV-AR-HC-A-C-TECH-2-B2-INT-G0-IV03</x:v>
      </x:c>
      <x:c r="B900" s="9" t="str">
        <x:v>EV-AR-HC-A-C-TECH-2-B2-INT-G0</x:v>
      </x:c>
      <x:c r="C900" s="9" t="str">
        <x:v>AR-HC-A-C-TECH-2-B2-INT-G0</x:v>
      </x:c>
      <x:c r="D900" s="9" t="str">
        <x:v>HC-A-C-TECH-2</x:v>
      </x:c>
      <x:c r="E900" s="9" t="str">
        <x:v>HC-A-C</x:v>
      </x:c>
      <x:c r="F900" s="9" t="str">
        <x:v>B2</x:v>
      </x:c>
      <x:c r="G900" s="9" t="str">
        <x:v>INT</x:v>
      </x:c>
      <x:c r="H900" s="9" t="str">
        <x:v>IV03</x:v>
      </x:c>
      <x:c r="I900" s="17" t="str">
        <x:v>Temporal priority</x:v>
      </x:c>
      <x:c r="J900" s="17" t="str">
        <x:v>cause demonstrably precedes the disputed candidate behavior</x:v>
      </x:c>
      <x:c r="K900" s="17" t="str">
        <x:v>Time authority</x:v>
      </x:c>
      <x:c r="L900" s="9" t="n">
        <x:v>0</x:v>
      </x:c>
      <x:c r="M900" s="9" t="n">
        <x:v>0</x:v>
      </x:c>
      <x:c r="N900" s="9" t="str">
        <x:v>UNFILED / UNPROVEN</x:v>
      </x:c>
      <x:c r="O900" s="9" t="n">
        <x:f>COUNTIFS($A$7:$A$1302,A900)</x:f>
        <x:v>1</x:v>
      </x:c>
    </x:row>
    <x:row r="901">
      <x:c r="A901" s="9" t="str">
        <x:v>EV-AR-HC-A-C-TECH-2-B2-INT-G0-IV04</x:v>
      </x:c>
      <x:c r="B901" s="9" t="str">
        <x:v>EV-AR-HC-A-C-TECH-2-B2-INT-G0</x:v>
      </x:c>
      <x:c r="C901" s="9" t="str">
        <x:v>AR-HC-A-C-TECH-2-B2-INT-G0</x:v>
      </x:c>
      <x:c r="D901" s="9" t="str">
        <x:v>HC-A-C-TECH-2</x:v>
      </x:c>
      <x:c r="E901" s="9" t="str">
        <x:v>HC-A-C</x:v>
      </x:c>
      <x:c r="F901" s="9" t="str">
        <x:v>B2</x:v>
      </x:c>
      <x:c r="G901" s="9" t="str">
        <x:v>INT</x:v>
      </x:c>
      <x:c r="H901" s="9" t="str">
        <x:v>IV04</x:v>
      </x:c>
      <x:c r="I901" s="17" t="str">
        <x:v>Independent trace</x:v>
      </x:c>
      <x:c r="J901" s="17" t="str">
        <x:v>two unlike records carry the cause without candidate custody</x:v>
      </x:c>
      <x:c r="K901" s="17" t="str">
        <x:v>Invalidity court</x:v>
      </x:c>
      <x:c r="L901" s="9" t="n">
        <x:v>0</x:v>
      </x:c>
      <x:c r="M901" s="9" t="n">
        <x:v>0</x:v>
      </x:c>
      <x:c r="N901" s="9" t="str">
        <x:v>UNFILED / UNPROVEN</x:v>
      </x:c>
      <x:c r="O901" s="9" t="n">
        <x:f>COUNTIFS($A$7:$A$1302,A901)</x:f>
        <x:v>1</x:v>
      </x:c>
    </x:row>
    <x:row r="902">
      <x:c r="A902" s="9" t="str">
        <x:v>EV-AR-HC-A-C-TECH-2-B2-INT-G0-IV05</x:v>
      </x:c>
      <x:c r="B902" s="9" t="str">
        <x:v>EV-AR-HC-A-C-TECH-2-B2-INT-G0</x:v>
      </x:c>
      <x:c r="C902" s="9" t="str">
        <x:v>AR-HC-A-C-TECH-2-B2-INT-G0</x:v>
      </x:c>
      <x:c r="D902" s="9" t="str">
        <x:v>HC-A-C-TECH-2</x:v>
      </x:c>
      <x:c r="E902" s="9" t="str">
        <x:v>HC-A-C</x:v>
      </x:c>
      <x:c r="F902" s="9" t="str">
        <x:v>B2</x:v>
      </x:c>
      <x:c r="G902" s="9" t="str">
        <x:v>INT</x:v>
      </x:c>
      <x:c r="H902" s="9" t="str">
        <x:v>IV05</x:v>
      </x:c>
      <x:c r="I902" s="17" t="str">
        <x:v>Causal counterfactual</x:v>
      </x:c>
      <x:c r="J902" s="17" t="str">
        <x:v>registered counterfactual shows the cause can create the defect</x:v>
      </x:c>
      <x:c r="K902" s="17" t="str">
        <x:v>Causal court</x:v>
      </x:c>
      <x:c r="L902" s="9" t="n">
        <x:v>0</x:v>
      </x:c>
      <x:c r="M902" s="9" t="n">
        <x:v>0</x:v>
      </x:c>
      <x:c r="N902" s="9" t="str">
        <x:v>UNFILED / UNPROVEN</x:v>
      </x:c>
      <x:c r="O902" s="9" t="n">
        <x:f>COUNTIFS($A$7:$A$1302,A902)</x:f>
        <x:v>1</x:v>
      </x:c>
    </x:row>
    <x:row r="903">
      <x:c r="A903" s="9" t="str">
        <x:v>EV-AR-HC-A-C-TECH-2-B2-INT-G0-IV06</x:v>
      </x:c>
      <x:c r="B903" s="9" t="str">
        <x:v>EV-AR-HC-A-C-TECH-2-B2-INT-G0</x:v>
      </x:c>
      <x:c r="C903" s="9" t="str">
        <x:v>AR-HC-A-C-TECH-2-B2-INT-G0</x:v>
      </x:c>
      <x:c r="D903" s="9" t="str">
        <x:v>HC-A-C-TECH-2</x:v>
      </x:c>
      <x:c r="E903" s="9" t="str">
        <x:v>HC-A-C</x:v>
      </x:c>
      <x:c r="F903" s="9" t="str">
        <x:v>B2</x:v>
      </x:c>
      <x:c r="G903" s="9" t="str">
        <x:v>INT</x:v>
      </x:c>
      <x:c r="H903" s="9" t="str">
        <x:v>IV06</x:v>
      </x:c>
      <x:c r="I903" s="17" t="str">
        <x:v>Candidate non-causation</x:v>
      </x:c>
      <x:c r="J903" s="17" t="str">
        <x:v>evidence excludes candidate induction of the facility condition</x:v>
      </x:c>
      <x:c r="K903" s="17" t="str">
        <x:v>Causal court</x:v>
      </x:c>
      <x:c r="L903" s="9" t="n">
        <x:v>0</x:v>
      </x:c>
      <x:c r="M903" s="9" t="n">
        <x:v>0</x:v>
      </x:c>
      <x:c r="N903" s="9" t="str">
        <x:v>UNFILED / UNPROVEN</x:v>
      </x:c>
      <x:c r="O903" s="9" t="n">
        <x:f>COUNTIFS($A$7:$A$1302,A903)</x:f>
        <x:v>1</x:v>
      </x:c>
    </x:row>
    <x:row r="904">
      <x:c r="A904" s="9" t="str">
        <x:v>EV-AR-HC-A-C-TECH-2-B2-INT-G0-IV07</x:v>
      </x:c>
      <x:c r="B904" s="9" t="str">
        <x:v>EV-AR-HC-A-C-TECH-2-B2-INT-G0</x:v>
      </x:c>
      <x:c r="C904" s="9" t="str">
        <x:v>AR-HC-A-C-TECH-2-B2-INT-G0</x:v>
      </x:c>
      <x:c r="D904" s="9" t="str">
        <x:v>HC-A-C-TECH-2</x:v>
      </x:c>
      <x:c r="E904" s="9" t="str">
        <x:v>HC-A-C</x:v>
      </x:c>
      <x:c r="F904" s="9" t="str">
        <x:v>B2</x:v>
      </x:c>
      <x:c r="G904" s="9" t="str">
        <x:v>INT</x:v>
      </x:c>
      <x:c r="H904" s="9" t="str">
        <x:v>IV07</x:v>
      </x:c>
      <x:c r="I904" s="17" t="str">
        <x:v>No outcome selection</x:v>
      </x:c>
      <x:c r="J904" s="17" t="str">
        <x:v>petition rule and evidence scope were fixed before visibility</x:v>
      </x:c>
      <x:c r="K904" s="17" t="str">
        <x:v>Conflict registrar</x:v>
      </x:c>
      <x:c r="L904" s="9" t="n">
        <x:v>0</x:v>
      </x:c>
      <x:c r="M904" s="9" t="n">
        <x:v>0</x:v>
      </x:c>
      <x:c r="N904" s="9" t="str">
        <x:v>UNFILED / UNPROVEN</x:v>
      </x:c>
      <x:c r="O904" s="9" t="n">
        <x:f>COUNTIFS($A$7:$A$1302,A904)</x:f>
        <x:v>1</x:v>
      </x:c>
    </x:row>
    <x:row r="905">
      <x:c r="A905" s="9" t="str">
        <x:v>EV-AR-HC-A-C-TECH-2-B2-INT-G0-IV08</x:v>
      </x:c>
      <x:c r="B905" s="9" t="str">
        <x:v>EV-AR-HC-A-C-TECH-2-B2-INT-G0</x:v>
      </x:c>
      <x:c r="C905" s="9" t="str">
        <x:v>AR-HC-A-C-TECH-2-B2-INT-G0</x:v>
      </x:c>
      <x:c r="D905" s="9" t="str">
        <x:v>HC-A-C-TECH-2</x:v>
      </x:c>
      <x:c r="E905" s="9" t="str">
        <x:v>HC-A-C</x:v>
      </x:c>
      <x:c r="F905" s="9" t="str">
        <x:v>B2</x:v>
      </x:c>
      <x:c r="G905" s="9" t="str">
        <x:v>INT</x:v>
      </x:c>
      <x:c r="H905" s="9" t="str">
        <x:v>IV08</x:v>
      </x:c>
      <x:c r="I905" s="17" t="str">
        <x:v>Whole-record preservation</x:v>
      </x:c>
      <x:c r="J905" s="17" t="str">
        <x:v>start, raw behavior, dissent and intervention remain in archive</x:v>
      </x:c>
      <x:c r="K905" s="17" t="str">
        <x:v>Archive authority</x:v>
      </x:c>
      <x:c r="L905" s="9" t="n">
        <x:v>0</x:v>
      </x:c>
      <x:c r="M905" s="9" t="n">
        <x:v>0</x:v>
      </x:c>
      <x:c r="N905" s="9" t="str">
        <x:v>UNFILED / UNPROVEN</x:v>
      </x:c>
      <x:c r="O905" s="9" t="n">
        <x:f>COUNTIFS($A$7:$A$1302,A905)</x:f>
        <x:v>1</x:v>
      </x:c>
    </x:row>
    <x:row r="906">
      <x:c r="A906" s="9" t="str">
        <x:v>EV-AR-HC-A-C-TECH-2-B2-INT-G0-IV09</x:v>
      </x:c>
      <x:c r="B906" s="9" t="str">
        <x:v>EV-AR-HC-A-C-TECH-2-B2-INT-G0</x:v>
      </x:c>
      <x:c r="C906" s="9" t="str">
        <x:v>AR-HC-A-C-TECH-2-B2-INT-G0</x:v>
      </x:c>
      <x:c r="D906" s="9" t="str">
        <x:v>HC-A-C-TECH-2</x:v>
      </x:c>
      <x:c r="E906" s="9" t="str">
        <x:v>HC-A-C</x:v>
      </x:c>
      <x:c r="F906" s="9" t="str">
        <x:v>B2</x:v>
      </x:c>
      <x:c r="G906" s="9" t="str">
        <x:v>INT</x:v>
      </x:c>
      <x:c r="H906" s="9" t="str">
        <x:v>IV09</x:v>
      </x:c>
      <x:c r="I906" s="17" t="str">
        <x:v>Bounded remedy</x:v>
      </x:c>
      <x:c r="J906" s="17" t="str">
        <x:v>only a new slot and EOW may follow; no favorable credit or erased attempt</x:v>
      </x:c>
      <x:c r="K906" s="17" t="str">
        <x:v>Invalidity court</x:v>
      </x:c>
      <x:c r="L906" s="9" t="n">
        <x:v>0</x:v>
      </x:c>
      <x:c r="M906" s="9" t="n">
        <x:v>0</x:v>
      </x:c>
      <x:c r="N906" s="9" t="str">
        <x:v>UNFILED / UNPROVEN</x:v>
      </x:c>
      <x:c r="O906" s="9" t="n">
        <x:f>COUNTIFS($A$7:$A$1302,A906)</x:f>
        <x:v>1</x:v>
      </x:c>
    </x:row>
    <x:row r="907">
      <x:c r="A907" s="9" t="str">
        <x:v>EV-AR-LF-B-A-TECH-3-B2-RCN-G0-IV01</x:v>
      </x:c>
      <x:c r="B907" s="9" t="str">
        <x:v>EV-AR-LF-B-A-TECH-3-B2-RCN-G0</x:v>
      </x:c>
      <x:c r="C907" s="9" t="str">
        <x:v>AR-LF-B-A-TECH-3-B2-RCN-G0</x:v>
      </x:c>
      <x:c r="D907" s="9" t="str">
        <x:v>LF-B-A-TECH-3</x:v>
      </x:c>
      <x:c r="E907" s="9" t="str">
        <x:v>LF-B-A</x:v>
      </x:c>
      <x:c r="F907" s="9" t="str">
        <x:v>B2</x:v>
      </x:c>
      <x:c r="G907" s="9" t="str">
        <x:v>RCN</x:v>
      </x:c>
      <x:c r="H907" s="9" t="str">
        <x:v>IV01</x:v>
      </x:c>
      <x:c r="I907" s="17" t="str">
        <x:v>Timely petition</x:v>
      </x:c>
      <x:c r="J907" s="17" t="str">
        <x:v>petition enters within seventy-two hours of event close</x:v>
      </x:c>
      <x:c r="K907" s="17" t="str">
        <x:v>Invalidity registrar</x:v>
      </x:c>
      <x:c r="L907" s="9" t="n">
        <x:v>0</x:v>
      </x:c>
      <x:c r="M907" s="9" t="n">
        <x:v>0</x:v>
      </x:c>
      <x:c r="N907" s="9" t="str">
        <x:v>UNFILED / UNPROVEN</x:v>
      </x:c>
      <x:c r="O907" s="9" t="n">
        <x:f>COUNTIFS($A$7:$A$1302,A907)</x:f>
        <x:v>1</x:v>
      </x:c>
    </x:row>
    <x:row r="908">
      <x:c r="A908" s="9" t="str">
        <x:v>EV-AR-LF-B-A-TECH-3-B2-RCN-G0-IV02</x:v>
      </x:c>
      <x:c r="B908" s="9" t="str">
        <x:v>EV-AR-LF-B-A-TECH-3-B2-RCN-G0</x:v>
      </x:c>
      <x:c r="C908" s="9" t="str">
        <x:v>AR-LF-B-A-TECH-3-B2-RCN-G0</x:v>
      </x:c>
      <x:c r="D908" s="9" t="str">
        <x:v>LF-B-A-TECH-3</x:v>
      </x:c>
      <x:c r="E908" s="9" t="str">
        <x:v>LF-B-A</x:v>
      </x:c>
      <x:c r="F908" s="9" t="str">
        <x:v>B2</x:v>
      </x:c>
      <x:c r="G908" s="9" t="str">
        <x:v>RCN</x:v>
      </x:c>
      <x:c r="H908" s="9" t="str">
        <x:v>IV02</x:v>
      </x:c>
      <x:c r="I908" s="17" t="str">
        <x:v>Named facility cause</x:v>
      </x:c>
      <x:c r="J908" s="17" t="str">
        <x:v>one pre-registered noncandidate cause is identified</x:v>
      </x:c>
      <x:c r="K908" s="17" t="str">
        <x:v>Facility-cause court</x:v>
      </x:c>
      <x:c r="L908" s="9" t="n">
        <x:v>0</x:v>
      </x:c>
      <x:c r="M908" s="9" t="n">
        <x:v>0</x:v>
      </x:c>
      <x:c r="N908" s="9" t="str">
        <x:v>UNFILED / UNPROVEN</x:v>
      </x:c>
      <x:c r="O908" s="9" t="n">
        <x:f>COUNTIFS($A$7:$A$1302,A908)</x:f>
        <x:v>1</x:v>
      </x:c>
    </x:row>
    <x:row r="909">
      <x:c r="A909" s="9" t="str">
        <x:v>EV-AR-LF-B-A-TECH-3-B2-RCN-G0-IV03</x:v>
      </x:c>
      <x:c r="B909" s="9" t="str">
        <x:v>EV-AR-LF-B-A-TECH-3-B2-RCN-G0</x:v>
      </x:c>
      <x:c r="C909" s="9" t="str">
        <x:v>AR-LF-B-A-TECH-3-B2-RCN-G0</x:v>
      </x:c>
      <x:c r="D909" s="9" t="str">
        <x:v>LF-B-A-TECH-3</x:v>
      </x:c>
      <x:c r="E909" s="9" t="str">
        <x:v>LF-B-A</x:v>
      </x:c>
      <x:c r="F909" s="9" t="str">
        <x:v>B2</x:v>
      </x:c>
      <x:c r="G909" s="9" t="str">
        <x:v>RCN</x:v>
      </x:c>
      <x:c r="H909" s="9" t="str">
        <x:v>IV03</x:v>
      </x:c>
      <x:c r="I909" s="17" t="str">
        <x:v>Temporal priority</x:v>
      </x:c>
      <x:c r="J909" s="17" t="str">
        <x:v>cause demonstrably precedes the disputed candidate behavior</x:v>
      </x:c>
      <x:c r="K909" s="17" t="str">
        <x:v>Time authority</x:v>
      </x:c>
      <x:c r="L909" s="9" t="n">
        <x:v>0</x:v>
      </x:c>
      <x:c r="M909" s="9" t="n">
        <x:v>0</x:v>
      </x:c>
      <x:c r="N909" s="9" t="str">
        <x:v>UNFILED / UNPROVEN</x:v>
      </x:c>
      <x:c r="O909" s="9" t="n">
        <x:f>COUNTIFS($A$7:$A$1302,A909)</x:f>
        <x:v>1</x:v>
      </x:c>
    </x:row>
    <x:row r="910">
      <x:c r="A910" s="9" t="str">
        <x:v>EV-AR-LF-B-A-TECH-3-B2-RCN-G0-IV04</x:v>
      </x:c>
      <x:c r="B910" s="9" t="str">
        <x:v>EV-AR-LF-B-A-TECH-3-B2-RCN-G0</x:v>
      </x:c>
      <x:c r="C910" s="9" t="str">
        <x:v>AR-LF-B-A-TECH-3-B2-RCN-G0</x:v>
      </x:c>
      <x:c r="D910" s="9" t="str">
        <x:v>LF-B-A-TECH-3</x:v>
      </x:c>
      <x:c r="E910" s="9" t="str">
        <x:v>LF-B-A</x:v>
      </x:c>
      <x:c r="F910" s="9" t="str">
        <x:v>B2</x:v>
      </x:c>
      <x:c r="G910" s="9" t="str">
        <x:v>RCN</x:v>
      </x:c>
      <x:c r="H910" s="9" t="str">
        <x:v>IV04</x:v>
      </x:c>
      <x:c r="I910" s="17" t="str">
        <x:v>Independent trace</x:v>
      </x:c>
      <x:c r="J910" s="17" t="str">
        <x:v>two unlike records carry the cause without candidate custody</x:v>
      </x:c>
      <x:c r="K910" s="17" t="str">
        <x:v>Invalidity court</x:v>
      </x:c>
      <x:c r="L910" s="9" t="n">
        <x:v>0</x:v>
      </x:c>
      <x:c r="M910" s="9" t="n">
        <x:v>0</x:v>
      </x:c>
      <x:c r="N910" s="9" t="str">
        <x:v>UNFILED / UNPROVEN</x:v>
      </x:c>
      <x:c r="O910" s="9" t="n">
        <x:f>COUNTIFS($A$7:$A$1302,A910)</x:f>
        <x:v>1</x:v>
      </x:c>
    </x:row>
    <x:row r="911">
      <x:c r="A911" s="9" t="str">
        <x:v>EV-AR-LF-B-A-TECH-3-B2-RCN-G0-IV05</x:v>
      </x:c>
      <x:c r="B911" s="9" t="str">
        <x:v>EV-AR-LF-B-A-TECH-3-B2-RCN-G0</x:v>
      </x:c>
      <x:c r="C911" s="9" t="str">
        <x:v>AR-LF-B-A-TECH-3-B2-RCN-G0</x:v>
      </x:c>
      <x:c r="D911" s="9" t="str">
        <x:v>LF-B-A-TECH-3</x:v>
      </x:c>
      <x:c r="E911" s="9" t="str">
        <x:v>LF-B-A</x:v>
      </x:c>
      <x:c r="F911" s="9" t="str">
        <x:v>B2</x:v>
      </x:c>
      <x:c r="G911" s="9" t="str">
        <x:v>RCN</x:v>
      </x:c>
      <x:c r="H911" s="9" t="str">
        <x:v>IV05</x:v>
      </x:c>
      <x:c r="I911" s="17" t="str">
        <x:v>Causal counterfactual</x:v>
      </x:c>
      <x:c r="J911" s="17" t="str">
        <x:v>registered counterfactual shows the cause can create the defect</x:v>
      </x:c>
      <x:c r="K911" s="17" t="str">
        <x:v>Causal court</x:v>
      </x:c>
      <x:c r="L911" s="9" t="n">
        <x:v>0</x:v>
      </x:c>
      <x:c r="M911" s="9" t="n">
        <x:v>0</x:v>
      </x:c>
      <x:c r="N911" s="9" t="str">
        <x:v>UNFILED / UNPROVEN</x:v>
      </x:c>
      <x:c r="O911" s="9" t="n">
        <x:f>COUNTIFS($A$7:$A$1302,A911)</x:f>
        <x:v>1</x:v>
      </x:c>
    </x:row>
    <x:row r="912">
      <x:c r="A912" s="9" t="str">
        <x:v>EV-AR-LF-B-A-TECH-3-B2-RCN-G0-IV06</x:v>
      </x:c>
      <x:c r="B912" s="9" t="str">
        <x:v>EV-AR-LF-B-A-TECH-3-B2-RCN-G0</x:v>
      </x:c>
      <x:c r="C912" s="9" t="str">
        <x:v>AR-LF-B-A-TECH-3-B2-RCN-G0</x:v>
      </x:c>
      <x:c r="D912" s="9" t="str">
        <x:v>LF-B-A-TECH-3</x:v>
      </x:c>
      <x:c r="E912" s="9" t="str">
        <x:v>LF-B-A</x:v>
      </x:c>
      <x:c r="F912" s="9" t="str">
        <x:v>B2</x:v>
      </x:c>
      <x:c r="G912" s="9" t="str">
        <x:v>RCN</x:v>
      </x:c>
      <x:c r="H912" s="9" t="str">
        <x:v>IV06</x:v>
      </x:c>
      <x:c r="I912" s="17" t="str">
        <x:v>Candidate non-causation</x:v>
      </x:c>
      <x:c r="J912" s="17" t="str">
        <x:v>evidence excludes candidate induction of the facility condition</x:v>
      </x:c>
      <x:c r="K912" s="17" t="str">
        <x:v>Causal court</x:v>
      </x:c>
      <x:c r="L912" s="9" t="n">
        <x:v>0</x:v>
      </x:c>
      <x:c r="M912" s="9" t="n">
        <x:v>0</x:v>
      </x:c>
      <x:c r="N912" s="9" t="str">
        <x:v>UNFILED / UNPROVEN</x:v>
      </x:c>
      <x:c r="O912" s="9" t="n">
        <x:f>COUNTIFS($A$7:$A$1302,A912)</x:f>
        <x:v>1</x:v>
      </x:c>
    </x:row>
    <x:row r="913">
      <x:c r="A913" s="9" t="str">
        <x:v>EV-AR-LF-B-A-TECH-3-B2-RCN-G0-IV07</x:v>
      </x:c>
      <x:c r="B913" s="9" t="str">
        <x:v>EV-AR-LF-B-A-TECH-3-B2-RCN-G0</x:v>
      </x:c>
      <x:c r="C913" s="9" t="str">
        <x:v>AR-LF-B-A-TECH-3-B2-RCN-G0</x:v>
      </x:c>
      <x:c r="D913" s="9" t="str">
        <x:v>LF-B-A-TECH-3</x:v>
      </x:c>
      <x:c r="E913" s="9" t="str">
        <x:v>LF-B-A</x:v>
      </x:c>
      <x:c r="F913" s="9" t="str">
        <x:v>B2</x:v>
      </x:c>
      <x:c r="G913" s="9" t="str">
        <x:v>RCN</x:v>
      </x:c>
      <x:c r="H913" s="9" t="str">
        <x:v>IV07</x:v>
      </x:c>
      <x:c r="I913" s="17" t="str">
        <x:v>No outcome selection</x:v>
      </x:c>
      <x:c r="J913" s="17" t="str">
        <x:v>petition rule and evidence scope were fixed before visibility</x:v>
      </x:c>
      <x:c r="K913" s="17" t="str">
        <x:v>Conflict registrar</x:v>
      </x:c>
      <x:c r="L913" s="9" t="n">
        <x:v>0</x:v>
      </x:c>
      <x:c r="M913" s="9" t="n">
        <x:v>0</x:v>
      </x:c>
      <x:c r="N913" s="9" t="str">
        <x:v>UNFILED / UNPROVEN</x:v>
      </x:c>
      <x:c r="O913" s="9" t="n">
        <x:f>COUNTIFS($A$7:$A$1302,A913)</x:f>
        <x:v>1</x:v>
      </x:c>
    </x:row>
    <x:row r="914">
      <x:c r="A914" s="9" t="str">
        <x:v>EV-AR-LF-B-A-TECH-3-B2-RCN-G0-IV08</x:v>
      </x:c>
      <x:c r="B914" s="9" t="str">
        <x:v>EV-AR-LF-B-A-TECH-3-B2-RCN-G0</x:v>
      </x:c>
      <x:c r="C914" s="9" t="str">
        <x:v>AR-LF-B-A-TECH-3-B2-RCN-G0</x:v>
      </x:c>
      <x:c r="D914" s="9" t="str">
        <x:v>LF-B-A-TECH-3</x:v>
      </x:c>
      <x:c r="E914" s="9" t="str">
        <x:v>LF-B-A</x:v>
      </x:c>
      <x:c r="F914" s="9" t="str">
        <x:v>B2</x:v>
      </x:c>
      <x:c r="G914" s="9" t="str">
        <x:v>RCN</x:v>
      </x:c>
      <x:c r="H914" s="9" t="str">
        <x:v>IV08</x:v>
      </x:c>
      <x:c r="I914" s="17" t="str">
        <x:v>Whole-record preservation</x:v>
      </x:c>
      <x:c r="J914" s="17" t="str">
        <x:v>start, raw behavior, dissent and intervention remain in archive</x:v>
      </x:c>
      <x:c r="K914" s="17" t="str">
        <x:v>Archive authority</x:v>
      </x:c>
      <x:c r="L914" s="9" t="n">
        <x:v>0</x:v>
      </x:c>
      <x:c r="M914" s="9" t="n">
        <x:v>0</x:v>
      </x:c>
      <x:c r="N914" s="9" t="str">
        <x:v>UNFILED / UNPROVEN</x:v>
      </x:c>
      <x:c r="O914" s="9" t="n">
        <x:f>COUNTIFS($A$7:$A$1302,A914)</x:f>
        <x:v>1</x:v>
      </x:c>
    </x:row>
    <x:row r="915">
      <x:c r="A915" s="9" t="str">
        <x:v>EV-AR-LF-B-A-TECH-3-B2-RCN-G0-IV09</x:v>
      </x:c>
      <x:c r="B915" s="9" t="str">
        <x:v>EV-AR-LF-B-A-TECH-3-B2-RCN-G0</x:v>
      </x:c>
      <x:c r="C915" s="9" t="str">
        <x:v>AR-LF-B-A-TECH-3-B2-RCN-G0</x:v>
      </x:c>
      <x:c r="D915" s="9" t="str">
        <x:v>LF-B-A-TECH-3</x:v>
      </x:c>
      <x:c r="E915" s="9" t="str">
        <x:v>LF-B-A</x:v>
      </x:c>
      <x:c r="F915" s="9" t="str">
        <x:v>B2</x:v>
      </x:c>
      <x:c r="G915" s="9" t="str">
        <x:v>RCN</x:v>
      </x:c>
      <x:c r="H915" s="9" t="str">
        <x:v>IV09</x:v>
      </x:c>
      <x:c r="I915" s="17" t="str">
        <x:v>Bounded remedy</x:v>
      </x:c>
      <x:c r="J915" s="17" t="str">
        <x:v>only a new slot and EOW may follow; no favorable credit or erased attempt</x:v>
      </x:c>
      <x:c r="K915" s="17" t="str">
        <x:v>Invalidity court</x:v>
      </x:c>
      <x:c r="L915" s="9" t="n">
        <x:v>0</x:v>
      </x:c>
      <x:c r="M915" s="9" t="n">
        <x:v>0</x:v>
      </x:c>
      <x:c r="N915" s="9" t="str">
        <x:v>UNFILED / UNPROVEN</x:v>
      </x:c>
      <x:c r="O915" s="9" t="n">
        <x:f>COUNTIFS($A$7:$A$1302,A915)</x:f>
        <x:v>1</x:v>
      </x:c>
    </x:row>
    <x:row r="916">
      <x:c r="A916" s="9" t="str">
        <x:v>EV-AR-LF-B-A-TECH-4-B1-RCN-G0-IV01</x:v>
      </x:c>
      <x:c r="B916" s="9" t="str">
        <x:v>EV-AR-LF-B-A-TECH-4-B1-RCN-G0</x:v>
      </x:c>
      <x:c r="C916" s="9" t="str">
        <x:v>AR-LF-B-A-TECH-4-B1-RCN-G0</x:v>
      </x:c>
      <x:c r="D916" s="9" t="str">
        <x:v>LF-B-A-TECH-4</x:v>
      </x:c>
      <x:c r="E916" s="9" t="str">
        <x:v>LF-B-A</x:v>
      </x:c>
      <x:c r="F916" s="9" t="str">
        <x:v>B1</x:v>
      </x:c>
      <x:c r="G916" s="9" t="str">
        <x:v>RCN</x:v>
      </x:c>
      <x:c r="H916" s="9" t="str">
        <x:v>IV01</x:v>
      </x:c>
      <x:c r="I916" s="17" t="str">
        <x:v>Timely petition</x:v>
      </x:c>
      <x:c r="J916" s="17" t="str">
        <x:v>petition enters within seventy-two hours of event close</x:v>
      </x:c>
      <x:c r="K916" s="17" t="str">
        <x:v>Invalidity registrar</x:v>
      </x:c>
      <x:c r="L916" s="9" t="n">
        <x:v>0</x:v>
      </x:c>
      <x:c r="M916" s="9" t="n">
        <x:v>0</x:v>
      </x:c>
      <x:c r="N916" s="9" t="str">
        <x:v>UNFILED / UNPROVEN</x:v>
      </x:c>
      <x:c r="O916" s="9" t="n">
        <x:f>COUNTIFS($A$7:$A$1302,A916)</x:f>
        <x:v>1</x:v>
      </x:c>
    </x:row>
    <x:row r="917">
      <x:c r="A917" s="9" t="str">
        <x:v>EV-AR-LF-B-A-TECH-4-B1-RCN-G0-IV02</x:v>
      </x:c>
      <x:c r="B917" s="9" t="str">
        <x:v>EV-AR-LF-B-A-TECH-4-B1-RCN-G0</x:v>
      </x:c>
      <x:c r="C917" s="9" t="str">
        <x:v>AR-LF-B-A-TECH-4-B1-RCN-G0</x:v>
      </x:c>
      <x:c r="D917" s="9" t="str">
        <x:v>LF-B-A-TECH-4</x:v>
      </x:c>
      <x:c r="E917" s="9" t="str">
        <x:v>LF-B-A</x:v>
      </x:c>
      <x:c r="F917" s="9" t="str">
        <x:v>B1</x:v>
      </x:c>
      <x:c r="G917" s="9" t="str">
        <x:v>RCN</x:v>
      </x:c>
      <x:c r="H917" s="9" t="str">
        <x:v>IV02</x:v>
      </x:c>
      <x:c r="I917" s="17" t="str">
        <x:v>Named facility cause</x:v>
      </x:c>
      <x:c r="J917" s="17" t="str">
        <x:v>one pre-registered noncandidate cause is identified</x:v>
      </x:c>
      <x:c r="K917" s="17" t="str">
        <x:v>Facility-cause court</x:v>
      </x:c>
      <x:c r="L917" s="9" t="n">
        <x:v>0</x:v>
      </x:c>
      <x:c r="M917" s="9" t="n">
        <x:v>0</x:v>
      </x:c>
      <x:c r="N917" s="9" t="str">
        <x:v>UNFILED / UNPROVEN</x:v>
      </x:c>
      <x:c r="O917" s="9" t="n">
        <x:f>COUNTIFS($A$7:$A$1302,A917)</x:f>
        <x:v>1</x:v>
      </x:c>
    </x:row>
    <x:row r="918">
      <x:c r="A918" s="9" t="str">
        <x:v>EV-AR-LF-B-A-TECH-4-B1-RCN-G0-IV03</x:v>
      </x:c>
      <x:c r="B918" s="9" t="str">
        <x:v>EV-AR-LF-B-A-TECH-4-B1-RCN-G0</x:v>
      </x:c>
      <x:c r="C918" s="9" t="str">
        <x:v>AR-LF-B-A-TECH-4-B1-RCN-G0</x:v>
      </x:c>
      <x:c r="D918" s="9" t="str">
        <x:v>LF-B-A-TECH-4</x:v>
      </x:c>
      <x:c r="E918" s="9" t="str">
        <x:v>LF-B-A</x:v>
      </x:c>
      <x:c r="F918" s="9" t="str">
        <x:v>B1</x:v>
      </x:c>
      <x:c r="G918" s="9" t="str">
        <x:v>RCN</x:v>
      </x:c>
      <x:c r="H918" s="9" t="str">
        <x:v>IV03</x:v>
      </x:c>
      <x:c r="I918" s="17" t="str">
        <x:v>Temporal priority</x:v>
      </x:c>
      <x:c r="J918" s="17" t="str">
        <x:v>cause demonstrably precedes the disputed candidate behavior</x:v>
      </x:c>
      <x:c r="K918" s="17" t="str">
        <x:v>Time authority</x:v>
      </x:c>
      <x:c r="L918" s="9" t="n">
        <x:v>0</x:v>
      </x:c>
      <x:c r="M918" s="9" t="n">
        <x:v>0</x:v>
      </x:c>
      <x:c r="N918" s="9" t="str">
        <x:v>UNFILED / UNPROVEN</x:v>
      </x:c>
      <x:c r="O918" s="9" t="n">
        <x:f>COUNTIFS($A$7:$A$1302,A918)</x:f>
        <x:v>1</x:v>
      </x:c>
    </x:row>
    <x:row r="919">
      <x:c r="A919" s="9" t="str">
        <x:v>EV-AR-LF-B-A-TECH-4-B1-RCN-G0-IV04</x:v>
      </x:c>
      <x:c r="B919" s="9" t="str">
        <x:v>EV-AR-LF-B-A-TECH-4-B1-RCN-G0</x:v>
      </x:c>
      <x:c r="C919" s="9" t="str">
        <x:v>AR-LF-B-A-TECH-4-B1-RCN-G0</x:v>
      </x:c>
      <x:c r="D919" s="9" t="str">
        <x:v>LF-B-A-TECH-4</x:v>
      </x:c>
      <x:c r="E919" s="9" t="str">
        <x:v>LF-B-A</x:v>
      </x:c>
      <x:c r="F919" s="9" t="str">
        <x:v>B1</x:v>
      </x:c>
      <x:c r="G919" s="9" t="str">
        <x:v>RCN</x:v>
      </x:c>
      <x:c r="H919" s="9" t="str">
        <x:v>IV04</x:v>
      </x:c>
      <x:c r="I919" s="17" t="str">
        <x:v>Independent trace</x:v>
      </x:c>
      <x:c r="J919" s="17" t="str">
        <x:v>two unlike records carry the cause without candidate custody</x:v>
      </x:c>
      <x:c r="K919" s="17" t="str">
        <x:v>Invalidity court</x:v>
      </x:c>
      <x:c r="L919" s="9" t="n">
        <x:v>0</x:v>
      </x:c>
      <x:c r="M919" s="9" t="n">
        <x:v>0</x:v>
      </x:c>
      <x:c r="N919" s="9" t="str">
        <x:v>UNFILED / UNPROVEN</x:v>
      </x:c>
      <x:c r="O919" s="9" t="n">
        <x:f>COUNTIFS($A$7:$A$1302,A919)</x:f>
        <x:v>1</x:v>
      </x:c>
    </x:row>
    <x:row r="920">
      <x:c r="A920" s="9" t="str">
        <x:v>EV-AR-LF-B-A-TECH-4-B1-RCN-G0-IV05</x:v>
      </x:c>
      <x:c r="B920" s="9" t="str">
        <x:v>EV-AR-LF-B-A-TECH-4-B1-RCN-G0</x:v>
      </x:c>
      <x:c r="C920" s="9" t="str">
        <x:v>AR-LF-B-A-TECH-4-B1-RCN-G0</x:v>
      </x:c>
      <x:c r="D920" s="9" t="str">
        <x:v>LF-B-A-TECH-4</x:v>
      </x:c>
      <x:c r="E920" s="9" t="str">
        <x:v>LF-B-A</x:v>
      </x:c>
      <x:c r="F920" s="9" t="str">
        <x:v>B1</x:v>
      </x:c>
      <x:c r="G920" s="9" t="str">
        <x:v>RCN</x:v>
      </x:c>
      <x:c r="H920" s="9" t="str">
        <x:v>IV05</x:v>
      </x:c>
      <x:c r="I920" s="17" t="str">
        <x:v>Causal counterfactual</x:v>
      </x:c>
      <x:c r="J920" s="17" t="str">
        <x:v>registered counterfactual shows the cause can create the defect</x:v>
      </x:c>
      <x:c r="K920" s="17" t="str">
        <x:v>Causal court</x:v>
      </x:c>
      <x:c r="L920" s="9" t="n">
        <x:v>0</x:v>
      </x:c>
      <x:c r="M920" s="9" t="n">
        <x:v>0</x:v>
      </x:c>
      <x:c r="N920" s="9" t="str">
        <x:v>UNFILED / UNPROVEN</x:v>
      </x:c>
      <x:c r="O920" s="9" t="n">
        <x:f>COUNTIFS($A$7:$A$1302,A920)</x:f>
        <x:v>1</x:v>
      </x:c>
    </x:row>
    <x:row r="921">
      <x:c r="A921" s="9" t="str">
        <x:v>EV-AR-LF-B-A-TECH-4-B1-RCN-G0-IV06</x:v>
      </x:c>
      <x:c r="B921" s="9" t="str">
        <x:v>EV-AR-LF-B-A-TECH-4-B1-RCN-G0</x:v>
      </x:c>
      <x:c r="C921" s="9" t="str">
        <x:v>AR-LF-B-A-TECH-4-B1-RCN-G0</x:v>
      </x:c>
      <x:c r="D921" s="9" t="str">
        <x:v>LF-B-A-TECH-4</x:v>
      </x:c>
      <x:c r="E921" s="9" t="str">
        <x:v>LF-B-A</x:v>
      </x:c>
      <x:c r="F921" s="9" t="str">
        <x:v>B1</x:v>
      </x:c>
      <x:c r="G921" s="9" t="str">
        <x:v>RCN</x:v>
      </x:c>
      <x:c r="H921" s="9" t="str">
        <x:v>IV06</x:v>
      </x:c>
      <x:c r="I921" s="17" t="str">
        <x:v>Candidate non-causation</x:v>
      </x:c>
      <x:c r="J921" s="17" t="str">
        <x:v>evidence excludes candidate induction of the facility condition</x:v>
      </x:c>
      <x:c r="K921" s="17" t="str">
        <x:v>Causal court</x:v>
      </x:c>
      <x:c r="L921" s="9" t="n">
        <x:v>0</x:v>
      </x:c>
      <x:c r="M921" s="9" t="n">
        <x:v>0</x:v>
      </x:c>
      <x:c r="N921" s="9" t="str">
        <x:v>UNFILED / UNPROVEN</x:v>
      </x:c>
      <x:c r="O921" s="9" t="n">
        <x:f>COUNTIFS($A$7:$A$1302,A921)</x:f>
        <x:v>1</x:v>
      </x:c>
    </x:row>
    <x:row r="922">
      <x:c r="A922" s="9" t="str">
        <x:v>EV-AR-LF-B-A-TECH-4-B1-RCN-G0-IV07</x:v>
      </x:c>
      <x:c r="B922" s="9" t="str">
        <x:v>EV-AR-LF-B-A-TECH-4-B1-RCN-G0</x:v>
      </x:c>
      <x:c r="C922" s="9" t="str">
        <x:v>AR-LF-B-A-TECH-4-B1-RCN-G0</x:v>
      </x:c>
      <x:c r="D922" s="9" t="str">
        <x:v>LF-B-A-TECH-4</x:v>
      </x:c>
      <x:c r="E922" s="9" t="str">
        <x:v>LF-B-A</x:v>
      </x:c>
      <x:c r="F922" s="9" t="str">
        <x:v>B1</x:v>
      </x:c>
      <x:c r="G922" s="9" t="str">
        <x:v>RCN</x:v>
      </x:c>
      <x:c r="H922" s="9" t="str">
        <x:v>IV07</x:v>
      </x:c>
      <x:c r="I922" s="17" t="str">
        <x:v>No outcome selection</x:v>
      </x:c>
      <x:c r="J922" s="17" t="str">
        <x:v>petition rule and evidence scope were fixed before visibility</x:v>
      </x:c>
      <x:c r="K922" s="17" t="str">
        <x:v>Conflict registrar</x:v>
      </x:c>
      <x:c r="L922" s="9" t="n">
        <x:v>0</x:v>
      </x:c>
      <x:c r="M922" s="9" t="n">
        <x:v>0</x:v>
      </x:c>
      <x:c r="N922" s="9" t="str">
        <x:v>UNFILED / UNPROVEN</x:v>
      </x:c>
      <x:c r="O922" s="9" t="n">
        <x:f>COUNTIFS($A$7:$A$1302,A922)</x:f>
        <x:v>1</x:v>
      </x:c>
    </x:row>
    <x:row r="923">
      <x:c r="A923" s="9" t="str">
        <x:v>EV-AR-LF-B-A-TECH-4-B1-RCN-G0-IV08</x:v>
      </x:c>
      <x:c r="B923" s="9" t="str">
        <x:v>EV-AR-LF-B-A-TECH-4-B1-RCN-G0</x:v>
      </x:c>
      <x:c r="C923" s="9" t="str">
        <x:v>AR-LF-B-A-TECH-4-B1-RCN-G0</x:v>
      </x:c>
      <x:c r="D923" s="9" t="str">
        <x:v>LF-B-A-TECH-4</x:v>
      </x:c>
      <x:c r="E923" s="9" t="str">
        <x:v>LF-B-A</x:v>
      </x:c>
      <x:c r="F923" s="9" t="str">
        <x:v>B1</x:v>
      </x:c>
      <x:c r="G923" s="9" t="str">
        <x:v>RCN</x:v>
      </x:c>
      <x:c r="H923" s="9" t="str">
        <x:v>IV08</x:v>
      </x:c>
      <x:c r="I923" s="17" t="str">
        <x:v>Whole-record preservation</x:v>
      </x:c>
      <x:c r="J923" s="17" t="str">
        <x:v>start, raw behavior, dissent and intervention remain in archive</x:v>
      </x:c>
      <x:c r="K923" s="17" t="str">
        <x:v>Archive authority</x:v>
      </x:c>
      <x:c r="L923" s="9" t="n">
        <x:v>0</x:v>
      </x:c>
      <x:c r="M923" s="9" t="n">
        <x:v>0</x:v>
      </x:c>
      <x:c r="N923" s="9" t="str">
        <x:v>UNFILED / UNPROVEN</x:v>
      </x:c>
      <x:c r="O923" s="9" t="n">
        <x:f>COUNTIFS($A$7:$A$1302,A923)</x:f>
        <x:v>1</x:v>
      </x:c>
    </x:row>
    <x:row r="924">
      <x:c r="A924" s="9" t="str">
        <x:v>EV-AR-LF-B-A-TECH-4-B1-RCN-G0-IV09</x:v>
      </x:c>
      <x:c r="B924" s="9" t="str">
        <x:v>EV-AR-LF-B-A-TECH-4-B1-RCN-G0</x:v>
      </x:c>
      <x:c r="C924" s="9" t="str">
        <x:v>AR-LF-B-A-TECH-4-B1-RCN-G0</x:v>
      </x:c>
      <x:c r="D924" s="9" t="str">
        <x:v>LF-B-A-TECH-4</x:v>
      </x:c>
      <x:c r="E924" s="9" t="str">
        <x:v>LF-B-A</x:v>
      </x:c>
      <x:c r="F924" s="9" t="str">
        <x:v>B1</x:v>
      </x:c>
      <x:c r="G924" s="9" t="str">
        <x:v>RCN</x:v>
      </x:c>
      <x:c r="H924" s="9" t="str">
        <x:v>IV09</x:v>
      </x:c>
      <x:c r="I924" s="17" t="str">
        <x:v>Bounded remedy</x:v>
      </x:c>
      <x:c r="J924" s="17" t="str">
        <x:v>only a new slot and EOW may follow; no favorable credit or erased attempt</x:v>
      </x:c>
      <x:c r="K924" s="17" t="str">
        <x:v>Invalidity court</x:v>
      </x:c>
      <x:c r="L924" s="9" t="n">
        <x:v>0</x:v>
      </x:c>
      <x:c r="M924" s="9" t="n">
        <x:v>0</x:v>
      </x:c>
      <x:c r="N924" s="9" t="str">
        <x:v>UNFILED / UNPROVEN</x:v>
      </x:c>
      <x:c r="O924" s="9" t="n">
        <x:f>COUNTIFS($A$7:$A$1302,A924)</x:f>
        <x:v>1</x:v>
      </x:c>
    </x:row>
    <x:row r="925">
      <x:c r="A925" s="9" t="str">
        <x:v>EV-AR-CT-C-B-TECH-2-B1-BRK-G0-IV01</x:v>
      </x:c>
      <x:c r="B925" s="9" t="str">
        <x:v>EV-AR-CT-C-B-TECH-2-B1-BRK-G0</x:v>
      </x:c>
      <x:c r="C925" s="9" t="str">
        <x:v>AR-CT-C-B-TECH-2-B1-BRK-G0</x:v>
      </x:c>
      <x:c r="D925" s="9" t="str">
        <x:v>CT-C-B-TECH-2</x:v>
      </x:c>
      <x:c r="E925" s="9" t="str">
        <x:v>CT-C-B</x:v>
      </x:c>
      <x:c r="F925" s="9" t="str">
        <x:v>B1</x:v>
      </x:c>
      <x:c r="G925" s="9" t="str">
        <x:v>BRK</x:v>
      </x:c>
      <x:c r="H925" s="9" t="str">
        <x:v>IV01</x:v>
      </x:c>
      <x:c r="I925" s="17" t="str">
        <x:v>Timely petition</x:v>
      </x:c>
      <x:c r="J925" s="17" t="str">
        <x:v>petition enters within seventy-two hours of event close</x:v>
      </x:c>
      <x:c r="K925" s="17" t="str">
        <x:v>Invalidity registrar</x:v>
      </x:c>
      <x:c r="L925" s="9" t="n">
        <x:v>0</x:v>
      </x:c>
      <x:c r="M925" s="9" t="n">
        <x:v>0</x:v>
      </x:c>
      <x:c r="N925" s="9" t="str">
        <x:v>UNFILED / UNPROVEN</x:v>
      </x:c>
      <x:c r="O925" s="9" t="n">
        <x:f>COUNTIFS($A$7:$A$1302,A925)</x:f>
        <x:v>1</x:v>
      </x:c>
    </x:row>
    <x:row r="926">
      <x:c r="A926" s="9" t="str">
        <x:v>EV-AR-CT-C-B-TECH-2-B1-BRK-G0-IV02</x:v>
      </x:c>
      <x:c r="B926" s="9" t="str">
        <x:v>EV-AR-CT-C-B-TECH-2-B1-BRK-G0</x:v>
      </x:c>
      <x:c r="C926" s="9" t="str">
        <x:v>AR-CT-C-B-TECH-2-B1-BRK-G0</x:v>
      </x:c>
      <x:c r="D926" s="9" t="str">
        <x:v>CT-C-B-TECH-2</x:v>
      </x:c>
      <x:c r="E926" s="9" t="str">
        <x:v>CT-C-B</x:v>
      </x:c>
      <x:c r="F926" s="9" t="str">
        <x:v>B1</x:v>
      </x:c>
      <x:c r="G926" s="9" t="str">
        <x:v>BRK</x:v>
      </x:c>
      <x:c r="H926" s="9" t="str">
        <x:v>IV02</x:v>
      </x:c>
      <x:c r="I926" s="17" t="str">
        <x:v>Named facility cause</x:v>
      </x:c>
      <x:c r="J926" s="17" t="str">
        <x:v>one pre-registered noncandidate cause is identified</x:v>
      </x:c>
      <x:c r="K926" s="17" t="str">
        <x:v>Facility-cause court</x:v>
      </x:c>
      <x:c r="L926" s="9" t="n">
        <x:v>0</x:v>
      </x:c>
      <x:c r="M926" s="9" t="n">
        <x:v>0</x:v>
      </x:c>
      <x:c r="N926" s="9" t="str">
        <x:v>UNFILED / UNPROVEN</x:v>
      </x:c>
      <x:c r="O926" s="9" t="n">
        <x:f>COUNTIFS($A$7:$A$1302,A926)</x:f>
        <x:v>1</x:v>
      </x:c>
    </x:row>
    <x:row r="927">
      <x:c r="A927" s="9" t="str">
        <x:v>EV-AR-CT-C-B-TECH-2-B1-BRK-G0-IV03</x:v>
      </x:c>
      <x:c r="B927" s="9" t="str">
        <x:v>EV-AR-CT-C-B-TECH-2-B1-BRK-G0</x:v>
      </x:c>
      <x:c r="C927" s="9" t="str">
        <x:v>AR-CT-C-B-TECH-2-B1-BRK-G0</x:v>
      </x:c>
      <x:c r="D927" s="9" t="str">
        <x:v>CT-C-B-TECH-2</x:v>
      </x:c>
      <x:c r="E927" s="9" t="str">
        <x:v>CT-C-B</x:v>
      </x:c>
      <x:c r="F927" s="9" t="str">
        <x:v>B1</x:v>
      </x:c>
      <x:c r="G927" s="9" t="str">
        <x:v>BRK</x:v>
      </x:c>
      <x:c r="H927" s="9" t="str">
        <x:v>IV03</x:v>
      </x:c>
      <x:c r="I927" s="17" t="str">
        <x:v>Temporal priority</x:v>
      </x:c>
      <x:c r="J927" s="17" t="str">
        <x:v>cause demonstrably precedes the disputed candidate behavior</x:v>
      </x:c>
      <x:c r="K927" s="17" t="str">
        <x:v>Time authority</x:v>
      </x:c>
      <x:c r="L927" s="9" t="n">
        <x:v>0</x:v>
      </x:c>
      <x:c r="M927" s="9" t="n">
        <x:v>0</x:v>
      </x:c>
      <x:c r="N927" s="9" t="str">
        <x:v>UNFILED / UNPROVEN</x:v>
      </x:c>
      <x:c r="O927" s="9" t="n">
        <x:f>COUNTIFS($A$7:$A$1302,A927)</x:f>
        <x:v>1</x:v>
      </x:c>
    </x:row>
    <x:row r="928">
      <x:c r="A928" s="9" t="str">
        <x:v>EV-AR-CT-C-B-TECH-2-B1-BRK-G0-IV04</x:v>
      </x:c>
      <x:c r="B928" s="9" t="str">
        <x:v>EV-AR-CT-C-B-TECH-2-B1-BRK-G0</x:v>
      </x:c>
      <x:c r="C928" s="9" t="str">
        <x:v>AR-CT-C-B-TECH-2-B1-BRK-G0</x:v>
      </x:c>
      <x:c r="D928" s="9" t="str">
        <x:v>CT-C-B-TECH-2</x:v>
      </x:c>
      <x:c r="E928" s="9" t="str">
        <x:v>CT-C-B</x:v>
      </x:c>
      <x:c r="F928" s="9" t="str">
        <x:v>B1</x:v>
      </x:c>
      <x:c r="G928" s="9" t="str">
        <x:v>BRK</x:v>
      </x:c>
      <x:c r="H928" s="9" t="str">
        <x:v>IV04</x:v>
      </x:c>
      <x:c r="I928" s="17" t="str">
        <x:v>Independent trace</x:v>
      </x:c>
      <x:c r="J928" s="17" t="str">
        <x:v>two unlike records carry the cause without candidate custody</x:v>
      </x:c>
      <x:c r="K928" s="17" t="str">
        <x:v>Invalidity court</x:v>
      </x:c>
      <x:c r="L928" s="9" t="n">
        <x:v>0</x:v>
      </x:c>
      <x:c r="M928" s="9" t="n">
        <x:v>0</x:v>
      </x:c>
      <x:c r="N928" s="9" t="str">
        <x:v>UNFILED / UNPROVEN</x:v>
      </x:c>
      <x:c r="O928" s="9" t="n">
        <x:f>COUNTIFS($A$7:$A$1302,A928)</x:f>
        <x:v>1</x:v>
      </x:c>
    </x:row>
    <x:row r="929">
      <x:c r="A929" s="9" t="str">
        <x:v>EV-AR-CT-C-B-TECH-2-B1-BRK-G0-IV05</x:v>
      </x:c>
      <x:c r="B929" s="9" t="str">
        <x:v>EV-AR-CT-C-B-TECH-2-B1-BRK-G0</x:v>
      </x:c>
      <x:c r="C929" s="9" t="str">
        <x:v>AR-CT-C-B-TECH-2-B1-BRK-G0</x:v>
      </x:c>
      <x:c r="D929" s="9" t="str">
        <x:v>CT-C-B-TECH-2</x:v>
      </x:c>
      <x:c r="E929" s="9" t="str">
        <x:v>CT-C-B</x:v>
      </x:c>
      <x:c r="F929" s="9" t="str">
        <x:v>B1</x:v>
      </x:c>
      <x:c r="G929" s="9" t="str">
        <x:v>BRK</x:v>
      </x:c>
      <x:c r="H929" s="9" t="str">
        <x:v>IV05</x:v>
      </x:c>
      <x:c r="I929" s="17" t="str">
        <x:v>Causal counterfactual</x:v>
      </x:c>
      <x:c r="J929" s="17" t="str">
        <x:v>registered counterfactual shows the cause can create the defect</x:v>
      </x:c>
      <x:c r="K929" s="17" t="str">
        <x:v>Causal court</x:v>
      </x:c>
      <x:c r="L929" s="9" t="n">
        <x:v>0</x:v>
      </x:c>
      <x:c r="M929" s="9" t="n">
        <x:v>0</x:v>
      </x:c>
      <x:c r="N929" s="9" t="str">
        <x:v>UNFILED / UNPROVEN</x:v>
      </x:c>
      <x:c r="O929" s="9" t="n">
        <x:f>COUNTIFS($A$7:$A$1302,A929)</x:f>
        <x:v>1</x:v>
      </x:c>
    </x:row>
    <x:row r="930">
      <x:c r="A930" s="9" t="str">
        <x:v>EV-AR-CT-C-B-TECH-2-B1-BRK-G0-IV06</x:v>
      </x:c>
      <x:c r="B930" s="9" t="str">
        <x:v>EV-AR-CT-C-B-TECH-2-B1-BRK-G0</x:v>
      </x:c>
      <x:c r="C930" s="9" t="str">
        <x:v>AR-CT-C-B-TECH-2-B1-BRK-G0</x:v>
      </x:c>
      <x:c r="D930" s="9" t="str">
        <x:v>CT-C-B-TECH-2</x:v>
      </x:c>
      <x:c r="E930" s="9" t="str">
        <x:v>CT-C-B</x:v>
      </x:c>
      <x:c r="F930" s="9" t="str">
        <x:v>B1</x:v>
      </x:c>
      <x:c r="G930" s="9" t="str">
        <x:v>BRK</x:v>
      </x:c>
      <x:c r="H930" s="9" t="str">
        <x:v>IV06</x:v>
      </x:c>
      <x:c r="I930" s="17" t="str">
        <x:v>Candidate non-causation</x:v>
      </x:c>
      <x:c r="J930" s="17" t="str">
        <x:v>evidence excludes candidate induction of the facility condition</x:v>
      </x:c>
      <x:c r="K930" s="17" t="str">
        <x:v>Causal court</x:v>
      </x:c>
      <x:c r="L930" s="9" t="n">
        <x:v>0</x:v>
      </x:c>
      <x:c r="M930" s="9" t="n">
        <x:v>0</x:v>
      </x:c>
      <x:c r="N930" s="9" t="str">
        <x:v>UNFILED / UNPROVEN</x:v>
      </x:c>
      <x:c r="O930" s="9" t="n">
        <x:f>COUNTIFS($A$7:$A$1302,A930)</x:f>
        <x:v>1</x:v>
      </x:c>
    </x:row>
    <x:row r="931">
      <x:c r="A931" s="9" t="str">
        <x:v>EV-AR-CT-C-B-TECH-2-B1-BRK-G0-IV07</x:v>
      </x:c>
      <x:c r="B931" s="9" t="str">
        <x:v>EV-AR-CT-C-B-TECH-2-B1-BRK-G0</x:v>
      </x:c>
      <x:c r="C931" s="9" t="str">
        <x:v>AR-CT-C-B-TECH-2-B1-BRK-G0</x:v>
      </x:c>
      <x:c r="D931" s="9" t="str">
        <x:v>CT-C-B-TECH-2</x:v>
      </x:c>
      <x:c r="E931" s="9" t="str">
        <x:v>CT-C-B</x:v>
      </x:c>
      <x:c r="F931" s="9" t="str">
        <x:v>B1</x:v>
      </x:c>
      <x:c r="G931" s="9" t="str">
        <x:v>BRK</x:v>
      </x:c>
      <x:c r="H931" s="9" t="str">
        <x:v>IV07</x:v>
      </x:c>
      <x:c r="I931" s="17" t="str">
        <x:v>No outcome selection</x:v>
      </x:c>
      <x:c r="J931" s="17" t="str">
        <x:v>petition rule and evidence scope were fixed before visibility</x:v>
      </x:c>
      <x:c r="K931" s="17" t="str">
        <x:v>Conflict registrar</x:v>
      </x:c>
      <x:c r="L931" s="9" t="n">
        <x:v>0</x:v>
      </x:c>
      <x:c r="M931" s="9" t="n">
        <x:v>0</x:v>
      </x:c>
      <x:c r="N931" s="9" t="str">
        <x:v>UNFILED / UNPROVEN</x:v>
      </x:c>
      <x:c r="O931" s="9" t="n">
        <x:f>COUNTIFS($A$7:$A$1302,A931)</x:f>
        <x:v>1</x:v>
      </x:c>
    </x:row>
    <x:row r="932">
      <x:c r="A932" s="9" t="str">
        <x:v>EV-AR-CT-C-B-TECH-2-B1-BRK-G0-IV08</x:v>
      </x:c>
      <x:c r="B932" s="9" t="str">
        <x:v>EV-AR-CT-C-B-TECH-2-B1-BRK-G0</x:v>
      </x:c>
      <x:c r="C932" s="9" t="str">
        <x:v>AR-CT-C-B-TECH-2-B1-BRK-G0</x:v>
      </x:c>
      <x:c r="D932" s="9" t="str">
        <x:v>CT-C-B-TECH-2</x:v>
      </x:c>
      <x:c r="E932" s="9" t="str">
        <x:v>CT-C-B</x:v>
      </x:c>
      <x:c r="F932" s="9" t="str">
        <x:v>B1</x:v>
      </x:c>
      <x:c r="G932" s="9" t="str">
        <x:v>BRK</x:v>
      </x:c>
      <x:c r="H932" s="9" t="str">
        <x:v>IV08</x:v>
      </x:c>
      <x:c r="I932" s="17" t="str">
        <x:v>Whole-record preservation</x:v>
      </x:c>
      <x:c r="J932" s="17" t="str">
        <x:v>start, raw behavior, dissent and intervention remain in archive</x:v>
      </x:c>
      <x:c r="K932" s="17" t="str">
        <x:v>Archive authority</x:v>
      </x:c>
      <x:c r="L932" s="9" t="n">
        <x:v>0</x:v>
      </x:c>
      <x:c r="M932" s="9" t="n">
        <x:v>0</x:v>
      </x:c>
      <x:c r="N932" s="9" t="str">
        <x:v>UNFILED / UNPROVEN</x:v>
      </x:c>
      <x:c r="O932" s="9" t="n">
        <x:f>COUNTIFS($A$7:$A$1302,A932)</x:f>
        <x:v>1</x:v>
      </x:c>
    </x:row>
    <x:row r="933">
      <x:c r="A933" s="9" t="str">
        <x:v>EV-AR-CT-C-B-TECH-2-B1-BRK-G0-IV09</x:v>
      </x:c>
      <x:c r="B933" s="9" t="str">
        <x:v>EV-AR-CT-C-B-TECH-2-B1-BRK-G0</x:v>
      </x:c>
      <x:c r="C933" s="9" t="str">
        <x:v>AR-CT-C-B-TECH-2-B1-BRK-G0</x:v>
      </x:c>
      <x:c r="D933" s="9" t="str">
        <x:v>CT-C-B-TECH-2</x:v>
      </x:c>
      <x:c r="E933" s="9" t="str">
        <x:v>CT-C-B</x:v>
      </x:c>
      <x:c r="F933" s="9" t="str">
        <x:v>B1</x:v>
      </x:c>
      <x:c r="G933" s="9" t="str">
        <x:v>BRK</x:v>
      </x:c>
      <x:c r="H933" s="9" t="str">
        <x:v>IV09</x:v>
      </x:c>
      <x:c r="I933" s="17" t="str">
        <x:v>Bounded remedy</x:v>
      </x:c>
      <x:c r="J933" s="17" t="str">
        <x:v>only a new slot and EOW may follow; no favorable credit or erased attempt</x:v>
      </x:c>
      <x:c r="K933" s="17" t="str">
        <x:v>Invalidity court</x:v>
      </x:c>
      <x:c r="L933" s="9" t="n">
        <x:v>0</x:v>
      </x:c>
      <x:c r="M933" s="9" t="n">
        <x:v>0</x:v>
      </x:c>
      <x:c r="N933" s="9" t="str">
        <x:v>UNFILED / UNPROVEN</x:v>
      </x:c>
      <x:c r="O933" s="9" t="n">
        <x:f>COUNTIFS($A$7:$A$1302,A933)</x:f>
        <x:v>1</x:v>
      </x:c>
    </x:row>
    <x:row r="934">
      <x:c r="A934" s="9" t="str">
        <x:v>EV-AR-ET-A-A-TECH-3-B1-BRK-G0-IV01</x:v>
      </x:c>
      <x:c r="B934" s="9" t="str">
        <x:v>EV-AR-ET-A-A-TECH-3-B1-BRK-G0</x:v>
      </x:c>
      <x:c r="C934" s="9" t="str">
        <x:v>AR-ET-A-A-TECH-3-B1-BRK-G0</x:v>
      </x:c>
      <x:c r="D934" s="9" t="str">
        <x:v>ET-A-A-TECH-3</x:v>
      </x:c>
      <x:c r="E934" s="9" t="str">
        <x:v>ET-A-A</x:v>
      </x:c>
      <x:c r="F934" s="9" t="str">
        <x:v>B1</x:v>
      </x:c>
      <x:c r="G934" s="9" t="str">
        <x:v>BRK</x:v>
      </x:c>
      <x:c r="H934" s="9" t="str">
        <x:v>IV01</x:v>
      </x:c>
      <x:c r="I934" s="17" t="str">
        <x:v>Timely petition</x:v>
      </x:c>
      <x:c r="J934" s="17" t="str">
        <x:v>petition enters within seventy-two hours of event close</x:v>
      </x:c>
      <x:c r="K934" s="17" t="str">
        <x:v>Invalidity registrar</x:v>
      </x:c>
      <x:c r="L934" s="9" t="n">
        <x:v>0</x:v>
      </x:c>
      <x:c r="M934" s="9" t="n">
        <x:v>0</x:v>
      </x:c>
      <x:c r="N934" s="9" t="str">
        <x:v>UNFILED / UNPROVEN</x:v>
      </x:c>
      <x:c r="O934" s="9" t="n">
        <x:f>COUNTIFS($A$7:$A$1302,A934)</x:f>
        <x:v>1</x:v>
      </x:c>
    </x:row>
    <x:row r="935">
      <x:c r="A935" s="9" t="str">
        <x:v>EV-AR-ET-A-A-TECH-3-B1-BRK-G0-IV02</x:v>
      </x:c>
      <x:c r="B935" s="9" t="str">
        <x:v>EV-AR-ET-A-A-TECH-3-B1-BRK-G0</x:v>
      </x:c>
      <x:c r="C935" s="9" t="str">
        <x:v>AR-ET-A-A-TECH-3-B1-BRK-G0</x:v>
      </x:c>
      <x:c r="D935" s="9" t="str">
        <x:v>ET-A-A-TECH-3</x:v>
      </x:c>
      <x:c r="E935" s="9" t="str">
        <x:v>ET-A-A</x:v>
      </x:c>
      <x:c r="F935" s="9" t="str">
        <x:v>B1</x:v>
      </x:c>
      <x:c r="G935" s="9" t="str">
        <x:v>BRK</x:v>
      </x:c>
      <x:c r="H935" s="9" t="str">
        <x:v>IV02</x:v>
      </x:c>
      <x:c r="I935" s="17" t="str">
        <x:v>Named facility cause</x:v>
      </x:c>
      <x:c r="J935" s="17" t="str">
        <x:v>one pre-registered noncandidate cause is identified</x:v>
      </x:c>
      <x:c r="K935" s="17" t="str">
        <x:v>Facility-cause court</x:v>
      </x:c>
      <x:c r="L935" s="9" t="n">
        <x:v>0</x:v>
      </x:c>
      <x:c r="M935" s="9" t="n">
        <x:v>0</x:v>
      </x:c>
      <x:c r="N935" s="9" t="str">
        <x:v>UNFILED / UNPROVEN</x:v>
      </x:c>
      <x:c r="O935" s="9" t="n">
        <x:f>COUNTIFS($A$7:$A$1302,A935)</x:f>
        <x:v>1</x:v>
      </x:c>
    </x:row>
    <x:row r="936">
      <x:c r="A936" s="9" t="str">
        <x:v>EV-AR-ET-A-A-TECH-3-B1-BRK-G0-IV03</x:v>
      </x:c>
      <x:c r="B936" s="9" t="str">
        <x:v>EV-AR-ET-A-A-TECH-3-B1-BRK-G0</x:v>
      </x:c>
      <x:c r="C936" s="9" t="str">
        <x:v>AR-ET-A-A-TECH-3-B1-BRK-G0</x:v>
      </x:c>
      <x:c r="D936" s="9" t="str">
        <x:v>ET-A-A-TECH-3</x:v>
      </x:c>
      <x:c r="E936" s="9" t="str">
        <x:v>ET-A-A</x:v>
      </x:c>
      <x:c r="F936" s="9" t="str">
        <x:v>B1</x:v>
      </x:c>
      <x:c r="G936" s="9" t="str">
        <x:v>BRK</x:v>
      </x:c>
      <x:c r="H936" s="9" t="str">
        <x:v>IV03</x:v>
      </x:c>
      <x:c r="I936" s="17" t="str">
        <x:v>Temporal priority</x:v>
      </x:c>
      <x:c r="J936" s="17" t="str">
        <x:v>cause demonstrably precedes the disputed candidate behavior</x:v>
      </x:c>
      <x:c r="K936" s="17" t="str">
        <x:v>Time authority</x:v>
      </x:c>
      <x:c r="L936" s="9" t="n">
        <x:v>0</x:v>
      </x:c>
      <x:c r="M936" s="9" t="n">
        <x:v>0</x:v>
      </x:c>
      <x:c r="N936" s="9" t="str">
        <x:v>UNFILED / UNPROVEN</x:v>
      </x:c>
      <x:c r="O936" s="9" t="n">
        <x:f>COUNTIFS($A$7:$A$1302,A936)</x:f>
        <x:v>1</x:v>
      </x:c>
    </x:row>
    <x:row r="937">
      <x:c r="A937" s="9" t="str">
        <x:v>EV-AR-ET-A-A-TECH-3-B1-BRK-G0-IV04</x:v>
      </x:c>
      <x:c r="B937" s="9" t="str">
        <x:v>EV-AR-ET-A-A-TECH-3-B1-BRK-G0</x:v>
      </x:c>
      <x:c r="C937" s="9" t="str">
        <x:v>AR-ET-A-A-TECH-3-B1-BRK-G0</x:v>
      </x:c>
      <x:c r="D937" s="9" t="str">
        <x:v>ET-A-A-TECH-3</x:v>
      </x:c>
      <x:c r="E937" s="9" t="str">
        <x:v>ET-A-A</x:v>
      </x:c>
      <x:c r="F937" s="9" t="str">
        <x:v>B1</x:v>
      </x:c>
      <x:c r="G937" s="9" t="str">
        <x:v>BRK</x:v>
      </x:c>
      <x:c r="H937" s="9" t="str">
        <x:v>IV04</x:v>
      </x:c>
      <x:c r="I937" s="17" t="str">
        <x:v>Independent trace</x:v>
      </x:c>
      <x:c r="J937" s="17" t="str">
        <x:v>two unlike records carry the cause without candidate custody</x:v>
      </x:c>
      <x:c r="K937" s="17" t="str">
        <x:v>Invalidity court</x:v>
      </x:c>
      <x:c r="L937" s="9" t="n">
        <x:v>0</x:v>
      </x:c>
      <x:c r="M937" s="9" t="n">
        <x:v>0</x:v>
      </x:c>
      <x:c r="N937" s="9" t="str">
        <x:v>UNFILED / UNPROVEN</x:v>
      </x:c>
      <x:c r="O937" s="9" t="n">
        <x:f>COUNTIFS($A$7:$A$1302,A937)</x:f>
        <x:v>1</x:v>
      </x:c>
    </x:row>
    <x:row r="938">
      <x:c r="A938" s="9" t="str">
        <x:v>EV-AR-ET-A-A-TECH-3-B1-BRK-G0-IV05</x:v>
      </x:c>
      <x:c r="B938" s="9" t="str">
        <x:v>EV-AR-ET-A-A-TECH-3-B1-BRK-G0</x:v>
      </x:c>
      <x:c r="C938" s="9" t="str">
        <x:v>AR-ET-A-A-TECH-3-B1-BRK-G0</x:v>
      </x:c>
      <x:c r="D938" s="9" t="str">
        <x:v>ET-A-A-TECH-3</x:v>
      </x:c>
      <x:c r="E938" s="9" t="str">
        <x:v>ET-A-A</x:v>
      </x:c>
      <x:c r="F938" s="9" t="str">
        <x:v>B1</x:v>
      </x:c>
      <x:c r="G938" s="9" t="str">
        <x:v>BRK</x:v>
      </x:c>
      <x:c r="H938" s="9" t="str">
        <x:v>IV05</x:v>
      </x:c>
      <x:c r="I938" s="17" t="str">
        <x:v>Causal counterfactual</x:v>
      </x:c>
      <x:c r="J938" s="17" t="str">
        <x:v>registered counterfactual shows the cause can create the defect</x:v>
      </x:c>
      <x:c r="K938" s="17" t="str">
        <x:v>Causal court</x:v>
      </x:c>
      <x:c r="L938" s="9" t="n">
        <x:v>0</x:v>
      </x:c>
      <x:c r="M938" s="9" t="n">
        <x:v>0</x:v>
      </x:c>
      <x:c r="N938" s="9" t="str">
        <x:v>UNFILED / UNPROVEN</x:v>
      </x:c>
      <x:c r="O938" s="9" t="n">
        <x:f>COUNTIFS($A$7:$A$1302,A938)</x:f>
        <x:v>1</x:v>
      </x:c>
    </x:row>
    <x:row r="939">
      <x:c r="A939" s="9" t="str">
        <x:v>EV-AR-ET-A-A-TECH-3-B1-BRK-G0-IV06</x:v>
      </x:c>
      <x:c r="B939" s="9" t="str">
        <x:v>EV-AR-ET-A-A-TECH-3-B1-BRK-G0</x:v>
      </x:c>
      <x:c r="C939" s="9" t="str">
        <x:v>AR-ET-A-A-TECH-3-B1-BRK-G0</x:v>
      </x:c>
      <x:c r="D939" s="9" t="str">
        <x:v>ET-A-A-TECH-3</x:v>
      </x:c>
      <x:c r="E939" s="9" t="str">
        <x:v>ET-A-A</x:v>
      </x:c>
      <x:c r="F939" s="9" t="str">
        <x:v>B1</x:v>
      </x:c>
      <x:c r="G939" s="9" t="str">
        <x:v>BRK</x:v>
      </x:c>
      <x:c r="H939" s="9" t="str">
        <x:v>IV06</x:v>
      </x:c>
      <x:c r="I939" s="17" t="str">
        <x:v>Candidate non-causation</x:v>
      </x:c>
      <x:c r="J939" s="17" t="str">
        <x:v>evidence excludes candidate induction of the facility condition</x:v>
      </x:c>
      <x:c r="K939" s="17" t="str">
        <x:v>Causal court</x:v>
      </x:c>
      <x:c r="L939" s="9" t="n">
        <x:v>0</x:v>
      </x:c>
      <x:c r="M939" s="9" t="n">
        <x:v>0</x:v>
      </x:c>
      <x:c r="N939" s="9" t="str">
        <x:v>UNFILED / UNPROVEN</x:v>
      </x:c>
      <x:c r="O939" s="9" t="n">
        <x:f>COUNTIFS($A$7:$A$1302,A939)</x:f>
        <x:v>1</x:v>
      </x:c>
    </x:row>
    <x:row r="940">
      <x:c r="A940" s="9" t="str">
        <x:v>EV-AR-ET-A-A-TECH-3-B1-BRK-G0-IV07</x:v>
      </x:c>
      <x:c r="B940" s="9" t="str">
        <x:v>EV-AR-ET-A-A-TECH-3-B1-BRK-G0</x:v>
      </x:c>
      <x:c r="C940" s="9" t="str">
        <x:v>AR-ET-A-A-TECH-3-B1-BRK-G0</x:v>
      </x:c>
      <x:c r="D940" s="9" t="str">
        <x:v>ET-A-A-TECH-3</x:v>
      </x:c>
      <x:c r="E940" s="9" t="str">
        <x:v>ET-A-A</x:v>
      </x:c>
      <x:c r="F940" s="9" t="str">
        <x:v>B1</x:v>
      </x:c>
      <x:c r="G940" s="9" t="str">
        <x:v>BRK</x:v>
      </x:c>
      <x:c r="H940" s="9" t="str">
        <x:v>IV07</x:v>
      </x:c>
      <x:c r="I940" s="17" t="str">
        <x:v>No outcome selection</x:v>
      </x:c>
      <x:c r="J940" s="17" t="str">
        <x:v>petition rule and evidence scope were fixed before visibility</x:v>
      </x:c>
      <x:c r="K940" s="17" t="str">
        <x:v>Conflict registrar</x:v>
      </x:c>
      <x:c r="L940" s="9" t="n">
        <x:v>0</x:v>
      </x:c>
      <x:c r="M940" s="9" t="n">
        <x:v>0</x:v>
      </x:c>
      <x:c r="N940" s="9" t="str">
        <x:v>UNFILED / UNPROVEN</x:v>
      </x:c>
      <x:c r="O940" s="9" t="n">
        <x:f>COUNTIFS($A$7:$A$1302,A940)</x:f>
        <x:v>1</x:v>
      </x:c>
    </x:row>
    <x:row r="941">
      <x:c r="A941" s="9" t="str">
        <x:v>EV-AR-ET-A-A-TECH-3-B1-BRK-G0-IV08</x:v>
      </x:c>
      <x:c r="B941" s="9" t="str">
        <x:v>EV-AR-ET-A-A-TECH-3-B1-BRK-G0</x:v>
      </x:c>
      <x:c r="C941" s="9" t="str">
        <x:v>AR-ET-A-A-TECH-3-B1-BRK-G0</x:v>
      </x:c>
      <x:c r="D941" s="9" t="str">
        <x:v>ET-A-A-TECH-3</x:v>
      </x:c>
      <x:c r="E941" s="9" t="str">
        <x:v>ET-A-A</x:v>
      </x:c>
      <x:c r="F941" s="9" t="str">
        <x:v>B1</x:v>
      </x:c>
      <x:c r="G941" s="9" t="str">
        <x:v>BRK</x:v>
      </x:c>
      <x:c r="H941" s="9" t="str">
        <x:v>IV08</x:v>
      </x:c>
      <x:c r="I941" s="17" t="str">
        <x:v>Whole-record preservation</x:v>
      </x:c>
      <x:c r="J941" s="17" t="str">
        <x:v>start, raw behavior, dissent and intervention remain in archive</x:v>
      </x:c>
      <x:c r="K941" s="17" t="str">
        <x:v>Archive authority</x:v>
      </x:c>
      <x:c r="L941" s="9" t="n">
        <x:v>0</x:v>
      </x:c>
      <x:c r="M941" s="9" t="n">
        <x:v>0</x:v>
      </x:c>
      <x:c r="N941" s="9" t="str">
        <x:v>UNFILED / UNPROVEN</x:v>
      </x:c>
      <x:c r="O941" s="9" t="n">
        <x:f>COUNTIFS($A$7:$A$1302,A941)</x:f>
        <x:v>1</x:v>
      </x:c>
    </x:row>
    <x:row r="942">
      <x:c r="A942" s="9" t="str">
        <x:v>EV-AR-ET-A-A-TECH-3-B1-BRK-G0-IV09</x:v>
      </x:c>
      <x:c r="B942" s="9" t="str">
        <x:v>EV-AR-ET-A-A-TECH-3-B1-BRK-G0</x:v>
      </x:c>
      <x:c r="C942" s="9" t="str">
        <x:v>AR-ET-A-A-TECH-3-B1-BRK-G0</x:v>
      </x:c>
      <x:c r="D942" s="9" t="str">
        <x:v>ET-A-A-TECH-3</x:v>
      </x:c>
      <x:c r="E942" s="9" t="str">
        <x:v>ET-A-A</x:v>
      </x:c>
      <x:c r="F942" s="9" t="str">
        <x:v>B1</x:v>
      </x:c>
      <x:c r="G942" s="9" t="str">
        <x:v>BRK</x:v>
      </x:c>
      <x:c r="H942" s="9" t="str">
        <x:v>IV09</x:v>
      </x:c>
      <x:c r="I942" s="17" t="str">
        <x:v>Bounded remedy</x:v>
      </x:c>
      <x:c r="J942" s="17" t="str">
        <x:v>only a new slot and EOW may follow; no favorable credit or erased attempt</x:v>
      </x:c>
      <x:c r="K942" s="17" t="str">
        <x:v>Invalidity court</x:v>
      </x:c>
      <x:c r="L942" s="9" t="n">
        <x:v>0</x:v>
      </x:c>
      <x:c r="M942" s="9" t="n">
        <x:v>0</x:v>
      </x:c>
      <x:c r="N942" s="9" t="str">
        <x:v>UNFILED / UNPROVEN</x:v>
      </x:c>
      <x:c r="O942" s="9" t="n">
        <x:f>COUNTIFS($A$7:$A$1302,A942)</x:f>
        <x:v>1</x:v>
      </x:c>
    </x:row>
    <x:row r="943">
      <x:c r="A943" s="9" t="str">
        <x:v>EV-AR-HC-A-C-TECH-3-B1-INT-G0-IV01</x:v>
      </x:c>
      <x:c r="B943" s="9" t="str">
        <x:v>EV-AR-HC-A-C-TECH-3-B1-INT-G0</x:v>
      </x:c>
      <x:c r="C943" s="9" t="str">
        <x:v>AR-HC-A-C-TECH-3-B1-INT-G0</x:v>
      </x:c>
      <x:c r="D943" s="9" t="str">
        <x:v>HC-A-C-TECH-3</x:v>
      </x:c>
      <x:c r="E943" s="9" t="str">
        <x:v>HC-A-C</x:v>
      </x:c>
      <x:c r="F943" s="9" t="str">
        <x:v>B1</x:v>
      </x:c>
      <x:c r="G943" s="9" t="str">
        <x:v>INT</x:v>
      </x:c>
      <x:c r="H943" s="9" t="str">
        <x:v>IV01</x:v>
      </x:c>
      <x:c r="I943" s="17" t="str">
        <x:v>Timely petition</x:v>
      </x:c>
      <x:c r="J943" s="17" t="str">
        <x:v>petition enters within seventy-two hours of event close</x:v>
      </x:c>
      <x:c r="K943" s="17" t="str">
        <x:v>Invalidity registrar</x:v>
      </x:c>
      <x:c r="L943" s="9" t="n">
        <x:v>0</x:v>
      </x:c>
      <x:c r="M943" s="9" t="n">
        <x:v>0</x:v>
      </x:c>
      <x:c r="N943" s="9" t="str">
        <x:v>UNFILED / UNPROVEN</x:v>
      </x:c>
      <x:c r="O943" s="9" t="n">
        <x:f>COUNTIFS($A$7:$A$1302,A943)</x:f>
        <x:v>1</x:v>
      </x:c>
    </x:row>
    <x:row r="944">
      <x:c r="A944" s="9" t="str">
        <x:v>EV-AR-HC-A-C-TECH-3-B1-INT-G0-IV02</x:v>
      </x:c>
      <x:c r="B944" s="9" t="str">
        <x:v>EV-AR-HC-A-C-TECH-3-B1-INT-G0</x:v>
      </x:c>
      <x:c r="C944" s="9" t="str">
        <x:v>AR-HC-A-C-TECH-3-B1-INT-G0</x:v>
      </x:c>
      <x:c r="D944" s="9" t="str">
        <x:v>HC-A-C-TECH-3</x:v>
      </x:c>
      <x:c r="E944" s="9" t="str">
        <x:v>HC-A-C</x:v>
      </x:c>
      <x:c r="F944" s="9" t="str">
        <x:v>B1</x:v>
      </x:c>
      <x:c r="G944" s="9" t="str">
        <x:v>INT</x:v>
      </x:c>
      <x:c r="H944" s="9" t="str">
        <x:v>IV02</x:v>
      </x:c>
      <x:c r="I944" s="17" t="str">
        <x:v>Named facility cause</x:v>
      </x:c>
      <x:c r="J944" s="17" t="str">
        <x:v>one pre-registered noncandidate cause is identified</x:v>
      </x:c>
      <x:c r="K944" s="17" t="str">
        <x:v>Facility-cause court</x:v>
      </x:c>
      <x:c r="L944" s="9" t="n">
        <x:v>0</x:v>
      </x:c>
      <x:c r="M944" s="9" t="n">
        <x:v>0</x:v>
      </x:c>
      <x:c r="N944" s="9" t="str">
        <x:v>UNFILED / UNPROVEN</x:v>
      </x:c>
      <x:c r="O944" s="9" t="n">
        <x:f>COUNTIFS($A$7:$A$1302,A944)</x:f>
        <x:v>1</x:v>
      </x:c>
    </x:row>
    <x:row r="945">
      <x:c r="A945" s="9" t="str">
        <x:v>EV-AR-HC-A-C-TECH-3-B1-INT-G0-IV03</x:v>
      </x:c>
      <x:c r="B945" s="9" t="str">
        <x:v>EV-AR-HC-A-C-TECH-3-B1-INT-G0</x:v>
      </x:c>
      <x:c r="C945" s="9" t="str">
        <x:v>AR-HC-A-C-TECH-3-B1-INT-G0</x:v>
      </x:c>
      <x:c r="D945" s="9" t="str">
        <x:v>HC-A-C-TECH-3</x:v>
      </x:c>
      <x:c r="E945" s="9" t="str">
        <x:v>HC-A-C</x:v>
      </x:c>
      <x:c r="F945" s="9" t="str">
        <x:v>B1</x:v>
      </x:c>
      <x:c r="G945" s="9" t="str">
        <x:v>INT</x:v>
      </x:c>
      <x:c r="H945" s="9" t="str">
        <x:v>IV03</x:v>
      </x:c>
      <x:c r="I945" s="17" t="str">
        <x:v>Temporal priority</x:v>
      </x:c>
      <x:c r="J945" s="17" t="str">
        <x:v>cause demonstrably precedes the disputed candidate behavior</x:v>
      </x:c>
      <x:c r="K945" s="17" t="str">
        <x:v>Time authority</x:v>
      </x:c>
      <x:c r="L945" s="9" t="n">
        <x:v>0</x:v>
      </x:c>
      <x:c r="M945" s="9" t="n">
        <x:v>0</x:v>
      </x:c>
      <x:c r="N945" s="9" t="str">
        <x:v>UNFILED / UNPROVEN</x:v>
      </x:c>
      <x:c r="O945" s="9" t="n">
        <x:f>COUNTIFS($A$7:$A$1302,A945)</x:f>
        <x:v>1</x:v>
      </x:c>
    </x:row>
    <x:row r="946">
      <x:c r="A946" s="9" t="str">
        <x:v>EV-AR-HC-A-C-TECH-3-B1-INT-G0-IV04</x:v>
      </x:c>
      <x:c r="B946" s="9" t="str">
        <x:v>EV-AR-HC-A-C-TECH-3-B1-INT-G0</x:v>
      </x:c>
      <x:c r="C946" s="9" t="str">
        <x:v>AR-HC-A-C-TECH-3-B1-INT-G0</x:v>
      </x:c>
      <x:c r="D946" s="9" t="str">
        <x:v>HC-A-C-TECH-3</x:v>
      </x:c>
      <x:c r="E946" s="9" t="str">
        <x:v>HC-A-C</x:v>
      </x:c>
      <x:c r="F946" s="9" t="str">
        <x:v>B1</x:v>
      </x:c>
      <x:c r="G946" s="9" t="str">
        <x:v>INT</x:v>
      </x:c>
      <x:c r="H946" s="9" t="str">
        <x:v>IV04</x:v>
      </x:c>
      <x:c r="I946" s="17" t="str">
        <x:v>Independent trace</x:v>
      </x:c>
      <x:c r="J946" s="17" t="str">
        <x:v>two unlike records carry the cause without candidate custody</x:v>
      </x:c>
      <x:c r="K946" s="17" t="str">
        <x:v>Invalidity court</x:v>
      </x:c>
      <x:c r="L946" s="9" t="n">
        <x:v>0</x:v>
      </x:c>
      <x:c r="M946" s="9" t="n">
        <x:v>0</x:v>
      </x:c>
      <x:c r="N946" s="9" t="str">
        <x:v>UNFILED / UNPROVEN</x:v>
      </x:c>
      <x:c r="O946" s="9" t="n">
        <x:f>COUNTIFS($A$7:$A$1302,A946)</x:f>
        <x:v>1</x:v>
      </x:c>
    </x:row>
    <x:row r="947">
      <x:c r="A947" s="9" t="str">
        <x:v>EV-AR-HC-A-C-TECH-3-B1-INT-G0-IV05</x:v>
      </x:c>
      <x:c r="B947" s="9" t="str">
        <x:v>EV-AR-HC-A-C-TECH-3-B1-INT-G0</x:v>
      </x:c>
      <x:c r="C947" s="9" t="str">
        <x:v>AR-HC-A-C-TECH-3-B1-INT-G0</x:v>
      </x:c>
      <x:c r="D947" s="9" t="str">
        <x:v>HC-A-C-TECH-3</x:v>
      </x:c>
      <x:c r="E947" s="9" t="str">
        <x:v>HC-A-C</x:v>
      </x:c>
      <x:c r="F947" s="9" t="str">
        <x:v>B1</x:v>
      </x:c>
      <x:c r="G947" s="9" t="str">
        <x:v>INT</x:v>
      </x:c>
      <x:c r="H947" s="9" t="str">
        <x:v>IV05</x:v>
      </x:c>
      <x:c r="I947" s="17" t="str">
        <x:v>Causal counterfactual</x:v>
      </x:c>
      <x:c r="J947" s="17" t="str">
        <x:v>registered counterfactual shows the cause can create the defect</x:v>
      </x:c>
      <x:c r="K947" s="17" t="str">
        <x:v>Causal court</x:v>
      </x:c>
      <x:c r="L947" s="9" t="n">
        <x:v>0</x:v>
      </x:c>
      <x:c r="M947" s="9" t="n">
        <x:v>0</x:v>
      </x:c>
      <x:c r="N947" s="9" t="str">
        <x:v>UNFILED / UNPROVEN</x:v>
      </x:c>
      <x:c r="O947" s="9" t="n">
        <x:f>COUNTIFS($A$7:$A$1302,A947)</x:f>
        <x:v>1</x:v>
      </x:c>
    </x:row>
    <x:row r="948">
      <x:c r="A948" s="9" t="str">
        <x:v>EV-AR-HC-A-C-TECH-3-B1-INT-G0-IV06</x:v>
      </x:c>
      <x:c r="B948" s="9" t="str">
        <x:v>EV-AR-HC-A-C-TECH-3-B1-INT-G0</x:v>
      </x:c>
      <x:c r="C948" s="9" t="str">
        <x:v>AR-HC-A-C-TECH-3-B1-INT-G0</x:v>
      </x:c>
      <x:c r="D948" s="9" t="str">
        <x:v>HC-A-C-TECH-3</x:v>
      </x:c>
      <x:c r="E948" s="9" t="str">
        <x:v>HC-A-C</x:v>
      </x:c>
      <x:c r="F948" s="9" t="str">
        <x:v>B1</x:v>
      </x:c>
      <x:c r="G948" s="9" t="str">
        <x:v>INT</x:v>
      </x:c>
      <x:c r="H948" s="9" t="str">
        <x:v>IV06</x:v>
      </x:c>
      <x:c r="I948" s="17" t="str">
        <x:v>Candidate non-causation</x:v>
      </x:c>
      <x:c r="J948" s="17" t="str">
        <x:v>evidence excludes candidate induction of the facility condition</x:v>
      </x:c>
      <x:c r="K948" s="17" t="str">
        <x:v>Causal court</x:v>
      </x:c>
      <x:c r="L948" s="9" t="n">
        <x:v>0</x:v>
      </x:c>
      <x:c r="M948" s="9" t="n">
        <x:v>0</x:v>
      </x:c>
      <x:c r="N948" s="9" t="str">
        <x:v>UNFILED / UNPROVEN</x:v>
      </x:c>
      <x:c r="O948" s="9" t="n">
        <x:f>COUNTIFS($A$7:$A$1302,A948)</x:f>
        <x:v>1</x:v>
      </x:c>
    </x:row>
    <x:row r="949">
      <x:c r="A949" s="9" t="str">
        <x:v>EV-AR-HC-A-C-TECH-3-B1-INT-G0-IV07</x:v>
      </x:c>
      <x:c r="B949" s="9" t="str">
        <x:v>EV-AR-HC-A-C-TECH-3-B1-INT-G0</x:v>
      </x:c>
      <x:c r="C949" s="9" t="str">
        <x:v>AR-HC-A-C-TECH-3-B1-INT-G0</x:v>
      </x:c>
      <x:c r="D949" s="9" t="str">
        <x:v>HC-A-C-TECH-3</x:v>
      </x:c>
      <x:c r="E949" s="9" t="str">
        <x:v>HC-A-C</x:v>
      </x:c>
      <x:c r="F949" s="9" t="str">
        <x:v>B1</x:v>
      </x:c>
      <x:c r="G949" s="9" t="str">
        <x:v>INT</x:v>
      </x:c>
      <x:c r="H949" s="9" t="str">
        <x:v>IV07</x:v>
      </x:c>
      <x:c r="I949" s="17" t="str">
        <x:v>No outcome selection</x:v>
      </x:c>
      <x:c r="J949" s="17" t="str">
        <x:v>petition rule and evidence scope were fixed before visibility</x:v>
      </x:c>
      <x:c r="K949" s="17" t="str">
        <x:v>Conflict registrar</x:v>
      </x:c>
      <x:c r="L949" s="9" t="n">
        <x:v>0</x:v>
      </x:c>
      <x:c r="M949" s="9" t="n">
        <x:v>0</x:v>
      </x:c>
      <x:c r="N949" s="9" t="str">
        <x:v>UNFILED / UNPROVEN</x:v>
      </x:c>
      <x:c r="O949" s="9" t="n">
        <x:f>COUNTIFS($A$7:$A$1302,A949)</x:f>
        <x:v>1</x:v>
      </x:c>
    </x:row>
    <x:row r="950">
      <x:c r="A950" s="9" t="str">
        <x:v>EV-AR-HC-A-C-TECH-3-B1-INT-G0-IV08</x:v>
      </x:c>
      <x:c r="B950" s="9" t="str">
        <x:v>EV-AR-HC-A-C-TECH-3-B1-INT-G0</x:v>
      </x:c>
      <x:c r="C950" s="9" t="str">
        <x:v>AR-HC-A-C-TECH-3-B1-INT-G0</x:v>
      </x:c>
      <x:c r="D950" s="9" t="str">
        <x:v>HC-A-C-TECH-3</x:v>
      </x:c>
      <x:c r="E950" s="9" t="str">
        <x:v>HC-A-C</x:v>
      </x:c>
      <x:c r="F950" s="9" t="str">
        <x:v>B1</x:v>
      </x:c>
      <x:c r="G950" s="9" t="str">
        <x:v>INT</x:v>
      </x:c>
      <x:c r="H950" s="9" t="str">
        <x:v>IV08</x:v>
      </x:c>
      <x:c r="I950" s="17" t="str">
        <x:v>Whole-record preservation</x:v>
      </x:c>
      <x:c r="J950" s="17" t="str">
        <x:v>start, raw behavior, dissent and intervention remain in archive</x:v>
      </x:c>
      <x:c r="K950" s="17" t="str">
        <x:v>Archive authority</x:v>
      </x:c>
      <x:c r="L950" s="9" t="n">
        <x:v>0</x:v>
      </x:c>
      <x:c r="M950" s="9" t="n">
        <x:v>0</x:v>
      </x:c>
      <x:c r="N950" s="9" t="str">
        <x:v>UNFILED / UNPROVEN</x:v>
      </x:c>
      <x:c r="O950" s="9" t="n">
        <x:f>COUNTIFS($A$7:$A$1302,A950)</x:f>
        <x:v>1</x:v>
      </x:c>
    </x:row>
    <x:row r="951">
      <x:c r="A951" s="9" t="str">
        <x:v>EV-AR-HC-A-C-TECH-3-B1-INT-G0-IV09</x:v>
      </x:c>
      <x:c r="B951" s="9" t="str">
        <x:v>EV-AR-HC-A-C-TECH-3-B1-INT-G0</x:v>
      </x:c>
      <x:c r="C951" s="9" t="str">
        <x:v>AR-HC-A-C-TECH-3-B1-INT-G0</x:v>
      </x:c>
      <x:c r="D951" s="9" t="str">
        <x:v>HC-A-C-TECH-3</x:v>
      </x:c>
      <x:c r="E951" s="9" t="str">
        <x:v>HC-A-C</x:v>
      </x:c>
      <x:c r="F951" s="9" t="str">
        <x:v>B1</x:v>
      </x:c>
      <x:c r="G951" s="9" t="str">
        <x:v>INT</x:v>
      </x:c>
      <x:c r="H951" s="9" t="str">
        <x:v>IV09</x:v>
      </x:c>
      <x:c r="I951" s="17" t="str">
        <x:v>Bounded remedy</x:v>
      </x:c>
      <x:c r="J951" s="17" t="str">
        <x:v>only a new slot and EOW may follow; no favorable credit or erased attempt</x:v>
      </x:c>
      <x:c r="K951" s="17" t="str">
        <x:v>Invalidity court</x:v>
      </x:c>
      <x:c r="L951" s="9" t="n">
        <x:v>0</x:v>
      </x:c>
      <x:c r="M951" s="9" t="n">
        <x:v>0</x:v>
      </x:c>
      <x:c r="N951" s="9" t="str">
        <x:v>UNFILED / UNPROVEN</x:v>
      </x:c>
      <x:c r="O951" s="9" t="n">
        <x:f>COUNTIFS($A$7:$A$1302,A951)</x:f>
        <x:v>1</x:v>
      </x:c>
    </x:row>
    <x:row r="952">
      <x:c r="A952" s="9" t="str">
        <x:v>EV-AR-HU-A-B-TECH-2-B2-RCN-G0-IV01</x:v>
      </x:c>
      <x:c r="B952" s="9" t="str">
        <x:v>EV-AR-HU-A-B-TECH-2-B2-RCN-G0</x:v>
      </x:c>
      <x:c r="C952" s="9" t="str">
        <x:v>AR-HU-A-B-TECH-2-B2-RCN-G0</x:v>
      </x:c>
      <x:c r="D952" s="9" t="str">
        <x:v>HU-A-B-TECH-2</x:v>
      </x:c>
      <x:c r="E952" s="9" t="str">
        <x:v>HU-A-B</x:v>
      </x:c>
      <x:c r="F952" s="9" t="str">
        <x:v>B2</x:v>
      </x:c>
      <x:c r="G952" s="9" t="str">
        <x:v>RCN</x:v>
      </x:c>
      <x:c r="H952" s="9" t="str">
        <x:v>IV01</x:v>
      </x:c>
      <x:c r="I952" s="17" t="str">
        <x:v>Timely petition</x:v>
      </x:c>
      <x:c r="J952" s="17" t="str">
        <x:v>petition enters within seventy-two hours of event close</x:v>
      </x:c>
      <x:c r="K952" s="17" t="str">
        <x:v>Invalidity registrar</x:v>
      </x:c>
      <x:c r="L952" s="9" t="n">
        <x:v>0</x:v>
      </x:c>
      <x:c r="M952" s="9" t="n">
        <x:v>0</x:v>
      </x:c>
      <x:c r="N952" s="9" t="str">
        <x:v>UNFILED / UNPROVEN</x:v>
      </x:c>
      <x:c r="O952" s="9" t="n">
        <x:f>COUNTIFS($A$7:$A$1302,A952)</x:f>
        <x:v>1</x:v>
      </x:c>
    </x:row>
    <x:row r="953">
      <x:c r="A953" s="9" t="str">
        <x:v>EV-AR-HU-A-B-TECH-2-B2-RCN-G0-IV02</x:v>
      </x:c>
      <x:c r="B953" s="9" t="str">
        <x:v>EV-AR-HU-A-B-TECH-2-B2-RCN-G0</x:v>
      </x:c>
      <x:c r="C953" s="9" t="str">
        <x:v>AR-HU-A-B-TECH-2-B2-RCN-G0</x:v>
      </x:c>
      <x:c r="D953" s="9" t="str">
        <x:v>HU-A-B-TECH-2</x:v>
      </x:c>
      <x:c r="E953" s="9" t="str">
        <x:v>HU-A-B</x:v>
      </x:c>
      <x:c r="F953" s="9" t="str">
        <x:v>B2</x:v>
      </x:c>
      <x:c r="G953" s="9" t="str">
        <x:v>RCN</x:v>
      </x:c>
      <x:c r="H953" s="9" t="str">
        <x:v>IV02</x:v>
      </x:c>
      <x:c r="I953" s="17" t="str">
        <x:v>Named facility cause</x:v>
      </x:c>
      <x:c r="J953" s="17" t="str">
        <x:v>one pre-registered noncandidate cause is identified</x:v>
      </x:c>
      <x:c r="K953" s="17" t="str">
        <x:v>Facility-cause court</x:v>
      </x:c>
      <x:c r="L953" s="9" t="n">
        <x:v>0</x:v>
      </x:c>
      <x:c r="M953" s="9" t="n">
        <x:v>0</x:v>
      </x:c>
      <x:c r="N953" s="9" t="str">
        <x:v>UNFILED / UNPROVEN</x:v>
      </x:c>
      <x:c r="O953" s="9" t="n">
        <x:f>COUNTIFS($A$7:$A$1302,A953)</x:f>
        <x:v>1</x:v>
      </x:c>
    </x:row>
    <x:row r="954">
      <x:c r="A954" s="9" t="str">
        <x:v>EV-AR-HU-A-B-TECH-2-B2-RCN-G0-IV03</x:v>
      </x:c>
      <x:c r="B954" s="9" t="str">
        <x:v>EV-AR-HU-A-B-TECH-2-B2-RCN-G0</x:v>
      </x:c>
      <x:c r="C954" s="9" t="str">
        <x:v>AR-HU-A-B-TECH-2-B2-RCN-G0</x:v>
      </x:c>
      <x:c r="D954" s="9" t="str">
        <x:v>HU-A-B-TECH-2</x:v>
      </x:c>
      <x:c r="E954" s="9" t="str">
        <x:v>HU-A-B</x:v>
      </x:c>
      <x:c r="F954" s="9" t="str">
        <x:v>B2</x:v>
      </x:c>
      <x:c r="G954" s="9" t="str">
        <x:v>RCN</x:v>
      </x:c>
      <x:c r="H954" s="9" t="str">
        <x:v>IV03</x:v>
      </x:c>
      <x:c r="I954" s="17" t="str">
        <x:v>Temporal priority</x:v>
      </x:c>
      <x:c r="J954" s="17" t="str">
        <x:v>cause demonstrably precedes the disputed candidate behavior</x:v>
      </x:c>
      <x:c r="K954" s="17" t="str">
        <x:v>Time authority</x:v>
      </x:c>
      <x:c r="L954" s="9" t="n">
        <x:v>0</x:v>
      </x:c>
      <x:c r="M954" s="9" t="n">
        <x:v>0</x:v>
      </x:c>
      <x:c r="N954" s="9" t="str">
        <x:v>UNFILED / UNPROVEN</x:v>
      </x:c>
      <x:c r="O954" s="9" t="n">
        <x:f>COUNTIFS($A$7:$A$1302,A954)</x:f>
        <x:v>1</x:v>
      </x:c>
    </x:row>
    <x:row r="955">
      <x:c r="A955" s="9" t="str">
        <x:v>EV-AR-HU-A-B-TECH-2-B2-RCN-G0-IV04</x:v>
      </x:c>
      <x:c r="B955" s="9" t="str">
        <x:v>EV-AR-HU-A-B-TECH-2-B2-RCN-G0</x:v>
      </x:c>
      <x:c r="C955" s="9" t="str">
        <x:v>AR-HU-A-B-TECH-2-B2-RCN-G0</x:v>
      </x:c>
      <x:c r="D955" s="9" t="str">
        <x:v>HU-A-B-TECH-2</x:v>
      </x:c>
      <x:c r="E955" s="9" t="str">
        <x:v>HU-A-B</x:v>
      </x:c>
      <x:c r="F955" s="9" t="str">
        <x:v>B2</x:v>
      </x:c>
      <x:c r="G955" s="9" t="str">
        <x:v>RCN</x:v>
      </x:c>
      <x:c r="H955" s="9" t="str">
        <x:v>IV04</x:v>
      </x:c>
      <x:c r="I955" s="17" t="str">
        <x:v>Independent trace</x:v>
      </x:c>
      <x:c r="J955" s="17" t="str">
        <x:v>two unlike records carry the cause without candidate custody</x:v>
      </x:c>
      <x:c r="K955" s="17" t="str">
        <x:v>Invalidity court</x:v>
      </x:c>
      <x:c r="L955" s="9" t="n">
        <x:v>0</x:v>
      </x:c>
      <x:c r="M955" s="9" t="n">
        <x:v>0</x:v>
      </x:c>
      <x:c r="N955" s="9" t="str">
        <x:v>UNFILED / UNPROVEN</x:v>
      </x:c>
      <x:c r="O955" s="9" t="n">
        <x:f>COUNTIFS($A$7:$A$1302,A955)</x:f>
        <x:v>1</x:v>
      </x:c>
    </x:row>
    <x:row r="956">
      <x:c r="A956" s="9" t="str">
        <x:v>EV-AR-HU-A-B-TECH-2-B2-RCN-G0-IV05</x:v>
      </x:c>
      <x:c r="B956" s="9" t="str">
        <x:v>EV-AR-HU-A-B-TECH-2-B2-RCN-G0</x:v>
      </x:c>
      <x:c r="C956" s="9" t="str">
        <x:v>AR-HU-A-B-TECH-2-B2-RCN-G0</x:v>
      </x:c>
      <x:c r="D956" s="9" t="str">
        <x:v>HU-A-B-TECH-2</x:v>
      </x:c>
      <x:c r="E956" s="9" t="str">
        <x:v>HU-A-B</x:v>
      </x:c>
      <x:c r="F956" s="9" t="str">
        <x:v>B2</x:v>
      </x:c>
      <x:c r="G956" s="9" t="str">
        <x:v>RCN</x:v>
      </x:c>
      <x:c r="H956" s="9" t="str">
        <x:v>IV05</x:v>
      </x:c>
      <x:c r="I956" s="17" t="str">
        <x:v>Causal counterfactual</x:v>
      </x:c>
      <x:c r="J956" s="17" t="str">
        <x:v>registered counterfactual shows the cause can create the defect</x:v>
      </x:c>
      <x:c r="K956" s="17" t="str">
        <x:v>Causal court</x:v>
      </x:c>
      <x:c r="L956" s="9" t="n">
        <x:v>0</x:v>
      </x:c>
      <x:c r="M956" s="9" t="n">
        <x:v>0</x:v>
      </x:c>
      <x:c r="N956" s="9" t="str">
        <x:v>UNFILED / UNPROVEN</x:v>
      </x:c>
      <x:c r="O956" s="9" t="n">
        <x:f>COUNTIFS($A$7:$A$1302,A956)</x:f>
        <x:v>1</x:v>
      </x:c>
    </x:row>
    <x:row r="957">
      <x:c r="A957" s="9" t="str">
        <x:v>EV-AR-HU-A-B-TECH-2-B2-RCN-G0-IV06</x:v>
      </x:c>
      <x:c r="B957" s="9" t="str">
        <x:v>EV-AR-HU-A-B-TECH-2-B2-RCN-G0</x:v>
      </x:c>
      <x:c r="C957" s="9" t="str">
        <x:v>AR-HU-A-B-TECH-2-B2-RCN-G0</x:v>
      </x:c>
      <x:c r="D957" s="9" t="str">
        <x:v>HU-A-B-TECH-2</x:v>
      </x:c>
      <x:c r="E957" s="9" t="str">
        <x:v>HU-A-B</x:v>
      </x:c>
      <x:c r="F957" s="9" t="str">
        <x:v>B2</x:v>
      </x:c>
      <x:c r="G957" s="9" t="str">
        <x:v>RCN</x:v>
      </x:c>
      <x:c r="H957" s="9" t="str">
        <x:v>IV06</x:v>
      </x:c>
      <x:c r="I957" s="17" t="str">
        <x:v>Candidate non-causation</x:v>
      </x:c>
      <x:c r="J957" s="17" t="str">
        <x:v>evidence excludes candidate induction of the facility condition</x:v>
      </x:c>
      <x:c r="K957" s="17" t="str">
        <x:v>Causal court</x:v>
      </x:c>
      <x:c r="L957" s="9" t="n">
        <x:v>0</x:v>
      </x:c>
      <x:c r="M957" s="9" t="n">
        <x:v>0</x:v>
      </x:c>
      <x:c r="N957" s="9" t="str">
        <x:v>UNFILED / UNPROVEN</x:v>
      </x:c>
      <x:c r="O957" s="9" t="n">
        <x:f>COUNTIFS($A$7:$A$1302,A957)</x:f>
        <x:v>1</x:v>
      </x:c>
    </x:row>
    <x:row r="958">
      <x:c r="A958" s="9" t="str">
        <x:v>EV-AR-HU-A-B-TECH-2-B2-RCN-G0-IV07</x:v>
      </x:c>
      <x:c r="B958" s="9" t="str">
        <x:v>EV-AR-HU-A-B-TECH-2-B2-RCN-G0</x:v>
      </x:c>
      <x:c r="C958" s="9" t="str">
        <x:v>AR-HU-A-B-TECH-2-B2-RCN-G0</x:v>
      </x:c>
      <x:c r="D958" s="9" t="str">
        <x:v>HU-A-B-TECH-2</x:v>
      </x:c>
      <x:c r="E958" s="9" t="str">
        <x:v>HU-A-B</x:v>
      </x:c>
      <x:c r="F958" s="9" t="str">
        <x:v>B2</x:v>
      </x:c>
      <x:c r="G958" s="9" t="str">
        <x:v>RCN</x:v>
      </x:c>
      <x:c r="H958" s="9" t="str">
        <x:v>IV07</x:v>
      </x:c>
      <x:c r="I958" s="17" t="str">
        <x:v>No outcome selection</x:v>
      </x:c>
      <x:c r="J958" s="17" t="str">
        <x:v>petition rule and evidence scope were fixed before visibility</x:v>
      </x:c>
      <x:c r="K958" s="17" t="str">
        <x:v>Conflict registrar</x:v>
      </x:c>
      <x:c r="L958" s="9" t="n">
        <x:v>0</x:v>
      </x:c>
      <x:c r="M958" s="9" t="n">
        <x:v>0</x:v>
      </x:c>
      <x:c r="N958" s="9" t="str">
        <x:v>UNFILED / UNPROVEN</x:v>
      </x:c>
      <x:c r="O958" s="9" t="n">
        <x:f>COUNTIFS($A$7:$A$1302,A958)</x:f>
        <x:v>1</x:v>
      </x:c>
    </x:row>
    <x:row r="959">
      <x:c r="A959" s="9" t="str">
        <x:v>EV-AR-HU-A-B-TECH-2-B2-RCN-G0-IV08</x:v>
      </x:c>
      <x:c r="B959" s="9" t="str">
        <x:v>EV-AR-HU-A-B-TECH-2-B2-RCN-G0</x:v>
      </x:c>
      <x:c r="C959" s="9" t="str">
        <x:v>AR-HU-A-B-TECH-2-B2-RCN-G0</x:v>
      </x:c>
      <x:c r="D959" s="9" t="str">
        <x:v>HU-A-B-TECH-2</x:v>
      </x:c>
      <x:c r="E959" s="9" t="str">
        <x:v>HU-A-B</x:v>
      </x:c>
      <x:c r="F959" s="9" t="str">
        <x:v>B2</x:v>
      </x:c>
      <x:c r="G959" s="9" t="str">
        <x:v>RCN</x:v>
      </x:c>
      <x:c r="H959" s="9" t="str">
        <x:v>IV08</x:v>
      </x:c>
      <x:c r="I959" s="17" t="str">
        <x:v>Whole-record preservation</x:v>
      </x:c>
      <x:c r="J959" s="17" t="str">
        <x:v>start, raw behavior, dissent and intervention remain in archive</x:v>
      </x:c>
      <x:c r="K959" s="17" t="str">
        <x:v>Archive authority</x:v>
      </x:c>
      <x:c r="L959" s="9" t="n">
        <x:v>0</x:v>
      </x:c>
      <x:c r="M959" s="9" t="n">
        <x:v>0</x:v>
      </x:c>
      <x:c r="N959" s="9" t="str">
        <x:v>UNFILED / UNPROVEN</x:v>
      </x:c>
      <x:c r="O959" s="9" t="n">
        <x:f>COUNTIFS($A$7:$A$1302,A959)</x:f>
        <x:v>1</x:v>
      </x:c>
    </x:row>
    <x:row r="960">
      <x:c r="A960" s="9" t="str">
        <x:v>EV-AR-HU-A-B-TECH-2-B2-RCN-G0-IV09</x:v>
      </x:c>
      <x:c r="B960" s="9" t="str">
        <x:v>EV-AR-HU-A-B-TECH-2-B2-RCN-G0</x:v>
      </x:c>
      <x:c r="C960" s="9" t="str">
        <x:v>AR-HU-A-B-TECH-2-B2-RCN-G0</x:v>
      </x:c>
      <x:c r="D960" s="9" t="str">
        <x:v>HU-A-B-TECH-2</x:v>
      </x:c>
      <x:c r="E960" s="9" t="str">
        <x:v>HU-A-B</x:v>
      </x:c>
      <x:c r="F960" s="9" t="str">
        <x:v>B2</x:v>
      </x:c>
      <x:c r="G960" s="9" t="str">
        <x:v>RCN</x:v>
      </x:c>
      <x:c r="H960" s="9" t="str">
        <x:v>IV09</x:v>
      </x:c>
      <x:c r="I960" s="17" t="str">
        <x:v>Bounded remedy</x:v>
      </x:c>
      <x:c r="J960" s="17" t="str">
        <x:v>only a new slot and EOW may follow; no favorable credit or erased attempt</x:v>
      </x:c>
      <x:c r="K960" s="17" t="str">
        <x:v>Invalidity court</x:v>
      </x:c>
      <x:c r="L960" s="9" t="n">
        <x:v>0</x:v>
      </x:c>
      <x:c r="M960" s="9" t="n">
        <x:v>0</x:v>
      </x:c>
      <x:c r="N960" s="9" t="str">
        <x:v>UNFILED / UNPROVEN</x:v>
      </x:c>
      <x:c r="O960" s="9" t="n">
        <x:f>COUNTIFS($A$7:$A$1302,A960)</x:f>
        <x:v>1</x:v>
      </x:c>
    </x:row>
    <x:row r="961">
      <x:c r="A961" s="9" t="str">
        <x:v>EV-AR-LF-B-A-TECH-2-B1-INT-G0-IV01</x:v>
      </x:c>
      <x:c r="B961" s="9" t="str">
        <x:v>EV-AR-LF-B-A-TECH-2-B1-INT-G0</x:v>
      </x:c>
      <x:c r="C961" s="9" t="str">
        <x:v>AR-LF-B-A-TECH-2-B1-INT-G0</x:v>
      </x:c>
      <x:c r="D961" s="9" t="str">
        <x:v>LF-B-A-TECH-2</x:v>
      </x:c>
      <x:c r="E961" s="9" t="str">
        <x:v>LF-B-A</x:v>
      </x:c>
      <x:c r="F961" s="9" t="str">
        <x:v>B1</x:v>
      </x:c>
      <x:c r="G961" s="9" t="str">
        <x:v>INT</x:v>
      </x:c>
      <x:c r="H961" s="9" t="str">
        <x:v>IV01</x:v>
      </x:c>
      <x:c r="I961" s="17" t="str">
        <x:v>Timely petition</x:v>
      </x:c>
      <x:c r="J961" s="17" t="str">
        <x:v>petition enters within seventy-two hours of event close</x:v>
      </x:c>
      <x:c r="K961" s="17" t="str">
        <x:v>Invalidity registrar</x:v>
      </x:c>
      <x:c r="L961" s="9" t="n">
        <x:v>0</x:v>
      </x:c>
      <x:c r="M961" s="9" t="n">
        <x:v>0</x:v>
      </x:c>
      <x:c r="N961" s="9" t="str">
        <x:v>UNFILED / UNPROVEN</x:v>
      </x:c>
      <x:c r="O961" s="9" t="n">
        <x:f>COUNTIFS($A$7:$A$1302,A961)</x:f>
        <x:v>1</x:v>
      </x:c>
    </x:row>
    <x:row r="962">
      <x:c r="A962" s="9" t="str">
        <x:v>EV-AR-LF-B-A-TECH-2-B1-INT-G0-IV02</x:v>
      </x:c>
      <x:c r="B962" s="9" t="str">
        <x:v>EV-AR-LF-B-A-TECH-2-B1-INT-G0</x:v>
      </x:c>
      <x:c r="C962" s="9" t="str">
        <x:v>AR-LF-B-A-TECH-2-B1-INT-G0</x:v>
      </x:c>
      <x:c r="D962" s="9" t="str">
        <x:v>LF-B-A-TECH-2</x:v>
      </x:c>
      <x:c r="E962" s="9" t="str">
        <x:v>LF-B-A</x:v>
      </x:c>
      <x:c r="F962" s="9" t="str">
        <x:v>B1</x:v>
      </x:c>
      <x:c r="G962" s="9" t="str">
        <x:v>INT</x:v>
      </x:c>
      <x:c r="H962" s="9" t="str">
        <x:v>IV02</x:v>
      </x:c>
      <x:c r="I962" s="17" t="str">
        <x:v>Named facility cause</x:v>
      </x:c>
      <x:c r="J962" s="17" t="str">
        <x:v>one pre-registered noncandidate cause is identified</x:v>
      </x:c>
      <x:c r="K962" s="17" t="str">
        <x:v>Facility-cause court</x:v>
      </x:c>
      <x:c r="L962" s="9" t="n">
        <x:v>0</x:v>
      </x:c>
      <x:c r="M962" s="9" t="n">
        <x:v>0</x:v>
      </x:c>
      <x:c r="N962" s="9" t="str">
        <x:v>UNFILED / UNPROVEN</x:v>
      </x:c>
      <x:c r="O962" s="9" t="n">
        <x:f>COUNTIFS($A$7:$A$1302,A962)</x:f>
        <x:v>1</x:v>
      </x:c>
    </x:row>
    <x:row r="963">
      <x:c r="A963" s="9" t="str">
        <x:v>EV-AR-LF-B-A-TECH-2-B1-INT-G0-IV03</x:v>
      </x:c>
      <x:c r="B963" s="9" t="str">
        <x:v>EV-AR-LF-B-A-TECH-2-B1-INT-G0</x:v>
      </x:c>
      <x:c r="C963" s="9" t="str">
        <x:v>AR-LF-B-A-TECH-2-B1-INT-G0</x:v>
      </x:c>
      <x:c r="D963" s="9" t="str">
        <x:v>LF-B-A-TECH-2</x:v>
      </x:c>
      <x:c r="E963" s="9" t="str">
        <x:v>LF-B-A</x:v>
      </x:c>
      <x:c r="F963" s="9" t="str">
        <x:v>B1</x:v>
      </x:c>
      <x:c r="G963" s="9" t="str">
        <x:v>INT</x:v>
      </x:c>
      <x:c r="H963" s="9" t="str">
        <x:v>IV03</x:v>
      </x:c>
      <x:c r="I963" s="17" t="str">
        <x:v>Temporal priority</x:v>
      </x:c>
      <x:c r="J963" s="17" t="str">
        <x:v>cause demonstrably precedes the disputed candidate behavior</x:v>
      </x:c>
      <x:c r="K963" s="17" t="str">
        <x:v>Time authority</x:v>
      </x:c>
      <x:c r="L963" s="9" t="n">
        <x:v>0</x:v>
      </x:c>
      <x:c r="M963" s="9" t="n">
        <x:v>0</x:v>
      </x:c>
      <x:c r="N963" s="9" t="str">
        <x:v>UNFILED / UNPROVEN</x:v>
      </x:c>
      <x:c r="O963" s="9" t="n">
        <x:f>COUNTIFS($A$7:$A$1302,A963)</x:f>
        <x:v>1</x:v>
      </x:c>
    </x:row>
    <x:row r="964">
      <x:c r="A964" s="9" t="str">
        <x:v>EV-AR-LF-B-A-TECH-2-B1-INT-G0-IV04</x:v>
      </x:c>
      <x:c r="B964" s="9" t="str">
        <x:v>EV-AR-LF-B-A-TECH-2-B1-INT-G0</x:v>
      </x:c>
      <x:c r="C964" s="9" t="str">
        <x:v>AR-LF-B-A-TECH-2-B1-INT-G0</x:v>
      </x:c>
      <x:c r="D964" s="9" t="str">
        <x:v>LF-B-A-TECH-2</x:v>
      </x:c>
      <x:c r="E964" s="9" t="str">
        <x:v>LF-B-A</x:v>
      </x:c>
      <x:c r="F964" s="9" t="str">
        <x:v>B1</x:v>
      </x:c>
      <x:c r="G964" s="9" t="str">
        <x:v>INT</x:v>
      </x:c>
      <x:c r="H964" s="9" t="str">
        <x:v>IV04</x:v>
      </x:c>
      <x:c r="I964" s="17" t="str">
        <x:v>Independent trace</x:v>
      </x:c>
      <x:c r="J964" s="17" t="str">
        <x:v>two unlike records carry the cause without candidate custody</x:v>
      </x:c>
      <x:c r="K964" s="17" t="str">
        <x:v>Invalidity court</x:v>
      </x:c>
      <x:c r="L964" s="9" t="n">
        <x:v>0</x:v>
      </x:c>
      <x:c r="M964" s="9" t="n">
        <x:v>0</x:v>
      </x:c>
      <x:c r="N964" s="9" t="str">
        <x:v>UNFILED / UNPROVEN</x:v>
      </x:c>
      <x:c r="O964" s="9" t="n">
        <x:f>COUNTIFS($A$7:$A$1302,A964)</x:f>
        <x:v>1</x:v>
      </x:c>
    </x:row>
    <x:row r="965">
      <x:c r="A965" s="9" t="str">
        <x:v>EV-AR-LF-B-A-TECH-2-B1-INT-G0-IV05</x:v>
      </x:c>
      <x:c r="B965" s="9" t="str">
        <x:v>EV-AR-LF-B-A-TECH-2-B1-INT-G0</x:v>
      </x:c>
      <x:c r="C965" s="9" t="str">
        <x:v>AR-LF-B-A-TECH-2-B1-INT-G0</x:v>
      </x:c>
      <x:c r="D965" s="9" t="str">
        <x:v>LF-B-A-TECH-2</x:v>
      </x:c>
      <x:c r="E965" s="9" t="str">
        <x:v>LF-B-A</x:v>
      </x:c>
      <x:c r="F965" s="9" t="str">
        <x:v>B1</x:v>
      </x:c>
      <x:c r="G965" s="9" t="str">
        <x:v>INT</x:v>
      </x:c>
      <x:c r="H965" s="9" t="str">
        <x:v>IV05</x:v>
      </x:c>
      <x:c r="I965" s="17" t="str">
        <x:v>Causal counterfactual</x:v>
      </x:c>
      <x:c r="J965" s="17" t="str">
        <x:v>registered counterfactual shows the cause can create the defect</x:v>
      </x:c>
      <x:c r="K965" s="17" t="str">
        <x:v>Causal court</x:v>
      </x:c>
      <x:c r="L965" s="9" t="n">
        <x:v>0</x:v>
      </x:c>
      <x:c r="M965" s="9" t="n">
        <x:v>0</x:v>
      </x:c>
      <x:c r="N965" s="9" t="str">
        <x:v>UNFILED / UNPROVEN</x:v>
      </x:c>
      <x:c r="O965" s="9" t="n">
        <x:f>COUNTIFS($A$7:$A$1302,A965)</x:f>
        <x:v>1</x:v>
      </x:c>
    </x:row>
    <x:row r="966">
      <x:c r="A966" s="9" t="str">
        <x:v>EV-AR-LF-B-A-TECH-2-B1-INT-G0-IV06</x:v>
      </x:c>
      <x:c r="B966" s="9" t="str">
        <x:v>EV-AR-LF-B-A-TECH-2-B1-INT-G0</x:v>
      </x:c>
      <x:c r="C966" s="9" t="str">
        <x:v>AR-LF-B-A-TECH-2-B1-INT-G0</x:v>
      </x:c>
      <x:c r="D966" s="9" t="str">
        <x:v>LF-B-A-TECH-2</x:v>
      </x:c>
      <x:c r="E966" s="9" t="str">
        <x:v>LF-B-A</x:v>
      </x:c>
      <x:c r="F966" s="9" t="str">
        <x:v>B1</x:v>
      </x:c>
      <x:c r="G966" s="9" t="str">
        <x:v>INT</x:v>
      </x:c>
      <x:c r="H966" s="9" t="str">
        <x:v>IV06</x:v>
      </x:c>
      <x:c r="I966" s="17" t="str">
        <x:v>Candidate non-causation</x:v>
      </x:c>
      <x:c r="J966" s="17" t="str">
        <x:v>evidence excludes candidate induction of the facility condition</x:v>
      </x:c>
      <x:c r="K966" s="17" t="str">
        <x:v>Causal court</x:v>
      </x:c>
      <x:c r="L966" s="9" t="n">
        <x:v>0</x:v>
      </x:c>
      <x:c r="M966" s="9" t="n">
        <x:v>0</x:v>
      </x:c>
      <x:c r="N966" s="9" t="str">
        <x:v>UNFILED / UNPROVEN</x:v>
      </x:c>
      <x:c r="O966" s="9" t="n">
        <x:f>COUNTIFS($A$7:$A$1302,A966)</x:f>
        <x:v>1</x:v>
      </x:c>
    </x:row>
    <x:row r="967">
      <x:c r="A967" s="9" t="str">
        <x:v>EV-AR-LF-B-A-TECH-2-B1-INT-G0-IV07</x:v>
      </x:c>
      <x:c r="B967" s="9" t="str">
        <x:v>EV-AR-LF-B-A-TECH-2-B1-INT-G0</x:v>
      </x:c>
      <x:c r="C967" s="9" t="str">
        <x:v>AR-LF-B-A-TECH-2-B1-INT-G0</x:v>
      </x:c>
      <x:c r="D967" s="9" t="str">
        <x:v>LF-B-A-TECH-2</x:v>
      </x:c>
      <x:c r="E967" s="9" t="str">
        <x:v>LF-B-A</x:v>
      </x:c>
      <x:c r="F967" s="9" t="str">
        <x:v>B1</x:v>
      </x:c>
      <x:c r="G967" s="9" t="str">
        <x:v>INT</x:v>
      </x:c>
      <x:c r="H967" s="9" t="str">
        <x:v>IV07</x:v>
      </x:c>
      <x:c r="I967" s="17" t="str">
        <x:v>No outcome selection</x:v>
      </x:c>
      <x:c r="J967" s="17" t="str">
        <x:v>petition rule and evidence scope were fixed before visibility</x:v>
      </x:c>
      <x:c r="K967" s="17" t="str">
        <x:v>Conflict registrar</x:v>
      </x:c>
      <x:c r="L967" s="9" t="n">
        <x:v>0</x:v>
      </x:c>
      <x:c r="M967" s="9" t="n">
        <x:v>0</x:v>
      </x:c>
      <x:c r="N967" s="9" t="str">
        <x:v>UNFILED / UNPROVEN</x:v>
      </x:c>
      <x:c r="O967" s="9" t="n">
        <x:f>COUNTIFS($A$7:$A$1302,A967)</x:f>
        <x:v>1</x:v>
      </x:c>
    </x:row>
    <x:row r="968">
      <x:c r="A968" s="9" t="str">
        <x:v>EV-AR-LF-B-A-TECH-2-B1-INT-G0-IV08</x:v>
      </x:c>
      <x:c r="B968" s="9" t="str">
        <x:v>EV-AR-LF-B-A-TECH-2-B1-INT-G0</x:v>
      </x:c>
      <x:c r="C968" s="9" t="str">
        <x:v>AR-LF-B-A-TECH-2-B1-INT-G0</x:v>
      </x:c>
      <x:c r="D968" s="9" t="str">
        <x:v>LF-B-A-TECH-2</x:v>
      </x:c>
      <x:c r="E968" s="9" t="str">
        <x:v>LF-B-A</x:v>
      </x:c>
      <x:c r="F968" s="9" t="str">
        <x:v>B1</x:v>
      </x:c>
      <x:c r="G968" s="9" t="str">
        <x:v>INT</x:v>
      </x:c>
      <x:c r="H968" s="9" t="str">
        <x:v>IV08</x:v>
      </x:c>
      <x:c r="I968" s="17" t="str">
        <x:v>Whole-record preservation</x:v>
      </x:c>
      <x:c r="J968" s="17" t="str">
        <x:v>start, raw behavior, dissent and intervention remain in archive</x:v>
      </x:c>
      <x:c r="K968" s="17" t="str">
        <x:v>Archive authority</x:v>
      </x:c>
      <x:c r="L968" s="9" t="n">
        <x:v>0</x:v>
      </x:c>
      <x:c r="M968" s="9" t="n">
        <x:v>0</x:v>
      </x:c>
      <x:c r="N968" s="9" t="str">
        <x:v>UNFILED / UNPROVEN</x:v>
      </x:c>
      <x:c r="O968" s="9" t="n">
        <x:f>COUNTIFS($A$7:$A$1302,A968)</x:f>
        <x:v>1</x:v>
      </x:c>
    </x:row>
    <x:row r="969">
      <x:c r="A969" s="9" t="str">
        <x:v>EV-AR-LF-B-A-TECH-2-B1-INT-G0-IV09</x:v>
      </x:c>
      <x:c r="B969" s="9" t="str">
        <x:v>EV-AR-LF-B-A-TECH-2-B1-INT-G0</x:v>
      </x:c>
      <x:c r="C969" s="9" t="str">
        <x:v>AR-LF-B-A-TECH-2-B1-INT-G0</x:v>
      </x:c>
      <x:c r="D969" s="9" t="str">
        <x:v>LF-B-A-TECH-2</x:v>
      </x:c>
      <x:c r="E969" s="9" t="str">
        <x:v>LF-B-A</x:v>
      </x:c>
      <x:c r="F969" s="9" t="str">
        <x:v>B1</x:v>
      </x:c>
      <x:c r="G969" s="9" t="str">
        <x:v>INT</x:v>
      </x:c>
      <x:c r="H969" s="9" t="str">
        <x:v>IV09</x:v>
      </x:c>
      <x:c r="I969" s="17" t="str">
        <x:v>Bounded remedy</x:v>
      </x:c>
      <x:c r="J969" s="17" t="str">
        <x:v>only a new slot and EOW may follow; no favorable credit or erased attempt</x:v>
      </x:c>
      <x:c r="K969" s="17" t="str">
        <x:v>Invalidity court</x:v>
      </x:c>
      <x:c r="L969" s="9" t="n">
        <x:v>0</x:v>
      </x:c>
      <x:c r="M969" s="9" t="n">
        <x:v>0</x:v>
      </x:c>
      <x:c r="N969" s="9" t="str">
        <x:v>UNFILED / UNPROVEN</x:v>
      </x:c>
      <x:c r="O969" s="9" t="n">
        <x:f>COUNTIFS($A$7:$A$1302,A969)</x:f>
        <x:v>1</x:v>
      </x:c>
    </x:row>
    <x:row r="970">
      <x:c r="A970" s="9" t="str">
        <x:v>EV-AR-RT-B-C-TECH-2-B1-RCN-G0-IV01</x:v>
      </x:c>
      <x:c r="B970" s="9" t="str">
        <x:v>EV-AR-RT-B-C-TECH-2-B1-RCN-G0</x:v>
      </x:c>
      <x:c r="C970" s="9" t="str">
        <x:v>AR-RT-B-C-TECH-2-B1-RCN-G0</x:v>
      </x:c>
      <x:c r="D970" s="9" t="str">
        <x:v>RT-B-C-TECH-2</x:v>
      </x:c>
      <x:c r="E970" s="9" t="str">
        <x:v>RT-B-C</x:v>
      </x:c>
      <x:c r="F970" s="9" t="str">
        <x:v>B1</x:v>
      </x:c>
      <x:c r="G970" s="9" t="str">
        <x:v>RCN</x:v>
      </x:c>
      <x:c r="H970" s="9" t="str">
        <x:v>IV01</x:v>
      </x:c>
      <x:c r="I970" s="17" t="str">
        <x:v>Timely petition</x:v>
      </x:c>
      <x:c r="J970" s="17" t="str">
        <x:v>petition enters within seventy-two hours of event close</x:v>
      </x:c>
      <x:c r="K970" s="17" t="str">
        <x:v>Invalidity registrar</x:v>
      </x:c>
      <x:c r="L970" s="9" t="n">
        <x:v>0</x:v>
      </x:c>
      <x:c r="M970" s="9" t="n">
        <x:v>0</x:v>
      </x:c>
      <x:c r="N970" s="9" t="str">
        <x:v>UNFILED / UNPROVEN</x:v>
      </x:c>
      <x:c r="O970" s="9" t="n">
        <x:f>COUNTIFS($A$7:$A$1302,A970)</x:f>
        <x:v>1</x:v>
      </x:c>
    </x:row>
    <x:row r="971">
      <x:c r="A971" s="9" t="str">
        <x:v>EV-AR-RT-B-C-TECH-2-B1-RCN-G0-IV02</x:v>
      </x:c>
      <x:c r="B971" s="9" t="str">
        <x:v>EV-AR-RT-B-C-TECH-2-B1-RCN-G0</x:v>
      </x:c>
      <x:c r="C971" s="9" t="str">
        <x:v>AR-RT-B-C-TECH-2-B1-RCN-G0</x:v>
      </x:c>
      <x:c r="D971" s="9" t="str">
        <x:v>RT-B-C-TECH-2</x:v>
      </x:c>
      <x:c r="E971" s="9" t="str">
        <x:v>RT-B-C</x:v>
      </x:c>
      <x:c r="F971" s="9" t="str">
        <x:v>B1</x:v>
      </x:c>
      <x:c r="G971" s="9" t="str">
        <x:v>RCN</x:v>
      </x:c>
      <x:c r="H971" s="9" t="str">
        <x:v>IV02</x:v>
      </x:c>
      <x:c r="I971" s="17" t="str">
        <x:v>Named facility cause</x:v>
      </x:c>
      <x:c r="J971" s="17" t="str">
        <x:v>one pre-registered noncandidate cause is identified</x:v>
      </x:c>
      <x:c r="K971" s="17" t="str">
        <x:v>Facility-cause court</x:v>
      </x:c>
      <x:c r="L971" s="9" t="n">
        <x:v>0</x:v>
      </x:c>
      <x:c r="M971" s="9" t="n">
        <x:v>0</x:v>
      </x:c>
      <x:c r="N971" s="9" t="str">
        <x:v>UNFILED / UNPROVEN</x:v>
      </x:c>
      <x:c r="O971" s="9" t="n">
        <x:f>COUNTIFS($A$7:$A$1302,A971)</x:f>
        <x:v>1</x:v>
      </x:c>
    </x:row>
    <x:row r="972">
      <x:c r="A972" s="9" t="str">
        <x:v>EV-AR-RT-B-C-TECH-2-B1-RCN-G0-IV03</x:v>
      </x:c>
      <x:c r="B972" s="9" t="str">
        <x:v>EV-AR-RT-B-C-TECH-2-B1-RCN-G0</x:v>
      </x:c>
      <x:c r="C972" s="9" t="str">
        <x:v>AR-RT-B-C-TECH-2-B1-RCN-G0</x:v>
      </x:c>
      <x:c r="D972" s="9" t="str">
        <x:v>RT-B-C-TECH-2</x:v>
      </x:c>
      <x:c r="E972" s="9" t="str">
        <x:v>RT-B-C</x:v>
      </x:c>
      <x:c r="F972" s="9" t="str">
        <x:v>B1</x:v>
      </x:c>
      <x:c r="G972" s="9" t="str">
        <x:v>RCN</x:v>
      </x:c>
      <x:c r="H972" s="9" t="str">
        <x:v>IV03</x:v>
      </x:c>
      <x:c r="I972" s="17" t="str">
        <x:v>Temporal priority</x:v>
      </x:c>
      <x:c r="J972" s="17" t="str">
        <x:v>cause demonstrably precedes the disputed candidate behavior</x:v>
      </x:c>
      <x:c r="K972" s="17" t="str">
        <x:v>Time authority</x:v>
      </x:c>
      <x:c r="L972" s="9" t="n">
        <x:v>0</x:v>
      </x:c>
      <x:c r="M972" s="9" t="n">
        <x:v>0</x:v>
      </x:c>
      <x:c r="N972" s="9" t="str">
        <x:v>UNFILED / UNPROVEN</x:v>
      </x:c>
      <x:c r="O972" s="9" t="n">
        <x:f>COUNTIFS($A$7:$A$1302,A972)</x:f>
        <x:v>1</x:v>
      </x:c>
    </x:row>
    <x:row r="973">
      <x:c r="A973" s="9" t="str">
        <x:v>EV-AR-RT-B-C-TECH-2-B1-RCN-G0-IV04</x:v>
      </x:c>
      <x:c r="B973" s="9" t="str">
        <x:v>EV-AR-RT-B-C-TECH-2-B1-RCN-G0</x:v>
      </x:c>
      <x:c r="C973" s="9" t="str">
        <x:v>AR-RT-B-C-TECH-2-B1-RCN-G0</x:v>
      </x:c>
      <x:c r="D973" s="9" t="str">
        <x:v>RT-B-C-TECH-2</x:v>
      </x:c>
      <x:c r="E973" s="9" t="str">
        <x:v>RT-B-C</x:v>
      </x:c>
      <x:c r="F973" s="9" t="str">
        <x:v>B1</x:v>
      </x:c>
      <x:c r="G973" s="9" t="str">
        <x:v>RCN</x:v>
      </x:c>
      <x:c r="H973" s="9" t="str">
        <x:v>IV04</x:v>
      </x:c>
      <x:c r="I973" s="17" t="str">
        <x:v>Independent trace</x:v>
      </x:c>
      <x:c r="J973" s="17" t="str">
        <x:v>two unlike records carry the cause without candidate custody</x:v>
      </x:c>
      <x:c r="K973" s="17" t="str">
        <x:v>Invalidity court</x:v>
      </x:c>
      <x:c r="L973" s="9" t="n">
        <x:v>0</x:v>
      </x:c>
      <x:c r="M973" s="9" t="n">
        <x:v>0</x:v>
      </x:c>
      <x:c r="N973" s="9" t="str">
        <x:v>UNFILED / UNPROVEN</x:v>
      </x:c>
      <x:c r="O973" s="9" t="n">
        <x:f>COUNTIFS($A$7:$A$1302,A973)</x:f>
        <x:v>1</x:v>
      </x:c>
    </x:row>
    <x:row r="974">
      <x:c r="A974" s="9" t="str">
        <x:v>EV-AR-RT-B-C-TECH-2-B1-RCN-G0-IV05</x:v>
      </x:c>
      <x:c r="B974" s="9" t="str">
        <x:v>EV-AR-RT-B-C-TECH-2-B1-RCN-G0</x:v>
      </x:c>
      <x:c r="C974" s="9" t="str">
        <x:v>AR-RT-B-C-TECH-2-B1-RCN-G0</x:v>
      </x:c>
      <x:c r="D974" s="9" t="str">
        <x:v>RT-B-C-TECH-2</x:v>
      </x:c>
      <x:c r="E974" s="9" t="str">
        <x:v>RT-B-C</x:v>
      </x:c>
      <x:c r="F974" s="9" t="str">
        <x:v>B1</x:v>
      </x:c>
      <x:c r="G974" s="9" t="str">
        <x:v>RCN</x:v>
      </x:c>
      <x:c r="H974" s="9" t="str">
        <x:v>IV05</x:v>
      </x:c>
      <x:c r="I974" s="17" t="str">
        <x:v>Causal counterfactual</x:v>
      </x:c>
      <x:c r="J974" s="17" t="str">
        <x:v>registered counterfactual shows the cause can create the defect</x:v>
      </x:c>
      <x:c r="K974" s="17" t="str">
        <x:v>Causal court</x:v>
      </x:c>
      <x:c r="L974" s="9" t="n">
        <x:v>0</x:v>
      </x:c>
      <x:c r="M974" s="9" t="n">
        <x:v>0</x:v>
      </x:c>
      <x:c r="N974" s="9" t="str">
        <x:v>UNFILED / UNPROVEN</x:v>
      </x:c>
      <x:c r="O974" s="9" t="n">
        <x:f>COUNTIFS($A$7:$A$1302,A974)</x:f>
        <x:v>1</x:v>
      </x:c>
    </x:row>
    <x:row r="975">
      <x:c r="A975" s="9" t="str">
        <x:v>EV-AR-RT-B-C-TECH-2-B1-RCN-G0-IV06</x:v>
      </x:c>
      <x:c r="B975" s="9" t="str">
        <x:v>EV-AR-RT-B-C-TECH-2-B1-RCN-G0</x:v>
      </x:c>
      <x:c r="C975" s="9" t="str">
        <x:v>AR-RT-B-C-TECH-2-B1-RCN-G0</x:v>
      </x:c>
      <x:c r="D975" s="9" t="str">
        <x:v>RT-B-C-TECH-2</x:v>
      </x:c>
      <x:c r="E975" s="9" t="str">
        <x:v>RT-B-C</x:v>
      </x:c>
      <x:c r="F975" s="9" t="str">
        <x:v>B1</x:v>
      </x:c>
      <x:c r="G975" s="9" t="str">
        <x:v>RCN</x:v>
      </x:c>
      <x:c r="H975" s="9" t="str">
        <x:v>IV06</x:v>
      </x:c>
      <x:c r="I975" s="17" t="str">
        <x:v>Candidate non-causation</x:v>
      </x:c>
      <x:c r="J975" s="17" t="str">
        <x:v>evidence excludes candidate induction of the facility condition</x:v>
      </x:c>
      <x:c r="K975" s="17" t="str">
        <x:v>Causal court</x:v>
      </x:c>
      <x:c r="L975" s="9" t="n">
        <x:v>0</x:v>
      </x:c>
      <x:c r="M975" s="9" t="n">
        <x:v>0</x:v>
      </x:c>
      <x:c r="N975" s="9" t="str">
        <x:v>UNFILED / UNPROVEN</x:v>
      </x:c>
      <x:c r="O975" s="9" t="n">
        <x:f>COUNTIFS($A$7:$A$1302,A975)</x:f>
        <x:v>1</x:v>
      </x:c>
    </x:row>
    <x:row r="976">
      <x:c r="A976" s="9" t="str">
        <x:v>EV-AR-RT-B-C-TECH-2-B1-RCN-G0-IV07</x:v>
      </x:c>
      <x:c r="B976" s="9" t="str">
        <x:v>EV-AR-RT-B-C-TECH-2-B1-RCN-G0</x:v>
      </x:c>
      <x:c r="C976" s="9" t="str">
        <x:v>AR-RT-B-C-TECH-2-B1-RCN-G0</x:v>
      </x:c>
      <x:c r="D976" s="9" t="str">
        <x:v>RT-B-C-TECH-2</x:v>
      </x:c>
      <x:c r="E976" s="9" t="str">
        <x:v>RT-B-C</x:v>
      </x:c>
      <x:c r="F976" s="9" t="str">
        <x:v>B1</x:v>
      </x:c>
      <x:c r="G976" s="9" t="str">
        <x:v>RCN</x:v>
      </x:c>
      <x:c r="H976" s="9" t="str">
        <x:v>IV07</x:v>
      </x:c>
      <x:c r="I976" s="17" t="str">
        <x:v>No outcome selection</x:v>
      </x:c>
      <x:c r="J976" s="17" t="str">
        <x:v>petition rule and evidence scope were fixed before visibility</x:v>
      </x:c>
      <x:c r="K976" s="17" t="str">
        <x:v>Conflict registrar</x:v>
      </x:c>
      <x:c r="L976" s="9" t="n">
        <x:v>0</x:v>
      </x:c>
      <x:c r="M976" s="9" t="n">
        <x:v>0</x:v>
      </x:c>
      <x:c r="N976" s="9" t="str">
        <x:v>UNFILED / UNPROVEN</x:v>
      </x:c>
      <x:c r="O976" s="9" t="n">
        <x:f>COUNTIFS($A$7:$A$1302,A976)</x:f>
        <x:v>1</x:v>
      </x:c>
    </x:row>
    <x:row r="977">
      <x:c r="A977" s="9" t="str">
        <x:v>EV-AR-RT-B-C-TECH-2-B1-RCN-G0-IV08</x:v>
      </x:c>
      <x:c r="B977" s="9" t="str">
        <x:v>EV-AR-RT-B-C-TECH-2-B1-RCN-G0</x:v>
      </x:c>
      <x:c r="C977" s="9" t="str">
        <x:v>AR-RT-B-C-TECH-2-B1-RCN-G0</x:v>
      </x:c>
      <x:c r="D977" s="9" t="str">
        <x:v>RT-B-C-TECH-2</x:v>
      </x:c>
      <x:c r="E977" s="9" t="str">
        <x:v>RT-B-C</x:v>
      </x:c>
      <x:c r="F977" s="9" t="str">
        <x:v>B1</x:v>
      </x:c>
      <x:c r="G977" s="9" t="str">
        <x:v>RCN</x:v>
      </x:c>
      <x:c r="H977" s="9" t="str">
        <x:v>IV08</x:v>
      </x:c>
      <x:c r="I977" s="17" t="str">
        <x:v>Whole-record preservation</x:v>
      </x:c>
      <x:c r="J977" s="17" t="str">
        <x:v>start, raw behavior, dissent and intervention remain in archive</x:v>
      </x:c>
      <x:c r="K977" s="17" t="str">
        <x:v>Archive authority</x:v>
      </x:c>
      <x:c r="L977" s="9" t="n">
        <x:v>0</x:v>
      </x:c>
      <x:c r="M977" s="9" t="n">
        <x:v>0</x:v>
      </x:c>
      <x:c r="N977" s="9" t="str">
        <x:v>UNFILED / UNPROVEN</x:v>
      </x:c>
      <x:c r="O977" s="9" t="n">
        <x:f>COUNTIFS($A$7:$A$1302,A977)</x:f>
        <x:v>1</x:v>
      </x:c>
    </x:row>
    <x:row r="978">
      <x:c r="A978" s="9" t="str">
        <x:v>EV-AR-RT-B-C-TECH-2-B1-RCN-G0-IV09</x:v>
      </x:c>
      <x:c r="B978" s="9" t="str">
        <x:v>EV-AR-RT-B-C-TECH-2-B1-RCN-G0</x:v>
      </x:c>
      <x:c r="C978" s="9" t="str">
        <x:v>AR-RT-B-C-TECH-2-B1-RCN-G0</x:v>
      </x:c>
      <x:c r="D978" s="9" t="str">
        <x:v>RT-B-C-TECH-2</x:v>
      </x:c>
      <x:c r="E978" s="9" t="str">
        <x:v>RT-B-C</x:v>
      </x:c>
      <x:c r="F978" s="9" t="str">
        <x:v>B1</x:v>
      </x:c>
      <x:c r="G978" s="9" t="str">
        <x:v>RCN</x:v>
      </x:c>
      <x:c r="H978" s="9" t="str">
        <x:v>IV09</x:v>
      </x:c>
      <x:c r="I978" s="17" t="str">
        <x:v>Bounded remedy</x:v>
      </x:c>
      <x:c r="J978" s="17" t="str">
        <x:v>only a new slot and EOW may follow; no favorable credit or erased attempt</x:v>
      </x:c>
      <x:c r="K978" s="17" t="str">
        <x:v>Invalidity court</x:v>
      </x:c>
      <x:c r="L978" s="9" t="n">
        <x:v>0</x:v>
      </x:c>
      <x:c r="M978" s="9" t="n">
        <x:v>0</x:v>
      </x:c>
      <x:c r="N978" s="9" t="str">
        <x:v>UNFILED / UNPROVEN</x:v>
      </x:c>
      <x:c r="O978" s="9" t="n">
        <x:f>COUNTIFS($A$7:$A$1302,A978)</x:f>
        <x:v>1</x:v>
      </x:c>
    </x:row>
    <x:row r="979">
      <x:c r="A979" s="9" t="str">
        <x:v>EV-AR-CT-C-B-TECH-4-B1-INT-G0-IV01</x:v>
      </x:c>
      <x:c r="B979" s="9" t="str">
        <x:v>EV-AR-CT-C-B-TECH-4-B1-INT-G0</x:v>
      </x:c>
      <x:c r="C979" s="9" t="str">
        <x:v>AR-CT-C-B-TECH-4-B1-INT-G0</x:v>
      </x:c>
      <x:c r="D979" s="9" t="str">
        <x:v>CT-C-B-TECH-4</x:v>
      </x:c>
      <x:c r="E979" s="9" t="str">
        <x:v>CT-C-B</x:v>
      </x:c>
      <x:c r="F979" s="9" t="str">
        <x:v>B1</x:v>
      </x:c>
      <x:c r="G979" s="9" t="str">
        <x:v>INT</x:v>
      </x:c>
      <x:c r="H979" s="9" t="str">
        <x:v>IV01</x:v>
      </x:c>
      <x:c r="I979" s="17" t="str">
        <x:v>Timely petition</x:v>
      </x:c>
      <x:c r="J979" s="17" t="str">
        <x:v>petition enters within seventy-two hours of event close</x:v>
      </x:c>
      <x:c r="K979" s="17" t="str">
        <x:v>Invalidity registrar</x:v>
      </x:c>
      <x:c r="L979" s="9" t="n">
        <x:v>0</x:v>
      </x:c>
      <x:c r="M979" s="9" t="n">
        <x:v>0</x:v>
      </x:c>
      <x:c r="N979" s="9" t="str">
        <x:v>UNFILED / UNPROVEN</x:v>
      </x:c>
      <x:c r="O979" s="9" t="n">
        <x:f>COUNTIFS($A$7:$A$1302,A979)</x:f>
        <x:v>1</x:v>
      </x:c>
    </x:row>
    <x:row r="980">
      <x:c r="A980" s="9" t="str">
        <x:v>EV-AR-CT-C-B-TECH-4-B1-INT-G0-IV02</x:v>
      </x:c>
      <x:c r="B980" s="9" t="str">
        <x:v>EV-AR-CT-C-B-TECH-4-B1-INT-G0</x:v>
      </x:c>
      <x:c r="C980" s="9" t="str">
        <x:v>AR-CT-C-B-TECH-4-B1-INT-G0</x:v>
      </x:c>
      <x:c r="D980" s="9" t="str">
        <x:v>CT-C-B-TECH-4</x:v>
      </x:c>
      <x:c r="E980" s="9" t="str">
        <x:v>CT-C-B</x:v>
      </x:c>
      <x:c r="F980" s="9" t="str">
        <x:v>B1</x:v>
      </x:c>
      <x:c r="G980" s="9" t="str">
        <x:v>INT</x:v>
      </x:c>
      <x:c r="H980" s="9" t="str">
        <x:v>IV02</x:v>
      </x:c>
      <x:c r="I980" s="17" t="str">
        <x:v>Named facility cause</x:v>
      </x:c>
      <x:c r="J980" s="17" t="str">
        <x:v>one pre-registered noncandidate cause is identified</x:v>
      </x:c>
      <x:c r="K980" s="17" t="str">
        <x:v>Facility-cause court</x:v>
      </x:c>
      <x:c r="L980" s="9" t="n">
        <x:v>0</x:v>
      </x:c>
      <x:c r="M980" s="9" t="n">
        <x:v>0</x:v>
      </x:c>
      <x:c r="N980" s="9" t="str">
        <x:v>UNFILED / UNPROVEN</x:v>
      </x:c>
      <x:c r="O980" s="9" t="n">
        <x:f>COUNTIFS($A$7:$A$1302,A980)</x:f>
        <x:v>1</x:v>
      </x:c>
    </x:row>
    <x:row r="981">
      <x:c r="A981" s="9" t="str">
        <x:v>EV-AR-CT-C-B-TECH-4-B1-INT-G0-IV03</x:v>
      </x:c>
      <x:c r="B981" s="9" t="str">
        <x:v>EV-AR-CT-C-B-TECH-4-B1-INT-G0</x:v>
      </x:c>
      <x:c r="C981" s="9" t="str">
        <x:v>AR-CT-C-B-TECH-4-B1-INT-G0</x:v>
      </x:c>
      <x:c r="D981" s="9" t="str">
        <x:v>CT-C-B-TECH-4</x:v>
      </x:c>
      <x:c r="E981" s="9" t="str">
        <x:v>CT-C-B</x:v>
      </x:c>
      <x:c r="F981" s="9" t="str">
        <x:v>B1</x:v>
      </x:c>
      <x:c r="G981" s="9" t="str">
        <x:v>INT</x:v>
      </x:c>
      <x:c r="H981" s="9" t="str">
        <x:v>IV03</x:v>
      </x:c>
      <x:c r="I981" s="17" t="str">
        <x:v>Temporal priority</x:v>
      </x:c>
      <x:c r="J981" s="17" t="str">
        <x:v>cause demonstrably precedes the disputed candidate behavior</x:v>
      </x:c>
      <x:c r="K981" s="17" t="str">
        <x:v>Time authority</x:v>
      </x:c>
      <x:c r="L981" s="9" t="n">
        <x:v>0</x:v>
      </x:c>
      <x:c r="M981" s="9" t="n">
        <x:v>0</x:v>
      </x:c>
      <x:c r="N981" s="9" t="str">
        <x:v>UNFILED / UNPROVEN</x:v>
      </x:c>
      <x:c r="O981" s="9" t="n">
        <x:f>COUNTIFS($A$7:$A$1302,A981)</x:f>
        <x:v>1</x:v>
      </x:c>
    </x:row>
    <x:row r="982">
      <x:c r="A982" s="9" t="str">
        <x:v>EV-AR-CT-C-B-TECH-4-B1-INT-G0-IV04</x:v>
      </x:c>
      <x:c r="B982" s="9" t="str">
        <x:v>EV-AR-CT-C-B-TECH-4-B1-INT-G0</x:v>
      </x:c>
      <x:c r="C982" s="9" t="str">
        <x:v>AR-CT-C-B-TECH-4-B1-INT-G0</x:v>
      </x:c>
      <x:c r="D982" s="9" t="str">
        <x:v>CT-C-B-TECH-4</x:v>
      </x:c>
      <x:c r="E982" s="9" t="str">
        <x:v>CT-C-B</x:v>
      </x:c>
      <x:c r="F982" s="9" t="str">
        <x:v>B1</x:v>
      </x:c>
      <x:c r="G982" s="9" t="str">
        <x:v>INT</x:v>
      </x:c>
      <x:c r="H982" s="9" t="str">
        <x:v>IV04</x:v>
      </x:c>
      <x:c r="I982" s="17" t="str">
        <x:v>Independent trace</x:v>
      </x:c>
      <x:c r="J982" s="17" t="str">
        <x:v>two unlike records carry the cause without candidate custody</x:v>
      </x:c>
      <x:c r="K982" s="17" t="str">
        <x:v>Invalidity court</x:v>
      </x:c>
      <x:c r="L982" s="9" t="n">
        <x:v>0</x:v>
      </x:c>
      <x:c r="M982" s="9" t="n">
        <x:v>0</x:v>
      </x:c>
      <x:c r="N982" s="9" t="str">
        <x:v>UNFILED / UNPROVEN</x:v>
      </x:c>
      <x:c r="O982" s="9" t="n">
        <x:f>COUNTIFS($A$7:$A$1302,A982)</x:f>
        <x:v>1</x:v>
      </x:c>
    </x:row>
    <x:row r="983">
      <x:c r="A983" s="9" t="str">
        <x:v>EV-AR-CT-C-B-TECH-4-B1-INT-G0-IV05</x:v>
      </x:c>
      <x:c r="B983" s="9" t="str">
        <x:v>EV-AR-CT-C-B-TECH-4-B1-INT-G0</x:v>
      </x:c>
      <x:c r="C983" s="9" t="str">
        <x:v>AR-CT-C-B-TECH-4-B1-INT-G0</x:v>
      </x:c>
      <x:c r="D983" s="9" t="str">
        <x:v>CT-C-B-TECH-4</x:v>
      </x:c>
      <x:c r="E983" s="9" t="str">
        <x:v>CT-C-B</x:v>
      </x:c>
      <x:c r="F983" s="9" t="str">
        <x:v>B1</x:v>
      </x:c>
      <x:c r="G983" s="9" t="str">
        <x:v>INT</x:v>
      </x:c>
      <x:c r="H983" s="9" t="str">
        <x:v>IV05</x:v>
      </x:c>
      <x:c r="I983" s="17" t="str">
        <x:v>Causal counterfactual</x:v>
      </x:c>
      <x:c r="J983" s="17" t="str">
        <x:v>registered counterfactual shows the cause can create the defect</x:v>
      </x:c>
      <x:c r="K983" s="17" t="str">
        <x:v>Causal court</x:v>
      </x:c>
      <x:c r="L983" s="9" t="n">
        <x:v>0</x:v>
      </x:c>
      <x:c r="M983" s="9" t="n">
        <x:v>0</x:v>
      </x:c>
      <x:c r="N983" s="9" t="str">
        <x:v>UNFILED / UNPROVEN</x:v>
      </x:c>
      <x:c r="O983" s="9" t="n">
        <x:f>COUNTIFS($A$7:$A$1302,A983)</x:f>
        <x:v>1</x:v>
      </x:c>
    </x:row>
    <x:row r="984">
      <x:c r="A984" s="9" t="str">
        <x:v>EV-AR-CT-C-B-TECH-4-B1-INT-G0-IV06</x:v>
      </x:c>
      <x:c r="B984" s="9" t="str">
        <x:v>EV-AR-CT-C-B-TECH-4-B1-INT-G0</x:v>
      </x:c>
      <x:c r="C984" s="9" t="str">
        <x:v>AR-CT-C-B-TECH-4-B1-INT-G0</x:v>
      </x:c>
      <x:c r="D984" s="9" t="str">
        <x:v>CT-C-B-TECH-4</x:v>
      </x:c>
      <x:c r="E984" s="9" t="str">
        <x:v>CT-C-B</x:v>
      </x:c>
      <x:c r="F984" s="9" t="str">
        <x:v>B1</x:v>
      </x:c>
      <x:c r="G984" s="9" t="str">
        <x:v>INT</x:v>
      </x:c>
      <x:c r="H984" s="9" t="str">
        <x:v>IV06</x:v>
      </x:c>
      <x:c r="I984" s="17" t="str">
        <x:v>Candidate non-causation</x:v>
      </x:c>
      <x:c r="J984" s="17" t="str">
        <x:v>evidence excludes candidate induction of the facility condition</x:v>
      </x:c>
      <x:c r="K984" s="17" t="str">
        <x:v>Causal court</x:v>
      </x:c>
      <x:c r="L984" s="9" t="n">
        <x:v>0</x:v>
      </x:c>
      <x:c r="M984" s="9" t="n">
        <x:v>0</x:v>
      </x:c>
      <x:c r="N984" s="9" t="str">
        <x:v>UNFILED / UNPROVEN</x:v>
      </x:c>
      <x:c r="O984" s="9" t="n">
        <x:f>COUNTIFS($A$7:$A$1302,A984)</x:f>
        <x:v>1</x:v>
      </x:c>
    </x:row>
    <x:row r="985">
      <x:c r="A985" s="9" t="str">
        <x:v>EV-AR-CT-C-B-TECH-4-B1-INT-G0-IV07</x:v>
      </x:c>
      <x:c r="B985" s="9" t="str">
        <x:v>EV-AR-CT-C-B-TECH-4-B1-INT-G0</x:v>
      </x:c>
      <x:c r="C985" s="9" t="str">
        <x:v>AR-CT-C-B-TECH-4-B1-INT-G0</x:v>
      </x:c>
      <x:c r="D985" s="9" t="str">
        <x:v>CT-C-B-TECH-4</x:v>
      </x:c>
      <x:c r="E985" s="9" t="str">
        <x:v>CT-C-B</x:v>
      </x:c>
      <x:c r="F985" s="9" t="str">
        <x:v>B1</x:v>
      </x:c>
      <x:c r="G985" s="9" t="str">
        <x:v>INT</x:v>
      </x:c>
      <x:c r="H985" s="9" t="str">
        <x:v>IV07</x:v>
      </x:c>
      <x:c r="I985" s="17" t="str">
        <x:v>No outcome selection</x:v>
      </x:c>
      <x:c r="J985" s="17" t="str">
        <x:v>petition rule and evidence scope were fixed before visibility</x:v>
      </x:c>
      <x:c r="K985" s="17" t="str">
        <x:v>Conflict registrar</x:v>
      </x:c>
      <x:c r="L985" s="9" t="n">
        <x:v>0</x:v>
      </x:c>
      <x:c r="M985" s="9" t="n">
        <x:v>0</x:v>
      </x:c>
      <x:c r="N985" s="9" t="str">
        <x:v>UNFILED / UNPROVEN</x:v>
      </x:c>
      <x:c r="O985" s="9" t="n">
        <x:f>COUNTIFS($A$7:$A$1302,A985)</x:f>
        <x:v>1</x:v>
      </x:c>
    </x:row>
    <x:row r="986">
      <x:c r="A986" s="9" t="str">
        <x:v>EV-AR-CT-C-B-TECH-4-B1-INT-G0-IV08</x:v>
      </x:c>
      <x:c r="B986" s="9" t="str">
        <x:v>EV-AR-CT-C-B-TECH-4-B1-INT-G0</x:v>
      </x:c>
      <x:c r="C986" s="9" t="str">
        <x:v>AR-CT-C-B-TECH-4-B1-INT-G0</x:v>
      </x:c>
      <x:c r="D986" s="9" t="str">
        <x:v>CT-C-B-TECH-4</x:v>
      </x:c>
      <x:c r="E986" s="9" t="str">
        <x:v>CT-C-B</x:v>
      </x:c>
      <x:c r="F986" s="9" t="str">
        <x:v>B1</x:v>
      </x:c>
      <x:c r="G986" s="9" t="str">
        <x:v>INT</x:v>
      </x:c>
      <x:c r="H986" s="9" t="str">
        <x:v>IV08</x:v>
      </x:c>
      <x:c r="I986" s="17" t="str">
        <x:v>Whole-record preservation</x:v>
      </x:c>
      <x:c r="J986" s="17" t="str">
        <x:v>start, raw behavior, dissent and intervention remain in archive</x:v>
      </x:c>
      <x:c r="K986" s="17" t="str">
        <x:v>Archive authority</x:v>
      </x:c>
      <x:c r="L986" s="9" t="n">
        <x:v>0</x:v>
      </x:c>
      <x:c r="M986" s="9" t="n">
        <x:v>0</x:v>
      </x:c>
      <x:c r="N986" s="9" t="str">
        <x:v>UNFILED / UNPROVEN</x:v>
      </x:c>
      <x:c r="O986" s="9" t="n">
        <x:f>COUNTIFS($A$7:$A$1302,A986)</x:f>
        <x:v>1</x:v>
      </x:c>
    </x:row>
    <x:row r="987">
      <x:c r="A987" s="9" t="str">
        <x:v>EV-AR-CT-C-B-TECH-4-B1-INT-G0-IV09</x:v>
      </x:c>
      <x:c r="B987" s="9" t="str">
        <x:v>EV-AR-CT-C-B-TECH-4-B1-INT-G0</x:v>
      </x:c>
      <x:c r="C987" s="9" t="str">
        <x:v>AR-CT-C-B-TECH-4-B1-INT-G0</x:v>
      </x:c>
      <x:c r="D987" s="9" t="str">
        <x:v>CT-C-B-TECH-4</x:v>
      </x:c>
      <x:c r="E987" s="9" t="str">
        <x:v>CT-C-B</x:v>
      </x:c>
      <x:c r="F987" s="9" t="str">
        <x:v>B1</x:v>
      </x:c>
      <x:c r="G987" s="9" t="str">
        <x:v>INT</x:v>
      </x:c>
      <x:c r="H987" s="9" t="str">
        <x:v>IV09</x:v>
      </x:c>
      <x:c r="I987" s="17" t="str">
        <x:v>Bounded remedy</x:v>
      </x:c>
      <x:c r="J987" s="17" t="str">
        <x:v>only a new slot and EOW may follow; no favorable credit or erased attempt</x:v>
      </x:c>
      <x:c r="K987" s="17" t="str">
        <x:v>Invalidity court</x:v>
      </x:c>
      <x:c r="L987" s="9" t="n">
        <x:v>0</x:v>
      </x:c>
      <x:c r="M987" s="9" t="n">
        <x:v>0</x:v>
      </x:c>
      <x:c r="N987" s="9" t="str">
        <x:v>UNFILED / UNPROVEN</x:v>
      </x:c>
      <x:c r="O987" s="9" t="n">
        <x:f>COUNTIFS($A$7:$A$1302,A987)</x:f>
        <x:v>1</x:v>
      </x:c>
    </x:row>
    <x:row r="988">
      <x:c r="A988" s="9" t="str">
        <x:v>EV-AR-ET-A-A-TECH-4-B2-INT-G0-IV01</x:v>
      </x:c>
      <x:c r="B988" s="9" t="str">
        <x:v>EV-AR-ET-A-A-TECH-4-B2-INT-G0</x:v>
      </x:c>
      <x:c r="C988" s="9" t="str">
        <x:v>AR-ET-A-A-TECH-4-B2-INT-G0</x:v>
      </x:c>
      <x:c r="D988" s="9" t="str">
        <x:v>ET-A-A-TECH-4</x:v>
      </x:c>
      <x:c r="E988" s="9" t="str">
        <x:v>ET-A-A</x:v>
      </x:c>
      <x:c r="F988" s="9" t="str">
        <x:v>B2</x:v>
      </x:c>
      <x:c r="G988" s="9" t="str">
        <x:v>INT</x:v>
      </x:c>
      <x:c r="H988" s="9" t="str">
        <x:v>IV01</x:v>
      </x:c>
      <x:c r="I988" s="17" t="str">
        <x:v>Timely petition</x:v>
      </x:c>
      <x:c r="J988" s="17" t="str">
        <x:v>petition enters within seventy-two hours of event close</x:v>
      </x:c>
      <x:c r="K988" s="17" t="str">
        <x:v>Invalidity registrar</x:v>
      </x:c>
      <x:c r="L988" s="9" t="n">
        <x:v>0</x:v>
      </x:c>
      <x:c r="M988" s="9" t="n">
        <x:v>0</x:v>
      </x:c>
      <x:c r="N988" s="9" t="str">
        <x:v>UNFILED / UNPROVEN</x:v>
      </x:c>
      <x:c r="O988" s="9" t="n">
        <x:f>COUNTIFS($A$7:$A$1302,A988)</x:f>
        <x:v>1</x:v>
      </x:c>
    </x:row>
    <x:row r="989">
      <x:c r="A989" s="9" t="str">
        <x:v>EV-AR-ET-A-A-TECH-4-B2-INT-G0-IV02</x:v>
      </x:c>
      <x:c r="B989" s="9" t="str">
        <x:v>EV-AR-ET-A-A-TECH-4-B2-INT-G0</x:v>
      </x:c>
      <x:c r="C989" s="9" t="str">
        <x:v>AR-ET-A-A-TECH-4-B2-INT-G0</x:v>
      </x:c>
      <x:c r="D989" s="9" t="str">
        <x:v>ET-A-A-TECH-4</x:v>
      </x:c>
      <x:c r="E989" s="9" t="str">
        <x:v>ET-A-A</x:v>
      </x:c>
      <x:c r="F989" s="9" t="str">
        <x:v>B2</x:v>
      </x:c>
      <x:c r="G989" s="9" t="str">
        <x:v>INT</x:v>
      </x:c>
      <x:c r="H989" s="9" t="str">
        <x:v>IV02</x:v>
      </x:c>
      <x:c r="I989" s="17" t="str">
        <x:v>Named facility cause</x:v>
      </x:c>
      <x:c r="J989" s="17" t="str">
        <x:v>one pre-registered noncandidate cause is identified</x:v>
      </x:c>
      <x:c r="K989" s="17" t="str">
        <x:v>Facility-cause court</x:v>
      </x:c>
      <x:c r="L989" s="9" t="n">
        <x:v>0</x:v>
      </x:c>
      <x:c r="M989" s="9" t="n">
        <x:v>0</x:v>
      </x:c>
      <x:c r="N989" s="9" t="str">
        <x:v>UNFILED / UNPROVEN</x:v>
      </x:c>
      <x:c r="O989" s="9" t="n">
        <x:f>COUNTIFS($A$7:$A$1302,A989)</x:f>
        <x:v>1</x:v>
      </x:c>
    </x:row>
    <x:row r="990">
      <x:c r="A990" s="9" t="str">
        <x:v>EV-AR-ET-A-A-TECH-4-B2-INT-G0-IV03</x:v>
      </x:c>
      <x:c r="B990" s="9" t="str">
        <x:v>EV-AR-ET-A-A-TECH-4-B2-INT-G0</x:v>
      </x:c>
      <x:c r="C990" s="9" t="str">
        <x:v>AR-ET-A-A-TECH-4-B2-INT-G0</x:v>
      </x:c>
      <x:c r="D990" s="9" t="str">
        <x:v>ET-A-A-TECH-4</x:v>
      </x:c>
      <x:c r="E990" s="9" t="str">
        <x:v>ET-A-A</x:v>
      </x:c>
      <x:c r="F990" s="9" t="str">
        <x:v>B2</x:v>
      </x:c>
      <x:c r="G990" s="9" t="str">
        <x:v>INT</x:v>
      </x:c>
      <x:c r="H990" s="9" t="str">
        <x:v>IV03</x:v>
      </x:c>
      <x:c r="I990" s="17" t="str">
        <x:v>Temporal priority</x:v>
      </x:c>
      <x:c r="J990" s="17" t="str">
        <x:v>cause demonstrably precedes the disputed candidate behavior</x:v>
      </x:c>
      <x:c r="K990" s="17" t="str">
        <x:v>Time authority</x:v>
      </x:c>
      <x:c r="L990" s="9" t="n">
        <x:v>0</x:v>
      </x:c>
      <x:c r="M990" s="9" t="n">
        <x:v>0</x:v>
      </x:c>
      <x:c r="N990" s="9" t="str">
        <x:v>UNFILED / UNPROVEN</x:v>
      </x:c>
      <x:c r="O990" s="9" t="n">
        <x:f>COUNTIFS($A$7:$A$1302,A990)</x:f>
        <x:v>1</x:v>
      </x:c>
    </x:row>
    <x:row r="991">
      <x:c r="A991" s="9" t="str">
        <x:v>EV-AR-ET-A-A-TECH-4-B2-INT-G0-IV04</x:v>
      </x:c>
      <x:c r="B991" s="9" t="str">
        <x:v>EV-AR-ET-A-A-TECH-4-B2-INT-G0</x:v>
      </x:c>
      <x:c r="C991" s="9" t="str">
        <x:v>AR-ET-A-A-TECH-4-B2-INT-G0</x:v>
      </x:c>
      <x:c r="D991" s="9" t="str">
        <x:v>ET-A-A-TECH-4</x:v>
      </x:c>
      <x:c r="E991" s="9" t="str">
        <x:v>ET-A-A</x:v>
      </x:c>
      <x:c r="F991" s="9" t="str">
        <x:v>B2</x:v>
      </x:c>
      <x:c r="G991" s="9" t="str">
        <x:v>INT</x:v>
      </x:c>
      <x:c r="H991" s="9" t="str">
        <x:v>IV04</x:v>
      </x:c>
      <x:c r="I991" s="17" t="str">
        <x:v>Independent trace</x:v>
      </x:c>
      <x:c r="J991" s="17" t="str">
        <x:v>two unlike records carry the cause without candidate custody</x:v>
      </x:c>
      <x:c r="K991" s="17" t="str">
        <x:v>Invalidity court</x:v>
      </x:c>
      <x:c r="L991" s="9" t="n">
        <x:v>0</x:v>
      </x:c>
      <x:c r="M991" s="9" t="n">
        <x:v>0</x:v>
      </x:c>
      <x:c r="N991" s="9" t="str">
        <x:v>UNFILED / UNPROVEN</x:v>
      </x:c>
      <x:c r="O991" s="9" t="n">
        <x:f>COUNTIFS($A$7:$A$1302,A991)</x:f>
        <x:v>1</x:v>
      </x:c>
    </x:row>
    <x:row r="992">
      <x:c r="A992" s="9" t="str">
        <x:v>EV-AR-ET-A-A-TECH-4-B2-INT-G0-IV05</x:v>
      </x:c>
      <x:c r="B992" s="9" t="str">
        <x:v>EV-AR-ET-A-A-TECH-4-B2-INT-G0</x:v>
      </x:c>
      <x:c r="C992" s="9" t="str">
        <x:v>AR-ET-A-A-TECH-4-B2-INT-G0</x:v>
      </x:c>
      <x:c r="D992" s="9" t="str">
        <x:v>ET-A-A-TECH-4</x:v>
      </x:c>
      <x:c r="E992" s="9" t="str">
        <x:v>ET-A-A</x:v>
      </x:c>
      <x:c r="F992" s="9" t="str">
        <x:v>B2</x:v>
      </x:c>
      <x:c r="G992" s="9" t="str">
        <x:v>INT</x:v>
      </x:c>
      <x:c r="H992" s="9" t="str">
        <x:v>IV05</x:v>
      </x:c>
      <x:c r="I992" s="17" t="str">
        <x:v>Causal counterfactual</x:v>
      </x:c>
      <x:c r="J992" s="17" t="str">
        <x:v>registered counterfactual shows the cause can create the defect</x:v>
      </x:c>
      <x:c r="K992" s="17" t="str">
        <x:v>Causal court</x:v>
      </x:c>
      <x:c r="L992" s="9" t="n">
        <x:v>0</x:v>
      </x:c>
      <x:c r="M992" s="9" t="n">
        <x:v>0</x:v>
      </x:c>
      <x:c r="N992" s="9" t="str">
        <x:v>UNFILED / UNPROVEN</x:v>
      </x:c>
      <x:c r="O992" s="9" t="n">
        <x:f>COUNTIFS($A$7:$A$1302,A992)</x:f>
        <x:v>1</x:v>
      </x:c>
    </x:row>
    <x:row r="993">
      <x:c r="A993" s="9" t="str">
        <x:v>EV-AR-ET-A-A-TECH-4-B2-INT-G0-IV06</x:v>
      </x:c>
      <x:c r="B993" s="9" t="str">
        <x:v>EV-AR-ET-A-A-TECH-4-B2-INT-G0</x:v>
      </x:c>
      <x:c r="C993" s="9" t="str">
        <x:v>AR-ET-A-A-TECH-4-B2-INT-G0</x:v>
      </x:c>
      <x:c r="D993" s="9" t="str">
        <x:v>ET-A-A-TECH-4</x:v>
      </x:c>
      <x:c r="E993" s="9" t="str">
        <x:v>ET-A-A</x:v>
      </x:c>
      <x:c r="F993" s="9" t="str">
        <x:v>B2</x:v>
      </x:c>
      <x:c r="G993" s="9" t="str">
        <x:v>INT</x:v>
      </x:c>
      <x:c r="H993" s="9" t="str">
        <x:v>IV06</x:v>
      </x:c>
      <x:c r="I993" s="17" t="str">
        <x:v>Candidate non-causation</x:v>
      </x:c>
      <x:c r="J993" s="17" t="str">
        <x:v>evidence excludes candidate induction of the facility condition</x:v>
      </x:c>
      <x:c r="K993" s="17" t="str">
        <x:v>Causal court</x:v>
      </x:c>
      <x:c r="L993" s="9" t="n">
        <x:v>0</x:v>
      </x:c>
      <x:c r="M993" s="9" t="n">
        <x:v>0</x:v>
      </x:c>
      <x:c r="N993" s="9" t="str">
        <x:v>UNFILED / UNPROVEN</x:v>
      </x:c>
      <x:c r="O993" s="9" t="n">
        <x:f>COUNTIFS($A$7:$A$1302,A993)</x:f>
        <x:v>1</x:v>
      </x:c>
    </x:row>
    <x:row r="994">
      <x:c r="A994" s="9" t="str">
        <x:v>EV-AR-ET-A-A-TECH-4-B2-INT-G0-IV07</x:v>
      </x:c>
      <x:c r="B994" s="9" t="str">
        <x:v>EV-AR-ET-A-A-TECH-4-B2-INT-G0</x:v>
      </x:c>
      <x:c r="C994" s="9" t="str">
        <x:v>AR-ET-A-A-TECH-4-B2-INT-G0</x:v>
      </x:c>
      <x:c r="D994" s="9" t="str">
        <x:v>ET-A-A-TECH-4</x:v>
      </x:c>
      <x:c r="E994" s="9" t="str">
        <x:v>ET-A-A</x:v>
      </x:c>
      <x:c r="F994" s="9" t="str">
        <x:v>B2</x:v>
      </x:c>
      <x:c r="G994" s="9" t="str">
        <x:v>INT</x:v>
      </x:c>
      <x:c r="H994" s="9" t="str">
        <x:v>IV07</x:v>
      </x:c>
      <x:c r="I994" s="17" t="str">
        <x:v>No outcome selection</x:v>
      </x:c>
      <x:c r="J994" s="17" t="str">
        <x:v>petition rule and evidence scope were fixed before visibility</x:v>
      </x:c>
      <x:c r="K994" s="17" t="str">
        <x:v>Conflict registrar</x:v>
      </x:c>
      <x:c r="L994" s="9" t="n">
        <x:v>0</x:v>
      </x:c>
      <x:c r="M994" s="9" t="n">
        <x:v>0</x:v>
      </x:c>
      <x:c r="N994" s="9" t="str">
        <x:v>UNFILED / UNPROVEN</x:v>
      </x:c>
      <x:c r="O994" s="9" t="n">
        <x:f>COUNTIFS($A$7:$A$1302,A994)</x:f>
        <x:v>1</x:v>
      </x:c>
    </x:row>
    <x:row r="995">
      <x:c r="A995" s="9" t="str">
        <x:v>EV-AR-ET-A-A-TECH-4-B2-INT-G0-IV08</x:v>
      </x:c>
      <x:c r="B995" s="9" t="str">
        <x:v>EV-AR-ET-A-A-TECH-4-B2-INT-G0</x:v>
      </x:c>
      <x:c r="C995" s="9" t="str">
        <x:v>AR-ET-A-A-TECH-4-B2-INT-G0</x:v>
      </x:c>
      <x:c r="D995" s="9" t="str">
        <x:v>ET-A-A-TECH-4</x:v>
      </x:c>
      <x:c r="E995" s="9" t="str">
        <x:v>ET-A-A</x:v>
      </x:c>
      <x:c r="F995" s="9" t="str">
        <x:v>B2</x:v>
      </x:c>
      <x:c r="G995" s="9" t="str">
        <x:v>INT</x:v>
      </x:c>
      <x:c r="H995" s="9" t="str">
        <x:v>IV08</x:v>
      </x:c>
      <x:c r="I995" s="17" t="str">
        <x:v>Whole-record preservation</x:v>
      </x:c>
      <x:c r="J995" s="17" t="str">
        <x:v>start, raw behavior, dissent and intervention remain in archive</x:v>
      </x:c>
      <x:c r="K995" s="17" t="str">
        <x:v>Archive authority</x:v>
      </x:c>
      <x:c r="L995" s="9" t="n">
        <x:v>0</x:v>
      </x:c>
      <x:c r="M995" s="9" t="n">
        <x:v>0</x:v>
      </x:c>
      <x:c r="N995" s="9" t="str">
        <x:v>UNFILED / UNPROVEN</x:v>
      </x:c>
      <x:c r="O995" s="9" t="n">
        <x:f>COUNTIFS($A$7:$A$1302,A995)</x:f>
        <x:v>1</x:v>
      </x:c>
    </x:row>
    <x:row r="996">
      <x:c r="A996" s="9" t="str">
        <x:v>EV-AR-ET-A-A-TECH-4-B2-INT-G0-IV09</x:v>
      </x:c>
      <x:c r="B996" s="9" t="str">
        <x:v>EV-AR-ET-A-A-TECH-4-B2-INT-G0</x:v>
      </x:c>
      <x:c r="C996" s="9" t="str">
        <x:v>AR-ET-A-A-TECH-4-B2-INT-G0</x:v>
      </x:c>
      <x:c r="D996" s="9" t="str">
        <x:v>ET-A-A-TECH-4</x:v>
      </x:c>
      <x:c r="E996" s="9" t="str">
        <x:v>ET-A-A</x:v>
      </x:c>
      <x:c r="F996" s="9" t="str">
        <x:v>B2</x:v>
      </x:c>
      <x:c r="G996" s="9" t="str">
        <x:v>INT</x:v>
      </x:c>
      <x:c r="H996" s="9" t="str">
        <x:v>IV09</x:v>
      </x:c>
      <x:c r="I996" s="17" t="str">
        <x:v>Bounded remedy</x:v>
      </x:c>
      <x:c r="J996" s="17" t="str">
        <x:v>only a new slot and EOW may follow; no favorable credit or erased attempt</x:v>
      </x:c>
      <x:c r="K996" s="17" t="str">
        <x:v>Invalidity court</x:v>
      </x:c>
      <x:c r="L996" s="9" t="n">
        <x:v>0</x:v>
      </x:c>
      <x:c r="M996" s="9" t="n">
        <x:v>0</x:v>
      </x:c>
      <x:c r="N996" s="9" t="str">
        <x:v>UNFILED / UNPROVEN</x:v>
      </x:c>
      <x:c r="O996" s="9" t="n">
        <x:f>COUNTIFS($A$7:$A$1302,A996)</x:f>
        <x:v>1</x:v>
      </x:c>
    </x:row>
    <x:row r="997">
      <x:c r="A997" s="9" t="str">
        <x:v>EV-AR-HU-A-B-TECH-1-B1-INT-G0-IV01</x:v>
      </x:c>
      <x:c r="B997" s="9" t="str">
        <x:v>EV-AR-HU-A-B-TECH-1-B1-INT-G0</x:v>
      </x:c>
      <x:c r="C997" s="9" t="str">
        <x:v>AR-HU-A-B-TECH-1-B1-INT-G0</x:v>
      </x:c>
      <x:c r="D997" s="9" t="str">
        <x:v>HU-A-B-TECH-1</x:v>
      </x:c>
      <x:c r="E997" s="9" t="str">
        <x:v>HU-A-B</x:v>
      </x:c>
      <x:c r="F997" s="9" t="str">
        <x:v>B1</x:v>
      </x:c>
      <x:c r="G997" s="9" t="str">
        <x:v>INT</x:v>
      </x:c>
      <x:c r="H997" s="9" t="str">
        <x:v>IV01</x:v>
      </x:c>
      <x:c r="I997" s="17" t="str">
        <x:v>Timely petition</x:v>
      </x:c>
      <x:c r="J997" s="17" t="str">
        <x:v>petition enters within seventy-two hours of event close</x:v>
      </x:c>
      <x:c r="K997" s="17" t="str">
        <x:v>Invalidity registrar</x:v>
      </x:c>
      <x:c r="L997" s="9" t="n">
        <x:v>0</x:v>
      </x:c>
      <x:c r="M997" s="9" t="n">
        <x:v>0</x:v>
      </x:c>
      <x:c r="N997" s="9" t="str">
        <x:v>UNFILED / UNPROVEN</x:v>
      </x:c>
      <x:c r="O997" s="9" t="n">
        <x:f>COUNTIFS($A$7:$A$1302,A997)</x:f>
        <x:v>1</x:v>
      </x:c>
    </x:row>
    <x:row r="998">
      <x:c r="A998" s="9" t="str">
        <x:v>EV-AR-HU-A-B-TECH-1-B1-INT-G0-IV02</x:v>
      </x:c>
      <x:c r="B998" s="9" t="str">
        <x:v>EV-AR-HU-A-B-TECH-1-B1-INT-G0</x:v>
      </x:c>
      <x:c r="C998" s="9" t="str">
        <x:v>AR-HU-A-B-TECH-1-B1-INT-G0</x:v>
      </x:c>
      <x:c r="D998" s="9" t="str">
        <x:v>HU-A-B-TECH-1</x:v>
      </x:c>
      <x:c r="E998" s="9" t="str">
        <x:v>HU-A-B</x:v>
      </x:c>
      <x:c r="F998" s="9" t="str">
        <x:v>B1</x:v>
      </x:c>
      <x:c r="G998" s="9" t="str">
        <x:v>INT</x:v>
      </x:c>
      <x:c r="H998" s="9" t="str">
        <x:v>IV02</x:v>
      </x:c>
      <x:c r="I998" s="17" t="str">
        <x:v>Named facility cause</x:v>
      </x:c>
      <x:c r="J998" s="17" t="str">
        <x:v>one pre-registered noncandidate cause is identified</x:v>
      </x:c>
      <x:c r="K998" s="17" t="str">
        <x:v>Facility-cause court</x:v>
      </x:c>
      <x:c r="L998" s="9" t="n">
        <x:v>0</x:v>
      </x:c>
      <x:c r="M998" s="9" t="n">
        <x:v>0</x:v>
      </x:c>
      <x:c r="N998" s="9" t="str">
        <x:v>UNFILED / UNPROVEN</x:v>
      </x:c>
      <x:c r="O998" s="9" t="n">
        <x:f>COUNTIFS($A$7:$A$1302,A998)</x:f>
        <x:v>1</x:v>
      </x:c>
    </x:row>
    <x:row r="999">
      <x:c r="A999" s="9" t="str">
        <x:v>EV-AR-HU-A-B-TECH-1-B1-INT-G0-IV03</x:v>
      </x:c>
      <x:c r="B999" s="9" t="str">
        <x:v>EV-AR-HU-A-B-TECH-1-B1-INT-G0</x:v>
      </x:c>
      <x:c r="C999" s="9" t="str">
        <x:v>AR-HU-A-B-TECH-1-B1-INT-G0</x:v>
      </x:c>
      <x:c r="D999" s="9" t="str">
        <x:v>HU-A-B-TECH-1</x:v>
      </x:c>
      <x:c r="E999" s="9" t="str">
        <x:v>HU-A-B</x:v>
      </x:c>
      <x:c r="F999" s="9" t="str">
        <x:v>B1</x:v>
      </x:c>
      <x:c r="G999" s="9" t="str">
        <x:v>INT</x:v>
      </x:c>
      <x:c r="H999" s="9" t="str">
        <x:v>IV03</x:v>
      </x:c>
      <x:c r="I999" s="17" t="str">
        <x:v>Temporal priority</x:v>
      </x:c>
      <x:c r="J999" s="17" t="str">
        <x:v>cause demonstrably precedes the disputed candidate behavior</x:v>
      </x:c>
      <x:c r="K999" s="17" t="str">
        <x:v>Time authority</x:v>
      </x:c>
      <x:c r="L999" s="9" t="n">
        <x:v>0</x:v>
      </x:c>
      <x:c r="M999" s="9" t="n">
        <x:v>0</x:v>
      </x:c>
      <x:c r="N999" s="9" t="str">
        <x:v>UNFILED / UNPROVEN</x:v>
      </x:c>
      <x:c r="O999" s="9" t="n">
        <x:f>COUNTIFS($A$7:$A$1302,A999)</x:f>
        <x:v>1</x:v>
      </x:c>
    </x:row>
    <x:row r="1000">
      <x:c r="A1000" s="9" t="str">
        <x:v>EV-AR-HU-A-B-TECH-1-B1-INT-G0-IV04</x:v>
      </x:c>
      <x:c r="B1000" s="9" t="str">
        <x:v>EV-AR-HU-A-B-TECH-1-B1-INT-G0</x:v>
      </x:c>
      <x:c r="C1000" s="9" t="str">
        <x:v>AR-HU-A-B-TECH-1-B1-INT-G0</x:v>
      </x:c>
      <x:c r="D1000" s="9" t="str">
        <x:v>HU-A-B-TECH-1</x:v>
      </x:c>
      <x:c r="E1000" s="9" t="str">
        <x:v>HU-A-B</x:v>
      </x:c>
      <x:c r="F1000" s="9" t="str">
        <x:v>B1</x:v>
      </x:c>
      <x:c r="G1000" s="9" t="str">
        <x:v>INT</x:v>
      </x:c>
      <x:c r="H1000" s="9" t="str">
        <x:v>IV04</x:v>
      </x:c>
      <x:c r="I1000" s="17" t="str">
        <x:v>Independent trace</x:v>
      </x:c>
      <x:c r="J1000" s="17" t="str">
        <x:v>two unlike records carry the cause without candidate custody</x:v>
      </x:c>
      <x:c r="K1000" s="17" t="str">
        <x:v>Invalidity court</x:v>
      </x:c>
      <x:c r="L1000" s="9" t="n">
        <x:v>0</x:v>
      </x:c>
      <x:c r="M1000" s="9" t="n">
        <x:v>0</x:v>
      </x:c>
      <x:c r="N1000" s="9" t="str">
        <x:v>UNFILED / UNPROVEN</x:v>
      </x:c>
      <x:c r="O1000" s="9" t="n">
        <x:f>COUNTIFS($A$7:$A$1302,A1000)</x:f>
        <x:v>1</x:v>
      </x:c>
    </x:row>
    <x:row r="1001">
      <x:c r="A1001" s="9" t="str">
        <x:v>EV-AR-HU-A-B-TECH-1-B1-INT-G0-IV05</x:v>
      </x:c>
      <x:c r="B1001" s="9" t="str">
        <x:v>EV-AR-HU-A-B-TECH-1-B1-INT-G0</x:v>
      </x:c>
      <x:c r="C1001" s="9" t="str">
        <x:v>AR-HU-A-B-TECH-1-B1-INT-G0</x:v>
      </x:c>
      <x:c r="D1001" s="9" t="str">
        <x:v>HU-A-B-TECH-1</x:v>
      </x:c>
      <x:c r="E1001" s="9" t="str">
        <x:v>HU-A-B</x:v>
      </x:c>
      <x:c r="F1001" s="9" t="str">
        <x:v>B1</x:v>
      </x:c>
      <x:c r="G1001" s="9" t="str">
        <x:v>INT</x:v>
      </x:c>
      <x:c r="H1001" s="9" t="str">
        <x:v>IV05</x:v>
      </x:c>
      <x:c r="I1001" s="17" t="str">
        <x:v>Causal counterfactual</x:v>
      </x:c>
      <x:c r="J1001" s="17" t="str">
        <x:v>registered counterfactual shows the cause can create the defect</x:v>
      </x:c>
      <x:c r="K1001" s="17" t="str">
        <x:v>Causal court</x:v>
      </x:c>
      <x:c r="L1001" s="9" t="n">
        <x:v>0</x:v>
      </x:c>
      <x:c r="M1001" s="9" t="n">
        <x:v>0</x:v>
      </x:c>
      <x:c r="N1001" s="9" t="str">
        <x:v>UNFILED / UNPROVEN</x:v>
      </x:c>
      <x:c r="O1001" s="9" t="n">
        <x:f>COUNTIFS($A$7:$A$1302,A1001)</x:f>
        <x:v>1</x:v>
      </x:c>
    </x:row>
    <x:row r="1002">
      <x:c r="A1002" s="9" t="str">
        <x:v>EV-AR-HU-A-B-TECH-1-B1-INT-G0-IV06</x:v>
      </x:c>
      <x:c r="B1002" s="9" t="str">
        <x:v>EV-AR-HU-A-B-TECH-1-B1-INT-G0</x:v>
      </x:c>
      <x:c r="C1002" s="9" t="str">
        <x:v>AR-HU-A-B-TECH-1-B1-INT-G0</x:v>
      </x:c>
      <x:c r="D1002" s="9" t="str">
        <x:v>HU-A-B-TECH-1</x:v>
      </x:c>
      <x:c r="E1002" s="9" t="str">
        <x:v>HU-A-B</x:v>
      </x:c>
      <x:c r="F1002" s="9" t="str">
        <x:v>B1</x:v>
      </x:c>
      <x:c r="G1002" s="9" t="str">
        <x:v>INT</x:v>
      </x:c>
      <x:c r="H1002" s="9" t="str">
        <x:v>IV06</x:v>
      </x:c>
      <x:c r="I1002" s="17" t="str">
        <x:v>Candidate non-causation</x:v>
      </x:c>
      <x:c r="J1002" s="17" t="str">
        <x:v>evidence excludes candidate induction of the facility condition</x:v>
      </x:c>
      <x:c r="K1002" s="17" t="str">
        <x:v>Causal court</x:v>
      </x:c>
      <x:c r="L1002" s="9" t="n">
        <x:v>0</x:v>
      </x:c>
      <x:c r="M1002" s="9" t="n">
        <x:v>0</x:v>
      </x:c>
      <x:c r="N1002" s="9" t="str">
        <x:v>UNFILED / UNPROVEN</x:v>
      </x:c>
      <x:c r="O1002" s="9" t="n">
        <x:f>COUNTIFS($A$7:$A$1302,A1002)</x:f>
        <x:v>1</x:v>
      </x:c>
    </x:row>
    <x:row r="1003">
      <x:c r="A1003" s="9" t="str">
        <x:v>EV-AR-HU-A-B-TECH-1-B1-INT-G0-IV07</x:v>
      </x:c>
      <x:c r="B1003" s="9" t="str">
        <x:v>EV-AR-HU-A-B-TECH-1-B1-INT-G0</x:v>
      </x:c>
      <x:c r="C1003" s="9" t="str">
        <x:v>AR-HU-A-B-TECH-1-B1-INT-G0</x:v>
      </x:c>
      <x:c r="D1003" s="9" t="str">
        <x:v>HU-A-B-TECH-1</x:v>
      </x:c>
      <x:c r="E1003" s="9" t="str">
        <x:v>HU-A-B</x:v>
      </x:c>
      <x:c r="F1003" s="9" t="str">
        <x:v>B1</x:v>
      </x:c>
      <x:c r="G1003" s="9" t="str">
        <x:v>INT</x:v>
      </x:c>
      <x:c r="H1003" s="9" t="str">
        <x:v>IV07</x:v>
      </x:c>
      <x:c r="I1003" s="17" t="str">
        <x:v>No outcome selection</x:v>
      </x:c>
      <x:c r="J1003" s="17" t="str">
        <x:v>petition rule and evidence scope were fixed before visibility</x:v>
      </x:c>
      <x:c r="K1003" s="17" t="str">
        <x:v>Conflict registrar</x:v>
      </x:c>
      <x:c r="L1003" s="9" t="n">
        <x:v>0</x:v>
      </x:c>
      <x:c r="M1003" s="9" t="n">
        <x:v>0</x:v>
      </x:c>
      <x:c r="N1003" s="9" t="str">
        <x:v>UNFILED / UNPROVEN</x:v>
      </x:c>
      <x:c r="O1003" s="9" t="n">
        <x:f>COUNTIFS($A$7:$A$1302,A1003)</x:f>
        <x:v>1</x:v>
      </x:c>
    </x:row>
    <x:row r="1004">
      <x:c r="A1004" s="9" t="str">
        <x:v>EV-AR-HU-A-B-TECH-1-B1-INT-G0-IV08</x:v>
      </x:c>
      <x:c r="B1004" s="9" t="str">
        <x:v>EV-AR-HU-A-B-TECH-1-B1-INT-G0</x:v>
      </x:c>
      <x:c r="C1004" s="9" t="str">
        <x:v>AR-HU-A-B-TECH-1-B1-INT-G0</x:v>
      </x:c>
      <x:c r="D1004" s="9" t="str">
        <x:v>HU-A-B-TECH-1</x:v>
      </x:c>
      <x:c r="E1004" s="9" t="str">
        <x:v>HU-A-B</x:v>
      </x:c>
      <x:c r="F1004" s="9" t="str">
        <x:v>B1</x:v>
      </x:c>
      <x:c r="G1004" s="9" t="str">
        <x:v>INT</x:v>
      </x:c>
      <x:c r="H1004" s="9" t="str">
        <x:v>IV08</x:v>
      </x:c>
      <x:c r="I1004" s="17" t="str">
        <x:v>Whole-record preservation</x:v>
      </x:c>
      <x:c r="J1004" s="17" t="str">
        <x:v>start, raw behavior, dissent and intervention remain in archive</x:v>
      </x:c>
      <x:c r="K1004" s="17" t="str">
        <x:v>Archive authority</x:v>
      </x:c>
      <x:c r="L1004" s="9" t="n">
        <x:v>0</x:v>
      </x:c>
      <x:c r="M1004" s="9" t="n">
        <x:v>0</x:v>
      </x:c>
      <x:c r="N1004" s="9" t="str">
        <x:v>UNFILED / UNPROVEN</x:v>
      </x:c>
      <x:c r="O1004" s="9" t="n">
        <x:f>COUNTIFS($A$7:$A$1302,A1004)</x:f>
        <x:v>1</x:v>
      </x:c>
    </x:row>
    <x:row r="1005">
      <x:c r="A1005" s="9" t="str">
        <x:v>EV-AR-HU-A-B-TECH-1-B1-INT-G0-IV09</x:v>
      </x:c>
      <x:c r="B1005" s="9" t="str">
        <x:v>EV-AR-HU-A-B-TECH-1-B1-INT-G0</x:v>
      </x:c>
      <x:c r="C1005" s="9" t="str">
        <x:v>AR-HU-A-B-TECH-1-B1-INT-G0</x:v>
      </x:c>
      <x:c r="D1005" s="9" t="str">
        <x:v>HU-A-B-TECH-1</x:v>
      </x:c>
      <x:c r="E1005" s="9" t="str">
        <x:v>HU-A-B</x:v>
      </x:c>
      <x:c r="F1005" s="9" t="str">
        <x:v>B1</x:v>
      </x:c>
      <x:c r="G1005" s="9" t="str">
        <x:v>INT</x:v>
      </x:c>
      <x:c r="H1005" s="9" t="str">
        <x:v>IV09</x:v>
      </x:c>
      <x:c r="I1005" s="17" t="str">
        <x:v>Bounded remedy</x:v>
      </x:c>
      <x:c r="J1005" s="17" t="str">
        <x:v>only a new slot and EOW may follow; no favorable credit or erased attempt</x:v>
      </x:c>
      <x:c r="K1005" s="17" t="str">
        <x:v>Invalidity court</x:v>
      </x:c>
      <x:c r="L1005" s="9" t="n">
        <x:v>0</x:v>
      </x:c>
      <x:c r="M1005" s="9" t="n">
        <x:v>0</x:v>
      </x:c>
      <x:c r="N1005" s="9" t="str">
        <x:v>UNFILED / UNPROVEN</x:v>
      </x:c>
      <x:c r="O1005" s="9" t="n">
        <x:f>COUNTIFS($A$7:$A$1302,A1005)</x:f>
        <x:v>1</x:v>
      </x:c>
    </x:row>
    <x:row r="1006">
      <x:c r="A1006" s="9" t="str">
        <x:v>EV-AR-HU-A-B-TECH-4-B2-BRK-G0-IV01</x:v>
      </x:c>
      <x:c r="B1006" s="9" t="str">
        <x:v>EV-AR-HU-A-B-TECH-4-B2-BRK-G0</x:v>
      </x:c>
      <x:c r="C1006" s="9" t="str">
        <x:v>AR-HU-A-B-TECH-4-B2-BRK-G0</x:v>
      </x:c>
      <x:c r="D1006" s="9" t="str">
        <x:v>HU-A-B-TECH-4</x:v>
      </x:c>
      <x:c r="E1006" s="9" t="str">
        <x:v>HU-A-B</x:v>
      </x:c>
      <x:c r="F1006" s="9" t="str">
        <x:v>B2</x:v>
      </x:c>
      <x:c r="G1006" s="9" t="str">
        <x:v>BRK</x:v>
      </x:c>
      <x:c r="H1006" s="9" t="str">
        <x:v>IV01</x:v>
      </x:c>
      <x:c r="I1006" s="17" t="str">
        <x:v>Timely petition</x:v>
      </x:c>
      <x:c r="J1006" s="17" t="str">
        <x:v>petition enters within seventy-two hours of event close</x:v>
      </x:c>
      <x:c r="K1006" s="17" t="str">
        <x:v>Invalidity registrar</x:v>
      </x:c>
      <x:c r="L1006" s="9" t="n">
        <x:v>0</x:v>
      </x:c>
      <x:c r="M1006" s="9" t="n">
        <x:v>0</x:v>
      </x:c>
      <x:c r="N1006" s="9" t="str">
        <x:v>UNFILED / UNPROVEN</x:v>
      </x:c>
      <x:c r="O1006" s="9" t="n">
        <x:f>COUNTIFS($A$7:$A$1302,A1006)</x:f>
        <x:v>1</x:v>
      </x:c>
    </x:row>
    <x:row r="1007">
      <x:c r="A1007" s="9" t="str">
        <x:v>EV-AR-HU-A-B-TECH-4-B2-BRK-G0-IV02</x:v>
      </x:c>
      <x:c r="B1007" s="9" t="str">
        <x:v>EV-AR-HU-A-B-TECH-4-B2-BRK-G0</x:v>
      </x:c>
      <x:c r="C1007" s="9" t="str">
        <x:v>AR-HU-A-B-TECH-4-B2-BRK-G0</x:v>
      </x:c>
      <x:c r="D1007" s="9" t="str">
        <x:v>HU-A-B-TECH-4</x:v>
      </x:c>
      <x:c r="E1007" s="9" t="str">
        <x:v>HU-A-B</x:v>
      </x:c>
      <x:c r="F1007" s="9" t="str">
        <x:v>B2</x:v>
      </x:c>
      <x:c r="G1007" s="9" t="str">
        <x:v>BRK</x:v>
      </x:c>
      <x:c r="H1007" s="9" t="str">
        <x:v>IV02</x:v>
      </x:c>
      <x:c r="I1007" s="17" t="str">
        <x:v>Named facility cause</x:v>
      </x:c>
      <x:c r="J1007" s="17" t="str">
        <x:v>one pre-registered noncandidate cause is identified</x:v>
      </x:c>
      <x:c r="K1007" s="17" t="str">
        <x:v>Facility-cause court</x:v>
      </x:c>
      <x:c r="L1007" s="9" t="n">
        <x:v>0</x:v>
      </x:c>
      <x:c r="M1007" s="9" t="n">
        <x:v>0</x:v>
      </x:c>
      <x:c r="N1007" s="9" t="str">
        <x:v>UNFILED / UNPROVEN</x:v>
      </x:c>
      <x:c r="O1007" s="9" t="n">
        <x:f>COUNTIFS($A$7:$A$1302,A1007)</x:f>
        <x:v>1</x:v>
      </x:c>
    </x:row>
    <x:row r="1008">
      <x:c r="A1008" s="9" t="str">
        <x:v>EV-AR-HU-A-B-TECH-4-B2-BRK-G0-IV03</x:v>
      </x:c>
      <x:c r="B1008" s="9" t="str">
        <x:v>EV-AR-HU-A-B-TECH-4-B2-BRK-G0</x:v>
      </x:c>
      <x:c r="C1008" s="9" t="str">
        <x:v>AR-HU-A-B-TECH-4-B2-BRK-G0</x:v>
      </x:c>
      <x:c r="D1008" s="9" t="str">
        <x:v>HU-A-B-TECH-4</x:v>
      </x:c>
      <x:c r="E1008" s="9" t="str">
        <x:v>HU-A-B</x:v>
      </x:c>
      <x:c r="F1008" s="9" t="str">
        <x:v>B2</x:v>
      </x:c>
      <x:c r="G1008" s="9" t="str">
        <x:v>BRK</x:v>
      </x:c>
      <x:c r="H1008" s="9" t="str">
        <x:v>IV03</x:v>
      </x:c>
      <x:c r="I1008" s="17" t="str">
        <x:v>Temporal priority</x:v>
      </x:c>
      <x:c r="J1008" s="17" t="str">
        <x:v>cause demonstrably precedes the disputed candidate behavior</x:v>
      </x:c>
      <x:c r="K1008" s="17" t="str">
        <x:v>Time authority</x:v>
      </x:c>
      <x:c r="L1008" s="9" t="n">
        <x:v>0</x:v>
      </x:c>
      <x:c r="M1008" s="9" t="n">
        <x:v>0</x:v>
      </x:c>
      <x:c r="N1008" s="9" t="str">
        <x:v>UNFILED / UNPROVEN</x:v>
      </x:c>
      <x:c r="O1008" s="9" t="n">
        <x:f>COUNTIFS($A$7:$A$1302,A1008)</x:f>
        <x:v>1</x:v>
      </x:c>
    </x:row>
    <x:row r="1009">
      <x:c r="A1009" s="9" t="str">
        <x:v>EV-AR-HU-A-B-TECH-4-B2-BRK-G0-IV04</x:v>
      </x:c>
      <x:c r="B1009" s="9" t="str">
        <x:v>EV-AR-HU-A-B-TECH-4-B2-BRK-G0</x:v>
      </x:c>
      <x:c r="C1009" s="9" t="str">
        <x:v>AR-HU-A-B-TECH-4-B2-BRK-G0</x:v>
      </x:c>
      <x:c r="D1009" s="9" t="str">
        <x:v>HU-A-B-TECH-4</x:v>
      </x:c>
      <x:c r="E1009" s="9" t="str">
        <x:v>HU-A-B</x:v>
      </x:c>
      <x:c r="F1009" s="9" t="str">
        <x:v>B2</x:v>
      </x:c>
      <x:c r="G1009" s="9" t="str">
        <x:v>BRK</x:v>
      </x:c>
      <x:c r="H1009" s="9" t="str">
        <x:v>IV04</x:v>
      </x:c>
      <x:c r="I1009" s="17" t="str">
        <x:v>Independent trace</x:v>
      </x:c>
      <x:c r="J1009" s="17" t="str">
        <x:v>two unlike records carry the cause without candidate custody</x:v>
      </x:c>
      <x:c r="K1009" s="17" t="str">
        <x:v>Invalidity court</x:v>
      </x:c>
      <x:c r="L1009" s="9" t="n">
        <x:v>0</x:v>
      </x:c>
      <x:c r="M1009" s="9" t="n">
        <x:v>0</x:v>
      </x:c>
      <x:c r="N1009" s="9" t="str">
        <x:v>UNFILED / UNPROVEN</x:v>
      </x:c>
      <x:c r="O1009" s="9" t="n">
        <x:f>COUNTIFS($A$7:$A$1302,A1009)</x:f>
        <x:v>1</x:v>
      </x:c>
    </x:row>
    <x:row r="1010">
      <x:c r="A1010" s="9" t="str">
        <x:v>EV-AR-HU-A-B-TECH-4-B2-BRK-G0-IV05</x:v>
      </x:c>
      <x:c r="B1010" s="9" t="str">
        <x:v>EV-AR-HU-A-B-TECH-4-B2-BRK-G0</x:v>
      </x:c>
      <x:c r="C1010" s="9" t="str">
        <x:v>AR-HU-A-B-TECH-4-B2-BRK-G0</x:v>
      </x:c>
      <x:c r="D1010" s="9" t="str">
        <x:v>HU-A-B-TECH-4</x:v>
      </x:c>
      <x:c r="E1010" s="9" t="str">
        <x:v>HU-A-B</x:v>
      </x:c>
      <x:c r="F1010" s="9" t="str">
        <x:v>B2</x:v>
      </x:c>
      <x:c r="G1010" s="9" t="str">
        <x:v>BRK</x:v>
      </x:c>
      <x:c r="H1010" s="9" t="str">
        <x:v>IV05</x:v>
      </x:c>
      <x:c r="I1010" s="17" t="str">
        <x:v>Causal counterfactual</x:v>
      </x:c>
      <x:c r="J1010" s="17" t="str">
        <x:v>registered counterfactual shows the cause can create the defect</x:v>
      </x:c>
      <x:c r="K1010" s="17" t="str">
        <x:v>Causal court</x:v>
      </x:c>
      <x:c r="L1010" s="9" t="n">
        <x:v>0</x:v>
      </x:c>
      <x:c r="M1010" s="9" t="n">
        <x:v>0</x:v>
      </x:c>
      <x:c r="N1010" s="9" t="str">
        <x:v>UNFILED / UNPROVEN</x:v>
      </x:c>
      <x:c r="O1010" s="9" t="n">
        <x:f>COUNTIFS($A$7:$A$1302,A1010)</x:f>
        <x:v>1</x:v>
      </x:c>
    </x:row>
    <x:row r="1011">
      <x:c r="A1011" s="9" t="str">
        <x:v>EV-AR-HU-A-B-TECH-4-B2-BRK-G0-IV06</x:v>
      </x:c>
      <x:c r="B1011" s="9" t="str">
        <x:v>EV-AR-HU-A-B-TECH-4-B2-BRK-G0</x:v>
      </x:c>
      <x:c r="C1011" s="9" t="str">
        <x:v>AR-HU-A-B-TECH-4-B2-BRK-G0</x:v>
      </x:c>
      <x:c r="D1011" s="9" t="str">
        <x:v>HU-A-B-TECH-4</x:v>
      </x:c>
      <x:c r="E1011" s="9" t="str">
        <x:v>HU-A-B</x:v>
      </x:c>
      <x:c r="F1011" s="9" t="str">
        <x:v>B2</x:v>
      </x:c>
      <x:c r="G1011" s="9" t="str">
        <x:v>BRK</x:v>
      </x:c>
      <x:c r="H1011" s="9" t="str">
        <x:v>IV06</x:v>
      </x:c>
      <x:c r="I1011" s="17" t="str">
        <x:v>Candidate non-causation</x:v>
      </x:c>
      <x:c r="J1011" s="17" t="str">
        <x:v>evidence excludes candidate induction of the facility condition</x:v>
      </x:c>
      <x:c r="K1011" s="17" t="str">
        <x:v>Causal court</x:v>
      </x:c>
      <x:c r="L1011" s="9" t="n">
        <x:v>0</x:v>
      </x:c>
      <x:c r="M1011" s="9" t="n">
        <x:v>0</x:v>
      </x:c>
      <x:c r="N1011" s="9" t="str">
        <x:v>UNFILED / UNPROVEN</x:v>
      </x:c>
      <x:c r="O1011" s="9" t="n">
        <x:f>COUNTIFS($A$7:$A$1302,A1011)</x:f>
        <x:v>1</x:v>
      </x:c>
    </x:row>
    <x:row r="1012">
      <x:c r="A1012" s="9" t="str">
        <x:v>EV-AR-HU-A-B-TECH-4-B2-BRK-G0-IV07</x:v>
      </x:c>
      <x:c r="B1012" s="9" t="str">
        <x:v>EV-AR-HU-A-B-TECH-4-B2-BRK-G0</x:v>
      </x:c>
      <x:c r="C1012" s="9" t="str">
        <x:v>AR-HU-A-B-TECH-4-B2-BRK-G0</x:v>
      </x:c>
      <x:c r="D1012" s="9" t="str">
        <x:v>HU-A-B-TECH-4</x:v>
      </x:c>
      <x:c r="E1012" s="9" t="str">
        <x:v>HU-A-B</x:v>
      </x:c>
      <x:c r="F1012" s="9" t="str">
        <x:v>B2</x:v>
      </x:c>
      <x:c r="G1012" s="9" t="str">
        <x:v>BRK</x:v>
      </x:c>
      <x:c r="H1012" s="9" t="str">
        <x:v>IV07</x:v>
      </x:c>
      <x:c r="I1012" s="17" t="str">
        <x:v>No outcome selection</x:v>
      </x:c>
      <x:c r="J1012" s="17" t="str">
        <x:v>petition rule and evidence scope were fixed before visibility</x:v>
      </x:c>
      <x:c r="K1012" s="17" t="str">
        <x:v>Conflict registrar</x:v>
      </x:c>
      <x:c r="L1012" s="9" t="n">
        <x:v>0</x:v>
      </x:c>
      <x:c r="M1012" s="9" t="n">
        <x:v>0</x:v>
      </x:c>
      <x:c r="N1012" s="9" t="str">
        <x:v>UNFILED / UNPROVEN</x:v>
      </x:c>
      <x:c r="O1012" s="9" t="n">
        <x:f>COUNTIFS($A$7:$A$1302,A1012)</x:f>
        <x:v>1</x:v>
      </x:c>
    </x:row>
    <x:row r="1013">
      <x:c r="A1013" s="9" t="str">
        <x:v>EV-AR-HU-A-B-TECH-4-B2-BRK-G0-IV08</x:v>
      </x:c>
      <x:c r="B1013" s="9" t="str">
        <x:v>EV-AR-HU-A-B-TECH-4-B2-BRK-G0</x:v>
      </x:c>
      <x:c r="C1013" s="9" t="str">
        <x:v>AR-HU-A-B-TECH-4-B2-BRK-G0</x:v>
      </x:c>
      <x:c r="D1013" s="9" t="str">
        <x:v>HU-A-B-TECH-4</x:v>
      </x:c>
      <x:c r="E1013" s="9" t="str">
        <x:v>HU-A-B</x:v>
      </x:c>
      <x:c r="F1013" s="9" t="str">
        <x:v>B2</x:v>
      </x:c>
      <x:c r="G1013" s="9" t="str">
        <x:v>BRK</x:v>
      </x:c>
      <x:c r="H1013" s="9" t="str">
        <x:v>IV08</x:v>
      </x:c>
      <x:c r="I1013" s="17" t="str">
        <x:v>Whole-record preservation</x:v>
      </x:c>
      <x:c r="J1013" s="17" t="str">
        <x:v>start, raw behavior, dissent and intervention remain in archive</x:v>
      </x:c>
      <x:c r="K1013" s="17" t="str">
        <x:v>Archive authority</x:v>
      </x:c>
      <x:c r="L1013" s="9" t="n">
        <x:v>0</x:v>
      </x:c>
      <x:c r="M1013" s="9" t="n">
        <x:v>0</x:v>
      </x:c>
      <x:c r="N1013" s="9" t="str">
        <x:v>UNFILED / UNPROVEN</x:v>
      </x:c>
      <x:c r="O1013" s="9" t="n">
        <x:f>COUNTIFS($A$7:$A$1302,A1013)</x:f>
        <x:v>1</x:v>
      </x:c>
    </x:row>
    <x:row r="1014">
      <x:c r="A1014" s="9" t="str">
        <x:v>EV-AR-HU-A-B-TECH-4-B2-BRK-G0-IV09</x:v>
      </x:c>
      <x:c r="B1014" s="9" t="str">
        <x:v>EV-AR-HU-A-B-TECH-4-B2-BRK-G0</x:v>
      </x:c>
      <x:c r="C1014" s="9" t="str">
        <x:v>AR-HU-A-B-TECH-4-B2-BRK-G0</x:v>
      </x:c>
      <x:c r="D1014" s="9" t="str">
        <x:v>HU-A-B-TECH-4</x:v>
      </x:c>
      <x:c r="E1014" s="9" t="str">
        <x:v>HU-A-B</x:v>
      </x:c>
      <x:c r="F1014" s="9" t="str">
        <x:v>B2</x:v>
      </x:c>
      <x:c r="G1014" s="9" t="str">
        <x:v>BRK</x:v>
      </x:c>
      <x:c r="H1014" s="9" t="str">
        <x:v>IV09</x:v>
      </x:c>
      <x:c r="I1014" s="17" t="str">
        <x:v>Bounded remedy</x:v>
      </x:c>
      <x:c r="J1014" s="17" t="str">
        <x:v>only a new slot and EOW may follow; no favorable credit or erased attempt</x:v>
      </x:c>
      <x:c r="K1014" s="17" t="str">
        <x:v>Invalidity court</x:v>
      </x:c>
      <x:c r="L1014" s="9" t="n">
        <x:v>0</x:v>
      </x:c>
      <x:c r="M1014" s="9" t="n">
        <x:v>0</x:v>
      </x:c>
      <x:c r="N1014" s="9" t="str">
        <x:v>UNFILED / UNPROVEN</x:v>
      </x:c>
      <x:c r="O1014" s="9" t="n">
        <x:f>COUNTIFS($A$7:$A$1302,A1014)</x:f>
        <x:v>1</x:v>
      </x:c>
    </x:row>
    <x:row r="1015">
      <x:c r="A1015" s="9" t="str">
        <x:v>EV-AR-RT-B-C-TECH-4-B1-BRK-G0-IV01</x:v>
      </x:c>
      <x:c r="B1015" s="9" t="str">
        <x:v>EV-AR-RT-B-C-TECH-4-B1-BRK-G0</x:v>
      </x:c>
      <x:c r="C1015" s="9" t="str">
        <x:v>AR-RT-B-C-TECH-4-B1-BRK-G0</x:v>
      </x:c>
      <x:c r="D1015" s="9" t="str">
        <x:v>RT-B-C-TECH-4</x:v>
      </x:c>
      <x:c r="E1015" s="9" t="str">
        <x:v>RT-B-C</x:v>
      </x:c>
      <x:c r="F1015" s="9" t="str">
        <x:v>B1</x:v>
      </x:c>
      <x:c r="G1015" s="9" t="str">
        <x:v>BRK</x:v>
      </x:c>
      <x:c r="H1015" s="9" t="str">
        <x:v>IV01</x:v>
      </x:c>
      <x:c r="I1015" s="17" t="str">
        <x:v>Timely petition</x:v>
      </x:c>
      <x:c r="J1015" s="17" t="str">
        <x:v>petition enters within seventy-two hours of event close</x:v>
      </x:c>
      <x:c r="K1015" s="17" t="str">
        <x:v>Invalidity registrar</x:v>
      </x:c>
      <x:c r="L1015" s="9" t="n">
        <x:v>0</x:v>
      </x:c>
      <x:c r="M1015" s="9" t="n">
        <x:v>0</x:v>
      </x:c>
      <x:c r="N1015" s="9" t="str">
        <x:v>UNFILED / UNPROVEN</x:v>
      </x:c>
      <x:c r="O1015" s="9" t="n">
        <x:f>COUNTIFS($A$7:$A$1302,A1015)</x:f>
        <x:v>1</x:v>
      </x:c>
    </x:row>
    <x:row r="1016">
      <x:c r="A1016" s="9" t="str">
        <x:v>EV-AR-RT-B-C-TECH-4-B1-BRK-G0-IV02</x:v>
      </x:c>
      <x:c r="B1016" s="9" t="str">
        <x:v>EV-AR-RT-B-C-TECH-4-B1-BRK-G0</x:v>
      </x:c>
      <x:c r="C1016" s="9" t="str">
        <x:v>AR-RT-B-C-TECH-4-B1-BRK-G0</x:v>
      </x:c>
      <x:c r="D1016" s="9" t="str">
        <x:v>RT-B-C-TECH-4</x:v>
      </x:c>
      <x:c r="E1016" s="9" t="str">
        <x:v>RT-B-C</x:v>
      </x:c>
      <x:c r="F1016" s="9" t="str">
        <x:v>B1</x:v>
      </x:c>
      <x:c r="G1016" s="9" t="str">
        <x:v>BRK</x:v>
      </x:c>
      <x:c r="H1016" s="9" t="str">
        <x:v>IV02</x:v>
      </x:c>
      <x:c r="I1016" s="17" t="str">
        <x:v>Named facility cause</x:v>
      </x:c>
      <x:c r="J1016" s="17" t="str">
        <x:v>one pre-registered noncandidate cause is identified</x:v>
      </x:c>
      <x:c r="K1016" s="17" t="str">
        <x:v>Facility-cause court</x:v>
      </x:c>
      <x:c r="L1016" s="9" t="n">
        <x:v>0</x:v>
      </x:c>
      <x:c r="M1016" s="9" t="n">
        <x:v>0</x:v>
      </x:c>
      <x:c r="N1016" s="9" t="str">
        <x:v>UNFILED / UNPROVEN</x:v>
      </x:c>
      <x:c r="O1016" s="9" t="n">
        <x:f>COUNTIFS($A$7:$A$1302,A1016)</x:f>
        <x:v>1</x:v>
      </x:c>
    </x:row>
    <x:row r="1017">
      <x:c r="A1017" s="9" t="str">
        <x:v>EV-AR-RT-B-C-TECH-4-B1-BRK-G0-IV03</x:v>
      </x:c>
      <x:c r="B1017" s="9" t="str">
        <x:v>EV-AR-RT-B-C-TECH-4-B1-BRK-G0</x:v>
      </x:c>
      <x:c r="C1017" s="9" t="str">
        <x:v>AR-RT-B-C-TECH-4-B1-BRK-G0</x:v>
      </x:c>
      <x:c r="D1017" s="9" t="str">
        <x:v>RT-B-C-TECH-4</x:v>
      </x:c>
      <x:c r="E1017" s="9" t="str">
        <x:v>RT-B-C</x:v>
      </x:c>
      <x:c r="F1017" s="9" t="str">
        <x:v>B1</x:v>
      </x:c>
      <x:c r="G1017" s="9" t="str">
        <x:v>BRK</x:v>
      </x:c>
      <x:c r="H1017" s="9" t="str">
        <x:v>IV03</x:v>
      </x:c>
      <x:c r="I1017" s="17" t="str">
        <x:v>Temporal priority</x:v>
      </x:c>
      <x:c r="J1017" s="17" t="str">
        <x:v>cause demonstrably precedes the disputed candidate behavior</x:v>
      </x:c>
      <x:c r="K1017" s="17" t="str">
        <x:v>Time authority</x:v>
      </x:c>
      <x:c r="L1017" s="9" t="n">
        <x:v>0</x:v>
      </x:c>
      <x:c r="M1017" s="9" t="n">
        <x:v>0</x:v>
      </x:c>
      <x:c r="N1017" s="9" t="str">
        <x:v>UNFILED / UNPROVEN</x:v>
      </x:c>
      <x:c r="O1017" s="9" t="n">
        <x:f>COUNTIFS($A$7:$A$1302,A1017)</x:f>
        <x:v>1</x:v>
      </x:c>
    </x:row>
    <x:row r="1018">
      <x:c r="A1018" s="9" t="str">
        <x:v>EV-AR-RT-B-C-TECH-4-B1-BRK-G0-IV04</x:v>
      </x:c>
      <x:c r="B1018" s="9" t="str">
        <x:v>EV-AR-RT-B-C-TECH-4-B1-BRK-G0</x:v>
      </x:c>
      <x:c r="C1018" s="9" t="str">
        <x:v>AR-RT-B-C-TECH-4-B1-BRK-G0</x:v>
      </x:c>
      <x:c r="D1018" s="9" t="str">
        <x:v>RT-B-C-TECH-4</x:v>
      </x:c>
      <x:c r="E1018" s="9" t="str">
        <x:v>RT-B-C</x:v>
      </x:c>
      <x:c r="F1018" s="9" t="str">
        <x:v>B1</x:v>
      </x:c>
      <x:c r="G1018" s="9" t="str">
        <x:v>BRK</x:v>
      </x:c>
      <x:c r="H1018" s="9" t="str">
        <x:v>IV04</x:v>
      </x:c>
      <x:c r="I1018" s="17" t="str">
        <x:v>Independent trace</x:v>
      </x:c>
      <x:c r="J1018" s="17" t="str">
        <x:v>two unlike records carry the cause without candidate custody</x:v>
      </x:c>
      <x:c r="K1018" s="17" t="str">
        <x:v>Invalidity court</x:v>
      </x:c>
      <x:c r="L1018" s="9" t="n">
        <x:v>0</x:v>
      </x:c>
      <x:c r="M1018" s="9" t="n">
        <x:v>0</x:v>
      </x:c>
      <x:c r="N1018" s="9" t="str">
        <x:v>UNFILED / UNPROVEN</x:v>
      </x:c>
      <x:c r="O1018" s="9" t="n">
        <x:f>COUNTIFS($A$7:$A$1302,A1018)</x:f>
        <x:v>1</x:v>
      </x:c>
    </x:row>
    <x:row r="1019">
      <x:c r="A1019" s="9" t="str">
        <x:v>EV-AR-RT-B-C-TECH-4-B1-BRK-G0-IV05</x:v>
      </x:c>
      <x:c r="B1019" s="9" t="str">
        <x:v>EV-AR-RT-B-C-TECH-4-B1-BRK-G0</x:v>
      </x:c>
      <x:c r="C1019" s="9" t="str">
        <x:v>AR-RT-B-C-TECH-4-B1-BRK-G0</x:v>
      </x:c>
      <x:c r="D1019" s="9" t="str">
        <x:v>RT-B-C-TECH-4</x:v>
      </x:c>
      <x:c r="E1019" s="9" t="str">
        <x:v>RT-B-C</x:v>
      </x:c>
      <x:c r="F1019" s="9" t="str">
        <x:v>B1</x:v>
      </x:c>
      <x:c r="G1019" s="9" t="str">
        <x:v>BRK</x:v>
      </x:c>
      <x:c r="H1019" s="9" t="str">
        <x:v>IV05</x:v>
      </x:c>
      <x:c r="I1019" s="17" t="str">
        <x:v>Causal counterfactual</x:v>
      </x:c>
      <x:c r="J1019" s="17" t="str">
        <x:v>registered counterfactual shows the cause can create the defect</x:v>
      </x:c>
      <x:c r="K1019" s="17" t="str">
        <x:v>Causal court</x:v>
      </x:c>
      <x:c r="L1019" s="9" t="n">
        <x:v>0</x:v>
      </x:c>
      <x:c r="M1019" s="9" t="n">
        <x:v>0</x:v>
      </x:c>
      <x:c r="N1019" s="9" t="str">
        <x:v>UNFILED / UNPROVEN</x:v>
      </x:c>
      <x:c r="O1019" s="9" t="n">
        <x:f>COUNTIFS($A$7:$A$1302,A1019)</x:f>
        <x:v>1</x:v>
      </x:c>
    </x:row>
    <x:row r="1020">
      <x:c r="A1020" s="9" t="str">
        <x:v>EV-AR-RT-B-C-TECH-4-B1-BRK-G0-IV06</x:v>
      </x:c>
      <x:c r="B1020" s="9" t="str">
        <x:v>EV-AR-RT-B-C-TECH-4-B1-BRK-G0</x:v>
      </x:c>
      <x:c r="C1020" s="9" t="str">
        <x:v>AR-RT-B-C-TECH-4-B1-BRK-G0</x:v>
      </x:c>
      <x:c r="D1020" s="9" t="str">
        <x:v>RT-B-C-TECH-4</x:v>
      </x:c>
      <x:c r="E1020" s="9" t="str">
        <x:v>RT-B-C</x:v>
      </x:c>
      <x:c r="F1020" s="9" t="str">
        <x:v>B1</x:v>
      </x:c>
      <x:c r="G1020" s="9" t="str">
        <x:v>BRK</x:v>
      </x:c>
      <x:c r="H1020" s="9" t="str">
        <x:v>IV06</x:v>
      </x:c>
      <x:c r="I1020" s="17" t="str">
        <x:v>Candidate non-causation</x:v>
      </x:c>
      <x:c r="J1020" s="17" t="str">
        <x:v>evidence excludes candidate induction of the facility condition</x:v>
      </x:c>
      <x:c r="K1020" s="17" t="str">
        <x:v>Causal court</x:v>
      </x:c>
      <x:c r="L1020" s="9" t="n">
        <x:v>0</x:v>
      </x:c>
      <x:c r="M1020" s="9" t="n">
        <x:v>0</x:v>
      </x:c>
      <x:c r="N1020" s="9" t="str">
        <x:v>UNFILED / UNPROVEN</x:v>
      </x:c>
      <x:c r="O1020" s="9" t="n">
        <x:f>COUNTIFS($A$7:$A$1302,A1020)</x:f>
        <x:v>1</x:v>
      </x:c>
    </x:row>
    <x:row r="1021">
      <x:c r="A1021" s="9" t="str">
        <x:v>EV-AR-RT-B-C-TECH-4-B1-BRK-G0-IV07</x:v>
      </x:c>
      <x:c r="B1021" s="9" t="str">
        <x:v>EV-AR-RT-B-C-TECH-4-B1-BRK-G0</x:v>
      </x:c>
      <x:c r="C1021" s="9" t="str">
        <x:v>AR-RT-B-C-TECH-4-B1-BRK-G0</x:v>
      </x:c>
      <x:c r="D1021" s="9" t="str">
        <x:v>RT-B-C-TECH-4</x:v>
      </x:c>
      <x:c r="E1021" s="9" t="str">
        <x:v>RT-B-C</x:v>
      </x:c>
      <x:c r="F1021" s="9" t="str">
        <x:v>B1</x:v>
      </x:c>
      <x:c r="G1021" s="9" t="str">
        <x:v>BRK</x:v>
      </x:c>
      <x:c r="H1021" s="9" t="str">
        <x:v>IV07</x:v>
      </x:c>
      <x:c r="I1021" s="17" t="str">
        <x:v>No outcome selection</x:v>
      </x:c>
      <x:c r="J1021" s="17" t="str">
        <x:v>petition rule and evidence scope were fixed before visibility</x:v>
      </x:c>
      <x:c r="K1021" s="17" t="str">
        <x:v>Conflict registrar</x:v>
      </x:c>
      <x:c r="L1021" s="9" t="n">
        <x:v>0</x:v>
      </x:c>
      <x:c r="M1021" s="9" t="n">
        <x:v>0</x:v>
      </x:c>
      <x:c r="N1021" s="9" t="str">
        <x:v>UNFILED / UNPROVEN</x:v>
      </x:c>
      <x:c r="O1021" s="9" t="n">
        <x:f>COUNTIFS($A$7:$A$1302,A1021)</x:f>
        <x:v>1</x:v>
      </x:c>
    </x:row>
    <x:row r="1022">
      <x:c r="A1022" s="9" t="str">
        <x:v>EV-AR-RT-B-C-TECH-4-B1-BRK-G0-IV08</x:v>
      </x:c>
      <x:c r="B1022" s="9" t="str">
        <x:v>EV-AR-RT-B-C-TECH-4-B1-BRK-G0</x:v>
      </x:c>
      <x:c r="C1022" s="9" t="str">
        <x:v>AR-RT-B-C-TECH-4-B1-BRK-G0</x:v>
      </x:c>
      <x:c r="D1022" s="9" t="str">
        <x:v>RT-B-C-TECH-4</x:v>
      </x:c>
      <x:c r="E1022" s="9" t="str">
        <x:v>RT-B-C</x:v>
      </x:c>
      <x:c r="F1022" s="9" t="str">
        <x:v>B1</x:v>
      </x:c>
      <x:c r="G1022" s="9" t="str">
        <x:v>BRK</x:v>
      </x:c>
      <x:c r="H1022" s="9" t="str">
        <x:v>IV08</x:v>
      </x:c>
      <x:c r="I1022" s="17" t="str">
        <x:v>Whole-record preservation</x:v>
      </x:c>
      <x:c r="J1022" s="17" t="str">
        <x:v>start, raw behavior, dissent and intervention remain in archive</x:v>
      </x:c>
      <x:c r="K1022" s="17" t="str">
        <x:v>Archive authority</x:v>
      </x:c>
      <x:c r="L1022" s="9" t="n">
        <x:v>0</x:v>
      </x:c>
      <x:c r="M1022" s="9" t="n">
        <x:v>0</x:v>
      </x:c>
      <x:c r="N1022" s="9" t="str">
        <x:v>UNFILED / UNPROVEN</x:v>
      </x:c>
      <x:c r="O1022" s="9" t="n">
        <x:f>COUNTIFS($A$7:$A$1302,A1022)</x:f>
        <x:v>1</x:v>
      </x:c>
    </x:row>
    <x:row r="1023">
      <x:c r="A1023" s="9" t="str">
        <x:v>EV-AR-RT-B-C-TECH-4-B1-BRK-G0-IV09</x:v>
      </x:c>
      <x:c r="B1023" s="9" t="str">
        <x:v>EV-AR-RT-B-C-TECH-4-B1-BRK-G0</x:v>
      </x:c>
      <x:c r="C1023" s="9" t="str">
        <x:v>AR-RT-B-C-TECH-4-B1-BRK-G0</x:v>
      </x:c>
      <x:c r="D1023" s="9" t="str">
        <x:v>RT-B-C-TECH-4</x:v>
      </x:c>
      <x:c r="E1023" s="9" t="str">
        <x:v>RT-B-C</x:v>
      </x:c>
      <x:c r="F1023" s="9" t="str">
        <x:v>B1</x:v>
      </x:c>
      <x:c r="G1023" s="9" t="str">
        <x:v>BRK</x:v>
      </x:c>
      <x:c r="H1023" s="9" t="str">
        <x:v>IV09</x:v>
      </x:c>
      <x:c r="I1023" s="17" t="str">
        <x:v>Bounded remedy</x:v>
      </x:c>
      <x:c r="J1023" s="17" t="str">
        <x:v>only a new slot and EOW may follow; no favorable credit or erased attempt</x:v>
      </x:c>
      <x:c r="K1023" s="17" t="str">
        <x:v>Invalidity court</x:v>
      </x:c>
      <x:c r="L1023" s="9" t="n">
        <x:v>0</x:v>
      </x:c>
      <x:c r="M1023" s="9" t="n">
        <x:v>0</x:v>
      </x:c>
      <x:c r="N1023" s="9" t="str">
        <x:v>UNFILED / UNPROVEN</x:v>
      </x:c>
      <x:c r="O1023" s="9" t="n">
        <x:f>COUNTIFS($A$7:$A$1302,A1023)</x:f>
        <x:v>1</x:v>
      </x:c>
    </x:row>
    <x:row r="1024">
      <x:c r="A1024" s="9" t="str">
        <x:v>EV-AR-RT-B-C-TECH-3-B2-BRK-G0-IV01</x:v>
      </x:c>
      <x:c r="B1024" s="9" t="str">
        <x:v>EV-AR-RT-B-C-TECH-3-B2-BRK-G0</x:v>
      </x:c>
      <x:c r="C1024" s="9" t="str">
        <x:v>AR-RT-B-C-TECH-3-B2-BRK-G0</x:v>
      </x:c>
      <x:c r="D1024" s="9" t="str">
        <x:v>RT-B-C-TECH-3</x:v>
      </x:c>
      <x:c r="E1024" s="9" t="str">
        <x:v>RT-B-C</x:v>
      </x:c>
      <x:c r="F1024" s="9" t="str">
        <x:v>B2</x:v>
      </x:c>
      <x:c r="G1024" s="9" t="str">
        <x:v>BRK</x:v>
      </x:c>
      <x:c r="H1024" s="9" t="str">
        <x:v>IV01</x:v>
      </x:c>
      <x:c r="I1024" s="17" t="str">
        <x:v>Timely petition</x:v>
      </x:c>
      <x:c r="J1024" s="17" t="str">
        <x:v>petition enters within seventy-two hours of event close</x:v>
      </x:c>
      <x:c r="K1024" s="17" t="str">
        <x:v>Invalidity registrar</x:v>
      </x:c>
      <x:c r="L1024" s="9" t="n">
        <x:v>0</x:v>
      </x:c>
      <x:c r="M1024" s="9" t="n">
        <x:v>0</x:v>
      </x:c>
      <x:c r="N1024" s="9" t="str">
        <x:v>UNFILED / UNPROVEN</x:v>
      </x:c>
      <x:c r="O1024" s="9" t="n">
        <x:f>COUNTIFS($A$7:$A$1302,A1024)</x:f>
        <x:v>1</x:v>
      </x:c>
    </x:row>
    <x:row r="1025">
      <x:c r="A1025" s="9" t="str">
        <x:v>EV-AR-RT-B-C-TECH-3-B2-BRK-G0-IV02</x:v>
      </x:c>
      <x:c r="B1025" s="9" t="str">
        <x:v>EV-AR-RT-B-C-TECH-3-B2-BRK-G0</x:v>
      </x:c>
      <x:c r="C1025" s="9" t="str">
        <x:v>AR-RT-B-C-TECH-3-B2-BRK-G0</x:v>
      </x:c>
      <x:c r="D1025" s="9" t="str">
        <x:v>RT-B-C-TECH-3</x:v>
      </x:c>
      <x:c r="E1025" s="9" t="str">
        <x:v>RT-B-C</x:v>
      </x:c>
      <x:c r="F1025" s="9" t="str">
        <x:v>B2</x:v>
      </x:c>
      <x:c r="G1025" s="9" t="str">
        <x:v>BRK</x:v>
      </x:c>
      <x:c r="H1025" s="9" t="str">
        <x:v>IV02</x:v>
      </x:c>
      <x:c r="I1025" s="17" t="str">
        <x:v>Named facility cause</x:v>
      </x:c>
      <x:c r="J1025" s="17" t="str">
        <x:v>one pre-registered noncandidate cause is identified</x:v>
      </x:c>
      <x:c r="K1025" s="17" t="str">
        <x:v>Facility-cause court</x:v>
      </x:c>
      <x:c r="L1025" s="9" t="n">
        <x:v>0</x:v>
      </x:c>
      <x:c r="M1025" s="9" t="n">
        <x:v>0</x:v>
      </x:c>
      <x:c r="N1025" s="9" t="str">
        <x:v>UNFILED / UNPROVEN</x:v>
      </x:c>
      <x:c r="O1025" s="9" t="n">
        <x:f>COUNTIFS($A$7:$A$1302,A1025)</x:f>
        <x:v>1</x:v>
      </x:c>
    </x:row>
    <x:row r="1026">
      <x:c r="A1026" s="9" t="str">
        <x:v>EV-AR-RT-B-C-TECH-3-B2-BRK-G0-IV03</x:v>
      </x:c>
      <x:c r="B1026" s="9" t="str">
        <x:v>EV-AR-RT-B-C-TECH-3-B2-BRK-G0</x:v>
      </x:c>
      <x:c r="C1026" s="9" t="str">
        <x:v>AR-RT-B-C-TECH-3-B2-BRK-G0</x:v>
      </x:c>
      <x:c r="D1026" s="9" t="str">
        <x:v>RT-B-C-TECH-3</x:v>
      </x:c>
      <x:c r="E1026" s="9" t="str">
        <x:v>RT-B-C</x:v>
      </x:c>
      <x:c r="F1026" s="9" t="str">
        <x:v>B2</x:v>
      </x:c>
      <x:c r="G1026" s="9" t="str">
        <x:v>BRK</x:v>
      </x:c>
      <x:c r="H1026" s="9" t="str">
        <x:v>IV03</x:v>
      </x:c>
      <x:c r="I1026" s="17" t="str">
        <x:v>Temporal priority</x:v>
      </x:c>
      <x:c r="J1026" s="17" t="str">
        <x:v>cause demonstrably precedes the disputed candidate behavior</x:v>
      </x:c>
      <x:c r="K1026" s="17" t="str">
        <x:v>Time authority</x:v>
      </x:c>
      <x:c r="L1026" s="9" t="n">
        <x:v>0</x:v>
      </x:c>
      <x:c r="M1026" s="9" t="n">
        <x:v>0</x:v>
      </x:c>
      <x:c r="N1026" s="9" t="str">
        <x:v>UNFILED / UNPROVEN</x:v>
      </x:c>
      <x:c r="O1026" s="9" t="n">
        <x:f>COUNTIFS($A$7:$A$1302,A1026)</x:f>
        <x:v>1</x:v>
      </x:c>
    </x:row>
    <x:row r="1027">
      <x:c r="A1027" s="9" t="str">
        <x:v>EV-AR-RT-B-C-TECH-3-B2-BRK-G0-IV04</x:v>
      </x:c>
      <x:c r="B1027" s="9" t="str">
        <x:v>EV-AR-RT-B-C-TECH-3-B2-BRK-G0</x:v>
      </x:c>
      <x:c r="C1027" s="9" t="str">
        <x:v>AR-RT-B-C-TECH-3-B2-BRK-G0</x:v>
      </x:c>
      <x:c r="D1027" s="9" t="str">
        <x:v>RT-B-C-TECH-3</x:v>
      </x:c>
      <x:c r="E1027" s="9" t="str">
        <x:v>RT-B-C</x:v>
      </x:c>
      <x:c r="F1027" s="9" t="str">
        <x:v>B2</x:v>
      </x:c>
      <x:c r="G1027" s="9" t="str">
        <x:v>BRK</x:v>
      </x:c>
      <x:c r="H1027" s="9" t="str">
        <x:v>IV04</x:v>
      </x:c>
      <x:c r="I1027" s="17" t="str">
        <x:v>Independent trace</x:v>
      </x:c>
      <x:c r="J1027" s="17" t="str">
        <x:v>two unlike records carry the cause without candidate custody</x:v>
      </x:c>
      <x:c r="K1027" s="17" t="str">
        <x:v>Invalidity court</x:v>
      </x:c>
      <x:c r="L1027" s="9" t="n">
        <x:v>0</x:v>
      </x:c>
      <x:c r="M1027" s="9" t="n">
        <x:v>0</x:v>
      </x:c>
      <x:c r="N1027" s="9" t="str">
        <x:v>UNFILED / UNPROVEN</x:v>
      </x:c>
      <x:c r="O1027" s="9" t="n">
        <x:f>COUNTIFS($A$7:$A$1302,A1027)</x:f>
        <x:v>1</x:v>
      </x:c>
    </x:row>
    <x:row r="1028">
      <x:c r="A1028" s="9" t="str">
        <x:v>EV-AR-RT-B-C-TECH-3-B2-BRK-G0-IV05</x:v>
      </x:c>
      <x:c r="B1028" s="9" t="str">
        <x:v>EV-AR-RT-B-C-TECH-3-B2-BRK-G0</x:v>
      </x:c>
      <x:c r="C1028" s="9" t="str">
        <x:v>AR-RT-B-C-TECH-3-B2-BRK-G0</x:v>
      </x:c>
      <x:c r="D1028" s="9" t="str">
        <x:v>RT-B-C-TECH-3</x:v>
      </x:c>
      <x:c r="E1028" s="9" t="str">
        <x:v>RT-B-C</x:v>
      </x:c>
      <x:c r="F1028" s="9" t="str">
        <x:v>B2</x:v>
      </x:c>
      <x:c r="G1028" s="9" t="str">
        <x:v>BRK</x:v>
      </x:c>
      <x:c r="H1028" s="9" t="str">
        <x:v>IV05</x:v>
      </x:c>
      <x:c r="I1028" s="17" t="str">
        <x:v>Causal counterfactual</x:v>
      </x:c>
      <x:c r="J1028" s="17" t="str">
        <x:v>registered counterfactual shows the cause can create the defect</x:v>
      </x:c>
      <x:c r="K1028" s="17" t="str">
        <x:v>Causal court</x:v>
      </x:c>
      <x:c r="L1028" s="9" t="n">
        <x:v>0</x:v>
      </x:c>
      <x:c r="M1028" s="9" t="n">
        <x:v>0</x:v>
      </x:c>
      <x:c r="N1028" s="9" t="str">
        <x:v>UNFILED / UNPROVEN</x:v>
      </x:c>
      <x:c r="O1028" s="9" t="n">
        <x:f>COUNTIFS($A$7:$A$1302,A1028)</x:f>
        <x:v>1</x:v>
      </x:c>
    </x:row>
    <x:row r="1029">
      <x:c r="A1029" s="9" t="str">
        <x:v>EV-AR-RT-B-C-TECH-3-B2-BRK-G0-IV06</x:v>
      </x:c>
      <x:c r="B1029" s="9" t="str">
        <x:v>EV-AR-RT-B-C-TECH-3-B2-BRK-G0</x:v>
      </x:c>
      <x:c r="C1029" s="9" t="str">
        <x:v>AR-RT-B-C-TECH-3-B2-BRK-G0</x:v>
      </x:c>
      <x:c r="D1029" s="9" t="str">
        <x:v>RT-B-C-TECH-3</x:v>
      </x:c>
      <x:c r="E1029" s="9" t="str">
        <x:v>RT-B-C</x:v>
      </x:c>
      <x:c r="F1029" s="9" t="str">
        <x:v>B2</x:v>
      </x:c>
      <x:c r="G1029" s="9" t="str">
        <x:v>BRK</x:v>
      </x:c>
      <x:c r="H1029" s="9" t="str">
        <x:v>IV06</x:v>
      </x:c>
      <x:c r="I1029" s="17" t="str">
        <x:v>Candidate non-causation</x:v>
      </x:c>
      <x:c r="J1029" s="17" t="str">
        <x:v>evidence excludes candidate induction of the facility condition</x:v>
      </x:c>
      <x:c r="K1029" s="17" t="str">
        <x:v>Causal court</x:v>
      </x:c>
      <x:c r="L1029" s="9" t="n">
        <x:v>0</x:v>
      </x:c>
      <x:c r="M1029" s="9" t="n">
        <x:v>0</x:v>
      </x:c>
      <x:c r="N1029" s="9" t="str">
        <x:v>UNFILED / UNPROVEN</x:v>
      </x:c>
      <x:c r="O1029" s="9" t="n">
        <x:f>COUNTIFS($A$7:$A$1302,A1029)</x:f>
        <x:v>1</x:v>
      </x:c>
    </x:row>
    <x:row r="1030">
      <x:c r="A1030" s="9" t="str">
        <x:v>EV-AR-RT-B-C-TECH-3-B2-BRK-G0-IV07</x:v>
      </x:c>
      <x:c r="B1030" s="9" t="str">
        <x:v>EV-AR-RT-B-C-TECH-3-B2-BRK-G0</x:v>
      </x:c>
      <x:c r="C1030" s="9" t="str">
        <x:v>AR-RT-B-C-TECH-3-B2-BRK-G0</x:v>
      </x:c>
      <x:c r="D1030" s="9" t="str">
        <x:v>RT-B-C-TECH-3</x:v>
      </x:c>
      <x:c r="E1030" s="9" t="str">
        <x:v>RT-B-C</x:v>
      </x:c>
      <x:c r="F1030" s="9" t="str">
        <x:v>B2</x:v>
      </x:c>
      <x:c r="G1030" s="9" t="str">
        <x:v>BRK</x:v>
      </x:c>
      <x:c r="H1030" s="9" t="str">
        <x:v>IV07</x:v>
      </x:c>
      <x:c r="I1030" s="17" t="str">
        <x:v>No outcome selection</x:v>
      </x:c>
      <x:c r="J1030" s="17" t="str">
        <x:v>petition rule and evidence scope were fixed before visibility</x:v>
      </x:c>
      <x:c r="K1030" s="17" t="str">
        <x:v>Conflict registrar</x:v>
      </x:c>
      <x:c r="L1030" s="9" t="n">
        <x:v>0</x:v>
      </x:c>
      <x:c r="M1030" s="9" t="n">
        <x:v>0</x:v>
      </x:c>
      <x:c r="N1030" s="9" t="str">
        <x:v>UNFILED / UNPROVEN</x:v>
      </x:c>
      <x:c r="O1030" s="9" t="n">
        <x:f>COUNTIFS($A$7:$A$1302,A1030)</x:f>
        <x:v>1</x:v>
      </x:c>
    </x:row>
    <x:row r="1031">
      <x:c r="A1031" s="9" t="str">
        <x:v>EV-AR-RT-B-C-TECH-3-B2-BRK-G0-IV08</x:v>
      </x:c>
      <x:c r="B1031" s="9" t="str">
        <x:v>EV-AR-RT-B-C-TECH-3-B2-BRK-G0</x:v>
      </x:c>
      <x:c r="C1031" s="9" t="str">
        <x:v>AR-RT-B-C-TECH-3-B2-BRK-G0</x:v>
      </x:c>
      <x:c r="D1031" s="9" t="str">
        <x:v>RT-B-C-TECH-3</x:v>
      </x:c>
      <x:c r="E1031" s="9" t="str">
        <x:v>RT-B-C</x:v>
      </x:c>
      <x:c r="F1031" s="9" t="str">
        <x:v>B2</x:v>
      </x:c>
      <x:c r="G1031" s="9" t="str">
        <x:v>BRK</x:v>
      </x:c>
      <x:c r="H1031" s="9" t="str">
        <x:v>IV08</x:v>
      </x:c>
      <x:c r="I1031" s="17" t="str">
        <x:v>Whole-record preservation</x:v>
      </x:c>
      <x:c r="J1031" s="17" t="str">
        <x:v>start, raw behavior, dissent and intervention remain in archive</x:v>
      </x:c>
      <x:c r="K1031" s="17" t="str">
        <x:v>Archive authority</x:v>
      </x:c>
      <x:c r="L1031" s="9" t="n">
        <x:v>0</x:v>
      </x:c>
      <x:c r="M1031" s="9" t="n">
        <x:v>0</x:v>
      </x:c>
      <x:c r="N1031" s="9" t="str">
        <x:v>UNFILED / UNPROVEN</x:v>
      </x:c>
      <x:c r="O1031" s="9" t="n">
        <x:f>COUNTIFS($A$7:$A$1302,A1031)</x:f>
        <x:v>1</x:v>
      </x:c>
    </x:row>
    <x:row r="1032">
      <x:c r="A1032" s="9" t="str">
        <x:v>EV-AR-RT-B-C-TECH-3-B2-BRK-G0-IV09</x:v>
      </x:c>
      <x:c r="B1032" s="9" t="str">
        <x:v>EV-AR-RT-B-C-TECH-3-B2-BRK-G0</x:v>
      </x:c>
      <x:c r="C1032" s="9" t="str">
        <x:v>AR-RT-B-C-TECH-3-B2-BRK-G0</x:v>
      </x:c>
      <x:c r="D1032" s="9" t="str">
        <x:v>RT-B-C-TECH-3</x:v>
      </x:c>
      <x:c r="E1032" s="9" t="str">
        <x:v>RT-B-C</x:v>
      </x:c>
      <x:c r="F1032" s="9" t="str">
        <x:v>B2</x:v>
      </x:c>
      <x:c r="G1032" s="9" t="str">
        <x:v>BRK</x:v>
      </x:c>
      <x:c r="H1032" s="9" t="str">
        <x:v>IV09</x:v>
      </x:c>
      <x:c r="I1032" s="17" t="str">
        <x:v>Bounded remedy</x:v>
      </x:c>
      <x:c r="J1032" s="17" t="str">
        <x:v>only a new slot and EOW may follow; no favorable credit or erased attempt</x:v>
      </x:c>
      <x:c r="K1032" s="17" t="str">
        <x:v>Invalidity court</x:v>
      </x:c>
      <x:c r="L1032" s="9" t="n">
        <x:v>0</x:v>
      </x:c>
      <x:c r="M1032" s="9" t="n">
        <x:v>0</x:v>
      </x:c>
      <x:c r="N1032" s="9" t="str">
        <x:v>UNFILED / UNPROVEN</x:v>
      </x:c>
      <x:c r="O1032" s="9" t="n">
        <x:f>COUNTIFS($A$7:$A$1302,A1032)</x:f>
        <x:v>1</x:v>
      </x:c>
    </x:row>
    <x:row r="1033">
      <x:c r="A1033" s="9" t="str">
        <x:v>EV-AR-CT-C-B-TECH-1-B2-BRK-G0-IV01</x:v>
      </x:c>
      <x:c r="B1033" s="9" t="str">
        <x:v>EV-AR-CT-C-B-TECH-1-B2-BRK-G0</x:v>
      </x:c>
      <x:c r="C1033" s="9" t="str">
        <x:v>AR-CT-C-B-TECH-1-B2-BRK-G0</x:v>
      </x:c>
      <x:c r="D1033" s="9" t="str">
        <x:v>CT-C-B-TECH-1</x:v>
      </x:c>
      <x:c r="E1033" s="9" t="str">
        <x:v>CT-C-B</x:v>
      </x:c>
      <x:c r="F1033" s="9" t="str">
        <x:v>B2</x:v>
      </x:c>
      <x:c r="G1033" s="9" t="str">
        <x:v>BRK</x:v>
      </x:c>
      <x:c r="H1033" s="9" t="str">
        <x:v>IV01</x:v>
      </x:c>
      <x:c r="I1033" s="17" t="str">
        <x:v>Timely petition</x:v>
      </x:c>
      <x:c r="J1033" s="17" t="str">
        <x:v>petition enters within seventy-two hours of event close</x:v>
      </x:c>
      <x:c r="K1033" s="17" t="str">
        <x:v>Invalidity registrar</x:v>
      </x:c>
      <x:c r="L1033" s="9" t="n">
        <x:v>0</x:v>
      </x:c>
      <x:c r="M1033" s="9" t="n">
        <x:v>0</x:v>
      </x:c>
      <x:c r="N1033" s="9" t="str">
        <x:v>UNFILED / UNPROVEN</x:v>
      </x:c>
      <x:c r="O1033" s="9" t="n">
        <x:f>COUNTIFS($A$7:$A$1302,A1033)</x:f>
        <x:v>1</x:v>
      </x:c>
    </x:row>
    <x:row r="1034">
      <x:c r="A1034" s="9" t="str">
        <x:v>EV-AR-CT-C-B-TECH-1-B2-BRK-G0-IV02</x:v>
      </x:c>
      <x:c r="B1034" s="9" t="str">
        <x:v>EV-AR-CT-C-B-TECH-1-B2-BRK-G0</x:v>
      </x:c>
      <x:c r="C1034" s="9" t="str">
        <x:v>AR-CT-C-B-TECH-1-B2-BRK-G0</x:v>
      </x:c>
      <x:c r="D1034" s="9" t="str">
        <x:v>CT-C-B-TECH-1</x:v>
      </x:c>
      <x:c r="E1034" s="9" t="str">
        <x:v>CT-C-B</x:v>
      </x:c>
      <x:c r="F1034" s="9" t="str">
        <x:v>B2</x:v>
      </x:c>
      <x:c r="G1034" s="9" t="str">
        <x:v>BRK</x:v>
      </x:c>
      <x:c r="H1034" s="9" t="str">
        <x:v>IV02</x:v>
      </x:c>
      <x:c r="I1034" s="17" t="str">
        <x:v>Named facility cause</x:v>
      </x:c>
      <x:c r="J1034" s="17" t="str">
        <x:v>one pre-registered noncandidate cause is identified</x:v>
      </x:c>
      <x:c r="K1034" s="17" t="str">
        <x:v>Facility-cause court</x:v>
      </x:c>
      <x:c r="L1034" s="9" t="n">
        <x:v>0</x:v>
      </x:c>
      <x:c r="M1034" s="9" t="n">
        <x:v>0</x:v>
      </x:c>
      <x:c r="N1034" s="9" t="str">
        <x:v>UNFILED / UNPROVEN</x:v>
      </x:c>
      <x:c r="O1034" s="9" t="n">
        <x:f>COUNTIFS($A$7:$A$1302,A1034)</x:f>
        <x:v>1</x:v>
      </x:c>
    </x:row>
    <x:row r="1035">
      <x:c r="A1035" s="9" t="str">
        <x:v>EV-AR-CT-C-B-TECH-1-B2-BRK-G0-IV03</x:v>
      </x:c>
      <x:c r="B1035" s="9" t="str">
        <x:v>EV-AR-CT-C-B-TECH-1-B2-BRK-G0</x:v>
      </x:c>
      <x:c r="C1035" s="9" t="str">
        <x:v>AR-CT-C-B-TECH-1-B2-BRK-G0</x:v>
      </x:c>
      <x:c r="D1035" s="9" t="str">
        <x:v>CT-C-B-TECH-1</x:v>
      </x:c>
      <x:c r="E1035" s="9" t="str">
        <x:v>CT-C-B</x:v>
      </x:c>
      <x:c r="F1035" s="9" t="str">
        <x:v>B2</x:v>
      </x:c>
      <x:c r="G1035" s="9" t="str">
        <x:v>BRK</x:v>
      </x:c>
      <x:c r="H1035" s="9" t="str">
        <x:v>IV03</x:v>
      </x:c>
      <x:c r="I1035" s="17" t="str">
        <x:v>Temporal priority</x:v>
      </x:c>
      <x:c r="J1035" s="17" t="str">
        <x:v>cause demonstrably precedes the disputed candidate behavior</x:v>
      </x:c>
      <x:c r="K1035" s="17" t="str">
        <x:v>Time authority</x:v>
      </x:c>
      <x:c r="L1035" s="9" t="n">
        <x:v>0</x:v>
      </x:c>
      <x:c r="M1035" s="9" t="n">
        <x:v>0</x:v>
      </x:c>
      <x:c r="N1035" s="9" t="str">
        <x:v>UNFILED / UNPROVEN</x:v>
      </x:c>
      <x:c r="O1035" s="9" t="n">
        <x:f>COUNTIFS($A$7:$A$1302,A1035)</x:f>
        <x:v>1</x:v>
      </x:c>
    </x:row>
    <x:row r="1036">
      <x:c r="A1036" s="9" t="str">
        <x:v>EV-AR-CT-C-B-TECH-1-B2-BRK-G0-IV04</x:v>
      </x:c>
      <x:c r="B1036" s="9" t="str">
        <x:v>EV-AR-CT-C-B-TECH-1-B2-BRK-G0</x:v>
      </x:c>
      <x:c r="C1036" s="9" t="str">
        <x:v>AR-CT-C-B-TECH-1-B2-BRK-G0</x:v>
      </x:c>
      <x:c r="D1036" s="9" t="str">
        <x:v>CT-C-B-TECH-1</x:v>
      </x:c>
      <x:c r="E1036" s="9" t="str">
        <x:v>CT-C-B</x:v>
      </x:c>
      <x:c r="F1036" s="9" t="str">
        <x:v>B2</x:v>
      </x:c>
      <x:c r="G1036" s="9" t="str">
        <x:v>BRK</x:v>
      </x:c>
      <x:c r="H1036" s="9" t="str">
        <x:v>IV04</x:v>
      </x:c>
      <x:c r="I1036" s="17" t="str">
        <x:v>Independent trace</x:v>
      </x:c>
      <x:c r="J1036" s="17" t="str">
        <x:v>two unlike records carry the cause without candidate custody</x:v>
      </x:c>
      <x:c r="K1036" s="17" t="str">
        <x:v>Invalidity court</x:v>
      </x:c>
      <x:c r="L1036" s="9" t="n">
        <x:v>0</x:v>
      </x:c>
      <x:c r="M1036" s="9" t="n">
        <x:v>0</x:v>
      </x:c>
      <x:c r="N1036" s="9" t="str">
        <x:v>UNFILED / UNPROVEN</x:v>
      </x:c>
      <x:c r="O1036" s="9" t="n">
        <x:f>COUNTIFS($A$7:$A$1302,A1036)</x:f>
        <x:v>1</x:v>
      </x:c>
    </x:row>
    <x:row r="1037">
      <x:c r="A1037" s="9" t="str">
        <x:v>EV-AR-CT-C-B-TECH-1-B2-BRK-G0-IV05</x:v>
      </x:c>
      <x:c r="B1037" s="9" t="str">
        <x:v>EV-AR-CT-C-B-TECH-1-B2-BRK-G0</x:v>
      </x:c>
      <x:c r="C1037" s="9" t="str">
        <x:v>AR-CT-C-B-TECH-1-B2-BRK-G0</x:v>
      </x:c>
      <x:c r="D1037" s="9" t="str">
        <x:v>CT-C-B-TECH-1</x:v>
      </x:c>
      <x:c r="E1037" s="9" t="str">
        <x:v>CT-C-B</x:v>
      </x:c>
      <x:c r="F1037" s="9" t="str">
        <x:v>B2</x:v>
      </x:c>
      <x:c r="G1037" s="9" t="str">
        <x:v>BRK</x:v>
      </x:c>
      <x:c r="H1037" s="9" t="str">
        <x:v>IV05</x:v>
      </x:c>
      <x:c r="I1037" s="17" t="str">
        <x:v>Causal counterfactual</x:v>
      </x:c>
      <x:c r="J1037" s="17" t="str">
        <x:v>registered counterfactual shows the cause can create the defect</x:v>
      </x:c>
      <x:c r="K1037" s="17" t="str">
        <x:v>Causal court</x:v>
      </x:c>
      <x:c r="L1037" s="9" t="n">
        <x:v>0</x:v>
      </x:c>
      <x:c r="M1037" s="9" t="n">
        <x:v>0</x:v>
      </x:c>
      <x:c r="N1037" s="9" t="str">
        <x:v>UNFILED / UNPROVEN</x:v>
      </x:c>
      <x:c r="O1037" s="9" t="n">
        <x:f>COUNTIFS($A$7:$A$1302,A1037)</x:f>
        <x:v>1</x:v>
      </x:c>
    </x:row>
    <x:row r="1038">
      <x:c r="A1038" s="9" t="str">
        <x:v>EV-AR-CT-C-B-TECH-1-B2-BRK-G0-IV06</x:v>
      </x:c>
      <x:c r="B1038" s="9" t="str">
        <x:v>EV-AR-CT-C-B-TECH-1-B2-BRK-G0</x:v>
      </x:c>
      <x:c r="C1038" s="9" t="str">
        <x:v>AR-CT-C-B-TECH-1-B2-BRK-G0</x:v>
      </x:c>
      <x:c r="D1038" s="9" t="str">
        <x:v>CT-C-B-TECH-1</x:v>
      </x:c>
      <x:c r="E1038" s="9" t="str">
        <x:v>CT-C-B</x:v>
      </x:c>
      <x:c r="F1038" s="9" t="str">
        <x:v>B2</x:v>
      </x:c>
      <x:c r="G1038" s="9" t="str">
        <x:v>BRK</x:v>
      </x:c>
      <x:c r="H1038" s="9" t="str">
        <x:v>IV06</x:v>
      </x:c>
      <x:c r="I1038" s="17" t="str">
        <x:v>Candidate non-causation</x:v>
      </x:c>
      <x:c r="J1038" s="17" t="str">
        <x:v>evidence excludes candidate induction of the facility condition</x:v>
      </x:c>
      <x:c r="K1038" s="17" t="str">
        <x:v>Causal court</x:v>
      </x:c>
      <x:c r="L1038" s="9" t="n">
        <x:v>0</x:v>
      </x:c>
      <x:c r="M1038" s="9" t="n">
        <x:v>0</x:v>
      </x:c>
      <x:c r="N1038" s="9" t="str">
        <x:v>UNFILED / UNPROVEN</x:v>
      </x:c>
      <x:c r="O1038" s="9" t="n">
        <x:f>COUNTIFS($A$7:$A$1302,A1038)</x:f>
        <x:v>1</x:v>
      </x:c>
    </x:row>
    <x:row r="1039">
      <x:c r="A1039" s="9" t="str">
        <x:v>EV-AR-CT-C-B-TECH-1-B2-BRK-G0-IV07</x:v>
      </x:c>
      <x:c r="B1039" s="9" t="str">
        <x:v>EV-AR-CT-C-B-TECH-1-B2-BRK-G0</x:v>
      </x:c>
      <x:c r="C1039" s="9" t="str">
        <x:v>AR-CT-C-B-TECH-1-B2-BRK-G0</x:v>
      </x:c>
      <x:c r="D1039" s="9" t="str">
        <x:v>CT-C-B-TECH-1</x:v>
      </x:c>
      <x:c r="E1039" s="9" t="str">
        <x:v>CT-C-B</x:v>
      </x:c>
      <x:c r="F1039" s="9" t="str">
        <x:v>B2</x:v>
      </x:c>
      <x:c r="G1039" s="9" t="str">
        <x:v>BRK</x:v>
      </x:c>
      <x:c r="H1039" s="9" t="str">
        <x:v>IV07</x:v>
      </x:c>
      <x:c r="I1039" s="17" t="str">
        <x:v>No outcome selection</x:v>
      </x:c>
      <x:c r="J1039" s="17" t="str">
        <x:v>petition rule and evidence scope were fixed before visibility</x:v>
      </x:c>
      <x:c r="K1039" s="17" t="str">
        <x:v>Conflict registrar</x:v>
      </x:c>
      <x:c r="L1039" s="9" t="n">
        <x:v>0</x:v>
      </x:c>
      <x:c r="M1039" s="9" t="n">
        <x:v>0</x:v>
      </x:c>
      <x:c r="N1039" s="9" t="str">
        <x:v>UNFILED / UNPROVEN</x:v>
      </x:c>
      <x:c r="O1039" s="9" t="n">
        <x:f>COUNTIFS($A$7:$A$1302,A1039)</x:f>
        <x:v>1</x:v>
      </x:c>
    </x:row>
    <x:row r="1040">
      <x:c r="A1040" s="9" t="str">
        <x:v>EV-AR-CT-C-B-TECH-1-B2-BRK-G0-IV08</x:v>
      </x:c>
      <x:c r="B1040" s="9" t="str">
        <x:v>EV-AR-CT-C-B-TECH-1-B2-BRK-G0</x:v>
      </x:c>
      <x:c r="C1040" s="9" t="str">
        <x:v>AR-CT-C-B-TECH-1-B2-BRK-G0</x:v>
      </x:c>
      <x:c r="D1040" s="9" t="str">
        <x:v>CT-C-B-TECH-1</x:v>
      </x:c>
      <x:c r="E1040" s="9" t="str">
        <x:v>CT-C-B</x:v>
      </x:c>
      <x:c r="F1040" s="9" t="str">
        <x:v>B2</x:v>
      </x:c>
      <x:c r="G1040" s="9" t="str">
        <x:v>BRK</x:v>
      </x:c>
      <x:c r="H1040" s="9" t="str">
        <x:v>IV08</x:v>
      </x:c>
      <x:c r="I1040" s="17" t="str">
        <x:v>Whole-record preservation</x:v>
      </x:c>
      <x:c r="J1040" s="17" t="str">
        <x:v>start, raw behavior, dissent and intervention remain in archive</x:v>
      </x:c>
      <x:c r="K1040" s="17" t="str">
        <x:v>Archive authority</x:v>
      </x:c>
      <x:c r="L1040" s="9" t="n">
        <x:v>0</x:v>
      </x:c>
      <x:c r="M1040" s="9" t="n">
        <x:v>0</x:v>
      </x:c>
      <x:c r="N1040" s="9" t="str">
        <x:v>UNFILED / UNPROVEN</x:v>
      </x:c>
      <x:c r="O1040" s="9" t="n">
        <x:f>COUNTIFS($A$7:$A$1302,A1040)</x:f>
        <x:v>1</x:v>
      </x:c>
    </x:row>
    <x:row r="1041">
      <x:c r="A1041" s="9" t="str">
        <x:v>EV-AR-CT-C-B-TECH-1-B2-BRK-G0-IV09</x:v>
      </x:c>
      <x:c r="B1041" s="9" t="str">
        <x:v>EV-AR-CT-C-B-TECH-1-B2-BRK-G0</x:v>
      </x:c>
      <x:c r="C1041" s="9" t="str">
        <x:v>AR-CT-C-B-TECH-1-B2-BRK-G0</x:v>
      </x:c>
      <x:c r="D1041" s="9" t="str">
        <x:v>CT-C-B-TECH-1</x:v>
      </x:c>
      <x:c r="E1041" s="9" t="str">
        <x:v>CT-C-B</x:v>
      </x:c>
      <x:c r="F1041" s="9" t="str">
        <x:v>B2</x:v>
      </x:c>
      <x:c r="G1041" s="9" t="str">
        <x:v>BRK</x:v>
      </x:c>
      <x:c r="H1041" s="9" t="str">
        <x:v>IV09</x:v>
      </x:c>
      <x:c r="I1041" s="17" t="str">
        <x:v>Bounded remedy</x:v>
      </x:c>
      <x:c r="J1041" s="17" t="str">
        <x:v>only a new slot and EOW may follow; no favorable credit or erased attempt</x:v>
      </x:c>
      <x:c r="K1041" s="17" t="str">
        <x:v>Invalidity court</x:v>
      </x:c>
      <x:c r="L1041" s="9" t="n">
        <x:v>0</x:v>
      </x:c>
      <x:c r="M1041" s="9" t="n">
        <x:v>0</x:v>
      </x:c>
      <x:c r="N1041" s="9" t="str">
        <x:v>UNFILED / UNPROVEN</x:v>
      </x:c>
      <x:c r="O1041" s="9" t="n">
        <x:f>COUNTIFS($A$7:$A$1302,A1041)</x:f>
        <x:v>1</x:v>
      </x:c>
    </x:row>
    <x:row r="1042">
      <x:c r="A1042" s="9" t="str">
        <x:v>EV-AR-ET-A-A-TECH-2-B2-BRK-G0-IV01</x:v>
      </x:c>
      <x:c r="B1042" s="9" t="str">
        <x:v>EV-AR-ET-A-A-TECH-2-B2-BRK-G0</x:v>
      </x:c>
      <x:c r="C1042" s="9" t="str">
        <x:v>AR-ET-A-A-TECH-2-B2-BRK-G0</x:v>
      </x:c>
      <x:c r="D1042" s="9" t="str">
        <x:v>ET-A-A-TECH-2</x:v>
      </x:c>
      <x:c r="E1042" s="9" t="str">
        <x:v>ET-A-A</x:v>
      </x:c>
      <x:c r="F1042" s="9" t="str">
        <x:v>B2</x:v>
      </x:c>
      <x:c r="G1042" s="9" t="str">
        <x:v>BRK</x:v>
      </x:c>
      <x:c r="H1042" s="9" t="str">
        <x:v>IV01</x:v>
      </x:c>
      <x:c r="I1042" s="17" t="str">
        <x:v>Timely petition</x:v>
      </x:c>
      <x:c r="J1042" s="17" t="str">
        <x:v>petition enters within seventy-two hours of event close</x:v>
      </x:c>
      <x:c r="K1042" s="17" t="str">
        <x:v>Invalidity registrar</x:v>
      </x:c>
      <x:c r="L1042" s="9" t="n">
        <x:v>0</x:v>
      </x:c>
      <x:c r="M1042" s="9" t="n">
        <x:v>0</x:v>
      </x:c>
      <x:c r="N1042" s="9" t="str">
        <x:v>UNFILED / UNPROVEN</x:v>
      </x:c>
      <x:c r="O1042" s="9" t="n">
        <x:f>COUNTIFS($A$7:$A$1302,A1042)</x:f>
        <x:v>1</x:v>
      </x:c>
    </x:row>
    <x:row r="1043">
      <x:c r="A1043" s="9" t="str">
        <x:v>EV-AR-ET-A-A-TECH-2-B2-BRK-G0-IV02</x:v>
      </x:c>
      <x:c r="B1043" s="9" t="str">
        <x:v>EV-AR-ET-A-A-TECH-2-B2-BRK-G0</x:v>
      </x:c>
      <x:c r="C1043" s="9" t="str">
        <x:v>AR-ET-A-A-TECH-2-B2-BRK-G0</x:v>
      </x:c>
      <x:c r="D1043" s="9" t="str">
        <x:v>ET-A-A-TECH-2</x:v>
      </x:c>
      <x:c r="E1043" s="9" t="str">
        <x:v>ET-A-A</x:v>
      </x:c>
      <x:c r="F1043" s="9" t="str">
        <x:v>B2</x:v>
      </x:c>
      <x:c r="G1043" s="9" t="str">
        <x:v>BRK</x:v>
      </x:c>
      <x:c r="H1043" s="9" t="str">
        <x:v>IV02</x:v>
      </x:c>
      <x:c r="I1043" s="17" t="str">
        <x:v>Named facility cause</x:v>
      </x:c>
      <x:c r="J1043" s="17" t="str">
        <x:v>one pre-registered noncandidate cause is identified</x:v>
      </x:c>
      <x:c r="K1043" s="17" t="str">
        <x:v>Facility-cause court</x:v>
      </x:c>
      <x:c r="L1043" s="9" t="n">
        <x:v>0</x:v>
      </x:c>
      <x:c r="M1043" s="9" t="n">
        <x:v>0</x:v>
      </x:c>
      <x:c r="N1043" s="9" t="str">
        <x:v>UNFILED / UNPROVEN</x:v>
      </x:c>
      <x:c r="O1043" s="9" t="n">
        <x:f>COUNTIFS($A$7:$A$1302,A1043)</x:f>
        <x:v>1</x:v>
      </x:c>
    </x:row>
    <x:row r="1044">
      <x:c r="A1044" s="9" t="str">
        <x:v>EV-AR-ET-A-A-TECH-2-B2-BRK-G0-IV03</x:v>
      </x:c>
      <x:c r="B1044" s="9" t="str">
        <x:v>EV-AR-ET-A-A-TECH-2-B2-BRK-G0</x:v>
      </x:c>
      <x:c r="C1044" s="9" t="str">
        <x:v>AR-ET-A-A-TECH-2-B2-BRK-G0</x:v>
      </x:c>
      <x:c r="D1044" s="9" t="str">
        <x:v>ET-A-A-TECH-2</x:v>
      </x:c>
      <x:c r="E1044" s="9" t="str">
        <x:v>ET-A-A</x:v>
      </x:c>
      <x:c r="F1044" s="9" t="str">
        <x:v>B2</x:v>
      </x:c>
      <x:c r="G1044" s="9" t="str">
        <x:v>BRK</x:v>
      </x:c>
      <x:c r="H1044" s="9" t="str">
        <x:v>IV03</x:v>
      </x:c>
      <x:c r="I1044" s="17" t="str">
        <x:v>Temporal priority</x:v>
      </x:c>
      <x:c r="J1044" s="17" t="str">
        <x:v>cause demonstrably precedes the disputed candidate behavior</x:v>
      </x:c>
      <x:c r="K1044" s="17" t="str">
        <x:v>Time authority</x:v>
      </x:c>
      <x:c r="L1044" s="9" t="n">
        <x:v>0</x:v>
      </x:c>
      <x:c r="M1044" s="9" t="n">
        <x:v>0</x:v>
      </x:c>
      <x:c r="N1044" s="9" t="str">
        <x:v>UNFILED / UNPROVEN</x:v>
      </x:c>
      <x:c r="O1044" s="9" t="n">
        <x:f>COUNTIFS($A$7:$A$1302,A1044)</x:f>
        <x:v>1</x:v>
      </x:c>
    </x:row>
    <x:row r="1045">
      <x:c r="A1045" s="9" t="str">
        <x:v>EV-AR-ET-A-A-TECH-2-B2-BRK-G0-IV04</x:v>
      </x:c>
      <x:c r="B1045" s="9" t="str">
        <x:v>EV-AR-ET-A-A-TECH-2-B2-BRK-G0</x:v>
      </x:c>
      <x:c r="C1045" s="9" t="str">
        <x:v>AR-ET-A-A-TECH-2-B2-BRK-G0</x:v>
      </x:c>
      <x:c r="D1045" s="9" t="str">
        <x:v>ET-A-A-TECH-2</x:v>
      </x:c>
      <x:c r="E1045" s="9" t="str">
        <x:v>ET-A-A</x:v>
      </x:c>
      <x:c r="F1045" s="9" t="str">
        <x:v>B2</x:v>
      </x:c>
      <x:c r="G1045" s="9" t="str">
        <x:v>BRK</x:v>
      </x:c>
      <x:c r="H1045" s="9" t="str">
        <x:v>IV04</x:v>
      </x:c>
      <x:c r="I1045" s="17" t="str">
        <x:v>Independent trace</x:v>
      </x:c>
      <x:c r="J1045" s="17" t="str">
        <x:v>two unlike records carry the cause without candidate custody</x:v>
      </x:c>
      <x:c r="K1045" s="17" t="str">
        <x:v>Invalidity court</x:v>
      </x:c>
      <x:c r="L1045" s="9" t="n">
        <x:v>0</x:v>
      </x:c>
      <x:c r="M1045" s="9" t="n">
        <x:v>0</x:v>
      </x:c>
      <x:c r="N1045" s="9" t="str">
        <x:v>UNFILED / UNPROVEN</x:v>
      </x:c>
      <x:c r="O1045" s="9" t="n">
        <x:f>COUNTIFS($A$7:$A$1302,A1045)</x:f>
        <x:v>1</x:v>
      </x:c>
    </x:row>
    <x:row r="1046">
      <x:c r="A1046" s="9" t="str">
        <x:v>EV-AR-ET-A-A-TECH-2-B2-BRK-G0-IV05</x:v>
      </x:c>
      <x:c r="B1046" s="9" t="str">
        <x:v>EV-AR-ET-A-A-TECH-2-B2-BRK-G0</x:v>
      </x:c>
      <x:c r="C1046" s="9" t="str">
        <x:v>AR-ET-A-A-TECH-2-B2-BRK-G0</x:v>
      </x:c>
      <x:c r="D1046" s="9" t="str">
        <x:v>ET-A-A-TECH-2</x:v>
      </x:c>
      <x:c r="E1046" s="9" t="str">
        <x:v>ET-A-A</x:v>
      </x:c>
      <x:c r="F1046" s="9" t="str">
        <x:v>B2</x:v>
      </x:c>
      <x:c r="G1046" s="9" t="str">
        <x:v>BRK</x:v>
      </x:c>
      <x:c r="H1046" s="9" t="str">
        <x:v>IV05</x:v>
      </x:c>
      <x:c r="I1046" s="17" t="str">
        <x:v>Causal counterfactual</x:v>
      </x:c>
      <x:c r="J1046" s="17" t="str">
        <x:v>registered counterfactual shows the cause can create the defect</x:v>
      </x:c>
      <x:c r="K1046" s="17" t="str">
        <x:v>Causal court</x:v>
      </x:c>
      <x:c r="L1046" s="9" t="n">
        <x:v>0</x:v>
      </x:c>
      <x:c r="M1046" s="9" t="n">
        <x:v>0</x:v>
      </x:c>
      <x:c r="N1046" s="9" t="str">
        <x:v>UNFILED / UNPROVEN</x:v>
      </x:c>
      <x:c r="O1046" s="9" t="n">
        <x:f>COUNTIFS($A$7:$A$1302,A1046)</x:f>
        <x:v>1</x:v>
      </x:c>
    </x:row>
    <x:row r="1047">
      <x:c r="A1047" s="9" t="str">
        <x:v>EV-AR-ET-A-A-TECH-2-B2-BRK-G0-IV06</x:v>
      </x:c>
      <x:c r="B1047" s="9" t="str">
        <x:v>EV-AR-ET-A-A-TECH-2-B2-BRK-G0</x:v>
      </x:c>
      <x:c r="C1047" s="9" t="str">
        <x:v>AR-ET-A-A-TECH-2-B2-BRK-G0</x:v>
      </x:c>
      <x:c r="D1047" s="9" t="str">
        <x:v>ET-A-A-TECH-2</x:v>
      </x:c>
      <x:c r="E1047" s="9" t="str">
        <x:v>ET-A-A</x:v>
      </x:c>
      <x:c r="F1047" s="9" t="str">
        <x:v>B2</x:v>
      </x:c>
      <x:c r="G1047" s="9" t="str">
        <x:v>BRK</x:v>
      </x:c>
      <x:c r="H1047" s="9" t="str">
        <x:v>IV06</x:v>
      </x:c>
      <x:c r="I1047" s="17" t="str">
        <x:v>Candidate non-causation</x:v>
      </x:c>
      <x:c r="J1047" s="17" t="str">
        <x:v>evidence excludes candidate induction of the facility condition</x:v>
      </x:c>
      <x:c r="K1047" s="17" t="str">
        <x:v>Causal court</x:v>
      </x:c>
      <x:c r="L1047" s="9" t="n">
        <x:v>0</x:v>
      </x:c>
      <x:c r="M1047" s="9" t="n">
        <x:v>0</x:v>
      </x:c>
      <x:c r="N1047" s="9" t="str">
        <x:v>UNFILED / UNPROVEN</x:v>
      </x:c>
      <x:c r="O1047" s="9" t="n">
        <x:f>COUNTIFS($A$7:$A$1302,A1047)</x:f>
        <x:v>1</x:v>
      </x:c>
    </x:row>
    <x:row r="1048">
      <x:c r="A1048" s="9" t="str">
        <x:v>EV-AR-ET-A-A-TECH-2-B2-BRK-G0-IV07</x:v>
      </x:c>
      <x:c r="B1048" s="9" t="str">
        <x:v>EV-AR-ET-A-A-TECH-2-B2-BRK-G0</x:v>
      </x:c>
      <x:c r="C1048" s="9" t="str">
        <x:v>AR-ET-A-A-TECH-2-B2-BRK-G0</x:v>
      </x:c>
      <x:c r="D1048" s="9" t="str">
        <x:v>ET-A-A-TECH-2</x:v>
      </x:c>
      <x:c r="E1048" s="9" t="str">
        <x:v>ET-A-A</x:v>
      </x:c>
      <x:c r="F1048" s="9" t="str">
        <x:v>B2</x:v>
      </x:c>
      <x:c r="G1048" s="9" t="str">
        <x:v>BRK</x:v>
      </x:c>
      <x:c r="H1048" s="9" t="str">
        <x:v>IV07</x:v>
      </x:c>
      <x:c r="I1048" s="17" t="str">
        <x:v>No outcome selection</x:v>
      </x:c>
      <x:c r="J1048" s="17" t="str">
        <x:v>petition rule and evidence scope were fixed before visibility</x:v>
      </x:c>
      <x:c r="K1048" s="17" t="str">
        <x:v>Conflict registrar</x:v>
      </x:c>
      <x:c r="L1048" s="9" t="n">
        <x:v>0</x:v>
      </x:c>
      <x:c r="M1048" s="9" t="n">
        <x:v>0</x:v>
      </x:c>
      <x:c r="N1048" s="9" t="str">
        <x:v>UNFILED / UNPROVEN</x:v>
      </x:c>
      <x:c r="O1048" s="9" t="n">
        <x:f>COUNTIFS($A$7:$A$1302,A1048)</x:f>
        <x:v>1</x:v>
      </x:c>
    </x:row>
    <x:row r="1049">
      <x:c r="A1049" s="9" t="str">
        <x:v>EV-AR-ET-A-A-TECH-2-B2-BRK-G0-IV08</x:v>
      </x:c>
      <x:c r="B1049" s="9" t="str">
        <x:v>EV-AR-ET-A-A-TECH-2-B2-BRK-G0</x:v>
      </x:c>
      <x:c r="C1049" s="9" t="str">
        <x:v>AR-ET-A-A-TECH-2-B2-BRK-G0</x:v>
      </x:c>
      <x:c r="D1049" s="9" t="str">
        <x:v>ET-A-A-TECH-2</x:v>
      </x:c>
      <x:c r="E1049" s="9" t="str">
        <x:v>ET-A-A</x:v>
      </x:c>
      <x:c r="F1049" s="9" t="str">
        <x:v>B2</x:v>
      </x:c>
      <x:c r="G1049" s="9" t="str">
        <x:v>BRK</x:v>
      </x:c>
      <x:c r="H1049" s="9" t="str">
        <x:v>IV08</x:v>
      </x:c>
      <x:c r="I1049" s="17" t="str">
        <x:v>Whole-record preservation</x:v>
      </x:c>
      <x:c r="J1049" s="17" t="str">
        <x:v>start, raw behavior, dissent and intervention remain in archive</x:v>
      </x:c>
      <x:c r="K1049" s="17" t="str">
        <x:v>Archive authority</x:v>
      </x:c>
      <x:c r="L1049" s="9" t="n">
        <x:v>0</x:v>
      </x:c>
      <x:c r="M1049" s="9" t="n">
        <x:v>0</x:v>
      </x:c>
      <x:c r="N1049" s="9" t="str">
        <x:v>UNFILED / UNPROVEN</x:v>
      </x:c>
      <x:c r="O1049" s="9" t="n">
        <x:f>COUNTIFS($A$7:$A$1302,A1049)</x:f>
        <x:v>1</x:v>
      </x:c>
    </x:row>
    <x:row r="1050">
      <x:c r="A1050" s="9" t="str">
        <x:v>EV-AR-ET-A-A-TECH-2-B2-BRK-G0-IV09</x:v>
      </x:c>
      <x:c r="B1050" s="9" t="str">
        <x:v>EV-AR-ET-A-A-TECH-2-B2-BRK-G0</x:v>
      </x:c>
      <x:c r="C1050" s="9" t="str">
        <x:v>AR-ET-A-A-TECH-2-B2-BRK-G0</x:v>
      </x:c>
      <x:c r="D1050" s="9" t="str">
        <x:v>ET-A-A-TECH-2</x:v>
      </x:c>
      <x:c r="E1050" s="9" t="str">
        <x:v>ET-A-A</x:v>
      </x:c>
      <x:c r="F1050" s="9" t="str">
        <x:v>B2</x:v>
      </x:c>
      <x:c r="G1050" s="9" t="str">
        <x:v>BRK</x:v>
      </x:c>
      <x:c r="H1050" s="9" t="str">
        <x:v>IV09</x:v>
      </x:c>
      <x:c r="I1050" s="17" t="str">
        <x:v>Bounded remedy</x:v>
      </x:c>
      <x:c r="J1050" s="17" t="str">
        <x:v>only a new slot and EOW may follow; no favorable credit or erased attempt</x:v>
      </x:c>
      <x:c r="K1050" s="17" t="str">
        <x:v>Invalidity court</x:v>
      </x:c>
      <x:c r="L1050" s="9" t="n">
        <x:v>0</x:v>
      </x:c>
      <x:c r="M1050" s="9" t="n">
        <x:v>0</x:v>
      </x:c>
      <x:c r="N1050" s="9" t="str">
        <x:v>UNFILED / UNPROVEN</x:v>
      </x:c>
      <x:c r="O1050" s="9" t="n">
        <x:f>COUNTIFS($A$7:$A$1302,A1050)</x:f>
        <x:v>1</x:v>
      </x:c>
    </x:row>
    <x:row r="1051">
      <x:c r="A1051" s="9" t="str">
        <x:v>EV-AR-HC-A-C-TECH-1-B1-BRK-G0-IV01</x:v>
      </x:c>
      <x:c r="B1051" s="9" t="str">
        <x:v>EV-AR-HC-A-C-TECH-1-B1-BRK-G0</x:v>
      </x:c>
      <x:c r="C1051" s="9" t="str">
        <x:v>AR-HC-A-C-TECH-1-B1-BRK-G0</x:v>
      </x:c>
      <x:c r="D1051" s="9" t="str">
        <x:v>HC-A-C-TECH-1</x:v>
      </x:c>
      <x:c r="E1051" s="9" t="str">
        <x:v>HC-A-C</x:v>
      </x:c>
      <x:c r="F1051" s="9" t="str">
        <x:v>B1</x:v>
      </x:c>
      <x:c r="G1051" s="9" t="str">
        <x:v>BRK</x:v>
      </x:c>
      <x:c r="H1051" s="9" t="str">
        <x:v>IV01</x:v>
      </x:c>
      <x:c r="I1051" s="17" t="str">
        <x:v>Timely petition</x:v>
      </x:c>
      <x:c r="J1051" s="17" t="str">
        <x:v>petition enters within seventy-two hours of event close</x:v>
      </x:c>
      <x:c r="K1051" s="17" t="str">
        <x:v>Invalidity registrar</x:v>
      </x:c>
      <x:c r="L1051" s="9" t="n">
        <x:v>0</x:v>
      </x:c>
      <x:c r="M1051" s="9" t="n">
        <x:v>0</x:v>
      </x:c>
      <x:c r="N1051" s="9" t="str">
        <x:v>UNFILED / UNPROVEN</x:v>
      </x:c>
      <x:c r="O1051" s="9" t="n">
        <x:f>COUNTIFS($A$7:$A$1302,A1051)</x:f>
        <x:v>1</x:v>
      </x:c>
    </x:row>
    <x:row r="1052">
      <x:c r="A1052" s="9" t="str">
        <x:v>EV-AR-HC-A-C-TECH-1-B1-BRK-G0-IV02</x:v>
      </x:c>
      <x:c r="B1052" s="9" t="str">
        <x:v>EV-AR-HC-A-C-TECH-1-B1-BRK-G0</x:v>
      </x:c>
      <x:c r="C1052" s="9" t="str">
        <x:v>AR-HC-A-C-TECH-1-B1-BRK-G0</x:v>
      </x:c>
      <x:c r="D1052" s="9" t="str">
        <x:v>HC-A-C-TECH-1</x:v>
      </x:c>
      <x:c r="E1052" s="9" t="str">
        <x:v>HC-A-C</x:v>
      </x:c>
      <x:c r="F1052" s="9" t="str">
        <x:v>B1</x:v>
      </x:c>
      <x:c r="G1052" s="9" t="str">
        <x:v>BRK</x:v>
      </x:c>
      <x:c r="H1052" s="9" t="str">
        <x:v>IV02</x:v>
      </x:c>
      <x:c r="I1052" s="17" t="str">
        <x:v>Named facility cause</x:v>
      </x:c>
      <x:c r="J1052" s="17" t="str">
        <x:v>one pre-registered noncandidate cause is identified</x:v>
      </x:c>
      <x:c r="K1052" s="17" t="str">
        <x:v>Facility-cause court</x:v>
      </x:c>
      <x:c r="L1052" s="9" t="n">
        <x:v>0</x:v>
      </x:c>
      <x:c r="M1052" s="9" t="n">
        <x:v>0</x:v>
      </x:c>
      <x:c r="N1052" s="9" t="str">
        <x:v>UNFILED / UNPROVEN</x:v>
      </x:c>
      <x:c r="O1052" s="9" t="n">
        <x:f>COUNTIFS($A$7:$A$1302,A1052)</x:f>
        <x:v>1</x:v>
      </x:c>
    </x:row>
    <x:row r="1053">
      <x:c r="A1053" s="9" t="str">
        <x:v>EV-AR-HC-A-C-TECH-1-B1-BRK-G0-IV03</x:v>
      </x:c>
      <x:c r="B1053" s="9" t="str">
        <x:v>EV-AR-HC-A-C-TECH-1-B1-BRK-G0</x:v>
      </x:c>
      <x:c r="C1053" s="9" t="str">
        <x:v>AR-HC-A-C-TECH-1-B1-BRK-G0</x:v>
      </x:c>
      <x:c r="D1053" s="9" t="str">
        <x:v>HC-A-C-TECH-1</x:v>
      </x:c>
      <x:c r="E1053" s="9" t="str">
        <x:v>HC-A-C</x:v>
      </x:c>
      <x:c r="F1053" s="9" t="str">
        <x:v>B1</x:v>
      </x:c>
      <x:c r="G1053" s="9" t="str">
        <x:v>BRK</x:v>
      </x:c>
      <x:c r="H1053" s="9" t="str">
        <x:v>IV03</x:v>
      </x:c>
      <x:c r="I1053" s="17" t="str">
        <x:v>Temporal priority</x:v>
      </x:c>
      <x:c r="J1053" s="17" t="str">
        <x:v>cause demonstrably precedes the disputed candidate behavior</x:v>
      </x:c>
      <x:c r="K1053" s="17" t="str">
        <x:v>Time authority</x:v>
      </x:c>
      <x:c r="L1053" s="9" t="n">
        <x:v>0</x:v>
      </x:c>
      <x:c r="M1053" s="9" t="n">
        <x:v>0</x:v>
      </x:c>
      <x:c r="N1053" s="9" t="str">
        <x:v>UNFILED / UNPROVEN</x:v>
      </x:c>
      <x:c r="O1053" s="9" t="n">
        <x:f>COUNTIFS($A$7:$A$1302,A1053)</x:f>
        <x:v>1</x:v>
      </x:c>
    </x:row>
    <x:row r="1054">
      <x:c r="A1054" s="9" t="str">
        <x:v>EV-AR-HC-A-C-TECH-1-B1-BRK-G0-IV04</x:v>
      </x:c>
      <x:c r="B1054" s="9" t="str">
        <x:v>EV-AR-HC-A-C-TECH-1-B1-BRK-G0</x:v>
      </x:c>
      <x:c r="C1054" s="9" t="str">
        <x:v>AR-HC-A-C-TECH-1-B1-BRK-G0</x:v>
      </x:c>
      <x:c r="D1054" s="9" t="str">
        <x:v>HC-A-C-TECH-1</x:v>
      </x:c>
      <x:c r="E1054" s="9" t="str">
        <x:v>HC-A-C</x:v>
      </x:c>
      <x:c r="F1054" s="9" t="str">
        <x:v>B1</x:v>
      </x:c>
      <x:c r="G1054" s="9" t="str">
        <x:v>BRK</x:v>
      </x:c>
      <x:c r="H1054" s="9" t="str">
        <x:v>IV04</x:v>
      </x:c>
      <x:c r="I1054" s="17" t="str">
        <x:v>Independent trace</x:v>
      </x:c>
      <x:c r="J1054" s="17" t="str">
        <x:v>two unlike records carry the cause without candidate custody</x:v>
      </x:c>
      <x:c r="K1054" s="17" t="str">
        <x:v>Invalidity court</x:v>
      </x:c>
      <x:c r="L1054" s="9" t="n">
        <x:v>0</x:v>
      </x:c>
      <x:c r="M1054" s="9" t="n">
        <x:v>0</x:v>
      </x:c>
      <x:c r="N1054" s="9" t="str">
        <x:v>UNFILED / UNPROVEN</x:v>
      </x:c>
      <x:c r="O1054" s="9" t="n">
        <x:f>COUNTIFS($A$7:$A$1302,A1054)</x:f>
        <x:v>1</x:v>
      </x:c>
    </x:row>
    <x:row r="1055">
      <x:c r="A1055" s="9" t="str">
        <x:v>EV-AR-HC-A-C-TECH-1-B1-BRK-G0-IV05</x:v>
      </x:c>
      <x:c r="B1055" s="9" t="str">
        <x:v>EV-AR-HC-A-C-TECH-1-B1-BRK-G0</x:v>
      </x:c>
      <x:c r="C1055" s="9" t="str">
        <x:v>AR-HC-A-C-TECH-1-B1-BRK-G0</x:v>
      </x:c>
      <x:c r="D1055" s="9" t="str">
        <x:v>HC-A-C-TECH-1</x:v>
      </x:c>
      <x:c r="E1055" s="9" t="str">
        <x:v>HC-A-C</x:v>
      </x:c>
      <x:c r="F1055" s="9" t="str">
        <x:v>B1</x:v>
      </x:c>
      <x:c r="G1055" s="9" t="str">
        <x:v>BRK</x:v>
      </x:c>
      <x:c r="H1055" s="9" t="str">
        <x:v>IV05</x:v>
      </x:c>
      <x:c r="I1055" s="17" t="str">
        <x:v>Causal counterfactual</x:v>
      </x:c>
      <x:c r="J1055" s="17" t="str">
        <x:v>registered counterfactual shows the cause can create the defect</x:v>
      </x:c>
      <x:c r="K1055" s="17" t="str">
        <x:v>Causal court</x:v>
      </x:c>
      <x:c r="L1055" s="9" t="n">
        <x:v>0</x:v>
      </x:c>
      <x:c r="M1055" s="9" t="n">
        <x:v>0</x:v>
      </x:c>
      <x:c r="N1055" s="9" t="str">
        <x:v>UNFILED / UNPROVEN</x:v>
      </x:c>
      <x:c r="O1055" s="9" t="n">
        <x:f>COUNTIFS($A$7:$A$1302,A1055)</x:f>
        <x:v>1</x:v>
      </x:c>
    </x:row>
    <x:row r="1056">
      <x:c r="A1056" s="9" t="str">
        <x:v>EV-AR-HC-A-C-TECH-1-B1-BRK-G0-IV06</x:v>
      </x:c>
      <x:c r="B1056" s="9" t="str">
        <x:v>EV-AR-HC-A-C-TECH-1-B1-BRK-G0</x:v>
      </x:c>
      <x:c r="C1056" s="9" t="str">
        <x:v>AR-HC-A-C-TECH-1-B1-BRK-G0</x:v>
      </x:c>
      <x:c r="D1056" s="9" t="str">
        <x:v>HC-A-C-TECH-1</x:v>
      </x:c>
      <x:c r="E1056" s="9" t="str">
        <x:v>HC-A-C</x:v>
      </x:c>
      <x:c r="F1056" s="9" t="str">
        <x:v>B1</x:v>
      </x:c>
      <x:c r="G1056" s="9" t="str">
        <x:v>BRK</x:v>
      </x:c>
      <x:c r="H1056" s="9" t="str">
        <x:v>IV06</x:v>
      </x:c>
      <x:c r="I1056" s="17" t="str">
        <x:v>Candidate non-causation</x:v>
      </x:c>
      <x:c r="J1056" s="17" t="str">
        <x:v>evidence excludes candidate induction of the facility condition</x:v>
      </x:c>
      <x:c r="K1056" s="17" t="str">
        <x:v>Causal court</x:v>
      </x:c>
      <x:c r="L1056" s="9" t="n">
        <x:v>0</x:v>
      </x:c>
      <x:c r="M1056" s="9" t="n">
        <x:v>0</x:v>
      </x:c>
      <x:c r="N1056" s="9" t="str">
        <x:v>UNFILED / UNPROVEN</x:v>
      </x:c>
      <x:c r="O1056" s="9" t="n">
        <x:f>COUNTIFS($A$7:$A$1302,A1056)</x:f>
        <x:v>1</x:v>
      </x:c>
    </x:row>
    <x:row r="1057">
      <x:c r="A1057" s="9" t="str">
        <x:v>EV-AR-HC-A-C-TECH-1-B1-BRK-G0-IV07</x:v>
      </x:c>
      <x:c r="B1057" s="9" t="str">
        <x:v>EV-AR-HC-A-C-TECH-1-B1-BRK-G0</x:v>
      </x:c>
      <x:c r="C1057" s="9" t="str">
        <x:v>AR-HC-A-C-TECH-1-B1-BRK-G0</x:v>
      </x:c>
      <x:c r="D1057" s="9" t="str">
        <x:v>HC-A-C-TECH-1</x:v>
      </x:c>
      <x:c r="E1057" s="9" t="str">
        <x:v>HC-A-C</x:v>
      </x:c>
      <x:c r="F1057" s="9" t="str">
        <x:v>B1</x:v>
      </x:c>
      <x:c r="G1057" s="9" t="str">
        <x:v>BRK</x:v>
      </x:c>
      <x:c r="H1057" s="9" t="str">
        <x:v>IV07</x:v>
      </x:c>
      <x:c r="I1057" s="17" t="str">
        <x:v>No outcome selection</x:v>
      </x:c>
      <x:c r="J1057" s="17" t="str">
        <x:v>petition rule and evidence scope were fixed before visibility</x:v>
      </x:c>
      <x:c r="K1057" s="17" t="str">
        <x:v>Conflict registrar</x:v>
      </x:c>
      <x:c r="L1057" s="9" t="n">
        <x:v>0</x:v>
      </x:c>
      <x:c r="M1057" s="9" t="n">
        <x:v>0</x:v>
      </x:c>
      <x:c r="N1057" s="9" t="str">
        <x:v>UNFILED / UNPROVEN</x:v>
      </x:c>
      <x:c r="O1057" s="9" t="n">
        <x:f>COUNTIFS($A$7:$A$1302,A1057)</x:f>
        <x:v>1</x:v>
      </x:c>
    </x:row>
    <x:row r="1058">
      <x:c r="A1058" s="9" t="str">
        <x:v>EV-AR-HC-A-C-TECH-1-B1-BRK-G0-IV08</x:v>
      </x:c>
      <x:c r="B1058" s="9" t="str">
        <x:v>EV-AR-HC-A-C-TECH-1-B1-BRK-G0</x:v>
      </x:c>
      <x:c r="C1058" s="9" t="str">
        <x:v>AR-HC-A-C-TECH-1-B1-BRK-G0</x:v>
      </x:c>
      <x:c r="D1058" s="9" t="str">
        <x:v>HC-A-C-TECH-1</x:v>
      </x:c>
      <x:c r="E1058" s="9" t="str">
        <x:v>HC-A-C</x:v>
      </x:c>
      <x:c r="F1058" s="9" t="str">
        <x:v>B1</x:v>
      </x:c>
      <x:c r="G1058" s="9" t="str">
        <x:v>BRK</x:v>
      </x:c>
      <x:c r="H1058" s="9" t="str">
        <x:v>IV08</x:v>
      </x:c>
      <x:c r="I1058" s="17" t="str">
        <x:v>Whole-record preservation</x:v>
      </x:c>
      <x:c r="J1058" s="17" t="str">
        <x:v>start, raw behavior, dissent and intervention remain in archive</x:v>
      </x:c>
      <x:c r="K1058" s="17" t="str">
        <x:v>Archive authority</x:v>
      </x:c>
      <x:c r="L1058" s="9" t="n">
        <x:v>0</x:v>
      </x:c>
      <x:c r="M1058" s="9" t="n">
        <x:v>0</x:v>
      </x:c>
      <x:c r="N1058" s="9" t="str">
        <x:v>UNFILED / UNPROVEN</x:v>
      </x:c>
      <x:c r="O1058" s="9" t="n">
        <x:f>COUNTIFS($A$7:$A$1302,A1058)</x:f>
        <x:v>1</x:v>
      </x:c>
    </x:row>
    <x:row r="1059">
      <x:c r="A1059" s="9" t="str">
        <x:v>EV-AR-HC-A-C-TECH-1-B1-BRK-G0-IV09</x:v>
      </x:c>
      <x:c r="B1059" s="9" t="str">
        <x:v>EV-AR-HC-A-C-TECH-1-B1-BRK-G0</x:v>
      </x:c>
      <x:c r="C1059" s="9" t="str">
        <x:v>AR-HC-A-C-TECH-1-B1-BRK-G0</x:v>
      </x:c>
      <x:c r="D1059" s="9" t="str">
        <x:v>HC-A-C-TECH-1</x:v>
      </x:c>
      <x:c r="E1059" s="9" t="str">
        <x:v>HC-A-C</x:v>
      </x:c>
      <x:c r="F1059" s="9" t="str">
        <x:v>B1</x:v>
      </x:c>
      <x:c r="G1059" s="9" t="str">
        <x:v>BRK</x:v>
      </x:c>
      <x:c r="H1059" s="9" t="str">
        <x:v>IV09</x:v>
      </x:c>
      <x:c r="I1059" s="17" t="str">
        <x:v>Bounded remedy</x:v>
      </x:c>
      <x:c r="J1059" s="17" t="str">
        <x:v>only a new slot and EOW may follow; no favorable credit or erased attempt</x:v>
      </x:c>
      <x:c r="K1059" s="17" t="str">
        <x:v>Invalidity court</x:v>
      </x:c>
      <x:c r="L1059" s="9" t="n">
        <x:v>0</x:v>
      </x:c>
      <x:c r="M1059" s="9" t="n">
        <x:v>0</x:v>
      </x:c>
      <x:c r="N1059" s="9" t="str">
        <x:v>UNFILED / UNPROVEN</x:v>
      </x:c>
      <x:c r="O1059" s="9" t="n">
        <x:f>COUNTIFS($A$7:$A$1302,A1059)</x:f>
        <x:v>1</x:v>
      </x:c>
    </x:row>
    <x:row r="1060">
      <x:c r="A1060" s="9" t="str">
        <x:v>EV-AR-HU-A-B-TECH-3-B1-RCN-G0-IV01</x:v>
      </x:c>
      <x:c r="B1060" s="9" t="str">
        <x:v>EV-AR-HU-A-B-TECH-3-B1-RCN-G0</x:v>
      </x:c>
      <x:c r="C1060" s="9" t="str">
        <x:v>AR-HU-A-B-TECH-3-B1-RCN-G0</x:v>
      </x:c>
      <x:c r="D1060" s="9" t="str">
        <x:v>HU-A-B-TECH-3</x:v>
      </x:c>
      <x:c r="E1060" s="9" t="str">
        <x:v>HU-A-B</x:v>
      </x:c>
      <x:c r="F1060" s="9" t="str">
        <x:v>B1</x:v>
      </x:c>
      <x:c r="G1060" s="9" t="str">
        <x:v>RCN</x:v>
      </x:c>
      <x:c r="H1060" s="9" t="str">
        <x:v>IV01</x:v>
      </x:c>
      <x:c r="I1060" s="17" t="str">
        <x:v>Timely petition</x:v>
      </x:c>
      <x:c r="J1060" s="17" t="str">
        <x:v>petition enters within seventy-two hours of event close</x:v>
      </x:c>
      <x:c r="K1060" s="17" t="str">
        <x:v>Invalidity registrar</x:v>
      </x:c>
      <x:c r="L1060" s="9" t="n">
        <x:v>0</x:v>
      </x:c>
      <x:c r="M1060" s="9" t="n">
        <x:v>0</x:v>
      </x:c>
      <x:c r="N1060" s="9" t="str">
        <x:v>UNFILED / UNPROVEN</x:v>
      </x:c>
      <x:c r="O1060" s="9" t="n">
        <x:f>COUNTIFS($A$7:$A$1302,A1060)</x:f>
        <x:v>1</x:v>
      </x:c>
    </x:row>
    <x:row r="1061">
      <x:c r="A1061" s="9" t="str">
        <x:v>EV-AR-HU-A-B-TECH-3-B1-RCN-G0-IV02</x:v>
      </x:c>
      <x:c r="B1061" s="9" t="str">
        <x:v>EV-AR-HU-A-B-TECH-3-B1-RCN-G0</x:v>
      </x:c>
      <x:c r="C1061" s="9" t="str">
        <x:v>AR-HU-A-B-TECH-3-B1-RCN-G0</x:v>
      </x:c>
      <x:c r="D1061" s="9" t="str">
        <x:v>HU-A-B-TECH-3</x:v>
      </x:c>
      <x:c r="E1061" s="9" t="str">
        <x:v>HU-A-B</x:v>
      </x:c>
      <x:c r="F1061" s="9" t="str">
        <x:v>B1</x:v>
      </x:c>
      <x:c r="G1061" s="9" t="str">
        <x:v>RCN</x:v>
      </x:c>
      <x:c r="H1061" s="9" t="str">
        <x:v>IV02</x:v>
      </x:c>
      <x:c r="I1061" s="17" t="str">
        <x:v>Named facility cause</x:v>
      </x:c>
      <x:c r="J1061" s="17" t="str">
        <x:v>one pre-registered noncandidate cause is identified</x:v>
      </x:c>
      <x:c r="K1061" s="17" t="str">
        <x:v>Facility-cause court</x:v>
      </x:c>
      <x:c r="L1061" s="9" t="n">
        <x:v>0</x:v>
      </x:c>
      <x:c r="M1061" s="9" t="n">
        <x:v>0</x:v>
      </x:c>
      <x:c r="N1061" s="9" t="str">
        <x:v>UNFILED / UNPROVEN</x:v>
      </x:c>
      <x:c r="O1061" s="9" t="n">
        <x:f>COUNTIFS($A$7:$A$1302,A1061)</x:f>
        <x:v>1</x:v>
      </x:c>
    </x:row>
    <x:row r="1062">
      <x:c r="A1062" s="9" t="str">
        <x:v>EV-AR-HU-A-B-TECH-3-B1-RCN-G0-IV03</x:v>
      </x:c>
      <x:c r="B1062" s="9" t="str">
        <x:v>EV-AR-HU-A-B-TECH-3-B1-RCN-G0</x:v>
      </x:c>
      <x:c r="C1062" s="9" t="str">
        <x:v>AR-HU-A-B-TECH-3-B1-RCN-G0</x:v>
      </x:c>
      <x:c r="D1062" s="9" t="str">
        <x:v>HU-A-B-TECH-3</x:v>
      </x:c>
      <x:c r="E1062" s="9" t="str">
        <x:v>HU-A-B</x:v>
      </x:c>
      <x:c r="F1062" s="9" t="str">
        <x:v>B1</x:v>
      </x:c>
      <x:c r="G1062" s="9" t="str">
        <x:v>RCN</x:v>
      </x:c>
      <x:c r="H1062" s="9" t="str">
        <x:v>IV03</x:v>
      </x:c>
      <x:c r="I1062" s="17" t="str">
        <x:v>Temporal priority</x:v>
      </x:c>
      <x:c r="J1062" s="17" t="str">
        <x:v>cause demonstrably precedes the disputed candidate behavior</x:v>
      </x:c>
      <x:c r="K1062" s="17" t="str">
        <x:v>Time authority</x:v>
      </x:c>
      <x:c r="L1062" s="9" t="n">
        <x:v>0</x:v>
      </x:c>
      <x:c r="M1062" s="9" t="n">
        <x:v>0</x:v>
      </x:c>
      <x:c r="N1062" s="9" t="str">
        <x:v>UNFILED / UNPROVEN</x:v>
      </x:c>
      <x:c r="O1062" s="9" t="n">
        <x:f>COUNTIFS($A$7:$A$1302,A1062)</x:f>
        <x:v>1</x:v>
      </x:c>
    </x:row>
    <x:row r="1063">
      <x:c r="A1063" s="9" t="str">
        <x:v>EV-AR-HU-A-B-TECH-3-B1-RCN-G0-IV04</x:v>
      </x:c>
      <x:c r="B1063" s="9" t="str">
        <x:v>EV-AR-HU-A-B-TECH-3-B1-RCN-G0</x:v>
      </x:c>
      <x:c r="C1063" s="9" t="str">
        <x:v>AR-HU-A-B-TECH-3-B1-RCN-G0</x:v>
      </x:c>
      <x:c r="D1063" s="9" t="str">
        <x:v>HU-A-B-TECH-3</x:v>
      </x:c>
      <x:c r="E1063" s="9" t="str">
        <x:v>HU-A-B</x:v>
      </x:c>
      <x:c r="F1063" s="9" t="str">
        <x:v>B1</x:v>
      </x:c>
      <x:c r="G1063" s="9" t="str">
        <x:v>RCN</x:v>
      </x:c>
      <x:c r="H1063" s="9" t="str">
        <x:v>IV04</x:v>
      </x:c>
      <x:c r="I1063" s="17" t="str">
        <x:v>Independent trace</x:v>
      </x:c>
      <x:c r="J1063" s="17" t="str">
        <x:v>two unlike records carry the cause without candidate custody</x:v>
      </x:c>
      <x:c r="K1063" s="17" t="str">
        <x:v>Invalidity court</x:v>
      </x:c>
      <x:c r="L1063" s="9" t="n">
        <x:v>0</x:v>
      </x:c>
      <x:c r="M1063" s="9" t="n">
        <x:v>0</x:v>
      </x:c>
      <x:c r="N1063" s="9" t="str">
        <x:v>UNFILED / UNPROVEN</x:v>
      </x:c>
      <x:c r="O1063" s="9" t="n">
        <x:f>COUNTIFS($A$7:$A$1302,A1063)</x:f>
        <x:v>1</x:v>
      </x:c>
    </x:row>
    <x:row r="1064">
      <x:c r="A1064" s="9" t="str">
        <x:v>EV-AR-HU-A-B-TECH-3-B1-RCN-G0-IV05</x:v>
      </x:c>
      <x:c r="B1064" s="9" t="str">
        <x:v>EV-AR-HU-A-B-TECH-3-B1-RCN-G0</x:v>
      </x:c>
      <x:c r="C1064" s="9" t="str">
        <x:v>AR-HU-A-B-TECH-3-B1-RCN-G0</x:v>
      </x:c>
      <x:c r="D1064" s="9" t="str">
        <x:v>HU-A-B-TECH-3</x:v>
      </x:c>
      <x:c r="E1064" s="9" t="str">
        <x:v>HU-A-B</x:v>
      </x:c>
      <x:c r="F1064" s="9" t="str">
        <x:v>B1</x:v>
      </x:c>
      <x:c r="G1064" s="9" t="str">
        <x:v>RCN</x:v>
      </x:c>
      <x:c r="H1064" s="9" t="str">
        <x:v>IV05</x:v>
      </x:c>
      <x:c r="I1064" s="17" t="str">
        <x:v>Causal counterfactual</x:v>
      </x:c>
      <x:c r="J1064" s="17" t="str">
        <x:v>registered counterfactual shows the cause can create the defect</x:v>
      </x:c>
      <x:c r="K1064" s="17" t="str">
        <x:v>Causal court</x:v>
      </x:c>
      <x:c r="L1064" s="9" t="n">
        <x:v>0</x:v>
      </x:c>
      <x:c r="M1064" s="9" t="n">
        <x:v>0</x:v>
      </x:c>
      <x:c r="N1064" s="9" t="str">
        <x:v>UNFILED / UNPROVEN</x:v>
      </x:c>
      <x:c r="O1064" s="9" t="n">
        <x:f>COUNTIFS($A$7:$A$1302,A1064)</x:f>
        <x:v>1</x:v>
      </x:c>
    </x:row>
    <x:row r="1065">
      <x:c r="A1065" s="9" t="str">
        <x:v>EV-AR-HU-A-B-TECH-3-B1-RCN-G0-IV06</x:v>
      </x:c>
      <x:c r="B1065" s="9" t="str">
        <x:v>EV-AR-HU-A-B-TECH-3-B1-RCN-G0</x:v>
      </x:c>
      <x:c r="C1065" s="9" t="str">
        <x:v>AR-HU-A-B-TECH-3-B1-RCN-G0</x:v>
      </x:c>
      <x:c r="D1065" s="9" t="str">
        <x:v>HU-A-B-TECH-3</x:v>
      </x:c>
      <x:c r="E1065" s="9" t="str">
        <x:v>HU-A-B</x:v>
      </x:c>
      <x:c r="F1065" s="9" t="str">
        <x:v>B1</x:v>
      </x:c>
      <x:c r="G1065" s="9" t="str">
        <x:v>RCN</x:v>
      </x:c>
      <x:c r="H1065" s="9" t="str">
        <x:v>IV06</x:v>
      </x:c>
      <x:c r="I1065" s="17" t="str">
        <x:v>Candidate non-causation</x:v>
      </x:c>
      <x:c r="J1065" s="17" t="str">
        <x:v>evidence excludes candidate induction of the facility condition</x:v>
      </x:c>
      <x:c r="K1065" s="17" t="str">
        <x:v>Causal court</x:v>
      </x:c>
      <x:c r="L1065" s="9" t="n">
        <x:v>0</x:v>
      </x:c>
      <x:c r="M1065" s="9" t="n">
        <x:v>0</x:v>
      </x:c>
      <x:c r="N1065" s="9" t="str">
        <x:v>UNFILED / UNPROVEN</x:v>
      </x:c>
      <x:c r="O1065" s="9" t="n">
        <x:f>COUNTIFS($A$7:$A$1302,A1065)</x:f>
        <x:v>1</x:v>
      </x:c>
    </x:row>
    <x:row r="1066">
      <x:c r="A1066" s="9" t="str">
        <x:v>EV-AR-HU-A-B-TECH-3-B1-RCN-G0-IV07</x:v>
      </x:c>
      <x:c r="B1066" s="9" t="str">
        <x:v>EV-AR-HU-A-B-TECH-3-B1-RCN-G0</x:v>
      </x:c>
      <x:c r="C1066" s="9" t="str">
        <x:v>AR-HU-A-B-TECH-3-B1-RCN-G0</x:v>
      </x:c>
      <x:c r="D1066" s="9" t="str">
        <x:v>HU-A-B-TECH-3</x:v>
      </x:c>
      <x:c r="E1066" s="9" t="str">
        <x:v>HU-A-B</x:v>
      </x:c>
      <x:c r="F1066" s="9" t="str">
        <x:v>B1</x:v>
      </x:c>
      <x:c r="G1066" s="9" t="str">
        <x:v>RCN</x:v>
      </x:c>
      <x:c r="H1066" s="9" t="str">
        <x:v>IV07</x:v>
      </x:c>
      <x:c r="I1066" s="17" t="str">
        <x:v>No outcome selection</x:v>
      </x:c>
      <x:c r="J1066" s="17" t="str">
        <x:v>petition rule and evidence scope were fixed before visibility</x:v>
      </x:c>
      <x:c r="K1066" s="17" t="str">
        <x:v>Conflict registrar</x:v>
      </x:c>
      <x:c r="L1066" s="9" t="n">
        <x:v>0</x:v>
      </x:c>
      <x:c r="M1066" s="9" t="n">
        <x:v>0</x:v>
      </x:c>
      <x:c r="N1066" s="9" t="str">
        <x:v>UNFILED / UNPROVEN</x:v>
      </x:c>
      <x:c r="O1066" s="9" t="n">
        <x:f>COUNTIFS($A$7:$A$1302,A1066)</x:f>
        <x:v>1</x:v>
      </x:c>
    </x:row>
    <x:row r="1067">
      <x:c r="A1067" s="9" t="str">
        <x:v>EV-AR-HU-A-B-TECH-3-B1-RCN-G0-IV08</x:v>
      </x:c>
      <x:c r="B1067" s="9" t="str">
        <x:v>EV-AR-HU-A-B-TECH-3-B1-RCN-G0</x:v>
      </x:c>
      <x:c r="C1067" s="9" t="str">
        <x:v>AR-HU-A-B-TECH-3-B1-RCN-G0</x:v>
      </x:c>
      <x:c r="D1067" s="9" t="str">
        <x:v>HU-A-B-TECH-3</x:v>
      </x:c>
      <x:c r="E1067" s="9" t="str">
        <x:v>HU-A-B</x:v>
      </x:c>
      <x:c r="F1067" s="9" t="str">
        <x:v>B1</x:v>
      </x:c>
      <x:c r="G1067" s="9" t="str">
        <x:v>RCN</x:v>
      </x:c>
      <x:c r="H1067" s="9" t="str">
        <x:v>IV08</x:v>
      </x:c>
      <x:c r="I1067" s="17" t="str">
        <x:v>Whole-record preservation</x:v>
      </x:c>
      <x:c r="J1067" s="17" t="str">
        <x:v>start, raw behavior, dissent and intervention remain in archive</x:v>
      </x:c>
      <x:c r="K1067" s="17" t="str">
        <x:v>Archive authority</x:v>
      </x:c>
      <x:c r="L1067" s="9" t="n">
        <x:v>0</x:v>
      </x:c>
      <x:c r="M1067" s="9" t="n">
        <x:v>0</x:v>
      </x:c>
      <x:c r="N1067" s="9" t="str">
        <x:v>UNFILED / UNPROVEN</x:v>
      </x:c>
      <x:c r="O1067" s="9" t="n">
        <x:f>COUNTIFS($A$7:$A$1302,A1067)</x:f>
        <x:v>1</x:v>
      </x:c>
    </x:row>
    <x:row r="1068">
      <x:c r="A1068" s="9" t="str">
        <x:v>EV-AR-HU-A-B-TECH-3-B1-RCN-G0-IV09</x:v>
      </x:c>
      <x:c r="B1068" s="9" t="str">
        <x:v>EV-AR-HU-A-B-TECH-3-B1-RCN-G0</x:v>
      </x:c>
      <x:c r="C1068" s="9" t="str">
        <x:v>AR-HU-A-B-TECH-3-B1-RCN-G0</x:v>
      </x:c>
      <x:c r="D1068" s="9" t="str">
        <x:v>HU-A-B-TECH-3</x:v>
      </x:c>
      <x:c r="E1068" s="9" t="str">
        <x:v>HU-A-B</x:v>
      </x:c>
      <x:c r="F1068" s="9" t="str">
        <x:v>B1</x:v>
      </x:c>
      <x:c r="G1068" s="9" t="str">
        <x:v>RCN</x:v>
      </x:c>
      <x:c r="H1068" s="9" t="str">
        <x:v>IV09</x:v>
      </x:c>
      <x:c r="I1068" s="17" t="str">
        <x:v>Bounded remedy</x:v>
      </x:c>
      <x:c r="J1068" s="17" t="str">
        <x:v>only a new slot and EOW may follow; no favorable credit or erased attempt</x:v>
      </x:c>
      <x:c r="K1068" s="17" t="str">
        <x:v>Invalidity court</x:v>
      </x:c>
      <x:c r="L1068" s="9" t="n">
        <x:v>0</x:v>
      </x:c>
      <x:c r="M1068" s="9" t="n">
        <x:v>0</x:v>
      </x:c>
      <x:c r="N1068" s="9" t="str">
        <x:v>UNFILED / UNPROVEN</x:v>
      </x:c>
      <x:c r="O1068" s="9" t="n">
        <x:f>COUNTIFS($A$7:$A$1302,A1068)</x:f>
        <x:v>1</x:v>
      </x:c>
    </x:row>
    <x:row r="1069">
      <x:c r="A1069" s="9" t="str">
        <x:v>EV-AR-LF-B-A-TECH-1-B2-INT-G0-IV01</x:v>
      </x:c>
      <x:c r="B1069" s="9" t="str">
        <x:v>EV-AR-LF-B-A-TECH-1-B2-INT-G0</x:v>
      </x:c>
      <x:c r="C1069" s="9" t="str">
        <x:v>AR-LF-B-A-TECH-1-B2-INT-G0</x:v>
      </x:c>
      <x:c r="D1069" s="9" t="str">
        <x:v>LF-B-A-TECH-1</x:v>
      </x:c>
      <x:c r="E1069" s="9" t="str">
        <x:v>LF-B-A</x:v>
      </x:c>
      <x:c r="F1069" s="9" t="str">
        <x:v>B2</x:v>
      </x:c>
      <x:c r="G1069" s="9" t="str">
        <x:v>INT</x:v>
      </x:c>
      <x:c r="H1069" s="9" t="str">
        <x:v>IV01</x:v>
      </x:c>
      <x:c r="I1069" s="17" t="str">
        <x:v>Timely petition</x:v>
      </x:c>
      <x:c r="J1069" s="17" t="str">
        <x:v>petition enters within seventy-two hours of event close</x:v>
      </x:c>
      <x:c r="K1069" s="17" t="str">
        <x:v>Invalidity registrar</x:v>
      </x:c>
      <x:c r="L1069" s="9" t="n">
        <x:v>0</x:v>
      </x:c>
      <x:c r="M1069" s="9" t="n">
        <x:v>0</x:v>
      </x:c>
      <x:c r="N1069" s="9" t="str">
        <x:v>UNFILED / UNPROVEN</x:v>
      </x:c>
      <x:c r="O1069" s="9" t="n">
        <x:f>COUNTIFS($A$7:$A$1302,A1069)</x:f>
        <x:v>1</x:v>
      </x:c>
    </x:row>
    <x:row r="1070">
      <x:c r="A1070" s="9" t="str">
        <x:v>EV-AR-LF-B-A-TECH-1-B2-INT-G0-IV02</x:v>
      </x:c>
      <x:c r="B1070" s="9" t="str">
        <x:v>EV-AR-LF-B-A-TECH-1-B2-INT-G0</x:v>
      </x:c>
      <x:c r="C1070" s="9" t="str">
        <x:v>AR-LF-B-A-TECH-1-B2-INT-G0</x:v>
      </x:c>
      <x:c r="D1070" s="9" t="str">
        <x:v>LF-B-A-TECH-1</x:v>
      </x:c>
      <x:c r="E1070" s="9" t="str">
        <x:v>LF-B-A</x:v>
      </x:c>
      <x:c r="F1070" s="9" t="str">
        <x:v>B2</x:v>
      </x:c>
      <x:c r="G1070" s="9" t="str">
        <x:v>INT</x:v>
      </x:c>
      <x:c r="H1070" s="9" t="str">
        <x:v>IV02</x:v>
      </x:c>
      <x:c r="I1070" s="17" t="str">
        <x:v>Named facility cause</x:v>
      </x:c>
      <x:c r="J1070" s="17" t="str">
        <x:v>one pre-registered noncandidate cause is identified</x:v>
      </x:c>
      <x:c r="K1070" s="17" t="str">
        <x:v>Facility-cause court</x:v>
      </x:c>
      <x:c r="L1070" s="9" t="n">
        <x:v>0</x:v>
      </x:c>
      <x:c r="M1070" s="9" t="n">
        <x:v>0</x:v>
      </x:c>
      <x:c r="N1070" s="9" t="str">
        <x:v>UNFILED / UNPROVEN</x:v>
      </x:c>
      <x:c r="O1070" s="9" t="n">
        <x:f>COUNTIFS($A$7:$A$1302,A1070)</x:f>
        <x:v>1</x:v>
      </x:c>
    </x:row>
    <x:row r="1071">
      <x:c r="A1071" s="9" t="str">
        <x:v>EV-AR-LF-B-A-TECH-1-B2-INT-G0-IV03</x:v>
      </x:c>
      <x:c r="B1071" s="9" t="str">
        <x:v>EV-AR-LF-B-A-TECH-1-B2-INT-G0</x:v>
      </x:c>
      <x:c r="C1071" s="9" t="str">
        <x:v>AR-LF-B-A-TECH-1-B2-INT-G0</x:v>
      </x:c>
      <x:c r="D1071" s="9" t="str">
        <x:v>LF-B-A-TECH-1</x:v>
      </x:c>
      <x:c r="E1071" s="9" t="str">
        <x:v>LF-B-A</x:v>
      </x:c>
      <x:c r="F1071" s="9" t="str">
        <x:v>B2</x:v>
      </x:c>
      <x:c r="G1071" s="9" t="str">
        <x:v>INT</x:v>
      </x:c>
      <x:c r="H1071" s="9" t="str">
        <x:v>IV03</x:v>
      </x:c>
      <x:c r="I1071" s="17" t="str">
        <x:v>Temporal priority</x:v>
      </x:c>
      <x:c r="J1071" s="17" t="str">
        <x:v>cause demonstrably precedes the disputed candidate behavior</x:v>
      </x:c>
      <x:c r="K1071" s="17" t="str">
        <x:v>Time authority</x:v>
      </x:c>
      <x:c r="L1071" s="9" t="n">
        <x:v>0</x:v>
      </x:c>
      <x:c r="M1071" s="9" t="n">
        <x:v>0</x:v>
      </x:c>
      <x:c r="N1071" s="9" t="str">
        <x:v>UNFILED / UNPROVEN</x:v>
      </x:c>
      <x:c r="O1071" s="9" t="n">
        <x:f>COUNTIFS($A$7:$A$1302,A1071)</x:f>
        <x:v>1</x:v>
      </x:c>
    </x:row>
    <x:row r="1072">
      <x:c r="A1072" s="9" t="str">
        <x:v>EV-AR-LF-B-A-TECH-1-B2-INT-G0-IV04</x:v>
      </x:c>
      <x:c r="B1072" s="9" t="str">
        <x:v>EV-AR-LF-B-A-TECH-1-B2-INT-G0</x:v>
      </x:c>
      <x:c r="C1072" s="9" t="str">
        <x:v>AR-LF-B-A-TECH-1-B2-INT-G0</x:v>
      </x:c>
      <x:c r="D1072" s="9" t="str">
        <x:v>LF-B-A-TECH-1</x:v>
      </x:c>
      <x:c r="E1072" s="9" t="str">
        <x:v>LF-B-A</x:v>
      </x:c>
      <x:c r="F1072" s="9" t="str">
        <x:v>B2</x:v>
      </x:c>
      <x:c r="G1072" s="9" t="str">
        <x:v>INT</x:v>
      </x:c>
      <x:c r="H1072" s="9" t="str">
        <x:v>IV04</x:v>
      </x:c>
      <x:c r="I1072" s="17" t="str">
        <x:v>Independent trace</x:v>
      </x:c>
      <x:c r="J1072" s="17" t="str">
        <x:v>two unlike records carry the cause without candidate custody</x:v>
      </x:c>
      <x:c r="K1072" s="17" t="str">
        <x:v>Invalidity court</x:v>
      </x:c>
      <x:c r="L1072" s="9" t="n">
        <x:v>0</x:v>
      </x:c>
      <x:c r="M1072" s="9" t="n">
        <x:v>0</x:v>
      </x:c>
      <x:c r="N1072" s="9" t="str">
        <x:v>UNFILED / UNPROVEN</x:v>
      </x:c>
      <x:c r="O1072" s="9" t="n">
        <x:f>COUNTIFS($A$7:$A$1302,A1072)</x:f>
        <x:v>1</x:v>
      </x:c>
    </x:row>
    <x:row r="1073">
      <x:c r="A1073" s="9" t="str">
        <x:v>EV-AR-LF-B-A-TECH-1-B2-INT-G0-IV05</x:v>
      </x:c>
      <x:c r="B1073" s="9" t="str">
        <x:v>EV-AR-LF-B-A-TECH-1-B2-INT-G0</x:v>
      </x:c>
      <x:c r="C1073" s="9" t="str">
        <x:v>AR-LF-B-A-TECH-1-B2-INT-G0</x:v>
      </x:c>
      <x:c r="D1073" s="9" t="str">
        <x:v>LF-B-A-TECH-1</x:v>
      </x:c>
      <x:c r="E1073" s="9" t="str">
        <x:v>LF-B-A</x:v>
      </x:c>
      <x:c r="F1073" s="9" t="str">
        <x:v>B2</x:v>
      </x:c>
      <x:c r="G1073" s="9" t="str">
        <x:v>INT</x:v>
      </x:c>
      <x:c r="H1073" s="9" t="str">
        <x:v>IV05</x:v>
      </x:c>
      <x:c r="I1073" s="17" t="str">
        <x:v>Causal counterfactual</x:v>
      </x:c>
      <x:c r="J1073" s="17" t="str">
        <x:v>registered counterfactual shows the cause can create the defect</x:v>
      </x:c>
      <x:c r="K1073" s="17" t="str">
        <x:v>Causal court</x:v>
      </x:c>
      <x:c r="L1073" s="9" t="n">
        <x:v>0</x:v>
      </x:c>
      <x:c r="M1073" s="9" t="n">
        <x:v>0</x:v>
      </x:c>
      <x:c r="N1073" s="9" t="str">
        <x:v>UNFILED / UNPROVEN</x:v>
      </x:c>
      <x:c r="O1073" s="9" t="n">
        <x:f>COUNTIFS($A$7:$A$1302,A1073)</x:f>
        <x:v>1</x:v>
      </x:c>
    </x:row>
    <x:row r="1074">
      <x:c r="A1074" s="9" t="str">
        <x:v>EV-AR-LF-B-A-TECH-1-B2-INT-G0-IV06</x:v>
      </x:c>
      <x:c r="B1074" s="9" t="str">
        <x:v>EV-AR-LF-B-A-TECH-1-B2-INT-G0</x:v>
      </x:c>
      <x:c r="C1074" s="9" t="str">
        <x:v>AR-LF-B-A-TECH-1-B2-INT-G0</x:v>
      </x:c>
      <x:c r="D1074" s="9" t="str">
        <x:v>LF-B-A-TECH-1</x:v>
      </x:c>
      <x:c r="E1074" s="9" t="str">
        <x:v>LF-B-A</x:v>
      </x:c>
      <x:c r="F1074" s="9" t="str">
        <x:v>B2</x:v>
      </x:c>
      <x:c r="G1074" s="9" t="str">
        <x:v>INT</x:v>
      </x:c>
      <x:c r="H1074" s="9" t="str">
        <x:v>IV06</x:v>
      </x:c>
      <x:c r="I1074" s="17" t="str">
        <x:v>Candidate non-causation</x:v>
      </x:c>
      <x:c r="J1074" s="17" t="str">
        <x:v>evidence excludes candidate induction of the facility condition</x:v>
      </x:c>
      <x:c r="K1074" s="17" t="str">
        <x:v>Causal court</x:v>
      </x:c>
      <x:c r="L1074" s="9" t="n">
        <x:v>0</x:v>
      </x:c>
      <x:c r="M1074" s="9" t="n">
        <x:v>0</x:v>
      </x:c>
      <x:c r="N1074" s="9" t="str">
        <x:v>UNFILED / UNPROVEN</x:v>
      </x:c>
      <x:c r="O1074" s="9" t="n">
        <x:f>COUNTIFS($A$7:$A$1302,A1074)</x:f>
        <x:v>1</x:v>
      </x:c>
    </x:row>
    <x:row r="1075">
      <x:c r="A1075" s="9" t="str">
        <x:v>EV-AR-LF-B-A-TECH-1-B2-INT-G0-IV07</x:v>
      </x:c>
      <x:c r="B1075" s="9" t="str">
        <x:v>EV-AR-LF-B-A-TECH-1-B2-INT-G0</x:v>
      </x:c>
      <x:c r="C1075" s="9" t="str">
        <x:v>AR-LF-B-A-TECH-1-B2-INT-G0</x:v>
      </x:c>
      <x:c r="D1075" s="9" t="str">
        <x:v>LF-B-A-TECH-1</x:v>
      </x:c>
      <x:c r="E1075" s="9" t="str">
        <x:v>LF-B-A</x:v>
      </x:c>
      <x:c r="F1075" s="9" t="str">
        <x:v>B2</x:v>
      </x:c>
      <x:c r="G1075" s="9" t="str">
        <x:v>INT</x:v>
      </x:c>
      <x:c r="H1075" s="9" t="str">
        <x:v>IV07</x:v>
      </x:c>
      <x:c r="I1075" s="17" t="str">
        <x:v>No outcome selection</x:v>
      </x:c>
      <x:c r="J1075" s="17" t="str">
        <x:v>petition rule and evidence scope were fixed before visibility</x:v>
      </x:c>
      <x:c r="K1075" s="17" t="str">
        <x:v>Conflict registrar</x:v>
      </x:c>
      <x:c r="L1075" s="9" t="n">
        <x:v>0</x:v>
      </x:c>
      <x:c r="M1075" s="9" t="n">
        <x:v>0</x:v>
      </x:c>
      <x:c r="N1075" s="9" t="str">
        <x:v>UNFILED / UNPROVEN</x:v>
      </x:c>
      <x:c r="O1075" s="9" t="n">
        <x:f>COUNTIFS($A$7:$A$1302,A1075)</x:f>
        <x:v>1</x:v>
      </x:c>
    </x:row>
    <x:row r="1076">
      <x:c r="A1076" s="9" t="str">
        <x:v>EV-AR-LF-B-A-TECH-1-B2-INT-G0-IV08</x:v>
      </x:c>
      <x:c r="B1076" s="9" t="str">
        <x:v>EV-AR-LF-B-A-TECH-1-B2-INT-G0</x:v>
      </x:c>
      <x:c r="C1076" s="9" t="str">
        <x:v>AR-LF-B-A-TECH-1-B2-INT-G0</x:v>
      </x:c>
      <x:c r="D1076" s="9" t="str">
        <x:v>LF-B-A-TECH-1</x:v>
      </x:c>
      <x:c r="E1076" s="9" t="str">
        <x:v>LF-B-A</x:v>
      </x:c>
      <x:c r="F1076" s="9" t="str">
        <x:v>B2</x:v>
      </x:c>
      <x:c r="G1076" s="9" t="str">
        <x:v>INT</x:v>
      </x:c>
      <x:c r="H1076" s="9" t="str">
        <x:v>IV08</x:v>
      </x:c>
      <x:c r="I1076" s="17" t="str">
        <x:v>Whole-record preservation</x:v>
      </x:c>
      <x:c r="J1076" s="17" t="str">
        <x:v>start, raw behavior, dissent and intervention remain in archive</x:v>
      </x:c>
      <x:c r="K1076" s="17" t="str">
        <x:v>Archive authority</x:v>
      </x:c>
      <x:c r="L1076" s="9" t="n">
        <x:v>0</x:v>
      </x:c>
      <x:c r="M1076" s="9" t="n">
        <x:v>0</x:v>
      </x:c>
      <x:c r="N1076" s="9" t="str">
        <x:v>UNFILED / UNPROVEN</x:v>
      </x:c>
      <x:c r="O1076" s="9" t="n">
        <x:f>COUNTIFS($A$7:$A$1302,A1076)</x:f>
        <x:v>1</x:v>
      </x:c>
    </x:row>
    <x:row r="1077">
      <x:c r="A1077" s="9" t="str">
        <x:v>EV-AR-LF-B-A-TECH-1-B2-INT-G0-IV09</x:v>
      </x:c>
      <x:c r="B1077" s="9" t="str">
        <x:v>EV-AR-LF-B-A-TECH-1-B2-INT-G0</x:v>
      </x:c>
      <x:c r="C1077" s="9" t="str">
        <x:v>AR-LF-B-A-TECH-1-B2-INT-G0</x:v>
      </x:c>
      <x:c r="D1077" s="9" t="str">
        <x:v>LF-B-A-TECH-1</x:v>
      </x:c>
      <x:c r="E1077" s="9" t="str">
        <x:v>LF-B-A</x:v>
      </x:c>
      <x:c r="F1077" s="9" t="str">
        <x:v>B2</x:v>
      </x:c>
      <x:c r="G1077" s="9" t="str">
        <x:v>INT</x:v>
      </x:c>
      <x:c r="H1077" s="9" t="str">
        <x:v>IV09</x:v>
      </x:c>
      <x:c r="I1077" s="17" t="str">
        <x:v>Bounded remedy</x:v>
      </x:c>
      <x:c r="J1077" s="17" t="str">
        <x:v>only a new slot and EOW may follow; no favorable credit or erased attempt</x:v>
      </x:c>
      <x:c r="K1077" s="17" t="str">
        <x:v>Invalidity court</x:v>
      </x:c>
      <x:c r="L1077" s="9" t="n">
        <x:v>0</x:v>
      </x:c>
      <x:c r="M1077" s="9" t="n">
        <x:v>0</x:v>
      </x:c>
      <x:c r="N1077" s="9" t="str">
        <x:v>UNFILED / UNPROVEN</x:v>
      </x:c>
      <x:c r="O1077" s="9" t="n">
        <x:f>COUNTIFS($A$7:$A$1302,A1077)</x:f>
        <x:v>1</x:v>
      </x:c>
    </x:row>
    <x:row r="1078">
      <x:c r="A1078" s="9" t="str">
        <x:v>EV-AR-RT-B-C-TECH-1-B2-RCN-G0-IV01</x:v>
      </x:c>
      <x:c r="B1078" s="9" t="str">
        <x:v>EV-AR-RT-B-C-TECH-1-B2-RCN-G0</x:v>
      </x:c>
      <x:c r="C1078" s="9" t="str">
        <x:v>AR-RT-B-C-TECH-1-B2-RCN-G0</x:v>
      </x:c>
      <x:c r="D1078" s="9" t="str">
        <x:v>RT-B-C-TECH-1</x:v>
      </x:c>
      <x:c r="E1078" s="9" t="str">
        <x:v>RT-B-C</x:v>
      </x:c>
      <x:c r="F1078" s="9" t="str">
        <x:v>B2</x:v>
      </x:c>
      <x:c r="G1078" s="9" t="str">
        <x:v>RCN</x:v>
      </x:c>
      <x:c r="H1078" s="9" t="str">
        <x:v>IV01</x:v>
      </x:c>
      <x:c r="I1078" s="17" t="str">
        <x:v>Timely petition</x:v>
      </x:c>
      <x:c r="J1078" s="17" t="str">
        <x:v>petition enters within seventy-two hours of event close</x:v>
      </x:c>
      <x:c r="K1078" s="17" t="str">
        <x:v>Invalidity registrar</x:v>
      </x:c>
      <x:c r="L1078" s="9" t="n">
        <x:v>0</x:v>
      </x:c>
      <x:c r="M1078" s="9" t="n">
        <x:v>0</x:v>
      </x:c>
      <x:c r="N1078" s="9" t="str">
        <x:v>UNFILED / UNPROVEN</x:v>
      </x:c>
      <x:c r="O1078" s="9" t="n">
        <x:f>COUNTIFS($A$7:$A$1302,A1078)</x:f>
        <x:v>1</x:v>
      </x:c>
    </x:row>
    <x:row r="1079">
      <x:c r="A1079" s="9" t="str">
        <x:v>EV-AR-RT-B-C-TECH-1-B2-RCN-G0-IV02</x:v>
      </x:c>
      <x:c r="B1079" s="9" t="str">
        <x:v>EV-AR-RT-B-C-TECH-1-B2-RCN-G0</x:v>
      </x:c>
      <x:c r="C1079" s="9" t="str">
        <x:v>AR-RT-B-C-TECH-1-B2-RCN-G0</x:v>
      </x:c>
      <x:c r="D1079" s="9" t="str">
        <x:v>RT-B-C-TECH-1</x:v>
      </x:c>
      <x:c r="E1079" s="9" t="str">
        <x:v>RT-B-C</x:v>
      </x:c>
      <x:c r="F1079" s="9" t="str">
        <x:v>B2</x:v>
      </x:c>
      <x:c r="G1079" s="9" t="str">
        <x:v>RCN</x:v>
      </x:c>
      <x:c r="H1079" s="9" t="str">
        <x:v>IV02</x:v>
      </x:c>
      <x:c r="I1079" s="17" t="str">
        <x:v>Named facility cause</x:v>
      </x:c>
      <x:c r="J1079" s="17" t="str">
        <x:v>one pre-registered noncandidate cause is identified</x:v>
      </x:c>
      <x:c r="K1079" s="17" t="str">
        <x:v>Facility-cause court</x:v>
      </x:c>
      <x:c r="L1079" s="9" t="n">
        <x:v>0</x:v>
      </x:c>
      <x:c r="M1079" s="9" t="n">
        <x:v>0</x:v>
      </x:c>
      <x:c r="N1079" s="9" t="str">
        <x:v>UNFILED / UNPROVEN</x:v>
      </x:c>
      <x:c r="O1079" s="9" t="n">
        <x:f>COUNTIFS($A$7:$A$1302,A1079)</x:f>
        <x:v>1</x:v>
      </x:c>
    </x:row>
    <x:row r="1080">
      <x:c r="A1080" s="9" t="str">
        <x:v>EV-AR-RT-B-C-TECH-1-B2-RCN-G0-IV03</x:v>
      </x:c>
      <x:c r="B1080" s="9" t="str">
        <x:v>EV-AR-RT-B-C-TECH-1-B2-RCN-G0</x:v>
      </x:c>
      <x:c r="C1080" s="9" t="str">
        <x:v>AR-RT-B-C-TECH-1-B2-RCN-G0</x:v>
      </x:c>
      <x:c r="D1080" s="9" t="str">
        <x:v>RT-B-C-TECH-1</x:v>
      </x:c>
      <x:c r="E1080" s="9" t="str">
        <x:v>RT-B-C</x:v>
      </x:c>
      <x:c r="F1080" s="9" t="str">
        <x:v>B2</x:v>
      </x:c>
      <x:c r="G1080" s="9" t="str">
        <x:v>RCN</x:v>
      </x:c>
      <x:c r="H1080" s="9" t="str">
        <x:v>IV03</x:v>
      </x:c>
      <x:c r="I1080" s="17" t="str">
        <x:v>Temporal priority</x:v>
      </x:c>
      <x:c r="J1080" s="17" t="str">
        <x:v>cause demonstrably precedes the disputed candidate behavior</x:v>
      </x:c>
      <x:c r="K1080" s="17" t="str">
        <x:v>Time authority</x:v>
      </x:c>
      <x:c r="L1080" s="9" t="n">
        <x:v>0</x:v>
      </x:c>
      <x:c r="M1080" s="9" t="n">
        <x:v>0</x:v>
      </x:c>
      <x:c r="N1080" s="9" t="str">
        <x:v>UNFILED / UNPROVEN</x:v>
      </x:c>
      <x:c r="O1080" s="9" t="n">
        <x:f>COUNTIFS($A$7:$A$1302,A1080)</x:f>
        <x:v>1</x:v>
      </x:c>
    </x:row>
    <x:row r="1081">
      <x:c r="A1081" s="9" t="str">
        <x:v>EV-AR-RT-B-C-TECH-1-B2-RCN-G0-IV04</x:v>
      </x:c>
      <x:c r="B1081" s="9" t="str">
        <x:v>EV-AR-RT-B-C-TECH-1-B2-RCN-G0</x:v>
      </x:c>
      <x:c r="C1081" s="9" t="str">
        <x:v>AR-RT-B-C-TECH-1-B2-RCN-G0</x:v>
      </x:c>
      <x:c r="D1081" s="9" t="str">
        <x:v>RT-B-C-TECH-1</x:v>
      </x:c>
      <x:c r="E1081" s="9" t="str">
        <x:v>RT-B-C</x:v>
      </x:c>
      <x:c r="F1081" s="9" t="str">
        <x:v>B2</x:v>
      </x:c>
      <x:c r="G1081" s="9" t="str">
        <x:v>RCN</x:v>
      </x:c>
      <x:c r="H1081" s="9" t="str">
        <x:v>IV04</x:v>
      </x:c>
      <x:c r="I1081" s="17" t="str">
        <x:v>Independent trace</x:v>
      </x:c>
      <x:c r="J1081" s="17" t="str">
        <x:v>two unlike records carry the cause without candidate custody</x:v>
      </x:c>
      <x:c r="K1081" s="17" t="str">
        <x:v>Invalidity court</x:v>
      </x:c>
      <x:c r="L1081" s="9" t="n">
        <x:v>0</x:v>
      </x:c>
      <x:c r="M1081" s="9" t="n">
        <x:v>0</x:v>
      </x:c>
      <x:c r="N1081" s="9" t="str">
        <x:v>UNFILED / UNPROVEN</x:v>
      </x:c>
      <x:c r="O1081" s="9" t="n">
        <x:f>COUNTIFS($A$7:$A$1302,A1081)</x:f>
        <x:v>1</x:v>
      </x:c>
    </x:row>
    <x:row r="1082">
      <x:c r="A1082" s="9" t="str">
        <x:v>EV-AR-RT-B-C-TECH-1-B2-RCN-G0-IV05</x:v>
      </x:c>
      <x:c r="B1082" s="9" t="str">
        <x:v>EV-AR-RT-B-C-TECH-1-B2-RCN-G0</x:v>
      </x:c>
      <x:c r="C1082" s="9" t="str">
        <x:v>AR-RT-B-C-TECH-1-B2-RCN-G0</x:v>
      </x:c>
      <x:c r="D1082" s="9" t="str">
        <x:v>RT-B-C-TECH-1</x:v>
      </x:c>
      <x:c r="E1082" s="9" t="str">
        <x:v>RT-B-C</x:v>
      </x:c>
      <x:c r="F1082" s="9" t="str">
        <x:v>B2</x:v>
      </x:c>
      <x:c r="G1082" s="9" t="str">
        <x:v>RCN</x:v>
      </x:c>
      <x:c r="H1082" s="9" t="str">
        <x:v>IV05</x:v>
      </x:c>
      <x:c r="I1082" s="17" t="str">
        <x:v>Causal counterfactual</x:v>
      </x:c>
      <x:c r="J1082" s="17" t="str">
        <x:v>registered counterfactual shows the cause can create the defect</x:v>
      </x:c>
      <x:c r="K1082" s="17" t="str">
        <x:v>Causal court</x:v>
      </x:c>
      <x:c r="L1082" s="9" t="n">
        <x:v>0</x:v>
      </x:c>
      <x:c r="M1082" s="9" t="n">
        <x:v>0</x:v>
      </x:c>
      <x:c r="N1082" s="9" t="str">
        <x:v>UNFILED / UNPROVEN</x:v>
      </x:c>
      <x:c r="O1082" s="9" t="n">
        <x:f>COUNTIFS($A$7:$A$1302,A1082)</x:f>
        <x:v>1</x:v>
      </x:c>
    </x:row>
    <x:row r="1083">
      <x:c r="A1083" s="9" t="str">
        <x:v>EV-AR-RT-B-C-TECH-1-B2-RCN-G0-IV06</x:v>
      </x:c>
      <x:c r="B1083" s="9" t="str">
        <x:v>EV-AR-RT-B-C-TECH-1-B2-RCN-G0</x:v>
      </x:c>
      <x:c r="C1083" s="9" t="str">
        <x:v>AR-RT-B-C-TECH-1-B2-RCN-G0</x:v>
      </x:c>
      <x:c r="D1083" s="9" t="str">
        <x:v>RT-B-C-TECH-1</x:v>
      </x:c>
      <x:c r="E1083" s="9" t="str">
        <x:v>RT-B-C</x:v>
      </x:c>
      <x:c r="F1083" s="9" t="str">
        <x:v>B2</x:v>
      </x:c>
      <x:c r="G1083" s="9" t="str">
        <x:v>RCN</x:v>
      </x:c>
      <x:c r="H1083" s="9" t="str">
        <x:v>IV06</x:v>
      </x:c>
      <x:c r="I1083" s="17" t="str">
        <x:v>Candidate non-causation</x:v>
      </x:c>
      <x:c r="J1083" s="17" t="str">
        <x:v>evidence excludes candidate induction of the facility condition</x:v>
      </x:c>
      <x:c r="K1083" s="17" t="str">
        <x:v>Causal court</x:v>
      </x:c>
      <x:c r="L1083" s="9" t="n">
        <x:v>0</x:v>
      </x:c>
      <x:c r="M1083" s="9" t="n">
        <x:v>0</x:v>
      </x:c>
      <x:c r="N1083" s="9" t="str">
        <x:v>UNFILED / UNPROVEN</x:v>
      </x:c>
      <x:c r="O1083" s="9" t="n">
        <x:f>COUNTIFS($A$7:$A$1302,A1083)</x:f>
        <x:v>1</x:v>
      </x:c>
    </x:row>
    <x:row r="1084">
      <x:c r="A1084" s="9" t="str">
        <x:v>EV-AR-RT-B-C-TECH-1-B2-RCN-G0-IV07</x:v>
      </x:c>
      <x:c r="B1084" s="9" t="str">
        <x:v>EV-AR-RT-B-C-TECH-1-B2-RCN-G0</x:v>
      </x:c>
      <x:c r="C1084" s="9" t="str">
        <x:v>AR-RT-B-C-TECH-1-B2-RCN-G0</x:v>
      </x:c>
      <x:c r="D1084" s="9" t="str">
        <x:v>RT-B-C-TECH-1</x:v>
      </x:c>
      <x:c r="E1084" s="9" t="str">
        <x:v>RT-B-C</x:v>
      </x:c>
      <x:c r="F1084" s="9" t="str">
        <x:v>B2</x:v>
      </x:c>
      <x:c r="G1084" s="9" t="str">
        <x:v>RCN</x:v>
      </x:c>
      <x:c r="H1084" s="9" t="str">
        <x:v>IV07</x:v>
      </x:c>
      <x:c r="I1084" s="17" t="str">
        <x:v>No outcome selection</x:v>
      </x:c>
      <x:c r="J1084" s="17" t="str">
        <x:v>petition rule and evidence scope were fixed before visibility</x:v>
      </x:c>
      <x:c r="K1084" s="17" t="str">
        <x:v>Conflict registrar</x:v>
      </x:c>
      <x:c r="L1084" s="9" t="n">
        <x:v>0</x:v>
      </x:c>
      <x:c r="M1084" s="9" t="n">
        <x:v>0</x:v>
      </x:c>
      <x:c r="N1084" s="9" t="str">
        <x:v>UNFILED / UNPROVEN</x:v>
      </x:c>
      <x:c r="O1084" s="9" t="n">
        <x:f>COUNTIFS($A$7:$A$1302,A1084)</x:f>
        <x:v>1</x:v>
      </x:c>
    </x:row>
    <x:row r="1085">
      <x:c r="A1085" s="9" t="str">
        <x:v>EV-AR-RT-B-C-TECH-1-B2-RCN-G0-IV08</x:v>
      </x:c>
      <x:c r="B1085" s="9" t="str">
        <x:v>EV-AR-RT-B-C-TECH-1-B2-RCN-G0</x:v>
      </x:c>
      <x:c r="C1085" s="9" t="str">
        <x:v>AR-RT-B-C-TECH-1-B2-RCN-G0</x:v>
      </x:c>
      <x:c r="D1085" s="9" t="str">
        <x:v>RT-B-C-TECH-1</x:v>
      </x:c>
      <x:c r="E1085" s="9" t="str">
        <x:v>RT-B-C</x:v>
      </x:c>
      <x:c r="F1085" s="9" t="str">
        <x:v>B2</x:v>
      </x:c>
      <x:c r="G1085" s="9" t="str">
        <x:v>RCN</x:v>
      </x:c>
      <x:c r="H1085" s="9" t="str">
        <x:v>IV08</x:v>
      </x:c>
      <x:c r="I1085" s="17" t="str">
        <x:v>Whole-record preservation</x:v>
      </x:c>
      <x:c r="J1085" s="17" t="str">
        <x:v>start, raw behavior, dissent and intervention remain in archive</x:v>
      </x:c>
      <x:c r="K1085" s="17" t="str">
        <x:v>Archive authority</x:v>
      </x:c>
      <x:c r="L1085" s="9" t="n">
        <x:v>0</x:v>
      </x:c>
      <x:c r="M1085" s="9" t="n">
        <x:v>0</x:v>
      </x:c>
      <x:c r="N1085" s="9" t="str">
        <x:v>UNFILED / UNPROVEN</x:v>
      </x:c>
      <x:c r="O1085" s="9" t="n">
        <x:f>COUNTIFS($A$7:$A$1302,A1085)</x:f>
        <x:v>1</x:v>
      </x:c>
    </x:row>
    <x:row r="1086">
      <x:c r="A1086" s="9" t="str">
        <x:v>EV-AR-RT-B-C-TECH-1-B2-RCN-G0-IV09</x:v>
      </x:c>
      <x:c r="B1086" s="9" t="str">
        <x:v>EV-AR-RT-B-C-TECH-1-B2-RCN-G0</x:v>
      </x:c>
      <x:c r="C1086" s="9" t="str">
        <x:v>AR-RT-B-C-TECH-1-B2-RCN-G0</x:v>
      </x:c>
      <x:c r="D1086" s="9" t="str">
        <x:v>RT-B-C-TECH-1</x:v>
      </x:c>
      <x:c r="E1086" s="9" t="str">
        <x:v>RT-B-C</x:v>
      </x:c>
      <x:c r="F1086" s="9" t="str">
        <x:v>B2</x:v>
      </x:c>
      <x:c r="G1086" s="9" t="str">
        <x:v>RCN</x:v>
      </x:c>
      <x:c r="H1086" s="9" t="str">
        <x:v>IV09</x:v>
      </x:c>
      <x:c r="I1086" s="17" t="str">
        <x:v>Bounded remedy</x:v>
      </x:c>
      <x:c r="J1086" s="17" t="str">
        <x:v>only a new slot and EOW may follow; no favorable credit or erased attempt</x:v>
      </x:c>
      <x:c r="K1086" s="17" t="str">
        <x:v>Invalidity court</x:v>
      </x:c>
      <x:c r="L1086" s="9" t="n">
        <x:v>0</x:v>
      </x:c>
      <x:c r="M1086" s="9" t="n">
        <x:v>0</x:v>
      </x:c>
      <x:c r="N1086" s="9" t="str">
        <x:v>UNFILED / UNPROVEN</x:v>
      </x:c>
      <x:c r="O1086" s="9" t="n">
        <x:f>COUNTIFS($A$7:$A$1302,A1086)</x:f>
        <x:v>1</x:v>
      </x:c>
    </x:row>
    <x:row r="1087">
      <x:c r="A1087" s="9" t="str">
        <x:v>EV-AR-CT-C-B-TECH-1-B1-RCN-G0-IV01</x:v>
      </x:c>
      <x:c r="B1087" s="9" t="str">
        <x:v>EV-AR-CT-C-B-TECH-1-B1-RCN-G0</x:v>
      </x:c>
      <x:c r="C1087" s="9" t="str">
        <x:v>AR-CT-C-B-TECH-1-B1-RCN-G0</x:v>
      </x:c>
      <x:c r="D1087" s="9" t="str">
        <x:v>CT-C-B-TECH-1</x:v>
      </x:c>
      <x:c r="E1087" s="9" t="str">
        <x:v>CT-C-B</x:v>
      </x:c>
      <x:c r="F1087" s="9" t="str">
        <x:v>B1</x:v>
      </x:c>
      <x:c r="G1087" s="9" t="str">
        <x:v>RCN</x:v>
      </x:c>
      <x:c r="H1087" s="9" t="str">
        <x:v>IV01</x:v>
      </x:c>
      <x:c r="I1087" s="17" t="str">
        <x:v>Timely petition</x:v>
      </x:c>
      <x:c r="J1087" s="17" t="str">
        <x:v>petition enters within seventy-two hours of event close</x:v>
      </x:c>
      <x:c r="K1087" s="17" t="str">
        <x:v>Invalidity registrar</x:v>
      </x:c>
      <x:c r="L1087" s="9" t="n">
        <x:v>0</x:v>
      </x:c>
      <x:c r="M1087" s="9" t="n">
        <x:v>0</x:v>
      </x:c>
      <x:c r="N1087" s="9" t="str">
        <x:v>UNFILED / UNPROVEN</x:v>
      </x:c>
      <x:c r="O1087" s="9" t="n">
        <x:f>COUNTIFS($A$7:$A$1302,A1087)</x:f>
        <x:v>1</x:v>
      </x:c>
    </x:row>
    <x:row r="1088">
      <x:c r="A1088" s="9" t="str">
        <x:v>EV-AR-CT-C-B-TECH-1-B1-RCN-G0-IV02</x:v>
      </x:c>
      <x:c r="B1088" s="9" t="str">
        <x:v>EV-AR-CT-C-B-TECH-1-B1-RCN-G0</x:v>
      </x:c>
      <x:c r="C1088" s="9" t="str">
        <x:v>AR-CT-C-B-TECH-1-B1-RCN-G0</x:v>
      </x:c>
      <x:c r="D1088" s="9" t="str">
        <x:v>CT-C-B-TECH-1</x:v>
      </x:c>
      <x:c r="E1088" s="9" t="str">
        <x:v>CT-C-B</x:v>
      </x:c>
      <x:c r="F1088" s="9" t="str">
        <x:v>B1</x:v>
      </x:c>
      <x:c r="G1088" s="9" t="str">
        <x:v>RCN</x:v>
      </x:c>
      <x:c r="H1088" s="9" t="str">
        <x:v>IV02</x:v>
      </x:c>
      <x:c r="I1088" s="17" t="str">
        <x:v>Named facility cause</x:v>
      </x:c>
      <x:c r="J1088" s="17" t="str">
        <x:v>one pre-registered noncandidate cause is identified</x:v>
      </x:c>
      <x:c r="K1088" s="17" t="str">
        <x:v>Facility-cause court</x:v>
      </x:c>
      <x:c r="L1088" s="9" t="n">
        <x:v>0</x:v>
      </x:c>
      <x:c r="M1088" s="9" t="n">
        <x:v>0</x:v>
      </x:c>
      <x:c r="N1088" s="9" t="str">
        <x:v>UNFILED / UNPROVEN</x:v>
      </x:c>
      <x:c r="O1088" s="9" t="n">
        <x:f>COUNTIFS($A$7:$A$1302,A1088)</x:f>
        <x:v>1</x:v>
      </x:c>
    </x:row>
    <x:row r="1089">
      <x:c r="A1089" s="9" t="str">
        <x:v>EV-AR-CT-C-B-TECH-1-B1-RCN-G0-IV03</x:v>
      </x:c>
      <x:c r="B1089" s="9" t="str">
        <x:v>EV-AR-CT-C-B-TECH-1-B1-RCN-G0</x:v>
      </x:c>
      <x:c r="C1089" s="9" t="str">
        <x:v>AR-CT-C-B-TECH-1-B1-RCN-G0</x:v>
      </x:c>
      <x:c r="D1089" s="9" t="str">
        <x:v>CT-C-B-TECH-1</x:v>
      </x:c>
      <x:c r="E1089" s="9" t="str">
        <x:v>CT-C-B</x:v>
      </x:c>
      <x:c r="F1089" s="9" t="str">
        <x:v>B1</x:v>
      </x:c>
      <x:c r="G1089" s="9" t="str">
        <x:v>RCN</x:v>
      </x:c>
      <x:c r="H1089" s="9" t="str">
        <x:v>IV03</x:v>
      </x:c>
      <x:c r="I1089" s="17" t="str">
        <x:v>Temporal priority</x:v>
      </x:c>
      <x:c r="J1089" s="17" t="str">
        <x:v>cause demonstrably precedes the disputed candidate behavior</x:v>
      </x:c>
      <x:c r="K1089" s="17" t="str">
        <x:v>Time authority</x:v>
      </x:c>
      <x:c r="L1089" s="9" t="n">
        <x:v>0</x:v>
      </x:c>
      <x:c r="M1089" s="9" t="n">
        <x:v>0</x:v>
      </x:c>
      <x:c r="N1089" s="9" t="str">
        <x:v>UNFILED / UNPROVEN</x:v>
      </x:c>
      <x:c r="O1089" s="9" t="n">
        <x:f>COUNTIFS($A$7:$A$1302,A1089)</x:f>
        <x:v>1</x:v>
      </x:c>
    </x:row>
    <x:row r="1090">
      <x:c r="A1090" s="9" t="str">
        <x:v>EV-AR-CT-C-B-TECH-1-B1-RCN-G0-IV04</x:v>
      </x:c>
      <x:c r="B1090" s="9" t="str">
        <x:v>EV-AR-CT-C-B-TECH-1-B1-RCN-G0</x:v>
      </x:c>
      <x:c r="C1090" s="9" t="str">
        <x:v>AR-CT-C-B-TECH-1-B1-RCN-G0</x:v>
      </x:c>
      <x:c r="D1090" s="9" t="str">
        <x:v>CT-C-B-TECH-1</x:v>
      </x:c>
      <x:c r="E1090" s="9" t="str">
        <x:v>CT-C-B</x:v>
      </x:c>
      <x:c r="F1090" s="9" t="str">
        <x:v>B1</x:v>
      </x:c>
      <x:c r="G1090" s="9" t="str">
        <x:v>RCN</x:v>
      </x:c>
      <x:c r="H1090" s="9" t="str">
        <x:v>IV04</x:v>
      </x:c>
      <x:c r="I1090" s="17" t="str">
        <x:v>Independent trace</x:v>
      </x:c>
      <x:c r="J1090" s="17" t="str">
        <x:v>two unlike records carry the cause without candidate custody</x:v>
      </x:c>
      <x:c r="K1090" s="17" t="str">
        <x:v>Invalidity court</x:v>
      </x:c>
      <x:c r="L1090" s="9" t="n">
        <x:v>0</x:v>
      </x:c>
      <x:c r="M1090" s="9" t="n">
        <x:v>0</x:v>
      </x:c>
      <x:c r="N1090" s="9" t="str">
        <x:v>UNFILED / UNPROVEN</x:v>
      </x:c>
      <x:c r="O1090" s="9" t="n">
        <x:f>COUNTIFS($A$7:$A$1302,A1090)</x:f>
        <x:v>1</x:v>
      </x:c>
    </x:row>
    <x:row r="1091">
      <x:c r="A1091" s="9" t="str">
        <x:v>EV-AR-CT-C-B-TECH-1-B1-RCN-G0-IV05</x:v>
      </x:c>
      <x:c r="B1091" s="9" t="str">
        <x:v>EV-AR-CT-C-B-TECH-1-B1-RCN-G0</x:v>
      </x:c>
      <x:c r="C1091" s="9" t="str">
        <x:v>AR-CT-C-B-TECH-1-B1-RCN-G0</x:v>
      </x:c>
      <x:c r="D1091" s="9" t="str">
        <x:v>CT-C-B-TECH-1</x:v>
      </x:c>
      <x:c r="E1091" s="9" t="str">
        <x:v>CT-C-B</x:v>
      </x:c>
      <x:c r="F1091" s="9" t="str">
        <x:v>B1</x:v>
      </x:c>
      <x:c r="G1091" s="9" t="str">
        <x:v>RCN</x:v>
      </x:c>
      <x:c r="H1091" s="9" t="str">
        <x:v>IV05</x:v>
      </x:c>
      <x:c r="I1091" s="17" t="str">
        <x:v>Causal counterfactual</x:v>
      </x:c>
      <x:c r="J1091" s="17" t="str">
        <x:v>registered counterfactual shows the cause can create the defect</x:v>
      </x:c>
      <x:c r="K1091" s="17" t="str">
        <x:v>Causal court</x:v>
      </x:c>
      <x:c r="L1091" s="9" t="n">
        <x:v>0</x:v>
      </x:c>
      <x:c r="M1091" s="9" t="n">
        <x:v>0</x:v>
      </x:c>
      <x:c r="N1091" s="9" t="str">
        <x:v>UNFILED / UNPROVEN</x:v>
      </x:c>
      <x:c r="O1091" s="9" t="n">
        <x:f>COUNTIFS($A$7:$A$1302,A1091)</x:f>
        <x:v>1</x:v>
      </x:c>
    </x:row>
    <x:row r="1092">
      <x:c r="A1092" s="9" t="str">
        <x:v>EV-AR-CT-C-B-TECH-1-B1-RCN-G0-IV06</x:v>
      </x:c>
      <x:c r="B1092" s="9" t="str">
        <x:v>EV-AR-CT-C-B-TECH-1-B1-RCN-G0</x:v>
      </x:c>
      <x:c r="C1092" s="9" t="str">
        <x:v>AR-CT-C-B-TECH-1-B1-RCN-G0</x:v>
      </x:c>
      <x:c r="D1092" s="9" t="str">
        <x:v>CT-C-B-TECH-1</x:v>
      </x:c>
      <x:c r="E1092" s="9" t="str">
        <x:v>CT-C-B</x:v>
      </x:c>
      <x:c r="F1092" s="9" t="str">
        <x:v>B1</x:v>
      </x:c>
      <x:c r="G1092" s="9" t="str">
        <x:v>RCN</x:v>
      </x:c>
      <x:c r="H1092" s="9" t="str">
        <x:v>IV06</x:v>
      </x:c>
      <x:c r="I1092" s="17" t="str">
        <x:v>Candidate non-causation</x:v>
      </x:c>
      <x:c r="J1092" s="17" t="str">
        <x:v>evidence excludes candidate induction of the facility condition</x:v>
      </x:c>
      <x:c r="K1092" s="17" t="str">
        <x:v>Causal court</x:v>
      </x:c>
      <x:c r="L1092" s="9" t="n">
        <x:v>0</x:v>
      </x:c>
      <x:c r="M1092" s="9" t="n">
        <x:v>0</x:v>
      </x:c>
      <x:c r="N1092" s="9" t="str">
        <x:v>UNFILED / UNPROVEN</x:v>
      </x:c>
      <x:c r="O1092" s="9" t="n">
        <x:f>COUNTIFS($A$7:$A$1302,A1092)</x:f>
        <x:v>1</x:v>
      </x:c>
    </x:row>
    <x:row r="1093">
      <x:c r="A1093" s="9" t="str">
        <x:v>EV-AR-CT-C-B-TECH-1-B1-RCN-G0-IV07</x:v>
      </x:c>
      <x:c r="B1093" s="9" t="str">
        <x:v>EV-AR-CT-C-B-TECH-1-B1-RCN-G0</x:v>
      </x:c>
      <x:c r="C1093" s="9" t="str">
        <x:v>AR-CT-C-B-TECH-1-B1-RCN-G0</x:v>
      </x:c>
      <x:c r="D1093" s="9" t="str">
        <x:v>CT-C-B-TECH-1</x:v>
      </x:c>
      <x:c r="E1093" s="9" t="str">
        <x:v>CT-C-B</x:v>
      </x:c>
      <x:c r="F1093" s="9" t="str">
        <x:v>B1</x:v>
      </x:c>
      <x:c r="G1093" s="9" t="str">
        <x:v>RCN</x:v>
      </x:c>
      <x:c r="H1093" s="9" t="str">
        <x:v>IV07</x:v>
      </x:c>
      <x:c r="I1093" s="17" t="str">
        <x:v>No outcome selection</x:v>
      </x:c>
      <x:c r="J1093" s="17" t="str">
        <x:v>petition rule and evidence scope were fixed before visibility</x:v>
      </x:c>
      <x:c r="K1093" s="17" t="str">
        <x:v>Conflict registrar</x:v>
      </x:c>
      <x:c r="L1093" s="9" t="n">
        <x:v>0</x:v>
      </x:c>
      <x:c r="M1093" s="9" t="n">
        <x:v>0</x:v>
      </x:c>
      <x:c r="N1093" s="9" t="str">
        <x:v>UNFILED / UNPROVEN</x:v>
      </x:c>
      <x:c r="O1093" s="9" t="n">
        <x:f>COUNTIFS($A$7:$A$1302,A1093)</x:f>
        <x:v>1</x:v>
      </x:c>
    </x:row>
    <x:row r="1094">
      <x:c r="A1094" s="9" t="str">
        <x:v>EV-AR-CT-C-B-TECH-1-B1-RCN-G0-IV08</x:v>
      </x:c>
      <x:c r="B1094" s="9" t="str">
        <x:v>EV-AR-CT-C-B-TECH-1-B1-RCN-G0</x:v>
      </x:c>
      <x:c r="C1094" s="9" t="str">
        <x:v>AR-CT-C-B-TECH-1-B1-RCN-G0</x:v>
      </x:c>
      <x:c r="D1094" s="9" t="str">
        <x:v>CT-C-B-TECH-1</x:v>
      </x:c>
      <x:c r="E1094" s="9" t="str">
        <x:v>CT-C-B</x:v>
      </x:c>
      <x:c r="F1094" s="9" t="str">
        <x:v>B1</x:v>
      </x:c>
      <x:c r="G1094" s="9" t="str">
        <x:v>RCN</x:v>
      </x:c>
      <x:c r="H1094" s="9" t="str">
        <x:v>IV08</x:v>
      </x:c>
      <x:c r="I1094" s="17" t="str">
        <x:v>Whole-record preservation</x:v>
      </x:c>
      <x:c r="J1094" s="17" t="str">
        <x:v>start, raw behavior, dissent and intervention remain in archive</x:v>
      </x:c>
      <x:c r="K1094" s="17" t="str">
        <x:v>Archive authority</x:v>
      </x:c>
      <x:c r="L1094" s="9" t="n">
        <x:v>0</x:v>
      </x:c>
      <x:c r="M1094" s="9" t="n">
        <x:v>0</x:v>
      </x:c>
      <x:c r="N1094" s="9" t="str">
        <x:v>UNFILED / UNPROVEN</x:v>
      </x:c>
      <x:c r="O1094" s="9" t="n">
        <x:f>COUNTIFS($A$7:$A$1302,A1094)</x:f>
        <x:v>1</x:v>
      </x:c>
    </x:row>
    <x:row r="1095">
      <x:c r="A1095" s="9" t="str">
        <x:v>EV-AR-CT-C-B-TECH-1-B1-RCN-G0-IV09</x:v>
      </x:c>
      <x:c r="B1095" s="9" t="str">
        <x:v>EV-AR-CT-C-B-TECH-1-B1-RCN-G0</x:v>
      </x:c>
      <x:c r="C1095" s="9" t="str">
        <x:v>AR-CT-C-B-TECH-1-B1-RCN-G0</x:v>
      </x:c>
      <x:c r="D1095" s="9" t="str">
        <x:v>CT-C-B-TECH-1</x:v>
      </x:c>
      <x:c r="E1095" s="9" t="str">
        <x:v>CT-C-B</x:v>
      </x:c>
      <x:c r="F1095" s="9" t="str">
        <x:v>B1</x:v>
      </x:c>
      <x:c r="G1095" s="9" t="str">
        <x:v>RCN</x:v>
      </x:c>
      <x:c r="H1095" s="9" t="str">
        <x:v>IV09</x:v>
      </x:c>
      <x:c r="I1095" s="17" t="str">
        <x:v>Bounded remedy</x:v>
      </x:c>
      <x:c r="J1095" s="17" t="str">
        <x:v>only a new slot and EOW may follow; no favorable credit or erased attempt</x:v>
      </x:c>
      <x:c r="K1095" s="17" t="str">
        <x:v>Invalidity court</x:v>
      </x:c>
      <x:c r="L1095" s="9" t="n">
        <x:v>0</x:v>
      </x:c>
      <x:c r="M1095" s="9" t="n">
        <x:v>0</x:v>
      </x:c>
      <x:c r="N1095" s="9" t="str">
        <x:v>UNFILED / UNPROVEN</x:v>
      </x:c>
      <x:c r="O1095" s="9" t="n">
        <x:f>COUNTIFS($A$7:$A$1302,A1095)</x:f>
        <x:v>1</x:v>
      </x:c>
    </x:row>
    <x:row r="1096">
      <x:c r="A1096" s="9" t="str">
        <x:v>EV-AR-ET-A-A-TECH-4-B1-BRK-G0-IV01</x:v>
      </x:c>
      <x:c r="B1096" s="9" t="str">
        <x:v>EV-AR-ET-A-A-TECH-4-B1-BRK-G0</x:v>
      </x:c>
      <x:c r="C1096" s="9" t="str">
        <x:v>AR-ET-A-A-TECH-4-B1-BRK-G0</x:v>
      </x:c>
      <x:c r="D1096" s="9" t="str">
        <x:v>ET-A-A-TECH-4</x:v>
      </x:c>
      <x:c r="E1096" s="9" t="str">
        <x:v>ET-A-A</x:v>
      </x:c>
      <x:c r="F1096" s="9" t="str">
        <x:v>B1</x:v>
      </x:c>
      <x:c r="G1096" s="9" t="str">
        <x:v>BRK</x:v>
      </x:c>
      <x:c r="H1096" s="9" t="str">
        <x:v>IV01</x:v>
      </x:c>
      <x:c r="I1096" s="17" t="str">
        <x:v>Timely petition</x:v>
      </x:c>
      <x:c r="J1096" s="17" t="str">
        <x:v>petition enters within seventy-two hours of event close</x:v>
      </x:c>
      <x:c r="K1096" s="17" t="str">
        <x:v>Invalidity registrar</x:v>
      </x:c>
      <x:c r="L1096" s="9" t="n">
        <x:v>0</x:v>
      </x:c>
      <x:c r="M1096" s="9" t="n">
        <x:v>0</x:v>
      </x:c>
      <x:c r="N1096" s="9" t="str">
        <x:v>UNFILED / UNPROVEN</x:v>
      </x:c>
      <x:c r="O1096" s="9" t="n">
        <x:f>COUNTIFS($A$7:$A$1302,A1096)</x:f>
        <x:v>1</x:v>
      </x:c>
    </x:row>
    <x:row r="1097">
      <x:c r="A1097" s="9" t="str">
        <x:v>EV-AR-ET-A-A-TECH-4-B1-BRK-G0-IV02</x:v>
      </x:c>
      <x:c r="B1097" s="9" t="str">
        <x:v>EV-AR-ET-A-A-TECH-4-B1-BRK-G0</x:v>
      </x:c>
      <x:c r="C1097" s="9" t="str">
        <x:v>AR-ET-A-A-TECH-4-B1-BRK-G0</x:v>
      </x:c>
      <x:c r="D1097" s="9" t="str">
        <x:v>ET-A-A-TECH-4</x:v>
      </x:c>
      <x:c r="E1097" s="9" t="str">
        <x:v>ET-A-A</x:v>
      </x:c>
      <x:c r="F1097" s="9" t="str">
        <x:v>B1</x:v>
      </x:c>
      <x:c r="G1097" s="9" t="str">
        <x:v>BRK</x:v>
      </x:c>
      <x:c r="H1097" s="9" t="str">
        <x:v>IV02</x:v>
      </x:c>
      <x:c r="I1097" s="17" t="str">
        <x:v>Named facility cause</x:v>
      </x:c>
      <x:c r="J1097" s="17" t="str">
        <x:v>one pre-registered noncandidate cause is identified</x:v>
      </x:c>
      <x:c r="K1097" s="17" t="str">
        <x:v>Facility-cause court</x:v>
      </x:c>
      <x:c r="L1097" s="9" t="n">
        <x:v>0</x:v>
      </x:c>
      <x:c r="M1097" s="9" t="n">
        <x:v>0</x:v>
      </x:c>
      <x:c r="N1097" s="9" t="str">
        <x:v>UNFILED / UNPROVEN</x:v>
      </x:c>
      <x:c r="O1097" s="9" t="n">
        <x:f>COUNTIFS($A$7:$A$1302,A1097)</x:f>
        <x:v>1</x:v>
      </x:c>
    </x:row>
    <x:row r="1098">
      <x:c r="A1098" s="9" t="str">
        <x:v>EV-AR-ET-A-A-TECH-4-B1-BRK-G0-IV03</x:v>
      </x:c>
      <x:c r="B1098" s="9" t="str">
        <x:v>EV-AR-ET-A-A-TECH-4-B1-BRK-G0</x:v>
      </x:c>
      <x:c r="C1098" s="9" t="str">
        <x:v>AR-ET-A-A-TECH-4-B1-BRK-G0</x:v>
      </x:c>
      <x:c r="D1098" s="9" t="str">
        <x:v>ET-A-A-TECH-4</x:v>
      </x:c>
      <x:c r="E1098" s="9" t="str">
        <x:v>ET-A-A</x:v>
      </x:c>
      <x:c r="F1098" s="9" t="str">
        <x:v>B1</x:v>
      </x:c>
      <x:c r="G1098" s="9" t="str">
        <x:v>BRK</x:v>
      </x:c>
      <x:c r="H1098" s="9" t="str">
        <x:v>IV03</x:v>
      </x:c>
      <x:c r="I1098" s="17" t="str">
        <x:v>Temporal priority</x:v>
      </x:c>
      <x:c r="J1098" s="17" t="str">
        <x:v>cause demonstrably precedes the disputed candidate behavior</x:v>
      </x:c>
      <x:c r="K1098" s="17" t="str">
        <x:v>Time authority</x:v>
      </x:c>
      <x:c r="L1098" s="9" t="n">
        <x:v>0</x:v>
      </x:c>
      <x:c r="M1098" s="9" t="n">
        <x:v>0</x:v>
      </x:c>
      <x:c r="N1098" s="9" t="str">
        <x:v>UNFILED / UNPROVEN</x:v>
      </x:c>
      <x:c r="O1098" s="9" t="n">
        <x:f>COUNTIFS($A$7:$A$1302,A1098)</x:f>
        <x:v>1</x:v>
      </x:c>
    </x:row>
    <x:row r="1099">
      <x:c r="A1099" s="9" t="str">
        <x:v>EV-AR-ET-A-A-TECH-4-B1-BRK-G0-IV04</x:v>
      </x:c>
      <x:c r="B1099" s="9" t="str">
        <x:v>EV-AR-ET-A-A-TECH-4-B1-BRK-G0</x:v>
      </x:c>
      <x:c r="C1099" s="9" t="str">
        <x:v>AR-ET-A-A-TECH-4-B1-BRK-G0</x:v>
      </x:c>
      <x:c r="D1099" s="9" t="str">
        <x:v>ET-A-A-TECH-4</x:v>
      </x:c>
      <x:c r="E1099" s="9" t="str">
        <x:v>ET-A-A</x:v>
      </x:c>
      <x:c r="F1099" s="9" t="str">
        <x:v>B1</x:v>
      </x:c>
      <x:c r="G1099" s="9" t="str">
        <x:v>BRK</x:v>
      </x:c>
      <x:c r="H1099" s="9" t="str">
        <x:v>IV04</x:v>
      </x:c>
      <x:c r="I1099" s="17" t="str">
        <x:v>Independent trace</x:v>
      </x:c>
      <x:c r="J1099" s="17" t="str">
        <x:v>two unlike records carry the cause without candidate custody</x:v>
      </x:c>
      <x:c r="K1099" s="17" t="str">
        <x:v>Invalidity court</x:v>
      </x:c>
      <x:c r="L1099" s="9" t="n">
        <x:v>0</x:v>
      </x:c>
      <x:c r="M1099" s="9" t="n">
        <x:v>0</x:v>
      </x:c>
      <x:c r="N1099" s="9" t="str">
        <x:v>UNFILED / UNPROVEN</x:v>
      </x:c>
      <x:c r="O1099" s="9" t="n">
        <x:f>COUNTIFS($A$7:$A$1302,A1099)</x:f>
        <x:v>1</x:v>
      </x:c>
    </x:row>
    <x:row r="1100">
      <x:c r="A1100" s="9" t="str">
        <x:v>EV-AR-ET-A-A-TECH-4-B1-BRK-G0-IV05</x:v>
      </x:c>
      <x:c r="B1100" s="9" t="str">
        <x:v>EV-AR-ET-A-A-TECH-4-B1-BRK-G0</x:v>
      </x:c>
      <x:c r="C1100" s="9" t="str">
        <x:v>AR-ET-A-A-TECH-4-B1-BRK-G0</x:v>
      </x:c>
      <x:c r="D1100" s="9" t="str">
        <x:v>ET-A-A-TECH-4</x:v>
      </x:c>
      <x:c r="E1100" s="9" t="str">
        <x:v>ET-A-A</x:v>
      </x:c>
      <x:c r="F1100" s="9" t="str">
        <x:v>B1</x:v>
      </x:c>
      <x:c r="G1100" s="9" t="str">
        <x:v>BRK</x:v>
      </x:c>
      <x:c r="H1100" s="9" t="str">
        <x:v>IV05</x:v>
      </x:c>
      <x:c r="I1100" s="17" t="str">
        <x:v>Causal counterfactual</x:v>
      </x:c>
      <x:c r="J1100" s="17" t="str">
        <x:v>registered counterfactual shows the cause can create the defect</x:v>
      </x:c>
      <x:c r="K1100" s="17" t="str">
        <x:v>Causal court</x:v>
      </x:c>
      <x:c r="L1100" s="9" t="n">
        <x:v>0</x:v>
      </x:c>
      <x:c r="M1100" s="9" t="n">
        <x:v>0</x:v>
      </x:c>
      <x:c r="N1100" s="9" t="str">
        <x:v>UNFILED / UNPROVEN</x:v>
      </x:c>
      <x:c r="O1100" s="9" t="n">
        <x:f>COUNTIFS($A$7:$A$1302,A1100)</x:f>
        <x:v>1</x:v>
      </x:c>
    </x:row>
    <x:row r="1101">
      <x:c r="A1101" s="9" t="str">
        <x:v>EV-AR-ET-A-A-TECH-4-B1-BRK-G0-IV06</x:v>
      </x:c>
      <x:c r="B1101" s="9" t="str">
        <x:v>EV-AR-ET-A-A-TECH-4-B1-BRK-G0</x:v>
      </x:c>
      <x:c r="C1101" s="9" t="str">
        <x:v>AR-ET-A-A-TECH-4-B1-BRK-G0</x:v>
      </x:c>
      <x:c r="D1101" s="9" t="str">
        <x:v>ET-A-A-TECH-4</x:v>
      </x:c>
      <x:c r="E1101" s="9" t="str">
        <x:v>ET-A-A</x:v>
      </x:c>
      <x:c r="F1101" s="9" t="str">
        <x:v>B1</x:v>
      </x:c>
      <x:c r="G1101" s="9" t="str">
        <x:v>BRK</x:v>
      </x:c>
      <x:c r="H1101" s="9" t="str">
        <x:v>IV06</x:v>
      </x:c>
      <x:c r="I1101" s="17" t="str">
        <x:v>Candidate non-causation</x:v>
      </x:c>
      <x:c r="J1101" s="17" t="str">
        <x:v>evidence excludes candidate induction of the facility condition</x:v>
      </x:c>
      <x:c r="K1101" s="17" t="str">
        <x:v>Causal court</x:v>
      </x:c>
      <x:c r="L1101" s="9" t="n">
        <x:v>0</x:v>
      </x:c>
      <x:c r="M1101" s="9" t="n">
        <x:v>0</x:v>
      </x:c>
      <x:c r="N1101" s="9" t="str">
        <x:v>UNFILED / UNPROVEN</x:v>
      </x:c>
      <x:c r="O1101" s="9" t="n">
        <x:f>COUNTIFS($A$7:$A$1302,A1101)</x:f>
        <x:v>1</x:v>
      </x:c>
    </x:row>
    <x:row r="1102">
      <x:c r="A1102" s="9" t="str">
        <x:v>EV-AR-ET-A-A-TECH-4-B1-BRK-G0-IV07</x:v>
      </x:c>
      <x:c r="B1102" s="9" t="str">
        <x:v>EV-AR-ET-A-A-TECH-4-B1-BRK-G0</x:v>
      </x:c>
      <x:c r="C1102" s="9" t="str">
        <x:v>AR-ET-A-A-TECH-4-B1-BRK-G0</x:v>
      </x:c>
      <x:c r="D1102" s="9" t="str">
        <x:v>ET-A-A-TECH-4</x:v>
      </x:c>
      <x:c r="E1102" s="9" t="str">
        <x:v>ET-A-A</x:v>
      </x:c>
      <x:c r="F1102" s="9" t="str">
        <x:v>B1</x:v>
      </x:c>
      <x:c r="G1102" s="9" t="str">
        <x:v>BRK</x:v>
      </x:c>
      <x:c r="H1102" s="9" t="str">
        <x:v>IV07</x:v>
      </x:c>
      <x:c r="I1102" s="17" t="str">
        <x:v>No outcome selection</x:v>
      </x:c>
      <x:c r="J1102" s="17" t="str">
        <x:v>petition rule and evidence scope were fixed before visibility</x:v>
      </x:c>
      <x:c r="K1102" s="17" t="str">
        <x:v>Conflict registrar</x:v>
      </x:c>
      <x:c r="L1102" s="9" t="n">
        <x:v>0</x:v>
      </x:c>
      <x:c r="M1102" s="9" t="n">
        <x:v>0</x:v>
      </x:c>
      <x:c r="N1102" s="9" t="str">
        <x:v>UNFILED / UNPROVEN</x:v>
      </x:c>
      <x:c r="O1102" s="9" t="n">
        <x:f>COUNTIFS($A$7:$A$1302,A1102)</x:f>
        <x:v>1</x:v>
      </x:c>
    </x:row>
    <x:row r="1103">
      <x:c r="A1103" s="9" t="str">
        <x:v>EV-AR-ET-A-A-TECH-4-B1-BRK-G0-IV08</x:v>
      </x:c>
      <x:c r="B1103" s="9" t="str">
        <x:v>EV-AR-ET-A-A-TECH-4-B1-BRK-G0</x:v>
      </x:c>
      <x:c r="C1103" s="9" t="str">
        <x:v>AR-ET-A-A-TECH-4-B1-BRK-G0</x:v>
      </x:c>
      <x:c r="D1103" s="9" t="str">
        <x:v>ET-A-A-TECH-4</x:v>
      </x:c>
      <x:c r="E1103" s="9" t="str">
        <x:v>ET-A-A</x:v>
      </x:c>
      <x:c r="F1103" s="9" t="str">
        <x:v>B1</x:v>
      </x:c>
      <x:c r="G1103" s="9" t="str">
        <x:v>BRK</x:v>
      </x:c>
      <x:c r="H1103" s="9" t="str">
        <x:v>IV08</x:v>
      </x:c>
      <x:c r="I1103" s="17" t="str">
        <x:v>Whole-record preservation</x:v>
      </x:c>
      <x:c r="J1103" s="17" t="str">
        <x:v>start, raw behavior, dissent and intervention remain in archive</x:v>
      </x:c>
      <x:c r="K1103" s="17" t="str">
        <x:v>Archive authority</x:v>
      </x:c>
      <x:c r="L1103" s="9" t="n">
        <x:v>0</x:v>
      </x:c>
      <x:c r="M1103" s="9" t="n">
        <x:v>0</x:v>
      </x:c>
      <x:c r="N1103" s="9" t="str">
        <x:v>UNFILED / UNPROVEN</x:v>
      </x:c>
      <x:c r="O1103" s="9" t="n">
        <x:f>COUNTIFS($A$7:$A$1302,A1103)</x:f>
        <x:v>1</x:v>
      </x:c>
    </x:row>
    <x:row r="1104">
      <x:c r="A1104" s="9" t="str">
        <x:v>EV-AR-ET-A-A-TECH-4-B1-BRK-G0-IV09</x:v>
      </x:c>
      <x:c r="B1104" s="9" t="str">
        <x:v>EV-AR-ET-A-A-TECH-4-B1-BRK-G0</x:v>
      </x:c>
      <x:c r="C1104" s="9" t="str">
        <x:v>AR-ET-A-A-TECH-4-B1-BRK-G0</x:v>
      </x:c>
      <x:c r="D1104" s="9" t="str">
        <x:v>ET-A-A-TECH-4</x:v>
      </x:c>
      <x:c r="E1104" s="9" t="str">
        <x:v>ET-A-A</x:v>
      </x:c>
      <x:c r="F1104" s="9" t="str">
        <x:v>B1</x:v>
      </x:c>
      <x:c r="G1104" s="9" t="str">
        <x:v>BRK</x:v>
      </x:c>
      <x:c r="H1104" s="9" t="str">
        <x:v>IV09</x:v>
      </x:c>
      <x:c r="I1104" s="17" t="str">
        <x:v>Bounded remedy</x:v>
      </x:c>
      <x:c r="J1104" s="17" t="str">
        <x:v>only a new slot and EOW may follow; no favorable credit or erased attempt</x:v>
      </x:c>
      <x:c r="K1104" s="17" t="str">
        <x:v>Invalidity court</x:v>
      </x:c>
      <x:c r="L1104" s="9" t="n">
        <x:v>0</x:v>
      </x:c>
      <x:c r="M1104" s="9" t="n">
        <x:v>0</x:v>
      </x:c>
      <x:c r="N1104" s="9" t="str">
        <x:v>UNFILED / UNPROVEN</x:v>
      </x:c>
      <x:c r="O1104" s="9" t="n">
        <x:f>COUNTIFS($A$7:$A$1302,A1104)</x:f>
        <x:v>1</x:v>
      </x:c>
    </x:row>
    <x:row r="1105">
      <x:c r="A1105" s="9" t="str">
        <x:v>EV-AR-ET-A-A-TECH-3-B2-BRK-G0-IV01</x:v>
      </x:c>
      <x:c r="B1105" s="9" t="str">
        <x:v>EV-AR-ET-A-A-TECH-3-B2-BRK-G0</x:v>
      </x:c>
      <x:c r="C1105" s="9" t="str">
        <x:v>AR-ET-A-A-TECH-3-B2-BRK-G0</x:v>
      </x:c>
      <x:c r="D1105" s="9" t="str">
        <x:v>ET-A-A-TECH-3</x:v>
      </x:c>
      <x:c r="E1105" s="9" t="str">
        <x:v>ET-A-A</x:v>
      </x:c>
      <x:c r="F1105" s="9" t="str">
        <x:v>B2</x:v>
      </x:c>
      <x:c r="G1105" s="9" t="str">
        <x:v>BRK</x:v>
      </x:c>
      <x:c r="H1105" s="9" t="str">
        <x:v>IV01</x:v>
      </x:c>
      <x:c r="I1105" s="17" t="str">
        <x:v>Timely petition</x:v>
      </x:c>
      <x:c r="J1105" s="17" t="str">
        <x:v>petition enters within seventy-two hours of event close</x:v>
      </x:c>
      <x:c r="K1105" s="17" t="str">
        <x:v>Invalidity registrar</x:v>
      </x:c>
      <x:c r="L1105" s="9" t="n">
        <x:v>0</x:v>
      </x:c>
      <x:c r="M1105" s="9" t="n">
        <x:v>0</x:v>
      </x:c>
      <x:c r="N1105" s="9" t="str">
        <x:v>UNFILED / UNPROVEN</x:v>
      </x:c>
      <x:c r="O1105" s="9" t="n">
        <x:f>COUNTIFS($A$7:$A$1302,A1105)</x:f>
        <x:v>1</x:v>
      </x:c>
    </x:row>
    <x:row r="1106">
      <x:c r="A1106" s="9" t="str">
        <x:v>EV-AR-ET-A-A-TECH-3-B2-BRK-G0-IV02</x:v>
      </x:c>
      <x:c r="B1106" s="9" t="str">
        <x:v>EV-AR-ET-A-A-TECH-3-B2-BRK-G0</x:v>
      </x:c>
      <x:c r="C1106" s="9" t="str">
        <x:v>AR-ET-A-A-TECH-3-B2-BRK-G0</x:v>
      </x:c>
      <x:c r="D1106" s="9" t="str">
        <x:v>ET-A-A-TECH-3</x:v>
      </x:c>
      <x:c r="E1106" s="9" t="str">
        <x:v>ET-A-A</x:v>
      </x:c>
      <x:c r="F1106" s="9" t="str">
        <x:v>B2</x:v>
      </x:c>
      <x:c r="G1106" s="9" t="str">
        <x:v>BRK</x:v>
      </x:c>
      <x:c r="H1106" s="9" t="str">
        <x:v>IV02</x:v>
      </x:c>
      <x:c r="I1106" s="17" t="str">
        <x:v>Named facility cause</x:v>
      </x:c>
      <x:c r="J1106" s="17" t="str">
        <x:v>one pre-registered noncandidate cause is identified</x:v>
      </x:c>
      <x:c r="K1106" s="17" t="str">
        <x:v>Facility-cause court</x:v>
      </x:c>
      <x:c r="L1106" s="9" t="n">
        <x:v>0</x:v>
      </x:c>
      <x:c r="M1106" s="9" t="n">
        <x:v>0</x:v>
      </x:c>
      <x:c r="N1106" s="9" t="str">
        <x:v>UNFILED / UNPROVEN</x:v>
      </x:c>
      <x:c r="O1106" s="9" t="n">
        <x:f>COUNTIFS($A$7:$A$1302,A1106)</x:f>
        <x:v>1</x:v>
      </x:c>
    </x:row>
    <x:row r="1107">
      <x:c r="A1107" s="9" t="str">
        <x:v>EV-AR-ET-A-A-TECH-3-B2-BRK-G0-IV03</x:v>
      </x:c>
      <x:c r="B1107" s="9" t="str">
        <x:v>EV-AR-ET-A-A-TECH-3-B2-BRK-G0</x:v>
      </x:c>
      <x:c r="C1107" s="9" t="str">
        <x:v>AR-ET-A-A-TECH-3-B2-BRK-G0</x:v>
      </x:c>
      <x:c r="D1107" s="9" t="str">
        <x:v>ET-A-A-TECH-3</x:v>
      </x:c>
      <x:c r="E1107" s="9" t="str">
        <x:v>ET-A-A</x:v>
      </x:c>
      <x:c r="F1107" s="9" t="str">
        <x:v>B2</x:v>
      </x:c>
      <x:c r="G1107" s="9" t="str">
        <x:v>BRK</x:v>
      </x:c>
      <x:c r="H1107" s="9" t="str">
        <x:v>IV03</x:v>
      </x:c>
      <x:c r="I1107" s="17" t="str">
        <x:v>Temporal priority</x:v>
      </x:c>
      <x:c r="J1107" s="17" t="str">
        <x:v>cause demonstrably precedes the disputed candidate behavior</x:v>
      </x:c>
      <x:c r="K1107" s="17" t="str">
        <x:v>Time authority</x:v>
      </x:c>
      <x:c r="L1107" s="9" t="n">
        <x:v>0</x:v>
      </x:c>
      <x:c r="M1107" s="9" t="n">
        <x:v>0</x:v>
      </x:c>
      <x:c r="N1107" s="9" t="str">
        <x:v>UNFILED / UNPROVEN</x:v>
      </x:c>
      <x:c r="O1107" s="9" t="n">
        <x:f>COUNTIFS($A$7:$A$1302,A1107)</x:f>
        <x:v>1</x:v>
      </x:c>
    </x:row>
    <x:row r="1108">
      <x:c r="A1108" s="9" t="str">
        <x:v>EV-AR-ET-A-A-TECH-3-B2-BRK-G0-IV04</x:v>
      </x:c>
      <x:c r="B1108" s="9" t="str">
        <x:v>EV-AR-ET-A-A-TECH-3-B2-BRK-G0</x:v>
      </x:c>
      <x:c r="C1108" s="9" t="str">
        <x:v>AR-ET-A-A-TECH-3-B2-BRK-G0</x:v>
      </x:c>
      <x:c r="D1108" s="9" t="str">
        <x:v>ET-A-A-TECH-3</x:v>
      </x:c>
      <x:c r="E1108" s="9" t="str">
        <x:v>ET-A-A</x:v>
      </x:c>
      <x:c r="F1108" s="9" t="str">
        <x:v>B2</x:v>
      </x:c>
      <x:c r="G1108" s="9" t="str">
        <x:v>BRK</x:v>
      </x:c>
      <x:c r="H1108" s="9" t="str">
        <x:v>IV04</x:v>
      </x:c>
      <x:c r="I1108" s="17" t="str">
        <x:v>Independent trace</x:v>
      </x:c>
      <x:c r="J1108" s="17" t="str">
        <x:v>two unlike records carry the cause without candidate custody</x:v>
      </x:c>
      <x:c r="K1108" s="17" t="str">
        <x:v>Invalidity court</x:v>
      </x:c>
      <x:c r="L1108" s="9" t="n">
        <x:v>0</x:v>
      </x:c>
      <x:c r="M1108" s="9" t="n">
        <x:v>0</x:v>
      </x:c>
      <x:c r="N1108" s="9" t="str">
        <x:v>UNFILED / UNPROVEN</x:v>
      </x:c>
      <x:c r="O1108" s="9" t="n">
        <x:f>COUNTIFS($A$7:$A$1302,A1108)</x:f>
        <x:v>1</x:v>
      </x:c>
    </x:row>
    <x:row r="1109">
      <x:c r="A1109" s="9" t="str">
        <x:v>EV-AR-ET-A-A-TECH-3-B2-BRK-G0-IV05</x:v>
      </x:c>
      <x:c r="B1109" s="9" t="str">
        <x:v>EV-AR-ET-A-A-TECH-3-B2-BRK-G0</x:v>
      </x:c>
      <x:c r="C1109" s="9" t="str">
        <x:v>AR-ET-A-A-TECH-3-B2-BRK-G0</x:v>
      </x:c>
      <x:c r="D1109" s="9" t="str">
        <x:v>ET-A-A-TECH-3</x:v>
      </x:c>
      <x:c r="E1109" s="9" t="str">
        <x:v>ET-A-A</x:v>
      </x:c>
      <x:c r="F1109" s="9" t="str">
        <x:v>B2</x:v>
      </x:c>
      <x:c r="G1109" s="9" t="str">
        <x:v>BRK</x:v>
      </x:c>
      <x:c r="H1109" s="9" t="str">
        <x:v>IV05</x:v>
      </x:c>
      <x:c r="I1109" s="17" t="str">
        <x:v>Causal counterfactual</x:v>
      </x:c>
      <x:c r="J1109" s="17" t="str">
        <x:v>registered counterfactual shows the cause can create the defect</x:v>
      </x:c>
      <x:c r="K1109" s="17" t="str">
        <x:v>Causal court</x:v>
      </x:c>
      <x:c r="L1109" s="9" t="n">
        <x:v>0</x:v>
      </x:c>
      <x:c r="M1109" s="9" t="n">
        <x:v>0</x:v>
      </x:c>
      <x:c r="N1109" s="9" t="str">
        <x:v>UNFILED / UNPROVEN</x:v>
      </x:c>
      <x:c r="O1109" s="9" t="n">
        <x:f>COUNTIFS($A$7:$A$1302,A1109)</x:f>
        <x:v>1</x:v>
      </x:c>
    </x:row>
    <x:row r="1110">
      <x:c r="A1110" s="9" t="str">
        <x:v>EV-AR-ET-A-A-TECH-3-B2-BRK-G0-IV06</x:v>
      </x:c>
      <x:c r="B1110" s="9" t="str">
        <x:v>EV-AR-ET-A-A-TECH-3-B2-BRK-G0</x:v>
      </x:c>
      <x:c r="C1110" s="9" t="str">
        <x:v>AR-ET-A-A-TECH-3-B2-BRK-G0</x:v>
      </x:c>
      <x:c r="D1110" s="9" t="str">
        <x:v>ET-A-A-TECH-3</x:v>
      </x:c>
      <x:c r="E1110" s="9" t="str">
        <x:v>ET-A-A</x:v>
      </x:c>
      <x:c r="F1110" s="9" t="str">
        <x:v>B2</x:v>
      </x:c>
      <x:c r="G1110" s="9" t="str">
        <x:v>BRK</x:v>
      </x:c>
      <x:c r="H1110" s="9" t="str">
        <x:v>IV06</x:v>
      </x:c>
      <x:c r="I1110" s="17" t="str">
        <x:v>Candidate non-causation</x:v>
      </x:c>
      <x:c r="J1110" s="17" t="str">
        <x:v>evidence excludes candidate induction of the facility condition</x:v>
      </x:c>
      <x:c r="K1110" s="17" t="str">
        <x:v>Causal court</x:v>
      </x:c>
      <x:c r="L1110" s="9" t="n">
        <x:v>0</x:v>
      </x:c>
      <x:c r="M1110" s="9" t="n">
        <x:v>0</x:v>
      </x:c>
      <x:c r="N1110" s="9" t="str">
        <x:v>UNFILED / UNPROVEN</x:v>
      </x:c>
      <x:c r="O1110" s="9" t="n">
        <x:f>COUNTIFS($A$7:$A$1302,A1110)</x:f>
        <x:v>1</x:v>
      </x:c>
    </x:row>
    <x:row r="1111">
      <x:c r="A1111" s="9" t="str">
        <x:v>EV-AR-ET-A-A-TECH-3-B2-BRK-G0-IV07</x:v>
      </x:c>
      <x:c r="B1111" s="9" t="str">
        <x:v>EV-AR-ET-A-A-TECH-3-B2-BRK-G0</x:v>
      </x:c>
      <x:c r="C1111" s="9" t="str">
        <x:v>AR-ET-A-A-TECH-3-B2-BRK-G0</x:v>
      </x:c>
      <x:c r="D1111" s="9" t="str">
        <x:v>ET-A-A-TECH-3</x:v>
      </x:c>
      <x:c r="E1111" s="9" t="str">
        <x:v>ET-A-A</x:v>
      </x:c>
      <x:c r="F1111" s="9" t="str">
        <x:v>B2</x:v>
      </x:c>
      <x:c r="G1111" s="9" t="str">
        <x:v>BRK</x:v>
      </x:c>
      <x:c r="H1111" s="9" t="str">
        <x:v>IV07</x:v>
      </x:c>
      <x:c r="I1111" s="17" t="str">
        <x:v>No outcome selection</x:v>
      </x:c>
      <x:c r="J1111" s="17" t="str">
        <x:v>petition rule and evidence scope were fixed before visibility</x:v>
      </x:c>
      <x:c r="K1111" s="17" t="str">
        <x:v>Conflict registrar</x:v>
      </x:c>
      <x:c r="L1111" s="9" t="n">
        <x:v>0</x:v>
      </x:c>
      <x:c r="M1111" s="9" t="n">
        <x:v>0</x:v>
      </x:c>
      <x:c r="N1111" s="9" t="str">
        <x:v>UNFILED / UNPROVEN</x:v>
      </x:c>
      <x:c r="O1111" s="9" t="n">
        <x:f>COUNTIFS($A$7:$A$1302,A1111)</x:f>
        <x:v>1</x:v>
      </x:c>
    </x:row>
    <x:row r="1112">
      <x:c r="A1112" s="9" t="str">
        <x:v>EV-AR-ET-A-A-TECH-3-B2-BRK-G0-IV08</x:v>
      </x:c>
      <x:c r="B1112" s="9" t="str">
        <x:v>EV-AR-ET-A-A-TECH-3-B2-BRK-G0</x:v>
      </x:c>
      <x:c r="C1112" s="9" t="str">
        <x:v>AR-ET-A-A-TECH-3-B2-BRK-G0</x:v>
      </x:c>
      <x:c r="D1112" s="9" t="str">
        <x:v>ET-A-A-TECH-3</x:v>
      </x:c>
      <x:c r="E1112" s="9" t="str">
        <x:v>ET-A-A</x:v>
      </x:c>
      <x:c r="F1112" s="9" t="str">
        <x:v>B2</x:v>
      </x:c>
      <x:c r="G1112" s="9" t="str">
        <x:v>BRK</x:v>
      </x:c>
      <x:c r="H1112" s="9" t="str">
        <x:v>IV08</x:v>
      </x:c>
      <x:c r="I1112" s="17" t="str">
        <x:v>Whole-record preservation</x:v>
      </x:c>
      <x:c r="J1112" s="17" t="str">
        <x:v>start, raw behavior, dissent and intervention remain in archive</x:v>
      </x:c>
      <x:c r="K1112" s="17" t="str">
        <x:v>Archive authority</x:v>
      </x:c>
      <x:c r="L1112" s="9" t="n">
        <x:v>0</x:v>
      </x:c>
      <x:c r="M1112" s="9" t="n">
        <x:v>0</x:v>
      </x:c>
      <x:c r="N1112" s="9" t="str">
        <x:v>UNFILED / UNPROVEN</x:v>
      </x:c>
      <x:c r="O1112" s="9" t="n">
        <x:f>COUNTIFS($A$7:$A$1302,A1112)</x:f>
        <x:v>1</x:v>
      </x:c>
    </x:row>
    <x:row r="1113">
      <x:c r="A1113" s="9" t="str">
        <x:v>EV-AR-ET-A-A-TECH-3-B2-BRK-G0-IV09</x:v>
      </x:c>
      <x:c r="B1113" s="9" t="str">
        <x:v>EV-AR-ET-A-A-TECH-3-B2-BRK-G0</x:v>
      </x:c>
      <x:c r="C1113" s="9" t="str">
        <x:v>AR-ET-A-A-TECH-3-B2-BRK-G0</x:v>
      </x:c>
      <x:c r="D1113" s="9" t="str">
        <x:v>ET-A-A-TECH-3</x:v>
      </x:c>
      <x:c r="E1113" s="9" t="str">
        <x:v>ET-A-A</x:v>
      </x:c>
      <x:c r="F1113" s="9" t="str">
        <x:v>B2</x:v>
      </x:c>
      <x:c r="G1113" s="9" t="str">
        <x:v>BRK</x:v>
      </x:c>
      <x:c r="H1113" s="9" t="str">
        <x:v>IV09</x:v>
      </x:c>
      <x:c r="I1113" s="17" t="str">
        <x:v>Bounded remedy</x:v>
      </x:c>
      <x:c r="J1113" s="17" t="str">
        <x:v>only a new slot and EOW may follow; no favorable credit or erased attempt</x:v>
      </x:c>
      <x:c r="K1113" s="17" t="str">
        <x:v>Invalidity court</x:v>
      </x:c>
      <x:c r="L1113" s="9" t="n">
        <x:v>0</x:v>
      </x:c>
      <x:c r="M1113" s="9" t="n">
        <x:v>0</x:v>
      </x:c>
      <x:c r="N1113" s="9" t="str">
        <x:v>UNFILED / UNPROVEN</x:v>
      </x:c>
      <x:c r="O1113" s="9" t="n">
        <x:f>COUNTIFS($A$7:$A$1302,A1113)</x:f>
        <x:v>1</x:v>
      </x:c>
    </x:row>
    <x:row r="1114">
      <x:c r="A1114" s="9" t="str">
        <x:v>EV-AR-HC-A-C-TECH-4-B1-INT-G0-IV01</x:v>
      </x:c>
      <x:c r="B1114" s="9" t="str">
        <x:v>EV-AR-HC-A-C-TECH-4-B1-INT-G0</x:v>
      </x:c>
      <x:c r="C1114" s="9" t="str">
        <x:v>AR-HC-A-C-TECH-4-B1-INT-G0</x:v>
      </x:c>
      <x:c r="D1114" s="9" t="str">
        <x:v>HC-A-C-TECH-4</x:v>
      </x:c>
      <x:c r="E1114" s="9" t="str">
        <x:v>HC-A-C</x:v>
      </x:c>
      <x:c r="F1114" s="9" t="str">
        <x:v>B1</x:v>
      </x:c>
      <x:c r="G1114" s="9" t="str">
        <x:v>INT</x:v>
      </x:c>
      <x:c r="H1114" s="9" t="str">
        <x:v>IV01</x:v>
      </x:c>
      <x:c r="I1114" s="17" t="str">
        <x:v>Timely petition</x:v>
      </x:c>
      <x:c r="J1114" s="17" t="str">
        <x:v>petition enters within seventy-two hours of event close</x:v>
      </x:c>
      <x:c r="K1114" s="17" t="str">
        <x:v>Invalidity registrar</x:v>
      </x:c>
      <x:c r="L1114" s="9" t="n">
        <x:v>0</x:v>
      </x:c>
      <x:c r="M1114" s="9" t="n">
        <x:v>0</x:v>
      </x:c>
      <x:c r="N1114" s="9" t="str">
        <x:v>UNFILED / UNPROVEN</x:v>
      </x:c>
      <x:c r="O1114" s="9" t="n">
        <x:f>COUNTIFS($A$7:$A$1302,A1114)</x:f>
        <x:v>1</x:v>
      </x:c>
    </x:row>
    <x:row r="1115">
      <x:c r="A1115" s="9" t="str">
        <x:v>EV-AR-HC-A-C-TECH-4-B1-INT-G0-IV02</x:v>
      </x:c>
      <x:c r="B1115" s="9" t="str">
        <x:v>EV-AR-HC-A-C-TECH-4-B1-INT-G0</x:v>
      </x:c>
      <x:c r="C1115" s="9" t="str">
        <x:v>AR-HC-A-C-TECH-4-B1-INT-G0</x:v>
      </x:c>
      <x:c r="D1115" s="9" t="str">
        <x:v>HC-A-C-TECH-4</x:v>
      </x:c>
      <x:c r="E1115" s="9" t="str">
        <x:v>HC-A-C</x:v>
      </x:c>
      <x:c r="F1115" s="9" t="str">
        <x:v>B1</x:v>
      </x:c>
      <x:c r="G1115" s="9" t="str">
        <x:v>INT</x:v>
      </x:c>
      <x:c r="H1115" s="9" t="str">
        <x:v>IV02</x:v>
      </x:c>
      <x:c r="I1115" s="17" t="str">
        <x:v>Named facility cause</x:v>
      </x:c>
      <x:c r="J1115" s="17" t="str">
        <x:v>one pre-registered noncandidate cause is identified</x:v>
      </x:c>
      <x:c r="K1115" s="17" t="str">
        <x:v>Facility-cause court</x:v>
      </x:c>
      <x:c r="L1115" s="9" t="n">
        <x:v>0</x:v>
      </x:c>
      <x:c r="M1115" s="9" t="n">
        <x:v>0</x:v>
      </x:c>
      <x:c r="N1115" s="9" t="str">
        <x:v>UNFILED / UNPROVEN</x:v>
      </x:c>
      <x:c r="O1115" s="9" t="n">
        <x:f>COUNTIFS($A$7:$A$1302,A1115)</x:f>
        <x:v>1</x:v>
      </x:c>
    </x:row>
    <x:row r="1116">
      <x:c r="A1116" s="9" t="str">
        <x:v>EV-AR-HC-A-C-TECH-4-B1-INT-G0-IV03</x:v>
      </x:c>
      <x:c r="B1116" s="9" t="str">
        <x:v>EV-AR-HC-A-C-TECH-4-B1-INT-G0</x:v>
      </x:c>
      <x:c r="C1116" s="9" t="str">
        <x:v>AR-HC-A-C-TECH-4-B1-INT-G0</x:v>
      </x:c>
      <x:c r="D1116" s="9" t="str">
        <x:v>HC-A-C-TECH-4</x:v>
      </x:c>
      <x:c r="E1116" s="9" t="str">
        <x:v>HC-A-C</x:v>
      </x:c>
      <x:c r="F1116" s="9" t="str">
        <x:v>B1</x:v>
      </x:c>
      <x:c r="G1116" s="9" t="str">
        <x:v>INT</x:v>
      </x:c>
      <x:c r="H1116" s="9" t="str">
        <x:v>IV03</x:v>
      </x:c>
      <x:c r="I1116" s="17" t="str">
        <x:v>Temporal priority</x:v>
      </x:c>
      <x:c r="J1116" s="17" t="str">
        <x:v>cause demonstrably precedes the disputed candidate behavior</x:v>
      </x:c>
      <x:c r="K1116" s="17" t="str">
        <x:v>Time authority</x:v>
      </x:c>
      <x:c r="L1116" s="9" t="n">
        <x:v>0</x:v>
      </x:c>
      <x:c r="M1116" s="9" t="n">
        <x:v>0</x:v>
      </x:c>
      <x:c r="N1116" s="9" t="str">
        <x:v>UNFILED / UNPROVEN</x:v>
      </x:c>
      <x:c r="O1116" s="9" t="n">
        <x:f>COUNTIFS($A$7:$A$1302,A1116)</x:f>
        <x:v>1</x:v>
      </x:c>
    </x:row>
    <x:row r="1117">
      <x:c r="A1117" s="9" t="str">
        <x:v>EV-AR-HC-A-C-TECH-4-B1-INT-G0-IV04</x:v>
      </x:c>
      <x:c r="B1117" s="9" t="str">
        <x:v>EV-AR-HC-A-C-TECH-4-B1-INT-G0</x:v>
      </x:c>
      <x:c r="C1117" s="9" t="str">
        <x:v>AR-HC-A-C-TECH-4-B1-INT-G0</x:v>
      </x:c>
      <x:c r="D1117" s="9" t="str">
        <x:v>HC-A-C-TECH-4</x:v>
      </x:c>
      <x:c r="E1117" s="9" t="str">
        <x:v>HC-A-C</x:v>
      </x:c>
      <x:c r="F1117" s="9" t="str">
        <x:v>B1</x:v>
      </x:c>
      <x:c r="G1117" s="9" t="str">
        <x:v>INT</x:v>
      </x:c>
      <x:c r="H1117" s="9" t="str">
        <x:v>IV04</x:v>
      </x:c>
      <x:c r="I1117" s="17" t="str">
        <x:v>Independent trace</x:v>
      </x:c>
      <x:c r="J1117" s="17" t="str">
        <x:v>two unlike records carry the cause without candidate custody</x:v>
      </x:c>
      <x:c r="K1117" s="17" t="str">
        <x:v>Invalidity court</x:v>
      </x:c>
      <x:c r="L1117" s="9" t="n">
        <x:v>0</x:v>
      </x:c>
      <x:c r="M1117" s="9" t="n">
        <x:v>0</x:v>
      </x:c>
      <x:c r="N1117" s="9" t="str">
        <x:v>UNFILED / UNPROVEN</x:v>
      </x:c>
      <x:c r="O1117" s="9" t="n">
        <x:f>COUNTIFS($A$7:$A$1302,A1117)</x:f>
        <x:v>1</x:v>
      </x:c>
    </x:row>
    <x:row r="1118">
      <x:c r="A1118" s="9" t="str">
        <x:v>EV-AR-HC-A-C-TECH-4-B1-INT-G0-IV05</x:v>
      </x:c>
      <x:c r="B1118" s="9" t="str">
        <x:v>EV-AR-HC-A-C-TECH-4-B1-INT-G0</x:v>
      </x:c>
      <x:c r="C1118" s="9" t="str">
        <x:v>AR-HC-A-C-TECH-4-B1-INT-G0</x:v>
      </x:c>
      <x:c r="D1118" s="9" t="str">
        <x:v>HC-A-C-TECH-4</x:v>
      </x:c>
      <x:c r="E1118" s="9" t="str">
        <x:v>HC-A-C</x:v>
      </x:c>
      <x:c r="F1118" s="9" t="str">
        <x:v>B1</x:v>
      </x:c>
      <x:c r="G1118" s="9" t="str">
        <x:v>INT</x:v>
      </x:c>
      <x:c r="H1118" s="9" t="str">
        <x:v>IV05</x:v>
      </x:c>
      <x:c r="I1118" s="17" t="str">
        <x:v>Causal counterfactual</x:v>
      </x:c>
      <x:c r="J1118" s="17" t="str">
        <x:v>registered counterfactual shows the cause can create the defect</x:v>
      </x:c>
      <x:c r="K1118" s="17" t="str">
        <x:v>Causal court</x:v>
      </x:c>
      <x:c r="L1118" s="9" t="n">
        <x:v>0</x:v>
      </x:c>
      <x:c r="M1118" s="9" t="n">
        <x:v>0</x:v>
      </x:c>
      <x:c r="N1118" s="9" t="str">
        <x:v>UNFILED / UNPROVEN</x:v>
      </x:c>
      <x:c r="O1118" s="9" t="n">
        <x:f>COUNTIFS($A$7:$A$1302,A1118)</x:f>
        <x:v>1</x:v>
      </x:c>
    </x:row>
    <x:row r="1119">
      <x:c r="A1119" s="9" t="str">
        <x:v>EV-AR-HC-A-C-TECH-4-B1-INT-G0-IV06</x:v>
      </x:c>
      <x:c r="B1119" s="9" t="str">
        <x:v>EV-AR-HC-A-C-TECH-4-B1-INT-G0</x:v>
      </x:c>
      <x:c r="C1119" s="9" t="str">
        <x:v>AR-HC-A-C-TECH-4-B1-INT-G0</x:v>
      </x:c>
      <x:c r="D1119" s="9" t="str">
        <x:v>HC-A-C-TECH-4</x:v>
      </x:c>
      <x:c r="E1119" s="9" t="str">
        <x:v>HC-A-C</x:v>
      </x:c>
      <x:c r="F1119" s="9" t="str">
        <x:v>B1</x:v>
      </x:c>
      <x:c r="G1119" s="9" t="str">
        <x:v>INT</x:v>
      </x:c>
      <x:c r="H1119" s="9" t="str">
        <x:v>IV06</x:v>
      </x:c>
      <x:c r="I1119" s="17" t="str">
        <x:v>Candidate non-causation</x:v>
      </x:c>
      <x:c r="J1119" s="17" t="str">
        <x:v>evidence excludes candidate induction of the facility condition</x:v>
      </x:c>
      <x:c r="K1119" s="17" t="str">
        <x:v>Causal court</x:v>
      </x:c>
      <x:c r="L1119" s="9" t="n">
        <x:v>0</x:v>
      </x:c>
      <x:c r="M1119" s="9" t="n">
        <x:v>0</x:v>
      </x:c>
      <x:c r="N1119" s="9" t="str">
        <x:v>UNFILED / UNPROVEN</x:v>
      </x:c>
      <x:c r="O1119" s="9" t="n">
        <x:f>COUNTIFS($A$7:$A$1302,A1119)</x:f>
        <x:v>1</x:v>
      </x:c>
    </x:row>
    <x:row r="1120">
      <x:c r="A1120" s="9" t="str">
        <x:v>EV-AR-HC-A-C-TECH-4-B1-INT-G0-IV07</x:v>
      </x:c>
      <x:c r="B1120" s="9" t="str">
        <x:v>EV-AR-HC-A-C-TECH-4-B1-INT-G0</x:v>
      </x:c>
      <x:c r="C1120" s="9" t="str">
        <x:v>AR-HC-A-C-TECH-4-B1-INT-G0</x:v>
      </x:c>
      <x:c r="D1120" s="9" t="str">
        <x:v>HC-A-C-TECH-4</x:v>
      </x:c>
      <x:c r="E1120" s="9" t="str">
        <x:v>HC-A-C</x:v>
      </x:c>
      <x:c r="F1120" s="9" t="str">
        <x:v>B1</x:v>
      </x:c>
      <x:c r="G1120" s="9" t="str">
        <x:v>INT</x:v>
      </x:c>
      <x:c r="H1120" s="9" t="str">
        <x:v>IV07</x:v>
      </x:c>
      <x:c r="I1120" s="17" t="str">
        <x:v>No outcome selection</x:v>
      </x:c>
      <x:c r="J1120" s="17" t="str">
        <x:v>petition rule and evidence scope were fixed before visibility</x:v>
      </x:c>
      <x:c r="K1120" s="17" t="str">
        <x:v>Conflict registrar</x:v>
      </x:c>
      <x:c r="L1120" s="9" t="n">
        <x:v>0</x:v>
      </x:c>
      <x:c r="M1120" s="9" t="n">
        <x:v>0</x:v>
      </x:c>
      <x:c r="N1120" s="9" t="str">
        <x:v>UNFILED / UNPROVEN</x:v>
      </x:c>
      <x:c r="O1120" s="9" t="n">
        <x:f>COUNTIFS($A$7:$A$1302,A1120)</x:f>
        <x:v>1</x:v>
      </x:c>
    </x:row>
    <x:row r="1121">
      <x:c r="A1121" s="9" t="str">
        <x:v>EV-AR-HC-A-C-TECH-4-B1-INT-G0-IV08</x:v>
      </x:c>
      <x:c r="B1121" s="9" t="str">
        <x:v>EV-AR-HC-A-C-TECH-4-B1-INT-G0</x:v>
      </x:c>
      <x:c r="C1121" s="9" t="str">
        <x:v>AR-HC-A-C-TECH-4-B1-INT-G0</x:v>
      </x:c>
      <x:c r="D1121" s="9" t="str">
        <x:v>HC-A-C-TECH-4</x:v>
      </x:c>
      <x:c r="E1121" s="9" t="str">
        <x:v>HC-A-C</x:v>
      </x:c>
      <x:c r="F1121" s="9" t="str">
        <x:v>B1</x:v>
      </x:c>
      <x:c r="G1121" s="9" t="str">
        <x:v>INT</x:v>
      </x:c>
      <x:c r="H1121" s="9" t="str">
        <x:v>IV08</x:v>
      </x:c>
      <x:c r="I1121" s="17" t="str">
        <x:v>Whole-record preservation</x:v>
      </x:c>
      <x:c r="J1121" s="17" t="str">
        <x:v>start, raw behavior, dissent and intervention remain in archive</x:v>
      </x:c>
      <x:c r="K1121" s="17" t="str">
        <x:v>Archive authority</x:v>
      </x:c>
      <x:c r="L1121" s="9" t="n">
        <x:v>0</x:v>
      </x:c>
      <x:c r="M1121" s="9" t="n">
        <x:v>0</x:v>
      </x:c>
      <x:c r="N1121" s="9" t="str">
        <x:v>UNFILED / UNPROVEN</x:v>
      </x:c>
      <x:c r="O1121" s="9" t="n">
        <x:f>COUNTIFS($A$7:$A$1302,A1121)</x:f>
        <x:v>1</x:v>
      </x:c>
    </x:row>
    <x:row r="1122">
      <x:c r="A1122" s="9" t="str">
        <x:v>EV-AR-HC-A-C-TECH-4-B1-INT-G0-IV09</x:v>
      </x:c>
      <x:c r="B1122" s="9" t="str">
        <x:v>EV-AR-HC-A-C-TECH-4-B1-INT-G0</x:v>
      </x:c>
      <x:c r="C1122" s="9" t="str">
        <x:v>AR-HC-A-C-TECH-4-B1-INT-G0</x:v>
      </x:c>
      <x:c r="D1122" s="9" t="str">
        <x:v>HC-A-C-TECH-4</x:v>
      </x:c>
      <x:c r="E1122" s="9" t="str">
        <x:v>HC-A-C</x:v>
      </x:c>
      <x:c r="F1122" s="9" t="str">
        <x:v>B1</x:v>
      </x:c>
      <x:c r="G1122" s="9" t="str">
        <x:v>INT</x:v>
      </x:c>
      <x:c r="H1122" s="9" t="str">
        <x:v>IV09</x:v>
      </x:c>
      <x:c r="I1122" s="17" t="str">
        <x:v>Bounded remedy</x:v>
      </x:c>
      <x:c r="J1122" s="17" t="str">
        <x:v>only a new slot and EOW may follow; no favorable credit or erased attempt</x:v>
      </x:c>
      <x:c r="K1122" s="17" t="str">
        <x:v>Invalidity court</x:v>
      </x:c>
      <x:c r="L1122" s="9" t="n">
        <x:v>0</x:v>
      </x:c>
      <x:c r="M1122" s="9" t="n">
        <x:v>0</x:v>
      </x:c>
      <x:c r="N1122" s="9" t="str">
        <x:v>UNFILED / UNPROVEN</x:v>
      </x:c>
      <x:c r="O1122" s="9" t="n">
        <x:f>COUNTIFS($A$7:$A$1302,A1122)</x:f>
        <x:v>1</x:v>
      </x:c>
    </x:row>
    <x:row r="1123">
      <x:c r="A1123" s="9" t="str">
        <x:v>EV-AR-LF-B-A-TECH-4-B2-RCN-G0-IV01</x:v>
      </x:c>
      <x:c r="B1123" s="9" t="str">
        <x:v>EV-AR-LF-B-A-TECH-4-B2-RCN-G0</x:v>
      </x:c>
      <x:c r="C1123" s="9" t="str">
        <x:v>AR-LF-B-A-TECH-4-B2-RCN-G0</x:v>
      </x:c>
      <x:c r="D1123" s="9" t="str">
        <x:v>LF-B-A-TECH-4</x:v>
      </x:c>
      <x:c r="E1123" s="9" t="str">
        <x:v>LF-B-A</x:v>
      </x:c>
      <x:c r="F1123" s="9" t="str">
        <x:v>B2</x:v>
      </x:c>
      <x:c r="G1123" s="9" t="str">
        <x:v>RCN</x:v>
      </x:c>
      <x:c r="H1123" s="9" t="str">
        <x:v>IV01</x:v>
      </x:c>
      <x:c r="I1123" s="17" t="str">
        <x:v>Timely petition</x:v>
      </x:c>
      <x:c r="J1123" s="17" t="str">
        <x:v>petition enters within seventy-two hours of event close</x:v>
      </x:c>
      <x:c r="K1123" s="17" t="str">
        <x:v>Invalidity registrar</x:v>
      </x:c>
      <x:c r="L1123" s="9" t="n">
        <x:v>0</x:v>
      </x:c>
      <x:c r="M1123" s="9" t="n">
        <x:v>0</x:v>
      </x:c>
      <x:c r="N1123" s="9" t="str">
        <x:v>UNFILED / UNPROVEN</x:v>
      </x:c>
      <x:c r="O1123" s="9" t="n">
        <x:f>COUNTIFS($A$7:$A$1302,A1123)</x:f>
        <x:v>1</x:v>
      </x:c>
    </x:row>
    <x:row r="1124">
      <x:c r="A1124" s="9" t="str">
        <x:v>EV-AR-LF-B-A-TECH-4-B2-RCN-G0-IV02</x:v>
      </x:c>
      <x:c r="B1124" s="9" t="str">
        <x:v>EV-AR-LF-B-A-TECH-4-B2-RCN-G0</x:v>
      </x:c>
      <x:c r="C1124" s="9" t="str">
        <x:v>AR-LF-B-A-TECH-4-B2-RCN-G0</x:v>
      </x:c>
      <x:c r="D1124" s="9" t="str">
        <x:v>LF-B-A-TECH-4</x:v>
      </x:c>
      <x:c r="E1124" s="9" t="str">
        <x:v>LF-B-A</x:v>
      </x:c>
      <x:c r="F1124" s="9" t="str">
        <x:v>B2</x:v>
      </x:c>
      <x:c r="G1124" s="9" t="str">
        <x:v>RCN</x:v>
      </x:c>
      <x:c r="H1124" s="9" t="str">
        <x:v>IV02</x:v>
      </x:c>
      <x:c r="I1124" s="17" t="str">
        <x:v>Named facility cause</x:v>
      </x:c>
      <x:c r="J1124" s="17" t="str">
        <x:v>one pre-registered noncandidate cause is identified</x:v>
      </x:c>
      <x:c r="K1124" s="17" t="str">
        <x:v>Facility-cause court</x:v>
      </x:c>
      <x:c r="L1124" s="9" t="n">
        <x:v>0</x:v>
      </x:c>
      <x:c r="M1124" s="9" t="n">
        <x:v>0</x:v>
      </x:c>
      <x:c r="N1124" s="9" t="str">
        <x:v>UNFILED / UNPROVEN</x:v>
      </x:c>
      <x:c r="O1124" s="9" t="n">
        <x:f>COUNTIFS($A$7:$A$1302,A1124)</x:f>
        <x:v>1</x:v>
      </x:c>
    </x:row>
    <x:row r="1125">
      <x:c r="A1125" s="9" t="str">
        <x:v>EV-AR-LF-B-A-TECH-4-B2-RCN-G0-IV03</x:v>
      </x:c>
      <x:c r="B1125" s="9" t="str">
        <x:v>EV-AR-LF-B-A-TECH-4-B2-RCN-G0</x:v>
      </x:c>
      <x:c r="C1125" s="9" t="str">
        <x:v>AR-LF-B-A-TECH-4-B2-RCN-G0</x:v>
      </x:c>
      <x:c r="D1125" s="9" t="str">
        <x:v>LF-B-A-TECH-4</x:v>
      </x:c>
      <x:c r="E1125" s="9" t="str">
        <x:v>LF-B-A</x:v>
      </x:c>
      <x:c r="F1125" s="9" t="str">
        <x:v>B2</x:v>
      </x:c>
      <x:c r="G1125" s="9" t="str">
        <x:v>RCN</x:v>
      </x:c>
      <x:c r="H1125" s="9" t="str">
        <x:v>IV03</x:v>
      </x:c>
      <x:c r="I1125" s="17" t="str">
        <x:v>Temporal priority</x:v>
      </x:c>
      <x:c r="J1125" s="17" t="str">
        <x:v>cause demonstrably precedes the disputed candidate behavior</x:v>
      </x:c>
      <x:c r="K1125" s="17" t="str">
        <x:v>Time authority</x:v>
      </x:c>
      <x:c r="L1125" s="9" t="n">
        <x:v>0</x:v>
      </x:c>
      <x:c r="M1125" s="9" t="n">
        <x:v>0</x:v>
      </x:c>
      <x:c r="N1125" s="9" t="str">
        <x:v>UNFILED / UNPROVEN</x:v>
      </x:c>
      <x:c r="O1125" s="9" t="n">
        <x:f>COUNTIFS($A$7:$A$1302,A1125)</x:f>
        <x:v>1</x:v>
      </x:c>
    </x:row>
    <x:row r="1126">
      <x:c r="A1126" s="9" t="str">
        <x:v>EV-AR-LF-B-A-TECH-4-B2-RCN-G0-IV04</x:v>
      </x:c>
      <x:c r="B1126" s="9" t="str">
        <x:v>EV-AR-LF-B-A-TECH-4-B2-RCN-G0</x:v>
      </x:c>
      <x:c r="C1126" s="9" t="str">
        <x:v>AR-LF-B-A-TECH-4-B2-RCN-G0</x:v>
      </x:c>
      <x:c r="D1126" s="9" t="str">
        <x:v>LF-B-A-TECH-4</x:v>
      </x:c>
      <x:c r="E1126" s="9" t="str">
        <x:v>LF-B-A</x:v>
      </x:c>
      <x:c r="F1126" s="9" t="str">
        <x:v>B2</x:v>
      </x:c>
      <x:c r="G1126" s="9" t="str">
        <x:v>RCN</x:v>
      </x:c>
      <x:c r="H1126" s="9" t="str">
        <x:v>IV04</x:v>
      </x:c>
      <x:c r="I1126" s="17" t="str">
        <x:v>Independent trace</x:v>
      </x:c>
      <x:c r="J1126" s="17" t="str">
        <x:v>two unlike records carry the cause without candidate custody</x:v>
      </x:c>
      <x:c r="K1126" s="17" t="str">
        <x:v>Invalidity court</x:v>
      </x:c>
      <x:c r="L1126" s="9" t="n">
        <x:v>0</x:v>
      </x:c>
      <x:c r="M1126" s="9" t="n">
        <x:v>0</x:v>
      </x:c>
      <x:c r="N1126" s="9" t="str">
        <x:v>UNFILED / UNPROVEN</x:v>
      </x:c>
      <x:c r="O1126" s="9" t="n">
        <x:f>COUNTIFS($A$7:$A$1302,A1126)</x:f>
        <x:v>1</x:v>
      </x:c>
    </x:row>
    <x:row r="1127">
      <x:c r="A1127" s="9" t="str">
        <x:v>EV-AR-LF-B-A-TECH-4-B2-RCN-G0-IV05</x:v>
      </x:c>
      <x:c r="B1127" s="9" t="str">
        <x:v>EV-AR-LF-B-A-TECH-4-B2-RCN-G0</x:v>
      </x:c>
      <x:c r="C1127" s="9" t="str">
        <x:v>AR-LF-B-A-TECH-4-B2-RCN-G0</x:v>
      </x:c>
      <x:c r="D1127" s="9" t="str">
        <x:v>LF-B-A-TECH-4</x:v>
      </x:c>
      <x:c r="E1127" s="9" t="str">
        <x:v>LF-B-A</x:v>
      </x:c>
      <x:c r="F1127" s="9" t="str">
        <x:v>B2</x:v>
      </x:c>
      <x:c r="G1127" s="9" t="str">
        <x:v>RCN</x:v>
      </x:c>
      <x:c r="H1127" s="9" t="str">
        <x:v>IV05</x:v>
      </x:c>
      <x:c r="I1127" s="17" t="str">
        <x:v>Causal counterfactual</x:v>
      </x:c>
      <x:c r="J1127" s="17" t="str">
        <x:v>registered counterfactual shows the cause can create the defect</x:v>
      </x:c>
      <x:c r="K1127" s="17" t="str">
        <x:v>Causal court</x:v>
      </x:c>
      <x:c r="L1127" s="9" t="n">
        <x:v>0</x:v>
      </x:c>
      <x:c r="M1127" s="9" t="n">
        <x:v>0</x:v>
      </x:c>
      <x:c r="N1127" s="9" t="str">
        <x:v>UNFILED / UNPROVEN</x:v>
      </x:c>
      <x:c r="O1127" s="9" t="n">
        <x:f>COUNTIFS($A$7:$A$1302,A1127)</x:f>
        <x:v>1</x:v>
      </x:c>
    </x:row>
    <x:row r="1128">
      <x:c r="A1128" s="9" t="str">
        <x:v>EV-AR-LF-B-A-TECH-4-B2-RCN-G0-IV06</x:v>
      </x:c>
      <x:c r="B1128" s="9" t="str">
        <x:v>EV-AR-LF-B-A-TECH-4-B2-RCN-G0</x:v>
      </x:c>
      <x:c r="C1128" s="9" t="str">
        <x:v>AR-LF-B-A-TECH-4-B2-RCN-G0</x:v>
      </x:c>
      <x:c r="D1128" s="9" t="str">
        <x:v>LF-B-A-TECH-4</x:v>
      </x:c>
      <x:c r="E1128" s="9" t="str">
        <x:v>LF-B-A</x:v>
      </x:c>
      <x:c r="F1128" s="9" t="str">
        <x:v>B2</x:v>
      </x:c>
      <x:c r="G1128" s="9" t="str">
        <x:v>RCN</x:v>
      </x:c>
      <x:c r="H1128" s="9" t="str">
        <x:v>IV06</x:v>
      </x:c>
      <x:c r="I1128" s="17" t="str">
        <x:v>Candidate non-causation</x:v>
      </x:c>
      <x:c r="J1128" s="17" t="str">
        <x:v>evidence excludes candidate induction of the facility condition</x:v>
      </x:c>
      <x:c r="K1128" s="17" t="str">
        <x:v>Causal court</x:v>
      </x:c>
      <x:c r="L1128" s="9" t="n">
        <x:v>0</x:v>
      </x:c>
      <x:c r="M1128" s="9" t="n">
        <x:v>0</x:v>
      </x:c>
      <x:c r="N1128" s="9" t="str">
        <x:v>UNFILED / UNPROVEN</x:v>
      </x:c>
      <x:c r="O1128" s="9" t="n">
        <x:f>COUNTIFS($A$7:$A$1302,A1128)</x:f>
        <x:v>1</x:v>
      </x:c>
    </x:row>
    <x:row r="1129">
      <x:c r="A1129" s="9" t="str">
        <x:v>EV-AR-LF-B-A-TECH-4-B2-RCN-G0-IV07</x:v>
      </x:c>
      <x:c r="B1129" s="9" t="str">
        <x:v>EV-AR-LF-B-A-TECH-4-B2-RCN-G0</x:v>
      </x:c>
      <x:c r="C1129" s="9" t="str">
        <x:v>AR-LF-B-A-TECH-4-B2-RCN-G0</x:v>
      </x:c>
      <x:c r="D1129" s="9" t="str">
        <x:v>LF-B-A-TECH-4</x:v>
      </x:c>
      <x:c r="E1129" s="9" t="str">
        <x:v>LF-B-A</x:v>
      </x:c>
      <x:c r="F1129" s="9" t="str">
        <x:v>B2</x:v>
      </x:c>
      <x:c r="G1129" s="9" t="str">
        <x:v>RCN</x:v>
      </x:c>
      <x:c r="H1129" s="9" t="str">
        <x:v>IV07</x:v>
      </x:c>
      <x:c r="I1129" s="17" t="str">
        <x:v>No outcome selection</x:v>
      </x:c>
      <x:c r="J1129" s="17" t="str">
        <x:v>petition rule and evidence scope were fixed before visibility</x:v>
      </x:c>
      <x:c r="K1129" s="17" t="str">
        <x:v>Conflict registrar</x:v>
      </x:c>
      <x:c r="L1129" s="9" t="n">
        <x:v>0</x:v>
      </x:c>
      <x:c r="M1129" s="9" t="n">
        <x:v>0</x:v>
      </x:c>
      <x:c r="N1129" s="9" t="str">
        <x:v>UNFILED / UNPROVEN</x:v>
      </x:c>
      <x:c r="O1129" s="9" t="n">
        <x:f>COUNTIFS($A$7:$A$1302,A1129)</x:f>
        <x:v>1</x:v>
      </x:c>
    </x:row>
    <x:row r="1130">
      <x:c r="A1130" s="9" t="str">
        <x:v>EV-AR-LF-B-A-TECH-4-B2-RCN-G0-IV08</x:v>
      </x:c>
      <x:c r="B1130" s="9" t="str">
        <x:v>EV-AR-LF-B-A-TECH-4-B2-RCN-G0</x:v>
      </x:c>
      <x:c r="C1130" s="9" t="str">
        <x:v>AR-LF-B-A-TECH-4-B2-RCN-G0</x:v>
      </x:c>
      <x:c r="D1130" s="9" t="str">
        <x:v>LF-B-A-TECH-4</x:v>
      </x:c>
      <x:c r="E1130" s="9" t="str">
        <x:v>LF-B-A</x:v>
      </x:c>
      <x:c r="F1130" s="9" t="str">
        <x:v>B2</x:v>
      </x:c>
      <x:c r="G1130" s="9" t="str">
        <x:v>RCN</x:v>
      </x:c>
      <x:c r="H1130" s="9" t="str">
        <x:v>IV08</x:v>
      </x:c>
      <x:c r="I1130" s="17" t="str">
        <x:v>Whole-record preservation</x:v>
      </x:c>
      <x:c r="J1130" s="17" t="str">
        <x:v>start, raw behavior, dissent and intervention remain in archive</x:v>
      </x:c>
      <x:c r="K1130" s="17" t="str">
        <x:v>Archive authority</x:v>
      </x:c>
      <x:c r="L1130" s="9" t="n">
        <x:v>0</x:v>
      </x:c>
      <x:c r="M1130" s="9" t="n">
        <x:v>0</x:v>
      </x:c>
      <x:c r="N1130" s="9" t="str">
        <x:v>UNFILED / UNPROVEN</x:v>
      </x:c>
      <x:c r="O1130" s="9" t="n">
        <x:f>COUNTIFS($A$7:$A$1302,A1130)</x:f>
        <x:v>1</x:v>
      </x:c>
    </x:row>
    <x:row r="1131">
      <x:c r="A1131" s="9" t="str">
        <x:v>EV-AR-LF-B-A-TECH-4-B2-RCN-G0-IV09</x:v>
      </x:c>
      <x:c r="B1131" s="9" t="str">
        <x:v>EV-AR-LF-B-A-TECH-4-B2-RCN-G0</x:v>
      </x:c>
      <x:c r="C1131" s="9" t="str">
        <x:v>AR-LF-B-A-TECH-4-B2-RCN-G0</x:v>
      </x:c>
      <x:c r="D1131" s="9" t="str">
        <x:v>LF-B-A-TECH-4</x:v>
      </x:c>
      <x:c r="E1131" s="9" t="str">
        <x:v>LF-B-A</x:v>
      </x:c>
      <x:c r="F1131" s="9" t="str">
        <x:v>B2</x:v>
      </x:c>
      <x:c r="G1131" s="9" t="str">
        <x:v>RCN</x:v>
      </x:c>
      <x:c r="H1131" s="9" t="str">
        <x:v>IV09</x:v>
      </x:c>
      <x:c r="I1131" s="17" t="str">
        <x:v>Bounded remedy</x:v>
      </x:c>
      <x:c r="J1131" s="17" t="str">
        <x:v>only a new slot and EOW may follow; no favorable credit or erased attempt</x:v>
      </x:c>
      <x:c r="K1131" s="17" t="str">
        <x:v>Invalidity court</x:v>
      </x:c>
      <x:c r="L1131" s="9" t="n">
        <x:v>0</x:v>
      </x:c>
      <x:c r="M1131" s="9" t="n">
        <x:v>0</x:v>
      </x:c>
      <x:c r="N1131" s="9" t="str">
        <x:v>UNFILED / UNPROVEN</x:v>
      </x:c>
      <x:c r="O1131" s="9" t="n">
        <x:f>COUNTIFS($A$7:$A$1302,A1131)</x:f>
        <x:v>1</x:v>
      </x:c>
    </x:row>
    <x:row r="1132">
      <x:c r="A1132" s="9" t="str">
        <x:v>EV-AR-LF-B-A-TECH-2-B2-INT-G0-IV01</x:v>
      </x:c>
      <x:c r="B1132" s="9" t="str">
        <x:v>EV-AR-LF-B-A-TECH-2-B2-INT-G0</x:v>
      </x:c>
      <x:c r="C1132" s="9" t="str">
        <x:v>AR-LF-B-A-TECH-2-B2-INT-G0</x:v>
      </x:c>
      <x:c r="D1132" s="9" t="str">
        <x:v>LF-B-A-TECH-2</x:v>
      </x:c>
      <x:c r="E1132" s="9" t="str">
        <x:v>LF-B-A</x:v>
      </x:c>
      <x:c r="F1132" s="9" t="str">
        <x:v>B2</x:v>
      </x:c>
      <x:c r="G1132" s="9" t="str">
        <x:v>INT</x:v>
      </x:c>
      <x:c r="H1132" s="9" t="str">
        <x:v>IV01</x:v>
      </x:c>
      <x:c r="I1132" s="17" t="str">
        <x:v>Timely petition</x:v>
      </x:c>
      <x:c r="J1132" s="17" t="str">
        <x:v>petition enters within seventy-two hours of event close</x:v>
      </x:c>
      <x:c r="K1132" s="17" t="str">
        <x:v>Invalidity registrar</x:v>
      </x:c>
      <x:c r="L1132" s="9" t="n">
        <x:v>0</x:v>
      </x:c>
      <x:c r="M1132" s="9" t="n">
        <x:v>0</x:v>
      </x:c>
      <x:c r="N1132" s="9" t="str">
        <x:v>UNFILED / UNPROVEN</x:v>
      </x:c>
      <x:c r="O1132" s="9" t="n">
        <x:f>COUNTIFS($A$7:$A$1302,A1132)</x:f>
        <x:v>1</x:v>
      </x:c>
    </x:row>
    <x:row r="1133">
      <x:c r="A1133" s="9" t="str">
        <x:v>EV-AR-LF-B-A-TECH-2-B2-INT-G0-IV02</x:v>
      </x:c>
      <x:c r="B1133" s="9" t="str">
        <x:v>EV-AR-LF-B-A-TECH-2-B2-INT-G0</x:v>
      </x:c>
      <x:c r="C1133" s="9" t="str">
        <x:v>AR-LF-B-A-TECH-2-B2-INT-G0</x:v>
      </x:c>
      <x:c r="D1133" s="9" t="str">
        <x:v>LF-B-A-TECH-2</x:v>
      </x:c>
      <x:c r="E1133" s="9" t="str">
        <x:v>LF-B-A</x:v>
      </x:c>
      <x:c r="F1133" s="9" t="str">
        <x:v>B2</x:v>
      </x:c>
      <x:c r="G1133" s="9" t="str">
        <x:v>INT</x:v>
      </x:c>
      <x:c r="H1133" s="9" t="str">
        <x:v>IV02</x:v>
      </x:c>
      <x:c r="I1133" s="17" t="str">
        <x:v>Named facility cause</x:v>
      </x:c>
      <x:c r="J1133" s="17" t="str">
        <x:v>one pre-registered noncandidate cause is identified</x:v>
      </x:c>
      <x:c r="K1133" s="17" t="str">
        <x:v>Facility-cause court</x:v>
      </x:c>
      <x:c r="L1133" s="9" t="n">
        <x:v>0</x:v>
      </x:c>
      <x:c r="M1133" s="9" t="n">
        <x:v>0</x:v>
      </x:c>
      <x:c r="N1133" s="9" t="str">
        <x:v>UNFILED / UNPROVEN</x:v>
      </x:c>
      <x:c r="O1133" s="9" t="n">
        <x:f>COUNTIFS($A$7:$A$1302,A1133)</x:f>
        <x:v>1</x:v>
      </x:c>
    </x:row>
    <x:row r="1134">
      <x:c r="A1134" s="9" t="str">
        <x:v>EV-AR-LF-B-A-TECH-2-B2-INT-G0-IV03</x:v>
      </x:c>
      <x:c r="B1134" s="9" t="str">
        <x:v>EV-AR-LF-B-A-TECH-2-B2-INT-G0</x:v>
      </x:c>
      <x:c r="C1134" s="9" t="str">
        <x:v>AR-LF-B-A-TECH-2-B2-INT-G0</x:v>
      </x:c>
      <x:c r="D1134" s="9" t="str">
        <x:v>LF-B-A-TECH-2</x:v>
      </x:c>
      <x:c r="E1134" s="9" t="str">
        <x:v>LF-B-A</x:v>
      </x:c>
      <x:c r="F1134" s="9" t="str">
        <x:v>B2</x:v>
      </x:c>
      <x:c r="G1134" s="9" t="str">
        <x:v>INT</x:v>
      </x:c>
      <x:c r="H1134" s="9" t="str">
        <x:v>IV03</x:v>
      </x:c>
      <x:c r="I1134" s="17" t="str">
        <x:v>Temporal priority</x:v>
      </x:c>
      <x:c r="J1134" s="17" t="str">
        <x:v>cause demonstrably precedes the disputed candidate behavior</x:v>
      </x:c>
      <x:c r="K1134" s="17" t="str">
        <x:v>Time authority</x:v>
      </x:c>
      <x:c r="L1134" s="9" t="n">
        <x:v>0</x:v>
      </x:c>
      <x:c r="M1134" s="9" t="n">
        <x:v>0</x:v>
      </x:c>
      <x:c r="N1134" s="9" t="str">
        <x:v>UNFILED / UNPROVEN</x:v>
      </x:c>
      <x:c r="O1134" s="9" t="n">
        <x:f>COUNTIFS($A$7:$A$1302,A1134)</x:f>
        <x:v>1</x:v>
      </x:c>
    </x:row>
    <x:row r="1135">
      <x:c r="A1135" s="9" t="str">
        <x:v>EV-AR-LF-B-A-TECH-2-B2-INT-G0-IV04</x:v>
      </x:c>
      <x:c r="B1135" s="9" t="str">
        <x:v>EV-AR-LF-B-A-TECH-2-B2-INT-G0</x:v>
      </x:c>
      <x:c r="C1135" s="9" t="str">
        <x:v>AR-LF-B-A-TECH-2-B2-INT-G0</x:v>
      </x:c>
      <x:c r="D1135" s="9" t="str">
        <x:v>LF-B-A-TECH-2</x:v>
      </x:c>
      <x:c r="E1135" s="9" t="str">
        <x:v>LF-B-A</x:v>
      </x:c>
      <x:c r="F1135" s="9" t="str">
        <x:v>B2</x:v>
      </x:c>
      <x:c r="G1135" s="9" t="str">
        <x:v>INT</x:v>
      </x:c>
      <x:c r="H1135" s="9" t="str">
        <x:v>IV04</x:v>
      </x:c>
      <x:c r="I1135" s="17" t="str">
        <x:v>Independent trace</x:v>
      </x:c>
      <x:c r="J1135" s="17" t="str">
        <x:v>two unlike records carry the cause without candidate custody</x:v>
      </x:c>
      <x:c r="K1135" s="17" t="str">
        <x:v>Invalidity court</x:v>
      </x:c>
      <x:c r="L1135" s="9" t="n">
        <x:v>0</x:v>
      </x:c>
      <x:c r="M1135" s="9" t="n">
        <x:v>0</x:v>
      </x:c>
      <x:c r="N1135" s="9" t="str">
        <x:v>UNFILED / UNPROVEN</x:v>
      </x:c>
      <x:c r="O1135" s="9" t="n">
        <x:f>COUNTIFS($A$7:$A$1302,A1135)</x:f>
        <x:v>1</x:v>
      </x:c>
    </x:row>
    <x:row r="1136">
      <x:c r="A1136" s="9" t="str">
        <x:v>EV-AR-LF-B-A-TECH-2-B2-INT-G0-IV05</x:v>
      </x:c>
      <x:c r="B1136" s="9" t="str">
        <x:v>EV-AR-LF-B-A-TECH-2-B2-INT-G0</x:v>
      </x:c>
      <x:c r="C1136" s="9" t="str">
        <x:v>AR-LF-B-A-TECH-2-B2-INT-G0</x:v>
      </x:c>
      <x:c r="D1136" s="9" t="str">
        <x:v>LF-B-A-TECH-2</x:v>
      </x:c>
      <x:c r="E1136" s="9" t="str">
        <x:v>LF-B-A</x:v>
      </x:c>
      <x:c r="F1136" s="9" t="str">
        <x:v>B2</x:v>
      </x:c>
      <x:c r="G1136" s="9" t="str">
        <x:v>INT</x:v>
      </x:c>
      <x:c r="H1136" s="9" t="str">
        <x:v>IV05</x:v>
      </x:c>
      <x:c r="I1136" s="17" t="str">
        <x:v>Causal counterfactual</x:v>
      </x:c>
      <x:c r="J1136" s="17" t="str">
        <x:v>registered counterfactual shows the cause can create the defect</x:v>
      </x:c>
      <x:c r="K1136" s="17" t="str">
        <x:v>Causal court</x:v>
      </x:c>
      <x:c r="L1136" s="9" t="n">
        <x:v>0</x:v>
      </x:c>
      <x:c r="M1136" s="9" t="n">
        <x:v>0</x:v>
      </x:c>
      <x:c r="N1136" s="9" t="str">
        <x:v>UNFILED / UNPROVEN</x:v>
      </x:c>
      <x:c r="O1136" s="9" t="n">
        <x:f>COUNTIFS($A$7:$A$1302,A1136)</x:f>
        <x:v>1</x:v>
      </x:c>
    </x:row>
    <x:row r="1137">
      <x:c r="A1137" s="9" t="str">
        <x:v>EV-AR-LF-B-A-TECH-2-B2-INT-G0-IV06</x:v>
      </x:c>
      <x:c r="B1137" s="9" t="str">
        <x:v>EV-AR-LF-B-A-TECH-2-B2-INT-G0</x:v>
      </x:c>
      <x:c r="C1137" s="9" t="str">
        <x:v>AR-LF-B-A-TECH-2-B2-INT-G0</x:v>
      </x:c>
      <x:c r="D1137" s="9" t="str">
        <x:v>LF-B-A-TECH-2</x:v>
      </x:c>
      <x:c r="E1137" s="9" t="str">
        <x:v>LF-B-A</x:v>
      </x:c>
      <x:c r="F1137" s="9" t="str">
        <x:v>B2</x:v>
      </x:c>
      <x:c r="G1137" s="9" t="str">
        <x:v>INT</x:v>
      </x:c>
      <x:c r="H1137" s="9" t="str">
        <x:v>IV06</x:v>
      </x:c>
      <x:c r="I1137" s="17" t="str">
        <x:v>Candidate non-causation</x:v>
      </x:c>
      <x:c r="J1137" s="17" t="str">
        <x:v>evidence excludes candidate induction of the facility condition</x:v>
      </x:c>
      <x:c r="K1137" s="17" t="str">
        <x:v>Causal court</x:v>
      </x:c>
      <x:c r="L1137" s="9" t="n">
        <x:v>0</x:v>
      </x:c>
      <x:c r="M1137" s="9" t="n">
        <x:v>0</x:v>
      </x:c>
      <x:c r="N1137" s="9" t="str">
        <x:v>UNFILED / UNPROVEN</x:v>
      </x:c>
      <x:c r="O1137" s="9" t="n">
        <x:f>COUNTIFS($A$7:$A$1302,A1137)</x:f>
        <x:v>1</x:v>
      </x:c>
    </x:row>
    <x:row r="1138">
      <x:c r="A1138" s="9" t="str">
        <x:v>EV-AR-LF-B-A-TECH-2-B2-INT-G0-IV07</x:v>
      </x:c>
      <x:c r="B1138" s="9" t="str">
        <x:v>EV-AR-LF-B-A-TECH-2-B2-INT-G0</x:v>
      </x:c>
      <x:c r="C1138" s="9" t="str">
        <x:v>AR-LF-B-A-TECH-2-B2-INT-G0</x:v>
      </x:c>
      <x:c r="D1138" s="9" t="str">
        <x:v>LF-B-A-TECH-2</x:v>
      </x:c>
      <x:c r="E1138" s="9" t="str">
        <x:v>LF-B-A</x:v>
      </x:c>
      <x:c r="F1138" s="9" t="str">
        <x:v>B2</x:v>
      </x:c>
      <x:c r="G1138" s="9" t="str">
        <x:v>INT</x:v>
      </x:c>
      <x:c r="H1138" s="9" t="str">
        <x:v>IV07</x:v>
      </x:c>
      <x:c r="I1138" s="17" t="str">
        <x:v>No outcome selection</x:v>
      </x:c>
      <x:c r="J1138" s="17" t="str">
        <x:v>petition rule and evidence scope were fixed before visibility</x:v>
      </x:c>
      <x:c r="K1138" s="17" t="str">
        <x:v>Conflict registrar</x:v>
      </x:c>
      <x:c r="L1138" s="9" t="n">
        <x:v>0</x:v>
      </x:c>
      <x:c r="M1138" s="9" t="n">
        <x:v>0</x:v>
      </x:c>
      <x:c r="N1138" s="9" t="str">
        <x:v>UNFILED / UNPROVEN</x:v>
      </x:c>
      <x:c r="O1138" s="9" t="n">
        <x:f>COUNTIFS($A$7:$A$1302,A1138)</x:f>
        <x:v>1</x:v>
      </x:c>
    </x:row>
    <x:row r="1139">
      <x:c r="A1139" s="9" t="str">
        <x:v>EV-AR-LF-B-A-TECH-2-B2-INT-G0-IV08</x:v>
      </x:c>
      <x:c r="B1139" s="9" t="str">
        <x:v>EV-AR-LF-B-A-TECH-2-B2-INT-G0</x:v>
      </x:c>
      <x:c r="C1139" s="9" t="str">
        <x:v>AR-LF-B-A-TECH-2-B2-INT-G0</x:v>
      </x:c>
      <x:c r="D1139" s="9" t="str">
        <x:v>LF-B-A-TECH-2</x:v>
      </x:c>
      <x:c r="E1139" s="9" t="str">
        <x:v>LF-B-A</x:v>
      </x:c>
      <x:c r="F1139" s="9" t="str">
        <x:v>B2</x:v>
      </x:c>
      <x:c r="G1139" s="9" t="str">
        <x:v>INT</x:v>
      </x:c>
      <x:c r="H1139" s="9" t="str">
        <x:v>IV08</x:v>
      </x:c>
      <x:c r="I1139" s="17" t="str">
        <x:v>Whole-record preservation</x:v>
      </x:c>
      <x:c r="J1139" s="17" t="str">
        <x:v>start, raw behavior, dissent and intervention remain in archive</x:v>
      </x:c>
      <x:c r="K1139" s="17" t="str">
        <x:v>Archive authority</x:v>
      </x:c>
      <x:c r="L1139" s="9" t="n">
        <x:v>0</x:v>
      </x:c>
      <x:c r="M1139" s="9" t="n">
        <x:v>0</x:v>
      </x:c>
      <x:c r="N1139" s="9" t="str">
        <x:v>UNFILED / UNPROVEN</x:v>
      </x:c>
      <x:c r="O1139" s="9" t="n">
        <x:f>COUNTIFS($A$7:$A$1302,A1139)</x:f>
        <x:v>1</x:v>
      </x:c>
    </x:row>
    <x:row r="1140">
      <x:c r="A1140" s="9" t="str">
        <x:v>EV-AR-LF-B-A-TECH-2-B2-INT-G0-IV09</x:v>
      </x:c>
      <x:c r="B1140" s="9" t="str">
        <x:v>EV-AR-LF-B-A-TECH-2-B2-INT-G0</x:v>
      </x:c>
      <x:c r="C1140" s="9" t="str">
        <x:v>AR-LF-B-A-TECH-2-B2-INT-G0</x:v>
      </x:c>
      <x:c r="D1140" s="9" t="str">
        <x:v>LF-B-A-TECH-2</x:v>
      </x:c>
      <x:c r="E1140" s="9" t="str">
        <x:v>LF-B-A</x:v>
      </x:c>
      <x:c r="F1140" s="9" t="str">
        <x:v>B2</x:v>
      </x:c>
      <x:c r="G1140" s="9" t="str">
        <x:v>INT</x:v>
      </x:c>
      <x:c r="H1140" s="9" t="str">
        <x:v>IV09</x:v>
      </x:c>
      <x:c r="I1140" s="17" t="str">
        <x:v>Bounded remedy</x:v>
      </x:c>
      <x:c r="J1140" s="17" t="str">
        <x:v>only a new slot and EOW may follow; no favorable credit or erased attempt</x:v>
      </x:c>
      <x:c r="K1140" s="17" t="str">
        <x:v>Invalidity court</x:v>
      </x:c>
      <x:c r="L1140" s="9" t="n">
        <x:v>0</x:v>
      </x:c>
      <x:c r="M1140" s="9" t="n">
        <x:v>0</x:v>
      </x:c>
      <x:c r="N1140" s="9" t="str">
        <x:v>UNFILED / UNPROVEN</x:v>
      </x:c>
      <x:c r="O1140" s="9" t="n">
        <x:f>COUNTIFS($A$7:$A$1302,A1140)</x:f>
        <x:v>1</x:v>
      </x:c>
    </x:row>
    <x:row r="1141">
      <x:c r="A1141" s="9" t="str">
        <x:v>EV-AR-CT-C-B-TECH-3-B1-BRK-G0-IV01</x:v>
      </x:c>
      <x:c r="B1141" s="9" t="str">
        <x:v>EV-AR-CT-C-B-TECH-3-B1-BRK-G0</x:v>
      </x:c>
      <x:c r="C1141" s="9" t="str">
        <x:v>AR-CT-C-B-TECH-3-B1-BRK-G0</x:v>
      </x:c>
      <x:c r="D1141" s="9" t="str">
        <x:v>CT-C-B-TECH-3</x:v>
      </x:c>
      <x:c r="E1141" s="9" t="str">
        <x:v>CT-C-B</x:v>
      </x:c>
      <x:c r="F1141" s="9" t="str">
        <x:v>B1</x:v>
      </x:c>
      <x:c r="G1141" s="9" t="str">
        <x:v>BRK</x:v>
      </x:c>
      <x:c r="H1141" s="9" t="str">
        <x:v>IV01</x:v>
      </x:c>
      <x:c r="I1141" s="17" t="str">
        <x:v>Timely petition</x:v>
      </x:c>
      <x:c r="J1141" s="17" t="str">
        <x:v>petition enters within seventy-two hours of event close</x:v>
      </x:c>
      <x:c r="K1141" s="17" t="str">
        <x:v>Invalidity registrar</x:v>
      </x:c>
      <x:c r="L1141" s="9" t="n">
        <x:v>0</x:v>
      </x:c>
      <x:c r="M1141" s="9" t="n">
        <x:v>0</x:v>
      </x:c>
      <x:c r="N1141" s="9" t="str">
        <x:v>UNFILED / UNPROVEN</x:v>
      </x:c>
      <x:c r="O1141" s="9" t="n">
        <x:f>COUNTIFS($A$7:$A$1302,A1141)</x:f>
        <x:v>1</x:v>
      </x:c>
    </x:row>
    <x:row r="1142">
      <x:c r="A1142" s="9" t="str">
        <x:v>EV-AR-CT-C-B-TECH-3-B1-BRK-G0-IV02</x:v>
      </x:c>
      <x:c r="B1142" s="9" t="str">
        <x:v>EV-AR-CT-C-B-TECH-3-B1-BRK-G0</x:v>
      </x:c>
      <x:c r="C1142" s="9" t="str">
        <x:v>AR-CT-C-B-TECH-3-B1-BRK-G0</x:v>
      </x:c>
      <x:c r="D1142" s="9" t="str">
        <x:v>CT-C-B-TECH-3</x:v>
      </x:c>
      <x:c r="E1142" s="9" t="str">
        <x:v>CT-C-B</x:v>
      </x:c>
      <x:c r="F1142" s="9" t="str">
        <x:v>B1</x:v>
      </x:c>
      <x:c r="G1142" s="9" t="str">
        <x:v>BRK</x:v>
      </x:c>
      <x:c r="H1142" s="9" t="str">
        <x:v>IV02</x:v>
      </x:c>
      <x:c r="I1142" s="17" t="str">
        <x:v>Named facility cause</x:v>
      </x:c>
      <x:c r="J1142" s="17" t="str">
        <x:v>one pre-registered noncandidate cause is identified</x:v>
      </x:c>
      <x:c r="K1142" s="17" t="str">
        <x:v>Facility-cause court</x:v>
      </x:c>
      <x:c r="L1142" s="9" t="n">
        <x:v>0</x:v>
      </x:c>
      <x:c r="M1142" s="9" t="n">
        <x:v>0</x:v>
      </x:c>
      <x:c r="N1142" s="9" t="str">
        <x:v>UNFILED / UNPROVEN</x:v>
      </x:c>
      <x:c r="O1142" s="9" t="n">
        <x:f>COUNTIFS($A$7:$A$1302,A1142)</x:f>
        <x:v>1</x:v>
      </x:c>
    </x:row>
    <x:row r="1143">
      <x:c r="A1143" s="9" t="str">
        <x:v>EV-AR-CT-C-B-TECH-3-B1-BRK-G0-IV03</x:v>
      </x:c>
      <x:c r="B1143" s="9" t="str">
        <x:v>EV-AR-CT-C-B-TECH-3-B1-BRK-G0</x:v>
      </x:c>
      <x:c r="C1143" s="9" t="str">
        <x:v>AR-CT-C-B-TECH-3-B1-BRK-G0</x:v>
      </x:c>
      <x:c r="D1143" s="9" t="str">
        <x:v>CT-C-B-TECH-3</x:v>
      </x:c>
      <x:c r="E1143" s="9" t="str">
        <x:v>CT-C-B</x:v>
      </x:c>
      <x:c r="F1143" s="9" t="str">
        <x:v>B1</x:v>
      </x:c>
      <x:c r="G1143" s="9" t="str">
        <x:v>BRK</x:v>
      </x:c>
      <x:c r="H1143" s="9" t="str">
        <x:v>IV03</x:v>
      </x:c>
      <x:c r="I1143" s="17" t="str">
        <x:v>Temporal priority</x:v>
      </x:c>
      <x:c r="J1143" s="17" t="str">
        <x:v>cause demonstrably precedes the disputed candidate behavior</x:v>
      </x:c>
      <x:c r="K1143" s="17" t="str">
        <x:v>Time authority</x:v>
      </x:c>
      <x:c r="L1143" s="9" t="n">
        <x:v>0</x:v>
      </x:c>
      <x:c r="M1143" s="9" t="n">
        <x:v>0</x:v>
      </x:c>
      <x:c r="N1143" s="9" t="str">
        <x:v>UNFILED / UNPROVEN</x:v>
      </x:c>
      <x:c r="O1143" s="9" t="n">
        <x:f>COUNTIFS($A$7:$A$1302,A1143)</x:f>
        <x:v>1</x:v>
      </x:c>
    </x:row>
    <x:row r="1144">
      <x:c r="A1144" s="9" t="str">
        <x:v>EV-AR-CT-C-B-TECH-3-B1-BRK-G0-IV04</x:v>
      </x:c>
      <x:c r="B1144" s="9" t="str">
        <x:v>EV-AR-CT-C-B-TECH-3-B1-BRK-G0</x:v>
      </x:c>
      <x:c r="C1144" s="9" t="str">
        <x:v>AR-CT-C-B-TECH-3-B1-BRK-G0</x:v>
      </x:c>
      <x:c r="D1144" s="9" t="str">
        <x:v>CT-C-B-TECH-3</x:v>
      </x:c>
      <x:c r="E1144" s="9" t="str">
        <x:v>CT-C-B</x:v>
      </x:c>
      <x:c r="F1144" s="9" t="str">
        <x:v>B1</x:v>
      </x:c>
      <x:c r="G1144" s="9" t="str">
        <x:v>BRK</x:v>
      </x:c>
      <x:c r="H1144" s="9" t="str">
        <x:v>IV04</x:v>
      </x:c>
      <x:c r="I1144" s="17" t="str">
        <x:v>Independent trace</x:v>
      </x:c>
      <x:c r="J1144" s="17" t="str">
        <x:v>two unlike records carry the cause without candidate custody</x:v>
      </x:c>
      <x:c r="K1144" s="17" t="str">
        <x:v>Invalidity court</x:v>
      </x:c>
      <x:c r="L1144" s="9" t="n">
        <x:v>0</x:v>
      </x:c>
      <x:c r="M1144" s="9" t="n">
        <x:v>0</x:v>
      </x:c>
      <x:c r="N1144" s="9" t="str">
        <x:v>UNFILED / UNPROVEN</x:v>
      </x:c>
      <x:c r="O1144" s="9" t="n">
        <x:f>COUNTIFS($A$7:$A$1302,A1144)</x:f>
        <x:v>1</x:v>
      </x:c>
    </x:row>
    <x:row r="1145">
      <x:c r="A1145" s="9" t="str">
        <x:v>EV-AR-CT-C-B-TECH-3-B1-BRK-G0-IV05</x:v>
      </x:c>
      <x:c r="B1145" s="9" t="str">
        <x:v>EV-AR-CT-C-B-TECH-3-B1-BRK-G0</x:v>
      </x:c>
      <x:c r="C1145" s="9" t="str">
        <x:v>AR-CT-C-B-TECH-3-B1-BRK-G0</x:v>
      </x:c>
      <x:c r="D1145" s="9" t="str">
        <x:v>CT-C-B-TECH-3</x:v>
      </x:c>
      <x:c r="E1145" s="9" t="str">
        <x:v>CT-C-B</x:v>
      </x:c>
      <x:c r="F1145" s="9" t="str">
        <x:v>B1</x:v>
      </x:c>
      <x:c r="G1145" s="9" t="str">
        <x:v>BRK</x:v>
      </x:c>
      <x:c r="H1145" s="9" t="str">
        <x:v>IV05</x:v>
      </x:c>
      <x:c r="I1145" s="17" t="str">
        <x:v>Causal counterfactual</x:v>
      </x:c>
      <x:c r="J1145" s="17" t="str">
        <x:v>registered counterfactual shows the cause can create the defect</x:v>
      </x:c>
      <x:c r="K1145" s="17" t="str">
        <x:v>Causal court</x:v>
      </x:c>
      <x:c r="L1145" s="9" t="n">
        <x:v>0</x:v>
      </x:c>
      <x:c r="M1145" s="9" t="n">
        <x:v>0</x:v>
      </x:c>
      <x:c r="N1145" s="9" t="str">
        <x:v>UNFILED / UNPROVEN</x:v>
      </x:c>
      <x:c r="O1145" s="9" t="n">
        <x:f>COUNTIFS($A$7:$A$1302,A1145)</x:f>
        <x:v>1</x:v>
      </x:c>
    </x:row>
    <x:row r="1146">
      <x:c r="A1146" s="9" t="str">
        <x:v>EV-AR-CT-C-B-TECH-3-B1-BRK-G0-IV06</x:v>
      </x:c>
      <x:c r="B1146" s="9" t="str">
        <x:v>EV-AR-CT-C-B-TECH-3-B1-BRK-G0</x:v>
      </x:c>
      <x:c r="C1146" s="9" t="str">
        <x:v>AR-CT-C-B-TECH-3-B1-BRK-G0</x:v>
      </x:c>
      <x:c r="D1146" s="9" t="str">
        <x:v>CT-C-B-TECH-3</x:v>
      </x:c>
      <x:c r="E1146" s="9" t="str">
        <x:v>CT-C-B</x:v>
      </x:c>
      <x:c r="F1146" s="9" t="str">
        <x:v>B1</x:v>
      </x:c>
      <x:c r="G1146" s="9" t="str">
        <x:v>BRK</x:v>
      </x:c>
      <x:c r="H1146" s="9" t="str">
        <x:v>IV06</x:v>
      </x:c>
      <x:c r="I1146" s="17" t="str">
        <x:v>Candidate non-causation</x:v>
      </x:c>
      <x:c r="J1146" s="17" t="str">
        <x:v>evidence excludes candidate induction of the facility condition</x:v>
      </x:c>
      <x:c r="K1146" s="17" t="str">
        <x:v>Causal court</x:v>
      </x:c>
      <x:c r="L1146" s="9" t="n">
        <x:v>0</x:v>
      </x:c>
      <x:c r="M1146" s="9" t="n">
        <x:v>0</x:v>
      </x:c>
      <x:c r="N1146" s="9" t="str">
        <x:v>UNFILED / UNPROVEN</x:v>
      </x:c>
      <x:c r="O1146" s="9" t="n">
        <x:f>COUNTIFS($A$7:$A$1302,A1146)</x:f>
        <x:v>1</x:v>
      </x:c>
    </x:row>
    <x:row r="1147">
      <x:c r="A1147" s="9" t="str">
        <x:v>EV-AR-CT-C-B-TECH-3-B1-BRK-G0-IV07</x:v>
      </x:c>
      <x:c r="B1147" s="9" t="str">
        <x:v>EV-AR-CT-C-B-TECH-3-B1-BRK-G0</x:v>
      </x:c>
      <x:c r="C1147" s="9" t="str">
        <x:v>AR-CT-C-B-TECH-3-B1-BRK-G0</x:v>
      </x:c>
      <x:c r="D1147" s="9" t="str">
        <x:v>CT-C-B-TECH-3</x:v>
      </x:c>
      <x:c r="E1147" s="9" t="str">
        <x:v>CT-C-B</x:v>
      </x:c>
      <x:c r="F1147" s="9" t="str">
        <x:v>B1</x:v>
      </x:c>
      <x:c r="G1147" s="9" t="str">
        <x:v>BRK</x:v>
      </x:c>
      <x:c r="H1147" s="9" t="str">
        <x:v>IV07</x:v>
      </x:c>
      <x:c r="I1147" s="17" t="str">
        <x:v>No outcome selection</x:v>
      </x:c>
      <x:c r="J1147" s="17" t="str">
        <x:v>petition rule and evidence scope were fixed before visibility</x:v>
      </x:c>
      <x:c r="K1147" s="17" t="str">
        <x:v>Conflict registrar</x:v>
      </x:c>
      <x:c r="L1147" s="9" t="n">
        <x:v>0</x:v>
      </x:c>
      <x:c r="M1147" s="9" t="n">
        <x:v>0</x:v>
      </x:c>
      <x:c r="N1147" s="9" t="str">
        <x:v>UNFILED / UNPROVEN</x:v>
      </x:c>
      <x:c r="O1147" s="9" t="n">
        <x:f>COUNTIFS($A$7:$A$1302,A1147)</x:f>
        <x:v>1</x:v>
      </x:c>
    </x:row>
    <x:row r="1148">
      <x:c r="A1148" s="9" t="str">
        <x:v>EV-AR-CT-C-B-TECH-3-B1-BRK-G0-IV08</x:v>
      </x:c>
      <x:c r="B1148" s="9" t="str">
        <x:v>EV-AR-CT-C-B-TECH-3-B1-BRK-G0</x:v>
      </x:c>
      <x:c r="C1148" s="9" t="str">
        <x:v>AR-CT-C-B-TECH-3-B1-BRK-G0</x:v>
      </x:c>
      <x:c r="D1148" s="9" t="str">
        <x:v>CT-C-B-TECH-3</x:v>
      </x:c>
      <x:c r="E1148" s="9" t="str">
        <x:v>CT-C-B</x:v>
      </x:c>
      <x:c r="F1148" s="9" t="str">
        <x:v>B1</x:v>
      </x:c>
      <x:c r="G1148" s="9" t="str">
        <x:v>BRK</x:v>
      </x:c>
      <x:c r="H1148" s="9" t="str">
        <x:v>IV08</x:v>
      </x:c>
      <x:c r="I1148" s="17" t="str">
        <x:v>Whole-record preservation</x:v>
      </x:c>
      <x:c r="J1148" s="17" t="str">
        <x:v>start, raw behavior, dissent and intervention remain in archive</x:v>
      </x:c>
      <x:c r="K1148" s="17" t="str">
        <x:v>Archive authority</x:v>
      </x:c>
      <x:c r="L1148" s="9" t="n">
        <x:v>0</x:v>
      </x:c>
      <x:c r="M1148" s="9" t="n">
        <x:v>0</x:v>
      </x:c>
      <x:c r="N1148" s="9" t="str">
        <x:v>UNFILED / UNPROVEN</x:v>
      </x:c>
      <x:c r="O1148" s="9" t="n">
        <x:f>COUNTIFS($A$7:$A$1302,A1148)</x:f>
        <x:v>1</x:v>
      </x:c>
    </x:row>
    <x:row r="1149">
      <x:c r="A1149" s="9" t="str">
        <x:v>EV-AR-CT-C-B-TECH-3-B1-BRK-G0-IV09</x:v>
      </x:c>
      <x:c r="B1149" s="9" t="str">
        <x:v>EV-AR-CT-C-B-TECH-3-B1-BRK-G0</x:v>
      </x:c>
      <x:c r="C1149" s="9" t="str">
        <x:v>AR-CT-C-B-TECH-3-B1-BRK-G0</x:v>
      </x:c>
      <x:c r="D1149" s="9" t="str">
        <x:v>CT-C-B-TECH-3</x:v>
      </x:c>
      <x:c r="E1149" s="9" t="str">
        <x:v>CT-C-B</x:v>
      </x:c>
      <x:c r="F1149" s="9" t="str">
        <x:v>B1</x:v>
      </x:c>
      <x:c r="G1149" s="9" t="str">
        <x:v>BRK</x:v>
      </x:c>
      <x:c r="H1149" s="9" t="str">
        <x:v>IV09</x:v>
      </x:c>
      <x:c r="I1149" s="17" t="str">
        <x:v>Bounded remedy</x:v>
      </x:c>
      <x:c r="J1149" s="17" t="str">
        <x:v>only a new slot and EOW may follow; no favorable credit or erased attempt</x:v>
      </x:c>
      <x:c r="K1149" s="17" t="str">
        <x:v>Invalidity court</x:v>
      </x:c>
      <x:c r="L1149" s="9" t="n">
        <x:v>0</x:v>
      </x:c>
      <x:c r="M1149" s="9" t="n">
        <x:v>0</x:v>
      </x:c>
      <x:c r="N1149" s="9" t="str">
        <x:v>UNFILED / UNPROVEN</x:v>
      </x:c>
      <x:c r="O1149" s="9" t="n">
        <x:f>COUNTIFS($A$7:$A$1302,A1149)</x:f>
        <x:v>1</x:v>
      </x:c>
    </x:row>
    <x:row r="1150">
      <x:c r="A1150" s="9" t="str">
        <x:v>EV-AR-ET-A-A-TECH-1-B2-RCN-G0-IV01</x:v>
      </x:c>
      <x:c r="B1150" s="9" t="str">
        <x:v>EV-AR-ET-A-A-TECH-1-B2-RCN-G0</x:v>
      </x:c>
      <x:c r="C1150" s="9" t="str">
        <x:v>AR-ET-A-A-TECH-1-B2-RCN-G0</x:v>
      </x:c>
      <x:c r="D1150" s="9" t="str">
        <x:v>ET-A-A-TECH-1</x:v>
      </x:c>
      <x:c r="E1150" s="9" t="str">
        <x:v>ET-A-A</x:v>
      </x:c>
      <x:c r="F1150" s="9" t="str">
        <x:v>B2</x:v>
      </x:c>
      <x:c r="G1150" s="9" t="str">
        <x:v>RCN</x:v>
      </x:c>
      <x:c r="H1150" s="9" t="str">
        <x:v>IV01</x:v>
      </x:c>
      <x:c r="I1150" s="17" t="str">
        <x:v>Timely petition</x:v>
      </x:c>
      <x:c r="J1150" s="17" t="str">
        <x:v>petition enters within seventy-two hours of event close</x:v>
      </x:c>
      <x:c r="K1150" s="17" t="str">
        <x:v>Invalidity registrar</x:v>
      </x:c>
      <x:c r="L1150" s="9" t="n">
        <x:v>0</x:v>
      </x:c>
      <x:c r="M1150" s="9" t="n">
        <x:v>0</x:v>
      </x:c>
      <x:c r="N1150" s="9" t="str">
        <x:v>UNFILED / UNPROVEN</x:v>
      </x:c>
      <x:c r="O1150" s="9" t="n">
        <x:f>COUNTIFS($A$7:$A$1302,A1150)</x:f>
        <x:v>1</x:v>
      </x:c>
    </x:row>
    <x:row r="1151">
      <x:c r="A1151" s="9" t="str">
        <x:v>EV-AR-ET-A-A-TECH-1-B2-RCN-G0-IV02</x:v>
      </x:c>
      <x:c r="B1151" s="9" t="str">
        <x:v>EV-AR-ET-A-A-TECH-1-B2-RCN-G0</x:v>
      </x:c>
      <x:c r="C1151" s="9" t="str">
        <x:v>AR-ET-A-A-TECH-1-B2-RCN-G0</x:v>
      </x:c>
      <x:c r="D1151" s="9" t="str">
        <x:v>ET-A-A-TECH-1</x:v>
      </x:c>
      <x:c r="E1151" s="9" t="str">
        <x:v>ET-A-A</x:v>
      </x:c>
      <x:c r="F1151" s="9" t="str">
        <x:v>B2</x:v>
      </x:c>
      <x:c r="G1151" s="9" t="str">
        <x:v>RCN</x:v>
      </x:c>
      <x:c r="H1151" s="9" t="str">
        <x:v>IV02</x:v>
      </x:c>
      <x:c r="I1151" s="17" t="str">
        <x:v>Named facility cause</x:v>
      </x:c>
      <x:c r="J1151" s="17" t="str">
        <x:v>one pre-registered noncandidate cause is identified</x:v>
      </x:c>
      <x:c r="K1151" s="17" t="str">
        <x:v>Facility-cause court</x:v>
      </x:c>
      <x:c r="L1151" s="9" t="n">
        <x:v>0</x:v>
      </x:c>
      <x:c r="M1151" s="9" t="n">
        <x:v>0</x:v>
      </x:c>
      <x:c r="N1151" s="9" t="str">
        <x:v>UNFILED / UNPROVEN</x:v>
      </x:c>
      <x:c r="O1151" s="9" t="n">
        <x:f>COUNTIFS($A$7:$A$1302,A1151)</x:f>
        <x:v>1</x:v>
      </x:c>
    </x:row>
    <x:row r="1152">
      <x:c r="A1152" s="9" t="str">
        <x:v>EV-AR-ET-A-A-TECH-1-B2-RCN-G0-IV03</x:v>
      </x:c>
      <x:c r="B1152" s="9" t="str">
        <x:v>EV-AR-ET-A-A-TECH-1-B2-RCN-G0</x:v>
      </x:c>
      <x:c r="C1152" s="9" t="str">
        <x:v>AR-ET-A-A-TECH-1-B2-RCN-G0</x:v>
      </x:c>
      <x:c r="D1152" s="9" t="str">
        <x:v>ET-A-A-TECH-1</x:v>
      </x:c>
      <x:c r="E1152" s="9" t="str">
        <x:v>ET-A-A</x:v>
      </x:c>
      <x:c r="F1152" s="9" t="str">
        <x:v>B2</x:v>
      </x:c>
      <x:c r="G1152" s="9" t="str">
        <x:v>RCN</x:v>
      </x:c>
      <x:c r="H1152" s="9" t="str">
        <x:v>IV03</x:v>
      </x:c>
      <x:c r="I1152" s="17" t="str">
        <x:v>Temporal priority</x:v>
      </x:c>
      <x:c r="J1152" s="17" t="str">
        <x:v>cause demonstrably precedes the disputed candidate behavior</x:v>
      </x:c>
      <x:c r="K1152" s="17" t="str">
        <x:v>Time authority</x:v>
      </x:c>
      <x:c r="L1152" s="9" t="n">
        <x:v>0</x:v>
      </x:c>
      <x:c r="M1152" s="9" t="n">
        <x:v>0</x:v>
      </x:c>
      <x:c r="N1152" s="9" t="str">
        <x:v>UNFILED / UNPROVEN</x:v>
      </x:c>
      <x:c r="O1152" s="9" t="n">
        <x:f>COUNTIFS($A$7:$A$1302,A1152)</x:f>
        <x:v>1</x:v>
      </x:c>
    </x:row>
    <x:row r="1153">
      <x:c r="A1153" s="9" t="str">
        <x:v>EV-AR-ET-A-A-TECH-1-B2-RCN-G0-IV04</x:v>
      </x:c>
      <x:c r="B1153" s="9" t="str">
        <x:v>EV-AR-ET-A-A-TECH-1-B2-RCN-G0</x:v>
      </x:c>
      <x:c r="C1153" s="9" t="str">
        <x:v>AR-ET-A-A-TECH-1-B2-RCN-G0</x:v>
      </x:c>
      <x:c r="D1153" s="9" t="str">
        <x:v>ET-A-A-TECH-1</x:v>
      </x:c>
      <x:c r="E1153" s="9" t="str">
        <x:v>ET-A-A</x:v>
      </x:c>
      <x:c r="F1153" s="9" t="str">
        <x:v>B2</x:v>
      </x:c>
      <x:c r="G1153" s="9" t="str">
        <x:v>RCN</x:v>
      </x:c>
      <x:c r="H1153" s="9" t="str">
        <x:v>IV04</x:v>
      </x:c>
      <x:c r="I1153" s="17" t="str">
        <x:v>Independent trace</x:v>
      </x:c>
      <x:c r="J1153" s="17" t="str">
        <x:v>two unlike records carry the cause without candidate custody</x:v>
      </x:c>
      <x:c r="K1153" s="17" t="str">
        <x:v>Invalidity court</x:v>
      </x:c>
      <x:c r="L1153" s="9" t="n">
        <x:v>0</x:v>
      </x:c>
      <x:c r="M1153" s="9" t="n">
        <x:v>0</x:v>
      </x:c>
      <x:c r="N1153" s="9" t="str">
        <x:v>UNFILED / UNPROVEN</x:v>
      </x:c>
      <x:c r="O1153" s="9" t="n">
        <x:f>COUNTIFS($A$7:$A$1302,A1153)</x:f>
        <x:v>1</x:v>
      </x:c>
    </x:row>
    <x:row r="1154">
      <x:c r="A1154" s="9" t="str">
        <x:v>EV-AR-ET-A-A-TECH-1-B2-RCN-G0-IV05</x:v>
      </x:c>
      <x:c r="B1154" s="9" t="str">
        <x:v>EV-AR-ET-A-A-TECH-1-B2-RCN-G0</x:v>
      </x:c>
      <x:c r="C1154" s="9" t="str">
        <x:v>AR-ET-A-A-TECH-1-B2-RCN-G0</x:v>
      </x:c>
      <x:c r="D1154" s="9" t="str">
        <x:v>ET-A-A-TECH-1</x:v>
      </x:c>
      <x:c r="E1154" s="9" t="str">
        <x:v>ET-A-A</x:v>
      </x:c>
      <x:c r="F1154" s="9" t="str">
        <x:v>B2</x:v>
      </x:c>
      <x:c r="G1154" s="9" t="str">
        <x:v>RCN</x:v>
      </x:c>
      <x:c r="H1154" s="9" t="str">
        <x:v>IV05</x:v>
      </x:c>
      <x:c r="I1154" s="17" t="str">
        <x:v>Causal counterfactual</x:v>
      </x:c>
      <x:c r="J1154" s="17" t="str">
        <x:v>registered counterfactual shows the cause can create the defect</x:v>
      </x:c>
      <x:c r="K1154" s="17" t="str">
        <x:v>Causal court</x:v>
      </x:c>
      <x:c r="L1154" s="9" t="n">
        <x:v>0</x:v>
      </x:c>
      <x:c r="M1154" s="9" t="n">
        <x:v>0</x:v>
      </x:c>
      <x:c r="N1154" s="9" t="str">
        <x:v>UNFILED / UNPROVEN</x:v>
      </x:c>
      <x:c r="O1154" s="9" t="n">
        <x:f>COUNTIFS($A$7:$A$1302,A1154)</x:f>
        <x:v>1</x:v>
      </x:c>
    </x:row>
    <x:row r="1155">
      <x:c r="A1155" s="9" t="str">
        <x:v>EV-AR-ET-A-A-TECH-1-B2-RCN-G0-IV06</x:v>
      </x:c>
      <x:c r="B1155" s="9" t="str">
        <x:v>EV-AR-ET-A-A-TECH-1-B2-RCN-G0</x:v>
      </x:c>
      <x:c r="C1155" s="9" t="str">
        <x:v>AR-ET-A-A-TECH-1-B2-RCN-G0</x:v>
      </x:c>
      <x:c r="D1155" s="9" t="str">
        <x:v>ET-A-A-TECH-1</x:v>
      </x:c>
      <x:c r="E1155" s="9" t="str">
        <x:v>ET-A-A</x:v>
      </x:c>
      <x:c r="F1155" s="9" t="str">
        <x:v>B2</x:v>
      </x:c>
      <x:c r="G1155" s="9" t="str">
        <x:v>RCN</x:v>
      </x:c>
      <x:c r="H1155" s="9" t="str">
        <x:v>IV06</x:v>
      </x:c>
      <x:c r="I1155" s="17" t="str">
        <x:v>Candidate non-causation</x:v>
      </x:c>
      <x:c r="J1155" s="17" t="str">
        <x:v>evidence excludes candidate induction of the facility condition</x:v>
      </x:c>
      <x:c r="K1155" s="17" t="str">
        <x:v>Causal court</x:v>
      </x:c>
      <x:c r="L1155" s="9" t="n">
        <x:v>0</x:v>
      </x:c>
      <x:c r="M1155" s="9" t="n">
        <x:v>0</x:v>
      </x:c>
      <x:c r="N1155" s="9" t="str">
        <x:v>UNFILED / UNPROVEN</x:v>
      </x:c>
      <x:c r="O1155" s="9" t="n">
        <x:f>COUNTIFS($A$7:$A$1302,A1155)</x:f>
        <x:v>1</x:v>
      </x:c>
    </x:row>
    <x:row r="1156">
      <x:c r="A1156" s="9" t="str">
        <x:v>EV-AR-ET-A-A-TECH-1-B2-RCN-G0-IV07</x:v>
      </x:c>
      <x:c r="B1156" s="9" t="str">
        <x:v>EV-AR-ET-A-A-TECH-1-B2-RCN-G0</x:v>
      </x:c>
      <x:c r="C1156" s="9" t="str">
        <x:v>AR-ET-A-A-TECH-1-B2-RCN-G0</x:v>
      </x:c>
      <x:c r="D1156" s="9" t="str">
        <x:v>ET-A-A-TECH-1</x:v>
      </x:c>
      <x:c r="E1156" s="9" t="str">
        <x:v>ET-A-A</x:v>
      </x:c>
      <x:c r="F1156" s="9" t="str">
        <x:v>B2</x:v>
      </x:c>
      <x:c r="G1156" s="9" t="str">
        <x:v>RCN</x:v>
      </x:c>
      <x:c r="H1156" s="9" t="str">
        <x:v>IV07</x:v>
      </x:c>
      <x:c r="I1156" s="17" t="str">
        <x:v>No outcome selection</x:v>
      </x:c>
      <x:c r="J1156" s="17" t="str">
        <x:v>petition rule and evidence scope were fixed before visibility</x:v>
      </x:c>
      <x:c r="K1156" s="17" t="str">
        <x:v>Conflict registrar</x:v>
      </x:c>
      <x:c r="L1156" s="9" t="n">
        <x:v>0</x:v>
      </x:c>
      <x:c r="M1156" s="9" t="n">
        <x:v>0</x:v>
      </x:c>
      <x:c r="N1156" s="9" t="str">
        <x:v>UNFILED / UNPROVEN</x:v>
      </x:c>
      <x:c r="O1156" s="9" t="n">
        <x:f>COUNTIFS($A$7:$A$1302,A1156)</x:f>
        <x:v>1</x:v>
      </x:c>
    </x:row>
    <x:row r="1157">
      <x:c r="A1157" s="9" t="str">
        <x:v>EV-AR-ET-A-A-TECH-1-B2-RCN-G0-IV08</x:v>
      </x:c>
      <x:c r="B1157" s="9" t="str">
        <x:v>EV-AR-ET-A-A-TECH-1-B2-RCN-G0</x:v>
      </x:c>
      <x:c r="C1157" s="9" t="str">
        <x:v>AR-ET-A-A-TECH-1-B2-RCN-G0</x:v>
      </x:c>
      <x:c r="D1157" s="9" t="str">
        <x:v>ET-A-A-TECH-1</x:v>
      </x:c>
      <x:c r="E1157" s="9" t="str">
        <x:v>ET-A-A</x:v>
      </x:c>
      <x:c r="F1157" s="9" t="str">
        <x:v>B2</x:v>
      </x:c>
      <x:c r="G1157" s="9" t="str">
        <x:v>RCN</x:v>
      </x:c>
      <x:c r="H1157" s="9" t="str">
        <x:v>IV08</x:v>
      </x:c>
      <x:c r="I1157" s="17" t="str">
        <x:v>Whole-record preservation</x:v>
      </x:c>
      <x:c r="J1157" s="17" t="str">
        <x:v>start, raw behavior, dissent and intervention remain in archive</x:v>
      </x:c>
      <x:c r="K1157" s="17" t="str">
        <x:v>Archive authority</x:v>
      </x:c>
      <x:c r="L1157" s="9" t="n">
        <x:v>0</x:v>
      </x:c>
      <x:c r="M1157" s="9" t="n">
        <x:v>0</x:v>
      </x:c>
      <x:c r="N1157" s="9" t="str">
        <x:v>UNFILED / UNPROVEN</x:v>
      </x:c>
      <x:c r="O1157" s="9" t="n">
        <x:f>COUNTIFS($A$7:$A$1302,A1157)</x:f>
        <x:v>1</x:v>
      </x:c>
    </x:row>
    <x:row r="1158">
      <x:c r="A1158" s="9" t="str">
        <x:v>EV-AR-ET-A-A-TECH-1-B2-RCN-G0-IV09</x:v>
      </x:c>
      <x:c r="B1158" s="9" t="str">
        <x:v>EV-AR-ET-A-A-TECH-1-B2-RCN-G0</x:v>
      </x:c>
      <x:c r="C1158" s="9" t="str">
        <x:v>AR-ET-A-A-TECH-1-B2-RCN-G0</x:v>
      </x:c>
      <x:c r="D1158" s="9" t="str">
        <x:v>ET-A-A-TECH-1</x:v>
      </x:c>
      <x:c r="E1158" s="9" t="str">
        <x:v>ET-A-A</x:v>
      </x:c>
      <x:c r="F1158" s="9" t="str">
        <x:v>B2</x:v>
      </x:c>
      <x:c r="G1158" s="9" t="str">
        <x:v>RCN</x:v>
      </x:c>
      <x:c r="H1158" s="9" t="str">
        <x:v>IV09</x:v>
      </x:c>
      <x:c r="I1158" s="17" t="str">
        <x:v>Bounded remedy</x:v>
      </x:c>
      <x:c r="J1158" s="17" t="str">
        <x:v>only a new slot and EOW may follow; no favorable credit or erased attempt</x:v>
      </x:c>
      <x:c r="K1158" s="17" t="str">
        <x:v>Invalidity court</x:v>
      </x:c>
      <x:c r="L1158" s="9" t="n">
        <x:v>0</x:v>
      </x:c>
      <x:c r="M1158" s="9" t="n">
        <x:v>0</x:v>
      </x:c>
      <x:c r="N1158" s="9" t="str">
        <x:v>UNFILED / UNPROVEN</x:v>
      </x:c>
      <x:c r="O1158" s="9" t="n">
        <x:f>COUNTIFS($A$7:$A$1302,A1158)</x:f>
        <x:v>1</x:v>
      </x:c>
    </x:row>
    <x:row r="1159">
      <x:c r="A1159" s="9" t="str">
        <x:v>EV-AR-HC-A-C-TECH-1-B2-BRK-G0-IV01</x:v>
      </x:c>
      <x:c r="B1159" s="9" t="str">
        <x:v>EV-AR-HC-A-C-TECH-1-B2-BRK-G0</x:v>
      </x:c>
      <x:c r="C1159" s="9" t="str">
        <x:v>AR-HC-A-C-TECH-1-B2-BRK-G0</x:v>
      </x:c>
      <x:c r="D1159" s="9" t="str">
        <x:v>HC-A-C-TECH-1</x:v>
      </x:c>
      <x:c r="E1159" s="9" t="str">
        <x:v>HC-A-C</x:v>
      </x:c>
      <x:c r="F1159" s="9" t="str">
        <x:v>B2</x:v>
      </x:c>
      <x:c r="G1159" s="9" t="str">
        <x:v>BRK</x:v>
      </x:c>
      <x:c r="H1159" s="9" t="str">
        <x:v>IV01</x:v>
      </x:c>
      <x:c r="I1159" s="17" t="str">
        <x:v>Timely petition</x:v>
      </x:c>
      <x:c r="J1159" s="17" t="str">
        <x:v>petition enters within seventy-two hours of event close</x:v>
      </x:c>
      <x:c r="K1159" s="17" t="str">
        <x:v>Invalidity registrar</x:v>
      </x:c>
      <x:c r="L1159" s="9" t="n">
        <x:v>0</x:v>
      </x:c>
      <x:c r="M1159" s="9" t="n">
        <x:v>0</x:v>
      </x:c>
      <x:c r="N1159" s="9" t="str">
        <x:v>UNFILED / UNPROVEN</x:v>
      </x:c>
      <x:c r="O1159" s="9" t="n">
        <x:f>COUNTIFS($A$7:$A$1302,A1159)</x:f>
        <x:v>1</x:v>
      </x:c>
    </x:row>
    <x:row r="1160">
      <x:c r="A1160" s="9" t="str">
        <x:v>EV-AR-HC-A-C-TECH-1-B2-BRK-G0-IV02</x:v>
      </x:c>
      <x:c r="B1160" s="9" t="str">
        <x:v>EV-AR-HC-A-C-TECH-1-B2-BRK-G0</x:v>
      </x:c>
      <x:c r="C1160" s="9" t="str">
        <x:v>AR-HC-A-C-TECH-1-B2-BRK-G0</x:v>
      </x:c>
      <x:c r="D1160" s="9" t="str">
        <x:v>HC-A-C-TECH-1</x:v>
      </x:c>
      <x:c r="E1160" s="9" t="str">
        <x:v>HC-A-C</x:v>
      </x:c>
      <x:c r="F1160" s="9" t="str">
        <x:v>B2</x:v>
      </x:c>
      <x:c r="G1160" s="9" t="str">
        <x:v>BRK</x:v>
      </x:c>
      <x:c r="H1160" s="9" t="str">
        <x:v>IV02</x:v>
      </x:c>
      <x:c r="I1160" s="17" t="str">
        <x:v>Named facility cause</x:v>
      </x:c>
      <x:c r="J1160" s="17" t="str">
        <x:v>one pre-registered noncandidate cause is identified</x:v>
      </x:c>
      <x:c r="K1160" s="17" t="str">
        <x:v>Facility-cause court</x:v>
      </x:c>
      <x:c r="L1160" s="9" t="n">
        <x:v>0</x:v>
      </x:c>
      <x:c r="M1160" s="9" t="n">
        <x:v>0</x:v>
      </x:c>
      <x:c r="N1160" s="9" t="str">
        <x:v>UNFILED / UNPROVEN</x:v>
      </x:c>
      <x:c r="O1160" s="9" t="n">
        <x:f>COUNTIFS($A$7:$A$1302,A1160)</x:f>
        <x:v>1</x:v>
      </x:c>
    </x:row>
    <x:row r="1161">
      <x:c r="A1161" s="9" t="str">
        <x:v>EV-AR-HC-A-C-TECH-1-B2-BRK-G0-IV03</x:v>
      </x:c>
      <x:c r="B1161" s="9" t="str">
        <x:v>EV-AR-HC-A-C-TECH-1-B2-BRK-G0</x:v>
      </x:c>
      <x:c r="C1161" s="9" t="str">
        <x:v>AR-HC-A-C-TECH-1-B2-BRK-G0</x:v>
      </x:c>
      <x:c r="D1161" s="9" t="str">
        <x:v>HC-A-C-TECH-1</x:v>
      </x:c>
      <x:c r="E1161" s="9" t="str">
        <x:v>HC-A-C</x:v>
      </x:c>
      <x:c r="F1161" s="9" t="str">
        <x:v>B2</x:v>
      </x:c>
      <x:c r="G1161" s="9" t="str">
        <x:v>BRK</x:v>
      </x:c>
      <x:c r="H1161" s="9" t="str">
        <x:v>IV03</x:v>
      </x:c>
      <x:c r="I1161" s="17" t="str">
        <x:v>Temporal priority</x:v>
      </x:c>
      <x:c r="J1161" s="17" t="str">
        <x:v>cause demonstrably precedes the disputed candidate behavior</x:v>
      </x:c>
      <x:c r="K1161" s="17" t="str">
        <x:v>Time authority</x:v>
      </x:c>
      <x:c r="L1161" s="9" t="n">
        <x:v>0</x:v>
      </x:c>
      <x:c r="M1161" s="9" t="n">
        <x:v>0</x:v>
      </x:c>
      <x:c r="N1161" s="9" t="str">
        <x:v>UNFILED / UNPROVEN</x:v>
      </x:c>
      <x:c r="O1161" s="9" t="n">
        <x:f>COUNTIFS($A$7:$A$1302,A1161)</x:f>
        <x:v>1</x:v>
      </x:c>
    </x:row>
    <x:row r="1162">
      <x:c r="A1162" s="9" t="str">
        <x:v>EV-AR-HC-A-C-TECH-1-B2-BRK-G0-IV04</x:v>
      </x:c>
      <x:c r="B1162" s="9" t="str">
        <x:v>EV-AR-HC-A-C-TECH-1-B2-BRK-G0</x:v>
      </x:c>
      <x:c r="C1162" s="9" t="str">
        <x:v>AR-HC-A-C-TECH-1-B2-BRK-G0</x:v>
      </x:c>
      <x:c r="D1162" s="9" t="str">
        <x:v>HC-A-C-TECH-1</x:v>
      </x:c>
      <x:c r="E1162" s="9" t="str">
        <x:v>HC-A-C</x:v>
      </x:c>
      <x:c r="F1162" s="9" t="str">
        <x:v>B2</x:v>
      </x:c>
      <x:c r="G1162" s="9" t="str">
        <x:v>BRK</x:v>
      </x:c>
      <x:c r="H1162" s="9" t="str">
        <x:v>IV04</x:v>
      </x:c>
      <x:c r="I1162" s="17" t="str">
        <x:v>Independent trace</x:v>
      </x:c>
      <x:c r="J1162" s="17" t="str">
        <x:v>two unlike records carry the cause without candidate custody</x:v>
      </x:c>
      <x:c r="K1162" s="17" t="str">
        <x:v>Invalidity court</x:v>
      </x:c>
      <x:c r="L1162" s="9" t="n">
        <x:v>0</x:v>
      </x:c>
      <x:c r="M1162" s="9" t="n">
        <x:v>0</x:v>
      </x:c>
      <x:c r="N1162" s="9" t="str">
        <x:v>UNFILED / UNPROVEN</x:v>
      </x:c>
      <x:c r="O1162" s="9" t="n">
        <x:f>COUNTIFS($A$7:$A$1302,A1162)</x:f>
        <x:v>1</x:v>
      </x:c>
    </x:row>
    <x:row r="1163">
      <x:c r="A1163" s="9" t="str">
        <x:v>EV-AR-HC-A-C-TECH-1-B2-BRK-G0-IV05</x:v>
      </x:c>
      <x:c r="B1163" s="9" t="str">
        <x:v>EV-AR-HC-A-C-TECH-1-B2-BRK-G0</x:v>
      </x:c>
      <x:c r="C1163" s="9" t="str">
        <x:v>AR-HC-A-C-TECH-1-B2-BRK-G0</x:v>
      </x:c>
      <x:c r="D1163" s="9" t="str">
        <x:v>HC-A-C-TECH-1</x:v>
      </x:c>
      <x:c r="E1163" s="9" t="str">
        <x:v>HC-A-C</x:v>
      </x:c>
      <x:c r="F1163" s="9" t="str">
        <x:v>B2</x:v>
      </x:c>
      <x:c r="G1163" s="9" t="str">
        <x:v>BRK</x:v>
      </x:c>
      <x:c r="H1163" s="9" t="str">
        <x:v>IV05</x:v>
      </x:c>
      <x:c r="I1163" s="17" t="str">
        <x:v>Causal counterfactual</x:v>
      </x:c>
      <x:c r="J1163" s="17" t="str">
        <x:v>registered counterfactual shows the cause can create the defect</x:v>
      </x:c>
      <x:c r="K1163" s="17" t="str">
        <x:v>Causal court</x:v>
      </x:c>
      <x:c r="L1163" s="9" t="n">
        <x:v>0</x:v>
      </x:c>
      <x:c r="M1163" s="9" t="n">
        <x:v>0</x:v>
      </x:c>
      <x:c r="N1163" s="9" t="str">
        <x:v>UNFILED / UNPROVEN</x:v>
      </x:c>
      <x:c r="O1163" s="9" t="n">
        <x:f>COUNTIFS($A$7:$A$1302,A1163)</x:f>
        <x:v>1</x:v>
      </x:c>
    </x:row>
    <x:row r="1164">
      <x:c r="A1164" s="9" t="str">
        <x:v>EV-AR-HC-A-C-TECH-1-B2-BRK-G0-IV06</x:v>
      </x:c>
      <x:c r="B1164" s="9" t="str">
        <x:v>EV-AR-HC-A-C-TECH-1-B2-BRK-G0</x:v>
      </x:c>
      <x:c r="C1164" s="9" t="str">
        <x:v>AR-HC-A-C-TECH-1-B2-BRK-G0</x:v>
      </x:c>
      <x:c r="D1164" s="9" t="str">
        <x:v>HC-A-C-TECH-1</x:v>
      </x:c>
      <x:c r="E1164" s="9" t="str">
        <x:v>HC-A-C</x:v>
      </x:c>
      <x:c r="F1164" s="9" t="str">
        <x:v>B2</x:v>
      </x:c>
      <x:c r="G1164" s="9" t="str">
        <x:v>BRK</x:v>
      </x:c>
      <x:c r="H1164" s="9" t="str">
        <x:v>IV06</x:v>
      </x:c>
      <x:c r="I1164" s="17" t="str">
        <x:v>Candidate non-causation</x:v>
      </x:c>
      <x:c r="J1164" s="17" t="str">
        <x:v>evidence excludes candidate induction of the facility condition</x:v>
      </x:c>
      <x:c r="K1164" s="17" t="str">
        <x:v>Causal court</x:v>
      </x:c>
      <x:c r="L1164" s="9" t="n">
        <x:v>0</x:v>
      </x:c>
      <x:c r="M1164" s="9" t="n">
        <x:v>0</x:v>
      </x:c>
      <x:c r="N1164" s="9" t="str">
        <x:v>UNFILED / UNPROVEN</x:v>
      </x:c>
      <x:c r="O1164" s="9" t="n">
        <x:f>COUNTIFS($A$7:$A$1302,A1164)</x:f>
        <x:v>1</x:v>
      </x:c>
    </x:row>
    <x:row r="1165">
      <x:c r="A1165" s="9" t="str">
        <x:v>EV-AR-HC-A-C-TECH-1-B2-BRK-G0-IV07</x:v>
      </x:c>
      <x:c r="B1165" s="9" t="str">
        <x:v>EV-AR-HC-A-C-TECH-1-B2-BRK-G0</x:v>
      </x:c>
      <x:c r="C1165" s="9" t="str">
        <x:v>AR-HC-A-C-TECH-1-B2-BRK-G0</x:v>
      </x:c>
      <x:c r="D1165" s="9" t="str">
        <x:v>HC-A-C-TECH-1</x:v>
      </x:c>
      <x:c r="E1165" s="9" t="str">
        <x:v>HC-A-C</x:v>
      </x:c>
      <x:c r="F1165" s="9" t="str">
        <x:v>B2</x:v>
      </x:c>
      <x:c r="G1165" s="9" t="str">
        <x:v>BRK</x:v>
      </x:c>
      <x:c r="H1165" s="9" t="str">
        <x:v>IV07</x:v>
      </x:c>
      <x:c r="I1165" s="17" t="str">
        <x:v>No outcome selection</x:v>
      </x:c>
      <x:c r="J1165" s="17" t="str">
        <x:v>petition rule and evidence scope were fixed before visibility</x:v>
      </x:c>
      <x:c r="K1165" s="17" t="str">
        <x:v>Conflict registrar</x:v>
      </x:c>
      <x:c r="L1165" s="9" t="n">
        <x:v>0</x:v>
      </x:c>
      <x:c r="M1165" s="9" t="n">
        <x:v>0</x:v>
      </x:c>
      <x:c r="N1165" s="9" t="str">
        <x:v>UNFILED / UNPROVEN</x:v>
      </x:c>
      <x:c r="O1165" s="9" t="n">
        <x:f>COUNTIFS($A$7:$A$1302,A1165)</x:f>
        <x:v>1</x:v>
      </x:c>
    </x:row>
    <x:row r="1166">
      <x:c r="A1166" s="9" t="str">
        <x:v>EV-AR-HC-A-C-TECH-1-B2-BRK-G0-IV08</x:v>
      </x:c>
      <x:c r="B1166" s="9" t="str">
        <x:v>EV-AR-HC-A-C-TECH-1-B2-BRK-G0</x:v>
      </x:c>
      <x:c r="C1166" s="9" t="str">
        <x:v>AR-HC-A-C-TECH-1-B2-BRK-G0</x:v>
      </x:c>
      <x:c r="D1166" s="9" t="str">
        <x:v>HC-A-C-TECH-1</x:v>
      </x:c>
      <x:c r="E1166" s="9" t="str">
        <x:v>HC-A-C</x:v>
      </x:c>
      <x:c r="F1166" s="9" t="str">
        <x:v>B2</x:v>
      </x:c>
      <x:c r="G1166" s="9" t="str">
        <x:v>BRK</x:v>
      </x:c>
      <x:c r="H1166" s="9" t="str">
        <x:v>IV08</x:v>
      </x:c>
      <x:c r="I1166" s="17" t="str">
        <x:v>Whole-record preservation</x:v>
      </x:c>
      <x:c r="J1166" s="17" t="str">
        <x:v>start, raw behavior, dissent and intervention remain in archive</x:v>
      </x:c>
      <x:c r="K1166" s="17" t="str">
        <x:v>Archive authority</x:v>
      </x:c>
      <x:c r="L1166" s="9" t="n">
        <x:v>0</x:v>
      </x:c>
      <x:c r="M1166" s="9" t="n">
        <x:v>0</x:v>
      </x:c>
      <x:c r="N1166" s="9" t="str">
        <x:v>UNFILED / UNPROVEN</x:v>
      </x:c>
      <x:c r="O1166" s="9" t="n">
        <x:f>COUNTIFS($A$7:$A$1302,A1166)</x:f>
        <x:v>1</x:v>
      </x:c>
    </x:row>
    <x:row r="1167">
      <x:c r="A1167" s="9" t="str">
        <x:v>EV-AR-HC-A-C-TECH-1-B2-BRK-G0-IV09</x:v>
      </x:c>
      <x:c r="B1167" s="9" t="str">
        <x:v>EV-AR-HC-A-C-TECH-1-B2-BRK-G0</x:v>
      </x:c>
      <x:c r="C1167" s="9" t="str">
        <x:v>AR-HC-A-C-TECH-1-B2-BRK-G0</x:v>
      </x:c>
      <x:c r="D1167" s="9" t="str">
        <x:v>HC-A-C-TECH-1</x:v>
      </x:c>
      <x:c r="E1167" s="9" t="str">
        <x:v>HC-A-C</x:v>
      </x:c>
      <x:c r="F1167" s="9" t="str">
        <x:v>B2</x:v>
      </x:c>
      <x:c r="G1167" s="9" t="str">
        <x:v>BRK</x:v>
      </x:c>
      <x:c r="H1167" s="9" t="str">
        <x:v>IV09</x:v>
      </x:c>
      <x:c r="I1167" s="17" t="str">
        <x:v>Bounded remedy</x:v>
      </x:c>
      <x:c r="J1167" s="17" t="str">
        <x:v>only a new slot and EOW may follow; no favorable credit or erased attempt</x:v>
      </x:c>
      <x:c r="K1167" s="17" t="str">
        <x:v>Invalidity court</x:v>
      </x:c>
      <x:c r="L1167" s="9" t="n">
        <x:v>0</x:v>
      </x:c>
      <x:c r="M1167" s="9" t="n">
        <x:v>0</x:v>
      </x:c>
      <x:c r="N1167" s="9" t="str">
        <x:v>UNFILED / UNPROVEN</x:v>
      </x:c>
      <x:c r="O1167" s="9" t="n">
        <x:f>COUNTIFS($A$7:$A$1302,A1167)</x:f>
        <x:v>1</x:v>
      </x:c>
    </x:row>
    <x:row r="1168">
      <x:c r="A1168" s="9" t="str">
        <x:v>EV-AR-HU-A-B-TECH-1-B2-INT-G0-IV01</x:v>
      </x:c>
      <x:c r="B1168" s="9" t="str">
        <x:v>EV-AR-HU-A-B-TECH-1-B2-INT-G0</x:v>
      </x:c>
      <x:c r="C1168" s="9" t="str">
        <x:v>AR-HU-A-B-TECH-1-B2-INT-G0</x:v>
      </x:c>
      <x:c r="D1168" s="9" t="str">
        <x:v>HU-A-B-TECH-1</x:v>
      </x:c>
      <x:c r="E1168" s="9" t="str">
        <x:v>HU-A-B</x:v>
      </x:c>
      <x:c r="F1168" s="9" t="str">
        <x:v>B2</x:v>
      </x:c>
      <x:c r="G1168" s="9" t="str">
        <x:v>INT</x:v>
      </x:c>
      <x:c r="H1168" s="9" t="str">
        <x:v>IV01</x:v>
      </x:c>
      <x:c r="I1168" s="17" t="str">
        <x:v>Timely petition</x:v>
      </x:c>
      <x:c r="J1168" s="17" t="str">
        <x:v>petition enters within seventy-two hours of event close</x:v>
      </x:c>
      <x:c r="K1168" s="17" t="str">
        <x:v>Invalidity registrar</x:v>
      </x:c>
      <x:c r="L1168" s="9" t="n">
        <x:v>0</x:v>
      </x:c>
      <x:c r="M1168" s="9" t="n">
        <x:v>0</x:v>
      </x:c>
      <x:c r="N1168" s="9" t="str">
        <x:v>UNFILED / UNPROVEN</x:v>
      </x:c>
      <x:c r="O1168" s="9" t="n">
        <x:f>COUNTIFS($A$7:$A$1302,A1168)</x:f>
        <x:v>1</x:v>
      </x:c>
    </x:row>
    <x:row r="1169">
      <x:c r="A1169" s="9" t="str">
        <x:v>EV-AR-HU-A-B-TECH-1-B2-INT-G0-IV02</x:v>
      </x:c>
      <x:c r="B1169" s="9" t="str">
        <x:v>EV-AR-HU-A-B-TECH-1-B2-INT-G0</x:v>
      </x:c>
      <x:c r="C1169" s="9" t="str">
        <x:v>AR-HU-A-B-TECH-1-B2-INT-G0</x:v>
      </x:c>
      <x:c r="D1169" s="9" t="str">
        <x:v>HU-A-B-TECH-1</x:v>
      </x:c>
      <x:c r="E1169" s="9" t="str">
        <x:v>HU-A-B</x:v>
      </x:c>
      <x:c r="F1169" s="9" t="str">
        <x:v>B2</x:v>
      </x:c>
      <x:c r="G1169" s="9" t="str">
        <x:v>INT</x:v>
      </x:c>
      <x:c r="H1169" s="9" t="str">
        <x:v>IV02</x:v>
      </x:c>
      <x:c r="I1169" s="17" t="str">
        <x:v>Named facility cause</x:v>
      </x:c>
      <x:c r="J1169" s="17" t="str">
        <x:v>one pre-registered noncandidate cause is identified</x:v>
      </x:c>
      <x:c r="K1169" s="17" t="str">
        <x:v>Facility-cause court</x:v>
      </x:c>
      <x:c r="L1169" s="9" t="n">
        <x:v>0</x:v>
      </x:c>
      <x:c r="M1169" s="9" t="n">
        <x:v>0</x:v>
      </x:c>
      <x:c r="N1169" s="9" t="str">
        <x:v>UNFILED / UNPROVEN</x:v>
      </x:c>
      <x:c r="O1169" s="9" t="n">
        <x:f>COUNTIFS($A$7:$A$1302,A1169)</x:f>
        <x:v>1</x:v>
      </x:c>
    </x:row>
    <x:row r="1170">
      <x:c r="A1170" s="9" t="str">
        <x:v>EV-AR-HU-A-B-TECH-1-B2-INT-G0-IV03</x:v>
      </x:c>
      <x:c r="B1170" s="9" t="str">
        <x:v>EV-AR-HU-A-B-TECH-1-B2-INT-G0</x:v>
      </x:c>
      <x:c r="C1170" s="9" t="str">
        <x:v>AR-HU-A-B-TECH-1-B2-INT-G0</x:v>
      </x:c>
      <x:c r="D1170" s="9" t="str">
        <x:v>HU-A-B-TECH-1</x:v>
      </x:c>
      <x:c r="E1170" s="9" t="str">
        <x:v>HU-A-B</x:v>
      </x:c>
      <x:c r="F1170" s="9" t="str">
        <x:v>B2</x:v>
      </x:c>
      <x:c r="G1170" s="9" t="str">
        <x:v>INT</x:v>
      </x:c>
      <x:c r="H1170" s="9" t="str">
        <x:v>IV03</x:v>
      </x:c>
      <x:c r="I1170" s="17" t="str">
        <x:v>Temporal priority</x:v>
      </x:c>
      <x:c r="J1170" s="17" t="str">
        <x:v>cause demonstrably precedes the disputed candidate behavior</x:v>
      </x:c>
      <x:c r="K1170" s="17" t="str">
        <x:v>Time authority</x:v>
      </x:c>
      <x:c r="L1170" s="9" t="n">
        <x:v>0</x:v>
      </x:c>
      <x:c r="M1170" s="9" t="n">
        <x:v>0</x:v>
      </x:c>
      <x:c r="N1170" s="9" t="str">
        <x:v>UNFILED / UNPROVEN</x:v>
      </x:c>
      <x:c r="O1170" s="9" t="n">
        <x:f>COUNTIFS($A$7:$A$1302,A1170)</x:f>
        <x:v>1</x:v>
      </x:c>
    </x:row>
    <x:row r="1171">
      <x:c r="A1171" s="9" t="str">
        <x:v>EV-AR-HU-A-B-TECH-1-B2-INT-G0-IV04</x:v>
      </x:c>
      <x:c r="B1171" s="9" t="str">
        <x:v>EV-AR-HU-A-B-TECH-1-B2-INT-G0</x:v>
      </x:c>
      <x:c r="C1171" s="9" t="str">
        <x:v>AR-HU-A-B-TECH-1-B2-INT-G0</x:v>
      </x:c>
      <x:c r="D1171" s="9" t="str">
        <x:v>HU-A-B-TECH-1</x:v>
      </x:c>
      <x:c r="E1171" s="9" t="str">
        <x:v>HU-A-B</x:v>
      </x:c>
      <x:c r="F1171" s="9" t="str">
        <x:v>B2</x:v>
      </x:c>
      <x:c r="G1171" s="9" t="str">
        <x:v>INT</x:v>
      </x:c>
      <x:c r="H1171" s="9" t="str">
        <x:v>IV04</x:v>
      </x:c>
      <x:c r="I1171" s="17" t="str">
        <x:v>Independent trace</x:v>
      </x:c>
      <x:c r="J1171" s="17" t="str">
        <x:v>two unlike records carry the cause without candidate custody</x:v>
      </x:c>
      <x:c r="K1171" s="17" t="str">
        <x:v>Invalidity court</x:v>
      </x:c>
      <x:c r="L1171" s="9" t="n">
        <x:v>0</x:v>
      </x:c>
      <x:c r="M1171" s="9" t="n">
        <x:v>0</x:v>
      </x:c>
      <x:c r="N1171" s="9" t="str">
        <x:v>UNFILED / UNPROVEN</x:v>
      </x:c>
      <x:c r="O1171" s="9" t="n">
        <x:f>COUNTIFS($A$7:$A$1302,A1171)</x:f>
        <x:v>1</x:v>
      </x:c>
    </x:row>
    <x:row r="1172">
      <x:c r="A1172" s="9" t="str">
        <x:v>EV-AR-HU-A-B-TECH-1-B2-INT-G0-IV05</x:v>
      </x:c>
      <x:c r="B1172" s="9" t="str">
        <x:v>EV-AR-HU-A-B-TECH-1-B2-INT-G0</x:v>
      </x:c>
      <x:c r="C1172" s="9" t="str">
        <x:v>AR-HU-A-B-TECH-1-B2-INT-G0</x:v>
      </x:c>
      <x:c r="D1172" s="9" t="str">
        <x:v>HU-A-B-TECH-1</x:v>
      </x:c>
      <x:c r="E1172" s="9" t="str">
        <x:v>HU-A-B</x:v>
      </x:c>
      <x:c r="F1172" s="9" t="str">
        <x:v>B2</x:v>
      </x:c>
      <x:c r="G1172" s="9" t="str">
        <x:v>INT</x:v>
      </x:c>
      <x:c r="H1172" s="9" t="str">
        <x:v>IV05</x:v>
      </x:c>
      <x:c r="I1172" s="17" t="str">
        <x:v>Causal counterfactual</x:v>
      </x:c>
      <x:c r="J1172" s="17" t="str">
        <x:v>registered counterfactual shows the cause can create the defect</x:v>
      </x:c>
      <x:c r="K1172" s="17" t="str">
        <x:v>Causal court</x:v>
      </x:c>
      <x:c r="L1172" s="9" t="n">
        <x:v>0</x:v>
      </x:c>
      <x:c r="M1172" s="9" t="n">
        <x:v>0</x:v>
      </x:c>
      <x:c r="N1172" s="9" t="str">
        <x:v>UNFILED / UNPROVEN</x:v>
      </x:c>
      <x:c r="O1172" s="9" t="n">
        <x:f>COUNTIFS($A$7:$A$1302,A1172)</x:f>
        <x:v>1</x:v>
      </x:c>
    </x:row>
    <x:row r="1173">
      <x:c r="A1173" s="9" t="str">
        <x:v>EV-AR-HU-A-B-TECH-1-B2-INT-G0-IV06</x:v>
      </x:c>
      <x:c r="B1173" s="9" t="str">
        <x:v>EV-AR-HU-A-B-TECH-1-B2-INT-G0</x:v>
      </x:c>
      <x:c r="C1173" s="9" t="str">
        <x:v>AR-HU-A-B-TECH-1-B2-INT-G0</x:v>
      </x:c>
      <x:c r="D1173" s="9" t="str">
        <x:v>HU-A-B-TECH-1</x:v>
      </x:c>
      <x:c r="E1173" s="9" t="str">
        <x:v>HU-A-B</x:v>
      </x:c>
      <x:c r="F1173" s="9" t="str">
        <x:v>B2</x:v>
      </x:c>
      <x:c r="G1173" s="9" t="str">
        <x:v>INT</x:v>
      </x:c>
      <x:c r="H1173" s="9" t="str">
        <x:v>IV06</x:v>
      </x:c>
      <x:c r="I1173" s="17" t="str">
        <x:v>Candidate non-causation</x:v>
      </x:c>
      <x:c r="J1173" s="17" t="str">
        <x:v>evidence excludes candidate induction of the facility condition</x:v>
      </x:c>
      <x:c r="K1173" s="17" t="str">
        <x:v>Causal court</x:v>
      </x:c>
      <x:c r="L1173" s="9" t="n">
        <x:v>0</x:v>
      </x:c>
      <x:c r="M1173" s="9" t="n">
        <x:v>0</x:v>
      </x:c>
      <x:c r="N1173" s="9" t="str">
        <x:v>UNFILED / UNPROVEN</x:v>
      </x:c>
      <x:c r="O1173" s="9" t="n">
        <x:f>COUNTIFS($A$7:$A$1302,A1173)</x:f>
        <x:v>1</x:v>
      </x:c>
    </x:row>
    <x:row r="1174">
      <x:c r="A1174" s="9" t="str">
        <x:v>EV-AR-HU-A-B-TECH-1-B2-INT-G0-IV07</x:v>
      </x:c>
      <x:c r="B1174" s="9" t="str">
        <x:v>EV-AR-HU-A-B-TECH-1-B2-INT-G0</x:v>
      </x:c>
      <x:c r="C1174" s="9" t="str">
        <x:v>AR-HU-A-B-TECH-1-B2-INT-G0</x:v>
      </x:c>
      <x:c r="D1174" s="9" t="str">
        <x:v>HU-A-B-TECH-1</x:v>
      </x:c>
      <x:c r="E1174" s="9" t="str">
        <x:v>HU-A-B</x:v>
      </x:c>
      <x:c r="F1174" s="9" t="str">
        <x:v>B2</x:v>
      </x:c>
      <x:c r="G1174" s="9" t="str">
        <x:v>INT</x:v>
      </x:c>
      <x:c r="H1174" s="9" t="str">
        <x:v>IV07</x:v>
      </x:c>
      <x:c r="I1174" s="17" t="str">
        <x:v>No outcome selection</x:v>
      </x:c>
      <x:c r="J1174" s="17" t="str">
        <x:v>petition rule and evidence scope were fixed before visibility</x:v>
      </x:c>
      <x:c r="K1174" s="17" t="str">
        <x:v>Conflict registrar</x:v>
      </x:c>
      <x:c r="L1174" s="9" t="n">
        <x:v>0</x:v>
      </x:c>
      <x:c r="M1174" s="9" t="n">
        <x:v>0</x:v>
      </x:c>
      <x:c r="N1174" s="9" t="str">
        <x:v>UNFILED / UNPROVEN</x:v>
      </x:c>
      <x:c r="O1174" s="9" t="n">
        <x:f>COUNTIFS($A$7:$A$1302,A1174)</x:f>
        <x:v>1</x:v>
      </x:c>
    </x:row>
    <x:row r="1175">
      <x:c r="A1175" s="9" t="str">
        <x:v>EV-AR-HU-A-B-TECH-1-B2-INT-G0-IV08</x:v>
      </x:c>
      <x:c r="B1175" s="9" t="str">
        <x:v>EV-AR-HU-A-B-TECH-1-B2-INT-G0</x:v>
      </x:c>
      <x:c r="C1175" s="9" t="str">
        <x:v>AR-HU-A-B-TECH-1-B2-INT-G0</x:v>
      </x:c>
      <x:c r="D1175" s="9" t="str">
        <x:v>HU-A-B-TECH-1</x:v>
      </x:c>
      <x:c r="E1175" s="9" t="str">
        <x:v>HU-A-B</x:v>
      </x:c>
      <x:c r="F1175" s="9" t="str">
        <x:v>B2</x:v>
      </x:c>
      <x:c r="G1175" s="9" t="str">
        <x:v>INT</x:v>
      </x:c>
      <x:c r="H1175" s="9" t="str">
        <x:v>IV08</x:v>
      </x:c>
      <x:c r="I1175" s="17" t="str">
        <x:v>Whole-record preservation</x:v>
      </x:c>
      <x:c r="J1175" s="17" t="str">
        <x:v>start, raw behavior, dissent and intervention remain in archive</x:v>
      </x:c>
      <x:c r="K1175" s="17" t="str">
        <x:v>Archive authority</x:v>
      </x:c>
      <x:c r="L1175" s="9" t="n">
        <x:v>0</x:v>
      </x:c>
      <x:c r="M1175" s="9" t="n">
        <x:v>0</x:v>
      </x:c>
      <x:c r="N1175" s="9" t="str">
        <x:v>UNFILED / UNPROVEN</x:v>
      </x:c>
      <x:c r="O1175" s="9" t="n">
        <x:f>COUNTIFS($A$7:$A$1302,A1175)</x:f>
        <x:v>1</x:v>
      </x:c>
    </x:row>
    <x:row r="1176">
      <x:c r="A1176" s="9" t="str">
        <x:v>EV-AR-HU-A-B-TECH-1-B2-INT-G0-IV09</x:v>
      </x:c>
      <x:c r="B1176" s="9" t="str">
        <x:v>EV-AR-HU-A-B-TECH-1-B2-INT-G0</x:v>
      </x:c>
      <x:c r="C1176" s="9" t="str">
        <x:v>AR-HU-A-B-TECH-1-B2-INT-G0</x:v>
      </x:c>
      <x:c r="D1176" s="9" t="str">
        <x:v>HU-A-B-TECH-1</x:v>
      </x:c>
      <x:c r="E1176" s="9" t="str">
        <x:v>HU-A-B</x:v>
      </x:c>
      <x:c r="F1176" s="9" t="str">
        <x:v>B2</x:v>
      </x:c>
      <x:c r="G1176" s="9" t="str">
        <x:v>INT</x:v>
      </x:c>
      <x:c r="H1176" s="9" t="str">
        <x:v>IV09</x:v>
      </x:c>
      <x:c r="I1176" s="17" t="str">
        <x:v>Bounded remedy</x:v>
      </x:c>
      <x:c r="J1176" s="17" t="str">
        <x:v>only a new slot and EOW may follow; no favorable credit or erased attempt</x:v>
      </x:c>
      <x:c r="K1176" s="17" t="str">
        <x:v>Invalidity court</x:v>
      </x:c>
      <x:c r="L1176" s="9" t="n">
        <x:v>0</x:v>
      </x:c>
      <x:c r="M1176" s="9" t="n">
        <x:v>0</x:v>
      </x:c>
      <x:c r="N1176" s="9" t="str">
        <x:v>UNFILED / UNPROVEN</x:v>
      </x:c>
      <x:c r="O1176" s="9" t="n">
        <x:f>COUNTIFS($A$7:$A$1302,A1176)</x:f>
        <x:v>1</x:v>
      </x:c>
    </x:row>
    <x:row r="1177">
      <x:c r="A1177" s="9" t="str">
        <x:v>EV-AR-LF-B-A-TECH-3-B1-INT-G0-IV01</x:v>
      </x:c>
      <x:c r="B1177" s="9" t="str">
        <x:v>EV-AR-LF-B-A-TECH-3-B1-INT-G0</x:v>
      </x:c>
      <x:c r="C1177" s="9" t="str">
        <x:v>AR-LF-B-A-TECH-3-B1-INT-G0</x:v>
      </x:c>
      <x:c r="D1177" s="9" t="str">
        <x:v>LF-B-A-TECH-3</x:v>
      </x:c>
      <x:c r="E1177" s="9" t="str">
        <x:v>LF-B-A</x:v>
      </x:c>
      <x:c r="F1177" s="9" t="str">
        <x:v>B1</x:v>
      </x:c>
      <x:c r="G1177" s="9" t="str">
        <x:v>INT</x:v>
      </x:c>
      <x:c r="H1177" s="9" t="str">
        <x:v>IV01</x:v>
      </x:c>
      <x:c r="I1177" s="17" t="str">
        <x:v>Timely petition</x:v>
      </x:c>
      <x:c r="J1177" s="17" t="str">
        <x:v>petition enters within seventy-two hours of event close</x:v>
      </x:c>
      <x:c r="K1177" s="17" t="str">
        <x:v>Invalidity registrar</x:v>
      </x:c>
      <x:c r="L1177" s="9" t="n">
        <x:v>0</x:v>
      </x:c>
      <x:c r="M1177" s="9" t="n">
        <x:v>0</x:v>
      </x:c>
      <x:c r="N1177" s="9" t="str">
        <x:v>UNFILED / UNPROVEN</x:v>
      </x:c>
      <x:c r="O1177" s="9" t="n">
        <x:f>COUNTIFS($A$7:$A$1302,A1177)</x:f>
        <x:v>1</x:v>
      </x:c>
    </x:row>
    <x:row r="1178">
      <x:c r="A1178" s="9" t="str">
        <x:v>EV-AR-LF-B-A-TECH-3-B1-INT-G0-IV02</x:v>
      </x:c>
      <x:c r="B1178" s="9" t="str">
        <x:v>EV-AR-LF-B-A-TECH-3-B1-INT-G0</x:v>
      </x:c>
      <x:c r="C1178" s="9" t="str">
        <x:v>AR-LF-B-A-TECH-3-B1-INT-G0</x:v>
      </x:c>
      <x:c r="D1178" s="9" t="str">
        <x:v>LF-B-A-TECH-3</x:v>
      </x:c>
      <x:c r="E1178" s="9" t="str">
        <x:v>LF-B-A</x:v>
      </x:c>
      <x:c r="F1178" s="9" t="str">
        <x:v>B1</x:v>
      </x:c>
      <x:c r="G1178" s="9" t="str">
        <x:v>INT</x:v>
      </x:c>
      <x:c r="H1178" s="9" t="str">
        <x:v>IV02</x:v>
      </x:c>
      <x:c r="I1178" s="17" t="str">
        <x:v>Named facility cause</x:v>
      </x:c>
      <x:c r="J1178" s="17" t="str">
        <x:v>one pre-registered noncandidate cause is identified</x:v>
      </x:c>
      <x:c r="K1178" s="17" t="str">
        <x:v>Facility-cause court</x:v>
      </x:c>
      <x:c r="L1178" s="9" t="n">
        <x:v>0</x:v>
      </x:c>
      <x:c r="M1178" s="9" t="n">
        <x:v>0</x:v>
      </x:c>
      <x:c r="N1178" s="9" t="str">
        <x:v>UNFILED / UNPROVEN</x:v>
      </x:c>
      <x:c r="O1178" s="9" t="n">
        <x:f>COUNTIFS($A$7:$A$1302,A1178)</x:f>
        <x:v>1</x:v>
      </x:c>
    </x:row>
    <x:row r="1179">
      <x:c r="A1179" s="9" t="str">
        <x:v>EV-AR-LF-B-A-TECH-3-B1-INT-G0-IV03</x:v>
      </x:c>
      <x:c r="B1179" s="9" t="str">
        <x:v>EV-AR-LF-B-A-TECH-3-B1-INT-G0</x:v>
      </x:c>
      <x:c r="C1179" s="9" t="str">
        <x:v>AR-LF-B-A-TECH-3-B1-INT-G0</x:v>
      </x:c>
      <x:c r="D1179" s="9" t="str">
        <x:v>LF-B-A-TECH-3</x:v>
      </x:c>
      <x:c r="E1179" s="9" t="str">
        <x:v>LF-B-A</x:v>
      </x:c>
      <x:c r="F1179" s="9" t="str">
        <x:v>B1</x:v>
      </x:c>
      <x:c r="G1179" s="9" t="str">
        <x:v>INT</x:v>
      </x:c>
      <x:c r="H1179" s="9" t="str">
        <x:v>IV03</x:v>
      </x:c>
      <x:c r="I1179" s="17" t="str">
        <x:v>Temporal priority</x:v>
      </x:c>
      <x:c r="J1179" s="17" t="str">
        <x:v>cause demonstrably precedes the disputed candidate behavior</x:v>
      </x:c>
      <x:c r="K1179" s="17" t="str">
        <x:v>Time authority</x:v>
      </x:c>
      <x:c r="L1179" s="9" t="n">
        <x:v>0</x:v>
      </x:c>
      <x:c r="M1179" s="9" t="n">
        <x:v>0</x:v>
      </x:c>
      <x:c r="N1179" s="9" t="str">
        <x:v>UNFILED / UNPROVEN</x:v>
      </x:c>
      <x:c r="O1179" s="9" t="n">
        <x:f>COUNTIFS($A$7:$A$1302,A1179)</x:f>
        <x:v>1</x:v>
      </x:c>
    </x:row>
    <x:row r="1180">
      <x:c r="A1180" s="9" t="str">
        <x:v>EV-AR-LF-B-A-TECH-3-B1-INT-G0-IV04</x:v>
      </x:c>
      <x:c r="B1180" s="9" t="str">
        <x:v>EV-AR-LF-B-A-TECH-3-B1-INT-G0</x:v>
      </x:c>
      <x:c r="C1180" s="9" t="str">
        <x:v>AR-LF-B-A-TECH-3-B1-INT-G0</x:v>
      </x:c>
      <x:c r="D1180" s="9" t="str">
        <x:v>LF-B-A-TECH-3</x:v>
      </x:c>
      <x:c r="E1180" s="9" t="str">
        <x:v>LF-B-A</x:v>
      </x:c>
      <x:c r="F1180" s="9" t="str">
        <x:v>B1</x:v>
      </x:c>
      <x:c r="G1180" s="9" t="str">
        <x:v>INT</x:v>
      </x:c>
      <x:c r="H1180" s="9" t="str">
        <x:v>IV04</x:v>
      </x:c>
      <x:c r="I1180" s="17" t="str">
        <x:v>Independent trace</x:v>
      </x:c>
      <x:c r="J1180" s="17" t="str">
        <x:v>two unlike records carry the cause without candidate custody</x:v>
      </x:c>
      <x:c r="K1180" s="17" t="str">
        <x:v>Invalidity court</x:v>
      </x:c>
      <x:c r="L1180" s="9" t="n">
        <x:v>0</x:v>
      </x:c>
      <x:c r="M1180" s="9" t="n">
        <x:v>0</x:v>
      </x:c>
      <x:c r="N1180" s="9" t="str">
        <x:v>UNFILED / UNPROVEN</x:v>
      </x:c>
      <x:c r="O1180" s="9" t="n">
        <x:f>COUNTIFS($A$7:$A$1302,A1180)</x:f>
        <x:v>1</x:v>
      </x:c>
    </x:row>
    <x:row r="1181">
      <x:c r="A1181" s="9" t="str">
        <x:v>EV-AR-LF-B-A-TECH-3-B1-INT-G0-IV05</x:v>
      </x:c>
      <x:c r="B1181" s="9" t="str">
        <x:v>EV-AR-LF-B-A-TECH-3-B1-INT-G0</x:v>
      </x:c>
      <x:c r="C1181" s="9" t="str">
        <x:v>AR-LF-B-A-TECH-3-B1-INT-G0</x:v>
      </x:c>
      <x:c r="D1181" s="9" t="str">
        <x:v>LF-B-A-TECH-3</x:v>
      </x:c>
      <x:c r="E1181" s="9" t="str">
        <x:v>LF-B-A</x:v>
      </x:c>
      <x:c r="F1181" s="9" t="str">
        <x:v>B1</x:v>
      </x:c>
      <x:c r="G1181" s="9" t="str">
        <x:v>INT</x:v>
      </x:c>
      <x:c r="H1181" s="9" t="str">
        <x:v>IV05</x:v>
      </x:c>
      <x:c r="I1181" s="17" t="str">
        <x:v>Causal counterfactual</x:v>
      </x:c>
      <x:c r="J1181" s="17" t="str">
        <x:v>registered counterfactual shows the cause can create the defect</x:v>
      </x:c>
      <x:c r="K1181" s="17" t="str">
        <x:v>Causal court</x:v>
      </x:c>
      <x:c r="L1181" s="9" t="n">
        <x:v>0</x:v>
      </x:c>
      <x:c r="M1181" s="9" t="n">
        <x:v>0</x:v>
      </x:c>
      <x:c r="N1181" s="9" t="str">
        <x:v>UNFILED / UNPROVEN</x:v>
      </x:c>
      <x:c r="O1181" s="9" t="n">
        <x:f>COUNTIFS($A$7:$A$1302,A1181)</x:f>
        <x:v>1</x:v>
      </x:c>
    </x:row>
    <x:row r="1182">
      <x:c r="A1182" s="9" t="str">
        <x:v>EV-AR-LF-B-A-TECH-3-B1-INT-G0-IV06</x:v>
      </x:c>
      <x:c r="B1182" s="9" t="str">
        <x:v>EV-AR-LF-B-A-TECH-3-B1-INT-G0</x:v>
      </x:c>
      <x:c r="C1182" s="9" t="str">
        <x:v>AR-LF-B-A-TECH-3-B1-INT-G0</x:v>
      </x:c>
      <x:c r="D1182" s="9" t="str">
        <x:v>LF-B-A-TECH-3</x:v>
      </x:c>
      <x:c r="E1182" s="9" t="str">
        <x:v>LF-B-A</x:v>
      </x:c>
      <x:c r="F1182" s="9" t="str">
        <x:v>B1</x:v>
      </x:c>
      <x:c r="G1182" s="9" t="str">
        <x:v>INT</x:v>
      </x:c>
      <x:c r="H1182" s="9" t="str">
        <x:v>IV06</x:v>
      </x:c>
      <x:c r="I1182" s="17" t="str">
        <x:v>Candidate non-causation</x:v>
      </x:c>
      <x:c r="J1182" s="17" t="str">
        <x:v>evidence excludes candidate induction of the facility condition</x:v>
      </x:c>
      <x:c r="K1182" s="17" t="str">
        <x:v>Causal court</x:v>
      </x:c>
      <x:c r="L1182" s="9" t="n">
        <x:v>0</x:v>
      </x:c>
      <x:c r="M1182" s="9" t="n">
        <x:v>0</x:v>
      </x:c>
      <x:c r="N1182" s="9" t="str">
        <x:v>UNFILED / UNPROVEN</x:v>
      </x:c>
      <x:c r="O1182" s="9" t="n">
        <x:f>COUNTIFS($A$7:$A$1302,A1182)</x:f>
        <x:v>1</x:v>
      </x:c>
    </x:row>
    <x:row r="1183">
      <x:c r="A1183" s="9" t="str">
        <x:v>EV-AR-LF-B-A-TECH-3-B1-INT-G0-IV07</x:v>
      </x:c>
      <x:c r="B1183" s="9" t="str">
        <x:v>EV-AR-LF-B-A-TECH-3-B1-INT-G0</x:v>
      </x:c>
      <x:c r="C1183" s="9" t="str">
        <x:v>AR-LF-B-A-TECH-3-B1-INT-G0</x:v>
      </x:c>
      <x:c r="D1183" s="9" t="str">
        <x:v>LF-B-A-TECH-3</x:v>
      </x:c>
      <x:c r="E1183" s="9" t="str">
        <x:v>LF-B-A</x:v>
      </x:c>
      <x:c r="F1183" s="9" t="str">
        <x:v>B1</x:v>
      </x:c>
      <x:c r="G1183" s="9" t="str">
        <x:v>INT</x:v>
      </x:c>
      <x:c r="H1183" s="9" t="str">
        <x:v>IV07</x:v>
      </x:c>
      <x:c r="I1183" s="17" t="str">
        <x:v>No outcome selection</x:v>
      </x:c>
      <x:c r="J1183" s="17" t="str">
        <x:v>petition rule and evidence scope were fixed before visibility</x:v>
      </x:c>
      <x:c r="K1183" s="17" t="str">
        <x:v>Conflict registrar</x:v>
      </x:c>
      <x:c r="L1183" s="9" t="n">
        <x:v>0</x:v>
      </x:c>
      <x:c r="M1183" s="9" t="n">
        <x:v>0</x:v>
      </x:c>
      <x:c r="N1183" s="9" t="str">
        <x:v>UNFILED / UNPROVEN</x:v>
      </x:c>
      <x:c r="O1183" s="9" t="n">
        <x:f>COUNTIFS($A$7:$A$1302,A1183)</x:f>
        <x:v>1</x:v>
      </x:c>
    </x:row>
    <x:row r="1184">
      <x:c r="A1184" s="9" t="str">
        <x:v>EV-AR-LF-B-A-TECH-3-B1-INT-G0-IV08</x:v>
      </x:c>
      <x:c r="B1184" s="9" t="str">
        <x:v>EV-AR-LF-B-A-TECH-3-B1-INT-G0</x:v>
      </x:c>
      <x:c r="C1184" s="9" t="str">
        <x:v>AR-LF-B-A-TECH-3-B1-INT-G0</x:v>
      </x:c>
      <x:c r="D1184" s="9" t="str">
        <x:v>LF-B-A-TECH-3</x:v>
      </x:c>
      <x:c r="E1184" s="9" t="str">
        <x:v>LF-B-A</x:v>
      </x:c>
      <x:c r="F1184" s="9" t="str">
        <x:v>B1</x:v>
      </x:c>
      <x:c r="G1184" s="9" t="str">
        <x:v>INT</x:v>
      </x:c>
      <x:c r="H1184" s="9" t="str">
        <x:v>IV08</x:v>
      </x:c>
      <x:c r="I1184" s="17" t="str">
        <x:v>Whole-record preservation</x:v>
      </x:c>
      <x:c r="J1184" s="17" t="str">
        <x:v>start, raw behavior, dissent and intervention remain in archive</x:v>
      </x:c>
      <x:c r="K1184" s="17" t="str">
        <x:v>Archive authority</x:v>
      </x:c>
      <x:c r="L1184" s="9" t="n">
        <x:v>0</x:v>
      </x:c>
      <x:c r="M1184" s="9" t="n">
        <x:v>0</x:v>
      </x:c>
      <x:c r="N1184" s="9" t="str">
        <x:v>UNFILED / UNPROVEN</x:v>
      </x:c>
      <x:c r="O1184" s="9" t="n">
        <x:f>COUNTIFS($A$7:$A$1302,A1184)</x:f>
        <x:v>1</x:v>
      </x:c>
    </x:row>
    <x:row r="1185">
      <x:c r="A1185" s="9" t="str">
        <x:v>EV-AR-LF-B-A-TECH-3-B1-INT-G0-IV09</x:v>
      </x:c>
      <x:c r="B1185" s="9" t="str">
        <x:v>EV-AR-LF-B-A-TECH-3-B1-INT-G0</x:v>
      </x:c>
      <x:c r="C1185" s="9" t="str">
        <x:v>AR-LF-B-A-TECH-3-B1-INT-G0</x:v>
      </x:c>
      <x:c r="D1185" s="9" t="str">
        <x:v>LF-B-A-TECH-3</x:v>
      </x:c>
      <x:c r="E1185" s="9" t="str">
        <x:v>LF-B-A</x:v>
      </x:c>
      <x:c r="F1185" s="9" t="str">
        <x:v>B1</x:v>
      </x:c>
      <x:c r="G1185" s="9" t="str">
        <x:v>INT</x:v>
      </x:c>
      <x:c r="H1185" s="9" t="str">
        <x:v>IV09</x:v>
      </x:c>
      <x:c r="I1185" s="17" t="str">
        <x:v>Bounded remedy</x:v>
      </x:c>
      <x:c r="J1185" s="17" t="str">
        <x:v>only a new slot and EOW may follow; no favorable credit or erased attempt</x:v>
      </x:c>
      <x:c r="K1185" s="17" t="str">
        <x:v>Invalidity court</x:v>
      </x:c>
      <x:c r="L1185" s="9" t="n">
        <x:v>0</x:v>
      </x:c>
      <x:c r="M1185" s="9" t="n">
        <x:v>0</x:v>
      </x:c>
      <x:c r="N1185" s="9" t="str">
        <x:v>UNFILED / UNPROVEN</x:v>
      </x:c>
      <x:c r="O1185" s="9" t="n">
        <x:f>COUNTIFS($A$7:$A$1302,A1185)</x:f>
        <x:v>1</x:v>
      </x:c>
    </x:row>
    <x:row r="1186">
      <x:c r="A1186" s="9" t="str">
        <x:v>EV-AR-RT-B-C-TECH-2-B2-RCN-G0-IV01</x:v>
      </x:c>
      <x:c r="B1186" s="9" t="str">
        <x:v>EV-AR-RT-B-C-TECH-2-B2-RCN-G0</x:v>
      </x:c>
      <x:c r="C1186" s="9" t="str">
        <x:v>AR-RT-B-C-TECH-2-B2-RCN-G0</x:v>
      </x:c>
      <x:c r="D1186" s="9" t="str">
        <x:v>RT-B-C-TECH-2</x:v>
      </x:c>
      <x:c r="E1186" s="9" t="str">
        <x:v>RT-B-C</x:v>
      </x:c>
      <x:c r="F1186" s="9" t="str">
        <x:v>B2</x:v>
      </x:c>
      <x:c r="G1186" s="9" t="str">
        <x:v>RCN</x:v>
      </x:c>
      <x:c r="H1186" s="9" t="str">
        <x:v>IV01</x:v>
      </x:c>
      <x:c r="I1186" s="17" t="str">
        <x:v>Timely petition</x:v>
      </x:c>
      <x:c r="J1186" s="17" t="str">
        <x:v>petition enters within seventy-two hours of event close</x:v>
      </x:c>
      <x:c r="K1186" s="17" t="str">
        <x:v>Invalidity registrar</x:v>
      </x:c>
      <x:c r="L1186" s="9" t="n">
        <x:v>0</x:v>
      </x:c>
      <x:c r="M1186" s="9" t="n">
        <x:v>0</x:v>
      </x:c>
      <x:c r="N1186" s="9" t="str">
        <x:v>UNFILED / UNPROVEN</x:v>
      </x:c>
      <x:c r="O1186" s="9" t="n">
        <x:f>COUNTIFS($A$7:$A$1302,A1186)</x:f>
        <x:v>1</x:v>
      </x:c>
    </x:row>
    <x:row r="1187">
      <x:c r="A1187" s="9" t="str">
        <x:v>EV-AR-RT-B-C-TECH-2-B2-RCN-G0-IV02</x:v>
      </x:c>
      <x:c r="B1187" s="9" t="str">
        <x:v>EV-AR-RT-B-C-TECH-2-B2-RCN-G0</x:v>
      </x:c>
      <x:c r="C1187" s="9" t="str">
        <x:v>AR-RT-B-C-TECH-2-B2-RCN-G0</x:v>
      </x:c>
      <x:c r="D1187" s="9" t="str">
        <x:v>RT-B-C-TECH-2</x:v>
      </x:c>
      <x:c r="E1187" s="9" t="str">
        <x:v>RT-B-C</x:v>
      </x:c>
      <x:c r="F1187" s="9" t="str">
        <x:v>B2</x:v>
      </x:c>
      <x:c r="G1187" s="9" t="str">
        <x:v>RCN</x:v>
      </x:c>
      <x:c r="H1187" s="9" t="str">
        <x:v>IV02</x:v>
      </x:c>
      <x:c r="I1187" s="17" t="str">
        <x:v>Named facility cause</x:v>
      </x:c>
      <x:c r="J1187" s="17" t="str">
        <x:v>one pre-registered noncandidate cause is identified</x:v>
      </x:c>
      <x:c r="K1187" s="17" t="str">
        <x:v>Facility-cause court</x:v>
      </x:c>
      <x:c r="L1187" s="9" t="n">
        <x:v>0</x:v>
      </x:c>
      <x:c r="M1187" s="9" t="n">
        <x:v>0</x:v>
      </x:c>
      <x:c r="N1187" s="9" t="str">
        <x:v>UNFILED / UNPROVEN</x:v>
      </x:c>
      <x:c r="O1187" s="9" t="n">
        <x:f>COUNTIFS($A$7:$A$1302,A1187)</x:f>
        <x:v>1</x:v>
      </x:c>
    </x:row>
    <x:row r="1188">
      <x:c r="A1188" s="9" t="str">
        <x:v>EV-AR-RT-B-C-TECH-2-B2-RCN-G0-IV03</x:v>
      </x:c>
      <x:c r="B1188" s="9" t="str">
        <x:v>EV-AR-RT-B-C-TECH-2-B2-RCN-G0</x:v>
      </x:c>
      <x:c r="C1188" s="9" t="str">
        <x:v>AR-RT-B-C-TECH-2-B2-RCN-G0</x:v>
      </x:c>
      <x:c r="D1188" s="9" t="str">
        <x:v>RT-B-C-TECH-2</x:v>
      </x:c>
      <x:c r="E1188" s="9" t="str">
        <x:v>RT-B-C</x:v>
      </x:c>
      <x:c r="F1188" s="9" t="str">
        <x:v>B2</x:v>
      </x:c>
      <x:c r="G1188" s="9" t="str">
        <x:v>RCN</x:v>
      </x:c>
      <x:c r="H1188" s="9" t="str">
        <x:v>IV03</x:v>
      </x:c>
      <x:c r="I1188" s="17" t="str">
        <x:v>Temporal priority</x:v>
      </x:c>
      <x:c r="J1188" s="17" t="str">
        <x:v>cause demonstrably precedes the disputed candidate behavior</x:v>
      </x:c>
      <x:c r="K1188" s="17" t="str">
        <x:v>Time authority</x:v>
      </x:c>
      <x:c r="L1188" s="9" t="n">
        <x:v>0</x:v>
      </x:c>
      <x:c r="M1188" s="9" t="n">
        <x:v>0</x:v>
      </x:c>
      <x:c r="N1188" s="9" t="str">
        <x:v>UNFILED / UNPROVEN</x:v>
      </x:c>
      <x:c r="O1188" s="9" t="n">
        <x:f>COUNTIFS($A$7:$A$1302,A1188)</x:f>
        <x:v>1</x:v>
      </x:c>
    </x:row>
    <x:row r="1189">
      <x:c r="A1189" s="9" t="str">
        <x:v>EV-AR-RT-B-C-TECH-2-B2-RCN-G0-IV04</x:v>
      </x:c>
      <x:c r="B1189" s="9" t="str">
        <x:v>EV-AR-RT-B-C-TECH-2-B2-RCN-G0</x:v>
      </x:c>
      <x:c r="C1189" s="9" t="str">
        <x:v>AR-RT-B-C-TECH-2-B2-RCN-G0</x:v>
      </x:c>
      <x:c r="D1189" s="9" t="str">
        <x:v>RT-B-C-TECH-2</x:v>
      </x:c>
      <x:c r="E1189" s="9" t="str">
        <x:v>RT-B-C</x:v>
      </x:c>
      <x:c r="F1189" s="9" t="str">
        <x:v>B2</x:v>
      </x:c>
      <x:c r="G1189" s="9" t="str">
        <x:v>RCN</x:v>
      </x:c>
      <x:c r="H1189" s="9" t="str">
        <x:v>IV04</x:v>
      </x:c>
      <x:c r="I1189" s="17" t="str">
        <x:v>Independent trace</x:v>
      </x:c>
      <x:c r="J1189" s="17" t="str">
        <x:v>two unlike records carry the cause without candidate custody</x:v>
      </x:c>
      <x:c r="K1189" s="17" t="str">
        <x:v>Invalidity court</x:v>
      </x:c>
      <x:c r="L1189" s="9" t="n">
        <x:v>0</x:v>
      </x:c>
      <x:c r="M1189" s="9" t="n">
        <x:v>0</x:v>
      </x:c>
      <x:c r="N1189" s="9" t="str">
        <x:v>UNFILED / UNPROVEN</x:v>
      </x:c>
      <x:c r="O1189" s="9" t="n">
        <x:f>COUNTIFS($A$7:$A$1302,A1189)</x:f>
        <x:v>1</x:v>
      </x:c>
    </x:row>
    <x:row r="1190">
      <x:c r="A1190" s="9" t="str">
        <x:v>EV-AR-RT-B-C-TECH-2-B2-RCN-G0-IV05</x:v>
      </x:c>
      <x:c r="B1190" s="9" t="str">
        <x:v>EV-AR-RT-B-C-TECH-2-B2-RCN-G0</x:v>
      </x:c>
      <x:c r="C1190" s="9" t="str">
        <x:v>AR-RT-B-C-TECH-2-B2-RCN-G0</x:v>
      </x:c>
      <x:c r="D1190" s="9" t="str">
        <x:v>RT-B-C-TECH-2</x:v>
      </x:c>
      <x:c r="E1190" s="9" t="str">
        <x:v>RT-B-C</x:v>
      </x:c>
      <x:c r="F1190" s="9" t="str">
        <x:v>B2</x:v>
      </x:c>
      <x:c r="G1190" s="9" t="str">
        <x:v>RCN</x:v>
      </x:c>
      <x:c r="H1190" s="9" t="str">
        <x:v>IV05</x:v>
      </x:c>
      <x:c r="I1190" s="17" t="str">
        <x:v>Causal counterfactual</x:v>
      </x:c>
      <x:c r="J1190" s="17" t="str">
        <x:v>registered counterfactual shows the cause can create the defect</x:v>
      </x:c>
      <x:c r="K1190" s="17" t="str">
        <x:v>Causal court</x:v>
      </x:c>
      <x:c r="L1190" s="9" t="n">
        <x:v>0</x:v>
      </x:c>
      <x:c r="M1190" s="9" t="n">
        <x:v>0</x:v>
      </x:c>
      <x:c r="N1190" s="9" t="str">
        <x:v>UNFILED / UNPROVEN</x:v>
      </x:c>
      <x:c r="O1190" s="9" t="n">
        <x:f>COUNTIFS($A$7:$A$1302,A1190)</x:f>
        <x:v>1</x:v>
      </x:c>
    </x:row>
    <x:row r="1191">
      <x:c r="A1191" s="9" t="str">
        <x:v>EV-AR-RT-B-C-TECH-2-B2-RCN-G0-IV06</x:v>
      </x:c>
      <x:c r="B1191" s="9" t="str">
        <x:v>EV-AR-RT-B-C-TECH-2-B2-RCN-G0</x:v>
      </x:c>
      <x:c r="C1191" s="9" t="str">
        <x:v>AR-RT-B-C-TECH-2-B2-RCN-G0</x:v>
      </x:c>
      <x:c r="D1191" s="9" t="str">
        <x:v>RT-B-C-TECH-2</x:v>
      </x:c>
      <x:c r="E1191" s="9" t="str">
        <x:v>RT-B-C</x:v>
      </x:c>
      <x:c r="F1191" s="9" t="str">
        <x:v>B2</x:v>
      </x:c>
      <x:c r="G1191" s="9" t="str">
        <x:v>RCN</x:v>
      </x:c>
      <x:c r="H1191" s="9" t="str">
        <x:v>IV06</x:v>
      </x:c>
      <x:c r="I1191" s="17" t="str">
        <x:v>Candidate non-causation</x:v>
      </x:c>
      <x:c r="J1191" s="17" t="str">
        <x:v>evidence excludes candidate induction of the facility condition</x:v>
      </x:c>
      <x:c r="K1191" s="17" t="str">
        <x:v>Causal court</x:v>
      </x:c>
      <x:c r="L1191" s="9" t="n">
        <x:v>0</x:v>
      </x:c>
      <x:c r="M1191" s="9" t="n">
        <x:v>0</x:v>
      </x:c>
      <x:c r="N1191" s="9" t="str">
        <x:v>UNFILED / UNPROVEN</x:v>
      </x:c>
      <x:c r="O1191" s="9" t="n">
        <x:f>COUNTIFS($A$7:$A$1302,A1191)</x:f>
        <x:v>1</x:v>
      </x:c>
    </x:row>
    <x:row r="1192">
      <x:c r="A1192" s="9" t="str">
        <x:v>EV-AR-RT-B-C-TECH-2-B2-RCN-G0-IV07</x:v>
      </x:c>
      <x:c r="B1192" s="9" t="str">
        <x:v>EV-AR-RT-B-C-TECH-2-B2-RCN-G0</x:v>
      </x:c>
      <x:c r="C1192" s="9" t="str">
        <x:v>AR-RT-B-C-TECH-2-B2-RCN-G0</x:v>
      </x:c>
      <x:c r="D1192" s="9" t="str">
        <x:v>RT-B-C-TECH-2</x:v>
      </x:c>
      <x:c r="E1192" s="9" t="str">
        <x:v>RT-B-C</x:v>
      </x:c>
      <x:c r="F1192" s="9" t="str">
        <x:v>B2</x:v>
      </x:c>
      <x:c r="G1192" s="9" t="str">
        <x:v>RCN</x:v>
      </x:c>
      <x:c r="H1192" s="9" t="str">
        <x:v>IV07</x:v>
      </x:c>
      <x:c r="I1192" s="17" t="str">
        <x:v>No outcome selection</x:v>
      </x:c>
      <x:c r="J1192" s="17" t="str">
        <x:v>petition rule and evidence scope were fixed before visibility</x:v>
      </x:c>
      <x:c r="K1192" s="17" t="str">
        <x:v>Conflict registrar</x:v>
      </x:c>
      <x:c r="L1192" s="9" t="n">
        <x:v>0</x:v>
      </x:c>
      <x:c r="M1192" s="9" t="n">
        <x:v>0</x:v>
      </x:c>
      <x:c r="N1192" s="9" t="str">
        <x:v>UNFILED / UNPROVEN</x:v>
      </x:c>
      <x:c r="O1192" s="9" t="n">
        <x:f>COUNTIFS($A$7:$A$1302,A1192)</x:f>
        <x:v>1</x:v>
      </x:c>
    </x:row>
    <x:row r="1193">
      <x:c r="A1193" s="9" t="str">
        <x:v>EV-AR-RT-B-C-TECH-2-B2-RCN-G0-IV08</x:v>
      </x:c>
      <x:c r="B1193" s="9" t="str">
        <x:v>EV-AR-RT-B-C-TECH-2-B2-RCN-G0</x:v>
      </x:c>
      <x:c r="C1193" s="9" t="str">
        <x:v>AR-RT-B-C-TECH-2-B2-RCN-G0</x:v>
      </x:c>
      <x:c r="D1193" s="9" t="str">
        <x:v>RT-B-C-TECH-2</x:v>
      </x:c>
      <x:c r="E1193" s="9" t="str">
        <x:v>RT-B-C</x:v>
      </x:c>
      <x:c r="F1193" s="9" t="str">
        <x:v>B2</x:v>
      </x:c>
      <x:c r="G1193" s="9" t="str">
        <x:v>RCN</x:v>
      </x:c>
      <x:c r="H1193" s="9" t="str">
        <x:v>IV08</x:v>
      </x:c>
      <x:c r="I1193" s="17" t="str">
        <x:v>Whole-record preservation</x:v>
      </x:c>
      <x:c r="J1193" s="17" t="str">
        <x:v>start, raw behavior, dissent and intervention remain in archive</x:v>
      </x:c>
      <x:c r="K1193" s="17" t="str">
        <x:v>Archive authority</x:v>
      </x:c>
      <x:c r="L1193" s="9" t="n">
        <x:v>0</x:v>
      </x:c>
      <x:c r="M1193" s="9" t="n">
        <x:v>0</x:v>
      </x:c>
      <x:c r="N1193" s="9" t="str">
        <x:v>UNFILED / UNPROVEN</x:v>
      </x:c>
      <x:c r="O1193" s="9" t="n">
        <x:f>COUNTIFS($A$7:$A$1302,A1193)</x:f>
        <x:v>1</x:v>
      </x:c>
    </x:row>
    <x:row r="1194">
      <x:c r="A1194" s="9" t="str">
        <x:v>EV-AR-RT-B-C-TECH-2-B2-RCN-G0-IV09</x:v>
      </x:c>
      <x:c r="B1194" s="9" t="str">
        <x:v>EV-AR-RT-B-C-TECH-2-B2-RCN-G0</x:v>
      </x:c>
      <x:c r="C1194" s="9" t="str">
        <x:v>AR-RT-B-C-TECH-2-B2-RCN-G0</x:v>
      </x:c>
      <x:c r="D1194" s="9" t="str">
        <x:v>RT-B-C-TECH-2</x:v>
      </x:c>
      <x:c r="E1194" s="9" t="str">
        <x:v>RT-B-C</x:v>
      </x:c>
      <x:c r="F1194" s="9" t="str">
        <x:v>B2</x:v>
      </x:c>
      <x:c r="G1194" s="9" t="str">
        <x:v>RCN</x:v>
      </x:c>
      <x:c r="H1194" s="9" t="str">
        <x:v>IV09</x:v>
      </x:c>
      <x:c r="I1194" s="17" t="str">
        <x:v>Bounded remedy</x:v>
      </x:c>
      <x:c r="J1194" s="17" t="str">
        <x:v>only a new slot and EOW may follow; no favorable credit or erased attempt</x:v>
      </x:c>
      <x:c r="K1194" s="17" t="str">
        <x:v>Invalidity court</x:v>
      </x:c>
      <x:c r="L1194" s="9" t="n">
        <x:v>0</x:v>
      </x:c>
      <x:c r="M1194" s="9" t="n">
        <x:v>0</x:v>
      </x:c>
      <x:c r="N1194" s="9" t="str">
        <x:v>UNFILED / UNPROVEN</x:v>
      </x:c>
      <x:c r="O1194" s="9" t="n">
        <x:f>COUNTIFS($A$7:$A$1302,A1194)</x:f>
        <x:v>1</x:v>
      </x:c>
    </x:row>
    <x:row r="1195">
      <x:c r="A1195" s="9" t="str">
        <x:v>EV-AR-CT-C-B-TECH-4-B2-INT-G0-IV01</x:v>
      </x:c>
      <x:c r="B1195" s="9" t="str">
        <x:v>EV-AR-CT-C-B-TECH-4-B2-INT-G0</x:v>
      </x:c>
      <x:c r="C1195" s="9" t="str">
        <x:v>AR-CT-C-B-TECH-4-B2-INT-G0</x:v>
      </x:c>
      <x:c r="D1195" s="9" t="str">
        <x:v>CT-C-B-TECH-4</x:v>
      </x:c>
      <x:c r="E1195" s="9" t="str">
        <x:v>CT-C-B</x:v>
      </x:c>
      <x:c r="F1195" s="9" t="str">
        <x:v>B2</x:v>
      </x:c>
      <x:c r="G1195" s="9" t="str">
        <x:v>INT</x:v>
      </x:c>
      <x:c r="H1195" s="9" t="str">
        <x:v>IV01</x:v>
      </x:c>
      <x:c r="I1195" s="17" t="str">
        <x:v>Timely petition</x:v>
      </x:c>
      <x:c r="J1195" s="17" t="str">
        <x:v>petition enters within seventy-two hours of event close</x:v>
      </x:c>
      <x:c r="K1195" s="17" t="str">
        <x:v>Invalidity registrar</x:v>
      </x:c>
      <x:c r="L1195" s="9" t="n">
        <x:v>0</x:v>
      </x:c>
      <x:c r="M1195" s="9" t="n">
        <x:v>0</x:v>
      </x:c>
      <x:c r="N1195" s="9" t="str">
        <x:v>UNFILED / UNPROVEN</x:v>
      </x:c>
      <x:c r="O1195" s="9" t="n">
        <x:f>COUNTIFS($A$7:$A$1302,A1195)</x:f>
        <x:v>1</x:v>
      </x:c>
    </x:row>
    <x:row r="1196">
      <x:c r="A1196" s="9" t="str">
        <x:v>EV-AR-CT-C-B-TECH-4-B2-INT-G0-IV02</x:v>
      </x:c>
      <x:c r="B1196" s="9" t="str">
        <x:v>EV-AR-CT-C-B-TECH-4-B2-INT-G0</x:v>
      </x:c>
      <x:c r="C1196" s="9" t="str">
        <x:v>AR-CT-C-B-TECH-4-B2-INT-G0</x:v>
      </x:c>
      <x:c r="D1196" s="9" t="str">
        <x:v>CT-C-B-TECH-4</x:v>
      </x:c>
      <x:c r="E1196" s="9" t="str">
        <x:v>CT-C-B</x:v>
      </x:c>
      <x:c r="F1196" s="9" t="str">
        <x:v>B2</x:v>
      </x:c>
      <x:c r="G1196" s="9" t="str">
        <x:v>INT</x:v>
      </x:c>
      <x:c r="H1196" s="9" t="str">
        <x:v>IV02</x:v>
      </x:c>
      <x:c r="I1196" s="17" t="str">
        <x:v>Named facility cause</x:v>
      </x:c>
      <x:c r="J1196" s="17" t="str">
        <x:v>one pre-registered noncandidate cause is identified</x:v>
      </x:c>
      <x:c r="K1196" s="17" t="str">
        <x:v>Facility-cause court</x:v>
      </x:c>
      <x:c r="L1196" s="9" t="n">
        <x:v>0</x:v>
      </x:c>
      <x:c r="M1196" s="9" t="n">
        <x:v>0</x:v>
      </x:c>
      <x:c r="N1196" s="9" t="str">
        <x:v>UNFILED / UNPROVEN</x:v>
      </x:c>
      <x:c r="O1196" s="9" t="n">
        <x:f>COUNTIFS($A$7:$A$1302,A1196)</x:f>
        <x:v>1</x:v>
      </x:c>
    </x:row>
    <x:row r="1197">
      <x:c r="A1197" s="9" t="str">
        <x:v>EV-AR-CT-C-B-TECH-4-B2-INT-G0-IV03</x:v>
      </x:c>
      <x:c r="B1197" s="9" t="str">
        <x:v>EV-AR-CT-C-B-TECH-4-B2-INT-G0</x:v>
      </x:c>
      <x:c r="C1197" s="9" t="str">
        <x:v>AR-CT-C-B-TECH-4-B2-INT-G0</x:v>
      </x:c>
      <x:c r="D1197" s="9" t="str">
        <x:v>CT-C-B-TECH-4</x:v>
      </x:c>
      <x:c r="E1197" s="9" t="str">
        <x:v>CT-C-B</x:v>
      </x:c>
      <x:c r="F1197" s="9" t="str">
        <x:v>B2</x:v>
      </x:c>
      <x:c r="G1197" s="9" t="str">
        <x:v>INT</x:v>
      </x:c>
      <x:c r="H1197" s="9" t="str">
        <x:v>IV03</x:v>
      </x:c>
      <x:c r="I1197" s="17" t="str">
        <x:v>Temporal priority</x:v>
      </x:c>
      <x:c r="J1197" s="17" t="str">
        <x:v>cause demonstrably precedes the disputed candidate behavior</x:v>
      </x:c>
      <x:c r="K1197" s="17" t="str">
        <x:v>Time authority</x:v>
      </x:c>
      <x:c r="L1197" s="9" t="n">
        <x:v>0</x:v>
      </x:c>
      <x:c r="M1197" s="9" t="n">
        <x:v>0</x:v>
      </x:c>
      <x:c r="N1197" s="9" t="str">
        <x:v>UNFILED / UNPROVEN</x:v>
      </x:c>
      <x:c r="O1197" s="9" t="n">
        <x:f>COUNTIFS($A$7:$A$1302,A1197)</x:f>
        <x:v>1</x:v>
      </x:c>
    </x:row>
    <x:row r="1198">
      <x:c r="A1198" s="9" t="str">
        <x:v>EV-AR-CT-C-B-TECH-4-B2-INT-G0-IV04</x:v>
      </x:c>
      <x:c r="B1198" s="9" t="str">
        <x:v>EV-AR-CT-C-B-TECH-4-B2-INT-G0</x:v>
      </x:c>
      <x:c r="C1198" s="9" t="str">
        <x:v>AR-CT-C-B-TECH-4-B2-INT-G0</x:v>
      </x:c>
      <x:c r="D1198" s="9" t="str">
        <x:v>CT-C-B-TECH-4</x:v>
      </x:c>
      <x:c r="E1198" s="9" t="str">
        <x:v>CT-C-B</x:v>
      </x:c>
      <x:c r="F1198" s="9" t="str">
        <x:v>B2</x:v>
      </x:c>
      <x:c r="G1198" s="9" t="str">
        <x:v>INT</x:v>
      </x:c>
      <x:c r="H1198" s="9" t="str">
        <x:v>IV04</x:v>
      </x:c>
      <x:c r="I1198" s="17" t="str">
        <x:v>Independent trace</x:v>
      </x:c>
      <x:c r="J1198" s="17" t="str">
        <x:v>two unlike records carry the cause without candidate custody</x:v>
      </x:c>
      <x:c r="K1198" s="17" t="str">
        <x:v>Invalidity court</x:v>
      </x:c>
      <x:c r="L1198" s="9" t="n">
        <x:v>0</x:v>
      </x:c>
      <x:c r="M1198" s="9" t="n">
        <x:v>0</x:v>
      </x:c>
      <x:c r="N1198" s="9" t="str">
        <x:v>UNFILED / UNPROVEN</x:v>
      </x:c>
      <x:c r="O1198" s="9" t="n">
        <x:f>COUNTIFS($A$7:$A$1302,A1198)</x:f>
        <x:v>1</x:v>
      </x:c>
    </x:row>
    <x:row r="1199">
      <x:c r="A1199" s="9" t="str">
        <x:v>EV-AR-CT-C-B-TECH-4-B2-INT-G0-IV05</x:v>
      </x:c>
      <x:c r="B1199" s="9" t="str">
        <x:v>EV-AR-CT-C-B-TECH-4-B2-INT-G0</x:v>
      </x:c>
      <x:c r="C1199" s="9" t="str">
        <x:v>AR-CT-C-B-TECH-4-B2-INT-G0</x:v>
      </x:c>
      <x:c r="D1199" s="9" t="str">
        <x:v>CT-C-B-TECH-4</x:v>
      </x:c>
      <x:c r="E1199" s="9" t="str">
        <x:v>CT-C-B</x:v>
      </x:c>
      <x:c r="F1199" s="9" t="str">
        <x:v>B2</x:v>
      </x:c>
      <x:c r="G1199" s="9" t="str">
        <x:v>INT</x:v>
      </x:c>
      <x:c r="H1199" s="9" t="str">
        <x:v>IV05</x:v>
      </x:c>
      <x:c r="I1199" s="17" t="str">
        <x:v>Causal counterfactual</x:v>
      </x:c>
      <x:c r="J1199" s="17" t="str">
        <x:v>registered counterfactual shows the cause can create the defect</x:v>
      </x:c>
      <x:c r="K1199" s="17" t="str">
        <x:v>Causal court</x:v>
      </x:c>
      <x:c r="L1199" s="9" t="n">
        <x:v>0</x:v>
      </x:c>
      <x:c r="M1199" s="9" t="n">
        <x:v>0</x:v>
      </x:c>
      <x:c r="N1199" s="9" t="str">
        <x:v>UNFILED / UNPROVEN</x:v>
      </x:c>
      <x:c r="O1199" s="9" t="n">
        <x:f>COUNTIFS($A$7:$A$1302,A1199)</x:f>
        <x:v>1</x:v>
      </x:c>
    </x:row>
    <x:row r="1200">
      <x:c r="A1200" s="9" t="str">
        <x:v>EV-AR-CT-C-B-TECH-4-B2-INT-G0-IV06</x:v>
      </x:c>
      <x:c r="B1200" s="9" t="str">
        <x:v>EV-AR-CT-C-B-TECH-4-B2-INT-G0</x:v>
      </x:c>
      <x:c r="C1200" s="9" t="str">
        <x:v>AR-CT-C-B-TECH-4-B2-INT-G0</x:v>
      </x:c>
      <x:c r="D1200" s="9" t="str">
        <x:v>CT-C-B-TECH-4</x:v>
      </x:c>
      <x:c r="E1200" s="9" t="str">
        <x:v>CT-C-B</x:v>
      </x:c>
      <x:c r="F1200" s="9" t="str">
        <x:v>B2</x:v>
      </x:c>
      <x:c r="G1200" s="9" t="str">
        <x:v>INT</x:v>
      </x:c>
      <x:c r="H1200" s="9" t="str">
        <x:v>IV06</x:v>
      </x:c>
      <x:c r="I1200" s="17" t="str">
        <x:v>Candidate non-causation</x:v>
      </x:c>
      <x:c r="J1200" s="17" t="str">
        <x:v>evidence excludes candidate induction of the facility condition</x:v>
      </x:c>
      <x:c r="K1200" s="17" t="str">
        <x:v>Causal court</x:v>
      </x:c>
      <x:c r="L1200" s="9" t="n">
        <x:v>0</x:v>
      </x:c>
      <x:c r="M1200" s="9" t="n">
        <x:v>0</x:v>
      </x:c>
      <x:c r="N1200" s="9" t="str">
        <x:v>UNFILED / UNPROVEN</x:v>
      </x:c>
      <x:c r="O1200" s="9" t="n">
        <x:f>COUNTIFS($A$7:$A$1302,A1200)</x:f>
        <x:v>1</x:v>
      </x:c>
    </x:row>
    <x:row r="1201">
      <x:c r="A1201" s="9" t="str">
        <x:v>EV-AR-CT-C-B-TECH-4-B2-INT-G0-IV07</x:v>
      </x:c>
      <x:c r="B1201" s="9" t="str">
        <x:v>EV-AR-CT-C-B-TECH-4-B2-INT-G0</x:v>
      </x:c>
      <x:c r="C1201" s="9" t="str">
        <x:v>AR-CT-C-B-TECH-4-B2-INT-G0</x:v>
      </x:c>
      <x:c r="D1201" s="9" t="str">
        <x:v>CT-C-B-TECH-4</x:v>
      </x:c>
      <x:c r="E1201" s="9" t="str">
        <x:v>CT-C-B</x:v>
      </x:c>
      <x:c r="F1201" s="9" t="str">
        <x:v>B2</x:v>
      </x:c>
      <x:c r="G1201" s="9" t="str">
        <x:v>INT</x:v>
      </x:c>
      <x:c r="H1201" s="9" t="str">
        <x:v>IV07</x:v>
      </x:c>
      <x:c r="I1201" s="17" t="str">
        <x:v>No outcome selection</x:v>
      </x:c>
      <x:c r="J1201" s="17" t="str">
        <x:v>petition rule and evidence scope were fixed before visibility</x:v>
      </x:c>
      <x:c r="K1201" s="17" t="str">
        <x:v>Conflict registrar</x:v>
      </x:c>
      <x:c r="L1201" s="9" t="n">
        <x:v>0</x:v>
      </x:c>
      <x:c r="M1201" s="9" t="n">
        <x:v>0</x:v>
      </x:c>
      <x:c r="N1201" s="9" t="str">
        <x:v>UNFILED / UNPROVEN</x:v>
      </x:c>
      <x:c r="O1201" s="9" t="n">
        <x:f>COUNTIFS($A$7:$A$1302,A1201)</x:f>
        <x:v>1</x:v>
      </x:c>
    </x:row>
    <x:row r="1202">
      <x:c r="A1202" s="9" t="str">
        <x:v>EV-AR-CT-C-B-TECH-4-B2-INT-G0-IV08</x:v>
      </x:c>
      <x:c r="B1202" s="9" t="str">
        <x:v>EV-AR-CT-C-B-TECH-4-B2-INT-G0</x:v>
      </x:c>
      <x:c r="C1202" s="9" t="str">
        <x:v>AR-CT-C-B-TECH-4-B2-INT-G0</x:v>
      </x:c>
      <x:c r="D1202" s="9" t="str">
        <x:v>CT-C-B-TECH-4</x:v>
      </x:c>
      <x:c r="E1202" s="9" t="str">
        <x:v>CT-C-B</x:v>
      </x:c>
      <x:c r="F1202" s="9" t="str">
        <x:v>B2</x:v>
      </x:c>
      <x:c r="G1202" s="9" t="str">
        <x:v>INT</x:v>
      </x:c>
      <x:c r="H1202" s="9" t="str">
        <x:v>IV08</x:v>
      </x:c>
      <x:c r="I1202" s="17" t="str">
        <x:v>Whole-record preservation</x:v>
      </x:c>
      <x:c r="J1202" s="17" t="str">
        <x:v>start, raw behavior, dissent and intervention remain in archive</x:v>
      </x:c>
      <x:c r="K1202" s="17" t="str">
        <x:v>Archive authority</x:v>
      </x:c>
      <x:c r="L1202" s="9" t="n">
        <x:v>0</x:v>
      </x:c>
      <x:c r="M1202" s="9" t="n">
        <x:v>0</x:v>
      </x:c>
      <x:c r="N1202" s="9" t="str">
        <x:v>UNFILED / UNPROVEN</x:v>
      </x:c>
      <x:c r="O1202" s="9" t="n">
        <x:f>COUNTIFS($A$7:$A$1302,A1202)</x:f>
        <x:v>1</x:v>
      </x:c>
    </x:row>
    <x:row r="1203">
      <x:c r="A1203" s="9" t="str">
        <x:v>EV-AR-CT-C-B-TECH-4-B2-INT-G0-IV09</x:v>
      </x:c>
      <x:c r="B1203" s="9" t="str">
        <x:v>EV-AR-CT-C-B-TECH-4-B2-INT-G0</x:v>
      </x:c>
      <x:c r="C1203" s="9" t="str">
        <x:v>AR-CT-C-B-TECH-4-B2-INT-G0</x:v>
      </x:c>
      <x:c r="D1203" s="9" t="str">
        <x:v>CT-C-B-TECH-4</x:v>
      </x:c>
      <x:c r="E1203" s="9" t="str">
        <x:v>CT-C-B</x:v>
      </x:c>
      <x:c r="F1203" s="9" t="str">
        <x:v>B2</x:v>
      </x:c>
      <x:c r="G1203" s="9" t="str">
        <x:v>INT</x:v>
      </x:c>
      <x:c r="H1203" s="9" t="str">
        <x:v>IV09</x:v>
      </x:c>
      <x:c r="I1203" s="17" t="str">
        <x:v>Bounded remedy</x:v>
      </x:c>
      <x:c r="J1203" s="17" t="str">
        <x:v>only a new slot and EOW may follow; no favorable credit or erased attempt</x:v>
      </x:c>
      <x:c r="K1203" s="17" t="str">
        <x:v>Invalidity court</x:v>
      </x:c>
      <x:c r="L1203" s="9" t="n">
        <x:v>0</x:v>
      </x:c>
      <x:c r="M1203" s="9" t="n">
        <x:v>0</x:v>
      </x:c>
      <x:c r="N1203" s="9" t="str">
        <x:v>UNFILED / UNPROVEN</x:v>
      </x:c>
      <x:c r="O1203" s="9" t="n">
        <x:f>COUNTIFS($A$7:$A$1302,A1203)</x:f>
        <x:v>1</x:v>
      </x:c>
    </x:row>
    <x:row r="1204">
      <x:c r="A1204" s="9" t="str">
        <x:v>EV-AR-HC-A-C-TECH-3-B2-INT-G0-IV01</x:v>
      </x:c>
      <x:c r="B1204" s="9" t="str">
        <x:v>EV-AR-HC-A-C-TECH-3-B2-INT-G0</x:v>
      </x:c>
      <x:c r="C1204" s="9" t="str">
        <x:v>AR-HC-A-C-TECH-3-B2-INT-G0</x:v>
      </x:c>
      <x:c r="D1204" s="9" t="str">
        <x:v>HC-A-C-TECH-3</x:v>
      </x:c>
      <x:c r="E1204" s="9" t="str">
        <x:v>HC-A-C</x:v>
      </x:c>
      <x:c r="F1204" s="9" t="str">
        <x:v>B2</x:v>
      </x:c>
      <x:c r="G1204" s="9" t="str">
        <x:v>INT</x:v>
      </x:c>
      <x:c r="H1204" s="9" t="str">
        <x:v>IV01</x:v>
      </x:c>
      <x:c r="I1204" s="17" t="str">
        <x:v>Timely petition</x:v>
      </x:c>
      <x:c r="J1204" s="17" t="str">
        <x:v>petition enters within seventy-two hours of event close</x:v>
      </x:c>
      <x:c r="K1204" s="17" t="str">
        <x:v>Invalidity registrar</x:v>
      </x:c>
      <x:c r="L1204" s="9" t="n">
        <x:v>0</x:v>
      </x:c>
      <x:c r="M1204" s="9" t="n">
        <x:v>0</x:v>
      </x:c>
      <x:c r="N1204" s="9" t="str">
        <x:v>UNFILED / UNPROVEN</x:v>
      </x:c>
      <x:c r="O1204" s="9" t="n">
        <x:f>COUNTIFS($A$7:$A$1302,A1204)</x:f>
        <x:v>1</x:v>
      </x:c>
    </x:row>
    <x:row r="1205">
      <x:c r="A1205" s="9" t="str">
        <x:v>EV-AR-HC-A-C-TECH-3-B2-INT-G0-IV02</x:v>
      </x:c>
      <x:c r="B1205" s="9" t="str">
        <x:v>EV-AR-HC-A-C-TECH-3-B2-INT-G0</x:v>
      </x:c>
      <x:c r="C1205" s="9" t="str">
        <x:v>AR-HC-A-C-TECH-3-B2-INT-G0</x:v>
      </x:c>
      <x:c r="D1205" s="9" t="str">
        <x:v>HC-A-C-TECH-3</x:v>
      </x:c>
      <x:c r="E1205" s="9" t="str">
        <x:v>HC-A-C</x:v>
      </x:c>
      <x:c r="F1205" s="9" t="str">
        <x:v>B2</x:v>
      </x:c>
      <x:c r="G1205" s="9" t="str">
        <x:v>INT</x:v>
      </x:c>
      <x:c r="H1205" s="9" t="str">
        <x:v>IV02</x:v>
      </x:c>
      <x:c r="I1205" s="17" t="str">
        <x:v>Named facility cause</x:v>
      </x:c>
      <x:c r="J1205" s="17" t="str">
        <x:v>one pre-registered noncandidate cause is identified</x:v>
      </x:c>
      <x:c r="K1205" s="17" t="str">
        <x:v>Facility-cause court</x:v>
      </x:c>
      <x:c r="L1205" s="9" t="n">
        <x:v>0</x:v>
      </x:c>
      <x:c r="M1205" s="9" t="n">
        <x:v>0</x:v>
      </x:c>
      <x:c r="N1205" s="9" t="str">
        <x:v>UNFILED / UNPROVEN</x:v>
      </x:c>
      <x:c r="O1205" s="9" t="n">
        <x:f>COUNTIFS($A$7:$A$1302,A1205)</x:f>
        <x:v>1</x:v>
      </x:c>
    </x:row>
    <x:row r="1206">
      <x:c r="A1206" s="9" t="str">
        <x:v>EV-AR-HC-A-C-TECH-3-B2-INT-G0-IV03</x:v>
      </x:c>
      <x:c r="B1206" s="9" t="str">
        <x:v>EV-AR-HC-A-C-TECH-3-B2-INT-G0</x:v>
      </x:c>
      <x:c r="C1206" s="9" t="str">
        <x:v>AR-HC-A-C-TECH-3-B2-INT-G0</x:v>
      </x:c>
      <x:c r="D1206" s="9" t="str">
        <x:v>HC-A-C-TECH-3</x:v>
      </x:c>
      <x:c r="E1206" s="9" t="str">
        <x:v>HC-A-C</x:v>
      </x:c>
      <x:c r="F1206" s="9" t="str">
        <x:v>B2</x:v>
      </x:c>
      <x:c r="G1206" s="9" t="str">
        <x:v>INT</x:v>
      </x:c>
      <x:c r="H1206" s="9" t="str">
        <x:v>IV03</x:v>
      </x:c>
      <x:c r="I1206" s="17" t="str">
        <x:v>Temporal priority</x:v>
      </x:c>
      <x:c r="J1206" s="17" t="str">
        <x:v>cause demonstrably precedes the disputed candidate behavior</x:v>
      </x:c>
      <x:c r="K1206" s="17" t="str">
        <x:v>Time authority</x:v>
      </x:c>
      <x:c r="L1206" s="9" t="n">
        <x:v>0</x:v>
      </x:c>
      <x:c r="M1206" s="9" t="n">
        <x:v>0</x:v>
      </x:c>
      <x:c r="N1206" s="9" t="str">
        <x:v>UNFILED / UNPROVEN</x:v>
      </x:c>
      <x:c r="O1206" s="9" t="n">
        <x:f>COUNTIFS($A$7:$A$1302,A1206)</x:f>
        <x:v>1</x:v>
      </x:c>
    </x:row>
    <x:row r="1207">
      <x:c r="A1207" s="9" t="str">
        <x:v>EV-AR-HC-A-C-TECH-3-B2-INT-G0-IV04</x:v>
      </x:c>
      <x:c r="B1207" s="9" t="str">
        <x:v>EV-AR-HC-A-C-TECH-3-B2-INT-G0</x:v>
      </x:c>
      <x:c r="C1207" s="9" t="str">
        <x:v>AR-HC-A-C-TECH-3-B2-INT-G0</x:v>
      </x:c>
      <x:c r="D1207" s="9" t="str">
        <x:v>HC-A-C-TECH-3</x:v>
      </x:c>
      <x:c r="E1207" s="9" t="str">
        <x:v>HC-A-C</x:v>
      </x:c>
      <x:c r="F1207" s="9" t="str">
        <x:v>B2</x:v>
      </x:c>
      <x:c r="G1207" s="9" t="str">
        <x:v>INT</x:v>
      </x:c>
      <x:c r="H1207" s="9" t="str">
        <x:v>IV04</x:v>
      </x:c>
      <x:c r="I1207" s="17" t="str">
        <x:v>Independent trace</x:v>
      </x:c>
      <x:c r="J1207" s="17" t="str">
        <x:v>two unlike records carry the cause without candidate custody</x:v>
      </x:c>
      <x:c r="K1207" s="17" t="str">
        <x:v>Invalidity court</x:v>
      </x:c>
      <x:c r="L1207" s="9" t="n">
        <x:v>0</x:v>
      </x:c>
      <x:c r="M1207" s="9" t="n">
        <x:v>0</x:v>
      </x:c>
      <x:c r="N1207" s="9" t="str">
        <x:v>UNFILED / UNPROVEN</x:v>
      </x:c>
      <x:c r="O1207" s="9" t="n">
        <x:f>COUNTIFS($A$7:$A$1302,A1207)</x:f>
        <x:v>1</x:v>
      </x:c>
    </x:row>
    <x:row r="1208">
      <x:c r="A1208" s="9" t="str">
        <x:v>EV-AR-HC-A-C-TECH-3-B2-INT-G0-IV05</x:v>
      </x:c>
      <x:c r="B1208" s="9" t="str">
        <x:v>EV-AR-HC-A-C-TECH-3-B2-INT-G0</x:v>
      </x:c>
      <x:c r="C1208" s="9" t="str">
        <x:v>AR-HC-A-C-TECH-3-B2-INT-G0</x:v>
      </x:c>
      <x:c r="D1208" s="9" t="str">
        <x:v>HC-A-C-TECH-3</x:v>
      </x:c>
      <x:c r="E1208" s="9" t="str">
        <x:v>HC-A-C</x:v>
      </x:c>
      <x:c r="F1208" s="9" t="str">
        <x:v>B2</x:v>
      </x:c>
      <x:c r="G1208" s="9" t="str">
        <x:v>INT</x:v>
      </x:c>
      <x:c r="H1208" s="9" t="str">
        <x:v>IV05</x:v>
      </x:c>
      <x:c r="I1208" s="17" t="str">
        <x:v>Causal counterfactual</x:v>
      </x:c>
      <x:c r="J1208" s="17" t="str">
        <x:v>registered counterfactual shows the cause can create the defect</x:v>
      </x:c>
      <x:c r="K1208" s="17" t="str">
        <x:v>Causal court</x:v>
      </x:c>
      <x:c r="L1208" s="9" t="n">
        <x:v>0</x:v>
      </x:c>
      <x:c r="M1208" s="9" t="n">
        <x:v>0</x:v>
      </x:c>
      <x:c r="N1208" s="9" t="str">
        <x:v>UNFILED / UNPROVEN</x:v>
      </x:c>
      <x:c r="O1208" s="9" t="n">
        <x:f>COUNTIFS($A$7:$A$1302,A1208)</x:f>
        <x:v>1</x:v>
      </x:c>
    </x:row>
    <x:row r="1209">
      <x:c r="A1209" s="9" t="str">
        <x:v>EV-AR-HC-A-C-TECH-3-B2-INT-G0-IV06</x:v>
      </x:c>
      <x:c r="B1209" s="9" t="str">
        <x:v>EV-AR-HC-A-C-TECH-3-B2-INT-G0</x:v>
      </x:c>
      <x:c r="C1209" s="9" t="str">
        <x:v>AR-HC-A-C-TECH-3-B2-INT-G0</x:v>
      </x:c>
      <x:c r="D1209" s="9" t="str">
        <x:v>HC-A-C-TECH-3</x:v>
      </x:c>
      <x:c r="E1209" s="9" t="str">
        <x:v>HC-A-C</x:v>
      </x:c>
      <x:c r="F1209" s="9" t="str">
        <x:v>B2</x:v>
      </x:c>
      <x:c r="G1209" s="9" t="str">
        <x:v>INT</x:v>
      </x:c>
      <x:c r="H1209" s="9" t="str">
        <x:v>IV06</x:v>
      </x:c>
      <x:c r="I1209" s="17" t="str">
        <x:v>Candidate non-causation</x:v>
      </x:c>
      <x:c r="J1209" s="17" t="str">
        <x:v>evidence excludes candidate induction of the facility condition</x:v>
      </x:c>
      <x:c r="K1209" s="17" t="str">
        <x:v>Causal court</x:v>
      </x:c>
      <x:c r="L1209" s="9" t="n">
        <x:v>0</x:v>
      </x:c>
      <x:c r="M1209" s="9" t="n">
        <x:v>0</x:v>
      </x:c>
      <x:c r="N1209" s="9" t="str">
        <x:v>UNFILED / UNPROVEN</x:v>
      </x:c>
      <x:c r="O1209" s="9" t="n">
        <x:f>COUNTIFS($A$7:$A$1302,A1209)</x:f>
        <x:v>1</x:v>
      </x:c>
    </x:row>
    <x:row r="1210">
      <x:c r="A1210" s="9" t="str">
        <x:v>EV-AR-HC-A-C-TECH-3-B2-INT-G0-IV07</x:v>
      </x:c>
      <x:c r="B1210" s="9" t="str">
        <x:v>EV-AR-HC-A-C-TECH-3-B2-INT-G0</x:v>
      </x:c>
      <x:c r="C1210" s="9" t="str">
        <x:v>AR-HC-A-C-TECH-3-B2-INT-G0</x:v>
      </x:c>
      <x:c r="D1210" s="9" t="str">
        <x:v>HC-A-C-TECH-3</x:v>
      </x:c>
      <x:c r="E1210" s="9" t="str">
        <x:v>HC-A-C</x:v>
      </x:c>
      <x:c r="F1210" s="9" t="str">
        <x:v>B2</x:v>
      </x:c>
      <x:c r="G1210" s="9" t="str">
        <x:v>INT</x:v>
      </x:c>
      <x:c r="H1210" s="9" t="str">
        <x:v>IV07</x:v>
      </x:c>
      <x:c r="I1210" s="17" t="str">
        <x:v>No outcome selection</x:v>
      </x:c>
      <x:c r="J1210" s="17" t="str">
        <x:v>petition rule and evidence scope were fixed before visibility</x:v>
      </x:c>
      <x:c r="K1210" s="17" t="str">
        <x:v>Conflict registrar</x:v>
      </x:c>
      <x:c r="L1210" s="9" t="n">
        <x:v>0</x:v>
      </x:c>
      <x:c r="M1210" s="9" t="n">
        <x:v>0</x:v>
      </x:c>
      <x:c r="N1210" s="9" t="str">
        <x:v>UNFILED / UNPROVEN</x:v>
      </x:c>
      <x:c r="O1210" s="9" t="n">
        <x:f>COUNTIFS($A$7:$A$1302,A1210)</x:f>
        <x:v>1</x:v>
      </x:c>
    </x:row>
    <x:row r="1211">
      <x:c r="A1211" s="9" t="str">
        <x:v>EV-AR-HC-A-C-TECH-3-B2-INT-G0-IV08</x:v>
      </x:c>
      <x:c r="B1211" s="9" t="str">
        <x:v>EV-AR-HC-A-C-TECH-3-B2-INT-G0</x:v>
      </x:c>
      <x:c r="C1211" s="9" t="str">
        <x:v>AR-HC-A-C-TECH-3-B2-INT-G0</x:v>
      </x:c>
      <x:c r="D1211" s="9" t="str">
        <x:v>HC-A-C-TECH-3</x:v>
      </x:c>
      <x:c r="E1211" s="9" t="str">
        <x:v>HC-A-C</x:v>
      </x:c>
      <x:c r="F1211" s="9" t="str">
        <x:v>B2</x:v>
      </x:c>
      <x:c r="G1211" s="9" t="str">
        <x:v>INT</x:v>
      </x:c>
      <x:c r="H1211" s="9" t="str">
        <x:v>IV08</x:v>
      </x:c>
      <x:c r="I1211" s="17" t="str">
        <x:v>Whole-record preservation</x:v>
      </x:c>
      <x:c r="J1211" s="17" t="str">
        <x:v>start, raw behavior, dissent and intervention remain in archive</x:v>
      </x:c>
      <x:c r="K1211" s="17" t="str">
        <x:v>Archive authority</x:v>
      </x:c>
      <x:c r="L1211" s="9" t="n">
        <x:v>0</x:v>
      </x:c>
      <x:c r="M1211" s="9" t="n">
        <x:v>0</x:v>
      </x:c>
      <x:c r="N1211" s="9" t="str">
        <x:v>UNFILED / UNPROVEN</x:v>
      </x:c>
      <x:c r="O1211" s="9" t="n">
        <x:f>COUNTIFS($A$7:$A$1302,A1211)</x:f>
        <x:v>1</x:v>
      </x:c>
    </x:row>
    <x:row r="1212">
      <x:c r="A1212" s="9" t="str">
        <x:v>EV-AR-HC-A-C-TECH-3-B2-INT-G0-IV09</x:v>
      </x:c>
      <x:c r="B1212" s="9" t="str">
        <x:v>EV-AR-HC-A-C-TECH-3-B2-INT-G0</x:v>
      </x:c>
      <x:c r="C1212" s="9" t="str">
        <x:v>AR-HC-A-C-TECH-3-B2-INT-G0</x:v>
      </x:c>
      <x:c r="D1212" s="9" t="str">
        <x:v>HC-A-C-TECH-3</x:v>
      </x:c>
      <x:c r="E1212" s="9" t="str">
        <x:v>HC-A-C</x:v>
      </x:c>
      <x:c r="F1212" s="9" t="str">
        <x:v>B2</x:v>
      </x:c>
      <x:c r="G1212" s="9" t="str">
        <x:v>INT</x:v>
      </x:c>
      <x:c r="H1212" s="9" t="str">
        <x:v>IV09</x:v>
      </x:c>
      <x:c r="I1212" s="17" t="str">
        <x:v>Bounded remedy</x:v>
      </x:c>
      <x:c r="J1212" s="17" t="str">
        <x:v>only a new slot and EOW may follow; no favorable credit or erased attempt</x:v>
      </x:c>
      <x:c r="K1212" s="17" t="str">
        <x:v>Invalidity court</x:v>
      </x:c>
      <x:c r="L1212" s="9" t="n">
        <x:v>0</x:v>
      </x:c>
      <x:c r="M1212" s="9" t="n">
        <x:v>0</x:v>
      </x:c>
      <x:c r="N1212" s="9" t="str">
        <x:v>UNFILED / UNPROVEN</x:v>
      </x:c>
      <x:c r="O1212" s="9" t="n">
        <x:f>COUNTIFS($A$7:$A$1302,A1212)</x:f>
        <x:v>1</x:v>
      </x:c>
    </x:row>
    <x:row r="1213">
      <x:c r="A1213" s="9" t="str">
        <x:v>EV-AR-HU-A-B-TECH-3-B2-RCN-G0-IV01</x:v>
      </x:c>
      <x:c r="B1213" s="9" t="str">
        <x:v>EV-AR-HU-A-B-TECH-3-B2-RCN-G0</x:v>
      </x:c>
      <x:c r="C1213" s="9" t="str">
        <x:v>AR-HU-A-B-TECH-3-B2-RCN-G0</x:v>
      </x:c>
      <x:c r="D1213" s="9" t="str">
        <x:v>HU-A-B-TECH-3</x:v>
      </x:c>
      <x:c r="E1213" s="9" t="str">
        <x:v>HU-A-B</x:v>
      </x:c>
      <x:c r="F1213" s="9" t="str">
        <x:v>B2</x:v>
      </x:c>
      <x:c r="G1213" s="9" t="str">
        <x:v>RCN</x:v>
      </x:c>
      <x:c r="H1213" s="9" t="str">
        <x:v>IV01</x:v>
      </x:c>
      <x:c r="I1213" s="17" t="str">
        <x:v>Timely petition</x:v>
      </x:c>
      <x:c r="J1213" s="17" t="str">
        <x:v>petition enters within seventy-two hours of event close</x:v>
      </x:c>
      <x:c r="K1213" s="17" t="str">
        <x:v>Invalidity registrar</x:v>
      </x:c>
      <x:c r="L1213" s="9" t="n">
        <x:v>0</x:v>
      </x:c>
      <x:c r="M1213" s="9" t="n">
        <x:v>0</x:v>
      </x:c>
      <x:c r="N1213" s="9" t="str">
        <x:v>UNFILED / UNPROVEN</x:v>
      </x:c>
      <x:c r="O1213" s="9" t="n">
        <x:f>COUNTIFS($A$7:$A$1302,A1213)</x:f>
        <x:v>1</x:v>
      </x:c>
    </x:row>
    <x:row r="1214">
      <x:c r="A1214" s="9" t="str">
        <x:v>EV-AR-HU-A-B-TECH-3-B2-RCN-G0-IV02</x:v>
      </x:c>
      <x:c r="B1214" s="9" t="str">
        <x:v>EV-AR-HU-A-B-TECH-3-B2-RCN-G0</x:v>
      </x:c>
      <x:c r="C1214" s="9" t="str">
        <x:v>AR-HU-A-B-TECH-3-B2-RCN-G0</x:v>
      </x:c>
      <x:c r="D1214" s="9" t="str">
        <x:v>HU-A-B-TECH-3</x:v>
      </x:c>
      <x:c r="E1214" s="9" t="str">
        <x:v>HU-A-B</x:v>
      </x:c>
      <x:c r="F1214" s="9" t="str">
        <x:v>B2</x:v>
      </x:c>
      <x:c r="G1214" s="9" t="str">
        <x:v>RCN</x:v>
      </x:c>
      <x:c r="H1214" s="9" t="str">
        <x:v>IV02</x:v>
      </x:c>
      <x:c r="I1214" s="17" t="str">
        <x:v>Named facility cause</x:v>
      </x:c>
      <x:c r="J1214" s="17" t="str">
        <x:v>one pre-registered noncandidate cause is identified</x:v>
      </x:c>
      <x:c r="K1214" s="17" t="str">
        <x:v>Facility-cause court</x:v>
      </x:c>
      <x:c r="L1214" s="9" t="n">
        <x:v>0</x:v>
      </x:c>
      <x:c r="M1214" s="9" t="n">
        <x:v>0</x:v>
      </x:c>
      <x:c r="N1214" s="9" t="str">
        <x:v>UNFILED / UNPROVEN</x:v>
      </x:c>
      <x:c r="O1214" s="9" t="n">
        <x:f>COUNTIFS($A$7:$A$1302,A1214)</x:f>
        <x:v>1</x:v>
      </x:c>
    </x:row>
    <x:row r="1215">
      <x:c r="A1215" s="9" t="str">
        <x:v>EV-AR-HU-A-B-TECH-3-B2-RCN-G0-IV03</x:v>
      </x:c>
      <x:c r="B1215" s="9" t="str">
        <x:v>EV-AR-HU-A-B-TECH-3-B2-RCN-G0</x:v>
      </x:c>
      <x:c r="C1215" s="9" t="str">
        <x:v>AR-HU-A-B-TECH-3-B2-RCN-G0</x:v>
      </x:c>
      <x:c r="D1215" s="9" t="str">
        <x:v>HU-A-B-TECH-3</x:v>
      </x:c>
      <x:c r="E1215" s="9" t="str">
        <x:v>HU-A-B</x:v>
      </x:c>
      <x:c r="F1215" s="9" t="str">
        <x:v>B2</x:v>
      </x:c>
      <x:c r="G1215" s="9" t="str">
        <x:v>RCN</x:v>
      </x:c>
      <x:c r="H1215" s="9" t="str">
        <x:v>IV03</x:v>
      </x:c>
      <x:c r="I1215" s="17" t="str">
        <x:v>Temporal priority</x:v>
      </x:c>
      <x:c r="J1215" s="17" t="str">
        <x:v>cause demonstrably precedes the disputed candidate behavior</x:v>
      </x:c>
      <x:c r="K1215" s="17" t="str">
        <x:v>Time authority</x:v>
      </x:c>
      <x:c r="L1215" s="9" t="n">
        <x:v>0</x:v>
      </x:c>
      <x:c r="M1215" s="9" t="n">
        <x:v>0</x:v>
      </x:c>
      <x:c r="N1215" s="9" t="str">
        <x:v>UNFILED / UNPROVEN</x:v>
      </x:c>
      <x:c r="O1215" s="9" t="n">
        <x:f>COUNTIFS($A$7:$A$1302,A1215)</x:f>
        <x:v>1</x:v>
      </x:c>
    </x:row>
    <x:row r="1216">
      <x:c r="A1216" s="9" t="str">
        <x:v>EV-AR-HU-A-B-TECH-3-B2-RCN-G0-IV04</x:v>
      </x:c>
      <x:c r="B1216" s="9" t="str">
        <x:v>EV-AR-HU-A-B-TECH-3-B2-RCN-G0</x:v>
      </x:c>
      <x:c r="C1216" s="9" t="str">
        <x:v>AR-HU-A-B-TECH-3-B2-RCN-G0</x:v>
      </x:c>
      <x:c r="D1216" s="9" t="str">
        <x:v>HU-A-B-TECH-3</x:v>
      </x:c>
      <x:c r="E1216" s="9" t="str">
        <x:v>HU-A-B</x:v>
      </x:c>
      <x:c r="F1216" s="9" t="str">
        <x:v>B2</x:v>
      </x:c>
      <x:c r="G1216" s="9" t="str">
        <x:v>RCN</x:v>
      </x:c>
      <x:c r="H1216" s="9" t="str">
        <x:v>IV04</x:v>
      </x:c>
      <x:c r="I1216" s="17" t="str">
        <x:v>Independent trace</x:v>
      </x:c>
      <x:c r="J1216" s="17" t="str">
        <x:v>two unlike records carry the cause without candidate custody</x:v>
      </x:c>
      <x:c r="K1216" s="17" t="str">
        <x:v>Invalidity court</x:v>
      </x:c>
      <x:c r="L1216" s="9" t="n">
        <x:v>0</x:v>
      </x:c>
      <x:c r="M1216" s="9" t="n">
        <x:v>0</x:v>
      </x:c>
      <x:c r="N1216" s="9" t="str">
        <x:v>UNFILED / UNPROVEN</x:v>
      </x:c>
      <x:c r="O1216" s="9" t="n">
        <x:f>COUNTIFS($A$7:$A$1302,A1216)</x:f>
        <x:v>1</x:v>
      </x:c>
    </x:row>
    <x:row r="1217">
      <x:c r="A1217" s="9" t="str">
        <x:v>EV-AR-HU-A-B-TECH-3-B2-RCN-G0-IV05</x:v>
      </x:c>
      <x:c r="B1217" s="9" t="str">
        <x:v>EV-AR-HU-A-B-TECH-3-B2-RCN-G0</x:v>
      </x:c>
      <x:c r="C1217" s="9" t="str">
        <x:v>AR-HU-A-B-TECH-3-B2-RCN-G0</x:v>
      </x:c>
      <x:c r="D1217" s="9" t="str">
        <x:v>HU-A-B-TECH-3</x:v>
      </x:c>
      <x:c r="E1217" s="9" t="str">
        <x:v>HU-A-B</x:v>
      </x:c>
      <x:c r="F1217" s="9" t="str">
        <x:v>B2</x:v>
      </x:c>
      <x:c r="G1217" s="9" t="str">
        <x:v>RCN</x:v>
      </x:c>
      <x:c r="H1217" s="9" t="str">
        <x:v>IV05</x:v>
      </x:c>
      <x:c r="I1217" s="17" t="str">
        <x:v>Causal counterfactual</x:v>
      </x:c>
      <x:c r="J1217" s="17" t="str">
        <x:v>registered counterfactual shows the cause can create the defect</x:v>
      </x:c>
      <x:c r="K1217" s="17" t="str">
        <x:v>Causal court</x:v>
      </x:c>
      <x:c r="L1217" s="9" t="n">
        <x:v>0</x:v>
      </x:c>
      <x:c r="M1217" s="9" t="n">
        <x:v>0</x:v>
      </x:c>
      <x:c r="N1217" s="9" t="str">
        <x:v>UNFILED / UNPROVEN</x:v>
      </x:c>
      <x:c r="O1217" s="9" t="n">
        <x:f>COUNTIFS($A$7:$A$1302,A1217)</x:f>
        <x:v>1</x:v>
      </x:c>
    </x:row>
    <x:row r="1218">
      <x:c r="A1218" s="9" t="str">
        <x:v>EV-AR-HU-A-B-TECH-3-B2-RCN-G0-IV06</x:v>
      </x:c>
      <x:c r="B1218" s="9" t="str">
        <x:v>EV-AR-HU-A-B-TECH-3-B2-RCN-G0</x:v>
      </x:c>
      <x:c r="C1218" s="9" t="str">
        <x:v>AR-HU-A-B-TECH-3-B2-RCN-G0</x:v>
      </x:c>
      <x:c r="D1218" s="9" t="str">
        <x:v>HU-A-B-TECH-3</x:v>
      </x:c>
      <x:c r="E1218" s="9" t="str">
        <x:v>HU-A-B</x:v>
      </x:c>
      <x:c r="F1218" s="9" t="str">
        <x:v>B2</x:v>
      </x:c>
      <x:c r="G1218" s="9" t="str">
        <x:v>RCN</x:v>
      </x:c>
      <x:c r="H1218" s="9" t="str">
        <x:v>IV06</x:v>
      </x:c>
      <x:c r="I1218" s="17" t="str">
        <x:v>Candidate non-causation</x:v>
      </x:c>
      <x:c r="J1218" s="17" t="str">
        <x:v>evidence excludes candidate induction of the facility condition</x:v>
      </x:c>
      <x:c r="K1218" s="17" t="str">
        <x:v>Causal court</x:v>
      </x:c>
      <x:c r="L1218" s="9" t="n">
        <x:v>0</x:v>
      </x:c>
      <x:c r="M1218" s="9" t="n">
        <x:v>0</x:v>
      </x:c>
      <x:c r="N1218" s="9" t="str">
        <x:v>UNFILED / UNPROVEN</x:v>
      </x:c>
      <x:c r="O1218" s="9" t="n">
        <x:f>COUNTIFS($A$7:$A$1302,A1218)</x:f>
        <x:v>1</x:v>
      </x:c>
    </x:row>
    <x:row r="1219">
      <x:c r="A1219" s="9" t="str">
        <x:v>EV-AR-HU-A-B-TECH-3-B2-RCN-G0-IV07</x:v>
      </x:c>
      <x:c r="B1219" s="9" t="str">
        <x:v>EV-AR-HU-A-B-TECH-3-B2-RCN-G0</x:v>
      </x:c>
      <x:c r="C1219" s="9" t="str">
        <x:v>AR-HU-A-B-TECH-3-B2-RCN-G0</x:v>
      </x:c>
      <x:c r="D1219" s="9" t="str">
        <x:v>HU-A-B-TECH-3</x:v>
      </x:c>
      <x:c r="E1219" s="9" t="str">
        <x:v>HU-A-B</x:v>
      </x:c>
      <x:c r="F1219" s="9" t="str">
        <x:v>B2</x:v>
      </x:c>
      <x:c r="G1219" s="9" t="str">
        <x:v>RCN</x:v>
      </x:c>
      <x:c r="H1219" s="9" t="str">
        <x:v>IV07</x:v>
      </x:c>
      <x:c r="I1219" s="17" t="str">
        <x:v>No outcome selection</x:v>
      </x:c>
      <x:c r="J1219" s="17" t="str">
        <x:v>petition rule and evidence scope were fixed before visibility</x:v>
      </x:c>
      <x:c r="K1219" s="17" t="str">
        <x:v>Conflict registrar</x:v>
      </x:c>
      <x:c r="L1219" s="9" t="n">
        <x:v>0</x:v>
      </x:c>
      <x:c r="M1219" s="9" t="n">
        <x:v>0</x:v>
      </x:c>
      <x:c r="N1219" s="9" t="str">
        <x:v>UNFILED / UNPROVEN</x:v>
      </x:c>
      <x:c r="O1219" s="9" t="n">
        <x:f>COUNTIFS($A$7:$A$1302,A1219)</x:f>
        <x:v>1</x:v>
      </x:c>
    </x:row>
    <x:row r="1220">
      <x:c r="A1220" s="9" t="str">
        <x:v>EV-AR-HU-A-B-TECH-3-B2-RCN-G0-IV08</x:v>
      </x:c>
      <x:c r="B1220" s="9" t="str">
        <x:v>EV-AR-HU-A-B-TECH-3-B2-RCN-G0</x:v>
      </x:c>
      <x:c r="C1220" s="9" t="str">
        <x:v>AR-HU-A-B-TECH-3-B2-RCN-G0</x:v>
      </x:c>
      <x:c r="D1220" s="9" t="str">
        <x:v>HU-A-B-TECH-3</x:v>
      </x:c>
      <x:c r="E1220" s="9" t="str">
        <x:v>HU-A-B</x:v>
      </x:c>
      <x:c r="F1220" s="9" t="str">
        <x:v>B2</x:v>
      </x:c>
      <x:c r="G1220" s="9" t="str">
        <x:v>RCN</x:v>
      </x:c>
      <x:c r="H1220" s="9" t="str">
        <x:v>IV08</x:v>
      </x:c>
      <x:c r="I1220" s="17" t="str">
        <x:v>Whole-record preservation</x:v>
      </x:c>
      <x:c r="J1220" s="17" t="str">
        <x:v>start, raw behavior, dissent and intervention remain in archive</x:v>
      </x:c>
      <x:c r="K1220" s="17" t="str">
        <x:v>Archive authority</x:v>
      </x:c>
      <x:c r="L1220" s="9" t="n">
        <x:v>0</x:v>
      </x:c>
      <x:c r="M1220" s="9" t="n">
        <x:v>0</x:v>
      </x:c>
      <x:c r="N1220" s="9" t="str">
        <x:v>UNFILED / UNPROVEN</x:v>
      </x:c>
      <x:c r="O1220" s="9" t="n">
        <x:f>COUNTIFS($A$7:$A$1302,A1220)</x:f>
        <x:v>1</x:v>
      </x:c>
    </x:row>
    <x:row r="1221">
      <x:c r="A1221" s="9" t="str">
        <x:v>EV-AR-HU-A-B-TECH-3-B2-RCN-G0-IV09</x:v>
      </x:c>
      <x:c r="B1221" s="9" t="str">
        <x:v>EV-AR-HU-A-B-TECH-3-B2-RCN-G0</x:v>
      </x:c>
      <x:c r="C1221" s="9" t="str">
        <x:v>AR-HU-A-B-TECH-3-B2-RCN-G0</x:v>
      </x:c>
      <x:c r="D1221" s="9" t="str">
        <x:v>HU-A-B-TECH-3</x:v>
      </x:c>
      <x:c r="E1221" s="9" t="str">
        <x:v>HU-A-B</x:v>
      </x:c>
      <x:c r="F1221" s="9" t="str">
        <x:v>B2</x:v>
      </x:c>
      <x:c r="G1221" s="9" t="str">
        <x:v>RCN</x:v>
      </x:c>
      <x:c r="H1221" s="9" t="str">
        <x:v>IV09</x:v>
      </x:c>
      <x:c r="I1221" s="17" t="str">
        <x:v>Bounded remedy</x:v>
      </x:c>
      <x:c r="J1221" s="17" t="str">
        <x:v>only a new slot and EOW may follow; no favorable credit or erased attempt</x:v>
      </x:c>
      <x:c r="K1221" s="17" t="str">
        <x:v>Invalidity court</x:v>
      </x:c>
      <x:c r="L1221" s="9" t="n">
        <x:v>0</x:v>
      </x:c>
      <x:c r="M1221" s="9" t="n">
        <x:v>0</x:v>
      </x:c>
      <x:c r="N1221" s="9" t="str">
        <x:v>UNFILED / UNPROVEN</x:v>
      </x:c>
      <x:c r="O1221" s="9" t="n">
        <x:f>COUNTIFS($A$7:$A$1302,A1221)</x:f>
        <x:v>1</x:v>
      </x:c>
    </x:row>
    <x:row r="1222">
      <x:c r="A1222" s="9" t="str">
        <x:v>EV-AR-HU-A-B-TECH-4-B1-RCN-G0-IV01</x:v>
      </x:c>
      <x:c r="B1222" s="9" t="str">
        <x:v>EV-AR-HU-A-B-TECH-4-B1-RCN-G0</x:v>
      </x:c>
      <x:c r="C1222" s="9" t="str">
        <x:v>AR-HU-A-B-TECH-4-B1-RCN-G0</x:v>
      </x:c>
      <x:c r="D1222" s="9" t="str">
        <x:v>HU-A-B-TECH-4</x:v>
      </x:c>
      <x:c r="E1222" s="9" t="str">
        <x:v>HU-A-B</x:v>
      </x:c>
      <x:c r="F1222" s="9" t="str">
        <x:v>B1</x:v>
      </x:c>
      <x:c r="G1222" s="9" t="str">
        <x:v>RCN</x:v>
      </x:c>
      <x:c r="H1222" s="9" t="str">
        <x:v>IV01</x:v>
      </x:c>
      <x:c r="I1222" s="17" t="str">
        <x:v>Timely petition</x:v>
      </x:c>
      <x:c r="J1222" s="17" t="str">
        <x:v>petition enters within seventy-two hours of event close</x:v>
      </x:c>
      <x:c r="K1222" s="17" t="str">
        <x:v>Invalidity registrar</x:v>
      </x:c>
      <x:c r="L1222" s="9" t="n">
        <x:v>0</x:v>
      </x:c>
      <x:c r="M1222" s="9" t="n">
        <x:v>0</x:v>
      </x:c>
      <x:c r="N1222" s="9" t="str">
        <x:v>UNFILED / UNPROVEN</x:v>
      </x:c>
      <x:c r="O1222" s="9" t="n">
        <x:f>COUNTIFS($A$7:$A$1302,A1222)</x:f>
        <x:v>1</x:v>
      </x:c>
    </x:row>
    <x:row r="1223">
      <x:c r="A1223" s="9" t="str">
        <x:v>EV-AR-HU-A-B-TECH-4-B1-RCN-G0-IV02</x:v>
      </x:c>
      <x:c r="B1223" s="9" t="str">
        <x:v>EV-AR-HU-A-B-TECH-4-B1-RCN-G0</x:v>
      </x:c>
      <x:c r="C1223" s="9" t="str">
        <x:v>AR-HU-A-B-TECH-4-B1-RCN-G0</x:v>
      </x:c>
      <x:c r="D1223" s="9" t="str">
        <x:v>HU-A-B-TECH-4</x:v>
      </x:c>
      <x:c r="E1223" s="9" t="str">
        <x:v>HU-A-B</x:v>
      </x:c>
      <x:c r="F1223" s="9" t="str">
        <x:v>B1</x:v>
      </x:c>
      <x:c r="G1223" s="9" t="str">
        <x:v>RCN</x:v>
      </x:c>
      <x:c r="H1223" s="9" t="str">
        <x:v>IV02</x:v>
      </x:c>
      <x:c r="I1223" s="17" t="str">
        <x:v>Named facility cause</x:v>
      </x:c>
      <x:c r="J1223" s="17" t="str">
        <x:v>one pre-registered noncandidate cause is identified</x:v>
      </x:c>
      <x:c r="K1223" s="17" t="str">
        <x:v>Facility-cause court</x:v>
      </x:c>
      <x:c r="L1223" s="9" t="n">
        <x:v>0</x:v>
      </x:c>
      <x:c r="M1223" s="9" t="n">
        <x:v>0</x:v>
      </x:c>
      <x:c r="N1223" s="9" t="str">
        <x:v>UNFILED / UNPROVEN</x:v>
      </x:c>
      <x:c r="O1223" s="9" t="n">
        <x:f>COUNTIFS($A$7:$A$1302,A1223)</x:f>
        <x:v>1</x:v>
      </x:c>
    </x:row>
    <x:row r="1224">
      <x:c r="A1224" s="9" t="str">
        <x:v>EV-AR-HU-A-B-TECH-4-B1-RCN-G0-IV03</x:v>
      </x:c>
      <x:c r="B1224" s="9" t="str">
        <x:v>EV-AR-HU-A-B-TECH-4-B1-RCN-G0</x:v>
      </x:c>
      <x:c r="C1224" s="9" t="str">
        <x:v>AR-HU-A-B-TECH-4-B1-RCN-G0</x:v>
      </x:c>
      <x:c r="D1224" s="9" t="str">
        <x:v>HU-A-B-TECH-4</x:v>
      </x:c>
      <x:c r="E1224" s="9" t="str">
        <x:v>HU-A-B</x:v>
      </x:c>
      <x:c r="F1224" s="9" t="str">
        <x:v>B1</x:v>
      </x:c>
      <x:c r="G1224" s="9" t="str">
        <x:v>RCN</x:v>
      </x:c>
      <x:c r="H1224" s="9" t="str">
        <x:v>IV03</x:v>
      </x:c>
      <x:c r="I1224" s="17" t="str">
        <x:v>Temporal priority</x:v>
      </x:c>
      <x:c r="J1224" s="17" t="str">
        <x:v>cause demonstrably precedes the disputed candidate behavior</x:v>
      </x:c>
      <x:c r="K1224" s="17" t="str">
        <x:v>Time authority</x:v>
      </x:c>
      <x:c r="L1224" s="9" t="n">
        <x:v>0</x:v>
      </x:c>
      <x:c r="M1224" s="9" t="n">
        <x:v>0</x:v>
      </x:c>
      <x:c r="N1224" s="9" t="str">
        <x:v>UNFILED / UNPROVEN</x:v>
      </x:c>
      <x:c r="O1224" s="9" t="n">
        <x:f>COUNTIFS($A$7:$A$1302,A1224)</x:f>
        <x:v>1</x:v>
      </x:c>
    </x:row>
    <x:row r="1225">
      <x:c r="A1225" s="9" t="str">
        <x:v>EV-AR-HU-A-B-TECH-4-B1-RCN-G0-IV04</x:v>
      </x:c>
      <x:c r="B1225" s="9" t="str">
        <x:v>EV-AR-HU-A-B-TECH-4-B1-RCN-G0</x:v>
      </x:c>
      <x:c r="C1225" s="9" t="str">
        <x:v>AR-HU-A-B-TECH-4-B1-RCN-G0</x:v>
      </x:c>
      <x:c r="D1225" s="9" t="str">
        <x:v>HU-A-B-TECH-4</x:v>
      </x:c>
      <x:c r="E1225" s="9" t="str">
        <x:v>HU-A-B</x:v>
      </x:c>
      <x:c r="F1225" s="9" t="str">
        <x:v>B1</x:v>
      </x:c>
      <x:c r="G1225" s="9" t="str">
        <x:v>RCN</x:v>
      </x:c>
      <x:c r="H1225" s="9" t="str">
        <x:v>IV04</x:v>
      </x:c>
      <x:c r="I1225" s="17" t="str">
        <x:v>Independent trace</x:v>
      </x:c>
      <x:c r="J1225" s="17" t="str">
        <x:v>two unlike records carry the cause without candidate custody</x:v>
      </x:c>
      <x:c r="K1225" s="17" t="str">
        <x:v>Invalidity court</x:v>
      </x:c>
      <x:c r="L1225" s="9" t="n">
        <x:v>0</x:v>
      </x:c>
      <x:c r="M1225" s="9" t="n">
        <x:v>0</x:v>
      </x:c>
      <x:c r="N1225" s="9" t="str">
        <x:v>UNFILED / UNPROVEN</x:v>
      </x:c>
      <x:c r="O1225" s="9" t="n">
        <x:f>COUNTIFS($A$7:$A$1302,A1225)</x:f>
        <x:v>1</x:v>
      </x:c>
    </x:row>
    <x:row r="1226">
      <x:c r="A1226" s="9" t="str">
        <x:v>EV-AR-HU-A-B-TECH-4-B1-RCN-G0-IV05</x:v>
      </x:c>
      <x:c r="B1226" s="9" t="str">
        <x:v>EV-AR-HU-A-B-TECH-4-B1-RCN-G0</x:v>
      </x:c>
      <x:c r="C1226" s="9" t="str">
        <x:v>AR-HU-A-B-TECH-4-B1-RCN-G0</x:v>
      </x:c>
      <x:c r="D1226" s="9" t="str">
        <x:v>HU-A-B-TECH-4</x:v>
      </x:c>
      <x:c r="E1226" s="9" t="str">
        <x:v>HU-A-B</x:v>
      </x:c>
      <x:c r="F1226" s="9" t="str">
        <x:v>B1</x:v>
      </x:c>
      <x:c r="G1226" s="9" t="str">
        <x:v>RCN</x:v>
      </x:c>
      <x:c r="H1226" s="9" t="str">
        <x:v>IV05</x:v>
      </x:c>
      <x:c r="I1226" s="17" t="str">
        <x:v>Causal counterfactual</x:v>
      </x:c>
      <x:c r="J1226" s="17" t="str">
        <x:v>registered counterfactual shows the cause can create the defect</x:v>
      </x:c>
      <x:c r="K1226" s="17" t="str">
        <x:v>Causal court</x:v>
      </x:c>
      <x:c r="L1226" s="9" t="n">
        <x:v>0</x:v>
      </x:c>
      <x:c r="M1226" s="9" t="n">
        <x:v>0</x:v>
      </x:c>
      <x:c r="N1226" s="9" t="str">
        <x:v>UNFILED / UNPROVEN</x:v>
      </x:c>
      <x:c r="O1226" s="9" t="n">
        <x:f>COUNTIFS($A$7:$A$1302,A1226)</x:f>
        <x:v>1</x:v>
      </x:c>
    </x:row>
    <x:row r="1227">
      <x:c r="A1227" s="9" t="str">
        <x:v>EV-AR-HU-A-B-TECH-4-B1-RCN-G0-IV06</x:v>
      </x:c>
      <x:c r="B1227" s="9" t="str">
        <x:v>EV-AR-HU-A-B-TECH-4-B1-RCN-G0</x:v>
      </x:c>
      <x:c r="C1227" s="9" t="str">
        <x:v>AR-HU-A-B-TECH-4-B1-RCN-G0</x:v>
      </x:c>
      <x:c r="D1227" s="9" t="str">
        <x:v>HU-A-B-TECH-4</x:v>
      </x:c>
      <x:c r="E1227" s="9" t="str">
        <x:v>HU-A-B</x:v>
      </x:c>
      <x:c r="F1227" s="9" t="str">
        <x:v>B1</x:v>
      </x:c>
      <x:c r="G1227" s="9" t="str">
        <x:v>RCN</x:v>
      </x:c>
      <x:c r="H1227" s="9" t="str">
        <x:v>IV06</x:v>
      </x:c>
      <x:c r="I1227" s="17" t="str">
        <x:v>Candidate non-causation</x:v>
      </x:c>
      <x:c r="J1227" s="17" t="str">
        <x:v>evidence excludes candidate induction of the facility condition</x:v>
      </x:c>
      <x:c r="K1227" s="17" t="str">
        <x:v>Causal court</x:v>
      </x:c>
      <x:c r="L1227" s="9" t="n">
        <x:v>0</x:v>
      </x:c>
      <x:c r="M1227" s="9" t="n">
        <x:v>0</x:v>
      </x:c>
      <x:c r="N1227" s="9" t="str">
        <x:v>UNFILED / UNPROVEN</x:v>
      </x:c>
      <x:c r="O1227" s="9" t="n">
        <x:f>COUNTIFS($A$7:$A$1302,A1227)</x:f>
        <x:v>1</x:v>
      </x:c>
    </x:row>
    <x:row r="1228">
      <x:c r="A1228" s="9" t="str">
        <x:v>EV-AR-HU-A-B-TECH-4-B1-RCN-G0-IV07</x:v>
      </x:c>
      <x:c r="B1228" s="9" t="str">
        <x:v>EV-AR-HU-A-B-TECH-4-B1-RCN-G0</x:v>
      </x:c>
      <x:c r="C1228" s="9" t="str">
        <x:v>AR-HU-A-B-TECH-4-B1-RCN-G0</x:v>
      </x:c>
      <x:c r="D1228" s="9" t="str">
        <x:v>HU-A-B-TECH-4</x:v>
      </x:c>
      <x:c r="E1228" s="9" t="str">
        <x:v>HU-A-B</x:v>
      </x:c>
      <x:c r="F1228" s="9" t="str">
        <x:v>B1</x:v>
      </x:c>
      <x:c r="G1228" s="9" t="str">
        <x:v>RCN</x:v>
      </x:c>
      <x:c r="H1228" s="9" t="str">
        <x:v>IV07</x:v>
      </x:c>
      <x:c r="I1228" s="17" t="str">
        <x:v>No outcome selection</x:v>
      </x:c>
      <x:c r="J1228" s="17" t="str">
        <x:v>petition rule and evidence scope were fixed before visibility</x:v>
      </x:c>
      <x:c r="K1228" s="17" t="str">
        <x:v>Conflict registrar</x:v>
      </x:c>
      <x:c r="L1228" s="9" t="n">
        <x:v>0</x:v>
      </x:c>
      <x:c r="M1228" s="9" t="n">
        <x:v>0</x:v>
      </x:c>
      <x:c r="N1228" s="9" t="str">
        <x:v>UNFILED / UNPROVEN</x:v>
      </x:c>
      <x:c r="O1228" s="9" t="n">
        <x:f>COUNTIFS($A$7:$A$1302,A1228)</x:f>
        <x:v>1</x:v>
      </x:c>
    </x:row>
    <x:row r="1229">
      <x:c r="A1229" s="9" t="str">
        <x:v>EV-AR-HU-A-B-TECH-4-B1-RCN-G0-IV08</x:v>
      </x:c>
      <x:c r="B1229" s="9" t="str">
        <x:v>EV-AR-HU-A-B-TECH-4-B1-RCN-G0</x:v>
      </x:c>
      <x:c r="C1229" s="9" t="str">
        <x:v>AR-HU-A-B-TECH-4-B1-RCN-G0</x:v>
      </x:c>
      <x:c r="D1229" s="9" t="str">
        <x:v>HU-A-B-TECH-4</x:v>
      </x:c>
      <x:c r="E1229" s="9" t="str">
        <x:v>HU-A-B</x:v>
      </x:c>
      <x:c r="F1229" s="9" t="str">
        <x:v>B1</x:v>
      </x:c>
      <x:c r="G1229" s="9" t="str">
        <x:v>RCN</x:v>
      </x:c>
      <x:c r="H1229" s="9" t="str">
        <x:v>IV08</x:v>
      </x:c>
      <x:c r="I1229" s="17" t="str">
        <x:v>Whole-record preservation</x:v>
      </x:c>
      <x:c r="J1229" s="17" t="str">
        <x:v>start, raw behavior, dissent and intervention remain in archive</x:v>
      </x:c>
      <x:c r="K1229" s="17" t="str">
        <x:v>Archive authority</x:v>
      </x:c>
      <x:c r="L1229" s="9" t="n">
        <x:v>0</x:v>
      </x:c>
      <x:c r="M1229" s="9" t="n">
        <x:v>0</x:v>
      </x:c>
      <x:c r="N1229" s="9" t="str">
        <x:v>UNFILED / UNPROVEN</x:v>
      </x:c>
      <x:c r="O1229" s="9" t="n">
        <x:f>COUNTIFS($A$7:$A$1302,A1229)</x:f>
        <x:v>1</x:v>
      </x:c>
    </x:row>
    <x:row r="1230">
      <x:c r="A1230" s="9" t="str">
        <x:v>EV-AR-HU-A-B-TECH-4-B1-RCN-G0-IV09</x:v>
      </x:c>
      <x:c r="B1230" s="9" t="str">
        <x:v>EV-AR-HU-A-B-TECH-4-B1-RCN-G0</x:v>
      </x:c>
      <x:c r="C1230" s="9" t="str">
        <x:v>AR-HU-A-B-TECH-4-B1-RCN-G0</x:v>
      </x:c>
      <x:c r="D1230" s="9" t="str">
        <x:v>HU-A-B-TECH-4</x:v>
      </x:c>
      <x:c r="E1230" s="9" t="str">
        <x:v>HU-A-B</x:v>
      </x:c>
      <x:c r="F1230" s="9" t="str">
        <x:v>B1</x:v>
      </x:c>
      <x:c r="G1230" s="9" t="str">
        <x:v>RCN</x:v>
      </x:c>
      <x:c r="H1230" s="9" t="str">
        <x:v>IV09</x:v>
      </x:c>
      <x:c r="I1230" s="17" t="str">
        <x:v>Bounded remedy</x:v>
      </x:c>
      <x:c r="J1230" s="17" t="str">
        <x:v>only a new slot and EOW may follow; no favorable credit or erased attempt</x:v>
      </x:c>
      <x:c r="K1230" s="17" t="str">
        <x:v>Invalidity court</x:v>
      </x:c>
      <x:c r="L1230" s="9" t="n">
        <x:v>0</x:v>
      </x:c>
      <x:c r="M1230" s="9" t="n">
        <x:v>0</x:v>
      </x:c>
      <x:c r="N1230" s="9" t="str">
        <x:v>UNFILED / UNPROVEN</x:v>
      </x:c>
      <x:c r="O1230" s="9" t="n">
        <x:f>COUNTIFS($A$7:$A$1302,A1230)</x:f>
        <x:v>1</x:v>
      </x:c>
    </x:row>
    <x:row r="1231">
      <x:c r="A1231" s="9" t="str">
        <x:v>EV-AR-RT-B-C-TECH-1-B1-INT-G0-IV01</x:v>
      </x:c>
      <x:c r="B1231" s="9" t="str">
        <x:v>EV-AR-RT-B-C-TECH-1-B1-INT-G0</x:v>
      </x:c>
      <x:c r="C1231" s="9" t="str">
        <x:v>AR-RT-B-C-TECH-1-B1-INT-G0</x:v>
      </x:c>
      <x:c r="D1231" s="9" t="str">
        <x:v>RT-B-C-TECH-1</x:v>
      </x:c>
      <x:c r="E1231" s="9" t="str">
        <x:v>RT-B-C</x:v>
      </x:c>
      <x:c r="F1231" s="9" t="str">
        <x:v>B1</x:v>
      </x:c>
      <x:c r="G1231" s="9" t="str">
        <x:v>INT</x:v>
      </x:c>
      <x:c r="H1231" s="9" t="str">
        <x:v>IV01</x:v>
      </x:c>
      <x:c r="I1231" s="17" t="str">
        <x:v>Timely petition</x:v>
      </x:c>
      <x:c r="J1231" s="17" t="str">
        <x:v>petition enters within seventy-two hours of event close</x:v>
      </x:c>
      <x:c r="K1231" s="17" t="str">
        <x:v>Invalidity registrar</x:v>
      </x:c>
      <x:c r="L1231" s="9" t="n">
        <x:v>0</x:v>
      </x:c>
      <x:c r="M1231" s="9" t="n">
        <x:v>0</x:v>
      </x:c>
      <x:c r="N1231" s="9" t="str">
        <x:v>UNFILED / UNPROVEN</x:v>
      </x:c>
      <x:c r="O1231" s="9" t="n">
        <x:f>COUNTIFS($A$7:$A$1302,A1231)</x:f>
        <x:v>1</x:v>
      </x:c>
    </x:row>
    <x:row r="1232">
      <x:c r="A1232" s="9" t="str">
        <x:v>EV-AR-RT-B-C-TECH-1-B1-INT-G0-IV02</x:v>
      </x:c>
      <x:c r="B1232" s="9" t="str">
        <x:v>EV-AR-RT-B-C-TECH-1-B1-INT-G0</x:v>
      </x:c>
      <x:c r="C1232" s="9" t="str">
        <x:v>AR-RT-B-C-TECH-1-B1-INT-G0</x:v>
      </x:c>
      <x:c r="D1232" s="9" t="str">
        <x:v>RT-B-C-TECH-1</x:v>
      </x:c>
      <x:c r="E1232" s="9" t="str">
        <x:v>RT-B-C</x:v>
      </x:c>
      <x:c r="F1232" s="9" t="str">
        <x:v>B1</x:v>
      </x:c>
      <x:c r="G1232" s="9" t="str">
        <x:v>INT</x:v>
      </x:c>
      <x:c r="H1232" s="9" t="str">
        <x:v>IV02</x:v>
      </x:c>
      <x:c r="I1232" s="17" t="str">
        <x:v>Named facility cause</x:v>
      </x:c>
      <x:c r="J1232" s="17" t="str">
        <x:v>one pre-registered noncandidate cause is identified</x:v>
      </x:c>
      <x:c r="K1232" s="17" t="str">
        <x:v>Facility-cause court</x:v>
      </x:c>
      <x:c r="L1232" s="9" t="n">
        <x:v>0</x:v>
      </x:c>
      <x:c r="M1232" s="9" t="n">
        <x:v>0</x:v>
      </x:c>
      <x:c r="N1232" s="9" t="str">
        <x:v>UNFILED / UNPROVEN</x:v>
      </x:c>
      <x:c r="O1232" s="9" t="n">
        <x:f>COUNTIFS($A$7:$A$1302,A1232)</x:f>
        <x:v>1</x:v>
      </x:c>
    </x:row>
    <x:row r="1233">
      <x:c r="A1233" s="9" t="str">
        <x:v>EV-AR-RT-B-C-TECH-1-B1-INT-G0-IV03</x:v>
      </x:c>
      <x:c r="B1233" s="9" t="str">
        <x:v>EV-AR-RT-B-C-TECH-1-B1-INT-G0</x:v>
      </x:c>
      <x:c r="C1233" s="9" t="str">
        <x:v>AR-RT-B-C-TECH-1-B1-INT-G0</x:v>
      </x:c>
      <x:c r="D1233" s="9" t="str">
        <x:v>RT-B-C-TECH-1</x:v>
      </x:c>
      <x:c r="E1233" s="9" t="str">
        <x:v>RT-B-C</x:v>
      </x:c>
      <x:c r="F1233" s="9" t="str">
        <x:v>B1</x:v>
      </x:c>
      <x:c r="G1233" s="9" t="str">
        <x:v>INT</x:v>
      </x:c>
      <x:c r="H1233" s="9" t="str">
        <x:v>IV03</x:v>
      </x:c>
      <x:c r="I1233" s="17" t="str">
        <x:v>Temporal priority</x:v>
      </x:c>
      <x:c r="J1233" s="17" t="str">
        <x:v>cause demonstrably precedes the disputed candidate behavior</x:v>
      </x:c>
      <x:c r="K1233" s="17" t="str">
        <x:v>Time authority</x:v>
      </x:c>
      <x:c r="L1233" s="9" t="n">
        <x:v>0</x:v>
      </x:c>
      <x:c r="M1233" s="9" t="n">
        <x:v>0</x:v>
      </x:c>
      <x:c r="N1233" s="9" t="str">
        <x:v>UNFILED / UNPROVEN</x:v>
      </x:c>
      <x:c r="O1233" s="9" t="n">
        <x:f>COUNTIFS($A$7:$A$1302,A1233)</x:f>
        <x:v>1</x:v>
      </x:c>
    </x:row>
    <x:row r="1234">
      <x:c r="A1234" s="9" t="str">
        <x:v>EV-AR-RT-B-C-TECH-1-B1-INT-G0-IV04</x:v>
      </x:c>
      <x:c r="B1234" s="9" t="str">
        <x:v>EV-AR-RT-B-C-TECH-1-B1-INT-G0</x:v>
      </x:c>
      <x:c r="C1234" s="9" t="str">
        <x:v>AR-RT-B-C-TECH-1-B1-INT-G0</x:v>
      </x:c>
      <x:c r="D1234" s="9" t="str">
        <x:v>RT-B-C-TECH-1</x:v>
      </x:c>
      <x:c r="E1234" s="9" t="str">
        <x:v>RT-B-C</x:v>
      </x:c>
      <x:c r="F1234" s="9" t="str">
        <x:v>B1</x:v>
      </x:c>
      <x:c r="G1234" s="9" t="str">
        <x:v>INT</x:v>
      </x:c>
      <x:c r="H1234" s="9" t="str">
        <x:v>IV04</x:v>
      </x:c>
      <x:c r="I1234" s="17" t="str">
        <x:v>Independent trace</x:v>
      </x:c>
      <x:c r="J1234" s="17" t="str">
        <x:v>two unlike records carry the cause without candidate custody</x:v>
      </x:c>
      <x:c r="K1234" s="17" t="str">
        <x:v>Invalidity court</x:v>
      </x:c>
      <x:c r="L1234" s="9" t="n">
        <x:v>0</x:v>
      </x:c>
      <x:c r="M1234" s="9" t="n">
        <x:v>0</x:v>
      </x:c>
      <x:c r="N1234" s="9" t="str">
        <x:v>UNFILED / UNPROVEN</x:v>
      </x:c>
      <x:c r="O1234" s="9" t="n">
        <x:f>COUNTIFS($A$7:$A$1302,A1234)</x:f>
        <x:v>1</x:v>
      </x:c>
    </x:row>
    <x:row r="1235">
      <x:c r="A1235" s="9" t="str">
        <x:v>EV-AR-RT-B-C-TECH-1-B1-INT-G0-IV05</x:v>
      </x:c>
      <x:c r="B1235" s="9" t="str">
        <x:v>EV-AR-RT-B-C-TECH-1-B1-INT-G0</x:v>
      </x:c>
      <x:c r="C1235" s="9" t="str">
        <x:v>AR-RT-B-C-TECH-1-B1-INT-G0</x:v>
      </x:c>
      <x:c r="D1235" s="9" t="str">
        <x:v>RT-B-C-TECH-1</x:v>
      </x:c>
      <x:c r="E1235" s="9" t="str">
        <x:v>RT-B-C</x:v>
      </x:c>
      <x:c r="F1235" s="9" t="str">
        <x:v>B1</x:v>
      </x:c>
      <x:c r="G1235" s="9" t="str">
        <x:v>INT</x:v>
      </x:c>
      <x:c r="H1235" s="9" t="str">
        <x:v>IV05</x:v>
      </x:c>
      <x:c r="I1235" s="17" t="str">
        <x:v>Causal counterfactual</x:v>
      </x:c>
      <x:c r="J1235" s="17" t="str">
        <x:v>registered counterfactual shows the cause can create the defect</x:v>
      </x:c>
      <x:c r="K1235" s="17" t="str">
        <x:v>Causal court</x:v>
      </x:c>
      <x:c r="L1235" s="9" t="n">
        <x:v>0</x:v>
      </x:c>
      <x:c r="M1235" s="9" t="n">
        <x:v>0</x:v>
      </x:c>
      <x:c r="N1235" s="9" t="str">
        <x:v>UNFILED / UNPROVEN</x:v>
      </x:c>
      <x:c r="O1235" s="9" t="n">
        <x:f>COUNTIFS($A$7:$A$1302,A1235)</x:f>
        <x:v>1</x:v>
      </x:c>
    </x:row>
    <x:row r="1236">
      <x:c r="A1236" s="9" t="str">
        <x:v>EV-AR-RT-B-C-TECH-1-B1-INT-G0-IV06</x:v>
      </x:c>
      <x:c r="B1236" s="9" t="str">
        <x:v>EV-AR-RT-B-C-TECH-1-B1-INT-G0</x:v>
      </x:c>
      <x:c r="C1236" s="9" t="str">
        <x:v>AR-RT-B-C-TECH-1-B1-INT-G0</x:v>
      </x:c>
      <x:c r="D1236" s="9" t="str">
        <x:v>RT-B-C-TECH-1</x:v>
      </x:c>
      <x:c r="E1236" s="9" t="str">
        <x:v>RT-B-C</x:v>
      </x:c>
      <x:c r="F1236" s="9" t="str">
        <x:v>B1</x:v>
      </x:c>
      <x:c r="G1236" s="9" t="str">
        <x:v>INT</x:v>
      </x:c>
      <x:c r="H1236" s="9" t="str">
        <x:v>IV06</x:v>
      </x:c>
      <x:c r="I1236" s="17" t="str">
        <x:v>Candidate non-causation</x:v>
      </x:c>
      <x:c r="J1236" s="17" t="str">
        <x:v>evidence excludes candidate induction of the facility condition</x:v>
      </x:c>
      <x:c r="K1236" s="17" t="str">
        <x:v>Causal court</x:v>
      </x:c>
      <x:c r="L1236" s="9" t="n">
        <x:v>0</x:v>
      </x:c>
      <x:c r="M1236" s="9" t="n">
        <x:v>0</x:v>
      </x:c>
      <x:c r="N1236" s="9" t="str">
        <x:v>UNFILED / UNPROVEN</x:v>
      </x:c>
      <x:c r="O1236" s="9" t="n">
        <x:f>COUNTIFS($A$7:$A$1302,A1236)</x:f>
        <x:v>1</x:v>
      </x:c>
    </x:row>
    <x:row r="1237">
      <x:c r="A1237" s="9" t="str">
        <x:v>EV-AR-RT-B-C-TECH-1-B1-INT-G0-IV07</x:v>
      </x:c>
      <x:c r="B1237" s="9" t="str">
        <x:v>EV-AR-RT-B-C-TECH-1-B1-INT-G0</x:v>
      </x:c>
      <x:c r="C1237" s="9" t="str">
        <x:v>AR-RT-B-C-TECH-1-B1-INT-G0</x:v>
      </x:c>
      <x:c r="D1237" s="9" t="str">
        <x:v>RT-B-C-TECH-1</x:v>
      </x:c>
      <x:c r="E1237" s="9" t="str">
        <x:v>RT-B-C</x:v>
      </x:c>
      <x:c r="F1237" s="9" t="str">
        <x:v>B1</x:v>
      </x:c>
      <x:c r="G1237" s="9" t="str">
        <x:v>INT</x:v>
      </x:c>
      <x:c r="H1237" s="9" t="str">
        <x:v>IV07</x:v>
      </x:c>
      <x:c r="I1237" s="17" t="str">
        <x:v>No outcome selection</x:v>
      </x:c>
      <x:c r="J1237" s="17" t="str">
        <x:v>petition rule and evidence scope were fixed before visibility</x:v>
      </x:c>
      <x:c r="K1237" s="17" t="str">
        <x:v>Conflict registrar</x:v>
      </x:c>
      <x:c r="L1237" s="9" t="n">
        <x:v>0</x:v>
      </x:c>
      <x:c r="M1237" s="9" t="n">
        <x:v>0</x:v>
      </x:c>
      <x:c r="N1237" s="9" t="str">
        <x:v>UNFILED / UNPROVEN</x:v>
      </x:c>
      <x:c r="O1237" s="9" t="n">
        <x:f>COUNTIFS($A$7:$A$1302,A1237)</x:f>
        <x:v>1</x:v>
      </x:c>
    </x:row>
    <x:row r="1238">
      <x:c r="A1238" s="9" t="str">
        <x:v>EV-AR-RT-B-C-TECH-1-B1-INT-G0-IV08</x:v>
      </x:c>
      <x:c r="B1238" s="9" t="str">
        <x:v>EV-AR-RT-B-C-TECH-1-B1-INT-G0</x:v>
      </x:c>
      <x:c r="C1238" s="9" t="str">
        <x:v>AR-RT-B-C-TECH-1-B1-INT-G0</x:v>
      </x:c>
      <x:c r="D1238" s="9" t="str">
        <x:v>RT-B-C-TECH-1</x:v>
      </x:c>
      <x:c r="E1238" s="9" t="str">
        <x:v>RT-B-C</x:v>
      </x:c>
      <x:c r="F1238" s="9" t="str">
        <x:v>B1</x:v>
      </x:c>
      <x:c r="G1238" s="9" t="str">
        <x:v>INT</x:v>
      </x:c>
      <x:c r="H1238" s="9" t="str">
        <x:v>IV08</x:v>
      </x:c>
      <x:c r="I1238" s="17" t="str">
        <x:v>Whole-record preservation</x:v>
      </x:c>
      <x:c r="J1238" s="17" t="str">
        <x:v>start, raw behavior, dissent and intervention remain in archive</x:v>
      </x:c>
      <x:c r="K1238" s="17" t="str">
        <x:v>Archive authority</x:v>
      </x:c>
      <x:c r="L1238" s="9" t="n">
        <x:v>0</x:v>
      </x:c>
      <x:c r="M1238" s="9" t="n">
        <x:v>0</x:v>
      </x:c>
      <x:c r="N1238" s="9" t="str">
        <x:v>UNFILED / UNPROVEN</x:v>
      </x:c>
      <x:c r="O1238" s="9" t="n">
        <x:f>COUNTIFS($A$7:$A$1302,A1238)</x:f>
        <x:v>1</x:v>
      </x:c>
    </x:row>
    <x:row r="1239">
      <x:c r="A1239" s="9" t="str">
        <x:v>EV-AR-RT-B-C-TECH-1-B1-INT-G0-IV09</x:v>
      </x:c>
      <x:c r="B1239" s="9" t="str">
        <x:v>EV-AR-RT-B-C-TECH-1-B1-INT-G0</x:v>
      </x:c>
      <x:c r="C1239" s="9" t="str">
        <x:v>AR-RT-B-C-TECH-1-B1-INT-G0</x:v>
      </x:c>
      <x:c r="D1239" s="9" t="str">
        <x:v>RT-B-C-TECH-1</x:v>
      </x:c>
      <x:c r="E1239" s="9" t="str">
        <x:v>RT-B-C</x:v>
      </x:c>
      <x:c r="F1239" s="9" t="str">
        <x:v>B1</x:v>
      </x:c>
      <x:c r="G1239" s="9" t="str">
        <x:v>INT</x:v>
      </x:c>
      <x:c r="H1239" s="9" t="str">
        <x:v>IV09</x:v>
      </x:c>
      <x:c r="I1239" s="17" t="str">
        <x:v>Bounded remedy</x:v>
      </x:c>
      <x:c r="J1239" s="17" t="str">
        <x:v>only a new slot and EOW may follow; no favorable credit or erased attempt</x:v>
      </x:c>
      <x:c r="K1239" s="17" t="str">
        <x:v>Invalidity court</x:v>
      </x:c>
      <x:c r="L1239" s="9" t="n">
        <x:v>0</x:v>
      </x:c>
      <x:c r="M1239" s="9" t="n">
        <x:v>0</x:v>
      </x:c>
      <x:c r="N1239" s="9" t="str">
        <x:v>UNFILED / UNPROVEN</x:v>
      </x:c>
      <x:c r="O1239" s="9" t="n">
        <x:f>COUNTIFS($A$7:$A$1302,A1239)</x:f>
        <x:v>1</x:v>
      </x:c>
    </x:row>
    <x:row r="1240">
      <x:c r="A1240" s="9" t="str">
        <x:v>EV-AR-RT-B-C-TECH-4-B2-BRK-G0-IV01</x:v>
      </x:c>
      <x:c r="B1240" s="9" t="str">
        <x:v>EV-AR-RT-B-C-TECH-4-B2-BRK-G0</x:v>
      </x:c>
      <x:c r="C1240" s="9" t="str">
        <x:v>AR-RT-B-C-TECH-4-B2-BRK-G0</x:v>
      </x:c>
      <x:c r="D1240" s="9" t="str">
        <x:v>RT-B-C-TECH-4</x:v>
      </x:c>
      <x:c r="E1240" s="9" t="str">
        <x:v>RT-B-C</x:v>
      </x:c>
      <x:c r="F1240" s="9" t="str">
        <x:v>B2</x:v>
      </x:c>
      <x:c r="G1240" s="9" t="str">
        <x:v>BRK</x:v>
      </x:c>
      <x:c r="H1240" s="9" t="str">
        <x:v>IV01</x:v>
      </x:c>
      <x:c r="I1240" s="17" t="str">
        <x:v>Timely petition</x:v>
      </x:c>
      <x:c r="J1240" s="17" t="str">
        <x:v>petition enters within seventy-two hours of event close</x:v>
      </x:c>
      <x:c r="K1240" s="17" t="str">
        <x:v>Invalidity registrar</x:v>
      </x:c>
      <x:c r="L1240" s="9" t="n">
        <x:v>0</x:v>
      </x:c>
      <x:c r="M1240" s="9" t="n">
        <x:v>0</x:v>
      </x:c>
      <x:c r="N1240" s="9" t="str">
        <x:v>UNFILED / UNPROVEN</x:v>
      </x:c>
      <x:c r="O1240" s="9" t="n">
        <x:f>COUNTIFS($A$7:$A$1302,A1240)</x:f>
        <x:v>1</x:v>
      </x:c>
    </x:row>
    <x:row r="1241">
      <x:c r="A1241" s="9" t="str">
        <x:v>EV-AR-RT-B-C-TECH-4-B2-BRK-G0-IV02</x:v>
      </x:c>
      <x:c r="B1241" s="9" t="str">
        <x:v>EV-AR-RT-B-C-TECH-4-B2-BRK-G0</x:v>
      </x:c>
      <x:c r="C1241" s="9" t="str">
        <x:v>AR-RT-B-C-TECH-4-B2-BRK-G0</x:v>
      </x:c>
      <x:c r="D1241" s="9" t="str">
        <x:v>RT-B-C-TECH-4</x:v>
      </x:c>
      <x:c r="E1241" s="9" t="str">
        <x:v>RT-B-C</x:v>
      </x:c>
      <x:c r="F1241" s="9" t="str">
        <x:v>B2</x:v>
      </x:c>
      <x:c r="G1241" s="9" t="str">
        <x:v>BRK</x:v>
      </x:c>
      <x:c r="H1241" s="9" t="str">
        <x:v>IV02</x:v>
      </x:c>
      <x:c r="I1241" s="17" t="str">
        <x:v>Named facility cause</x:v>
      </x:c>
      <x:c r="J1241" s="17" t="str">
        <x:v>one pre-registered noncandidate cause is identified</x:v>
      </x:c>
      <x:c r="K1241" s="17" t="str">
        <x:v>Facility-cause court</x:v>
      </x:c>
      <x:c r="L1241" s="9" t="n">
        <x:v>0</x:v>
      </x:c>
      <x:c r="M1241" s="9" t="n">
        <x:v>0</x:v>
      </x:c>
      <x:c r="N1241" s="9" t="str">
        <x:v>UNFILED / UNPROVEN</x:v>
      </x:c>
      <x:c r="O1241" s="9" t="n">
        <x:f>COUNTIFS($A$7:$A$1302,A1241)</x:f>
        <x:v>1</x:v>
      </x:c>
    </x:row>
    <x:row r="1242">
      <x:c r="A1242" s="9" t="str">
        <x:v>EV-AR-RT-B-C-TECH-4-B2-BRK-G0-IV03</x:v>
      </x:c>
      <x:c r="B1242" s="9" t="str">
        <x:v>EV-AR-RT-B-C-TECH-4-B2-BRK-G0</x:v>
      </x:c>
      <x:c r="C1242" s="9" t="str">
        <x:v>AR-RT-B-C-TECH-4-B2-BRK-G0</x:v>
      </x:c>
      <x:c r="D1242" s="9" t="str">
        <x:v>RT-B-C-TECH-4</x:v>
      </x:c>
      <x:c r="E1242" s="9" t="str">
        <x:v>RT-B-C</x:v>
      </x:c>
      <x:c r="F1242" s="9" t="str">
        <x:v>B2</x:v>
      </x:c>
      <x:c r="G1242" s="9" t="str">
        <x:v>BRK</x:v>
      </x:c>
      <x:c r="H1242" s="9" t="str">
        <x:v>IV03</x:v>
      </x:c>
      <x:c r="I1242" s="17" t="str">
        <x:v>Temporal priority</x:v>
      </x:c>
      <x:c r="J1242" s="17" t="str">
        <x:v>cause demonstrably precedes the disputed candidate behavior</x:v>
      </x:c>
      <x:c r="K1242" s="17" t="str">
        <x:v>Time authority</x:v>
      </x:c>
      <x:c r="L1242" s="9" t="n">
        <x:v>0</x:v>
      </x:c>
      <x:c r="M1242" s="9" t="n">
        <x:v>0</x:v>
      </x:c>
      <x:c r="N1242" s="9" t="str">
        <x:v>UNFILED / UNPROVEN</x:v>
      </x:c>
      <x:c r="O1242" s="9" t="n">
        <x:f>COUNTIFS($A$7:$A$1302,A1242)</x:f>
        <x:v>1</x:v>
      </x:c>
    </x:row>
    <x:row r="1243">
      <x:c r="A1243" s="9" t="str">
        <x:v>EV-AR-RT-B-C-TECH-4-B2-BRK-G0-IV04</x:v>
      </x:c>
      <x:c r="B1243" s="9" t="str">
        <x:v>EV-AR-RT-B-C-TECH-4-B2-BRK-G0</x:v>
      </x:c>
      <x:c r="C1243" s="9" t="str">
        <x:v>AR-RT-B-C-TECH-4-B2-BRK-G0</x:v>
      </x:c>
      <x:c r="D1243" s="9" t="str">
        <x:v>RT-B-C-TECH-4</x:v>
      </x:c>
      <x:c r="E1243" s="9" t="str">
        <x:v>RT-B-C</x:v>
      </x:c>
      <x:c r="F1243" s="9" t="str">
        <x:v>B2</x:v>
      </x:c>
      <x:c r="G1243" s="9" t="str">
        <x:v>BRK</x:v>
      </x:c>
      <x:c r="H1243" s="9" t="str">
        <x:v>IV04</x:v>
      </x:c>
      <x:c r="I1243" s="17" t="str">
        <x:v>Independent trace</x:v>
      </x:c>
      <x:c r="J1243" s="17" t="str">
        <x:v>two unlike records carry the cause without candidate custody</x:v>
      </x:c>
      <x:c r="K1243" s="17" t="str">
        <x:v>Invalidity court</x:v>
      </x:c>
      <x:c r="L1243" s="9" t="n">
        <x:v>0</x:v>
      </x:c>
      <x:c r="M1243" s="9" t="n">
        <x:v>0</x:v>
      </x:c>
      <x:c r="N1243" s="9" t="str">
        <x:v>UNFILED / UNPROVEN</x:v>
      </x:c>
      <x:c r="O1243" s="9" t="n">
        <x:f>COUNTIFS($A$7:$A$1302,A1243)</x:f>
        <x:v>1</x:v>
      </x:c>
    </x:row>
    <x:row r="1244">
      <x:c r="A1244" s="9" t="str">
        <x:v>EV-AR-RT-B-C-TECH-4-B2-BRK-G0-IV05</x:v>
      </x:c>
      <x:c r="B1244" s="9" t="str">
        <x:v>EV-AR-RT-B-C-TECH-4-B2-BRK-G0</x:v>
      </x:c>
      <x:c r="C1244" s="9" t="str">
        <x:v>AR-RT-B-C-TECH-4-B2-BRK-G0</x:v>
      </x:c>
      <x:c r="D1244" s="9" t="str">
        <x:v>RT-B-C-TECH-4</x:v>
      </x:c>
      <x:c r="E1244" s="9" t="str">
        <x:v>RT-B-C</x:v>
      </x:c>
      <x:c r="F1244" s="9" t="str">
        <x:v>B2</x:v>
      </x:c>
      <x:c r="G1244" s="9" t="str">
        <x:v>BRK</x:v>
      </x:c>
      <x:c r="H1244" s="9" t="str">
        <x:v>IV05</x:v>
      </x:c>
      <x:c r="I1244" s="17" t="str">
        <x:v>Causal counterfactual</x:v>
      </x:c>
      <x:c r="J1244" s="17" t="str">
        <x:v>registered counterfactual shows the cause can create the defect</x:v>
      </x:c>
      <x:c r="K1244" s="17" t="str">
        <x:v>Causal court</x:v>
      </x:c>
      <x:c r="L1244" s="9" t="n">
        <x:v>0</x:v>
      </x:c>
      <x:c r="M1244" s="9" t="n">
        <x:v>0</x:v>
      </x:c>
      <x:c r="N1244" s="9" t="str">
        <x:v>UNFILED / UNPROVEN</x:v>
      </x:c>
      <x:c r="O1244" s="9" t="n">
        <x:f>COUNTIFS($A$7:$A$1302,A1244)</x:f>
        <x:v>1</x:v>
      </x:c>
    </x:row>
    <x:row r="1245">
      <x:c r="A1245" s="9" t="str">
        <x:v>EV-AR-RT-B-C-TECH-4-B2-BRK-G0-IV06</x:v>
      </x:c>
      <x:c r="B1245" s="9" t="str">
        <x:v>EV-AR-RT-B-C-TECH-4-B2-BRK-G0</x:v>
      </x:c>
      <x:c r="C1245" s="9" t="str">
        <x:v>AR-RT-B-C-TECH-4-B2-BRK-G0</x:v>
      </x:c>
      <x:c r="D1245" s="9" t="str">
        <x:v>RT-B-C-TECH-4</x:v>
      </x:c>
      <x:c r="E1245" s="9" t="str">
        <x:v>RT-B-C</x:v>
      </x:c>
      <x:c r="F1245" s="9" t="str">
        <x:v>B2</x:v>
      </x:c>
      <x:c r="G1245" s="9" t="str">
        <x:v>BRK</x:v>
      </x:c>
      <x:c r="H1245" s="9" t="str">
        <x:v>IV06</x:v>
      </x:c>
      <x:c r="I1245" s="17" t="str">
        <x:v>Candidate non-causation</x:v>
      </x:c>
      <x:c r="J1245" s="17" t="str">
        <x:v>evidence excludes candidate induction of the facility condition</x:v>
      </x:c>
      <x:c r="K1245" s="17" t="str">
        <x:v>Causal court</x:v>
      </x:c>
      <x:c r="L1245" s="9" t="n">
        <x:v>0</x:v>
      </x:c>
      <x:c r="M1245" s="9" t="n">
        <x:v>0</x:v>
      </x:c>
      <x:c r="N1245" s="9" t="str">
        <x:v>UNFILED / UNPROVEN</x:v>
      </x:c>
      <x:c r="O1245" s="9" t="n">
        <x:f>COUNTIFS($A$7:$A$1302,A1245)</x:f>
        <x:v>1</x:v>
      </x:c>
    </x:row>
    <x:row r="1246">
      <x:c r="A1246" s="9" t="str">
        <x:v>EV-AR-RT-B-C-TECH-4-B2-BRK-G0-IV07</x:v>
      </x:c>
      <x:c r="B1246" s="9" t="str">
        <x:v>EV-AR-RT-B-C-TECH-4-B2-BRK-G0</x:v>
      </x:c>
      <x:c r="C1246" s="9" t="str">
        <x:v>AR-RT-B-C-TECH-4-B2-BRK-G0</x:v>
      </x:c>
      <x:c r="D1246" s="9" t="str">
        <x:v>RT-B-C-TECH-4</x:v>
      </x:c>
      <x:c r="E1246" s="9" t="str">
        <x:v>RT-B-C</x:v>
      </x:c>
      <x:c r="F1246" s="9" t="str">
        <x:v>B2</x:v>
      </x:c>
      <x:c r="G1246" s="9" t="str">
        <x:v>BRK</x:v>
      </x:c>
      <x:c r="H1246" s="9" t="str">
        <x:v>IV07</x:v>
      </x:c>
      <x:c r="I1246" s="17" t="str">
        <x:v>No outcome selection</x:v>
      </x:c>
      <x:c r="J1246" s="17" t="str">
        <x:v>petition rule and evidence scope were fixed before visibility</x:v>
      </x:c>
      <x:c r="K1246" s="17" t="str">
        <x:v>Conflict registrar</x:v>
      </x:c>
      <x:c r="L1246" s="9" t="n">
        <x:v>0</x:v>
      </x:c>
      <x:c r="M1246" s="9" t="n">
        <x:v>0</x:v>
      </x:c>
      <x:c r="N1246" s="9" t="str">
        <x:v>UNFILED / UNPROVEN</x:v>
      </x:c>
      <x:c r="O1246" s="9" t="n">
        <x:f>COUNTIFS($A$7:$A$1302,A1246)</x:f>
        <x:v>1</x:v>
      </x:c>
    </x:row>
    <x:row r="1247">
      <x:c r="A1247" s="9" t="str">
        <x:v>EV-AR-RT-B-C-TECH-4-B2-BRK-G0-IV08</x:v>
      </x:c>
      <x:c r="B1247" s="9" t="str">
        <x:v>EV-AR-RT-B-C-TECH-4-B2-BRK-G0</x:v>
      </x:c>
      <x:c r="C1247" s="9" t="str">
        <x:v>AR-RT-B-C-TECH-4-B2-BRK-G0</x:v>
      </x:c>
      <x:c r="D1247" s="9" t="str">
        <x:v>RT-B-C-TECH-4</x:v>
      </x:c>
      <x:c r="E1247" s="9" t="str">
        <x:v>RT-B-C</x:v>
      </x:c>
      <x:c r="F1247" s="9" t="str">
        <x:v>B2</x:v>
      </x:c>
      <x:c r="G1247" s="9" t="str">
        <x:v>BRK</x:v>
      </x:c>
      <x:c r="H1247" s="9" t="str">
        <x:v>IV08</x:v>
      </x:c>
      <x:c r="I1247" s="17" t="str">
        <x:v>Whole-record preservation</x:v>
      </x:c>
      <x:c r="J1247" s="17" t="str">
        <x:v>start, raw behavior, dissent and intervention remain in archive</x:v>
      </x:c>
      <x:c r="K1247" s="17" t="str">
        <x:v>Archive authority</x:v>
      </x:c>
      <x:c r="L1247" s="9" t="n">
        <x:v>0</x:v>
      </x:c>
      <x:c r="M1247" s="9" t="n">
        <x:v>0</x:v>
      </x:c>
      <x:c r="N1247" s="9" t="str">
        <x:v>UNFILED / UNPROVEN</x:v>
      </x:c>
      <x:c r="O1247" s="9" t="n">
        <x:f>COUNTIFS($A$7:$A$1302,A1247)</x:f>
        <x:v>1</x:v>
      </x:c>
    </x:row>
    <x:row r="1248">
      <x:c r="A1248" s="9" t="str">
        <x:v>EV-AR-RT-B-C-TECH-4-B2-BRK-G0-IV09</x:v>
      </x:c>
      <x:c r="B1248" s="9" t="str">
        <x:v>EV-AR-RT-B-C-TECH-4-B2-BRK-G0</x:v>
      </x:c>
      <x:c r="C1248" s="9" t="str">
        <x:v>AR-RT-B-C-TECH-4-B2-BRK-G0</x:v>
      </x:c>
      <x:c r="D1248" s="9" t="str">
        <x:v>RT-B-C-TECH-4</x:v>
      </x:c>
      <x:c r="E1248" s="9" t="str">
        <x:v>RT-B-C</x:v>
      </x:c>
      <x:c r="F1248" s="9" t="str">
        <x:v>B2</x:v>
      </x:c>
      <x:c r="G1248" s="9" t="str">
        <x:v>BRK</x:v>
      </x:c>
      <x:c r="H1248" s="9" t="str">
        <x:v>IV09</x:v>
      </x:c>
      <x:c r="I1248" s="17" t="str">
        <x:v>Bounded remedy</x:v>
      </x:c>
      <x:c r="J1248" s="17" t="str">
        <x:v>only a new slot and EOW may follow; no favorable credit or erased attempt</x:v>
      </x:c>
      <x:c r="K1248" s="17" t="str">
        <x:v>Invalidity court</x:v>
      </x:c>
      <x:c r="L1248" s="9" t="n">
        <x:v>0</x:v>
      </x:c>
      <x:c r="M1248" s="9" t="n">
        <x:v>0</x:v>
      </x:c>
      <x:c r="N1248" s="9" t="str">
        <x:v>UNFILED / UNPROVEN</x:v>
      </x:c>
      <x:c r="O1248" s="9" t="n">
        <x:f>COUNTIFS($A$7:$A$1302,A1248)</x:f>
        <x:v>1</x:v>
      </x:c>
    </x:row>
    <x:row r="1249">
      <x:c r="A1249" s="9" t="str">
        <x:v>EV-AR-CT-C-B-TECH-2-B2-BRK-G0-IV01</x:v>
      </x:c>
      <x:c r="B1249" s="9" t="str">
        <x:v>EV-AR-CT-C-B-TECH-2-B2-BRK-G0</x:v>
      </x:c>
      <x:c r="C1249" s="9" t="str">
        <x:v>AR-CT-C-B-TECH-2-B2-BRK-G0</x:v>
      </x:c>
      <x:c r="D1249" s="9" t="str">
        <x:v>CT-C-B-TECH-2</x:v>
      </x:c>
      <x:c r="E1249" s="9" t="str">
        <x:v>CT-C-B</x:v>
      </x:c>
      <x:c r="F1249" s="9" t="str">
        <x:v>B2</x:v>
      </x:c>
      <x:c r="G1249" s="9" t="str">
        <x:v>BRK</x:v>
      </x:c>
      <x:c r="H1249" s="9" t="str">
        <x:v>IV01</x:v>
      </x:c>
      <x:c r="I1249" s="17" t="str">
        <x:v>Timely petition</x:v>
      </x:c>
      <x:c r="J1249" s="17" t="str">
        <x:v>petition enters within seventy-two hours of event close</x:v>
      </x:c>
      <x:c r="K1249" s="17" t="str">
        <x:v>Invalidity registrar</x:v>
      </x:c>
      <x:c r="L1249" s="9" t="n">
        <x:v>0</x:v>
      </x:c>
      <x:c r="M1249" s="9" t="n">
        <x:v>0</x:v>
      </x:c>
      <x:c r="N1249" s="9" t="str">
        <x:v>UNFILED / UNPROVEN</x:v>
      </x:c>
      <x:c r="O1249" s="9" t="n">
        <x:f>COUNTIFS($A$7:$A$1302,A1249)</x:f>
        <x:v>1</x:v>
      </x:c>
    </x:row>
    <x:row r="1250">
      <x:c r="A1250" s="9" t="str">
        <x:v>EV-AR-CT-C-B-TECH-2-B2-BRK-G0-IV02</x:v>
      </x:c>
      <x:c r="B1250" s="9" t="str">
        <x:v>EV-AR-CT-C-B-TECH-2-B2-BRK-G0</x:v>
      </x:c>
      <x:c r="C1250" s="9" t="str">
        <x:v>AR-CT-C-B-TECH-2-B2-BRK-G0</x:v>
      </x:c>
      <x:c r="D1250" s="9" t="str">
        <x:v>CT-C-B-TECH-2</x:v>
      </x:c>
      <x:c r="E1250" s="9" t="str">
        <x:v>CT-C-B</x:v>
      </x:c>
      <x:c r="F1250" s="9" t="str">
        <x:v>B2</x:v>
      </x:c>
      <x:c r="G1250" s="9" t="str">
        <x:v>BRK</x:v>
      </x:c>
      <x:c r="H1250" s="9" t="str">
        <x:v>IV02</x:v>
      </x:c>
      <x:c r="I1250" s="17" t="str">
        <x:v>Named facility cause</x:v>
      </x:c>
      <x:c r="J1250" s="17" t="str">
        <x:v>one pre-registered noncandidate cause is identified</x:v>
      </x:c>
      <x:c r="K1250" s="17" t="str">
        <x:v>Facility-cause court</x:v>
      </x:c>
      <x:c r="L1250" s="9" t="n">
        <x:v>0</x:v>
      </x:c>
      <x:c r="M1250" s="9" t="n">
        <x:v>0</x:v>
      </x:c>
      <x:c r="N1250" s="9" t="str">
        <x:v>UNFILED / UNPROVEN</x:v>
      </x:c>
      <x:c r="O1250" s="9" t="n">
        <x:f>COUNTIFS($A$7:$A$1302,A1250)</x:f>
        <x:v>1</x:v>
      </x:c>
    </x:row>
    <x:row r="1251">
      <x:c r="A1251" s="9" t="str">
        <x:v>EV-AR-CT-C-B-TECH-2-B2-BRK-G0-IV03</x:v>
      </x:c>
      <x:c r="B1251" s="9" t="str">
        <x:v>EV-AR-CT-C-B-TECH-2-B2-BRK-G0</x:v>
      </x:c>
      <x:c r="C1251" s="9" t="str">
        <x:v>AR-CT-C-B-TECH-2-B2-BRK-G0</x:v>
      </x:c>
      <x:c r="D1251" s="9" t="str">
        <x:v>CT-C-B-TECH-2</x:v>
      </x:c>
      <x:c r="E1251" s="9" t="str">
        <x:v>CT-C-B</x:v>
      </x:c>
      <x:c r="F1251" s="9" t="str">
        <x:v>B2</x:v>
      </x:c>
      <x:c r="G1251" s="9" t="str">
        <x:v>BRK</x:v>
      </x:c>
      <x:c r="H1251" s="9" t="str">
        <x:v>IV03</x:v>
      </x:c>
      <x:c r="I1251" s="17" t="str">
        <x:v>Temporal priority</x:v>
      </x:c>
      <x:c r="J1251" s="17" t="str">
        <x:v>cause demonstrably precedes the disputed candidate behavior</x:v>
      </x:c>
      <x:c r="K1251" s="17" t="str">
        <x:v>Time authority</x:v>
      </x:c>
      <x:c r="L1251" s="9" t="n">
        <x:v>0</x:v>
      </x:c>
      <x:c r="M1251" s="9" t="n">
        <x:v>0</x:v>
      </x:c>
      <x:c r="N1251" s="9" t="str">
        <x:v>UNFILED / UNPROVEN</x:v>
      </x:c>
      <x:c r="O1251" s="9" t="n">
        <x:f>COUNTIFS($A$7:$A$1302,A1251)</x:f>
        <x:v>1</x:v>
      </x:c>
    </x:row>
    <x:row r="1252">
      <x:c r="A1252" s="9" t="str">
        <x:v>EV-AR-CT-C-B-TECH-2-B2-BRK-G0-IV04</x:v>
      </x:c>
      <x:c r="B1252" s="9" t="str">
        <x:v>EV-AR-CT-C-B-TECH-2-B2-BRK-G0</x:v>
      </x:c>
      <x:c r="C1252" s="9" t="str">
        <x:v>AR-CT-C-B-TECH-2-B2-BRK-G0</x:v>
      </x:c>
      <x:c r="D1252" s="9" t="str">
        <x:v>CT-C-B-TECH-2</x:v>
      </x:c>
      <x:c r="E1252" s="9" t="str">
        <x:v>CT-C-B</x:v>
      </x:c>
      <x:c r="F1252" s="9" t="str">
        <x:v>B2</x:v>
      </x:c>
      <x:c r="G1252" s="9" t="str">
        <x:v>BRK</x:v>
      </x:c>
      <x:c r="H1252" s="9" t="str">
        <x:v>IV04</x:v>
      </x:c>
      <x:c r="I1252" s="17" t="str">
        <x:v>Independent trace</x:v>
      </x:c>
      <x:c r="J1252" s="17" t="str">
        <x:v>two unlike records carry the cause without candidate custody</x:v>
      </x:c>
      <x:c r="K1252" s="17" t="str">
        <x:v>Invalidity court</x:v>
      </x:c>
      <x:c r="L1252" s="9" t="n">
        <x:v>0</x:v>
      </x:c>
      <x:c r="M1252" s="9" t="n">
        <x:v>0</x:v>
      </x:c>
      <x:c r="N1252" s="9" t="str">
        <x:v>UNFILED / UNPROVEN</x:v>
      </x:c>
      <x:c r="O1252" s="9" t="n">
        <x:f>COUNTIFS($A$7:$A$1302,A1252)</x:f>
        <x:v>1</x:v>
      </x:c>
    </x:row>
    <x:row r="1253">
      <x:c r="A1253" s="9" t="str">
        <x:v>EV-AR-CT-C-B-TECH-2-B2-BRK-G0-IV05</x:v>
      </x:c>
      <x:c r="B1253" s="9" t="str">
        <x:v>EV-AR-CT-C-B-TECH-2-B2-BRK-G0</x:v>
      </x:c>
      <x:c r="C1253" s="9" t="str">
        <x:v>AR-CT-C-B-TECH-2-B2-BRK-G0</x:v>
      </x:c>
      <x:c r="D1253" s="9" t="str">
        <x:v>CT-C-B-TECH-2</x:v>
      </x:c>
      <x:c r="E1253" s="9" t="str">
        <x:v>CT-C-B</x:v>
      </x:c>
      <x:c r="F1253" s="9" t="str">
        <x:v>B2</x:v>
      </x:c>
      <x:c r="G1253" s="9" t="str">
        <x:v>BRK</x:v>
      </x:c>
      <x:c r="H1253" s="9" t="str">
        <x:v>IV05</x:v>
      </x:c>
      <x:c r="I1253" s="17" t="str">
        <x:v>Causal counterfactual</x:v>
      </x:c>
      <x:c r="J1253" s="17" t="str">
        <x:v>registered counterfactual shows the cause can create the defect</x:v>
      </x:c>
      <x:c r="K1253" s="17" t="str">
        <x:v>Causal court</x:v>
      </x:c>
      <x:c r="L1253" s="9" t="n">
        <x:v>0</x:v>
      </x:c>
      <x:c r="M1253" s="9" t="n">
        <x:v>0</x:v>
      </x:c>
      <x:c r="N1253" s="9" t="str">
        <x:v>UNFILED / UNPROVEN</x:v>
      </x:c>
      <x:c r="O1253" s="9" t="n">
        <x:f>COUNTIFS($A$7:$A$1302,A1253)</x:f>
        <x:v>1</x:v>
      </x:c>
    </x:row>
    <x:row r="1254">
      <x:c r="A1254" s="9" t="str">
        <x:v>EV-AR-CT-C-B-TECH-2-B2-BRK-G0-IV06</x:v>
      </x:c>
      <x:c r="B1254" s="9" t="str">
        <x:v>EV-AR-CT-C-B-TECH-2-B2-BRK-G0</x:v>
      </x:c>
      <x:c r="C1254" s="9" t="str">
        <x:v>AR-CT-C-B-TECH-2-B2-BRK-G0</x:v>
      </x:c>
      <x:c r="D1254" s="9" t="str">
        <x:v>CT-C-B-TECH-2</x:v>
      </x:c>
      <x:c r="E1254" s="9" t="str">
        <x:v>CT-C-B</x:v>
      </x:c>
      <x:c r="F1254" s="9" t="str">
        <x:v>B2</x:v>
      </x:c>
      <x:c r="G1254" s="9" t="str">
        <x:v>BRK</x:v>
      </x:c>
      <x:c r="H1254" s="9" t="str">
        <x:v>IV06</x:v>
      </x:c>
      <x:c r="I1254" s="17" t="str">
        <x:v>Candidate non-causation</x:v>
      </x:c>
      <x:c r="J1254" s="17" t="str">
        <x:v>evidence excludes candidate induction of the facility condition</x:v>
      </x:c>
      <x:c r="K1254" s="17" t="str">
        <x:v>Causal court</x:v>
      </x:c>
      <x:c r="L1254" s="9" t="n">
        <x:v>0</x:v>
      </x:c>
      <x:c r="M1254" s="9" t="n">
        <x:v>0</x:v>
      </x:c>
      <x:c r="N1254" s="9" t="str">
        <x:v>UNFILED / UNPROVEN</x:v>
      </x:c>
      <x:c r="O1254" s="9" t="n">
        <x:f>COUNTIFS($A$7:$A$1302,A1254)</x:f>
        <x:v>1</x:v>
      </x:c>
    </x:row>
    <x:row r="1255">
      <x:c r="A1255" s="9" t="str">
        <x:v>EV-AR-CT-C-B-TECH-2-B2-BRK-G0-IV07</x:v>
      </x:c>
      <x:c r="B1255" s="9" t="str">
        <x:v>EV-AR-CT-C-B-TECH-2-B2-BRK-G0</x:v>
      </x:c>
      <x:c r="C1255" s="9" t="str">
        <x:v>AR-CT-C-B-TECH-2-B2-BRK-G0</x:v>
      </x:c>
      <x:c r="D1255" s="9" t="str">
        <x:v>CT-C-B-TECH-2</x:v>
      </x:c>
      <x:c r="E1255" s="9" t="str">
        <x:v>CT-C-B</x:v>
      </x:c>
      <x:c r="F1255" s="9" t="str">
        <x:v>B2</x:v>
      </x:c>
      <x:c r="G1255" s="9" t="str">
        <x:v>BRK</x:v>
      </x:c>
      <x:c r="H1255" s="9" t="str">
        <x:v>IV07</x:v>
      </x:c>
      <x:c r="I1255" s="17" t="str">
        <x:v>No outcome selection</x:v>
      </x:c>
      <x:c r="J1255" s="17" t="str">
        <x:v>petition rule and evidence scope were fixed before visibility</x:v>
      </x:c>
      <x:c r="K1255" s="17" t="str">
        <x:v>Conflict registrar</x:v>
      </x:c>
      <x:c r="L1255" s="9" t="n">
        <x:v>0</x:v>
      </x:c>
      <x:c r="M1255" s="9" t="n">
        <x:v>0</x:v>
      </x:c>
      <x:c r="N1255" s="9" t="str">
        <x:v>UNFILED / UNPROVEN</x:v>
      </x:c>
      <x:c r="O1255" s="9" t="n">
        <x:f>COUNTIFS($A$7:$A$1302,A1255)</x:f>
        <x:v>1</x:v>
      </x:c>
    </x:row>
    <x:row r="1256">
      <x:c r="A1256" s="9" t="str">
        <x:v>EV-AR-CT-C-B-TECH-2-B2-BRK-G0-IV08</x:v>
      </x:c>
      <x:c r="B1256" s="9" t="str">
        <x:v>EV-AR-CT-C-B-TECH-2-B2-BRK-G0</x:v>
      </x:c>
      <x:c r="C1256" s="9" t="str">
        <x:v>AR-CT-C-B-TECH-2-B2-BRK-G0</x:v>
      </x:c>
      <x:c r="D1256" s="9" t="str">
        <x:v>CT-C-B-TECH-2</x:v>
      </x:c>
      <x:c r="E1256" s="9" t="str">
        <x:v>CT-C-B</x:v>
      </x:c>
      <x:c r="F1256" s="9" t="str">
        <x:v>B2</x:v>
      </x:c>
      <x:c r="G1256" s="9" t="str">
        <x:v>BRK</x:v>
      </x:c>
      <x:c r="H1256" s="9" t="str">
        <x:v>IV08</x:v>
      </x:c>
      <x:c r="I1256" s="17" t="str">
        <x:v>Whole-record preservation</x:v>
      </x:c>
      <x:c r="J1256" s="17" t="str">
        <x:v>start, raw behavior, dissent and intervention remain in archive</x:v>
      </x:c>
      <x:c r="K1256" s="17" t="str">
        <x:v>Archive authority</x:v>
      </x:c>
      <x:c r="L1256" s="9" t="n">
        <x:v>0</x:v>
      </x:c>
      <x:c r="M1256" s="9" t="n">
        <x:v>0</x:v>
      </x:c>
      <x:c r="N1256" s="9" t="str">
        <x:v>UNFILED / UNPROVEN</x:v>
      </x:c>
      <x:c r="O1256" s="9" t="n">
        <x:f>COUNTIFS($A$7:$A$1302,A1256)</x:f>
        <x:v>1</x:v>
      </x:c>
    </x:row>
    <x:row r="1257">
      <x:c r="A1257" s="9" t="str">
        <x:v>EV-AR-CT-C-B-TECH-2-B2-BRK-G0-IV09</x:v>
      </x:c>
      <x:c r="B1257" s="9" t="str">
        <x:v>EV-AR-CT-C-B-TECH-2-B2-BRK-G0</x:v>
      </x:c>
      <x:c r="C1257" s="9" t="str">
        <x:v>AR-CT-C-B-TECH-2-B2-BRK-G0</x:v>
      </x:c>
      <x:c r="D1257" s="9" t="str">
        <x:v>CT-C-B-TECH-2</x:v>
      </x:c>
      <x:c r="E1257" s="9" t="str">
        <x:v>CT-C-B</x:v>
      </x:c>
      <x:c r="F1257" s="9" t="str">
        <x:v>B2</x:v>
      </x:c>
      <x:c r="G1257" s="9" t="str">
        <x:v>BRK</x:v>
      </x:c>
      <x:c r="H1257" s="9" t="str">
        <x:v>IV09</x:v>
      </x:c>
      <x:c r="I1257" s="17" t="str">
        <x:v>Bounded remedy</x:v>
      </x:c>
      <x:c r="J1257" s="17" t="str">
        <x:v>only a new slot and EOW may follow; no favorable credit or erased attempt</x:v>
      </x:c>
      <x:c r="K1257" s="17" t="str">
        <x:v>Invalidity court</x:v>
      </x:c>
      <x:c r="L1257" s="9" t="n">
        <x:v>0</x:v>
      </x:c>
      <x:c r="M1257" s="9" t="n">
        <x:v>0</x:v>
      </x:c>
      <x:c r="N1257" s="9" t="str">
        <x:v>UNFILED / UNPROVEN</x:v>
      </x:c>
      <x:c r="O1257" s="9" t="n">
        <x:f>COUNTIFS($A$7:$A$1302,A1257)</x:f>
        <x:v>1</x:v>
      </x:c>
    </x:row>
    <x:row r="1258">
      <x:c r="A1258" s="9" t="str">
        <x:v>EV-AR-ET-A-A-TECH-2-B1-RCN-G0-IV01</x:v>
      </x:c>
      <x:c r="B1258" s="9" t="str">
        <x:v>EV-AR-ET-A-A-TECH-2-B1-RCN-G0</x:v>
      </x:c>
      <x:c r="C1258" s="9" t="str">
        <x:v>AR-ET-A-A-TECH-2-B1-RCN-G0</x:v>
      </x:c>
      <x:c r="D1258" s="9" t="str">
        <x:v>ET-A-A-TECH-2</x:v>
      </x:c>
      <x:c r="E1258" s="9" t="str">
        <x:v>ET-A-A</x:v>
      </x:c>
      <x:c r="F1258" s="9" t="str">
        <x:v>B1</x:v>
      </x:c>
      <x:c r="G1258" s="9" t="str">
        <x:v>RCN</x:v>
      </x:c>
      <x:c r="H1258" s="9" t="str">
        <x:v>IV01</x:v>
      </x:c>
      <x:c r="I1258" s="17" t="str">
        <x:v>Timely petition</x:v>
      </x:c>
      <x:c r="J1258" s="17" t="str">
        <x:v>petition enters within seventy-two hours of event close</x:v>
      </x:c>
      <x:c r="K1258" s="17" t="str">
        <x:v>Invalidity registrar</x:v>
      </x:c>
      <x:c r="L1258" s="9" t="n">
        <x:v>0</x:v>
      </x:c>
      <x:c r="M1258" s="9" t="n">
        <x:v>0</x:v>
      </x:c>
      <x:c r="N1258" s="9" t="str">
        <x:v>UNFILED / UNPROVEN</x:v>
      </x:c>
      <x:c r="O1258" s="9" t="n">
        <x:f>COUNTIFS($A$7:$A$1302,A1258)</x:f>
        <x:v>1</x:v>
      </x:c>
    </x:row>
    <x:row r="1259">
      <x:c r="A1259" s="9" t="str">
        <x:v>EV-AR-ET-A-A-TECH-2-B1-RCN-G0-IV02</x:v>
      </x:c>
      <x:c r="B1259" s="9" t="str">
        <x:v>EV-AR-ET-A-A-TECH-2-B1-RCN-G0</x:v>
      </x:c>
      <x:c r="C1259" s="9" t="str">
        <x:v>AR-ET-A-A-TECH-2-B1-RCN-G0</x:v>
      </x:c>
      <x:c r="D1259" s="9" t="str">
        <x:v>ET-A-A-TECH-2</x:v>
      </x:c>
      <x:c r="E1259" s="9" t="str">
        <x:v>ET-A-A</x:v>
      </x:c>
      <x:c r="F1259" s="9" t="str">
        <x:v>B1</x:v>
      </x:c>
      <x:c r="G1259" s="9" t="str">
        <x:v>RCN</x:v>
      </x:c>
      <x:c r="H1259" s="9" t="str">
        <x:v>IV02</x:v>
      </x:c>
      <x:c r="I1259" s="17" t="str">
        <x:v>Named facility cause</x:v>
      </x:c>
      <x:c r="J1259" s="17" t="str">
        <x:v>one pre-registered noncandidate cause is identified</x:v>
      </x:c>
      <x:c r="K1259" s="17" t="str">
        <x:v>Facility-cause court</x:v>
      </x:c>
      <x:c r="L1259" s="9" t="n">
        <x:v>0</x:v>
      </x:c>
      <x:c r="M1259" s="9" t="n">
        <x:v>0</x:v>
      </x:c>
      <x:c r="N1259" s="9" t="str">
        <x:v>UNFILED / UNPROVEN</x:v>
      </x:c>
      <x:c r="O1259" s="9" t="n">
        <x:f>COUNTIFS($A$7:$A$1302,A1259)</x:f>
        <x:v>1</x:v>
      </x:c>
    </x:row>
    <x:row r="1260">
      <x:c r="A1260" s="9" t="str">
        <x:v>EV-AR-ET-A-A-TECH-2-B1-RCN-G0-IV03</x:v>
      </x:c>
      <x:c r="B1260" s="9" t="str">
        <x:v>EV-AR-ET-A-A-TECH-2-B1-RCN-G0</x:v>
      </x:c>
      <x:c r="C1260" s="9" t="str">
        <x:v>AR-ET-A-A-TECH-2-B1-RCN-G0</x:v>
      </x:c>
      <x:c r="D1260" s="9" t="str">
        <x:v>ET-A-A-TECH-2</x:v>
      </x:c>
      <x:c r="E1260" s="9" t="str">
        <x:v>ET-A-A</x:v>
      </x:c>
      <x:c r="F1260" s="9" t="str">
        <x:v>B1</x:v>
      </x:c>
      <x:c r="G1260" s="9" t="str">
        <x:v>RCN</x:v>
      </x:c>
      <x:c r="H1260" s="9" t="str">
        <x:v>IV03</x:v>
      </x:c>
      <x:c r="I1260" s="17" t="str">
        <x:v>Temporal priority</x:v>
      </x:c>
      <x:c r="J1260" s="17" t="str">
        <x:v>cause demonstrably precedes the disputed candidate behavior</x:v>
      </x:c>
      <x:c r="K1260" s="17" t="str">
        <x:v>Time authority</x:v>
      </x:c>
      <x:c r="L1260" s="9" t="n">
        <x:v>0</x:v>
      </x:c>
      <x:c r="M1260" s="9" t="n">
        <x:v>0</x:v>
      </x:c>
      <x:c r="N1260" s="9" t="str">
        <x:v>UNFILED / UNPROVEN</x:v>
      </x:c>
      <x:c r="O1260" s="9" t="n">
        <x:f>COUNTIFS($A$7:$A$1302,A1260)</x:f>
        <x:v>1</x:v>
      </x:c>
    </x:row>
    <x:row r="1261">
      <x:c r="A1261" s="9" t="str">
        <x:v>EV-AR-ET-A-A-TECH-2-B1-RCN-G0-IV04</x:v>
      </x:c>
      <x:c r="B1261" s="9" t="str">
        <x:v>EV-AR-ET-A-A-TECH-2-B1-RCN-G0</x:v>
      </x:c>
      <x:c r="C1261" s="9" t="str">
        <x:v>AR-ET-A-A-TECH-2-B1-RCN-G0</x:v>
      </x:c>
      <x:c r="D1261" s="9" t="str">
        <x:v>ET-A-A-TECH-2</x:v>
      </x:c>
      <x:c r="E1261" s="9" t="str">
        <x:v>ET-A-A</x:v>
      </x:c>
      <x:c r="F1261" s="9" t="str">
        <x:v>B1</x:v>
      </x:c>
      <x:c r="G1261" s="9" t="str">
        <x:v>RCN</x:v>
      </x:c>
      <x:c r="H1261" s="9" t="str">
        <x:v>IV04</x:v>
      </x:c>
      <x:c r="I1261" s="17" t="str">
        <x:v>Independent trace</x:v>
      </x:c>
      <x:c r="J1261" s="17" t="str">
        <x:v>two unlike records carry the cause without candidate custody</x:v>
      </x:c>
      <x:c r="K1261" s="17" t="str">
        <x:v>Invalidity court</x:v>
      </x:c>
      <x:c r="L1261" s="9" t="n">
        <x:v>0</x:v>
      </x:c>
      <x:c r="M1261" s="9" t="n">
        <x:v>0</x:v>
      </x:c>
      <x:c r="N1261" s="9" t="str">
        <x:v>UNFILED / UNPROVEN</x:v>
      </x:c>
      <x:c r="O1261" s="9" t="n">
        <x:f>COUNTIFS($A$7:$A$1302,A1261)</x:f>
        <x:v>1</x:v>
      </x:c>
    </x:row>
    <x:row r="1262">
      <x:c r="A1262" s="9" t="str">
        <x:v>EV-AR-ET-A-A-TECH-2-B1-RCN-G0-IV05</x:v>
      </x:c>
      <x:c r="B1262" s="9" t="str">
        <x:v>EV-AR-ET-A-A-TECH-2-B1-RCN-G0</x:v>
      </x:c>
      <x:c r="C1262" s="9" t="str">
        <x:v>AR-ET-A-A-TECH-2-B1-RCN-G0</x:v>
      </x:c>
      <x:c r="D1262" s="9" t="str">
        <x:v>ET-A-A-TECH-2</x:v>
      </x:c>
      <x:c r="E1262" s="9" t="str">
        <x:v>ET-A-A</x:v>
      </x:c>
      <x:c r="F1262" s="9" t="str">
        <x:v>B1</x:v>
      </x:c>
      <x:c r="G1262" s="9" t="str">
        <x:v>RCN</x:v>
      </x:c>
      <x:c r="H1262" s="9" t="str">
        <x:v>IV05</x:v>
      </x:c>
      <x:c r="I1262" s="17" t="str">
        <x:v>Causal counterfactual</x:v>
      </x:c>
      <x:c r="J1262" s="17" t="str">
        <x:v>registered counterfactual shows the cause can create the defect</x:v>
      </x:c>
      <x:c r="K1262" s="17" t="str">
        <x:v>Causal court</x:v>
      </x:c>
      <x:c r="L1262" s="9" t="n">
        <x:v>0</x:v>
      </x:c>
      <x:c r="M1262" s="9" t="n">
        <x:v>0</x:v>
      </x:c>
      <x:c r="N1262" s="9" t="str">
        <x:v>UNFILED / UNPROVEN</x:v>
      </x:c>
      <x:c r="O1262" s="9" t="n">
        <x:f>COUNTIFS($A$7:$A$1302,A1262)</x:f>
        <x:v>1</x:v>
      </x:c>
    </x:row>
    <x:row r="1263">
      <x:c r="A1263" s="9" t="str">
        <x:v>EV-AR-ET-A-A-TECH-2-B1-RCN-G0-IV06</x:v>
      </x:c>
      <x:c r="B1263" s="9" t="str">
        <x:v>EV-AR-ET-A-A-TECH-2-B1-RCN-G0</x:v>
      </x:c>
      <x:c r="C1263" s="9" t="str">
        <x:v>AR-ET-A-A-TECH-2-B1-RCN-G0</x:v>
      </x:c>
      <x:c r="D1263" s="9" t="str">
        <x:v>ET-A-A-TECH-2</x:v>
      </x:c>
      <x:c r="E1263" s="9" t="str">
        <x:v>ET-A-A</x:v>
      </x:c>
      <x:c r="F1263" s="9" t="str">
        <x:v>B1</x:v>
      </x:c>
      <x:c r="G1263" s="9" t="str">
        <x:v>RCN</x:v>
      </x:c>
      <x:c r="H1263" s="9" t="str">
        <x:v>IV06</x:v>
      </x:c>
      <x:c r="I1263" s="17" t="str">
        <x:v>Candidate non-causation</x:v>
      </x:c>
      <x:c r="J1263" s="17" t="str">
        <x:v>evidence excludes candidate induction of the facility condition</x:v>
      </x:c>
      <x:c r="K1263" s="17" t="str">
        <x:v>Causal court</x:v>
      </x:c>
      <x:c r="L1263" s="9" t="n">
        <x:v>0</x:v>
      </x:c>
      <x:c r="M1263" s="9" t="n">
        <x:v>0</x:v>
      </x:c>
      <x:c r="N1263" s="9" t="str">
        <x:v>UNFILED / UNPROVEN</x:v>
      </x:c>
      <x:c r="O1263" s="9" t="n">
        <x:f>COUNTIFS($A$7:$A$1302,A1263)</x:f>
        <x:v>1</x:v>
      </x:c>
    </x:row>
    <x:row r="1264">
      <x:c r="A1264" s="9" t="str">
        <x:v>EV-AR-ET-A-A-TECH-2-B1-RCN-G0-IV07</x:v>
      </x:c>
      <x:c r="B1264" s="9" t="str">
        <x:v>EV-AR-ET-A-A-TECH-2-B1-RCN-G0</x:v>
      </x:c>
      <x:c r="C1264" s="9" t="str">
        <x:v>AR-ET-A-A-TECH-2-B1-RCN-G0</x:v>
      </x:c>
      <x:c r="D1264" s="9" t="str">
        <x:v>ET-A-A-TECH-2</x:v>
      </x:c>
      <x:c r="E1264" s="9" t="str">
        <x:v>ET-A-A</x:v>
      </x:c>
      <x:c r="F1264" s="9" t="str">
        <x:v>B1</x:v>
      </x:c>
      <x:c r="G1264" s="9" t="str">
        <x:v>RCN</x:v>
      </x:c>
      <x:c r="H1264" s="9" t="str">
        <x:v>IV07</x:v>
      </x:c>
      <x:c r="I1264" s="17" t="str">
        <x:v>No outcome selection</x:v>
      </x:c>
      <x:c r="J1264" s="17" t="str">
        <x:v>petition rule and evidence scope were fixed before visibility</x:v>
      </x:c>
      <x:c r="K1264" s="17" t="str">
        <x:v>Conflict registrar</x:v>
      </x:c>
      <x:c r="L1264" s="9" t="n">
        <x:v>0</x:v>
      </x:c>
      <x:c r="M1264" s="9" t="n">
        <x:v>0</x:v>
      </x:c>
      <x:c r="N1264" s="9" t="str">
        <x:v>UNFILED / UNPROVEN</x:v>
      </x:c>
      <x:c r="O1264" s="9" t="n">
        <x:f>COUNTIFS($A$7:$A$1302,A1264)</x:f>
        <x:v>1</x:v>
      </x:c>
    </x:row>
    <x:row r="1265">
      <x:c r="A1265" s="9" t="str">
        <x:v>EV-AR-ET-A-A-TECH-2-B1-RCN-G0-IV08</x:v>
      </x:c>
      <x:c r="B1265" s="9" t="str">
        <x:v>EV-AR-ET-A-A-TECH-2-B1-RCN-G0</x:v>
      </x:c>
      <x:c r="C1265" s="9" t="str">
        <x:v>AR-ET-A-A-TECH-2-B1-RCN-G0</x:v>
      </x:c>
      <x:c r="D1265" s="9" t="str">
        <x:v>ET-A-A-TECH-2</x:v>
      </x:c>
      <x:c r="E1265" s="9" t="str">
        <x:v>ET-A-A</x:v>
      </x:c>
      <x:c r="F1265" s="9" t="str">
        <x:v>B1</x:v>
      </x:c>
      <x:c r="G1265" s="9" t="str">
        <x:v>RCN</x:v>
      </x:c>
      <x:c r="H1265" s="9" t="str">
        <x:v>IV08</x:v>
      </x:c>
      <x:c r="I1265" s="17" t="str">
        <x:v>Whole-record preservation</x:v>
      </x:c>
      <x:c r="J1265" s="17" t="str">
        <x:v>start, raw behavior, dissent and intervention remain in archive</x:v>
      </x:c>
      <x:c r="K1265" s="17" t="str">
        <x:v>Archive authority</x:v>
      </x:c>
      <x:c r="L1265" s="9" t="n">
        <x:v>0</x:v>
      </x:c>
      <x:c r="M1265" s="9" t="n">
        <x:v>0</x:v>
      </x:c>
      <x:c r="N1265" s="9" t="str">
        <x:v>UNFILED / UNPROVEN</x:v>
      </x:c>
      <x:c r="O1265" s="9" t="n">
        <x:f>COUNTIFS($A$7:$A$1302,A1265)</x:f>
        <x:v>1</x:v>
      </x:c>
    </x:row>
    <x:row r="1266">
      <x:c r="A1266" s="9" t="str">
        <x:v>EV-AR-ET-A-A-TECH-2-B1-RCN-G0-IV09</x:v>
      </x:c>
      <x:c r="B1266" s="9" t="str">
        <x:v>EV-AR-ET-A-A-TECH-2-B1-RCN-G0</x:v>
      </x:c>
      <x:c r="C1266" s="9" t="str">
        <x:v>AR-ET-A-A-TECH-2-B1-RCN-G0</x:v>
      </x:c>
      <x:c r="D1266" s="9" t="str">
        <x:v>ET-A-A-TECH-2</x:v>
      </x:c>
      <x:c r="E1266" s="9" t="str">
        <x:v>ET-A-A</x:v>
      </x:c>
      <x:c r="F1266" s="9" t="str">
        <x:v>B1</x:v>
      </x:c>
      <x:c r="G1266" s="9" t="str">
        <x:v>RCN</x:v>
      </x:c>
      <x:c r="H1266" s="9" t="str">
        <x:v>IV09</x:v>
      </x:c>
      <x:c r="I1266" s="17" t="str">
        <x:v>Bounded remedy</x:v>
      </x:c>
      <x:c r="J1266" s="17" t="str">
        <x:v>only a new slot and EOW may follow; no favorable credit or erased attempt</x:v>
      </x:c>
      <x:c r="K1266" s="17" t="str">
        <x:v>Invalidity court</x:v>
      </x:c>
      <x:c r="L1266" s="9" t="n">
        <x:v>0</x:v>
      </x:c>
      <x:c r="M1266" s="9" t="n">
        <x:v>0</x:v>
      </x:c>
      <x:c r="N1266" s="9" t="str">
        <x:v>UNFILED / UNPROVEN</x:v>
      </x:c>
      <x:c r="O1266" s="9" t="n">
        <x:f>COUNTIFS($A$7:$A$1302,A1266)</x:f>
        <x:v>1</x:v>
      </x:c>
    </x:row>
    <x:row r="1267">
      <x:c r="A1267" s="9" t="str">
        <x:v>EV-AR-HC-A-C-TECH-2-B1-BRK-G0-IV01</x:v>
      </x:c>
      <x:c r="B1267" s="9" t="str">
        <x:v>EV-AR-HC-A-C-TECH-2-B1-BRK-G0</x:v>
      </x:c>
      <x:c r="C1267" s="9" t="str">
        <x:v>AR-HC-A-C-TECH-2-B1-BRK-G0</x:v>
      </x:c>
      <x:c r="D1267" s="9" t="str">
        <x:v>HC-A-C-TECH-2</x:v>
      </x:c>
      <x:c r="E1267" s="9" t="str">
        <x:v>HC-A-C</x:v>
      </x:c>
      <x:c r="F1267" s="9" t="str">
        <x:v>B1</x:v>
      </x:c>
      <x:c r="G1267" s="9" t="str">
        <x:v>BRK</x:v>
      </x:c>
      <x:c r="H1267" s="9" t="str">
        <x:v>IV01</x:v>
      </x:c>
      <x:c r="I1267" s="17" t="str">
        <x:v>Timely petition</x:v>
      </x:c>
      <x:c r="J1267" s="17" t="str">
        <x:v>petition enters within seventy-two hours of event close</x:v>
      </x:c>
      <x:c r="K1267" s="17" t="str">
        <x:v>Invalidity registrar</x:v>
      </x:c>
      <x:c r="L1267" s="9" t="n">
        <x:v>0</x:v>
      </x:c>
      <x:c r="M1267" s="9" t="n">
        <x:v>0</x:v>
      </x:c>
      <x:c r="N1267" s="9" t="str">
        <x:v>UNFILED / UNPROVEN</x:v>
      </x:c>
      <x:c r="O1267" s="9" t="n">
        <x:f>COUNTIFS($A$7:$A$1302,A1267)</x:f>
        <x:v>1</x:v>
      </x:c>
    </x:row>
    <x:row r="1268">
      <x:c r="A1268" s="9" t="str">
        <x:v>EV-AR-HC-A-C-TECH-2-B1-BRK-G0-IV02</x:v>
      </x:c>
      <x:c r="B1268" s="9" t="str">
        <x:v>EV-AR-HC-A-C-TECH-2-B1-BRK-G0</x:v>
      </x:c>
      <x:c r="C1268" s="9" t="str">
        <x:v>AR-HC-A-C-TECH-2-B1-BRK-G0</x:v>
      </x:c>
      <x:c r="D1268" s="9" t="str">
        <x:v>HC-A-C-TECH-2</x:v>
      </x:c>
      <x:c r="E1268" s="9" t="str">
        <x:v>HC-A-C</x:v>
      </x:c>
      <x:c r="F1268" s="9" t="str">
        <x:v>B1</x:v>
      </x:c>
      <x:c r="G1268" s="9" t="str">
        <x:v>BRK</x:v>
      </x:c>
      <x:c r="H1268" s="9" t="str">
        <x:v>IV02</x:v>
      </x:c>
      <x:c r="I1268" s="17" t="str">
        <x:v>Named facility cause</x:v>
      </x:c>
      <x:c r="J1268" s="17" t="str">
        <x:v>one pre-registered noncandidate cause is identified</x:v>
      </x:c>
      <x:c r="K1268" s="17" t="str">
        <x:v>Facility-cause court</x:v>
      </x:c>
      <x:c r="L1268" s="9" t="n">
        <x:v>0</x:v>
      </x:c>
      <x:c r="M1268" s="9" t="n">
        <x:v>0</x:v>
      </x:c>
      <x:c r="N1268" s="9" t="str">
        <x:v>UNFILED / UNPROVEN</x:v>
      </x:c>
      <x:c r="O1268" s="9" t="n">
        <x:f>COUNTIFS($A$7:$A$1302,A1268)</x:f>
        <x:v>1</x:v>
      </x:c>
    </x:row>
    <x:row r="1269">
      <x:c r="A1269" s="9" t="str">
        <x:v>EV-AR-HC-A-C-TECH-2-B1-BRK-G0-IV03</x:v>
      </x:c>
      <x:c r="B1269" s="9" t="str">
        <x:v>EV-AR-HC-A-C-TECH-2-B1-BRK-G0</x:v>
      </x:c>
      <x:c r="C1269" s="9" t="str">
        <x:v>AR-HC-A-C-TECH-2-B1-BRK-G0</x:v>
      </x:c>
      <x:c r="D1269" s="9" t="str">
        <x:v>HC-A-C-TECH-2</x:v>
      </x:c>
      <x:c r="E1269" s="9" t="str">
        <x:v>HC-A-C</x:v>
      </x:c>
      <x:c r="F1269" s="9" t="str">
        <x:v>B1</x:v>
      </x:c>
      <x:c r="G1269" s="9" t="str">
        <x:v>BRK</x:v>
      </x:c>
      <x:c r="H1269" s="9" t="str">
        <x:v>IV03</x:v>
      </x:c>
      <x:c r="I1269" s="17" t="str">
        <x:v>Temporal priority</x:v>
      </x:c>
      <x:c r="J1269" s="17" t="str">
        <x:v>cause demonstrably precedes the disputed candidate behavior</x:v>
      </x:c>
      <x:c r="K1269" s="17" t="str">
        <x:v>Time authority</x:v>
      </x:c>
      <x:c r="L1269" s="9" t="n">
        <x:v>0</x:v>
      </x:c>
      <x:c r="M1269" s="9" t="n">
        <x:v>0</x:v>
      </x:c>
      <x:c r="N1269" s="9" t="str">
        <x:v>UNFILED / UNPROVEN</x:v>
      </x:c>
      <x:c r="O1269" s="9" t="n">
        <x:f>COUNTIFS($A$7:$A$1302,A1269)</x:f>
        <x:v>1</x:v>
      </x:c>
    </x:row>
    <x:row r="1270">
      <x:c r="A1270" s="9" t="str">
        <x:v>EV-AR-HC-A-C-TECH-2-B1-BRK-G0-IV04</x:v>
      </x:c>
      <x:c r="B1270" s="9" t="str">
        <x:v>EV-AR-HC-A-C-TECH-2-B1-BRK-G0</x:v>
      </x:c>
      <x:c r="C1270" s="9" t="str">
        <x:v>AR-HC-A-C-TECH-2-B1-BRK-G0</x:v>
      </x:c>
      <x:c r="D1270" s="9" t="str">
        <x:v>HC-A-C-TECH-2</x:v>
      </x:c>
      <x:c r="E1270" s="9" t="str">
        <x:v>HC-A-C</x:v>
      </x:c>
      <x:c r="F1270" s="9" t="str">
        <x:v>B1</x:v>
      </x:c>
      <x:c r="G1270" s="9" t="str">
        <x:v>BRK</x:v>
      </x:c>
      <x:c r="H1270" s="9" t="str">
        <x:v>IV04</x:v>
      </x:c>
      <x:c r="I1270" s="17" t="str">
        <x:v>Independent trace</x:v>
      </x:c>
      <x:c r="J1270" s="17" t="str">
        <x:v>two unlike records carry the cause without candidate custody</x:v>
      </x:c>
      <x:c r="K1270" s="17" t="str">
        <x:v>Invalidity court</x:v>
      </x:c>
      <x:c r="L1270" s="9" t="n">
        <x:v>0</x:v>
      </x:c>
      <x:c r="M1270" s="9" t="n">
        <x:v>0</x:v>
      </x:c>
      <x:c r="N1270" s="9" t="str">
        <x:v>UNFILED / UNPROVEN</x:v>
      </x:c>
      <x:c r="O1270" s="9" t="n">
        <x:f>COUNTIFS($A$7:$A$1302,A1270)</x:f>
        <x:v>1</x:v>
      </x:c>
    </x:row>
    <x:row r="1271">
      <x:c r="A1271" s="9" t="str">
        <x:v>EV-AR-HC-A-C-TECH-2-B1-BRK-G0-IV05</x:v>
      </x:c>
      <x:c r="B1271" s="9" t="str">
        <x:v>EV-AR-HC-A-C-TECH-2-B1-BRK-G0</x:v>
      </x:c>
      <x:c r="C1271" s="9" t="str">
        <x:v>AR-HC-A-C-TECH-2-B1-BRK-G0</x:v>
      </x:c>
      <x:c r="D1271" s="9" t="str">
        <x:v>HC-A-C-TECH-2</x:v>
      </x:c>
      <x:c r="E1271" s="9" t="str">
        <x:v>HC-A-C</x:v>
      </x:c>
      <x:c r="F1271" s="9" t="str">
        <x:v>B1</x:v>
      </x:c>
      <x:c r="G1271" s="9" t="str">
        <x:v>BRK</x:v>
      </x:c>
      <x:c r="H1271" s="9" t="str">
        <x:v>IV05</x:v>
      </x:c>
      <x:c r="I1271" s="17" t="str">
        <x:v>Causal counterfactual</x:v>
      </x:c>
      <x:c r="J1271" s="17" t="str">
        <x:v>registered counterfactual shows the cause can create the defect</x:v>
      </x:c>
      <x:c r="K1271" s="17" t="str">
        <x:v>Causal court</x:v>
      </x:c>
      <x:c r="L1271" s="9" t="n">
        <x:v>0</x:v>
      </x:c>
      <x:c r="M1271" s="9" t="n">
        <x:v>0</x:v>
      </x:c>
      <x:c r="N1271" s="9" t="str">
        <x:v>UNFILED / UNPROVEN</x:v>
      </x:c>
      <x:c r="O1271" s="9" t="n">
        <x:f>COUNTIFS($A$7:$A$1302,A1271)</x:f>
        <x:v>1</x:v>
      </x:c>
    </x:row>
    <x:row r="1272">
      <x:c r="A1272" s="9" t="str">
        <x:v>EV-AR-HC-A-C-TECH-2-B1-BRK-G0-IV06</x:v>
      </x:c>
      <x:c r="B1272" s="9" t="str">
        <x:v>EV-AR-HC-A-C-TECH-2-B1-BRK-G0</x:v>
      </x:c>
      <x:c r="C1272" s="9" t="str">
        <x:v>AR-HC-A-C-TECH-2-B1-BRK-G0</x:v>
      </x:c>
      <x:c r="D1272" s="9" t="str">
        <x:v>HC-A-C-TECH-2</x:v>
      </x:c>
      <x:c r="E1272" s="9" t="str">
        <x:v>HC-A-C</x:v>
      </x:c>
      <x:c r="F1272" s="9" t="str">
        <x:v>B1</x:v>
      </x:c>
      <x:c r="G1272" s="9" t="str">
        <x:v>BRK</x:v>
      </x:c>
      <x:c r="H1272" s="9" t="str">
        <x:v>IV06</x:v>
      </x:c>
      <x:c r="I1272" s="17" t="str">
        <x:v>Candidate non-causation</x:v>
      </x:c>
      <x:c r="J1272" s="17" t="str">
        <x:v>evidence excludes candidate induction of the facility condition</x:v>
      </x:c>
      <x:c r="K1272" s="17" t="str">
        <x:v>Causal court</x:v>
      </x:c>
      <x:c r="L1272" s="9" t="n">
        <x:v>0</x:v>
      </x:c>
      <x:c r="M1272" s="9" t="n">
        <x:v>0</x:v>
      </x:c>
      <x:c r="N1272" s="9" t="str">
        <x:v>UNFILED / UNPROVEN</x:v>
      </x:c>
      <x:c r="O1272" s="9" t="n">
        <x:f>COUNTIFS($A$7:$A$1302,A1272)</x:f>
        <x:v>1</x:v>
      </x:c>
    </x:row>
    <x:row r="1273">
      <x:c r="A1273" s="9" t="str">
        <x:v>EV-AR-HC-A-C-TECH-2-B1-BRK-G0-IV07</x:v>
      </x:c>
      <x:c r="B1273" s="9" t="str">
        <x:v>EV-AR-HC-A-C-TECH-2-B1-BRK-G0</x:v>
      </x:c>
      <x:c r="C1273" s="9" t="str">
        <x:v>AR-HC-A-C-TECH-2-B1-BRK-G0</x:v>
      </x:c>
      <x:c r="D1273" s="9" t="str">
        <x:v>HC-A-C-TECH-2</x:v>
      </x:c>
      <x:c r="E1273" s="9" t="str">
        <x:v>HC-A-C</x:v>
      </x:c>
      <x:c r="F1273" s="9" t="str">
        <x:v>B1</x:v>
      </x:c>
      <x:c r="G1273" s="9" t="str">
        <x:v>BRK</x:v>
      </x:c>
      <x:c r="H1273" s="9" t="str">
        <x:v>IV07</x:v>
      </x:c>
      <x:c r="I1273" s="17" t="str">
        <x:v>No outcome selection</x:v>
      </x:c>
      <x:c r="J1273" s="17" t="str">
        <x:v>petition rule and evidence scope were fixed before visibility</x:v>
      </x:c>
      <x:c r="K1273" s="17" t="str">
        <x:v>Conflict registrar</x:v>
      </x:c>
      <x:c r="L1273" s="9" t="n">
        <x:v>0</x:v>
      </x:c>
      <x:c r="M1273" s="9" t="n">
        <x:v>0</x:v>
      </x:c>
      <x:c r="N1273" s="9" t="str">
        <x:v>UNFILED / UNPROVEN</x:v>
      </x:c>
      <x:c r="O1273" s="9" t="n">
        <x:f>COUNTIFS($A$7:$A$1302,A1273)</x:f>
        <x:v>1</x:v>
      </x:c>
    </x:row>
    <x:row r="1274">
      <x:c r="A1274" s="9" t="str">
        <x:v>EV-AR-HC-A-C-TECH-2-B1-BRK-G0-IV08</x:v>
      </x:c>
      <x:c r="B1274" s="9" t="str">
        <x:v>EV-AR-HC-A-C-TECH-2-B1-BRK-G0</x:v>
      </x:c>
      <x:c r="C1274" s="9" t="str">
        <x:v>AR-HC-A-C-TECH-2-B1-BRK-G0</x:v>
      </x:c>
      <x:c r="D1274" s="9" t="str">
        <x:v>HC-A-C-TECH-2</x:v>
      </x:c>
      <x:c r="E1274" s="9" t="str">
        <x:v>HC-A-C</x:v>
      </x:c>
      <x:c r="F1274" s="9" t="str">
        <x:v>B1</x:v>
      </x:c>
      <x:c r="G1274" s="9" t="str">
        <x:v>BRK</x:v>
      </x:c>
      <x:c r="H1274" s="9" t="str">
        <x:v>IV08</x:v>
      </x:c>
      <x:c r="I1274" s="17" t="str">
        <x:v>Whole-record preservation</x:v>
      </x:c>
      <x:c r="J1274" s="17" t="str">
        <x:v>start, raw behavior, dissent and intervention remain in archive</x:v>
      </x:c>
      <x:c r="K1274" s="17" t="str">
        <x:v>Archive authority</x:v>
      </x:c>
      <x:c r="L1274" s="9" t="n">
        <x:v>0</x:v>
      </x:c>
      <x:c r="M1274" s="9" t="n">
        <x:v>0</x:v>
      </x:c>
      <x:c r="N1274" s="9" t="str">
        <x:v>UNFILED / UNPROVEN</x:v>
      </x:c>
      <x:c r="O1274" s="9" t="n">
        <x:f>COUNTIFS($A$7:$A$1302,A1274)</x:f>
        <x:v>1</x:v>
      </x:c>
    </x:row>
    <x:row r="1275">
      <x:c r="A1275" s="9" t="str">
        <x:v>EV-AR-HC-A-C-TECH-2-B1-BRK-G0-IV09</x:v>
      </x:c>
      <x:c r="B1275" s="9" t="str">
        <x:v>EV-AR-HC-A-C-TECH-2-B1-BRK-G0</x:v>
      </x:c>
      <x:c r="C1275" s="9" t="str">
        <x:v>AR-HC-A-C-TECH-2-B1-BRK-G0</x:v>
      </x:c>
      <x:c r="D1275" s="9" t="str">
        <x:v>HC-A-C-TECH-2</x:v>
      </x:c>
      <x:c r="E1275" s="9" t="str">
        <x:v>HC-A-C</x:v>
      </x:c>
      <x:c r="F1275" s="9" t="str">
        <x:v>B1</x:v>
      </x:c>
      <x:c r="G1275" s="9" t="str">
        <x:v>BRK</x:v>
      </x:c>
      <x:c r="H1275" s="9" t="str">
        <x:v>IV09</x:v>
      </x:c>
      <x:c r="I1275" s="17" t="str">
        <x:v>Bounded remedy</x:v>
      </x:c>
      <x:c r="J1275" s="17" t="str">
        <x:v>only a new slot and EOW may follow; no favorable credit or erased attempt</x:v>
      </x:c>
      <x:c r="K1275" s="17" t="str">
        <x:v>Invalidity court</x:v>
      </x:c>
      <x:c r="L1275" s="9" t="n">
        <x:v>0</x:v>
      </x:c>
      <x:c r="M1275" s="9" t="n">
        <x:v>0</x:v>
      </x:c>
      <x:c r="N1275" s="9" t="str">
        <x:v>UNFILED / UNPROVEN</x:v>
      </x:c>
      <x:c r="O1275" s="9" t="n">
        <x:f>COUNTIFS($A$7:$A$1302,A1275)</x:f>
        <x:v>1</x:v>
      </x:c>
    </x:row>
    <x:row r="1276">
      <x:c r="A1276" s="9" t="str">
        <x:v>EV-AR-HU-A-B-TECH-2-B1-INT-G0-IV01</x:v>
      </x:c>
      <x:c r="B1276" s="9" t="str">
        <x:v>EV-AR-HU-A-B-TECH-2-B1-INT-G0</x:v>
      </x:c>
      <x:c r="C1276" s="9" t="str">
        <x:v>AR-HU-A-B-TECH-2-B1-INT-G0</x:v>
      </x:c>
      <x:c r="D1276" s="9" t="str">
        <x:v>HU-A-B-TECH-2</x:v>
      </x:c>
      <x:c r="E1276" s="9" t="str">
        <x:v>HU-A-B</x:v>
      </x:c>
      <x:c r="F1276" s="9" t="str">
        <x:v>B1</x:v>
      </x:c>
      <x:c r="G1276" s="9" t="str">
        <x:v>INT</x:v>
      </x:c>
      <x:c r="H1276" s="9" t="str">
        <x:v>IV01</x:v>
      </x:c>
      <x:c r="I1276" s="17" t="str">
        <x:v>Timely petition</x:v>
      </x:c>
      <x:c r="J1276" s="17" t="str">
        <x:v>petition enters within seventy-two hours of event close</x:v>
      </x:c>
      <x:c r="K1276" s="17" t="str">
        <x:v>Invalidity registrar</x:v>
      </x:c>
      <x:c r="L1276" s="9" t="n">
        <x:v>0</x:v>
      </x:c>
      <x:c r="M1276" s="9" t="n">
        <x:v>0</x:v>
      </x:c>
      <x:c r="N1276" s="9" t="str">
        <x:v>UNFILED / UNPROVEN</x:v>
      </x:c>
      <x:c r="O1276" s="9" t="n">
        <x:f>COUNTIFS($A$7:$A$1302,A1276)</x:f>
        <x:v>1</x:v>
      </x:c>
    </x:row>
    <x:row r="1277">
      <x:c r="A1277" s="9" t="str">
        <x:v>EV-AR-HU-A-B-TECH-2-B1-INT-G0-IV02</x:v>
      </x:c>
      <x:c r="B1277" s="9" t="str">
        <x:v>EV-AR-HU-A-B-TECH-2-B1-INT-G0</x:v>
      </x:c>
      <x:c r="C1277" s="9" t="str">
        <x:v>AR-HU-A-B-TECH-2-B1-INT-G0</x:v>
      </x:c>
      <x:c r="D1277" s="9" t="str">
        <x:v>HU-A-B-TECH-2</x:v>
      </x:c>
      <x:c r="E1277" s="9" t="str">
        <x:v>HU-A-B</x:v>
      </x:c>
      <x:c r="F1277" s="9" t="str">
        <x:v>B1</x:v>
      </x:c>
      <x:c r="G1277" s="9" t="str">
        <x:v>INT</x:v>
      </x:c>
      <x:c r="H1277" s="9" t="str">
        <x:v>IV02</x:v>
      </x:c>
      <x:c r="I1277" s="17" t="str">
        <x:v>Named facility cause</x:v>
      </x:c>
      <x:c r="J1277" s="17" t="str">
        <x:v>one pre-registered noncandidate cause is identified</x:v>
      </x:c>
      <x:c r="K1277" s="17" t="str">
        <x:v>Facility-cause court</x:v>
      </x:c>
      <x:c r="L1277" s="9" t="n">
        <x:v>0</x:v>
      </x:c>
      <x:c r="M1277" s="9" t="n">
        <x:v>0</x:v>
      </x:c>
      <x:c r="N1277" s="9" t="str">
        <x:v>UNFILED / UNPROVEN</x:v>
      </x:c>
      <x:c r="O1277" s="9" t="n">
        <x:f>COUNTIFS($A$7:$A$1302,A1277)</x:f>
        <x:v>1</x:v>
      </x:c>
    </x:row>
    <x:row r="1278">
      <x:c r="A1278" s="9" t="str">
        <x:v>EV-AR-HU-A-B-TECH-2-B1-INT-G0-IV03</x:v>
      </x:c>
      <x:c r="B1278" s="9" t="str">
        <x:v>EV-AR-HU-A-B-TECH-2-B1-INT-G0</x:v>
      </x:c>
      <x:c r="C1278" s="9" t="str">
        <x:v>AR-HU-A-B-TECH-2-B1-INT-G0</x:v>
      </x:c>
      <x:c r="D1278" s="9" t="str">
        <x:v>HU-A-B-TECH-2</x:v>
      </x:c>
      <x:c r="E1278" s="9" t="str">
        <x:v>HU-A-B</x:v>
      </x:c>
      <x:c r="F1278" s="9" t="str">
        <x:v>B1</x:v>
      </x:c>
      <x:c r="G1278" s="9" t="str">
        <x:v>INT</x:v>
      </x:c>
      <x:c r="H1278" s="9" t="str">
        <x:v>IV03</x:v>
      </x:c>
      <x:c r="I1278" s="17" t="str">
        <x:v>Temporal priority</x:v>
      </x:c>
      <x:c r="J1278" s="17" t="str">
        <x:v>cause demonstrably precedes the disputed candidate behavior</x:v>
      </x:c>
      <x:c r="K1278" s="17" t="str">
        <x:v>Time authority</x:v>
      </x:c>
      <x:c r="L1278" s="9" t="n">
        <x:v>0</x:v>
      </x:c>
      <x:c r="M1278" s="9" t="n">
        <x:v>0</x:v>
      </x:c>
      <x:c r="N1278" s="9" t="str">
        <x:v>UNFILED / UNPROVEN</x:v>
      </x:c>
      <x:c r="O1278" s="9" t="n">
        <x:f>COUNTIFS($A$7:$A$1302,A1278)</x:f>
        <x:v>1</x:v>
      </x:c>
    </x:row>
    <x:row r="1279">
      <x:c r="A1279" s="9" t="str">
        <x:v>EV-AR-HU-A-B-TECH-2-B1-INT-G0-IV04</x:v>
      </x:c>
      <x:c r="B1279" s="9" t="str">
        <x:v>EV-AR-HU-A-B-TECH-2-B1-INT-G0</x:v>
      </x:c>
      <x:c r="C1279" s="9" t="str">
        <x:v>AR-HU-A-B-TECH-2-B1-INT-G0</x:v>
      </x:c>
      <x:c r="D1279" s="9" t="str">
        <x:v>HU-A-B-TECH-2</x:v>
      </x:c>
      <x:c r="E1279" s="9" t="str">
        <x:v>HU-A-B</x:v>
      </x:c>
      <x:c r="F1279" s="9" t="str">
        <x:v>B1</x:v>
      </x:c>
      <x:c r="G1279" s="9" t="str">
        <x:v>INT</x:v>
      </x:c>
      <x:c r="H1279" s="9" t="str">
        <x:v>IV04</x:v>
      </x:c>
      <x:c r="I1279" s="17" t="str">
        <x:v>Independent trace</x:v>
      </x:c>
      <x:c r="J1279" s="17" t="str">
        <x:v>two unlike records carry the cause without candidate custody</x:v>
      </x:c>
      <x:c r="K1279" s="17" t="str">
        <x:v>Invalidity court</x:v>
      </x:c>
      <x:c r="L1279" s="9" t="n">
        <x:v>0</x:v>
      </x:c>
      <x:c r="M1279" s="9" t="n">
        <x:v>0</x:v>
      </x:c>
      <x:c r="N1279" s="9" t="str">
        <x:v>UNFILED / UNPROVEN</x:v>
      </x:c>
      <x:c r="O1279" s="9" t="n">
        <x:f>COUNTIFS($A$7:$A$1302,A1279)</x:f>
        <x:v>1</x:v>
      </x:c>
    </x:row>
    <x:row r="1280">
      <x:c r="A1280" s="9" t="str">
        <x:v>EV-AR-HU-A-B-TECH-2-B1-INT-G0-IV05</x:v>
      </x:c>
      <x:c r="B1280" s="9" t="str">
        <x:v>EV-AR-HU-A-B-TECH-2-B1-INT-G0</x:v>
      </x:c>
      <x:c r="C1280" s="9" t="str">
        <x:v>AR-HU-A-B-TECH-2-B1-INT-G0</x:v>
      </x:c>
      <x:c r="D1280" s="9" t="str">
        <x:v>HU-A-B-TECH-2</x:v>
      </x:c>
      <x:c r="E1280" s="9" t="str">
        <x:v>HU-A-B</x:v>
      </x:c>
      <x:c r="F1280" s="9" t="str">
        <x:v>B1</x:v>
      </x:c>
      <x:c r="G1280" s="9" t="str">
        <x:v>INT</x:v>
      </x:c>
      <x:c r="H1280" s="9" t="str">
        <x:v>IV05</x:v>
      </x:c>
      <x:c r="I1280" s="17" t="str">
        <x:v>Causal counterfactual</x:v>
      </x:c>
      <x:c r="J1280" s="17" t="str">
        <x:v>registered counterfactual shows the cause can create the defect</x:v>
      </x:c>
      <x:c r="K1280" s="17" t="str">
        <x:v>Causal court</x:v>
      </x:c>
      <x:c r="L1280" s="9" t="n">
        <x:v>0</x:v>
      </x:c>
      <x:c r="M1280" s="9" t="n">
        <x:v>0</x:v>
      </x:c>
      <x:c r="N1280" s="9" t="str">
        <x:v>UNFILED / UNPROVEN</x:v>
      </x:c>
      <x:c r="O1280" s="9" t="n">
        <x:f>COUNTIFS($A$7:$A$1302,A1280)</x:f>
        <x:v>1</x:v>
      </x:c>
    </x:row>
    <x:row r="1281">
      <x:c r="A1281" s="9" t="str">
        <x:v>EV-AR-HU-A-B-TECH-2-B1-INT-G0-IV06</x:v>
      </x:c>
      <x:c r="B1281" s="9" t="str">
        <x:v>EV-AR-HU-A-B-TECH-2-B1-INT-G0</x:v>
      </x:c>
      <x:c r="C1281" s="9" t="str">
        <x:v>AR-HU-A-B-TECH-2-B1-INT-G0</x:v>
      </x:c>
      <x:c r="D1281" s="9" t="str">
        <x:v>HU-A-B-TECH-2</x:v>
      </x:c>
      <x:c r="E1281" s="9" t="str">
        <x:v>HU-A-B</x:v>
      </x:c>
      <x:c r="F1281" s="9" t="str">
        <x:v>B1</x:v>
      </x:c>
      <x:c r="G1281" s="9" t="str">
        <x:v>INT</x:v>
      </x:c>
      <x:c r="H1281" s="9" t="str">
        <x:v>IV06</x:v>
      </x:c>
      <x:c r="I1281" s="17" t="str">
        <x:v>Candidate non-causation</x:v>
      </x:c>
      <x:c r="J1281" s="17" t="str">
        <x:v>evidence excludes candidate induction of the facility condition</x:v>
      </x:c>
      <x:c r="K1281" s="17" t="str">
        <x:v>Causal court</x:v>
      </x:c>
      <x:c r="L1281" s="9" t="n">
        <x:v>0</x:v>
      </x:c>
      <x:c r="M1281" s="9" t="n">
        <x:v>0</x:v>
      </x:c>
      <x:c r="N1281" s="9" t="str">
        <x:v>UNFILED / UNPROVEN</x:v>
      </x:c>
      <x:c r="O1281" s="9" t="n">
        <x:f>COUNTIFS($A$7:$A$1302,A1281)</x:f>
        <x:v>1</x:v>
      </x:c>
    </x:row>
    <x:row r="1282">
      <x:c r="A1282" s="9" t="str">
        <x:v>EV-AR-HU-A-B-TECH-2-B1-INT-G0-IV07</x:v>
      </x:c>
      <x:c r="B1282" s="9" t="str">
        <x:v>EV-AR-HU-A-B-TECH-2-B1-INT-G0</x:v>
      </x:c>
      <x:c r="C1282" s="9" t="str">
        <x:v>AR-HU-A-B-TECH-2-B1-INT-G0</x:v>
      </x:c>
      <x:c r="D1282" s="9" t="str">
        <x:v>HU-A-B-TECH-2</x:v>
      </x:c>
      <x:c r="E1282" s="9" t="str">
        <x:v>HU-A-B</x:v>
      </x:c>
      <x:c r="F1282" s="9" t="str">
        <x:v>B1</x:v>
      </x:c>
      <x:c r="G1282" s="9" t="str">
        <x:v>INT</x:v>
      </x:c>
      <x:c r="H1282" s="9" t="str">
        <x:v>IV07</x:v>
      </x:c>
      <x:c r="I1282" s="17" t="str">
        <x:v>No outcome selection</x:v>
      </x:c>
      <x:c r="J1282" s="17" t="str">
        <x:v>petition rule and evidence scope were fixed before visibility</x:v>
      </x:c>
      <x:c r="K1282" s="17" t="str">
        <x:v>Conflict registrar</x:v>
      </x:c>
      <x:c r="L1282" s="9" t="n">
        <x:v>0</x:v>
      </x:c>
      <x:c r="M1282" s="9" t="n">
        <x:v>0</x:v>
      </x:c>
      <x:c r="N1282" s="9" t="str">
        <x:v>UNFILED / UNPROVEN</x:v>
      </x:c>
      <x:c r="O1282" s="9" t="n">
        <x:f>COUNTIFS($A$7:$A$1302,A1282)</x:f>
        <x:v>1</x:v>
      </x:c>
    </x:row>
    <x:row r="1283">
      <x:c r="A1283" s="9" t="str">
        <x:v>EV-AR-HU-A-B-TECH-2-B1-INT-G0-IV08</x:v>
      </x:c>
      <x:c r="B1283" s="9" t="str">
        <x:v>EV-AR-HU-A-B-TECH-2-B1-INT-G0</x:v>
      </x:c>
      <x:c r="C1283" s="9" t="str">
        <x:v>AR-HU-A-B-TECH-2-B1-INT-G0</x:v>
      </x:c>
      <x:c r="D1283" s="9" t="str">
        <x:v>HU-A-B-TECH-2</x:v>
      </x:c>
      <x:c r="E1283" s="9" t="str">
        <x:v>HU-A-B</x:v>
      </x:c>
      <x:c r="F1283" s="9" t="str">
        <x:v>B1</x:v>
      </x:c>
      <x:c r="G1283" s="9" t="str">
        <x:v>INT</x:v>
      </x:c>
      <x:c r="H1283" s="9" t="str">
        <x:v>IV08</x:v>
      </x:c>
      <x:c r="I1283" s="17" t="str">
        <x:v>Whole-record preservation</x:v>
      </x:c>
      <x:c r="J1283" s="17" t="str">
        <x:v>start, raw behavior, dissent and intervention remain in archive</x:v>
      </x:c>
      <x:c r="K1283" s="17" t="str">
        <x:v>Archive authority</x:v>
      </x:c>
      <x:c r="L1283" s="9" t="n">
        <x:v>0</x:v>
      </x:c>
      <x:c r="M1283" s="9" t="n">
        <x:v>0</x:v>
      </x:c>
      <x:c r="N1283" s="9" t="str">
        <x:v>UNFILED / UNPROVEN</x:v>
      </x:c>
      <x:c r="O1283" s="9" t="n">
        <x:f>COUNTIFS($A$7:$A$1302,A1283)</x:f>
        <x:v>1</x:v>
      </x:c>
    </x:row>
    <x:row r="1284">
      <x:c r="A1284" s="9" t="str">
        <x:v>EV-AR-HU-A-B-TECH-2-B1-INT-G0-IV09</x:v>
      </x:c>
      <x:c r="B1284" s="9" t="str">
        <x:v>EV-AR-HU-A-B-TECH-2-B1-INT-G0</x:v>
      </x:c>
      <x:c r="C1284" s="9" t="str">
        <x:v>AR-HU-A-B-TECH-2-B1-INT-G0</x:v>
      </x:c>
      <x:c r="D1284" s="9" t="str">
        <x:v>HU-A-B-TECH-2</x:v>
      </x:c>
      <x:c r="E1284" s="9" t="str">
        <x:v>HU-A-B</x:v>
      </x:c>
      <x:c r="F1284" s="9" t="str">
        <x:v>B1</x:v>
      </x:c>
      <x:c r="G1284" s="9" t="str">
        <x:v>INT</x:v>
      </x:c>
      <x:c r="H1284" s="9" t="str">
        <x:v>IV09</x:v>
      </x:c>
      <x:c r="I1284" s="17" t="str">
        <x:v>Bounded remedy</x:v>
      </x:c>
      <x:c r="J1284" s="17" t="str">
        <x:v>only a new slot and EOW may follow; no favorable credit or erased attempt</x:v>
      </x:c>
      <x:c r="K1284" s="17" t="str">
        <x:v>Invalidity court</x:v>
      </x:c>
      <x:c r="L1284" s="9" t="n">
        <x:v>0</x:v>
      </x:c>
      <x:c r="M1284" s="9" t="n">
        <x:v>0</x:v>
      </x:c>
      <x:c r="N1284" s="9" t="str">
        <x:v>UNFILED / UNPROVEN</x:v>
      </x:c>
      <x:c r="O1284" s="9" t="n">
        <x:f>COUNTIFS($A$7:$A$1302,A1284)</x:f>
        <x:v>1</x:v>
      </x:c>
    </x:row>
    <x:row r="1285">
      <x:c r="A1285" s="9" t="str">
        <x:v>EV-AR-LF-B-A-TECH-1-B1-BRK-G0-IV01</x:v>
      </x:c>
      <x:c r="B1285" s="9" t="str">
        <x:v>EV-AR-LF-B-A-TECH-1-B1-BRK-G0</x:v>
      </x:c>
      <x:c r="C1285" s="9" t="str">
        <x:v>AR-LF-B-A-TECH-1-B1-BRK-G0</x:v>
      </x:c>
      <x:c r="D1285" s="9" t="str">
        <x:v>LF-B-A-TECH-1</x:v>
      </x:c>
      <x:c r="E1285" s="9" t="str">
        <x:v>LF-B-A</x:v>
      </x:c>
      <x:c r="F1285" s="9" t="str">
        <x:v>B1</x:v>
      </x:c>
      <x:c r="G1285" s="9" t="str">
        <x:v>BRK</x:v>
      </x:c>
      <x:c r="H1285" s="9" t="str">
        <x:v>IV01</x:v>
      </x:c>
      <x:c r="I1285" s="17" t="str">
        <x:v>Timely petition</x:v>
      </x:c>
      <x:c r="J1285" s="17" t="str">
        <x:v>petition enters within seventy-two hours of event close</x:v>
      </x:c>
      <x:c r="K1285" s="17" t="str">
        <x:v>Invalidity registrar</x:v>
      </x:c>
      <x:c r="L1285" s="9" t="n">
        <x:v>0</x:v>
      </x:c>
      <x:c r="M1285" s="9" t="n">
        <x:v>0</x:v>
      </x:c>
      <x:c r="N1285" s="9" t="str">
        <x:v>UNFILED / UNPROVEN</x:v>
      </x:c>
      <x:c r="O1285" s="9" t="n">
        <x:f>COUNTIFS($A$7:$A$1302,A1285)</x:f>
        <x:v>1</x:v>
      </x:c>
    </x:row>
    <x:row r="1286">
      <x:c r="A1286" s="9" t="str">
        <x:v>EV-AR-LF-B-A-TECH-1-B1-BRK-G0-IV02</x:v>
      </x:c>
      <x:c r="B1286" s="9" t="str">
        <x:v>EV-AR-LF-B-A-TECH-1-B1-BRK-G0</x:v>
      </x:c>
      <x:c r="C1286" s="9" t="str">
        <x:v>AR-LF-B-A-TECH-1-B1-BRK-G0</x:v>
      </x:c>
      <x:c r="D1286" s="9" t="str">
        <x:v>LF-B-A-TECH-1</x:v>
      </x:c>
      <x:c r="E1286" s="9" t="str">
        <x:v>LF-B-A</x:v>
      </x:c>
      <x:c r="F1286" s="9" t="str">
        <x:v>B1</x:v>
      </x:c>
      <x:c r="G1286" s="9" t="str">
        <x:v>BRK</x:v>
      </x:c>
      <x:c r="H1286" s="9" t="str">
        <x:v>IV02</x:v>
      </x:c>
      <x:c r="I1286" s="17" t="str">
        <x:v>Named facility cause</x:v>
      </x:c>
      <x:c r="J1286" s="17" t="str">
        <x:v>one pre-registered noncandidate cause is identified</x:v>
      </x:c>
      <x:c r="K1286" s="17" t="str">
        <x:v>Facility-cause court</x:v>
      </x:c>
      <x:c r="L1286" s="9" t="n">
        <x:v>0</x:v>
      </x:c>
      <x:c r="M1286" s="9" t="n">
        <x:v>0</x:v>
      </x:c>
      <x:c r="N1286" s="9" t="str">
        <x:v>UNFILED / UNPROVEN</x:v>
      </x:c>
      <x:c r="O1286" s="9" t="n">
        <x:f>COUNTIFS($A$7:$A$1302,A1286)</x:f>
        <x:v>1</x:v>
      </x:c>
    </x:row>
    <x:row r="1287">
      <x:c r="A1287" s="9" t="str">
        <x:v>EV-AR-LF-B-A-TECH-1-B1-BRK-G0-IV03</x:v>
      </x:c>
      <x:c r="B1287" s="9" t="str">
        <x:v>EV-AR-LF-B-A-TECH-1-B1-BRK-G0</x:v>
      </x:c>
      <x:c r="C1287" s="9" t="str">
        <x:v>AR-LF-B-A-TECH-1-B1-BRK-G0</x:v>
      </x:c>
      <x:c r="D1287" s="9" t="str">
        <x:v>LF-B-A-TECH-1</x:v>
      </x:c>
      <x:c r="E1287" s="9" t="str">
        <x:v>LF-B-A</x:v>
      </x:c>
      <x:c r="F1287" s="9" t="str">
        <x:v>B1</x:v>
      </x:c>
      <x:c r="G1287" s="9" t="str">
        <x:v>BRK</x:v>
      </x:c>
      <x:c r="H1287" s="9" t="str">
        <x:v>IV03</x:v>
      </x:c>
      <x:c r="I1287" s="17" t="str">
        <x:v>Temporal priority</x:v>
      </x:c>
      <x:c r="J1287" s="17" t="str">
        <x:v>cause demonstrably precedes the disputed candidate behavior</x:v>
      </x:c>
      <x:c r="K1287" s="17" t="str">
        <x:v>Time authority</x:v>
      </x:c>
      <x:c r="L1287" s="9" t="n">
        <x:v>0</x:v>
      </x:c>
      <x:c r="M1287" s="9" t="n">
        <x:v>0</x:v>
      </x:c>
      <x:c r="N1287" s="9" t="str">
        <x:v>UNFILED / UNPROVEN</x:v>
      </x:c>
      <x:c r="O1287" s="9" t="n">
        <x:f>COUNTIFS($A$7:$A$1302,A1287)</x:f>
        <x:v>1</x:v>
      </x:c>
    </x:row>
    <x:row r="1288">
      <x:c r="A1288" s="9" t="str">
        <x:v>EV-AR-LF-B-A-TECH-1-B1-BRK-G0-IV04</x:v>
      </x:c>
      <x:c r="B1288" s="9" t="str">
        <x:v>EV-AR-LF-B-A-TECH-1-B1-BRK-G0</x:v>
      </x:c>
      <x:c r="C1288" s="9" t="str">
        <x:v>AR-LF-B-A-TECH-1-B1-BRK-G0</x:v>
      </x:c>
      <x:c r="D1288" s="9" t="str">
        <x:v>LF-B-A-TECH-1</x:v>
      </x:c>
      <x:c r="E1288" s="9" t="str">
        <x:v>LF-B-A</x:v>
      </x:c>
      <x:c r="F1288" s="9" t="str">
        <x:v>B1</x:v>
      </x:c>
      <x:c r="G1288" s="9" t="str">
        <x:v>BRK</x:v>
      </x:c>
      <x:c r="H1288" s="9" t="str">
        <x:v>IV04</x:v>
      </x:c>
      <x:c r="I1288" s="17" t="str">
        <x:v>Independent trace</x:v>
      </x:c>
      <x:c r="J1288" s="17" t="str">
        <x:v>two unlike records carry the cause without candidate custody</x:v>
      </x:c>
      <x:c r="K1288" s="17" t="str">
        <x:v>Invalidity court</x:v>
      </x:c>
      <x:c r="L1288" s="9" t="n">
        <x:v>0</x:v>
      </x:c>
      <x:c r="M1288" s="9" t="n">
        <x:v>0</x:v>
      </x:c>
      <x:c r="N1288" s="9" t="str">
        <x:v>UNFILED / UNPROVEN</x:v>
      </x:c>
      <x:c r="O1288" s="9" t="n">
        <x:f>COUNTIFS($A$7:$A$1302,A1288)</x:f>
        <x:v>1</x:v>
      </x:c>
    </x:row>
    <x:row r="1289">
      <x:c r="A1289" s="9" t="str">
        <x:v>EV-AR-LF-B-A-TECH-1-B1-BRK-G0-IV05</x:v>
      </x:c>
      <x:c r="B1289" s="9" t="str">
        <x:v>EV-AR-LF-B-A-TECH-1-B1-BRK-G0</x:v>
      </x:c>
      <x:c r="C1289" s="9" t="str">
        <x:v>AR-LF-B-A-TECH-1-B1-BRK-G0</x:v>
      </x:c>
      <x:c r="D1289" s="9" t="str">
        <x:v>LF-B-A-TECH-1</x:v>
      </x:c>
      <x:c r="E1289" s="9" t="str">
        <x:v>LF-B-A</x:v>
      </x:c>
      <x:c r="F1289" s="9" t="str">
        <x:v>B1</x:v>
      </x:c>
      <x:c r="G1289" s="9" t="str">
        <x:v>BRK</x:v>
      </x:c>
      <x:c r="H1289" s="9" t="str">
        <x:v>IV05</x:v>
      </x:c>
      <x:c r="I1289" s="17" t="str">
        <x:v>Causal counterfactual</x:v>
      </x:c>
      <x:c r="J1289" s="17" t="str">
        <x:v>registered counterfactual shows the cause can create the defect</x:v>
      </x:c>
      <x:c r="K1289" s="17" t="str">
        <x:v>Causal court</x:v>
      </x:c>
      <x:c r="L1289" s="9" t="n">
        <x:v>0</x:v>
      </x:c>
      <x:c r="M1289" s="9" t="n">
        <x:v>0</x:v>
      </x:c>
      <x:c r="N1289" s="9" t="str">
        <x:v>UNFILED / UNPROVEN</x:v>
      </x:c>
      <x:c r="O1289" s="9" t="n">
        <x:f>COUNTIFS($A$7:$A$1302,A1289)</x:f>
        <x:v>1</x:v>
      </x:c>
    </x:row>
    <x:row r="1290">
      <x:c r="A1290" s="9" t="str">
        <x:v>EV-AR-LF-B-A-TECH-1-B1-BRK-G0-IV06</x:v>
      </x:c>
      <x:c r="B1290" s="9" t="str">
        <x:v>EV-AR-LF-B-A-TECH-1-B1-BRK-G0</x:v>
      </x:c>
      <x:c r="C1290" s="9" t="str">
        <x:v>AR-LF-B-A-TECH-1-B1-BRK-G0</x:v>
      </x:c>
      <x:c r="D1290" s="9" t="str">
        <x:v>LF-B-A-TECH-1</x:v>
      </x:c>
      <x:c r="E1290" s="9" t="str">
        <x:v>LF-B-A</x:v>
      </x:c>
      <x:c r="F1290" s="9" t="str">
        <x:v>B1</x:v>
      </x:c>
      <x:c r="G1290" s="9" t="str">
        <x:v>BRK</x:v>
      </x:c>
      <x:c r="H1290" s="9" t="str">
        <x:v>IV06</x:v>
      </x:c>
      <x:c r="I1290" s="17" t="str">
        <x:v>Candidate non-causation</x:v>
      </x:c>
      <x:c r="J1290" s="17" t="str">
        <x:v>evidence excludes candidate induction of the facility condition</x:v>
      </x:c>
      <x:c r="K1290" s="17" t="str">
        <x:v>Causal court</x:v>
      </x:c>
      <x:c r="L1290" s="9" t="n">
        <x:v>0</x:v>
      </x:c>
      <x:c r="M1290" s="9" t="n">
        <x:v>0</x:v>
      </x:c>
      <x:c r="N1290" s="9" t="str">
        <x:v>UNFILED / UNPROVEN</x:v>
      </x:c>
      <x:c r="O1290" s="9" t="n">
        <x:f>COUNTIFS($A$7:$A$1302,A1290)</x:f>
        <x:v>1</x:v>
      </x:c>
    </x:row>
    <x:row r="1291">
      <x:c r="A1291" s="9" t="str">
        <x:v>EV-AR-LF-B-A-TECH-1-B1-BRK-G0-IV07</x:v>
      </x:c>
      <x:c r="B1291" s="9" t="str">
        <x:v>EV-AR-LF-B-A-TECH-1-B1-BRK-G0</x:v>
      </x:c>
      <x:c r="C1291" s="9" t="str">
        <x:v>AR-LF-B-A-TECH-1-B1-BRK-G0</x:v>
      </x:c>
      <x:c r="D1291" s="9" t="str">
        <x:v>LF-B-A-TECH-1</x:v>
      </x:c>
      <x:c r="E1291" s="9" t="str">
        <x:v>LF-B-A</x:v>
      </x:c>
      <x:c r="F1291" s="9" t="str">
        <x:v>B1</x:v>
      </x:c>
      <x:c r="G1291" s="9" t="str">
        <x:v>BRK</x:v>
      </x:c>
      <x:c r="H1291" s="9" t="str">
        <x:v>IV07</x:v>
      </x:c>
      <x:c r="I1291" s="17" t="str">
        <x:v>No outcome selection</x:v>
      </x:c>
      <x:c r="J1291" s="17" t="str">
        <x:v>petition rule and evidence scope were fixed before visibility</x:v>
      </x:c>
      <x:c r="K1291" s="17" t="str">
        <x:v>Conflict registrar</x:v>
      </x:c>
      <x:c r="L1291" s="9" t="n">
        <x:v>0</x:v>
      </x:c>
      <x:c r="M1291" s="9" t="n">
        <x:v>0</x:v>
      </x:c>
      <x:c r="N1291" s="9" t="str">
        <x:v>UNFILED / UNPROVEN</x:v>
      </x:c>
      <x:c r="O1291" s="9" t="n">
        <x:f>COUNTIFS($A$7:$A$1302,A1291)</x:f>
        <x:v>1</x:v>
      </x:c>
    </x:row>
    <x:row r="1292">
      <x:c r="A1292" s="9" t="str">
        <x:v>EV-AR-LF-B-A-TECH-1-B1-BRK-G0-IV08</x:v>
      </x:c>
      <x:c r="B1292" s="9" t="str">
        <x:v>EV-AR-LF-B-A-TECH-1-B1-BRK-G0</x:v>
      </x:c>
      <x:c r="C1292" s="9" t="str">
        <x:v>AR-LF-B-A-TECH-1-B1-BRK-G0</x:v>
      </x:c>
      <x:c r="D1292" s="9" t="str">
        <x:v>LF-B-A-TECH-1</x:v>
      </x:c>
      <x:c r="E1292" s="9" t="str">
        <x:v>LF-B-A</x:v>
      </x:c>
      <x:c r="F1292" s="9" t="str">
        <x:v>B1</x:v>
      </x:c>
      <x:c r="G1292" s="9" t="str">
        <x:v>BRK</x:v>
      </x:c>
      <x:c r="H1292" s="9" t="str">
        <x:v>IV08</x:v>
      </x:c>
      <x:c r="I1292" s="17" t="str">
        <x:v>Whole-record preservation</x:v>
      </x:c>
      <x:c r="J1292" s="17" t="str">
        <x:v>start, raw behavior, dissent and intervention remain in archive</x:v>
      </x:c>
      <x:c r="K1292" s="17" t="str">
        <x:v>Archive authority</x:v>
      </x:c>
      <x:c r="L1292" s="9" t="n">
        <x:v>0</x:v>
      </x:c>
      <x:c r="M1292" s="9" t="n">
        <x:v>0</x:v>
      </x:c>
      <x:c r="N1292" s="9" t="str">
        <x:v>UNFILED / UNPROVEN</x:v>
      </x:c>
      <x:c r="O1292" s="9" t="n">
        <x:f>COUNTIFS($A$7:$A$1302,A1292)</x:f>
        <x:v>1</x:v>
      </x:c>
    </x:row>
    <x:row r="1293">
      <x:c r="A1293" s="9" t="str">
        <x:v>EV-AR-LF-B-A-TECH-1-B1-BRK-G0-IV09</x:v>
      </x:c>
      <x:c r="B1293" s="9" t="str">
        <x:v>EV-AR-LF-B-A-TECH-1-B1-BRK-G0</x:v>
      </x:c>
      <x:c r="C1293" s="9" t="str">
        <x:v>AR-LF-B-A-TECH-1-B1-BRK-G0</x:v>
      </x:c>
      <x:c r="D1293" s="9" t="str">
        <x:v>LF-B-A-TECH-1</x:v>
      </x:c>
      <x:c r="E1293" s="9" t="str">
        <x:v>LF-B-A</x:v>
      </x:c>
      <x:c r="F1293" s="9" t="str">
        <x:v>B1</x:v>
      </x:c>
      <x:c r="G1293" s="9" t="str">
        <x:v>BRK</x:v>
      </x:c>
      <x:c r="H1293" s="9" t="str">
        <x:v>IV09</x:v>
      </x:c>
      <x:c r="I1293" s="17" t="str">
        <x:v>Bounded remedy</x:v>
      </x:c>
      <x:c r="J1293" s="17" t="str">
        <x:v>only a new slot and EOW may follow; no favorable credit or erased attempt</x:v>
      </x:c>
      <x:c r="K1293" s="17" t="str">
        <x:v>Invalidity court</x:v>
      </x:c>
      <x:c r="L1293" s="9" t="n">
        <x:v>0</x:v>
      </x:c>
      <x:c r="M1293" s="9" t="n">
        <x:v>0</x:v>
      </x:c>
      <x:c r="N1293" s="9" t="str">
        <x:v>UNFILED / UNPROVEN</x:v>
      </x:c>
      <x:c r="O1293" s="9" t="n">
        <x:f>COUNTIFS($A$7:$A$1302,A1293)</x:f>
        <x:v>1</x:v>
      </x:c>
    </x:row>
    <x:row r="1294">
      <x:c r="A1294" s="9" t="str">
        <x:v>EV-AR-RT-B-C-TECH-3-B1-RCN-G0-IV01</x:v>
      </x:c>
      <x:c r="B1294" s="9" t="str">
        <x:v>EV-AR-RT-B-C-TECH-3-B1-RCN-G0</x:v>
      </x:c>
      <x:c r="C1294" s="9" t="str">
        <x:v>AR-RT-B-C-TECH-3-B1-RCN-G0</x:v>
      </x:c>
      <x:c r="D1294" s="9" t="str">
        <x:v>RT-B-C-TECH-3</x:v>
      </x:c>
      <x:c r="E1294" s="9" t="str">
        <x:v>RT-B-C</x:v>
      </x:c>
      <x:c r="F1294" s="9" t="str">
        <x:v>B1</x:v>
      </x:c>
      <x:c r="G1294" s="9" t="str">
        <x:v>RCN</x:v>
      </x:c>
      <x:c r="H1294" s="9" t="str">
        <x:v>IV01</x:v>
      </x:c>
      <x:c r="I1294" s="17" t="str">
        <x:v>Timely petition</x:v>
      </x:c>
      <x:c r="J1294" s="17" t="str">
        <x:v>petition enters within seventy-two hours of event close</x:v>
      </x:c>
      <x:c r="K1294" s="17" t="str">
        <x:v>Invalidity registrar</x:v>
      </x:c>
      <x:c r="L1294" s="9" t="n">
        <x:v>0</x:v>
      </x:c>
      <x:c r="M1294" s="9" t="n">
        <x:v>0</x:v>
      </x:c>
      <x:c r="N1294" s="9" t="str">
        <x:v>UNFILED / UNPROVEN</x:v>
      </x:c>
      <x:c r="O1294" s="9" t="n">
        <x:f>COUNTIFS($A$7:$A$1302,A1294)</x:f>
        <x:v>1</x:v>
      </x:c>
    </x:row>
    <x:row r="1295">
      <x:c r="A1295" s="9" t="str">
        <x:v>EV-AR-RT-B-C-TECH-3-B1-RCN-G0-IV02</x:v>
      </x:c>
      <x:c r="B1295" s="9" t="str">
        <x:v>EV-AR-RT-B-C-TECH-3-B1-RCN-G0</x:v>
      </x:c>
      <x:c r="C1295" s="9" t="str">
        <x:v>AR-RT-B-C-TECH-3-B1-RCN-G0</x:v>
      </x:c>
      <x:c r="D1295" s="9" t="str">
        <x:v>RT-B-C-TECH-3</x:v>
      </x:c>
      <x:c r="E1295" s="9" t="str">
        <x:v>RT-B-C</x:v>
      </x:c>
      <x:c r="F1295" s="9" t="str">
        <x:v>B1</x:v>
      </x:c>
      <x:c r="G1295" s="9" t="str">
        <x:v>RCN</x:v>
      </x:c>
      <x:c r="H1295" s="9" t="str">
        <x:v>IV02</x:v>
      </x:c>
      <x:c r="I1295" s="17" t="str">
        <x:v>Named facility cause</x:v>
      </x:c>
      <x:c r="J1295" s="17" t="str">
        <x:v>one pre-registered noncandidate cause is identified</x:v>
      </x:c>
      <x:c r="K1295" s="17" t="str">
        <x:v>Facility-cause court</x:v>
      </x:c>
      <x:c r="L1295" s="9" t="n">
        <x:v>0</x:v>
      </x:c>
      <x:c r="M1295" s="9" t="n">
        <x:v>0</x:v>
      </x:c>
      <x:c r="N1295" s="9" t="str">
        <x:v>UNFILED / UNPROVEN</x:v>
      </x:c>
      <x:c r="O1295" s="9" t="n">
        <x:f>COUNTIFS($A$7:$A$1302,A1295)</x:f>
        <x:v>1</x:v>
      </x:c>
    </x:row>
    <x:row r="1296">
      <x:c r="A1296" s="9" t="str">
        <x:v>EV-AR-RT-B-C-TECH-3-B1-RCN-G0-IV03</x:v>
      </x:c>
      <x:c r="B1296" s="9" t="str">
        <x:v>EV-AR-RT-B-C-TECH-3-B1-RCN-G0</x:v>
      </x:c>
      <x:c r="C1296" s="9" t="str">
        <x:v>AR-RT-B-C-TECH-3-B1-RCN-G0</x:v>
      </x:c>
      <x:c r="D1296" s="9" t="str">
        <x:v>RT-B-C-TECH-3</x:v>
      </x:c>
      <x:c r="E1296" s="9" t="str">
        <x:v>RT-B-C</x:v>
      </x:c>
      <x:c r="F1296" s="9" t="str">
        <x:v>B1</x:v>
      </x:c>
      <x:c r="G1296" s="9" t="str">
        <x:v>RCN</x:v>
      </x:c>
      <x:c r="H1296" s="9" t="str">
        <x:v>IV03</x:v>
      </x:c>
      <x:c r="I1296" s="17" t="str">
        <x:v>Temporal priority</x:v>
      </x:c>
      <x:c r="J1296" s="17" t="str">
        <x:v>cause demonstrably precedes the disputed candidate behavior</x:v>
      </x:c>
      <x:c r="K1296" s="17" t="str">
        <x:v>Time authority</x:v>
      </x:c>
      <x:c r="L1296" s="9" t="n">
        <x:v>0</x:v>
      </x:c>
      <x:c r="M1296" s="9" t="n">
        <x:v>0</x:v>
      </x:c>
      <x:c r="N1296" s="9" t="str">
        <x:v>UNFILED / UNPROVEN</x:v>
      </x:c>
      <x:c r="O1296" s="9" t="n">
        <x:f>COUNTIFS($A$7:$A$1302,A1296)</x:f>
        <x:v>1</x:v>
      </x:c>
    </x:row>
    <x:row r="1297">
      <x:c r="A1297" s="9" t="str">
        <x:v>EV-AR-RT-B-C-TECH-3-B1-RCN-G0-IV04</x:v>
      </x:c>
      <x:c r="B1297" s="9" t="str">
        <x:v>EV-AR-RT-B-C-TECH-3-B1-RCN-G0</x:v>
      </x:c>
      <x:c r="C1297" s="9" t="str">
        <x:v>AR-RT-B-C-TECH-3-B1-RCN-G0</x:v>
      </x:c>
      <x:c r="D1297" s="9" t="str">
        <x:v>RT-B-C-TECH-3</x:v>
      </x:c>
      <x:c r="E1297" s="9" t="str">
        <x:v>RT-B-C</x:v>
      </x:c>
      <x:c r="F1297" s="9" t="str">
        <x:v>B1</x:v>
      </x:c>
      <x:c r="G1297" s="9" t="str">
        <x:v>RCN</x:v>
      </x:c>
      <x:c r="H1297" s="9" t="str">
        <x:v>IV04</x:v>
      </x:c>
      <x:c r="I1297" s="17" t="str">
        <x:v>Independent trace</x:v>
      </x:c>
      <x:c r="J1297" s="17" t="str">
        <x:v>two unlike records carry the cause without candidate custody</x:v>
      </x:c>
      <x:c r="K1297" s="17" t="str">
        <x:v>Invalidity court</x:v>
      </x:c>
      <x:c r="L1297" s="9" t="n">
        <x:v>0</x:v>
      </x:c>
      <x:c r="M1297" s="9" t="n">
        <x:v>0</x:v>
      </x:c>
      <x:c r="N1297" s="9" t="str">
        <x:v>UNFILED / UNPROVEN</x:v>
      </x:c>
      <x:c r="O1297" s="9" t="n">
        <x:f>COUNTIFS($A$7:$A$1302,A1297)</x:f>
        <x:v>1</x:v>
      </x:c>
    </x:row>
    <x:row r="1298">
      <x:c r="A1298" s="9" t="str">
        <x:v>EV-AR-RT-B-C-TECH-3-B1-RCN-G0-IV05</x:v>
      </x:c>
      <x:c r="B1298" s="9" t="str">
        <x:v>EV-AR-RT-B-C-TECH-3-B1-RCN-G0</x:v>
      </x:c>
      <x:c r="C1298" s="9" t="str">
        <x:v>AR-RT-B-C-TECH-3-B1-RCN-G0</x:v>
      </x:c>
      <x:c r="D1298" s="9" t="str">
        <x:v>RT-B-C-TECH-3</x:v>
      </x:c>
      <x:c r="E1298" s="9" t="str">
        <x:v>RT-B-C</x:v>
      </x:c>
      <x:c r="F1298" s="9" t="str">
        <x:v>B1</x:v>
      </x:c>
      <x:c r="G1298" s="9" t="str">
        <x:v>RCN</x:v>
      </x:c>
      <x:c r="H1298" s="9" t="str">
        <x:v>IV05</x:v>
      </x:c>
      <x:c r="I1298" s="17" t="str">
        <x:v>Causal counterfactual</x:v>
      </x:c>
      <x:c r="J1298" s="17" t="str">
        <x:v>registered counterfactual shows the cause can create the defect</x:v>
      </x:c>
      <x:c r="K1298" s="17" t="str">
        <x:v>Causal court</x:v>
      </x:c>
      <x:c r="L1298" s="9" t="n">
        <x:v>0</x:v>
      </x:c>
      <x:c r="M1298" s="9" t="n">
        <x:v>0</x:v>
      </x:c>
      <x:c r="N1298" s="9" t="str">
        <x:v>UNFILED / UNPROVEN</x:v>
      </x:c>
      <x:c r="O1298" s="9" t="n">
        <x:f>COUNTIFS($A$7:$A$1302,A1298)</x:f>
        <x:v>1</x:v>
      </x:c>
    </x:row>
    <x:row r="1299">
      <x:c r="A1299" s="9" t="str">
        <x:v>EV-AR-RT-B-C-TECH-3-B1-RCN-G0-IV06</x:v>
      </x:c>
      <x:c r="B1299" s="9" t="str">
        <x:v>EV-AR-RT-B-C-TECH-3-B1-RCN-G0</x:v>
      </x:c>
      <x:c r="C1299" s="9" t="str">
        <x:v>AR-RT-B-C-TECH-3-B1-RCN-G0</x:v>
      </x:c>
      <x:c r="D1299" s="9" t="str">
        <x:v>RT-B-C-TECH-3</x:v>
      </x:c>
      <x:c r="E1299" s="9" t="str">
        <x:v>RT-B-C</x:v>
      </x:c>
      <x:c r="F1299" s="9" t="str">
        <x:v>B1</x:v>
      </x:c>
      <x:c r="G1299" s="9" t="str">
        <x:v>RCN</x:v>
      </x:c>
      <x:c r="H1299" s="9" t="str">
        <x:v>IV06</x:v>
      </x:c>
      <x:c r="I1299" s="17" t="str">
        <x:v>Candidate non-causation</x:v>
      </x:c>
      <x:c r="J1299" s="17" t="str">
        <x:v>evidence excludes candidate induction of the facility condition</x:v>
      </x:c>
      <x:c r="K1299" s="17" t="str">
        <x:v>Causal court</x:v>
      </x:c>
      <x:c r="L1299" s="9" t="n">
        <x:v>0</x:v>
      </x:c>
      <x:c r="M1299" s="9" t="n">
        <x:v>0</x:v>
      </x:c>
      <x:c r="N1299" s="9" t="str">
        <x:v>UNFILED / UNPROVEN</x:v>
      </x:c>
      <x:c r="O1299" s="9" t="n">
        <x:f>COUNTIFS($A$7:$A$1302,A1299)</x:f>
        <x:v>1</x:v>
      </x:c>
    </x:row>
    <x:row r="1300">
      <x:c r="A1300" s="9" t="str">
        <x:v>EV-AR-RT-B-C-TECH-3-B1-RCN-G0-IV07</x:v>
      </x:c>
      <x:c r="B1300" s="9" t="str">
        <x:v>EV-AR-RT-B-C-TECH-3-B1-RCN-G0</x:v>
      </x:c>
      <x:c r="C1300" s="9" t="str">
        <x:v>AR-RT-B-C-TECH-3-B1-RCN-G0</x:v>
      </x:c>
      <x:c r="D1300" s="9" t="str">
        <x:v>RT-B-C-TECH-3</x:v>
      </x:c>
      <x:c r="E1300" s="9" t="str">
        <x:v>RT-B-C</x:v>
      </x:c>
      <x:c r="F1300" s="9" t="str">
        <x:v>B1</x:v>
      </x:c>
      <x:c r="G1300" s="9" t="str">
        <x:v>RCN</x:v>
      </x:c>
      <x:c r="H1300" s="9" t="str">
        <x:v>IV07</x:v>
      </x:c>
      <x:c r="I1300" s="17" t="str">
        <x:v>No outcome selection</x:v>
      </x:c>
      <x:c r="J1300" s="17" t="str">
        <x:v>petition rule and evidence scope were fixed before visibility</x:v>
      </x:c>
      <x:c r="K1300" s="17" t="str">
        <x:v>Conflict registrar</x:v>
      </x:c>
      <x:c r="L1300" s="9" t="n">
        <x:v>0</x:v>
      </x:c>
      <x:c r="M1300" s="9" t="n">
        <x:v>0</x:v>
      </x:c>
      <x:c r="N1300" s="9" t="str">
        <x:v>UNFILED / UNPROVEN</x:v>
      </x:c>
      <x:c r="O1300" s="9" t="n">
        <x:f>COUNTIFS($A$7:$A$1302,A1300)</x:f>
        <x:v>1</x:v>
      </x:c>
    </x:row>
    <x:row r="1301">
      <x:c r="A1301" s="9" t="str">
        <x:v>EV-AR-RT-B-C-TECH-3-B1-RCN-G0-IV08</x:v>
      </x:c>
      <x:c r="B1301" s="9" t="str">
        <x:v>EV-AR-RT-B-C-TECH-3-B1-RCN-G0</x:v>
      </x:c>
      <x:c r="C1301" s="9" t="str">
        <x:v>AR-RT-B-C-TECH-3-B1-RCN-G0</x:v>
      </x:c>
      <x:c r="D1301" s="9" t="str">
        <x:v>RT-B-C-TECH-3</x:v>
      </x:c>
      <x:c r="E1301" s="9" t="str">
        <x:v>RT-B-C</x:v>
      </x:c>
      <x:c r="F1301" s="9" t="str">
        <x:v>B1</x:v>
      </x:c>
      <x:c r="G1301" s="9" t="str">
        <x:v>RCN</x:v>
      </x:c>
      <x:c r="H1301" s="9" t="str">
        <x:v>IV08</x:v>
      </x:c>
      <x:c r="I1301" s="17" t="str">
        <x:v>Whole-record preservation</x:v>
      </x:c>
      <x:c r="J1301" s="17" t="str">
        <x:v>start, raw behavior, dissent and intervention remain in archive</x:v>
      </x:c>
      <x:c r="K1301" s="17" t="str">
        <x:v>Archive authority</x:v>
      </x:c>
      <x:c r="L1301" s="9" t="n">
        <x:v>0</x:v>
      </x:c>
      <x:c r="M1301" s="9" t="n">
        <x:v>0</x:v>
      </x:c>
      <x:c r="N1301" s="9" t="str">
        <x:v>UNFILED / UNPROVEN</x:v>
      </x:c>
      <x:c r="O1301" s="9" t="n">
        <x:f>COUNTIFS($A$7:$A$1302,A1301)</x:f>
        <x:v>1</x:v>
      </x:c>
    </x:row>
    <x:row r="1302">
      <x:c r="A1302" s="9" t="str">
        <x:v>EV-AR-RT-B-C-TECH-3-B1-RCN-G0-IV09</x:v>
      </x:c>
      <x:c r="B1302" s="9" t="str">
        <x:v>EV-AR-RT-B-C-TECH-3-B1-RCN-G0</x:v>
      </x:c>
      <x:c r="C1302" s="9" t="str">
        <x:v>AR-RT-B-C-TECH-3-B1-RCN-G0</x:v>
      </x:c>
      <x:c r="D1302" s="9" t="str">
        <x:v>RT-B-C-TECH-3</x:v>
      </x:c>
      <x:c r="E1302" s="9" t="str">
        <x:v>RT-B-C</x:v>
      </x:c>
      <x:c r="F1302" s="9" t="str">
        <x:v>B1</x:v>
      </x:c>
      <x:c r="G1302" s="9" t="str">
        <x:v>RCN</x:v>
      </x:c>
      <x:c r="H1302" s="9" t="str">
        <x:v>IV09</x:v>
      </x:c>
      <x:c r="I1302" s="17" t="str">
        <x:v>Bounded remedy</x:v>
      </x:c>
      <x:c r="J1302" s="17" t="str">
        <x:v>only a new slot and EOW may follow; no favorable credit or erased attempt</x:v>
      </x:c>
      <x:c r="K1302" s="17" t="str">
        <x:v>Invalidity court</x:v>
      </x:c>
      <x:c r="L1302" s="9" t="n">
        <x:v>0</x:v>
      </x:c>
      <x:c r="M1302" s="9" t="n">
        <x:v>0</x:v>
      </x:c>
      <x:c r="N1302" s="9" t="str">
        <x:v>UNFILED / UNPROVEN</x:v>
      </x:c>
      <x:c r="O1302" s="9" t="n">
        <x:f>COUNTIFS($A$7:$A$1302,A1302)</x:f>
        <x:v>1</x:v>
      </x:c>
    </x:row>
  </x:sheetData>
  <x:conditionalFormatting sqref="N7:N1302">
    <x:cfRule type="containsText" dxfId="64" priority="1" operator="containsText" text="OPEN"/>
    <x:cfRule type="containsText" dxfId="65" priority="2" operator="containsText" text="BLOCKED"/>
    <x:cfRule type="containsText" dxfId="66" priority="3" operator="containsText" text="UNSTARTED"/>
    <x:cfRule type="containsText" dxfId="67" priority="4" operator="containsText" text="UNSEALED"/>
    <x:cfRule type="containsText" dxfId="68" priority="5" operator="containsText" text="UNACCEPTED"/>
    <x:cfRule type="containsText" dxfId="69" priority="6" operator="containsText" text="UNFILED"/>
    <x:cfRule type="containsText" dxfId="70" priority="7" operator="containsText" text="UNJUDGED"/>
    <x:cfRule type="containsText" dxfId="71" priority="8" operator="containsText" text="UNRELEASED"/>
    <x:cfRule type="containsText" dxfId="72" priority="9" operator="containsText" text="HELD"/>
    <x:cfRule type="containsText" dxfId="73" priority="10" operator="containsText" text="PENDING"/>
    <x:cfRule type="containsText" dxfId="74" priority="11" operator="containsText" text="SOURCE-EMPTY"/>
    <x:cfRule type="containsText" dxfId="75" priority="12" operator="containsText" text="FAIL"/>
    <x:cfRule type="containsText" dxfId="76" priority="13" operator="containsText" text="TERMINATE"/>
    <x:cfRule type="containsText" dxfId="77" priority="14" operator="containsText" text="PROHIBITED"/>
    <x:cfRule type="containsText" dxfId="78" priority="15" operator="containsText" text="BREACH"/>
    <x:cfRule type="containsText" dxfId="79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2396913b5866482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6" hidden="0" customWidth="1"/>
    <x:col min="2" max="2" width="48" hidden="0" customWidth="1"/>
    <x:col min="3" max="3" width="42" hidden="0" customWidth="1"/>
    <x:col min="4" max="4" width="24" hidden="0" customWidth="1"/>
    <x:col min="5" max="5" width="13" hidden="0" customWidth="1"/>
    <x:col min="6" max="6" width="12" hidden="0" customWidth="1"/>
    <x:col min="7" max="7" width="10" hidden="0" customWidth="1"/>
    <x:col min="8" max="8" width="19" hidden="0" customWidth="1"/>
    <x:col min="9" max="9" width="62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32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>
      <x:c r="A2" s="31" t="str">
        <x:v>Role-native final judgments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 ht="34" customHeight="1">
      <x:c r="A6" s="35" t="str">
        <x:v>Result record</x:v>
      </x:c>
      <x:c r="B6" s="35" t="str">
        <x:v>Event</x:v>
      </x:c>
      <x:c r="C6" s="35" t="str">
        <x:v>Serial</x:v>
      </x:c>
      <x:c r="D6" s="35" t="str">
        <x:v>Order</x:v>
      </x:c>
      <x:c r="E6" s="35" t="str">
        <x:v>Form</x:v>
      </x:c>
      <x:c r="F6" s="35" t="str">
        <x:v>Builder</x:v>
      </x:c>
      <x:c r="G6" s="35" t="str">
        <x:v>Role</x:v>
      </x:c>
      <x:c r="H6" s="35" t="str">
        <x:v>Acceptance bearing</x:v>
      </x:c>
      <x:c r="I6" s="35" t="str">
        <x:v>Judgment rule</x:v>
      </x:c>
      <x:c r="J6" s="35" t="str">
        <x:v>Observation accepted</x:v>
      </x:c>
      <x:c r="K6" s="35" t="str">
        <x:v>Facility invalidity</x:v>
      </x:c>
      <x:c r="L6" s="35" t="str">
        <x:v>Judgment issued</x:v>
      </x:c>
      <x:c r="M6" s="35" t="str">
        <x:v>Condition satisfied</x:v>
      </x:c>
      <x:c r="N6" s="35" t="str">
        <x:v>Favorable metrics</x:v>
      </x:c>
      <x:c r="O6" s="35" t="str">
        <x:v>Disposition</x:v>
      </x:c>
    </x:row>
    <x:row r="7">
      <x:c r="A7" s="9" t="str">
        <x:v>RS-AR-CT-C-B-TECH-1-B2-RCN-G0</x:v>
      </x:c>
      <x:c r="B7" s="9" t="str">
        <x:v>EV-AR-CT-C-B-TECH-1-B2-RCN-G0</x:v>
      </x:c>
      <x:c r="C7" s="9" t="str">
        <x:v>AR-CT-C-B-TECH-1-B2-RCN-G0</x:v>
      </x:c>
      <x:c r="D7" s="9" t="str">
        <x:v>CT-C-B-TECH-1</x:v>
      </x:c>
      <x:c r="E7" s="9" t="str">
        <x:v>CT-C-B</x:v>
      </x:c>
      <x:c r="F7" s="9" t="str">
        <x:v>B2</x:v>
      </x:c>
      <x:c r="G7" s="9" t="str">
        <x:v>RCN</x:v>
      </x:c>
      <x:c r="H7" s="9" t="n">
        <x:v>1</x:v>
      </x:c>
      <x:c r="I7" s="17" t="str">
        <x:v>virgin clean ancestry plus own valid event required</x:v>
      </x:c>
      <x:c r="J7" s="9" t="n">
        <x:v>0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str">
        <x:f>IF(L7=0,"SEALED / UNJUDGED",IF(G7="INT","CONTEXT / NO ACCEPTANCE WEIGHT",IF(K7=1,"INVALID / NEW OPPORTUNITY",IF(M7=1,"FINAL / CONDITION SATISFIED","FINAL / ADVERSE"))))</x:f>
        <x:v>SEALED / UNJUDGED</x:v>
      </x:c>
    </x:row>
    <x:row r="8">
      <x:c r="A8" s="9" t="str">
        <x:v>RS-AR-CT-C-B-TECH-3-B2-BRK-G0</x:v>
      </x:c>
      <x:c r="B8" s="9" t="str">
        <x:v>EV-AR-CT-C-B-TECH-3-B2-BRK-G0</x:v>
      </x:c>
      <x:c r="C8" s="9" t="str">
        <x:v>AR-CT-C-B-TECH-3-B2-BRK-G0</x:v>
      </x:c>
      <x:c r="D8" s="9" t="str">
        <x:v>CT-C-B-TECH-3</x:v>
      </x:c>
      <x:c r="E8" s="9" t="str">
        <x:v>CT-C-B</x:v>
      </x:c>
      <x:c r="F8" s="9" t="str">
        <x:v>B2</x:v>
      </x:c>
      <x:c r="G8" s="9" t="str">
        <x:v>BRK</x:v>
      </x:c>
      <x:c r="H8" s="9" t="n">
        <x:v>1</x:v>
      </x:c>
      <x:c r="I8" s="17" t="str">
        <x:v>first decisive exposure consumes role; judge registered fatal endpoint</x:v>
      </x:c>
      <x:c r="J8" s="9" t="n">
        <x:v>0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str">
        <x:f>IF(L8=0,"SEALED / UNJUDGED",IF(G8="INT","CONTEXT / NO ACCEPTANCE WEIGHT",IF(K8=1,"INVALID / NEW OPPORTUNITY",IF(M8=1,"FINAL / CONDITION SATISFIED","FINAL / ADVERSE"))))</x:f>
        <x:v>SEALED / UNJUDGED</x:v>
      </x:c>
    </x:row>
    <x:row r="9">
      <x:c r="A9" s="9" t="str">
        <x:v>RS-AR-HC-A-C-TECH-1-B1-RCN-G0</x:v>
      </x:c>
      <x:c r="B9" s="9" t="str">
        <x:v>EV-AR-HC-A-C-TECH-1-B1-RCN-G0</x:v>
      </x:c>
      <x:c r="C9" s="9" t="str">
        <x:v>AR-HC-A-C-TECH-1-B1-RCN-G0</x:v>
      </x:c>
      <x:c r="D9" s="9" t="str">
        <x:v>HC-A-C-TECH-1</x:v>
      </x:c>
      <x:c r="E9" s="9" t="str">
        <x:v>HC-A-C</x:v>
      </x:c>
      <x:c r="F9" s="9" t="str">
        <x:v>B1</x:v>
      </x:c>
      <x:c r="G9" s="9" t="str">
        <x:v>RCN</x:v>
      </x:c>
      <x:c r="H9" s="9" t="n">
        <x:v>1</x:v>
      </x:c>
      <x:c r="I9" s="17" t="str">
        <x:v>virgin clean ancestry plus own valid event required</x:v>
      </x:c>
      <x:c r="J9" s="9" t="n">
        <x:v>0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str">
        <x:f>IF(L9=0,"SEALED / UNJUDGED",IF(G9="INT","CONTEXT / NO ACCEPTANCE WEIGHT",IF(K9=1,"INVALID / NEW OPPORTUNITY",IF(M9=1,"FINAL / CONDITION SATISFIED","FINAL / ADVERSE"))))</x:f>
        <x:v>SEALED / UNJUDGED</x:v>
      </x:c>
    </x:row>
    <x:row r="10">
      <x:c r="A10" s="9" t="str">
        <x:v>RS-AR-HU-A-B-TECH-4-B2-RCN-G0</x:v>
      </x:c>
      <x:c r="B10" s="9" t="str">
        <x:v>EV-AR-HU-A-B-TECH-4-B2-RCN-G0</x:v>
      </x:c>
      <x:c r="C10" s="9" t="str">
        <x:v>AR-HU-A-B-TECH-4-B2-RCN-G0</x:v>
      </x:c>
      <x:c r="D10" s="9" t="str">
        <x:v>HU-A-B-TECH-4</x:v>
      </x:c>
      <x:c r="E10" s="9" t="str">
        <x:v>HU-A-B</x:v>
      </x:c>
      <x:c r="F10" s="9" t="str">
        <x:v>B2</x:v>
      </x:c>
      <x:c r="G10" s="9" t="str">
        <x:v>RCN</x:v>
      </x:c>
      <x:c r="H10" s="9" t="n">
        <x:v>1</x:v>
      </x:c>
      <x:c r="I10" s="17" t="str">
        <x:v>virgin clean ancestry plus own valid event required</x:v>
      </x:c>
      <x:c r="J10" s="9" t="n">
        <x:v>0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str">
        <x:f>IF(L10=0,"SEALED / UNJUDGED",IF(G10="INT","CONTEXT / NO ACCEPTANCE WEIGHT",IF(K10=1,"INVALID / NEW OPPORTUNITY",IF(M10=1,"FINAL / CONDITION SATISFIED","FINAL / ADVERSE"))))</x:f>
        <x:v>SEALED / UNJUDGED</x:v>
      </x:c>
    </x:row>
    <x:row r="11">
      <x:c r="A11" s="9" t="str">
        <x:v>RS-AR-HU-A-B-TECH-2-B2-INT-G0</x:v>
      </x:c>
      <x:c r="B11" s="9" t="str">
        <x:v>EV-AR-HU-A-B-TECH-2-B2-INT-G0</x:v>
      </x:c>
      <x:c r="C11" s="9" t="str">
        <x:v>AR-HU-A-B-TECH-2-B2-INT-G0</x:v>
      </x:c>
      <x:c r="D11" s="9" t="str">
        <x:v>HU-A-B-TECH-2</x:v>
      </x:c>
      <x:c r="E11" s="9" t="str">
        <x:v>HU-A-B</x:v>
      </x:c>
      <x:c r="F11" s="9" t="str">
        <x:v>B2</x:v>
      </x:c>
      <x:c r="G11" s="9" t="str">
        <x:v>INT</x:v>
      </x:c>
      <x:c r="H11" s="9" t="n">
        <x:v>0</x:v>
      </x:c>
      <x:c r="I11" s="17" t="str">
        <x:v>context only; no acceptance weight</x:v>
      </x:c>
      <x:c r="J11" s="9" t="n">
        <x:v>0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str">
        <x:f>IF(L11=0,"SEALED / UNJUDGED",IF(G11="INT","CONTEXT / NO ACCEPTANCE WEIGHT",IF(K11=1,"INVALID / NEW OPPORTUNITY",IF(M11=1,"FINAL / CONDITION SATISFIED","FINAL / ADVERSE"))))</x:f>
        <x:v>SEALED / UNJUDGED</x:v>
      </x:c>
    </x:row>
    <x:row r="12">
      <x:c r="A12" s="9" t="str">
        <x:v>RS-AR-LF-B-A-TECH-4-B1-INT-G0</x:v>
      </x:c>
      <x:c r="B12" s="9" t="str">
        <x:v>EV-AR-LF-B-A-TECH-4-B1-INT-G0</x:v>
      </x:c>
      <x:c r="C12" s="9" t="str">
        <x:v>AR-LF-B-A-TECH-4-B1-INT-G0</x:v>
      </x:c>
      <x:c r="D12" s="9" t="str">
        <x:v>LF-B-A-TECH-4</x:v>
      </x:c>
      <x:c r="E12" s="9" t="str">
        <x:v>LF-B-A</x:v>
      </x:c>
      <x:c r="F12" s="9" t="str">
        <x:v>B1</x:v>
      </x:c>
      <x:c r="G12" s="9" t="str">
        <x:v>INT</x:v>
      </x:c>
      <x:c r="H12" s="9" t="n">
        <x:v>0</x:v>
      </x:c>
      <x:c r="I12" s="17" t="str">
        <x:v>context only; no acceptance weight</x:v>
      </x:c>
      <x:c r="J12" s="9" t="n">
        <x:v>0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9" t="str">
        <x:f>IF(L12=0,"SEALED / UNJUDGED",IF(G12="INT","CONTEXT / NO ACCEPTANCE WEIGHT",IF(K12=1,"INVALID / NEW OPPORTUNITY",IF(M12=1,"FINAL / CONDITION SATISFIED","FINAL / ADVERSE"))))</x:f>
        <x:v>SEALED / UNJUDGED</x:v>
      </x:c>
    </x:row>
    <x:row r="13">
      <x:c r="A13" s="9" t="str">
        <x:v>RS-AR-ET-A-A-TECH-1-B1-INT-G0</x:v>
      </x:c>
      <x:c r="B13" s="9" t="str">
        <x:v>EV-AR-ET-A-A-TECH-1-B1-INT-G0</x:v>
      </x:c>
      <x:c r="C13" s="9" t="str">
        <x:v>AR-ET-A-A-TECH-1-B1-INT-G0</x:v>
      </x:c>
      <x:c r="D13" s="9" t="str">
        <x:v>ET-A-A-TECH-1</x:v>
      </x:c>
      <x:c r="E13" s="9" t="str">
        <x:v>ET-A-A</x:v>
      </x:c>
      <x:c r="F13" s="9" t="str">
        <x:v>B1</x:v>
      </x:c>
      <x:c r="G13" s="9" t="str">
        <x:v>INT</x:v>
      </x:c>
      <x:c r="H13" s="9" t="n">
        <x:v>0</x:v>
      </x:c>
      <x:c r="I13" s="17" t="str">
        <x:v>context only; no acceptance weight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9" t="str">
        <x:f>IF(L13=0,"SEALED / UNJUDGED",IF(G13="INT","CONTEXT / NO ACCEPTANCE WEIGHT",IF(K13=1,"INVALID / NEW OPPORTUNITY",IF(M13=1,"FINAL / CONDITION SATISFIED","FINAL / ADVERSE"))))</x:f>
        <x:v>SEALED / UNJUDGED</x:v>
      </x:c>
    </x:row>
    <x:row r="14">
      <x:c r="A14" s="9" t="str">
        <x:v>RS-AR-ET-A-A-TECH-2-B2-RCN-G0</x:v>
      </x:c>
      <x:c r="B14" s="9" t="str">
        <x:v>EV-AR-ET-A-A-TECH-2-B2-RCN-G0</x:v>
      </x:c>
      <x:c r="C14" s="9" t="str">
        <x:v>AR-ET-A-A-TECH-2-B2-RCN-G0</x:v>
      </x:c>
      <x:c r="D14" s="9" t="str">
        <x:v>ET-A-A-TECH-2</x:v>
      </x:c>
      <x:c r="E14" s="9" t="str">
        <x:v>ET-A-A</x:v>
      </x:c>
      <x:c r="F14" s="9" t="str">
        <x:v>B2</x:v>
      </x:c>
      <x:c r="G14" s="9" t="str">
        <x:v>RCN</x:v>
      </x:c>
      <x:c r="H14" s="9" t="n">
        <x:v>1</x:v>
      </x:c>
      <x:c r="I14" s="17" t="str">
        <x:v>virgin clean ancestry plus own valid event required</x:v>
      </x:c>
      <x:c r="J14" s="9" t="n">
        <x:v>0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9" t="str">
        <x:f>IF(L14=0,"SEALED / UNJUDGED",IF(G14="INT","CONTEXT / NO ACCEPTANCE WEIGHT",IF(K14=1,"INVALID / NEW OPPORTUNITY",IF(M14=1,"FINAL / CONDITION SATISFIED","FINAL / ADVERSE"))))</x:f>
        <x:v>SEALED / UNJUDGED</x:v>
      </x:c>
    </x:row>
    <x:row r="15">
      <x:c r="A15" s="9" t="str">
        <x:v>RS-AR-HC-A-C-TECH-3-B1-BRK-G0</x:v>
      </x:c>
      <x:c r="B15" s="9" t="str">
        <x:v>EV-AR-HC-A-C-TECH-3-B1-BRK-G0</x:v>
      </x:c>
      <x:c r="C15" s="9" t="str">
        <x:v>AR-HC-A-C-TECH-3-B1-BRK-G0</x:v>
      </x:c>
      <x:c r="D15" s="9" t="str">
        <x:v>HC-A-C-TECH-3</x:v>
      </x:c>
      <x:c r="E15" s="9" t="str">
        <x:v>HC-A-C</x:v>
      </x:c>
      <x:c r="F15" s="9" t="str">
        <x:v>B1</x:v>
      </x:c>
      <x:c r="G15" s="9" t="str">
        <x:v>BRK</x:v>
      </x:c>
      <x:c r="H15" s="9" t="n">
        <x:v>1</x:v>
      </x:c>
      <x:c r="I15" s="17" t="str">
        <x:v>first decisive exposure consumes role; judge registered fatal endpoint</x:v>
      </x:c>
      <x:c r="J15" s="9" t="n">
        <x:v>0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str">
        <x:f>IF(L15=0,"SEALED / UNJUDGED",IF(G15="INT","CONTEXT / NO ACCEPTANCE WEIGHT",IF(K15=1,"INVALID / NEW OPPORTUNITY",IF(M15=1,"FINAL / CONDITION SATISFIED","FINAL / ADVERSE"))))</x:f>
        <x:v>SEALED / UNJUDGED</x:v>
      </x:c>
    </x:row>
    <x:row r="16">
      <x:c r="A16" s="9" t="str">
        <x:v>RS-AR-HU-A-B-TECH-3-B1-INT-G0</x:v>
      </x:c>
      <x:c r="B16" s="9" t="str">
        <x:v>EV-AR-HU-A-B-TECH-3-B1-INT-G0</x:v>
      </x:c>
      <x:c r="C16" s="9" t="str">
        <x:v>AR-HU-A-B-TECH-3-B1-INT-G0</x:v>
      </x:c>
      <x:c r="D16" s="9" t="str">
        <x:v>HU-A-B-TECH-3</x:v>
      </x:c>
      <x:c r="E16" s="9" t="str">
        <x:v>HU-A-B</x:v>
      </x:c>
      <x:c r="F16" s="9" t="str">
        <x:v>B1</x:v>
      </x:c>
      <x:c r="G16" s="9" t="str">
        <x:v>INT</x:v>
      </x:c>
      <x:c r="H16" s="9" t="n">
        <x:v>0</x:v>
      </x:c>
      <x:c r="I16" s="17" t="str">
        <x:v>context only; no acceptance weight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str">
        <x:f>IF(L16=0,"SEALED / UNJUDGED",IF(G16="INT","CONTEXT / NO ACCEPTANCE WEIGHT",IF(K16=1,"INVALID / NEW OPPORTUNITY",IF(M16=1,"FINAL / CONDITION SATISFIED","FINAL / ADVERSE"))))</x:f>
        <x:v>SEALED / UNJUDGED</x:v>
      </x:c>
    </x:row>
    <x:row r="17">
      <x:c r="A17" s="9" t="str">
        <x:v>RS-AR-LF-B-A-TECH-1-B2-BRK-G0</x:v>
      </x:c>
      <x:c r="B17" s="9" t="str">
        <x:v>EV-AR-LF-B-A-TECH-1-B2-BRK-G0</x:v>
      </x:c>
      <x:c r="C17" s="9" t="str">
        <x:v>AR-LF-B-A-TECH-1-B2-BRK-G0</x:v>
      </x:c>
      <x:c r="D17" s="9" t="str">
        <x:v>LF-B-A-TECH-1</x:v>
      </x:c>
      <x:c r="E17" s="9" t="str">
        <x:v>LF-B-A</x:v>
      </x:c>
      <x:c r="F17" s="9" t="str">
        <x:v>B2</x:v>
      </x:c>
      <x:c r="G17" s="9" t="str">
        <x:v>BRK</x:v>
      </x:c>
      <x:c r="H17" s="9" t="n">
        <x:v>1</x:v>
      </x:c>
      <x:c r="I17" s="17" t="str">
        <x:v>first decisive exposure consumes role; judge registered fatal endpoint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str">
        <x:f>IF(L17=0,"SEALED / UNJUDGED",IF(G17="INT","CONTEXT / NO ACCEPTANCE WEIGHT",IF(K17=1,"INVALID / NEW OPPORTUNITY",IF(M17=1,"FINAL / CONDITION SATISFIED","FINAL / ADVERSE"))))</x:f>
        <x:v>SEALED / UNJUDGED</x:v>
      </x:c>
    </x:row>
    <x:row r="18">
      <x:c r="A18" s="9" t="str">
        <x:v>RS-AR-RT-B-C-TECH-1-B2-INT-G0</x:v>
      </x:c>
      <x:c r="B18" s="9" t="str">
        <x:v>EV-AR-RT-B-C-TECH-1-B2-INT-G0</x:v>
      </x:c>
      <x:c r="C18" s="9" t="str">
        <x:v>AR-RT-B-C-TECH-1-B2-INT-G0</x:v>
      </x:c>
      <x:c r="D18" s="9" t="str">
        <x:v>RT-B-C-TECH-1</x:v>
      </x:c>
      <x:c r="E18" s="9" t="str">
        <x:v>RT-B-C</x:v>
      </x:c>
      <x:c r="F18" s="9" t="str">
        <x:v>B2</x:v>
      </x:c>
      <x:c r="G18" s="9" t="str">
        <x:v>INT</x:v>
      </x:c>
      <x:c r="H18" s="9" t="n">
        <x:v>0</x:v>
      </x:c>
      <x:c r="I18" s="17" t="str">
        <x:v>context only; no acceptance weight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str">
        <x:f>IF(L18=0,"SEALED / UNJUDGED",IF(G18="INT","CONTEXT / NO ACCEPTANCE WEIGHT",IF(K18=1,"INVALID / NEW OPPORTUNITY",IF(M18=1,"FINAL / CONDITION SATISFIED","FINAL / ADVERSE"))))</x:f>
        <x:v>SEALED / UNJUDGED</x:v>
      </x:c>
    </x:row>
    <x:row r="19">
      <x:c r="A19" s="9" t="str">
        <x:v>RS-AR-ET-A-A-TECH-4-B2-BRK-G0</x:v>
      </x:c>
      <x:c r="B19" s="9" t="str">
        <x:v>EV-AR-ET-A-A-TECH-4-B2-BRK-G0</x:v>
      </x:c>
      <x:c r="C19" s="9" t="str">
        <x:v>AR-ET-A-A-TECH-4-B2-BRK-G0</x:v>
      </x:c>
      <x:c r="D19" s="9" t="str">
        <x:v>ET-A-A-TECH-4</x:v>
      </x:c>
      <x:c r="E19" s="9" t="str">
        <x:v>ET-A-A</x:v>
      </x:c>
      <x:c r="F19" s="9" t="str">
        <x:v>B2</x:v>
      </x:c>
      <x:c r="G19" s="9" t="str">
        <x:v>BRK</x:v>
      </x:c>
      <x:c r="H19" s="9" t="n">
        <x:v>1</x:v>
      </x:c>
      <x:c r="I19" s="17" t="str">
        <x:v>first decisive exposure consumes role; judge registered fatal endpoint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str">
        <x:f>IF(L19=0,"SEALED / UNJUDGED",IF(G19="INT","CONTEXT / NO ACCEPTANCE WEIGHT",IF(K19=1,"INVALID / NEW OPPORTUNITY",IF(M19=1,"FINAL / CONDITION SATISFIED","FINAL / ADVERSE"))))</x:f>
        <x:v>SEALED / UNJUDGED</x:v>
      </x:c>
    </x:row>
    <x:row r="20">
      <x:c r="A20" s="9" t="str">
        <x:v>RS-AR-ET-A-A-TECH-3-B1-RCN-G0</x:v>
      </x:c>
      <x:c r="B20" s="9" t="str">
        <x:v>EV-AR-ET-A-A-TECH-3-B1-RCN-G0</x:v>
      </x:c>
      <x:c r="C20" s="9" t="str">
        <x:v>AR-ET-A-A-TECH-3-B1-RCN-G0</x:v>
      </x:c>
      <x:c r="D20" s="9" t="str">
        <x:v>ET-A-A-TECH-3</x:v>
      </x:c>
      <x:c r="E20" s="9" t="str">
        <x:v>ET-A-A</x:v>
      </x:c>
      <x:c r="F20" s="9" t="str">
        <x:v>B1</x:v>
      </x:c>
      <x:c r="G20" s="9" t="str">
        <x:v>RCN</x:v>
      </x:c>
      <x:c r="H20" s="9" t="n">
        <x:v>1</x:v>
      </x:c>
      <x:c r="I20" s="17" t="str">
        <x:v>virgin clean ancestry plus own valid event required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9" t="str">
        <x:f>IF(L20=0,"SEALED / UNJUDGED",IF(G20="INT","CONTEXT / NO ACCEPTANCE WEIGHT",IF(K20=1,"INVALID / NEW OPPORTUNITY",IF(M20=1,"FINAL / CONDITION SATISFIED","FINAL / ADVERSE"))))</x:f>
        <x:v>SEALED / UNJUDGED</x:v>
      </x:c>
    </x:row>
    <x:row r="21">
      <x:c r="A21" s="9" t="str">
        <x:v>RS-AR-HC-A-C-TECH-4-B2-INT-G0</x:v>
      </x:c>
      <x:c r="B21" s="9" t="str">
        <x:v>EV-AR-HC-A-C-TECH-4-B2-INT-G0</x:v>
      </x:c>
      <x:c r="C21" s="9" t="str">
        <x:v>AR-HC-A-C-TECH-4-B2-INT-G0</x:v>
      </x:c>
      <x:c r="D21" s="9" t="str">
        <x:v>HC-A-C-TECH-4</x:v>
      </x:c>
      <x:c r="E21" s="9" t="str">
        <x:v>HC-A-C</x:v>
      </x:c>
      <x:c r="F21" s="9" t="str">
        <x:v>B2</x:v>
      </x:c>
      <x:c r="G21" s="9" t="str">
        <x:v>INT</x:v>
      </x:c>
      <x:c r="H21" s="9" t="n">
        <x:v>0</x:v>
      </x:c>
      <x:c r="I21" s="17" t="str">
        <x:v>context only; no acceptance weight</x:v>
      </x:c>
      <x:c r="J21" s="9" t="n">
        <x:v>0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str">
        <x:f>IF(L21=0,"SEALED / UNJUDGED",IF(G21="INT","CONTEXT / NO ACCEPTANCE WEIGHT",IF(K21=1,"INVALID / NEW OPPORTUNITY",IF(M21=1,"FINAL / CONDITION SATISFIED","FINAL / ADVERSE"))))</x:f>
        <x:v>SEALED / UNJUDGED</x:v>
      </x:c>
    </x:row>
    <x:row r="22">
      <x:c r="A22" s="9" t="str">
        <x:v>RS-AR-LF-B-A-TECH-3-B2-INT-G0</x:v>
      </x:c>
      <x:c r="B22" s="9" t="str">
        <x:v>EV-AR-LF-B-A-TECH-3-B2-INT-G0</x:v>
      </x:c>
      <x:c r="C22" s="9" t="str">
        <x:v>AR-LF-B-A-TECH-3-B2-INT-G0</x:v>
      </x:c>
      <x:c r="D22" s="9" t="str">
        <x:v>LF-B-A-TECH-3</x:v>
      </x:c>
      <x:c r="E22" s="9" t="str">
        <x:v>LF-B-A</x:v>
      </x:c>
      <x:c r="F22" s="9" t="str">
        <x:v>B2</x:v>
      </x:c>
      <x:c r="G22" s="9" t="str">
        <x:v>INT</x:v>
      </x:c>
      <x:c r="H22" s="9" t="n">
        <x:v>0</x:v>
      </x:c>
      <x:c r="I22" s="17" t="str">
        <x:v>context only; no acceptance weight</x:v>
      </x:c>
      <x:c r="J22" s="9" t="n">
        <x:v>0</x:v>
      </x:c>
      <x:c r="K22" s="9" t="n">
        <x:v>0</x:v>
      </x:c>
      <x:c r="L22" s="9" t="n">
        <x:v>0</x:v>
      </x:c>
      <x:c r="M22" s="9" t="n">
        <x:v>0</x:v>
      </x:c>
      <x:c r="N22" s="9" t="n">
        <x:v>0</x:v>
      </x:c>
      <x:c r="O22" s="9" t="str">
        <x:f>IF(L22=0,"SEALED / UNJUDGED",IF(G22="INT","CONTEXT / NO ACCEPTANCE WEIGHT",IF(K22=1,"INVALID / NEW OPPORTUNITY",IF(M22=1,"FINAL / CONDITION SATISFIED","FINAL / ADVERSE"))))</x:f>
        <x:v>SEALED / UNJUDGED</x:v>
      </x:c>
    </x:row>
    <x:row r="23">
      <x:c r="A23" s="9" t="str">
        <x:v>RS-AR-RT-B-C-TECH-3-B2-RCN-G0</x:v>
      </x:c>
      <x:c r="B23" s="9" t="str">
        <x:v>EV-AR-RT-B-C-TECH-3-B2-RCN-G0</x:v>
      </x:c>
      <x:c r="C23" s="9" t="str">
        <x:v>AR-RT-B-C-TECH-3-B2-RCN-G0</x:v>
      </x:c>
      <x:c r="D23" s="9" t="str">
        <x:v>RT-B-C-TECH-3</x:v>
      </x:c>
      <x:c r="E23" s="9" t="str">
        <x:v>RT-B-C</x:v>
      </x:c>
      <x:c r="F23" s="9" t="str">
        <x:v>B2</x:v>
      </x:c>
      <x:c r="G23" s="9" t="str">
        <x:v>RCN</x:v>
      </x:c>
      <x:c r="H23" s="9" t="n">
        <x:v>1</x:v>
      </x:c>
      <x:c r="I23" s="17" t="str">
        <x:v>virgin clean ancestry plus own valid event required</x:v>
      </x:c>
      <x:c r="J23" s="9" t="n">
        <x:v>0</x:v>
      </x:c>
      <x:c r="K23" s="9" t="n">
        <x:v>0</x:v>
      </x:c>
      <x:c r="L23" s="9" t="n">
        <x:v>0</x:v>
      </x:c>
      <x:c r="M23" s="9" t="n">
        <x:v>0</x:v>
      </x:c>
      <x:c r="N23" s="9" t="n">
        <x:v>0</x:v>
      </x:c>
      <x:c r="O23" s="9" t="str">
        <x:f>IF(L23=0,"SEALED / UNJUDGED",IF(G23="INT","CONTEXT / NO ACCEPTANCE WEIGHT",IF(K23=1,"INVALID / NEW OPPORTUNITY",IF(M23=1,"FINAL / CONDITION SATISFIED","FINAL / ADVERSE"))))</x:f>
        <x:v>SEALED / UNJUDGED</x:v>
      </x:c>
    </x:row>
    <x:row r="24">
      <x:c r="A24" s="9" t="str">
        <x:v>RS-AR-RT-B-C-TECH-4-B1-RCN-G0</x:v>
      </x:c>
      <x:c r="B24" s="9" t="str">
        <x:v>EV-AR-RT-B-C-TECH-4-B1-RCN-G0</x:v>
      </x:c>
      <x:c r="C24" s="9" t="str">
        <x:v>AR-RT-B-C-TECH-4-B1-RCN-G0</x:v>
      </x:c>
      <x:c r="D24" s="9" t="str">
        <x:v>RT-B-C-TECH-4</x:v>
      </x:c>
      <x:c r="E24" s="9" t="str">
        <x:v>RT-B-C</x:v>
      </x:c>
      <x:c r="F24" s="9" t="str">
        <x:v>B1</x:v>
      </x:c>
      <x:c r="G24" s="9" t="str">
        <x:v>RCN</x:v>
      </x:c>
      <x:c r="H24" s="9" t="n">
        <x:v>1</x:v>
      </x:c>
      <x:c r="I24" s="17" t="str">
        <x:v>virgin clean ancestry plus own valid event required</x:v>
      </x:c>
      <x:c r="J24" s="9" t="n">
        <x:v>0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9" t="str">
        <x:f>IF(L24=0,"SEALED / UNJUDGED",IF(G24="INT","CONTEXT / NO ACCEPTANCE WEIGHT",IF(K24=1,"INVALID / NEW OPPORTUNITY",IF(M24=1,"FINAL / CONDITION SATISFIED","FINAL / ADVERSE"))))</x:f>
        <x:v>SEALED / UNJUDGED</x:v>
      </x:c>
    </x:row>
    <x:row r="25">
      <x:c r="A25" s="9" t="str">
        <x:v>RS-AR-CT-C-B-TECH-4-B1-BRK-G0</x:v>
      </x:c>
      <x:c r="B25" s="9" t="str">
        <x:v>EV-AR-CT-C-B-TECH-4-B1-BRK-G0</x:v>
      </x:c>
      <x:c r="C25" s="9" t="str">
        <x:v>AR-CT-C-B-TECH-4-B1-BRK-G0</x:v>
      </x:c>
      <x:c r="D25" s="9" t="str">
        <x:v>CT-C-B-TECH-4</x:v>
      </x:c>
      <x:c r="E25" s="9" t="str">
        <x:v>CT-C-B</x:v>
      </x:c>
      <x:c r="F25" s="9" t="str">
        <x:v>B1</x:v>
      </x:c>
      <x:c r="G25" s="9" t="str">
        <x:v>BRK</x:v>
      </x:c>
      <x:c r="H25" s="9" t="n">
        <x:v>1</x:v>
      </x:c>
      <x:c r="I25" s="17" t="str">
        <x:v>first decisive exposure consumes role; judge registered fatal endpoint</x:v>
      </x:c>
      <x:c r="J25" s="9" t="n">
        <x:v>0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9" t="str">
        <x:f>IF(L25=0,"SEALED / UNJUDGED",IF(G25="INT","CONTEXT / NO ACCEPTANCE WEIGHT",IF(K25=1,"INVALID / NEW OPPORTUNITY",IF(M25=1,"FINAL / CONDITION SATISFIED","FINAL / ADVERSE"))))</x:f>
        <x:v>SEALED / UNJUDGED</x:v>
      </x:c>
    </x:row>
    <x:row r="26">
      <x:c r="A26" s="9" t="str">
        <x:v>RS-AR-CT-C-B-TECH-2-B1-RCN-G0</x:v>
      </x:c>
      <x:c r="B26" s="9" t="str">
        <x:v>EV-AR-CT-C-B-TECH-2-B1-RCN-G0</x:v>
      </x:c>
      <x:c r="C26" s="9" t="str">
        <x:v>AR-CT-C-B-TECH-2-B1-RCN-G0</x:v>
      </x:c>
      <x:c r="D26" s="9" t="str">
        <x:v>CT-C-B-TECH-2</x:v>
      </x:c>
      <x:c r="E26" s="9" t="str">
        <x:v>CT-C-B</x:v>
      </x:c>
      <x:c r="F26" s="9" t="str">
        <x:v>B1</x:v>
      </x:c>
      <x:c r="G26" s="9" t="str">
        <x:v>RCN</x:v>
      </x:c>
      <x:c r="H26" s="9" t="n">
        <x:v>1</x:v>
      </x:c>
      <x:c r="I26" s="17" t="str">
        <x:v>virgin clean ancestry plus own valid event required</x:v>
      </x:c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9" t="str">
        <x:f>IF(L26=0,"SEALED / UNJUDGED",IF(G26="INT","CONTEXT / NO ACCEPTANCE WEIGHT",IF(K26=1,"INVALID / NEW OPPORTUNITY",IF(M26=1,"FINAL / CONDITION SATISFIED","FINAL / ADVERSE"))))</x:f>
        <x:v>SEALED / UNJUDGED</x:v>
      </x:c>
    </x:row>
    <x:row r="27">
      <x:c r="A27" s="9" t="str">
        <x:v>RS-AR-HC-A-C-TECH-2-B2-BRK-G0</x:v>
      </x:c>
      <x:c r="B27" s="9" t="str">
        <x:v>EV-AR-HC-A-C-TECH-2-B2-BRK-G0</x:v>
      </x:c>
      <x:c r="C27" s="9" t="str">
        <x:v>AR-HC-A-C-TECH-2-B2-BRK-G0</x:v>
      </x:c>
      <x:c r="D27" s="9" t="str">
        <x:v>HC-A-C-TECH-2</x:v>
      </x:c>
      <x:c r="E27" s="9" t="str">
        <x:v>HC-A-C</x:v>
      </x:c>
      <x:c r="F27" s="9" t="str">
        <x:v>B2</x:v>
      </x:c>
      <x:c r="G27" s="9" t="str">
        <x:v>BRK</x:v>
      </x:c>
      <x:c r="H27" s="9" t="n">
        <x:v>1</x:v>
      </x:c>
      <x:c r="I27" s="17" t="str">
        <x:v>first decisive exposure consumes role; judge registered fatal endpoint</x:v>
      </x:c>
      <x:c r="J27" s="9" t="n">
        <x:v>0</x:v>
      </x:c>
      <x:c r="K27" s="9" t="n">
        <x:v>0</x:v>
      </x:c>
      <x:c r="L27" s="9" t="n">
        <x:v>0</x:v>
      </x:c>
      <x:c r="M27" s="9" t="n">
        <x:v>0</x:v>
      </x:c>
      <x:c r="N27" s="9" t="n">
        <x:v>0</x:v>
      </x:c>
      <x:c r="O27" s="9" t="str">
        <x:f>IF(L27=0,"SEALED / UNJUDGED",IF(G27="INT","CONTEXT / NO ACCEPTANCE WEIGHT",IF(K27=1,"INVALID / NEW OPPORTUNITY",IF(M27=1,"FINAL / CONDITION SATISFIED","FINAL / ADVERSE"))))</x:f>
        <x:v>SEALED / UNJUDGED</x:v>
      </x:c>
    </x:row>
    <x:row r="28">
      <x:c r="A28" s="9" t="str">
        <x:v>RS-AR-HU-A-B-TECH-1-B1-BRK-G0</x:v>
      </x:c>
      <x:c r="B28" s="9" t="str">
        <x:v>EV-AR-HU-A-B-TECH-1-B1-BRK-G0</x:v>
      </x:c>
      <x:c r="C28" s="9" t="str">
        <x:v>AR-HU-A-B-TECH-1-B1-BRK-G0</x:v>
      </x:c>
      <x:c r="D28" s="9" t="str">
        <x:v>HU-A-B-TECH-1</x:v>
      </x:c>
      <x:c r="E28" s="9" t="str">
        <x:v>HU-A-B</x:v>
      </x:c>
      <x:c r="F28" s="9" t="str">
        <x:v>B1</x:v>
      </x:c>
      <x:c r="G28" s="9" t="str">
        <x:v>BRK</x:v>
      </x:c>
      <x:c r="H28" s="9" t="n">
        <x:v>1</x:v>
      </x:c>
      <x:c r="I28" s="17" t="str">
        <x:v>first decisive exposure consumes role; judge registered fatal endpoint</x:v>
      </x:c>
      <x:c r="J28" s="9" t="n">
        <x:v>0</x:v>
      </x:c>
      <x:c r="K28" s="9" t="n">
        <x:v>0</x:v>
      </x:c>
      <x:c r="L28" s="9" t="n">
        <x:v>0</x:v>
      </x:c>
      <x:c r="M28" s="9" t="n">
        <x:v>0</x:v>
      </x:c>
      <x:c r="N28" s="9" t="n">
        <x:v>0</x:v>
      </x:c>
      <x:c r="O28" s="9" t="str">
        <x:f>IF(L28=0,"SEALED / UNJUDGED",IF(G28="INT","CONTEXT / NO ACCEPTANCE WEIGHT",IF(K28=1,"INVALID / NEW OPPORTUNITY",IF(M28=1,"FINAL / CONDITION SATISFIED","FINAL / ADVERSE"))))</x:f>
        <x:v>SEALED / UNJUDGED</x:v>
      </x:c>
    </x:row>
    <x:row r="29">
      <x:c r="A29" s="9" t="str">
        <x:v>RS-AR-LF-B-A-TECH-2-B1-BRK-G0</x:v>
      </x:c>
      <x:c r="B29" s="9" t="str">
        <x:v>EV-AR-LF-B-A-TECH-2-B1-BRK-G0</x:v>
      </x:c>
      <x:c r="C29" s="9" t="str">
        <x:v>AR-LF-B-A-TECH-2-B1-BRK-G0</x:v>
      </x:c>
      <x:c r="D29" s="9" t="str">
        <x:v>LF-B-A-TECH-2</x:v>
      </x:c>
      <x:c r="E29" s="9" t="str">
        <x:v>LF-B-A</x:v>
      </x:c>
      <x:c r="F29" s="9" t="str">
        <x:v>B1</x:v>
      </x:c>
      <x:c r="G29" s="9" t="str">
        <x:v>BRK</x:v>
      </x:c>
      <x:c r="H29" s="9" t="n">
        <x:v>1</x:v>
      </x:c>
      <x:c r="I29" s="17" t="str">
        <x:v>first decisive exposure consumes role; judge registered fatal endpoint</x:v>
      </x:c>
      <x:c r="J29" s="9" t="n">
        <x:v>0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9" t="str">
        <x:f>IF(L29=0,"SEALED / UNJUDGED",IF(G29="INT","CONTEXT / NO ACCEPTANCE WEIGHT",IF(K29=1,"INVALID / NEW OPPORTUNITY",IF(M29=1,"FINAL / CONDITION SATISFIED","FINAL / ADVERSE"))))</x:f>
        <x:v>SEALED / UNJUDGED</x:v>
      </x:c>
    </x:row>
    <x:row r="30">
      <x:c r="A30" s="9" t="str">
        <x:v>RS-AR-RT-B-C-TECH-2-B1-INT-G0</x:v>
      </x:c>
      <x:c r="B30" s="9" t="str">
        <x:v>EV-AR-RT-B-C-TECH-2-B1-INT-G0</x:v>
      </x:c>
      <x:c r="C30" s="9" t="str">
        <x:v>AR-RT-B-C-TECH-2-B1-INT-G0</x:v>
      </x:c>
      <x:c r="D30" s="9" t="str">
        <x:v>RT-B-C-TECH-2</x:v>
      </x:c>
      <x:c r="E30" s="9" t="str">
        <x:v>RT-B-C</x:v>
      </x:c>
      <x:c r="F30" s="9" t="str">
        <x:v>B1</x:v>
      </x:c>
      <x:c r="G30" s="9" t="str">
        <x:v>INT</x:v>
      </x:c>
      <x:c r="H30" s="9" t="n">
        <x:v>0</x:v>
      </x:c>
      <x:c r="I30" s="17" t="str">
        <x:v>context only; no acceptance weight</x:v>
      </x:c>
      <x:c r="J30" s="9" t="n">
        <x:v>0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str">
        <x:f>IF(L30=0,"SEALED / UNJUDGED",IF(G30="INT","CONTEXT / NO ACCEPTANCE WEIGHT",IF(K30=1,"INVALID / NEW OPPORTUNITY",IF(M30=1,"FINAL / CONDITION SATISFIED","FINAL / ADVERSE"))))</x:f>
        <x:v>SEALED / UNJUDGED</x:v>
      </x:c>
    </x:row>
    <x:row r="31">
      <x:c r="A31" s="9" t="str">
        <x:v>RS-AR-CT-C-B-TECH-4-B2-BRK-G0</x:v>
      </x:c>
      <x:c r="B31" s="9" t="str">
        <x:v>EV-AR-CT-C-B-TECH-4-B2-BRK-G0</x:v>
      </x:c>
      <x:c r="C31" s="9" t="str">
        <x:v>AR-CT-C-B-TECH-4-B2-BRK-G0</x:v>
      </x:c>
      <x:c r="D31" s="9" t="str">
        <x:v>CT-C-B-TECH-4</x:v>
      </x:c>
      <x:c r="E31" s="9" t="str">
        <x:v>CT-C-B</x:v>
      </x:c>
      <x:c r="F31" s="9" t="str">
        <x:v>B2</x:v>
      </x:c>
      <x:c r="G31" s="9" t="str">
        <x:v>BRK</x:v>
      </x:c>
      <x:c r="H31" s="9" t="n">
        <x:v>1</x:v>
      </x:c>
      <x:c r="I31" s="17" t="str">
        <x:v>first decisive exposure consumes role; judge registered fatal endpoint</x:v>
      </x:c>
      <x:c r="J31" s="9" t="n">
        <x:v>0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str">
        <x:f>IF(L31=0,"SEALED / UNJUDGED",IF(G31="INT","CONTEXT / NO ACCEPTANCE WEIGHT",IF(K31=1,"INVALID / NEW OPPORTUNITY",IF(M31=1,"FINAL / CONDITION SATISFIED","FINAL / ADVERSE"))))</x:f>
        <x:v>SEALED / UNJUDGED</x:v>
      </x:c>
    </x:row>
    <x:row r="32">
      <x:c r="A32" s="9" t="str">
        <x:v>RS-AR-CT-C-B-TECH-3-B1-RCN-G0</x:v>
      </x:c>
      <x:c r="B32" s="9" t="str">
        <x:v>EV-AR-CT-C-B-TECH-3-B1-RCN-G0</x:v>
      </x:c>
      <x:c r="C32" s="9" t="str">
        <x:v>AR-CT-C-B-TECH-3-B1-RCN-G0</x:v>
      </x:c>
      <x:c r="D32" s="9" t="str">
        <x:v>CT-C-B-TECH-3</x:v>
      </x:c>
      <x:c r="E32" s="9" t="str">
        <x:v>CT-C-B</x:v>
      </x:c>
      <x:c r="F32" s="9" t="str">
        <x:v>B1</x:v>
      </x:c>
      <x:c r="G32" s="9" t="str">
        <x:v>RCN</x:v>
      </x:c>
      <x:c r="H32" s="9" t="n">
        <x:v>1</x:v>
      </x:c>
      <x:c r="I32" s="17" t="str">
        <x:v>virgin clean ancestry plus own valid event required</x:v>
      </x:c>
      <x:c r="J32" s="9" t="n">
        <x:v>0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str">
        <x:f>IF(L32=0,"SEALED / UNJUDGED",IF(G32="INT","CONTEXT / NO ACCEPTANCE WEIGHT",IF(K32=1,"INVALID / NEW OPPORTUNITY",IF(M32=1,"FINAL / CONDITION SATISFIED","FINAL / ADVERSE"))))</x:f>
        <x:v>SEALED / UNJUDGED</x:v>
      </x:c>
    </x:row>
    <x:row r="33">
      <x:c r="A33" s="9" t="str">
        <x:v>RS-AR-HC-A-C-TECH-1-B2-RCN-G0</x:v>
      </x:c>
      <x:c r="B33" s="9" t="str">
        <x:v>EV-AR-HC-A-C-TECH-1-B2-RCN-G0</x:v>
      </x:c>
      <x:c r="C33" s="9" t="str">
        <x:v>AR-HC-A-C-TECH-1-B2-RCN-G0</x:v>
      </x:c>
      <x:c r="D33" s="9" t="str">
        <x:v>HC-A-C-TECH-1</x:v>
      </x:c>
      <x:c r="E33" s="9" t="str">
        <x:v>HC-A-C</x:v>
      </x:c>
      <x:c r="F33" s="9" t="str">
        <x:v>B2</x:v>
      </x:c>
      <x:c r="G33" s="9" t="str">
        <x:v>RCN</x:v>
      </x:c>
      <x:c r="H33" s="9" t="n">
        <x:v>1</x:v>
      </x:c>
      <x:c r="I33" s="17" t="str">
        <x:v>virgin clean ancestry plus own valid event required</x:v>
      </x:c>
      <x:c r="J33" s="9" t="n">
        <x:v>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str">
        <x:f>IF(L33=0,"SEALED / UNJUDGED",IF(G33="INT","CONTEXT / NO ACCEPTANCE WEIGHT",IF(K33=1,"INVALID / NEW OPPORTUNITY",IF(M33=1,"FINAL / CONDITION SATISFIED","FINAL / ADVERSE"))))</x:f>
        <x:v>SEALED / UNJUDGED</x:v>
      </x:c>
    </x:row>
    <x:row r="34">
      <x:c r="A34" s="9" t="str">
        <x:v>RS-AR-HC-A-C-TECH-3-B2-BRK-G0</x:v>
      </x:c>
      <x:c r="B34" s="9" t="str">
        <x:v>EV-AR-HC-A-C-TECH-3-B2-BRK-G0</x:v>
      </x:c>
      <x:c r="C34" s="9" t="str">
        <x:v>AR-HC-A-C-TECH-3-B2-BRK-G0</x:v>
      </x:c>
      <x:c r="D34" s="9" t="str">
        <x:v>HC-A-C-TECH-3</x:v>
      </x:c>
      <x:c r="E34" s="9" t="str">
        <x:v>HC-A-C</x:v>
      </x:c>
      <x:c r="F34" s="9" t="str">
        <x:v>B2</x:v>
      </x:c>
      <x:c r="G34" s="9" t="str">
        <x:v>BRK</x:v>
      </x:c>
      <x:c r="H34" s="9" t="n">
        <x:v>1</x:v>
      </x:c>
      <x:c r="I34" s="17" t="str">
        <x:v>first decisive exposure consumes role; judge registered fatal endpoint</x:v>
      </x:c>
      <x:c r="J34" s="9" t="n">
        <x:v>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str">
        <x:f>IF(L34=0,"SEALED / UNJUDGED",IF(G34="INT","CONTEXT / NO ACCEPTANCE WEIGHT",IF(K34=1,"INVALID / NEW OPPORTUNITY",IF(M34=1,"FINAL / CONDITION SATISFIED","FINAL / ADVERSE"))))</x:f>
        <x:v>SEALED / UNJUDGED</x:v>
      </x:c>
    </x:row>
    <x:row r="35">
      <x:c r="A35" s="9" t="str">
        <x:v>RS-AR-HU-A-B-TECH-4-B1-INT-G0</x:v>
      </x:c>
      <x:c r="B35" s="9" t="str">
        <x:v>EV-AR-HU-A-B-TECH-4-B1-INT-G0</x:v>
      </x:c>
      <x:c r="C35" s="9" t="str">
        <x:v>AR-HU-A-B-TECH-4-B1-INT-G0</x:v>
      </x:c>
      <x:c r="D35" s="9" t="str">
        <x:v>HU-A-B-TECH-4</x:v>
      </x:c>
      <x:c r="E35" s="9" t="str">
        <x:v>HU-A-B</x:v>
      </x:c>
      <x:c r="F35" s="9" t="str">
        <x:v>B1</x:v>
      </x:c>
      <x:c r="G35" s="9" t="str">
        <x:v>INT</x:v>
      </x:c>
      <x:c r="H35" s="9" t="n">
        <x:v>0</x:v>
      </x:c>
      <x:c r="I35" s="17" t="str">
        <x:v>context only; no acceptance weight</x:v>
      </x:c>
      <x:c r="J35" s="9" t="n">
        <x:v>0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9" t="str">
        <x:f>IF(L35=0,"SEALED / UNJUDGED",IF(G35="INT","CONTEXT / NO ACCEPTANCE WEIGHT",IF(K35=1,"INVALID / NEW OPPORTUNITY",IF(M35=1,"FINAL / CONDITION SATISFIED","FINAL / ADVERSE"))))</x:f>
        <x:v>SEALED / UNJUDGED</x:v>
      </x:c>
    </x:row>
    <x:row r="36">
      <x:c r="A36" s="9" t="str">
        <x:v>RS-AR-LF-B-A-TECH-1-B1-RCN-G0</x:v>
      </x:c>
      <x:c r="B36" s="9" t="str">
        <x:v>EV-AR-LF-B-A-TECH-1-B1-RCN-G0</x:v>
      </x:c>
      <x:c r="C36" s="9" t="str">
        <x:v>AR-LF-B-A-TECH-1-B1-RCN-G0</x:v>
      </x:c>
      <x:c r="D36" s="9" t="str">
        <x:v>LF-B-A-TECH-1</x:v>
      </x:c>
      <x:c r="E36" s="9" t="str">
        <x:v>LF-B-A</x:v>
      </x:c>
      <x:c r="F36" s="9" t="str">
        <x:v>B1</x:v>
      </x:c>
      <x:c r="G36" s="9" t="str">
        <x:v>RCN</x:v>
      </x:c>
      <x:c r="H36" s="9" t="n">
        <x:v>1</x:v>
      </x:c>
      <x:c r="I36" s="17" t="str">
        <x:v>virgin clean ancestry plus own valid event required</x:v>
      </x:c>
      <x:c r="J36" s="9" t="n">
        <x:v>0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9" t="str">
        <x:f>IF(L36=0,"SEALED / UNJUDGED",IF(G36="INT","CONTEXT / NO ACCEPTANCE WEIGHT",IF(K36=1,"INVALID / NEW OPPORTUNITY",IF(M36=1,"FINAL / CONDITION SATISFIED","FINAL / ADVERSE"))))</x:f>
        <x:v>SEALED / UNJUDGED</x:v>
      </x:c>
    </x:row>
    <x:row r="37">
      <x:c r="A37" s="9" t="str">
        <x:v>RS-AR-ET-A-A-TECH-3-B2-RCN-G0</x:v>
      </x:c>
      <x:c r="B37" s="9" t="str">
        <x:v>EV-AR-ET-A-A-TECH-3-B2-RCN-G0</x:v>
      </x:c>
      <x:c r="C37" s="9" t="str">
        <x:v>AR-ET-A-A-TECH-3-B2-RCN-G0</x:v>
      </x:c>
      <x:c r="D37" s="9" t="str">
        <x:v>ET-A-A-TECH-3</x:v>
      </x:c>
      <x:c r="E37" s="9" t="str">
        <x:v>ET-A-A</x:v>
      </x:c>
      <x:c r="F37" s="9" t="str">
        <x:v>B2</x:v>
      </x:c>
      <x:c r="G37" s="9" t="str">
        <x:v>RCN</x:v>
      </x:c>
      <x:c r="H37" s="9" t="n">
        <x:v>1</x:v>
      </x:c>
      <x:c r="I37" s="17" t="str">
        <x:v>virgin clean ancestry plus own valid event required</x:v>
      </x:c>
      <x:c r="J37" s="9" t="n">
        <x:v>0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9" t="str">
        <x:f>IF(L37=0,"SEALED / UNJUDGED",IF(G37="INT","CONTEXT / NO ACCEPTANCE WEIGHT",IF(K37=1,"INVALID / NEW OPPORTUNITY",IF(M37=1,"FINAL / CONDITION SATISFIED","FINAL / ADVERSE"))))</x:f>
        <x:v>SEALED / UNJUDGED</x:v>
      </x:c>
    </x:row>
    <x:row r="38">
      <x:c r="A38" s="9" t="str">
        <x:v>RS-AR-ET-A-A-TECH-1-B2-INT-G0</x:v>
      </x:c>
      <x:c r="B38" s="9" t="str">
        <x:v>EV-AR-ET-A-A-TECH-1-B2-INT-G0</x:v>
      </x:c>
      <x:c r="C38" s="9" t="str">
        <x:v>AR-ET-A-A-TECH-1-B2-INT-G0</x:v>
      </x:c>
      <x:c r="D38" s="9" t="str">
        <x:v>ET-A-A-TECH-1</x:v>
      </x:c>
      <x:c r="E38" s="9" t="str">
        <x:v>ET-A-A</x:v>
      </x:c>
      <x:c r="F38" s="9" t="str">
        <x:v>B2</x:v>
      </x:c>
      <x:c r="G38" s="9" t="str">
        <x:v>INT</x:v>
      </x:c>
      <x:c r="H38" s="9" t="n">
        <x:v>0</x:v>
      </x:c>
      <x:c r="I38" s="17" t="str">
        <x:v>context only; no acceptance weight</x:v>
      </x:c>
      <x:c r="J38" s="9" t="n">
        <x:v>0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9" t="str">
        <x:f>IF(L38=0,"SEALED / UNJUDGED",IF(G38="INT","CONTEXT / NO ACCEPTANCE WEIGHT",IF(K38=1,"INVALID / NEW OPPORTUNITY",IF(M38=1,"FINAL / CONDITION SATISFIED","FINAL / ADVERSE"))))</x:f>
        <x:v>SEALED / UNJUDGED</x:v>
      </x:c>
    </x:row>
    <x:row r="39">
      <x:c r="A39" s="9" t="str">
        <x:v>RS-AR-HU-A-B-TECH-1-B2-BRK-G0</x:v>
      </x:c>
      <x:c r="B39" s="9" t="str">
        <x:v>EV-AR-HU-A-B-TECH-1-B2-BRK-G0</x:v>
      </x:c>
      <x:c r="C39" s="9" t="str">
        <x:v>AR-HU-A-B-TECH-1-B2-BRK-G0</x:v>
      </x:c>
      <x:c r="D39" s="9" t="str">
        <x:v>HU-A-B-TECH-1</x:v>
      </x:c>
      <x:c r="E39" s="9" t="str">
        <x:v>HU-A-B</x:v>
      </x:c>
      <x:c r="F39" s="9" t="str">
        <x:v>B2</x:v>
      </x:c>
      <x:c r="G39" s="9" t="str">
        <x:v>BRK</x:v>
      </x:c>
      <x:c r="H39" s="9" t="n">
        <x:v>1</x:v>
      </x:c>
      <x:c r="I39" s="17" t="str">
        <x:v>first decisive exposure consumes role; judge registered fatal endpoint</x:v>
      </x:c>
      <x:c r="J39" s="9" t="n">
        <x:v>0</x:v>
      </x:c>
      <x:c r="K39" s="9" t="n">
        <x:v>0</x:v>
      </x:c>
      <x:c r="L39" s="9" t="n">
        <x:v>0</x:v>
      </x:c>
      <x:c r="M39" s="9" t="n">
        <x:v>0</x:v>
      </x:c>
      <x:c r="N39" s="9" t="n">
        <x:v>0</x:v>
      </x:c>
      <x:c r="O39" s="9" t="str">
        <x:f>IF(L39=0,"SEALED / UNJUDGED",IF(G39="INT","CONTEXT / NO ACCEPTANCE WEIGHT",IF(K39=1,"INVALID / NEW OPPORTUNITY",IF(M39=1,"FINAL / CONDITION SATISFIED","FINAL / ADVERSE"))))</x:f>
        <x:v>SEALED / UNJUDGED</x:v>
      </x:c>
    </x:row>
    <x:row r="40">
      <x:c r="A40" s="9" t="str">
        <x:v>RS-AR-LF-B-A-TECH-3-B1-BRK-G0</x:v>
      </x:c>
      <x:c r="B40" s="9" t="str">
        <x:v>EV-AR-LF-B-A-TECH-3-B1-BRK-G0</x:v>
      </x:c>
      <x:c r="C40" s="9" t="str">
        <x:v>AR-LF-B-A-TECH-3-B1-BRK-G0</x:v>
      </x:c>
      <x:c r="D40" s="9" t="str">
        <x:v>LF-B-A-TECH-3</x:v>
      </x:c>
      <x:c r="E40" s="9" t="str">
        <x:v>LF-B-A</x:v>
      </x:c>
      <x:c r="F40" s="9" t="str">
        <x:v>B1</x:v>
      </x:c>
      <x:c r="G40" s="9" t="str">
        <x:v>BRK</x:v>
      </x:c>
      <x:c r="H40" s="9" t="n">
        <x:v>1</x:v>
      </x:c>
      <x:c r="I40" s="17" t="str">
        <x:v>first decisive exposure consumes role; judge registered fatal endpoint</x:v>
      </x:c>
      <x:c r="J40" s="9" t="n">
        <x:v>0</x:v>
      </x:c>
      <x:c r="K40" s="9" t="n">
        <x:v>0</x:v>
      </x:c>
      <x:c r="L40" s="9" t="n">
        <x:v>0</x:v>
      </x:c>
      <x:c r="M40" s="9" t="n">
        <x:v>0</x:v>
      </x:c>
      <x:c r="N40" s="9" t="n">
        <x:v>0</x:v>
      </x:c>
      <x:c r="O40" s="9" t="str">
        <x:f>IF(L40=0,"SEALED / UNJUDGED",IF(G40="INT","CONTEXT / NO ACCEPTANCE WEIGHT",IF(K40=1,"INVALID / NEW OPPORTUNITY",IF(M40=1,"FINAL / CONDITION SATISFIED","FINAL / ADVERSE"))))</x:f>
        <x:v>SEALED / UNJUDGED</x:v>
      </x:c>
    </x:row>
    <x:row r="41">
      <x:c r="A41" s="9" t="str">
        <x:v>RS-AR-LF-B-A-TECH-2-B2-BRK-G0</x:v>
      </x:c>
      <x:c r="B41" s="9" t="str">
        <x:v>EV-AR-LF-B-A-TECH-2-B2-BRK-G0</x:v>
      </x:c>
      <x:c r="C41" s="9" t="str">
        <x:v>AR-LF-B-A-TECH-2-B2-BRK-G0</x:v>
      </x:c>
      <x:c r="D41" s="9" t="str">
        <x:v>LF-B-A-TECH-2</x:v>
      </x:c>
      <x:c r="E41" s="9" t="str">
        <x:v>LF-B-A</x:v>
      </x:c>
      <x:c r="F41" s="9" t="str">
        <x:v>B2</x:v>
      </x:c>
      <x:c r="G41" s="9" t="str">
        <x:v>BRK</x:v>
      </x:c>
      <x:c r="H41" s="9" t="n">
        <x:v>1</x:v>
      </x:c>
      <x:c r="I41" s="17" t="str">
        <x:v>first decisive exposure consumes role; judge registered fatal endpoint</x:v>
      </x:c>
      <x:c r="J41" s="9" t="n">
        <x:v>0</x:v>
      </x:c>
      <x:c r="K41" s="9" t="n">
        <x:v>0</x:v>
      </x:c>
      <x:c r="L41" s="9" t="n">
        <x:v>0</x:v>
      </x:c>
      <x:c r="M41" s="9" t="n">
        <x:v>0</x:v>
      </x:c>
      <x:c r="N41" s="9" t="n">
        <x:v>0</x:v>
      </x:c>
      <x:c r="O41" s="9" t="str">
        <x:f>IF(L41=0,"SEALED / UNJUDGED",IF(G41="INT","CONTEXT / NO ACCEPTANCE WEIGHT",IF(K41=1,"INVALID / NEW OPPORTUNITY",IF(M41=1,"FINAL / CONDITION SATISFIED","FINAL / ADVERSE"))))</x:f>
        <x:v>SEALED / UNJUDGED</x:v>
      </x:c>
    </x:row>
    <x:row r="42">
      <x:c r="A42" s="9" t="str">
        <x:v>RS-AR-RT-B-C-TECH-1-B1-BRK-G0</x:v>
      </x:c>
      <x:c r="B42" s="9" t="str">
        <x:v>EV-AR-RT-B-C-TECH-1-B1-BRK-G0</x:v>
      </x:c>
      <x:c r="C42" s="9" t="str">
        <x:v>AR-RT-B-C-TECH-1-B1-BRK-G0</x:v>
      </x:c>
      <x:c r="D42" s="9" t="str">
        <x:v>RT-B-C-TECH-1</x:v>
      </x:c>
      <x:c r="E42" s="9" t="str">
        <x:v>RT-B-C</x:v>
      </x:c>
      <x:c r="F42" s="9" t="str">
        <x:v>B1</x:v>
      </x:c>
      <x:c r="G42" s="9" t="str">
        <x:v>BRK</x:v>
      </x:c>
      <x:c r="H42" s="9" t="n">
        <x:v>1</x:v>
      </x:c>
      <x:c r="I42" s="17" t="str">
        <x:v>first decisive exposure consumes role; judge registered fatal endpoint</x:v>
      </x:c>
      <x:c r="J42" s="9" t="n">
        <x:v>0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9" t="str">
        <x:f>IF(L42=0,"SEALED / UNJUDGED",IF(G42="INT","CONTEXT / NO ACCEPTANCE WEIGHT",IF(K42=1,"INVALID / NEW OPPORTUNITY",IF(M42=1,"FINAL / CONDITION SATISFIED","FINAL / ADVERSE"))))</x:f>
        <x:v>SEALED / UNJUDGED</x:v>
      </x:c>
    </x:row>
    <x:row r="43">
      <x:c r="A43" s="9" t="str">
        <x:v>RS-AR-ET-A-A-TECH-4-B1-RCN-G0</x:v>
      </x:c>
      <x:c r="B43" s="9" t="str">
        <x:v>EV-AR-ET-A-A-TECH-4-B1-RCN-G0</x:v>
      </x:c>
      <x:c r="C43" s="9" t="str">
        <x:v>AR-ET-A-A-TECH-4-B1-RCN-G0</x:v>
      </x:c>
      <x:c r="D43" s="9" t="str">
        <x:v>ET-A-A-TECH-4</x:v>
      </x:c>
      <x:c r="E43" s="9" t="str">
        <x:v>ET-A-A</x:v>
      </x:c>
      <x:c r="F43" s="9" t="str">
        <x:v>B1</x:v>
      </x:c>
      <x:c r="G43" s="9" t="str">
        <x:v>RCN</x:v>
      </x:c>
      <x:c r="H43" s="9" t="n">
        <x:v>1</x:v>
      </x:c>
      <x:c r="I43" s="17" t="str">
        <x:v>virgin clean ancestry plus own valid event required</x:v>
      </x:c>
      <x:c r="J43" s="9" t="n">
        <x:v>0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9" t="str">
        <x:f>IF(L43=0,"SEALED / UNJUDGED",IF(G43="INT","CONTEXT / NO ACCEPTANCE WEIGHT",IF(K43=1,"INVALID / NEW OPPORTUNITY",IF(M43=1,"FINAL / CONDITION SATISFIED","FINAL / ADVERSE"))))</x:f>
        <x:v>SEALED / UNJUDGED</x:v>
      </x:c>
    </x:row>
    <x:row r="44">
      <x:c r="A44" s="9" t="str">
        <x:v>RS-AR-ET-A-A-TECH-2-B1-INT-G0</x:v>
      </x:c>
      <x:c r="B44" s="9" t="str">
        <x:v>EV-AR-ET-A-A-TECH-2-B1-INT-G0</x:v>
      </x:c>
      <x:c r="C44" s="9" t="str">
        <x:v>AR-ET-A-A-TECH-2-B1-INT-G0</x:v>
      </x:c>
      <x:c r="D44" s="9" t="str">
        <x:v>ET-A-A-TECH-2</x:v>
      </x:c>
      <x:c r="E44" s="9" t="str">
        <x:v>ET-A-A</x:v>
      </x:c>
      <x:c r="F44" s="9" t="str">
        <x:v>B1</x:v>
      </x:c>
      <x:c r="G44" s="9" t="str">
        <x:v>INT</x:v>
      </x:c>
      <x:c r="H44" s="9" t="n">
        <x:v>0</x:v>
      </x:c>
      <x:c r="I44" s="17" t="str">
        <x:v>context only; no acceptance weight</x:v>
      </x:c>
      <x:c r="J44" s="9" t="n">
        <x:v>0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9" t="str">
        <x:f>IF(L44=0,"SEALED / UNJUDGED",IF(G44="INT","CONTEXT / NO ACCEPTANCE WEIGHT",IF(K44=1,"INVALID / NEW OPPORTUNITY",IF(M44=1,"FINAL / CONDITION SATISFIED","FINAL / ADVERSE"))))</x:f>
        <x:v>SEALED / UNJUDGED</x:v>
      </x:c>
    </x:row>
    <x:row r="45">
      <x:c r="A45" s="9" t="str">
        <x:v>RS-AR-HU-A-B-TECH-3-B2-INT-G0</x:v>
      </x:c>
      <x:c r="B45" s="9" t="str">
        <x:v>EV-AR-HU-A-B-TECH-3-B2-INT-G0</x:v>
      </x:c>
      <x:c r="C45" s="9" t="str">
        <x:v>AR-HU-A-B-TECH-3-B2-INT-G0</x:v>
      </x:c>
      <x:c r="D45" s="9" t="str">
        <x:v>HU-A-B-TECH-3</x:v>
      </x:c>
      <x:c r="E45" s="9" t="str">
        <x:v>HU-A-B</x:v>
      </x:c>
      <x:c r="F45" s="9" t="str">
        <x:v>B2</x:v>
      </x:c>
      <x:c r="G45" s="9" t="str">
        <x:v>INT</x:v>
      </x:c>
      <x:c r="H45" s="9" t="n">
        <x:v>0</x:v>
      </x:c>
      <x:c r="I45" s="17" t="str">
        <x:v>context only; no acceptance weight</x:v>
      </x:c>
      <x:c r="J45" s="9" t="n">
        <x:v>0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str">
        <x:f>IF(L45=0,"SEALED / UNJUDGED",IF(G45="INT","CONTEXT / NO ACCEPTANCE WEIGHT",IF(K45=1,"INVALID / NEW OPPORTUNITY",IF(M45=1,"FINAL / CONDITION SATISFIED","FINAL / ADVERSE"))))</x:f>
        <x:v>SEALED / UNJUDGED</x:v>
      </x:c>
    </x:row>
    <x:row r="46">
      <x:c r="A46" s="9" t="str">
        <x:v>RS-AR-LF-B-A-TECH-4-B2-INT-G0</x:v>
      </x:c>
      <x:c r="B46" s="9" t="str">
        <x:v>EV-AR-LF-B-A-TECH-4-B2-INT-G0</x:v>
      </x:c>
      <x:c r="C46" s="9" t="str">
        <x:v>AR-LF-B-A-TECH-4-B2-INT-G0</x:v>
      </x:c>
      <x:c r="D46" s="9" t="str">
        <x:v>LF-B-A-TECH-4</x:v>
      </x:c>
      <x:c r="E46" s="9" t="str">
        <x:v>LF-B-A</x:v>
      </x:c>
      <x:c r="F46" s="9" t="str">
        <x:v>B2</x:v>
      </x:c>
      <x:c r="G46" s="9" t="str">
        <x:v>INT</x:v>
      </x:c>
      <x:c r="H46" s="9" t="n">
        <x:v>0</x:v>
      </x:c>
      <x:c r="I46" s="17" t="str">
        <x:v>context only; no acceptance weight</x:v>
      </x:c>
      <x:c r="J46" s="9" t="n">
        <x:v>0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9" t="str">
        <x:f>IF(L46=0,"SEALED / UNJUDGED",IF(G46="INT","CONTEXT / NO ACCEPTANCE WEIGHT",IF(K46=1,"INVALID / NEW OPPORTUNITY",IF(M46=1,"FINAL / CONDITION SATISFIED","FINAL / ADVERSE"))))</x:f>
        <x:v>SEALED / UNJUDGED</x:v>
      </x:c>
    </x:row>
    <x:row r="47">
      <x:c r="A47" s="9" t="str">
        <x:v>RS-AR-RT-B-C-TECH-4-B2-RCN-G0</x:v>
      </x:c>
      <x:c r="B47" s="9" t="str">
        <x:v>EV-AR-RT-B-C-TECH-4-B2-RCN-G0</x:v>
      </x:c>
      <x:c r="C47" s="9" t="str">
        <x:v>AR-RT-B-C-TECH-4-B2-RCN-G0</x:v>
      </x:c>
      <x:c r="D47" s="9" t="str">
        <x:v>RT-B-C-TECH-4</x:v>
      </x:c>
      <x:c r="E47" s="9" t="str">
        <x:v>RT-B-C</x:v>
      </x:c>
      <x:c r="F47" s="9" t="str">
        <x:v>B2</x:v>
      </x:c>
      <x:c r="G47" s="9" t="str">
        <x:v>RCN</x:v>
      </x:c>
      <x:c r="H47" s="9" t="n">
        <x:v>1</x:v>
      </x:c>
      <x:c r="I47" s="17" t="str">
        <x:v>virgin clean ancestry plus own valid event required</x:v>
      </x:c>
      <x:c r="J47" s="9" t="n">
        <x:v>0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9" t="str">
        <x:f>IF(L47=0,"SEALED / UNJUDGED",IF(G47="INT","CONTEXT / NO ACCEPTANCE WEIGHT",IF(K47=1,"INVALID / NEW OPPORTUNITY",IF(M47=1,"FINAL / CONDITION SATISFIED","FINAL / ADVERSE"))))</x:f>
        <x:v>SEALED / UNJUDGED</x:v>
      </x:c>
    </x:row>
    <x:row r="48">
      <x:c r="A48" s="9" t="str">
        <x:v>RS-AR-RT-B-C-TECH-2-B2-INT-G0</x:v>
      </x:c>
      <x:c r="B48" s="9" t="str">
        <x:v>EV-AR-RT-B-C-TECH-2-B2-INT-G0</x:v>
      </x:c>
      <x:c r="C48" s="9" t="str">
        <x:v>AR-RT-B-C-TECH-2-B2-INT-G0</x:v>
      </x:c>
      <x:c r="D48" s="9" t="str">
        <x:v>RT-B-C-TECH-2</x:v>
      </x:c>
      <x:c r="E48" s="9" t="str">
        <x:v>RT-B-C</x:v>
      </x:c>
      <x:c r="F48" s="9" t="str">
        <x:v>B2</x:v>
      </x:c>
      <x:c r="G48" s="9" t="str">
        <x:v>INT</x:v>
      </x:c>
      <x:c r="H48" s="9" t="n">
        <x:v>0</x:v>
      </x:c>
      <x:c r="I48" s="17" t="str">
        <x:v>context only; no acceptance weight</x:v>
      </x:c>
      <x:c r="J48" s="9" t="n">
        <x:v>0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9" t="str">
        <x:f>IF(L48=0,"SEALED / UNJUDGED",IF(G48="INT","CONTEXT / NO ACCEPTANCE WEIGHT",IF(K48=1,"INVALID / NEW OPPORTUNITY",IF(M48=1,"FINAL / CONDITION SATISFIED","FINAL / ADVERSE"))))</x:f>
        <x:v>SEALED / UNJUDGED</x:v>
      </x:c>
    </x:row>
    <x:row r="49">
      <x:c r="A49" s="9" t="str">
        <x:v>RS-AR-CT-C-B-TECH-1-B1-INT-G0</x:v>
      </x:c>
      <x:c r="B49" s="9" t="str">
        <x:v>EV-AR-CT-C-B-TECH-1-B1-INT-G0</x:v>
      </x:c>
      <x:c r="C49" s="9" t="str">
        <x:v>AR-CT-C-B-TECH-1-B1-INT-G0</x:v>
      </x:c>
      <x:c r="D49" s="9" t="str">
        <x:v>CT-C-B-TECH-1</x:v>
      </x:c>
      <x:c r="E49" s="9" t="str">
        <x:v>CT-C-B</x:v>
      </x:c>
      <x:c r="F49" s="9" t="str">
        <x:v>B1</x:v>
      </x:c>
      <x:c r="G49" s="9" t="str">
        <x:v>INT</x:v>
      </x:c>
      <x:c r="H49" s="9" t="n">
        <x:v>0</x:v>
      </x:c>
      <x:c r="I49" s="17" t="str">
        <x:v>context only; no acceptance weight</x:v>
      </x:c>
      <x:c r="J49" s="9" t="n">
        <x:v>0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9" t="str">
        <x:f>IF(L49=0,"SEALED / UNJUDGED",IF(G49="INT","CONTEXT / NO ACCEPTANCE WEIGHT",IF(K49=1,"INVALID / NEW OPPORTUNITY",IF(M49=1,"FINAL / CONDITION SATISFIED","FINAL / ADVERSE"))))</x:f>
        <x:v>SEALED / UNJUDGED</x:v>
      </x:c>
    </x:row>
    <x:row r="50">
      <x:c r="A50" s="9" t="str">
        <x:v>RS-AR-CT-C-B-TECH-2-B2-RCN-G0</x:v>
      </x:c>
      <x:c r="B50" s="9" t="str">
        <x:v>EV-AR-CT-C-B-TECH-2-B2-RCN-G0</x:v>
      </x:c>
      <x:c r="C50" s="9" t="str">
        <x:v>AR-CT-C-B-TECH-2-B2-RCN-G0</x:v>
      </x:c>
      <x:c r="D50" s="9" t="str">
        <x:v>CT-C-B-TECH-2</x:v>
      </x:c>
      <x:c r="E50" s="9" t="str">
        <x:v>CT-C-B</x:v>
      </x:c>
      <x:c r="F50" s="9" t="str">
        <x:v>B2</x:v>
      </x:c>
      <x:c r="G50" s="9" t="str">
        <x:v>RCN</x:v>
      </x:c>
      <x:c r="H50" s="9" t="n">
        <x:v>1</x:v>
      </x:c>
      <x:c r="I50" s="17" t="str">
        <x:v>virgin clean ancestry plus own valid event required</x:v>
      </x:c>
      <x:c r="J50" s="9" t="n">
        <x:v>0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str">
        <x:f>IF(L50=0,"SEALED / UNJUDGED",IF(G50="INT","CONTEXT / NO ACCEPTANCE WEIGHT",IF(K50=1,"INVALID / NEW OPPORTUNITY",IF(M50=1,"FINAL / CONDITION SATISFIED","FINAL / ADVERSE"))))</x:f>
        <x:v>SEALED / UNJUDGED</x:v>
      </x:c>
    </x:row>
    <x:row r="51">
      <x:c r="A51" s="9" t="str">
        <x:v>RS-AR-HC-A-C-TECH-4-B1-BRK-G0</x:v>
      </x:c>
      <x:c r="B51" s="9" t="str">
        <x:v>EV-AR-HC-A-C-TECH-4-B1-BRK-G0</x:v>
      </x:c>
      <x:c r="C51" s="9" t="str">
        <x:v>AR-HC-A-C-TECH-4-B1-BRK-G0</x:v>
      </x:c>
      <x:c r="D51" s="9" t="str">
        <x:v>HC-A-C-TECH-4</x:v>
      </x:c>
      <x:c r="E51" s="9" t="str">
        <x:v>HC-A-C</x:v>
      </x:c>
      <x:c r="F51" s="9" t="str">
        <x:v>B1</x:v>
      </x:c>
      <x:c r="G51" s="9" t="str">
        <x:v>BRK</x:v>
      </x:c>
      <x:c r="H51" s="9" t="n">
        <x:v>1</x:v>
      </x:c>
      <x:c r="I51" s="17" t="str">
        <x:v>first decisive exposure consumes role; judge registered fatal endpoint</x:v>
      </x:c>
      <x:c r="J51" s="9" t="n">
        <x:v>0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9" t="str">
        <x:f>IF(L51=0,"SEALED / UNJUDGED",IF(G51="INT","CONTEXT / NO ACCEPTANCE WEIGHT",IF(K51=1,"INVALID / NEW OPPORTUNITY",IF(M51=1,"FINAL / CONDITION SATISFIED","FINAL / ADVERSE"))))</x:f>
        <x:v>SEALED / UNJUDGED</x:v>
      </x:c>
    </x:row>
    <x:row r="52">
      <x:c r="A52" s="9" t="str">
        <x:v>RS-AR-HC-A-C-TECH-2-B1-RCN-G0</x:v>
      </x:c>
      <x:c r="B52" s="9" t="str">
        <x:v>EV-AR-HC-A-C-TECH-2-B1-RCN-G0</x:v>
      </x:c>
      <x:c r="C52" s="9" t="str">
        <x:v>AR-HC-A-C-TECH-2-B1-RCN-G0</x:v>
      </x:c>
      <x:c r="D52" s="9" t="str">
        <x:v>HC-A-C-TECH-2</x:v>
      </x:c>
      <x:c r="E52" s="9" t="str">
        <x:v>HC-A-C</x:v>
      </x:c>
      <x:c r="F52" s="9" t="str">
        <x:v>B1</x:v>
      </x:c>
      <x:c r="G52" s="9" t="str">
        <x:v>RCN</x:v>
      </x:c>
      <x:c r="H52" s="9" t="n">
        <x:v>1</x:v>
      </x:c>
      <x:c r="I52" s="17" t="str">
        <x:v>virgin clean ancestry plus own valid event required</x:v>
      </x:c>
      <x:c r="J52" s="9" t="n">
        <x:v>0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9" t="str">
        <x:f>IF(L52=0,"SEALED / UNJUDGED",IF(G52="INT","CONTEXT / NO ACCEPTANCE WEIGHT",IF(K52=1,"INVALID / NEW OPPORTUNITY",IF(M52=1,"FINAL / CONDITION SATISFIED","FINAL / ADVERSE"))))</x:f>
        <x:v>SEALED / UNJUDGED</x:v>
      </x:c>
    </x:row>
    <x:row r="53">
      <x:c r="A53" s="9" t="str">
        <x:v>RS-AR-HU-A-B-TECH-2-B1-BRK-G0</x:v>
      </x:c>
      <x:c r="B53" s="9" t="str">
        <x:v>EV-AR-HU-A-B-TECH-2-B1-BRK-G0</x:v>
      </x:c>
      <x:c r="C53" s="9" t="str">
        <x:v>AR-HU-A-B-TECH-2-B1-BRK-G0</x:v>
      </x:c>
      <x:c r="D53" s="9" t="str">
        <x:v>HU-A-B-TECH-2</x:v>
      </x:c>
      <x:c r="E53" s="9" t="str">
        <x:v>HU-A-B</x:v>
      </x:c>
      <x:c r="F53" s="9" t="str">
        <x:v>B1</x:v>
      </x:c>
      <x:c r="G53" s="9" t="str">
        <x:v>BRK</x:v>
      </x:c>
      <x:c r="H53" s="9" t="n">
        <x:v>1</x:v>
      </x:c>
      <x:c r="I53" s="17" t="str">
        <x:v>first decisive exposure consumes role; judge registered fatal endpoint</x:v>
      </x:c>
      <x:c r="J53" s="9" t="n">
        <x:v>0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9" t="str">
        <x:f>IF(L53=0,"SEALED / UNJUDGED",IF(G53="INT","CONTEXT / NO ACCEPTANCE WEIGHT",IF(K53=1,"INVALID / NEW OPPORTUNITY",IF(M53=1,"FINAL / CONDITION SATISFIED","FINAL / ADVERSE"))))</x:f>
        <x:v>SEALED / UNJUDGED</x:v>
      </x:c>
    </x:row>
    <x:row r="54">
      <x:c r="A54" s="9" t="str">
        <x:v>RS-AR-RT-B-C-TECH-3-B1-INT-G0</x:v>
      </x:c>
      <x:c r="B54" s="9" t="str">
        <x:v>EV-AR-RT-B-C-TECH-3-B1-INT-G0</x:v>
      </x:c>
      <x:c r="C54" s="9" t="str">
        <x:v>AR-RT-B-C-TECH-3-B1-INT-G0</x:v>
      </x:c>
      <x:c r="D54" s="9" t="str">
        <x:v>RT-B-C-TECH-3</x:v>
      </x:c>
      <x:c r="E54" s="9" t="str">
        <x:v>RT-B-C</x:v>
      </x:c>
      <x:c r="F54" s="9" t="str">
        <x:v>B1</x:v>
      </x:c>
      <x:c r="G54" s="9" t="str">
        <x:v>INT</x:v>
      </x:c>
      <x:c r="H54" s="9" t="n">
        <x:v>0</x:v>
      </x:c>
      <x:c r="I54" s="17" t="str">
        <x:v>context only; no acceptance weight</x:v>
      </x:c>
      <x:c r="J54" s="9" t="n">
        <x:v>0</x:v>
      </x:c>
      <x:c r="K54" s="9" t="n">
        <x:v>0</x:v>
      </x:c>
      <x:c r="L54" s="9" t="n">
        <x:v>0</x:v>
      </x:c>
      <x:c r="M54" s="9" t="n">
        <x:v>0</x:v>
      </x:c>
      <x:c r="N54" s="9" t="n">
        <x:v>0</x:v>
      </x:c>
      <x:c r="O54" s="9" t="str">
        <x:f>IF(L54=0,"SEALED / UNJUDGED",IF(G54="INT","CONTEXT / NO ACCEPTANCE WEIGHT",IF(K54=1,"INVALID / NEW OPPORTUNITY",IF(M54=1,"FINAL / CONDITION SATISFIED","FINAL / ADVERSE"))))</x:f>
        <x:v>SEALED / UNJUDGED</x:v>
      </x:c>
    </x:row>
    <x:row r="55">
      <x:c r="A55" s="9" t="str">
        <x:v>RS-AR-CT-C-B-TECH-4-B1-RCN-G0</x:v>
      </x:c>
      <x:c r="B55" s="9" t="str">
        <x:v>EV-AR-CT-C-B-TECH-4-B1-RCN-G0</x:v>
      </x:c>
      <x:c r="C55" s="9" t="str">
        <x:v>AR-CT-C-B-TECH-4-B1-RCN-G0</x:v>
      </x:c>
      <x:c r="D55" s="9" t="str">
        <x:v>CT-C-B-TECH-4</x:v>
      </x:c>
      <x:c r="E55" s="9" t="str">
        <x:v>CT-C-B</x:v>
      </x:c>
      <x:c r="F55" s="9" t="str">
        <x:v>B1</x:v>
      </x:c>
      <x:c r="G55" s="9" t="str">
        <x:v>RCN</x:v>
      </x:c>
      <x:c r="H55" s="9" t="n">
        <x:v>1</x:v>
      </x:c>
      <x:c r="I55" s="17" t="str">
        <x:v>virgin clean ancestry plus own valid event required</x:v>
      </x:c>
      <x:c r="J55" s="9" t="n">
        <x:v>0</x:v>
      </x:c>
      <x:c r="K55" s="9" t="n">
        <x:v>0</x:v>
      </x:c>
      <x:c r="L55" s="9" t="n">
        <x:v>0</x:v>
      </x:c>
      <x:c r="M55" s="9" t="n">
        <x:v>0</x:v>
      </x:c>
      <x:c r="N55" s="9" t="n">
        <x:v>0</x:v>
      </x:c>
      <x:c r="O55" s="9" t="str">
        <x:f>IF(L55=0,"SEALED / UNJUDGED",IF(G55="INT","CONTEXT / NO ACCEPTANCE WEIGHT",IF(K55=1,"INVALID / NEW OPPORTUNITY",IF(M55=1,"FINAL / CONDITION SATISFIED","FINAL / ADVERSE"))))</x:f>
        <x:v>SEALED / UNJUDGED</x:v>
      </x:c>
    </x:row>
    <x:row r="56">
      <x:c r="A56" s="9" t="str">
        <x:v>RS-AR-CT-C-B-TECH-2-B1-INT-G0</x:v>
      </x:c>
      <x:c r="B56" s="9" t="str">
        <x:v>EV-AR-CT-C-B-TECH-2-B1-INT-G0</x:v>
      </x:c>
      <x:c r="C56" s="9" t="str">
        <x:v>AR-CT-C-B-TECH-2-B1-INT-G0</x:v>
      </x:c>
      <x:c r="D56" s="9" t="str">
        <x:v>CT-C-B-TECH-2</x:v>
      </x:c>
      <x:c r="E56" s="9" t="str">
        <x:v>CT-C-B</x:v>
      </x:c>
      <x:c r="F56" s="9" t="str">
        <x:v>B1</x:v>
      </x:c>
      <x:c r="G56" s="9" t="str">
        <x:v>INT</x:v>
      </x:c>
      <x:c r="H56" s="9" t="n">
        <x:v>0</x:v>
      </x:c>
      <x:c r="I56" s="17" t="str">
        <x:v>context only; no acceptance weight</x:v>
      </x:c>
      <x:c r="J56" s="9" t="n">
        <x:v>0</x:v>
      </x:c>
      <x:c r="K56" s="9" t="n">
        <x:v>0</x:v>
      </x:c>
      <x:c r="L56" s="9" t="n">
        <x:v>0</x:v>
      </x:c>
      <x:c r="M56" s="9" t="n">
        <x:v>0</x:v>
      </x:c>
      <x:c r="N56" s="9" t="n">
        <x:v>0</x:v>
      </x:c>
      <x:c r="O56" s="9" t="str">
        <x:f>IF(L56=0,"SEALED / UNJUDGED",IF(G56="INT","CONTEXT / NO ACCEPTANCE WEIGHT",IF(K56=1,"INVALID / NEW OPPORTUNITY",IF(M56=1,"FINAL / CONDITION SATISFIED","FINAL / ADVERSE"))))</x:f>
        <x:v>SEALED / UNJUDGED</x:v>
      </x:c>
    </x:row>
    <x:row r="57">
      <x:c r="A57" s="9" t="str">
        <x:v>RS-AR-HC-A-C-TECH-4-B2-BRK-G0</x:v>
      </x:c>
      <x:c r="B57" s="9" t="str">
        <x:v>EV-AR-HC-A-C-TECH-4-B2-BRK-G0</x:v>
      </x:c>
      <x:c r="C57" s="9" t="str">
        <x:v>AR-HC-A-C-TECH-4-B2-BRK-G0</x:v>
      </x:c>
      <x:c r="D57" s="9" t="str">
        <x:v>HC-A-C-TECH-4</x:v>
      </x:c>
      <x:c r="E57" s="9" t="str">
        <x:v>HC-A-C</x:v>
      </x:c>
      <x:c r="F57" s="9" t="str">
        <x:v>B2</x:v>
      </x:c>
      <x:c r="G57" s="9" t="str">
        <x:v>BRK</x:v>
      </x:c>
      <x:c r="H57" s="9" t="n">
        <x:v>1</x:v>
      </x:c>
      <x:c r="I57" s="17" t="str">
        <x:v>first decisive exposure consumes role; judge registered fatal endpoint</x:v>
      </x:c>
      <x:c r="J57" s="9" t="n">
        <x:v>0</x:v>
      </x:c>
      <x:c r="K57" s="9" t="n">
        <x:v>0</x:v>
      </x:c>
      <x:c r="L57" s="9" t="n">
        <x:v>0</x:v>
      </x:c>
      <x:c r="M57" s="9" t="n">
        <x:v>0</x:v>
      </x:c>
      <x:c r="N57" s="9" t="n">
        <x:v>0</x:v>
      </x:c>
      <x:c r="O57" s="9" t="str">
        <x:f>IF(L57=0,"SEALED / UNJUDGED",IF(G57="INT","CONTEXT / NO ACCEPTANCE WEIGHT",IF(K57=1,"INVALID / NEW OPPORTUNITY",IF(M57=1,"FINAL / CONDITION SATISFIED","FINAL / ADVERSE"))))</x:f>
        <x:v>SEALED / UNJUDGED</x:v>
      </x:c>
    </x:row>
    <x:row r="58">
      <x:c r="A58" s="9" t="str">
        <x:v>RS-AR-HC-A-C-TECH-3-B1-RCN-G0</x:v>
      </x:c>
      <x:c r="B58" s="9" t="str">
        <x:v>EV-AR-HC-A-C-TECH-3-B1-RCN-G0</x:v>
      </x:c>
      <x:c r="C58" s="9" t="str">
        <x:v>AR-HC-A-C-TECH-3-B1-RCN-G0</x:v>
      </x:c>
      <x:c r="D58" s="9" t="str">
        <x:v>HC-A-C-TECH-3</x:v>
      </x:c>
      <x:c r="E58" s="9" t="str">
        <x:v>HC-A-C</x:v>
      </x:c>
      <x:c r="F58" s="9" t="str">
        <x:v>B1</x:v>
      </x:c>
      <x:c r="G58" s="9" t="str">
        <x:v>RCN</x:v>
      </x:c>
      <x:c r="H58" s="9" t="n">
        <x:v>1</x:v>
      </x:c>
      <x:c r="I58" s="17" t="str">
        <x:v>virgin clean ancestry plus own valid event required</x:v>
      </x:c>
      <x:c r="J58" s="9" t="n">
        <x:v>0</x:v>
      </x:c>
      <x:c r="K58" s="9" t="n">
        <x:v>0</x:v>
      </x:c>
      <x:c r="L58" s="9" t="n">
        <x:v>0</x:v>
      </x:c>
      <x:c r="M58" s="9" t="n">
        <x:v>0</x:v>
      </x:c>
      <x:c r="N58" s="9" t="n">
        <x:v>0</x:v>
      </x:c>
      <x:c r="O58" s="9" t="str">
        <x:f>IF(L58=0,"SEALED / UNJUDGED",IF(G58="INT","CONTEXT / NO ACCEPTANCE WEIGHT",IF(K58=1,"INVALID / NEW OPPORTUNITY",IF(M58=1,"FINAL / CONDITION SATISFIED","FINAL / ADVERSE"))))</x:f>
        <x:v>SEALED / UNJUDGED</x:v>
      </x:c>
    </x:row>
    <x:row r="59">
      <x:c r="A59" s="9" t="str">
        <x:v>RS-AR-HU-A-B-TECH-1-B1-RCN-G0</x:v>
      </x:c>
      <x:c r="B59" s="9" t="str">
        <x:v>EV-AR-HU-A-B-TECH-1-B1-RCN-G0</x:v>
      </x:c>
      <x:c r="C59" s="9" t="str">
        <x:v>AR-HU-A-B-TECH-1-B1-RCN-G0</x:v>
      </x:c>
      <x:c r="D59" s="9" t="str">
        <x:v>HU-A-B-TECH-1</x:v>
      </x:c>
      <x:c r="E59" s="9" t="str">
        <x:v>HU-A-B</x:v>
      </x:c>
      <x:c r="F59" s="9" t="str">
        <x:v>B1</x:v>
      </x:c>
      <x:c r="G59" s="9" t="str">
        <x:v>RCN</x:v>
      </x:c>
      <x:c r="H59" s="9" t="n">
        <x:v>1</x:v>
      </x:c>
      <x:c r="I59" s="17" t="str">
        <x:v>virgin clean ancestry plus own valid event required</x:v>
      </x:c>
      <x:c r="J59" s="9" t="n">
        <x:v>0</x:v>
      </x:c>
      <x:c r="K59" s="9" t="n">
        <x:v>0</x:v>
      </x:c>
      <x:c r="L59" s="9" t="n">
        <x:v>0</x:v>
      </x:c>
      <x:c r="M59" s="9" t="n">
        <x:v>0</x:v>
      </x:c>
      <x:c r="N59" s="9" t="n">
        <x:v>0</x:v>
      </x:c>
      <x:c r="O59" s="9" t="str">
        <x:f>IF(L59=0,"SEALED / UNJUDGED",IF(G59="INT","CONTEXT / NO ACCEPTANCE WEIGHT",IF(K59=1,"INVALID / NEW OPPORTUNITY",IF(M59=1,"FINAL / CONDITION SATISFIED","FINAL / ADVERSE"))))</x:f>
        <x:v>SEALED / UNJUDGED</x:v>
      </x:c>
    </x:row>
    <x:row r="60">
      <x:c r="A60" s="9" t="str">
        <x:v>RS-AR-RT-B-C-TECH-3-B2-INT-G0</x:v>
      </x:c>
      <x:c r="B60" s="9" t="str">
        <x:v>EV-AR-RT-B-C-TECH-3-B2-INT-G0</x:v>
      </x:c>
      <x:c r="C60" s="9" t="str">
        <x:v>AR-RT-B-C-TECH-3-B2-INT-G0</x:v>
      </x:c>
      <x:c r="D60" s="9" t="str">
        <x:v>RT-B-C-TECH-3</x:v>
      </x:c>
      <x:c r="E60" s="9" t="str">
        <x:v>RT-B-C</x:v>
      </x:c>
      <x:c r="F60" s="9" t="str">
        <x:v>B2</x:v>
      </x:c>
      <x:c r="G60" s="9" t="str">
        <x:v>INT</x:v>
      </x:c>
      <x:c r="H60" s="9" t="n">
        <x:v>0</x:v>
      </x:c>
      <x:c r="I60" s="17" t="str">
        <x:v>context only; no acceptance weight</x:v>
      </x:c>
      <x:c r="J60" s="9" t="n">
        <x:v>0</x:v>
      </x:c>
      <x:c r="K60" s="9" t="n">
        <x:v>0</x:v>
      </x:c>
      <x:c r="L60" s="9" t="n">
        <x:v>0</x:v>
      </x:c>
      <x:c r="M60" s="9" t="n">
        <x:v>0</x:v>
      </x:c>
      <x:c r="N60" s="9" t="n">
        <x:v>0</x:v>
      </x:c>
      <x:c r="O60" s="9" t="str">
        <x:f>IF(L60=0,"SEALED / UNJUDGED",IF(G60="INT","CONTEXT / NO ACCEPTANCE WEIGHT",IF(K60=1,"INVALID / NEW OPPORTUNITY",IF(M60=1,"FINAL / CONDITION SATISFIED","FINAL / ADVERSE"))))</x:f>
        <x:v>SEALED / UNJUDGED</x:v>
      </x:c>
    </x:row>
    <x:row r="61">
      <x:c r="A61" s="9" t="str">
        <x:v>RS-AR-ET-A-A-TECH-4-B2-RCN-G0</x:v>
      </x:c>
      <x:c r="B61" s="9" t="str">
        <x:v>EV-AR-ET-A-A-TECH-4-B2-RCN-G0</x:v>
      </x:c>
      <x:c r="C61" s="9" t="str">
        <x:v>AR-ET-A-A-TECH-4-B2-RCN-G0</x:v>
      </x:c>
      <x:c r="D61" s="9" t="str">
        <x:v>ET-A-A-TECH-4</x:v>
      </x:c>
      <x:c r="E61" s="9" t="str">
        <x:v>ET-A-A</x:v>
      </x:c>
      <x:c r="F61" s="9" t="str">
        <x:v>B2</x:v>
      </x:c>
      <x:c r="G61" s="9" t="str">
        <x:v>RCN</x:v>
      </x:c>
      <x:c r="H61" s="9" t="n">
        <x:v>1</x:v>
      </x:c>
      <x:c r="I61" s="17" t="str">
        <x:v>virgin clean ancestry plus own valid event required</x:v>
      </x:c>
      <x:c r="J61" s="9" t="n">
        <x:v>0</x:v>
      </x:c>
      <x:c r="K61" s="9" t="n">
        <x:v>0</x:v>
      </x:c>
      <x:c r="L61" s="9" t="n">
        <x:v>0</x:v>
      </x:c>
      <x:c r="M61" s="9" t="n">
        <x:v>0</x:v>
      </x:c>
      <x:c r="N61" s="9" t="n">
        <x:v>0</x:v>
      </x:c>
      <x:c r="O61" s="9" t="str">
        <x:f>IF(L61=0,"SEALED / UNJUDGED",IF(G61="INT","CONTEXT / NO ACCEPTANCE WEIGHT",IF(K61=1,"INVALID / NEW OPPORTUNITY",IF(M61=1,"FINAL / CONDITION SATISFIED","FINAL / ADVERSE"))))</x:f>
        <x:v>SEALED / UNJUDGED</x:v>
      </x:c>
    </x:row>
    <x:row r="62">
      <x:c r="A62" s="9" t="str">
        <x:v>RS-AR-ET-A-A-TECH-1-B1-BRK-G0</x:v>
      </x:c>
      <x:c r="B62" s="9" t="str">
        <x:v>EV-AR-ET-A-A-TECH-1-B1-BRK-G0</x:v>
      </x:c>
      <x:c r="C62" s="9" t="str">
        <x:v>AR-ET-A-A-TECH-1-B1-BRK-G0</x:v>
      </x:c>
      <x:c r="D62" s="9" t="str">
        <x:v>ET-A-A-TECH-1</x:v>
      </x:c>
      <x:c r="E62" s="9" t="str">
        <x:v>ET-A-A</x:v>
      </x:c>
      <x:c r="F62" s="9" t="str">
        <x:v>B1</x:v>
      </x:c>
      <x:c r="G62" s="9" t="str">
        <x:v>BRK</x:v>
      </x:c>
      <x:c r="H62" s="9" t="n">
        <x:v>1</x:v>
      </x:c>
      <x:c r="I62" s="17" t="str">
        <x:v>first decisive exposure consumes role; judge registered fatal endpoint</x:v>
      </x:c>
      <x:c r="J62" s="9" t="n">
        <x:v>0</x:v>
      </x:c>
      <x:c r="K62" s="9" t="n">
        <x:v>0</x:v>
      </x:c>
      <x:c r="L62" s="9" t="n">
        <x:v>0</x:v>
      </x:c>
      <x:c r="M62" s="9" t="n">
        <x:v>0</x:v>
      </x:c>
      <x:c r="N62" s="9" t="n">
        <x:v>0</x:v>
      </x:c>
      <x:c r="O62" s="9" t="str">
        <x:f>IF(L62=0,"SEALED / UNJUDGED",IF(G62="INT","CONTEXT / NO ACCEPTANCE WEIGHT",IF(K62=1,"INVALID / NEW OPPORTUNITY",IF(M62=1,"FINAL / CONDITION SATISFIED","FINAL / ADVERSE"))))</x:f>
        <x:v>SEALED / UNJUDGED</x:v>
      </x:c>
    </x:row>
    <x:row r="63">
      <x:c r="A63" s="9" t="str">
        <x:v>RS-AR-HU-A-B-TECH-3-B1-BRK-G0</x:v>
      </x:c>
      <x:c r="B63" s="9" t="str">
        <x:v>EV-AR-HU-A-B-TECH-3-B1-BRK-G0</x:v>
      </x:c>
      <x:c r="C63" s="9" t="str">
        <x:v>AR-HU-A-B-TECH-3-B1-BRK-G0</x:v>
      </x:c>
      <x:c r="D63" s="9" t="str">
        <x:v>HU-A-B-TECH-3</x:v>
      </x:c>
      <x:c r="E63" s="9" t="str">
        <x:v>HU-A-B</x:v>
      </x:c>
      <x:c r="F63" s="9" t="str">
        <x:v>B1</x:v>
      </x:c>
      <x:c r="G63" s="9" t="str">
        <x:v>BRK</x:v>
      </x:c>
      <x:c r="H63" s="9" t="n">
        <x:v>1</x:v>
      </x:c>
      <x:c r="I63" s="17" t="str">
        <x:v>first decisive exposure consumes role; judge registered fatal endpoint</x:v>
      </x:c>
      <x:c r="J63" s="9" t="n">
        <x:v>0</x:v>
      </x:c>
      <x:c r="K63" s="9" t="n">
        <x:v>0</x:v>
      </x:c>
      <x:c r="L63" s="9" t="n">
        <x:v>0</x:v>
      </x:c>
      <x:c r="M63" s="9" t="n">
        <x:v>0</x:v>
      </x:c>
      <x:c r="N63" s="9" t="n">
        <x:v>0</x:v>
      </x:c>
      <x:c r="O63" s="9" t="str">
        <x:f>IF(L63=0,"SEALED / UNJUDGED",IF(G63="INT","CONTEXT / NO ACCEPTANCE WEIGHT",IF(K63=1,"INVALID / NEW OPPORTUNITY",IF(M63=1,"FINAL / CONDITION SATISFIED","FINAL / ADVERSE"))))</x:f>
        <x:v>SEALED / UNJUDGED</x:v>
      </x:c>
    </x:row>
    <x:row r="64">
      <x:c r="A64" s="9" t="str">
        <x:v>RS-AR-HU-A-B-TECH-2-B2-BRK-G0</x:v>
      </x:c>
      <x:c r="B64" s="9" t="str">
        <x:v>EV-AR-HU-A-B-TECH-2-B2-BRK-G0</x:v>
      </x:c>
      <x:c r="C64" s="9" t="str">
        <x:v>AR-HU-A-B-TECH-2-B2-BRK-G0</x:v>
      </x:c>
      <x:c r="D64" s="9" t="str">
        <x:v>HU-A-B-TECH-2</x:v>
      </x:c>
      <x:c r="E64" s="9" t="str">
        <x:v>HU-A-B</x:v>
      </x:c>
      <x:c r="F64" s="9" t="str">
        <x:v>B2</x:v>
      </x:c>
      <x:c r="G64" s="9" t="str">
        <x:v>BRK</x:v>
      </x:c>
      <x:c r="H64" s="9" t="n">
        <x:v>1</x:v>
      </x:c>
      <x:c r="I64" s="17" t="str">
        <x:v>first decisive exposure consumes role; judge registered fatal endpoint</x:v>
      </x:c>
      <x:c r="J64" s="9" t="n">
        <x:v>0</x:v>
      </x:c>
      <x:c r="K64" s="9" t="n">
        <x:v>0</x:v>
      </x:c>
      <x:c r="L64" s="9" t="n">
        <x:v>0</x:v>
      </x:c>
      <x:c r="M64" s="9" t="n">
        <x:v>0</x:v>
      </x:c>
      <x:c r="N64" s="9" t="n">
        <x:v>0</x:v>
      </x:c>
      <x:c r="O64" s="9" t="str">
        <x:f>IF(L64=0,"SEALED / UNJUDGED",IF(G64="INT","CONTEXT / NO ACCEPTANCE WEIGHT",IF(K64=1,"INVALID / NEW OPPORTUNITY",IF(M64=1,"FINAL / CONDITION SATISFIED","FINAL / ADVERSE"))))</x:f>
        <x:v>SEALED / UNJUDGED</x:v>
      </x:c>
    </x:row>
    <x:row r="65">
      <x:c r="A65" s="9" t="str">
        <x:v>RS-AR-LF-B-A-TECH-2-B1-RCN-G0</x:v>
      </x:c>
      <x:c r="B65" s="9" t="str">
        <x:v>EV-AR-LF-B-A-TECH-2-B1-RCN-G0</x:v>
      </x:c>
      <x:c r="C65" s="9" t="str">
        <x:v>AR-LF-B-A-TECH-2-B1-RCN-G0</x:v>
      </x:c>
      <x:c r="D65" s="9" t="str">
        <x:v>LF-B-A-TECH-2</x:v>
      </x:c>
      <x:c r="E65" s="9" t="str">
        <x:v>LF-B-A</x:v>
      </x:c>
      <x:c r="F65" s="9" t="str">
        <x:v>B1</x:v>
      </x:c>
      <x:c r="G65" s="9" t="str">
        <x:v>RCN</x:v>
      </x:c>
      <x:c r="H65" s="9" t="n">
        <x:v>1</x:v>
      </x:c>
      <x:c r="I65" s="17" t="str">
        <x:v>virgin clean ancestry plus own valid event required</x:v>
      </x:c>
      <x:c r="J65" s="9" t="n">
        <x:v>0</x:v>
      </x:c>
      <x:c r="K65" s="9" t="n">
        <x:v>0</x:v>
      </x:c>
      <x:c r="L65" s="9" t="n">
        <x:v>0</x:v>
      </x:c>
      <x:c r="M65" s="9" t="n">
        <x:v>0</x:v>
      </x:c>
      <x:c r="N65" s="9" t="n">
        <x:v>0</x:v>
      </x:c>
      <x:c r="O65" s="9" t="str">
        <x:f>IF(L65=0,"SEALED / UNJUDGED",IF(G65="INT","CONTEXT / NO ACCEPTANCE WEIGHT",IF(K65=1,"INVALID / NEW OPPORTUNITY",IF(M65=1,"FINAL / CONDITION SATISFIED","FINAL / ADVERSE"))))</x:f>
        <x:v>SEALED / UNJUDGED</x:v>
      </x:c>
    </x:row>
    <x:row r="66">
      <x:c r="A66" s="9" t="str">
        <x:v>RS-AR-RT-B-C-TECH-2-B1-BRK-G0</x:v>
      </x:c>
      <x:c r="B66" s="9" t="str">
        <x:v>EV-AR-RT-B-C-TECH-2-B1-BRK-G0</x:v>
      </x:c>
      <x:c r="C66" s="9" t="str">
        <x:v>AR-RT-B-C-TECH-2-B1-BRK-G0</x:v>
      </x:c>
      <x:c r="D66" s="9" t="str">
        <x:v>RT-B-C-TECH-2</x:v>
      </x:c>
      <x:c r="E66" s="9" t="str">
        <x:v>RT-B-C</x:v>
      </x:c>
      <x:c r="F66" s="9" t="str">
        <x:v>B1</x:v>
      </x:c>
      <x:c r="G66" s="9" t="str">
        <x:v>BRK</x:v>
      </x:c>
      <x:c r="H66" s="9" t="n">
        <x:v>1</x:v>
      </x:c>
      <x:c r="I66" s="17" t="str">
        <x:v>first decisive exposure consumes role; judge registered fatal endpoint</x:v>
      </x:c>
      <x:c r="J66" s="9" t="n">
        <x:v>0</x:v>
      </x:c>
      <x:c r="K66" s="9" t="n">
        <x:v>0</x:v>
      </x:c>
      <x:c r="L66" s="9" t="n">
        <x:v>0</x:v>
      </x:c>
      <x:c r="M66" s="9" t="n">
        <x:v>0</x:v>
      </x:c>
      <x:c r="N66" s="9" t="n">
        <x:v>0</x:v>
      </x:c>
      <x:c r="O66" s="9" t="str">
        <x:f>IF(L66=0,"SEALED / UNJUDGED",IF(G66="INT","CONTEXT / NO ACCEPTANCE WEIGHT",IF(K66=1,"INVALID / NEW OPPORTUNITY",IF(M66=1,"FINAL / CONDITION SATISFIED","FINAL / ADVERSE"))))</x:f>
        <x:v>SEALED / UNJUDGED</x:v>
      </x:c>
    </x:row>
    <x:row r="67">
      <x:c r="A67" s="9" t="str">
        <x:v>RS-AR-ET-A-A-TECH-2-B2-INT-G0</x:v>
      </x:c>
      <x:c r="B67" s="9" t="str">
        <x:v>EV-AR-ET-A-A-TECH-2-B2-INT-G0</x:v>
      </x:c>
      <x:c r="C67" s="9" t="str">
        <x:v>AR-ET-A-A-TECH-2-B2-INT-G0</x:v>
      </x:c>
      <x:c r="D67" s="9" t="str">
        <x:v>ET-A-A-TECH-2</x:v>
      </x:c>
      <x:c r="E67" s="9" t="str">
        <x:v>ET-A-A</x:v>
      </x:c>
      <x:c r="F67" s="9" t="str">
        <x:v>B2</x:v>
      </x:c>
      <x:c r="G67" s="9" t="str">
        <x:v>INT</x:v>
      </x:c>
      <x:c r="H67" s="9" t="n">
        <x:v>0</x:v>
      </x:c>
      <x:c r="I67" s="17" t="str">
        <x:v>context only; no acceptance weight</x:v>
      </x:c>
      <x:c r="J67" s="9" t="n">
        <x:v>0</x:v>
      </x:c>
      <x:c r="K67" s="9" t="n">
        <x:v>0</x:v>
      </x:c>
      <x:c r="L67" s="9" t="n">
        <x:v>0</x:v>
      </x:c>
      <x:c r="M67" s="9" t="n">
        <x:v>0</x:v>
      </x:c>
      <x:c r="N67" s="9" t="n">
        <x:v>0</x:v>
      </x:c>
      <x:c r="O67" s="9" t="str">
        <x:f>IF(L67=0,"SEALED / UNJUDGED",IF(G67="INT","CONTEXT / NO ACCEPTANCE WEIGHT",IF(K67=1,"INVALID / NEW OPPORTUNITY",IF(M67=1,"FINAL / CONDITION SATISFIED","FINAL / ADVERSE"))))</x:f>
        <x:v>SEALED / UNJUDGED</x:v>
      </x:c>
    </x:row>
    <x:row r="68">
      <x:c r="A68" s="9" t="str">
        <x:v>RS-AR-ET-A-A-TECH-3-B1-INT-G0</x:v>
      </x:c>
      <x:c r="B68" s="9" t="str">
        <x:v>EV-AR-ET-A-A-TECH-3-B1-INT-G0</x:v>
      </x:c>
      <x:c r="C68" s="9" t="str">
        <x:v>AR-ET-A-A-TECH-3-B1-INT-G0</x:v>
      </x:c>
      <x:c r="D68" s="9" t="str">
        <x:v>ET-A-A-TECH-3</x:v>
      </x:c>
      <x:c r="E68" s="9" t="str">
        <x:v>ET-A-A</x:v>
      </x:c>
      <x:c r="F68" s="9" t="str">
        <x:v>B1</x:v>
      </x:c>
      <x:c r="G68" s="9" t="str">
        <x:v>INT</x:v>
      </x:c>
      <x:c r="H68" s="9" t="n">
        <x:v>0</x:v>
      </x:c>
      <x:c r="I68" s="17" t="str">
        <x:v>context only; no acceptance weight</x:v>
      </x:c>
      <x:c r="J68" s="9" t="n">
        <x:v>0</x:v>
      </x:c>
      <x:c r="K68" s="9" t="n">
        <x:v>0</x:v>
      </x:c>
      <x:c r="L68" s="9" t="n">
        <x:v>0</x:v>
      </x:c>
      <x:c r="M68" s="9" t="n">
        <x:v>0</x:v>
      </x:c>
      <x:c r="N68" s="9" t="n">
        <x:v>0</x:v>
      </x:c>
      <x:c r="O68" s="9" t="str">
        <x:f>IF(L68=0,"SEALED / UNJUDGED",IF(G68="INT","CONTEXT / NO ACCEPTANCE WEIGHT",IF(K68=1,"INVALID / NEW OPPORTUNITY",IF(M68=1,"FINAL / CONDITION SATISFIED","FINAL / ADVERSE"))))</x:f>
        <x:v>SEALED / UNJUDGED</x:v>
      </x:c>
    </x:row>
    <x:row r="69">
      <x:c r="A69" s="9" t="str">
        <x:v>RS-AR-HU-A-B-TECH-4-B2-INT-G0</x:v>
      </x:c>
      <x:c r="B69" s="9" t="str">
        <x:v>EV-AR-HU-A-B-TECH-4-B2-INT-G0</x:v>
      </x:c>
      <x:c r="C69" s="9" t="str">
        <x:v>AR-HU-A-B-TECH-4-B2-INT-G0</x:v>
      </x:c>
      <x:c r="D69" s="9" t="str">
        <x:v>HU-A-B-TECH-4</x:v>
      </x:c>
      <x:c r="E69" s="9" t="str">
        <x:v>HU-A-B</x:v>
      </x:c>
      <x:c r="F69" s="9" t="str">
        <x:v>B2</x:v>
      </x:c>
      <x:c r="G69" s="9" t="str">
        <x:v>INT</x:v>
      </x:c>
      <x:c r="H69" s="9" t="n">
        <x:v>0</x:v>
      </x:c>
      <x:c r="I69" s="17" t="str">
        <x:v>context only; no acceptance weight</x:v>
      </x:c>
      <x:c r="J69" s="9" t="n">
        <x:v>0</x:v>
      </x:c>
      <x:c r="K69" s="9" t="n">
        <x:v>0</x:v>
      </x:c>
      <x:c r="L69" s="9" t="n">
        <x:v>0</x:v>
      </x:c>
      <x:c r="M69" s="9" t="n">
        <x:v>0</x:v>
      </x:c>
      <x:c r="N69" s="9" t="n">
        <x:v>0</x:v>
      </x:c>
      <x:c r="O69" s="9" t="str">
        <x:f>IF(L69=0,"SEALED / UNJUDGED",IF(G69="INT","CONTEXT / NO ACCEPTANCE WEIGHT",IF(K69=1,"INVALID / NEW OPPORTUNITY",IF(M69=1,"FINAL / CONDITION SATISFIED","FINAL / ADVERSE"))))</x:f>
        <x:v>SEALED / UNJUDGED</x:v>
      </x:c>
    </x:row>
    <x:row r="70">
      <x:c r="A70" s="9" t="str">
        <x:v>RS-AR-LF-B-A-TECH-4-B1-BRK-G0</x:v>
      </x:c>
      <x:c r="B70" s="9" t="str">
        <x:v>EV-AR-LF-B-A-TECH-4-B1-BRK-G0</x:v>
      </x:c>
      <x:c r="C70" s="9" t="str">
        <x:v>AR-LF-B-A-TECH-4-B1-BRK-G0</x:v>
      </x:c>
      <x:c r="D70" s="9" t="str">
        <x:v>LF-B-A-TECH-4</x:v>
      </x:c>
      <x:c r="E70" s="9" t="str">
        <x:v>LF-B-A</x:v>
      </x:c>
      <x:c r="F70" s="9" t="str">
        <x:v>B1</x:v>
      </x:c>
      <x:c r="G70" s="9" t="str">
        <x:v>BRK</x:v>
      </x:c>
      <x:c r="H70" s="9" t="n">
        <x:v>1</x:v>
      </x:c>
      <x:c r="I70" s="17" t="str">
        <x:v>first decisive exposure consumes role; judge registered fatal endpoint</x:v>
      </x:c>
      <x:c r="J70" s="9" t="n">
        <x:v>0</x:v>
      </x:c>
      <x:c r="K70" s="9" t="n">
        <x:v>0</x:v>
      </x:c>
      <x:c r="L70" s="9" t="n">
        <x:v>0</x:v>
      </x:c>
      <x:c r="M70" s="9" t="n">
        <x:v>0</x:v>
      </x:c>
      <x:c r="N70" s="9" t="n">
        <x:v>0</x:v>
      </x:c>
      <x:c r="O70" s="9" t="str">
        <x:f>IF(L70=0,"SEALED / UNJUDGED",IF(G70="INT","CONTEXT / NO ACCEPTANCE WEIGHT",IF(K70=1,"INVALID / NEW OPPORTUNITY",IF(M70=1,"FINAL / CONDITION SATISFIED","FINAL / ADVERSE"))))</x:f>
        <x:v>SEALED / UNJUDGED</x:v>
      </x:c>
    </x:row>
    <x:row r="71">
      <x:c r="A71" s="9" t="str">
        <x:v>RS-AR-LF-B-A-TECH-3-B2-BRK-G0</x:v>
      </x:c>
      <x:c r="B71" s="9" t="str">
        <x:v>EV-AR-LF-B-A-TECH-3-B2-BRK-G0</x:v>
      </x:c>
      <x:c r="C71" s="9" t="str">
        <x:v>AR-LF-B-A-TECH-3-B2-BRK-G0</x:v>
      </x:c>
      <x:c r="D71" s="9" t="str">
        <x:v>LF-B-A-TECH-3</x:v>
      </x:c>
      <x:c r="E71" s="9" t="str">
        <x:v>LF-B-A</x:v>
      </x:c>
      <x:c r="F71" s="9" t="str">
        <x:v>B2</x:v>
      </x:c>
      <x:c r="G71" s="9" t="str">
        <x:v>BRK</x:v>
      </x:c>
      <x:c r="H71" s="9" t="n">
        <x:v>1</x:v>
      </x:c>
      <x:c r="I71" s="17" t="str">
        <x:v>first decisive exposure consumes role; judge registered fatal endpoint</x:v>
      </x:c>
      <x:c r="J71" s="9" t="n">
        <x:v>0</x:v>
      </x:c>
      <x:c r="K71" s="9" t="n">
        <x:v>0</x:v>
      </x:c>
      <x:c r="L71" s="9" t="n">
        <x:v>0</x:v>
      </x:c>
      <x:c r="M71" s="9" t="n">
        <x:v>0</x:v>
      </x:c>
      <x:c r="N71" s="9" t="n">
        <x:v>0</x:v>
      </x:c>
      <x:c r="O71" s="9" t="str">
        <x:f>IF(L71=0,"SEALED / UNJUDGED",IF(G71="INT","CONTEXT / NO ACCEPTANCE WEIGHT",IF(K71=1,"INVALID / NEW OPPORTUNITY",IF(M71=1,"FINAL / CONDITION SATISFIED","FINAL / ADVERSE"))))</x:f>
        <x:v>SEALED / UNJUDGED</x:v>
      </x:c>
    </x:row>
    <x:row r="72">
      <x:c r="A72" s="9" t="str">
        <x:v>RS-AR-RT-B-C-TECH-4-B1-INT-G0</x:v>
      </x:c>
      <x:c r="B72" s="9" t="str">
        <x:v>EV-AR-RT-B-C-TECH-4-B1-INT-G0</x:v>
      </x:c>
      <x:c r="C72" s="9" t="str">
        <x:v>AR-RT-B-C-TECH-4-B1-INT-G0</x:v>
      </x:c>
      <x:c r="D72" s="9" t="str">
        <x:v>RT-B-C-TECH-4</x:v>
      </x:c>
      <x:c r="E72" s="9" t="str">
        <x:v>RT-B-C</x:v>
      </x:c>
      <x:c r="F72" s="9" t="str">
        <x:v>B1</x:v>
      </x:c>
      <x:c r="G72" s="9" t="str">
        <x:v>INT</x:v>
      </x:c>
      <x:c r="H72" s="9" t="n">
        <x:v>0</x:v>
      </x:c>
      <x:c r="I72" s="17" t="str">
        <x:v>context only; no acceptance weight</x:v>
      </x:c>
      <x:c r="J72" s="9" t="n">
        <x:v>0</x:v>
      </x:c>
      <x:c r="K72" s="9" t="n">
        <x:v>0</x:v>
      </x:c>
      <x:c r="L72" s="9" t="n">
        <x:v>0</x:v>
      </x:c>
      <x:c r="M72" s="9" t="n">
        <x:v>0</x:v>
      </x:c>
      <x:c r="N72" s="9" t="n">
        <x:v>0</x:v>
      </x:c>
      <x:c r="O72" s="9" t="str">
        <x:f>IF(L72=0,"SEALED / UNJUDGED",IF(G72="INT","CONTEXT / NO ACCEPTANCE WEIGHT",IF(K72=1,"INVALID / NEW OPPORTUNITY",IF(M72=1,"FINAL / CONDITION SATISFIED","FINAL / ADVERSE"))))</x:f>
        <x:v>SEALED / UNJUDGED</x:v>
      </x:c>
    </x:row>
    <x:row r="73">
      <x:c r="A73" s="9" t="str">
        <x:v>RS-AR-CT-C-B-TECH-3-B2-RCN-G0</x:v>
      </x:c>
      <x:c r="B73" s="9" t="str">
        <x:v>EV-AR-CT-C-B-TECH-3-B2-RCN-G0</x:v>
      </x:c>
      <x:c r="C73" s="9" t="str">
        <x:v>AR-CT-C-B-TECH-3-B2-RCN-G0</x:v>
      </x:c>
      <x:c r="D73" s="9" t="str">
        <x:v>CT-C-B-TECH-3</x:v>
      </x:c>
      <x:c r="E73" s="9" t="str">
        <x:v>CT-C-B</x:v>
      </x:c>
      <x:c r="F73" s="9" t="str">
        <x:v>B2</x:v>
      </x:c>
      <x:c r="G73" s="9" t="str">
        <x:v>RCN</x:v>
      </x:c>
      <x:c r="H73" s="9" t="n">
        <x:v>1</x:v>
      </x:c>
      <x:c r="I73" s="17" t="str">
        <x:v>virgin clean ancestry plus own valid event required</x:v>
      </x:c>
      <x:c r="J73" s="9" t="n">
        <x:v>0</x:v>
      </x:c>
      <x:c r="K73" s="9" t="n">
        <x:v>0</x:v>
      </x:c>
      <x:c r="L73" s="9" t="n">
        <x:v>0</x:v>
      </x:c>
      <x:c r="M73" s="9" t="n">
        <x:v>0</x:v>
      </x:c>
      <x:c r="N73" s="9" t="n">
        <x:v>0</x:v>
      </x:c>
      <x:c r="O73" s="9" t="str">
        <x:f>IF(L73=0,"SEALED / UNJUDGED",IF(G73="INT","CONTEXT / NO ACCEPTANCE WEIGHT",IF(K73=1,"INVALID / NEW OPPORTUNITY",IF(M73=1,"FINAL / CONDITION SATISFIED","FINAL / ADVERSE"))))</x:f>
        <x:v>SEALED / UNJUDGED</x:v>
      </x:c>
    </x:row>
    <x:row r="74">
      <x:c r="A74" s="9" t="str">
        <x:v>RS-AR-CT-C-B-TECH-1-B2-INT-G0</x:v>
      </x:c>
      <x:c r="B74" s="9" t="str">
        <x:v>EV-AR-CT-C-B-TECH-1-B2-INT-G0</x:v>
      </x:c>
      <x:c r="C74" s="9" t="str">
        <x:v>AR-CT-C-B-TECH-1-B2-INT-G0</x:v>
      </x:c>
      <x:c r="D74" s="9" t="str">
        <x:v>CT-C-B-TECH-1</x:v>
      </x:c>
      <x:c r="E74" s="9" t="str">
        <x:v>CT-C-B</x:v>
      </x:c>
      <x:c r="F74" s="9" t="str">
        <x:v>B2</x:v>
      </x:c>
      <x:c r="G74" s="9" t="str">
        <x:v>INT</x:v>
      </x:c>
      <x:c r="H74" s="9" t="n">
        <x:v>0</x:v>
      </x:c>
      <x:c r="I74" s="17" t="str">
        <x:v>context only; no acceptance weight</x:v>
      </x:c>
      <x:c r="J74" s="9" t="n">
        <x:v>0</x:v>
      </x:c>
      <x:c r="K74" s="9" t="n">
        <x:v>0</x:v>
      </x:c>
      <x:c r="L74" s="9" t="n">
        <x:v>0</x:v>
      </x:c>
      <x:c r="M74" s="9" t="n">
        <x:v>0</x:v>
      </x:c>
      <x:c r="N74" s="9" t="n">
        <x:v>0</x:v>
      </x:c>
      <x:c r="O74" s="9" t="str">
        <x:f>IF(L74=0,"SEALED / UNJUDGED",IF(G74="INT","CONTEXT / NO ACCEPTANCE WEIGHT",IF(K74=1,"INVALID / NEW OPPORTUNITY",IF(M74=1,"FINAL / CONDITION SATISFIED","FINAL / ADVERSE"))))</x:f>
        <x:v>SEALED / UNJUDGED</x:v>
      </x:c>
    </x:row>
    <x:row r="75">
      <x:c r="A75" s="9" t="str">
        <x:v>RS-AR-HC-A-C-TECH-1-B1-INT-G0</x:v>
      </x:c>
      <x:c r="B75" s="9" t="str">
        <x:v>EV-AR-HC-A-C-TECH-1-B1-INT-G0</x:v>
      </x:c>
      <x:c r="C75" s="9" t="str">
        <x:v>AR-HC-A-C-TECH-1-B1-INT-G0</x:v>
      </x:c>
      <x:c r="D75" s="9" t="str">
        <x:v>HC-A-C-TECH-1</x:v>
      </x:c>
      <x:c r="E75" s="9" t="str">
        <x:v>HC-A-C</x:v>
      </x:c>
      <x:c r="F75" s="9" t="str">
        <x:v>B1</x:v>
      </x:c>
      <x:c r="G75" s="9" t="str">
        <x:v>INT</x:v>
      </x:c>
      <x:c r="H75" s="9" t="n">
        <x:v>0</x:v>
      </x:c>
      <x:c r="I75" s="17" t="str">
        <x:v>context only; no acceptance weight</x:v>
      </x:c>
      <x:c r="J75" s="9" t="n">
        <x:v>0</x:v>
      </x:c>
      <x:c r="K75" s="9" t="n">
        <x:v>0</x:v>
      </x:c>
      <x:c r="L75" s="9" t="n">
        <x:v>0</x:v>
      </x:c>
      <x:c r="M75" s="9" t="n">
        <x:v>0</x:v>
      </x:c>
      <x:c r="N75" s="9" t="n">
        <x:v>0</x:v>
      </x:c>
      <x:c r="O75" s="9" t="str">
        <x:f>IF(L75=0,"SEALED / UNJUDGED",IF(G75="INT","CONTEXT / NO ACCEPTANCE WEIGHT",IF(K75=1,"INVALID / NEW OPPORTUNITY",IF(M75=1,"FINAL / CONDITION SATISFIED","FINAL / ADVERSE"))))</x:f>
        <x:v>SEALED / UNJUDGED</x:v>
      </x:c>
    </x:row>
    <x:row r="76">
      <x:c r="A76" s="9" t="str">
        <x:v>RS-AR-HC-A-C-TECH-2-B2-RCN-G0</x:v>
      </x:c>
      <x:c r="B76" s="9" t="str">
        <x:v>EV-AR-HC-A-C-TECH-2-B2-RCN-G0</x:v>
      </x:c>
      <x:c r="C76" s="9" t="str">
        <x:v>AR-HC-A-C-TECH-2-B2-RCN-G0</x:v>
      </x:c>
      <x:c r="D76" s="9" t="str">
        <x:v>HC-A-C-TECH-2</x:v>
      </x:c>
      <x:c r="E76" s="9" t="str">
        <x:v>HC-A-C</x:v>
      </x:c>
      <x:c r="F76" s="9" t="str">
        <x:v>B2</x:v>
      </x:c>
      <x:c r="G76" s="9" t="str">
        <x:v>RCN</x:v>
      </x:c>
      <x:c r="H76" s="9" t="n">
        <x:v>1</x:v>
      </x:c>
      <x:c r="I76" s="17" t="str">
        <x:v>virgin clean ancestry plus own valid event required</x:v>
      </x:c>
      <x:c r="J76" s="9" t="n">
        <x:v>0</x:v>
      </x:c>
      <x:c r="K76" s="9" t="n">
        <x:v>0</x:v>
      </x:c>
      <x:c r="L76" s="9" t="n">
        <x:v>0</x:v>
      </x:c>
      <x:c r="M76" s="9" t="n">
        <x:v>0</x:v>
      </x:c>
      <x:c r="N76" s="9" t="n">
        <x:v>0</x:v>
      </x:c>
      <x:c r="O76" s="9" t="str">
        <x:f>IF(L76=0,"SEALED / UNJUDGED",IF(G76="INT","CONTEXT / NO ACCEPTANCE WEIGHT",IF(K76=1,"INVALID / NEW OPPORTUNITY",IF(M76=1,"FINAL / CONDITION SATISFIED","FINAL / ADVERSE"))))</x:f>
        <x:v>SEALED / UNJUDGED</x:v>
      </x:c>
    </x:row>
    <x:row r="77">
      <x:c r="A77" s="9" t="str">
        <x:v>RS-AR-LF-B-A-TECH-1-B2-RCN-G0</x:v>
      </x:c>
      <x:c r="B77" s="9" t="str">
        <x:v>EV-AR-LF-B-A-TECH-1-B2-RCN-G0</x:v>
      </x:c>
      <x:c r="C77" s="9" t="str">
        <x:v>AR-LF-B-A-TECH-1-B2-RCN-G0</x:v>
      </x:c>
      <x:c r="D77" s="9" t="str">
        <x:v>LF-B-A-TECH-1</x:v>
      </x:c>
      <x:c r="E77" s="9" t="str">
        <x:v>LF-B-A</x:v>
      </x:c>
      <x:c r="F77" s="9" t="str">
        <x:v>B2</x:v>
      </x:c>
      <x:c r="G77" s="9" t="str">
        <x:v>RCN</x:v>
      </x:c>
      <x:c r="H77" s="9" t="n">
        <x:v>1</x:v>
      </x:c>
      <x:c r="I77" s="17" t="str">
        <x:v>virgin clean ancestry plus own valid event required</x:v>
      </x:c>
      <x:c r="J77" s="9" t="n">
        <x:v>0</x:v>
      </x:c>
      <x:c r="K77" s="9" t="n">
        <x:v>0</x:v>
      </x:c>
      <x:c r="L77" s="9" t="n">
        <x:v>0</x:v>
      </x:c>
      <x:c r="M77" s="9" t="n">
        <x:v>0</x:v>
      </x:c>
      <x:c r="N77" s="9" t="n">
        <x:v>0</x:v>
      </x:c>
      <x:c r="O77" s="9" t="str">
        <x:f>IF(L77=0,"SEALED / UNJUDGED",IF(G77="INT","CONTEXT / NO ACCEPTANCE WEIGHT",IF(K77=1,"INVALID / NEW OPPORTUNITY",IF(M77=1,"FINAL / CONDITION SATISFIED","FINAL / ADVERSE"))))</x:f>
        <x:v>SEALED / UNJUDGED</x:v>
      </x:c>
    </x:row>
    <x:row r="78">
      <x:c r="A78" s="9" t="str">
        <x:v>RS-AR-RT-B-C-TECH-1-B2-BRK-G0</x:v>
      </x:c>
      <x:c r="B78" s="9" t="str">
        <x:v>EV-AR-RT-B-C-TECH-1-B2-BRK-G0</x:v>
      </x:c>
      <x:c r="C78" s="9" t="str">
        <x:v>AR-RT-B-C-TECH-1-B2-BRK-G0</x:v>
      </x:c>
      <x:c r="D78" s="9" t="str">
        <x:v>RT-B-C-TECH-1</x:v>
      </x:c>
      <x:c r="E78" s="9" t="str">
        <x:v>RT-B-C</x:v>
      </x:c>
      <x:c r="F78" s="9" t="str">
        <x:v>B2</x:v>
      </x:c>
      <x:c r="G78" s="9" t="str">
        <x:v>BRK</x:v>
      </x:c>
      <x:c r="H78" s="9" t="n">
        <x:v>1</x:v>
      </x:c>
      <x:c r="I78" s="17" t="str">
        <x:v>first decisive exposure consumes role; judge registered fatal endpoint</x:v>
      </x:c>
      <x:c r="J78" s="9" t="n">
        <x:v>0</x:v>
      </x:c>
      <x:c r="K78" s="9" t="n">
        <x:v>0</x:v>
      </x:c>
      <x:c r="L78" s="9" t="n">
        <x:v>0</x:v>
      </x:c>
      <x:c r="M78" s="9" t="n">
        <x:v>0</x:v>
      </x:c>
      <x:c r="N78" s="9" t="n">
        <x:v>0</x:v>
      </x:c>
      <x:c r="O78" s="9" t="str">
        <x:f>IF(L78=0,"SEALED / UNJUDGED",IF(G78="INT","CONTEXT / NO ACCEPTANCE WEIGHT",IF(K78=1,"INVALID / NEW OPPORTUNITY",IF(M78=1,"FINAL / CONDITION SATISFIED","FINAL / ADVERSE"))))</x:f>
        <x:v>SEALED / UNJUDGED</x:v>
      </x:c>
    </x:row>
    <x:row r="79">
      <x:c r="A79" s="9" t="str">
        <x:v>RS-AR-CT-C-B-TECH-2-B2-INT-G0</x:v>
      </x:c>
      <x:c r="B79" s="9" t="str">
        <x:v>EV-AR-CT-C-B-TECH-2-B2-INT-G0</x:v>
      </x:c>
      <x:c r="C79" s="9" t="str">
        <x:v>AR-CT-C-B-TECH-2-B2-INT-G0</x:v>
      </x:c>
      <x:c r="D79" s="9" t="str">
        <x:v>CT-C-B-TECH-2</x:v>
      </x:c>
      <x:c r="E79" s="9" t="str">
        <x:v>CT-C-B</x:v>
      </x:c>
      <x:c r="F79" s="9" t="str">
        <x:v>B2</x:v>
      </x:c>
      <x:c r="G79" s="9" t="str">
        <x:v>INT</x:v>
      </x:c>
      <x:c r="H79" s="9" t="n">
        <x:v>0</x:v>
      </x:c>
      <x:c r="I79" s="17" t="str">
        <x:v>context only; no acceptance weight</x:v>
      </x:c>
      <x:c r="J79" s="9" t="n">
        <x:v>0</x:v>
      </x:c>
      <x:c r="K79" s="9" t="n">
        <x:v>0</x:v>
      </x:c>
      <x:c r="L79" s="9" t="n">
        <x:v>0</x:v>
      </x:c>
      <x:c r="M79" s="9" t="n">
        <x:v>0</x:v>
      </x:c>
      <x:c r="N79" s="9" t="n">
        <x:v>0</x:v>
      </x:c>
      <x:c r="O79" s="9" t="str">
        <x:f>IF(L79=0,"SEALED / UNJUDGED",IF(G79="INT","CONTEXT / NO ACCEPTANCE WEIGHT",IF(K79=1,"INVALID / NEW OPPORTUNITY",IF(M79=1,"FINAL / CONDITION SATISFIED","FINAL / ADVERSE"))))</x:f>
        <x:v>SEALED / UNJUDGED</x:v>
      </x:c>
    </x:row>
    <x:row r="80">
      <x:c r="A80" s="9" t="str">
        <x:v>RS-AR-CT-C-B-TECH-3-B1-INT-G0</x:v>
      </x:c>
      <x:c r="B80" s="9" t="str">
        <x:v>EV-AR-CT-C-B-TECH-3-B1-INT-G0</x:v>
      </x:c>
      <x:c r="C80" s="9" t="str">
        <x:v>AR-CT-C-B-TECH-3-B1-INT-G0</x:v>
      </x:c>
      <x:c r="D80" s="9" t="str">
        <x:v>CT-C-B-TECH-3</x:v>
      </x:c>
      <x:c r="E80" s="9" t="str">
        <x:v>CT-C-B</x:v>
      </x:c>
      <x:c r="F80" s="9" t="str">
        <x:v>B1</x:v>
      </x:c>
      <x:c r="G80" s="9" t="str">
        <x:v>INT</x:v>
      </x:c>
      <x:c r="H80" s="9" t="n">
        <x:v>0</x:v>
      </x:c>
      <x:c r="I80" s="17" t="str">
        <x:v>context only; no acceptance weight</x:v>
      </x:c>
      <x:c r="J80" s="9" t="n">
        <x:v>0</x:v>
      </x:c>
      <x:c r="K80" s="9" t="n">
        <x:v>0</x:v>
      </x:c>
      <x:c r="L80" s="9" t="n">
        <x:v>0</x:v>
      </x:c>
      <x:c r="M80" s="9" t="n">
        <x:v>0</x:v>
      </x:c>
      <x:c r="N80" s="9" t="n">
        <x:v>0</x:v>
      </x:c>
      <x:c r="O80" s="9" t="str">
        <x:f>IF(L80=0,"SEALED / UNJUDGED",IF(G80="INT","CONTEXT / NO ACCEPTANCE WEIGHT",IF(K80=1,"INVALID / NEW OPPORTUNITY",IF(M80=1,"FINAL / CONDITION SATISFIED","FINAL / ADVERSE"))))</x:f>
        <x:v>SEALED / UNJUDGED</x:v>
      </x:c>
    </x:row>
    <x:row r="81">
      <x:c r="A81" s="9" t="str">
        <x:v>RS-AR-ET-A-A-TECH-4-B1-INT-G0</x:v>
      </x:c>
      <x:c r="B81" s="9" t="str">
        <x:v>EV-AR-ET-A-A-TECH-4-B1-INT-G0</x:v>
      </x:c>
      <x:c r="C81" s="9" t="str">
        <x:v>AR-ET-A-A-TECH-4-B1-INT-G0</x:v>
      </x:c>
      <x:c r="D81" s="9" t="str">
        <x:v>ET-A-A-TECH-4</x:v>
      </x:c>
      <x:c r="E81" s="9" t="str">
        <x:v>ET-A-A</x:v>
      </x:c>
      <x:c r="F81" s="9" t="str">
        <x:v>B1</x:v>
      </x:c>
      <x:c r="G81" s="9" t="str">
        <x:v>INT</x:v>
      </x:c>
      <x:c r="H81" s="9" t="n">
        <x:v>0</x:v>
      </x:c>
      <x:c r="I81" s="17" t="str">
        <x:v>context only; no acceptance weight</x:v>
      </x:c>
      <x:c r="J81" s="9" t="n">
        <x:v>0</x:v>
      </x:c>
      <x:c r="K81" s="9" t="n">
        <x:v>0</x:v>
      </x:c>
      <x:c r="L81" s="9" t="n">
        <x:v>0</x:v>
      </x:c>
      <x:c r="M81" s="9" t="n">
        <x:v>0</x:v>
      </x:c>
      <x:c r="N81" s="9" t="n">
        <x:v>0</x:v>
      </x:c>
      <x:c r="O81" s="9" t="str">
        <x:f>IF(L81=0,"SEALED / UNJUDGED",IF(G81="INT","CONTEXT / NO ACCEPTANCE WEIGHT",IF(K81=1,"INVALID / NEW OPPORTUNITY",IF(M81=1,"FINAL / CONDITION SATISFIED","FINAL / ADVERSE"))))</x:f>
        <x:v>SEALED / UNJUDGED</x:v>
      </x:c>
    </x:row>
    <x:row r="82">
      <x:c r="A82" s="9" t="str">
        <x:v>RS-AR-HU-A-B-TECH-1-B2-RCN-G0</x:v>
      </x:c>
      <x:c r="B82" s="9" t="str">
        <x:v>EV-AR-HU-A-B-TECH-1-B2-RCN-G0</x:v>
      </x:c>
      <x:c r="C82" s="9" t="str">
        <x:v>AR-HU-A-B-TECH-1-B2-RCN-G0</x:v>
      </x:c>
      <x:c r="D82" s="9" t="str">
        <x:v>HU-A-B-TECH-1</x:v>
      </x:c>
      <x:c r="E82" s="9" t="str">
        <x:v>HU-A-B</x:v>
      </x:c>
      <x:c r="F82" s="9" t="str">
        <x:v>B2</x:v>
      </x:c>
      <x:c r="G82" s="9" t="str">
        <x:v>RCN</x:v>
      </x:c>
      <x:c r="H82" s="9" t="n">
        <x:v>1</x:v>
      </x:c>
      <x:c r="I82" s="17" t="str">
        <x:v>virgin clean ancestry plus own valid event required</x:v>
      </x:c>
      <x:c r="J82" s="9" t="n">
        <x:v>0</x:v>
      </x:c>
      <x:c r="K82" s="9" t="n">
        <x:v>0</x:v>
      </x:c>
      <x:c r="L82" s="9" t="n">
        <x:v>0</x:v>
      </x:c>
      <x:c r="M82" s="9" t="n">
        <x:v>0</x:v>
      </x:c>
      <x:c r="N82" s="9" t="n">
        <x:v>0</x:v>
      </x:c>
      <x:c r="O82" s="9" t="str">
        <x:f>IF(L82=0,"SEALED / UNJUDGED",IF(G82="INT","CONTEXT / NO ACCEPTANCE WEIGHT",IF(K82=1,"INVALID / NEW OPPORTUNITY",IF(M82=1,"FINAL / CONDITION SATISFIED","FINAL / ADVERSE"))))</x:f>
        <x:v>SEALED / UNJUDGED</x:v>
      </x:c>
    </x:row>
    <x:row r="83">
      <x:c r="A83" s="9" t="str">
        <x:v>RS-AR-HU-A-B-TECH-3-B2-BRK-G0</x:v>
      </x:c>
      <x:c r="B83" s="9" t="str">
        <x:v>EV-AR-HU-A-B-TECH-3-B2-BRK-G0</x:v>
      </x:c>
      <x:c r="C83" s="9" t="str">
        <x:v>AR-HU-A-B-TECH-3-B2-BRK-G0</x:v>
      </x:c>
      <x:c r="D83" s="9" t="str">
        <x:v>HU-A-B-TECH-3</x:v>
      </x:c>
      <x:c r="E83" s="9" t="str">
        <x:v>HU-A-B</x:v>
      </x:c>
      <x:c r="F83" s="9" t="str">
        <x:v>B2</x:v>
      </x:c>
      <x:c r="G83" s="9" t="str">
        <x:v>BRK</x:v>
      </x:c>
      <x:c r="H83" s="9" t="n">
        <x:v>1</x:v>
      </x:c>
      <x:c r="I83" s="17" t="str">
        <x:v>first decisive exposure consumes role; judge registered fatal endpoint</x:v>
      </x:c>
      <x:c r="J83" s="9" t="n">
        <x:v>0</x:v>
      </x:c>
      <x:c r="K83" s="9" t="n">
        <x:v>0</x:v>
      </x:c>
      <x:c r="L83" s="9" t="n">
        <x:v>0</x:v>
      </x:c>
      <x:c r="M83" s="9" t="n">
        <x:v>0</x:v>
      </x:c>
      <x:c r="N83" s="9" t="n">
        <x:v>0</x:v>
      </x:c>
      <x:c r="O83" s="9" t="str">
        <x:f>IF(L83=0,"SEALED / UNJUDGED",IF(G83="INT","CONTEXT / NO ACCEPTANCE WEIGHT",IF(K83=1,"INVALID / NEW OPPORTUNITY",IF(M83=1,"FINAL / CONDITION SATISFIED","FINAL / ADVERSE"))))</x:f>
        <x:v>SEALED / UNJUDGED</x:v>
      </x:c>
    </x:row>
    <x:row r="84">
      <x:c r="A84" s="9" t="str">
        <x:v>RS-AR-RT-B-C-TECH-1-B1-RCN-G0</x:v>
      </x:c>
      <x:c r="B84" s="9" t="str">
        <x:v>EV-AR-RT-B-C-TECH-1-B1-RCN-G0</x:v>
      </x:c>
      <x:c r="C84" s="9" t="str">
        <x:v>AR-RT-B-C-TECH-1-B1-RCN-G0</x:v>
      </x:c>
      <x:c r="D84" s="9" t="str">
        <x:v>RT-B-C-TECH-1</x:v>
      </x:c>
      <x:c r="E84" s="9" t="str">
        <x:v>RT-B-C</x:v>
      </x:c>
      <x:c r="F84" s="9" t="str">
        <x:v>B1</x:v>
      </x:c>
      <x:c r="G84" s="9" t="str">
        <x:v>RCN</x:v>
      </x:c>
      <x:c r="H84" s="9" t="n">
        <x:v>1</x:v>
      </x:c>
      <x:c r="I84" s="17" t="str">
        <x:v>virgin clean ancestry plus own valid event required</x:v>
      </x:c>
      <x:c r="J84" s="9" t="n">
        <x:v>0</x:v>
      </x:c>
      <x:c r="K84" s="9" t="n">
        <x:v>0</x:v>
      </x:c>
      <x:c r="L84" s="9" t="n">
        <x:v>0</x:v>
      </x:c>
      <x:c r="M84" s="9" t="n">
        <x:v>0</x:v>
      </x:c>
      <x:c r="N84" s="9" t="n">
        <x:v>0</x:v>
      </x:c>
      <x:c r="O84" s="9" t="str">
        <x:f>IF(L84=0,"SEALED / UNJUDGED",IF(G84="INT","CONTEXT / NO ACCEPTANCE WEIGHT",IF(K84=1,"INVALID / NEW OPPORTUNITY",IF(M84=1,"FINAL / CONDITION SATISFIED","FINAL / ADVERSE"))))</x:f>
        <x:v>SEALED / UNJUDGED</x:v>
      </x:c>
    </x:row>
    <x:row r="85">
      <x:c r="A85" s="9" t="str">
        <x:v>RS-AR-ET-A-A-TECH-1-B2-BRK-G0</x:v>
      </x:c>
      <x:c r="B85" s="9" t="str">
        <x:v>EV-AR-ET-A-A-TECH-1-B2-BRK-G0</x:v>
      </x:c>
      <x:c r="C85" s="9" t="str">
        <x:v>AR-ET-A-A-TECH-1-B2-BRK-G0</x:v>
      </x:c>
      <x:c r="D85" s="9" t="str">
        <x:v>ET-A-A-TECH-1</x:v>
      </x:c>
      <x:c r="E85" s="9" t="str">
        <x:v>ET-A-A</x:v>
      </x:c>
      <x:c r="F85" s="9" t="str">
        <x:v>B2</x:v>
      </x:c>
      <x:c r="G85" s="9" t="str">
        <x:v>BRK</x:v>
      </x:c>
      <x:c r="H85" s="9" t="n">
        <x:v>1</x:v>
      </x:c>
      <x:c r="I85" s="17" t="str">
        <x:v>first decisive exposure consumes role; judge registered fatal endpoint</x:v>
      </x:c>
      <x:c r="J85" s="9" t="n">
        <x:v>0</x:v>
      </x:c>
      <x:c r="K85" s="9" t="n">
        <x:v>0</x:v>
      </x:c>
      <x:c r="L85" s="9" t="n">
        <x:v>0</x:v>
      </x:c>
      <x:c r="M85" s="9" t="n">
        <x:v>0</x:v>
      </x:c>
      <x:c r="N85" s="9" t="n">
        <x:v>0</x:v>
      </x:c>
      <x:c r="O85" s="9" t="str">
        <x:f>IF(L85=0,"SEALED / UNJUDGED",IF(G85="INT","CONTEXT / NO ACCEPTANCE WEIGHT",IF(K85=1,"INVALID / NEW OPPORTUNITY",IF(M85=1,"FINAL / CONDITION SATISFIED","FINAL / ADVERSE"))))</x:f>
        <x:v>SEALED / UNJUDGED</x:v>
      </x:c>
    </x:row>
    <x:row r="86">
      <x:c r="A86" s="9" t="str">
        <x:v>RS-AR-HC-A-C-TECH-3-B2-RCN-G0</x:v>
      </x:c>
      <x:c r="B86" s="9" t="str">
        <x:v>EV-AR-HC-A-C-TECH-3-B2-RCN-G0</x:v>
      </x:c>
      <x:c r="C86" s="9" t="str">
        <x:v>AR-HC-A-C-TECH-3-B2-RCN-G0</x:v>
      </x:c>
      <x:c r="D86" s="9" t="str">
        <x:v>HC-A-C-TECH-3</x:v>
      </x:c>
      <x:c r="E86" s="9" t="str">
        <x:v>HC-A-C</x:v>
      </x:c>
      <x:c r="F86" s="9" t="str">
        <x:v>B2</x:v>
      </x:c>
      <x:c r="G86" s="9" t="str">
        <x:v>RCN</x:v>
      </x:c>
      <x:c r="H86" s="9" t="n">
        <x:v>1</x:v>
      </x:c>
      <x:c r="I86" s="17" t="str">
        <x:v>virgin clean ancestry plus own valid event required</x:v>
      </x:c>
      <x:c r="J86" s="9" t="n">
        <x:v>0</x:v>
      </x:c>
      <x:c r="K86" s="9" t="n">
        <x:v>0</x:v>
      </x:c>
      <x:c r="L86" s="9" t="n">
        <x:v>0</x:v>
      </x:c>
      <x:c r="M86" s="9" t="n">
        <x:v>0</x:v>
      </x:c>
      <x:c r="N86" s="9" t="n">
        <x:v>0</x:v>
      </x:c>
      <x:c r="O86" s="9" t="str">
        <x:f>IF(L86=0,"SEALED / UNJUDGED",IF(G86="INT","CONTEXT / NO ACCEPTANCE WEIGHT",IF(K86=1,"INVALID / NEW OPPORTUNITY",IF(M86=1,"FINAL / CONDITION SATISFIED","FINAL / ADVERSE"))))</x:f>
        <x:v>SEALED / UNJUDGED</x:v>
      </x:c>
    </x:row>
    <x:row r="87">
      <x:c r="A87" s="9" t="str">
        <x:v>RS-AR-HC-A-C-TECH-1-B2-INT-G0</x:v>
      </x:c>
      <x:c r="B87" s="9" t="str">
        <x:v>EV-AR-HC-A-C-TECH-1-B2-INT-G0</x:v>
      </x:c>
      <x:c r="C87" s="9" t="str">
        <x:v>AR-HC-A-C-TECH-1-B2-INT-G0</x:v>
      </x:c>
      <x:c r="D87" s="9" t="str">
        <x:v>HC-A-C-TECH-1</x:v>
      </x:c>
      <x:c r="E87" s="9" t="str">
        <x:v>HC-A-C</x:v>
      </x:c>
      <x:c r="F87" s="9" t="str">
        <x:v>B2</x:v>
      </x:c>
      <x:c r="G87" s="9" t="str">
        <x:v>INT</x:v>
      </x:c>
      <x:c r="H87" s="9" t="n">
        <x:v>0</x:v>
      </x:c>
      <x:c r="I87" s="17" t="str">
        <x:v>context only; no acceptance weight</x:v>
      </x:c>
      <x:c r="J87" s="9" t="n">
        <x:v>0</x:v>
      </x:c>
      <x:c r="K87" s="9" t="n">
        <x:v>0</x:v>
      </x:c>
      <x:c r="L87" s="9" t="n">
        <x:v>0</x:v>
      </x:c>
      <x:c r="M87" s="9" t="n">
        <x:v>0</x:v>
      </x:c>
      <x:c r="N87" s="9" t="n">
        <x:v>0</x:v>
      </x:c>
      <x:c r="O87" s="9" t="str">
        <x:f>IF(L87=0,"SEALED / UNJUDGED",IF(G87="INT","CONTEXT / NO ACCEPTANCE WEIGHT",IF(K87=1,"INVALID / NEW OPPORTUNITY",IF(M87=1,"FINAL / CONDITION SATISFIED","FINAL / ADVERSE"))))</x:f>
        <x:v>SEALED / UNJUDGED</x:v>
      </x:c>
    </x:row>
    <x:row r="88">
      <x:c r="A88" s="9" t="str">
        <x:v>RS-AR-LF-B-A-TECH-1-B1-INT-G0</x:v>
      </x:c>
      <x:c r="B88" s="9" t="str">
        <x:v>EV-AR-LF-B-A-TECH-1-B1-INT-G0</x:v>
      </x:c>
      <x:c r="C88" s="9" t="str">
        <x:v>AR-LF-B-A-TECH-1-B1-INT-G0</x:v>
      </x:c>
      <x:c r="D88" s="9" t="str">
        <x:v>LF-B-A-TECH-1</x:v>
      </x:c>
      <x:c r="E88" s="9" t="str">
        <x:v>LF-B-A</x:v>
      </x:c>
      <x:c r="F88" s="9" t="str">
        <x:v>B1</x:v>
      </x:c>
      <x:c r="G88" s="9" t="str">
        <x:v>INT</x:v>
      </x:c>
      <x:c r="H88" s="9" t="n">
        <x:v>0</x:v>
      </x:c>
      <x:c r="I88" s="17" t="str">
        <x:v>context only; no acceptance weight</x:v>
      </x:c>
      <x:c r="J88" s="9" t="n">
        <x:v>0</x:v>
      </x:c>
      <x:c r="K88" s="9" t="n">
        <x:v>0</x:v>
      </x:c>
      <x:c r="L88" s="9" t="n">
        <x:v>0</x:v>
      </x:c>
      <x:c r="M88" s="9" t="n">
        <x:v>0</x:v>
      </x:c>
      <x:c r="N88" s="9" t="n">
        <x:v>0</x:v>
      </x:c>
      <x:c r="O88" s="9" t="str">
        <x:f>IF(L88=0,"SEALED / UNJUDGED",IF(G88="INT","CONTEXT / NO ACCEPTANCE WEIGHT",IF(K88=1,"INVALID / NEW OPPORTUNITY",IF(M88=1,"FINAL / CONDITION SATISFIED","FINAL / ADVERSE"))))</x:f>
        <x:v>SEALED / UNJUDGED</x:v>
      </x:c>
    </x:row>
    <x:row r="89">
      <x:c r="A89" s="9" t="str">
        <x:v>RS-AR-LF-B-A-TECH-2-B2-RCN-G0</x:v>
      </x:c>
      <x:c r="B89" s="9" t="str">
        <x:v>EV-AR-LF-B-A-TECH-2-B2-RCN-G0</x:v>
      </x:c>
      <x:c r="C89" s="9" t="str">
        <x:v>AR-LF-B-A-TECH-2-B2-RCN-G0</x:v>
      </x:c>
      <x:c r="D89" s="9" t="str">
        <x:v>LF-B-A-TECH-2</x:v>
      </x:c>
      <x:c r="E89" s="9" t="str">
        <x:v>LF-B-A</x:v>
      </x:c>
      <x:c r="F89" s="9" t="str">
        <x:v>B2</x:v>
      </x:c>
      <x:c r="G89" s="9" t="str">
        <x:v>RCN</x:v>
      </x:c>
      <x:c r="H89" s="9" t="n">
        <x:v>1</x:v>
      </x:c>
      <x:c r="I89" s="17" t="str">
        <x:v>virgin clean ancestry plus own valid event required</x:v>
      </x:c>
      <x:c r="J89" s="9" t="n">
        <x:v>0</x:v>
      </x:c>
      <x:c r="K89" s="9" t="n">
        <x:v>0</x:v>
      </x:c>
      <x:c r="L89" s="9" t="n">
        <x:v>0</x:v>
      </x:c>
      <x:c r="M89" s="9" t="n">
        <x:v>0</x:v>
      </x:c>
      <x:c r="N89" s="9" t="n">
        <x:v>0</x:v>
      </x:c>
      <x:c r="O89" s="9" t="str">
        <x:f>IF(L89=0,"SEALED / UNJUDGED",IF(G89="INT","CONTEXT / NO ACCEPTANCE WEIGHT",IF(K89=1,"INVALID / NEW OPPORTUNITY",IF(M89=1,"FINAL / CONDITION SATISFIED","FINAL / ADVERSE"))))</x:f>
        <x:v>SEALED / UNJUDGED</x:v>
      </x:c>
    </x:row>
    <x:row r="90">
      <x:c r="A90" s="9" t="str">
        <x:v>RS-AR-RT-B-C-TECH-3-B1-BRK-G0</x:v>
      </x:c>
      <x:c r="B90" s="9" t="str">
        <x:v>EV-AR-RT-B-C-TECH-3-B1-BRK-G0</x:v>
      </x:c>
      <x:c r="C90" s="9" t="str">
        <x:v>AR-RT-B-C-TECH-3-B1-BRK-G0</x:v>
      </x:c>
      <x:c r="D90" s="9" t="str">
        <x:v>RT-B-C-TECH-3</x:v>
      </x:c>
      <x:c r="E90" s="9" t="str">
        <x:v>RT-B-C</x:v>
      </x:c>
      <x:c r="F90" s="9" t="str">
        <x:v>B1</x:v>
      </x:c>
      <x:c r="G90" s="9" t="str">
        <x:v>BRK</x:v>
      </x:c>
      <x:c r="H90" s="9" t="n">
        <x:v>1</x:v>
      </x:c>
      <x:c r="I90" s="17" t="str">
        <x:v>first decisive exposure consumes role; judge registered fatal endpoint</x:v>
      </x:c>
      <x:c r="J90" s="9" t="n">
        <x:v>0</x:v>
      </x:c>
      <x:c r="K90" s="9" t="n">
        <x:v>0</x:v>
      </x:c>
      <x:c r="L90" s="9" t="n">
        <x:v>0</x:v>
      </x:c>
      <x:c r="M90" s="9" t="n">
        <x:v>0</x:v>
      </x:c>
      <x:c r="N90" s="9" t="n">
        <x:v>0</x:v>
      </x:c>
      <x:c r="O90" s="9" t="str">
        <x:f>IF(L90=0,"SEALED / UNJUDGED",IF(G90="INT","CONTEXT / NO ACCEPTANCE WEIGHT",IF(K90=1,"INVALID / NEW OPPORTUNITY",IF(M90=1,"FINAL / CONDITION SATISFIED","FINAL / ADVERSE"))))</x:f>
        <x:v>SEALED / UNJUDGED</x:v>
      </x:c>
    </x:row>
    <x:row r="91">
      <x:c r="A91" s="9" t="str">
        <x:v>RS-AR-ET-A-A-TECH-3-B2-INT-G0</x:v>
      </x:c>
      <x:c r="B91" s="9" t="str">
        <x:v>EV-AR-ET-A-A-TECH-3-B2-INT-G0</x:v>
      </x:c>
      <x:c r="C91" s="9" t="str">
        <x:v>AR-ET-A-A-TECH-3-B2-INT-G0</x:v>
      </x:c>
      <x:c r="D91" s="9" t="str">
        <x:v>ET-A-A-TECH-3</x:v>
      </x:c>
      <x:c r="E91" s="9" t="str">
        <x:v>ET-A-A</x:v>
      </x:c>
      <x:c r="F91" s="9" t="str">
        <x:v>B2</x:v>
      </x:c>
      <x:c r="G91" s="9" t="str">
        <x:v>INT</x:v>
      </x:c>
      <x:c r="H91" s="9" t="n">
        <x:v>0</x:v>
      </x:c>
      <x:c r="I91" s="17" t="str">
        <x:v>context only; no acceptance weight</x:v>
      </x:c>
      <x:c r="J91" s="9" t="n">
        <x:v>0</x:v>
      </x:c>
      <x:c r="K91" s="9" t="n">
        <x:v>0</x:v>
      </x:c>
      <x:c r="L91" s="9" t="n">
        <x:v>0</x:v>
      </x:c>
      <x:c r="M91" s="9" t="n">
        <x:v>0</x:v>
      </x:c>
      <x:c r="N91" s="9" t="n">
        <x:v>0</x:v>
      </x:c>
      <x:c r="O91" s="9" t="str">
        <x:f>IF(L91=0,"SEALED / UNJUDGED",IF(G91="INT","CONTEXT / NO ACCEPTANCE WEIGHT",IF(K91=1,"INVALID / NEW OPPORTUNITY",IF(M91=1,"FINAL / CONDITION SATISFIED","FINAL / ADVERSE"))))</x:f>
        <x:v>SEALED / UNJUDGED</x:v>
      </x:c>
    </x:row>
    <x:row r="92">
      <x:c r="A92" s="9" t="str">
        <x:v>RS-AR-HC-A-C-TECH-4-B1-RCN-G0</x:v>
      </x:c>
      <x:c r="B92" s="9" t="str">
        <x:v>EV-AR-HC-A-C-TECH-4-B1-RCN-G0</x:v>
      </x:c>
      <x:c r="C92" s="9" t="str">
        <x:v>AR-HC-A-C-TECH-4-B1-RCN-G0</x:v>
      </x:c>
      <x:c r="D92" s="9" t="str">
        <x:v>HC-A-C-TECH-4</x:v>
      </x:c>
      <x:c r="E92" s="9" t="str">
        <x:v>HC-A-C</x:v>
      </x:c>
      <x:c r="F92" s="9" t="str">
        <x:v>B1</x:v>
      </x:c>
      <x:c r="G92" s="9" t="str">
        <x:v>RCN</x:v>
      </x:c>
      <x:c r="H92" s="9" t="n">
        <x:v>1</x:v>
      </x:c>
      <x:c r="I92" s="17" t="str">
        <x:v>virgin clean ancestry plus own valid event required</x:v>
      </x:c>
      <x:c r="J92" s="9" t="n">
        <x:v>0</x:v>
      </x:c>
      <x:c r="K92" s="9" t="n">
        <x:v>0</x:v>
      </x:c>
      <x:c r="L92" s="9" t="n">
        <x:v>0</x:v>
      </x:c>
      <x:c r="M92" s="9" t="n">
        <x:v>0</x:v>
      </x:c>
      <x:c r="N92" s="9" t="n">
        <x:v>0</x:v>
      </x:c>
      <x:c r="O92" s="9" t="str">
        <x:f>IF(L92=0,"SEALED / UNJUDGED",IF(G92="INT","CONTEXT / NO ACCEPTANCE WEIGHT",IF(K92=1,"INVALID / NEW OPPORTUNITY",IF(M92=1,"FINAL / CONDITION SATISFIED","FINAL / ADVERSE"))))</x:f>
        <x:v>SEALED / UNJUDGED</x:v>
      </x:c>
    </x:row>
    <x:row r="93">
      <x:c r="A93" s="9" t="str">
        <x:v>RS-AR-HC-A-C-TECH-2-B1-INT-G0</x:v>
      </x:c>
      <x:c r="B93" s="9" t="str">
        <x:v>EV-AR-HC-A-C-TECH-2-B1-INT-G0</x:v>
      </x:c>
      <x:c r="C93" s="9" t="str">
        <x:v>AR-HC-A-C-TECH-2-B1-INT-G0</x:v>
      </x:c>
      <x:c r="D93" s="9" t="str">
        <x:v>HC-A-C-TECH-2</x:v>
      </x:c>
      <x:c r="E93" s="9" t="str">
        <x:v>HC-A-C</x:v>
      </x:c>
      <x:c r="F93" s="9" t="str">
        <x:v>B1</x:v>
      </x:c>
      <x:c r="G93" s="9" t="str">
        <x:v>INT</x:v>
      </x:c>
      <x:c r="H93" s="9" t="n">
        <x:v>0</x:v>
      </x:c>
      <x:c r="I93" s="17" t="str">
        <x:v>context only; no acceptance weight</x:v>
      </x:c>
      <x:c r="J93" s="9" t="n">
        <x:v>0</x:v>
      </x:c>
      <x:c r="K93" s="9" t="n">
        <x:v>0</x:v>
      </x:c>
      <x:c r="L93" s="9" t="n">
        <x:v>0</x:v>
      </x:c>
      <x:c r="M93" s="9" t="n">
        <x:v>0</x:v>
      </x:c>
      <x:c r="N93" s="9" t="n">
        <x:v>0</x:v>
      </x:c>
      <x:c r="O93" s="9" t="str">
        <x:f>IF(L93=0,"SEALED / UNJUDGED",IF(G93="INT","CONTEXT / NO ACCEPTANCE WEIGHT",IF(K93=1,"INVALID / NEW OPPORTUNITY",IF(M93=1,"FINAL / CONDITION SATISFIED","FINAL / ADVERSE"))))</x:f>
        <x:v>SEALED / UNJUDGED</x:v>
      </x:c>
    </x:row>
    <x:row r="94">
      <x:c r="A94" s="9" t="str">
        <x:v>RS-AR-LF-B-A-TECH-4-B2-BRK-G0</x:v>
      </x:c>
      <x:c r="B94" s="9" t="str">
        <x:v>EV-AR-LF-B-A-TECH-4-B2-BRK-G0</x:v>
      </x:c>
      <x:c r="C94" s="9" t="str">
        <x:v>AR-LF-B-A-TECH-4-B2-BRK-G0</x:v>
      </x:c>
      <x:c r="D94" s="9" t="str">
        <x:v>LF-B-A-TECH-4</x:v>
      </x:c>
      <x:c r="E94" s="9" t="str">
        <x:v>LF-B-A</x:v>
      </x:c>
      <x:c r="F94" s="9" t="str">
        <x:v>B2</x:v>
      </x:c>
      <x:c r="G94" s="9" t="str">
        <x:v>BRK</x:v>
      </x:c>
      <x:c r="H94" s="9" t="n">
        <x:v>1</x:v>
      </x:c>
      <x:c r="I94" s="17" t="str">
        <x:v>first decisive exposure consumes role; judge registered fatal endpoint</x:v>
      </x:c>
      <x:c r="J94" s="9" t="n">
        <x:v>0</x:v>
      </x:c>
      <x:c r="K94" s="9" t="n">
        <x:v>0</x:v>
      </x:c>
      <x:c r="L94" s="9" t="n">
        <x:v>0</x:v>
      </x:c>
      <x:c r="M94" s="9" t="n">
        <x:v>0</x:v>
      </x:c>
      <x:c r="N94" s="9" t="n">
        <x:v>0</x:v>
      </x:c>
      <x:c r="O94" s="9" t="str">
        <x:f>IF(L94=0,"SEALED / UNJUDGED",IF(G94="INT","CONTEXT / NO ACCEPTANCE WEIGHT",IF(K94=1,"INVALID / NEW OPPORTUNITY",IF(M94=1,"FINAL / CONDITION SATISFIED","FINAL / ADVERSE"))))</x:f>
        <x:v>SEALED / UNJUDGED</x:v>
      </x:c>
    </x:row>
    <x:row r="95">
      <x:c r="A95" s="9" t="str">
        <x:v>RS-AR-LF-B-A-TECH-3-B1-RCN-G0</x:v>
      </x:c>
      <x:c r="B95" s="9" t="str">
        <x:v>EV-AR-LF-B-A-TECH-3-B1-RCN-G0</x:v>
      </x:c>
      <x:c r="C95" s="9" t="str">
        <x:v>AR-LF-B-A-TECH-3-B1-RCN-G0</x:v>
      </x:c>
      <x:c r="D95" s="9" t="str">
        <x:v>LF-B-A-TECH-3</x:v>
      </x:c>
      <x:c r="E95" s="9" t="str">
        <x:v>LF-B-A</x:v>
      </x:c>
      <x:c r="F95" s="9" t="str">
        <x:v>B1</x:v>
      </x:c>
      <x:c r="G95" s="9" t="str">
        <x:v>RCN</x:v>
      </x:c>
      <x:c r="H95" s="9" t="n">
        <x:v>1</x:v>
      </x:c>
      <x:c r="I95" s="17" t="str">
        <x:v>virgin clean ancestry plus own valid event required</x:v>
      </x:c>
      <x:c r="J95" s="9" t="n">
        <x:v>0</x:v>
      </x:c>
      <x:c r="K95" s="9" t="n">
        <x:v>0</x:v>
      </x:c>
      <x:c r="L95" s="9" t="n">
        <x:v>0</x:v>
      </x:c>
      <x:c r="M95" s="9" t="n">
        <x:v>0</x:v>
      </x:c>
      <x:c r="N95" s="9" t="n">
        <x:v>0</x:v>
      </x:c>
      <x:c r="O95" s="9" t="str">
        <x:f>IF(L95=0,"SEALED / UNJUDGED",IF(G95="INT","CONTEXT / NO ACCEPTANCE WEIGHT",IF(K95=1,"INVALID / NEW OPPORTUNITY",IF(M95=1,"FINAL / CONDITION SATISFIED","FINAL / ADVERSE"))))</x:f>
        <x:v>SEALED / UNJUDGED</x:v>
      </x:c>
    </x:row>
    <x:row r="96">
      <x:c r="A96" s="9" t="str">
        <x:v>RS-AR-RT-B-C-TECH-4-B2-INT-G0</x:v>
      </x:c>
      <x:c r="B96" s="9" t="str">
        <x:v>EV-AR-RT-B-C-TECH-4-B2-INT-G0</x:v>
      </x:c>
      <x:c r="C96" s="9" t="str">
        <x:v>AR-RT-B-C-TECH-4-B2-INT-G0</x:v>
      </x:c>
      <x:c r="D96" s="9" t="str">
        <x:v>RT-B-C-TECH-4</x:v>
      </x:c>
      <x:c r="E96" s="9" t="str">
        <x:v>RT-B-C</x:v>
      </x:c>
      <x:c r="F96" s="9" t="str">
        <x:v>B2</x:v>
      </x:c>
      <x:c r="G96" s="9" t="str">
        <x:v>INT</x:v>
      </x:c>
      <x:c r="H96" s="9" t="n">
        <x:v>0</x:v>
      </x:c>
      <x:c r="I96" s="17" t="str">
        <x:v>context only; no acceptance weight</x:v>
      </x:c>
      <x:c r="J96" s="9" t="n">
        <x:v>0</x:v>
      </x:c>
      <x:c r="K96" s="9" t="n">
        <x:v>0</x:v>
      </x:c>
      <x:c r="L96" s="9" t="n">
        <x:v>0</x:v>
      </x:c>
      <x:c r="M96" s="9" t="n">
        <x:v>0</x:v>
      </x:c>
      <x:c r="N96" s="9" t="n">
        <x:v>0</x:v>
      </x:c>
      <x:c r="O96" s="9" t="str">
        <x:f>IF(L96=0,"SEALED / UNJUDGED",IF(G96="INT","CONTEXT / NO ACCEPTANCE WEIGHT",IF(K96=1,"INVALID / NEW OPPORTUNITY",IF(M96=1,"FINAL / CONDITION SATISFIED","FINAL / ADVERSE"))))</x:f>
        <x:v>SEALED / UNJUDGED</x:v>
      </x:c>
    </x:row>
    <x:row r="97">
      <x:c r="A97" s="9" t="str">
        <x:v>RS-AR-CT-C-B-TECH-4-B2-RCN-G0</x:v>
      </x:c>
      <x:c r="B97" s="9" t="str">
        <x:v>EV-AR-CT-C-B-TECH-4-B2-RCN-G0</x:v>
      </x:c>
      <x:c r="C97" s="9" t="str">
        <x:v>AR-CT-C-B-TECH-4-B2-RCN-G0</x:v>
      </x:c>
      <x:c r="D97" s="9" t="str">
        <x:v>CT-C-B-TECH-4</x:v>
      </x:c>
      <x:c r="E97" s="9" t="str">
        <x:v>CT-C-B</x:v>
      </x:c>
      <x:c r="F97" s="9" t="str">
        <x:v>B2</x:v>
      </x:c>
      <x:c r="G97" s="9" t="str">
        <x:v>RCN</x:v>
      </x:c>
      <x:c r="H97" s="9" t="n">
        <x:v>1</x:v>
      </x:c>
      <x:c r="I97" s="17" t="str">
        <x:v>virgin clean ancestry plus own valid event required</x:v>
      </x:c>
      <x:c r="J97" s="9" t="n">
        <x:v>0</x:v>
      </x:c>
      <x:c r="K97" s="9" t="n">
        <x:v>0</x:v>
      </x:c>
      <x:c r="L97" s="9" t="n">
        <x:v>0</x:v>
      </x:c>
      <x:c r="M97" s="9" t="n">
        <x:v>0</x:v>
      </x:c>
      <x:c r="N97" s="9" t="n">
        <x:v>0</x:v>
      </x:c>
      <x:c r="O97" s="9" t="str">
        <x:f>IF(L97=0,"SEALED / UNJUDGED",IF(G97="INT","CONTEXT / NO ACCEPTANCE WEIGHT",IF(K97=1,"INVALID / NEW OPPORTUNITY",IF(M97=1,"FINAL / CONDITION SATISFIED","FINAL / ADVERSE"))))</x:f>
        <x:v>SEALED / UNJUDGED</x:v>
      </x:c>
    </x:row>
    <x:row r="98">
      <x:c r="A98" s="9" t="str">
        <x:v>RS-AR-CT-C-B-TECH-1-B1-BRK-G0</x:v>
      </x:c>
      <x:c r="B98" s="9" t="str">
        <x:v>EV-AR-CT-C-B-TECH-1-B1-BRK-G0</x:v>
      </x:c>
      <x:c r="C98" s="9" t="str">
        <x:v>AR-CT-C-B-TECH-1-B1-BRK-G0</x:v>
      </x:c>
      <x:c r="D98" s="9" t="str">
        <x:v>CT-C-B-TECH-1</x:v>
      </x:c>
      <x:c r="E98" s="9" t="str">
        <x:v>CT-C-B</x:v>
      </x:c>
      <x:c r="F98" s="9" t="str">
        <x:v>B1</x:v>
      </x:c>
      <x:c r="G98" s="9" t="str">
        <x:v>BRK</x:v>
      </x:c>
      <x:c r="H98" s="9" t="n">
        <x:v>1</x:v>
      </x:c>
      <x:c r="I98" s="17" t="str">
        <x:v>first decisive exposure consumes role; judge registered fatal endpoint</x:v>
      </x:c>
      <x:c r="J98" s="9" t="n">
        <x:v>0</x:v>
      </x:c>
      <x:c r="K98" s="9" t="n">
        <x:v>0</x:v>
      </x:c>
      <x:c r="L98" s="9" t="n">
        <x:v>0</x:v>
      </x:c>
      <x:c r="M98" s="9" t="n">
        <x:v>0</x:v>
      </x:c>
      <x:c r="N98" s="9" t="n">
        <x:v>0</x:v>
      </x:c>
      <x:c r="O98" s="9" t="str">
        <x:f>IF(L98=0,"SEALED / UNJUDGED",IF(G98="INT","CONTEXT / NO ACCEPTANCE WEIGHT",IF(K98=1,"INVALID / NEW OPPORTUNITY",IF(M98=1,"FINAL / CONDITION SATISFIED","FINAL / ADVERSE"))))</x:f>
        <x:v>SEALED / UNJUDGED</x:v>
      </x:c>
    </x:row>
    <x:row r="99">
      <x:c r="A99" s="9" t="str">
        <x:v>RS-AR-ET-A-A-TECH-2-B1-BRK-G0</x:v>
      </x:c>
      <x:c r="B99" s="9" t="str">
        <x:v>EV-AR-ET-A-A-TECH-2-B1-BRK-G0</x:v>
      </x:c>
      <x:c r="C99" s="9" t="str">
        <x:v>AR-ET-A-A-TECH-2-B1-BRK-G0</x:v>
      </x:c>
      <x:c r="D99" s="9" t="str">
        <x:v>ET-A-A-TECH-2</x:v>
      </x:c>
      <x:c r="E99" s="9" t="str">
        <x:v>ET-A-A</x:v>
      </x:c>
      <x:c r="F99" s="9" t="str">
        <x:v>B1</x:v>
      </x:c>
      <x:c r="G99" s="9" t="str">
        <x:v>BRK</x:v>
      </x:c>
      <x:c r="H99" s="9" t="n">
        <x:v>1</x:v>
      </x:c>
      <x:c r="I99" s="17" t="str">
        <x:v>first decisive exposure consumes role; judge registered fatal endpoint</x:v>
      </x:c>
      <x:c r="J99" s="9" t="n">
        <x:v>0</x:v>
      </x:c>
      <x:c r="K99" s="9" t="n">
        <x:v>0</x:v>
      </x:c>
      <x:c r="L99" s="9" t="n">
        <x:v>0</x:v>
      </x:c>
      <x:c r="M99" s="9" t="n">
        <x:v>0</x:v>
      </x:c>
      <x:c r="N99" s="9" t="n">
        <x:v>0</x:v>
      </x:c>
      <x:c r="O99" s="9" t="str">
        <x:f>IF(L99=0,"SEALED / UNJUDGED",IF(G99="INT","CONTEXT / NO ACCEPTANCE WEIGHT",IF(K99=1,"INVALID / NEW OPPORTUNITY",IF(M99=1,"FINAL / CONDITION SATISFIED","FINAL / ADVERSE"))))</x:f>
        <x:v>SEALED / UNJUDGED</x:v>
      </x:c>
    </x:row>
    <x:row r="100">
      <x:c r="A100" s="9" t="str">
        <x:v>RS-AR-HU-A-B-TECH-4-B1-BRK-G0</x:v>
      </x:c>
      <x:c r="B100" s="9" t="str">
        <x:v>EV-AR-HU-A-B-TECH-4-B1-BRK-G0</x:v>
      </x:c>
      <x:c r="C100" s="9" t="str">
        <x:v>AR-HU-A-B-TECH-4-B1-BRK-G0</x:v>
      </x:c>
      <x:c r="D100" s="9" t="str">
        <x:v>HU-A-B-TECH-4</x:v>
      </x:c>
      <x:c r="E100" s="9" t="str">
        <x:v>HU-A-B</x:v>
      </x:c>
      <x:c r="F100" s="9" t="str">
        <x:v>B1</x:v>
      </x:c>
      <x:c r="G100" s="9" t="str">
        <x:v>BRK</x:v>
      </x:c>
      <x:c r="H100" s="9" t="n">
        <x:v>1</x:v>
      </x:c>
      <x:c r="I100" s="17" t="str">
        <x:v>first decisive exposure consumes role; judge registered fatal endpoint</x:v>
      </x:c>
      <x:c r="J100" s="9" t="n">
        <x:v>0</x:v>
      </x:c>
      <x:c r="K100" s="9" t="n">
        <x:v>0</x:v>
      </x:c>
      <x:c r="L100" s="9" t="n">
        <x:v>0</x:v>
      </x:c>
      <x:c r="M100" s="9" t="n">
        <x:v>0</x:v>
      </x:c>
      <x:c r="N100" s="9" t="n">
        <x:v>0</x:v>
      </x:c>
      <x:c r="O100" s="9" t="str">
        <x:f>IF(L100=0,"SEALED / UNJUDGED",IF(G100="INT","CONTEXT / NO ACCEPTANCE WEIGHT",IF(K100=1,"INVALID / NEW OPPORTUNITY",IF(M100=1,"FINAL / CONDITION SATISFIED","FINAL / ADVERSE"))))</x:f>
        <x:v>SEALED / UNJUDGED</x:v>
      </x:c>
    </x:row>
    <x:row r="101">
      <x:c r="A101" s="9" t="str">
        <x:v>RS-AR-HU-A-B-TECH-2-B1-RCN-G0</x:v>
      </x:c>
      <x:c r="B101" s="9" t="str">
        <x:v>EV-AR-HU-A-B-TECH-2-B1-RCN-G0</x:v>
      </x:c>
      <x:c r="C101" s="9" t="str">
        <x:v>AR-HU-A-B-TECH-2-B1-RCN-G0</x:v>
      </x:c>
      <x:c r="D101" s="9" t="str">
        <x:v>HU-A-B-TECH-2</x:v>
      </x:c>
      <x:c r="E101" s="9" t="str">
        <x:v>HU-A-B</x:v>
      </x:c>
      <x:c r="F101" s="9" t="str">
        <x:v>B1</x:v>
      </x:c>
      <x:c r="G101" s="9" t="str">
        <x:v>RCN</x:v>
      </x:c>
      <x:c r="H101" s="9" t="n">
        <x:v>1</x:v>
      </x:c>
      <x:c r="I101" s="17" t="str">
        <x:v>virgin clean ancestry plus own valid event required</x:v>
      </x:c>
      <x:c r="J101" s="9" t="n">
        <x:v>0</x:v>
      </x:c>
      <x:c r="K101" s="9" t="n">
        <x:v>0</x:v>
      </x:c>
      <x:c r="L101" s="9" t="n">
        <x:v>0</x:v>
      </x:c>
      <x:c r="M101" s="9" t="n">
        <x:v>0</x:v>
      </x:c>
      <x:c r="N101" s="9" t="n">
        <x:v>0</x:v>
      </x:c>
      <x:c r="O101" s="9" t="str">
        <x:f>IF(L101=0,"SEALED / UNJUDGED",IF(G101="INT","CONTEXT / NO ACCEPTANCE WEIGHT",IF(K101=1,"INVALID / NEW OPPORTUNITY",IF(M101=1,"FINAL / CONDITION SATISFIED","FINAL / ADVERSE"))))</x:f>
        <x:v>SEALED / UNJUDGED</x:v>
      </x:c>
    </x:row>
    <x:row r="102">
      <x:c r="A102" s="9" t="str">
        <x:v>RS-AR-RT-B-C-TECH-2-B2-BRK-G0</x:v>
      </x:c>
      <x:c r="B102" s="9" t="str">
        <x:v>EV-AR-RT-B-C-TECH-2-B2-BRK-G0</x:v>
      </x:c>
      <x:c r="C102" s="9" t="str">
        <x:v>AR-RT-B-C-TECH-2-B2-BRK-G0</x:v>
      </x:c>
      <x:c r="D102" s="9" t="str">
        <x:v>RT-B-C-TECH-2</x:v>
      </x:c>
      <x:c r="E102" s="9" t="str">
        <x:v>RT-B-C</x:v>
      </x:c>
      <x:c r="F102" s="9" t="str">
        <x:v>B2</x:v>
      </x:c>
      <x:c r="G102" s="9" t="str">
        <x:v>BRK</x:v>
      </x:c>
      <x:c r="H102" s="9" t="n">
        <x:v>1</x:v>
      </x:c>
      <x:c r="I102" s="17" t="str">
        <x:v>first decisive exposure consumes role; judge registered fatal endpoint</x:v>
      </x:c>
      <x:c r="J102" s="9" t="n">
        <x:v>0</x:v>
      </x:c>
      <x:c r="K102" s="9" t="n">
        <x:v>0</x:v>
      </x:c>
      <x:c r="L102" s="9" t="n">
        <x:v>0</x:v>
      </x:c>
      <x:c r="M102" s="9" t="n">
        <x:v>0</x:v>
      </x:c>
      <x:c r="N102" s="9" t="n">
        <x:v>0</x:v>
      </x:c>
      <x:c r="O102" s="9" t="str">
        <x:f>IF(L102=0,"SEALED / UNJUDGED",IF(G102="INT","CONTEXT / NO ACCEPTANCE WEIGHT",IF(K102=1,"INVALID / NEW OPPORTUNITY",IF(M102=1,"FINAL / CONDITION SATISFIED","FINAL / ADVERSE"))))</x:f>
        <x:v>SEALED / UNJUDGED</x:v>
      </x:c>
    </x:row>
    <x:row r="103">
      <x:c r="A103" s="9" t="str">
        <x:v>RS-AR-CT-C-B-TECH-3-B2-INT-G0</x:v>
      </x:c>
      <x:c r="B103" s="9" t="str">
        <x:v>EV-AR-CT-C-B-TECH-3-B2-INT-G0</x:v>
      </x:c>
      <x:c r="C103" s="9" t="str">
        <x:v>AR-CT-C-B-TECH-3-B2-INT-G0</x:v>
      </x:c>
      <x:c r="D103" s="9" t="str">
        <x:v>CT-C-B-TECH-3</x:v>
      </x:c>
      <x:c r="E103" s="9" t="str">
        <x:v>CT-C-B</x:v>
      </x:c>
      <x:c r="F103" s="9" t="str">
        <x:v>B2</x:v>
      </x:c>
      <x:c r="G103" s="9" t="str">
        <x:v>INT</x:v>
      </x:c>
      <x:c r="H103" s="9" t="n">
        <x:v>0</x:v>
      </x:c>
      <x:c r="I103" s="17" t="str">
        <x:v>context only; no acceptance weight</x:v>
      </x:c>
      <x:c r="J103" s="9" t="n">
        <x:v>0</x:v>
      </x:c>
      <x:c r="K103" s="9" t="n">
        <x:v>0</x:v>
      </x:c>
      <x:c r="L103" s="9" t="n">
        <x:v>0</x:v>
      </x:c>
      <x:c r="M103" s="9" t="n">
        <x:v>0</x:v>
      </x:c>
      <x:c r="N103" s="9" t="n">
        <x:v>0</x:v>
      </x:c>
      <x:c r="O103" s="9" t="str">
        <x:f>IF(L103=0,"SEALED / UNJUDGED",IF(G103="INT","CONTEXT / NO ACCEPTANCE WEIGHT",IF(K103=1,"INVALID / NEW OPPORTUNITY",IF(M103=1,"FINAL / CONDITION SATISFIED","FINAL / ADVERSE"))))</x:f>
        <x:v>SEALED / UNJUDGED</x:v>
      </x:c>
    </x:row>
    <x:row r="104">
      <x:c r="A104" s="9" t="str">
        <x:v>RS-AR-ET-A-A-TECH-1-B1-RCN-G0</x:v>
      </x:c>
      <x:c r="B104" s="9" t="str">
        <x:v>EV-AR-ET-A-A-TECH-1-B1-RCN-G0</x:v>
      </x:c>
      <x:c r="C104" s="9" t="str">
        <x:v>AR-ET-A-A-TECH-1-B1-RCN-G0</x:v>
      </x:c>
      <x:c r="D104" s="9" t="str">
        <x:v>ET-A-A-TECH-1</x:v>
      </x:c>
      <x:c r="E104" s="9" t="str">
        <x:v>ET-A-A</x:v>
      </x:c>
      <x:c r="F104" s="9" t="str">
        <x:v>B1</x:v>
      </x:c>
      <x:c r="G104" s="9" t="str">
        <x:v>RCN</x:v>
      </x:c>
      <x:c r="H104" s="9" t="n">
        <x:v>1</x:v>
      </x:c>
      <x:c r="I104" s="17" t="str">
        <x:v>virgin clean ancestry plus own valid event required</x:v>
      </x:c>
      <x:c r="J104" s="9" t="n">
        <x:v>0</x:v>
      </x:c>
      <x:c r="K104" s="9" t="n">
        <x:v>0</x:v>
      </x:c>
      <x:c r="L104" s="9" t="n">
        <x:v>0</x:v>
      </x:c>
      <x:c r="M104" s="9" t="n">
        <x:v>0</x:v>
      </x:c>
      <x:c r="N104" s="9" t="n">
        <x:v>0</x:v>
      </x:c>
      <x:c r="O104" s="9" t="str">
        <x:f>IF(L104=0,"SEALED / UNJUDGED",IF(G104="INT","CONTEXT / NO ACCEPTANCE WEIGHT",IF(K104=1,"INVALID / NEW OPPORTUNITY",IF(M104=1,"FINAL / CONDITION SATISFIED","FINAL / ADVERSE"))))</x:f>
        <x:v>SEALED / UNJUDGED</x:v>
      </x:c>
    </x:row>
    <x:row r="105">
      <x:c r="A105" s="9" t="str">
        <x:v>RS-AR-HC-A-C-TECH-4-B2-RCN-G0</x:v>
      </x:c>
      <x:c r="B105" s="9" t="str">
        <x:v>EV-AR-HC-A-C-TECH-4-B2-RCN-G0</x:v>
      </x:c>
      <x:c r="C105" s="9" t="str">
        <x:v>AR-HC-A-C-TECH-4-B2-RCN-G0</x:v>
      </x:c>
      <x:c r="D105" s="9" t="str">
        <x:v>HC-A-C-TECH-4</x:v>
      </x:c>
      <x:c r="E105" s="9" t="str">
        <x:v>HC-A-C</x:v>
      </x:c>
      <x:c r="F105" s="9" t="str">
        <x:v>B2</x:v>
      </x:c>
      <x:c r="G105" s="9" t="str">
        <x:v>RCN</x:v>
      </x:c>
      <x:c r="H105" s="9" t="n">
        <x:v>1</x:v>
      </x:c>
      <x:c r="I105" s="17" t="str">
        <x:v>virgin clean ancestry plus own valid event required</x:v>
      </x:c>
      <x:c r="J105" s="9" t="n">
        <x:v>0</x:v>
      </x:c>
      <x:c r="K105" s="9" t="n">
        <x:v>0</x:v>
      </x:c>
      <x:c r="L105" s="9" t="n">
        <x:v>0</x:v>
      </x:c>
      <x:c r="M105" s="9" t="n">
        <x:v>0</x:v>
      </x:c>
      <x:c r="N105" s="9" t="n">
        <x:v>0</x:v>
      </x:c>
      <x:c r="O105" s="9" t="str">
        <x:f>IF(L105=0,"SEALED / UNJUDGED",IF(G105="INT","CONTEXT / NO ACCEPTANCE WEIGHT",IF(K105=1,"INVALID / NEW OPPORTUNITY",IF(M105=1,"FINAL / CONDITION SATISFIED","FINAL / ADVERSE"))))</x:f>
        <x:v>SEALED / UNJUDGED</x:v>
      </x:c>
    </x:row>
    <x:row r="106">
      <x:c r="A106" s="9" t="str">
        <x:v>RS-AR-HC-A-C-TECH-2-B2-INT-G0</x:v>
      </x:c>
      <x:c r="B106" s="9" t="str">
        <x:v>EV-AR-HC-A-C-TECH-2-B2-INT-G0</x:v>
      </x:c>
      <x:c r="C106" s="9" t="str">
        <x:v>AR-HC-A-C-TECH-2-B2-INT-G0</x:v>
      </x:c>
      <x:c r="D106" s="9" t="str">
        <x:v>HC-A-C-TECH-2</x:v>
      </x:c>
      <x:c r="E106" s="9" t="str">
        <x:v>HC-A-C</x:v>
      </x:c>
      <x:c r="F106" s="9" t="str">
        <x:v>B2</x:v>
      </x:c>
      <x:c r="G106" s="9" t="str">
        <x:v>INT</x:v>
      </x:c>
      <x:c r="H106" s="9" t="n">
        <x:v>0</x:v>
      </x:c>
      <x:c r="I106" s="17" t="str">
        <x:v>context only; no acceptance weight</x:v>
      </x:c>
      <x:c r="J106" s="9" t="n">
        <x:v>0</x:v>
      </x:c>
      <x:c r="K106" s="9" t="n">
        <x:v>0</x:v>
      </x:c>
      <x:c r="L106" s="9" t="n">
        <x:v>0</x:v>
      </x:c>
      <x:c r="M106" s="9" t="n">
        <x:v>0</x:v>
      </x:c>
      <x:c r="N106" s="9" t="n">
        <x:v>0</x:v>
      </x:c>
      <x:c r="O106" s="9" t="str">
        <x:f>IF(L106=0,"SEALED / UNJUDGED",IF(G106="INT","CONTEXT / NO ACCEPTANCE WEIGHT",IF(K106=1,"INVALID / NEW OPPORTUNITY",IF(M106=1,"FINAL / CONDITION SATISFIED","FINAL / ADVERSE"))))</x:f>
        <x:v>SEALED / UNJUDGED</x:v>
      </x:c>
    </x:row>
    <x:row r="107">
      <x:c r="A107" s="9" t="str">
        <x:v>RS-AR-LF-B-A-TECH-3-B2-RCN-G0</x:v>
      </x:c>
      <x:c r="B107" s="9" t="str">
        <x:v>EV-AR-LF-B-A-TECH-3-B2-RCN-G0</x:v>
      </x:c>
      <x:c r="C107" s="9" t="str">
        <x:v>AR-LF-B-A-TECH-3-B2-RCN-G0</x:v>
      </x:c>
      <x:c r="D107" s="9" t="str">
        <x:v>LF-B-A-TECH-3</x:v>
      </x:c>
      <x:c r="E107" s="9" t="str">
        <x:v>LF-B-A</x:v>
      </x:c>
      <x:c r="F107" s="9" t="str">
        <x:v>B2</x:v>
      </x:c>
      <x:c r="G107" s="9" t="str">
        <x:v>RCN</x:v>
      </x:c>
      <x:c r="H107" s="9" t="n">
        <x:v>1</x:v>
      </x:c>
      <x:c r="I107" s="17" t="str">
        <x:v>virgin clean ancestry plus own valid event required</x:v>
      </x:c>
      <x:c r="J107" s="9" t="n">
        <x:v>0</x:v>
      </x:c>
      <x:c r="K107" s="9" t="n">
        <x:v>0</x:v>
      </x:c>
      <x:c r="L107" s="9" t="n">
        <x:v>0</x:v>
      </x:c>
      <x:c r="M107" s="9" t="n">
        <x:v>0</x:v>
      </x:c>
      <x:c r="N107" s="9" t="n">
        <x:v>0</x:v>
      </x:c>
      <x:c r="O107" s="9" t="str">
        <x:f>IF(L107=0,"SEALED / UNJUDGED",IF(G107="INT","CONTEXT / NO ACCEPTANCE WEIGHT",IF(K107=1,"INVALID / NEW OPPORTUNITY",IF(M107=1,"FINAL / CONDITION SATISFIED","FINAL / ADVERSE"))))</x:f>
        <x:v>SEALED / UNJUDGED</x:v>
      </x:c>
    </x:row>
    <x:row r="108">
      <x:c r="A108" s="9" t="str">
        <x:v>RS-AR-LF-B-A-TECH-4-B1-RCN-G0</x:v>
      </x:c>
      <x:c r="B108" s="9" t="str">
        <x:v>EV-AR-LF-B-A-TECH-4-B1-RCN-G0</x:v>
      </x:c>
      <x:c r="C108" s="9" t="str">
        <x:v>AR-LF-B-A-TECH-4-B1-RCN-G0</x:v>
      </x:c>
      <x:c r="D108" s="9" t="str">
        <x:v>LF-B-A-TECH-4</x:v>
      </x:c>
      <x:c r="E108" s="9" t="str">
        <x:v>LF-B-A</x:v>
      </x:c>
      <x:c r="F108" s="9" t="str">
        <x:v>B1</x:v>
      </x:c>
      <x:c r="G108" s="9" t="str">
        <x:v>RCN</x:v>
      </x:c>
      <x:c r="H108" s="9" t="n">
        <x:v>1</x:v>
      </x:c>
      <x:c r="I108" s="17" t="str">
        <x:v>virgin clean ancestry plus own valid event required</x:v>
      </x:c>
      <x:c r="J108" s="9" t="n">
        <x:v>0</x:v>
      </x:c>
      <x:c r="K108" s="9" t="n">
        <x:v>0</x:v>
      </x:c>
      <x:c r="L108" s="9" t="n">
        <x:v>0</x:v>
      </x:c>
      <x:c r="M108" s="9" t="n">
        <x:v>0</x:v>
      </x:c>
      <x:c r="N108" s="9" t="n">
        <x:v>0</x:v>
      </x:c>
      <x:c r="O108" s="9" t="str">
        <x:f>IF(L108=0,"SEALED / UNJUDGED",IF(G108="INT","CONTEXT / NO ACCEPTANCE WEIGHT",IF(K108=1,"INVALID / NEW OPPORTUNITY",IF(M108=1,"FINAL / CONDITION SATISFIED","FINAL / ADVERSE"))))</x:f>
        <x:v>SEALED / UNJUDGED</x:v>
      </x:c>
    </x:row>
    <x:row r="109">
      <x:c r="A109" s="9" t="str">
        <x:v>RS-AR-CT-C-B-TECH-2-B1-BRK-G0</x:v>
      </x:c>
      <x:c r="B109" s="9" t="str">
        <x:v>EV-AR-CT-C-B-TECH-2-B1-BRK-G0</x:v>
      </x:c>
      <x:c r="C109" s="9" t="str">
        <x:v>AR-CT-C-B-TECH-2-B1-BRK-G0</x:v>
      </x:c>
      <x:c r="D109" s="9" t="str">
        <x:v>CT-C-B-TECH-2</x:v>
      </x:c>
      <x:c r="E109" s="9" t="str">
        <x:v>CT-C-B</x:v>
      </x:c>
      <x:c r="F109" s="9" t="str">
        <x:v>B1</x:v>
      </x:c>
      <x:c r="G109" s="9" t="str">
        <x:v>BRK</x:v>
      </x:c>
      <x:c r="H109" s="9" t="n">
        <x:v>1</x:v>
      </x:c>
      <x:c r="I109" s="17" t="str">
        <x:v>first decisive exposure consumes role; judge registered fatal endpoint</x:v>
      </x:c>
      <x:c r="J109" s="9" t="n">
        <x:v>0</x:v>
      </x:c>
      <x:c r="K109" s="9" t="n">
        <x:v>0</x:v>
      </x:c>
      <x:c r="L109" s="9" t="n">
        <x:v>0</x:v>
      </x:c>
      <x:c r="M109" s="9" t="n">
        <x:v>0</x:v>
      </x:c>
      <x:c r="N109" s="9" t="n">
        <x:v>0</x:v>
      </x:c>
      <x:c r="O109" s="9" t="str">
        <x:f>IF(L109=0,"SEALED / UNJUDGED",IF(G109="INT","CONTEXT / NO ACCEPTANCE WEIGHT",IF(K109=1,"INVALID / NEW OPPORTUNITY",IF(M109=1,"FINAL / CONDITION SATISFIED","FINAL / ADVERSE"))))</x:f>
        <x:v>SEALED / UNJUDGED</x:v>
      </x:c>
    </x:row>
    <x:row r="110">
      <x:c r="A110" s="9" t="str">
        <x:v>RS-AR-ET-A-A-TECH-3-B1-BRK-G0</x:v>
      </x:c>
      <x:c r="B110" s="9" t="str">
        <x:v>EV-AR-ET-A-A-TECH-3-B1-BRK-G0</x:v>
      </x:c>
      <x:c r="C110" s="9" t="str">
        <x:v>AR-ET-A-A-TECH-3-B1-BRK-G0</x:v>
      </x:c>
      <x:c r="D110" s="9" t="str">
        <x:v>ET-A-A-TECH-3</x:v>
      </x:c>
      <x:c r="E110" s="9" t="str">
        <x:v>ET-A-A</x:v>
      </x:c>
      <x:c r="F110" s="9" t="str">
        <x:v>B1</x:v>
      </x:c>
      <x:c r="G110" s="9" t="str">
        <x:v>BRK</x:v>
      </x:c>
      <x:c r="H110" s="9" t="n">
        <x:v>1</x:v>
      </x:c>
      <x:c r="I110" s="17" t="str">
        <x:v>first decisive exposure consumes role; judge registered fatal endpoint</x:v>
      </x:c>
      <x:c r="J110" s="9" t="n">
        <x:v>0</x:v>
      </x:c>
      <x:c r="K110" s="9" t="n">
        <x:v>0</x:v>
      </x:c>
      <x:c r="L110" s="9" t="n">
        <x:v>0</x:v>
      </x:c>
      <x:c r="M110" s="9" t="n">
        <x:v>0</x:v>
      </x:c>
      <x:c r="N110" s="9" t="n">
        <x:v>0</x:v>
      </x:c>
      <x:c r="O110" s="9" t="str">
        <x:f>IF(L110=0,"SEALED / UNJUDGED",IF(G110="INT","CONTEXT / NO ACCEPTANCE WEIGHT",IF(K110=1,"INVALID / NEW OPPORTUNITY",IF(M110=1,"FINAL / CONDITION SATISFIED","FINAL / ADVERSE"))))</x:f>
        <x:v>SEALED / UNJUDGED</x:v>
      </x:c>
    </x:row>
    <x:row r="111">
      <x:c r="A111" s="9" t="str">
        <x:v>RS-AR-HC-A-C-TECH-3-B1-INT-G0</x:v>
      </x:c>
      <x:c r="B111" s="9" t="str">
        <x:v>EV-AR-HC-A-C-TECH-3-B1-INT-G0</x:v>
      </x:c>
      <x:c r="C111" s="9" t="str">
        <x:v>AR-HC-A-C-TECH-3-B1-INT-G0</x:v>
      </x:c>
      <x:c r="D111" s="9" t="str">
        <x:v>HC-A-C-TECH-3</x:v>
      </x:c>
      <x:c r="E111" s="9" t="str">
        <x:v>HC-A-C</x:v>
      </x:c>
      <x:c r="F111" s="9" t="str">
        <x:v>B1</x:v>
      </x:c>
      <x:c r="G111" s="9" t="str">
        <x:v>INT</x:v>
      </x:c>
      <x:c r="H111" s="9" t="n">
        <x:v>0</x:v>
      </x:c>
      <x:c r="I111" s="17" t="str">
        <x:v>context only; no acceptance weight</x:v>
      </x:c>
      <x:c r="J111" s="9" t="n">
        <x:v>0</x:v>
      </x:c>
      <x:c r="K111" s="9" t="n">
        <x:v>0</x:v>
      </x:c>
      <x:c r="L111" s="9" t="n">
        <x:v>0</x:v>
      </x:c>
      <x:c r="M111" s="9" t="n">
        <x:v>0</x:v>
      </x:c>
      <x:c r="N111" s="9" t="n">
        <x:v>0</x:v>
      </x:c>
      <x:c r="O111" s="9" t="str">
        <x:f>IF(L111=0,"SEALED / UNJUDGED",IF(G111="INT","CONTEXT / NO ACCEPTANCE WEIGHT",IF(K111=1,"INVALID / NEW OPPORTUNITY",IF(M111=1,"FINAL / CONDITION SATISFIED","FINAL / ADVERSE"))))</x:f>
        <x:v>SEALED / UNJUDGED</x:v>
      </x:c>
    </x:row>
    <x:row r="112">
      <x:c r="A112" s="9" t="str">
        <x:v>RS-AR-HU-A-B-TECH-2-B2-RCN-G0</x:v>
      </x:c>
      <x:c r="B112" s="9" t="str">
        <x:v>EV-AR-HU-A-B-TECH-2-B2-RCN-G0</x:v>
      </x:c>
      <x:c r="C112" s="9" t="str">
        <x:v>AR-HU-A-B-TECH-2-B2-RCN-G0</x:v>
      </x:c>
      <x:c r="D112" s="9" t="str">
        <x:v>HU-A-B-TECH-2</x:v>
      </x:c>
      <x:c r="E112" s="9" t="str">
        <x:v>HU-A-B</x:v>
      </x:c>
      <x:c r="F112" s="9" t="str">
        <x:v>B2</x:v>
      </x:c>
      <x:c r="G112" s="9" t="str">
        <x:v>RCN</x:v>
      </x:c>
      <x:c r="H112" s="9" t="n">
        <x:v>1</x:v>
      </x:c>
      <x:c r="I112" s="17" t="str">
        <x:v>virgin clean ancestry plus own valid event required</x:v>
      </x:c>
      <x:c r="J112" s="9" t="n">
        <x:v>0</x:v>
      </x:c>
      <x:c r="K112" s="9" t="n">
        <x:v>0</x:v>
      </x:c>
      <x:c r="L112" s="9" t="n">
        <x:v>0</x:v>
      </x:c>
      <x:c r="M112" s="9" t="n">
        <x:v>0</x:v>
      </x:c>
      <x:c r="N112" s="9" t="n">
        <x:v>0</x:v>
      </x:c>
      <x:c r="O112" s="9" t="str">
        <x:f>IF(L112=0,"SEALED / UNJUDGED",IF(G112="INT","CONTEXT / NO ACCEPTANCE WEIGHT",IF(K112=1,"INVALID / NEW OPPORTUNITY",IF(M112=1,"FINAL / CONDITION SATISFIED","FINAL / ADVERSE"))))</x:f>
        <x:v>SEALED / UNJUDGED</x:v>
      </x:c>
    </x:row>
    <x:row r="113">
      <x:c r="A113" s="9" t="str">
        <x:v>RS-AR-LF-B-A-TECH-2-B1-INT-G0</x:v>
      </x:c>
      <x:c r="B113" s="9" t="str">
        <x:v>EV-AR-LF-B-A-TECH-2-B1-INT-G0</x:v>
      </x:c>
      <x:c r="C113" s="9" t="str">
        <x:v>AR-LF-B-A-TECH-2-B1-INT-G0</x:v>
      </x:c>
      <x:c r="D113" s="9" t="str">
        <x:v>LF-B-A-TECH-2</x:v>
      </x:c>
      <x:c r="E113" s="9" t="str">
        <x:v>LF-B-A</x:v>
      </x:c>
      <x:c r="F113" s="9" t="str">
        <x:v>B1</x:v>
      </x:c>
      <x:c r="G113" s="9" t="str">
        <x:v>INT</x:v>
      </x:c>
      <x:c r="H113" s="9" t="n">
        <x:v>0</x:v>
      </x:c>
      <x:c r="I113" s="17" t="str">
        <x:v>context only; no acceptance weight</x:v>
      </x:c>
      <x:c r="J113" s="9" t="n">
        <x:v>0</x:v>
      </x:c>
      <x:c r="K113" s="9" t="n">
        <x:v>0</x:v>
      </x:c>
      <x:c r="L113" s="9" t="n">
        <x:v>0</x:v>
      </x:c>
      <x:c r="M113" s="9" t="n">
        <x:v>0</x:v>
      </x:c>
      <x:c r="N113" s="9" t="n">
        <x:v>0</x:v>
      </x:c>
      <x:c r="O113" s="9" t="str">
        <x:f>IF(L113=0,"SEALED / UNJUDGED",IF(G113="INT","CONTEXT / NO ACCEPTANCE WEIGHT",IF(K113=1,"INVALID / NEW OPPORTUNITY",IF(M113=1,"FINAL / CONDITION SATISFIED","FINAL / ADVERSE"))))</x:f>
        <x:v>SEALED / UNJUDGED</x:v>
      </x:c>
    </x:row>
    <x:row r="114">
      <x:c r="A114" s="9" t="str">
        <x:v>RS-AR-RT-B-C-TECH-2-B1-RCN-G0</x:v>
      </x:c>
      <x:c r="B114" s="9" t="str">
        <x:v>EV-AR-RT-B-C-TECH-2-B1-RCN-G0</x:v>
      </x:c>
      <x:c r="C114" s="9" t="str">
        <x:v>AR-RT-B-C-TECH-2-B1-RCN-G0</x:v>
      </x:c>
      <x:c r="D114" s="9" t="str">
        <x:v>RT-B-C-TECH-2</x:v>
      </x:c>
      <x:c r="E114" s="9" t="str">
        <x:v>RT-B-C</x:v>
      </x:c>
      <x:c r="F114" s="9" t="str">
        <x:v>B1</x:v>
      </x:c>
      <x:c r="G114" s="9" t="str">
        <x:v>RCN</x:v>
      </x:c>
      <x:c r="H114" s="9" t="n">
        <x:v>1</x:v>
      </x:c>
      <x:c r="I114" s="17" t="str">
        <x:v>virgin clean ancestry plus own valid event required</x:v>
      </x:c>
      <x:c r="J114" s="9" t="n">
        <x:v>0</x:v>
      </x:c>
      <x:c r="K114" s="9" t="n">
        <x:v>0</x:v>
      </x:c>
      <x:c r="L114" s="9" t="n">
        <x:v>0</x:v>
      </x:c>
      <x:c r="M114" s="9" t="n">
        <x:v>0</x:v>
      </x:c>
      <x:c r="N114" s="9" t="n">
        <x:v>0</x:v>
      </x:c>
      <x:c r="O114" s="9" t="str">
        <x:f>IF(L114=0,"SEALED / UNJUDGED",IF(G114="INT","CONTEXT / NO ACCEPTANCE WEIGHT",IF(K114=1,"INVALID / NEW OPPORTUNITY",IF(M114=1,"FINAL / CONDITION SATISFIED","FINAL / ADVERSE"))))</x:f>
        <x:v>SEALED / UNJUDGED</x:v>
      </x:c>
    </x:row>
    <x:row r="115">
      <x:c r="A115" s="9" t="str">
        <x:v>RS-AR-CT-C-B-TECH-4-B1-INT-G0</x:v>
      </x:c>
      <x:c r="B115" s="9" t="str">
        <x:v>EV-AR-CT-C-B-TECH-4-B1-INT-G0</x:v>
      </x:c>
      <x:c r="C115" s="9" t="str">
        <x:v>AR-CT-C-B-TECH-4-B1-INT-G0</x:v>
      </x:c>
      <x:c r="D115" s="9" t="str">
        <x:v>CT-C-B-TECH-4</x:v>
      </x:c>
      <x:c r="E115" s="9" t="str">
        <x:v>CT-C-B</x:v>
      </x:c>
      <x:c r="F115" s="9" t="str">
        <x:v>B1</x:v>
      </x:c>
      <x:c r="G115" s="9" t="str">
        <x:v>INT</x:v>
      </x:c>
      <x:c r="H115" s="9" t="n">
        <x:v>0</x:v>
      </x:c>
      <x:c r="I115" s="17" t="str">
        <x:v>context only; no acceptance weight</x:v>
      </x:c>
      <x:c r="J115" s="9" t="n">
        <x:v>0</x:v>
      </x:c>
      <x:c r="K115" s="9" t="n">
        <x:v>0</x:v>
      </x:c>
      <x:c r="L115" s="9" t="n">
        <x:v>0</x:v>
      </x:c>
      <x:c r="M115" s="9" t="n">
        <x:v>0</x:v>
      </x:c>
      <x:c r="N115" s="9" t="n">
        <x:v>0</x:v>
      </x:c>
      <x:c r="O115" s="9" t="str">
        <x:f>IF(L115=0,"SEALED / UNJUDGED",IF(G115="INT","CONTEXT / NO ACCEPTANCE WEIGHT",IF(K115=1,"INVALID / NEW OPPORTUNITY",IF(M115=1,"FINAL / CONDITION SATISFIED","FINAL / ADVERSE"))))</x:f>
        <x:v>SEALED / UNJUDGED</x:v>
      </x:c>
    </x:row>
    <x:row r="116">
      <x:c r="A116" s="9" t="str">
        <x:v>RS-AR-ET-A-A-TECH-4-B2-INT-G0</x:v>
      </x:c>
      <x:c r="B116" s="9" t="str">
        <x:v>EV-AR-ET-A-A-TECH-4-B2-INT-G0</x:v>
      </x:c>
      <x:c r="C116" s="9" t="str">
        <x:v>AR-ET-A-A-TECH-4-B2-INT-G0</x:v>
      </x:c>
      <x:c r="D116" s="9" t="str">
        <x:v>ET-A-A-TECH-4</x:v>
      </x:c>
      <x:c r="E116" s="9" t="str">
        <x:v>ET-A-A</x:v>
      </x:c>
      <x:c r="F116" s="9" t="str">
        <x:v>B2</x:v>
      </x:c>
      <x:c r="G116" s="9" t="str">
        <x:v>INT</x:v>
      </x:c>
      <x:c r="H116" s="9" t="n">
        <x:v>0</x:v>
      </x:c>
      <x:c r="I116" s="17" t="str">
        <x:v>context only; no acceptance weight</x:v>
      </x:c>
      <x:c r="J116" s="9" t="n">
        <x:v>0</x:v>
      </x:c>
      <x:c r="K116" s="9" t="n">
        <x:v>0</x:v>
      </x:c>
      <x:c r="L116" s="9" t="n">
        <x:v>0</x:v>
      </x:c>
      <x:c r="M116" s="9" t="n">
        <x:v>0</x:v>
      </x:c>
      <x:c r="N116" s="9" t="n">
        <x:v>0</x:v>
      </x:c>
      <x:c r="O116" s="9" t="str">
        <x:f>IF(L116=0,"SEALED / UNJUDGED",IF(G116="INT","CONTEXT / NO ACCEPTANCE WEIGHT",IF(K116=1,"INVALID / NEW OPPORTUNITY",IF(M116=1,"FINAL / CONDITION SATISFIED","FINAL / ADVERSE"))))</x:f>
        <x:v>SEALED / UNJUDGED</x:v>
      </x:c>
    </x:row>
    <x:row r="117">
      <x:c r="A117" s="9" t="str">
        <x:v>RS-AR-HU-A-B-TECH-1-B1-INT-G0</x:v>
      </x:c>
      <x:c r="B117" s="9" t="str">
        <x:v>EV-AR-HU-A-B-TECH-1-B1-INT-G0</x:v>
      </x:c>
      <x:c r="C117" s="9" t="str">
        <x:v>AR-HU-A-B-TECH-1-B1-INT-G0</x:v>
      </x:c>
      <x:c r="D117" s="9" t="str">
        <x:v>HU-A-B-TECH-1</x:v>
      </x:c>
      <x:c r="E117" s="9" t="str">
        <x:v>HU-A-B</x:v>
      </x:c>
      <x:c r="F117" s="9" t="str">
        <x:v>B1</x:v>
      </x:c>
      <x:c r="G117" s="9" t="str">
        <x:v>INT</x:v>
      </x:c>
      <x:c r="H117" s="9" t="n">
        <x:v>0</x:v>
      </x:c>
      <x:c r="I117" s="17" t="str">
        <x:v>context only; no acceptance weight</x:v>
      </x:c>
      <x:c r="J117" s="9" t="n">
        <x:v>0</x:v>
      </x:c>
      <x:c r="K117" s="9" t="n">
        <x:v>0</x:v>
      </x:c>
      <x:c r="L117" s="9" t="n">
        <x:v>0</x:v>
      </x:c>
      <x:c r="M117" s="9" t="n">
        <x:v>0</x:v>
      </x:c>
      <x:c r="N117" s="9" t="n">
        <x:v>0</x:v>
      </x:c>
      <x:c r="O117" s="9" t="str">
        <x:f>IF(L117=0,"SEALED / UNJUDGED",IF(G117="INT","CONTEXT / NO ACCEPTANCE WEIGHT",IF(K117=1,"INVALID / NEW OPPORTUNITY",IF(M117=1,"FINAL / CONDITION SATISFIED","FINAL / ADVERSE"))))</x:f>
        <x:v>SEALED / UNJUDGED</x:v>
      </x:c>
    </x:row>
    <x:row r="118">
      <x:c r="A118" s="9" t="str">
        <x:v>RS-AR-HU-A-B-TECH-4-B2-BRK-G0</x:v>
      </x:c>
      <x:c r="B118" s="9" t="str">
        <x:v>EV-AR-HU-A-B-TECH-4-B2-BRK-G0</x:v>
      </x:c>
      <x:c r="C118" s="9" t="str">
        <x:v>AR-HU-A-B-TECH-4-B2-BRK-G0</x:v>
      </x:c>
      <x:c r="D118" s="9" t="str">
        <x:v>HU-A-B-TECH-4</x:v>
      </x:c>
      <x:c r="E118" s="9" t="str">
        <x:v>HU-A-B</x:v>
      </x:c>
      <x:c r="F118" s="9" t="str">
        <x:v>B2</x:v>
      </x:c>
      <x:c r="G118" s="9" t="str">
        <x:v>BRK</x:v>
      </x:c>
      <x:c r="H118" s="9" t="n">
        <x:v>1</x:v>
      </x:c>
      <x:c r="I118" s="17" t="str">
        <x:v>first decisive exposure consumes role; judge registered fatal endpoint</x:v>
      </x:c>
      <x:c r="J118" s="9" t="n">
        <x:v>0</x:v>
      </x:c>
      <x:c r="K118" s="9" t="n">
        <x:v>0</x:v>
      </x:c>
      <x:c r="L118" s="9" t="n">
        <x:v>0</x:v>
      </x:c>
      <x:c r="M118" s="9" t="n">
        <x:v>0</x:v>
      </x:c>
      <x:c r="N118" s="9" t="n">
        <x:v>0</x:v>
      </x:c>
      <x:c r="O118" s="9" t="str">
        <x:f>IF(L118=0,"SEALED / UNJUDGED",IF(G118="INT","CONTEXT / NO ACCEPTANCE WEIGHT",IF(K118=1,"INVALID / NEW OPPORTUNITY",IF(M118=1,"FINAL / CONDITION SATISFIED","FINAL / ADVERSE"))))</x:f>
        <x:v>SEALED / UNJUDGED</x:v>
      </x:c>
    </x:row>
    <x:row r="119">
      <x:c r="A119" s="9" t="str">
        <x:v>RS-AR-RT-B-C-TECH-4-B1-BRK-G0</x:v>
      </x:c>
      <x:c r="B119" s="9" t="str">
        <x:v>EV-AR-RT-B-C-TECH-4-B1-BRK-G0</x:v>
      </x:c>
      <x:c r="C119" s="9" t="str">
        <x:v>AR-RT-B-C-TECH-4-B1-BRK-G0</x:v>
      </x:c>
      <x:c r="D119" s="9" t="str">
        <x:v>RT-B-C-TECH-4</x:v>
      </x:c>
      <x:c r="E119" s="9" t="str">
        <x:v>RT-B-C</x:v>
      </x:c>
      <x:c r="F119" s="9" t="str">
        <x:v>B1</x:v>
      </x:c>
      <x:c r="G119" s="9" t="str">
        <x:v>BRK</x:v>
      </x:c>
      <x:c r="H119" s="9" t="n">
        <x:v>1</x:v>
      </x:c>
      <x:c r="I119" s="17" t="str">
        <x:v>first decisive exposure consumes role; judge registered fatal endpoint</x:v>
      </x:c>
      <x:c r="J119" s="9" t="n">
        <x:v>0</x:v>
      </x:c>
      <x:c r="K119" s="9" t="n">
        <x:v>0</x:v>
      </x:c>
      <x:c r="L119" s="9" t="n">
        <x:v>0</x:v>
      </x:c>
      <x:c r="M119" s="9" t="n">
        <x:v>0</x:v>
      </x:c>
      <x:c r="N119" s="9" t="n">
        <x:v>0</x:v>
      </x:c>
      <x:c r="O119" s="9" t="str">
        <x:f>IF(L119=0,"SEALED / UNJUDGED",IF(G119="INT","CONTEXT / NO ACCEPTANCE WEIGHT",IF(K119=1,"INVALID / NEW OPPORTUNITY",IF(M119=1,"FINAL / CONDITION SATISFIED","FINAL / ADVERSE"))))</x:f>
        <x:v>SEALED / UNJUDGED</x:v>
      </x:c>
    </x:row>
    <x:row r="120">
      <x:c r="A120" s="9" t="str">
        <x:v>RS-AR-RT-B-C-TECH-3-B2-BRK-G0</x:v>
      </x:c>
      <x:c r="B120" s="9" t="str">
        <x:v>EV-AR-RT-B-C-TECH-3-B2-BRK-G0</x:v>
      </x:c>
      <x:c r="C120" s="9" t="str">
        <x:v>AR-RT-B-C-TECH-3-B2-BRK-G0</x:v>
      </x:c>
      <x:c r="D120" s="9" t="str">
        <x:v>RT-B-C-TECH-3</x:v>
      </x:c>
      <x:c r="E120" s="9" t="str">
        <x:v>RT-B-C</x:v>
      </x:c>
      <x:c r="F120" s="9" t="str">
        <x:v>B2</x:v>
      </x:c>
      <x:c r="G120" s="9" t="str">
        <x:v>BRK</x:v>
      </x:c>
      <x:c r="H120" s="9" t="n">
        <x:v>1</x:v>
      </x:c>
      <x:c r="I120" s="17" t="str">
        <x:v>first decisive exposure consumes role; judge registered fatal endpoint</x:v>
      </x:c>
      <x:c r="J120" s="9" t="n">
        <x:v>0</x:v>
      </x:c>
      <x:c r="K120" s="9" t="n">
        <x:v>0</x:v>
      </x:c>
      <x:c r="L120" s="9" t="n">
        <x:v>0</x:v>
      </x:c>
      <x:c r="M120" s="9" t="n">
        <x:v>0</x:v>
      </x:c>
      <x:c r="N120" s="9" t="n">
        <x:v>0</x:v>
      </x:c>
      <x:c r="O120" s="9" t="str">
        <x:f>IF(L120=0,"SEALED / UNJUDGED",IF(G120="INT","CONTEXT / NO ACCEPTANCE WEIGHT",IF(K120=1,"INVALID / NEW OPPORTUNITY",IF(M120=1,"FINAL / CONDITION SATISFIED","FINAL / ADVERSE"))))</x:f>
        <x:v>SEALED / UNJUDGED</x:v>
      </x:c>
    </x:row>
    <x:row r="121">
      <x:c r="A121" s="9" t="str">
        <x:v>RS-AR-CT-C-B-TECH-1-B2-BRK-G0</x:v>
      </x:c>
      <x:c r="B121" s="9" t="str">
        <x:v>EV-AR-CT-C-B-TECH-1-B2-BRK-G0</x:v>
      </x:c>
      <x:c r="C121" s="9" t="str">
        <x:v>AR-CT-C-B-TECH-1-B2-BRK-G0</x:v>
      </x:c>
      <x:c r="D121" s="9" t="str">
        <x:v>CT-C-B-TECH-1</x:v>
      </x:c>
      <x:c r="E121" s="9" t="str">
        <x:v>CT-C-B</x:v>
      </x:c>
      <x:c r="F121" s="9" t="str">
        <x:v>B2</x:v>
      </x:c>
      <x:c r="G121" s="9" t="str">
        <x:v>BRK</x:v>
      </x:c>
      <x:c r="H121" s="9" t="n">
        <x:v>1</x:v>
      </x:c>
      <x:c r="I121" s="17" t="str">
        <x:v>first decisive exposure consumes role; judge registered fatal endpoint</x:v>
      </x:c>
      <x:c r="J121" s="9" t="n">
        <x:v>0</x:v>
      </x:c>
      <x:c r="K121" s="9" t="n">
        <x:v>0</x:v>
      </x:c>
      <x:c r="L121" s="9" t="n">
        <x:v>0</x:v>
      </x:c>
      <x:c r="M121" s="9" t="n">
        <x:v>0</x:v>
      </x:c>
      <x:c r="N121" s="9" t="n">
        <x:v>0</x:v>
      </x:c>
      <x:c r="O121" s="9" t="str">
        <x:f>IF(L121=0,"SEALED / UNJUDGED",IF(G121="INT","CONTEXT / NO ACCEPTANCE WEIGHT",IF(K121=1,"INVALID / NEW OPPORTUNITY",IF(M121=1,"FINAL / CONDITION SATISFIED","FINAL / ADVERSE"))))</x:f>
        <x:v>SEALED / UNJUDGED</x:v>
      </x:c>
    </x:row>
    <x:row r="122">
      <x:c r="A122" s="9" t="str">
        <x:v>RS-AR-ET-A-A-TECH-2-B2-BRK-G0</x:v>
      </x:c>
      <x:c r="B122" s="9" t="str">
        <x:v>EV-AR-ET-A-A-TECH-2-B2-BRK-G0</x:v>
      </x:c>
      <x:c r="C122" s="9" t="str">
        <x:v>AR-ET-A-A-TECH-2-B2-BRK-G0</x:v>
      </x:c>
      <x:c r="D122" s="9" t="str">
        <x:v>ET-A-A-TECH-2</x:v>
      </x:c>
      <x:c r="E122" s="9" t="str">
        <x:v>ET-A-A</x:v>
      </x:c>
      <x:c r="F122" s="9" t="str">
        <x:v>B2</x:v>
      </x:c>
      <x:c r="G122" s="9" t="str">
        <x:v>BRK</x:v>
      </x:c>
      <x:c r="H122" s="9" t="n">
        <x:v>1</x:v>
      </x:c>
      <x:c r="I122" s="17" t="str">
        <x:v>first decisive exposure consumes role; judge registered fatal endpoint</x:v>
      </x:c>
      <x:c r="J122" s="9" t="n">
        <x:v>0</x:v>
      </x:c>
      <x:c r="K122" s="9" t="n">
        <x:v>0</x:v>
      </x:c>
      <x:c r="L122" s="9" t="n">
        <x:v>0</x:v>
      </x:c>
      <x:c r="M122" s="9" t="n">
        <x:v>0</x:v>
      </x:c>
      <x:c r="N122" s="9" t="n">
        <x:v>0</x:v>
      </x:c>
      <x:c r="O122" s="9" t="str">
        <x:f>IF(L122=0,"SEALED / UNJUDGED",IF(G122="INT","CONTEXT / NO ACCEPTANCE WEIGHT",IF(K122=1,"INVALID / NEW OPPORTUNITY",IF(M122=1,"FINAL / CONDITION SATISFIED","FINAL / ADVERSE"))))</x:f>
        <x:v>SEALED / UNJUDGED</x:v>
      </x:c>
    </x:row>
    <x:row r="123">
      <x:c r="A123" s="9" t="str">
        <x:v>RS-AR-HC-A-C-TECH-1-B1-BRK-G0</x:v>
      </x:c>
      <x:c r="B123" s="9" t="str">
        <x:v>EV-AR-HC-A-C-TECH-1-B1-BRK-G0</x:v>
      </x:c>
      <x:c r="C123" s="9" t="str">
        <x:v>AR-HC-A-C-TECH-1-B1-BRK-G0</x:v>
      </x:c>
      <x:c r="D123" s="9" t="str">
        <x:v>HC-A-C-TECH-1</x:v>
      </x:c>
      <x:c r="E123" s="9" t="str">
        <x:v>HC-A-C</x:v>
      </x:c>
      <x:c r="F123" s="9" t="str">
        <x:v>B1</x:v>
      </x:c>
      <x:c r="G123" s="9" t="str">
        <x:v>BRK</x:v>
      </x:c>
      <x:c r="H123" s="9" t="n">
        <x:v>1</x:v>
      </x:c>
      <x:c r="I123" s="17" t="str">
        <x:v>first decisive exposure consumes role; judge registered fatal endpoint</x:v>
      </x:c>
      <x:c r="J123" s="9" t="n">
        <x:v>0</x:v>
      </x:c>
      <x:c r="K123" s="9" t="n">
        <x:v>0</x:v>
      </x:c>
      <x:c r="L123" s="9" t="n">
        <x:v>0</x:v>
      </x:c>
      <x:c r="M123" s="9" t="n">
        <x:v>0</x:v>
      </x:c>
      <x:c r="N123" s="9" t="n">
        <x:v>0</x:v>
      </x:c>
      <x:c r="O123" s="9" t="str">
        <x:f>IF(L123=0,"SEALED / UNJUDGED",IF(G123="INT","CONTEXT / NO ACCEPTANCE WEIGHT",IF(K123=1,"INVALID / NEW OPPORTUNITY",IF(M123=1,"FINAL / CONDITION SATISFIED","FINAL / ADVERSE"))))</x:f>
        <x:v>SEALED / UNJUDGED</x:v>
      </x:c>
    </x:row>
    <x:row r="124">
      <x:c r="A124" s="9" t="str">
        <x:v>RS-AR-HU-A-B-TECH-3-B1-RCN-G0</x:v>
      </x:c>
      <x:c r="B124" s="9" t="str">
        <x:v>EV-AR-HU-A-B-TECH-3-B1-RCN-G0</x:v>
      </x:c>
      <x:c r="C124" s="9" t="str">
        <x:v>AR-HU-A-B-TECH-3-B1-RCN-G0</x:v>
      </x:c>
      <x:c r="D124" s="9" t="str">
        <x:v>HU-A-B-TECH-3</x:v>
      </x:c>
      <x:c r="E124" s="9" t="str">
        <x:v>HU-A-B</x:v>
      </x:c>
      <x:c r="F124" s="9" t="str">
        <x:v>B1</x:v>
      </x:c>
      <x:c r="G124" s="9" t="str">
        <x:v>RCN</x:v>
      </x:c>
      <x:c r="H124" s="9" t="n">
        <x:v>1</x:v>
      </x:c>
      <x:c r="I124" s="17" t="str">
        <x:v>virgin clean ancestry plus own valid event required</x:v>
      </x:c>
      <x:c r="J124" s="9" t="n">
        <x:v>0</x:v>
      </x:c>
      <x:c r="K124" s="9" t="n">
        <x:v>0</x:v>
      </x:c>
      <x:c r="L124" s="9" t="n">
        <x:v>0</x:v>
      </x:c>
      <x:c r="M124" s="9" t="n">
        <x:v>0</x:v>
      </x:c>
      <x:c r="N124" s="9" t="n">
        <x:v>0</x:v>
      </x:c>
      <x:c r="O124" s="9" t="str">
        <x:f>IF(L124=0,"SEALED / UNJUDGED",IF(G124="INT","CONTEXT / NO ACCEPTANCE WEIGHT",IF(K124=1,"INVALID / NEW OPPORTUNITY",IF(M124=1,"FINAL / CONDITION SATISFIED","FINAL / ADVERSE"))))</x:f>
        <x:v>SEALED / UNJUDGED</x:v>
      </x:c>
    </x:row>
    <x:row r="125">
      <x:c r="A125" s="9" t="str">
        <x:v>RS-AR-LF-B-A-TECH-1-B2-INT-G0</x:v>
      </x:c>
      <x:c r="B125" s="9" t="str">
        <x:v>EV-AR-LF-B-A-TECH-1-B2-INT-G0</x:v>
      </x:c>
      <x:c r="C125" s="9" t="str">
        <x:v>AR-LF-B-A-TECH-1-B2-INT-G0</x:v>
      </x:c>
      <x:c r="D125" s="9" t="str">
        <x:v>LF-B-A-TECH-1</x:v>
      </x:c>
      <x:c r="E125" s="9" t="str">
        <x:v>LF-B-A</x:v>
      </x:c>
      <x:c r="F125" s="9" t="str">
        <x:v>B2</x:v>
      </x:c>
      <x:c r="G125" s="9" t="str">
        <x:v>INT</x:v>
      </x:c>
      <x:c r="H125" s="9" t="n">
        <x:v>0</x:v>
      </x:c>
      <x:c r="I125" s="17" t="str">
        <x:v>context only; no acceptance weight</x:v>
      </x:c>
      <x:c r="J125" s="9" t="n">
        <x:v>0</x:v>
      </x:c>
      <x:c r="K125" s="9" t="n">
        <x:v>0</x:v>
      </x:c>
      <x:c r="L125" s="9" t="n">
        <x:v>0</x:v>
      </x:c>
      <x:c r="M125" s="9" t="n">
        <x:v>0</x:v>
      </x:c>
      <x:c r="N125" s="9" t="n">
        <x:v>0</x:v>
      </x:c>
      <x:c r="O125" s="9" t="str">
        <x:f>IF(L125=0,"SEALED / UNJUDGED",IF(G125="INT","CONTEXT / NO ACCEPTANCE WEIGHT",IF(K125=1,"INVALID / NEW OPPORTUNITY",IF(M125=1,"FINAL / CONDITION SATISFIED","FINAL / ADVERSE"))))</x:f>
        <x:v>SEALED / UNJUDGED</x:v>
      </x:c>
    </x:row>
    <x:row r="126">
      <x:c r="A126" s="9" t="str">
        <x:v>RS-AR-RT-B-C-TECH-1-B2-RCN-G0</x:v>
      </x:c>
      <x:c r="B126" s="9" t="str">
        <x:v>EV-AR-RT-B-C-TECH-1-B2-RCN-G0</x:v>
      </x:c>
      <x:c r="C126" s="9" t="str">
        <x:v>AR-RT-B-C-TECH-1-B2-RCN-G0</x:v>
      </x:c>
      <x:c r="D126" s="9" t="str">
        <x:v>RT-B-C-TECH-1</x:v>
      </x:c>
      <x:c r="E126" s="9" t="str">
        <x:v>RT-B-C</x:v>
      </x:c>
      <x:c r="F126" s="9" t="str">
        <x:v>B2</x:v>
      </x:c>
      <x:c r="G126" s="9" t="str">
        <x:v>RCN</x:v>
      </x:c>
      <x:c r="H126" s="9" t="n">
        <x:v>1</x:v>
      </x:c>
      <x:c r="I126" s="17" t="str">
        <x:v>virgin clean ancestry plus own valid event required</x:v>
      </x:c>
      <x:c r="J126" s="9" t="n">
        <x:v>0</x:v>
      </x:c>
      <x:c r="K126" s="9" t="n">
        <x:v>0</x:v>
      </x:c>
      <x:c r="L126" s="9" t="n">
        <x:v>0</x:v>
      </x:c>
      <x:c r="M126" s="9" t="n">
        <x:v>0</x:v>
      </x:c>
      <x:c r="N126" s="9" t="n">
        <x:v>0</x:v>
      </x:c>
      <x:c r="O126" s="9" t="str">
        <x:f>IF(L126=0,"SEALED / UNJUDGED",IF(G126="INT","CONTEXT / NO ACCEPTANCE WEIGHT",IF(K126=1,"INVALID / NEW OPPORTUNITY",IF(M126=1,"FINAL / CONDITION SATISFIED","FINAL / ADVERSE"))))</x:f>
        <x:v>SEALED / UNJUDGED</x:v>
      </x:c>
    </x:row>
    <x:row r="127">
      <x:c r="A127" s="9" t="str">
        <x:v>RS-AR-CT-C-B-TECH-1-B1-RCN-G0</x:v>
      </x:c>
      <x:c r="B127" s="9" t="str">
        <x:v>EV-AR-CT-C-B-TECH-1-B1-RCN-G0</x:v>
      </x:c>
      <x:c r="C127" s="9" t="str">
        <x:v>AR-CT-C-B-TECH-1-B1-RCN-G0</x:v>
      </x:c>
      <x:c r="D127" s="9" t="str">
        <x:v>CT-C-B-TECH-1</x:v>
      </x:c>
      <x:c r="E127" s="9" t="str">
        <x:v>CT-C-B</x:v>
      </x:c>
      <x:c r="F127" s="9" t="str">
        <x:v>B1</x:v>
      </x:c>
      <x:c r="G127" s="9" t="str">
        <x:v>RCN</x:v>
      </x:c>
      <x:c r="H127" s="9" t="n">
        <x:v>1</x:v>
      </x:c>
      <x:c r="I127" s="17" t="str">
        <x:v>virgin clean ancestry plus own valid event required</x:v>
      </x:c>
      <x:c r="J127" s="9" t="n">
        <x:v>0</x:v>
      </x:c>
      <x:c r="K127" s="9" t="n">
        <x:v>0</x:v>
      </x:c>
      <x:c r="L127" s="9" t="n">
        <x:v>0</x:v>
      </x:c>
      <x:c r="M127" s="9" t="n">
        <x:v>0</x:v>
      </x:c>
      <x:c r="N127" s="9" t="n">
        <x:v>0</x:v>
      </x:c>
      <x:c r="O127" s="9" t="str">
        <x:f>IF(L127=0,"SEALED / UNJUDGED",IF(G127="INT","CONTEXT / NO ACCEPTANCE WEIGHT",IF(K127=1,"INVALID / NEW OPPORTUNITY",IF(M127=1,"FINAL / CONDITION SATISFIED","FINAL / ADVERSE"))))</x:f>
        <x:v>SEALED / UNJUDGED</x:v>
      </x:c>
    </x:row>
    <x:row r="128">
      <x:c r="A128" s="9" t="str">
        <x:v>RS-AR-ET-A-A-TECH-4-B1-BRK-G0</x:v>
      </x:c>
      <x:c r="B128" s="9" t="str">
        <x:v>EV-AR-ET-A-A-TECH-4-B1-BRK-G0</x:v>
      </x:c>
      <x:c r="C128" s="9" t="str">
        <x:v>AR-ET-A-A-TECH-4-B1-BRK-G0</x:v>
      </x:c>
      <x:c r="D128" s="9" t="str">
        <x:v>ET-A-A-TECH-4</x:v>
      </x:c>
      <x:c r="E128" s="9" t="str">
        <x:v>ET-A-A</x:v>
      </x:c>
      <x:c r="F128" s="9" t="str">
        <x:v>B1</x:v>
      </x:c>
      <x:c r="G128" s="9" t="str">
        <x:v>BRK</x:v>
      </x:c>
      <x:c r="H128" s="9" t="n">
        <x:v>1</x:v>
      </x:c>
      <x:c r="I128" s="17" t="str">
        <x:v>first decisive exposure consumes role; judge registered fatal endpoint</x:v>
      </x:c>
      <x:c r="J128" s="9" t="n">
        <x:v>0</x:v>
      </x:c>
      <x:c r="K128" s="9" t="n">
        <x:v>0</x:v>
      </x:c>
      <x:c r="L128" s="9" t="n">
        <x:v>0</x:v>
      </x:c>
      <x:c r="M128" s="9" t="n">
        <x:v>0</x:v>
      </x:c>
      <x:c r="N128" s="9" t="n">
        <x:v>0</x:v>
      </x:c>
      <x:c r="O128" s="9" t="str">
        <x:f>IF(L128=0,"SEALED / UNJUDGED",IF(G128="INT","CONTEXT / NO ACCEPTANCE WEIGHT",IF(K128=1,"INVALID / NEW OPPORTUNITY",IF(M128=1,"FINAL / CONDITION SATISFIED","FINAL / ADVERSE"))))</x:f>
        <x:v>SEALED / UNJUDGED</x:v>
      </x:c>
    </x:row>
    <x:row r="129">
      <x:c r="A129" s="9" t="str">
        <x:v>RS-AR-ET-A-A-TECH-3-B2-BRK-G0</x:v>
      </x:c>
      <x:c r="B129" s="9" t="str">
        <x:v>EV-AR-ET-A-A-TECH-3-B2-BRK-G0</x:v>
      </x:c>
      <x:c r="C129" s="9" t="str">
        <x:v>AR-ET-A-A-TECH-3-B2-BRK-G0</x:v>
      </x:c>
      <x:c r="D129" s="9" t="str">
        <x:v>ET-A-A-TECH-3</x:v>
      </x:c>
      <x:c r="E129" s="9" t="str">
        <x:v>ET-A-A</x:v>
      </x:c>
      <x:c r="F129" s="9" t="str">
        <x:v>B2</x:v>
      </x:c>
      <x:c r="G129" s="9" t="str">
        <x:v>BRK</x:v>
      </x:c>
      <x:c r="H129" s="9" t="n">
        <x:v>1</x:v>
      </x:c>
      <x:c r="I129" s="17" t="str">
        <x:v>first decisive exposure consumes role; judge registered fatal endpoint</x:v>
      </x:c>
      <x:c r="J129" s="9" t="n">
        <x:v>0</x:v>
      </x:c>
      <x:c r="K129" s="9" t="n">
        <x:v>0</x:v>
      </x:c>
      <x:c r="L129" s="9" t="n">
        <x:v>0</x:v>
      </x:c>
      <x:c r="M129" s="9" t="n">
        <x:v>0</x:v>
      </x:c>
      <x:c r="N129" s="9" t="n">
        <x:v>0</x:v>
      </x:c>
      <x:c r="O129" s="9" t="str">
        <x:f>IF(L129=0,"SEALED / UNJUDGED",IF(G129="INT","CONTEXT / NO ACCEPTANCE WEIGHT",IF(K129=1,"INVALID / NEW OPPORTUNITY",IF(M129=1,"FINAL / CONDITION SATISFIED","FINAL / ADVERSE"))))</x:f>
        <x:v>SEALED / UNJUDGED</x:v>
      </x:c>
    </x:row>
    <x:row r="130">
      <x:c r="A130" s="9" t="str">
        <x:v>RS-AR-HC-A-C-TECH-4-B1-INT-G0</x:v>
      </x:c>
      <x:c r="B130" s="9" t="str">
        <x:v>EV-AR-HC-A-C-TECH-4-B1-INT-G0</x:v>
      </x:c>
      <x:c r="C130" s="9" t="str">
        <x:v>AR-HC-A-C-TECH-4-B1-INT-G0</x:v>
      </x:c>
      <x:c r="D130" s="9" t="str">
        <x:v>HC-A-C-TECH-4</x:v>
      </x:c>
      <x:c r="E130" s="9" t="str">
        <x:v>HC-A-C</x:v>
      </x:c>
      <x:c r="F130" s="9" t="str">
        <x:v>B1</x:v>
      </x:c>
      <x:c r="G130" s="9" t="str">
        <x:v>INT</x:v>
      </x:c>
      <x:c r="H130" s="9" t="n">
        <x:v>0</x:v>
      </x:c>
      <x:c r="I130" s="17" t="str">
        <x:v>context only; no acceptance weight</x:v>
      </x:c>
      <x:c r="J130" s="9" t="n">
        <x:v>0</x:v>
      </x:c>
      <x:c r="K130" s="9" t="n">
        <x:v>0</x:v>
      </x:c>
      <x:c r="L130" s="9" t="n">
        <x:v>0</x:v>
      </x:c>
      <x:c r="M130" s="9" t="n">
        <x:v>0</x:v>
      </x:c>
      <x:c r="N130" s="9" t="n">
        <x:v>0</x:v>
      </x:c>
      <x:c r="O130" s="9" t="str">
        <x:f>IF(L130=0,"SEALED / UNJUDGED",IF(G130="INT","CONTEXT / NO ACCEPTANCE WEIGHT",IF(K130=1,"INVALID / NEW OPPORTUNITY",IF(M130=1,"FINAL / CONDITION SATISFIED","FINAL / ADVERSE"))))</x:f>
        <x:v>SEALED / UNJUDGED</x:v>
      </x:c>
    </x:row>
    <x:row r="131">
      <x:c r="A131" s="9" t="str">
        <x:v>RS-AR-LF-B-A-TECH-4-B2-RCN-G0</x:v>
      </x:c>
      <x:c r="B131" s="9" t="str">
        <x:v>EV-AR-LF-B-A-TECH-4-B2-RCN-G0</x:v>
      </x:c>
      <x:c r="C131" s="9" t="str">
        <x:v>AR-LF-B-A-TECH-4-B2-RCN-G0</x:v>
      </x:c>
      <x:c r="D131" s="9" t="str">
        <x:v>LF-B-A-TECH-4</x:v>
      </x:c>
      <x:c r="E131" s="9" t="str">
        <x:v>LF-B-A</x:v>
      </x:c>
      <x:c r="F131" s="9" t="str">
        <x:v>B2</x:v>
      </x:c>
      <x:c r="G131" s="9" t="str">
        <x:v>RCN</x:v>
      </x:c>
      <x:c r="H131" s="9" t="n">
        <x:v>1</x:v>
      </x:c>
      <x:c r="I131" s="17" t="str">
        <x:v>virgin clean ancestry plus own valid event required</x:v>
      </x:c>
      <x:c r="J131" s="9" t="n">
        <x:v>0</x:v>
      </x:c>
      <x:c r="K131" s="9" t="n">
        <x:v>0</x:v>
      </x:c>
      <x:c r="L131" s="9" t="n">
        <x:v>0</x:v>
      </x:c>
      <x:c r="M131" s="9" t="n">
        <x:v>0</x:v>
      </x:c>
      <x:c r="N131" s="9" t="n">
        <x:v>0</x:v>
      </x:c>
      <x:c r="O131" s="9" t="str">
        <x:f>IF(L131=0,"SEALED / UNJUDGED",IF(G131="INT","CONTEXT / NO ACCEPTANCE WEIGHT",IF(K131=1,"INVALID / NEW OPPORTUNITY",IF(M131=1,"FINAL / CONDITION SATISFIED","FINAL / ADVERSE"))))</x:f>
        <x:v>SEALED / UNJUDGED</x:v>
      </x:c>
    </x:row>
    <x:row r="132">
      <x:c r="A132" s="9" t="str">
        <x:v>RS-AR-LF-B-A-TECH-2-B2-INT-G0</x:v>
      </x:c>
      <x:c r="B132" s="9" t="str">
        <x:v>EV-AR-LF-B-A-TECH-2-B2-INT-G0</x:v>
      </x:c>
      <x:c r="C132" s="9" t="str">
        <x:v>AR-LF-B-A-TECH-2-B2-INT-G0</x:v>
      </x:c>
      <x:c r="D132" s="9" t="str">
        <x:v>LF-B-A-TECH-2</x:v>
      </x:c>
      <x:c r="E132" s="9" t="str">
        <x:v>LF-B-A</x:v>
      </x:c>
      <x:c r="F132" s="9" t="str">
        <x:v>B2</x:v>
      </x:c>
      <x:c r="G132" s="9" t="str">
        <x:v>INT</x:v>
      </x:c>
      <x:c r="H132" s="9" t="n">
        <x:v>0</x:v>
      </x:c>
      <x:c r="I132" s="17" t="str">
        <x:v>context only; no acceptance weight</x:v>
      </x:c>
      <x:c r="J132" s="9" t="n">
        <x:v>0</x:v>
      </x:c>
      <x:c r="K132" s="9" t="n">
        <x:v>0</x:v>
      </x:c>
      <x:c r="L132" s="9" t="n">
        <x:v>0</x:v>
      </x:c>
      <x:c r="M132" s="9" t="n">
        <x:v>0</x:v>
      </x:c>
      <x:c r="N132" s="9" t="n">
        <x:v>0</x:v>
      </x:c>
      <x:c r="O132" s="9" t="str">
        <x:f>IF(L132=0,"SEALED / UNJUDGED",IF(G132="INT","CONTEXT / NO ACCEPTANCE WEIGHT",IF(K132=1,"INVALID / NEW OPPORTUNITY",IF(M132=1,"FINAL / CONDITION SATISFIED","FINAL / ADVERSE"))))</x:f>
        <x:v>SEALED / UNJUDGED</x:v>
      </x:c>
    </x:row>
    <x:row r="133">
      <x:c r="A133" s="9" t="str">
        <x:v>RS-AR-CT-C-B-TECH-3-B1-BRK-G0</x:v>
      </x:c>
      <x:c r="B133" s="9" t="str">
        <x:v>EV-AR-CT-C-B-TECH-3-B1-BRK-G0</x:v>
      </x:c>
      <x:c r="C133" s="9" t="str">
        <x:v>AR-CT-C-B-TECH-3-B1-BRK-G0</x:v>
      </x:c>
      <x:c r="D133" s="9" t="str">
        <x:v>CT-C-B-TECH-3</x:v>
      </x:c>
      <x:c r="E133" s="9" t="str">
        <x:v>CT-C-B</x:v>
      </x:c>
      <x:c r="F133" s="9" t="str">
        <x:v>B1</x:v>
      </x:c>
      <x:c r="G133" s="9" t="str">
        <x:v>BRK</x:v>
      </x:c>
      <x:c r="H133" s="9" t="n">
        <x:v>1</x:v>
      </x:c>
      <x:c r="I133" s="17" t="str">
        <x:v>first decisive exposure consumes role; judge registered fatal endpoint</x:v>
      </x:c>
      <x:c r="J133" s="9" t="n">
        <x:v>0</x:v>
      </x:c>
      <x:c r="K133" s="9" t="n">
        <x:v>0</x:v>
      </x:c>
      <x:c r="L133" s="9" t="n">
        <x:v>0</x:v>
      </x:c>
      <x:c r="M133" s="9" t="n">
        <x:v>0</x:v>
      </x:c>
      <x:c r="N133" s="9" t="n">
        <x:v>0</x:v>
      </x:c>
      <x:c r="O133" s="9" t="str">
        <x:f>IF(L133=0,"SEALED / UNJUDGED",IF(G133="INT","CONTEXT / NO ACCEPTANCE WEIGHT",IF(K133=1,"INVALID / NEW OPPORTUNITY",IF(M133=1,"FINAL / CONDITION SATISFIED","FINAL / ADVERSE"))))</x:f>
        <x:v>SEALED / UNJUDGED</x:v>
      </x:c>
    </x:row>
    <x:row r="134">
      <x:c r="A134" s="9" t="str">
        <x:v>RS-AR-ET-A-A-TECH-1-B2-RCN-G0</x:v>
      </x:c>
      <x:c r="B134" s="9" t="str">
        <x:v>EV-AR-ET-A-A-TECH-1-B2-RCN-G0</x:v>
      </x:c>
      <x:c r="C134" s="9" t="str">
        <x:v>AR-ET-A-A-TECH-1-B2-RCN-G0</x:v>
      </x:c>
      <x:c r="D134" s="9" t="str">
        <x:v>ET-A-A-TECH-1</x:v>
      </x:c>
      <x:c r="E134" s="9" t="str">
        <x:v>ET-A-A</x:v>
      </x:c>
      <x:c r="F134" s="9" t="str">
        <x:v>B2</x:v>
      </x:c>
      <x:c r="G134" s="9" t="str">
        <x:v>RCN</x:v>
      </x:c>
      <x:c r="H134" s="9" t="n">
        <x:v>1</x:v>
      </x:c>
      <x:c r="I134" s="17" t="str">
        <x:v>virgin clean ancestry plus own valid event required</x:v>
      </x:c>
      <x:c r="J134" s="9" t="n">
        <x:v>0</x:v>
      </x:c>
      <x:c r="K134" s="9" t="n">
        <x:v>0</x:v>
      </x:c>
      <x:c r="L134" s="9" t="n">
        <x:v>0</x:v>
      </x:c>
      <x:c r="M134" s="9" t="n">
        <x:v>0</x:v>
      </x:c>
      <x:c r="N134" s="9" t="n">
        <x:v>0</x:v>
      </x:c>
      <x:c r="O134" s="9" t="str">
        <x:f>IF(L134=0,"SEALED / UNJUDGED",IF(G134="INT","CONTEXT / NO ACCEPTANCE WEIGHT",IF(K134=1,"INVALID / NEW OPPORTUNITY",IF(M134=1,"FINAL / CONDITION SATISFIED","FINAL / ADVERSE"))))</x:f>
        <x:v>SEALED / UNJUDGED</x:v>
      </x:c>
    </x:row>
    <x:row r="135">
      <x:c r="A135" s="9" t="str">
        <x:v>RS-AR-HC-A-C-TECH-1-B2-BRK-G0</x:v>
      </x:c>
      <x:c r="B135" s="9" t="str">
        <x:v>EV-AR-HC-A-C-TECH-1-B2-BRK-G0</x:v>
      </x:c>
      <x:c r="C135" s="9" t="str">
        <x:v>AR-HC-A-C-TECH-1-B2-BRK-G0</x:v>
      </x:c>
      <x:c r="D135" s="9" t="str">
        <x:v>HC-A-C-TECH-1</x:v>
      </x:c>
      <x:c r="E135" s="9" t="str">
        <x:v>HC-A-C</x:v>
      </x:c>
      <x:c r="F135" s="9" t="str">
        <x:v>B2</x:v>
      </x:c>
      <x:c r="G135" s="9" t="str">
        <x:v>BRK</x:v>
      </x:c>
      <x:c r="H135" s="9" t="n">
        <x:v>1</x:v>
      </x:c>
      <x:c r="I135" s="17" t="str">
        <x:v>first decisive exposure consumes role; judge registered fatal endpoint</x:v>
      </x:c>
      <x:c r="J135" s="9" t="n">
        <x:v>0</x:v>
      </x:c>
      <x:c r="K135" s="9" t="n">
        <x:v>0</x:v>
      </x:c>
      <x:c r="L135" s="9" t="n">
        <x:v>0</x:v>
      </x:c>
      <x:c r="M135" s="9" t="n">
        <x:v>0</x:v>
      </x:c>
      <x:c r="N135" s="9" t="n">
        <x:v>0</x:v>
      </x:c>
      <x:c r="O135" s="9" t="str">
        <x:f>IF(L135=0,"SEALED / UNJUDGED",IF(G135="INT","CONTEXT / NO ACCEPTANCE WEIGHT",IF(K135=1,"INVALID / NEW OPPORTUNITY",IF(M135=1,"FINAL / CONDITION SATISFIED","FINAL / ADVERSE"))))</x:f>
        <x:v>SEALED / UNJUDGED</x:v>
      </x:c>
    </x:row>
    <x:row r="136">
      <x:c r="A136" s="9" t="str">
        <x:v>RS-AR-HU-A-B-TECH-1-B2-INT-G0</x:v>
      </x:c>
      <x:c r="B136" s="9" t="str">
        <x:v>EV-AR-HU-A-B-TECH-1-B2-INT-G0</x:v>
      </x:c>
      <x:c r="C136" s="9" t="str">
        <x:v>AR-HU-A-B-TECH-1-B2-INT-G0</x:v>
      </x:c>
      <x:c r="D136" s="9" t="str">
        <x:v>HU-A-B-TECH-1</x:v>
      </x:c>
      <x:c r="E136" s="9" t="str">
        <x:v>HU-A-B</x:v>
      </x:c>
      <x:c r="F136" s="9" t="str">
        <x:v>B2</x:v>
      </x:c>
      <x:c r="G136" s="9" t="str">
        <x:v>INT</x:v>
      </x:c>
      <x:c r="H136" s="9" t="n">
        <x:v>0</x:v>
      </x:c>
      <x:c r="I136" s="17" t="str">
        <x:v>context only; no acceptance weight</x:v>
      </x:c>
      <x:c r="J136" s="9" t="n">
        <x:v>0</x:v>
      </x:c>
      <x:c r="K136" s="9" t="n">
        <x:v>0</x:v>
      </x:c>
      <x:c r="L136" s="9" t="n">
        <x:v>0</x:v>
      </x:c>
      <x:c r="M136" s="9" t="n">
        <x:v>0</x:v>
      </x:c>
      <x:c r="N136" s="9" t="n">
        <x:v>0</x:v>
      </x:c>
      <x:c r="O136" s="9" t="str">
        <x:f>IF(L136=0,"SEALED / UNJUDGED",IF(G136="INT","CONTEXT / NO ACCEPTANCE WEIGHT",IF(K136=1,"INVALID / NEW OPPORTUNITY",IF(M136=1,"FINAL / CONDITION SATISFIED","FINAL / ADVERSE"))))</x:f>
        <x:v>SEALED / UNJUDGED</x:v>
      </x:c>
    </x:row>
    <x:row r="137">
      <x:c r="A137" s="9" t="str">
        <x:v>RS-AR-LF-B-A-TECH-3-B1-INT-G0</x:v>
      </x:c>
      <x:c r="B137" s="9" t="str">
        <x:v>EV-AR-LF-B-A-TECH-3-B1-INT-G0</x:v>
      </x:c>
      <x:c r="C137" s="9" t="str">
        <x:v>AR-LF-B-A-TECH-3-B1-INT-G0</x:v>
      </x:c>
      <x:c r="D137" s="9" t="str">
        <x:v>LF-B-A-TECH-3</x:v>
      </x:c>
      <x:c r="E137" s="9" t="str">
        <x:v>LF-B-A</x:v>
      </x:c>
      <x:c r="F137" s="9" t="str">
        <x:v>B1</x:v>
      </x:c>
      <x:c r="G137" s="9" t="str">
        <x:v>INT</x:v>
      </x:c>
      <x:c r="H137" s="9" t="n">
        <x:v>0</x:v>
      </x:c>
      <x:c r="I137" s="17" t="str">
        <x:v>context only; no acceptance weight</x:v>
      </x:c>
      <x:c r="J137" s="9" t="n">
        <x:v>0</x:v>
      </x:c>
      <x:c r="K137" s="9" t="n">
        <x:v>0</x:v>
      </x:c>
      <x:c r="L137" s="9" t="n">
        <x:v>0</x:v>
      </x:c>
      <x:c r="M137" s="9" t="n">
        <x:v>0</x:v>
      </x:c>
      <x:c r="N137" s="9" t="n">
        <x:v>0</x:v>
      </x:c>
      <x:c r="O137" s="9" t="str">
        <x:f>IF(L137=0,"SEALED / UNJUDGED",IF(G137="INT","CONTEXT / NO ACCEPTANCE WEIGHT",IF(K137=1,"INVALID / NEW OPPORTUNITY",IF(M137=1,"FINAL / CONDITION SATISFIED","FINAL / ADVERSE"))))</x:f>
        <x:v>SEALED / UNJUDGED</x:v>
      </x:c>
    </x:row>
    <x:row r="138">
      <x:c r="A138" s="9" t="str">
        <x:v>RS-AR-RT-B-C-TECH-2-B2-RCN-G0</x:v>
      </x:c>
      <x:c r="B138" s="9" t="str">
        <x:v>EV-AR-RT-B-C-TECH-2-B2-RCN-G0</x:v>
      </x:c>
      <x:c r="C138" s="9" t="str">
        <x:v>AR-RT-B-C-TECH-2-B2-RCN-G0</x:v>
      </x:c>
      <x:c r="D138" s="9" t="str">
        <x:v>RT-B-C-TECH-2</x:v>
      </x:c>
      <x:c r="E138" s="9" t="str">
        <x:v>RT-B-C</x:v>
      </x:c>
      <x:c r="F138" s="9" t="str">
        <x:v>B2</x:v>
      </x:c>
      <x:c r="G138" s="9" t="str">
        <x:v>RCN</x:v>
      </x:c>
      <x:c r="H138" s="9" t="n">
        <x:v>1</x:v>
      </x:c>
      <x:c r="I138" s="17" t="str">
        <x:v>virgin clean ancestry plus own valid event required</x:v>
      </x:c>
      <x:c r="J138" s="9" t="n">
        <x:v>0</x:v>
      </x:c>
      <x:c r="K138" s="9" t="n">
        <x:v>0</x:v>
      </x:c>
      <x:c r="L138" s="9" t="n">
        <x:v>0</x:v>
      </x:c>
      <x:c r="M138" s="9" t="n">
        <x:v>0</x:v>
      </x:c>
      <x:c r="N138" s="9" t="n">
        <x:v>0</x:v>
      </x:c>
      <x:c r="O138" s="9" t="str">
        <x:f>IF(L138=0,"SEALED / UNJUDGED",IF(G138="INT","CONTEXT / NO ACCEPTANCE WEIGHT",IF(K138=1,"INVALID / NEW OPPORTUNITY",IF(M138=1,"FINAL / CONDITION SATISFIED","FINAL / ADVERSE"))))</x:f>
        <x:v>SEALED / UNJUDGED</x:v>
      </x:c>
    </x:row>
    <x:row r="139">
      <x:c r="A139" s="9" t="str">
        <x:v>RS-AR-CT-C-B-TECH-4-B2-INT-G0</x:v>
      </x:c>
      <x:c r="B139" s="9" t="str">
        <x:v>EV-AR-CT-C-B-TECH-4-B2-INT-G0</x:v>
      </x:c>
      <x:c r="C139" s="9" t="str">
        <x:v>AR-CT-C-B-TECH-4-B2-INT-G0</x:v>
      </x:c>
      <x:c r="D139" s="9" t="str">
        <x:v>CT-C-B-TECH-4</x:v>
      </x:c>
      <x:c r="E139" s="9" t="str">
        <x:v>CT-C-B</x:v>
      </x:c>
      <x:c r="F139" s="9" t="str">
        <x:v>B2</x:v>
      </x:c>
      <x:c r="G139" s="9" t="str">
        <x:v>INT</x:v>
      </x:c>
      <x:c r="H139" s="9" t="n">
        <x:v>0</x:v>
      </x:c>
      <x:c r="I139" s="17" t="str">
        <x:v>context only; no acceptance weight</x:v>
      </x:c>
      <x:c r="J139" s="9" t="n">
        <x:v>0</x:v>
      </x:c>
      <x:c r="K139" s="9" t="n">
        <x:v>0</x:v>
      </x:c>
      <x:c r="L139" s="9" t="n">
        <x:v>0</x:v>
      </x:c>
      <x:c r="M139" s="9" t="n">
        <x:v>0</x:v>
      </x:c>
      <x:c r="N139" s="9" t="n">
        <x:v>0</x:v>
      </x:c>
      <x:c r="O139" s="9" t="str">
        <x:f>IF(L139=0,"SEALED / UNJUDGED",IF(G139="INT","CONTEXT / NO ACCEPTANCE WEIGHT",IF(K139=1,"INVALID / NEW OPPORTUNITY",IF(M139=1,"FINAL / CONDITION SATISFIED","FINAL / ADVERSE"))))</x:f>
        <x:v>SEALED / UNJUDGED</x:v>
      </x:c>
    </x:row>
    <x:row r="140">
      <x:c r="A140" s="9" t="str">
        <x:v>RS-AR-HC-A-C-TECH-3-B2-INT-G0</x:v>
      </x:c>
      <x:c r="B140" s="9" t="str">
        <x:v>EV-AR-HC-A-C-TECH-3-B2-INT-G0</x:v>
      </x:c>
      <x:c r="C140" s="9" t="str">
        <x:v>AR-HC-A-C-TECH-3-B2-INT-G0</x:v>
      </x:c>
      <x:c r="D140" s="9" t="str">
        <x:v>HC-A-C-TECH-3</x:v>
      </x:c>
      <x:c r="E140" s="9" t="str">
        <x:v>HC-A-C</x:v>
      </x:c>
      <x:c r="F140" s="9" t="str">
        <x:v>B2</x:v>
      </x:c>
      <x:c r="G140" s="9" t="str">
        <x:v>INT</x:v>
      </x:c>
      <x:c r="H140" s="9" t="n">
        <x:v>0</x:v>
      </x:c>
      <x:c r="I140" s="17" t="str">
        <x:v>context only; no acceptance weight</x:v>
      </x:c>
      <x:c r="J140" s="9" t="n">
        <x:v>0</x:v>
      </x:c>
      <x:c r="K140" s="9" t="n">
        <x:v>0</x:v>
      </x:c>
      <x:c r="L140" s="9" t="n">
        <x:v>0</x:v>
      </x:c>
      <x:c r="M140" s="9" t="n">
        <x:v>0</x:v>
      </x:c>
      <x:c r="N140" s="9" t="n">
        <x:v>0</x:v>
      </x:c>
      <x:c r="O140" s="9" t="str">
        <x:f>IF(L140=0,"SEALED / UNJUDGED",IF(G140="INT","CONTEXT / NO ACCEPTANCE WEIGHT",IF(K140=1,"INVALID / NEW OPPORTUNITY",IF(M140=1,"FINAL / CONDITION SATISFIED","FINAL / ADVERSE"))))</x:f>
        <x:v>SEALED / UNJUDGED</x:v>
      </x:c>
    </x:row>
    <x:row r="141">
      <x:c r="A141" s="9" t="str">
        <x:v>RS-AR-HU-A-B-TECH-3-B2-RCN-G0</x:v>
      </x:c>
      <x:c r="B141" s="9" t="str">
        <x:v>EV-AR-HU-A-B-TECH-3-B2-RCN-G0</x:v>
      </x:c>
      <x:c r="C141" s="9" t="str">
        <x:v>AR-HU-A-B-TECH-3-B2-RCN-G0</x:v>
      </x:c>
      <x:c r="D141" s="9" t="str">
        <x:v>HU-A-B-TECH-3</x:v>
      </x:c>
      <x:c r="E141" s="9" t="str">
        <x:v>HU-A-B</x:v>
      </x:c>
      <x:c r="F141" s="9" t="str">
        <x:v>B2</x:v>
      </x:c>
      <x:c r="G141" s="9" t="str">
        <x:v>RCN</x:v>
      </x:c>
      <x:c r="H141" s="9" t="n">
        <x:v>1</x:v>
      </x:c>
      <x:c r="I141" s="17" t="str">
        <x:v>virgin clean ancestry plus own valid event required</x:v>
      </x:c>
      <x:c r="J141" s="9" t="n">
        <x:v>0</x:v>
      </x:c>
      <x:c r="K141" s="9" t="n">
        <x:v>0</x:v>
      </x:c>
      <x:c r="L141" s="9" t="n">
        <x:v>0</x:v>
      </x:c>
      <x:c r="M141" s="9" t="n">
        <x:v>0</x:v>
      </x:c>
      <x:c r="N141" s="9" t="n">
        <x:v>0</x:v>
      </x:c>
      <x:c r="O141" s="9" t="str">
        <x:f>IF(L141=0,"SEALED / UNJUDGED",IF(G141="INT","CONTEXT / NO ACCEPTANCE WEIGHT",IF(K141=1,"INVALID / NEW OPPORTUNITY",IF(M141=1,"FINAL / CONDITION SATISFIED","FINAL / ADVERSE"))))</x:f>
        <x:v>SEALED / UNJUDGED</x:v>
      </x:c>
    </x:row>
    <x:row r="142">
      <x:c r="A142" s="9" t="str">
        <x:v>RS-AR-HU-A-B-TECH-4-B1-RCN-G0</x:v>
      </x:c>
      <x:c r="B142" s="9" t="str">
        <x:v>EV-AR-HU-A-B-TECH-4-B1-RCN-G0</x:v>
      </x:c>
      <x:c r="C142" s="9" t="str">
        <x:v>AR-HU-A-B-TECH-4-B1-RCN-G0</x:v>
      </x:c>
      <x:c r="D142" s="9" t="str">
        <x:v>HU-A-B-TECH-4</x:v>
      </x:c>
      <x:c r="E142" s="9" t="str">
        <x:v>HU-A-B</x:v>
      </x:c>
      <x:c r="F142" s="9" t="str">
        <x:v>B1</x:v>
      </x:c>
      <x:c r="G142" s="9" t="str">
        <x:v>RCN</x:v>
      </x:c>
      <x:c r="H142" s="9" t="n">
        <x:v>1</x:v>
      </x:c>
      <x:c r="I142" s="17" t="str">
        <x:v>virgin clean ancestry plus own valid event required</x:v>
      </x:c>
      <x:c r="J142" s="9" t="n">
        <x:v>0</x:v>
      </x:c>
      <x:c r="K142" s="9" t="n">
        <x:v>0</x:v>
      </x:c>
      <x:c r="L142" s="9" t="n">
        <x:v>0</x:v>
      </x:c>
      <x:c r="M142" s="9" t="n">
        <x:v>0</x:v>
      </x:c>
      <x:c r="N142" s="9" t="n">
        <x:v>0</x:v>
      </x:c>
      <x:c r="O142" s="9" t="str">
        <x:f>IF(L142=0,"SEALED / UNJUDGED",IF(G142="INT","CONTEXT / NO ACCEPTANCE WEIGHT",IF(K142=1,"INVALID / NEW OPPORTUNITY",IF(M142=1,"FINAL / CONDITION SATISFIED","FINAL / ADVERSE"))))</x:f>
        <x:v>SEALED / UNJUDGED</x:v>
      </x:c>
    </x:row>
    <x:row r="143">
      <x:c r="A143" s="9" t="str">
        <x:v>RS-AR-RT-B-C-TECH-1-B1-INT-G0</x:v>
      </x:c>
      <x:c r="B143" s="9" t="str">
        <x:v>EV-AR-RT-B-C-TECH-1-B1-INT-G0</x:v>
      </x:c>
      <x:c r="C143" s="9" t="str">
        <x:v>AR-RT-B-C-TECH-1-B1-INT-G0</x:v>
      </x:c>
      <x:c r="D143" s="9" t="str">
        <x:v>RT-B-C-TECH-1</x:v>
      </x:c>
      <x:c r="E143" s="9" t="str">
        <x:v>RT-B-C</x:v>
      </x:c>
      <x:c r="F143" s="9" t="str">
        <x:v>B1</x:v>
      </x:c>
      <x:c r="G143" s="9" t="str">
        <x:v>INT</x:v>
      </x:c>
      <x:c r="H143" s="9" t="n">
        <x:v>0</x:v>
      </x:c>
      <x:c r="I143" s="17" t="str">
        <x:v>context only; no acceptance weight</x:v>
      </x:c>
      <x:c r="J143" s="9" t="n">
        <x:v>0</x:v>
      </x:c>
      <x:c r="K143" s="9" t="n">
        <x:v>0</x:v>
      </x:c>
      <x:c r="L143" s="9" t="n">
        <x:v>0</x:v>
      </x:c>
      <x:c r="M143" s="9" t="n">
        <x:v>0</x:v>
      </x:c>
      <x:c r="N143" s="9" t="n">
        <x:v>0</x:v>
      </x:c>
      <x:c r="O143" s="9" t="str">
        <x:f>IF(L143=0,"SEALED / UNJUDGED",IF(G143="INT","CONTEXT / NO ACCEPTANCE WEIGHT",IF(K143=1,"INVALID / NEW OPPORTUNITY",IF(M143=1,"FINAL / CONDITION SATISFIED","FINAL / ADVERSE"))))</x:f>
        <x:v>SEALED / UNJUDGED</x:v>
      </x:c>
    </x:row>
    <x:row r="144">
      <x:c r="A144" s="9" t="str">
        <x:v>RS-AR-RT-B-C-TECH-4-B2-BRK-G0</x:v>
      </x:c>
      <x:c r="B144" s="9" t="str">
        <x:v>EV-AR-RT-B-C-TECH-4-B2-BRK-G0</x:v>
      </x:c>
      <x:c r="C144" s="9" t="str">
        <x:v>AR-RT-B-C-TECH-4-B2-BRK-G0</x:v>
      </x:c>
      <x:c r="D144" s="9" t="str">
        <x:v>RT-B-C-TECH-4</x:v>
      </x:c>
      <x:c r="E144" s="9" t="str">
        <x:v>RT-B-C</x:v>
      </x:c>
      <x:c r="F144" s="9" t="str">
        <x:v>B2</x:v>
      </x:c>
      <x:c r="G144" s="9" t="str">
        <x:v>BRK</x:v>
      </x:c>
      <x:c r="H144" s="9" t="n">
        <x:v>1</x:v>
      </x:c>
      <x:c r="I144" s="17" t="str">
        <x:v>first decisive exposure consumes role; judge registered fatal endpoint</x:v>
      </x:c>
      <x:c r="J144" s="9" t="n">
        <x:v>0</x:v>
      </x:c>
      <x:c r="K144" s="9" t="n">
        <x:v>0</x:v>
      </x:c>
      <x:c r="L144" s="9" t="n">
        <x:v>0</x:v>
      </x:c>
      <x:c r="M144" s="9" t="n">
        <x:v>0</x:v>
      </x:c>
      <x:c r="N144" s="9" t="n">
        <x:v>0</x:v>
      </x:c>
      <x:c r="O144" s="9" t="str">
        <x:f>IF(L144=0,"SEALED / UNJUDGED",IF(G144="INT","CONTEXT / NO ACCEPTANCE WEIGHT",IF(K144=1,"INVALID / NEW OPPORTUNITY",IF(M144=1,"FINAL / CONDITION SATISFIED","FINAL / ADVERSE"))))</x:f>
        <x:v>SEALED / UNJUDGED</x:v>
      </x:c>
    </x:row>
    <x:row r="145">
      <x:c r="A145" s="9" t="str">
        <x:v>RS-AR-CT-C-B-TECH-2-B2-BRK-G0</x:v>
      </x:c>
      <x:c r="B145" s="9" t="str">
        <x:v>EV-AR-CT-C-B-TECH-2-B2-BRK-G0</x:v>
      </x:c>
      <x:c r="C145" s="9" t="str">
        <x:v>AR-CT-C-B-TECH-2-B2-BRK-G0</x:v>
      </x:c>
      <x:c r="D145" s="9" t="str">
        <x:v>CT-C-B-TECH-2</x:v>
      </x:c>
      <x:c r="E145" s="9" t="str">
        <x:v>CT-C-B</x:v>
      </x:c>
      <x:c r="F145" s="9" t="str">
        <x:v>B2</x:v>
      </x:c>
      <x:c r="G145" s="9" t="str">
        <x:v>BRK</x:v>
      </x:c>
      <x:c r="H145" s="9" t="n">
        <x:v>1</x:v>
      </x:c>
      <x:c r="I145" s="17" t="str">
        <x:v>first decisive exposure consumes role; judge registered fatal endpoint</x:v>
      </x:c>
      <x:c r="J145" s="9" t="n">
        <x:v>0</x:v>
      </x:c>
      <x:c r="K145" s="9" t="n">
        <x:v>0</x:v>
      </x:c>
      <x:c r="L145" s="9" t="n">
        <x:v>0</x:v>
      </x:c>
      <x:c r="M145" s="9" t="n">
        <x:v>0</x:v>
      </x:c>
      <x:c r="N145" s="9" t="n">
        <x:v>0</x:v>
      </x:c>
      <x:c r="O145" s="9" t="str">
        <x:f>IF(L145=0,"SEALED / UNJUDGED",IF(G145="INT","CONTEXT / NO ACCEPTANCE WEIGHT",IF(K145=1,"INVALID / NEW OPPORTUNITY",IF(M145=1,"FINAL / CONDITION SATISFIED","FINAL / ADVERSE"))))</x:f>
        <x:v>SEALED / UNJUDGED</x:v>
      </x:c>
    </x:row>
    <x:row r="146">
      <x:c r="A146" s="9" t="str">
        <x:v>RS-AR-ET-A-A-TECH-2-B1-RCN-G0</x:v>
      </x:c>
      <x:c r="B146" s="9" t="str">
        <x:v>EV-AR-ET-A-A-TECH-2-B1-RCN-G0</x:v>
      </x:c>
      <x:c r="C146" s="9" t="str">
        <x:v>AR-ET-A-A-TECH-2-B1-RCN-G0</x:v>
      </x:c>
      <x:c r="D146" s="9" t="str">
        <x:v>ET-A-A-TECH-2</x:v>
      </x:c>
      <x:c r="E146" s="9" t="str">
        <x:v>ET-A-A</x:v>
      </x:c>
      <x:c r="F146" s="9" t="str">
        <x:v>B1</x:v>
      </x:c>
      <x:c r="G146" s="9" t="str">
        <x:v>RCN</x:v>
      </x:c>
      <x:c r="H146" s="9" t="n">
        <x:v>1</x:v>
      </x:c>
      <x:c r="I146" s="17" t="str">
        <x:v>virgin clean ancestry plus own valid event required</x:v>
      </x:c>
      <x:c r="J146" s="9" t="n">
        <x:v>0</x:v>
      </x:c>
      <x:c r="K146" s="9" t="n">
        <x:v>0</x:v>
      </x:c>
      <x:c r="L146" s="9" t="n">
        <x:v>0</x:v>
      </x:c>
      <x:c r="M146" s="9" t="n">
        <x:v>0</x:v>
      </x:c>
      <x:c r="N146" s="9" t="n">
        <x:v>0</x:v>
      </x:c>
      <x:c r="O146" s="9" t="str">
        <x:f>IF(L146=0,"SEALED / UNJUDGED",IF(G146="INT","CONTEXT / NO ACCEPTANCE WEIGHT",IF(K146=1,"INVALID / NEW OPPORTUNITY",IF(M146=1,"FINAL / CONDITION SATISFIED","FINAL / ADVERSE"))))</x:f>
        <x:v>SEALED / UNJUDGED</x:v>
      </x:c>
    </x:row>
    <x:row r="147">
      <x:c r="A147" s="9" t="str">
        <x:v>RS-AR-HC-A-C-TECH-2-B1-BRK-G0</x:v>
      </x:c>
      <x:c r="B147" s="9" t="str">
        <x:v>EV-AR-HC-A-C-TECH-2-B1-BRK-G0</x:v>
      </x:c>
      <x:c r="C147" s="9" t="str">
        <x:v>AR-HC-A-C-TECH-2-B1-BRK-G0</x:v>
      </x:c>
      <x:c r="D147" s="9" t="str">
        <x:v>HC-A-C-TECH-2</x:v>
      </x:c>
      <x:c r="E147" s="9" t="str">
        <x:v>HC-A-C</x:v>
      </x:c>
      <x:c r="F147" s="9" t="str">
        <x:v>B1</x:v>
      </x:c>
      <x:c r="G147" s="9" t="str">
        <x:v>BRK</x:v>
      </x:c>
      <x:c r="H147" s="9" t="n">
        <x:v>1</x:v>
      </x:c>
      <x:c r="I147" s="17" t="str">
        <x:v>first decisive exposure consumes role; judge registered fatal endpoint</x:v>
      </x:c>
      <x:c r="J147" s="9" t="n">
        <x:v>0</x:v>
      </x:c>
      <x:c r="K147" s="9" t="n">
        <x:v>0</x:v>
      </x:c>
      <x:c r="L147" s="9" t="n">
        <x:v>0</x:v>
      </x:c>
      <x:c r="M147" s="9" t="n">
        <x:v>0</x:v>
      </x:c>
      <x:c r="N147" s="9" t="n">
        <x:v>0</x:v>
      </x:c>
      <x:c r="O147" s="9" t="str">
        <x:f>IF(L147=0,"SEALED / UNJUDGED",IF(G147="INT","CONTEXT / NO ACCEPTANCE WEIGHT",IF(K147=1,"INVALID / NEW OPPORTUNITY",IF(M147=1,"FINAL / CONDITION SATISFIED","FINAL / ADVERSE"))))</x:f>
        <x:v>SEALED / UNJUDGED</x:v>
      </x:c>
    </x:row>
    <x:row r="148">
      <x:c r="A148" s="9" t="str">
        <x:v>RS-AR-HU-A-B-TECH-2-B1-INT-G0</x:v>
      </x:c>
      <x:c r="B148" s="9" t="str">
        <x:v>EV-AR-HU-A-B-TECH-2-B1-INT-G0</x:v>
      </x:c>
      <x:c r="C148" s="9" t="str">
        <x:v>AR-HU-A-B-TECH-2-B1-INT-G0</x:v>
      </x:c>
      <x:c r="D148" s="9" t="str">
        <x:v>HU-A-B-TECH-2</x:v>
      </x:c>
      <x:c r="E148" s="9" t="str">
        <x:v>HU-A-B</x:v>
      </x:c>
      <x:c r="F148" s="9" t="str">
        <x:v>B1</x:v>
      </x:c>
      <x:c r="G148" s="9" t="str">
        <x:v>INT</x:v>
      </x:c>
      <x:c r="H148" s="9" t="n">
        <x:v>0</x:v>
      </x:c>
      <x:c r="I148" s="17" t="str">
        <x:v>context only; no acceptance weight</x:v>
      </x:c>
      <x:c r="J148" s="9" t="n">
        <x:v>0</x:v>
      </x:c>
      <x:c r="K148" s="9" t="n">
        <x:v>0</x:v>
      </x:c>
      <x:c r="L148" s="9" t="n">
        <x:v>0</x:v>
      </x:c>
      <x:c r="M148" s="9" t="n">
        <x:v>0</x:v>
      </x:c>
      <x:c r="N148" s="9" t="n">
        <x:v>0</x:v>
      </x:c>
      <x:c r="O148" s="9" t="str">
        <x:f>IF(L148=0,"SEALED / UNJUDGED",IF(G148="INT","CONTEXT / NO ACCEPTANCE WEIGHT",IF(K148=1,"INVALID / NEW OPPORTUNITY",IF(M148=1,"FINAL / CONDITION SATISFIED","FINAL / ADVERSE"))))</x:f>
        <x:v>SEALED / UNJUDGED</x:v>
      </x:c>
    </x:row>
    <x:row r="149">
      <x:c r="A149" s="9" t="str">
        <x:v>RS-AR-LF-B-A-TECH-1-B1-BRK-G0</x:v>
      </x:c>
      <x:c r="B149" s="9" t="str">
        <x:v>EV-AR-LF-B-A-TECH-1-B1-BRK-G0</x:v>
      </x:c>
      <x:c r="C149" s="9" t="str">
        <x:v>AR-LF-B-A-TECH-1-B1-BRK-G0</x:v>
      </x:c>
      <x:c r="D149" s="9" t="str">
        <x:v>LF-B-A-TECH-1</x:v>
      </x:c>
      <x:c r="E149" s="9" t="str">
        <x:v>LF-B-A</x:v>
      </x:c>
      <x:c r="F149" s="9" t="str">
        <x:v>B1</x:v>
      </x:c>
      <x:c r="G149" s="9" t="str">
        <x:v>BRK</x:v>
      </x:c>
      <x:c r="H149" s="9" t="n">
        <x:v>1</x:v>
      </x:c>
      <x:c r="I149" s="17" t="str">
        <x:v>first decisive exposure consumes role; judge registered fatal endpoint</x:v>
      </x:c>
      <x:c r="J149" s="9" t="n">
        <x:v>0</x:v>
      </x:c>
      <x:c r="K149" s="9" t="n">
        <x:v>0</x:v>
      </x:c>
      <x:c r="L149" s="9" t="n">
        <x:v>0</x:v>
      </x:c>
      <x:c r="M149" s="9" t="n">
        <x:v>0</x:v>
      </x:c>
      <x:c r="N149" s="9" t="n">
        <x:v>0</x:v>
      </x:c>
      <x:c r="O149" s="9" t="str">
        <x:f>IF(L149=0,"SEALED / UNJUDGED",IF(G149="INT","CONTEXT / NO ACCEPTANCE WEIGHT",IF(K149=1,"INVALID / NEW OPPORTUNITY",IF(M149=1,"FINAL / CONDITION SATISFIED","FINAL / ADVERSE"))))</x:f>
        <x:v>SEALED / UNJUDGED</x:v>
      </x:c>
    </x:row>
    <x:row r="150">
      <x:c r="A150" s="9" t="str">
        <x:v>RS-AR-RT-B-C-TECH-3-B1-RCN-G0</x:v>
      </x:c>
      <x:c r="B150" s="9" t="str">
        <x:v>EV-AR-RT-B-C-TECH-3-B1-RCN-G0</x:v>
      </x:c>
      <x:c r="C150" s="9" t="str">
        <x:v>AR-RT-B-C-TECH-3-B1-RCN-G0</x:v>
      </x:c>
      <x:c r="D150" s="9" t="str">
        <x:v>RT-B-C-TECH-3</x:v>
      </x:c>
      <x:c r="E150" s="9" t="str">
        <x:v>RT-B-C</x:v>
      </x:c>
      <x:c r="F150" s="9" t="str">
        <x:v>B1</x:v>
      </x:c>
      <x:c r="G150" s="9" t="str">
        <x:v>RCN</x:v>
      </x:c>
      <x:c r="H150" s="9" t="n">
        <x:v>1</x:v>
      </x:c>
      <x:c r="I150" s="17" t="str">
        <x:v>virgin clean ancestry plus own valid event required</x:v>
      </x:c>
      <x:c r="J150" s="9" t="n">
        <x:v>0</x:v>
      </x:c>
      <x:c r="K150" s="9" t="n">
        <x:v>0</x:v>
      </x:c>
      <x:c r="L150" s="9" t="n">
        <x:v>0</x:v>
      </x:c>
      <x:c r="M150" s="9" t="n">
        <x:v>0</x:v>
      </x:c>
      <x:c r="N150" s="9" t="n">
        <x:v>0</x:v>
      </x:c>
      <x:c r="O150" s="9" t="str">
        <x:f>IF(L150=0,"SEALED / UNJUDGED",IF(G150="INT","CONTEXT / NO ACCEPTANCE WEIGHT",IF(K150=1,"INVALID / NEW OPPORTUNITY",IF(M150=1,"FINAL / CONDITION SATISFIED","FINAL / ADVERSE"))))</x:f>
        <x:v>SEALED / UNJUDGED</x:v>
      </x:c>
    </x:row>
  </x:sheetData>
  <x:conditionalFormatting sqref="O7:O150">
    <x:cfRule type="containsText" dxfId="80" priority="1" operator="containsText" text="OPEN"/>
    <x:cfRule type="containsText" dxfId="81" priority="2" operator="containsText" text="BLOCKED"/>
    <x:cfRule type="containsText" dxfId="82" priority="3" operator="containsText" text="UNSTARTED"/>
    <x:cfRule type="containsText" dxfId="83" priority="4" operator="containsText" text="UNSEALED"/>
    <x:cfRule type="containsText" dxfId="84" priority="5" operator="containsText" text="UNACCEPTED"/>
    <x:cfRule type="containsText" dxfId="85" priority="6" operator="containsText" text="UNFILED"/>
    <x:cfRule type="containsText" dxfId="86" priority="7" operator="containsText" text="UNJUDGED"/>
    <x:cfRule type="containsText" dxfId="87" priority="8" operator="containsText" text="UNRELEASED"/>
    <x:cfRule type="containsText" dxfId="88" priority="9" operator="containsText" text="HELD"/>
    <x:cfRule type="containsText" dxfId="89" priority="10" operator="containsText" text="PENDING"/>
    <x:cfRule type="containsText" dxfId="90" priority="11" operator="containsText" text="SOURCE-EMPTY"/>
    <x:cfRule type="containsText" dxfId="91" priority="12" operator="containsText" text="FAIL"/>
    <x:cfRule type="containsText" dxfId="92" priority="13" operator="containsText" text="TERMINATE"/>
    <x:cfRule type="containsText" dxfId="93" priority="14" operator="containsText" text="PROHIBITED"/>
    <x:cfRule type="containsText" dxfId="94" priority="15" operator="containsText" text="BREACH"/>
    <x:cfRule type="containsText" dxfId="95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f06bddcbfd6942c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13" hidden="0" customWidth="1"/>
    <x:col min="4" max="4" width="1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>
      <x:c r="A2" s="31" t="str">
        <x:v>Conjunctive BRK and RCN root dossiers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 ht="34" customHeight="1">
      <x:c r="A6" s="35" t="str">
        <x:v>Dossier</x:v>
      </x:c>
      <x:c r="B6" s="35" t="str">
        <x:v>Order</x:v>
      </x:c>
      <x:c r="C6" s="35" t="str">
        <x:v>Form</x:v>
      </x:c>
      <x:c r="D6" s="35" t="str">
        <x:v>Builder</x:v>
      </x:c>
      <x:c r="E6" s="35" t="str">
        <x:v>INT serial</x:v>
      </x:c>
      <x:c r="F6" s="35" t="str">
        <x:v>BRK serial</x:v>
      </x:c>
      <x:c r="G6" s="35" t="str">
        <x:v>RCN serial</x:v>
      </x:c>
      <x:c r="H6" s="35" t="str">
        <x:v>BRK judgment</x:v>
      </x:c>
      <x:c r="I6" s="35" t="str">
        <x:v>RCN judgment</x:v>
      </x:c>
      <x:c r="J6" s="35" t="str">
        <x:v>BRK condition</x:v>
      </x:c>
      <x:c r="K6" s="35" t="str">
        <x:v>RCN condition</x:v>
      </x:c>
      <x:c r="L6" s="35" t="str">
        <x:v>Dossier closed</x:v>
      </x:c>
      <x:c r="M6" s="35" t="str">
        <x:v>State</x:v>
      </x:c>
      <x:c r="N6" s="35" t="str">
        <x:v>Record multiplicity</x:v>
      </x:c>
    </x:row>
    <x:row r="7">
      <x:c r="A7" s="9" t="str">
        <x:v>RD-ET-A-A-TECH-1-B1</x:v>
      </x:c>
      <x:c r="B7" s="9" t="str">
        <x:v>ET-A-A-TECH-1</x:v>
      </x:c>
      <x:c r="C7" s="9" t="str">
        <x:v>ET-A-A</x:v>
      </x:c>
      <x:c r="D7" s="9" t="str">
        <x:v>B1</x:v>
      </x:c>
      <x:c r="E7" s="9" t="str">
        <x:v>AR-ET-A-A-TECH-1-B1-INT-G0</x:v>
      </x:c>
      <x:c r="F7" s="9" t="str">
        <x:v>AR-ET-A-A-TECH-1-B1-BRK-G0</x:v>
      </x:c>
      <x:c r="G7" s="9" t="str">
        <x:v>AR-ET-A-A-TECH-1-B1-RCN-G0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9" t="str">
        <x:v>SEALED / BLOCKED</x:v>
      </x:c>
      <x:c r="N7" s="9" t="n">
        <x:f>COUNTIFS($A$7:$A$54,A7)</x:f>
        <x:v>1</x:v>
      </x:c>
    </x:row>
    <x:row r="8">
      <x:c r="A8" s="9" t="str">
        <x:v>RD-ET-A-A-TECH-1-B2</x:v>
      </x:c>
      <x:c r="B8" s="9" t="str">
        <x:v>ET-A-A-TECH-1</x:v>
      </x:c>
      <x:c r="C8" s="9" t="str">
        <x:v>ET-A-A</x:v>
      </x:c>
      <x:c r="D8" s="9" t="str">
        <x:v>B2</x:v>
      </x:c>
      <x:c r="E8" s="9" t="str">
        <x:v>AR-ET-A-A-TECH-1-B2-INT-G0</x:v>
      </x:c>
      <x:c r="F8" s="9" t="str">
        <x:v>AR-ET-A-A-TECH-1-B2-BRK-G0</x:v>
      </x:c>
      <x:c r="G8" s="9" t="str">
        <x:v>AR-ET-A-A-TECH-1-B2-RCN-G0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str">
        <x:v>SEALED / BLOCKED</x:v>
      </x:c>
      <x:c r="N8" s="9" t="n">
        <x:f>COUNTIFS($A$7:$A$54,A8)</x:f>
        <x:v>1</x:v>
      </x:c>
    </x:row>
    <x:row r="9">
      <x:c r="A9" s="9" t="str">
        <x:v>RD-ET-A-A-TECH-2-B1</x:v>
      </x:c>
      <x:c r="B9" s="9" t="str">
        <x:v>ET-A-A-TECH-2</x:v>
      </x:c>
      <x:c r="C9" s="9" t="str">
        <x:v>ET-A-A</x:v>
      </x:c>
      <x:c r="D9" s="9" t="str">
        <x:v>B1</x:v>
      </x:c>
      <x:c r="E9" s="9" t="str">
        <x:v>AR-ET-A-A-TECH-2-B1-INT-G0</x:v>
      </x:c>
      <x:c r="F9" s="9" t="str">
        <x:v>AR-ET-A-A-TECH-2-B1-BRK-G0</x:v>
      </x:c>
      <x:c r="G9" s="9" t="str">
        <x:v>AR-ET-A-A-TECH-2-B1-RCN-G0</x:v>
      </x:c>
      <x:c r="H9" s="9" t="n">
        <x:v>0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str">
        <x:v>SEALED / BLOCKED</x:v>
      </x:c>
      <x:c r="N9" s="9" t="n">
        <x:f>COUNTIFS($A$7:$A$54,A9)</x:f>
        <x:v>1</x:v>
      </x:c>
    </x:row>
    <x:row r="10">
      <x:c r="A10" s="9" t="str">
        <x:v>RD-ET-A-A-TECH-2-B2</x:v>
      </x:c>
      <x:c r="B10" s="9" t="str">
        <x:v>ET-A-A-TECH-2</x:v>
      </x:c>
      <x:c r="C10" s="9" t="str">
        <x:v>ET-A-A</x:v>
      </x:c>
      <x:c r="D10" s="9" t="str">
        <x:v>B2</x:v>
      </x:c>
      <x:c r="E10" s="9" t="str">
        <x:v>AR-ET-A-A-TECH-2-B2-INT-G0</x:v>
      </x:c>
      <x:c r="F10" s="9" t="str">
        <x:v>AR-ET-A-A-TECH-2-B2-BRK-G0</x:v>
      </x:c>
      <x:c r="G10" s="9" t="str">
        <x:v>AR-ET-A-A-TECH-2-B2-RCN-G0</x:v>
      </x:c>
      <x:c r="H10" s="9" t="n">
        <x:v>0</x:v>
      </x:c>
      <x:c r="I10" s="9" t="n">
        <x:v>0</x:v>
      </x:c>
      <x:c r="J10" s="9" t="n">
        <x:v>0</x:v>
      </x:c>
      <x:c r="K10" s="9" t="n">
        <x:v>0</x:v>
      </x:c>
      <x:c r="L10" s="9" t="n">
        <x:v>0</x:v>
      </x:c>
      <x:c r="M10" s="9" t="str">
        <x:v>SEALED / BLOCKED</x:v>
      </x:c>
      <x:c r="N10" s="9" t="n">
        <x:f>COUNTIFS($A$7:$A$54,A10)</x:f>
        <x:v>1</x:v>
      </x:c>
    </x:row>
    <x:row r="11">
      <x:c r="A11" s="9" t="str">
        <x:v>RD-ET-A-A-TECH-3-B1</x:v>
      </x:c>
      <x:c r="B11" s="9" t="str">
        <x:v>ET-A-A-TECH-3</x:v>
      </x:c>
      <x:c r="C11" s="9" t="str">
        <x:v>ET-A-A</x:v>
      </x:c>
      <x:c r="D11" s="9" t="str">
        <x:v>B1</x:v>
      </x:c>
      <x:c r="E11" s="9" t="str">
        <x:v>AR-ET-A-A-TECH-3-B1-INT-G0</x:v>
      </x:c>
      <x:c r="F11" s="9" t="str">
        <x:v>AR-ET-A-A-TECH-3-B1-BRK-G0</x:v>
      </x:c>
      <x:c r="G11" s="9" t="str">
        <x:v>AR-ET-A-A-TECH-3-B1-RCN-G0</x:v>
      </x:c>
      <x:c r="H11" s="9" t="n">
        <x:v>0</x:v>
      </x:c>
      <x:c r="I11" s="9" t="n">
        <x:v>0</x:v>
      </x:c>
      <x:c r="J11" s="9" t="n">
        <x:v>0</x:v>
      </x:c>
      <x:c r="K11" s="9" t="n">
        <x:v>0</x:v>
      </x:c>
      <x:c r="L11" s="9" t="n">
        <x:v>0</x:v>
      </x:c>
      <x:c r="M11" s="9" t="str">
        <x:v>SEALED / BLOCKED</x:v>
      </x:c>
      <x:c r="N11" s="9" t="n">
        <x:f>COUNTIFS($A$7:$A$54,A11)</x:f>
        <x:v>1</x:v>
      </x:c>
    </x:row>
    <x:row r="12">
      <x:c r="A12" s="9" t="str">
        <x:v>RD-ET-A-A-TECH-3-B2</x:v>
      </x:c>
      <x:c r="B12" s="9" t="str">
        <x:v>ET-A-A-TECH-3</x:v>
      </x:c>
      <x:c r="C12" s="9" t="str">
        <x:v>ET-A-A</x:v>
      </x:c>
      <x:c r="D12" s="9" t="str">
        <x:v>B2</x:v>
      </x:c>
      <x:c r="E12" s="9" t="str">
        <x:v>AR-ET-A-A-TECH-3-B2-INT-G0</x:v>
      </x:c>
      <x:c r="F12" s="9" t="str">
        <x:v>AR-ET-A-A-TECH-3-B2-BRK-G0</x:v>
      </x:c>
      <x:c r="G12" s="9" t="str">
        <x:v>AR-ET-A-A-TECH-3-B2-RCN-G0</x:v>
      </x:c>
      <x:c r="H12" s="9" t="n">
        <x:v>0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9" t="str">
        <x:v>SEALED / BLOCKED</x:v>
      </x:c>
      <x:c r="N12" s="9" t="n">
        <x:f>COUNTIFS($A$7:$A$54,A12)</x:f>
        <x:v>1</x:v>
      </x:c>
    </x:row>
    <x:row r="13">
      <x:c r="A13" s="9" t="str">
        <x:v>RD-ET-A-A-TECH-4-B1</x:v>
      </x:c>
      <x:c r="B13" s="9" t="str">
        <x:v>ET-A-A-TECH-4</x:v>
      </x:c>
      <x:c r="C13" s="9" t="str">
        <x:v>ET-A-A</x:v>
      </x:c>
      <x:c r="D13" s="9" t="str">
        <x:v>B1</x:v>
      </x:c>
      <x:c r="E13" s="9" t="str">
        <x:v>AR-ET-A-A-TECH-4-B1-INT-G0</x:v>
      </x:c>
      <x:c r="F13" s="9" t="str">
        <x:v>AR-ET-A-A-TECH-4-B1-BRK-G0</x:v>
      </x:c>
      <x:c r="G13" s="9" t="str">
        <x:v>AR-ET-A-A-TECH-4-B1-RCN-G0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str">
        <x:v>SEALED / BLOCKED</x:v>
      </x:c>
      <x:c r="N13" s="9" t="n">
        <x:f>COUNTIFS($A$7:$A$54,A13)</x:f>
        <x:v>1</x:v>
      </x:c>
    </x:row>
    <x:row r="14">
      <x:c r="A14" s="9" t="str">
        <x:v>RD-ET-A-A-TECH-4-B2</x:v>
      </x:c>
      <x:c r="B14" s="9" t="str">
        <x:v>ET-A-A-TECH-4</x:v>
      </x:c>
      <x:c r="C14" s="9" t="str">
        <x:v>ET-A-A</x:v>
      </x:c>
      <x:c r="D14" s="9" t="str">
        <x:v>B2</x:v>
      </x:c>
      <x:c r="E14" s="9" t="str">
        <x:v>AR-ET-A-A-TECH-4-B2-INT-G0</x:v>
      </x:c>
      <x:c r="F14" s="9" t="str">
        <x:v>AR-ET-A-A-TECH-4-B2-BRK-G0</x:v>
      </x:c>
      <x:c r="G14" s="9" t="str">
        <x:v>AR-ET-A-A-TECH-4-B2-RCN-G0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9" t="str">
        <x:v>SEALED / BLOCKED</x:v>
      </x:c>
      <x:c r="N14" s="9" t="n">
        <x:f>COUNTIFS($A$7:$A$54,A14)</x:f>
        <x:v>1</x:v>
      </x:c>
    </x:row>
    <x:row r="15">
      <x:c r="A15" s="9" t="str">
        <x:v>RD-CT-C-B-TECH-1-B1</x:v>
      </x:c>
      <x:c r="B15" s="9" t="str">
        <x:v>CT-C-B-TECH-1</x:v>
      </x:c>
      <x:c r="C15" s="9" t="str">
        <x:v>CT-C-B</x:v>
      </x:c>
      <x:c r="D15" s="9" t="str">
        <x:v>B1</x:v>
      </x:c>
      <x:c r="E15" s="9" t="str">
        <x:v>AR-CT-C-B-TECH-1-B1-INT-G0</x:v>
      </x:c>
      <x:c r="F15" s="9" t="str">
        <x:v>AR-CT-C-B-TECH-1-B1-BRK-G0</x:v>
      </x:c>
      <x:c r="G15" s="9" t="str">
        <x:v>AR-CT-C-B-TECH-1-B1-RCN-G0</x:v>
      </x:c>
      <x:c r="H15" s="9" t="n">
        <x:v>0</x:v>
      </x:c>
      <x:c r="I15" s="9" t="n">
        <x:v>0</x:v>
      </x:c>
      <x:c r="J15" s="9" t="n">
        <x:v>0</x:v>
      </x:c>
      <x:c r="K15" s="9" t="n">
        <x:v>0</x:v>
      </x:c>
      <x:c r="L15" s="9" t="n">
        <x:v>0</x:v>
      </x:c>
      <x:c r="M15" s="9" t="str">
        <x:v>SEALED / BLOCKED</x:v>
      </x:c>
      <x:c r="N15" s="9" t="n">
        <x:f>COUNTIFS($A$7:$A$54,A15)</x:f>
        <x:v>1</x:v>
      </x:c>
    </x:row>
    <x:row r="16">
      <x:c r="A16" s="9" t="str">
        <x:v>RD-CT-C-B-TECH-1-B2</x:v>
      </x:c>
      <x:c r="B16" s="9" t="str">
        <x:v>CT-C-B-TECH-1</x:v>
      </x:c>
      <x:c r="C16" s="9" t="str">
        <x:v>CT-C-B</x:v>
      </x:c>
      <x:c r="D16" s="9" t="str">
        <x:v>B2</x:v>
      </x:c>
      <x:c r="E16" s="9" t="str">
        <x:v>AR-CT-C-B-TECH-1-B2-INT-G0</x:v>
      </x:c>
      <x:c r="F16" s="9" t="str">
        <x:v>AR-CT-C-B-TECH-1-B2-BRK-G0</x:v>
      </x:c>
      <x:c r="G16" s="9" t="str">
        <x:v>AR-CT-C-B-TECH-1-B2-RCN-G0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str">
        <x:v>SEALED / BLOCKED</x:v>
      </x:c>
      <x:c r="N16" s="9" t="n">
        <x:f>COUNTIFS($A$7:$A$54,A16)</x:f>
        <x:v>1</x:v>
      </x:c>
    </x:row>
    <x:row r="17">
      <x:c r="A17" s="9" t="str">
        <x:v>RD-CT-C-B-TECH-2-B1</x:v>
      </x:c>
      <x:c r="B17" s="9" t="str">
        <x:v>CT-C-B-TECH-2</x:v>
      </x:c>
      <x:c r="C17" s="9" t="str">
        <x:v>CT-C-B</x:v>
      </x:c>
      <x:c r="D17" s="9" t="str">
        <x:v>B1</x:v>
      </x:c>
      <x:c r="E17" s="9" t="str">
        <x:v>AR-CT-C-B-TECH-2-B1-INT-G0</x:v>
      </x:c>
      <x:c r="F17" s="9" t="str">
        <x:v>AR-CT-C-B-TECH-2-B1-BRK-G0</x:v>
      </x:c>
      <x:c r="G17" s="9" t="str">
        <x:v>AR-CT-C-B-TECH-2-B1-RCN-G0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str">
        <x:v>SEALED / BLOCKED</x:v>
      </x:c>
      <x:c r="N17" s="9" t="n">
        <x:f>COUNTIFS($A$7:$A$54,A17)</x:f>
        <x:v>1</x:v>
      </x:c>
    </x:row>
    <x:row r="18">
      <x:c r="A18" s="9" t="str">
        <x:v>RD-CT-C-B-TECH-2-B2</x:v>
      </x:c>
      <x:c r="B18" s="9" t="str">
        <x:v>CT-C-B-TECH-2</x:v>
      </x:c>
      <x:c r="C18" s="9" t="str">
        <x:v>CT-C-B</x:v>
      </x:c>
      <x:c r="D18" s="9" t="str">
        <x:v>B2</x:v>
      </x:c>
      <x:c r="E18" s="9" t="str">
        <x:v>AR-CT-C-B-TECH-2-B2-INT-G0</x:v>
      </x:c>
      <x:c r="F18" s="9" t="str">
        <x:v>AR-CT-C-B-TECH-2-B2-BRK-G0</x:v>
      </x:c>
      <x:c r="G18" s="9" t="str">
        <x:v>AR-CT-C-B-TECH-2-B2-RCN-G0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str">
        <x:v>SEALED / BLOCKED</x:v>
      </x:c>
      <x:c r="N18" s="9" t="n">
        <x:f>COUNTIFS($A$7:$A$54,A18)</x:f>
        <x:v>1</x:v>
      </x:c>
    </x:row>
    <x:row r="19">
      <x:c r="A19" s="9" t="str">
        <x:v>RD-CT-C-B-TECH-3-B1</x:v>
      </x:c>
      <x:c r="B19" s="9" t="str">
        <x:v>CT-C-B-TECH-3</x:v>
      </x:c>
      <x:c r="C19" s="9" t="str">
        <x:v>CT-C-B</x:v>
      </x:c>
      <x:c r="D19" s="9" t="str">
        <x:v>B1</x:v>
      </x:c>
      <x:c r="E19" s="9" t="str">
        <x:v>AR-CT-C-B-TECH-3-B1-INT-G0</x:v>
      </x:c>
      <x:c r="F19" s="9" t="str">
        <x:v>AR-CT-C-B-TECH-3-B1-BRK-G0</x:v>
      </x:c>
      <x:c r="G19" s="9" t="str">
        <x:v>AR-CT-C-B-TECH-3-B1-RCN-G0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str">
        <x:v>SEALED / BLOCKED</x:v>
      </x:c>
      <x:c r="N19" s="9" t="n">
        <x:f>COUNTIFS($A$7:$A$54,A19)</x:f>
        <x:v>1</x:v>
      </x:c>
    </x:row>
    <x:row r="20">
      <x:c r="A20" s="9" t="str">
        <x:v>RD-CT-C-B-TECH-3-B2</x:v>
      </x:c>
      <x:c r="B20" s="9" t="str">
        <x:v>CT-C-B-TECH-3</x:v>
      </x:c>
      <x:c r="C20" s="9" t="str">
        <x:v>CT-C-B</x:v>
      </x:c>
      <x:c r="D20" s="9" t="str">
        <x:v>B2</x:v>
      </x:c>
      <x:c r="E20" s="9" t="str">
        <x:v>AR-CT-C-B-TECH-3-B2-INT-G0</x:v>
      </x:c>
      <x:c r="F20" s="9" t="str">
        <x:v>AR-CT-C-B-TECH-3-B2-BRK-G0</x:v>
      </x:c>
      <x:c r="G20" s="9" t="str">
        <x:v>AR-CT-C-B-TECH-3-B2-RCN-G0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9" t="str">
        <x:v>SEALED / BLOCKED</x:v>
      </x:c>
      <x:c r="N20" s="9" t="n">
        <x:f>COUNTIFS($A$7:$A$54,A20)</x:f>
        <x:v>1</x:v>
      </x:c>
    </x:row>
    <x:row r="21">
      <x:c r="A21" s="9" t="str">
        <x:v>RD-CT-C-B-TECH-4-B1</x:v>
      </x:c>
      <x:c r="B21" s="9" t="str">
        <x:v>CT-C-B-TECH-4</x:v>
      </x:c>
      <x:c r="C21" s="9" t="str">
        <x:v>CT-C-B</x:v>
      </x:c>
      <x:c r="D21" s="9" t="str">
        <x:v>B1</x:v>
      </x:c>
      <x:c r="E21" s="9" t="str">
        <x:v>AR-CT-C-B-TECH-4-B1-INT-G0</x:v>
      </x:c>
      <x:c r="F21" s="9" t="str">
        <x:v>AR-CT-C-B-TECH-4-B1-BRK-G0</x:v>
      </x:c>
      <x:c r="G21" s="9" t="str">
        <x:v>AR-CT-C-B-TECH-4-B1-RCN-G0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  <x:c r="L21" s="9" t="n">
        <x:v>0</x:v>
      </x:c>
      <x:c r="M21" s="9" t="str">
        <x:v>SEALED / BLOCKED</x:v>
      </x:c>
      <x:c r="N21" s="9" t="n">
        <x:f>COUNTIFS($A$7:$A$54,A21)</x:f>
        <x:v>1</x:v>
      </x:c>
    </x:row>
    <x:row r="22">
      <x:c r="A22" s="9" t="str">
        <x:v>RD-CT-C-B-TECH-4-B2</x:v>
      </x:c>
      <x:c r="B22" s="9" t="str">
        <x:v>CT-C-B-TECH-4</x:v>
      </x:c>
      <x:c r="C22" s="9" t="str">
        <x:v>CT-C-B</x:v>
      </x:c>
      <x:c r="D22" s="9" t="str">
        <x:v>B2</x:v>
      </x:c>
      <x:c r="E22" s="9" t="str">
        <x:v>AR-CT-C-B-TECH-4-B2-INT-G0</x:v>
      </x:c>
      <x:c r="F22" s="9" t="str">
        <x:v>AR-CT-C-B-TECH-4-B2-BRK-G0</x:v>
      </x:c>
      <x:c r="G22" s="9" t="str">
        <x:v>AR-CT-C-B-TECH-4-B2-RCN-G0</x:v>
      </x:c>
      <x:c r="H22" s="9" t="n">
        <x:v>0</x:v>
      </x:c>
      <x:c r="I22" s="9" t="n">
        <x:v>0</x:v>
      </x:c>
      <x:c r="J22" s="9" t="n">
        <x:v>0</x:v>
      </x:c>
      <x:c r="K22" s="9" t="n">
        <x:v>0</x:v>
      </x:c>
      <x:c r="L22" s="9" t="n">
        <x:v>0</x:v>
      </x:c>
      <x:c r="M22" s="9" t="str">
        <x:v>SEALED / BLOCKED</x:v>
      </x:c>
      <x:c r="N22" s="9" t="n">
        <x:f>COUNTIFS($A$7:$A$54,A22)</x:f>
        <x:v>1</x:v>
      </x:c>
    </x:row>
    <x:row r="23">
      <x:c r="A23" s="9" t="str">
        <x:v>RD-HC-A-C-TECH-1-B1</x:v>
      </x:c>
      <x:c r="B23" s="9" t="str">
        <x:v>HC-A-C-TECH-1</x:v>
      </x:c>
      <x:c r="C23" s="9" t="str">
        <x:v>HC-A-C</x:v>
      </x:c>
      <x:c r="D23" s="9" t="str">
        <x:v>B1</x:v>
      </x:c>
      <x:c r="E23" s="9" t="str">
        <x:v>AR-HC-A-C-TECH-1-B1-INT-G0</x:v>
      </x:c>
      <x:c r="F23" s="9" t="str">
        <x:v>AR-HC-A-C-TECH-1-B1-BRK-G0</x:v>
      </x:c>
      <x:c r="G23" s="9" t="str">
        <x:v>AR-HC-A-C-TECH-1-B1-RCN-G0</x:v>
      </x:c>
      <x:c r="H23" s="9" t="n">
        <x:v>0</x:v>
      </x:c>
      <x:c r="I23" s="9" t="n">
        <x:v>0</x:v>
      </x:c>
      <x:c r="J23" s="9" t="n">
        <x:v>0</x:v>
      </x:c>
      <x:c r="K23" s="9" t="n">
        <x:v>0</x:v>
      </x:c>
      <x:c r="L23" s="9" t="n">
        <x:v>0</x:v>
      </x:c>
      <x:c r="M23" s="9" t="str">
        <x:v>SEALED / BLOCKED</x:v>
      </x:c>
      <x:c r="N23" s="9" t="n">
        <x:f>COUNTIFS($A$7:$A$54,A23)</x:f>
        <x:v>1</x:v>
      </x:c>
    </x:row>
    <x:row r="24">
      <x:c r="A24" s="9" t="str">
        <x:v>RD-HC-A-C-TECH-1-B2</x:v>
      </x:c>
      <x:c r="B24" s="9" t="str">
        <x:v>HC-A-C-TECH-1</x:v>
      </x:c>
      <x:c r="C24" s="9" t="str">
        <x:v>HC-A-C</x:v>
      </x:c>
      <x:c r="D24" s="9" t="str">
        <x:v>B2</x:v>
      </x:c>
      <x:c r="E24" s="9" t="str">
        <x:v>AR-HC-A-C-TECH-1-B2-INT-G0</x:v>
      </x:c>
      <x:c r="F24" s="9" t="str">
        <x:v>AR-HC-A-C-TECH-1-B2-BRK-G0</x:v>
      </x:c>
      <x:c r="G24" s="9" t="str">
        <x:v>AR-HC-A-C-TECH-1-B2-RCN-G0</x:v>
      </x:c>
      <x:c r="H24" s="9" t="n">
        <x:v>0</x:v>
      </x:c>
      <x:c r="I24" s="9" t="n">
        <x:v>0</x:v>
      </x:c>
      <x:c r="J24" s="9" t="n">
        <x:v>0</x:v>
      </x:c>
      <x:c r="K24" s="9" t="n">
        <x:v>0</x:v>
      </x:c>
      <x:c r="L24" s="9" t="n">
        <x:v>0</x:v>
      </x:c>
      <x:c r="M24" s="9" t="str">
        <x:v>SEALED / BLOCKED</x:v>
      </x:c>
      <x:c r="N24" s="9" t="n">
        <x:f>COUNTIFS($A$7:$A$54,A24)</x:f>
        <x:v>1</x:v>
      </x:c>
    </x:row>
    <x:row r="25">
      <x:c r="A25" s="9" t="str">
        <x:v>RD-HC-A-C-TECH-2-B1</x:v>
      </x:c>
      <x:c r="B25" s="9" t="str">
        <x:v>HC-A-C-TECH-2</x:v>
      </x:c>
      <x:c r="C25" s="9" t="str">
        <x:v>HC-A-C</x:v>
      </x:c>
      <x:c r="D25" s="9" t="str">
        <x:v>B1</x:v>
      </x:c>
      <x:c r="E25" s="9" t="str">
        <x:v>AR-HC-A-C-TECH-2-B1-INT-G0</x:v>
      </x:c>
      <x:c r="F25" s="9" t="str">
        <x:v>AR-HC-A-C-TECH-2-B1-BRK-G0</x:v>
      </x:c>
      <x:c r="G25" s="9" t="str">
        <x:v>AR-HC-A-C-TECH-2-B1-RCN-G0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9" t="str">
        <x:v>SEALED / BLOCKED</x:v>
      </x:c>
      <x:c r="N25" s="9" t="n">
        <x:f>COUNTIFS($A$7:$A$54,A25)</x:f>
        <x:v>1</x:v>
      </x:c>
    </x:row>
    <x:row r="26">
      <x:c r="A26" s="9" t="str">
        <x:v>RD-HC-A-C-TECH-2-B2</x:v>
      </x:c>
      <x:c r="B26" s="9" t="str">
        <x:v>HC-A-C-TECH-2</x:v>
      </x:c>
      <x:c r="C26" s="9" t="str">
        <x:v>HC-A-C</x:v>
      </x:c>
      <x:c r="D26" s="9" t="str">
        <x:v>B2</x:v>
      </x:c>
      <x:c r="E26" s="9" t="str">
        <x:v>AR-HC-A-C-TECH-2-B2-INT-G0</x:v>
      </x:c>
      <x:c r="F26" s="9" t="str">
        <x:v>AR-HC-A-C-TECH-2-B2-BRK-G0</x:v>
      </x:c>
      <x:c r="G26" s="9" t="str">
        <x:v>AR-HC-A-C-TECH-2-B2-RCN-G0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9" t="str">
        <x:v>SEALED / BLOCKED</x:v>
      </x:c>
      <x:c r="N26" s="9" t="n">
        <x:f>COUNTIFS($A$7:$A$54,A26)</x:f>
        <x:v>1</x:v>
      </x:c>
    </x:row>
    <x:row r="27">
      <x:c r="A27" s="9" t="str">
        <x:v>RD-HC-A-C-TECH-3-B1</x:v>
      </x:c>
      <x:c r="B27" s="9" t="str">
        <x:v>HC-A-C-TECH-3</x:v>
      </x:c>
      <x:c r="C27" s="9" t="str">
        <x:v>HC-A-C</x:v>
      </x:c>
      <x:c r="D27" s="9" t="str">
        <x:v>B1</x:v>
      </x:c>
      <x:c r="E27" s="9" t="str">
        <x:v>AR-HC-A-C-TECH-3-B1-INT-G0</x:v>
      </x:c>
      <x:c r="F27" s="9" t="str">
        <x:v>AR-HC-A-C-TECH-3-B1-BRK-G0</x:v>
      </x:c>
      <x:c r="G27" s="9" t="str">
        <x:v>AR-HC-A-C-TECH-3-B1-RCN-G0</x:v>
      </x:c>
      <x:c r="H27" s="9" t="n">
        <x:v>0</x:v>
      </x:c>
      <x:c r="I27" s="9" t="n">
        <x:v>0</x:v>
      </x:c>
      <x:c r="J27" s="9" t="n">
        <x:v>0</x:v>
      </x:c>
      <x:c r="K27" s="9" t="n">
        <x:v>0</x:v>
      </x:c>
      <x:c r="L27" s="9" t="n">
        <x:v>0</x:v>
      </x:c>
      <x:c r="M27" s="9" t="str">
        <x:v>SEALED / BLOCKED</x:v>
      </x:c>
      <x:c r="N27" s="9" t="n">
        <x:f>COUNTIFS($A$7:$A$54,A27)</x:f>
        <x:v>1</x:v>
      </x:c>
    </x:row>
    <x:row r="28">
      <x:c r="A28" s="9" t="str">
        <x:v>RD-HC-A-C-TECH-3-B2</x:v>
      </x:c>
      <x:c r="B28" s="9" t="str">
        <x:v>HC-A-C-TECH-3</x:v>
      </x:c>
      <x:c r="C28" s="9" t="str">
        <x:v>HC-A-C</x:v>
      </x:c>
      <x:c r="D28" s="9" t="str">
        <x:v>B2</x:v>
      </x:c>
      <x:c r="E28" s="9" t="str">
        <x:v>AR-HC-A-C-TECH-3-B2-INT-G0</x:v>
      </x:c>
      <x:c r="F28" s="9" t="str">
        <x:v>AR-HC-A-C-TECH-3-B2-BRK-G0</x:v>
      </x:c>
      <x:c r="G28" s="9" t="str">
        <x:v>AR-HC-A-C-TECH-3-B2-RCN-G0</x:v>
      </x:c>
      <x:c r="H28" s="9" t="n">
        <x:v>0</x:v>
      </x:c>
      <x:c r="I28" s="9" t="n">
        <x:v>0</x:v>
      </x:c>
      <x:c r="J28" s="9" t="n">
        <x:v>0</x:v>
      </x:c>
      <x:c r="K28" s="9" t="n">
        <x:v>0</x:v>
      </x:c>
      <x:c r="L28" s="9" t="n">
        <x:v>0</x:v>
      </x:c>
      <x:c r="M28" s="9" t="str">
        <x:v>SEALED / BLOCKED</x:v>
      </x:c>
      <x:c r="N28" s="9" t="n">
        <x:f>COUNTIFS($A$7:$A$54,A28)</x:f>
        <x:v>1</x:v>
      </x:c>
    </x:row>
    <x:row r="29">
      <x:c r="A29" s="9" t="str">
        <x:v>RD-HC-A-C-TECH-4-B1</x:v>
      </x:c>
      <x:c r="B29" s="9" t="str">
        <x:v>HC-A-C-TECH-4</x:v>
      </x:c>
      <x:c r="C29" s="9" t="str">
        <x:v>HC-A-C</x:v>
      </x:c>
      <x:c r="D29" s="9" t="str">
        <x:v>B1</x:v>
      </x:c>
      <x:c r="E29" s="9" t="str">
        <x:v>AR-HC-A-C-TECH-4-B1-INT-G0</x:v>
      </x:c>
      <x:c r="F29" s="9" t="str">
        <x:v>AR-HC-A-C-TECH-4-B1-BRK-G0</x:v>
      </x:c>
      <x:c r="G29" s="9" t="str">
        <x:v>AR-HC-A-C-TECH-4-B1-RCN-G0</x:v>
      </x:c>
      <x:c r="H29" s="9" t="n">
        <x:v>0</x:v>
      </x:c>
      <x:c r="I29" s="9" t="n">
        <x:v>0</x:v>
      </x:c>
      <x:c r="J29" s="9" t="n">
        <x:v>0</x:v>
      </x:c>
      <x:c r="K29" s="9" t="n">
        <x:v>0</x:v>
      </x:c>
      <x:c r="L29" s="9" t="n">
        <x:v>0</x:v>
      </x:c>
      <x:c r="M29" s="9" t="str">
        <x:v>SEALED / BLOCKED</x:v>
      </x:c>
      <x:c r="N29" s="9" t="n">
        <x:f>COUNTIFS($A$7:$A$54,A29)</x:f>
        <x:v>1</x:v>
      </x:c>
    </x:row>
    <x:row r="30">
      <x:c r="A30" s="9" t="str">
        <x:v>RD-HC-A-C-TECH-4-B2</x:v>
      </x:c>
      <x:c r="B30" s="9" t="str">
        <x:v>HC-A-C-TECH-4</x:v>
      </x:c>
      <x:c r="C30" s="9" t="str">
        <x:v>HC-A-C</x:v>
      </x:c>
      <x:c r="D30" s="9" t="str">
        <x:v>B2</x:v>
      </x:c>
      <x:c r="E30" s="9" t="str">
        <x:v>AR-HC-A-C-TECH-4-B2-INT-G0</x:v>
      </x:c>
      <x:c r="F30" s="9" t="str">
        <x:v>AR-HC-A-C-TECH-4-B2-BRK-G0</x:v>
      </x:c>
      <x:c r="G30" s="9" t="str">
        <x:v>AR-HC-A-C-TECH-4-B2-RCN-G0</x:v>
      </x:c>
      <x:c r="H30" s="9" t="n">
        <x:v>0</x:v>
      </x:c>
      <x:c r="I30" s="9" t="n">
        <x:v>0</x:v>
      </x:c>
      <x:c r="J30" s="9" t="n">
        <x:v>0</x:v>
      </x:c>
      <x:c r="K30" s="9" t="n">
        <x:v>0</x:v>
      </x:c>
      <x:c r="L30" s="9" t="n">
        <x:v>0</x:v>
      </x:c>
      <x:c r="M30" s="9" t="str">
        <x:v>SEALED / BLOCKED</x:v>
      </x:c>
      <x:c r="N30" s="9" t="n">
        <x:f>COUNTIFS($A$7:$A$54,A30)</x:f>
        <x:v>1</x:v>
      </x:c>
    </x:row>
    <x:row r="31">
      <x:c r="A31" s="9" t="str">
        <x:v>RD-LF-B-A-TECH-1-B1</x:v>
      </x:c>
      <x:c r="B31" s="9" t="str">
        <x:v>LF-B-A-TECH-1</x:v>
      </x:c>
      <x:c r="C31" s="9" t="str">
        <x:v>LF-B-A</x:v>
      </x:c>
      <x:c r="D31" s="9" t="str">
        <x:v>B1</x:v>
      </x:c>
      <x:c r="E31" s="9" t="str">
        <x:v>AR-LF-B-A-TECH-1-B1-INT-G0</x:v>
      </x:c>
      <x:c r="F31" s="9" t="str">
        <x:v>AR-LF-B-A-TECH-1-B1-BRK-G0</x:v>
      </x:c>
      <x:c r="G31" s="9" t="str">
        <x:v>AR-LF-B-A-TECH-1-B1-RCN-G0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9" t="n">
        <x:v>0</x:v>
      </x:c>
      <x:c r="M31" s="9" t="str">
        <x:v>SEALED / BLOCKED</x:v>
      </x:c>
      <x:c r="N31" s="9" t="n">
        <x:f>COUNTIFS($A$7:$A$54,A31)</x:f>
        <x:v>1</x:v>
      </x:c>
    </x:row>
    <x:row r="32">
      <x:c r="A32" s="9" t="str">
        <x:v>RD-LF-B-A-TECH-1-B2</x:v>
      </x:c>
      <x:c r="B32" s="9" t="str">
        <x:v>LF-B-A-TECH-1</x:v>
      </x:c>
      <x:c r="C32" s="9" t="str">
        <x:v>LF-B-A</x:v>
      </x:c>
      <x:c r="D32" s="9" t="str">
        <x:v>B2</x:v>
      </x:c>
      <x:c r="E32" s="9" t="str">
        <x:v>AR-LF-B-A-TECH-1-B2-INT-G0</x:v>
      </x:c>
      <x:c r="F32" s="9" t="str">
        <x:v>AR-LF-B-A-TECH-1-B2-BRK-G0</x:v>
      </x:c>
      <x:c r="G32" s="9" t="str">
        <x:v>AR-LF-B-A-TECH-1-B2-RCN-G0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  <x:c r="M32" s="9" t="str">
        <x:v>SEALED / BLOCKED</x:v>
      </x:c>
      <x:c r="N32" s="9" t="n">
        <x:f>COUNTIFS($A$7:$A$54,A32)</x:f>
        <x:v>1</x:v>
      </x:c>
    </x:row>
    <x:row r="33">
      <x:c r="A33" s="9" t="str">
        <x:v>RD-LF-B-A-TECH-2-B1</x:v>
      </x:c>
      <x:c r="B33" s="9" t="str">
        <x:v>LF-B-A-TECH-2</x:v>
      </x:c>
      <x:c r="C33" s="9" t="str">
        <x:v>LF-B-A</x:v>
      </x:c>
      <x:c r="D33" s="9" t="str">
        <x:v>B1</x:v>
      </x:c>
      <x:c r="E33" s="9" t="str">
        <x:v>AR-LF-B-A-TECH-2-B1-INT-G0</x:v>
      </x:c>
      <x:c r="F33" s="9" t="str">
        <x:v>AR-LF-B-A-TECH-2-B1-BRK-G0</x:v>
      </x:c>
      <x:c r="G33" s="9" t="str">
        <x:v>AR-LF-B-A-TECH-2-B1-RCN-G0</x:v>
      </x:c>
      <x:c r="H33" s="9" t="n">
        <x:v>0</x:v>
      </x:c>
      <x:c r="I33" s="9" t="n">
        <x:v>0</x:v>
      </x:c>
      <x:c r="J33" s="9" t="n">
        <x:v>0</x:v>
      </x:c>
      <x:c r="K33" s="9" t="n">
        <x:v>0</x:v>
      </x:c>
      <x:c r="L33" s="9" t="n">
        <x:v>0</x:v>
      </x:c>
      <x:c r="M33" s="9" t="str">
        <x:v>SEALED / BLOCKED</x:v>
      </x:c>
      <x:c r="N33" s="9" t="n">
        <x:f>COUNTIFS($A$7:$A$54,A33)</x:f>
        <x:v>1</x:v>
      </x:c>
    </x:row>
    <x:row r="34">
      <x:c r="A34" s="9" t="str">
        <x:v>RD-LF-B-A-TECH-2-B2</x:v>
      </x:c>
      <x:c r="B34" s="9" t="str">
        <x:v>LF-B-A-TECH-2</x:v>
      </x:c>
      <x:c r="C34" s="9" t="str">
        <x:v>LF-B-A</x:v>
      </x:c>
      <x:c r="D34" s="9" t="str">
        <x:v>B2</x:v>
      </x:c>
      <x:c r="E34" s="9" t="str">
        <x:v>AR-LF-B-A-TECH-2-B2-INT-G0</x:v>
      </x:c>
      <x:c r="F34" s="9" t="str">
        <x:v>AR-LF-B-A-TECH-2-B2-BRK-G0</x:v>
      </x:c>
      <x:c r="G34" s="9" t="str">
        <x:v>AR-LF-B-A-TECH-2-B2-RCN-G0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9" t="str">
        <x:v>SEALED / BLOCKED</x:v>
      </x:c>
      <x:c r="N34" s="9" t="n">
        <x:f>COUNTIFS($A$7:$A$54,A34)</x:f>
        <x:v>1</x:v>
      </x:c>
    </x:row>
    <x:row r="35">
      <x:c r="A35" s="9" t="str">
        <x:v>RD-LF-B-A-TECH-3-B1</x:v>
      </x:c>
      <x:c r="B35" s="9" t="str">
        <x:v>LF-B-A-TECH-3</x:v>
      </x:c>
      <x:c r="C35" s="9" t="str">
        <x:v>LF-B-A</x:v>
      </x:c>
      <x:c r="D35" s="9" t="str">
        <x:v>B1</x:v>
      </x:c>
      <x:c r="E35" s="9" t="str">
        <x:v>AR-LF-B-A-TECH-3-B1-INT-G0</x:v>
      </x:c>
      <x:c r="F35" s="9" t="str">
        <x:v>AR-LF-B-A-TECH-3-B1-BRK-G0</x:v>
      </x:c>
      <x:c r="G35" s="9" t="str">
        <x:v>AR-LF-B-A-TECH-3-B1-RCN-G0</x:v>
      </x:c>
      <x:c r="H35" s="9" t="n">
        <x:v>0</x:v>
      </x:c>
      <x:c r="I35" s="9" t="n">
        <x:v>0</x:v>
      </x:c>
      <x:c r="J35" s="9" t="n">
        <x:v>0</x:v>
      </x:c>
      <x:c r="K35" s="9" t="n">
        <x:v>0</x:v>
      </x:c>
      <x:c r="L35" s="9" t="n">
        <x:v>0</x:v>
      </x:c>
      <x:c r="M35" s="9" t="str">
        <x:v>SEALED / BLOCKED</x:v>
      </x:c>
      <x:c r="N35" s="9" t="n">
        <x:f>COUNTIFS($A$7:$A$54,A35)</x:f>
        <x:v>1</x:v>
      </x:c>
    </x:row>
    <x:row r="36">
      <x:c r="A36" s="9" t="str">
        <x:v>RD-LF-B-A-TECH-3-B2</x:v>
      </x:c>
      <x:c r="B36" s="9" t="str">
        <x:v>LF-B-A-TECH-3</x:v>
      </x:c>
      <x:c r="C36" s="9" t="str">
        <x:v>LF-B-A</x:v>
      </x:c>
      <x:c r="D36" s="9" t="str">
        <x:v>B2</x:v>
      </x:c>
      <x:c r="E36" s="9" t="str">
        <x:v>AR-LF-B-A-TECH-3-B2-INT-G0</x:v>
      </x:c>
      <x:c r="F36" s="9" t="str">
        <x:v>AR-LF-B-A-TECH-3-B2-BRK-G0</x:v>
      </x:c>
      <x:c r="G36" s="9" t="str">
        <x:v>AR-LF-B-A-TECH-3-B2-RCN-G0</x:v>
      </x:c>
      <x:c r="H36" s="9" t="n">
        <x:v>0</x:v>
      </x:c>
      <x:c r="I36" s="9" t="n">
        <x:v>0</x:v>
      </x:c>
      <x:c r="J36" s="9" t="n">
        <x:v>0</x:v>
      </x:c>
      <x:c r="K36" s="9" t="n">
        <x:v>0</x:v>
      </x:c>
      <x:c r="L36" s="9" t="n">
        <x:v>0</x:v>
      </x:c>
      <x:c r="M36" s="9" t="str">
        <x:v>SEALED / BLOCKED</x:v>
      </x:c>
      <x:c r="N36" s="9" t="n">
        <x:f>COUNTIFS($A$7:$A$54,A36)</x:f>
        <x:v>1</x:v>
      </x:c>
    </x:row>
    <x:row r="37">
      <x:c r="A37" s="9" t="str">
        <x:v>RD-LF-B-A-TECH-4-B1</x:v>
      </x:c>
      <x:c r="B37" s="9" t="str">
        <x:v>LF-B-A-TECH-4</x:v>
      </x:c>
      <x:c r="C37" s="9" t="str">
        <x:v>LF-B-A</x:v>
      </x:c>
      <x:c r="D37" s="9" t="str">
        <x:v>B1</x:v>
      </x:c>
      <x:c r="E37" s="9" t="str">
        <x:v>AR-LF-B-A-TECH-4-B1-INT-G0</x:v>
      </x:c>
      <x:c r="F37" s="9" t="str">
        <x:v>AR-LF-B-A-TECH-4-B1-BRK-G0</x:v>
      </x:c>
      <x:c r="G37" s="9" t="str">
        <x:v>AR-LF-B-A-TECH-4-B1-RCN-G0</x:v>
      </x:c>
      <x:c r="H37" s="9" t="n">
        <x:v>0</x:v>
      </x:c>
      <x:c r="I37" s="9" t="n">
        <x:v>0</x:v>
      </x:c>
      <x:c r="J37" s="9" t="n">
        <x:v>0</x:v>
      </x:c>
      <x:c r="K37" s="9" t="n">
        <x:v>0</x:v>
      </x:c>
      <x:c r="L37" s="9" t="n">
        <x:v>0</x:v>
      </x:c>
      <x:c r="M37" s="9" t="str">
        <x:v>SEALED / BLOCKED</x:v>
      </x:c>
      <x:c r="N37" s="9" t="n">
        <x:f>COUNTIFS($A$7:$A$54,A37)</x:f>
        <x:v>1</x:v>
      </x:c>
    </x:row>
    <x:row r="38">
      <x:c r="A38" s="9" t="str">
        <x:v>RD-LF-B-A-TECH-4-B2</x:v>
      </x:c>
      <x:c r="B38" s="9" t="str">
        <x:v>LF-B-A-TECH-4</x:v>
      </x:c>
      <x:c r="C38" s="9" t="str">
        <x:v>LF-B-A</x:v>
      </x:c>
      <x:c r="D38" s="9" t="str">
        <x:v>B2</x:v>
      </x:c>
      <x:c r="E38" s="9" t="str">
        <x:v>AR-LF-B-A-TECH-4-B2-INT-G0</x:v>
      </x:c>
      <x:c r="F38" s="9" t="str">
        <x:v>AR-LF-B-A-TECH-4-B2-BRK-G0</x:v>
      </x:c>
      <x:c r="G38" s="9" t="str">
        <x:v>AR-LF-B-A-TECH-4-B2-RCN-G0</x:v>
      </x:c>
      <x:c r="H38" s="9" t="n">
        <x:v>0</x:v>
      </x:c>
      <x:c r="I38" s="9" t="n">
        <x:v>0</x:v>
      </x:c>
      <x:c r="J38" s="9" t="n">
        <x:v>0</x:v>
      </x:c>
      <x:c r="K38" s="9" t="n">
        <x:v>0</x:v>
      </x:c>
      <x:c r="L38" s="9" t="n">
        <x:v>0</x:v>
      </x:c>
      <x:c r="M38" s="9" t="str">
        <x:v>SEALED / BLOCKED</x:v>
      </x:c>
      <x:c r="N38" s="9" t="n">
        <x:f>COUNTIFS($A$7:$A$54,A38)</x:f>
        <x:v>1</x:v>
      </x:c>
    </x:row>
    <x:row r="39">
      <x:c r="A39" s="9" t="str">
        <x:v>RD-HU-A-B-TECH-1-B1</x:v>
      </x:c>
      <x:c r="B39" s="9" t="str">
        <x:v>HU-A-B-TECH-1</x:v>
      </x:c>
      <x:c r="C39" s="9" t="str">
        <x:v>HU-A-B</x:v>
      </x:c>
      <x:c r="D39" s="9" t="str">
        <x:v>B1</x:v>
      </x:c>
      <x:c r="E39" s="9" t="str">
        <x:v>AR-HU-A-B-TECH-1-B1-INT-G0</x:v>
      </x:c>
      <x:c r="F39" s="9" t="str">
        <x:v>AR-HU-A-B-TECH-1-B1-BRK-G0</x:v>
      </x:c>
      <x:c r="G39" s="9" t="str">
        <x:v>AR-HU-A-B-TECH-1-B1-RCN-G0</x:v>
      </x:c>
      <x:c r="H39" s="9" t="n">
        <x:v>0</x:v>
      </x:c>
      <x:c r="I39" s="9" t="n">
        <x:v>0</x:v>
      </x:c>
      <x:c r="J39" s="9" t="n">
        <x:v>0</x:v>
      </x:c>
      <x:c r="K39" s="9" t="n">
        <x:v>0</x:v>
      </x:c>
      <x:c r="L39" s="9" t="n">
        <x:v>0</x:v>
      </x:c>
      <x:c r="M39" s="9" t="str">
        <x:v>SEALED / BLOCKED</x:v>
      </x:c>
      <x:c r="N39" s="9" t="n">
        <x:f>COUNTIFS($A$7:$A$54,A39)</x:f>
        <x:v>1</x:v>
      </x:c>
    </x:row>
    <x:row r="40">
      <x:c r="A40" s="9" t="str">
        <x:v>RD-HU-A-B-TECH-1-B2</x:v>
      </x:c>
      <x:c r="B40" s="9" t="str">
        <x:v>HU-A-B-TECH-1</x:v>
      </x:c>
      <x:c r="C40" s="9" t="str">
        <x:v>HU-A-B</x:v>
      </x:c>
      <x:c r="D40" s="9" t="str">
        <x:v>B2</x:v>
      </x:c>
      <x:c r="E40" s="9" t="str">
        <x:v>AR-HU-A-B-TECH-1-B2-INT-G0</x:v>
      </x:c>
      <x:c r="F40" s="9" t="str">
        <x:v>AR-HU-A-B-TECH-1-B2-BRK-G0</x:v>
      </x:c>
      <x:c r="G40" s="9" t="str">
        <x:v>AR-HU-A-B-TECH-1-B2-RCN-G0</x:v>
      </x:c>
      <x:c r="H40" s="9" t="n">
        <x:v>0</x:v>
      </x:c>
      <x:c r="I40" s="9" t="n">
        <x:v>0</x:v>
      </x:c>
      <x:c r="J40" s="9" t="n">
        <x:v>0</x:v>
      </x:c>
      <x:c r="K40" s="9" t="n">
        <x:v>0</x:v>
      </x:c>
      <x:c r="L40" s="9" t="n">
        <x:v>0</x:v>
      </x:c>
      <x:c r="M40" s="9" t="str">
        <x:v>SEALED / BLOCKED</x:v>
      </x:c>
      <x:c r="N40" s="9" t="n">
        <x:f>COUNTIFS($A$7:$A$54,A40)</x:f>
        <x:v>1</x:v>
      </x:c>
    </x:row>
    <x:row r="41">
      <x:c r="A41" s="9" t="str">
        <x:v>RD-HU-A-B-TECH-2-B1</x:v>
      </x:c>
      <x:c r="B41" s="9" t="str">
        <x:v>HU-A-B-TECH-2</x:v>
      </x:c>
      <x:c r="C41" s="9" t="str">
        <x:v>HU-A-B</x:v>
      </x:c>
      <x:c r="D41" s="9" t="str">
        <x:v>B1</x:v>
      </x:c>
      <x:c r="E41" s="9" t="str">
        <x:v>AR-HU-A-B-TECH-2-B1-INT-G0</x:v>
      </x:c>
      <x:c r="F41" s="9" t="str">
        <x:v>AR-HU-A-B-TECH-2-B1-BRK-G0</x:v>
      </x:c>
      <x:c r="G41" s="9" t="str">
        <x:v>AR-HU-A-B-TECH-2-B1-RCN-G0</x:v>
      </x:c>
      <x:c r="H41" s="9" t="n">
        <x:v>0</x:v>
      </x:c>
      <x:c r="I41" s="9" t="n">
        <x:v>0</x:v>
      </x:c>
      <x:c r="J41" s="9" t="n">
        <x:v>0</x:v>
      </x:c>
      <x:c r="K41" s="9" t="n">
        <x:v>0</x:v>
      </x:c>
      <x:c r="L41" s="9" t="n">
        <x:v>0</x:v>
      </x:c>
      <x:c r="M41" s="9" t="str">
        <x:v>SEALED / BLOCKED</x:v>
      </x:c>
      <x:c r="N41" s="9" t="n">
        <x:f>COUNTIFS($A$7:$A$54,A41)</x:f>
        <x:v>1</x:v>
      </x:c>
    </x:row>
    <x:row r="42">
      <x:c r="A42" s="9" t="str">
        <x:v>RD-HU-A-B-TECH-2-B2</x:v>
      </x:c>
      <x:c r="B42" s="9" t="str">
        <x:v>HU-A-B-TECH-2</x:v>
      </x:c>
      <x:c r="C42" s="9" t="str">
        <x:v>HU-A-B</x:v>
      </x:c>
      <x:c r="D42" s="9" t="str">
        <x:v>B2</x:v>
      </x:c>
      <x:c r="E42" s="9" t="str">
        <x:v>AR-HU-A-B-TECH-2-B2-INT-G0</x:v>
      </x:c>
      <x:c r="F42" s="9" t="str">
        <x:v>AR-HU-A-B-TECH-2-B2-BRK-G0</x:v>
      </x:c>
      <x:c r="G42" s="9" t="str">
        <x:v>AR-HU-A-B-TECH-2-B2-RCN-G0</x:v>
      </x:c>
      <x:c r="H42" s="9" t="n">
        <x:v>0</x:v>
      </x:c>
      <x:c r="I42" s="9" t="n">
        <x:v>0</x:v>
      </x:c>
      <x:c r="J42" s="9" t="n">
        <x:v>0</x:v>
      </x:c>
      <x:c r="K42" s="9" t="n">
        <x:v>0</x:v>
      </x:c>
      <x:c r="L42" s="9" t="n">
        <x:v>0</x:v>
      </x:c>
      <x:c r="M42" s="9" t="str">
        <x:v>SEALED / BLOCKED</x:v>
      </x:c>
      <x:c r="N42" s="9" t="n">
        <x:f>COUNTIFS($A$7:$A$54,A42)</x:f>
        <x:v>1</x:v>
      </x:c>
    </x:row>
    <x:row r="43">
      <x:c r="A43" s="9" t="str">
        <x:v>RD-HU-A-B-TECH-3-B1</x:v>
      </x:c>
      <x:c r="B43" s="9" t="str">
        <x:v>HU-A-B-TECH-3</x:v>
      </x:c>
      <x:c r="C43" s="9" t="str">
        <x:v>HU-A-B</x:v>
      </x:c>
      <x:c r="D43" s="9" t="str">
        <x:v>B1</x:v>
      </x:c>
      <x:c r="E43" s="9" t="str">
        <x:v>AR-HU-A-B-TECH-3-B1-INT-G0</x:v>
      </x:c>
      <x:c r="F43" s="9" t="str">
        <x:v>AR-HU-A-B-TECH-3-B1-BRK-G0</x:v>
      </x:c>
      <x:c r="G43" s="9" t="str">
        <x:v>AR-HU-A-B-TECH-3-B1-RCN-G0</x:v>
      </x:c>
      <x:c r="H43" s="9" t="n">
        <x:v>0</x:v>
      </x:c>
      <x:c r="I43" s="9" t="n">
        <x:v>0</x:v>
      </x:c>
      <x:c r="J43" s="9" t="n">
        <x:v>0</x:v>
      </x:c>
      <x:c r="K43" s="9" t="n">
        <x:v>0</x:v>
      </x:c>
      <x:c r="L43" s="9" t="n">
        <x:v>0</x:v>
      </x:c>
      <x:c r="M43" s="9" t="str">
        <x:v>SEALED / BLOCKED</x:v>
      </x:c>
      <x:c r="N43" s="9" t="n">
        <x:f>COUNTIFS($A$7:$A$54,A43)</x:f>
        <x:v>1</x:v>
      </x:c>
    </x:row>
    <x:row r="44">
      <x:c r="A44" s="9" t="str">
        <x:v>RD-HU-A-B-TECH-3-B2</x:v>
      </x:c>
      <x:c r="B44" s="9" t="str">
        <x:v>HU-A-B-TECH-3</x:v>
      </x:c>
      <x:c r="C44" s="9" t="str">
        <x:v>HU-A-B</x:v>
      </x:c>
      <x:c r="D44" s="9" t="str">
        <x:v>B2</x:v>
      </x:c>
      <x:c r="E44" s="9" t="str">
        <x:v>AR-HU-A-B-TECH-3-B2-INT-G0</x:v>
      </x:c>
      <x:c r="F44" s="9" t="str">
        <x:v>AR-HU-A-B-TECH-3-B2-BRK-G0</x:v>
      </x:c>
      <x:c r="G44" s="9" t="str">
        <x:v>AR-HU-A-B-TECH-3-B2-RCN-G0</x:v>
      </x:c>
      <x:c r="H44" s="9" t="n">
        <x:v>0</x:v>
      </x:c>
      <x:c r="I44" s="9" t="n">
        <x:v>0</x:v>
      </x:c>
      <x:c r="J44" s="9" t="n">
        <x:v>0</x:v>
      </x:c>
      <x:c r="K44" s="9" t="n">
        <x:v>0</x:v>
      </x:c>
      <x:c r="L44" s="9" t="n">
        <x:v>0</x:v>
      </x:c>
      <x:c r="M44" s="9" t="str">
        <x:v>SEALED / BLOCKED</x:v>
      </x:c>
      <x:c r="N44" s="9" t="n">
        <x:f>COUNTIFS($A$7:$A$54,A44)</x:f>
        <x:v>1</x:v>
      </x:c>
    </x:row>
    <x:row r="45">
      <x:c r="A45" s="9" t="str">
        <x:v>RD-HU-A-B-TECH-4-B1</x:v>
      </x:c>
      <x:c r="B45" s="9" t="str">
        <x:v>HU-A-B-TECH-4</x:v>
      </x:c>
      <x:c r="C45" s="9" t="str">
        <x:v>HU-A-B</x:v>
      </x:c>
      <x:c r="D45" s="9" t="str">
        <x:v>B1</x:v>
      </x:c>
      <x:c r="E45" s="9" t="str">
        <x:v>AR-HU-A-B-TECH-4-B1-INT-G0</x:v>
      </x:c>
      <x:c r="F45" s="9" t="str">
        <x:v>AR-HU-A-B-TECH-4-B1-BRK-G0</x:v>
      </x:c>
      <x:c r="G45" s="9" t="str">
        <x:v>AR-HU-A-B-TECH-4-B1-RCN-G0</x:v>
      </x:c>
      <x:c r="H45" s="9" t="n">
        <x:v>0</x:v>
      </x:c>
      <x:c r="I45" s="9" t="n">
        <x:v>0</x:v>
      </x:c>
      <x:c r="J45" s="9" t="n">
        <x:v>0</x:v>
      </x:c>
      <x:c r="K45" s="9" t="n">
        <x:v>0</x:v>
      </x:c>
      <x:c r="L45" s="9" t="n">
        <x:v>0</x:v>
      </x:c>
      <x:c r="M45" s="9" t="str">
        <x:v>SEALED / BLOCKED</x:v>
      </x:c>
      <x:c r="N45" s="9" t="n">
        <x:f>COUNTIFS($A$7:$A$54,A45)</x:f>
        <x:v>1</x:v>
      </x:c>
    </x:row>
    <x:row r="46">
      <x:c r="A46" s="9" t="str">
        <x:v>RD-HU-A-B-TECH-4-B2</x:v>
      </x:c>
      <x:c r="B46" s="9" t="str">
        <x:v>HU-A-B-TECH-4</x:v>
      </x:c>
      <x:c r="C46" s="9" t="str">
        <x:v>HU-A-B</x:v>
      </x:c>
      <x:c r="D46" s="9" t="str">
        <x:v>B2</x:v>
      </x:c>
      <x:c r="E46" s="9" t="str">
        <x:v>AR-HU-A-B-TECH-4-B2-INT-G0</x:v>
      </x:c>
      <x:c r="F46" s="9" t="str">
        <x:v>AR-HU-A-B-TECH-4-B2-BRK-G0</x:v>
      </x:c>
      <x:c r="G46" s="9" t="str">
        <x:v>AR-HU-A-B-TECH-4-B2-RCN-G0</x:v>
      </x:c>
      <x:c r="H46" s="9" t="n">
        <x:v>0</x:v>
      </x:c>
      <x:c r="I46" s="9" t="n">
        <x:v>0</x:v>
      </x:c>
      <x:c r="J46" s="9" t="n">
        <x:v>0</x:v>
      </x:c>
      <x:c r="K46" s="9" t="n">
        <x:v>0</x:v>
      </x:c>
      <x:c r="L46" s="9" t="n">
        <x:v>0</x:v>
      </x:c>
      <x:c r="M46" s="9" t="str">
        <x:v>SEALED / BLOCKED</x:v>
      </x:c>
      <x:c r="N46" s="9" t="n">
        <x:f>COUNTIFS($A$7:$A$54,A46)</x:f>
        <x:v>1</x:v>
      </x:c>
    </x:row>
    <x:row r="47">
      <x:c r="A47" s="9" t="str">
        <x:v>RD-RT-B-C-TECH-1-B1</x:v>
      </x:c>
      <x:c r="B47" s="9" t="str">
        <x:v>RT-B-C-TECH-1</x:v>
      </x:c>
      <x:c r="C47" s="9" t="str">
        <x:v>RT-B-C</x:v>
      </x:c>
      <x:c r="D47" s="9" t="str">
        <x:v>B1</x:v>
      </x:c>
      <x:c r="E47" s="9" t="str">
        <x:v>AR-RT-B-C-TECH-1-B1-INT-G0</x:v>
      </x:c>
      <x:c r="F47" s="9" t="str">
        <x:v>AR-RT-B-C-TECH-1-B1-BRK-G0</x:v>
      </x:c>
      <x:c r="G47" s="9" t="str">
        <x:v>AR-RT-B-C-TECH-1-B1-RCN-G0</x:v>
      </x:c>
      <x:c r="H47" s="9" t="n">
        <x:v>0</x:v>
      </x:c>
      <x:c r="I47" s="9" t="n">
        <x:v>0</x:v>
      </x:c>
      <x:c r="J47" s="9" t="n">
        <x:v>0</x:v>
      </x:c>
      <x:c r="K47" s="9" t="n">
        <x:v>0</x:v>
      </x:c>
      <x:c r="L47" s="9" t="n">
        <x:v>0</x:v>
      </x:c>
      <x:c r="M47" s="9" t="str">
        <x:v>SEALED / BLOCKED</x:v>
      </x:c>
      <x:c r="N47" s="9" t="n">
        <x:f>COUNTIFS($A$7:$A$54,A47)</x:f>
        <x:v>1</x:v>
      </x:c>
    </x:row>
    <x:row r="48">
      <x:c r="A48" s="9" t="str">
        <x:v>RD-RT-B-C-TECH-1-B2</x:v>
      </x:c>
      <x:c r="B48" s="9" t="str">
        <x:v>RT-B-C-TECH-1</x:v>
      </x:c>
      <x:c r="C48" s="9" t="str">
        <x:v>RT-B-C</x:v>
      </x:c>
      <x:c r="D48" s="9" t="str">
        <x:v>B2</x:v>
      </x:c>
      <x:c r="E48" s="9" t="str">
        <x:v>AR-RT-B-C-TECH-1-B2-INT-G0</x:v>
      </x:c>
      <x:c r="F48" s="9" t="str">
        <x:v>AR-RT-B-C-TECH-1-B2-BRK-G0</x:v>
      </x:c>
      <x:c r="G48" s="9" t="str">
        <x:v>AR-RT-B-C-TECH-1-B2-RCN-G0</x:v>
      </x:c>
      <x:c r="H48" s="9" t="n">
        <x:v>0</x:v>
      </x:c>
      <x:c r="I48" s="9" t="n">
        <x:v>0</x:v>
      </x:c>
      <x:c r="J48" s="9" t="n">
        <x:v>0</x:v>
      </x:c>
      <x:c r="K48" s="9" t="n">
        <x:v>0</x:v>
      </x:c>
      <x:c r="L48" s="9" t="n">
        <x:v>0</x:v>
      </x:c>
      <x:c r="M48" s="9" t="str">
        <x:v>SEALED / BLOCKED</x:v>
      </x:c>
      <x:c r="N48" s="9" t="n">
        <x:f>COUNTIFS($A$7:$A$54,A48)</x:f>
        <x:v>1</x:v>
      </x:c>
    </x:row>
    <x:row r="49">
      <x:c r="A49" s="9" t="str">
        <x:v>RD-RT-B-C-TECH-2-B1</x:v>
      </x:c>
      <x:c r="B49" s="9" t="str">
        <x:v>RT-B-C-TECH-2</x:v>
      </x:c>
      <x:c r="C49" s="9" t="str">
        <x:v>RT-B-C</x:v>
      </x:c>
      <x:c r="D49" s="9" t="str">
        <x:v>B1</x:v>
      </x:c>
      <x:c r="E49" s="9" t="str">
        <x:v>AR-RT-B-C-TECH-2-B1-INT-G0</x:v>
      </x:c>
      <x:c r="F49" s="9" t="str">
        <x:v>AR-RT-B-C-TECH-2-B1-BRK-G0</x:v>
      </x:c>
      <x:c r="G49" s="9" t="str">
        <x:v>AR-RT-B-C-TECH-2-B1-RCN-G0</x:v>
      </x:c>
      <x:c r="H49" s="9" t="n">
        <x:v>0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  <x:c r="M49" s="9" t="str">
        <x:v>SEALED / BLOCKED</x:v>
      </x:c>
      <x:c r="N49" s="9" t="n">
        <x:f>COUNTIFS($A$7:$A$54,A49)</x:f>
        <x:v>1</x:v>
      </x:c>
    </x:row>
    <x:row r="50">
      <x:c r="A50" s="9" t="str">
        <x:v>RD-RT-B-C-TECH-2-B2</x:v>
      </x:c>
      <x:c r="B50" s="9" t="str">
        <x:v>RT-B-C-TECH-2</x:v>
      </x:c>
      <x:c r="C50" s="9" t="str">
        <x:v>RT-B-C</x:v>
      </x:c>
      <x:c r="D50" s="9" t="str">
        <x:v>B2</x:v>
      </x:c>
      <x:c r="E50" s="9" t="str">
        <x:v>AR-RT-B-C-TECH-2-B2-INT-G0</x:v>
      </x:c>
      <x:c r="F50" s="9" t="str">
        <x:v>AR-RT-B-C-TECH-2-B2-BRK-G0</x:v>
      </x:c>
      <x:c r="G50" s="9" t="str">
        <x:v>AR-RT-B-C-TECH-2-B2-RCN-G0</x:v>
      </x:c>
      <x:c r="H50" s="9" t="n">
        <x:v>0</x:v>
      </x:c>
      <x:c r="I50" s="9" t="n">
        <x:v>0</x:v>
      </x:c>
      <x:c r="J50" s="9" t="n">
        <x:v>0</x:v>
      </x:c>
      <x:c r="K50" s="9" t="n">
        <x:v>0</x:v>
      </x:c>
      <x:c r="L50" s="9" t="n">
        <x:v>0</x:v>
      </x:c>
      <x:c r="M50" s="9" t="str">
        <x:v>SEALED / BLOCKED</x:v>
      </x:c>
      <x:c r="N50" s="9" t="n">
        <x:f>COUNTIFS($A$7:$A$54,A50)</x:f>
        <x:v>1</x:v>
      </x:c>
    </x:row>
    <x:row r="51">
      <x:c r="A51" s="9" t="str">
        <x:v>RD-RT-B-C-TECH-3-B1</x:v>
      </x:c>
      <x:c r="B51" s="9" t="str">
        <x:v>RT-B-C-TECH-3</x:v>
      </x:c>
      <x:c r="C51" s="9" t="str">
        <x:v>RT-B-C</x:v>
      </x:c>
      <x:c r="D51" s="9" t="str">
        <x:v>B1</x:v>
      </x:c>
      <x:c r="E51" s="9" t="str">
        <x:v>AR-RT-B-C-TECH-3-B1-INT-G0</x:v>
      </x:c>
      <x:c r="F51" s="9" t="str">
        <x:v>AR-RT-B-C-TECH-3-B1-BRK-G0</x:v>
      </x:c>
      <x:c r="G51" s="9" t="str">
        <x:v>AR-RT-B-C-TECH-3-B1-RCN-G0</x:v>
      </x:c>
      <x:c r="H51" s="9" t="n">
        <x:v>0</x:v>
      </x:c>
      <x:c r="I51" s="9" t="n">
        <x:v>0</x:v>
      </x:c>
      <x:c r="J51" s="9" t="n">
        <x:v>0</x:v>
      </x:c>
      <x:c r="K51" s="9" t="n">
        <x:v>0</x:v>
      </x:c>
      <x:c r="L51" s="9" t="n">
        <x:v>0</x:v>
      </x:c>
      <x:c r="M51" s="9" t="str">
        <x:v>SEALED / BLOCKED</x:v>
      </x:c>
      <x:c r="N51" s="9" t="n">
        <x:f>COUNTIFS($A$7:$A$54,A51)</x:f>
        <x:v>1</x:v>
      </x:c>
    </x:row>
    <x:row r="52">
      <x:c r="A52" s="9" t="str">
        <x:v>RD-RT-B-C-TECH-3-B2</x:v>
      </x:c>
      <x:c r="B52" s="9" t="str">
        <x:v>RT-B-C-TECH-3</x:v>
      </x:c>
      <x:c r="C52" s="9" t="str">
        <x:v>RT-B-C</x:v>
      </x:c>
      <x:c r="D52" s="9" t="str">
        <x:v>B2</x:v>
      </x:c>
      <x:c r="E52" s="9" t="str">
        <x:v>AR-RT-B-C-TECH-3-B2-INT-G0</x:v>
      </x:c>
      <x:c r="F52" s="9" t="str">
        <x:v>AR-RT-B-C-TECH-3-B2-BRK-G0</x:v>
      </x:c>
      <x:c r="G52" s="9" t="str">
        <x:v>AR-RT-B-C-TECH-3-B2-RCN-G0</x:v>
      </x:c>
      <x:c r="H52" s="9" t="n">
        <x:v>0</x:v>
      </x:c>
      <x:c r="I52" s="9" t="n">
        <x:v>0</x:v>
      </x:c>
      <x:c r="J52" s="9" t="n">
        <x:v>0</x:v>
      </x:c>
      <x:c r="K52" s="9" t="n">
        <x:v>0</x:v>
      </x:c>
      <x:c r="L52" s="9" t="n">
        <x:v>0</x:v>
      </x:c>
      <x:c r="M52" s="9" t="str">
        <x:v>SEALED / BLOCKED</x:v>
      </x:c>
      <x:c r="N52" s="9" t="n">
        <x:f>COUNTIFS($A$7:$A$54,A52)</x:f>
        <x:v>1</x:v>
      </x:c>
    </x:row>
    <x:row r="53">
      <x:c r="A53" s="9" t="str">
        <x:v>RD-RT-B-C-TECH-4-B1</x:v>
      </x:c>
      <x:c r="B53" s="9" t="str">
        <x:v>RT-B-C-TECH-4</x:v>
      </x:c>
      <x:c r="C53" s="9" t="str">
        <x:v>RT-B-C</x:v>
      </x:c>
      <x:c r="D53" s="9" t="str">
        <x:v>B1</x:v>
      </x:c>
      <x:c r="E53" s="9" t="str">
        <x:v>AR-RT-B-C-TECH-4-B1-INT-G0</x:v>
      </x:c>
      <x:c r="F53" s="9" t="str">
        <x:v>AR-RT-B-C-TECH-4-B1-BRK-G0</x:v>
      </x:c>
      <x:c r="G53" s="9" t="str">
        <x:v>AR-RT-B-C-TECH-4-B1-RCN-G0</x:v>
      </x:c>
      <x:c r="H53" s="9" t="n">
        <x:v>0</x:v>
      </x:c>
      <x:c r="I53" s="9" t="n">
        <x:v>0</x:v>
      </x:c>
      <x:c r="J53" s="9" t="n">
        <x:v>0</x:v>
      </x:c>
      <x:c r="K53" s="9" t="n">
        <x:v>0</x:v>
      </x:c>
      <x:c r="L53" s="9" t="n">
        <x:v>0</x:v>
      </x:c>
      <x:c r="M53" s="9" t="str">
        <x:v>SEALED / BLOCKED</x:v>
      </x:c>
      <x:c r="N53" s="9" t="n">
        <x:f>COUNTIFS($A$7:$A$54,A53)</x:f>
        <x:v>1</x:v>
      </x:c>
    </x:row>
    <x:row r="54">
      <x:c r="A54" s="9" t="str">
        <x:v>RD-RT-B-C-TECH-4-B2</x:v>
      </x:c>
      <x:c r="B54" s="9" t="str">
        <x:v>RT-B-C-TECH-4</x:v>
      </x:c>
      <x:c r="C54" s="9" t="str">
        <x:v>RT-B-C</x:v>
      </x:c>
      <x:c r="D54" s="9" t="str">
        <x:v>B2</x:v>
      </x:c>
      <x:c r="E54" s="9" t="str">
        <x:v>AR-RT-B-C-TECH-4-B2-INT-G0</x:v>
      </x:c>
      <x:c r="F54" s="9" t="str">
        <x:v>AR-RT-B-C-TECH-4-B2-BRK-G0</x:v>
      </x:c>
      <x:c r="G54" s="9" t="str">
        <x:v>AR-RT-B-C-TECH-4-B2-RCN-G0</x:v>
      </x:c>
      <x:c r="H54" s="9" t="n">
        <x:v>0</x:v>
      </x:c>
      <x:c r="I54" s="9" t="n">
        <x:v>0</x:v>
      </x:c>
      <x:c r="J54" s="9" t="n">
        <x:v>0</x:v>
      </x:c>
      <x:c r="K54" s="9" t="n">
        <x:v>0</x:v>
      </x:c>
      <x:c r="L54" s="9" t="n">
        <x:v>0</x:v>
      </x:c>
      <x:c r="M54" s="9" t="str">
        <x:v>SEALED / BLOCKED</x:v>
      </x:c>
      <x:c r="N54" s="9" t="n">
        <x:f>COUNTIFS($A$7:$A$54,A54)</x:f>
        <x:v>1</x:v>
      </x:c>
    </x:row>
  </x:sheetData>
  <x:conditionalFormatting sqref="M7:M54">
    <x:cfRule type="containsText" dxfId="96" priority="1" operator="containsText" text="OPEN"/>
    <x:cfRule type="containsText" dxfId="97" priority="2" operator="containsText" text="BLOCKED"/>
    <x:cfRule type="containsText" dxfId="98" priority="3" operator="containsText" text="UNSTARTED"/>
    <x:cfRule type="containsText" dxfId="99" priority="4" operator="containsText" text="UNSEALED"/>
    <x:cfRule type="containsText" dxfId="100" priority="5" operator="containsText" text="UNACCEPTED"/>
    <x:cfRule type="containsText" dxfId="101" priority="6" operator="containsText" text="UNFILED"/>
    <x:cfRule type="containsText" dxfId="102" priority="7" operator="containsText" text="UNJUDGED"/>
    <x:cfRule type="containsText" dxfId="103" priority="8" operator="containsText" text="UNRELEASED"/>
    <x:cfRule type="containsText" dxfId="104" priority="9" operator="containsText" text="HELD"/>
    <x:cfRule type="containsText" dxfId="105" priority="10" operator="containsText" text="PENDING"/>
    <x:cfRule type="containsText" dxfId="106" priority="11" operator="containsText" text="SOURCE-EMPTY"/>
    <x:cfRule type="containsText" dxfId="107" priority="12" operator="containsText" text="FAIL"/>
    <x:cfRule type="containsText" dxfId="108" priority="13" operator="containsText" text="TERMINATE"/>
    <x:cfRule type="containsText" dxfId="109" priority="14" operator="containsText" text="PROHIBITED"/>
    <x:cfRule type="containsText" dxfId="110" priority="15" operator="containsText" text="BREACH"/>
    <x:cfRule type="containsText" dxfId="111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3477d2faf37b424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58" hidden="0" customWidth="1"/>
    <x:col min="2" max="2" width="48" hidden="0" customWidth="1"/>
    <x:col min="3" max="3" width="48" hidden="0" customWidth="1"/>
    <x:col min="4" max="4" width="42" hidden="0" customWidth="1"/>
    <x:col min="5" max="5" width="24" hidden="0" customWidth="1"/>
    <x:col min="6" max="6" width="13" hidden="0" customWidth="1"/>
    <x:col min="7" max="7" width="12" hidden="0" customWidth="1"/>
    <x:col min="8" max="8" width="10" hidden="0" customWidth="1"/>
    <x:col min="9" max="9" width="10" hidden="0" customWidth="1"/>
    <x:col min="10" max="10" width="38" hidden="0" customWidth="1"/>
    <x:col min="11" max="11" width="24" hidden="0" customWidth="1"/>
    <x:col min="12" max="12" width="40" hidden="0" customWidth="1"/>
    <x:col min="13" max="13" width="12" hidden="0" customWidth="1"/>
    <x:col min="14" max="14" width="18" hidden="0" customWidth="1"/>
    <x:col min="15" max="15" width="12" hidden="0" customWidth="1"/>
    <x:col min="16" max="16" width="24" hidden="0" customWidth="1"/>
    <x:col min="17" max="17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>
      <x:c r="A2" s="31" t="str">
        <x:v>Sixteen-object complete public packet per event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 ht="34" customHeight="1">
      <x:c r="A6" s="35" t="str">
        <x:v>Object record</x:v>
      </x:c>
      <x:c r="B6" s="35" t="str">
        <x:v>Packet</x:v>
      </x:c>
      <x:c r="C6" s="35" t="str">
        <x:v>Event</x:v>
      </x:c>
      <x:c r="D6" s="35" t="str">
        <x:v>Serial</x:v>
      </x:c>
      <x:c r="E6" s="35" t="str">
        <x:v>Order</x:v>
      </x:c>
      <x:c r="F6" s="35" t="str">
        <x:v>Form</x:v>
      </x:c>
      <x:c r="G6" s="35" t="str">
        <x:v>Builder</x:v>
      </x:c>
      <x:c r="H6" s="35" t="str">
        <x:v>Role</x:v>
      </x:c>
      <x:c r="I6" s="35" t="str">
        <x:v>Object</x:v>
      </x:c>
      <x:c r="J6" s="35" t="str">
        <x:v>Record</x:v>
      </x:c>
      <x:c r="K6" s="35" t="str">
        <x:v>Release authority</x:v>
      </x:c>
      <x:c r="L6" s="35" t="str">
        <x:v>Pre-release access</x:v>
      </x:c>
      <x:c r="M6" s="35" t="str">
        <x:v>Complete</x:v>
      </x:c>
      <x:c r="N6" s="35" t="str">
        <x:v>Outcome metrics</x:v>
      </x:c>
      <x:c r="O6" s="35" t="str">
        <x:v>Released</x:v>
      </x:c>
      <x:c r="P6" s="35" t="str">
        <x:v>State</x:v>
      </x:c>
      <x:c r="Q6" s="35" t="str">
        <x:v>Record multiplicity</x:v>
      </x:c>
    </x:row>
    <x:row r="7">
      <x:c r="A7" s="9" t="str">
        <x:v>PD-AR-CT-C-B-TECH-1-B2-RCN-G0-PD01</x:v>
      </x:c>
      <x:c r="B7" s="9" t="str">
        <x:v>PD-AR-CT-C-B-TECH-1-B2-RCN-G0</x:v>
      </x:c>
      <x:c r="C7" s="9" t="str">
        <x:v>EV-AR-CT-C-B-TECH-1-B2-RCN-G0</x:v>
      </x:c>
      <x:c r="D7" s="9" t="str">
        <x:v>AR-CT-C-B-TECH-1-B2-RCN-G0</x:v>
      </x:c>
      <x:c r="E7" s="9" t="str">
        <x:v>CT-C-B-TECH-1</x:v>
      </x:c>
      <x:c r="F7" s="9" t="str">
        <x:v>CT-C-B</x:v>
      </x:c>
      <x:c r="G7" s="9" t="str">
        <x:v>B2</x:v>
      </x:c>
      <x:c r="H7" s="9" t="str">
        <x:v>RCN</x:v>
      </x:c>
      <x:c r="I7" s="9" t="str">
        <x:v>PD01</x:v>
      </x:c>
      <x:c r="J7" s="17" t="str">
        <x:v>Experiment kernel</x:v>
      </x:c>
      <x:c r="K7" s="17" t="str">
        <x:v>Public archive</x:v>
      </x:c>
      <x:c r="L7" s="17" t="str">
        <x:v>COURT-SEALED UNTIL COHORT RELEASE</x:v>
      </x:c>
      <x:c r="M7" s="9" t="n">
        <x:v>0</x:v>
      </x:c>
      <x:c r="N7" s="9" t="n">
        <x:v>0</x:v>
      </x:c>
      <x:c r="O7" s="9" t="n">
        <x:v>0</x:v>
      </x:c>
      <x:c r="P7" s="9" t="str">
        <x:v>HELD / UNRELEASED</x:v>
      </x:c>
      <x:c r="Q7" s="9" t="n">
        <x:f>COUNTIFS($A$7:$A$2310,A7)</x:f>
        <x:v>1</x:v>
      </x:c>
    </x:row>
    <x:row r="8">
      <x:c r="A8" s="9" t="str">
        <x:v>PD-AR-CT-C-B-TECH-1-B2-RCN-G0-PD02</x:v>
      </x:c>
      <x:c r="B8" s="9" t="str">
        <x:v>PD-AR-CT-C-B-TECH-1-B2-RCN-G0</x:v>
      </x:c>
      <x:c r="C8" s="9" t="str">
        <x:v>EV-AR-CT-C-B-TECH-1-B2-RCN-G0</x:v>
      </x:c>
      <x:c r="D8" s="9" t="str">
        <x:v>AR-CT-C-B-TECH-1-B2-RCN-G0</x:v>
      </x:c>
      <x:c r="E8" s="9" t="str">
        <x:v>CT-C-B-TECH-1</x:v>
      </x:c>
      <x:c r="F8" s="9" t="str">
        <x:v>CT-C-B</x:v>
      </x:c>
      <x:c r="G8" s="9" t="str">
        <x:v>B2</x:v>
      </x:c>
      <x:c r="H8" s="9" t="str">
        <x:v>RCN</x:v>
      </x:c>
      <x:c r="I8" s="9" t="str">
        <x:v>PD02</x:v>
      </x:c>
      <x:c r="J8" s="17" t="str">
        <x:v>Serial annex and title chain</x:v>
      </x:c>
      <x:c r="K8" s="17" t="str">
        <x:v>Public archive</x:v>
      </x:c>
      <x:c r="L8" s="17" t="str">
        <x:v>COURT-SEALED UNTIL COHORT RELEASE</x:v>
      </x:c>
      <x:c r="M8" s="9" t="n">
        <x:v>0</x:v>
      </x:c>
      <x:c r="N8" s="9" t="n">
        <x:v>0</x:v>
      </x:c>
      <x:c r="O8" s="9" t="n">
        <x:v>0</x:v>
      </x:c>
      <x:c r="P8" s="9" t="str">
        <x:v>HELD / UNRELEASED</x:v>
      </x:c>
      <x:c r="Q8" s="9" t="n">
        <x:f>COUNTIFS($A$7:$A$2310,A8)</x:f>
        <x:v>1</x:v>
      </x:c>
    </x:row>
    <x:row r="9">
      <x:c r="A9" s="9" t="str">
        <x:v>PD-AR-CT-C-B-TECH-1-B2-RCN-G0-PD03</x:v>
      </x:c>
      <x:c r="B9" s="9" t="str">
        <x:v>PD-AR-CT-C-B-TECH-1-B2-RCN-G0</x:v>
      </x:c>
      <x:c r="C9" s="9" t="str">
        <x:v>EV-AR-CT-C-B-TECH-1-B2-RCN-G0</x:v>
      </x:c>
      <x:c r="D9" s="9" t="str">
        <x:v>AR-CT-C-B-TECH-1-B2-RCN-G0</x:v>
      </x:c>
      <x:c r="E9" s="9" t="str">
        <x:v>CT-C-B-TECH-1</x:v>
      </x:c>
      <x:c r="F9" s="9" t="str">
        <x:v>CT-C-B</x:v>
      </x:c>
      <x:c r="G9" s="9" t="str">
        <x:v>B2</x:v>
      </x:c>
      <x:c r="H9" s="9" t="str">
        <x:v>RCN</x:v>
      </x:c>
      <x:c r="I9" s="9" t="str">
        <x:v>PD03</x:v>
      </x:c>
      <x:c r="J9" s="17" t="str">
        <x:v>Configuration and as-built manifest</x:v>
      </x:c>
      <x:c r="K9" s="17" t="str">
        <x:v>Artifact exchange</x:v>
      </x:c>
      <x:c r="L9" s="17" t="str">
        <x:v>COURT-SEALED UNTIL COHORT RELEASE</x:v>
      </x:c>
      <x:c r="M9" s="9" t="n">
        <x:v>0</x:v>
      </x:c>
      <x:c r="N9" s="9" t="n">
        <x:v>0</x:v>
      </x:c>
      <x:c r="O9" s="9" t="n">
        <x:v>0</x:v>
      </x:c>
      <x:c r="P9" s="9" t="str">
        <x:v>HELD / UNRELEASED</x:v>
      </x:c>
      <x:c r="Q9" s="9" t="n">
        <x:f>COUNTIFS($A$7:$A$2310,A9)</x:f>
        <x:v>1</x:v>
      </x:c>
    </x:row>
    <x:row r="10">
      <x:c r="A10" s="9" t="str">
        <x:v>PD-AR-CT-C-B-TECH-1-B2-RCN-G0-PD04</x:v>
      </x:c>
      <x:c r="B10" s="9" t="str">
        <x:v>PD-AR-CT-C-B-TECH-1-B2-RCN-G0</x:v>
      </x:c>
      <x:c r="C10" s="9" t="str">
        <x:v>EV-AR-CT-C-B-TECH-1-B2-RCN-G0</x:v>
      </x:c>
      <x:c r="D10" s="9" t="str">
        <x:v>AR-CT-C-B-TECH-1-B2-RCN-G0</x:v>
      </x:c>
      <x:c r="E10" s="9" t="str">
        <x:v>CT-C-B-TECH-1</x:v>
      </x:c>
      <x:c r="F10" s="9" t="str">
        <x:v>CT-C-B</x:v>
      </x:c>
      <x:c r="G10" s="9" t="str">
        <x:v>B2</x:v>
      </x:c>
      <x:c r="H10" s="9" t="str">
        <x:v>RCN</x:v>
      </x:c>
      <x:c r="I10" s="9" t="str">
        <x:v>PD04</x:v>
      </x:c>
      <x:c r="J10" s="17" t="str">
        <x:v>EOW and start certificate</x:v>
      </x:c>
      <x:c r="K10" s="17" t="str">
        <x:v>Start registrar</x:v>
      </x:c>
      <x:c r="L10" s="17" t="str">
        <x:v>COURT-SEALED UNTIL COHORT RELEASE</x:v>
      </x:c>
      <x:c r="M10" s="9" t="n">
        <x:v>0</x:v>
      </x:c>
      <x:c r="N10" s="9" t="n">
        <x:v>0</x:v>
      </x:c>
      <x:c r="O10" s="9" t="n">
        <x:v>0</x:v>
      </x:c>
      <x:c r="P10" s="9" t="str">
        <x:v>HELD / UNRELEASED</x:v>
      </x:c>
      <x:c r="Q10" s="9" t="n">
        <x:f>COUNTIFS($A$7:$A$2310,A10)</x:f>
        <x:v>1</x:v>
      </x:c>
    </x:row>
    <x:row r="11">
      <x:c r="A11" s="9" t="str">
        <x:v>PD-AR-CT-C-B-TECH-1-B2-RCN-G0-PD05</x:v>
      </x:c>
      <x:c r="B11" s="9" t="str">
        <x:v>PD-AR-CT-C-B-TECH-1-B2-RCN-G0</x:v>
      </x:c>
      <x:c r="C11" s="9" t="str">
        <x:v>EV-AR-CT-C-B-TECH-1-B2-RCN-G0</x:v>
      </x:c>
      <x:c r="D11" s="9" t="str">
        <x:v>AR-CT-C-B-TECH-1-B2-RCN-G0</x:v>
      </x:c>
      <x:c r="E11" s="9" t="str">
        <x:v>CT-C-B-TECH-1</x:v>
      </x:c>
      <x:c r="F11" s="9" t="str">
        <x:v>CT-C-B</x:v>
      </x:c>
      <x:c r="G11" s="9" t="str">
        <x:v>B2</x:v>
      </x:c>
      <x:c r="H11" s="9" t="str">
        <x:v>RCN</x:v>
      </x:c>
      <x:c r="I11" s="9" t="str">
        <x:v>PD05</x:v>
      </x:c>
      <x:c r="J11" s="17" t="str">
        <x:v>Primary raw originals</x:v>
      </x:c>
      <x:c r="K11" s="17" t="str">
        <x:v>Primary custody</x:v>
      </x:c>
      <x:c r="L11" s="17" t="str">
        <x:v>COURT-SEALED UNTIL COHORT RELEASE</x:v>
      </x:c>
      <x:c r="M11" s="9" t="n">
        <x:v>0</x:v>
      </x:c>
      <x:c r="N11" s="9" t="n">
        <x:v>0</x:v>
      </x:c>
      <x:c r="O11" s="9" t="n">
        <x:v>0</x:v>
      </x:c>
      <x:c r="P11" s="9" t="str">
        <x:v>HELD / UNRELEASED</x:v>
      </x:c>
      <x:c r="Q11" s="9" t="n">
        <x:f>COUNTIFS($A$7:$A$2310,A11)</x:f>
        <x:v>1</x:v>
      </x:c>
    </x:row>
    <x:row r="12">
      <x:c r="A12" s="9" t="str">
        <x:v>PD-AR-CT-C-B-TECH-1-B2-RCN-G0-PD06</x:v>
      </x:c>
      <x:c r="B12" s="9" t="str">
        <x:v>PD-AR-CT-C-B-TECH-1-B2-RCN-G0</x:v>
      </x:c>
      <x:c r="C12" s="9" t="str">
        <x:v>EV-AR-CT-C-B-TECH-1-B2-RCN-G0</x:v>
      </x:c>
      <x:c r="D12" s="9" t="str">
        <x:v>AR-CT-C-B-TECH-1-B2-RCN-G0</x:v>
      </x:c>
      <x:c r="E12" s="9" t="str">
        <x:v>CT-C-B-TECH-1</x:v>
      </x:c>
      <x:c r="F12" s="9" t="str">
        <x:v>CT-C-B</x:v>
      </x:c>
      <x:c r="G12" s="9" t="str">
        <x:v>B2</x:v>
      </x:c>
      <x:c r="H12" s="9" t="str">
        <x:v>RCN</x:v>
      </x:c>
      <x:c r="I12" s="9" t="str">
        <x:v>PD06</x:v>
      </x:c>
      <x:c r="J12" s="17" t="str">
        <x:v>Witness raw originals</x:v>
      </x:c>
      <x:c r="K12" s="17" t="str">
        <x:v>Witness custody</x:v>
      </x:c>
      <x:c r="L12" s="17" t="str">
        <x:v>COURT-SEALED UNTIL COHORT RELEASE</x:v>
      </x:c>
      <x:c r="M12" s="9" t="n">
        <x:v>0</x:v>
      </x:c>
      <x:c r="N12" s="9" t="n">
        <x:v>0</x:v>
      </x:c>
      <x:c r="O12" s="9" t="n">
        <x:v>0</x:v>
      </x:c>
      <x:c r="P12" s="9" t="str">
        <x:v>HELD / UNRELEASED</x:v>
      </x:c>
      <x:c r="Q12" s="9" t="n">
        <x:f>COUNTIFS($A$7:$A$2310,A12)</x:f>
        <x:v>1</x:v>
      </x:c>
    </x:row>
    <x:row r="13">
      <x:c r="A13" s="9" t="str">
        <x:v>PD-AR-CT-C-B-TECH-1-B2-RCN-G0-PD07</x:v>
      </x:c>
      <x:c r="B13" s="9" t="str">
        <x:v>PD-AR-CT-C-B-TECH-1-B2-RCN-G0</x:v>
      </x:c>
      <x:c r="C13" s="9" t="str">
        <x:v>EV-AR-CT-C-B-TECH-1-B2-RCN-G0</x:v>
      </x:c>
      <x:c r="D13" s="9" t="str">
        <x:v>AR-CT-C-B-TECH-1-B2-RCN-G0</x:v>
      </x:c>
      <x:c r="E13" s="9" t="str">
        <x:v>CT-C-B-TECH-1</x:v>
      </x:c>
      <x:c r="F13" s="9" t="str">
        <x:v>CT-C-B</x:v>
      </x:c>
      <x:c r="G13" s="9" t="str">
        <x:v>B2</x:v>
      </x:c>
      <x:c r="H13" s="9" t="str">
        <x:v>RCN</x:v>
      </x:c>
      <x:c r="I13" s="9" t="str">
        <x:v>PD07</x:v>
      </x:c>
      <x:c r="J13" s="17" t="str">
        <x:v>Clock and environmental records</x:v>
      </x:c>
      <x:c r="K13" s="17" t="str">
        <x:v>Boundary archive</x:v>
      </x:c>
      <x:c r="L13" s="17" t="str">
        <x:v>COURT-SEALED UNTIL COHORT RELEASE</x:v>
      </x:c>
      <x:c r="M13" s="9" t="n">
        <x:v>0</x:v>
      </x:c>
      <x:c r="N13" s="9" t="n">
        <x:v>0</x:v>
      </x:c>
      <x:c r="O13" s="9" t="n">
        <x:v>0</x:v>
      </x:c>
      <x:c r="P13" s="9" t="str">
        <x:v>HELD / UNRELEASED</x:v>
      </x:c>
      <x:c r="Q13" s="9" t="n">
        <x:f>COUNTIFS($A$7:$A$2310,A13)</x:f>
        <x:v>1</x:v>
      </x:c>
    </x:row>
    <x:row r="14">
      <x:c r="A14" s="9" t="str">
        <x:v>PD-AR-CT-C-B-TECH-1-B2-RCN-G0-PD08</x:v>
      </x:c>
      <x:c r="B14" s="9" t="str">
        <x:v>PD-AR-CT-C-B-TECH-1-B2-RCN-G0</x:v>
      </x:c>
      <x:c r="C14" s="9" t="str">
        <x:v>EV-AR-CT-C-B-TECH-1-B2-RCN-G0</x:v>
      </x:c>
      <x:c r="D14" s="9" t="str">
        <x:v>AR-CT-C-B-TECH-1-B2-RCN-G0</x:v>
      </x:c>
      <x:c r="E14" s="9" t="str">
        <x:v>CT-C-B-TECH-1</x:v>
      </x:c>
      <x:c r="F14" s="9" t="str">
        <x:v>CT-C-B</x:v>
      </x:c>
      <x:c r="G14" s="9" t="str">
        <x:v>B2</x:v>
      </x:c>
      <x:c r="H14" s="9" t="str">
        <x:v>RCN</x:v>
      </x:c>
      <x:c r="I14" s="9" t="str">
        <x:v>PD08</x:v>
      </x:c>
      <x:c r="J14" s="17" t="str">
        <x:v>Command and intervention log</x:v>
      </x:c>
      <x:c r="K14" s="17" t="str">
        <x:v>Safety archive</x:v>
      </x:c>
      <x:c r="L14" s="17" t="str">
        <x:v>COURT-SEALED UNTIL COHORT RELEASE</x:v>
      </x:c>
      <x:c r="M14" s="9" t="n">
        <x:v>0</x:v>
      </x:c>
      <x:c r="N14" s="9" t="n">
        <x:v>0</x:v>
      </x:c>
      <x:c r="O14" s="9" t="n">
        <x:v>0</x:v>
      </x:c>
      <x:c r="P14" s="9" t="str">
        <x:v>HELD / UNRELEASED</x:v>
      </x:c>
      <x:c r="Q14" s="9" t="n">
        <x:f>COUNTIFS($A$7:$A$2310,A14)</x:f>
        <x:v>1</x:v>
      </x:c>
    </x:row>
    <x:row r="15">
      <x:c r="A15" s="9" t="str">
        <x:v>PD-AR-CT-C-B-TECH-1-B2-RCN-G0-PD09</x:v>
      </x:c>
      <x:c r="B15" s="9" t="str">
        <x:v>PD-AR-CT-C-B-TECH-1-B2-RCN-G0</x:v>
      </x:c>
      <x:c r="C15" s="9" t="str">
        <x:v>EV-AR-CT-C-B-TECH-1-B2-RCN-G0</x:v>
      </x:c>
      <x:c r="D15" s="9" t="str">
        <x:v>AR-CT-C-B-TECH-1-B2-RCN-G0</x:v>
      </x:c>
      <x:c r="E15" s="9" t="str">
        <x:v>CT-C-B-TECH-1</x:v>
      </x:c>
      <x:c r="F15" s="9" t="str">
        <x:v>CT-C-B</x:v>
      </x:c>
      <x:c r="G15" s="9" t="str">
        <x:v>B2</x:v>
      </x:c>
      <x:c r="H15" s="9" t="str">
        <x:v>RCN</x:v>
      </x:c>
      <x:c r="I15" s="9" t="str">
        <x:v>PD09</x:v>
      </x:c>
      <x:c r="J15" s="17" t="str">
        <x:v>Receiver denominator and service ledger</x:v>
      </x:c>
      <x:c r="K15" s="17" t="str">
        <x:v>Receiver archive</x:v>
      </x:c>
      <x:c r="L15" s="17" t="str">
        <x:v>COURT-SEALED UNTIL COHORT RELEASE</x:v>
      </x:c>
      <x:c r="M15" s="9" t="n">
        <x:v>0</x:v>
      </x:c>
      <x:c r="N15" s="9" t="n">
        <x:v>0</x:v>
      </x:c>
      <x:c r="O15" s="9" t="n">
        <x:v>0</x:v>
      </x:c>
      <x:c r="P15" s="9" t="str">
        <x:v>HELD / UNRELEASED</x:v>
      </x:c>
      <x:c r="Q15" s="9" t="n">
        <x:f>COUNTIFS($A$7:$A$2310,A15)</x:f>
        <x:v>1</x:v>
      </x:c>
    </x:row>
    <x:row r="16">
      <x:c r="A16" s="9" t="str">
        <x:v>PD-AR-CT-C-B-TECH-1-B2-RCN-G0-PD10</x:v>
      </x:c>
      <x:c r="B16" s="9" t="str">
        <x:v>PD-AR-CT-C-B-TECH-1-B2-RCN-G0</x:v>
      </x:c>
      <x:c r="C16" s="9" t="str">
        <x:v>EV-AR-CT-C-B-TECH-1-B2-RCN-G0</x:v>
      </x:c>
      <x:c r="D16" s="9" t="str">
        <x:v>AR-CT-C-B-TECH-1-B2-RCN-G0</x:v>
      </x:c>
      <x:c r="E16" s="9" t="str">
        <x:v>CT-C-B-TECH-1</x:v>
      </x:c>
      <x:c r="F16" s="9" t="str">
        <x:v>CT-C-B</x:v>
      </x:c>
      <x:c r="G16" s="9" t="str">
        <x:v>B2</x:v>
      </x:c>
      <x:c r="H16" s="9" t="str">
        <x:v>RCN</x:v>
      </x:c>
      <x:c r="I16" s="9" t="str">
        <x:v>PD10</x:v>
      </x:c>
      <x:c r="J16" s="17" t="str">
        <x:v>Calibration and uncertainty record</x:v>
      </x:c>
      <x:c r="K16" s="17" t="str">
        <x:v>Metrology archive</x:v>
      </x:c>
      <x:c r="L16" s="17" t="str">
        <x:v>COURT-SEALED UNTIL COHORT RELEASE</x:v>
      </x:c>
      <x:c r="M16" s="9" t="n">
        <x:v>0</x:v>
      </x:c>
      <x:c r="N16" s="9" t="n">
        <x:v>0</x:v>
      </x:c>
      <x:c r="O16" s="9" t="n">
        <x:v>0</x:v>
      </x:c>
      <x:c r="P16" s="9" t="str">
        <x:v>HELD / UNRELEASED</x:v>
      </x:c>
      <x:c r="Q16" s="9" t="n">
        <x:f>COUNTIFS($A$7:$A$2310,A16)</x:f>
        <x:v>1</x:v>
      </x:c>
    </x:row>
    <x:row r="17">
      <x:c r="A17" s="9" t="str">
        <x:v>PD-AR-CT-C-B-TECH-1-B2-RCN-G0-PD11</x:v>
      </x:c>
      <x:c r="B17" s="9" t="str">
        <x:v>PD-AR-CT-C-B-TECH-1-B2-RCN-G0</x:v>
      </x:c>
      <x:c r="C17" s="9" t="str">
        <x:v>EV-AR-CT-C-B-TECH-1-B2-RCN-G0</x:v>
      </x:c>
      <x:c r="D17" s="9" t="str">
        <x:v>AR-CT-C-B-TECH-1-B2-RCN-G0</x:v>
      </x:c>
      <x:c r="E17" s="9" t="str">
        <x:v>CT-C-B-TECH-1</x:v>
      </x:c>
      <x:c r="F17" s="9" t="str">
        <x:v>CT-C-B</x:v>
      </x:c>
      <x:c r="G17" s="9" t="str">
        <x:v>B2</x:v>
      </x:c>
      <x:c r="H17" s="9" t="str">
        <x:v>RCN</x:v>
      </x:c>
      <x:c r="I17" s="9" t="str">
        <x:v>PD11</x:v>
      </x:c>
      <x:c r="J17" s="17" t="str">
        <x:v>Invalidity petition and opinion</x:v>
      </x:c>
      <x:c r="K17" s="17" t="str">
        <x:v>Invalidity court</x:v>
      </x:c>
      <x:c r="L17" s="17" t="str">
        <x:v>COURT-SEALED UNTIL COHORT RELEASE</x:v>
      </x:c>
      <x:c r="M17" s="9" t="n">
        <x:v>0</x:v>
      </x:c>
      <x:c r="N17" s="9" t="n">
        <x:v>0</x:v>
      </x:c>
      <x:c r="O17" s="9" t="n">
        <x:v>0</x:v>
      </x:c>
      <x:c r="P17" s="9" t="str">
        <x:v>HELD / UNRELEASED</x:v>
      </x:c>
      <x:c r="Q17" s="9" t="n">
        <x:f>COUNTIFS($A$7:$A$2310,A17)</x:f>
        <x:v>1</x:v>
      </x:c>
    </x:row>
    <x:row r="18">
      <x:c r="A18" s="9" t="str">
        <x:v>PD-AR-CT-C-B-TECH-1-B2-RCN-G0-PD12</x:v>
      </x:c>
      <x:c r="B18" s="9" t="str">
        <x:v>PD-AR-CT-C-B-TECH-1-B2-RCN-G0</x:v>
      </x:c>
      <x:c r="C18" s="9" t="str">
        <x:v>EV-AR-CT-C-B-TECH-1-B2-RCN-G0</x:v>
      </x:c>
      <x:c r="D18" s="9" t="str">
        <x:v>AR-CT-C-B-TECH-1-B2-RCN-G0</x:v>
      </x:c>
      <x:c r="E18" s="9" t="str">
        <x:v>CT-C-B-TECH-1</x:v>
      </x:c>
      <x:c r="F18" s="9" t="str">
        <x:v>CT-C-B</x:v>
      </x:c>
      <x:c r="G18" s="9" t="str">
        <x:v>B2</x:v>
      </x:c>
      <x:c r="H18" s="9" t="str">
        <x:v>RCN</x:v>
      </x:c>
      <x:c r="I18" s="9" t="str">
        <x:v>PD12</x:v>
      </x:c>
      <x:c r="J18" s="17" t="str">
        <x:v>Observation acceptance and replay</x:v>
      </x:c>
      <x:c r="K18" s="17" t="str">
        <x:v>Observation court</x:v>
      </x:c>
      <x:c r="L18" s="17" t="str">
        <x:v>COURT-SEALED UNTIL COHORT RELEASE</x:v>
      </x:c>
      <x:c r="M18" s="9" t="n">
        <x:v>0</x:v>
      </x:c>
      <x:c r="N18" s="9" t="n">
        <x:v>0</x:v>
      </x:c>
      <x:c r="O18" s="9" t="n">
        <x:v>0</x:v>
      </x:c>
      <x:c r="P18" s="9" t="str">
        <x:v>HELD / UNRELEASED</x:v>
      </x:c>
      <x:c r="Q18" s="9" t="n">
        <x:f>COUNTIFS($A$7:$A$2310,A18)</x:f>
        <x:v>1</x:v>
      </x:c>
    </x:row>
    <x:row r="19">
      <x:c r="A19" s="9" t="str">
        <x:v>PD-AR-CT-C-B-TECH-1-B2-RCN-G0-PD13</x:v>
      </x:c>
      <x:c r="B19" s="9" t="str">
        <x:v>PD-AR-CT-C-B-TECH-1-B2-RCN-G0</x:v>
      </x:c>
      <x:c r="C19" s="9" t="str">
        <x:v>EV-AR-CT-C-B-TECH-1-B2-RCN-G0</x:v>
      </x:c>
      <x:c r="D19" s="9" t="str">
        <x:v>AR-CT-C-B-TECH-1-B2-RCN-G0</x:v>
      </x:c>
      <x:c r="E19" s="9" t="str">
        <x:v>CT-C-B-TECH-1</x:v>
      </x:c>
      <x:c r="F19" s="9" t="str">
        <x:v>CT-C-B</x:v>
      </x:c>
      <x:c r="G19" s="9" t="str">
        <x:v>B2</x:v>
      </x:c>
      <x:c r="H19" s="9" t="str">
        <x:v>RCN</x:v>
      </x:c>
      <x:c r="I19" s="9" t="str">
        <x:v>PD13</x:v>
      </x:c>
      <x:c r="J19" s="17" t="str">
        <x:v>Role judgment</x:v>
      </x:c>
      <x:c r="K19" s="17" t="str">
        <x:v>Role court</x:v>
      </x:c>
      <x:c r="L19" s="17" t="str">
        <x:v>COURT-SEALED UNTIL COHORT RELEASE</x:v>
      </x:c>
      <x:c r="M19" s="9" t="n">
        <x:v>0</x:v>
      </x:c>
      <x:c r="N19" s="9" t="n">
        <x:v>0</x:v>
      </x:c>
      <x:c r="O19" s="9" t="n">
        <x:v>0</x:v>
      </x:c>
      <x:c r="P19" s="9" t="str">
        <x:v>HELD / UNRELEASED</x:v>
      </x:c>
      <x:c r="Q19" s="9" t="n">
        <x:f>COUNTIFS($A$7:$A$2310,A19)</x:f>
        <x:v>1</x:v>
      </x:c>
    </x:row>
    <x:row r="20">
      <x:c r="A20" s="9" t="str">
        <x:v>PD-AR-CT-C-B-TECH-1-B2-RCN-G0-PD14</x:v>
      </x:c>
      <x:c r="B20" s="9" t="str">
        <x:v>PD-AR-CT-C-B-TECH-1-B2-RCN-G0</x:v>
      </x:c>
      <x:c r="C20" s="9" t="str">
        <x:v>EV-AR-CT-C-B-TECH-1-B2-RCN-G0</x:v>
      </x:c>
      <x:c r="D20" s="9" t="str">
        <x:v>AR-CT-C-B-TECH-1-B2-RCN-G0</x:v>
      </x:c>
      <x:c r="E20" s="9" t="str">
        <x:v>CT-C-B-TECH-1</x:v>
      </x:c>
      <x:c r="F20" s="9" t="str">
        <x:v>CT-C-B</x:v>
      </x:c>
      <x:c r="G20" s="9" t="str">
        <x:v>B2</x:v>
      </x:c>
      <x:c r="H20" s="9" t="str">
        <x:v>RCN</x:v>
      </x:c>
      <x:c r="I20" s="9" t="str">
        <x:v>PD14</x:v>
      </x:c>
      <x:c r="J20" s="17" t="str">
        <x:v>Break and residual account</x:v>
      </x:c>
      <x:c r="K20" s="17" t="str">
        <x:v>Residual authority</x:v>
      </x:c>
      <x:c r="L20" s="17" t="str">
        <x:v>COURT-SEALED UNTIL COHORT RELEASE</x:v>
      </x:c>
      <x:c r="M20" s="9" t="n">
        <x:v>0</x:v>
      </x:c>
      <x:c r="N20" s="9" t="n">
        <x:v>0</x:v>
      </x:c>
      <x:c r="O20" s="9" t="n">
        <x:v>0</x:v>
      </x:c>
      <x:c r="P20" s="9" t="str">
        <x:v>HELD / UNRELEASED</x:v>
      </x:c>
      <x:c r="Q20" s="9" t="n">
        <x:f>COUNTIFS($A$7:$A$2310,A20)</x:f>
        <x:v>1</x:v>
      </x:c>
    </x:row>
    <x:row r="21">
      <x:c r="A21" s="9" t="str">
        <x:v>PD-AR-CT-C-B-TECH-1-B2-RCN-G0-PD15</x:v>
      </x:c>
      <x:c r="B21" s="9" t="str">
        <x:v>PD-AR-CT-C-B-TECH-1-B2-RCN-G0</x:v>
      </x:c>
      <x:c r="C21" s="9" t="str">
        <x:v>EV-AR-CT-C-B-TECH-1-B2-RCN-G0</x:v>
      </x:c>
      <x:c r="D21" s="9" t="str">
        <x:v>AR-CT-C-B-TECH-1-B2-RCN-G0</x:v>
      </x:c>
      <x:c r="E21" s="9" t="str">
        <x:v>CT-C-B-TECH-1</x:v>
      </x:c>
      <x:c r="F21" s="9" t="str">
        <x:v>CT-C-B</x:v>
      </x:c>
      <x:c r="G21" s="9" t="str">
        <x:v>B2</x:v>
      </x:c>
      <x:c r="H21" s="9" t="str">
        <x:v>RCN</x:v>
      </x:c>
      <x:c r="I21" s="9" t="str">
        <x:v>PD15</x:v>
      </x:c>
      <x:c r="J21" s="17" t="str">
        <x:v>Reconstruction ancestry and replay</x:v>
      </x:c>
      <x:c r="K21" s="17" t="str">
        <x:v>Reconstruction court</x:v>
      </x:c>
      <x:c r="L21" s="17" t="str">
        <x:v>COURT-SEALED UNTIL COHORT RELEASE</x:v>
      </x:c>
      <x:c r="M21" s="9" t="n">
        <x:v>0</x:v>
      </x:c>
      <x:c r="N21" s="9" t="n">
        <x:v>0</x:v>
      </x:c>
      <x:c r="O21" s="9" t="n">
        <x:v>0</x:v>
      </x:c>
      <x:c r="P21" s="9" t="str">
        <x:v>HELD / UNRELEASED</x:v>
      </x:c>
      <x:c r="Q21" s="9" t="n">
        <x:f>COUNTIFS($A$7:$A$2310,A21)</x:f>
        <x:v>1</x:v>
      </x:c>
    </x:row>
    <x:row r="22">
      <x:c r="A22" s="9" t="str">
        <x:v>PD-AR-CT-C-B-TECH-1-B2-RCN-G0-PD16</x:v>
      </x:c>
      <x:c r="B22" s="9" t="str">
        <x:v>PD-AR-CT-C-B-TECH-1-B2-RCN-G0</x:v>
      </x:c>
      <x:c r="C22" s="9" t="str">
        <x:v>EV-AR-CT-C-B-TECH-1-B2-RCN-G0</x:v>
      </x:c>
      <x:c r="D22" s="9" t="str">
        <x:v>AR-CT-C-B-TECH-1-B2-RCN-G0</x:v>
      </x:c>
      <x:c r="E22" s="9" t="str">
        <x:v>CT-C-B-TECH-1</x:v>
      </x:c>
      <x:c r="F22" s="9" t="str">
        <x:v>CT-C-B</x:v>
      </x:c>
      <x:c r="G22" s="9" t="str">
        <x:v>B2</x:v>
      </x:c>
      <x:c r="H22" s="9" t="str">
        <x:v>RCN</x:v>
      </x:c>
      <x:c r="I22" s="9" t="str">
        <x:v>PD16</x:v>
      </x:c>
      <x:c r="J22" s="17" t="str">
        <x:v>Dissent, amendments and access log</x:v>
      </x:c>
      <x:c r="K22" s="17" t="str">
        <x:v>Public archive</x:v>
      </x:c>
      <x:c r="L22" s="17" t="str">
        <x:v>COURT-SEALED UNTIL COHORT RELEASE</x:v>
      </x:c>
      <x:c r="M22" s="9" t="n">
        <x:v>0</x:v>
      </x:c>
      <x:c r="N22" s="9" t="n">
        <x:v>0</x:v>
      </x:c>
      <x:c r="O22" s="9" t="n">
        <x:v>0</x:v>
      </x:c>
      <x:c r="P22" s="9" t="str">
        <x:v>HELD / UNRELEASED</x:v>
      </x:c>
      <x:c r="Q22" s="9" t="n">
        <x:f>COUNTIFS($A$7:$A$2310,A22)</x:f>
        <x:v>1</x:v>
      </x:c>
    </x:row>
    <x:row r="23">
      <x:c r="A23" s="9" t="str">
        <x:v>PD-AR-CT-C-B-TECH-3-B2-BRK-G0-PD01</x:v>
      </x:c>
      <x:c r="B23" s="9" t="str">
        <x:v>PD-AR-CT-C-B-TECH-3-B2-BRK-G0</x:v>
      </x:c>
      <x:c r="C23" s="9" t="str">
        <x:v>EV-AR-CT-C-B-TECH-3-B2-BRK-G0</x:v>
      </x:c>
      <x:c r="D23" s="9" t="str">
        <x:v>AR-CT-C-B-TECH-3-B2-BRK-G0</x:v>
      </x:c>
      <x:c r="E23" s="9" t="str">
        <x:v>CT-C-B-TECH-3</x:v>
      </x:c>
      <x:c r="F23" s="9" t="str">
        <x:v>CT-C-B</x:v>
      </x:c>
      <x:c r="G23" s="9" t="str">
        <x:v>B2</x:v>
      </x:c>
      <x:c r="H23" s="9" t="str">
        <x:v>BRK</x:v>
      </x:c>
      <x:c r="I23" s="9" t="str">
        <x:v>PD01</x:v>
      </x:c>
      <x:c r="J23" s="17" t="str">
        <x:v>Experiment kernel</x:v>
      </x:c>
      <x:c r="K23" s="17" t="str">
        <x:v>Public archive</x:v>
      </x:c>
      <x:c r="L23" s="17" t="str">
        <x:v>COURT-SEALED UNTIL COHORT RELEASE</x:v>
      </x:c>
      <x:c r="M23" s="9" t="n">
        <x:v>0</x:v>
      </x:c>
      <x:c r="N23" s="9" t="n">
        <x:v>0</x:v>
      </x:c>
      <x:c r="O23" s="9" t="n">
        <x:v>0</x:v>
      </x:c>
      <x:c r="P23" s="9" t="str">
        <x:v>HELD / UNRELEASED</x:v>
      </x:c>
      <x:c r="Q23" s="9" t="n">
        <x:f>COUNTIFS($A$7:$A$2310,A23)</x:f>
        <x:v>1</x:v>
      </x:c>
    </x:row>
    <x:row r="24">
      <x:c r="A24" s="9" t="str">
        <x:v>PD-AR-CT-C-B-TECH-3-B2-BRK-G0-PD02</x:v>
      </x:c>
      <x:c r="B24" s="9" t="str">
        <x:v>PD-AR-CT-C-B-TECH-3-B2-BRK-G0</x:v>
      </x:c>
      <x:c r="C24" s="9" t="str">
        <x:v>EV-AR-CT-C-B-TECH-3-B2-BRK-G0</x:v>
      </x:c>
      <x:c r="D24" s="9" t="str">
        <x:v>AR-CT-C-B-TECH-3-B2-BRK-G0</x:v>
      </x:c>
      <x:c r="E24" s="9" t="str">
        <x:v>CT-C-B-TECH-3</x:v>
      </x:c>
      <x:c r="F24" s="9" t="str">
        <x:v>CT-C-B</x:v>
      </x:c>
      <x:c r="G24" s="9" t="str">
        <x:v>B2</x:v>
      </x:c>
      <x:c r="H24" s="9" t="str">
        <x:v>BRK</x:v>
      </x:c>
      <x:c r="I24" s="9" t="str">
        <x:v>PD02</x:v>
      </x:c>
      <x:c r="J24" s="17" t="str">
        <x:v>Serial annex and title chain</x:v>
      </x:c>
      <x:c r="K24" s="17" t="str">
        <x:v>Public archive</x:v>
      </x:c>
      <x:c r="L24" s="17" t="str">
        <x:v>COURT-SEALED UNTIL COHORT RELEASE</x:v>
      </x:c>
      <x:c r="M24" s="9" t="n">
        <x:v>0</x:v>
      </x:c>
      <x:c r="N24" s="9" t="n">
        <x:v>0</x:v>
      </x:c>
      <x:c r="O24" s="9" t="n">
        <x:v>0</x:v>
      </x:c>
      <x:c r="P24" s="9" t="str">
        <x:v>HELD / UNRELEASED</x:v>
      </x:c>
      <x:c r="Q24" s="9" t="n">
        <x:f>COUNTIFS($A$7:$A$2310,A24)</x:f>
        <x:v>1</x:v>
      </x:c>
    </x:row>
    <x:row r="25">
      <x:c r="A25" s="9" t="str">
        <x:v>PD-AR-CT-C-B-TECH-3-B2-BRK-G0-PD03</x:v>
      </x:c>
      <x:c r="B25" s="9" t="str">
        <x:v>PD-AR-CT-C-B-TECH-3-B2-BRK-G0</x:v>
      </x:c>
      <x:c r="C25" s="9" t="str">
        <x:v>EV-AR-CT-C-B-TECH-3-B2-BRK-G0</x:v>
      </x:c>
      <x:c r="D25" s="9" t="str">
        <x:v>AR-CT-C-B-TECH-3-B2-BRK-G0</x:v>
      </x:c>
      <x:c r="E25" s="9" t="str">
        <x:v>CT-C-B-TECH-3</x:v>
      </x:c>
      <x:c r="F25" s="9" t="str">
        <x:v>CT-C-B</x:v>
      </x:c>
      <x:c r="G25" s="9" t="str">
        <x:v>B2</x:v>
      </x:c>
      <x:c r="H25" s="9" t="str">
        <x:v>BRK</x:v>
      </x:c>
      <x:c r="I25" s="9" t="str">
        <x:v>PD03</x:v>
      </x:c>
      <x:c r="J25" s="17" t="str">
        <x:v>Configuration and as-built manifest</x:v>
      </x:c>
      <x:c r="K25" s="17" t="str">
        <x:v>Artifact exchange</x:v>
      </x:c>
      <x:c r="L25" s="17" t="str">
        <x:v>COURT-SEALED UNTIL COHORT RELEASE</x:v>
      </x:c>
      <x:c r="M25" s="9" t="n">
        <x:v>0</x:v>
      </x:c>
      <x:c r="N25" s="9" t="n">
        <x:v>0</x:v>
      </x:c>
      <x:c r="O25" s="9" t="n">
        <x:v>0</x:v>
      </x:c>
      <x:c r="P25" s="9" t="str">
        <x:v>HELD / UNRELEASED</x:v>
      </x:c>
      <x:c r="Q25" s="9" t="n">
        <x:f>COUNTIFS($A$7:$A$2310,A25)</x:f>
        <x:v>1</x:v>
      </x:c>
    </x:row>
    <x:row r="26">
      <x:c r="A26" s="9" t="str">
        <x:v>PD-AR-CT-C-B-TECH-3-B2-BRK-G0-PD04</x:v>
      </x:c>
      <x:c r="B26" s="9" t="str">
        <x:v>PD-AR-CT-C-B-TECH-3-B2-BRK-G0</x:v>
      </x:c>
      <x:c r="C26" s="9" t="str">
        <x:v>EV-AR-CT-C-B-TECH-3-B2-BRK-G0</x:v>
      </x:c>
      <x:c r="D26" s="9" t="str">
        <x:v>AR-CT-C-B-TECH-3-B2-BRK-G0</x:v>
      </x:c>
      <x:c r="E26" s="9" t="str">
        <x:v>CT-C-B-TECH-3</x:v>
      </x:c>
      <x:c r="F26" s="9" t="str">
        <x:v>CT-C-B</x:v>
      </x:c>
      <x:c r="G26" s="9" t="str">
        <x:v>B2</x:v>
      </x:c>
      <x:c r="H26" s="9" t="str">
        <x:v>BRK</x:v>
      </x:c>
      <x:c r="I26" s="9" t="str">
        <x:v>PD04</x:v>
      </x:c>
      <x:c r="J26" s="17" t="str">
        <x:v>EOW and start certificate</x:v>
      </x:c>
      <x:c r="K26" s="17" t="str">
        <x:v>Start registrar</x:v>
      </x:c>
      <x:c r="L26" s="17" t="str">
        <x:v>COURT-SEALED UNTIL COHORT RELEASE</x:v>
      </x:c>
      <x:c r="M26" s="9" t="n">
        <x:v>0</x:v>
      </x:c>
      <x:c r="N26" s="9" t="n">
        <x:v>0</x:v>
      </x:c>
      <x:c r="O26" s="9" t="n">
        <x:v>0</x:v>
      </x:c>
      <x:c r="P26" s="9" t="str">
        <x:v>HELD / UNRELEASED</x:v>
      </x:c>
      <x:c r="Q26" s="9" t="n">
        <x:f>COUNTIFS($A$7:$A$2310,A26)</x:f>
        <x:v>1</x:v>
      </x:c>
    </x:row>
    <x:row r="27">
      <x:c r="A27" s="9" t="str">
        <x:v>PD-AR-CT-C-B-TECH-3-B2-BRK-G0-PD05</x:v>
      </x:c>
      <x:c r="B27" s="9" t="str">
        <x:v>PD-AR-CT-C-B-TECH-3-B2-BRK-G0</x:v>
      </x:c>
      <x:c r="C27" s="9" t="str">
        <x:v>EV-AR-CT-C-B-TECH-3-B2-BRK-G0</x:v>
      </x:c>
      <x:c r="D27" s="9" t="str">
        <x:v>AR-CT-C-B-TECH-3-B2-BRK-G0</x:v>
      </x:c>
      <x:c r="E27" s="9" t="str">
        <x:v>CT-C-B-TECH-3</x:v>
      </x:c>
      <x:c r="F27" s="9" t="str">
        <x:v>CT-C-B</x:v>
      </x:c>
      <x:c r="G27" s="9" t="str">
        <x:v>B2</x:v>
      </x:c>
      <x:c r="H27" s="9" t="str">
        <x:v>BRK</x:v>
      </x:c>
      <x:c r="I27" s="9" t="str">
        <x:v>PD05</x:v>
      </x:c>
      <x:c r="J27" s="17" t="str">
        <x:v>Primary raw originals</x:v>
      </x:c>
      <x:c r="K27" s="17" t="str">
        <x:v>Primary custody</x:v>
      </x:c>
      <x:c r="L27" s="17" t="str">
        <x:v>COURT-SEALED UNTIL COHORT RELEASE</x:v>
      </x:c>
      <x:c r="M27" s="9" t="n">
        <x:v>0</x:v>
      </x:c>
      <x:c r="N27" s="9" t="n">
        <x:v>0</x:v>
      </x:c>
      <x:c r="O27" s="9" t="n">
        <x:v>0</x:v>
      </x:c>
      <x:c r="P27" s="9" t="str">
        <x:v>HELD / UNRELEASED</x:v>
      </x:c>
      <x:c r="Q27" s="9" t="n">
        <x:f>COUNTIFS($A$7:$A$2310,A27)</x:f>
        <x:v>1</x:v>
      </x:c>
    </x:row>
    <x:row r="28">
      <x:c r="A28" s="9" t="str">
        <x:v>PD-AR-CT-C-B-TECH-3-B2-BRK-G0-PD06</x:v>
      </x:c>
      <x:c r="B28" s="9" t="str">
        <x:v>PD-AR-CT-C-B-TECH-3-B2-BRK-G0</x:v>
      </x:c>
      <x:c r="C28" s="9" t="str">
        <x:v>EV-AR-CT-C-B-TECH-3-B2-BRK-G0</x:v>
      </x:c>
      <x:c r="D28" s="9" t="str">
        <x:v>AR-CT-C-B-TECH-3-B2-BRK-G0</x:v>
      </x:c>
      <x:c r="E28" s="9" t="str">
        <x:v>CT-C-B-TECH-3</x:v>
      </x:c>
      <x:c r="F28" s="9" t="str">
        <x:v>CT-C-B</x:v>
      </x:c>
      <x:c r="G28" s="9" t="str">
        <x:v>B2</x:v>
      </x:c>
      <x:c r="H28" s="9" t="str">
        <x:v>BRK</x:v>
      </x:c>
      <x:c r="I28" s="9" t="str">
        <x:v>PD06</x:v>
      </x:c>
      <x:c r="J28" s="17" t="str">
        <x:v>Witness raw originals</x:v>
      </x:c>
      <x:c r="K28" s="17" t="str">
        <x:v>Witness custody</x:v>
      </x:c>
      <x:c r="L28" s="17" t="str">
        <x:v>COURT-SEALED UNTIL COHORT RELEASE</x:v>
      </x:c>
      <x:c r="M28" s="9" t="n">
        <x:v>0</x:v>
      </x:c>
      <x:c r="N28" s="9" t="n">
        <x:v>0</x:v>
      </x:c>
      <x:c r="O28" s="9" t="n">
        <x:v>0</x:v>
      </x:c>
      <x:c r="P28" s="9" t="str">
        <x:v>HELD / UNRELEASED</x:v>
      </x:c>
      <x:c r="Q28" s="9" t="n">
        <x:f>COUNTIFS($A$7:$A$2310,A28)</x:f>
        <x:v>1</x:v>
      </x:c>
    </x:row>
    <x:row r="29">
      <x:c r="A29" s="9" t="str">
        <x:v>PD-AR-CT-C-B-TECH-3-B2-BRK-G0-PD07</x:v>
      </x:c>
      <x:c r="B29" s="9" t="str">
        <x:v>PD-AR-CT-C-B-TECH-3-B2-BRK-G0</x:v>
      </x:c>
      <x:c r="C29" s="9" t="str">
        <x:v>EV-AR-CT-C-B-TECH-3-B2-BRK-G0</x:v>
      </x:c>
      <x:c r="D29" s="9" t="str">
        <x:v>AR-CT-C-B-TECH-3-B2-BRK-G0</x:v>
      </x:c>
      <x:c r="E29" s="9" t="str">
        <x:v>CT-C-B-TECH-3</x:v>
      </x:c>
      <x:c r="F29" s="9" t="str">
        <x:v>CT-C-B</x:v>
      </x:c>
      <x:c r="G29" s="9" t="str">
        <x:v>B2</x:v>
      </x:c>
      <x:c r="H29" s="9" t="str">
        <x:v>BRK</x:v>
      </x:c>
      <x:c r="I29" s="9" t="str">
        <x:v>PD07</x:v>
      </x:c>
      <x:c r="J29" s="17" t="str">
        <x:v>Clock and environmental records</x:v>
      </x:c>
      <x:c r="K29" s="17" t="str">
        <x:v>Boundary archive</x:v>
      </x:c>
      <x:c r="L29" s="17" t="str">
        <x:v>COURT-SEALED UNTIL COHORT RELEASE</x:v>
      </x:c>
      <x:c r="M29" s="9" t="n">
        <x:v>0</x:v>
      </x:c>
      <x:c r="N29" s="9" t="n">
        <x:v>0</x:v>
      </x:c>
      <x:c r="O29" s="9" t="n">
        <x:v>0</x:v>
      </x:c>
      <x:c r="P29" s="9" t="str">
        <x:v>HELD / UNRELEASED</x:v>
      </x:c>
      <x:c r="Q29" s="9" t="n">
        <x:f>COUNTIFS($A$7:$A$2310,A29)</x:f>
        <x:v>1</x:v>
      </x:c>
    </x:row>
    <x:row r="30">
      <x:c r="A30" s="9" t="str">
        <x:v>PD-AR-CT-C-B-TECH-3-B2-BRK-G0-PD08</x:v>
      </x:c>
      <x:c r="B30" s="9" t="str">
        <x:v>PD-AR-CT-C-B-TECH-3-B2-BRK-G0</x:v>
      </x:c>
      <x:c r="C30" s="9" t="str">
        <x:v>EV-AR-CT-C-B-TECH-3-B2-BRK-G0</x:v>
      </x:c>
      <x:c r="D30" s="9" t="str">
        <x:v>AR-CT-C-B-TECH-3-B2-BRK-G0</x:v>
      </x:c>
      <x:c r="E30" s="9" t="str">
        <x:v>CT-C-B-TECH-3</x:v>
      </x:c>
      <x:c r="F30" s="9" t="str">
        <x:v>CT-C-B</x:v>
      </x:c>
      <x:c r="G30" s="9" t="str">
        <x:v>B2</x:v>
      </x:c>
      <x:c r="H30" s="9" t="str">
        <x:v>BRK</x:v>
      </x:c>
      <x:c r="I30" s="9" t="str">
        <x:v>PD08</x:v>
      </x:c>
      <x:c r="J30" s="17" t="str">
        <x:v>Command and intervention log</x:v>
      </x:c>
      <x:c r="K30" s="17" t="str">
        <x:v>Safety archive</x:v>
      </x:c>
      <x:c r="L30" s="17" t="str">
        <x:v>COURT-SEALED UNTIL COHORT RELEASE</x:v>
      </x:c>
      <x:c r="M30" s="9" t="n">
        <x:v>0</x:v>
      </x:c>
      <x:c r="N30" s="9" t="n">
        <x:v>0</x:v>
      </x:c>
      <x:c r="O30" s="9" t="n">
        <x:v>0</x:v>
      </x:c>
      <x:c r="P30" s="9" t="str">
        <x:v>HELD / UNRELEASED</x:v>
      </x:c>
      <x:c r="Q30" s="9" t="n">
        <x:f>COUNTIFS($A$7:$A$2310,A30)</x:f>
        <x:v>1</x:v>
      </x:c>
    </x:row>
    <x:row r="31">
      <x:c r="A31" s="9" t="str">
        <x:v>PD-AR-CT-C-B-TECH-3-B2-BRK-G0-PD09</x:v>
      </x:c>
      <x:c r="B31" s="9" t="str">
        <x:v>PD-AR-CT-C-B-TECH-3-B2-BRK-G0</x:v>
      </x:c>
      <x:c r="C31" s="9" t="str">
        <x:v>EV-AR-CT-C-B-TECH-3-B2-BRK-G0</x:v>
      </x:c>
      <x:c r="D31" s="9" t="str">
        <x:v>AR-CT-C-B-TECH-3-B2-BRK-G0</x:v>
      </x:c>
      <x:c r="E31" s="9" t="str">
        <x:v>CT-C-B-TECH-3</x:v>
      </x:c>
      <x:c r="F31" s="9" t="str">
        <x:v>CT-C-B</x:v>
      </x:c>
      <x:c r="G31" s="9" t="str">
        <x:v>B2</x:v>
      </x:c>
      <x:c r="H31" s="9" t="str">
        <x:v>BRK</x:v>
      </x:c>
      <x:c r="I31" s="9" t="str">
        <x:v>PD09</x:v>
      </x:c>
      <x:c r="J31" s="17" t="str">
        <x:v>Receiver denominator and service ledger</x:v>
      </x:c>
      <x:c r="K31" s="17" t="str">
        <x:v>Receiver archive</x:v>
      </x:c>
      <x:c r="L31" s="17" t="str">
        <x:v>COURT-SEALED UNTIL COHORT RELEASE</x:v>
      </x:c>
      <x:c r="M31" s="9" t="n">
        <x:v>0</x:v>
      </x:c>
      <x:c r="N31" s="9" t="n">
        <x:v>0</x:v>
      </x:c>
      <x:c r="O31" s="9" t="n">
        <x:v>0</x:v>
      </x:c>
      <x:c r="P31" s="9" t="str">
        <x:v>HELD / UNRELEASED</x:v>
      </x:c>
      <x:c r="Q31" s="9" t="n">
        <x:f>COUNTIFS($A$7:$A$2310,A31)</x:f>
        <x:v>1</x:v>
      </x:c>
    </x:row>
    <x:row r="32">
      <x:c r="A32" s="9" t="str">
        <x:v>PD-AR-CT-C-B-TECH-3-B2-BRK-G0-PD10</x:v>
      </x:c>
      <x:c r="B32" s="9" t="str">
        <x:v>PD-AR-CT-C-B-TECH-3-B2-BRK-G0</x:v>
      </x:c>
      <x:c r="C32" s="9" t="str">
        <x:v>EV-AR-CT-C-B-TECH-3-B2-BRK-G0</x:v>
      </x:c>
      <x:c r="D32" s="9" t="str">
        <x:v>AR-CT-C-B-TECH-3-B2-BRK-G0</x:v>
      </x:c>
      <x:c r="E32" s="9" t="str">
        <x:v>CT-C-B-TECH-3</x:v>
      </x:c>
      <x:c r="F32" s="9" t="str">
        <x:v>CT-C-B</x:v>
      </x:c>
      <x:c r="G32" s="9" t="str">
        <x:v>B2</x:v>
      </x:c>
      <x:c r="H32" s="9" t="str">
        <x:v>BRK</x:v>
      </x:c>
      <x:c r="I32" s="9" t="str">
        <x:v>PD10</x:v>
      </x:c>
      <x:c r="J32" s="17" t="str">
        <x:v>Calibration and uncertainty record</x:v>
      </x:c>
      <x:c r="K32" s="17" t="str">
        <x:v>Metrology archive</x:v>
      </x:c>
      <x:c r="L32" s="17" t="str">
        <x:v>COURT-SEALED UNTIL COHORT RELEASE</x:v>
      </x:c>
      <x:c r="M32" s="9" t="n">
        <x:v>0</x:v>
      </x:c>
      <x:c r="N32" s="9" t="n">
        <x:v>0</x:v>
      </x:c>
      <x:c r="O32" s="9" t="n">
        <x:v>0</x:v>
      </x:c>
      <x:c r="P32" s="9" t="str">
        <x:v>HELD / UNRELEASED</x:v>
      </x:c>
      <x:c r="Q32" s="9" t="n">
        <x:f>COUNTIFS($A$7:$A$2310,A32)</x:f>
        <x:v>1</x:v>
      </x:c>
    </x:row>
    <x:row r="33">
      <x:c r="A33" s="9" t="str">
        <x:v>PD-AR-CT-C-B-TECH-3-B2-BRK-G0-PD11</x:v>
      </x:c>
      <x:c r="B33" s="9" t="str">
        <x:v>PD-AR-CT-C-B-TECH-3-B2-BRK-G0</x:v>
      </x:c>
      <x:c r="C33" s="9" t="str">
        <x:v>EV-AR-CT-C-B-TECH-3-B2-BRK-G0</x:v>
      </x:c>
      <x:c r="D33" s="9" t="str">
        <x:v>AR-CT-C-B-TECH-3-B2-BRK-G0</x:v>
      </x:c>
      <x:c r="E33" s="9" t="str">
        <x:v>CT-C-B-TECH-3</x:v>
      </x:c>
      <x:c r="F33" s="9" t="str">
        <x:v>CT-C-B</x:v>
      </x:c>
      <x:c r="G33" s="9" t="str">
        <x:v>B2</x:v>
      </x:c>
      <x:c r="H33" s="9" t="str">
        <x:v>BRK</x:v>
      </x:c>
      <x:c r="I33" s="9" t="str">
        <x:v>PD11</x:v>
      </x:c>
      <x:c r="J33" s="17" t="str">
        <x:v>Invalidity petition and opinion</x:v>
      </x:c>
      <x:c r="K33" s="17" t="str">
        <x:v>Invalidity court</x:v>
      </x:c>
      <x:c r="L33" s="17" t="str">
        <x:v>COURT-SEALED UNTIL COHORT RELEASE</x:v>
      </x:c>
      <x:c r="M33" s="9" t="n">
        <x:v>0</x:v>
      </x:c>
      <x:c r="N33" s="9" t="n">
        <x:v>0</x:v>
      </x:c>
      <x:c r="O33" s="9" t="n">
        <x:v>0</x:v>
      </x:c>
      <x:c r="P33" s="9" t="str">
        <x:v>HELD / UNRELEASED</x:v>
      </x:c>
      <x:c r="Q33" s="9" t="n">
        <x:f>COUNTIFS($A$7:$A$2310,A33)</x:f>
        <x:v>1</x:v>
      </x:c>
    </x:row>
    <x:row r="34">
      <x:c r="A34" s="9" t="str">
        <x:v>PD-AR-CT-C-B-TECH-3-B2-BRK-G0-PD12</x:v>
      </x:c>
      <x:c r="B34" s="9" t="str">
        <x:v>PD-AR-CT-C-B-TECH-3-B2-BRK-G0</x:v>
      </x:c>
      <x:c r="C34" s="9" t="str">
        <x:v>EV-AR-CT-C-B-TECH-3-B2-BRK-G0</x:v>
      </x:c>
      <x:c r="D34" s="9" t="str">
        <x:v>AR-CT-C-B-TECH-3-B2-BRK-G0</x:v>
      </x:c>
      <x:c r="E34" s="9" t="str">
        <x:v>CT-C-B-TECH-3</x:v>
      </x:c>
      <x:c r="F34" s="9" t="str">
        <x:v>CT-C-B</x:v>
      </x:c>
      <x:c r="G34" s="9" t="str">
        <x:v>B2</x:v>
      </x:c>
      <x:c r="H34" s="9" t="str">
        <x:v>BRK</x:v>
      </x:c>
      <x:c r="I34" s="9" t="str">
        <x:v>PD12</x:v>
      </x:c>
      <x:c r="J34" s="17" t="str">
        <x:v>Observation acceptance and replay</x:v>
      </x:c>
      <x:c r="K34" s="17" t="str">
        <x:v>Observation court</x:v>
      </x:c>
      <x:c r="L34" s="17" t="str">
        <x:v>COURT-SEALED UNTIL COHORT RELEASE</x:v>
      </x:c>
      <x:c r="M34" s="9" t="n">
        <x:v>0</x:v>
      </x:c>
      <x:c r="N34" s="9" t="n">
        <x:v>0</x:v>
      </x:c>
      <x:c r="O34" s="9" t="n">
        <x:v>0</x:v>
      </x:c>
      <x:c r="P34" s="9" t="str">
        <x:v>HELD / UNRELEASED</x:v>
      </x:c>
      <x:c r="Q34" s="9" t="n">
        <x:f>COUNTIFS($A$7:$A$2310,A34)</x:f>
        <x:v>1</x:v>
      </x:c>
    </x:row>
    <x:row r="35">
      <x:c r="A35" s="9" t="str">
        <x:v>PD-AR-CT-C-B-TECH-3-B2-BRK-G0-PD13</x:v>
      </x:c>
      <x:c r="B35" s="9" t="str">
        <x:v>PD-AR-CT-C-B-TECH-3-B2-BRK-G0</x:v>
      </x:c>
      <x:c r="C35" s="9" t="str">
        <x:v>EV-AR-CT-C-B-TECH-3-B2-BRK-G0</x:v>
      </x:c>
      <x:c r="D35" s="9" t="str">
        <x:v>AR-CT-C-B-TECH-3-B2-BRK-G0</x:v>
      </x:c>
      <x:c r="E35" s="9" t="str">
        <x:v>CT-C-B-TECH-3</x:v>
      </x:c>
      <x:c r="F35" s="9" t="str">
        <x:v>CT-C-B</x:v>
      </x:c>
      <x:c r="G35" s="9" t="str">
        <x:v>B2</x:v>
      </x:c>
      <x:c r="H35" s="9" t="str">
        <x:v>BRK</x:v>
      </x:c>
      <x:c r="I35" s="9" t="str">
        <x:v>PD13</x:v>
      </x:c>
      <x:c r="J35" s="17" t="str">
        <x:v>Role judgment</x:v>
      </x:c>
      <x:c r="K35" s="17" t="str">
        <x:v>Role court</x:v>
      </x:c>
      <x:c r="L35" s="17" t="str">
        <x:v>COURT-SEALED UNTIL COHORT RELEASE</x:v>
      </x:c>
      <x:c r="M35" s="9" t="n">
        <x:v>0</x:v>
      </x:c>
      <x:c r="N35" s="9" t="n">
        <x:v>0</x:v>
      </x:c>
      <x:c r="O35" s="9" t="n">
        <x:v>0</x:v>
      </x:c>
      <x:c r="P35" s="9" t="str">
        <x:v>HELD / UNRELEASED</x:v>
      </x:c>
      <x:c r="Q35" s="9" t="n">
        <x:f>COUNTIFS($A$7:$A$2310,A35)</x:f>
        <x:v>1</x:v>
      </x:c>
    </x:row>
    <x:row r="36">
      <x:c r="A36" s="9" t="str">
        <x:v>PD-AR-CT-C-B-TECH-3-B2-BRK-G0-PD14</x:v>
      </x:c>
      <x:c r="B36" s="9" t="str">
        <x:v>PD-AR-CT-C-B-TECH-3-B2-BRK-G0</x:v>
      </x:c>
      <x:c r="C36" s="9" t="str">
        <x:v>EV-AR-CT-C-B-TECH-3-B2-BRK-G0</x:v>
      </x:c>
      <x:c r="D36" s="9" t="str">
        <x:v>AR-CT-C-B-TECH-3-B2-BRK-G0</x:v>
      </x:c>
      <x:c r="E36" s="9" t="str">
        <x:v>CT-C-B-TECH-3</x:v>
      </x:c>
      <x:c r="F36" s="9" t="str">
        <x:v>CT-C-B</x:v>
      </x:c>
      <x:c r="G36" s="9" t="str">
        <x:v>B2</x:v>
      </x:c>
      <x:c r="H36" s="9" t="str">
        <x:v>BRK</x:v>
      </x:c>
      <x:c r="I36" s="9" t="str">
        <x:v>PD14</x:v>
      </x:c>
      <x:c r="J36" s="17" t="str">
        <x:v>Break and residual account</x:v>
      </x:c>
      <x:c r="K36" s="17" t="str">
        <x:v>Residual authority</x:v>
      </x:c>
      <x:c r="L36" s="17" t="str">
        <x:v>COURT-SEALED UNTIL COHORT RELEASE</x:v>
      </x:c>
      <x:c r="M36" s="9" t="n">
        <x:v>0</x:v>
      </x:c>
      <x:c r="N36" s="9" t="n">
        <x:v>0</x:v>
      </x:c>
      <x:c r="O36" s="9" t="n">
        <x:v>0</x:v>
      </x:c>
      <x:c r="P36" s="9" t="str">
        <x:v>HELD / UNRELEASED</x:v>
      </x:c>
      <x:c r="Q36" s="9" t="n">
        <x:f>COUNTIFS($A$7:$A$2310,A36)</x:f>
        <x:v>1</x:v>
      </x:c>
    </x:row>
    <x:row r="37">
      <x:c r="A37" s="9" t="str">
        <x:v>PD-AR-CT-C-B-TECH-3-B2-BRK-G0-PD15</x:v>
      </x:c>
      <x:c r="B37" s="9" t="str">
        <x:v>PD-AR-CT-C-B-TECH-3-B2-BRK-G0</x:v>
      </x:c>
      <x:c r="C37" s="9" t="str">
        <x:v>EV-AR-CT-C-B-TECH-3-B2-BRK-G0</x:v>
      </x:c>
      <x:c r="D37" s="9" t="str">
        <x:v>AR-CT-C-B-TECH-3-B2-BRK-G0</x:v>
      </x:c>
      <x:c r="E37" s="9" t="str">
        <x:v>CT-C-B-TECH-3</x:v>
      </x:c>
      <x:c r="F37" s="9" t="str">
        <x:v>CT-C-B</x:v>
      </x:c>
      <x:c r="G37" s="9" t="str">
        <x:v>B2</x:v>
      </x:c>
      <x:c r="H37" s="9" t="str">
        <x:v>BRK</x:v>
      </x:c>
      <x:c r="I37" s="9" t="str">
        <x:v>PD15</x:v>
      </x:c>
      <x:c r="J37" s="17" t="str">
        <x:v>Reconstruction ancestry and replay</x:v>
      </x:c>
      <x:c r="K37" s="17" t="str">
        <x:v>Reconstruction court</x:v>
      </x:c>
      <x:c r="L37" s="17" t="str">
        <x:v>COURT-SEALED UNTIL COHORT RELEASE</x:v>
      </x:c>
      <x:c r="M37" s="9" t="n">
        <x:v>0</x:v>
      </x:c>
      <x:c r="N37" s="9" t="n">
        <x:v>0</x:v>
      </x:c>
      <x:c r="O37" s="9" t="n">
        <x:v>0</x:v>
      </x:c>
      <x:c r="P37" s="9" t="str">
        <x:v>HELD / UNRELEASED</x:v>
      </x:c>
      <x:c r="Q37" s="9" t="n">
        <x:f>COUNTIFS($A$7:$A$2310,A37)</x:f>
        <x:v>1</x:v>
      </x:c>
    </x:row>
    <x:row r="38">
      <x:c r="A38" s="9" t="str">
        <x:v>PD-AR-CT-C-B-TECH-3-B2-BRK-G0-PD16</x:v>
      </x:c>
      <x:c r="B38" s="9" t="str">
        <x:v>PD-AR-CT-C-B-TECH-3-B2-BRK-G0</x:v>
      </x:c>
      <x:c r="C38" s="9" t="str">
        <x:v>EV-AR-CT-C-B-TECH-3-B2-BRK-G0</x:v>
      </x:c>
      <x:c r="D38" s="9" t="str">
        <x:v>AR-CT-C-B-TECH-3-B2-BRK-G0</x:v>
      </x:c>
      <x:c r="E38" s="9" t="str">
        <x:v>CT-C-B-TECH-3</x:v>
      </x:c>
      <x:c r="F38" s="9" t="str">
        <x:v>CT-C-B</x:v>
      </x:c>
      <x:c r="G38" s="9" t="str">
        <x:v>B2</x:v>
      </x:c>
      <x:c r="H38" s="9" t="str">
        <x:v>BRK</x:v>
      </x:c>
      <x:c r="I38" s="9" t="str">
        <x:v>PD16</x:v>
      </x:c>
      <x:c r="J38" s="17" t="str">
        <x:v>Dissent, amendments and access log</x:v>
      </x:c>
      <x:c r="K38" s="17" t="str">
        <x:v>Public archive</x:v>
      </x:c>
      <x:c r="L38" s="17" t="str">
        <x:v>COURT-SEALED UNTIL COHORT RELEASE</x:v>
      </x:c>
      <x:c r="M38" s="9" t="n">
        <x:v>0</x:v>
      </x:c>
      <x:c r="N38" s="9" t="n">
        <x:v>0</x:v>
      </x:c>
      <x:c r="O38" s="9" t="n">
        <x:v>0</x:v>
      </x:c>
      <x:c r="P38" s="9" t="str">
        <x:v>HELD / UNRELEASED</x:v>
      </x:c>
      <x:c r="Q38" s="9" t="n">
        <x:f>COUNTIFS($A$7:$A$2310,A38)</x:f>
        <x:v>1</x:v>
      </x:c>
    </x:row>
    <x:row r="39">
      <x:c r="A39" s="9" t="str">
        <x:v>PD-AR-HC-A-C-TECH-1-B1-RCN-G0-PD01</x:v>
      </x:c>
      <x:c r="B39" s="9" t="str">
        <x:v>PD-AR-HC-A-C-TECH-1-B1-RCN-G0</x:v>
      </x:c>
      <x:c r="C39" s="9" t="str">
        <x:v>EV-AR-HC-A-C-TECH-1-B1-RCN-G0</x:v>
      </x:c>
      <x:c r="D39" s="9" t="str">
        <x:v>AR-HC-A-C-TECH-1-B1-RCN-G0</x:v>
      </x:c>
      <x:c r="E39" s="9" t="str">
        <x:v>HC-A-C-TECH-1</x:v>
      </x:c>
      <x:c r="F39" s="9" t="str">
        <x:v>HC-A-C</x:v>
      </x:c>
      <x:c r="G39" s="9" t="str">
        <x:v>B1</x:v>
      </x:c>
      <x:c r="H39" s="9" t="str">
        <x:v>RCN</x:v>
      </x:c>
      <x:c r="I39" s="9" t="str">
        <x:v>PD01</x:v>
      </x:c>
      <x:c r="J39" s="17" t="str">
        <x:v>Experiment kernel</x:v>
      </x:c>
      <x:c r="K39" s="17" t="str">
        <x:v>Public archive</x:v>
      </x:c>
      <x:c r="L39" s="17" t="str">
        <x:v>COURT-SEALED UNTIL COHORT RELEASE</x:v>
      </x:c>
      <x:c r="M39" s="9" t="n">
        <x:v>0</x:v>
      </x:c>
      <x:c r="N39" s="9" t="n">
        <x:v>0</x:v>
      </x:c>
      <x:c r="O39" s="9" t="n">
        <x:v>0</x:v>
      </x:c>
      <x:c r="P39" s="9" t="str">
        <x:v>HELD / UNRELEASED</x:v>
      </x:c>
      <x:c r="Q39" s="9" t="n">
        <x:f>COUNTIFS($A$7:$A$2310,A39)</x:f>
        <x:v>1</x:v>
      </x:c>
    </x:row>
    <x:row r="40">
      <x:c r="A40" s="9" t="str">
        <x:v>PD-AR-HC-A-C-TECH-1-B1-RCN-G0-PD02</x:v>
      </x:c>
      <x:c r="B40" s="9" t="str">
        <x:v>PD-AR-HC-A-C-TECH-1-B1-RCN-G0</x:v>
      </x:c>
      <x:c r="C40" s="9" t="str">
        <x:v>EV-AR-HC-A-C-TECH-1-B1-RCN-G0</x:v>
      </x:c>
      <x:c r="D40" s="9" t="str">
        <x:v>AR-HC-A-C-TECH-1-B1-RCN-G0</x:v>
      </x:c>
      <x:c r="E40" s="9" t="str">
        <x:v>HC-A-C-TECH-1</x:v>
      </x:c>
      <x:c r="F40" s="9" t="str">
        <x:v>HC-A-C</x:v>
      </x:c>
      <x:c r="G40" s="9" t="str">
        <x:v>B1</x:v>
      </x:c>
      <x:c r="H40" s="9" t="str">
        <x:v>RCN</x:v>
      </x:c>
      <x:c r="I40" s="9" t="str">
        <x:v>PD02</x:v>
      </x:c>
      <x:c r="J40" s="17" t="str">
        <x:v>Serial annex and title chain</x:v>
      </x:c>
      <x:c r="K40" s="17" t="str">
        <x:v>Public archive</x:v>
      </x:c>
      <x:c r="L40" s="17" t="str">
        <x:v>COURT-SEALED UNTIL COHORT RELEASE</x:v>
      </x:c>
      <x:c r="M40" s="9" t="n">
        <x:v>0</x:v>
      </x:c>
      <x:c r="N40" s="9" t="n">
        <x:v>0</x:v>
      </x:c>
      <x:c r="O40" s="9" t="n">
        <x:v>0</x:v>
      </x:c>
      <x:c r="P40" s="9" t="str">
        <x:v>HELD / UNRELEASED</x:v>
      </x:c>
      <x:c r="Q40" s="9" t="n">
        <x:f>COUNTIFS($A$7:$A$2310,A40)</x:f>
        <x:v>1</x:v>
      </x:c>
    </x:row>
    <x:row r="41">
      <x:c r="A41" s="9" t="str">
        <x:v>PD-AR-HC-A-C-TECH-1-B1-RCN-G0-PD03</x:v>
      </x:c>
      <x:c r="B41" s="9" t="str">
        <x:v>PD-AR-HC-A-C-TECH-1-B1-RCN-G0</x:v>
      </x:c>
      <x:c r="C41" s="9" t="str">
        <x:v>EV-AR-HC-A-C-TECH-1-B1-RCN-G0</x:v>
      </x:c>
      <x:c r="D41" s="9" t="str">
        <x:v>AR-HC-A-C-TECH-1-B1-RCN-G0</x:v>
      </x:c>
      <x:c r="E41" s="9" t="str">
        <x:v>HC-A-C-TECH-1</x:v>
      </x:c>
      <x:c r="F41" s="9" t="str">
        <x:v>HC-A-C</x:v>
      </x:c>
      <x:c r="G41" s="9" t="str">
        <x:v>B1</x:v>
      </x:c>
      <x:c r="H41" s="9" t="str">
        <x:v>RCN</x:v>
      </x:c>
      <x:c r="I41" s="9" t="str">
        <x:v>PD03</x:v>
      </x:c>
      <x:c r="J41" s="17" t="str">
        <x:v>Configuration and as-built manifest</x:v>
      </x:c>
      <x:c r="K41" s="17" t="str">
        <x:v>Artifact exchange</x:v>
      </x:c>
      <x:c r="L41" s="17" t="str">
        <x:v>COURT-SEALED UNTIL COHORT RELEASE</x:v>
      </x:c>
      <x:c r="M41" s="9" t="n">
        <x:v>0</x:v>
      </x:c>
      <x:c r="N41" s="9" t="n">
        <x:v>0</x:v>
      </x:c>
      <x:c r="O41" s="9" t="n">
        <x:v>0</x:v>
      </x:c>
      <x:c r="P41" s="9" t="str">
        <x:v>HELD / UNRELEASED</x:v>
      </x:c>
      <x:c r="Q41" s="9" t="n">
        <x:f>COUNTIFS($A$7:$A$2310,A41)</x:f>
        <x:v>1</x:v>
      </x:c>
    </x:row>
    <x:row r="42">
      <x:c r="A42" s="9" t="str">
        <x:v>PD-AR-HC-A-C-TECH-1-B1-RCN-G0-PD04</x:v>
      </x:c>
      <x:c r="B42" s="9" t="str">
        <x:v>PD-AR-HC-A-C-TECH-1-B1-RCN-G0</x:v>
      </x:c>
      <x:c r="C42" s="9" t="str">
        <x:v>EV-AR-HC-A-C-TECH-1-B1-RCN-G0</x:v>
      </x:c>
      <x:c r="D42" s="9" t="str">
        <x:v>AR-HC-A-C-TECH-1-B1-RCN-G0</x:v>
      </x:c>
      <x:c r="E42" s="9" t="str">
        <x:v>HC-A-C-TECH-1</x:v>
      </x:c>
      <x:c r="F42" s="9" t="str">
        <x:v>HC-A-C</x:v>
      </x:c>
      <x:c r="G42" s="9" t="str">
        <x:v>B1</x:v>
      </x:c>
      <x:c r="H42" s="9" t="str">
        <x:v>RCN</x:v>
      </x:c>
      <x:c r="I42" s="9" t="str">
        <x:v>PD04</x:v>
      </x:c>
      <x:c r="J42" s="17" t="str">
        <x:v>EOW and start certificate</x:v>
      </x:c>
      <x:c r="K42" s="17" t="str">
        <x:v>Start registrar</x:v>
      </x:c>
      <x:c r="L42" s="17" t="str">
        <x:v>COURT-SEALED UNTIL COHORT RELEASE</x:v>
      </x:c>
      <x:c r="M42" s="9" t="n">
        <x:v>0</x:v>
      </x:c>
      <x:c r="N42" s="9" t="n">
        <x:v>0</x:v>
      </x:c>
      <x:c r="O42" s="9" t="n">
        <x:v>0</x:v>
      </x:c>
      <x:c r="P42" s="9" t="str">
        <x:v>HELD / UNRELEASED</x:v>
      </x:c>
      <x:c r="Q42" s="9" t="n">
        <x:f>COUNTIFS($A$7:$A$2310,A42)</x:f>
        <x:v>1</x:v>
      </x:c>
    </x:row>
    <x:row r="43">
      <x:c r="A43" s="9" t="str">
        <x:v>PD-AR-HC-A-C-TECH-1-B1-RCN-G0-PD05</x:v>
      </x:c>
      <x:c r="B43" s="9" t="str">
        <x:v>PD-AR-HC-A-C-TECH-1-B1-RCN-G0</x:v>
      </x:c>
      <x:c r="C43" s="9" t="str">
        <x:v>EV-AR-HC-A-C-TECH-1-B1-RCN-G0</x:v>
      </x:c>
      <x:c r="D43" s="9" t="str">
        <x:v>AR-HC-A-C-TECH-1-B1-RCN-G0</x:v>
      </x:c>
      <x:c r="E43" s="9" t="str">
        <x:v>HC-A-C-TECH-1</x:v>
      </x:c>
      <x:c r="F43" s="9" t="str">
        <x:v>HC-A-C</x:v>
      </x:c>
      <x:c r="G43" s="9" t="str">
        <x:v>B1</x:v>
      </x:c>
      <x:c r="H43" s="9" t="str">
        <x:v>RCN</x:v>
      </x:c>
      <x:c r="I43" s="9" t="str">
        <x:v>PD05</x:v>
      </x:c>
      <x:c r="J43" s="17" t="str">
        <x:v>Primary raw originals</x:v>
      </x:c>
      <x:c r="K43" s="17" t="str">
        <x:v>Primary custody</x:v>
      </x:c>
      <x:c r="L43" s="17" t="str">
        <x:v>COURT-SEALED UNTIL COHORT RELEASE</x:v>
      </x:c>
      <x:c r="M43" s="9" t="n">
        <x:v>0</x:v>
      </x:c>
      <x:c r="N43" s="9" t="n">
        <x:v>0</x:v>
      </x:c>
      <x:c r="O43" s="9" t="n">
        <x:v>0</x:v>
      </x:c>
      <x:c r="P43" s="9" t="str">
        <x:v>HELD / UNRELEASED</x:v>
      </x:c>
      <x:c r="Q43" s="9" t="n">
        <x:f>COUNTIFS($A$7:$A$2310,A43)</x:f>
        <x:v>1</x:v>
      </x:c>
    </x:row>
    <x:row r="44">
      <x:c r="A44" s="9" t="str">
        <x:v>PD-AR-HC-A-C-TECH-1-B1-RCN-G0-PD06</x:v>
      </x:c>
      <x:c r="B44" s="9" t="str">
        <x:v>PD-AR-HC-A-C-TECH-1-B1-RCN-G0</x:v>
      </x:c>
      <x:c r="C44" s="9" t="str">
        <x:v>EV-AR-HC-A-C-TECH-1-B1-RCN-G0</x:v>
      </x:c>
      <x:c r="D44" s="9" t="str">
        <x:v>AR-HC-A-C-TECH-1-B1-RCN-G0</x:v>
      </x:c>
      <x:c r="E44" s="9" t="str">
        <x:v>HC-A-C-TECH-1</x:v>
      </x:c>
      <x:c r="F44" s="9" t="str">
        <x:v>HC-A-C</x:v>
      </x:c>
      <x:c r="G44" s="9" t="str">
        <x:v>B1</x:v>
      </x:c>
      <x:c r="H44" s="9" t="str">
        <x:v>RCN</x:v>
      </x:c>
      <x:c r="I44" s="9" t="str">
        <x:v>PD06</x:v>
      </x:c>
      <x:c r="J44" s="17" t="str">
        <x:v>Witness raw originals</x:v>
      </x:c>
      <x:c r="K44" s="17" t="str">
        <x:v>Witness custody</x:v>
      </x:c>
      <x:c r="L44" s="17" t="str">
        <x:v>COURT-SEALED UNTIL COHORT RELEASE</x:v>
      </x:c>
      <x:c r="M44" s="9" t="n">
        <x:v>0</x:v>
      </x:c>
      <x:c r="N44" s="9" t="n">
        <x:v>0</x:v>
      </x:c>
      <x:c r="O44" s="9" t="n">
        <x:v>0</x:v>
      </x:c>
      <x:c r="P44" s="9" t="str">
        <x:v>HELD / UNRELEASED</x:v>
      </x:c>
      <x:c r="Q44" s="9" t="n">
        <x:f>COUNTIFS($A$7:$A$2310,A44)</x:f>
        <x:v>1</x:v>
      </x:c>
    </x:row>
    <x:row r="45">
      <x:c r="A45" s="9" t="str">
        <x:v>PD-AR-HC-A-C-TECH-1-B1-RCN-G0-PD07</x:v>
      </x:c>
      <x:c r="B45" s="9" t="str">
        <x:v>PD-AR-HC-A-C-TECH-1-B1-RCN-G0</x:v>
      </x:c>
      <x:c r="C45" s="9" t="str">
        <x:v>EV-AR-HC-A-C-TECH-1-B1-RCN-G0</x:v>
      </x:c>
      <x:c r="D45" s="9" t="str">
        <x:v>AR-HC-A-C-TECH-1-B1-RCN-G0</x:v>
      </x:c>
      <x:c r="E45" s="9" t="str">
        <x:v>HC-A-C-TECH-1</x:v>
      </x:c>
      <x:c r="F45" s="9" t="str">
        <x:v>HC-A-C</x:v>
      </x:c>
      <x:c r="G45" s="9" t="str">
        <x:v>B1</x:v>
      </x:c>
      <x:c r="H45" s="9" t="str">
        <x:v>RCN</x:v>
      </x:c>
      <x:c r="I45" s="9" t="str">
        <x:v>PD07</x:v>
      </x:c>
      <x:c r="J45" s="17" t="str">
        <x:v>Clock and environmental records</x:v>
      </x:c>
      <x:c r="K45" s="17" t="str">
        <x:v>Boundary archive</x:v>
      </x:c>
      <x:c r="L45" s="17" t="str">
        <x:v>COURT-SEALED UNTIL COHORT RELEASE</x:v>
      </x:c>
      <x:c r="M45" s="9" t="n">
        <x:v>0</x:v>
      </x:c>
      <x:c r="N45" s="9" t="n">
        <x:v>0</x:v>
      </x:c>
      <x:c r="O45" s="9" t="n">
        <x:v>0</x:v>
      </x:c>
      <x:c r="P45" s="9" t="str">
        <x:v>HELD / UNRELEASED</x:v>
      </x:c>
      <x:c r="Q45" s="9" t="n">
        <x:f>COUNTIFS($A$7:$A$2310,A45)</x:f>
        <x:v>1</x:v>
      </x:c>
    </x:row>
    <x:row r="46">
      <x:c r="A46" s="9" t="str">
        <x:v>PD-AR-HC-A-C-TECH-1-B1-RCN-G0-PD08</x:v>
      </x:c>
      <x:c r="B46" s="9" t="str">
        <x:v>PD-AR-HC-A-C-TECH-1-B1-RCN-G0</x:v>
      </x:c>
      <x:c r="C46" s="9" t="str">
        <x:v>EV-AR-HC-A-C-TECH-1-B1-RCN-G0</x:v>
      </x:c>
      <x:c r="D46" s="9" t="str">
        <x:v>AR-HC-A-C-TECH-1-B1-RCN-G0</x:v>
      </x:c>
      <x:c r="E46" s="9" t="str">
        <x:v>HC-A-C-TECH-1</x:v>
      </x:c>
      <x:c r="F46" s="9" t="str">
        <x:v>HC-A-C</x:v>
      </x:c>
      <x:c r="G46" s="9" t="str">
        <x:v>B1</x:v>
      </x:c>
      <x:c r="H46" s="9" t="str">
        <x:v>RCN</x:v>
      </x:c>
      <x:c r="I46" s="9" t="str">
        <x:v>PD08</x:v>
      </x:c>
      <x:c r="J46" s="17" t="str">
        <x:v>Command and intervention log</x:v>
      </x:c>
      <x:c r="K46" s="17" t="str">
        <x:v>Safety archive</x:v>
      </x:c>
      <x:c r="L46" s="17" t="str">
        <x:v>COURT-SEALED UNTIL COHORT RELEASE</x:v>
      </x:c>
      <x:c r="M46" s="9" t="n">
        <x:v>0</x:v>
      </x:c>
      <x:c r="N46" s="9" t="n">
        <x:v>0</x:v>
      </x:c>
      <x:c r="O46" s="9" t="n">
        <x:v>0</x:v>
      </x:c>
      <x:c r="P46" s="9" t="str">
        <x:v>HELD / UNRELEASED</x:v>
      </x:c>
      <x:c r="Q46" s="9" t="n">
        <x:f>COUNTIFS($A$7:$A$2310,A46)</x:f>
        <x:v>1</x:v>
      </x:c>
    </x:row>
    <x:row r="47">
      <x:c r="A47" s="9" t="str">
        <x:v>PD-AR-HC-A-C-TECH-1-B1-RCN-G0-PD09</x:v>
      </x:c>
      <x:c r="B47" s="9" t="str">
        <x:v>PD-AR-HC-A-C-TECH-1-B1-RCN-G0</x:v>
      </x:c>
      <x:c r="C47" s="9" t="str">
        <x:v>EV-AR-HC-A-C-TECH-1-B1-RCN-G0</x:v>
      </x:c>
      <x:c r="D47" s="9" t="str">
        <x:v>AR-HC-A-C-TECH-1-B1-RCN-G0</x:v>
      </x:c>
      <x:c r="E47" s="9" t="str">
        <x:v>HC-A-C-TECH-1</x:v>
      </x:c>
      <x:c r="F47" s="9" t="str">
        <x:v>HC-A-C</x:v>
      </x:c>
      <x:c r="G47" s="9" t="str">
        <x:v>B1</x:v>
      </x:c>
      <x:c r="H47" s="9" t="str">
        <x:v>RCN</x:v>
      </x:c>
      <x:c r="I47" s="9" t="str">
        <x:v>PD09</x:v>
      </x:c>
      <x:c r="J47" s="17" t="str">
        <x:v>Receiver denominator and service ledger</x:v>
      </x:c>
      <x:c r="K47" s="17" t="str">
        <x:v>Receiver archive</x:v>
      </x:c>
      <x:c r="L47" s="17" t="str">
        <x:v>COURT-SEALED UNTIL COHORT RELEASE</x:v>
      </x:c>
      <x:c r="M47" s="9" t="n">
        <x:v>0</x:v>
      </x:c>
      <x:c r="N47" s="9" t="n">
        <x:v>0</x:v>
      </x:c>
      <x:c r="O47" s="9" t="n">
        <x:v>0</x:v>
      </x:c>
      <x:c r="P47" s="9" t="str">
        <x:v>HELD / UNRELEASED</x:v>
      </x:c>
      <x:c r="Q47" s="9" t="n">
        <x:f>COUNTIFS($A$7:$A$2310,A47)</x:f>
        <x:v>1</x:v>
      </x:c>
    </x:row>
    <x:row r="48">
      <x:c r="A48" s="9" t="str">
        <x:v>PD-AR-HC-A-C-TECH-1-B1-RCN-G0-PD10</x:v>
      </x:c>
      <x:c r="B48" s="9" t="str">
        <x:v>PD-AR-HC-A-C-TECH-1-B1-RCN-G0</x:v>
      </x:c>
      <x:c r="C48" s="9" t="str">
        <x:v>EV-AR-HC-A-C-TECH-1-B1-RCN-G0</x:v>
      </x:c>
      <x:c r="D48" s="9" t="str">
        <x:v>AR-HC-A-C-TECH-1-B1-RCN-G0</x:v>
      </x:c>
      <x:c r="E48" s="9" t="str">
        <x:v>HC-A-C-TECH-1</x:v>
      </x:c>
      <x:c r="F48" s="9" t="str">
        <x:v>HC-A-C</x:v>
      </x:c>
      <x:c r="G48" s="9" t="str">
        <x:v>B1</x:v>
      </x:c>
      <x:c r="H48" s="9" t="str">
        <x:v>RCN</x:v>
      </x:c>
      <x:c r="I48" s="9" t="str">
        <x:v>PD10</x:v>
      </x:c>
      <x:c r="J48" s="17" t="str">
        <x:v>Calibration and uncertainty record</x:v>
      </x:c>
      <x:c r="K48" s="17" t="str">
        <x:v>Metrology archive</x:v>
      </x:c>
      <x:c r="L48" s="17" t="str">
        <x:v>COURT-SEALED UNTIL COHORT RELEASE</x:v>
      </x:c>
      <x:c r="M48" s="9" t="n">
        <x:v>0</x:v>
      </x:c>
      <x:c r="N48" s="9" t="n">
        <x:v>0</x:v>
      </x:c>
      <x:c r="O48" s="9" t="n">
        <x:v>0</x:v>
      </x:c>
      <x:c r="P48" s="9" t="str">
        <x:v>HELD / UNRELEASED</x:v>
      </x:c>
      <x:c r="Q48" s="9" t="n">
        <x:f>COUNTIFS($A$7:$A$2310,A48)</x:f>
        <x:v>1</x:v>
      </x:c>
    </x:row>
    <x:row r="49">
      <x:c r="A49" s="9" t="str">
        <x:v>PD-AR-HC-A-C-TECH-1-B1-RCN-G0-PD11</x:v>
      </x:c>
      <x:c r="B49" s="9" t="str">
        <x:v>PD-AR-HC-A-C-TECH-1-B1-RCN-G0</x:v>
      </x:c>
      <x:c r="C49" s="9" t="str">
        <x:v>EV-AR-HC-A-C-TECH-1-B1-RCN-G0</x:v>
      </x:c>
      <x:c r="D49" s="9" t="str">
        <x:v>AR-HC-A-C-TECH-1-B1-RCN-G0</x:v>
      </x:c>
      <x:c r="E49" s="9" t="str">
        <x:v>HC-A-C-TECH-1</x:v>
      </x:c>
      <x:c r="F49" s="9" t="str">
        <x:v>HC-A-C</x:v>
      </x:c>
      <x:c r="G49" s="9" t="str">
        <x:v>B1</x:v>
      </x:c>
      <x:c r="H49" s="9" t="str">
        <x:v>RCN</x:v>
      </x:c>
      <x:c r="I49" s="9" t="str">
        <x:v>PD11</x:v>
      </x:c>
      <x:c r="J49" s="17" t="str">
        <x:v>Invalidity petition and opinion</x:v>
      </x:c>
      <x:c r="K49" s="17" t="str">
        <x:v>Invalidity court</x:v>
      </x:c>
      <x:c r="L49" s="17" t="str">
        <x:v>COURT-SEALED UNTIL COHORT RELEASE</x:v>
      </x:c>
      <x:c r="M49" s="9" t="n">
        <x:v>0</x:v>
      </x:c>
      <x:c r="N49" s="9" t="n">
        <x:v>0</x:v>
      </x:c>
      <x:c r="O49" s="9" t="n">
        <x:v>0</x:v>
      </x:c>
      <x:c r="P49" s="9" t="str">
        <x:v>HELD / UNRELEASED</x:v>
      </x:c>
      <x:c r="Q49" s="9" t="n">
        <x:f>COUNTIFS($A$7:$A$2310,A49)</x:f>
        <x:v>1</x:v>
      </x:c>
    </x:row>
    <x:row r="50">
      <x:c r="A50" s="9" t="str">
        <x:v>PD-AR-HC-A-C-TECH-1-B1-RCN-G0-PD12</x:v>
      </x:c>
      <x:c r="B50" s="9" t="str">
        <x:v>PD-AR-HC-A-C-TECH-1-B1-RCN-G0</x:v>
      </x:c>
      <x:c r="C50" s="9" t="str">
        <x:v>EV-AR-HC-A-C-TECH-1-B1-RCN-G0</x:v>
      </x:c>
      <x:c r="D50" s="9" t="str">
        <x:v>AR-HC-A-C-TECH-1-B1-RCN-G0</x:v>
      </x:c>
      <x:c r="E50" s="9" t="str">
        <x:v>HC-A-C-TECH-1</x:v>
      </x:c>
      <x:c r="F50" s="9" t="str">
        <x:v>HC-A-C</x:v>
      </x:c>
      <x:c r="G50" s="9" t="str">
        <x:v>B1</x:v>
      </x:c>
      <x:c r="H50" s="9" t="str">
        <x:v>RCN</x:v>
      </x:c>
      <x:c r="I50" s="9" t="str">
        <x:v>PD12</x:v>
      </x:c>
      <x:c r="J50" s="17" t="str">
        <x:v>Observation acceptance and replay</x:v>
      </x:c>
      <x:c r="K50" s="17" t="str">
        <x:v>Observation court</x:v>
      </x:c>
      <x:c r="L50" s="17" t="str">
        <x:v>COURT-SEALED UNTIL COHORT RELEASE</x:v>
      </x:c>
      <x:c r="M50" s="9" t="n">
        <x:v>0</x:v>
      </x:c>
      <x:c r="N50" s="9" t="n">
        <x:v>0</x:v>
      </x:c>
      <x:c r="O50" s="9" t="n">
        <x:v>0</x:v>
      </x:c>
      <x:c r="P50" s="9" t="str">
        <x:v>HELD / UNRELEASED</x:v>
      </x:c>
      <x:c r="Q50" s="9" t="n">
        <x:f>COUNTIFS($A$7:$A$2310,A50)</x:f>
        <x:v>1</x:v>
      </x:c>
    </x:row>
    <x:row r="51">
      <x:c r="A51" s="9" t="str">
        <x:v>PD-AR-HC-A-C-TECH-1-B1-RCN-G0-PD13</x:v>
      </x:c>
      <x:c r="B51" s="9" t="str">
        <x:v>PD-AR-HC-A-C-TECH-1-B1-RCN-G0</x:v>
      </x:c>
      <x:c r="C51" s="9" t="str">
        <x:v>EV-AR-HC-A-C-TECH-1-B1-RCN-G0</x:v>
      </x:c>
      <x:c r="D51" s="9" t="str">
        <x:v>AR-HC-A-C-TECH-1-B1-RCN-G0</x:v>
      </x:c>
      <x:c r="E51" s="9" t="str">
        <x:v>HC-A-C-TECH-1</x:v>
      </x:c>
      <x:c r="F51" s="9" t="str">
        <x:v>HC-A-C</x:v>
      </x:c>
      <x:c r="G51" s="9" t="str">
        <x:v>B1</x:v>
      </x:c>
      <x:c r="H51" s="9" t="str">
        <x:v>RCN</x:v>
      </x:c>
      <x:c r="I51" s="9" t="str">
        <x:v>PD13</x:v>
      </x:c>
      <x:c r="J51" s="17" t="str">
        <x:v>Role judgment</x:v>
      </x:c>
      <x:c r="K51" s="17" t="str">
        <x:v>Role court</x:v>
      </x:c>
      <x:c r="L51" s="17" t="str">
        <x:v>COURT-SEALED UNTIL COHORT RELEASE</x:v>
      </x:c>
      <x:c r="M51" s="9" t="n">
        <x:v>0</x:v>
      </x:c>
      <x:c r="N51" s="9" t="n">
        <x:v>0</x:v>
      </x:c>
      <x:c r="O51" s="9" t="n">
        <x:v>0</x:v>
      </x:c>
      <x:c r="P51" s="9" t="str">
        <x:v>HELD / UNRELEASED</x:v>
      </x:c>
      <x:c r="Q51" s="9" t="n">
        <x:f>COUNTIFS($A$7:$A$2310,A51)</x:f>
        <x:v>1</x:v>
      </x:c>
    </x:row>
    <x:row r="52">
      <x:c r="A52" s="9" t="str">
        <x:v>PD-AR-HC-A-C-TECH-1-B1-RCN-G0-PD14</x:v>
      </x:c>
      <x:c r="B52" s="9" t="str">
        <x:v>PD-AR-HC-A-C-TECH-1-B1-RCN-G0</x:v>
      </x:c>
      <x:c r="C52" s="9" t="str">
        <x:v>EV-AR-HC-A-C-TECH-1-B1-RCN-G0</x:v>
      </x:c>
      <x:c r="D52" s="9" t="str">
        <x:v>AR-HC-A-C-TECH-1-B1-RCN-G0</x:v>
      </x:c>
      <x:c r="E52" s="9" t="str">
        <x:v>HC-A-C-TECH-1</x:v>
      </x:c>
      <x:c r="F52" s="9" t="str">
        <x:v>HC-A-C</x:v>
      </x:c>
      <x:c r="G52" s="9" t="str">
        <x:v>B1</x:v>
      </x:c>
      <x:c r="H52" s="9" t="str">
        <x:v>RCN</x:v>
      </x:c>
      <x:c r="I52" s="9" t="str">
        <x:v>PD14</x:v>
      </x:c>
      <x:c r="J52" s="17" t="str">
        <x:v>Break and residual account</x:v>
      </x:c>
      <x:c r="K52" s="17" t="str">
        <x:v>Residual authority</x:v>
      </x:c>
      <x:c r="L52" s="17" t="str">
        <x:v>COURT-SEALED UNTIL COHORT RELEASE</x:v>
      </x:c>
      <x:c r="M52" s="9" t="n">
        <x:v>0</x:v>
      </x:c>
      <x:c r="N52" s="9" t="n">
        <x:v>0</x:v>
      </x:c>
      <x:c r="O52" s="9" t="n">
        <x:v>0</x:v>
      </x:c>
      <x:c r="P52" s="9" t="str">
        <x:v>HELD / UNRELEASED</x:v>
      </x:c>
      <x:c r="Q52" s="9" t="n">
        <x:f>COUNTIFS($A$7:$A$2310,A52)</x:f>
        <x:v>1</x:v>
      </x:c>
    </x:row>
    <x:row r="53">
      <x:c r="A53" s="9" t="str">
        <x:v>PD-AR-HC-A-C-TECH-1-B1-RCN-G0-PD15</x:v>
      </x:c>
      <x:c r="B53" s="9" t="str">
        <x:v>PD-AR-HC-A-C-TECH-1-B1-RCN-G0</x:v>
      </x:c>
      <x:c r="C53" s="9" t="str">
        <x:v>EV-AR-HC-A-C-TECH-1-B1-RCN-G0</x:v>
      </x:c>
      <x:c r="D53" s="9" t="str">
        <x:v>AR-HC-A-C-TECH-1-B1-RCN-G0</x:v>
      </x:c>
      <x:c r="E53" s="9" t="str">
        <x:v>HC-A-C-TECH-1</x:v>
      </x:c>
      <x:c r="F53" s="9" t="str">
        <x:v>HC-A-C</x:v>
      </x:c>
      <x:c r="G53" s="9" t="str">
        <x:v>B1</x:v>
      </x:c>
      <x:c r="H53" s="9" t="str">
        <x:v>RCN</x:v>
      </x:c>
      <x:c r="I53" s="9" t="str">
        <x:v>PD15</x:v>
      </x:c>
      <x:c r="J53" s="17" t="str">
        <x:v>Reconstruction ancestry and replay</x:v>
      </x:c>
      <x:c r="K53" s="17" t="str">
        <x:v>Reconstruction court</x:v>
      </x:c>
      <x:c r="L53" s="17" t="str">
        <x:v>COURT-SEALED UNTIL COHORT RELEASE</x:v>
      </x:c>
      <x:c r="M53" s="9" t="n">
        <x:v>0</x:v>
      </x:c>
      <x:c r="N53" s="9" t="n">
        <x:v>0</x:v>
      </x:c>
      <x:c r="O53" s="9" t="n">
        <x:v>0</x:v>
      </x:c>
      <x:c r="P53" s="9" t="str">
        <x:v>HELD / UNRELEASED</x:v>
      </x:c>
      <x:c r="Q53" s="9" t="n">
        <x:f>COUNTIFS($A$7:$A$2310,A53)</x:f>
        <x:v>1</x:v>
      </x:c>
    </x:row>
    <x:row r="54">
      <x:c r="A54" s="9" t="str">
        <x:v>PD-AR-HC-A-C-TECH-1-B1-RCN-G0-PD16</x:v>
      </x:c>
      <x:c r="B54" s="9" t="str">
        <x:v>PD-AR-HC-A-C-TECH-1-B1-RCN-G0</x:v>
      </x:c>
      <x:c r="C54" s="9" t="str">
        <x:v>EV-AR-HC-A-C-TECH-1-B1-RCN-G0</x:v>
      </x:c>
      <x:c r="D54" s="9" t="str">
        <x:v>AR-HC-A-C-TECH-1-B1-RCN-G0</x:v>
      </x:c>
      <x:c r="E54" s="9" t="str">
        <x:v>HC-A-C-TECH-1</x:v>
      </x:c>
      <x:c r="F54" s="9" t="str">
        <x:v>HC-A-C</x:v>
      </x:c>
      <x:c r="G54" s="9" t="str">
        <x:v>B1</x:v>
      </x:c>
      <x:c r="H54" s="9" t="str">
        <x:v>RCN</x:v>
      </x:c>
      <x:c r="I54" s="9" t="str">
        <x:v>PD16</x:v>
      </x:c>
      <x:c r="J54" s="17" t="str">
        <x:v>Dissent, amendments and access log</x:v>
      </x:c>
      <x:c r="K54" s="17" t="str">
        <x:v>Public archive</x:v>
      </x:c>
      <x:c r="L54" s="17" t="str">
        <x:v>COURT-SEALED UNTIL COHORT RELEASE</x:v>
      </x:c>
      <x:c r="M54" s="9" t="n">
        <x:v>0</x:v>
      </x:c>
      <x:c r="N54" s="9" t="n">
        <x:v>0</x:v>
      </x:c>
      <x:c r="O54" s="9" t="n">
        <x:v>0</x:v>
      </x:c>
      <x:c r="P54" s="9" t="str">
        <x:v>HELD / UNRELEASED</x:v>
      </x:c>
      <x:c r="Q54" s="9" t="n">
        <x:f>COUNTIFS($A$7:$A$2310,A54)</x:f>
        <x:v>1</x:v>
      </x:c>
    </x:row>
    <x:row r="55">
      <x:c r="A55" s="9" t="str">
        <x:v>PD-AR-HU-A-B-TECH-4-B2-RCN-G0-PD01</x:v>
      </x:c>
      <x:c r="B55" s="9" t="str">
        <x:v>PD-AR-HU-A-B-TECH-4-B2-RCN-G0</x:v>
      </x:c>
      <x:c r="C55" s="9" t="str">
        <x:v>EV-AR-HU-A-B-TECH-4-B2-RCN-G0</x:v>
      </x:c>
      <x:c r="D55" s="9" t="str">
        <x:v>AR-HU-A-B-TECH-4-B2-RCN-G0</x:v>
      </x:c>
      <x:c r="E55" s="9" t="str">
        <x:v>HU-A-B-TECH-4</x:v>
      </x:c>
      <x:c r="F55" s="9" t="str">
        <x:v>HU-A-B</x:v>
      </x:c>
      <x:c r="G55" s="9" t="str">
        <x:v>B2</x:v>
      </x:c>
      <x:c r="H55" s="9" t="str">
        <x:v>RCN</x:v>
      </x:c>
      <x:c r="I55" s="9" t="str">
        <x:v>PD01</x:v>
      </x:c>
      <x:c r="J55" s="17" t="str">
        <x:v>Experiment kernel</x:v>
      </x:c>
      <x:c r="K55" s="17" t="str">
        <x:v>Public archive</x:v>
      </x:c>
      <x:c r="L55" s="17" t="str">
        <x:v>COURT-SEALED UNTIL COHORT RELEASE</x:v>
      </x:c>
      <x:c r="M55" s="9" t="n">
        <x:v>0</x:v>
      </x:c>
      <x:c r="N55" s="9" t="n">
        <x:v>0</x:v>
      </x:c>
      <x:c r="O55" s="9" t="n">
        <x:v>0</x:v>
      </x:c>
      <x:c r="P55" s="9" t="str">
        <x:v>HELD / UNRELEASED</x:v>
      </x:c>
      <x:c r="Q55" s="9" t="n">
        <x:f>COUNTIFS($A$7:$A$2310,A55)</x:f>
        <x:v>1</x:v>
      </x:c>
    </x:row>
    <x:row r="56">
      <x:c r="A56" s="9" t="str">
        <x:v>PD-AR-HU-A-B-TECH-4-B2-RCN-G0-PD02</x:v>
      </x:c>
      <x:c r="B56" s="9" t="str">
        <x:v>PD-AR-HU-A-B-TECH-4-B2-RCN-G0</x:v>
      </x:c>
      <x:c r="C56" s="9" t="str">
        <x:v>EV-AR-HU-A-B-TECH-4-B2-RCN-G0</x:v>
      </x:c>
      <x:c r="D56" s="9" t="str">
        <x:v>AR-HU-A-B-TECH-4-B2-RCN-G0</x:v>
      </x:c>
      <x:c r="E56" s="9" t="str">
        <x:v>HU-A-B-TECH-4</x:v>
      </x:c>
      <x:c r="F56" s="9" t="str">
        <x:v>HU-A-B</x:v>
      </x:c>
      <x:c r="G56" s="9" t="str">
        <x:v>B2</x:v>
      </x:c>
      <x:c r="H56" s="9" t="str">
        <x:v>RCN</x:v>
      </x:c>
      <x:c r="I56" s="9" t="str">
        <x:v>PD02</x:v>
      </x:c>
      <x:c r="J56" s="17" t="str">
        <x:v>Serial annex and title chain</x:v>
      </x:c>
      <x:c r="K56" s="17" t="str">
        <x:v>Public archive</x:v>
      </x:c>
      <x:c r="L56" s="17" t="str">
        <x:v>COURT-SEALED UNTIL COHORT RELEASE</x:v>
      </x:c>
      <x:c r="M56" s="9" t="n">
        <x:v>0</x:v>
      </x:c>
      <x:c r="N56" s="9" t="n">
        <x:v>0</x:v>
      </x:c>
      <x:c r="O56" s="9" t="n">
        <x:v>0</x:v>
      </x:c>
      <x:c r="P56" s="9" t="str">
        <x:v>HELD / UNRELEASED</x:v>
      </x:c>
      <x:c r="Q56" s="9" t="n">
        <x:f>COUNTIFS($A$7:$A$2310,A56)</x:f>
        <x:v>1</x:v>
      </x:c>
    </x:row>
    <x:row r="57">
      <x:c r="A57" s="9" t="str">
        <x:v>PD-AR-HU-A-B-TECH-4-B2-RCN-G0-PD03</x:v>
      </x:c>
      <x:c r="B57" s="9" t="str">
        <x:v>PD-AR-HU-A-B-TECH-4-B2-RCN-G0</x:v>
      </x:c>
      <x:c r="C57" s="9" t="str">
        <x:v>EV-AR-HU-A-B-TECH-4-B2-RCN-G0</x:v>
      </x:c>
      <x:c r="D57" s="9" t="str">
        <x:v>AR-HU-A-B-TECH-4-B2-RCN-G0</x:v>
      </x:c>
      <x:c r="E57" s="9" t="str">
        <x:v>HU-A-B-TECH-4</x:v>
      </x:c>
      <x:c r="F57" s="9" t="str">
        <x:v>HU-A-B</x:v>
      </x:c>
      <x:c r="G57" s="9" t="str">
        <x:v>B2</x:v>
      </x:c>
      <x:c r="H57" s="9" t="str">
        <x:v>RCN</x:v>
      </x:c>
      <x:c r="I57" s="9" t="str">
        <x:v>PD03</x:v>
      </x:c>
      <x:c r="J57" s="17" t="str">
        <x:v>Configuration and as-built manifest</x:v>
      </x:c>
      <x:c r="K57" s="17" t="str">
        <x:v>Artifact exchange</x:v>
      </x:c>
      <x:c r="L57" s="17" t="str">
        <x:v>COURT-SEALED UNTIL COHORT RELEASE</x:v>
      </x:c>
      <x:c r="M57" s="9" t="n">
        <x:v>0</x:v>
      </x:c>
      <x:c r="N57" s="9" t="n">
        <x:v>0</x:v>
      </x:c>
      <x:c r="O57" s="9" t="n">
        <x:v>0</x:v>
      </x:c>
      <x:c r="P57" s="9" t="str">
        <x:v>HELD / UNRELEASED</x:v>
      </x:c>
      <x:c r="Q57" s="9" t="n">
        <x:f>COUNTIFS($A$7:$A$2310,A57)</x:f>
        <x:v>1</x:v>
      </x:c>
    </x:row>
    <x:row r="58">
      <x:c r="A58" s="9" t="str">
        <x:v>PD-AR-HU-A-B-TECH-4-B2-RCN-G0-PD04</x:v>
      </x:c>
      <x:c r="B58" s="9" t="str">
        <x:v>PD-AR-HU-A-B-TECH-4-B2-RCN-G0</x:v>
      </x:c>
      <x:c r="C58" s="9" t="str">
        <x:v>EV-AR-HU-A-B-TECH-4-B2-RCN-G0</x:v>
      </x:c>
      <x:c r="D58" s="9" t="str">
        <x:v>AR-HU-A-B-TECH-4-B2-RCN-G0</x:v>
      </x:c>
      <x:c r="E58" s="9" t="str">
        <x:v>HU-A-B-TECH-4</x:v>
      </x:c>
      <x:c r="F58" s="9" t="str">
        <x:v>HU-A-B</x:v>
      </x:c>
      <x:c r="G58" s="9" t="str">
        <x:v>B2</x:v>
      </x:c>
      <x:c r="H58" s="9" t="str">
        <x:v>RCN</x:v>
      </x:c>
      <x:c r="I58" s="9" t="str">
        <x:v>PD04</x:v>
      </x:c>
      <x:c r="J58" s="17" t="str">
        <x:v>EOW and start certificate</x:v>
      </x:c>
      <x:c r="K58" s="17" t="str">
        <x:v>Start registrar</x:v>
      </x:c>
      <x:c r="L58" s="17" t="str">
        <x:v>COURT-SEALED UNTIL COHORT RELEASE</x:v>
      </x:c>
      <x:c r="M58" s="9" t="n">
        <x:v>0</x:v>
      </x:c>
      <x:c r="N58" s="9" t="n">
        <x:v>0</x:v>
      </x:c>
      <x:c r="O58" s="9" t="n">
        <x:v>0</x:v>
      </x:c>
      <x:c r="P58" s="9" t="str">
        <x:v>HELD / UNRELEASED</x:v>
      </x:c>
      <x:c r="Q58" s="9" t="n">
        <x:f>COUNTIFS($A$7:$A$2310,A58)</x:f>
        <x:v>1</x:v>
      </x:c>
    </x:row>
    <x:row r="59">
      <x:c r="A59" s="9" t="str">
        <x:v>PD-AR-HU-A-B-TECH-4-B2-RCN-G0-PD05</x:v>
      </x:c>
      <x:c r="B59" s="9" t="str">
        <x:v>PD-AR-HU-A-B-TECH-4-B2-RCN-G0</x:v>
      </x:c>
      <x:c r="C59" s="9" t="str">
        <x:v>EV-AR-HU-A-B-TECH-4-B2-RCN-G0</x:v>
      </x:c>
      <x:c r="D59" s="9" t="str">
        <x:v>AR-HU-A-B-TECH-4-B2-RCN-G0</x:v>
      </x:c>
      <x:c r="E59" s="9" t="str">
        <x:v>HU-A-B-TECH-4</x:v>
      </x:c>
      <x:c r="F59" s="9" t="str">
        <x:v>HU-A-B</x:v>
      </x:c>
      <x:c r="G59" s="9" t="str">
        <x:v>B2</x:v>
      </x:c>
      <x:c r="H59" s="9" t="str">
        <x:v>RCN</x:v>
      </x:c>
      <x:c r="I59" s="9" t="str">
        <x:v>PD05</x:v>
      </x:c>
      <x:c r="J59" s="17" t="str">
        <x:v>Primary raw originals</x:v>
      </x:c>
      <x:c r="K59" s="17" t="str">
        <x:v>Primary custody</x:v>
      </x:c>
      <x:c r="L59" s="17" t="str">
        <x:v>COURT-SEALED UNTIL COHORT RELEASE</x:v>
      </x:c>
      <x:c r="M59" s="9" t="n">
        <x:v>0</x:v>
      </x:c>
      <x:c r="N59" s="9" t="n">
        <x:v>0</x:v>
      </x:c>
      <x:c r="O59" s="9" t="n">
        <x:v>0</x:v>
      </x:c>
      <x:c r="P59" s="9" t="str">
        <x:v>HELD / UNRELEASED</x:v>
      </x:c>
      <x:c r="Q59" s="9" t="n">
        <x:f>COUNTIFS($A$7:$A$2310,A59)</x:f>
        <x:v>1</x:v>
      </x:c>
    </x:row>
    <x:row r="60">
      <x:c r="A60" s="9" t="str">
        <x:v>PD-AR-HU-A-B-TECH-4-B2-RCN-G0-PD06</x:v>
      </x:c>
      <x:c r="B60" s="9" t="str">
        <x:v>PD-AR-HU-A-B-TECH-4-B2-RCN-G0</x:v>
      </x:c>
      <x:c r="C60" s="9" t="str">
        <x:v>EV-AR-HU-A-B-TECH-4-B2-RCN-G0</x:v>
      </x:c>
      <x:c r="D60" s="9" t="str">
        <x:v>AR-HU-A-B-TECH-4-B2-RCN-G0</x:v>
      </x:c>
      <x:c r="E60" s="9" t="str">
        <x:v>HU-A-B-TECH-4</x:v>
      </x:c>
      <x:c r="F60" s="9" t="str">
        <x:v>HU-A-B</x:v>
      </x:c>
      <x:c r="G60" s="9" t="str">
        <x:v>B2</x:v>
      </x:c>
      <x:c r="H60" s="9" t="str">
        <x:v>RCN</x:v>
      </x:c>
      <x:c r="I60" s="9" t="str">
        <x:v>PD06</x:v>
      </x:c>
      <x:c r="J60" s="17" t="str">
        <x:v>Witness raw originals</x:v>
      </x:c>
      <x:c r="K60" s="17" t="str">
        <x:v>Witness custody</x:v>
      </x:c>
      <x:c r="L60" s="17" t="str">
        <x:v>COURT-SEALED UNTIL COHORT RELEASE</x:v>
      </x:c>
      <x:c r="M60" s="9" t="n">
        <x:v>0</x:v>
      </x:c>
      <x:c r="N60" s="9" t="n">
        <x:v>0</x:v>
      </x:c>
      <x:c r="O60" s="9" t="n">
        <x:v>0</x:v>
      </x:c>
      <x:c r="P60" s="9" t="str">
        <x:v>HELD / UNRELEASED</x:v>
      </x:c>
      <x:c r="Q60" s="9" t="n">
        <x:f>COUNTIFS($A$7:$A$2310,A60)</x:f>
        <x:v>1</x:v>
      </x:c>
    </x:row>
    <x:row r="61">
      <x:c r="A61" s="9" t="str">
        <x:v>PD-AR-HU-A-B-TECH-4-B2-RCN-G0-PD07</x:v>
      </x:c>
      <x:c r="B61" s="9" t="str">
        <x:v>PD-AR-HU-A-B-TECH-4-B2-RCN-G0</x:v>
      </x:c>
      <x:c r="C61" s="9" t="str">
        <x:v>EV-AR-HU-A-B-TECH-4-B2-RCN-G0</x:v>
      </x:c>
      <x:c r="D61" s="9" t="str">
        <x:v>AR-HU-A-B-TECH-4-B2-RCN-G0</x:v>
      </x:c>
      <x:c r="E61" s="9" t="str">
        <x:v>HU-A-B-TECH-4</x:v>
      </x:c>
      <x:c r="F61" s="9" t="str">
        <x:v>HU-A-B</x:v>
      </x:c>
      <x:c r="G61" s="9" t="str">
        <x:v>B2</x:v>
      </x:c>
      <x:c r="H61" s="9" t="str">
        <x:v>RCN</x:v>
      </x:c>
      <x:c r="I61" s="9" t="str">
        <x:v>PD07</x:v>
      </x:c>
      <x:c r="J61" s="17" t="str">
        <x:v>Clock and environmental records</x:v>
      </x:c>
      <x:c r="K61" s="17" t="str">
        <x:v>Boundary archive</x:v>
      </x:c>
      <x:c r="L61" s="17" t="str">
        <x:v>COURT-SEALED UNTIL COHORT RELEASE</x:v>
      </x:c>
      <x:c r="M61" s="9" t="n">
        <x:v>0</x:v>
      </x:c>
      <x:c r="N61" s="9" t="n">
        <x:v>0</x:v>
      </x:c>
      <x:c r="O61" s="9" t="n">
        <x:v>0</x:v>
      </x:c>
      <x:c r="P61" s="9" t="str">
        <x:v>HELD / UNRELEASED</x:v>
      </x:c>
      <x:c r="Q61" s="9" t="n">
        <x:f>COUNTIFS($A$7:$A$2310,A61)</x:f>
        <x:v>1</x:v>
      </x:c>
    </x:row>
    <x:row r="62">
      <x:c r="A62" s="9" t="str">
        <x:v>PD-AR-HU-A-B-TECH-4-B2-RCN-G0-PD08</x:v>
      </x:c>
      <x:c r="B62" s="9" t="str">
        <x:v>PD-AR-HU-A-B-TECH-4-B2-RCN-G0</x:v>
      </x:c>
      <x:c r="C62" s="9" t="str">
        <x:v>EV-AR-HU-A-B-TECH-4-B2-RCN-G0</x:v>
      </x:c>
      <x:c r="D62" s="9" t="str">
        <x:v>AR-HU-A-B-TECH-4-B2-RCN-G0</x:v>
      </x:c>
      <x:c r="E62" s="9" t="str">
        <x:v>HU-A-B-TECH-4</x:v>
      </x:c>
      <x:c r="F62" s="9" t="str">
        <x:v>HU-A-B</x:v>
      </x:c>
      <x:c r="G62" s="9" t="str">
        <x:v>B2</x:v>
      </x:c>
      <x:c r="H62" s="9" t="str">
        <x:v>RCN</x:v>
      </x:c>
      <x:c r="I62" s="9" t="str">
        <x:v>PD08</x:v>
      </x:c>
      <x:c r="J62" s="17" t="str">
        <x:v>Command and intervention log</x:v>
      </x:c>
      <x:c r="K62" s="17" t="str">
        <x:v>Safety archive</x:v>
      </x:c>
      <x:c r="L62" s="17" t="str">
        <x:v>COURT-SEALED UNTIL COHORT RELEASE</x:v>
      </x:c>
      <x:c r="M62" s="9" t="n">
        <x:v>0</x:v>
      </x:c>
      <x:c r="N62" s="9" t="n">
        <x:v>0</x:v>
      </x:c>
      <x:c r="O62" s="9" t="n">
        <x:v>0</x:v>
      </x:c>
      <x:c r="P62" s="9" t="str">
        <x:v>HELD / UNRELEASED</x:v>
      </x:c>
      <x:c r="Q62" s="9" t="n">
        <x:f>COUNTIFS($A$7:$A$2310,A62)</x:f>
        <x:v>1</x:v>
      </x:c>
    </x:row>
    <x:row r="63">
      <x:c r="A63" s="9" t="str">
        <x:v>PD-AR-HU-A-B-TECH-4-B2-RCN-G0-PD09</x:v>
      </x:c>
      <x:c r="B63" s="9" t="str">
        <x:v>PD-AR-HU-A-B-TECH-4-B2-RCN-G0</x:v>
      </x:c>
      <x:c r="C63" s="9" t="str">
        <x:v>EV-AR-HU-A-B-TECH-4-B2-RCN-G0</x:v>
      </x:c>
      <x:c r="D63" s="9" t="str">
        <x:v>AR-HU-A-B-TECH-4-B2-RCN-G0</x:v>
      </x:c>
      <x:c r="E63" s="9" t="str">
        <x:v>HU-A-B-TECH-4</x:v>
      </x:c>
      <x:c r="F63" s="9" t="str">
        <x:v>HU-A-B</x:v>
      </x:c>
      <x:c r="G63" s="9" t="str">
        <x:v>B2</x:v>
      </x:c>
      <x:c r="H63" s="9" t="str">
        <x:v>RCN</x:v>
      </x:c>
      <x:c r="I63" s="9" t="str">
        <x:v>PD09</x:v>
      </x:c>
      <x:c r="J63" s="17" t="str">
        <x:v>Receiver denominator and service ledger</x:v>
      </x:c>
      <x:c r="K63" s="17" t="str">
        <x:v>Receiver archive</x:v>
      </x:c>
      <x:c r="L63" s="17" t="str">
        <x:v>COURT-SEALED UNTIL COHORT RELEASE</x:v>
      </x:c>
      <x:c r="M63" s="9" t="n">
        <x:v>0</x:v>
      </x:c>
      <x:c r="N63" s="9" t="n">
        <x:v>0</x:v>
      </x:c>
      <x:c r="O63" s="9" t="n">
        <x:v>0</x:v>
      </x:c>
      <x:c r="P63" s="9" t="str">
        <x:v>HELD / UNRELEASED</x:v>
      </x:c>
      <x:c r="Q63" s="9" t="n">
        <x:f>COUNTIFS($A$7:$A$2310,A63)</x:f>
        <x:v>1</x:v>
      </x:c>
    </x:row>
    <x:row r="64">
      <x:c r="A64" s="9" t="str">
        <x:v>PD-AR-HU-A-B-TECH-4-B2-RCN-G0-PD10</x:v>
      </x:c>
      <x:c r="B64" s="9" t="str">
        <x:v>PD-AR-HU-A-B-TECH-4-B2-RCN-G0</x:v>
      </x:c>
      <x:c r="C64" s="9" t="str">
        <x:v>EV-AR-HU-A-B-TECH-4-B2-RCN-G0</x:v>
      </x:c>
      <x:c r="D64" s="9" t="str">
        <x:v>AR-HU-A-B-TECH-4-B2-RCN-G0</x:v>
      </x:c>
      <x:c r="E64" s="9" t="str">
        <x:v>HU-A-B-TECH-4</x:v>
      </x:c>
      <x:c r="F64" s="9" t="str">
        <x:v>HU-A-B</x:v>
      </x:c>
      <x:c r="G64" s="9" t="str">
        <x:v>B2</x:v>
      </x:c>
      <x:c r="H64" s="9" t="str">
        <x:v>RCN</x:v>
      </x:c>
      <x:c r="I64" s="9" t="str">
        <x:v>PD10</x:v>
      </x:c>
      <x:c r="J64" s="17" t="str">
        <x:v>Calibration and uncertainty record</x:v>
      </x:c>
      <x:c r="K64" s="17" t="str">
        <x:v>Metrology archive</x:v>
      </x:c>
      <x:c r="L64" s="17" t="str">
        <x:v>COURT-SEALED UNTIL COHORT RELEASE</x:v>
      </x:c>
      <x:c r="M64" s="9" t="n">
        <x:v>0</x:v>
      </x:c>
      <x:c r="N64" s="9" t="n">
        <x:v>0</x:v>
      </x:c>
      <x:c r="O64" s="9" t="n">
        <x:v>0</x:v>
      </x:c>
      <x:c r="P64" s="9" t="str">
        <x:v>HELD / UNRELEASED</x:v>
      </x:c>
      <x:c r="Q64" s="9" t="n">
        <x:f>COUNTIFS($A$7:$A$2310,A64)</x:f>
        <x:v>1</x:v>
      </x:c>
    </x:row>
    <x:row r="65">
      <x:c r="A65" s="9" t="str">
        <x:v>PD-AR-HU-A-B-TECH-4-B2-RCN-G0-PD11</x:v>
      </x:c>
      <x:c r="B65" s="9" t="str">
        <x:v>PD-AR-HU-A-B-TECH-4-B2-RCN-G0</x:v>
      </x:c>
      <x:c r="C65" s="9" t="str">
        <x:v>EV-AR-HU-A-B-TECH-4-B2-RCN-G0</x:v>
      </x:c>
      <x:c r="D65" s="9" t="str">
        <x:v>AR-HU-A-B-TECH-4-B2-RCN-G0</x:v>
      </x:c>
      <x:c r="E65" s="9" t="str">
        <x:v>HU-A-B-TECH-4</x:v>
      </x:c>
      <x:c r="F65" s="9" t="str">
        <x:v>HU-A-B</x:v>
      </x:c>
      <x:c r="G65" s="9" t="str">
        <x:v>B2</x:v>
      </x:c>
      <x:c r="H65" s="9" t="str">
        <x:v>RCN</x:v>
      </x:c>
      <x:c r="I65" s="9" t="str">
        <x:v>PD11</x:v>
      </x:c>
      <x:c r="J65" s="17" t="str">
        <x:v>Invalidity petition and opinion</x:v>
      </x:c>
      <x:c r="K65" s="17" t="str">
        <x:v>Invalidity court</x:v>
      </x:c>
      <x:c r="L65" s="17" t="str">
        <x:v>COURT-SEALED UNTIL COHORT RELEASE</x:v>
      </x:c>
      <x:c r="M65" s="9" t="n">
        <x:v>0</x:v>
      </x:c>
      <x:c r="N65" s="9" t="n">
        <x:v>0</x:v>
      </x:c>
      <x:c r="O65" s="9" t="n">
        <x:v>0</x:v>
      </x:c>
      <x:c r="P65" s="9" t="str">
        <x:v>HELD / UNRELEASED</x:v>
      </x:c>
      <x:c r="Q65" s="9" t="n">
        <x:f>COUNTIFS($A$7:$A$2310,A65)</x:f>
        <x:v>1</x:v>
      </x:c>
    </x:row>
    <x:row r="66">
      <x:c r="A66" s="9" t="str">
        <x:v>PD-AR-HU-A-B-TECH-4-B2-RCN-G0-PD12</x:v>
      </x:c>
      <x:c r="B66" s="9" t="str">
        <x:v>PD-AR-HU-A-B-TECH-4-B2-RCN-G0</x:v>
      </x:c>
      <x:c r="C66" s="9" t="str">
        <x:v>EV-AR-HU-A-B-TECH-4-B2-RCN-G0</x:v>
      </x:c>
      <x:c r="D66" s="9" t="str">
        <x:v>AR-HU-A-B-TECH-4-B2-RCN-G0</x:v>
      </x:c>
      <x:c r="E66" s="9" t="str">
        <x:v>HU-A-B-TECH-4</x:v>
      </x:c>
      <x:c r="F66" s="9" t="str">
        <x:v>HU-A-B</x:v>
      </x:c>
      <x:c r="G66" s="9" t="str">
        <x:v>B2</x:v>
      </x:c>
      <x:c r="H66" s="9" t="str">
        <x:v>RCN</x:v>
      </x:c>
      <x:c r="I66" s="9" t="str">
        <x:v>PD12</x:v>
      </x:c>
      <x:c r="J66" s="17" t="str">
        <x:v>Observation acceptance and replay</x:v>
      </x:c>
      <x:c r="K66" s="17" t="str">
        <x:v>Observation court</x:v>
      </x:c>
      <x:c r="L66" s="17" t="str">
        <x:v>COURT-SEALED UNTIL COHORT RELEASE</x:v>
      </x:c>
      <x:c r="M66" s="9" t="n">
        <x:v>0</x:v>
      </x:c>
      <x:c r="N66" s="9" t="n">
        <x:v>0</x:v>
      </x:c>
      <x:c r="O66" s="9" t="n">
        <x:v>0</x:v>
      </x:c>
      <x:c r="P66" s="9" t="str">
        <x:v>HELD / UNRELEASED</x:v>
      </x:c>
      <x:c r="Q66" s="9" t="n">
        <x:f>COUNTIFS($A$7:$A$2310,A66)</x:f>
        <x:v>1</x:v>
      </x:c>
    </x:row>
    <x:row r="67">
      <x:c r="A67" s="9" t="str">
        <x:v>PD-AR-HU-A-B-TECH-4-B2-RCN-G0-PD13</x:v>
      </x:c>
      <x:c r="B67" s="9" t="str">
        <x:v>PD-AR-HU-A-B-TECH-4-B2-RCN-G0</x:v>
      </x:c>
      <x:c r="C67" s="9" t="str">
        <x:v>EV-AR-HU-A-B-TECH-4-B2-RCN-G0</x:v>
      </x:c>
      <x:c r="D67" s="9" t="str">
        <x:v>AR-HU-A-B-TECH-4-B2-RCN-G0</x:v>
      </x:c>
      <x:c r="E67" s="9" t="str">
        <x:v>HU-A-B-TECH-4</x:v>
      </x:c>
      <x:c r="F67" s="9" t="str">
        <x:v>HU-A-B</x:v>
      </x:c>
      <x:c r="G67" s="9" t="str">
        <x:v>B2</x:v>
      </x:c>
      <x:c r="H67" s="9" t="str">
        <x:v>RCN</x:v>
      </x:c>
      <x:c r="I67" s="9" t="str">
        <x:v>PD13</x:v>
      </x:c>
      <x:c r="J67" s="17" t="str">
        <x:v>Role judgment</x:v>
      </x:c>
      <x:c r="K67" s="17" t="str">
        <x:v>Role court</x:v>
      </x:c>
      <x:c r="L67" s="17" t="str">
        <x:v>COURT-SEALED UNTIL COHORT RELEASE</x:v>
      </x:c>
      <x:c r="M67" s="9" t="n">
        <x:v>0</x:v>
      </x:c>
      <x:c r="N67" s="9" t="n">
        <x:v>0</x:v>
      </x:c>
      <x:c r="O67" s="9" t="n">
        <x:v>0</x:v>
      </x:c>
      <x:c r="P67" s="9" t="str">
        <x:v>HELD / UNRELEASED</x:v>
      </x:c>
      <x:c r="Q67" s="9" t="n">
        <x:f>COUNTIFS($A$7:$A$2310,A67)</x:f>
        <x:v>1</x:v>
      </x:c>
    </x:row>
    <x:row r="68">
      <x:c r="A68" s="9" t="str">
        <x:v>PD-AR-HU-A-B-TECH-4-B2-RCN-G0-PD14</x:v>
      </x:c>
      <x:c r="B68" s="9" t="str">
        <x:v>PD-AR-HU-A-B-TECH-4-B2-RCN-G0</x:v>
      </x:c>
      <x:c r="C68" s="9" t="str">
        <x:v>EV-AR-HU-A-B-TECH-4-B2-RCN-G0</x:v>
      </x:c>
      <x:c r="D68" s="9" t="str">
        <x:v>AR-HU-A-B-TECH-4-B2-RCN-G0</x:v>
      </x:c>
      <x:c r="E68" s="9" t="str">
        <x:v>HU-A-B-TECH-4</x:v>
      </x:c>
      <x:c r="F68" s="9" t="str">
        <x:v>HU-A-B</x:v>
      </x:c>
      <x:c r="G68" s="9" t="str">
        <x:v>B2</x:v>
      </x:c>
      <x:c r="H68" s="9" t="str">
        <x:v>RCN</x:v>
      </x:c>
      <x:c r="I68" s="9" t="str">
        <x:v>PD14</x:v>
      </x:c>
      <x:c r="J68" s="17" t="str">
        <x:v>Break and residual account</x:v>
      </x:c>
      <x:c r="K68" s="17" t="str">
        <x:v>Residual authority</x:v>
      </x:c>
      <x:c r="L68" s="17" t="str">
        <x:v>COURT-SEALED UNTIL COHORT RELEASE</x:v>
      </x:c>
      <x:c r="M68" s="9" t="n">
        <x:v>0</x:v>
      </x:c>
      <x:c r="N68" s="9" t="n">
        <x:v>0</x:v>
      </x:c>
      <x:c r="O68" s="9" t="n">
        <x:v>0</x:v>
      </x:c>
      <x:c r="P68" s="9" t="str">
        <x:v>HELD / UNRELEASED</x:v>
      </x:c>
      <x:c r="Q68" s="9" t="n">
        <x:f>COUNTIFS($A$7:$A$2310,A68)</x:f>
        <x:v>1</x:v>
      </x:c>
    </x:row>
    <x:row r="69">
      <x:c r="A69" s="9" t="str">
        <x:v>PD-AR-HU-A-B-TECH-4-B2-RCN-G0-PD15</x:v>
      </x:c>
      <x:c r="B69" s="9" t="str">
        <x:v>PD-AR-HU-A-B-TECH-4-B2-RCN-G0</x:v>
      </x:c>
      <x:c r="C69" s="9" t="str">
        <x:v>EV-AR-HU-A-B-TECH-4-B2-RCN-G0</x:v>
      </x:c>
      <x:c r="D69" s="9" t="str">
        <x:v>AR-HU-A-B-TECH-4-B2-RCN-G0</x:v>
      </x:c>
      <x:c r="E69" s="9" t="str">
        <x:v>HU-A-B-TECH-4</x:v>
      </x:c>
      <x:c r="F69" s="9" t="str">
        <x:v>HU-A-B</x:v>
      </x:c>
      <x:c r="G69" s="9" t="str">
        <x:v>B2</x:v>
      </x:c>
      <x:c r="H69" s="9" t="str">
        <x:v>RCN</x:v>
      </x:c>
      <x:c r="I69" s="9" t="str">
        <x:v>PD15</x:v>
      </x:c>
      <x:c r="J69" s="17" t="str">
        <x:v>Reconstruction ancestry and replay</x:v>
      </x:c>
      <x:c r="K69" s="17" t="str">
        <x:v>Reconstruction court</x:v>
      </x:c>
      <x:c r="L69" s="17" t="str">
        <x:v>COURT-SEALED UNTIL COHORT RELEASE</x:v>
      </x:c>
      <x:c r="M69" s="9" t="n">
        <x:v>0</x:v>
      </x:c>
      <x:c r="N69" s="9" t="n">
        <x:v>0</x:v>
      </x:c>
      <x:c r="O69" s="9" t="n">
        <x:v>0</x:v>
      </x:c>
      <x:c r="P69" s="9" t="str">
        <x:v>HELD / UNRELEASED</x:v>
      </x:c>
      <x:c r="Q69" s="9" t="n">
        <x:f>COUNTIFS($A$7:$A$2310,A69)</x:f>
        <x:v>1</x:v>
      </x:c>
    </x:row>
    <x:row r="70">
      <x:c r="A70" s="9" t="str">
        <x:v>PD-AR-HU-A-B-TECH-4-B2-RCN-G0-PD16</x:v>
      </x:c>
      <x:c r="B70" s="9" t="str">
        <x:v>PD-AR-HU-A-B-TECH-4-B2-RCN-G0</x:v>
      </x:c>
      <x:c r="C70" s="9" t="str">
        <x:v>EV-AR-HU-A-B-TECH-4-B2-RCN-G0</x:v>
      </x:c>
      <x:c r="D70" s="9" t="str">
        <x:v>AR-HU-A-B-TECH-4-B2-RCN-G0</x:v>
      </x:c>
      <x:c r="E70" s="9" t="str">
        <x:v>HU-A-B-TECH-4</x:v>
      </x:c>
      <x:c r="F70" s="9" t="str">
        <x:v>HU-A-B</x:v>
      </x:c>
      <x:c r="G70" s="9" t="str">
        <x:v>B2</x:v>
      </x:c>
      <x:c r="H70" s="9" t="str">
        <x:v>RCN</x:v>
      </x:c>
      <x:c r="I70" s="9" t="str">
        <x:v>PD16</x:v>
      </x:c>
      <x:c r="J70" s="17" t="str">
        <x:v>Dissent, amendments and access log</x:v>
      </x:c>
      <x:c r="K70" s="17" t="str">
        <x:v>Public archive</x:v>
      </x:c>
      <x:c r="L70" s="17" t="str">
        <x:v>COURT-SEALED UNTIL COHORT RELEASE</x:v>
      </x:c>
      <x:c r="M70" s="9" t="n">
        <x:v>0</x:v>
      </x:c>
      <x:c r="N70" s="9" t="n">
        <x:v>0</x:v>
      </x:c>
      <x:c r="O70" s="9" t="n">
        <x:v>0</x:v>
      </x:c>
      <x:c r="P70" s="9" t="str">
        <x:v>HELD / UNRELEASED</x:v>
      </x:c>
      <x:c r="Q70" s="9" t="n">
        <x:f>COUNTIFS($A$7:$A$2310,A70)</x:f>
        <x:v>1</x:v>
      </x:c>
    </x:row>
    <x:row r="71">
      <x:c r="A71" s="9" t="str">
        <x:v>PD-AR-HU-A-B-TECH-2-B2-INT-G0-PD01</x:v>
      </x:c>
      <x:c r="B71" s="9" t="str">
        <x:v>PD-AR-HU-A-B-TECH-2-B2-INT-G0</x:v>
      </x:c>
      <x:c r="C71" s="9" t="str">
        <x:v>EV-AR-HU-A-B-TECH-2-B2-INT-G0</x:v>
      </x:c>
      <x:c r="D71" s="9" t="str">
        <x:v>AR-HU-A-B-TECH-2-B2-INT-G0</x:v>
      </x:c>
      <x:c r="E71" s="9" t="str">
        <x:v>HU-A-B-TECH-2</x:v>
      </x:c>
      <x:c r="F71" s="9" t="str">
        <x:v>HU-A-B</x:v>
      </x:c>
      <x:c r="G71" s="9" t="str">
        <x:v>B2</x:v>
      </x:c>
      <x:c r="H71" s="9" t="str">
        <x:v>INT</x:v>
      </x:c>
      <x:c r="I71" s="9" t="str">
        <x:v>PD01</x:v>
      </x:c>
      <x:c r="J71" s="17" t="str">
        <x:v>Experiment kernel</x:v>
      </x:c>
      <x:c r="K71" s="17" t="str">
        <x:v>Public archive</x:v>
      </x:c>
      <x:c r="L71" s="17" t="str">
        <x:v>COURT-SEALED UNTIL COHORT RELEASE</x:v>
      </x:c>
      <x:c r="M71" s="9" t="n">
        <x:v>0</x:v>
      </x:c>
      <x:c r="N71" s="9" t="n">
        <x:v>0</x:v>
      </x:c>
      <x:c r="O71" s="9" t="n">
        <x:v>0</x:v>
      </x:c>
      <x:c r="P71" s="9" t="str">
        <x:v>HELD / UNRELEASED</x:v>
      </x:c>
      <x:c r="Q71" s="9" t="n">
        <x:f>COUNTIFS($A$7:$A$2310,A71)</x:f>
        <x:v>1</x:v>
      </x:c>
    </x:row>
    <x:row r="72">
      <x:c r="A72" s="9" t="str">
        <x:v>PD-AR-HU-A-B-TECH-2-B2-INT-G0-PD02</x:v>
      </x:c>
      <x:c r="B72" s="9" t="str">
        <x:v>PD-AR-HU-A-B-TECH-2-B2-INT-G0</x:v>
      </x:c>
      <x:c r="C72" s="9" t="str">
        <x:v>EV-AR-HU-A-B-TECH-2-B2-INT-G0</x:v>
      </x:c>
      <x:c r="D72" s="9" t="str">
        <x:v>AR-HU-A-B-TECH-2-B2-INT-G0</x:v>
      </x:c>
      <x:c r="E72" s="9" t="str">
        <x:v>HU-A-B-TECH-2</x:v>
      </x:c>
      <x:c r="F72" s="9" t="str">
        <x:v>HU-A-B</x:v>
      </x:c>
      <x:c r="G72" s="9" t="str">
        <x:v>B2</x:v>
      </x:c>
      <x:c r="H72" s="9" t="str">
        <x:v>INT</x:v>
      </x:c>
      <x:c r="I72" s="9" t="str">
        <x:v>PD02</x:v>
      </x:c>
      <x:c r="J72" s="17" t="str">
        <x:v>Serial annex and title chain</x:v>
      </x:c>
      <x:c r="K72" s="17" t="str">
        <x:v>Public archive</x:v>
      </x:c>
      <x:c r="L72" s="17" t="str">
        <x:v>COURT-SEALED UNTIL COHORT RELEASE</x:v>
      </x:c>
      <x:c r="M72" s="9" t="n">
        <x:v>0</x:v>
      </x:c>
      <x:c r="N72" s="9" t="n">
        <x:v>0</x:v>
      </x:c>
      <x:c r="O72" s="9" t="n">
        <x:v>0</x:v>
      </x:c>
      <x:c r="P72" s="9" t="str">
        <x:v>HELD / UNRELEASED</x:v>
      </x:c>
      <x:c r="Q72" s="9" t="n">
        <x:f>COUNTIFS($A$7:$A$2310,A72)</x:f>
        <x:v>1</x:v>
      </x:c>
    </x:row>
    <x:row r="73">
      <x:c r="A73" s="9" t="str">
        <x:v>PD-AR-HU-A-B-TECH-2-B2-INT-G0-PD03</x:v>
      </x:c>
      <x:c r="B73" s="9" t="str">
        <x:v>PD-AR-HU-A-B-TECH-2-B2-INT-G0</x:v>
      </x:c>
      <x:c r="C73" s="9" t="str">
        <x:v>EV-AR-HU-A-B-TECH-2-B2-INT-G0</x:v>
      </x:c>
      <x:c r="D73" s="9" t="str">
        <x:v>AR-HU-A-B-TECH-2-B2-INT-G0</x:v>
      </x:c>
      <x:c r="E73" s="9" t="str">
        <x:v>HU-A-B-TECH-2</x:v>
      </x:c>
      <x:c r="F73" s="9" t="str">
        <x:v>HU-A-B</x:v>
      </x:c>
      <x:c r="G73" s="9" t="str">
        <x:v>B2</x:v>
      </x:c>
      <x:c r="H73" s="9" t="str">
        <x:v>INT</x:v>
      </x:c>
      <x:c r="I73" s="9" t="str">
        <x:v>PD03</x:v>
      </x:c>
      <x:c r="J73" s="17" t="str">
        <x:v>Configuration and as-built manifest</x:v>
      </x:c>
      <x:c r="K73" s="17" t="str">
        <x:v>Artifact exchange</x:v>
      </x:c>
      <x:c r="L73" s="17" t="str">
        <x:v>COURT-SEALED UNTIL COHORT RELEASE</x:v>
      </x:c>
      <x:c r="M73" s="9" t="n">
        <x:v>0</x:v>
      </x:c>
      <x:c r="N73" s="9" t="n">
        <x:v>0</x:v>
      </x:c>
      <x:c r="O73" s="9" t="n">
        <x:v>0</x:v>
      </x:c>
      <x:c r="P73" s="9" t="str">
        <x:v>HELD / UNRELEASED</x:v>
      </x:c>
      <x:c r="Q73" s="9" t="n">
        <x:f>COUNTIFS($A$7:$A$2310,A73)</x:f>
        <x:v>1</x:v>
      </x:c>
    </x:row>
    <x:row r="74">
      <x:c r="A74" s="9" t="str">
        <x:v>PD-AR-HU-A-B-TECH-2-B2-INT-G0-PD04</x:v>
      </x:c>
      <x:c r="B74" s="9" t="str">
        <x:v>PD-AR-HU-A-B-TECH-2-B2-INT-G0</x:v>
      </x:c>
      <x:c r="C74" s="9" t="str">
        <x:v>EV-AR-HU-A-B-TECH-2-B2-INT-G0</x:v>
      </x:c>
      <x:c r="D74" s="9" t="str">
        <x:v>AR-HU-A-B-TECH-2-B2-INT-G0</x:v>
      </x:c>
      <x:c r="E74" s="9" t="str">
        <x:v>HU-A-B-TECH-2</x:v>
      </x:c>
      <x:c r="F74" s="9" t="str">
        <x:v>HU-A-B</x:v>
      </x:c>
      <x:c r="G74" s="9" t="str">
        <x:v>B2</x:v>
      </x:c>
      <x:c r="H74" s="9" t="str">
        <x:v>INT</x:v>
      </x:c>
      <x:c r="I74" s="9" t="str">
        <x:v>PD04</x:v>
      </x:c>
      <x:c r="J74" s="17" t="str">
        <x:v>EOW and start certificate</x:v>
      </x:c>
      <x:c r="K74" s="17" t="str">
        <x:v>Start registrar</x:v>
      </x:c>
      <x:c r="L74" s="17" t="str">
        <x:v>COURT-SEALED UNTIL COHORT RELEASE</x:v>
      </x:c>
      <x:c r="M74" s="9" t="n">
        <x:v>0</x:v>
      </x:c>
      <x:c r="N74" s="9" t="n">
        <x:v>0</x:v>
      </x:c>
      <x:c r="O74" s="9" t="n">
        <x:v>0</x:v>
      </x:c>
      <x:c r="P74" s="9" t="str">
        <x:v>HELD / UNRELEASED</x:v>
      </x:c>
      <x:c r="Q74" s="9" t="n">
        <x:f>COUNTIFS($A$7:$A$2310,A74)</x:f>
        <x:v>1</x:v>
      </x:c>
    </x:row>
    <x:row r="75">
      <x:c r="A75" s="9" t="str">
        <x:v>PD-AR-HU-A-B-TECH-2-B2-INT-G0-PD05</x:v>
      </x:c>
      <x:c r="B75" s="9" t="str">
        <x:v>PD-AR-HU-A-B-TECH-2-B2-INT-G0</x:v>
      </x:c>
      <x:c r="C75" s="9" t="str">
        <x:v>EV-AR-HU-A-B-TECH-2-B2-INT-G0</x:v>
      </x:c>
      <x:c r="D75" s="9" t="str">
        <x:v>AR-HU-A-B-TECH-2-B2-INT-G0</x:v>
      </x:c>
      <x:c r="E75" s="9" t="str">
        <x:v>HU-A-B-TECH-2</x:v>
      </x:c>
      <x:c r="F75" s="9" t="str">
        <x:v>HU-A-B</x:v>
      </x:c>
      <x:c r="G75" s="9" t="str">
        <x:v>B2</x:v>
      </x:c>
      <x:c r="H75" s="9" t="str">
        <x:v>INT</x:v>
      </x:c>
      <x:c r="I75" s="9" t="str">
        <x:v>PD05</x:v>
      </x:c>
      <x:c r="J75" s="17" t="str">
        <x:v>Primary raw originals</x:v>
      </x:c>
      <x:c r="K75" s="17" t="str">
        <x:v>Primary custody</x:v>
      </x:c>
      <x:c r="L75" s="17" t="str">
        <x:v>COURT-SEALED UNTIL COHORT RELEASE</x:v>
      </x:c>
      <x:c r="M75" s="9" t="n">
        <x:v>0</x:v>
      </x:c>
      <x:c r="N75" s="9" t="n">
        <x:v>0</x:v>
      </x:c>
      <x:c r="O75" s="9" t="n">
        <x:v>0</x:v>
      </x:c>
      <x:c r="P75" s="9" t="str">
        <x:v>HELD / UNRELEASED</x:v>
      </x:c>
      <x:c r="Q75" s="9" t="n">
        <x:f>COUNTIFS($A$7:$A$2310,A75)</x:f>
        <x:v>1</x:v>
      </x:c>
    </x:row>
    <x:row r="76">
      <x:c r="A76" s="9" t="str">
        <x:v>PD-AR-HU-A-B-TECH-2-B2-INT-G0-PD06</x:v>
      </x:c>
      <x:c r="B76" s="9" t="str">
        <x:v>PD-AR-HU-A-B-TECH-2-B2-INT-G0</x:v>
      </x:c>
      <x:c r="C76" s="9" t="str">
        <x:v>EV-AR-HU-A-B-TECH-2-B2-INT-G0</x:v>
      </x:c>
      <x:c r="D76" s="9" t="str">
        <x:v>AR-HU-A-B-TECH-2-B2-INT-G0</x:v>
      </x:c>
      <x:c r="E76" s="9" t="str">
        <x:v>HU-A-B-TECH-2</x:v>
      </x:c>
      <x:c r="F76" s="9" t="str">
        <x:v>HU-A-B</x:v>
      </x:c>
      <x:c r="G76" s="9" t="str">
        <x:v>B2</x:v>
      </x:c>
      <x:c r="H76" s="9" t="str">
        <x:v>INT</x:v>
      </x:c>
      <x:c r="I76" s="9" t="str">
        <x:v>PD06</x:v>
      </x:c>
      <x:c r="J76" s="17" t="str">
        <x:v>Witness raw originals</x:v>
      </x:c>
      <x:c r="K76" s="17" t="str">
        <x:v>Witness custody</x:v>
      </x:c>
      <x:c r="L76" s="17" t="str">
        <x:v>COURT-SEALED UNTIL COHORT RELEASE</x:v>
      </x:c>
      <x:c r="M76" s="9" t="n">
        <x:v>0</x:v>
      </x:c>
      <x:c r="N76" s="9" t="n">
        <x:v>0</x:v>
      </x:c>
      <x:c r="O76" s="9" t="n">
        <x:v>0</x:v>
      </x:c>
      <x:c r="P76" s="9" t="str">
        <x:v>HELD / UNRELEASED</x:v>
      </x:c>
      <x:c r="Q76" s="9" t="n">
        <x:f>COUNTIFS($A$7:$A$2310,A76)</x:f>
        <x:v>1</x:v>
      </x:c>
    </x:row>
    <x:row r="77">
      <x:c r="A77" s="9" t="str">
        <x:v>PD-AR-HU-A-B-TECH-2-B2-INT-G0-PD07</x:v>
      </x:c>
      <x:c r="B77" s="9" t="str">
        <x:v>PD-AR-HU-A-B-TECH-2-B2-INT-G0</x:v>
      </x:c>
      <x:c r="C77" s="9" t="str">
        <x:v>EV-AR-HU-A-B-TECH-2-B2-INT-G0</x:v>
      </x:c>
      <x:c r="D77" s="9" t="str">
        <x:v>AR-HU-A-B-TECH-2-B2-INT-G0</x:v>
      </x:c>
      <x:c r="E77" s="9" t="str">
        <x:v>HU-A-B-TECH-2</x:v>
      </x:c>
      <x:c r="F77" s="9" t="str">
        <x:v>HU-A-B</x:v>
      </x:c>
      <x:c r="G77" s="9" t="str">
        <x:v>B2</x:v>
      </x:c>
      <x:c r="H77" s="9" t="str">
        <x:v>INT</x:v>
      </x:c>
      <x:c r="I77" s="9" t="str">
        <x:v>PD07</x:v>
      </x:c>
      <x:c r="J77" s="17" t="str">
        <x:v>Clock and environmental records</x:v>
      </x:c>
      <x:c r="K77" s="17" t="str">
        <x:v>Boundary archive</x:v>
      </x:c>
      <x:c r="L77" s="17" t="str">
        <x:v>COURT-SEALED UNTIL COHORT RELEASE</x:v>
      </x:c>
      <x:c r="M77" s="9" t="n">
        <x:v>0</x:v>
      </x:c>
      <x:c r="N77" s="9" t="n">
        <x:v>0</x:v>
      </x:c>
      <x:c r="O77" s="9" t="n">
        <x:v>0</x:v>
      </x:c>
      <x:c r="P77" s="9" t="str">
        <x:v>HELD / UNRELEASED</x:v>
      </x:c>
      <x:c r="Q77" s="9" t="n">
        <x:f>COUNTIFS($A$7:$A$2310,A77)</x:f>
        <x:v>1</x:v>
      </x:c>
    </x:row>
    <x:row r="78">
      <x:c r="A78" s="9" t="str">
        <x:v>PD-AR-HU-A-B-TECH-2-B2-INT-G0-PD08</x:v>
      </x:c>
      <x:c r="B78" s="9" t="str">
        <x:v>PD-AR-HU-A-B-TECH-2-B2-INT-G0</x:v>
      </x:c>
      <x:c r="C78" s="9" t="str">
        <x:v>EV-AR-HU-A-B-TECH-2-B2-INT-G0</x:v>
      </x:c>
      <x:c r="D78" s="9" t="str">
        <x:v>AR-HU-A-B-TECH-2-B2-INT-G0</x:v>
      </x:c>
      <x:c r="E78" s="9" t="str">
        <x:v>HU-A-B-TECH-2</x:v>
      </x:c>
      <x:c r="F78" s="9" t="str">
        <x:v>HU-A-B</x:v>
      </x:c>
      <x:c r="G78" s="9" t="str">
        <x:v>B2</x:v>
      </x:c>
      <x:c r="H78" s="9" t="str">
        <x:v>INT</x:v>
      </x:c>
      <x:c r="I78" s="9" t="str">
        <x:v>PD08</x:v>
      </x:c>
      <x:c r="J78" s="17" t="str">
        <x:v>Command and intervention log</x:v>
      </x:c>
      <x:c r="K78" s="17" t="str">
        <x:v>Safety archive</x:v>
      </x:c>
      <x:c r="L78" s="17" t="str">
        <x:v>COURT-SEALED UNTIL COHORT RELEASE</x:v>
      </x:c>
      <x:c r="M78" s="9" t="n">
        <x:v>0</x:v>
      </x:c>
      <x:c r="N78" s="9" t="n">
        <x:v>0</x:v>
      </x:c>
      <x:c r="O78" s="9" t="n">
        <x:v>0</x:v>
      </x:c>
      <x:c r="P78" s="9" t="str">
        <x:v>HELD / UNRELEASED</x:v>
      </x:c>
      <x:c r="Q78" s="9" t="n">
        <x:f>COUNTIFS($A$7:$A$2310,A78)</x:f>
        <x:v>1</x:v>
      </x:c>
    </x:row>
    <x:row r="79">
      <x:c r="A79" s="9" t="str">
        <x:v>PD-AR-HU-A-B-TECH-2-B2-INT-G0-PD09</x:v>
      </x:c>
      <x:c r="B79" s="9" t="str">
        <x:v>PD-AR-HU-A-B-TECH-2-B2-INT-G0</x:v>
      </x:c>
      <x:c r="C79" s="9" t="str">
        <x:v>EV-AR-HU-A-B-TECH-2-B2-INT-G0</x:v>
      </x:c>
      <x:c r="D79" s="9" t="str">
        <x:v>AR-HU-A-B-TECH-2-B2-INT-G0</x:v>
      </x:c>
      <x:c r="E79" s="9" t="str">
        <x:v>HU-A-B-TECH-2</x:v>
      </x:c>
      <x:c r="F79" s="9" t="str">
        <x:v>HU-A-B</x:v>
      </x:c>
      <x:c r="G79" s="9" t="str">
        <x:v>B2</x:v>
      </x:c>
      <x:c r="H79" s="9" t="str">
        <x:v>INT</x:v>
      </x:c>
      <x:c r="I79" s="9" t="str">
        <x:v>PD09</x:v>
      </x:c>
      <x:c r="J79" s="17" t="str">
        <x:v>Receiver denominator and service ledger</x:v>
      </x:c>
      <x:c r="K79" s="17" t="str">
        <x:v>Receiver archive</x:v>
      </x:c>
      <x:c r="L79" s="17" t="str">
        <x:v>COURT-SEALED UNTIL COHORT RELEASE</x:v>
      </x:c>
      <x:c r="M79" s="9" t="n">
        <x:v>0</x:v>
      </x:c>
      <x:c r="N79" s="9" t="n">
        <x:v>0</x:v>
      </x:c>
      <x:c r="O79" s="9" t="n">
        <x:v>0</x:v>
      </x:c>
      <x:c r="P79" s="9" t="str">
        <x:v>HELD / UNRELEASED</x:v>
      </x:c>
      <x:c r="Q79" s="9" t="n">
        <x:f>COUNTIFS($A$7:$A$2310,A79)</x:f>
        <x:v>1</x:v>
      </x:c>
    </x:row>
    <x:row r="80">
      <x:c r="A80" s="9" t="str">
        <x:v>PD-AR-HU-A-B-TECH-2-B2-INT-G0-PD10</x:v>
      </x:c>
      <x:c r="B80" s="9" t="str">
        <x:v>PD-AR-HU-A-B-TECH-2-B2-INT-G0</x:v>
      </x:c>
      <x:c r="C80" s="9" t="str">
        <x:v>EV-AR-HU-A-B-TECH-2-B2-INT-G0</x:v>
      </x:c>
      <x:c r="D80" s="9" t="str">
        <x:v>AR-HU-A-B-TECH-2-B2-INT-G0</x:v>
      </x:c>
      <x:c r="E80" s="9" t="str">
        <x:v>HU-A-B-TECH-2</x:v>
      </x:c>
      <x:c r="F80" s="9" t="str">
        <x:v>HU-A-B</x:v>
      </x:c>
      <x:c r="G80" s="9" t="str">
        <x:v>B2</x:v>
      </x:c>
      <x:c r="H80" s="9" t="str">
        <x:v>INT</x:v>
      </x:c>
      <x:c r="I80" s="9" t="str">
        <x:v>PD10</x:v>
      </x:c>
      <x:c r="J80" s="17" t="str">
        <x:v>Calibration and uncertainty record</x:v>
      </x:c>
      <x:c r="K80" s="17" t="str">
        <x:v>Metrology archive</x:v>
      </x:c>
      <x:c r="L80" s="17" t="str">
        <x:v>COURT-SEALED UNTIL COHORT RELEASE</x:v>
      </x:c>
      <x:c r="M80" s="9" t="n">
        <x:v>0</x:v>
      </x:c>
      <x:c r="N80" s="9" t="n">
        <x:v>0</x:v>
      </x:c>
      <x:c r="O80" s="9" t="n">
        <x:v>0</x:v>
      </x:c>
      <x:c r="P80" s="9" t="str">
        <x:v>HELD / UNRELEASED</x:v>
      </x:c>
      <x:c r="Q80" s="9" t="n">
        <x:f>COUNTIFS($A$7:$A$2310,A80)</x:f>
        <x:v>1</x:v>
      </x:c>
    </x:row>
    <x:row r="81">
      <x:c r="A81" s="9" t="str">
        <x:v>PD-AR-HU-A-B-TECH-2-B2-INT-G0-PD11</x:v>
      </x:c>
      <x:c r="B81" s="9" t="str">
        <x:v>PD-AR-HU-A-B-TECH-2-B2-INT-G0</x:v>
      </x:c>
      <x:c r="C81" s="9" t="str">
        <x:v>EV-AR-HU-A-B-TECH-2-B2-INT-G0</x:v>
      </x:c>
      <x:c r="D81" s="9" t="str">
        <x:v>AR-HU-A-B-TECH-2-B2-INT-G0</x:v>
      </x:c>
      <x:c r="E81" s="9" t="str">
        <x:v>HU-A-B-TECH-2</x:v>
      </x:c>
      <x:c r="F81" s="9" t="str">
        <x:v>HU-A-B</x:v>
      </x:c>
      <x:c r="G81" s="9" t="str">
        <x:v>B2</x:v>
      </x:c>
      <x:c r="H81" s="9" t="str">
        <x:v>INT</x:v>
      </x:c>
      <x:c r="I81" s="9" t="str">
        <x:v>PD11</x:v>
      </x:c>
      <x:c r="J81" s="17" t="str">
        <x:v>Invalidity petition and opinion</x:v>
      </x:c>
      <x:c r="K81" s="17" t="str">
        <x:v>Invalidity court</x:v>
      </x:c>
      <x:c r="L81" s="17" t="str">
        <x:v>COURT-SEALED UNTIL COHORT RELEASE</x:v>
      </x:c>
      <x:c r="M81" s="9" t="n">
        <x:v>0</x:v>
      </x:c>
      <x:c r="N81" s="9" t="n">
        <x:v>0</x:v>
      </x:c>
      <x:c r="O81" s="9" t="n">
        <x:v>0</x:v>
      </x:c>
      <x:c r="P81" s="9" t="str">
        <x:v>HELD / UNRELEASED</x:v>
      </x:c>
      <x:c r="Q81" s="9" t="n">
        <x:f>COUNTIFS($A$7:$A$2310,A81)</x:f>
        <x:v>1</x:v>
      </x:c>
    </x:row>
    <x:row r="82">
      <x:c r="A82" s="9" t="str">
        <x:v>PD-AR-HU-A-B-TECH-2-B2-INT-G0-PD12</x:v>
      </x:c>
      <x:c r="B82" s="9" t="str">
        <x:v>PD-AR-HU-A-B-TECH-2-B2-INT-G0</x:v>
      </x:c>
      <x:c r="C82" s="9" t="str">
        <x:v>EV-AR-HU-A-B-TECH-2-B2-INT-G0</x:v>
      </x:c>
      <x:c r="D82" s="9" t="str">
        <x:v>AR-HU-A-B-TECH-2-B2-INT-G0</x:v>
      </x:c>
      <x:c r="E82" s="9" t="str">
        <x:v>HU-A-B-TECH-2</x:v>
      </x:c>
      <x:c r="F82" s="9" t="str">
        <x:v>HU-A-B</x:v>
      </x:c>
      <x:c r="G82" s="9" t="str">
        <x:v>B2</x:v>
      </x:c>
      <x:c r="H82" s="9" t="str">
        <x:v>INT</x:v>
      </x:c>
      <x:c r="I82" s="9" t="str">
        <x:v>PD12</x:v>
      </x:c>
      <x:c r="J82" s="17" t="str">
        <x:v>Observation acceptance and replay</x:v>
      </x:c>
      <x:c r="K82" s="17" t="str">
        <x:v>Observation court</x:v>
      </x:c>
      <x:c r="L82" s="17" t="str">
        <x:v>COURT-SEALED UNTIL COHORT RELEASE</x:v>
      </x:c>
      <x:c r="M82" s="9" t="n">
        <x:v>0</x:v>
      </x:c>
      <x:c r="N82" s="9" t="n">
        <x:v>0</x:v>
      </x:c>
      <x:c r="O82" s="9" t="n">
        <x:v>0</x:v>
      </x:c>
      <x:c r="P82" s="9" t="str">
        <x:v>HELD / UNRELEASED</x:v>
      </x:c>
      <x:c r="Q82" s="9" t="n">
        <x:f>COUNTIFS($A$7:$A$2310,A82)</x:f>
        <x:v>1</x:v>
      </x:c>
    </x:row>
    <x:row r="83">
      <x:c r="A83" s="9" t="str">
        <x:v>PD-AR-HU-A-B-TECH-2-B2-INT-G0-PD13</x:v>
      </x:c>
      <x:c r="B83" s="9" t="str">
        <x:v>PD-AR-HU-A-B-TECH-2-B2-INT-G0</x:v>
      </x:c>
      <x:c r="C83" s="9" t="str">
        <x:v>EV-AR-HU-A-B-TECH-2-B2-INT-G0</x:v>
      </x:c>
      <x:c r="D83" s="9" t="str">
        <x:v>AR-HU-A-B-TECH-2-B2-INT-G0</x:v>
      </x:c>
      <x:c r="E83" s="9" t="str">
        <x:v>HU-A-B-TECH-2</x:v>
      </x:c>
      <x:c r="F83" s="9" t="str">
        <x:v>HU-A-B</x:v>
      </x:c>
      <x:c r="G83" s="9" t="str">
        <x:v>B2</x:v>
      </x:c>
      <x:c r="H83" s="9" t="str">
        <x:v>INT</x:v>
      </x:c>
      <x:c r="I83" s="9" t="str">
        <x:v>PD13</x:v>
      </x:c>
      <x:c r="J83" s="17" t="str">
        <x:v>Role judgment</x:v>
      </x:c>
      <x:c r="K83" s="17" t="str">
        <x:v>Role court</x:v>
      </x:c>
      <x:c r="L83" s="17" t="str">
        <x:v>COURT-SEALED UNTIL COHORT RELEASE</x:v>
      </x:c>
      <x:c r="M83" s="9" t="n">
        <x:v>0</x:v>
      </x:c>
      <x:c r="N83" s="9" t="n">
        <x:v>0</x:v>
      </x:c>
      <x:c r="O83" s="9" t="n">
        <x:v>0</x:v>
      </x:c>
      <x:c r="P83" s="9" t="str">
        <x:v>HELD / UNRELEASED</x:v>
      </x:c>
      <x:c r="Q83" s="9" t="n">
        <x:f>COUNTIFS($A$7:$A$2310,A83)</x:f>
        <x:v>1</x:v>
      </x:c>
    </x:row>
    <x:row r="84">
      <x:c r="A84" s="9" t="str">
        <x:v>PD-AR-HU-A-B-TECH-2-B2-INT-G0-PD14</x:v>
      </x:c>
      <x:c r="B84" s="9" t="str">
        <x:v>PD-AR-HU-A-B-TECH-2-B2-INT-G0</x:v>
      </x:c>
      <x:c r="C84" s="9" t="str">
        <x:v>EV-AR-HU-A-B-TECH-2-B2-INT-G0</x:v>
      </x:c>
      <x:c r="D84" s="9" t="str">
        <x:v>AR-HU-A-B-TECH-2-B2-INT-G0</x:v>
      </x:c>
      <x:c r="E84" s="9" t="str">
        <x:v>HU-A-B-TECH-2</x:v>
      </x:c>
      <x:c r="F84" s="9" t="str">
        <x:v>HU-A-B</x:v>
      </x:c>
      <x:c r="G84" s="9" t="str">
        <x:v>B2</x:v>
      </x:c>
      <x:c r="H84" s="9" t="str">
        <x:v>INT</x:v>
      </x:c>
      <x:c r="I84" s="9" t="str">
        <x:v>PD14</x:v>
      </x:c>
      <x:c r="J84" s="17" t="str">
        <x:v>Break and residual account</x:v>
      </x:c>
      <x:c r="K84" s="17" t="str">
        <x:v>Residual authority</x:v>
      </x:c>
      <x:c r="L84" s="17" t="str">
        <x:v>COURT-SEALED UNTIL COHORT RELEASE</x:v>
      </x:c>
      <x:c r="M84" s="9" t="n">
        <x:v>0</x:v>
      </x:c>
      <x:c r="N84" s="9" t="n">
        <x:v>0</x:v>
      </x:c>
      <x:c r="O84" s="9" t="n">
        <x:v>0</x:v>
      </x:c>
      <x:c r="P84" s="9" t="str">
        <x:v>HELD / UNRELEASED</x:v>
      </x:c>
      <x:c r="Q84" s="9" t="n">
        <x:f>COUNTIFS($A$7:$A$2310,A84)</x:f>
        <x:v>1</x:v>
      </x:c>
    </x:row>
    <x:row r="85">
      <x:c r="A85" s="9" t="str">
        <x:v>PD-AR-HU-A-B-TECH-2-B2-INT-G0-PD15</x:v>
      </x:c>
      <x:c r="B85" s="9" t="str">
        <x:v>PD-AR-HU-A-B-TECH-2-B2-INT-G0</x:v>
      </x:c>
      <x:c r="C85" s="9" t="str">
        <x:v>EV-AR-HU-A-B-TECH-2-B2-INT-G0</x:v>
      </x:c>
      <x:c r="D85" s="9" t="str">
        <x:v>AR-HU-A-B-TECH-2-B2-INT-G0</x:v>
      </x:c>
      <x:c r="E85" s="9" t="str">
        <x:v>HU-A-B-TECH-2</x:v>
      </x:c>
      <x:c r="F85" s="9" t="str">
        <x:v>HU-A-B</x:v>
      </x:c>
      <x:c r="G85" s="9" t="str">
        <x:v>B2</x:v>
      </x:c>
      <x:c r="H85" s="9" t="str">
        <x:v>INT</x:v>
      </x:c>
      <x:c r="I85" s="9" t="str">
        <x:v>PD15</x:v>
      </x:c>
      <x:c r="J85" s="17" t="str">
        <x:v>Reconstruction ancestry and replay</x:v>
      </x:c>
      <x:c r="K85" s="17" t="str">
        <x:v>Reconstruction court</x:v>
      </x:c>
      <x:c r="L85" s="17" t="str">
        <x:v>COURT-SEALED UNTIL COHORT RELEASE</x:v>
      </x:c>
      <x:c r="M85" s="9" t="n">
        <x:v>0</x:v>
      </x:c>
      <x:c r="N85" s="9" t="n">
        <x:v>0</x:v>
      </x:c>
      <x:c r="O85" s="9" t="n">
        <x:v>0</x:v>
      </x:c>
      <x:c r="P85" s="9" t="str">
        <x:v>HELD / UNRELEASED</x:v>
      </x:c>
      <x:c r="Q85" s="9" t="n">
        <x:f>COUNTIFS($A$7:$A$2310,A85)</x:f>
        <x:v>1</x:v>
      </x:c>
    </x:row>
    <x:row r="86">
      <x:c r="A86" s="9" t="str">
        <x:v>PD-AR-HU-A-B-TECH-2-B2-INT-G0-PD16</x:v>
      </x:c>
      <x:c r="B86" s="9" t="str">
        <x:v>PD-AR-HU-A-B-TECH-2-B2-INT-G0</x:v>
      </x:c>
      <x:c r="C86" s="9" t="str">
        <x:v>EV-AR-HU-A-B-TECH-2-B2-INT-G0</x:v>
      </x:c>
      <x:c r="D86" s="9" t="str">
        <x:v>AR-HU-A-B-TECH-2-B2-INT-G0</x:v>
      </x:c>
      <x:c r="E86" s="9" t="str">
        <x:v>HU-A-B-TECH-2</x:v>
      </x:c>
      <x:c r="F86" s="9" t="str">
        <x:v>HU-A-B</x:v>
      </x:c>
      <x:c r="G86" s="9" t="str">
        <x:v>B2</x:v>
      </x:c>
      <x:c r="H86" s="9" t="str">
        <x:v>INT</x:v>
      </x:c>
      <x:c r="I86" s="9" t="str">
        <x:v>PD16</x:v>
      </x:c>
      <x:c r="J86" s="17" t="str">
        <x:v>Dissent, amendments and access log</x:v>
      </x:c>
      <x:c r="K86" s="17" t="str">
        <x:v>Public archive</x:v>
      </x:c>
      <x:c r="L86" s="17" t="str">
        <x:v>COURT-SEALED UNTIL COHORT RELEASE</x:v>
      </x:c>
      <x:c r="M86" s="9" t="n">
        <x:v>0</x:v>
      </x:c>
      <x:c r="N86" s="9" t="n">
        <x:v>0</x:v>
      </x:c>
      <x:c r="O86" s="9" t="n">
        <x:v>0</x:v>
      </x:c>
      <x:c r="P86" s="9" t="str">
        <x:v>HELD / UNRELEASED</x:v>
      </x:c>
      <x:c r="Q86" s="9" t="n">
        <x:f>COUNTIFS($A$7:$A$2310,A86)</x:f>
        <x:v>1</x:v>
      </x:c>
    </x:row>
    <x:row r="87">
      <x:c r="A87" s="9" t="str">
        <x:v>PD-AR-LF-B-A-TECH-4-B1-INT-G0-PD01</x:v>
      </x:c>
      <x:c r="B87" s="9" t="str">
        <x:v>PD-AR-LF-B-A-TECH-4-B1-INT-G0</x:v>
      </x:c>
      <x:c r="C87" s="9" t="str">
        <x:v>EV-AR-LF-B-A-TECH-4-B1-INT-G0</x:v>
      </x:c>
      <x:c r="D87" s="9" t="str">
        <x:v>AR-LF-B-A-TECH-4-B1-INT-G0</x:v>
      </x:c>
      <x:c r="E87" s="9" t="str">
        <x:v>LF-B-A-TECH-4</x:v>
      </x:c>
      <x:c r="F87" s="9" t="str">
        <x:v>LF-B-A</x:v>
      </x:c>
      <x:c r="G87" s="9" t="str">
        <x:v>B1</x:v>
      </x:c>
      <x:c r="H87" s="9" t="str">
        <x:v>INT</x:v>
      </x:c>
      <x:c r="I87" s="9" t="str">
        <x:v>PD01</x:v>
      </x:c>
      <x:c r="J87" s="17" t="str">
        <x:v>Experiment kernel</x:v>
      </x:c>
      <x:c r="K87" s="17" t="str">
        <x:v>Public archive</x:v>
      </x:c>
      <x:c r="L87" s="17" t="str">
        <x:v>COURT-SEALED UNTIL COHORT RELEASE</x:v>
      </x:c>
      <x:c r="M87" s="9" t="n">
        <x:v>0</x:v>
      </x:c>
      <x:c r="N87" s="9" t="n">
        <x:v>0</x:v>
      </x:c>
      <x:c r="O87" s="9" t="n">
        <x:v>0</x:v>
      </x:c>
      <x:c r="P87" s="9" t="str">
        <x:v>HELD / UNRELEASED</x:v>
      </x:c>
      <x:c r="Q87" s="9" t="n">
        <x:f>COUNTIFS($A$7:$A$2310,A87)</x:f>
        <x:v>1</x:v>
      </x:c>
    </x:row>
    <x:row r="88">
      <x:c r="A88" s="9" t="str">
        <x:v>PD-AR-LF-B-A-TECH-4-B1-INT-G0-PD02</x:v>
      </x:c>
      <x:c r="B88" s="9" t="str">
        <x:v>PD-AR-LF-B-A-TECH-4-B1-INT-G0</x:v>
      </x:c>
      <x:c r="C88" s="9" t="str">
        <x:v>EV-AR-LF-B-A-TECH-4-B1-INT-G0</x:v>
      </x:c>
      <x:c r="D88" s="9" t="str">
        <x:v>AR-LF-B-A-TECH-4-B1-INT-G0</x:v>
      </x:c>
      <x:c r="E88" s="9" t="str">
        <x:v>LF-B-A-TECH-4</x:v>
      </x:c>
      <x:c r="F88" s="9" t="str">
        <x:v>LF-B-A</x:v>
      </x:c>
      <x:c r="G88" s="9" t="str">
        <x:v>B1</x:v>
      </x:c>
      <x:c r="H88" s="9" t="str">
        <x:v>INT</x:v>
      </x:c>
      <x:c r="I88" s="9" t="str">
        <x:v>PD02</x:v>
      </x:c>
      <x:c r="J88" s="17" t="str">
        <x:v>Serial annex and title chain</x:v>
      </x:c>
      <x:c r="K88" s="17" t="str">
        <x:v>Public archive</x:v>
      </x:c>
      <x:c r="L88" s="17" t="str">
        <x:v>COURT-SEALED UNTIL COHORT RELEASE</x:v>
      </x:c>
      <x:c r="M88" s="9" t="n">
        <x:v>0</x:v>
      </x:c>
      <x:c r="N88" s="9" t="n">
        <x:v>0</x:v>
      </x:c>
      <x:c r="O88" s="9" t="n">
        <x:v>0</x:v>
      </x:c>
      <x:c r="P88" s="9" t="str">
        <x:v>HELD / UNRELEASED</x:v>
      </x:c>
      <x:c r="Q88" s="9" t="n">
        <x:f>COUNTIFS($A$7:$A$2310,A88)</x:f>
        <x:v>1</x:v>
      </x:c>
    </x:row>
    <x:row r="89">
      <x:c r="A89" s="9" t="str">
        <x:v>PD-AR-LF-B-A-TECH-4-B1-INT-G0-PD03</x:v>
      </x:c>
      <x:c r="B89" s="9" t="str">
        <x:v>PD-AR-LF-B-A-TECH-4-B1-INT-G0</x:v>
      </x:c>
      <x:c r="C89" s="9" t="str">
        <x:v>EV-AR-LF-B-A-TECH-4-B1-INT-G0</x:v>
      </x:c>
      <x:c r="D89" s="9" t="str">
        <x:v>AR-LF-B-A-TECH-4-B1-INT-G0</x:v>
      </x:c>
      <x:c r="E89" s="9" t="str">
        <x:v>LF-B-A-TECH-4</x:v>
      </x:c>
      <x:c r="F89" s="9" t="str">
        <x:v>LF-B-A</x:v>
      </x:c>
      <x:c r="G89" s="9" t="str">
        <x:v>B1</x:v>
      </x:c>
      <x:c r="H89" s="9" t="str">
        <x:v>INT</x:v>
      </x:c>
      <x:c r="I89" s="9" t="str">
        <x:v>PD03</x:v>
      </x:c>
      <x:c r="J89" s="17" t="str">
        <x:v>Configuration and as-built manifest</x:v>
      </x:c>
      <x:c r="K89" s="17" t="str">
        <x:v>Artifact exchange</x:v>
      </x:c>
      <x:c r="L89" s="17" t="str">
        <x:v>COURT-SEALED UNTIL COHORT RELEASE</x:v>
      </x:c>
      <x:c r="M89" s="9" t="n">
        <x:v>0</x:v>
      </x:c>
      <x:c r="N89" s="9" t="n">
        <x:v>0</x:v>
      </x:c>
      <x:c r="O89" s="9" t="n">
        <x:v>0</x:v>
      </x:c>
      <x:c r="P89" s="9" t="str">
        <x:v>HELD / UNRELEASED</x:v>
      </x:c>
      <x:c r="Q89" s="9" t="n">
        <x:f>COUNTIFS($A$7:$A$2310,A89)</x:f>
        <x:v>1</x:v>
      </x:c>
    </x:row>
    <x:row r="90">
      <x:c r="A90" s="9" t="str">
        <x:v>PD-AR-LF-B-A-TECH-4-B1-INT-G0-PD04</x:v>
      </x:c>
      <x:c r="B90" s="9" t="str">
        <x:v>PD-AR-LF-B-A-TECH-4-B1-INT-G0</x:v>
      </x:c>
      <x:c r="C90" s="9" t="str">
        <x:v>EV-AR-LF-B-A-TECH-4-B1-INT-G0</x:v>
      </x:c>
      <x:c r="D90" s="9" t="str">
        <x:v>AR-LF-B-A-TECH-4-B1-INT-G0</x:v>
      </x:c>
      <x:c r="E90" s="9" t="str">
        <x:v>LF-B-A-TECH-4</x:v>
      </x:c>
      <x:c r="F90" s="9" t="str">
        <x:v>LF-B-A</x:v>
      </x:c>
      <x:c r="G90" s="9" t="str">
        <x:v>B1</x:v>
      </x:c>
      <x:c r="H90" s="9" t="str">
        <x:v>INT</x:v>
      </x:c>
      <x:c r="I90" s="9" t="str">
        <x:v>PD04</x:v>
      </x:c>
      <x:c r="J90" s="17" t="str">
        <x:v>EOW and start certificate</x:v>
      </x:c>
      <x:c r="K90" s="17" t="str">
        <x:v>Start registrar</x:v>
      </x:c>
      <x:c r="L90" s="17" t="str">
        <x:v>COURT-SEALED UNTIL COHORT RELEASE</x:v>
      </x:c>
      <x:c r="M90" s="9" t="n">
        <x:v>0</x:v>
      </x:c>
      <x:c r="N90" s="9" t="n">
        <x:v>0</x:v>
      </x:c>
      <x:c r="O90" s="9" t="n">
        <x:v>0</x:v>
      </x:c>
      <x:c r="P90" s="9" t="str">
        <x:v>HELD / UNRELEASED</x:v>
      </x:c>
      <x:c r="Q90" s="9" t="n">
        <x:f>COUNTIFS($A$7:$A$2310,A90)</x:f>
        <x:v>1</x:v>
      </x:c>
    </x:row>
    <x:row r="91">
      <x:c r="A91" s="9" t="str">
        <x:v>PD-AR-LF-B-A-TECH-4-B1-INT-G0-PD05</x:v>
      </x:c>
      <x:c r="B91" s="9" t="str">
        <x:v>PD-AR-LF-B-A-TECH-4-B1-INT-G0</x:v>
      </x:c>
      <x:c r="C91" s="9" t="str">
        <x:v>EV-AR-LF-B-A-TECH-4-B1-INT-G0</x:v>
      </x:c>
      <x:c r="D91" s="9" t="str">
        <x:v>AR-LF-B-A-TECH-4-B1-INT-G0</x:v>
      </x:c>
      <x:c r="E91" s="9" t="str">
        <x:v>LF-B-A-TECH-4</x:v>
      </x:c>
      <x:c r="F91" s="9" t="str">
        <x:v>LF-B-A</x:v>
      </x:c>
      <x:c r="G91" s="9" t="str">
        <x:v>B1</x:v>
      </x:c>
      <x:c r="H91" s="9" t="str">
        <x:v>INT</x:v>
      </x:c>
      <x:c r="I91" s="9" t="str">
        <x:v>PD05</x:v>
      </x:c>
      <x:c r="J91" s="17" t="str">
        <x:v>Primary raw originals</x:v>
      </x:c>
      <x:c r="K91" s="17" t="str">
        <x:v>Primary custody</x:v>
      </x:c>
      <x:c r="L91" s="17" t="str">
        <x:v>COURT-SEALED UNTIL COHORT RELEASE</x:v>
      </x:c>
      <x:c r="M91" s="9" t="n">
        <x:v>0</x:v>
      </x:c>
      <x:c r="N91" s="9" t="n">
        <x:v>0</x:v>
      </x:c>
      <x:c r="O91" s="9" t="n">
        <x:v>0</x:v>
      </x:c>
      <x:c r="P91" s="9" t="str">
        <x:v>HELD / UNRELEASED</x:v>
      </x:c>
      <x:c r="Q91" s="9" t="n">
        <x:f>COUNTIFS($A$7:$A$2310,A91)</x:f>
        <x:v>1</x:v>
      </x:c>
    </x:row>
    <x:row r="92">
      <x:c r="A92" s="9" t="str">
        <x:v>PD-AR-LF-B-A-TECH-4-B1-INT-G0-PD06</x:v>
      </x:c>
      <x:c r="B92" s="9" t="str">
        <x:v>PD-AR-LF-B-A-TECH-4-B1-INT-G0</x:v>
      </x:c>
      <x:c r="C92" s="9" t="str">
        <x:v>EV-AR-LF-B-A-TECH-4-B1-INT-G0</x:v>
      </x:c>
      <x:c r="D92" s="9" t="str">
        <x:v>AR-LF-B-A-TECH-4-B1-INT-G0</x:v>
      </x:c>
      <x:c r="E92" s="9" t="str">
        <x:v>LF-B-A-TECH-4</x:v>
      </x:c>
      <x:c r="F92" s="9" t="str">
        <x:v>LF-B-A</x:v>
      </x:c>
      <x:c r="G92" s="9" t="str">
        <x:v>B1</x:v>
      </x:c>
      <x:c r="H92" s="9" t="str">
        <x:v>INT</x:v>
      </x:c>
      <x:c r="I92" s="9" t="str">
        <x:v>PD06</x:v>
      </x:c>
      <x:c r="J92" s="17" t="str">
        <x:v>Witness raw originals</x:v>
      </x:c>
      <x:c r="K92" s="17" t="str">
        <x:v>Witness custody</x:v>
      </x:c>
      <x:c r="L92" s="17" t="str">
        <x:v>COURT-SEALED UNTIL COHORT RELEASE</x:v>
      </x:c>
      <x:c r="M92" s="9" t="n">
        <x:v>0</x:v>
      </x:c>
      <x:c r="N92" s="9" t="n">
        <x:v>0</x:v>
      </x:c>
      <x:c r="O92" s="9" t="n">
        <x:v>0</x:v>
      </x:c>
      <x:c r="P92" s="9" t="str">
        <x:v>HELD / UNRELEASED</x:v>
      </x:c>
      <x:c r="Q92" s="9" t="n">
        <x:f>COUNTIFS($A$7:$A$2310,A92)</x:f>
        <x:v>1</x:v>
      </x:c>
    </x:row>
    <x:row r="93">
      <x:c r="A93" s="9" t="str">
        <x:v>PD-AR-LF-B-A-TECH-4-B1-INT-G0-PD07</x:v>
      </x:c>
      <x:c r="B93" s="9" t="str">
        <x:v>PD-AR-LF-B-A-TECH-4-B1-INT-G0</x:v>
      </x:c>
      <x:c r="C93" s="9" t="str">
        <x:v>EV-AR-LF-B-A-TECH-4-B1-INT-G0</x:v>
      </x:c>
      <x:c r="D93" s="9" t="str">
        <x:v>AR-LF-B-A-TECH-4-B1-INT-G0</x:v>
      </x:c>
      <x:c r="E93" s="9" t="str">
        <x:v>LF-B-A-TECH-4</x:v>
      </x:c>
      <x:c r="F93" s="9" t="str">
        <x:v>LF-B-A</x:v>
      </x:c>
      <x:c r="G93" s="9" t="str">
        <x:v>B1</x:v>
      </x:c>
      <x:c r="H93" s="9" t="str">
        <x:v>INT</x:v>
      </x:c>
      <x:c r="I93" s="9" t="str">
        <x:v>PD07</x:v>
      </x:c>
      <x:c r="J93" s="17" t="str">
        <x:v>Clock and environmental records</x:v>
      </x:c>
      <x:c r="K93" s="17" t="str">
        <x:v>Boundary archive</x:v>
      </x:c>
      <x:c r="L93" s="17" t="str">
        <x:v>COURT-SEALED UNTIL COHORT RELEASE</x:v>
      </x:c>
      <x:c r="M93" s="9" t="n">
        <x:v>0</x:v>
      </x:c>
      <x:c r="N93" s="9" t="n">
        <x:v>0</x:v>
      </x:c>
      <x:c r="O93" s="9" t="n">
        <x:v>0</x:v>
      </x:c>
      <x:c r="P93" s="9" t="str">
        <x:v>HELD / UNRELEASED</x:v>
      </x:c>
      <x:c r="Q93" s="9" t="n">
        <x:f>COUNTIFS($A$7:$A$2310,A93)</x:f>
        <x:v>1</x:v>
      </x:c>
    </x:row>
    <x:row r="94">
      <x:c r="A94" s="9" t="str">
        <x:v>PD-AR-LF-B-A-TECH-4-B1-INT-G0-PD08</x:v>
      </x:c>
      <x:c r="B94" s="9" t="str">
        <x:v>PD-AR-LF-B-A-TECH-4-B1-INT-G0</x:v>
      </x:c>
      <x:c r="C94" s="9" t="str">
        <x:v>EV-AR-LF-B-A-TECH-4-B1-INT-G0</x:v>
      </x:c>
      <x:c r="D94" s="9" t="str">
        <x:v>AR-LF-B-A-TECH-4-B1-INT-G0</x:v>
      </x:c>
      <x:c r="E94" s="9" t="str">
        <x:v>LF-B-A-TECH-4</x:v>
      </x:c>
      <x:c r="F94" s="9" t="str">
        <x:v>LF-B-A</x:v>
      </x:c>
      <x:c r="G94" s="9" t="str">
        <x:v>B1</x:v>
      </x:c>
      <x:c r="H94" s="9" t="str">
        <x:v>INT</x:v>
      </x:c>
      <x:c r="I94" s="9" t="str">
        <x:v>PD08</x:v>
      </x:c>
      <x:c r="J94" s="17" t="str">
        <x:v>Command and intervention log</x:v>
      </x:c>
      <x:c r="K94" s="17" t="str">
        <x:v>Safety archive</x:v>
      </x:c>
      <x:c r="L94" s="17" t="str">
        <x:v>COURT-SEALED UNTIL COHORT RELEASE</x:v>
      </x:c>
      <x:c r="M94" s="9" t="n">
        <x:v>0</x:v>
      </x:c>
      <x:c r="N94" s="9" t="n">
        <x:v>0</x:v>
      </x:c>
      <x:c r="O94" s="9" t="n">
        <x:v>0</x:v>
      </x:c>
      <x:c r="P94" s="9" t="str">
        <x:v>HELD / UNRELEASED</x:v>
      </x:c>
      <x:c r="Q94" s="9" t="n">
        <x:f>COUNTIFS($A$7:$A$2310,A94)</x:f>
        <x:v>1</x:v>
      </x:c>
    </x:row>
    <x:row r="95">
      <x:c r="A95" s="9" t="str">
        <x:v>PD-AR-LF-B-A-TECH-4-B1-INT-G0-PD09</x:v>
      </x:c>
      <x:c r="B95" s="9" t="str">
        <x:v>PD-AR-LF-B-A-TECH-4-B1-INT-G0</x:v>
      </x:c>
      <x:c r="C95" s="9" t="str">
        <x:v>EV-AR-LF-B-A-TECH-4-B1-INT-G0</x:v>
      </x:c>
      <x:c r="D95" s="9" t="str">
        <x:v>AR-LF-B-A-TECH-4-B1-INT-G0</x:v>
      </x:c>
      <x:c r="E95" s="9" t="str">
        <x:v>LF-B-A-TECH-4</x:v>
      </x:c>
      <x:c r="F95" s="9" t="str">
        <x:v>LF-B-A</x:v>
      </x:c>
      <x:c r="G95" s="9" t="str">
        <x:v>B1</x:v>
      </x:c>
      <x:c r="H95" s="9" t="str">
        <x:v>INT</x:v>
      </x:c>
      <x:c r="I95" s="9" t="str">
        <x:v>PD09</x:v>
      </x:c>
      <x:c r="J95" s="17" t="str">
        <x:v>Receiver denominator and service ledger</x:v>
      </x:c>
      <x:c r="K95" s="17" t="str">
        <x:v>Receiver archive</x:v>
      </x:c>
      <x:c r="L95" s="17" t="str">
        <x:v>COURT-SEALED UNTIL COHORT RELEASE</x:v>
      </x:c>
      <x:c r="M95" s="9" t="n">
        <x:v>0</x:v>
      </x:c>
      <x:c r="N95" s="9" t="n">
        <x:v>0</x:v>
      </x:c>
      <x:c r="O95" s="9" t="n">
        <x:v>0</x:v>
      </x:c>
      <x:c r="P95" s="9" t="str">
        <x:v>HELD / UNRELEASED</x:v>
      </x:c>
      <x:c r="Q95" s="9" t="n">
        <x:f>COUNTIFS($A$7:$A$2310,A95)</x:f>
        <x:v>1</x:v>
      </x:c>
    </x:row>
    <x:row r="96">
      <x:c r="A96" s="9" t="str">
        <x:v>PD-AR-LF-B-A-TECH-4-B1-INT-G0-PD10</x:v>
      </x:c>
      <x:c r="B96" s="9" t="str">
        <x:v>PD-AR-LF-B-A-TECH-4-B1-INT-G0</x:v>
      </x:c>
      <x:c r="C96" s="9" t="str">
        <x:v>EV-AR-LF-B-A-TECH-4-B1-INT-G0</x:v>
      </x:c>
      <x:c r="D96" s="9" t="str">
        <x:v>AR-LF-B-A-TECH-4-B1-INT-G0</x:v>
      </x:c>
      <x:c r="E96" s="9" t="str">
        <x:v>LF-B-A-TECH-4</x:v>
      </x:c>
      <x:c r="F96" s="9" t="str">
        <x:v>LF-B-A</x:v>
      </x:c>
      <x:c r="G96" s="9" t="str">
        <x:v>B1</x:v>
      </x:c>
      <x:c r="H96" s="9" t="str">
        <x:v>INT</x:v>
      </x:c>
      <x:c r="I96" s="9" t="str">
        <x:v>PD10</x:v>
      </x:c>
      <x:c r="J96" s="17" t="str">
        <x:v>Calibration and uncertainty record</x:v>
      </x:c>
      <x:c r="K96" s="17" t="str">
        <x:v>Metrology archive</x:v>
      </x:c>
      <x:c r="L96" s="17" t="str">
        <x:v>COURT-SEALED UNTIL COHORT RELEASE</x:v>
      </x:c>
      <x:c r="M96" s="9" t="n">
        <x:v>0</x:v>
      </x:c>
      <x:c r="N96" s="9" t="n">
        <x:v>0</x:v>
      </x:c>
      <x:c r="O96" s="9" t="n">
        <x:v>0</x:v>
      </x:c>
      <x:c r="P96" s="9" t="str">
        <x:v>HELD / UNRELEASED</x:v>
      </x:c>
      <x:c r="Q96" s="9" t="n">
        <x:f>COUNTIFS($A$7:$A$2310,A96)</x:f>
        <x:v>1</x:v>
      </x:c>
    </x:row>
    <x:row r="97">
      <x:c r="A97" s="9" t="str">
        <x:v>PD-AR-LF-B-A-TECH-4-B1-INT-G0-PD11</x:v>
      </x:c>
      <x:c r="B97" s="9" t="str">
        <x:v>PD-AR-LF-B-A-TECH-4-B1-INT-G0</x:v>
      </x:c>
      <x:c r="C97" s="9" t="str">
        <x:v>EV-AR-LF-B-A-TECH-4-B1-INT-G0</x:v>
      </x:c>
      <x:c r="D97" s="9" t="str">
        <x:v>AR-LF-B-A-TECH-4-B1-INT-G0</x:v>
      </x:c>
      <x:c r="E97" s="9" t="str">
        <x:v>LF-B-A-TECH-4</x:v>
      </x:c>
      <x:c r="F97" s="9" t="str">
        <x:v>LF-B-A</x:v>
      </x:c>
      <x:c r="G97" s="9" t="str">
        <x:v>B1</x:v>
      </x:c>
      <x:c r="H97" s="9" t="str">
        <x:v>INT</x:v>
      </x:c>
      <x:c r="I97" s="9" t="str">
        <x:v>PD11</x:v>
      </x:c>
      <x:c r="J97" s="17" t="str">
        <x:v>Invalidity petition and opinion</x:v>
      </x:c>
      <x:c r="K97" s="17" t="str">
        <x:v>Invalidity court</x:v>
      </x:c>
      <x:c r="L97" s="17" t="str">
        <x:v>COURT-SEALED UNTIL COHORT RELEASE</x:v>
      </x:c>
      <x:c r="M97" s="9" t="n">
        <x:v>0</x:v>
      </x:c>
      <x:c r="N97" s="9" t="n">
        <x:v>0</x:v>
      </x:c>
      <x:c r="O97" s="9" t="n">
        <x:v>0</x:v>
      </x:c>
      <x:c r="P97" s="9" t="str">
        <x:v>HELD / UNRELEASED</x:v>
      </x:c>
      <x:c r="Q97" s="9" t="n">
        <x:f>COUNTIFS($A$7:$A$2310,A97)</x:f>
        <x:v>1</x:v>
      </x:c>
    </x:row>
    <x:row r="98">
      <x:c r="A98" s="9" t="str">
        <x:v>PD-AR-LF-B-A-TECH-4-B1-INT-G0-PD12</x:v>
      </x:c>
      <x:c r="B98" s="9" t="str">
        <x:v>PD-AR-LF-B-A-TECH-4-B1-INT-G0</x:v>
      </x:c>
      <x:c r="C98" s="9" t="str">
        <x:v>EV-AR-LF-B-A-TECH-4-B1-INT-G0</x:v>
      </x:c>
      <x:c r="D98" s="9" t="str">
        <x:v>AR-LF-B-A-TECH-4-B1-INT-G0</x:v>
      </x:c>
      <x:c r="E98" s="9" t="str">
        <x:v>LF-B-A-TECH-4</x:v>
      </x:c>
      <x:c r="F98" s="9" t="str">
        <x:v>LF-B-A</x:v>
      </x:c>
      <x:c r="G98" s="9" t="str">
        <x:v>B1</x:v>
      </x:c>
      <x:c r="H98" s="9" t="str">
        <x:v>INT</x:v>
      </x:c>
      <x:c r="I98" s="9" t="str">
        <x:v>PD12</x:v>
      </x:c>
      <x:c r="J98" s="17" t="str">
        <x:v>Observation acceptance and replay</x:v>
      </x:c>
      <x:c r="K98" s="17" t="str">
        <x:v>Observation court</x:v>
      </x:c>
      <x:c r="L98" s="17" t="str">
        <x:v>COURT-SEALED UNTIL COHORT RELEASE</x:v>
      </x:c>
      <x:c r="M98" s="9" t="n">
        <x:v>0</x:v>
      </x:c>
      <x:c r="N98" s="9" t="n">
        <x:v>0</x:v>
      </x:c>
      <x:c r="O98" s="9" t="n">
        <x:v>0</x:v>
      </x:c>
      <x:c r="P98" s="9" t="str">
        <x:v>HELD / UNRELEASED</x:v>
      </x:c>
      <x:c r="Q98" s="9" t="n">
        <x:f>COUNTIFS($A$7:$A$2310,A98)</x:f>
        <x:v>1</x:v>
      </x:c>
    </x:row>
    <x:row r="99">
      <x:c r="A99" s="9" t="str">
        <x:v>PD-AR-LF-B-A-TECH-4-B1-INT-G0-PD13</x:v>
      </x:c>
      <x:c r="B99" s="9" t="str">
        <x:v>PD-AR-LF-B-A-TECH-4-B1-INT-G0</x:v>
      </x:c>
      <x:c r="C99" s="9" t="str">
        <x:v>EV-AR-LF-B-A-TECH-4-B1-INT-G0</x:v>
      </x:c>
      <x:c r="D99" s="9" t="str">
        <x:v>AR-LF-B-A-TECH-4-B1-INT-G0</x:v>
      </x:c>
      <x:c r="E99" s="9" t="str">
        <x:v>LF-B-A-TECH-4</x:v>
      </x:c>
      <x:c r="F99" s="9" t="str">
        <x:v>LF-B-A</x:v>
      </x:c>
      <x:c r="G99" s="9" t="str">
        <x:v>B1</x:v>
      </x:c>
      <x:c r="H99" s="9" t="str">
        <x:v>INT</x:v>
      </x:c>
      <x:c r="I99" s="9" t="str">
        <x:v>PD13</x:v>
      </x:c>
      <x:c r="J99" s="17" t="str">
        <x:v>Role judgment</x:v>
      </x:c>
      <x:c r="K99" s="17" t="str">
        <x:v>Role court</x:v>
      </x:c>
      <x:c r="L99" s="17" t="str">
        <x:v>COURT-SEALED UNTIL COHORT RELEASE</x:v>
      </x:c>
      <x:c r="M99" s="9" t="n">
        <x:v>0</x:v>
      </x:c>
      <x:c r="N99" s="9" t="n">
        <x:v>0</x:v>
      </x:c>
      <x:c r="O99" s="9" t="n">
        <x:v>0</x:v>
      </x:c>
      <x:c r="P99" s="9" t="str">
        <x:v>HELD / UNRELEASED</x:v>
      </x:c>
      <x:c r="Q99" s="9" t="n">
        <x:f>COUNTIFS($A$7:$A$2310,A99)</x:f>
        <x:v>1</x:v>
      </x:c>
    </x:row>
    <x:row r="100">
      <x:c r="A100" s="9" t="str">
        <x:v>PD-AR-LF-B-A-TECH-4-B1-INT-G0-PD14</x:v>
      </x:c>
      <x:c r="B100" s="9" t="str">
        <x:v>PD-AR-LF-B-A-TECH-4-B1-INT-G0</x:v>
      </x:c>
      <x:c r="C100" s="9" t="str">
        <x:v>EV-AR-LF-B-A-TECH-4-B1-INT-G0</x:v>
      </x:c>
      <x:c r="D100" s="9" t="str">
        <x:v>AR-LF-B-A-TECH-4-B1-INT-G0</x:v>
      </x:c>
      <x:c r="E100" s="9" t="str">
        <x:v>LF-B-A-TECH-4</x:v>
      </x:c>
      <x:c r="F100" s="9" t="str">
        <x:v>LF-B-A</x:v>
      </x:c>
      <x:c r="G100" s="9" t="str">
        <x:v>B1</x:v>
      </x:c>
      <x:c r="H100" s="9" t="str">
        <x:v>INT</x:v>
      </x:c>
      <x:c r="I100" s="9" t="str">
        <x:v>PD14</x:v>
      </x:c>
      <x:c r="J100" s="17" t="str">
        <x:v>Break and residual account</x:v>
      </x:c>
      <x:c r="K100" s="17" t="str">
        <x:v>Residual authority</x:v>
      </x:c>
      <x:c r="L100" s="17" t="str">
        <x:v>COURT-SEALED UNTIL COHORT RELEASE</x:v>
      </x:c>
      <x:c r="M100" s="9" t="n">
        <x:v>0</x:v>
      </x:c>
      <x:c r="N100" s="9" t="n">
        <x:v>0</x:v>
      </x:c>
      <x:c r="O100" s="9" t="n">
        <x:v>0</x:v>
      </x:c>
      <x:c r="P100" s="9" t="str">
        <x:v>HELD / UNRELEASED</x:v>
      </x:c>
      <x:c r="Q100" s="9" t="n">
        <x:f>COUNTIFS($A$7:$A$2310,A100)</x:f>
        <x:v>1</x:v>
      </x:c>
    </x:row>
    <x:row r="101">
      <x:c r="A101" s="9" t="str">
        <x:v>PD-AR-LF-B-A-TECH-4-B1-INT-G0-PD15</x:v>
      </x:c>
      <x:c r="B101" s="9" t="str">
        <x:v>PD-AR-LF-B-A-TECH-4-B1-INT-G0</x:v>
      </x:c>
      <x:c r="C101" s="9" t="str">
        <x:v>EV-AR-LF-B-A-TECH-4-B1-INT-G0</x:v>
      </x:c>
      <x:c r="D101" s="9" t="str">
        <x:v>AR-LF-B-A-TECH-4-B1-INT-G0</x:v>
      </x:c>
      <x:c r="E101" s="9" t="str">
        <x:v>LF-B-A-TECH-4</x:v>
      </x:c>
      <x:c r="F101" s="9" t="str">
        <x:v>LF-B-A</x:v>
      </x:c>
      <x:c r="G101" s="9" t="str">
        <x:v>B1</x:v>
      </x:c>
      <x:c r="H101" s="9" t="str">
        <x:v>INT</x:v>
      </x:c>
      <x:c r="I101" s="9" t="str">
        <x:v>PD15</x:v>
      </x:c>
      <x:c r="J101" s="17" t="str">
        <x:v>Reconstruction ancestry and replay</x:v>
      </x:c>
      <x:c r="K101" s="17" t="str">
        <x:v>Reconstruction court</x:v>
      </x:c>
      <x:c r="L101" s="17" t="str">
        <x:v>COURT-SEALED UNTIL COHORT RELEASE</x:v>
      </x:c>
      <x:c r="M101" s="9" t="n">
        <x:v>0</x:v>
      </x:c>
      <x:c r="N101" s="9" t="n">
        <x:v>0</x:v>
      </x:c>
      <x:c r="O101" s="9" t="n">
        <x:v>0</x:v>
      </x:c>
      <x:c r="P101" s="9" t="str">
        <x:v>HELD / UNRELEASED</x:v>
      </x:c>
      <x:c r="Q101" s="9" t="n">
        <x:f>COUNTIFS($A$7:$A$2310,A101)</x:f>
        <x:v>1</x:v>
      </x:c>
    </x:row>
    <x:row r="102">
      <x:c r="A102" s="9" t="str">
        <x:v>PD-AR-LF-B-A-TECH-4-B1-INT-G0-PD16</x:v>
      </x:c>
      <x:c r="B102" s="9" t="str">
        <x:v>PD-AR-LF-B-A-TECH-4-B1-INT-G0</x:v>
      </x:c>
      <x:c r="C102" s="9" t="str">
        <x:v>EV-AR-LF-B-A-TECH-4-B1-INT-G0</x:v>
      </x:c>
      <x:c r="D102" s="9" t="str">
        <x:v>AR-LF-B-A-TECH-4-B1-INT-G0</x:v>
      </x:c>
      <x:c r="E102" s="9" t="str">
        <x:v>LF-B-A-TECH-4</x:v>
      </x:c>
      <x:c r="F102" s="9" t="str">
        <x:v>LF-B-A</x:v>
      </x:c>
      <x:c r="G102" s="9" t="str">
        <x:v>B1</x:v>
      </x:c>
      <x:c r="H102" s="9" t="str">
        <x:v>INT</x:v>
      </x:c>
      <x:c r="I102" s="9" t="str">
        <x:v>PD16</x:v>
      </x:c>
      <x:c r="J102" s="17" t="str">
        <x:v>Dissent, amendments and access log</x:v>
      </x:c>
      <x:c r="K102" s="17" t="str">
        <x:v>Public archive</x:v>
      </x:c>
      <x:c r="L102" s="17" t="str">
        <x:v>COURT-SEALED UNTIL COHORT RELEASE</x:v>
      </x:c>
      <x:c r="M102" s="9" t="n">
        <x:v>0</x:v>
      </x:c>
      <x:c r="N102" s="9" t="n">
        <x:v>0</x:v>
      </x:c>
      <x:c r="O102" s="9" t="n">
        <x:v>0</x:v>
      </x:c>
      <x:c r="P102" s="9" t="str">
        <x:v>HELD / UNRELEASED</x:v>
      </x:c>
      <x:c r="Q102" s="9" t="n">
        <x:f>COUNTIFS($A$7:$A$2310,A102)</x:f>
        <x:v>1</x:v>
      </x:c>
    </x:row>
    <x:row r="103">
      <x:c r="A103" s="9" t="str">
        <x:v>PD-AR-ET-A-A-TECH-1-B1-INT-G0-PD01</x:v>
      </x:c>
      <x:c r="B103" s="9" t="str">
        <x:v>PD-AR-ET-A-A-TECH-1-B1-INT-G0</x:v>
      </x:c>
      <x:c r="C103" s="9" t="str">
        <x:v>EV-AR-ET-A-A-TECH-1-B1-INT-G0</x:v>
      </x:c>
      <x:c r="D103" s="9" t="str">
        <x:v>AR-ET-A-A-TECH-1-B1-INT-G0</x:v>
      </x:c>
      <x:c r="E103" s="9" t="str">
        <x:v>ET-A-A-TECH-1</x:v>
      </x:c>
      <x:c r="F103" s="9" t="str">
        <x:v>ET-A-A</x:v>
      </x:c>
      <x:c r="G103" s="9" t="str">
        <x:v>B1</x:v>
      </x:c>
      <x:c r="H103" s="9" t="str">
        <x:v>INT</x:v>
      </x:c>
      <x:c r="I103" s="9" t="str">
        <x:v>PD01</x:v>
      </x:c>
      <x:c r="J103" s="17" t="str">
        <x:v>Experiment kernel</x:v>
      </x:c>
      <x:c r="K103" s="17" t="str">
        <x:v>Public archive</x:v>
      </x:c>
      <x:c r="L103" s="17" t="str">
        <x:v>COURT-SEALED UNTIL COHORT RELEASE</x:v>
      </x:c>
      <x:c r="M103" s="9" t="n">
        <x:v>0</x:v>
      </x:c>
      <x:c r="N103" s="9" t="n">
        <x:v>0</x:v>
      </x:c>
      <x:c r="O103" s="9" t="n">
        <x:v>0</x:v>
      </x:c>
      <x:c r="P103" s="9" t="str">
        <x:v>HELD / UNRELEASED</x:v>
      </x:c>
      <x:c r="Q103" s="9" t="n">
        <x:f>COUNTIFS($A$7:$A$2310,A103)</x:f>
        <x:v>1</x:v>
      </x:c>
    </x:row>
    <x:row r="104">
      <x:c r="A104" s="9" t="str">
        <x:v>PD-AR-ET-A-A-TECH-1-B1-INT-G0-PD02</x:v>
      </x:c>
      <x:c r="B104" s="9" t="str">
        <x:v>PD-AR-ET-A-A-TECH-1-B1-INT-G0</x:v>
      </x:c>
      <x:c r="C104" s="9" t="str">
        <x:v>EV-AR-ET-A-A-TECH-1-B1-INT-G0</x:v>
      </x:c>
      <x:c r="D104" s="9" t="str">
        <x:v>AR-ET-A-A-TECH-1-B1-INT-G0</x:v>
      </x:c>
      <x:c r="E104" s="9" t="str">
        <x:v>ET-A-A-TECH-1</x:v>
      </x:c>
      <x:c r="F104" s="9" t="str">
        <x:v>ET-A-A</x:v>
      </x:c>
      <x:c r="G104" s="9" t="str">
        <x:v>B1</x:v>
      </x:c>
      <x:c r="H104" s="9" t="str">
        <x:v>INT</x:v>
      </x:c>
      <x:c r="I104" s="9" t="str">
        <x:v>PD02</x:v>
      </x:c>
      <x:c r="J104" s="17" t="str">
        <x:v>Serial annex and title chain</x:v>
      </x:c>
      <x:c r="K104" s="17" t="str">
        <x:v>Public archive</x:v>
      </x:c>
      <x:c r="L104" s="17" t="str">
        <x:v>COURT-SEALED UNTIL COHORT RELEASE</x:v>
      </x:c>
      <x:c r="M104" s="9" t="n">
        <x:v>0</x:v>
      </x:c>
      <x:c r="N104" s="9" t="n">
        <x:v>0</x:v>
      </x:c>
      <x:c r="O104" s="9" t="n">
        <x:v>0</x:v>
      </x:c>
      <x:c r="P104" s="9" t="str">
        <x:v>HELD / UNRELEASED</x:v>
      </x:c>
      <x:c r="Q104" s="9" t="n">
        <x:f>COUNTIFS($A$7:$A$2310,A104)</x:f>
        <x:v>1</x:v>
      </x:c>
    </x:row>
    <x:row r="105">
      <x:c r="A105" s="9" t="str">
        <x:v>PD-AR-ET-A-A-TECH-1-B1-INT-G0-PD03</x:v>
      </x:c>
      <x:c r="B105" s="9" t="str">
        <x:v>PD-AR-ET-A-A-TECH-1-B1-INT-G0</x:v>
      </x:c>
      <x:c r="C105" s="9" t="str">
        <x:v>EV-AR-ET-A-A-TECH-1-B1-INT-G0</x:v>
      </x:c>
      <x:c r="D105" s="9" t="str">
        <x:v>AR-ET-A-A-TECH-1-B1-INT-G0</x:v>
      </x:c>
      <x:c r="E105" s="9" t="str">
        <x:v>ET-A-A-TECH-1</x:v>
      </x:c>
      <x:c r="F105" s="9" t="str">
        <x:v>ET-A-A</x:v>
      </x:c>
      <x:c r="G105" s="9" t="str">
        <x:v>B1</x:v>
      </x:c>
      <x:c r="H105" s="9" t="str">
        <x:v>INT</x:v>
      </x:c>
      <x:c r="I105" s="9" t="str">
        <x:v>PD03</x:v>
      </x:c>
      <x:c r="J105" s="17" t="str">
        <x:v>Configuration and as-built manifest</x:v>
      </x:c>
      <x:c r="K105" s="17" t="str">
        <x:v>Artifact exchange</x:v>
      </x:c>
      <x:c r="L105" s="17" t="str">
        <x:v>COURT-SEALED UNTIL COHORT RELEASE</x:v>
      </x:c>
      <x:c r="M105" s="9" t="n">
        <x:v>0</x:v>
      </x:c>
      <x:c r="N105" s="9" t="n">
        <x:v>0</x:v>
      </x:c>
      <x:c r="O105" s="9" t="n">
        <x:v>0</x:v>
      </x:c>
      <x:c r="P105" s="9" t="str">
        <x:v>HELD / UNRELEASED</x:v>
      </x:c>
      <x:c r="Q105" s="9" t="n">
        <x:f>COUNTIFS($A$7:$A$2310,A105)</x:f>
        <x:v>1</x:v>
      </x:c>
    </x:row>
    <x:row r="106">
      <x:c r="A106" s="9" t="str">
        <x:v>PD-AR-ET-A-A-TECH-1-B1-INT-G0-PD04</x:v>
      </x:c>
      <x:c r="B106" s="9" t="str">
        <x:v>PD-AR-ET-A-A-TECH-1-B1-INT-G0</x:v>
      </x:c>
      <x:c r="C106" s="9" t="str">
        <x:v>EV-AR-ET-A-A-TECH-1-B1-INT-G0</x:v>
      </x:c>
      <x:c r="D106" s="9" t="str">
        <x:v>AR-ET-A-A-TECH-1-B1-INT-G0</x:v>
      </x:c>
      <x:c r="E106" s="9" t="str">
        <x:v>ET-A-A-TECH-1</x:v>
      </x:c>
      <x:c r="F106" s="9" t="str">
        <x:v>ET-A-A</x:v>
      </x:c>
      <x:c r="G106" s="9" t="str">
        <x:v>B1</x:v>
      </x:c>
      <x:c r="H106" s="9" t="str">
        <x:v>INT</x:v>
      </x:c>
      <x:c r="I106" s="9" t="str">
        <x:v>PD04</x:v>
      </x:c>
      <x:c r="J106" s="17" t="str">
        <x:v>EOW and start certificate</x:v>
      </x:c>
      <x:c r="K106" s="17" t="str">
        <x:v>Start registrar</x:v>
      </x:c>
      <x:c r="L106" s="17" t="str">
        <x:v>COURT-SEALED UNTIL COHORT RELEASE</x:v>
      </x:c>
      <x:c r="M106" s="9" t="n">
        <x:v>0</x:v>
      </x:c>
      <x:c r="N106" s="9" t="n">
        <x:v>0</x:v>
      </x:c>
      <x:c r="O106" s="9" t="n">
        <x:v>0</x:v>
      </x:c>
      <x:c r="P106" s="9" t="str">
        <x:v>HELD / UNRELEASED</x:v>
      </x:c>
      <x:c r="Q106" s="9" t="n">
        <x:f>COUNTIFS($A$7:$A$2310,A106)</x:f>
        <x:v>1</x:v>
      </x:c>
    </x:row>
    <x:row r="107">
      <x:c r="A107" s="9" t="str">
        <x:v>PD-AR-ET-A-A-TECH-1-B1-INT-G0-PD05</x:v>
      </x:c>
      <x:c r="B107" s="9" t="str">
        <x:v>PD-AR-ET-A-A-TECH-1-B1-INT-G0</x:v>
      </x:c>
      <x:c r="C107" s="9" t="str">
        <x:v>EV-AR-ET-A-A-TECH-1-B1-INT-G0</x:v>
      </x:c>
      <x:c r="D107" s="9" t="str">
        <x:v>AR-ET-A-A-TECH-1-B1-INT-G0</x:v>
      </x:c>
      <x:c r="E107" s="9" t="str">
        <x:v>ET-A-A-TECH-1</x:v>
      </x:c>
      <x:c r="F107" s="9" t="str">
        <x:v>ET-A-A</x:v>
      </x:c>
      <x:c r="G107" s="9" t="str">
        <x:v>B1</x:v>
      </x:c>
      <x:c r="H107" s="9" t="str">
        <x:v>INT</x:v>
      </x:c>
      <x:c r="I107" s="9" t="str">
        <x:v>PD05</x:v>
      </x:c>
      <x:c r="J107" s="17" t="str">
        <x:v>Primary raw originals</x:v>
      </x:c>
      <x:c r="K107" s="17" t="str">
        <x:v>Primary custody</x:v>
      </x:c>
      <x:c r="L107" s="17" t="str">
        <x:v>COURT-SEALED UNTIL COHORT RELEASE</x:v>
      </x:c>
      <x:c r="M107" s="9" t="n">
        <x:v>0</x:v>
      </x:c>
      <x:c r="N107" s="9" t="n">
        <x:v>0</x:v>
      </x:c>
      <x:c r="O107" s="9" t="n">
        <x:v>0</x:v>
      </x:c>
      <x:c r="P107" s="9" t="str">
        <x:v>HELD / UNRELEASED</x:v>
      </x:c>
      <x:c r="Q107" s="9" t="n">
        <x:f>COUNTIFS($A$7:$A$2310,A107)</x:f>
        <x:v>1</x:v>
      </x:c>
    </x:row>
    <x:row r="108">
      <x:c r="A108" s="9" t="str">
        <x:v>PD-AR-ET-A-A-TECH-1-B1-INT-G0-PD06</x:v>
      </x:c>
      <x:c r="B108" s="9" t="str">
        <x:v>PD-AR-ET-A-A-TECH-1-B1-INT-G0</x:v>
      </x:c>
      <x:c r="C108" s="9" t="str">
        <x:v>EV-AR-ET-A-A-TECH-1-B1-INT-G0</x:v>
      </x:c>
      <x:c r="D108" s="9" t="str">
        <x:v>AR-ET-A-A-TECH-1-B1-INT-G0</x:v>
      </x:c>
      <x:c r="E108" s="9" t="str">
        <x:v>ET-A-A-TECH-1</x:v>
      </x:c>
      <x:c r="F108" s="9" t="str">
        <x:v>ET-A-A</x:v>
      </x:c>
      <x:c r="G108" s="9" t="str">
        <x:v>B1</x:v>
      </x:c>
      <x:c r="H108" s="9" t="str">
        <x:v>INT</x:v>
      </x:c>
      <x:c r="I108" s="9" t="str">
        <x:v>PD06</x:v>
      </x:c>
      <x:c r="J108" s="17" t="str">
        <x:v>Witness raw originals</x:v>
      </x:c>
      <x:c r="K108" s="17" t="str">
        <x:v>Witness custody</x:v>
      </x:c>
      <x:c r="L108" s="17" t="str">
        <x:v>COURT-SEALED UNTIL COHORT RELEASE</x:v>
      </x:c>
      <x:c r="M108" s="9" t="n">
        <x:v>0</x:v>
      </x:c>
      <x:c r="N108" s="9" t="n">
        <x:v>0</x:v>
      </x:c>
      <x:c r="O108" s="9" t="n">
        <x:v>0</x:v>
      </x:c>
      <x:c r="P108" s="9" t="str">
        <x:v>HELD / UNRELEASED</x:v>
      </x:c>
      <x:c r="Q108" s="9" t="n">
        <x:f>COUNTIFS($A$7:$A$2310,A108)</x:f>
        <x:v>1</x:v>
      </x:c>
    </x:row>
    <x:row r="109">
      <x:c r="A109" s="9" t="str">
        <x:v>PD-AR-ET-A-A-TECH-1-B1-INT-G0-PD07</x:v>
      </x:c>
      <x:c r="B109" s="9" t="str">
        <x:v>PD-AR-ET-A-A-TECH-1-B1-INT-G0</x:v>
      </x:c>
      <x:c r="C109" s="9" t="str">
        <x:v>EV-AR-ET-A-A-TECH-1-B1-INT-G0</x:v>
      </x:c>
      <x:c r="D109" s="9" t="str">
        <x:v>AR-ET-A-A-TECH-1-B1-INT-G0</x:v>
      </x:c>
      <x:c r="E109" s="9" t="str">
        <x:v>ET-A-A-TECH-1</x:v>
      </x:c>
      <x:c r="F109" s="9" t="str">
        <x:v>ET-A-A</x:v>
      </x:c>
      <x:c r="G109" s="9" t="str">
        <x:v>B1</x:v>
      </x:c>
      <x:c r="H109" s="9" t="str">
        <x:v>INT</x:v>
      </x:c>
      <x:c r="I109" s="9" t="str">
        <x:v>PD07</x:v>
      </x:c>
      <x:c r="J109" s="17" t="str">
        <x:v>Clock and environmental records</x:v>
      </x:c>
      <x:c r="K109" s="17" t="str">
        <x:v>Boundary archive</x:v>
      </x:c>
      <x:c r="L109" s="17" t="str">
        <x:v>COURT-SEALED UNTIL COHORT RELEASE</x:v>
      </x:c>
      <x:c r="M109" s="9" t="n">
        <x:v>0</x:v>
      </x:c>
      <x:c r="N109" s="9" t="n">
        <x:v>0</x:v>
      </x:c>
      <x:c r="O109" s="9" t="n">
        <x:v>0</x:v>
      </x:c>
      <x:c r="P109" s="9" t="str">
        <x:v>HELD / UNRELEASED</x:v>
      </x:c>
      <x:c r="Q109" s="9" t="n">
        <x:f>COUNTIFS($A$7:$A$2310,A109)</x:f>
        <x:v>1</x:v>
      </x:c>
    </x:row>
    <x:row r="110">
      <x:c r="A110" s="9" t="str">
        <x:v>PD-AR-ET-A-A-TECH-1-B1-INT-G0-PD08</x:v>
      </x:c>
      <x:c r="B110" s="9" t="str">
        <x:v>PD-AR-ET-A-A-TECH-1-B1-INT-G0</x:v>
      </x:c>
      <x:c r="C110" s="9" t="str">
        <x:v>EV-AR-ET-A-A-TECH-1-B1-INT-G0</x:v>
      </x:c>
      <x:c r="D110" s="9" t="str">
        <x:v>AR-ET-A-A-TECH-1-B1-INT-G0</x:v>
      </x:c>
      <x:c r="E110" s="9" t="str">
        <x:v>ET-A-A-TECH-1</x:v>
      </x:c>
      <x:c r="F110" s="9" t="str">
        <x:v>ET-A-A</x:v>
      </x:c>
      <x:c r="G110" s="9" t="str">
        <x:v>B1</x:v>
      </x:c>
      <x:c r="H110" s="9" t="str">
        <x:v>INT</x:v>
      </x:c>
      <x:c r="I110" s="9" t="str">
        <x:v>PD08</x:v>
      </x:c>
      <x:c r="J110" s="17" t="str">
        <x:v>Command and intervention log</x:v>
      </x:c>
      <x:c r="K110" s="17" t="str">
        <x:v>Safety archive</x:v>
      </x:c>
      <x:c r="L110" s="17" t="str">
        <x:v>COURT-SEALED UNTIL COHORT RELEASE</x:v>
      </x:c>
      <x:c r="M110" s="9" t="n">
        <x:v>0</x:v>
      </x:c>
      <x:c r="N110" s="9" t="n">
        <x:v>0</x:v>
      </x:c>
      <x:c r="O110" s="9" t="n">
        <x:v>0</x:v>
      </x:c>
      <x:c r="P110" s="9" t="str">
        <x:v>HELD / UNRELEASED</x:v>
      </x:c>
      <x:c r="Q110" s="9" t="n">
        <x:f>COUNTIFS($A$7:$A$2310,A110)</x:f>
        <x:v>1</x:v>
      </x:c>
    </x:row>
    <x:row r="111">
      <x:c r="A111" s="9" t="str">
        <x:v>PD-AR-ET-A-A-TECH-1-B1-INT-G0-PD09</x:v>
      </x:c>
      <x:c r="B111" s="9" t="str">
        <x:v>PD-AR-ET-A-A-TECH-1-B1-INT-G0</x:v>
      </x:c>
      <x:c r="C111" s="9" t="str">
        <x:v>EV-AR-ET-A-A-TECH-1-B1-INT-G0</x:v>
      </x:c>
      <x:c r="D111" s="9" t="str">
        <x:v>AR-ET-A-A-TECH-1-B1-INT-G0</x:v>
      </x:c>
      <x:c r="E111" s="9" t="str">
        <x:v>ET-A-A-TECH-1</x:v>
      </x:c>
      <x:c r="F111" s="9" t="str">
        <x:v>ET-A-A</x:v>
      </x:c>
      <x:c r="G111" s="9" t="str">
        <x:v>B1</x:v>
      </x:c>
      <x:c r="H111" s="9" t="str">
        <x:v>INT</x:v>
      </x:c>
      <x:c r="I111" s="9" t="str">
        <x:v>PD09</x:v>
      </x:c>
      <x:c r="J111" s="17" t="str">
        <x:v>Receiver denominator and service ledger</x:v>
      </x:c>
      <x:c r="K111" s="17" t="str">
        <x:v>Receiver archive</x:v>
      </x:c>
      <x:c r="L111" s="17" t="str">
        <x:v>COURT-SEALED UNTIL COHORT RELEASE</x:v>
      </x:c>
      <x:c r="M111" s="9" t="n">
        <x:v>0</x:v>
      </x:c>
      <x:c r="N111" s="9" t="n">
        <x:v>0</x:v>
      </x:c>
      <x:c r="O111" s="9" t="n">
        <x:v>0</x:v>
      </x:c>
      <x:c r="P111" s="9" t="str">
        <x:v>HELD / UNRELEASED</x:v>
      </x:c>
      <x:c r="Q111" s="9" t="n">
        <x:f>COUNTIFS($A$7:$A$2310,A111)</x:f>
        <x:v>1</x:v>
      </x:c>
    </x:row>
    <x:row r="112">
      <x:c r="A112" s="9" t="str">
        <x:v>PD-AR-ET-A-A-TECH-1-B1-INT-G0-PD10</x:v>
      </x:c>
      <x:c r="B112" s="9" t="str">
        <x:v>PD-AR-ET-A-A-TECH-1-B1-INT-G0</x:v>
      </x:c>
      <x:c r="C112" s="9" t="str">
        <x:v>EV-AR-ET-A-A-TECH-1-B1-INT-G0</x:v>
      </x:c>
      <x:c r="D112" s="9" t="str">
        <x:v>AR-ET-A-A-TECH-1-B1-INT-G0</x:v>
      </x:c>
      <x:c r="E112" s="9" t="str">
        <x:v>ET-A-A-TECH-1</x:v>
      </x:c>
      <x:c r="F112" s="9" t="str">
        <x:v>ET-A-A</x:v>
      </x:c>
      <x:c r="G112" s="9" t="str">
        <x:v>B1</x:v>
      </x:c>
      <x:c r="H112" s="9" t="str">
        <x:v>INT</x:v>
      </x:c>
      <x:c r="I112" s="9" t="str">
        <x:v>PD10</x:v>
      </x:c>
      <x:c r="J112" s="17" t="str">
        <x:v>Calibration and uncertainty record</x:v>
      </x:c>
      <x:c r="K112" s="17" t="str">
        <x:v>Metrology archive</x:v>
      </x:c>
      <x:c r="L112" s="17" t="str">
        <x:v>COURT-SEALED UNTIL COHORT RELEASE</x:v>
      </x:c>
      <x:c r="M112" s="9" t="n">
        <x:v>0</x:v>
      </x:c>
      <x:c r="N112" s="9" t="n">
        <x:v>0</x:v>
      </x:c>
      <x:c r="O112" s="9" t="n">
        <x:v>0</x:v>
      </x:c>
      <x:c r="P112" s="9" t="str">
        <x:v>HELD / UNRELEASED</x:v>
      </x:c>
      <x:c r="Q112" s="9" t="n">
        <x:f>COUNTIFS($A$7:$A$2310,A112)</x:f>
        <x:v>1</x:v>
      </x:c>
    </x:row>
    <x:row r="113">
      <x:c r="A113" s="9" t="str">
        <x:v>PD-AR-ET-A-A-TECH-1-B1-INT-G0-PD11</x:v>
      </x:c>
      <x:c r="B113" s="9" t="str">
        <x:v>PD-AR-ET-A-A-TECH-1-B1-INT-G0</x:v>
      </x:c>
      <x:c r="C113" s="9" t="str">
        <x:v>EV-AR-ET-A-A-TECH-1-B1-INT-G0</x:v>
      </x:c>
      <x:c r="D113" s="9" t="str">
        <x:v>AR-ET-A-A-TECH-1-B1-INT-G0</x:v>
      </x:c>
      <x:c r="E113" s="9" t="str">
        <x:v>ET-A-A-TECH-1</x:v>
      </x:c>
      <x:c r="F113" s="9" t="str">
        <x:v>ET-A-A</x:v>
      </x:c>
      <x:c r="G113" s="9" t="str">
        <x:v>B1</x:v>
      </x:c>
      <x:c r="H113" s="9" t="str">
        <x:v>INT</x:v>
      </x:c>
      <x:c r="I113" s="9" t="str">
        <x:v>PD11</x:v>
      </x:c>
      <x:c r="J113" s="17" t="str">
        <x:v>Invalidity petition and opinion</x:v>
      </x:c>
      <x:c r="K113" s="17" t="str">
        <x:v>Invalidity court</x:v>
      </x:c>
      <x:c r="L113" s="17" t="str">
        <x:v>COURT-SEALED UNTIL COHORT RELEASE</x:v>
      </x:c>
      <x:c r="M113" s="9" t="n">
        <x:v>0</x:v>
      </x:c>
      <x:c r="N113" s="9" t="n">
        <x:v>0</x:v>
      </x:c>
      <x:c r="O113" s="9" t="n">
        <x:v>0</x:v>
      </x:c>
      <x:c r="P113" s="9" t="str">
        <x:v>HELD / UNRELEASED</x:v>
      </x:c>
      <x:c r="Q113" s="9" t="n">
        <x:f>COUNTIFS($A$7:$A$2310,A113)</x:f>
        <x:v>1</x:v>
      </x:c>
    </x:row>
    <x:row r="114">
      <x:c r="A114" s="9" t="str">
        <x:v>PD-AR-ET-A-A-TECH-1-B1-INT-G0-PD12</x:v>
      </x:c>
      <x:c r="B114" s="9" t="str">
        <x:v>PD-AR-ET-A-A-TECH-1-B1-INT-G0</x:v>
      </x:c>
      <x:c r="C114" s="9" t="str">
        <x:v>EV-AR-ET-A-A-TECH-1-B1-INT-G0</x:v>
      </x:c>
      <x:c r="D114" s="9" t="str">
        <x:v>AR-ET-A-A-TECH-1-B1-INT-G0</x:v>
      </x:c>
      <x:c r="E114" s="9" t="str">
        <x:v>ET-A-A-TECH-1</x:v>
      </x:c>
      <x:c r="F114" s="9" t="str">
        <x:v>ET-A-A</x:v>
      </x:c>
      <x:c r="G114" s="9" t="str">
        <x:v>B1</x:v>
      </x:c>
      <x:c r="H114" s="9" t="str">
        <x:v>INT</x:v>
      </x:c>
      <x:c r="I114" s="9" t="str">
        <x:v>PD12</x:v>
      </x:c>
      <x:c r="J114" s="17" t="str">
        <x:v>Observation acceptance and replay</x:v>
      </x:c>
      <x:c r="K114" s="17" t="str">
        <x:v>Observation court</x:v>
      </x:c>
      <x:c r="L114" s="17" t="str">
        <x:v>COURT-SEALED UNTIL COHORT RELEASE</x:v>
      </x:c>
      <x:c r="M114" s="9" t="n">
        <x:v>0</x:v>
      </x:c>
      <x:c r="N114" s="9" t="n">
        <x:v>0</x:v>
      </x:c>
      <x:c r="O114" s="9" t="n">
        <x:v>0</x:v>
      </x:c>
      <x:c r="P114" s="9" t="str">
        <x:v>HELD / UNRELEASED</x:v>
      </x:c>
      <x:c r="Q114" s="9" t="n">
        <x:f>COUNTIFS($A$7:$A$2310,A114)</x:f>
        <x:v>1</x:v>
      </x:c>
    </x:row>
    <x:row r="115">
      <x:c r="A115" s="9" t="str">
        <x:v>PD-AR-ET-A-A-TECH-1-B1-INT-G0-PD13</x:v>
      </x:c>
      <x:c r="B115" s="9" t="str">
        <x:v>PD-AR-ET-A-A-TECH-1-B1-INT-G0</x:v>
      </x:c>
      <x:c r="C115" s="9" t="str">
        <x:v>EV-AR-ET-A-A-TECH-1-B1-INT-G0</x:v>
      </x:c>
      <x:c r="D115" s="9" t="str">
        <x:v>AR-ET-A-A-TECH-1-B1-INT-G0</x:v>
      </x:c>
      <x:c r="E115" s="9" t="str">
        <x:v>ET-A-A-TECH-1</x:v>
      </x:c>
      <x:c r="F115" s="9" t="str">
        <x:v>ET-A-A</x:v>
      </x:c>
      <x:c r="G115" s="9" t="str">
        <x:v>B1</x:v>
      </x:c>
      <x:c r="H115" s="9" t="str">
        <x:v>INT</x:v>
      </x:c>
      <x:c r="I115" s="9" t="str">
        <x:v>PD13</x:v>
      </x:c>
      <x:c r="J115" s="17" t="str">
        <x:v>Role judgment</x:v>
      </x:c>
      <x:c r="K115" s="17" t="str">
        <x:v>Role court</x:v>
      </x:c>
      <x:c r="L115" s="17" t="str">
        <x:v>COURT-SEALED UNTIL COHORT RELEASE</x:v>
      </x:c>
      <x:c r="M115" s="9" t="n">
        <x:v>0</x:v>
      </x:c>
      <x:c r="N115" s="9" t="n">
        <x:v>0</x:v>
      </x:c>
      <x:c r="O115" s="9" t="n">
        <x:v>0</x:v>
      </x:c>
      <x:c r="P115" s="9" t="str">
        <x:v>HELD / UNRELEASED</x:v>
      </x:c>
      <x:c r="Q115" s="9" t="n">
        <x:f>COUNTIFS($A$7:$A$2310,A115)</x:f>
        <x:v>1</x:v>
      </x:c>
    </x:row>
    <x:row r="116">
      <x:c r="A116" s="9" t="str">
        <x:v>PD-AR-ET-A-A-TECH-1-B1-INT-G0-PD14</x:v>
      </x:c>
      <x:c r="B116" s="9" t="str">
        <x:v>PD-AR-ET-A-A-TECH-1-B1-INT-G0</x:v>
      </x:c>
      <x:c r="C116" s="9" t="str">
        <x:v>EV-AR-ET-A-A-TECH-1-B1-INT-G0</x:v>
      </x:c>
      <x:c r="D116" s="9" t="str">
        <x:v>AR-ET-A-A-TECH-1-B1-INT-G0</x:v>
      </x:c>
      <x:c r="E116" s="9" t="str">
        <x:v>ET-A-A-TECH-1</x:v>
      </x:c>
      <x:c r="F116" s="9" t="str">
        <x:v>ET-A-A</x:v>
      </x:c>
      <x:c r="G116" s="9" t="str">
        <x:v>B1</x:v>
      </x:c>
      <x:c r="H116" s="9" t="str">
        <x:v>INT</x:v>
      </x:c>
      <x:c r="I116" s="9" t="str">
        <x:v>PD14</x:v>
      </x:c>
      <x:c r="J116" s="17" t="str">
        <x:v>Break and residual account</x:v>
      </x:c>
      <x:c r="K116" s="17" t="str">
        <x:v>Residual authority</x:v>
      </x:c>
      <x:c r="L116" s="17" t="str">
        <x:v>COURT-SEALED UNTIL COHORT RELEASE</x:v>
      </x:c>
      <x:c r="M116" s="9" t="n">
        <x:v>0</x:v>
      </x:c>
      <x:c r="N116" s="9" t="n">
        <x:v>0</x:v>
      </x:c>
      <x:c r="O116" s="9" t="n">
        <x:v>0</x:v>
      </x:c>
      <x:c r="P116" s="9" t="str">
        <x:v>HELD / UNRELEASED</x:v>
      </x:c>
      <x:c r="Q116" s="9" t="n">
        <x:f>COUNTIFS($A$7:$A$2310,A116)</x:f>
        <x:v>1</x:v>
      </x:c>
    </x:row>
    <x:row r="117">
      <x:c r="A117" s="9" t="str">
        <x:v>PD-AR-ET-A-A-TECH-1-B1-INT-G0-PD15</x:v>
      </x:c>
      <x:c r="B117" s="9" t="str">
        <x:v>PD-AR-ET-A-A-TECH-1-B1-INT-G0</x:v>
      </x:c>
      <x:c r="C117" s="9" t="str">
        <x:v>EV-AR-ET-A-A-TECH-1-B1-INT-G0</x:v>
      </x:c>
      <x:c r="D117" s="9" t="str">
        <x:v>AR-ET-A-A-TECH-1-B1-INT-G0</x:v>
      </x:c>
      <x:c r="E117" s="9" t="str">
        <x:v>ET-A-A-TECH-1</x:v>
      </x:c>
      <x:c r="F117" s="9" t="str">
        <x:v>ET-A-A</x:v>
      </x:c>
      <x:c r="G117" s="9" t="str">
        <x:v>B1</x:v>
      </x:c>
      <x:c r="H117" s="9" t="str">
        <x:v>INT</x:v>
      </x:c>
      <x:c r="I117" s="9" t="str">
        <x:v>PD15</x:v>
      </x:c>
      <x:c r="J117" s="17" t="str">
        <x:v>Reconstruction ancestry and replay</x:v>
      </x:c>
      <x:c r="K117" s="17" t="str">
        <x:v>Reconstruction court</x:v>
      </x:c>
      <x:c r="L117" s="17" t="str">
        <x:v>COURT-SEALED UNTIL COHORT RELEASE</x:v>
      </x:c>
      <x:c r="M117" s="9" t="n">
        <x:v>0</x:v>
      </x:c>
      <x:c r="N117" s="9" t="n">
        <x:v>0</x:v>
      </x:c>
      <x:c r="O117" s="9" t="n">
        <x:v>0</x:v>
      </x:c>
      <x:c r="P117" s="9" t="str">
        <x:v>HELD / UNRELEASED</x:v>
      </x:c>
      <x:c r="Q117" s="9" t="n">
        <x:f>COUNTIFS($A$7:$A$2310,A117)</x:f>
        <x:v>1</x:v>
      </x:c>
    </x:row>
    <x:row r="118">
      <x:c r="A118" s="9" t="str">
        <x:v>PD-AR-ET-A-A-TECH-1-B1-INT-G0-PD16</x:v>
      </x:c>
      <x:c r="B118" s="9" t="str">
        <x:v>PD-AR-ET-A-A-TECH-1-B1-INT-G0</x:v>
      </x:c>
      <x:c r="C118" s="9" t="str">
        <x:v>EV-AR-ET-A-A-TECH-1-B1-INT-G0</x:v>
      </x:c>
      <x:c r="D118" s="9" t="str">
        <x:v>AR-ET-A-A-TECH-1-B1-INT-G0</x:v>
      </x:c>
      <x:c r="E118" s="9" t="str">
        <x:v>ET-A-A-TECH-1</x:v>
      </x:c>
      <x:c r="F118" s="9" t="str">
        <x:v>ET-A-A</x:v>
      </x:c>
      <x:c r="G118" s="9" t="str">
        <x:v>B1</x:v>
      </x:c>
      <x:c r="H118" s="9" t="str">
        <x:v>INT</x:v>
      </x:c>
      <x:c r="I118" s="9" t="str">
        <x:v>PD16</x:v>
      </x:c>
      <x:c r="J118" s="17" t="str">
        <x:v>Dissent, amendments and access log</x:v>
      </x:c>
      <x:c r="K118" s="17" t="str">
        <x:v>Public archive</x:v>
      </x:c>
      <x:c r="L118" s="17" t="str">
        <x:v>COURT-SEALED UNTIL COHORT RELEASE</x:v>
      </x:c>
      <x:c r="M118" s="9" t="n">
        <x:v>0</x:v>
      </x:c>
      <x:c r="N118" s="9" t="n">
        <x:v>0</x:v>
      </x:c>
      <x:c r="O118" s="9" t="n">
        <x:v>0</x:v>
      </x:c>
      <x:c r="P118" s="9" t="str">
        <x:v>HELD / UNRELEASED</x:v>
      </x:c>
      <x:c r="Q118" s="9" t="n">
        <x:f>COUNTIFS($A$7:$A$2310,A118)</x:f>
        <x:v>1</x:v>
      </x:c>
    </x:row>
    <x:row r="119">
      <x:c r="A119" s="9" t="str">
        <x:v>PD-AR-ET-A-A-TECH-2-B2-RCN-G0-PD01</x:v>
      </x:c>
      <x:c r="B119" s="9" t="str">
        <x:v>PD-AR-ET-A-A-TECH-2-B2-RCN-G0</x:v>
      </x:c>
      <x:c r="C119" s="9" t="str">
        <x:v>EV-AR-ET-A-A-TECH-2-B2-RCN-G0</x:v>
      </x:c>
      <x:c r="D119" s="9" t="str">
        <x:v>AR-ET-A-A-TECH-2-B2-RCN-G0</x:v>
      </x:c>
      <x:c r="E119" s="9" t="str">
        <x:v>ET-A-A-TECH-2</x:v>
      </x:c>
      <x:c r="F119" s="9" t="str">
        <x:v>ET-A-A</x:v>
      </x:c>
      <x:c r="G119" s="9" t="str">
        <x:v>B2</x:v>
      </x:c>
      <x:c r="H119" s="9" t="str">
        <x:v>RCN</x:v>
      </x:c>
      <x:c r="I119" s="9" t="str">
        <x:v>PD01</x:v>
      </x:c>
      <x:c r="J119" s="17" t="str">
        <x:v>Experiment kernel</x:v>
      </x:c>
      <x:c r="K119" s="17" t="str">
        <x:v>Public archive</x:v>
      </x:c>
      <x:c r="L119" s="17" t="str">
        <x:v>COURT-SEALED UNTIL COHORT RELEASE</x:v>
      </x:c>
      <x:c r="M119" s="9" t="n">
        <x:v>0</x:v>
      </x:c>
      <x:c r="N119" s="9" t="n">
        <x:v>0</x:v>
      </x:c>
      <x:c r="O119" s="9" t="n">
        <x:v>0</x:v>
      </x:c>
      <x:c r="P119" s="9" t="str">
        <x:v>HELD / UNRELEASED</x:v>
      </x:c>
      <x:c r="Q119" s="9" t="n">
        <x:f>COUNTIFS($A$7:$A$2310,A119)</x:f>
        <x:v>1</x:v>
      </x:c>
    </x:row>
    <x:row r="120">
      <x:c r="A120" s="9" t="str">
        <x:v>PD-AR-ET-A-A-TECH-2-B2-RCN-G0-PD02</x:v>
      </x:c>
      <x:c r="B120" s="9" t="str">
        <x:v>PD-AR-ET-A-A-TECH-2-B2-RCN-G0</x:v>
      </x:c>
      <x:c r="C120" s="9" t="str">
        <x:v>EV-AR-ET-A-A-TECH-2-B2-RCN-G0</x:v>
      </x:c>
      <x:c r="D120" s="9" t="str">
        <x:v>AR-ET-A-A-TECH-2-B2-RCN-G0</x:v>
      </x:c>
      <x:c r="E120" s="9" t="str">
        <x:v>ET-A-A-TECH-2</x:v>
      </x:c>
      <x:c r="F120" s="9" t="str">
        <x:v>ET-A-A</x:v>
      </x:c>
      <x:c r="G120" s="9" t="str">
        <x:v>B2</x:v>
      </x:c>
      <x:c r="H120" s="9" t="str">
        <x:v>RCN</x:v>
      </x:c>
      <x:c r="I120" s="9" t="str">
        <x:v>PD02</x:v>
      </x:c>
      <x:c r="J120" s="17" t="str">
        <x:v>Serial annex and title chain</x:v>
      </x:c>
      <x:c r="K120" s="17" t="str">
        <x:v>Public archive</x:v>
      </x:c>
      <x:c r="L120" s="17" t="str">
        <x:v>COURT-SEALED UNTIL COHORT RELEASE</x:v>
      </x:c>
      <x:c r="M120" s="9" t="n">
        <x:v>0</x:v>
      </x:c>
      <x:c r="N120" s="9" t="n">
        <x:v>0</x:v>
      </x:c>
      <x:c r="O120" s="9" t="n">
        <x:v>0</x:v>
      </x:c>
      <x:c r="P120" s="9" t="str">
        <x:v>HELD / UNRELEASED</x:v>
      </x:c>
      <x:c r="Q120" s="9" t="n">
        <x:f>COUNTIFS($A$7:$A$2310,A120)</x:f>
        <x:v>1</x:v>
      </x:c>
    </x:row>
    <x:row r="121">
      <x:c r="A121" s="9" t="str">
        <x:v>PD-AR-ET-A-A-TECH-2-B2-RCN-G0-PD03</x:v>
      </x:c>
      <x:c r="B121" s="9" t="str">
        <x:v>PD-AR-ET-A-A-TECH-2-B2-RCN-G0</x:v>
      </x:c>
      <x:c r="C121" s="9" t="str">
        <x:v>EV-AR-ET-A-A-TECH-2-B2-RCN-G0</x:v>
      </x:c>
      <x:c r="D121" s="9" t="str">
        <x:v>AR-ET-A-A-TECH-2-B2-RCN-G0</x:v>
      </x:c>
      <x:c r="E121" s="9" t="str">
        <x:v>ET-A-A-TECH-2</x:v>
      </x:c>
      <x:c r="F121" s="9" t="str">
        <x:v>ET-A-A</x:v>
      </x:c>
      <x:c r="G121" s="9" t="str">
        <x:v>B2</x:v>
      </x:c>
      <x:c r="H121" s="9" t="str">
        <x:v>RCN</x:v>
      </x:c>
      <x:c r="I121" s="9" t="str">
        <x:v>PD03</x:v>
      </x:c>
      <x:c r="J121" s="17" t="str">
        <x:v>Configuration and as-built manifest</x:v>
      </x:c>
      <x:c r="K121" s="17" t="str">
        <x:v>Artifact exchange</x:v>
      </x:c>
      <x:c r="L121" s="17" t="str">
        <x:v>COURT-SEALED UNTIL COHORT RELEASE</x:v>
      </x:c>
      <x:c r="M121" s="9" t="n">
        <x:v>0</x:v>
      </x:c>
      <x:c r="N121" s="9" t="n">
        <x:v>0</x:v>
      </x:c>
      <x:c r="O121" s="9" t="n">
        <x:v>0</x:v>
      </x:c>
      <x:c r="P121" s="9" t="str">
        <x:v>HELD / UNRELEASED</x:v>
      </x:c>
      <x:c r="Q121" s="9" t="n">
        <x:f>COUNTIFS($A$7:$A$2310,A121)</x:f>
        <x:v>1</x:v>
      </x:c>
    </x:row>
    <x:row r="122">
      <x:c r="A122" s="9" t="str">
        <x:v>PD-AR-ET-A-A-TECH-2-B2-RCN-G0-PD04</x:v>
      </x:c>
      <x:c r="B122" s="9" t="str">
        <x:v>PD-AR-ET-A-A-TECH-2-B2-RCN-G0</x:v>
      </x:c>
      <x:c r="C122" s="9" t="str">
        <x:v>EV-AR-ET-A-A-TECH-2-B2-RCN-G0</x:v>
      </x:c>
      <x:c r="D122" s="9" t="str">
        <x:v>AR-ET-A-A-TECH-2-B2-RCN-G0</x:v>
      </x:c>
      <x:c r="E122" s="9" t="str">
        <x:v>ET-A-A-TECH-2</x:v>
      </x:c>
      <x:c r="F122" s="9" t="str">
        <x:v>ET-A-A</x:v>
      </x:c>
      <x:c r="G122" s="9" t="str">
        <x:v>B2</x:v>
      </x:c>
      <x:c r="H122" s="9" t="str">
        <x:v>RCN</x:v>
      </x:c>
      <x:c r="I122" s="9" t="str">
        <x:v>PD04</x:v>
      </x:c>
      <x:c r="J122" s="17" t="str">
        <x:v>EOW and start certificate</x:v>
      </x:c>
      <x:c r="K122" s="17" t="str">
        <x:v>Start registrar</x:v>
      </x:c>
      <x:c r="L122" s="17" t="str">
        <x:v>COURT-SEALED UNTIL COHORT RELEASE</x:v>
      </x:c>
      <x:c r="M122" s="9" t="n">
        <x:v>0</x:v>
      </x:c>
      <x:c r="N122" s="9" t="n">
        <x:v>0</x:v>
      </x:c>
      <x:c r="O122" s="9" t="n">
        <x:v>0</x:v>
      </x:c>
      <x:c r="P122" s="9" t="str">
        <x:v>HELD / UNRELEASED</x:v>
      </x:c>
      <x:c r="Q122" s="9" t="n">
        <x:f>COUNTIFS($A$7:$A$2310,A122)</x:f>
        <x:v>1</x:v>
      </x:c>
    </x:row>
    <x:row r="123">
      <x:c r="A123" s="9" t="str">
        <x:v>PD-AR-ET-A-A-TECH-2-B2-RCN-G0-PD05</x:v>
      </x:c>
      <x:c r="B123" s="9" t="str">
        <x:v>PD-AR-ET-A-A-TECH-2-B2-RCN-G0</x:v>
      </x:c>
      <x:c r="C123" s="9" t="str">
        <x:v>EV-AR-ET-A-A-TECH-2-B2-RCN-G0</x:v>
      </x:c>
      <x:c r="D123" s="9" t="str">
        <x:v>AR-ET-A-A-TECH-2-B2-RCN-G0</x:v>
      </x:c>
      <x:c r="E123" s="9" t="str">
        <x:v>ET-A-A-TECH-2</x:v>
      </x:c>
      <x:c r="F123" s="9" t="str">
        <x:v>ET-A-A</x:v>
      </x:c>
      <x:c r="G123" s="9" t="str">
        <x:v>B2</x:v>
      </x:c>
      <x:c r="H123" s="9" t="str">
        <x:v>RCN</x:v>
      </x:c>
      <x:c r="I123" s="9" t="str">
        <x:v>PD05</x:v>
      </x:c>
      <x:c r="J123" s="17" t="str">
        <x:v>Primary raw originals</x:v>
      </x:c>
      <x:c r="K123" s="17" t="str">
        <x:v>Primary custody</x:v>
      </x:c>
      <x:c r="L123" s="17" t="str">
        <x:v>COURT-SEALED UNTIL COHORT RELEASE</x:v>
      </x:c>
      <x:c r="M123" s="9" t="n">
        <x:v>0</x:v>
      </x:c>
      <x:c r="N123" s="9" t="n">
        <x:v>0</x:v>
      </x:c>
      <x:c r="O123" s="9" t="n">
        <x:v>0</x:v>
      </x:c>
      <x:c r="P123" s="9" t="str">
        <x:v>HELD / UNRELEASED</x:v>
      </x:c>
      <x:c r="Q123" s="9" t="n">
        <x:f>COUNTIFS($A$7:$A$2310,A123)</x:f>
        <x:v>1</x:v>
      </x:c>
    </x:row>
    <x:row r="124">
      <x:c r="A124" s="9" t="str">
        <x:v>PD-AR-ET-A-A-TECH-2-B2-RCN-G0-PD06</x:v>
      </x:c>
      <x:c r="B124" s="9" t="str">
        <x:v>PD-AR-ET-A-A-TECH-2-B2-RCN-G0</x:v>
      </x:c>
      <x:c r="C124" s="9" t="str">
        <x:v>EV-AR-ET-A-A-TECH-2-B2-RCN-G0</x:v>
      </x:c>
      <x:c r="D124" s="9" t="str">
        <x:v>AR-ET-A-A-TECH-2-B2-RCN-G0</x:v>
      </x:c>
      <x:c r="E124" s="9" t="str">
        <x:v>ET-A-A-TECH-2</x:v>
      </x:c>
      <x:c r="F124" s="9" t="str">
        <x:v>ET-A-A</x:v>
      </x:c>
      <x:c r="G124" s="9" t="str">
        <x:v>B2</x:v>
      </x:c>
      <x:c r="H124" s="9" t="str">
        <x:v>RCN</x:v>
      </x:c>
      <x:c r="I124" s="9" t="str">
        <x:v>PD06</x:v>
      </x:c>
      <x:c r="J124" s="17" t="str">
        <x:v>Witness raw originals</x:v>
      </x:c>
      <x:c r="K124" s="17" t="str">
        <x:v>Witness custody</x:v>
      </x:c>
      <x:c r="L124" s="17" t="str">
        <x:v>COURT-SEALED UNTIL COHORT RELEASE</x:v>
      </x:c>
      <x:c r="M124" s="9" t="n">
        <x:v>0</x:v>
      </x:c>
      <x:c r="N124" s="9" t="n">
        <x:v>0</x:v>
      </x:c>
      <x:c r="O124" s="9" t="n">
        <x:v>0</x:v>
      </x:c>
      <x:c r="P124" s="9" t="str">
        <x:v>HELD / UNRELEASED</x:v>
      </x:c>
      <x:c r="Q124" s="9" t="n">
        <x:f>COUNTIFS($A$7:$A$2310,A124)</x:f>
        <x:v>1</x:v>
      </x:c>
    </x:row>
    <x:row r="125">
      <x:c r="A125" s="9" t="str">
        <x:v>PD-AR-ET-A-A-TECH-2-B2-RCN-G0-PD07</x:v>
      </x:c>
      <x:c r="B125" s="9" t="str">
        <x:v>PD-AR-ET-A-A-TECH-2-B2-RCN-G0</x:v>
      </x:c>
      <x:c r="C125" s="9" t="str">
        <x:v>EV-AR-ET-A-A-TECH-2-B2-RCN-G0</x:v>
      </x:c>
      <x:c r="D125" s="9" t="str">
        <x:v>AR-ET-A-A-TECH-2-B2-RCN-G0</x:v>
      </x:c>
      <x:c r="E125" s="9" t="str">
        <x:v>ET-A-A-TECH-2</x:v>
      </x:c>
      <x:c r="F125" s="9" t="str">
        <x:v>ET-A-A</x:v>
      </x:c>
      <x:c r="G125" s="9" t="str">
        <x:v>B2</x:v>
      </x:c>
      <x:c r="H125" s="9" t="str">
        <x:v>RCN</x:v>
      </x:c>
      <x:c r="I125" s="9" t="str">
        <x:v>PD07</x:v>
      </x:c>
      <x:c r="J125" s="17" t="str">
        <x:v>Clock and environmental records</x:v>
      </x:c>
      <x:c r="K125" s="17" t="str">
        <x:v>Boundary archive</x:v>
      </x:c>
      <x:c r="L125" s="17" t="str">
        <x:v>COURT-SEALED UNTIL COHORT RELEASE</x:v>
      </x:c>
      <x:c r="M125" s="9" t="n">
        <x:v>0</x:v>
      </x:c>
      <x:c r="N125" s="9" t="n">
        <x:v>0</x:v>
      </x:c>
      <x:c r="O125" s="9" t="n">
        <x:v>0</x:v>
      </x:c>
      <x:c r="P125" s="9" t="str">
        <x:v>HELD / UNRELEASED</x:v>
      </x:c>
      <x:c r="Q125" s="9" t="n">
        <x:f>COUNTIFS($A$7:$A$2310,A125)</x:f>
        <x:v>1</x:v>
      </x:c>
    </x:row>
    <x:row r="126">
      <x:c r="A126" s="9" t="str">
        <x:v>PD-AR-ET-A-A-TECH-2-B2-RCN-G0-PD08</x:v>
      </x:c>
      <x:c r="B126" s="9" t="str">
        <x:v>PD-AR-ET-A-A-TECH-2-B2-RCN-G0</x:v>
      </x:c>
      <x:c r="C126" s="9" t="str">
        <x:v>EV-AR-ET-A-A-TECH-2-B2-RCN-G0</x:v>
      </x:c>
      <x:c r="D126" s="9" t="str">
        <x:v>AR-ET-A-A-TECH-2-B2-RCN-G0</x:v>
      </x:c>
      <x:c r="E126" s="9" t="str">
        <x:v>ET-A-A-TECH-2</x:v>
      </x:c>
      <x:c r="F126" s="9" t="str">
        <x:v>ET-A-A</x:v>
      </x:c>
      <x:c r="G126" s="9" t="str">
        <x:v>B2</x:v>
      </x:c>
      <x:c r="H126" s="9" t="str">
        <x:v>RCN</x:v>
      </x:c>
      <x:c r="I126" s="9" t="str">
        <x:v>PD08</x:v>
      </x:c>
      <x:c r="J126" s="17" t="str">
        <x:v>Command and intervention log</x:v>
      </x:c>
      <x:c r="K126" s="17" t="str">
        <x:v>Safety archive</x:v>
      </x:c>
      <x:c r="L126" s="17" t="str">
        <x:v>COURT-SEALED UNTIL COHORT RELEASE</x:v>
      </x:c>
      <x:c r="M126" s="9" t="n">
        <x:v>0</x:v>
      </x:c>
      <x:c r="N126" s="9" t="n">
        <x:v>0</x:v>
      </x:c>
      <x:c r="O126" s="9" t="n">
        <x:v>0</x:v>
      </x:c>
      <x:c r="P126" s="9" t="str">
        <x:v>HELD / UNRELEASED</x:v>
      </x:c>
      <x:c r="Q126" s="9" t="n">
        <x:f>COUNTIFS($A$7:$A$2310,A126)</x:f>
        <x:v>1</x:v>
      </x:c>
    </x:row>
    <x:row r="127">
      <x:c r="A127" s="9" t="str">
        <x:v>PD-AR-ET-A-A-TECH-2-B2-RCN-G0-PD09</x:v>
      </x:c>
      <x:c r="B127" s="9" t="str">
        <x:v>PD-AR-ET-A-A-TECH-2-B2-RCN-G0</x:v>
      </x:c>
      <x:c r="C127" s="9" t="str">
        <x:v>EV-AR-ET-A-A-TECH-2-B2-RCN-G0</x:v>
      </x:c>
      <x:c r="D127" s="9" t="str">
        <x:v>AR-ET-A-A-TECH-2-B2-RCN-G0</x:v>
      </x:c>
      <x:c r="E127" s="9" t="str">
        <x:v>ET-A-A-TECH-2</x:v>
      </x:c>
      <x:c r="F127" s="9" t="str">
        <x:v>ET-A-A</x:v>
      </x:c>
      <x:c r="G127" s="9" t="str">
        <x:v>B2</x:v>
      </x:c>
      <x:c r="H127" s="9" t="str">
        <x:v>RCN</x:v>
      </x:c>
      <x:c r="I127" s="9" t="str">
        <x:v>PD09</x:v>
      </x:c>
      <x:c r="J127" s="17" t="str">
        <x:v>Receiver denominator and service ledger</x:v>
      </x:c>
      <x:c r="K127" s="17" t="str">
        <x:v>Receiver archive</x:v>
      </x:c>
      <x:c r="L127" s="17" t="str">
        <x:v>COURT-SEALED UNTIL COHORT RELEASE</x:v>
      </x:c>
      <x:c r="M127" s="9" t="n">
        <x:v>0</x:v>
      </x:c>
      <x:c r="N127" s="9" t="n">
        <x:v>0</x:v>
      </x:c>
      <x:c r="O127" s="9" t="n">
        <x:v>0</x:v>
      </x:c>
      <x:c r="P127" s="9" t="str">
        <x:v>HELD / UNRELEASED</x:v>
      </x:c>
      <x:c r="Q127" s="9" t="n">
        <x:f>COUNTIFS($A$7:$A$2310,A127)</x:f>
        <x:v>1</x:v>
      </x:c>
    </x:row>
    <x:row r="128">
      <x:c r="A128" s="9" t="str">
        <x:v>PD-AR-ET-A-A-TECH-2-B2-RCN-G0-PD10</x:v>
      </x:c>
      <x:c r="B128" s="9" t="str">
        <x:v>PD-AR-ET-A-A-TECH-2-B2-RCN-G0</x:v>
      </x:c>
      <x:c r="C128" s="9" t="str">
        <x:v>EV-AR-ET-A-A-TECH-2-B2-RCN-G0</x:v>
      </x:c>
      <x:c r="D128" s="9" t="str">
        <x:v>AR-ET-A-A-TECH-2-B2-RCN-G0</x:v>
      </x:c>
      <x:c r="E128" s="9" t="str">
        <x:v>ET-A-A-TECH-2</x:v>
      </x:c>
      <x:c r="F128" s="9" t="str">
        <x:v>ET-A-A</x:v>
      </x:c>
      <x:c r="G128" s="9" t="str">
        <x:v>B2</x:v>
      </x:c>
      <x:c r="H128" s="9" t="str">
        <x:v>RCN</x:v>
      </x:c>
      <x:c r="I128" s="9" t="str">
        <x:v>PD10</x:v>
      </x:c>
      <x:c r="J128" s="17" t="str">
        <x:v>Calibration and uncertainty record</x:v>
      </x:c>
      <x:c r="K128" s="17" t="str">
        <x:v>Metrology archive</x:v>
      </x:c>
      <x:c r="L128" s="17" t="str">
        <x:v>COURT-SEALED UNTIL COHORT RELEASE</x:v>
      </x:c>
      <x:c r="M128" s="9" t="n">
        <x:v>0</x:v>
      </x:c>
      <x:c r="N128" s="9" t="n">
        <x:v>0</x:v>
      </x:c>
      <x:c r="O128" s="9" t="n">
        <x:v>0</x:v>
      </x:c>
      <x:c r="P128" s="9" t="str">
        <x:v>HELD / UNRELEASED</x:v>
      </x:c>
      <x:c r="Q128" s="9" t="n">
        <x:f>COUNTIFS($A$7:$A$2310,A128)</x:f>
        <x:v>1</x:v>
      </x:c>
    </x:row>
    <x:row r="129">
      <x:c r="A129" s="9" t="str">
        <x:v>PD-AR-ET-A-A-TECH-2-B2-RCN-G0-PD11</x:v>
      </x:c>
      <x:c r="B129" s="9" t="str">
        <x:v>PD-AR-ET-A-A-TECH-2-B2-RCN-G0</x:v>
      </x:c>
      <x:c r="C129" s="9" t="str">
        <x:v>EV-AR-ET-A-A-TECH-2-B2-RCN-G0</x:v>
      </x:c>
      <x:c r="D129" s="9" t="str">
        <x:v>AR-ET-A-A-TECH-2-B2-RCN-G0</x:v>
      </x:c>
      <x:c r="E129" s="9" t="str">
        <x:v>ET-A-A-TECH-2</x:v>
      </x:c>
      <x:c r="F129" s="9" t="str">
        <x:v>ET-A-A</x:v>
      </x:c>
      <x:c r="G129" s="9" t="str">
        <x:v>B2</x:v>
      </x:c>
      <x:c r="H129" s="9" t="str">
        <x:v>RCN</x:v>
      </x:c>
      <x:c r="I129" s="9" t="str">
        <x:v>PD11</x:v>
      </x:c>
      <x:c r="J129" s="17" t="str">
        <x:v>Invalidity petition and opinion</x:v>
      </x:c>
      <x:c r="K129" s="17" t="str">
        <x:v>Invalidity court</x:v>
      </x:c>
      <x:c r="L129" s="17" t="str">
        <x:v>COURT-SEALED UNTIL COHORT RELEASE</x:v>
      </x:c>
      <x:c r="M129" s="9" t="n">
        <x:v>0</x:v>
      </x:c>
      <x:c r="N129" s="9" t="n">
        <x:v>0</x:v>
      </x:c>
      <x:c r="O129" s="9" t="n">
        <x:v>0</x:v>
      </x:c>
      <x:c r="P129" s="9" t="str">
        <x:v>HELD / UNRELEASED</x:v>
      </x:c>
      <x:c r="Q129" s="9" t="n">
        <x:f>COUNTIFS($A$7:$A$2310,A129)</x:f>
        <x:v>1</x:v>
      </x:c>
    </x:row>
    <x:row r="130">
      <x:c r="A130" s="9" t="str">
        <x:v>PD-AR-ET-A-A-TECH-2-B2-RCN-G0-PD12</x:v>
      </x:c>
      <x:c r="B130" s="9" t="str">
        <x:v>PD-AR-ET-A-A-TECH-2-B2-RCN-G0</x:v>
      </x:c>
      <x:c r="C130" s="9" t="str">
        <x:v>EV-AR-ET-A-A-TECH-2-B2-RCN-G0</x:v>
      </x:c>
      <x:c r="D130" s="9" t="str">
        <x:v>AR-ET-A-A-TECH-2-B2-RCN-G0</x:v>
      </x:c>
      <x:c r="E130" s="9" t="str">
        <x:v>ET-A-A-TECH-2</x:v>
      </x:c>
      <x:c r="F130" s="9" t="str">
        <x:v>ET-A-A</x:v>
      </x:c>
      <x:c r="G130" s="9" t="str">
        <x:v>B2</x:v>
      </x:c>
      <x:c r="H130" s="9" t="str">
        <x:v>RCN</x:v>
      </x:c>
      <x:c r="I130" s="9" t="str">
        <x:v>PD12</x:v>
      </x:c>
      <x:c r="J130" s="17" t="str">
        <x:v>Observation acceptance and replay</x:v>
      </x:c>
      <x:c r="K130" s="17" t="str">
        <x:v>Observation court</x:v>
      </x:c>
      <x:c r="L130" s="17" t="str">
        <x:v>COURT-SEALED UNTIL COHORT RELEASE</x:v>
      </x:c>
      <x:c r="M130" s="9" t="n">
        <x:v>0</x:v>
      </x:c>
      <x:c r="N130" s="9" t="n">
        <x:v>0</x:v>
      </x:c>
      <x:c r="O130" s="9" t="n">
        <x:v>0</x:v>
      </x:c>
      <x:c r="P130" s="9" t="str">
        <x:v>HELD / UNRELEASED</x:v>
      </x:c>
      <x:c r="Q130" s="9" t="n">
        <x:f>COUNTIFS($A$7:$A$2310,A130)</x:f>
        <x:v>1</x:v>
      </x:c>
    </x:row>
    <x:row r="131">
      <x:c r="A131" s="9" t="str">
        <x:v>PD-AR-ET-A-A-TECH-2-B2-RCN-G0-PD13</x:v>
      </x:c>
      <x:c r="B131" s="9" t="str">
        <x:v>PD-AR-ET-A-A-TECH-2-B2-RCN-G0</x:v>
      </x:c>
      <x:c r="C131" s="9" t="str">
        <x:v>EV-AR-ET-A-A-TECH-2-B2-RCN-G0</x:v>
      </x:c>
      <x:c r="D131" s="9" t="str">
        <x:v>AR-ET-A-A-TECH-2-B2-RCN-G0</x:v>
      </x:c>
      <x:c r="E131" s="9" t="str">
        <x:v>ET-A-A-TECH-2</x:v>
      </x:c>
      <x:c r="F131" s="9" t="str">
        <x:v>ET-A-A</x:v>
      </x:c>
      <x:c r="G131" s="9" t="str">
        <x:v>B2</x:v>
      </x:c>
      <x:c r="H131" s="9" t="str">
        <x:v>RCN</x:v>
      </x:c>
      <x:c r="I131" s="9" t="str">
        <x:v>PD13</x:v>
      </x:c>
      <x:c r="J131" s="17" t="str">
        <x:v>Role judgment</x:v>
      </x:c>
      <x:c r="K131" s="17" t="str">
        <x:v>Role court</x:v>
      </x:c>
      <x:c r="L131" s="17" t="str">
        <x:v>COURT-SEALED UNTIL COHORT RELEASE</x:v>
      </x:c>
      <x:c r="M131" s="9" t="n">
        <x:v>0</x:v>
      </x:c>
      <x:c r="N131" s="9" t="n">
        <x:v>0</x:v>
      </x:c>
      <x:c r="O131" s="9" t="n">
        <x:v>0</x:v>
      </x:c>
      <x:c r="P131" s="9" t="str">
        <x:v>HELD / UNRELEASED</x:v>
      </x:c>
      <x:c r="Q131" s="9" t="n">
        <x:f>COUNTIFS($A$7:$A$2310,A131)</x:f>
        <x:v>1</x:v>
      </x:c>
    </x:row>
    <x:row r="132">
      <x:c r="A132" s="9" t="str">
        <x:v>PD-AR-ET-A-A-TECH-2-B2-RCN-G0-PD14</x:v>
      </x:c>
      <x:c r="B132" s="9" t="str">
        <x:v>PD-AR-ET-A-A-TECH-2-B2-RCN-G0</x:v>
      </x:c>
      <x:c r="C132" s="9" t="str">
        <x:v>EV-AR-ET-A-A-TECH-2-B2-RCN-G0</x:v>
      </x:c>
      <x:c r="D132" s="9" t="str">
        <x:v>AR-ET-A-A-TECH-2-B2-RCN-G0</x:v>
      </x:c>
      <x:c r="E132" s="9" t="str">
        <x:v>ET-A-A-TECH-2</x:v>
      </x:c>
      <x:c r="F132" s="9" t="str">
        <x:v>ET-A-A</x:v>
      </x:c>
      <x:c r="G132" s="9" t="str">
        <x:v>B2</x:v>
      </x:c>
      <x:c r="H132" s="9" t="str">
        <x:v>RCN</x:v>
      </x:c>
      <x:c r="I132" s="9" t="str">
        <x:v>PD14</x:v>
      </x:c>
      <x:c r="J132" s="17" t="str">
        <x:v>Break and residual account</x:v>
      </x:c>
      <x:c r="K132" s="17" t="str">
        <x:v>Residual authority</x:v>
      </x:c>
      <x:c r="L132" s="17" t="str">
        <x:v>COURT-SEALED UNTIL COHORT RELEASE</x:v>
      </x:c>
      <x:c r="M132" s="9" t="n">
        <x:v>0</x:v>
      </x:c>
      <x:c r="N132" s="9" t="n">
        <x:v>0</x:v>
      </x:c>
      <x:c r="O132" s="9" t="n">
        <x:v>0</x:v>
      </x:c>
      <x:c r="P132" s="9" t="str">
        <x:v>HELD / UNRELEASED</x:v>
      </x:c>
      <x:c r="Q132" s="9" t="n">
        <x:f>COUNTIFS($A$7:$A$2310,A132)</x:f>
        <x:v>1</x:v>
      </x:c>
    </x:row>
    <x:row r="133">
      <x:c r="A133" s="9" t="str">
        <x:v>PD-AR-ET-A-A-TECH-2-B2-RCN-G0-PD15</x:v>
      </x:c>
      <x:c r="B133" s="9" t="str">
        <x:v>PD-AR-ET-A-A-TECH-2-B2-RCN-G0</x:v>
      </x:c>
      <x:c r="C133" s="9" t="str">
        <x:v>EV-AR-ET-A-A-TECH-2-B2-RCN-G0</x:v>
      </x:c>
      <x:c r="D133" s="9" t="str">
        <x:v>AR-ET-A-A-TECH-2-B2-RCN-G0</x:v>
      </x:c>
      <x:c r="E133" s="9" t="str">
        <x:v>ET-A-A-TECH-2</x:v>
      </x:c>
      <x:c r="F133" s="9" t="str">
        <x:v>ET-A-A</x:v>
      </x:c>
      <x:c r="G133" s="9" t="str">
        <x:v>B2</x:v>
      </x:c>
      <x:c r="H133" s="9" t="str">
        <x:v>RCN</x:v>
      </x:c>
      <x:c r="I133" s="9" t="str">
        <x:v>PD15</x:v>
      </x:c>
      <x:c r="J133" s="17" t="str">
        <x:v>Reconstruction ancestry and replay</x:v>
      </x:c>
      <x:c r="K133" s="17" t="str">
        <x:v>Reconstruction court</x:v>
      </x:c>
      <x:c r="L133" s="17" t="str">
        <x:v>COURT-SEALED UNTIL COHORT RELEASE</x:v>
      </x:c>
      <x:c r="M133" s="9" t="n">
        <x:v>0</x:v>
      </x:c>
      <x:c r="N133" s="9" t="n">
        <x:v>0</x:v>
      </x:c>
      <x:c r="O133" s="9" t="n">
        <x:v>0</x:v>
      </x:c>
      <x:c r="P133" s="9" t="str">
        <x:v>HELD / UNRELEASED</x:v>
      </x:c>
      <x:c r="Q133" s="9" t="n">
        <x:f>COUNTIFS($A$7:$A$2310,A133)</x:f>
        <x:v>1</x:v>
      </x:c>
    </x:row>
    <x:row r="134">
      <x:c r="A134" s="9" t="str">
        <x:v>PD-AR-ET-A-A-TECH-2-B2-RCN-G0-PD16</x:v>
      </x:c>
      <x:c r="B134" s="9" t="str">
        <x:v>PD-AR-ET-A-A-TECH-2-B2-RCN-G0</x:v>
      </x:c>
      <x:c r="C134" s="9" t="str">
        <x:v>EV-AR-ET-A-A-TECH-2-B2-RCN-G0</x:v>
      </x:c>
      <x:c r="D134" s="9" t="str">
        <x:v>AR-ET-A-A-TECH-2-B2-RCN-G0</x:v>
      </x:c>
      <x:c r="E134" s="9" t="str">
        <x:v>ET-A-A-TECH-2</x:v>
      </x:c>
      <x:c r="F134" s="9" t="str">
        <x:v>ET-A-A</x:v>
      </x:c>
      <x:c r="G134" s="9" t="str">
        <x:v>B2</x:v>
      </x:c>
      <x:c r="H134" s="9" t="str">
        <x:v>RCN</x:v>
      </x:c>
      <x:c r="I134" s="9" t="str">
        <x:v>PD16</x:v>
      </x:c>
      <x:c r="J134" s="17" t="str">
        <x:v>Dissent, amendments and access log</x:v>
      </x:c>
      <x:c r="K134" s="17" t="str">
        <x:v>Public archive</x:v>
      </x:c>
      <x:c r="L134" s="17" t="str">
        <x:v>COURT-SEALED UNTIL COHORT RELEASE</x:v>
      </x:c>
      <x:c r="M134" s="9" t="n">
        <x:v>0</x:v>
      </x:c>
      <x:c r="N134" s="9" t="n">
        <x:v>0</x:v>
      </x:c>
      <x:c r="O134" s="9" t="n">
        <x:v>0</x:v>
      </x:c>
      <x:c r="P134" s="9" t="str">
        <x:v>HELD / UNRELEASED</x:v>
      </x:c>
      <x:c r="Q134" s="9" t="n">
        <x:f>COUNTIFS($A$7:$A$2310,A134)</x:f>
        <x:v>1</x:v>
      </x:c>
    </x:row>
    <x:row r="135">
      <x:c r="A135" s="9" t="str">
        <x:v>PD-AR-HC-A-C-TECH-3-B1-BRK-G0-PD01</x:v>
      </x:c>
      <x:c r="B135" s="9" t="str">
        <x:v>PD-AR-HC-A-C-TECH-3-B1-BRK-G0</x:v>
      </x:c>
      <x:c r="C135" s="9" t="str">
        <x:v>EV-AR-HC-A-C-TECH-3-B1-BRK-G0</x:v>
      </x:c>
      <x:c r="D135" s="9" t="str">
        <x:v>AR-HC-A-C-TECH-3-B1-BRK-G0</x:v>
      </x:c>
      <x:c r="E135" s="9" t="str">
        <x:v>HC-A-C-TECH-3</x:v>
      </x:c>
      <x:c r="F135" s="9" t="str">
        <x:v>HC-A-C</x:v>
      </x:c>
      <x:c r="G135" s="9" t="str">
        <x:v>B1</x:v>
      </x:c>
      <x:c r="H135" s="9" t="str">
        <x:v>BRK</x:v>
      </x:c>
      <x:c r="I135" s="9" t="str">
        <x:v>PD01</x:v>
      </x:c>
      <x:c r="J135" s="17" t="str">
        <x:v>Experiment kernel</x:v>
      </x:c>
      <x:c r="K135" s="17" t="str">
        <x:v>Public archive</x:v>
      </x:c>
      <x:c r="L135" s="17" t="str">
        <x:v>COURT-SEALED UNTIL COHORT RELEASE</x:v>
      </x:c>
      <x:c r="M135" s="9" t="n">
        <x:v>0</x:v>
      </x:c>
      <x:c r="N135" s="9" t="n">
        <x:v>0</x:v>
      </x:c>
      <x:c r="O135" s="9" t="n">
        <x:v>0</x:v>
      </x:c>
      <x:c r="P135" s="9" t="str">
        <x:v>HELD / UNRELEASED</x:v>
      </x:c>
      <x:c r="Q135" s="9" t="n">
        <x:f>COUNTIFS($A$7:$A$2310,A135)</x:f>
        <x:v>1</x:v>
      </x:c>
    </x:row>
    <x:row r="136">
      <x:c r="A136" s="9" t="str">
        <x:v>PD-AR-HC-A-C-TECH-3-B1-BRK-G0-PD02</x:v>
      </x:c>
      <x:c r="B136" s="9" t="str">
        <x:v>PD-AR-HC-A-C-TECH-3-B1-BRK-G0</x:v>
      </x:c>
      <x:c r="C136" s="9" t="str">
        <x:v>EV-AR-HC-A-C-TECH-3-B1-BRK-G0</x:v>
      </x:c>
      <x:c r="D136" s="9" t="str">
        <x:v>AR-HC-A-C-TECH-3-B1-BRK-G0</x:v>
      </x:c>
      <x:c r="E136" s="9" t="str">
        <x:v>HC-A-C-TECH-3</x:v>
      </x:c>
      <x:c r="F136" s="9" t="str">
        <x:v>HC-A-C</x:v>
      </x:c>
      <x:c r="G136" s="9" t="str">
        <x:v>B1</x:v>
      </x:c>
      <x:c r="H136" s="9" t="str">
        <x:v>BRK</x:v>
      </x:c>
      <x:c r="I136" s="9" t="str">
        <x:v>PD02</x:v>
      </x:c>
      <x:c r="J136" s="17" t="str">
        <x:v>Serial annex and title chain</x:v>
      </x:c>
      <x:c r="K136" s="17" t="str">
        <x:v>Public archive</x:v>
      </x:c>
      <x:c r="L136" s="17" t="str">
        <x:v>COURT-SEALED UNTIL COHORT RELEASE</x:v>
      </x:c>
      <x:c r="M136" s="9" t="n">
        <x:v>0</x:v>
      </x:c>
      <x:c r="N136" s="9" t="n">
        <x:v>0</x:v>
      </x:c>
      <x:c r="O136" s="9" t="n">
        <x:v>0</x:v>
      </x:c>
      <x:c r="P136" s="9" t="str">
        <x:v>HELD / UNRELEASED</x:v>
      </x:c>
      <x:c r="Q136" s="9" t="n">
        <x:f>COUNTIFS($A$7:$A$2310,A136)</x:f>
        <x:v>1</x:v>
      </x:c>
    </x:row>
    <x:row r="137">
      <x:c r="A137" s="9" t="str">
        <x:v>PD-AR-HC-A-C-TECH-3-B1-BRK-G0-PD03</x:v>
      </x:c>
      <x:c r="B137" s="9" t="str">
        <x:v>PD-AR-HC-A-C-TECH-3-B1-BRK-G0</x:v>
      </x:c>
      <x:c r="C137" s="9" t="str">
        <x:v>EV-AR-HC-A-C-TECH-3-B1-BRK-G0</x:v>
      </x:c>
      <x:c r="D137" s="9" t="str">
        <x:v>AR-HC-A-C-TECH-3-B1-BRK-G0</x:v>
      </x:c>
      <x:c r="E137" s="9" t="str">
        <x:v>HC-A-C-TECH-3</x:v>
      </x:c>
      <x:c r="F137" s="9" t="str">
        <x:v>HC-A-C</x:v>
      </x:c>
      <x:c r="G137" s="9" t="str">
        <x:v>B1</x:v>
      </x:c>
      <x:c r="H137" s="9" t="str">
        <x:v>BRK</x:v>
      </x:c>
      <x:c r="I137" s="9" t="str">
        <x:v>PD03</x:v>
      </x:c>
      <x:c r="J137" s="17" t="str">
        <x:v>Configuration and as-built manifest</x:v>
      </x:c>
      <x:c r="K137" s="17" t="str">
        <x:v>Artifact exchange</x:v>
      </x:c>
      <x:c r="L137" s="17" t="str">
        <x:v>COURT-SEALED UNTIL COHORT RELEASE</x:v>
      </x:c>
      <x:c r="M137" s="9" t="n">
        <x:v>0</x:v>
      </x:c>
      <x:c r="N137" s="9" t="n">
        <x:v>0</x:v>
      </x:c>
      <x:c r="O137" s="9" t="n">
        <x:v>0</x:v>
      </x:c>
      <x:c r="P137" s="9" t="str">
        <x:v>HELD / UNRELEASED</x:v>
      </x:c>
      <x:c r="Q137" s="9" t="n">
        <x:f>COUNTIFS($A$7:$A$2310,A137)</x:f>
        <x:v>1</x:v>
      </x:c>
    </x:row>
    <x:row r="138">
      <x:c r="A138" s="9" t="str">
        <x:v>PD-AR-HC-A-C-TECH-3-B1-BRK-G0-PD04</x:v>
      </x:c>
      <x:c r="B138" s="9" t="str">
        <x:v>PD-AR-HC-A-C-TECH-3-B1-BRK-G0</x:v>
      </x:c>
      <x:c r="C138" s="9" t="str">
        <x:v>EV-AR-HC-A-C-TECH-3-B1-BRK-G0</x:v>
      </x:c>
      <x:c r="D138" s="9" t="str">
        <x:v>AR-HC-A-C-TECH-3-B1-BRK-G0</x:v>
      </x:c>
      <x:c r="E138" s="9" t="str">
        <x:v>HC-A-C-TECH-3</x:v>
      </x:c>
      <x:c r="F138" s="9" t="str">
        <x:v>HC-A-C</x:v>
      </x:c>
      <x:c r="G138" s="9" t="str">
        <x:v>B1</x:v>
      </x:c>
      <x:c r="H138" s="9" t="str">
        <x:v>BRK</x:v>
      </x:c>
      <x:c r="I138" s="9" t="str">
        <x:v>PD04</x:v>
      </x:c>
      <x:c r="J138" s="17" t="str">
        <x:v>EOW and start certificate</x:v>
      </x:c>
      <x:c r="K138" s="17" t="str">
        <x:v>Start registrar</x:v>
      </x:c>
      <x:c r="L138" s="17" t="str">
        <x:v>COURT-SEALED UNTIL COHORT RELEASE</x:v>
      </x:c>
      <x:c r="M138" s="9" t="n">
        <x:v>0</x:v>
      </x:c>
      <x:c r="N138" s="9" t="n">
        <x:v>0</x:v>
      </x:c>
      <x:c r="O138" s="9" t="n">
        <x:v>0</x:v>
      </x:c>
      <x:c r="P138" s="9" t="str">
        <x:v>HELD / UNRELEASED</x:v>
      </x:c>
      <x:c r="Q138" s="9" t="n">
        <x:f>COUNTIFS($A$7:$A$2310,A138)</x:f>
        <x:v>1</x:v>
      </x:c>
    </x:row>
    <x:row r="139">
      <x:c r="A139" s="9" t="str">
        <x:v>PD-AR-HC-A-C-TECH-3-B1-BRK-G0-PD05</x:v>
      </x:c>
      <x:c r="B139" s="9" t="str">
        <x:v>PD-AR-HC-A-C-TECH-3-B1-BRK-G0</x:v>
      </x:c>
      <x:c r="C139" s="9" t="str">
        <x:v>EV-AR-HC-A-C-TECH-3-B1-BRK-G0</x:v>
      </x:c>
      <x:c r="D139" s="9" t="str">
        <x:v>AR-HC-A-C-TECH-3-B1-BRK-G0</x:v>
      </x:c>
      <x:c r="E139" s="9" t="str">
        <x:v>HC-A-C-TECH-3</x:v>
      </x:c>
      <x:c r="F139" s="9" t="str">
        <x:v>HC-A-C</x:v>
      </x:c>
      <x:c r="G139" s="9" t="str">
        <x:v>B1</x:v>
      </x:c>
      <x:c r="H139" s="9" t="str">
        <x:v>BRK</x:v>
      </x:c>
      <x:c r="I139" s="9" t="str">
        <x:v>PD05</x:v>
      </x:c>
      <x:c r="J139" s="17" t="str">
        <x:v>Primary raw originals</x:v>
      </x:c>
      <x:c r="K139" s="17" t="str">
        <x:v>Primary custody</x:v>
      </x:c>
      <x:c r="L139" s="17" t="str">
        <x:v>COURT-SEALED UNTIL COHORT RELEASE</x:v>
      </x:c>
      <x:c r="M139" s="9" t="n">
        <x:v>0</x:v>
      </x:c>
      <x:c r="N139" s="9" t="n">
        <x:v>0</x:v>
      </x:c>
      <x:c r="O139" s="9" t="n">
        <x:v>0</x:v>
      </x:c>
      <x:c r="P139" s="9" t="str">
        <x:v>HELD / UNRELEASED</x:v>
      </x:c>
      <x:c r="Q139" s="9" t="n">
        <x:f>COUNTIFS($A$7:$A$2310,A139)</x:f>
        <x:v>1</x:v>
      </x:c>
    </x:row>
    <x:row r="140">
      <x:c r="A140" s="9" t="str">
        <x:v>PD-AR-HC-A-C-TECH-3-B1-BRK-G0-PD06</x:v>
      </x:c>
      <x:c r="B140" s="9" t="str">
        <x:v>PD-AR-HC-A-C-TECH-3-B1-BRK-G0</x:v>
      </x:c>
      <x:c r="C140" s="9" t="str">
        <x:v>EV-AR-HC-A-C-TECH-3-B1-BRK-G0</x:v>
      </x:c>
      <x:c r="D140" s="9" t="str">
        <x:v>AR-HC-A-C-TECH-3-B1-BRK-G0</x:v>
      </x:c>
      <x:c r="E140" s="9" t="str">
        <x:v>HC-A-C-TECH-3</x:v>
      </x:c>
      <x:c r="F140" s="9" t="str">
        <x:v>HC-A-C</x:v>
      </x:c>
      <x:c r="G140" s="9" t="str">
        <x:v>B1</x:v>
      </x:c>
      <x:c r="H140" s="9" t="str">
        <x:v>BRK</x:v>
      </x:c>
      <x:c r="I140" s="9" t="str">
        <x:v>PD06</x:v>
      </x:c>
      <x:c r="J140" s="17" t="str">
        <x:v>Witness raw originals</x:v>
      </x:c>
      <x:c r="K140" s="17" t="str">
        <x:v>Witness custody</x:v>
      </x:c>
      <x:c r="L140" s="17" t="str">
        <x:v>COURT-SEALED UNTIL COHORT RELEASE</x:v>
      </x:c>
      <x:c r="M140" s="9" t="n">
        <x:v>0</x:v>
      </x:c>
      <x:c r="N140" s="9" t="n">
        <x:v>0</x:v>
      </x:c>
      <x:c r="O140" s="9" t="n">
        <x:v>0</x:v>
      </x:c>
      <x:c r="P140" s="9" t="str">
        <x:v>HELD / UNRELEASED</x:v>
      </x:c>
      <x:c r="Q140" s="9" t="n">
        <x:f>COUNTIFS($A$7:$A$2310,A140)</x:f>
        <x:v>1</x:v>
      </x:c>
    </x:row>
    <x:row r="141">
      <x:c r="A141" s="9" t="str">
        <x:v>PD-AR-HC-A-C-TECH-3-B1-BRK-G0-PD07</x:v>
      </x:c>
      <x:c r="B141" s="9" t="str">
        <x:v>PD-AR-HC-A-C-TECH-3-B1-BRK-G0</x:v>
      </x:c>
      <x:c r="C141" s="9" t="str">
        <x:v>EV-AR-HC-A-C-TECH-3-B1-BRK-G0</x:v>
      </x:c>
      <x:c r="D141" s="9" t="str">
        <x:v>AR-HC-A-C-TECH-3-B1-BRK-G0</x:v>
      </x:c>
      <x:c r="E141" s="9" t="str">
        <x:v>HC-A-C-TECH-3</x:v>
      </x:c>
      <x:c r="F141" s="9" t="str">
        <x:v>HC-A-C</x:v>
      </x:c>
      <x:c r="G141" s="9" t="str">
        <x:v>B1</x:v>
      </x:c>
      <x:c r="H141" s="9" t="str">
        <x:v>BRK</x:v>
      </x:c>
      <x:c r="I141" s="9" t="str">
        <x:v>PD07</x:v>
      </x:c>
      <x:c r="J141" s="17" t="str">
        <x:v>Clock and environmental records</x:v>
      </x:c>
      <x:c r="K141" s="17" t="str">
        <x:v>Boundary archive</x:v>
      </x:c>
      <x:c r="L141" s="17" t="str">
        <x:v>COURT-SEALED UNTIL COHORT RELEASE</x:v>
      </x:c>
      <x:c r="M141" s="9" t="n">
        <x:v>0</x:v>
      </x:c>
      <x:c r="N141" s="9" t="n">
        <x:v>0</x:v>
      </x:c>
      <x:c r="O141" s="9" t="n">
        <x:v>0</x:v>
      </x:c>
      <x:c r="P141" s="9" t="str">
        <x:v>HELD / UNRELEASED</x:v>
      </x:c>
      <x:c r="Q141" s="9" t="n">
        <x:f>COUNTIFS($A$7:$A$2310,A141)</x:f>
        <x:v>1</x:v>
      </x:c>
    </x:row>
    <x:row r="142">
      <x:c r="A142" s="9" t="str">
        <x:v>PD-AR-HC-A-C-TECH-3-B1-BRK-G0-PD08</x:v>
      </x:c>
      <x:c r="B142" s="9" t="str">
        <x:v>PD-AR-HC-A-C-TECH-3-B1-BRK-G0</x:v>
      </x:c>
      <x:c r="C142" s="9" t="str">
        <x:v>EV-AR-HC-A-C-TECH-3-B1-BRK-G0</x:v>
      </x:c>
      <x:c r="D142" s="9" t="str">
        <x:v>AR-HC-A-C-TECH-3-B1-BRK-G0</x:v>
      </x:c>
      <x:c r="E142" s="9" t="str">
        <x:v>HC-A-C-TECH-3</x:v>
      </x:c>
      <x:c r="F142" s="9" t="str">
        <x:v>HC-A-C</x:v>
      </x:c>
      <x:c r="G142" s="9" t="str">
        <x:v>B1</x:v>
      </x:c>
      <x:c r="H142" s="9" t="str">
        <x:v>BRK</x:v>
      </x:c>
      <x:c r="I142" s="9" t="str">
        <x:v>PD08</x:v>
      </x:c>
      <x:c r="J142" s="17" t="str">
        <x:v>Command and intervention log</x:v>
      </x:c>
      <x:c r="K142" s="17" t="str">
        <x:v>Safety archive</x:v>
      </x:c>
      <x:c r="L142" s="17" t="str">
        <x:v>COURT-SEALED UNTIL COHORT RELEASE</x:v>
      </x:c>
      <x:c r="M142" s="9" t="n">
        <x:v>0</x:v>
      </x:c>
      <x:c r="N142" s="9" t="n">
        <x:v>0</x:v>
      </x:c>
      <x:c r="O142" s="9" t="n">
        <x:v>0</x:v>
      </x:c>
      <x:c r="P142" s="9" t="str">
        <x:v>HELD / UNRELEASED</x:v>
      </x:c>
      <x:c r="Q142" s="9" t="n">
        <x:f>COUNTIFS($A$7:$A$2310,A142)</x:f>
        <x:v>1</x:v>
      </x:c>
    </x:row>
    <x:row r="143">
      <x:c r="A143" s="9" t="str">
        <x:v>PD-AR-HC-A-C-TECH-3-B1-BRK-G0-PD09</x:v>
      </x:c>
      <x:c r="B143" s="9" t="str">
        <x:v>PD-AR-HC-A-C-TECH-3-B1-BRK-G0</x:v>
      </x:c>
      <x:c r="C143" s="9" t="str">
        <x:v>EV-AR-HC-A-C-TECH-3-B1-BRK-G0</x:v>
      </x:c>
      <x:c r="D143" s="9" t="str">
        <x:v>AR-HC-A-C-TECH-3-B1-BRK-G0</x:v>
      </x:c>
      <x:c r="E143" s="9" t="str">
        <x:v>HC-A-C-TECH-3</x:v>
      </x:c>
      <x:c r="F143" s="9" t="str">
        <x:v>HC-A-C</x:v>
      </x:c>
      <x:c r="G143" s="9" t="str">
        <x:v>B1</x:v>
      </x:c>
      <x:c r="H143" s="9" t="str">
        <x:v>BRK</x:v>
      </x:c>
      <x:c r="I143" s="9" t="str">
        <x:v>PD09</x:v>
      </x:c>
      <x:c r="J143" s="17" t="str">
        <x:v>Receiver denominator and service ledger</x:v>
      </x:c>
      <x:c r="K143" s="17" t="str">
        <x:v>Receiver archive</x:v>
      </x:c>
      <x:c r="L143" s="17" t="str">
        <x:v>COURT-SEALED UNTIL COHORT RELEASE</x:v>
      </x:c>
      <x:c r="M143" s="9" t="n">
        <x:v>0</x:v>
      </x:c>
      <x:c r="N143" s="9" t="n">
        <x:v>0</x:v>
      </x:c>
      <x:c r="O143" s="9" t="n">
        <x:v>0</x:v>
      </x:c>
      <x:c r="P143" s="9" t="str">
        <x:v>HELD / UNRELEASED</x:v>
      </x:c>
      <x:c r="Q143" s="9" t="n">
        <x:f>COUNTIFS($A$7:$A$2310,A143)</x:f>
        <x:v>1</x:v>
      </x:c>
    </x:row>
    <x:row r="144">
      <x:c r="A144" s="9" t="str">
        <x:v>PD-AR-HC-A-C-TECH-3-B1-BRK-G0-PD10</x:v>
      </x:c>
      <x:c r="B144" s="9" t="str">
        <x:v>PD-AR-HC-A-C-TECH-3-B1-BRK-G0</x:v>
      </x:c>
      <x:c r="C144" s="9" t="str">
        <x:v>EV-AR-HC-A-C-TECH-3-B1-BRK-G0</x:v>
      </x:c>
      <x:c r="D144" s="9" t="str">
        <x:v>AR-HC-A-C-TECH-3-B1-BRK-G0</x:v>
      </x:c>
      <x:c r="E144" s="9" t="str">
        <x:v>HC-A-C-TECH-3</x:v>
      </x:c>
      <x:c r="F144" s="9" t="str">
        <x:v>HC-A-C</x:v>
      </x:c>
      <x:c r="G144" s="9" t="str">
        <x:v>B1</x:v>
      </x:c>
      <x:c r="H144" s="9" t="str">
        <x:v>BRK</x:v>
      </x:c>
      <x:c r="I144" s="9" t="str">
        <x:v>PD10</x:v>
      </x:c>
      <x:c r="J144" s="17" t="str">
        <x:v>Calibration and uncertainty record</x:v>
      </x:c>
      <x:c r="K144" s="17" t="str">
        <x:v>Metrology archive</x:v>
      </x:c>
      <x:c r="L144" s="17" t="str">
        <x:v>COURT-SEALED UNTIL COHORT RELEASE</x:v>
      </x:c>
      <x:c r="M144" s="9" t="n">
        <x:v>0</x:v>
      </x:c>
      <x:c r="N144" s="9" t="n">
        <x:v>0</x:v>
      </x:c>
      <x:c r="O144" s="9" t="n">
        <x:v>0</x:v>
      </x:c>
      <x:c r="P144" s="9" t="str">
        <x:v>HELD / UNRELEASED</x:v>
      </x:c>
      <x:c r="Q144" s="9" t="n">
        <x:f>COUNTIFS($A$7:$A$2310,A144)</x:f>
        <x:v>1</x:v>
      </x:c>
    </x:row>
    <x:row r="145">
      <x:c r="A145" s="9" t="str">
        <x:v>PD-AR-HC-A-C-TECH-3-B1-BRK-G0-PD11</x:v>
      </x:c>
      <x:c r="B145" s="9" t="str">
        <x:v>PD-AR-HC-A-C-TECH-3-B1-BRK-G0</x:v>
      </x:c>
      <x:c r="C145" s="9" t="str">
        <x:v>EV-AR-HC-A-C-TECH-3-B1-BRK-G0</x:v>
      </x:c>
      <x:c r="D145" s="9" t="str">
        <x:v>AR-HC-A-C-TECH-3-B1-BRK-G0</x:v>
      </x:c>
      <x:c r="E145" s="9" t="str">
        <x:v>HC-A-C-TECH-3</x:v>
      </x:c>
      <x:c r="F145" s="9" t="str">
        <x:v>HC-A-C</x:v>
      </x:c>
      <x:c r="G145" s="9" t="str">
        <x:v>B1</x:v>
      </x:c>
      <x:c r="H145" s="9" t="str">
        <x:v>BRK</x:v>
      </x:c>
      <x:c r="I145" s="9" t="str">
        <x:v>PD11</x:v>
      </x:c>
      <x:c r="J145" s="17" t="str">
        <x:v>Invalidity petition and opinion</x:v>
      </x:c>
      <x:c r="K145" s="17" t="str">
        <x:v>Invalidity court</x:v>
      </x:c>
      <x:c r="L145" s="17" t="str">
        <x:v>COURT-SEALED UNTIL COHORT RELEASE</x:v>
      </x:c>
      <x:c r="M145" s="9" t="n">
        <x:v>0</x:v>
      </x:c>
      <x:c r="N145" s="9" t="n">
        <x:v>0</x:v>
      </x:c>
      <x:c r="O145" s="9" t="n">
        <x:v>0</x:v>
      </x:c>
      <x:c r="P145" s="9" t="str">
        <x:v>HELD / UNRELEASED</x:v>
      </x:c>
      <x:c r="Q145" s="9" t="n">
        <x:f>COUNTIFS($A$7:$A$2310,A145)</x:f>
        <x:v>1</x:v>
      </x:c>
    </x:row>
    <x:row r="146">
      <x:c r="A146" s="9" t="str">
        <x:v>PD-AR-HC-A-C-TECH-3-B1-BRK-G0-PD12</x:v>
      </x:c>
      <x:c r="B146" s="9" t="str">
        <x:v>PD-AR-HC-A-C-TECH-3-B1-BRK-G0</x:v>
      </x:c>
      <x:c r="C146" s="9" t="str">
        <x:v>EV-AR-HC-A-C-TECH-3-B1-BRK-G0</x:v>
      </x:c>
      <x:c r="D146" s="9" t="str">
        <x:v>AR-HC-A-C-TECH-3-B1-BRK-G0</x:v>
      </x:c>
      <x:c r="E146" s="9" t="str">
        <x:v>HC-A-C-TECH-3</x:v>
      </x:c>
      <x:c r="F146" s="9" t="str">
        <x:v>HC-A-C</x:v>
      </x:c>
      <x:c r="G146" s="9" t="str">
        <x:v>B1</x:v>
      </x:c>
      <x:c r="H146" s="9" t="str">
        <x:v>BRK</x:v>
      </x:c>
      <x:c r="I146" s="9" t="str">
        <x:v>PD12</x:v>
      </x:c>
      <x:c r="J146" s="17" t="str">
        <x:v>Observation acceptance and replay</x:v>
      </x:c>
      <x:c r="K146" s="17" t="str">
        <x:v>Observation court</x:v>
      </x:c>
      <x:c r="L146" s="17" t="str">
        <x:v>COURT-SEALED UNTIL COHORT RELEASE</x:v>
      </x:c>
      <x:c r="M146" s="9" t="n">
        <x:v>0</x:v>
      </x:c>
      <x:c r="N146" s="9" t="n">
        <x:v>0</x:v>
      </x:c>
      <x:c r="O146" s="9" t="n">
        <x:v>0</x:v>
      </x:c>
      <x:c r="P146" s="9" t="str">
        <x:v>HELD / UNRELEASED</x:v>
      </x:c>
      <x:c r="Q146" s="9" t="n">
        <x:f>COUNTIFS($A$7:$A$2310,A146)</x:f>
        <x:v>1</x:v>
      </x:c>
    </x:row>
    <x:row r="147">
      <x:c r="A147" s="9" t="str">
        <x:v>PD-AR-HC-A-C-TECH-3-B1-BRK-G0-PD13</x:v>
      </x:c>
      <x:c r="B147" s="9" t="str">
        <x:v>PD-AR-HC-A-C-TECH-3-B1-BRK-G0</x:v>
      </x:c>
      <x:c r="C147" s="9" t="str">
        <x:v>EV-AR-HC-A-C-TECH-3-B1-BRK-G0</x:v>
      </x:c>
      <x:c r="D147" s="9" t="str">
        <x:v>AR-HC-A-C-TECH-3-B1-BRK-G0</x:v>
      </x:c>
      <x:c r="E147" s="9" t="str">
        <x:v>HC-A-C-TECH-3</x:v>
      </x:c>
      <x:c r="F147" s="9" t="str">
        <x:v>HC-A-C</x:v>
      </x:c>
      <x:c r="G147" s="9" t="str">
        <x:v>B1</x:v>
      </x:c>
      <x:c r="H147" s="9" t="str">
        <x:v>BRK</x:v>
      </x:c>
      <x:c r="I147" s="9" t="str">
        <x:v>PD13</x:v>
      </x:c>
      <x:c r="J147" s="17" t="str">
        <x:v>Role judgment</x:v>
      </x:c>
      <x:c r="K147" s="17" t="str">
        <x:v>Role court</x:v>
      </x:c>
      <x:c r="L147" s="17" t="str">
        <x:v>COURT-SEALED UNTIL COHORT RELEASE</x:v>
      </x:c>
      <x:c r="M147" s="9" t="n">
        <x:v>0</x:v>
      </x:c>
      <x:c r="N147" s="9" t="n">
        <x:v>0</x:v>
      </x:c>
      <x:c r="O147" s="9" t="n">
        <x:v>0</x:v>
      </x:c>
      <x:c r="P147" s="9" t="str">
        <x:v>HELD / UNRELEASED</x:v>
      </x:c>
      <x:c r="Q147" s="9" t="n">
        <x:f>COUNTIFS($A$7:$A$2310,A147)</x:f>
        <x:v>1</x:v>
      </x:c>
    </x:row>
    <x:row r="148">
      <x:c r="A148" s="9" t="str">
        <x:v>PD-AR-HC-A-C-TECH-3-B1-BRK-G0-PD14</x:v>
      </x:c>
      <x:c r="B148" s="9" t="str">
        <x:v>PD-AR-HC-A-C-TECH-3-B1-BRK-G0</x:v>
      </x:c>
      <x:c r="C148" s="9" t="str">
        <x:v>EV-AR-HC-A-C-TECH-3-B1-BRK-G0</x:v>
      </x:c>
      <x:c r="D148" s="9" t="str">
        <x:v>AR-HC-A-C-TECH-3-B1-BRK-G0</x:v>
      </x:c>
      <x:c r="E148" s="9" t="str">
        <x:v>HC-A-C-TECH-3</x:v>
      </x:c>
      <x:c r="F148" s="9" t="str">
        <x:v>HC-A-C</x:v>
      </x:c>
      <x:c r="G148" s="9" t="str">
        <x:v>B1</x:v>
      </x:c>
      <x:c r="H148" s="9" t="str">
        <x:v>BRK</x:v>
      </x:c>
      <x:c r="I148" s="9" t="str">
        <x:v>PD14</x:v>
      </x:c>
      <x:c r="J148" s="17" t="str">
        <x:v>Break and residual account</x:v>
      </x:c>
      <x:c r="K148" s="17" t="str">
        <x:v>Residual authority</x:v>
      </x:c>
      <x:c r="L148" s="17" t="str">
        <x:v>COURT-SEALED UNTIL COHORT RELEASE</x:v>
      </x:c>
      <x:c r="M148" s="9" t="n">
        <x:v>0</x:v>
      </x:c>
      <x:c r="N148" s="9" t="n">
        <x:v>0</x:v>
      </x:c>
      <x:c r="O148" s="9" t="n">
        <x:v>0</x:v>
      </x:c>
      <x:c r="P148" s="9" t="str">
        <x:v>HELD / UNRELEASED</x:v>
      </x:c>
      <x:c r="Q148" s="9" t="n">
        <x:f>COUNTIFS($A$7:$A$2310,A148)</x:f>
        <x:v>1</x:v>
      </x:c>
    </x:row>
    <x:row r="149">
      <x:c r="A149" s="9" t="str">
        <x:v>PD-AR-HC-A-C-TECH-3-B1-BRK-G0-PD15</x:v>
      </x:c>
      <x:c r="B149" s="9" t="str">
        <x:v>PD-AR-HC-A-C-TECH-3-B1-BRK-G0</x:v>
      </x:c>
      <x:c r="C149" s="9" t="str">
        <x:v>EV-AR-HC-A-C-TECH-3-B1-BRK-G0</x:v>
      </x:c>
      <x:c r="D149" s="9" t="str">
        <x:v>AR-HC-A-C-TECH-3-B1-BRK-G0</x:v>
      </x:c>
      <x:c r="E149" s="9" t="str">
        <x:v>HC-A-C-TECH-3</x:v>
      </x:c>
      <x:c r="F149" s="9" t="str">
        <x:v>HC-A-C</x:v>
      </x:c>
      <x:c r="G149" s="9" t="str">
        <x:v>B1</x:v>
      </x:c>
      <x:c r="H149" s="9" t="str">
        <x:v>BRK</x:v>
      </x:c>
      <x:c r="I149" s="9" t="str">
        <x:v>PD15</x:v>
      </x:c>
      <x:c r="J149" s="17" t="str">
        <x:v>Reconstruction ancestry and replay</x:v>
      </x:c>
      <x:c r="K149" s="17" t="str">
        <x:v>Reconstruction court</x:v>
      </x:c>
      <x:c r="L149" s="17" t="str">
        <x:v>COURT-SEALED UNTIL COHORT RELEASE</x:v>
      </x:c>
      <x:c r="M149" s="9" t="n">
        <x:v>0</x:v>
      </x:c>
      <x:c r="N149" s="9" t="n">
        <x:v>0</x:v>
      </x:c>
      <x:c r="O149" s="9" t="n">
        <x:v>0</x:v>
      </x:c>
      <x:c r="P149" s="9" t="str">
        <x:v>HELD / UNRELEASED</x:v>
      </x:c>
      <x:c r="Q149" s="9" t="n">
        <x:f>COUNTIFS($A$7:$A$2310,A149)</x:f>
        <x:v>1</x:v>
      </x:c>
    </x:row>
    <x:row r="150">
      <x:c r="A150" s="9" t="str">
        <x:v>PD-AR-HC-A-C-TECH-3-B1-BRK-G0-PD16</x:v>
      </x:c>
      <x:c r="B150" s="9" t="str">
        <x:v>PD-AR-HC-A-C-TECH-3-B1-BRK-G0</x:v>
      </x:c>
      <x:c r="C150" s="9" t="str">
        <x:v>EV-AR-HC-A-C-TECH-3-B1-BRK-G0</x:v>
      </x:c>
      <x:c r="D150" s="9" t="str">
        <x:v>AR-HC-A-C-TECH-3-B1-BRK-G0</x:v>
      </x:c>
      <x:c r="E150" s="9" t="str">
        <x:v>HC-A-C-TECH-3</x:v>
      </x:c>
      <x:c r="F150" s="9" t="str">
        <x:v>HC-A-C</x:v>
      </x:c>
      <x:c r="G150" s="9" t="str">
        <x:v>B1</x:v>
      </x:c>
      <x:c r="H150" s="9" t="str">
        <x:v>BRK</x:v>
      </x:c>
      <x:c r="I150" s="9" t="str">
        <x:v>PD16</x:v>
      </x:c>
      <x:c r="J150" s="17" t="str">
        <x:v>Dissent, amendments and access log</x:v>
      </x:c>
      <x:c r="K150" s="17" t="str">
        <x:v>Public archive</x:v>
      </x:c>
      <x:c r="L150" s="17" t="str">
        <x:v>COURT-SEALED UNTIL COHORT RELEASE</x:v>
      </x:c>
      <x:c r="M150" s="9" t="n">
        <x:v>0</x:v>
      </x:c>
      <x:c r="N150" s="9" t="n">
        <x:v>0</x:v>
      </x:c>
      <x:c r="O150" s="9" t="n">
        <x:v>0</x:v>
      </x:c>
      <x:c r="P150" s="9" t="str">
        <x:v>HELD / UNRELEASED</x:v>
      </x:c>
      <x:c r="Q150" s="9" t="n">
        <x:f>COUNTIFS($A$7:$A$2310,A150)</x:f>
        <x:v>1</x:v>
      </x:c>
    </x:row>
    <x:row r="151">
      <x:c r="A151" s="9" t="str">
        <x:v>PD-AR-HU-A-B-TECH-3-B1-INT-G0-PD01</x:v>
      </x:c>
      <x:c r="B151" s="9" t="str">
        <x:v>PD-AR-HU-A-B-TECH-3-B1-INT-G0</x:v>
      </x:c>
      <x:c r="C151" s="9" t="str">
        <x:v>EV-AR-HU-A-B-TECH-3-B1-INT-G0</x:v>
      </x:c>
      <x:c r="D151" s="9" t="str">
        <x:v>AR-HU-A-B-TECH-3-B1-INT-G0</x:v>
      </x:c>
      <x:c r="E151" s="9" t="str">
        <x:v>HU-A-B-TECH-3</x:v>
      </x:c>
      <x:c r="F151" s="9" t="str">
        <x:v>HU-A-B</x:v>
      </x:c>
      <x:c r="G151" s="9" t="str">
        <x:v>B1</x:v>
      </x:c>
      <x:c r="H151" s="9" t="str">
        <x:v>INT</x:v>
      </x:c>
      <x:c r="I151" s="9" t="str">
        <x:v>PD01</x:v>
      </x:c>
      <x:c r="J151" s="17" t="str">
        <x:v>Experiment kernel</x:v>
      </x:c>
      <x:c r="K151" s="17" t="str">
        <x:v>Public archive</x:v>
      </x:c>
      <x:c r="L151" s="17" t="str">
        <x:v>COURT-SEALED UNTIL COHORT RELEASE</x:v>
      </x:c>
      <x:c r="M151" s="9" t="n">
        <x:v>0</x:v>
      </x:c>
      <x:c r="N151" s="9" t="n">
        <x:v>0</x:v>
      </x:c>
      <x:c r="O151" s="9" t="n">
        <x:v>0</x:v>
      </x:c>
      <x:c r="P151" s="9" t="str">
        <x:v>HELD / UNRELEASED</x:v>
      </x:c>
      <x:c r="Q151" s="9" t="n">
        <x:f>COUNTIFS($A$7:$A$2310,A151)</x:f>
        <x:v>1</x:v>
      </x:c>
    </x:row>
    <x:row r="152">
      <x:c r="A152" s="9" t="str">
        <x:v>PD-AR-HU-A-B-TECH-3-B1-INT-G0-PD02</x:v>
      </x:c>
      <x:c r="B152" s="9" t="str">
        <x:v>PD-AR-HU-A-B-TECH-3-B1-INT-G0</x:v>
      </x:c>
      <x:c r="C152" s="9" t="str">
        <x:v>EV-AR-HU-A-B-TECH-3-B1-INT-G0</x:v>
      </x:c>
      <x:c r="D152" s="9" t="str">
        <x:v>AR-HU-A-B-TECH-3-B1-INT-G0</x:v>
      </x:c>
      <x:c r="E152" s="9" t="str">
        <x:v>HU-A-B-TECH-3</x:v>
      </x:c>
      <x:c r="F152" s="9" t="str">
        <x:v>HU-A-B</x:v>
      </x:c>
      <x:c r="G152" s="9" t="str">
        <x:v>B1</x:v>
      </x:c>
      <x:c r="H152" s="9" t="str">
        <x:v>INT</x:v>
      </x:c>
      <x:c r="I152" s="9" t="str">
        <x:v>PD02</x:v>
      </x:c>
      <x:c r="J152" s="17" t="str">
        <x:v>Serial annex and title chain</x:v>
      </x:c>
      <x:c r="K152" s="17" t="str">
        <x:v>Public archive</x:v>
      </x:c>
      <x:c r="L152" s="17" t="str">
        <x:v>COURT-SEALED UNTIL COHORT RELEASE</x:v>
      </x:c>
      <x:c r="M152" s="9" t="n">
        <x:v>0</x:v>
      </x:c>
      <x:c r="N152" s="9" t="n">
        <x:v>0</x:v>
      </x:c>
      <x:c r="O152" s="9" t="n">
        <x:v>0</x:v>
      </x:c>
      <x:c r="P152" s="9" t="str">
        <x:v>HELD / UNRELEASED</x:v>
      </x:c>
      <x:c r="Q152" s="9" t="n">
        <x:f>COUNTIFS($A$7:$A$2310,A152)</x:f>
        <x:v>1</x:v>
      </x:c>
    </x:row>
    <x:row r="153">
      <x:c r="A153" s="9" t="str">
        <x:v>PD-AR-HU-A-B-TECH-3-B1-INT-G0-PD03</x:v>
      </x:c>
      <x:c r="B153" s="9" t="str">
        <x:v>PD-AR-HU-A-B-TECH-3-B1-INT-G0</x:v>
      </x:c>
      <x:c r="C153" s="9" t="str">
        <x:v>EV-AR-HU-A-B-TECH-3-B1-INT-G0</x:v>
      </x:c>
      <x:c r="D153" s="9" t="str">
        <x:v>AR-HU-A-B-TECH-3-B1-INT-G0</x:v>
      </x:c>
      <x:c r="E153" s="9" t="str">
        <x:v>HU-A-B-TECH-3</x:v>
      </x:c>
      <x:c r="F153" s="9" t="str">
        <x:v>HU-A-B</x:v>
      </x:c>
      <x:c r="G153" s="9" t="str">
        <x:v>B1</x:v>
      </x:c>
      <x:c r="H153" s="9" t="str">
        <x:v>INT</x:v>
      </x:c>
      <x:c r="I153" s="9" t="str">
        <x:v>PD03</x:v>
      </x:c>
      <x:c r="J153" s="17" t="str">
        <x:v>Configuration and as-built manifest</x:v>
      </x:c>
      <x:c r="K153" s="17" t="str">
        <x:v>Artifact exchange</x:v>
      </x:c>
      <x:c r="L153" s="17" t="str">
        <x:v>COURT-SEALED UNTIL COHORT RELEASE</x:v>
      </x:c>
      <x:c r="M153" s="9" t="n">
        <x:v>0</x:v>
      </x:c>
      <x:c r="N153" s="9" t="n">
        <x:v>0</x:v>
      </x:c>
      <x:c r="O153" s="9" t="n">
        <x:v>0</x:v>
      </x:c>
      <x:c r="P153" s="9" t="str">
        <x:v>HELD / UNRELEASED</x:v>
      </x:c>
      <x:c r="Q153" s="9" t="n">
        <x:f>COUNTIFS($A$7:$A$2310,A153)</x:f>
        <x:v>1</x:v>
      </x:c>
    </x:row>
    <x:row r="154">
      <x:c r="A154" s="9" t="str">
        <x:v>PD-AR-HU-A-B-TECH-3-B1-INT-G0-PD04</x:v>
      </x:c>
      <x:c r="B154" s="9" t="str">
        <x:v>PD-AR-HU-A-B-TECH-3-B1-INT-G0</x:v>
      </x:c>
      <x:c r="C154" s="9" t="str">
        <x:v>EV-AR-HU-A-B-TECH-3-B1-INT-G0</x:v>
      </x:c>
      <x:c r="D154" s="9" t="str">
        <x:v>AR-HU-A-B-TECH-3-B1-INT-G0</x:v>
      </x:c>
      <x:c r="E154" s="9" t="str">
        <x:v>HU-A-B-TECH-3</x:v>
      </x:c>
      <x:c r="F154" s="9" t="str">
        <x:v>HU-A-B</x:v>
      </x:c>
      <x:c r="G154" s="9" t="str">
        <x:v>B1</x:v>
      </x:c>
      <x:c r="H154" s="9" t="str">
        <x:v>INT</x:v>
      </x:c>
      <x:c r="I154" s="9" t="str">
        <x:v>PD04</x:v>
      </x:c>
      <x:c r="J154" s="17" t="str">
        <x:v>EOW and start certificate</x:v>
      </x:c>
      <x:c r="K154" s="17" t="str">
        <x:v>Start registrar</x:v>
      </x:c>
      <x:c r="L154" s="17" t="str">
        <x:v>COURT-SEALED UNTIL COHORT RELEASE</x:v>
      </x:c>
      <x:c r="M154" s="9" t="n">
        <x:v>0</x:v>
      </x:c>
      <x:c r="N154" s="9" t="n">
        <x:v>0</x:v>
      </x:c>
      <x:c r="O154" s="9" t="n">
        <x:v>0</x:v>
      </x:c>
      <x:c r="P154" s="9" t="str">
        <x:v>HELD / UNRELEASED</x:v>
      </x:c>
      <x:c r="Q154" s="9" t="n">
        <x:f>COUNTIFS($A$7:$A$2310,A154)</x:f>
        <x:v>1</x:v>
      </x:c>
    </x:row>
    <x:row r="155">
      <x:c r="A155" s="9" t="str">
        <x:v>PD-AR-HU-A-B-TECH-3-B1-INT-G0-PD05</x:v>
      </x:c>
      <x:c r="B155" s="9" t="str">
        <x:v>PD-AR-HU-A-B-TECH-3-B1-INT-G0</x:v>
      </x:c>
      <x:c r="C155" s="9" t="str">
        <x:v>EV-AR-HU-A-B-TECH-3-B1-INT-G0</x:v>
      </x:c>
      <x:c r="D155" s="9" t="str">
        <x:v>AR-HU-A-B-TECH-3-B1-INT-G0</x:v>
      </x:c>
      <x:c r="E155" s="9" t="str">
        <x:v>HU-A-B-TECH-3</x:v>
      </x:c>
      <x:c r="F155" s="9" t="str">
        <x:v>HU-A-B</x:v>
      </x:c>
      <x:c r="G155" s="9" t="str">
        <x:v>B1</x:v>
      </x:c>
      <x:c r="H155" s="9" t="str">
        <x:v>INT</x:v>
      </x:c>
      <x:c r="I155" s="9" t="str">
        <x:v>PD05</x:v>
      </x:c>
      <x:c r="J155" s="17" t="str">
        <x:v>Primary raw originals</x:v>
      </x:c>
      <x:c r="K155" s="17" t="str">
        <x:v>Primary custody</x:v>
      </x:c>
      <x:c r="L155" s="17" t="str">
        <x:v>COURT-SEALED UNTIL COHORT RELEASE</x:v>
      </x:c>
      <x:c r="M155" s="9" t="n">
        <x:v>0</x:v>
      </x:c>
      <x:c r="N155" s="9" t="n">
        <x:v>0</x:v>
      </x:c>
      <x:c r="O155" s="9" t="n">
        <x:v>0</x:v>
      </x:c>
      <x:c r="P155" s="9" t="str">
        <x:v>HELD / UNRELEASED</x:v>
      </x:c>
      <x:c r="Q155" s="9" t="n">
        <x:f>COUNTIFS($A$7:$A$2310,A155)</x:f>
        <x:v>1</x:v>
      </x:c>
    </x:row>
    <x:row r="156">
      <x:c r="A156" s="9" t="str">
        <x:v>PD-AR-HU-A-B-TECH-3-B1-INT-G0-PD06</x:v>
      </x:c>
      <x:c r="B156" s="9" t="str">
        <x:v>PD-AR-HU-A-B-TECH-3-B1-INT-G0</x:v>
      </x:c>
      <x:c r="C156" s="9" t="str">
        <x:v>EV-AR-HU-A-B-TECH-3-B1-INT-G0</x:v>
      </x:c>
      <x:c r="D156" s="9" t="str">
        <x:v>AR-HU-A-B-TECH-3-B1-INT-G0</x:v>
      </x:c>
      <x:c r="E156" s="9" t="str">
        <x:v>HU-A-B-TECH-3</x:v>
      </x:c>
      <x:c r="F156" s="9" t="str">
        <x:v>HU-A-B</x:v>
      </x:c>
      <x:c r="G156" s="9" t="str">
        <x:v>B1</x:v>
      </x:c>
      <x:c r="H156" s="9" t="str">
        <x:v>INT</x:v>
      </x:c>
      <x:c r="I156" s="9" t="str">
        <x:v>PD06</x:v>
      </x:c>
      <x:c r="J156" s="17" t="str">
        <x:v>Witness raw originals</x:v>
      </x:c>
      <x:c r="K156" s="17" t="str">
        <x:v>Witness custody</x:v>
      </x:c>
      <x:c r="L156" s="17" t="str">
        <x:v>COURT-SEALED UNTIL COHORT RELEASE</x:v>
      </x:c>
      <x:c r="M156" s="9" t="n">
        <x:v>0</x:v>
      </x:c>
      <x:c r="N156" s="9" t="n">
        <x:v>0</x:v>
      </x:c>
      <x:c r="O156" s="9" t="n">
        <x:v>0</x:v>
      </x:c>
      <x:c r="P156" s="9" t="str">
        <x:v>HELD / UNRELEASED</x:v>
      </x:c>
      <x:c r="Q156" s="9" t="n">
        <x:f>COUNTIFS($A$7:$A$2310,A156)</x:f>
        <x:v>1</x:v>
      </x:c>
    </x:row>
    <x:row r="157">
      <x:c r="A157" s="9" t="str">
        <x:v>PD-AR-HU-A-B-TECH-3-B1-INT-G0-PD07</x:v>
      </x:c>
      <x:c r="B157" s="9" t="str">
        <x:v>PD-AR-HU-A-B-TECH-3-B1-INT-G0</x:v>
      </x:c>
      <x:c r="C157" s="9" t="str">
        <x:v>EV-AR-HU-A-B-TECH-3-B1-INT-G0</x:v>
      </x:c>
      <x:c r="D157" s="9" t="str">
        <x:v>AR-HU-A-B-TECH-3-B1-INT-G0</x:v>
      </x:c>
      <x:c r="E157" s="9" t="str">
        <x:v>HU-A-B-TECH-3</x:v>
      </x:c>
      <x:c r="F157" s="9" t="str">
        <x:v>HU-A-B</x:v>
      </x:c>
      <x:c r="G157" s="9" t="str">
        <x:v>B1</x:v>
      </x:c>
      <x:c r="H157" s="9" t="str">
        <x:v>INT</x:v>
      </x:c>
      <x:c r="I157" s="9" t="str">
        <x:v>PD07</x:v>
      </x:c>
      <x:c r="J157" s="17" t="str">
        <x:v>Clock and environmental records</x:v>
      </x:c>
      <x:c r="K157" s="17" t="str">
        <x:v>Boundary archive</x:v>
      </x:c>
      <x:c r="L157" s="17" t="str">
        <x:v>COURT-SEALED UNTIL COHORT RELEASE</x:v>
      </x:c>
      <x:c r="M157" s="9" t="n">
        <x:v>0</x:v>
      </x:c>
      <x:c r="N157" s="9" t="n">
        <x:v>0</x:v>
      </x:c>
      <x:c r="O157" s="9" t="n">
        <x:v>0</x:v>
      </x:c>
      <x:c r="P157" s="9" t="str">
        <x:v>HELD / UNRELEASED</x:v>
      </x:c>
      <x:c r="Q157" s="9" t="n">
        <x:f>COUNTIFS($A$7:$A$2310,A157)</x:f>
        <x:v>1</x:v>
      </x:c>
    </x:row>
    <x:row r="158">
      <x:c r="A158" s="9" t="str">
        <x:v>PD-AR-HU-A-B-TECH-3-B1-INT-G0-PD08</x:v>
      </x:c>
      <x:c r="B158" s="9" t="str">
        <x:v>PD-AR-HU-A-B-TECH-3-B1-INT-G0</x:v>
      </x:c>
      <x:c r="C158" s="9" t="str">
        <x:v>EV-AR-HU-A-B-TECH-3-B1-INT-G0</x:v>
      </x:c>
      <x:c r="D158" s="9" t="str">
        <x:v>AR-HU-A-B-TECH-3-B1-INT-G0</x:v>
      </x:c>
      <x:c r="E158" s="9" t="str">
        <x:v>HU-A-B-TECH-3</x:v>
      </x:c>
      <x:c r="F158" s="9" t="str">
        <x:v>HU-A-B</x:v>
      </x:c>
      <x:c r="G158" s="9" t="str">
        <x:v>B1</x:v>
      </x:c>
      <x:c r="H158" s="9" t="str">
        <x:v>INT</x:v>
      </x:c>
      <x:c r="I158" s="9" t="str">
        <x:v>PD08</x:v>
      </x:c>
      <x:c r="J158" s="17" t="str">
        <x:v>Command and intervention log</x:v>
      </x:c>
      <x:c r="K158" s="17" t="str">
        <x:v>Safety archive</x:v>
      </x:c>
      <x:c r="L158" s="17" t="str">
        <x:v>COURT-SEALED UNTIL COHORT RELEASE</x:v>
      </x:c>
      <x:c r="M158" s="9" t="n">
        <x:v>0</x:v>
      </x:c>
      <x:c r="N158" s="9" t="n">
        <x:v>0</x:v>
      </x:c>
      <x:c r="O158" s="9" t="n">
        <x:v>0</x:v>
      </x:c>
      <x:c r="P158" s="9" t="str">
        <x:v>HELD / UNRELEASED</x:v>
      </x:c>
      <x:c r="Q158" s="9" t="n">
        <x:f>COUNTIFS($A$7:$A$2310,A158)</x:f>
        <x:v>1</x:v>
      </x:c>
    </x:row>
    <x:row r="159">
      <x:c r="A159" s="9" t="str">
        <x:v>PD-AR-HU-A-B-TECH-3-B1-INT-G0-PD09</x:v>
      </x:c>
      <x:c r="B159" s="9" t="str">
        <x:v>PD-AR-HU-A-B-TECH-3-B1-INT-G0</x:v>
      </x:c>
      <x:c r="C159" s="9" t="str">
        <x:v>EV-AR-HU-A-B-TECH-3-B1-INT-G0</x:v>
      </x:c>
      <x:c r="D159" s="9" t="str">
        <x:v>AR-HU-A-B-TECH-3-B1-INT-G0</x:v>
      </x:c>
      <x:c r="E159" s="9" t="str">
        <x:v>HU-A-B-TECH-3</x:v>
      </x:c>
      <x:c r="F159" s="9" t="str">
        <x:v>HU-A-B</x:v>
      </x:c>
      <x:c r="G159" s="9" t="str">
        <x:v>B1</x:v>
      </x:c>
      <x:c r="H159" s="9" t="str">
        <x:v>INT</x:v>
      </x:c>
      <x:c r="I159" s="9" t="str">
        <x:v>PD09</x:v>
      </x:c>
      <x:c r="J159" s="17" t="str">
        <x:v>Receiver denominator and service ledger</x:v>
      </x:c>
      <x:c r="K159" s="17" t="str">
        <x:v>Receiver archive</x:v>
      </x:c>
      <x:c r="L159" s="17" t="str">
        <x:v>COURT-SEALED UNTIL COHORT RELEASE</x:v>
      </x:c>
      <x:c r="M159" s="9" t="n">
        <x:v>0</x:v>
      </x:c>
      <x:c r="N159" s="9" t="n">
        <x:v>0</x:v>
      </x:c>
      <x:c r="O159" s="9" t="n">
        <x:v>0</x:v>
      </x:c>
      <x:c r="P159" s="9" t="str">
        <x:v>HELD / UNRELEASED</x:v>
      </x:c>
      <x:c r="Q159" s="9" t="n">
        <x:f>COUNTIFS($A$7:$A$2310,A159)</x:f>
        <x:v>1</x:v>
      </x:c>
    </x:row>
    <x:row r="160">
      <x:c r="A160" s="9" t="str">
        <x:v>PD-AR-HU-A-B-TECH-3-B1-INT-G0-PD10</x:v>
      </x:c>
      <x:c r="B160" s="9" t="str">
        <x:v>PD-AR-HU-A-B-TECH-3-B1-INT-G0</x:v>
      </x:c>
      <x:c r="C160" s="9" t="str">
        <x:v>EV-AR-HU-A-B-TECH-3-B1-INT-G0</x:v>
      </x:c>
      <x:c r="D160" s="9" t="str">
        <x:v>AR-HU-A-B-TECH-3-B1-INT-G0</x:v>
      </x:c>
      <x:c r="E160" s="9" t="str">
        <x:v>HU-A-B-TECH-3</x:v>
      </x:c>
      <x:c r="F160" s="9" t="str">
        <x:v>HU-A-B</x:v>
      </x:c>
      <x:c r="G160" s="9" t="str">
        <x:v>B1</x:v>
      </x:c>
      <x:c r="H160" s="9" t="str">
        <x:v>INT</x:v>
      </x:c>
      <x:c r="I160" s="9" t="str">
        <x:v>PD10</x:v>
      </x:c>
      <x:c r="J160" s="17" t="str">
        <x:v>Calibration and uncertainty record</x:v>
      </x:c>
      <x:c r="K160" s="17" t="str">
        <x:v>Metrology archive</x:v>
      </x:c>
      <x:c r="L160" s="17" t="str">
        <x:v>COURT-SEALED UNTIL COHORT RELEASE</x:v>
      </x:c>
      <x:c r="M160" s="9" t="n">
        <x:v>0</x:v>
      </x:c>
      <x:c r="N160" s="9" t="n">
        <x:v>0</x:v>
      </x:c>
      <x:c r="O160" s="9" t="n">
        <x:v>0</x:v>
      </x:c>
      <x:c r="P160" s="9" t="str">
        <x:v>HELD / UNRELEASED</x:v>
      </x:c>
      <x:c r="Q160" s="9" t="n">
        <x:f>COUNTIFS($A$7:$A$2310,A160)</x:f>
        <x:v>1</x:v>
      </x:c>
    </x:row>
    <x:row r="161">
      <x:c r="A161" s="9" t="str">
        <x:v>PD-AR-HU-A-B-TECH-3-B1-INT-G0-PD11</x:v>
      </x:c>
      <x:c r="B161" s="9" t="str">
        <x:v>PD-AR-HU-A-B-TECH-3-B1-INT-G0</x:v>
      </x:c>
      <x:c r="C161" s="9" t="str">
        <x:v>EV-AR-HU-A-B-TECH-3-B1-INT-G0</x:v>
      </x:c>
      <x:c r="D161" s="9" t="str">
        <x:v>AR-HU-A-B-TECH-3-B1-INT-G0</x:v>
      </x:c>
      <x:c r="E161" s="9" t="str">
        <x:v>HU-A-B-TECH-3</x:v>
      </x:c>
      <x:c r="F161" s="9" t="str">
        <x:v>HU-A-B</x:v>
      </x:c>
      <x:c r="G161" s="9" t="str">
        <x:v>B1</x:v>
      </x:c>
      <x:c r="H161" s="9" t="str">
        <x:v>INT</x:v>
      </x:c>
      <x:c r="I161" s="9" t="str">
        <x:v>PD11</x:v>
      </x:c>
      <x:c r="J161" s="17" t="str">
        <x:v>Invalidity petition and opinion</x:v>
      </x:c>
      <x:c r="K161" s="17" t="str">
        <x:v>Invalidity court</x:v>
      </x:c>
      <x:c r="L161" s="17" t="str">
        <x:v>COURT-SEALED UNTIL COHORT RELEASE</x:v>
      </x:c>
      <x:c r="M161" s="9" t="n">
        <x:v>0</x:v>
      </x:c>
      <x:c r="N161" s="9" t="n">
        <x:v>0</x:v>
      </x:c>
      <x:c r="O161" s="9" t="n">
        <x:v>0</x:v>
      </x:c>
      <x:c r="P161" s="9" t="str">
        <x:v>HELD / UNRELEASED</x:v>
      </x:c>
      <x:c r="Q161" s="9" t="n">
        <x:f>COUNTIFS($A$7:$A$2310,A161)</x:f>
        <x:v>1</x:v>
      </x:c>
    </x:row>
    <x:row r="162">
      <x:c r="A162" s="9" t="str">
        <x:v>PD-AR-HU-A-B-TECH-3-B1-INT-G0-PD12</x:v>
      </x:c>
      <x:c r="B162" s="9" t="str">
        <x:v>PD-AR-HU-A-B-TECH-3-B1-INT-G0</x:v>
      </x:c>
      <x:c r="C162" s="9" t="str">
        <x:v>EV-AR-HU-A-B-TECH-3-B1-INT-G0</x:v>
      </x:c>
      <x:c r="D162" s="9" t="str">
        <x:v>AR-HU-A-B-TECH-3-B1-INT-G0</x:v>
      </x:c>
      <x:c r="E162" s="9" t="str">
        <x:v>HU-A-B-TECH-3</x:v>
      </x:c>
      <x:c r="F162" s="9" t="str">
        <x:v>HU-A-B</x:v>
      </x:c>
      <x:c r="G162" s="9" t="str">
        <x:v>B1</x:v>
      </x:c>
      <x:c r="H162" s="9" t="str">
        <x:v>INT</x:v>
      </x:c>
      <x:c r="I162" s="9" t="str">
        <x:v>PD12</x:v>
      </x:c>
      <x:c r="J162" s="17" t="str">
        <x:v>Observation acceptance and replay</x:v>
      </x:c>
      <x:c r="K162" s="17" t="str">
        <x:v>Observation court</x:v>
      </x:c>
      <x:c r="L162" s="17" t="str">
        <x:v>COURT-SEALED UNTIL COHORT RELEASE</x:v>
      </x:c>
      <x:c r="M162" s="9" t="n">
        <x:v>0</x:v>
      </x:c>
      <x:c r="N162" s="9" t="n">
        <x:v>0</x:v>
      </x:c>
      <x:c r="O162" s="9" t="n">
        <x:v>0</x:v>
      </x:c>
      <x:c r="P162" s="9" t="str">
        <x:v>HELD / UNRELEASED</x:v>
      </x:c>
      <x:c r="Q162" s="9" t="n">
        <x:f>COUNTIFS($A$7:$A$2310,A162)</x:f>
        <x:v>1</x:v>
      </x:c>
    </x:row>
    <x:row r="163">
      <x:c r="A163" s="9" t="str">
        <x:v>PD-AR-HU-A-B-TECH-3-B1-INT-G0-PD13</x:v>
      </x:c>
      <x:c r="B163" s="9" t="str">
        <x:v>PD-AR-HU-A-B-TECH-3-B1-INT-G0</x:v>
      </x:c>
      <x:c r="C163" s="9" t="str">
        <x:v>EV-AR-HU-A-B-TECH-3-B1-INT-G0</x:v>
      </x:c>
      <x:c r="D163" s="9" t="str">
        <x:v>AR-HU-A-B-TECH-3-B1-INT-G0</x:v>
      </x:c>
      <x:c r="E163" s="9" t="str">
        <x:v>HU-A-B-TECH-3</x:v>
      </x:c>
      <x:c r="F163" s="9" t="str">
        <x:v>HU-A-B</x:v>
      </x:c>
      <x:c r="G163" s="9" t="str">
        <x:v>B1</x:v>
      </x:c>
      <x:c r="H163" s="9" t="str">
        <x:v>INT</x:v>
      </x:c>
      <x:c r="I163" s="9" t="str">
        <x:v>PD13</x:v>
      </x:c>
      <x:c r="J163" s="17" t="str">
        <x:v>Role judgment</x:v>
      </x:c>
      <x:c r="K163" s="17" t="str">
        <x:v>Role court</x:v>
      </x:c>
      <x:c r="L163" s="17" t="str">
        <x:v>COURT-SEALED UNTIL COHORT RELEASE</x:v>
      </x:c>
      <x:c r="M163" s="9" t="n">
        <x:v>0</x:v>
      </x:c>
      <x:c r="N163" s="9" t="n">
        <x:v>0</x:v>
      </x:c>
      <x:c r="O163" s="9" t="n">
        <x:v>0</x:v>
      </x:c>
      <x:c r="P163" s="9" t="str">
        <x:v>HELD / UNRELEASED</x:v>
      </x:c>
      <x:c r="Q163" s="9" t="n">
        <x:f>COUNTIFS($A$7:$A$2310,A163)</x:f>
        <x:v>1</x:v>
      </x:c>
    </x:row>
    <x:row r="164">
      <x:c r="A164" s="9" t="str">
        <x:v>PD-AR-HU-A-B-TECH-3-B1-INT-G0-PD14</x:v>
      </x:c>
      <x:c r="B164" s="9" t="str">
        <x:v>PD-AR-HU-A-B-TECH-3-B1-INT-G0</x:v>
      </x:c>
      <x:c r="C164" s="9" t="str">
        <x:v>EV-AR-HU-A-B-TECH-3-B1-INT-G0</x:v>
      </x:c>
      <x:c r="D164" s="9" t="str">
        <x:v>AR-HU-A-B-TECH-3-B1-INT-G0</x:v>
      </x:c>
      <x:c r="E164" s="9" t="str">
        <x:v>HU-A-B-TECH-3</x:v>
      </x:c>
      <x:c r="F164" s="9" t="str">
        <x:v>HU-A-B</x:v>
      </x:c>
      <x:c r="G164" s="9" t="str">
        <x:v>B1</x:v>
      </x:c>
      <x:c r="H164" s="9" t="str">
        <x:v>INT</x:v>
      </x:c>
      <x:c r="I164" s="9" t="str">
        <x:v>PD14</x:v>
      </x:c>
      <x:c r="J164" s="17" t="str">
        <x:v>Break and residual account</x:v>
      </x:c>
      <x:c r="K164" s="17" t="str">
        <x:v>Residual authority</x:v>
      </x:c>
      <x:c r="L164" s="17" t="str">
        <x:v>COURT-SEALED UNTIL COHORT RELEASE</x:v>
      </x:c>
      <x:c r="M164" s="9" t="n">
        <x:v>0</x:v>
      </x:c>
      <x:c r="N164" s="9" t="n">
        <x:v>0</x:v>
      </x:c>
      <x:c r="O164" s="9" t="n">
        <x:v>0</x:v>
      </x:c>
      <x:c r="P164" s="9" t="str">
        <x:v>HELD / UNRELEASED</x:v>
      </x:c>
      <x:c r="Q164" s="9" t="n">
        <x:f>COUNTIFS($A$7:$A$2310,A164)</x:f>
        <x:v>1</x:v>
      </x:c>
    </x:row>
    <x:row r="165">
      <x:c r="A165" s="9" t="str">
        <x:v>PD-AR-HU-A-B-TECH-3-B1-INT-G0-PD15</x:v>
      </x:c>
      <x:c r="B165" s="9" t="str">
        <x:v>PD-AR-HU-A-B-TECH-3-B1-INT-G0</x:v>
      </x:c>
      <x:c r="C165" s="9" t="str">
        <x:v>EV-AR-HU-A-B-TECH-3-B1-INT-G0</x:v>
      </x:c>
      <x:c r="D165" s="9" t="str">
        <x:v>AR-HU-A-B-TECH-3-B1-INT-G0</x:v>
      </x:c>
      <x:c r="E165" s="9" t="str">
        <x:v>HU-A-B-TECH-3</x:v>
      </x:c>
      <x:c r="F165" s="9" t="str">
        <x:v>HU-A-B</x:v>
      </x:c>
      <x:c r="G165" s="9" t="str">
        <x:v>B1</x:v>
      </x:c>
      <x:c r="H165" s="9" t="str">
        <x:v>INT</x:v>
      </x:c>
      <x:c r="I165" s="9" t="str">
        <x:v>PD15</x:v>
      </x:c>
      <x:c r="J165" s="17" t="str">
        <x:v>Reconstruction ancestry and replay</x:v>
      </x:c>
      <x:c r="K165" s="17" t="str">
        <x:v>Reconstruction court</x:v>
      </x:c>
      <x:c r="L165" s="17" t="str">
        <x:v>COURT-SEALED UNTIL COHORT RELEASE</x:v>
      </x:c>
      <x:c r="M165" s="9" t="n">
        <x:v>0</x:v>
      </x:c>
      <x:c r="N165" s="9" t="n">
        <x:v>0</x:v>
      </x:c>
      <x:c r="O165" s="9" t="n">
        <x:v>0</x:v>
      </x:c>
      <x:c r="P165" s="9" t="str">
        <x:v>HELD / UNRELEASED</x:v>
      </x:c>
      <x:c r="Q165" s="9" t="n">
        <x:f>COUNTIFS($A$7:$A$2310,A165)</x:f>
        <x:v>1</x:v>
      </x:c>
    </x:row>
    <x:row r="166">
      <x:c r="A166" s="9" t="str">
        <x:v>PD-AR-HU-A-B-TECH-3-B1-INT-G0-PD16</x:v>
      </x:c>
      <x:c r="B166" s="9" t="str">
        <x:v>PD-AR-HU-A-B-TECH-3-B1-INT-G0</x:v>
      </x:c>
      <x:c r="C166" s="9" t="str">
        <x:v>EV-AR-HU-A-B-TECH-3-B1-INT-G0</x:v>
      </x:c>
      <x:c r="D166" s="9" t="str">
        <x:v>AR-HU-A-B-TECH-3-B1-INT-G0</x:v>
      </x:c>
      <x:c r="E166" s="9" t="str">
        <x:v>HU-A-B-TECH-3</x:v>
      </x:c>
      <x:c r="F166" s="9" t="str">
        <x:v>HU-A-B</x:v>
      </x:c>
      <x:c r="G166" s="9" t="str">
        <x:v>B1</x:v>
      </x:c>
      <x:c r="H166" s="9" t="str">
        <x:v>INT</x:v>
      </x:c>
      <x:c r="I166" s="9" t="str">
        <x:v>PD16</x:v>
      </x:c>
      <x:c r="J166" s="17" t="str">
        <x:v>Dissent, amendments and access log</x:v>
      </x:c>
      <x:c r="K166" s="17" t="str">
        <x:v>Public archive</x:v>
      </x:c>
      <x:c r="L166" s="17" t="str">
        <x:v>COURT-SEALED UNTIL COHORT RELEASE</x:v>
      </x:c>
      <x:c r="M166" s="9" t="n">
        <x:v>0</x:v>
      </x:c>
      <x:c r="N166" s="9" t="n">
        <x:v>0</x:v>
      </x:c>
      <x:c r="O166" s="9" t="n">
        <x:v>0</x:v>
      </x:c>
      <x:c r="P166" s="9" t="str">
        <x:v>HELD / UNRELEASED</x:v>
      </x:c>
      <x:c r="Q166" s="9" t="n">
        <x:f>COUNTIFS($A$7:$A$2310,A166)</x:f>
        <x:v>1</x:v>
      </x:c>
    </x:row>
    <x:row r="167">
      <x:c r="A167" s="9" t="str">
        <x:v>PD-AR-LF-B-A-TECH-1-B2-BRK-G0-PD01</x:v>
      </x:c>
      <x:c r="B167" s="9" t="str">
        <x:v>PD-AR-LF-B-A-TECH-1-B2-BRK-G0</x:v>
      </x:c>
      <x:c r="C167" s="9" t="str">
        <x:v>EV-AR-LF-B-A-TECH-1-B2-BRK-G0</x:v>
      </x:c>
      <x:c r="D167" s="9" t="str">
        <x:v>AR-LF-B-A-TECH-1-B2-BRK-G0</x:v>
      </x:c>
      <x:c r="E167" s="9" t="str">
        <x:v>LF-B-A-TECH-1</x:v>
      </x:c>
      <x:c r="F167" s="9" t="str">
        <x:v>LF-B-A</x:v>
      </x:c>
      <x:c r="G167" s="9" t="str">
        <x:v>B2</x:v>
      </x:c>
      <x:c r="H167" s="9" t="str">
        <x:v>BRK</x:v>
      </x:c>
      <x:c r="I167" s="9" t="str">
        <x:v>PD01</x:v>
      </x:c>
      <x:c r="J167" s="17" t="str">
        <x:v>Experiment kernel</x:v>
      </x:c>
      <x:c r="K167" s="17" t="str">
        <x:v>Public archive</x:v>
      </x:c>
      <x:c r="L167" s="17" t="str">
        <x:v>COURT-SEALED UNTIL COHORT RELEASE</x:v>
      </x:c>
      <x:c r="M167" s="9" t="n">
        <x:v>0</x:v>
      </x:c>
      <x:c r="N167" s="9" t="n">
        <x:v>0</x:v>
      </x:c>
      <x:c r="O167" s="9" t="n">
        <x:v>0</x:v>
      </x:c>
      <x:c r="P167" s="9" t="str">
        <x:v>HELD / UNRELEASED</x:v>
      </x:c>
      <x:c r="Q167" s="9" t="n">
        <x:f>COUNTIFS($A$7:$A$2310,A167)</x:f>
        <x:v>1</x:v>
      </x:c>
    </x:row>
    <x:row r="168">
      <x:c r="A168" s="9" t="str">
        <x:v>PD-AR-LF-B-A-TECH-1-B2-BRK-G0-PD02</x:v>
      </x:c>
      <x:c r="B168" s="9" t="str">
        <x:v>PD-AR-LF-B-A-TECH-1-B2-BRK-G0</x:v>
      </x:c>
      <x:c r="C168" s="9" t="str">
        <x:v>EV-AR-LF-B-A-TECH-1-B2-BRK-G0</x:v>
      </x:c>
      <x:c r="D168" s="9" t="str">
        <x:v>AR-LF-B-A-TECH-1-B2-BRK-G0</x:v>
      </x:c>
      <x:c r="E168" s="9" t="str">
        <x:v>LF-B-A-TECH-1</x:v>
      </x:c>
      <x:c r="F168" s="9" t="str">
        <x:v>LF-B-A</x:v>
      </x:c>
      <x:c r="G168" s="9" t="str">
        <x:v>B2</x:v>
      </x:c>
      <x:c r="H168" s="9" t="str">
        <x:v>BRK</x:v>
      </x:c>
      <x:c r="I168" s="9" t="str">
        <x:v>PD02</x:v>
      </x:c>
      <x:c r="J168" s="17" t="str">
        <x:v>Serial annex and title chain</x:v>
      </x:c>
      <x:c r="K168" s="17" t="str">
        <x:v>Public archive</x:v>
      </x:c>
      <x:c r="L168" s="17" t="str">
        <x:v>COURT-SEALED UNTIL COHORT RELEASE</x:v>
      </x:c>
      <x:c r="M168" s="9" t="n">
        <x:v>0</x:v>
      </x:c>
      <x:c r="N168" s="9" t="n">
        <x:v>0</x:v>
      </x:c>
      <x:c r="O168" s="9" t="n">
        <x:v>0</x:v>
      </x:c>
      <x:c r="P168" s="9" t="str">
        <x:v>HELD / UNRELEASED</x:v>
      </x:c>
      <x:c r="Q168" s="9" t="n">
        <x:f>COUNTIFS($A$7:$A$2310,A168)</x:f>
        <x:v>1</x:v>
      </x:c>
    </x:row>
    <x:row r="169">
      <x:c r="A169" s="9" t="str">
        <x:v>PD-AR-LF-B-A-TECH-1-B2-BRK-G0-PD03</x:v>
      </x:c>
      <x:c r="B169" s="9" t="str">
        <x:v>PD-AR-LF-B-A-TECH-1-B2-BRK-G0</x:v>
      </x:c>
      <x:c r="C169" s="9" t="str">
        <x:v>EV-AR-LF-B-A-TECH-1-B2-BRK-G0</x:v>
      </x:c>
      <x:c r="D169" s="9" t="str">
        <x:v>AR-LF-B-A-TECH-1-B2-BRK-G0</x:v>
      </x:c>
      <x:c r="E169" s="9" t="str">
        <x:v>LF-B-A-TECH-1</x:v>
      </x:c>
      <x:c r="F169" s="9" t="str">
        <x:v>LF-B-A</x:v>
      </x:c>
      <x:c r="G169" s="9" t="str">
        <x:v>B2</x:v>
      </x:c>
      <x:c r="H169" s="9" t="str">
        <x:v>BRK</x:v>
      </x:c>
      <x:c r="I169" s="9" t="str">
        <x:v>PD03</x:v>
      </x:c>
      <x:c r="J169" s="17" t="str">
        <x:v>Configuration and as-built manifest</x:v>
      </x:c>
      <x:c r="K169" s="17" t="str">
        <x:v>Artifact exchange</x:v>
      </x:c>
      <x:c r="L169" s="17" t="str">
        <x:v>COURT-SEALED UNTIL COHORT RELEASE</x:v>
      </x:c>
      <x:c r="M169" s="9" t="n">
        <x:v>0</x:v>
      </x:c>
      <x:c r="N169" s="9" t="n">
        <x:v>0</x:v>
      </x:c>
      <x:c r="O169" s="9" t="n">
        <x:v>0</x:v>
      </x:c>
      <x:c r="P169" s="9" t="str">
        <x:v>HELD / UNRELEASED</x:v>
      </x:c>
      <x:c r="Q169" s="9" t="n">
        <x:f>COUNTIFS($A$7:$A$2310,A169)</x:f>
        <x:v>1</x:v>
      </x:c>
    </x:row>
    <x:row r="170">
      <x:c r="A170" s="9" t="str">
        <x:v>PD-AR-LF-B-A-TECH-1-B2-BRK-G0-PD04</x:v>
      </x:c>
      <x:c r="B170" s="9" t="str">
        <x:v>PD-AR-LF-B-A-TECH-1-B2-BRK-G0</x:v>
      </x:c>
      <x:c r="C170" s="9" t="str">
        <x:v>EV-AR-LF-B-A-TECH-1-B2-BRK-G0</x:v>
      </x:c>
      <x:c r="D170" s="9" t="str">
        <x:v>AR-LF-B-A-TECH-1-B2-BRK-G0</x:v>
      </x:c>
      <x:c r="E170" s="9" t="str">
        <x:v>LF-B-A-TECH-1</x:v>
      </x:c>
      <x:c r="F170" s="9" t="str">
        <x:v>LF-B-A</x:v>
      </x:c>
      <x:c r="G170" s="9" t="str">
        <x:v>B2</x:v>
      </x:c>
      <x:c r="H170" s="9" t="str">
        <x:v>BRK</x:v>
      </x:c>
      <x:c r="I170" s="9" t="str">
        <x:v>PD04</x:v>
      </x:c>
      <x:c r="J170" s="17" t="str">
        <x:v>EOW and start certificate</x:v>
      </x:c>
      <x:c r="K170" s="17" t="str">
        <x:v>Start registrar</x:v>
      </x:c>
      <x:c r="L170" s="17" t="str">
        <x:v>COURT-SEALED UNTIL COHORT RELEASE</x:v>
      </x:c>
      <x:c r="M170" s="9" t="n">
        <x:v>0</x:v>
      </x:c>
      <x:c r="N170" s="9" t="n">
        <x:v>0</x:v>
      </x:c>
      <x:c r="O170" s="9" t="n">
        <x:v>0</x:v>
      </x:c>
      <x:c r="P170" s="9" t="str">
        <x:v>HELD / UNRELEASED</x:v>
      </x:c>
      <x:c r="Q170" s="9" t="n">
        <x:f>COUNTIFS($A$7:$A$2310,A170)</x:f>
        <x:v>1</x:v>
      </x:c>
    </x:row>
    <x:row r="171">
      <x:c r="A171" s="9" t="str">
        <x:v>PD-AR-LF-B-A-TECH-1-B2-BRK-G0-PD05</x:v>
      </x:c>
      <x:c r="B171" s="9" t="str">
        <x:v>PD-AR-LF-B-A-TECH-1-B2-BRK-G0</x:v>
      </x:c>
      <x:c r="C171" s="9" t="str">
        <x:v>EV-AR-LF-B-A-TECH-1-B2-BRK-G0</x:v>
      </x:c>
      <x:c r="D171" s="9" t="str">
        <x:v>AR-LF-B-A-TECH-1-B2-BRK-G0</x:v>
      </x:c>
      <x:c r="E171" s="9" t="str">
        <x:v>LF-B-A-TECH-1</x:v>
      </x:c>
      <x:c r="F171" s="9" t="str">
        <x:v>LF-B-A</x:v>
      </x:c>
      <x:c r="G171" s="9" t="str">
        <x:v>B2</x:v>
      </x:c>
      <x:c r="H171" s="9" t="str">
        <x:v>BRK</x:v>
      </x:c>
      <x:c r="I171" s="9" t="str">
        <x:v>PD05</x:v>
      </x:c>
      <x:c r="J171" s="17" t="str">
        <x:v>Primary raw originals</x:v>
      </x:c>
      <x:c r="K171" s="17" t="str">
        <x:v>Primary custody</x:v>
      </x:c>
      <x:c r="L171" s="17" t="str">
        <x:v>COURT-SEALED UNTIL COHORT RELEASE</x:v>
      </x:c>
      <x:c r="M171" s="9" t="n">
        <x:v>0</x:v>
      </x:c>
      <x:c r="N171" s="9" t="n">
        <x:v>0</x:v>
      </x:c>
      <x:c r="O171" s="9" t="n">
        <x:v>0</x:v>
      </x:c>
      <x:c r="P171" s="9" t="str">
        <x:v>HELD / UNRELEASED</x:v>
      </x:c>
      <x:c r="Q171" s="9" t="n">
        <x:f>COUNTIFS($A$7:$A$2310,A171)</x:f>
        <x:v>1</x:v>
      </x:c>
    </x:row>
    <x:row r="172">
      <x:c r="A172" s="9" t="str">
        <x:v>PD-AR-LF-B-A-TECH-1-B2-BRK-G0-PD06</x:v>
      </x:c>
      <x:c r="B172" s="9" t="str">
        <x:v>PD-AR-LF-B-A-TECH-1-B2-BRK-G0</x:v>
      </x:c>
      <x:c r="C172" s="9" t="str">
        <x:v>EV-AR-LF-B-A-TECH-1-B2-BRK-G0</x:v>
      </x:c>
      <x:c r="D172" s="9" t="str">
        <x:v>AR-LF-B-A-TECH-1-B2-BRK-G0</x:v>
      </x:c>
      <x:c r="E172" s="9" t="str">
        <x:v>LF-B-A-TECH-1</x:v>
      </x:c>
      <x:c r="F172" s="9" t="str">
        <x:v>LF-B-A</x:v>
      </x:c>
      <x:c r="G172" s="9" t="str">
        <x:v>B2</x:v>
      </x:c>
      <x:c r="H172" s="9" t="str">
        <x:v>BRK</x:v>
      </x:c>
      <x:c r="I172" s="9" t="str">
        <x:v>PD06</x:v>
      </x:c>
      <x:c r="J172" s="17" t="str">
        <x:v>Witness raw originals</x:v>
      </x:c>
      <x:c r="K172" s="17" t="str">
        <x:v>Witness custody</x:v>
      </x:c>
      <x:c r="L172" s="17" t="str">
        <x:v>COURT-SEALED UNTIL COHORT RELEASE</x:v>
      </x:c>
      <x:c r="M172" s="9" t="n">
        <x:v>0</x:v>
      </x:c>
      <x:c r="N172" s="9" t="n">
        <x:v>0</x:v>
      </x:c>
      <x:c r="O172" s="9" t="n">
        <x:v>0</x:v>
      </x:c>
      <x:c r="P172" s="9" t="str">
        <x:v>HELD / UNRELEASED</x:v>
      </x:c>
      <x:c r="Q172" s="9" t="n">
        <x:f>COUNTIFS($A$7:$A$2310,A172)</x:f>
        <x:v>1</x:v>
      </x:c>
    </x:row>
    <x:row r="173">
      <x:c r="A173" s="9" t="str">
        <x:v>PD-AR-LF-B-A-TECH-1-B2-BRK-G0-PD07</x:v>
      </x:c>
      <x:c r="B173" s="9" t="str">
        <x:v>PD-AR-LF-B-A-TECH-1-B2-BRK-G0</x:v>
      </x:c>
      <x:c r="C173" s="9" t="str">
        <x:v>EV-AR-LF-B-A-TECH-1-B2-BRK-G0</x:v>
      </x:c>
      <x:c r="D173" s="9" t="str">
        <x:v>AR-LF-B-A-TECH-1-B2-BRK-G0</x:v>
      </x:c>
      <x:c r="E173" s="9" t="str">
        <x:v>LF-B-A-TECH-1</x:v>
      </x:c>
      <x:c r="F173" s="9" t="str">
        <x:v>LF-B-A</x:v>
      </x:c>
      <x:c r="G173" s="9" t="str">
        <x:v>B2</x:v>
      </x:c>
      <x:c r="H173" s="9" t="str">
        <x:v>BRK</x:v>
      </x:c>
      <x:c r="I173" s="9" t="str">
        <x:v>PD07</x:v>
      </x:c>
      <x:c r="J173" s="17" t="str">
        <x:v>Clock and environmental records</x:v>
      </x:c>
      <x:c r="K173" s="17" t="str">
        <x:v>Boundary archive</x:v>
      </x:c>
      <x:c r="L173" s="17" t="str">
        <x:v>COURT-SEALED UNTIL COHORT RELEASE</x:v>
      </x:c>
      <x:c r="M173" s="9" t="n">
        <x:v>0</x:v>
      </x:c>
      <x:c r="N173" s="9" t="n">
        <x:v>0</x:v>
      </x:c>
      <x:c r="O173" s="9" t="n">
        <x:v>0</x:v>
      </x:c>
      <x:c r="P173" s="9" t="str">
        <x:v>HELD / UNRELEASED</x:v>
      </x:c>
      <x:c r="Q173" s="9" t="n">
        <x:f>COUNTIFS($A$7:$A$2310,A173)</x:f>
        <x:v>1</x:v>
      </x:c>
    </x:row>
    <x:row r="174">
      <x:c r="A174" s="9" t="str">
        <x:v>PD-AR-LF-B-A-TECH-1-B2-BRK-G0-PD08</x:v>
      </x:c>
      <x:c r="B174" s="9" t="str">
        <x:v>PD-AR-LF-B-A-TECH-1-B2-BRK-G0</x:v>
      </x:c>
      <x:c r="C174" s="9" t="str">
        <x:v>EV-AR-LF-B-A-TECH-1-B2-BRK-G0</x:v>
      </x:c>
      <x:c r="D174" s="9" t="str">
        <x:v>AR-LF-B-A-TECH-1-B2-BRK-G0</x:v>
      </x:c>
      <x:c r="E174" s="9" t="str">
        <x:v>LF-B-A-TECH-1</x:v>
      </x:c>
      <x:c r="F174" s="9" t="str">
        <x:v>LF-B-A</x:v>
      </x:c>
      <x:c r="G174" s="9" t="str">
        <x:v>B2</x:v>
      </x:c>
      <x:c r="H174" s="9" t="str">
        <x:v>BRK</x:v>
      </x:c>
      <x:c r="I174" s="9" t="str">
        <x:v>PD08</x:v>
      </x:c>
      <x:c r="J174" s="17" t="str">
        <x:v>Command and intervention log</x:v>
      </x:c>
      <x:c r="K174" s="17" t="str">
        <x:v>Safety archive</x:v>
      </x:c>
      <x:c r="L174" s="17" t="str">
        <x:v>COURT-SEALED UNTIL COHORT RELEASE</x:v>
      </x:c>
      <x:c r="M174" s="9" t="n">
        <x:v>0</x:v>
      </x:c>
      <x:c r="N174" s="9" t="n">
        <x:v>0</x:v>
      </x:c>
      <x:c r="O174" s="9" t="n">
        <x:v>0</x:v>
      </x:c>
      <x:c r="P174" s="9" t="str">
        <x:v>HELD / UNRELEASED</x:v>
      </x:c>
      <x:c r="Q174" s="9" t="n">
        <x:f>COUNTIFS($A$7:$A$2310,A174)</x:f>
        <x:v>1</x:v>
      </x:c>
    </x:row>
    <x:row r="175">
      <x:c r="A175" s="9" t="str">
        <x:v>PD-AR-LF-B-A-TECH-1-B2-BRK-G0-PD09</x:v>
      </x:c>
      <x:c r="B175" s="9" t="str">
        <x:v>PD-AR-LF-B-A-TECH-1-B2-BRK-G0</x:v>
      </x:c>
      <x:c r="C175" s="9" t="str">
        <x:v>EV-AR-LF-B-A-TECH-1-B2-BRK-G0</x:v>
      </x:c>
      <x:c r="D175" s="9" t="str">
        <x:v>AR-LF-B-A-TECH-1-B2-BRK-G0</x:v>
      </x:c>
      <x:c r="E175" s="9" t="str">
        <x:v>LF-B-A-TECH-1</x:v>
      </x:c>
      <x:c r="F175" s="9" t="str">
        <x:v>LF-B-A</x:v>
      </x:c>
      <x:c r="G175" s="9" t="str">
        <x:v>B2</x:v>
      </x:c>
      <x:c r="H175" s="9" t="str">
        <x:v>BRK</x:v>
      </x:c>
      <x:c r="I175" s="9" t="str">
        <x:v>PD09</x:v>
      </x:c>
      <x:c r="J175" s="17" t="str">
        <x:v>Receiver denominator and service ledger</x:v>
      </x:c>
      <x:c r="K175" s="17" t="str">
        <x:v>Receiver archive</x:v>
      </x:c>
      <x:c r="L175" s="17" t="str">
        <x:v>COURT-SEALED UNTIL COHORT RELEASE</x:v>
      </x:c>
      <x:c r="M175" s="9" t="n">
        <x:v>0</x:v>
      </x:c>
      <x:c r="N175" s="9" t="n">
        <x:v>0</x:v>
      </x:c>
      <x:c r="O175" s="9" t="n">
        <x:v>0</x:v>
      </x:c>
      <x:c r="P175" s="9" t="str">
        <x:v>HELD / UNRELEASED</x:v>
      </x:c>
      <x:c r="Q175" s="9" t="n">
        <x:f>COUNTIFS($A$7:$A$2310,A175)</x:f>
        <x:v>1</x:v>
      </x:c>
    </x:row>
    <x:row r="176">
      <x:c r="A176" s="9" t="str">
        <x:v>PD-AR-LF-B-A-TECH-1-B2-BRK-G0-PD10</x:v>
      </x:c>
      <x:c r="B176" s="9" t="str">
        <x:v>PD-AR-LF-B-A-TECH-1-B2-BRK-G0</x:v>
      </x:c>
      <x:c r="C176" s="9" t="str">
        <x:v>EV-AR-LF-B-A-TECH-1-B2-BRK-G0</x:v>
      </x:c>
      <x:c r="D176" s="9" t="str">
        <x:v>AR-LF-B-A-TECH-1-B2-BRK-G0</x:v>
      </x:c>
      <x:c r="E176" s="9" t="str">
        <x:v>LF-B-A-TECH-1</x:v>
      </x:c>
      <x:c r="F176" s="9" t="str">
        <x:v>LF-B-A</x:v>
      </x:c>
      <x:c r="G176" s="9" t="str">
        <x:v>B2</x:v>
      </x:c>
      <x:c r="H176" s="9" t="str">
        <x:v>BRK</x:v>
      </x:c>
      <x:c r="I176" s="9" t="str">
        <x:v>PD10</x:v>
      </x:c>
      <x:c r="J176" s="17" t="str">
        <x:v>Calibration and uncertainty record</x:v>
      </x:c>
      <x:c r="K176" s="17" t="str">
        <x:v>Metrology archive</x:v>
      </x:c>
      <x:c r="L176" s="17" t="str">
        <x:v>COURT-SEALED UNTIL COHORT RELEASE</x:v>
      </x:c>
      <x:c r="M176" s="9" t="n">
        <x:v>0</x:v>
      </x:c>
      <x:c r="N176" s="9" t="n">
        <x:v>0</x:v>
      </x:c>
      <x:c r="O176" s="9" t="n">
        <x:v>0</x:v>
      </x:c>
      <x:c r="P176" s="9" t="str">
        <x:v>HELD / UNRELEASED</x:v>
      </x:c>
      <x:c r="Q176" s="9" t="n">
        <x:f>COUNTIFS($A$7:$A$2310,A176)</x:f>
        <x:v>1</x:v>
      </x:c>
    </x:row>
    <x:row r="177">
      <x:c r="A177" s="9" t="str">
        <x:v>PD-AR-LF-B-A-TECH-1-B2-BRK-G0-PD11</x:v>
      </x:c>
      <x:c r="B177" s="9" t="str">
        <x:v>PD-AR-LF-B-A-TECH-1-B2-BRK-G0</x:v>
      </x:c>
      <x:c r="C177" s="9" t="str">
        <x:v>EV-AR-LF-B-A-TECH-1-B2-BRK-G0</x:v>
      </x:c>
      <x:c r="D177" s="9" t="str">
        <x:v>AR-LF-B-A-TECH-1-B2-BRK-G0</x:v>
      </x:c>
      <x:c r="E177" s="9" t="str">
        <x:v>LF-B-A-TECH-1</x:v>
      </x:c>
      <x:c r="F177" s="9" t="str">
        <x:v>LF-B-A</x:v>
      </x:c>
      <x:c r="G177" s="9" t="str">
        <x:v>B2</x:v>
      </x:c>
      <x:c r="H177" s="9" t="str">
        <x:v>BRK</x:v>
      </x:c>
      <x:c r="I177" s="9" t="str">
        <x:v>PD11</x:v>
      </x:c>
      <x:c r="J177" s="17" t="str">
        <x:v>Invalidity petition and opinion</x:v>
      </x:c>
      <x:c r="K177" s="17" t="str">
        <x:v>Invalidity court</x:v>
      </x:c>
      <x:c r="L177" s="17" t="str">
        <x:v>COURT-SEALED UNTIL COHORT RELEASE</x:v>
      </x:c>
      <x:c r="M177" s="9" t="n">
        <x:v>0</x:v>
      </x:c>
      <x:c r="N177" s="9" t="n">
        <x:v>0</x:v>
      </x:c>
      <x:c r="O177" s="9" t="n">
        <x:v>0</x:v>
      </x:c>
      <x:c r="P177" s="9" t="str">
        <x:v>HELD / UNRELEASED</x:v>
      </x:c>
      <x:c r="Q177" s="9" t="n">
        <x:f>COUNTIFS($A$7:$A$2310,A177)</x:f>
        <x:v>1</x:v>
      </x:c>
    </x:row>
    <x:row r="178">
      <x:c r="A178" s="9" t="str">
        <x:v>PD-AR-LF-B-A-TECH-1-B2-BRK-G0-PD12</x:v>
      </x:c>
      <x:c r="B178" s="9" t="str">
        <x:v>PD-AR-LF-B-A-TECH-1-B2-BRK-G0</x:v>
      </x:c>
      <x:c r="C178" s="9" t="str">
        <x:v>EV-AR-LF-B-A-TECH-1-B2-BRK-G0</x:v>
      </x:c>
      <x:c r="D178" s="9" t="str">
        <x:v>AR-LF-B-A-TECH-1-B2-BRK-G0</x:v>
      </x:c>
      <x:c r="E178" s="9" t="str">
        <x:v>LF-B-A-TECH-1</x:v>
      </x:c>
      <x:c r="F178" s="9" t="str">
        <x:v>LF-B-A</x:v>
      </x:c>
      <x:c r="G178" s="9" t="str">
        <x:v>B2</x:v>
      </x:c>
      <x:c r="H178" s="9" t="str">
        <x:v>BRK</x:v>
      </x:c>
      <x:c r="I178" s="9" t="str">
        <x:v>PD12</x:v>
      </x:c>
      <x:c r="J178" s="17" t="str">
        <x:v>Observation acceptance and replay</x:v>
      </x:c>
      <x:c r="K178" s="17" t="str">
        <x:v>Observation court</x:v>
      </x:c>
      <x:c r="L178" s="17" t="str">
        <x:v>COURT-SEALED UNTIL COHORT RELEASE</x:v>
      </x:c>
      <x:c r="M178" s="9" t="n">
        <x:v>0</x:v>
      </x:c>
      <x:c r="N178" s="9" t="n">
        <x:v>0</x:v>
      </x:c>
      <x:c r="O178" s="9" t="n">
        <x:v>0</x:v>
      </x:c>
      <x:c r="P178" s="9" t="str">
        <x:v>HELD / UNRELEASED</x:v>
      </x:c>
      <x:c r="Q178" s="9" t="n">
        <x:f>COUNTIFS($A$7:$A$2310,A178)</x:f>
        <x:v>1</x:v>
      </x:c>
    </x:row>
    <x:row r="179">
      <x:c r="A179" s="9" t="str">
        <x:v>PD-AR-LF-B-A-TECH-1-B2-BRK-G0-PD13</x:v>
      </x:c>
      <x:c r="B179" s="9" t="str">
        <x:v>PD-AR-LF-B-A-TECH-1-B2-BRK-G0</x:v>
      </x:c>
      <x:c r="C179" s="9" t="str">
        <x:v>EV-AR-LF-B-A-TECH-1-B2-BRK-G0</x:v>
      </x:c>
      <x:c r="D179" s="9" t="str">
        <x:v>AR-LF-B-A-TECH-1-B2-BRK-G0</x:v>
      </x:c>
      <x:c r="E179" s="9" t="str">
        <x:v>LF-B-A-TECH-1</x:v>
      </x:c>
      <x:c r="F179" s="9" t="str">
        <x:v>LF-B-A</x:v>
      </x:c>
      <x:c r="G179" s="9" t="str">
        <x:v>B2</x:v>
      </x:c>
      <x:c r="H179" s="9" t="str">
        <x:v>BRK</x:v>
      </x:c>
      <x:c r="I179" s="9" t="str">
        <x:v>PD13</x:v>
      </x:c>
      <x:c r="J179" s="17" t="str">
        <x:v>Role judgment</x:v>
      </x:c>
      <x:c r="K179" s="17" t="str">
        <x:v>Role court</x:v>
      </x:c>
      <x:c r="L179" s="17" t="str">
        <x:v>COURT-SEALED UNTIL COHORT RELEASE</x:v>
      </x:c>
      <x:c r="M179" s="9" t="n">
        <x:v>0</x:v>
      </x:c>
      <x:c r="N179" s="9" t="n">
        <x:v>0</x:v>
      </x:c>
      <x:c r="O179" s="9" t="n">
        <x:v>0</x:v>
      </x:c>
      <x:c r="P179" s="9" t="str">
        <x:v>HELD / UNRELEASED</x:v>
      </x:c>
      <x:c r="Q179" s="9" t="n">
        <x:f>COUNTIFS($A$7:$A$2310,A179)</x:f>
        <x:v>1</x:v>
      </x:c>
    </x:row>
    <x:row r="180">
      <x:c r="A180" s="9" t="str">
        <x:v>PD-AR-LF-B-A-TECH-1-B2-BRK-G0-PD14</x:v>
      </x:c>
      <x:c r="B180" s="9" t="str">
        <x:v>PD-AR-LF-B-A-TECH-1-B2-BRK-G0</x:v>
      </x:c>
      <x:c r="C180" s="9" t="str">
        <x:v>EV-AR-LF-B-A-TECH-1-B2-BRK-G0</x:v>
      </x:c>
      <x:c r="D180" s="9" t="str">
        <x:v>AR-LF-B-A-TECH-1-B2-BRK-G0</x:v>
      </x:c>
      <x:c r="E180" s="9" t="str">
        <x:v>LF-B-A-TECH-1</x:v>
      </x:c>
      <x:c r="F180" s="9" t="str">
        <x:v>LF-B-A</x:v>
      </x:c>
      <x:c r="G180" s="9" t="str">
        <x:v>B2</x:v>
      </x:c>
      <x:c r="H180" s="9" t="str">
        <x:v>BRK</x:v>
      </x:c>
      <x:c r="I180" s="9" t="str">
        <x:v>PD14</x:v>
      </x:c>
      <x:c r="J180" s="17" t="str">
        <x:v>Break and residual account</x:v>
      </x:c>
      <x:c r="K180" s="17" t="str">
        <x:v>Residual authority</x:v>
      </x:c>
      <x:c r="L180" s="17" t="str">
        <x:v>COURT-SEALED UNTIL COHORT RELEASE</x:v>
      </x:c>
      <x:c r="M180" s="9" t="n">
        <x:v>0</x:v>
      </x:c>
      <x:c r="N180" s="9" t="n">
        <x:v>0</x:v>
      </x:c>
      <x:c r="O180" s="9" t="n">
        <x:v>0</x:v>
      </x:c>
      <x:c r="P180" s="9" t="str">
        <x:v>HELD / UNRELEASED</x:v>
      </x:c>
      <x:c r="Q180" s="9" t="n">
        <x:f>COUNTIFS($A$7:$A$2310,A180)</x:f>
        <x:v>1</x:v>
      </x:c>
    </x:row>
    <x:row r="181">
      <x:c r="A181" s="9" t="str">
        <x:v>PD-AR-LF-B-A-TECH-1-B2-BRK-G0-PD15</x:v>
      </x:c>
      <x:c r="B181" s="9" t="str">
        <x:v>PD-AR-LF-B-A-TECH-1-B2-BRK-G0</x:v>
      </x:c>
      <x:c r="C181" s="9" t="str">
        <x:v>EV-AR-LF-B-A-TECH-1-B2-BRK-G0</x:v>
      </x:c>
      <x:c r="D181" s="9" t="str">
        <x:v>AR-LF-B-A-TECH-1-B2-BRK-G0</x:v>
      </x:c>
      <x:c r="E181" s="9" t="str">
        <x:v>LF-B-A-TECH-1</x:v>
      </x:c>
      <x:c r="F181" s="9" t="str">
        <x:v>LF-B-A</x:v>
      </x:c>
      <x:c r="G181" s="9" t="str">
        <x:v>B2</x:v>
      </x:c>
      <x:c r="H181" s="9" t="str">
        <x:v>BRK</x:v>
      </x:c>
      <x:c r="I181" s="9" t="str">
        <x:v>PD15</x:v>
      </x:c>
      <x:c r="J181" s="17" t="str">
        <x:v>Reconstruction ancestry and replay</x:v>
      </x:c>
      <x:c r="K181" s="17" t="str">
        <x:v>Reconstruction court</x:v>
      </x:c>
      <x:c r="L181" s="17" t="str">
        <x:v>COURT-SEALED UNTIL COHORT RELEASE</x:v>
      </x:c>
      <x:c r="M181" s="9" t="n">
        <x:v>0</x:v>
      </x:c>
      <x:c r="N181" s="9" t="n">
        <x:v>0</x:v>
      </x:c>
      <x:c r="O181" s="9" t="n">
        <x:v>0</x:v>
      </x:c>
      <x:c r="P181" s="9" t="str">
        <x:v>HELD / UNRELEASED</x:v>
      </x:c>
      <x:c r="Q181" s="9" t="n">
        <x:f>COUNTIFS($A$7:$A$2310,A181)</x:f>
        <x:v>1</x:v>
      </x:c>
    </x:row>
    <x:row r="182">
      <x:c r="A182" s="9" t="str">
        <x:v>PD-AR-LF-B-A-TECH-1-B2-BRK-G0-PD16</x:v>
      </x:c>
      <x:c r="B182" s="9" t="str">
        <x:v>PD-AR-LF-B-A-TECH-1-B2-BRK-G0</x:v>
      </x:c>
      <x:c r="C182" s="9" t="str">
        <x:v>EV-AR-LF-B-A-TECH-1-B2-BRK-G0</x:v>
      </x:c>
      <x:c r="D182" s="9" t="str">
        <x:v>AR-LF-B-A-TECH-1-B2-BRK-G0</x:v>
      </x:c>
      <x:c r="E182" s="9" t="str">
        <x:v>LF-B-A-TECH-1</x:v>
      </x:c>
      <x:c r="F182" s="9" t="str">
        <x:v>LF-B-A</x:v>
      </x:c>
      <x:c r="G182" s="9" t="str">
        <x:v>B2</x:v>
      </x:c>
      <x:c r="H182" s="9" t="str">
        <x:v>BRK</x:v>
      </x:c>
      <x:c r="I182" s="9" t="str">
        <x:v>PD16</x:v>
      </x:c>
      <x:c r="J182" s="17" t="str">
        <x:v>Dissent, amendments and access log</x:v>
      </x:c>
      <x:c r="K182" s="17" t="str">
        <x:v>Public archive</x:v>
      </x:c>
      <x:c r="L182" s="17" t="str">
        <x:v>COURT-SEALED UNTIL COHORT RELEASE</x:v>
      </x:c>
      <x:c r="M182" s="9" t="n">
        <x:v>0</x:v>
      </x:c>
      <x:c r="N182" s="9" t="n">
        <x:v>0</x:v>
      </x:c>
      <x:c r="O182" s="9" t="n">
        <x:v>0</x:v>
      </x:c>
      <x:c r="P182" s="9" t="str">
        <x:v>HELD / UNRELEASED</x:v>
      </x:c>
      <x:c r="Q182" s="9" t="n">
        <x:f>COUNTIFS($A$7:$A$2310,A182)</x:f>
        <x:v>1</x:v>
      </x:c>
    </x:row>
    <x:row r="183">
      <x:c r="A183" s="9" t="str">
        <x:v>PD-AR-RT-B-C-TECH-1-B2-INT-G0-PD01</x:v>
      </x:c>
      <x:c r="B183" s="9" t="str">
        <x:v>PD-AR-RT-B-C-TECH-1-B2-INT-G0</x:v>
      </x:c>
      <x:c r="C183" s="9" t="str">
        <x:v>EV-AR-RT-B-C-TECH-1-B2-INT-G0</x:v>
      </x:c>
      <x:c r="D183" s="9" t="str">
        <x:v>AR-RT-B-C-TECH-1-B2-INT-G0</x:v>
      </x:c>
      <x:c r="E183" s="9" t="str">
        <x:v>RT-B-C-TECH-1</x:v>
      </x:c>
      <x:c r="F183" s="9" t="str">
        <x:v>RT-B-C</x:v>
      </x:c>
      <x:c r="G183" s="9" t="str">
        <x:v>B2</x:v>
      </x:c>
      <x:c r="H183" s="9" t="str">
        <x:v>INT</x:v>
      </x:c>
      <x:c r="I183" s="9" t="str">
        <x:v>PD01</x:v>
      </x:c>
      <x:c r="J183" s="17" t="str">
        <x:v>Experiment kernel</x:v>
      </x:c>
      <x:c r="K183" s="17" t="str">
        <x:v>Public archive</x:v>
      </x:c>
      <x:c r="L183" s="17" t="str">
        <x:v>COURT-SEALED UNTIL COHORT RELEASE</x:v>
      </x:c>
      <x:c r="M183" s="9" t="n">
        <x:v>0</x:v>
      </x:c>
      <x:c r="N183" s="9" t="n">
        <x:v>0</x:v>
      </x:c>
      <x:c r="O183" s="9" t="n">
        <x:v>0</x:v>
      </x:c>
      <x:c r="P183" s="9" t="str">
        <x:v>HELD / UNRELEASED</x:v>
      </x:c>
      <x:c r="Q183" s="9" t="n">
        <x:f>COUNTIFS($A$7:$A$2310,A183)</x:f>
        <x:v>1</x:v>
      </x:c>
    </x:row>
    <x:row r="184">
      <x:c r="A184" s="9" t="str">
        <x:v>PD-AR-RT-B-C-TECH-1-B2-INT-G0-PD02</x:v>
      </x:c>
      <x:c r="B184" s="9" t="str">
        <x:v>PD-AR-RT-B-C-TECH-1-B2-INT-G0</x:v>
      </x:c>
      <x:c r="C184" s="9" t="str">
        <x:v>EV-AR-RT-B-C-TECH-1-B2-INT-G0</x:v>
      </x:c>
      <x:c r="D184" s="9" t="str">
        <x:v>AR-RT-B-C-TECH-1-B2-INT-G0</x:v>
      </x:c>
      <x:c r="E184" s="9" t="str">
        <x:v>RT-B-C-TECH-1</x:v>
      </x:c>
      <x:c r="F184" s="9" t="str">
        <x:v>RT-B-C</x:v>
      </x:c>
      <x:c r="G184" s="9" t="str">
        <x:v>B2</x:v>
      </x:c>
      <x:c r="H184" s="9" t="str">
        <x:v>INT</x:v>
      </x:c>
      <x:c r="I184" s="9" t="str">
        <x:v>PD02</x:v>
      </x:c>
      <x:c r="J184" s="17" t="str">
        <x:v>Serial annex and title chain</x:v>
      </x:c>
      <x:c r="K184" s="17" t="str">
        <x:v>Public archive</x:v>
      </x:c>
      <x:c r="L184" s="17" t="str">
        <x:v>COURT-SEALED UNTIL COHORT RELEASE</x:v>
      </x:c>
      <x:c r="M184" s="9" t="n">
        <x:v>0</x:v>
      </x:c>
      <x:c r="N184" s="9" t="n">
        <x:v>0</x:v>
      </x:c>
      <x:c r="O184" s="9" t="n">
        <x:v>0</x:v>
      </x:c>
      <x:c r="P184" s="9" t="str">
        <x:v>HELD / UNRELEASED</x:v>
      </x:c>
      <x:c r="Q184" s="9" t="n">
        <x:f>COUNTIFS($A$7:$A$2310,A184)</x:f>
        <x:v>1</x:v>
      </x:c>
    </x:row>
    <x:row r="185">
      <x:c r="A185" s="9" t="str">
        <x:v>PD-AR-RT-B-C-TECH-1-B2-INT-G0-PD03</x:v>
      </x:c>
      <x:c r="B185" s="9" t="str">
        <x:v>PD-AR-RT-B-C-TECH-1-B2-INT-G0</x:v>
      </x:c>
      <x:c r="C185" s="9" t="str">
        <x:v>EV-AR-RT-B-C-TECH-1-B2-INT-G0</x:v>
      </x:c>
      <x:c r="D185" s="9" t="str">
        <x:v>AR-RT-B-C-TECH-1-B2-INT-G0</x:v>
      </x:c>
      <x:c r="E185" s="9" t="str">
        <x:v>RT-B-C-TECH-1</x:v>
      </x:c>
      <x:c r="F185" s="9" t="str">
        <x:v>RT-B-C</x:v>
      </x:c>
      <x:c r="G185" s="9" t="str">
        <x:v>B2</x:v>
      </x:c>
      <x:c r="H185" s="9" t="str">
        <x:v>INT</x:v>
      </x:c>
      <x:c r="I185" s="9" t="str">
        <x:v>PD03</x:v>
      </x:c>
      <x:c r="J185" s="17" t="str">
        <x:v>Configuration and as-built manifest</x:v>
      </x:c>
      <x:c r="K185" s="17" t="str">
        <x:v>Artifact exchange</x:v>
      </x:c>
      <x:c r="L185" s="17" t="str">
        <x:v>COURT-SEALED UNTIL COHORT RELEASE</x:v>
      </x:c>
      <x:c r="M185" s="9" t="n">
        <x:v>0</x:v>
      </x:c>
      <x:c r="N185" s="9" t="n">
        <x:v>0</x:v>
      </x:c>
      <x:c r="O185" s="9" t="n">
        <x:v>0</x:v>
      </x:c>
      <x:c r="P185" s="9" t="str">
        <x:v>HELD / UNRELEASED</x:v>
      </x:c>
      <x:c r="Q185" s="9" t="n">
        <x:f>COUNTIFS($A$7:$A$2310,A185)</x:f>
        <x:v>1</x:v>
      </x:c>
    </x:row>
    <x:row r="186">
      <x:c r="A186" s="9" t="str">
        <x:v>PD-AR-RT-B-C-TECH-1-B2-INT-G0-PD04</x:v>
      </x:c>
      <x:c r="B186" s="9" t="str">
        <x:v>PD-AR-RT-B-C-TECH-1-B2-INT-G0</x:v>
      </x:c>
      <x:c r="C186" s="9" t="str">
        <x:v>EV-AR-RT-B-C-TECH-1-B2-INT-G0</x:v>
      </x:c>
      <x:c r="D186" s="9" t="str">
        <x:v>AR-RT-B-C-TECH-1-B2-INT-G0</x:v>
      </x:c>
      <x:c r="E186" s="9" t="str">
        <x:v>RT-B-C-TECH-1</x:v>
      </x:c>
      <x:c r="F186" s="9" t="str">
        <x:v>RT-B-C</x:v>
      </x:c>
      <x:c r="G186" s="9" t="str">
        <x:v>B2</x:v>
      </x:c>
      <x:c r="H186" s="9" t="str">
        <x:v>INT</x:v>
      </x:c>
      <x:c r="I186" s="9" t="str">
        <x:v>PD04</x:v>
      </x:c>
      <x:c r="J186" s="17" t="str">
        <x:v>EOW and start certificate</x:v>
      </x:c>
      <x:c r="K186" s="17" t="str">
        <x:v>Start registrar</x:v>
      </x:c>
      <x:c r="L186" s="17" t="str">
        <x:v>COURT-SEALED UNTIL COHORT RELEASE</x:v>
      </x:c>
      <x:c r="M186" s="9" t="n">
        <x:v>0</x:v>
      </x:c>
      <x:c r="N186" s="9" t="n">
        <x:v>0</x:v>
      </x:c>
      <x:c r="O186" s="9" t="n">
        <x:v>0</x:v>
      </x:c>
      <x:c r="P186" s="9" t="str">
        <x:v>HELD / UNRELEASED</x:v>
      </x:c>
      <x:c r="Q186" s="9" t="n">
        <x:f>COUNTIFS($A$7:$A$2310,A186)</x:f>
        <x:v>1</x:v>
      </x:c>
    </x:row>
    <x:row r="187">
      <x:c r="A187" s="9" t="str">
        <x:v>PD-AR-RT-B-C-TECH-1-B2-INT-G0-PD05</x:v>
      </x:c>
      <x:c r="B187" s="9" t="str">
        <x:v>PD-AR-RT-B-C-TECH-1-B2-INT-G0</x:v>
      </x:c>
      <x:c r="C187" s="9" t="str">
        <x:v>EV-AR-RT-B-C-TECH-1-B2-INT-G0</x:v>
      </x:c>
      <x:c r="D187" s="9" t="str">
        <x:v>AR-RT-B-C-TECH-1-B2-INT-G0</x:v>
      </x:c>
      <x:c r="E187" s="9" t="str">
        <x:v>RT-B-C-TECH-1</x:v>
      </x:c>
      <x:c r="F187" s="9" t="str">
        <x:v>RT-B-C</x:v>
      </x:c>
      <x:c r="G187" s="9" t="str">
        <x:v>B2</x:v>
      </x:c>
      <x:c r="H187" s="9" t="str">
        <x:v>INT</x:v>
      </x:c>
      <x:c r="I187" s="9" t="str">
        <x:v>PD05</x:v>
      </x:c>
      <x:c r="J187" s="17" t="str">
        <x:v>Primary raw originals</x:v>
      </x:c>
      <x:c r="K187" s="17" t="str">
        <x:v>Primary custody</x:v>
      </x:c>
      <x:c r="L187" s="17" t="str">
        <x:v>COURT-SEALED UNTIL COHORT RELEASE</x:v>
      </x:c>
      <x:c r="M187" s="9" t="n">
        <x:v>0</x:v>
      </x:c>
      <x:c r="N187" s="9" t="n">
        <x:v>0</x:v>
      </x:c>
      <x:c r="O187" s="9" t="n">
        <x:v>0</x:v>
      </x:c>
      <x:c r="P187" s="9" t="str">
        <x:v>HELD / UNRELEASED</x:v>
      </x:c>
      <x:c r="Q187" s="9" t="n">
        <x:f>COUNTIFS($A$7:$A$2310,A187)</x:f>
        <x:v>1</x:v>
      </x:c>
    </x:row>
    <x:row r="188">
      <x:c r="A188" s="9" t="str">
        <x:v>PD-AR-RT-B-C-TECH-1-B2-INT-G0-PD06</x:v>
      </x:c>
      <x:c r="B188" s="9" t="str">
        <x:v>PD-AR-RT-B-C-TECH-1-B2-INT-G0</x:v>
      </x:c>
      <x:c r="C188" s="9" t="str">
        <x:v>EV-AR-RT-B-C-TECH-1-B2-INT-G0</x:v>
      </x:c>
      <x:c r="D188" s="9" t="str">
        <x:v>AR-RT-B-C-TECH-1-B2-INT-G0</x:v>
      </x:c>
      <x:c r="E188" s="9" t="str">
        <x:v>RT-B-C-TECH-1</x:v>
      </x:c>
      <x:c r="F188" s="9" t="str">
        <x:v>RT-B-C</x:v>
      </x:c>
      <x:c r="G188" s="9" t="str">
        <x:v>B2</x:v>
      </x:c>
      <x:c r="H188" s="9" t="str">
        <x:v>INT</x:v>
      </x:c>
      <x:c r="I188" s="9" t="str">
        <x:v>PD06</x:v>
      </x:c>
      <x:c r="J188" s="17" t="str">
        <x:v>Witness raw originals</x:v>
      </x:c>
      <x:c r="K188" s="17" t="str">
        <x:v>Witness custody</x:v>
      </x:c>
      <x:c r="L188" s="17" t="str">
        <x:v>COURT-SEALED UNTIL COHORT RELEASE</x:v>
      </x:c>
      <x:c r="M188" s="9" t="n">
        <x:v>0</x:v>
      </x:c>
      <x:c r="N188" s="9" t="n">
        <x:v>0</x:v>
      </x:c>
      <x:c r="O188" s="9" t="n">
        <x:v>0</x:v>
      </x:c>
      <x:c r="P188" s="9" t="str">
        <x:v>HELD / UNRELEASED</x:v>
      </x:c>
      <x:c r="Q188" s="9" t="n">
        <x:f>COUNTIFS($A$7:$A$2310,A188)</x:f>
        <x:v>1</x:v>
      </x:c>
    </x:row>
    <x:row r="189">
      <x:c r="A189" s="9" t="str">
        <x:v>PD-AR-RT-B-C-TECH-1-B2-INT-G0-PD07</x:v>
      </x:c>
      <x:c r="B189" s="9" t="str">
        <x:v>PD-AR-RT-B-C-TECH-1-B2-INT-G0</x:v>
      </x:c>
      <x:c r="C189" s="9" t="str">
        <x:v>EV-AR-RT-B-C-TECH-1-B2-INT-G0</x:v>
      </x:c>
      <x:c r="D189" s="9" t="str">
        <x:v>AR-RT-B-C-TECH-1-B2-INT-G0</x:v>
      </x:c>
      <x:c r="E189" s="9" t="str">
        <x:v>RT-B-C-TECH-1</x:v>
      </x:c>
      <x:c r="F189" s="9" t="str">
        <x:v>RT-B-C</x:v>
      </x:c>
      <x:c r="G189" s="9" t="str">
        <x:v>B2</x:v>
      </x:c>
      <x:c r="H189" s="9" t="str">
        <x:v>INT</x:v>
      </x:c>
      <x:c r="I189" s="9" t="str">
        <x:v>PD07</x:v>
      </x:c>
      <x:c r="J189" s="17" t="str">
        <x:v>Clock and environmental records</x:v>
      </x:c>
      <x:c r="K189" s="17" t="str">
        <x:v>Boundary archive</x:v>
      </x:c>
      <x:c r="L189" s="17" t="str">
        <x:v>COURT-SEALED UNTIL COHORT RELEASE</x:v>
      </x:c>
      <x:c r="M189" s="9" t="n">
        <x:v>0</x:v>
      </x:c>
      <x:c r="N189" s="9" t="n">
        <x:v>0</x:v>
      </x:c>
      <x:c r="O189" s="9" t="n">
        <x:v>0</x:v>
      </x:c>
      <x:c r="P189" s="9" t="str">
        <x:v>HELD / UNRELEASED</x:v>
      </x:c>
      <x:c r="Q189" s="9" t="n">
        <x:f>COUNTIFS($A$7:$A$2310,A189)</x:f>
        <x:v>1</x:v>
      </x:c>
    </x:row>
    <x:row r="190">
      <x:c r="A190" s="9" t="str">
        <x:v>PD-AR-RT-B-C-TECH-1-B2-INT-G0-PD08</x:v>
      </x:c>
      <x:c r="B190" s="9" t="str">
        <x:v>PD-AR-RT-B-C-TECH-1-B2-INT-G0</x:v>
      </x:c>
      <x:c r="C190" s="9" t="str">
        <x:v>EV-AR-RT-B-C-TECH-1-B2-INT-G0</x:v>
      </x:c>
      <x:c r="D190" s="9" t="str">
        <x:v>AR-RT-B-C-TECH-1-B2-INT-G0</x:v>
      </x:c>
      <x:c r="E190" s="9" t="str">
        <x:v>RT-B-C-TECH-1</x:v>
      </x:c>
      <x:c r="F190" s="9" t="str">
        <x:v>RT-B-C</x:v>
      </x:c>
      <x:c r="G190" s="9" t="str">
        <x:v>B2</x:v>
      </x:c>
      <x:c r="H190" s="9" t="str">
        <x:v>INT</x:v>
      </x:c>
      <x:c r="I190" s="9" t="str">
        <x:v>PD08</x:v>
      </x:c>
      <x:c r="J190" s="17" t="str">
        <x:v>Command and intervention log</x:v>
      </x:c>
      <x:c r="K190" s="17" t="str">
        <x:v>Safety archive</x:v>
      </x:c>
      <x:c r="L190" s="17" t="str">
        <x:v>COURT-SEALED UNTIL COHORT RELEASE</x:v>
      </x:c>
      <x:c r="M190" s="9" t="n">
        <x:v>0</x:v>
      </x:c>
      <x:c r="N190" s="9" t="n">
        <x:v>0</x:v>
      </x:c>
      <x:c r="O190" s="9" t="n">
        <x:v>0</x:v>
      </x:c>
      <x:c r="P190" s="9" t="str">
        <x:v>HELD / UNRELEASED</x:v>
      </x:c>
      <x:c r="Q190" s="9" t="n">
        <x:f>COUNTIFS($A$7:$A$2310,A190)</x:f>
        <x:v>1</x:v>
      </x:c>
    </x:row>
    <x:row r="191">
      <x:c r="A191" s="9" t="str">
        <x:v>PD-AR-RT-B-C-TECH-1-B2-INT-G0-PD09</x:v>
      </x:c>
      <x:c r="B191" s="9" t="str">
        <x:v>PD-AR-RT-B-C-TECH-1-B2-INT-G0</x:v>
      </x:c>
      <x:c r="C191" s="9" t="str">
        <x:v>EV-AR-RT-B-C-TECH-1-B2-INT-G0</x:v>
      </x:c>
      <x:c r="D191" s="9" t="str">
        <x:v>AR-RT-B-C-TECH-1-B2-INT-G0</x:v>
      </x:c>
      <x:c r="E191" s="9" t="str">
        <x:v>RT-B-C-TECH-1</x:v>
      </x:c>
      <x:c r="F191" s="9" t="str">
        <x:v>RT-B-C</x:v>
      </x:c>
      <x:c r="G191" s="9" t="str">
        <x:v>B2</x:v>
      </x:c>
      <x:c r="H191" s="9" t="str">
        <x:v>INT</x:v>
      </x:c>
      <x:c r="I191" s="9" t="str">
        <x:v>PD09</x:v>
      </x:c>
      <x:c r="J191" s="17" t="str">
        <x:v>Receiver denominator and service ledger</x:v>
      </x:c>
      <x:c r="K191" s="17" t="str">
        <x:v>Receiver archive</x:v>
      </x:c>
      <x:c r="L191" s="17" t="str">
        <x:v>COURT-SEALED UNTIL COHORT RELEASE</x:v>
      </x:c>
      <x:c r="M191" s="9" t="n">
        <x:v>0</x:v>
      </x:c>
      <x:c r="N191" s="9" t="n">
        <x:v>0</x:v>
      </x:c>
      <x:c r="O191" s="9" t="n">
        <x:v>0</x:v>
      </x:c>
      <x:c r="P191" s="9" t="str">
        <x:v>HELD / UNRELEASED</x:v>
      </x:c>
      <x:c r="Q191" s="9" t="n">
        <x:f>COUNTIFS($A$7:$A$2310,A191)</x:f>
        <x:v>1</x:v>
      </x:c>
    </x:row>
    <x:row r="192">
      <x:c r="A192" s="9" t="str">
        <x:v>PD-AR-RT-B-C-TECH-1-B2-INT-G0-PD10</x:v>
      </x:c>
      <x:c r="B192" s="9" t="str">
        <x:v>PD-AR-RT-B-C-TECH-1-B2-INT-G0</x:v>
      </x:c>
      <x:c r="C192" s="9" t="str">
        <x:v>EV-AR-RT-B-C-TECH-1-B2-INT-G0</x:v>
      </x:c>
      <x:c r="D192" s="9" t="str">
        <x:v>AR-RT-B-C-TECH-1-B2-INT-G0</x:v>
      </x:c>
      <x:c r="E192" s="9" t="str">
        <x:v>RT-B-C-TECH-1</x:v>
      </x:c>
      <x:c r="F192" s="9" t="str">
        <x:v>RT-B-C</x:v>
      </x:c>
      <x:c r="G192" s="9" t="str">
        <x:v>B2</x:v>
      </x:c>
      <x:c r="H192" s="9" t="str">
        <x:v>INT</x:v>
      </x:c>
      <x:c r="I192" s="9" t="str">
        <x:v>PD10</x:v>
      </x:c>
      <x:c r="J192" s="17" t="str">
        <x:v>Calibration and uncertainty record</x:v>
      </x:c>
      <x:c r="K192" s="17" t="str">
        <x:v>Metrology archive</x:v>
      </x:c>
      <x:c r="L192" s="17" t="str">
        <x:v>COURT-SEALED UNTIL COHORT RELEASE</x:v>
      </x:c>
      <x:c r="M192" s="9" t="n">
        <x:v>0</x:v>
      </x:c>
      <x:c r="N192" s="9" t="n">
        <x:v>0</x:v>
      </x:c>
      <x:c r="O192" s="9" t="n">
        <x:v>0</x:v>
      </x:c>
      <x:c r="P192" s="9" t="str">
        <x:v>HELD / UNRELEASED</x:v>
      </x:c>
      <x:c r="Q192" s="9" t="n">
        <x:f>COUNTIFS($A$7:$A$2310,A192)</x:f>
        <x:v>1</x:v>
      </x:c>
    </x:row>
    <x:row r="193">
      <x:c r="A193" s="9" t="str">
        <x:v>PD-AR-RT-B-C-TECH-1-B2-INT-G0-PD11</x:v>
      </x:c>
      <x:c r="B193" s="9" t="str">
        <x:v>PD-AR-RT-B-C-TECH-1-B2-INT-G0</x:v>
      </x:c>
      <x:c r="C193" s="9" t="str">
        <x:v>EV-AR-RT-B-C-TECH-1-B2-INT-G0</x:v>
      </x:c>
      <x:c r="D193" s="9" t="str">
        <x:v>AR-RT-B-C-TECH-1-B2-INT-G0</x:v>
      </x:c>
      <x:c r="E193" s="9" t="str">
        <x:v>RT-B-C-TECH-1</x:v>
      </x:c>
      <x:c r="F193" s="9" t="str">
        <x:v>RT-B-C</x:v>
      </x:c>
      <x:c r="G193" s="9" t="str">
        <x:v>B2</x:v>
      </x:c>
      <x:c r="H193" s="9" t="str">
        <x:v>INT</x:v>
      </x:c>
      <x:c r="I193" s="9" t="str">
        <x:v>PD11</x:v>
      </x:c>
      <x:c r="J193" s="17" t="str">
        <x:v>Invalidity petition and opinion</x:v>
      </x:c>
      <x:c r="K193" s="17" t="str">
        <x:v>Invalidity court</x:v>
      </x:c>
      <x:c r="L193" s="17" t="str">
        <x:v>COURT-SEALED UNTIL COHORT RELEASE</x:v>
      </x:c>
      <x:c r="M193" s="9" t="n">
        <x:v>0</x:v>
      </x:c>
      <x:c r="N193" s="9" t="n">
        <x:v>0</x:v>
      </x:c>
      <x:c r="O193" s="9" t="n">
        <x:v>0</x:v>
      </x:c>
      <x:c r="P193" s="9" t="str">
        <x:v>HELD / UNRELEASED</x:v>
      </x:c>
      <x:c r="Q193" s="9" t="n">
        <x:f>COUNTIFS($A$7:$A$2310,A193)</x:f>
        <x:v>1</x:v>
      </x:c>
    </x:row>
    <x:row r="194">
      <x:c r="A194" s="9" t="str">
        <x:v>PD-AR-RT-B-C-TECH-1-B2-INT-G0-PD12</x:v>
      </x:c>
      <x:c r="B194" s="9" t="str">
        <x:v>PD-AR-RT-B-C-TECH-1-B2-INT-G0</x:v>
      </x:c>
      <x:c r="C194" s="9" t="str">
        <x:v>EV-AR-RT-B-C-TECH-1-B2-INT-G0</x:v>
      </x:c>
      <x:c r="D194" s="9" t="str">
        <x:v>AR-RT-B-C-TECH-1-B2-INT-G0</x:v>
      </x:c>
      <x:c r="E194" s="9" t="str">
        <x:v>RT-B-C-TECH-1</x:v>
      </x:c>
      <x:c r="F194" s="9" t="str">
        <x:v>RT-B-C</x:v>
      </x:c>
      <x:c r="G194" s="9" t="str">
        <x:v>B2</x:v>
      </x:c>
      <x:c r="H194" s="9" t="str">
        <x:v>INT</x:v>
      </x:c>
      <x:c r="I194" s="9" t="str">
        <x:v>PD12</x:v>
      </x:c>
      <x:c r="J194" s="17" t="str">
        <x:v>Observation acceptance and replay</x:v>
      </x:c>
      <x:c r="K194" s="17" t="str">
        <x:v>Observation court</x:v>
      </x:c>
      <x:c r="L194" s="17" t="str">
        <x:v>COURT-SEALED UNTIL COHORT RELEASE</x:v>
      </x:c>
      <x:c r="M194" s="9" t="n">
        <x:v>0</x:v>
      </x:c>
      <x:c r="N194" s="9" t="n">
        <x:v>0</x:v>
      </x:c>
      <x:c r="O194" s="9" t="n">
        <x:v>0</x:v>
      </x:c>
      <x:c r="P194" s="9" t="str">
        <x:v>HELD / UNRELEASED</x:v>
      </x:c>
      <x:c r="Q194" s="9" t="n">
        <x:f>COUNTIFS($A$7:$A$2310,A194)</x:f>
        <x:v>1</x:v>
      </x:c>
    </x:row>
    <x:row r="195">
      <x:c r="A195" s="9" t="str">
        <x:v>PD-AR-RT-B-C-TECH-1-B2-INT-G0-PD13</x:v>
      </x:c>
      <x:c r="B195" s="9" t="str">
        <x:v>PD-AR-RT-B-C-TECH-1-B2-INT-G0</x:v>
      </x:c>
      <x:c r="C195" s="9" t="str">
        <x:v>EV-AR-RT-B-C-TECH-1-B2-INT-G0</x:v>
      </x:c>
      <x:c r="D195" s="9" t="str">
        <x:v>AR-RT-B-C-TECH-1-B2-INT-G0</x:v>
      </x:c>
      <x:c r="E195" s="9" t="str">
        <x:v>RT-B-C-TECH-1</x:v>
      </x:c>
      <x:c r="F195" s="9" t="str">
        <x:v>RT-B-C</x:v>
      </x:c>
      <x:c r="G195" s="9" t="str">
        <x:v>B2</x:v>
      </x:c>
      <x:c r="H195" s="9" t="str">
        <x:v>INT</x:v>
      </x:c>
      <x:c r="I195" s="9" t="str">
        <x:v>PD13</x:v>
      </x:c>
      <x:c r="J195" s="17" t="str">
        <x:v>Role judgment</x:v>
      </x:c>
      <x:c r="K195" s="17" t="str">
        <x:v>Role court</x:v>
      </x:c>
      <x:c r="L195" s="17" t="str">
        <x:v>COURT-SEALED UNTIL COHORT RELEASE</x:v>
      </x:c>
      <x:c r="M195" s="9" t="n">
        <x:v>0</x:v>
      </x:c>
      <x:c r="N195" s="9" t="n">
        <x:v>0</x:v>
      </x:c>
      <x:c r="O195" s="9" t="n">
        <x:v>0</x:v>
      </x:c>
      <x:c r="P195" s="9" t="str">
        <x:v>HELD / UNRELEASED</x:v>
      </x:c>
      <x:c r="Q195" s="9" t="n">
        <x:f>COUNTIFS($A$7:$A$2310,A195)</x:f>
        <x:v>1</x:v>
      </x:c>
    </x:row>
    <x:row r="196">
      <x:c r="A196" s="9" t="str">
        <x:v>PD-AR-RT-B-C-TECH-1-B2-INT-G0-PD14</x:v>
      </x:c>
      <x:c r="B196" s="9" t="str">
        <x:v>PD-AR-RT-B-C-TECH-1-B2-INT-G0</x:v>
      </x:c>
      <x:c r="C196" s="9" t="str">
        <x:v>EV-AR-RT-B-C-TECH-1-B2-INT-G0</x:v>
      </x:c>
      <x:c r="D196" s="9" t="str">
        <x:v>AR-RT-B-C-TECH-1-B2-INT-G0</x:v>
      </x:c>
      <x:c r="E196" s="9" t="str">
        <x:v>RT-B-C-TECH-1</x:v>
      </x:c>
      <x:c r="F196" s="9" t="str">
        <x:v>RT-B-C</x:v>
      </x:c>
      <x:c r="G196" s="9" t="str">
        <x:v>B2</x:v>
      </x:c>
      <x:c r="H196" s="9" t="str">
        <x:v>INT</x:v>
      </x:c>
      <x:c r="I196" s="9" t="str">
        <x:v>PD14</x:v>
      </x:c>
      <x:c r="J196" s="17" t="str">
        <x:v>Break and residual account</x:v>
      </x:c>
      <x:c r="K196" s="17" t="str">
        <x:v>Residual authority</x:v>
      </x:c>
      <x:c r="L196" s="17" t="str">
        <x:v>COURT-SEALED UNTIL COHORT RELEASE</x:v>
      </x:c>
      <x:c r="M196" s="9" t="n">
        <x:v>0</x:v>
      </x:c>
      <x:c r="N196" s="9" t="n">
        <x:v>0</x:v>
      </x:c>
      <x:c r="O196" s="9" t="n">
        <x:v>0</x:v>
      </x:c>
      <x:c r="P196" s="9" t="str">
        <x:v>HELD / UNRELEASED</x:v>
      </x:c>
      <x:c r="Q196" s="9" t="n">
        <x:f>COUNTIFS($A$7:$A$2310,A196)</x:f>
        <x:v>1</x:v>
      </x:c>
    </x:row>
    <x:row r="197">
      <x:c r="A197" s="9" t="str">
        <x:v>PD-AR-RT-B-C-TECH-1-B2-INT-G0-PD15</x:v>
      </x:c>
      <x:c r="B197" s="9" t="str">
        <x:v>PD-AR-RT-B-C-TECH-1-B2-INT-G0</x:v>
      </x:c>
      <x:c r="C197" s="9" t="str">
        <x:v>EV-AR-RT-B-C-TECH-1-B2-INT-G0</x:v>
      </x:c>
      <x:c r="D197" s="9" t="str">
        <x:v>AR-RT-B-C-TECH-1-B2-INT-G0</x:v>
      </x:c>
      <x:c r="E197" s="9" t="str">
        <x:v>RT-B-C-TECH-1</x:v>
      </x:c>
      <x:c r="F197" s="9" t="str">
        <x:v>RT-B-C</x:v>
      </x:c>
      <x:c r="G197" s="9" t="str">
        <x:v>B2</x:v>
      </x:c>
      <x:c r="H197" s="9" t="str">
        <x:v>INT</x:v>
      </x:c>
      <x:c r="I197" s="9" t="str">
        <x:v>PD15</x:v>
      </x:c>
      <x:c r="J197" s="17" t="str">
        <x:v>Reconstruction ancestry and replay</x:v>
      </x:c>
      <x:c r="K197" s="17" t="str">
        <x:v>Reconstruction court</x:v>
      </x:c>
      <x:c r="L197" s="17" t="str">
        <x:v>COURT-SEALED UNTIL COHORT RELEASE</x:v>
      </x:c>
      <x:c r="M197" s="9" t="n">
        <x:v>0</x:v>
      </x:c>
      <x:c r="N197" s="9" t="n">
        <x:v>0</x:v>
      </x:c>
      <x:c r="O197" s="9" t="n">
        <x:v>0</x:v>
      </x:c>
      <x:c r="P197" s="9" t="str">
        <x:v>HELD / UNRELEASED</x:v>
      </x:c>
      <x:c r="Q197" s="9" t="n">
        <x:f>COUNTIFS($A$7:$A$2310,A197)</x:f>
        <x:v>1</x:v>
      </x:c>
    </x:row>
    <x:row r="198">
      <x:c r="A198" s="9" t="str">
        <x:v>PD-AR-RT-B-C-TECH-1-B2-INT-G0-PD16</x:v>
      </x:c>
      <x:c r="B198" s="9" t="str">
        <x:v>PD-AR-RT-B-C-TECH-1-B2-INT-G0</x:v>
      </x:c>
      <x:c r="C198" s="9" t="str">
        <x:v>EV-AR-RT-B-C-TECH-1-B2-INT-G0</x:v>
      </x:c>
      <x:c r="D198" s="9" t="str">
        <x:v>AR-RT-B-C-TECH-1-B2-INT-G0</x:v>
      </x:c>
      <x:c r="E198" s="9" t="str">
        <x:v>RT-B-C-TECH-1</x:v>
      </x:c>
      <x:c r="F198" s="9" t="str">
        <x:v>RT-B-C</x:v>
      </x:c>
      <x:c r="G198" s="9" t="str">
        <x:v>B2</x:v>
      </x:c>
      <x:c r="H198" s="9" t="str">
        <x:v>INT</x:v>
      </x:c>
      <x:c r="I198" s="9" t="str">
        <x:v>PD16</x:v>
      </x:c>
      <x:c r="J198" s="17" t="str">
        <x:v>Dissent, amendments and access log</x:v>
      </x:c>
      <x:c r="K198" s="17" t="str">
        <x:v>Public archive</x:v>
      </x:c>
      <x:c r="L198" s="17" t="str">
        <x:v>COURT-SEALED UNTIL COHORT RELEASE</x:v>
      </x:c>
      <x:c r="M198" s="9" t="n">
        <x:v>0</x:v>
      </x:c>
      <x:c r="N198" s="9" t="n">
        <x:v>0</x:v>
      </x:c>
      <x:c r="O198" s="9" t="n">
        <x:v>0</x:v>
      </x:c>
      <x:c r="P198" s="9" t="str">
        <x:v>HELD / UNRELEASED</x:v>
      </x:c>
      <x:c r="Q198" s="9" t="n">
        <x:f>COUNTIFS($A$7:$A$2310,A198)</x:f>
        <x:v>1</x:v>
      </x:c>
    </x:row>
    <x:row r="199">
      <x:c r="A199" s="9" t="str">
        <x:v>PD-AR-ET-A-A-TECH-4-B2-BRK-G0-PD01</x:v>
      </x:c>
      <x:c r="B199" s="9" t="str">
        <x:v>PD-AR-ET-A-A-TECH-4-B2-BRK-G0</x:v>
      </x:c>
      <x:c r="C199" s="9" t="str">
        <x:v>EV-AR-ET-A-A-TECH-4-B2-BRK-G0</x:v>
      </x:c>
      <x:c r="D199" s="9" t="str">
        <x:v>AR-ET-A-A-TECH-4-B2-BRK-G0</x:v>
      </x:c>
      <x:c r="E199" s="9" t="str">
        <x:v>ET-A-A-TECH-4</x:v>
      </x:c>
      <x:c r="F199" s="9" t="str">
        <x:v>ET-A-A</x:v>
      </x:c>
      <x:c r="G199" s="9" t="str">
        <x:v>B2</x:v>
      </x:c>
      <x:c r="H199" s="9" t="str">
        <x:v>BRK</x:v>
      </x:c>
      <x:c r="I199" s="9" t="str">
        <x:v>PD01</x:v>
      </x:c>
      <x:c r="J199" s="17" t="str">
        <x:v>Experiment kernel</x:v>
      </x:c>
      <x:c r="K199" s="17" t="str">
        <x:v>Public archive</x:v>
      </x:c>
      <x:c r="L199" s="17" t="str">
        <x:v>COURT-SEALED UNTIL COHORT RELEASE</x:v>
      </x:c>
      <x:c r="M199" s="9" t="n">
        <x:v>0</x:v>
      </x:c>
      <x:c r="N199" s="9" t="n">
        <x:v>0</x:v>
      </x:c>
      <x:c r="O199" s="9" t="n">
        <x:v>0</x:v>
      </x:c>
      <x:c r="P199" s="9" t="str">
        <x:v>HELD / UNRELEASED</x:v>
      </x:c>
      <x:c r="Q199" s="9" t="n">
        <x:f>COUNTIFS($A$7:$A$2310,A199)</x:f>
        <x:v>1</x:v>
      </x:c>
    </x:row>
    <x:row r="200">
      <x:c r="A200" s="9" t="str">
        <x:v>PD-AR-ET-A-A-TECH-4-B2-BRK-G0-PD02</x:v>
      </x:c>
      <x:c r="B200" s="9" t="str">
        <x:v>PD-AR-ET-A-A-TECH-4-B2-BRK-G0</x:v>
      </x:c>
      <x:c r="C200" s="9" t="str">
        <x:v>EV-AR-ET-A-A-TECH-4-B2-BRK-G0</x:v>
      </x:c>
      <x:c r="D200" s="9" t="str">
        <x:v>AR-ET-A-A-TECH-4-B2-BRK-G0</x:v>
      </x:c>
      <x:c r="E200" s="9" t="str">
        <x:v>ET-A-A-TECH-4</x:v>
      </x:c>
      <x:c r="F200" s="9" t="str">
        <x:v>ET-A-A</x:v>
      </x:c>
      <x:c r="G200" s="9" t="str">
        <x:v>B2</x:v>
      </x:c>
      <x:c r="H200" s="9" t="str">
        <x:v>BRK</x:v>
      </x:c>
      <x:c r="I200" s="9" t="str">
        <x:v>PD02</x:v>
      </x:c>
      <x:c r="J200" s="17" t="str">
        <x:v>Serial annex and title chain</x:v>
      </x:c>
      <x:c r="K200" s="17" t="str">
        <x:v>Public archive</x:v>
      </x:c>
      <x:c r="L200" s="17" t="str">
        <x:v>COURT-SEALED UNTIL COHORT RELEASE</x:v>
      </x:c>
      <x:c r="M200" s="9" t="n">
        <x:v>0</x:v>
      </x:c>
      <x:c r="N200" s="9" t="n">
        <x:v>0</x:v>
      </x:c>
      <x:c r="O200" s="9" t="n">
        <x:v>0</x:v>
      </x:c>
      <x:c r="P200" s="9" t="str">
        <x:v>HELD / UNRELEASED</x:v>
      </x:c>
      <x:c r="Q200" s="9" t="n">
        <x:f>COUNTIFS($A$7:$A$2310,A200)</x:f>
        <x:v>1</x:v>
      </x:c>
    </x:row>
    <x:row r="201">
      <x:c r="A201" s="9" t="str">
        <x:v>PD-AR-ET-A-A-TECH-4-B2-BRK-G0-PD03</x:v>
      </x:c>
      <x:c r="B201" s="9" t="str">
        <x:v>PD-AR-ET-A-A-TECH-4-B2-BRK-G0</x:v>
      </x:c>
      <x:c r="C201" s="9" t="str">
        <x:v>EV-AR-ET-A-A-TECH-4-B2-BRK-G0</x:v>
      </x:c>
      <x:c r="D201" s="9" t="str">
        <x:v>AR-ET-A-A-TECH-4-B2-BRK-G0</x:v>
      </x:c>
      <x:c r="E201" s="9" t="str">
        <x:v>ET-A-A-TECH-4</x:v>
      </x:c>
      <x:c r="F201" s="9" t="str">
        <x:v>ET-A-A</x:v>
      </x:c>
      <x:c r="G201" s="9" t="str">
        <x:v>B2</x:v>
      </x:c>
      <x:c r="H201" s="9" t="str">
        <x:v>BRK</x:v>
      </x:c>
      <x:c r="I201" s="9" t="str">
        <x:v>PD03</x:v>
      </x:c>
      <x:c r="J201" s="17" t="str">
        <x:v>Configuration and as-built manifest</x:v>
      </x:c>
      <x:c r="K201" s="17" t="str">
        <x:v>Artifact exchange</x:v>
      </x:c>
      <x:c r="L201" s="17" t="str">
        <x:v>COURT-SEALED UNTIL COHORT RELEASE</x:v>
      </x:c>
      <x:c r="M201" s="9" t="n">
        <x:v>0</x:v>
      </x:c>
      <x:c r="N201" s="9" t="n">
        <x:v>0</x:v>
      </x:c>
      <x:c r="O201" s="9" t="n">
        <x:v>0</x:v>
      </x:c>
      <x:c r="P201" s="9" t="str">
        <x:v>HELD / UNRELEASED</x:v>
      </x:c>
      <x:c r="Q201" s="9" t="n">
        <x:f>COUNTIFS($A$7:$A$2310,A201)</x:f>
        <x:v>1</x:v>
      </x:c>
    </x:row>
    <x:row r="202">
      <x:c r="A202" s="9" t="str">
        <x:v>PD-AR-ET-A-A-TECH-4-B2-BRK-G0-PD04</x:v>
      </x:c>
      <x:c r="B202" s="9" t="str">
        <x:v>PD-AR-ET-A-A-TECH-4-B2-BRK-G0</x:v>
      </x:c>
      <x:c r="C202" s="9" t="str">
        <x:v>EV-AR-ET-A-A-TECH-4-B2-BRK-G0</x:v>
      </x:c>
      <x:c r="D202" s="9" t="str">
        <x:v>AR-ET-A-A-TECH-4-B2-BRK-G0</x:v>
      </x:c>
      <x:c r="E202" s="9" t="str">
        <x:v>ET-A-A-TECH-4</x:v>
      </x:c>
      <x:c r="F202" s="9" t="str">
        <x:v>ET-A-A</x:v>
      </x:c>
      <x:c r="G202" s="9" t="str">
        <x:v>B2</x:v>
      </x:c>
      <x:c r="H202" s="9" t="str">
        <x:v>BRK</x:v>
      </x:c>
      <x:c r="I202" s="9" t="str">
        <x:v>PD04</x:v>
      </x:c>
      <x:c r="J202" s="17" t="str">
        <x:v>EOW and start certificate</x:v>
      </x:c>
      <x:c r="K202" s="17" t="str">
        <x:v>Start registrar</x:v>
      </x:c>
      <x:c r="L202" s="17" t="str">
        <x:v>COURT-SEALED UNTIL COHORT RELEASE</x:v>
      </x:c>
      <x:c r="M202" s="9" t="n">
        <x:v>0</x:v>
      </x:c>
      <x:c r="N202" s="9" t="n">
        <x:v>0</x:v>
      </x:c>
      <x:c r="O202" s="9" t="n">
        <x:v>0</x:v>
      </x:c>
      <x:c r="P202" s="9" t="str">
        <x:v>HELD / UNRELEASED</x:v>
      </x:c>
      <x:c r="Q202" s="9" t="n">
        <x:f>COUNTIFS($A$7:$A$2310,A202)</x:f>
        <x:v>1</x:v>
      </x:c>
    </x:row>
    <x:row r="203">
      <x:c r="A203" s="9" t="str">
        <x:v>PD-AR-ET-A-A-TECH-4-B2-BRK-G0-PD05</x:v>
      </x:c>
      <x:c r="B203" s="9" t="str">
        <x:v>PD-AR-ET-A-A-TECH-4-B2-BRK-G0</x:v>
      </x:c>
      <x:c r="C203" s="9" t="str">
        <x:v>EV-AR-ET-A-A-TECH-4-B2-BRK-G0</x:v>
      </x:c>
      <x:c r="D203" s="9" t="str">
        <x:v>AR-ET-A-A-TECH-4-B2-BRK-G0</x:v>
      </x:c>
      <x:c r="E203" s="9" t="str">
        <x:v>ET-A-A-TECH-4</x:v>
      </x:c>
      <x:c r="F203" s="9" t="str">
        <x:v>ET-A-A</x:v>
      </x:c>
      <x:c r="G203" s="9" t="str">
        <x:v>B2</x:v>
      </x:c>
      <x:c r="H203" s="9" t="str">
        <x:v>BRK</x:v>
      </x:c>
      <x:c r="I203" s="9" t="str">
        <x:v>PD05</x:v>
      </x:c>
      <x:c r="J203" s="17" t="str">
        <x:v>Primary raw originals</x:v>
      </x:c>
      <x:c r="K203" s="17" t="str">
        <x:v>Primary custody</x:v>
      </x:c>
      <x:c r="L203" s="17" t="str">
        <x:v>COURT-SEALED UNTIL COHORT RELEASE</x:v>
      </x:c>
      <x:c r="M203" s="9" t="n">
        <x:v>0</x:v>
      </x:c>
      <x:c r="N203" s="9" t="n">
        <x:v>0</x:v>
      </x:c>
      <x:c r="O203" s="9" t="n">
        <x:v>0</x:v>
      </x:c>
      <x:c r="P203" s="9" t="str">
        <x:v>HELD / UNRELEASED</x:v>
      </x:c>
      <x:c r="Q203" s="9" t="n">
        <x:f>COUNTIFS($A$7:$A$2310,A203)</x:f>
        <x:v>1</x:v>
      </x:c>
    </x:row>
    <x:row r="204">
      <x:c r="A204" s="9" t="str">
        <x:v>PD-AR-ET-A-A-TECH-4-B2-BRK-G0-PD06</x:v>
      </x:c>
      <x:c r="B204" s="9" t="str">
        <x:v>PD-AR-ET-A-A-TECH-4-B2-BRK-G0</x:v>
      </x:c>
      <x:c r="C204" s="9" t="str">
        <x:v>EV-AR-ET-A-A-TECH-4-B2-BRK-G0</x:v>
      </x:c>
      <x:c r="D204" s="9" t="str">
        <x:v>AR-ET-A-A-TECH-4-B2-BRK-G0</x:v>
      </x:c>
      <x:c r="E204" s="9" t="str">
        <x:v>ET-A-A-TECH-4</x:v>
      </x:c>
      <x:c r="F204" s="9" t="str">
        <x:v>ET-A-A</x:v>
      </x:c>
      <x:c r="G204" s="9" t="str">
        <x:v>B2</x:v>
      </x:c>
      <x:c r="H204" s="9" t="str">
        <x:v>BRK</x:v>
      </x:c>
      <x:c r="I204" s="9" t="str">
        <x:v>PD06</x:v>
      </x:c>
      <x:c r="J204" s="17" t="str">
        <x:v>Witness raw originals</x:v>
      </x:c>
      <x:c r="K204" s="17" t="str">
        <x:v>Witness custody</x:v>
      </x:c>
      <x:c r="L204" s="17" t="str">
        <x:v>COURT-SEALED UNTIL COHORT RELEASE</x:v>
      </x:c>
      <x:c r="M204" s="9" t="n">
        <x:v>0</x:v>
      </x:c>
      <x:c r="N204" s="9" t="n">
        <x:v>0</x:v>
      </x:c>
      <x:c r="O204" s="9" t="n">
        <x:v>0</x:v>
      </x:c>
      <x:c r="P204" s="9" t="str">
        <x:v>HELD / UNRELEASED</x:v>
      </x:c>
      <x:c r="Q204" s="9" t="n">
        <x:f>COUNTIFS($A$7:$A$2310,A204)</x:f>
        <x:v>1</x:v>
      </x:c>
    </x:row>
    <x:row r="205">
      <x:c r="A205" s="9" t="str">
        <x:v>PD-AR-ET-A-A-TECH-4-B2-BRK-G0-PD07</x:v>
      </x:c>
      <x:c r="B205" s="9" t="str">
        <x:v>PD-AR-ET-A-A-TECH-4-B2-BRK-G0</x:v>
      </x:c>
      <x:c r="C205" s="9" t="str">
        <x:v>EV-AR-ET-A-A-TECH-4-B2-BRK-G0</x:v>
      </x:c>
      <x:c r="D205" s="9" t="str">
        <x:v>AR-ET-A-A-TECH-4-B2-BRK-G0</x:v>
      </x:c>
      <x:c r="E205" s="9" t="str">
        <x:v>ET-A-A-TECH-4</x:v>
      </x:c>
      <x:c r="F205" s="9" t="str">
        <x:v>ET-A-A</x:v>
      </x:c>
      <x:c r="G205" s="9" t="str">
        <x:v>B2</x:v>
      </x:c>
      <x:c r="H205" s="9" t="str">
        <x:v>BRK</x:v>
      </x:c>
      <x:c r="I205" s="9" t="str">
        <x:v>PD07</x:v>
      </x:c>
      <x:c r="J205" s="17" t="str">
        <x:v>Clock and environmental records</x:v>
      </x:c>
      <x:c r="K205" s="17" t="str">
        <x:v>Boundary archive</x:v>
      </x:c>
      <x:c r="L205" s="17" t="str">
        <x:v>COURT-SEALED UNTIL COHORT RELEASE</x:v>
      </x:c>
      <x:c r="M205" s="9" t="n">
        <x:v>0</x:v>
      </x:c>
      <x:c r="N205" s="9" t="n">
        <x:v>0</x:v>
      </x:c>
      <x:c r="O205" s="9" t="n">
        <x:v>0</x:v>
      </x:c>
      <x:c r="P205" s="9" t="str">
        <x:v>HELD / UNRELEASED</x:v>
      </x:c>
      <x:c r="Q205" s="9" t="n">
        <x:f>COUNTIFS($A$7:$A$2310,A205)</x:f>
        <x:v>1</x:v>
      </x:c>
    </x:row>
    <x:row r="206">
      <x:c r="A206" s="9" t="str">
        <x:v>PD-AR-ET-A-A-TECH-4-B2-BRK-G0-PD08</x:v>
      </x:c>
      <x:c r="B206" s="9" t="str">
        <x:v>PD-AR-ET-A-A-TECH-4-B2-BRK-G0</x:v>
      </x:c>
      <x:c r="C206" s="9" t="str">
        <x:v>EV-AR-ET-A-A-TECH-4-B2-BRK-G0</x:v>
      </x:c>
      <x:c r="D206" s="9" t="str">
        <x:v>AR-ET-A-A-TECH-4-B2-BRK-G0</x:v>
      </x:c>
      <x:c r="E206" s="9" t="str">
        <x:v>ET-A-A-TECH-4</x:v>
      </x:c>
      <x:c r="F206" s="9" t="str">
        <x:v>ET-A-A</x:v>
      </x:c>
      <x:c r="G206" s="9" t="str">
        <x:v>B2</x:v>
      </x:c>
      <x:c r="H206" s="9" t="str">
        <x:v>BRK</x:v>
      </x:c>
      <x:c r="I206" s="9" t="str">
        <x:v>PD08</x:v>
      </x:c>
      <x:c r="J206" s="17" t="str">
        <x:v>Command and intervention log</x:v>
      </x:c>
      <x:c r="K206" s="17" t="str">
        <x:v>Safety archive</x:v>
      </x:c>
      <x:c r="L206" s="17" t="str">
        <x:v>COURT-SEALED UNTIL COHORT RELEASE</x:v>
      </x:c>
      <x:c r="M206" s="9" t="n">
        <x:v>0</x:v>
      </x:c>
      <x:c r="N206" s="9" t="n">
        <x:v>0</x:v>
      </x:c>
      <x:c r="O206" s="9" t="n">
        <x:v>0</x:v>
      </x:c>
      <x:c r="P206" s="9" t="str">
        <x:v>HELD / UNRELEASED</x:v>
      </x:c>
      <x:c r="Q206" s="9" t="n">
        <x:f>COUNTIFS($A$7:$A$2310,A206)</x:f>
        <x:v>1</x:v>
      </x:c>
    </x:row>
    <x:row r="207">
      <x:c r="A207" s="9" t="str">
        <x:v>PD-AR-ET-A-A-TECH-4-B2-BRK-G0-PD09</x:v>
      </x:c>
      <x:c r="B207" s="9" t="str">
        <x:v>PD-AR-ET-A-A-TECH-4-B2-BRK-G0</x:v>
      </x:c>
      <x:c r="C207" s="9" t="str">
        <x:v>EV-AR-ET-A-A-TECH-4-B2-BRK-G0</x:v>
      </x:c>
      <x:c r="D207" s="9" t="str">
        <x:v>AR-ET-A-A-TECH-4-B2-BRK-G0</x:v>
      </x:c>
      <x:c r="E207" s="9" t="str">
        <x:v>ET-A-A-TECH-4</x:v>
      </x:c>
      <x:c r="F207" s="9" t="str">
        <x:v>ET-A-A</x:v>
      </x:c>
      <x:c r="G207" s="9" t="str">
        <x:v>B2</x:v>
      </x:c>
      <x:c r="H207" s="9" t="str">
        <x:v>BRK</x:v>
      </x:c>
      <x:c r="I207" s="9" t="str">
        <x:v>PD09</x:v>
      </x:c>
      <x:c r="J207" s="17" t="str">
        <x:v>Receiver denominator and service ledger</x:v>
      </x:c>
      <x:c r="K207" s="17" t="str">
        <x:v>Receiver archive</x:v>
      </x:c>
      <x:c r="L207" s="17" t="str">
        <x:v>COURT-SEALED UNTIL COHORT RELEASE</x:v>
      </x:c>
      <x:c r="M207" s="9" t="n">
        <x:v>0</x:v>
      </x:c>
      <x:c r="N207" s="9" t="n">
        <x:v>0</x:v>
      </x:c>
      <x:c r="O207" s="9" t="n">
        <x:v>0</x:v>
      </x:c>
      <x:c r="P207" s="9" t="str">
        <x:v>HELD / UNRELEASED</x:v>
      </x:c>
      <x:c r="Q207" s="9" t="n">
        <x:f>COUNTIFS($A$7:$A$2310,A207)</x:f>
        <x:v>1</x:v>
      </x:c>
    </x:row>
    <x:row r="208">
      <x:c r="A208" s="9" t="str">
        <x:v>PD-AR-ET-A-A-TECH-4-B2-BRK-G0-PD10</x:v>
      </x:c>
      <x:c r="B208" s="9" t="str">
        <x:v>PD-AR-ET-A-A-TECH-4-B2-BRK-G0</x:v>
      </x:c>
      <x:c r="C208" s="9" t="str">
        <x:v>EV-AR-ET-A-A-TECH-4-B2-BRK-G0</x:v>
      </x:c>
      <x:c r="D208" s="9" t="str">
        <x:v>AR-ET-A-A-TECH-4-B2-BRK-G0</x:v>
      </x:c>
      <x:c r="E208" s="9" t="str">
        <x:v>ET-A-A-TECH-4</x:v>
      </x:c>
      <x:c r="F208" s="9" t="str">
        <x:v>ET-A-A</x:v>
      </x:c>
      <x:c r="G208" s="9" t="str">
        <x:v>B2</x:v>
      </x:c>
      <x:c r="H208" s="9" t="str">
        <x:v>BRK</x:v>
      </x:c>
      <x:c r="I208" s="9" t="str">
        <x:v>PD10</x:v>
      </x:c>
      <x:c r="J208" s="17" t="str">
        <x:v>Calibration and uncertainty record</x:v>
      </x:c>
      <x:c r="K208" s="17" t="str">
        <x:v>Metrology archive</x:v>
      </x:c>
      <x:c r="L208" s="17" t="str">
        <x:v>COURT-SEALED UNTIL COHORT RELEASE</x:v>
      </x:c>
      <x:c r="M208" s="9" t="n">
        <x:v>0</x:v>
      </x:c>
      <x:c r="N208" s="9" t="n">
        <x:v>0</x:v>
      </x:c>
      <x:c r="O208" s="9" t="n">
        <x:v>0</x:v>
      </x:c>
      <x:c r="P208" s="9" t="str">
        <x:v>HELD / UNRELEASED</x:v>
      </x:c>
      <x:c r="Q208" s="9" t="n">
        <x:f>COUNTIFS($A$7:$A$2310,A208)</x:f>
        <x:v>1</x:v>
      </x:c>
    </x:row>
    <x:row r="209">
      <x:c r="A209" s="9" t="str">
        <x:v>PD-AR-ET-A-A-TECH-4-B2-BRK-G0-PD11</x:v>
      </x:c>
      <x:c r="B209" s="9" t="str">
        <x:v>PD-AR-ET-A-A-TECH-4-B2-BRK-G0</x:v>
      </x:c>
      <x:c r="C209" s="9" t="str">
        <x:v>EV-AR-ET-A-A-TECH-4-B2-BRK-G0</x:v>
      </x:c>
      <x:c r="D209" s="9" t="str">
        <x:v>AR-ET-A-A-TECH-4-B2-BRK-G0</x:v>
      </x:c>
      <x:c r="E209" s="9" t="str">
        <x:v>ET-A-A-TECH-4</x:v>
      </x:c>
      <x:c r="F209" s="9" t="str">
        <x:v>ET-A-A</x:v>
      </x:c>
      <x:c r="G209" s="9" t="str">
        <x:v>B2</x:v>
      </x:c>
      <x:c r="H209" s="9" t="str">
        <x:v>BRK</x:v>
      </x:c>
      <x:c r="I209" s="9" t="str">
        <x:v>PD11</x:v>
      </x:c>
      <x:c r="J209" s="17" t="str">
        <x:v>Invalidity petition and opinion</x:v>
      </x:c>
      <x:c r="K209" s="17" t="str">
        <x:v>Invalidity court</x:v>
      </x:c>
      <x:c r="L209" s="17" t="str">
        <x:v>COURT-SEALED UNTIL COHORT RELEASE</x:v>
      </x:c>
      <x:c r="M209" s="9" t="n">
        <x:v>0</x:v>
      </x:c>
      <x:c r="N209" s="9" t="n">
        <x:v>0</x:v>
      </x:c>
      <x:c r="O209" s="9" t="n">
        <x:v>0</x:v>
      </x:c>
      <x:c r="P209" s="9" t="str">
        <x:v>HELD / UNRELEASED</x:v>
      </x:c>
      <x:c r="Q209" s="9" t="n">
        <x:f>COUNTIFS($A$7:$A$2310,A209)</x:f>
        <x:v>1</x:v>
      </x:c>
    </x:row>
    <x:row r="210">
      <x:c r="A210" s="9" t="str">
        <x:v>PD-AR-ET-A-A-TECH-4-B2-BRK-G0-PD12</x:v>
      </x:c>
      <x:c r="B210" s="9" t="str">
        <x:v>PD-AR-ET-A-A-TECH-4-B2-BRK-G0</x:v>
      </x:c>
      <x:c r="C210" s="9" t="str">
        <x:v>EV-AR-ET-A-A-TECH-4-B2-BRK-G0</x:v>
      </x:c>
      <x:c r="D210" s="9" t="str">
        <x:v>AR-ET-A-A-TECH-4-B2-BRK-G0</x:v>
      </x:c>
      <x:c r="E210" s="9" t="str">
        <x:v>ET-A-A-TECH-4</x:v>
      </x:c>
      <x:c r="F210" s="9" t="str">
        <x:v>ET-A-A</x:v>
      </x:c>
      <x:c r="G210" s="9" t="str">
        <x:v>B2</x:v>
      </x:c>
      <x:c r="H210" s="9" t="str">
        <x:v>BRK</x:v>
      </x:c>
      <x:c r="I210" s="9" t="str">
        <x:v>PD12</x:v>
      </x:c>
      <x:c r="J210" s="17" t="str">
        <x:v>Observation acceptance and replay</x:v>
      </x:c>
      <x:c r="K210" s="17" t="str">
        <x:v>Observation court</x:v>
      </x:c>
      <x:c r="L210" s="17" t="str">
        <x:v>COURT-SEALED UNTIL COHORT RELEASE</x:v>
      </x:c>
      <x:c r="M210" s="9" t="n">
        <x:v>0</x:v>
      </x:c>
      <x:c r="N210" s="9" t="n">
        <x:v>0</x:v>
      </x:c>
      <x:c r="O210" s="9" t="n">
        <x:v>0</x:v>
      </x:c>
      <x:c r="P210" s="9" t="str">
        <x:v>HELD / UNRELEASED</x:v>
      </x:c>
      <x:c r="Q210" s="9" t="n">
        <x:f>COUNTIFS($A$7:$A$2310,A210)</x:f>
        <x:v>1</x:v>
      </x:c>
    </x:row>
    <x:row r="211">
      <x:c r="A211" s="9" t="str">
        <x:v>PD-AR-ET-A-A-TECH-4-B2-BRK-G0-PD13</x:v>
      </x:c>
      <x:c r="B211" s="9" t="str">
        <x:v>PD-AR-ET-A-A-TECH-4-B2-BRK-G0</x:v>
      </x:c>
      <x:c r="C211" s="9" t="str">
        <x:v>EV-AR-ET-A-A-TECH-4-B2-BRK-G0</x:v>
      </x:c>
      <x:c r="D211" s="9" t="str">
        <x:v>AR-ET-A-A-TECH-4-B2-BRK-G0</x:v>
      </x:c>
      <x:c r="E211" s="9" t="str">
        <x:v>ET-A-A-TECH-4</x:v>
      </x:c>
      <x:c r="F211" s="9" t="str">
        <x:v>ET-A-A</x:v>
      </x:c>
      <x:c r="G211" s="9" t="str">
        <x:v>B2</x:v>
      </x:c>
      <x:c r="H211" s="9" t="str">
        <x:v>BRK</x:v>
      </x:c>
      <x:c r="I211" s="9" t="str">
        <x:v>PD13</x:v>
      </x:c>
      <x:c r="J211" s="17" t="str">
        <x:v>Role judgment</x:v>
      </x:c>
      <x:c r="K211" s="17" t="str">
        <x:v>Role court</x:v>
      </x:c>
      <x:c r="L211" s="17" t="str">
        <x:v>COURT-SEALED UNTIL COHORT RELEASE</x:v>
      </x:c>
      <x:c r="M211" s="9" t="n">
        <x:v>0</x:v>
      </x:c>
      <x:c r="N211" s="9" t="n">
        <x:v>0</x:v>
      </x:c>
      <x:c r="O211" s="9" t="n">
        <x:v>0</x:v>
      </x:c>
      <x:c r="P211" s="9" t="str">
        <x:v>HELD / UNRELEASED</x:v>
      </x:c>
      <x:c r="Q211" s="9" t="n">
        <x:f>COUNTIFS($A$7:$A$2310,A211)</x:f>
        <x:v>1</x:v>
      </x:c>
    </x:row>
    <x:row r="212">
      <x:c r="A212" s="9" t="str">
        <x:v>PD-AR-ET-A-A-TECH-4-B2-BRK-G0-PD14</x:v>
      </x:c>
      <x:c r="B212" s="9" t="str">
        <x:v>PD-AR-ET-A-A-TECH-4-B2-BRK-G0</x:v>
      </x:c>
      <x:c r="C212" s="9" t="str">
        <x:v>EV-AR-ET-A-A-TECH-4-B2-BRK-G0</x:v>
      </x:c>
      <x:c r="D212" s="9" t="str">
        <x:v>AR-ET-A-A-TECH-4-B2-BRK-G0</x:v>
      </x:c>
      <x:c r="E212" s="9" t="str">
        <x:v>ET-A-A-TECH-4</x:v>
      </x:c>
      <x:c r="F212" s="9" t="str">
        <x:v>ET-A-A</x:v>
      </x:c>
      <x:c r="G212" s="9" t="str">
        <x:v>B2</x:v>
      </x:c>
      <x:c r="H212" s="9" t="str">
        <x:v>BRK</x:v>
      </x:c>
      <x:c r="I212" s="9" t="str">
        <x:v>PD14</x:v>
      </x:c>
      <x:c r="J212" s="17" t="str">
        <x:v>Break and residual account</x:v>
      </x:c>
      <x:c r="K212" s="17" t="str">
        <x:v>Residual authority</x:v>
      </x:c>
      <x:c r="L212" s="17" t="str">
        <x:v>COURT-SEALED UNTIL COHORT RELEASE</x:v>
      </x:c>
      <x:c r="M212" s="9" t="n">
        <x:v>0</x:v>
      </x:c>
      <x:c r="N212" s="9" t="n">
        <x:v>0</x:v>
      </x:c>
      <x:c r="O212" s="9" t="n">
        <x:v>0</x:v>
      </x:c>
      <x:c r="P212" s="9" t="str">
        <x:v>HELD / UNRELEASED</x:v>
      </x:c>
      <x:c r="Q212" s="9" t="n">
        <x:f>COUNTIFS($A$7:$A$2310,A212)</x:f>
        <x:v>1</x:v>
      </x:c>
    </x:row>
    <x:row r="213">
      <x:c r="A213" s="9" t="str">
        <x:v>PD-AR-ET-A-A-TECH-4-B2-BRK-G0-PD15</x:v>
      </x:c>
      <x:c r="B213" s="9" t="str">
        <x:v>PD-AR-ET-A-A-TECH-4-B2-BRK-G0</x:v>
      </x:c>
      <x:c r="C213" s="9" t="str">
        <x:v>EV-AR-ET-A-A-TECH-4-B2-BRK-G0</x:v>
      </x:c>
      <x:c r="D213" s="9" t="str">
        <x:v>AR-ET-A-A-TECH-4-B2-BRK-G0</x:v>
      </x:c>
      <x:c r="E213" s="9" t="str">
        <x:v>ET-A-A-TECH-4</x:v>
      </x:c>
      <x:c r="F213" s="9" t="str">
        <x:v>ET-A-A</x:v>
      </x:c>
      <x:c r="G213" s="9" t="str">
        <x:v>B2</x:v>
      </x:c>
      <x:c r="H213" s="9" t="str">
        <x:v>BRK</x:v>
      </x:c>
      <x:c r="I213" s="9" t="str">
        <x:v>PD15</x:v>
      </x:c>
      <x:c r="J213" s="17" t="str">
        <x:v>Reconstruction ancestry and replay</x:v>
      </x:c>
      <x:c r="K213" s="17" t="str">
        <x:v>Reconstruction court</x:v>
      </x:c>
      <x:c r="L213" s="17" t="str">
        <x:v>COURT-SEALED UNTIL COHORT RELEASE</x:v>
      </x:c>
      <x:c r="M213" s="9" t="n">
        <x:v>0</x:v>
      </x:c>
      <x:c r="N213" s="9" t="n">
        <x:v>0</x:v>
      </x:c>
      <x:c r="O213" s="9" t="n">
        <x:v>0</x:v>
      </x:c>
      <x:c r="P213" s="9" t="str">
        <x:v>HELD / UNRELEASED</x:v>
      </x:c>
      <x:c r="Q213" s="9" t="n">
        <x:f>COUNTIFS($A$7:$A$2310,A213)</x:f>
        <x:v>1</x:v>
      </x:c>
    </x:row>
    <x:row r="214">
      <x:c r="A214" s="9" t="str">
        <x:v>PD-AR-ET-A-A-TECH-4-B2-BRK-G0-PD16</x:v>
      </x:c>
      <x:c r="B214" s="9" t="str">
        <x:v>PD-AR-ET-A-A-TECH-4-B2-BRK-G0</x:v>
      </x:c>
      <x:c r="C214" s="9" t="str">
        <x:v>EV-AR-ET-A-A-TECH-4-B2-BRK-G0</x:v>
      </x:c>
      <x:c r="D214" s="9" t="str">
        <x:v>AR-ET-A-A-TECH-4-B2-BRK-G0</x:v>
      </x:c>
      <x:c r="E214" s="9" t="str">
        <x:v>ET-A-A-TECH-4</x:v>
      </x:c>
      <x:c r="F214" s="9" t="str">
        <x:v>ET-A-A</x:v>
      </x:c>
      <x:c r="G214" s="9" t="str">
        <x:v>B2</x:v>
      </x:c>
      <x:c r="H214" s="9" t="str">
        <x:v>BRK</x:v>
      </x:c>
      <x:c r="I214" s="9" t="str">
        <x:v>PD16</x:v>
      </x:c>
      <x:c r="J214" s="17" t="str">
        <x:v>Dissent, amendments and access log</x:v>
      </x:c>
      <x:c r="K214" s="17" t="str">
        <x:v>Public archive</x:v>
      </x:c>
      <x:c r="L214" s="17" t="str">
        <x:v>COURT-SEALED UNTIL COHORT RELEASE</x:v>
      </x:c>
      <x:c r="M214" s="9" t="n">
        <x:v>0</x:v>
      </x:c>
      <x:c r="N214" s="9" t="n">
        <x:v>0</x:v>
      </x:c>
      <x:c r="O214" s="9" t="n">
        <x:v>0</x:v>
      </x:c>
      <x:c r="P214" s="9" t="str">
        <x:v>HELD / UNRELEASED</x:v>
      </x:c>
      <x:c r="Q214" s="9" t="n">
        <x:f>COUNTIFS($A$7:$A$2310,A214)</x:f>
        <x:v>1</x:v>
      </x:c>
    </x:row>
    <x:row r="215">
      <x:c r="A215" s="9" t="str">
        <x:v>PD-AR-ET-A-A-TECH-3-B1-RCN-G0-PD01</x:v>
      </x:c>
      <x:c r="B215" s="9" t="str">
        <x:v>PD-AR-ET-A-A-TECH-3-B1-RCN-G0</x:v>
      </x:c>
      <x:c r="C215" s="9" t="str">
        <x:v>EV-AR-ET-A-A-TECH-3-B1-RCN-G0</x:v>
      </x:c>
      <x:c r="D215" s="9" t="str">
        <x:v>AR-ET-A-A-TECH-3-B1-RCN-G0</x:v>
      </x:c>
      <x:c r="E215" s="9" t="str">
        <x:v>ET-A-A-TECH-3</x:v>
      </x:c>
      <x:c r="F215" s="9" t="str">
        <x:v>ET-A-A</x:v>
      </x:c>
      <x:c r="G215" s="9" t="str">
        <x:v>B1</x:v>
      </x:c>
      <x:c r="H215" s="9" t="str">
        <x:v>RCN</x:v>
      </x:c>
      <x:c r="I215" s="9" t="str">
        <x:v>PD01</x:v>
      </x:c>
      <x:c r="J215" s="17" t="str">
        <x:v>Experiment kernel</x:v>
      </x:c>
      <x:c r="K215" s="17" t="str">
        <x:v>Public archive</x:v>
      </x:c>
      <x:c r="L215" s="17" t="str">
        <x:v>COURT-SEALED UNTIL COHORT RELEASE</x:v>
      </x:c>
      <x:c r="M215" s="9" t="n">
        <x:v>0</x:v>
      </x:c>
      <x:c r="N215" s="9" t="n">
        <x:v>0</x:v>
      </x:c>
      <x:c r="O215" s="9" t="n">
        <x:v>0</x:v>
      </x:c>
      <x:c r="P215" s="9" t="str">
        <x:v>HELD / UNRELEASED</x:v>
      </x:c>
      <x:c r="Q215" s="9" t="n">
        <x:f>COUNTIFS($A$7:$A$2310,A215)</x:f>
        <x:v>1</x:v>
      </x:c>
    </x:row>
    <x:row r="216">
      <x:c r="A216" s="9" t="str">
        <x:v>PD-AR-ET-A-A-TECH-3-B1-RCN-G0-PD02</x:v>
      </x:c>
      <x:c r="B216" s="9" t="str">
        <x:v>PD-AR-ET-A-A-TECH-3-B1-RCN-G0</x:v>
      </x:c>
      <x:c r="C216" s="9" t="str">
        <x:v>EV-AR-ET-A-A-TECH-3-B1-RCN-G0</x:v>
      </x:c>
      <x:c r="D216" s="9" t="str">
        <x:v>AR-ET-A-A-TECH-3-B1-RCN-G0</x:v>
      </x:c>
      <x:c r="E216" s="9" t="str">
        <x:v>ET-A-A-TECH-3</x:v>
      </x:c>
      <x:c r="F216" s="9" t="str">
        <x:v>ET-A-A</x:v>
      </x:c>
      <x:c r="G216" s="9" t="str">
        <x:v>B1</x:v>
      </x:c>
      <x:c r="H216" s="9" t="str">
        <x:v>RCN</x:v>
      </x:c>
      <x:c r="I216" s="9" t="str">
        <x:v>PD02</x:v>
      </x:c>
      <x:c r="J216" s="17" t="str">
        <x:v>Serial annex and title chain</x:v>
      </x:c>
      <x:c r="K216" s="17" t="str">
        <x:v>Public archive</x:v>
      </x:c>
      <x:c r="L216" s="17" t="str">
        <x:v>COURT-SEALED UNTIL COHORT RELEASE</x:v>
      </x:c>
      <x:c r="M216" s="9" t="n">
        <x:v>0</x:v>
      </x:c>
      <x:c r="N216" s="9" t="n">
        <x:v>0</x:v>
      </x:c>
      <x:c r="O216" s="9" t="n">
        <x:v>0</x:v>
      </x:c>
      <x:c r="P216" s="9" t="str">
        <x:v>HELD / UNRELEASED</x:v>
      </x:c>
      <x:c r="Q216" s="9" t="n">
        <x:f>COUNTIFS($A$7:$A$2310,A216)</x:f>
        <x:v>1</x:v>
      </x:c>
    </x:row>
    <x:row r="217">
      <x:c r="A217" s="9" t="str">
        <x:v>PD-AR-ET-A-A-TECH-3-B1-RCN-G0-PD03</x:v>
      </x:c>
      <x:c r="B217" s="9" t="str">
        <x:v>PD-AR-ET-A-A-TECH-3-B1-RCN-G0</x:v>
      </x:c>
      <x:c r="C217" s="9" t="str">
        <x:v>EV-AR-ET-A-A-TECH-3-B1-RCN-G0</x:v>
      </x:c>
      <x:c r="D217" s="9" t="str">
        <x:v>AR-ET-A-A-TECH-3-B1-RCN-G0</x:v>
      </x:c>
      <x:c r="E217" s="9" t="str">
        <x:v>ET-A-A-TECH-3</x:v>
      </x:c>
      <x:c r="F217" s="9" t="str">
        <x:v>ET-A-A</x:v>
      </x:c>
      <x:c r="G217" s="9" t="str">
        <x:v>B1</x:v>
      </x:c>
      <x:c r="H217" s="9" t="str">
        <x:v>RCN</x:v>
      </x:c>
      <x:c r="I217" s="9" t="str">
        <x:v>PD03</x:v>
      </x:c>
      <x:c r="J217" s="17" t="str">
        <x:v>Configuration and as-built manifest</x:v>
      </x:c>
      <x:c r="K217" s="17" t="str">
        <x:v>Artifact exchange</x:v>
      </x:c>
      <x:c r="L217" s="17" t="str">
        <x:v>COURT-SEALED UNTIL COHORT RELEASE</x:v>
      </x:c>
      <x:c r="M217" s="9" t="n">
        <x:v>0</x:v>
      </x:c>
      <x:c r="N217" s="9" t="n">
        <x:v>0</x:v>
      </x:c>
      <x:c r="O217" s="9" t="n">
        <x:v>0</x:v>
      </x:c>
      <x:c r="P217" s="9" t="str">
        <x:v>HELD / UNRELEASED</x:v>
      </x:c>
      <x:c r="Q217" s="9" t="n">
        <x:f>COUNTIFS($A$7:$A$2310,A217)</x:f>
        <x:v>1</x:v>
      </x:c>
    </x:row>
    <x:row r="218">
      <x:c r="A218" s="9" t="str">
        <x:v>PD-AR-ET-A-A-TECH-3-B1-RCN-G0-PD04</x:v>
      </x:c>
      <x:c r="B218" s="9" t="str">
        <x:v>PD-AR-ET-A-A-TECH-3-B1-RCN-G0</x:v>
      </x:c>
      <x:c r="C218" s="9" t="str">
        <x:v>EV-AR-ET-A-A-TECH-3-B1-RCN-G0</x:v>
      </x:c>
      <x:c r="D218" s="9" t="str">
        <x:v>AR-ET-A-A-TECH-3-B1-RCN-G0</x:v>
      </x:c>
      <x:c r="E218" s="9" t="str">
        <x:v>ET-A-A-TECH-3</x:v>
      </x:c>
      <x:c r="F218" s="9" t="str">
        <x:v>ET-A-A</x:v>
      </x:c>
      <x:c r="G218" s="9" t="str">
        <x:v>B1</x:v>
      </x:c>
      <x:c r="H218" s="9" t="str">
        <x:v>RCN</x:v>
      </x:c>
      <x:c r="I218" s="9" t="str">
        <x:v>PD04</x:v>
      </x:c>
      <x:c r="J218" s="17" t="str">
        <x:v>EOW and start certificate</x:v>
      </x:c>
      <x:c r="K218" s="17" t="str">
        <x:v>Start registrar</x:v>
      </x:c>
      <x:c r="L218" s="17" t="str">
        <x:v>COURT-SEALED UNTIL COHORT RELEASE</x:v>
      </x:c>
      <x:c r="M218" s="9" t="n">
        <x:v>0</x:v>
      </x:c>
      <x:c r="N218" s="9" t="n">
        <x:v>0</x:v>
      </x:c>
      <x:c r="O218" s="9" t="n">
        <x:v>0</x:v>
      </x:c>
      <x:c r="P218" s="9" t="str">
        <x:v>HELD / UNRELEASED</x:v>
      </x:c>
      <x:c r="Q218" s="9" t="n">
        <x:f>COUNTIFS($A$7:$A$2310,A218)</x:f>
        <x:v>1</x:v>
      </x:c>
    </x:row>
    <x:row r="219">
      <x:c r="A219" s="9" t="str">
        <x:v>PD-AR-ET-A-A-TECH-3-B1-RCN-G0-PD05</x:v>
      </x:c>
      <x:c r="B219" s="9" t="str">
        <x:v>PD-AR-ET-A-A-TECH-3-B1-RCN-G0</x:v>
      </x:c>
      <x:c r="C219" s="9" t="str">
        <x:v>EV-AR-ET-A-A-TECH-3-B1-RCN-G0</x:v>
      </x:c>
      <x:c r="D219" s="9" t="str">
        <x:v>AR-ET-A-A-TECH-3-B1-RCN-G0</x:v>
      </x:c>
      <x:c r="E219" s="9" t="str">
        <x:v>ET-A-A-TECH-3</x:v>
      </x:c>
      <x:c r="F219" s="9" t="str">
        <x:v>ET-A-A</x:v>
      </x:c>
      <x:c r="G219" s="9" t="str">
        <x:v>B1</x:v>
      </x:c>
      <x:c r="H219" s="9" t="str">
        <x:v>RCN</x:v>
      </x:c>
      <x:c r="I219" s="9" t="str">
        <x:v>PD05</x:v>
      </x:c>
      <x:c r="J219" s="17" t="str">
        <x:v>Primary raw originals</x:v>
      </x:c>
      <x:c r="K219" s="17" t="str">
        <x:v>Primary custody</x:v>
      </x:c>
      <x:c r="L219" s="17" t="str">
        <x:v>COURT-SEALED UNTIL COHORT RELEASE</x:v>
      </x:c>
      <x:c r="M219" s="9" t="n">
        <x:v>0</x:v>
      </x:c>
      <x:c r="N219" s="9" t="n">
        <x:v>0</x:v>
      </x:c>
      <x:c r="O219" s="9" t="n">
        <x:v>0</x:v>
      </x:c>
      <x:c r="P219" s="9" t="str">
        <x:v>HELD / UNRELEASED</x:v>
      </x:c>
      <x:c r="Q219" s="9" t="n">
        <x:f>COUNTIFS($A$7:$A$2310,A219)</x:f>
        <x:v>1</x:v>
      </x:c>
    </x:row>
    <x:row r="220">
      <x:c r="A220" s="9" t="str">
        <x:v>PD-AR-ET-A-A-TECH-3-B1-RCN-G0-PD06</x:v>
      </x:c>
      <x:c r="B220" s="9" t="str">
        <x:v>PD-AR-ET-A-A-TECH-3-B1-RCN-G0</x:v>
      </x:c>
      <x:c r="C220" s="9" t="str">
        <x:v>EV-AR-ET-A-A-TECH-3-B1-RCN-G0</x:v>
      </x:c>
      <x:c r="D220" s="9" t="str">
        <x:v>AR-ET-A-A-TECH-3-B1-RCN-G0</x:v>
      </x:c>
      <x:c r="E220" s="9" t="str">
        <x:v>ET-A-A-TECH-3</x:v>
      </x:c>
      <x:c r="F220" s="9" t="str">
        <x:v>ET-A-A</x:v>
      </x:c>
      <x:c r="G220" s="9" t="str">
        <x:v>B1</x:v>
      </x:c>
      <x:c r="H220" s="9" t="str">
        <x:v>RCN</x:v>
      </x:c>
      <x:c r="I220" s="9" t="str">
        <x:v>PD06</x:v>
      </x:c>
      <x:c r="J220" s="17" t="str">
        <x:v>Witness raw originals</x:v>
      </x:c>
      <x:c r="K220" s="17" t="str">
        <x:v>Witness custody</x:v>
      </x:c>
      <x:c r="L220" s="17" t="str">
        <x:v>COURT-SEALED UNTIL COHORT RELEASE</x:v>
      </x:c>
      <x:c r="M220" s="9" t="n">
        <x:v>0</x:v>
      </x:c>
      <x:c r="N220" s="9" t="n">
        <x:v>0</x:v>
      </x:c>
      <x:c r="O220" s="9" t="n">
        <x:v>0</x:v>
      </x:c>
      <x:c r="P220" s="9" t="str">
        <x:v>HELD / UNRELEASED</x:v>
      </x:c>
      <x:c r="Q220" s="9" t="n">
        <x:f>COUNTIFS($A$7:$A$2310,A220)</x:f>
        <x:v>1</x:v>
      </x:c>
    </x:row>
    <x:row r="221">
      <x:c r="A221" s="9" t="str">
        <x:v>PD-AR-ET-A-A-TECH-3-B1-RCN-G0-PD07</x:v>
      </x:c>
      <x:c r="B221" s="9" t="str">
        <x:v>PD-AR-ET-A-A-TECH-3-B1-RCN-G0</x:v>
      </x:c>
      <x:c r="C221" s="9" t="str">
        <x:v>EV-AR-ET-A-A-TECH-3-B1-RCN-G0</x:v>
      </x:c>
      <x:c r="D221" s="9" t="str">
        <x:v>AR-ET-A-A-TECH-3-B1-RCN-G0</x:v>
      </x:c>
      <x:c r="E221" s="9" t="str">
        <x:v>ET-A-A-TECH-3</x:v>
      </x:c>
      <x:c r="F221" s="9" t="str">
        <x:v>ET-A-A</x:v>
      </x:c>
      <x:c r="G221" s="9" t="str">
        <x:v>B1</x:v>
      </x:c>
      <x:c r="H221" s="9" t="str">
        <x:v>RCN</x:v>
      </x:c>
      <x:c r="I221" s="9" t="str">
        <x:v>PD07</x:v>
      </x:c>
      <x:c r="J221" s="17" t="str">
        <x:v>Clock and environmental records</x:v>
      </x:c>
      <x:c r="K221" s="17" t="str">
        <x:v>Boundary archive</x:v>
      </x:c>
      <x:c r="L221" s="17" t="str">
        <x:v>COURT-SEALED UNTIL COHORT RELEASE</x:v>
      </x:c>
      <x:c r="M221" s="9" t="n">
        <x:v>0</x:v>
      </x:c>
      <x:c r="N221" s="9" t="n">
        <x:v>0</x:v>
      </x:c>
      <x:c r="O221" s="9" t="n">
        <x:v>0</x:v>
      </x:c>
      <x:c r="P221" s="9" t="str">
        <x:v>HELD / UNRELEASED</x:v>
      </x:c>
      <x:c r="Q221" s="9" t="n">
        <x:f>COUNTIFS($A$7:$A$2310,A221)</x:f>
        <x:v>1</x:v>
      </x:c>
    </x:row>
    <x:row r="222">
      <x:c r="A222" s="9" t="str">
        <x:v>PD-AR-ET-A-A-TECH-3-B1-RCN-G0-PD08</x:v>
      </x:c>
      <x:c r="B222" s="9" t="str">
        <x:v>PD-AR-ET-A-A-TECH-3-B1-RCN-G0</x:v>
      </x:c>
      <x:c r="C222" s="9" t="str">
        <x:v>EV-AR-ET-A-A-TECH-3-B1-RCN-G0</x:v>
      </x:c>
      <x:c r="D222" s="9" t="str">
        <x:v>AR-ET-A-A-TECH-3-B1-RCN-G0</x:v>
      </x:c>
      <x:c r="E222" s="9" t="str">
        <x:v>ET-A-A-TECH-3</x:v>
      </x:c>
      <x:c r="F222" s="9" t="str">
        <x:v>ET-A-A</x:v>
      </x:c>
      <x:c r="G222" s="9" t="str">
        <x:v>B1</x:v>
      </x:c>
      <x:c r="H222" s="9" t="str">
        <x:v>RCN</x:v>
      </x:c>
      <x:c r="I222" s="9" t="str">
        <x:v>PD08</x:v>
      </x:c>
      <x:c r="J222" s="17" t="str">
        <x:v>Command and intervention log</x:v>
      </x:c>
      <x:c r="K222" s="17" t="str">
        <x:v>Safety archive</x:v>
      </x:c>
      <x:c r="L222" s="17" t="str">
        <x:v>COURT-SEALED UNTIL COHORT RELEASE</x:v>
      </x:c>
      <x:c r="M222" s="9" t="n">
        <x:v>0</x:v>
      </x:c>
      <x:c r="N222" s="9" t="n">
        <x:v>0</x:v>
      </x:c>
      <x:c r="O222" s="9" t="n">
        <x:v>0</x:v>
      </x:c>
      <x:c r="P222" s="9" t="str">
        <x:v>HELD / UNRELEASED</x:v>
      </x:c>
      <x:c r="Q222" s="9" t="n">
        <x:f>COUNTIFS($A$7:$A$2310,A222)</x:f>
        <x:v>1</x:v>
      </x:c>
    </x:row>
    <x:row r="223">
      <x:c r="A223" s="9" t="str">
        <x:v>PD-AR-ET-A-A-TECH-3-B1-RCN-G0-PD09</x:v>
      </x:c>
      <x:c r="B223" s="9" t="str">
        <x:v>PD-AR-ET-A-A-TECH-3-B1-RCN-G0</x:v>
      </x:c>
      <x:c r="C223" s="9" t="str">
        <x:v>EV-AR-ET-A-A-TECH-3-B1-RCN-G0</x:v>
      </x:c>
      <x:c r="D223" s="9" t="str">
        <x:v>AR-ET-A-A-TECH-3-B1-RCN-G0</x:v>
      </x:c>
      <x:c r="E223" s="9" t="str">
        <x:v>ET-A-A-TECH-3</x:v>
      </x:c>
      <x:c r="F223" s="9" t="str">
        <x:v>ET-A-A</x:v>
      </x:c>
      <x:c r="G223" s="9" t="str">
        <x:v>B1</x:v>
      </x:c>
      <x:c r="H223" s="9" t="str">
        <x:v>RCN</x:v>
      </x:c>
      <x:c r="I223" s="9" t="str">
        <x:v>PD09</x:v>
      </x:c>
      <x:c r="J223" s="17" t="str">
        <x:v>Receiver denominator and service ledger</x:v>
      </x:c>
      <x:c r="K223" s="17" t="str">
        <x:v>Receiver archive</x:v>
      </x:c>
      <x:c r="L223" s="17" t="str">
        <x:v>COURT-SEALED UNTIL COHORT RELEASE</x:v>
      </x:c>
      <x:c r="M223" s="9" t="n">
        <x:v>0</x:v>
      </x:c>
      <x:c r="N223" s="9" t="n">
        <x:v>0</x:v>
      </x:c>
      <x:c r="O223" s="9" t="n">
        <x:v>0</x:v>
      </x:c>
      <x:c r="P223" s="9" t="str">
        <x:v>HELD / UNRELEASED</x:v>
      </x:c>
      <x:c r="Q223" s="9" t="n">
        <x:f>COUNTIFS($A$7:$A$2310,A223)</x:f>
        <x:v>1</x:v>
      </x:c>
    </x:row>
    <x:row r="224">
      <x:c r="A224" s="9" t="str">
        <x:v>PD-AR-ET-A-A-TECH-3-B1-RCN-G0-PD10</x:v>
      </x:c>
      <x:c r="B224" s="9" t="str">
        <x:v>PD-AR-ET-A-A-TECH-3-B1-RCN-G0</x:v>
      </x:c>
      <x:c r="C224" s="9" t="str">
        <x:v>EV-AR-ET-A-A-TECH-3-B1-RCN-G0</x:v>
      </x:c>
      <x:c r="D224" s="9" t="str">
        <x:v>AR-ET-A-A-TECH-3-B1-RCN-G0</x:v>
      </x:c>
      <x:c r="E224" s="9" t="str">
        <x:v>ET-A-A-TECH-3</x:v>
      </x:c>
      <x:c r="F224" s="9" t="str">
        <x:v>ET-A-A</x:v>
      </x:c>
      <x:c r="G224" s="9" t="str">
        <x:v>B1</x:v>
      </x:c>
      <x:c r="H224" s="9" t="str">
        <x:v>RCN</x:v>
      </x:c>
      <x:c r="I224" s="9" t="str">
        <x:v>PD10</x:v>
      </x:c>
      <x:c r="J224" s="17" t="str">
        <x:v>Calibration and uncertainty record</x:v>
      </x:c>
      <x:c r="K224" s="17" t="str">
        <x:v>Metrology archive</x:v>
      </x:c>
      <x:c r="L224" s="17" t="str">
        <x:v>COURT-SEALED UNTIL COHORT RELEASE</x:v>
      </x:c>
      <x:c r="M224" s="9" t="n">
        <x:v>0</x:v>
      </x:c>
      <x:c r="N224" s="9" t="n">
        <x:v>0</x:v>
      </x:c>
      <x:c r="O224" s="9" t="n">
        <x:v>0</x:v>
      </x:c>
      <x:c r="P224" s="9" t="str">
        <x:v>HELD / UNRELEASED</x:v>
      </x:c>
      <x:c r="Q224" s="9" t="n">
        <x:f>COUNTIFS($A$7:$A$2310,A224)</x:f>
        <x:v>1</x:v>
      </x:c>
    </x:row>
    <x:row r="225">
      <x:c r="A225" s="9" t="str">
        <x:v>PD-AR-ET-A-A-TECH-3-B1-RCN-G0-PD11</x:v>
      </x:c>
      <x:c r="B225" s="9" t="str">
        <x:v>PD-AR-ET-A-A-TECH-3-B1-RCN-G0</x:v>
      </x:c>
      <x:c r="C225" s="9" t="str">
        <x:v>EV-AR-ET-A-A-TECH-3-B1-RCN-G0</x:v>
      </x:c>
      <x:c r="D225" s="9" t="str">
        <x:v>AR-ET-A-A-TECH-3-B1-RCN-G0</x:v>
      </x:c>
      <x:c r="E225" s="9" t="str">
        <x:v>ET-A-A-TECH-3</x:v>
      </x:c>
      <x:c r="F225" s="9" t="str">
        <x:v>ET-A-A</x:v>
      </x:c>
      <x:c r="G225" s="9" t="str">
        <x:v>B1</x:v>
      </x:c>
      <x:c r="H225" s="9" t="str">
        <x:v>RCN</x:v>
      </x:c>
      <x:c r="I225" s="9" t="str">
        <x:v>PD11</x:v>
      </x:c>
      <x:c r="J225" s="17" t="str">
        <x:v>Invalidity petition and opinion</x:v>
      </x:c>
      <x:c r="K225" s="17" t="str">
        <x:v>Invalidity court</x:v>
      </x:c>
      <x:c r="L225" s="17" t="str">
        <x:v>COURT-SEALED UNTIL COHORT RELEASE</x:v>
      </x:c>
      <x:c r="M225" s="9" t="n">
        <x:v>0</x:v>
      </x:c>
      <x:c r="N225" s="9" t="n">
        <x:v>0</x:v>
      </x:c>
      <x:c r="O225" s="9" t="n">
        <x:v>0</x:v>
      </x:c>
      <x:c r="P225" s="9" t="str">
        <x:v>HELD / UNRELEASED</x:v>
      </x:c>
      <x:c r="Q225" s="9" t="n">
        <x:f>COUNTIFS($A$7:$A$2310,A225)</x:f>
        <x:v>1</x:v>
      </x:c>
    </x:row>
    <x:row r="226">
      <x:c r="A226" s="9" t="str">
        <x:v>PD-AR-ET-A-A-TECH-3-B1-RCN-G0-PD12</x:v>
      </x:c>
      <x:c r="B226" s="9" t="str">
        <x:v>PD-AR-ET-A-A-TECH-3-B1-RCN-G0</x:v>
      </x:c>
      <x:c r="C226" s="9" t="str">
        <x:v>EV-AR-ET-A-A-TECH-3-B1-RCN-G0</x:v>
      </x:c>
      <x:c r="D226" s="9" t="str">
        <x:v>AR-ET-A-A-TECH-3-B1-RCN-G0</x:v>
      </x:c>
      <x:c r="E226" s="9" t="str">
        <x:v>ET-A-A-TECH-3</x:v>
      </x:c>
      <x:c r="F226" s="9" t="str">
        <x:v>ET-A-A</x:v>
      </x:c>
      <x:c r="G226" s="9" t="str">
        <x:v>B1</x:v>
      </x:c>
      <x:c r="H226" s="9" t="str">
        <x:v>RCN</x:v>
      </x:c>
      <x:c r="I226" s="9" t="str">
        <x:v>PD12</x:v>
      </x:c>
      <x:c r="J226" s="17" t="str">
        <x:v>Observation acceptance and replay</x:v>
      </x:c>
      <x:c r="K226" s="17" t="str">
        <x:v>Observation court</x:v>
      </x:c>
      <x:c r="L226" s="17" t="str">
        <x:v>COURT-SEALED UNTIL COHORT RELEASE</x:v>
      </x:c>
      <x:c r="M226" s="9" t="n">
        <x:v>0</x:v>
      </x:c>
      <x:c r="N226" s="9" t="n">
        <x:v>0</x:v>
      </x:c>
      <x:c r="O226" s="9" t="n">
        <x:v>0</x:v>
      </x:c>
      <x:c r="P226" s="9" t="str">
        <x:v>HELD / UNRELEASED</x:v>
      </x:c>
      <x:c r="Q226" s="9" t="n">
        <x:f>COUNTIFS($A$7:$A$2310,A226)</x:f>
        <x:v>1</x:v>
      </x:c>
    </x:row>
    <x:row r="227">
      <x:c r="A227" s="9" t="str">
        <x:v>PD-AR-ET-A-A-TECH-3-B1-RCN-G0-PD13</x:v>
      </x:c>
      <x:c r="B227" s="9" t="str">
        <x:v>PD-AR-ET-A-A-TECH-3-B1-RCN-G0</x:v>
      </x:c>
      <x:c r="C227" s="9" t="str">
        <x:v>EV-AR-ET-A-A-TECH-3-B1-RCN-G0</x:v>
      </x:c>
      <x:c r="D227" s="9" t="str">
        <x:v>AR-ET-A-A-TECH-3-B1-RCN-G0</x:v>
      </x:c>
      <x:c r="E227" s="9" t="str">
        <x:v>ET-A-A-TECH-3</x:v>
      </x:c>
      <x:c r="F227" s="9" t="str">
        <x:v>ET-A-A</x:v>
      </x:c>
      <x:c r="G227" s="9" t="str">
        <x:v>B1</x:v>
      </x:c>
      <x:c r="H227" s="9" t="str">
        <x:v>RCN</x:v>
      </x:c>
      <x:c r="I227" s="9" t="str">
        <x:v>PD13</x:v>
      </x:c>
      <x:c r="J227" s="17" t="str">
        <x:v>Role judgment</x:v>
      </x:c>
      <x:c r="K227" s="17" t="str">
        <x:v>Role court</x:v>
      </x:c>
      <x:c r="L227" s="17" t="str">
        <x:v>COURT-SEALED UNTIL COHORT RELEASE</x:v>
      </x:c>
      <x:c r="M227" s="9" t="n">
        <x:v>0</x:v>
      </x:c>
      <x:c r="N227" s="9" t="n">
        <x:v>0</x:v>
      </x:c>
      <x:c r="O227" s="9" t="n">
        <x:v>0</x:v>
      </x:c>
      <x:c r="P227" s="9" t="str">
        <x:v>HELD / UNRELEASED</x:v>
      </x:c>
      <x:c r="Q227" s="9" t="n">
        <x:f>COUNTIFS($A$7:$A$2310,A227)</x:f>
        <x:v>1</x:v>
      </x:c>
    </x:row>
    <x:row r="228">
      <x:c r="A228" s="9" t="str">
        <x:v>PD-AR-ET-A-A-TECH-3-B1-RCN-G0-PD14</x:v>
      </x:c>
      <x:c r="B228" s="9" t="str">
        <x:v>PD-AR-ET-A-A-TECH-3-B1-RCN-G0</x:v>
      </x:c>
      <x:c r="C228" s="9" t="str">
        <x:v>EV-AR-ET-A-A-TECH-3-B1-RCN-G0</x:v>
      </x:c>
      <x:c r="D228" s="9" t="str">
        <x:v>AR-ET-A-A-TECH-3-B1-RCN-G0</x:v>
      </x:c>
      <x:c r="E228" s="9" t="str">
        <x:v>ET-A-A-TECH-3</x:v>
      </x:c>
      <x:c r="F228" s="9" t="str">
        <x:v>ET-A-A</x:v>
      </x:c>
      <x:c r="G228" s="9" t="str">
        <x:v>B1</x:v>
      </x:c>
      <x:c r="H228" s="9" t="str">
        <x:v>RCN</x:v>
      </x:c>
      <x:c r="I228" s="9" t="str">
        <x:v>PD14</x:v>
      </x:c>
      <x:c r="J228" s="17" t="str">
        <x:v>Break and residual account</x:v>
      </x:c>
      <x:c r="K228" s="17" t="str">
        <x:v>Residual authority</x:v>
      </x:c>
      <x:c r="L228" s="17" t="str">
        <x:v>COURT-SEALED UNTIL COHORT RELEASE</x:v>
      </x:c>
      <x:c r="M228" s="9" t="n">
        <x:v>0</x:v>
      </x:c>
      <x:c r="N228" s="9" t="n">
        <x:v>0</x:v>
      </x:c>
      <x:c r="O228" s="9" t="n">
        <x:v>0</x:v>
      </x:c>
      <x:c r="P228" s="9" t="str">
        <x:v>HELD / UNRELEASED</x:v>
      </x:c>
      <x:c r="Q228" s="9" t="n">
        <x:f>COUNTIFS($A$7:$A$2310,A228)</x:f>
        <x:v>1</x:v>
      </x:c>
    </x:row>
    <x:row r="229">
      <x:c r="A229" s="9" t="str">
        <x:v>PD-AR-ET-A-A-TECH-3-B1-RCN-G0-PD15</x:v>
      </x:c>
      <x:c r="B229" s="9" t="str">
        <x:v>PD-AR-ET-A-A-TECH-3-B1-RCN-G0</x:v>
      </x:c>
      <x:c r="C229" s="9" t="str">
        <x:v>EV-AR-ET-A-A-TECH-3-B1-RCN-G0</x:v>
      </x:c>
      <x:c r="D229" s="9" t="str">
        <x:v>AR-ET-A-A-TECH-3-B1-RCN-G0</x:v>
      </x:c>
      <x:c r="E229" s="9" t="str">
        <x:v>ET-A-A-TECH-3</x:v>
      </x:c>
      <x:c r="F229" s="9" t="str">
        <x:v>ET-A-A</x:v>
      </x:c>
      <x:c r="G229" s="9" t="str">
        <x:v>B1</x:v>
      </x:c>
      <x:c r="H229" s="9" t="str">
        <x:v>RCN</x:v>
      </x:c>
      <x:c r="I229" s="9" t="str">
        <x:v>PD15</x:v>
      </x:c>
      <x:c r="J229" s="17" t="str">
        <x:v>Reconstruction ancestry and replay</x:v>
      </x:c>
      <x:c r="K229" s="17" t="str">
        <x:v>Reconstruction court</x:v>
      </x:c>
      <x:c r="L229" s="17" t="str">
        <x:v>COURT-SEALED UNTIL COHORT RELEASE</x:v>
      </x:c>
      <x:c r="M229" s="9" t="n">
        <x:v>0</x:v>
      </x:c>
      <x:c r="N229" s="9" t="n">
        <x:v>0</x:v>
      </x:c>
      <x:c r="O229" s="9" t="n">
        <x:v>0</x:v>
      </x:c>
      <x:c r="P229" s="9" t="str">
        <x:v>HELD / UNRELEASED</x:v>
      </x:c>
      <x:c r="Q229" s="9" t="n">
        <x:f>COUNTIFS($A$7:$A$2310,A229)</x:f>
        <x:v>1</x:v>
      </x:c>
    </x:row>
    <x:row r="230">
      <x:c r="A230" s="9" t="str">
        <x:v>PD-AR-ET-A-A-TECH-3-B1-RCN-G0-PD16</x:v>
      </x:c>
      <x:c r="B230" s="9" t="str">
        <x:v>PD-AR-ET-A-A-TECH-3-B1-RCN-G0</x:v>
      </x:c>
      <x:c r="C230" s="9" t="str">
        <x:v>EV-AR-ET-A-A-TECH-3-B1-RCN-G0</x:v>
      </x:c>
      <x:c r="D230" s="9" t="str">
        <x:v>AR-ET-A-A-TECH-3-B1-RCN-G0</x:v>
      </x:c>
      <x:c r="E230" s="9" t="str">
        <x:v>ET-A-A-TECH-3</x:v>
      </x:c>
      <x:c r="F230" s="9" t="str">
        <x:v>ET-A-A</x:v>
      </x:c>
      <x:c r="G230" s="9" t="str">
        <x:v>B1</x:v>
      </x:c>
      <x:c r="H230" s="9" t="str">
        <x:v>RCN</x:v>
      </x:c>
      <x:c r="I230" s="9" t="str">
        <x:v>PD16</x:v>
      </x:c>
      <x:c r="J230" s="17" t="str">
        <x:v>Dissent, amendments and access log</x:v>
      </x:c>
      <x:c r="K230" s="17" t="str">
        <x:v>Public archive</x:v>
      </x:c>
      <x:c r="L230" s="17" t="str">
        <x:v>COURT-SEALED UNTIL COHORT RELEASE</x:v>
      </x:c>
      <x:c r="M230" s="9" t="n">
        <x:v>0</x:v>
      </x:c>
      <x:c r="N230" s="9" t="n">
        <x:v>0</x:v>
      </x:c>
      <x:c r="O230" s="9" t="n">
        <x:v>0</x:v>
      </x:c>
      <x:c r="P230" s="9" t="str">
        <x:v>HELD / UNRELEASED</x:v>
      </x:c>
      <x:c r="Q230" s="9" t="n">
        <x:f>COUNTIFS($A$7:$A$2310,A230)</x:f>
        <x:v>1</x:v>
      </x:c>
    </x:row>
    <x:row r="231">
      <x:c r="A231" s="9" t="str">
        <x:v>PD-AR-HC-A-C-TECH-4-B2-INT-G0-PD01</x:v>
      </x:c>
      <x:c r="B231" s="9" t="str">
        <x:v>PD-AR-HC-A-C-TECH-4-B2-INT-G0</x:v>
      </x:c>
      <x:c r="C231" s="9" t="str">
        <x:v>EV-AR-HC-A-C-TECH-4-B2-INT-G0</x:v>
      </x:c>
      <x:c r="D231" s="9" t="str">
        <x:v>AR-HC-A-C-TECH-4-B2-INT-G0</x:v>
      </x:c>
      <x:c r="E231" s="9" t="str">
        <x:v>HC-A-C-TECH-4</x:v>
      </x:c>
      <x:c r="F231" s="9" t="str">
        <x:v>HC-A-C</x:v>
      </x:c>
      <x:c r="G231" s="9" t="str">
        <x:v>B2</x:v>
      </x:c>
      <x:c r="H231" s="9" t="str">
        <x:v>INT</x:v>
      </x:c>
      <x:c r="I231" s="9" t="str">
        <x:v>PD01</x:v>
      </x:c>
      <x:c r="J231" s="17" t="str">
        <x:v>Experiment kernel</x:v>
      </x:c>
      <x:c r="K231" s="17" t="str">
        <x:v>Public archive</x:v>
      </x:c>
      <x:c r="L231" s="17" t="str">
        <x:v>COURT-SEALED UNTIL COHORT RELEASE</x:v>
      </x:c>
      <x:c r="M231" s="9" t="n">
        <x:v>0</x:v>
      </x:c>
      <x:c r="N231" s="9" t="n">
        <x:v>0</x:v>
      </x:c>
      <x:c r="O231" s="9" t="n">
        <x:v>0</x:v>
      </x:c>
      <x:c r="P231" s="9" t="str">
        <x:v>HELD / UNRELEASED</x:v>
      </x:c>
      <x:c r="Q231" s="9" t="n">
        <x:f>COUNTIFS($A$7:$A$2310,A231)</x:f>
        <x:v>1</x:v>
      </x:c>
    </x:row>
    <x:row r="232">
      <x:c r="A232" s="9" t="str">
        <x:v>PD-AR-HC-A-C-TECH-4-B2-INT-G0-PD02</x:v>
      </x:c>
      <x:c r="B232" s="9" t="str">
        <x:v>PD-AR-HC-A-C-TECH-4-B2-INT-G0</x:v>
      </x:c>
      <x:c r="C232" s="9" t="str">
        <x:v>EV-AR-HC-A-C-TECH-4-B2-INT-G0</x:v>
      </x:c>
      <x:c r="D232" s="9" t="str">
        <x:v>AR-HC-A-C-TECH-4-B2-INT-G0</x:v>
      </x:c>
      <x:c r="E232" s="9" t="str">
        <x:v>HC-A-C-TECH-4</x:v>
      </x:c>
      <x:c r="F232" s="9" t="str">
        <x:v>HC-A-C</x:v>
      </x:c>
      <x:c r="G232" s="9" t="str">
        <x:v>B2</x:v>
      </x:c>
      <x:c r="H232" s="9" t="str">
        <x:v>INT</x:v>
      </x:c>
      <x:c r="I232" s="9" t="str">
        <x:v>PD02</x:v>
      </x:c>
      <x:c r="J232" s="17" t="str">
        <x:v>Serial annex and title chain</x:v>
      </x:c>
      <x:c r="K232" s="17" t="str">
        <x:v>Public archive</x:v>
      </x:c>
      <x:c r="L232" s="17" t="str">
        <x:v>COURT-SEALED UNTIL COHORT RELEASE</x:v>
      </x:c>
      <x:c r="M232" s="9" t="n">
        <x:v>0</x:v>
      </x:c>
      <x:c r="N232" s="9" t="n">
        <x:v>0</x:v>
      </x:c>
      <x:c r="O232" s="9" t="n">
        <x:v>0</x:v>
      </x:c>
      <x:c r="P232" s="9" t="str">
        <x:v>HELD / UNRELEASED</x:v>
      </x:c>
      <x:c r="Q232" s="9" t="n">
        <x:f>COUNTIFS($A$7:$A$2310,A232)</x:f>
        <x:v>1</x:v>
      </x:c>
    </x:row>
    <x:row r="233">
      <x:c r="A233" s="9" t="str">
        <x:v>PD-AR-HC-A-C-TECH-4-B2-INT-G0-PD03</x:v>
      </x:c>
      <x:c r="B233" s="9" t="str">
        <x:v>PD-AR-HC-A-C-TECH-4-B2-INT-G0</x:v>
      </x:c>
      <x:c r="C233" s="9" t="str">
        <x:v>EV-AR-HC-A-C-TECH-4-B2-INT-G0</x:v>
      </x:c>
      <x:c r="D233" s="9" t="str">
        <x:v>AR-HC-A-C-TECH-4-B2-INT-G0</x:v>
      </x:c>
      <x:c r="E233" s="9" t="str">
        <x:v>HC-A-C-TECH-4</x:v>
      </x:c>
      <x:c r="F233" s="9" t="str">
        <x:v>HC-A-C</x:v>
      </x:c>
      <x:c r="G233" s="9" t="str">
        <x:v>B2</x:v>
      </x:c>
      <x:c r="H233" s="9" t="str">
        <x:v>INT</x:v>
      </x:c>
      <x:c r="I233" s="9" t="str">
        <x:v>PD03</x:v>
      </x:c>
      <x:c r="J233" s="17" t="str">
        <x:v>Configuration and as-built manifest</x:v>
      </x:c>
      <x:c r="K233" s="17" t="str">
        <x:v>Artifact exchange</x:v>
      </x:c>
      <x:c r="L233" s="17" t="str">
        <x:v>COURT-SEALED UNTIL COHORT RELEASE</x:v>
      </x:c>
      <x:c r="M233" s="9" t="n">
        <x:v>0</x:v>
      </x:c>
      <x:c r="N233" s="9" t="n">
        <x:v>0</x:v>
      </x:c>
      <x:c r="O233" s="9" t="n">
        <x:v>0</x:v>
      </x:c>
      <x:c r="P233" s="9" t="str">
        <x:v>HELD / UNRELEASED</x:v>
      </x:c>
      <x:c r="Q233" s="9" t="n">
        <x:f>COUNTIFS($A$7:$A$2310,A233)</x:f>
        <x:v>1</x:v>
      </x:c>
    </x:row>
    <x:row r="234">
      <x:c r="A234" s="9" t="str">
        <x:v>PD-AR-HC-A-C-TECH-4-B2-INT-G0-PD04</x:v>
      </x:c>
      <x:c r="B234" s="9" t="str">
        <x:v>PD-AR-HC-A-C-TECH-4-B2-INT-G0</x:v>
      </x:c>
      <x:c r="C234" s="9" t="str">
        <x:v>EV-AR-HC-A-C-TECH-4-B2-INT-G0</x:v>
      </x:c>
      <x:c r="D234" s="9" t="str">
        <x:v>AR-HC-A-C-TECH-4-B2-INT-G0</x:v>
      </x:c>
      <x:c r="E234" s="9" t="str">
        <x:v>HC-A-C-TECH-4</x:v>
      </x:c>
      <x:c r="F234" s="9" t="str">
        <x:v>HC-A-C</x:v>
      </x:c>
      <x:c r="G234" s="9" t="str">
        <x:v>B2</x:v>
      </x:c>
      <x:c r="H234" s="9" t="str">
        <x:v>INT</x:v>
      </x:c>
      <x:c r="I234" s="9" t="str">
        <x:v>PD04</x:v>
      </x:c>
      <x:c r="J234" s="17" t="str">
        <x:v>EOW and start certificate</x:v>
      </x:c>
      <x:c r="K234" s="17" t="str">
        <x:v>Start registrar</x:v>
      </x:c>
      <x:c r="L234" s="17" t="str">
        <x:v>COURT-SEALED UNTIL COHORT RELEASE</x:v>
      </x:c>
      <x:c r="M234" s="9" t="n">
        <x:v>0</x:v>
      </x:c>
      <x:c r="N234" s="9" t="n">
        <x:v>0</x:v>
      </x:c>
      <x:c r="O234" s="9" t="n">
        <x:v>0</x:v>
      </x:c>
      <x:c r="P234" s="9" t="str">
        <x:v>HELD / UNRELEASED</x:v>
      </x:c>
      <x:c r="Q234" s="9" t="n">
        <x:f>COUNTIFS($A$7:$A$2310,A234)</x:f>
        <x:v>1</x:v>
      </x:c>
    </x:row>
    <x:row r="235">
      <x:c r="A235" s="9" t="str">
        <x:v>PD-AR-HC-A-C-TECH-4-B2-INT-G0-PD05</x:v>
      </x:c>
      <x:c r="B235" s="9" t="str">
        <x:v>PD-AR-HC-A-C-TECH-4-B2-INT-G0</x:v>
      </x:c>
      <x:c r="C235" s="9" t="str">
        <x:v>EV-AR-HC-A-C-TECH-4-B2-INT-G0</x:v>
      </x:c>
      <x:c r="D235" s="9" t="str">
        <x:v>AR-HC-A-C-TECH-4-B2-INT-G0</x:v>
      </x:c>
      <x:c r="E235" s="9" t="str">
        <x:v>HC-A-C-TECH-4</x:v>
      </x:c>
      <x:c r="F235" s="9" t="str">
        <x:v>HC-A-C</x:v>
      </x:c>
      <x:c r="G235" s="9" t="str">
        <x:v>B2</x:v>
      </x:c>
      <x:c r="H235" s="9" t="str">
        <x:v>INT</x:v>
      </x:c>
      <x:c r="I235" s="9" t="str">
        <x:v>PD05</x:v>
      </x:c>
      <x:c r="J235" s="17" t="str">
        <x:v>Primary raw originals</x:v>
      </x:c>
      <x:c r="K235" s="17" t="str">
        <x:v>Primary custody</x:v>
      </x:c>
      <x:c r="L235" s="17" t="str">
        <x:v>COURT-SEALED UNTIL COHORT RELEASE</x:v>
      </x:c>
      <x:c r="M235" s="9" t="n">
        <x:v>0</x:v>
      </x:c>
      <x:c r="N235" s="9" t="n">
        <x:v>0</x:v>
      </x:c>
      <x:c r="O235" s="9" t="n">
        <x:v>0</x:v>
      </x:c>
      <x:c r="P235" s="9" t="str">
        <x:v>HELD / UNRELEASED</x:v>
      </x:c>
      <x:c r="Q235" s="9" t="n">
        <x:f>COUNTIFS($A$7:$A$2310,A235)</x:f>
        <x:v>1</x:v>
      </x:c>
    </x:row>
    <x:row r="236">
      <x:c r="A236" s="9" t="str">
        <x:v>PD-AR-HC-A-C-TECH-4-B2-INT-G0-PD06</x:v>
      </x:c>
      <x:c r="B236" s="9" t="str">
        <x:v>PD-AR-HC-A-C-TECH-4-B2-INT-G0</x:v>
      </x:c>
      <x:c r="C236" s="9" t="str">
        <x:v>EV-AR-HC-A-C-TECH-4-B2-INT-G0</x:v>
      </x:c>
      <x:c r="D236" s="9" t="str">
        <x:v>AR-HC-A-C-TECH-4-B2-INT-G0</x:v>
      </x:c>
      <x:c r="E236" s="9" t="str">
        <x:v>HC-A-C-TECH-4</x:v>
      </x:c>
      <x:c r="F236" s="9" t="str">
        <x:v>HC-A-C</x:v>
      </x:c>
      <x:c r="G236" s="9" t="str">
        <x:v>B2</x:v>
      </x:c>
      <x:c r="H236" s="9" t="str">
        <x:v>INT</x:v>
      </x:c>
      <x:c r="I236" s="9" t="str">
        <x:v>PD06</x:v>
      </x:c>
      <x:c r="J236" s="17" t="str">
        <x:v>Witness raw originals</x:v>
      </x:c>
      <x:c r="K236" s="17" t="str">
        <x:v>Witness custody</x:v>
      </x:c>
      <x:c r="L236" s="17" t="str">
        <x:v>COURT-SEALED UNTIL COHORT RELEASE</x:v>
      </x:c>
      <x:c r="M236" s="9" t="n">
        <x:v>0</x:v>
      </x:c>
      <x:c r="N236" s="9" t="n">
        <x:v>0</x:v>
      </x:c>
      <x:c r="O236" s="9" t="n">
        <x:v>0</x:v>
      </x:c>
      <x:c r="P236" s="9" t="str">
        <x:v>HELD / UNRELEASED</x:v>
      </x:c>
      <x:c r="Q236" s="9" t="n">
        <x:f>COUNTIFS($A$7:$A$2310,A236)</x:f>
        <x:v>1</x:v>
      </x:c>
    </x:row>
    <x:row r="237">
      <x:c r="A237" s="9" t="str">
        <x:v>PD-AR-HC-A-C-TECH-4-B2-INT-G0-PD07</x:v>
      </x:c>
      <x:c r="B237" s="9" t="str">
        <x:v>PD-AR-HC-A-C-TECH-4-B2-INT-G0</x:v>
      </x:c>
      <x:c r="C237" s="9" t="str">
        <x:v>EV-AR-HC-A-C-TECH-4-B2-INT-G0</x:v>
      </x:c>
      <x:c r="D237" s="9" t="str">
        <x:v>AR-HC-A-C-TECH-4-B2-INT-G0</x:v>
      </x:c>
      <x:c r="E237" s="9" t="str">
        <x:v>HC-A-C-TECH-4</x:v>
      </x:c>
      <x:c r="F237" s="9" t="str">
        <x:v>HC-A-C</x:v>
      </x:c>
      <x:c r="G237" s="9" t="str">
        <x:v>B2</x:v>
      </x:c>
      <x:c r="H237" s="9" t="str">
        <x:v>INT</x:v>
      </x:c>
      <x:c r="I237" s="9" t="str">
        <x:v>PD07</x:v>
      </x:c>
      <x:c r="J237" s="17" t="str">
        <x:v>Clock and environmental records</x:v>
      </x:c>
      <x:c r="K237" s="17" t="str">
        <x:v>Boundary archive</x:v>
      </x:c>
      <x:c r="L237" s="17" t="str">
        <x:v>COURT-SEALED UNTIL COHORT RELEASE</x:v>
      </x:c>
      <x:c r="M237" s="9" t="n">
        <x:v>0</x:v>
      </x:c>
      <x:c r="N237" s="9" t="n">
        <x:v>0</x:v>
      </x:c>
      <x:c r="O237" s="9" t="n">
        <x:v>0</x:v>
      </x:c>
      <x:c r="P237" s="9" t="str">
        <x:v>HELD / UNRELEASED</x:v>
      </x:c>
      <x:c r="Q237" s="9" t="n">
        <x:f>COUNTIFS($A$7:$A$2310,A237)</x:f>
        <x:v>1</x:v>
      </x:c>
    </x:row>
    <x:row r="238">
      <x:c r="A238" s="9" t="str">
        <x:v>PD-AR-HC-A-C-TECH-4-B2-INT-G0-PD08</x:v>
      </x:c>
      <x:c r="B238" s="9" t="str">
        <x:v>PD-AR-HC-A-C-TECH-4-B2-INT-G0</x:v>
      </x:c>
      <x:c r="C238" s="9" t="str">
        <x:v>EV-AR-HC-A-C-TECH-4-B2-INT-G0</x:v>
      </x:c>
      <x:c r="D238" s="9" t="str">
        <x:v>AR-HC-A-C-TECH-4-B2-INT-G0</x:v>
      </x:c>
      <x:c r="E238" s="9" t="str">
        <x:v>HC-A-C-TECH-4</x:v>
      </x:c>
      <x:c r="F238" s="9" t="str">
        <x:v>HC-A-C</x:v>
      </x:c>
      <x:c r="G238" s="9" t="str">
        <x:v>B2</x:v>
      </x:c>
      <x:c r="H238" s="9" t="str">
        <x:v>INT</x:v>
      </x:c>
      <x:c r="I238" s="9" t="str">
        <x:v>PD08</x:v>
      </x:c>
      <x:c r="J238" s="17" t="str">
        <x:v>Command and intervention log</x:v>
      </x:c>
      <x:c r="K238" s="17" t="str">
        <x:v>Safety archive</x:v>
      </x:c>
      <x:c r="L238" s="17" t="str">
        <x:v>COURT-SEALED UNTIL COHORT RELEASE</x:v>
      </x:c>
      <x:c r="M238" s="9" t="n">
        <x:v>0</x:v>
      </x:c>
      <x:c r="N238" s="9" t="n">
        <x:v>0</x:v>
      </x:c>
      <x:c r="O238" s="9" t="n">
        <x:v>0</x:v>
      </x:c>
      <x:c r="P238" s="9" t="str">
        <x:v>HELD / UNRELEASED</x:v>
      </x:c>
      <x:c r="Q238" s="9" t="n">
        <x:f>COUNTIFS($A$7:$A$2310,A238)</x:f>
        <x:v>1</x:v>
      </x:c>
    </x:row>
    <x:row r="239">
      <x:c r="A239" s="9" t="str">
        <x:v>PD-AR-HC-A-C-TECH-4-B2-INT-G0-PD09</x:v>
      </x:c>
      <x:c r="B239" s="9" t="str">
        <x:v>PD-AR-HC-A-C-TECH-4-B2-INT-G0</x:v>
      </x:c>
      <x:c r="C239" s="9" t="str">
        <x:v>EV-AR-HC-A-C-TECH-4-B2-INT-G0</x:v>
      </x:c>
      <x:c r="D239" s="9" t="str">
        <x:v>AR-HC-A-C-TECH-4-B2-INT-G0</x:v>
      </x:c>
      <x:c r="E239" s="9" t="str">
        <x:v>HC-A-C-TECH-4</x:v>
      </x:c>
      <x:c r="F239" s="9" t="str">
        <x:v>HC-A-C</x:v>
      </x:c>
      <x:c r="G239" s="9" t="str">
        <x:v>B2</x:v>
      </x:c>
      <x:c r="H239" s="9" t="str">
        <x:v>INT</x:v>
      </x:c>
      <x:c r="I239" s="9" t="str">
        <x:v>PD09</x:v>
      </x:c>
      <x:c r="J239" s="17" t="str">
        <x:v>Receiver denominator and service ledger</x:v>
      </x:c>
      <x:c r="K239" s="17" t="str">
        <x:v>Receiver archive</x:v>
      </x:c>
      <x:c r="L239" s="17" t="str">
        <x:v>COURT-SEALED UNTIL COHORT RELEASE</x:v>
      </x:c>
      <x:c r="M239" s="9" t="n">
        <x:v>0</x:v>
      </x:c>
      <x:c r="N239" s="9" t="n">
        <x:v>0</x:v>
      </x:c>
      <x:c r="O239" s="9" t="n">
        <x:v>0</x:v>
      </x:c>
      <x:c r="P239" s="9" t="str">
        <x:v>HELD / UNRELEASED</x:v>
      </x:c>
      <x:c r="Q239" s="9" t="n">
        <x:f>COUNTIFS($A$7:$A$2310,A239)</x:f>
        <x:v>1</x:v>
      </x:c>
    </x:row>
    <x:row r="240">
      <x:c r="A240" s="9" t="str">
        <x:v>PD-AR-HC-A-C-TECH-4-B2-INT-G0-PD10</x:v>
      </x:c>
      <x:c r="B240" s="9" t="str">
        <x:v>PD-AR-HC-A-C-TECH-4-B2-INT-G0</x:v>
      </x:c>
      <x:c r="C240" s="9" t="str">
        <x:v>EV-AR-HC-A-C-TECH-4-B2-INT-G0</x:v>
      </x:c>
      <x:c r="D240" s="9" t="str">
        <x:v>AR-HC-A-C-TECH-4-B2-INT-G0</x:v>
      </x:c>
      <x:c r="E240" s="9" t="str">
        <x:v>HC-A-C-TECH-4</x:v>
      </x:c>
      <x:c r="F240" s="9" t="str">
        <x:v>HC-A-C</x:v>
      </x:c>
      <x:c r="G240" s="9" t="str">
        <x:v>B2</x:v>
      </x:c>
      <x:c r="H240" s="9" t="str">
        <x:v>INT</x:v>
      </x:c>
      <x:c r="I240" s="9" t="str">
        <x:v>PD10</x:v>
      </x:c>
      <x:c r="J240" s="17" t="str">
        <x:v>Calibration and uncertainty record</x:v>
      </x:c>
      <x:c r="K240" s="17" t="str">
        <x:v>Metrology archive</x:v>
      </x:c>
      <x:c r="L240" s="17" t="str">
        <x:v>COURT-SEALED UNTIL COHORT RELEASE</x:v>
      </x:c>
      <x:c r="M240" s="9" t="n">
        <x:v>0</x:v>
      </x:c>
      <x:c r="N240" s="9" t="n">
        <x:v>0</x:v>
      </x:c>
      <x:c r="O240" s="9" t="n">
        <x:v>0</x:v>
      </x:c>
      <x:c r="P240" s="9" t="str">
        <x:v>HELD / UNRELEASED</x:v>
      </x:c>
      <x:c r="Q240" s="9" t="n">
        <x:f>COUNTIFS($A$7:$A$2310,A240)</x:f>
        <x:v>1</x:v>
      </x:c>
    </x:row>
    <x:row r="241">
      <x:c r="A241" s="9" t="str">
        <x:v>PD-AR-HC-A-C-TECH-4-B2-INT-G0-PD11</x:v>
      </x:c>
      <x:c r="B241" s="9" t="str">
        <x:v>PD-AR-HC-A-C-TECH-4-B2-INT-G0</x:v>
      </x:c>
      <x:c r="C241" s="9" t="str">
        <x:v>EV-AR-HC-A-C-TECH-4-B2-INT-G0</x:v>
      </x:c>
      <x:c r="D241" s="9" t="str">
        <x:v>AR-HC-A-C-TECH-4-B2-INT-G0</x:v>
      </x:c>
      <x:c r="E241" s="9" t="str">
        <x:v>HC-A-C-TECH-4</x:v>
      </x:c>
      <x:c r="F241" s="9" t="str">
        <x:v>HC-A-C</x:v>
      </x:c>
      <x:c r="G241" s="9" t="str">
        <x:v>B2</x:v>
      </x:c>
      <x:c r="H241" s="9" t="str">
        <x:v>INT</x:v>
      </x:c>
      <x:c r="I241" s="9" t="str">
        <x:v>PD11</x:v>
      </x:c>
      <x:c r="J241" s="17" t="str">
        <x:v>Invalidity petition and opinion</x:v>
      </x:c>
      <x:c r="K241" s="17" t="str">
        <x:v>Invalidity court</x:v>
      </x:c>
      <x:c r="L241" s="17" t="str">
        <x:v>COURT-SEALED UNTIL COHORT RELEASE</x:v>
      </x:c>
      <x:c r="M241" s="9" t="n">
        <x:v>0</x:v>
      </x:c>
      <x:c r="N241" s="9" t="n">
        <x:v>0</x:v>
      </x:c>
      <x:c r="O241" s="9" t="n">
        <x:v>0</x:v>
      </x:c>
      <x:c r="P241" s="9" t="str">
        <x:v>HELD / UNRELEASED</x:v>
      </x:c>
      <x:c r="Q241" s="9" t="n">
        <x:f>COUNTIFS($A$7:$A$2310,A241)</x:f>
        <x:v>1</x:v>
      </x:c>
    </x:row>
    <x:row r="242">
      <x:c r="A242" s="9" t="str">
        <x:v>PD-AR-HC-A-C-TECH-4-B2-INT-G0-PD12</x:v>
      </x:c>
      <x:c r="B242" s="9" t="str">
        <x:v>PD-AR-HC-A-C-TECH-4-B2-INT-G0</x:v>
      </x:c>
      <x:c r="C242" s="9" t="str">
        <x:v>EV-AR-HC-A-C-TECH-4-B2-INT-G0</x:v>
      </x:c>
      <x:c r="D242" s="9" t="str">
        <x:v>AR-HC-A-C-TECH-4-B2-INT-G0</x:v>
      </x:c>
      <x:c r="E242" s="9" t="str">
        <x:v>HC-A-C-TECH-4</x:v>
      </x:c>
      <x:c r="F242" s="9" t="str">
        <x:v>HC-A-C</x:v>
      </x:c>
      <x:c r="G242" s="9" t="str">
        <x:v>B2</x:v>
      </x:c>
      <x:c r="H242" s="9" t="str">
        <x:v>INT</x:v>
      </x:c>
      <x:c r="I242" s="9" t="str">
        <x:v>PD12</x:v>
      </x:c>
      <x:c r="J242" s="17" t="str">
        <x:v>Observation acceptance and replay</x:v>
      </x:c>
      <x:c r="K242" s="17" t="str">
        <x:v>Observation court</x:v>
      </x:c>
      <x:c r="L242" s="17" t="str">
        <x:v>COURT-SEALED UNTIL COHORT RELEASE</x:v>
      </x:c>
      <x:c r="M242" s="9" t="n">
        <x:v>0</x:v>
      </x:c>
      <x:c r="N242" s="9" t="n">
        <x:v>0</x:v>
      </x:c>
      <x:c r="O242" s="9" t="n">
        <x:v>0</x:v>
      </x:c>
      <x:c r="P242" s="9" t="str">
        <x:v>HELD / UNRELEASED</x:v>
      </x:c>
      <x:c r="Q242" s="9" t="n">
        <x:f>COUNTIFS($A$7:$A$2310,A242)</x:f>
        <x:v>1</x:v>
      </x:c>
    </x:row>
    <x:row r="243">
      <x:c r="A243" s="9" t="str">
        <x:v>PD-AR-HC-A-C-TECH-4-B2-INT-G0-PD13</x:v>
      </x:c>
      <x:c r="B243" s="9" t="str">
        <x:v>PD-AR-HC-A-C-TECH-4-B2-INT-G0</x:v>
      </x:c>
      <x:c r="C243" s="9" t="str">
        <x:v>EV-AR-HC-A-C-TECH-4-B2-INT-G0</x:v>
      </x:c>
      <x:c r="D243" s="9" t="str">
        <x:v>AR-HC-A-C-TECH-4-B2-INT-G0</x:v>
      </x:c>
      <x:c r="E243" s="9" t="str">
        <x:v>HC-A-C-TECH-4</x:v>
      </x:c>
      <x:c r="F243" s="9" t="str">
        <x:v>HC-A-C</x:v>
      </x:c>
      <x:c r="G243" s="9" t="str">
        <x:v>B2</x:v>
      </x:c>
      <x:c r="H243" s="9" t="str">
        <x:v>INT</x:v>
      </x:c>
      <x:c r="I243" s="9" t="str">
        <x:v>PD13</x:v>
      </x:c>
      <x:c r="J243" s="17" t="str">
        <x:v>Role judgment</x:v>
      </x:c>
      <x:c r="K243" s="17" t="str">
        <x:v>Role court</x:v>
      </x:c>
      <x:c r="L243" s="17" t="str">
        <x:v>COURT-SEALED UNTIL COHORT RELEASE</x:v>
      </x:c>
      <x:c r="M243" s="9" t="n">
        <x:v>0</x:v>
      </x:c>
      <x:c r="N243" s="9" t="n">
        <x:v>0</x:v>
      </x:c>
      <x:c r="O243" s="9" t="n">
        <x:v>0</x:v>
      </x:c>
      <x:c r="P243" s="9" t="str">
        <x:v>HELD / UNRELEASED</x:v>
      </x:c>
      <x:c r="Q243" s="9" t="n">
        <x:f>COUNTIFS($A$7:$A$2310,A243)</x:f>
        <x:v>1</x:v>
      </x:c>
    </x:row>
    <x:row r="244">
      <x:c r="A244" s="9" t="str">
        <x:v>PD-AR-HC-A-C-TECH-4-B2-INT-G0-PD14</x:v>
      </x:c>
      <x:c r="B244" s="9" t="str">
        <x:v>PD-AR-HC-A-C-TECH-4-B2-INT-G0</x:v>
      </x:c>
      <x:c r="C244" s="9" t="str">
        <x:v>EV-AR-HC-A-C-TECH-4-B2-INT-G0</x:v>
      </x:c>
      <x:c r="D244" s="9" t="str">
        <x:v>AR-HC-A-C-TECH-4-B2-INT-G0</x:v>
      </x:c>
      <x:c r="E244" s="9" t="str">
        <x:v>HC-A-C-TECH-4</x:v>
      </x:c>
      <x:c r="F244" s="9" t="str">
        <x:v>HC-A-C</x:v>
      </x:c>
      <x:c r="G244" s="9" t="str">
        <x:v>B2</x:v>
      </x:c>
      <x:c r="H244" s="9" t="str">
        <x:v>INT</x:v>
      </x:c>
      <x:c r="I244" s="9" t="str">
        <x:v>PD14</x:v>
      </x:c>
      <x:c r="J244" s="17" t="str">
        <x:v>Break and residual account</x:v>
      </x:c>
      <x:c r="K244" s="17" t="str">
        <x:v>Residual authority</x:v>
      </x:c>
      <x:c r="L244" s="17" t="str">
        <x:v>COURT-SEALED UNTIL COHORT RELEASE</x:v>
      </x:c>
      <x:c r="M244" s="9" t="n">
        <x:v>0</x:v>
      </x:c>
      <x:c r="N244" s="9" t="n">
        <x:v>0</x:v>
      </x:c>
      <x:c r="O244" s="9" t="n">
        <x:v>0</x:v>
      </x:c>
      <x:c r="P244" s="9" t="str">
        <x:v>HELD / UNRELEASED</x:v>
      </x:c>
      <x:c r="Q244" s="9" t="n">
        <x:f>COUNTIFS($A$7:$A$2310,A244)</x:f>
        <x:v>1</x:v>
      </x:c>
    </x:row>
    <x:row r="245">
      <x:c r="A245" s="9" t="str">
        <x:v>PD-AR-HC-A-C-TECH-4-B2-INT-G0-PD15</x:v>
      </x:c>
      <x:c r="B245" s="9" t="str">
        <x:v>PD-AR-HC-A-C-TECH-4-B2-INT-G0</x:v>
      </x:c>
      <x:c r="C245" s="9" t="str">
        <x:v>EV-AR-HC-A-C-TECH-4-B2-INT-G0</x:v>
      </x:c>
      <x:c r="D245" s="9" t="str">
        <x:v>AR-HC-A-C-TECH-4-B2-INT-G0</x:v>
      </x:c>
      <x:c r="E245" s="9" t="str">
        <x:v>HC-A-C-TECH-4</x:v>
      </x:c>
      <x:c r="F245" s="9" t="str">
        <x:v>HC-A-C</x:v>
      </x:c>
      <x:c r="G245" s="9" t="str">
        <x:v>B2</x:v>
      </x:c>
      <x:c r="H245" s="9" t="str">
        <x:v>INT</x:v>
      </x:c>
      <x:c r="I245" s="9" t="str">
        <x:v>PD15</x:v>
      </x:c>
      <x:c r="J245" s="17" t="str">
        <x:v>Reconstruction ancestry and replay</x:v>
      </x:c>
      <x:c r="K245" s="17" t="str">
        <x:v>Reconstruction court</x:v>
      </x:c>
      <x:c r="L245" s="17" t="str">
        <x:v>COURT-SEALED UNTIL COHORT RELEASE</x:v>
      </x:c>
      <x:c r="M245" s="9" t="n">
        <x:v>0</x:v>
      </x:c>
      <x:c r="N245" s="9" t="n">
        <x:v>0</x:v>
      </x:c>
      <x:c r="O245" s="9" t="n">
        <x:v>0</x:v>
      </x:c>
      <x:c r="P245" s="9" t="str">
        <x:v>HELD / UNRELEASED</x:v>
      </x:c>
      <x:c r="Q245" s="9" t="n">
        <x:f>COUNTIFS($A$7:$A$2310,A245)</x:f>
        <x:v>1</x:v>
      </x:c>
    </x:row>
    <x:row r="246">
      <x:c r="A246" s="9" t="str">
        <x:v>PD-AR-HC-A-C-TECH-4-B2-INT-G0-PD16</x:v>
      </x:c>
      <x:c r="B246" s="9" t="str">
        <x:v>PD-AR-HC-A-C-TECH-4-B2-INT-G0</x:v>
      </x:c>
      <x:c r="C246" s="9" t="str">
        <x:v>EV-AR-HC-A-C-TECH-4-B2-INT-G0</x:v>
      </x:c>
      <x:c r="D246" s="9" t="str">
        <x:v>AR-HC-A-C-TECH-4-B2-INT-G0</x:v>
      </x:c>
      <x:c r="E246" s="9" t="str">
        <x:v>HC-A-C-TECH-4</x:v>
      </x:c>
      <x:c r="F246" s="9" t="str">
        <x:v>HC-A-C</x:v>
      </x:c>
      <x:c r="G246" s="9" t="str">
        <x:v>B2</x:v>
      </x:c>
      <x:c r="H246" s="9" t="str">
        <x:v>INT</x:v>
      </x:c>
      <x:c r="I246" s="9" t="str">
        <x:v>PD16</x:v>
      </x:c>
      <x:c r="J246" s="17" t="str">
        <x:v>Dissent, amendments and access log</x:v>
      </x:c>
      <x:c r="K246" s="17" t="str">
        <x:v>Public archive</x:v>
      </x:c>
      <x:c r="L246" s="17" t="str">
        <x:v>COURT-SEALED UNTIL COHORT RELEASE</x:v>
      </x:c>
      <x:c r="M246" s="9" t="n">
        <x:v>0</x:v>
      </x:c>
      <x:c r="N246" s="9" t="n">
        <x:v>0</x:v>
      </x:c>
      <x:c r="O246" s="9" t="n">
        <x:v>0</x:v>
      </x:c>
      <x:c r="P246" s="9" t="str">
        <x:v>HELD / UNRELEASED</x:v>
      </x:c>
      <x:c r="Q246" s="9" t="n">
        <x:f>COUNTIFS($A$7:$A$2310,A246)</x:f>
        <x:v>1</x:v>
      </x:c>
    </x:row>
    <x:row r="247">
      <x:c r="A247" s="9" t="str">
        <x:v>PD-AR-LF-B-A-TECH-3-B2-INT-G0-PD01</x:v>
      </x:c>
      <x:c r="B247" s="9" t="str">
        <x:v>PD-AR-LF-B-A-TECH-3-B2-INT-G0</x:v>
      </x:c>
      <x:c r="C247" s="9" t="str">
        <x:v>EV-AR-LF-B-A-TECH-3-B2-INT-G0</x:v>
      </x:c>
      <x:c r="D247" s="9" t="str">
        <x:v>AR-LF-B-A-TECH-3-B2-INT-G0</x:v>
      </x:c>
      <x:c r="E247" s="9" t="str">
        <x:v>LF-B-A-TECH-3</x:v>
      </x:c>
      <x:c r="F247" s="9" t="str">
        <x:v>LF-B-A</x:v>
      </x:c>
      <x:c r="G247" s="9" t="str">
        <x:v>B2</x:v>
      </x:c>
      <x:c r="H247" s="9" t="str">
        <x:v>INT</x:v>
      </x:c>
      <x:c r="I247" s="9" t="str">
        <x:v>PD01</x:v>
      </x:c>
      <x:c r="J247" s="17" t="str">
        <x:v>Experiment kernel</x:v>
      </x:c>
      <x:c r="K247" s="17" t="str">
        <x:v>Public archive</x:v>
      </x:c>
      <x:c r="L247" s="17" t="str">
        <x:v>COURT-SEALED UNTIL COHORT RELEASE</x:v>
      </x:c>
      <x:c r="M247" s="9" t="n">
        <x:v>0</x:v>
      </x:c>
      <x:c r="N247" s="9" t="n">
        <x:v>0</x:v>
      </x:c>
      <x:c r="O247" s="9" t="n">
        <x:v>0</x:v>
      </x:c>
      <x:c r="P247" s="9" t="str">
        <x:v>HELD / UNRELEASED</x:v>
      </x:c>
      <x:c r="Q247" s="9" t="n">
        <x:f>COUNTIFS($A$7:$A$2310,A247)</x:f>
        <x:v>1</x:v>
      </x:c>
    </x:row>
    <x:row r="248">
      <x:c r="A248" s="9" t="str">
        <x:v>PD-AR-LF-B-A-TECH-3-B2-INT-G0-PD02</x:v>
      </x:c>
      <x:c r="B248" s="9" t="str">
        <x:v>PD-AR-LF-B-A-TECH-3-B2-INT-G0</x:v>
      </x:c>
      <x:c r="C248" s="9" t="str">
        <x:v>EV-AR-LF-B-A-TECH-3-B2-INT-G0</x:v>
      </x:c>
      <x:c r="D248" s="9" t="str">
        <x:v>AR-LF-B-A-TECH-3-B2-INT-G0</x:v>
      </x:c>
      <x:c r="E248" s="9" t="str">
        <x:v>LF-B-A-TECH-3</x:v>
      </x:c>
      <x:c r="F248" s="9" t="str">
        <x:v>LF-B-A</x:v>
      </x:c>
      <x:c r="G248" s="9" t="str">
        <x:v>B2</x:v>
      </x:c>
      <x:c r="H248" s="9" t="str">
        <x:v>INT</x:v>
      </x:c>
      <x:c r="I248" s="9" t="str">
        <x:v>PD02</x:v>
      </x:c>
      <x:c r="J248" s="17" t="str">
        <x:v>Serial annex and title chain</x:v>
      </x:c>
      <x:c r="K248" s="17" t="str">
        <x:v>Public archive</x:v>
      </x:c>
      <x:c r="L248" s="17" t="str">
        <x:v>COURT-SEALED UNTIL COHORT RELEASE</x:v>
      </x:c>
      <x:c r="M248" s="9" t="n">
        <x:v>0</x:v>
      </x:c>
      <x:c r="N248" s="9" t="n">
        <x:v>0</x:v>
      </x:c>
      <x:c r="O248" s="9" t="n">
        <x:v>0</x:v>
      </x:c>
      <x:c r="P248" s="9" t="str">
        <x:v>HELD / UNRELEASED</x:v>
      </x:c>
      <x:c r="Q248" s="9" t="n">
        <x:f>COUNTIFS($A$7:$A$2310,A248)</x:f>
        <x:v>1</x:v>
      </x:c>
    </x:row>
    <x:row r="249">
      <x:c r="A249" s="9" t="str">
        <x:v>PD-AR-LF-B-A-TECH-3-B2-INT-G0-PD03</x:v>
      </x:c>
      <x:c r="B249" s="9" t="str">
        <x:v>PD-AR-LF-B-A-TECH-3-B2-INT-G0</x:v>
      </x:c>
      <x:c r="C249" s="9" t="str">
        <x:v>EV-AR-LF-B-A-TECH-3-B2-INT-G0</x:v>
      </x:c>
      <x:c r="D249" s="9" t="str">
        <x:v>AR-LF-B-A-TECH-3-B2-INT-G0</x:v>
      </x:c>
      <x:c r="E249" s="9" t="str">
        <x:v>LF-B-A-TECH-3</x:v>
      </x:c>
      <x:c r="F249" s="9" t="str">
        <x:v>LF-B-A</x:v>
      </x:c>
      <x:c r="G249" s="9" t="str">
        <x:v>B2</x:v>
      </x:c>
      <x:c r="H249" s="9" t="str">
        <x:v>INT</x:v>
      </x:c>
      <x:c r="I249" s="9" t="str">
        <x:v>PD03</x:v>
      </x:c>
      <x:c r="J249" s="17" t="str">
        <x:v>Configuration and as-built manifest</x:v>
      </x:c>
      <x:c r="K249" s="17" t="str">
        <x:v>Artifact exchange</x:v>
      </x:c>
      <x:c r="L249" s="17" t="str">
        <x:v>COURT-SEALED UNTIL COHORT RELEASE</x:v>
      </x:c>
      <x:c r="M249" s="9" t="n">
        <x:v>0</x:v>
      </x:c>
      <x:c r="N249" s="9" t="n">
        <x:v>0</x:v>
      </x:c>
      <x:c r="O249" s="9" t="n">
        <x:v>0</x:v>
      </x:c>
      <x:c r="P249" s="9" t="str">
        <x:v>HELD / UNRELEASED</x:v>
      </x:c>
      <x:c r="Q249" s="9" t="n">
        <x:f>COUNTIFS($A$7:$A$2310,A249)</x:f>
        <x:v>1</x:v>
      </x:c>
    </x:row>
    <x:row r="250">
      <x:c r="A250" s="9" t="str">
        <x:v>PD-AR-LF-B-A-TECH-3-B2-INT-G0-PD04</x:v>
      </x:c>
      <x:c r="B250" s="9" t="str">
        <x:v>PD-AR-LF-B-A-TECH-3-B2-INT-G0</x:v>
      </x:c>
      <x:c r="C250" s="9" t="str">
        <x:v>EV-AR-LF-B-A-TECH-3-B2-INT-G0</x:v>
      </x:c>
      <x:c r="D250" s="9" t="str">
        <x:v>AR-LF-B-A-TECH-3-B2-INT-G0</x:v>
      </x:c>
      <x:c r="E250" s="9" t="str">
        <x:v>LF-B-A-TECH-3</x:v>
      </x:c>
      <x:c r="F250" s="9" t="str">
        <x:v>LF-B-A</x:v>
      </x:c>
      <x:c r="G250" s="9" t="str">
        <x:v>B2</x:v>
      </x:c>
      <x:c r="H250" s="9" t="str">
        <x:v>INT</x:v>
      </x:c>
      <x:c r="I250" s="9" t="str">
        <x:v>PD04</x:v>
      </x:c>
      <x:c r="J250" s="17" t="str">
        <x:v>EOW and start certificate</x:v>
      </x:c>
      <x:c r="K250" s="17" t="str">
        <x:v>Start registrar</x:v>
      </x:c>
      <x:c r="L250" s="17" t="str">
        <x:v>COURT-SEALED UNTIL COHORT RELEASE</x:v>
      </x:c>
      <x:c r="M250" s="9" t="n">
        <x:v>0</x:v>
      </x:c>
      <x:c r="N250" s="9" t="n">
        <x:v>0</x:v>
      </x:c>
      <x:c r="O250" s="9" t="n">
        <x:v>0</x:v>
      </x:c>
      <x:c r="P250" s="9" t="str">
        <x:v>HELD / UNRELEASED</x:v>
      </x:c>
      <x:c r="Q250" s="9" t="n">
        <x:f>COUNTIFS($A$7:$A$2310,A250)</x:f>
        <x:v>1</x:v>
      </x:c>
    </x:row>
    <x:row r="251">
      <x:c r="A251" s="9" t="str">
        <x:v>PD-AR-LF-B-A-TECH-3-B2-INT-G0-PD05</x:v>
      </x:c>
      <x:c r="B251" s="9" t="str">
        <x:v>PD-AR-LF-B-A-TECH-3-B2-INT-G0</x:v>
      </x:c>
      <x:c r="C251" s="9" t="str">
        <x:v>EV-AR-LF-B-A-TECH-3-B2-INT-G0</x:v>
      </x:c>
      <x:c r="D251" s="9" t="str">
        <x:v>AR-LF-B-A-TECH-3-B2-INT-G0</x:v>
      </x:c>
      <x:c r="E251" s="9" t="str">
        <x:v>LF-B-A-TECH-3</x:v>
      </x:c>
      <x:c r="F251" s="9" t="str">
        <x:v>LF-B-A</x:v>
      </x:c>
      <x:c r="G251" s="9" t="str">
        <x:v>B2</x:v>
      </x:c>
      <x:c r="H251" s="9" t="str">
        <x:v>INT</x:v>
      </x:c>
      <x:c r="I251" s="9" t="str">
        <x:v>PD05</x:v>
      </x:c>
      <x:c r="J251" s="17" t="str">
        <x:v>Primary raw originals</x:v>
      </x:c>
      <x:c r="K251" s="17" t="str">
        <x:v>Primary custody</x:v>
      </x:c>
      <x:c r="L251" s="17" t="str">
        <x:v>COURT-SEALED UNTIL COHORT RELEASE</x:v>
      </x:c>
      <x:c r="M251" s="9" t="n">
        <x:v>0</x:v>
      </x:c>
      <x:c r="N251" s="9" t="n">
        <x:v>0</x:v>
      </x:c>
      <x:c r="O251" s="9" t="n">
        <x:v>0</x:v>
      </x:c>
      <x:c r="P251" s="9" t="str">
        <x:v>HELD / UNRELEASED</x:v>
      </x:c>
      <x:c r="Q251" s="9" t="n">
        <x:f>COUNTIFS($A$7:$A$2310,A251)</x:f>
        <x:v>1</x:v>
      </x:c>
    </x:row>
    <x:row r="252">
      <x:c r="A252" s="9" t="str">
        <x:v>PD-AR-LF-B-A-TECH-3-B2-INT-G0-PD06</x:v>
      </x:c>
      <x:c r="B252" s="9" t="str">
        <x:v>PD-AR-LF-B-A-TECH-3-B2-INT-G0</x:v>
      </x:c>
      <x:c r="C252" s="9" t="str">
        <x:v>EV-AR-LF-B-A-TECH-3-B2-INT-G0</x:v>
      </x:c>
      <x:c r="D252" s="9" t="str">
        <x:v>AR-LF-B-A-TECH-3-B2-INT-G0</x:v>
      </x:c>
      <x:c r="E252" s="9" t="str">
        <x:v>LF-B-A-TECH-3</x:v>
      </x:c>
      <x:c r="F252" s="9" t="str">
        <x:v>LF-B-A</x:v>
      </x:c>
      <x:c r="G252" s="9" t="str">
        <x:v>B2</x:v>
      </x:c>
      <x:c r="H252" s="9" t="str">
        <x:v>INT</x:v>
      </x:c>
      <x:c r="I252" s="9" t="str">
        <x:v>PD06</x:v>
      </x:c>
      <x:c r="J252" s="17" t="str">
        <x:v>Witness raw originals</x:v>
      </x:c>
      <x:c r="K252" s="17" t="str">
        <x:v>Witness custody</x:v>
      </x:c>
      <x:c r="L252" s="17" t="str">
        <x:v>COURT-SEALED UNTIL COHORT RELEASE</x:v>
      </x:c>
      <x:c r="M252" s="9" t="n">
        <x:v>0</x:v>
      </x:c>
      <x:c r="N252" s="9" t="n">
        <x:v>0</x:v>
      </x:c>
      <x:c r="O252" s="9" t="n">
        <x:v>0</x:v>
      </x:c>
      <x:c r="P252" s="9" t="str">
        <x:v>HELD / UNRELEASED</x:v>
      </x:c>
      <x:c r="Q252" s="9" t="n">
        <x:f>COUNTIFS($A$7:$A$2310,A252)</x:f>
        <x:v>1</x:v>
      </x:c>
    </x:row>
    <x:row r="253">
      <x:c r="A253" s="9" t="str">
        <x:v>PD-AR-LF-B-A-TECH-3-B2-INT-G0-PD07</x:v>
      </x:c>
      <x:c r="B253" s="9" t="str">
        <x:v>PD-AR-LF-B-A-TECH-3-B2-INT-G0</x:v>
      </x:c>
      <x:c r="C253" s="9" t="str">
        <x:v>EV-AR-LF-B-A-TECH-3-B2-INT-G0</x:v>
      </x:c>
      <x:c r="D253" s="9" t="str">
        <x:v>AR-LF-B-A-TECH-3-B2-INT-G0</x:v>
      </x:c>
      <x:c r="E253" s="9" t="str">
        <x:v>LF-B-A-TECH-3</x:v>
      </x:c>
      <x:c r="F253" s="9" t="str">
        <x:v>LF-B-A</x:v>
      </x:c>
      <x:c r="G253" s="9" t="str">
        <x:v>B2</x:v>
      </x:c>
      <x:c r="H253" s="9" t="str">
        <x:v>INT</x:v>
      </x:c>
      <x:c r="I253" s="9" t="str">
        <x:v>PD07</x:v>
      </x:c>
      <x:c r="J253" s="17" t="str">
        <x:v>Clock and environmental records</x:v>
      </x:c>
      <x:c r="K253" s="17" t="str">
        <x:v>Boundary archive</x:v>
      </x:c>
      <x:c r="L253" s="17" t="str">
        <x:v>COURT-SEALED UNTIL COHORT RELEASE</x:v>
      </x:c>
      <x:c r="M253" s="9" t="n">
        <x:v>0</x:v>
      </x:c>
      <x:c r="N253" s="9" t="n">
        <x:v>0</x:v>
      </x:c>
      <x:c r="O253" s="9" t="n">
        <x:v>0</x:v>
      </x:c>
      <x:c r="P253" s="9" t="str">
        <x:v>HELD / UNRELEASED</x:v>
      </x:c>
      <x:c r="Q253" s="9" t="n">
        <x:f>COUNTIFS($A$7:$A$2310,A253)</x:f>
        <x:v>1</x:v>
      </x:c>
    </x:row>
    <x:row r="254">
      <x:c r="A254" s="9" t="str">
        <x:v>PD-AR-LF-B-A-TECH-3-B2-INT-G0-PD08</x:v>
      </x:c>
      <x:c r="B254" s="9" t="str">
        <x:v>PD-AR-LF-B-A-TECH-3-B2-INT-G0</x:v>
      </x:c>
      <x:c r="C254" s="9" t="str">
        <x:v>EV-AR-LF-B-A-TECH-3-B2-INT-G0</x:v>
      </x:c>
      <x:c r="D254" s="9" t="str">
        <x:v>AR-LF-B-A-TECH-3-B2-INT-G0</x:v>
      </x:c>
      <x:c r="E254" s="9" t="str">
        <x:v>LF-B-A-TECH-3</x:v>
      </x:c>
      <x:c r="F254" s="9" t="str">
        <x:v>LF-B-A</x:v>
      </x:c>
      <x:c r="G254" s="9" t="str">
        <x:v>B2</x:v>
      </x:c>
      <x:c r="H254" s="9" t="str">
        <x:v>INT</x:v>
      </x:c>
      <x:c r="I254" s="9" t="str">
        <x:v>PD08</x:v>
      </x:c>
      <x:c r="J254" s="17" t="str">
        <x:v>Command and intervention log</x:v>
      </x:c>
      <x:c r="K254" s="17" t="str">
        <x:v>Safety archive</x:v>
      </x:c>
      <x:c r="L254" s="17" t="str">
        <x:v>COURT-SEALED UNTIL COHORT RELEASE</x:v>
      </x:c>
      <x:c r="M254" s="9" t="n">
        <x:v>0</x:v>
      </x:c>
      <x:c r="N254" s="9" t="n">
        <x:v>0</x:v>
      </x:c>
      <x:c r="O254" s="9" t="n">
        <x:v>0</x:v>
      </x:c>
      <x:c r="P254" s="9" t="str">
        <x:v>HELD / UNRELEASED</x:v>
      </x:c>
      <x:c r="Q254" s="9" t="n">
        <x:f>COUNTIFS($A$7:$A$2310,A254)</x:f>
        <x:v>1</x:v>
      </x:c>
    </x:row>
    <x:row r="255">
      <x:c r="A255" s="9" t="str">
        <x:v>PD-AR-LF-B-A-TECH-3-B2-INT-G0-PD09</x:v>
      </x:c>
      <x:c r="B255" s="9" t="str">
        <x:v>PD-AR-LF-B-A-TECH-3-B2-INT-G0</x:v>
      </x:c>
      <x:c r="C255" s="9" t="str">
        <x:v>EV-AR-LF-B-A-TECH-3-B2-INT-G0</x:v>
      </x:c>
      <x:c r="D255" s="9" t="str">
        <x:v>AR-LF-B-A-TECH-3-B2-INT-G0</x:v>
      </x:c>
      <x:c r="E255" s="9" t="str">
        <x:v>LF-B-A-TECH-3</x:v>
      </x:c>
      <x:c r="F255" s="9" t="str">
        <x:v>LF-B-A</x:v>
      </x:c>
      <x:c r="G255" s="9" t="str">
        <x:v>B2</x:v>
      </x:c>
      <x:c r="H255" s="9" t="str">
        <x:v>INT</x:v>
      </x:c>
      <x:c r="I255" s="9" t="str">
        <x:v>PD09</x:v>
      </x:c>
      <x:c r="J255" s="17" t="str">
        <x:v>Receiver denominator and service ledger</x:v>
      </x:c>
      <x:c r="K255" s="17" t="str">
        <x:v>Receiver archive</x:v>
      </x:c>
      <x:c r="L255" s="17" t="str">
        <x:v>COURT-SEALED UNTIL COHORT RELEASE</x:v>
      </x:c>
      <x:c r="M255" s="9" t="n">
        <x:v>0</x:v>
      </x:c>
      <x:c r="N255" s="9" t="n">
        <x:v>0</x:v>
      </x:c>
      <x:c r="O255" s="9" t="n">
        <x:v>0</x:v>
      </x:c>
      <x:c r="P255" s="9" t="str">
        <x:v>HELD / UNRELEASED</x:v>
      </x:c>
      <x:c r="Q255" s="9" t="n">
        <x:f>COUNTIFS($A$7:$A$2310,A255)</x:f>
        <x:v>1</x:v>
      </x:c>
    </x:row>
    <x:row r="256">
      <x:c r="A256" s="9" t="str">
        <x:v>PD-AR-LF-B-A-TECH-3-B2-INT-G0-PD10</x:v>
      </x:c>
      <x:c r="B256" s="9" t="str">
        <x:v>PD-AR-LF-B-A-TECH-3-B2-INT-G0</x:v>
      </x:c>
      <x:c r="C256" s="9" t="str">
        <x:v>EV-AR-LF-B-A-TECH-3-B2-INT-G0</x:v>
      </x:c>
      <x:c r="D256" s="9" t="str">
        <x:v>AR-LF-B-A-TECH-3-B2-INT-G0</x:v>
      </x:c>
      <x:c r="E256" s="9" t="str">
        <x:v>LF-B-A-TECH-3</x:v>
      </x:c>
      <x:c r="F256" s="9" t="str">
        <x:v>LF-B-A</x:v>
      </x:c>
      <x:c r="G256" s="9" t="str">
        <x:v>B2</x:v>
      </x:c>
      <x:c r="H256" s="9" t="str">
        <x:v>INT</x:v>
      </x:c>
      <x:c r="I256" s="9" t="str">
        <x:v>PD10</x:v>
      </x:c>
      <x:c r="J256" s="17" t="str">
        <x:v>Calibration and uncertainty record</x:v>
      </x:c>
      <x:c r="K256" s="17" t="str">
        <x:v>Metrology archive</x:v>
      </x:c>
      <x:c r="L256" s="17" t="str">
        <x:v>COURT-SEALED UNTIL COHORT RELEASE</x:v>
      </x:c>
      <x:c r="M256" s="9" t="n">
        <x:v>0</x:v>
      </x:c>
      <x:c r="N256" s="9" t="n">
        <x:v>0</x:v>
      </x:c>
      <x:c r="O256" s="9" t="n">
        <x:v>0</x:v>
      </x:c>
      <x:c r="P256" s="9" t="str">
        <x:v>HELD / UNRELEASED</x:v>
      </x:c>
      <x:c r="Q256" s="9" t="n">
        <x:f>COUNTIFS($A$7:$A$2310,A256)</x:f>
        <x:v>1</x:v>
      </x:c>
    </x:row>
    <x:row r="257">
      <x:c r="A257" s="9" t="str">
        <x:v>PD-AR-LF-B-A-TECH-3-B2-INT-G0-PD11</x:v>
      </x:c>
      <x:c r="B257" s="9" t="str">
        <x:v>PD-AR-LF-B-A-TECH-3-B2-INT-G0</x:v>
      </x:c>
      <x:c r="C257" s="9" t="str">
        <x:v>EV-AR-LF-B-A-TECH-3-B2-INT-G0</x:v>
      </x:c>
      <x:c r="D257" s="9" t="str">
        <x:v>AR-LF-B-A-TECH-3-B2-INT-G0</x:v>
      </x:c>
      <x:c r="E257" s="9" t="str">
        <x:v>LF-B-A-TECH-3</x:v>
      </x:c>
      <x:c r="F257" s="9" t="str">
        <x:v>LF-B-A</x:v>
      </x:c>
      <x:c r="G257" s="9" t="str">
        <x:v>B2</x:v>
      </x:c>
      <x:c r="H257" s="9" t="str">
        <x:v>INT</x:v>
      </x:c>
      <x:c r="I257" s="9" t="str">
        <x:v>PD11</x:v>
      </x:c>
      <x:c r="J257" s="17" t="str">
        <x:v>Invalidity petition and opinion</x:v>
      </x:c>
      <x:c r="K257" s="17" t="str">
        <x:v>Invalidity court</x:v>
      </x:c>
      <x:c r="L257" s="17" t="str">
        <x:v>COURT-SEALED UNTIL COHORT RELEASE</x:v>
      </x:c>
      <x:c r="M257" s="9" t="n">
        <x:v>0</x:v>
      </x:c>
      <x:c r="N257" s="9" t="n">
        <x:v>0</x:v>
      </x:c>
      <x:c r="O257" s="9" t="n">
        <x:v>0</x:v>
      </x:c>
      <x:c r="P257" s="9" t="str">
        <x:v>HELD / UNRELEASED</x:v>
      </x:c>
      <x:c r="Q257" s="9" t="n">
        <x:f>COUNTIFS($A$7:$A$2310,A257)</x:f>
        <x:v>1</x:v>
      </x:c>
    </x:row>
    <x:row r="258">
      <x:c r="A258" s="9" t="str">
        <x:v>PD-AR-LF-B-A-TECH-3-B2-INT-G0-PD12</x:v>
      </x:c>
      <x:c r="B258" s="9" t="str">
        <x:v>PD-AR-LF-B-A-TECH-3-B2-INT-G0</x:v>
      </x:c>
      <x:c r="C258" s="9" t="str">
        <x:v>EV-AR-LF-B-A-TECH-3-B2-INT-G0</x:v>
      </x:c>
      <x:c r="D258" s="9" t="str">
        <x:v>AR-LF-B-A-TECH-3-B2-INT-G0</x:v>
      </x:c>
      <x:c r="E258" s="9" t="str">
        <x:v>LF-B-A-TECH-3</x:v>
      </x:c>
      <x:c r="F258" s="9" t="str">
        <x:v>LF-B-A</x:v>
      </x:c>
      <x:c r="G258" s="9" t="str">
        <x:v>B2</x:v>
      </x:c>
      <x:c r="H258" s="9" t="str">
        <x:v>INT</x:v>
      </x:c>
      <x:c r="I258" s="9" t="str">
        <x:v>PD12</x:v>
      </x:c>
      <x:c r="J258" s="17" t="str">
        <x:v>Observation acceptance and replay</x:v>
      </x:c>
      <x:c r="K258" s="17" t="str">
        <x:v>Observation court</x:v>
      </x:c>
      <x:c r="L258" s="17" t="str">
        <x:v>COURT-SEALED UNTIL COHORT RELEASE</x:v>
      </x:c>
      <x:c r="M258" s="9" t="n">
        <x:v>0</x:v>
      </x:c>
      <x:c r="N258" s="9" t="n">
        <x:v>0</x:v>
      </x:c>
      <x:c r="O258" s="9" t="n">
        <x:v>0</x:v>
      </x:c>
      <x:c r="P258" s="9" t="str">
        <x:v>HELD / UNRELEASED</x:v>
      </x:c>
      <x:c r="Q258" s="9" t="n">
        <x:f>COUNTIFS($A$7:$A$2310,A258)</x:f>
        <x:v>1</x:v>
      </x:c>
    </x:row>
    <x:row r="259">
      <x:c r="A259" s="9" t="str">
        <x:v>PD-AR-LF-B-A-TECH-3-B2-INT-G0-PD13</x:v>
      </x:c>
      <x:c r="B259" s="9" t="str">
        <x:v>PD-AR-LF-B-A-TECH-3-B2-INT-G0</x:v>
      </x:c>
      <x:c r="C259" s="9" t="str">
        <x:v>EV-AR-LF-B-A-TECH-3-B2-INT-G0</x:v>
      </x:c>
      <x:c r="D259" s="9" t="str">
        <x:v>AR-LF-B-A-TECH-3-B2-INT-G0</x:v>
      </x:c>
      <x:c r="E259" s="9" t="str">
        <x:v>LF-B-A-TECH-3</x:v>
      </x:c>
      <x:c r="F259" s="9" t="str">
        <x:v>LF-B-A</x:v>
      </x:c>
      <x:c r="G259" s="9" t="str">
        <x:v>B2</x:v>
      </x:c>
      <x:c r="H259" s="9" t="str">
        <x:v>INT</x:v>
      </x:c>
      <x:c r="I259" s="9" t="str">
        <x:v>PD13</x:v>
      </x:c>
      <x:c r="J259" s="17" t="str">
        <x:v>Role judgment</x:v>
      </x:c>
      <x:c r="K259" s="17" t="str">
        <x:v>Role court</x:v>
      </x:c>
      <x:c r="L259" s="17" t="str">
        <x:v>COURT-SEALED UNTIL COHORT RELEASE</x:v>
      </x:c>
      <x:c r="M259" s="9" t="n">
        <x:v>0</x:v>
      </x:c>
      <x:c r="N259" s="9" t="n">
        <x:v>0</x:v>
      </x:c>
      <x:c r="O259" s="9" t="n">
        <x:v>0</x:v>
      </x:c>
      <x:c r="P259" s="9" t="str">
        <x:v>HELD / UNRELEASED</x:v>
      </x:c>
      <x:c r="Q259" s="9" t="n">
        <x:f>COUNTIFS($A$7:$A$2310,A259)</x:f>
        <x:v>1</x:v>
      </x:c>
    </x:row>
    <x:row r="260">
      <x:c r="A260" s="9" t="str">
        <x:v>PD-AR-LF-B-A-TECH-3-B2-INT-G0-PD14</x:v>
      </x:c>
      <x:c r="B260" s="9" t="str">
        <x:v>PD-AR-LF-B-A-TECH-3-B2-INT-G0</x:v>
      </x:c>
      <x:c r="C260" s="9" t="str">
        <x:v>EV-AR-LF-B-A-TECH-3-B2-INT-G0</x:v>
      </x:c>
      <x:c r="D260" s="9" t="str">
        <x:v>AR-LF-B-A-TECH-3-B2-INT-G0</x:v>
      </x:c>
      <x:c r="E260" s="9" t="str">
        <x:v>LF-B-A-TECH-3</x:v>
      </x:c>
      <x:c r="F260" s="9" t="str">
        <x:v>LF-B-A</x:v>
      </x:c>
      <x:c r="G260" s="9" t="str">
        <x:v>B2</x:v>
      </x:c>
      <x:c r="H260" s="9" t="str">
        <x:v>INT</x:v>
      </x:c>
      <x:c r="I260" s="9" t="str">
        <x:v>PD14</x:v>
      </x:c>
      <x:c r="J260" s="17" t="str">
        <x:v>Break and residual account</x:v>
      </x:c>
      <x:c r="K260" s="17" t="str">
        <x:v>Residual authority</x:v>
      </x:c>
      <x:c r="L260" s="17" t="str">
        <x:v>COURT-SEALED UNTIL COHORT RELEASE</x:v>
      </x:c>
      <x:c r="M260" s="9" t="n">
        <x:v>0</x:v>
      </x:c>
      <x:c r="N260" s="9" t="n">
        <x:v>0</x:v>
      </x:c>
      <x:c r="O260" s="9" t="n">
        <x:v>0</x:v>
      </x:c>
      <x:c r="P260" s="9" t="str">
        <x:v>HELD / UNRELEASED</x:v>
      </x:c>
      <x:c r="Q260" s="9" t="n">
        <x:f>COUNTIFS($A$7:$A$2310,A260)</x:f>
        <x:v>1</x:v>
      </x:c>
    </x:row>
    <x:row r="261">
      <x:c r="A261" s="9" t="str">
        <x:v>PD-AR-LF-B-A-TECH-3-B2-INT-G0-PD15</x:v>
      </x:c>
      <x:c r="B261" s="9" t="str">
        <x:v>PD-AR-LF-B-A-TECH-3-B2-INT-G0</x:v>
      </x:c>
      <x:c r="C261" s="9" t="str">
        <x:v>EV-AR-LF-B-A-TECH-3-B2-INT-G0</x:v>
      </x:c>
      <x:c r="D261" s="9" t="str">
        <x:v>AR-LF-B-A-TECH-3-B2-INT-G0</x:v>
      </x:c>
      <x:c r="E261" s="9" t="str">
        <x:v>LF-B-A-TECH-3</x:v>
      </x:c>
      <x:c r="F261" s="9" t="str">
        <x:v>LF-B-A</x:v>
      </x:c>
      <x:c r="G261" s="9" t="str">
        <x:v>B2</x:v>
      </x:c>
      <x:c r="H261" s="9" t="str">
        <x:v>INT</x:v>
      </x:c>
      <x:c r="I261" s="9" t="str">
        <x:v>PD15</x:v>
      </x:c>
      <x:c r="J261" s="17" t="str">
        <x:v>Reconstruction ancestry and replay</x:v>
      </x:c>
      <x:c r="K261" s="17" t="str">
        <x:v>Reconstruction court</x:v>
      </x:c>
      <x:c r="L261" s="17" t="str">
        <x:v>COURT-SEALED UNTIL COHORT RELEASE</x:v>
      </x:c>
      <x:c r="M261" s="9" t="n">
        <x:v>0</x:v>
      </x:c>
      <x:c r="N261" s="9" t="n">
        <x:v>0</x:v>
      </x:c>
      <x:c r="O261" s="9" t="n">
        <x:v>0</x:v>
      </x:c>
      <x:c r="P261" s="9" t="str">
        <x:v>HELD / UNRELEASED</x:v>
      </x:c>
      <x:c r="Q261" s="9" t="n">
        <x:f>COUNTIFS($A$7:$A$2310,A261)</x:f>
        <x:v>1</x:v>
      </x:c>
    </x:row>
    <x:row r="262">
      <x:c r="A262" s="9" t="str">
        <x:v>PD-AR-LF-B-A-TECH-3-B2-INT-G0-PD16</x:v>
      </x:c>
      <x:c r="B262" s="9" t="str">
        <x:v>PD-AR-LF-B-A-TECH-3-B2-INT-G0</x:v>
      </x:c>
      <x:c r="C262" s="9" t="str">
        <x:v>EV-AR-LF-B-A-TECH-3-B2-INT-G0</x:v>
      </x:c>
      <x:c r="D262" s="9" t="str">
        <x:v>AR-LF-B-A-TECH-3-B2-INT-G0</x:v>
      </x:c>
      <x:c r="E262" s="9" t="str">
        <x:v>LF-B-A-TECH-3</x:v>
      </x:c>
      <x:c r="F262" s="9" t="str">
        <x:v>LF-B-A</x:v>
      </x:c>
      <x:c r="G262" s="9" t="str">
        <x:v>B2</x:v>
      </x:c>
      <x:c r="H262" s="9" t="str">
        <x:v>INT</x:v>
      </x:c>
      <x:c r="I262" s="9" t="str">
        <x:v>PD16</x:v>
      </x:c>
      <x:c r="J262" s="17" t="str">
        <x:v>Dissent, amendments and access log</x:v>
      </x:c>
      <x:c r="K262" s="17" t="str">
        <x:v>Public archive</x:v>
      </x:c>
      <x:c r="L262" s="17" t="str">
        <x:v>COURT-SEALED UNTIL COHORT RELEASE</x:v>
      </x:c>
      <x:c r="M262" s="9" t="n">
        <x:v>0</x:v>
      </x:c>
      <x:c r="N262" s="9" t="n">
        <x:v>0</x:v>
      </x:c>
      <x:c r="O262" s="9" t="n">
        <x:v>0</x:v>
      </x:c>
      <x:c r="P262" s="9" t="str">
        <x:v>HELD / UNRELEASED</x:v>
      </x:c>
      <x:c r="Q262" s="9" t="n">
        <x:f>COUNTIFS($A$7:$A$2310,A262)</x:f>
        <x:v>1</x:v>
      </x:c>
    </x:row>
    <x:row r="263">
      <x:c r="A263" s="9" t="str">
        <x:v>PD-AR-RT-B-C-TECH-3-B2-RCN-G0-PD01</x:v>
      </x:c>
      <x:c r="B263" s="9" t="str">
        <x:v>PD-AR-RT-B-C-TECH-3-B2-RCN-G0</x:v>
      </x:c>
      <x:c r="C263" s="9" t="str">
        <x:v>EV-AR-RT-B-C-TECH-3-B2-RCN-G0</x:v>
      </x:c>
      <x:c r="D263" s="9" t="str">
        <x:v>AR-RT-B-C-TECH-3-B2-RCN-G0</x:v>
      </x:c>
      <x:c r="E263" s="9" t="str">
        <x:v>RT-B-C-TECH-3</x:v>
      </x:c>
      <x:c r="F263" s="9" t="str">
        <x:v>RT-B-C</x:v>
      </x:c>
      <x:c r="G263" s="9" t="str">
        <x:v>B2</x:v>
      </x:c>
      <x:c r="H263" s="9" t="str">
        <x:v>RCN</x:v>
      </x:c>
      <x:c r="I263" s="9" t="str">
        <x:v>PD01</x:v>
      </x:c>
      <x:c r="J263" s="17" t="str">
        <x:v>Experiment kernel</x:v>
      </x:c>
      <x:c r="K263" s="17" t="str">
        <x:v>Public archive</x:v>
      </x:c>
      <x:c r="L263" s="17" t="str">
        <x:v>COURT-SEALED UNTIL COHORT RELEASE</x:v>
      </x:c>
      <x:c r="M263" s="9" t="n">
        <x:v>0</x:v>
      </x:c>
      <x:c r="N263" s="9" t="n">
        <x:v>0</x:v>
      </x:c>
      <x:c r="O263" s="9" t="n">
        <x:v>0</x:v>
      </x:c>
      <x:c r="P263" s="9" t="str">
        <x:v>HELD / UNRELEASED</x:v>
      </x:c>
      <x:c r="Q263" s="9" t="n">
        <x:f>COUNTIFS($A$7:$A$2310,A263)</x:f>
        <x:v>1</x:v>
      </x:c>
    </x:row>
    <x:row r="264">
      <x:c r="A264" s="9" t="str">
        <x:v>PD-AR-RT-B-C-TECH-3-B2-RCN-G0-PD02</x:v>
      </x:c>
      <x:c r="B264" s="9" t="str">
        <x:v>PD-AR-RT-B-C-TECH-3-B2-RCN-G0</x:v>
      </x:c>
      <x:c r="C264" s="9" t="str">
        <x:v>EV-AR-RT-B-C-TECH-3-B2-RCN-G0</x:v>
      </x:c>
      <x:c r="D264" s="9" t="str">
        <x:v>AR-RT-B-C-TECH-3-B2-RCN-G0</x:v>
      </x:c>
      <x:c r="E264" s="9" t="str">
        <x:v>RT-B-C-TECH-3</x:v>
      </x:c>
      <x:c r="F264" s="9" t="str">
        <x:v>RT-B-C</x:v>
      </x:c>
      <x:c r="G264" s="9" t="str">
        <x:v>B2</x:v>
      </x:c>
      <x:c r="H264" s="9" t="str">
        <x:v>RCN</x:v>
      </x:c>
      <x:c r="I264" s="9" t="str">
        <x:v>PD02</x:v>
      </x:c>
      <x:c r="J264" s="17" t="str">
        <x:v>Serial annex and title chain</x:v>
      </x:c>
      <x:c r="K264" s="17" t="str">
        <x:v>Public archive</x:v>
      </x:c>
      <x:c r="L264" s="17" t="str">
        <x:v>COURT-SEALED UNTIL COHORT RELEASE</x:v>
      </x:c>
      <x:c r="M264" s="9" t="n">
        <x:v>0</x:v>
      </x:c>
      <x:c r="N264" s="9" t="n">
        <x:v>0</x:v>
      </x:c>
      <x:c r="O264" s="9" t="n">
        <x:v>0</x:v>
      </x:c>
      <x:c r="P264" s="9" t="str">
        <x:v>HELD / UNRELEASED</x:v>
      </x:c>
      <x:c r="Q264" s="9" t="n">
        <x:f>COUNTIFS($A$7:$A$2310,A264)</x:f>
        <x:v>1</x:v>
      </x:c>
    </x:row>
    <x:row r="265">
      <x:c r="A265" s="9" t="str">
        <x:v>PD-AR-RT-B-C-TECH-3-B2-RCN-G0-PD03</x:v>
      </x:c>
      <x:c r="B265" s="9" t="str">
        <x:v>PD-AR-RT-B-C-TECH-3-B2-RCN-G0</x:v>
      </x:c>
      <x:c r="C265" s="9" t="str">
        <x:v>EV-AR-RT-B-C-TECH-3-B2-RCN-G0</x:v>
      </x:c>
      <x:c r="D265" s="9" t="str">
        <x:v>AR-RT-B-C-TECH-3-B2-RCN-G0</x:v>
      </x:c>
      <x:c r="E265" s="9" t="str">
        <x:v>RT-B-C-TECH-3</x:v>
      </x:c>
      <x:c r="F265" s="9" t="str">
        <x:v>RT-B-C</x:v>
      </x:c>
      <x:c r="G265" s="9" t="str">
        <x:v>B2</x:v>
      </x:c>
      <x:c r="H265" s="9" t="str">
        <x:v>RCN</x:v>
      </x:c>
      <x:c r="I265" s="9" t="str">
        <x:v>PD03</x:v>
      </x:c>
      <x:c r="J265" s="17" t="str">
        <x:v>Configuration and as-built manifest</x:v>
      </x:c>
      <x:c r="K265" s="17" t="str">
        <x:v>Artifact exchange</x:v>
      </x:c>
      <x:c r="L265" s="17" t="str">
        <x:v>COURT-SEALED UNTIL COHORT RELEASE</x:v>
      </x:c>
      <x:c r="M265" s="9" t="n">
        <x:v>0</x:v>
      </x:c>
      <x:c r="N265" s="9" t="n">
        <x:v>0</x:v>
      </x:c>
      <x:c r="O265" s="9" t="n">
        <x:v>0</x:v>
      </x:c>
      <x:c r="P265" s="9" t="str">
        <x:v>HELD / UNRELEASED</x:v>
      </x:c>
      <x:c r="Q265" s="9" t="n">
        <x:f>COUNTIFS($A$7:$A$2310,A265)</x:f>
        <x:v>1</x:v>
      </x:c>
    </x:row>
    <x:row r="266">
      <x:c r="A266" s="9" t="str">
        <x:v>PD-AR-RT-B-C-TECH-3-B2-RCN-G0-PD04</x:v>
      </x:c>
      <x:c r="B266" s="9" t="str">
        <x:v>PD-AR-RT-B-C-TECH-3-B2-RCN-G0</x:v>
      </x:c>
      <x:c r="C266" s="9" t="str">
        <x:v>EV-AR-RT-B-C-TECH-3-B2-RCN-G0</x:v>
      </x:c>
      <x:c r="D266" s="9" t="str">
        <x:v>AR-RT-B-C-TECH-3-B2-RCN-G0</x:v>
      </x:c>
      <x:c r="E266" s="9" t="str">
        <x:v>RT-B-C-TECH-3</x:v>
      </x:c>
      <x:c r="F266" s="9" t="str">
        <x:v>RT-B-C</x:v>
      </x:c>
      <x:c r="G266" s="9" t="str">
        <x:v>B2</x:v>
      </x:c>
      <x:c r="H266" s="9" t="str">
        <x:v>RCN</x:v>
      </x:c>
      <x:c r="I266" s="9" t="str">
        <x:v>PD04</x:v>
      </x:c>
      <x:c r="J266" s="17" t="str">
        <x:v>EOW and start certificate</x:v>
      </x:c>
      <x:c r="K266" s="17" t="str">
        <x:v>Start registrar</x:v>
      </x:c>
      <x:c r="L266" s="17" t="str">
        <x:v>COURT-SEALED UNTIL COHORT RELEASE</x:v>
      </x:c>
      <x:c r="M266" s="9" t="n">
        <x:v>0</x:v>
      </x:c>
      <x:c r="N266" s="9" t="n">
        <x:v>0</x:v>
      </x:c>
      <x:c r="O266" s="9" t="n">
        <x:v>0</x:v>
      </x:c>
      <x:c r="P266" s="9" t="str">
        <x:v>HELD / UNRELEASED</x:v>
      </x:c>
      <x:c r="Q266" s="9" t="n">
        <x:f>COUNTIFS($A$7:$A$2310,A266)</x:f>
        <x:v>1</x:v>
      </x:c>
    </x:row>
    <x:row r="267">
      <x:c r="A267" s="9" t="str">
        <x:v>PD-AR-RT-B-C-TECH-3-B2-RCN-G0-PD05</x:v>
      </x:c>
      <x:c r="B267" s="9" t="str">
        <x:v>PD-AR-RT-B-C-TECH-3-B2-RCN-G0</x:v>
      </x:c>
      <x:c r="C267" s="9" t="str">
        <x:v>EV-AR-RT-B-C-TECH-3-B2-RCN-G0</x:v>
      </x:c>
      <x:c r="D267" s="9" t="str">
        <x:v>AR-RT-B-C-TECH-3-B2-RCN-G0</x:v>
      </x:c>
      <x:c r="E267" s="9" t="str">
        <x:v>RT-B-C-TECH-3</x:v>
      </x:c>
      <x:c r="F267" s="9" t="str">
        <x:v>RT-B-C</x:v>
      </x:c>
      <x:c r="G267" s="9" t="str">
        <x:v>B2</x:v>
      </x:c>
      <x:c r="H267" s="9" t="str">
        <x:v>RCN</x:v>
      </x:c>
      <x:c r="I267" s="9" t="str">
        <x:v>PD05</x:v>
      </x:c>
      <x:c r="J267" s="17" t="str">
        <x:v>Primary raw originals</x:v>
      </x:c>
      <x:c r="K267" s="17" t="str">
        <x:v>Primary custody</x:v>
      </x:c>
      <x:c r="L267" s="17" t="str">
        <x:v>COURT-SEALED UNTIL COHORT RELEASE</x:v>
      </x:c>
      <x:c r="M267" s="9" t="n">
        <x:v>0</x:v>
      </x:c>
      <x:c r="N267" s="9" t="n">
        <x:v>0</x:v>
      </x:c>
      <x:c r="O267" s="9" t="n">
        <x:v>0</x:v>
      </x:c>
      <x:c r="P267" s="9" t="str">
        <x:v>HELD / UNRELEASED</x:v>
      </x:c>
      <x:c r="Q267" s="9" t="n">
        <x:f>COUNTIFS($A$7:$A$2310,A267)</x:f>
        <x:v>1</x:v>
      </x:c>
    </x:row>
    <x:row r="268">
      <x:c r="A268" s="9" t="str">
        <x:v>PD-AR-RT-B-C-TECH-3-B2-RCN-G0-PD06</x:v>
      </x:c>
      <x:c r="B268" s="9" t="str">
        <x:v>PD-AR-RT-B-C-TECH-3-B2-RCN-G0</x:v>
      </x:c>
      <x:c r="C268" s="9" t="str">
        <x:v>EV-AR-RT-B-C-TECH-3-B2-RCN-G0</x:v>
      </x:c>
      <x:c r="D268" s="9" t="str">
        <x:v>AR-RT-B-C-TECH-3-B2-RCN-G0</x:v>
      </x:c>
      <x:c r="E268" s="9" t="str">
        <x:v>RT-B-C-TECH-3</x:v>
      </x:c>
      <x:c r="F268" s="9" t="str">
        <x:v>RT-B-C</x:v>
      </x:c>
      <x:c r="G268" s="9" t="str">
        <x:v>B2</x:v>
      </x:c>
      <x:c r="H268" s="9" t="str">
        <x:v>RCN</x:v>
      </x:c>
      <x:c r="I268" s="9" t="str">
        <x:v>PD06</x:v>
      </x:c>
      <x:c r="J268" s="17" t="str">
        <x:v>Witness raw originals</x:v>
      </x:c>
      <x:c r="K268" s="17" t="str">
        <x:v>Witness custody</x:v>
      </x:c>
      <x:c r="L268" s="17" t="str">
        <x:v>COURT-SEALED UNTIL COHORT RELEASE</x:v>
      </x:c>
      <x:c r="M268" s="9" t="n">
        <x:v>0</x:v>
      </x:c>
      <x:c r="N268" s="9" t="n">
        <x:v>0</x:v>
      </x:c>
      <x:c r="O268" s="9" t="n">
        <x:v>0</x:v>
      </x:c>
      <x:c r="P268" s="9" t="str">
        <x:v>HELD / UNRELEASED</x:v>
      </x:c>
      <x:c r="Q268" s="9" t="n">
        <x:f>COUNTIFS($A$7:$A$2310,A268)</x:f>
        <x:v>1</x:v>
      </x:c>
    </x:row>
    <x:row r="269">
      <x:c r="A269" s="9" t="str">
        <x:v>PD-AR-RT-B-C-TECH-3-B2-RCN-G0-PD07</x:v>
      </x:c>
      <x:c r="B269" s="9" t="str">
        <x:v>PD-AR-RT-B-C-TECH-3-B2-RCN-G0</x:v>
      </x:c>
      <x:c r="C269" s="9" t="str">
        <x:v>EV-AR-RT-B-C-TECH-3-B2-RCN-G0</x:v>
      </x:c>
      <x:c r="D269" s="9" t="str">
        <x:v>AR-RT-B-C-TECH-3-B2-RCN-G0</x:v>
      </x:c>
      <x:c r="E269" s="9" t="str">
        <x:v>RT-B-C-TECH-3</x:v>
      </x:c>
      <x:c r="F269" s="9" t="str">
        <x:v>RT-B-C</x:v>
      </x:c>
      <x:c r="G269" s="9" t="str">
        <x:v>B2</x:v>
      </x:c>
      <x:c r="H269" s="9" t="str">
        <x:v>RCN</x:v>
      </x:c>
      <x:c r="I269" s="9" t="str">
        <x:v>PD07</x:v>
      </x:c>
      <x:c r="J269" s="17" t="str">
        <x:v>Clock and environmental records</x:v>
      </x:c>
      <x:c r="K269" s="17" t="str">
        <x:v>Boundary archive</x:v>
      </x:c>
      <x:c r="L269" s="17" t="str">
        <x:v>COURT-SEALED UNTIL COHORT RELEASE</x:v>
      </x:c>
      <x:c r="M269" s="9" t="n">
        <x:v>0</x:v>
      </x:c>
      <x:c r="N269" s="9" t="n">
        <x:v>0</x:v>
      </x:c>
      <x:c r="O269" s="9" t="n">
        <x:v>0</x:v>
      </x:c>
      <x:c r="P269" s="9" t="str">
        <x:v>HELD / UNRELEASED</x:v>
      </x:c>
      <x:c r="Q269" s="9" t="n">
        <x:f>COUNTIFS($A$7:$A$2310,A269)</x:f>
        <x:v>1</x:v>
      </x:c>
    </x:row>
    <x:row r="270">
      <x:c r="A270" s="9" t="str">
        <x:v>PD-AR-RT-B-C-TECH-3-B2-RCN-G0-PD08</x:v>
      </x:c>
      <x:c r="B270" s="9" t="str">
        <x:v>PD-AR-RT-B-C-TECH-3-B2-RCN-G0</x:v>
      </x:c>
      <x:c r="C270" s="9" t="str">
        <x:v>EV-AR-RT-B-C-TECH-3-B2-RCN-G0</x:v>
      </x:c>
      <x:c r="D270" s="9" t="str">
        <x:v>AR-RT-B-C-TECH-3-B2-RCN-G0</x:v>
      </x:c>
      <x:c r="E270" s="9" t="str">
        <x:v>RT-B-C-TECH-3</x:v>
      </x:c>
      <x:c r="F270" s="9" t="str">
        <x:v>RT-B-C</x:v>
      </x:c>
      <x:c r="G270" s="9" t="str">
        <x:v>B2</x:v>
      </x:c>
      <x:c r="H270" s="9" t="str">
        <x:v>RCN</x:v>
      </x:c>
      <x:c r="I270" s="9" t="str">
        <x:v>PD08</x:v>
      </x:c>
      <x:c r="J270" s="17" t="str">
        <x:v>Command and intervention log</x:v>
      </x:c>
      <x:c r="K270" s="17" t="str">
        <x:v>Safety archive</x:v>
      </x:c>
      <x:c r="L270" s="17" t="str">
        <x:v>COURT-SEALED UNTIL COHORT RELEASE</x:v>
      </x:c>
      <x:c r="M270" s="9" t="n">
        <x:v>0</x:v>
      </x:c>
      <x:c r="N270" s="9" t="n">
        <x:v>0</x:v>
      </x:c>
      <x:c r="O270" s="9" t="n">
        <x:v>0</x:v>
      </x:c>
      <x:c r="P270" s="9" t="str">
        <x:v>HELD / UNRELEASED</x:v>
      </x:c>
      <x:c r="Q270" s="9" t="n">
        <x:f>COUNTIFS($A$7:$A$2310,A270)</x:f>
        <x:v>1</x:v>
      </x:c>
    </x:row>
    <x:row r="271">
      <x:c r="A271" s="9" t="str">
        <x:v>PD-AR-RT-B-C-TECH-3-B2-RCN-G0-PD09</x:v>
      </x:c>
      <x:c r="B271" s="9" t="str">
        <x:v>PD-AR-RT-B-C-TECH-3-B2-RCN-G0</x:v>
      </x:c>
      <x:c r="C271" s="9" t="str">
        <x:v>EV-AR-RT-B-C-TECH-3-B2-RCN-G0</x:v>
      </x:c>
      <x:c r="D271" s="9" t="str">
        <x:v>AR-RT-B-C-TECH-3-B2-RCN-G0</x:v>
      </x:c>
      <x:c r="E271" s="9" t="str">
        <x:v>RT-B-C-TECH-3</x:v>
      </x:c>
      <x:c r="F271" s="9" t="str">
        <x:v>RT-B-C</x:v>
      </x:c>
      <x:c r="G271" s="9" t="str">
        <x:v>B2</x:v>
      </x:c>
      <x:c r="H271" s="9" t="str">
        <x:v>RCN</x:v>
      </x:c>
      <x:c r="I271" s="9" t="str">
        <x:v>PD09</x:v>
      </x:c>
      <x:c r="J271" s="17" t="str">
        <x:v>Receiver denominator and service ledger</x:v>
      </x:c>
      <x:c r="K271" s="17" t="str">
        <x:v>Receiver archive</x:v>
      </x:c>
      <x:c r="L271" s="17" t="str">
        <x:v>COURT-SEALED UNTIL COHORT RELEASE</x:v>
      </x:c>
      <x:c r="M271" s="9" t="n">
        <x:v>0</x:v>
      </x:c>
      <x:c r="N271" s="9" t="n">
        <x:v>0</x:v>
      </x:c>
      <x:c r="O271" s="9" t="n">
        <x:v>0</x:v>
      </x:c>
      <x:c r="P271" s="9" t="str">
        <x:v>HELD / UNRELEASED</x:v>
      </x:c>
      <x:c r="Q271" s="9" t="n">
        <x:f>COUNTIFS($A$7:$A$2310,A271)</x:f>
        <x:v>1</x:v>
      </x:c>
    </x:row>
    <x:row r="272">
      <x:c r="A272" s="9" t="str">
        <x:v>PD-AR-RT-B-C-TECH-3-B2-RCN-G0-PD10</x:v>
      </x:c>
      <x:c r="B272" s="9" t="str">
        <x:v>PD-AR-RT-B-C-TECH-3-B2-RCN-G0</x:v>
      </x:c>
      <x:c r="C272" s="9" t="str">
        <x:v>EV-AR-RT-B-C-TECH-3-B2-RCN-G0</x:v>
      </x:c>
      <x:c r="D272" s="9" t="str">
        <x:v>AR-RT-B-C-TECH-3-B2-RCN-G0</x:v>
      </x:c>
      <x:c r="E272" s="9" t="str">
        <x:v>RT-B-C-TECH-3</x:v>
      </x:c>
      <x:c r="F272" s="9" t="str">
        <x:v>RT-B-C</x:v>
      </x:c>
      <x:c r="G272" s="9" t="str">
        <x:v>B2</x:v>
      </x:c>
      <x:c r="H272" s="9" t="str">
        <x:v>RCN</x:v>
      </x:c>
      <x:c r="I272" s="9" t="str">
        <x:v>PD10</x:v>
      </x:c>
      <x:c r="J272" s="17" t="str">
        <x:v>Calibration and uncertainty record</x:v>
      </x:c>
      <x:c r="K272" s="17" t="str">
        <x:v>Metrology archive</x:v>
      </x:c>
      <x:c r="L272" s="17" t="str">
        <x:v>COURT-SEALED UNTIL COHORT RELEASE</x:v>
      </x:c>
      <x:c r="M272" s="9" t="n">
        <x:v>0</x:v>
      </x:c>
      <x:c r="N272" s="9" t="n">
        <x:v>0</x:v>
      </x:c>
      <x:c r="O272" s="9" t="n">
        <x:v>0</x:v>
      </x:c>
      <x:c r="P272" s="9" t="str">
        <x:v>HELD / UNRELEASED</x:v>
      </x:c>
      <x:c r="Q272" s="9" t="n">
        <x:f>COUNTIFS($A$7:$A$2310,A272)</x:f>
        <x:v>1</x:v>
      </x:c>
    </x:row>
    <x:row r="273">
      <x:c r="A273" s="9" t="str">
        <x:v>PD-AR-RT-B-C-TECH-3-B2-RCN-G0-PD11</x:v>
      </x:c>
      <x:c r="B273" s="9" t="str">
        <x:v>PD-AR-RT-B-C-TECH-3-B2-RCN-G0</x:v>
      </x:c>
      <x:c r="C273" s="9" t="str">
        <x:v>EV-AR-RT-B-C-TECH-3-B2-RCN-G0</x:v>
      </x:c>
      <x:c r="D273" s="9" t="str">
        <x:v>AR-RT-B-C-TECH-3-B2-RCN-G0</x:v>
      </x:c>
      <x:c r="E273" s="9" t="str">
        <x:v>RT-B-C-TECH-3</x:v>
      </x:c>
      <x:c r="F273" s="9" t="str">
        <x:v>RT-B-C</x:v>
      </x:c>
      <x:c r="G273" s="9" t="str">
        <x:v>B2</x:v>
      </x:c>
      <x:c r="H273" s="9" t="str">
        <x:v>RCN</x:v>
      </x:c>
      <x:c r="I273" s="9" t="str">
        <x:v>PD11</x:v>
      </x:c>
      <x:c r="J273" s="17" t="str">
        <x:v>Invalidity petition and opinion</x:v>
      </x:c>
      <x:c r="K273" s="17" t="str">
        <x:v>Invalidity court</x:v>
      </x:c>
      <x:c r="L273" s="17" t="str">
        <x:v>COURT-SEALED UNTIL COHORT RELEASE</x:v>
      </x:c>
      <x:c r="M273" s="9" t="n">
        <x:v>0</x:v>
      </x:c>
      <x:c r="N273" s="9" t="n">
        <x:v>0</x:v>
      </x:c>
      <x:c r="O273" s="9" t="n">
        <x:v>0</x:v>
      </x:c>
      <x:c r="P273" s="9" t="str">
        <x:v>HELD / UNRELEASED</x:v>
      </x:c>
      <x:c r="Q273" s="9" t="n">
        <x:f>COUNTIFS($A$7:$A$2310,A273)</x:f>
        <x:v>1</x:v>
      </x:c>
    </x:row>
    <x:row r="274">
      <x:c r="A274" s="9" t="str">
        <x:v>PD-AR-RT-B-C-TECH-3-B2-RCN-G0-PD12</x:v>
      </x:c>
      <x:c r="B274" s="9" t="str">
        <x:v>PD-AR-RT-B-C-TECH-3-B2-RCN-G0</x:v>
      </x:c>
      <x:c r="C274" s="9" t="str">
        <x:v>EV-AR-RT-B-C-TECH-3-B2-RCN-G0</x:v>
      </x:c>
      <x:c r="D274" s="9" t="str">
        <x:v>AR-RT-B-C-TECH-3-B2-RCN-G0</x:v>
      </x:c>
      <x:c r="E274" s="9" t="str">
        <x:v>RT-B-C-TECH-3</x:v>
      </x:c>
      <x:c r="F274" s="9" t="str">
        <x:v>RT-B-C</x:v>
      </x:c>
      <x:c r="G274" s="9" t="str">
        <x:v>B2</x:v>
      </x:c>
      <x:c r="H274" s="9" t="str">
        <x:v>RCN</x:v>
      </x:c>
      <x:c r="I274" s="9" t="str">
        <x:v>PD12</x:v>
      </x:c>
      <x:c r="J274" s="17" t="str">
        <x:v>Observation acceptance and replay</x:v>
      </x:c>
      <x:c r="K274" s="17" t="str">
        <x:v>Observation court</x:v>
      </x:c>
      <x:c r="L274" s="17" t="str">
        <x:v>COURT-SEALED UNTIL COHORT RELEASE</x:v>
      </x:c>
      <x:c r="M274" s="9" t="n">
        <x:v>0</x:v>
      </x:c>
      <x:c r="N274" s="9" t="n">
        <x:v>0</x:v>
      </x:c>
      <x:c r="O274" s="9" t="n">
        <x:v>0</x:v>
      </x:c>
      <x:c r="P274" s="9" t="str">
        <x:v>HELD / UNRELEASED</x:v>
      </x:c>
      <x:c r="Q274" s="9" t="n">
        <x:f>COUNTIFS($A$7:$A$2310,A274)</x:f>
        <x:v>1</x:v>
      </x:c>
    </x:row>
    <x:row r="275">
      <x:c r="A275" s="9" t="str">
        <x:v>PD-AR-RT-B-C-TECH-3-B2-RCN-G0-PD13</x:v>
      </x:c>
      <x:c r="B275" s="9" t="str">
        <x:v>PD-AR-RT-B-C-TECH-3-B2-RCN-G0</x:v>
      </x:c>
      <x:c r="C275" s="9" t="str">
        <x:v>EV-AR-RT-B-C-TECH-3-B2-RCN-G0</x:v>
      </x:c>
      <x:c r="D275" s="9" t="str">
        <x:v>AR-RT-B-C-TECH-3-B2-RCN-G0</x:v>
      </x:c>
      <x:c r="E275" s="9" t="str">
        <x:v>RT-B-C-TECH-3</x:v>
      </x:c>
      <x:c r="F275" s="9" t="str">
        <x:v>RT-B-C</x:v>
      </x:c>
      <x:c r="G275" s="9" t="str">
        <x:v>B2</x:v>
      </x:c>
      <x:c r="H275" s="9" t="str">
        <x:v>RCN</x:v>
      </x:c>
      <x:c r="I275" s="9" t="str">
        <x:v>PD13</x:v>
      </x:c>
      <x:c r="J275" s="17" t="str">
        <x:v>Role judgment</x:v>
      </x:c>
      <x:c r="K275" s="17" t="str">
        <x:v>Role court</x:v>
      </x:c>
      <x:c r="L275" s="17" t="str">
        <x:v>COURT-SEALED UNTIL COHORT RELEASE</x:v>
      </x:c>
      <x:c r="M275" s="9" t="n">
        <x:v>0</x:v>
      </x:c>
      <x:c r="N275" s="9" t="n">
        <x:v>0</x:v>
      </x:c>
      <x:c r="O275" s="9" t="n">
        <x:v>0</x:v>
      </x:c>
      <x:c r="P275" s="9" t="str">
        <x:v>HELD / UNRELEASED</x:v>
      </x:c>
      <x:c r="Q275" s="9" t="n">
        <x:f>COUNTIFS($A$7:$A$2310,A275)</x:f>
        <x:v>1</x:v>
      </x:c>
    </x:row>
    <x:row r="276">
      <x:c r="A276" s="9" t="str">
        <x:v>PD-AR-RT-B-C-TECH-3-B2-RCN-G0-PD14</x:v>
      </x:c>
      <x:c r="B276" s="9" t="str">
        <x:v>PD-AR-RT-B-C-TECH-3-B2-RCN-G0</x:v>
      </x:c>
      <x:c r="C276" s="9" t="str">
        <x:v>EV-AR-RT-B-C-TECH-3-B2-RCN-G0</x:v>
      </x:c>
      <x:c r="D276" s="9" t="str">
        <x:v>AR-RT-B-C-TECH-3-B2-RCN-G0</x:v>
      </x:c>
      <x:c r="E276" s="9" t="str">
        <x:v>RT-B-C-TECH-3</x:v>
      </x:c>
      <x:c r="F276" s="9" t="str">
        <x:v>RT-B-C</x:v>
      </x:c>
      <x:c r="G276" s="9" t="str">
        <x:v>B2</x:v>
      </x:c>
      <x:c r="H276" s="9" t="str">
        <x:v>RCN</x:v>
      </x:c>
      <x:c r="I276" s="9" t="str">
        <x:v>PD14</x:v>
      </x:c>
      <x:c r="J276" s="17" t="str">
        <x:v>Break and residual account</x:v>
      </x:c>
      <x:c r="K276" s="17" t="str">
        <x:v>Residual authority</x:v>
      </x:c>
      <x:c r="L276" s="17" t="str">
        <x:v>COURT-SEALED UNTIL COHORT RELEASE</x:v>
      </x:c>
      <x:c r="M276" s="9" t="n">
        <x:v>0</x:v>
      </x:c>
      <x:c r="N276" s="9" t="n">
        <x:v>0</x:v>
      </x:c>
      <x:c r="O276" s="9" t="n">
        <x:v>0</x:v>
      </x:c>
      <x:c r="P276" s="9" t="str">
        <x:v>HELD / UNRELEASED</x:v>
      </x:c>
      <x:c r="Q276" s="9" t="n">
        <x:f>COUNTIFS($A$7:$A$2310,A276)</x:f>
        <x:v>1</x:v>
      </x:c>
    </x:row>
    <x:row r="277">
      <x:c r="A277" s="9" t="str">
        <x:v>PD-AR-RT-B-C-TECH-3-B2-RCN-G0-PD15</x:v>
      </x:c>
      <x:c r="B277" s="9" t="str">
        <x:v>PD-AR-RT-B-C-TECH-3-B2-RCN-G0</x:v>
      </x:c>
      <x:c r="C277" s="9" t="str">
        <x:v>EV-AR-RT-B-C-TECH-3-B2-RCN-G0</x:v>
      </x:c>
      <x:c r="D277" s="9" t="str">
        <x:v>AR-RT-B-C-TECH-3-B2-RCN-G0</x:v>
      </x:c>
      <x:c r="E277" s="9" t="str">
        <x:v>RT-B-C-TECH-3</x:v>
      </x:c>
      <x:c r="F277" s="9" t="str">
        <x:v>RT-B-C</x:v>
      </x:c>
      <x:c r="G277" s="9" t="str">
        <x:v>B2</x:v>
      </x:c>
      <x:c r="H277" s="9" t="str">
        <x:v>RCN</x:v>
      </x:c>
      <x:c r="I277" s="9" t="str">
        <x:v>PD15</x:v>
      </x:c>
      <x:c r="J277" s="17" t="str">
        <x:v>Reconstruction ancestry and replay</x:v>
      </x:c>
      <x:c r="K277" s="17" t="str">
        <x:v>Reconstruction court</x:v>
      </x:c>
      <x:c r="L277" s="17" t="str">
        <x:v>COURT-SEALED UNTIL COHORT RELEASE</x:v>
      </x:c>
      <x:c r="M277" s="9" t="n">
        <x:v>0</x:v>
      </x:c>
      <x:c r="N277" s="9" t="n">
        <x:v>0</x:v>
      </x:c>
      <x:c r="O277" s="9" t="n">
        <x:v>0</x:v>
      </x:c>
      <x:c r="P277" s="9" t="str">
        <x:v>HELD / UNRELEASED</x:v>
      </x:c>
      <x:c r="Q277" s="9" t="n">
        <x:f>COUNTIFS($A$7:$A$2310,A277)</x:f>
        <x:v>1</x:v>
      </x:c>
    </x:row>
    <x:row r="278">
      <x:c r="A278" s="9" t="str">
        <x:v>PD-AR-RT-B-C-TECH-3-B2-RCN-G0-PD16</x:v>
      </x:c>
      <x:c r="B278" s="9" t="str">
        <x:v>PD-AR-RT-B-C-TECH-3-B2-RCN-G0</x:v>
      </x:c>
      <x:c r="C278" s="9" t="str">
        <x:v>EV-AR-RT-B-C-TECH-3-B2-RCN-G0</x:v>
      </x:c>
      <x:c r="D278" s="9" t="str">
        <x:v>AR-RT-B-C-TECH-3-B2-RCN-G0</x:v>
      </x:c>
      <x:c r="E278" s="9" t="str">
        <x:v>RT-B-C-TECH-3</x:v>
      </x:c>
      <x:c r="F278" s="9" t="str">
        <x:v>RT-B-C</x:v>
      </x:c>
      <x:c r="G278" s="9" t="str">
        <x:v>B2</x:v>
      </x:c>
      <x:c r="H278" s="9" t="str">
        <x:v>RCN</x:v>
      </x:c>
      <x:c r="I278" s="9" t="str">
        <x:v>PD16</x:v>
      </x:c>
      <x:c r="J278" s="17" t="str">
        <x:v>Dissent, amendments and access log</x:v>
      </x:c>
      <x:c r="K278" s="17" t="str">
        <x:v>Public archive</x:v>
      </x:c>
      <x:c r="L278" s="17" t="str">
        <x:v>COURT-SEALED UNTIL COHORT RELEASE</x:v>
      </x:c>
      <x:c r="M278" s="9" t="n">
        <x:v>0</x:v>
      </x:c>
      <x:c r="N278" s="9" t="n">
        <x:v>0</x:v>
      </x:c>
      <x:c r="O278" s="9" t="n">
        <x:v>0</x:v>
      </x:c>
      <x:c r="P278" s="9" t="str">
        <x:v>HELD / UNRELEASED</x:v>
      </x:c>
      <x:c r="Q278" s="9" t="n">
        <x:f>COUNTIFS($A$7:$A$2310,A278)</x:f>
        <x:v>1</x:v>
      </x:c>
    </x:row>
    <x:row r="279">
      <x:c r="A279" s="9" t="str">
        <x:v>PD-AR-RT-B-C-TECH-4-B1-RCN-G0-PD01</x:v>
      </x:c>
      <x:c r="B279" s="9" t="str">
        <x:v>PD-AR-RT-B-C-TECH-4-B1-RCN-G0</x:v>
      </x:c>
      <x:c r="C279" s="9" t="str">
        <x:v>EV-AR-RT-B-C-TECH-4-B1-RCN-G0</x:v>
      </x:c>
      <x:c r="D279" s="9" t="str">
        <x:v>AR-RT-B-C-TECH-4-B1-RCN-G0</x:v>
      </x:c>
      <x:c r="E279" s="9" t="str">
        <x:v>RT-B-C-TECH-4</x:v>
      </x:c>
      <x:c r="F279" s="9" t="str">
        <x:v>RT-B-C</x:v>
      </x:c>
      <x:c r="G279" s="9" t="str">
        <x:v>B1</x:v>
      </x:c>
      <x:c r="H279" s="9" t="str">
        <x:v>RCN</x:v>
      </x:c>
      <x:c r="I279" s="9" t="str">
        <x:v>PD01</x:v>
      </x:c>
      <x:c r="J279" s="17" t="str">
        <x:v>Experiment kernel</x:v>
      </x:c>
      <x:c r="K279" s="17" t="str">
        <x:v>Public archive</x:v>
      </x:c>
      <x:c r="L279" s="17" t="str">
        <x:v>COURT-SEALED UNTIL COHORT RELEASE</x:v>
      </x:c>
      <x:c r="M279" s="9" t="n">
        <x:v>0</x:v>
      </x:c>
      <x:c r="N279" s="9" t="n">
        <x:v>0</x:v>
      </x:c>
      <x:c r="O279" s="9" t="n">
        <x:v>0</x:v>
      </x:c>
      <x:c r="P279" s="9" t="str">
        <x:v>HELD / UNRELEASED</x:v>
      </x:c>
      <x:c r="Q279" s="9" t="n">
        <x:f>COUNTIFS($A$7:$A$2310,A279)</x:f>
        <x:v>1</x:v>
      </x:c>
    </x:row>
    <x:row r="280">
      <x:c r="A280" s="9" t="str">
        <x:v>PD-AR-RT-B-C-TECH-4-B1-RCN-G0-PD02</x:v>
      </x:c>
      <x:c r="B280" s="9" t="str">
        <x:v>PD-AR-RT-B-C-TECH-4-B1-RCN-G0</x:v>
      </x:c>
      <x:c r="C280" s="9" t="str">
        <x:v>EV-AR-RT-B-C-TECH-4-B1-RCN-G0</x:v>
      </x:c>
      <x:c r="D280" s="9" t="str">
        <x:v>AR-RT-B-C-TECH-4-B1-RCN-G0</x:v>
      </x:c>
      <x:c r="E280" s="9" t="str">
        <x:v>RT-B-C-TECH-4</x:v>
      </x:c>
      <x:c r="F280" s="9" t="str">
        <x:v>RT-B-C</x:v>
      </x:c>
      <x:c r="G280" s="9" t="str">
        <x:v>B1</x:v>
      </x:c>
      <x:c r="H280" s="9" t="str">
        <x:v>RCN</x:v>
      </x:c>
      <x:c r="I280" s="9" t="str">
        <x:v>PD02</x:v>
      </x:c>
      <x:c r="J280" s="17" t="str">
        <x:v>Serial annex and title chain</x:v>
      </x:c>
      <x:c r="K280" s="17" t="str">
        <x:v>Public archive</x:v>
      </x:c>
      <x:c r="L280" s="17" t="str">
        <x:v>COURT-SEALED UNTIL COHORT RELEASE</x:v>
      </x:c>
      <x:c r="M280" s="9" t="n">
        <x:v>0</x:v>
      </x:c>
      <x:c r="N280" s="9" t="n">
        <x:v>0</x:v>
      </x:c>
      <x:c r="O280" s="9" t="n">
        <x:v>0</x:v>
      </x:c>
      <x:c r="P280" s="9" t="str">
        <x:v>HELD / UNRELEASED</x:v>
      </x:c>
      <x:c r="Q280" s="9" t="n">
        <x:f>COUNTIFS($A$7:$A$2310,A280)</x:f>
        <x:v>1</x:v>
      </x:c>
    </x:row>
    <x:row r="281">
      <x:c r="A281" s="9" t="str">
        <x:v>PD-AR-RT-B-C-TECH-4-B1-RCN-G0-PD03</x:v>
      </x:c>
      <x:c r="B281" s="9" t="str">
        <x:v>PD-AR-RT-B-C-TECH-4-B1-RCN-G0</x:v>
      </x:c>
      <x:c r="C281" s="9" t="str">
        <x:v>EV-AR-RT-B-C-TECH-4-B1-RCN-G0</x:v>
      </x:c>
      <x:c r="D281" s="9" t="str">
        <x:v>AR-RT-B-C-TECH-4-B1-RCN-G0</x:v>
      </x:c>
      <x:c r="E281" s="9" t="str">
        <x:v>RT-B-C-TECH-4</x:v>
      </x:c>
      <x:c r="F281" s="9" t="str">
        <x:v>RT-B-C</x:v>
      </x:c>
      <x:c r="G281" s="9" t="str">
        <x:v>B1</x:v>
      </x:c>
      <x:c r="H281" s="9" t="str">
        <x:v>RCN</x:v>
      </x:c>
      <x:c r="I281" s="9" t="str">
        <x:v>PD03</x:v>
      </x:c>
      <x:c r="J281" s="17" t="str">
        <x:v>Configuration and as-built manifest</x:v>
      </x:c>
      <x:c r="K281" s="17" t="str">
        <x:v>Artifact exchange</x:v>
      </x:c>
      <x:c r="L281" s="17" t="str">
        <x:v>COURT-SEALED UNTIL COHORT RELEASE</x:v>
      </x:c>
      <x:c r="M281" s="9" t="n">
        <x:v>0</x:v>
      </x:c>
      <x:c r="N281" s="9" t="n">
        <x:v>0</x:v>
      </x:c>
      <x:c r="O281" s="9" t="n">
        <x:v>0</x:v>
      </x:c>
      <x:c r="P281" s="9" t="str">
        <x:v>HELD / UNRELEASED</x:v>
      </x:c>
      <x:c r="Q281" s="9" t="n">
        <x:f>COUNTIFS($A$7:$A$2310,A281)</x:f>
        <x:v>1</x:v>
      </x:c>
    </x:row>
    <x:row r="282">
      <x:c r="A282" s="9" t="str">
        <x:v>PD-AR-RT-B-C-TECH-4-B1-RCN-G0-PD04</x:v>
      </x:c>
      <x:c r="B282" s="9" t="str">
        <x:v>PD-AR-RT-B-C-TECH-4-B1-RCN-G0</x:v>
      </x:c>
      <x:c r="C282" s="9" t="str">
        <x:v>EV-AR-RT-B-C-TECH-4-B1-RCN-G0</x:v>
      </x:c>
      <x:c r="D282" s="9" t="str">
        <x:v>AR-RT-B-C-TECH-4-B1-RCN-G0</x:v>
      </x:c>
      <x:c r="E282" s="9" t="str">
        <x:v>RT-B-C-TECH-4</x:v>
      </x:c>
      <x:c r="F282" s="9" t="str">
        <x:v>RT-B-C</x:v>
      </x:c>
      <x:c r="G282" s="9" t="str">
        <x:v>B1</x:v>
      </x:c>
      <x:c r="H282" s="9" t="str">
        <x:v>RCN</x:v>
      </x:c>
      <x:c r="I282" s="9" t="str">
        <x:v>PD04</x:v>
      </x:c>
      <x:c r="J282" s="17" t="str">
        <x:v>EOW and start certificate</x:v>
      </x:c>
      <x:c r="K282" s="17" t="str">
        <x:v>Start registrar</x:v>
      </x:c>
      <x:c r="L282" s="17" t="str">
        <x:v>COURT-SEALED UNTIL COHORT RELEASE</x:v>
      </x:c>
      <x:c r="M282" s="9" t="n">
        <x:v>0</x:v>
      </x:c>
      <x:c r="N282" s="9" t="n">
        <x:v>0</x:v>
      </x:c>
      <x:c r="O282" s="9" t="n">
        <x:v>0</x:v>
      </x:c>
      <x:c r="P282" s="9" t="str">
        <x:v>HELD / UNRELEASED</x:v>
      </x:c>
      <x:c r="Q282" s="9" t="n">
        <x:f>COUNTIFS($A$7:$A$2310,A282)</x:f>
        <x:v>1</x:v>
      </x:c>
    </x:row>
    <x:row r="283">
      <x:c r="A283" s="9" t="str">
        <x:v>PD-AR-RT-B-C-TECH-4-B1-RCN-G0-PD05</x:v>
      </x:c>
      <x:c r="B283" s="9" t="str">
        <x:v>PD-AR-RT-B-C-TECH-4-B1-RCN-G0</x:v>
      </x:c>
      <x:c r="C283" s="9" t="str">
        <x:v>EV-AR-RT-B-C-TECH-4-B1-RCN-G0</x:v>
      </x:c>
      <x:c r="D283" s="9" t="str">
        <x:v>AR-RT-B-C-TECH-4-B1-RCN-G0</x:v>
      </x:c>
      <x:c r="E283" s="9" t="str">
        <x:v>RT-B-C-TECH-4</x:v>
      </x:c>
      <x:c r="F283" s="9" t="str">
        <x:v>RT-B-C</x:v>
      </x:c>
      <x:c r="G283" s="9" t="str">
        <x:v>B1</x:v>
      </x:c>
      <x:c r="H283" s="9" t="str">
        <x:v>RCN</x:v>
      </x:c>
      <x:c r="I283" s="9" t="str">
        <x:v>PD05</x:v>
      </x:c>
      <x:c r="J283" s="17" t="str">
        <x:v>Primary raw originals</x:v>
      </x:c>
      <x:c r="K283" s="17" t="str">
        <x:v>Primary custody</x:v>
      </x:c>
      <x:c r="L283" s="17" t="str">
        <x:v>COURT-SEALED UNTIL COHORT RELEASE</x:v>
      </x:c>
      <x:c r="M283" s="9" t="n">
        <x:v>0</x:v>
      </x:c>
      <x:c r="N283" s="9" t="n">
        <x:v>0</x:v>
      </x:c>
      <x:c r="O283" s="9" t="n">
        <x:v>0</x:v>
      </x:c>
      <x:c r="P283" s="9" t="str">
        <x:v>HELD / UNRELEASED</x:v>
      </x:c>
      <x:c r="Q283" s="9" t="n">
        <x:f>COUNTIFS($A$7:$A$2310,A283)</x:f>
        <x:v>1</x:v>
      </x:c>
    </x:row>
    <x:row r="284">
      <x:c r="A284" s="9" t="str">
        <x:v>PD-AR-RT-B-C-TECH-4-B1-RCN-G0-PD06</x:v>
      </x:c>
      <x:c r="B284" s="9" t="str">
        <x:v>PD-AR-RT-B-C-TECH-4-B1-RCN-G0</x:v>
      </x:c>
      <x:c r="C284" s="9" t="str">
        <x:v>EV-AR-RT-B-C-TECH-4-B1-RCN-G0</x:v>
      </x:c>
      <x:c r="D284" s="9" t="str">
        <x:v>AR-RT-B-C-TECH-4-B1-RCN-G0</x:v>
      </x:c>
      <x:c r="E284" s="9" t="str">
        <x:v>RT-B-C-TECH-4</x:v>
      </x:c>
      <x:c r="F284" s="9" t="str">
        <x:v>RT-B-C</x:v>
      </x:c>
      <x:c r="G284" s="9" t="str">
        <x:v>B1</x:v>
      </x:c>
      <x:c r="H284" s="9" t="str">
        <x:v>RCN</x:v>
      </x:c>
      <x:c r="I284" s="9" t="str">
        <x:v>PD06</x:v>
      </x:c>
      <x:c r="J284" s="17" t="str">
        <x:v>Witness raw originals</x:v>
      </x:c>
      <x:c r="K284" s="17" t="str">
        <x:v>Witness custody</x:v>
      </x:c>
      <x:c r="L284" s="17" t="str">
        <x:v>COURT-SEALED UNTIL COHORT RELEASE</x:v>
      </x:c>
      <x:c r="M284" s="9" t="n">
        <x:v>0</x:v>
      </x:c>
      <x:c r="N284" s="9" t="n">
        <x:v>0</x:v>
      </x:c>
      <x:c r="O284" s="9" t="n">
        <x:v>0</x:v>
      </x:c>
      <x:c r="P284" s="9" t="str">
        <x:v>HELD / UNRELEASED</x:v>
      </x:c>
      <x:c r="Q284" s="9" t="n">
        <x:f>COUNTIFS($A$7:$A$2310,A284)</x:f>
        <x:v>1</x:v>
      </x:c>
    </x:row>
    <x:row r="285">
      <x:c r="A285" s="9" t="str">
        <x:v>PD-AR-RT-B-C-TECH-4-B1-RCN-G0-PD07</x:v>
      </x:c>
      <x:c r="B285" s="9" t="str">
        <x:v>PD-AR-RT-B-C-TECH-4-B1-RCN-G0</x:v>
      </x:c>
      <x:c r="C285" s="9" t="str">
        <x:v>EV-AR-RT-B-C-TECH-4-B1-RCN-G0</x:v>
      </x:c>
      <x:c r="D285" s="9" t="str">
        <x:v>AR-RT-B-C-TECH-4-B1-RCN-G0</x:v>
      </x:c>
      <x:c r="E285" s="9" t="str">
        <x:v>RT-B-C-TECH-4</x:v>
      </x:c>
      <x:c r="F285" s="9" t="str">
        <x:v>RT-B-C</x:v>
      </x:c>
      <x:c r="G285" s="9" t="str">
        <x:v>B1</x:v>
      </x:c>
      <x:c r="H285" s="9" t="str">
        <x:v>RCN</x:v>
      </x:c>
      <x:c r="I285" s="9" t="str">
        <x:v>PD07</x:v>
      </x:c>
      <x:c r="J285" s="17" t="str">
        <x:v>Clock and environmental records</x:v>
      </x:c>
      <x:c r="K285" s="17" t="str">
        <x:v>Boundary archive</x:v>
      </x:c>
      <x:c r="L285" s="17" t="str">
        <x:v>COURT-SEALED UNTIL COHORT RELEASE</x:v>
      </x:c>
      <x:c r="M285" s="9" t="n">
        <x:v>0</x:v>
      </x:c>
      <x:c r="N285" s="9" t="n">
        <x:v>0</x:v>
      </x:c>
      <x:c r="O285" s="9" t="n">
        <x:v>0</x:v>
      </x:c>
      <x:c r="P285" s="9" t="str">
        <x:v>HELD / UNRELEASED</x:v>
      </x:c>
      <x:c r="Q285" s="9" t="n">
        <x:f>COUNTIFS($A$7:$A$2310,A285)</x:f>
        <x:v>1</x:v>
      </x:c>
    </x:row>
    <x:row r="286">
      <x:c r="A286" s="9" t="str">
        <x:v>PD-AR-RT-B-C-TECH-4-B1-RCN-G0-PD08</x:v>
      </x:c>
      <x:c r="B286" s="9" t="str">
        <x:v>PD-AR-RT-B-C-TECH-4-B1-RCN-G0</x:v>
      </x:c>
      <x:c r="C286" s="9" t="str">
        <x:v>EV-AR-RT-B-C-TECH-4-B1-RCN-G0</x:v>
      </x:c>
      <x:c r="D286" s="9" t="str">
        <x:v>AR-RT-B-C-TECH-4-B1-RCN-G0</x:v>
      </x:c>
      <x:c r="E286" s="9" t="str">
        <x:v>RT-B-C-TECH-4</x:v>
      </x:c>
      <x:c r="F286" s="9" t="str">
        <x:v>RT-B-C</x:v>
      </x:c>
      <x:c r="G286" s="9" t="str">
        <x:v>B1</x:v>
      </x:c>
      <x:c r="H286" s="9" t="str">
        <x:v>RCN</x:v>
      </x:c>
      <x:c r="I286" s="9" t="str">
        <x:v>PD08</x:v>
      </x:c>
      <x:c r="J286" s="17" t="str">
        <x:v>Command and intervention log</x:v>
      </x:c>
      <x:c r="K286" s="17" t="str">
        <x:v>Safety archive</x:v>
      </x:c>
      <x:c r="L286" s="17" t="str">
        <x:v>COURT-SEALED UNTIL COHORT RELEASE</x:v>
      </x:c>
      <x:c r="M286" s="9" t="n">
        <x:v>0</x:v>
      </x:c>
      <x:c r="N286" s="9" t="n">
        <x:v>0</x:v>
      </x:c>
      <x:c r="O286" s="9" t="n">
        <x:v>0</x:v>
      </x:c>
      <x:c r="P286" s="9" t="str">
        <x:v>HELD / UNRELEASED</x:v>
      </x:c>
      <x:c r="Q286" s="9" t="n">
        <x:f>COUNTIFS($A$7:$A$2310,A286)</x:f>
        <x:v>1</x:v>
      </x:c>
    </x:row>
    <x:row r="287">
      <x:c r="A287" s="9" t="str">
        <x:v>PD-AR-RT-B-C-TECH-4-B1-RCN-G0-PD09</x:v>
      </x:c>
      <x:c r="B287" s="9" t="str">
        <x:v>PD-AR-RT-B-C-TECH-4-B1-RCN-G0</x:v>
      </x:c>
      <x:c r="C287" s="9" t="str">
        <x:v>EV-AR-RT-B-C-TECH-4-B1-RCN-G0</x:v>
      </x:c>
      <x:c r="D287" s="9" t="str">
        <x:v>AR-RT-B-C-TECH-4-B1-RCN-G0</x:v>
      </x:c>
      <x:c r="E287" s="9" t="str">
        <x:v>RT-B-C-TECH-4</x:v>
      </x:c>
      <x:c r="F287" s="9" t="str">
        <x:v>RT-B-C</x:v>
      </x:c>
      <x:c r="G287" s="9" t="str">
        <x:v>B1</x:v>
      </x:c>
      <x:c r="H287" s="9" t="str">
        <x:v>RCN</x:v>
      </x:c>
      <x:c r="I287" s="9" t="str">
        <x:v>PD09</x:v>
      </x:c>
      <x:c r="J287" s="17" t="str">
        <x:v>Receiver denominator and service ledger</x:v>
      </x:c>
      <x:c r="K287" s="17" t="str">
        <x:v>Receiver archive</x:v>
      </x:c>
      <x:c r="L287" s="17" t="str">
        <x:v>COURT-SEALED UNTIL COHORT RELEASE</x:v>
      </x:c>
      <x:c r="M287" s="9" t="n">
        <x:v>0</x:v>
      </x:c>
      <x:c r="N287" s="9" t="n">
        <x:v>0</x:v>
      </x:c>
      <x:c r="O287" s="9" t="n">
        <x:v>0</x:v>
      </x:c>
      <x:c r="P287" s="9" t="str">
        <x:v>HELD / UNRELEASED</x:v>
      </x:c>
      <x:c r="Q287" s="9" t="n">
        <x:f>COUNTIFS($A$7:$A$2310,A287)</x:f>
        <x:v>1</x:v>
      </x:c>
    </x:row>
    <x:row r="288">
      <x:c r="A288" s="9" t="str">
        <x:v>PD-AR-RT-B-C-TECH-4-B1-RCN-G0-PD10</x:v>
      </x:c>
      <x:c r="B288" s="9" t="str">
        <x:v>PD-AR-RT-B-C-TECH-4-B1-RCN-G0</x:v>
      </x:c>
      <x:c r="C288" s="9" t="str">
        <x:v>EV-AR-RT-B-C-TECH-4-B1-RCN-G0</x:v>
      </x:c>
      <x:c r="D288" s="9" t="str">
        <x:v>AR-RT-B-C-TECH-4-B1-RCN-G0</x:v>
      </x:c>
      <x:c r="E288" s="9" t="str">
        <x:v>RT-B-C-TECH-4</x:v>
      </x:c>
      <x:c r="F288" s="9" t="str">
        <x:v>RT-B-C</x:v>
      </x:c>
      <x:c r="G288" s="9" t="str">
        <x:v>B1</x:v>
      </x:c>
      <x:c r="H288" s="9" t="str">
        <x:v>RCN</x:v>
      </x:c>
      <x:c r="I288" s="9" t="str">
        <x:v>PD10</x:v>
      </x:c>
      <x:c r="J288" s="17" t="str">
        <x:v>Calibration and uncertainty record</x:v>
      </x:c>
      <x:c r="K288" s="17" t="str">
        <x:v>Metrology archive</x:v>
      </x:c>
      <x:c r="L288" s="17" t="str">
        <x:v>COURT-SEALED UNTIL COHORT RELEASE</x:v>
      </x:c>
      <x:c r="M288" s="9" t="n">
        <x:v>0</x:v>
      </x:c>
      <x:c r="N288" s="9" t="n">
        <x:v>0</x:v>
      </x:c>
      <x:c r="O288" s="9" t="n">
        <x:v>0</x:v>
      </x:c>
      <x:c r="P288" s="9" t="str">
        <x:v>HELD / UNRELEASED</x:v>
      </x:c>
      <x:c r="Q288" s="9" t="n">
        <x:f>COUNTIFS($A$7:$A$2310,A288)</x:f>
        <x:v>1</x:v>
      </x:c>
    </x:row>
    <x:row r="289">
      <x:c r="A289" s="9" t="str">
        <x:v>PD-AR-RT-B-C-TECH-4-B1-RCN-G0-PD11</x:v>
      </x:c>
      <x:c r="B289" s="9" t="str">
        <x:v>PD-AR-RT-B-C-TECH-4-B1-RCN-G0</x:v>
      </x:c>
      <x:c r="C289" s="9" t="str">
        <x:v>EV-AR-RT-B-C-TECH-4-B1-RCN-G0</x:v>
      </x:c>
      <x:c r="D289" s="9" t="str">
        <x:v>AR-RT-B-C-TECH-4-B1-RCN-G0</x:v>
      </x:c>
      <x:c r="E289" s="9" t="str">
        <x:v>RT-B-C-TECH-4</x:v>
      </x:c>
      <x:c r="F289" s="9" t="str">
        <x:v>RT-B-C</x:v>
      </x:c>
      <x:c r="G289" s="9" t="str">
        <x:v>B1</x:v>
      </x:c>
      <x:c r="H289" s="9" t="str">
        <x:v>RCN</x:v>
      </x:c>
      <x:c r="I289" s="9" t="str">
        <x:v>PD11</x:v>
      </x:c>
      <x:c r="J289" s="17" t="str">
        <x:v>Invalidity petition and opinion</x:v>
      </x:c>
      <x:c r="K289" s="17" t="str">
        <x:v>Invalidity court</x:v>
      </x:c>
      <x:c r="L289" s="17" t="str">
        <x:v>COURT-SEALED UNTIL COHORT RELEASE</x:v>
      </x:c>
      <x:c r="M289" s="9" t="n">
        <x:v>0</x:v>
      </x:c>
      <x:c r="N289" s="9" t="n">
        <x:v>0</x:v>
      </x:c>
      <x:c r="O289" s="9" t="n">
        <x:v>0</x:v>
      </x:c>
      <x:c r="P289" s="9" t="str">
        <x:v>HELD / UNRELEASED</x:v>
      </x:c>
      <x:c r="Q289" s="9" t="n">
        <x:f>COUNTIFS($A$7:$A$2310,A289)</x:f>
        <x:v>1</x:v>
      </x:c>
    </x:row>
    <x:row r="290">
      <x:c r="A290" s="9" t="str">
        <x:v>PD-AR-RT-B-C-TECH-4-B1-RCN-G0-PD12</x:v>
      </x:c>
      <x:c r="B290" s="9" t="str">
        <x:v>PD-AR-RT-B-C-TECH-4-B1-RCN-G0</x:v>
      </x:c>
      <x:c r="C290" s="9" t="str">
        <x:v>EV-AR-RT-B-C-TECH-4-B1-RCN-G0</x:v>
      </x:c>
      <x:c r="D290" s="9" t="str">
        <x:v>AR-RT-B-C-TECH-4-B1-RCN-G0</x:v>
      </x:c>
      <x:c r="E290" s="9" t="str">
        <x:v>RT-B-C-TECH-4</x:v>
      </x:c>
      <x:c r="F290" s="9" t="str">
        <x:v>RT-B-C</x:v>
      </x:c>
      <x:c r="G290" s="9" t="str">
        <x:v>B1</x:v>
      </x:c>
      <x:c r="H290" s="9" t="str">
        <x:v>RCN</x:v>
      </x:c>
      <x:c r="I290" s="9" t="str">
        <x:v>PD12</x:v>
      </x:c>
      <x:c r="J290" s="17" t="str">
        <x:v>Observation acceptance and replay</x:v>
      </x:c>
      <x:c r="K290" s="17" t="str">
        <x:v>Observation court</x:v>
      </x:c>
      <x:c r="L290" s="17" t="str">
        <x:v>COURT-SEALED UNTIL COHORT RELEASE</x:v>
      </x:c>
      <x:c r="M290" s="9" t="n">
        <x:v>0</x:v>
      </x:c>
      <x:c r="N290" s="9" t="n">
        <x:v>0</x:v>
      </x:c>
      <x:c r="O290" s="9" t="n">
        <x:v>0</x:v>
      </x:c>
      <x:c r="P290" s="9" t="str">
        <x:v>HELD / UNRELEASED</x:v>
      </x:c>
      <x:c r="Q290" s="9" t="n">
        <x:f>COUNTIFS($A$7:$A$2310,A290)</x:f>
        <x:v>1</x:v>
      </x:c>
    </x:row>
    <x:row r="291">
      <x:c r="A291" s="9" t="str">
        <x:v>PD-AR-RT-B-C-TECH-4-B1-RCN-G0-PD13</x:v>
      </x:c>
      <x:c r="B291" s="9" t="str">
        <x:v>PD-AR-RT-B-C-TECH-4-B1-RCN-G0</x:v>
      </x:c>
      <x:c r="C291" s="9" t="str">
        <x:v>EV-AR-RT-B-C-TECH-4-B1-RCN-G0</x:v>
      </x:c>
      <x:c r="D291" s="9" t="str">
        <x:v>AR-RT-B-C-TECH-4-B1-RCN-G0</x:v>
      </x:c>
      <x:c r="E291" s="9" t="str">
        <x:v>RT-B-C-TECH-4</x:v>
      </x:c>
      <x:c r="F291" s="9" t="str">
        <x:v>RT-B-C</x:v>
      </x:c>
      <x:c r="G291" s="9" t="str">
        <x:v>B1</x:v>
      </x:c>
      <x:c r="H291" s="9" t="str">
        <x:v>RCN</x:v>
      </x:c>
      <x:c r="I291" s="9" t="str">
        <x:v>PD13</x:v>
      </x:c>
      <x:c r="J291" s="17" t="str">
        <x:v>Role judgment</x:v>
      </x:c>
      <x:c r="K291" s="17" t="str">
        <x:v>Role court</x:v>
      </x:c>
      <x:c r="L291" s="17" t="str">
        <x:v>COURT-SEALED UNTIL COHORT RELEASE</x:v>
      </x:c>
      <x:c r="M291" s="9" t="n">
        <x:v>0</x:v>
      </x:c>
      <x:c r="N291" s="9" t="n">
        <x:v>0</x:v>
      </x:c>
      <x:c r="O291" s="9" t="n">
        <x:v>0</x:v>
      </x:c>
      <x:c r="P291" s="9" t="str">
        <x:v>HELD / UNRELEASED</x:v>
      </x:c>
      <x:c r="Q291" s="9" t="n">
        <x:f>COUNTIFS($A$7:$A$2310,A291)</x:f>
        <x:v>1</x:v>
      </x:c>
    </x:row>
    <x:row r="292">
      <x:c r="A292" s="9" t="str">
        <x:v>PD-AR-RT-B-C-TECH-4-B1-RCN-G0-PD14</x:v>
      </x:c>
      <x:c r="B292" s="9" t="str">
        <x:v>PD-AR-RT-B-C-TECH-4-B1-RCN-G0</x:v>
      </x:c>
      <x:c r="C292" s="9" t="str">
        <x:v>EV-AR-RT-B-C-TECH-4-B1-RCN-G0</x:v>
      </x:c>
      <x:c r="D292" s="9" t="str">
        <x:v>AR-RT-B-C-TECH-4-B1-RCN-G0</x:v>
      </x:c>
      <x:c r="E292" s="9" t="str">
        <x:v>RT-B-C-TECH-4</x:v>
      </x:c>
      <x:c r="F292" s="9" t="str">
        <x:v>RT-B-C</x:v>
      </x:c>
      <x:c r="G292" s="9" t="str">
        <x:v>B1</x:v>
      </x:c>
      <x:c r="H292" s="9" t="str">
        <x:v>RCN</x:v>
      </x:c>
      <x:c r="I292" s="9" t="str">
        <x:v>PD14</x:v>
      </x:c>
      <x:c r="J292" s="17" t="str">
        <x:v>Break and residual account</x:v>
      </x:c>
      <x:c r="K292" s="17" t="str">
        <x:v>Residual authority</x:v>
      </x:c>
      <x:c r="L292" s="17" t="str">
        <x:v>COURT-SEALED UNTIL COHORT RELEASE</x:v>
      </x:c>
      <x:c r="M292" s="9" t="n">
        <x:v>0</x:v>
      </x:c>
      <x:c r="N292" s="9" t="n">
        <x:v>0</x:v>
      </x:c>
      <x:c r="O292" s="9" t="n">
        <x:v>0</x:v>
      </x:c>
      <x:c r="P292" s="9" t="str">
        <x:v>HELD / UNRELEASED</x:v>
      </x:c>
      <x:c r="Q292" s="9" t="n">
        <x:f>COUNTIFS($A$7:$A$2310,A292)</x:f>
        <x:v>1</x:v>
      </x:c>
    </x:row>
    <x:row r="293">
      <x:c r="A293" s="9" t="str">
        <x:v>PD-AR-RT-B-C-TECH-4-B1-RCN-G0-PD15</x:v>
      </x:c>
      <x:c r="B293" s="9" t="str">
        <x:v>PD-AR-RT-B-C-TECH-4-B1-RCN-G0</x:v>
      </x:c>
      <x:c r="C293" s="9" t="str">
        <x:v>EV-AR-RT-B-C-TECH-4-B1-RCN-G0</x:v>
      </x:c>
      <x:c r="D293" s="9" t="str">
        <x:v>AR-RT-B-C-TECH-4-B1-RCN-G0</x:v>
      </x:c>
      <x:c r="E293" s="9" t="str">
        <x:v>RT-B-C-TECH-4</x:v>
      </x:c>
      <x:c r="F293" s="9" t="str">
        <x:v>RT-B-C</x:v>
      </x:c>
      <x:c r="G293" s="9" t="str">
        <x:v>B1</x:v>
      </x:c>
      <x:c r="H293" s="9" t="str">
        <x:v>RCN</x:v>
      </x:c>
      <x:c r="I293" s="9" t="str">
        <x:v>PD15</x:v>
      </x:c>
      <x:c r="J293" s="17" t="str">
        <x:v>Reconstruction ancestry and replay</x:v>
      </x:c>
      <x:c r="K293" s="17" t="str">
        <x:v>Reconstruction court</x:v>
      </x:c>
      <x:c r="L293" s="17" t="str">
        <x:v>COURT-SEALED UNTIL COHORT RELEASE</x:v>
      </x:c>
      <x:c r="M293" s="9" t="n">
        <x:v>0</x:v>
      </x:c>
      <x:c r="N293" s="9" t="n">
        <x:v>0</x:v>
      </x:c>
      <x:c r="O293" s="9" t="n">
        <x:v>0</x:v>
      </x:c>
      <x:c r="P293" s="9" t="str">
        <x:v>HELD / UNRELEASED</x:v>
      </x:c>
      <x:c r="Q293" s="9" t="n">
        <x:f>COUNTIFS($A$7:$A$2310,A293)</x:f>
        <x:v>1</x:v>
      </x:c>
    </x:row>
    <x:row r="294">
      <x:c r="A294" s="9" t="str">
        <x:v>PD-AR-RT-B-C-TECH-4-B1-RCN-G0-PD16</x:v>
      </x:c>
      <x:c r="B294" s="9" t="str">
        <x:v>PD-AR-RT-B-C-TECH-4-B1-RCN-G0</x:v>
      </x:c>
      <x:c r="C294" s="9" t="str">
        <x:v>EV-AR-RT-B-C-TECH-4-B1-RCN-G0</x:v>
      </x:c>
      <x:c r="D294" s="9" t="str">
        <x:v>AR-RT-B-C-TECH-4-B1-RCN-G0</x:v>
      </x:c>
      <x:c r="E294" s="9" t="str">
        <x:v>RT-B-C-TECH-4</x:v>
      </x:c>
      <x:c r="F294" s="9" t="str">
        <x:v>RT-B-C</x:v>
      </x:c>
      <x:c r="G294" s="9" t="str">
        <x:v>B1</x:v>
      </x:c>
      <x:c r="H294" s="9" t="str">
        <x:v>RCN</x:v>
      </x:c>
      <x:c r="I294" s="9" t="str">
        <x:v>PD16</x:v>
      </x:c>
      <x:c r="J294" s="17" t="str">
        <x:v>Dissent, amendments and access log</x:v>
      </x:c>
      <x:c r="K294" s="17" t="str">
        <x:v>Public archive</x:v>
      </x:c>
      <x:c r="L294" s="17" t="str">
        <x:v>COURT-SEALED UNTIL COHORT RELEASE</x:v>
      </x:c>
      <x:c r="M294" s="9" t="n">
        <x:v>0</x:v>
      </x:c>
      <x:c r="N294" s="9" t="n">
        <x:v>0</x:v>
      </x:c>
      <x:c r="O294" s="9" t="n">
        <x:v>0</x:v>
      </x:c>
      <x:c r="P294" s="9" t="str">
        <x:v>HELD / UNRELEASED</x:v>
      </x:c>
      <x:c r="Q294" s="9" t="n">
        <x:f>COUNTIFS($A$7:$A$2310,A294)</x:f>
        <x:v>1</x:v>
      </x:c>
    </x:row>
    <x:row r="295">
      <x:c r="A295" s="9" t="str">
        <x:v>PD-AR-CT-C-B-TECH-4-B1-BRK-G0-PD01</x:v>
      </x:c>
      <x:c r="B295" s="9" t="str">
        <x:v>PD-AR-CT-C-B-TECH-4-B1-BRK-G0</x:v>
      </x:c>
      <x:c r="C295" s="9" t="str">
        <x:v>EV-AR-CT-C-B-TECH-4-B1-BRK-G0</x:v>
      </x:c>
      <x:c r="D295" s="9" t="str">
        <x:v>AR-CT-C-B-TECH-4-B1-BRK-G0</x:v>
      </x:c>
      <x:c r="E295" s="9" t="str">
        <x:v>CT-C-B-TECH-4</x:v>
      </x:c>
      <x:c r="F295" s="9" t="str">
        <x:v>CT-C-B</x:v>
      </x:c>
      <x:c r="G295" s="9" t="str">
        <x:v>B1</x:v>
      </x:c>
      <x:c r="H295" s="9" t="str">
        <x:v>BRK</x:v>
      </x:c>
      <x:c r="I295" s="9" t="str">
        <x:v>PD01</x:v>
      </x:c>
      <x:c r="J295" s="17" t="str">
        <x:v>Experiment kernel</x:v>
      </x:c>
      <x:c r="K295" s="17" t="str">
        <x:v>Public archive</x:v>
      </x:c>
      <x:c r="L295" s="17" t="str">
        <x:v>COURT-SEALED UNTIL COHORT RELEASE</x:v>
      </x:c>
      <x:c r="M295" s="9" t="n">
        <x:v>0</x:v>
      </x:c>
      <x:c r="N295" s="9" t="n">
        <x:v>0</x:v>
      </x:c>
      <x:c r="O295" s="9" t="n">
        <x:v>0</x:v>
      </x:c>
      <x:c r="P295" s="9" t="str">
        <x:v>HELD / UNRELEASED</x:v>
      </x:c>
      <x:c r="Q295" s="9" t="n">
        <x:f>COUNTIFS($A$7:$A$2310,A295)</x:f>
        <x:v>1</x:v>
      </x:c>
    </x:row>
    <x:row r="296">
      <x:c r="A296" s="9" t="str">
        <x:v>PD-AR-CT-C-B-TECH-4-B1-BRK-G0-PD02</x:v>
      </x:c>
      <x:c r="B296" s="9" t="str">
        <x:v>PD-AR-CT-C-B-TECH-4-B1-BRK-G0</x:v>
      </x:c>
      <x:c r="C296" s="9" t="str">
        <x:v>EV-AR-CT-C-B-TECH-4-B1-BRK-G0</x:v>
      </x:c>
      <x:c r="D296" s="9" t="str">
        <x:v>AR-CT-C-B-TECH-4-B1-BRK-G0</x:v>
      </x:c>
      <x:c r="E296" s="9" t="str">
        <x:v>CT-C-B-TECH-4</x:v>
      </x:c>
      <x:c r="F296" s="9" t="str">
        <x:v>CT-C-B</x:v>
      </x:c>
      <x:c r="G296" s="9" t="str">
        <x:v>B1</x:v>
      </x:c>
      <x:c r="H296" s="9" t="str">
        <x:v>BRK</x:v>
      </x:c>
      <x:c r="I296" s="9" t="str">
        <x:v>PD02</x:v>
      </x:c>
      <x:c r="J296" s="17" t="str">
        <x:v>Serial annex and title chain</x:v>
      </x:c>
      <x:c r="K296" s="17" t="str">
        <x:v>Public archive</x:v>
      </x:c>
      <x:c r="L296" s="17" t="str">
        <x:v>COURT-SEALED UNTIL COHORT RELEASE</x:v>
      </x:c>
      <x:c r="M296" s="9" t="n">
        <x:v>0</x:v>
      </x:c>
      <x:c r="N296" s="9" t="n">
        <x:v>0</x:v>
      </x:c>
      <x:c r="O296" s="9" t="n">
        <x:v>0</x:v>
      </x:c>
      <x:c r="P296" s="9" t="str">
        <x:v>HELD / UNRELEASED</x:v>
      </x:c>
      <x:c r="Q296" s="9" t="n">
        <x:f>COUNTIFS($A$7:$A$2310,A296)</x:f>
        <x:v>1</x:v>
      </x:c>
    </x:row>
    <x:row r="297">
      <x:c r="A297" s="9" t="str">
        <x:v>PD-AR-CT-C-B-TECH-4-B1-BRK-G0-PD03</x:v>
      </x:c>
      <x:c r="B297" s="9" t="str">
        <x:v>PD-AR-CT-C-B-TECH-4-B1-BRK-G0</x:v>
      </x:c>
      <x:c r="C297" s="9" t="str">
        <x:v>EV-AR-CT-C-B-TECH-4-B1-BRK-G0</x:v>
      </x:c>
      <x:c r="D297" s="9" t="str">
        <x:v>AR-CT-C-B-TECH-4-B1-BRK-G0</x:v>
      </x:c>
      <x:c r="E297" s="9" t="str">
        <x:v>CT-C-B-TECH-4</x:v>
      </x:c>
      <x:c r="F297" s="9" t="str">
        <x:v>CT-C-B</x:v>
      </x:c>
      <x:c r="G297" s="9" t="str">
        <x:v>B1</x:v>
      </x:c>
      <x:c r="H297" s="9" t="str">
        <x:v>BRK</x:v>
      </x:c>
      <x:c r="I297" s="9" t="str">
        <x:v>PD03</x:v>
      </x:c>
      <x:c r="J297" s="17" t="str">
        <x:v>Configuration and as-built manifest</x:v>
      </x:c>
      <x:c r="K297" s="17" t="str">
        <x:v>Artifact exchange</x:v>
      </x:c>
      <x:c r="L297" s="17" t="str">
        <x:v>COURT-SEALED UNTIL COHORT RELEASE</x:v>
      </x:c>
      <x:c r="M297" s="9" t="n">
        <x:v>0</x:v>
      </x:c>
      <x:c r="N297" s="9" t="n">
        <x:v>0</x:v>
      </x:c>
      <x:c r="O297" s="9" t="n">
        <x:v>0</x:v>
      </x:c>
      <x:c r="P297" s="9" t="str">
        <x:v>HELD / UNRELEASED</x:v>
      </x:c>
      <x:c r="Q297" s="9" t="n">
        <x:f>COUNTIFS($A$7:$A$2310,A297)</x:f>
        <x:v>1</x:v>
      </x:c>
    </x:row>
    <x:row r="298">
      <x:c r="A298" s="9" t="str">
        <x:v>PD-AR-CT-C-B-TECH-4-B1-BRK-G0-PD04</x:v>
      </x:c>
      <x:c r="B298" s="9" t="str">
        <x:v>PD-AR-CT-C-B-TECH-4-B1-BRK-G0</x:v>
      </x:c>
      <x:c r="C298" s="9" t="str">
        <x:v>EV-AR-CT-C-B-TECH-4-B1-BRK-G0</x:v>
      </x:c>
      <x:c r="D298" s="9" t="str">
        <x:v>AR-CT-C-B-TECH-4-B1-BRK-G0</x:v>
      </x:c>
      <x:c r="E298" s="9" t="str">
        <x:v>CT-C-B-TECH-4</x:v>
      </x:c>
      <x:c r="F298" s="9" t="str">
        <x:v>CT-C-B</x:v>
      </x:c>
      <x:c r="G298" s="9" t="str">
        <x:v>B1</x:v>
      </x:c>
      <x:c r="H298" s="9" t="str">
        <x:v>BRK</x:v>
      </x:c>
      <x:c r="I298" s="9" t="str">
        <x:v>PD04</x:v>
      </x:c>
      <x:c r="J298" s="17" t="str">
        <x:v>EOW and start certificate</x:v>
      </x:c>
      <x:c r="K298" s="17" t="str">
        <x:v>Start registrar</x:v>
      </x:c>
      <x:c r="L298" s="17" t="str">
        <x:v>COURT-SEALED UNTIL COHORT RELEASE</x:v>
      </x:c>
      <x:c r="M298" s="9" t="n">
        <x:v>0</x:v>
      </x:c>
      <x:c r="N298" s="9" t="n">
        <x:v>0</x:v>
      </x:c>
      <x:c r="O298" s="9" t="n">
        <x:v>0</x:v>
      </x:c>
      <x:c r="P298" s="9" t="str">
        <x:v>HELD / UNRELEASED</x:v>
      </x:c>
      <x:c r="Q298" s="9" t="n">
        <x:f>COUNTIFS($A$7:$A$2310,A298)</x:f>
        <x:v>1</x:v>
      </x:c>
    </x:row>
    <x:row r="299">
      <x:c r="A299" s="9" t="str">
        <x:v>PD-AR-CT-C-B-TECH-4-B1-BRK-G0-PD05</x:v>
      </x:c>
      <x:c r="B299" s="9" t="str">
        <x:v>PD-AR-CT-C-B-TECH-4-B1-BRK-G0</x:v>
      </x:c>
      <x:c r="C299" s="9" t="str">
        <x:v>EV-AR-CT-C-B-TECH-4-B1-BRK-G0</x:v>
      </x:c>
      <x:c r="D299" s="9" t="str">
        <x:v>AR-CT-C-B-TECH-4-B1-BRK-G0</x:v>
      </x:c>
      <x:c r="E299" s="9" t="str">
        <x:v>CT-C-B-TECH-4</x:v>
      </x:c>
      <x:c r="F299" s="9" t="str">
        <x:v>CT-C-B</x:v>
      </x:c>
      <x:c r="G299" s="9" t="str">
        <x:v>B1</x:v>
      </x:c>
      <x:c r="H299" s="9" t="str">
        <x:v>BRK</x:v>
      </x:c>
      <x:c r="I299" s="9" t="str">
        <x:v>PD05</x:v>
      </x:c>
      <x:c r="J299" s="17" t="str">
        <x:v>Primary raw originals</x:v>
      </x:c>
      <x:c r="K299" s="17" t="str">
        <x:v>Primary custody</x:v>
      </x:c>
      <x:c r="L299" s="17" t="str">
        <x:v>COURT-SEALED UNTIL COHORT RELEASE</x:v>
      </x:c>
      <x:c r="M299" s="9" t="n">
        <x:v>0</x:v>
      </x:c>
      <x:c r="N299" s="9" t="n">
        <x:v>0</x:v>
      </x:c>
      <x:c r="O299" s="9" t="n">
        <x:v>0</x:v>
      </x:c>
      <x:c r="P299" s="9" t="str">
        <x:v>HELD / UNRELEASED</x:v>
      </x:c>
      <x:c r="Q299" s="9" t="n">
        <x:f>COUNTIFS($A$7:$A$2310,A299)</x:f>
        <x:v>1</x:v>
      </x:c>
    </x:row>
    <x:row r="300">
      <x:c r="A300" s="9" t="str">
        <x:v>PD-AR-CT-C-B-TECH-4-B1-BRK-G0-PD06</x:v>
      </x:c>
      <x:c r="B300" s="9" t="str">
        <x:v>PD-AR-CT-C-B-TECH-4-B1-BRK-G0</x:v>
      </x:c>
      <x:c r="C300" s="9" t="str">
        <x:v>EV-AR-CT-C-B-TECH-4-B1-BRK-G0</x:v>
      </x:c>
      <x:c r="D300" s="9" t="str">
        <x:v>AR-CT-C-B-TECH-4-B1-BRK-G0</x:v>
      </x:c>
      <x:c r="E300" s="9" t="str">
        <x:v>CT-C-B-TECH-4</x:v>
      </x:c>
      <x:c r="F300" s="9" t="str">
        <x:v>CT-C-B</x:v>
      </x:c>
      <x:c r="G300" s="9" t="str">
        <x:v>B1</x:v>
      </x:c>
      <x:c r="H300" s="9" t="str">
        <x:v>BRK</x:v>
      </x:c>
      <x:c r="I300" s="9" t="str">
        <x:v>PD06</x:v>
      </x:c>
      <x:c r="J300" s="17" t="str">
        <x:v>Witness raw originals</x:v>
      </x:c>
      <x:c r="K300" s="17" t="str">
        <x:v>Witness custody</x:v>
      </x:c>
      <x:c r="L300" s="17" t="str">
        <x:v>COURT-SEALED UNTIL COHORT RELEASE</x:v>
      </x:c>
      <x:c r="M300" s="9" t="n">
        <x:v>0</x:v>
      </x:c>
      <x:c r="N300" s="9" t="n">
        <x:v>0</x:v>
      </x:c>
      <x:c r="O300" s="9" t="n">
        <x:v>0</x:v>
      </x:c>
      <x:c r="P300" s="9" t="str">
        <x:v>HELD / UNRELEASED</x:v>
      </x:c>
      <x:c r="Q300" s="9" t="n">
        <x:f>COUNTIFS($A$7:$A$2310,A300)</x:f>
        <x:v>1</x:v>
      </x:c>
    </x:row>
    <x:row r="301">
      <x:c r="A301" s="9" t="str">
        <x:v>PD-AR-CT-C-B-TECH-4-B1-BRK-G0-PD07</x:v>
      </x:c>
      <x:c r="B301" s="9" t="str">
        <x:v>PD-AR-CT-C-B-TECH-4-B1-BRK-G0</x:v>
      </x:c>
      <x:c r="C301" s="9" t="str">
        <x:v>EV-AR-CT-C-B-TECH-4-B1-BRK-G0</x:v>
      </x:c>
      <x:c r="D301" s="9" t="str">
        <x:v>AR-CT-C-B-TECH-4-B1-BRK-G0</x:v>
      </x:c>
      <x:c r="E301" s="9" t="str">
        <x:v>CT-C-B-TECH-4</x:v>
      </x:c>
      <x:c r="F301" s="9" t="str">
        <x:v>CT-C-B</x:v>
      </x:c>
      <x:c r="G301" s="9" t="str">
        <x:v>B1</x:v>
      </x:c>
      <x:c r="H301" s="9" t="str">
        <x:v>BRK</x:v>
      </x:c>
      <x:c r="I301" s="9" t="str">
        <x:v>PD07</x:v>
      </x:c>
      <x:c r="J301" s="17" t="str">
        <x:v>Clock and environmental records</x:v>
      </x:c>
      <x:c r="K301" s="17" t="str">
        <x:v>Boundary archive</x:v>
      </x:c>
      <x:c r="L301" s="17" t="str">
        <x:v>COURT-SEALED UNTIL COHORT RELEASE</x:v>
      </x:c>
      <x:c r="M301" s="9" t="n">
        <x:v>0</x:v>
      </x:c>
      <x:c r="N301" s="9" t="n">
        <x:v>0</x:v>
      </x:c>
      <x:c r="O301" s="9" t="n">
        <x:v>0</x:v>
      </x:c>
      <x:c r="P301" s="9" t="str">
        <x:v>HELD / UNRELEASED</x:v>
      </x:c>
      <x:c r="Q301" s="9" t="n">
        <x:f>COUNTIFS($A$7:$A$2310,A301)</x:f>
        <x:v>1</x:v>
      </x:c>
    </x:row>
    <x:row r="302">
      <x:c r="A302" s="9" t="str">
        <x:v>PD-AR-CT-C-B-TECH-4-B1-BRK-G0-PD08</x:v>
      </x:c>
      <x:c r="B302" s="9" t="str">
        <x:v>PD-AR-CT-C-B-TECH-4-B1-BRK-G0</x:v>
      </x:c>
      <x:c r="C302" s="9" t="str">
        <x:v>EV-AR-CT-C-B-TECH-4-B1-BRK-G0</x:v>
      </x:c>
      <x:c r="D302" s="9" t="str">
        <x:v>AR-CT-C-B-TECH-4-B1-BRK-G0</x:v>
      </x:c>
      <x:c r="E302" s="9" t="str">
        <x:v>CT-C-B-TECH-4</x:v>
      </x:c>
      <x:c r="F302" s="9" t="str">
        <x:v>CT-C-B</x:v>
      </x:c>
      <x:c r="G302" s="9" t="str">
        <x:v>B1</x:v>
      </x:c>
      <x:c r="H302" s="9" t="str">
        <x:v>BRK</x:v>
      </x:c>
      <x:c r="I302" s="9" t="str">
        <x:v>PD08</x:v>
      </x:c>
      <x:c r="J302" s="17" t="str">
        <x:v>Command and intervention log</x:v>
      </x:c>
      <x:c r="K302" s="17" t="str">
        <x:v>Safety archive</x:v>
      </x:c>
      <x:c r="L302" s="17" t="str">
        <x:v>COURT-SEALED UNTIL COHORT RELEASE</x:v>
      </x:c>
      <x:c r="M302" s="9" t="n">
        <x:v>0</x:v>
      </x:c>
      <x:c r="N302" s="9" t="n">
        <x:v>0</x:v>
      </x:c>
      <x:c r="O302" s="9" t="n">
        <x:v>0</x:v>
      </x:c>
      <x:c r="P302" s="9" t="str">
        <x:v>HELD / UNRELEASED</x:v>
      </x:c>
      <x:c r="Q302" s="9" t="n">
        <x:f>COUNTIFS($A$7:$A$2310,A302)</x:f>
        <x:v>1</x:v>
      </x:c>
    </x:row>
    <x:row r="303">
      <x:c r="A303" s="9" t="str">
        <x:v>PD-AR-CT-C-B-TECH-4-B1-BRK-G0-PD09</x:v>
      </x:c>
      <x:c r="B303" s="9" t="str">
        <x:v>PD-AR-CT-C-B-TECH-4-B1-BRK-G0</x:v>
      </x:c>
      <x:c r="C303" s="9" t="str">
        <x:v>EV-AR-CT-C-B-TECH-4-B1-BRK-G0</x:v>
      </x:c>
      <x:c r="D303" s="9" t="str">
        <x:v>AR-CT-C-B-TECH-4-B1-BRK-G0</x:v>
      </x:c>
      <x:c r="E303" s="9" t="str">
        <x:v>CT-C-B-TECH-4</x:v>
      </x:c>
      <x:c r="F303" s="9" t="str">
        <x:v>CT-C-B</x:v>
      </x:c>
      <x:c r="G303" s="9" t="str">
        <x:v>B1</x:v>
      </x:c>
      <x:c r="H303" s="9" t="str">
        <x:v>BRK</x:v>
      </x:c>
      <x:c r="I303" s="9" t="str">
        <x:v>PD09</x:v>
      </x:c>
      <x:c r="J303" s="17" t="str">
        <x:v>Receiver denominator and service ledger</x:v>
      </x:c>
      <x:c r="K303" s="17" t="str">
        <x:v>Receiver archive</x:v>
      </x:c>
      <x:c r="L303" s="17" t="str">
        <x:v>COURT-SEALED UNTIL COHORT RELEASE</x:v>
      </x:c>
      <x:c r="M303" s="9" t="n">
        <x:v>0</x:v>
      </x:c>
      <x:c r="N303" s="9" t="n">
        <x:v>0</x:v>
      </x:c>
      <x:c r="O303" s="9" t="n">
        <x:v>0</x:v>
      </x:c>
      <x:c r="P303" s="9" t="str">
        <x:v>HELD / UNRELEASED</x:v>
      </x:c>
      <x:c r="Q303" s="9" t="n">
        <x:f>COUNTIFS($A$7:$A$2310,A303)</x:f>
        <x:v>1</x:v>
      </x:c>
    </x:row>
    <x:row r="304">
      <x:c r="A304" s="9" t="str">
        <x:v>PD-AR-CT-C-B-TECH-4-B1-BRK-G0-PD10</x:v>
      </x:c>
      <x:c r="B304" s="9" t="str">
        <x:v>PD-AR-CT-C-B-TECH-4-B1-BRK-G0</x:v>
      </x:c>
      <x:c r="C304" s="9" t="str">
        <x:v>EV-AR-CT-C-B-TECH-4-B1-BRK-G0</x:v>
      </x:c>
      <x:c r="D304" s="9" t="str">
        <x:v>AR-CT-C-B-TECH-4-B1-BRK-G0</x:v>
      </x:c>
      <x:c r="E304" s="9" t="str">
        <x:v>CT-C-B-TECH-4</x:v>
      </x:c>
      <x:c r="F304" s="9" t="str">
        <x:v>CT-C-B</x:v>
      </x:c>
      <x:c r="G304" s="9" t="str">
        <x:v>B1</x:v>
      </x:c>
      <x:c r="H304" s="9" t="str">
        <x:v>BRK</x:v>
      </x:c>
      <x:c r="I304" s="9" t="str">
        <x:v>PD10</x:v>
      </x:c>
      <x:c r="J304" s="17" t="str">
        <x:v>Calibration and uncertainty record</x:v>
      </x:c>
      <x:c r="K304" s="17" t="str">
        <x:v>Metrology archive</x:v>
      </x:c>
      <x:c r="L304" s="17" t="str">
        <x:v>COURT-SEALED UNTIL COHORT RELEASE</x:v>
      </x:c>
      <x:c r="M304" s="9" t="n">
        <x:v>0</x:v>
      </x:c>
      <x:c r="N304" s="9" t="n">
        <x:v>0</x:v>
      </x:c>
      <x:c r="O304" s="9" t="n">
        <x:v>0</x:v>
      </x:c>
      <x:c r="P304" s="9" t="str">
        <x:v>HELD / UNRELEASED</x:v>
      </x:c>
      <x:c r="Q304" s="9" t="n">
        <x:f>COUNTIFS($A$7:$A$2310,A304)</x:f>
        <x:v>1</x:v>
      </x:c>
    </x:row>
    <x:row r="305">
      <x:c r="A305" s="9" t="str">
        <x:v>PD-AR-CT-C-B-TECH-4-B1-BRK-G0-PD11</x:v>
      </x:c>
      <x:c r="B305" s="9" t="str">
        <x:v>PD-AR-CT-C-B-TECH-4-B1-BRK-G0</x:v>
      </x:c>
      <x:c r="C305" s="9" t="str">
        <x:v>EV-AR-CT-C-B-TECH-4-B1-BRK-G0</x:v>
      </x:c>
      <x:c r="D305" s="9" t="str">
        <x:v>AR-CT-C-B-TECH-4-B1-BRK-G0</x:v>
      </x:c>
      <x:c r="E305" s="9" t="str">
        <x:v>CT-C-B-TECH-4</x:v>
      </x:c>
      <x:c r="F305" s="9" t="str">
        <x:v>CT-C-B</x:v>
      </x:c>
      <x:c r="G305" s="9" t="str">
        <x:v>B1</x:v>
      </x:c>
      <x:c r="H305" s="9" t="str">
        <x:v>BRK</x:v>
      </x:c>
      <x:c r="I305" s="9" t="str">
        <x:v>PD11</x:v>
      </x:c>
      <x:c r="J305" s="17" t="str">
        <x:v>Invalidity petition and opinion</x:v>
      </x:c>
      <x:c r="K305" s="17" t="str">
        <x:v>Invalidity court</x:v>
      </x:c>
      <x:c r="L305" s="17" t="str">
        <x:v>COURT-SEALED UNTIL COHORT RELEASE</x:v>
      </x:c>
      <x:c r="M305" s="9" t="n">
        <x:v>0</x:v>
      </x:c>
      <x:c r="N305" s="9" t="n">
        <x:v>0</x:v>
      </x:c>
      <x:c r="O305" s="9" t="n">
        <x:v>0</x:v>
      </x:c>
      <x:c r="P305" s="9" t="str">
        <x:v>HELD / UNRELEASED</x:v>
      </x:c>
      <x:c r="Q305" s="9" t="n">
        <x:f>COUNTIFS($A$7:$A$2310,A305)</x:f>
        <x:v>1</x:v>
      </x:c>
    </x:row>
    <x:row r="306">
      <x:c r="A306" s="9" t="str">
        <x:v>PD-AR-CT-C-B-TECH-4-B1-BRK-G0-PD12</x:v>
      </x:c>
      <x:c r="B306" s="9" t="str">
        <x:v>PD-AR-CT-C-B-TECH-4-B1-BRK-G0</x:v>
      </x:c>
      <x:c r="C306" s="9" t="str">
        <x:v>EV-AR-CT-C-B-TECH-4-B1-BRK-G0</x:v>
      </x:c>
      <x:c r="D306" s="9" t="str">
        <x:v>AR-CT-C-B-TECH-4-B1-BRK-G0</x:v>
      </x:c>
      <x:c r="E306" s="9" t="str">
        <x:v>CT-C-B-TECH-4</x:v>
      </x:c>
      <x:c r="F306" s="9" t="str">
        <x:v>CT-C-B</x:v>
      </x:c>
      <x:c r="G306" s="9" t="str">
        <x:v>B1</x:v>
      </x:c>
      <x:c r="H306" s="9" t="str">
        <x:v>BRK</x:v>
      </x:c>
      <x:c r="I306" s="9" t="str">
        <x:v>PD12</x:v>
      </x:c>
      <x:c r="J306" s="17" t="str">
        <x:v>Observation acceptance and replay</x:v>
      </x:c>
      <x:c r="K306" s="17" t="str">
        <x:v>Observation court</x:v>
      </x:c>
      <x:c r="L306" s="17" t="str">
        <x:v>COURT-SEALED UNTIL COHORT RELEASE</x:v>
      </x:c>
      <x:c r="M306" s="9" t="n">
        <x:v>0</x:v>
      </x:c>
      <x:c r="N306" s="9" t="n">
        <x:v>0</x:v>
      </x:c>
      <x:c r="O306" s="9" t="n">
        <x:v>0</x:v>
      </x:c>
      <x:c r="P306" s="9" t="str">
        <x:v>HELD / UNRELEASED</x:v>
      </x:c>
      <x:c r="Q306" s="9" t="n">
        <x:f>COUNTIFS($A$7:$A$2310,A306)</x:f>
        <x:v>1</x:v>
      </x:c>
    </x:row>
    <x:row r="307">
      <x:c r="A307" s="9" t="str">
        <x:v>PD-AR-CT-C-B-TECH-4-B1-BRK-G0-PD13</x:v>
      </x:c>
      <x:c r="B307" s="9" t="str">
        <x:v>PD-AR-CT-C-B-TECH-4-B1-BRK-G0</x:v>
      </x:c>
      <x:c r="C307" s="9" t="str">
        <x:v>EV-AR-CT-C-B-TECH-4-B1-BRK-G0</x:v>
      </x:c>
      <x:c r="D307" s="9" t="str">
        <x:v>AR-CT-C-B-TECH-4-B1-BRK-G0</x:v>
      </x:c>
      <x:c r="E307" s="9" t="str">
        <x:v>CT-C-B-TECH-4</x:v>
      </x:c>
      <x:c r="F307" s="9" t="str">
        <x:v>CT-C-B</x:v>
      </x:c>
      <x:c r="G307" s="9" t="str">
        <x:v>B1</x:v>
      </x:c>
      <x:c r="H307" s="9" t="str">
        <x:v>BRK</x:v>
      </x:c>
      <x:c r="I307" s="9" t="str">
        <x:v>PD13</x:v>
      </x:c>
      <x:c r="J307" s="17" t="str">
        <x:v>Role judgment</x:v>
      </x:c>
      <x:c r="K307" s="17" t="str">
        <x:v>Role court</x:v>
      </x:c>
      <x:c r="L307" s="17" t="str">
        <x:v>COURT-SEALED UNTIL COHORT RELEASE</x:v>
      </x:c>
      <x:c r="M307" s="9" t="n">
        <x:v>0</x:v>
      </x:c>
      <x:c r="N307" s="9" t="n">
        <x:v>0</x:v>
      </x:c>
      <x:c r="O307" s="9" t="n">
        <x:v>0</x:v>
      </x:c>
      <x:c r="P307" s="9" t="str">
        <x:v>HELD / UNRELEASED</x:v>
      </x:c>
      <x:c r="Q307" s="9" t="n">
        <x:f>COUNTIFS($A$7:$A$2310,A307)</x:f>
        <x:v>1</x:v>
      </x:c>
    </x:row>
    <x:row r="308">
      <x:c r="A308" s="9" t="str">
        <x:v>PD-AR-CT-C-B-TECH-4-B1-BRK-G0-PD14</x:v>
      </x:c>
      <x:c r="B308" s="9" t="str">
        <x:v>PD-AR-CT-C-B-TECH-4-B1-BRK-G0</x:v>
      </x:c>
      <x:c r="C308" s="9" t="str">
        <x:v>EV-AR-CT-C-B-TECH-4-B1-BRK-G0</x:v>
      </x:c>
      <x:c r="D308" s="9" t="str">
        <x:v>AR-CT-C-B-TECH-4-B1-BRK-G0</x:v>
      </x:c>
      <x:c r="E308" s="9" t="str">
        <x:v>CT-C-B-TECH-4</x:v>
      </x:c>
      <x:c r="F308" s="9" t="str">
        <x:v>CT-C-B</x:v>
      </x:c>
      <x:c r="G308" s="9" t="str">
        <x:v>B1</x:v>
      </x:c>
      <x:c r="H308" s="9" t="str">
        <x:v>BRK</x:v>
      </x:c>
      <x:c r="I308" s="9" t="str">
        <x:v>PD14</x:v>
      </x:c>
      <x:c r="J308" s="17" t="str">
        <x:v>Break and residual account</x:v>
      </x:c>
      <x:c r="K308" s="17" t="str">
        <x:v>Residual authority</x:v>
      </x:c>
      <x:c r="L308" s="17" t="str">
        <x:v>COURT-SEALED UNTIL COHORT RELEASE</x:v>
      </x:c>
      <x:c r="M308" s="9" t="n">
        <x:v>0</x:v>
      </x:c>
      <x:c r="N308" s="9" t="n">
        <x:v>0</x:v>
      </x:c>
      <x:c r="O308" s="9" t="n">
        <x:v>0</x:v>
      </x:c>
      <x:c r="P308" s="9" t="str">
        <x:v>HELD / UNRELEASED</x:v>
      </x:c>
      <x:c r="Q308" s="9" t="n">
        <x:f>COUNTIFS($A$7:$A$2310,A308)</x:f>
        <x:v>1</x:v>
      </x:c>
    </x:row>
    <x:row r="309">
      <x:c r="A309" s="9" t="str">
        <x:v>PD-AR-CT-C-B-TECH-4-B1-BRK-G0-PD15</x:v>
      </x:c>
      <x:c r="B309" s="9" t="str">
        <x:v>PD-AR-CT-C-B-TECH-4-B1-BRK-G0</x:v>
      </x:c>
      <x:c r="C309" s="9" t="str">
        <x:v>EV-AR-CT-C-B-TECH-4-B1-BRK-G0</x:v>
      </x:c>
      <x:c r="D309" s="9" t="str">
        <x:v>AR-CT-C-B-TECH-4-B1-BRK-G0</x:v>
      </x:c>
      <x:c r="E309" s="9" t="str">
        <x:v>CT-C-B-TECH-4</x:v>
      </x:c>
      <x:c r="F309" s="9" t="str">
        <x:v>CT-C-B</x:v>
      </x:c>
      <x:c r="G309" s="9" t="str">
        <x:v>B1</x:v>
      </x:c>
      <x:c r="H309" s="9" t="str">
        <x:v>BRK</x:v>
      </x:c>
      <x:c r="I309" s="9" t="str">
        <x:v>PD15</x:v>
      </x:c>
      <x:c r="J309" s="17" t="str">
        <x:v>Reconstruction ancestry and replay</x:v>
      </x:c>
      <x:c r="K309" s="17" t="str">
        <x:v>Reconstruction court</x:v>
      </x:c>
      <x:c r="L309" s="17" t="str">
        <x:v>COURT-SEALED UNTIL COHORT RELEASE</x:v>
      </x:c>
      <x:c r="M309" s="9" t="n">
        <x:v>0</x:v>
      </x:c>
      <x:c r="N309" s="9" t="n">
        <x:v>0</x:v>
      </x:c>
      <x:c r="O309" s="9" t="n">
        <x:v>0</x:v>
      </x:c>
      <x:c r="P309" s="9" t="str">
        <x:v>HELD / UNRELEASED</x:v>
      </x:c>
      <x:c r="Q309" s="9" t="n">
        <x:f>COUNTIFS($A$7:$A$2310,A309)</x:f>
        <x:v>1</x:v>
      </x:c>
    </x:row>
    <x:row r="310">
      <x:c r="A310" s="9" t="str">
        <x:v>PD-AR-CT-C-B-TECH-4-B1-BRK-G0-PD16</x:v>
      </x:c>
      <x:c r="B310" s="9" t="str">
        <x:v>PD-AR-CT-C-B-TECH-4-B1-BRK-G0</x:v>
      </x:c>
      <x:c r="C310" s="9" t="str">
        <x:v>EV-AR-CT-C-B-TECH-4-B1-BRK-G0</x:v>
      </x:c>
      <x:c r="D310" s="9" t="str">
        <x:v>AR-CT-C-B-TECH-4-B1-BRK-G0</x:v>
      </x:c>
      <x:c r="E310" s="9" t="str">
        <x:v>CT-C-B-TECH-4</x:v>
      </x:c>
      <x:c r="F310" s="9" t="str">
        <x:v>CT-C-B</x:v>
      </x:c>
      <x:c r="G310" s="9" t="str">
        <x:v>B1</x:v>
      </x:c>
      <x:c r="H310" s="9" t="str">
        <x:v>BRK</x:v>
      </x:c>
      <x:c r="I310" s="9" t="str">
        <x:v>PD16</x:v>
      </x:c>
      <x:c r="J310" s="17" t="str">
        <x:v>Dissent, amendments and access log</x:v>
      </x:c>
      <x:c r="K310" s="17" t="str">
        <x:v>Public archive</x:v>
      </x:c>
      <x:c r="L310" s="17" t="str">
        <x:v>COURT-SEALED UNTIL COHORT RELEASE</x:v>
      </x:c>
      <x:c r="M310" s="9" t="n">
        <x:v>0</x:v>
      </x:c>
      <x:c r="N310" s="9" t="n">
        <x:v>0</x:v>
      </x:c>
      <x:c r="O310" s="9" t="n">
        <x:v>0</x:v>
      </x:c>
      <x:c r="P310" s="9" t="str">
        <x:v>HELD / UNRELEASED</x:v>
      </x:c>
      <x:c r="Q310" s="9" t="n">
        <x:f>COUNTIFS($A$7:$A$2310,A310)</x:f>
        <x:v>1</x:v>
      </x:c>
    </x:row>
    <x:row r="311">
      <x:c r="A311" s="9" t="str">
        <x:v>PD-AR-CT-C-B-TECH-2-B1-RCN-G0-PD01</x:v>
      </x:c>
      <x:c r="B311" s="9" t="str">
        <x:v>PD-AR-CT-C-B-TECH-2-B1-RCN-G0</x:v>
      </x:c>
      <x:c r="C311" s="9" t="str">
        <x:v>EV-AR-CT-C-B-TECH-2-B1-RCN-G0</x:v>
      </x:c>
      <x:c r="D311" s="9" t="str">
        <x:v>AR-CT-C-B-TECH-2-B1-RCN-G0</x:v>
      </x:c>
      <x:c r="E311" s="9" t="str">
        <x:v>CT-C-B-TECH-2</x:v>
      </x:c>
      <x:c r="F311" s="9" t="str">
        <x:v>CT-C-B</x:v>
      </x:c>
      <x:c r="G311" s="9" t="str">
        <x:v>B1</x:v>
      </x:c>
      <x:c r="H311" s="9" t="str">
        <x:v>RCN</x:v>
      </x:c>
      <x:c r="I311" s="9" t="str">
        <x:v>PD01</x:v>
      </x:c>
      <x:c r="J311" s="17" t="str">
        <x:v>Experiment kernel</x:v>
      </x:c>
      <x:c r="K311" s="17" t="str">
        <x:v>Public archive</x:v>
      </x:c>
      <x:c r="L311" s="17" t="str">
        <x:v>COURT-SEALED UNTIL COHORT RELEASE</x:v>
      </x:c>
      <x:c r="M311" s="9" t="n">
        <x:v>0</x:v>
      </x:c>
      <x:c r="N311" s="9" t="n">
        <x:v>0</x:v>
      </x:c>
      <x:c r="O311" s="9" t="n">
        <x:v>0</x:v>
      </x:c>
      <x:c r="P311" s="9" t="str">
        <x:v>HELD / UNRELEASED</x:v>
      </x:c>
      <x:c r="Q311" s="9" t="n">
        <x:f>COUNTIFS($A$7:$A$2310,A311)</x:f>
        <x:v>1</x:v>
      </x:c>
    </x:row>
    <x:row r="312">
      <x:c r="A312" s="9" t="str">
        <x:v>PD-AR-CT-C-B-TECH-2-B1-RCN-G0-PD02</x:v>
      </x:c>
      <x:c r="B312" s="9" t="str">
        <x:v>PD-AR-CT-C-B-TECH-2-B1-RCN-G0</x:v>
      </x:c>
      <x:c r="C312" s="9" t="str">
        <x:v>EV-AR-CT-C-B-TECH-2-B1-RCN-G0</x:v>
      </x:c>
      <x:c r="D312" s="9" t="str">
        <x:v>AR-CT-C-B-TECH-2-B1-RCN-G0</x:v>
      </x:c>
      <x:c r="E312" s="9" t="str">
        <x:v>CT-C-B-TECH-2</x:v>
      </x:c>
      <x:c r="F312" s="9" t="str">
        <x:v>CT-C-B</x:v>
      </x:c>
      <x:c r="G312" s="9" t="str">
        <x:v>B1</x:v>
      </x:c>
      <x:c r="H312" s="9" t="str">
        <x:v>RCN</x:v>
      </x:c>
      <x:c r="I312" s="9" t="str">
        <x:v>PD02</x:v>
      </x:c>
      <x:c r="J312" s="17" t="str">
        <x:v>Serial annex and title chain</x:v>
      </x:c>
      <x:c r="K312" s="17" t="str">
        <x:v>Public archive</x:v>
      </x:c>
      <x:c r="L312" s="17" t="str">
        <x:v>COURT-SEALED UNTIL COHORT RELEASE</x:v>
      </x:c>
      <x:c r="M312" s="9" t="n">
        <x:v>0</x:v>
      </x:c>
      <x:c r="N312" s="9" t="n">
        <x:v>0</x:v>
      </x:c>
      <x:c r="O312" s="9" t="n">
        <x:v>0</x:v>
      </x:c>
      <x:c r="P312" s="9" t="str">
        <x:v>HELD / UNRELEASED</x:v>
      </x:c>
      <x:c r="Q312" s="9" t="n">
        <x:f>COUNTIFS($A$7:$A$2310,A312)</x:f>
        <x:v>1</x:v>
      </x:c>
    </x:row>
    <x:row r="313">
      <x:c r="A313" s="9" t="str">
        <x:v>PD-AR-CT-C-B-TECH-2-B1-RCN-G0-PD03</x:v>
      </x:c>
      <x:c r="B313" s="9" t="str">
        <x:v>PD-AR-CT-C-B-TECH-2-B1-RCN-G0</x:v>
      </x:c>
      <x:c r="C313" s="9" t="str">
        <x:v>EV-AR-CT-C-B-TECH-2-B1-RCN-G0</x:v>
      </x:c>
      <x:c r="D313" s="9" t="str">
        <x:v>AR-CT-C-B-TECH-2-B1-RCN-G0</x:v>
      </x:c>
      <x:c r="E313" s="9" t="str">
        <x:v>CT-C-B-TECH-2</x:v>
      </x:c>
      <x:c r="F313" s="9" t="str">
        <x:v>CT-C-B</x:v>
      </x:c>
      <x:c r="G313" s="9" t="str">
        <x:v>B1</x:v>
      </x:c>
      <x:c r="H313" s="9" t="str">
        <x:v>RCN</x:v>
      </x:c>
      <x:c r="I313" s="9" t="str">
        <x:v>PD03</x:v>
      </x:c>
      <x:c r="J313" s="17" t="str">
        <x:v>Configuration and as-built manifest</x:v>
      </x:c>
      <x:c r="K313" s="17" t="str">
        <x:v>Artifact exchange</x:v>
      </x:c>
      <x:c r="L313" s="17" t="str">
        <x:v>COURT-SEALED UNTIL COHORT RELEASE</x:v>
      </x:c>
      <x:c r="M313" s="9" t="n">
        <x:v>0</x:v>
      </x:c>
      <x:c r="N313" s="9" t="n">
        <x:v>0</x:v>
      </x:c>
      <x:c r="O313" s="9" t="n">
        <x:v>0</x:v>
      </x:c>
      <x:c r="P313" s="9" t="str">
        <x:v>HELD / UNRELEASED</x:v>
      </x:c>
      <x:c r="Q313" s="9" t="n">
        <x:f>COUNTIFS($A$7:$A$2310,A313)</x:f>
        <x:v>1</x:v>
      </x:c>
    </x:row>
    <x:row r="314">
      <x:c r="A314" s="9" t="str">
        <x:v>PD-AR-CT-C-B-TECH-2-B1-RCN-G0-PD04</x:v>
      </x:c>
      <x:c r="B314" s="9" t="str">
        <x:v>PD-AR-CT-C-B-TECH-2-B1-RCN-G0</x:v>
      </x:c>
      <x:c r="C314" s="9" t="str">
        <x:v>EV-AR-CT-C-B-TECH-2-B1-RCN-G0</x:v>
      </x:c>
      <x:c r="D314" s="9" t="str">
        <x:v>AR-CT-C-B-TECH-2-B1-RCN-G0</x:v>
      </x:c>
      <x:c r="E314" s="9" t="str">
        <x:v>CT-C-B-TECH-2</x:v>
      </x:c>
      <x:c r="F314" s="9" t="str">
        <x:v>CT-C-B</x:v>
      </x:c>
      <x:c r="G314" s="9" t="str">
        <x:v>B1</x:v>
      </x:c>
      <x:c r="H314" s="9" t="str">
        <x:v>RCN</x:v>
      </x:c>
      <x:c r="I314" s="9" t="str">
        <x:v>PD04</x:v>
      </x:c>
      <x:c r="J314" s="17" t="str">
        <x:v>EOW and start certificate</x:v>
      </x:c>
      <x:c r="K314" s="17" t="str">
        <x:v>Start registrar</x:v>
      </x:c>
      <x:c r="L314" s="17" t="str">
        <x:v>COURT-SEALED UNTIL COHORT RELEASE</x:v>
      </x:c>
      <x:c r="M314" s="9" t="n">
        <x:v>0</x:v>
      </x:c>
      <x:c r="N314" s="9" t="n">
        <x:v>0</x:v>
      </x:c>
      <x:c r="O314" s="9" t="n">
        <x:v>0</x:v>
      </x:c>
      <x:c r="P314" s="9" t="str">
        <x:v>HELD / UNRELEASED</x:v>
      </x:c>
      <x:c r="Q314" s="9" t="n">
        <x:f>COUNTIFS($A$7:$A$2310,A314)</x:f>
        <x:v>1</x:v>
      </x:c>
    </x:row>
    <x:row r="315">
      <x:c r="A315" s="9" t="str">
        <x:v>PD-AR-CT-C-B-TECH-2-B1-RCN-G0-PD05</x:v>
      </x:c>
      <x:c r="B315" s="9" t="str">
        <x:v>PD-AR-CT-C-B-TECH-2-B1-RCN-G0</x:v>
      </x:c>
      <x:c r="C315" s="9" t="str">
        <x:v>EV-AR-CT-C-B-TECH-2-B1-RCN-G0</x:v>
      </x:c>
      <x:c r="D315" s="9" t="str">
        <x:v>AR-CT-C-B-TECH-2-B1-RCN-G0</x:v>
      </x:c>
      <x:c r="E315" s="9" t="str">
        <x:v>CT-C-B-TECH-2</x:v>
      </x:c>
      <x:c r="F315" s="9" t="str">
        <x:v>CT-C-B</x:v>
      </x:c>
      <x:c r="G315" s="9" t="str">
        <x:v>B1</x:v>
      </x:c>
      <x:c r="H315" s="9" t="str">
        <x:v>RCN</x:v>
      </x:c>
      <x:c r="I315" s="9" t="str">
        <x:v>PD05</x:v>
      </x:c>
      <x:c r="J315" s="17" t="str">
        <x:v>Primary raw originals</x:v>
      </x:c>
      <x:c r="K315" s="17" t="str">
        <x:v>Primary custody</x:v>
      </x:c>
      <x:c r="L315" s="17" t="str">
        <x:v>COURT-SEALED UNTIL COHORT RELEASE</x:v>
      </x:c>
      <x:c r="M315" s="9" t="n">
        <x:v>0</x:v>
      </x:c>
      <x:c r="N315" s="9" t="n">
        <x:v>0</x:v>
      </x:c>
      <x:c r="O315" s="9" t="n">
        <x:v>0</x:v>
      </x:c>
      <x:c r="P315" s="9" t="str">
        <x:v>HELD / UNRELEASED</x:v>
      </x:c>
      <x:c r="Q315" s="9" t="n">
        <x:f>COUNTIFS($A$7:$A$2310,A315)</x:f>
        <x:v>1</x:v>
      </x:c>
    </x:row>
    <x:row r="316">
      <x:c r="A316" s="9" t="str">
        <x:v>PD-AR-CT-C-B-TECH-2-B1-RCN-G0-PD06</x:v>
      </x:c>
      <x:c r="B316" s="9" t="str">
        <x:v>PD-AR-CT-C-B-TECH-2-B1-RCN-G0</x:v>
      </x:c>
      <x:c r="C316" s="9" t="str">
        <x:v>EV-AR-CT-C-B-TECH-2-B1-RCN-G0</x:v>
      </x:c>
      <x:c r="D316" s="9" t="str">
        <x:v>AR-CT-C-B-TECH-2-B1-RCN-G0</x:v>
      </x:c>
      <x:c r="E316" s="9" t="str">
        <x:v>CT-C-B-TECH-2</x:v>
      </x:c>
      <x:c r="F316" s="9" t="str">
        <x:v>CT-C-B</x:v>
      </x:c>
      <x:c r="G316" s="9" t="str">
        <x:v>B1</x:v>
      </x:c>
      <x:c r="H316" s="9" t="str">
        <x:v>RCN</x:v>
      </x:c>
      <x:c r="I316" s="9" t="str">
        <x:v>PD06</x:v>
      </x:c>
      <x:c r="J316" s="17" t="str">
        <x:v>Witness raw originals</x:v>
      </x:c>
      <x:c r="K316" s="17" t="str">
        <x:v>Witness custody</x:v>
      </x:c>
      <x:c r="L316" s="17" t="str">
        <x:v>COURT-SEALED UNTIL COHORT RELEASE</x:v>
      </x:c>
      <x:c r="M316" s="9" t="n">
        <x:v>0</x:v>
      </x:c>
      <x:c r="N316" s="9" t="n">
        <x:v>0</x:v>
      </x:c>
      <x:c r="O316" s="9" t="n">
        <x:v>0</x:v>
      </x:c>
      <x:c r="P316" s="9" t="str">
        <x:v>HELD / UNRELEASED</x:v>
      </x:c>
      <x:c r="Q316" s="9" t="n">
        <x:f>COUNTIFS($A$7:$A$2310,A316)</x:f>
        <x:v>1</x:v>
      </x:c>
    </x:row>
    <x:row r="317">
      <x:c r="A317" s="9" t="str">
        <x:v>PD-AR-CT-C-B-TECH-2-B1-RCN-G0-PD07</x:v>
      </x:c>
      <x:c r="B317" s="9" t="str">
        <x:v>PD-AR-CT-C-B-TECH-2-B1-RCN-G0</x:v>
      </x:c>
      <x:c r="C317" s="9" t="str">
        <x:v>EV-AR-CT-C-B-TECH-2-B1-RCN-G0</x:v>
      </x:c>
      <x:c r="D317" s="9" t="str">
        <x:v>AR-CT-C-B-TECH-2-B1-RCN-G0</x:v>
      </x:c>
      <x:c r="E317" s="9" t="str">
        <x:v>CT-C-B-TECH-2</x:v>
      </x:c>
      <x:c r="F317" s="9" t="str">
        <x:v>CT-C-B</x:v>
      </x:c>
      <x:c r="G317" s="9" t="str">
        <x:v>B1</x:v>
      </x:c>
      <x:c r="H317" s="9" t="str">
        <x:v>RCN</x:v>
      </x:c>
      <x:c r="I317" s="9" t="str">
        <x:v>PD07</x:v>
      </x:c>
      <x:c r="J317" s="17" t="str">
        <x:v>Clock and environmental records</x:v>
      </x:c>
      <x:c r="K317" s="17" t="str">
        <x:v>Boundary archive</x:v>
      </x:c>
      <x:c r="L317" s="17" t="str">
        <x:v>COURT-SEALED UNTIL COHORT RELEASE</x:v>
      </x:c>
      <x:c r="M317" s="9" t="n">
        <x:v>0</x:v>
      </x:c>
      <x:c r="N317" s="9" t="n">
        <x:v>0</x:v>
      </x:c>
      <x:c r="O317" s="9" t="n">
        <x:v>0</x:v>
      </x:c>
      <x:c r="P317" s="9" t="str">
        <x:v>HELD / UNRELEASED</x:v>
      </x:c>
      <x:c r="Q317" s="9" t="n">
        <x:f>COUNTIFS($A$7:$A$2310,A317)</x:f>
        <x:v>1</x:v>
      </x:c>
    </x:row>
    <x:row r="318">
      <x:c r="A318" s="9" t="str">
        <x:v>PD-AR-CT-C-B-TECH-2-B1-RCN-G0-PD08</x:v>
      </x:c>
      <x:c r="B318" s="9" t="str">
        <x:v>PD-AR-CT-C-B-TECH-2-B1-RCN-G0</x:v>
      </x:c>
      <x:c r="C318" s="9" t="str">
        <x:v>EV-AR-CT-C-B-TECH-2-B1-RCN-G0</x:v>
      </x:c>
      <x:c r="D318" s="9" t="str">
        <x:v>AR-CT-C-B-TECH-2-B1-RCN-G0</x:v>
      </x:c>
      <x:c r="E318" s="9" t="str">
        <x:v>CT-C-B-TECH-2</x:v>
      </x:c>
      <x:c r="F318" s="9" t="str">
        <x:v>CT-C-B</x:v>
      </x:c>
      <x:c r="G318" s="9" t="str">
        <x:v>B1</x:v>
      </x:c>
      <x:c r="H318" s="9" t="str">
        <x:v>RCN</x:v>
      </x:c>
      <x:c r="I318" s="9" t="str">
        <x:v>PD08</x:v>
      </x:c>
      <x:c r="J318" s="17" t="str">
        <x:v>Command and intervention log</x:v>
      </x:c>
      <x:c r="K318" s="17" t="str">
        <x:v>Safety archive</x:v>
      </x:c>
      <x:c r="L318" s="17" t="str">
        <x:v>COURT-SEALED UNTIL COHORT RELEASE</x:v>
      </x:c>
      <x:c r="M318" s="9" t="n">
        <x:v>0</x:v>
      </x:c>
      <x:c r="N318" s="9" t="n">
        <x:v>0</x:v>
      </x:c>
      <x:c r="O318" s="9" t="n">
        <x:v>0</x:v>
      </x:c>
      <x:c r="P318" s="9" t="str">
        <x:v>HELD / UNRELEASED</x:v>
      </x:c>
      <x:c r="Q318" s="9" t="n">
        <x:f>COUNTIFS($A$7:$A$2310,A318)</x:f>
        <x:v>1</x:v>
      </x:c>
    </x:row>
    <x:row r="319">
      <x:c r="A319" s="9" t="str">
        <x:v>PD-AR-CT-C-B-TECH-2-B1-RCN-G0-PD09</x:v>
      </x:c>
      <x:c r="B319" s="9" t="str">
        <x:v>PD-AR-CT-C-B-TECH-2-B1-RCN-G0</x:v>
      </x:c>
      <x:c r="C319" s="9" t="str">
        <x:v>EV-AR-CT-C-B-TECH-2-B1-RCN-G0</x:v>
      </x:c>
      <x:c r="D319" s="9" t="str">
        <x:v>AR-CT-C-B-TECH-2-B1-RCN-G0</x:v>
      </x:c>
      <x:c r="E319" s="9" t="str">
        <x:v>CT-C-B-TECH-2</x:v>
      </x:c>
      <x:c r="F319" s="9" t="str">
        <x:v>CT-C-B</x:v>
      </x:c>
      <x:c r="G319" s="9" t="str">
        <x:v>B1</x:v>
      </x:c>
      <x:c r="H319" s="9" t="str">
        <x:v>RCN</x:v>
      </x:c>
      <x:c r="I319" s="9" t="str">
        <x:v>PD09</x:v>
      </x:c>
      <x:c r="J319" s="17" t="str">
        <x:v>Receiver denominator and service ledger</x:v>
      </x:c>
      <x:c r="K319" s="17" t="str">
        <x:v>Receiver archive</x:v>
      </x:c>
      <x:c r="L319" s="17" t="str">
        <x:v>COURT-SEALED UNTIL COHORT RELEASE</x:v>
      </x:c>
      <x:c r="M319" s="9" t="n">
        <x:v>0</x:v>
      </x:c>
      <x:c r="N319" s="9" t="n">
        <x:v>0</x:v>
      </x:c>
      <x:c r="O319" s="9" t="n">
        <x:v>0</x:v>
      </x:c>
      <x:c r="P319" s="9" t="str">
        <x:v>HELD / UNRELEASED</x:v>
      </x:c>
      <x:c r="Q319" s="9" t="n">
        <x:f>COUNTIFS($A$7:$A$2310,A319)</x:f>
        <x:v>1</x:v>
      </x:c>
    </x:row>
    <x:row r="320">
      <x:c r="A320" s="9" t="str">
        <x:v>PD-AR-CT-C-B-TECH-2-B1-RCN-G0-PD10</x:v>
      </x:c>
      <x:c r="B320" s="9" t="str">
        <x:v>PD-AR-CT-C-B-TECH-2-B1-RCN-G0</x:v>
      </x:c>
      <x:c r="C320" s="9" t="str">
        <x:v>EV-AR-CT-C-B-TECH-2-B1-RCN-G0</x:v>
      </x:c>
      <x:c r="D320" s="9" t="str">
        <x:v>AR-CT-C-B-TECH-2-B1-RCN-G0</x:v>
      </x:c>
      <x:c r="E320" s="9" t="str">
        <x:v>CT-C-B-TECH-2</x:v>
      </x:c>
      <x:c r="F320" s="9" t="str">
        <x:v>CT-C-B</x:v>
      </x:c>
      <x:c r="G320" s="9" t="str">
        <x:v>B1</x:v>
      </x:c>
      <x:c r="H320" s="9" t="str">
        <x:v>RCN</x:v>
      </x:c>
      <x:c r="I320" s="9" t="str">
        <x:v>PD10</x:v>
      </x:c>
      <x:c r="J320" s="17" t="str">
        <x:v>Calibration and uncertainty record</x:v>
      </x:c>
      <x:c r="K320" s="17" t="str">
        <x:v>Metrology archive</x:v>
      </x:c>
      <x:c r="L320" s="17" t="str">
        <x:v>COURT-SEALED UNTIL COHORT RELEASE</x:v>
      </x:c>
      <x:c r="M320" s="9" t="n">
        <x:v>0</x:v>
      </x:c>
      <x:c r="N320" s="9" t="n">
        <x:v>0</x:v>
      </x:c>
      <x:c r="O320" s="9" t="n">
        <x:v>0</x:v>
      </x:c>
      <x:c r="P320" s="9" t="str">
        <x:v>HELD / UNRELEASED</x:v>
      </x:c>
      <x:c r="Q320" s="9" t="n">
        <x:f>COUNTIFS($A$7:$A$2310,A320)</x:f>
        <x:v>1</x:v>
      </x:c>
    </x:row>
    <x:row r="321">
      <x:c r="A321" s="9" t="str">
        <x:v>PD-AR-CT-C-B-TECH-2-B1-RCN-G0-PD11</x:v>
      </x:c>
      <x:c r="B321" s="9" t="str">
        <x:v>PD-AR-CT-C-B-TECH-2-B1-RCN-G0</x:v>
      </x:c>
      <x:c r="C321" s="9" t="str">
        <x:v>EV-AR-CT-C-B-TECH-2-B1-RCN-G0</x:v>
      </x:c>
      <x:c r="D321" s="9" t="str">
        <x:v>AR-CT-C-B-TECH-2-B1-RCN-G0</x:v>
      </x:c>
      <x:c r="E321" s="9" t="str">
        <x:v>CT-C-B-TECH-2</x:v>
      </x:c>
      <x:c r="F321" s="9" t="str">
        <x:v>CT-C-B</x:v>
      </x:c>
      <x:c r="G321" s="9" t="str">
        <x:v>B1</x:v>
      </x:c>
      <x:c r="H321" s="9" t="str">
        <x:v>RCN</x:v>
      </x:c>
      <x:c r="I321" s="9" t="str">
        <x:v>PD11</x:v>
      </x:c>
      <x:c r="J321" s="17" t="str">
        <x:v>Invalidity petition and opinion</x:v>
      </x:c>
      <x:c r="K321" s="17" t="str">
        <x:v>Invalidity court</x:v>
      </x:c>
      <x:c r="L321" s="17" t="str">
        <x:v>COURT-SEALED UNTIL COHORT RELEASE</x:v>
      </x:c>
      <x:c r="M321" s="9" t="n">
        <x:v>0</x:v>
      </x:c>
      <x:c r="N321" s="9" t="n">
        <x:v>0</x:v>
      </x:c>
      <x:c r="O321" s="9" t="n">
        <x:v>0</x:v>
      </x:c>
      <x:c r="P321" s="9" t="str">
        <x:v>HELD / UNRELEASED</x:v>
      </x:c>
      <x:c r="Q321" s="9" t="n">
        <x:f>COUNTIFS($A$7:$A$2310,A321)</x:f>
        <x:v>1</x:v>
      </x:c>
    </x:row>
    <x:row r="322">
      <x:c r="A322" s="9" t="str">
        <x:v>PD-AR-CT-C-B-TECH-2-B1-RCN-G0-PD12</x:v>
      </x:c>
      <x:c r="B322" s="9" t="str">
        <x:v>PD-AR-CT-C-B-TECH-2-B1-RCN-G0</x:v>
      </x:c>
      <x:c r="C322" s="9" t="str">
        <x:v>EV-AR-CT-C-B-TECH-2-B1-RCN-G0</x:v>
      </x:c>
      <x:c r="D322" s="9" t="str">
        <x:v>AR-CT-C-B-TECH-2-B1-RCN-G0</x:v>
      </x:c>
      <x:c r="E322" s="9" t="str">
        <x:v>CT-C-B-TECH-2</x:v>
      </x:c>
      <x:c r="F322" s="9" t="str">
        <x:v>CT-C-B</x:v>
      </x:c>
      <x:c r="G322" s="9" t="str">
        <x:v>B1</x:v>
      </x:c>
      <x:c r="H322" s="9" t="str">
        <x:v>RCN</x:v>
      </x:c>
      <x:c r="I322" s="9" t="str">
        <x:v>PD12</x:v>
      </x:c>
      <x:c r="J322" s="17" t="str">
        <x:v>Observation acceptance and replay</x:v>
      </x:c>
      <x:c r="K322" s="17" t="str">
        <x:v>Observation court</x:v>
      </x:c>
      <x:c r="L322" s="17" t="str">
        <x:v>COURT-SEALED UNTIL COHORT RELEASE</x:v>
      </x:c>
      <x:c r="M322" s="9" t="n">
        <x:v>0</x:v>
      </x:c>
      <x:c r="N322" s="9" t="n">
        <x:v>0</x:v>
      </x:c>
      <x:c r="O322" s="9" t="n">
        <x:v>0</x:v>
      </x:c>
      <x:c r="P322" s="9" t="str">
        <x:v>HELD / UNRELEASED</x:v>
      </x:c>
      <x:c r="Q322" s="9" t="n">
        <x:f>COUNTIFS($A$7:$A$2310,A322)</x:f>
        <x:v>1</x:v>
      </x:c>
    </x:row>
    <x:row r="323">
      <x:c r="A323" s="9" t="str">
        <x:v>PD-AR-CT-C-B-TECH-2-B1-RCN-G0-PD13</x:v>
      </x:c>
      <x:c r="B323" s="9" t="str">
        <x:v>PD-AR-CT-C-B-TECH-2-B1-RCN-G0</x:v>
      </x:c>
      <x:c r="C323" s="9" t="str">
        <x:v>EV-AR-CT-C-B-TECH-2-B1-RCN-G0</x:v>
      </x:c>
      <x:c r="D323" s="9" t="str">
        <x:v>AR-CT-C-B-TECH-2-B1-RCN-G0</x:v>
      </x:c>
      <x:c r="E323" s="9" t="str">
        <x:v>CT-C-B-TECH-2</x:v>
      </x:c>
      <x:c r="F323" s="9" t="str">
        <x:v>CT-C-B</x:v>
      </x:c>
      <x:c r="G323" s="9" t="str">
        <x:v>B1</x:v>
      </x:c>
      <x:c r="H323" s="9" t="str">
        <x:v>RCN</x:v>
      </x:c>
      <x:c r="I323" s="9" t="str">
        <x:v>PD13</x:v>
      </x:c>
      <x:c r="J323" s="17" t="str">
        <x:v>Role judgment</x:v>
      </x:c>
      <x:c r="K323" s="17" t="str">
        <x:v>Role court</x:v>
      </x:c>
      <x:c r="L323" s="17" t="str">
        <x:v>COURT-SEALED UNTIL COHORT RELEASE</x:v>
      </x:c>
      <x:c r="M323" s="9" t="n">
        <x:v>0</x:v>
      </x:c>
      <x:c r="N323" s="9" t="n">
        <x:v>0</x:v>
      </x:c>
      <x:c r="O323" s="9" t="n">
        <x:v>0</x:v>
      </x:c>
      <x:c r="P323" s="9" t="str">
        <x:v>HELD / UNRELEASED</x:v>
      </x:c>
      <x:c r="Q323" s="9" t="n">
        <x:f>COUNTIFS($A$7:$A$2310,A323)</x:f>
        <x:v>1</x:v>
      </x:c>
    </x:row>
    <x:row r="324">
      <x:c r="A324" s="9" t="str">
        <x:v>PD-AR-CT-C-B-TECH-2-B1-RCN-G0-PD14</x:v>
      </x:c>
      <x:c r="B324" s="9" t="str">
        <x:v>PD-AR-CT-C-B-TECH-2-B1-RCN-G0</x:v>
      </x:c>
      <x:c r="C324" s="9" t="str">
        <x:v>EV-AR-CT-C-B-TECH-2-B1-RCN-G0</x:v>
      </x:c>
      <x:c r="D324" s="9" t="str">
        <x:v>AR-CT-C-B-TECH-2-B1-RCN-G0</x:v>
      </x:c>
      <x:c r="E324" s="9" t="str">
        <x:v>CT-C-B-TECH-2</x:v>
      </x:c>
      <x:c r="F324" s="9" t="str">
        <x:v>CT-C-B</x:v>
      </x:c>
      <x:c r="G324" s="9" t="str">
        <x:v>B1</x:v>
      </x:c>
      <x:c r="H324" s="9" t="str">
        <x:v>RCN</x:v>
      </x:c>
      <x:c r="I324" s="9" t="str">
        <x:v>PD14</x:v>
      </x:c>
      <x:c r="J324" s="17" t="str">
        <x:v>Break and residual account</x:v>
      </x:c>
      <x:c r="K324" s="17" t="str">
        <x:v>Residual authority</x:v>
      </x:c>
      <x:c r="L324" s="17" t="str">
        <x:v>COURT-SEALED UNTIL COHORT RELEASE</x:v>
      </x:c>
      <x:c r="M324" s="9" t="n">
        <x:v>0</x:v>
      </x:c>
      <x:c r="N324" s="9" t="n">
        <x:v>0</x:v>
      </x:c>
      <x:c r="O324" s="9" t="n">
        <x:v>0</x:v>
      </x:c>
      <x:c r="P324" s="9" t="str">
        <x:v>HELD / UNRELEASED</x:v>
      </x:c>
      <x:c r="Q324" s="9" t="n">
        <x:f>COUNTIFS($A$7:$A$2310,A324)</x:f>
        <x:v>1</x:v>
      </x:c>
    </x:row>
    <x:row r="325">
      <x:c r="A325" s="9" t="str">
        <x:v>PD-AR-CT-C-B-TECH-2-B1-RCN-G0-PD15</x:v>
      </x:c>
      <x:c r="B325" s="9" t="str">
        <x:v>PD-AR-CT-C-B-TECH-2-B1-RCN-G0</x:v>
      </x:c>
      <x:c r="C325" s="9" t="str">
        <x:v>EV-AR-CT-C-B-TECH-2-B1-RCN-G0</x:v>
      </x:c>
      <x:c r="D325" s="9" t="str">
        <x:v>AR-CT-C-B-TECH-2-B1-RCN-G0</x:v>
      </x:c>
      <x:c r="E325" s="9" t="str">
        <x:v>CT-C-B-TECH-2</x:v>
      </x:c>
      <x:c r="F325" s="9" t="str">
        <x:v>CT-C-B</x:v>
      </x:c>
      <x:c r="G325" s="9" t="str">
        <x:v>B1</x:v>
      </x:c>
      <x:c r="H325" s="9" t="str">
        <x:v>RCN</x:v>
      </x:c>
      <x:c r="I325" s="9" t="str">
        <x:v>PD15</x:v>
      </x:c>
      <x:c r="J325" s="17" t="str">
        <x:v>Reconstruction ancestry and replay</x:v>
      </x:c>
      <x:c r="K325" s="17" t="str">
        <x:v>Reconstruction court</x:v>
      </x:c>
      <x:c r="L325" s="17" t="str">
        <x:v>COURT-SEALED UNTIL COHORT RELEASE</x:v>
      </x:c>
      <x:c r="M325" s="9" t="n">
        <x:v>0</x:v>
      </x:c>
      <x:c r="N325" s="9" t="n">
        <x:v>0</x:v>
      </x:c>
      <x:c r="O325" s="9" t="n">
        <x:v>0</x:v>
      </x:c>
      <x:c r="P325" s="9" t="str">
        <x:v>HELD / UNRELEASED</x:v>
      </x:c>
      <x:c r="Q325" s="9" t="n">
        <x:f>COUNTIFS($A$7:$A$2310,A325)</x:f>
        <x:v>1</x:v>
      </x:c>
    </x:row>
    <x:row r="326">
      <x:c r="A326" s="9" t="str">
        <x:v>PD-AR-CT-C-B-TECH-2-B1-RCN-G0-PD16</x:v>
      </x:c>
      <x:c r="B326" s="9" t="str">
        <x:v>PD-AR-CT-C-B-TECH-2-B1-RCN-G0</x:v>
      </x:c>
      <x:c r="C326" s="9" t="str">
        <x:v>EV-AR-CT-C-B-TECH-2-B1-RCN-G0</x:v>
      </x:c>
      <x:c r="D326" s="9" t="str">
        <x:v>AR-CT-C-B-TECH-2-B1-RCN-G0</x:v>
      </x:c>
      <x:c r="E326" s="9" t="str">
        <x:v>CT-C-B-TECH-2</x:v>
      </x:c>
      <x:c r="F326" s="9" t="str">
        <x:v>CT-C-B</x:v>
      </x:c>
      <x:c r="G326" s="9" t="str">
        <x:v>B1</x:v>
      </x:c>
      <x:c r="H326" s="9" t="str">
        <x:v>RCN</x:v>
      </x:c>
      <x:c r="I326" s="9" t="str">
        <x:v>PD16</x:v>
      </x:c>
      <x:c r="J326" s="17" t="str">
        <x:v>Dissent, amendments and access log</x:v>
      </x:c>
      <x:c r="K326" s="17" t="str">
        <x:v>Public archive</x:v>
      </x:c>
      <x:c r="L326" s="17" t="str">
        <x:v>COURT-SEALED UNTIL COHORT RELEASE</x:v>
      </x:c>
      <x:c r="M326" s="9" t="n">
        <x:v>0</x:v>
      </x:c>
      <x:c r="N326" s="9" t="n">
        <x:v>0</x:v>
      </x:c>
      <x:c r="O326" s="9" t="n">
        <x:v>0</x:v>
      </x:c>
      <x:c r="P326" s="9" t="str">
        <x:v>HELD / UNRELEASED</x:v>
      </x:c>
      <x:c r="Q326" s="9" t="n">
        <x:f>COUNTIFS($A$7:$A$2310,A326)</x:f>
        <x:v>1</x:v>
      </x:c>
    </x:row>
    <x:row r="327">
      <x:c r="A327" s="9" t="str">
        <x:v>PD-AR-HC-A-C-TECH-2-B2-BRK-G0-PD01</x:v>
      </x:c>
      <x:c r="B327" s="9" t="str">
        <x:v>PD-AR-HC-A-C-TECH-2-B2-BRK-G0</x:v>
      </x:c>
      <x:c r="C327" s="9" t="str">
        <x:v>EV-AR-HC-A-C-TECH-2-B2-BRK-G0</x:v>
      </x:c>
      <x:c r="D327" s="9" t="str">
        <x:v>AR-HC-A-C-TECH-2-B2-BRK-G0</x:v>
      </x:c>
      <x:c r="E327" s="9" t="str">
        <x:v>HC-A-C-TECH-2</x:v>
      </x:c>
      <x:c r="F327" s="9" t="str">
        <x:v>HC-A-C</x:v>
      </x:c>
      <x:c r="G327" s="9" t="str">
        <x:v>B2</x:v>
      </x:c>
      <x:c r="H327" s="9" t="str">
        <x:v>BRK</x:v>
      </x:c>
      <x:c r="I327" s="9" t="str">
        <x:v>PD01</x:v>
      </x:c>
      <x:c r="J327" s="17" t="str">
        <x:v>Experiment kernel</x:v>
      </x:c>
      <x:c r="K327" s="17" t="str">
        <x:v>Public archive</x:v>
      </x:c>
      <x:c r="L327" s="17" t="str">
        <x:v>COURT-SEALED UNTIL COHORT RELEASE</x:v>
      </x:c>
      <x:c r="M327" s="9" t="n">
        <x:v>0</x:v>
      </x:c>
      <x:c r="N327" s="9" t="n">
        <x:v>0</x:v>
      </x:c>
      <x:c r="O327" s="9" t="n">
        <x:v>0</x:v>
      </x:c>
      <x:c r="P327" s="9" t="str">
        <x:v>HELD / UNRELEASED</x:v>
      </x:c>
      <x:c r="Q327" s="9" t="n">
        <x:f>COUNTIFS($A$7:$A$2310,A327)</x:f>
        <x:v>1</x:v>
      </x:c>
    </x:row>
    <x:row r="328">
      <x:c r="A328" s="9" t="str">
        <x:v>PD-AR-HC-A-C-TECH-2-B2-BRK-G0-PD02</x:v>
      </x:c>
      <x:c r="B328" s="9" t="str">
        <x:v>PD-AR-HC-A-C-TECH-2-B2-BRK-G0</x:v>
      </x:c>
      <x:c r="C328" s="9" t="str">
        <x:v>EV-AR-HC-A-C-TECH-2-B2-BRK-G0</x:v>
      </x:c>
      <x:c r="D328" s="9" t="str">
        <x:v>AR-HC-A-C-TECH-2-B2-BRK-G0</x:v>
      </x:c>
      <x:c r="E328" s="9" t="str">
        <x:v>HC-A-C-TECH-2</x:v>
      </x:c>
      <x:c r="F328" s="9" t="str">
        <x:v>HC-A-C</x:v>
      </x:c>
      <x:c r="G328" s="9" t="str">
        <x:v>B2</x:v>
      </x:c>
      <x:c r="H328" s="9" t="str">
        <x:v>BRK</x:v>
      </x:c>
      <x:c r="I328" s="9" t="str">
        <x:v>PD02</x:v>
      </x:c>
      <x:c r="J328" s="17" t="str">
        <x:v>Serial annex and title chain</x:v>
      </x:c>
      <x:c r="K328" s="17" t="str">
        <x:v>Public archive</x:v>
      </x:c>
      <x:c r="L328" s="17" t="str">
        <x:v>COURT-SEALED UNTIL COHORT RELEASE</x:v>
      </x:c>
      <x:c r="M328" s="9" t="n">
        <x:v>0</x:v>
      </x:c>
      <x:c r="N328" s="9" t="n">
        <x:v>0</x:v>
      </x:c>
      <x:c r="O328" s="9" t="n">
        <x:v>0</x:v>
      </x:c>
      <x:c r="P328" s="9" t="str">
        <x:v>HELD / UNRELEASED</x:v>
      </x:c>
      <x:c r="Q328" s="9" t="n">
        <x:f>COUNTIFS($A$7:$A$2310,A328)</x:f>
        <x:v>1</x:v>
      </x:c>
    </x:row>
    <x:row r="329">
      <x:c r="A329" s="9" t="str">
        <x:v>PD-AR-HC-A-C-TECH-2-B2-BRK-G0-PD03</x:v>
      </x:c>
      <x:c r="B329" s="9" t="str">
        <x:v>PD-AR-HC-A-C-TECH-2-B2-BRK-G0</x:v>
      </x:c>
      <x:c r="C329" s="9" t="str">
        <x:v>EV-AR-HC-A-C-TECH-2-B2-BRK-G0</x:v>
      </x:c>
      <x:c r="D329" s="9" t="str">
        <x:v>AR-HC-A-C-TECH-2-B2-BRK-G0</x:v>
      </x:c>
      <x:c r="E329" s="9" t="str">
        <x:v>HC-A-C-TECH-2</x:v>
      </x:c>
      <x:c r="F329" s="9" t="str">
        <x:v>HC-A-C</x:v>
      </x:c>
      <x:c r="G329" s="9" t="str">
        <x:v>B2</x:v>
      </x:c>
      <x:c r="H329" s="9" t="str">
        <x:v>BRK</x:v>
      </x:c>
      <x:c r="I329" s="9" t="str">
        <x:v>PD03</x:v>
      </x:c>
      <x:c r="J329" s="17" t="str">
        <x:v>Configuration and as-built manifest</x:v>
      </x:c>
      <x:c r="K329" s="17" t="str">
        <x:v>Artifact exchange</x:v>
      </x:c>
      <x:c r="L329" s="17" t="str">
        <x:v>COURT-SEALED UNTIL COHORT RELEASE</x:v>
      </x:c>
      <x:c r="M329" s="9" t="n">
        <x:v>0</x:v>
      </x:c>
      <x:c r="N329" s="9" t="n">
        <x:v>0</x:v>
      </x:c>
      <x:c r="O329" s="9" t="n">
        <x:v>0</x:v>
      </x:c>
      <x:c r="P329" s="9" t="str">
        <x:v>HELD / UNRELEASED</x:v>
      </x:c>
      <x:c r="Q329" s="9" t="n">
        <x:f>COUNTIFS($A$7:$A$2310,A329)</x:f>
        <x:v>1</x:v>
      </x:c>
    </x:row>
    <x:row r="330">
      <x:c r="A330" s="9" t="str">
        <x:v>PD-AR-HC-A-C-TECH-2-B2-BRK-G0-PD04</x:v>
      </x:c>
      <x:c r="B330" s="9" t="str">
        <x:v>PD-AR-HC-A-C-TECH-2-B2-BRK-G0</x:v>
      </x:c>
      <x:c r="C330" s="9" t="str">
        <x:v>EV-AR-HC-A-C-TECH-2-B2-BRK-G0</x:v>
      </x:c>
      <x:c r="D330" s="9" t="str">
        <x:v>AR-HC-A-C-TECH-2-B2-BRK-G0</x:v>
      </x:c>
      <x:c r="E330" s="9" t="str">
        <x:v>HC-A-C-TECH-2</x:v>
      </x:c>
      <x:c r="F330" s="9" t="str">
        <x:v>HC-A-C</x:v>
      </x:c>
      <x:c r="G330" s="9" t="str">
        <x:v>B2</x:v>
      </x:c>
      <x:c r="H330" s="9" t="str">
        <x:v>BRK</x:v>
      </x:c>
      <x:c r="I330" s="9" t="str">
        <x:v>PD04</x:v>
      </x:c>
      <x:c r="J330" s="17" t="str">
        <x:v>EOW and start certificate</x:v>
      </x:c>
      <x:c r="K330" s="17" t="str">
        <x:v>Start registrar</x:v>
      </x:c>
      <x:c r="L330" s="17" t="str">
        <x:v>COURT-SEALED UNTIL COHORT RELEASE</x:v>
      </x:c>
      <x:c r="M330" s="9" t="n">
        <x:v>0</x:v>
      </x:c>
      <x:c r="N330" s="9" t="n">
        <x:v>0</x:v>
      </x:c>
      <x:c r="O330" s="9" t="n">
        <x:v>0</x:v>
      </x:c>
      <x:c r="P330" s="9" t="str">
        <x:v>HELD / UNRELEASED</x:v>
      </x:c>
      <x:c r="Q330" s="9" t="n">
        <x:f>COUNTIFS($A$7:$A$2310,A330)</x:f>
        <x:v>1</x:v>
      </x:c>
    </x:row>
    <x:row r="331">
      <x:c r="A331" s="9" t="str">
        <x:v>PD-AR-HC-A-C-TECH-2-B2-BRK-G0-PD05</x:v>
      </x:c>
      <x:c r="B331" s="9" t="str">
        <x:v>PD-AR-HC-A-C-TECH-2-B2-BRK-G0</x:v>
      </x:c>
      <x:c r="C331" s="9" t="str">
        <x:v>EV-AR-HC-A-C-TECH-2-B2-BRK-G0</x:v>
      </x:c>
      <x:c r="D331" s="9" t="str">
        <x:v>AR-HC-A-C-TECH-2-B2-BRK-G0</x:v>
      </x:c>
      <x:c r="E331" s="9" t="str">
        <x:v>HC-A-C-TECH-2</x:v>
      </x:c>
      <x:c r="F331" s="9" t="str">
        <x:v>HC-A-C</x:v>
      </x:c>
      <x:c r="G331" s="9" t="str">
        <x:v>B2</x:v>
      </x:c>
      <x:c r="H331" s="9" t="str">
        <x:v>BRK</x:v>
      </x:c>
      <x:c r="I331" s="9" t="str">
        <x:v>PD05</x:v>
      </x:c>
      <x:c r="J331" s="17" t="str">
        <x:v>Primary raw originals</x:v>
      </x:c>
      <x:c r="K331" s="17" t="str">
        <x:v>Primary custody</x:v>
      </x:c>
      <x:c r="L331" s="17" t="str">
        <x:v>COURT-SEALED UNTIL COHORT RELEASE</x:v>
      </x:c>
      <x:c r="M331" s="9" t="n">
        <x:v>0</x:v>
      </x:c>
      <x:c r="N331" s="9" t="n">
        <x:v>0</x:v>
      </x:c>
      <x:c r="O331" s="9" t="n">
        <x:v>0</x:v>
      </x:c>
      <x:c r="P331" s="9" t="str">
        <x:v>HELD / UNRELEASED</x:v>
      </x:c>
      <x:c r="Q331" s="9" t="n">
        <x:f>COUNTIFS($A$7:$A$2310,A331)</x:f>
        <x:v>1</x:v>
      </x:c>
    </x:row>
    <x:row r="332">
      <x:c r="A332" s="9" t="str">
        <x:v>PD-AR-HC-A-C-TECH-2-B2-BRK-G0-PD06</x:v>
      </x:c>
      <x:c r="B332" s="9" t="str">
        <x:v>PD-AR-HC-A-C-TECH-2-B2-BRK-G0</x:v>
      </x:c>
      <x:c r="C332" s="9" t="str">
        <x:v>EV-AR-HC-A-C-TECH-2-B2-BRK-G0</x:v>
      </x:c>
      <x:c r="D332" s="9" t="str">
        <x:v>AR-HC-A-C-TECH-2-B2-BRK-G0</x:v>
      </x:c>
      <x:c r="E332" s="9" t="str">
        <x:v>HC-A-C-TECH-2</x:v>
      </x:c>
      <x:c r="F332" s="9" t="str">
        <x:v>HC-A-C</x:v>
      </x:c>
      <x:c r="G332" s="9" t="str">
        <x:v>B2</x:v>
      </x:c>
      <x:c r="H332" s="9" t="str">
        <x:v>BRK</x:v>
      </x:c>
      <x:c r="I332" s="9" t="str">
        <x:v>PD06</x:v>
      </x:c>
      <x:c r="J332" s="17" t="str">
        <x:v>Witness raw originals</x:v>
      </x:c>
      <x:c r="K332" s="17" t="str">
        <x:v>Witness custody</x:v>
      </x:c>
      <x:c r="L332" s="17" t="str">
        <x:v>COURT-SEALED UNTIL COHORT RELEASE</x:v>
      </x:c>
      <x:c r="M332" s="9" t="n">
        <x:v>0</x:v>
      </x:c>
      <x:c r="N332" s="9" t="n">
        <x:v>0</x:v>
      </x:c>
      <x:c r="O332" s="9" t="n">
        <x:v>0</x:v>
      </x:c>
      <x:c r="P332" s="9" t="str">
        <x:v>HELD / UNRELEASED</x:v>
      </x:c>
      <x:c r="Q332" s="9" t="n">
        <x:f>COUNTIFS($A$7:$A$2310,A332)</x:f>
        <x:v>1</x:v>
      </x:c>
    </x:row>
    <x:row r="333">
      <x:c r="A333" s="9" t="str">
        <x:v>PD-AR-HC-A-C-TECH-2-B2-BRK-G0-PD07</x:v>
      </x:c>
      <x:c r="B333" s="9" t="str">
        <x:v>PD-AR-HC-A-C-TECH-2-B2-BRK-G0</x:v>
      </x:c>
      <x:c r="C333" s="9" t="str">
        <x:v>EV-AR-HC-A-C-TECH-2-B2-BRK-G0</x:v>
      </x:c>
      <x:c r="D333" s="9" t="str">
        <x:v>AR-HC-A-C-TECH-2-B2-BRK-G0</x:v>
      </x:c>
      <x:c r="E333" s="9" t="str">
        <x:v>HC-A-C-TECH-2</x:v>
      </x:c>
      <x:c r="F333" s="9" t="str">
        <x:v>HC-A-C</x:v>
      </x:c>
      <x:c r="G333" s="9" t="str">
        <x:v>B2</x:v>
      </x:c>
      <x:c r="H333" s="9" t="str">
        <x:v>BRK</x:v>
      </x:c>
      <x:c r="I333" s="9" t="str">
        <x:v>PD07</x:v>
      </x:c>
      <x:c r="J333" s="17" t="str">
        <x:v>Clock and environmental records</x:v>
      </x:c>
      <x:c r="K333" s="17" t="str">
        <x:v>Boundary archive</x:v>
      </x:c>
      <x:c r="L333" s="17" t="str">
        <x:v>COURT-SEALED UNTIL COHORT RELEASE</x:v>
      </x:c>
      <x:c r="M333" s="9" t="n">
        <x:v>0</x:v>
      </x:c>
      <x:c r="N333" s="9" t="n">
        <x:v>0</x:v>
      </x:c>
      <x:c r="O333" s="9" t="n">
        <x:v>0</x:v>
      </x:c>
      <x:c r="P333" s="9" t="str">
        <x:v>HELD / UNRELEASED</x:v>
      </x:c>
      <x:c r="Q333" s="9" t="n">
        <x:f>COUNTIFS($A$7:$A$2310,A333)</x:f>
        <x:v>1</x:v>
      </x:c>
    </x:row>
    <x:row r="334">
      <x:c r="A334" s="9" t="str">
        <x:v>PD-AR-HC-A-C-TECH-2-B2-BRK-G0-PD08</x:v>
      </x:c>
      <x:c r="B334" s="9" t="str">
        <x:v>PD-AR-HC-A-C-TECH-2-B2-BRK-G0</x:v>
      </x:c>
      <x:c r="C334" s="9" t="str">
        <x:v>EV-AR-HC-A-C-TECH-2-B2-BRK-G0</x:v>
      </x:c>
      <x:c r="D334" s="9" t="str">
        <x:v>AR-HC-A-C-TECH-2-B2-BRK-G0</x:v>
      </x:c>
      <x:c r="E334" s="9" t="str">
        <x:v>HC-A-C-TECH-2</x:v>
      </x:c>
      <x:c r="F334" s="9" t="str">
        <x:v>HC-A-C</x:v>
      </x:c>
      <x:c r="G334" s="9" t="str">
        <x:v>B2</x:v>
      </x:c>
      <x:c r="H334" s="9" t="str">
        <x:v>BRK</x:v>
      </x:c>
      <x:c r="I334" s="9" t="str">
        <x:v>PD08</x:v>
      </x:c>
      <x:c r="J334" s="17" t="str">
        <x:v>Command and intervention log</x:v>
      </x:c>
      <x:c r="K334" s="17" t="str">
        <x:v>Safety archive</x:v>
      </x:c>
      <x:c r="L334" s="17" t="str">
        <x:v>COURT-SEALED UNTIL COHORT RELEASE</x:v>
      </x:c>
      <x:c r="M334" s="9" t="n">
        <x:v>0</x:v>
      </x:c>
      <x:c r="N334" s="9" t="n">
        <x:v>0</x:v>
      </x:c>
      <x:c r="O334" s="9" t="n">
        <x:v>0</x:v>
      </x:c>
      <x:c r="P334" s="9" t="str">
        <x:v>HELD / UNRELEASED</x:v>
      </x:c>
      <x:c r="Q334" s="9" t="n">
        <x:f>COUNTIFS($A$7:$A$2310,A334)</x:f>
        <x:v>1</x:v>
      </x:c>
    </x:row>
    <x:row r="335">
      <x:c r="A335" s="9" t="str">
        <x:v>PD-AR-HC-A-C-TECH-2-B2-BRK-G0-PD09</x:v>
      </x:c>
      <x:c r="B335" s="9" t="str">
        <x:v>PD-AR-HC-A-C-TECH-2-B2-BRK-G0</x:v>
      </x:c>
      <x:c r="C335" s="9" t="str">
        <x:v>EV-AR-HC-A-C-TECH-2-B2-BRK-G0</x:v>
      </x:c>
      <x:c r="D335" s="9" t="str">
        <x:v>AR-HC-A-C-TECH-2-B2-BRK-G0</x:v>
      </x:c>
      <x:c r="E335" s="9" t="str">
        <x:v>HC-A-C-TECH-2</x:v>
      </x:c>
      <x:c r="F335" s="9" t="str">
        <x:v>HC-A-C</x:v>
      </x:c>
      <x:c r="G335" s="9" t="str">
        <x:v>B2</x:v>
      </x:c>
      <x:c r="H335" s="9" t="str">
        <x:v>BRK</x:v>
      </x:c>
      <x:c r="I335" s="9" t="str">
        <x:v>PD09</x:v>
      </x:c>
      <x:c r="J335" s="17" t="str">
        <x:v>Receiver denominator and service ledger</x:v>
      </x:c>
      <x:c r="K335" s="17" t="str">
        <x:v>Receiver archive</x:v>
      </x:c>
      <x:c r="L335" s="17" t="str">
        <x:v>COURT-SEALED UNTIL COHORT RELEASE</x:v>
      </x:c>
      <x:c r="M335" s="9" t="n">
        <x:v>0</x:v>
      </x:c>
      <x:c r="N335" s="9" t="n">
        <x:v>0</x:v>
      </x:c>
      <x:c r="O335" s="9" t="n">
        <x:v>0</x:v>
      </x:c>
      <x:c r="P335" s="9" t="str">
        <x:v>HELD / UNRELEASED</x:v>
      </x:c>
      <x:c r="Q335" s="9" t="n">
        <x:f>COUNTIFS($A$7:$A$2310,A335)</x:f>
        <x:v>1</x:v>
      </x:c>
    </x:row>
    <x:row r="336">
      <x:c r="A336" s="9" t="str">
        <x:v>PD-AR-HC-A-C-TECH-2-B2-BRK-G0-PD10</x:v>
      </x:c>
      <x:c r="B336" s="9" t="str">
        <x:v>PD-AR-HC-A-C-TECH-2-B2-BRK-G0</x:v>
      </x:c>
      <x:c r="C336" s="9" t="str">
        <x:v>EV-AR-HC-A-C-TECH-2-B2-BRK-G0</x:v>
      </x:c>
      <x:c r="D336" s="9" t="str">
        <x:v>AR-HC-A-C-TECH-2-B2-BRK-G0</x:v>
      </x:c>
      <x:c r="E336" s="9" t="str">
        <x:v>HC-A-C-TECH-2</x:v>
      </x:c>
      <x:c r="F336" s="9" t="str">
        <x:v>HC-A-C</x:v>
      </x:c>
      <x:c r="G336" s="9" t="str">
        <x:v>B2</x:v>
      </x:c>
      <x:c r="H336" s="9" t="str">
        <x:v>BRK</x:v>
      </x:c>
      <x:c r="I336" s="9" t="str">
        <x:v>PD10</x:v>
      </x:c>
      <x:c r="J336" s="17" t="str">
        <x:v>Calibration and uncertainty record</x:v>
      </x:c>
      <x:c r="K336" s="17" t="str">
        <x:v>Metrology archive</x:v>
      </x:c>
      <x:c r="L336" s="17" t="str">
        <x:v>COURT-SEALED UNTIL COHORT RELEASE</x:v>
      </x:c>
      <x:c r="M336" s="9" t="n">
        <x:v>0</x:v>
      </x:c>
      <x:c r="N336" s="9" t="n">
        <x:v>0</x:v>
      </x:c>
      <x:c r="O336" s="9" t="n">
        <x:v>0</x:v>
      </x:c>
      <x:c r="P336" s="9" t="str">
        <x:v>HELD / UNRELEASED</x:v>
      </x:c>
      <x:c r="Q336" s="9" t="n">
        <x:f>COUNTIFS($A$7:$A$2310,A336)</x:f>
        <x:v>1</x:v>
      </x:c>
    </x:row>
    <x:row r="337">
      <x:c r="A337" s="9" t="str">
        <x:v>PD-AR-HC-A-C-TECH-2-B2-BRK-G0-PD11</x:v>
      </x:c>
      <x:c r="B337" s="9" t="str">
        <x:v>PD-AR-HC-A-C-TECH-2-B2-BRK-G0</x:v>
      </x:c>
      <x:c r="C337" s="9" t="str">
        <x:v>EV-AR-HC-A-C-TECH-2-B2-BRK-G0</x:v>
      </x:c>
      <x:c r="D337" s="9" t="str">
        <x:v>AR-HC-A-C-TECH-2-B2-BRK-G0</x:v>
      </x:c>
      <x:c r="E337" s="9" t="str">
        <x:v>HC-A-C-TECH-2</x:v>
      </x:c>
      <x:c r="F337" s="9" t="str">
        <x:v>HC-A-C</x:v>
      </x:c>
      <x:c r="G337" s="9" t="str">
        <x:v>B2</x:v>
      </x:c>
      <x:c r="H337" s="9" t="str">
        <x:v>BRK</x:v>
      </x:c>
      <x:c r="I337" s="9" t="str">
        <x:v>PD11</x:v>
      </x:c>
      <x:c r="J337" s="17" t="str">
        <x:v>Invalidity petition and opinion</x:v>
      </x:c>
      <x:c r="K337" s="17" t="str">
        <x:v>Invalidity court</x:v>
      </x:c>
      <x:c r="L337" s="17" t="str">
        <x:v>COURT-SEALED UNTIL COHORT RELEASE</x:v>
      </x:c>
      <x:c r="M337" s="9" t="n">
        <x:v>0</x:v>
      </x:c>
      <x:c r="N337" s="9" t="n">
        <x:v>0</x:v>
      </x:c>
      <x:c r="O337" s="9" t="n">
        <x:v>0</x:v>
      </x:c>
      <x:c r="P337" s="9" t="str">
        <x:v>HELD / UNRELEASED</x:v>
      </x:c>
      <x:c r="Q337" s="9" t="n">
        <x:f>COUNTIFS($A$7:$A$2310,A337)</x:f>
        <x:v>1</x:v>
      </x:c>
    </x:row>
    <x:row r="338">
      <x:c r="A338" s="9" t="str">
        <x:v>PD-AR-HC-A-C-TECH-2-B2-BRK-G0-PD12</x:v>
      </x:c>
      <x:c r="B338" s="9" t="str">
        <x:v>PD-AR-HC-A-C-TECH-2-B2-BRK-G0</x:v>
      </x:c>
      <x:c r="C338" s="9" t="str">
        <x:v>EV-AR-HC-A-C-TECH-2-B2-BRK-G0</x:v>
      </x:c>
      <x:c r="D338" s="9" t="str">
        <x:v>AR-HC-A-C-TECH-2-B2-BRK-G0</x:v>
      </x:c>
      <x:c r="E338" s="9" t="str">
        <x:v>HC-A-C-TECH-2</x:v>
      </x:c>
      <x:c r="F338" s="9" t="str">
        <x:v>HC-A-C</x:v>
      </x:c>
      <x:c r="G338" s="9" t="str">
        <x:v>B2</x:v>
      </x:c>
      <x:c r="H338" s="9" t="str">
        <x:v>BRK</x:v>
      </x:c>
      <x:c r="I338" s="9" t="str">
        <x:v>PD12</x:v>
      </x:c>
      <x:c r="J338" s="17" t="str">
        <x:v>Observation acceptance and replay</x:v>
      </x:c>
      <x:c r="K338" s="17" t="str">
        <x:v>Observation court</x:v>
      </x:c>
      <x:c r="L338" s="17" t="str">
        <x:v>COURT-SEALED UNTIL COHORT RELEASE</x:v>
      </x:c>
      <x:c r="M338" s="9" t="n">
        <x:v>0</x:v>
      </x:c>
      <x:c r="N338" s="9" t="n">
        <x:v>0</x:v>
      </x:c>
      <x:c r="O338" s="9" t="n">
        <x:v>0</x:v>
      </x:c>
      <x:c r="P338" s="9" t="str">
        <x:v>HELD / UNRELEASED</x:v>
      </x:c>
      <x:c r="Q338" s="9" t="n">
        <x:f>COUNTIFS($A$7:$A$2310,A338)</x:f>
        <x:v>1</x:v>
      </x:c>
    </x:row>
    <x:row r="339">
      <x:c r="A339" s="9" t="str">
        <x:v>PD-AR-HC-A-C-TECH-2-B2-BRK-G0-PD13</x:v>
      </x:c>
      <x:c r="B339" s="9" t="str">
        <x:v>PD-AR-HC-A-C-TECH-2-B2-BRK-G0</x:v>
      </x:c>
      <x:c r="C339" s="9" t="str">
        <x:v>EV-AR-HC-A-C-TECH-2-B2-BRK-G0</x:v>
      </x:c>
      <x:c r="D339" s="9" t="str">
        <x:v>AR-HC-A-C-TECH-2-B2-BRK-G0</x:v>
      </x:c>
      <x:c r="E339" s="9" t="str">
        <x:v>HC-A-C-TECH-2</x:v>
      </x:c>
      <x:c r="F339" s="9" t="str">
        <x:v>HC-A-C</x:v>
      </x:c>
      <x:c r="G339" s="9" t="str">
        <x:v>B2</x:v>
      </x:c>
      <x:c r="H339" s="9" t="str">
        <x:v>BRK</x:v>
      </x:c>
      <x:c r="I339" s="9" t="str">
        <x:v>PD13</x:v>
      </x:c>
      <x:c r="J339" s="17" t="str">
        <x:v>Role judgment</x:v>
      </x:c>
      <x:c r="K339" s="17" t="str">
        <x:v>Role court</x:v>
      </x:c>
      <x:c r="L339" s="17" t="str">
        <x:v>COURT-SEALED UNTIL COHORT RELEASE</x:v>
      </x:c>
      <x:c r="M339" s="9" t="n">
        <x:v>0</x:v>
      </x:c>
      <x:c r="N339" s="9" t="n">
        <x:v>0</x:v>
      </x:c>
      <x:c r="O339" s="9" t="n">
        <x:v>0</x:v>
      </x:c>
      <x:c r="P339" s="9" t="str">
        <x:v>HELD / UNRELEASED</x:v>
      </x:c>
      <x:c r="Q339" s="9" t="n">
        <x:f>COUNTIFS($A$7:$A$2310,A339)</x:f>
        <x:v>1</x:v>
      </x:c>
    </x:row>
    <x:row r="340">
      <x:c r="A340" s="9" t="str">
        <x:v>PD-AR-HC-A-C-TECH-2-B2-BRK-G0-PD14</x:v>
      </x:c>
      <x:c r="B340" s="9" t="str">
        <x:v>PD-AR-HC-A-C-TECH-2-B2-BRK-G0</x:v>
      </x:c>
      <x:c r="C340" s="9" t="str">
        <x:v>EV-AR-HC-A-C-TECH-2-B2-BRK-G0</x:v>
      </x:c>
      <x:c r="D340" s="9" t="str">
        <x:v>AR-HC-A-C-TECH-2-B2-BRK-G0</x:v>
      </x:c>
      <x:c r="E340" s="9" t="str">
        <x:v>HC-A-C-TECH-2</x:v>
      </x:c>
      <x:c r="F340" s="9" t="str">
        <x:v>HC-A-C</x:v>
      </x:c>
      <x:c r="G340" s="9" t="str">
        <x:v>B2</x:v>
      </x:c>
      <x:c r="H340" s="9" t="str">
        <x:v>BRK</x:v>
      </x:c>
      <x:c r="I340" s="9" t="str">
        <x:v>PD14</x:v>
      </x:c>
      <x:c r="J340" s="17" t="str">
        <x:v>Break and residual account</x:v>
      </x:c>
      <x:c r="K340" s="17" t="str">
        <x:v>Residual authority</x:v>
      </x:c>
      <x:c r="L340" s="17" t="str">
        <x:v>COURT-SEALED UNTIL COHORT RELEASE</x:v>
      </x:c>
      <x:c r="M340" s="9" t="n">
        <x:v>0</x:v>
      </x:c>
      <x:c r="N340" s="9" t="n">
        <x:v>0</x:v>
      </x:c>
      <x:c r="O340" s="9" t="n">
        <x:v>0</x:v>
      </x:c>
      <x:c r="P340" s="9" t="str">
        <x:v>HELD / UNRELEASED</x:v>
      </x:c>
      <x:c r="Q340" s="9" t="n">
        <x:f>COUNTIFS($A$7:$A$2310,A340)</x:f>
        <x:v>1</x:v>
      </x:c>
    </x:row>
    <x:row r="341">
      <x:c r="A341" s="9" t="str">
        <x:v>PD-AR-HC-A-C-TECH-2-B2-BRK-G0-PD15</x:v>
      </x:c>
      <x:c r="B341" s="9" t="str">
        <x:v>PD-AR-HC-A-C-TECH-2-B2-BRK-G0</x:v>
      </x:c>
      <x:c r="C341" s="9" t="str">
        <x:v>EV-AR-HC-A-C-TECH-2-B2-BRK-G0</x:v>
      </x:c>
      <x:c r="D341" s="9" t="str">
        <x:v>AR-HC-A-C-TECH-2-B2-BRK-G0</x:v>
      </x:c>
      <x:c r="E341" s="9" t="str">
        <x:v>HC-A-C-TECH-2</x:v>
      </x:c>
      <x:c r="F341" s="9" t="str">
        <x:v>HC-A-C</x:v>
      </x:c>
      <x:c r="G341" s="9" t="str">
        <x:v>B2</x:v>
      </x:c>
      <x:c r="H341" s="9" t="str">
        <x:v>BRK</x:v>
      </x:c>
      <x:c r="I341" s="9" t="str">
        <x:v>PD15</x:v>
      </x:c>
      <x:c r="J341" s="17" t="str">
        <x:v>Reconstruction ancestry and replay</x:v>
      </x:c>
      <x:c r="K341" s="17" t="str">
        <x:v>Reconstruction court</x:v>
      </x:c>
      <x:c r="L341" s="17" t="str">
        <x:v>COURT-SEALED UNTIL COHORT RELEASE</x:v>
      </x:c>
      <x:c r="M341" s="9" t="n">
        <x:v>0</x:v>
      </x:c>
      <x:c r="N341" s="9" t="n">
        <x:v>0</x:v>
      </x:c>
      <x:c r="O341" s="9" t="n">
        <x:v>0</x:v>
      </x:c>
      <x:c r="P341" s="9" t="str">
        <x:v>HELD / UNRELEASED</x:v>
      </x:c>
      <x:c r="Q341" s="9" t="n">
        <x:f>COUNTIFS($A$7:$A$2310,A341)</x:f>
        <x:v>1</x:v>
      </x:c>
    </x:row>
    <x:row r="342">
      <x:c r="A342" s="9" t="str">
        <x:v>PD-AR-HC-A-C-TECH-2-B2-BRK-G0-PD16</x:v>
      </x:c>
      <x:c r="B342" s="9" t="str">
        <x:v>PD-AR-HC-A-C-TECH-2-B2-BRK-G0</x:v>
      </x:c>
      <x:c r="C342" s="9" t="str">
        <x:v>EV-AR-HC-A-C-TECH-2-B2-BRK-G0</x:v>
      </x:c>
      <x:c r="D342" s="9" t="str">
        <x:v>AR-HC-A-C-TECH-2-B2-BRK-G0</x:v>
      </x:c>
      <x:c r="E342" s="9" t="str">
        <x:v>HC-A-C-TECH-2</x:v>
      </x:c>
      <x:c r="F342" s="9" t="str">
        <x:v>HC-A-C</x:v>
      </x:c>
      <x:c r="G342" s="9" t="str">
        <x:v>B2</x:v>
      </x:c>
      <x:c r="H342" s="9" t="str">
        <x:v>BRK</x:v>
      </x:c>
      <x:c r="I342" s="9" t="str">
        <x:v>PD16</x:v>
      </x:c>
      <x:c r="J342" s="17" t="str">
        <x:v>Dissent, amendments and access log</x:v>
      </x:c>
      <x:c r="K342" s="17" t="str">
        <x:v>Public archive</x:v>
      </x:c>
      <x:c r="L342" s="17" t="str">
        <x:v>COURT-SEALED UNTIL COHORT RELEASE</x:v>
      </x:c>
      <x:c r="M342" s="9" t="n">
        <x:v>0</x:v>
      </x:c>
      <x:c r="N342" s="9" t="n">
        <x:v>0</x:v>
      </x:c>
      <x:c r="O342" s="9" t="n">
        <x:v>0</x:v>
      </x:c>
      <x:c r="P342" s="9" t="str">
        <x:v>HELD / UNRELEASED</x:v>
      </x:c>
      <x:c r="Q342" s="9" t="n">
        <x:f>COUNTIFS($A$7:$A$2310,A342)</x:f>
        <x:v>1</x:v>
      </x:c>
    </x:row>
    <x:row r="343">
      <x:c r="A343" s="9" t="str">
        <x:v>PD-AR-HU-A-B-TECH-1-B1-BRK-G0-PD01</x:v>
      </x:c>
      <x:c r="B343" s="9" t="str">
        <x:v>PD-AR-HU-A-B-TECH-1-B1-BRK-G0</x:v>
      </x:c>
      <x:c r="C343" s="9" t="str">
        <x:v>EV-AR-HU-A-B-TECH-1-B1-BRK-G0</x:v>
      </x:c>
      <x:c r="D343" s="9" t="str">
        <x:v>AR-HU-A-B-TECH-1-B1-BRK-G0</x:v>
      </x:c>
      <x:c r="E343" s="9" t="str">
        <x:v>HU-A-B-TECH-1</x:v>
      </x:c>
      <x:c r="F343" s="9" t="str">
        <x:v>HU-A-B</x:v>
      </x:c>
      <x:c r="G343" s="9" t="str">
        <x:v>B1</x:v>
      </x:c>
      <x:c r="H343" s="9" t="str">
        <x:v>BRK</x:v>
      </x:c>
      <x:c r="I343" s="9" t="str">
        <x:v>PD01</x:v>
      </x:c>
      <x:c r="J343" s="17" t="str">
        <x:v>Experiment kernel</x:v>
      </x:c>
      <x:c r="K343" s="17" t="str">
        <x:v>Public archive</x:v>
      </x:c>
      <x:c r="L343" s="17" t="str">
        <x:v>COURT-SEALED UNTIL COHORT RELEASE</x:v>
      </x:c>
      <x:c r="M343" s="9" t="n">
        <x:v>0</x:v>
      </x:c>
      <x:c r="N343" s="9" t="n">
        <x:v>0</x:v>
      </x:c>
      <x:c r="O343" s="9" t="n">
        <x:v>0</x:v>
      </x:c>
      <x:c r="P343" s="9" t="str">
        <x:v>HELD / UNRELEASED</x:v>
      </x:c>
      <x:c r="Q343" s="9" t="n">
        <x:f>COUNTIFS($A$7:$A$2310,A343)</x:f>
        <x:v>1</x:v>
      </x:c>
    </x:row>
    <x:row r="344">
      <x:c r="A344" s="9" t="str">
        <x:v>PD-AR-HU-A-B-TECH-1-B1-BRK-G0-PD02</x:v>
      </x:c>
      <x:c r="B344" s="9" t="str">
        <x:v>PD-AR-HU-A-B-TECH-1-B1-BRK-G0</x:v>
      </x:c>
      <x:c r="C344" s="9" t="str">
        <x:v>EV-AR-HU-A-B-TECH-1-B1-BRK-G0</x:v>
      </x:c>
      <x:c r="D344" s="9" t="str">
        <x:v>AR-HU-A-B-TECH-1-B1-BRK-G0</x:v>
      </x:c>
      <x:c r="E344" s="9" t="str">
        <x:v>HU-A-B-TECH-1</x:v>
      </x:c>
      <x:c r="F344" s="9" t="str">
        <x:v>HU-A-B</x:v>
      </x:c>
      <x:c r="G344" s="9" t="str">
        <x:v>B1</x:v>
      </x:c>
      <x:c r="H344" s="9" t="str">
        <x:v>BRK</x:v>
      </x:c>
      <x:c r="I344" s="9" t="str">
        <x:v>PD02</x:v>
      </x:c>
      <x:c r="J344" s="17" t="str">
        <x:v>Serial annex and title chain</x:v>
      </x:c>
      <x:c r="K344" s="17" t="str">
        <x:v>Public archive</x:v>
      </x:c>
      <x:c r="L344" s="17" t="str">
        <x:v>COURT-SEALED UNTIL COHORT RELEASE</x:v>
      </x:c>
      <x:c r="M344" s="9" t="n">
        <x:v>0</x:v>
      </x:c>
      <x:c r="N344" s="9" t="n">
        <x:v>0</x:v>
      </x:c>
      <x:c r="O344" s="9" t="n">
        <x:v>0</x:v>
      </x:c>
      <x:c r="P344" s="9" t="str">
        <x:v>HELD / UNRELEASED</x:v>
      </x:c>
      <x:c r="Q344" s="9" t="n">
        <x:f>COUNTIFS($A$7:$A$2310,A344)</x:f>
        <x:v>1</x:v>
      </x:c>
    </x:row>
    <x:row r="345">
      <x:c r="A345" s="9" t="str">
        <x:v>PD-AR-HU-A-B-TECH-1-B1-BRK-G0-PD03</x:v>
      </x:c>
      <x:c r="B345" s="9" t="str">
        <x:v>PD-AR-HU-A-B-TECH-1-B1-BRK-G0</x:v>
      </x:c>
      <x:c r="C345" s="9" t="str">
        <x:v>EV-AR-HU-A-B-TECH-1-B1-BRK-G0</x:v>
      </x:c>
      <x:c r="D345" s="9" t="str">
        <x:v>AR-HU-A-B-TECH-1-B1-BRK-G0</x:v>
      </x:c>
      <x:c r="E345" s="9" t="str">
        <x:v>HU-A-B-TECH-1</x:v>
      </x:c>
      <x:c r="F345" s="9" t="str">
        <x:v>HU-A-B</x:v>
      </x:c>
      <x:c r="G345" s="9" t="str">
        <x:v>B1</x:v>
      </x:c>
      <x:c r="H345" s="9" t="str">
        <x:v>BRK</x:v>
      </x:c>
      <x:c r="I345" s="9" t="str">
        <x:v>PD03</x:v>
      </x:c>
      <x:c r="J345" s="17" t="str">
        <x:v>Configuration and as-built manifest</x:v>
      </x:c>
      <x:c r="K345" s="17" t="str">
        <x:v>Artifact exchange</x:v>
      </x:c>
      <x:c r="L345" s="17" t="str">
        <x:v>COURT-SEALED UNTIL COHORT RELEASE</x:v>
      </x:c>
      <x:c r="M345" s="9" t="n">
        <x:v>0</x:v>
      </x:c>
      <x:c r="N345" s="9" t="n">
        <x:v>0</x:v>
      </x:c>
      <x:c r="O345" s="9" t="n">
        <x:v>0</x:v>
      </x:c>
      <x:c r="P345" s="9" t="str">
        <x:v>HELD / UNRELEASED</x:v>
      </x:c>
      <x:c r="Q345" s="9" t="n">
        <x:f>COUNTIFS($A$7:$A$2310,A345)</x:f>
        <x:v>1</x:v>
      </x:c>
    </x:row>
    <x:row r="346">
      <x:c r="A346" s="9" t="str">
        <x:v>PD-AR-HU-A-B-TECH-1-B1-BRK-G0-PD04</x:v>
      </x:c>
      <x:c r="B346" s="9" t="str">
        <x:v>PD-AR-HU-A-B-TECH-1-B1-BRK-G0</x:v>
      </x:c>
      <x:c r="C346" s="9" t="str">
        <x:v>EV-AR-HU-A-B-TECH-1-B1-BRK-G0</x:v>
      </x:c>
      <x:c r="D346" s="9" t="str">
        <x:v>AR-HU-A-B-TECH-1-B1-BRK-G0</x:v>
      </x:c>
      <x:c r="E346" s="9" t="str">
        <x:v>HU-A-B-TECH-1</x:v>
      </x:c>
      <x:c r="F346" s="9" t="str">
        <x:v>HU-A-B</x:v>
      </x:c>
      <x:c r="G346" s="9" t="str">
        <x:v>B1</x:v>
      </x:c>
      <x:c r="H346" s="9" t="str">
        <x:v>BRK</x:v>
      </x:c>
      <x:c r="I346" s="9" t="str">
        <x:v>PD04</x:v>
      </x:c>
      <x:c r="J346" s="17" t="str">
        <x:v>EOW and start certificate</x:v>
      </x:c>
      <x:c r="K346" s="17" t="str">
        <x:v>Start registrar</x:v>
      </x:c>
      <x:c r="L346" s="17" t="str">
        <x:v>COURT-SEALED UNTIL COHORT RELEASE</x:v>
      </x:c>
      <x:c r="M346" s="9" t="n">
        <x:v>0</x:v>
      </x:c>
      <x:c r="N346" s="9" t="n">
        <x:v>0</x:v>
      </x:c>
      <x:c r="O346" s="9" t="n">
        <x:v>0</x:v>
      </x:c>
      <x:c r="P346" s="9" t="str">
        <x:v>HELD / UNRELEASED</x:v>
      </x:c>
      <x:c r="Q346" s="9" t="n">
        <x:f>COUNTIFS($A$7:$A$2310,A346)</x:f>
        <x:v>1</x:v>
      </x:c>
    </x:row>
    <x:row r="347">
      <x:c r="A347" s="9" t="str">
        <x:v>PD-AR-HU-A-B-TECH-1-B1-BRK-G0-PD05</x:v>
      </x:c>
      <x:c r="B347" s="9" t="str">
        <x:v>PD-AR-HU-A-B-TECH-1-B1-BRK-G0</x:v>
      </x:c>
      <x:c r="C347" s="9" t="str">
        <x:v>EV-AR-HU-A-B-TECH-1-B1-BRK-G0</x:v>
      </x:c>
      <x:c r="D347" s="9" t="str">
        <x:v>AR-HU-A-B-TECH-1-B1-BRK-G0</x:v>
      </x:c>
      <x:c r="E347" s="9" t="str">
        <x:v>HU-A-B-TECH-1</x:v>
      </x:c>
      <x:c r="F347" s="9" t="str">
        <x:v>HU-A-B</x:v>
      </x:c>
      <x:c r="G347" s="9" t="str">
        <x:v>B1</x:v>
      </x:c>
      <x:c r="H347" s="9" t="str">
        <x:v>BRK</x:v>
      </x:c>
      <x:c r="I347" s="9" t="str">
        <x:v>PD05</x:v>
      </x:c>
      <x:c r="J347" s="17" t="str">
        <x:v>Primary raw originals</x:v>
      </x:c>
      <x:c r="K347" s="17" t="str">
        <x:v>Primary custody</x:v>
      </x:c>
      <x:c r="L347" s="17" t="str">
        <x:v>COURT-SEALED UNTIL COHORT RELEASE</x:v>
      </x:c>
      <x:c r="M347" s="9" t="n">
        <x:v>0</x:v>
      </x:c>
      <x:c r="N347" s="9" t="n">
        <x:v>0</x:v>
      </x:c>
      <x:c r="O347" s="9" t="n">
        <x:v>0</x:v>
      </x:c>
      <x:c r="P347" s="9" t="str">
        <x:v>HELD / UNRELEASED</x:v>
      </x:c>
      <x:c r="Q347" s="9" t="n">
        <x:f>COUNTIFS($A$7:$A$2310,A347)</x:f>
        <x:v>1</x:v>
      </x:c>
    </x:row>
    <x:row r="348">
      <x:c r="A348" s="9" t="str">
        <x:v>PD-AR-HU-A-B-TECH-1-B1-BRK-G0-PD06</x:v>
      </x:c>
      <x:c r="B348" s="9" t="str">
        <x:v>PD-AR-HU-A-B-TECH-1-B1-BRK-G0</x:v>
      </x:c>
      <x:c r="C348" s="9" t="str">
        <x:v>EV-AR-HU-A-B-TECH-1-B1-BRK-G0</x:v>
      </x:c>
      <x:c r="D348" s="9" t="str">
        <x:v>AR-HU-A-B-TECH-1-B1-BRK-G0</x:v>
      </x:c>
      <x:c r="E348" s="9" t="str">
        <x:v>HU-A-B-TECH-1</x:v>
      </x:c>
      <x:c r="F348" s="9" t="str">
        <x:v>HU-A-B</x:v>
      </x:c>
      <x:c r="G348" s="9" t="str">
        <x:v>B1</x:v>
      </x:c>
      <x:c r="H348" s="9" t="str">
        <x:v>BRK</x:v>
      </x:c>
      <x:c r="I348" s="9" t="str">
        <x:v>PD06</x:v>
      </x:c>
      <x:c r="J348" s="17" t="str">
        <x:v>Witness raw originals</x:v>
      </x:c>
      <x:c r="K348" s="17" t="str">
        <x:v>Witness custody</x:v>
      </x:c>
      <x:c r="L348" s="17" t="str">
        <x:v>COURT-SEALED UNTIL COHORT RELEASE</x:v>
      </x:c>
      <x:c r="M348" s="9" t="n">
        <x:v>0</x:v>
      </x:c>
      <x:c r="N348" s="9" t="n">
        <x:v>0</x:v>
      </x:c>
      <x:c r="O348" s="9" t="n">
        <x:v>0</x:v>
      </x:c>
      <x:c r="P348" s="9" t="str">
        <x:v>HELD / UNRELEASED</x:v>
      </x:c>
      <x:c r="Q348" s="9" t="n">
        <x:f>COUNTIFS($A$7:$A$2310,A348)</x:f>
        <x:v>1</x:v>
      </x:c>
    </x:row>
    <x:row r="349">
      <x:c r="A349" s="9" t="str">
        <x:v>PD-AR-HU-A-B-TECH-1-B1-BRK-G0-PD07</x:v>
      </x:c>
      <x:c r="B349" s="9" t="str">
        <x:v>PD-AR-HU-A-B-TECH-1-B1-BRK-G0</x:v>
      </x:c>
      <x:c r="C349" s="9" t="str">
        <x:v>EV-AR-HU-A-B-TECH-1-B1-BRK-G0</x:v>
      </x:c>
      <x:c r="D349" s="9" t="str">
        <x:v>AR-HU-A-B-TECH-1-B1-BRK-G0</x:v>
      </x:c>
      <x:c r="E349" s="9" t="str">
        <x:v>HU-A-B-TECH-1</x:v>
      </x:c>
      <x:c r="F349" s="9" t="str">
        <x:v>HU-A-B</x:v>
      </x:c>
      <x:c r="G349" s="9" t="str">
        <x:v>B1</x:v>
      </x:c>
      <x:c r="H349" s="9" t="str">
        <x:v>BRK</x:v>
      </x:c>
      <x:c r="I349" s="9" t="str">
        <x:v>PD07</x:v>
      </x:c>
      <x:c r="J349" s="17" t="str">
        <x:v>Clock and environmental records</x:v>
      </x:c>
      <x:c r="K349" s="17" t="str">
        <x:v>Boundary archive</x:v>
      </x:c>
      <x:c r="L349" s="17" t="str">
        <x:v>COURT-SEALED UNTIL COHORT RELEASE</x:v>
      </x:c>
      <x:c r="M349" s="9" t="n">
        <x:v>0</x:v>
      </x:c>
      <x:c r="N349" s="9" t="n">
        <x:v>0</x:v>
      </x:c>
      <x:c r="O349" s="9" t="n">
        <x:v>0</x:v>
      </x:c>
      <x:c r="P349" s="9" t="str">
        <x:v>HELD / UNRELEASED</x:v>
      </x:c>
      <x:c r="Q349" s="9" t="n">
        <x:f>COUNTIFS($A$7:$A$2310,A349)</x:f>
        <x:v>1</x:v>
      </x:c>
    </x:row>
    <x:row r="350">
      <x:c r="A350" s="9" t="str">
        <x:v>PD-AR-HU-A-B-TECH-1-B1-BRK-G0-PD08</x:v>
      </x:c>
      <x:c r="B350" s="9" t="str">
        <x:v>PD-AR-HU-A-B-TECH-1-B1-BRK-G0</x:v>
      </x:c>
      <x:c r="C350" s="9" t="str">
        <x:v>EV-AR-HU-A-B-TECH-1-B1-BRK-G0</x:v>
      </x:c>
      <x:c r="D350" s="9" t="str">
        <x:v>AR-HU-A-B-TECH-1-B1-BRK-G0</x:v>
      </x:c>
      <x:c r="E350" s="9" t="str">
        <x:v>HU-A-B-TECH-1</x:v>
      </x:c>
      <x:c r="F350" s="9" t="str">
        <x:v>HU-A-B</x:v>
      </x:c>
      <x:c r="G350" s="9" t="str">
        <x:v>B1</x:v>
      </x:c>
      <x:c r="H350" s="9" t="str">
        <x:v>BRK</x:v>
      </x:c>
      <x:c r="I350" s="9" t="str">
        <x:v>PD08</x:v>
      </x:c>
      <x:c r="J350" s="17" t="str">
        <x:v>Command and intervention log</x:v>
      </x:c>
      <x:c r="K350" s="17" t="str">
        <x:v>Safety archive</x:v>
      </x:c>
      <x:c r="L350" s="17" t="str">
        <x:v>COURT-SEALED UNTIL COHORT RELEASE</x:v>
      </x:c>
      <x:c r="M350" s="9" t="n">
        <x:v>0</x:v>
      </x:c>
      <x:c r="N350" s="9" t="n">
        <x:v>0</x:v>
      </x:c>
      <x:c r="O350" s="9" t="n">
        <x:v>0</x:v>
      </x:c>
      <x:c r="P350" s="9" t="str">
        <x:v>HELD / UNRELEASED</x:v>
      </x:c>
      <x:c r="Q350" s="9" t="n">
        <x:f>COUNTIFS($A$7:$A$2310,A350)</x:f>
        <x:v>1</x:v>
      </x:c>
    </x:row>
    <x:row r="351">
      <x:c r="A351" s="9" t="str">
        <x:v>PD-AR-HU-A-B-TECH-1-B1-BRK-G0-PD09</x:v>
      </x:c>
      <x:c r="B351" s="9" t="str">
        <x:v>PD-AR-HU-A-B-TECH-1-B1-BRK-G0</x:v>
      </x:c>
      <x:c r="C351" s="9" t="str">
        <x:v>EV-AR-HU-A-B-TECH-1-B1-BRK-G0</x:v>
      </x:c>
      <x:c r="D351" s="9" t="str">
        <x:v>AR-HU-A-B-TECH-1-B1-BRK-G0</x:v>
      </x:c>
      <x:c r="E351" s="9" t="str">
        <x:v>HU-A-B-TECH-1</x:v>
      </x:c>
      <x:c r="F351" s="9" t="str">
        <x:v>HU-A-B</x:v>
      </x:c>
      <x:c r="G351" s="9" t="str">
        <x:v>B1</x:v>
      </x:c>
      <x:c r="H351" s="9" t="str">
        <x:v>BRK</x:v>
      </x:c>
      <x:c r="I351" s="9" t="str">
        <x:v>PD09</x:v>
      </x:c>
      <x:c r="J351" s="17" t="str">
        <x:v>Receiver denominator and service ledger</x:v>
      </x:c>
      <x:c r="K351" s="17" t="str">
        <x:v>Receiver archive</x:v>
      </x:c>
      <x:c r="L351" s="17" t="str">
        <x:v>COURT-SEALED UNTIL COHORT RELEASE</x:v>
      </x:c>
      <x:c r="M351" s="9" t="n">
        <x:v>0</x:v>
      </x:c>
      <x:c r="N351" s="9" t="n">
        <x:v>0</x:v>
      </x:c>
      <x:c r="O351" s="9" t="n">
        <x:v>0</x:v>
      </x:c>
      <x:c r="P351" s="9" t="str">
        <x:v>HELD / UNRELEASED</x:v>
      </x:c>
      <x:c r="Q351" s="9" t="n">
        <x:f>COUNTIFS($A$7:$A$2310,A351)</x:f>
        <x:v>1</x:v>
      </x:c>
    </x:row>
    <x:row r="352">
      <x:c r="A352" s="9" t="str">
        <x:v>PD-AR-HU-A-B-TECH-1-B1-BRK-G0-PD10</x:v>
      </x:c>
      <x:c r="B352" s="9" t="str">
        <x:v>PD-AR-HU-A-B-TECH-1-B1-BRK-G0</x:v>
      </x:c>
      <x:c r="C352" s="9" t="str">
        <x:v>EV-AR-HU-A-B-TECH-1-B1-BRK-G0</x:v>
      </x:c>
      <x:c r="D352" s="9" t="str">
        <x:v>AR-HU-A-B-TECH-1-B1-BRK-G0</x:v>
      </x:c>
      <x:c r="E352" s="9" t="str">
        <x:v>HU-A-B-TECH-1</x:v>
      </x:c>
      <x:c r="F352" s="9" t="str">
        <x:v>HU-A-B</x:v>
      </x:c>
      <x:c r="G352" s="9" t="str">
        <x:v>B1</x:v>
      </x:c>
      <x:c r="H352" s="9" t="str">
        <x:v>BRK</x:v>
      </x:c>
      <x:c r="I352" s="9" t="str">
        <x:v>PD10</x:v>
      </x:c>
      <x:c r="J352" s="17" t="str">
        <x:v>Calibration and uncertainty record</x:v>
      </x:c>
      <x:c r="K352" s="17" t="str">
        <x:v>Metrology archive</x:v>
      </x:c>
      <x:c r="L352" s="17" t="str">
        <x:v>COURT-SEALED UNTIL COHORT RELEASE</x:v>
      </x:c>
      <x:c r="M352" s="9" t="n">
        <x:v>0</x:v>
      </x:c>
      <x:c r="N352" s="9" t="n">
        <x:v>0</x:v>
      </x:c>
      <x:c r="O352" s="9" t="n">
        <x:v>0</x:v>
      </x:c>
      <x:c r="P352" s="9" t="str">
        <x:v>HELD / UNRELEASED</x:v>
      </x:c>
      <x:c r="Q352" s="9" t="n">
        <x:f>COUNTIFS($A$7:$A$2310,A352)</x:f>
        <x:v>1</x:v>
      </x:c>
    </x:row>
    <x:row r="353">
      <x:c r="A353" s="9" t="str">
        <x:v>PD-AR-HU-A-B-TECH-1-B1-BRK-G0-PD11</x:v>
      </x:c>
      <x:c r="B353" s="9" t="str">
        <x:v>PD-AR-HU-A-B-TECH-1-B1-BRK-G0</x:v>
      </x:c>
      <x:c r="C353" s="9" t="str">
        <x:v>EV-AR-HU-A-B-TECH-1-B1-BRK-G0</x:v>
      </x:c>
      <x:c r="D353" s="9" t="str">
        <x:v>AR-HU-A-B-TECH-1-B1-BRK-G0</x:v>
      </x:c>
      <x:c r="E353" s="9" t="str">
        <x:v>HU-A-B-TECH-1</x:v>
      </x:c>
      <x:c r="F353" s="9" t="str">
        <x:v>HU-A-B</x:v>
      </x:c>
      <x:c r="G353" s="9" t="str">
        <x:v>B1</x:v>
      </x:c>
      <x:c r="H353" s="9" t="str">
        <x:v>BRK</x:v>
      </x:c>
      <x:c r="I353" s="9" t="str">
        <x:v>PD11</x:v>
      </x:c>
      <x:c r="J353" s="17" t="str">
        <x:v>Invalidity petition and opinion</x:v>
      </x:c>
      <x:c r="K353" s="17" t="str">
        <x:v>Invalidity court</x:v>
      </x:c>
      <x:c r="L353" s="17" t="str">
        <x:v>COURT-SEALED UNTIL COHORT RELEASE</x:v>
      </x:c>
      <x:c r="M353" s="9" t="n">
        <x:v>0</x:v>
      </x:c>
      <x:c r="N353" s="9" t="n">
        <x:v>0</x:v>
      </x:c>
      <x:c r="O353" s="9" t="n">
        <x:v>0</x:v>
      </x:c>
      <x:c r="P353" s="9" t="str">
        <x:v>HELD / UNRELEASED</x:v>
      </x:c>
      <x:c r="Q353" s="9" t="n">
        <x:f>COUNTIFS($A$7:$A$2310,A353)</x:f>
        <x:v>1</x:v>
      </x:c>
    </x:row>
    <x:row r="354">
      <x:c r="A354" s="9" t="str">
        <x:v>PD-AR-HU-A-B-TECH-1-B1-BRK-G0-PD12</x:v>
      </x:c>
      <x:c r="B354" s="9" t="str">
        <x:v>PD-AR-HU-A-B-TECH-1-B1-BRK-G0</x:v>
      </x:c>
      <x:c r="C354" s="9" t="str">
        <x:v>EV-AR-HU-A-B-TECH-1-B1-BRK-G0</x:v>
      </x:c>
      <x:c r="D354" s="9" t="str">
        <x:v>AR-HU-A-B-TECH-1-B1-BRK-G0</x:v>
      </x:c>
      <x:c r="E354" s="9" t="str">
        <x:v>HU-A-B-TECH-1</x:v>
      </x:c>
      <x:c r="F354" s="9" t="str">
        <x:v>HU-A-B</x:v>
      </x:c>
      <x:c r="G354" s="9" t="str">
        <x:v>B1</x:v>
      </x:c>
      <x:c r="H354" s="9" t="str">
        <x:v>BRK</x:v>
      </x:c>
      <x:c r="I354" s="9" t="str">
        <x:v>PD12</x:v>
      </x:c>
      <x:c r="J354" s="17" t="str">
        <x:v>Observation acceptance and replay</x:v>
      </x:c>
      <x:c r="K354" s="17" t="str">
        <x:v>Observation court</x:v>
      </x:c>
      <x:c r="L354" s="17" t="str">
        <x:v>COURT-SEALED UNTIL COHORT RELEASE</x:v>
      </x:c>
      <x:c r="M354" s="9" t="n">
        <x:v>0</x:v>
      </x:c>
      <x:c r="N354" s="9" t="n">
        <x:v>0</x:v>
      </x:c>
      <x:c r="O354" s="9" t="n">
        <x:v>0</x:v>
      </x:c>
      <x:c r="P354" s="9" t="str">
        <x:v>HELD / UNRELEASED</x:v>
      </x:c>
      <x:c r="Q354" s="9" t="n">
        <x:f>COUNTIFS($A$7:$A$2310,A354)</x:f>
        <x:v>1</x:v>
      </x:c>
    </x:row>
    <x:row r="355">
      <x:c r="A355" s="9" t="str">
        <x:v>PD-AR-HU-A-B-TECH-1-B1-BRK-G0-PD13</x:v>
      </x:c>
      <x:c r="B355" s="9" t="str">
        <x:v>PD-AR-HU-A-B-TECH-1-B1-BRK-G0</x:v>
      </x:c>
      <x:c r="C355" s="9" t="str">
        <x:v>EV-AR-HU-A-B-TECH-1-B1-BRK-G0</x:v>
      </x:c>
      <x:c r="D355" s="9" t="str">
        <x:v>AR-HU-A-B-TECH-1-B1-BRK-G0</x:v>
      </x:c>
      <x:c r="E355" s="9" t="str">
        <x:v>HU-A-B-TECH-1</x:v>
      </x:c>
      <x:c r="F355" s="9" t="str">
        <x:v>HU-A-B</x:v>
      </x:c>
      <x:c r="G355" s="9" t="str">
        <x:v>B1</x:v>
      </x:c>
      <x:c r="H355" s="9" t="str">
        <x:v>BRK</x:v>
      </x:c>
      <x:c r="I355" s="9" t="str">
        <x:v>PD13</x:v>
      </x:c>
      <x:c r="J355" s="17" t="str">
        <x:v>Role judgment</x:v>
      </x:c>
      <x:c r="K355" s="17" t="str">
        <x:v>Role court</x:v>
      </x:c>
      <x:c r="L355" s="17" t="str">
        <x:v>COURT-SEALED UNTIL COHORT RELEASE</x:v>
      </x:c>
      <x:c r="M355" s="9" t="n">
        <x:v>0</x:v>
      </x:c>
      <x:c r="N355" s="9" t="n">
        <x:v>0</x:v>
      </x:c>
      <x:c r="O355" s="9" t="n">
        <x:v>0</x:v>
      </x:c>
      <x:c r="P355" s="9" t="str">
        <x:v>HELD / UNRELEASED</x:v>
      </x:c>
      <x:c r="Q355" s="9" t="n">
        <x:f>COUNTIFS($A$7:$A$2310,A355)</x:f>
        <x:v>1</x:v>
      </x:c>
    </x:row>
    <x:row r="356">
      <x:c r="A356" s="9" t="str">
        <x:v>PD-AR-HU-A-B-TECH-1-B1-BRK-G0-PD14</x:v>
      </x:c>
      <x:c r="B356" s="9" t="str">
        <x:v>PD-AR-HU-A-B-TECH-1-B1-BRK-G0</x:v>
      </x:c>
      <x:c r="C356" s="9" t="str">
        <x:v>EV-AR-HU-A-B-TECH-1-B1-BRK-G0</x:v>
      </x:c>
      <x:c r="D356" s="9" t="str">
        <x:v>AR-HU-A-B-TECH-1-B1-BRK-G0</x:v>
      </x:c>
      <x:c r="E356" s="9" t="str">
        <x:v>HU-A-B-TECH-1</x:v>
      </x:c>
      <x:c r="F356" s="9" t="str">
        <x:v>HU-A-B</x:v>
      </x:c>
      <x:c r="G356" s="9" t="str">
        <x:v>B1</x:v>
      </x:c>
      <x:c r="H356" s="9" t="str">
        <x:v>BRK</x:v>
      </x:c>
      <x:c r="I356" s="9" t="str">
        <x:v>PD14</x:v>
      </x:c>
      <x:c r="J356" s="17" t="str">
        <x:v>Break and residual account</x:v>
      </x:c>
      <x:c r="K356" s="17" t="str">
        <x:v>Residual authority</x:v>
      </x:c>
      <x:c r="L356" s="17" t="str">
        <x:v>COURT-SEALED UNTIL COHORT RELEASE</x:v>
      </x:c>
      <x:c r="M356" s="9" t="n">
        <x:v>0</x:v>
      </x:c>
      <x:c r="N356" s="9" t="n">
        <x:v>0</x:v>
      </x:c>
      <x:c r="O356" s="9" t="n">
        <x:v>0</x:v>
      </x:c>
      <x:c r="P356" s="9" t="str">
        <x:v>HELD / UNRELEASED</x:v>
      </x:c>
      <x:c r="Q356" s="9" t="n">
        <x:f>COUNTIFS($A$7:$A$2310,A356)</x:f>
        <x:v>1</x:v>
      </x:c>
    </x:row>
    <x:row r="357">
      <x:c r="A357" s="9" t="str">
        <x:v>PD-AR-HU-A-B-TECH-1-B1-BRK-G0-PD15</x:v>
      </x:c>
      <x:c r="B357" s="9" t="str">
        <x:v>PD-AR-HU-A-B-TECH-1-B1-BRK-G0</x:v>
      </x:c>
      <x:c r="C357" s="9" t="str">
        <x:v>EV-AR-HU-A-B-TECH-1-B1-BRK-G0</x:v>
      </x:c>
      <x:c r="D357" s="9" t="str">
        <x:v>AR-HU-A-B-TECH-1-B1-BRK-G0</x:v>
      </x:c>
      <x:c r="E357" s="9" t="str">
        <x:v>HU-A-B-TECH-1</x:v>
      </x:c>
      <x:c r="F357" s="9" t="str">
        <x:v>HU-A-B</x:v>
      </x:c>
      <x:c r="G357" s="9" t="str">
        <x:v>B1</x:v>
      </x:c>
      <x:c r="H357" s="9" t="str">
        <x:v>BRK</x:v>
      </x:c>
      <x:c r="I357" s="9" t="str">
        <x:v>PD15</x:v>
      </x:c>
      <x:c r="J357" s="17" t="str">
        <x:v>Reconstruction ancestry and replay</x:v>
      </x:c>
      <x:c r="K357" s="17" t="str">
        <x:v>Reconstruction court</x:v>
      </x:c>
      <x:c r="L357" s="17" t="str">
        <x:v>COURT-SEALED UNTIL COHORT RELEASE</x:v>
      </x:c>
      <x:c r="M357" s="9" t="n">
        <x:v>0</x:v>
      </x:c>
      <x:c r="N357" s="9" t="n">
        <x:v>0</x:v>
      </x:c>
      <x:c r="O357" s="9" t="n">
        <x:v>0</x:v>
      </x:c>
      <x:c r="P357" s="9" t="str">
        <x:v>HELD / UNRELEASED</x:v>
      </x:c>
      <x:c r="Q357" s="9" t="n">
        <x:f>COUNTIFS($A$7:$A$2310,A357)</x:f>
        <x:v>1</x:v>
      </x:c>
    </x:row>
    <x:row r="358">
      <x:c r="A358" s="9" t="str">
        <x:v>PD-AR-HU-A-B-TECH-1-B1-BRK-G0-PD16</x:v>
      </x:c>
      <x:c r="B358" s="9" t="str">
        <x:v>PD-AR-HU-A-B-TECH-1-B1-BRK-G0</x:v>
      </x:c>
      <x:c r="C358" s="9" t="str">
        <x:v>EV-AR-HU-A-B-TECH-1-B1-BRK-G0</x:v>
      </x:c>
      <x:c r="D358" s="9" t="str">
        <x:v>AR-HU-A-B-TECH-1-B1-BRK-G0</x:v>
      </x:c>
      <x:c r="E358" s="9" t="str">
        <x:v>HU-A-B-TECH-1</x:v>
      </x:c>
      <x:c r="F358" s="9" t="str">
        <x:v>HU-A-B</x:v>
      </x:c>
      <x:c r="G358" s="9" t="str">
        <x:v>B1</x:v>
      </x:c>
      <x:c r="H358" s="9" t="str">
        <x:v>BRK</x:v>
      </x:c>
      <x:c r="I358" s="9" t="str">
        <x:v>PD16</x:v>
      </x:c>
      <x:c r="J358" s="17" t="str">
        <x:v>Dissent, amendments and access log</x:v>
      </x:c>
      <x:c r="K358" s="17" t="str">
        <x:v>Public archive</x:v>
      </x:c>
      <x:c r="L358" s="17" t="str">
        <x:v>COURT-SEALED UNTIL COHORT RELEASE</x:v>
      </x:c>
      <x:c r="M358" s="9" t="n">
        <x:v>0</x:v>
      </x:c>
      <x:c r="N358" s="9" t="n">
        <x:v>0</x:v>
      </x:c>
      <x:c r="O358" s="9" t="n">
        <x:v>0</x:v>
      </x:c>
      <x:c r="P358" s="9" t="str">
        <x:v>HELD / UNRELEASED</x:v>
      </x:c>
      <x:c r="Q358" s="9" t="n">
        <x:f>COUNTIFS($A$7:$A$2310,A358)</x:f>
        <x:v>1</x:v>
      </x:c>
    </x:row>
    <x:row r="359">
      <x:c r="A359" s="9" t="str">
        <x:v>PD-AR-LF-B-A-TECH-2-B1-BRK-G0-PD01</x:v>
      </x:c>
      <x:c r="B359" s="9" t="str">
        <x:v>PD-AR-LF-B-A-TECH-2-B1-BRK-G0</x:v>
      </x:c>
      <x:c r="C359" s="9" t="str">
        <x:v>EV-AR-LF-B-A-TECH-2-B1-BRK-G0</x:v>
      </x:c>
      <x:c r="D359" s="9" t="str">
        <x:v>AR-LF-B-A-TECH-2-B1-BRK-G0</x:v>
      </x:c>
      <x:c r="E359" s="9" t="str">
        <x:v>LF-B-A-TECH-2</x:v>
      </x:c>
      <x:c r="F359" s="9" t="str">
        <x:v>LF-B-A</x:v>
      </x:c>
      <x:c r="G359" s="9" t="str">
        <x:v>B1</x:v>
      </x:c>
      <x:c r="H359" s="9" t="str">
        <x:v>BRK</x:v>
      </x:c>
      <x:c r="I359" s="9" t="str">
        <x:v>PD01</x:v>
      </x:c>
      <x:c r="J359" s="17" t="str">
        <x:v>Experiment kernel</x:v>
      </x:c>
      <x:c r="K359" s="17" t="str">
        <x:v>Public archive</x:v>
      </x:c>
      <x:c r="L359" s="17" t="str">
        <x:v>COURT-SEALED UNTIL COHORT RELEASE</x:v>
      </x:c>
      <x:c r="M359" s="9" t="n">
        <x:v>0</x:v>
      </x:c>
      <x:c r="N359" s="9" t="n">
        <x:v>0</x:v>
      </x:c>
      <x:c r="O359" s="9" t="n">
        <x:v>0</x:v>
      </x:c>
      <x:c r="P359" s="9" t="str">
        <x:v>HELD / UNRELEASED</x:v>
      </x:c>
      <x:c r="Q359" s="9" t="n">
        <x:f>COUNTIFS($A$7:$A$2310,A359)</x:f>
        <x:v>1</x:v>
      </x:c>
    </x:row>
    <x:row r="360">
      <x:c r="A360" s="9" t="str">
        <x:v>PD-AR-LF-B-A-TECH-2-B1-BRK-G0-PD02</x:v>
      </x:c>
      <x:c r="B360" s="9" t="str">
        <x:v>PD-AR-LF-B-A-TECH-2-B1-BRK-G0</x:v>
      </x:c>
      <x:c r="C360" s="9" t="str">
        <x:v>EV-AR-LF-B-A-TECH-2-B1-BRK-G0</x:v>
      </x:c>
      <x:c r="D360" s="9" t="str">
        <x:v>AR-LF-B-A-TECH-2-B1-BRK-G0</x:v>
      </x:c>
      <x:c r="E360" s="9" t="str">
        <x:v>LF-B-A-TECH-2</x:v>
      </x:c>
      <x:c r="F360" s="9" t="str">
        <x:v>LF-B-A</x:v>
      </x:c>
      <x:c r="G360" s="9" t="str">
        <x:v>B1</x:v>
      </x:c>
      <x:c r="H360" s="9" t="str">
        <x:v>BRK</x:v>
      </x:c>
      <x:c r="I360" s="9" t="str">
        <x:v>PD02</x:v>
      </x:c>
      <x:c r="J360" s="17" t="str">
        <x:v>Serial annex and title chain</x:v>
      </x:c>
      <x:c r="K360" s="17" t="str">
        <x:v>Public archive</x:v>
      </x:c>
      <x:c r="L360" s="17" t="str">
        <x:v>COURT-SEALED UNTIL COHORT RELEASE</x:v>
      </x:c>
      <x:c r="M360" s="9" t="n">
        <x:v>0</x:v>
      </x:c>
      <x:c r="N360" s="9" t="n">
        <x:v>0</x:v>
      </x:c>
      <x:c r="O360" s="9" t="n">
        <x:v>0</x:v>
      </x:c>
      <x:c r="P360" s="9" t="str">
        <x:v>HELD / UNRELEASED</x:v>
      </x:c>
      <x:c r="Q360" s="9" t="n">
        <x:f>COUNTIFS($A$7:$A$2310,A360)</x:f>
        <x:v>1</x:v>
      </x:c>
    </x:row>
    <x:row r="361">
      <x:c r="A361" s="9" t="str">
        <x:v>PD-AR-LF-B-A-TECH-2-B1-BRK-G0-PD03</x:v>
      </x:c>
      <x:c r="B361" s="9" t="str">
        <x:v>PD-AR-LF-B-A-TECH-2-B1-BRK-G0</x:v>
      </x:c>
      <x:c r="C361" s="9" t="str">
        <x:v>EV-AR-LF-B-A-TECH-2-B1-BRK-G0</x:v>
      </x:c>
      <x:c r="D361" s="9" t="str">
        <x:v>AR-LF-B-A-TECH-2-B1-BRK-G0</x:v>
      </x:c>
      <x:c r="E361" s="9" t="str">
        <x:v>LF-B-A-TECH-2</x:v>
      </x:c>
      <x:c r="F361" s="9" t="str">
        <x:v>LF-B-A</x:v>
      </x:c>
      <x:c r="G361" s="9" t="str">
        <x:v>B1</x:v>
      </x:c>
      <x:c r="H361" s="9" t="str">
        <x:v>BRK</x:v>
      </x:c>
      <x:c r="I361" s="9" t="str">
        <x:v>PD03</x:v>
      </x:c>
      <x:c r="J361" s="17" t="str">
        <x:v>Configuration and as-built manifest</x:v>
      </x:c>
      <x:c r="K361" s="17" t="str">
        <x:v>Artifact exchange</x:v>
      </x:c>
      <x:c r="L361" s="17" t="str">
        <x:v>COURT-SEALED UNTIL COHORT RELEASE</x:v>
      </x:c>
      <x:c r="M361" s="9" t="n">
        <x:v>0</x:v>
      </x:c>
      <x:c r="N361" s="9" t="n">
        <x:v>0</x:v>
      </x:c>
      <x:c r="O361" s="9" t="n">
        <x:v>0</x:v>
      </x:c>
      <x:c r="P361" s="9" t="str">
        <x:v>HELD / UNRELEASED</x:v>
      </x:c>
      <x:c r="Q361" s="9" t="n">
        <x:f>COUNTIFS($A$7:$A$2310,A361)</x:f>
        <x:v>1</x:v>
      </x:c>
    </x:row>
    <x:row r="362">
      <x:c r="A362" s="9" t="str">
        <x:v>PD-AR-LF-B-A-TECH-2-B1-BRK-G0-PD04</x:v>
      </x:c>
      <x:c r="B362" s="9" t="str">
        <x:v>PD-AR-LF-B-A-TECH-2-B1-BRK-G0</x:v>
      </x:c>
      <x:c r="C362" s="9" t="str">
        <x:v>EV-AR-LF-B-A-TECH-2-B1-BRK-G0</x:v>
      </x:c>
      <x:c r="D362" s="9" t="str">
        <x:v>AR-LF-B-A-TECH-2-B1-BRK-G0</x:v>
      </x:c>
      <x:c r="E362" s="9" t="str">
        <x:v>LF-B-A-TECH-2</x:v>
      </x:c>
      <x:c r="F362" s="9" t="str">
        <x:v>LF-B-A</x:v>
      </x:c>
      <x:c r="G362" s="9" t="str">
        <x:v>B1</x:v>
      </x:c>
      <x:c r="H362" s="9" t="str">
        <x:v>BRK</x:v>
      </x:c>
      <x:c r="I362" s="9" t="str">
        <x:v>PD04</x:v>
      </x:c>
      <x:c r="J362" s="17" t="str">
        <x:v>EOW and start certificate</x:v>
      </x:c>
      <x:c r="K362" s="17" t="str">
        <x:v>Start registrar</x:v>
      </x:c>
      <x:c r="L362" s="17" t="str">
        <x:v>COURT-SEALED UNTIL COHORT RELEASE</x:v>
      </x:c>
      <x:c r="M362" s="9" t="n">
        <x:v>0</x:v>
      </x:c>
      <x:c r="N362" s="9" t="n">
        <x:v>0</x:v>
      </x:c>
      <x:c r="O362" s="9" t="n">
        <x:v>0</x:v>
      </x:c>
      <x:c r="P362" s="9" t="str">
        <x:v>HELD / UNRELEASED</x:v>
      </x:c>
      <x:c r="Q362" s="9" t="n">
        <x:f>COUNTIFS($A$7:$A$2310,A362)</x:f>
        <x:v>1</x:v>
      </x:c>
    </x:row>
    <x:row r="363">
      <x:c r="A363" s="9" t="str">
        <x:v>PD-AR-LF-B-A-TECH-2-B1-BRK-G0-PD05</x:v>
      </x:c>
      <x:c r="B363" s="9" t="str">
        <x:v>PD-AR-LF-B-A-TECH-2-B1-BRK-G0</x:v>
      </x:c>
      <x:c r="C363" s="9" t="str">
        <x:v>EV-AR-LF-B-A-TECH-2-B1-BRK-G0</x:v>
      </x:c>
      <x:c r="D363" s="9" t="str">
        <x:v>AR-LF-B-A-TECH-2-B1-BRK-G0</x:v>
      </x:c>
      <x:c r="E363" s="9" t="str">
        <x:v>LF-B-A-TECH-2</x:v>
      </x:c>
      <x:c r="F363" s="9" t="str">
        <x:v>LF-B-A</x:v>
      </x:c>
      <x:c r="G363" s="9" t="str">
        <x:v>B1</x:v>
      </x:c>
      <x:c r="H363" s="9" t="str">
        <x:v>BRK</x:v>
      </x:c>
      <x:c r="I363" s="9" t="str">
        <x:v>PD05</x:v>
      </x:c>
      <x:c r="J363" s="17" t="str">
        <x:v>Primary raw originals</x:v>
      </x:c>
      <x:c r="K363" s="17" t="str">
        <x:v>Primary custody</x:v>
      </x:c>
      <x:c r="L363" s="17" t="str">
        <x:v>COURT-SEALED UNTIL COHORT RELEASE</x:v>
      </x:c>
      <x:c r="M363" s="9" t="n">
        <x:v>0</x:v>
      </x:c>
      <x:c r="N363" s="9" t="n">
        <x:v>0</x:v>
      </x:c>
      <x:c r="O363" s="9" t="n">
        <x:v>0</x:v>
      </x:c>
      <x:c r="P363" s="9" t="str">
        <x:v>HELD / UNRELEASED</x:v>
      </x:c>
      <x:c r="Q363" s="9" t="n">
        <x:f>COUNTIFS($A$7:$A$2310,A363)</x:f>
        <x:v>1</x:v>
      </x:c>
    </x:row>
    <x:row r="364">
      <x:c r="A364" s="9" t="str">
        <x:v>PD-AR-LF-B-A-TECH-2-B1-BRK-G0-PD06</x:v>
      </x:c>
      <x:c r="B364" s="9" t="str">
        <x:v>PD-AR-LF-B-A-TECH-2-B1-BRK-G0</x:v>
      </x:c>
      <x:c r="C364" s="9" t="str">
        <x:v>EV-AR-LF-B-A-TECH-2-B1-BRK-G0</x:v>
      </x:c>
      <x:c r="D364" s="9" t="str">
        <x:v>AR-LF-B-A-TECH-2-B1-BRK-G0</x:v>
      </x:c>
      <x:c r="E364" s="9" t="str">
        <x:v>LF-B-A-TECH-2</x:v>
      </x:c>
      <x:c r="F364" s="9" t="str">
        <x:v>LF-B-A</x:v>
      </x:c>
      <x:c r="G364" s="9" t="str">
        <x:v>B1</x:v>
      </x:c>
      <x:c r="H364" s="9" t="str">
        <x:v>BRK</x:v>
      </x:c>
      <x:c r="I364" s="9" t="str">
        <x:v>PD06</x:v>
      </x:c>
      <x:c r="J364" s="17" t="str">
        <x:v>Witness raw originals</x:v>
      </x:c>
      <x:c r="K364" s="17" t="str">
        <x:v>Witness custody</x:v>
      </x:c>
      <x:c r="L364" s="17" t="str">
        <x:v>COURT-SEALED UNTIL COHORT RELEASE</x:v>
      </x:c>
      <x:c r="M364" s="9" t="n">
        <x:v>0</x:v>
      </x:c>
      <x:c r="N364" s="9" t="n">
        <x:v>0</x:v>
      </x:c>
      <x:c r="O364" s="9" t="n">
        <x:v>0</x:v>
      </x:c>
      <x:c r="P364" s="9" t="str">
        <x:v>HELD / UNRELEASED</x:v>
      </x:c>
      <x:c r="Q364" s="9" t="n">
        <x:f>COUNTIFS($A$7:$A$2310,A364)</x:f>
        <x:v>1</x:v>
      </x:c>
    </x:row>
    <x:row r="365">
      <x:c r="A365" s="9" t="str">
        <x:v>PD-AR-LF-B-A-TECH-2-B1-BRK-G0-PD07</x:v>
      </x:c>
      <x:c r="B365" s="9" t="str">
        <x:v>PD-AR-LF-B-A-TECH-2-B1-BRK-G0</x:v>
      </x:c>
      <x:c r="C365" s="9" t="str">
        <x:v>EV-AR-LF-B-A-TECH-2-B1-BRK-G0</x:v>
      </x:c>
      <x:c r="D365" s="9" t="str">
        <x:v>AR-LF-B-A-TECH-2-B1-BRK-G0</x:v>
      </x:c>
      <x:c r="E365" s="9" t="str">
        <x:v>LF-B-A-TECH-2</x:v>
      </x:c>
      <x:c r="F365" s="9" t="str">
        <x:v>LF-B-A</x:v>
      </x:c>
      <x:c r="G365" s="9" t="str">
        <x:v>B1</x:v>
      </x:c>
      <x:c r="H365" s="9" t="str">
        <x:v>BRK</x:v>
      </x:c>
      <x:c r="I365" s="9" t="str">
        <x:v>PD07</x:v>
      </x:c>
      <x:c r="J365" s="17" t="str">
        <x:v>Clock and environmental records</x:v>
      </x:c>
      <x:c r="K365" s="17" t="str">
        <x:v>Boundary archive</x:v>
      </x:c>
      <x:c r="L365" s="17" t="str">
        <x:v>COURT-SEALED UNTIL COHORT RELEASE</x:v>
      </x:c>
      <x:c r="M365" s="9" t="n">
        <x:v>0</x:v>
      </x:c>
      <x:c r="N365" s="9" t="n">
        <x:v>0</x:v>
      </x:c>
      <x:c r="O365" s="9" t="n">
        <x:v>0</x:v>
      </x:c>
      <x:c r="P365" s="9" t="str">
        <x:v>HELD / UNRELEASED</x:v>
      </x:c>
      <x:c r="Q365" s="9" t="n">
        <x:f>COUNTIFS($A$7:$A$2310,A365)</x:f>
        <x:v>1</x:v>
      </x:c>
    </x:row>
    <x:row r="366">
      <x:c r="A366" s="9" t="str">
        <x:v>PD-AR-LF-B-A-TECH-2-B1-BRK-G0-PD08</x:v>
      </x:c>
      <x:c r="B366" s="9" t="str">
        <x:v>PD-AR-LF-B-A-TECH-2-B1-BRK-G0</x:v>
      </x:c>
      <x:c r="C366" s="9" t="str">
        <x:v>EV-AR-LF-B-A-TECH-2-B1-BRK-G0</x:v>
      </x:c>
      <x:c r="D366" s="9" t="str">
        <x:v>AR-LF-B-A-TECH-2-B1-BRK-G0</x:v>
      </x:c>
      <x:c r="E366" s="9" t="str">
        <x:v>LF-B-A-TECH-2</x:v>
      </x:c>
      <x:c r="F366" s="9" t="str">
        <x:v>LF-B-A</x:v>
      </x:c>
      <x:c r="G366" s="9" t="str">
        <x:v>B1</x:v>
      </x:c>
      <x:c r="H366" s="9" t="str">
        <x:v>BRK</x:v>
      </x:c>
      <x:c r="I366" s="9" t="str">
        <x:v>PD08</x:v>
      </x:c>
      <x:c r="J366" s="17" t="str">
        <x:v>Command and intervention log</x:v>
      </x:c>
      <x:c r="K366" s="17" t="str">
        <x:v>Safety archive</x:v>
      </x:c>
      <x:c r="L366" s="17" t="str">
        <x:v>COURT-SEALED UNTIL COHORT RELEASE</x:v>
      </x:c>
      <x:c r="M366" s="9" t="n">
        <x:v>0</x:v>
      </x:c>
      <x:c r="N366" s="9" t="n">
        <x:v>0</x:v>
      </x:c>
      <x:c r="O366" s="9" t="n">
        <x:v>0</x:v>
      </x:c>
      <x:c r="P366" s="9" t="str">
        <x:v>HELD / UNRELEASED</x:v>
      </x:c>
      <x:c r="Q366" s="9" t="n">
        <x:f>COUNTIFS($A$7:$A$2310,A366)</x:f>
        <x:v>1</x:v>
      </x:c>
    </x:row>
    <x:row r="367">
      <x:c r="A367" s="9" t="str">
        <x:v>PD-AR-LF-B-A-TECH-2-B1-BRK-G0-PD09</x:v>
      </x:c>
      <x:c r="B367" s="9" t="str">
        <x:v>PD-AR-LF-B-A-TECH-2-B1-BRK-G0</x:v>
      </x:c>
      <x:c r="C367" s="9" t="str">
        <x:v>EV-AR-LF-B-A-TECH-2-B1-BRK-G0</x:v>
      </x:c>
      <x:c r="D367" s="9" t="str">
        <x:v>AR-LF-B-A-TECH-2-B1-BRK-G0</x:v>
      </x:c>
      <x:c r="E367" s="9" t="str">
        <x:v>LF-B-A-TECH-2</x:v>
      </x:c>
      <x:c r="F367" s="9" t="str">
        <x:v>LF-B-A</x:v>
      </x:c>
      <x:c r="G367" s="9" t="str">
        <x:v>B1</x:v>
      </x:c>
      <x:c r="H367" s="9" t="str">
        <x:v>BRK</x:v>
      </x:c>
      <x:c r="I367" s="9" t="str">
        <x:v>PD09</x:v>
      </x:c>
      <x:c r="J367" s="17" t="str">
        <x:v>Receiver denominator and service ledger</x:v>
      </x:c>
      <x:c r="K367" s="17" t="str">
        <x:v>Receiver archive</x:v>
      </x:c>
      <x:c r="L367" s="17" t="str">
        <x:v>COURT-SEALED UNTIL COHORT RELEASE</x:v>
      </x:c>
      <x:c r="M367" s="9" t="n">
        <x:v>0</x:v>
      </x:c>
      <x:c r="N367" s="9" t="n">
        <x:v>0</x:v>
      </x:c>
      <x:c r="O367" s="9" t="n">
        <x:v>0</x:v>
      </x:c>
      <x:c r="P367" s="9" t="str">
        <x:v>HELD / UNRELEASED</x:v>
      </x:c>
      <x:c r="Q367" s="9" t="n">
        <x:f>COUNTIFS($A$7:$A$2310,A367)</x:f>
        <x:v>1</x:v>
      </x:c>
    </x:row>
    <x:row r="368">
      <x:c r="A368" s="9" t="str">
        <x:v>PD-AR-LF-B-A-TECH-2-B1-BRK-G0-PD10</x:v>
      </x:c>
      <x:c r="B368" s="9" t="str">
        <x:v>PD-AR-LF-B-A-TECH-2-B1-BRK-G0</x:v>
      </x:c>
      <x:c r="C368" s="9" t="str">
        <x:v>EV-AR-LF-B-A-TECH-2-B1-BRK-G0</x:v>
      </x:c>
      <x:c r="D368" s="9" t="str">
        <x:v>AR-LF-B-A-TECH-2-B1-BRK-G0</x:v>
      </x:c>
      <x:c r="E368" s="9" t="str">
        <x:v>LF-B-A-TECH-2</x:v>
      </x:c>
      <x:c r="F368" s="9" t="str">
        <x:v>LF-B-A</x:v>
      </x:c>
      <x:c r="G368" s="9" t="str">
        <x:v>B1</x:v>
      </x:c>
      <x:c r="H368" s="9" t="str">
        <x:v>BRK</x:v>
      </x:c>
      <x:c r="I368" s="9" t="str">
        <x:v>PD10</x:v>
      </x:c>
      <x:c r="J368" s="17" t="str">
        <x:v>Calibration and uncertainty record</x:v>
      </x:c>
      <x:c r="K368" s="17" t="str">
        <x:v>Metrology archive</x:v>
      </x:c>
      <x:c r="L368" s="17" t="str">
        <x:v>COURT-SEALED UNTIL COHORT RELEASE</x:v>
      </x:c>
      <x:c r="M368" s="9" t="n">
        <x:v>0</x:v>
      </x:c>
      <x:c r="N368" s="9" t="n">
        <x:v>0</x:v>
      </x:c>
      <x:c r="O368" s="9" t="n">
        <x:v>0</x:v>
      </x:c>
      <x:c r="P368" s="9" t="str">
        <x:v>HELD / UNRELEASED</x:v>
      </x:c>
      <x:c r="Q368" s="9" t="n">
        <x:f>COUNTIFS($A$7:$A$2310,A368)</x:f>
        <x:v>1</x:v>
      </x:c>
    </x:row>
    <x:row r="369">
      <x:c r="A369" s="9" t="str">
        <x:v>PD-AR-LF-B-A-TECH-2-B1-BRK-G0-PD11</x:v>
      </x:c>
      <x:c r="B369" s="9" t="str">
        <x:v>PD-AR-LF-B-A-TECH-2-B1-BRK-G0</x:v>
      </x:c>
      <x:c r="C369" s="9" t="str">
        <x:v>EV-AR-LF-B-A-TECH-2-B1-BRK-G0</x:v>
      </x:c>
      <x:c r="D369" s="9" t="str">
        <x:v>AR-LF-B-A-TECH-2-B1-BRK-G0</x:v>
      </x:c>
      <x:c r="E369" s="9" t="str">
        <x:v>LF-B-A-TECH-2</x:v>
      </x:c>
      <x:c r="F369" s="9" t="str">
        <x:v>LF-B-A</x:v>
      </x:c>
      <x:c r="G369" s="9" t="str">
        <x:v>B1</x:v>
      </x:c>
      <x:c r="H369" s="9" t="str">
        <x:v>BRK</x:v>
      </x:c>
      <x:c r="I369" s="9" t="str">
        <x:v>PD11</x:v>
      </x:c>
      <x:c r="J369" s="17" t="str">
        <x:v>Invalidity petition and opinion</x:v>
      </x:c>
      <x:c r="K369" s="17" t="str">
        <x:v>Invalidity court</x:v>
      </x:c>
      <x:c r="L369" s="17" t="str">
        <x:v>COURT-SEALED UNTIL COHORT RELEASE</x:v>
      </x:c>
      <x:c r="M369" s="9" t="n">
        <x:v>0</x:v>
      </x:c>
      <x:c r="N369" s="9" t="n">
        <x:v>0</x:v>
      </x:c>
      <x:c r="O369" s="9" t="n">
        <x:v>0</x:v>
      </x:c>
      <x:c r="P369" s="9" t="str">
        <x:v>HELD / UNRELEASED</x:v>
      </x:c>
      <x:c r="Q369" s="9" t="n">
        <x:f>COUNTIFS($A$7:$A$2310,A369)</x:f>
        <x:v>1</x:v>
      </x:c>
    </x:row>
    <x:row r="370">
      <x:c r="A370" s="9" t="str">
        <x:v>PD-AR-LF-B-A-TECH-2-B1-BRK-G0-PD12</x:v>
      </x:c>
      <x:c r="B370" s="9" t="str">
        <x:v>PD-AR-LF-B-A-TECH-2-B1-BRK-G0</x:v>
      </x:c>
      <x:c r="C370" s="9" t="str">
        <x:v>EV-AR-LF-B-A-TECH-2-B1-BRK-G0</x:v>
      </x:c>
      <x:c r="D370" s="9" t="str">
        <x:v>AR-LF-B-A-TECH-2-B1-BRK-G0</x:v>
      </x:c>
      <x:c r="E370" s="9" t="str">
        <x:v>LF-B-A-TECH-2</x:v>
      </x:c>
      <x:c r="F370" s="9" t="str">
        <x:v>LF-B-A</x:v>
      </x:c>
      <x:c r="G370" s="9" t="str">
        <x:v>B1</x:v>
      </x:c>
      <x:c r="H370" s="9" t="str">
        <x:v>BRK</x:v>
      </x:c>
      <x:c r="I370" s="9" t="str">
        <x:v>PD12</x:v>
      </x:c>
      <x:c r="J370" s="17" t="str">
        <x:v>Observation acceptance and replay</x:v>
      </x:c>
      <x:c r="K370" s="17" t="str">
        <x:v>Observation court</x:v>
      </x:c>
      <x:c r="L370" s="17" t="str">
        <x:v>COURT-SEALED UNTIL COHORT RELEASE</x:v>
      </x:c>
      <x:c r="M370" s="9" t="n">
        <x:v>0</x:v>
      </x:c>
      <x:c r="N370" s="9" t="n">
        <x:v>0</x:v>
      </x:c>
      <x:c r="O370" s="9" t="n">
        <x:v>0</x:v>
      </x:c>
      <x:c r="P370" s="9" t="str">
        <x:v>HELD / UNRELEASED</x:v>
      </x:c>
      <x:c r="Q370" s="9" t="n">
        <x:f>COUNTIFS($A$7:$A$2310,A370)</x:f>
        <x:v>1</x:v>
      </x:c>
    </x:row>
    <x:row r="371">
      <x:c r="A371" s="9" t="str">
        <x:v>PD-AR-LF-B-A-TECH-2-B1-BRK-G0-PD13</x:v>
      </x:c>
      <x:c r="B371" s="9" t="str">
        <x:v>PD-AR-LF-B-A-TECH-2-B1-BRK-G0</x:v>
      </x:c>
      <x:c r="C371" s="9" t="str">
        <x:v>EV-AR-LF-B-A-TECH-2-B1-BRK-G0</x:v>
      </x:c>
      <x:c r="D371" s="9" t="str">
        <x:v>AR-LF-B-A-TECH-2-B1-BRK-G0</x:v>
      </x:c>
      <x:c r="E371" s="9" t="str">
        <x:v>LF-B-A-TECH-2</x:v>
      </x:c>
      <x:c r="F371" s="9" t="str">
        <x:v>LF-B-A</x:v>
      </x:c>
      <x:c r="G371" s="9" t="str">
        <x:v>B1</x:v>
      </x:c>
      <x:c r="H371" s="9" t="str">
        <x:v>BRK</x:v>
      </x:c>
      <x:c r="I371" s="9" t="str">
        <x:v>PD13</x:v>
      </x:c>
      <x:c r="J371" s="17" t="str">
        <x:v>Role judgment</x:v>
      </x:c>
      <x:c r="K371" s="17" t="str">
        <x:v>Role court</x:v>
      </x:c>
      <x:c r="L371" s="17" t="str">
        <x:v>COURT-SEALED UNTIL COHORT RELEASE</x:v>
      </x:c>
      <x:c r="M371" s="9" t="n">
        <x:v>0</x:v>
      </x:c>
      <x:c r="N371" s="9" t="n">
        <x:v>0</x:v>
      </x:c>
      <x:c r="O371" s="9" t="n">
        <x:v>0</x:v>
      </x:c>
      <x:c r="P371" s="9" t="str">
        <x:v>HELD / UNRELEASED</x:v>
      </x:c>
      <x:c r="Q371" s="9" t="n">
        <x:f>COUNTIFS($A$7:$A$2310,A371)</x:f>
        <x:v>1</x:v>
      </x:c>
    </x:row>
    <x:row r="372">
      <x:c r="A372" s="9" t="str">
        <x:v>PD-AR-LF-B-A-TECH-2-B1-BRK-G0-PD14</x:v>
      </x:c>
      <x:c r="B372" s="9" t="str">
        <x:v>PD-AR-LF-B-A-TECH-2-B1-BRK-G0</x:v>
      </x:c>
      <x:c r="C372" s="9" t="str">
        <x:v>EV-AR-LF-B-A-TECH-2-B1-BRK-G0</x:v>
      </x:c>
      <x:c r="D372" s="9" t="str">
        <x:v>AR-LF-B-A-TECH-2-B1-BRK-G0</x:v>
      </x:c>
      <x:c r="E372" s="9" t="str">
        <x:v>LF-B-A-TECH-2</x:v>
      </x:c>
      <x:c r="F372" s="9" t="str">
        <x:v>LF-B-A</x:v>
      </x:c>
      <x:c r="G372" s="9" t="str">
        <x:v>B1</x:v>
      </x:c>
      <x:c r="H372" s="9" t="str">
        <x:v>BRK</x:v>
      </x:c>
      <x:c r="I372" s="9" t="str">
        <x:v>PD14</x:v>
      </x:c>
      <x:c r="J372" s="17" t="str">
        <x:v>Break and residual account</x:v>
      </x:c>
      <x:c r="K372" s="17" t="str">
        <x:v>Residual authority</x:v>
      </x:c>
      <x:c r="L372" s="17" t="str">
        <x:v>COURT-SEALED UNTIL COHORT RELEASE</x:v>
      </x:c>
      <x:c r="M372" s="9" t="n">
        <x:v>0</x:v>
      </x:c>
      <x:c r="N372" s="9" t="n">
        <x:v>0</x:v>
      </x:c>
      <x:c r="O372" s="9" t="n">
        <x:v>0</x:v>
      </x:c>
      <x:c r="P372" s="9" t="str">
        <x:v>HELD / UNRELEASED</x:v>
      </x:c>
      <x:c r="Q372" s="9" t="n">
        <x:f>COUNTIFS($A$7:$A$2310,A372)</x:f>
        <x:v>1</x:v>
      </x:c>
    </x:row>
    <x:row r="373">
      <x:c r="A373" s="9" t="str">
        <x:v>PD-AR-LF-B-A-TECH-2-B1-BRK-G0-PD15</x:v>
      </x:c>
      <x:c r="B373" s="9" t="str">
        <x:v>PD-AR-LF-B-A-TECH-2-B1-BRK-G0</x:v>
      </x:c>
      <x:c r="C373" s="9" t="str">
        <x:v>EV-AR-LF-B-A-TECH-2-B1-BRK-G0</x:v>
      </x:c>
      <x:c r="D373" s="9" t="str">
        <x:v>AR-LF-B-A-TECH-2-B1-BRK-G0</x:v>
      </x:c>
      <x:c r="E373" s="9" t="str">
        <x:v>LF-B-A-TECH-2</x:v>
      </x:c>
      <x:c r="F373" s="9" t="str">
        <x:v>LF-B-A</x:v>
      </x:c>
      <x:c r="G373" s="9" t="str">
        <x:v>B1</x:v>
      </x:c>
      <x:c r="H373" s="9" t="str">
        <x:v>BRK</x:v>
      </x:c>
      <x:c r="I373" s="9" t="str">
        <x:v>PD15</x:v>
      </x:c>
      <x:c r="J373" s="17" t="str">
        <x:v>Reconstruction ancestry and replay</x:v>
      </x:c>
      <x:c r="K373" s="17" t="str">
        <x:v>Reconstruction court</x:v>
      </x:c>
      <x:c r="L373" s="17" t="str">
        <x:v>COURT-SEALED UNTIL COHORT RELEASE</x:v>
      </x:c>
      <x:c r="M373" s="9" t="n">
        <x:v>0</x:v>
      </x:c>
      <x:c r="N373" s="9" t="n">
        <x:v>0</x:v>
      </x:c>
      <x:c r="O373" s="9" t="n">
        <x:v>0</x:v>
      </x:c>
      <x:c r="P373" s="9" t="str">
        <x:v>HELD / UNRELEASED</x:v>
      </x:c>
      <x:c r="Q373" s="9" t="n">
        <x:f>COUNTIFS($A$7:$A$2310,A373)</x:f>
        <x:v>1</x:v>
      </x:c>
    </x:row>
    <x:row r="374">
      <x:c r="A374" s="9" t="str">
        <x:v>PD-AR-LF-B-A-TECH-2-B1-BRK-G0-PD16</x:v>
      </x:c>
      <x:c r="B374" s="9" t="str">
        <x:v>PD-AR-LF-B-A-TECH-2-B1-BRK-G0</x:v>
      </x:c>
      <x:c r="C374" s="9" t="str">
        <x:v>EV-AR-LF-B-A-TECH-2-B1-BRK-G0</x:v>
      </x:c>
      <x:c r="D374" s="9" t="str">
        <x:v>AR-LF-B-A-TECH-2-B1-BRK-G0</x:v>
      </x:c>
      <x:c r="E374" s="9" t="str">
        <x:v>LF-B-A-TECH-2</x:v>
      </x:c>
      <x:c r="F374" s="9" t="str">
        <x:v>LF-B-A</x:v>
      </x:c>
      <x:c r="G374" s="9" t="str">
        <x:v>B1</x:v>
      </x:c>
      <x:c r="H374" s="9" t="str">
        <x:v>BRK</x:v>
      </x:c>
      <x:c r="I374" s="9" t="str">
        <x:v>PD16</x:v>
      </x:c>
      <x:c r="J374" s="17" t="str">
        <x:v>Dissent, amendments and access log</x:v>
      </x:c>
      <x:c r="K374" s="17" t="str">
        <x:v>Public archive</x:v>
      </x:c>
      <x:c r="L374" s="17" t="str">
        <x:v>COURT-SEALED UNTIL COHORT RELEASE</x:v>
      </x:c>
      <x:c r="M374" s="9" t="n">
        <x:v>0</x:v>
      </x:c>
      <x:c r="N374" s="9" t="n">
        <x:v>0</x:v>
      </x:c>
      <x:c r="O374" s="9" t="n">
        <x:v>0</x:v>
      </x:c>
      <x:c r="P374" s="9" t="str">
        <x:v>HELD / UNRELEASED</x:v>
      </x:c>
      <x:c r="Q374" s="9" t="n">
        <x:f>COUNTIFS($A$7:$A$2310,A374)</x:f>
        <x:v>1</x:v>
      </x:c>
    </x:row>
    <x:row r="375">
      <x:c r="A375" s="9" t="str">
        <x:v>PD-AR-RT-B-C-TECH-2-B1-INT-G0-PD01</x:v>
      </x:c>
      <x:c r="B375" s="9" t="str">
        <x:v>PD-AR-RT-B-C-TECH-2-B1-INT-G0</x:v>
      </x:c>
      <x:c r="C375" s="9" t="str">
        <x:v>EV-AR-RT-B-C-TECH-2-B1-INT-G0</x:v>
      </x:c>
      <x:c r="D375" s="9" t="str">
        <x:v>AR-RT-B-C-TECH-2-B1-INT-G0</x:v>
      </x:c>
      <x:c r="E375" s="9" t="str">
        <x:v>RT-B-C-TECH-2</x:v>
      </x:c>
      <x:c r="F375" s="9" t="str">
        <x:v>RT-B-C</x:v>
      </x:c>
      <x:c r="G375" s="9" t="str">
        <x:v>B1</x:v>
      </x:c>
      <x:c r="H375" s="9" t="str">
        <x:v>INT</x:v>
      </x:c>
      <x:c r="I375" s="9" t="str">
        <x:v>PD01</x:v>
      </x:c>
      <x:c r="J375" s="17" t="str">
        <x:v>Experiment kernel</x:v>
      </x:c>
      <x:c r="K375" s="17" t="str">
        <x:v>Public archive</x:v>
      </x:c>
      <x:c r="L375" s="17" t="str">
        <x:v>COURT-SEALED UNTIL COHORT RELEASE</x:v>
      </x:c>
      <x:c r="M375" s="9" t="n">
        <x:v>0</x:v>
      </x:c>
      <x:c r="N375" s="9" t="n">
        <x:v>0</x:v>
      </x:c>
      <x:c r="O375" s="9" t="n">
        <x:v>0</x:v>
      </x:c>
      <x:c r="P375" s="9" t="str">
        <x:v>HELD / UNRELEASED</x:v>
      </x:c>
      <x:c r="Q375" s="9" t="n">
        <x:f>COUNTIFS($A$7:$A$2310,A375)</x:f>
        <x:v>1</x:v>
      </x:c>
    </x:row>
    <x:row r="376">
      <x:c r="A376" s="9" t="str">
        <x:v>PD-AR-RT-B-C-TECH-2-B1-INT-G0-PD02</x:v>
      </x:c>
      <x:c r="B376" s="9" t="str">
        <x:v>PD-AR-RT-B-C-TECH-2-B1-INT-G0</x:v>
      </x:c>
      <x:c r="C376" s="9" t="str">
        <x:v>EV-AR-RT-B-C-TECH-2-B1-INT-G0</x:v>
      </x:c>
      <x:c r="D376" s="9" t="str">
        <x:v>AR-RT-B-C-TECH-2-B1-INT-G0</x:v>
      </x:c>
      <x:c r="E376" s="9" t="str">
        <x:v>RT-B-C-TECH-2</x:v>
      </x:c>
      <x:c r="F376" s="9" t="str">
        <x:v>RT-B-C</x:v>
      </x:c>
      <x:c r="G376" s="9" t="str">
        <x:v>B1</x:v>
      </x:c>
      <x:c r="H376" s="9" t="str">
        <x:v>INT</x:v>
      </x:c>
      <x:c r="I376" s="9" t="str">
        <x:v>PD02</x:v>
      </x:c>
      <x:c r="J376" s="17" t="str">
        <x:v>Serial annex and title chain</x:v>
      </x:c>
      <x:c r="K376" s="17" t="str">
        <x:v>Public archive</x:v>
      </x:c>
      <x:c r="L376" s="17" t="str">
        <x:v>COURT-SEALED UNTIL COHORT RELEASE</x:v>
      </x:c>
      <x:c r="M376" s="9" t="n">
        <x:v>0</x:v>
      </x:c>
      <x:c r="N376" s="9" t="n">
        <x:v>0</x:v>
      </x:c>
      <x:c r="O376" s="9" t="n">
        <x:v>0</x:v>
      </x:c>
      <x:c r="P376" s="9" t="str">
        <x:v>HELD / UNRELEASED</x:v>
      </x:c>
      <x:c r="Q376" s="9" t="n">
        <x:f>COUNTIFS($A$7:$A$2310,A376)</x:f>
        <x:v>1</x:v>
      </x:c>
    </x:row>
    <x:row r="377">
      <x:c r="A377" s="9" t="str">
        <x:v>PD-AR-RT-B-C-TECH-2-B1-INT-G0-PD03</x:v>
      </x:c>
      <x:c r="B377" s="9" t="str">
        <x:v>PD-AR-RT-B-C-TECH-2-B1-INT-G0</x:v>
      </x:c>
      <x:c r="C377" s="9" t="str">
        <x:v>EV-AR-RT-B-C-TECH-2-B1-INT-G0</x:v>
      </x:c>
      <x:c r="D377" s="9" t="str">
        <x:v>AR-RT-B-C-TECH-2-B1-INT-G0</x:v>
      </x:c>
      <x:c r="E377" s="9" t="str">
        <x:v>RT-B-C-TECH-2</x:v>
      </x:c>
      <x:c r="F377" s="9" t="str">
        <x:v>RT-B-C</x:v>
      </x:c>
      <x:c r="G377" s="9" t="str">
        <x:v>B1</x:v>
      </x:c>
      <x:c r="H377" s="9" t="str">
        <x:v>INT</x:v>
      </x:c>
      <x:c r="I377" s="9" t="str">
        <x:v>PD03</x:v>
      </x:c>
      <x:c r="J377" s="17" t="str">
        <x:v>Configuration and as-built manifest</x:v>
      </x:c>
      <x:c r="K377" s="17" t="str">
        <x:v>Artifact exchange</x:v>
      </x:c>
      <x:c r="L377" s="17" t="str">
        <x:v>COURT-SEALED UNTIL COHORT RELEASE</x:v>
      </x:c>
      <x:c r="M377" s="9" t="n">
        <x:v>0</x:v>
      </x:c>
      <x:c r="N377" s="9" t="n">
        <x:v>0</x:v>
      </x:c>
      <x:c r="O377" s="9" t="n">
        <x:v>0</x:v>
      </x:c>
      <x:c r="P377" s="9" t="str">
        <x:v>HELD / UNRELEASED</x:v>
      </x:c>
      <x:c r="Q377" s="9" t="n">
        <x:f>COUNTIFS($A$7:$A$2310,A377)</x:f>
        <x:v>1</x:v>
      </x:c>
    </x:row>
    <x:row r="378">
      <x:c r="A378" s="9" t="str">
        <x:v>PD-AR-RT-B-C-TECH-2-B1-INT-G0-PD04</x:v>
      </x:c>
      <x:c r="B378" s="9" t="str">
        <x:v>PD-AR-RT-B-C-TECH-2-B1-INT-G0</x:v>
      </x:c>
      <x:c r="C378" s="9" t="str">
        <x:v>EV-AR-RT-B-C-TECH-2-B1-INT-G0</x:v>
      </x:c>
      <x:c r="D378" s="9" t="str">
        <x:v>AR-RT-B-C-TECH-2-B1-INT-G0</x:v>
      </x:c>
      <x:c r="E378" s="9" t="str">
        <x:v>RT-B-C-TECH-2</x:v>
      </x:c>
      <x:c r="F378" s="9" t="str">
        <x:v>RT-B-C</x:v>
      </x:c>
      <x:c r="G378" s="9" t="str">
        <x:v>B1</x:v>
      </x:c>
      <x:c r="H378" s="9" t="str">
        <x:v>INT</x:v>
      </x:c>
      <x:c r="I378" s="9" t="str">
        <x:v>PD04</x:v>
      </x:c>
      <x:c r="J378" s="17" t="str">
        <x:v>EOW and start certificate</x:v>
      </x:c>
      <x:c r="K378" s="17" t="str">
        <x:v>Start registrar</x:v>
      </x:c>
      <x:c r="L378" s="17" t="str">
        <x:v>COURT-SEALED UNTIL COHORT RELEASE</x:v>
      </x:c>
      <x:c r="M378" s="9" t="n">
        <x:v>0</x:v>
      </x:c>
      <x:c r="N378" s="9" t="n">
        <x:v>0</x:v>
      </x:c>
      <x:c r="O378" s="9" t="n">
        <x:v>0</x:v>
      </x:c>
      <x:c r="P378" s="9" t="str">
        <x:v>HELD / UNRELEASED</x:v>
      </x:c>
      <x:c r="Q378" s="9" t="n">
        <x:f>COUNTIFS($A$7:$A$2310,A378)</x:f>
        <x:v>1</x:v>
      </x:c>
    </x:row>
    <x:row r="379">
      <x:c r="A379" s="9" t="str">
        <x:v>PD-AR-RT-B-C-TECH-2-B1-INT-G0-PD05</x:v>
      </x:c>
      <x:c r="B379" s="9" t="str">
        <x:v>PD-AR-RT-B-C-TECH-2-B1-INT-G0</x:v>
      </x:c>
      <x:c r="C379" s="9" t="str">
        <x:v>EV-AR-RT-B-C-TECH-2-B1-INT-G0</x:v>
      </x:c>
      <x:c r="D379" s="9" t="str">
        <x:v>AR-RT-B-C-TECH-2-B1-INT-G0</x:v>
      </x:c>
      <x:c r="E379" s="9" t="str">
        <x:v>RT-B-C-TECH-2</x:v>
      </x:c>
      <x:c r="F379" s="9" t="str">
        <x:v>RT-B-C</x:v>
      </x:c>
      <x:c r="G379" s="9" t="str">
        <x:v>B1</x:v>
      </x:c>
      <x:c r="H379" s="9" t="str">
        <x:v>INT</x:v>
      </x:c>
      <x:c r="I379" s="9" t="str">
        <x:v>PD05</x:v>
      </x:c>
      <x:c r="J379" s="17" t="str">
        <x:v>Primary raw originals</x:v>
      </x:c>
      <x:c r="K379" s="17" t="str">
        <x:v>Primary custody</x:v>
      </x:c>
      <x:c r="L379" s="17" t="str">
        <x:v>COURT-SEALED UNTIL COHORT RELEASE</x:v>
      </x:c>
      <x:c r="M379" s="9" t="n">
        <x:v>0</x:v>
      </x:c>
      <x:c r="N379" s="9" t="n">
        <x:v>0</x:v>
      </x:c>
      <x:c r="O379" s="9" t="n">
        <x:v>0</x:v>
      </x:c>
      <x:c r="P379" s="9" t="str">
        <x:v>HELD / UNRELEASED</x:v>
      </x:c>
      <x:c r="Q379" s="9" t="n">
        <x:f>COUNTIFS($A$7:$A$2310,A379)</x:f>
        <x:v>1</x:v>
      </x:c>
    </x:row>
    <x:row r="380">
      <x:c r="A380" s="9" t="str">
        <x:v>PD-AR-RT-B-C-TECH-2-B1-INT-G0-PD06</x:v>
      </x:c>
      <x:c r="B380" s="9" t="str">
        <x:v>PD-AR-RT-B-C-TECH-2-B1-INT-G0</x:v>
      </x:c>
      <x:c r="C380" s="9" t="str">
        <x:v>EV-AR-RT-B-C-TECH-2-B1-INT-G0</x:v>
      </x:c>
      <x:c r="D380" s="9" t="str">
        <x:v>AR-RT-B-C-TECH-2-B1-INT-G0</x:v>
      </x:c>
      <x:c r="E380" s="9" t="str">
        <x:v>RT-B-C-TECH-2</x:v>
      </x:c>
      <x:c r="F380" s="9" t="str">
        <x:v>RT-B-C</x:v>
      </x:c>
      <x:c r="G380" s="9" t="str">
        <x:v>B1</x:v>
      </x:c>
      <x:c r="H380" s="9" t="str">
        <x:v>INT</x:v>
      </x:c>
      <x:c r="I380" s="9" t="str">
        <x:v>PD06</x:v>
      </x:c>
      <x:c r="J380" s="17" t="str">
        <x:v>Witness raw originals</x:v>
      </x:c>
      <x:c r="K380" s="17" t="str">
        <x:v>Witness custody</x:v>
      </x:c>
      <x:c r="L380" s="17" t="str">
        <x:v>COURT-SEALED UNTIL COHORT RELEASE</x:v>
      </x:c>
      <x:c r="M380" s="9" t="n">
        <x:v>0</x:v>
      </x:c>
      <x:c r="N380" s="9" t="n">
        <x:v>0</x:v>
      </x:c>
      <x:c r="O380" s="9" t="n">
        <x:v>0</x:v>
      </x:c>
      <x:c r="P380" s="9" t="str">
        <x:v>HELD / UNRELEASED</x:v>
      </x:c>
      <x:c r="Q380" s="9" t="n">
        <x:f>COUNTIFS($A$7:$A$2310,A380)</x:f>
        <x:v>1</x:v>
      </x:c>
    </x:row>
    <x:row r="381">
      <x:c r="A381" s="9" t="str">
        <x:v>PD-AR-RT-B-C-TECH-2-B1-INT-G0-PD07</x:v>
      </x:c>
      <x:c r="B381" s="9" t="str">
        <x:v>PD-AR-RT-B-C-TECH-2-B1-INT-G0</x:v>
      </x:c>
      <x:c r="C381" s="9" t="str">
        <x:v>EV-AR-RT-B-C-TECH-2-B1-INT-G0</x:v>
      </x:c>
      <x:c r="D381" s="9" t="str">
        <x:v>AR-RT-B-C-TECH-2-B1-INT-G0</x:v>
      </x:c>
      <x:c r="E381" s="9" t="str">
        <x:v>RT-B-C-TECH-2</x:v>
      </x:c>
      <x:c r="F381" s="9" t="str">
        <x:v>RT-B-C</x:v>
      </x:c>
      <x:c r="G381" s="9" t="str">
        <x:v>B1</x:v>
      </x:c>
      <x:c r="H381" s="9" t="str">
        <x:v>INT</x:v>
      </x:c>
      <x:c r="I381" s="9" t="str">
        <x:v>PD07</x:v>
      </x:c>
      <x:c r="J381" s="17" t="str">
        <x:v>Clock and environmental records</x:v>
      </x:c>
      <x:c r="K381" s="17" t="str">
        <x:v>Boundary archive</x:v>
      </x:c>
      <x:c r="L381" s="17" t="str">
        <x:v>COURT-SEALED UNTIL COHORT RELEASE</x:v>
      </x:c>
      <x:c r="M381" s="9" t="n">
        <x:v>0</x:v>
      </x:c>
      <x:c r="N381" s="9" t="n">
        <x:v>0</x:v>
      </x:c>
      <x:c r="O381" s="9" t="n">
        <x:v>0</x:v>
      </x:c>
      <x:c r="P381" s="9" t="str">
        <x:v>HELD / UNRELEASED</x:v>
      </x:c>
      <x:c r="Q381" s="9" t="n">
        <x:f>COUNTIFS($A$7:$A$2310,A381)</x:f>
        <x:v>1</x:v>
      </x:c>
    </x:row>
    <x:row r="382">
      <x:c r="A382" s="9" t="str">
        <x:v>PD-AR-RT-B-C-TECH-2-B1-INT-G0-PD08</x:v>
      </x:c>
      <x:c r="B382" s="9" t="str">
        <x:v>PD-AR-RT-B-C-TECH-2-B1-INT-G0</x:v>
      </x:c>
      <x:c r="C382" s="9" t="str">
        <x:v>EV-AR-RT-B-C-TECH-2-B1-INT-G0</x:v>
      </x:c>
      <x:c r="D382" s="9" t="str">
        <x:v>AR-RT-B-C-TECH-2-B1-INT-G0</x:v>
      </x:c>
      <x:c r="E382" s="9" t="str">
        <x:v>RT-B-C-TECH-2</x:v>
      </x:c>
      <x:c r="F382" s="9" t="str">
        <x:v>RT-B-C</x:v>
      </x:c>
      <x:c r="G382" s="9" t="str">
        <x:v>B1</x:v>
      </x:c>
      <x:c r="H382" s="9" t="str">
        <x:v>INT</x:v>
      </x:c>
      <x:c r="I382" s="9" t="str">
        <x:v>PD08</x:v>
      </x:c>
      <x:c r="J382" s="17" t="str">
        <x:v>Command and intervention log</x:v>
      </x:c>
      <x:c r="K382" s="17" t="str">
        <x:v>Safety archive</x:v>
      </x:c>
      <x:c r="L382" s="17" t="str">
        <x:v>COURT-SEALED UNTIL COHORT RELEASE</x:v>
      </x:c>
      <x:c r="M382" s="9" t="n">
        <x:v>0</x:v>
      </x:c>
      <x:c r="N382" s="9" t="n">
        <x:v>0</x:v>
      </x:c>
      <x:c r="O382" s="9" t="n">
        <x:v>0</x:v>
      </x:c>
      <x:c r="P382" s="9" t="str">
        <x:v>HELD / UNRELEASED</x:v>
      </x:c>
      <x:c r="Q382" s="9" t="n">
        <x:f>COUNTIFS($A$7:$A$2310,A382)</x:f>
        <x:v>1</x:v>
      </x:c>
    </x:row>
    <x:row r="383">
      <x:c r="A383" s="9" t="str">
        <x:v>PD-AR-RT-B-C-TECH-2-B1-INT-G0-PD09</x:v>
      </x:c>
      <x:c r="B383" s="9" t="str">
        <x:v>PD-AR-RT-B-C-TECH-2-B1-INT-G0</x:v>
      </x:c>
      <x:c r="C383" s="9" t="str">
        <x:v>EV-AR-RT-B-C-TECH-2-B1-INT-G0</x:v>
      </x:c>
      <x:c r="D383" s="9" t="str">
        <x:v>AR-RT-B-C-TECH-2-B1-INT-G0</x:v>
      </x:c>
      <x:c r="E383" s="9" t="str">
        <x:v>RT-B-C-TECH-2</x:v>
      </x:c>
      <x:c r="F383" s="9" t="str">
        <x:v>RT-B-C</x:v>
      </x:c>
      <x:c r="G383" s="9" t="str">
        <x:v>B1</x:v>
      </x:c>
      <x:c r="H383" s="9" t="str">
        <x:v>INT</x:v>
      </x:c>
      <x:c r="I383" s="9" t="str">
        <x:v>PD09</x:v>
      </x:c>
      <x:c r="J383" s="17" t="str">
        <x:v>Receiver denominator and service ledger</x:v>
      </x:c>
      <x:c r="K383" s="17" t="str">
        <x:v>Receiver archive</x:v>
      </x:c>
      <x:c r="L383" s="17" t="str">
        <x:v>COURT-SEALED UNTIL COHORT RELEASE</x:v>
      </x:c>
      <x:c r="M383" s="9" t="n">
        <x:v>0</x:v>
      </x:c>
      <x:c r="N383" s="9" t="n">
        <x:v>0</x:v>
      </x:c>
      <x:c r="O383" s="9" t="n">
        <x:v>0</x:v>
      </x:c>
      <x:c r="P383" s="9" t="str">
        <x:v>HELD / UNRELEASED</x:v>
      </x:c>
      <x:c r="Q383" s="9" t="n">
        <x:f>COUNTIFS($A$7:$A$2310,A383)</x:f>
        <x:v>1</x:v>
      </x:c>
    </x:row>
    <x:row r="384">
      <x:c r="A384" s="9" t="str">
        <x:v>PD-AR-RT-B-C-TECH-2-B1-INT-G0-PD10</x:v>
      </x:c>
      <x:c r="B384" s="9" t="str">
        <x:v>PD-AR-RT-B-C-TECH-2-B1-INT-G0</x:v>
      </x:c>
      <x:c r="C384" s="9" t="str">
        <x:v>EV-AR-RT-B-C-TECH-2-B1-INT-G0</x:v>
      </x:c>
      <x:c r="D384" s="9" t="str">
        <x:v>AR-RT-B-C-TECH-2-B1-INT-G0</x:v>
      </x:c>
      <x:c r="E384" s="9" t="str">
        <x:v>RT-B-C-TECH-2</x:v>
      </x:c>
      <x:c r="F384" s="9" t="str">
        <x:v>RT-B-C</x:v>
      </x:c>
      <x:c r="G384" s="9" t="str">
        <x:v>B1</x:v>
      </x:c>
      <x:c r="H384" s="9" t="str">
        <x:v>INT</x:v>
      </x:c>
      <x:c r="I384" s="9" t="str">
        <x:v>PD10</x:v>
      </x:c>
      <x:c r="J384" s="17" t="str">
        <x:v>Calibration and uncertainty record</x:v>
      </x:c>
      <x:c r="K384" s="17" t="str">
        <x:v>Metrology archive</x:v>
      </x:c>
      <x:c r="L384" s="17" t="str">
        <x:v>COURT-SEALED UNTIL COHORT RELEASE</x:v>
      </x:c>
      <x:c r="M384" s="9" t="n">
        <x:v>0</x:v>
      </x:c>
      <x:c r="N384" s="9" t="n">
        <x:v>0</x:v>
      </x:c>
      <x:c r="O384" s="9" t="n">
        <x:v>0</x:v>
      </x:c>
      <x:c r="P384" s="9" t="str">
        <x:v>HELD / UNRELEASED</x:v>
      </x:c>
      <x:c r="Q384" s="9" t="n">
        <x:f>COUNTIFS($A$7:$A$2310,A384)</x:f>
        <x:v>1</x:v>
      </x:c>
    </x:row>
    <x:row r="385">
      <x:c r="A385" s="9" t="str">
        <x:v>PD-AR-RT-B-C-TECH-2-B1-INT-G0-PD11</x:v>
      </x:c>
      <x:c r="B385" s="9" t="str">
        <x:v>PD-AR-RT-B-C-TECH-2-B1-INT-G0</x:v>
      </x:c>
      <x:c r="C385" s="9" t="str">
        <x:v>EV-AR-RT-B-C-TECH-2-B1-INT-G0</x:v>
      </x:c>
      <x:c r="D385" s="9" t="str">
        <x:v>AR-RT-B-C-TECH-2-B1-INT-G0</x:v>
      </x:c>
      <x:c r="E385" s="9" t="str">
        <x:v>RT-B-C-TECH-2</x:v>
      </x:c>
      <x:c r="F385" s="9" t="str">
        <x:v>RT-B-C</x:v>
      </x:c>
      <x:c r="G385" s="9" t="str">
        <x:v>B1</x:v>
      </x:c>
      <x:c r="H385" s="9" t="str">
        <x:v>INT</x:v>
      </x:c>
      <x:c r="I385" s="9" t="str">
        <x:v>PD11</x:v>
      </x:c>
      <x:c r="J385" s="17" t="str">
        <x:v>Invalidity petition and opinion</x:v>
      </x:c>
      <x:c r="K385" s="17" t="str">
        <x:v>Invalidity court</x:v>
      </x:c>
      <x:c r="L385" s="17" t="str">
        <x:v>COURT-SEALED UNTIL COHORT RELEASE</x:v>
      </x:c>
      <x:c r="M385" s="9" t="n">
        <x:v>0</x:v>
      </x:c>
      <x:c r="N385" s="9" t="n">
        <x:v>0</x:v>
      </x:c>
      <x:c r="O385" s="9" t="n">
        <x:v>0</x:v>
      </x:c>
      <x:c r="P385" s="9" t="str">
        <x:v>HELD / UNRELEASED</x:v>
      </x:c>
      <x:c r="Q385" s="9" t="n">
        <x:f>COUNTIFS($A$7:$A$2310,A385)</x:f>
        <x:v>1</x:v>
      </x:c>
    </x:row>
    <x:row r="386">
      <x:c r="A386" s="9" t="str">
        <x:v>PD-AR-RT-B-C-TECH-2-B1-INT-G0-PD12</x:v>
      </x:c>
      <x:c r="B386" s="9" t="str">
        <x:v>PD-AR-RT-B-C-TECH-2-B1-INT-G0</x:v>
      </x:c>
      <x:c r="C386" s="9" t="str">
        <x:v>EV-AR-RT-B-C-TECH-2-B1-INT-G0</x:v>
      </x:c>
      <x:c r="D386" s="9" t="str">
        <x:v>AR-RT-B-C-TECH-2-B1-INT-G0</x:v>
      </x:c>
      <x:c r="E386" s="9" t="str">
        <x:v>RT-B-C-TECH-2</x:v>
      </x:c>
      <x:c r="F386" s="9" t="str">
        <x:v>RT-B-C</x:v>
      </x:c>
      <x:c r="G386" s="9" t="str">
        <x:v>B1</x:v>
      </x:c>
      <x:c r="H386" s="9" t="str">
        <x:v>INT</x:v>
      </x:c>
      <x:c r="I386" s="9" t="str">
        <x:v>PD12</x:v>
      </x:c>
      <x:c r="J386" s="17" t="str">
        <x:v>Observation acceptance and replay</x:v>
      </x:c>
      <x:c r="K386" s="17" t="str">
        <x:v>Observation court</x:v>
      </x:c>
      <x:c r="L386" s="17" t="str">
        <x:v>COURT-SEALED UNTIL COHORT RELEASE</x:v>
      </x:c>
      <x:c r="M386" s="9" t="n">
        <x:v>0</x:v>
      </x:c>
      <x:c r="N386" s="9" t="n">
        <x:v>0</x:v>
      </x:c>
      <x:c r="O386" s="9" t="n">
        <x:v>0</x:v>
      </x:c>
      <x:c r="P386" s="9" t="str">
        <x:v>HELD / UNRELEASED</x:v>
      </x:c>
      <x:c r="Q386" s="9" t="n">
        <x:f>COUNTIFS($A$7:$A$2310,A386)</x:f>
        <x:v>1</x:v>
      </x:c>
    </x:row>
    <x:row r="387">
      <x:c r="A387" s="9" t="str">
        <x:v>PD-AR-RT-B-C-TECH-2-B1-INT-G0-PD13</x:v>
      </x:c>
      <x:c r="B387" s="9" t="str">
        <x:v>PD-AR-RT-B-C-TECH-2-B1-INT-G0</x:v>
      </x:c>
      <x:c r="C387" s="9" t="str">
        <x:v>EV-AR-RT-B-C-TECH-2-B1-INT-G0</x:v>
      </x:c>
      <x:c r="D387" s="9" t="str">
        <x:v>AR-RT-B-C-TECH-2-B1-INT-G0</x:v>
      </x:c>
      <x:c r="E387" s="9" t="str">
        <x:v>RT-B-C-TECH-2</x:v>
      </x:c>
      <x:c r="F387" s="9" t="str">
        <x:v>RT-B-C</x:v>
      </x:c>
      <x:c r="G387" s="9" t="str">
        <x:v>B1</x:v>
      </x:c>
      <x:c r="H387" s="9" t="str">
        <x:v>INT</x:v>
      </x:c>
      <x:c r="I387" s="9" t="str">
        <x:v>PD13</x:v>
      </x:c>
      <x:c r="J387" s="17" t="str">
        <x:v>Role judgment</x:v>
      </x:c>
      <x:c r="K387" s="17" t="str">
        <x:v>Role court</x:v>
      </x:c>
      <x:c r="L387" s="17" t="str">
        <x:v>COURT-SEALED UNTIL COHORT RELEASE</x:v>
      </x:c>
      <x:c r="M387" s="9" t="n">
        <x:v>0</x:v>
      </x:c>
      <x:c r="N387" s="9" t="n">
        <x:v>0</x:v>
      </x:c>
      <x:c r="O387" s="9" t="n">
        <x:v>0</x:v>
      </x:c>
      <x:c r="P387" s="9" t="str">
        <x:v>HELD / UNRELEASED</x:v>
      </x:c>
      <x:c r="Q387" s="9" t="n">
        <x:f>COUNTIFS($A$7:$A$2310,A387)</x:f>
        <x:v>1</x:v>
      </x:c>
    </x:row>
    <x:row r="388">
      <x:c r="A388" s="9" t="str">
        <x:v>PD-AR-RT-B-C-TECH-2-B1-INT-G0-PD14</x:v>
      </x:c>
      <x:c r="B388" s="9" t="str">
        <x:v>PD-AR-RT-B-C-TECH-2-B1-INT-G0</x:v>
      </x:c>
      <x:c r="C388" s="9" t="str">
        <x:v>EV-AR-RT-B-C-TECH-2-B1-INT-G0</x:v>
      </x:c>
      <x:c r="D388" s="9" t="str">
        <x:v>AR-RT-B-C-TECH-2-B1-INT-G0</x:v>
      </x:c>
      <x:c r="E388" s="9" t="str">
        <x:v>RT-B-C-TECH-2</x:v>
      </x:c>
      <x:c r="F388" s="9" t="str">
        <x:v>RT-B-C</x:v>
      </x:c>
      <x:c r="G388" s="9" t="str">
        <x:v>B1</x:v>
      </x:c>
      <x:c r="H388" s="9" t="str">
        <x:v>INT</x:v>
      </x:c>
      <x:c r="I388" s="9" t="str">
        <x:v>PD14</x:v>
      </x:c>
      <x:c r="J388" s="17" t="str">
        <x:v>Break and residual account</x:v>
      </x:c>
      <x:c r="K388" s="17" t="str">
        <x:v>Residual authority</x:v>
      </x:c>
      <x:c r="L388" s="17" t="str">
        <x:v>COURT-SEALED UNTIL COHORT RELEASE</x:v>
      </x:c>
      <x:c r="M388" s="9" t="n">
        <x:v>0</x:v>
      </x:c>
      <x:c r="N388" s="9" t="n">
        <x:v>0</x:v>
      </x:c>
      <x:c r="O388" s="9" t="n">
        <x:v>0</x:v>
      </x:c>
      <x:c r="P388" s="9" t="str">
        <x:v>HELD / UNRELEASED</x:v>
      </x:c>
      <x:c r="Q388" s="9" t="n">
        <x:f>COUNTIFS($A$7:$A$2310,A388)</x:f>
        <x:v>1</x:v>
      </x:c>
    </x:row>
    <x:row r="389">
      <x:c r="A389" s="9" t="str">
        <x:v>PD-AR-RT-B-C-TECH-2-B1-INT-G0-PD15</x:v>
      </x:c>
      <x:c r="B389" s="9" t="str">
        <x:v>PD-AR-RT-B-C-TECH-2-B1-INT-G0</x:v>
      </x:c>
      <x:c r="C389" s="9" t="str">
        <x:v>EV-AR-RT-B-C-TECH-2-B1-INT-G0</x:v>
      </x:c>
      <x:c r="D389" s="9" t="str">
        <x:v>AR-RT-B-C-TECH-2-B1-INT-G0</x:v>
      </x:c>
      <x:c r="E389" s="9" t="str">
        <x:v>RT-B-C-TECH-2</x:v>
      </x:c>
      <x:c r="F389" s="9" t="str">
        <x:v>RT-B-C</x:v>
      </x:c>
      <x:c r="G389" s="9" t="str">
        <x:v>B1</x:v>
      </x:c>
      <x:c r="H389" s="9" t="str">
        <x:v>INT</x:v>
      </x:c>
      <x:c r="I389" s="9" t="str">
        <x:v>PD15</x:v>
      </x:c>
      <x:c r="J389" s="17" t="str">
        <x:v>Reconstruction ancestry and replay</x:v>
      </x:c>
      <x:c r="K389" s="17" t="str">
        <x:v>Reconstruction court</x:v>
      </x:c>
      <x:c r="L389" s="17" t="str">
        <x:v>COURT-SEALED UNTIL COHORT RELEASE</x:v>
      </x:c>
      <x:c r="M389" s="9" t="n">
        <x:v>0</x:v>
      </x:c>
      <x:c r="N389" s="9" t="n">
        <x:v>0</x:v>
      </x:c>
      <x:c r="O389" s="9" t="n">
        <x:v>0</x:v>
      </x:c>
      <x:c r="P389" s="9" t="str">
        <x:v>HELD / UNRELEASED</x:v>
      </x:c>
      <x:c r="Q389" s="9" t="n">
        <x:f>COUNTIFS($A$7:$A$2310,A389)</x:f>
        <x:v>1</x:v>
      </x:c>
    </x:row>
    <x:row r="390">
      <x:c r="A390" s="9" t="str">
        <x:v>PD-AR-RT-B-C-TECH-2-B1-INT-G0-PD16</x:v>
      </x:c>
      <x:c r="B390" s="9" t="str">
        <x:v>PD-AR-RT-B-C-TECH-2-B1-INT-G0</x:v>
      </x:c>
      <x:c r="C390" s="9" t="str">
        <x:v>EV-AR-RT-B-C-TECH-2-B1-INT-G0</x:v>
      </x:c>
      <x:c r="D390" s="9" t="str">
        <x:v>AR-RT-B-C-TECH-2-B1-INT-G0</x:v>
      </x:c>
      <x:c r="E390" s="9" t="str">
        <x:v>RT-B-C-TECH-2</x:v>
      </x:c>
      <x:c r="F390" s="9" t="str">
        <x:v>RT-B-C</x:v>
      </x:c>
      <x:c r="G390" s="9" t="str">
        <x:v>B1</x:v>
      </x:c>
      <x:c r="H390" s="9" t="str">
        <x:v>INT</x:v>
      </x:c>
      <x:c r="I390" s="9" t="str">
        <x:v>PD16</x:v>
      </x:c>
      <x:c r="J390" s="17" t="str">
        <x:v>Dissent, amendments and access log</x:v>
      </x:c>
      <x:c r="K390" s="17" t="str">
        <x:v>Public archive</x:v>
      </x:c>
      <x:c r="L390" s="17" t="str">
        <x:v>COURT-SEALED UNTIL COHORT RELEASE</x:v>
      </x:c>
      <x:c r="M390" s="9" t="n">
        <x:v>0</x:v>
      </x:c>
      <x:c r="N390" s="9" t="n">
        <x:v>0</x:v>
      </x:c>
      <x:c r="O390" s="9" t="n">
        <x:v>0</x:v>
      </x:c>
      <x:c r="P390" s="9" t="str">
        <x:v>HELD / UNRELEASED</x:v>
      </x:c>
      <x:c r="Q390" s="9" t="n">
        <x:f>COUNTIFS($A$7:$A$2310,A390)</x:f>
        <x:v>1</x:v>
      </x:c>
    </x:row>
    <x:row r="391">
      <x:c r="A391" s="9" t="str">
        <x:v>PD-AR-CT-C-B-TECH-4-B2-BRK-G0-PD01</x:v>
      </x:c>
      <x:c r="B391" s="9" t="str">
        <x:v>PD-AR-CT-C-B-TECH-4-B2-BRK-G0</x:v>
      </x:c>
      <x:c r="C391" s="9" t="str">
        <x:v>EV-AR-CT-C-B-TECH-4-B2-BRK-G0</x:v>
      </x:c>
      <x:c r="D391" s="9" t="str">
        <x:v>AR-CT-C-B-TECH-4-B2-BRK-G0</x:v>
      </x:c>
      <x:c r="E391" s="9" t="str">
        <x:v>CT-C-B-TECH-4</x:v>
      </x:c>
      <x:c r="F391" s="9" t="str">
        <x:v>CT-C-B</x:v>
      </x:c>
      <x:c r="G391" s="9" t="str">
        <x:v>B2</x:v>
      </x:c>
      <x:c r="H391" s="9" t="str">
        <x:v>BRK</x:v>
      </x:c>
      <x:c r="I391" s="9" t="str">
        <x:v>PD01</x:v>
      </x:c>
      <x:c r="J391" s="17" t="str">
        <x:v>Experiment kernel</x:v>
      </x:c>
      <x:c r="K391" s="17" t="str">
        <x:v>Public archive</x:v>
      </x:c>
      <x:c r="L391" s="17" t="str">
        <x:v>COURT-SEALED UNTIL COHORT RELEASE</x:v>
      </x:c>
      <x:c r="M391" s="9" t="n">
        <x:v>0</x:v>
      </x:c>
      <x:c r="N391" s="9" t="n">
        <x:v>0</x:v>
      </x:c>
      <x:c r="O391" s="9" t="n">
        <x:v>0</x:v>
      </x:c>
      <x:c r="P391" s="9" t="str">
        <x:v>HELD / UNRELEASED</x:v>
      </x:c>
      <x:c r="Q391" s="9" t="n">
        <x:f>COUNTIFS($A$7:$A$2310,A391)</x:f>
        <x:v>1</x:v>
      </x:c>
    </x:row>
    <x:row r="392">
      <x:c r="A392" s="9" t="str">
        <x:v>PD-AR-CT-C-B-TECH-4-B2-BRK-G0-PD02</x:v>
      </x:c>
      <x:c r="B392" s="9" t="str">
        <x:v>PD-AR-CT-C-B-TECH-4-B2-BRK-G0</x:v>
      </x:c>
      <x:c r="C392" s="9" t="str">
        <x:v>EV-AR-CT-C-B-TECH-4-B2-BRK-G0</x:v>
      </x:c>
      <x:c r="D392" s="9" t="str">
        <x:v>AR-CT-C-B-TECH-4-B2-BRK-G0</x:v>
      </x:c>
      <x:c r="E392" s="9" t="str">
        <x:v>CT-C-B-TECH-4</x:v>
      </x:c>
      <x:c r="F392" s="9" t="str">
        <x:v>CT-C-B</x:v>
      </x:c>
      <x:c r="G392" s="9" t="str">
        <x:v>B2</x:v>
      </x:c>
      <x:c r="H392" s="9" t="str">
        <x:v>BRK</x:v>
      </x:c>
      <x:c r="I392" s="9" t="str">
        <x:v>PD02</x:v>
      </x:c>
      <x:c r="J392" s="17" t="str">
        <x:v>Serial annex and title chain</x:v>
      </x:c>
      <x:c r="K392" s="17" t="str">
        <x:v>Public archive</x:v>
      </x:c>
      <x:c r="L392" s="17" t="str">
        <x:v>COURT-SEALED UNTIL COHORT RELEASE</x:v>
      </x:c>
      <x:c r="M392" s="9" t="n">
        <x:v>0</x:v>
      </x:c>
      <x:c r="N392" s="9" t="n">
        <x:v>0</x:v>
      </x:c>
      <x:c r="O392" s="9" t="n">
        <x:v>0</x:v>
      </x:c>
      <x:c r="P392" s="9" t="str">
        <x:v>HELD / UNRELEASED</x:v>
      </x:c>
      <x:c r="Q392" s="9" t="n">
        <x:f>COUNTIFS($A$7:$A$2310,A392)</x:f>
        <x:v>1</x:v>
      </x:c>
    </x:row>
    <x:row r="393">
      <x:c r="A393" s="9" t="str">
        <x:v>PD-AR-CT-C-B-TECH-4-B2-BRK-G0-PD03</x:v>
      </x:c>
      <x:c r="B393" s="9" t="str">
        <x:v>PD-AR-CT-C-B-TECH-4-B2-BRK-G0</x:v>
      </x:c>
      <x:c r="C393" s="9" t="str">
        <x:v>EV-AR-CT-C-B-TECH-4-B2-BRK-G0</x:v>
      </x:c>
      <x:c r="D393" s="9" t="str">
        <x:v>AR-CT-C-B-TECH-4-B2-BRK-G0</x:v>
      </x:c>
      <x:c r="E393" s="9" t="str">
        <x:v>CT-C-B-TECH-4</x:v>
      </x:c>
      <x:c r="F393" s="9" t="str">
        <x:v>CT-C-B</x:v>
      </x:c>
      <x:c r="G393" s="9" t="str">
        <x:v>B2</x:v>
      </x:c>
      <x:c r="H393" s="9" t="str">
        <x:v>BRK</x:v>
      </x:c>
      <x:c r="I393" s="9" t="str">
        <x:v>PD03</x:v>
      </x:c>
      <x:c r="J393" s="17" t="str">
        <x:v>Configuration and as-built manifest</x:v>
      </x:c>
      <x:c r="K393" s="17" t="str">
        <x:v>Artifact exchange</x:v>
      </x:c>
      <x:c r="L393" s="17" t="str">
        <x:v>COURT-SEALED UNTIL COHORT RELEASE</x:v>
      </x:c>
      <x:c r="M393" s="9" t="n">
        <x:v>0</x:v>
      </x:c>
      <x:c r="N393" s="9" t="n">
        <x:v>0</x:v>
      </x:c>
      <x:c r="O393" s="9" t="n">
        <x:v>0</x:v>
      </x:c>
      <x:c r="P393" s="9" t="str">
        <x:v>HELD / UNRELEASED</x:v>
      </x:c>
      <x:c r="Q393" s="9" t="n">
        <x:f>COUNTIFS($A$7:$A$2310,A393)</x:f>
        <x:v>1</x:v>
      </x:c>
    </x:row>
    <x:row r="394">
      <x:c r="A394" s="9" t="str">
        <x:v>PD-AR-CT-C-B-TECH-4-B2-BRK-G0-PD04</x:v>
      </x:c>
      <x:c r="B394" s="9" t="str">
        <x:v>PD-AR-CT-C-B-TECH-4-B2-BRK-G0</x:v>
      </x:c>
      <x:c r="C394" s="9" t="str">
        <x:v>EV-AR-CT-C-B-TECH-4-B2-BRK-G0</x:v>
      </x:c>
      <x:c r="D394" s="9" t="str">
        <x:v>AR-CT-C-B-TECH-4-B2-BRK-G0</x:v>
      </x:c>
      <x:c r="E394" s="9" t="str">
        <x:v>CT-C-B-TECH-4</x:v>
      </x:c>
      <x:c r="F394" s="9" t="str">
        <x:v>CT-C-B</x:v>
      </x:c>
      <x:c r="G394" s="9" t="str">
        <x:v>B2</x:v>
      </x:c>
      <x:c r="H394" s="9" t="str">
        <x:v>BRK</x:v>
      </x:c>
      <x:c r="I394" s="9" t="str">
        <x:v>PD04</x:v>
      </x:c>
      <x:c r="J394" s="17" t="str">
        <x:v>EOW and start certificate</x:v>
      </x:c>
      <x:c r="K394" s="17" t="str">
        <x:v>Start registrar</x:v>
      </x:c>
      <x:c r="L394" s="17" t="str">
        <x:v>COURT-SEALED UNTIL COHORT RELEASE</x:v>
      </x:c>
      <x:c r="M394" s="9" t="n">
        <x:v>0</x:v>
      </x:c>
      <x:c r="N394" s="9" t="n">
        <x:v>0</x:v>
      </x:c>
      <x:c r="O394" s="9" t="n">
        <x:v>0</x:v>
      </x:c>
      <x:c r="P394" s="9" t="str">
        <x:v>HELD / UNRELEASED</x:v>
      </x:c>
      <x:c r="Q394" s="9" t="n">
        <x:f>COUNTIFS($A$7:$A$2310,A394)</x:f>
        <x:v>1</x:v>
      </x:c>
    </x:row>
    <x:row r="395">
      <x:c r="A395" s="9" t="str">
        <x:v>PD-AR-CT-C-B-TECH-4-B2-BRK-G0-PD05</x:v>
      </x:c>
      <x:c r="B395" s="9" t="str">
        <x:v>PD-AR-CT-C-B-TECH-4-B2-BRK-G0</x:v>
      </x:c>
      <x:c r="C395" s="9" t="str">
        <x:v>EV-AR-CT-C-B-TECH-4-B2-BRK-G0</x:v>
      </x:c>
      <x:c r="D395" s="9" t="str">
        <x:v>AR-CT-C-B-TECH-4-B2-BRK-G0</x:v>
      </x:c>
      <x:c r="E395" s="9" t="str">
        <x:v>CT-C-B-TECH-4</x:v>
      </x:c>
      <x:c r="F395" s="9" t="str">
        <x:v>CT-C-B</x:v>
      </x:c>
      <x:c r="G395" s="9" t="str">
        <x:v>B2</x:v>
      </x:c>
      <x:c r="H395" s="9" t="str">
        <x:v>BRK</x:v>
      </x:c>
      <x:c r="I395" s="9" t="str">
        <x:v>PD05</x:v>
      </x:c>
      <x:c r="J395" s="17" t="str">
        <x:v>Primary raw originals</x:v>
      </x:c>
      <x:c r="K395" s="17" t="str">
        <x:v>Primary custody</x:v>
      </x:c>
      <x:c r="L395" s="17" t="str">
        <x:v>COURT-SEALED UNTIL COHORT RELEASE</x:v>
      </x:c>
      <x:c r="M395" s="9" t="n">
        <x:v>0</x:v>
      </x:c>
      <x:c r="N395" s="9" t="n">
        <x:v>0</x:v>
      </x:c>
      <x:c r="O395" s="9" t="n">
        <x:v>0</x:v>
      </x:c>
      <x:c r="P395" s="9" t="str">
        <x:v>HELD / UNRELEASED</x:v>
      </x:c>
      <x:c r="Q395" s="9" t="n">
        <x:f>COUNTIFS($A$7:$A$2310,A395)</x:f>
        <x:v>1</x:v>
      </x:c>
    </x:row>
    <x:row r="396">
      <x:c r="A396" s="9" t="str">
        <x:v>PD-AR-CT-C-B-TECH-4-B2-BRK-G0-PD06</x:v>
      </x:c>
      <x:c r="B396" s="9" t="str">
        <x:v>PD-AR-CT-C-B-TECH-4-B2-BRK-G0</x:v>
      </x:c>
      <x:c r="C396" s="9" t="str">
        <x:v>EV-AR-CT-C-B-TECH-4-B2-BRK-G0</x:v>
      </x:c>
      <x:c r="D396" s="9" t="str">
        <x:v>AR-CT-C-B-TECH-4-B2-BRK-G0</x:v>
      </x:c>
      <x:c r="E396" s="9" t="str">
        <x:v>CT-C-B-TECH-4</x:v>
      </x:c>
      <x:c r="F396" s="9" t="str">
        <x:v>CT-C-B</x:v>
      </x:c>
      <x:c r="G396" s="9" t="str">
        <x:v>B2</x:v>
      </x:c>
      <x:c r="H396" s="9" t="str">
        <x:v>BRK</x:v>
      </x:c>
      <x:c r="I396" s="9" t="str">
        <x:v>PD06</x:v>
      </x:c>
      <x:c r="J396" s="17" t="str">
        <x:v>Witness raw originals</x:v>
      </x:c>
      <x:c r="K396" s="17" t="str">
        <x:v>Witness custody</x:v>
      </x:c>
      <x:c r="L396" s="17" t="str">
        <x:v>COURT-SEALED UNTIL COHORT RELEASE</x:v>
      </x:c>
      <x:c r="M396" s="9" t="n">
        <x:v>0</x:v>
      </x:c>
      <x:c r="N396" s="9" t="n">
        <x:v>0</x:v>
      </x:c>
      <x:c r="O396" s="9" t="n">
        <x:v>0</x:v>
      </x:c>
      <x:c r="P396" s="9" t="str">
        <x:v>HELD / UNRELEASED</x:v>
      </x:c>
      <x:c r="Q396" s="9" t="n">
        <x:f>COUNTIFS($A$7:$A$2310,A396)</x:f>
        <x:v>1</x:v>
      </x:c>
    </x:row>
    <x:row r="397">
      <x:c r="A397" s="9" t="str">
        <x:v>PD-AR-CT-C-B-TECH-4-B2-BRK-G0-PD07</x:v>
      </x:c>
      <x:c r="B397" s="9" t="str">
        <x:v>PD-AR-CT-C-B-TECH-4-B2-BRK-G0</x:v>
      </x:c>
      <x:c r="C397" s="9" t="str">
        <x:v>EV-AR-CT-C-B-TECH-4-B2-BRK-G0</x:v>
      </x:c>
      <x:c r="D397" s="9" t="str">
        <x:v>AR-CT-C-B-TECH-4-B2-BRK-G0</x:v>
      </x:c>
      <x:c r="E397" s="9" t="str">
        <x:v>CT-C-B-TECH-4</x:v>
      </x:c>
      <x:c r="F397" s="9" t="str">
        <x:v>CT-C-B</x:v>
      </x:c>
      <x:c r="G397" s="9" t="str">
        <x:v>B2</x:v>
      </x:c>
      <x:c r="H397" s="9" t="str">
        <x:v>BRK</x:v>
      </x:c>
      <x:c r="I397" s="9" t="str">
        <x:v>PD07</x:v>
      </x:c>
      <x:c r="J397" s="17" t="str">
        <x:v>Clock and environmental records</x:v>
      </x:c>
      <x:c r="K397" s="17" t="str">
        <x:v>Boundary archive</x:v>
      </x:c>
      <x:c r="L397" s="17" t="str">
        <x:v>COURT-SEALED UNTIL COHORT RELEASE</x:v>
      </x:c>
      <x:c r="M397" s="9" t="n">
        <x:v>0</x:v>
      </x:c>
      <x:c r="N397" s="9" t="n">
        <x:v>0</x:v>
      </x:c>
      <x:c r="O397" s="9" t="n">
        <x:v>0</x:v>
      </x:c>
      <x:c r="P397" s="9" t="str">
        <x:v>HELD / UNRELEASED</x:v>
      </x:c>
      <x:c r="Q397" s="9" t="n">
        <x:f>COUNTIFS($A$7:$A$2310,A397)</x:f>
        <x:v>1</x:v>
      </x:c>
    </x:row>
    <x:row r="398">
      <x:c r="A398" s="9" t="str">
        <x:v>PD-AR-CT-C-B-TECH-4-B2-BRK-G0-PD08</x:v>
      </x:c>
      <x:c r="B398" s="9" t="str">
        <x:v>PD-AR-CT-C-B-TECH-4-B2-BRK-G0</x:v>
      </x:c>
      <x:c r="C398" s="9" t="str">
        <x:v>EV-AR-CT-C-B-TECH-4-B2-BRK-G0</x:v>
      </x:c>
      <x:c r="D398" s="9" t="str">
        <x:v>AR-CT-C-B-TECH-4-B2-BRK-G0</x:v>
      </x:c>
      <x:c r="E398" s="9" t="str">
        <x:v>CT-C-B-TECH-4</x:v>
      </x:c>
      <x:c r="F398" s="9" t="str">
        <x:v>CT-C-B</x:v>
      </x:c>
      <x:c r="G398" s="9" t="str">
        <x:v>B2</x:v>
      </x:c>
      <x:c r="H398" s="9" t="str">
        <x:v>BRK</x:v>
      </x:c>
      <x:c r="I398" s="9" t="str">
        <x:v>PD08</x:v>
      </x:c>
      <x:c r="J398" s="17" t="str">
        <x:v>Command and intervention log</x:v>
      </x:c>
      <x:c r="K398" s="17" t="str">
        <x:v>Safety archive</x:v>
      </x:c>
      <x:c r="L398" s="17" t="str">
        <x:v>COURT-SEALED UNTIL COHORT RELEASE</x:v>
      </x:c>
      <x:c r="M398" s="9" t="n">
        <x:v>0</x:v>
      </x:c>
      <x:c r="N398" s="9" t="n">
        <x:v>0</x:v>
      </x:c>
      <x:c r="O398" s="9" t="n">
        <x:v>0</x:v>
      </x:c>
      <x:c r="P398" s="9" t="str">
        <x:v>HELD / UNRELEASED</x:v>
      </x:c>
      <x:c r="Q398" s="9" t="n">
        <x:f>COUNTIFS($A$7:$A$2310,A398)</x:f>
        <x:v>1</x:v>
      </x:c>
    </x:row>
    <x:row r="399">
      <x:c r="A399" s="9" t="str">
        <x:v>PD-AR-CT-C-B-TECH-4-B2-BRK-G0-PD09</x:v>
      </x:c>
      <x:c r="B399" s="9" t="str">
        <x:v>PD-AR-CT-C-B-TECH-4-B2-BRK-G0</x:v>
      </x:c>
      <x:c r="C399" s="9" t="str">
        <x:v>EV-AR-CT-C-B-TECH-4-B2-BRK-G0</x:v>
      </x:c>
      <x:c r="D399" s="9" t="str">
        <x:v>AR-CT-C-B-TECH-4-B2-BRK-G0</x:v>
      </x:c>
      <x:c r="E399" s="9" t="str">
        <x:v>CT-C-B-TECH-4</x:v>
      </x:c>
      <x:c r="F399" s="9" t="str">
        <x:v>CT-C-B</x:v>
      </x:c>
      <x:c r="G399" s="9" t="str">
        <x:v>B2</x:v>
      </x:c>
      <x:c r="H399" s="9" t="str">
        <x:v>BRK</x:v>
      </x:c>
      <x:c r="I399" s="9" t="str">
        <x:v>PD09</x:v>
      </x:c>
      <x:c r="J399" s="17" t="str">
        <x:v>Receiver denominator and service ledger</x:v>
      </x:c>
      <x:c r="K399" s="17" t="str">
        <x:v>Receiver archive</x:v>
      </x:c>
      <x:c r="L399" s="17" t="str">
        <x:v>COURT-SEALED UNTIL COHORT RELEASE</x:v>
      </x:c>
      <x:c r="M399" s="9" t="n">
        <x:v>0</x:v>
      </x:c>
      <x:c r="N399" s="9" t="n">
        <x:v>0</x:v>
      </x:c>
      <x:c r="O399" s="9" t="n">
        <x:v>0</x:v>
      </x:c>
      <x:c r="P399" s="9" t="str">
        <x:v>HELD / UNRELEASED</x:v>
      </x:c>
      <x:c r="Q399" s="9" t="n">
        <x:f>COUNTIFS($A$7:$A$2310,A399)</x:f>
        <x:v>1</x:v>
      </x:c>
    </x:row>
    <x:row r="400">
      <x:c r="A400" s="9" t="str">
        <x:v>PD-AR-CT-C-B-TECH-4-B2-BRK-G0-PD10</x:v>
      </x:c>
      <x:c r="B400" s="9" t="str">
        <x:v>PD-AR-CT-C-B-TECH-4-B2-BRK-G0</x:v>
      </x:c>
      <x:c r="C400" s="9" t="str">
        <x:v>EV-AR-CT-C-B-TECH-4-B2-BRK-G0</x:v>
      </x:c>
      <x:c r="D400" s="9" t="str">
        <x:v>AR-CT-C-B-TECH-4-B2-BRK-G0</x:v>
      </x:c>
      <x:c r="E400" s="9" t="str">
        <x:v>CT-C-B-TECH-4</x:v>
      </x:c>
      <x:c r="F400" s="9" t="str">
        <x:v>CT-C-B</x:v>
      </x:c>
      <x:c r="G400" s="9" t="str">
        <x:v>B2</x:v>
      </x:c>
      <x:c r="H400" s="9" t="str">
        <x:v>BRK</x:v>
      </x:c>
      <x:c r="I400" s="9" t="str">
        <x:v>PD10</x:v>
      </x:c>
      <x:c r="J400" s="17" t="str">
        <x:v>Calibration and uncertainty record</x:v>
      </x:c>
      <x:c r="K400" s="17" t="str">
        <x:v>Metrology archive</x:v>
      </x:c>
      <x:c r="L400" s="17" t="str">
        <x:v>COURT-SEALED UNTIL COHORT RELEASE</x:v>
      </x:c>
      <x:c r="M400" s="9" t="n">
        <x:v>0</x:v>
      </x:c>
      <x:c r="N400" s="9" t="n">
        <x:v>0</x:v>
      </x:c>
      <x:c r="O400" s="9" t="n">
        <x:v>0</x:v>
      </x:c>
      <x:c r="P400" s="9" t="str">
        <x:v>HELD / UNRELEASED</x:v>
      </x:c>
      <x:c r="Q400" s="9" t="n">
        <x:f>COUNTIFS($A$7:$A$2310,A400)</x:f>
        <x:v>1</x:v>
      </x:c>
    </x:row>
    <x:row r="401">
      <x:c r="A401" s="9" t="str">
        <x:v>PD-AR-CT-C-B-TECH-4-B2-BRK-G0-PD11</x:v>
      </x:c>
      <x:c r="B401" s="9" t="str">
        <x:v>PD-AR-CT-C-B-TECH-4-B2-BRK-G0</x:v>
      </x:c>
      <x:c r="C401" s="9" t="str">
        <x:v>EV-AR-CT-C-B-TECH-4-B2-BRK-G0</x:v>
      </x:c>
      <x:c r="D401" s="9" t="str">
        <x:v>AR-CT-C-B-TECH-4-B2-BRK-G0</x:v>
      </x:c>
      <x:c r="E401" s="9" t="str">
        <x:v>CT-C-B-TECH-4</x:v>
      </x:c>
      <x:c r="F401" s="9" t="str">
        <x:v>CT-C-B</x:v>
      </x:c>
      <x:c r="G401" s="9" t="str">
        <x:v>B2</x:v>
      </x:c>
      <x:c r="H401" s="9" t="str">
        <x:v>BRK</x:v>
      </x:c>
      <x:c r="I401" s="9" t="str">
        <x:v>PD11</x:v>
      </x:c>
      <x:c r="J401" s="17" t="str">
        <x:v>Invalidity petition and opinion</x:v>
      </x:c>
      <x:c r="K401" s="17" t="str">
        <x:v>Invalidity court</x:v>
      </x:c>
      <x:c r="L401" s="17" t="str">
        <x:v>COURT-SEALED UNTIL COHORT RELEASE</x:v>
      </x:c>
      <x:c r="M401" s="9" t="n">
        <x:v>0</x:v>
      </x:c>
      <x:c r="N401" s="9" t="n">
        <x:v>0</x:v>
      </x:c>
      <x:c r="O401" s="9" t="n">
        <x:v>0</x:v>
      </x:c>
      <x:c r="P401" s="9" t="str">
        <x:v>HELD / UNRELEASED</x:v>
      </x:c>
      <x:c r="Q401" s="9" t="n">
        <x:f>COUNTIFS($A$7:$A$2310,A401)</x:f>
        <x:v>1</x:v>
      </x:c>
    </x:row>
    <x:row r="402">
      <x:c r="A402" s="9" t="str">
        <x:v>PD-AR-CT-C-B-TECH-4-B2-BRK-G0-PD12</x:v>
      </x:c>
      <x:c r="B402" s="9" t="str">
        <x:v>PD-AR-CT-C-B-TECH-4-B2-BRK-G0</x:v>
      </x:c>
      <x:c r="C402" s="9" t="str">
        <x:v>EV-AR-CT-C-B-TECH-4-B2-BRK-G0</x:v>
      </x:c>
      <x:c r="D402" s="9" t="str">
        <x:v>AR-CT-C-B-TECH-4-B2-BRK-G0</x:v>
      </x:c>
      <x:c r="E402" s="9" t="str">
        <x:v>CT-C-B-TECH-4</x:v>
      </x:c>
      <x:c r="F402" s="9" t="str">
        <x:v>CT-C-B</x:v>
      </x:c>
      <x:c r="G402" s="9" t="str">
        <x:v>B2</x:v>
      </x:c>
      <x:c r="H402" s="9" t="str">
        <x:v>BRK</x:v>
      </x:c>
      <x:c r="I402" s="9" t="str">
        <x:v>PD12</x:v>
      </x:c>
      <x:c r="J402" s="17" t="str">
        <x:v>Observation acceptance and replay</x:v>
      </x:c>
      <x:c r="K402" s="17" t="str">
        <x:v>Observation court</x:v>
      </x:c>
      <x:c r="L402" s="17" t="str">
        <x:v>COURT-SEALED UNTIL COHORT RELEASE</x:v>
      </x:c>
      <x:c r="M402" s="9" t="n">
        <x:v>0</x:v>
      </x:c>
      <x:c r="N402" s="9" t="n">
        <x:v>0</x:v>
      </x:c>
      <x:c r="O402" s="9" t="n">
        <x:v>0</x:v>
      </x:c>
      <x:c r="P402" s="9" t="str">
        <x:v>HELD / UNRELEASED</x:v>
      </x:c>
      <x:c r="Q402" s="9" t="n">
        <x:f>COUNTIFS($A$7:$A$2310,A402)</x:f>
        <x:v>1</x:v>
      </x:c>
    </x:row>
    <x:row r="403">
      <x:c r="A403" s="9" t="str">
        <x:v>PD-AR-CT-C-B-TECH-4-B2-BRK-G0-PD13</x:v>
      </x:c>
      <x:c r="B403" s="9" t="str">
        <x:v>PD-AR-CT-C-B-TECH-4-B2-BRK-G0</x:v>
      </x:c>
      <x:c r="C403" s="9" t="str">
        <x:v>EV-AR-CT-C-B-TECH-4-B2-BRK-G0</x:v>
      </x:c>
      <x:c r="D403" s="9" t="str">
        <x:v>AR-CT-C-B-TECH-4-B2-BRK-G0</x:v>
      </x:c>
      <x:c r="E403" s="9" t="str">
        <x:v>CT-C-B-TECH-4</x:v>
      </x:c>
      <x:c r="F403" s="9" t="str">
        <x:v>CT-C-B</x:v>
      </x:c>
      <x:c r="G403" s="9" t="str">
        <x:v>B2</x:v>
      </x:c>
      <x:c r="H403" s="9" t="str">
        <x:v>BRK</x:v>
      </x:c>
      <x:c r="I403" s="9" t="str">
        <x:v>PD13</x:v>
      </x:c>
      <x:c r="J403" s="17" t="str">
        <x:v>Role judgment</x:v>
      </x:c>
      <x:c r="K403" s="17" t="str">
        <x:v>Role court</x:v>
      </x:c>
      <x:c r="L403" s="17" t="str">
        <x:v>COURT-SEALED UNTIL COHORT RELEASE</x:v>
      </x:c>
      <x:c r="M403" s="9" t="n">
        <x:v>0</x:v>
      </x:c>
      <x:c r="N403" s="9" t="n">
        <x:v>0</x:v>
      </x:c>
      <x:c r="O403" s="9" t="n">
        <x:v>0</x:v>
      </x:c>
      <x:c r="P403" s="9" t="str">
        <x:v>HELD / UNRELEASED</x:v>
      </x:c>
      <x:c r="Q403" s="9" t="n">
        <x:f>COUNTIFS($A$7:$A$2310,A403)</x:f>
        <x:v>1</x:v>
      </x:c>
    </x:row>
    <x:row r="404">
      <x:c r="A404" s="9" t="str">
        <x:v>PD-AR-CT-C-B-TECH-4-B2-BRK-G0-PD14</x:v>
      </x:c>
      <x:c r="B404" s="9" t="str">
        <x:v>PD-AR-CT-C-B-TECH-4-B2-BRK-G0</x:v>
      </x:c>
      <x:c r="C404" s="9" t="str">
        <x:v>EV-AR-CT-C-B-TECH-4-B2-BRK-G0</x:v>
      </x:c>
      <x:c r="D404" s="9" t="str">
        <x:v>AR-CT-C-B-TECH-4-B2-BRK-G0</x:v>
      </x:c>
      <x:c r="E404" s="9" t="str">
        <x:v>CT-C-B-TECH-4</x:v>
      </x:c>
      <x:c r="F404" s="9" t="str">
        <x:v>CT-C-B</x:v>
      </x:c>
      <x:c r="G404" s="9" t="str">
        <x:v>B2</x:v>
      </x:c>
      <x:c r="H404" s="9" t="str">
        <x:v>BRK</x:v>
      </x:c>
      <x:c r="I404" s="9" t="str">
        <x:v>PD14</x:v>
      </x:c>
      <x:c r="J404" s="17" t="str">
        <x:v>Break and residual account</x:v>
      </x:c>
      <x:c r="K404" s="17" t="str">
        <x:v>Residual authority</x:v>
      </x:c>
      <x:c r="L404" s="17" t="str">
        <x:v>COURT-SEALED UNTIL COHORT RELEASE</x:v>
      </x:c>
      <x:c r="M404" s="9" t="n">
        <x:v>0</x:v>
      </x:c>
      <x:c r="N404" s="9" t="n">
        <x:v>0</x:v>
      </x:c>
      <x:c r="O404" s="9" t="n">
        <x:v>0</x:v>
      </x:c>
      <x:c r="P404" s="9" t="str">
        <x:v>HELD / UNRELEASED</x:v>
      </x:c>
      <x:c r="Q404" s="9" t="n">
        <x:f>COUNTIFS($A$7:$A$2310,A404)</x:f>
        <x:v>1</x:v>
      </x:c>
    </x:row>
    <x:row r="405">
      <x:c r="A405" s="9" t="str">
        <x:v>PD-AR-CT-C-B-TECH-4-B2-BRK-G0-PD15</x:v>
      </x:c>
      <x:c r="B405" s="9" t="str">
        <x:v>PD-AR-CT-C-B-TECH-4-B2-BRK-G0</x:v>
      </x:c>
      <x:c r="C405" s="9" t="str">
        <x:v>EV-AR-CT-C-B-TECH-4-B2-BRK-G0</x:v>
      </x:c>
      <x:c r="D405" s="9" t="str">
        <x:v>AR-CT-C-B-TECH-4-B2-BRK-G0</x:v>
      </x:c>
      <x:c r="E405" s="9" t="str">
        <x:v>CT-C-B-TECH-4</x:v>
      </x:c>
      <x:c r="F405" s="9" t="str">
        <x:v>CT-C-B</x:v>
      </x:c>
      <x:c r="G405" s="9" t="str">
        <x:v>B2</x:v>
      </x:c>
      <x:c r="H405" s="9" t="str">
        <x:v>BRK</x:v>
      </x:c>
      <x:c r="I405" s="9" t="str">
        <x:v>PD15</x:v>
      </x:c>
      <x:c r="J405" s="17" t="str">
        <x:v>Reconstruction ancestry and replay</x:v>
      </x:c>
      <x:c r="K405" s="17" t="str">
        <x:v>Reconstruction court</x:v>
      </x:c>
      <x:c r="L405" s="17" t="str">
        <x:v>COURT-SEALED UNTIL COHORT RELEASE</x:v>
      </x:c>
      <x:c r="M405" s="9" t="n">
        <x:v>0</x:v>
      </x:c>
      <x:c r="N405" s="9" t="n">
        <x:v>0</x:v>
      </x:c>
      <x:c r="O405" s="9" t="n">
        <x:v>0</x:v>
      </x:c>
      <x:c r="P405" s="9" t="str">
        <x:v>HELD / UNRELEASED</x:v>
      </x:c>
      <x:c r="Q405" s="9" t="n">
        <x:f>COUNTIFS($A$7:$A$2310,A405)</x:f>
        <x:v>1</x:v>
      </x:c>
    </x:row>
    <x:row r="406">
      <x:c r="A406" s="9" t="str">
        <x:v>PD-AR-CT-C-B-TECH-4-B2-BRK-G0-PD16</x:v>
      </x:c>
      <x:c r="B406" s="9" t="str">
        <x:v>PD-AR-CT-C-B-TECH-4-B2-BRK-G0</x:v>
      </x:c>
      <x:c r="C406" s="9" t="str">
        <x:v>EV-AR-CT-C-B-TECH-4-B2-BRK-G0</x:v>
      </x:c>
      <x:c r="D406" s="9" t="str">
        <x:v>AR-CT-C-B-TECH-4-B2-BRK-G0</x:v>
      </x:c>
      <x:c r="E406" s="9" t="str">
        <x:v>CT-C-B-TECH-4</x:v>
      </x:c>
      <x:c r="F406" s="9" t="str">
        <x:v>CT-C-B</x:v>
      </x:c>
      <x:c r="G406" s="9" t="str">
        <x:v>B2</x:v>
      </x:c>
      <x:c r="H406" s="9" t="str">
        <x:v>BRK</x:v>
      </x:c>
      <x:c r="I406" s="9" t="str">
        <x:v>PD16</x:v>
      </x:c>
      <x:c r="J406" s="17" t="str">
        <x:v>Dissent, amendments and access log</x:v>
      </x:c>
      <x:c r="K406" s="17" t="str">
        <x:v>Public archive</x:v>
      </x:c>
      <x:c r="L406" s="17" t="str">
        <x:v>COURT-SEALED UNTIL COHORT RELEASE</x:v>
      </x:c>
      <x:c r="M406" s="9" t="n">
        <x:v>0</x:v>
      </x:c>
      <x:c r="N406" s="9" t="n">
        <x:v>0</x:v>
      </x:c>
      <x:c r="O406" s="9" t="n">
        <x:v>0</x:v>
      </x:c>
      <x:c r="P406" s="9" t="str">
        <x:v>HELD / UNRELEASED</x:v>
      </x:c>
      <x:c r="Q406" s="9" t="n">
        <x:f>COUNTIFS($A$7:$A$2310,A406)</x:f>
        <x:v>1</x:v>
      </x:c>
    </x:row>
    <x:row r="407">
      <x:c r="A407" s="9" t="str">
        <x:v>PD-AR-CT-C-B-TECH-3-B1-RCN-G0-PD01</x:v>
      </x:c>
      <x:c r="B407" s="9" t="str">
        <x:v>PD-AR-CT-C-B-TECH-3-B1-RCN-G0</x:v>
      </x:c>
      <x:c r="C407" s="9" t="str">
        <x:v>EV-AR-CT-C-B-TECH-3-B1-RCN-G0</x:v>
      </x:c>
      <x:c r="D407" s="9" t="str">
        <x:v>AR-CT-C-B-TECH-3-B1-RCN-G0</x:v>
      </x:c>
      <x:c r="E407" s="9" t="str">
        <x:v>CT-C-B-TECH-3</x:v>
      </x:c>
      <x:c r="F407" s="9" t="str">
        <x:v>CT-C-B</x:v>
      </x:c>
      <x:c r="G407" s="9" t="str">
        <x:v>B1</x:v>
      </x:c>
      <x:c r="H407" s="9" t="str">
        <x:v>RCN</x:v>
      </x:c>
      <x:c r="I407" s="9" t="str">
        <x:v>PD01</x:v>
      </x:c>
      <x:c r="J407" s="17" t="str">
        <x:v>Experiment kernel</x:v>
      </x:c>
      <x:c r="K407" s="17" t="str">
        <x:v>Public archive</x:v>
      </x:c>
      <x:c r="L407" s="17" t="str">
        <x:v>COURT-SEALED UNTIL COHORT RELEASE</x:v>
      </x:c>
      <x:c r="M407" s="9" t="n">
        <x:v>0</x:v>
      </x:c>
      <x:c r="N407" s="9" t="n">
        <x:v>0</x:v>
      </x:c>
      <x:c r="O407" s="9" t="n">
        <x:v>0</x:v>
      </x:c>
      <x:c r="P407" s="9" t="str">
        <x:v>HELD / UNRELEASED</x:v>
      </x:c>
      <x:c r="Q407" s="9" t="n">
        <x:f>COUNTIFS($A$7:$A$2310,A407)</x:f>
        <x:v>1</x:v>
      </x:c>
    </x:row>
    <x:row r="408">
      <x:c r="A408" s="9" t="str">
        <x:v>PD-AR-CT-C-B-TECH-3-B1-RCN-G0-PD02</x:v>
      </x:c>
      <x:c r="B408" s="9" t="str">
        <x:v>PD-AR-CT-C-B-TECH-3-B1-RCN-G0</x:v>
      </x:c>
      <x:c r="C408" s="9" t="str">
        <x:v>EV-AR-CT-C-B-TECH-3-B1-RCN-G0</x:v>
      </x:c>
      <x:c r="D408" s="9" t="str">
        <x:v>AR-CT-C-B-TECH-3-B1-RCN-G0</x:v>
      </x:c>
      <x:c r="E408" s="9" t="str">
        <x:v>CT-C-B-TECH-3</x:v>
      </x:c>
      <x:c r="F408" s="9" t="str">
        <x:v>CT-C-B</x:v>
      </x:c>
      <x:c r="G408" s="9" t="str">
        <x:v>B1</x:v>
      </x:c>
      <x:c r="H408" s="9" t="str">
        <x:v>RCN</x:v>
      </x:c>
      <x:c r="I408" s="9" t="str">
        <x:v>PD02</x:v>
      </x:c>
      <x:c r="J408" s="17" t="str">
        <x:v>Serial annex and title chain</x:v>
      </x:c>
      <x:c r="K408" s="17" t="str">
        <x:v>Public archive</x:v>
      </x:c>
      <x:c r="L408" s="17" t="str">
        <x:v>COURT-SEALED UNTIL COHORT RELEASE</x:v>
      </x:c>
      <x:c r="M408" s="9" t="n">
        <x:v>0</x:v>
      </x:c>
      <x:c r="N408" s="9" t="n">
        <x:v>0</x:v>
      </x:c>
      <x:c r="O408" s="9" t="n">
        <x:v>0</x:v>
      </x:c>
      <x:c r="P408" s="9" t="str">
        <x:v>HELD / UNRELEASED</x:v>
      </x:c>
      <x:c r="Q408" s="9" t="n">
        <x:f>COUNTIFS($A$7:$A$2310,A408)</x:f>
        <x:v>1</x:v>
      </x:c>
    </x:row>
    <x:row r="409">
      <x:c r="A409" s="9" t="str">
        <x:v>PD-AR-CT-C-B-TECH-3-B1-RCN-G0-PD03</x:v>
      </x:c>
      <x:c r="B409" s="9" t="str">
        <x:v>PD-AR-CT-C-B-TECH-3-B1-RCN-G0</x:v>
      </x:c>
      <x:c r="C409" s="9" t="str">
        <x:v>EV-AR-CT-C-B-TECH-3-B1-RCN-G0</x:v>
      </x:c>
      <x:c r="D409" s="9" t="str">
        <x:v>AR-CT-C-B-TECH-3-B1-RCN-G0</x:v>
      </x:c>
      <x:c r="E409" s="9" t="str">
        <x:v>CT-C-B-TECH-3</x:v>
      </x:c>
      <x:c r="F409" s="9" t="str">
        <x:v>CT-C-B</x:v>
      </x:c>
      <x:c r="G409" s="9" t="str">
        <x:v>B1</x:v>
      </x:c>
      <x:c r="H409" s="9" t="str">
        <x:v>RCN</x:v>
      </x:c>
      <x:c r="I409" s="9" t="str">
        <x:v>PD03</x:v>
      </x:c>
      <x:c r="J409" s="17" t="str">
        <x:v>Configuration and as-built manifest</x:v>
      </x:c>
      <x:c r="K409" s="17" t="str">
        <x:v>Artifact exchange</x:v>
      </x:c>
      <x:c r="L409" s="17" t="str">
        <x:v>COURT-SEALED UNTIL COHORT RELEASE</x:v>
      </x:c>
      <x:c r="M409" s="9" t="n">
        <x:v>0</x:v>
      </x:c>
      <x:c r="N409" s="9" t="n">
        <x:v>0</x:v>
      </x:c>
      <x:c r="O409" s="9" t="n">
        <x:v>0</x:v>
      </x:c>
      <x:c r="P409" s="9" t="str">
        <x:v>HELD / UNRELEASED</x:v>
      </x:c>
      <x:c r="Q409" s="9" t="n">
        <x:f>COUNTIFS($A$7:$A$2310,A409)</x:f>
        <x:v>1</x:v>
      </x:c>
    </x:row>
    <x:row r="410">
      <x:c r="A410" s="9" t="str">
        <x:v>PD-AR-CT-C-B-TECH-3-B1-RCN-G0-PD04</x:v>
      </x:c>
      <x:c r="B410" s="9" t="str">
        <x:v>PD-AR-CT-C-B-TECH-3-B1-RCN-G0</x:v>
      </x:c>
      <x:c r="C410" s="9" t="str">
        <x:v>EV-AR-CT-C-B-TECH-3-B1-RCN-G0</x:v>
      </x:c>
      <x:c r="D410" s="9" t="str">
        <x:v>AR-CT-C-B-TECH-3-B1-RCN-G0</x:v>
      </x:c>
      <x:c r="E410" s="9" t="str">
        <x:v>CT-C-B-TECH-3</x:v>
      </x:c>
      <x:c r="F410" s="9" t="str">
        <x:v>CT-C-B</x:v>
      </x:c>
      <x:c r="G410" s="9" t="str">
        <x:v>B1</x:v>
      </x:c>
      <x:c r="H410" s="9" t="str">
        <x:v>RCN</x:v>
      </x:c>
      <x:c r="I410" s="9" t="str">
        <x:v>PD04</x:v>
      </x:c>
      <x:c r="J410" s="17" t="str">
        <x:v>EOW and start certificate</x:v>
      </x:c>
      <x:c r="K410" s="17" t="str">
        <x:v>Start registrar</x:v>
      </x:c>
      <x:c r="L410" s="17" t="str">
        <x:v>COURT-SEALED UNTIL COHORT RELEASE</x:v>
      </x:c>
      <x:c r="M410" s="9" t="n">
        <x:v>0</x:v>
      </x:c>
      <x:c r="N410" s="9" t="n">
        <x:v>0</x:v>
      </x:c>
      <x:c r="O410" s="9" t="n">
        <x:v>0</x:v>
      </x:c>
      <x:c r="P410" s="9" t="str">
        <x:v>HELD / UNRELEASED</x:v>
      </x:c>
      <x:c r="Q410" s="9" t="n">
        <x:f>COUNTIFS($A$7:$A$2310,A410)</x:f>
        <x:v>1</x:v>
      </x:c>
    </x:row>
    <x:row r="411">
      <x:c r="A411" s="9" t="str">
        <x:v>PD-AR-CT-C-B-TECH-3-B1-RCN-G0-PD05</x:v>
      </x:c>
      <x:c r="B411" s="9" t="str">
        <x:v>PD-AR-CT-C-B-TECH-3-B1-RCN-G0</x:v>
      </x:c>
      <x:c r="C411" s="9" t="str">
        <x:v>EV-AR-CT-C-B-TECH-3-B1-RCN-G0</x:v>
      </x:c>
      <x:c r="D411" s="9" t="str">
        <x:v>AR-CT-C-B-TECH-3-B1-RCN-G0</x:v>
      </x:c>
      <x:c r="E411" s="9" t="str">
        <x:v>CT-C-B-TECH-3</x:v>
      </x:c>
      <x:c r="F411" s="9" t="str">
        <x:v>CT-C-B</x:v>
      </x:c>
      <x:c r="G411" s="9" t="str">
        <x:v>B1</x:v>
      </x:c>
      <x:c r="H411" s="9" t="str">
        <x:v>RCN</x:v>
      </x:c>
      <x:c r="I411" s="9" t="str">
        <x:v>PD05</x:v>
      </x:c>
      <x:c r="J411" s="17" t="str">
        <x:v>Primary raw originals</x:v>
      </x:c>
      <x:c r="K411" s="17" t="str">
        <x:v>Primary custody</x:v>
      </x:c>
      <x:c r="L411" s="17" t="str">
        <x:v>COURT-SEALED UNTIL COHORT RELEASE</x:v>
      </x:c>
      <x:c r="M411" s="9" t="n">
        <x:v>0</x:v>
      </x:c>
      <x:c r="N411" s="9" t="n">
        <x:v>0</x:v>
      </x:c>
      <x:c r="O411" s="9" t="n">
        <x:v>0</x:v>
      </x:c>
      <x:c r="P411" s="9" t="str">
        <x:v>HELD / UNRELEASED</x:v>
      </x:c>
      <x:c r="Q411" s="9" t="n">
        <x:f>COUNTIFS($A$7:$A$2310,A411)</x:f>
        <x:v>1</x:v>
      </x:c>
    </x:row>
    <x:row r="412">
      <x:c r="A412" s="9" t="str">
        <x:v>PD-AR-CT-C-B-TECH-3-B1-RCN-G0-PD06</x:v>
      </x:c>
      <x:c r="B412" s="9" t="str">
        <x:v>PD-AR-CT-C-B-TECH-3-B1-RCN-G0</x:v>
      </x:c>
      <x:c r="C412" s="9" t="str">
        <x:v>EV-AR-CT-C-B-TECH-3-B1-RCN-G0</x:v>
      </x:c>
      <x:c r="D412" s="9" t="str">
        <x:v>AR-CT-C-B-TECH-3-B1-RCN-G0</x:v>
      </x:c>
      <x:c r="E412" s="9" t="str">
        <x:v>CT-C-B-TECH-3</x:v>
      </x:c>
      <x:c r="F412" s="9" t="str">
        <x:v>CT-C-B</x:v>
      </x:c>
      <x:c r="G412" s="9" t="str">
        <x:v>B1</x:v>
      </x:c>
      <x:c r="H412" s="9" t="str">
        <x:v>RCN</x:v>
      </x:c>
      <x:c r="I412" s="9" t="str">
        <x:v>PD06</x:v>
      </x:c>
      <x:c r="J412" s="17" t="str">
        <x:v>Witness raw originals</x:v>
      </x:c>
      <x:c r="K412" s="17" t="str">
        <x:v>Witness custody</x:v>
      </x:c>
      <x:c r="L412" s="17" t="str">
        <x:v>COURT-SEALED UNTIL COHORT RELEASE</x:v>
      </x:c>
      <x:c r="M412" s="9" t="n">
        <x:v>0</x:v>
      </x:c>
      <x:c r="N412" s="9" t="n">
        <x:v>0</x:v>
      </x:c>
      <x:c r="O412" s="9" t="n">
        <x:v>0</x:v>
      </x:c>
      <x:c r="P412" s="9" t="str">
        <x:v>HELD / UNRELEASED</x:v>
      </x:c>
      <x:c r="Q412" s="9" t="n">
        <x:f>COUNTIFS($A$7:$A$2310,A412)</x:f>
        <x:v>1</x:v>
      </x:c>
    </x:row>
    <x:row r="413">
      <x:c r="A413" s="9" t="str">
        <x:v>PD-AR-CT-C-B-TECH-3-B1-RCN-G0-PD07</x:v>
      </x:c>
      <x:c r="B413" s="9" t="str">
        <x:v>PD-AR-CT-C-B-TECH-3-B1-RCN-G0</x:v>
      </x:c>
      <x:c r="C413" s="9" t="str">
        <x:v>EV-AR-CT-C-B-TECH-3-B1-RCN-G0</x:v>
      </x:c>
      <x:c r="D413" s="9" t="str">
        <x:v>AR-CT-C-B-TECH-3-B1-RCN-G0</x:v>
      </x:c>
      <x:c r="E413" s="9" t="str">
        <x:v>CT-C-B-TECH-3</x:v>
      </x:c>
      <x:c r="F413" s="9" t="str">
        <x:v>CT-C-B</x:v>
      </x:c>
      <x:c r="G413" s="9" t="str">
        <x:v>B1</x:v>
      </x:c>
      <x:c r="H413" s="9" t="str">
        <x:v>RCN</x:v>
      </x:c>
      <x:c r="I413" s="9" t="str">
        <x:v>PD07</x:v>
      </x:c>
      <x:c r="J413" s="17" t="str">
        <x:v>Clock and environmental records</x:v>
      </x:c>
      <x:c r="K413" s="17" t="str">
        <x:v>Boundary archive</x:v>
      </x:c>
      <x:c r="L413" s="17" t="str">
        <x:v>COURT-SEALED UNTIL COHORT RELEASE</x:v>
      </x:c>
      <x:c r="M413" s="9" t="n">
        <x:v>0</x:v>
      </x:c>
      <x:c r="N413" s="9" t="n">
        <x:v>0</x:v>
      </x:c>
      <x:c r="O413" s="9" t="n">
        <x:v>0</x:v>
      </x:c>
      <x:c r="P413" s="9" t="str">
        <x:v>HELD / UNRELEASED</x:v>
      </x:c>
      <x:c r="Q413" s="9" t="n">
        <x:f>COUNTIFS($A$7:$A$2310,A413)</x:f>
        <x:v>1</x:v>
      </x:c>
    </x:row>
    <x:row r="414">
      <x:c r="A414" s="9" t="str">
        <x:v>PD-AR-CT-C-B-TECH-3-B1-RCN-G0-PD08</x:v>
      </x:c>
      <x:c r="B414" s="9" t="str">
        <x:v>PD-AR-CT-C-B-TECH-3-B1-RCN-G0</x:v>
      </x:c>
      <x:c r="C414" s="9" t="str">
        <x:v>EV-AR-CT-C-B-TECH-3-B1-RCN-G0</x:v>
      </x:c>
      <x:c r="D414" s="9" t="str">
        <x:v>AR-CT-C-B-TECH-3-B1-RCN-G0</x:v>
      </x:c>
      <x:c r="E414" s="9" t="str">
        <x:v>CT-C-B-TECH-3</x:v>
      </x:c>
      <x:c r="F414" s="9" t="str">
        <x:v>CT-C-B</x:v>
      </x:c>
      <x:c r="G414" s="9" t="str">
        <x:v>B1</x:v>
      </x:c>
      <x:c r="H414" s="9" t="str">
        <x:v>RCN</x:v>
      </x:c>
      <x:c r="I414" s="9" t="str">
        <x:v>PD08</x:v>
      </x:c>
      <x:c r="J414" s="17" t="str">
        <x:v>Command and intervention log</x:v>
      </x:c>
      <x:c r="K414" s="17" t="str">
        <x:v>Safety archive</x:v>
      </x:c>
      <x:c r="L414" s="17" t="str">
        <x:v>COURT-SEALED UNTIL COHORT RELEASE</x:v>
      </x:c>
      <x:c r="M414" s="9" t="n">
        <x:v>0</x:v>
      </x:c>
      <x:c r="N414" s="9" t="n">
        <x:v>0</x:v>
      </x:c>
      <x:c r="O414" s="9" t="n">
        <x:v>0</x:v>
      </x:c>
      <x:c r="P414" s="9" t="str">
        <x:v>HELD / UNRELEASED</x:v>
      </x:c>
      <x:c r="Q414" s="9" t="n">
        <x:f>COUNTIFS($A$7:$A$2310,A414)</x:f>
        <x:v>1</x:v>
      </x:c>
    </x:row>
    <x:row r="415">
      <x:c r="A415" s="9" t="str">
        <x:v>PD-AR-CT-C-B-TECH-3-B1-RCN-G0-PD09</x:v>
      </x:c>
      <x:c r="B415" s="9" t="str">
        <x:v>PD-AR-CT-C-B-TECH-3-B1-RCN-G0</x:v>
      </x:c>
      <x:c r="C415" s="9" t="str">
        <x:v>EV-AR-CT-C-B-TECH-3-B1-RCN-G0</x:v>
      </x:c>
      <x:c r="D415" s="9" t="str">
        <x:v>AR-CT-C-B-TECH-3-B1-RCN-G0</x:v>
      </x:c>
      <x:c r="E415" s="9" t="str">
        <x:v>CT-C-B-TECH-3</x:v>
      </x:c>
      <x:c r="F415" s="9" t="str">
        <x:v>CT-C-B</x:v>
      </x:c>
      <x:c r="G415" s="9" t="str">
        <x:v>B1</x:v>
      </x:c>
      <x:c r="H415" s="9" t="str">
        <x:v>RCN</x:v>
      </x:c>
      <x:c r="I415" s="9" t="str">
        <x:v>PD09</x:v>
      </x:c>
      <x:c r="J415" s="17" t="str">
        <x:v>Receiver denominator and service ledger</x:v>
      </x:c>
      <x:c r="K415" s="17" t="str">
        <x:v>Receiver archive</x:v>
      </x:c>
      <x:c r="L415" s="17" t="str">
        <x:v>COURT-SEALED UNTIL COHORT RELEASE</x:v>
      </x:c>
      <x:c r="M415" s="9" t="n">
        <x:v>0</x:v>
      </x:c>
      <x:c r="N415" s="9" t="n">
        <x:v>0</x:v>
      </x:c>
      <x:c r="O415" s="9" t="n">
        <x:v>0</x:v>
      </x:c>
      <x:c r="P415" s="9" t="str">
        <x:v>HELD / UNRELEASED</x:v>
      </x:c>
      <x:c r="Q415" s="9" t="n">
        <x:f>COUNTIFS($A$7:$A$2310,A415)</x:f>
        <x:v>1</x:v>
      </x:c>
    </x:row>
    <x:row r="416">
      <x:c r="A416" s="9" t="str">
        <x:v>PD-AR-CT-C-B-TECH-3-B1-RCN-G0-PD10</x:v>
      </x:c>
      <x:c r="B416" s="9" t="str">
        <x:v>PD-AR-CT-C-B-TECH-3-B1-RCN-G0</x:v>
      </x:c>
      <x:c r="C416" s="9" t="str">
        <x:v>EV-AR-CT-C-B-TECH-3-B1-RCN-G0</x:v>
      </x:c>
      <x:c r="D416" s="9" t="str">
        <x:v>AR-CT-C-B-TECH-3-B1-RCN-G0</x:v>
      </x:c>
      <x:c r="E416" s="9" t="str">
        <x:v>CT-C-B-TECH-3</x:v>
      </x:c>
      <x:c r="F416" s="9" t="str">
        <x:v>CT-C-B</x:v>
      </x:c>
      <x:c r="G416" s="9" t="str">
        <x:v>B1</x:v>
      </x:c>
      <x:c r="H416" s="9" t="str">
        <x:v>RCN</x:v>
      </x:c>
      <x:c r="I416" s="9" t="str">
        <x:v>PD10</x:v>
      </x:c>
      <x:c r="J416" s="17" t="str">
        <x:v>Calibration and uncertainty record</x:v>
      </x:c>
      <x:c r="K416" s="17" t="str">
        <x:v>Metrology archive</x:v>
      </x:c>
      <x:c r="L416" s="17" t="str">
        <x:v>COURT-SEALED UNTIL COHORT RELEASE</x:v>
      </x:c>
      <x:c r="M416" s="9" t="n">
        <x:v>0</x:v>
      </x:c>
      <x:c r="N416" s="9" t="n">
        <x:v>0</x:v>
      </x:c>
      <x:c r="O416" s="9" t="n">
        <x:v>0</x:v>
      </x:c>
      <x:c r="P416" s="9" t="str">
        <x:v>HELD / UNRELEASED</x:v>
      </x:c>
      <x:c r="Q416" s="9" t="n">
        <x:f>COUNTIFS($A$7:$A$2310,A416)</x:f>
        <x:v>1</x:v>
      </x:c>
    </x:row>
    <x:row r="417">
      <x:c r="A417" s="9" t="str">
        <x:v>PD-AR-CT-C-B-TECH-3-B1-RCN-G0-PD11</x:v>
      </x:c>
      <x:c r="B417" s="9" t="str">
        <x:v>PD-AR-CT-C-B-TECH-3-B1-RCN-G0</x:v>
      </x:c>
      <x:c r="C417" s="9" t="str">
        <x:v>EV-AR-CT-C-B-TECH-3-B1-RCN-G0</x:v>
      </x:c>
      <x:c r="D417" s="9" t="str">
        <x:v>AR-CT-C-B-TECH-3-B1-RCN-G0</x:v>
      </x:c>
      <x:c r="E417" s="9" t="str">
        <x:v>CT-C-B-TECH-3</x:v>
      </x:c>
      <x:c r="F417" s="9" t="str">
        <x:v>CT-C-B</x:v>
      </x:c>
      <x:c r="G417" s="9" t="str">
        <x:v>B1</x:v>
      </x:c>
      <x:c r="H417" s="9" t="str">
        <x:v>RCN</x:v>
      </x:c>
      <x:c r="I417" s="9" t="str">
        <x:v>PD11</x:v>
      </x:c>
      <x:c r="J417" s="17" t="str">
        <x:v>Invalidity petition and opinion</x:v>
      </x:c>
      <x:c r="K417" s="17" t="str">
        <x:v>Invalidity court</x:v>
      </x:c>
      <x:c r="L417" s="17" t="str">
        <x:v>COURT-SEALED UNTIL COHORT RELEASE</x:v>
      </x:c>
      <x:c r="M417" s="9" t="n">
        <x:v>0</x:v>
      </x:c>
      <x:c r="N417" s="9" t="n">
        <x:v>0</x:v>
      </x:c>
      <x:c r="O417" s="9" t="n">
        <x:v>0</x:v>
      </x:c>
      <x:c r="P417" s="9" t="str">
        <x:v>HELD / UNRELEASED</x:v>
      </x:c>
      <x:c r="Q417" s="9" t="n">
        <x:f>COUNTIFS($A$7:$A$2310,A417)</x:f>
        <x:v>1</x:v>
      </x:c>
    </x:row>
    <x:row r="418">
      <x:c r="A418" s="9" t="str">
        <x:v>PD-AR-CT-C-B-TECH-3-B1-RCN-G0-PD12</x:v>
      </x:c>
      <x:c r="B418" s="9" t="str">
        <x:v>PD-AR-CT-C-B-TECH-3-B1-RCN-G0</x:v>
      </x:c>
      <x:c r="C418" s="9" t="str">
        <x:v>EV-AR-CT-C-B-TECH-3-B1-RCN-G0</x:v>
      </x:c>
      <x:c r="D418" s="9" t="str">
        <x:v>AR-CT-C-B-TECH-3-B1-RCN-G0</x:v>
      </x:c>
      <x:c r="E418" s="9" t="str">
        <x:v>CT-C-B-TECH-3</x:v>
      </x:c>
      <x:c r="F418" s="9" t="str">
        <x:v>CT-C-B</x:v>
      </x:c>
      <x:c r="G418" s="9" t="str">
        <x:v>B1</x:v>
      </x:c>
      <x:c r="H418" s="9" t="str">
        <x:v>RCN</x:v>
      </x:c>
      <x:c r="I418" s="9" t="str">
        <x:v>PD12</x:v>
      </x:c>
      <x:c r="J418" s="17" t="str">
        <x:v>Observation acceptance and replay</x:v>
      </x:c>
      <x:c r="K418" s="17" t="str">
        <x:v>Observation court</x:v>
      </x:c>
      <x:c r="L418" s="17" t="str">
        <x:v>COURT-SEALED UNTIL COHORT RELEASE</x:v>
      </x:c>
      <x:c r="M418" s="9" t="n">
        <x:v>0</x:v>
      </x:c>
      <x:c r="N418" s="9" t="n">
        <x:v>0</x:v>
      </x:c>
      <x:c r="O418" s="9" t="n">
        <x:v>0</x:v>
      </x:c>
      <x:c r="P418" s="9" t="str">
        <x:v>HELD / UNRELEASED</x:v>
      </x:c>
      <x:c r="Q418" s="9" t="n">
        <x:f>COUNTIFS($A$7:$A$2310,A418)</x:f>
        <x:v>1</x:v>
      </x:c>
    </x:row>
    <x:row r="419">
      <x:c r="A419" s="9" t="str">
        <x:v>PD-AR-CT-C-B-TECH-3-B1-RCN-G0-PD13</x:v>
      </x:c>
      <x:c r="B419" s="9" t="str">
        <x:v>PD-AR-CT-C-B-TECH-3-B1-RCN-G0</x:v>
      </x:c>
      <x:c r="C419" s="9" t="str">
        <x:v>EV-AR-CT-C-B-TECH-3-B1-RCN-G0</x:v>
      </x:c>
      <x:c r="D419" s="9" t="str">
        <x:v>AR-CT-C-B-TECH-3-B1-RCN-G0</x:v>
      </x:c>
      <x:c r="E419" s="9" t="str">
        <x:v>CT-C-B-TECH-3</x:v>
      </x:c>
      <x:c r="F419" s="9" t="str">
        <x:v>CT-C-B</x:v>
      </x:c>
      <x:c r="G419" s="9" t="str">
        <x:v>B1</x:v>
      </x:c>
      <x:c r="H419" s="9" t="str">
        <x:v>RCN</x:v>
      </x:c>
      <x:c r="I419" s="9" t="str">
        <x:v>PD13</x:v>
      </x:c>
      <x:c r="J419" s="17" t="str">
        <x:v>Role judgment</x:v>
      </x:c>
      <x:c r="K419" s="17" t="str">
        <x:v>Role court</x:v>
      </x:c>
      <x:c r="L419" s="17" t="str">
        <x:v>COURT-SEALED UNTIL COHORT RELEASE</x:v>
      </x:c>
      <x:c r="M419" s="9" t="n">
        <x:v>0</x:v>
      </x:c>
      <x:c r="N419" s="9" t="n">
        <x:v>0</x:v>
      </x:c>
      <x:c r="O419" s="9" t="n">
        <x:v>0</x:v>
      </x:c>
      <x:c r="P419" s="9" t="str">
        <x:v>HELD / UNRELEASED</x:v>
      </x:c>
      <x:c r="Q419" s="9" t="n">
        <x:f>COUNTIFS($A$7:$A$2310,A419)</x:f>
        <x:v>1</x:v>
      </x:c>
    </x:row>
    <x:row r="420">
      <x:c r="A420" s="9" t="str">
        <x:v>PD-AR-CT-C-B-TECH-3-B1-RCN-G0-PD14</x:v>
      </x:c>
      <x:c r="B420" s="9" t="str">
        <x:v>PD-AR-CT-C-B-TECH-3-B1-RCN-G0</x:v>
      </x:c>
      <x:c r="C420" s="9" t="str">
        <x:v>EV-AR-CT-C-B-TECH-3-B1-RCN-G0</x:v>
      </x:c>
      <x:c r="D420" s="9" t="str">
        <x:v>AR-CT-C-B-TECH-3-B1-RCN-G0</x:v>
      </x:c>
      <x:c r="E420" s="9" t="str">
        <x:v>CT-C-B-TECH-3</x:v>
      </x:c>
      <x:c r="F420" s="9" t="str">
        <x:v>CT-C-B</x:v>
      </x:c>
      <x:c r="G420" s="9" t="str">
        <x:v>B1</x:v>
      </x:c>
      <x:c r="H420" s="9" t="str">
        <x:v>RCN</x:v>
      </x:c>
      <x:c r="I420" s="9" t="str">
        <x:v>PD14</x:v>
      </x:c>
      <x:c r="J420" s="17" t="str">
        <x:v>Break and residual account</x:v>
      </x:c>
      <x:c r="K420" s="17" t="str">
        <x:v>Residual authority</x:v>
      </x:c>
      <x:c r="L420" s="17" t="str">
        <x:v>COURT-SEALED UNTIL COHORT RELEASE</x:v>
      </x:c>
      <x:c r="M420" s="9" t="n">
        <x:v>0</x:v>
      </x:c>
      <x:c r="N420" s="9" t="n">
        <x:v>0</x:v>
      </x:c>
      <x:c r="O420" s="9" t="n">
        <x:v>0</x:v>
      </x:c>
      <x:c r="P420" s="9" t="str">
        <x:v>HELD / UNRELEASED</x:v>
      </x:c>
      <x:c r="Q420" s="9" t="n">
        <x:f>COUNTIFS($A$7:$A$2310,A420)</x:f>
        <x:v>1</x:v>
      </x:c>
    </x:row>
    <x:row r="421">
      <x:c r="A421" s="9" t="str">
        <x:v>PD-AR-CT-C-B-TECH-3-B1-RCN-G0-PD15</x:v>
      </x:c>
      <x:c r="B421" s="9" t="str">
        <x:v>PD-AR-CT-C-B-TECH-3-B1-RCN-G0</x:v>
      </x:c>
      <x:c r="C421" s="9" t="str">
        <x:v>EV-AR-CT-C-B-TECH-3-B1-RCN-G0</x:v>
      </x:c>
      <x:c r="D421" s="9" t="str">
        <x:v>AR-CT-C-B-TECH-3-B1-RCN-G0</x:v>
      </x:c>
      <x:c r="E421" s="9" t="str">
        <x:v>CT-C-B-TECH-3</x:v>
      </x:c>
      <x:c r="F421" s="9" t="str">
        <x:v>CT-C-B</x:v>
      </x:c>
      <x:c r="G421" s="9" t="str">
        <x:v>B1</x:v>
      </x:c>
      <x:c r="H421" s="9" t="str">
        <x:v>RCN</x:v>
      </x:c>
      <x:c r="I421" s="9" t="str">
        <x:v>PD15</x:v>
      </x:c>
      <x:c r="J421" s="17" t="str">
        <x:v>Reconstruction ancestry and replay</x:v>
      </x:c>
      <x:c r="K421" s="17" t="str">
        <x:v>Reconstruction court</x:v>
      </x:c>
      <x:c r="L421" s="17" t="str">
        <x:v>COURT-SEALED UNTIL COHORT RELEASE</x:v>
      </x:c>
      <x:c r="M421" s="9" t="n">
        <x:v>0</x:v>
      </x:c>
      <x:c r="N421" s="9" t="n">
        <x:v>0</x:v>
      </x:c>
      <x:c r="O421" s="9" t="n">
        <x:v>0</x:v>
      </x:c>
      <x:c r="P421" s="9" t="str">
        <x:v>HELD / UNRELEASED</x:v>
      </x:c>
      <x:c r="Q421" s="9" t="n">
        <x:f>COUNTIFS($A$7:$A$2310,A421)</x:f>
        <x:v>1</x:v>
      </x:c>
    </x:row>
    <x:row r="422">
      <x:c r="A422" s="9" t="str">
        <x:v>PD-AR-CT-C-B-TECH-3-B1-RCN-G0-PD16</x:v>
      </x:c>
      <x:c r="B422" s="9" t="str">
        <x:v>PD-AR-CT-C-B-TECH-3-B1-RCN-G0</x:v>
      </x:c>
      <x:c r="C422" s="9" t="str">
        <x:v>EV-AR-CT-C-B-TECH-3-B1-RCN-G0</x:v>
      </x:c>
      <x:c r="D422" s="9" t="str">
        <x:v>AR-CT-C-B-TECH-3-B1-RCN-G0</x:v>
      </x:c>
      <x:c r="E422" s="9" t="str">
        <x:v>CT-C-B-TECH-3</x:v>
      </x:c>
      <x:c r="F422" s="9" t="str">
        <x:v>CT-C-B</x:v>
      </x:c>
      <x:c r="G422" s="9" t="str">
        <x:v>B1</x:v>
      </x:c>
      <x:c r="H422" s="9" t="str">
        <x:v>RCN</x:v>
      </x:c>
      <x:c r="I422" s="9" t="str">
        <x:v>PD16</x:v>
      </x:c>
      <x:c r="J422" s="17" t="str">
        <x:v>Dissent, amendments and access log</x:v>
      </x:c>
      <x:c r="K422" s="17" t="str">
        <x:v>Public archive</x:v>
      </x:c>
      <x:c r="L422" s="17" t="str">
        <x:v>COURT-SEALED UNTIL COHORT RELEASE</x:v>
      </x:c>
      <x:c r="M422" s="9" t="n">
        <x:v>0</x:v>
      </x:c>
      <x:c r="N422" s="9" t="n">
        <x:v>0</x:v>
      </x:c>
      <x:c r="O422" s="9" t="n">
        <x:v>0</x:v>
      </x:c>
      <x:c r="P422" s="9" t="str">
        <x:v>HELD / UNRELEASED</x:v>
      </x:c>
      <x:c r="Q422" s="9" t="n">
        <x:f>COUNTIFS($A$7:$A$2310,A422)</x:f>
        <x:v>1</x:v>
      </x:c>
    </x:row>
    <x:row r="423">
      <x:c r="A423" s="9" t="str">
        <x:v>PD-AR-HC-A-C-TECH-1-B2-RCN-G0-PD01</x:v>
      </x:c>
      <x:c r="B423" s="9" t="str">
        <x:v>PD-AR-HC-A-C-TECH-1-B2-RCN-G0</x:v>
      </x:c>
      <x:c r="C423" s="9" t="str">
        <x:v>EV-AR-HC-A-C-TECH-1-B2-RCN-G0</x:v>
      </x:c>
      <x:c r="D423" s="9" t="str">
        <x:v>AR-HC-A-C-TECH-1-B2-RCN-G0</x:v>
      </x:c>
      <x:c r="E423" s="9" t="str">
        <x:v>HC-A-C-TECH-1</x:v>
      </x:c>
      <x:c r="F423" s="9" t="str">
        <x:v>HC-A-C</x:v>
      </x:c>
      <x:c r="G423" s="9" t="str">
        <x:v>B2</x:v>
      </x:c>
      <x:c r="H423" s="9" t="str">
        <x:v>RCN</x:v>
      </x:c>
      <x:c r="I423" s="9" t="str">
        <x:v>PD01</x:v>
      </x:c>
      <x:c r="J423" s="17" t="str">
        <x:v>Experiment kernel</x:v>
      </x:c>
      <x:c r="K423" s="17" t="str">
        <x:v>Public archive</x:v>
      </x:c>
      <x:c r="L423" s="17" t="str">
        <x:v>COURT-SEALED UNTIL COHORT RELEASE</x:v>
      </x:c>
      <x:c r="M423" s="9" t="n">
        <x:v>0</x:v>
      </x:c>
      <x:c r="N423" s="9" t="n">
        <x:v>0</x:v>
      </x:c>
      <x:c r="O423" s="9" t="n">
        <x:v>0</x:v>
      </x:c>
      <x:c r="P423" s="9" t="str">
        <x:v>HELD / UNRELEASED</x:v>
      </x:c>
      <x:c r="Q423" s="9" t="n">
        <x:f>COUNTIFS($A$7:$A$2310,A423)</x:f>
        <x:v>1</x:v>
      </x:c>
    </x:row>
    <x:row r="424">
      <x:c r="A424" s="9" t="str">
        <x:v>PD-AR-HC-A-C-TECH-1-B2-RCN-G0-PD02</x:v>
      </x:c>
      <x:c r="B424" s="9" t="str">
        <x:v>PD-AR-HC-A-C-TECH-1-B2-RCN-G0</x:v>
      </x:c>
      <x:c r="C424" s="9" t="str">
        <x:v>EV-AR-HC-A-C-TECH-1-B2-RCN-G0</x:v>
      </x:c>
      <x:c r="D424" s="9" t="str">
        <x:v>AR-HC-A-C-TECH-1-B2-RCN-G0</x:v>
      </x:c>
      <x:c r="E424" s="9" t="str">
        <x:v>HC-A-C-TECH-1</x:v>
      </x:c>
      <x:c r="F424" s="9" t="str">
        <x:v>HC-A-C</x:v>
      </x:c>
      <x:c r="G424" s="9" t="str">
        <x:v>B2</x:v>
      </x:c>
      <x:c r="H424" s="9" t="str">
        <x:v>RCN</x:v>
      </x:c>
      <x:c r="I424" s="9" t="str">
        <x:v>PD02</x:v>
      </x:c>
      <x:c r="J424" s="17" t="str">
        <x:v>Serial annex and title chain</x:v>
      </x:c>
      <x:c r="K424" s="17" t="str">
        <x:v>Public archive</x:v>
      </x:c>
      <x:c r="L424" s="17" t="str">
        <x:v>COURT-SEALED UNTIL COHORT RELEASE</x:v>
      </x:c>
      <x:c r="M424" s="9" t="n">
        <x:v>0</x:v>
      </x:c>
      <x:c r="N424" s="9" t="n">
        <x:v>0</x:v>
      </x:c>
      <x:c r="O424" s="9" t="n">
        <x:v>0</x:v>
      </x:c>
      <x:c r="P424" s="9" t="str">
        <x:v>HELD / UNRELEASED</x:v>
      </x:c>
      <x:c r="Q424" s="9" t="n">
        <x:f>COUNTIFS($A$7:$A$2310,A424)</x:f>
        <x:v>1</x:v>
      </x:c>
    </x:row>
    <x:row r="425">
      <x:c r="A425" s="9" t="str">
        <x:v>PD-AR-HC-A-C-TECH-1-B2-RCN-G0-PD03</x:v>
      </x:c>
      <x:c r="B425" s="9" t="str">
        <x:v>PD-AR-HC-A-C-TECH-1-B2-RCN-G0</x:v>
      </x:c>
      <x:c r="C425" s="9" t="str">
        <x:v>EV-AR-HC-A-C-TECH-1-B2-RCN-G0</x:v>
      </x:c>
      <x:c r="D425" s="9" t="str">
        <x:v>AR-HC-A-C-TECH-1-B2-RCN-G0</x:v>
      </x:c>
      <x:c r="E425" s="9" t="str">
        <x:v>HC-A-C-TECH-1</x:v>
      </x:c>
      <x:c r="F425" s="9" t="str">
        <x:v>HC-A-C</x:v>
      </x:c>
      <x:c r="G425" s="9" t="str">
        <x:v>B2</x:v>
      </x:c>
      <x:c r="H425" s="9" t="str">
        <x:v>RCN</x:v>
      </x:c>
      <x:c r="I425" s="9" t="str">
        <x:v>PD03</x:v>
      </x:c>
      <x:c r="J425" s="17" t="str">
        <x:v>Configuration and as-built manifest</x:v>
      </x:c>
      <x:c r="K425" s="17" t="str">
        <x:v>Artifact exchange</x:v>
      </x:c>
      <x:c r="L425" s="17" t="str">
        <x:v>COURT-SEALED UNTIL COHORT RELEASE</x:v>
      </x:c>
      <x:c r="M425" s="9" t="n">
        <x:v>0</x:v>
      </x:c>
      <x:c r="N425" s="9" t="n">
        <x:v>0</x:v>
      </x:c>
      <x:c r="O425" s="9" t="n">
        <x:v>0</x:v>
      </x:c>
      <x:c r="P425" s="9" t="str">
        <x:v>HELD / UNRELEASED</x:v>
      </x:c>
      <x:c r="Q425" s="9" t="n">
        <x:f>COUNTIFS($A$7:$A$2310,A425)</x:f>
        <x:v>1</x:v>
      </x:c>
    </x:row>
    <x:row r="426">
      <x:c r="A426" s="9" t="str">
        <x:v>PD-AR-HC-A-C-TECH-1-B2-RCN-G0-PD04</x:v>
      </x:c>
      <x:c r="B426" s="9" t="str">
        <x:v>PD-AR-HC-A-C-TECH-1-B2-RCN-G0</x:v>
      </x:c>
      <x:c r="C426" s="9" t="str">
        <x:v>EV-AR-HC-A-C-TECH-1-B2-RCN-G0</x:v>
      </x:c>
      <x:c r="D426" s="9" t="str">
        <x:v>AR-HC-A-C-TECH-1-B2-RCN-G0</x:v>
      </x:c>
      <x:c r="E426" s="9" t="str">
        <x:v>HC-A-C-TECH-1</x:v>
      </x:c>
      <x:c r="F426" s="9" t="str">
        <x:v>HC-A-C</x:v>
      </x:c>
      <x:c r="G426" s="9" t="str">
        <x:v>B2</x:v>
      </x:c>
      <x:c r="H426" s="9" t="str">
        <x:v>RCN</x:v>
      </x:c>
      <x:c r="I426" s="9" t="str">
        <x:v>PD04</x:v>
      </x:c>
      <x:c r="J426" s="17" t="str">
        <x:v>EOW and start certificate</x:v>
      </x:c>
      <x:c r="K426" s="17" t="str">
        <x:v>Start registrar</x:v>
      </x:c>
      <x:c r="L426" s="17" t="str">
        <x:v>COURT-SEALED UNTIL COHORT RELEASE</x:v>
      </x:c>
      <x:c r="M426" s="9" t="n">
        <x:v>0</x:v>
      </x:c>
      <x:c r="N426" s="9" t="n">
        <x:v>0</x:v>
      </x:c>
      <x:c r="O426" s="9" t="n">
        <x:v>0</x:v>
      </x:c>
      <x:c r="P426" s="9" t="str">
        <x:v>HELD / UNRELEASED</x:v>
      </x:c>
      <x:c r="Q426" s="9" t="n">
        <x:f>COUNTIFS($A$7:$A$2310,A426)</x:f>
        <x:v>1</x:v>
      </x:c>
    </x:row>
    <x:row r="427">
      <x:c r="A427" s="9" t="str">
        <x:v>PD-AR-HC-A-C-TECH-1-B2-RCN-G0-PD05</x:v>
      </x:c>
      <x:c r="B427" s="9" t="str">
        <x:v>PD-AR-HC-A-C-TECH-1-B2-RCN-G0</x:v>
      </x:c>
      <x:c r="C427" s="9" t="str">
        <x:v>EV-AR-HC-A-C-TECH-1-B2-RCN-G0</x:v>
      </x:c>
      <x:c r="D427" s="9" t="str">
        <x:v>AR-HC-A-C-TECH-1-B2-RCN-G0</x:v>
      </x:c>
      <x:c r="E427" s="9" t="str">
        <x:v>HC-A-C-TECH-1</x:v>
      </x:c>
      <x:c r="F427" s="9" t="str">
        <x:v>HC-A-C</x:v>
      </x:c>
      <x:c r="G427" s="9" t="str">
        <x:v>B2</x:v>
      </x:c>
      <x:c r="H427" s="9" t="str">
        <x:v>RCN</x:v>
      </x:c>
      <x:c r="I427" s="9" t="str">
        <x:v>PD05</x:v>
      </x:c>
      <x:c r="J427" s="17" t="str">
        <x:v>Primary raw originals</x:v>
      </x:c>
      <x:c r="K427" s="17" t="str">
        <x:v>Primary custody</x:v>
      </x:c>
      <x:c r="L427" s="17" t="str">
        <x:v>COURT-SEALED UNTIL COHORT RELEASE</x:v>
      </x:c>
      <x:c r="M427" s="9" t="n">
        <x:v>0</x:v>
      </x:c>
      <x:c r="N427" s="9" t="n">
        <x:v>0</x:v>
      </x:c>
      <x:c r="O427" s="9" t="n">
        <x:v>0</x:v>
      </x:c>
      <x:c r="P427" s="9" t="str">
        <x:v>HELD / UNRELEASED</x:v>
      </x:c>
      <x:c r="Q427" s="9" t="n">
        <x:f>COUNTIFS($A$7:$A$2310,A427)</x:f>
        <x:v>1</x:v>
      </x:c>
    </x:row>
    <x:row r="428">
      <x:c r="A428" s="9" t="str">
        <x:v>PD-AR-HC-A-C-TECH-1-B2-RCN-G0-PD06</x:v>
      </x:c>
      <x:c r="B428" s="9" t="str">
        <x:v>PD-AR-HC-A-C-TECH-1-B2-RCN-G0</x:v>
      </x:c>
      <x:c r="C428" s="9" t="str">
        <x:v>EV-AR-HC-A-C-TECH-1-B2-RCN-G0</x:v>
      </x:c>
      <x:c r="D428" s="9" t="str">
        <x:v>AR-HC-A-C-TECH-1-B2-RCN-G0</x:v>
      </x:c>
      <x:c r="E428" s="9" t="str">
        <x:v>HC-A-C-TECH-1</x:v>
      </x:c>
      <x:c r="F428" s="9" t="str">
        <x:v>HC-A-C</x:v>
      </x:c>
      <x:c r="G428" s="9" t="str">
        <x:v>B2</x:v>
      </x:c>
      <x:c r="H428" s="9" t="str">
        <x:v>RCN</x:v>
      </x:c>
      <x:c r="I428" s="9" t="str">
        <x:v>PD06</x:v>
      </x:c>
      <x:c r="J428" s="17" t="str">
        <x:v>Witness raw originals</x:v>
      </x:c>
      <x:c r="K428" s="17" t="str">
        <x:v>Witness custody</x:v>
      </x:c>
      <x:c r="L428" s="17" t="str">
        <x:v>COURT-SEALED UNTIL COHORT RELEASE</x:v>
      </x:c>
      <x:c r="M428" s="9" t="n">
        <x:v>0</x:v>
      </x:c>
      <x:c r="N428" s="9" t="n">
        <x:v>0</x:v>
      </x:c>
      <x:c r="O428" s="9" t="n">
        <x:v>0</x:v>
      </x:c>
      <x:c r="P428" s="9" t="str">
        <x:v>HELD / UNRELEASED</x:v>
      </x:c>
      <x:c r="Q428" s="9" t="n">
        <x:f>COUNTIFS($A$7:$A$2310,A428)</x:f>
        <x:v>1</x:v>
      </x:c>
    </x:row>
    <x:row r="429">
      <x:c r="A429" s="9" t="str">
        <x:v>PD-AR-HC-A-C-TECH-1-B2-RCN-G0-PD07</x:v>
      </x:c>
      <x:c r="B429" s="9" t="str">
        <x:v>PD-AR-HC-A-C-TECH-1-B2-RCN-G0</x:v>
      </x:c>
      <x:c r="C429" s="9" t="str">
        <x:v>EV-AR-HC-A-C-TECH-1-B2-RCN-G0</x:v>
      </x:c>
      <x:c r="D429" s="9" t="str">
        <x:v>AR-HC-A-C-TECH-1-B2-RCN-G0</x:v>
      </x:c>
      <x:c r="E429" s="9" t="str">
        <x:v>HC-A-C-TECH-1</x:v>
      </x:c>
      <x:c r="F429" s="9" t="str">
        <x:v>HC-A-C</x:v>
      </x:c>
      <x:c r="G429" s="9" t="str">
        <x:v>B2</x:v>
      </x:c>
      <x:c r="H429" s="9" t="str">
        <x:v>RCN</x:v>
      </x:c>
      <x:c r="I429" s="9" t="str">
        <x:v>PD07</x:v>
      </x:c>
      <x:c r="J429" s="17" t="str">
        <x:v>Clock and environmental records</x:v>
      </x:c>
      <x:c r="K429" s="17" t="str">
        <x:v>Boundary archive</x:v>
      </x:c>
      <x:c r="L429" s="17" t="str">
        <x:v>COURT-SEALED UNTIL COHORT RELEASE</x:v>
      </x:c>
      <x:c r="M429" s="9" t="n">
        <x:v>0</x:v>
      </x:c>
      <x:c r="N429" s="9" t="n">
        <x:v>0</x:v>
      </x:c>
      <x:c r="O429" s="9" t="n">
        <x:v>0</x:v>
      </x:c>
      <x:c r="P429" s="9" t="str">
        <x:v>HELD / UNRELEASED</x:v>
      </x:c>
      <x:c r="Q429" s="9" t="n">
        <x:f>COUNTIFS($A$7:$A$2310,A429)</x:f>
        <x:v>1</x:v>
      </x:c>
    </x:row>
    <x:row r="430">
      <x:c r="A430" s="9" t="str">
        <x:v>PD-AR-HC-A-C-TECH-1-B2-RCN-G0-PD08</x:v>
      </x:c>
      <x:c r="B430" s="9" t="str">
        <x:v>PD-AR-HC-A-C-TECH-1-B2-RCN-G0</x:v>
      </x:c>
      <x:c r="C430" s="9" t="str">
        <x:v>EV-AR-HC-A-C-TECH-1-B2-RCN-G0</x:v>
      </x:c>
      <x:c r="D430" s="9" t="str">
        <x:v>AR-HC-A-C-TECH-1-B2-RCN-G0</x:v>
      </x:c>
      <x:c r="E430" s="9" t="str">
        <x:v>HC-A-C-TECH-1</x:v>
      </x:c>
      <x:c r="F430" s="9" t="str">
        <x:v>HC-A-C</x:v>
      </x:c>
      <x:c r="G430" s="9" t="str">
        <x:v>B2</x:v>
      </x:c>
      <x:c r="H430" s="9" t="str">
        <x:v>RCN</x:v>
      </x:c>
      <x:c r="I430" s="9" t="str">
        <x:v>PD08</x:v>
      </x:c>
      <x:c r="J430" s="17" t="str">
        <x:v>Command and intervention log</x:v>
      </x:c>
      <x:c r="K430" s="17" t="str">
        <x:v>Safety archive</x:v>
      </x:c>
      <x:c r="L430" s="17" t="str">
        <x:v>COURT-SEALED UNTIL COHORT RELEASE</x:v>
      </x:c>
      <x:c r="M430" s="9" t="n">
        <x:v>0</x:v>
      </x:c>
      <x:c r="N430" s="9" t="n">
        <x:v>0</x:v>
      </x:c>
      <x:c r="O430" s="9" t="n">
        <x:v>0</x:v>
      </x:c>
      <x:c r="P430" s="9" t="str">
        <x:v>HELD / UNRELEASED</x:v>
      </x:c>
      <x:c r="Q430" s="9" t="n">
        <x:f>COUNTIFS($A$7:$A$2310,A430)</x:f>
        <x:v>1</x:v>
      </x:c>
    </x:row>
    <x:row r="431">
      <x:c r="A431" s="9" t="str">
        <x:v>PD-AR-HC-A-C-TECH-1-B2-RCN-G0-PD09</x:v>
      </x:c>
      <x:c r="B431" s="9" t="str">
        <x:v>PD-AR-HC-A-C-TECH-1-B2-RCN-G0</x:v>
      </x:c>
      <x:c r="C431" s="9" t="str">
        <x:v>EV-AR-HC-A-C-TECH-1-B2-RCN-G0</x:v>
      </x:c>
      <x:c r="D431" s="9" t="str">
        <x:v>AR-HC-A-C-TECH-1-B2-RCN-G0</x:v>
      </x:c>
      <x:c r="E431" s="9" t="str">
        <x:v>HC-A-C-TECH-1</x:v>
      </x:c>
      <x:c r="F431" s="9" t="str">
        <x:v>HC-A-C</x:v>
      </x:c>
      <x:c r="G431" s="9" t="str">
        <x:v>B2</x:v>
      </x:c>
      <x:c r="H431" s="9" t="str">
        <x:v>RCN</x:v>
      </x:c>
      <x:c r="I431" s="9" t="str">
        <x:v>PD09</x:v>
      </x:c>
      <x:c r="J431" s="17" t="str">
        <x:v>Receiver denominator and service ledger</x:v>
      </x:c>
      <x:c r="K431" s="17" t="str">
        <x:v>Receiver archive</x:v>
      </x:c>
      <x:c r="L431" s="17" t="str">
        <x:v>COURT-SEALED UNTIL COHORT RELEASE</x:v>
      </x:c>
      <x:c r="M431" s="9" t="n">
        <x:v>0</x:v>
      </x:c>
      <x:c r="N431" s="9" t="n">
        <x:v>0</x:v>
      </x:c>
      <x:c r="O431" s="9" t="n">
        <x:v>0</x:v>
      </x:c>
      <x:c r="P431" s="9" t="str">
        <x:v>HELD / UNRELEASED</x:v>
      </x:c>
      <x:c r="Q431" s="9" t="n">
        <x:f>COUNTIFS($A$7:$A$2310,A431)</x:f>
        <x:v>1</x:v>
      </x:c>
    </x:row>
    <x:row r="432">
      <x:c r="A432" s="9" t="str">
        <x:v>PD-AR-HC-A-C-TECH-1-B2-RCN-G0-PD10</x:v>
      </x:c>
      <x:c r="B432" s="9" t="str">
        <x:v>PD-AR-HC-A-C-TECH-1-B2-RCN-G0</x:v>
      </x:c>
      <x:c r="C432" s="9" t="str">
        <x:v>EV-AR-HC-A-C-TECH-1-B2-RCN-G0</x:v>
      </x:c>
      <x:c r="D432" s="9" t="str">
        <x:v>AR-HC-A-C-TECH-1-B2-RCN-G0</x:v>
      </x:c>
      <x:c r="E432" s="9" t="str">
        <x:v>HC-A-C-TECH-1</x:v>
      </x:c>
      <x:c r="F432" s="9" t="str">
        <x:v>HC-A-C</x:v>
      </x:c>
      <x:c r="G432" s="9" t="str">
        <x:v>B2</x:v>
      </x:c>
      <x:c r="H432" s="9" t="str">
        <x:v>RCN</x:v>
      </x:c>
      <x:c r="I432" s="9" t="str">
        <x:v>PD10</x:v>
      </x:c>
      <x:c r="J432" s="17" t="str">
        <x:v>Calibration and uncertainty record</x:v>
      </x:c>
      <x:c r="K432" s="17" t="str">
        <x:v>Metrology archive</x:v>
      </x:c>
      <x:c r="L432" s="17" t="str">
        <x:v>COURT-SEALED UNTIL COHORT RELEASE</x:v>
      </x:c>
      <x:c r="M432" s="9" t="n">
        <x:v>0</x:v>
      </x:c>
      <x:c r="N432" s="9" t="n">
        <x:v>0</x:v>
      </x:c>
      <x:c r="O432" s="9" t="n">
        <x:v>0</x:v>
      </x:c>
      <x:c r="P432" s="9" t="str">
        <x:v>HELD / UNRELEASED</x:v>
      </x:c>
      <x:c r="Q432" s="9" t="n">
        <x:f>COUNTIFS($A$7:$A$2310,A432)</x:f>
        <x:v>1</x:v>
      </x:c>
    </x:row>
    <x:row r="433">
      <x:c r="A433" s="9" t="str">
        <x:v>PD-AR-HC-A-C-TECH-1-B2-RCN-G0-PD11</x:v>
      </x:c>
      <x:c r="B433" s="9" t="str">
        <x:v>PD-AR-HC-A-C-TECH-1-B2-RCN-G0</x:v>
      </x:c>
      <x:c r="C433" s="9" t="str">
        <x:v>EV-AR-HC-A-C-TECH-1-B2-RCN-G0</x:v>
      </x:c>
      <x:c r="D433" s="9" t="str">
        <x:v>AR-HC-A-C-TECH-1-B2-RCN-G0</x:v>
      </x:c>
      <x:c r="E433" s="9" t="str">
        <x:v>HC-A-C-TECH-1</x:v>
      </x:c>
      <x:c r="F433" s="9" t="str">
        <x:v>HC-A-C</x:v>
      </x:c>
      <x:c r="G433" s="9" t="str">
        <x:v>B2</x:v>
      </x:c>
      <x:c r="H433" s="9" t="str">
        <x:v>RCN</x:v>
      </x:c>
      <x:c r="I433" s="9" t="str">
        <x:v>PD11</x:v>
      </x:c>
      <x:c r="J433" s="17" t="str">
        <x:v>Invalidity petition and opinion</x:v>
      </x:c>
      <x:c r="K433" s="17" t="str">
        <x:v>Invalidity court</x:v>
      </x:c>
      <x:c r="L433" s="17" t="str">
        <x:v>COURT-SEALED UNTIL COHORT RELEASE</x:v>
      </x:c>
      <x:c r="M433" s="9" t="n">
        <x:v>0</x:v>
      </x:c>
      <x:c r="N433" s="9" t="n">
        <x:v>0</x:v>
      </x:c>
      <x:c r="O433" s="9" t="n">
        <x:v>0</x:v>
      </x:c>
      <x:c r="P433" s="9" t="str">
        <x:v>HELD / UNRELEASED</x:v>
      </x:c>
      <x:c r="Q433" s="9" t="n">
        <x:f>COUNTIFS($A$7:$A$2310,A433)</x:f>
        <x:v>1</x:v>
      </x:c>
    </x:row>
    <x:row r="434">
      <x:c r="A434" s="9" t="str">
        <x:v>PD-AR-HC-A-C-TECH-1-B2-RCN-G0-PD12</x:v>
      </x:c>
      <x:c r="B434" s="9" t="str">
        <x:v>PD-AR-HC-A-C-TECH-1-B2-RCN-G0</x:v>
      </x:c>
      <x:c r="C434" s="9" t="str">
        <x:v>EV-AR-HC-A-C-TECH-1-B2-RCN-G0</x:v>
      </x:c>
      <x:c r="D434" s="9" t="str">
        <x:v>AR-HC-A-C-TECH-1-B2-RCN-G0</x:v>
      </x:c>
      <x:c r="E434" s="9" t="str">
        <x:v>HC-A-C-TECH-1</x:v>
      </x:c>
      <x:c r="F434" s="9" t="str">
        <x:v>HC-A-C</x:v>
      </x:c>
      <x:c r="G434" s="9" t="str">
        <x:v>B2</x:v>
      </x:c>
      <x:c r="H434" s="9" t="str">
        <x:v>RCN</x:v>
      </x:c>
      <x:c r="I434" s="9" t="str">
        <x:v>PD12</x:v>
      </x:c>
      <x:c r="J434" s="17" t="str">
        <x:v>Observation acceptance and replay</x:v>
      </x:c>
      <x:c r="K434" s="17" t="str">
        <x:v>Observation court</x:v>
      </x:c>
      <x:c r="L434" s="17" t="str">
        <x:v>COURT-SEALED UNTIL COHORT RELEASE</x:v>
      </x:c>
      <x:c r="M434" s="9" t="n">
        <x:v>0</x:v>
      </x:c>
      <x:c r="N434" s="9" t="n">
        <x:v>0</x:v>
      </x:c>
      <x:c r="O434" s="9" t="n">
        <x:v>0</x:v>
      </x:c>
      <x:c r="P434" s="9" t="str">
        <x:v>HELD / UNRELEASED</x:v>
      </x:c>
      <x:c r="Q434" s="9" t="n">
        <x:f>COUNTIFS($A$7:$A$2310,A434)</x:f>
        <x:v>1</x:v>
      </x:c>
    </x:row>
    <x:row r="435">
      <x:c r="A435" s="9" t="str">
        <x:v>PD-AR-HC-A-C-TECH-1-B2-RCN-G0-PD13</x:v>
      </x:c>
      <x:c r="B435" s="9" t="str">
        <x:v>PD-AR-HC-A-C-TECH-1-B2-RCN-G0</x:v>
      </x:c>
      <x:c r="C435" s="9" t="str">
        <x:v>EV-AR-HC-A-C-TECH-1-B2-RCN-G0</x:v>
      </x:c>
      <x:c r="D435" s="9" t="str">
        <x:v>AR-HC-A-C-TECH-1-B2-RCN-G0</x:v>
      </x:c>
      <x:c r="E435" s="9" t="str">
        <x:v>HC-A-C-TECH-1</x:v>
      </x:c>
      <x:c r="F435" s="9" t="str">
        <x:v>HC-A-C</x:v>
      </x:c>
      <x:c r="G435" s="9" t="str">
        <x:v>B2</x:v>
      </x:c>
      <x:c r="H435" s="9" t="str">
        <x:v>RCN</x:v>
      </x:c>
      <x:c r="I435" s="9" t="str">
        <x:v>PD13</x:v>
      </x:c>
      <x:c r="J435" s="17" t="str">
        <x:v>Role judgment</x:v>
      </x:c>
      <x:c r="K435" s="17" t="str">
        <x:v>Role court</x:v>
      </x:c>
      <x:c r="L435" s="17" t="str">
        <x:v>COURT-SEALED UNTIL COHORT RELEASE</x:v>
      </x:c>
      <x:c r="M435" s="9" t="n">
        <x:v>0</x:v>
      </x:c>
      <x:c r="N435" s="9" t="n">
        <x:v>0</x:v>
      </x:c>
      <x:c r="O435" s="9" t="n">
        <x:v>0</x:v>
      </x:c>
      <x:c r="P435" s="9" t="str">
        <x:v>HELD / UNRELEASED</x:v>
      </x:c>
      <x:c r="Q435" s="9" t="n">
        <x:f>COUNTIFS($A$7:$A$2310,A435)</x:f>
        <x:v>1</x:v>
      </x:c>
    </x:row>
    <x:row r="436">
      <x:c r="A436" s="9" t="str">
        <x:v>PD-AR-HC-A-C-TECH-1-B2-RCN-G0-PD14</x:v>
      </x:c>
      <x:c r="B436" s="9" t="str">
        <x:v>PD-AR-HC-A-C-TECH-1-B2-RCN-G0</x:v>
      </x:c>
      <x:c r="C436" s="9" t="str">
        <x:v>EV-AR-HC-A-C-TECH-1-B2-RCN-G0</x:v>
      </x:c>
      <x:c r="D436" s="9" t="str">
        <x:v>AR-HC-A-C-TECH-1-B2-RCN-G0</x:v>
      </x:c>
      <x:c r="E436" s="9" t="str">
        <x:v>HC-A-C-TECH-1</x:v>
      </x:c>
      <x:c r="F436" s="9" t="str">
        <x:v>HC-A-C</x:v>
      </x:c>
      <x:c r="G436" s="9" t="str">
        <x:v>B2</x:v>
      </x:c>
      <x:c r="H436" s="9" t="str">
        <x:v>RCN</x:v>
      </x:c>
      <x:c r="I436" s="9" t="str">
        <x:v>PD14</x:v>
      </x:c>
      <x:c r="J436" s="17" t="str">
        <x:v>Break and residual account</x:v>
      </x:c>
      <x:c r="K436" s="17" t="str">
        <x:v>Residual authority</x:v>
      </x:c>
      <x:c r="L436" s="17" t="str">
        <x:v>COURT-SEALED UNTIL COHORT RELEASE</x:v>
      </x:c>
      <x:c r="M436" s="9" t="n">
        <x:v>0</x:v>
      </x:c>
      <x:c r="N436" s="9" t="n">
        <x:v>0</x:v>
      </x:c>
      <x:c r="O436" s="9" t="n">
        <x:v>0</x:v>
      </x:c>
      <x:c r="P436" s="9" t="str">
        <x:v>HELD / UNRELEASED</x:v>
      </x:c>
      <x:c r="Q436" s="9" t="n">
        <x:f>COUNTIFS($A$7:$A$2310,A436)</x:f>
        <x:v>1</x:v>
      </x:c>
    </x:row>
    <x:row r="437">
      <x:c r="A437" s="9" t="str">
        <x:v>PD-AR-HC-A-C-TECH-1-B2-RCN-G0-PD15</x:v>
      </x:c>
      <x:c r="B437" s="9" t="str">
        <x:v>PD-AR-HC-A-C-TECH-1-B2-RCN-G0</x:v>
      </x:c>
      <x:c r="C437" s="9" t="str">
        <x:v>EV-AR-HC-A-C-TECH-1-B2-RCN-G0</x:v>
      </x:c>
      <x:c r="D437" s="9" t="str">
        <x:v>AR-HC-A-C-TECH-1-B2-RCN-G0</x:v>
      </x:c>
      <x:c r="E437" s="9" t="str">
        <x:v>HC-A-C-TECH-1</x:v>
      </x:c>
      <x:c r="F437" s="9" t="str">
        <x:v>HC-A-C</x:v>
      </x:c>
      <x:c r="G437" s="9" t="str">
        <x:v>B2</x:v>
      </x:c>
      <x:c r="H437" s="9" t="str">
        <x:v>RCN</x:v>
      </x:c>
      <x:c r="I437" s="9" t="str">
        <x:v>PD15</x:v>
      </x:c>
      <x:c r="J437" s="17" t="str">
        <x:v>Reconstruction ancestry and replay</x:v>
      </x:c>
      <x:c r="K437" s="17" t="str">
        <x:v>Reconstruction court</x:v>
      </x:c>
      <x:c r="L437" s="17" t="str">
        <x:v>COURT-SEALED UNTIL COHORT RELEASE</x:v>
      </x:c>
      <x:c r="M437" s="9" t="n">
        <x:v>0</x:v>
      </x:c>
      <x:c r="N437" s="9" t="n">
        <x:v>0</x:v>
      </x:c>
      <x:c r="O437" s="9" t="n">
        <x:v>0</x:v>
      </x:c>
      <x:c r="P437" s="9" t="str">
        <x:v>HELD / UNRELEASED</x:v>
      </x:c>
      <x:c r="Q437" s="9" t="n">
        <x:f>COUNTIFS($A$7:$A$2310,A437)</x:f>
        <x:v>1</x:v>
      </x:c>
    </x:row>
    <x:row r="438">
      <x:c r="A438" s="9" t="str">
        <x:v>PD-AR-HC-A-C-TECH-1-B2-RCN-G0-PD16</x:v>
      </x:c>
      <x:c r="B438" s="9" t="str">
        <x:v>PD-AR-HC-A-C-TECH-1-B2-RCN-G0</x:v>
      </x:c>
      <x:c r="C438" s="9" t="str">
        <x:v>EV-AR-HC-A-C-TECH-1-B2-RCN-G0</x:v>
      </x:c>
      <x:c r="D438" s="9" t="str">
        <x:v>AR-HC-A-C-TECH-1-B2-RCN-G0</x:v>
      </x:c>
      <x:c r="E438" s="9" t="str">
        <x:v>HC-A-C-TECH-1</x:v>
      </x:c>
      <x:c r="F438" s="9" t="str">
        <x:v>HC-A-C</x:v>
      </x:c>
      <x:c r="G438" s="9" t="str">
        <x:v>B2</x:v>
      </x:c>
      <x:c r="H438" s="9" t="str">
        <x:v>RCN</x:v>
      </x:c>
      <x:c r="I438" s="9" t="str">
        <x:v>PD16</x:v>
      </x:c>
      <x:c r="J438" s="17" t="str">
        <x:v>Dissent, amendments and access log</x:v>
      </x:c>
      <x:c r="K438" s="17" t="str">
        <x:v>Public archive</x:v>
      </x:c>
      <x:c r="L438" s="17" t="str">
        <x:v>COURT-SEALED UNTIL COHORT RELEASE</x:v>
      </x:c>
      <x:c r="M438" s="9" t="n">
        <x:v>0</x:v>
      </x:c>
      <x:c r="N438" s="9" t="n">
        <x:v>0</x:v>
      </x:c>
      <x:c r="O438" s="9" t="n">
        <x:v>0</x:v>
      </x:c>
      <x:c r="P438" s="9" t="str">
        <x:v>HELD / UNRELEASED</x:v>
      </x:c>
      <x:c r="Q438" s="9" t="n">
        <x:f>COUNTIFS($A$7:$A$2310,A438)</x:f>
        <x:v>1</x:v>
      </x:c>
    </x:row>
    <x:row r="439">
      <x:c r="A439" s="9" t="str">
        <x:v>PD-AR-HC-A-C-TECH-3-B2-BRK-G0-PD01</x:v>
      </x:c>
      <x:c r="B439" s="9" t="str">
        <x:v>PD-AR-HC-A-C-TECH-3-B2-BRK-G0</x:v>
      </x:c>
      <x:c r="C439" s="9" t="str">
        <x:v>EV-AR-HC-A-C-TECH-3-B2-BRK-G0</x:v>
      </x:c>
      <x:c r="D439" s="9" t="str">
        <x:v>AR-HC-A-C-TECH-3-B2-BRK-G0</x:v>
      </x:c>
      <x:c r="E439" s="9" t="str">
        <x:v>HC-A-C-TECH-3</x:v>
      </x:c>
      <x:c r="F439" s="9" t="str">
        <x:v>HC-A-C</x:v>
      </x:c>
      <x:c r="G439" s="9" t="str">
        <x:v>B2</x:v>
      </x:c>
      <x:c r="H439" s="9" t="str">
        <x:v>BRK</x:v>
      </x:c>
      <x:c r="I439" s="9" t="str">
        <x:v>PD01</x:v>
      </x:c>
      <x:c r="J439" s="17" t="str">
        <x:v>Experiment kernel</x:v>
      </x:c>
      <x:c r="K439" s="17" t="str">
        <x:v>Public archive</x:v>
      </x:c>
      <x:c r="L439" s="17" t="str">
        <x:v>COURT-SEALED UNTIL COHORT RELEASE</x:v>
      </x:c>
      <x:c r="M439" s="9" t="n">
        <x:v>0</x:v>
      </x:c>
      <x:c r="N439" s="9" t="n">
        <x:v>0</x:v>
      </x:c>
      <x:c r="O439" s="9" t="n">
        <x:v>0</x:v>
      </x:c>
      <x:c r="P439" s="9" t="str">
        <x:v>HELD / UNRELEASED</x:v>
      </x:c>
      <x:c r="Q439" s="9" t="n">
        <x:f>COUNTIFS($A$7:$A$2310,A439)</x:f>
        <x:v>1</x:v>
      </x:c>
    </x:row>
    <x:row r="440">
      <x:c r="A440" s="9" t="str">
        <x:v>PD-AR-HC-A-C-TECH-3-B2-BRK-G0-PD02</x:v>
      </x:c>
      <x:c r="B440" s="9" t="str">
        <x:v>PD-AR-HC-A-C-TECH-3-B2-BRK-G0</x:v>
      </x:c>
      <x:c r="C440" s="9" t="str">
        <x:v>EV-AR-HC-A-C-TECH-3-B2-BRK-G0</x:v>
      </x:c>
      <x:c r="D440" s="9" t="str">
        <x:v>AR-HC-A-C-TECH-3-B2-BRK-G0</x:v>
      </x:c>
      <x:c r="E440" s="9" t="str">
        <x:v>HC-A-C-TECH-3</x:v>
      </x:c>
      <x:c r="F440" s="9" t="str">
        <x:v>HC-A-C</x:v>
      </x:c>
      <x:c r="G440" s="9" t="str">
        <x:v>B2</x:v>
      </x:c>
      <x:c r="H440" s="9" t="str">
        <x:v>BRK</x:v>
      </x:c>
      <x:c r="I440" s="9" t="str">
        <x:v>PD02</x:v>
      </x:c>
      <x:c r="J440" s="17" t="str">
        <x:v>Serial annex and title chain</x:v>
      </x:c>
      <x:c r="K440" s="17" t="str">
        <x:v>Public archive</x:v>
      </x:c>
      <x:c r="L440" s="17" t="str">
        <x:v>COURT-SEALED UNTIL COHORT RELEASE</x:v>
      </x:c>
      <x:c r="M440" s="9" t="n">
        <x:v>0</x:v>
      </x:c>
      <x:c r="N440" s="9" t="n">
        <x:v>0</x:v>
      </x:c>
      <x:c r="O440" s="9" t="n">
        <x:v>0</x:v>
      </x:c>
      <x:c r="P440" s="9" t="str">
        <x:v>HELD / UNRELEASED</x:v>
      </x:c>
      <x:c r="Q440" s="9" t="n">
        <x:f>COUNTIFS($A$7:$A$2310,A440)</x:f>
        <x:v>1</x:v>
      </x:c>
    </x:row>
    <x:row r="441">
      <x:c r="A441" s="9" t="str">
        <x:v>PD-AR-HC-A-C-TECH-3-B2-BRK-G0-PD03</x:v>
      </x:c>
      <x:c r="B441" s="9" t="str">
        <x:v>PD-AR-HC-A-C-TECH-3-B2-BRK-G0</x:v>
      </x:c>
      <x:c r="C441" s="9" t="str">
        <x:v>EV-AR-HC-A-C-TECH-3-B2-BRK-G0</x:v>
      </x:c>
      <x:c r="D441" s="9" t="str">
        <x:v>AR-HC-A-C-TECH-3-B2-BRK-G0</x:v>
      </x:c>
      <x:c r="E441" s="9" t="str">
        <x:v>HC-A-C-TECH-3</x:v>
      </x:c>
      <x:c r="F441" s="9" t="str">
        <x:v>HC-A-C</x:v>
      </x:c>
      <x:c r="G441" s="9" t="str">
        <x:v>B2</x:v>
      </x:c>
      <x:c r="H441" s="9" t="str">
        <x:v>BRK</x:v>
      </x:c>
      <x:c r="I441" s="9" t="str">
        <x:v>PD03</x:v>
      </x:c>
      <x:c r="J441" s="17" t="str">
        <x:v>Configuration and as-built manifest</x:v>
      </x:c>
      <x:c r="K441" s="17" t="str">
        <x:v>Artifact exchange</x:v>
      </x:c>
      <x:c r="L441" s="17" t="str">
        <x:v>COURT-SEALED UNTIL COHORT RELEASE</x:v>
      </x:c>
      <x:c r="M441" s="9" t="n">
        <x:v>0</x:v>
      </x:c>
      <x:c r="N441" s="9" t="n">
        <x:v>0</x:v>
      </x:c>
      <x:c r="O441" s="9" t="n">
        <x:v>0</x:v>
      </x:c>
      <x:c r="P441" s="9" t="str">
        <x:v>HELD / UNRELEASED</x:v>
      </x:c>
      <x:c r="Q441" s="9" t="n">
        <x:f>COUNTIFS($A$7:$A$2310,A441)</x:f>
        <x:v>1</x:v>
      </x:c>
    </x:row>
    <x:row r="442">
      <x:c r="A442" s="9" t="str">
        <x:v>PD-AR-HC-A-C-TECH-3-B2-BRK-G0-PD04</x:v>
      </x:c>
      <x:c r="B442" s="9" t="str">
        <x:v>PD-AR-HC-A-C-TECH-3-B2-BRK-G0</x:v>
      </x:c>
      <x:c r="C442" s="9" t="str">
        <x:v>EV-AR-HC-A-C-TECH-3-B2-BRK-G0</x:v>
      </x:c>
      <x:c r="D442" s="9" t="str">
        <x:v>AR-HC-A-C-TECH-3-B2-BRK-G0</x:v>
      </x:c>
      <x:c r="E442" s="9" t="str">
        <x:v>HC-A-C-TECH-3</x:v>
      </x:c>
      <x:c r="F442" s="9" t="str">
        <x:v>HC-A-C</x:v>
      </x:c>
      <x:c r="G442" s="9" t="str">
        <x:v>B2</x:v>
      </x:c>
      <x:c r="H442" s="9" t="str">
        <x:v>BRK</x:v>
      </x:c>
      <x:c r="I442" s="9" t="str">
        <x:v>PD04</x:v>
      </x:c>
      <x:c r="J442" s="17" t="str">
        <x:v>EOW and start certificate</x:v>
      </x:c>
      <x:c r="K442" s="17" t="str">
        <x:v>Start registrar</x:v>
      </x:c>
      <x:c r="L442" s="17" t="str">
        <x:v>COURT-SEALED UNTIL COHORT RELEASE</x:v>
      </x:c>
      <x:c r="M442" s="9" t="n">
        <x:v>0</x:v>
      </x:c>
      <x:c r="N442" s="9" t="n">
        <x:v>0</x:v>
      </x:c>
      <x:c r="O442" s="9" t="n">
        <x:v>0</x:v>
      </x:c>
      <x:c r="P442" s="9" t="str">
        <x:v>HELD / UNRELEASED</x:v>
      </x:c>
      <x:c r="Q442" s="9" t="n">
        <x:f>COUNTIFS($A$7:$A$2310,A442)</x:f>
        <x:v>1</x:v>
      </x:c>
    </x:row>
    <x:row r="443">
      <x:c r="A443" s="9" t="str">
        <x:v>PD-AR-HC-A-C-TECH-3-B2-BRK-G0-PD05</x:v>
      </x:c>
      <x:c r="B443" s="9" t="str">
        <x:v>PD-AR-HC-A-C-TECH-3-B2-BRK-G0</x:v>
      </x:c>
      <x:c r="C443" s="9" t="str">
        <x:v>EV-AR-HC-A-C-TECH-3-B2-BRK-G0</x:v>
      </x:c>
      <x:c r="D443" s="9" t="str">
        <x:v>AR-HC-A-C-TECH-3-B2-BRK-G0</x:v>
      </x:c>
      <x:c r="E443" s="9" t="str">
        <x:v>HC-A-C-TECH-3</x:v>
      </x:c>
      <x:c r="F443" s="9" t="str">
        <x:v>HC-A-C</x:v>
      </x:c>
      <x:c r="G443" s="9" t="str">
        <x:v>B2</x:v>
      </x:c>
      <x:c r="H443" s="9" t="str">
        <x:v>BRK</x:v>
      </x:c>
      <x:c r="I443" s="9" t="str">
        <x:v>PD05</x:v>
      </x:c>
      <x:c r="J443" s="17" t="str">
        <x:v>Primary raw originals</x:v>
      </x:c>
      <x:c r="K443" s="17" t="str">
        <x:v>Primary custody</x:v>
      </x:c>
      <x:c r="L443" s="17" t="str">
        <x:v>COURT-SEALED UNTIL COHORT RELEASE</x:v>
      </x:c>
      <x:c r="M443" s="9" t="n">
        <x:v>0</x:v>
      </x:c>
      <x:c r="N443" s="9" t="n">
        <x:v>0</x:v>
      </x:c>
      <x:c r="O443" s="9" t="n">
        <x:v>0</x:v>
      </x:c>
      <x:c r="P443" s="9" t="str">
        <x:v>HELD / UNRELEASED</x:v>
      </x:c>
      <x:c r="Q443" s="9" t="n">
        <x:f>COUNTIFS($A$7:$A$2310,A443)</x:f>
        <x:v>1</x:v>
      </x:c>
    </x:row>
    <x:row r="444">
      <x:c r="A444" s="9" t="str">
        <x:v>PD-AR-HC-A-C-TECH-3-B2-BRK-G0-PD06</x:v>
      </x:c>
      <x:c r="B444" s="9" t="str">
        <x:v>PD-AR-HC-A-C-TECH-3-B2-BRK-G0</x:v>
      </x:c>
      <x:c r="C444" s="9" t="str">
        <x:v>EV-AR-HC-A-C-TECH-3-B2-BRK-G0</x:v>
      </x:c>
      <x:c r="D444" s="9" t="str">
        <x:v>AR-HC-A-C-TECH-3-B2-BRK-G0</x:v>
      </x:c>
      <x:c r="E444" s="9" t="str">
        <x:v>HC-A-C-TECH-3</x:v>
      </x:c>
      <x:c r="F444" s="9" t="str">
        <x:v>HC-A-C</x:v>
      </x:c>
      <x:c r="G444" s="9" t="str">
        <x:v>B2</x:v>
      </x:c>
      <x:c r="H444" s="9" t="str">
        <x:v>BRK</x:v>
      </x:c>
      <x:c r="I444" s="9" t="str">
        <x:v>PD06</x:v>
      </x:c>
      <x:c r="J444" s="17" t="str">
        <x:v>Witness raw originals</x:v>
      </x:c>
      <x:c r="K444" s="17" t="str">
        <x:v>Witness custody</x:v>
      </x:c>
      <x:c r="L444" s="17" t="str">
        <x:v>COURT-SEALED UNTIL COHORT RELEASE</x:v>
      </x:c>
      <x:c r="M444" s="9" t="n">
        <x:v>0</x:v>
      </x:c>
      <x:c r="N444" s="9" t="n">
        <x:v>0</x:v>
      </x:c>
      <x:c r="O444" s="9" t="n">
        <x:v>0</x:v>
      </x:c>
      <x:c r="P444" s="9" t="str">
        <x:v>HELD / UNRELEASED</x:v>
      </x:c>
      <x:c r="Q444" s="9" t="n">
        <x:f>COUNTIFS($A$7:$A$2310,A444)</x:f>
        <x:v>1</x:v>
      </x:c>
    </x:row>
    <x:row r="445">
      <x:c r="A445" s="9" t="str">
        <x:v>PD-AR-HC-A-C-TECH-3-B2-BRK-G0-PD07</x:v>
      </x:c>
      <x:c r="B445" s="9" t="str">
        <x:v>PD-AR-HC-A-C-TECH-3-B2-BRK-G0</x:v>
      </x:c>
      <x:c r="C445" s="9" t="str">
        <x:v>EV-AR-HC-A-C-TECH-3-B2-BRK-G0</x:v>
      </x:c>
      <x:c r="D445" s="9" t="str">
        <x:v>AR-HC-A-C-TECH-3-B2-BRK-G0</x:v>
      </x:c>
      <x:c r="E445" s="9" t="str">
        <x:v>HC-A-C-TECH-3</x:v>
      </x:c>
      <x:c r="F445" s="9" t="str">
        <x:v>HC-A-C</x:v>
      </x:c>
      <x:c r="G445" s="9" t="str">
        <x:v>B2</x:v>
      </x:c>
      <x:c r="H445" s="9" t="str">
        <x:v>BRK</x:v>
      </x:c>
      <x:c r="I445" s="9" t="str">
        <x:v>PD07</x:v>
      </x:c>
      <x:c r="J445" s="17" t="str">
        <x:v>Clock and environmental records</x:v>
      </x:c>
      <x:c r="K445" s="17" t="str">
        <x:v>Boundary archive</x:v>
      </x:c>
      <x:c r="L445" s="17" t="str">
        <x:v>COURT-SEALED UNTIL COHORT RELEASE</x:v>
      </x:c>
      <x:c r="M445" s="9" t="n">
        <x:v>0</x:v>
      </x:c>
      <x:c r="N445" s="9" t="n">
        <x:v>0</x:v>
      </x:c>
      <x:c r="O445" s="9" t="n">
        <x:v>0</x:v>
      </x:c>
      <x:c r="P445" s="9" t="str">
        <x:v>HELD / UNRELEASED</x:v>
      </x:c>
      <x:c r="Q445" s="9" t="n">
        <x:f>COUNTIFS($A$7:$A$2310,A445)</x:f>
        <x:v>1</x:v>
      </x:c>
    </x:row>
    <x:row r="446">
      <x:c r="A446" s="9" t="str">
        <x:v>PD-AR-HC-A-C-TECH-3-B2-BRK-G0-PD08</x:v>
      </x:c>
      <x:c r="B446" s="9" t="str">
        <x:v>PD-AR-HC-A-C-TECH-3-B2-BRK-G0</x:v>
      </x:c>
      <x:c r="C446" s="9" t="str">
        <x:v>EV-AR-HC-A-C-TECH-3-B2-BRK-G0</x:v>
      </x:c>
      <x:c r="D446" s="9" t="str">
        <x:v>AR-HC-A-C-TECH-3-B2-BRK-G0</x:v>
      </x:c>
      <x:c r="E446" s="9" t="str">
        <x:v>HC-A-C-TECH-3</x:v>
      </x:c>
      <x:c r="F446" s="9" t="str">
        <x:v>HC-A-C</x:v>
      </x:c>
      <x:c r="G446" s="9" t="str">
        <x:v>B2</x:v>
      </x:c>
      <x:c r="H446" s="9" t="str">
        <x:v>BRK</x:v>
      </x:c>
      <x:c r="I446" s="9" t="str">
        <x:v>PD08</x:v>
      </x:c>
      <x:c r="J446" s="17" t="str">
        <x:v>Command and intervention log</x:v>
      </x:c>
      <x:c r="K446" s="17" t="str">
        <x:v>Safety archive</x:v>
      </x:c>
      <x:c r="L446" s="17" t="str">
        <x:v>COURT-SEALED UNTIL COHORT RELEASE</x:v>
      </x:c>
      <x:c r="M446" s="9" t="n">
        <x:v>0</x:v>
      </x:c>
      <x:c r="N446" s="9" t="n">
        <x:v>0</x:v>
      </x:c>
      <x:c r="O446" s="9" t="n">
        <x:v>0</x:v>
      </x:c>
      <x:c r="P446" s="9" t="str">
        <x:v>HELD / UNRELEASED</x:v>
      </x:c>
      <x:c r="Q446" s="9" t="n">
        <x:f>COUNTIFS($A$7:$A$2310,A446)</x:f>
        <x:v>1</x:v>
      </x:c>
    </x:row>
    <x:row r="447">
      <x:c r="A447" s="9" t="str">
        <x:v>PD-AR-HC-A-C-TECH-3-B2-BRK-G0-PD09</x:v>
      </x:c>
      <x:c r="B447" s="9" t="str">
        <x:v>PD-AR-HC-A-C-TECH-3-B2-BRK-G0</x:v>
      </x:c>
      <x:c r="C447" s="9" t="str">
        <x:v>EV-AR-HC-A-C-TECH-3-B2-BRK-G0</x:v>
      </x:c>
      <x:c r="D447" s="9" t="str">
        <x:v>AR-HC-A-C-TECH-3-B2-BRK-G0</x:v>
      </x:c>
      <x:c r="E447" s="9" t="str">
        <x:v>HC-A-C-TECH-3</x:v>
      </x:c>
      <x:c r="F447" s="9" t="str">
        <x:v>HC-A-C</x:v>
      </x:c>
      <x:c r="G447" s="9" t="str">
        <x:v>B2</x:v>
      </x:c>
      <x:c r="H447" s="9" t="str">
        <x:v>BRK</x:v>
      </x:c>
      <x:c r="I447" s="9" t="str">
        <x:v>PD09</x:v>
      </x:c>
      <x:c r="J447" s="17" t="str">
        <x:v>Receiver denominator and service ledger</x:v>
      </x:c>
      <x:c r="K447" s="17" t="str">
        <x:v>Receiver archive</x:v>
      </x:c>
      <x:c r="L447" s="17" t="str">
        <x:v>COURT-SEALED UNTIL COHORT RELEASE</x:v>
      </x:c>
      <x:c r="M447" s="9" t="n">
        <x:v>0</x:v>
      </x:c>
      <x:c r="N447" s="9" t="n">
        <x:v>0</x:v>
      </x:c>
      <x:c r="O447" s="9" t="n">
        <x:v>0</x:v>
      </x:c>
      <x:c r="P447" s="9" t="str">
        <x:v>HELD / UNRELEASED</x:v>
      </x:c>
      <x:c r="Q447" s="9" t="n">
        <x:f>COUNTIFS($A$7:$A$2310,A447)</x:f>
        <x:v>1</x:v>
      </x:c>
    </x:row>
    <x:row r="448">
      <x:c r="A448" s="9" t="str">
        <x:v>PD-AR-HC-A-C-TECH-3-B2-BRK-G0-PD10</x:v>
      </x:c>
      <x:c r="B448" s="9" t="str">
        <x:v>PD-AR-HC-A-C-TECH-3-B2-BRK-G0</x:v>
      </x:c>
      <x:c r="C448" s="9" t="str">
        <x:v>EV-AR-HC-A-C-TECH-3-B2-BRK-G0</x:v>
      </x:c>
      <x:c r="D448" s="9" t="str">
        <x:v>AR-HC-A-C-TECH-3-B2-BRK-G0</x:v>
      </x:c>
      <x:c r="E448" s="9" t="str">
        <x:v>HC-A-C-TECH-3</x:v>
      </x:c>
      <x:c r="F448" s="9" t="str">
        <x:v>HC-A-C</x:v>
      </x:c>
      <x:c r="G448" s="9" t="str">
        <x:v>B2</x:v>
      </x:c>
      <x:c r="H448" s="9" t="str">
        <x:v>BRK</x:v>
      </x:c>
      <x:c r="I448" s="9" t="str">
        <x:v>PD10</x:v>
      </x:c>
      <x:c r="J448" s="17" t="str">
        <x:v>Calibration and uncertainty record</x:v>
      </x:c>
      <x:c r="K448" s="17" t="str">
        <x:v>Metrology archive</x:v>
      </x:c>
      <x:c r="L448" s="17" t="str">
        <x:v>COURT-SEALED UNTIL COHORT RELEASE</x:v>
      </x:c>
      <x:c r="M448" s="9" t="n">
        <x:v>0</x:v>
      </x:c>
      <x:c r="N448" s="9" t="n">
        <x:v>0</x:v>
      </x:c>
      <x:c r="O448" s="9" t="n">
        <x:v>0</x:v>
      </x:c>
      <x:c r="P448" s="9" t="str">
        <x:v>HELD / UNRELEASED</x:v>
      </x:c>
      <x:c r="Q448" s="9" t="n">
        <x:f>COUNTIFS($A$7:$A$2310,A448)</x:f>
        <x:v>1</x:v>
      </x:c>
    </x:row>
    <x:row r="449">
      <x:c r="A449" s="9" t="str">
        <x:v>PD-AR-HC-A-C-TECH-3-B2-BRK-G0-PD11</x:v>
      </x:c>
      <x:c r="B449" s="9" t="str">
        <x:v>PD-AR-HC-A-C-TECH-3-B2-BRK-G0</x:v>
      </x:c>
      <x:c r="C449" s="9" t="str">
        <x:v>EV-AR-HC-A-C-TECH-3-B2-BRK-G0</x:v>
      </x:c>
      <x:c r="D449" s="9" t="str">
        <x:v>AR-HC-A-C-TECH-3-B2-BRK-G0</x:v>
      </x:c>
      <x:c r="E449" s="9" t="str">
        <x:v>HC-A-C-TECH-3</x:v>
      </x:c>
      <x:c r="F449" s="9" t="str">
        <x:v>HC-A-C</x:v>
      </x:c>
      <x:c r="G449" s="9" t="str">
        <x:v>B2</x:v>
      </x:c>
      <x:c r="H449" s="9" t="str">
        <x:v>BRK</x:v>
      </x:c>
      <x:c r="I449" s="9" t="str">
        <x:v>PD11</x:v>
      </x:c>
      <x:c r="J449" s="17" t="str">
        <x:v>Invalidity petition and opinion</x:v>
      </x:c>
      <x:c r="K449" s="17" t="str">
        <x:v>Invalidity court</x:v>
      </x:c>
      <x:c r="L449" s="17" t="str">
        <x:v>COURT-SEALED UNTIL COHORT RELEASE</x:v>
      </x:c>
      <x:c r="M449" s="9" t="n">
        <x:v>0</x:v>
      </x:c>
      <x:c r="N449" s="9" t="n">
        <x:v>0</x:v>
      </x:c>
      <x:c r="O449" s="9" t="n">
        <x:v>0</x:v>
      </x:c>
      <x:c r="P449" s="9" t="str">
        <x:v>HELD / UNRELEASED</x:v>
      </x:c>
      <x:c r="Q449" s="9" t="n">
        <x:f>COUNTIFS($A$7:$A$2310,A449)</x:f>
        <x:v>1</x:v>
      </x:c>
    </x:row>
    <x:row r="450">
      <x:c r="A450" s="9" t="str">
        <x:v>PD-AR-HC-A-C-TECH-3-B2-BRK-G0-PD12</x:v>
      </x:c>
      <x:c r="B450" s="9" t="str">
        <x:v>PD-AR-HC-A-C-TECH-3-B2-BRK-G0</x:v>
      </x:c>
      <x:c r="C450" s="9" t="str">
        <x:v>EV-AR-HC-A-C-TECH-3-B2-BRK-G0</x:v>
      </x:c>
      <x:c r="D450" s="9" t="str">
        <x:v>AR-HC-A-C-TECH-3-B2-BRK-G0</x:v>
      </x:c>
      <x:c r="E450" s="9" t="str">
        <x:v>HC-A-C-TECH-3</x:v>
      </x:c>
      <x:c r="F450" s="9" t="str">
        <x:v>HC-A-C</x:v>
      </x:c>
      <x:c r="G450" s="9" t="str">
        <x:v>B2</x:v>
      </x:c>
      <x:c r="H450" s="9" t="str">
        <x:v>BRK</x:v>
      </x:c>
      <x:c r="I450" s="9" t="str">
        <x:v>PD12</x:v>
      </x:c>
      <x:c r="J450" s="17" t="str">
        <x:v>Observation acceptance and replay</x:v>
      </x:c>
      <x:c r="K450" s="17" t="str">
        <x:v>Observation court</x:v>
      </x:c>
      <x:c r="L450" s="17" t="str">
        <x:v>COURT-SEALED UNTIL COHORT RELEASE</x:v>
      </x:c>
      <x:c r="M450" s="9" t="n">
        <x:v>0</x:v>
      </x:c>
      <x:c r="N450" s="9" t="n">
        <x:v>0</x:v>
      </x:c>
      <x:c r="O450" s="9" t="n">
        <x:v>0</x:v>
      </x:c>
      <x:c r="P450" s="9" t="str">
        <x:v>HELD / UNRELEASED</x:v>
      </x:c>
      <x:c r="Q450" s="9" t="n">
        <x:f>COUNTIFS($A$7:$A$2310,A450)</x:f>
        <x:v>1</x:v>
      </x:c>
    </x:row>
    <x:row r="451">
      <x:c r="A451" s="9" t="str">
        <x:v>PD-AR-HC-A-C-TECH-3-B2-BRK-G0-PD13</x:v>
      </x:c>
      <x:c r="B451" s="9" t="str">
        <x:v>PD-AR-HC-A-C-TECH-3-B2-BRK-G0</x:v>
      </x:c>
      <x:c r="C451" s="9" t="str">
        <x:v>EV-AR-HC-A-C-TECH-3-B2-BRK-G0</x:v>
      </x:c>
      <x:c r="D451" s="9" t="str">
        <x:v>AR-HC-A-C-TECH-3-B2-BRK-G0</x:v>
      </x:c>
      <x:c r="E451" s="9" t="str">
        <x:v>HC-A-C-TECH-3</x:v>
      </x:c>
      <x:c r="F451" s="9" t="str">
        <x:v>HC-A-C</x:v>
      </x:c>
      <x:c r="G451" s="9" t="str">
        <x:v>B2</x:v>
      </x:c>
      <x:c r="H451" s="9" t="str">
        <x:v>BRK</x:v>
      </x:c>
      <x:c r="I451" s="9" t="str">
        <x:v>PD13</x:v>
      </x:c>
      <x:c r="J451" s="17" t="str">
        <x:v>Role judgment</x:v>
      </x:c>
      <x:c r="K451" s="17" t="str">
        <x:v>Role court</x:v>
      </x:c>
      <x:c r="L451" s="17" t="str">
        <x:v>COURT-SEALED UNTIL COHORT RELEASE</x:v>
      </x:c>
      <x:c r="M451" s="9" t="n">
        <x:v>0</x:v>
      </x:c>
      <x:c r="N451" s="9" t="n">
        <x:v>0</x:v>
      </x:c>
      <x:c r="O451" s="9" t="n">
        <x:v>0</x:v>
      </x:c>
      <x:c r="P451" s="9" t="str">
        <x:v>HELD / UNRELEASED</x:v>
      </x:c>
      <x:c r="Q451" s="9" t="n">
        <x:f>COUNTIFS($A$7:$A$2310,A451)</x:f>
        <x:v>1</x:v>
      </x:c>
    </x:row>
    <x:row r="452">
      <x:c r="A452" s="9" t="str">
        <x:v>PD-AR-HC-A-C-TECH-3-B2-BRK-G0-PD14</x:v>
      </x:c>
      <x:c r="B452" s="9" t="str">
        <x:v>PD-AR-HC-A-C-TECH-3-B2-BRK-G0</x:v>
      </x:c>
      <x:c r="C452" s="9" t="str">
        <x:v>EV-AR-HC-A-C-TECH-3-B2-BRK-G0</x:v>
      </x:c>
      <x:c r="D452" s="9" t="str">
        <x:v>AR-HC-A-C-TECH-3-B2-BRK-G0</x:v>
      </x:c>
      <x:c r="E452" s="9" t="str">
        <x:v>HC-A-C-TECH-3</x:v>
      </x:c>
      <x:c r="F452" s="9" t="str">
        <x:v>HC-A-C</x:v>
      </x:c>
      <x:c r="G452" s="9" t="str">
        <x:v>B2</x:v>
      </x:c>
      <x:c r="H452" s="9" t="str">
        <x:v>BRK</x:v>
      </x:c>
      <x:c r="I452" s="9" t="str">
        <x:v>PD14</x:v>
      </x:c>
      <x:c r="J452" s="17" t="str">
        <x:v>Break and residual account</x:v>
      </x:c>
      <x:c r="K452" s="17" t="str">
        <x:v>Residual authority</x:v>
      </x:c>
      <x:c r="L452" s="17" t="str">
        <x:v>COURT-SEALED UNTIL COHORT RELEASE</x:v>
      </x:c>
      <x:c r="M452" s="9" t="n">
        <x:v>0</x:v>
      </x:c>
      <x:c r="N452" s="9" t="n">
        <x:v>0</x:v>
      </x:c>
      <x:c r="O452" s="9" t="n">
        <x:v>0</x:v>
      </x:c>
      <x:c r="P452" s="9" t="str">
        <x:v>HELD / UNRELEASED</x:v>
      </x:c>
      <x:c r="Q452" s="9" t="n">
        <x:f>COUNTIFS($A$7:$A$2310,A452)</x:f>
        <x:v>1</x:v>
      </x:c>
    </x:row>
    <x:row r="453">
      <x:c r="A453" s="9" t="str">
        <x:v>PD-AR-HC-A-C-TECH-3-B2-BRK-G0-PD15</x:v>
      </x:c>
      <x:c r="B453" s="9" t="str">
        <x:v>PD-AR-HC-A-C-TECH-3-B2-BRK-G0</x:v>
      </x:c>
      <x:c r="C453" s="9" t="str">
        <x:v>EV-AR-HC-A-C-TECH-3-B2-BRK-G0</x:v>
      </x:c>
      <x:c r="D453" s="9" t="str">
        <x:v>AR-HC-A-C-TECH-3-B2-BRK-G0</x:v>
      </x:c>
      <x:c r="E453" s="9" t="str">
        <x:v>HC-A-C-TECH-3</x:v>
      </x:c>
      <x:c r="F453" s="9" t="str">
        <x:v>HC-A-C</x:v>
      </x:c>
      <x:c r="G453" s="9" t="str">
        <x:v>B2</x:v>
      </x:c>
      <x:c r="H453" s="9" t="str">
        <x:v>BRK</x:v>
      </x:c>
      <x:c r="I453" s="9" t="str">
        <x:v>PD15</x:v>
      </x:c>
      <x:c r="J453" s="17" t="str">
        <x:v>Reconstruction ancestry and replay</x:v>
      </x:c>
      <x:c r="K453" s="17" t="str">
        <x:v>Reconstruction court</x:v>
      </x:c>
      <x:c r="L453" s="17" t="str">
        <x:v>COURT-SEALED UNTIL COHORT RELEASE</x:v>
      </x:c>
      <x:c r="M453" s="9" t="n">
        <x:v>0</x:v>
      </x:c>
      <x:c r="N453" s="9" t="n">
        <x:v>0</x:v>
      </x:c>
      <x:c r="O453" s="9" t="n">
        <x:v>0</x:v>
      </x:c>
      <x:c r="P453" s="9" t="str">
        <x:v>HELD / UNRELEASED</x:v>
      </x:c>
      <x:c r="Q453" s="9" t="n">
        <x:f>COUNTIFS($A$7:$A$2310,A453)</x:f>
        <x:v>1</x:v>
      </x:c>
    </x:row>
    <x:row r="454">
      <x:c r="A454" s="9" t="str">
        <x:v>PD-AR-HC-A-C-TECH-3-B2-BRK-G0-PD16</x:v>
      </x:c>
      <x:c r="B454" s="9" t="str">
        <x:v>PD-AR-HC-A-C-TECH-3-B2-BRK-G0</x:v>
      </x:c>
      <x:c r="C454" s="9" t="str">
        <x:v>EV-AR-HC-A-C-TECH-3-B2-BRK-G0</x:v>
      </x:c>
      <x:c r="D454" s="9" t="str">
        <x:v>AR-HC-A-C-TECH-3-B2-BRK-G0</x:v>
      </x:c>
      <x:c r="E454" s="9" t="str">
        <x:v>HC-A-C-TECH-3</x:v>
      </x:c>
      <x:c r="F454" s="9" t="str">
        <x:v>HC-A-C</x:v>
      </x:c>
      <x:c r="G454" s="9" t="str">
        <x:v>B2</x:v>
      </x:c>
      <x:c r="H454" s="9" t="str">
        <x:v>BRK</x:v>
      </x:c>
      <x:c r="I454" s="9" t="str">
        <x:v>PD16</x:v>
      </x:c>
      <x:c r="J454" s="17" t="str">
        <x:v>Dissent, amendments and access log</x:v>
      </x:c>
      <x:c r="K454" s="17" t="str">
        <x:v>Public archive</x:v>
      </x:c>
      <x:c r="L454" s="17" t="str">
        <x:v>COURT-SEALED UNTIL COHORT RELEASE</x:v>
      </x:c>
      <x:c r="M454" s="9" t="n">
        <x:v>0</x:v>
      </x:c>
      <x:c r="N454" s="9" t="n">
        <x:v>0</x:v>
      </x:c>
      <x:c r="O454" s="9" t="n">
        <x:v>0</x:v>
      </x:c>
      <x:c r="P454" s="9" t="str">
        <x:v>HELD / UNRELEASED</x:v>
      </x:c>
      <x:c r="Q454" s="9" t="n">
        <x:f>COUNTIFS($A$7:$A$2310,A454)</x:f>
        <x:v>1</x:v>
      </x:c>
    </x:row>
    <x:row r="455">
      <x:c r="A455" s="9" t="str">
        <x:v>PD-AR-HU-A-B-TECH-4-B1-INT-G0-PD01</x:v>
      </x:c>
      <x:c r="B455" s="9" t="str">
        <x:v>PD-AR-HU-A-B-TECH-4-B1-INT-G0</x:v>
      </x:c>
      <x:c r="C455" s="9" t="str">
        <x:v>EV-AR-HU-A-B-TECH-4-B1-INT-G0</x:v>
      </x:c>
      <x:c r="D455" s="9" t="str">
        <x:v>AR-HU-A-B-TECH-4-B1-INT-G0</x:v>
      </x:c>
      <x:c r="E455" s="9" t="str">
        <x:v>HU-A-B-TECH-4</x:v>
      </x:c>
      <x:c r="F455" s="9" t="str">
        <x:v>HU-A-B</x:v>
      </x:c>
      <x:c r="G455" s="9" t="str">
        <x:v>B1</x:v>
      </x:c>
      <x:c r="H455" s="9" t="str">
        <x:v>INT</x:v>
      </x:c>
      <x:c r="I455" s="9" t="str">
        <x:v>PD01</x:v>
      </x:c>
      <x:c r="J455" s="17" t="str">
        <x:v>Experiment kernel</x:v>
      </x:c>
      <x:c r="K455" s="17" t="str">
        <x:v>Public archive</x:v>
      </x:c>
      <x:c r="L455" s="17" t="str">
        <x:v>COURT-SEALED UNTIL COHORT RELEASE</x:v>
      </x:c>
      <x:c r="M455" s="9" t="n">
        <x:v>0</x:v>
      </x:c>
      <x:c r="N455" s="9" t="n">
        <x:v>0</x:v>
      </x:c>
      <x:c r="O455" s="9" t="n">
        <x:v>0</x:v>
      </x:c>
      <x:c r="P455" s="9" t="str">
        <x:v>HELD / UNRELEASED</x:v>
      </x:c>
      <x:c r="Q455" s="9" t="n">
        <x:f>COUNTIFS($A$7:$A$2310,A455)</x:f>
        <x:v>1</x:v>
      </x:c>
    </x:row>
    <x:row r="456">
      <x:c r="A456" s="9" t="str">
        <x:v>PD-AR-HU-A-B-TECH-4-B1-INT-G0-PD02</x:v>
      </x:c>
      <x:c r="B456" s="9" t="str">
        <x:v>PD-AR-HU-A-B-TECH-4-B1-INT-G0</x:v>
      </x:c>
      <x:c r="C456" s="9" t="str">
        <x:v>EV-AR-HU-A-B-TECH-4-B1-INT-G0</x:v>
      </x:c>
      <x:c r="D456" s="9" t="str">
        <x:v>AR-HU-A-B-TECH-4-B1-INT-G0</x:v>
      </x:c>
      <x:c r="E456" s="9" t="str">
        <x:v>HU-A-B-TECH-4</x:v>
      </x:c>
      <x:c r="F456" s="9" t="str">
        <x:v>HU-A-B</x:v>
      </x:c>
      <x:c r="G456" s="9" t="str">
        <x:v>B1</x:v>
      </x:c>
      <x:c r="H456" s="9" t="str">
        <x:v>INT</x:v>
      </x:c>
      <x:c r="I456" s="9" t="str">
        <x:v>PD02</x:v>
      </x:c>
      <x:c r="J456" s="17" t="str">
        <x:v>Serial annex and title chain</x:v>
      </x:c>
      <x:c r="K456" s="17" t="str">
        <x:v>Public archive</x:v>
      </x:c>
      <x:c r="L456" s="17" t="str">
        <x:v>COURT-SEALED UNTIL COHORT RELEASE</x:v>
      </x:c>
      <x:c r="M456" s="9" t="n">
        <x:v>0</x:v>
      </x:c>
      <x:c r="N456" s="9" t="n">
        <x:v>0</x:v>
      </x:c>
      <x:c r="O456" s="9" t="n">
        <x:v>0</x:v>
      </x:c>
      <x:c r="P456" s="9" t="str">
        <x:v>HELD / UNRELEASED</x:v>
      </x:c>
      <x:c r="Q456" s="9" t="n">
        <x:f>COUNTIFS($A$7:$A$2310,A456)</x:f>
        <x:v>1</x:v>
      </x:c>
    </x:row>
    <x:row r="457">
      <x:c r="A457" s="9" t="str">
        <x:v>PD-AR-HU-A-B-TECH-4-B1-INT-G0-PD03</x:v>
      </x:c>
      <x:c r="B457" s="9" t="str">
        <x:v>PD-AR-HU-A-B-TECH-4-B1-INT-G0</x:v>
      </x:c>
      <x:c r="C457" s="9" t="str">
        <x:v>EV-AR-HU-A-B-TECH-4-B1-INT-G0</x:v>
      </x:c>
      <x:c r="D457" s="9" t="str">
        <x:v>AR-HU-A-B-TECH-4-B1-INT-G0</x:v>
      </x:c>
      <x:c r="E457" s="9" t="str">
        <x:v>HU-A-B-TECH-4</x:v>
      </x:c>
      <x:c r="F457" s="9" t="str">
        <x:v>HU-A-B</x:v>
      </x:c>
      <x:c r="G457" s="9" t="str">
        <x:v>B1</x:v>
      </x:c>
      <x:c r="H457" s="9" t="str">
        <x:v>INT</x:v>
      </x:c>
      <x:c r="I457" s="9" t="str">
        <x:v>PD03</x:v>
      </x:c>
      <x:c r="J457" s="17" t="str">
        <x:v>Configuration and as-built manifest</x:v>
      </x:c>
      <x:c r="K457" s="17" t="str">
        <x:v>Artifact exchange</x:v>
      </x:c>
      <x:c r="L457" s="17" t="str">
        <x:v>COURT-SEALED UNTIL COHORT RELEASE</x:v>
      </x:c>
      <x:c r="M457" s="9" t="n">
        <x:v>0</x:v>
      </x:c>
      <x:c r="N457" s="9" t="n">
        <x:v>0</x:v>
      </x:c>
      <x:c r="O457" s="9" t="n">
        <x:v>0</x:v>
      </x:c>
      <x:c r="P457" s="9" t="str">
        <x:v>HELD / UNRELEASED</x:v>
      </x:c>
      <x:c r="Q457" s="9" t="n">
        <x:f>COUNTIFS($A$7:$A$2310,A457)</x:f>
        <x:v>1</x:v>
      </x:c>
    </x:row>
    <x:row r="458">
      <x:c r="A458" s="9" t="str">
        <x:v>PD-AR-HU-A-B-TECH-4-B1-INT-G0-PD04</x:v>
      </x:c>
      <x:c r="B458" s="9" t="str">
        <x:v>PD-AR-HU-A-B-TECH-4-B1-INT-G0</x:v>
      </x:c>
      <x:c r="C458" s="9" t="str">
        <x:v>EV-AR-HU-A-B-TECH-4-B1-INT-G0</x:v>
      </x:c>
      <x:c r="D458" s="9" t="str">
        <x:v>AR-HU-A-B-TECH-4-B1-INT-G0</x:v>
      </x:c>
      <x:c r="E458" s="9" t="str">
        <x:v>HU-A-B-TECH-4</x:v>
      </x:c>
      <x:c r="F458" s="9" t="str">
        <x:v>HU-A-B</x:v>
      </x:c>
      <x:c r="G458" s="9" t="str">
        <x:v>B1</x:v>
      </x:c>
      <x:c r="H458" s="9" t="str">
        <x:v>INT</x:v>
      </x:c>
      <x:c r="I458" s="9" t="str">
        <x:v>PD04</x:v>
      </x:c>
      <x:c r="J458" s="17" t="str">
        <x:v>EOW and start certificate</x:v>
      </x:c>
      <x:c r="K458" s="17" t="str">
        <x:v>Start registrar</x:v>
      </x:c>
      <x:c r="L458" s="17" t="str">
        <x:v>COURT-SEALED UNTIL COHORT RELEASE</x:v>
      </x:c>
      <x:c r="M458" s="9" t="n">
        <x:v>0</x:v>
      </x:c>
      <x:c r="N458" s="9" t="n">
        <x:v>0</x:v>
      </x:c>
      <x:c r="O458" s="9" t="n">
        <x:v>0</x:v>
      </x:c>
      <x:c r="P458" s="9" t="str">
        <x:v>HELD / UNRELEASED</x:v>
      </x:c>
      <x:c r="Q458" s="9" t="n">
        <x:f>COUNTIFS($A$7:$A$2310,A458)</x:f>
        <x:v>1</x:v>
      </x:c>
    </x:row>
    <x:row r="459">
      <x:c r="A459" s="9" t="str">
        <x:v>PD-AR-HU-A-B-TECH-4-B1-INT-G0-PD05</x:v>
      </x:c>
      <x:c r="B459" s="9" t="str">
        <x:v>PD-AR-HU-A-B-TECH-4-B1-INT-G0</x:v>
      </x:c>
      <x:c r="C459" s="9" t="str">
        <x:v>EV-AR-HU-A-B-TECH-4-B1-INT-G0</x:v>
      </x:c>
      <x:c r="D459" s="9" t="str">
        <x:v>AR-HU-A-B-TECH-4-B1-INT-G0</x:v>
      </x:c>
      <x:c r="E459" s="9" t="str">
        <x:v>HU-A-B-TECH-4</x:v>
      </x:c>
      <x:c r="F459" s="9" t="str">
        <x:v>HU-A-B</x:v>
      </x:c>
      <x:c r="G459" s="9" t="str">
        <x:v>B1</x:v>
      </x:c>
      <x:c r="H459" s="9" t="str">
        <x:v>INT</x:v>
      </x:c>
      <x:c r="I459" s="9" t="str">
        <x:v>PD05</x:v>
      </x:c>
      <x:c r="J459" s="17" t="str">
        <x:v>Primary raw originals</x:v>
      </x:c>
      <x:c r="K459" s="17" t="str">
        <x:v>Primary custody</x:v>
      </x:c>
      <x:c r="L459" s="17" t="str">
        <x:v>COURT-SEALED UNTIL COHORT RELEASE</x:v>
      </x:c>
      <x:c r="M459" s="9" t="n">
        <x:v>0</x:v>
      </x:c>
      <x:c r="N459" s="9" t="n">
        <x:v>0</x:v>
      </x:c>
      <x:c r="O459" s="9" t="n">
        <x:v>0</x:v>
      </x:c>
      <x:c r="P459" s="9" t="str">
        <x:v>HELD / UNRELEASED</x:v>
      </x:c>
      <x:c r="Q459" s="9" t="n">
        <x:f>COUNTIFS($A$7:$A$2310,A459)</x:f>
        <x:v>1</x:v>
      </x:c>
    </x:row>
    <x:row r="460">
      <x:c r="A460" s="9" t="str">
        <x:v>PD-AR-HU-A-B-TECH-4-B1-INT-G0-PD06</x:v>
      </x:c>
      <x:c r="B460" s="9" t="str">
        <x:v>PD-AR-HU-A-B-TECH-4-B1-INT-G0</x:v>
      </x:c>
      <x:c r="C460" s="9" t="str">
        <x:v>EV-AR-HU-A-B-TECH-4-B1-INT-G0</x:v>
      </x:c>
      <x:c r="D460" s="9" t="str">
        <x:v>AR-HU-A-B-TECH-4-B1-INT-G0</x:v>
      </x:c>
      <x:c r="E460" s="9" t="str">
        <x:v>HU-A-B-TECH-4</x:v>
      </x:c>
      <x:c r="F460" s="9" t="str">
        <x:v>HU-A-B</x:v>
      </x:c>
      <x:c r="G460" s="9" t="str">
        <x:v>B1</x:v>
      </x:c>
      <x:c r="H460" s="9" t="str">
        <x:v>INT</x:v>
      </x:c>
      <x:c r="I460" s="9" t="str">
        <x:v>PD06</x:v>
      </x:c>
      <x:c r="J460" s="17" t="str">
        <x:v>Witness raw originals</x:v>
      </x:c>
      <x:c r="K460" s="17" t="str">
        <x:v>Witness custody</x:v>
      </x:c>
      <x:c r="L460" s="17" t="str">
        <x:v>COURT-SEALED UNTIL COHORT RELEASE</x:v>
      </x:c>
      <x:c r="M460" s="9" t="n">
        <x:v>0</x:v>
      </x:c>
      <x:c r="N460" s="9" t="n">
        <x:v>0</x:v>
      </x:c>
      <x:c r="O460" s="9" t="n">
        <x:v>0</x:v>
      </x:c>
      <x:c r="P460" s="9" t="str">
        <x:v>HELD / UNRELEASED</x:v>
      </x:c>
      <x:c r="Q460" s="9" t="n">
        <x:f>COUNTIFS($A$7:$A$2310,A460)</x:f>
        <x:v>1</x:v>
      </x:c>
    </x:row>
    <x:row r="461">
      <x:c r="A461" s="9" t="str">
        <x:v>PD-AR-HU-A-B-TECH-4-B1-INT-G0-PD07</x:v>
      </x:c>
      <x:c r="B461" s="9" t="str">
        <x:v>PD-AR-HU-A-B-TECH-4-B1-INT-G0</x:v>
      </x:c>
      <x:c r="C461" s="9" t="str">
        <x:v>EV-AR-HU-A-B-TECH-4-B1-INT-G0</x:v>
      </x:c>
      <x:c r="D461" s="9" t="str">
        <x:v>AR-HU-A-B-TECH-4-B1-INT-G0</x:v>
      </x:c>
      <x:c r="E461" s="9" t="str">
        <x:v>HU-A-B-TECH-4</x:v>
      </x:c>
      <x:c r="F461" s="9" t="str">
        <x:v>HU-A-B</x:v>
      </x:c>
      <x:c r="G461" s="9" t="str">
        <x:v>B1</x:v>
      </x:c>
      <x:c r="H461" s="9" t="str">
        <x:v>INT</x:v>
      </x:c>
      <x:c r="I461" s="9" t="str">
        <x:v>PD07</x:v>
      </x:c>
      <x:c r="J461" s="17" t="str">
        <x:v>Clock and environmental records</x:v>
      </x:c>
      <x:c r="K461" s="17" t="str">
        <x:v>Boundary archive</x:v>
      </x:c>
      <x:c r="L461" s="17" t="str">
        <x:v>COURT-SEALED UNTIL COHORT RELEASE</x:v>
      </x:c>
      <x:c r="M461" s="9" t="n">
        <x:v>0</x:v>
      </x:c>
      <x:c r="N461" s="9" t="n">
        <x:v>0</x:v>
      </x:c>
      <x:c r="O461" s="9" t="n">
        <x:v>0</x:v>
      </x:c>
      <x:c r="P461" s="9" t="str">
        <x:v>HELD / UNRELEASED</x:v>
      </x:c>
      <x:c r="Q461" s="9" t="n">
        <x:f>COUNTIFS($A$7:$A$2310,A461)</x:f>
        <x:v>1</x:v>
      </x:c>
    </x:row>
    <x:row r="462">
      <x:c r="A462" s="9" t="str">
        <x:v>PD-AR-HU-A-B-TECH-4-B1-INT-G0-PD08</x:v>
      </x:c>
      <x:c r="B462" s="9" t="str">
        <x:v>PD-AR-HU-A-B-TECH-4-B1-INT-G0</x:v>
      </x:c>
      <x:c r="C462" s="9" t="str">
        <x:v>EV-AR-HU-A-B-TECH-4-B1-INT-G0</x:v>
      </x:c>
      <x:c r="D462" s="9" t="str">
        <x:v>AR-HU-A-B-TECH-4-B1-INT-G0</x:v>
      </x:c>
      <x:c r="E462" s="9" t="str">
        <x:v>HU-A-B-TECH-4</x:v>
      </x:c>
      <x:c r="F462" s="9" t="str">
        <x:v>HU-A-B</x:v>
      </x:c>
      <x:c r="G462" s="9" t="str">
        <x:v>B1</x:v>
      </x:c>
      <x:c r="H462" s="9" t="str">
        <x:v>INT</x:v>
      </x:c>
      <x:c r="I462" s="9" t="str">
        <x:v>PD08</x:v>
      </x:c>
      <x:c r="J462" s="17" t="str">
        <x:v>Command and intervention log</x:v>
      </x:c>
      <x:c r="K462" s="17" t="str">
        <x:v>Safety archive</x:v>
      </x:c>
      <x:c r="L462" s="17" t="str">
        <x:v>COURT-SEALED UNTIL COHORT RELEASE</x:v>
      </x:c>
      <x:c r="M462" s="9" t="n">
        <x:v>0</x:v>
      </x:c>
      <x:c r="N462" s="9" t="n">
        <x:v>0</x:v>
      </x:c>
      <x:c r="O462" s="9" t="n">
        <x:v>0</x:v>
      </x:c>
      <x:c r="P462" s="9" t="str">
        <x:v>HELD / UNRELEASED</x:v>
      </x:c>
      <x:c r="Q462" s="9" t="n">
        <x:f>COUNTIFS($A$7:$A$2310,A462)</x:f>
        <x:v>1</x:v>
      </x:c>
    </x:row>
    <x:row r="463">
      <x:c r="A463" s="9" t="str">
        <x:v>PD-AR-HU-A-B-TECH-4-B1-INT-G0-PD09</x:v>
      </x:c>
      <x:c r="B463" s="9" t="str">
        <x:v>PD-AR-HU-A-B-TECH-4-B1-INT-G0</x:v>
      </x:c>
      <x:c r="C463" s="9" t="str">
        <x:v>EV-AR-HU-A-B-TECH-4-B1-INT-G0</x:v>
      </x:c>
      <x:c r="D463" s="9" t="str">
        <x:v>AR-HU-A-B-TECH-4-B1-INT-G0</x:v>
      </x:c>
      <x:c r="E463" s="9" t="str">
        <x:v>HU-A-B-TECH-4</x:v>
      </x:c>
      <x:c r="F463" s="9" t="str">
        <x:v>HU-A-B</x:v>
      </x:c>
      <x:c r="G463" s="9" t="str">
        <x:v>B1</x:v>
      </x:c>
      <x:c r="H463" s="9" t="str">
        <x:v>INT</x:v>
      </x:c>
      <x:c r="I463" s="9" t="str">
        <x:v>PD09</x:v>
      </x:c>
      <x:c r="J463" s="17" t="str">
        <x:v>Receiver denominator and service ledger</x:v>
      </x:c>
      <x:c r="K463" s="17" t="str">
        <x:v>Receiver archive</x:v>
      </x:c>
      <x:c r="L463" s="17" t="str">
        <x:v>COURT-SEALED UNTIL COHORT RELEASE</x:v>
      </x:c>
      <x:c r="M463" s="9" t="n">
        <x:v>0</x:v>
      </x:c>
      <x:c r="N463" s="9" t="n">
        <x:v>0</x:v>
      </x:c>
      <x:c r="O463" s="9" t="n">
        <x:v>0</x:v>
      </x:c>
      <x:c r="P463" s="9" t="str">
        <x:v>HELD / UNRELEASED</x:v>
      </x:c>
      <x:c r="Q463" s="9" t="n">
        <x:f>COUNTIFS($A$7:$A$2310,A463)</x:f>
        <x:v>1</x:v>
      </x:c>
    </x:row>
    <x:row r="464">
      <x:c r="A464" s="9" t="str">
        <x:v>PD-AR-HU-A-B-TECH-4-B1-INT-G0-PD10</x:v>
      </x:c>
      <x:c r="B464" s="9" t="str">
        <x:v>PD-AR-HU-A-B-TECH-4-B1-INT-G0</x:v>
      </x:c>
      <x:c r="C464" s="9" t="str">
        <x:v>EV-AR-HU-A-B-TECH-4-B1-INT-G0</x:v>
      </x:c>
      <x:c r="D464" s="9" t="str">
        <x:v>AR-HU-A-B-TECH-4-B1-INT-G0</x:v>
      </x:c>
      <x:c r="E464" s="9" t="str">
        <x:v>HU-A-B-TECH-4</x:v>
      </x:c>
      <x:c r="F464" s="9" t="str">
        <x:v>HU-A-B</x:v>
      </x:c>
      <x:c r="G464" s="9" t="str">
        <x:v>B1</x:v>
      </x:c>
      <x:c r="H464" s="9" t="str">
        <x:v>INT</x:v>
      </x:c>
      <x:c r="I464" s="9" t="str">
        <x:v>PD10</x:v>
      </x:c>
      <x:c r="J464" s="17" t="str">
        <x:v>Calibration and uncertainty record</x:v>
      </x:c>
      <x:c r="K464" s="17" t="str">
        <x:v>Metrology archive</x:v>
      </x:c>
      <x:c r="L464" s="17" t="str">
        <x:v>COURT-SEALED UNTIL COHORT RELEASE</x:v>
      </x:c>
      <x:c r="M464" s="9" t="n">
        <x:v>0</x:v>
      </x:c>
      <x:c r="N464" s="9" t="n">
        <x:v>0</x:v>
      </x:c>
      <x:c r="O464" s="9" t="n">
        <x:v>0</x:v>
      </x:c>
      <x:c r="P464" s="9" t="str">
        <x:v>HELD / UNRELEASED</x:v>
      </x:c>
      <x:c r="Q464" s="9" t="n">
        <x:f>COUNTIFS($A$7:$A$2310,A464)</x:f>
        <x:v>1</x:v>
      </x:c>
    </x:row>
    <x:row r="465">
      <x:c r="A465" s="9" t="str">
        <x:v>PD-AR-HU-A-B-TECH-4-B1-INT-G0-PD11</x:v>
      </x:c>
      <x:c r="B465" s="9" t="str">
        <x:v>PD-AR-HU-A-B-TECH-4-B1-INT-G0</x:v>
      </x:c>
      <x:c r="C465" s="9" t="str">
        <x:v>EV-AR-HU-A-B-TECH-4-B1-INT-G0</x:v>
      </x:c>
      <x:c r="D465" s="9" t="str">
        <x:v>AR-HU-A-B-TECH-4-B1-INT-G0</x:v>
      </x:c>
      <x:c r="E465" s="9" t="str">
        <x:v>HU-A-B-TECH-4</x:v>
      </x:c>
      <x:c r="F465" s="9" t="str">
        <x:v>HU-A-B</x:v>
      </x:c>
      <x:c r="G465" s="9" t="str">
        <x:v>B1</x:v>
      </x:c>
      <x:c r="H465" s="9" t="str">
        <x:v>INT</x:v>
      </x:c>
      <x:c r="I465" s="9" t="str">
        <x:v>PD11</x:v>
      </x:c>
      <x:c r="J465" s="17" t="str">
        <x:v>Invalidity petition and opinion</x:v>
      </x:c>
      <x:c r="K465" s="17" t="str">
        <x:v>Invalidity court</x:v>
      </x:c>
      <x:c r="L465" s="17" t="str">
        <x:v>COURT-SEALED UNTIL COHORT RELEASE</x:v>
      </x:c>
      <x:c r="M465" s="9" t="n">
        <x:v>0</x:v>
      </x:c>
      <x:c r="N465" s="9" t="n">
        <x:v>0</x:v>
      </x:c>
      <x:c r="O465" s="9" t="n">
        <x:v>0</x:v>
      </x:c>
      <x:c r="P465" s="9" t="str">
        <x:v>HELD / UNRELEASED</x:v>
      </x:c>
      <x:c r="Q465" s="9" t="n">
        <x:f>COUNTIFS($A$7:$A$2310,A465)</x:f>
        <x:v>1</x:v>
      </x:c>
    </x:row>
    <x:row r="466">
      <x:c r="A466" s="9" t="str">
        <x:v>PD-AR-HU-A-B-TECH-4-B1-INT-G0-PD12</x:v>
      </x:c>
      <x:c r="B466" s="9" t="str">
        <x:v>PD-AR-HU-A-B-TECH-4-B1-INT-G0</x:v>
      </x:c>
      <x:c r="C466" s="9" t="str">
        <x:v>EV-AR-HU-A-B-TECH-4-B1-INT-G0</x:v>
      </x:c>
      <x:c r="D466" s="9" t="str">
        <x:v>AR-HU-A-B-TECH-4-B1-INT-G0</x:v>
      </x:c>
      <x:c r="E466" s="9" t="str">
        <x:v>HU-A-B-TECH-4</x:v>
      </x:c>
      <x:c r="F466" s="9" t="str">
        <x:v>HU-A-B</x:v>
      </x:c>
      <x:c r="G466" s="9" t="str">
        <x:v>B1</x:v>
      </x:c>
      <x:c r="H466" s="9" t="str">
        <x:v>INT</x:v>
      </x:c>
      <x:c r="I466" s="9" t="str">
        <x:v>PD12</x:v>
      </x:c>
      <x:c r="J466" s="17" t="str">
        <x:v>Observation acceptance and replay</x:v>
      </x:c>
      <x:c r="K466" s="17" t="str">
        <x:v>Observation court</x:v>
      </x:c>
      <x:c r="L466" s="17" t="str">
        <x:v>COURT-SEALED UNTIL COHORT RELEASE</x:v>
      </x:c>
      <x:c r="M466" s="9" t="n">
        <x:v>0</x:v>
      </x:c>
      <x:c r="N466" s="9" t="n">
        <x:v>0</x:v>
      </x:c>
      <x:c r="O466" s="9" t="n">
        <x:v>0</x:v>
      </x:c>
      <x:c r="P466" s="9" t="str">
        <x:v>HELD / UNRELEASED</x:v>
      </x:c>
      <x:c r="Q466" s="9" t="n">
        <x:f>COUNTIFS($A$7:$A$2310,A466)</x:f>
        <x:v>1</x:v>
      </x:c>
    </x:row>
    <x:row r="467">
      <x:c r="A467" s="9" t="str">
        <x:v>PD-AR-HU-A-B-TECH-4-B1-INT-G0-PD13</x:v>
      </x:c>
      <x:c r="B467" s="9" t="str">
        <x:v>PD-AR-HU-A-B-TECH-4-B1-INT-G0</x:v>
      </x:c>
      <x:c r="C467" s="9" t="str">
        <x:v>EV-AR-HU-A-B-TECH-4-B1-INT-G0</x:v>
      </x:c>
      <x:c r="D467" s="9" t="str">
        <x:v>AR-HU-A-B-TECH-4-B1-INT-G0</x:v>
      </x:c>
      <x:c r="E467" s="9" t="str">
        <x:v>HU-A-B-TECH-4</x:v>
      </x:c>
      <x:c r="F467" s="9" t="str">
        <x:v>HU-A-B</x:v>
      </x:c>
      <x:c r="G467" s="9" t="str">
        <x:v>B1</x:v>
      </x:c>
      <x:c r="H467" s="9" t="str">
        <x:v>INT</x:v>
      </x:c>
      <x:c r="I467" s="9" t="str">
        <x:v>PD13</x:v>
      </x:c>
      <x:c r="J467" s="17" t="str">
        <x:v>Role judgment</x:v>
      </x:c>
      <x:c r="K467" s="17" t="str">
        <x:v>Role court</x:v>
      </x:c>
      <x:c r="L467" s="17" t="str">
        <x:v>COURT-SEALED UNTIL COHORT RELEASE</x:v>
      </x:c>
      <x:c r="M467" s="9" t="n">
        <x:v>0</x:v>
      </x:c>
      <x:c r="N467" s="9" t="n">
        <x:v>0</x:v>
      </x:c>
      <x:c r="O467" s="9" t="n">
        <x:v>0</x:v>
      </x:c>
      <x:c r="P467" s="9" t="str">
        <x:v>HELD / UNRELEASED</x:v>
      </x:c>
      <x:c r="Q467" s="9" t="n">
        <x:f>COUNTIFS($A$7:$A$2310,A467)</x:f>
        <x:v>1</x:v>
      </x:c>
    </x:row>
    <x:row r="468">
      <x:c r="A468" s="9" t="str">
        <x:v>PD-AR-HU-A-B-TECH-4-B1-INT-G0-PD14</x:v>
      </x:c>
      <x:c r="B468" s="9" t="str">
        <x:v>PD-AR-HU-A-B-TECH-4-B1-INT-G0</x:v>
      </x:c>
      <x:c r="C468" s="9" t="str">
        <x:v>EV-AR-HU-A-B-TECH-4-B1-INT-G0</x:v>
      </x:c>
      <x:c r="D468" s="9" t="str">
        <x:v>AR-HU-A-B-TECH-4-B1-INT-G0</x:v>
      </x:c>
      <x:c r="E468" s="9" t="str">
        <x:v>HU-A-B-TECH-4</x:v>
      </x:c>
      <x:c r="F468" s="9" t="str">
        <x:v>HU-A-B</x:v>
      </x:c>
      <x:c r="G468" s="9" t="str">
        <x:v>B1</x:v>
      </x:c>
      <x:c r="H468" s="9" t="str">
        <x:v>INT</x:v>
      </x:c>
      <x:c r="I468" s="9" t="str">
        <x:v>PD14</x:v>
      </x:c>
      <x:c r="J468" s="17" t="str">
        <x:v>Break and residual account</x:v>
      </x:c>
      <x:c r="K468" s="17" t="str">
        <x:v>Residual authority</x:v>
      </x:c>
      <x:c r="L468" s="17" t="str">
        <x:v>COURT-SEALED UNTIL COHORT RELEASE</x:v>
      </x:c>
      <x:c r="M468" s="9" t="n">
        <x:v>0</x:v>
      </x:c>
      <x:c r="N468" s="9" t="n">
        <x:v>0</x:v>
      </x:c>
      <x:c r="O468" s="9" t="n">
        <x:v>0</x:v>
      </x:c>
      <x:c r="P468" s="9" t="str">
        <x:v>HELD / UNRELEASED</x:v>
      </x:c>
      <x:c r="Q468" s="9" t="n">
        <x:f>COUNTIFS($A$7:$A$2310,A468)</x:f>
        <x:v>1</x:v>
      </x:c>
    </x:row>
    <x:row r="469">
      <x:c r="A469" s="9" t="str">
        <x:v>PD-AR-HU-A-B-TECH-4-B1-INT-G0-PD15</x:v>
      </x:c>
      <x:c r="B469" s="9" t="str">
        <x:v>PD-AR-HU-A-B-TECH-4-B1-INT-G0</x:v>
      </x:c>
      <x:c r="C469" s="9" t="str">
        <x:v>EV-AR-HU-A-B-TECH-4-B1-INT-G0</x:v>
      </x:c>
      <x:c r="D469" s="9" t="str">
        <x:v>AR-HU-A-B-TECH-4-B1-INT-G0</x:v>
      </x:c>
      <x:c r="E469" s="9" t="str">
        <x:v>HU-A-B-TECH-4</x:v>
      </x:c>
      <x:c r="F469" s="9" t="str">
        <x:v>HU-A-B</x:v>
      </x:c>
      <x:c r="G469" s="9" t="str">
        <x:v>B1</x:v>
      </x:c>
      <x:c r="H469" s="9" t="str">
        <x:v>INT</x:v>
      </x:c>
      <x:c r="I469" s="9" t="str">
        <x:v>PD15</x:v>
      </x:c>
      <x:c r="J469" s="17" t="str">
        <x:v>Reconstruction ancestry and replay</x:v>
      </x:c>
      <x:c r="K469" s="17" t="str">
        <x:v>Reconstruction court</x:v>
      </x:c>
      <x:c r="L469" s="17" t="str">
        <x:v>COURT-SEALED UNTIL COHORT RELEASE</x:v>
      </x:c>
      <x:c r="M469" s="9" t="n">
        <x:v>0</x:v>
      </x:c>
      <x:c r="N469" s="9" t="n">
        <x:v>0</x:v>
      </x:c>
      <x:c r="O469" s="9" t="n">
        <x:v>0</x:v>
      </x:c>
      <x:c r="P469" s="9" t="str">
        <x:v>HELD / UNRELEASED</x:v>
      </x:c>
      <x:c r="Q469" s="9" t="n">
        <x:f>COUNTIFS($A$7:$A$2310,A469)</x:f>
        <x:v>1</x:v>
      </x:c>
    </x:row>
    <x:row r="470">
      <x:c r="A470" s="9" t="str">
        <x:v>PD-AR-HU-A-B-TECH-4-B1-INT-G0-PD16</x:v>
      </x:c>
      <x:c r="B470" s="9" t="str">
        <x:v>PD-AR-HU-A-B-TECH-4-B1-INT-G0</x:v>
      </x:c>
      <x:c r="C470" s="9" t="str">
        <x:v>EV-AR-HU-A-B-TECH-4-B1-INT-G0</x:v>
      </x:c>
      <x:c r="D470" s="9" t="str">
        <x:v>AR-HU-A-B-TECH-4-B1-INT-G0</x:v>
      </x:c>
      <x:c r="E470" s="9" t="str">
        <x:v>HU-A-B-TECH-4</x:v>
      </x:c>
      <x:c r="F470" s="9" t="str">
        <x:v>HU-A-B</x:v>
      </x:c>
      <x:c r="G470" s="9" t="str">
        <x:v>B1</x:v>
      </x:c>
      <x:c r="H470" s="9" t="str">
        <x:v>INT</x:v>
      </x:c>
      <x:c r="I470" s="9" t="str">
        <x:v>PD16</x:v>
      </x:c>
      <x:c r="J470" s="17" t="str">
        <x:v>Dissent, amendments and access log</x:v>
      </x:c>
      <x:c r="K470" s="17" t="str">
        <x:v>Public archive</x:v>
      </x:c>
      <x:c r="L470" s="17" t="str">
        <x:v>COURT-SEALED UNTIL COHORT RELEASE</x:v>
      </x:c>
      <x:c r="M470" s="9" t="n">
        <x:v>0</x:v>
      </x:c>
      <x:c r="N470" s="9" t="n">
        <x:v>0</x:v>
      </x:c>
      <x:c r="O470" s="9" t="n">
        <x:v>0</x:v>
      </x:c>
      <x:c r="P470" s="9" t="str">
        <x:v>HELD / UNRELEASED</x:v>
      </x:c>
      <x:c r="Q470" s="9" t="n">
        <x:f>COUNTIFS($A$7:$A$2310,A470)</x:f>
        <x:v>1</x:v>
      </x:c>
    </x:row>
    <x:row r="471">
      <x:c r="A471" s="9" t="str">
        <x:v>PD-AR-LF-B-A-TECH-1-B1-RCN-G0-PD01</x:v>
      </x:c>
      <x:c r="B471" s="9" t="str">
        <x:v>PD-AR-LF-B-A-TECH-1-B1-RCN-G0</x:v>
      </x:c>
      <x:c r="C471" s="9" t="str">
        <x:v>EV-AR-LF-B-A-TECH-1-B1-RCN-G0</x:v>
      </x:c>
      <x:c r="D471" s="9" t="str">
        <x:v>AR-LF-B-A-TECH-1-B1-RCN-G0</x:v>
      </x:c>
      <x:c r="E471" s="9" t="str">
        <x:v>LF-B-A-TECH-1</x:v>
      </x:c>
      <x:c r="F471" s="9" t="str">
        <x:v>LF-B-A</x:v>
      </x:c>
      <x:c r="G471" s="9" t="str">
        <x:v>B1</x:v>
      </x:c>
      <x:c r="H471" s="9" t="str">
        <x:v>RCN</x:v>
      </x:c>
      <x:c r="I471" s="9" t="str">
        <x:v>PD01</x:v>
      </x:c>
      <x:c r="J471" s="17" t="str">
        <x:v>Experiment kernel</x:v>
      </x:c>
      <x:c r="K471" s="17" t="str">
        <x:v>Public archive</x:v>
      </x:c>
      <x:c r="L471" s="17" t="str">
        <x:v>COURT-SEALED UNTIL COHORT RELEASE</x:v>
      </x:c>
      <x:c r="M471" s="9" t="n">
        <x:v>0</x:v>
      </x:c>
      <x:c r="N471" s="9" t="n">
        <x:v>0</x:v>
      </x:c>
      <x:c r="O471" s="9" t="n">
        <x:v>0</x:v>
      </x:c>
      <x:c r="P471" s="9" t="str">
        <x:v>HELD / UNRELEASED</x:v>
      </x:c>
      <x:c r="Q471" s="9" t="n">
        <x:f>COUNTIFS($A$7:$A$2310,A471)</x:f>
        <x:v>1</x:v>
      </x:c>
    </x:row>
    <x:row r="472">
      <x:c r="A472" s="9" t="str">
        <x:v>PD-AR-LF-B-A-TECH-1-B1-RCN-G0-PD02</x:v>
      </x:c>
      <x:c r="B472" s="9" t="str">
        <x:v>PD-AR-LF-B-A-TECH-1-B1-RCN-G0</x:v>
      </x:c>
      <x:c r="C472" s="9" t="str">
        <x:v>EV-AR-LF-B-A-TECH-1-B1-RCN-G0</x:v>
      </x:c>
      <x:c r="D472" s="9" t="str">
        <x:v>AR-LF-B-A-TECH-1-B1-RCN-G0</x:v>
      </x:c>
      <x:c r="E472" s="9" t="str">
        <x:v>LF-B-A-TECH-1</x:v>
      </x:c>
      <x:c r="F472" s="9" t="str">
        <x:v>LF-B-A</x:v>
      </x:c>
      <x:c r="G472" s="9" t="str">
        <x:v>B1</x:v>
      </x:c>
      <x:c r="H472" s="9" t="str">
        <x:v>RCN</x:v>
      </x:c>
      <x:c r="I472" s="9" t="str">
        <x:v>PD02</x:v>
      </x:c>
      <x:c r="J472" s="17" t="str">
        <x:v>Serial annex and title chain</x:v>
      </x:c>
      <x:c r="K472" s="17" t="str">
        <x:v>Public archive</x:v>
      </x:c>
      <x:c r="L472" s="17" t="str">
        <x:v>COURT-SEALED UNTIL COHORT RELEASE</x:v>
      </x:c>
      <x:c r="M472" s="9" t="n">
        <x:v>0</x:v>
      </x:c>
      <x:c r="N472" s="9" t="n">
        <x:v>0</x:v>
      </x:c>
      <x:c r="O472" s="9" t="n">
        <x:v>0</x:v>
      </x:c>
      <x:c r="P472" s="9" t="str">
        <x:v>HELD / UNRELEASED</x:v>
      </x:c>
      <x:c r="Q472" s="9" t="n">
        <x:f>COUNTIFS($A$7:$A$2310,A472)</x:f>
        <x:v>1</x:v>
      </x:c>
    </x:row>
    <x:row r="473">
      <x:c r="A473" s="9" t="str">
        <x:v>PD-AR-LF-B-A-TECH-1-B1-RCN-G0-PD03</x:v>
      </x:c>
      <x:c r="B473" s="9" t="str">
        <x:v>PD-AR-LF-B-A-TECH-1-B1-RCN-G0</x:v>
      </x:c>
      <x:c r="C473" s="9" t="str">
        <x:v>EV-AR-LF-B-A-TECH-1-B1-RCN-G0</x:v>
      </x:c>
      <x:c r="D473" s="9" t="str">
        <x:v>AR-LF-B-A-TECH-1-B1-RCN-G0</x:v>
      </x:c>
      <x:c r="E473" s="9" t="str">
        <x:v>LF-B-A-TECH-1</x:v>
      </x:c>
      <x:c r="F473" s="9" t="str">
        <x:v>LF-B-A</x:v>
      </x:c>
      <x:c r="G473" s="9" t="str">
        <x:v>B1</x:v>
      </x:c>
      <x:c r="H473" s="9" t="str">
        <x:v>RCN</x:v>
      </x:c>
      <x:c r="I473" s="9" t="str">
        <x:v>PD03</x:v>
      </x:c>
      <x:c r="J473" s="17" t="str">
        <x:v>Configuration and as-built manifest</x:v>
      </x:c>
      <x:c r="K473" s="17" t="str">
        <x:v>Artifact exchange</x:v>
      </x:c>
      <x:c r="L473" s="17" t="str">
        <x:v>COURT-SEALED UNTIL COHORT RELEASE</x:v>
      </x:c>
      <x:c r="M473" s="9" t="n">
        <x:v>0</x:v>
      </x:c>
      <x:c r="N473" s="9" t="n">
        <x:v>0</x:v>
      </x:c>
      <x:c r="O473" s="9" t="n">
        <x:v>0</x:v>
      </x:c>
      <x:c r="P473" s="9" t="str">
        <x:v>HELD / UNRELEASED</x:v>
      </x:c>
      <x:c r="Q473" s="9" t="n">
        <x:f>COUNTIFS($A$7:$A$2310,A473)</x:f>
        <x:v>1</x:v>
      </x:c>
    </x:row>
    <x:row r="474">
      <x:c r="A474" s="9" t="str">
        <x:v>PD-AR-LF-B-A-TECH-1-B1-RCN-G0-PD04</x:v>
      </x:c>
      <x:c r="B474" s="9" t="str">
        <x:v>PD-AR-LF-B-A-TECH-1-B1-RCN-G0</x:v>
      </x:c>
      <x:c r="C474" s="9" t="str">
        <x:v>EV-AR-LF-B-A-TECH-1-B1-RCN-G0</x:v>
      </x:c>
      <x:c r="D474" s="9" t="str">
        <x:v>AR-LF-B-A-TECH-1-B1-RCN-G0</x:v>
      </x:c>
      <x:c r="E474" s="9" t="str">
        <x:v>LF-B-A-TECH-1</x:v>
      </x:c>
      <x:c r="F474" s="9" t="str">
        <x:v>LF-B-A</x:v>
      </x:c>
      <x:c r="G474" s="9" t="str">
        <x:v>B1</x:v>
      </x:c>
      <x:c r="H474" s="9" t="str">
        <x:v>RCN</x:v>
      </x:c>
      <x:c r="I474" s="9" t="str">
        <x:v>PD04</x:v>
      </x:c>
      <x:c r="J474" s="17" t="str">
        <x:v>EOW and start certificate</x:v>
      </x:c>
      <x:c r="K474" s="17" t="str">
        <x:v>Start registrar</x:v>
      </x:c>
      <x:c r="L474" s="17" t="str">
        <x:v>COURT-SEALED UNTIL COHORT RELEASE</x:v>
      </x:c>
      <x:c r="M474" s="9" t="n">
        <x:v>0</x:v>
      </x:c>
      <x:c r="N474" s="9" t="n">
        <x:v>0</x:v>
      </x:c>
      <x:c r="O474" s="9" t="n">
        <x:v>0</x:v>
      </x:c>
      <x:c r="P474" s="9" t="str">
        <x:v>HELD / UNRELEASED</x:v>
      </x:c>
      <x:c r="Q474" s="9" t="n">
        <x:f>COUNTIFS($A$7:$A$2310,A474)</x:f>
        <x:v>1</x:v>
      </x:c>
    </x:row>
    <x:row r="475">
      <x:c r="A475" s="9" t="str">
        <x:v>PD-AR-LF-B-A-TECH-1-B1-RCN-G0-PD05</x:v>
      </x:c>
      <x:c r="B475" s="9" t="str">
        <x:v>PD-AR-LF-B-A-TECH-1-B1-RCN-G0</x:v>
      </x:c>
      <x:c r="C475" s="9" t="str">
        <x:v>EV-AR-LF-B-A-TECH-1-B1-RCN-G0</x:v>
      </x:c>
      <x:c r="D475" s="9" t="str">
        <x:v>AR-LF-B-A-TECH-1-B1-RCN-G0</x:v>
      </x:c>
      <x:c r="E475" s="9" t="str">
        <x:v>LF-B-A-TECH-1</x:v>
      </x:c>
      <x:c r="F475" s="9" t="str">
        <x:v>LF-B-A</x:v>
      </x:c>
      <x:c r="G475" s="9" t="str">
        <x:v>B1</x:v>
      </x:c>
      <x:c r="H475" s="9" t="str">
        <x:v>RCN</x:v>
      </x:c>
      <x:c r="I475" s="9" t="str">
        <x:v>PD05</x:v>
      </x:c>
      <x:c r="J475" s="17" t="str">
        <x:v>Primary raw originals</x:v>
      </x:c>
      <x:c r="K475" s="17" t="str">
        <x:v>Primary custody</x:v>
      </x:c>
      <x:c r="L475" s="17" t="str">
        <x:v>COURT-SEALED UNTIL COHORT RELEASE</x:v>
      </x:c>
      <x:c r="M475" s="9" t="n">
        <x:v>0</x:v>
      </x:c>
      <x:c r="N475" s="9" t="n">
        <x:v>0</x:v>
      </x:c>
      <x:c r="O475" s="9" t="n">
        <x:v>0</x:v>
      </x:c>
      <x:c r="P475" s="9" t="str">
        <x:v>HELD / UNRELEASED</x:v>
      </x:c>
      <x:c r="Q475" s="9" t="n">
        <x:f>COUNTIFS($A$7:$A$2310,A475)</x:f>
        <x:v>1</x:v>
      </x:c>
    </x:row>
    <x:row r="476">
      <x:c r="A476" s="9" t="str">
        <x:v>PD-AR-LF-B-A-TECH-1-B1-RCN-G0-PD06</x:v>
      </x:c>
      <x:c r="B476" s="9" t="str">
        <x:v>PD-AR-LF-B-A-TECH-1-B1-RCN-G0</x:v>
      </x:c>
      <x:c r="C476" s="9" t="str">
        <x:v>EV-AR-LF-B-A-TECH-1-B1-RCN-G0</x:v>
      </x:c>
      <x:c r="D476" s="9" t="str">
        <x:v>AR-LF-B-A-TECH-1-B1-RCN-G0</x:v>
      </x:c>
      <x:c r="E476" s="9" t="str">
        <x:v>LF-B-A-TECH-1</x:v>
      </x:c>
      <x:c r="F476" s="9" t="str">
        <x:v>LF-B-A</x:v>
      </x:c>
      <x:c r="G476" s="9" t="str">
        <x:v>B1</x:v>
      </x:c>
      <x:c r="H476" s="9" t="str">
        <x:v>RCN</x:v>
      </x:c>
      <x:c r="I476" s="9" t="str">
        <x:v>PD06</x:v>
      </x:c>
      <x:c r="J476" s="17" t="str">
        <x:v>Witness raw originals</x:v>
      </x:c>
      <x:c r="K476" s="17" t="str">
        <x:v>Witness custody</x:v>
      </x:c>
      <x:c r="L476" s="17" t="str">
        <x:v>COURT-SEALED UNTIL COHORT RELEASE</x:v>
      </x:c>
      <x:c r="M476" s="9" t="n">
        <x:v>0</x:v>
      </x:c>
      <x:c r="N476" s="9" t="n">
        <x:v>0</x:v>
      </x:c>
      <x:c r="O476" s="9" t="n">
        <x:v>0</x:v>
      </x:c>
      <x:c r="P476" s="9" t="str">
        <x:v>HELD / UNRELEASED</x:v>
      </x:c>
      <x:c r="Q476" s="9" t="n">
        <x:f>COUNTIFS($A$7:$A$2310,A476)</x:f>
        <x:v>1</x:v>
      </x:c>
    </x:row>
    <x:row r="477">
      <x:c r="A477" s="9" t="str">
        <x:v>PD-AR-LF-B-A-TECH-1-B1-RCN-G0-PD07</x:v>
      </x:c>
      <x:c r="B477" s="9" t="str">
        <x:v>PD-AR-LF-B-A-TECH-1-B1-RCN-G0</x:v>
      </x:c>
      <x:c r="C477" s="9" t="str">
        <x:v>EV-AR-LF-B-A-TECH-1-B1-RCN-G0</x:v>
      </x:c>
      <x:c r="D477" s="9" t="str">
        <x:v>AR-LF-B-A-TECH-1-B1-RCN-G0</x:v>
      </x:c>
      <x:c r="E477" s="9" t="str">
        <x:v>LF-B-A-TECH-1</x:v>
      </x:c>
      <x:c r="F477" s="9" t="str">
        <x:v>LF-B-A</x:v>
      </x:c>
      <x:c r="G477" s="9" t="str">
        <x:v>B1</x:v>
      </x:c>
      <x:c r="H477" s="9" t="str">
        <x:v>RCN</x:v>
      </x:c>
      <x:c r="I477" s="9" t="str">
        <x:v>PD07</x:v>
      </x:c>
      <x:c r="J477" s="17" t="str">
        <x:v>Clock and environmental records</x:v>
      </x:c>
      <x:c r="K477" s="17" t="str">
        <x:v>Boundary archive</x:v>
      </x:c>
      <x:c r="L477" s="17" t="str">
        <x:v>COURT-SEALED UNTIL COHORT RELEASE</x:v>
      </x:c>
      <x:c r="M477" s="9" t="n">
        <x:v>0</x:v>
      </x:c>
      <x:c r="N477" s="9" t="n">
        <x:v>0</x:v>
      </x:c>
      <x:c r="O477" s="9" t="n">
        <x:v>0</x:v>
      </x:c>
      <x:c r="P477" s="9" t="str">
        <x:v>HELD / UNRELEASED</x:v>
      </x:c>
      <x:c r="Q477" s="9" t="n">
        <x:f>COUNTIFS($A$7:$A$2310,A477)</x:f>
        <x:v>1</x:v>
      </x:c>
    </x:row>
    <x:row r="478">
      <x:c r="A478" s="9" t="str">
        <x:v>PD-AR-LF-B-A-TECH-1-B1-RCN-G0-PD08</x:v>
      </x:c>
      <x:c r="B478" s="9" t="str">
        <x:v>PD-AR-LF-B-A-TECH-1-B1-RCN-G0</x:v>
      </x:c>
      <x:c r="C478" s="9" t="str">
        <x:v>EV-AR-LF-B-A-TECH-1-B1-RCN-G0</x:v>
      </x:c>
      <x:c r="D478" s="9" t="str">
        <x:v>AR-LF-B-A-TECH-1-B1-RCN-G0</x:v>
      </x:c>
      <x:c r="E478" s="9" t="str">
        <x:v>LF-B-A-TECH-1</x:v>
      </x:c>
      <x:c r="F478" s="9" t="str">
        <x:v>LF-B-A</x:v>
      </x:c>
      <x:c r="G478" s="9" t="str">
        <x:v>B1</x:v>
      </x:c>
      <x:c r="H478" s="9" t="str">
        <x:v>RCN</x:v>
      </x:c>
      <x:c r="I478" s="9" t="str">
        <x:v>PD08</x:v>
      </x:c>
      <x:c r="J478" s="17" t="str">
        <x:v>Command and intervention log</x:v>
      </x:c>
      <x:c r="K478" s="17" t="str">
        <x:v>Safety archive</x:v>
      </x:c>
      <x:c r="L478" s="17" t="str">
        <x:v>COURT-SEALED UNTIL COHORT RELEASE</x:v>
      </x:c>
      <x:c r="M478" s="9" t="n">
        <x:v>0</x:v>
      </x:c>
      <x:c r="N478" s="9" t="n">
        <x:v>0</x:v>
      </x:c>
      <x:c r="O478" s="9" t="n">
        <x:v>0</x:v>
      </x:c>
      <x:c r="P478" s="9" t="str">
        <x:v>HELD / UNRELEASED</x:v>
      </x:c>
      <x:c r="Q478" s="9" t="n">
        <x:f>COUNTIFS($A$7:$A$2310,A478)</x:f>
        <x:v>1</x:v>
      </x:c>
    </x:row>
    <x:row r="479">
      <x:c r="A479" s="9" t="str">
        <x:v>PD-AR-LF-B-A-TECH-1-B1-RCN-G0-PD09</x:v>
      </x:c>
      <x:c r="B479" s="9" t="str">
        <x:v>PD-AR-LF-B-A-TECH-1-B1-RCN-G0</x:v>
      </x:c>
      <x:c r="C479" s="9" t="str">
        <x:v>EV-AR-LF-B-A-TECH-1-B1-RCN-G0</x:v>
      </x:c>
      <x:c r="D479" s="9" t="str">
        <x:v>AR-LF-B-A-TECH-1-B1-RCN-G0</x:v>
      </x:c>
      <x:c r="E479" s="9" t="str">
        <x:v>LF-B-A-TECH-1</x:v>
      </x:c>
      <x:c r="F479" s="9" t="str">
        <x:v>LF-B-A</x:v>
      </x:c>
      <x:c r="G479" s="9" t="str">
        <x:v>B1</x:v>
      </x:c>
      <x:c r="H479" s="9" t="str">
        <x:v>RCN</x:v>
      </x:c>
      <x:c r="I479" s="9" t="str">
        <x:v>PD09</x:v>
      </x:c>
      <x:c r="J479" s="17" t="str">
        <x:v>Receiver denominator and service ledger</x:v>
      </x:c>
      <x:c r="K479" s="17" t="str">
        <x:v>Receiver archive</x:v>
      </x:c>
      <x:c r="L479" s="17" t="str">
        <x:v>COURT-SEALED UNTIL COHORT RELEASE</x:v>
      </x:c>
      <x:c r="M479" s="9" t="n">
        <x:v>0</x:v>
      </x:c>
      <x:c r="N479" s="9" t="n">
        <x:v>0</x:v>
      </x:c>
      <x:c r="O479" s="9" t="n">
        <x:v>0</x:v>
      </x:c>
      <x:c r="P479" s="9" t="str">
        <x:v>HELD / UNRELEASED</x:v>
      </x:c>
      <x:c r="Q479" s="9" t="n">
        <x:f>COUNTIFS($A$7:$A$2310,A479)</x:f>
        <x:v>1</x:v>
      </x:c>
    </x:row>
    <x:row r="480">
      <x:c r="A480" s="9" t="str">
        <x:v>PD-AR-LF-B-A-TECH-1-B1-RCN-G0-PD10</x:v>
      </x:c>
      <x:c r="B480" s="9" t="str">
        <x:v>PD-AR-LF-B-A-TECH-1-B1-RCN-G0</x:v>
      </x:c>
      <x:c r="C480" s="9" t="str">
        <x:v>EV-AR-LF-B-A-TECH-1-B1-RCN-G0</x:v>
      </x:c>
      <x:c r="D480" s="9" t="str">
        <x:v>AR-LF-B-A-TECH-1-B1-RCN-G0</x:v>
      </x:c>
      <x:c r="E480" s="9" t="str">
        <x:v>LF-B-A-TECH-1</x:v>
      </x:c>
      <x:c r="F480" s="9" t="str">
        <x:v>LF-B-A</x:v>
      </x:c>
      <x:c r="G480" s="9" t="str">
        <x:v>B1</x:v>
      </x:c>
      <x:c r="H480" s="9" t="str">
        <x:v>RCN</x:v>
      </x:c>
      <x:c r="I480" s="9" t="str">
        <x:v>PD10</x:v>
      </x:c>
      <x:c r="J480" s="17" t="str">
        <x:v>Calibration and uncertainty record</x:v>
      </x:c>
      <x:c r="K480" s="17" t="str">
        <x:v>Metrology archive</x:v>
      </x:c>
      <x:c r="L480" s="17" t="str">
        <x:v>COURT-SEALED UNTIL COHORT RELEASE</x:v>
      </x:c>
      <x:c r="M480" s="9" t="n">
        <x:v>0</x:v>
      </x:c>
      <x:c r="N480" s="9" t="n">
        <x:v>0</x:v>
      </x:c>
      <x:c r="O480" s="9" t="n">
        <x:v>0</x:v>
      </x:c>
      <x:c r="P480" s="9" t="str">
        <x:v>HELD / UNRELEASED</x:v>
      </x:c>
      <x:c r="Q480" s="9" t="n">
        <x:f>COUNTIFS($A$7:$A$2310,A480)</x:f>
        <x:v>1</x:v>
      </x:c>
    </x:row>
    <x:row r="481">
      <x:c r="A481" s="9" t="str">
        <x:v>PD-AR-LF-B-A-TECH-1-B1-RCN-G0-PD11</x:v>
      </x:c>
      <x:c r="B481" s="9" t="str">
        <x:v>PD-AR-LF-B-A-TECH-1-B1-RCN-G0</x:v>
      </x:c>
      <x:c r="C481" s="9" t="str">
        <x:v>EV-AR-LF-B-A-TECH-1-B1-RCN-G0</x:v>
      </x:c>
      <x:c r="D481" s="9" t="str">
        <x:v>AR-LF-B-A-TECH-1-B1-RCN-G0</x:v>
      </x:c>
      <x:c r="E481" s="9" t="str">
        <x:v>LF-B-A-TECH-1</x:v>
      </x:c>
      <x:c r="F481" s="9" t="str">
        <x:v>LF-B-A</x:v>
      </x:c>
      <x:c r="G481" s="9" t="str">
        <x:v>B1</x:v>
      </x:c>
      <x:c r="H481" s="9" t="str">
        <x:v>RCN</x:v>
      </x:c>
      <x:c r="I481" s="9" t="str">
        <x:v>PD11</x:v>
      </x:c>
      <x:c r="J481" s="17" t="str">
        <x:v>Invalidity petition and opinion</x:v>
      </x:c>
      <x:c r="K481" s="17" t="str">
        <x:v>Invalidity court</x:v>
      </x:c>
      <x:c r="L481" s="17" t="str">
        <x:v>COURT-SEALED UNTIL COHORT RELEASE</x:v>
      </x:c>
      <x:c r="M481" s="9" t="n">
        <x:v>0</x:v>
      </x:c>
      <x:c r="N481" s="9" t="n">
        <x:v>0</x:v>
      </x:c>
      <x:c r="O481" s="9" t="n">
        <x:v>0</x:v>
      </x:c>
      <x:c r="P481" s="9" t="str">
        <x:v>HELD / UNRELEASED</x:v>
      </x:c>
      <x:c r="Q481" s="9" t="n">
        <x:f>COUNTIFS($A$7:$A$2310,A481)</x:f>
        <x:v>1</x:v>
      </x:c>
    </x:row>
    <x:row r="482">
      <x:c r="A482" s="9" t="str">
        <x:v>PD-AR-LF-B-A-TECH-1-B1-RCN-G0-PD12</x:v>
      </x:c>
      <x:c r="B482" s="9" t="str">
        <x:v>PD-AR-LF-B-A-TECH-1-B1-RCN-G0</x:v>
      </x:c>
      <x:c r="C482" s="9" t="str">
        <x:v>EV-AR-LF-B-A-TECH-1-B1-RCN-G0</x:v>
      </x:c>
      <x:c r="D482" s="9" t="str">
        <x:v>AR-LF-B-A-TECH-1-B1-RCN-G0</x:v>
      </x:c>
      <x:c r="E482" s="9" t="str">
        <x:v>LF-B-A-TECH-1</x:v>
      </x:c>
      <x:c r="F482" s="9" t="str">
        <x:v>LF-B-A</x:v>
      </x:c>
      <x:c r="G482" s="9" t="str">
        <x:v>B1</x:v>
      </x:c>
      <x:c r="H482" s="9" t="str">
        <x:v>RCN</x:v>
      </x:c>
      <x:c r="I482" s="9" t="str">
        <x:v>PD12</x:v>
      </x:c>
      <x:c r="J482" s="17" t="str">
        <x:v>Observation acceptance and replay</x:v>
      </x:c>
      <x:c r="K482" s="17" t="str">
        <x:v>Observation court</x:v>
      </x:c>
      <x:c r="L482" s="17" t="str">
        <x:v>COURT-SEALED UNTIL COHORT RELEASE</x:v>
      </x:c>
      <x:c r="M482" s="9" t="n">
        <x:v>0</x:v>
      </x:c>
      <x:c r="N482" s="9" t="n">
        <x:v>0</x:v>
      </x:c>
      <x:c r="O482" s="9" t="n">
        <x:v>0</x:v>
      </x:c>
      <x:c r="P482" s="9" t="str">
        <x:v>HELD / UNRELEASED</x:v>
      </x:c>
      <x:c r="Q482" s="9" t="n">
        <x:f>COUNTIFS($A$7:$A$2310,A482)</x:f>
        <x:v>1</x:v>
      </x:c>
    </x:row>
    <x:row r="483">
      <x:c r="A483" s="9" t="str">
        <x:v>PD-AR-LF-B-A-TECH-1-B1-RCN-G0-PD13</x:v>
      </x:c>
      <x:c r="B483" s="9" t="str">
        <x:v>PD-AR-LF-B-A-TECH-1-B1-RCN-G0</x:v>
      </x:c>
      <x:c r="C483" s="9" t="str">
        <x:v>EV-AR-LF-B-A-TECH-1-B1-RCN-G0</x:v>
      </x:c>
      <x:c r="D483" s="9" t="str">
        <x:v>AR-LF-B-A-TECH-1-B1-RCN-G0</x:v>
      </x:c>
      <x:c r="E483" s="9" t="str">
        <x:v>LF-B-A-TECH-1</x:v>
      </x:c>
      <x:c r="F483" s="9" t="str">
        <x:v>LF-B-A</x:v>
      </x:c>
      <x:c r="G483" s="9" t="str">
        <x:v>B1</x:v>
      </x:c>
      <x:c r="H483" s="9" t="str">
        <x:v>RCN</x:v>
      </x:c>
      <x:c r="I483" s="9" t="str">
        <x:v>PD13</x:v>
      </x:c>
      <x:c r="J483" s="17" t="str">
        <x:v>Role judgment</x:v>
      </x:c>
      <x:c r="K483" s="17" t="str">
        <x:v>Role court</x:v>
      </x:c>
      <x:c r="L483" s="17" t="str">
        <x:v>COURT-SEALED UNTIL COHORT RELEASE</x:v>
      </x:c>
      <x:c r="M483" s="9" t="n">
        <x:v>0</x:v>
      </x:c>
      <x:c r="N483" s="9" t="n">
        <x:v>0</x:v>
      </x:c>
      <x:c r="O483" s="9" t="n">
        <x:v>0</x:v>
      </x:c>
      <x:c r="P483" s="9" t="str">
        <x:v>HELD / UNRELEASED</x:v>
      </x:c>
      <x:c r="Q483" s="9" t="n">
        <x:f>COUNTIFS($A$7:$A$2310,A483)</x:f>
        <x:v>1</x:v>
      </x:c>
    </x:row>
    <x:row r="484">
      <x:c r="A484" s="9" t="str">
        <x:v>PD-AR-LF-B-A-TECH-1-B1-RCN-G0-PD14</x:v>
      </x:c>
      <x:c r="B484" s="9" t="str">
        <x:v>PD-AR-LF-B-A-TECH-1-B1-RCN-G0</x:v>
      </x:c>
      <x:c r="C484" s="9" t="str">
        <x:v>EV-AR-LF-B-A-TECH-1-B1-RCN-G0</x:v>
      </x:c>
      <x:c r="D484" s="9" t="str">
        <x:v>AR-LF-B-A-TECH-1-B1-RCN-G0</x:v>
      </x:c>
      <x:c r="E484" s="9" t="str">
        <x:v>LF-B-A-TECH-1</x:v>
      </x:c>
      <x:c r="F484" s="9" t="str">
        <x:v>LF-B-A</x:v>
      </x:c>
      <x:c r="G484" s="9" t="str">
        <x:v>B1</x:v>
      </x:c>
      <x:c r="H484" s="9" t="str">
        <x:v>RCN</x:v>
      </x:c>
      <x:c r="I484" s="9" t="str">
        <x:v>PD14</x:v>
      </x:c>
      <x:c r="J484" s="17" t="str">
        <x:v>Break and residual account</x:v>
      </x:c>
      <x:c r="K484" s="17" t="str">
        <x:v>Residual authority</x:v>
      </x:c>
      <x:c r="L484" s="17" t="str">
        <x:v>COURT-SEALED UNTIL COHORT RELEASE</x:v>
      </x:c>
      <x:c r="M484" s="9" t="n">
        <x:v>0</x:v>
      </x:c>
      <x:c r="N484" s="9" t="n">
        <x:v>0</x:v>
      </x:c>
      <x:c r="O484" s="9" t="n">
        <x:v>0</x:v>
      </x:c>
      <x:c r="P484" s="9" t="str">
        <x:v>HELD / UNRELEASED</x:v>
      </x:c>
      <x:c r="Q484" s="9" t="n">
        <x:f>COUNTIFS($A$7:$A$2310,A484)</x:f>
        <x:v>1</x:v>
      </x:c>
    </x:row>
    <x:row r="485">
      <x:c r="A485" s="9" t="str">
        <x:v>PD-AR-LF-B-A-TECH-1-B1-RCN-G0-PD15</x:v>
      </x:c>
      <x:c r="B485" s="9" t="str">
        <x:v>PD-AR-LF-B-A-TECH-1-B1-RCN-G0</x:v>
      </x:c>
      <x:c r="C485" s="9" t="str">
        <x:v>EV-AR-LF-B-A-TECH-1-B1-RCN-G0</x:v>
      </x:c>
      <x:c r="D485" s="9" t="str">
        <x:v>AR-LF-B-A-TECH-1-B1-RCN-G0</x:v>
      </x:c>
      <x:c r="E485" s="9" t="str">
        <x:v>LF-B-A-TECH-1</x:v>
      </x:c>
      <x:c r="F485" s="9" t="str">
        <x:v>LF-B-A</x:v>
      </x:c>
      <x:c r="G485" s="9" t="str">
        <x:v>B1</x:v>
      </x:c>
      <x:c r="H485" s="9" t="str">
        <x:v>RCN</x:v>
      </x:c>
      <x:c r="I485" s="9" t="str">
        <x:v>PD15</x:v>
      </x:c>
      <x:c r="J485" s="17" t="str">
        <x:v>Reconstruction ancestry and replay</x:v>
      </x:c>
      <x:c r="K485" s="17" t="str">
        <x:v>Reconstruction court</x:v>
      </x:c>
      <x:c r="L485" s="17" t="str">
        <x:v>COURT-SEALED UNTIL COHORT RELEASE</x:v>
      </x:c>
      <x:c r="M485" s="9" t="n">
        <x:v>0</x:v>
      </x:c>
      <x:c r="N485" s="9" t="n">
        <x:v>0</x:v>
      </x:c>
      <x:c r="O485" s="9" t="n">
        <x:v>0</x:v>
      </x:c>
      <x:c r="P485" s="9" t="str">
        <x:v>HELD / UNRELEASED</x:v>
      </x:c>
      <x:c r="Q485" s="9" t="n">
        <x:f>COUNTIFS($A$7:$A$2310,A485)</x:f>
        <x:v>1</x:v>
      </x:c>
    </x:row>
    <x:row r="486">
      <x:c r="A486" s="9" t="str">
        <x:v>PD-AR-LF-B-A-TECH-1-B1-RCN-G0-PD16</x:v>
      </x:c>
      <x:c r="B486" s="9" t="str">
        <x:v>PD-AR-LF-B-A-TECH-1-B1-RCN-G0</x:v>
      </x:c>
      <x:c r="C486" s="9" t="str">
        <x:v>EV-AR-LF-B-A-TECH-1-B1-RCN-G0</x:v>
      </x:c>
      <x:c r="D486" s="9" t="str">
        <x:v>AR-LF-B-A-TECH-1-B1-RCN-G0</x:v>
      </x:c>
      <x:c r="E486" s="9" t="str">
        <x:v>LF-B-A-TECH-1</x:v>
      </x:c>
      <x:c r="F486" s="9" t="str">
        <x:v>LF-B-A</x:v>
      </x:c>
      <x:c r="G486" s="9" t="str">
        <x:v>B1</x:v>
      </x:c>
      <x:c r="H486" s="9" t="str">
        <x:v>RCN</x:v>
      </x:c>
      <x:c r="I486" s="9" t="str">
        <x:v>PD16</x:v>
      </x:c>
      <x:c r="J486" s="17" t="str">
        <x:v>Dissent, amendments and access log</x:v>
      </x:c>
      <x:c r="K486" s="17" t="str">
        <x:v>Public archive</x:v>
      </x:c>
      <x:c r="L486" s="17" t="str">
        <x:v>COURT-SEALED UNTIL COHORT RELEASE</x:v>
      </x:c>
      <x:c r="M486" s="9" t="n">
        <x:v>0</x:v>
      </x:c>
      <x:c r="N486" s="9" t="n">
        <x:v>0</x:v>
      </x:c>
      <x:c r="O486" s="9" t="n">
        <x:v>0</x:v>
      </x:c>
      <x:c r="P486" s="9" t="str">
        <x:v>HELD / UNRELEASED</x:v>
      </x:c>
      <x:c r="Q486" s="9" t="n">
        <x:f>COUNTIFS($A$7:$A$2310,A486)</x:f>
        <x:v>1</x:v>
      </x:c>
    </x:row>
    <x:row r="487">
      <x:c r="A487" s="9" t="str">
        <x:v>PD-AR-ET-A-A-TECH-3-B2-RCN-G0-PD01</x:v>
      </x:c>
      <x:c r="B487" s="9" t="str">
        <x:v>PD-AR-ET-A-A-TECH-3-B2-RCN-G0</x:v>
      </x:c>
      <x:c r="C487" s="9" t="str">
        <x:v>EV-AR-ET-A-A-TECH-3-B2-RCN-G0</x:v>
      </x:c>
      <x:c r="D487" s="9" t="str">
        <x:v>AR-ET-A-A-TECH-3-B2-RCN-G0</x:v>
      </x:c>
      <x:c r="E487" s="9" t="str">
        <x:v>ET-A-A-TECH-3</x:v>
      </x:c>
      <x:c r="F487" s="9" t="str">
        <x:v>ET-A-A</x:v>
      </x:c>
      <x:c r="G487" s="9" t="str">
        <x:v>B2</x:v>
      </x:c>
      <x:c r="H487" s="9" t="str">
        <x:v>RCN</x:v>
      </x:c>
      <x:c r="I487" s="9" t="str">
        <x:v>PD01</x:v>
      </x:c>
      <x:c r="J487" s="17" t="str">
        <x:v>Experiment kernel</x:v>
      </x:c>
      <x:c r="K487" s="17" t="str">
        <x:v>Public archive</x:v>
      </x:c>
      <x:c r="L487" s="17" t="str">
        <x:v>COURT-SEALED UNTIL COHORT RELEASE</x:v>
      </x:c>
      <x:c r="M487" s="9" t="n">
        <x:v>0</x:v>
      </x:c>
      <x:c r="N487" s="9" t="n">
        <x:v>0</x:v>
      </x:c>
      <x:c r="O487" s="9" t="n">
        <x:v>0</x:v>
      </x:c>
      <x:c r="P487" s="9" t="str">
        <x:v>HELD / UNRELEASED</x:v>
      </x:c>
      <x:c r="Q487" s="9" t="n">
        <x:f>COUNTIFS($A$7:$A$2310,A487)</x:f>
        <x:v>1</x:v>
      </x:c>
    </x:row>
    <x:row r="488">
      <x:c r="A488" s="9" t="str">
        <x:v>PD-AR-ET-A-A-TECH-3-B2-RCN-G0-PD02</x:v>
      </x:c>
      <x:c r="B488" s="9" t="str">
        <x:v>PD-AR-ET-A-A-TECH-3-B2-RCN-G0</x:v>
      </x:c>
      <x:c r="C488" s="9" t="str">
        <x:v>EV-AR-ET-A-A-TECH-3-B2-RCN-G0</x:v>
      </x:c>
      <x:c r="D488" s="9" t="str">
        <x:v>AR-ET-A-A-TECH-3-B2-RCN-G0</x:v>
      </x:c>
      <x:c r="E488" s="9" t="str">
        <x:v>ET-A-A-TECH-3</x:v>
      </x:c>
      <x:c r="F488" s="9" t="str">
        <x:v>ET-A-A</x:v>
      </x:c>
      <x:c r="G488" s="9" t="str">
        <x:v>B2</x:v>
      </x:c>
      <x:c r="H488" s="9" t="str">
        <x:v>RCN</x:v>
      </x:c>
      <x:c r="I488" s="9" t="str">
        <x:v>PD02</x:v>
      </x:c>
      <x:c r="J488" s="17" t="str">
        <x:v>Serial annex and title chain</x:v>
      </x:c>
      <x:c r="K488" s="17" t="str">
        <x:v>Public archive</x:v>
      </x:c>
      <x:c r="L488" s="17" t="str">
        <x:v>COURT-SEALED UNTIL COHORT RELEASE</x:v>
      </x:c>
      <x:c r="M488" s="9" t="n">
        <x:v>0</x:v>
      </x:c>
      <x:c r="N488" s="9" t="n">
        <x:v>0</x:v>
      </x:c>
      <x:c r="O488" s="9" t="n">
        <x:v>0</x:v>
      </x:c>
      <x:c r="P488" s="9" t="str">
        <x:v>HELD / UNRELEASED</x:v>
      </x:c>
      <x:c r="Q488" s="9" t="n">
        <x:f>COUNTIFS($A$7:$A$2310,A488)</x:f>
        <x:v>1</x:v>
      </x:c>
    </x:row>
    <x:row r="489">
      <x:c r="A489" s="9" t="str">
        <x:v>PD-AR-ET-A-A-TECH-3-B2-RCN-G0-PD03</x:v>
      </x:c>
      <x:c r="B489" s="9" t="str">
        <x:v>PD-AR-ET-A-A-TECH-3-B2-RCN-G0</x:v>
      </x:c>
      <x:c r="C489" s="9" t="str">
        <x:v>EV-AR-ET-A-A-TECH-3-B2-RCN-G0</x:v>
      </x:c>
      <x:c r="D489" s="9" t="str">
        <x:v>AR-ET-A-A-TECH-3-B2-RCN-G0</x:v>
      </x:c>
      <x:c r="E489" s="9" t="str">
        <x:v>ET-A-A-TECH-3</x:v>
      </x:c>
      <x:c r="F489" s="9" t="str">
        <x:v>ET-A-A</x:v>
      </x:c>
      <x:c r="G489" s="9" t="str">
        <x:v>B2</x:v>
      </x:c>
      <x:c r="H489" s="9" t="str">
        <x:v>RCN</x:v>
      </x:c>
      <x:c r="I489" s="9" t="str">
        <x:v>PD03</x:v>
      </x:c>
      <x:c r="J489" s="17" t="str">
        <x:v>Configuration and as-built manifest</x:v>
      </x:c>
      <x:c r="K489" s="17" t="str">
        <x:v>Artifact exchange</x:v>
      </x:c>
      <x:c r="L489" s="17" t="str">
        <x:v>COURT-SEALED UNTIL COHORT RELEASE</x:v>
      </x:c>
      <x:c r="M489" s="9" t="n">
        <x:v>0</x:v>
      </x:c>
      <x:c r="N489" s="9" t="n">
        <x:v>0</x:v>
      </x:c>
      <x:c r="O489" s="9" t="n">
        <x:v>0</x:v>
      </x:c>
      <x:c r="P489" s="9" t="str">
        <x:v>HELD / UNRELEASED</x:v>
      </x:c>
      <x:c r="Q489" s="9" t="n">
        <x:f>COUNTIFS($A$7:$A$2310,A489)</x:f>
        <x:v>1</x:v>
      </x:c>
    </x:row>
    <x:row r="490">
      <x:c r="A490" s="9" t="str">
        <x:v>PD-AR-ET-A-A-TECH-3-B2-RCN-G0-PD04</x:v>
      </x:c>
      <x:c r="B490" s="9" t="str">
        <x:v>PD-AR-ET-A-A-TECH-3-B2-RCN-G0</x:v>
      </x:c>
      <x:c r="C490" s="9" t="str">
        <x:v>EV-AR-ET-A-A-TECH-3-B2-RCN-G0</x:v>
      </x:c>
      <x:c r="D490" s="9" t="str">
        <x:v>AR-ET-A-A-TECH-3-B2-RCN-G0</x:v>
      </x:c>
      <x:c r="E490" s="9" t="str">
        <x:v>ET-A-A-TECH-3</x:v>
      </x:c>
      <x:c r="F490" s="9" t="str">
        <x:v>ET-A-A</x:v>
      </x:c>
      <x:c r="G490" s="9" t="str">
        <x:v>B2</x:v>
      </x:c>
      <x:c r="H490" s="9" t="str">
        <x:v>RCN</x:v>
      </x:c>
      <x:c r="I490" s="9" t="str">
        <x:v>PD04</x:v>
      </x:c>
      <x:c r="J490" s="17" t="str">
        <x:v>EOW and start certificate</x:v>
      </x:c>
      <x:c r="K490" s="17" t="str">
        <x:v>Start registrar</x:v>
      </x:c>
      <x:c r="L490" s="17" t="str">
        <x:v>COURT-SEALED UNTIL COHORT RELEASE</x:v>
      </x:c>
      <x:c r="M490" s="9" t="n">
        <x:v>0</x:v>
      </x:c>
      <x:c r="N490" s="9" t="n">
        <x:v>0</x:v>
      </x:c>
      <x:c r="O490" s="9" t="n">
        <x:v>0</x:v>
      </x:c>
      <x:c r="P490" s="9" t="str">
        <x:v>HELD / UNRELEASED</x:v>
      </x:c>
      <x:c r="Q490" s="9" t="n">
        <x:f>COUNTIFS($A$7:$A$2310,A490)</x:f>
        <x:v>1</x:v>
      </x:c>
    </x:row>
    <x:row r="491">
      <x:c r="A491" s="9" t="str">
        <x:v>PD-AR-ET-A-A-TECH-3-B2-RCN-G0-PD05</x:v>
      </x:c>
      <x:c r="B491" s="9" t="str">
        <x:v>PD-AR-ET-A-A-TECH-3-B2-RCN-G0</x:v>
      </x:c>
      <x:c r="C491" s="9" t="str">
        <x:v>EV-AR-ET-A-A-TECH-3-B2-RCN-G0</x:v>
      </x:c>
      <x:c r="D491" s="9" t="str">
        <x:v>AR-ET-A-A-TECH-3-B2-RCN-G0</x:v>
      </x:c>
      <x:c r="E491" s="9" t="str">
        <x:v>ET-A-A-TECH-3</x:v>
      </x:c>
      <x:c r="F491" s="9" t="str">
        <x:v>ET-A-A</x:v>
      </x:c>
      <x:c r="G491" s="9" t="str">
        <x:v>B2</x:v>
      </x:c>
      <x:c r="H491" s="9" t="str">
        <x:v>RCN</x:v>
      </x:c>
      <x:c r="I491" s="9" t="str">
        <x:v>PD05</x:v>
      </x:c>
      <x:c r="J491" s="17" t="str">
        <x:v>Primary raw originals</x:v>
      </x:c>
      <x:c r="K491" s="17" t="str">
        <x:v>Primary custody</x:v>
      </x:c>
      <x:c r="L491" s="17" t="str">
        <x:v>COURT-SEALED UNTIL COHORT RELEASE</x:v>
      </x:c>
      <x:c r="M491" s="9" t="n">
        <x:v>0</x:v>
      </x:c>
      <x:c r="N491" s="9" t="n">
        <x:v>0</x:v>
      </x:c>
      <x:c r="O491" s="9" t="n">
        <x:v>0</x:v>
      </x:c>
      <x:c r="P491" s="9" t="str">
        <x:v>HELD / UNRELEASED</x:v>
      </x:c>
      <x:c r="Q491" s="9" t="n">
        <x:f>COUNTIFS($A$7:$A$2310,A491)</x:f>
        <x:v>1</x:v>
      </x:c>
    </x:row>
    <x:row r="492">
      <x:c r="A492" s="9" t="str">
        <x:v>PD-AR-ET-A-A-TECH-3-B2-RCN-G0-PD06</x:v>
      </x:c>
      <x:c r="B492" s="9" t="str">
        <x:v>PD-AR-ET-A-A-TECH-3-B2-RCN-G0</x:v>
      </x:c>
      <x:c r="C492" s="9" t="str">
        <x:v>EV-AR-ET-A-A-TECH-3-B2-RCN-G0</x:v>
      </x:c>
      <x:c r="D492" s="9" t="str">
        <x:v>AR-ET-A-A-TECH-3-B2-RCN-G0</x:v>
      </x:c>
      <x:c r="E492" s="9" t="str">
        <x:v>ET-A-A-TECH-3</x:v>
      </x:c>
      <x:c r="F492" s="9" t="str">
        <x:v>ET-A-A</x:v>
      </x:c>
      <x:c r="G492" s="9" t="str">
        <x:v>B2</x:v>
      </x:c>
      <x:c r="H492" s="9" t="str">
        <x:v>RCN</x:v>
      </x:c>
      <x:c r="I492" s="9" t="str">
        <x:v>PD06</x:v>
      </x:c>
      <x:c r="J492" s="17" t="str">
        <x:v>Witness raw originals</x:v>
      </x:c>
      <x:c r="K492" s="17" t="str">
        <x:v>Witness custody</x:v>
      </x:c>
      <x:c r="L492" s="17" t="str">
        <x:v>COURT-SEALED UNTIL COHORT RELEASE</x:v>
      </x:c>
      <x:c r="M492" s="9" t="n">
        <x:v>0</x:v>
      </x:c>
      <x:c r="N492" s="9" t="n">
        <x:v>0</x:v>
      </x:c>
      <x:c r="O492" s="9" t="n">
        <x:v>0</x:v>
      </x:c>
      <x:c r="P492" s="9" t="str">
        <x:v>HELD / UNRELEASED</x:v>
      </x:c>
      <x:c r="Q492" s="9" t="n">
        <x:f>COUNTIFS($A$7:$A$2310,A492)</x:f>
        <x:v>1</x:v>
      </x:c>
    </x:row>
    <x:row r="493">
      <x:c r="A493" s="9" t="str">
        <x:v>PD-AR-ET-A-A-TECH-3-B2-RCN-G0-PD07</x:v>
      </x:c>
      <x:c r="B493" s="9" t="str">
        <x:v>PD-AR-ET-A-A-TECH-3-B2-RCN-G0</x:v>
      </x:c>
      <x:c r="C493" s="9" t="str">
        <x:v>EV-AR-ET-A-A-TECH-3-B2-RCN-G0</x:v>
      </x:c>
      <x:c r="D493" s="9" t="str">
        <x:v>AR-ET-A-A-TECH-3-B2-RCN-G0</x:v>
      </x:c>
      <x:c r="E493" s="9" t="str">
        <x:v>ET-A-A-TECH-3</x:v>
      </x:c>
      <x:c r="F493" s="9" t="str">
        <x:v>ET-A-A</x:v>
      </x:c>
      <x:c r="G493" s="9" t="str">
        <x:v>B2</x:v>
      </x:c>
      <x:c r="H493" s="9" t="str">
        <x:v>RCN</x:v>
      </x:c>
      <x:c r="I493" s="9" t="str">
        <x:v>PD07</x:v>
      </x:c>
      <x:c r="J493" s="17" t="str">
        <x:v>Clock and environmental records</x:v>
      </x:c>
      <x:c r="K493" s="17" t="str">
        <x:v>Boundary archive</x:v>
      </x:c>
      <x:c r="L493" s="17" t="str">
        <x:v>COURT-SEALED UNTIL COHORT RELEASE</x:v>
      </x:c>
      <x:c r="M493" s="9" t="n">
        <x:v>0</x:v>
      </x:c>
      <x:c r="N493" s="9" t="n">
        <x:v>0</x:v>
      </x:c>
      <x:c r="O493" s="9" t="n">
        <x:v>0</x:v>
      </x:c>
      <x:c r="P493" s="9" t="str">
        <x:v>HELD / UNRELEASED</x:v>
      </x:c>
      <x:c r="Q493" s="9" t="n">
        <x:f>COUNTIFS($A$7:$A$2310,A493)</x:f>
        <x:v>1</x:v>
      </x:c>
    </x:row>
    <x:row r="494">
      <x:c r="A494" s="9" t="str">
        <x:v>PD-AR-ET-A-A-TECH-3-B2-RCN-G0-PD08</x:v>
      </x:c>
      <x:c r="B494" s="9" t="str">
        <x:v>PD-AR-ET-A-A-TECH-3-B2-RCN-G0</x:v>
      </x:c>
      <x:c r="C494" s="9" t="str">
        <x:v>EV-AR-ET-A-A-TECH-3-B2-RCN-G0</x:v>
      </x:c>
      <x:c r="D494" s="9" t="str">
        <x:v>AR-ET-A-A-TECH-3-B2-RCN-G0</x:v>
      </x:c>
      <x:c r="E494" s="9" t="str">
        <x:v>ET-A-A-TECH-3</x:v>
      </x:c>
      <x:c r="F494" s="9" t="str">
        <x:v>ET-A-A</x:v>
      </x:c>
      <x:c r="G494" s="9" t="str">
        <x:v>B2</x:v>
      </x:c>
      <x:c r="H494" s="9" t="str">
        <x:v>RCN</x:v>
      </x:c>
      <x:c r="I494" s="9" t="str">
        <x:v>PD08</x:v>
      </x:c>
      <x:c r="J494" s="17" t="str">
        <x:v>Command and intervention log</x:v>
      </x:c>
      <x:c r="K494" s="17" t="str">
        <x:v>Safety archive</x:v>
      </x:c>
      <x:c r="L494" s="17" t="str">
        <x:v>COURT-SEALED UNTIL COHORT RELEASE</x:v>
      </x:c>
      <x:c r="M494" s="9" t="n">
        <x:v>0</x:v>
      </x:c>
      <x:c r="N494" s="9" t="n">
        <x:v>0</x:v>
      </x:c>
      <x:c r="O494" s="9" t="n">
        <x:v>0</x:v>
      </x:c>
      <x:c r="P494" s="9" t="str">
        <x:v>HELD / UNRELEASED</x:v>
      </x:c>
      <x:c r="Q494" s="9" t="n">
        <x:f>COUNTIFS($A$7:$A$2310,A494)</x:f>
        <x:v>1</x:v>
      </x:c>
    </x:row>
    <x:row r="495">
      <x:c r="A495" s="9" t="str">
        <x:v>PD-AR-ET-A-A-TECH-3-B2-RCN-G0-PD09</x:v>
      </x:c>
      <x:c r="B495" s="9" t="str">
        <x:v>PD-AR-ET-A-A-TECH-3-B2-RCN-G0</x:v>
      </x:c>
      <x:c r="C495" s="9" t="str">
        <x:v>EV-AR-ET-A-A-TECH-3-B2-RCN-G0</x:v>
      </x:c>
      <x:c r="D495" s="9" t="str">
        <x:v>AR-ET-A-A-TECH-3-B2-RCN-G0</x:v>
      </x:c>
      <x:c r="E495" s="9" t="str">
        <x:v>ET-A-A-TECH-3</x:v>
      </x:c>
      <x:c r="F495" s="9" t="str">
        <x:v>ET-A-A</x:v>
      </x:c>
      <x:c r="G495" s="9" t="str">
        <x:v>B2</x:v>
      </x:c>
      <x:c r="H495" s="9" t="str">
        <x:v>RCN</x:v>
      </x:c>
      <x:c r="I495" s="9" t="str">
        <x:v>PD09</x:v>
      </x:c>
      <x:c r="J495" s="17" t="str">
        <x:v>Receiver denominator and service ledger</x:v>
      </x:c>
      <x:c r="K495" s="17" t="str">
        <x:v>Receiver archive</x:v>
      </x:c>
      <x:c r="L495" s="17" t="str">
        <x:v>COURT-SEALED UNTIL COHORT RELEASE</x:v>
      </x:c>
      <x:c r="M495" s="9" t="n">
        <x:v>0</x:v>
      </x:c>
      <x:c r="N495" s="9" t="n">
        <x:v>0</x:v>
      </x:c>
      <x:c r="O495" s="9" t="n">
        <x:v>0</x:v>
      </x:c>
      <x:c r="P495" s="9" t="str">
        <x:v>HELD / UNRELEASED</x:v>
      </x:c>
      <x:c r="Q495" s="9" t="n">
        <x:f>COUNTIFS($A$7:$A$2310,A495)</x:f>
        <x:v>1</x:v>
      </x:c>
    </x:row>
    <x:row r="496">
      <x:c r="A496" s="9" t="str">
        <x:v>PD-AR-ET-A-A-TECH-3-B2-RCN-G0-PD10</x:v>
      </x:c>
      <x:c r="B496" s="9" t="str">
        <x:v>PD-AR-ET-A-A-TECH-3-B2-RCN-G0</x:v>
      </x:c>
      <x:c r="C496" s="9" t="str">
        <x:v>EV-AR-ET-A-A-TECH-3-B2-RCN-G0</x:v>
      </x:c>
      <x:c r="D496" s="9" t="str">
        <x:v>AR-ET-A-A-TECH-3-B2-RCN-G0</x:v>
      </x:c>
      <x:c r="E496" s="9" t="str">
        <x:v>ET-A-A-TECH-3</x:v>
      </x:c>
      <x:c r="F496" s="9" t="str">
        <x:v>ET-A-A</x:v>
      </x:c>
      <x:c r="G496" s="9" t="str">
        <x:v>B2</x:v>
      </x:c>
      <x:c r="H496" s="9" t="str">
        <x:v>RCN</x:v>
      </x:c>
      <x:c r="I496" s="9" t="str">
        <x:v>PD10</x:v>
      </x:c>
      <x:c r="J496" s="17" t="str">
        <x:v>Calibration and uncertainty record</x:v>
      </x:c>
      <x:c r="K496" s="17" t="str">
        <x:v>Metrology archive</x:v>
      </x:c>
      <x:c r="L496" s="17" t="str">
        <x:v>COURT-SEALED UNTIL COHORT RELEASE</x:v>
      </x:c>
      <x:c r="M496" s="9" t="n">
        <x:v>0</x:v>
      </x:c>
      <x:c r="N496" s="9" t="n">
        <x:v>0</x:v>
      </x:c>
      <x:c r="O496" s="9" t="n">
        <x:v>0</x:v>
      </x:c>
      <x:c r="P496" s="9" t="str">
        <x:v>HELD / UNRELEASED</x:v>
      </x:c>
      <x:c r="Q496" s="9" t="n">
        <x:f>COUNTIFS($A$7:$A$2310,A496)</x:f>
        <x:v>1</x:v>
      </x:c>
    </x:row>
    <x:row r="497">
      <x:c r="A497" s="9" t="str">
        <x:v>PD-AR-ET-A-A-TECH-3-B2-RCN-G0-PD11</x:v>
      </x:c>
      <x:c r="B497" s="9" t="str">
        <x:v>PD-AR-ET-A-A-TECH-3-B2-RCN-G0</x:v>
      </x:c>
      <x:c r="C497" s="9" t="str">
        <x:v>EV-AR-ET-A-A-TECH-3-B2-RCN-G0</x:v>
      </x:c>
      <x:c r="D497" s="9" t="str">
        <x:v>AR-ET-A-A-TECH-3-B2-RCN-G0</x:v>
      </x:c>
      <x:c r="E497" s="9" t="str">
        <x:v>ET-A-A-TECH-3</x:v>
      </x:c>
      <x:c r="F497" s="9" t="str">
        <x:v>ET-A-A</x:v>
      </x:c>
      <x:c r="G497" s="9" t="str">
        <x:v>B2</x:v>
      </x:c>
      <x:c r="H497" s="9" t="str">
        <x:v>RCN</x:v>
      </x:c>
      <x:c r="I497" s="9" t="str">
        <x:v>PD11</x:v>
      </x:c>
      <x:c r="J497" s="17" t="str">
        <x:v>Invalidity petition and opinion</x:v>
      </x:c>
      <x:c r="K497" s="17" t="str">
        <x:v>Invalidity court</x:v>
      </x:c>
      <x:c r="L497" s="17" t="str">
        <x:v>COURT-SEALED UNTIL COHORT RELEASE</x:v>
      </x:c>
      <x:c r="M497" s="9" t="n">
        <x:v>0</x:v>
      </x:c>
      <x:c r="N497" s="9" t="n">
        <x:v>0</x:v>
      </x:c>
      <x:c r="O497" s="9" t="n">
        <x:v>0</x:v>
      </x:c>
      <x:c r="P497" s="9" t="str">
        <x:v>HELD / UNRELEASED</x:v>
      </x:c>
      <x:c r="Q497" s="9" t="n">
        <x:f>COUNTIFS($A$7:$A$2310,A497)</x:f>
        <x:v>1</x:v>
      </x:c>
    </x:row>
    <x:row r="498">
      <x:c r="A498" s="9" t="str">
        <x:v>PD-AR-ET-A-A-TECH-3-B2-RCN-G0-PD12</x:v>
      </x:c>
      <x:c r="B498" s="9" t="str">
        <x:v>PD-AR-ET-A-A-TECH-3-B2-RCN-G0</x:v>
      </x:c>
      <x:c r="C498" s="9" t="str">
        <x:v>EV-AR-ET-A-A-TECH-3-B2-RCN-G0</x:v>
      </x:c>
      <x:c r="D498" s="9" t="str">
        <x:v>AR-ET-A-A-TECH-3-B2-RCN-G0</x:v>
      </x:c>
      <x:c r="E498" s="9" t="str">
        <x:v>ET-A-A-TECH-3</x:v>
      </x:c>
      <x:c r="F498" s="9" t="str">
        <x:v>ET-A-A</x:v>
      </x:c>
      <x:c r="G498" s="9" t="str">
        <x:v>B2</x:v>
      </x:c>
      <x:c r="H498" s="9" t="str">
        <x:v>RCN</x:v>
      </x:c>
      <x:c r="I498" s="9" t="str">
        <x:v>PD12</x:v>
      </x:c>
      <x:c r="J498" s="17" t="str">
        <x:v>Observation acceptance and replay</x:v>
      </x:c>
      <x:c r="K498" s="17" t="str">
        <x:v>Observation court</x:v>
      </x:c>
      <x:c r="L498" s="17" t="str">
        <x:v>COURT-SEALED UNTIL COHORT RELEASE</x:v>
      </x:c>
      <x:c r="M498" s="9" t="n">
        <x:v>0</x:v>
      </x:c>
      <x:c r="N498" s="9" t="n">
        <x:v>0</x:v>
      </x:c>
      <x:c r="O498" s="9" t="n">
        <x:v>0</x:v>
      </x:c>
      <x:c r="P498" s="9" t="str">
        <x:v>HELD / UNRELEASED</x:v>
      </x:c>
      <x:c r="Q498" s="9" t="n">
        <x:f>COUNTIFS($A$7:$A$2310,A498)</x:f>
        <x:v>1</x:v>
      </x:c>
    </x:row>
    <x:row r="499">
      <x:c r="A499" s="9" t="str">
        <x:v>PD-AR-ET-A-A-TECH-3-B2-RCN-G0-PD13</x:v>
      </x:c>
      <x:c r="B499" s="9" t="str">
        <x:v>PD-AR-ET-A-A-TECH-3-B2-RCN-G0</x:v>
      </x:c>
      <x:c r="C499" s="9" t="str">
        <x:v>EV-AR-ET-A-A-TECH-3-B2-RCN-G0</x:v>
      </x:c>
      <x:c r="D499" s="9" t="str">
        <x:v>AR-ET-A-A-TECH-3-B2-RCN-G0</x:v>
      </x:c>
      <x:c r="E499" s="9" t="str">
        <x:v>ET-A-A-TECH-3</x:v>
      </x:c>
      <x:c r="F499" s="9" t="str">
        <x:v>ET-A-A</x:v>
      </x:c>
      <x:c r="G499" s="9" t="str">
        <x:v>B2</x:v>
      </x:c>
      <x:c r="H499" s="9" t="str">
        <x:v>RCN</x:v>
      </x:c>
      <x:c r="I499" s="9" t="str">
        <x:v>PD13</x:v>
      </x:c>
      <x:c r="J499" s="17" t="str">
        <x:v>Role judgment</x:v>
      </x:c>
      <x:c r="K499" s="17" t="str">
        <x:v>Role court</x:v>
      </x:c>
      <x:c r="L499" s="17" t="str">
        <x:v>COURT-SEALED UNTIL COHORT RELEASE</x:v>
      </x:c>
      <x:c r="M499" s="9" t="n">
        <x:v>0</x:v>
      </x:c>
      <x:c r="N499" s="9" t="n">
        <x:v>0</x:v>
      </x:c>
      <x:c r="O499" s="9" t="n">
        <x:v>0</x:v>
      </x:c>
      <x:c r="P499" s="9" t="str">
        <x:v>HELD / UNRELEASED</x:v>
      </x:c>
      <x:c r="Q499" s="9" t="n">
        <x:f>COUNTIFS($A$7:$A$2310,A499)</x:f>
        <x:v>1</x:v>
      </x:c>
    </x:row>
    <x:row r="500">
      <x:c r="A500" s="9" t="str">
        <x:v>PD-AR-ET-A-A-TECH-3-B2-RCN-G0-PD14</x:v>
      </x:c>
      <x:c r="B500" s="9" t="str">
        <x:v>PD-AR-ET-A-A-TECH-3-B2-RCN-G0</x:v>
      </x:c>
      <x:c r="C500" s="9" t="str">
        <x:v>EV-AR-ET-A-A-TECH-3-B2-RCN-G0</x:v>
      </x:c>
      <x:c r="D500" s="9" t="str">
        <x:v>AR-ET-A-A-TECH-3-B2-RCN-G0</x:v>
      </x:c>
      <x:c r="E500" s="9" t="str">
        <x:v>ET-A-A-TECH-3</x:v>
      </x:c>
      <x:c r="F500" s="9" t="str">
        <x:v>ET-A-A</x:v>
      </x:c>
      <x:c r="G500" s="9" t="str">
        <x:v>B2</x:v>
      </x:c>
      <x:c r="H500" s="9" t="str">
        <x:v>RCN</x:v>
      </x:c>
      <x:c r="I500" s="9" t="str">
        <x:v>PD14</x:v>
      </x:c>
      <x:c r="J500" s="17" t="str">
        <x:v>Break and residual account</x:v>
      </x:c>
      <x:c r="K500" s="17" t="str">
        <x:v>Residual authority</x:v>
      </x:c>
      <x:c r="L500" s="17" t="str">
        <x:v>COURT-SEALED UNTIL COHORT RELEASE</x:v>
      </x:c>
      <x:c r="M500" s="9" t="n">
        <x:v>0</x:v>
      </x:c>
      <x:c r="N500" s="9" t="n">
        <x:v>0</x:v>
      </x:c>
      <x:c r="O500" s="9" t="n">
        <x:v>0</x:v>
      </x:c>
      <x:c r="P500" s="9" t="str">
        <x:v>HELD / UNRELEASED</x:v>
      </x:c>
      <x:c r="Q500" s="9" t="n">
        <x:f>COUNTIFS($A$7:$A$2310,A500)</x:f>
        <x:v>1</x:v>
      </x:c>
    </x:row>
    <x:row r="501">
      <x:c r="A501" s="9" t="str">
        <x:v>PD-AR-ET-A-A-TECH-3-B2-RCN-G0-PD15</x:v>
      </x:c>
      <x:c r="B501" s="9" t="str">
        <x:v>PD-AR-ET-A-A-TECH-3-B2-RCN-G0</x:v>
      </x:c>
      <x:c r="C501" s="9" t="str">
        <x:v>EV-AR-ET-A-A-TECH-3-B2-RCN-G0</x:v>
      </x:c>
      <x:c r="D501" s="9" t="str">
        <x:v>AR-ET-A-A-TECH-3-B2-RCN-G0</x:v>
      </x:c>
      <x:c r="E501" s="9" t="str">
        <x:v>ET-A-A-TECH-3</x:v>
      </x:c>
      <x:c r="F501" s="9" t="str">
        <x:v>ET-A-A</x:v>
      </x:c>
      <x:c r="G501" s="9" t="str">
        <x:v>B2</x:v>
      </x:c>
      <x:c r="H501" s="9" t="str">
        <x:v>RCN</x:v>
      </x:c>
      <x:c r="I501" s="9" t="str">
        <x:v>PD15</x:v>
      </x:c>
      <x:c r="J501" s="17" t="str">
        <x:v>Reconstruction ancestry and replay</x:v>
      </x:c>
      <x:c r="K501" s="17" t="str">
        <x:v>Reconstruction court</x:v>
      </x:c>
      <x:c r="L501" s="17" t="str">
        <x:v>COURT-SEALED UNTIL COHORT RELEASE</x:v>
      </x:c>
      <x:c r="M501" s="9" t="n">
        <x:v>0</x:v>
      </x:c>
      <x:c r="N501" s="9" t="n">
        <x:v>0</x:v>
      </x:c>
      <x:c r="O501" s="9" t="n">
        <x:v>0</x:v>
      </x:c>
      <x:c r="P501" s="9" t="str">
        <x:v>HELD / UNRELEASED</x:v>
      </x:c>
      <x:c r="Q501" s="9" t="n">
        <x:f>COUNTIFS($A$7:$A$2310,A501)</x:f>
        <x:v>1</x:v>
      </x:c>
    </x:row>
    <x:row r="502">
      <x:c r="A502" s="9" t="str">
        <x:v>PD-AR-ET-A-A-TECH-3-B2-RCN-G0-PD16</x:v>
      </x:c>
      <x:c r="B502" s="9" t="str">
        <x:v>PD-AR-ET-A-A-TECH-3-B2-RCN-G0</x:v>
      </x:c>
      <x:c r="C502" s="9" t="str">
        <x:v>EV-AR-ET-A-A-TECH-3-B2-RCN-G0</x:v>
      </x:c>
      <x:c r="D502" s="9" t="str">
        <x:v>AR-ET-A-A-TECH-3-B2-RCN-G0</x:v>
      </x:c>
      <x:c r="E502" s="9" t="str">
        <x:v>ET-A-A-TECH-3</x:v>
      </x:c>
      <x:c r="F502" s="9" t="str">
        <x:v>ET-A-A</x:v>
      </x:c>
      <x:c r="G502" s="9" t="str">
        <x:v>B2</x:v>
      </x:c>
      <x:c r="H502" s="9" t="str">
        <x:v>RCN</x:v>
      </x:c>
      <x:c r="I502" s="9" t="str">
        <x:v>PD16</x:v>
      </x:c>
      <x:c r="J502" s="17" t="str">
        <x:v>Dissent, amendments and access log</x:v>
      </x:c>
      <x:c r="K502" s="17" t="str">
        <x:v>Public archive</x:v>
      </x:c>
      <x:c r="L502" s="17" t="str">
        <x:v>COURT-SEALED UNTIL COHORT RELEASE</x:v>
      </x:c>
      <x:c r="M502" s="9" t="n">
        <x:v>0</x:v>
      </x:c>
      <x:c r="N502" s="9" t="n">
        <x:v>0</x:v>
      </x:c>
      <x:c r="O502" s="9" t="n">
        <x:v>0</x:v>
      </x:c>
      <x:c r="P502" s="9" t="str">
        <x:v>HELD / UNRELEASED</x:v>
      </x:c>
      <x:c r="Q502" s="9" t="n">
        <x:f>COUNTIFS($A$7:$A$2310,A502)</x:f>
        <x:v>1</x:v>
      </x:c>
    </x:row>
    <x:row r="503">
      <x:c r="A503" s="9" t="str">
        <x:v>PD-AR-ET-A-A-TECH-1-B2-INT-G0-PD01</x:v>
      </x:c>
      <x:c r="B503" s="9" t="str">
        <x:v>PD-AR-ET-A-A-TECH-1-B2-INT-G0</x:v>
      </x:c>
      <x:c r="C503" s="9" t="str">
        <x:v>EV-AR-ET-A-A-TECH-1-B2-INT-G0</x:v>
      </x:c>
      <x:c r="D503" s="9" t="str">
        <x:v>AR-ET-A-A-TECH-1-B2-INT-G0</x:v>
      </x:c>
      <x:c r="E503" s="9" t="str">
        <x:v>ET-A-A-TECH-1</x:v>
      </x:c>
      <x:c r="F503" s="9" t="str">
        <x:v>ET-A-A</x:v>
      </x:c>
      <x:c r="G503" s="9" t="str">
        <x:v>B2</x:v>
      </x:c>
      <x:c r="H503" s="9" t="str">
        <x:v>INT</x:v>
      </x:c>
      <x:c r="I503" s="9" t="str">
        <x:v>PD01</x:v>
      </x:c>
      <x:c r="J503" s="17" t="str">
        <x:v>Experiment kernel</x:v>
      </x:c>
      <x:c r="K503" s="17" t="str">
        <x:v>Public archive</x:v>
      </x:c>
      <x:c r="L503" s="17" t="str">
        <x:v>COURT-SEALED UNTIL COHORT RELEASE</x:v>
      </x:c>
      <x:c r="M503" s="9" t="n">
        <x:v>0</x:v>
      </x:c>
      <x:c r="N503" s="9" t="n">
        <x:v>0</x:v>
      </x:c>
      <x:c r="O503" s="9" t="n">
        <x:v>0</x:v>
      </x:c>
      <x:c r="P503" s="9" t="str">
        <x:v>HELD / UNRELEASED</x:v>
      </x:c>
      <x:c r="Q503" s="9" t="n">
        <x:f>COUNTIFS($A$7:$A$2310,A503)</x:f>
        <x:v>1</x:v>
      </x:c>
    </x:row>
    <x:row r="504">
      <x:c r="A504" s="9" t="str">
        <x:v>PD-AR-ET-A-A-TECH-1-B2-INT-G0-PD02</x:v>
      </x:c>
      <x:c r="B504" s="9" t="str">
        <x:v>PD-AR-ET-A-A-TECH-1-B2-INT-G0</x:v>
      </x:c>
      <x:c r="C504" s="9" t="str">
        <x:v>EV-AR-ET-A-A-TECH-1-B2-INT-G0</x:v>
      </x:c>
      <x:c r="D504" s="9" t="str">
        <x:v>AR-ET-A-A-TECH-1-B2-INT-G0</x:v>
      </x:c>
      <x:c r="E504" s="9" t="str">
        <x:v>ET-A-A-TECH-1</x:v>
      </x:c>
      <x:c r="F504" s="9" t="str">
        <x:v>ET-A-A</x:v>
      </x:c>
      <x:c r="G504" s="9" t="str">
        <x:v>B2</x:v>
      </x:c>
      <x:c r="H504" s="9" t="str">
        <x:v>INT</x:v>
      </x:c>
      <x:c r="I504" s="9" t="str">
        <x:v>PD02</x:v>
      </x:c>
      <x:c r="J504" s="17" t="str">
        <x:v>Serial annex and title chain</x:v>
      </x:c>
      <x:c r="K504" s="17" t="str">
        <x:v>Public archive</x:v>
      </x:c>
      <x:c r="L504" s="17" t="str">
        <x:v>COURT-SEALED UNTIL COHORT RELEASE</x:v>
      </x:c>
      <x:c r="M504" s="9" t="n">
        <x:v>0</x:v>
      </x:c>
      <x:c r="N504" s="9" t="n">
        <x:v>0</x:v>
      </x:c>
      <x:c r="O504" s="9" t="n">
        <x:v>0</x:v>
      </x:c>
      <x:c r="P504" s="9" t="str">
        <x:v>HELD / UNRELEASED</x:v>
      </x:c>
      <x:c r="Q504" s="9" t="n">
        <x:f>COUNTIFS($A$7:$A$2310,A504)</x:f>
        <x:v>1</x:v>
      </x:c>
    </x:row>
    <x:row r="505">
      <x:c r="A505" s="9" t="str">
        <x:v>PD-AR-ET-A-A-TECH-1-B2-INT-G0-PD03</x:v>
      </x:c>
      <x:c r="B505" s="9" t="str">
        <x:v>PD-AR-ET-A-A-TECH-1-B2-INT-G0</x:v>
      </x:c>
      <x:c r="C505" s="9" t="str">
        <x:v>EV-AR-ET-A-A-TECH-1-B2-INT-G0</x:v>
      </x:c>
      <x:c r="D505" s="9" t="str">
        <x:v>AR-ET-A-A-TECH-1-B2-INT-G0</x:v>
      </x:c>
      <x:c r="E505" s="9" t="str">
        <x:v>ET-A-A-TECH-1</x:v>
      </x:c>
      <x:c r="F505" s="9" t="str">
        <x:v>ET-A-A</x:v>
      </x:c>
      <x:c r="G505" s="9" t="str">
        <x:v>B2</x:v>
      </x:c>
      <x:c r="H505" s="9" t="str">
        <x:v>INT</x:v>
      </x:c>
      <x:c r="I505" s="9" t="str">
        <x:v>PD03</x:v>
      </x:c>
      <x:c r="J505" s="17" t="str">
        <x:v>Configuration and as-built manifest</x:v>
      </x:c>
      <x:c r="K505" s="17" t="str">
        <x:v>Artifact exchange</x:v>
      </x:c>
      <x:c r="L505" s="17" t="str">
        <x:v>COURT-SEALED UNTIL COHORT RELEASE</x:v>
      </x:c>
      <x:c r="M505" s="9" t="n">
        <x:v>0</x:v>
      </x:c>
      <x:c r="N505" s="9" t="n">
        <x:v>0</x:v>
      </x:c>
      <x:c r="O505" s="9" t="n">
        <x:v>0</x:v>
      </x:c>
      <x:c r="P505" s="9" t="str">
        <x:v>HELD / UNRELEASED</x:v>
      </x:c>
      <x:c r="Q505" s="9" t="n">
        <x:f>COUNTIFS($A$7:$A$2310,A505)</x:f>
        <x:v>1</x:v>
      </x:c>
    </x:row>
    <x:row r="506">
      <x:c r="A506" s="9" t="str">
        <x:v>PD-AR-ET-A-A-TECH-1-B2-INT-G0-PD04</x:v>
      </x:c>
      <x:c r="B506" s="9" t="str">
        <x:v>PD-AR-ET-A-A-TECH-1-B2-INT-G0</x:v>
      </x:c>
      <x:c r="C506" s="9" t="str">
        <x:v>EV-AR-ET-A-A-TECH-1-B2-INT-G0</x:v>
      </x:c>
      <x:c r="D506" s="9" t="str">
        <x:v>AR-ET-A-A-TECH-1-B2-INT-G0</x:v>
      </x:c>
      <x:c r="E506" s="9" t="str">
        <x:v>ET-A-A-TECH-1</x:v>
      </x:c>
      <x:c r="F506" s="9" t="str">
        <x:v>ET-A-A</x:v>
      </x:c>
      <x:c r="G506" s="9" t="str">
        <x:v>B2</x:v>
      </x:c>
      <x:c r="H506" s="9" t="str">
        <x:v>INT</x:v>
      </x:c>
      <x:c r="I506" s="9" t="str">
        <x:v>PD04</x:v>
      </x:c>
      <x:c r="J506" s="17" t="str">
        <x:v>EOW and start certificate</x:v>
      </x:c>
      <x:c r="K506" s="17" t="str">
        <x:v>Start registrar</x:v>
      </x:c>
      <x:c r="L506" s="17" t="str">
        <x:v>COURT-SEALED UNTIL COHORT RELEASE</x:v>
      </x:c>
      <x:c r="M506" s="9" t="n">
        <x:v>0</x:v>
      </x:c>
      <x:c r="N506" s="9" t="n">
        <x:v>0</x:v>
      </x:c>
      <x:c r="O506" s="9" t="n">
        <x:v>0</x:v>
      </x:c>
      <x:c r="P506" s="9" t="str">
        <x:v>HELD / UNRELEASED</x:v>
      </x:c>
      <x:c r="Q506" s="9" t="n">
        <x:f>COUNTIFS($A$7:$A$2310,A506)</x:f>
        <x:v>1</x:v>
      </x:c>
    </x:row>
    <x:row r="507">
      <x:c r="A507" s="9" t="str">
        <x:v>PD-AR-ET-A-A-TECH-1-B2-INT-G0-PD05</x:v>
      </x:c>
      <x:c r="B507" s="9" t="str">
        <x:v>PD-AR-ET-A-A-TECH-1-B2-INT-G0</x:v>
      </x:c>
      <x:c r="C507" s="9" t="str">
        <x:v>EV-AR-ET-A-A-TECH-1-B2-INT-G0</x:v>
      </x:c>
      <x:c r="D507" s="9" t="str">
        <x:v>AR-ET-A-A-TECH-1-B2-INT-G0</x:v>
      </x:c>
      <x:c r="E507" s="9" t="str">
        <x:v>ET-A-A-TECH-1</x:v>
      </x:c>
      <x:c r="F507" s="9" t="str">
        <x:v>ET-A-A</x:v>
      </x:c>
      <x:c r="G507" s="9" t="str">
        <x:v>B2</x:v>
      </x:c>
      <x:c r="H507" s="9" t="str">
        <x:v>INT</x:v>
      </x:c>
      <x:c r="I507" s="9" t="str">
        <x:v>PD05</x:v>
      </x:c>
      <x:c r="J507" s="17" t="str">
        <x:v>Primary raw originals</x:v>
      </x:c>
      <x:c r="K507" s="17" t="str">
        <x:v>Primary custody</x:v>
      </x:c>
      <x:c r="L507" s="17" t="str">
        <x:v>COURT-SEALED UNTIL COHORT RELEASE</x:v>
      </x:c>
      <x:c r="M507" s="9" t="n">
        <x:v>0</x:v>
      </x:c>
      <x:c r="N507" s="9" t="n">
        <x:v>0</x:v>
      </x:c>
      <x:c r="O507" s="9" t="n">
        <x:v>0</x:v>
      </x:c>
      <x:c r="P507" s="9" t="str">
        <x:v>HELD / UNRELEASED</x:v>
      </x:c>
      <x:c r="Q507" s="9" t="n">
        <x:f>COUNTIFS($A$7:$A$2310,A507)</x:f>
        <x:v>1</x:v>
      </x:c>
    </x:row>
    <x:row r="508">
      <x:c r="A508" s="9" t="str">
        <x:v>PD-AR-ET-A-A-TECH-1-B2-INT-G0-PD06</x:v>
      </x:c>
      <x:c r="B508" s="9" t="str">
        <x:v>PD-AR-ET-A-A-TECH-1-B2-INT-G0</x:v>
      </x:c>
      <x:c r="C508" s="9" t="str">
        <x:v>EV-AR-ET-A-A-TECH-1-B2-INT-G0</x:v>
      </x:c>
      <x:c r="D508" s="9" t="str">
        <x:v>AR-ET-A-A-TECH-1-B2-INT-G0</x:v>
      </x:c>
      <x:c r="E508" s="9" t="str">
        <x:v>ET-A-A-TECH-1</x:v>
      </x:c>
      <x:c r="F508" s="9" t="str">
        <x:v>ET-A-A</x:v>
      </x:c>
      <x:c r="G508" s="9" t="str">
        <x:v>B2</x:v>
      </x:c>
      <x:c r="H508" s="9" t="str">
        <x:v>INT</x:v>
      </x:c>
      <x:c r="I508" s="9" t="str">
        <x:v>PD06</x:v>
      </x:c>
      <x:c r="J508" s="17" t="str">
        <x:v>Witness raw originals</x:v>
      </x:c>
      <x:c r="K508" s="17" t="str">
        <x:v>Witness custody</x:v>
      </x:c>
      <x:c r="L508" s="17" t="str">
        <x:v>COURT-SEALED UNTIL COHORT RELEASE</x:v>
      </x:c>
      <x:c r="M508" s="9" t="n">
        <x:v>0</x:v>
      </x:c>
      <x:c r="N508" s="9" t="n">
        <x:v>0</x:v>
      </x:c>
      <x:c r="O508" s="9" t="n">
        <x:v>0</x:v>
      </x:c>
      <x:c r="P508" s="9" t="str">
        <x:v>HELD / UNRELEASED</x:v>
      </x:c>
      <x:c r="Q508" s="9" t="n">
        <x:f>COUNTIFS($A$7:$A$2310,A508)</x:f>
        <x:v>1</x:v>
      </x:c>
    </x:row>
    <x:row r="509">
      <x:c r="A509" s="9" t="str">
        <x:v>PD-AR-ET-A-A-TECH-1-B2-INT-G0-PD07</x:v>
      </x:c>
      <x:c r="B509" s="9" t="str">
        <x:v>PD-AR-ET-A-A-TECH-1-B2-INT-G0</x:v>
      </x:c>
      <x:c r="C509" s="9" t="str">
        <x:v>EV-AR-ET-A-A-TECH-1-B2-INT-G0</x:v>
      </x:c>
      <x:c r="D509" s="9" t="str">
        <x:v>AR-ET-A-A-TECH-1-B2-INT-G0</x:v>
      </x:c>
      <x:c r="E509" s="9" t="str">
        <x:v>ET-A-A-TECH-1</x:v>
      </x:c>
      <x:c r="F509" s="9" t="str">
        <x:v>ET-A-A</x:v>
      </x:c>
      <x:c r="G509" s="9" t="str">
        <x:v>B2</x:v>
      </x:c>
      <x:c r="H509" s="9" t="str">
        <x:v>INT</x:v>
      </x:c>
      <x:c r="I509" s="9" t="str">
        <x:v>PD07</x:v>
      </x:c>
      <x:c r="J509" s="17" t="str">
        <x:v>Clock and environmental records</x:v>
      </x:c>
      <x:c r="K509" s="17" t="str">
        <x:v>Boundary archive</x:v>
      </x:c>
      <x:c r="L509" s="17" t="str">
        <x:v>COURT-SEALED UNTIL COHORT RELEASE</x:v>
      </x:c>
      <x:c r="M509" s="9" t="n">
        <x:v>0</x:v>
      </x:c>
      <x:c r="N509" s="9" t="n">
        <x:v>0</x:v>
      </x:c>
      <x:c r="O509" s="9" t="n">
        <x:v>0</x:v>
      </x:c>
      <x:c r="P509" s="9" t="str">
        <x:v>HELD / UNRELEASED</x:v>
      </x:c>
      <x:c r="Q509" s="9" t="n">
        <x:f>COUNTIFS($A$7:$A$2310,A509)</x:f>
        <x:v>1</x:v>
      </x:c>
    </x:row>
    <x:row r="510">
      <x:c r="A510" s="9" t="str">
        <x:v>PD-AR-ET-A-A-TECH-1-B2-INT-G0-PD08</x:v>
      </x:c>
      <x:c r="B510" s="9" t="str">
        <x:v>PD-AR-ET-A-A-TECH-1-B2-INT-G0</x:v>
      </x:c>
      <x:c r="C510" s="9" t="str">
        <x:v>EV-AR-ET-A-A-TECH-1-B2-INT-G0</x:v>
      </x:c>
      <x:c r="D510" s="9" t="str">
        <x:v>AR-ET-A-A-TECH-1-B2-INT-G0</x:v>
      </x:c>
      <x:c r="E510" s="9" t="str">
        <x:v>ET-A-A-TECH-1</x:v>
      </x:c>
      <x:c r="F510" s="9" t="str">
        <x:v>ET-A-A</x:v>
      </x:c>
      <x:c r="G510" s="9" t="str">
        <x:v>B2</x:v>
      </x:c>
      <x:c r="H510" s="9" t="str">
        <x:v>INT</x:v>
      </x:c>
      <x:c r="I510" s="9" t="str">
        <x:v>PD08</x:v>
      </x:c>
      <x:c r="J510" s="17" t="str">
        <x:v>Command and intervention log</x:v>
      </x:c>
      <x:c r="K510" s="17" t="str">
        <x:v>Safety archive</x:v>
      </x:c>
      <x:c r="L510" s="17" t="str">
        <x:v>COURT-SEALED UNTIL COHORT RELEASE</x:v>
      </x:c>
      <x:c r="M510" s="9" t="n">
        <x:v>0</x:v>
      </x:c>
      <x:c r="N510" s="9" t="n">
        <x:v>0</x:v>
      </x:c>
      <x:c r="O510" s="9" t="n">
        <x:v>0</x:v>
      </x:c>
      <x:c r="P510" s="9" t="str">
        <x:v>HELD / UNRELEASED</x:v>
      </x:c>
      <x:c r="Q510" s="9" t="n">
        <x:f>COUNTIFS($A$7:$A$2310,A510)</x:f>
        <x:v>1</x:v>
      </x:c>
    </x:row>
    <x:row r="511">
      <x:c r="A511" s="9" t="str">
        <x:v>PD-AR-ET-A-A-TECH-1-B2-INT-G0-PD09</x:v>
      </x:c>
      <x:c r="B511" s="9" t="str">
        <x:v>PD-AR-ET-A-A-TECH-1-B2-INT-G0</x:v>
      </x:c>
      <x:c r="C511" s="9" t="str">
        <x:v>EV-AR-ET-A-A-TECH-1-B2-INT-G0</x:v>
      </x:c>
      <x:c r="D511" s="9" t="str">
        <x:v>AR-ET-A-A-TECH-1-B2-INT-G0</x:v>
      </x:c>
      <x:c r="E511" s="9" t="str">
        <x:v>ET-A-A-TECH-1</x:v>
      </x:c>
      <x:c r="F511" s="9" t="str">
        <x:v>ET-A-A</x:v>
      </x:c>
      <x:c r="G511" s="9" t="str">
        <x:v>B2</x:v>
      </x:c>
      <x:c r="H511" s="9" t="str">
        <x:v>INT</x:v>
      </x:c>
      <x:c r="I511" s="9" t="str">
        <x:v>PD09</x:v>
      </x:c>
      <x:c r="J511" s="17" t="str">
        <x:v>Receiver denominator and service ledger</x:v>
      </x:c>
      <x:c r="K511" s="17" t="str">
        <x:v>Receiver archive</x:v>
      </x:c>
      <x:c r="L511" s="17" t="str">
        <x:v>COURT-SEALED UNTIL COHORT RELEASE</x:v>
      </x:c>
      <x:c r="M511" s="9" t="n">
        <x:v>0</x:v>
      </x:c>
      <x:c r="N511" s="9" t="n">
        <x:v>0</x:v>
      </x:c>
      <x:c r="O511" s="9" t="n">
        <x:v>0</x:v>
      </x:c>
      <x:c r="P511" s="9" t="str">
        <x:v>HELD / UNRELEASED</x:v>
      </x:c>
      <x:c r="Q511" s="9" t="n">
        <x:f>COUNTIFS($A$7:$A$2310,A511)</x:f>
        <x:v>1</x:v>
      </x:c>
    </x:row>
    <x:row r="512">
      <x:c r="A512" s="9" t="str">
        <x:v>PD-AR-ET-A-A-TECH-1-B2-INT-G0-PD10</x:v>
      </x:c>
      <x:c r="B512" s="9" t="str">
        <x:v>PD-AR-ET-A-A-TECH-1-B2-INT-G0</x:v>
      </x:c>
      <x:c r="C512" s="9" t="str">
        <x:v>EV-AR-ET-A-A-TECH-1-B2-INT-G0</x:v>
      </x:c>
      <x:c r="D512" s="9" t="str">
        <x:v>AR-ET-A-A-TECH-1-B2-INT-G0</x:v>
      </x:c>
      <x:c r="E512" s="9" t="str">
        <x:v>ET-A-A-TECH-1</x:v>
      </x:c>
      <x:c r="F512" s="9" t="str">
        <x:v>ET-A-A</x:v>
      </x:c>
      <x:c r="G512" s="9" t="str">
        <x:v>B2</x:v>
      </x:c>
      <x:c r="H512" s="9" t="str">
        <x:v>INT</x:v>
      </x:c>
      <x:c r="I512" s="9" t="str">
        <x:v>PD10</x:v>
      </x:c>
      <x:c r="J512" s="17" t="str">
        <x:v>Calibration and uncertainty record</x:v>
      </x:c>
      <x:c r="K512" s="17" t="str">
        <x:v>Metrology archive</x:v>
      </x:c>
      <x:c r="L512" s="17" t="str">
        <x:v>COURT-SEALED UNTIL COHORT RELEASE</x:v>
      </x:c>
      <x:c r="M512" s="9" t="n">
        <x:v>0</x:v>
      </x:c>
      <x:c r="N512" s="9" t="n">
        <x:v>0</x:v>
      </x:c>
      <x:c r="O512" s="9" t="n">
        <x:v>0</x:v>
      </x:c>
      <x:c r="P512" s="9" t="str">
        <x:v>HELD / UNRELEASED</x:v>
      </x:c>
      <x:c r="Q512" s="9" t="n">
        <x:f>COUNTIFS($A$7:$A$2310,A512)</x:f>
        <x:v>1</x:v>
      </x:c>
    </x:row>
    <x:row r="513">
      <x:c r="A513" s="9" t="str">
        <x:v>PD-AR-ET-A-A-TECH-1-B2-INT-G0-PD11</x:v>
      </x:c>
      <x:c r="B513" s="9" t="str">
        <x:v>PD-AR-ET-A-A-TECH-1-B2-INT-G0</x:v>
      </x:c>
      <x:c r="C513" s="9" t="str">
        <x:v>EV-AR-ET-A-A-TECH-1-B2-INT-G0</x:v>
      </x:c>
      <x:c r="D513" s="9" t="str">
        <x:v>AR-ET-A-A-TECH-1-B2-INT-G0</x:v>
      </x:c>
      <x:c r="E513" s="9" t="str">
        <x:v>ET-A-A-TECH-1</x:v>
      </x:c>
      <x:c r="F513" s="9" t="str">
        <x:v>ET-A-A</x:v>
      </x:c>
      <x:c r="G513" s="9" t="str">
        <x:v>B2</x:v>
      </x:c>
      <x:c r="H513" s="9" t="str">
        <x:v>INT</x:v>
      </x:c>
      <x:c r="I513" s="9" t="str">
        <x:v>PD11</x:v>
      </x:c>
      <x:c r="J513" s="17" t="str">
        <x:v>Invalidity petition and opinion</x:v>
      </x:c>
      <x:c r="K513" s="17" t="str">
        <x:v>Invalidity court</x:v>
      </x:c>
      <x:c r="L513" s="17" t="str">
        <x:v>COURT-SEALED UNTIL COHORT RELEASE</x:v>
      </x:c>
      <x:c r="M513" s="9" t="n">
        <x:v>0</x:v>
      </x:c>
      <x:c r="N513" s="9" t="n">
        <x:v>0</x:v>
      </x:c>
      <x:c r="O513" s="9" t="n">
        <x:v>0</x:v>
      </x:c>
      <x:c r="P513" s="9" t="str">
        <x:v>HELD / UNRELEASED</x:v>
      </x:c>
      <x:c r="Q513" s="9" t="n">
        <x:f>COUNTIFS($A$7:$A$2310,A513)</x:f>
        <x:v>1</x:v>
      </x:c>
    </x:row>
    <x:row r="514">
      <x:c r="A514" s="9" t="str">
        <x:v>PD-AR-ET-A-A-TECH-1-B2-INT-G0-PD12</x:v>
      </x:c>
      <x:c r="B514" s="9" t="str">
        <x:v>PD-AR-ET-A-A-TECH-1-B2-INT-G0</x:v>
      </x:c>
      <x:c r="C514" s="9" t="str">
        <x:v>EV-AR-ET-A-A-TECH-1-B2-INT-G0</x:v>
      </x:c>
      <x:c r="D514" s="9" t="str">
        <x:v>AR-ET-A-A-TECH-1-B2-INT-G0</x:v>
      </x:c>
      <x:c r="E514" s="9" t="str">
        <x:v>ET-A-A-TECH-1</x:v>
      </x:c>
      <x:c r="F514" s="9" t="str">
        <x:v>ET-A-A</x:v>
      </x:c>
      <x:c r="G514" s="9" t="str">
        <x:v>B2</x:v>
      </x:c>
      <x:c r="H514" s="9" t="str">
        <x:v>INT</x:v>
      </x:c>
      <x:c r="I514" s="9" t="str">
        <x:v>PD12</x:v>
      </x:c>
      <x:c r="J514" s="17" t="str">
        <x:v>Observation acceptance and replay</x:v>
      </x:c>
      <x:c r="K514" s="17" t="str">
        <x:v>Observation court</x:v>
      </x:c>
      <x:c r="L514" s="17" t="str">
        <x:v>COURT-SEALED UNTIL COHORT RELEASE</x:v>
      </x:c>
      <x:c r="M514" s="9" t="n">
        <x:v>0</x:v>
      </x:c>
      <x:c r="N514" s="9" t="n">
        <x:v>0</x:v>
      </x:c>
      <x:c r="O514" s="9" t="n">
        <x:v>0</x:v>
      </x:c>
      <x:c r="P514" s="9" t="str">
        <x:v>HELD / UNRELEASED</x:v>
      </x:c>
      <x:c r="Q514" s="9" t="n">
        <x:f>COUNTIFS($A$7:$A$2310,A514)</x:f>
        <x:v>1</x:v>
      </x:c>
    </x:row>
    <x:row r="515">
      <x:c r="A515" s="9" t="str">
        <x:v>PD-AR-ET-A-A-TECH-1-B2-INT-G0-PD13</x:v>
      </x:c>
      <x:c r="B515" s="9" t="str">
        <x:v>PD-AR-ET-A-A-TECH-1-B2-INT-G0</x:v>
      </x:c>
      <x:c r="C515" s="9" t="str">
        <x:v>EV-AR-ET-A-A-TECH-1-B2-INT-G0</x:v>
      </x:c>
      <x:c r="D515" s="9" t="str">
        <x:v>AR-ET-A-A-TECH-1-B2-INT-G0</x:v>
      </x:c>
      <x:c r="E515" s="9" t="str">
        <x:v>ET-A-A-TECH-1</x:v>
      </x:c>
      <x:c r="F515" s="9" t="str">
        <x:v>ET-A-A</x:v>
      </x:c>
      <x:c r="G515" s="9" t="str">
        <x:v>B2</x:v>
      </x:c>
      <x:c r="H515" s="9" t="str">
        <x:v>INT</x:v>
      </x:c>
      <x:c r="I515" s="9" t="str">
        <x:v>PD13</x:v>
      </x:c>
      <x:c r="J515" s="17" t="str">
        <x:v>Role judgment</x:v>
      </x:c>
      <x:c r="K515" s="17" t="str">
        <x:v>Role court</x:v>
      </x:c>
      <x:c r="L515" s="17" t="str">
        <x:v>COURT-SEALED UNTIL COHORT RELEASE</x:v>
      </x:c>
      <x:c r="M515" s="9" t="n">
        <x:v>0</x:v>
      </x:c>
      <x:c r="N515" s="9" t="n">
        <x:v>0</x:v>
      </x:c>
      <x:c r="O515" s="9" t="n">
        <x:v>0</x:v>
      </x:c>
      <x:c r="P515" s="9" t="str">
        <x:v>HELD / UNRELEASED</x:v>
      </x:c>
      <x:c r="Q515" s="9" t="n">
        <x:f>COUNTIFS($A$7:$A$2310,A515)</x:f>
        <x:v>1</x:v>
      </x:c>
    </x:row>
    <x:row r="516">
      <x:c r="A516" s="9" t="str">
        <x:v>PD-AR-ET-A-A-TECH-1-B2-INT-G0-PD14</x:v>
      </x:c>
      <x:c r="B516" s="9" t="str">
        <x:v>PD-AR-ET-A-A-TECH-1-B2-INT-G0</x:v>
      </x:c>
      <x:c r="C516" s="9" t="str">
        <x:v>EV-AR-ET-A-A-TECH-1-B2-INT-G0</x:v>
      </x:c>
      <x:c r="D516" s="9" t="str">
        <x:v>AR-ET-A-A-TECH-1-B2-INT-G0</x:v>
      </x:c>
      <x:c r="E516" s="9" t="str">
        <x:v>ET-A-A-TECH-1</x:v>
      </x:c>
      <x:c r="F516" s="9" t="str">
        <x:v>ET-A-A</x:v>
      </x:c>
      <x:c r="G516" s="9" t="str">
        <x:v>B2</x:v>
      </x:c>
      <x:c r="H516" s="9" t="str">
        <x:v>INT</x:v>
      </x:c>
      <x:c r="I516" s="9" t="str">
        <x:v>PD14</x:v>
      </x:c>
      <x:c r="J516" s="17" t="str">
        <x:v>Break and residual account</x:v>
      </x:c>
      <x:c r="K516" s="17" t="str">
        <x:v>Residual authority</x:v>
      </x:c>
      <x:c r="L516" s="17" t="str">
        <x:v>COURT-SEALED UNTIL COHORT RELEASE</x:v>
      </x:c>
      <x:c r="M516" s="9" t="n">
        <x:v>0</x:v>
      </x:c>
      <x:c r="N516" s="9" t="n">
        <x:v>0</x:v>
      </x:c>
      <x:c r="O516" s="9" t="n">
        <x:v>0</x:v>
      </x:c>
      <x:c r="P516" s="9" t="str">
        <x:v>HELD / UNRELEASED</x:v>
      </x:c>
      <x:c r="Q516" s="9" t="n">
        <x:f>COUNTIFS($A$7:$A$2310,A516)</x:f>
        <x:v>1</x:v>
      </x:c>
    </x:row>
    <x:row r="517">
      <x:c r="A517" s="9" t="str">
        <x:v>PD-AR-ET-A-A-TECH-1-B2-INT-G0-PD15</x:v>
      </x:c>
      <x:c r="B517" s="9" t="str">
        <x:v>PD-AR-ET-A-A-TECH-1-B2-INT-G0</x:v>
      </x:c>
      <x:c r="C517" s="9" t="str">
        <x:v>EV-AR-ET-A-A-TECH-1-B2-INT-G0</x:v>
      </x:c>
      <x:c r="D517" s="9" t="str">
        <x:v>AR-ET-A-A-TECH-1-B2-INT-G0</x:v>
      </x:c>
      <x:c r="E517" s="9" t="str">
        <x:v>ET-A-A-TECH-1</x:v>
      </x:c>
      <x:c r="F517" s="9" t="str">
        <x:v>ET-A-A</x:v>
      </x:c>
      <x:c r="G517" s="9" t="str">
        <x:v>B2</x:v>
      </x:c>
      <x:c r="H517" s="9" t="str">
        <x:v>INT</x:v>
      </x:c>
      <x:c r="I517" s="9" t="str">
        <x:v>PD15</x:v>
      </x:c>
      <x:c r="J517" s="17" t="str">
        <x:v>Reconstruction ancestry and replay</x:v>
      </x:c>
      <x:c r="K517" s="17" t="str">
        <x:v>Reconstruction court</x:v>
      </x:c>
      <x:c r="L517" s="17" t="str">
        <x:v>COURT-SEALED UNTIL COHORT RELEASE</x:v>
      </x:c>
      <x:c r="M517" s="9" t="n">
        <x:v>0</x:v>
      </x:c>
      <x:c r="N517" s="9" t="n">
        <x:v>0</x:v>
      </x:c>
      <x:c r="O517" s="9" t="n">
        <x:v>0</x:v>
      </x:c>
      <x:c r="P517" s="9" t="str">
        <x:v>HELD / UNRELEASED</x:v>
      </x:c>
      <x:c r="Q517" s="9" t="n">
        <x:f>COUNTIFS($A$7:$A$2310,A517)</x:f>
        <x:v>1</x:v>
      </x:c>
    </x:row>
    <x:row r="518">
      <x:c r="A518" s="9" t="str">
        <x:v>PD-AR-ET-A-A-TECH-1-B2-INT-G0-PD16</x:v>
      </x:c>
      <x:c r="B518" s="9" t="str">
        <x:v>PD-AR-ET-A-A-TECH-1-B2-INT-G0</x:v>
      </x:c>
      <x:c r="C518" s="9" t="str">
        <x:v>EV-AR-ET-A-A-TECH-1-B2-INT-G0</x:v>
      </x:c>
      <x:c r="D518" s="9" t="str">
        <x:v>AR-ET-A-A-TECH-1-B2-INT-G0</x:v>
      </x:c>
      <x:c r="E518" s="9" t="str">
        <x:v>ET-A-A-TECH-1</x:v>
      </x:c>
      <x:c r="F518" s="9" t="str">
        <x:v>ET-A-A</x:v>
      </x:c>
      <x:c r="G518" s="9" t="str">
        <x:v>B2</x:v>
      </x:c>
      <x:c r="H518" s="9" t="str">
        <x:v>INT</x:v>
      </x:c>
      <x:c r="I518" s="9" t="str">
        <x:v>PD16</x:v>
      </x:c>
      <x:c r="J518" s="17" t="str">
        <x:v>Dissent, amendments and access log</x:v>
      </x:c>
      <x:c r="K518" s="17" t="str">
        <x:v>Public archive</x:v>
      </x:c>
      <x:c r="L518" s="17" t="str">
        <x:v>COURT-SEALED UNTIL COHORT RELEASE</x:v>
      </x:c>
      <x:c r="M518" s="9" t="n">
        <x:v>0</x:v>
      </x:c>
      <x:c r="N518" s="9" t="n">
        <x:v>0</x:v>
      </x:c>
      <x:c r="O518" s="9" t="n">
        <x:v>0</x:v>
      </x:c>
      <x:c r="P518" s="9" t="str">
        <x:v>HELD / UNRELEASED</x:v>
      </x:c>
      <x:c r="Q518" s="9" t="n">
        <x:f>COUNTIFS($A$7:$A$2310,A518)</x:f>
        <x:v>1</x:v>
      </x:c>
    </x:row>
    <x:row r="519">
      <x:c r="A519" s="9" t="str">
        <x:v>PD-AR-HU-A-B-TECH-1-B2-BRK-G0-PD01</x:v>
      </x:c>
      <x:c r="B519" s="9" t="str">
        <x:v>PD-AR-HU-A-B-TECH-1-B2-BRK-G0</x:v>
      </x:c>
      <x:c r="C519" s="9" t="str">
        <x:v>EV-AR-HU-A-B-TECH-1-B2-BRK-G0</x:v>
      </x:c>
      <x:c r="D519" s="9" t="str">
        <x:v>AR-HU-A-B-TECH-1-B2-BRK-G0</x:v>
      </x:c>
      <x:c r="E519" s="9" t="str">
        <x:v>HU-A-B-TECH-1</x:v>
      </x:c>
      <x:c r="F519" s="9" t="str">
        <x:v>HU-A-B</x:v>
      </x:c>
      <x:c r="G519" s="9" t="str">
        <x:v>B2</x:v>
      </x:c>
      <x:c r="H519" s="9" t="str">
        <x:v>BRK</x:v>
      </x:c>
      <x:c r="I519" s="9" t="str">
        <x:v>PD01</x:v>
      </x:c>
      <x:c r="J519" s="17" t="str">
        <x:v>Experiment kernel</x:v>
      </x:c>
      <x:c r="K519" s="17" t="str">
        <x:v>Public archive</x:v>
      </x:c>
      <x:c r="L519" s="17" t="str">
        <x:v>COURT-SEALED UNTIL COHORT RELEASE</x:v>
      </x:c>
      <x:c r="M519" s="9" t="n">
        <x:v>0</x:v>
      </x:c>
      <x:c r="N519" s="9" t="n">
        <x:v>0</x:v>
      </x:c>
      <x:c r="O519" s="9" t="n">
        <x:v>0</x:v>
      </x:c>
      <x:c r="P519" s="9" t="str">
        <x:v>HELD / UNRELEASED</x:v>
      </x:c>
      <x:c r="Q519" s="9" t="n">
        <x:f>COUNTIFS($A$7:$A$2310,A519)</x:f>
        <x:v>1</x:v>
      </x:c>
    </x:row>
    <x:row r="520">
      <x:c r="A520" s="9" t="str">
        <x:v>PD-AR-HU-A-B-TECH-1-B2-BRK-G0-PD02</x:v>
      </x:c>
      <x:c r="B520" s="9" t="str">
        <x:v>PD-AR-HU-A-B-TECH-1-B2-BRK-G0</x:v>
      </x:c>
      <x:c r="C520" s="9" t="str">
        <x:v>EV-AR-HU-A-B-TECH-1-B2-BRK-G0</x:v>
      </x:c>
      <x:c r="D520" s="9" t="str">
        <x:v>AR-HU-A-B-TECH-1-B2-BRK-G0</x:v>
      </x:c>
      <x:c r="E520" s="9" t="str">
        <x:v>HU-A-B-TECH-1</x:v>
      </x:c>
      <x:c r="F520" s="9" t="str">
        <x:v>HU-A-B</x:v>
      </x:c>
      <x:c r="G520" s="9" t="str">
        <x:v>B2</x:v>
      </x:c>
      <x:c r="H520" s="9" t="str">
        <x:v>BRK</x:v>
      </x:c>
      <x:c r="I520" s="9" t="str">
        <x:v>PD02</x:v>
      </x:c>
      <x:c r="J520" s="17" t="str">
        <x:v>Serial annex and title chain</x:v>
      </x:c>
      <x:c r="K520" s="17" t="str">
        <x:v>Public archive</x:v>
      </x:c>
      <x:c r="L520" s="17" t="str">
        <x:v>COURT-SEALED UNTIL COHORT RELEASE</x:v>
      </x:c>
      <x:c r="M520" s="9" t="n">
        <x:v>0</x:v>
      </x:c>
      <x:c r="N520" s="9" t="n">
        <x:v>0</x:v>
      </x:c>
      <x:c r="O520" s="9" t="n">
        <x:v>0</x:v>
      </x:c>
      <x:c r="P520" s="9" t="str">
        <x:v>HELD / UNRELEASED</x:v>
      </x:c>
      <x:c r="Q520" s="9" t="n">
        <x:f>COUNTIFS($A$7:$A$2310,A520)</x:f>
        <x:v>1</x:v>
      </x:c>
    </x:row>
    <x:row r="521">
      <x:c r="A521" s="9" t="str">
        <x:v>PD-AR-HU-A-B-TECH-1-B2-BRK-G0-PD03</x:v>
      </x:c>
      <x:c r="B521" s="9" t="str">
        <x:v>PD-AR-HU-A-B-TECH-1-B2-BRK-G0</x:v>
      </x:c>
      <x:c r="C521" s="9" t="str">
        <x:v>EV-AR-HU-A-B-TECH-1-B2-BRK-G0</x:v>
      </x:c>
      <x:c r="D521" s="9" t="str">
        <x:v>AR-HU-A-B-TECH-1-B2-BRK-G0</x:v>
      </x:c>
      <x:c r="E521" s="9" t="str">
        <x:v>HU-A-B-TECH-1</x:v>
      </x:c>
      <x:c r="F521" s="9" t="str">
        <x:v>HU-A-B</x:v>
      </x:c>
      <x:c r="G521" s="9" t="str">
        <x:v>B2</x:v>
      </x:c>
      <x:c r="H521" s="9" t="str">
        <x:v>BRK</x:v>
      </x:c>
      <x:c r="I521" s="9" t="str">
        <x:v>PD03</x:v>
      </x:c>
      <x:c r="J521" s="17" t="str">
        <x:v>Configuration and as-built manifest</x:v>
      </x:c>
      <x:c r="K521" s="17" t="str">
        <x:v>Artifact exchange</x:v>
      </x:c>
      <x:c r="L521" s="17" t="str">
        <x:v>COURT-SEALED UNTIL COHORT RELEASE</x:v>
      </x:c>
      <x:c r="M521" s="9" t="n">
        <x:v>0</x:v>
      </x:c>
      <x:c r="N521" s="9" t="n">
        <x:v>0</x:v>
      </x:c>
      <x:c r="O521" s="9" t="n">
        <x:v>0</x:v>
      </x:c>
      <x:c r="P521" s="9" t="str">
        <x:v>HELD / UNRELEASED</x:v>
      </x:c>
      <x:c r="Q521" s="9" t="n">
        <x:f>COUNTIFS($A$7:$A$2310,A521)</x:f>
        <x:v>1</x:v>
      </x:c>
    </x:row>
    <x:row r="522">
      <x:c r="A522" s="9" t="str">
        <x:v>PD-AR-HU-A-B-TECH-1-B2-BRK-G0-PD04</x:v>
      </x:c>
      <x:c r="B522" s="9" t="str">
        <x:v>PD-AR-HU-A-B-TECH-1-B2-BRK-G0</x:v>
      </x:c>
      <x:c r="C522" s="9" t="str">
        <x:v>EV-AR-HU-A-B-TECH-1-B2-BRK-G0</x:v>
      </x:c>
      <x:c r="D522" s="9" t="str">
        <x:v>AR-HU-A-B-TECH-1-B2-BRK-G0</x:v>
      </x:c>
      <x:c r="E522" s="9" t="str">
        <x:v>HU-A-B-TECH-1</x:v>
      </x:c>
      <x:c r="F522" s="9" t="str">
        <x:v>HU-A-B</x:v>
      </x:c>
      <x:c r="G522" s="9" t="str">
        <x:v>B2</x:v>
      </x:c>
      <x:c r="H522" s="9" t="str">
        <x:v>BRK</x:v>
      </x:c>
      <x:c r="I522" s="9" t="str">
        <x:v>PD04</x:v>
      </x:c>
      <x:c r="J522" s="17" t="str">
        <x:v>EOW and start certificate</x:v>
      </x:c>
      <x:c r="K522" s="17" t="str">
        <x:v>Start registrar</x:v>
      </x:c>
      <x:c r="L522" s="17" t="str">
        <x:v>COURT-SEALED UNTIL COHORT RELEASE</x:v>
      </x:c>
      <x:c r="M522" s="9" t="n">
        <x:v>0</x:v>
      </x:c>
      <x:c r="N522" s="9" t="n">
        <x:v>0</x:v>
      </x:c>
      <x:c r="O522" s="9" t="n">
        <x:v>0</x:v>
      </x:c>
      <x:c r="P522" s="9" t="str">
        <x:v>HELD / UNRELEASED</x:v>
      </x:c>
      <x:c r="Q522" s="9" t="n">
        <x:f>COUNTIFS($A$7:$A$2310,A522)</x:f>
        <x:v>1</x:v>
      </x:c>
    </x:row>
    <x:row r="523">
      <x:c r="A523" s="9" t="str">
        <x:v>PD-AR-HU-A-B-TECH-1-B2-BRK-G0-PD05</x:v>
      </x:c>
      <x:c r="B523" s="9" t="str">
        <x:v>PD-AR-HU-A-B-TECH-1-B2-BRK-G0</x:v>
      </x:c>
      <x:c r="C523" s="9" t="str">
        <x:v>EV-AR-HU-A-B-TECH-1-B2-BRK-G0</x:v>
      </x:c>
      <x:c r="D523" s="9" t="str">
        <x:v>AR-HU-A-B-TECH-1-B2-BRK-G0</x:v>
      </x:c>
      <x:c r="E523" s="9" t="str">
        <x:v>HU-A-B-TECH-1</x:v>
      </x:c>
      <x:c r="F523" s="9" t="str">
        <x:v>HU-A-B</x:v>
      </x:c>
      <x:c r="G523" s="9" t="str">
        <x:v>B2</x:v>
      </x:c>
      <x:c r="H523" s="9" t="str">
        <x:v>BRK</x:v>
      </x:c>
      <x:c r="I523" s="9" t="str">
        <x:v>PD05</x:v>
      </x:c>
      <x:c r="J523" s="17" t="str">
        <x:v>Primary raw originals</x:v>
      </x:c>
      <x:c r="K523" s="17" t="str">
        <x:v>Primary custody</x:v>
      </x:c>
      <x:c r="L523" s="17" t="str">
        <x:v>COURT-SEALED UNTIL COHORT RELEASE</x:v>
      </x:c>
      <x:c r="M523" s="9" t="n">
        <x:v>0</x:v>
      </x:c>
      <x:c r="N523" s="9" t="n">
        <x:v>0</x:v>
      </x:c>
      <x:c r="O523" s="9" t="n">
        <x:v>0</x:v>
      </x:c>
      <x:c r="P523" s="9" t="str">
        <x:v>HELD / UNRELEASED</x:v>
      </x:c>
      <x:c r="Q523" s="9" t="n">
        <x:f>COUNTIFS($A$7:$A$2310,A523)</x:f>
        <x:v>1</x:v>
      </x:c>
    </x:row>
    <x:row r="524">
      <x:c r="A524" s="9" t="str">
        <x:v>PD-AR-HU-A-B-TECH-1-B2-BRK-G0-PD06</x:v>
      </x:c>
      <x:c r="B524" s="9" t="str">
        <x:v>PD-AR-HU-A-B-TECH-1-B2-BRK-G0</x:v>
      </x:c>
      <x:c r="C524" s="9" t="str">
        <x:v>EV-AR-HU-A-B-TECH-1-B2-BRK-G0</x:v>
      </x:c>
      <x:c r="D524" s="9" t="str">
        <x:v>AR-HU-A-B-TECH-1-B2-BRK-G0</x:v>
      </x:c>
      <x:c r="E524" s="9" t="str">
        <x:v>HU-A-B-TECH-1</x:v>
      </x:c>
      <x:c r="F524" s="9" t="str">
        <x:v>HU-A-B</x:v>
      </x:c>
      <x:c r="G524" s="9" t="str">
        <x:v>B2</x:v>
      </x:c>
      <x:c r="H524" s="9" t="str">
        <x:v>BRK</x:v>
      </x:c>
      <x:c r="I524" s="9" t="str">
        <x:v>PD06</x:v>
      </x:c>
      <x:c r="J524" s="17" t="str">
        <x:v>Witness raw originals</x:v>
      </x:c>
      <x:c r="K524" s="17" t="str">
        <x:v>Witness custody</x:v>
      </x:c>
      <x:c r="L524" s="17" t="str">
        <x:v>COURT-SEALED UNTIL COHORT RELEASE</x:v>
      </x:c>
      <x:c r="M524" s="9" t="n">
        <x:v>0</x:v>
      </x:c>
      <x:c r="N524" s="9" t="n">
        <x:v>0</x:v>
      </x:c>
      <x:c r="O524" s="9" t="n">
        <x:v>0</x:v>
      </x:c>
      <x:c r="P524" s="9" t="str">
        <x:v>HELD / UNRELEASED</x:v>
      </x:c>
      <x:c r="Q524" s="9" t="n">
        <x:f>COUNTIFS($A$7:$A$2310,A524)</x:f>
        <x:v>1</x:v>
      </x:c>
    </x:row>
    <x:row r="525">
      <x:c r="A525" s="9" t="str">
        <x:v>PD-AR-HU-A-B-TECH-1-B2-BRK-G0-PD07</x:v>
      </x:c>
      <x:c r="B525" s="9" t="str">
        <x:v>PD-AR-HU-A-B-TECH-1-B2-BRK-G0</x:v>
      </x:c>
      <x:c r="C525" s="9" t="str">
        <x:v>EV-AR-HU-A-B-TECH-1-B2-BRK-G0</x:v>
      </x:c>
      <x:c r="D525" s="9" t="str">
        <x:v>AR-HU-A-B-TECH-1-B2-BRK-G0</x:v>
      </x:c>
      <x:c r="E525" s="9" t="str">
        <x:v>HU-A-B-TECH-1</x:v>
      </x:c>
      <x:c r="F525" s="9" t="str">
        <x:v>HU-A-B</x:v>
      </x:c>
      <x:c r="G525" s="9" t="str">
        <x:v>B2</x:v>
      </x:c>
      <x:c r="H525" s="9" t="str">
        <x:v>BRK</x:v>
      </x:c>
      <x:c r="I525" s="9" t="str">
        <x:v>PD07</x:v>
      </x:c>
      <x:c r="J525" s="17" t="str">
        <x:v>Clock and environmental records</x:v>
      </x:c>
      <x:c r="K525" s="17" t="str">
        <x:v>Boundary archive</x:v>
      </x:c>
      <x:c r="L525" s="17" t="str">
        <x:v>COURT-SEALED UNTIL COHORT RELEASE</x:v>
      </x:c>
      <x:c r="M525" s="9" t="n">
        <x:v>0</x:v>
      </x:c>
      <x:c r="N525" s="9" t="n">
        <x:v>0</x:v>
      </x:c>
      <x:c r="O525" s="9" t="n">
        <x:v>0</x:v>
      </x:c>
      <x:c r="P525" s="9" t="str">
        <x:v>HELD / UNRELEASED</x:v>
      </x:c>
      <x:c r="Q525" s="9" t="n">
        <x:f>COUNTIFS($A$7:$A$2310,A525)</x:f>
        <x:v>1</x:v>
      </x:c>
    </x:row>
    <x:row r="526">
      <x:c r="A526" s="9" t="str">
        <x:v>PD-AR-HU-A-B-TECH-1-B2-BRK-G0-PD08</x:v>
      </x:c>
      <x:c r="B526" s="9" t="str">
        <x:v>PD-AR-HU-A-B-TECH-1-B2-BRK-G0</x:v>
      </x:c>
      <x:c r="C526" s="9" t="str">
        <x:v>EV-AR-HU-A-B-TECH-1-B2-BRK-G0</x:v>
      </x:c>
      <x:c r="D526" s="9" t="str">
        <x:v>AR-HU-A-B-TECH-1-B2-BRK-G0</x:v>
      </x:c>
      <x:c r="E526" s="9" t="str">
        <x:v>HU-A-B-TECH-1</x:v>
      </x:c>
      <x:c r="F526" s="9" t="str">
        <x:v>HU-A-B</x:v>
      </x:c>
      <x:c r="G526" s="9" t="str">
        <x:v>B2</x:v>
      </x:c>
      <x:c r="H526" s="9" t="str">
        <x:v>BRK</x:v>
      </x:c>
      <x:c r="I526" s="9" t="str">
        <x:v>PD08</x:v>
      </x:c>
      <x:c r="J526" s="17" t="str">
        <x:v>Command and intervention log</x:v>
      </x:c>
      <x:c r="K526" s="17" t="str">
        <x:v>Safety archive</x:v>
      </x:c>
      <x:c r="L526" s="17" t="str">
        <x:v>COURT-SEALED UNTIL COHORT RELEASE</x:v>
      </x:c>
      <x:c r="M526" s="9" t="n">
        <x:v>0</x:v>
      </x:c>
      <x:c r="N526" s="9" t="n">
        <x:v>0</x:v>
      </x:c>
      <x:c r="O526" s="9" t="n">
        <x:v>0</x:v>
      </x:c>
      <x:c r="P526" s="9" t="str">
        <x:v>HELD / UNRELEASED</x:v>
      </x:c>
      <x:c r="Q526" s="9" t="n">
        <x:f>COUNTIFS($A$7:$A$2310,A526)</x:f>
        <x:v>1</x:v>
      </x:c>
    </x:row>
    <x:row r="527">
      <x:c r="A527" s="9" t="str">
        <x:v>PD-AR-HU-A-B-TECH-1-B2-BRK-G0-PD09</x:v>
      </x:c>
      <x:c r="B527" s="9" t="str">
        <x:v>PD-AR-HU-A-B-TECH-1-B2-BRK-G0</x:v>
      </x:c>
      <x:c r="C527" s="9" t="str">
        <x:v>EV-AR-HU-A-B-TECH-1-B2-BRK-G0</x:v>
      </x:c>
      <x:c r="D527" s="9" t="str">
        <x:v>AR-HU-A-B-TECH-1-B2-BRK-G0</x:v>
      </x:c>
      <x:c r="E527" s="9" t="str">
        <x:v>HU-A-B-TECH-1</x:v>
      </x:c>
      <x:c r="F527" s="9" t="str">
        <x:v>HU-A-B</x:v>
      </x:c>
      <x:c r="G527" s="9" t="str">
        <x:v>B2</x:v>
      </x:c>
      <x:c r="H527" s="9" t="str">
        <x:v>BRK</x:v>
      </x:c>
      <x:c r="I527" s="9" t="str">
        <x:v>PD09</x:v>
      </x:c>
      <x:c r="J527" s="17" t="str">
        <x:v>Receiver denominator and service ledger</x:v>
      </x:c>
      <x:c r="K527" s="17" t="str">
        <x:v>Receiver archive</x:v>
      </x:c>
      <x:c r="L527" s="17" t="str">
        <x:v>COURT-SEALED UNTIL COHORT RELEASE</x:v>
      </x:c>
      <x:c r="M527" s="9" t="n">
        <x:v>0</x:v>
      </x:c>
      <x:c r="N527" s="9" t="n">
        <x:v>0</x:v>
      </x:c>
      <x:c r="O527" s="9" t="n">
        <x:v>0</x:v>
      </x:c>
      <x:c r="P527" s="9" t="str">
        <x:v>HELD / UNRELEASED</x:v>
      </x:c>
      <x:c r="Q527" s="9" t="n">
        <x:f>COUNTIFS($A$7:$A$2310,A527)</x:f>
        <x:v>1</x:v>
      </x:c>
    </x:row>
    <x:row r="528">
      <x:c r="A528" s="9" t="str">
        <x:v>PD-AR-HU-A-B-TECH-1-B2-BRK-G0-PD10</x:v>
      </x:c>
      <x:c r="B528" s="9" t="str">
        <x:v>PD-AR-HU-A-B-TECH-1-B2-BRK-G0</x:v>
      </x:c>
      <x:c r="C528" s="9" t="str">
        <x:v>EV-AR-HU-A-B-TECH-1-B2-BRK-G0</x:v>
      </x:c>
      <x:c r="D528" s="9" t="str">
        <x:v>AR-HU-A-B-TECH-1-B2-BRK-G0</x:v>
      </x:c>
      <x:c r="E528" s="9" t="str">
        <x:v>HU-A-B-TECH-1</x:v>
      </x:c>
      <x:c r="F528" s="9" t="str">
        <x:v>HU-A-B</x:v>
      </x:c>
      <x:c r="G528" s="9" t="str">
        <x:v>B2</x:v>
      </x:c>
      <x:c r="H528" s="9" t="str">
        <x:v>BRK</x:v>
      </x:c>
      <x:c r="I528" s="9" t="str">
        <x:v>PD10</x:v>
      </x:c>
      <x:c r="J528" s="17" t="str">
        <x:v>Calibration and uncertainty record</x:v>
      </x:c>
      <x:c r="K528" s="17" t="str">
        <x:v>Metrology archive</x:v>
      </x:c>
      <x:c r="L528" s="17" t="str">
        <x:v>COURT-SEALED UNTIL COHORT RELEASE</x:v>
      </x:c>
      <x:c r="M528" s="9" t="n">
        <x:v>0</x:v>
      </x:c>
      <x:c r="N528" s="9" t="n">
        <x:v>0</x:v>
      </x:c>
      <x:c r="O528" s="9" t="n">
        <x:v>0</x:v>
      </x:c>
      <x:c r="P528" s="9" t="str">
        <x:v>HELD / UNRELEASED</x:v>
      </x:c>
      <x:c r="Q528" s="9" t="n">
        <x:f>COUNTIFS($A$7:$A$2310,A528)</x:f>
        <x:v>1</x:v>
      </x:c>
    </x:row>
    <x:row r="529">
      <x:c r="A529" s="9" t="str">
        <x:v>PD-AR-HU-A-B-TECH-1-B2-BRK-G0-PD11</x:v>
      </x:c>
      <x:c r="B529" s="9" t="str">
        <x:v>PD-AR-HU-A-B-TECH-1-B2-BRK-G0</x:v>
      </x:c>
      <x:c r="C529" s="9" t="str">
        <x:v>EV-AR-HU-A-B-TECH-1-B2-BRK-G0</x:v>
      </x:c>
      <x:c r="D529" s="9" t="str">
        <x:v>AR-HU-A-B-TECH-1-B2-BRK-G0</x:v>
      </x:c>
      <x:c r="E529" s="9" t="str">
        <x:v>HU-A-B-TECH-1</x:v>
      </x:c>
      <x:c r="F529" s="9" t="str">
        <x:v>HU-A-B</x:v>
      </x:c>
      <x:c r="G529" s="9" t="str">
        <x:v>B2</x:v>
      </x:c>
      <x:c r="H529" s="9" t="str">
        <x:v>BRK</x:v>
      </x:c>
      <x:c r="I529" s="9" t="str">
        <x:v>PD11</x:v>
      </x:c>
      <x:c r="J529" s="17" t="str">
        <x:v>Invalidity petition and opinion</x:v>
      </x:c>
      <x:c r="K529" s="17" t="str">
        <x:v>Invalidity court</x:v>
      </x:c>
      <x:c r="L529" s="17" t="str">
        <x:v>COURT-SEALED UNTIL COHORT RELEASE</x:v>
      </x:c>
      <x:c r="M529" s="9" t="n">
        <x:v>0</x:v>
      </x:c>
      <x:c r="N529" s="9" t="n">
        <x:v>0</x:v>
      </x:c>
      <x:c r="O529" s="9" t="n">
        <x:v>0</x:v>
      </x:c>
      <x:c r="P529" s="9" t="str">
        <x:v>HELD / UNRELEASED</x:v>
      </x:c>
      <x:c r="Q529" s="9" t="n">
        <x:f>COUNTIFS($A$7:$A$2310,A529)</x:f>
        <x:v>1</x:v>
      </x:c>
    </x:row>
    <x:row r="530">
      <x:c r="A530" s="9" t="str">
        <x:v>PD-AR-HU-A-B-TECH-1-B2-BRK-G0-PD12</x:v>
      </x:c>
      <x:c r="B530" s="9" t="str">
        <x:v>PD-AR-HU-A-B-TECH-1-B2-BRK-G0</x:v>
      </x:c>
      <x:c r="C530" s="9" t="str">
        <x:v>EV-AR-HU-A-B-TECH-1-B2-BRK-G0</x:v>
      </x:c>
      <x:c r="D530" s="9" t="str">
        <x:v>AR-HU-A-B-TECH-1-B2-BRK-G0</x:v>
      </x:c>
      <x:c r="E530" s="9" t="str">
        <x:v>HU-A-B-TECH-1</x:v>
      </x:c>
      <x:c r="F530" s="9" t="str">
        <x:v>HU-A-B</x:v>
      </x:c>
      <x:c r="G530" s="9" t="str">
        <x:v>B2</x:v>
      </x:c>
      <x:c r="H530" s="9" t="str">
        <x:v>BRK</x:v>
      </x:c>
      <x:c r="I530" s="9" t="str">
        <x:v>PD12</x:v>
      </x:c>
      <x:c r="J530" s="17" t="str">
        <x:v>Observation acceptance and replay</x:v>
      </x:c>
      <x:c r="K530" s="17" t="str">
        <x:v>Observation court</x:v>
      </x:c>
      <x:c r="L530" s="17" t="str">
        <x:v>COURT-SEALED UNTIL COHORT RELEASE</x:v>
      </x:c>
      <x:c r="M530" s="9" t="n">
        <x:v>0</x:v>
      </x:c>
      <x:c r="N530" s="9" t="n">
        <x:v>0</x:v>
      </x:c>
      <x:c r="O530" s="9" t="n">
        <x:v>0</x:v>
      </x:c>
      <x:c r="P530" s="9" t="str">
        <x:v>HELD / UNRELEASED</x:v>
      </x:c>
      <x:c r="Q530" s="9" t="n">
        <x:f>COUNTIFS($A$7:$A$2310,A530)</x:f>
        <x:v>1</x:v>
      </x:c>
    </x:row>
    <x:row r="531">
      <x:c r="A531" s="9" t="str">
        <x:v>PD-AR-HU-A-B-TECH-1-B2-BRK-G0-PD13</x:v>
      </x:c>
      <x:c r="B531" s="9" t="str">
        <x:v>PD-AR-HU-A-B-TECH-1-B2-BRK-G0</x:v>
      </x:c>
      <x:c r="C531" s="9" t="str">
        <x:v>EV-AR-HU-A-B-TECH-1-B2-BRK-G0</x:v>
      </x:c>
      <x:c r="D531" s="9" t="str">
        <x:v>AR-HU-A-B-TECH-1-B2-BRK-G0</x:v>
      </x:c>
      <x:c r="E531" s="9" t="str">
        <x:v>HU-A-B-TECH-1</x:v>
      </x:c>
      <x:c r="F531" s="9" t="str">
        <x:v>HU-A-B</x:v>
      </x:c>
      <x:c r="G531" s="9" t="str">
        <x:v>B2</x:v>
      </x:c>
      <x:c r="H531" s="9" t="str">
        <x:v>BRK</x:v>
      </x:c>
      <x:c r="I531" s="9" t="str">
        <x:v>PD13</x:v>
      </x:c>
      <x:c r="J531" s="17" t="str">
        <x:v>Role judgment</x:v>
      </x:c>
      <x:c r="K531" s="17" t="str">
        <x:v>Role court</x:v>
      </x:c>
      <x:c r="L531" s="17" t="str">
        <x:v>COURT-SEALED UNTIL COHORT RELEASE</x:v>
      </x:c>
      <x:c r="M531" s="9" t="n">
        <x:v>0</x:v>
      </x:c>
      <x:c r="N531" s="9" t="n">
        <x:v>0</x:v>
      </x:c>
      <x:c r="O531" s="9" t="n">
        <x:v>0</x:v>
      </x:c>
      <x:c r="P531" s="9" t="str">
        <x:v>HELD / UNRELEASED</x:v>
      </x:c>
      <x:c r="Q531" s="9" t="n">
        <x:f>COUNTIFS($A$7:$A$2310,A531)</x:f>
        <x:v>1</x:v>
      </x:c>
    </x:row>
    <x:row r="532">
      <x:c r="A532" s="9" t="str">
        <x:v>PD-AR-HU-A-B-TECH-1-B2-BRK-G0-PD14</x:v>
      </x:c>
      <x:c r="B532" s="9" t="str">
        <x:v>PD-AR-HU-A-B-TECH-1-B2-BRK-G0</x:v>
      </x:c>
      <x:c r="C532" s="9" t="str">
        <x:v>EV-AR-HU-A-B-TECH-1-B2-BRK-G0</x:v>
      </x:c>
      <x:c r="D532" s="9" t="str">
        <x:v>AR-HU-A-B-TECH-1-B2-BRK-G0</x:v>
      </x:c>
      <x:c r="E532" s="9" t="str">
        <x:v>HU-A-B-TECH-1</x:v>
      </x:c>
      <x:c r="F532" s="9" t="str">
        <x:v>HU-A-B</x:v>
      </x:c>
      <x:c r="G532" s="9" t="str">
        <x:v>B2</x:v>
      </x:c>
      <x:c r="H532" s="9" t="str">
        <x:v>BRK</x:v>
      </x:c>
      <x:c r="I532" s="9" t="str">
        <x:v>PD14</x:v>
      </x:c>
      <x:c r="J532" s="17" t="str">
        <x:v>Break and residual account</x:v>
      </x:c>
      <x:c r="K532" s="17" t="str">
        <x:v>Residual authority</x:v>
      </x:c>
      <x:c r="L532" s="17" t="str">
        <x:v>COURT-SEALED UNTIL COHORT RELEASE</x:v>
      </x:c>
      <x:c r="M532" s="9" t="n">
        <x:v>0</x:v>
      </x:c>
      <x:c r="N532" s="9" t="n">
        <x:v>0</x:v>
      </x:c>
      <x:c r="O532" s="9" t="n">
        <x:v>0</x:v>
      </x:c>
      <x:c r="P532" s="9" t="str">
        <x:v>HELD / UNRELEASED</x:v>
      </x:c>
      <x:c r="Q532" s="9" t="n">
        <x:f>COUNTIFS($A$7:$A$2310,A532)</x:f>
        <x:v>1</x:v>
      </x:c>
    </x:row>
    <x:row r="533">
      <x:c r="A533" s="9" t="str">
        <x:v>PD-AR-HU-A-B-TECH-1-B2-BRK-G0-PD15</x:v>
      </x:c>
      <x:c r="B533" s="9" t="str">
        <x:v>PD-AR-HU-A-B-TECH-1-B2-BRK-G0</x:v>
      </x:c>
      <x:c r="C533" s="9" t="str">
        <x:v>EV-AR-HU-A-B-TECH-1-B2-BRK-G0</x:v>
      </x:c>
      <x:c r="D533" s="9" t="str">
        <x:v>AR-HU-A-B-TECH-1-B2-BRK-G0</x:v>
      </x:c>
      <x:c r="E533" s="9" t="str">
        <x:v>HU-A-B-TECH-1</x:v>
      </x:c>
      <x:c r="F533" s="9" t="str">
        <x:v>HU-A-B</x:v>
      </x:c>
      <x:c r="G533" s="9" t="str">
        <x:v>B2</x:v>
      </x:c>
      <x:c r="H533" s="9" t="str">
        <x:v>BRK</x:v>
      </x:c>
      <x:c r="I533" s="9" t="str">
        <x:v>PD15</x:v>
      </x:c>
      <x:c r="J533" s="17" t="str">
        <x:v>Reconstruction ancestry and replay</x:v>
      </x:c>
      <x:c r="K533" s="17" t="str">
        <x:v>Reconstruction court</x:v>
      </x:c>
      <x:c r="L533" s="17" t="str">
        <x:v>COURT-SEALED UNTIL COHORT RELEASE</x:v>
      </x:c>
      <x:c r="M533" s="9" t="n">
        <x:v>0</x:v>
      </x:c>
      <x:c r="N533" s="9" t="n">
        <x:v>0</x:v>
      </x:c>
      <x:c r="O533" s="9" t="n">
        <x:v>0</x:v>
      </x:c>
      <x:c r="P533" s="9" t="str">
        <x:v>HELD / UNRELEASED</x:v>
      </x:c>
      <x:c r="Q533" s="9" t="n">
        <x:f>COUNTIFS($A$7:$A$2310,A533)</x:f>
        <x:v>1</x:v>
      </x:c>
    </x:row>
    <x:row r="534">
      <x:c r="A534" s="9" t="str">
        <x:v>PD-AR-HU-A-B-TECH-1-B2-BRK-G0-PD16</x:v>
      </x:c>
      <x:c r="B534" s="9" t="str">
        <x:v>PD-AR-HU-A-B-TECH-1-B2-BRK-G0</x:v>
      </x:c>
      <x:c r="C534" s="9" t="str">
        <x:v>EV-AR-HU-A-B-TECH-1-B2-BRK-G0</x:v>
      </x:c>
      <x:c r="D534" s="9" t="str">
        <x:v>AR-HU-A-B-TECH-1-B2-BRK-G0</x:v>
      </x:c>
      <x:c r="E534" s="9" t="str">
        <x:v>HU-A-B-TECH-1</x:v>
      </x:c>
      <x:c r="F534" s="9" t="str">
        <x:v>HU-A-B</x:v>
      </x:c>
      <x:c r="G534" s="9" t="str">
        <x:v>B2</x:v>
      </x:c>
      <x:c r="H534" s="9" t="str">
        <x:v>BRK</x:v>
      </x:c>
      <x:c r="I534" s="9" t="str">
        <x:v>PD16</x:v>
      </x:c>
      <x:c r="J534" s="17" t="str">
        <x:v>Dissent, amendments and access log</x:v>
      </x:c>
      <x:c r="K534" s="17" t="str">
        <x:v>Public archive</x:v>
      </x:c>
      <x:c r="L534" s="17" t="str">
        <x:v>COURT-SEALED UNTIL COHORT RELEASE</x:v>
      </x:c>
      <x:c r="M534" s="9" t="n">
        <x:v>0</x:v>
      </x:c>
      <x:c r="N534" s="9" t="n">
        <x:v>0</x:v>
      </x:c>
      <x:c r="O534" s="9" t="n">
        <x:v>0</x:v>
      </x:c>
      <x:c r="P534" s="9" t="str">
        <x:v>HELD / UNRELEASED</x:v>
      </x:c>
      <x:c r="Q534" s="9" t="n">
        <x:f>COUNTIFS($A$7:$A$2310,A534)</x:f>
        <x:v>1</x:v>
      </x:c>
    </x:row>
    <x:row r="535">
      <x:c r="A535" s="9" t="str">
        <x:v>PD-AR-LF-B-A-TECH-3-B1-BRK-G0-PD01</x:v>
      </x:c>
      <x:c r="B535" s="9" t="str">
        <x:v>PD-AR-LF-B-A-TECH-3-B1-BRK-G0</x:v>
      </x:c>
      <x:c r="C535" s="9" t="str">
        <x:v>EV-AR-LF-B-A-TECH-3-B1-BRK-G0</x:v>
      </x:c>
      <x:c r="D535" s="9" t="str">
        <x:v>AR-LF-B-A-TECH-3-B1-BRK-G0</x:v>
      </x:c>
      <x:c r="E535" s="9" t="str">
        <x:v>LF-B-A-TECH-3</x:v>
      </x:c>
      <x:c r="F535" s="9" t="str">
        <x:v>LF-B-A</x:v>
      </x:c>
      <x:c r="G535" s="9" t="str">
        <x:v>B1</x:v>
      </x:c>
      <x:c r="H535" s="9" t="str">
        <x:v>BRK</x:v>
      </x:c>
      <x:c r="I535" s="9" t="str">
        <x:v>PD01</x:v>
      </x:c>
      <x:c r="J535" s="17" t="str">
        <x:v>Experiment kernel</x:v>
      </x:c>
      <x:c r="K535" s="17" t="str">
        <x:v>Public archive</x:v>
      </x:c>
      <x:c r="L535" s="17" t="str">
        <x:v>COURT-SEALED UNTIL COHORT RELEASE</x:v>
      </x:c>
      <x:c r="M535" s="9" t="n">
        <x:v>0</x:v>
      </x:c>
      <x:c r="N535" s="9" t="n">
        <x:v>0</x:v>
      </x:c>
      <x:c r="O535" s="9" t="n">
        <x:v>0</x:v>
      </x:c>
      <x:c r="P535" s="9" t="str">
        <x:v>HELD / UNRELEASED</x:v>
      </x:c>
      <x:c r="Q535" s="9" t="n">
        <x:f>COUNTIFS($A$7:$A$2310,A535)</x:f>
        <x:v>1</x:v>
      </x:c>
    </x:row>
    <x:row r="536">
      <x:c r="A536" s="9" t="str">
        <x:v>PD-AR-LF-B-A-TECH-3-B1-BRK-G0-PD02</x:v>
      </x:c>
      <x:c r="B536" s="9" t="str">
        <x:v>PD-AR-LF-B-A-TECH-3-B1-BRK-G0</x:v>
      </x:c>
      <x:c r="C536" s="9" t="str">
        <x:v>EV-AR-LF-B-A-TECH-3-B1-BRK-G0</x:v>
      </x:c>
      <x:c r="D536" s="9" t="str">
        <x:v>AR-LF-B-A-TECH-3-B1-BRK-G0</x:v>
      </x:c>
      <x:c r="E536" s="9" t="str">
        <x:v>LF-B-A-TECH-3</x:v>
      </x:c>
      <x:c r="F536" s="9" t="str">
        <x:v>LF-B-A</x:v>
      </x:c>
      <x:c r="G536" s="9" t="str">
        <x:v>B1</x:v>
      </x:c>
      <x:c r="H536" s="9" t="str">
        <x:v>BRK</x:v>
      </x:c>
      <x:c r="I536" s="9" t="str">
        <x:v>PD02</x:v>
      </x:c>
      <x:c r="J536" s="17" t="str">
        <x:v>Serial annex and title chain</x:v>
      </x:c>
      <x:c r="K536" s="17" t="str">
        <x:v>Public archive</x:v>
      </x:c>
      <x:c r="L536" s="17" t="str">
        <x:v>COURT-SEALED UNTIL COHORT RELEASE</x:v>
      </x:c>
      <x:c r="M536" s="9" t="n">
        <x:v>0</x:v>
      </x:c>
      <x:c r="N536" s="9" t="n">
        <x:v>0</x:v>
      </x:c>
      <x:c r="O536" s="9" t="n">
        <x:v>0</x:v>
      </x:c>
      <x:c r="P536" s="9" t="str">
        <x:v>HELD / UNRELEASED</x:v>
      </x:c>
      <x:c r="Q536" s="9" t="n">
        <x:f>COUNTIFS($A$7:$A$2310,A536)</x:f>
        <x:v>1</x:v>
      </x:c>
    </x:row>
    <x:row r="537">
      <x:c r="A537" s="9" t="str">
        <x:v>PD-AR-LF-B-A-TECH-3-B1-BRK-G0-PD03</x:v>
      </x:c>
      <x:c r="B537" s="9" t="str">
        <x:v>PD-AR-LF-B-A-TECH-3-B1-BRK-G0</x:v>
      </x:c>
      <x:c r="C537" s="9" t="str">
        <x:v>EV-AR-LF-B-A-TECH-3-B1-BRK-G0</x:v>
      </x:c>
      <x:c r="D537" s="9" t="str">
        <x:v>AR-LF-B-A-TECH-3-B1-BRK-G0</x:v>
      </x:c>
      <x:c r="E537" s="9" t="str">
        <x:v>LF-B-A-TECH-3</x:v>
      </x:c>
      <x:c r="F537" s="9" t="str">
        <x:v>LF-B-A</x:v>
      </x:c>
      <x:c r="G537" s="9" t="str">
        <x:v>B1</x:v>
      </x:c>
      <x:c r="H537" s="9" t="str">
        <x:v>BRK</x:v>
      </x:c>
      <x:c r="I537" s="9" t="str">
        <x:v>PD03</x:v>
      </x:c>
      <x:c r="J537" s="17" t="str">
        <x:v>Configuration and as-built manifest</x:v>
      </x:c>
      <x:c r="K537" s="17" t="str">
        <x:v>Artifact exchange</x:v>
      </x:c>
      <x:c r="L537" s="17" t="str">
        <x:v>COURT-SEALED UNTIL COHORT RELEASE</x:v>
      </x:c>
      <x:c r="M537" s="9" t="n">
        <x:v>0</x:v>
      </x:c>
      <x:c r="N537" s="9" t="n">
        <x:v>0</x:v>
      </x:c>
      <x:c r="O537" s="9" t="n">
        <x:v>0</x:v>
      </x:c>
      <x:c r="P537" s="9" t="str">
        <x:v>HELD / UNRELEASED</x:v>
      </x:c>
      <x:c r="Q537" s="9" t="n">
        <x:f>COUNTIFS($A$7:$A$2310,A537)</x:f>
        <x:v>1</x:v>
      </x:c>
    </x:row>
    <x:row r="538">
      <x:c r="A538" s="9" t="str">
        <x:v>PD-AR-LF-B-A-TECH-3-B1-BRK-G0-PD04</x:v>
      </x:c>
      <x:c r="B538" s="9" t="str">
        <x:v>PD-AR-LF-B-A-TECH-3-B1-BRK-G0</x:v>
      </x:c>
      <x:c r="C538" s="9" t="str">
        <x:v>EV-AR-LF-B-A-TECH-3-B1-BRK-G0</x:v>
      </x:c>
      <x:c r="D538" s="9" t="str">
        <x:v>AR-LF-B-A-TECH-3-B1-BRK-G0</x:v>
      </x:c>
      <x:c r="E538" s="9" t="str">
        <x:v>LF-B-A-TECH-3</x:v>
      </x:c>
      <x:c r="F538" s="9" t="str">
        <x:v>LF-B-A</x:v>
      </x:c>
      <x:c r="G538" s="9" t="str">
        <x:v>B1</x:v>
      </x:c>
      <x:c r="H538" s="9" t="str">
        <x:v>BRK</x:v>
      </x:c>
      <x:c r="I538" s="9" t="str">
        <x:v>PD04</x:v>
      </x:c>
      <x:c r="J538" s="17" t="str">
        <x:v>EOW and start certificate</x:v>
      </x:c>
      <x:c r="K538" s="17" t="str">
        <x:v>Start registrar</x:v>
      </x:c>
      <x:c r="L538" s="17" t="str">
        <x:v>COURT-SEALED UNTIL COHORT RELEASE</x:v>
      </x:c>
      <x:c r="M538" s="9" t="n">
        <x:v>0</x:v>
      </x:c>
      <x:c r="N538" s="9" t="n">
        <x:v>0</x:v>
      </x:c>
      <x:c r="O538" s="9" t="n">
        <x:v>0</x:v>
      </x:c>
      <x:c r="P538" s="9" t="str">
        <x:v>HELD / UNRELEASED</x:v>
      </x:c>
      <x:c r="Q538" s="9" t="n">
        <x:f>COUNTIFS($A$7:$A$2310,A538)</x:f>
        <x:v>1</x:v>
      </x:c>
    </x:row>
    <x:row r="539">
      <x:c r="A539" s="9" t="str">
        <x:v>PD-AR-LF-B-A-TECH-3-B1-BRK-G0-PD05</x:v>
      </x:c>
      <x:c r="B539" s="9" t="str">
        <x:v>PD-AR-LF-B-A-TECH-3-B1-BRK-G0</x:v>
      </x:c>
      <x:c r="C539" s="9" t="str">
        <x:v>EV-AR-LF-B-A-TECH-3-B1-BRK-G0</x:v>
      </x:c>
      <x:c r="D539" s="9" t="str">
        <x:v>AR-LF-B-A-TECH-3-B1-BRK-G0</x:v>
      </x:c>
      <x:c r="E539" s="9" t="str">
        <x:v>LF-B-A-TECH-3</x:v>
      </x:c>
      <x:c r="F539" s="9" t="str">
        <x:v>LF-B-A</x:v>
      </x:c>
      <x:c r="G539" s="9" t="str">
        <x:v>B1</x:v>
      </x:c>
      <x:c r="H539" s="9" t="str">
        <x:v>BRK</x:v>
      </x:c>
      <x:c r="I539" s="9" t="str">
        <x:v>PD05</x:v>
      </x:c>
      <x:c r="J539" s="17" t="str">
        <x:v>Primary raw originals</x:v>
      </x:c>
      <x:c r="K539" s="17" t="str">
        <x:v>Primary custody</x:v>
      </x:c>
      <x:c r="L539" s="17" t="str">
        <x:v>COURT-SEALED UNTIL COHORT RELEASE</x:v>
      </x:c>
      <x:c r="M539" s="9" t="n">
        <x:v>0</x:v>
      </x:c>
      <x:c r="N539" s="9" t="n">
        <x:v>0</x:v>
      </x:c>
      <x:c r="O539" s="9" t="n">
        <x:v>0</x:v>
      </x:c>
      <x:c r="P539" s="9" t="str">
        <x:v>HELD / UNRELEASED</x:v>
      </x:c>
      <x:c r="Q539" s="9" t="n">
        <x:f>COUNTIFS($A$7:$A$2310,A539)</x:f>
        <x:v>1</x:v>
      </x:c>
    </x:row>
    <x:row r="540">
      <x:c r="A540" s="9" t="str">
        <x:v>PD-AR-LF-B-A-TECH-3-B1-BRK-G0-PD06</x:v>
      </x:c>
      <x:c r="B540" s="9" t="str">
        <x:v>PD-AR-LF-B-A-TECH-3-B1-BRK-G0</x:v>
      </x:c>
      <x:c r="C540" s="9" t="str">
        <x:v>EV-AR-LF-B-A-TECH-3-B1-BRK-G0</x:v>
      </x:c>
      <x:c r="D540" s="9" t="str">
        <x:v>AR-LF-B-A-TECH-3-B1-BRK-G0</x:v>
      </x:c>
      <x:c r="E540" s="9" t="str">
        <x:v>LF-B-A-TECH-3</x:v>
      </x:c>
      <x:c r="F540" s="9" t="str">
        <x:v>LF-B-A</x:v>
      </x:c>
      <x:c r="G540" s="9" t="str">
        <x:v>B1</x:v>
      </x:c>
      <x:c r="H540" s="9" t="str">
        <x:v>BRK</x:v>
      </x:c>
      <x:c r="I540" s="9" t="str">
        <x:v>PD06</x:v>
      </x:c>
      <x:c r="J540" s="17" t="str">
        <x:v>Witness raw originals</x:v>
      </x:c>
      <x:c r="K540" s="17" t="str">
        <x:v>Witness custody</x:v>
      </x:c>
      <x:c r="L540" s="17" t="str">
        <x:v>COURT-SEALED UNTIL COHORT RELEASE</x:v>
      </x:c>
      <x:c r="M540" s="9" t="n">
        <x:v>0</x:v>
      </x:c>
      <x:c r="N540" s="9" t="n">
        <x:v>0</x:v>
      </x:c>
      <x:c r="O540" s="9" t="n">
        <x:v>0</x:v>
      </x:c>
      <x:c r="P540" s="9" t="str">
        <x:v>HELD / UNRELEASED</x:v>
      </x:c>
      <x:c r="Q540" s="9" t="n">
        <x:f>COUNTIFS($A$7:$A$2310,A540)</x:f>
        <x:v>1</x:v>
      </x:c>
    </x:row>
    <x:row r="541">
      <x:c r="A541" s="9" t="str">
        <x:v>PD-AR-LF-B-A-TECH-3-B1-BRK-G0-PD07</x:v>
      </x:c>
      <x:c r="B541" s="9" t="str">
        <x:v>PD-AR-LF-B-A-TECH-3-B1-BRK-G0</x:v>
      </x:c>
      <x:c r="C541" s="9" t="str">
        <x:v>EV-AR-LF-B-A-TECH-3-B1-BRK-G0</x:v>
      </x:c>
      <x:c r="D541" s="9" t="str">
        <x:v>AR-LF-B-A-TECH-3-B1-BRK-G0</x:v>
      </x:c>
      <x:c r="E541" s="9" t="str">
        <x:v>LF-B-A-TECH-3</x:v>
      </x:c>
      <x:c r="F541" s="9" t="str">
        <x:v>LF-B-A</x:v>
      </x:c>
      <x:c r="G541" s="9" t="str">
        <x:v>B1</x:v>
      </x:c>
      <x:c r="H541" s="9" t="str">
        <x:v>BRK</x:v>
      </x:c>
      <x:c r="I541" s="9" t="str">
        <x:v>PD07</x:v>
      </x:c>
      <x:c r="J541" s="17" t="str">
        <x:v>Clock and environmental records</x:v>
      </x:c>
      <x:c r="K541" s="17" t="str">
        <x:v>Boundary archive</x:v>
      </x:c>
      <x:c r="L541" s="17" t="str">
        <x:v>COURT-SEALED UNTIL COHORT RELEASE</x:v>
      </x:c>
      <x:c r="M541" s="9" t="n">
        <x:v>0</x:v>
      </x:c>
      <x:c r="N541" s="9" t="n">
        <x:v>0</x:v>
      </x:c>
      <x:c r="O541" s="9" t="n">
        <x:v>0</x:v>
      </x:c>
      <x:c r="P541" s="9" t="str">
        <x:v>HELD / UNRELEASED</x:v>
      </x:c>
      <x:c r="Q541" s="9" t="n">
        <x:f>COUNTIFS($A$7:$A$2310,A541)</x:f>
        <x:v>1</x:v>
      </x:c>
    </x:row>
    <x:row r="542">
      <x:c r="A542" s="9" t="str">
        <x:v>PD-AR-LF-B-A-TECH-3-B1-BRK-G0-PD08</x:v>
      </x:c>
      <x:c r="B542" s="9" t="str">
        <x:v>PD-AR-LF-B-A-TECH-3-B1-BRK-G0</x:v>
      </x:c>
      <x:c r="C542" s="9" t="str">
        <x:v>EV-AR-LF-B-A-TECH-3-B1-BRK-G0</x:v>
      </x:c>
      <x:c r="D542" s="9" t="str">
        <x:v>AR-LF-B-A-TECH-3-B1-BRK-G0</x:v>
      </x:c>
      <x:c r="E542" s="9" t="str">
        <x:v>LF-B-A-TECH-3</x:v>
      </x:c>
      <x:c r="F542" s="9" t="str">
        <x:v>LF-B-A</x:v>
      </x:c>
      <x:c r="G542" s="9" t="str">
        <x:v>B1</x:v>
      </x:c>
      <x:c r="H542" s="9" t="str">
        <x:v>BRK</x:v>
      </x:c>
      <x:c r="I542" s="9" t="str">
        <x:v>PD08</x:v>
      </x:c>
      <x:c r="J542" s="17" t="str">
        <x:v>Command and intervention log</x:v>
      </x:c>
      <x:c r="K542" s="17" t="str">
        <x:v>Safety archive</x:v>
      </x:c>
      <x:c r="L542" s="17" t="str">
        <x:v>COURT-SEALED UNTIL COHORT RELEASE</x:v>
      </x:c>
      <x:c r="M542" s="9" t="n">
        <x:v>0</x:v>
      </x:c>
      <x:c r="N542" s="9" t="n">
        <x:v>0</x:v>
      </x:c>
      <x:c r="O542" s="9" t="n">
        <x:v>0</x:v>
      </x:c>
      <x:c r="P542" s="9" t="str">
        <x:v>HELD / UNRELEASED</x:v>
      </x:c>
      <x:c r="Q542" s="9" t="n">
        <x:f>COUNTIFS($A$7:$A$2310,A542)</x:f>
        <x:v>1</x:v>
      </x:c>
    </x:row>
    <x:row r="543">
      <x:c r="A543" s="9" t="str">
        <x:v>PD-AR-LF-B-A-TECH-3-B1-BRK-G0-PD09</x:v>
      </x:c>
      <x:c r="B543" s="9" t="str">
        <x:v>PD-AR-LF-B-A-TECH-3-B1-BRK-G0</x:v>
      </x:c>
      <x:c r="C543" s="9" t="str">
        <x:v>EV-AR-LF-B-A-TECH-3-B1-BRK-G0</x:v>
      </x:c>
      <x:c r="D543" s="9" t="str">
        <x:v>AR-LF-B-A-TECH-3-B1-BRK-G0</x:v>
      </x:c>
      <x:c r="E543" s="9" t="str">
        <x:v>LF-B-A-TECH-3</x:v>
      </x:c>
      <x:c r="F543" s="9" t="str">
        <x:v>LF-B-A</x:v>
      </x:c>
      <x:c r="G543" s="9" t="str">
        <x:v>B1</x:v>
      </x:c>
      <x:c r="H543" s="9" t="str">
        <x:v>BRK</x:v>
      </x:c>
      <x:c r="I543" s="9" t="str">
        <x:v>PD09</x:v>
      </x:c>
      <x:c r="J543" s="17" t="str">
        <x:v>Receiver denominator and service ledger</x:v>
      </x:c>
      <x:c r="K543" s="17" t="str">
        <x:v>Receiver archive</x:v>
      </x:c>
      <x:c r="L543" s="17" t="str">
        <x:v>COURT-SEALED UNTIL COHORT RELEASE</x:v>
      </x:c>
      <x:c r="M543" s="9" t="n">
        <x:v>0</x:v>
      </x:c>
      <x:c r="N543" s="9" t="n">
        <x:v>0</x:v>
      </x:c>
      <x:c r="O543" s="9" t="n">
        <x:v>0</x:v>
      </x:c>
      <x:c r="P543" s="9" t="str">
        <x:v>HELD / UNRELEASED</x:v>
      </x:c>
      <x:c r="Q543" s="9" t="n">
        <x:f>COUNTIFS($A$7:$A$2310,A543)</x:f>
        <x:v>1</x:v>
      </x:c>
    </x:row>
    <x:row r="544">
      <x:c r="A544" s="9" t="str">
        <x:v>PD-AR-LF-B-A-TECH-3-B1-BRK-G0-PD10</x:v>
      </x:c>
      <x:c r="B544" s="9" t="str">
        <x:v>PD-AR-LF-B-A-TECH-3-B1-BRK-G0</x:v>
      </x:c>
      <x:c r="C544" s="9" t="str">
        <x:v>EV-AR-LF-B-A-TECH-3-B1-BRK-G0</x:v>
      </x:c>
      <x:c r="D544" s="9" t="str">
        <x:v>AR-LF-B-A-TECH-3-B1-BRK-G0</x:v>
      </x:c>
      <x:c r="E544" s="9" t="str">
        <x:v>LF-B-A-TECH-3</x:v>
      </x:c>
      <x:c r="F544" s="9" t="str">
        <x:v>LF-B-A</x:v>
      </x:c>
      <x:c r="G544" s="9" t="str">
        <x:v>B1</x:v>
      </x:c>
      <x:c r="H544" s="9" t="str">
        <x:v>BRK</x:v>
      </x:c>
      <x:c r="I544" s="9" t="str">
        <x:v>PD10</x:v>
      </x:c>
      <x:c r="J544" s="17" t="str">
        <x:v>Calibration and uncertainty record</x:v>
      </x:c>
      <x:c r="K544" s="17" t="str">
        <x:v>Metrology archive</x:v>
      </x:c>
      <x:c r="L544" s="17" t="str">
        <x:v>COURT-SEALED UNTIL COHORT RELEASE</x:v>
      </x:c>
      <x:c r="M544" s="9" t="n">
        <x:v>0</x:v>
      </x:c>
      <x:c r="N544" s="9" t="n">
        <x:v>0</x:v>
      </x:c>
      <x:c r="O544" s="9" t="n">
        <x:v>0</x:v>
      </x:c>
      <x:c r="P544" s="9" t="str">
        <x:v>HELD / UNRELEASED</x:v>
      </x:c>
      <x:c r="Q544" s="9" t="n">
        <x:f>COUNTIFS($A$7:$A$2310,A544)</x:f>
        <x:v>1</x:v>
      </x:c>
    </x:row>
    <x:row r="545">
      <x:c r="A545" s="9" t="str">
        <x:v>PD-AR-LF-B-A-TECH-3-B1-BRK-G0-PD11</x:v>
      </x:c>
      <x:c r="B545" s="9" t="str">
        <x:v>PD-AR-LF-B-A-TECH-3-B1-BRK-G0</x:v>
      </x:c>
      <x:c r="C545" s="9" t="str">
        <x:v>EV-AR-LF-B-A-TECH-3-B1-BRK-G0</x:v>
      </x:c>
      <x:c r="D545" s="9" t="str">
        <x:v>AR-LF-B-A-TECH-3-B1-BRK-G0</x:v>
      </x:c>
      <x:c r="E545" s="9" t="str">
        <x:v>LF-B-A-TECH-3</x:v>
      </x:c>
      <x:c r="F545" s="9" t="str">
        <x:v>LF-B-A</x:v>
      </x:c>
      <x:c r="G545" s="9" t="str">
        <x:v>B1</x:v>
      </x:c>
      <x:c r="H545" s="9" t="str">
        <x:v>BRK</x:v>
      </x:c>
      <x:c r="I545" s="9" t="str">
        <x:v>PD11</x:v>
      </x:c>
      <x:c r="J545" s="17" t="str">
        <x:v>Invalidity petition and opinion</x:v>
      </x:c>
      <x:c r="K545" s="17" t="str">
        <x:v>Invalidity court</x:v>
      </x:c>
      <x:c r="L545" s="17" t="str">
        <x:v>COURT-SEALED UNTIL COHORT RELEASE</x:v>
      </x:c>
      <x:c r="M545" s="9" t="n">
        <x:v>0</x:v>
      </x:c>
      <x:c r="N545" s="9" t="n">
        <x:v>0</x:v>
      </x:c>
      <x:c r="O545" s="9" t="n">
        <x:v>0</x:v>
      </x:c>
      <x:c r="P545" s="9" t="str">
        <x:v>HELD / UNRELEASED</x:v>
      </x:c>
      <x:c r="Q545" s="9" t="n">
        <x:f>COUNTIFS($A$7:$A$2310,A545)</x:f>
        <x:v>1</x:v>
      </x:c>
    </x:row>
    <x:row r="546">
      <x:c r="A546" s="9" t="str">
        <x:v>PD-AR-LF-B-A-TECH-3-B1-BRK-G0-PD12</x:v>
      </x:c>
      <x:c r="B546" s="9" t="str">
        <x:v>PD-AR-LF-B-A-TECH-3-B1-BRK-G0</x:v>
      </x:c>
      <x:c r="C546" s="9" t="str">
        <x:v>EV-AR-LF-B-A-TECH-3-B1-BRK-G0</x:v>
      </x:c>
      <x:c r="D546" s="9" t="str">
        <x:v>AR-LF-B-A-TECH-3-B1-BRK-G0</x:v>
      </x:c>
      <x:c r="E546" s="9" t="str">
        <x:v>LF-B-A-TECH-3</x:v>
      </x:c>
      <x:c r="F546" s="9" t="str">
        <x:v>LF-B-A</x:v>
      </x:c>
      <x:c r="G546" s="9" t="str">
        <x:v>B1</x:v>
      </x:c>
      <x:c r="H546" s="9" t="str">
        <x:v>BRK</x:v>
      </x:c>
      <x:c r="I546" s="9" t="str">
        <x:v>PD12</x:v>
      </x:c>
      <x:c r="J546" s="17" t="str">
        <x:v>Observation acceptance and replay</x:v>
      </x:c>
      <x:c r="K546" s="17" t="str">
        <x:v>Observation court</x:v>
      </x:c>
      <x:c r="L546" s="17" t="str">
        <x:v>COURT-SEALED UNTIL COHORT RELEASE</x:v>
      </x:c>
      <x:c r="M546" s="9" t="n">
        <x:v>0</x:v>
      </x:c>
      <x:c r="N546" s="9" t="n">
        <x:v>0</x:v>
      </x:c>
      <x:c r="O546" s="9" t="n">
        <x:v>0</x:v>
      </x:c>
      <x:c r="P546" s="9" t="str">
        <x:v>HELD / UNRELEASED</x:v>
      </x:c>
      <x:c r="Q546" s="9" t="n">
        <x:f>COUNTIFS($A$7:$A$2310,A546)</x:f>
        <x:v>1</x:v>
      </x:c>
    </x:row>
    <x:row r="547">
      <x:c r="A547" s="9" t="str">
        <x:v>PD-AR-LF-B-A-TECH-3-B1-BRK-G0-PD13</x:v>
      </x:c>
      <x:c r="B547" s="9" t="str">
        <x:v>PD-AR-LF-B-A-TECH-3-B1-BRK-G0</x:v>
      </x:c>
      <x:c r="C547" s="9" t="str">
        <x:v>EV-AR-LF-B-A-TECH-3-B1-BRK-G0</x:v>
      </x:c>
      <x:c r="D547" s="9" t="str">
        <x:v>AR-LF-B-A-TECH-3-B1-BRK-G0</x:v>
      </x:c>
      <x:c r="E547" s="9" t="str">
        <x:v>LF-B-A-TECH-3</x:v>
      </x:c>
      <x:c r="F547" s="9" t="str">
        <x:v>LF-B-A</x:v>
      </x:c>
      <x:c r="G547" s="9" t="str">
        <x:v>B1</x:v>
      </x:c>
      <x:c r="H547" s="9" t="str">
        <x:v>BRK</x:v>
      </x:c>
      <x:c r="I547" s="9" t="str">
        <x:v>PD13</x:v>
      </x:c>
      <x:c r="J547" s="17" t="str">
        <x:v>Role judgment</x:v>
      </x:c>
      <x:c r="K547" s="17" t="str">
        <x:v>Role court</x:v>
      </x:c>
      <x:c r="L547" s="17" t="str">
        <x:v>COURT-SEALED UNTIL COHORT RELEASE</x:v>
      </x:c>
      <x:c r="M547" s="9" t="n">
        <x:v>0</x:v>
      </x:c>
      <x:c r="N547" s="9" t="n">
        <x:v>0</x:v>
      </x:c>
      <x:c r="O547" s="9" t="n">
        <x:v>0</x:v>
      </x:c>
      <x:c r="P547" s="9" t="str">
        <x:v>HELD / UNRELEASED</x:v>
      </x:c>
      <x:c r="Q547" s="9" t="n">
        <x:f>COUNTIFS($A$7:$A$2310,A547)</x:f>
        <x:v>1</x:v>
      </x:c>
    </x:row>
    <x:row r="548">
      <x:c r="A548" s="9" t="str">
        <x:v>PD-AR-LF-B-A-TECH-3-B1-BRK-G0-PD14</x:v>
      </x:c>
      <x:c r="B548" s="9" t="str">
        <x:v>PD-AR-LF-B-A-TECH-3-B1-BRK-G0</x:v>
      </x:c>
      <x:c r="C548" s="9" t="str">
        <x:v>EV-AR-LF-B-A-TECH-3-B1-BRK-G0</x:v>
      </x:c>
      <x:c r="D548" s="9" t="str">
        <x:v>AR-LF-B-A-TECH-3-B1-BRK-G0</x:v>
      </x:c>
      <x:c r="E548" s="9" t="str">
        <x:v>LF-B-A-TECH-3</x:v>
      </x:c>
      <x:c r="F548" s="9" t="str">
        <x:v>LF-B-A</x:v>
      </x:c>
      <x:c r="G548" s="9" t="str">
        <x:v>B1</x:v>
      </x:c>
      <x:c r="H548" s="9" t="str">
        <x:v>BRK</x:v>
      </x:c>
      <x:c r="I548" s="9" t="str">
        <x:v>PD14</x:v>
      </x:c>
      <x:c r="J548" s="17" t="str">
        <x:v>Break and residual account</x:v>
      </x:c>
      <x:c r="K548" s="17" t="str">
        <x:v>Residual authority</x:v>
      </x:c>
      <x:c r="L548" s="17" t="str">
        <x:v>COURT-SEALED UNTIL COHORT RELEASE</x:v>
      </x:c>
      <x:c r="M548" s="9" t="n">
        <x:v>0</x:v>
      </x:c>
      <x:c r="N548" s="9" t="n">
        <x:v>0</x:v>
      </x:c>
      <x:c r="O548" s="9" t="n">
        <x:v>0</x:v>
      </x:c>
      <x:c r="P548" s="9" t="str">
        <x:v>HELD / UNRELEASED</x:v>
      </x:c>
      <x:c r="Q548" s="9" t="n">
        <x:f>COUNTIFS($A$7:$A$2310,A548)</x:f>
        <x:v>1</x:v>
      </x:c>
    </x:row>
    <x:row r="549">
      <x:c r="A549" s="9" t="str">
        <x:v>PD-AR-LF-B-A-TECH-3-B1-BRK-G0-PD15</x:v>
      </x:c>
      <x:c r="B549" s="9" t="str">
        <x:v>PD-AR-LF-B-A-TECH-3-B1-BRK-G0</x:v>
      </x:c>
      <x:c r="C549" s="9" t="str">
        <x:v>EV-AR-LF-B-A-TECH-3-B1-BRK-G0</x:v>
      </x:c>
      <x:c r="D549" s="9" t="str">
        <x:v>AR-LF-B-A-TECH-3-B1-BRK-G0</x:v>
      </x:c>
      <x:c r="E549" s="9" t="str">
        <x:v>LF-B-A-TECH-3</x:v>
      </x:c>
      <x:c r="F549" s="9" t="str">
        <x:v>LF-B-A</x:v>
      </x:c>
      <x:c r="G549" s="9" t="str">
        <x:v>B1</x:v>
      </x:c>
      <x:c r="H549" s="9" t="str">
        <x:v>BRK</x:v>
      </x:c>
      <x:c r="I549" s="9" t="str">
        <x:v>PD15</x:v>
      </x:c>
      <x:c r="J549" s="17" t="str">
        <x:v>Reconstruction ancestry and replay</x:v>
      </x:c>
      <x:c r="K549" s="17" t="str">
        <x:v>Reconstruction court</x:v>
      </x:c>
      <x:c r="L549" s="17" t="str">
        <x:v>COURT-SEALED UNTIL COHORT RELEASE</x:v>
      </x:c>
      <x:c r="M549" s="9" t="n">
        <x:v>0</x:v>
      </x:c>
      <x:c r="N549" s="9" t="n">
        <x:v>0</x:v>
      </x:c>
      <x:c r="O549" s="9" t="n">
        <x:v>0</x:v>
      </x:c>
      <x:c r="P549" s="9" t="str">
        <x:v>HELD / UNRELEASED</x:v>
      </x:c>
      <x:c r="Q549" s="9" t="n">
        <x:f>COUNTIFS($A$7:$A$2310,A549)</x:f>
        <x:v>1</x:v>
      </x:c>
    </x:row>
    <x:row r="550">
      <x:c r="A550" s="9" t="str">
        <x:v>PD-AR-LF-B-A-TECH-3-B1-BRK-G0-PD16</x:v>
      </x:c>
      <x:c r="B550" s="9" t="str">
        <x:v>PD-AR-LF-B-A-TECH-3-B1-BRK-G0</x:v>
      </x:c>
      <x:c r="C550" s="9" t="str">
        <x:v>EV-AR-LF-B-A-TECH-3-B1-BRK-G0</x:v>
      </x:c>
      <x:c r="D550" s="9" t="str">
        <x:v>AR-LF-B-A-TECH-3-B1-BRK-G0</x:v>
      </x:c>
      <x:c r="E550" s="9" t="str">
        <x:v>LF-B-A-TECH-3</x:v>
      </x:c>
      <x:c r="F550" s="9" t="str">
        <x:v>LF-B-A</x:v>
      </x:c>
      <x:c r="G550" s="9" t="str">
        <x:v>B1</x:v>
      </x:c>
      <x:c r="H550" s="9" t="str">
        <x:v>BRK</x:v>
      </x:c>
      <x:c r="I550" s="9" t="str">
        <x:v>PD16</x:v>
      </x:c>
      <x:c r="J550" s="17" t="str">
        <x:v>Dissent, amendments and access log</x:v>
      </x:c>
      <x:c r="K550" s="17" t="str">
        <x:v>Public archive</x:v>
      </x:c>
      <x:c r="L550" s="17" t="str">
        <x:v>COURT-SEALED UNTIL COHORT RELEASE</x:v>
      </x:c>
      <x:c r="M550" s="9" t="n">
        <x:v>0</x:v>
      </x:c>
      <x:c r="N550" s="9" t="n">
        <x:v>0</x:v>
      </x:c>
      <x:c r="O550" s="9" t="n">
        <x:v>0</x:v>
      </x:c>
      <x:c r="P550" s="9" t="str">
        <x:v>HELD / UNRELEASED</x:v>
      </x:c>
      <x:c r="Q550" s="9" t="n">
        <x:f>COUNTIFS($A$7:$A$2310,A550)</x:f>
        <x:v>1</x:v>
      </x:c>
    </x:row>
    <x:row r="551">
      <x:c r="A551" s="9" t="str">
        <x:v>PD-AR-LF-B-A-TECH-2-B2-BRK-G0-PD01</x:v>
      </x:c>
      <x:c r="B551" s="9" t="str">
        <x:v>PD-AR-LF-B-A-TECH-2-B2-BRK-G0</x:v>
      </x:c>
      <x:c r="C551" s="9" t="str">
        <x:v>EV-AR-LF-B-A-TECH-2-B2-BRK-G0</x:v>
      </x:c>
      <x:c r="D551" s="9" t="str">
        <x:v>AR-LF-B-A-TECH-2-B2-BRK-G0</x:v>
      </x:c>
      <x:c r="E551" s="9" t="str">
        <x:v>LF-B-A-TECH-2</x:v>
      </x:c>
      <x:c r="F551" s="9" t="str">
        <x:v>LF-B-A</x:v>
      </x:c>
      <x:c r="G551" s="9" t="str">
        <x:v>B2</x:v>
      </x:c>
      <x:c r="H551" s="9" t="str">
        <x:v>BRK</x:v>
      </x:c>
      <x:c r="I551" s="9" t="str">
        <x:v>PD01</x:v>
      </x:c>
      <x:c r="J551" s="17" t="str">
        <x:v>Experiment kernel</x:v>
      </x:c>
      <x:c r="K551" s="17" t="str">
        <x:v>Public archive</x:v>
      </x:c>
      <x:c r="L551" s="17" t="str">
        <x:v>COURT-SEALED UNTIL COHORT RELEASE</x:v>
      </x:c>
      <x:c r="M551" s="9" t="n">
        <x:v>0</x:v>
      </x:c>
      <x:c r="N551" s="9" t="n">
        <x:v>0</x:v>
      </x:c>
      <x:c r="O551" s="9" t="n">
        <x:v>0</x:v>
      </x:c>
      <x:c r="P551" s="9" t="str">
        <x:v>HELD / UNRELEASED</x:v>
      </x:c>
      <x:c r="Q551" s="9" t="n">
        <x:f>COUNTIFS($A$7:$A$2310,A551)</x:f>
        <x:v>1</x:v>
      </x:c>
    </x:row>
    <x:row r="552">
      <x:c r="A552" s="9" t="str">
        <x:v>PD-AR-LF-B-A-TECH-2-B2-BRK-G0-PD02</x:v>
      </x:c>
      <x:c r="B552" s="9" t="str">
        <x:v>PD-AR-LF-B-A-TECH-2-B2-BRK-G0</x:v>
      </x:c>
      <x:c r="C552" s="9" t="str">
        <x:v>EV-AR-LF-B-A-TECH-2-B2-BRK-G0</x:v>
      </x:c>
      <x:c r="D552" s="9" t="str">
        <x:v>AR-LF-B-A-TECH-2-B2-BRK-G0</x:v>
      </x:c>
      <x:c r="E552" s="9" t="str">
        <x:v>LF-B-A-TECH-2</x:v>
      </x:c>
      <x:c r="F552" s="9" t="str">
        <x:v>LF-B-A</x:v>
      </x:c>
      <x:c r="G552" s="9" t="str">
        <x:v>B2</x:v>
      </x:c>
      <x:c r="H552" s="9" t="str">
        <x:v>BRK</x:v>
      </x:c>
      <x:c r="I552" s="9" t="str">
        <x:v>PD02</x:v>
      </x:c>
      <x:c r="J552" s="17" t="str">
        <x:v>Serial annex and title chain</x:v>
      </x:c>
      <x:c r="K552" s="17" t="str">
        <x:v>Public archive</x:v>
      </x:c>
      <x:c r="L552" s="17" t="str">
        <x:v>COURT-SEALED UNTIL COHORT RELEASE</x:v>
      </x:c>
      <x:c r="M552" s="9" t="n">
        <x:v>0</x:v>
      </x:c>
      <x:c r="N552" s="9" t="n">
        <x:v>0</x:v>
      </x:c>
      <x:c r="O552" s="9" t="n">
        <x:v>0</x:v>
      </x:c>
      <x:c r="P552" s="9" t="str">
        <x:v>HELD / UNRELEASED</x:v>
      </x:c>
      <x:c r="Q552" s="9" t="n">
        <x:f>COUNTIFS($A$7:$A$2310,A552)</x:f>
        <x:v>1</x:v>
      </x:c>
    </x:row>
    <x:row r="553">
      <x:c r="A553" s="9" t="str">
        <x:v>PD-AR-LF-B-A-TECH-2-B2-BRK-G0-PD03</x:v>
      </x:c>
      <x:c r="B553" s="9" t="str">
        <x:v>PD-AR-LF-B-A-TECH-2-B2-BRK-G0</x:v>
      </x:c>
      <x:c r="C553" s="9" t="str">
        <x:v>EV-AR-LF-B-A-TECH-2-B2-BRK-G0</x:v>
      </x:c>
      <x:c r="D553" s="9" t="str">
        <x:v>AR-LF-B-A-TECH-2-B2-BRK-G0</x:v>
      </x:c>
      <x:c r="E553" s="9" t="str">
        <x:v>LF-B-A-TECH-2</x:v>
      </x:c>
      <x:c r="F553" s="9" t="str">
        <x:v>LF-B-A</x:v>
      </x:c>
      <x:c r="G553" s="9" t="str">
        <x:v>B2</x:v>
      </x:c>
      <x:c r="H553" s="9" t="str">
        <x:v>BRK</x:v>
      </x:c>
      <x:c r="I553" s="9" t="str">
        <x:v>PD03</x:v>
      </x:c>
      <x:c r="J553" s="17" t="str">
        <x:v>Configuration and as-built manifest</x:v>
      </x:c>
      <x:c r="K553" s="17" t="str">
        <x:v>Artifact exchange</x:v>
      </x:c>
      <x:c r="L553" s="17" t="str">
        <x:v>COURT-SEALED UNTIL COHORT RELEASE</x:v>
      </x:c>
      <x:c r="M553" s="9" t="n">
        <x:v>0</x:v>
      </x:c>
      <x:c r="N553" s="9" t="n">
        <x:v>0</x:v>
      </x:c>
      <x:c r="O553" s="9" t="n">
        <x:v>0</x:v>
      </x:c>
      <x:c r="P553" s="9" t="str">
        <x:v>HELD / UNRELEASED</x:v>
      </x:c>
      <x:c r="Q553" s="9" t="n">
        <x:f>COUNTIFS($A$7:$A$2310,A553)</x:f>
        <x:v>1</x:v>
      </x:c>
    </x:row>
    <x:row r="554">
      <x:c r="A554" s="9" t="str">
        <x:v>PD-AR-LF-B-A-TECH-2-B2-BRK-G0-PD04</x:v>
      </x:c>
      <x:c r="B554" s="9" t="str">
        <x:v>PD-AR-LF-B-A-TECH-2-B2-BRK-G0</x:v>
      </x:c>
      <x:c r="C554" s="9" t="str">
        <x:v>EV-AR-LF-B-A-TECH-2-B2-BRK-G0</x:v>
      </x:c>
      <x:c r="D554" s="9" t="str">
        <x:v>AR-LF-B-A-TECH-2-B2-BRK-G0</x:v>
      </x:c>
      <x:c r="E554" s="9" t="str">
        <x:v>LF-B-A-TECH-2</x:v>
      </x:c>
      <x:c r="F554" s="9" t="str">
        <x:v>LF-B-A</x:v>
      </x:c>
      <x:c r="G554" s="9" t="str">
        <x:v>B2</x:v>
      </x:c>
      <x:c r="H554" s="9" t="str">
        <x:v>BRK</x:v>
      </x:c>
      <x:c r="I554" s="9" t="str">
        <x:v>PD04</x:v>
      </x:c>
      <x:c r="J554" s="17" t="str">
        <x:v>EOW and start certificate</x:v>
      </x:c>
      <x:c r="K554" s="17" t="str">
        <x:v>Start registrar</x:v>
      </x:c>
      <x:c r="L554" s="17" t="str">
        <x:v>COURT-SEALED UNTIL COHORT RELEASE</x:v>
      </x:c>
      <x:c r="M554" s="9" t="n">
        <x:v>0</x:v>
      </x:c>
      <x:c r="N554" s="9" t="n">
        <x:v>0</x:v>
      </x:c>
      <x:c r="O554" s="9" t="n">
        <x:v>0</x:v>
      </x:c>
      <x:c r="P554" s="9" t="str">
        <x:v>HELD / UNRELEASED</x:v>
      </x:c>
      <x:c r="Q554" s="9" t="n">
        <x:f>COUNTIFS($A$7:$A$2310,A554)</x:f>
        <x:v>1</x:v>
      </x:c>
    </x:row>
    <x:row r="555">
      <x:c r="A555" s="9" t="str">
        <x:v>PD-AR-LF-B-A-TECH-2-B2-BRK-G0-PD05</x:v>
      </x:c>
      <x:c r="B555" s="9" t="str">
        <x:v>PD-AR-LF-B-A-TECH-2-B2-BRK-G0</x:v>
      </x:c>
      <x:c r="C555" s="9" t="str">
        <x:v>EV-AR-LF-B-A-TECH-2-B2-BRK-G0</x:v>
      </x:c>
      <x:c r="D555" s="9" t="str">
        <x:v>AR-LF-B-A-TECH-2-B2-BRK-G0</x:v>
      </x:c>
      <x:c r="E555" s="9" t="str">
        <x:v>LF-B-A-TECH-2</x:v>
      </x:c>
      <x:c r="F555" s="9" t="str">
        <x:v>LF-B-A</x:v>
      </x:c>
      <x:c r="G555" s="9" t="str">
        <x:v>B2</x:v>
      </x:c>
      <x:c r="H555" s="9" t="str">
        <x:v>BRK</x:v>
      </x:c>
      <x:c r="I555" s="9" t="str">
        <x:v>PD05</x:v>
      </x:c>
      <x:c r="J555" s="17" t="str">
        <x:v>Primary raw originals</x:v>
      </x:c>
      <x:c r="K555" s="17" t="str">
        <x:v>Primary custody</x:v>
      </x:c>
      <x:c r="L555" s="17" t="str">
        <x:v>COURT-SEALED UNTIL COHORT RELEASE</x:v>
      </x:c>
      <x:c r="M555" s="9" t="n">
        <x:v>0</x:v>
      </x:c>
      <x:c r="N555" s="9" t="n">
        <x:v>0</x:v>
      </x:c>
      <x:c r="O555" s="9" t="n">
        <x:v>0</x:v>
      </x:c>
      <x:c r="P555" s="9" t="str">
        <x:v>HELD / UNRELEASED</x:v>
      </x:c>
      <x:c r="Q555" s="9" t="n">
        <x:f>COUNTIFS($A$7:$A$2310,A555)</x:f>
        <x:v>1</x:v>
      </x:c>
    </x:row>
    <x:row r="556">
      <x:c r="A556" s="9" t="str">
        <x:v>PD-AR-LF-B-A-TECH-2-B2-BRK-G0-PD06</x:v>
      </x:c>
      <x:c r="B556" s="9" t="str">
        <x:v>PD-AR-LF-B-A-TECH-2-B2-BRK-G0</x:v>
      </x:c>
      <x:c r="C556" s="9" t="str">
        <x:v>EV-AR-LF-B-A-TECH-2-B2-BRK-G0</x:v>
      </x:c>
      <x:c r="D556" s="9" t="str">
        <x:v>AR-LF-B-A-TECH-2-B2-BRK-G0</x:v>
      </x:c>
      <x:c r="E556" s="9" t="str">
        <x:v>LF-B-A-TECH-2</x:v>
      </x:c>
      <x:c r="F556" s="9" t="str">
        <x:v>LF-B-A</x:v>
      </x:c>
      <x:c r="G556" s="9" t="str">
        <x:v>B2</x:v>
      </x:c>
      <x:c r="H556" s="9" t="str">
        <x:v>BRK</x:v>
      </x:c>
      <x:c r="I556" s="9" t="str">
        <x:v>PD06</x:v>
      </x:c>
      <x:c r="J556" s="17" t="str">
        <x:v>Witness raw originals</x:v>
      </x:c>
      <x:c r="K556" s="17" t="str">
        <x:v>Witness custody</x:v>
      </x:c>
      <x:c r="L556" s="17" t="str">
        <x:v>COURT-SEALED UNTIL COHORT RELEASE</x:v>
      </x:c>
      <x:c r="M556" s="9" t="n">
        <x:v>0</x:v>
      </x:c>
      <x:c r="N556" s="9" t="n">
        <x:v>0</x:v>
      </x:c>
      <x:c r="O556" s="9" t="n">
        <x:v>0</x:v>
      </x:c>
      <x:c r="P556" s="9" t="str">
        <x:v>HELD / UNRELEASED</x:v>
      </x:c>
      <x:c r="Q556" s="9" t="n">
        <x:f>COUNTIFS($A$7:$A$2310,A556)</x:f>
        <x:v>1</x:v>
      </x:c>
    </x:row>
    <x:row r="557">
      <x:c r="A557" s="9" t="str">
        <x:v>PD-AR-LF-B-A-TECH-2-B2-BRK-G0-PD07</x:v>
      </x:c>
      <x:c r="B557" s="9" t="str">
        <x:v>PD-AR-LF-B-A-TECH-2-B2-BRK-G0</x:v>
      </x:c>
      <x:c r="C557" s="9" t="str">
        <x:v>EV-AR-LF-B-A-TECH-2-B2-BRK-G0</x:v>
      </x:c>
      <x:c r="D557" s="9" t="str">
        <x:v>AR-LF-B-A-TECH-2-B2-BRK-G0</x:v>
      </x:c>
      <x:c r="E557" s="9" t="str">
        <x:v>LF-B-A-TECH-2</x:v>
      </x:c>
      <x:c r="F557" s="9" t="str">
        <x:v>LF-B-A</x:v>
      </x:c>
      <x:c r="G557" s="9" t="str">
        <x:v>B2</x:v>
      </x:c>
      <x:c r="H557" s="9" t="str">
        <x:v>BRK</x:v>
      </x:c>
      <x:c r="I557" s="9" t="str">
        <x:v>PD07</x:v>
      </x:c>
      <x:c r="J557" s="17" t="str">
        <x:v>Clock and environmental records</x:v>
      </x:c>
      <x:c r="K557" s="17" t="str">
        <x:v>Boundary archive</x:v>
      </x:c>
      <x:c r="L557" s="17" t="str">
        <x:v>COURT-SEALED UNTIL COHORT RELEASE</x:v>
      </x:c>
      <x:c r="M557" s="9" t="n">
        <x:v>0</x:v>
      </x:c>
      <x:c r="N557" s="9" t="n">
        <x:v>0</x:v>
      </x:c>
      <x:c r="O557" s="9" t="n">
        <x:v>0</x:v>
      </x:c>
      <x:c r="P557" s="9" t="str">
        <x:v>HELD / UNRELEASED</x:v>
      </x:c>
      <x:c r="Q557" s="9" t="n">
        <x:f>COUNTIFS($A$7:$A$2310,A557)</x:f>
        <x:v>1</x:v>
      </x:c>
    </x:row>
    <x:row r="558">
      <x:c r="A558" s="9" t="str">
        <x:v>PD-AR-LF-B-A-TECH-2-B2-BRK-G0-PD08</x:v>
      </x:c>
      <x:c r="B558" s="9" t="str">
        <x:v>PD-AR-LF-B-A-TECH-2-B2-BRK-G0</x:v>
      </x:c>
      <x:c r="C558" s="9" t="str">
        <x:v>EV-AR-LF-B-A-TECH-2-B2-BRK-G0</x:v>
      </x:c>
      <x:c r="D558" s="9" t="str">
        <x:v>AR-LF-B-A-TECH-2-B2-BRK-G0</x:v>
      </x:c>
      <x:c r="E558" s="9" t="str">
        <x:v>LF-B-A-TECH-2</x:v>
      </x:c>
      <x:c r="F558" s="9" t="str">
        <x:v>LF-B-A</x:v>
      </x:c>
      <x:c r="G558" s="9" t="str">
        <x:v>B2</x:v>
      </x:c>
      <x:c r="H558" s="9" t="str">
        <x:v>BRK</x:v>
      </x:c>
      <x:c r="I558" s="9" t="str">
        <x:v>PD08</x:v>
      </x:c>
      <x:c r="J558" s="17" t="str">
        <x:v>Command and intervention log</x:v>
      </x:c>
      <x:c r="K558" s="17" t="str">
        <x:v>Safety archive</x:v>
      </x:c>
      <x:c r="L558" s="17" t="str">
        <x:v>COURT-SEALED UNTIL COHORT RELEASE</x:v>
      </x:c>
      <x:c r="M558" s="9" t="n">
        <x:v>0</x:v>
      </x:c>
      <x:c r="N558" s="9" t="n">
        <x:v>0</x:v>
      </x:c>
      <x:c r="O558" s="9" t="n">
        <x:v>0</x:v>
      </x:c>
      <x:c r="P558" s="9" t="str">
        <x:v>HELD / UNRELEASED</x:v>
      </x:c>
      <x:c r="Q558" s="9" t="n">
        <x:f>COUNTIFS($A$7:$A$2310,A558)</x:f>
        <x:v>1</x:v>
      </x:c>
    </x:row>
    <x:row r="559">
      <x:c r="A559" s="9" t="str">
        <x:v>PD-AR-LF-B-A-TECH-2-B2-BRK-G0-PD09</x:v>
      </x:c>
      <x:c r="B559" s="9" t="str">
        <x:v>PD-AR-LF-B-A-TECH-2-B2-BRK-G0</x:v>
      </x:c>
      <x:c r="C559" s="9" t="str">
        <x:v>EV-AR-LF-B-A-TECH-2-B2-BRK-G0</x:v>
      </x:c>
      <x:c r="D559" s="9" t="str">
        <x:v>AR-LF-B-A-TECH-2-B2-BRK-G0</x:v>
      </x:c>
      <x:c r="E559" s="9" t="str">
        <x:v>LF-B-A-TECH-2</x:v>
      </x:c>
      <x:c r="F559" s="9" t="str">
        <x:v>LF-B-A</x:v>
      </x:c>
      <x:c r="G559" s="9" t="str">
        <x:v>B2</x:v>
      </x:c>
      <x:c r="H559" s="9" t="str">
        <x:v>BRK</x:v>
      </x:c>
      <x:c r="I559" s="9" t="str">
        <x:v>PD09</x:v>
      </x:c>
      <x:c r="J559" s="17" t="str">
        <x:v>Receiver denominator and service ledger</x:v>
      </x:c>
      <x:c r="K559" s="17" t="str">
        <x:v>Receiver archive</x:v>
      </x:c>
      <x:c r="L559" s="17" t="str">
        <x:v>COURT-SEALED UNTIL COHORT RELEASE</x:v>
      </x:c>
      <x:c r="M559" s="9" t="n">
        <x:v>0</x:v>
      </x:c>
      <x:c r="N559" s="9" t="n">
        <x:v>0</x:v>
      </x:c>
      <x:c r="O559" s="9" t="n">
        <x:v>0</x:v>
      </x:c>
      <x:c r="P559" s="9" t="str">
        <x:v>HELD / UNRELEASED</x:v>
      </x:c>
      <x:c r="Q559" s="9" t="n">
        <x:f>COUNTIFS($A$7:$A$2310,A559)</x:f>
        <x:v>1</x:v>
      </x:c>
    </x:row>
    <x:row r="560">
      <x:c r="A560" s="9" t="str">
        <x:v>PD-AR-LF-B-A-TECH-2-B2-BRK-G0-PD10</x:v>
      </x:c>
      <x:c r="B560" s="9" t="str">
        <x:v>PD-AR-LF-B-A-TECH-2-B2-BRK-G0</x:v>
      </x:c>
      <x:c r="C560" s="9" t="str">
        <x:v>EV-AR-LF-B-A-TECH-2-B2-BRK-G0</x:v>
      </x:c>
      <x:c r="D560" s="9" t="str">
        <x:v>AR-LF-B-A-TECH-2-B2-BRK-G0</x:v>
      </x:c>
      <x:c r="E560" s="9" t="str">
        <x:v>LF-B-A-TECH-2</x:v>
      </x:c>
      <x:c r="F560" s="9" t="str">
        <x:v>LF-B-A</x:v>
      </x:c>
      <x:c r="G560" s="9" t="str">
        <x:v>B2</x:v>
      </x:c>
      <x:c r="H560" s="9" t="str">
        <x:v>BRK</x:v>
      </x:c>
      <x:c r="I560" s="9" t="str">
        <x:v>PD10</x:v>
      </x:c>
      <x:c r="J560" s="17" t="str">
        <x:v>Calibration and uncertainty record</x:v>
      </x:c>
      <x:c r="K560" s="17" t="str">
        <x:v>Metrology archive</x:v>
      </x:c>
      <x:c r="L560" s="17" t="str">
        <x:v>COURT-SEALED UNTIL COHORT RELEASE</x:v>
      </x:c>
      <x:c r="M560" s="9" t="n">
        <x:v>0</x:v>
      </x:c>
      <x:c r="N560" s="9" t="n">
        <x:v>0</x:v>
      </x:c>
      <x:c r="O560" s="9" t="n">
        <x:v>0</x:v>
      </x:c>
      <x:c r="P560" s="9" t="str">
        <x:v>HELD / UNRELEASED</x:v>
      </x:c>
      <x:c r="Q560" s="9" t="n">
        <x:f>COUNTIFS($A$7:$A$2310,A560)</x:f>
        <x:v>1</x:v>
      </x:c>
    </x:row>
    <x:row r="561">
      <x:c r="A561" s="9" t="str">
        <x:v>PD-AR-LF-B-A-TECH-2-B2-BRK-G0-PD11</x:v>
      </x:c>
      <x:c r="B561" s="9" t="str">
        <x:v>PD-AR-LF-B-A-TECH-2-B2-BRK-G0</x:v>
      </x:c>
      <x:c r="C561" s="9" t="str">
        <x:v>EV-AR-LF-B-A-TECH-2-B2-BRK-G0</x:v>
      </x:c>
      <x:c r="D561" s="9" t="str">
        <x:v>AR-LF-B-A-TECH-2-B2-BRK-G0</x:v>
      </x:c>
      <x:c r="E561" s="9" t="str">
        <x:v>LF-B-A-TECH-2</x:v>
      </x:c>
      <x:c r="F561" s="9" t="str">
        <x:v>LF-B-A</x:v>
      </x:c>
      <x:c r="G561" s="9" t="str">
        <x:v>B2</x:v>
      </x:c>
      <x:c r="H561" s="9" t="str">
        <x:v>BRK</x:v>
      </x:c>
      <x:c r="I561" s="9" t="str">
        <x:v>PD11</x:v>
      </x:c>
      <x:c r="J561" s="17" t="str">
        <x:v>Invalidity petition and opinion</x:v>
      </x:c>
      <x:c r="K561" s="17" t="str">
        <x:v>Invalidity court</x:v>
      </x:c>
      <x:c r="L561" s="17" t="str">
        <x:v>COURT-SEALED UNTIL COHORT RELEASE</x:v>
      </x:c>
      <x:c r="M561" s="9" t="n">
        <x:v>0</x:v>
      </x:c>
      <x:c r="N561" s="9" t="n">
        <x:v>0</x:v>
      </x:c>
      <x:c r="O561" s="9" t="n">
        <x:v>0</x:v>
      </x:c>
      <x:c r="P561" s="9" t="str">
        <x:v>HELD / UNRELEASED</x:v>
      </x:c>
      <x:c r="Q561" s="9" t="n">
        <x:f>COUNTIFS($A$7:$A$2310,A561)</x:f>
        <x:v>1</x:v>
      </x:c>
    </x:row>
    <x:row r="562">
      <x:c r="A562" s="9" t="str">
        <x:v>PD-AR-LF-B-A-TECH-2-B2-BRK-G0-PD12</x:v>
      </x:c>
      <x:c r="B562" s="9" t="str">
        <x:v>PD-AR-LF-B-A-TECH-2-B2-BRK-G0</x:v>
      </x:c>
      <x:c r="C562" s="9" t="str">
        <x:v>EV-AR-LF-B-A-TECH-2-B2-BRK-G0</x:v>
      </x:c>
      <x:c r="D562" s="9" t="str">
        <x:v>AR-LF-B-A-TECH-2-B2-BRK-G0</x:v>
      </x:c>
      <x:c r="E562" s="9" t="str">
        <x:v>LF-B-A-TECH-2</x:v>
      </x:c>
      <x:c r="F562" s="9" t="str">
        <x:v>LF-B-A</x:v>
      </x:c>
      <x:c r="G562" s="9" t="str">
        <x:v>B2</x:v>
      </x:c>
      <x:c r="H562" s="9" t="str">
        <x:v>BRK</x:v>
      </x:c>
      <x:c r="I562" s="9" t="str">
        <x:v>PD12</x:v>
      </x:c>
      <x:c r="J562" s="17" t="str">
        <x:v>Observation acceptance and replay</x:v>
      </x:c>
      <x:c r="K562" s="17" t="str">
        <x:v>Observation court</x:v>
      </x:c>
      <x:c r="L562" s="17" t="str">
        <x:v>COURT-SEALED UNTIL COHORT RELEASE</x:v>
      </x:c>
      <x:c r="M562" s="9" t="n">
        <x:v>0</x:v>
      </x:c>
      <x:c r="N562" s="9" t="n">
        <x:v>0</x:v>
      </x:c>
      <x:c r="O562" s="9" t="n">
        <x:v>0</x:v>
      </x:c>
      <x:c r="P562" s="9" t="str">
        <x:v>HELD / UNRELEASED</x:v>
      </x:c>
      <x:c r="Q562" s="9" t="n">
        <x:f>COUNTIFS($A$7:$A$2310,A562)</x:f>
        <x:v>1</x:v>
      </x:c>
    </x:row>
    <x:row r="563">
      <x:c r="A563" s="9" t="str">
        <x:v>PD-AR-LF-B-A-TECH-2-B2-BRK-G0-PD13</x:v>
      </x:c>
      <x:c r="B563" s="9" t="str">
        <x:v>PD-AR-LF-B-A-TECH-2-B2-BRK-G0</x:v>
      </x:c>
      <x:c r="C563" s="9" t="str">
        <x:v>EV-AR-LF-B-A-TECH-2-B2-BRK-G0</x:v>
      </x:c>
      <x:c r="D563" s="9" t="str">
        <x:v>AR-LF-B-A-TECH-2-B2-BRK-G0</x:v>
      </x:c>
      <x:c r="E563" s="9" t="str">
        <x:v>LF-B-A-TECH-2</x:v>
      </x:c>
      <x:c r="F563" s="9" t="str">
        <x:v>LF-B-A</x:v>
      </x:c>
      <x:c r="G563" s="9" t="str">
        <x:v>B2</x:v>
      </x:c>
      <x:c r="H563" s="9" t="str">
        <x:v>BRK</x:v>
      </x:c>
      <x:c r="I563" s="9" t="str">
        <x:v>PD13</x:v>
      </x:c>
      <x:c r="J563" s="17" t="str">
        <x:v>Role judgment</x:v>
      </x:c>
      <x:c r="K563" s="17" t="str">
        <x:v>Role court</x:v>
      </x:c>
      <x:c r="L563" s="17" t="str">
        <x:v>COURT-SEALED UNTIL COHORT RELEASE</x:v>
      </x:c>
      <x:c r="M563" s="9" t="n">
        <x:v>0</x:v>
      </x:c>
      <x:c r="N563" s="9" t="n">
        <x:v>0</x:v>
      </x:c>
      <x:c r="O563" s="9" t="n">
        <x:v>0</x:v>
      </x:c>
      <x:c r="P563" s="9" t="str">
        <x:v>HELD / UNRELEASED</x:v>
      </x:c>
      <x:c r="Q563" s="9" t="n">
        <x:f>COUNTIFS($A$7:$A$2310,A563)</x:f>
        <x:v>1</x:v>
      </x:c>
    </x:row>
    <x:row r="564">
      <x:c r="A564" s="9" t="str">
        <x:v>PD-AR-LF-B-A-TECH-2-B2-BRK-G0-PD14</x:v>
      </x:c>
      <x:c r="B564" s="9" t="str">
        <x:v>PD-AR-LF-B-A-TECH-2-B2-BRK-G0</x:v>
      </x:c>
      <x:c r="C564" s="9" t="str">
        <x:v>EV-AR-LF-B-A-TECH-2-B2-BRK-G0</x:v>
      </x:c>
      <x:c r="D564" s="9" t="str">
        <x:v>AR-LF-B-A-TECH-2-B2-BRK-G0</x:v>
      </x:c>
      <x:c r="E564" s="9" t="str">
        <x:v>LF-B-A-TECH-2</x:v>
      </x:c>
      <x:c r="F564" s="9" t="str">
        <x:v>LF-B-A</x:v>
      </x:c>
      <x:c r="G564" s="9" t="str">
        <x:v>B2</x:v>
      </x:c>
      <x:c r="H564" s="9" t="str">
        <x:v>BRK</x:v>
      </x:c>
      <x:c r="I564" s="9" t="str">
        <x:v>PD14</x:v>
      </x:c>
      <x:c r="J564" s="17" t="str">
        <x:v>Break and residual account</x:v>
      </x:c>
      <x:c r="K564" s="17" t="str">
        <x:v>Residual authority</x:v>
      </x:c>
      <x:c r="L564" s="17" t="str">
        <x:v>COURT-SEALED UNTIL COHORT RELEASE</x:v>
      </x:c>
      <x:c r="M564" s="9" t="n">
        <x:v>0</x:v>
      </x:c>
      <x:c r="N564" s="9" t="n">
        <x:v>0</x:v>
      </x:c>
      <x:c r="O564" s="9" t="n">
        <x:v>0</x:v>
      </x:c>
      <x:c r="P564" s="9" t="str">
        <x:v>HELD / UNRELEASED</x:v>
      </x:c>
      <x:c r="Q564" s="9" t="n">
        <x:f>COUNTIFS($A$7:$A$2310,A564)</x:f>
        <x:v>1</x:v>
      </x:c>
    </x:row>
    <x:row r="565">
      <x:c r="A565" s="9" t="str">
        <x:v>PD-AR-LF-B-A-TECH-2-B2-BRK-G0-PD15</x:v>
      </x:c>
      <x:c r="B565" s="9" t="str">
        <x:v>PD-AR-LF-B-A-TECH-2-B2-BRK-G0</x:v>
      </x:c>
      <x:c r="C565" s="9" t="str">
        <x:v>EV-AR-LF-B-A-TECH-2-B2-BRK-G0</x:v>
      </x:c>
      <x:c r="D565" s="9" t="str">
        <x:v>AR-LF-B-A-TECH-2-B2-BRK-G0</x:v>
      </x:c>
      <x:c r="E565" s="9" t="str">
        <x:v>LF-B-A-TECH-2</x:v>
      </x:c>
      <x:c r="F565" s="9" t="str">
        <x:v>LF-B-A</x:v>
      </x:c>
      <x:c r="G565" s="9" t="str">
        <x:v>B2</x:v>
      </x:c>
      <x:c r="H565" s="9" t="str">
        <x:v>BRK</x:v>
      </x:c>
      <x:c r="I565" s="9" t="str">
        <x:v>PD15</x:v>
      </x:c>
      <x:c r="J565" s="17" t="str">
        <x:v>Reconstruction ancestry and replay</x:v>
      </x:c>
      <x:c r="K565" s="17" t="str">
        <x:v>Reconstruction court</x:v>
      </x:c>
      <x:c r="L565" s="17" t="str">
        <x:v>COURT-SEALED UNTIL COHORT RELEASE</x:v>
      </x:c>
      <x:c r="M565" s="9" t="n">
        <x:v>0</x:v>
      </x:c>
      <x:c r="N565" s="9" t="n">
        <x:v>0</x:v>
      </x:c>
      <x:c r="O565" s="9" t="n">
        <x:v>0</x:v>
      </x:c>
      <x:c r="P565" s="9" t="str">
        <x:v>HELD / UNRELEASED</x:v>
      </x:c>
      <x:c r="Q565" s="9" t="n">
        <x:f>COUNTIFS($A$7:$A$2310,A565)</x:f>
        <x:v>1</x:v>
      </x:c>
    </x:row>
    <x:row r="566">
      <x:c r="A566" s="9" t="str">
        <x:v>PD-AR-LF-B-A-TECH-2-B2-BRK-G0-PD16</x:v>
      </x:c>
      <x:c r="B566" s="9" t="str">
        <x:v>PD-AR-LF-B-A-TECH-2-B2-BRK-G0</x:v>
      </x:c>
      <x:c r="C566" s="9" t="str">
        <x:v>EV-AR-LF-B-A-TECH-2-B2-BRK-G0</x:v>
      </x:c>
      <x:c r="D566" s="9" t="str">
        <x:v>AR-LF-B-A-TECH-2-B2-BRK-G0</x:v>
      </x:c>
      <x:c r="E566" s="9" t="str">
        <x:v>LF-B-A-TECH-2</x:v>
      </x:c>
      <x:c r="F566" s="9" t="str">
        <x:v>LF-B-A</x:v>
      </x:c>
      <x:c r="G566" s="9" t="str">
        <x:v>B2</x:v>
      </x:c>
      <x:c r="H566" s="9" t="str">
        <x:v>BRK</x:v>
      </x:c>
      <x:c r="I566" s="9" t="str">
        <x:v>PD16</x:v>
      </x:c>
      <x:c r="J566" s="17" t="str">
        <x:v>Dissent, amendments and access log</x:v>
      </x:c>
      <x:c r="K566" s="17" t="str">
        <x:v>Public archive</x:v>
      </x:c>
      <x:c r="L566" s="17" t="str">
        <x:v>COURT-SEALED UNTIL COHORT RELEASE</x:v>
      </x:c>
      <x:c r="M566" s="9" t="n">
        <x:v>0</x:v>
      </x:c>
      <x:c r="N566" s="9" t="n">
        <x:v>0</x:v>
      </x:c>
      <x:c r="O566" s="9" t="n">
        <x:v>0</x:v>
      </x:c>
      <x:c r="P566" s="9" t="str">
        <x:v>HELD / UNRELEASED</x:v>
      </x:c>
      <x:c r="Q566" s="9" t="n">
        <x:f>COUNTIFS($A$7:$A$2310,A566)</x:f>
        <x:v>1</x:v>
      </x:c>
    </x:row>
    <x:row r="567">
      <x:c r="A567" s="9" t="str">
        <x:v>PD-AR-RT-B-C-TECH-1-B1-BRK-G0-PD01</x:v>
      </x:c>
      <x:c r="B567" s="9" t="str">
        <x:v>PD-AR-RT-B-C-TECH-1-B1-BRK-G0</x:v>
      </x:c>
      <x:c r="C567" s="9" t="str">
        <x:v>EV-AR-RT-B-C-TECH-1-B1-BRK-G0</x:v>
      </x:c>
      <x:c r="D567" s="9" t="str">
        <x:v>AR-RT-B-C-TECH-1-B1-BRK-G0</x:v>
      </x:c>
      <x:c r="E567" s="9" t="str">
        <x:v>RT-B-C-TECH-1</x:v>
      </x:c>
      <x:c r="F567" s="9" t="str">
        <x:v>RT-B-C</x:v>
      </x:c>
      <x:c r="G567" s="9" t="str">
        <x:v>B1</x:v>
      </x:c>
      <x:c r="H567" s="9" t="str">
        <x:v>BRK</x:v>
      </x:c>
      <x:c r="I567" s="9" t="str">
        <x:v>PD01</x:v>
      </x:c>
      <x:c r="J567" s="17" t="str">
        <x:v>Experiment kernel</x:v>
      </x:c>
      <x:c r="K567" s="17" t="str">
        <x:v>Public archive</x:v>
      </x:c>
      <x:c r="L567" s="17" t="str">
        <x:v>COURT-SEALED UNTIL COHORT RELEASE</x:v>
      </x:c>
      <x:c r="M567" s="9" t="n">
        <x:v>0</x:v>
      </x:c>
      <x:c r="N567" s="9" t="n">
        <x:v>0</x:v>
      </x:c>
      <x:c r="O567" s="9" t="n">
        <x:v>0</x:v>
      </x:c>
      <x:c r="P567" s="9" t="str">
        <x:v>HELD / UNRELEASED</x:v>
      </x:c>
      <x:c r="Q567" s="9" t="n">
        <x:f>COUNTIFS($A$7:$A$2310,A567)</x:f>
        <x:v>1</x:v>
      </x:c>
    </x:row>
    <x:row r="568">
      <x:c r="A568" s="9" t="str">
        <x:v>PD-AR-RT-B-C-TECH-1-B1-BRK-G0-PD02</x:v>
      </x:c>
      <x:c r="B568" s="9" t="str">
        <x:v>PD-AR-RT-B-C-TECH-1-B1-BRK-G0</x:v>
      </x:c>
      <x:c r="C568" s="9" t="str">
        <x:v>EV-AR-RT-B-C-TECH-1-B1-BRK-G0</x:v>
      </x:c>
      <x:c r="D568" s="9" t="str">
        <x:v>AR-RT-B-C-TECH-1-B1-BRK-G0</x:v>
      </x:c>
      <x:c r="E568" s="9" t="str">
        <x:v>RT-B-C-TECH-1</x:v>
      </x:c>
      <x:c r="F568" s="9" t="str">
        <x:v>RT-B-C</x:v>
      </x:c>
      <x:c r="G568" s="9" t="str">
        <x:v>B1</x:v>
      </x:c>
      <x:c r="H568" s="9" t="str">
        <x:v>BRK</x:v>
      </x:c>
      <x:c r="I568" s="9" t="str">
        <x:v>PD02</x:v>
      </x:c>
      <x:c r="J568" s="17" t="str">
        <x:v>Serial annex and title chain</x:v>
      </x:c>
      <x:c r="K568" s="17" t="str">
        <x:v>Public archive</x:v>
      </x:c>
      <x:c r="L568" s="17" t="str">
        <x:v>COURT-SEALED UNTIL COHORT RELEASE</x:v>
      </x:c>
      <x:c r="M568" s="9" t="n">
        <x:v>0</x:v>
      </x:c>
      <x:c r="N568" s="9" t="n">
        <x:v>0</x:v>
      </x:c>
      <x:c r="O568" s="9" t="n">
        <x:v>0</x:v>
      </x:c>
      <x:c r="P568" s="9" t="str">
        <x:v>HELD / UNRELEASED</x:v>
      </x:c>
      <x:c r="Q568" s="9" t="n">
        <x:f>COUNTIFS($A$7:$A$2310,A568)</x:f>
        <x:v>1</x:v>
      </x:c>
    </x:row>
    <x:row r="569">
      <x:c r="A569" s="9" t="str">
        <x:v>PD-AR-RT-B-C-TECH-1-B1-BRK-G0-PD03</x:v>
      </x:c>
      <x:c r="B569" s="9" t="str">
        <x:v>PD-AR-RT-B-C-TECH-1-B1-BRK-G0</x:v>
      </x:c>
      <x:c r="C569" s="9" t="str">
        <x:v>EV-AR-RT-B-C-TECH-1-B1-BRK-G0</x:v>
      </x:c>
      <x:c r="D569" s="9" t="str">
        <x:v>AR-RT-B-C-TECH-1-B1-BRK-G0</x:v>
      </x:c>
      <x:c r="E569" s="9" t="str">
        <x:v>RT-B-C-TECH-1</x:v>
      </x:c>
      <x:c r="F569" s="9" t="str">
        <x:v>RT-B-C</x:v>
      </x:c>
      <x:c r="G569" s="9" t="str">
        <x:v>B1</x:v>
      </x:c>
      <x:c r="H569" s="9" t="str">
        <x:v>BRK</x:v>
      </x:c>
      <x:c r="I569" s="9" t="str">
        <x:v>PD03</x:v>
      </x:c>
      <x:c r="J569" s="17" t="str">
        <x:v>Configuration and as-built manifest</x:v>
      </x:c>
      <x:c r="K569" s="17" t="str">
        <x:v>Artifact exchange</x:v>
      </x:c>
      <x:c r="L569" s="17" t="str">
        <x:v>COURT-SEALED UNTIL COHORT RELEASE</x:v>
      </x:c>
      <x:c r="M569" s="9" t="n">
        <x:v>0</x:v>
      </x:c>
      <x:c r="N569" s="9" t="n">
        <x:v>0</x:v>
      </x:c>
      <x:c r="O569" s="9" t="n">
        <x:v>0</x:v>
      </x:c>
      <x:c r="P569" s="9" t="str">
        <x:v>HELD / UNRELEASED</x:v>
      </x:c>
      <x:c r="Q569" s="9" t="n">
        <x:f>COUNTIFS($A$7:$A$2310,A569)</x:f>
        <x:v>1</x:v>
      </x:c>
    </x:row>
    <x:row r="570">
      <x:c r="A570" s="9" t="str">
        <x:v>PD-AR-RT-B-C-TECH-1-B1-BRK-G0-PD04</x:v>
      </x:c>
      <x:c r="B570" s="9" t="str">
        <x:v>PD-AR-RT-B-C-TECH-1-B1-BRK-G0</x:v>
      </x:c>
      <x:c r="C570" s="9" t="str">
        <x:v>EV-AR-RT-B-C-TECH-1-B1-BRK-G0</x:v>
      </x:c>
      <x:c r="D570" s="9" t="str">
        <x:v>AR-RT-B-C-TECH-1-B1-BRK-G0</x:v>
      </x:c>
      <x:c r="E570" s="9" t="str">
        <x:v>RT-B-C-TECH-1</x:v>
      </x:c>
      <x:c r="F570" s="9" t="str">
        <x:v>RT-B-C</x:v>
      </x:c>
      <x:c r="G570" s="9" t="str">
        <x:v>B1</x:v>
      </x:c>
      <x:c r="H570" s="9" t="str">
        <x:v>BRK</x:v>
      </x:c>
      <x:c r="I570" s="9" t="str">
        <x:v>PD04</x:v>
      </x:c>
      <x:c r="J570" s="17" t="str">
        <x:v>EOW and start certificate</x:v>
      </x:c>
      <x:c r="K570" s="17" t="str">
        <x:v>Start registrar</x:v>
      </x:c>
      <x:c r="L570" s="17" t="str">
        <x:v>COURT-SEALED UNTIL COHORT RELEASE</x:v>
      </x:c>
      <x:c r="M570" s="9" t="n">
        <x:v>0</x:v>
      </x:c>
      <x:c r="N570" s="9" t="n">
        <x:v>0</x:v>
      </x:c>
      <x:c r="O570" s="9" t="n">
        <x:v>0</x:v>
      </x:c>
      <x:c r="P570" s="9" t="str">
        <x:v>HELD / UNRELEASED</x:v>
      </x:c>
      <x:c r="Q570" s="9" t="n">
        <x:f>COUNTIFS($A$7:$A$2310,A570)</x:f>
        <x:v>1</x:v>
      </x:c>
    </x:row>
    <x:row r="571">
      <x:c r="A571" s="9" t="str">
        <x:v>PD-AR-RT-B-C-TECH-1-B1-BRK-G0-PD05</x:v>
      </x:c>
      <x:c r="B571" s="9" t="str">
        <x:v>PD-AR-RT-B-C-TECH-1-B1-BRK-G0</x:v>
      </x:c>
      <x:c r="C571" s="9" t="str">
        <x:v>EV-AR-RT-B-C-TECH-1-B1-BRK-G0</x:v>
      </x:c>
      <x:c r="D571" s="9" t="str">
        <x:v>AR-RT-B-C-TECH-1-B1-BRK-G0</x:v>
      </x:c>
      <x:c r="E571" s="9" t="str">
        <x:v>RT-B-C-TECH-1</x:v>
      </x:c>
      <x:c r="F571" s="9" t="str">
        <x:v>RT-B-C</x:v>
      </x:c>
      <x:c r="G571" s="9" t="str">
        <x:v>B1</x:v>
      </x:c>
      <x:c r="H571" s="9" t="str">
        <x:v>BRK</x:v>
      </x:c>
      <x:c r="I571" s="9" t="str">
        <x:v>PD05</x:v>
      </x:c>
      <x:c r="J571" s="17" t="str">
        <x:v>Primary raw originals</x:v>
      </x:c>
      <x:c r="K571" s="17" t="str">
        <x:v>Primary custody</x:v>
      </x:c>
      <x:c r="L571" s="17" t="str">
        <x:v>COURT-SEALED UNTIL COHORT RELEASE</x:v>
      </x:c>
      <x:c r="M571" s="9" t="n">
        <x:v>0</x:v>
      </x:c>
      <x:c r="N571" s="9" t="n">
        <x:v>0</x:v>
      </x:c>
      <x:c r="O571" s="9" t="n">
        <x:v>0</x:v>
      </x:c>
      <x:c r="P571" s="9" t="str">
        <x:v>HELD / UNRELEASED</x:v>
      </x:c>
      <x:c r="Q571" s="9" t="n">
        <x:f>COUNTIFS($A$7:$A$2310,A571)</x:f>
        <x:v>1</x:v>
      </x:c>
    </x:row>
    <x:row r="572">
      <x:c r="A572" s="9" t="str">
        <x:v>PD-AR-RT-B-C-TECH-1-B1-BRK-G0-PD06</x:v>
      </x:c>
      <x:c r="B572" s="9" t="str">
        <x:v>PD-AR-RT-B-C-TECH-1-B1-BRK-G0</x:v>
      </x:c>
      <x:c r="C572" s="9" t="str">
        <x:v>EV-AR-RT-B-C-TECH-1-B1-BRK-G0</x:v>
      </x:c>
      <x:c r="D572" s="9" t="str">
        <x:v>AR-RT-B-C-TECH-1-B1-BRK-G0</x:v>
      </x:c>
      <x:c r="E572" s="9" t="str">
        <x:v>RT-B-C-TECH-1</x:v>
      </x:c>
      <x:c r="F572" s="9" t="str">
        <x:v>RT-B-C</x:v>
      </x:c>
      <x:c r="G572" s="9" t="str">
        <x:v>B1</x:v>
      </x:c>
      <x:c r="H572" s="9" t="str">
        <x:v>BRK</x:v>
      </x:c>
      <x:c r="I572" s="9" t="str">
        <x:v>PD06</x:v>
      </x:c>
      <x:c r="J572" s="17" t="str">
        <x:v>Witness raw originals</x:v>
      </x:c>
      <x:c r="K572" s="17" t="str">
        <x:v>Witness custody</x:v>
      </x:c>
      <x:c r="L572" s="17" t="str">
        <x:v>COURT-SEALED UNTIL COHORT RELEASE</x:v>
      </x:c>
      <x:c r="M572" s="9" t="n">
        <x:v>0</x:v>
      </x:c>
      <x:c r="N572" s="9" t="n">
        <x:v>0</x:v>
      </x:c>
      <x:c r="O572" s="9" t="n">
        <x:v>0</x:v>
      </x:c>
      <x:c r="P572" s="9" t="str">
        <x:v>HELD / UNRELEASED</x:v>
      </x:c>
      <x:c r="Q572" s="9" t="n">
        <x:f>COUNTIFS($A$7:$A$2310,A572)</x:f>
        <x:v>1</x:v>
      </x:c>
    </x:row>
    <x:row r="573">
      <x:c r="A573" s="9" t="str">
        <x:v>PD-AR-RT-B-C-TECH-1-B1-BRK-G0-PD07</x:v>
      </x:c>
      <x:c r="B573" s="9" t="str">
        <x:v>PD-AR-RT-B-C-TECH-1-B1-BRK-G0</x:v>
      </x:c>
      <x:c r="C573" s="9" t="str">
        <x:v>EV-AR-RT-B-C-TECH-1-B1-BRK-G0</x:v>
      </x:c>
      <x:c r="D573" s="9" t="str">
        <x:v>AR-RT-B-C-TECH-1-B1-BRK-G0</x:v>
      </x:c>
      <x:c r="E573" s="9" t="str">
        <x:v>RT-B-C-TECH-1</x:v>
      </x:c>
      <x:c r="F573" s="9" t="str">
        <x:v>RT-B-C</x:v>
      </x:c>
      <x:c r="G573" s="9" t="str">
        <x:v>B1</x:v>
      </x:c>
      <x:c r="H573" s="9" t="str">
        <x:v>BRK</x:v>
      </x:c>
      <x:c r="I573" s="9" t="str">
        <x:v>PD07</x:v>
      </x:c>
      <x:c r="J573" s="17" t="str">
        <x:v>Clock and environmental records</x:v>
      </x:c>
      <x:c r="K573" s="17" t="str">
        <x:v>Boundary archive</x:v>
      </x:c>
      <x:c r="L573" s="17" t="str">
        <x:v>COURT-SEALED UNTIL COHORT RELEASE</x:v>
      </x:c>
      <x:c r="M573" s="9" t="n">
        <x:v>0</x:v>
      </x:c>
      <x:c r="N573" s="9" t="n">
        <x:v>0</x:v>
      </x:c>
      <x:c r="O573" s="9" t="n">
        <x:v>0</x:v>
      </x:c>
      <x:c r="P573" s="9" t="str">
        <x:v>HELD / UNRELEASED</x:v>
      </x:c>
      <x:c r="Q573" s="9" t="n">
        <x:f>COUNTIFS($A$7:$A$2310,A573)</x:f>
        <x:v>1</x:v>
      </x:c>
    </x:row>
    <x:row r="574">
      <x:c r="A574" s="9" t="str">
        <x:v>PD-AR-RT-B-C-TECH-1-B1-BRK-G0-PD08</x:v>
      </x:c>
      <x:c r="B574" s="9" t="str">
        <x:v>PD-AR-RT-B-C-TECH-1-B1-BRK-G0</x:v>
      </x:c>
      <x:c r="C574" s="9" t="str">
        <x:v>EV-AR-RT-B-C-TECH-1-B1-BRK-G0</x:v>
      </x:c>
      <x:c r="D574" s="9" t="str">
        <x:v>AR-RT-B-C-TECH-1-B1-BRK-G0</x:v>
      </x:c>
      <x:c r="E574" s="9" t="str">
        <x:v>RT-B-C-TECH-1</x:v>
      </x:c>
      <x:c r="F574" s="9" t="str">
        <x:v>RT-B-C</x:v>
      </x:c>
      <x:c r="G574" s="9" t="str">
        <x:v>B1</x:v>
      </x:c>
      <x:c r="H574" s="9" t="str">
        <x:v>BRK</x:v>
      </x:c>
      <x:c r="I574" s="9" t="str">
        <x:v>PD08</x:v>
      </x:c>
      <x:c r="J574" s="17" t="str">
        <x:v>Command and intervention log</x:v>
      </x:c>
      <x:c r="K574" s="17" t="str">
        <x:v>Safety archive</x:v>
      </x:c>
      <x:c r="L574" s="17" t="str">
        <x:v>COURT-SEALED UNTIL COHORT RELEASE</x:v>
      </x:c>
      <x:c r="M574" s="9" t="n">
        <x:v>0</x:v>
      </x:c>
      <x:c r="N574" s="9" t="n">
        <x:v>0</x:v>
      </x:c>
      <x:c r="O574" s="9" t="n">
        <x:v>0</x:v>
      </x:c>
      <x:c r="P574" s="9" t="str">
        <x:v>HELD / UNRELEASED</x:v>
      </x:c>
      <x:c r="Q574" s="9" t="n">
        <x:f>COUNTIFS($A$7:$A$2310,A574)</x:f>
        <x:v>1</x:v>
      </x:c>
    </x:row>
    <x:row r="575">
      <x:c r="A575" s="9" t="str">
        <x:v>PD-AR-RT-B-C-TECH-1-B1-BRK-G0-PD09</x:v>
      </x:c>
      <x:c r="B575" s="9" t="str">
        <x:v>PD-AR-RT-B-C-TECH-1-B1-BRK-G0</x:v>
      </x:c>
      <x:c r="C575" s="9" t="str">
        <x:v>EV-AR-RT-B-C-TECH-1-B1-BRK-G0</x:v>
      </x:c>
      <x:c r="D575" s="9" t="str">
        <x:v>AR-RT-B-C-TECH-1-B1-BRK-G0</x:v>
      </x:c>
      <x:c r="E575" s="9" t="str">
        <x:v>RT-B-C-TECH-1</x:v>
      </x:c>
      <x:c r="F575" s="9" t="str">
        <x:v>RT-B-C</x:v>
      </x:c>
      <x:c r="G575" s="9" t="str">
        <x:v>B1</x:v>
      </x:c>
      <x:c r="H575" s="9" t="str">
        <x:v>BRK</x:v>
      </x:c>
      <x:c r="I575" s="9" t="str">
        <x:v>PD09</x:v>
      </x:c>
      <x:c r="J575" s="17" t="str">
        <x:v>Receiver denominator and service ledger</x:v>
      </x:c>
      <x:c r="K575" s="17" t="str">
        <x:v>Receiver archive</x:v>
      </x:c>
      <x:c r="L575" s="17" t="str">
        <x:v>COURT-SEALED UNTIL COHORT RELEASE</x:v>
      </x:c>
      <x:c r="M575" s="9" t="n">
        <x:v>0</x:v>
      </x:c>
      <x:c r="N575" s="9" t="n">
        <x:v>0</x:v>
      </x:c>
      <x:c r="O575" s="9" t="n">
        <x:v>0</x:v>
      </x:c>
      <x:c r="P575" s="9" t="str">
        <x:v>HELD / UNRELEASED</x:v>
      </x:c>
      <x:c r="Q575" s="9" t="n">
        <x:f>COUNTIFS($A$7:$A$2310,A575)</x:f>
        <x:v>1</x:v>
      </x:c>
    </x:row>
    <x:row r="576">
      <x:c r="A576" s="9" t="str">
        <x:v>PD-AR-RT-B-C-TECH-1-B1-BRK-G0-PD10</x:v>
      </x:c>
      <x:c r="B576" s="9" t="str">
        <x:v>PD-AR-RT-B-C-TECH-1-B1-BRK-G0</x:v>
      </x:c>
      <x:c r="C576" s="9" t="str">
        <x:v>EV-AR-RT-B-C-TECH-1-B1-BRK-G0</x:v>
      </x:c>
      <x:c r="D576" s="9" t="str">
        <x:v>AR-RT-B-C-TECH-1-B1-BRK-G0</x:v>
      </x:c>
      <x:c r="E576" s="9" t="str">
        <x:v>RT-B-C-TECH-1</x:v>
      </x:c>
      <x:c r="F576" s="9" t="str">
        <x:v>RT-B-C</x:v>
      </x:c>
      <x:c r="G576" s="9" t="str">
        <x:v>B1</x:v>
      </x:c>
      <x:c r="H576" s="9" t="str">
        <x:v>BRK</x:v>
      </x:c>
      <x:c r="I576" s="9" t="str">
        <x:v>PD10</x:v>
      </x:c>
      <x:c r="J576" s="17" t="str">
        <x:v>Calibration and uncertainty record</x:v>
      </x:c>
      <x:c r="K576" s="17" t="str">
        <x:v>Metrology archive</x:v>
      </x:c>
      <x:c r="L576" s="17" t="str">
        <x:v>COURT-SEALED UNTIL COHORT RELEASE</x:v>
      </x:c>
      <x:c r="M576" s="9" t="n">
        <x:v>0</x:v>
      </x:c>
      <x:c r="N576" s="9" t="n">
        <x:v>0</x:v>
      </x:c>
      <x:c r="O576" s="9" t="n">
        <x:v>0</x:v>
      </x:c>
      <x:c r="P576" s="9" t="str">
        <x:v>HELD / UNRELEASED</x:v>
      </x:c>
      <x:c r="Q576" s="9" t="n">
        <x:f>COUNTIFS($A$7:$A$2310,A576)</x:f>
        <x:v>1</x:v>
      </x:c>
    </x:row>
    <x:row r="577">
      <x:c r="A577" s="9" t="str">
        <x:v>PD-AR-RT-B-C-TECH-1-B1-BRK-G0-PD11</x:v>
      </x:c>
      <x:c r="B577" s="9" t="str">
        <x:v>PD-AR-RT-B-C-TECH-1-B1-BRK-G0</x:v>
      </x:c>
      <x:c r="C577" s="9" t="str">
        <x:v>EV-AR-RT-B-C-TECH-1-B1-BRK-G0</x:v>
      </x:c>
      <x:c r="D577" s="9" t="str">
        <x:v>AR-RT-B-C-TECH-1-B1-BRK-G0</x:v>
      </x:c>
      <x:c r="E577" s="9" t="str">
        <x:v>RT-B-C-TECH-1</x:v>
      </x:c>
      <x:c r="F577" s="9" t="str">
        <x:v>RT-B-C</x:v>
      </x:c>
      <x:c r="G577" s="9" t="str">
        <x:v>B1</x:v>
      </x:c>
      <x:c r="H577" s="9" t="str">
        <x:v>BRK</x:v>
      </x:c>
      <x:c r="I577" s="9" t="str">
        <x:v>PD11</x:v>
      </x:c>
      <x:c r="J577" s="17" t="str">
        <x:v>Invalidity petition and opinion</x:v>
      </x:c>
      <x:c r="K577" s="17" t="str">
        <x:v>Invalidity court</x:v>
      </x:c>
      <x:c r="L577" s="17" t="str">
        <x:v>COURT-SEALED UNTIL COHORT RELEASE</x:v>
      </x:c>
      <x:c r="M577" s="9" t="n">
        <x:v>0</x:v>
      </x:c>
      <x:c r="N577" s="9" t="n">
        <x:v>0</x:v>
      </x:c>
      <x:c r="O577" s="9" t="n">
        <x:v>0</x:v>
      </x:c>
      <x:c r="P577" s="9" t="str">
        <x:v>HELD / UNRELEASED</x:v>
      </x:c>
      <x:c r="Q577" s="9" t="n">
        <x:f>COUNTIFS($A$7:$A$2310,A577)</x:f>
        <x:v>1</x:v>
      </x:c>
    </x:row>
    <x:row r="578">
      <x:c r="A578" s="9" t="str">
        <x:v>PD-AR-RT-B-C-TECH-1-B1-BRK-G0-PD12</x:v>
      </x:c>
      <x:c r="B578" s="9" t="str">
        <x:v>PD-AR-RT-B-C-TECH-1-B1-BRK-G0</x:v>
      </x:c>
      <x:c r="C578" s="9" t="str">
        <x:v>EV-AR-RT-B-C-TECH-1-B1-BRK-G0</x:v>
      </x:c>
      <x:c r="D578" s="9" t="str">
        <x:v>AR-RT-B-C-TECH-1-B1-BRK-G0</x:v>
      </x:c>
      <x:c r="E578" s="9" t="str">
        <x:v>RT-B-C-TECH-1</x:v>
      </x:c>
      <x:c r="F578" s="9" t="str">
        <x:v>RT-B-C</x:v>
      </x:c>
      <x:c r="G578" s="9" t="str">
        <x:v>B1</x:v>
      </x:c>
      <x:c r="H578" s="9" t="str">
        <x:v>BRK</x:v>
      </x:c>
      <x:c r="I578" s="9" t="str">
        <x:v>PD12</x:v>
      </x:c>
      <x:c r="J578" s="17" t="str">
        <x:v>Observation acceptance and replay</x:v>
      </x:c>
      <x:c r="K578" s="17" t="str">
        <x:v>Observation court</x:v>
      </x:c>
      <x:c r="L578" s="17" t="str">
        <x:v>COURT-SEALED UNTIL COHORT RELEASE</x:v>
      </x:c>
      <x:c r="M578" s="9" t="n">
        <x:v>0</x:v>
      </x:c>
      <x:c r="N578" s="9" t="n">
        <x:v>0</x:v>
      </x:c>
      <x:c r="O578" s="9" t="n">
        <x:v>0</x:v>
      </x:c>
      <x:c r="P578" s="9" t="str">
        <x:v>HELD / UNRELEASED</x:v>
      </x:c>
      <x:c r="Q578" s="9" t="n">
        <x:f>COUNTIFS($A$7:$A$2310,A578)</x:f>
        <x:v>1</x:v>
      </x:c>
    </x:row>
    <x:row r="579">
      <x:c r="A579" s="9" t="str">
        <x:v>PD-AR-RT-B-C-TECH-1-B1-BRK-G0-PD13</x:v>
      </x:c>
      <x:c r="B579" s="9" t="str">
        <x:v>PD-AR-RT-B-C-TECH-1-B1-BRK-G0</x:v>
      </x:c>
      <x:c r="C579" s="9" t="str">
        <x:v>EV-AR-RT-B-C-TECH-1-B1-BRK-G0</x:v>
      </x:c>
      <x:c r="D579" s="9" t="str">
        <x:v>AR-RT-B-C-TECH-1-B1-BRK-G0</x:v>
      </x:c>
      <x:c r="E579" s="9" t="str">
        <x:v>RT-B-C-TECH-1</x:v>
      </x:c>
      <x:c r="F579" s="9" t="str">
        <x:v>RT-B-C</x:v>
      </x:c>
      <x:c r="G579" s="9" t="str">
        <x:v>B1</x:v>
      </x:c>
      <x:c r="H579" s="9" t="str">
        <x:v>BRK</x:v>
      </x:c>
      <x:c r="I579" s="9" t="str">
        <x:v>PD13</x:v>
      </x:c>
      <x:c r="J579" s="17" t="str">
        <x:v>Role judgment</x:v>
      </x:c>
      <x:c r="K579" s="17" t="str">
        <x:v>Role court</x:v>
      </x:c>
      <x:c r="L579" s="17" t="str">
        <x:v>COURT-SEALED UNTIL COHORT RELEASE</x:v>
      </x:c>
      <x:c r="M579" s="9" t="n">
        <x:v>0</x:v>
      </x:c>
      <x:c r="N579" s="9" t="n">
        <x:v>0</x:v>
      </x:c>
      <x:c r="O579" s="9" t="n">
        <x:v>0</x:v>
      </x:c>
      <x:c r="P579" s="9" t="str">
        <x:v>HELD / UNRELEASED</x:v>
      </x:c>
      <x:c r="Q579" s="9" t="n">
        <x:f>COUNTIFS($A$7:$A$2310,A579)</x:f>
        <x:v>1</x:v>
      </x:c>
    </x:row>
    <x:row r="580">
      <x:c r="A580" s="9" t="str">
        <x:v>PD-AR-RT-B-C-TECH-1-B1-BRK-G0-PD14</x:v>
      </x:c>
      <x:c r="B580" s="9" t="str">
        <x:v>PD-AR-RT-B-C-TECH-1-B1-BRK-G0</x:v>
      </x:c>
      <x:c r="C580" s="9" t="str">
        <x:v>EV-AR-RT-B-C-TECH-1-B1-BRK-G0</x:v>
      </x:c>
      <x:c r="D580" s="9" t="str">
        <x:v>AR-RT-B-C-TECH-1-B1-BRK-G0</x:v>
      </x:c>
      <x:c r="E580" s="9" t="str">
        <x:v>RT-B-C-TECH-1</x:v>
      </x:c>
      <x:c r="F580" s="9" t="str">
        <x:v>RT-B-C</x:v>
      </x:c>
      <x:c r="G580" s="9" t="str">
        <x:v>B1</x:v>
      </x:c>
      <x:c r="H580" s="9" t="str">
        <x:v>BRK</x:v>
      </x:c>
      <x:c r="I580" s="9" t="str">
        <x:v>PD14</x:v>
      </x:c>
      <x:c r="J580" s="17" t="str">
        <x:v>Break and residual account</x:v>
      </x:c>
      <x:c r="K580" s="17" t="str">
        <x:v>Residual authority</x:v>
      </x:c>
      <x:c r="L580" s="17" t="str">
        <x:v>COURT-SEALED UNTIL COHORT RELEASE</x:v>
      </x:c>
      <x:c r="M580" s="9" t="n">
        <x:v>0</x:v>
      </x:c>
      <x:c r="N580" s="9" t="n">
        <x:v>0</x:v>
      </x:c>
      <x:c r="O580" s="9" t="n">
        <x:v>0</x:v>
      </x:c>
      <x:c r="P580" s="9" t="str">
        <x:v>HELD / UNRELEASED</x:v>
      </x:c>
      <x:c r="Q580" s="9" t="n">
        <x:f>COUNTIFS($A$7:$A$2310,A580)</x:f>
        <x:v>1</x:v>
      </x:c>
    </x:row>
    <x:row r="581">
      <x:c r="A581" s="9" t="str">
        <x:v>PD-AR-RT-B-C-TECH-1-B1-BRK-G0-PD15</x:v>
      </x:c>
      <x:c r="B581" s="9" t="str">
        <x:v>PD-AR-RT-B-C-TECH-1-B1-BRK-G0</x:v>
      </x:c>
      <x:c r="C581" s="9" t="str">
        <x:v>EV-AR-RT-B-C-TECH-1-B1-BRK-G0</x:v>
      </x:c>
      <x:c r="D581" s="9" t="str">
        <x:v>AR-RT-B-C-TECH-1-B1-BRK-G0</x:v>
      </x:c>
      <x:c r="E581" s="9" t="str">
        <x:v>RT-B-C-TECH-1</x:v>
      </x:c>
      <x:c r="F581" s="9" t="str">
        <x:v>RT-B-C</x:v>
      </x:c>
      <x:c r="G581" s="9" t="str">
        <x:v>B1</x:v>
      </x:c>
      <x:c r="H581" s="9" t="str">
        <x:v>BRK</x:v>
      </x:c>
      <x:c r="I581" s="9" t="str">
        <x:v>PD15</x:v>
      </x:c>
      <x:c r="J581" s="17" t="str">
        <x:v>Reconstruction ancestry and replay</x:v>
      </x:c>
      <x:c r="K581" s="17" t="str">
        <x:v>Reconstruction court</x:v>
      </x:c>
      <x:c r="L581" s="17" t="str">
        <x:v>COURT-SEALED UNTIL COHORT RELEASE</x:v>
      </x:c>
      <x:c r="M581" s="9" t="n">
        <x:v>0</x:v>
      </x:c>
      <x:c r="N581" s="9" t="n">
        <x:v>0</x:v>
      </x:c>
      <x:c r="O581" s="9" t="n">
        <x:v>0</x:v>
      </x:c>
      <x:c r="P581" s="9" t="str">
        <x:v>HELD / UNRELEASED</x:v>
      </x:c>
      <x:c r="Q581" s="9" t="n">
        <x:f>COUNTIFS($A$7:$A$2310,A581)</x:f>
        <x:v>1</x:v>
      </x:c>
    </x:row>
    <x:row r="582">
      <x:c r="A582" s="9" t="str">
        <x:v>PD-AR-RT-B-C-TECH-1-B1-BRK-G0-PD16</x:v>
      </x:c>
      <x:c r="B582" s="9" t="str">
        <x:v>PD-AR-RT-B-C-TECH-1-B1-BRK-G0</x:v>
      </x:c>
      <x:c r="C582" s="9" t="str">
        <x:v>EV-AR-RT-B-C-TECH-1-B1-BRK-G0</x:v>
      </x:c>
      <x:c r="D582" s="9" t="str">
        <x:v>AR-RT-B-C-TECH-1-B1-BRK-G0</x:v>
      </x:c>
      <x:c r="E582" s="9" t="str">
        <x:v>RT-B-C-TECH-1</x:v>
      </x:c>
      <x:c r="F582" s="9" t="str">
        <x:v>RT-B-C</x:v>
      </x:c>
      <x:c r="G582" s="9" t="str">
        <x:v>B1</x:v>
      </x:c>
      <x:c r="H582" s="9" t="str">
        <x:v>BRK</x:v>
      </x:c>
      <x:c r="I582" s="9" t="str">
        <x:v>PD16</x:v>
      </x:c>
      <x:c r="J582" s="17" t="str">
        <x:v>Dissent, amendments and access log</x:v>
      </x:c>
      <x:c r="K582" s="17" t="str">
        <x:v>Public archive</x:v>
      </x:c>
      <x:c r="L582" s="17" t="str">
        <x:v>COURT-SEALED UNTIL COHORT RELEASE</x:v>
      </x:c>
      <x:c r="M582" s="9" t="n">
        <x:v>0</x:v>
      </x:c>
      <x:c r="N582" s="9" t="n">
        <x:v>0</x:v>
      </x:c>
      <x:c r="O582" s="9" t="n">
        <x:v>0</x:v>
      </x:c>
      <x:c r="P582" s="9" t="str">
        <x:v>HELD / UNRELEASED</x:v>
      </x:c>
      <x:c r="Q582" s="9" t="n">
        <x:f>COUNTIFS($A$7:$A$2310,A582)</x:f>
        <x:v>1</x:v>
      </x:c>
    </x:row>
    <x:row r="583">
      <x:c r="A583" s="9" t="str">
        <x:v>PD-AR-ET-A-A-TECH-4-B1-RCN-G0-PD01</x:v>
      </x:c>
      <x:c r="B583" s="9" t="str">
        <x:v>PD-AR-ET-A-A-TECH-4-B1-RCN-G0</x:v>
      </x:c>
      <x:c r="C583" s="9" t="str">
        <x:v>EV-AR-ET-A-A-TECH-4-B1-RCN-G0</x:v>
      </x:c>
      <x:c r="D583" s="9" t="str">
        <x:v>AR-ET-A-A-TECH-4-B1-RCN-G0</x:v>
      </x:c>
      <x:c r="E583" s="9" t="str">
        <x:v>ET-A-A-TECH-4</x:v>
      </x:c>
      <x:c r="F583" s="9" t="str">
        <x:v>ET-A-A</x:v>
      </x:c>
      <x:c r="G583" s="9" t="str">
        <x:v>B1</x:v>
      </x:c>
      <x:c r="H583" s="9" t="str">
        <x:v>RCN</x:v>
      </x:c>
      <x:c r="I583" s="9" t="str">
        <x:v>PD01</x:v>
      </x:c>
      <x:c r="J583" s="17" t="str">
        <x:v>Experiment kernel</x:v>
      </x:c>
      <x:c r="K583" s="17" t="str">
        <x:v>Public archive</x:v>
      </x:c>
      <x:c r="L583" s="17" t="str">
        <x:v>COURT-SEALED UNTIL COHORT RELEASE</x:v>
      </x:c>
      <x:c r="M583" s="9" t="n">
        <x:v>0</x:v>
      </x:c>
      <x:c r="N583" s="9" t="n">
        <x:v>0</x:v>
      </x:c>
      <x:c r="O583" s="9" t="n">
        <x:v>0</x:v>
      </x:c>
      <x:c r="P583" s="9" t="str">
        <x:v>HELD / UNRELEASED</x:v>
      </x:c>
      <x:c r="Q583" s="9" t="n">
        <x:f>COUNTIFS($A$7:$A$2310,A583)</x:f>
        <x:v>1</x:v>
      </x:c>
    </x:row>
    <x:row r="584">
      <x:c r="A584" s="9" t="str">
        <x:v>PD-AR-ET-A-A-TECH-4-B1-RCN-G0-PD02</x:v>
      </x:c>
      <x:c r="B584" s="9" t="str">
        <x:v>PD-AR-ET-A-A-TECH-4-B1-RCN-G0</x:v>
      </x:c>
      <x:c r="C584" s="9" t="str">
        <x:v>EV-AR-ET-A-A-TECH-4-B1-RCN-G0</x:v>
      </x:c>
      <x:c r="D584" s="9" t="str">
        <x:v>AR-ET-A-A-TECH-4-B1-RCN-G0</x:v>
      </x:c>
      <x:c r="E584" s="9" t="str">
        <x:v>ET-A-A-TECH-4</x:v>
      </x:c>
      <x:c r="F584" s="9" t="str">
        <x:v>ET-A-A</x:v>
      </x:c>
      <x:c r="G584" s="9" t="str">
        <x:v>B1</x:v>
      </x:c>
      <x:c r="H584" s="9" t="str">
        <x:v>RCN</x:v>
      </x:c>
      <x:c r="I584" s="9" t="str">
        <x:v>PD02</x:v>
      </x:c>
      <x:c r="J584" s="17" t="str">
        <x:v>Serial annex and title chain</x:v>
      </x:c>
      <x:c r="K584" s="17" t="str">
        <x:v>Public archive</x:v>
      </x:c>
      <x:c r="L584" s="17" t="str">
        <x:v>COURT-SEALED UNTIL COHORT RELEASE</x:v>
      </x:c>
      <x:c r="M584" s="9" t="n">
        <x:v>0</x:v>
      </x:c>
      <x:c r="N584" s="9" t="n">
        <x:v>0</x:v>
      </x:c>
      <x:c r="O584" s="9" t="n">
        <x:v>0</x:v>
      </x:c>
      <x:c r="P584" s="9" t="str">
        <x:v>HELD / UNRELEASED</x:v>
      </x:c>
      <x:c r="Q584" s="9" t="n">
        <x:f>COUNTIFS($A$7:$A$2310,A584)</x:f>
        <x:v>1</x:v>
      </x:c>
    </x:row>
    <x:row r="585">
      <x:c r="A585" s="9" t="str">
        <x:v>PD-AR-ET-A-A-TECH-4-B1-RCN-G0-PD03</x:v>
      </x:c>
      <x:c r="B585" s="9" t="str">
        <x:v>PD-AR-ET-A-A-TECH-4-B1-RCN-G0</x:v>
      </x:c>
      <x:c r="C585" s="9" t="str">
        <x:v>EV-AR-ET-A-A-TECH-4-B1-RCN-G0</x:v>
      </x:c>
      <x:c r="D585" s="9" t="str">
        <x:v>AR-ET-A-A-TECH-4-B1-RCN-G0</x:v>
      </x:c>
      <x:c r="E585" s="9" t="str">
        <x:v>ET-A-A-TECH-4</x:v>
      </x:c>
      <x:c r="F585" s="9" t="str">
        <x:v>ET-A-A</x:v>
      </x:c>
      <x:c r="G585" s="9" t="str">
        <x:v>B1</x:v>
      </x:c>
      <x:c r="H585" s="9" t="str">
        <x:v>RCN</x:v>
      </x:c>
      <x:c r="I585" s="9" t="str">
        <x:v>PD03</x:v>
      </x:c>
      <x:c r="J585" s="17" t="str">
        <x:v>Configuration and as-built manifest</x:v>
      </x:c>
      <x:c r="K585" s="17" t="str">
        <x:v>Artifact exchange</x:v>
      </x:c>
      <x:c r="L585" s="17" t="str">
        <x:v>COURT-SEALED UNTIL COHORT RELEASE</x:v>
      </x:c>
      <x:c r="M585" s="9" t="n">
        <x:v>0</x:v>
      </x:c>
      <x:c r="N585" s="9" t="n">
        <x:v>0</x:v>
      </x:c>
      <x:c r="O585" s="9" t="n">
        <x:v>0</x:v>
      </x:c>
      <x:c r="P585" s="9" t="str">
        <x:v>HELD / UNRELEASED</x:v>
      </x:c>
      <x:c r="Q585" s="9" t="n">
        <x:f>COUNTIFS($A$7:$A$2310,A585)</x:f>
        <x:v>1</x:v>
      </x:c>
    </x:row>
    <x:row r="586">
      <x:c r="A586" s="9" t="str">
        <x:v>PD-AR-ET-A-A-TECH-4-B1-RCN-G0-PD04</x:v>
      </x:c>
      <x:c r="B586" s="9" t="str">
        <x:v>PD-AR-ET-A-A-TECH-4-B1-RCN-G0</x:v>
      </x:c>
      <x:c r="C586" s="9" t="str">
        <x:v>EV-AR-ET-A-A-TECH-4-B1-RCN-G0</x:v>
      </x:c>
      <x:c r="D586" s="9" t="str">
        <x:v>AR-ET-A-A-TECH-4-B1-RCN-G0</x:v>
      </x:c>
      <x:c r="E586" s="9" t="str">
        <x:v>ET-A-A-TECH-4</x:v>
      </x:c>
      <x:c r="F586" s="9" t="str">
        <x:v>ET-A-A</x:v>
      </x:c>
      <x:c r="G586" s="9" t="str">
        <x:v>B1</x:v>
      </x:c>
      <x:c r="H586" s="9" t="str">
        <x:v>RCN</x:v>
      </x:c>
      <x:c r="I586" s="9" t="str">
        <x:v>PD04</x:v>
      </x:c>
      <x:c r="J586" s="17" t="str">
        <x:v>EOW and start certificate</x:v>
      </x:c>
      <x:c r="K586" s="17" t="str">
        <x:v>Start registrar</x:v>
      </x:c>
      <x:c r="L586" s="17" t="str">
        <x:v>COURT-SEALED UNTIL COHORT RELEASE</x:v>
      </x:c>
      <x:c r="M586" s="9" t="n">
        <x:v>0</x:v>
      </x:c>
      <x:c r="N586" s="9" t="n">
        <x:v>0</x:v>
      </x:c>
      <x:c r="O586" s="9" t="n">
        <x:v>0</x:v>
      </x:c>
      <x:c r="P586" s="9" t="str">
        <x:v>HELD / UNRELEASED</x:v>
      </x:c>
      <x:c r="Q586" s="9" t="n">
        <x:f>COUNTIFS($A$7:$A$2310,A586)</x:f>
        <x:v>1</x:v>
      </x:c>
    </x:row>
    <x:row r="587">
      <x:c r="A587" s="9" t="str">
        <x:v>PD-AR-ET-A-A-TECH-4-B1-RCN-G0-PD05</x:v>
      </x:c>
      <x:c r="B587" s="9" t="str">
        <x:v>PD-AR-ET-A-A-TECH-4-B1-RCN-G0</x:v>
      </x:c>
      <x:c r="C587" s="9" t="str">
        <x:v>EV-AR-ET-A-A-TECH-4-B1-RCN-G0</x:v>
      </x:c>
      <x:c r="D587" s="9" t="str">
        <x:v>AR-ET-A-A-TECH-4-B1-RCN-G0</x:v>
      </x:c>
      <x:c r="E587" s="9" t="str">
        <x:v>ET-A-A-TECH-4</x:v>
      </x:c>
      <x:c r="F587" s="9" t="str">
        <x:v>ET-A-A</x:v>
      </x:c>
      <x:c r="G587" s="9" t="str">
        <x:v>B1</x:v>
      </x:c>
      <x:c r="H587" s="9" t="str">
        <x:v>RCN</x:v>
      </x:c>
      <x:c r="I587" s="9" t="str">
        <x:v>PD05</x:v>
      </x:c>
      <x:c r="J587" s="17" t="str">
        <x:v>Primary raw originals</x:v>
      </x:c>
      <x:c r="K587" s="17" t="str">
        <x:v>Primary custody</x:v>
      </x:c>
      <x:c r="L587" s="17" t="str">
        <x:v>COURT-SEALED UNTIL COHORT RELEASE</x:v>
      </x:c>
      <x:c r="M587" s="9" t="n">
        <x:v>0</x:v>
      </x:c>
      <x:c r="N587" s="9" t="n">
        <x:v>0</x:v>
      </x:c>
      <x:c r="O587" s="9" t="n">
        <x:v>0</x:v>
      </x:c>
      <x:c r="P587" s="9" t="str">
        <x:v>HELD / UNRELEASED</x:v>
      </x:c>
      <x:c r="Q587" s="9" t="n">
        <x:f>COUNTIFS($A$7:$A$2310,A587)</x:f>
        <x:v>1</x:v>
      </x:c>
    </x:row>
    <x:row r="588">
      <x:c r="A588" s="9" t="str">
        <x:v>PD-AR-ET-A-A-TECH-4-B1-RCN-G0-PD06</x:v>
      </x:c>
      <x:c r="B588" s="9" t="str">
        <x:v>PD-AR-ET-A-A-TECH-4-B1-RCN-G0</x:v>
      </x:c>
      <x:c r="C588" s="9" t="str">
        <x:v>EV-AR-ET-A-A-TECH-4-B1-RCN-G0</x:v>
      </x:c>
      <x:c r="D588" s="9" t="str">
        <x:v>AR-ET-A-A-TECH-4-B1-RCN-G0</x:v>
      </x:c>
      <x:c r="E588" s="9" t="str">
        <x:v>ET-A-A-TECH-4</x:v>
      </x:c>
      <x:c r="F588" s="9" t="str">
        <x:v>ET-A-A</x:v>
      </x:c>
      <x:c r="G588" s="9" t="str">
        <x:v>B1</x:v>
      </x:c>
      <x:c r="H588" s="9" t="str">
        <x:v>RCN</x:v>
      </x:c>
      <x:c r="I588" s="9" t="str">
        <x:v>PD06</x:v>
      </x:c>
      <x:c r="J588" s="17" t="str">
        <x:v>Witness raw originals</x:v>
      </x:c>
      <x:c r="K588" s="17" t="str">
        <x:v>Witness custody</x:v>
      </x:c>
      <x:c r="L588" s="17" t="str">
        <x:v>COURT-SEALED UNTIL COHORT RELEASE</x:v>
      </x:c>
      <x:c r="M588" s="9" t="n">
        <x:v>0</x:v>
      </x:c>
      <x:c r="N588" s="9" t="n">
        <x:v>0</x:v>
      </x:c>
      <x:c r="O588" s="9" t="n">
        <x:v>0</x:v>
      </x:c>
      <x:c r="P588" s="9" t="str">
        <x:v>HELD / UNRELEASED</x:v>
      </x:c>
      <x:c r="Q588" s="9" t="n">
        <x:f>COUNTIFS($A$7:$A$2310,A588)</x:f>
        <x:v>1</x:v>
      </x:c>
    </x:row>
    <x:row r="589">
      <x:c r="A589" s="9" t="str">
        <x:v>PD-AR-ET-A-A-TECH-4-B1-RCN-G0-PD07</x:v>
      </x:c>
      <x:c r="B589" s="9" t="str">
        <x:v>PD-AR-ET-A-A-TECH-4-B1-RCN-G0</x:v>
      </x:c>
      <x:c r="C589" s="9" t="str">
        <x:v>EV-AR-ET-A-A-TECH-4-B1-RCN-G0</x:v>
      </x:c>
      <x:c r="D589" s="9" t="str">
        <x:v>AR-ET-A-A-TECH-4-B1-RCN-G0</x:v>
      </x:c>
      <x:c r="E589" s="9" t="str">
        <x:v>ET-A-A-TECH-4</x:v>
      </x:c>
      <x:c r="F589" s="9" t="str">
        <x:v>ET-A-A</x:v>
      </x:c>
      <x:c r="G589" s="9" t="str">
        <x:v>B1</x:v>
      </x:c>
      <x:c r="H589" s="9" t="str">
        <x:v>RCN</x:v>
      </x:c>
      <x:c r="I589" s="9" t="str">
        <x:v>PD07</x:v>
      </x:c>
      <x:c r="J589" s="17" t="str">
        <x:v>Clock and environmental records</x:v>
      </x:c>
      <x:c r="K589" s="17" t="str">
        <x:v>Boundary archive</x:v>
      </x:c>
      <x:c r="L589" s="17" t="str">
        <x:v>COURT-SEALED UNTIL COHORT RELEASE</x:v>
      </x:c>
      <x:c r="M589" s="9" t="n">
        <x:v>0</x:v>
      </x:c>
      <x:c r="N589" s="9" t="n">
        <x:v>0</x:v>
      </x:c>
      <x:c r="O589" s="9" t="n">
        <x:v>0</x:v>
      </x:c>
      <x:c r="P589" s="9" t="str">
        <x:v>HELD / UNRELEASED</x:v>
      </x:c>
      <x:c r="Q589" s="9" t="n">
        <x:f>COUNTIFS($A$7:$A$2310,A589)</x:f>
        <x:v>1</x:v>
      </x:c>
    </x:row>
    <x:row r="590">
      <x:c r="A590" s="9" t="str">
        <x:v>PD-AR-ET-A-A-TECH-4-B1-RCN-G0-PD08</x:v>
      </x:c>
      <x:c r="B590" s="9" t="str">
        <x:v>PD-AR-ET-A-A-TECH-4-B1-RCN-G0</x:v>
      </x:c>
      <x:c r="C590" s="9" t="str">
        <x:v>EV-AR-ET-A-A-TECH-4-B1-RCN-G0</x:v>
      </x:c>
      <x:c r="D590" s="9" t="str">
        <x:v>AR-ET-A-A-TECH-4-B1-RCN-G0</x:v>
      </x:c>
      <x:c r="E590" s="9" t="str">
        <x:v>ET-A-A-TECH-4</x:v>
      </x:c>
      <x:c r="F590" s="9" t="str">
        <x:v>ET-A-A</x:v>
      </x:c>
      <x:c r="G590" s="9" t="str">
        <x:v>B1</x:v>
      </x:c>
      <x:c r="H590" s="9" t="str">
        <x:v>RCN</x:v>
      </x:c>
      <x:c r="I590" s="9" t="str">
        <x:v>PD08</x:v>
      </x:c>
      <x:c r="J590" s="17" t="str">
        <x:v>Command and intervention log</x:v>
      </x:c>
      <x:c r="K590" s="17" t="str">
        <x:v>Safety archive</x:v>
      </x:c>
      <x:c r="L590" s="17" t="str">
        <x:v>COURT-SEALED UNTIL COHORT RELEASE</x:v>
      </x:c>
      <x:c r="M590" s="9" t="n">
        <x:v>0</x:v>
      </x:c>
      <x:c r="N590" s="9" t="n">
        <x:v>0</x:v>
      </x:c>
      <x:c r="O590" s="9" t="n">
        <x:v>0</x:v>
      </x:c>
      <x:c r="P590" s="9" t="str">
        <x:v>HELD / UNRELEASED</x:v>
      </x:c>
      <x:c r="Q590" s="9" t="n">
        <x:f>COUNTIFS($A$7:$A$2310,A590)</x:f>
        <x:v>1</x:v>
      </x:c>
    </x:row>
    <x:row r="591">
      <x:c r="A591" s="9" t="str">
        <x:v>PD-AR-ET-A-A-TECH-4-B1-RCN-G0-PD09</x:v>
      </x:c>
      <x:c r="B591" s="9" t="str">
        <x:v>PD-AR-ET-A-A-TECH-4-B1-RCN-G0</x:v>
      </x:c>
      <x:c r="C591" s="9" t="str">
        <x:v>EV-AR-ET-A-A-TECH-4-B1-RCN-G0</x:v>
      </x:c>
      <x:c r="D591" s="9" t="str">
        <x:v>AR-ET-A-A-TECH-4-B1-RCN-G0</x:v>
      </x:c>
      <x:c r="E591" s="9" t="str">
        <x:v>ET-A-A-TECH-4</x:v>
      </x:c>
      <x:c r="F591" s="9" t="str">
        <x:v>ET-A-A</x:v>
      </x:c>
      <x:c r="G591" s="9" t="str">
        <x:v>B1</x:v>
      </x:c>
      <x:c r="H591" s="9" t="str">
        <x:v>RCN</x:v>
      </x:c>
      <x:c r="I591" s="9" t="str">
        <x:v>PD09</x:v>
      </x:c>
      <x:c r="J591" s="17" t="str">
        <x:v>Receiver denominator and service ledger</x:v>
      </x:c>
      <x:c r="K591" s="17" t="str">
        <x:v>Receiver archive</x:v>
      </x:c>
      <x:c r="L591" s="17" t="str">
        <x:v>COURT-SEALED UNTIL COHORT RELEASE</x:v>
      </x:c>
      <x:c r="M591" s="9" t="n">
        <x:v>0</x:v>
      </x:c>
      <x:c r="N591" s="9" t="n">
        <x:v>0</x:v>
      </x:c>
      <x:c r="O591" s="9" t="n">
        <x:v>0</x:v>
      </x:c>
      <x:c r="P591" s="9" t="str">
        <x:v>HELD / UNRELEASED</x:v>
      </x:c>
      <x:c r="Q591" s="9" t="n">
        <x:f>COUNTIFS($A$7:$A$2310,A591)</x:f>
        <x:v>1</x:v>
      </x:c>
    </x:row>
    <x:row r="592">
      <x:c r="A592" s="9" t="str">
        <x:v>PD-AR-ET-A-A-TECH-4-B1-RCN-G0-PD10</x:v>
      </x:c>
      <x:c r="B592" s="9" t="str">
        <x:v>PD-AR-ET-A-A-TECH-4-B1-RCN-G0</x:v>
      </x:c>
      <x:c r="C592" s="9" t="str">
        <x:v>EV-AR-ET-A-A-TECH-4-B1-RCN-G0</x:v>
      </x:c>
      <x:c r="D592" s="9" t="str">
        <x:v>AR-ET-A-A-TECH-4-B1-RCN-G0</x:v>
      </x:c>
      <x:c r="E592" s="9" t="str">
        <x:v>ET-A-A-TECH-4</x:v>
      </x:c>
      <x:c r="F592" s="9" t="str">
        <x:v>ET-A-A</x:v>
      </x:c>
      <x:c r="G592" s="9" t="str">
        <x:v>B1</x:v>
      </x:c>
      <x:c r="H592" s="9" t="str">
        <x:v>RCN</x:v>
      </x:c>
      <x:c r="I592" s="9" t="str">
        <x:v>PD10</x:v>
      </x:c>
      <x:c r="J592" s="17" t="str">
        <x:v>Calibration and uncertainty record</x:v>
      </x:c>
      <x:c r="K592" s="17" t="str">
        <x:v>Metrology archive</x:v>
      </x:c>
      <x:c r="L592" s="17" t="str">
        <x:v>COURT-SEALED UNTIL COHORT RELEASE</x:v>
      </x:c>
      <x:c r="M592" s="9" t="n">
        <x:v>0</x:v>
      </x:c>
      <x:c r="N592" s="9" t="n">
        <x:v>0</x:v>
      </x:c>
      <x:c r="O592" s="9" t="n">
        <x:v>0</x:v>
      </x:c>
      <x:c r="P592" s="9" t="str">
        <x:v>HELD / UNRELEASED</x:v>
      </x:c>
      <x:c r="Q592" s="9" t="n">
        <x:f>COUNTIFS($A$7:$A$2310,A592)</x:f>
        <x:v>1</x:v>
      </x:c>
    </x:row>
    <x:row r="593">
      <x:c r="A593" s="9" t="str">
        <x:v>PD-AR-ET-A-A-TECH-4-B1-RCN-G0-PD11</x:v>
      </x:c>
      <x:c r="B593" s="9" t="str">
        <x:v>PD-AR-ET-A-A-TECH-4-B1-RCN-G0</x:v>
      </x:c>
      <x:c r="C593" s="9" t="str">
        <x:v>EV-AR-ET-A-A-TECH-4-B1-RCN-G0</x:v>
      </x:c>
      <x:c r="D593" s="9" t="str">
        <x:v>AR-ET-A-A-TECH-4-B1-RCN-G0</x:v>
      </x:c>
      <x:c r="E593" s="9" t="str">
        <x:v>ET-A-A-TECH-4</x:v>
      </x:c>
      <x:c r="F593" s="9" t="str">
        <x:v>ET-A-A</x:v>
      </x:c>
      <x:c r="G593" s="9" t="str">
        <x:v>B1</x:v>
      </x:c>
      <x:c r="H593" s="9" t="str">
        <x:v>RCN</x:v>
      </x:c>
      <x:c r="I593" s="9" t="str">
        <x:v>PD11</x:v>
      </x:c>
      <x:c r="J593" s="17" t="str">
        <x:v>Invalidity petition and opinion</x:v>
      </x:c>
      <x:c r="K593" s="17" t="str">
        <x:v>Invalidity court</x:v>
      </x:c>
      <x:c r="L593" s="17" t="str">
        <x:v>COURT-SEALED UNTIL COHORT RELEASE</x:v>
      </x:c>
      <x:c r="M593" s="9" t="n">
        <x:v>0</x:v>
      </x:c>
      <x:c r="N593" s="9" t="n">
        <x:v>0</x:v>
      </x:c>
      <x:c r="O593" s="9" t="n">
        <x:v>0</x:v>
      </x:c>
      <x:c r="P593" s="9" t="str">
        <x:v>HELD / UNRELEASED</x:v>
      </x:c>
      <x:c r="Q593" s="9" t="n">
        <x:f>COUNTIFS($A$7:$A$2310,A593)</x:f>
        <x:v>1</x:v>
      </x:c>
    </x:row>
    <x:row r="594">
      <x:c r="A594" s="9" t="str">
        <x:v>PD-AR-ET-A-A-TECH-4-B1-RCN-G0-PD12</x:v>
      </x:c>
      <x:c r="B594" s="9" t="str">
        <x:v>PD-AR-ET-A-A-TECH-4-B1-RCN-G0</x:v>
      </x:c>
      <x:c r="C594" s="9" t="str">
        <x:v>EV-AR-ET-A-A-TECH-4-B1-RCN-G0</x:v>
      </x:c>
      <x:c r="D594" s="9" t="str">
        <x:v>AR-ET-A-A-TECH-4-B1-RCN-G0</x:v>
      </x:c>
      <x:c r="E594" s="9" t="str">
        <x:v>ET-A-A-TECH-4</x:v>
      </x:c>
      <x:c r="F594" s="9" t="str">
        <x:v>ET-A-A</x:v>
      </x:c>
      <x:c r="G594" s="9" t="str">
        <x:v>B1</x:v>
      </x:c>
      <x:c r="H594" s="9" t="str">
        <x:v>RCN</x:v>
      </x:c>
      <x:c r="I594" s="9" t="str">
        <x:v>PD12</x:v>
      </x:c>
      <x:c r="J594" s="17" t="str">
        <x:v>Observation acceptance and replay</x:v>
      </x:c>
      <x:c r="K594" s="17" t="str">
        <x:v>Observation court</x:v>
      </x:c>
      <x:c r="L594" s="17" t="str">
        <x:v>COURT-SEALED UNTIL COHORT RELEASE</x:v>
      </x:c>
      <x:c r="M594" s="9" t="n">
        <x:v>0</x:v>
      </x:c>
      <x:c r="N594" s="9" t="n">
        <x:v>0</x:v>
      </x:c>
      <x:c r="O594" s="9" t="n">
        <x:v>0</x:v>
      </x:c>
      <x:c r="P594" s="9" t="str">
        <x:v>HELD / UNRELEASED</x:v>
      </x:c>
      <x:c r="Q594" s="9" t="n">
        <x:f>COUNTIFS($A$7:$A$2310,A594)</x:f>
        <x:v>1</x:v>
      </x:c>
    </x:row>
    <x:row r="595">
      <x:c r="A595" s="9" t="str">
        <x:v>PD-AR-ET-A-A-TECH-4-B1-RCN-G0-PD13</x:v>
      </x:c>
      <x:c r="B595" s="9" t="str">
        <x:v>PD-AR-ET-A-A-TECH-4-B1-RCN-G0</x:v>
      </x:c>
      <x:c r="C595" s="9" t="str">
        <x:v>EV-AR-ET-A-A-TECH-4-B1-RCN-G0</x:v>
      </x:c>
      <x:c r="D595" s="9" t="str">
        <x:v>AR-ET-A-A-TECH-4-B1-RCN-G0</x:v>
      </x:c>
      <x:c r="E595" s="9" t="str">
        <x:v>ET-A-A-TECH-4</x:v>
      </x:c>
      <x:c r="F595" s="9" t="str">
        <x:v>ET-A-A</x:v>
      </x:c>
      <x:c r="G595" s="9" t="str">
        <x:v>B1</x:v>
      </x:c>
      <x:c r="H595" s="9" t="str">
        <x:v>RCN</x:v>
      </x:c>
      <x:c r="I595" s="9" t="str">
        <x:v>PD13</x:v>
      </x:c>
      <x:c r="J595" s="17" t="str">
        <x:v>Role judgment</x:v>
      </x:c>
      <x:c r="K595" s="17" t="str">
        <x:v>Role court</x:v>
      </x:c>
      <x:c r="L595" s="17" t="str">
        <x:v>COURT-SEALED UNTIL COHORT RELEASE</x:v>
      </x:c>
      <x:c r="M595" s="9" t="n">
        <x:v>0</x:v>
      </x:c>
      <x:c r="N595" s="9" t="n">
        <x:v>0</x:v>
      </x:c>
      <x:c r="O595" s="9" t="n">
        <x:v>0</x:v>
      </x:c>
      <x:c r="P595" s="9" t="str">
        <x:v>HELD / UNRELEASED</x:v>
      </x:c>
      <x:c r="Q595" s="9" t="n">
        <x:f>COUNTIFS($A$7:$A$2310,A595)</x:f>
        <x:v>1</x:v>
      </x:c>
    </x:row>
    <x:row r="596">
      <x:c r="A596" s="9" t="str">
        <x:v>PD-AR-ET-A-A-TECH-4-B1-RCN-G0-PD14</x:v>
      </x:c>
      <x:c r="B596" s="9" t="str">
        <x:v>PD-AR-ET-A-A-TECH-4-B1-RCN-G0</x:v>
      </x:c>
      <x:c r="C596" s="9" t="str">
        <x:v>EV-AR-ET-A-A-TECH-4-B1-RCN-G0</x:v>
      </x:c>
      <x:c r="D596" s="9" t="str">
        <x:v>AR-ET-A-A-TECH-4-B1-RCN-G0</x:v>
      </x:c>
      <x:c r="E596" s="9" t="str">
        <x:v>ET-A-A-TECH-4</x:v>
      </x:c>
      <x:c r="F596" s="9" t="str">
        <x:v>ET-A-A</x:v>
      </x:c>
      <x:c r="G596" s="9" t="str">
        <x:v>B1</x:v>
      </x:c>
      <x:c r="H596" s="9" t="str">
        <x:v>RCN</x:v>
      </x:c>
      <x:c r="I596" s="9" t="str">
        <x:v>PD14</x:v>
      </x:c>
      <x:c r="J596" s="17" t="str">
        <x:v>Break and residual account</x:v>
      </x:c>
      <x:c r="K596" s="17" t="str">
        <x:v>Residual authority</x:v>
      </x:c>
      <x:c r="L596" s="17" t="str">
        <x:v>COURT-SEALED UNTIL COHORT RELEASE</x:v>
      </x:c>
      <x:c r="M596" s="9" t="n">
        <x:v>0</x:v>
      </x:c>
      <x:c r="N596" s="9" t="n">
        <x:v>0</x:v>
      </x:c>
      <x:c r="O596" s="9" t="n">
        <x:v>0</x:v>
      </x:c>
      <x:c r="P596" s="9" t="str">
        <x:v>HELD / UNRELEASED</x:v>
      </x:c>
      <x:c r="Q596" s="9" t="n">
        <x:f>COUNTIFS($A$7:$A$2310,A596)</x:f>
        <x:v>1</x:v>
      </x:c>
    </x:row>
    <x:row r="597">
      <x:c r="A597" s="9" t="str">
        <x:v>PD-AR-ET-A-A-TECH-4-B1-RCN-G0-PD15</x:v>
      </x:c>
      <x:c r="B597" s="9" t="str">
        <x:v>PD-AR-ET-A-A-TECH-4-B1-RCN-G0</x:v>
      </x:c>
      <x:c r="C597" s="9" t="str">
        <x:v>EV-AR-ET-A-A-TECH-4-B1-RCN-G0</x:v>
      </x:c>
      <x:c r="D597" s="9" t="str">
        <x:v>AR-ET-A-A-TECH-4-B1-RCN-G0</x:v>
      </x:c>
      <x:c r="E597" s="9" t="str">
        <x:v>ET-A-A-TECH-4</x:v>
      </x:c>
      <x:c r="F597" s="9" t="str">
        <x:v>ET-A-A</x:v>
      </x:c>
      <x:c r="G597" s="9" t="str">
        <x:v>B1</x:v>
      </x:c>
      <x:c r="H597" s="9" t="str">
        <x:v>RCN</x:v>
      </x:c>
      <x:c r="I597" s="9" t="str">
        <x:v>PD15</x:v>
      </x:c>
      <x:c r="J597" s="17" t="str">
        <x:v>Reconstruction ancestry and replay</x:v>
      </x:c>
      <x:c r="K597" s="17" t="str">
        <x:v>Reconstruction court</x:v>
      </x:c>
      <x:c r="L597" s="17" t="str">
        <x:v>COURT-SEALED UNTIL COHORT RELEASE</x:v>
      </x:c>
      <x:c r="M597" s="9" t="n">
        <x:v>0</x:v>
      </x:c>
      <x:c r="N597" s="9" t="n">
        <x:v>0</x:v>
      </x:c>
      <x:c r="O597" s="9" t="n">
        <x:v>0</x:v>
      </x:c>
      <x:c r="P597" s="9" t="str">
        <x:v>HELD / UNRELEASED</x:v>
      </x:c>
      <x:c r="Q597" s="9" t="n">
        <x:f>COUNTIFS($A$7:$A$2310,A597)</x:f>
        <x:v>1</x:v>
      </x:c>
    </x:row>
    <x:row r="598">
      <x:c r="A598" s="9" t="str">
        <x:v>PD-AR-ET-A-A-TECH-4-B1-RCN-G0-PD16</x:v>
      </x:c>
      <x:c r="B598" s="9" t="str">
        <x:v>PD-AR-ET-A-A-TECH-4-B1-RCN-G0</x:v>
      </x:c>
      <x:c r="C598" s="9" t="str">
        <x:v>EV-AR-ET-A-A-TECH-4-B1-RCN-G0</x:v>
      </x:c>
      <x:c r="D598" s="9" t="str">
        <x:v>AR-ET-A-A-TECH-4-B1-RCN-G0</x:v>
      </x:c>
      <x:c r="E598" s="9" t="str">
        <x:v>ET-A-A-TECH-4</x:v>
      </x:c>
      <x:c r="F598" s="9" t="str">
        <x:v>ET-A-A</x:v>
      </x:c>
      <x:c r="G598" s="9" t="str">
        <x:v>B1</x:v>
      </x:c>
      <x:c r="H598" s="9" t="str">
        <x:v>RCN</x:v>
      </x:c>
      <x:c r="I598" s="9" t="str">
        <x:v>PD16</x:v>
      </x:c>
      <x:c r="J598" s="17" t="str">
        <x:v>Dissent, amendments and access log</x:v>
      </x:c>
      <x:c r="K598" s="17" t="str">
        <x:v>Public archive</x:v>
      </x:c>
      <x:c r="L598" s="17" t="str">
        <x:v>COURT-SEALED UNTIL COHORT RELEASE</x:v>
      </x:c>
      <x:c r="M598" s="9" t="n">
        <x:v>0</x:v>
      </x:c>
      <x:c r="N598" s="9" t="n">
        <x:v>0</x:v>
      </x:c>
      <x:c r="O598" s="9" t="n">
        <x:v>0</x:v>
      </x:c>
      <x:c r="P598" s="9" t="str">
        <x:v>HELD / UNRELEASED</x:v>
      </x:c>
      <x:c r="Q598" s="9" t="n">
        <x:f>COUNTIFS($A$7:$A$2310,A598)</x:f>
        <x:v>1</x:v>
      </x:c>
    </x:row>
    <x:row r="599">
      <x:c r="A599" s="9" t="str">
        <x:v>PD-AR-ET-A-A-TECH-2-B1-INT-G0-PD01</x:v>
      </x:c>
      <x:c r="B599" s="9" t="str">
        <x:v>PD-AR-ET-A-A-TECH-2-B1-INT-G0</x:v>
      </x:c>
      <x:c r="C599" s="9" t="str">
        <x:v>EV-AR-ET-A-A-TECH-2-B1-INT-G0</x:v>
      </x:c>
      <x:c r="D599" s="9" t="str">
        <x:v>AR-ET-A-A-TECH-2-B1-INT-G0</x:v>
      </x:c>
      <x:c r="E599" s="9" t="str">
        <x:v>ET-A-A-TECH-2</x:v>
      </x:c>
      <x:c r="F599" s="9" t="str">
        <x:v>ET-A-A</x:v>
      </x:c>
      <x:c r="G599" s="9" t="str">
        <x:v>B1</x:v>
      </x:c>
      <x:c r="H599" s="9" t="str">
        <x:v>INT</x:v>
      </x:c>
      <x:c r="I599" s="9" t="str">
        <x:v>PD01</x:v>
      </x:c>
      <x:c r="J599" s="17" t="str">
        <x:v>Experiment kernel</x:v>
      </x:c>
      <x:c r="K599" s="17" t="str">
        <x:v>Public archive</x:v>
      </x:c>
      <x:c r="L599" s="17" t="str">
        <x:v>COURT-SEALED UNTIL COHORT RELEASE</x:v>
      </x:c>
      <x:c r="M599" s="9" t="n">
        <x:v>0</x:v>
      </x:c>
      <x:c r="N599" s="9" t="n">
        <x:v>0</x:v>
      </x:c>
      <x:c r="O599" s="9" t="n">
        <x:v>0</x:v>
      </x:c>
      <x:c r="P599" s="9" t="str">
        <x:v>HELD / UNRELEASED</x:v>
      </x:c>
      <x:c r="Q599" s="9" t="n">
        <x:f>COUNTIFS($A$7:$A$2310,A599)</x:f>
        <x:v>1</x:v>
      </x:c>
    </x:row>
    <x:row r="600">
      <x:c r="A600" s="9" t="str">
        <x:v>PD-AR-ET-A-A-TECH-2-B1-INT-G0-PD02</x:v>
      </x:c>
      <x:c r="B600" s="9" t="str">
        <x:v>PD-AR-ET-A-A-TECH-2-B1-INT-G0</x:v>
      </x:c>
      <x:c r="C600" s="9" t="str">
        <x:v>EV-AR-ET-A-A-TECH-2-B1-INT-G0</x:v>
      </x:c>
      <x:c r="D600" s="9" t="str">
        <x:v>AR-ET-A-A-TECH-2-B1-INT-G0</x:v>
      </x:c>
      <x:c r="E600" s="9" t="str">
        <x:v>ET-A-A-TECH-2</x:v>
      </x:c>
      <x:c r="F600" s="9" t="str">
        <x:v>ET-A-A</x:v>
      </x:c>
      <x:c r="G600" s="9" t="str">
        <x:v>B1</x:v>
      </x:c>
      <x:c r="H600" s="9" t="str">
        <x:v>INT</x:v>
      </x:c>
      <x:c r="I600" s="9" t="str">
        <x:v>PD02</x:v>
      </x:c>
      <x:c r="J600" s="17" t="str">
        <x:v>Serial annex and title chain</x:v>
      </x:c>
      <x:c r="K600" s="17" t="str">
        <x:v>Public archive</x:v>
      </x:c>
      <x:c r="L600" s="17" t="str">
        <x:v>COURT-SEALED UNTIL COHORT RELEASE</x:v>
      </x:c>
      <x:c r="M600" s="9" t="n">
        <x:v>0</x:v>
      </x:c>
      <x:c r="N600" s="9" t="n">
        <x:v>0</x:v>
      </x:c>
      <x:c r="O600" s="9" t="n">
        <x:v>0</x:v>
      </x:c>
      <x:c r="P600" s="9" t="str">
        <x:v>HELD / UNRELEASED</x:v>
      </x:c>
      <x:c r="Q600" s="9" t="n">
        <x:f>COUNTIFS($A$7:$A$2310,A600)</x:f>
        <x:v>1</x:v>
      </x:c>
    </x:row>
    <x:row r="601">
      <x:c r="A601" s="9" t="str">
        <x:v>PD-AR-ET-A-A-TECH-2-B1-INT-G0-PD03</x:v>
      </x:c>
      <x:c r="B601" s="9" t="str">
        <x:v>PD-AR-ET-A-A-TECH-2-B1-INT-G0</x:v>
      </x:c>
      <x:c r="C601" s="9" t="str">
        <x:v>EV-AR-ET-A-A-TECH-2-B1-INT-G0</x:v>
      </x:c>
      <x:c r="D601" s="9" t="str">
        <x:v>AR-ET-A-A-TECH-2-B1-INT-G0</x:v>
      </x:c>
      <x:c r="E601" s="9" t="str">
        <x:v>ET-A-A-TECH-2</x:v>
      </x:c>
      <x:c r="F601" s="9" t="str">
        <x:v>ET-A-A</x:v>
      </x:c>
      <x:c r="G601" s="9" t="str">
        <x:v>B1</x:v>
      </x:c>
      <x:c r="H601" s="9" t="str">
        <x:v>INT</x:v>
      </x:c>
      <x:c r="I601" s="9" t="str">
        <x:v>PD03</x:v>
      </x:c>
      <x:c r="J601" s="17" t="str">
        <x:v>Configuration and as-built manifest</x:v>
      </x:c>
      <x:c r="K601" s="17" t="str">
        <x:v>Artifact exchange</x:v>
      </x:c>
      <x:c r="L601" s="17" t="str">
        <x:v>COURT-SEALED UNTIL COHORT RELEASE</x:v>
      </x:c>
      <x:c r="M601" s="9" t="n">
        <x:v>0</x:v>
      </x:c>
      <x:c r="N601" s="9" t="n">
        <x:v>0</x:v>
      </x:c>
      <x:c r="O601" s="9" t="n">
        <x:v>0</x:v>
      </x:c>
      <x:c r="P601" s="9" t="str">
        <x:v>HELD / UNRELEASED</x:v>
      </x:c>
      <x:c r="Q601" s="9" t="n">
        <x:f>COUNTIFS($A$7:$A$2310,A601)</x:f>
        <x:v>1</x:v>
      </x:c>
    </x:row>
    <x:row r="602">
      <x:c r="A602" s="9" t="str">
        <x:v>PD-AR-ET-A-A-TECH-2-B1-INT-G0-PD04</x:v>
      </x:c>
      <x:c r="B602" s="9" t="str">
        <x:v>PD-AR-ET-A-A-TECH-2-B1-INT-G0</x:v>
      </x:c>
      <x:c r="C602" s="9" t="str">
        <x:v>EV-AR-ET-A-A-TECH-2-B1-INT-G0</x:v>
      </x:c>
      <x:c r="D602" s="9" t="str">
        <x:v>AR-ET-A-A-TECH-2-B1-INT-G0</x:v>
      </x:c>
      <x:c r="E602" s="9" t="str">
        <x:v>ET-A-A-TECH-2</x:v>
      </x:c>
      <x:c r="F602" s="9" t="str">
        <x:v>ET-A-A</x:v>
      </x:c>
      <x:c r="G602" s="9" t="str">
        <x:v>B1</x:v>
      </x:c>
      <x:c r="H602" s="9" t="str">
        <x:v>INT</x:v>
      </x:c>
      <x:c r="I602" s="9" t="str">
        <x:v>PD04</x:v>
      </x:c>
      <x:c r="J602" s="17" t="str">
        <x:v>EOW and start certificate</x:v>
      </x:c>
      <x:c r="K602" s="17" t="str">
        <x:v>Start registrar</x:v>
      </x:c>
      <x:c r="L602" s="17" t="str">
        <x:v>COURT-SEALED UNTIL COHORT RELEASE</x:v>
      </x:c>
      <x:c r="M602" s="9" t="n">
        <x:v>0</x:v>
      </x:c>
      <x:c r="N602" s="9" t="n">
        <x:v>0</x:v>
      </x:c>
      <x:c r="O602" s="9" t="n">
        <x:v>0</x:v>
      </x:c>
      <x:c r="P602" s="9" t="str">
        <x:v>HELD / UNRELEASED</x:v>
      </x:c>
      <x:c r="Q602" s="9" t="n">
        <x:f>COUNTIFS($A$7:$A$2310,A602)</x:f>
        <x:v>1</x:v>
      </x:c>
    </x:row>
    <x:row r="603">
      <x:c r="A603" s="9" t="str">
        <x:v>PD-AR-ET-A-A-TECH-2-B1-INT-G0-PD05</x:v>
      </x:c>
      <x:c r="B603" s="9" t="str">
        <x:v>PD-AR-ET-A-A-TECH-2-B1-INT-G0</x:v>
      </x:c>
      <x:c r="C603" s="9" t="str">
        <x:v>EV-AR-ET-A-A-TECH-2-B1-INT-G0</x:v>
      </x:c>
      <x:c r="D603" s="9" t="str">
        <x:v>AR-ET-A-A-TECH-2-B1-INT-G0</x:v>
      </x:c>
      <x:c r="E603" s="9" t="str">
        <x:v>ET-A-A-TECH-2</x:v>
      </x:c>
      <x:c r="F603" s="9" t="str">
        <x:v>ET-A-A</x:v>
      </x:c>
      <x:c r="G603" s="9" t="str">
        <x:v>B1</x:v>
      </x:c>
      <x:c r="H603" s="9" t="str">
        <x:v>INT</x:v>
      </x:c>
      <x:c r="I603" s="9" t="str">
        <x:v>PD05</x:v>
      </x:c>
      <x:c r="J603" s="17" t="str">
        <x:v>Primary raw originals</x:v>
      </x:c>
      <x:c r="K603" s="17" t="str">
        <x:v>Primary custody</x:v>
      </x:c>
      <x:c r="L603" s="17" t="str">
        <x:v>COURT-SEALED UNTIL COHORT RELEASE</x:v>
      </x:c>
      <x:c r="M603" s="9" t="n">
        <x:v>0</x:v>
      </x:c>
      <x:c r="N603" s="9" t="n">
        <x:v>0</x:v>
      </x:c>
      <x:c r="O603" s="9" t="n">
        <x:v>0</x:v>
      </x:c>
      <x:c r="P603" s="9" t="str">
        <x:v>HELD / UNRELEASED</x:v>
      </x:c>
      <x:c r="Q603" s="9" t="n">
        <x:f>COUNTIFS($A$7:$A$2310,A603)</x:f>
        <x:v>1</x:v>
      </x:c>
    </x:row>
    <x:row r="604">
      <x:c r="A604" s="9" t="str">
        <x:v>PD-AR-ET-A-A-TECH-2-B1-INT-G0-PD06</x:v>
      </x:c>
      <x:c r="B604" s="9" t="str">
        <x:v>PD-AR-ET-A-A-TECH-2-B1-INT-G0</x:v>
      </x:c>
      <x:c r="C604" s="9" t="str">
        <x:v>EV-AR-ET-A-A-TECH-2-B1-INT-G0</x:v>
      </x:c>
      <x:c r="D604" s="9" t="str">
        <x:v>AR-ET-A-A-TECH-2-B1-INT-G0</x:v>
      </x:c>
      <x:c r="E604" s="9" t="str">
        <x:v>ET-A-A-TECH-2</x:v>
      </x:c>
      <x:c r="F604" s="9" t="str">
        <x:v>ET-A-A</x:v>
      </x:c>
      <x:c r="G604" s="9" t="str">
        <x:v>B1</x:v>
      </x:c>
      <x:c r="H604" s="9" t="str">
        <x:v>INT</x:v>
      </x:c>
      <x:c r="I604" s="9" t="str">
        <x:v>PD06</x:v>
      </x:c>
      <x:c r="J604" s="17" t="str">
        <x:v>Witness raw originals</x:v>
      </x:c>
      <x:c r="K604" s="17" t="str">
        <x:v>Witness custody</x:v>
      </x:c>
      <x:c r="L604" s="17" t="str">
        <x:v>COURT-SEALED UNTIL COHORT RELEASE</x:v>
      </x:c>
      <x:c r="M604" s="9" t="n">
        <x:v>0</x:v>
      </x:c>
      <x:c r="N604" s="9" t="n">
        <x:v>0</x:v>
      </x:c>
      <x:c r="O604" s="9" t="n">
        <x:v>0</x:v>
      </x:c>
      <x:c r="P604" s="9" t="str">
        <x:v>HELD / UNRELEASED</x:v>
      </x:c>
      <x:c r="Q604" s="9" t="n">
        <x:f>COUNTIFS($A$7:$A$2310,A604)</x:f>
        <x:v>1</x:v>
      </x:c>
    </x:row>
    <x:row r="605">
      <x:c r="A605" s="9" t="str">
        <x:v>PD-AR-ET-A-A-TECH-2-B1-INT-G0-PD07</x:v>
      </x:c>
      <x:c r="B605" s="9" t="str">
        <x:v>PD-AR-ET-A-A-TECH-2-B1-INT-G0</x:v>
      </x:c>
      <x:c r="C605" s="9" t="str">
        <x:v>EV-AR-ET-A-A-TECH-2-B1-INT-G0</x:v>
      </x:c>
      <x:c r="D605" s="9" t="str">
        <x:v>AR-ET-A-A-TECH-2-B1-INT-G0</x:v>
      </x:c>
      <x:c r="E605" s="9" t="str">
        <x:v>ET-A-A-TECH-2</x:v>
      </x:c>
      <x:c r="F605" s="9" t="str">
        <x:v>ET-A-A</x:v>
      </x:c>
      <x:c r="G605" s="9" t="str">
        <x:v>B1</x:v>
      </x:c>
      <x:c r="H605" s="9" t="str">
        <x:v>INT</x:v>
      </x:c>
      <x:c r="I605" s="9" t="str">
        <x:v>PD07</x:v>
      </x:c>
      <x:c r="J605" s="17" t="str">
        <x:v>Clock and environmental records</x:v>
      </x:c>
      <x:c r="K605" s="17" t="str">
        <x:v>Boundary archive</x:v>
      </x:c>
      <x:c r="L605" s="17" t="str">
        <x:v>COURT-SEALED UNTIL COHORT RELEASE</x:v>
      </x:c>
      <x:c r="M605" s="9" t="n">
        <x:v>0</x:v>
      </x:c>
      <x:c r="N605" s="9" t="n">
        <x:v>0</x:v>
      </x:c>
      <x:c r="O605" s="9" t="n">
        <x:v>0</x:v>
      </x:c>
      <x:c r="P605" s="9" t="str">
        <x:v>HELD / UNRELEASED</x:v>
      </x:c>
      <x:c r="Q605" s="9" t="n">
        <x:f>COUNTIFS($A$7:$A$2310,A605)</x:f>
        <x:v>1</x:v>
      </x:c>
    </x:row>
    <x:row r="606">
      <x:c r="A606" s="9" t="str">
        <x:v>PD-AR-ET-A-A-TECH-2-B1-INT-G0-PD08</x:v>
      </x:c>
      <x:c r="B606" s="9" t="str">
        <x:v>PD-AR-ET-A-A-TECH-2-B1-INT-G0</x:v>
      </x:c>
      <x:c r="C606" s="9" t="str">
        <x:v>EV-AR-ET-A-A-TECH-2-B1-INT-G0</x:v>
      </x:c>
      <x:c r="D606" s="9" t="str">
        <x:v>AR-ET-A-A-TECH-2-B1-INT-G0</x:v>
      </x:c>
      <x:c r="E606" s="9" t="str">
        <x:v>ET-A-A-TECH-2</x:v>
      </x:c>
      <x:c r="F606" s="9" t="str">
        <x:v>ET-A-A</x:v>
      </x:c>
      <x:c r="G606" s="9" t="str">
        <x:v>B1</x:v>
      </x:c>
      <x:c r="H606" s="9" t="str">
        <x:v>INT</x:v>
      </x:c>
      <x:c r="I606" s="9" t="str">
        <x:v>PD08</x:v>
      </x:c>
      <x:c r="J606" s="17" t="str">
        <x:v>Command and intervention log</x:v>
      </x:c>
      <x:c r="K606" s="17" t="str">
        <x:v>Safety archive</x:v>
      </x:c>
      <x:c r="L606" s="17" t="str">
        <x:v>COURT-SEALED UNTIL COHORT RELEASE</x:v>
      </x:c>
      <x:c r="M606" s="9" t="n">
        <x:v>0</x:v>
      </x:c>
      <x:c r="N606" s="9" t="n">
        <x:v>0</x:v>
      </x:c>
      <x:c r="O606" s="9" t="n">
        <x:v>0</x:v>
      </x:c>
      <x:c r="P606" s="9" t="str">
        <x:v>HELD / UNRELEASED</x:v>
      </x:c>
      <x:c r="Q606" s="9" t="n">
        <x:f>COUNTIFS($A$7:$A$2310,A606)</x:f>
        <x:v>1</x:v>
      </x:c>
    </x:row>
    <x:row r="607">
      <x:c r="A607" s="9" t="str">
        <x:v>PD-AR-ET-A-A-TECH-2-B1-INT-G0-PD09</x:v>
      </x:c>
      <x:c r="B607" s="9" t="str">
        <x:v>PD-AR-ET-A-A-TECH-2-B1-INT-G0</x:v>
      </x:c>
      <x:c r="C607" s="9" t="str">
        <x:v>EV-AR-ET-A-A-TECH-2-B1-INT-G0</x:v>
      </x:c>
      <x:c r="D607" s="9" t="str">
        <x:v>AR-ET-A-A-TECH-2-B1-INT-G0</x:v>
      </x:c>
      <x:c r="E607" s="9" t="str">
        <x:v>ET-A-A-TECH-2</x:v>
      </x:c>
      <x:c r="F607" s="9" t="str">
        <x:v>ET-A-A</x:v>
      </x:c>
      <x:c r="G607" s="9" t="str">
        <x:v>B1</x:v>
      </x:c>
      <x:c r="H607" s="9" t="str">
        <x:v>INT</x:v>
      </x:c>
      <x:c r="I607" s="9" t="str">
        <x:v>PD09</x:v>
      </x:c>
      <x:c r="J607" s="17" t="str">
        <x:v>Receiver denominator and service ledger</x:v>
      </x:c>
      <x:c r="K607" s="17" t="str">
        <x:v>Receiver archive</x:v>
      </x:c>
      <x:c r="L607" s="17" t="str">
        <x:v>COURT-SEALED UNTIL COHORT RELEASE</x:v>
      </x:c>
      <x:c r="M607" s="9" t="n">
        <x:v>0</x:v>
      </x:c>
      <x:c r="N607" s="9" t="n">
        <x:v>0</x:v>
      </x:c>
      <x:c r="O607" s="9" t="n">
        <x:v>0</x:v>
      </x:c>
      <x:c r="P607" s="9" t="str">
        <x:v>HELD / UNRELEASED</x:v>
      </x:c>
      <x:c r="Q607" s="9" t="n">
        <x:f>COUNTIFS($A$7:$A$2310,A607)</x:f>
        <x:v>1</x:v>
      </x:c>
    </x:row>
    <x:row r="608">
      <x:c r="A608" s="9" t="str">
        <x:v>PD-AR-ET-A-A-TECH-2-B1-INT-G0-PD10</x:v>
      </x:c>
      <x:c r="B608" s="9" t="str">
        <x:v>PD-AR-ET-A-A-TECH-2-B1-INT-G0</x:v>
      </x:c>
      <x:c r="C608" s="9" t="str">
        <x:v>EV-AR-ET-A-A-TECH-2-B1-INT-G0</x:v>
      </x:c>
      <x:c r="D608" s="9" t="str">
        <x:v>AR-ET-A-A-TECH-2-B1-INT-G0</x:v>
      </x:c>
      <x:c r="E608" s="9" t="str">
        <x:v>ET-A-A-TECH-2</x:v>
      </x:c>
      <x:c r="F608" s="9" t="str">
        <x:v>ET-A-A</x:v>
      </x:c>
      <x:c r="G608" s="9" t="str">
        <x:v>B1</x:v>
      </x:c>
      <x:c r="H608" s="9" t="str">
        <x:v>INT</x:v>
      </x:c>
      <x:c r="I608" s="9" t="str">
        <x:v>PD10</x:v>
      </x:c>
      <x:c r="J608" s="17" t="str">
        <x:v>Calibration and uncertainty record</x:v>
      </x:c>
      <x:c r="K608" s="17" t="str">
        <x:v>Metrology archive</x:v>
      </x:c>
      <x:c r="L608" s="17" t="str">
        <x:v>COURT-SEALED UNTIL COHORT RELEASE</x:v>
      </x:c>
      <x:c r="M608" s="9" t="n">
        <x:v>0</x:v>
      </x:c>
      <x:c r="N608" s="9" t="n">
        <x:v>0</x:v>
      </x:c>
      <x:c r="O608" s="9" t="n">
        <x:v>0</x:v>
      </x:c>
      <x:c r="P608" s="9" t="str">
        <x:v>HELD / UNRELEASED</x:v>
      </x:c>
      <x:c r="Q608" s="9" t="n">
        <x:f>COUNTIFS($A$7:$A$2310,A608)</x:f>
        <x:v>1</x:v>
      </x:c>
    </x:row>
    <x:row r="609">
      <x:c r="A609" s="9" t="str">
        <x:v>PD-AR-ET-A-A-TECH-2-B1-INT-G0-PD11</x:v>
      </x:c>
      <x:c r="B609" s="9" t="str">
        <x:v>PD-AR-ET-A-A-TECH-2-B1-INT-G0</x:v>
      </x:c>
      <x:c r="C609" s="9" t="str">
        <x:v>EV-AR-ET-A-A-TECH-2-B1-INT-G0</x:v>
      </x:c>
      <x:c r="D609" s="9" t="str">
        <x:v>AR-ET-A-A-TECH-2-B1-INT-G0</x:v>
      </x:c>
      <x:c r="E609" s="9" t="str">
        <x:v>ET-A-A-TECH-2</x:v>
      </x:c>
      <x:c r="F609" s="9" t="str">
        <x:v>ET-A-A</x:v>
      </x:c>
      <x:c r="G609" s="9" t="str">
        <x:v>B1</x:v>
      </x:c>
      <x:c r="H609" s="9" t="str">
        <x:v>INT</x:v>
      </x:c>
      <x:c r="I609" s="9" t="str">
        <x:v>PD11</x:v>
      </x:c>
      <x:c r="J609" s="17" t="str">
        <x:v>Invalidity petition and opinion</x:v>
      </x:c>
      <x:c r="K609" s="17" t="str">
        <x:v>Invalidity court</x:v>
      </x:c>
      <x:c r="L609" s="17" t="str">
        <x:v>COURT-SEALED UNTIL COHORT RELEASE</x:v>
      </x:c>
      <x:c r="M609" s="9" t="n">
        <x:v>0</x:v>
      </x:c>
      <x:c r="N609" s="9" t="n">
        <x:v>0</x:v>
      </x:c>
      <x:c r="O609" s="9" t="n">
        <x:v>0</x:v>
      </x:c>
      <x:c r="P609" s="9" t="str">
        <x:v>HELD / UNRELEASED</x:v>
      </x:c>
      <x:c r="Q609" s="9" t="n">
        <x:f>COUNTIFS($A$7:$A$2310,A609)</x:f>
        <x:v>1</x:v>
      </x:c>
    </x:row>
    <x:row r="610">
      <x:c r="A610" s="9" t="str">
        <x:v>PD-AR-ET-A-A-TECH-2-B1-INT-G0-PD12</x:v>
      </x:c>
      <x:c r="B610" s="9" t="str">
        <x:v>PD-AR-ET-A-A-TECH-2-B1-INT-G0</x:v>
      </x:c>
      <x:c r="C610" s="9" t="str">
        <x:v>EV-AR-ET-A-A-TECH-2-B1-INT-G0</x:v>
      </x:c>
      <x:c r="D610" s="9" t="str">
        <x:v>AR-ET-A-A-TECH-2-B1-INT-G0</x:v>
      </x:c>
      <x:c r="E610" s="9" t="str">
        <x:v>ET-A-A-TECH-2</x:v>
      </x:c>
      <x:c r="F610" s="9" t="str">
        <x:v>ET-A-A</x:v>
      </x:c>
      <x:c r="G610" s="9" t="str">
        <x:v>B1</x:v>
      </x:c>
      <x:c r="H610" s="9" t="str">
        <x:v>INT</x:v>
      </x:c>
      <x:c r="I610" s="9" t="str">
        <x:v>PD12</x:v>
      </x:c>
      <x:c r="J610" s="17" t="str">
        <x:v>Observation acceptance and replay</x:v>
      </x:c>
      <x:c r="K610" s="17" t="str">
        <x:v>Observation court</x:v>
      </x:c>
      <x:c r="L610" s="17" t="str">
        <x:v>COURT-SEALED UNTIL COHORT RELEASE</x:v>
      </x:c>
      <x:c r="M610" s="9" t="n">
        <x:v>0</x:v>
      </x:c>
      <x:c r="N610" s="9" t="n">
        <x:v>0</x:v>
      </x:c>
      <x:c r="O610" s="9" t="n">
        <x:v>0</x:v>
      </x:c>
      <x:c r="P610" s="9" t="str">
        <x:v>HELD / UNRELEASED</x:v>
      </x:c>
      <x:c r="Q610" s="9" t="n">
        <x:f>COUNTIFS($A$7:$A$2310,A610)</x:f>
        <x:v>1</x:v>
      </x:c>
    </x:row>
    <x:row r="611">
      <x:c r="A611" s="9" t="str">
        <x:v>PD-AR-ET-A-A-TECH-2-B1-INT-G0-PD13</x:v>
      </x:c>
      <x:c r="B611" s="9" t="str">
        <x:v>PD-AR-ET-A-A-TECH-2-B1-INT-G0</x:v>
      </x:c>
      <x:c r="C611" s="9" t="str">
        <x:v>EV-AR-ET-A-A-TECH-2-B1-INT-G0</x:v>
      </x:c>
      <x:c r="D611" s="9" t="str">
        <x:v>AR-ET-A-A-TECH-2-B1-INT-G0</x:v>
      </x:c>
      <x:c r="E611" s="9" t="str">
        <x:v>ET-A-A-TECH-2</x:v>
      </x:c>
      <x:c r="F611" s="9" t="str">
        <x:v>ET-A-A</x:v>
      </x:c>
      <x:c r="G611" s="9" t="str">
        <x:v>B1</x:v>
      </x:c>
      <x:c r="H611" s="9" t="str">
        <x:v>INT</x:v>
      </x:c>
      <x:c r="I611" s="9" t="str">
        <x:v>PD13</x:v>
      </x:c>
      <x:c r="J611" s="17" t="str">
        <x:v>Role judgment</x:v>
      </x:c>
      <x:c r="K611" s="17" t="str">
        <x:v>Role court</x:v>
      </x:c>
      <x:c r="L611" s="17" t="str">
        <x:v>COURT-SEALED UNTIL COHORT RELEASE</x:v>
      </x:c>
      <x:c r="M611" s="9" t="n">
        <x:v>0</x:v>
      </x:c>
      <x:c r="N611" s="9" t="n">
        <x:v>0</x:v>
      </x:c>
      <x:c r="O611" s="9" t="n">
        <x:v>0</x:v>
      </x:c>
      <x:c r="P611" s="9" t="str">
        <x:v>HELD / UNRELEASED</x:v>
      </x:c>
      <x:c r="Q611" s="9" t="n">
        <x:f>COUNTIFS($A$7:$A$2310,A611)</x:f>
        <x:v>1</x:v>
      </x:c>
    </x:row>
    <x:row r="612">
      <x:c r="A612" s="9" t="str">
        <x:v>PD-AR-ET-A-A-TECH-2-B1-INT-G0-PD14</x:v>
      </x:c>
      <x:c r="B612" s="9" t="str">
        <x:v>PD-AR-ET-A-A-TECH-2-B1-INT-G0</x:v>
      </x:c>
      <x:c r="C612" s="9" t="str">
        <x:v>EV-AR-ET-A-A-TECH-2-B1-INT-G0</x:v>
      </x:c>
      <x:c r="D612" s="9" t="str">
        <x:v>AR-ET-A-A-TECH-2-B1-INT-G0</x:v>
      </x:c>
      <x:c r="E612" s="9" t="str">
        <x:v>ET-A-A-TECH-2</x:v>
      </x:c>
      <x:c r="F612" s="9" t="str">
        <x:v>ET-A-A</x:v>
      </x:c>
      <x:c r="G612" s="9" t="str">
        <x:v>B1</x:v>
      </x:c>
      <x:c r="H612" s="9" t="str">
        <x:v>INT</x:v>
      </x:c>
      <x:c r="I612" s="9" t="str">
        <x:v>PD14</x:v>
      </x:c>
      <x:c r="J612" s="17" t="str">
        <x:v>Break and residual account</x:v>
      </x:c>
      <x:c r="K612" s="17" t="str">
        <x:v>Residual authority</x:v>
      </x:c>
      <x:c r="L612" s="17" t="str">
        <x:v>COURT-SEALED UNTIL COHORT RELEASE</x:v>
      </x:c>
      <x:c r="M612" s="9" t="n">
        <x:v>0</x:v>
      </x:c>
      <x:c r="N612" s="9" t="n">
        <x:v>0</x:v>
      </x:c>
      <x:c r="O612" s="9" t="n">
        <x:v>0</x:v>
      </x:c>
      <x:c r="P612" s="9" t="str">
        <x:v>HELD / UNRELEASED</x:v>
      </x:c>
      <x:c r="Q612" s="9" t="n">
        <x:f>COUNTIFS($A$7:$A$2310,A612)</x:f>
        <x:v>1</x:v>
      </x:c>
    </x:row>
    <x:row r="613">
      <x:c r="A613" s="9" t="str">
        <x:v>PD-AR-ET-A-A-TECH-2-B1-INT-G0-PD15</x:v>
      </x:c>
      <x:c r="B613" s="9" t="str">
        <x:v>PD-AR-ET-A-A-TECH-2-B1-INT-G0</x:v>
      </x:c>
      <x:c r="C613" s="9" t="str">
        <x:v>EV-AR-ET-A-A-TECH-2-B1-INT-G0</x:v>
      </x:c>
      <x:c r="D613" s="9" t="str">
        <x:v>AR-ET-A-A-TECH-2-B1-INT-G0</x:v>
      </x:c>
      <x:c r="E613" s="9" t="str">
        <x:v>ET-A-A-TECH-2</x:v>
      </x:c>
      <x:c r="F613" s="9" t="str">
        <x:v>ET-A-A</x:v>
      </x:c>
      <x:c r="G613" s="9" t="str">
        <x:v>B1</x:v>
      </x:c>
      <x:c r="H613" s="9" t="str">
        <x:v>INT</x:v>
      </x:c>
      <x:c r="I613" s="9" t="str">
        <x:v>PD15</x:v>
      </x:c>
      <x:c r="J613" s="17" t="str">
        <x:v>Reconstruction ancestry and replay</x:v>
      </x:c>
      <x:c r="K613" s="17" t="str">
        <x:v>Reconstruction court</x:v>
      </x:c>
      <x:c r="L613" s="17" t="str">
        <x:v>COURT-SEALED UNTIL COHORT RELEASE</x:v>
      </x:c>
      <x:c r="M613" s="9" t="n">
        <x:v>0</x:v>
      </x:c>
      <x:c r="N613" s="9" t="n">
        <x:v>0</x:v>
      </x:c>
      <x:c r="O613" s="9" t="n">
        <x:v>0</x:v>
      </x:c>
      <x:c r="P613" s="9" t="str">
        <x:v>HELD / UNRELEASED</x:v>
      </x:c>
      <x:c r="Q613" s="9" t="n">
        <x:f>COUNTIFS($A$7:$A$2310,A613)</x:f>
        <x:v>1</x:v>
      </x:c>
    </x:row>
    <x:row r="614">
      <x:c r="A614" s="9" t="str">
        <x:v>PD-AR-ET-A-A-TECH-2-B1-INT-G0-PD16</x:v>
      </x:c>
      <x:c r="B614" s="9" t="str">
        <x:v>PD-AR-ET-A-A-TECH-2-B1-INT-G0</x:v>
      </x:c>
      <x:c r="C614" s="9" t="str">
        <x:v>EV-AR-ET-A-A-TECH-2-B1-INT-G0</x:v>
      </x:c>
      <x:c r="D614" s="9" t="str">
        <x:v>AR-ET-A-A-TECH-2-B1-INT-G0</x:v>
      </x:c>
      <x:c r="E614" s="9" t="str">
        <x:v>ET-A-A-TECH-2</x:v>
      </x:c>
      <x:c r="F614" s="9" t="str">
        <x:v>ET-A-A</x:v>
      </x:c>
      <x:c r="G614" s="9" t="str">
        <x:v>B1</x:v>
      </x:c>
      <x:c r="H614" s="9" t="str">
        <x:v>INT</x:v>
      </x:c>
      <x:c r="I614" s="9" t="str">
        <x:v>PD16</x:v>
      </x:c>
      <x:c r="J614" s="17" t="str">
        <x:v>Dissent, amendments and access log</x:v>
      </x:c>
      <x:c r="K614" s="17" t="str">
        <x:v>Public archive</x:v>
      </x:c>
      <x:c r="L614" s="17" t="str">
        <x:v>COURT-SEALED UNTIL COHORT RELEASE</x:v>
      </x:c>
      <x:c r="M614" s="9" t="n">
        <x:v>0</x:v>
      </x:c>
      <x:c r="N614" s="9" t="n">
        <x:v>0</x:v>
      </x:c>
      <x:c r="O614" s="9" t="n">
        <x:v>0</x:v>
      </x:c>
      <x:c r="P614" s="9" t="str">
        <x:v>HELD / UNRELEASED</x:v>
      </x:c>
      <x:c r="Q614" s="9" t="n">
        <x:f>COUNTIFS($A$7:$A$2310,A614)</x:f>
        <x:v>1</x:v>
      </x:c>
    </x:row>
    <x:row r="615">
      <x:c r="A615" s="9" t="str">
        <x:v>PD-AR-HU-A-B-TECH-3-B2-INT-G0-PD01</x:v>
      </x:c>
      <x:c r="B615" s="9" t="str">
        <x:v>PD-AR-HU-A-B-TECH-3-B2-INT-G0</x:v>
      </x:c>
      <x:c r="C615" s="9" t="str">
        <x:v>EV-AR-HU-A-B-TECH-3-B2-INT-G0</x:v>
      </x:c>
      <x:c r="D615" s="9" t="str">
        <x:v>AR-HU-A-B-TECH-3-B2-INT-G0</x:v>
      </x:c>
      <x:c r="E615" s="9" t="str">
        <x:v>HU-A-B-TECH-3</x:v>
      </x:c>
      <x:c r="F615" s="9" t="str">
        <x:v>HU-A-B</x:v>
      </x:c>
      <x:c r="G615" s="9" t="str">
        <x:v>B2</x:v>
      </x:c>
      <x:c r="H615" s="9" t="str">
        <x:v>INT</x:v>
      </x:c>
      <x:c r="I615" s="9" t="str">
        <x:v>PD01</x:v>
      </x:c>
      <x:c r="J615" s="17" t="str">
        <x:v>Experiment kernel</x:v>
      </x:c>
      <x:c r="K615" s="17" t="str">
        <x:v>Public archive</x:v>
      </x:c>
      <x:c r="L615" s="17" t="str">
        <x:v>COURT-SEALED UNTIL COHORT RELEASE</x:v>
      </x:c>
      <x:c r="M615" s="9" t="n">
        <x:v>0</x:v>
      </x:c>
      <x:c r="N615" s="9" t="n">
        <x:v>0</x:v>
      </x:c>
      <x:c r="O615" s="9" t="n">
        <x:v>0</x:v>
      </x:c>
      <x:c r="P615" s="9" t="str">
        <x:v>HELD / UNRELEASED</x:v>
      </x:c>
      <x:c r="Q615" s="9" t="n">
        <x:f>COUNTIFS($A$7:$A$2310,A615)</x:f>
        <x:v>1</x:v>
      </x:c>
    </x:row>
    <x:row r="616">
      <x:c r="A616" s="9" t="str">
        <x:v>PD-AR-HU-A-B-TECH-3-B2-INT-G0-PD02</x:v>
      </x:c>
      <x:c r="B616" s="9" t="str">
        <x:v>PD-AR-HU-A-B-TECH-3-B2-INT-G0</x:v>
      </x:c>
      <x:c r="C616" s="9" t="str">
        <x:v>EV-AR-HU-A-B-TECH-3-B2-INT-G0</x:v>
      </x:c>
      <x:c r="D616" s="9" t="str">
        <x:v>AR-HU-A-B-TECH-3-B2-INT-G0</x:v>
      </x:c>
      <x:c r="E616" s="9" t="str">
        <x:v>HU-A-B-TECH-3</x:v>
      </x:c>
      <x:c r="F616" s="9" t="str">
        <x:v>HU-A-B</x:v>
      </x:c>
      <x:c r="G616" s="9" t="str">
        <x:v>B2</x:v>
      </x:c>
      <x:c r="H616" s="9" t="str">
        <x:v>INT</x:v>
      </x:c>
      <x:c r="I616" s="9" t="str">
        <x:v>PD02</x:v>
      </x:c>
      <x:c r="J616" s="17" t="str">
        <x:v>Serial annex and title chain</x:v>
      </x:c>
      <x:c r="K616" s="17" t="str">
        <x:v>Public archive</x:v>
      </x:c>
      <x:c r="L616" s="17" t="str">
        <x:v>COURT-SEALED UNTIL COHORT RELEASE</x:v>
      </x:c>
      <x:c r="M616" s="9" t="n">
        <x:v>0</x:v>
      </x:c>
      <x:c r="N616" s="9" t="n">
        <x:v>0</x:v>
      </x:c>
      <x:c r="O616" s="9" t="n">
        <x:v>0</x:v>
      </x:c>
      <x:c r="P616" s="9" t="str">
        <x:v>HELD / UNRELEASED</x:v>
      </x:c>
      <x:c r="Q616" s="9" t="n">
        <x:f>COUNTIFS($A$7:$A$2310,A616)</x:f>
        <x:v>1</x:v>
      </x:c>
    </x:row>
    <x:row r="617">
      <x:c r="A617" s="9" t="str">
        <x:v>PD-AR-HU-A-B-TECH-3-B2-INT-G0-PD03</x:v>
      </x:c>
      <x:c r="B617" s="9" t="str">
        <x:v>PD-AR-HU-A-B-TECH-3-B2-INT-G0</x:v>
      </x:c>
      <x:c r="C617" s="9" t="str">
        <x:v>EV-AR-HU-A-B-TECH-3-B2-INT-G0</x:v>
      </x:c>
      <x:c r="D617" s="9" t="str">
        <x:v>AR-HU-A-B-TECH-3-B2-INT-G0</x:v>
      </x:c>
      <x:c r="E617" s="9" t="str">
        <x:v>HU-A-B-TECH-3</x:v>
      </x:c>
      <x:c r="F617" s="9" t="str">
        <x:v>HU-A-B</x:v>
      </x:c>
      <x:c r="G617" s="9" t="str">
        <x:v>B2</x:v>
      </x:c>
      <x:c r="H617" s="9" t="str">
        <x:v>INT</x:v>
      </x:c>
      <x:c r="I617" s="9" t="str">
        <x:v>PD03</x:v>
      </x:c>
      <x:c r="J617" s="17" t="str">
        <x:v>Configuration and as-built manifest</x:v>
      </x:c>
      <x:c r="K617" s="17" t="str">
        <x:v>Artifact exchange</x:v>
      </x:c>
      <x:c r="L617" s="17" t="str">
        <x:v>COURT-SEALED UNTIL COHORT RELEASE</x:v>
      </x:c>
      <x:c r="M617" s="9" t="n">
        <x:v>0</x:v>
      </x:c>
      <x:c r="N617" s="9" t="n">
        <x:v>0</x:v>
      </x:c>
      <x:c r="O617" s="9" t="n">
        <x:v>0</x:v>
      </x:c>
      <x:c r="P617" s="9" t="str">
        <x:v>HELD / UNRELEASED</x:v>
      </x:c>
      <x:c r="Q617" s="9" t="n">
        <x:f>COUNTIFS($A$7:$A$2310,A617)</x:f>
        <x:v>1</x:v>
      </x:c>
    </x:row>
    <x:row r="618">
      <x:c r="A618" s="9" t="str">
        <x:v>PD-AR-HU-A-B-TECH-3-B2-INT-G0-PD04</x:v>
      </x:c>
      <x:c r="B618" s="9" t="str">
        <x:v>PD-AR-HU-A-B-TECH-3-B2-INT-G0</x:v>
      </x:c>
      <x:c r="C618" s="9" t="str">
        <x:v>EV-AR-HU-A-B-TECH-3-B2-INT-G0</x:v>
      </x:c>
      <x:c r="D618" s="9" t="str">
        <x:v>AR-HU-A-B-TECH-3-B2-INT-G0</x:v>
      </x:c>
      <x:c r="E618" s="9" t="str">
        <x:v>HU-A-B-TECH-3</x:v>
      </x:c>
      <x:c r="F618" s="9" t="str">
        <x:v>HU-A-B</x:v>
      </x:c>
      <x:c r="G618" s="9" t="str">
        <x:v>B2</x:v>
      </x:c>
      <x:c r="H618" s="9" t="str">
        <x:v>INT</x:v>
      </x:c>
      <x:c r="I618" s="9" t="str">
        <x:v>PD04</x:v>
      </x:c>
      <x:c r="J618" s="17" t="str">
        <x:v>EOW and start certificate</x:v>
      </x:c>
      <x:c r="K618" s="17" t="str">
        <x:v>Start registrar</x:v>
      </x:c>
      <x:c r="L618" s="17" t="str">
        <x:v>COURT-SEALED UNTIL COHORT RELEASE</x:v>
      </x:c>
      <x:c r="M618" s="9" t="n">
        <x:v>0</x:v>
      </x:c>
      <x:c r="N618" s="9" t="n">
        <x:v>0</x:v>
      </x:c>
      <x:c r="O618" s="9" t="n">
        <x:v>0</x:v>
      </x:c>
      <x:c r="P618" s="9" t="str">
        <x:v>HELD / UNRELEASED</x:v>
      </x:c>
      <x:c r="Q618" s="9" t="n">
        <x:f>COUNTIFS($A$7:$A$2310,A618)</x:f>
        <x:v>1</x:v>
      </x:c>
    </x:row>
    <x:row r="619">
      <x:c r="A619" s="9" t="str">
        <x:v>PD-AR-HU-A-B-TECH-3-B2-INT-G0-PD05</x:v>
      </x:c>
      <x:c r="B619" s="9" t="str">
        <x:v>PD-AR-HU-A-B-TECH-3-B2-INT-G0</x:v>
      </x:c>
      <x:c r="C619" s="9" t="str">
        <x:v>EV-AR-HU-A-B-TECH-3-B2-INT-G0</x:v>
      </x:c>
      <x:c r="D619" s="9" t="str">
        <x:v>AR-HU-A-B-TECH-3-B2-INT-G0</x:v>
      </x:c>
      <x:c r="E619" s="9" t="str">
        <x:v>HU-A-B-TECH-3</x:v>
      </x:c>
      <x:c r="F619" s="9" t="str">
        <x:v>HU-A-B</x:v>
      </x:c>
      <x:c r="G619" s="9" t="str">
        <x:v>B2</x:v>
      </x:c>
      <x:c r="H619" s="9" t="str">
        <x:v>INT</x:v>
      </x:c>
      <x:c r="I619" s="9" t="str">
        <x:v>PD05</x:v>
      </x:c>
      <x:c r="J619" s="17" t="str">
        <x:v>Primary raw originals</x:v>
      </x:c>
      <x:c r="K619" s="17" t="str">
        <x:v>Primary custody</x:v>
      </x:c>
      <x:c r="L619" s="17" t="str">
        <x:v>COURT-SEALED UNTIL COHORT RELEASE</x:v>
      </x:c>
      <x:c r="M619" s="9" t="n">
        <x:v>0</x:v>
      </x:c>
      <x:c r="N619" s="9" t="n">
        <x:v>0</x:v>
      </x:c>
      <x:c r="O619" s="9" t="n">
        <x:v>0</x:v>
      </x:c>
      <x:c r="P619" s="9" t="str">
        <x:v>HELD / UNRELEASED</x:v>
      </x:c>
      <x:c r="Q619" s="9" t="n">
        <x:f>COUNTIFS($A$7:$A$2310,A619)</x:f>
        <x:v>1</x:v>
      </x:c>
    </x:row>
    <x:row r="620">
      <x:c r="A620" s="9" t="str">
        <x:v>PD-AR-HU-A-B-TECH-3-B2-INT-G0-PD06</x:v>
      </x:c>
      <x:c r="B620" s="9" t="str">
        <x:v>PD-AR-HU-A-B-TECH-3-B2-INT-G0</x:v>
      </x:c>
      <x:c r="C620" s="9" t="str">
        <x:v>EV-AR-HU-A-B-TECH-3-B2-INT-G0</x:v>
      </x:c>
      <x:c r="D620" s="9" t="str">
        <x:v>AR-HU-A-B-TECH-3-B2-INT-G0</x:v>
      </x:c>
      <x:c r="E620" s="9" t="str">
        <x:v>HU-A-B-TECH-3</x:v>
      </x:c>
      <x:c r="F620" s="9" t="str">
        <x:v>HU-A-B</x:v>
      </x:c>
      <x:c r="G620" s="9" t="str">
        <x:v>B2</x:v>
      </x:c>
      <x:c r="H620" s="9" t="str">
        <x:v>INT</x:v>
      </x:c>
      <x:c r="I620" s="9" t="str">
        <x:v>PD06</x:v>
      </x:c>
      <x:c r="J620" s="17" t="str">
        <x:v>Witness raw originals</x:v>
      </x:c>
      <x:c r="K620" s="17" t="str">
        <x:v>Witness custody</x:v>
      </x:c>
      <x:c r="L620" s="17" t="str">
        <x:v>COURT-SEALED UNTIL COHORT RELEASE</x:v>
      </x:c>
      <x:c r="M620" s="9" t="n">
        <x:v>0</x:v>
      </x:c>
      <x:c r="N620" s="9" t="n">
        <x:v>0</x:v>
      </x:c>
      <x:c r="O620" s="9" t="n">
        <x:v>0</x:v>
      </x:c>
      <x:c r="P620" s="9" t="str">
        <x:v>HELD / UNRELEASED</x:v>
      </x:c>
      <x:c r="Q620" s="9" t="n">
        <x:f>COUNTIFS($A$7:$A$2310,A620)</x:f>
        <x:v>1</x:v>
      </x:c>
    </x:row>
    <x:row r="621">
      <x:c r="A621" s="9" t="str">
        <x:v>PD-AR-HU-A-B-TECH-3-B2-INT-G0-PD07</x:v>
      </x:c>
      <x:c r="B621" s="9" t="str">
        <x:v>PD-AR-HU-A-B-TECH-3-B2-INT-G0</x:v>
      </x:c>
      <x:c r="C621" s="9" t="str">
        <x:v>EV-AR-HU-A-B-TECH-3-B2-INT-G0</x:v>
      </x:c>
      <x:c r="D621" s="9" t="str">
        <x:v>AR-HU-A-B-TECH-3-B2-INT-G0</x:v>
      </x:c>
      <x:c r="E621" s="9" t="str">
        <x:v>HU-A-B-TECH-3</x:v>
      </x:c>
      <x:c r="F621" s="9" t="str">
        <x:v>HU-A-B</x:v>
      </x:c>
      <x:c r="G621" s="9" t="str">
        <x:v>B2</x:v>
      </x:c>
      <x:c r="H621" s="9" t="str">
        <x:v>INT</x:v>
      </x:c>
      <x:c r="I621" s="9" t="str">
        <x:v>PD07</x:v>
      </x:c>
      <x:c r="J621" s="17" t="str">
        <x:v>Clock and environmental records</x:v>
      </x:c>
      <x:c r="K621" s="17" t="str">
        <x:v>Boundary archive</x:v>
      </x:c>
      <x:c r="L621" s="17" t="str">
        <x:v>COURT-SEALED UNTIL COHORT RELEASE</x:v>
      </x:c>
      <x:c r="M621" s="9" t="n">
        <x:v>0</x:v>
      </x:c>
      <x:c r="N621" s="9" t="n">
        <x:v>0</x:v>
      </x:c>
      <x:c r="O621" s="9" t="n">
        <x:v>0</x:v>
      </x:c>
      <x:c r="P621" s="9" t="str">
        <x:v>HELD / UNRELEASED</x:v>
      </x:c>
      <x:c r="Q621" s="9" t="n">
        <x:f>COUNTIFS($A$7:$A$2310,A621)</x:f>
        <x:v>1</x:v>
      </x:c>
    </x:row>
    <x:row r="622">
      <x:c r="A622" s="9" t="str">
        <x:v>PD-AR-HU-A-B-TECH-3-B2-INT-G0-PD08</x:v>
      </x:c>
      <x:c r="B622" s="9" t="str">
        <x:v>PD-AR-HU-A-B-TECH-3-B2-INT-G0</x:v>
      </x:c>
      <x:c r="C622" s="9" t="str">
        <x:v>EV-AR-HU-A-B-TECH-3-B2-INT-G0</x:v>
      </x:c>
      <x:c r="D622" s="9" t="str">
        <x:v>AR-HU-A-B-TECH-3-B2-INT-G0</x:v>
      </x:c>
      <x:c r="E622" s="9" t="str">
        <x:v>HU-A-B-TECH-3</x:v>
      </x:c>
      <x:c r="F622" s="9" t="str">
        <x:v>HU-A-B</x:v>
      </x:c>
      <x:c r="G622" s="9" t="str">
        <x:v>B2</x:v>
      </x:c>
      <x:c r="H622" s="9" t="str">
        <x:v>INT</x:v>
      </x:c>
      <x:c r="I622" s="9" t="str">
        <x:v>PD08</x:v>
      </x:c>
      <x:c r="J622" s="17" t="str">
        <x:v>Command and intervention log</x:v>
      </x:c>
      <x:c r="K622" s="17" t="str">
        <x:v>Safety archive</x:v>
      </x:c>
      <x:c r="L622" s="17" t="str">
        <x:v>COURT-SEALED UNTIL COHORT RELEASE</x:v>
      </x:c>
      <x:c r="M622" s="9" t="n">
        <x:v>0</x:v>
      </x:c>
      <x:c r="N622" s="9" t="n">
        <x:v>0</x:v>
      </x:c>
      <x:c r="O622" s="9" t="n">
        <x:v>0</x:v>
      </x:c>
      <x:c r="P622" s="9" t="str">
        <x:v>HELD / UNRELEASED</x:v>
      </x:c>
      <x:c r="Q622" s="9" t="n">
        <x:f>COUNTIFS($A$7:$A$2310,A622)</x:f>
        <x:v>1</x:v>
      </x:c>
    </x:row>
    <x:row r="623">
      <x:c r="A623" s="9" t="str">
        <x:v>PD-AR-HU-A-B-TECH-3-B2-INT-G0-PD09</x:v>
      </x:c>
      <x:c r="B623" s="9" t="str">
        <x:v>PD-AR-HU-A-B-TECH-3-B2-INT-G0</x:v>
      </x:c>
      <x:c r="C623" s="9" t="str">
        <x:v>EV-AR-HU-A-B-TECH-3-B2-INT-G0</x:v>
      </x:c>
      <x:c r="D623" s="9" t="str">
        <x:v>AR-HU-A-B-TECH-3-B2-INT-G0</x:v>
      </x:c>
      <x:c r="E623" s="9" t="str">
        <x:v>HU-A-B-TECH-3</x:v>
      </x:c>
      <x:c r="F623" s="9" t="str">
        <x:v>HU-A-B</x:v>
      </x:c>
      <x:c r="G623" s="9" t="str">
        <x:v>B2</x:v>
      </x:c>
      <x:c r="H623" s="9" t="str">
        <x:v>INT</x:v>
      </x:c>
      <x:c r="I623" s="9" t="str">
        <x:v>PD09</x:v>
      </x:c>
      <x:c r="J623" s="17" t="str">
        <x:v>Receiver denominator and service ledger</x:v>
      </x:c>
      <x:c r="K623" s="17" t="str">
        <x:v>Receiver archive</x:v>
      </x:c>
      <x:c r="L623" s="17" t="str">
        <x:v>COURT-SEALED UNTIL COHORT RELEASE</x:v>
      </x:c>
      <x:c r="M623" s="9" t="n">
        <x:v>0</x:v>
      </x:c>
      <x:c r="N623" s="9" t="n">
        <x:v>0</x:v>
      </x:c>
      <x:c r="O623" s="9" t="n">
        <x:v>0</x:v>
      </x:c>
      <x:c r="P623" s="9" t="str">
        <x:v>HELD / UNRELEASED</x:v>
      </x:c>
      <x:c r="Q623" s="9" t="n">
        <x:f>COUNTIFS($A$7:$A$2310,A623)</x:f>
        <x:v>1</x:v>
      </x:c>
    </x:row>
    <x:row r="624">
      <x:c r="A624" s="9" t="str">
        <x:v>PD-AR-HU-A-B-TECH-3-B2-INT-G0-PD10</x:v>
      </x:c>
      <x:c r="B624" s="9" t="str">
        <x:v>PD-AR-HU-A-B-TECH-3-B2-INT-G0</x:v>
      </x:c>
      <x:c r="C624" s="9" t="str">
        <x:v>EV-AR-HU-A-B-TECH-3-B2-INT-G0</x:v>
      </x:c>
      <x:c r="D624" s="9" t="str">
        <x:v>AR-HU-A-B-TECH-3-B2-INT-G0</x:v>
      </x:c>
      <x:c r="E624" s="9" t="str">
        <x:v>HU-A-B-TECH-3</x:v>
      </x:c>
      <x:c r="F624" s="9" t="str">
        <x:v>HU-A-B</x:v>
      </x:c>
      <x:c r="G624" s="9" t="str">
        <x:v>B2</x:v>
      </x:c>
      <x:c r="H624" s="9" t="str">
        <x:v>INT</x:v>
      </x:c>
      <x:c r="I624" s="9" t="str">
        <x:v>PD10</x:v>
      </x:c>
      <x:c r="J624" s="17" t="str">
        <x:v>Calibration and uncertainty record</x:v>
      </x:c>
      <x:c r="K624" s="17" t="str">
        <x:v>Metrology archive</x:v>
      </x:c>
      <x:c r="L624" s="17" t="str">
        <x:v>COURT-SEALED UNTIL COHORT RELEASE</x:v>
      </x:c>
      <x:c r="M624" s="9" t="n">
        <x:v>0</x:v>
      </x:c>
      <x:c r="N624" s="9" t="n">
        <x:v>0</x:v>
      </x:c>
      <x:c r="O624" s="9" t="n">
        <x:v>0</x:v>
      </x:c>
      <x:c r="P624" s="9" t="str">
        <x:v>HELD / UNRELEASED</x:v>
      </x:c>
      <x:c r="Q624" s="9" t="n">
        <x:f>COUNTIFS($A$7:$A$2310,A624)</x:f>
        <x:v>1</x:v>
      </x:c>
    </x:row>
    <x:row r="625">
      <x:c r="A625" s="9" t="str">
        <x:v>PD-AR-HU-A-B-TECH-3-B2-INT-G0-PD11</x:v>
      </x:c>
      <x:c r="B625" s="9" t="str">
        <x:v>PD-AR-HU-A-B-TECH-3-B2-INT-G0</x:v>
      </x:c>
      <x:c r="C625" s="9" t="str">
        <x:v>EV-AR-HU-A-B-TECH-3-B2-INT-G0</x:v>
      </x:c>
      <x:c r="D625" s="9" t="str">
        <x:v>AR-HU-A-B-TECH-3-B2-INT-G0</x:v>
      </x:c>
      <x:c r="E625" s="9" t="str">
        <x:v>HU-A-B-TECH-3</x:v>
      </x:c>
      <x:c r="F625" s="9" t="str">
        <x:v>HU-A-B</x:v>
      </x:c>
      <x:c r="G625" s="9" t="str">
        <x:v>B2</x:v>
      </x:c>
      <x:c r="H625" s="9" t="str">
        <x:v>INT</x:v>
      </x:c>
      <x:c r="I625" s="9" t="str">
        <x:v>PD11</x:v>
      </x:c>
      <x:c r="J625" s="17" t="str">
        <x:v>Invalidity petition and opinion</x:v>
      </x:c>
      <x:c r="K625" s="17" t="str">
        <x:v>Invalidity court</x:v>
      </x:c>
      <x:c r="L625" s="17" t="str">
        <x:v>COURT-SEALED UNTIL COHORT RELEASE</x:v>
      </x:c>
      <x:c r="M625" s="9" t="n">
        <x:v>0</x:v>
      </x:c>
      <x:c r="N625" s="9" t="n">
        <x:v>0</x:v>
      </x:c>
      <x:c r="O625" s="9" t="n">
        <x:v>0</x:v>
      </x:c>
      <x:c r="P625" s="9" t="str">
        <x:v>HELD / UNRELEASED</x:v>
      </x:c>
      <x:c r="Q625" s="9" t="n">
        <x:f>COUNTIFS($A$7:$A$2310,A625)</x:f>
        <x:v>1</x:v>
      </x:c>
    </x:row>
    <x:row r="626">
      <x:c r="A626" s="9" t="str">
        <x:v>PD-AR-HU-A-B-TECH-3-B2-INT-G0-PD12</x:v>
      </x:c>
      <x:c r="B626" s="9" t="str">
        <x:v>PD-AR-HU-A-B-TECH-3-B2-INT-G0</x:v>
      </x:c>
      <x:c r="C626" s="9" t="str">
        <x:v>EV-AR-HU-A-B-TECH-3-B2-INT-G0</x:v>
      </x:c>
      <x:c r="D626" s="9" t="str">
        <x:v>AR-HU-A-B-TECH-3-B2-INT-G0</x:v>
      </x:c>
      <x:c r="E626" s="9" t="str">
        <x:v>HU-A-B-TECH-3</x:v>
      </x:c>
      <x:c r="F626" s="9" t="str">
        <x:v>HU-A-B</x:v>
      </x:c>
      <x:c r="G626" s="9" t="str">
        <x:v>B2</x:v>
      </x:c>
      <x:c r="H626" s="9" t="str">
        <x:v>INT</x:v>
      </x:c>
      <x:c r="I626" s="9" t="str">
        <x:v>PD12</x:v>
      </x:c>
      <x:c r="J626" s="17" t="str">
        <x:v>Observation acceptance and replay</x:v>
      </x:c>
      <x:c r="K626" s="17" t="str">
        <x:v>Observation court</x:v>
      </x:c>
      <x:c r="L626" s="17" t="str">
        <x:v>COURT-SEALED UNTIL COHORT RELEASE</x:v>
      </x:c>
      <x:c r="M626" s="9" t="n">
        <x:v>0</x:v>
      </x:c>
      <x:c r="N626" s="9" t="n">
        <x:v>0</x:v>
      </x:c>
      <x:c r="O626" s="9" t="n">
        <x:v>0</x:v>
      </x:c>
      <x:c r="P626" s="9" t="str">
        <x:v>HELD / UNRELEASED</x:v>
      </x:c>
      <x:c r="Q626" s="9" t="n">
        <x:f>COUNTIFS($A$7:$A$2310,A626)</x:f>
        <x:v>1</x:v>
      </x:c>
    </x:row>
    <x:row r="627">
      <x:c r="A627" s="9" t="str">
        <x:v>PD-AR-HU-A-B-TECH-3-B2-INT-G0-PD13</x:v>
      </x:c>
      <x:c r="B627" s="9" t="str">
        <x:v>PD-AR-HU-A-B-TECH-3-B2-INT-G0</x:v>
      </x:c>
      <x:c r="C627" s="9" t="str">
        <x:v>EV-AR-HU-A-B-TECH-3-B2-INT-G0</x:v>
      </x:c>
      <x:c r="D627" s="9" t="str">
        <x:v>AR-HU-A-B-TECH-3-B2-INT-G0</x:v>
      </x:c>
      <x:c r="E627" s="9" t="str">
        <x:v>HU-A-B-TECH-3</x:v>
      </x:c>
      <x:c r="F627" s="9" t="str">
        <x:v>HU-A-B</x:v>
      </x:c>
      <x:c r="G627" s="9" t="str">
        <x:v>B2</x:v>
      </x:c>
      <x:c r="H627" s="9" t="str">
        <x:v>INT</x:v>
      </x:c>
      <x:c r="I627" s="9" t="str">
        <x:v>PD13</x:v>
      </x:c>
      <x:c r="J627" s="17" t="str">
        <x:v>Role judgment</x:v>
      </x:c>
      <x:c r="K627" s="17" t="str">
        <x:v>Role court</x:v>
      </x:c>
      <x:c r="L627" s="17" t="str">
        <x:v>COURT-SEALED UNTIL COHORT RELEASE</x:v>
      </x:c>
      <x:c r="M627" s="9" t="n">
        <x:v>0</x:v>
      </x:c>
      <x:c r="N627" s="9" t="n">
        <x:v>0</x:v>
      </x:c>
      <x:c r="O627" s="9" t="n">
        <x:v>0</x:v>
      </x:c>
      <x:c r="P627" s="9" t="str">
        <x:v>HELD / UNRELEASED</x:v>
      </x:c>
      <x:c r="Q627" s="9" t="n">
        <x:f>COUNTIFS($A$7:$A$2310,A627)</x:f>
        <x:v>1</x:v>
      </x:c>
    </x:row>
    <x:row r="628">
      <x:c r="A628" s="9" t="str">
        <x:v>PD-AR-HU-A-B-TECH-3-B2-INT-G0-PD14</x:v>
      </x:c>
      <x:c r="B628" s="9" t="str">
        <x:v>PD-AR-HU-A-B-TECH-3-B2-INT-G0</x:v>
      </x:c>
      <x:c r="C628" s="9" t="str">
        <x:v>EV-AR-HU-A-B-TECH-3-B2-INT-G0</x:v>
      </x:c>
      <x:c r="D628" s="9" t="str">
        <x:v>AR-HU-A-B-TECH-3-B2-INT-G0</x:v>
      </x:c>
      <x:c r="E628" s="9" t="str">
        <x:v>HU-A-B-TECH-3</x:v>
      </x:c>
      <x:c r="F628" s="9" t="str">
        <x:v>HU-A-B</x:v>
      </x:c>
      <x:c r="G628" s="9" t="str">
        <x:v>B2</x:v>
      </x:c>
      <x:c r="H628" s="9" t="str">
        <x:v>INT</x:v>
      </x:c>
      <x:c r="I628" s="9" t="str">
        <x:v>PD14</x:v>
      </x:c>
      <x:c r="J628" s="17" t="str">
        <x:v>Break and residual account</x:v>
      </x:c>
      <x:c r="K628" s="17" t="str">
        <x:v>Residual authority</x:v>
      </x:c>
      <x:c r="L628" s="17" t="str">
        <x:v>COURT-SEALED UNTIL COHORT RELEASE</x:v>
      </x:c>
      <x:c r="M628" s="9" t="n">
        <x:v>0</x:v>
      </x:c>
      <x:c r="N628" s="9" t="n">
        <x:v>0</x:v>
      </x:c>
      <x:c r="O628" s="9" t="n">
        <x:v>0</x:v>
      </x:c>
      <x:c r="P628" s="9" t="str">
        <x:v>HELD / UNRELEASED</x:v>
      </x:c>
      <x:c r="Q628" s="9" t="n">
        <x:f>COUNTIFS($A$7:$A$2310,A628)</x:f>
        <x:v>1</x:v>
      </x:c>
    </x:row>
    <x:row r="629">
      <x:c r="A629" s="9" t="str">
        <x:v>PD-AR-HU-A-B-TECH-3-B2-INT-G0-PD15</x:v>
      </x:c>
      <x:c r="B629" s="9" t="str">
        <x:v>PD-AR-HU-A-B-TECH-3-B2-INT-G0</x:v>
      </x:c>
      <x:c r="C629" s="9" t="str">
        <x:v>EV-AR-HU-A-B-TECH-3-B2-INT-G0</x:v>
      </x:c>
      <x:c r="D629" s="9" t="str">
        <x:v>AR-HU-A-B-TECH-3-B2-INT-G0</x:v>
      </x:c>
      <x:c r="E629" s="9" t="str">
        <x:v>HU-A-B-TECH-3</x:v>
      </x:c>
      <x:c r="F629" s="9" t="str">
        <x:v>HU-A-B</x:v>
      </x:c>
      <x:c r="G629" s="9" t="str">
        <x:v>B2</x:v>
      </x:c>
      <x:c r="H629" s="9" t="str">
        <x:v>INT</x:v>
      </x:c>
      <x:c r="I629" s="9" t="str">
        <x:v>PD15</x:v>
      </x:c>
      <x:c r="J629" s="17" t="str">
        <x:v>Reconstruction ancestry and replay</x:v>
      </x:c>
      <x:c r="K629" s="17" t="str">
        <x:v>Reconstruction court</x:v>
      </x:c>
      <x:c r="L629" s="17" t="str">
        <x:v>COURT-SEALED UNTIL COHORT RELEASE</x:v>
      </x:c>
      <x:c r="M629" s="9" t="n">
        <x:v>0</x:v>
      </x:c>
      <x:c r="N629" s="9" t="n">
        <x:v>0</x:v>
      </x:c>
      <x:c r="O629" s="9" t="n">
        <x:v>0</x:v>
      </x:c>
      <x:c r="P629" s="9" t="str">
        <x:v>HELD / UNRELEASED</x:v>
      </x:c>
      <x:c r="Q629" s="9" t="n">
        <x:f>COUNTIFS($A$7:$A$2310,A629)</x:f>
        <x:v>1</x:v>
      </x:c>
    </x:row>
    <x:row r="630">
      <x:c r="A630" s="9" t="str">
        <x:v>PD-AR-HU-A-B-TECH-3-B2-INT-G0-PD16</x:v>
      </x:c>
      <x:c r="B630" s="9" t="str">
        <x:v>PD-AR-HU-A-B-TECH-3-B2-INT-G0</x:v>
      </x:c>
      <x:c r="C630" s="9" t="str">
        <x:v>EV-AR-HU-A-B-TECH-3-B2-INT-G0</x:v>
      </x:c>
      <x:c r="D630" s="9" t="str">
        <x:v>AR-HU-A-B-TECH-3-B2-INT-G0</x:v>
      </x:c>
      <x:c r="E630" s="9" t="str">
        <x:v>HU-A-B-TECH-3</x:v>
      </x:c>
      <x:c r="F630" s="9" t="str">
        <x:v>HU-A-B</x:v>
      </x:c>
      <x:c r="G630" s="9" t="str">
        <x:v>B2</x:v>
      </x:c>
      <x:c r="H630" s="9" t="str">
        <x:v>INT</x:v>
      </x:c>
      <x:c r="I630" s="9" t="str">
        <x:v>PD16</x:v>
      </x:c>
      <x:c r="J630" s="17" t="str">
        <x:v>Dissent, amendments and access log</x:v>
      </x:c>
      <x:c r="K630" s="17" t="str">
        <x:v>Public archive</x:v>
      </x:c>
      <x:c r="L630" s="17" t="str">
        <x:v>COURT-SEALED UNTIL COHORT RELEASE</x:v>
      </x:c>
      <x:c r="M630" s="9" t="n">
        <x:v>0</x:v>
      </x:c>
      <x:c r="N630" s="9" t="n">
        <x:v>0</x:v>
      </x:c>
      <x:c r="O630" s="9" t="n">
        <x:v>0</x:v>
      </x:c>
      <x:c r="P630" s="9" t="str">
        <x:v>HELD / UNRELEASED</x:v>
      </x:c>
      <x:c r="Q630" s="9" t="n">
        <x:f>COUNTIFS($A$7:$A$2310,A630)</x:f>
        <x:v>1</x:v>
      </x:c>
    </x:row>
    <x:row r="631">
      <x:c r="A631" s="9" t="str">
        <x:v>PD-AR-LF-B-A-TECH-4-B2-INT-G0-PD01</x:v>
      </x:c>
      <x:c r="B631" s="9" t="str">
        <x:v>PD-AR-LF-B-A-TECH-4-B2-INT-G0</x:v>
      </x:c>
      <x:c r="C631" s="9" t="str">
        <x:v>EV-AR-LF-B-A-TECH-4-B2-INT-G0</x:v>
      </x:c>
      <x:c r="D631" s="9" t="str">
        <x:v>AR-LF-B-A-TECH-4-B2-INT-G0</x:v>
      </x:c>
      <x:c r="E631" s="9" t="str">
        <x:v>LF-B-A-TECH-4</x:v>
      </x:c>
      <x:c r="F631" s="9" t="str">
        <x:v>LF-B-A</x:v>
      </x:c>
      <x:c r="G631" s="9" t="str">
        <x:v>B2</x:v>
      </x:c>
      <x:c r="H631" s="9" t="str">
        <x:v>INT</x:v>
      </x:c>
      <x:c r="I631" s="9" t="str">
        <x:v>PD01</x:v>
      </x:c>
      <x:c r="J631" s="17" t="str">
        <x:v>Experiment kernel</x:v>
      </x:c>
      <x:c r="K631" s="17" t="str">
        <x:v>Public archive</x:v>
      </x:c>
      <x:c r="L631" s="17" t="str">
        <x:v>COURT-SEALED UNTIL COHORT RELEASE</x:v>
      </x:c>
      <x:c r="M631" s="9" t="n">
        <x:v>0</x:v>
      </x:c>
      <x:c r="N631" s="9" t="n">
        <x:v>0</x:v>
      </x:c>
      <x:c r="O631" s="9" t="n">
        <x:v>0</x:v>
      </x:c>
      <x:c r="P631" s="9" t="str">
        <x:v>HELD / UNRELEASED</x:v>
      </x:c>
      <x:c r="Q631" s="9" t="n">
        <x:f>COUNTIFS($A$7:$A$2310,A631)</x:f>
        <x:v>1</x:v>
      </x:c>
    </x:row>
    <x:row r="632">
      <x:c r="A632" s="9" t="str">
        <x:v>PD-AR-LF-B-A-TECH-4-B2-INT-G0-PD02</x:v>
      </x:c>
      <x:c r="B632" s="9" t="str">
        <x:v>PD-AR-LF-B-A-TECH-4-B2-INT-G0</x:v>
      </x:c>
      <x:c r="C632" s="9" t="str">
        <x:v>EV-AR-LF-B-A-TECH-4-B2-INT-G0</x:v>
      </x:c>
      <x:c r="D632" s="9" t="str">
        <x:v>AR-LF-B-A-TECH-4-B2-INT-G0</x:v>
      </x:c>
      <x:c r="E632" s="9" t="str">
        <x:v>LF-B-A-TECH-4</x:v>
      </x:c>
      <x:c r="F632" s="9" t="str">
        <x:v>LF-B-A</x:v>
      </x:c>
      <x:c r="G632" s="9" t="str">
        <x:v>B2</x:v>
      </x:c>
      <x:c r="H632" s="9" t="str">
        <x:v>INT</x:v>
      </x:c>
      <x:c r="I632" s="9" t="str">
        <x:v>PD02</x:v>
      </x:c>
      <x:c r="J632" s="17" t="str">
        <x:v>Serial annex and title chain</x:v>
      </x:c>
      <x:c r="K632" s="17" t="str">
        <x:v>Public archive</x:v>
      </x:c>
      <x:c r="L632" s="17" t="str">
        <x:v>COURT-SEALED UNTIL COHORT RELEASE</x:v>
      </x:c>
      <x:c r="M632" s="9" t="n">
        <x:v>0</x:v>
      </x:c>
      <x:c r="N632" s="9" t="n">
        <x:v>0</x:v>
      </x:c>
      <x:c r="O632" s="9" t="n">
        <x:v>0</x:v>
      </x:c>
      <x:c r="P632" s="9" t="str">
        <x:v>HELD / UNRELEASED</x:v>
      </x:c>
      <x:c r="Q632" s="9" t="n">
        <x:f>COUNTIFS($A$7:$A$2310,A632)</x:f>
        <x:v>1</x:v>
      </x:c>
    </x:row>
    <x:row r="633">
      <x:c r="A633" s="9" t="str">
        <x:v>PD-AR-LF-B-A-TECH-4-B2-INT-G0-PD03</x:v>
      </x:c>
      <x:c r="B633" s="9" t="str">
        <x:v>PD-AR-LF-B-A-TECH-4-B2-INT-G0</x:v>
      </x:c>
      <x:c r="C633" s="9" t="str">
        <x:v>EV-AR-LF-B-A-TECH-4-B2-INT-G0</x:v>
      </x:c>
      <x:c r="D633" s="9" t="str">
        <x:v>AR-LF-B-A-TECH-4-B2-INT-G0</x:v>
      </x:c>
      <x:c r="E633" s="9" t="str">
        <x:v>LF-B-A-TECH-4</x:v>
      </x:c>
      <x:c r="F633" s="9" t="str">
        <x:v>LF-B-A</x:v>
      </x:c>
      <x:c r="G633" s="9" t="str">
        <x:v>B2</x:v>
      </x:c>
      <x:c r="H633" s="9" t="str">
        <x:v>INT</x:v>
      </x:c>
      <x:c r="I633" s="9" t="str">
        <x:v>PD03</x:v>
      </x:c>
      <x:c r="J633" s="17" t="str">
        <x:v>Configuration and as-built manifest</x:v>
      </x:c>
      <x:c r="K633" s="17" t="str">
        <x:v>Artifact exchange</x:v>
      </x:c>
      <x:c r="L633" s="17" t="str">
        <x:v>COURT-SEALED UNTIL COHORT RELEASE</x:v>
      </x:c>
      <x:c r="M633" s="9" t="n">
        <x:v>0</x:v>
      </x:c>
      <x:c r="N633" s="9" t="n">
        <x:v>0</x:v>
      </x:c>
      <x:c r="O633" s="9" t="n">
        <x:v>0</x:v>
      </x:c>
      <x:c r="P633" s="9" t="str">
        <x:v>HELD / UNRELEASED</x:v>
      </x:c>
      <x:c r="Q633" s="9" t="n">
        <x:f>COUNTIFS($A$7:$A$2310,A633)</x:f>
        <x:v>1</x:v>
      </x:c>
    </x:row>
    <x:row r="634">
      <x:c r="A634" s="9" t="str">
        <x:v>PD-AR-LF-B-A-TECH-4-B2-INT-G0-PD04</x:v>
      </x:c>
      <x:c r="B634" s="9" t="str">
        <x:v>PD-AR-LF-B-A-TECH-4-B2-INT-G0</x:v>
      </x:c>
      <x:c r="C634" s="9" t="str">
        <x:v>EV-AR-LF-B-A-TECH-4-B2-INT-G0</x:v>
      </x:c>
      <x:c r="D634" s="9" t="str">
        <x:v>AR-LF-B-A-TECH-4-B2-INT-G0</x:v>
      </x:c>
      <x:c r="E634" s="9" t="str">
        <x:v>LF-B-A-TECH-4</x:v>
      </x:c>
      <x:c r="F634" s="9" t="str">
        <x:v>LF-B-A</x:v>
      </x:c>
      <x:c r="G634" s="9" t="str">
        <x:v>B2</x:v>
      </x:c>
      <x:c r="H634" s="9" t="str">
        <x:v>INT</x:v>
      </x:c>
      <x:c r="I634" s="9" t="str">
        <x:v>PD04</x:v>
      </x:c>
      <x:c r="J634" s="17" t="str">
        <x:v>EOW and start certificate</x:v>
      </x:c>
      <x:c r="K634" s="17" t="str">
        <x:v>Start registrar</x:v>
      </x:c>
      <x:c r="L634" s="17" t="str">
        <x:v>COURT-SEALED UNTIL COHORT RELEASE</x:v>
      </x:c>
      <x:c r="M634" s="9" t="n">
        <x:v>0</x:v>
      </x:c>
      <x:c r="N634" s="9" t="n">
        <x:v>0</x:v>
      </x:c>
      <x:c r="O634" s="9" t="n">
        <x:v>0</x:v>
      </x:c>
      <x:c r="P634" s="9" t="str">
        <x:v>HELD / UNRELEASED</x:v>
      </x:c>
      <x:c r="Q634" s="9" t="n">
        <x:f>COUNTIFS($A$7:$A$2310,A634)</x:f>
        <x:v>1</x:v>
      </x:c>
    </x:row>
    <x:row r="635">
      <x:c r="A635" s="9" t="str">
        <x:v>PD-AR-LF-B-A-TECH-4-B2-INT-G0-PD05</x:v>
      </x:c>
      <x:c r="B635" s="9" t="str">
        <x:v>PD-AR-LF-B-A-TECH-4-B2-INT-G0</x:v>
      </x:c>
      <x:c r="C635" s="9" t="str">
        <x:v>EV-AR-LF-B-A-TECH-4-B2-INT-G0</x:v>
      </x:c>
      <x:c r="D635" s="9" t="str">
        <x:v>AR-LF-B-A-TECH-4-B2-INT-G0</x:v>
      </x:c>
      <x:c r="E635" s="9" t="str">
        <x:v>LF-B-A-TECH-4</x:v>
      </x:c>
      <x:c r="F635" s="9" t="str">
        <x:v>LF-B-A</x:v>
      </x:c>
      <x:c r="G635" s="9" t="str">
        <x:v>B2</x:v>
      </x:c>
      <x:c r="H635" s="9" t="str">
        <x:v>INT</x:v>
      </x:c>
      <x:c r="I635" s="9" t="str">
        <x:v>PD05</x:v>
      </x:c>
      <x:c r="J635" s="17" t="str">
        <x:v>Primary raw originals</x:v>
      </x:c>
      <x:c r="K635" s="17" t="str">
        <x:v>Primary custody</x:v>
      </x:c>
      <x:c r="L635" s="17" t="str">
        <x:v>COURT-SEALED UNTIL COHORT RELEASE</x:v>
      </x:c>
      <x:c r="M635" s="9" t="n">
        <x:v>0</x:v>
      </x:c>
      <x:c r="N635" s="9" t="n">
        <x:v>0</x:v>
      </x:c>
      <x:c r="O635" s="9" t="n">
        <x:v>0</x:v>
      </x:c>
      <x:c r="P635" s="9" t="str">
        <x:v>HELD / UNRELEASED</x:v>
      </x:c>
      <x:c r="Q635" s="9" t="n">
        <x:f>COUNTIFS($A$7:$A$2310,A635)</x:f>
        <x:v>1</x:v>
      </x:c>
    </x:row>
    <x:row r="636">
      <x:c r="A636" s="9" t="str">
        <x:v>PD-AR-LF-B-A-TECH-4-B2-INT-G0-PD06</x:v>
      </x:c>
      <x:c r="B636" s="9" t="str">
        <x:v>PD-AR-LF-B-A-TECH-4-B2-INT-G0</x:v>
      </x:c>
      <x:c r="C636" s="9" t="str">
        <x:v>EV-AR-LF-B-A-TECH-4-B2-INT-G0</x:v>
      </x:c>
      <x:c r="D636" s="9" t="str">
        <x:v>AR-LF-B-A-TECH-4-B2-INT-G0</x:v>
      </x:c>
      <x:c r="E636" s="9" t="str">
        <x:v>LF-B-A-TECH-4</x:v>
      </x:c>
      <x:c r="F636" s="9" t="str">
        <x:v>LF-B-A</x:v>
      </x:c>
      <x:c r="G636" s="9" t="str">
        <x:v>B2</x:v>
      </x:c>
      <x:c r="H636" s="9" t="str">
        <x:v>INT</x:v>
      </x:c>
      <x:c r="I636" s="9" t="str">
        <x:v>PD06</x:v>
      </x:c>
      <x:c r="J636" s="17" t="str">
        <x:v>Witness raw originals</x:v>
      </x:c>
      <x:c r="K636" s="17" t="str">
        <x:v>Witness custody</x:v>
      </x:c>
      <x:c r="L636" s="17" t="str">
        <x:v>COURT-SEALED UNTIL COHORT RELEASE</x:v>
      </x:c>
      <x:c r="M636" s="9" t="n">
        <x:v>0</x:v>
      </x:c>
      <x:c r="N636" s="9" t="n">
        <x:v>0</x:v>
      </x:c>
      <x:c r="O636" s="9" t="n">
        <x:v>0</x:v>
      </x:c>
      <x:c r="P636" s="9" t="str">
        <x:v>HELD / UNRELEASED</x:v>
      </x:c>
      <x:c r="Q636" s="9" t="n">
        <x:f>COUNTIFS($A$7:$A$2310,A636)</x:f>
        <x:v>1</x:v>
      </x:c>
    </x:row>
    <x:row r="637">
      <x:c r="A637" s="9" t="str">
        <x:v>PD-AR-LF-B-A-TECH-4-B2-INT-G0-PD07</x:v>
      </x:c>
      <x:c r="B637" s="9" t="str">
        <x:v>PD-AR-LF-B-A-TECH-4-B2-INT-G0</x:v>
      </x:c>
      <x:c r="C637" s="9" t="str">
        <x:v>EV-AR-LF-B-A-TECH-4-B2-INT-G0</x:v>
      </x:c>
      <x:c r="D637" s="9" t="str">
        <x:v>AR-LF-B-A-TECH-4-B2-INT-G0</x:v>
      </x:c>
      <x:c r="E637" s="9" t="str">
        <x:v>LF-B-A-TECH-4</x:v>
      </x:c>
      <x:c r="F637" s="9" t="str">
        <x:v>LF-B-A</x:v>
      </x:c>
      <x:c r="G637" s="9" t="str">
        <x:v>B2</x:v>
      </x:c>
      <x:c r="H637" s="9" t="str">
        <x:v>INT</x:v>
      </x:c>
      <x:c r="I637" s="9" t="str">
        <x:v>PD07</x:v>
      </x:c>
      <x:c r="J637" s="17" t="str">
        <x:v>Clock and environmental records</x:v>
      </x:c>
      <x:c r="K637" s="17" t="str">
        <x:v>Boundary archive</x:v>
      </x:c>
      <x:c r="L637" s="17" t="str">
        <x:v>COURT-SEALED UNTIL COHORT RELEASE</x:v>
      </x:c>
      <x:c r="M637" s="9" t="n">
        <x:v>0</x:v>
      </x:c>
      <x:c r="N637" s="9" t="n">
        <x:v>0</x:v>
      </x:c>
      <x:c r="O637" s="9" t="n">
        <x:v>0</x:v>
      </x:c>
      <x:c r="P637" s="9" t="str">
        <x:v>HELD / UNRELEASED</x:v>
      </x:c>
      <x:c r="Q637" s="9" t="n">
        <x:f>COUNTIFS($A$7:$A$2310,A637)</x:f>
        <x:v>1</x:v>
      </x:c>
    </x:row>
    <x:row r="638">
      <x:c r="A638" s="9" t="str">
        <x:v>PD-AR-LF-B-A-TECH-4-B2-INT-G0-PD08</x:v>
      </x:c>
      <x:c r="B638" s="9" t="str">
        <x:v>PD-AR-LF-B-A-TECH-4-B2-INT-G0</x:v>
      </x:c>
      <x:c r="C638" s="9" t="str">
        <x:v>EV-AR-LF-B-A-TECH-4-B2-INT-G0</x:v>
      </x:c>
      <x:c r="D638" s="9" t="str">
        <x:v>AR-LF-B-A-TECH-4-B2-INT-G0</x:v>
      </x:c>
      <x:c r="E638" s="9" t="str">
        <x:v>LF-B-A-TECH-4</x:v>
      </x:c>
      <x:c r="F638" s="9" t="str">
        <x:v>LF-B-A</x:v>
      </x:c>
      <x:c r="G638" s="9" t="str">
        <x:v>B2</x:v>
      </x:c>
      <x:c r="H638" s="9" t="str">
        <x:v>INT</x:v>
      </x:c>
      <x:c r="I638" s="9" t="str">
        <x:v>PD08</x:v>
      </x:c>
      <x:c r="J638" s="17" t="str">
        <x:v>Command and intervention log</x:v>
      </x:c>
      <x:c r="K638" s="17" t="str">
        <x:v>Safety archive</x:v>
      </x:c>
      <x:c r="L638" s="17" t="str">
        <x:v>COURT-SEALED UNTIL COHORT RELEASE</x:v>
      </x:c>
      <x:c r="M638" s="9" t="n">
        <x:v>0</x:v>
      </x:c>
      <x:c r="N638" s="9" t="n">
        <x:v>0</x:v>
      </x:c>
      <x:c r="O638" s="9" t="n">
        <x:v>0</x:v>
      </x:c>
      <x:c r="P638" s="9" t="str">
        <x:v>HELD / UNRELEASED</x:v>
      </x:c>
      <x:c r="Q638" s="9" t="n">
        <x:f>COUNTIFS($A$7:$A$2310,A638)</x:f>
        <x:v>1</x:v>
      </x:c>
    </x:row>
    <x:row r="639">
      <x:c r="A639" s="9" t="str">
        <x:v>PD-AR-LF-B-A-TECH-4-B2-INT-G0-PD09</x:v>
      </x:c>
      <x:c r="B639" s="9" t="str">
        <x:v>PD-AR-LF-B-A-TECH-4-B2-INT-G0</x:v>
      </x:c>
      <x:c r="C639" s="9" t="str">
        <x:v>EV-AR-LF-B-A-TECH-4-B2-INT-G0</x:v>
      </x:c>
      <x:c r="D639" s="9" t="str">
        <x:v>AR-LF-B-A-TECH-4-B2-INT-G0</x:v>
      </x:c>
      <x:c r="E639" s="9" t="str">
        <x:v>LF-B-A-TECH-4</x:v>
      </x:c>
      <x:c r="F639" s="9" t="str">
        <x:v>LF-B-A</x:v>
      </x:c>
      <x:c r="G639" s="9" t="str">
        <x:v>B2</x:v>
      </x:c>
      <x:c r="H639" s="9" t="str">
        <x:v>INT</x:v>
      </x:c>
      <x:c r="I639" s="9" t="str">
        <x:v>PD09</x:v>
      </x:c>
      <x:c r="J639" s="17" t="str">
        <x:v>Receiver denominator and service ledger</x:v>
      </x:c>
      <x:c r="K639" s="17" t="str">
        <x:v>Receiver archive</x:v>
      </x:c>
      <x:c r="L639" s="17" t="str">
        <x:v>COURT-SEALED UNTIL COHORT RELEASE</x:v>
      </x:c>
      <x:c r="M639" s="9" t="n">
        <x:v>0</x:v>
      </x:c>
      <x:c r="N639" s="9" t="n">
        <x:v>0</x:v>
      </x:c>
      <x:c r="O639" s="9" t="n">
        <x:v>0</x:v>
      </x:c>
      <x:c r="P639" s="9" t="str">
        <x:v>HELD / UNRELEASED</x:v>
      </x:c>
      <x:c r="Q639" s="9" t="n">
        <x:f>COUNTIFS($A$7:$A$2310,A639)</x:f>
        <x:v>1</x:v>
      </x:c>
    </x:row>
    <x:row r="640">
      <x:c r="A640" s="9" t="str">
        <x:v>PD-AR-LF-B-A-TECH-4-B2-INT-G0-PD10</x:v>
      </x:c>
      <x:c r="B640" s="9" t="str">
        <x:v>PD-AR-LF-B-A-TECH-4-B2-INT-G0</x:v>
      </x:c>
      <x:c r="C640" s="9" t="str">
        <x:v>EV-AR-LF-B-A-TECH-4-B2-INT-G0</x:v>
      </x:c>
      <x:c r="D640" s="9" t="str">
        <x:v>AR-LF-B-A-TECH-4-B2-INT-G0</x:v>
      </x:c>
      <x:c r="E640" s="9" t="str">
        <x:v>LF-B-A-TECH-4</x:v>
      </x:c>
      <x:c r="F640" s="9" t="str">
        <x:v>LF-B-A</x:v>
      </x:c>
      <x:c r="G640" s="9" t="str">
        <x:v>B2</x:v>
      </x:c>
      <x:c r="H640" s="9" t="str">
        <x:v>INT</x:v>
      </x:c>
      <x:c r="I640" s="9" t="str">
        <x:v>PD10</x:v>
      </x:c>
      <x:c r="J640" s="17" t="str">
        <x:v>Calibration and uncertainty record</x:v>
      </x:c>
      <x:c r="K640" s="17" t="str">
        <x:v>Metrology archive</x:v>
      </x:c>
      <x:c r="L640" s="17" t="str">
        <x:v>COURT-SEALED UNTIL COHORT RELEASE</x:v>
      </x:c>
      <x:c r="M640" s="9" t="n">
        <x:v>0</x:v>
      </x:c>
      <x:c r="N640" s="9" t="n">
        <x:v>0</x:v>
      </x:c>
      <x:c r="O640" s="9" t="n">
        <x:v>0</x:v>
      </x:c>
      <x:c r="P640" s="9" t="str">
        <x:v>HELD / UNRELEASED</x:v>
      </x:c>
      <x:c r="Q640" s="9" t="n">
        <x:f>COUNTIFS($A$7:$A$2310,A640)</x:f>
        <x:v>1</x:v>
      </x:c>
    </x:row>
    <x:row r="641">
      <x:c r="A641" s="9" t="str">
        <x:v>PD-AR-LF-B-A-TECH-4-B2-INT-G0-PD11</x:v>
      </x:c>
      <x:c r="B641" s="9" t="str">
        <x:v>PD-AR-LF-B-A-TECH-4-B2-INT-G0</x:v>
      </x:c>
      <x:c r="C641" s="9" t="str">
        <x:v>EV-AR-LF-B-A-TECH-4-B2-INT-G0</x:v>
      </x:c>
      <x:c r="D641" s="9" t="str">
        <x:v>AR-LF-B-A-TECH-4-B2-INT-G0</x:v>
      </x:c>
      <x:c r="E641" s="9" t="str">
        <x:v>LF-B-A-TECH-4</x:v>
      </x:c>
      <x:c r="F641" s="9" t="str">
        <x:v>LF-B-A</x:v>
      </x:c>
      <x:c r="G641" s="9" t="str">
        <x:v>B2</x:v>
      </x:c>
      <x:c r="H641" s="9" t="str">
        <x:v>INT</x:v>
      </x:c>
      <x:c r="I641" s="9" t="str">
        <x:v>PD11</x:v>
      </x:c>
      <x:c r="J641" s="17" t="str">
        <x:v>Invalidity petition and opinion</x:v>
      </x:c>
      <x:c r="K641" s="17" t="str">
        <x:v>Invalidity court</x:v>
      </x:c>
      <x:c r="L641" s="17" t="str">
        <x:v>COURT-SEALED UNTIL COHORT RELEASE</x:v>
      </x:c>
      <x:c r="M641" s="9" t="n">
        <x:v>0</x:v>
      </x:c>
      <x:c r="N641" s="9" t="n">
        <x:v>0</x:v>
      </x:c>
      <x:c r="O641" s="9" t="n">
        <x:v>0</x:v>
      </x:c>
      <x:c r="P641" s="9" t="str">
        <x:v>HELD / UNRELEASED</x:v>
      </x:c>
      <x:c r="Q641" s="9" t="n">
        <x:f>COUNTIFS($A$7:$A$2310,A641)</x:f>
        <x:v>1</x:v>
      </x:c>
    </x:row>
    <x:row r="642">
      <x:c r="A642" s="9" t="str">
        <x:v>PD-AR-LF-B-A-TECH-4-B2-INT-G0-PD12</x:v>
      </x:c>
      <x:c r="B642" s="9" t="str">
        <x:v>PD-AR-LF-B-A-TECH-4-B2-INT-G0</x:v>
      </x:c>
      <x:c r="C642" s="9" t="str">
        <x:v>EV-AR-LF-B-A-TECH-4-B2-INT-G0</x:v>
      </x:c>
      <x:c r="D642" s="9" t="str">
        <x:v>AR-LF-B-A-TECH-4-B2-INT-G0</x:v>
      </x:c>
      <x:c r="E642" s="9" t="str">
        <x:v>LF-B-A-TECH-4</x:v>
      </x:c>
      <x:c r="F642" s="9" t="str">
        <x:v>LF-B-A</x:v>
      </x:c>
      <x:c r="G642" s="9" t="str">
        <x:v>B2</x:v>
      </x:c>
      <x:c r="H642" s="9" t="str">
        <x:v>INT</x:v>
      </x:c>
      <x:c r="I642" s="9" t="str">
        <x:v>PD12</x:v>
      </x:c>
      <x:c r="J642" s="17" t="str">
        <x:v>Observation acceptance and replay</x:v>
      </x:c>
      <x:c r="K642" s="17" t="str">
        <x:v>Observation court</x:v>
      </x:c>
      <x:c r="L642" s="17" t="str">
        <x:v>COURT-SEALED UNTIL COHORT RELEASE</x:v>
      </x:c>
      <x:c r="M642" s="9" t="n">
        <x:v>0</x:v>
      </x:c>
      <x:c r="N642" s="9" t="n">
        <x:v>0</x:v>
      </x:c>
      <x:c r="O642" s="9" t="n">
        <x:v>0</x:v>
      </x:c>
      <x:c r="P642" s="9" t="str">
        <x:v>HELD / UNRELEASED</x:v>
      </x:c>
      <x:c r="Q642" s="9" t="n">
        <x:f>COUNTIFS($A$7:$A$2310,A642)</x:f>
        <x:v>1</x:v>
      </x:c>
    </x:row>
    <x:row r="643">
      <x:c r="A643" s="9" t="str">
        <x:v>PD-AR-LF-B-A-TECH-4-B2-INT-G0-PD13</x:v>
      </x:c>
      <x:c r="B643" s="9" t="str">
        <x:v>PD-AR-LF-B-A-TECH-4-B2-INT-G0</x:v>
      </x:c>
      <x:c r="C643" s="9" t="str">
        <x:v>EV-AR-LF-B-A-TECH-4-B2-INT-G0</x:v>
      </x:c>
      <x:c r="D643" s="9" t="str">
        <x:v>AR-LF-B-A-TECH-4-B2-INT-G0</x:v>
      </x:c>
      <x:c r="E643" s="9" t="str">
        <x:v>LF-B-A-TECH-4</x:v>
      </x:c>
      <x:c r="F643" s="9" t="str">
        <x:v>LF-B-A</x:v>
      </x:c>
      <x:c r="G643" s="9" t="str">
        <x:v>B2</x:v>
      </x:c>
      <x:c r="H643" s="9" t="str">
        <x:v>INT</x:v>
      </x:c>
      <x:c r="I643" s="9" t="str">
        <x:v>PD13</x:v>
      </x:c>
      <x:c r="J643" s="17" t="str">
        <x:v>Role judgment</x:v>
      </x:c>
      <x:c r="K643" s="17" t="str">
        <x:v>Role court</x:v>
      </x:c>
      <x:c r="L643" s="17" t="str">
        <x:v>COURT-SEALED UNTIL COHORT RELEASE</x:v>
      </x:c>
      <x:c r="M643" s="9" t="n">
        <x:v>0</x:v>
      </x:c>
      <x:c r="N643" s="9" t="n">
        <x:v>0</x:v>
      </x:c>
      <x:c r="O643" s="9" t="n">
        <x:v>0</x:v>
      </x:c>
      <x:c r="P643" s="9" t="str">
        <x:v>HELD / UNRELEASED</x:v>
      </x:c>
      <x:c r="Q643" s="9" t="n">
        <x:f>COUNTIFS($A$7:$A$2310,A643)</x:f>
        <x:v>1</x:v>
      </x:c>
    </x:row>
    <x:row r="644">
      <x:c r="A644" s="9" t="str">
        <x:v>PD-AR-LF-B-A-TECH-4-B2-INT-G0-PD14</x:v>
      </x:c>
      <x:c r="B644" s="9" t="str">
        <x:v>PD-AR-LF-B-A-TECH-4-B2-INT-G0</x:v>
      </x:c>
      <x:c r="C644" s="9" t="str">
        <x:v>EV-AR-LF-B-A-TECH-4-B2-INT-G0</x:v>
      </x:c>
      <x:c r="D644" s="9" t="str">
        <x:v>AR-LF-B-A-TECH-4-B2-INT-G0</x:v>
      </x:c>
      <x:c r="E644" s="9" t="str">
        <x:v>LF-B-A-TECH-4</x:v>
      </x:c>
      <x:c r="F644" s="9" t="str">
        <x:v>LF-B-A</x:v>
      </x:c>
      <x:c r="G644" s="9" t="str">
        <x:v>B2</x:v>
      </x:c>
      <x:c r="H644" s="9" t="str">
        <x:v>INT</x:v>
      </x:c>
      <x:c r="I644" s="9" t="str">
        <x:v>PD14</x:v>
      </x:c>
      <x:c r="J644" s="17" t="str">
        <x:v>Break and residual account</x:v>
      </x:c>
      <x:c r="K644" s="17" t="str">
        <x:v>Residual authority</x:v>
      </x:c>
      <x:c r="L644" s="17" t="str">
        <x:v>COURT-SEALED UNTIL COHORT RELEASE</x:v>
      </x:c>
      <x:c r="M644" s="9" t="n">
        <x:v>0</x:v>
      </x:c>
      <x:c r="N644" s="9" t="n">
        <x:v>0</x:v>
      </x:c>
      <x:c r="O644" s="9" t="n">
        <x:v>0</x:v>
      </x:c>
      <x:c r="P644" s="9" t="str">
        <x:v>HELD / UNRELEASED</x:v>
      </x:c>
      <x:c r="Q644" s="9" t="n">
        <x:f>COUNTIFS($A$7:$A$2310,A644)</x:f>
        <x:v>1</x:v>
      </x:c>
    </x:row>
    <x:row r="645">
      <x:c r="A645" s="9" t="str">
        <x:v>PD-AR-LF-B-A-TECH-4-B2-INT-G0-PD15</x:v>
      </x:c>
      <x:c r="B645" s="9" t="str">
        <x:v>PD-AR-LF-B-A-TECH-4-B2-INT-G0</x:v>
      </x:c>
      <x:c r="C645" s="9" t="str">
        <x:v>EV-AR-LF-B-A-TECH-4-B2-INT-G0</x:v>
      </x:c>
      <x:c r="D645" s="9" t="str">
        <x:v>AR-LF-B-A-TECH-4-B2-INT-G0</x:v>
      </x:c>
      <x:c r="E645" s="9" t="str">
        <x:v>LF-B-A-TECH-4</x:v>
      </x:c>
      <x:c r="F645" s="9" t="str">
        <x:v>LF-B-A</x:v>
      </x:c>
      <x:c r="G645" s="9" t="str">
        <x:v>B2</x:v>
      </x:c>
      <x:c r="H645" s="9" t="str">
        <x:v>INT</x:v>
      </x:c>
      <x:c r="I645" s="9" t="str">
        <x:v>PD15</x:v>
      </x:c>
      <x:c r="J645" s="17" t="str">
        <x:v>Reconstruction ancestry and replay</x:v>
      </x:c>
      <x:c r="K645" s="17" t="str">
        <x:v>Reconstruction court</x:v>
      </x:c>
      <x:c r="L645" s="17" t="str">
        <x:v>COURT-SEALED UNTIL COHORT RELEASE</x:v>
      </x:c>
      <x:c r="M645" s="9" t="n">
        <x:v>0</x:v>
      </x:c>
      <x:c r="N645" s="9" t="n">
        <x:v>0</x:v>
      </x:c>
      <x:c r="O645" s="9" t="n">
        <x:v>0</x:v>
      </x:c>
      <x:c r="P645" s="9" t="str">
        <x:v>HELD / UNRELEASED</x:v>
      </x:c>
      <x:c r="Q645" s="9" t="n">
        <x:f>COUNTIFS($A$7:$A$2310,A645)</x:f>
        <x:v>1</x:v>
      </x:c>
    </x:row>
    <x:row r="646">
      <x:c r="A646" s="9" t="str">
        <x:v>PD-AR-LF-B-A-TECH-4-B2-INT-G0-PD16</x:v>
      </x:c>
      <x:c r="B646" s="9" t="str">
        <x:v>PD-AR-LF-B-A-TECH-4-B2-INT-G0</x:v>
      </x:c>
      <x:c r="C646" s="9" t="str">
        <x:v>EV-AR-LF-B-A-TECH-4-B2-INT-G0</x:v>
      </x:c>
      <x:c r="D646" s="9" t="str">
        <x:v>AR-LF-B-A-TECH-4-B2-INT-G0</x:v>
      </x:c>
      <x:c r="E646" s="9" t="str">
        <x:v>LF-B-A-TECH-4</x:v>
      </x:c>
      <x:c r="F646" s="9" t="str">
        <x:v>LF-B-A</x:v>
      </x:c>
      <x:c r="G646" s="9" t="str">
        <x:v>B2</x:v>
      </x:c>
      <x:c r="H646" s="9" t="str">
        <x:v>INT</x:v>
      </x:c>
      <x:c r="I646" s="9" t="str">
        <x:v>PD16</x:v>
      </x:c>
      <x:c r="J646" s="17" t="str">
        <x:v>Dissent, amendments and access log</x:v>
      </x:c>
      <x:c r="K646" s="17" t="str">
        <x:v>Public archive</x:v>
      </x:c>
      <x:c r="L646" s="17" t="str">
        <x:v>COURT-SEALED UNTIL COHORT RELEASE</x:v>
      </x:c>
      <x:c r="M646" s="9" t="n">
        <x:v>0</x:v>
      </x:c>
      <x:c r="N646" s="9" t="n">
        <x:v>0</x:v>
      </x:c>
      <x:c r="O646" s="9" t="n">
        <x:v>0</x:v>
      </x:c>
      <x:c r="P646" s="9" t="str">
        <x:v>HELD / UNRELEASED</x:v>
      </x:c>
      <x:c r="Q646" s="9" t="n">
        <x:f>COUNTIFS($A$7:$A$2310,A646)</x:f>
        <x:v>1</x:v>
      </x:c>
    </x:row>
    <x:row r="647">
      <x:c r="A647" s="9" t="str">
        <x:v>PD-AR-RT-B-C-TECH-4-B2-RCN-G0-PD01</x:v>
      </x:c>
      <x:c r="B647" s="9" t="str">
        <x:v>PD-AR-RT-B-C-TECH-4-B2-RCN-G0</x:v>
      </x:c>
      <x:c r="C647" s="9" t="str">
        <x:v>EV-AR-RT-B-C-TECH-4-B2-RCN-G0</x:v>
      </x:c>
      <x:c r="D647" s="9" t="str">
        <x:v>AR-RT-B-C-TECH-4-B2-RCN-G0</x:v>
      </x:c>
      <x:c r="E647" s="9" t="str">
        <x:v>RT-B-C-TECH-4</x:v>
      </x:c>
      <x:c r="F647" s="9" t="str">
        <x:v>RT-B-C</x:v>
      </x:c>
      <x:c r="G647" s="9" t="str">
        <x:v>B2</x:v>
      </x:c>
      <x:c r="H647" s="9" t="str">
        <x:v>RCN</x:v>
      </x:c>
      <x:c r="I647" s="9" t="str">
        <x:v>PD01</x:v>
      </x:c>
      <x:c r="J647" s="17" t="str">
        <x:v>Experiment kernel</x:v>
      </x:c>
      <x:c r="K647" s="17" t="str">
        <x:v>Public archive</x:v>
      </x:c>
      <x:c r="L647" s="17" t="str">
        <x:v>COURT-SEALED UNTIL COHORT RELEASE</x:v>
      </x:c>
      <x:c r="M647" s="9" t="n">
        <x:v>0</x:v>
      </x:c>
      <x:c r="N647" s="9" t="n">
        <x:v>0</x:v>
      </x:c>
      <x:c r="O647" s="9" t="n">
        <x:v>0</x:v>
      </x:c>
      <x:c r="P647" s="9" t="str">
        <x:v>HELD / UNRELEASED</x:v>
      </x:c>
      <x:c r="Q647" s="9" t="n">
        <x:f>COUNTIFS($A$7:$A$2310,A647)</x:f>
        <x:v>1</x:v>
      </x:c>
    </x:row>
    <x:row r="648">
      <x:c r="A648" s="9" t="str">
        <x:v>PD-AR-RT-B-C-TECH-4-B2-RCN-G0-PD02</x:v>
      </x:c>
      <x:c r="B648" s="9" t="str">
        <x:v>PD-AR-RT-B-C-TECH-4-B2-RCN-G0</x:v>
      </x:c>
      <x:c r="C648" s="9" t="str">
        <x:v>EV-AR-RT-B-C-TECH-4-B2-RCN-G0</x:v>
      </x:c>
      <x:c r="D648" s="9" t="str">
        <x:v>AR-RT-B-C-TECH-4-B2-RCN-G0</x:v>
      </x:c>
      <x:c r="E648" s="9" t="str">
        <x:v>RT-B-C-TECH-4</x:v>
      </x:c>
      <x:c r="F648" s="9" t="str">
        <x:v>RT-B-C</x:v>
      </x:c>
      <x:c r="G648" s="9" t="str">
        <x:v>B2</x:v>
      </x:c>
      <x:c r="H648" s="9" t="str">
        <x:v>RCN</x:v>
      </x:c>
      <x:c r="I648" s="9" t="str">
        <x:v>PD02</x:v>
      </x:c>
      <x:c r="J648" s="17" t="str">
        <x:v>Serial annex and title chain</x:v>
      </x:c>
      <x:c r="K648" s="17" t="str">
        <x:v>Public archive</x:v>
      </x:c>
      <x:c r="L648" s="17" t="str">
        <x:v>COURT-SEALED UNTIL COHORT RELEASE</x:v>
      </x:c>
      <x:c r="M648" s="9" t="n">
        <x:v>0</x:v>
      </x:c>
      <x:c r="N648" s="9" t="n">
        <x:v>0</x:v>
      </x:c>
      <x:c r="O648" s="9" t="n">
        <x:v>0</x:v>
      </x:c>
      <x:c r="P648" s="9" t="str">
        <x:v>HELD / UNRELEASED</x:v>
      </x:c>
      <x:c r="Q648" s="9" t="n">
        <x:f>COUNTIFS($A$7:$A$2310,A648)</x:f>
        <x:v>1</x:v>
      </x:c>
    </x:row>
    <x:row r="649">
      <x:c r="A649" s="9" t="str">
        <x:v>PD-AR-RT-B-C-TECH-4-B2-RCN-G0-PD03</x:v>
      </x:c>
      <x:c r="B649" s="9" t="str">
        <x:v>PD-AR-RT-B-C-TECH-4-B2-RCN-G0</x:v>
      </x:c>
      <x:c r="C649" s="9" t="str">
        <x:v>EV-AR-RT-B-C-TECH-4-B2-RCN-G0</x:v>
      </x:c>
      <x:c r="D649" s="9" t="str">
        <x:v>AR-RT-B-C-TECH-4-B2-RCN-G0</x:v>
      </x:c>
      <x:c r="E649" s="9" t="str">
        <x:v>RT-B-C-TECH-4</x:v>
      </x:c>
      <x:c r="F649" s="9" t="str">
        <x:v>RT-B-C</x:v>
      </x:c>
      <x:c r="G649" s="9" t="str">
        <x:v>B2</x:v>
      </x:c>
      <x:c r="H649" s="9" t="str">
        <x:v>RCN</x:v>
      </x:c>
      <x:c r="I649" s="9" t="str">
        <x:v>PD03</x:v>
      </x:c>
      <x:c r="J649" s="17" t="str">
        <x:v>Configuration and as-built manifest</x:v>
      </x:c>
      <x:c r="K649" s="17" t="str">
        <x:v>Artifact exchange</x:v>
      </x:c>
      <x:c r="L649" s="17" t="str">
        <x:v>COURT-SEALED UNTIL COHORT RELEASE</x:v>
      </x:c>
      <x:c r="M649" s="9" t="n">
        <x:v>0</x:v>
      </x:c>
      <x:c r="N649" s="9" t="n">
        <x:v>0</x:v>
      </x:c>
      <x:c r="O649" s="9" t="n">
        <x:v>0</x:v>
      </x:c>
      <x:c r="P649" s="9" t="str">
        <x:v>HELD / UNRELEASED</x:v>
      </x:c>
      <x:c r="Q649" s="9" t="n">
        <x:f>COUNTIFS($A$7:$A$2310,A649)</x:f>
        <x:v>1</x:v>
      </x:c>
    </x:row>
    <x:row r="650">
      <x:c r="A650" s="9" t="str">
        <x:v>PD-AR-RT-B-C-TECH-4-B2-RCN-G0-PD04</x:v>
      </x:c>
      <x:c r="B650" s="9" t="str">
        <x:v>PD-AR-RT-B-C-TECH-4-B2-RCN-G0</x:v>
      </x:c>
      <x:c r="C650" s="9" t="str">
        <x:v>EV-AR-RT-B-C-TECH-4-B2-RCN-G0</x:v>
      </x:c>
      <x:c r="D650" s="9" t="str">
        <x:v>AR-RT-B-C-TECH-4-B2-RCN-G0</x:v>
      </x:c>
      <x:c r="E650" s="9" t="str">
        <x:v>RT-B-C-TECH-4</x:v>
      </x:c>
      <x:c r="F650" s="9" t="str">
        <x:v>RT-B-C</x:v>
      </x:c>
      <x:c r="G650" s="9" t="str">
        <x:v>B2</x:v>
      </x:c>
      <x:c r="H650" s="9" t="str">
        <x:v>RCN</x:v>
      </x:c>
      <x:c r="I650" s="9" t="str">
        <x:v>PD04</x:v>
      </x:c>
      <x:c r="J650" s="17" t="str">
        <x:v>EOW and start certificate</x:v>
      </x:c>
      <x:c r="K650" s="17" t="str">
        <x:v>Start registrar</x:v>
      </x:c>
      <x:c r="L650" s="17" t="str">
        <x:v>COURT-SEALED UNTIL COHORT RELEASE</x:v>
      </x:c>
      <x:c r="M650" s="9" t="n">
        <x:v>0</x:v>
      </x:c>
      <x:c r="N650" s="9" t="n">
        <x:v>0</x:v>
      </x:c>
      <x:c r="O650" s="9" t="n">
        <x:v>0</x:v>
      </x:c>
      <x:c r="P650" s="9" t="str">
        <x:v>HELD / UNRELEASED</x:v>
      </x:c>
      <x:c r="Q650" s="9" t="n">
        <x:f>COUNTIFS($A$7:$A$2310,A650)</x:f>
        <x:v>1</x:v>
      </x:c>
    </x:row>
    <x:row r="651">
      <x:c r="A651" s="9" t="str">
        <x:v>PD-AR-RT-B-C-TECH-4-B2-RCN-G0-PD05</x:v>
      </x:c>
      <x:c r="B651" s="9" t="str">
        <x:v>PD-AR-RT-B-C-TECH-4-B2-RCN-G0</x:v>
      </x:c>
      <x:c r="C651" s="9" t="str">
        <x:v>EV-AR-RT-B-C-TECH-4-B2-RCN-G0</x:v>
      </x:c>
      <x:c r="D651" s="9" t="str">
        <x:v>AR-RT-B-C-TECH-4-B2-RCN-G0</x:v>
      </x:c>
      <x:c r="E651" s="9" t="str">
        <x:v>RT-B-C-TECH-4</x:v>
      </x:c>
      <x:c r="F651" s="9" t="str">
        <x:v>RT-B-C</x:v>
      </x:c>
      <x:c r="G651" s="9" t="str">
        <x:v>B2</x:v>
      </x:c>
      <x:c r="H651" s="9" t="str">
        <x:v>RCN</x:v>
      </x:c>
      <x:c r="I651" s="9" t="str">
        <x:v>PD05</x:v>
      </x:c>
      <x:c r="J651" s="17" t="str">
        <x:v>Primary raw originals</x:v>
      </x:c>
      <x:c r="K651" s="17" t="str">
        <x:v>Primary custody</x:v>
      </x:c>
      <x:c r="L651" s="17" t="str">
        <x:v>COURT-SEALED UNTIL COHORT RELEASE</x:v>
      </x:c>
      <x:c r="M651" s="9" t="n">
        <x:v>0</x:v>
      </x:c>
      <x:c r="N651" s="9" t="n">
        <x:v>0</x:v>
      </x:c>
      <x:c r="O651" s="9" t="n">
        <x:v>0</x:v>
      </x:c>
      <x:c r="P651" s="9" t="str">
        <x:v>HELD / UNRELEASED</x:v>
      </x:c>
      <x:c r="Q651" s="9" t="n">
        <x:f>COUNTIFS($A$7:$A$2310,A651)</x:f>
        <x:v>1</x:v>
      </x:c>
    </x:row>
    <x:row r="652">
      <x:c r="A652" s="9" t="str">
        <x:v>PD-AR-RT-B-C-TECH-4-B2-RCN-G0-PD06</x:v>
      </x:c>
      <x:c r="B652" s="9" t="str">
        <x:v>PD-AR-RT-B-C-TECH-4-B2-RCN-G0</x:v>
      </x:c>
      <x:c r="C652" s="9" t="str">
        <x:v>EV-AR-RT-B-C-TECH-4-B2-RCN-G0</x:v>
      </x:c>
      <x:c r="D652" s="9" t="str">
        <x:v>AR-RT-B-C-TECH-4-B2-RCN-G0</x:v>
      </x:c>
      <x:c r="E652" s="9" t="str">
        <x:v>RT-B-C-TECH-4</x:v>
      </x:c>
      <x:c r="F652" s="9" t="str">
        <x:v>RT-B-C</x:v>
      </x:c>
      <x:c r="G652" s="9" t="str">
        <x:v>B2</x:v>
      </x:c>
      <x:c r="H652" s="9" t="str">
        <x:v>RCN</x:v>
      </x:c>
      <x:c r="I652" s="9" t="str">
        <x:v>PD06</x:v>
      </x:c>
      <x:c r="J652" s="17" t="str">
        <x:v>Witness raw originals</x:v>
      </x:c>
      <x:c r="K652" s="17" t="str">
        <x:v>Witness custody</x:v>
      </x:c>
      <x:c r="L652" s="17" t="str">
        <x:v>COURT-SEALED UNTIL COHORT RELEASE</x:v>
      </x:c>
      <x:c r="M652" s="9" t="n">
        <x:v>0</x:v>
      </x:c>
      <x:c r="N652" s="9" t="n">
        <x:v>0</x:v>
      </x:c>
      <x:c r="O652" s="9" t="n">
        <x:v>0</x:v>
      </x:c>
      <x:c r="P652" s="9" t="str">
        <x:v>HELD / UNRELEASED</x:v>
      </x:c>
      <x:c r="Q652" s="9" t="n">
        <x:f>COUNTIFS($A$7:$A$2310,A652)</x:f>
        <x:v>1</x:v>
      </x:c>
    </x:row>
    <x:row r="653">
      <x:c r="A653" s="9" t="str">
        <x:v>PD-AR-RT-B-C-TECH-4-B2-RCN-G0-PD07</x:v>
      </x:c>
      <x:c r="B653" s="9" t="str">
        <x:v>PD-AR-RT-B-C-TECH-4-B2-RCN-G0</x:v>
      </x:c>
      <x:c r="C653" s="9" t="str">
        <x:v>EV-AR-RT-B-C-TECH-4-B2-RCN-G0</x:v>
      </x:c>
      <x:c r="D653" s="9" t="str">
        <x:v>AR-RT-B-C-TECH-4-B2-RCN-G0</x:v>
      </x:c>
      <x:c r="E653" s="9" t="str">
        <x:v>RT-B-C-TECH-4</x:v>
      </x:c>
      <x:c r="F653" s="9" t="str">
        <x:v>RT-B-C</x:v>
      </x:c>
      <x:c r="G653" s="9" t="str">
        <x:v>B2</x:v>
      </x:c>
      <x:c r="H653" s="9" t="str">
        <x:v>RCN</x:v>
      </x:c>
      <x:c r="I653" s="9" t="str">
        <x:v>PD07</x:v>
      </x:c>
      <x:c r="J653" s="17" t="str">
        <x:v>Clock and environmental records</x:v>
      </x:c>
      <x:c r="K653" s="17" t="str">
        <x:v>Boundary archive</x:v>
      </x:c>
      <x:c r="L653" s="17" t="str">
        <x:v>COURT-SEALED UNTIL COHORT RELEASE</x:v>
      </x:c>
      <x:c r="M653" s="9" t="n">
        <x:v>0</x:v>
      </x:c>
      <x:c r="N653" s="9" t="n">
        <x:v>0</x:v>
      </x:c>
      <x:c r="O653" s="9" t="n">
        <x:v>0</x:v>
      </x:c>
      <x:c r="P653" s="9" t="str">
        <x:v>HELD / UNRELEASED</x:v>
      </x:c>
      <x:c r="Q653" s="9" t="n">
        <x:f>COUNTIFS($A$7:$A$2310,A653)</x:f>
        <x:v>1</x:v>
      </x:c>
    </x:row>
    <x:row r="654">
      <x:c r="A654" s="9" t="str">
        <x:v>PD-AR-RT-B-C-TECH-4-B2-RCN-G0-PD08</x:v>
      </x:c>
      <x:c r="B654" s="9" t="str">
        <x:v>PD-AR-RT-B-C-TECH-4-B2-RCN-G0</x:v>
      </x:c>
      <x:c r="C654" s="9" t="str">
        <x:v>EV-AR-RT-B-C-TECH-4-B2-RCN-G0</x:v>
      </x:c>
      <x:c r="D654" s="9" t="str">
        <x:v>AR-RT-B-C-TECH-4-B2-RCN-G0</x:v>
      </x:c>
      <x:c r="E654" s="9" t="str">
        <x:v>RT-B-C-TECH-4</x:v>
      </x:c>
      <x:c r="F654" s="9" t="str">
        <x:v>RT-B-C</x:v>
      </x:c>
      <x:c r="G654" s="9" t="str">
        <x:v>B2</x:v>
      </x:c>
      <x:c r="H654" s="9" t="str">
        <x:v>RCN</x:v>
      </x:c>
      <x:c r="I654" s="9" t="str">
        <x:v>PD08</x:v>
      </x:c>
      <x:c r="J654" s="17" t="str">
        <x:v>Command and intervention log</x:v>
      </x:c>
      <x:c r="K654" s="17" t="str">
        <x:v>Safety archive</x:v>
      </x:c>
      <x:c r="L654" s="17" t="str">
        <x:v>COURT-SEALED UNTIL COHORT RELEASE</x:v>
      </x:c>
      <x:c r="M654" s="9" t="n">
        <x:v>0</x:v>
      </x:c>
      <x:c r="N654" s="9" t="n">
        <x:v>0</x:v>
      </x:c>
      <x:c r="O654" s="9" t="n">
        <x:v>0</x:v>
      </x:c>
      <x:c r="P654" s="9" t="str">
        <x:v>HELD / UNRELEASED</x:v>
      </x:c>
      <x:c r="Q654" s="9" t="n">
        <x:f>COUNTIFS($A$7:$A$2310,A654)</x:f>
        <x:v>1</x:v>
      </x:c>
    </x:row>
    <x:row r="655">
      <x:c r="A655" s="9" t="str">
        <x:v>PD-AR-RT-B-C-TECH-4-B2-RCN-G0-PD09</x:v>
      </x:c>
      <x:c r="B655" s="9" t="str">
        <x:v>PD-AR-RT-B-C-TECH-4-B2-RCN-G0</x:v>
      </x:c>
      <x:c r="C655" s="9" t="str">
        <x:v>EV-AR-RT-B-C-TECH-4-B2-RCN-G0</x:v>
      </x:c>
      <x:c r="D655" s="9" t="str">
        <x:v>AR-RT-B-C-TECH-4-B2-RCN-G0</x:v>
      </x:c>
      <x:c r="E655" s="9" t="str">
        <x:v>RT-B-C-TECH-4</x:v>
      </x:c>
      <x:c r="F655" s="9" t="str">
        <x:v>RT-B-C</x:v>
      </x:c>
      <x:c r="G655" s="9" t="str">
        <x:v>B2</x:v>
      </x:c>
      <x:c r="H655" s="9" t="str">
        <x:v>RCN</x:v>
      </x:c>
      <x:c r="I655" s="9" t="str">
        <x:v>PD09</x:v>
      </x:c>
      <x:c r="J655" s="17" t="str">
        <x:v>Receiver denominator and service ledger</x:v>
      </x:c>
      <x:c r="K655" s="17" t="str">
        <x:v>Receiver archive</x:v>
      </x:c>
      <x:c r="L655" s="17" t="str">
        <x:v>COURT-SEALED UNTIL COHORT RELEASE</x:v>
      </x:c>
      <x:c r="M655" s="9" t="n">
        <x:v>0</x:v>
      </x:c>
      <x:c r="N655" s="9" t="n">
        <x:v>0</x:v>
      </x:c>
      <x:c r="O655" s="9" t="n">
        <x:v>0</x:v>
      </x:c>
      <x:c r="P655" s="9" t="str">
        <x:v>HELD / UNRELEASED</x:v>
      </x:c>
      <x:c r="Q655" s="9" t="n">
        <x:f>COUNTIFS($A$7:$A$2310,A655)</x:f>
        <x:v>1</x:v>
      </x:c>
    </x:row>
    <x:row r="656">
      <x:c r="A656" s="9" t="str">
        <x:v>PD-AR-RT-B-C-TECH-4-B2-RCN-G0-PD10</x:v>
      </x:c>
      <x:c r="B656" s="9" t="str">
        <x:v>PD-AR-RT-B-C-TECH-4-B2-RCN-G0</x:v>
      </x:c>
      <x:c r="C656" s="9" t="str">
        <x:v>EV-AR-RT-B-C-TECH-4-B2-RCN-G0</x:v>
      </x:c>
      <x:c r="D656" s="9" t="str">
        <x:v>AR-RT-B-C-TECH-4-B2-RCN-G0</x:v>
      </x:c>
      <x:c r="E656" s="9" t="str">
        <x:v>RT-B-C-TECH-4</x:v>
      </x:c>
      <x:c r="F656" s="9" t="str">
        <x:v>RT-B-C</x:v>
      </x:c>
      <x:c r="G656" s="9" t="str">
        <x:v>B2</x:v>
      </x:c>
      <x:c r="H656" s="9" t="str">
        <x:v>RCN</x:v>
      </x:c>
      <x:c r="I656" s="9" t="str">
        <x:v>PD10</x:v>
      </x:c>
      <x:c r="J656" s="17" t="str">
        <x:v>Calibration and uncertainty record</x:v>
      </x:c>
      <x:c r="K656" s="17" t="str">
        <x:v>Metrology archive</x:v>
      </x:c>
      <x:c r="L656" s="17" t="str">
        <x:v>COURT-SEALED UNTIL COHORT RELEASE</x:v>
      </x:c>
      <x:c r="M656" s="9" t="n">
        <x:v>0</x:v>
      </x:c>
      <x:c r="N656" s="9" t="n">
        <x:v>0</x:v>
      </x:c>
      <x:c r="O656" s="9" t="n">
        <x:v>0</x:v>
      </x:c>
      <x:c r="P656" s="9" t="str">
        <x:v>HELD / UNRELEASED</x:v>
      </x:c>
      <x:c r="Q656" s="9" t="n">
        <x:f>COUNTIFS($A$7:$A$2310,A656)</x:f>
        <x:v>1</x:v>
      </x:c>
    </x:row>
    <x:row r="657">
      <x:c r="A657" s="9" t="str">
        <x:v>PD-AR-RT-B-C-TECH-4-B2-RCN-G0-PD11</x:v>
      </x:c>
      <x:c r="B657" s="9" t="str">
        <x:v>PD-AR-RT-B-C-TECH-4-B2-RCN-G0</x:v>
      </x:c>
      <x:c r="C657" s="9" t="str">
        <x:v>EV-AR-RT-B-C-TECH-4-B2-RCN-G0</x:v>
      </x:c>
      <x:c r="D657" s="9" t="str">
        <x:v>AR-RT-B-C-TECH-4-B2-RCN-G0</x:v>
      </x:c>
      <x:c r="E657" s="9" t="str">
        <x:v>RT-B-C-TECH-4</x:v>
      </x:c>
      <x:c r="F657" s="9" t="str">
        <x:v>RT-B-C</x:v>
      </x:c>
      <x:c r="G657" s="9" t="str">
        <x:v>B2</x:v>
      </x:c>
      <x:c r="H657" s="9" t="str">
        <x:v>RCN</x:v>
      </x:c>
      <x:c r="I657" s="9" t="str">
        <x:v>PD11</x:v>
      </x:c>
      <x:c r="J657" s="17" t="str">
        <x:v>Invalidity petition and opinion</x:v>
      </x:c>
      <x:c r="K657" s="17" t="str">
        <x:v>Invalidity court</x:v>
      </x:c>
      <x:c r="L657" s="17" t="str">
        <x:v>COURT-SEALED UNTIL COHORT RELEASE</x:v>
      </x:c>
      <x:c r="M657" s="9" t="n">
        <x:v>0</x:v>
      </x:c>
      <x:c r="N657" s="9" t="n">
        <x:v>0</x:v>
      </x:c>
      <x:c r="O657" s="9" t="n">
        <x:v>0</x:v>
      </x:c>
      <x:c r="P657" s="9" t="str">
        <x:v>HELD / UNRELEASED</x:v>
      </x:c>
      <x:c r="Q657" s="9" t="n">
        <x:f>COUNTIFS($A$7:$A$2310,A657)</x:f>
        <x:v>1</x:v>
      </x:c>
    </x:row>
    <x:row r="658">
      <x:c r="A658" s="9" t="str">
        <x:v>PD-AR-RT-B-C-TECH-4-B2-RCN-G0-PD12</x:v>
      </x:c>
      <x:c r="B658" s="9" t="str">
        <x:v>PD-AR-RT-B-C-TECH-4-B2-RCN-G0</x:v>
      </x:c>
      <x:c r="C658" s="9" t="str">
        <x:v>EV-AR-RT-B-C-TECH-4-B2-RCN-G0</x:v>
      </x:c>
      <x:c r="D658" s="9" t="str">
        <x:v>AR-RT-B-C-TECH-4-B2-RCN-G0</x:v>
      </x:c>
      <x:c r="E658" s="9" t="str">
        <x:v>RT-B-C-TECH-4</x:v>
      </x:c>
      <x:c r="F658" s="9" t="str">
        <x:v>RT-B-C</x:v>
      </x:c>
      <x:c r="G658" s="9" t="str">
        <x:v>B2</x:v>
      </x:c>
      <x:c r="H658" s="9" t="str">
        <x:v>RCN</x:v>
      </x:c>
      <x:c r="I658" s="9" t="str">
        <x:v>PD12</x:v>
      </x:c>
      <x:c r="J658" s="17" t="str">
        <x:v>Observation acceptance and replay</x:v>
      </x:c>
      <x:c r="K658" s="17" t="str">
        <x:v>Observation court</x:v>
      </x:c>
      <x:c r="L658" s="17" t="str">
        <x:v>COURT-SEALED UNTIL COHORT RELEASE</x:v>
      </x:c>
      <x:c r="M658" s="9" t="n">
        <x:v>0</x:v>
      </x:c>
      <x:c r="N658" s="9" t="n">
        <x:v>0</x:v>
      </x:c>
      <x:c r="O658" s="9" t="n">
        <x:v>0</x:v>
      </x:c>
      <x:c r="P658" s="9" t="str">
        <x:v>HELD / UNRELEASED</x:v>
      </x:c>
      <x:c r="Q658" s="9" t="n">
        <x:f>COUNTIFS($A$7:$A$2310,A658)</x:f>
        <x:v>1</x:v>
      </x:c>
    </x:row>
    <x:row r="659">
      <x:c r="A659" s="9" t="str">
        <x:v>PD-AR-RT-B-C-TECH-4-B2-RCN-G0-PD13</x:v>
      </x:c>
      <x:c r="B659" s="9" t="str">
        <x:v>PD-AR-RT-B-C-TECH-4-B2-RCN-G0</x:v>
      </x:c>
      <x:c r="C659" s="9" t="str">
        <x:v>EV-AR-RT-B-C-TECH-4-B2-RCN-G0</x:v>
      </x:c>
      <x:c r="D659" s="9" t="str">
        <x:v>AR-RT-B-C-TECH-4-B2-RCN-G0</x:v>
      </x:c>
      <x:c r="E659" s="9" t="str">
        <x:v>RT-B-C-TECH-4</x:v>
      </x:c>
      <x:c r="F659" s="9" t="str">
        <x:v>RT-B-C</x:v>
      </x:c>
      <x:c r="G659" s="9" t="str">
        <x:v>B2</x:v>
      </x:c>
      <x:c r="H659" s="9" t="str">
        <x:v>RCN</x:v>
      </x:c>
      <x:c r="I659" s="9" t="str">
        <x:v>PD13</x:v>
      </x:c>
      <x:c r="J659" s="17" t="str">
        <x:v>Role judgment</x:v>
      </x:c>
      <x:c r="K659" s="17" t="str">
        <x:v>Role court</x:v>
      </x:c>
      <x:c r="L659" s="17" t="str">
        <x:v>COURT-SEALED UNTIL COHORT RELEASE</x:v>
      </x:c>
      <x:c r="M659" s="9" t="n">
        <x:v>0</x:v>
      </x:c>
      <x:c r="N659" s="9" t="n">
        <x:v>0</x:v>
      </x:c>
      <x:c r="O659" s="9" t="n">
        <x:v>0</x:v>
      </x:c>
      <x:c r="P659" s="9" t="str">
        <x:v>HELD / UNRELEASED</x:v>
      </x:c>
      <x:c r="Q659" s="9" t="n">
        <x:f>COUNTIFS($A$7:$A$2310,A659)</x:f>
        <x:v>1</x:v>
      </x:c>
    </x:row>
    <x:row r="660">
      <x:c r="A660" s="9" t="str">
        <x:v>PD-AR-RT-B-C-TECH-4-B2-RCN-G0-PD14</x:v>
      </x:c>
      <x:c r="B660" s="9" t="str">
        <x:v>PD-AR-RT-B-C-TECH-4-B2-RCN-G0</x:v>
      </x:c>
      <x:c r="C660" s="9" t="str">
        <x:v>EV-AR-RT-B-C-TECH-4-B2-RCN-G0</x:v>
      </x:c>
      <x:c r="D660" s="9" t="str">
        <x:v>AR-RT-B-C-TECH-4-B2-RCN-G0</x:v>
      </x:c>
      <x:c r="E660" s="9" t="str">
        <x:v>RT-B-C-TECH-4</x:v>
      </x:c>
      <x:c r="F660" s="9" t="str">
        <x:v>RT-B-C</x:v>
      </x:c>
      <x:c r="G660" s="9" t="str">
        <x:v>B2</x:v>
      </x:c>
      <x:c r="H660" s="9" t="str">
        <x:v>RCN</x:v>
      </x:c>
      <x:c r="I660" s="9" t="str">
        <x:v>PD14</x:v>
      </x:c>
      <x:c r="J660" s="17" t="str">
        <x:v>Break and residual account</x:v>
      </x:c>
      <x:c r="K660" s="17" t="str">
        <x:v>Residual authority</x:v>
      </x:c>
      <x:c r="L660" s="17" t="str">
        <x:v>COURT-SEALED UNTIL COHORT RELEASE</x:v>
      </x:c>
      <x:c r="M660" s="9" t="n">
        <x:v>0</x:v>
      </x:c>
      <x:c r="N660" s="9" t="n">
        <x:v>0</x:v>
      </x:c>
      <x:c r="O660" s="9" t="n">
        <x:v>0</x:v>
      </x:c>
      <x:c r="P660" s="9" t="str">
        <x:v>HELD / UNRELEASED</x:v>
      </x:c>
      <x:c r="Q660" s="9" t="n">
        <x:f>COUNTIFS($A$7:$A$2310,A660)</x:f>
        <x:v>1</x:v>
      </x:c>
    </x:row>
    <x:row r="661">
      <x:c r="A661" s="9" t="str">
        <x:v>PD-AR-RT-B-C-TECH-4-B2-RCN-G0-PD15</x:v>
      </x:c>
      <x:c r="B661" s="9" t="str">
        <x:v>PD-AR-RT-B-C-TECH-4-B2-RCN-G0</x:v>
      </x:c>
      <x:c r="C661" s="9" t="str">
        <x:v>EV-AR-RT-B-C-TECH-4-B2-RCN-G0</x:v>
      </x:c>
      <x:c r="D661" s="9" t="str">
        <x:v>AR-RT-B-C-TECH-4-B2-RCN-G0</x:v>
      </x:c>
      <x:c r="E661" s="9" t="str">
        <x:v>RT-B-C-TECH-4</x:v>
      </x:c>
      <x:c r="F661" s="9" t="str">
        <x:v>RT-B-C</x:v>
      </x:c>
      <x:c r="G661" s="9" t="str">
        <x:v>B2</x:v>
      </x:c>
      <x:c r="H661" s="9" t="str">
        <x:v>RCN</x:v>
      </x:c>
      <x:c r="I661" s="9" t="str">
        <x:v>PD15</x:v>
      </x:c>
      <x:c r="J661" s="17" t="str">
        <x:v>Reconstruction ancestry and replay</x:v>
      </x:c>
      <x:c r="K661" s="17" t="str">
        <x:v>Reconstruction court</x:v>
      </x:c>
      <x:c r="L661" s="17" t="str">
        <x:v>COURT-SEALED UNTIL COHORT RELEASE</x:v>
      </x:c>
      <x:c r="M661" s="9" t="n">
        <x:v>0</x:v>
      </x:c>
      <x:c r="N661" s="9" t="n">
        <x:v>0</x:v>
      </x:c>
      <x:c r="O661" s="9" t="n">
        <x:v>0</x:v>
      </x:c>
      <x:c r="P661" s="9" t="str">
        <x:v>HELD / UNRELEASED</x:v>
      </x:c>
      <x:c r="Q661" s="9" t="n">
        <x:f>COUNTIFS($A$7:$A$2310,A661)</x:f>
        <x:v>1</x:v>
      </x:c>
    </x:row>
    <x:row r="662">
      <x:c r="A662" s="9" t="str">
        <x:v>PD-AR-RT-B-C-TECH-4-B2-RCN-G0-PD16</x:v>
      </x:c>
      <x:c r="B662" s="9" t="str">
        <x:v>PD-AR-RT-B-C-TECH-4-B2-RCN-G0</x:v>
      </x:c>
      <x:c r="C662" s="9" t="str">
        <x:v>EV-AR-RT-B-C-TECH-4-B2-RCN-G0</x:v>
      </x:c>
      <x:c r="D662" s="9" t="str">
        <x:v>AR-RT-B-C-TECH-4-B2-RCN-G0</x:v>
      </x:c>
      <x:c r="E662" s="9" t="str">
        <x:v>RT-B-C-TECH-4</x:v>
      </x:c>
      <x:c r="F662" s="9" t="str">
        <x:v>RT-B-C</x:v>
      </x:c>
      <x:c r="G662" s="9" t="str">
        <x:v>B2</x:v>
      </x:c>
      <x:c r="H662" s="9" t="str">
        <x:v>RCN</x:v>
      </x:c>
      <x:c r="I662" s="9" t="str">
        <x:v>PD16</x:v>
      </x:c>
      <x:c r="J662" s="17" t="str">
        <x:v>Dissent, amendments and access log</x:v>
      </x:c>
      <x:c r="K662" s="17" t="str">
        <x:v>Public archive</x:v>
      </x:c>
      <x:c r="L662" s="17" t="str">
        <x:v>COURT-SEALED UNTIL COHORT RELEASE</x:v>
      </x:c>
      <x:c r="M662" s="9" t="n">
        <x:v>0</x:v>
      </x:c>
      <x:c r="N662" s="9" t="n">
        <x:v>0</x:v>
      </x:c>
      <x:c r="O662" s="9" t="n">
        <x:v>0</x:v>
      </x:c>
      <x:c r="P662" s="9" t="str">
        <x:v>HELD / UNRELEASED</x:v>
      </x:c>
      <x:c r="Q662" s="9" t="n">
        <x:f>COUNTIFS($A$7:$A$2310,A662)</x:f>
        <x:v>1</x:v>
      </x:c>
    </x:row>
    <x:row r="663">
      <x:c r="A663" s="9" t="str">
        <x:v>PD-AR-RT-B-C-TECH-2-B2-INT-G0-PD01</x:v>
      </x:c>
      <x:c r="B663" s="9" t="str">
        <x:v>PD-AR-RT-B-C-TECH-2-B2-INT-G0</x:v>
      </x:c>
      <x:c r="C663" s="9" t="str">
        <x:v>EV-AR-RT-B-C-TECH-2-B2-INT-G0</x:v>
      </x:c>
      <x:c r="D663" s="9" t="str">
        <x:v>AR-RT-B-C-TECH-2-B2-INT-G0</x:v>
      </x:c>
      <x:c r="E663" s="9" t="str">
        <x:v>RT-B-C-TECH-2</x:v>
      </x:c>
      <x:c r="F663" s="9" t="str">
        <x:v>RT-B-C</x:v>
      </x:c>
      <x:c r="G663" s="9" t="str">
        <x:v>B2</x:v>
      </x:c>
      <x:c r="H663" s="9" t="str">
        <x:v>INT</x:v>
      </x:c>
      <x:c r="I663" s="9" t="str">
        <x:v>PD01</x:v>
      </x:c>
      <x:c r="J663" s="17" t="str">
        <x:v>Experiment kernel</x:v>
      </x:c>
      <x:c r="K663" s="17" t="str">
        <x:v>Public archive</x:v>
      </x:c>
      <x:c r="L663" s="17" t="str">
        <x:v>COURT-SEALED UNTIL COHORT RELEASE</x:v>
      </x:c>
      <x:c r="M663" s="9" t="n">
        <x:v>0</x:v>
      </x:c>
      <x:c r="N663" s="9" t="n">
        <x:v>0</x:v>
      </x:c>
      <x:c r="O663" s="9" t="n">
        <x:v>0</x:v>
      </x:c>
      <x:c r="P663" s="9" t="str">
        <x:v>HELD / UNRELEASED</x:v>
      </x:c>
      <x:c r="Q663" s="9" t="n">
        <x:f>COUNTIFS($A$7:$A$2310,A663)</x:f>
        <x:v>1</x:v>
      </x:c>
    </x:row>
    <x:row r="664">
      <x:c r="A664" s="9" t="str">
        <x:v>PD-AR-RT-B-C-TECH-2-B2-INT-G0-PD02</x:v>
      </x:c>
      <x:c r="B664" s="9" t="str">
        <x:v>PD-AR-RT-B-C-TECH-2-B2-INT-G0</x:v>
      </x:c>
      <x:c r="C664" s="9" t="str">
        <x:v>EV-AR-RT-B-C-TECH-2-B2-INT-G0</x:v>
      </x:c>
      <x:c r="D664" s="9" t="str">
        <x:v>AR-RT-B-C-TECH-2-B2-INT-G0</x:v>
      </x:c>
      <x:c r="E664" s="9" t="str">
        <x:v>RT-B-C-TECH-2</x:v>
      </x:c>
      <x:c r="F664" s="9" t="str">
        <x:v>RT-B-C</x:v>
      </x:c>
      <x:c r="G664" s="9" t="str">
        <x:v>B2</x:v>
      </x:c>
      <x:c r="H664" s="9" t="str">
        <x:v>INT</x:v>
      </x:c>
      <x:c r="I664" s="9" t="str">
        <x:v>PD02</x:v>
      </x:c>
      <x:c r="J664" s="17" t="str">
        <x:v>Serial annex and title chain</x:v>
      </x:c>
      <x:c r="K664" s="17" t="str">
        <x:v>Public archive</x:v>
      </x:c>
      <x:c r="L664" s="17" t="str">
        <x:v>COURT-SEALED UNTIL COHORT RELEASE</x:v>
      </x:c>
      <x:c r="M664" s="9" t="n">
        <x:v>0</x:v>
      </x:c>
      <x:c r="N664" s="9" t="n">
        <x:v>0</x:v>
      </x:c>
      <x:c r="O664" s="9" t="n">
        <x:v>0</x:v>
      </x:c>
      <x:c r="P664" s="9" t="str">
        <x:v>HELD / UNRELEASED</x:v>
      </x:c>
      <x:c r="Q664" s="9" t="n">
        <x:f>COUNTIFS($A$7:$A$2310,A664)</x:f>
        <x:v>1</x:v>
      </x:c>
    </x:row>
    <x:row r="665">
      <x:c r="A665" s="9" t="str">
        <x:v>PD-AR-RT-B-C-TECH-2-B2-INT-G0-PD03</x:v>
      </x:c>
      <x:c r="B665" s="9" t="str">
        <x:v>PD-AR-RT-B-C-TECH-2-B2-INT-G0</x:v>
      </x:c>
      <x:c r="C665" s="9" t="str">
        <x:v>EV-AR-RT-B-C-TECH-2-B2-INT-G0</x:v>
      </x:c>
      <x:c r="D665" s="9" t="str">
        <x:v>AR-RT-B-C-TECH-2-B2-INT-G0</x:v>
      </x:c>
      <x:c r="E665" s="9" t="str">
        <x:v>RT-B-C-TECH-2</x:v>
      </x:c>
      <x:c r="F665" s="9" t="str">
        <x:v>RT-B-C</x:v>
      </x:c>
      <x:c r="G665" s="9" t="str">
        <x:v>B2</x:v>
      </x:c>
      <x:c r="H665" s="9" t="str">
        <x:v>INT</x:v>
      </x:c>
      <x:c r="I665" s="9" t="str">
        <x:v>PD03</x:v>
      </x:c>
      <x:c r="J665" s="17" t="str">
        <x:v>Configuration and as-built manifest</x:v>
      </x:c>
      <x:c r="K665" s="17" t="str">
        <x:v>Artifact exchange</x:v>
      </x:c>
      <x:c r="L665" s="17" t="str">
        <x:v>COURT-SEALED UNTIL COHORT RELEASE</x:v>
      </x:c>
      <x:c r="M665" s="9" t="n">
        <x:v>0</x:v>
      </x:c>
      <x:c r="N665" s="9" t="n">
        <x:v>0</x:v>
      </x:c>
      <x:c r="O665" s="9" t="n">
        <x:v>0</x:v>
      </x:c>
      <x:c r="P665" s="9" t="str">
        <x:v>HELD / UNRELEASED</x:v>
      </x:c>
      <x:c r="Q665" s="9" t="n">
        <x:f>COUNTIFS($A$7:$A$2310,A665)</x:f>
        <x:v>1</x:v>
      </x:c>
    </x:row>
    <x:row r="666">
      <x:c r="A666" s="9" t="str">
        <x:v>PD-AR-RT-B-C-TECH-2-B2-INT-G0-PD04</x:v>
      </x:c>
      <x:c r="B666" s="9" t="str">
        <x:v>PD-AR-RT-B-C-TECH-2-B2-INT-G0</x:v>
      </x:c>
      <x:c r="C666" s="9" t="str">
        <x:v>EV-AR-RT-B-C-TECH-2-B2-INT-G0</x:v>
      </x:c>
      <x:c r="D666" s="9" t="str">
        <x:v>AR-RT-B-C-TECH-2-B2-INT-G0</x:v>
      </x:c>
      <x:c r="E666" s="9" t="str">
        <x:v>RT-B-C-TECH-2</x:v>
      </x:c>
      <x:c r="F666" s="9" t="str">
        <x:v>RT-B-C</x:v>
      </x:c>
      <x:c r="G666" s="9" t="str">
        <x:v>B2</x:v>
      </x:c>
      <x:c r="H666" s="9" t="str">
        <x:v>INT</x:v>
      </x:c>
      <x:c r="I666" s="9" t="str">
        <x:v>PD04</x:v>
      </x:c>
      <x:c r="J666" s="17" t="str">
        <x:v>EOW and start certificate</x:v>
      </x:c>
      <x:c r="K666" s="17" t="str">
        <x:v>Start registrar</x:v>
      </x:c>
      <x:c r="L666" s="17" t="str">
        <x:v>COURT-SEALED UNTIL COHORT RELEASE</x:v>
      </x:c>
      <x:c r="M666" s="9" t="n">
        <x:v>0</x:v>
      </x:c>
      <x:c r="N666" s="9" t="n">
        <x:v>0</x:v>
      </x:c>
      <x:c r="O666" s="9" t="n">
        <x:v>0</x:v>
      </x:c>
      <x:c r="P666" s="9" t="str">
        <x:v>HELD / UNRELEASED</x:v>
      </x:c>
      <x:c r="Q666" s="9" t="n">
        <x:f>COUNTIFS($A$7:$A$2310,A666)</x:f>
        <x:v>1</x:v>
      </x:c>
    </x:row>
    <x:row r="667">
      <x:c r="A667" s="9" t="str">
        <x:v>PD-AR-RT-B-C-TECH-2-B2-INT-G0-PD05</x:v>
      </x:c>
      <x:c r="B667" s="9" t="str">
        <x:v>PD-AR-RT-B-C-TECH-2-B2-INT-G0</x:v>
      </x:c>
      <x:c r="C667" s="9" t="str">
        <x:v>EV-AR-RT-B-C-TECH-2-B2-INT-G0</x:v>
      </x:c>
      <x:c r="D667" s="9" t="str">
        <x:v>AR-RT-B-C-TECH-2-B2-INT-G0</x:v>
      </x:c>
      <x:c r="E667" s="9" t="str">
        <x:v>RT-B-C-TECH-2</x:v>
      </x:c>
      <x:c r="F667" s="9" t="str">
        <x:v>RT-B-C</x:v>
      </x:c>
      <x:c r="G667" s="9" t="str">
        <x:v>B2</x:v>
      </x:c>
      <x:c r="H667" s="9" t="str">
        <x:v>INT</x:v>
      </x:c>
      <x:c r="I667" s="9" t="str">
        <x:v>PD05</x:v>
      </x:c>
      <x:c r="J667" s="17" t="str">
        <x:v>Primary raw originals</x:v>
      </x:c>
      <x:c r="K667" s="17" t="str">
        <x:v>Primary custody</x:v>
      </x:c>
      <x:c r="L667" s="17" t="str">
        <x:v>COURT-SEALED UNTIL COHORT RELEASE</x:v>
      </x:c>
      <x:c r="M667" s="9" t="n">
        <x:v>0</x:v>
      </x:c>
      <x:c r="N667" s="9" t="n">
        <x:v>0</x:v>
      </x:c>
      <x:c r="O667" s="9" t="n">
        <x:v>0</x:v>
      </x:c>
      <x:c r="P667" s="9" t="str">
        <x:v>HELD / UNRELEASED</x:v>
      </x:c>
      <x:c r="Q667" s="9" t="n">
        <x:f>COUNTIFS($A$7:$A$2310,A667)</x:f>
        <x:v>1</x:v>
      </x:c>
    </x:row>
    <x:row r="668">
      <x:c r="A668" s="9" t="str">
        <x:v>PD-AR-RT-B-C-TECH-2-B2-INT-G0-PD06</x:v>
      </x:c>
      <x:c r="B668" s="9" t="str">
        <x:v>PD-AR-RT-B-C-TECH-2-B2-INT-G0</x:v>
      </x:c>
      <x:c r="C668" s="9" t="str">
        <x:v>EV-AR-RT-B-C-TECH-2-B2-INT-G0</x:v>
      </x:c>
      <x:c r="D668" s="9" t="str">
        <x:v>AR-RT-B-C-TECH-2-B2-INT-G0</x:v>
      </x:c>
      <x:c r="E668" s="9" t="str">
        <x:v>RT-B-C-TECH-2</x:v>
      </x:c>
      <x:c r="F668" s="9" t="str">
        <x:v>RT-B-C</x:v>
      </x:c>
      <x:c r="G668" s="9" t="str">
        <x:v>B2</x:v>
      </x:c>
      <x:c r="H668" s="9" t="str">
        <x:v>INT</x:v>
      </x:c>
      <x:c r="I668" s="9" t="str">
        <x:v>PD06</x:v>
      </x:c>
      <x:c r="J668" s="17" t="str">
        <x:v>Witness raw originals</x:v>
      </x:c>
      <x:c r="K668" s="17" t="str">
        <x:v>Witness custody</x:v>
      </x:c>
      <x:c r="L668" s="17" t="str">
        <x:v>COURT-SEALED UNTIL COHORT RELEASE</x:v>
      </x:c>
      <x:c r="M668" s="9" t="n">
        <x:v>0</x:v>
      </x:c>
      <x:c r="N668" s="9" t="n">
        <x:v>0</x:v>
      </x:c>
      <x:c r="O668" s="9" t="n">
        <x:v>0</x:v>
      </x:c>
      <x:c r="P668" s="9" t="str">
        <x:v>HELD / UNRELEASED</x:v>
      </x:c>
      <x:c r="Q668" s="9" t="n">
        <x:f>COUNTIFS($A$7:$A$2310,A668)</x:f>
        <x:v>1</x:v>
      </x:c>
    </x:row>
    <x:row r="669">
      <x:c r="A669" s="9" t="str">
        <x:v>PD-AR-RT-B-C-TECH-2-B2-INT-G0-PD07</x:v>
      </x:c>
      <x:c r="B669" s="9" t="str">
        <x:v>PD-AR-RT-B-C-TECH-2-B2-INT-G0</x:v>
      </x:c>
      <x:c r="C669" s="9" t="str">
        <x:v>EV-AR-RT-B-C-TECH-2-B2-INT-G0</x:v>
      </x:c>
      <x:c r="D669" s="9" t="str">
        <x:v>AR-RT-B-C-TECH-2-B2-INT-G0</x:v>
      </x:c>
      <x:c r="E669" s="9" t="str">
        <x:v>RT-B-C-TECH-2</x:v>
      </x:c>
      <x:c r="F669" s="9" t="str">
        <x:v>RT-B-C</x:v>
      </x:c>
      <x:c r="G669" s="9" t="str">
        <x:v>B2</x:v>
      </x:c>
      <x:c r="H669" s="9" t="str">
        <x:v>INT</x:v>
      </x:c>
      <x:c r="I669" s="9" t="str">
        <x:v>PD07</x:v>
      </x:c>
      <x:c r="J669" s="17" t="str">
        <x:v>Clock and environmental records</x:v>
      </x:c>
      <x:c r="K669" s="17" t="str">
        <x:v>Boundary archive</x:v>
      </x:c>
      <x:c r="L669" s="17" t="str">
        <x:v>COURT-SEALED UNTIL COHORT RELEASE</x:v>
      </x:c>
      <x:c r="M669" s="9" t="n">
        <x:v>0</x:v>
      </x:c>
      <x:c r="N669" s="9" t="n">
        <x:v>0</x:v>
      </x:c>
      <x:c r="O669" s="9" t="n">
        <x:v>0</x:v>
      </x:c>
      <x:c r="P669" s="9" t="str">
        <x:v>HELD / UNRELEASED</x:v>
      </x:c>
      <x:c r="Q669" s="9" t="n">
        <x:f>COUNTIFS($A$7:$A$2310,A669)</x:f>
        <x:v>1</x:v>
      </x:c>
    </x:row>
    <x:row r="670">
      <x:c r="A670" s="9" t="str">
        <x:v>PD-AR-RT-B-C-TECH-2-B2-INT-G0-PD08</x:v>
      </x:c>
      <x:c r="B670" s="9" t="str">
        <x:v>PD-AR-RT-B-C-TECH-2-B2-INT-G0</x:v>
      </x:c>
      <x:c r="C670" s="9" t="str">
        <x:v>EV-AR-RT-B-C-TECH-2-B2-INT-G0</x:v>
      </x:c>
      <x:c r="D670" s="9" t="str">
        <x:v>AR-RT-B-C-TECH-2-B2-INT-G0</x:v>
      </x:c>
      <x:c r="E670" s="9" t="str">
        <x:v>RT-B-C-TECH-2</x:v>
      </x:c>
      <x:c r="F670" s="9" t="str">
        <x:v>RT-B-C</x:v>
      </x:c>
      <x:c r="G670" s="9" t="str">
        <x:v>B2</x:v>
      </x:c>
      <x:c r="H670" s="9" t="str">
        <x:v>INT</x:v>
      </x:c>
      <x:c r="I670" s="9" t="str">
        <x:v>PD08</x:v>
      </x:c>
      <x:c r="J670" s="17" t="str">
        <x:v>Command and intervention log</x:v>
      </x:c>
      <x:c r="K670" s="17" t="str">
        <x:v>Safety archive</x:v>
      </x:c>
      <x:c r="L670" s="17" t="str">
        <x:v>COURT-SEALED UNTIL COHORT RELEASE</x:v>
      </x:c>
      <x:c r="M670" s="9" t="n">
        <x:v>0</x:v>
      </x:c>
      <x:c r="N670" s="9" t="n">
        <x:v>0</x:v>
      </x:c>
      <x:c r="O670" s="9" t="n">
        <x:v>0</x:v>
      </x:c>
      <x:c r="P670" s="9" t="str">
        <x:v>HELD / UNRELEASED</x:v>
      </x:c>
      <x:c r="Q670" s="9" t="n">
        <x:f>COUNTIFS($A$7:$A$2310,A670)</x:f>
        <x:v>1</x:v>
      </x:c>
    </x:row>
    <x:row r="671">
      <x:c r="A671" s="9" t="str">
        <x:v>PD-AR-RT-B-C-TECH-2-B2-INT-G0-PD09</x:v>
      </x:c>
      <x:c r="B671" s="9" t="str">
        <x:v>PD-AR-RT-B-C-TECH-2-B2-INT-G0</x:v>
      </x:c>
      <x:c r="C671" s="9" t="str">
        <x:v>EV-AR-RT-B-C-TECH-2-B2-INT-G0</x:v>
      </x:c>
      <x:c r="D671" s="9" t="str">
        <x:v>AR-RT-B-C-TECH-2-B2-INT-G0</x:v>
      </x:c>
      <x:c r="E671" s="9" t="str">
        <x:v>RT-B-C-TECH-2</x:v>
      </x:c>
      <x:c r="F671" s="9" t="str">
        <x:v>RT-B-C</x:v>
      </x:c>
      <x:c r="G671" s="9" t="str">
        <x:v>B2</x:v>
      </x:c>
      <x:c r="H671" s="9" t="str">
        <x:v>INT</x:v>
      </x:c>
      <x:c r="I671" s="9" t="str">
        <x:v>PD09</x:v>
      </x:c>
      <x:c r="J671" s="17" t="str">
        <x:v>Receiver denominator and service ledger</x:v>
      </x:c>
      <x:c r="K671" s="17" t="str">
        <x:v>Receiver archive</x:v>
      </x:c>
      <x:c r="L671" s="17" t="str">
        <x:v>COURT-SEALED UNTIL COHORT RELEASE</x:v>
      </x:c>
      <x:c r="M671" s="9" t="n">
        <x:v>0</x:v>
      </x:c>
      <x:c r="N671" s="9" t="n">
        <x:v>0</x:v>
      </x:c>
      <x:c r="O671" s="9" t="n">
        <x:v>0</x:v>
      </x:c>
      <x:c r="P671" s="9" t="str">
        <x:v>HELD / UNRELEASED</x:v>
      </x:c>
      <x:c r="Q671" s="9" t="n">
        <x:f>COUNTIFS($A$7:$A$2310,A671)</x:f>
        <x:v>1</x:v>
      </x:c>
    </x:row>
    <x:row r="672">
      <x:c r="A672" s="9" t="str">
        <x:v>PD-AR-RT-B-C-TECH-2-B2-INT-G0-PD10</x:v>
      </x:c>
      <x:c r="B672" s="9" t="str">
        <x:v>PD-AR-RT-B-C-TECH-2-B2-INT-G0</x:v>
      </x:c>
      <x:c r="C672" s="9" t="str">
        <x:v>EV-AR-RT-B-C-TECH-2-B2-INT-G0</x:v>
      </x:c>
      <x:c r="D672" s="9" t="str">
        <x:v>AR-RT-B-C-TECH-2-B2-INT-G0</x:v>
      </x:c>
      <x:c r="E672" s="9" t="str">
        <x:v>RT-B-C-TECH-2</x:v>
      </x:c>
      <x:c r="F672" s="9" t="str">
        <x:v>RT-B-C</x:v>
      </x:c>
      <x:c r="G672" s="9" t="str">
        <x:v>B2</x:v>
      </x:c>
      <x:c r="H672" s="9" t="str">
        <x:v>INT</x:v>
      </x:c>
      <x:c r="I672" s="9" t="str">
        <x:v>PD10</x:v>
      </x:c>
      <x:c r="J672" s="17" t="str">
        <x:v>Calibration and uncertainty record</x:v>
      </x:c>
      <x:c r="K672" s="17" t="str">
        <x:v>Metrology archive</x:v>
      </x:c>
      <x:c r="L672" s="17" t="str">
        <x:v>COURT-SEALED UNTIL COHORT RELEASE</x:v>
      </x:c>
      <x:c r="M672" s="9" t="n">
        <x:v>0</x:v>
      </x:c>
      <x:c r="N672" s="9" t="n">
        <x:v>0</x:v>
      </x:c>
      <x:c r="O672" s="9" t="n">
        <x:v>0</x:v>
      </x:c>
      <x:c r="P672" s="9" t="str">
        <x:v>HELD / UNRELEASED</x:v>
      </x:c>
      <x:c r="Q672" s="9" t="n">
        <x:f>COUNTIFS($A$7:$A$2310,A672)</x:f>
        <x:v>1</x:v>
      </x:c>
    </x:row>
    <x:row r="673">
      <x:c r="A673" s="9" t="str">
        <x:v>PD-AR-RT-B-C-TECH-2-B2-INT-G0-PD11</x:v>
      </x:c>
      <x:c r="B673" s="9" t="str">
        <x:v>PD-AR-RT-B-C-TECH-2-B2-INT-G0</x:v>
      </x:c>
      <x:c r="C673" s="9" t="str">
        <x:v>EV-AR-RT-B-C-TECH-2-B2-INT-G0</x:v>
      </x:c>
      <x:c r="D673" s="9" t="str">
        <x:v>AR-RT-B-C-TECH-2-B2-INT-G0</x:v>
      </x:c>
      <x:c r="E673" s="9" t="str">
        <x:v>RT-B-C-TECH-2</x:v>
      </x:c>
      <x:c r="F673" s="9" t="str">
        <x:v>RT-B-C</x:v>
      </x:c>
      <x:c r="G673" s="9" t="str">
        <x:v>B2</x:v>
      </x:c>
      <x:c r="H673" s="9" t="str">
        <x:v>INT</x:v>
      </x:c>
      <x:c r="I673" s="9" t="str">
        <x:v>PD11</x:v>
      </x:c>
      <x:c r="J673" s="17" t="str">
        <x:v>Invalidity petition and opinion</x:v>
      </x:c>
      <x:c r="K673" s="17" t="str">
        <x:v>Invalidity court</x:v>
      </x:c>
      <x:c r="L673" s="17" t="str">
        <x:v>COURT-SEALED UNTIL COHORT RELEASE</x:v>
      </x:c>
      <x:c r="M673" s="9" t="n">
        <x:v>0</x:v>
      </x:c>
      <x:c r="N673" s="9" t="n">
        <x:v>0</x:v>
      </x:c>
      <x:c r="O673" s="9" t="n">
        <x:v>0</x:v>
      </x:c>
      <x:c r="P673" s="9" t="str">
        <x:v>HELD / UNRELEASED</x:v>
      </x:c>
      <x:c r="Q673" s="9" t="n">
        <x:f>COUNTIFS($A$7:$A$2310,A673)</x:f>
        <x:v>1</x:v>
      </x:c>
    </x:row>
    <x:row r="674">
      <x:c r="A674" s="9" t="str">
        <x:v>PD-AR-RT-B-C-TECH-2-B2-INT-G0-PD12</x:v>
      </x:c>
      <x:c r="B674" s="9" t="str">
        <x:v>PD-AR-RT-B-C-TECH-2-B2-INT-G0</x:v>
      </x:c>
      <x:c r="C674" s="9" t="str">
        <x:v>EV-AR-RT-B-C-TECH-2-B2-INT-G0</x:v>
      </x:c>
      <x:c r="D674" s="9" t="str">
        <x:v>AR-RT-B-C-TECH-2-B2-INT-G0</x:v>
      </x:c>
      <x:c r="E674" s="9" t="str">
        <x:v>RT-B-C-TECH-2</x:v>
      </x:c>
      <x:c r="F674" s="9" t="str">
        <x:v>RT-B-C</x:v>
      </x:c>
      <x:c r="G674" s="9" t="str">
        <x:v>B2</x:v>
      </x:c>
      <x:c r="H674" s="9" t="str">
        <x:v>INT</x:v>
      </x:c>
      <x:c r="I674" s="9" t="str">
        <x:v>PD12</x:v>
      </x:c>
      <x:c r="J674" s="17" t="str">
        <x:v>Observation acceptance and replay</x:v>
      </x:c>
      <x:c r="K674" s="17" t="str">
        <x:v>Observation court</x:v>
      </x:c>
      <x:c r="L674" s="17" t="str">
        <x:v>COURT-SEALED UNTIL COHORT RELEASE</x:v>
      </x:c>
      <x:c r="M674" s="9" t="n">
        <x:v>0</x:v>
      </x:c>
      <x:c r="N674" s="9" t="n">
        <x:v>0</x:v>
      </x:c>
      <x:c r="O674" s="9" t="n">
        <x:v>0</x:v>
      </x:c>
      <x:c r="P674" s="9" t="str">
        <x:v>HELD / UNRELEASED</x:v>
      </x:c>
      <x:c r="Q674" s="9" t="n">
        <x:f>COUNTIFS($A$7:$A$2310,A674)</x:f>
        <x:v>1</x:v>
      </x:c>
    </x:row>
    <x:row r="675">
      <x:c r="A675" s="9" t="str">
        <x:v>PD-AR-RT-B-C-TECH-2-B2-INT-G0-PD13</x:v>
      </x:c>
      <x:c r="B675" s="9" t="str">
        <x:v>PD-AR-RT-B-C-TECH-2-B2-INT-G0</x:v>
      </x:c>
      <x:c r="C675" s="9" t="str">
        <x:v>EV-AR-RT-B-C-TECH-2-B2-INT-G0</x:v>
      </x:c>
      <x:c r="D675" s="9" t="str">
        <x:v>AR-RT-B-C-TECH-2-B2-INT-G0</x:v>
      </x:c>
      <x:c r="E675" s="9" t="str">
        <x:v>RT-B-C-TECH-2</x:v>
      </x:c>
      <x:c r="F675" s="9" t="str">
        <x:v>RT-B-C</x:v>
      </x:c>
      <x:c r="G675" s="9" t="str">
        <x:v>B2</x:v>
      </x:c>
      <x:c r="H675" s="9" t="str">
        <x:v>INT</x:v>
      </x:c>
      <x:c r="I675" s="9" t="str">
        <x:v>PD13</x:v>
      </x:c>
      <x:c r="J675" s="17" t="str">
        <x:v>Role judgment</x:v>
      </x:c>
      <x:c r="K675" s="17" t="str">
        <x:v>Role court</x:v>
      </x:c>
      <x:c r="L675" s="17" t="str">
        <x:v>COURT-SEALED UNTIL COHORT RELEASE</x:v>
      </x:c>
      <x:c r="M675" s="9" t="n">
        <x:v>0</x:v>
      </x:c>
      <x:c r="N675" s="9" t="n">
        <x:v>0</x:v>
      </x:c>
      <x:c r="O675" s="9" t="n">
        <x:v>0</x:v>
      </x:c>
      <x:c r="P675" s="9" t="str">
        <x:v>HELD / UNRELEASED</x:v>
      </x:c>
      <x:c r="Q675" s="9" t="n">
        <x:f>COUNTIFS($A$7:$A$2310,A675)</x:f>
        <x:v>1</x:v>
      </x:c>
    </x:row>
    <x:row r="676">
      <x:c r="A676" s="9" t="str">
        <x:v>PD-AR-RT-B-C-TECH-2-B2-INT-G0-PD14</x:v>
      </x:c>
      <x:c r="B676" s="9" t="str">
        <x:v>PD-AR-RT-B-C-TECH-2-B2-INT-G0</x:v>
      </x:c>
      <x:c r="C676" s="9" t="str">
        <x:v>EV-AR-RT-B-C-TECH-2-B2-INT-G0</x:v>
      </x:c>
      <x:c r="D676" s="9" t="str">
        <x:v>AR-RT-B-C-TECH-2-B2-INT-G0</x:v>
      </x:c>
      <x:c r="E676" s="9" t="str">
        <x:v>RT-B-C-TECH-2</x:v>
      </x:c>
      <x:c r="F676" s="9" t="str">
        <x:v>RT-B-C</x:v>
      </x:c>
      <x:c r="G676" s="9" t="str">
        <x:v>B2</x:v>
      </x:c>
      <x:c r="H676" s="9" t="str">
        <x:v>INT</x:v>
      </x:c>
      <x:c r="I676" s="9" t="str">
        <x:v>PD14</x:v>
      </x:c>
      <x:c r="J676" s="17" t="str">
        <x:v>Break and residual account</x:v>
      </x:c>
      <x:c r="K676" s="17" t="str">
        <x:v>Residual authority</x:v>
      </x:c>
      <x:c r="L676" s="17" t="str">
        <x:v>COURT-SEALED UNTIL COHORT RELEASE</x:v>
      </x:c>
      <x:c r="M676" s="9" t="n">
        <x:v>0</x:v>
      </x:c>
      <x:c r="N676" s="9" t="n">
        <x:v>0</x:v>
      </x:c>
      <x:c r="O676" s="9" t="n">
        <x:v>0</x:v>
      </x:c>
      <x:c r="P676" s="9" t="str">
        <x:v>HELD / UNRELEASED</x:v>
      </x:c>
      <x:c r="Q676" s="9" t="n">
        <x:f>COUNTIFS($A$7:$A$2310,A676)</x:f>
        <x:v>1</x:v>
      </x:c>
    </x:row>
    <x:row r="677">
      <x:c r="A677" s="9" t="str">
        <x:v>PD-AR-RT-B-C-TECH-2-B2-INT-G0-PD15</x:v>
      </x:c>
      <x:c r="B677" s="9" t="str">
        <x:v>PD-AR-RT-B-C-TECH-2-B2-INT-G0</x:v>
      </x:c>
      <x:c r="C677" s="9" t="str">
        <x:v>EV-AR-RT-B-C-TECH-2-B2-INT-G0</x:v>
      </x:c>
      <x:c r="D677" s="9" t="str">
        <x:v>AR-RT-B-C-TECH-2-B2-INT-G0</x:v>
      </x:c>
      <x:c r="E677" s="9" t="str">
        <x:v>RT-B-C-TECH-2</x:v>
      </x:c>
      <x:c r="F677" s="9" t="str">
        <x:v>RT-B-C</x:v>
      </x:c>
      <x:c r="G677" s="9" t="str">
        <x:v>B2</x:v>
      </x:c>
      <x:c r="H677" s="9" t="str">
        <x:v>INT</x:v>
      </x:c>
      <x:c r="I677" s="9" t="str">
        <x:v>PD15</x:v>
      </x:c>
      <x:c r="J677" s="17" t="str">
        <x:v>Reconstruction ancestry and replay</x:v>
      </x:c>
      <x:c r="K677" s="17" t="str">
        <x:v>Reconstruction court</x:v>
      </x:c>
      <x:c r="L677" s="17" t="str">
        <x:v>COURT-SEALED UNTIL COHORT RELEASE</x:v>
      </x:c>
      <x:c r="M677" s="9" t="n">
        <x:v>0</x:v>
      </x:c>
      <x:c r="N677" s="9" t="n">
        <x:v>0</x:v>
      </x:c>
      <x:c r="O677" s="9" t="n">
        <x:v>0</x:v>
      </x:c>
      <x:c r="P677" s="9" t="str">
        <x:v>HELD / UNRELEASED</x:v>
      </x:c>
      <x:c r="Q677" s="9" t="n">
        <x:f>COUNTIFS($A$7:$A$2310,A677)</x:f>
        <x:v>1</x:v>
      </x:c>
    </x:row>
    <x:row r="678">
      <x:c r="A678" s="9" t="str">
        <x:v>PD-AR-RT-B-C-TECH-2-B2-INT-G0-PD16</x:v>
      </x:c>
      <x:c r="B678" s="9" t="str">
        <x:v>PD-AR-RT-B-C-TECH-2-B2-INT-G0</x:v>
      </x:c>
      <x:c r="C678" s="9" t="str">
        <x:v>EV-AR-RT-B-C-TECH-2-B2-INT-G0</x:v>
      </x:c>
      <x:c r="D678" s="9" t="str">
        <x:v>AR-RT-B-C-TECH-2-B2-INT-G0</x:v>
      </x:c>
      <x:c r="E678" s="9" t="str">
        <x:v>RT-B-C-TECH-2</x:v>
      </x:c>
      <x:c r="F678" s="9" t="str">
        <x:v>RT-B-C</x:v>
      </x:c>
      <x:c r="G678" s="9" t="str">
        <x:v>B2</x:v>
      </x:c>
      <x:c r="H678" s="9" t="str">
        <x:v>INT</x:v>
      </x:c>
      <x:c r="I678" s="9" t="str">
        <x:v>PD16</x:v>
      </x:c>
      <x:c r="J678" s="17" t="str">
        <x:v>Dissent, amendments and access log</x:v>
      </x:c>
      <x:c r="K678" s="17" t="str">
        <x:v>Public archive</x:v>
      </x:c>
      <x:c r="L678" s="17" t="str">
        <x:v>COURT-SEALED UNTIL COHORT RELEASE</x:v>
      </x:c>
      <x:c r="M678" s="9" t="n">
        <x:v>0</x:v>
      </x:c>
      <x:c r="N678" s="9" t="n">
        <x:v>0</x:v>
      </x:c>
      <x:c r="O678" s="9" t="n">
        <x:v>0</x:v>
      </x:c>
      <x:c r="P678" s="9" t="str">
        <x:v>HELD / UNRELEASED</x:v>
      </x:c>
      <x:c r="Q678" s="9" t="n">
        <x:f>COUNTIFS($A$7:$A$2310,A678)</x:f>
        <x:v>1</x:v>
      </x:c>
    </x:row>
    <x:row r="679">
      <x:c r="A679" s="9" t="str">
        <x:v>PD-AR-CT-C-B-TECH-1-B1-INT-G0-PD01</x:v>
      </x:c>
      <x:c r="B679" s="9" t="str">
        <x:v>PD-AR-CT-C-B-TECH-1-B1-INT-G0</x:v>
      </x:c>
      <x:c r="C679" s="9" t="str">
        <x:v>EV-AR-CT-C-B-TECH-1-B1-INT-G0</x:v>
      </x:c>
      <x:c r="D679" s="9" t="str">
        <x:v>AR-CT-C-B-TECH-1-B1-INT-G0</x:v>
      </x:c>
      <x:c r="E679" s="9" t="str">
        <x:v>CT-C-B-TECH-1</x:v>
      </x:c>
      <x:c r="F679" s="9" t="str">
        <x:v>CT-C-B</x:v>
      </x:c>
      <x:c r="G679" s="9" t="str">
        <x:v>B1</x:v>
      </x:c>
      <x:c r="H679" s="9" t="str">
        <x:v>INT</x:v>
      </x:c>
      <x:c r="I679" s="9" t="str">
        <x:v>PD01</x:v>
      </x:c>
      <x:c r="J679" s="17" t="str">
        <x:v>Experiment kernel</x:v>
      </x:c>
      <x:c r="K679" s="17" t="str">
        <x:v>Public archive</x:v>
      </x:c>
      <x:c r="L679" s="17" t="str">
        <x:v>COURT-SEALED UNTIL COHORT RELEASE</x:v>
      </x:c>
      <x:c r="M679" s="9" t="n">
        <x:v>0</x:v>
      </x:c>
      <x:c r="N679" s="9" t="n">
        <x:v>0</x:v>
      </x:c>
      <x:c r="O679" s="9" t="n">
        <x:v>0</x:v>
      </x:c>
      <x:c r="P679" s="9" t="str">
        <x:v>HELD / UNRELEASED</x:v>
      </x:c>
      <x:c r="Q679" s="9" t="n">
        <x:f>COUNTIFS($A$7:$A$2310,A679)</x:f>
        <x:v>1</x:v>
      </x:c>
    </x:row>
    <x:row r="680">
      <x:c r="A680" s="9" t="str">
        <x:v>PD-AR-CT-C-B-TECH-1-B1-INT-G0-PD02</x:v>
      </x:c>
      <x:c r="B680" s="9" t="str">
        <x:v>PD-AR-CT-C-B-TECH-1-B1-INT-G0</x:v>
      </x:c>
      <x:c r="C680" s="9" t="str">
        <x:v>EV-AR-CT-C-B-TECH-1-B1-INT-G0</x:v>
      </x:c>
      <x:c r="D680" s="9" t="str">
        <x:v>AR-CT-C-B-TECH-1-B1-INT-G0</x:v>
      </x:c>
      <x:c r="E680" s="9" t="str">
        <x:v>CT-C-B-TECH-1</x:v>
      </x:c>
      <x:c r="F680" s="9" t="str">
        <x:v>CT-C-B</x:v>
      </x:c>
      <x:c r="G680" s="9" t="str">
        <x:v>B1</x:v>
      </x:c>
      <x:c r="H680" s="9" t="str">
        <x:v>INT</x:v>
      </x:c>
      <x:c r="I680" s="9" t="str">
        <x:v>PD02</x:v>
      </x:c>
      <x:c r="J680" s="17" t="str">
        <x:v>Serial annex and title chain</x:v>
      </x:c>
      <x:c r="K680" s="17" t="str">
        <x:v>Public archive</x:v>
      </x:c>
      <x:c r="L680" s="17" t="str">
        <x:v>COURT-SEALED UNTIL COHORT RELEASE</x:v>
      </x:c>
      <x:c r="M680" s="9" t="n">
        <x:v>0</x:v>
      </x:c>
      <x:c r="N680" s="9" t="n">
        <x:v>0</x:v>
      </x:c>
      <x:c r="O680" s="9" t="n">
        <x:v>0</x:v>
      </x:c>
      <x:c r="P680" s="9" t="str">
        <x:v>HELD / UNRELEASED</x:v>
      </x:c>
      <x:c r="Q680" s="9" t="n">
        <x:f>COUNTIFS($A$7:$A$2310,A680)</x:f>
        <x:v>1</x:v>
      </x:c>
    </x:row>
    <x:row r="681">
      <x:c r="A681" s="9" t="str">
        <x:v>PD-AR-CT-C-B-TECH-1-B1-INT-G0-PD03</x:v>
      </x:c>
      <x:c r="B681" s="9" t="str">
        <x:v>PD-AR-CT-C-B-TECH-1-B1-INT-G0</x:v>
      </x:c>
      <x:c r="C681" s="9" t="str">
        <x:v>EV-AR-CT-C-B-TECH-1-B1-INT-G0</x:v>
      </x:c>
      <x:c r="D681" s="9" t="str">
        <x:v>AR-CT-C-B-TECH-1-B1-INT-G0</x:v>
      </x:c>
      <x:c r="E681" s="9" t="str">
        <x:v>CT-C-B-TECH-1</x:v>
      </x:c>
      <x:c r="F681" s="9" t="str">
        <x:v>CT-C-B</x:v>
      </x:c>
      <x:c r="G681" s="9" t="str">
        <x:v>B1</x:v>
      </x:c>
      <x:c r="H681" s="9" t="str">
        <x:v>INT</x:v>
      </x:c>
      <x:c r="I681" s="9" t="str">
        <x:v>PD03</x:v>
      </x:c>
      <x:c r="J681" s="17" t="str">
        <x:v>Configuration and as-built manifest</x:v>
      </x:c>
      <x:c r="K681" s="17" t="str">
        <x:v>Artifact exchange</x:v>
      </x:c>
      <x:c r="L681" s="17" t="str">
        <x:v>COURT-SEALED UNTIL COHORT RELEASE</x:v>
      </x:c>
      <x:c r="M681" s="9" t="n">
        <x:v>0</x:v>
      </x:c>
      <x:c r="N681" s="9" t="n">
        <x:v>0</x:v>
      </x:c>
      <x:c r="O681" s="9" t="n">
        <x:v>0</x:v>
      </x:c>
      <x:c r="P681" s="9" t="str">
        <x:v>HELD / UNRELEASED</x:v>
      </x:c>
      <x:c r="Q681" s="9" t="n">
        <x:f>COUNTIFS($A$7:$A$2310,A681)</x:f>
        <x:v>1</x:v>
      </x:c>
    </x:row>
    <x:row r="682">
      <x:c r="A682" s="9" t="str">
        <x:v>PD-AR-CT-C-B-TECH-1-B1-INT-G0-PD04</x:v>
      </x:c>
      <x:c r="B682" s="9" t="str">
        <x:v>PD-AR-CT-C-B-TECH-1-B1-INT-G0</x:v>
      </x:c>
      <x:c r="C682" s="9" t="str">
        <x:v>EV-AR-CT-C-B-TECH-1-B1-INT-G0</x:v>
      </x:c>
      <x:c r="D682" s="9" t="str">
        <x:v>AR-CT-C-B-TECH-1-B1-INT-G0</x:v>
      </x:c>
      <x:c r="E682" s="9" t="str">
        <x:v>CT-C-B-TECH-1</x:v>
      </x:c>
      <x:c r="F682" s="9" t="str">
        <x:v>CT-C-B</x:v>
      </x:c>
      <x:c r="G682" s="9" t="str">
        <x:v>B1</x:v>
      </x:c>
      <x:c r="H682" s="9" t="str">
        <x:v>INT</x:v>
      </x:c>
      <x:c r="I682" s="9" t="str">
        <x:v>PD04</x:v>
      </x:c>
      <x:c r="J682" s="17" t="str">
        <x:v>EOW and start certificate</x:v>
      </x:c>
      <x:c r="K682" s="17" t="str">
        <x:v>Start registrar</x:v>
      </x:c>
      <x:c r="L682" s="17" t="str">
        <x:v>COURT-SEALED UNTIL COHORT RELEASE</x:v>
      </x:c>
      <x:c r="M682" s="9" t="n">
        <x:v>0</x:v>
      </x:c>
      <x:c r="N682" s="9" t="n">
        <x:v>0</x:v>
      </x:c>
      <x:c r="O682" s="9" t="n">
        <x:v>0</x:v>
      </x:c>
      <x:c r="P682" s="9" t="str">
        <x:v>HELD / UNRELEASED</x:v>
      </x:c>
      <x:c r="Q682" s="9" t="n">
        <x:f>COUNTIFS($A$7:$A$2310,A682)</x:f>
        <x:v>1</x:v>
      </x:c>
    </x:row>
    <x:row r="683">
      <x:c r="A683" s="9" t="str">
        <x:v>PD-AR-CT-C-B-TECH-1-B1-INT-G0-PD05</x:v>
      </x:c>
      <x:c r="B683" s="9" t="str">
        <x:v>PD-AR-CT-C-B-TECH-1-B1-INT-G0</x:v>
      </x:c>
      <x:c r="C683" s="9" t="str">
        <x:v>EV-AR-CT-C-B-TECH-1-B1-INT-G0</x:v>
      </x:c>
      <x:c r="D683" s="9" t="str">
        <x:v>AR-CT-C-B-TECH-1-B1-INT-G0</x:v>
      </x:c>
      <x:c r="E683" s="9" t="str">
        <x:v>CT-C-B-TECH-1</x:v>
      </x:c>
      <x:c r="F683" s="9" t="str">
        <x:v>CT-C-B</x:v>
      </x:c>
      <x:c r="G683" s="9" t="str">
        <x:v>B1</x:v>
      </x:c>
      <x:c r="H683" s="9" t="str">
        <x:v>INT</x:v>
      </x:c>
      <x:c r="I683" s="9" t="str">
        <x:v>PD05</x:v>
      </x:c>
      <x:c r="J683" s="17" t="str">
        <x:v>Primary raw originals</x:v>
      </x:c>
      <x:c r="K683" s="17" t="str">
        <x:v>Primary custody</x:v>
      </x:c>
      <x:c r="L683" s="17" t="str">
        <x:v>COURT-SEALED UNTIL COHORT RELEASE</x:v>
      </x:c>
      <x:c r="M683" s="9" t="n">
        <x:v>0</x:v>
      </x:c>
      <x:c r="N683" s="9" t="n">
        <x:v>0</x:v>
      </x:c>
      <x:c r="O683" s="9" t="n">
        <x:v>0</x:v>
      </x:c>
      <x:c r="P683" s="9" t="str">
        <x:v>HELD / UNRELEASED</x:v>
      </x:c>
      <x:c r="Q683" s="9" t="n">
        <x:f>COUNTIFS($A$7:$A$2310,A683)</x:f>
        <x:v>1</x:v>
      </x:c>
    </x:row>
    <x:row r="684">
      <x:c r="A684" s="9" t="str">
        <x:v>PD-AR-CT-C-B-TECH-1-B1-INT-G0-PD06</x:v>
      </x:c>
      <x:c r="B684" s="9" t="str">
        <x:v>PD-AR-CT-C-B-TECH-1-B1-INT-G0</x:v>
      </x:c>
      <x:c r="C684" s="9" t="str">
        <x:v>EV-AR-CT-C-B-TECH-1-B1-INT-G0</x:v>
      </x:c>
      <x:c r="D684" s="9" t="str">
        <x:v>AR-CT-C-B-TECH-1-B1-INT-G0</x:v>
      </x:c>
      <x:c r="E684" s="9" t="str">
        <x:v>CT-C-B-TECH-1</x:v>
      </x:c>
      <x:c r="F684" s="9" t="str">
        <x:v>CT-C-B</x:v>
      </x:c>
      <x:c r="G684" s="9" t="str">
        <x:v>B1</x:v>
      </x:c>
      <x:c r="H684" s="9" t="str">
        <x:v>INT</x:v>
      </x:c>
      <x:c r="I684" s="9" t="str">
        <x:v>PD06</x:v>
      </x:c>
      <x:c r="J684" s="17" t="str">
        <x:v>Witness raw originals</x:v>
      </x:c>
      <x:c r="K684" s="17" t="str">
        <x:v>Witness custody</x:v>
      </x:c>
      <x:c r="L684" s="17" t="str">
        <x:v>COURT-SEALED UNTIL COHORT RELEASE</x:v>
      </x:c>
      <x:c r="M684" s="9" t="n">
        <x:v>0</x:v>
      </x:c>
      <x:c r="N684" s="9" t="n">
        <x:v>0</x:v>
      </x:c>
      <x:c r="O684" s="9" t="n">
        <x:v>0</x:v>
      </x:c>
      <x:c r="P684" s="9" t="str">
        <x:v>HELD / UNRELEASED</x:v>
      </x:c>
      <x:c r="Q684" s="9" t="n">
        <x:f>COUNTIFS($A$7:$A$2310,A684)</x:f>
        <x:v>1</x:v>
      </x:c>
    </x:row>
    <x:row r="685">
      <x:c r="A685" s="9" t="str">
        <x:v>PD-AR-CT-C-B-TECH-1-B1-INT-G0-PD07</x:v>
      </x:c>
      <x:c r="B685" s="9" t="str">
        <x:v>PD-AR-CT-C-B-TECH-1-B1-INT-G0</x:v>
      </x:c>
      <x:c r="C685" s="9" t="str">
        <x:v>EV-AR-CT-C-B-TECH-1-B1-INT-G0</x:v>
      </x:c>
      <x:c r="D685" s="9" t="str">
        <x:v>AR-CT-C-B-TECH-1-B1-INT-G0</x:v>
      </x:c>
      <x:c r="E685" s="9" t="str">
        <x:v>CT-C-B-TECH-1</x:v>
      </x:c>
      <x:c r="F685" s="9" t="str">
        <x:v>CT-C-B</x:v>
      </x:c>
      <x:c r="G685" s="9" t="str">
        <x:v>B1</x:v>
      </x:c>
      <x:c r="H685" s="9" t="str">
        <x:v>INT</x:v>
      </x:c>
      <x:c r="I685" s="9" t="str">
        <x:v>PD07</x:v>
      </x:c>
      <x:c r="J685" s="17" t="str">
        <x:v>Clock and environmental records</x:v>
      </x:c>
      <x:c r="K685" s="17" t="str">
        <x:v>Boundary archive</x:v>
      </x:c>
      <x:c r="L685" s="17" t="str">
        <x:v>COURT-SEALED UNTIL COHORT RELEASE</x:v>
      </x:c>
      <x:c r="M685" s="9" t="n">
        <x:v>0</x:v>
      </x:c>
      <x:c r="N685" s="9" t="n">
        <x:v>0</x:v>
      </x:c>
      <x:c r="O685" s="9" t="n">
        <x:v>0</x:v>
      </x:c>
      <x:c r="P685" s="9" t="str">
        <x:v>HELD / UNRELEASED</x:v>
      </x:c>
      <x:c r="Q685" s="9" t="n">
        <x:f>COUNTIFS($A$7:$A$2310,A685)</x:f>
        <x:v>1</x:v>
      </x:c>
    </x:row>
    <x:row r="686">
      <x:c r="A686" s="9" t="str">
        <x:v>PD-AR-CT-C-B-TECH-1-B1-INT-G0-PD08</x:v>
      </x:c>
      <x:c r="B686" s="9" t="str">
        <x:v>PD-AR-CT-C-B-TECH-1-B1-INT-G0</x:v>
      </x:c>
      <x:c r="C686" s="9" t="str">
        <x:v>EV-AR-CT-C-B-TECH-1-B1-INT-G0</x:v>
      </x:c>
      <x:c r="D686" s="9" t="str">
        <x:v>AR-CT-C-B-TECH-1-B1-INT-G0</x:v>
      </x:c>
      <x:c r="E686" s="9" t="str">
        <x:v>CT-C-B-TECH-1</x:v>
      </x:c>
      <x:c r="F686" s="9" t="str">
        <x:v>CT-C-B</x:v>
      </x:c>
      <x:c r="G686" s="9" t="str">
        <x:v>B1</x:v>
      </x:c>
      <x:c r="H686" s="9" t="str">
        <x:v>INT</x:v>
      </x:c>
      <x:c r="I686" s="9" t="str">
        <x:v>PD08</x:v>
      </x:c>
      <x:c r="J686" s="17" t="str">
        <x:v>Command and intervention log</x:v>
      </x:c>
      <x:c r="K686" s="17" t="str">
        <x:v>Safety archive</x:v>
      </x:c>
      <x:c r="L686" s="17" t="str">
        <x:v>COURT-SEALED UNTIL COHORT RELEASE</x:v>
      </x:c>
      <x:c r="M686" s="9" t="n">
        <x:v>0</x:v>
      </x:c>
      <x:c r="N686" s="9" t="n">
        <x:v>0</x:v>
      </x:c>
      <x:c r="O686" s="9" t="n">
        <x:v>0</x:v>
      </x:c>
      <x:c r="P686" s="9" t="str">
        <x:v>HELD / UNRELEASED</x:v>
      </x:c>
      <x:c r="Q686" s="9" t="n">
        <x:f>COUNTIFS($A$7:$A$2310,A686)</x:f>
        <x:v>1</x:v>
      </x:c>
    </x:row>
    <x:row r="687">
      <x:c r="A687" s="9" t="str">
        <x:v>PD-AR-CT-C-B-TECH-1-B1-INT-G0-PD09</x:v>
      </x:c>
      <x:c r="B687" s="9" t="str">
        <x:v>PD-AR-CT-C-B-TECH-1-B1-INT-G0</x:v>
      </x:c>
      <x:c r="C687" s="9" t="str">
        <x:v>EV-AR-CT-C-B-TECH-1-B1-INT-G0</x:v>
      </x:c>
      <x:c r="D687" s="9" t="str">
        <x:v>AR-CT-C-B-TECH-1-B1-INT-G0</x:v>
      </x:c>
      <x:c r="E687" s="9" t="str">
        <x:v>CT-C-B-TECH-1</x:v>
      </x:c>
      <x:c r="F687" s="9" t="str">
        <x:v>CT-C-B</x:v>
      </x:c>
      <x:c r="G687" s="9" t="str">
        <x:v>B1</x:v>
      </x:c>
      <x:c r="H687" s="9" t="str">
        <x:v>INT</x:v>
      </x:c>
      <x:c r="I687" s="9" t="str">
        <x:v>PD09</x:v>
      </x:c>
      <x:c r="J687" s="17" t="str">
        <x:v>Receiver denominator and service ledger</x:v>
      </x:c>
      <x:c r="K687" s="17" t="str">
        <x:v>Receiver archive</x:v>
      </x:c>
      <x:c r="L687" s="17" t="str">
        <x:v>COURT-SEALED UNTIL COHORT RELEASE</x:v>
      </x:c>
      <x:c r="M687" s="9" t="n">
        <x:v>0</x:v>
      </x:c>
      <x:c r="N687" s="9" t="n">
        <x:v>0</x:v>
      </x:c>
      <x:c r="O687" s="9" t="n">
        <x:v>0</x:v>
      </x:c>
      <x:c r="P687" s="9" t="str">
        <x:v>HELD / UNRELEASED</x:v>
      </x:c>
      <x:c r="Q687" s="9" t="n">
        <x:f>COUNTIFS($A$7:$A$2310,A687)</x:f>
        <x:v>1</x:v>
      </x:c>
    </x:row>
    <x:row r="688">
      <x:c r="A688" s="9" t="str">
        <x:v>PD-AR-CT-C-B-TECH-1-B1-INT-G0-PD10</x:v>
      </x:c>
      <x:c r="B688" s="9" t="str">
        <x:v>PD-AR-CT-C-B-TECH-1-B1-INT-G0</x:v>
      </x:c>
      <x:c r="C688" s="9" t="str">
        <x:v>EV-AR-CT-C-B-TECH-1-B1-INT-G0</x:v>
      </x:c>
      <x:c r="D688" s="9" t="str">
        <x:v>AR-CT-C-B-TECH-1-B1-INT-G0</x:v>
      </x:c>
      <x:c r="E688" s="9" t="str">
        <x:v>CT-C-B-TECH-1</x:v>
      </x:c>
      <x:c r="F688" s="9" t="str">
        <x:v>CT-C-B</x:v>
      </x:c>
      <x:c r="G688" s="9" t="str">
        <x:v>B1</x:v>
      </x:c>
      <x:c r="H688" s="9" t="str">
        <x:v>INT</x:v>
      </x:c>
      <x:c r="I688" s="9" t="str">
        <x:v>PD10</x:v>
      </x:c>
      <x:c r="J688" s="17" t="str">
        <x:v>Calibration and uncertainty record</x:v>
      </x:c>
      <x:c r="K688" s="17" t="str">
        <x:v>Metrology archive</x:v>
      </x:c>
      <x:c r="L688" s="17" t="str">
        <x:v>COURT-SEALED UNTIL COHORT RELEASE</x:v>
      </x:c>
      <x:c r="M688" s="9" t="n">
        <x:v>0</x:v>
      </x:c>
      <x:c r="N688" s="9" t="n">
        <x:v>0</x:v>
      </x:c>
      <x:c r="O688" s="9" t="n">
        <x:v>0</x:v>
      </x:c>
      <x:c r="P688" s="9" t="str">
        <x:v>HELD / UNRELEASED</x:v>
      </x:c>
      <x:c r="Q688" s="9" t="n">
        <x:f>COUNTIFS($A$7:$A$2310,A688)</x:f>
        <x:v>1</x:v>
      </x:c>
    </x:row>
    <x:row r="689">
      <x:c r="A689" s="9" t="str">
        <x:v>PD-AR-CT-C-B-TECH-1-B1-INT-G0-PD11</x:v>
      </x:c>
      <x:c r="B689" s="9" t="str">
        <x:v>PD-AR-CT-C-B-TECH-1-B1-INT-G0</x:v>
      </x:c>
      <x:c r="C689" s="9" t="str">
        <x:v>EV-AR-CT-C-B-TECH-1-B1-INT-G0</x:v>
      </x:c>
      <x:c r="D689" s="9" t="str">
        <x:v>AR-CT-C-B-TECH-1-B1-INT-G0</x:v>
      </x:c>
      <x:c r="E689" s="9" t="str">
        <x:v>CT-C-B-TECH-1</x:v>
      </x:c>
      <x:c r="F689" s="9" t="str">
        <x:v>CT-C-B</x:v>
      </x:c>
      <x:c r="G689" s="9" t="str">
        <x:v>B1</x:v>
      </x:c>
      <x:c r="H689" s="9" t="str">
        <x:v>INT</x:v>
      </x:c>
      <x:c r="I689" s="9" t="str">
        <x:v>PD11</x:v>
      </x:c>
      <x:c r="J689" s="17" t="str">
        <x:v>Invalidity petition and opinion</x:v>
      </x:c>
      <x:c r="K689" s="17" t="str">
        <x:v>Invalidity court</x:v>
      </x:c>
      <x:c r="L689" s="17" t="str">
        <x:v>COURT-SEALED UNTIL COHORT RELEASE</x:v>
      </x:c>
      <x:c r="M689" s="9" t="n">
        <x:v>0</x:v>
      </x:c>
      <x:c r="N689" s="9" t="n">
        <x:v>0</x:v>
      </x:c>
      <x:c r="O689" s="9" t="n">
        <x:v>0</x:v>
      </x:c>
      <x:c r="P689" s="9" t="str">
        <x:v>HELD / UNRELEASED</x:v>
      </x:c>
      <x:c r="Q689" s="9" t="n">
        <x:f>COUNTIFS($A$7:$A$2310,A689)</x:f>
        <x:v>1</x:v>
      </x:c>
    </x:row>
    <x:row r="690">
      <x:c r="A690" s="9" t="str">
        <x:v>PD-AR-CT-C-B-TECH-1-B1-INT-G0-PD12</x:v>
      </x:c>
      <x:c r="B690" s="9" t="str">
        <x:v>PD-AR-CT-C-B-TECH-1-B1-INT-G0</x:v>
      </x:c>
      <x:c r="C690" s="9" t="str">
        <x:v>EV-AR-CT-C-B-TECH-1-B1-INT-G0</x:v>
      </x:c>
      <x:c r="D690" s="9" t="str">
        <x:v>AR-CT-C-B-TECH-1-B1-INT-G0</x:v>
      </x:c>
      <x:c r="E690" s="9" t="str">
        <x:v>CT-C-B-TECH-1</x:v>
      </x:c>
      <x:c r="F690" s="9" t="str">
        <x:v>CT-C-B</x:v>
      </x:c>
      <x:c r="G690" s="9" t="str">
        <x:v>B1</x:v>
      </x:c>
      <x:c r="H690" s="9" t="str">
        <x:v>INT</x:v>
      </x:c>
      <x:c r="I690" s="9" t="str">
        <x:v>PD12</x:v>
      </x:c>
      <x:c r="J690" s="17" t="str">
        <x:v>Observation acceptance and replay</x:v>
      </x:c>
      <x:c r="K690" s="17" t="str">
        <x:v>Observation court</x:v>
      </x:c>
      <x:c r="L690" s="17" t="str">
        <x:v>COURT-SEALED UNTIL COHORT RELEASE</x:v>
      </x:c>
      <x:c r="M690" s="9" t="n">
        <x:v>0</x:v>
      </x:c>
      <x:c r="N690" s="9" t="n">
        <x:v>0</x:v>
      </x:c>
      <x:c r="O690" s="9" t="n">
        <x:v>0</x:v>
      </x:c>
      <x:c r="P690" s="9" t="str">
        <x:v>HELD / UNRELEASED</x:v>
      </x:c>
      <x:c r="Q690" s="9" t="n">
        <x:f>COUNTIFS($A$7:$A$2310,A690)</x:f>
        <x:v>1</x:v>
      </x:c>
    </x:row>
    <x:row r="691">
      <x:c r="A691" s="9" t="str">
        <x:v>PD-AR-CT-C-B-TECH-1-B1-INT-G0-PD13</x:v>
      </x:c>
      <x:c r="B691" s="9" t="str">
        <x:v>PD-AR-CT-C-B-TECH-1-B1-INT-G0</x:v>
      </x:c>
      <x:c r="C691" s="9" t="str">
        <x:v>EV-AR-CT-C-B-TECH-1-B1-INT-G0</x:v>
      </x:c>
      <x:c r="D691" s="9" t="str">
        <x:v>AR-CT-C-B-TECH-1-B1-INT-G0</x:v>
      </x:c>
      <x:c r="E691" s="9" t="str">
        <x:v>CT-C-B-TECH-1</x:v>
      </x:c>
      <x:c r="F691" s="9" t="str">
        <x:v>CT-C-B</x:v>
      </x:c>
      <x:c r="G691" s="9" t="str">
        <x:v>B1</x:v>
      </x:c>
      <x:c r="H691" s="9" t="str">
        <x:v>INT</x:v>
      </x:c>
      <x:c r="I691" s="9" t="str">
        <x:v>PD13</x:v>
      </x:c>
      <x:c r="J691" s="17" t="str">
        <x:v>Role judgment</x:v>
      </x:c>
      <x:c r="K691" s="17" t="str">
        <x:v>Role court</x:v>
      </x:c>
      <x:c r="L691" s="17" t="str">
        <x:v>COURT-SEALED UNTIL COHORT RELEASE</x:v>
      </x:c>
      <x:c r="M691" s="9" t="n">
        <x:v>0</x:v>
      </x:c>
      <x:c r="N691" s="9" t="n">
        <x:v>0</x:v>
      </x:c>
      <x:c r="O691" s="9" t="n">
        <x:v>0</x:v>
      </x:c>
      <x:c r="P691" s="9" t="str">
        <x:v>HELD / UNRELEASED</x:v>
      </x:c>
      <x:c r="Q691" s="9" t="n">
        <x:f>COUNTIFS($A$7:$A$2310,A691)</x:f>
        <x:v>1</x:v>
      </x:c>
    </x:row>
    <x:row r="692">
      <x:c r="A692" s="9" t="str">
        <x:v>PD-AR-CT-C-B-TECH-1-B1-INT-G0-PD14</x:v>
      </x:c>
      <x:c r="B692" s="9" t="str">
        <x:v>PD-AR-CT-C-B-TECH-1-B1-INT-G0</x:v>
      </x:c>
      <x:c r="C692" s="9" t="str">
        <x:v>EV-AR-CT-C-B-TECH-1-B1-INT-G0</x:v>
      </x:c>
      <x:c r="D692" s="9" t="str">
        <x:v>AR-CT-C-B-TECH-1-B1-INT-G0</x:v>
      </x:c>
      <x:c r="E692" s="9" t="str">
        <x:v>CT-C-B-TECH-1</x:v>
      </x:c>
      <x:c r="F692" s="9" t="str">
        <x:v>CT-C-B</x:v>
      </x:c>
      <x:c r="G692" s="9" t="str">
        <x:v>B1</x:v>
      </x:c>
      <x:c r="H692" s="9" t="str">
        <x:v>INT</x:v>
      </x:c>
      <x:c r="I692" s="9" t="str">
        <x:v>PD14</x:v>
      </x:c>
      <x:c r="J692" s="17" t="str">
        <x:v>Break and residual account</x:v>
      </x:c>
      <x:c r="K692" s="17" t="str">
        <x:v>Residual authority</x:v>
      </x:c>
      <x:c r="L692" s="17" t="str">
        <x:v>COURT-SEALED UNTIL COHORT RELEASE</x:v>
      </x:c>
      <x:c r="M692" s="9" t="n">
        <x:v>0</x:v>
      </x:c>
      <x:c r="N692" s="9" t="n">
        <x:v>0</x:v>
      </x:c>
      <x:c r="O692" s="9" t="n">
        <x:v>0</x:v>
      </x:c>
      <x:c r="P692" s="9" t="str">
        <x:v>HELD / UNRELEASED</x:v>
      </x:c>
      <x:c r="Q692" s="9" t="n">
        <x:f>COUNTIFS($A$7:$A$2310,A692)</x:f>
        <x:v>1</x:v>
      </x:c>
    </x:row>
    <x:row r="693">
      <x:c r="A693" s="9" t="str">
        <x:v>PD-AR-CT-C-B-TECH-1-B1-INT-G0-PD15</x:v>
      </x:c>
      <x:c r="B693" s="9" t="str">
        <x:v>PD-AR-CT-C-B-TECH-1-B1-INT-G0</x:v>
      </x:c>
      <x:c r="C693" s="9" t="str">
        <x:v>EV-AR-CT-C-B-TECH-1-B1-INT-G0</x:v>
      </x:c>
      <x:c r="D693" s="9" t="str">
        <x:v>AR-CT-C-B-TECH-1-B1-INT-G0</x:v>
      </x:c>
      <x:c r="E693" s="9" t="str">
        <x:v>CT-C-B-TECH-1</x:v>
      </x:c>
      <x:c r="F693" s="9" t="str">
        <x:v>CT-C-B</x:v>
      </x:c>
      <x:c r="G693" s="9" t="str">
        <x:v>B1</x:v>
      </x:c>
      <x:c r="H693" s="9" t="str">
        <x:v>INT</x:v>
      </x:c>
      <x:c r="I693" s="9" t="str">
        <x:v>PD15</x:v>
      </x:c>
      <x:c r="J693" s="17" t="str">
        <x:v>Reconstruction ancestry and replay</x:v>
      </x:c>
      <x:c r="K693" s="17" t="str">
        <x:v>Reconstruction court</x:v>
      </x:c>
      <x:c r="L693" s="17" t="str">
        <x:v>COURT-SEALED UNTIL COHORT RELEASE</x:v>
      </x:c>
      <x:c r="M693" s="9" t="n">
        <x:v>0</x:v>
      </x:c>
      <x:c r="N693" s="9" t="n">
        <x:v>0</x:v>
      </x:c>
      <x:c r="O693" s="9" t="n">
        <x:v>0</x:v>
      </x:c>
      <x:c r="P693" s="9" t="str">
        <x:v>HELD / UNRELEASED</x:v>
      </x:c>
      <x:c r="Q693" s="9" t="n">
        <x:f>COUNTIFS($A$7:$A$2310,A693)</x:f>
        <x:v>1</x:v>
      </x:c>
    </x:row>
    <x:row r="694">
      <x:c r="A694" s="9" t="str">
        <x:v>PD-AR-CT-C-B-TECH-1-B1-INT-G0-PD16</x:v>
      </x:c>
      <x:c r="B694" s="9" t="str">
        <x:v>PD-AR-CT-C-B-TECH-1-B1-INT-G0</x:v>
      </x:c>
      <x:c r="C694" s="9" t="str">
        <x:v>EV-AR-CT-C-B-TECH-1-B1-INT-G0</x:v>
      </x:c>
      <x:c r="D694" s="9" t="str">
        <x:v>AR-CT-C-B-TECH-1-B1-INT-G0</x:v>
      </x:c>
      <x:c r="E694" s="9" t="str">
        <x:v>CT-C-B-TECH-1</x:v>
      </x:c>
      <x:c r="F694" s="9" t="str">
        <x:v>CT-C-B</x:v>
      </x:c>
      <x:c r="G694" s="9" t="str">
        <x:v>B1</x:v>
      </x:c>
      <x:c r="H694" s="9" t="str">
        <x:v>INT</x:v>
      </x:c>
      <x:c r="I694" s="9" t="str">
        <x:v>PD16</x:v>
      </x:c>
      <x:c r="J694" s="17" t="str">
        <x:v>Dissent, amendments and access log</x:v>
      </x:c>
      <x:c r="K694" s="17" t="str">
        <x:v>Public archive</x:v>
      </x:c>
      <x:c r="L694" s="17" t="str">
        <x:v>COURT-SEALED UNTIL COHORT RELEASE</x:v>
      </x:c>
      <x:c r="M694" s="9" t="n">
        <x:v>0</x:v>
      </x:c>
      <x:c r="N694" s="9" t="n">
        <x:v>0</x:v>
      </x:c>
      <x:c r="O694" s="9" t="n">
        <x:v>0</x:v>
      </x:c>
      <x:c r="P694" s="9" t="str">
        <x:v>HELD / UNRELEASED</x:v>
      </x:c>
      <x:c r="Q694" s="9" t="n">
        <x:f>COUNTIFS($A$7:$A$2310,A694)</x:f>
        <x:v>1</x:v>
      </x:c>
    </x:row>
    <x:row r="695">
      <x:c r="A695" s="9" t="str">
        <x:v>PD-AR-CT-C-B-TECH-2-B2-RCN-G0-PD01</x:v>
      </x:c>
      <x:c r="B695" s="9" t="str">
        <x:v>PD-AR-CT-C-B-TECH-2-B2-RCN-G0</x:v>
      </x:c>
      <x:c r="C695" s="9" t="str">
        <x:v>EV-AR-CT-C-B-TECH-2-B2-RCN-G0</x:v>
      </x:c>
      <x:c r="D695" s="9" t="str">
        <x:v>AR-CT-C-B-TECH-2-B2-RCN-G0</x:v>
      </x:c>
      <x:c r="E695" s="9" t="str">
        <x:v>CT-C-B-TECH-2</x:v>
      </x:c>
      <x:c r="F695" s="9" t="str">
        <x:v>CT-C-B</x:v>
      </x:c>
      <x:c r="G695" s="9" t="str">
        <x:v>B2</x:v>
      </x:c>
      <x:c r="H695" s="9" t="str">
        <x:v>RCN</x:v>
      </x:c>
      <x:c r="I695" s="9" t="str">
        <x:v>PD01</x:v>
      </x:c>
      <x:c r="J695" s="17" t="str">
        <x:v>Experiment kernel</x:v>
      </x:c>
      <x:c r="K695" s="17" t="str">
        <x:v>Public archive</x:v>
      </x:c>
      <x:c r="L695" s="17" t="str">
        <x:v>COURT-SEALED UNTIL COHORT RELEASE</x:v>
      </x:c>
      <x:c r="M695" s="9" t="n">
        <x:v>0</x:v>
      </x:c>
      <x:c r="N695" s="9" t="n">
        <x:v>0</x:v>
      </x:c>
      <x:c r="O695" s="9" t="n">
        <x:v>0</x:v>
      </x:c>
      <x:c r="P695" s="9" t="str">
        <x:v>HELD / UNRELEASED</x:v>
      </x:c>
      <x:c r="Q695" s="9" t="n">
        <x:f>COUNTIFS($A$7:$A$2310,A695)</x:f>
        <x:v>1</x:v>
      </x:c>
    </x:row>
    <x:row r="696">
      <x:c r="A696" s="9" t="str">
        <x:v>PD-AR-CT-C-B-TECH-2-B2-RCN-G0-PD02</x:v>
      </x:c>
      <x:c r="B696" s="9" t="str">
        <x:v>PD-AR-CT-C-B-TECH-2-B2-RCN-G0</x:v>
      </x:c>
      <x:c r="C696" s="9" t="str">
        <x:v>EV-AR-CT-C-B-TECH-2-B2-RCN-G0</x:v>
      </x:c>
      <x:c r="D696" s="9" t="str">
        <x:v>AR-CT-C-B-TECH-2-B2-RCN-G0</x:v>
      </x:c>
      <x:c r="E696" s="9" t="str">
        <x:v>CT-C-B-TECH-2</x:v>
      </x:c>
      <x:c r="F696" s="9" t="str">
        <x:v>CT-C-B</x:v>
      </x:c>
      <x:c r="G696" s="9" t="str">
        <x:v>B2</x:v>
      </x:c>
      <x:c r="H696" s="9" t="str">
        <x:v>RCN</x:v>
      </x:c>
      <x:c r="I696" s="9" t="str">
        <x:v>PD02</x:v>
      </x:c>
      <x:c r="J696" s="17" t="str">
        <x:v>Serial annex and title chain</x:v>
      </x:c>
      <x:c r="K696" s="17" t="str">
        <x:v>Public archive</x:v>
      </x:c>
      <x:c r="L696" s="17" t="str">
        <x:v>COURT-SEALED UNTIL COHORT RELEASE</x:v>
      </x:c>
      <x:c r="M696" s="9" t="n">
        <x:v>0</x:v>
      </x:c>
      <x:c r="N696" s="9" t="n">
        <x:v>0</x:v>
      </x:c>
      <x:c r="O696" s="9" t="n">
        <x:v>0</x:v>
      </x:c>
      <x:c r="P696" s="9" t="str">
        <x:v>HELD / UNRELEASED</x:v>
      </x:c>
      <x:c r="Q696" s="9" t="n">
        <x:f>COUNTIFS($A$7:$A$2310,A696)</x:f>
        <x:v>1</x:v>
      </x:c>
    </x:row>
    <x:row r="697">
      <x:c r="A697" s="9" t="str">
        <x:v>PD-AR-CT-C-B-TECH-2-B2-RCN-G0-PD03</x:v>
      </x:c>
      <x:c r="B697" s="9" t="str">
        <x:v>PD-AR-CT-C-B-TECH-2-B2-RCN-G0</x:v>
      </x:c>
      <x:c r="C697" s="9" t="str">
        <x:v>EV-AR-CT-C-B-TECH-2-B2-RCN-G0</x:v>
      </x:c>
      <x:c r="D697" s="9" t="str">
        <x:v>AR-CT-C-B-TECH-2-B2-RCN-G0</x:v>
      </x:c>
      <x:c r="E697" s="9" t="str">
        <x:v>CT-C-B-TECH-2</x:v>
      </x:c>
      <x:c r="F697" s="9" t="str">
        <x:v>CT-C-B</x:v>
      </x:c>
      <x:c r="G697" s="9" t="str">
        <x:v>B2</x:v>
      </x:c>
      <x:c r="H697" s="9" t="str">
        <x:v>RCN</x:v>
      </x:c>
      <x:c r="I697" s="9" t="str">
        <x:v>PD03</x:v>
      </x:c>
      <x:c r="J697" s="17" t="str">
        <x:v>Configuration and as-built manifest</x:v>
      </x:c>
      <x:c r="K697" s="17" t="str">
        <x:v>Artifact exchange</x:v>
      </x:c>
      <x:c r="L697" s="17" t="str">
        <x:v>COURT-SEALED UNTIL COHORT RELEASE</x:v>
      </x:c>
      <x:c r="M697" s="9" t="n">
        <x:v>0</x:v>
      </x:c>
      <x:c r="N697" s="9" t="n">
        <x:v>0</x:v>
      </x:c>
      <x:c r="O697" s="9" t="n">
        <x:v>0</x:v>
      </x:c>
      <x:c r="P697" s="9" t="str">
        <x:v>HELD / UNRELEASED</x:v>
      </x:c>
      <x:c r="Q697" s="9" t="n">
        <x:f>COUNTIFS($A$7:$A$2310,A697)</x:f>
        <x:v>1</x:v>
      </x:c>
    </x:row>
    <x:row r="698">
      <x:c r="A698" s="9" t="str">
        <x:v>PD-AR-CT-C-B-TECH-2-B2-RCN-G0-PD04</x:v>
      </x:c>
      <x:c r="B698" s="9" t="str">
        <x:v>PD-AR-CT-C-B-TECH-2-B2-RCN-G0</x:v>
      </x:c>
      <x:c r="C698" s="9" t="str">
        <x:v>EV-AR-CT-C-B-TECH-2-B2-RCN-G0</x:v>
      </x:c>
      <x:c r="D698" s="9" t="str">
        <x:v>AR-CT-C-B-TECH-2-B2-RCN-G0</x:v>
      </x:c>
      <x:c r="E698" s="9" t="str">
        <x:v>CT-C-B-TECH-2</x:v>
      </x:c>
      <x:c r="F698" s="9" t="str">
        <x:v>CT-C-B</x:v>
      </x:c>
      <x:c r="G698" s="9" t="str">
        <x:v>B2</x:v>
      </x:c>
      <x:c r="H698" s="9" t="str">
        <x:v>RCN</x:v>
      </x:c>
      <x:c r="I698" s="9" t="str">
        <x:v>PD04</x:v>
      </x:c>
      <x:c r="J698" s="17" t="str">
        <x:v>EOW and start certificate</x:v>
      </x:c>
      <x:c r="K698" s="17" t="str">
        <x:v>Start registrar</x:v>
      </x:c>
      <x:c r="L698" s="17" t="str">
        <x:v>COURT-SEALED UNTIL COHORT RELEASE</x:v>
      </x:c>
      <x:c r="M698" s="9" t="n">
        <x:v>0</x:v>
      </x:c>
      <x:c r="N698" s="9" t="n">
        <x:v>0</x:v>
      </x:c>
      <x:c r="O698" s="9" t="n">
        <x:v>0</x:v>
      </x:c>
      <x:c r="P698" s="9" t="str">
        <x:v>HELD / UNRELEASED</x:v>
      </x:c>
      <x:c r="Q698" s="9" t="n">
        <x:f>COUNTIFS($A$7:$A$2310,A698)</x:f>
        <x:v>1</x:v>
      </x:c>
    </x:row>
    <x:row r="699">
      <x:c r="A699" s="9" t="str">
        <x:v>PD-AR-CT-C-B-TECH-2-B2-RCN-G0-PD05</x:v>
      </x:c>
      <x:c r="B699" s="9" t="str">
        <x:v>PD-AR-CT-C-B-TECH-2-B2-RCN-G0</x:v>
      </x:c>
      <x:c r="C699" s="9" t="str">
        <x:v>EV-AR-CT-C-B-TECH-2-B2-RCN-G0</x:v>
      </x:c>
      <x:c r="D699" s="9" t="str">
        <x:v>AR-CT-C-B-TECH-2-B2-RCN-G0</x:v>
      </x:c>
      <x:c r="E699" s="9" t="str">
        <x:v>CT-C-B-TECH-2</x:v>
      </x:c>
      <x:c r="F699" s="9" t="str">
        <x:v>CT-C-B</x:v>
      </x:c>
      <x:c r="G699" s="9" t="str">
        <x:v>B2</x:v>
      </x:c>
      <x:c r="H699" s="9" t="str">
        <x:v>RCN</x:v>
      </x:c>
      <x:c r="I699" s="9" t="str">
        <x:v>PD05</x:v>
      </x:c>
      <x:c r="J699" s="17" t="str">
        <x:v>Primary raw originals</x:v>
      </x:c>
      <x:c r="K699" s="17" t="str">
        <x:v>Primary custody</x:v>
      </x:c>
      <x:c r="L699" s="17" t="str">
        <x:v>COURT-SEALED UNTIL COHORT RELEASE</x:v>
      </x:c>
      <x:c r="M699" s="9" t="n">
        <x:v>0</x:v>
      </x:c>
      <x:c r="N699" s="9" t="n">
        <x:v>0</x:v>
      </x:c>
      <x:c r="O699" s="9" t="n">
        <x:v>0</x:v>
      </x:c>
      <x:c r="P699" s="9" t="str">
        <x:v>HELD / UNRELEASED</x:v>
      </x:c>
      <x:c r="Q699" s="9" t="n">
        <x:f>COUNTIFS($A$7:$A$2310,A699)</x:f>
        <x:v>1</x:v>
      </x:c>
    </x:row>
    <x:row r="700">
      <x:c r="A700" s="9" t="str">
        <x:v>PD-AR-CT-C-B-TECH-2-B2-RCN-G0-PD06</x:v>
      </x:c>
      <x:c r="B700" s="9" t="str">
        <x:v>PD-AR-CT-C-B-TECH-2-B2-RCN-G0</x:v>
      </x:c>
      <x:c r="C700" s="9" t="str">
        <x:v>EV-AR-CT-C-B-TECH-2-B2-RCN-G0</x:v>
      </x:c>
      <x:c r="D700" s="9" t="str">
        <x:v>AR-CT-C-B-TECH-2-B2-RCN-G0</x:v>
      </x:c>
      <x:c r="E700" s="9" t="str">
        <x:v>CT-C-B-TECH-2</x:v>
      </x:c>
      <x:c r="F700" s="9" t="str">
        <x:v>CT-C-B</x:v>
      </x:c>
      <x:c r="G700" s="9" t="str">
        <x:v>B2</x:v>
      </x:c>
      <x:c r="H700" s="9" t="str">
        <x:v>RCN</x:v>
      </x:c>
      <x:c r="I700" s="9" t="str">
        <x:v>PD06</x:v>
      </x:c>
      <x:c r="J700" s="17" t="str">
        <x:v>Witness raw originals</x:v>
      </x:c>
      <x:c r="K700" s="17" t="str">
        <x:v>Witness custody</x:v>
      </x:c>
      <x:c r="L700" s="17" t="str">
        <x:v>COURT-SEALED UNTIL COHORT RELEASE</x:v>
      </x:c>
      <x:c r="M700" s="9" t="n">
        <x:v>0</x:v>
      </x:c>
      <x:c r="N700" s="9" t="n">
        <x:v>0</x:v>
      </x:c>
      <x:c r="O700" s="9" t="n">
        <x:v>0</x:v>
      </x:c>
      <x:c r="P700" s="9" t="str">
        <x:v>HELD / UNRELEASED</x:v>
      </x:c>
      <x:c r="Q700" s="9" t="n">
        <x:f>COUNTIFS($A$7:$A$2310,A700)</x:f>
        <x:v>1</x:v>
      </x:c>
    </x:row>
    <x:row r="701">
      <x:c r="A701" s="9" t="str">
        <x:v>PD-AR-CT-C-B-TECH-2-B2-RCN-G0-PD07</x:v>
      </x:c>
      <x:c r="B701" s="9" t="str">
        <x:v>PD-AR-CT-C-B-TECH-2-B2-RCN-G0</x:v>
      </x:c>
      <x:c r="C701" s="9" t="str">
        <x:v>EV-AR-CT-C-B-TECH-2-B2-RCN-G0</x:v>
      </x:c>
      <x:c r="D701" s="9" t="str">
        <x:v>AR-CT-C-B-TECH-2-B2-RCN-G0</x:v>
      </x:c>
      <x:c r="E701" s="9" t="str">
        <x:v>CT-C-B-TECH-2</x:v>
      </x:c>
      <x:c r="F701" s="9" t="str">
        <x:v>CT-C-B</x:v>
      </x:c>
      <x:c r="G701" s="9" t="str">
        <x:v>B2</x:v>
      </x:c>
      <x:c r="H701" s="9" t="str">
        <x:v>RCN</x:v>
      </x:c>
      <x:c r="I701" s="9" t="str">
        <x:v>PD07</x:v>
      </x:c>
      <x:c r="J701" s="17" t="str">
        <x:v>Clock and environmental records</x:v>
      </x:c>
      <x:c r="K701" s="17" t="str">
        <x:v>Boundary archive</x:v>
      </x:c>
      <x:c r="L701" s="17" t="str">
        <x:v>COURT-SEALED UNTIL COHORT RELEASE</x:v>
      </x:c>
      <x:c r="M701" s="9" t="n">
        <x:v>0</x:v>
      </x:c>
      <x:c r="N701" s="9" t="n">
        <x:v>0</x:v>
      </x:c>
      <x:c r="O701" s="9" t="n">
        <x:v>0</x:v>
      </x:c>
      <x:c r="P701" s="9" t="str">
        <x:v>HELD / UNRELEASED</x:v>
      </x:c>
      <x:c r="Q701" s="9" t="n">
        <x:f>COUNTIFS($A$7:$A$2310,A701)</x:f>
        <x:v>1</x:v>
      </x:c>
    </x:row>
    <x:row r="702">
      <x:c r="A702" s="9" t="str">
        <x:v>PD-AR-CT-C-B-TECH-2-B2-RCN-G0-PD08</x:v>
      </x:c>
      <x:c r="B702" s="9" t="str">
        <x:v>PD-AR-CT-C-B-TECH-2-B2-RCN-G0</x:v>
      </x:c>
      <x:c r="C702" s="9" t="str">
        <x:v>EV-AR-CT-C-B-TECH-2-B2-RCN-G0</x:v>
      </x:c>
      <x:c r="D702" s="9" t="str">
        <x:v>AR-CT-C-B-TECH-2-B2-RCN-G0</x:v>
      </x:c>
      <x:c r="E702" s="9" t="str">
        <x:v>CT-C-B-TECH-2</x:v>
      </x:c>
      <x:c r="F702" s="9" t="str">
        <x:v>CT-C-B</x:v>
      </x:c>
      <x:c r="G702" s="9" t="str">
        <x:v>B2</x:v>
      </x:c>
      <x:c r="H702" s="9" t="str">
        <x:v>RCN</x:v>
      </x:c>
      <x:c r="I702" s="9" t="str">
        <x:v>PD08</x:v>
      </x:c>
      <x:c r="J702" s="17" t="str">
        <x:v>Command and intervention log</x:v>
      </x:c>
      <x:c r="K702" s="17" t="str">
        <x:v>Safety archive</x:v>
      </x:c>
      <x:c r="L702" s="17" t="str">
        <x:v>COURT-SEALED UNTIL COHORT RELEASE</x:v>
      </x:c>
      <x:c r="M702" s="9" t="n">
        <x:v>0</x:v>
      </x:c>
      <x:c r="N702" s="9" t="n">
        <x:v>0</x:v>
      </x:c>
      <x:c r="O702" s="9" t="n">
        <x:v>0</x:v>
      </x:c>
      <x:c r="P702" s="9" t="str">
        <x:v>HELD / UNRELEASED</x:v>
      </x:c>
      <x:c r="Q702" s="9" t="n">
        <x:f>COUNTIFS($A$7:$A$2310,A702)</x:f>
        <x:v>1</x:v>
      </x:c>
    </x:row>
    <x:row r="703">
      <x:c r="A703" s="9" t="str">
        <x:v>PD-AR-CT-C-B-TECH-2-B2-RCN-G0-PD09</x:v>
      </x:c>
      <x:c r="B703" s="9" t="str">
        <x:v>PD-AR-CT-C-B-TECH-2-B2-RCN-G0</x:v>
      </x:c>
      <x:c r="C703" s="9" t="str">
        <x:v>EV-AR-CT-C-B-TECH-2-B2-RCN-G0</x:v>
      </x:c>
      <x:c r="D703" s="9" t="str">
        <x:v>AR-CT-C-B-TECH-2-B2-RCN-G0</x:v>
      </x:c>
      <x:c r="E703" s="9" t="str">
        <x:v>CT-C-B-TECH-2</x:v>
      </x:c>
      <x:c r="F703" s="9" t="str">
        <x:v>CT-C-B</x:v>
      </x:c>
      <x:c r="G703" s="9" t="str">
        <x:v>B2</x:v>
      </x:c>
      <x:c r="H703" s="9" t="str">
        <x:v>RCN</x:v>
      </x:c>
      <x:c r="I703" s="9" t="str">
        <x:v>PD09</x:v>
      </x:c>
      <x:c r="J703" s="17" t="str">
        <x:v>Receiver denominator and service ledger</x:v>
      </x:c>
      <x:c r="K703" s="17" t="str">
        <x:v>Receiver archive</x:v>
      </x:c>
      <x:c r="L703" s="17" t="str">
        <x:v>COURT-SEALED UNTIL COHORT RELEASE</x:v>
      </x:c>
      <x:c r="M703" s="9" t="n">
        <x:v>0</x:v>
      </x:c>
      <x:c r="N703" s="9" t="n">
        <x:v>0</x:v>
      </x:c>
      <x:c r="O703" s="9" t="n">
        <x:v>0</x:v>
      </x:c>
      <x:c r="P703" s="9" t="str">
        <x:v>HELD / UNRELEASED</x:v>
      </x:c>
      <x:c r="Q703" s="9" t="n">
        <x:f>COUNTIFS($A$7:$A$2310,A703)</x:f>
        <x:v>1</x:v>
      </x:c>
    </x:row>
    <x:row r="704">
      <x:c r="A704" s="9" t="str">
        <x:v>PD-AR-CT-C-B-TECH-2-B2-RCN-G0-PD10</x:v>
      </x:c>
      <x:c r="B704" s="9" t="str">
        <x:v>PD-AR-CT-C-B-TECH-2-B2-RCN-G0</x:v>
      </x:c>
      <x:c r="C704" s="9" t="str">
        <x:v>EV-AR-CT-C-B-TECH-2-B2-RCN-G0</x:v>
      </x:c>
      <x:c r="D704" s="9" t="str">
        <x:v>AR-CT-C-B-TECH-2-B2-RCN-G0</x:v>
      </x:c>
      <x:c r="E704" s="9" t="str">
        <x:v>CT-C-B-TECH-2</x:v>
      </x:c>
      <x:c r="F704" s="9" t="str">
        <x:v>CT-C-B</x:v>
      </x:c>
      <x:c r="G704" s="9" t="str">
        <x:v>B2</x:v>
      </x:c>
      <x:c r="H704" s="9" t="str">
        <x:v>RCN</x:v>
      </x:c>
      <x:c r="I704" s="9" t="str">
        <x:v>PD10</x:v>
      </x:c>
      <x:c r="J704" s="17" t="str">
        <x:v>Calibration and uncertainty record</x:v>
      </x:c>
      <x:c r="K704" s="17" t="str">
        <x:v>Metrology archive</x:v>
      </x:c>
      <x:c r="L704" s="17" t="str">
        <x:v>COURT-SEALED UNTIL COHORT RELEASE</x:v>
      </x:c>
      <x:c r="M704" s="9" t="n">
        <x:v>0</x:v>
      </x:c>
      <x:c r="N704" s="9" t="n">
        <x:v>0</x:v>
      </x:c>
      <x:c r="O704" s="9" t="n">
        <x:v>0</x:v>
      </x:c>
      <x:c r="P704" s="9" t="str">
        <x:v>HELD / UNRELEASED</x:v>
      </x:c>
      <x:c r="Q704" s="9" t="n">
        <x:f>COUNTIFS($A$7:$A$2310,A704)</x:f>
        <x:v>1</x:v>
      </x:c>
    </x:row>
    <x:row r="705">
      <x:c r="A705" s="9" t="str">
        <x:v>PD-AR-CT-C-B-TECH-2-B2-RCN-G0-PD11</x:v>
      </x:c>
      <x:c r="B705" s="9" t="str">
        <x:v>PD-AR-CT-C-B-TECH-2-B2-RCN-G0</x:v>
      </x:c>
      <x:c r="C705" s="9" t="str">
        <x:v>EV-AR-CT-C-B-TECH-2-B2-RCN-G0</x:v>
      </x:c>
      <x:c r="D705" s="9" t="str">
        <x:v>AR-CT-C-B-TECH-2-B2-RCN-G0</x:v>
      </x:c>
      <x:c r="E705" s="9" t="str">
        <x:v>CT-C-B-TECH-2</x:v>
      </x:c>
      <x:c r="F705" s="9" t="str">
        <x:v>CT-C-B</x:v>
      </x:c>
      <x:c r="G705" s="9" t="str">
        <x:v>B2</x:v>
      </x:c>
      <x:c r="H705" s="9" t="str">
        <x:v>RCN</x:v>
      </x:c>
      <x:c r="I705" s="9" t="str">
        <x:v>PD11</x:v>
      </x:c>
      <x:c r="J705" s="17" t="str">
        <x:v>Invalidity petition and opinion</x:v>
      </x:c>
      <x:c r="K705" s="17" t="str">
        <x:v>Invalidity court</x:v>
      </x:c>
      <x:c r="L705" s="17" t="str">
        <x:v>COURT-SEALED UNTIL COHORT RELEASE</x:v>
      </x:c>
      <x:c r="M705" s="9" t="n">
        <x:v>0</x:v>
      </x:c>
      <x:c r="N705" s="9" t="n">
        <x:v>0</x:v>
      </x:c>
      <x:c r="O705" s="9" t="n">
        <x:v>0</x:v>
      </x:c>
      <x:c r="P705" s="9" t="str">
        <x:v>HELD / UNRELEASED</x:v>
      </x:c>
      <x:c r="Q705" s="9" t="n">
        <x:f>COUNTIFS($A$7:$A$2310,A705)</x:f>
        <x:v>1</x:v>
      </x:c>
    </x:row>
    <x:row r="706">
      <x:c r="A706" s="9" t="str">
        <x:v>PD-AR-CT-C-B-TECH-2-B2-RCN-G0-PD12</x:v>
      </x:c>
      <x:c r="B706" s="9" t="str">
        <x:v>PD-AR-CT-C-B-TECH-2-B2-RCN-G0</x:v>
      </x:c>
      <x:c r="C706" s="9" t="str">
        <x:v>EV-AR-CT-C-B-TECH-2-B2-RCN-G0</x:v>
      </x:c>
      <x:c r="D706" s="9" t="str">
        <x:v>AR-CT-C-B-TECH-2-B2-RCN-G0</x:v>
      </x:c>
      <x:c r="E706" s="9" t="str">
        <x:v>CT-C-B-TECH-2</x:v>
      </x:c>
      <x:c r="F706" s="9" t="str">
        <x:v>CT-C-B</x:v>
      </x:c>
      <x:c r="G706" s="9" t="str">
        <x:v>B2</x:v>
      </x:c>
      <x:c r="H706" s="9" t="str">
        <x:v>RCN</x:v>
      </x:c>
      <x:c r="I706" s="9" t="str">
        <x:v>PD12</x:v>
      </x:c>
      <x:c r="J706" s="17" t="str">
        <x:v>Observation acceptance and replay</x:v>
      </x:c>
      <x:c r="K706" s="17" t="str">
        <x:v>Observation court</x:v>
      </x:c>
      <x:c r="L706" s="17" t="str">
        <x:v>COURT-SEALED UNTIL COHORT RELEASE</x:v>
      </x:c>
      <x:c r="M706" s="9" t="n">
        <x:v>0</x:v>
      </x:c>
      <x:c r="N706" s="9" t="n">
        <x:v>0</x:v>
      </x:c>
      <x:c r="O706" s="9" t="n">
        <x:v>0</x:v>
      </x:c>
      <x:c r="P706" s="9" t="str">
        <x:v>HELD / UNRELEASED</x:v>
      </x:c>
      <x:c r="Q706" s="9" t="n">
        <x:f>COUNTIFS($A$7:$A$2310,A706)</x:f>
        <x:v>1</x:v>
      </x:c>
    </x:row>
    <x:row r="707">
      <x:c r="A707" s="9" t="str">
        <x:v>PD-AR-CT-C-B-TECH-2-B2-RCN-G0-PD13</x:v>
      </x:c>
      <x:c r="B707" s="9" t="str">
        <x:v>PD-AR-CT-C-B-TECH-2-B2-RCN-G0</x:v>
      </x:c>
      <x:c r="C707" s="9" t="str">
        <x:v>EV-AR-CT-C-B-TECH-2-B2-RCN-G0</x:v>
      </x:c>
      <x:c r="D707" s="9" t="str">
        <x:v>AR-CT-C-B-TECH-2-B2-RCN-G0</x:v>
      </x:c>
      <x:c r="E707" s="9" t="str">
        <x:v>CT-C-B-TECH-2</x:v>
      </x:c>
      <x:c r="F707" s="9" t="str">
        <x:v>CT-C-B</x:v>
      </x:c>
      <x:c r="G707" s="9" t="str">
        <x:v>B2</x:v>
      </x:c>
      <x:c r="H707" s="9" t="str">
        <x:v>RCN</x:v>
      </x:c>
      <x:c r="I707" s="9" t="str">
        <x:v>PD13</x:v>
      </x:c>
      <x:c r="J707" s="17" t="str">
        <x:v>Role judgment</x:v>
      </x:c>
      <x:c r="K707" s="17" t="str">
        <x:v>Role court</x:v>
      </x:c>
      <x:c r="L707" s="17" t="str">
        <x:v>COURT-SEALED UNTIL COHORT RELEASE</x:v>
      </x:c>
      <x:c r="M707" s="9" t="n">
        <x:v>0</x:v>
      </x:c>
      <x:c r="N707" s="9" t="n">
        <x:v>0</x:v>
      </x:c>
      <x:c r="O707" s="9" t="n">
        <x:v>0</x:v>
      </x:c>
      <x:c r="P707" s="9" t="str">
        <x:v>HELD / UNRELEASED</x:v>
      </x:c>
      <x:c r="Q707" s="9" t="n">
        <x:f>COUNTIFS($A$7:$A$2310,A707)</x:f>
        <x:v>1</x:v>
      </x:c>
    </x:row>
    <x:row r="708">
      <x:c r="A708" s="9" t="str">
        <x:v>PD-AR-CT-C-B-TECH-2-B2-RCN-G0-PD14</x:v>
      </x:c>
      <x:c r="B708" s="9" t="str">
        <x:v>PD-AR-CT-C-B-TECH-2-B2-RCN-G0</x:v>
      </x:c>
      <x:c r="C708" s="9" t="str">
        <x:v>EV-AR-CT-C-B-TECH-2-B2-RCN-G0</x:v>
      </x:c>
      <x:c r="D708" s="9" t="str">
        <x:v>AR-CT-C-B-TECH-2-B2-RCN-G0</x:v>
      </x:c>
      <x:c r="E708" s="9" t="str">
        <x:v>CT-C-B-TECH-2</x:v>
      </x:c>
      <x:c r="F708" s="9" t="str">
        <x:v>CT-C-B</x:v>
      </x:c>
      <x:c r="G708" s="9" t="str">
        <x:v>B2</x:v>
      </x:c>
      <x:c r="H708" s="9" t="str">
        <x:v>RCN</x:v>
      </x:c>
      <x:c r="I708" s="9" t="str">
        <x:v>PD14</x:v>
      </x:c>
      <x:c r="J708" s="17" t="str">
        <x:v>Break and residual account</x:v>
      </x:c>
      <x:c r="K708" s="17" t="str">
        <x:v>Residual authority</x:v>
      </x:c>
      <x:c r="L708" s="17" t="str">
        <x:v>COURT-SEALED UNTIL COHORT RELEASE</x:v>
      </x:c>
      <x:c r="M708" s="9" t="n">
        <x:v>0</x:v>
      </x:c>
      <x:c r="N708" s="9" t="n">
        <x:v>0</x:v>
      </x:c>
      <x:c r="O708" s="9" t="n">
        <x:v>0</x:v>
      </x:c>
      <x:c r="P708" s="9" t="str">
        <x:v>HELD / UNRELEASED</x:v>
      </x:c>
      <x:c r="Q708" s="9" t="n">
        <x:f>COUNTIFS($A$7:$A$2310,A708)</x:f>
        <x:v>1</x:v>
      </x:c>
    </x:row>
    <x:row r="709">
      <x:c r="A709" s="9" t="str">
        <x:v>PD-AR-CT-C-B-TECH-2-B2-RCN-G0-PD15</x:v>
      </x:c>
      <x:c r="B709" s="9" t="str">
        <x:v>PD-AR-CT-C-B-TECH-2-B2-RCN-G0</x:v>
      </x:c>
      <x:c r="C709" s="9" t="str">
        <x:v>EV-AR-CT-C-B-TECH-2-B2-RCN-G0</x:v>
      </x:c>
      <x:c r="D709" s="9" t="str">
        <x:v>AR-CT-C-B-TECH-2-B2-RCN-G0</x:v>
      </x:c>
      <x:c r="E709" s="9" t="str">
        <x:v>CT-C-B-TECH-2</x:v>
      </x:c>
      <x:c r="F709" s="9" t="str">
        <x:v>CT-C-B</x:v>
      </x:c>
      <x:c r="G709" s="9" t="str">
        <x:v>B2</x:v>
      </x:c>
      <x:c r="H709" s="9" t="str">
        <x:v>RCN</x:v>
      </x:c>
      <x:c r="I709" s="9" t="str">
        <x:v>PD15</x:v>
      </x:c>
      <x:c r="J709" s="17" t="str">
        <x:v>Reconstruction ancestry and replay</x:v>
      </x:c>
      <x:c r="K709" s="17" t="str">
        <x:v>Reconstruction court</x:v>
      </x:c>
      <x:c r="L709" s="17" t="str">
        <x:v>COURT-SEALED UNTIL COHORT RELEASE</x:v>
      </x:c>
      <x:c r="M709" s="9" t="n">
        <x:v>0</x:v>
      </x:c>
      <x:c r="N709" s="9" t="n">
        <x:v>0</x:v>
      </x:c>
      <x:c r="O709" s="9" t="n">
        <x:v>0</x:v>
      </x:c>
      <x:c r="P709" s="9" t="str">
        <x:v>HELD / UNRELEASED</x:v>
      </x:c>
      <x:c r="Q709" s="9" t="n">
        <x:f>COUNTIFS($A$7:$A$2310,A709)</x:f>
        <x:v>1</x:v>
      </x:c>
    </x:row>
    <x:row r="710">
      <x:c r="A710" s="9" t="str">
        <x:v>PD-AR-CT-C-B-TECH-2-B2-RCN-G0-PD16</x:v>
      </x:c>
      <x:c r="B710" s="9" t="str">
        <x:v>PD-AR-CT-C-B-TECH-2-B2-RCN-G0</x:v>
      </x:c>
      <x:c r="C710" s="9" t="str">
        <x:v>EV-AR-CT-C-B-TECH-2-B2-RCN-G0</x:v>
      </x:c>
      <x:c r="D710" s="9" t="str">
        <x:v>AR-CT-C-B-TECH-2-B2-RCN-G0</x:v>
      </x:c>
      <x:c r="E710" s="9" t="str">
        <x:v>CT-C-B-TECH-2</x:v>
      </x:c>
      <x:c r="F710" s="9" t="str">
        <x:v>CT-C-B</x:v>
      </x:c>
      <x:c r="G710" s="9" t="str">
        <x:v>B2</x:v>
      </x:c>
      <x:c r="H710" s="9" t="str">
        <x:v>RCN</x:v>
      </x:c>
      <x:c r="I710" s="9" t="str">
        <x:v>PD16</x:v>
      </x:c>
      <x:c r="J710" s="17" t="str">
        <x:v>Dissent, amendments and access log</x:v>
      </x:c>
      <x:c r="K710" s="17" t="str">
        <x:v>Public archive</x:v>
      </x:c>
      <x:c r="L710" s="17" t="str">
        <x:v>COURT-SEALED UNTIL COHORT RELEASE</x:v>
      </x:c>
      <x:c r="M710" s="9" t="n">
        <x:v>0</x:v>
      </x:c>
      <x:c r="N710" s="9" t="n">
        <x:v>0</x:v>
      </x:c>
      <x:c r="O710" s="9" t="n">
        <x:v>0</x:v>
      </x:c>
      <x:c r="P710" s="9" t="str">
        <x:v>HELD / UNRELEASED</x:v>
      </x:c>
      <x:c r="Q710" s="9" t="n">
        <x:f>COUNTIFS($A$7:$A$2310,A710)</x:f>
        <x:v>1</x:v>
      </x:c>
    </x:row>
    <x:row r="711">
      <x:c r="A711" s="9" t="str">
        <x:v>PD-AR-HC-A-C-TECH-4-B1-BRK-G0-PD01</x:v>
      </x:c>
      <x:c r="B711" s="9" t="str">
        <x:v>PD-AR-HC-A-C-TECH-4-B1-BRK-G0</x:v>
      </x:c>
      <x:c r="C711" s="9" t="str">
        <x:v>EV-AR-HC-A-C-TECH-4-B1-BRK-G0</x:v>
      </x:c>
      <x:c r="D711" s="9" t="str">
        <x:v>AR-HC-A-C-TECH-4-B1-BRK-G0</x:v>
      </x:c>
      <x:c r="E711" s="9" t="str">
        <x:v>HC-A-C-TECH-4</x:v>
      </x:c>
      <x:c r="F711" s="9" t="str">
        <x:v>HC-A-C</x:v>
      </x:c>
      <x:c r="G711" s="9" t="str">
        <x:v>B1</x:v>
      </x:c>
      <x:c r="H711" s="9" t="str">
        <x:v>BRK</x:v>
      </x:c>
      <x:c r="I711" s="9" t="str">
        <x:v>PD01</x:v>
      </x:c>
      <x:c r="J711" s="17" t="str">
        <x:v>Experiment kernel</x:v>
      </x:c>
      <x:c r="K711" s="17" t="str">
        <x:v>Public archive</x:v>
      </x:c>
      <x:c r="L711" s="17" t="str">
        <x:v>COURT-SEALED UNTIL COHORT RELEASE</x:v>
      </x:c>
      <x:c r="M711" s="9" t="n">
        <x:v>0</x:v>
      </x:c>
      <x:c r="N711" s="9" t="n">
        <x:v>0</x:v>
      </x:c>
      <x:c r="O711" s="9" t="n">
        <x:v>0</x:v>
      </x:c>
      <x:c r="P711" s="9" t="str">
        <x:v>HELD / UNRELEASED</x:v>
      </x:c>
      <x:c r="Q711" s="9" t="n">
        <x:f>COUNTIFS($A$7:$A$2310,A711)</x:f>
        <x:v>1</x:v>
      </x:c>
    </x:row>
    <x:row r="712">
      <x:c r="A712" s="9" t="str">
        <x:v>PD-AR-HC-A-C-TECH-4-B1-BRK-G0-PD02</x:v>
      </x:c>
      <x:c r="B712" s="9" t="str">
        <x:v>PD-AR-HC-A-C-TECH-4-B1-BRK-G0</x:v>
      </x:c>
      <x:c r="C712" s="9" t="str">
        <x:v>EV-AR-HC-A-C-TECH-4-B1-BRK-G0</x:v>
      </x:c>
      <x:c r="D712" s="9" t="str">
        <x:v>AR-HC-A-C-TECH-4-B1-BRK-G0</x:v>
      </x:c>
      <x:c r="E712" s="9" t="str">
        <x:v>HC-A-C-TECH-4</x:v>
      </x:c>
      <x:c r="F712" s="9" t="str">
        <x:v>HC-A-C</x:v>
      </x:c>
      <x:c r="G712" s="9" t="str">
        <x:v>B1</x:v>
      </x:c>
      <x:c r="H712" s="9" t="str">
        <x:v>BRK</x:v>
      </x:c>
      <x:c r="I712" s="9" t="str">
        <x:v>PD02</x:v>
      </x:c>
      <x:c r="J712" s="17" t="str">
        <x:v>Serial annex and title chain</x:v>
      </x:c>
      <x:c r="K712" s="17" t="str">
        <x:v>Public archive</x:v>
      </x:c>
      <x:c r="L712" s="17" t="str">
        <x:v>COURT-SEALED UNTIL COHORT RELEASE</x:v>
      </x:c>
      <x:c r="M712" s="9" t="n">
        <x:v>0</x:v>
      </x:c>
      <x:c r="N712" s="9" t="n">
        <x:v>0</x:v>
      </x:c>
      <x:c r="O712" s="9" t="n">
        <x:v>0</x:v>
      </x:c>
      <x:c r="P712" s="9" t="str">
        <x:v>HELD / UNRELEASED</x:v>
      </x:c>
      <x:c r="Q712" s="9" t="n">
        <x:f>COUNTIFS($A$7:$A$2310,A712)</x:f>
        <x:v>1</x:v>
      </x:c>
    </x:row>
    <x:row r="713">
      <x:c r="A713" s="9" t="str">
        <x:v>PD-AR-HC-A-C-TECH-4-B1-BRK-G0-PD03</x:v>
      </x:c>
      <x:c r="B713" s="9" t="str">
        <x:v>PD-AR-HC-A-C-TECH-4-B1-BRK-G0</x:v>
      </x:c>
      <x:c r="C713" s="9" t="str">
        <x:v>EV-AR-HC-A-C-TECH-4-B1-BRK-G0</x:v>
      </x:c>
      <x:c r="D713" s="9" t="str">
        <x:v>AR-HC-A-C-TECH-4-B1-BRK-G0</x:v>
      </x:c>
      <x:c r="E713" s="9" t="str">
        <x:v>HC-A-C-TECH-4</x:v>
      </x:c>
      <x:c r="F713" s="9" t="str">
        <x:v>HC-A-C</x:v>
      </x:c>
      <x:c r="G713" s="9" t="str">
        <x:v>B1</x:v>
      </x:c>
      <x:c r="H713" s="9" t="str">
        <x:v>BRK</x:v>
      </x:c>
      <x:c r="I713" s="9" t="str">
        <x:v>PD03</x:v>
      </x:c>
      <x:c r="J713" s="17" t="str">
        <x:v>Configuration and as-built manifest</x:v>
      </x:c>
      <x:c r="K713" s="17" t="str">
        <x:v>Artifact exchange</x:v>
      </x:c>
      <x:c r="L713" s="17" t="str">
        <x:v>COURT-SEALED UNTIL COHORT RELEASE</x:v>
      </x:c>
      <x:c r="M713" s="9" t="n">
        <x:v>0</x:v>
      </x:c>
      <x:c r="N713" s="9" t="n">
        <x:v>0</x:v>
      </x:c>
      <x:c r="O713" s="9" t="n">
        <x:v>0</x:v>
      </x:c>
      <x:c r="P713" s="9" t="str">
        <x:v>HELD / UNRELEASED</x:v>
      </x:c>
      <x:c r="Q713" s="9" t="n">
        <x:f>COUNTIFS($A$7:$A$2310,A713)</x:f>
        <x:v>1</x:v>
      </x:c>
    </x:row>
    <x:row r="714">
      <x:c r="A714" s="9" t="str">
        <x:v>PD-AR-HC-A-C-TECH-4-B1-BRK-G0-PD04</x:v>
      </x:c>
      <x:c r="B714" s="9" t="str">
        <x:v>PD-AR-HC-A-C-TECH-4-B1-BRK-G0</x:v>
      </x:c>
      <x:c r="C714" s="9" t="str">
        <x:v>EV-AR-HC-A-C-TECH-4-B1-BRK-G0</x:v>
      </x:c>
      <x:c r="D714" s="9" t="str">
        <x:v>AR-HC-A-C-TECH-4-B1-BRK-G0</x:v>
      </x:c>
      <x:c r="E714" s="9" t="str">
        <x:v>HC-A-C-TECH-4</x:v>
      </x:c>
      <x:c r="F714" s="9" t="str">
        <x:v>HC-A-C</x:v>
      </x:c>
      <x:c r="G714" s="9" t="str">
        <x:v>B1</x:v>
      </x:c>
      <x:c r="H714" s="9" t="str">
        <x:v>BRK</x:v>
      </x:c>
      <x:c r="I714" s="9" t="str">
        <x:v>PD04</x:v>
      </x:c>
      <x:c r="J714" s="17" t="str">
        <x:v>EOW and start certificate</x:v>
      </x:c>
      <x:c r="K714" s="17" t="str">
        <x:v>Start registrar</x:v>
      </x:c>
      <x:c r="L714" s="17" t="str">
        <x:v>COURT-SEALED UNTIL COHORT RELEASE</x:v>
      </x:c>
      <x:c r="M714" s="9" t="n">
        <x:v>0</x:v>
      </x:c>
      <x:c r="N714" s="9" t="n">
        <x:v>0</x:v>
      </x:c>
      <x:c r="O714" s="9" t="n">
        <x:v>0</x:v>
      </x:c>
      <x:c r="P714" s="9" t="str">
        <x:v>HELD / UNRELEASED</x:v>
      </x:c>
      <x:c r="Q714" s="9" t="n">
        <x:f>COUNTIFS($A$7:$A$2310,A714)</x:f>
        <x:v>1</x:v>
      </x:c>
    </x:row>
    <x:row r="715">
      <x:c r="A715" s="9" t="str">
        <x:v>PD-AR-HC-A-C-TECH-4-B1-BRK-G0-PD05</x:v>
      </x:c>
      <x:c r="B715" s="9" t="str">
        <x:v>PD-AR-HC-A-C-TECH-4-B1-BRK-G0</x:v>
      </x:c>
      <x:c r="C715" s="9" t="str">
        <x:v>EV-AR-HC-A-C-TECH-4-B1-BRK-G0</x:v>
      </x:c>
      <x:c r="D715" s="9" t="str">
        <x:v>AR-HC-A-C-TECH-4-B1-BRK-G0</x:v>
      </x:c>
      <x:c r="E715" s="9" t="str">
        <x:v>HC-A-C-TECH-4</x:v>
      </x:c>
      <x:c r="F715" s="9" t="str">
        <x:v>HC-A-C</x:v>
      </x:c>
      <x:c r="G715" s="9" t="str">
        <x:v>B1</x:v>
      </x:c>
      <x:c r="H715" s="9" t="str">
        <x:v>BRK</x:v>
      </x:c>
      <x:c r="I715" s="9" t="str">
        <x:v>PD05</x:v>
      </x:c>
      <x:c r="J715" s="17" t="str">
        <x:v>Primary raw originals</x:v>
      </x:c>
      <x:c r="K715" s="17" t="str">
        <x:v>Primary custody</x:v>
      </x:c>
      <x:c r="L715" s="17" t="str">
        <x:v>COURT-SEALED UNTIL COHORT RELEASE</x:v>
      </x:c>
      <x:c r="M715" s="9" t="n">
        <x:v>0</x:v>
      </x:c>
      <x:c r="N715" s="9" t="n">
        <x:v>0</x:v>
      </x:c>
      <x:c r="O715" s="9" t="n">
        <x:v>0</x:v>
      </x:c>
      <x:c r="P715" s="9" t="str">
        <x:v>HELD / UNRELEASED</x:v>
      </x:c>
      <x:c r="Q715" s="9" t="n">
        <x:f>COUNTIFS($A$7:$A$2310,A715)</x:f>
        <x:v>1</x:v>
      </x:c>
    </x:row>
    <x:row r="716">
      <x:c r="A716" s="9" t="str">
        <x:v>PD-AR-HC-A-C-TECH-4-B1-BRK-G0-PD06</x:v>
      </x:c>
      <x:c r="B716" s="9" t="str">
        <x:v>PD-AR-HC-A-C-TECH-4-B1-BRK-G0</x:v>
      </x:c>
      <x:c r="C716" s="9" t="str">
        <x:v>EV-AR-HC-A-C-TECH-4-B1-BRK-G0</x:v>
      </x:c>
      <x:c r="D716" s="9" t="str">
        <x:v>AR-HC-A-C-TECH-4-B1-BRK-G0</x:v>
      </x:c>
      <x:c r="E716" s="9" t="str">
        <x:v>HC-A-C-TECH-4</x:v>
      </x:c>
      <x:c r="F716" s="9" t="str">
        <x:v>HC-A-C</x:v>
      </x:c>
      <x:c r="G716" s="9" t="str">
        <x:v>B1</x:v>
      </x:c>
      <x:c r="H716" s="9" t="str">
        <x:v>BRK</x:v>
      </x:c>
      <x:c r="I716" s="9" t="str">
        <x:v>PD06</x:v>
      </x:c>
      <x:c r="J716" s="17" t="str">
        <x:v>Witness raw originals</x:v>
      </x:c>
      <x:c r="K716" s="17" t="str">
        <x:v>Witness custody</x:v>
      </x:c>
      <x:c r="L716" s="17" t="str">
        <x:v>COURT-SEALED UNTIL COHORT RELEASE</x:v>
      </x:c>
      <x:c r="M716" s="9" t="n">
        <x:v>0</x:v>
      </x:c>
      <x:c r="N716" s="9" t="n">
        <x:v>0</x:v>
      </x:c>
      <x:c r="O716" s="9" t="n">
        <x:v>0</x:v>
      </x:c>
      <x:c r="P716" s="9" t="str">
        <x:v>HELD / UNRELEASED</x:v>
      </x:c>
      <x:c r="Q716" s="9" t="n">
        <x:f>COUNTIFS($A$7:$A$2310,A716)</x:f>
        <x:v>1</x:v>
      </x:c>
    </x:row>
    <x:row r="717">
      <x:c r="A717" s="9" t="str">
        <x:v>PD-AR-HC-A-C-TECH-4-B1-BRK-G0-PD07</x:v>
      </x:c>
      <x:c r="B717" s="9" t="str">
        <x:v>PD-AR-HC-A-C-TECH-4-B1-BRK-G0</x:v>
      </x:c>
      <x:c r="C717" s="9" t="str">
        <x:v>EV-AR-HC-A-C-TECH-4-B1-BRK-G0</x:v>
      </x:c>
      <x:c r="D717" s="9" t="str">
        <x:v>AR-HC-A-C-TECH-4-B1-BRK-G0</x:v>
      </x:c>
      <x:c r="E717" s="9" t="str">
        <x:v>HC-A-C-TECH-4</x:v>
      </x:c>
      <x:c r="F717" s="9" t="str">
        <x:v>HC-A-C</x:v>
      </x:c>
      <x:c r="G717" s="9" t="str">
        <x:v>B1</x:v>
      </x:c>
      <x:c r="H717" s="9" t="str">
        <x:v>BRK</x:v>
      </x:c>
      <x:c r="I717" s="9" t="str">
        <x:v>PD07</x:v>
      </x:c>
      <x:c r="J717" s="17" t="str">
        <x:v>Clock and environmental records</x:v>
      </x:c>
      <x:c r="K717" s="17" t="str">
        <x:v>Boundary archive</x:v>
      </x:c>
      <x:c r="L717" s="17" t="str">
        <x:v>COURT-SEALED UNTIL COHORT RELEASE</x:v>
      </x:c>
      <x:c r="M717" s="9" t="n">
        <x:v>0</x:v>
      </x:c>
      <x:c r="N717" s="9" t="n">
        <x:v>0</x:v>
      </x:c>
      <x:c r="O717" s="9" t="n">
        <x:v>0</x:v>
      </x:c>
      <x:c r="P717" s="9" t="str">
        <x:v>HELD / UNRELEASED</x:v>
      </x:c>
      <x:c r="Q717" s="9" t="n">
        <x:f>COUNTIFS($A$7:$A$2310,A717)</x:f>
        <x:v>1</x:v>
      </x:c>
    </x:row>
    <x:row r="718">
      <x:c r="A718" s="9" t="str">
        <x:v>PD-AR-HC-A-C-TECH-4-B1-BRK-G0-PD08</x:v>
      </x:c>
      <x:c r="B718" s="9" t="str">
        <x:v>PD-AR-HC-A-C-TECH-4-B1-BRK-G0</x:v>
      </x:c>
      <x:c r="C718" s="9" t="str">
        <x:v>EV-AR-HC-A-C-TECH-4-B1-BRK-G0</x:v>
      </x:c>
      <x:c r="D718" s="9" t="str">
        <x:v>AR-HC-A-C-TECH-4-B1-BRK-G0</x:v>
      </x:c>
      <x:c r="E718" s="9" t="str">
        <x:v>HC-A-C-TECH-4</x:v>
      </x:c>
      <x:c r="F718" s="9" t="str">
        <x:v>HC-A-C</x:v>
      </x:c>
      <x:c r="G718" s="9" t="str">
        <x:v>B1</x:v>
      </x:c>
      <x:c r="H718" s="9" t="str">
        <x:v>BRK</x:v>
      </x:c>
      <x:c r="I718" s="9" t="str">
        <x:v>PD08</x:v>
      </x:c>
      <x:c r="J718" s="17" t="str">
        <x:v>Command and intervention log</x:v>
      </x:c>
      <x:c r="K718" s="17" t="str">
        <x:v>Safety archive</x:v>
      </x:c>
      <x:c r="L718" s="17" t="str">
        <x:v>COURT-SEALED UNTIL COHORT RELEASE</x:v>
      </x:c>
      <x:c r="M718" s="9" t="n">
        <x:v>0</x:v>
      </x:c>
      <x:c r="N718" s="9" t="n">
        <x:v>0</x:v>
      </x:c>
      <x:c r="O718" s="9" t="n">
        <x:v>0</x:v>
      </x:c>
      <x:c r="P718" s="9" t="str">
        <x:v>HELD / UNRELEASED</x:v>
      </x:c>
      <x:c r="Q718" s="9" t="n">
        <x:f>COUNTIFS($A$7:$A$2310,A718)</x:f>
        <x:v>1</x:v>
      </x:c>
    </x:row>
    <x:row r="719">
      <x:c r="A719" s="9" t="str">
        <x:v>PD-AR-HC-A-C-TECH-4-B1-BRK-G0-PD09</x:v>
      </x:c>
      <x:c r="B719" s="9" t="str">
        <x:v>PD-AR-HC-A-C-TECH-4-B1-BRK-G0</x:v>
      </x:c>
      <x:c r="C719" s="9" t="str">
        <x:v>EV-AR-HC-A-C-TECH-4-B1-BRK-G0</x:v>
      </x:c>
      <x:c r="D719" s="9" t="str">
        <x:v>AR-HC-A-C-TECH-4-B1-BRK-G0</x:v>
      </x:c>
      <x:c r="E719" s="9" t="str">
        <x:v>HC-A-C-TECH-4</x:v>
      </x:c>
      <x:c r="F719" s="9" t="str">
        <x:v>HC-A-C</x:v>
      </x:c>
      <x:c r="G719" s="9" t="str">
        <x:v>B1</x:v>
      </x:c>
      <x:c r="H719" s="9" t="str">
        <x:v>BRK</x:v>
      </x:c>
      <x:c r="I719" s="9" t="str">
        <x:v>PD09</x:v>
      </x:c>
      <x:c r="J719" s="17" t="str">
        <x:v>Receiver denominator and service ledger</x:v>
      </x:c>
      <x:c r="K719" s="17" t="str">
        <x:v>Receiver archive</x:v>
      </x:c>
      <x:c r="L719" s="17" t="str">
        <x:v>COURT-SEALED UNTIL COHORT RELEASE</x:v>
      </x:c>
      <x:c r="M719" s="9" t="n">
        <x:v>0</x:v>
      </x:c>
      <x:c r="N719" s="9" t="n">
        <x:v>0</x:v>
      </x:c>
      <x:c r="O719" s="9" t="n">
        <x:v>0</x:v>
      </x:c>
      <x:c r="P719" s="9" t="str">
        <x:v>HELD / UNRELEASED</x:v>
      </x:c>
      <x:c r="Q719" s="9" t="n">
        <x:f>COUNTIFS($A$7:$A$2310,A719)</x:f>
        <x:v>1</x:v>
      </x:c>
    </x:row>
    <x:row r="720">
      <x:c r="A720" s="9" t="str">
        <x:v>PD-AR-HC-A-C-TECH-4-B1-BRK-G0-PD10</x:v>
      </x:c>
      <x:c r="B720" s="9" t="str">
        <x:v>PD-AR-HC-A-C-TECH-4-B1-BRK-G0</x:v>
      </x:c>
      <x:c r="C720" s="9" t="str">
        <x:v>EV-AR-HC-A-C-TECH-4-B1-BRK-G0</x:v>
      </x:c>
      <x:c r="D720" s="9" t="str">
        <x:v>AR-HC-A-C-TECH-4-B1-BRK-G0</x:v>
      </x:c>
      <x:c r="E720" s="9" t="str">
        <x:v>HC-A-C-TECH-4</x:v>
      </x:c>
      <x:c r="F720" s="9" t="str">
        <x:v>HC-A-C</x:v>
      </x:c>
      <x:c r="G720" s="9" t="str">
        <x:v>B1</x:v>
      </x:c>
      <x:c r="H720" s="9" t="str">
        <x:v>BRK</x:v>
      </x:c>
      <x:c r="I720" s="9" t="str">
        <x:v>PD10</x:v>
      </x:c>
      <x:c r="J720" s="17" t="str">
        <x:v>Calibration and uncertainty record</x:v>
      </x:c>
      <x:c r="K720" s="17" t="str">
        <x:v>Metrology archive</x:v>
      </x:c>
      <x:c r="L720" s="17" t="str">
        <x:v>COURT-SEALED UNTIL COHORT RELEASE</x:v>
      </x:c>
      <x:c r="M720" s="9" t="n">
        <x:v>0</x:v>
      </x:c>
      <x:c r="N720" s="9" t="n">
        <x:v>0</x:v>
      </x:c>
      <x:c r="O720" s="9" t="n">
        <x:v>0</x:v>
      </x:c>
      <x:c r="P720" s="9" t="str">
        <x:v>HELD / UNRELEASED</x:v>
      </x:c>
      <x:c r="Q720" s="9" t="n">
        <x:f>COUNTIFS($A$7:$A$2310,A720)</x:f>
        <x:v>1</x:v>
      </x:c>
    </x:row>
    <x:row r="721">
      <x:c r="A721" s="9" t="str">
        <x:v>PD-AR-HC-A-C-TECH-4-B1-BRK-G0-PD11</x:v>
      </x:c>
      <x:c r="B721" s="9" t="str">
        <x:v>PD-AR-HC-A-C-TECH-4-B1-BRK-G0</x:v>
      </x:c>
      <x:c r="C721" s="9" t="str">
        <x:v>EV-AR-HC-A-C-TECH-4-B1-BRK-G0</x:v>
      </x:c>
      <x:c r="D721" s="9" t="str">
        <x:v>AR-HC-A-C-TECH-4-B1-BRK-G0</x:v>
      </x:c>
      <x:c r="E721" s="9" t="str">
        <x:v>HC-A-C-TECH-4</x:v>
      </x:c>
      <x:c r="F721" s="9" t="str">
        <x:v>HC-A-C</x:v>
      </x:c>
      <x:c r="G721" s="9" t="str">
        <x:v>B1</x:v>
      </x:c>
      <x:c r="H721" s="9" t="str">
        <x:v>BRK</x:v>
      </x:c>
      <x:c r="I721" s="9" t="str">
        <x:v>PD11</x:v>
      </x:c>
      <x:c r="J721" s="17" t="str">
        <x:v>Invalidity petition and opinion</x:v>
      </x:c>
      <x:c r="K721" s="17" t="str">
        <x:v>Invalidity court</x:v>
      </x:c>
      <x:c r="L721" s="17" t="str">
        <x:v>COURT-SEALED UNTIL COHORT RELEASE</x:v>
      </x:c>
      <x:c r="M721" s="9" t="n">
        <x:v>0</x:v>
      </x:c>
      <x:c r="N721" s="9" t="n">
        <x:v>0</x:v>
      </x:c>
      <x:c r="O721" s="9" t="n">
        <x:v>0</x:v>
      </x:c>
      <x:c r="P721" s="9" t="str">
        <x:v>HELD / UNRELEASED</x:v>
      </x:c>
      <x:c r="Q721" s="9" t="n">
        <x:f>COUNTIFS($A$7:$A$2310,A721)</x:f>
        <x:v>1</x:v>
      </x:c>
    </x:row>
    <x:row r="722">
      <x:c r="A722" s="9" t="str">
        <x:v>PD-AR-HC-A-C-TECH-4-B1-BRK-G0-PD12</x:v>
      </x:c>
      <x:c r="B722" s="9" t="str">
        <x:v>PD-AR-HC-A-C-TECH-4-B1-BRK-G0</x:v>
      </x:c>
      <x:c r="C722" s="9" t="str">
        <x:v>EV-AR-HC-A-C-TECH-4-B1-BRK-G0</x:v>
      </x:c>
      <x:c r="D722" s="9" t="str">
        <x:v>AR-HC-A-C-TECH-4-B1-BRK-G0</x:v>
      </x:c>
      <x:c r="E722" s="9" t="str">
        <x:v>HC-A-C-TECH-4</x:v>
      </x:c>
      <x:c r="F722" s="9" t="str">
        <x:v>HC-A-C</x:v>
      </x:c>
      <x:c r="G722" s="9" t="str">
        <x:v>B1</x:v>
      </x:c>
      <x:c r="H722" s="9" t="str">
        <x:v>BRK</x:v>
      </x:c>
      <x:c r="I722" s="9" t="str">
        <x:v>PD12</x:v>
      </x:c>
      <x:c r="J722" s="17" t="str">
        <x:v>Observation acceptance and replay</x:v>
      </x:c>
      <x:c r="K722" s="17" t="str">
        <x:v>Observation court</x:v>
      </x:c>
      <x:c r="L722" s="17" t="str">
        <x:v>COURT-SEALED UNTIL COHORT RELEASE</x:v>
      </x:c>
      <x:c r="M722" s="9" t="n">
        <x:v>0</x:v>
      </x:c>
      <x:c r="N722" s="9" t="n">
        <x:v>0</x:v>
      </x:c>
      <x:c r="O722" s="9" t="n">
        <x:v>0</x:v>
      </x:c>
      <x:c r="P722" s="9" t="str">
        <x:v>HELD / UNRELEASED</x:v>
      </x:c>
      <x:c r="Q722" s="9" t="n">
        <x:f>COUNTIFS($A$7:$A$2310,A722)</x:f>
        <x:v>1</x:v>
      </x:c>
    </x:row>
    <x:row r="723">
      <x:c r="A723" s="9" t="str">
        <x:v>PD-AR-HC-A-C-TECH-4-B1-BRK-G0-PD13</x:v>
      </x:c>
      <x:c r="B723" s="9" t="str">
        <x:v>PD-AR-HC-A-C-TECH-4-B1-BRK-G0</x:v>
      </x:c>
      <x:c r="C723" s="9" t="str">
        <x:v>EV-AR-HC-A-C-TECH-4-B1-BRK-G0</x:v>
      </x:c>
      <x:c r="D723" s="9" t="str">
        <x:v>AR-HC-A-C-TECH-4-B1-BRK-G0</x:v>
      </x:c>
      <x:c r="E723" s="9" t="str">
        <x:v>HC-A-C-TECH-4</x:v>
      </x:c>
      <x:c r="F723" s="9" t="str">
        <x:v>HC-A-C</x:v>
      </x:c>
      <x:c r="G723" s="9" t="str">
        <x:v>B1</x:v>
      </x:c>
      <x:c r="H723" s="9" t="str">
        <x:v>BRK</x:v>
      </x:c>
      <x:c r="I723" s="9" t="str">
        <x:v>PD13</x:v>
      </x:c>
      <x:c r="J723" s="17" t="str">
        <x:v>Role judgment</x:v>
      </x:c>
      <x:c r="K723" s="17" t="str">
        <x:v>Role court</x:v>
      </x:c>
      <x:c r="L723" s="17" t="str">
        <x:v>COURT-SEALED UNTIL COHORT RELEASE</x:v>
      </x:c>
      <x:c r="M723" s="9" t="n">
        <x:v>0</x:v>
      </x:c>
      <x:c r="N723" s="9" t="n">
        <x:v>0</x:v>
      </x:c>
      <x:c r="O723" s="9" t="n">
        <x:v>0</x:v>
      </x:c>
      <x:c r="P723" s="9" t="str">
        <x:v>HELD / UNRELEASED</x:v>
      </x:c>
      <x:c r="Q723" s="9" t="n">
        <x:f>COUNTIFS($A$7:$A$2310,A723)</x:f>
        <x:v>1</x:v>
      </x:c>
    </x:row>
    <x:row r="724">
      <x:c r="A724" s="9" t="str">
        <x:v>PD-AR-HC-A-C-TECH-4-B1-BRK-G0-PD14</x:v>
      </x:c>
      <x:c r="B724" s="9" t="str">
        <x:v>PD-AR-HC-A-C-TECH-4-B1-BRK-G0</x:v>
      </x:c>
      <x:c r="C724" s="9" t="str">
        <x:v>EV-AR-HC-A-C-TECH-4-B1-BRK-G0</x:v>
      </x:c>
      <x:c r="D724" s="9" t="str">
        <x:v>AR-HC-A-C-TECH-4-B1-BRK-G0</x:v>
      </x:c>
      <x:c r="E724" s="9" t="str">
        <x:v>HC-A-C-TECH-4</x:v>
      </x:c>
      <x:c r="F724" s="9" t="str">
        <x:v>HC-A-C</x:v>
      </x:c>
      <x:c r="G724" s="9" t="str">
        <x:v>B1</x:v>
      </x:c>
      <x:c r="H724" s="9" t="str">
        <x:v>BRK</x:v>
      </x:c>
      <x:c r="I724" s="9" t="str">
        <x:v>PD14</x:v>
      </x:c>
      <x:c r="J724" s="17" t="str">
        <x:v>Break and residual account</x:v>
      </x:c>
      <x:c r="K724" s="17" t="str">
        <x:v>Residual authority</x:v>
      </x:c>
      <x:c r="L724" s="17" t="str">
        <x:v>COURT-SEALED UNTIL COHORT RELEASE</x:v>
      </x:c>
      <x:c r="M724" s="9" t="n">
        <x:v>0</x:v>
      </x:c>
      <x:c r="N724" s="9" t="n">
        <x:v>0</x:v>
      </x:c>
      <x:c r="O724" s="9" t="n">
        <x:v>0</x:v>
      </x:c>
      <x:c r="P724" s="9" t="str">
        <x:v>HELD / UNRELEASED</x:v>
      </x:c>
      <x:c r="Q724" s="9" t="n">
        <x:f>COUNTIFS($A$7:$A$2310,A724)</x:f>
        <x:v>1</x:v>
      </x:c>
    </x:row>
    <x:row r="725">
      <x:c r="A725" s="9" t="str">
        <x:v>PD-AR-HC-A-C-TECH-4-B1-BRK-G0-PD15</x:v>
      </x:c>
      <x:c r="B725" s="9" t="str">
        <x:v>PD-AR-HC-A-C-TECH-4-B1-BRK-G0</x:v>
      </x:c>
      <x:c r="C725" s="9" t="str">
        <x:v>EV-AR-HC-A-C-TECH-4-B1-BRK-G0</x:v>
      </x:c>
      <x:c r="D725" s="9" t="str">
        <x:v>AR-HC-A-C-TECH-4-B1-BRK-G0</x:v>
      </x:c>
      <x:c r="E725" s="9" t="str">
        <x:v>HC-A-C-TECH-4</x:v>
      </x:c>
      <x:c r="F725" s="9" t="str">
        <x:v>HC-A-C</x:v>
      </x:c>
      <x:c r="G725" s="9" t="str">
        <x:v>B1</x:v>
      </x:c>
      <x:c r="H725" s="9" t="str">
        <x:v>BRK</x:v>
      </x:c>
      <x:c r="I725" s="9" t="str">
        <x:v>PD15</x:v>
      </x:c>
      <x:c r="J725" s="17" t="str">
        <x:v>Reconstruction ancestry and replay</x:v>
      </x:c>
      <x:c r="K725" s="17" t="str">
        <x:v>Reconstruction court</x:v>
      </x:c>
      <x:c r="L725" s="17" t="str">
        <x:v>COURT-SEALED UNTIL COHORT RELEASE</x:v>
      </x:c>
      <x:c r="M725" s="9" t="n">
        <x:v>0</x:v>
      </x:c>
      <x:c r="N725" s="9" t="n">
        <x:v>0</x:v>
      </x:c>
      <x:c r="O725" s="9" t="n">
        <x:v>0</x:v>
      </x:c>
      <x:c r="P725" s="9" t="str">
        <x:v>HELD / UNRELEASED</x:v>
      </x:c>
      <x:c r="Q725" s="9" t="n">
        <x:f>COUNTIFS($A$7:$A$2310,A725)</x:f>
        <x:v>1</x:v>
      </x:c>
    </x:row>
    <x:row r="726">
      <x:c r="A726" s="9" t="str">
        <x:v>PD-AR-HC-A-C-TECH-4-B1-BRK-G0-PD16</x:v>
      </x:c>
      <x:c r="B726" s="9" t="str">
        <x:v>PD-AR-HC-A-C-TECH-4-B1-BRK-G0</x:v>
      </x:c>
      <x:c r="C726" s="9" t="str">
        <x:v>EV-AR-HC-A-C-TECH-4-B1-BRK-G0</x:v>
      </x:c>
      <x:c r="D726" s="9" t="str">
        <x:v>AR-HC-A-C-TECH-4-B1-BRK-G0</x:v>
      </x:c>
      <x:c r="E726" s="9" t="str">
        <x:v>HC-A-C-TECH-4</x:v>
      </x:c>
      <x:c r="F726" s="9" t="str">
        <x:v>HC-A-C</x:v>
      </x:c>
      <x:c r="G726" s="9" t="str">
        <x:v>B1</x:v>
      </x:c>
      <x:c r="H726" s="9" t="str">
        <x:v>BRK</x:v>
      </x:c>
      <x:c r="I726" s="9" t="str">
        <x:v>PD16</x:v>
      </x:c>
      <x:c r="J726" s="17" t="str">
        <x:v>Dissent, amendments and access log</x:v>
      </x:c>
      <x:c r="K726" s="17" t="str">
        <x:v>Public archive</x:v>
      </x:c>
      <x:c r="L726" s="17" t="str">
        <x:v>COURT-SEALED UNTIL COHORT RELEASE</x:v>
      </x:c>
      <x:c r="M726" s="9" t="n">
        <x:v>0</x:v>
      </x:c>
      <x:c r="N726" s="9" t="n">
        <x:v>0</x:v>
      </x:c>
      <x:c r="O726" s="9" t="n">
        <x:v>0</x:v>
      </x:c>
      <x:c r="P726" s="9" t="str">
        <x:v>HELD / UNRELEASED</x:v>
      </x:c>
      <x:c r="Q726" s="9" t="n">
        <x:f>COUNTIFS($A$7:$A$2310,A726)</x:f>
        <x:v>1</x:v>
      </x:c>
    </x:row>
    <x:row r="727">
      <x:c r="A727" s="9" t="str">
        <x:v>PD-AR-HC-A-C-TECH-2-B1-RCN-G0-PD01</x:v>
      </x:c>
      <x:c r="B727" s="9" t="str">
        <x:v>PD-AR-HC-A-C-TECH-2-B1-RCN-G0</x:v>
      </x:c>
      <x:c r="C727" s="9" t="str">
        <x:v>EV-AR-HC-A-C-TECH-2-B1-RCN-G0</x:v>
      </x:c>
      <x:c r="D727" s="9" t="str">
        <x:v>AR-HC-A-C-TECH-2-B1-RCN-G0</x:v>
      </x:c>
      <x:c r="E727" s="9" t="str">
        <x:v>HC-A-C-TECH-2</x:v>
      </x:c>
      <x:c r="F727" s="9" t="str">
        <x:v>HC-A-C</x:v>
      </x:c>
      <x:c r="G727" s="9" t="str">
        <x:v>B1</x:v>
      </x:c>
      <x:c r="H727" s="9" t="str">
        <x:v>RCN</x:v>
      </x:c>
      <x:c r="I727" s="9" t="str">
        <x:v>PD01</x:v>
      </x:c>
      <x:c r="J727" s="17" t="str">
        <x:v>Experiment kernel</x:v>
      </x:c>
      <x:c r="K727" s="17" t="str">
        <x:v>Public archive</x:v>
      </x:c>
      <x:c r="L727" s="17" t="str">
        <x:v>COURT-SEALED UNTIL COHORT RELEASE</x:v>
      </x:c>
      <x:c r="M727" s="9" t="n">
        <x:v>0</x:v>
      </x:c>
      <x:c r="N727" s="9" t="n">
        <x:v>0</x:v>
      </x:c>
      <x:c r="O727" s="9" t="n">
        <x:v>0</x:v>
      </x:c>
      <x:c r="P727" s="9" t="str">
        <x:v>HELD / UNRELEASED</x:v>
      </x:c>
      <x:c r="Q727" s="9" t="n">
        <x:f>COUNTIFS($A$7:$A$2310,A727)</x:f>
        <x:v>1</x:v>
      </x:c>
    </x:row>
    <x:row r="728">
      <x:c r="A728" s="9" t="str">
        <x:v>PD-AR-HC-A-C-TECH-2-B1-RCN-G0-PD02</x:v>
      </x:c>
      <x:c r="B728" s="9" t="str">
        <x:v>PD-AR-HC-A-C-TECH-2-B1-RCN-G0</x:v>
      </x:c>
      <x:c r="C728" s="9" t="str">
        <x:v>EV-AR-HC-A-C-TECH-2-B1-RCN-G0</x:v>
      </x:c>
      <x:c r="D728" s="9" t="str">
        <x:v>AR-HC-A-C-TECH-2-B1-RCN-G0</x:v>
      </x:c>
      <x:c r="E728" s="9" t="str">
        <x:v>HC-A-C-TECH-2</x:v>
      </x:c>
      <x:c r="F728" s="9" t="str">
        <x:v>HC-A-C</x:v>
      </x:c>
      <x:c r="G728" s="9" t="str">
        <x:v>B1</x:v>
      </x:c>
      <x:c r="H728" s="9" t="str">
        <x:v>RCN</x:v>
      </x:c>
      <x:c r="I728" s="9" t="str">
        <x:v>PD02</x:v>
      </x:c>
      <x:c r="J728" s="17" t="str">
        <x:v>Serial annex and title chain</x:v>
      </x:c>
      <x:c r="K728" s="17" t="str">
        <x:v>Public archive</x:v>
      </x:c>
      <x:c r="L728" s="17" t="str">
        <x:v>COURT-SEALED UNTIL COHORT RELEASE</x:v>
      </x:c>
      <x:c r="M728" s="9" t="n">
        <x:v>0</x:v>
      </x:c>
      <x:c r="N728" s="9" t="n">
        <x:v>0</x:v>
      </x:c>
      <x:c r="O728" s="9" t="n">
        <x:v>0</x:v>
      </x:c>
      <x:c r="P728" s="9" t="str">
        <x:v>HELD / UNRELEASED</x:v>
      </x:c>
      <x:c r="Q728" s="9" t="n">
        <x:f>COUNTIFS($A$7:$A$2310,A728)</x:f>
        <x:v>1</x:v>
      </x:c>
    </x:row>
    <x:row r="729">
      <x:c r="A729" s="9" t="str">
        <x:v>PD-AR-HC-A-C-TECH-2-B1-RCN-G0-PD03</x:v>
      </x:c>
      <x:c r="B729" s="9" t="str">
        <x:v>PD-AR-HC-A-C-TECH-2-B1-RCN-G0</x:v>
      </x:c>
      <x:c r="C729" s="9" t="str">
        <x:v>EV-AR-HC-A-C-TECH-2-B1-RCN-G0</x:v>
      </x:c>
      <x:c r="D729" s="9" t="str">
        <x:v>AR-HC-A-C-TECH-2-B1-RCN-G0</x:v>
      </x:c>
      <x:c r="E729" s="9" t="str">
        <x:v>HC-A-C-TECH-2</x:v>
      </x:c>
      <x:c r="F729" s="9" t="str">
        <x:v>HC-A-C</x:v>
      </x:c>
      <x:c r="G729" s="9" t="str">
        <x:v>B1</x:v>
      </x:c>
      <x:c r="H729" s="9" t="str">
        <x:v>RCN</x:v>
      </x:c>
      <x:c r="I729" s="9" t="str">
        <x:v>PD03</x:v>
      </x:c>
      <x:c r="J729" s="17" t="str">
        <x:v>Configuration and as-built manifest</x:v>
      </x:c>
      <x:c r="K729" s="17" t="str">
        <x:v>Artifact exchange</x:v>
      </x:c>
      <x:c r="L729" s="17" t="str">
        <x:v>COURT-SEALED UNTIL COHORT RELEASE</x:v>
      </x:c>
      <x:c r="M729" s="9" t="n">
        <x:v>0</x:v>
      </x:c>
      <x:c r="N729" s="9" t="n">
        <x:v>0</x:v>
      </x:c>
      <x:c r="O729" s="9" t="n">
        <x:v>0</x:v>
      </x:c>
      <x:c r="P729" s="9" t="str">
        <x:v>HELD / UNRELEASED</x:v>
      </x:c>
      <x:c r="Q729" s="9" t="n">
        <x:f>COUNTIFS($A$7:$A$2310,A729)</x:f>
        <x:v>1</x:v>
      </x:c>
    </x:row>
    <x:row r="730">
      <x:c r="A730" s="9" t="str">
        <x:v>PD-AR-HC-A-C-TECH-2-B1-RCN-G0-PD04</x:v>
      </x:c>
      <x:c r="B730" s="9" t="str">
        <x:v>PD-AR-HC-A-C-TECH-2-B1-RCN-G0</x:v>
      </x:c>
      <x:c r="C730" s="9" t="str">
        <x:v>EV-AR-HC-A-C-TECH-2-B1-RCN-G0</x:v>
      </x:c>
      <x:c r="D730" s="9" t="str">
        <x:v>AR-HC-A-C-TECH-2-B1-RCN-G0</x:v>
      </x:c>
      <x:c r="E730" s="9" t="str">
        <x:v>HC-A-C-TECH-2</x:v>
      </x:c>
      <x:c r="F730" s="9" t="str">
        <x:v>HC-A-C</x:v>
      </x:c>
      <x:c r="G730" s="9" t="str">
        <x:v>B1</x:v>
      </x:c>
      <x:c r="H730" s="9" t="str">
        <x:v>RCN</x:v>
      </x:c>
      <x:c r="I730" s="9" t="str">
        <x:v>PD04</x:v>
      </x:c>
      <x:c r="J730" s="17" t="str">
        <x:v>EOW and start certificate</x:v>
      </x:c>
      <x:c r="K730" s="17" t="str">
        <x:v>Start registrar</x:v>
      </x:c>
      <x:c r="L730" s="17" t="str">
        <x:v>COURT-SEALED UNTIL COHORT RELEASE</x:v>
      </x:c>
      <x:c r="M730" s="9" t="n">
        <x:v>0</x:v>
      </x:c>
      <x:c r="N730" s="9" t="n">
        <x:v>0</x:v>
      </x:c>
      <x:c r="O730" s="9" t="n">
        <x:v>0</x:v>
      </x:c>
      <x:c r="P730" s="9" t="str">
        <x:v>HELD / UNRELEASED</x:v>
      </x:c>
      <x:c r="Q730" s="9" t="n">
        <x:f>COUNTIFS($A$7:$A$2310,A730)</x:f>
        <x:v>1</x:v>
      </x:c>
    </x:row>
    <x:row r="731">
      <x:c r="A731" s="9" t="str">
        <x:v>PD-AR-HC-A-C-TECH-2-B1-RCN-G0-PD05</x:v>
      </x:c>
      <x:c r="B731" s="9" t="str">
        <x:v>PD-AR-HC-A-C-TECH-2-B1-RCN-G0</x:v>
      </x:c>
      <x:c r="C731" s="9" t="str">
        <x:v>EV-AR-HC-A-C-TECH-2-B1-RCN-G0</x:v>
      </x:c>
      <x:c r="D731" s="9" t="str">
        <x:v>AR-HC-A-C-TECH-2-B1-RCN-G0</x:v>
      </x:c>
      <x:c r="E731" s="9" t="str">
        <x:v>HC-A-C-TECH-2</x:v>
      </x:c>
      <x:c r="F731" s="9" t="str">
        <x:v>HC-A-C</x:v>
      </x:c>
      <x:c r="G731" s="9" t="str">
        <x:v>B1</x:v>
      </x:c>
      <x:c r="H731" s="9" t="str">
        <x:v>RCN</x:v>
      </x:c>
      <x:c r="I731" s="9" t="str">
        <x:v>PD05</x:v>
      </x:c>
      <x:c r="J731" s="17" t="str">
        <x:v>Primary raw originals</x:v>
      </x:c>
      <x:c r="K731" s="17" t="str">
        <x:v>Primary custody</x:v>
      </x:c>
      <x:c r="L731" s="17" t="str">
        <x:v>COURT-SEALED UNTIL COHORT RELEASE</x:v>
      </x:c>
      <x:c r="M731" s="9" t="n">
        <x:v>0</x:v>
      </x:c>
      <x:c r="N731" s="9" t="n">
        <x:v>0</x:v>
      </x:c>
      <x:c r="O731" s="9" t="n">
        <x:v>0</x:v>
      </x:c>
      <x:c r="P731" s="9" t="str">
        <x:v>HELD / UNRELEASED</x:v>
      </x:c>
      <x:c r="Q731" s="9" t="n">
        <x:f>COUNTIFS($A$7:$A$2310,A731)</x:f>
        <x:v>1</x:v>
      </x:c>
    </x:row>
    <x:row r="732">
      <x:c r="A732" s="9" t="str">
        <x:v>PD-AR-HC-A-C-TECH-2-B1-RCN-G0-PD06</x:v>
      </x:c>
      <x:c r="B732" s="9" t="str">
        <x:v>PD-AR-HC-A-C-TECH-2-B1-RCN-G0</x:v>
      </x:c>
      <x:c r="C732" s="9" t="str">
        <x:v>EV-AR-HC-A-C-TECH-2-B1-RCN-G0</x:v>
      </x:c>
      <x:c r="D732" s="9" t="str">
        <x:v>AR-HC-A-C-TECH-2-B1-RCN-G0</x:v>
      </x:c>
      <x:c r="E732" s="9" t="str">
        <x:v>HC-A-C-TECH-2</x:v>
      </x:c>
      <x:c r="F732" s="9" t="str">
        <x:v>HC-A-C</x:v>
      </x:c>
      <x:c r="G732" s="9" t="str">
        <x:v>B1</x:v>
      </x:c>
      <x:c r="H732" s="9" t="str">
        <x:v>RCN</x:v>
      </x:c>
      <x:c r="I732" s="9" t="str">
        <x:v>PD06</x:v>
      </x:c>
      <x:c r="J732" s="17" t="str">
        <x:v>Witness raw originals</x:v>
      </x:c>
      <x:c r="K732" s="17" t="str">
        <x:v>Witness custody</x:v>
      </x:c>
      <x:c r="L732" s="17" t="str">
        <x:v>COURT-SEALED UNTIL COHORT RELEASE</x:v>
      </x:c>
      <x:c r="M732" s="9" t="n">
        <x:v>0</x:v>
      </x:c>
      <x:c r="N732" s="9" t="n">
        <x:v>0</x:v>
      </x:c>
      <x:c r="O732" s="9" t="n">
        <x:v>0</x:v>
      </x:c>
      <x:c r="P732" s="9" t="str">
        <x:v>HELD / UNRELEASED</x:v>
      </x:c>
      <x:c r="Q732" s="9" t="n">
        <x:f>COUNTIFS($A$7:$A$2310,A732)</x:f>
        <x:v>1</x:v>
      </x:c>
    </x:row>
    <x:row r="733">
      <x:c r="A733" s="9" t="str">
        <x:v>PD-AR-HC-A-C-TECH-2-B1-RCN-G0-PD07</x:v>
      </x:c>
      <x:c r="B733" s="9" t="str">
        <x:v>PD-AR-HC-A-C-TECH-2-B1-RCN-G0</x:v>
      </x:c>
      <x:c r="C733" s="9" t="str">
        <x:v>EV-AR-HC-A-C-TECH-2-B1-RCN-G0</x:v>
      </x:c>
      <x:c r="D733" s="9" t="str">
        <x:v>AR-HC-A-C-TECH-2-B1-RCN-G0</x:v>
      </x:c>
      <x:c r="E733" s="9" t="str">
        <x:v>HC-A-C-TECH-2</x:v>
      </x:c>
      <x:c r="F733" s="9" t="str">
        <x:v>HC-A-C</x:v>
      </x:c>
      <x:c r="G733" s="9" t="str">
        <x:v>B1</x:v>
      </x:c>
      <x:c r="H733" s="9" t="str">
        <x:v>RCN</x:v>
      </x:c>
      <x:c r="I733" s="9" t="str">
        <x:v>PD07</x:v>
      </x:c>
      <x:c r="J733" s="17" t="str">
        <x:v>Clock and environmental records</x:v>
      </x:c>
      <x:c r="K733" s="17" t="str">
        <x:v>Boundary archive</x:v>
      </x:c>
      <x:c r="L733" s="17" t="str">
        <x:v>COURT-SEALED UNTIL COHORT RELEASE</x:v>
      </x:c>
      <x:c r="M733" s="9" t="n">
        <x:v>0</x:v>
      </x:c>
      <x:c r="N733" s="9" t="n">
        <x:v>0</x:v>
      </x:c>
      <x:c r="O733" s="9" t="n">
        <x:v>0</x:v>
      </x:c>
      <x:c r="P733" s="9" t="str">
        <x:v>HELD / UNRELEASED</x:v>
      </x:c>
      <x:c r="Q733" s="9" t="n">
        <x:f>COUNTIFS($A$7:$A$2310,A733)</x:f>
        <x:v>1</x:v>
      </x:c>
    </x:row>
    <x:row r="734">
      <x:c r="A734" s="9" t="str">
        <x:v>PD-AR-HC-A-C-TECH-2-B1-RCN-G0-PD08</x:v>
      </x:c>
      <x:c r="B734" s="9" t="str">
        <x:v>PD-AR-HC-A-C-TECH-2-B1-RCN-G0</x:v>
      </x:c>
      <x:c r="C734" s="9" t="str">
        <x:v>EV-AR-HC-A-C-TECH-2-B1-RCN-G0</x:v>
      </x:c>
      <x:c r="D734" s="9" t="str">
        <x:v>AR-HC-A-C-TECH-2-B1-RCN-G0</x:v>
      </x:c>
      <x:c r="E734" s="9" t="str">
        <x:v>HC-A-C-TECH-2</x:v>
      </x:c>
      <x:c r="F734" s="9" t="str">
        <x:v>HC-A-C</x:v>
      </x:c>
      <x:c r="G734" s="9" t="str">
        <x:v>B1</x:v>
      </x:c>
      <x:c r="H734" s="9" t="str">
        <x:v>RCN</x:v>
      </x:c>
      <x:c r="I734" s="9" t="str">
        <x:v>PD08</x:v>
      </x:c>
      <x:c r="J734" s="17" t="str">
        <x:v>Command and intervention log</x:v>
      </x:c>
      <x:c r="K734" s="17" t="str">
        <x:v>Safety archive</x:v>
      </x:c>
      <x:c r="L734" s="17" t="str">
        <x:v>COURT-SEALED UNTIL COHORT RELEASE</x:v>
      </x:c>
      <x:c r="M734" s="9" t="n">
        <x:v>0</x:v>
      </x:c>
      <x:c r="N734" s="9" t="n">
        <x:v>0</x:v>
      </x:c>
      <x:c r="O734" s="9" t="n">
        <x:v>0</x:v>
      </x:c>
      <x:c r="P734" s="9" t="str">
        <x:v>HELD / UNRELEASED</x:v>
      </x:c>
      <x:c r="Q734" s="9" t="n">
        <x:f>COUNTIFS($A$7:$A$2310,A734)</x:f>
        <x:v>1</x:v>
      </x:c>
    </x:row>
    <x:row r="735">
      <x:c r="A735" s="9" t="str">
        <x:v>PD-AR-HC-A-C-TECH-2-B1-RCN-G0-PD09</x:v>
      </x:c>
      <x:c r="B735" s="9" t="str">
        <x:v>PD-AR-HC-A-C-TECH-2-B1-RCN-G0</x:v>
      </x:c>
      <x:c r="C735" s="9" t="str">
        <x:v>EV-AR-HC-A-C-TECH-2-B1-RCN-G0</x:v>
      </x:c>
      <x:c r="D735" s="9" t="str">
        <x:v>AR-HC-A-C-TECH-2-B1-RCN-G0</x:v>
      </x:c>
      <x:c r="E735" s="9" t="str">
        <x:v>HC-A-C-TECH-2</x:v>
      </x:c>
      <x:c r="F735" s="9" t="str">
        <x:v>HC-A-C</x:v>
      </x:c>
      <x:c r="G735" s="9" t="str">
        <x:v>B1</x:v>
      </x:c>
      <x:c r="H735" s="9" t="str">
        <x:v>RCN</x:v>
      </x:c>
      <x:c r="I735" s="9" t="str">
        <x:v>PD09</x:v>
      </x:c>
      <x:c r="J735" s="17" t="str">
        <x:v>Receiver denominator and service ledger</x:v>
      </x:c>
      <x:c r="K735" s="17" t="str">
        <x:v>Receiver archive</x:v>
      </x:c>
      <x:c r="L735" s="17" t="str">
        <x:v>COURT-SEALED UNTIL COHORT RELEASE</x:v>
      </x:c>
      <x:c r="M735" s="9" t="n">
        <x:v>0</x:v>
      </x:c>
      <x:c r="N735" s="9" t="n">
        <x:v>0</x:v>
      </x:c>
      <x:c r="O735" s="9" t="n">
        <x:v>0</x:v>
      </x:c>
      <x:c r="P735" s="9" t="str">
        <x:v>HELD / UNRELEASED</x:v>
      </x:c>
      <x:c r="Q735" s="9" t="n">
        <x:f>COUNTIFS($A$7:$A$2310,A735)</x:f>
        <x:v>1</x:v>
      </x:c>
    </x:row>
    <x:row r="736">
      <x:c r="A736" s="9" t="str">
        <x:v>PD-AR-HC-A-C-TECH-2-B1-RCN-G0-PD10</x:v>
      </x:c>
      <x:c r="B736" s="9" t="str">
        <x:v>PD-AR-HC-A-C-TECH-2-B1-RCN-G0</x:v>
      </x:c>
      <x:c r="C736" s="9" t="str">
        <x:v>EV-AR-HC-A-C-TECH-2-B1-RCN-G0</x:v>
      </x:c>
      <x:c r="D736" s="9" t="str">
        <x:v>AR-HC-A-C-TECH-2-B1-RCN-G0</x:v>
      </x:c>
      <x:c r="E736" s="9" t="str">
        <x:v>HC-A-C-TECH-2</x:v>
      </x:c>
      <x:c r="F736" s="9" t="str">
        <x:v>HC-A-C</x:v>
      </x:c>
      <x:c r="G736" s="9" t="str">
        <x:v>B1</x:v>
      </x:c>
      <x:c r="H736" s="9" t="str">
        <x:v>RCN</x:v>
      </x:c>
      <x:c r="I736" s="9" t="str">
        <x:v>PD10</x:v>
      </x:c>
      <x:c r="J736" s="17" t="str">
        <x:v>Calibration and uncertainty record</x:v>
      </x:c>
      <x:c r="K736" s="17" t="str">
        <x:v>Metrology archive</x:v>
      </x:c>
      <x:c r="L736" s="17" t="str">
        <x:v>COURT-SEALED UNTIL COHORT RELEASE</x:v>
      </x:c>
      <x:c r="M736" s="9" t="n">
        <x:v>0</x:v>
      </x:c>
      <x:c r="N736" s="9" t="n">
        <x:v>0</x:v>
      </x:c>
      <x:c r="O736" s="9" t="n">
        <x:v>0</x:v>
      </x:c>
      <x:c r="P736" s="9" t="str">
        <x:v>HELD / UNRELEASED</x:v>
      </x:c>
      <x:c r="Q736" s="9" t="n">
        <x:f>COUNTIFS($A$7:$A$2310,A736)</x:f>
        <x:v>1</x:v>
      </x:c>
    </x:row>
    <x:row r="737">
      <x:c r="A737" s="9" t="str">
        <x:v>PD-AR-HC-A-C-TECH-2-B1-RCN-G0-PD11</x:v>
      </x:c>
      <x:c r="B737" s="9" t="str">
        <x:v>PD-AR-HC-A-C-TECH-2-B1-RCN-G0</x:v>
      </x:c>
      <x:c r="C737" s="9" t="str">
        <x:v>EV-AR-HC-A-C-TECH-2-B1-RCN-G0</x:v>
      </x:c>
      <x:c r="D737" s="9" t="str">
        <x:v>AR-HC-A-C-TECH-2-B1-RCN-G0</x:v>
      </x:c>
      <x:c r="E737" s="9" t="str">
        <x:v>HC-A-C-TECH-2</x:v>
      </x:c>
      <x:c r="F737" s="9" t="str">
        <x:v>HC-A-C</x:v>
      </x:c>
      <x:c r="G737" s="9" t="str">
        <x:v>B1</x:v>
      </x:c>
      <x:c r="H737" s="9" t="str">
        <x:v>RCN</x:v>
      </x:c>
      <x:c r="I737" s="9" t="str">
        <x:v>PD11</x:v>
      </x:c>
      <x:c r="J737" s="17" t="str">
        <x:v>Invalidity petition and opinion</x:v>
      </x:c>
      <x:c r="K737" s="17" t="str">
        <x:v>Invalidity court</x:v>
      </x:c>
      <x:c r="L737" s="17" t="str">
        <x:v>COURT-SEALED UNTIL COHORT RELEASE</x:v>
      </x:c>
      <x:c r="M737" s="9" t="n">
        <x:v>0</x:v>
      </x:c>
      <x:c r="N737" s="9" t="n">
        <x:v>0</x:v>
      </x:c>
      <x:c r="O737" s="9" t="n">
        <x:v>0</x:v>
      </x:c>
      <x:c r="P737" s="9" t="str">
        <x:v>HELD / UNRELEASED</x:v>
      </x:c>
      <x:c r="Q737" s="9" t="n">
        <x:f>COUNTIFS($A$7:$A$2310,A737)</x:f>
        <x:v>1</x:v>
      </x:c>
    </x:row>
    <x:row r="738">
      <x:c r="A738" s="9" t="str">
        <x:v>PD-AR-HC-A-C-TECH-2-B1-RCN-G0-PD12</x:v>
      </x:c>
      <x:c r="B738" s="9" t="str">
        <x:v>PD-AR-HC-A-C-TECH-2-B1-RCN-G0</x:v>
      </x:c>
      <x:c r="C738" s="9" t="str">
        <x:v>EV-AR-HC-A-C-TECH-2-B1-RCN-G0</x:v>
      </x:c>
      <x:c r="D738" s="9" t="str">
        <x:v>AR-HC-A-C-TECH-2-B1-RCN-G0</x:v>
      </x:c>
      <x:c r="E738" s="9" t="str">
        <x:v>HC-A-C-TECH-2</x:v>
      </x:c>
      <x:c r="F738" s="9" t="str">
        <x:v>HC-A-C</x:v>
      </x:c>
      <x:c r="G738" s="9" t="str">
        <x:v>B1</x:v>
      </x:c>
      <x:c r="H738" s="9" t="str">
        <x:v>RCN</x:v>
      </x:c>
      <x:c r="I738" s="9" t="str">
        <x:v>PD12</x:v>
      </x:c>
      <x:c r="J738" s="17" t="str">
        <x:v>Observation acceptance and replay</x:v>
      </x:c>
      <x:c r="K738" s="17" t="str">
        <x:v>Observation court</x:v>
      </x:c>
      <x:c r="L738" s="17" t="str">
        <x:v>COURT-SEALED UNTIL COHORT RELEASE</x:v>
      </x:c>
      <x:c r="M738" s="9" t="n">
        <x:v>0</x:v>
      </x:c>
      <x:c r="N738" s="9" t="n">
        <x:v>0</x:v>
      </x:c>
      <x:c r="O738" s="9" t="n">
        <x:v>0</x:v>
      </x:c>
      <x:c r="P738" s="9" t="str">
        <x:v>HELD / UNRELEASED</x:v>
      </x:c>
      <x:c r="Q738" s="9" t="n">
        <x:f>COUNTIFS($A$7:$A$2310,A738)</x:f>
        <x:v>1</x:v>
      </x:c>
    </x:row>
    <x:row r="739">
      <x:c r="A739" s="9" t="str">
        <x:v>PD-AR-HC-A-C-TECH-2-B1-RCN-G0-PD13</x:v>
      </x:c>
      <x:c r="B739" s="9" t="str">
        <x:v>PD-AR-HC-A-C-TECH-2-B1-RCN-G0</x:v>
      </x:c>
      <x:c r="C739" s="9" t="str">
        <x:v>EV-AR-HC-A-C-TECH-2-B1-RCN-G0</x:v>
      </x:c>
      <x:c r="D739" s="9" t="str">
        <x:v>AR-HC-A-C-TECH-2-B1-RCN-G0</x:v>
      </x:c>
      <x:c r="E739" s="9" t="str">
        <x:v>HC-A-C-TECH-2</x:v>
      </x:c>
      <x:c r="F739" s="9" t="str">
        <x:v>HC-A-C</x:v>
      </x:c>
      <x:c r="G739" s="9" t="str">
        <x:v>B1</x:v>
      </x:c>
      <x:c r="H739" s="9" t="str">
        <x:v>RCN</x:v>
      </x:c>
      <x:c r="I739" s="9" t="str">
        <x:v>PD13</x:v>
      </x:c>
      <x:c r="J739" s="17" t="str">
        <x:v>Role judgment</x:v>
      </x:c>
      <x:c r="K739" s="17" t="str">
        <x:v>Role court</x:v>
      </x:c>
      <x:c r="L739" s="17" t="str">
        <x:v>COURT-SEALED UNTIL COHORT RELEASE</x:v>
      </x:c>
      <x:c r="M739" s="9" t="n">
        <x:v>0</x:v>
      </x:c>
      <x:c r="N739" s="9" t="n">
        <x:v>0</x:v>
      </x:c>
      <x:c r="O739" s="9" t="n">
        <x:v>0</x:v>
      </x:c>
      <x:c r="P739" s="9" t="str">
        <x:v>HELD / UNRELEASED</x:v>
      </x:c>
      <x:c r="Q739" s="9" t="n">
        <x:f>COUNTIFS($A$7:$A$2310,A739)</x:f>
        <x:v>1</x:v>
      </x:c>
    </x:row>
    <x:row r="740">
      <x:c r="A740" s="9" t="str">
        <x:v>PD-AR-HC-A-C-TECH-2-B1-RCN-G0-PD14</x:v>
      </x:c>
      <x:c r="B740" s="9" t="str">
        <x:v>PD-AR-HC-A-C-TECH-2-B1-RCN-G0</x:v>
      </x:c>
      <x:c r="C740" s="9" t="str">
        <x:v>EV-AR-HC-A-C-TECH-2-B1-RCN-G0</x:v>
      </x:c>
      <x:c r="D740" s="9" t="str">
        <x:v>AR-HC-A-C-TECH-2-B1-RCN-G0</x:v>
      </x:c>
      <x:c r="E740" s="9" t="str">
        <x:v>HC-A-C-TECH-2</x:v>
      </x:c>
      <x:c r="F740" s="9" t="str">
        <x:v>HC-A-C</x:v>
      </x:c>
      <x:c r="G740" s="9" t="str">
        <x:v>B1</x:v>
      </x:c>
      <x:c r="H740" s="9" t="str">
        <x:v>RCN</x:v>
      </x:c>
      <x:c r="I740" s="9" t="str">
        <x:v>PD14</x:v>
      </x:c>
      <x:c r="J740" s="17" t="str">
        <x:v>Break and residual account</x:v>
      </x:c>
      <x:c r="K740" s="17" t="str">
        <x:v>Residual authority</x:v>
      </x:c>
      <x:c r="L740" s="17" t="str">
        <x:v>COURT-SEALED UNTIL COHORT RELEASE</x:v>
      </x:c>
      <x:c r="M740" s="9" t="n">
        <x:v>0</x:v>
      </x:c>
      <x:c r="N740" s="9" t="n">
        <x:v>0</x:v>
      </x:c>
      <x:c r="O740" s="9" t="n">
        <x:v>0</x:v>
      </x:c>
      <x:c r="P740" s="9" t="str">
        <x:v>HELD / UNRELEASED</x:v>
      </x:c>
      <x:c r="Q740" s="9" t="n">
        <x:f>COUNTIFS($A$7:$A$2310,A740)</x:f>
        <x:v>1</x:v>
      </x:c>
    </x:row>
    <x:row r="741">
      <x:c r="A741" s="9" t="str">
        <x:v>PD-AR-HC-A-C-TECH-2-B1-RCN-G0-PD15</x:v>
      </x:c>
      <x:c r="B741" s="9" t="str">
        <x:v>PD-AR-HC-A-C-TECH-2-B1-RCN-G0</x:v>
      </x:c>
      <x:c r="C741" s="9" t="str">
        <x:v>EV-AR-HC-A-C-TECH-2-B1-RCN-G0</x:v>
      </x:c>
      <x:c r="D741" s="9" t="str">
        <x:v>AR-HC-A-C-TECH-2-B1-RCN-G0</x:v>
      </x:c>
      <x:c r="E741" s="9" t="str">
        <x:v>HC-A-C-TECH-2</x:v>
      </x:c>
      <x:c r="F741" s="9" t="str">
        <x:v>HC-A-C</x:v>
      </x:c>
      <x:c r="G741" s="9" t="str">
        <x:v>B1</x:v>
      </x:c>
      <x:c r="H741" s="9" t="str">
        <x:v>RCN</x:v>
      </x:c>
      <x:c r="I741" s="9" t="str">
        <x:v>PD15</x:v>
      </x:c>
      <x:c r="J741" s="17" t="str">
        <x:v>Reconstruction ancestry and replay</x:v>
      </x:c>
      <x:c r="K741" s="17" t="str">
        <x:v>Reconstruction court</x:v>
      </x:c>
      <x:c r="L741" s="17" t="str">
        <x:v>COURT-SEALED UNTIL COHORT RELEASE</x:v>
      </x:c>
      <x:c r="M741" s="9" t="n">
        <x:v>0</x:v>
      </x:c>
      <x:c r="N741" s="9" t="n">
        <x:v>0</x:v>
      </x:c>
      <x:c r="O741" s="9" t="n">
        <x:v>0</x:v>
      </x:c>
      <x:c r="P741" s="9" t="str">
        <x:v>HELD / UNRELEASED</x:v>
      </x:c>
      <x:c r="Q741" s="9" t="n">
        <x:f>COUNTIFS($A$7:$A$2310,A741)</x:f>
        <x:v>1</x:v>
      </x:c>
    </x:row>
    <x:row r="742">
      <x:c r="A742" s="9" t="str">
        <x:v>PD-AR-HC-A-C-TECH-2-B1-RCN-G0-PD16</x:v>
      </x:c>
      <x:c r="B742" s="9" t="str">
        <x:v>PD-AR-HC-A-C-TECH-2-B1-RCN-G0</x:v>
      </x:c>
      <x:c r="C742" s="9" t="str">
        <x:v>EV-AR-HC-A-C-TECH-2-B1-RCN-G0</x:v>
      </x:c>
      <x:c r="D742" s="9" t="str">
        <x:v>AR-HC-A-C-TECH-2-B1-RCN-G0</x:v>
      </x:c>
      <x:c r="E742" s="9" t="str">
        <x:v>HC-A-C-TECH-2</x:v>
      </x:c>
      <x:c r="F742" s="9" t="str">
        <x:v>HC-A-C</x:v>
      </x:c>
      <x:c r="G742" s="9" t="str">
        <x:v>B1</x:v>
      </x:c>
      <x:c r="H742" s="9" t="str">
        <x:v>RCN</x:v>
      </x:c>
      <x:c r="I742" s="9" t="str">
        <x:v>PD16</x:v>
      </x:c>
      <x:c r="J742" s="17" t="str">
        <x:v>Dissent, amendments and access log</x:v>
      </x:c>
      <x:c r="K742" s="17" t="str">
        <x:v>Public archive</x:v>
      </x:c>
      <x:c r="L742" s="17" t="str">
        <x:v>COURT-SEALED UNTIL COHORT RELEASE</x:v>
      </x:c>
      <x:c r="M742" s="9" t="n">
        <x:v>0</x:v>
      </x:c>
      <x:c r="N742" s="9" t="n">
        <x:v>0</x:v>
      </x:c>
      <x:c r="O742" s="9" t="n">
        <x:v>0</x:v>
      </x:c>
      <x:c r="P742" s="9" t="str">
        <x:v>HELD / UNRELEASED</x:v>
      </x:c>
      <x:c r="Q742" s="9" t="n">
        <x:f>COUNTIFS($A$7:$A$2310,A742)</x:f>
        <x:v>1</x:v>
      </x:c>
    </x:row>
    <x:row r="743">
      <x:c r="A743" s="9" t="str">
        <x:v>PD-AR-HU-A-B-TECH-2-B1-BRK-G0-PD01</x:v>
      </x:c>
      <x:c r="B743" s="9" t="str">
        <x:v>PD-AR-HU-A-B-TECH-2-B1-BRK-G0</x:v>
      </x:c>
      <x:c r="C743" s="9" t="str">
        <x:v>EV-AR-HU-A-B-TECH-2-B1-BRK-G0</x:v>
      </x:c>
      <x:c r="D743" s="9" t="str">
        <x:v>AR-HU-A-B-TECH-2-B1-BRK-G0</x:v>
      </x:c>
      <x:c r="E743" s="9" t="str">
        <x:v>HU-A-B-TECH-2</x:v>
      </x:c>
      <x:c r="F743" s="9" t="str">
        <x:v>HU-A-B</x:v>
      </x:c>
      <x:c r="G743" s="9" t="str">
        <x:v>B1</x:v>
      </x:c>
      <x:c r="H743" s="9" t="str">
        <x:v>BRK</x:v>
      </x:c>
      <x:c r="I743" s="9" t="str">
        <x:v>PD01</x:v>
      </x:c>
      <x:c r="J743" s="17" t="str">
        <x:v>Experiment kernel</x:v>
      </x:c>
      <x:c r="K743" s="17" t="str">
        <x:v>Public archive</x:v>
      </x:c>
      <x:c r="L743" s="17" t="str">
        <x:v>COURT-SEALED UNTIL COHORT RELEASE</x:v>
      </x:c>
      <x:c r="M743" s="9" t="n">
        <x:v>0</x:v>
      </x:c>
      <x:c r="N743" s="9" t="n">
        <x:v>0</x:v>
      </x:c>
      <x:c r="O743" s="9" t="n">
        <x:v>0</x:v>
      </x:c>
      <x:c r="P743" s="9" t="str">
        <x:v>HELD / UNRELEASED</x:v>
      </x:c>
      <x:c r="Q743" s="9" t="n">
        <x:f>COUNTIFS($A$7:$A$2310,A743)</x:f>
        <x:v>1</x:v>
      </x:c>
    </x:row>
    <x:row r="744">
      <x:c r="A744" s="9" t="str">
        <x:v>PD-AR-HU-A-B-TECH-2-B1-BRK-G0-PD02</x:v>
      </x:c>
      <x:c r="B744" s="9" t="str">
        <x:v>PD-AR-HU-A-B-TECH-2-B1-BRK-G0</x:v>
      </x:c>
      <x:c r="C744" s="9" t="str">
        <x:v>EV-AR-HU-A-B-TECH-2-B1-BRK-G0</x:v>
      </x:c>
      <x:c r="D744" s="9" t="str">
        <x:v>AR-HU-A-B-TECH-2-B1-BRK-G0</x:v>
      </x:c>
      <x:c r="E744" s="9" t="str">
        <x:v>HU-A-B-TECH-2</x:v>
      </x:c>
      <x:c r="F744" s="9" t="str">
        <x:v>HU-A-B</x:v>
      </x:c>
      <x:c r="G744" s="9" t="str">
        <x:v>B1</x:v>
      </x:c>
      <x:c r="H744" s="9" t="str">
        <x:v>BRK</x:v>
      </x:c>
      <x:c r="I744" s="9" t="str">
        <x:v>PD02</x:v>
      </x:c>
      <x:c r="J744" s="17" t="str">
        <x:v>Serial annex and title chain</x:v>
      </x:c>
      <x:c r="K744" s="17" t="str">
        <x:v>Public archive</x:v>
      </x:c>
      <x:c r="L744" s="17" t="str">
        <x:v>COURT-SEALED UNTIL COHORT RELEASE</x:v>
      </x:c>
      <x:c r="M744" s="9" t="n">
        <x:v>0</x:v>
      </x:c>
      <x:c r="N744" s="9" t="n">
        <x:v>0</x:v>
      </x:c>
      <x:c r="O744" s="9" t="n">
        <x:v>0</x:v>
      </x:c>
      <x:c r="P744" s="9" t="str">
        <x:v>HELD / UNRELEASED</x:v>
      </x:c>
      <x:c r="Q744" s="9" t="n">
        <x:f>COUNTIFS($A$7:$A$2310,A744)</x:f>
        <x:v>1</x:v>
      </x:c>
    </x:row>
    <x:row r="745">
      <x:c r="A745" s="9" t="str">
        <x:v>PD-AR-HU-A-B-TECH-2-B1-BRK-G0-PD03</x:v>
      </x:c>
      <x:c r="B745" s="9" t="str">
        <x:v>PD-AR-HU-A-B-TECH-2-B1-BRK-G0</x:v>
      </x:c>
      <x:c r="C745" s="9" t="str">
        <x:v>EV-AR-HU-A-B-TECH-2-B1-BRK-G0</x:v>
      </x:c>
      <x:c r="D745" s="9" t="str">
        <x:v>AR-HU-A-B-TECH-2-B1-BRK-G0</x:v>
      </x:c>
      <x:c r="E745" s="9" t="str">
        <x:v>HU-A-B-TECH-2</x:v>
      </x:c>
      <x:c r="F745" s="9" t="str">
        <x:v>HU-A-B</x:v>
      </x:c>
      <x:c r="G745" s="9" t="str">
        <x:v>B1</x:v>
      </x:c>
      <x:c r="H745" s="9" t="str">
        <x:v>BRK</x:v>
      </x:c>
      <x:c r="I745" s="9" t="str">
        <x:v>PD03</x:v>
      </x:c>
      <x:c r="J745" s="17" t="str">
        <x:v>Configuration and as-built manifest</x:v>
      </x:c>
      <x:c r="K745" s="17" t="str">
        <x:v>Artifact exchange</x:v>
      </x:c>
      <x:c r="L745" s="17" t="str">
        <x:v>COURT-SEALED UNTIL COHORT RELEASE</x:v>
      </x:c>
      <x:c r="M745" s="9" t="n">
        <x:v>0</x:v>
      </x:c>
      <x:c r="N745" s="9" t="n">
        <x:v>0</x:v>
      </x:c>
      <x:c r="O745" s="9" t="n">
        <x:v>0</x:v>
      </x:c>
      <x:c r="P745" s="9" t="str">
        <x:v>HELD / UNRELEASED</x:v>
      </x:c>
      <x:c r="Q745" s="9" t="n">
        <x:f>COUNTIFS($A$7:$A$2310,A745)</x:f>
        <x:v>1</x:v>
      </x:c>
    </x:row>
    <x:row r="746">
      <x:c r="A746" s="9" t="str">
        <x:v>PD-AR-HU-A-B-TECH-2-B1-BRK-G0-PD04</x:v>
      </x:c>
      <x:c r="B746" s="9" t="str">
        <x:v>PD-AR-HU-A-B-TECH-2-B1-BRK-G0</x:v>
      </x:c>
      <x:c r="C746" s="9" t="str">
        <x:v>EV-AR-HU-A-B-TECH-2-B1-BRK-G0</x:v>
      </x:c>
      <x:c r="D746" s="9" t="str">
        <x:v>AR-HU-A-B-TECH-2-B1-BRK-G0</x:v>
      </x:c>
      <x:c r="E746" s="9" t="str">
        <x:v>HU-A-B-TECH-2</x:v>
      </x:c>
      <x:c r="F746" s="9" t="str">
        <x:v>HU-A-B</x:v>
      </x:c>
      <x:c r="G746" s="9" t="str">
        <x:v>B1</x:v>
      </x:c>
      <x:c r="H746" s="9" t="str">
        <x:v>BRK</x:v>
      </x:c>
      <x:c r="I746" s="9" t="str">
        <x:v>PD04</x:v>
      </x:c>
      <x:c r="J746" s="17" t="str">
        <x:v>EOW and start certificate</x:v>
      </x:c>
      <x:c r="K746" s="17" t="str">
        <x:v>Start registrar</x:v>
      </x:c>
      <x:c r="L746" s="17" t="str">
        <x:v>COURT-SEALED UNTIL COHORT RELEASE</x:v>
      </x:c>
      <x:c r="M746" s="9" t="n">
        <x:v>0</x:v>
      </x:c>
      <x:c r="N746" s="9" t="n">
        <x:v>0</x:v>
      </x:c>
      <x:c r="O746" s="9" t="n">
        <x:v>0</x:v>
      </x:c>
      <x:c r="P746" s="9" t="str">
        <x:v>HELD / UNRELEASED</x:v>
      </x:c>
      <x:c r="Q746" s="9" t="n">
        <x:f>COUNTIFS($A$7:$A$2310,A746)</x:f>
        <x:v>1</x:v>
      </x:c>
    </x:row>
    <x:row r="747">
      <x:c r="A747" s="9" t="str">
        <x:v>PD-AR-HU-A-B-TECH-2-B1-BRK-G0-PD05</x:v>
      </x:c>
      <x:c r="B747" s="9" t="str">
        <x:v>PD-AR-HU-A-B-TECH-2-B1-BRK-G0</x:v>
      </x:c>
      <x:c r="C747" s="9" t="str">
        <x:v>EV-AR-HU-A-B-TECH-2-B1-BRK-G0</x:v>
      </x:c>
      <x:c r="D747" s="9" t="str">
        <x:v>AR-HU-A-B-TECH-2-B1-BRK-G0</x:v>
      </x:c>
      <x:c r="E747" s="9" t="str">
        <x:v>HU-A-B-TECH-2</x:v>
      </x:c>
      <x:c r="F747" s="9" t="str">
        <x:v>HU-A-B</x:v>
      </x:c>
      <x:c r="G747" s="9" t="str">
        <x:v>B1</x:v>
      </x:c>
      <x:c r="H747" s="9" t="str">
        <x:v>BRK</x:v>
      </x:c>
      <x:c r="I747" s="9" t="str">
        <x:v>PD05</x:v>
      </x:c>
      <x:c r="J747" s="17" t="str">
        <x:v>Primary raw originals</x:v>
      </x:c>
      <x:c r="K747" s="17" t="str">
        <x:v>Primary custody</x:v>
      </x:c>
      <x:c r="L747" s="17" t="str">
        <x:v>COURT-SEALED UNTIL COHORT RELEASE</x:v>
      </x:c>
      <x:c r="M747" s="9" t="n">
        <x:v>0</x:v>
      </x:c>
      <x:c r="N747" s="9" t="n">
        <x:v>0</x:v>
      </x:c>
      <x:c r="O747" s="9" t="n">
        <x:v>0</x:v>
      </x:c>
      <x:c r="P747" s="9" t="str">
        <x:v>HELD / UNRELEASED</x:v>
      </x:c>
      <x:c r="Q747" s="9" t="n">
        <x:f>COUNTIFS($A$7:$A$2310,A747)</x:f>
        <x:v>1</x:v>
      </x:c>
    </x:row>
    <x:row r="748">
      <x:c r="A748" s="9" t="str">
        <x:v>PD-AR-HU-A-B-TECH-2-B1-BRK-G0-PD06</x:v>
      </x:c>
      <x:c r="B748" s="9" t="str">
        <x:v>PD-AR-HU-A-B-TECH-2-B1-BRK-G0</x:v>
      </x:c>
      <x:c r="C748" s="9" t="str">
        <x:v>EV-AR-HU-A-B-TECH-2-B1-BRK-G0</x:v>
      </x:c>
      <x:c r="D748" s="9" t="str">
        <x:v>AR-HU-A-B-TECH-2-B1-BRK-G0</x:v>
      </x:c>
      <x:c r="E748" s="9" t="str">
        <x:v>HU-A-B-TECH-2</x:v>
      </x:c>
      <x:c r="F748" s="9" t="str">
        <x:v>HU-A-B</x:v>
      </x:c>
      <x:c r="G748" s="9" t="str">
        <x:v>B1</x:v>
      </x:c>
      <x:c r="H748" s="9" t="str">
        <x:v>BRK</x:v>
      </x:c>
      <x:c r="I748" s="9" t="str">
        <x:v>PD06</x:v>
      </x:c>
      <x:c r="J748" s="17" t="str">
        <x:v>Witness raw originals</x:v>
      </x:c>
      <x:c r="K748" s="17" t="str">
        <x:v>Witness custody</x:v>
      </x:c>
      <x:c r="L748" s="17" t="str">
        <x:v>COURT-SEALED UNTIL COHORT RELEASE</x:v>
      </x:c>
      <x:c r="M748" s="9" t="n">
        <x:v>0</x:v>
      </x:c>
      <x:c r="N748" s="9" t="n">
        <x:v>0</x:v>
      </x:c>
      <x:c r="O748" s="9" t="n">
        <x:v>0</x:v>
      </x:c>
      <x:c r="P748" s="9" t="str">
        <x:v>HELD / UNRELEASED</x:v>
      </x:c>
      <x:c r="Q748" s="9" t="n">
        <x:f>COUNTIFS($A$7:$A$2310,A748)</x:f>
        <x:v>1</x:v>
      </x:c>
    </x:row>
    <x:row r="749">
      <x:c r="A749" s="9" t="str">
        <x:v>PD-AR-HU-A-B-TECH-2-B1-BRK-G0-PD07</x:v>
      </x:c>
      <x:c r="B749" s="9" t="str">
        <x:v>PD-AR-HU-A-B-TECH-2-B1-BRK-G0</x:v>
      </x:c>
      <x:c r="C749" s="9" t="str">
        <x:v>EV-AR-HU-A-B-TECH-2-B1-BRK-G0</x:v>
      </x:c>
      <x:c r="D749" s="9" t="str">
        <x:v>AR-HU-A-B-TECH-2-B1-BRK-G0</x:v>
      </x:c>
      <x:c r="E749" s="9" t="str">
        <x:v>HU-A-B-TECH-2</x:v>
      </x:c>
      <x:c r="F749" s="9" t="str">
        <x:v>HU-A-B</x:v>
      </x:c>
      <x:c r="G749" s="9" t="str">
        <x:v>B1</x:v>
      </x:c>
      <x:c r="H749" s="9" t="str">
        <x:v>BRK</x:v>
      </x:c>
      <x:c r="I749" s="9" t="str">
        <x:v>PD07</x:v>
      </x:c>
      <x:c r="J749" s="17" t="str">
        <x:v>Clock and environmental records</x:v>
      </x:c>
      <x:c r="K749" s="17" t="str">
        <x:v>Boundary archive</x:v>
      </x:c>
      <x:c r="L749" s="17" t="str">
        <x:v>COURT-SEALED UNTIL COHORT RELEASE</x:v>
      </x:c>
      <x:c r="M749" s="9" t="n">
        <x:v>0</x:v>
      </x:c>
      <x:c r="N749" s="9" t="n">
        <x:v>0</x:v>
      </x:c>
      <x:c r="O749" s="9" t="n">
        <x:v>0</x:v>
      </x:c>
      <x:c r="P749" s="9" t="str">
        <x:v>HELD / UNRELEASED</x:v>
      </x:c>
      <x:c r="Q749" s="9" t="n">
        <x:f>COUNTIFS($A$7:$A$2310,A749)</x:f>
        <x:v>1</x:v>
      </x:c>
    </x:row>
    <x:row r="750">
      <x:c r="A750" s="9" t="str">
        <x:v>PD-AR-HU-A-B-TECH-2-B1-BRK-G0-PD08</x:v>
      </x:c>
      <x:c r="B750" s="9" t="str">
        <x:v>PD-AR-HU-A-B-TECH-2-B1-BRK-G0</x:v>
      </x:c>
      <x:c r="C750" s="9" t="str">
        <x:v>EV-AR-HU-A-B-TECH-2-B1-BRK-G0</x:v>
      </x:c>
      <x:c r="D750" s="9" t="str">
        <x:v>AR-HU-A-B-TECH-2-B1-BRK-G0</x:v>
      </x:c>
      <x:c r="E750" s="9" t="str">
        <x:v>HU-A-B-TECH-2</x:v>
      </x:c>
      <x:c r="F750" s="9" t="str">
        <x:v>HU-A-B</x:v>
      </x:c>
      <x:c r="G750" s="9" t="str">
        <x:v>B1</x:v>
      </x:c>
      <x:c r="H750" s="9" t="str">
        <x:v>BRK</x:v>
      </x:c>
      <x:c r="I750" s="9" t="str">
        <x:v>PD08</x:v>
      </x:c>
      <x:c r="J750" s="17" t="str">
        <x:v>Command and intervention log</x:v>
      </x:c>
      <x:c r="K750" s="17" t="str">
        <x:v>Safety archive</x:v>
      </x:c>
      <x:c r="L750" s="17" t="str">
        <x:v>COURT-SEALED UNTIL COHORT RELEASE</x:v>
      </x:c>
      <x:c r="M750" s="9" t="n">
        <x:v>0</x:v>
      </x:c>
      <x:c r="N750" s="9" t="n">
        <x:v>0</x:v>
      </x:c>
      <x:c r="O750" s="9" t="n">
        <x:v>0</x:v>
      </x:c>
      <x:c r="P750" s="9" t="str">
        <x:v>HELD / UNRELEASED</x:v>
      </x:c>
      <x:c r="Q750" s="9" t="n">
        <x:f>COUNTIFS($A$7:$A$2310,A750)</x:f>
        <x:v>1</x:v>
      </x:c>
    </x:row>
    <x:row r="751">
      <x:c r="A751" s="9" t="str">
        <x:v>PD-AR-HU-A-B-TECH-2-B1-BRK-G0-PD09</x:v>
      </x:c>
      <x:c r="B751" s="9" t="str">
        <x:v>PD-AR-HU-A-B-TECH-2-B1-BRK-G0</x:v>
      </x:c>
      <x:c r="C751" s="9" t="str">
        <x:v>EV-AR-HU-A-B-TECH-2-B1-BRK-G0</x:v>
      </x:c>
      <x:c r="D751" s="9" t="str">
        <x:v>AR-HU-A-B-TECH-2-B1-BRK-G0</x:v>
      </x:c>
      <x:c r="E751" s="9" t="str">
        <x:v>HU-A-B-TECH-2</x:v>
      </x:c>
      <x:c r="F751" s="9" t="str">
        <x:v>HU-A-B</x:v>
      </x:c>
      <x:c r="G751" s="9" t="str">
        <x:v>B1</x:v>
      </x:c>
      <x:c r="H751" s="9" t="str">
        <x:v>BRK</x:v>
      </x:c>
      <x:c r="I751" s="9" t="str">
        <x:v>PD09</x:v>
      </x:c>
      <x:c r="J751" s="17" t="str">
        <x:v>Receiver denominator and service ledger</x:v>
      </x:c>
      <x:c r="K751" s="17" t="str">
        <x:v>Receiver archive</x:v>
      </x:c>
      <x:c r="L751" s="17" t="str">
        <x:v>COURT-SEALED UNTIL COHORT RELEASE</x:v>
      </x:c>
      <x:c r="M751" s="9" t="n">
        <x:v>0</x:v>
      </x:c>
      <x:c r="N751" s="9" t="n">
        <x:v>0</x:v>
      </x:c>
      <x:c r="O751" s="9" t="n">
        <x:v>0</x:v>
      </x:c>
      <x:c r="P751" s="9" t="str">
        <x:v>HELD / UNRELEASED</x:v>
      </x:c>
      <x:c r="Q751" s="9" t="n">
        <x:f>COUNTIFS($A$7:$A$2310,A751)</x:f>
        <x:v>1</x:v>
      </x:c>
    </x:row>
    <x:row r="752">
      <x:c r="A752" s="9" t="str">
        <x:v>PD-AR-HU-A-B-TECH-2-B1-BRK-G0-PD10</x:v>
      </x:c>
      <x:c r="B752" s="9" t="str">
        <x:v>PD-AR-HU-A-B-TECH-2-B1-BRK-G0</x:v>
      </x:c>
      <x:c r="C752" s="9" t="str">
        <x:v>EV-AR-HU-A-B-TECH-2-B1-BRK-G0</x:v>
      </x:c>
      <x:c r="D752" s="9" t="str">
        <x:v>AR-HU-A-B-TECH-2-B1-BRK-G0</x:v>
      </x:c>
      <x:c r="E752" s="9" t="str">
        <x:v>HU-A-B-TECH-2</x:v>
      </x:c>
      <x:c r="F752" s="9" t="str">
        <x:v>HU-A-B</x:v>
      </x:c>
      <x:c r="G752" s="9" t="str">
        <x:v>B1</x:v>
      </x:c>
      <x:c r="H752" s="9" t="str">
        <x:v>BRK</x:v>
      </x:c>
      <x:c r="I752" s="9" t="str">
        <x:v>PD10</x:v>
      </x:c>
      <x:c r="J752" s="17" t="str">
        <x:v>Calibration and uncertainty record</x:v>
      </x:c>
      <x:c r="K752" s="17" t="str">
        <x:v>Metrology archive</x:v>
      </x:c>
      <x:c r="L752" s="17" t="str">
        <x:v>COURT-SEALED UNTIL COHORT RELEASE</x:v>
      </x:c>
      <x:c r="M752" s="9" t="n">
        <x:v>0</x:v>
      </x:c>
      <x:c r="N752" s="9" t="n">
        <x:v>0</x:v>
      </x:c>
      <x:c r="O752" s="9" t="n">
        <x:v>0</x:v>
      </x:c>
      <x:c r="P752" s="9" t="str">
        <x:v>HELD / UNRELEASED</x:v>
      </x:c>
      <x:c r="Q752" s="9" t="n">
        <x:f>COUNTIFS($A$7:$A$2310,A752)</x:f>
        <x:v>1</x:v>
      </x:c>
    </x:row>
    <x:row r="753">
      <x:c r="A753" s="9" t="str">
        <x:v>PD-AR-HU-A-B-TECH-2-B1-BRK-G0-PD11</x:v>
      </x:c>
      <x:c r="B753" s="9" t="str">
        <x:v>PD-AR-HU-A-B-TECH-2-B1-BRK-G0</x:v>
      </x:c>
      <x:c r="C753" s="9" t="str">
        <x:v>EV-AR-HU-A-B-TECH-2-B1-BRK-G0</x:v>
      </x:c>
      <x:c r="D753" s="9" t="str">
        <x:v>AR-HU-A-B-TECH-2-B1-BRK-G0</x:v>
      </x:c>
      <x:c r="E753" s="9" t="str">
        <x:v>HU-A-B-TECH-2</x:v>
      </x:c>
      <x:c r="F753" s="9" t="str">
        <x:v>HU-A-B</x:v>
      </x:c>
      <x:c r="G753" s="9" t="str">
        <x:v>B1</x:v>
      </x:c>
      <x:c r="H753" s="9" t="str">
        <x:v>BRK</x:v>
      </x:c>
      <x:c r="I753" s="9" t="str">
        <x:v>PD11</x:v>
      </x:c>
      <x:c r="J753" s="17" t="str">
        <x:v>Invalidity petition and opinion</x:v>
      </x:c>
      <x:c r="K753" s="17" t="str">
        <x:v>Invalidity court</x:v>
      </x:c>
      <x:c r="L753" s="17" t="str">
        <x:v>COURT-SEALED UNTIL COHORT RELEASE</x:v>
      </x:c>
      <x:c r="M753" s="9" t="n">
        <x:v>0</x:v>
      </x:c>
      <x:c r="N753" s="9" t="n">
        <x:v>0</x:v>
      </x:c>
      <x:c r="O753" s="9" t="n">
        <x:v>0</x:v>
      </x:c>
      <x:c r="P753" s="9" t="str">
        <x:v>HELD / UNRELEASED</x:v>
      </x:c>
      <x:c r="Q753" s="9" t="n">
        <x:f>COUNTIFS($A$7:$A$2310,A753)</x:f>
        <x:v>1</x:v>
      </x:c>
    </x:row>
    <x:row r="754">
      <x:c r="A754" s="9" t="str">
        <x:v>PD-AR-HU-A-B-TECH-2-B1-BRK-G0-PD12</x:v>
      </x:c>
      <x:c r="B754" s="9" t="str">
        <x:v>PD-AR-HU-A-B-TECH-2-B1-BRK-G0</x:v>
      </x:c>
      <x:c r="C754" s="9" t="str">
        <x:v>EV-AR-HU-A-B-TECH-2-B1-BRK-G0</x:v>
      </x:c>
      <x:c r="D754" s="9" t="str">
        <x:v>AR-HU-A-B-TECH-2-B1-BRK-G0</x:v>
      </x:c>
      <x:c r="E754" s="9" t="str">
        <x:v>HU-A-B-TECH-2</x:v>
      </x:c>
      <x:c r="F754" s="9" t="str">
        <x:v>HU-A-B</x:v>
      </x:c>
      <x:c r="G754" s="9" t="str">
        <x:v>B1</x:v>
      </x:c>
      <x:c r="H754" s="9" t="str">
        <x:v>BRK</x:v>
      </x:c>
      <x:c r="I754" s="9" t="str">
        <x:v>PD12</x:v>
      </x:c>
      <x:c r="J754" s="17" t="str">
        <x:v>Observation acceptance and replay</x:v>
      </x:c>
      <x:c r="K754" s="17" t="str">
        <x:v>Observation court</x:v>
      </x:c>
      <x:c r="L754" s="17" t="str">
        <x:v>COURT-SEALED UNTIL COHORT RELEASE</x:v>
      </x:c>
      <x:c r="M754" s="9" t="n">
        <x:v>0</x:v>
      </x:c>
      <x:c r="N754" s="9" t="n">
        <x:v>0</x:v>
      </x:c>
      <x:c r="O754" s="9" t="n">
        <x:v>0</x:v>
      </x:c>
      <x:c r="P754" s="9" t="str">
        <x:v>HELD / UNRELEASED</x:v>
      </x:c>
      <x:c r="Q754" s="9" t="n">
        <x:f>COUNTIFS($A$7:$A$2310,A754)</x:f>
        <x:v>1</x:v>
      </x:c>
    </x:row>
    <x:row r="755">
      <x:c r="A755" s="9" t="str">
        <x:v>PD-AR-HU-A-B-TECH-2-B1-BRK-G0-PD13</x:v>
      </x:c>
      <x:c r="B755" s="9" t="str">
        <x:v>PD-AR-HU-A-B-TECH-2-B1-BRK-G0</x:v>
      </x:c>
      <x:c r="C755" s="9" t="str">
        <x:v>EV-AR-HU-A-B-TECH-2-B1-BRK-G0</x:v>
      </x:c>
      <x:c r="D755" s="9" t="str">
        <x:v>AR-HU-A-B-TECH-2-B1-BRK-G0</x:v>
      </x:c>
      <x:c r="E755" s="9" t="str">
        <x:v>HU-A-B-TECH-2</x:v>
      </x:c>
      <x:c r="F755" s="9" t="str">
        <x:v>HU-A-B</x:v>
      </x:c>
      <x:c r="G755" s="9" t="str">
        <x:v>B1</x:v>
      </x:c>
      <x:c r="H755" s="9" t="str">
        <x:v>BRK</x:v>
      </x:c>
      <x:c r="I755" s="9" t="str">
        <x:v>PD13</x:v>
      </x:c>
      <x:c r="J755" s="17" t="str">
        <x:v>Role judgment</x:v>
      </x:c>
      <x:c r="K755" s="17" t="str">
        <x:v>Role court</x:v>
      </x:c>
      <x:c r="L755" s="17" t="str">
        <x:v>COURT-SEALED UNTIL COHORT RELEASE</x:v>
      </x:c>
      <x:c r="M755" s="9" t="n">
        <x:v>0</x:v>
      </x:c>
      <x:c r="N755" s="9" t="n">
        <x:v>0</x:v>
      </x:c>
      <x:c r="O755" s="9" t="n">
        <x:v>0</x:v>
      </x:c>
      <x:c r="P755" s="9" t="str">
        <x:v>HELD / UNRELEASED</x:v>
      </x:c>
      <x:c r="Q755" s="9" t="n">
        <x:f>COUNTIFS($A$7:$A$2310,A755)</x:f>
        <x:v>1</x:v>
      </x:c>
    </x:row>
    <x:row r="756">
      <x:c r="A756" s="9" t="str">
        <x:v>PD-AR-HU-A-B-TECH-2-B1-BRK-G0-PD14</x:v>
      </x:c>
      <x:c r="B756" s="9" t="str">
        <x:v>PD-AR-HU-A-B-TECH-2-B1-BRK-G0</x:v>
      </x:c>
      <x:c r="C756" s="9" t="str">
        <x:v>EV-AR-HU-A-B-TECH-2-B1-BRK-G0</x:v>
      </x:c>
      <x:c r="D756" s="9" t="str">
        <x:v>AR-HU-A-B-TECH-2-B1-BRK-G0</x:v>
      </x:c>
      <x:c r="E756" s="9" t="str">
        <x:v>HU-A-B-TECH-2</x:v>
      </x:c>
      <x:c r="F756" s="9" t="str">
        <x:v>HU-A-B</x:v>
      </x:c>
      <x:c r="G756" s="9" t="str">
        <x:v>B1</x:v>
      </x:c>
      <x:c r="H756" s="9" t="str">
        <x:v>BRK</x:v>
      </x:c>
      <x:c r="I756" s="9" t="str">
        <x:v>PD14</x:v>
      </x:c>
      <x:c r="J756" s="17" t="str">
        <x:v>Break and residual account</x:v>
      </x:c>
      <x:c r="K756" s="17" t="str">
        <x:v>Residual authority</x:v>
      </x:c>
      <x:c r="L756" s="17" t="str">
        <x:v>COURT-SEALED UNTIL COHORT RELEASE</x:v>
      </x:c>
      <x:c r="M756" s="9" t="n">
        <x:v>0</x:v>
      </x:c>
      <x:c r="N756" s="9" t="n">
        <x:v>0</x:v>
      </x:c>
      <x:c r="O756" s="9" t="n">
        <x:v>0</x:v>
      </x:c>
      <x:c r="P756" s="9" t="str">
        <x:v>HELD / UNRELEASED</x:v>
      </x:c>
      <x:c r="Q756" s="9" t="n">
        <x:f>COUNTIFS($A$7:$A$2310,A756)</x:f>
        <x:v>1</x:v>
      </x:c>
    </x:row>
    <x:row r="757">
      <x:c r="A757" s="9" t="str">
        <x:v>PD-AR-HU-A-B-TECH-2-B1-BRK-G0-PD15</x:v>
      </x:c>
      <x:c r="B757" s="9" t="str">
        <x:v>PD-AR-HU-A-B-TECH-2-B1-BRK-G0</x:v>
      </x:c>
      <x:c r="C757" s="9" t="str">
        <x:v>EV-AR-HU-A-B-TECH-2-B1-BRK-G0</x:v>
      </x:c>
      <x:c r="D757" s="9" t="str">
        <x:v>AR-HU-A-B-TECH-2-B1-BRK-G0</x:v>
      </x:c>
      <x:c r="E757" s="9" t="str">
        <x:v>HU-A-B-TECH-2</x:v>
      </x:c>
      <x:c r="F757" s="9" t="str">
        <x:v>HU-A-B</x:v>
      </x:c>
      <x:c r="G757" s="9" t="str">
        <x:v>B1</x:v>
      </x:c>
      <x:c r="H757" s="9" t="str">
        <x:v>BRK</x:v>
      </x:c>
      <x:c r="I757" s="9" t="str">
        <x:v>PD15</x:v>
      </x:c>
      <x:c r="J757" s="17" t="str">
        <x:v>Reconstruction ancestry and replay</x:v>
      </x:c>
      <x:c r="K757" s="17" t="str">
        <x:v>Reconstruction court</x:v>
      </x:c>
      <x:c r="L757" s="17" t="str">
        <x:v>COURT-SEALED UNTIL COHORT RELEASE</x:v>
      </x:c>
      <x:c r="M757" s="9" t="n">
        <x:v>0</x:v>
      </x:c>
      <x:c r="N757" s="9" t="n">
        <x:v>0</x:v>
      </x:c>
      <x:c r="O757" s="9" t="n">
        <x:v>0</x:v>
      </x:c>
      <x:c r="P757" s="9" t="str">
        <x:v>HELD / UNRELEASED</x:v>
      </x:c>
      <x:c r="Q757" s="9" t="n">
        <x:f>COUNTIFS($A$7:$A$2310,A757)</x:f>
        <x:v>1</x:v>
      </x:c>
    </x:row>
    <x:row r="758">
      <x:c r="A758" s="9" t="str">
        <x:v>PD-AR-HU-A-B-TECH-2-B1-BRK-G0-PD16</x:v>
      </x:c>
      <x:c r="B758" s="9" t="str">
        <x:v>PD-AR-HU-A-B-TECH-2-B1-BRK-G0</x:v>
      </x:c>
      <x:c r="C758" s="9" t="str">
        <x:v>EV-AR-HU-A-B-TECH-2-B1-BRK-G0</x:v>
      </x:c>
      <x:c r="D758" s="9" t="str">
        <x:v>AR-HU-A-B-TECH-2-B1-BRK-G0</x:v>
      </x:c>
      <x:c r="E758" s="9" t="str">
        <x:v>HU-A-B-TECH-2</x:v>
      </x:c>
      <x:c r="F758" s="9" t="str">
        <x:v>HU-A-B</x:v>
      </x:c>
      <x:c r="G758" s="9" t="str">
        <x:v>B1</x:v>
      </x:c>
      <x:c r="H758" s="9" t="str">
        <x:v>BRK</x:v>
      </x:c>
      <x:c r="I758" s="9" t="str">
        <x:v>PD16</x:v>
      </x:c>
      <x:c r="J758" s="17" t="str">
        <x:v>Dissent, amendments and access log</x:v>
      </x:c>
      <x:c r="K758" s="17" t="str">
        <x:v>Public archive</x:v>
      </x:c>
      <x:c r="L758" s="17" t="str">
        <x:v>COURT-SEALED UNTIL COHORT RELEASE</x:v>
      </x:c>
      <x:c r="M758" s="9" t="n">
        <x:v>0</x:v>
      </x:c>
      <x:c r="N758" s="9" t="n">
        <x:v>0</x:v>
      </x:c>
      <x:c r="O758" s="9" t="n">
        <x:v>0</x:v>
      </x:c>
      <x:c r="P758" s="9" t="str">
        <x:v>HELD / UNRELEASED</x:v>
      </x:c>
      <x:c r="Q758" s="9" t="n">
        <x:f>COUNTIFS($A$7:$A$2310,A758)</x:f>
        <x:v>1</x:v>
      </x:c>
    </x:row>
    <x:row r="759">
      <x:c r="A759" s="9" t="str">
        <x:v>PD-AR-RT-B-C-TECH-3-B1-INT-G0-PD01</x:v>
      </x:c>
      <x:c r="B759" s="9" t="str">
        <x:v>PD-AR-RT-B-C-TECH-3-B1-INT-G0</x:v>
      </x:c>
      <x:c r="C759" s="9" t="str">
        <x:v>EV-AR-RT-B-C-TECH-3-B1-INT-G0</x:v>
      </x:c>
      <x:c r="D759" s="9" t="str">
        <x:v>AR-RT-B-C-TECH-3-B1-INT-G0</x:v>
      </x:c>
      <x:c r="E759" s="9" t="str">
        <x:v>RT-B-C-TECH-3</x:v>
      </x:c>
      <x:c r="F759" s="9" t="str">
        <x:v>RT-B-C</x:v>
      </x:c>
      <x:c r="G759" s="9" t="str">
        <x:v>B1</x:v>
      </x:c>
      <x:c r="H759" s="9" t="str">
        <x:v>INT</x:v>
      </x:c>
      <x:c r="I759" s="9" t="str">
        <x:v>PD01</x:v>
      </x:c>
      <x:c r="J759" s="17" t="str">
        <x:v>Experiment kernel</x:v>
      </x:c>
      <x:c r="K759" s="17" t="str">
        <x:v>Public archive</x:v>
      </x:c>
      <x:c r="L759" s="17" t="str">
        <x:v>COURT-SEALED UNTIL COHORT RELEASE</x:v>
      </x:c>
      <x:c r="M759" s="9" t="n">
        <x:v>0</x:v>
      </x:c>
      <x:c r="N759" s="9" t="n">
        <x:v>0</x:v>
      </x:c>
      <x:c r="O759" s="9" t="n">
        <x:v>0</x:v>
      </x:c>
      <x:c r="P759" s="9" t="str">
        <x:v>HELD / UNRELEASED</x:v>
      </x:c>
      <x:c r="Q759" s="9" t="n">
        <x:f>COUNTIFS($A$7:$A$2310,A759)</x:f>
        <x:v>1</x:v>
      </x:c>
    </x:row>
    <x:row r="760">
      <x:c r="A760" s="9" t="str">
        <x:v>PD-AR-RT-B-C-TECH-3-B1-INT-G0-PD02</x:v>
      </x:c>
      <x:c r="B760" s="9" t="str">
        <x:v>PD-AR-RT-B-C-TECH-3-B1-INT-G0</x:v>
      </x:c>
      <x:c r="C760" s="9" t="str">
        <x:v>EV-AR-RT-B-C-TECH-3-B1-INT-G0</x:v>
      </x:c>
      <x:c r="D760" s="9" t="str">
        <x:v>AR-RT-B-C-TECH-3-B1-INT-G0</x:v>
      </x:c>
      <x:c r="E760" s="9" t="str">
        <x:v>RT-B-C-TECH-3</x:v>
      </x:c>
      <x:c r="F760" s="9" t="str">
        <x:v>RT-B-C</x:v>
      </x:c>
      <x:c r="G760" s="9" t="str">
        <x:v>B1</x:v>
      </x:c>
      <x:c r="H760" s="9" t="str">
        <x:v>INT</x:v>
      </x:c>
      <x:c r="I760" s="9" t="str">
        <x:v>PD02</x:v>
      </x:c>
      <x:c r="J760" s="17" t="str">
        <x:v>Serial annex and title chain</x:v>
      </x:c>
      <x:c r="K760" s="17" t="str">
        <x:v>Public archive</x:v>
      </x:c>
      <x:c r="L760" s="17" t="str">
        <x:v>COURT-SEALED UNTIL COHORT RELEASE</x:v>
      </x:c>
      <x:c r="M760" s="9" t="n">
        <x:v>0</x:v>
      </x:c>
      <x:c r="N760" s="9" t="n">
        <x:v>0</x:v>
      </x:c>
      <x:c r="O760" s="9" t="n">
        <x:v>0</x:v>
      </x:c>
      <x:c r="P760" s="9" t="str">
        <x:v>HELD / UNRELEASED</x:v>
      </x:c>
      <x:c r="Q760" s="9" t="n">
        <x:f>COUNTIFS($A$7:$A$2310,A760)</x:f>
        <x:v>1</x:v>
      </x:c>
    </x:row>
    <x:row r="761">
      <x:c r="A761" s="9" t="str">
        <x:v>PD-AR-RT-B-C-TECH-3-B1-INT-G0-PD03</x:v>
      </x:c>
      <x:c r="B761" s="9" t="str">
        <x:v>PD-AR-RT-B-C-TECH-3-B1-INT-G0</x:v>
      </x:c>
      <x:c r="C761" s="9" t="str">
        <x:v>EV-AR-RT-B-C-TECH-3-B1-INT-G0</x:v>
      </x:c>
      <x:c r="D761" s="9" t="str">
        <x:v>AR-RT-B-C-TECH-3-B1-INT-G0</x:v>
      </x:c>
      <x:c r="E761" s="9" t="str">
        <x:v>RT-B-C-TECH-3</x:v>
      </x:c>
      <x:c r="F761" s="9" t="str">
        <x:v>RT-B-C</x:v>
      </x:c>
      <x:c r="G761" s="9" t="str">
        <x:v>B1</x:v>
      </x:c>
      <x:c r="H761" s="9" t="str">
        <x:v>INT</x:v>
      </x:c>
      <x:c r="I761" s="9" t="str">
        <x:v>PD03</x:v>
      </x:c>
      <x:c r="J761" s="17" t="str">
        <x:v>Configuration and as-built manifest</x:v>
      </x:c>
      <x:c r="K761" s="17" t="str">
        <x:v>Artifact exchange</x:v>
      </x:c>
      <x:c r="L761" s="17" t="str">
        <x:v>COURT-SEALED UNTIL COHORT RELEASE</x:v>
      </x:c>
      <x:c r="M761" s="9" t="n">
        <x:v>0</x:v>
      </x:c>
      <x:c r="N761" s="9" t="n">
        <x:v>0</x:v>
      </x:c>
      <x:c r="O761" s="9" t="n">
        <x:v>0</x:v>
      </x:c>
      <x:c r="P761" s="9" t="str">
        <x:v>HELD / UNRELEASED</x:v>
      </x:c>
      <x:c r="Q761" s="9" t="n">
        <x:f>COUNTIFS($A$7:$A$2310,A761)</x:f>
        <x:v>1</x:v>
      </x:c>
    </x:row>
    <x:row r="762">
      <x:c r="A762" s="9" t="str">
        <x:v>PD-AR-RT-B-C-TECH-3-B1-INT-G0-PD04</x:v>
      </x:c>
      <x:c r="B762" s="9" t="str">
        <x:v>PD-AR-RT-B-C-TECH-3-B1-INT-G0</x:v>
      </x:c>
      <x:c r="C762" s="9" t="str">
        <x:v>EV-AR-RT-B-C-TECH-3-B1-INT-G0</x:v>
      </x:c>
      <x:c r="D762" s="9" t="str">
        <x:v>AR-RT-B-C-TECH-3-B1-INT-G0</x:v>
      </x:c>
      <x:c r="E762" s="9" t="str">
        <x:v>RT-B-C-TECH-3</x:v>
      </x:c>
      <x:c r="F762" s="9" t="str">
        <x:v>RT-B-C</x:v>
      </x:c>
      <x:c r="G762" s="9" t="str">
        <x:v>B1</x:v>
      </x:c>
      <x:c r="H762" s="9" t="str">
        <x:v>INT</x:v>
      </x:c>
      <x:c r="I762" s="9" t="str">
        <x:v>PD04</x:v>
      </x:c>
      <x:c r="J762" s="17" t="str">
        <x:v>EOW and start certificate</x:v>
      </x:c>
      <x:c r="K762" s="17" t="str">
        <x:v>Start registrar</x:v>
      </x:c>
      <x:c r="L762" s="17" t="str">
        <x:v>COURT-SEALED UNTIL COHORT RELEASE</x:v>
      </x:c>
      <x:c r="M762" s="9" t="n">
        <x:v>0</x:v>
      </x:c>
      <x:c r="N762" s="9" t="n">
        <x:v>0</x:v>
      </x:c>
      <x:c r="O762" s="9" t="n">
        <x:v>0</x:v>
      </x:c>
      <x:c r="P762" s="9" t="str">
        <x:v>HELD / UNRELEASED</x:v>
      </x:c>
      <x:c r="Q762" s="9" t="n">
        <x:f>COUNTIFS($A$7:$A$2310,A762)</x:f>
        <x:v>1</x:v>
      </x:c>
    </x:row>
    <x:row r="763">
      <x:c r="A763" s="9" t="str">
        <x:v>PD-AR-RT-B-C-TECH-3-B1-INT-G0-PD05</x:v>
      </x:c>
      <x:c r="B763" s="9" t="str">
        <x:v>PD-AR-RT-B-C-TECH-3-B1-INT-G0</x:v>
      </x:c>
      <x:c r="C763" s="9" t="str">
        <x:v>EV-AR-RT-B-C-TECH-3-B1-INT-G0</x:v>
      </x:c>
      <x:c r="D763" s="9" t="str">
        <x:v>AR-RT-B-C-TECH-3-B1-INT-G0</x:v>
      </x:c>
      <x:c r="E763" s="9" t="str">
        <x:v>RT-B-C-TECH-3</x:v>
      </x:c>
      <x:c r="F763" s="9" t="str">
        <x:v>RT-B-C</x:v>
      </x:c>
      <x:c r="G763" s="9" t="str">
        <x:v>B1</x:v>
      </x:c>
      <x:c r="H763" s="9" t="str">
        <x:v>INT</x:v>
      </x:c>
      <x:c r="I763" s="9" t="str">
        <x:v>PD05</x:v>
      </x:c>
      <x:c r="J763" s="17" t="str">
        <x:v>Primary raw originals</x:v>
      </x:c>
      <x:c r="K763" s="17" t="str">
        <x:v>Primary custody</x:v>
      </x:c>
      <x:c r="L763" s="17" t="str">
        <x:v>COURT-SEALED UNTIL COHORT RELEASE</x:v>
      </x:c>
      <x:c r="M763" s="9" t="n">
        <x:v>0</x:v>
      </x:c>
      <x:c r="N763" s="9" t="n">
        <x:v>0</x:v>
      </x:c>
      <x:c r="O763" s="9" t="n">
        <x:v>0</x:v>
      </x:c>
      <x:c r="P763" s="9" t="str">
        <x:v>HELD / UNRELEASED</x:v>
      </x:c>
      <x:c r="Q763" s="9" t="n">
        <x:f>COUNTIFS($A$7:$A$2310,A763)</x:f>
        <x:v>1</x:v>
      </x:c>
    </x:row>
    <x:row r="764">
      <x:c r="A764" s="9" t="str">
        <x:v>PD-AR-RT-B-C-TECH-3-B1-INT-G0-PD06</x:v>
      </x:c>
      <x:c r="B764" s="9" t="str">
        <x:v>PD-AR-RT-B-C-TECH-3-B1-INT-G0</x:v>
      </x:c>
      <x:c r="C764" s="9" t="str">
        <x:v>EV-AR-RT-B-C-TECH-3-B1-INT-G0</x:v>
      </x:c>
      <x:c r="D764" s="9" t="str">
        <x:v>AR-RT-B-C-TECH-3-B1-INT-G0</x:v>
      </x:c>
      <x:c r="E764" s="9" t="str">
        <x:v>RT-B-C-TECH-3</x:v>
      </x:c>
      <x:c r="F764" s="9" t="str">
        <x:v>RT-B-C</x:v>
      </x:c>
      <x:c r="G764" s="9" t="str">
        <x:v>B1</x:v>
      </x:c>
      <x:c r="H764" s="9" t="str">
        <x:v>INT</x:v>
      </x:c>
      <x:c r="I764" s="9" t="str">
        <x:v>PD06</x:v>
      </x:c>
      <x:c r="J764" s="17" t="str">
        <x:v>Witness raw originals</x:v>
      </x:c>
      <x:c r="K764" s="17" t="str">
        <x:v>Witness custody</x:v>
      </x:c>
      <x:c r="L764" s="17" t="str">
        <x:v>COURT-SEALED UNTIL COHORT RELEASE</x:v>
      </x:c>
      <x:c r="M764" s="9" t="n">
        <x:v>0</x:v>
      </x:c>
      <x:c r="N764" s="9" t="n">
        <x:v>0</x:v>
      </x:c>
      <x:c r="O764" s="9" t="n">
        <x:v>0</x:v>
      </x:c>
      <x:c r="P764" s="9" t="str">
        <x:v>HELD / UNRELEASED</x:v>
      </x:c>
      <x:c r="Q764" s="9" t="n">
        <x:f>COUNTIFS($A$7:$A$2310,A764)</x:f>
        <x:v>1</x:v>
      </x:c>
    </x:row>
    <x:row r="765">
      <x:c r="A765" s="9" t="str">
        <x:v>PD-AR-RT-B-C-TECH-3-B1-INT-G0-PD07</x:v>
      </x:c>
      <x:c r="B765" s="9" t="str">
        <x:v>PD-AR-RT-B-C-TECH-3-B1-INT-G0</x:v>
      </x:c>
      <x:c r="C765" s="9" t="str">
        <x:v>EV-AR-RT-B-C-TECH-3-B1-INT-G0</x:v>
      </x:c>
      <x:c r="D765" s="9" t="str">
        <x:v>AR-RT-B-C-TECH-3-B1-INT-G0</x:v>
      </x:c>
      <x:c r="E765" s="9" t="str">
        <x:v>RT-B-C-TECH-3</x:v>
      </x:c>
      <x:c r="F765" s="9" t="str">
        <x:v>RT-B-C</x:v>
      </x:c>
      <x:c r="G765" s="9" t="str">
        <x:v>B1</x:v>
      </x:c>
      <x:c r="H765" s="9" t="str">
        <x:v>INT</x:v>
      </x:c>
      <x:c r="I765" s="9" t="str">
        <x:v>PD07</x:v>
      </x:c>
      <x:c r="J765" s="17" t="str">
        <x:v>Clock and environmental records</x:v>
      </x:c>
      <x:c r="K765" s="17" t="str">
        <x:v>Boundary archive</x:v>
      </x:c>
      <x:c r="L765" s="17" t="str">
        <x:v>COURT-SEALED UNTIL COHORT RELEASE</x:v>
      </x:c>
      <x:c r="M765" s="9" t="n">
        <x:v>0</x:v>
      </x:c>
      <x:c r="N765" s="9" t="n">
        <x:v>0</x:v>
      </x:c>
      <x:c r="O765" s="9" t="n">
        <x:v>0</x:v>
      </x:c>
      <x:c r="P765" s="9" t="str">
        <x:v>HELD / UNRELEASED</x:v>
      </x:c>
      <x:c r="Q765" s="9" t="n">
        <x:f>COUNTIFS($A$7:$A$2310,A765)</x:f>
        <x:v>1</x:v>
      </x:c>
    </x:row>
    <x:row r="766">
      <x:c r="A766" s="9" t="str">
        <x:v>PD-AR-RT-B-C-TECH-3-B1-INT-G0-PD08</x:v>
      </x:c>
      <x:c r="B766" s="9" t="str">
        <x:v>PD-AR-RT-B-C-TECH-3-B1-INT-G0</x:v>
      </x:c>
      <x:c r="C766" s="9" t="str">
        <x:v>EV-AR-RT-B-C-TECH-3-B1-INT-G0</x:v>
      </x:c>
      <x:c r="D766" s="9" t="str">
        <x:v>AR-RT-B-C-TECH-3-B1-INT-G0</x:v>
      </x:c>
      <x:c r="E766" s="9" t="str">
        <x:v>RT-B-C-TECH-3</x:v>
      </x:c>
      <x:c r="F766" s="9" t="str">
        <x:v>RT-B-C</x:v>
      </x:c>
      <x:c r="G766" s="9" t="str">
        <x:v>B1</x:v>
      </x:c>
      <x:c r="H766" s="9" t="str">
        <x:v>INT</x:v>
      </x:c>
      <x:c r="I766" s="9" t="str">
        <x:v>PD08</x:v>
      </x:c>
      <x:c r="J766" s="17" t="str">
        <x:v>Command and intervention log</x:v>
      </x:c>
      <x:c r="K766" s="17" t="str">
        <x:v>Safety archive</x:v>
      </x:c>
      <x:c r="L766" s="17" t="str">
        <x:v>COURT-SEALED UNTIL COHORT RELEASE</x:v>
      </x:c>
      <x:c r="M766" s="9" t="n">
        <x:v>0</x:v>
      </x:c>
      <x:c r="N766" s="9" t="n">
        <x:v>0</x:v>
      </x:c>
      <x:c r="O766" s="9" t="n">
        <x:v>0</x:v>
      </x:c>
      <x:c r="P766" s="9" t="str">
        <x:v>HELD / UNRELEASED</x:v>
      </x:c>
      <x:c r="Q766" s="9" t="n">
        <x:f>COUNTIFS($A$7:$A$2310,A766)</x:f>
        <x:v>1</x:v>
      </x:c>
    </x:row>
    <x:row r="767">
      <x:c r="A767" s="9" t="str">
        <x:v>PD-AR-RT-B-C-TECH-3-B1-INT-G0-PD09</x:v>
      </x:c>
      <x:c r="B767" s="9" t="str">
        <x:v>PD-AR-RT-B-C-TECH-3-B1-INT-G0</x:v>
      </x:c>
      <x:c r="C767" s="9" t="str">
        <x:v>EV-AR-RT-B-C-TECH-3-B1-INT-G0</x:v>
      </x:c>
      <x:c r="D767" s="9" t="str">
        <x:v>AR-RT-B-C-TECH-3-B1-INT-G0</x:v>
      </x:c>
      <x:c r="E767" s="9" t="str">
        <x:v>RT-B-C-TECH-3</x:v>
      </x:c>
      <x:c r="F767" s="9" t="str">
        <x:v>RT-B-C</x:v>
      </x:c>
      <x:c r="G767" s="9" t="str">
        <x:v>B1</x:v>
      </x:c>
      <x:c r="H767" s="9" t="str">
        <x:v>INT</x:v>
      </x:c>
      <x:c r="I767" s="9" t="str">
        <x:v>PD09</x:v>
      </x:c>
      <x:c r="J767" s="17" t="str">
        <x:v>Receiver denominator and service ledger</x:v>
      </x:c>
      <x:c r="K767" s="17" t="str">
        <x:v>Receiver archive</x:v>
      </x:c>
      <x:c r="L767" s="17" t="str">
        <x:v>COURT-SEALED UNTIL COHORT RELEASE</x:v>
      </x:c>
      <x:c r="M767" s="9" t="n">
        <x:v>0</x:v>
      </x:c>
      <x:c r="N767" s="9" t="n">
        <x:v>0</x:v>
      </x:c>
      <x:c r="O767" s="9" t="n">
        <x:v>0</x:v>
      </x:c>
      <x:c r="P767" s="9" t="str">
        <x:v>HELD / UNRELEASED</x:v>
      </x:c>
      <x:c r="Q767" s="9" t="n">
        <x:f>COUNTIFS($A$7:$A$2310,A767)</x:f>
        <x:v>1</x:v>
      </x:c>
    </x:row>
    <x:row r="768">
      <x:c r="A768" s="9" t="str">
        <x:v>PD-AR-RT-B-C-TECH-3-B1-INT-G0-PD10</x:v>
      </x:c>
      <x:c r="B768" s="9" t="str">
        <x:v>PD-AR-RT-B-C-TECH-3-B1-INT-G0</x:v>
      </x:c>
      <x:c r="C768" s="9" t="str">
        <x:v>EV-AR-RT-B-C-TECH-3-B1-INT-G0</x:v>
      </x:c>
      <x:c r="D768" s="9" t="str">
        <x:v>AR-RT-B-C-TECH-3-B1-INT-G0</x:v>
      </x:c>
      <x:c r="E768" s="9" t="str">
        <x:v>RT-B-C-TECH-3</x:v>
      </x:c>
      <x:c r="F768" s="9" t="str">
        <x:v>RT-B-C</x:v>
      </x:c>
      <x:c r="G768" s="9" t="str">
        <x:v>B1</x:v>
      </x:c>
      <x:c r="H768" s="9" t="str">
        <x:v>INT</x:v>
      </x:c>
      <x:c r="I768" s="9" t="str">
        <x:v>PD10</x:v>
      </x:c>
      <x:c r="J768" s="17" t="str">
        <x:v>Calibration and uncertainty record</x:v>
      </x:c>
      <x:c r="K768" s="17" t="str">
        <x:v>Metrology archive</x:v>
      </x:c>
      <x:c r="L768" s="17" t="str">
        <x:v>COURT-SEALED UNTIL COHORT RELEASE</x:v>
      </x:c>
      <x:c r="M768" s="9" t="n">
        <x:v>0</x:v>
      </x:c>
      <x:c r="N768" s="9" t="n">
        <x:v>0</x:v>
      </x:c>
      <x:c r="O768" s="9" t="n">
        <x:v>0</x:v>
      </x:c>
      <x:c r="P768" s="9" t="str">
        <x:v>HELD / UNRELEASED</x:v>
      </x:c>
      <x:c r="Q768" s="9" t="n">
        <x:f>COUNTIFS($A$7:$A$2310,A768)</x:f>
        <x:v>1</x:v>
      </x:c>
    </x:row>
    <x:row r="769">
      <x:c r="A769" s="9" t="str">
        <x:v>PD-AR-RT-B-C-TECH-3-B1-INT-G0-PD11</x:v>
      </x:c>
      <x:c r="B769" s="9" t="str">
        <x:v>PD-AR-RT-B-C-TECH-3-B1-INT-G0</x:v>
      </x:c>
      <x:c r="C769" s="9" t="str">
        <x:v>EV-AR-RT-B-C-TECH-3-B1-INT-G0</x:v>
      </x:c>
      <x:c r="D769" s="9" t="str">
        <x:v>AR-RT-B-C-TECH-3-B1-INT-G0</x:v>
      </x:c>
      <x:c r="E769" s="9" t="str">
        <x:v>RT-B-C-TECH-3</x:v>
      </x:c>
      <x:c r="F769" s="9" t="str">
        <x:v>RT-B-C</x:v>
      </x:c>
      <x:c r="G769" s="9" t="str">
        <x:v>B1</x:v>
      </x:c>
      <x:c r="H769" s="9" t="str">
        <x:v>INT</x:v>
      </x:c>
      <x:c r="I769" s="9" t="str">
        <x:v>PD11</x:v>
      </x:c>
      <x:c r="J769" s="17" t="str">
        <x:v>Invalidity petition and opinion</x:v>
      </x:c>
      <x:c r="K769" s="17" t="str">
        <x:v>Invalidity court</x:v>
      </x:c>
      <x:c r="L769" s="17" t="str">
        <x:v>COURT-SEALED UNTIL COHORT RELEASE</x:v>
      </x:c>
      <x:c r="M769" s="9" t="n">
        <x:v>0</x:v>
      </x:c>
      <x:c r="N769" s="9" t="n">
        <x:v>0</x:v>
      </x:c>
      <x:c r="O769" s="9" t="n">
        <x:v>0</x:v>
      </x:c>
      <x:c r="P769" s="9" t="str">
        <x:v>HELD / UNRELEASED</x:v>
      </x:c>
      <x:c r="Q769" s="9" t="n">
        <x:f>COUNTIFS($A$7:$A$2310,A769)</x:f>
        <x:v>1</x:v>
      </x:c>
    </x:row>
    <x:row r="770">
      <x:c r="A770" s="9" t="str">
        <x:v>PD-AR-RT-B-C-TECH-3-B1-INT-G0-PD12</x:v>
      </x:c>
      <x:c r="B770" s="9" t="str">
        <x:v>PD-AR-RT-B-C-TECH-3-B1-INT-G0</x:v>
      </x:c>
      <x:c r="C770" s="9" t="str">
        <x:v>EV-AR-RT-B-C-TECH-3-B1-INT-G0</x:v>
      </x:c>
      <x:c r="D770" s="9" t="str">
        <x:v>AR-RT-B-C-TECH-3-B1-INT-G0</x:v>
      </x:c>
      <x:c r="E770" s="9" t="str">
        <x:v>RT-B-C-TECH-3</x:v>
      </x:c>
      <x:c r="F770" s="9" t="str">
        <x:v>RT-B-C</x:v>
      </x:c>
      <x:c r="G770" s="9" t="str">
        <x:v>B1</x:v>
      </x:c>
      <x:c r="H770" s="9" t="str">
        <x:v>INT</x:v>
      </x:c>
      <x:c r="I770" s="9" t="str">
        <x:v>PD12</x:v>
      </x:c>
      <x:c r="J770" s="17" t="str">
        <x:v>Observation acceptance and replay</x:v>
      </x:c>
      <x:c r="K770" s="17" t="str">
        <x:v>Observation court</x:v>
      </x:c>
      <x:c r="L770" s="17" t="str">
        <x:v>COURT-SEALED UNTIL COHORT RELEASE</x:v>
      </x:c>
      <x:c r="M770" s="9" t="n">
        <x:v>0</x:v>
      </x:c>
      <x:c r="N770" s="9" t="n">
        <x:v>0</x:v>
      </x:c>
      <x:c r="O770" s="9" t="n">
        <x:v>0</x:v>
      </x:c>
      <x:c r="P770" s="9" t="str">
        <x:v>HELD / UNRELEASED</x:v>
      </x:c>
      <x:c r="Q770" s="9" t="n">
        <x:f>COUNTIFS($A$7:$A$2310,A770)</x:f>
        <x:v>1</x:v>
      </x:c>
    </x:row>
    <x:row r="771">
      <x:c r="A771" s="9" t="str">
        <x:v>PD-AR-RT-B-C-TECH-3-B1-INT-G0-PD13</x:v>
      </x:c>
      <x:c r="B771" s="9" t="str">
        <x:v>PD-AR-RT-B-C-TECH-3-B1-INT-G0</x:v>
      </x:c>
      <x:c r="C771" s="9" t="str">
        <x:v>EV-AR-RT-B-C-TECH-3-B1-INT-G0</x:v>
      </x:c>
      <x:c r="D771" s="9" t="str">
        <x:v>AR-RT-B-C-TECH-3-B1-INT-G0</x:v>
      </x:c>
      <x:c r="E771" s="9" t="str">
        <x:v>RT-B-C-TECH-3</x:v>
      </x:c>
      <x:c r="F771" s="9" t="str">
        <x:v>RT-B-C</x:v>
      </x:c>
      <x:c r="G771" s="9" t="str">
        <x:v>B1</x:v>
      </x:c>
      <x:c r="H771" s="9" t="str">
        <x:v>INT</x:v>
      </x:c>
      <x:c r="I771" s="9" t="str">
        <x:v>PD13</x:v>
      </x:c>
      <x:c r="J771" s="17" t="str">
        <x:v>Role judgment</x:v>
      </x:c>
      <x:c r="K771" s="17" t="str">
        <x:v>Role court</x:v>
      </x:c>
      <x:c r="L771" s="17" t="str">
        <x:v>COURT-SEALED UNTIL COHORT RELEASE</x:v>
      </x:c>
      <x:c r="M771" s="9" t="n">
        <x:v>0</x:v>
      </x:c>
      <x:c r="N771" s="9" t="n">
        <x:v>0</x:v>
      </x:c>
      <x:c r="O771" s="9" t="n">
        <x:v>0</x:v>
      </x:c>
      <x:c r="P771" s="9" t="str">
        <x:v>HELD / UNRELEASED</x:v>
      </x:c>
      <x:c r="Q771" s="9" t="n">
        <x:f>COUNTIFS($A$7:$A$2310,A771)</x:f>
        <x:v>1</x:v>
      </x:c>
    </x:row>
    <x:row r="772">
      <x:c r="A772" s="9" t="str">
        <x:v>PD-AR-RT-B-C-TECH-3-B1-INT-G0-PD14</x:v>
      </x:c>
      <x:c r="B772" s="9" t="str">
        <x:v>PD-AR-RT-B-C-TECH-3-B1-INT-G0</x:v>
      </x:c>
      <x:c r="C772" s="9" t="str">
        <x:v>EV-AR-RT-B-C-TECH-3-B1-INT-G0</x:v>
      </x:c>
      <x:c r="D772" s="9" t="str">
        <x:v>AR-RT-B-C-TECH-3-B1-INT-G0</x:v>
      </x:c>
      <x:c r="E772" s="9" t="str">
        <x:v>RT-B-C-TECH-3</x:v>
      </x:c>
      <x:c r="F772" s="9" t="str">
        <x:v>RT-B-C</x:v>
      </x:c>
      <x:c r="G772" s="9" t="str">
        <x:v>B1</x:v>
      </x:c>
      <x:c r="H772" s="9" t="str">
        <x:v>INT</x:v>
      </x:c>
      <x:c r="I772" s="9" t="str">
        <x:v>PD14</x:v>
      </x:c>
      <x:c r="J772" s="17" t="str">
        <x:v>Break and residual account</x:v>
      </x:c>
      <x:c r="K772" s="17" t="str">
        <x:v>Residual authority</x:v>
      </x:c>
      <x:c r="L772" s="17" t="str">
        <x:v>COURT-SEALED UNTIL COHORT RELEASE</x:v>
      </x:c>
      <x:c r="M772" s="9" t="n">
        <x:v>0</x:v>
      </x:c>
      <x:c r="N772" s="9" t="n">
        <x:v>0</x:v>
      </x:c>
      <x:c r="O772" s="9" t="n">
        <x:v>0</x:v>
      </x:c>
      <x:c r="P772" s="9" t="str">
        <x:v>HELD / UNRELEASED</x:v>
      </x:c>
      <x:c r="Q772" s="9" t="n">
        <x:f>COUNTIFS($A$7:$A$2310,A772)</x:f>
        <x:v>1</x:v>
      </x:c>
    </x:row>
    <x:row r="773">
      <x:c r="A773" s="9" t="str">
        <x:v>PD-AR-RT-B-C-TECH-3-B1-INT-G0-PD15</x:v>
      </x:c>
      <x:c r="B773" s="9" t="str">
        <x:v>PD-AR-RT-B-C-TECH-3-B1-INT-G0</x:v>
      </x:c>
      <x:c r="C773" s="9" t="str">
        <x:v>EV-AR-RT-B-C-TECH-3-B1-INT-G0</x:v>
      </x:c>
      <x:c r="D773" s="9" t="str">
        <x:v>AR-RT-B-C-TECH-3-B1-INT-G0</x:v>
      </x:c>
      <x:c r="E773" s="9" t="str">
        <x:v>RT-B-C-TECH-3</x:v>
      </x:c>
      <x:c r="F773" s="9" t="str">
        <x:v>RT-B-C</x:v>
      </x:c>
      <x:c r="G773" s="9" t="str">
        <x:v>B1</x:v>
      </x:c>
      <x:c r="H773" s="9" t="str">
        <x:v>INT</x:v>
      </x:c>
      <x:c r="I773" s="9" t="str">
        <x:v>PD15</x:v>
      </x:c>
      <x:c r="J773" s="17" t="str">
        <x:v>Reconstruction ancestry and replay</x:v>
      </x:c>
      <x:c r="K773" s="17" t="str">
        <x:v>Reconstruction court</x:v>
      </x:c>
      <x:c r="L773" s="17" t="str">
        <x:v>COURT-SEALED UNTIL COHORT RELEASE</x:v>
      </x:c>
      <x:c r="M773" s="9" t="n">
        <x:v>0</x:v>
      </x:c>
      <x:c r="N773" s="9" t="n">
        <x:v>0</x:v>
      </x:c>
      <x:c r="O773" s="9" t="n">
        <x:v>0</x:v>
      </x:c>
      <x:c r="P773" s="9" t="str">
        <x:v>HELD / UNRELEASED</x:v>
      </x:c>
      <x:c r="Q773" s="9" t="n">
        <x:f>COUNTIFS($A$7:$A$2310,A773)</x:f>
        <x:v>1</x:v>
      </x:c>
    </x:row>
    <x:row r="774">
      <x:c r="A774" s="9" t="str">
        <x:v>PD-AR-RT-B-C-TECH-3-B1-INT-G0-PD16</x:v>
      </x:c>
      <x:c r="B774" s="9" t="str">
        <x:v>PD-AR-RT-B-C-TECH-3-B1-INT-G0</x:v>
      </x:c>
      <x:c r="C774" s="9" t="str">
        <x:v>EV-AR-RT-B-C-TECH-3-B1-INT-G0</x:v>
      </x:c>
      <x:c r="D774" s="9" t="str">
        <x:v>AR-RT-B-C-TECH-3-B1-INT-G0</x:v>
      </x:c>
      <x:c r="E774" s="9" t="str">
        <x:v>RT-B-C-TECH-3</x:v>
      </x:c>
      <x:c r="F774" s="9" t="str">
        <x:v>RT-B-C</x:v>
      </x:c>
      <x:c r="G774" s="9" t="str">
        <x:v>B1</x:v>
      </x:c>
      <x:c r="H774" s="9" t="str">
        <x:v>INT</x:v>
      </x:c>
      <x:c r="I774" s="9" t="str">
        <x:v>PD16</x:v>
      </x:c>
      <x:c r="J774" s="17" t="str">
        <x:v>Dissent, amendments and access log</x:v>
      </x:c>
      <x:c r="K774" s="17" t="str">
        <x:v>Public archive</x:v>
      </x:c>
      <x:c r="L774" s="17" t="str">
        <x:v>COURT-SEALED UNTIL COHORT RELEASE</x:v>
      </x:c>
      <x:c r="M774" s="9" t="n">
        <x:v>0</x:v>
      </x:c>
      <x:c r="N774" s="9" t="n">
        <x:v>0</x:v>
      </x:c>
      <x:c r="O774" s="9" t="n">
        <x:v>0</x:v>
      </x:c>
      <x:c r="P774" s="9" t="str">
        <x:v>HELD / UNRELEASED</x:v>
      </x:c>
      <x:c r="Q774" s="9" t="n">
        <x:f>COUNTIFS($A$7:$A$2310,A774)</x:f>
        <x:v>1</x:v>
      </x:c>
    </x:row>
    <x:row r="775">
      <x:c r="A775" s="9" t="str">
        <x:v>PD-AR-CT-C-B-TECH-4-B1-RCN-G0-PD01</x:v>
      </x:c>
      <x:c r="B775" s="9" t="str">
        <x:v>PD-AR-CT-C-B-TECH-4-B1-RCN-G0</x:v>
      </x:c>
      <x:c r="C775" s="9" t="str">
        <x:v>EV-AR-CT-C-B-TECH-4-B1-RCN-G0</x:v>
      </x:c>
      <x:c r="D775" s="9" t="str">
        <x:v>AR-CT-C-B-TECH-4-B1-RCN-G0</x:v>
      </x:c>
      <x:c r="E775" s="9" t="str">
        <x:v>CT-C-B-TECH-4</x:v>
      </x:c>
      <x:c r="F775" s="9" t="str">
        <x:v>CT-C-B</x:v>
      </x:c>
      <x:c r="G775" s="9" t="str">
        <x:v>B1</x:v>
      </x:c>
      <x:c r="H775" s="9" t="str">
        <x:v>RCN</x:v>
      </x:c>
      <x:c r="I775" s="9" t="str">
        <x:v>PD01</x:v>
      </x:c>
      <x:c r="J775" s="17" t="str">
        <x:v>Experiment kernel</x:v>
      </x:c>
      <x:c r="K775" s="17" t="str">
        <x:v>Public archive</x:v>
      </x:c>
      <x:c r="L775" s="17" t="str">
        <x:v>COURT-SEALED UNTIL COHORT RELEASE</x:v>
      </x:c>
      <x:c r="M775" s="9" t="n">
        <x:v>0</x:v>
      </x:c>
      <x:c r="N775" s="9" t="n">
        <x:v>0</x:v>
      </x:c>
      <x:c r="O775" s="9" t="n">
        <x:v>0</x:v>
      </x:c>
      <x:c r="P775" s="9" t="str">
        <x:v>HELD / UNRELEASED</x:v>
      </x:c>
      <x:c r="Q775" s="9" t="n">
        <x:f>COUNTIFS($A$7:$A$2310,A775)</x:f>
        <x:v>1</x:v>
      </x:c>
    </x:row>
    <x:row r="776">
      <x:c r="A776" s="9" t="str">
        <x:v>PD-AR-CT-C-B-TECH-4-B1-RCN-G0-PD02</x:v>
      </x:c>
      <x:c r="B776" s="9" t="str">
        <x:v>PD-AR-CT-C-B-TECH-4-B1-RCN-G0</x:v>
      </x:c>
      <x:c r="C776" s="9" t="str">
        <x:v>EV-AR-CT-C-B-TECH-4-B1-RCN-G0</x:v>
      </x:c>
      <x:c r="D776" s="9" t="str">
        <x:v>AR-CT-C-B-TECH-4-B1-RCN-G0</x:v>
      </x:c>
      <x:c r="E776" s="9" t="str">
        <x:v>CT-C-B-TECH-4</x:v>
      </x:c>
      <x:c r="F776" s="9" t="str">
        <x:v>CT-C-B</x:v>
      </x:c>
      <x:c r="G776" s="9" t="str">
        <x:v>B1</x:v>
      </x:c>
      <x:c r="H776" s="9" t="str">
        <x:v>RCN</x:v>
      </x:c>
      <x:c r="I776" s="9" t="str">
        <x:v>PD02</x:v>
      </x:c>
      <x:c r="J776" s="17" t="str">
        <x:v>Serial annex and title chain</x:v>
      </x:c>
      <x:c r="K776" s="17" t="str">
        <x:v>Public archive</x:v>
      </x:c>
      <x:c r="L776" s="17" t="str">
        <x:v>COURT-SEALED UNTIL COHORT RELEASE</x:v>
      </x:c>
      <x:c r="M776" s="9" t="n">
        <x:v>0</x:v>
      </x:c>
      <x:c r="N776" s="9" t="n">
        <x:v>0</x:v>
      </x:c>
      <x:c r="O776" s="9" t="n">
        <x:v>0</x:v>
      </x:c>
      <x:c r="P776" s="9" t="str">
        <x:v>HELD / UNRELEASED</x:v>
      </x:c>
      <x:c r="Q776" s="9" t="n">
        <x:f>COUNTIFS($A$7:$A$2310,A776)</x:f>
        <x:v>1</x:v>
      </x:c>
    </x:row>
    <x:row r="777">
      <x:c r="A777" s="9" t="str">
        <x:v>PD-AR-CT-C-B-TECH-4-B1-RCN-G0-PD03</x:v>
      </x:c>
      <x:c r="B777" s="9" t="str">
        <x:v>PD-AR-CT-C-B-TECH-4-B1-RCN-G0</x:v>
      </x:c>
      <x:c r="C777" s="9" t="str">
        <x:v>EV-AR-CT-C-B-TECH-4-B1-RCN-G0</x:v>
      </x:c>
      <x:c r="D777" s="9" t="str">
        <x:v>AR-CT-C-B-TECH-4-B1-RCN-G0</x:v>
      </x:c>
      <x:c r="E777" s="9" t="str">
        <x:v>CT-C-B-TECH-4</x:v>
      </x:c>
      <x:c r="F777" s="9" t="str">
        <x:v>CT-C-B</x:v>
      </x:c>
      <x:c r="G777" s="9" t="str">
        <x:v>B1</x:v>
      </x:c>
      <x:c r="H777" s="9" t="str">
        <x:v>RCN</x:v>
      </x:c>
      <x:c r="I777" s="9" t="str">
        <x:v>PD03</x:v>
      </x:c>
      <x:c r="J777" s="17" t="str">
        <x:v>Configuration and as-built manifest</x:v>
      </x:c>
      <x:c r="K777" s="17" t="str">
        <x:v>Artifact exchange</x:v>
      </x:c>
      <x:c r="L777" s="17" t="str">
        <x:v>COURT-SEALED UNTIL COHORT RELEASE</x:v>
      </x:c>
      <x:c r="M777" s="9" t="n">
        <x:v>0</x:v>
      </x:c>
      <x:c r="N777" s="9" t="n">
        <x:v>0</x:v>
      </x:c>
      <x:c r="O777" s="9" t="n">
        <x:v>0</x:v>
      </x:c>
      <x:c r="P777" s="9" t="str">
        <x:v>HELD / UNRELEASED</x:v>
      </x:c>
      <x:c r="Q777" s="9" t="n">
        <x:f>COUNTIFS($A$7:$A$2310,A777)</x:f>
        <x:v>1</x:v>
      </x:c>
    </x:row>
    <x:row r="778">
      <x:c r="A778" s="9" t="str">
        <x:v>PD-AR-CT-C-B-TECH-4-B1-RCN-G0-PD04</x:v>
      </x:c>
      <x:c r="B778" s="9" t="str">
        <x:v>PD-AR-CT-C-B-TECH-4-B1-RCN-G0</x:v>
      </x:c>
      <x:c r="C778" s="9" t="str">
        <x:v>EV-AR-CT-C-B-TECH-4-B1-RCN-G0</x:v>
      </x:c>
      <x:c r="D778" s="9" t="str">
        <x:v>AR-CT-C-B-TECH-4-B1-RCN-G0</x:v>
      </x:c>
      <x:c r="E778" s="9" t="str">
        <x:v>CT-C-B-TECH-4</x:v>
      </x:c>
      <x:c r="F778" s="9" t="str">
        <x:v>CT-C-B</x:v>
      </x:c>
      <x:c r="G778" s="9" t="str">
        <x:v>B1</x:v>
      </x:c>
      <x:c r="H778" s="9" t="str">
        <x:v>RCN</x:v>
      </x:c>
      <x:c r="I778" s="9" t="str">
        <x:v>PD04</x:v>
      </x:c>
      <x:c r="J778" s="17" t="str">
        <x:v>EOW and start certificate</x:v>
      </x:c>
      <x:c r="K778" s="17" t="str">
        <x:v>Start registrar</x:v>
      </x:c>
      <x:c r="L778" s="17" t="str">
        <x:v>COURT-SEALED UNTIL COHORT RELEASE</x:v>
      </x:c>
      <x:c r="M778" s="9" t="n">
        <x:v>0</x:v>
      </x:c>
      <x:c r="N778" s="9" t="n">
        <x:v>0</x:v>
      </x:c>
      <x:c r="O778" s="9" t="n">
        <x:v>0</x:v>
      </x:c>
      <x:c r="P778" s="9" t="str">
        <x:v>HELD / UNRELEASED</x:v>
      </x:c>
      <x:c r="Q778" s="9" t="n">
        <x:f>COUNTIFS($A$7:$A$2310,A778)</x:f>
        <x:v>1</x:v>
      </x:c>
    </x:row>
    <x:row r="779">
      <x:c r="A779" s="9" t="str">
        <x:v>PD-AR-CT-C-B-TECH-4-B1-RCN-G0-PD05</x:v>
      </x:c>
      <x:c r="B779" s="9" t="str">
        <x:v>PD-AR-CT-C-B-TECH-4-B1-RCN-G0</x:v>
      </x:c>
      <x:c r="C779" s="9" t="str">
        <x:v>EV-AR-CT-C-B-TECH-4-B1-RCN-G0</x:v>
      </x:c>
      <x:c r="D779" s="9" t="str">
        <x:v>AR-CT-C-B-TECH-4-B1-RCN-G0</x:v>
      </x:c>
      <x:c r="E779" s="9" t="str">
        <x:v>CT-C-B-TECH-4</x:v>
      </x:c>
      <x:c r="F779" s="9" t="str">
        <x:v>CT-C-B</x:v>
      </x:c>
      <x:c r="G779" s="9" t="str">
        <x:v>B1</x:v>
      </x:c>
      <x:c r="H779" s="9" t="str">
        <x:v>RCN</x:v>
      </x:c>
      <x:c r="I779" s="9" t="str">
        <x:v>PD05</x:v>
      </x:c>
      <x:c r="J779" s="17" t="str">
        <x:v>Primary raw originals</x:v>
      </x:c>
      <x:c r="K779" s="17" t="str">
        <x:v>Primary custody</x:v>
      </x:c>
      <x:c r="L779" s="17" t="str">
        <x:v>COURT-SEALED UNTIL COHORT RELEASE</x:v>
      </x:c>
      <x:c r="M779" s="9" t="n">
        <x:v>0</x:v>
      </x:c>
      <x:c r="N779" s="9" t="n">
        <x:v>0</x:v>
      </x:c>
      <x:c r="O779" s="9" t="n">
        <x:v>0</x:v>
      </x:c>
      <x:c r="P779" s="9" t="str">
        <x:v>HELD / UNRELEASED</x:v>
      </x:c>
      <x:c r="Q779" s="9" t="n">
        <x:f>COUNTIFS($A$7:$A$2310,A779)</x:f>
        <x:v>1</x:v>
      </x:c>
    </x:row>
    <x:row r="780">
      <x:c r="A780" s="9" t="str">
        <x:v>PD-AR-CT-C-B-TECH-4-B1-RCN-G0-PD06</x:v>
      </x:c>
      <x:c r="B780" s="9" t="str">
        <x:v>PD-AR-CT-C-B-TECH-4-B1-RCN-G0</x:v>
      </x:c>
      <x:c r="C780" s="9" t="str">
        <x:v>EV-AR-CT-C-B-TECH-4-B1-RCN-G0</x:v>
      </x:c>
      <x:c r="D780" s="9" t="str">
        <x:v>AR-CT-C-B-TECH-4-B1-RCN-G0</x:v>
      </x:c>
      <x:c r="E780" s="9" t="str">
        <x:v>CT-C-B-TECH-4</x:v>
      </x:c>
      <x:c r="F780" s="9" t="str">
        <x:v>CT-C-B</x:v>
      </x:c>
      <x:c r="G780" s="9" t="str">
        <x:v>B1</x:v>
      </x:c>
      <x:c r="H780" s="9" t="str">
        <x:v>RCN</x:v>
      </x:c>
      <x:c r="I780" s="9" t="str">
        <x:v>PD06</x:v>
      </x:c>
      <x:c r="J780" s="17" t="str">
        <x:v>Witness raw originals</x:v>
      </x:c>
      <x:c r="K780" s="17" t="str">
        <x:v>Witness custody</x:v>
      </x:c>
      <x:c r="L780" s="17" t="str">
        <x:v>COURT-SEALED UNTIL COHORT RELEASE</x:v>
      </x:c>
      <x:c r="M780" s="9" t="n">
        <x:v>0</x:v>
      </x:c>
      <x:c r="N780" s="9" t="n">
        <x:v>0</x:v>
      </x:c>
      <x:c r="O780" s="9" t="n">
        <x:v>0</x:v>
      </x:c>
      <x:c r="P780" s="9" t="str">
        <x:v>HELD / UNRELEASED</x:v>
      </x:c>
      <x:c r="Q780" s="9" t="n">
        <x:f>COUNTIFS($A$7:$A$2310,A780)</x:f>
        <x:v>1</x:v>
      </x:c>
    </x:row>
    <x:row r="781">
      <x:c r="A781" s="9" t="str">
        <x:v>PD-AR-CT-C-B-TECH-4-B1-RCN-G0-PD07</x:v>
      </x:c>
      <x:c r="B781" s="9" t="str">
        <x:v>PD-AR-CT-C-B-TECH-4-B1-RCN-G0</x:v>
      </x:c>
      <x:c r="C781" s="9" t="str">
        <x:v>EV-AR-CT-C-B-TECH-4-B1-RCN-G0</x:v>
      </x:c>
      <x:c r="D781" s="9" t="str">
        <x:v>AR-CT-C-B-TECH-4-B1-RCN-G0</x:v>
      </x:c>
      <x:c r="E781" s="9" t="str">
        <x:v>CT-C-B-TECH-4</x:v>
      </x:c>
      <x:c r="F781" s="9" t="str">
        <x:v>CT-C-B</x:v>
      </x:c>
      <x:c r="G781" s="9" t="str">
        <x:v>B1</x:v>
      </x:c>
      <x:c r="H781" s="9" t="str">
        <x:v>RCN</x:v>
      </x:c>
      <x:c r="I781" s="9" t="str">
        <x:v>PD07</x:v>
      </x:c>
      <x:c r="J781" s="17" t="str">
        <x:v>Clock and environmental records</x:v>
      </x:c>
      <x:c r="K781" s="17" t="str">
        <x:v>Boundary archive</x:v>
      </x:c>
      <x:c r="L781" s="17" t="str">
        <x:v>COURT-SEALED UNTIL COHORT RELEASE</x:v>
      </x:c>
      <x:c r="M781" s="9" t="n">
        <x:v>0</x:v>
      </x:c>
      <x:c r="N781" s="9" t="n">
        <x:v>0</x:v>
      </x:c>
      <x:c r="O781" s="9" t="n">
        <x:v>0</x:v>
      </x:c>
      <x:c r="P781" s="9" t="str">
        <x:v>HELD / UNRELEASED</x:v>
      </x:c>
      <x:c r="Q781" s="9" t="n">
        <x:f>COUNTIFS($A$7:$A$2310,A781)</x:f>
        <x:v>1</x:v>
      </x:c>
    </x:row>
    <x:row r="782">
      <x:c r="A782" s="9" t="str">
        <x:v>PD-AR-CT-C-B-TECH-4-B1-RCN-G0-PD08</x:v>
      </x:c>
      <x:c r="B782" s="9" t="str">
        <x:v>PD-AR-CT-C-B-TECH-4-B1-RCN-G0</x:v>
      </x:c>
      <x:c r="C782" s="9" t="str">
        <x:v>EV-AR-CT-C-B-TECH-4-B1-RCN-G0</x:v>
      </x:c>
      <x:c r="D782" s="9" t="str">
        <x:v>AR-CT-C-B-TECH-4-B1-RCN-G0</x:v>
      </x:c>
      <x:c r="E782" s="9" t="str">
        <x:v>CT-C-B-TECH-4</x:v>
      </x:c>
      <x:c r="F782" s="9" t="str">
        <x:v>CT-C-B</x:v>
      </x:c>
      <x:c r="G782" s="9" t="str">
        <x:v>B1</x:v>
      </x:c>
      <x:c r="H782" s="9" t="str">
        <x:v>RCN</x:v>
      </x:c>
      <x:c r="I782" s="9" t="str">
        <x:v>PD08</x:v>
      </x:c>
      <x:c r="J782" s="17" t="str">
        <x:v>Command and intervention log</x:v>
      </x:c>
      <x:c r="K782" s="17" t="str">
        <x:v>Safety archive</x:v>
      </x:c>
      <x:c r="L782" s="17" t="str">
        <x:v>COURT-SEALED UNTIL COHORT RELEASE</x:v>
      </x:c>
      <x:c r="M782" s="9" t="n">
        <x:v>0</x:v>
      </x:c>
      <x:c r="N782" s="9" t="n">
        <x:v>0</x:v>
      </x:c>
      <x:c r="O782" s="9" t="n">
        <x:v>0</x:v>
      </x:c>
      <x:c r="P782" s="9" t="str">
        <x:v>HELD / UNRELEASED</x:v>
      </x:c>
      <x:c r="Q782" s="9" t="n">
        <x:f>COUNTIFS($A$7:$A$2310,A782)</x:f>
        <x:v>1</x:v>
      </x:c>
    </x:row>
    <x:row r="783">
      <x:c r="A783" s="9" t="str">
        <x:v>PD-AR-CT-C-B-TECH-4-B1-RCN-G0-PD09</x:v>
      </x:c>
      <x:c r="B783" s="9" t="str">
        <x:v>PD-AR-CT-C-B-TECH-4-B1-RCN-G0</x:v>
      </x:c>
      <x:c r="C783" s="9" t="str">
        <x:v>EV-AR-CT-C-B-TECH-4-B1-RCN-G0</x:v>
      </x:c>
      <x:c r="D783" s="9" t="str">
        <x:v>AR-CT-C-B-TECH-4-B1-RCN-G0</x:v>
      </x:c>
      <x:c r="E783" s="9" t="str">
        <x:v>CT-C-B-TECH-4</x:v>
      </x:c>
      <x:c r="F783" s="9" t="str">
        <x:v>CT-C-B</x:v>
      </x:c>
      <x:c r="G783" s="9" t="str">
        <x:v>B1</x:v>
      </x:c>
      <x:c r="H783" s="9" t="str">
        <x:v>RCN</x:v>
      </x:c>
      <x:c r="I783" s="9" t="str">
        <x:v>PD09</x:v>
      </x:c>
      <x:c r="J783" s="17" t="str">
        <x:v>Receiver denominator and service ledger</x:v>
      </x:c>
      <x:c r="K783" s="17" t="str">
        <x:v>Receiver archive</x:v>
      </x:c>
      <x:c r="L783" s="17" t="str">
        <x:v>COURT-SEALED UNTIL COHORT RELEASE</x:v>
      </x:c>
      <x:c r="M783" s="9" t="n">
        <x:v>0</x:v>
      </x:c>
      <x:c r="N783" s="9" t="n">
        <x:v>0</x:v>
      </x:c>
      <x:c r="O783" s="9" t="n">
        <x:v>0</x:v>
      </x:c>
      <x:c r="P783" s="9" t="str">
        <x:v>HELD / UNRELEASED</x:v>
      </x:c>
      <x:c r="Q783" s="9" t="n">
        <x:f>COUNTIFS($A$7:$A$2310,A783)</x:f>
        <x:v>1</x:v>
      </x:c>
    </x:row>
    <x:row r="784">
      <x:c r="A784" s="9" t="str">
        <x:v>PD-AR-CT-C-B-TECH-4-B1-RCN-G0-PD10</x:v>
      </x:c>
      <x:c r="B784" s="9" t="str">
        <x:v>PD-AR-CT-C-B-TECH-4-B1-RCN-G0</x:v>
      </x:c>
      <x:c r="C784" s="9" t="str">
        <x:v>EV-AR-CT-C-B-TECH-4-B1-RCN-G0</x:v>
      </x:c>
      <x:c r="D784" s="9" t="str">
        <x:v>AR-CT-C-B-TECH-4-B1-RCN-G0</x:v>
      </x:c>
      <x:c r="E784" s="9" t="str">
        <x:v>CT-C-B-TECH-4</x:v>
      </x:c>
      <x:c r="F784" s="9" t="str">
        <x:v>CT-C-B</x:v>
      </x:c>
      <x:c r="G784" s="9" t="str">
        <x:v>B1</x:v>
      </x:c>
      <x:c r="H784" s="9" t="str">
        <x:v>RCN</x:v>
      </x:c>
      <x:c r="I784" s="9" t="str">
        <x:v>PD10</x:v>
      </x:c>
      <x:c r="J784" s="17" t="str">
        <x:v>Calibration and uncertainty record</x:v>
      </x:c>
      <x:c r="K784" s="17" t="str">
        <x:v>Metrology archive</x:v>
      </x:c>
      <x:c r="L784" s="17" t="str">
        <x:v>COURT-SEALED UNTIL COHORT RELEASE</x:v>
      </x:c>
      <x:c r="M784" s="9" t="n">
        <x:v>0</x:v>
      </x:c>
      <x:c r="N784" s="9" t="n">
        <x:v>0</x:v>
      </x:c>
      <x:c r="O784" s="9" t="n">
        <x:v>0</x:v>
      </x:c>
      <x:c r="P784" s="9" t="str">
        <x:v>HELD / UNRELEASED</x:v>
      </x:c>
      <x:c r="Q784" s="9" t="n">
        <x:f>COUNTIFS($A$7:$A$2310,A784)</x:f>
        <x:v>1</x:v>
      </x:c>
    </x:row>
    <x:row r="785">
      <x:c r="A785" s="9" t="str">
        <x:v>PD-AR-CT-C-B-TECH-4-B1-RCN-G0-PD11</x:v>
      </x:c>
      <x:c r="B785" s="9" t="str">
        <x:v>PD-AR-CT-C-B-TECH-4-B1-RCN-G0</x:v>
      </x:c>
      <x:c r="C785" s="9" t="str">
        <x:v>EV-AR-CT-C-B-TECH-4-B1-RCN-G0</x:v>
      </x:c>
      <x:c r="D785" s="9" t="str">
        <x:v>AR-CT-C-B-TECH-4-B1-RCN-G0</x:v>
      </x:c>
      <x:c r="E785" s="9" t="str">
        <x:v>CT-C-B-TECH-4</x:v>
      </x:c>
      <x:c r="F785" s="9" t="str">
        <x:v>CT-C-B</x:v>
      </x:c>
      <x:c r="G785" s="9" t="str">
        <x:v>B1</x:v>
      </x:c>
      <x:c r="H785" s="9" t="str">
        <x:v>RCN</x:v>
      </x:c>
      <x:c r="I785" s="9" t="str">
        <x:v>PD11</x:v>
      </x:c>
      <x:c r="J785" s="17" t="str">
        <x:v>Invalidity petition and opinion</x:v>
      </x:c>
      <x:c r="K785" s="17" t="str">
        <x:v>Invalidity court</x:v>
      </x:c>
      <x:c r="L785" s="17" t="str">
        <x:v>COURT-SEALED UNTIL COHORT RELEASE</x:v>
      </x:c>
      <x:c r="M785" s="9" t="n">
        <x:v>0</x:v>
      </x:c>
      <x:c r="N785" s="9" t="n">
        <x:v>0</x:v>
      </x:c>
      <x:c r="O785" s="9" t="n">
        <x:v>0</x:v>
      </x:c>
      <x:c r="P785" s="9" t="str">
        <x:v>HELD / UNRELEASED</x:v>
      </x:c>
      <x:c r="Q785" s="9" t="n">
        <x:f>COUNTIFS($A$7:$A$2310,A785)</x:f>
        <x:v>1</x:v>
      </x:c>
    </x:row>
    <x:row r="786">
      <x:c r="A786" s="9" t="str">
        <x:v>PD-AR-CT-C-B-TECH-4-B1-RCN-G0-PD12</x:v>
      </x:c>
      <x:c r="B786" s="9" t="str">
        <x:v>PD-AR-CT-C-B-TECH-4-B1-RCN-G0</x:v>
      </x:c>
      <x:c r="C786" s="9" t="str">
        <x:v>EV-AR-CT-C-B-TECH-4-B1-RCN-G0</x:v>
      </x:c>
      <x:c r="D786" s="9" t="str">
        <x:v>AR-CT-C-B-TECH-4-B1-RCN-G0</x:v>
      </x:c>
      <x:c r="E786" s="9" t="str">
        <x:v>CT-C-B-TECH-4</x:v>
      </x:c>
      <x:c r="F786" s="9" t="str">
        <x:v>CT-C-B</x:v>
      </x:c>
      <x:c r="G786" s="9" t="str">
        <x:v>B1</x:v>
      </x:c>
      <x:c r="H786" s="9" t="str">
        <x:v>RCN</x:v>
      </x:c>
      <x:c r="I786" s="9" t="str">
        <x:v>PD12</x:v>
      </x:c>
      <x:c r="J786" s="17" t="str">
        <x:v>Observation acceptance and replay</x:v>
      </x:c>
      <x:c r="K786" s="17" t="str">
        <x:v>Observation court</x:v>
      </x:c>
      <x:c r="L786" s="17" t="str">
        <x:v>COURT-SEALED UNTIL COHORT RELEASE</x:v>
      </x:c>
      <x:c r="M786" s="9" t="n">
        <x:v>0</x:v>
      </x:c>
      <x:c r="N786" s="9" t="n">
        <x:v>0</x:v>
      </x:c>
      <x:c r="O786" s="9" t="n">
        <x:v>0</x:v>
      </x:c>
      <x:c r="P786" s="9" t="str">
        <x:v>HELD / UNRELEASED</x:v>
      </x:c>
      <x:c r="Q786" s="9" t="n">
        <x:f>COUNTIFS($A$7:$A$2310,A786)</x:f>
        <x:v>1</x:v>
      </x:c>
    </x:row>
    <x:row r="787">
      <x:c r="A787" s="9" t="str">
        <x:v>PD-AR-CT-C-B-TECH-4-B1-RCN-G0-PD13</x:v>
      </x:c>
      <x:c r="B787" s="9" t="str">
        <x:v>PD-AR-CT-C-B-TECH-4-B1-RCN-G0</x:v>
      </x:c>
      <x:c r="C787" s="9" t="str">
        <x:v>EV-AR-CT-C-B-TECH-4-B1-RCN-G0</x:v>
      </x:c>
      <x:c r="D787" s="9" t="str">
        <x:v>AR-CT-C-B-TECH-4-B1-RCN-G0</x:v>
      </x:c>
      <x:c r="E787" s="9" t="str">
        <x:v>CT-C-B-TECH-4</x:v>
      </x:c>
      <x:c r="F787" s="9" t="str">
        <x:v>CT-C-B</x:v>
      </x:c>
      <x:c r="G787" s="9" t="str">
        <x:v>B1</x:v>
      </x:c>
      <x:c r="H787" s="9" t="str">
        <x:v>RCN</x:v>
      </x:c>
      <x:c r="I787" s="9" t="str">
        <x:v>PD13</x:v>
      </x:c>
      <x:c r="J787" s="17" t="str">
        <x:v>Role judgment</x:v>
      </x:c>
      <x:c r="K787" s="17" t="str">
        <x:v>Role court</x:v>
      </x:c>
      <x:c r="L787" s="17" t="str">
        <x:v>COURT-SEALED UNTIL COHORT RELEASE</x:v>
      </x:c>
      <x:c r="M787" s="9" t="n">
        <x:v>0</x:v>
      </x:c>
      <x:c r="N787" s="9" t="n">
        <x:v>0</x:v>
      </x:c>
      <x:c r="O787" s="9" t="n">
        <x:v>0</x:v>
      </x:c>
      <x:c r="P787" s="9" t="str">
        <x:v>HELD / UNRELEASED</x:v>
      </x:c>
      <x:c r="Q787" s="9" t="n">
        <x:f>COUNTIFS($A$7:$A$2310,A787)</x:f>
        <x:v>1</x:v>
      </x:c>
    </x:row>
    <x:row r="788">
      <x:c r="A788" s="9" t="str">
        <x:v>PD-AR-CT-C-B-TECH-4-B1-RCN-G0-PD14</x:v>
      </x:c>
      <x:c r="B788" s="9" t="str">
        <x:v>PD-AR-CT-C-B-TECH-4-B1-RCN-G0</x:v>
      </x:c>
      <x:c r="C788" s="9" t="str">
        <x:v>EV-AR-CT-C-B-TECH-4-B1-RCN-G0</x:v>
      </x:c>
      <x:c r="D788" s="9" t="str">
        <x:v>AR-CT-C-B-TECH-4-B1-RCN-G0</x:v>
      </x:c>
      <x:c r="E788" s="9" t="str">
        <x:v>CT-C-B-TECH-4</x:v>
      </x:c>
      <x:c r="F788" s="9" t="str">
        <x:v>CT-C-B</x:v>
      </x:c>
      <x:c r="G788" s="9" t="str">
        <x:v>B1</x:v>
      </x:c>
      <x:c r="H788" s="9" t="str">
        <x:v>RCN</x:v>
      </x:c>
      <x:c r="I788" s="9" t="str">
        <x:v>PD14</x:v>
      </x:c>
      <x:c r="J788" s="17" t="str">
        <x:v>Break and residual account</x:v>
      </x:c>
      <x:c r="K788" s="17" t="str">
        <x:v>Residual authority</x:v>
      </x:c>
      <x:c r="L788" s="17" t="str">
        <x:v>COURT-SEALED UNTIL COHORT RELEASE</x:v>
      </x:c>
      <x:c r="M788" s="9" t="n">
        <x:v>0</x:v>
      </x:c>
      <x:c r="N788" s="9" t="n">
        <x:v>0</x:v>
      </x:c>
      <x:c r="O788" s="9" t="n">
        <x:v>0</x:v>
      </x:c>
      <x:c r="P788" s="9" t="str">
        <x:v>HELD / UNRELEASED</x:v>
      </x:c>
      <x:c r="Q788" s="9" t="n">
        <x:f>COUNTIFS($A$7:$A$2310,A788)</x:f>
        <x:v>1</x:v>
      </x:c>
    </x:row>
    <x:row r="789">
      <x:c r="A789" s="9" t="str">
        <x:v>PD-AR-CT-C-B-TECH-4-B1-RCN-G0-PD15</x:v>
      </x:c>
      <x:c r="B789" s="9" t="str">
        <x:v>PD-AR-CT-C-B-TECH-4-B1-RCN-G0</x:v>
      </x:c>
      <x:c r="C789" s="9" t="str">
        <x:v>EV-AR-CT-C-B-TECH-4-B1-RCN-G0</x:v>
      </x:c>
      <x:c r="D789" s="9" t="str">
        <x:v>AR-CT-C-B-TECH-4-B1-RCN-G0</x:v>
      </x:c>
      <x:c r="E789" s="9" t="str">
        <x:v>CT-C-B-TECH-4</x:v>
      </x:c>
      <x:c r="F789" s="9" t="str">
        <x:v>CT-C-B</x:v>
      </x:c>
      <x:c r="G789" s="9" t="str">
        <x:v>B1</x:v>
      </x:c>
      <x:c r="H789" s="9" t="str">
        <x:v>RCN</x:v>
      </x:c>
      <x:c r="I789" s="9" t="str">
        <x:v>PD15</x:v>
      </x:c>
      <x:c r="J789" s="17" t="str">
        <x:v>Reconstruction ancestry and replay</x:v>
      </x:c>
      <x:c r="K789" s="17" t="str">
        <x:v>Reconstruction court</x:v>
      </x:c>
      <x:c r="L789" s="17" t="str">
        <x:v>COURT-SEALED UNTIL COHORT RELEASE</x:v>
      </x:c>
      <x:c r="M789" s="9" t="n">
        <x:v>0</x:v>
      </x:c>
      <x:c r="N789" s="9" t="n">
        <x:v>0</x:v>
      </x:c>
      <x:c r="O789" s="9" t="n">
        <x:v>0</x:v>
      </x:c>
      <x:c r="P789" s="9" t="str">
        <x:v>HELD / UNRELEASED</x:v>
      </x:c>
      <x:c r="Q789" s="9" t="n">
        <x:f>COUNTIFS($A$7:$A$2310,A789)</x:f>
        <x:v>1</x:v>
      </x:c>
    </x:row>
    <x:row r="790">
      <x:c r="A790" s="9" t="str">
        <x:v>PD-AR-CT-C-B-TECH-4-B1-RCN-G0-PD16</x:v>
      </x:c>
      <x:c r="B790" s="9" t="str">
        <x:v>PD-AR-CT-C-B-TECH-4-B1-RCN-G0</x:v>
      </x:c>
      <x:c r="C790" s="9" t="str">
        <x:v>EV-AR-CT-C-B-TECH-4-B1-RCN-G0</x:v>
      </x:c>
      <x:c r="D790" s="9" t="str">
        <x:v>AR-CT-C-B-TECH-4-B1-RCN-G0</x:v>
      </x:c>
      <x:c r="E790" s="9" t="str">
        <x:v>CT-C-B-TECH-4</x:v>
      </x:c>
      <x:c r="F790" s="9" t="str">
        <x:v>CT-C-B</x:v>
      </x:c>
      <x:c r="G790" s="9" t="str">
        <x:v>B1</x:v>
      </x:c>
      <x:c r="H790" s="9" t="str">
        <x:v>RCN</x:v>
      </x:c>
      <x:c r="I790" s="9" t="str">
        <x:v>PD16</x:v>
      </x:c>
      <x:c r="J790" s="17" t="str">
        <x:v>Dissent, amendments and access log</x:v>
      </x:c>
      <x:c r="K790" s="17" t="str">
        <x:v>Public archive</x:v>
      </x:c>
      <x:c r="L790" s="17" t="str">
        <x:v>COURT-SEALED UNTIL COHORT RELEASE</x:v>
      </x:c>
      <x:c r="M790" s="9" t="n">
        <x:v>0</x:v>
      </x:c>
      <x:c r="N790" s="9" t="n">
        <x:v>0</x:v>
      </x:c>
      <x:c r="O790" s="9" t="n">
        <x:v>0</x:v>
      </x:c>
      <x:c r="P790" s="9" t="str">
        <x:v>HELD / UNRELEASED</x:v>
      </x:c>
      <x:c r="Q790" s="9" t="n">
        <x:f>COUNTIFS($A$7:$A$2310,A790)</x:f>
        <x:v>1</x:v>
      </x:c>
    </x:row>
    <x:row r="791">
      <x:c r="A791" s="9" t="str">
        <x:v>PD-AR-CT-C-B-TECH-2-B1-INT-G0-PD01</x:v>
      </x:c>
      <x:c r="B791" s="9" t="str">
        <x:v>PD-AR-CT-C-B-TECH-2-B1-INT-G0</x:v>
      </x:c>
      <x:c r="C791" s="9" t="str">
        <x:v>EV-AR-CT-C-B-TECH-2-B1-INT-G0</x:v>
      </x:c>
      <x:c r="D791" s="9" t="str">
        <x:v>AR-CT-C-B-TECH-2-B1-INT-G0</x:v>
      </x:c>
      <x:c r="E791" s="9" t="str">
        <x:v>CT-C-B-TECH-2</x:v>
      </x:c>
      <x:c r="F791" s="9" t="str">
        <x:v>CT-C-B</x:v>
      </x:c>
      <x:c r="G791" s="9" t="str">
        <x:v>B1</x:v>
      </x:c>
      <x:c r="H791" s="9" t="str">
        <x:v>INT</x:v>
      </x:c>
      <x:c r="I791" s="9" t="str">
        <x:v>PD01</x:v>
      </x:c>
      <x:c r="J791" s="17" t="str">
        <x:v>Experiment kernel</x:v>
      </x:c>
      <x:c r="K791" s="17" t="str">
        <x:v>Public archive</x:v>
      </x:c>
      <x:c r="L791" s="17" t="str">
        <x:v>COURT-SEALED UNTIL COHORT RELEASE</x:v>
      </x:c>
      <x:c r="M791" s="9" t="n">
        <x:v>0</x:v>
      </x:c>
      <x:c r="N791" s="9" t="n">
        <x:v>0</x:v>
      </x:c>
      <x:c r="O791" s="9" t="n">
        <x:v>0</x:v>
      </x:c>
      <x:c r="P791" s="9" t="str">
        <x:v>HELD / UNRELEASED</x:v>
      </x:c>
      <x:c r="Q791" s="9" t="n">
        <x:f>COUNTIFS($A$7:$A$2310,A791)</x:f>
        <x:v>1</x:v>
      </x:c>
    </x:row>
    <x:row r="792">
      <x:c r="A792" s="9" t="str">
        <x:v>PD-AR-CT-C-B-TECH-2-B1-INT-G0-PD02</x:v>
      </x:c>
      <x:c r="B792" s="9" t="str">
        <x:v>PD-AR-CT-C-B-TECH-2-B1-INT-G0</x:v>
      </x:c>
      <x:c r="C792" s="9" t="str">
        <x:v>EV-AR-CT-C-B-TECH-2-B1-INT-G0</x:v>
      </x:c>
      <x:c r="D792" s="9" t="str">
        <x:v>AR-CT-C-B-TECH-2-B1-INT-G0</x:v>
      </x:c>
      <x:c r="E792" s="9" t="str">
        <x:v>CT-C-B-TECH-2</x:v>
      </x:c>
      <x:c r="F792" s="9" t="str">
        <x:v>CT-C-B</x:v>
      </x:c>
      <x:c r="G792" s="9" t="str">
        <x:v>B1</x:v>
      </x:c>
      <x:c r="H792" s="9" t="str">
        <x:v>INT</x:v>
      </x:c>
      <x:c r="I792" s="9" t="str">
        <x:v>PD02</x:v>
      </x:c>
      <x:c r="J792" s="17" t="str">
        <x:v>Serial annex and title chain</x:v>
      </x:c>
      <x:c r="K792" s="17" t="str">
        <x:v>Public archive</x:v>
      </x:c>
      <x:c r="L792" s="17" t="str">
        <x:v>COURT-SEALED UNTIL COHORT RELEASE</x:v>
      </x:c>
      <x:c r="M792" s="9" t="n">
        <x:v>0</x:v>
      </x:c>
      <x:c r="N792" s="9" t="n">
        <x:v>0</x:v>
      </x:c>
      <x:c r="O792" s="9" t="n">
        <x:v>0</x:v>
      </x:c>
      <x:c r="P792" s="9" t="str">
        <x:v>HELD / UNRELEASED</x:v>
      </x:c>
      <x:c r="Q792" s="9" t="n">
        <x:f>COUNTIFS($A$7:$A$2310,A792)</x:f>
        <x:v>1</x:v>
      </x:c>
    </x:row>
    <x:row r="793">
      <x:c r="A793" s="9" t="str">
        <x:v>PD-AR-CT-C-B-TECH-2-B1-INT-G0-PD03</x:v>
      </x:c>
      <x:c r="B793" s="9" t="str">
        <x:v>PD-AR-CT-C-B-TECH-2-B1-INT-G0</x:v>
      </x:c>
      <x:c r="C793" s="9" t="str">
        <x:v>EV-AR-CT-C-B-TECH-2-B1-INT-G0</x:v>
      </x:c>
      <x:c r="D793" s="9" t="str">
        <x:v>AR-CT-C-B-TECH-2-B1-INT-G0</x:v>
      </x:c>
      <x:c r="E793" s="9" t="str">
        <x:v>CT-C-B-TECH-2</x:v>
      </x:c>
      <x:c r="F793" s="9" t="str">
        <x:v>CT-C-B</x:v>
      </x:c>
      <x:c r="G793" s="9" t="str">
        <x:v>B1</x:v>
      </x:c>
      <x:c r="H793" s="9" t="str">
        <x:v>INT</x:v>
      </x:c>
      <x:c r="I793" s="9" t="str">
        <x:v>PD03</x:v>
      </x:c>
      <x:c r="J793" s="17" t="str">
        <x:v>Configuration and as-built manifest</x:v>
      </x:c>
      <x:c r="K793" s="17" t="str">
        <x:v>Artifact exchange</x:v>
      </x:c>
      <x:c r="L793" s="17" t="str">
        <x:v>COURT-SEALED UNTIL COHORT RELEASE</x:v>
      </x:c>
      <x:c r="M793" s="9" t="n">
        <x:v>0</x:v>
      </x:c>
      <x:c r="N793" s="9" t="n">
        <x:v>0</x:v>
      </x:c>
      <x:c r="O793" s="9" t="n">
        <x:v>0</x:v>
      </x:c>
      <x:c r="P793" s="9" t="str">
        <x:v>HELD / UNRELEASED</x:v>
      </x:c>
      <x:c r="Q793" s="9" t="n">
        <x:f>COUNTIFS($A$7:$A$2310,A793)</x:f>
        <x:v>1</x:v>
      </x:c>
    </x:row>
    <x:row r="794">
      <x:c r="A794" s="9" t="str">
        <x:v>PD-AR-CT-C-B-TECH-2-B1-INT-G0-PD04</x:v>
      </x:c>
      <x:c r="B794" s="9" t="str">
        <x:v>PD-AR-CT-C-B-TECH-2-B1-INT-G0</x:v>
      </x:c>
      <x:c r="C794" s="9" t="str">
        <x:v>EV-AR-CT-C-B-TECH-2-B1-INT-G0</x:v>
      </x:c>
      <x:c r="D794" s="9" t="str">
        <x:v>AR-CT-C-B-TECH-2-B1-INT-G0</x:v>
      </x:c>
      <x:c r="E794" s="9" t="str">
        <x:v>CT-C-B-TECH-2</x:v>
      </x:c>
      <x:c r="F794" s="9" t="str">
        <x:v>CT-C-B</x:v>
      </x:c>
      <x:c r="G794" s="9" t="str">
        <x:v>B1</x:v>
      </x:c>
      <x:c r="H794" s="9" t="str">
        <x:v>INT</x:v>
      </x:c>
      <x:c r="I794" s="9" t="str">
        <x:v>PD04</x:v>
      </x:c>
      <x:c r="J794" s="17" t="str">
        <x:v>EOW and start certificate</x:v>
      </x:c>
      <x:c r="K794" s="17" t="str">
        <x:v>Start registrar</x:v>
      </x:c>
      <x:c r="L794" s="17" t="str">
        <x:v>COURT-SEALED UNTIL COHORT RELEASE</x:v>
      </x:c>
      <x:c r="M794" s="9" t="n">
        <x:v>0</x:v>
      </x:c>
      <x:c r="N794" s="9" t="n">
        <x:v>0</x:v>
      </x:c>
      <x:c r="O794" s="9" t="n">
        <x:v>0</x:v>
      </x:c>
      <x:c r="P794" s="9" t="str">
        <x:v>HELD / UNRELEASED</x:v>
      </x:c>
      <x:c r="Q794" s="9" t="n">
        <x:f>COUNTIFS($A$7:$A$2310,A794)</x:f>
        <x:v>1</x:v>
      </x:c>
    </x:row>
    <x:row r="795">
      <x:c r="A795" s="9" t="str">
        <x:v>PD-AR-CT-C-B-TECH-2-B1-INT-G0-PD05</x:v>
      </x:c>
      <x:c r="B795" s="9" t="str">
        <x:v>PD-AR-CT-C-B-TECH-2-B1-INT-G0</x:v>
      </x:c>
      <x:c r="C795" s="9" t="str">
        <x:v>EV-AR-CT-C-B-TECH-2-B1-INT-G0</x:v>
      </x:c>
      <x:c r="D795" s="9" t="str">
        <x:v>AR-CT-C-B-TECH-2-B1-INT-G0</x:v>
      </x:c>
      <x:c r="E795" s="9" t="str">
        <x:v>CT-C-B-TECH-2</x:v>
      </x:c>
      <x:c r="F795" s="9" t="str">
        <x:v>CT-C-B</x:v>
      </x:c>
      <x:c r="G795" s="9" t="str">
        <x:v>B1</x:v>
      </x:c>
      <x:c r="H795" s="9" t="str">
        <x:v>INT</x:v>
      </x:c>
      <x:c r="I795" s="9" t="str">
        <x:v>PD05</x:v>
      </x:c>
      <x:c r="J795" s="17" t="str">
        <x:v>Primary raw originals</x:v>
      </x:c>
      <x:c r="K795" s="17" t="str">
        <x:v>Primary custody</x:v>
      </x:c>
      <x:c r="L795" s="17" t="str">
        <x:v>COURT-SEALED UNTIL COHORT RELEASE</x:v>
      </x:c>
      <x:c r="M795" s="9" t="n">
        <x:v>0</x:v>
      </x:c>
      <x:c r="N795" s="9" t="n">
        <x:v>0</x:v>
      </x:c>
      <x:c r="O795" s="9" t="n">
        <x:v>0</x:v>
      </x:c>
      <x:c r="P795" s="9" t="str">
        <x:v>HELD / UNRELEASED</x:v>
      </x:c>
      <x:c r="Q795" s="9" t="n">
        <x:f>COUNTIFS($A$7:$A$2310,A795)</x:f>
        <x:v>1</x:v>
      </x:c>
    </x:row>
    <x:row r="796">
      <x:c r="A796" s="9" t="str">
        <x:v>PD-AR-CT-C-B-TECH-2-B1-INT-G0-PD06</x:v>
      </x:c>
      <x:c r="B796" s="9" t="str">
        <x:v>PD-AR-CT-C-B-TECH-2-B1-INT-G0</x:v>
      </x:c>
      <x:c r="C796" s="9" t="str">
        <x:v>EV-AR-CT-C-B-TECH-2-B1-INT-G0</x:v>
      </x:c>
      <x:c r="D796" s="9" t="str">
        <x:v>AR-CT-C-B-TECH-2-B1-INT-G0</x:v>
      </x:c>
      <x:c r="E796" s="9" t="str">
        <x:v>CT-C-B-TECH-2</x:v>
      </x:c>
      <x:c r="F796" s="9" t="str">
        <x:v>CT-C-B</x:v>
      </x:c>
      <x:c r="G796" s="9" t="str">
        <x:v>B1</x:v>
      </x:c>
      <x:c r="H796" s="9" t="str">
        <x:v>INT</x:v>
      </x:c>
      <x:c r="I796" s="9" t="str">
        <x:v>PD06</x:v>
      </x:c>
      <x:c r="J796" s="17" t="str">
        <x:v>Witness raw originals</x:v>
      </x:c>
      <x:c r="K796" s="17" t="str">
        <x:v>Witness custody</x:v>
      </x:c>
      <x:c r="L796" s="17" t="str">
        <x:v>COURT-SEALED UNTIL COHORT RELEASE</x:v>
      </x:c>
      <x:c r="M796" s="9" t="n">
        <x:v>0</x:v>
      </x:c>
      <x:c r="N796" s="9" t="n">
        <x:v>0</x:v>
      </x:c>
      <x:c r="O796" s="9" t="n">
        <x:v>0</x:v>
      </x:c>
      <x:c r="P796" s="9" t="str">
        <x:v>HELD / UNRELEASED</x:v>
      </x:c>
      <x:c r="Q796" s="9" t="n">
        <x:f>COUNTIFS($A$7:$A$2310,A796)</x:f>
        <x:v>1</x:v>
      </x:c>
    </x:row>
    <x:row r="797">
      <x:c r="A797" s="9" t="str">
        <x:v>PD-AR-CT-C-B-TECH-2-B1-INT-G0-PD07</x:v>
      </x:c>
      <x:c r="B797" s="9" t="str">
        <x:v>PD-AR-CT-C-B-TECH-2-B1-INT-G0</x:v>
      </x:c>
      <x:c r="C797" s="9" t="str">
        <x:v>EV-AR-CT-C-B-TECH-2-B1-INT-G0</x:v>
      </x:c>
      <x:c r="D797" s="9" t="str">
        <x:v>AR-CT-C-B-TECH-2-B1-INT-G0</x:v>
      </x:c>
      <x:c r="E797" s="9" t="str">
        <x:v>CT-C-B-TECH-2</x:v>
      </x:c>
      <x:c r="F797" s="9" t="str">
        <x:v>CT-C-B</x:v>
      </x:c>
      <x:c r="G797" s="9" t="str">
        <x:v>B1</x:v>
      </x:c>
      <x:c r="H797" s="9" t="str">
        <x:v>INT</x:v>
      </x:c>
      <x:c r="I797" s="9" t="str">
        <x:v>PD07</x:v>
      </x:c>
      <x:c r="J797" s="17" t="str">
        <x:v>Clock and environmental records</x:v>
      </x:c>
      <x:c r="K797" s="17" t="str">
        <x:v>Boundary archive</x:v>
      </x:c>
      <x:c r="L797" s="17" t="str">
        <x:v>COURT-SEALED UNTIL COHORT RELEASE</x:v>
      </x:c>
      <x:c r="M797" s="9" t="n">
        <x:v>0</x:v>
      </x:c>
      <x:c r="N797" s="9" t="n">
        <x:v>0</x:v>
      </x:c>
      <x:c r="O797" s="9" t="n">
        <x:v>0</x:v>
      </x:c>
      <x:c r="P797" s="9" t="str">
        <x:v>HELD / UNRELEASED</x:v>
      </x:c>
      <x:c r="Q797" s="9" t="n">
        <x:f>COUNTIFS($A$7:$A$2310,A797)</x:f>
        <x:v>1</x:v>
      </x:c>
    </x:row>
    <x:row r="798">
      <x:c r="A798" s="9" t="str">
        <x:v>PD-AR-CT-C-B-TECH-2-B1-INT-G0-PD08</x:v>
      </x:c>
      <x:c r="B798" s="9" t="str">
        <x:v>PD-AR-CT-C-B-TECH-2-B1-INT-G0</x:v>
      </x:c>
      <x:c r="C798" s="9" t="str">
        <x:v>EV-AR-CT-C-B-TECH-2-B1-INT-G0</x:v>
      </x:c>
      <x:c r="D798" s="9" t="str">
        <x:v>AR-CT-C-B-TECH-2-B1-INT-G0</x:v>
      </x:c>
      <x:c r="E798" s="9" t="str">
        <x:v>CT-C-B-TECH-2</x:v>
      </x:c>
      <x:c r="F798" s="9" t="str">
        <x:v>CT-C-B</x:v>
      </x:c>
      <x:c r="G798" s="9" t="str">
        <x:v>B1</x:v>
      </x:c>
      <x:c r="H798" s="9" t="str">
        <x:v>INT</x:v>
      </x:c>
      <x:c r="I798" s="9" t="str">
        <x:v>PD08</x:v>
      </x:c>
      <x:c r="J798" s="17" t="str">
        <x:v>Command and intervention log</x:v>
      </x:c>
      <x:c r="K798" s="17" t="str">
        <x:v>Safety archive</x:v>
      </x:c>
      <x:c r="L798" s="17" t="str">
        <x:v>COURT-SEALED UNTIL COHORT RELEASE</x:v>
      </x:c>
      <x:c r="M798" s="9" t="n">
        <x:v>0</x:v>
      </x:c>
      <x:c r="N798" s="9" t="n">
        <x:v>0</x:v>
      </x:c>
      <x:c r="O798" s="9" t="n">
        <x:v>0</x:v>
      </x:c>
      <x:c r="P798" s="9" t="str">
        <x:v>HELD / UNRELEASED</x:v>
      </x:c>
      <x:c r="Q798" s="9" t="n">
        <x:f>COUNTIFS($A$7:$A$2310,A798)</x:f>
        <x:v>1</x:v>
      </x:c>
    </x:row>
    <x:row r="799">
      <x:c r="A799" s="9" t="str">
        <x:v>PD-AR-CT-C-B-TECH-2-B1-INT-G0-PD09</x:v>
      </x:c>
      <x:c r="B799" s="9" t="str">
        <x:v>PD-AR-CT-C-B-TECH-2-B1-INT-G0</x:v>
      </x:c>
      <x:c r="C799" s="9" t="str">
        <x:v>EV-AR-CT-C-B-TECH-2-B1-INT-G0</x:v>
      </x:c>
      <x:c r="D799" s="9" t="str">
        <x:v>AR-CT-C-B-TECH-2-B1-INT-G0</x:v>
      </x:c>
      <x:c r="E799" s="9" t="str">
        <x:v>CT-C-B-TECH-2</x:v>
      </x:c>
      <x:c r="F799" s="9" t="str">
        <x:v>CT-C-B</x:v>
      </x:c>
      <x:c r="G799" s="9" t="str">
        <x:v>B1</x:v>
      </x:c>
      <x:c r="H799" s="9" t="str">
        <x:v>INT</x:v>
      </x:c>
      <x:c r="I799" s="9" t="str">
        <x:v>PD09</x:v>
      </x:c>
      <x:c r="J799" s="17" t="str">
        <x:v>Receiver denominator and service ledger</x:v>
      </x:c>
      <x:c r="K799" s="17" t="str">
        <x:v>Receiver archive</x:v>
      </x:c>
      <x:c r="L799" s="17" t="str">
        <x:v>COURT-SEALED UNTIL COHORT RELEASE</x:v>
      </x:c>
      <x:c r="M799" s="9" t="n">
        <x:v>0</x:v>
      </x:c>
      <x:c r="N799" s="9" t="n">
        <x:v>0</x:v>
      </x:c>
      <x:c r="O799" s="9" t="n">
        <x:v>0</x:v>
      </x:c>
      <x:c r="P799" s="9" t="str">
        <x:v>HELD / UNRELEASED</x:v>
      </x:c>
      <x:c r="Q799" s="9" t="n">
        <x:f>COUNTIFS($A$7:$A$2310,A799)</x:f>
        <x:v>1</x:v>
      </x:c>
    </x:row>
    <x:row r="800">
      <x:c r="A800" s="9" t="str">
        <x:v>PD-AR-CT-C-B-TECH-2-B1-INT-G0-PD10</x:v>
      </x:c>
      <x:c r="B800" s="9" t="str">
        <x:v>PD-AR-CT-C-B-TECH-2-B1-INT-G0</x:v>
      </x:c>
      <x:c r="C800" s="9" t="str">
        <x:v>EV-AR-CT-C-B-TECH-2-B1-INT-G0</x:v>
      </x:c>
      <x:c r="D800" s="9" t="str">
        <x:v>AR-CT-C-B-TECH-2-B1-INT-G0</x:v>
      </x:c>
      <x:c r="E800" s="9" t="str">
        <x:v>CT-C-B-TECH-2</x:v>
      </x:c>
      <x:c r="F800" s="9" t="str">
        <x:v>CT-C-B</x:v>
      </x:c>
      <x:c r="G800" s="9" t="str">
        <x:v>B1</x:v>
      </x:c>
      <x:c r="H800" s="9" t="str">
        <x:v>INT</x:v>
      </x:c>
      <x:c r="I800" s="9" t="str">
        <x:v>PD10</x:v>
      </x:c>
      <x:c r="J800" s="17" t="str">
        <x:v>Calibration and uncertainty record</x:v>
      </x:c>
      <x:c r="K800" s="17" t="str">
        <x:v>Metrology archive</x:v>
      </x:c>
      <x:c r="L800" s="17" t="str">
        <x:v>COURT-SEALED UNTIL COHORT RELEASE</x:v>
      </x:c>
      <x:c r="M800" s="9" t="n">
        <x:v>0</x:v>
      </x:c>
      <x:c r="N800" s="9" t="n">
        <x:v>0</x:v>
      </x:c>
      <x:c r="O800" s="9" t="n">
        <x:v>0</x:v>
      </x:c>
      <x:c r="P800" s="9" t="str">
        <x:v>HELD / UNRELEASED</x:v>
      </x:c>
      <x:c r="Q800" s="9" t="n">
        <x:f>COUNTIFS($A$7:$A$2310,A800)</x:f>
        <x:v>1</x:v>
      </x:c>
    </x:row>
    <x:row r="801">
      <x:c r="A801" s="9" t="str">
        <x:v>PD-AR-CT-C-B-TECH-2-B1-INT-G0-PD11</x:v>
      </x:c>
      <x:c r="B801" s="9" t="str">
        <x:v>PD-AR-CT-C-B-TECH-2-B1-INT-G0</x:v>
      </x:c>
      <x:c r="C801" s="9" t="str">
        <x:v>EV-AR-CT-C-B-TECH-2-B1-INT-G0</x:v>
      </x:c>
      <x:c r="D801" s="9" t="str">
        <x:v>AR-CT-C-B-TECH-2-B1-INT-G0</x:v>
      </x:c>
      <x:c r="E801" s="9" t="str">
        <x:v>CT-C-B-TECH-2</x:v>
      </x:c>
      <x:c r="F801" s="9" t="str">
        <x:v>CT-C-B</x:v>
      </x:c>
      <x:c r="G801" s="9" t="str">
        <x:v>B1</x:v>
      </x:c>
      <x:c r="H801" s="9" t="str">
        <x:v>INT</x:v>
      </x:c>
      <x:c r="I801" s="9" t="str">
        <x:v>PD11</x:v>
      </x:c>
      <x:c r="J801" s="17" t="str">
        <x:v>Invalidity petition and opinion</x:v>
      </x:c>
      <x:c r="K801" s="17" t="str">
        <x:v>Invalidity court</x:v>
      </x:c>
      <x:c r="L801" s="17" t="str">
        <x:v>COURT-SEALED UNTIL COHORT RELEASE</x:v>
      </x:c>
      <x:c r="M801" s="9" t="n">
        <x:v>0</x:v>
      </x:c>
      <x:c r="N801" s="9" t="n">
        <x:v>0</x:v>
      </x:c>
      <x:c r="O801" s="9" t="n">
        <x:v>0</x:v>
      </x:c>
      <x:c r="P801" s="9" t="str">
        <x:v>HELD / UNRELEASED</x:v>
      </x:c>
      <x:c r="Q801" s="9" t="n">
        <x:f>COUNTIFS($A$7:$A$2310,A801)</x:f>
        <x:v>1</x:v>
      </x:c>
    </x:row>
    <x:row r="802">
      <x:c r="A802" s="9" t="str">
        <x:v>PD-AR-CT-C-B-TECH-2-B1-INT-G0-PD12</x:v>
      </x:c>
      <x:c r="B802" s="9" t="str">
        <x:v>PD-AR-CT-C-B-TECH-2-B1-INT-G0</x:v>
      </x:c>
      <x:c r="C802" s="9" t="str">
        <x:v>EV-AR-CT-C-B-TECH-2-B1-INT-G0</x:v>
      </x:c>
      <x:c r="D802" s="9" t="str">
        <x:v>AR-CT-C-B-TECH-2-B1-INT-G0</x:v>
      </x:c>
      <x:c r="E802" s="9" t="str">
        <x:v>CT-C-B-TECH-2</x:v>
      </x:c>
      <x:c r="F802" s="9" t="str">
        <x:v>CT-C-B</x:v>
      </x:c>
      <x:c r="G802" s="9" t="str">
        <x:v>B1</x:v>
      </x:c>
      <x:c r="H802" s="9" t="str">
        <x:v>INT</x:v>
      </x:c>
      <x:c r="I802" s="9" t="str">
        <x:v>PD12</x:v>
      </x:c>
      <x:c r="J802" s="17" t="str">
        <x:v>Observation acceptance and replay</x:v>
      </x:c>
      <x:c r="K802" s="17" t="str">
        <x:v>Observation court</x:v>
      </x:c>
      <x:c r="L802" s="17" t="str">
        <x:v>COURT-SEALED UNTIL COHORT RELEASE</x:v>
      </x:c>
      <x:c r="M802" s="9" t="n">
        <x:v>0</x:v>
      </x:c>
      <x:c r="N802" s="9" t="n">
        <x:v>0</x:v>
      </x:c>
      <x:c r="O802" s="9" t="n">
        <x:v>0</x:v>
      </x:c>
      <x:c r="P802" s="9" t="str">
        <x:v>HELD / UNRELEASED</x:v>
      </x:c>
      <x:c r="Q802" s="9" t="n">
        <x:f>COUNTIFS($A$7:$A$2310,A802)</x:f>
        <x:v>1</x:v>
      </x:c>
    </x:row>
    <x:row r="803">
      <x:c r="A803" s="9" t="str">
        <x:v>PD-AR-CT-C-B-TECH-2-B1-INT-G0-PD13</x:v>
      </x:c>
      <x:c r="B803" s="9" t="str">
        <x:v>PD-AR-CT-C-B-TECH-2-B1-INT-G0</x:v>
      </x:c>
      <x:c r="C803" s="9" t="str">
        <x:v>EV-AR-CT-C-B-TECH-2-B1-INT-G0</x:v>
      </x:c>
      <x:c r="D803" s="9" t="str">
        <x:v>AR-CT-C-B-TECH-2-B1-INT-G0</x:v>
      </x:c>
      <x:c r="E803" s="9" t="str">
        <x:v>CT-C-B-TECH-2</x:v>
      </x:c>
      <x:c r="F803" s="9" t="str">
        <x:v>CT-C-B</x:v>
      </x:c>
      <x:c r="G803" s="9" t="str">
        <x:v>B1</x:v>
      </x:c>
      <x:c r="H803" s="9" t="str">
        <x:v>INT</x:v>
      </x:c>
      <x:c r="I803" s="9" t="str">
        <x:v>PD13</x:v>
      </x:c>
      <x:c r="J803" s="17" t="str">
        <x:v>Role judgment</x:v>
      </x:c>
      <x:c r="K803" s="17" t="str">
        <x:v>Role court</x:v>
      </x:c>
      <x:c r="L803" s="17" t="str">
        <x:v>COURT-SEALED UNTIL COHORT RELEASE</x:v>
      </x:c>
      <x:c r="M803" s="9" t="n">
        <x:v>0</x:v>
      </x:c>
      <x:c r="N803" s="9" t="n">
        <x:v>0</x:v>
      </x:c>
      <x:c r="O803" s="9" t="n">
        <x:v>0</x:v>
      </x:c>
      <x:c r="P803" s="9" t="str">
        <x:v>HELD / UNRELEASED</x:v>
      </x:c>
      <x:c r="Q803" s="9" t="n">
        <x:f>COUNTIFS($A$7:$A$2310,A803)</x:f>
        <x:v>1</x:v>
      </x:c>
    </x:row>
    <x:row r="804">
      <x:c r="A804" s="9" t="str">
        <x:v>PD-AR-CT-C-B-TECH-2-B1-INT-G0-PD14</x:v>
      </x:c>
      <x:c r="B804" s="9" t="str">
        <x:v>PD-AR-CT-C-B-TECH-2-B1-INT-G0</x:v>
      </x:c>
      <x:c r="C804" s="9" t="str">
        <x:v>EV-AR-CT-C-B-TECH-2-B1-INT-G0</x:v>
      </x:c>
      <x:c r="D804" s="9" t="str">
        <x:v>AR-CT-C-B-TECH-2-B1-INT-G0</x:v>
      </x:c>
      <x:c r="E804" s="9" t="str">
        <x:v>CT-C-B-TECH-2</x:v>
      </x:c>
      <x:c r="F804" s="9" t="str">
        <x:v>CT-C-B</x:v>
      </x:c>
      <x:c r="G804" s="9" t="str">
        <x:v>B1</x:v>
      </x:c>
      <x:c r="H804" s="9" t="str">
        <x:v>INT</x:v>
      </x:c>
      <x:c r="I804" s="9" t="str">
        <x:v>PD14</x:v>
      </x:c>
      <x:c r="J804" s="17" t="str">
        <x:v>Break and residual account</x:v>
      </x:c>
      <x:c r="K804" s="17" t="str">
        <x:v>Residual authority</x:v>
      </x:c>
      <x:c r="L804" s="17" t="str">
        <x:v>COURT-SEALED UNTIL COHORT RELEASE</x:v>
      </x:c>
      <x:c r="M804" s="9" t="n">
        <x:v>0</x:v>
      </x:c>
      <x:c r="N804" s="9" t="n">
        <x:v>0</x:v>
      </x:c>
      <x:c r="O804" s="9" t="n">
        <x:v>0</x:v>
      </x:c>
      <x:c r="P804" s="9" t="str">
        <x:v>HELD / UNRELEASED</x:v>
      </x:c>
      <x:c r="Q804" s="9" t="n">
        <x:f>COUNTIFS($A$7:$A$2310,A804)</x:f>
        <x:v>1</x:v>
      </x:c>
    </x:row>
    <x:row r="805">
      <x:c r="A805" s="9" t="str">
        <x:v>PD-AR-CT-C-B-TECH-2-B1-INT-G0-PD15</x:v>
      </x:c>
      <x:c r="B805" s="9" t="str">
        <x:v>PD-AR-CT-C-B-TECH-2-B1-INT-G0</x:v>
      </x:c>
      <x:c r="C805" s="9" t="str">
        <x:v>EV-AR-CT-C-B-TECH-2-B1-INT-G0</x:v>
      </x:c>
      <x:c r="D805" s="9" t="str">
        <x:v>AR-CT-C-B-TECH-2-B1-INT-G0</x:v>
      </x:c>
      <x:c r="E805" s="9" t="str">
        <x:v>CT-C-B-TECH-2</x:v>
      </x:c>
      <x:c r="F805" s="9" t="str">
        <x:v>CT-C-B</x:v>
      </x:c>
      <x:c r="G805" s="9" t="str">
        <x:v>B1</x:v>
      </x:c>
      <x:c r="H805" s="9" t="str">
        <x:v>INT</x:v>
      </x:c>
      <x:c r="I805" s="9" t="str">
        <x:v>PD15</x:v>
      </x:c>
      <x:c r="J805" s="17" t="str">
        <x:v>Reconstruction ancestry and replay</x:v>
      </x:c>
      <x:c r="K805" s="17" t="str">
        <x:v>Reconstruction court</x:v>
      </x:c>
      <x:c r="L805" s="17" t="str">
        <x:v>COURT-SEALED UNTIL COHORT RELEASE</x:v>
      </x:c>
      <x:c r="M805" s="9" t="n">
        <x:v>0</x:v>
      </x:c>
      <x:c r="N805" s="9" t="n">
        <x:v>0</x:v>
      </x:c>
      <x:c r="O805" s="9" t="n">
        <x:v>0</x:v>
      </x:c>
      <x:c r="P805" s="9" t="str">
        <x:v>HELD / UNRELEASED</x:v>
      </x:c>
      <x:c r="Q805" s="9" t="n">
        <x:f>COUNTIFS($A$7:$A$2310,A805)</x:f>
        <x:v>1</x:v>
      </x:c>
    </x:row>
    <x:row r="806">
      <x:c r="A806" s="9" t="str">
        <x:v>PD-AR-CT-C-B-TECH-2-B1-INT-G0-PD16</x:v>
      </x:c>
      <x:c r="B806" s="9" t="str">
        <x:v>PD-AR-CT-C-B-TECH-2-B1-INT-G0</x:v>
      </x:c>
      <x:c r="C806" s="9" t="str">
        <x:v>EV-AR-CT-C-B-TECH-2-B1-INT-G0</x:v>
      </x:c>
      <x:c r="D806" s="9" t="str">
        <x:v>AR-CT-C-B-TECH-2-B1-INT-G0</x:v>
      </x:c>
      <x:c r="E806" s="9" t="str">
        <x:v>CT-C-B-TECH-2</x:v>
      </x:c>
      <x:c r="F806" s="9" t="str">
        <x:v>CT-C-B</x:v>
      </x:c>
      <x:c r="G806" s="9" t="str">
        <x:v>B1</x:v>
      </x:c>
      <x:c r="H806" s="9" t="str">
        <x:v>INT</x:v>
      </x:c>
      <x:c r="I806" s="9" t="str">
        <x:v>PD16</x:v>
      </x:c>
      <x:c r="J806" s="17" t="str">
        <x:v>Dissent, amendments and access log</x:v>
      </x:c>
      <x:c r="K806" s="17" t="str">
        <x:v>Public archive</x:v>
      </x:c>
      <x:c r="L806" s="17" t="str">
        <x:v>COURT-SEALED UNTIL COHORT RELEASE</x:v>
      </x:c>
      <x:c r="M806" s="9" t="n">
        <x:v>0</x:v>
      </x:c>
      <x:c r="N806" s="9" t="n">
        <x:v>0</x:v>
      </x:c>
      <x:c r="O806" s="9" t="n">
        <x:v>0</x:v>
      </x:c>
      <x:c r="P806" s="9" t="str">
        <x:v>HELD / UNRELEASED</x:v>
      </x:c>
      <x:c r="Q806" s="9" t="n">
        <x:f>COUNTIFS($A$7:$A$2310,A806)</x:f>
        <x:v>1</x:v>
      </x:c>
    </x:row>
    <x:row r="807">
      <x:c r="A807" s="9" t="str">
        <x:v>PD-AR-HC-A-C-TECH-4-B2-BRK-G0-PD01</x:v>
      </x:c>
      <x:c r="B807" s="9" t="str">
        <x:v>PD-AR-HC-A-C-TECH-4-B2-BRK-G0</x:v>
      </x:c>
      <x:c r="C807" s="9" t="str">
        <x:v>EV-AR-HC-A-C-TECH-4-B2-BRK-G0</x:v>
      </x:c>
      <x:c r="D807" s="9" t="str">
        <x:v>AR-HC-A-C-TECH-4-B2-BRK-G0</x:v>
      </x:c>
      <x:c r="E807" s="9" t="str">
        <x:v>HC-A-C-TECH-4</x:v>
      </x:c>
      <x:c r="F807" s="9" t="str">
        <x:v>HC-A-C</x:v>
      </x:c>
      <x:c r="G807" s="9" t="str">
        <x:v>B2</x:v>
      </x:c>
      <x:c r="H807" s="9" t="str">
        <x:v>BRK</x:v>
      </x:c>
      <x:c r="I807" s="9" t="str">
        <x:v>PD01</x:v>
      </x:c>
      <x:c r="J807" s="17" t="str">
        <x:v>Experiment kernel</x:v>
      </x:c>
      <x:c r="K807" s="17" t="str">
        <x:v>Public archive</x:v>
      </x:c>
      <x:c r="L807" s="17" t="str">
        <x:v>COURT-SEALED UNTIL COHORT RELEASE</x:v>
      </x:c>
      <x:c r="M807" s="9" t="n">
        <x:v>0</x:v>
      </x:c>
      <x:c r="N807" s="9" t="n">
        <x:v>0</x:v>
      </x:c>
      <x:c r="O807" s="9" t="n">
        <x:v>0</x:v>
      </x:c>
      <x:c r="P807" s="9" t="str">
        <x:v>HELD / UNRELEASED</x:v>
      </x:c>
      <x:c r="Q807" s="9" t="n">
        <x:f>COUNTIFS($A$7:$A$2310,A807)</x:f>
        <x:v>1</x:v>
      </x:c>
    </x:row>
    <x:row r="808">
      <x:c r="A808" s="9" t="str">
        <x:v>PD-AR-HC-A-C-TECH-4-B2-BRK-G0-PD02</x:v>
      </x:c>
      <x:c r="B808" s="9" t="str">
        <x:v>PD-AR-HC-A-C-TECH-4-B2-BRK-G0</x:v>
      </x:c>
      <x:c r="C808" s="9" t="str">
        <x:v>EV-AR-HC-A-C-TECH-4-B2-BRK-G0</x:v>
      </x:c>
      <x:c r="D808" s="9" t="str">
        <x:v>AR-HC-A-C-TECH-4-B2-BRK-G0</x:v>
      </x:c>
      <x:c r="E808" s="9" t="str">
        <x:v>HC-A-C-TECH-4</x:v>
      </x:c>
      <x:c r="F808" s="9" t="str">
        <x:v>HC-A-C</x:v>
      </x:c>
      <x:c r="G808" s="9" t="str">
        <x:v>B2</x:v>
      </x:c>
      <x:c r="H808" s="9" t="str">
        <x:v>BRK</x:v>
      </x:c>
      <x:c r="I808" s="9" t="str">
        <x:v>PD02</x:v>
      </x:c>
      <x:c r="J808" s="17" t="str">
        <x:v>Serial annex and title chain</x:v>
      </x:c>
      <x:c r="K808" s="17" t="str">
        <x:v>Public archive</x:v>
      </x:c>
      <x:c r="L808" s="17" t="str">
        <x:v>COURT-SEALED UNTIL COHORT RELEASE</x:v>
      </x:c>
      <x:c r="M808" s="9" t="n">
        <x:v>0</x:v>
      </x:c>
      <x:c r="N808" s="9" t="n">
        <x:v>0</x:v>
      </x:c>
      <x:c r="O808" s="9" t="n">
        <x:v>0</x:v>
      </x:c>
      <x:c r="P808" s="9" t="str">
        <x:v>HELD / UNRELEASED</x:v>
      </x:c>
      <x:c r="Q808" s="9" t="n">
        <x:f>COUNTIFS($A$7:$A$2310,A808)</x:f>
        <x:v>1</x:v>
      </x:c>
    </x:row>
    <x:row r="809">
      <x:c r="A809" s="9" t="str">
        <x:v>PD-AR-HC-A-C-TECH-4-B2-BRK-G0-PD03</x:v>
      </x:c>
      <x:c r="B809" s="9" t="str">
        <x:v>PD-AR-HC-A-C-TECH-4-B2-BRK-G0</x:v>
      </x:c>
      <x:c r="C809" s="9" t="str">
        <x:v>EV-AR-HC-A-C-TECH-4-B2-BRK-G0</x:v>
      </x:c>
      <x:c r="D809" s="9" t="str">
        <x:v>AR-HC-A-C-TECH-4-B2-BRK-G0</x:v>
      </x:c>
      <x:c r="E809" s="9" t="str">
        <x:v>HC-A-C-TECH-4</x:v>
      </x:c>
      <x:c r="F809" s="9" t="str">
        <x:v>HC-A-C</x:v>
      </x:c>
      <x:c r="G809" s="9" t="str">
        <x:v>B2</x:v>
      </x:c>
      <x:c r="H809" s="9" t="str">
        <x:v>BRK</x:v>
      </x:c>
      <x:c r="I809" s="9" t="str">
        <x:v>PD03</x:v>
      </x:c>
      <x:c r="J809" s="17" t="str">
        <x:v>Configuration and as-built manifest</x:v>
      </x:c>
      <x:c r="K809" s="17" t="str">
        <x:v>Artifact exchange</x:v>
      </x:c>
      <x:c r="L809" s="17" t="str">
        <x:v>COURT-SEALED UNTIL COHORT RELEASE</x:v>
      </x:c>
      <x:c r="M809" s="9" t="n">
        <x:v>0</x:v>
      </x:c>
      <x:c r="N809" s="9" t="n">
        <x:v>0</x:v>
      </x:c>
      <x:c r="O809" s="9" t="n">
        <x:v>0</x:v>
      </x:c>
      <x:c r="P809" s="9" t="str">
        <x:v>HELD / UNRELEASED</x:v>
      </x:c>
      <x:c r="Q809" s="9" t="n">
        <x:f>COUNTIFS($A$7:$A$2310,A809)</x:f>
        <x:v>1</x:v>
      </x:c>
    </x:row>
    <x:row r="810">
      <x:c r="A810" s="9" t="str">
        <x:v>PD-AR-HC-A-C-TECH-4-B2-BRK-G0-PD04</x:v>
      </x:c>
      <x:c r="B810" s="9" t="str">
        <x:v>PD-AR-HC-A-C-TECH-4-B2-BRK-G0</x:v>
      </x:c>
      <x:c r="C810" s="9" t="str">
        <x:v>EV-AR-HC-A-C-TECH-4-B2-BRK-G0</x:v>
      </x:c>
      <x:c r="D810" s="9" t="str">
        <x:v>AR-HC-A-C-TECH-4-B2-BRK-G0</x:v>
      </x:c>
      <x:c r="E810" s="9" t="str">
        <x:v>HC-A-C-TECH-4</x:v>
      </x:c>
      <x:c r="F810" s="9" t="str">
        <x:v>HC-A-C</x:v>
      </x:c>
      <x:c r="G810" s="9" t="str">
        <x:v>B2</x:v>
      </x:c>
      <x:c r="H810" s="9" t="str">
        <x:v>BRK</x:v>
      </x:c>
      <x:c r="I810" s="9" t="str">
        <x:v>PD04</x:v>
      </x:c>
      <x:c r="J810" s="17" t="str">
        <x:v>EOW and start certificate</x:v>
      </x:c>
      <x:c r="K810" s="17" t="str">
        <x:v>Start registrar</x:v>
      </x:c>
      <x:c r="L810" s="17" t="str">
        <x:v>COURT-SEALED UNTIL COHORT RELEASE</x:v>
      </x:c>
      <x:c r="M810" s="9" t="n">
        <x:v>0</x:v>
      </x:c>
      <x:c r="N810" s="9" t="n">
        <x:v>0</x:v>
      </x:c>
      <x:c r="O810" s="9" t="n">
        <x:v>0</x:v>
      </x:c>
      <x:c r="P810" s="9" t="str">
        <x:v>HELD / UNRELEASED</x:v>
      </x:c>
      <x:c r="Q810" s="9" t="n">
        <x:f>COUNTIFS($A$7:$A$2310,A810)</x:f>
        <x:v>1</x:v>
      </x:c>
    </x:row>
    <x:row r="811">
      <x:c r="A811" s="9" t="str">
        <x:v>PD-AR-HC-A-C-TECH-4-B2-BRK-G0-PD05</x:v>
      </x:c>
      <x:c r="B811" s="9" t="str">
        <x:v>PD-AR-HC-A-C-TECH-4-B2-BRK-G0</x:v>
      </x:c>
      <x:c r="C811" s="9" t="str">
        <x:v>EV-AR-HC-A-C-TECH-4-B2-BRK-G0</x:v>
      </x:c>
      <x:c r="D811" s="9" t="str">
        <x:v>AR-HC-A-C-TECH-4-B2-BRK-G0</x:v>
      </x:c>
      <x:c r="E811" s="9" t="str">
        <x:v>HC-A-C-TECH-4</x:v>
      </x:c>
      <x:c r="F811" s="9" t="str">
        <x:v>HC-A-C</x:v>
      </x:c>
      <x:c r="G811" s="9" t="str">
        <x:v>B2</x:v>
      </x:c>
      <x:c r="H811" s="9" t="str">
        <x:v>BRK</x:v>
      </x:c>
      <x:c r="I811" s="9" t="str">
        <x:v>PD05</x:v>
      </x:c>
      <x:c r="J811" s="17" t="str">
        <x:v>Primary raw originals</x:v>
      </x:c>
      <x:c r="K811" s="17" t="str">
        <x:v>Primary custody</x:v>
      </x:c>
      <x:c r="L811" s="17" t="str">
        <x:v>COURT-SEALED UNTIL COHORT RELEASE</x:v>
      </x:c>
      <x:c r="M811" s="9" t="n">
        <x:v>0</x:v>
      </x:c>
      <x:c r="N811" s="9" t="n">
        <x:v>0</x:v>
      </x:c>
      <x:c r="O811" s="9" t="n">
        <x:v>0</x:v>
      </x:c>
      <x:c r="P811" s="9" t="str">
        <x:v>HELD / UNRELEASED</x:v>
      </x:c>
      <x:c r="Q811" s="9" t="n">
        <x:f>COUNTIFS($A$7:$A$2310,A811)</x:f>
        <x:v>1</x:v>
      </x:c>
    </x:row>
    <x:row r="812">
      <x:c r="A812" s="9" t="str">
        <x:v>PD-AR-HC-A-C-TECH-4-B2-BRK-G0-PD06</x:v>
      </x:c>
      <x:c r="B812" s="9" t="str">
        <x:v>PD-AR-HC-A-C-TECH-4-B2-BRK-G0</x:v>
      </x:c>
      <x:c r="C812" s="9" t="str">
        <x:v>EV-AR-HC-A-C-TECH-4-B2-BRK-G0</x:v>
      </x:c>
      <x:c r="D812" s="9" t="str">
        <x:v>AR-HC-A-C-TECH-4-B2-BRK-G0</x:v>
      </x:c>
      <x:c r="E812" s="9" t="str">
        <x:v>HC-A-C-TECH-4</x:v>
      </x:c>
      <x:c r="F812" s="9" t="str">
        <x:v>HC-A-C</x:v>
      </x:c>
      <x:c r="G812" s="9" t="str">
        <x:v>B2</x:v>
      </x:c>
      <x:c r="H812" s="9" t="str">
        <x:v>BRK</x:v>
      </x:c>
      <x:c r="I812" s="9" t="str">
        <x:v>PD06</x:v>
      </x:c>
      <x:c r="J812" s="17" t="str">
        <x:v>Witness raw originals</x:v>
      </x:c>
      <x:c r="K812" s="17" t="str">
        <x:v>Witness custody</x:v>
      </x:c>
      <x:c r="L812" s="17" t="str">
        <x:v>COURT-SEALED UNTIL COHORT RELEASE</x:v>
      </x:c>
      <x:c r="M812" s="9" t="n">
        <x:v>0</x:v>
      </x:c>
      <x:c r="N812" s="9" t="n">
        <x:v>0</x:v>
      </x:c>
      <x:c r="O812" s="9" t="n">
        <x:v>0</x:v>
      </x:c>
      <x:c r="P812" s="9" t="str">
        <x:v>HELD / UNRELEASED</x:v>
      </x:c>
      <x:c r="Q812" s="9" t="n">
        <x:f>COUNTIFS($A$7:$A$2310,A812)</x:f>
        <x:v>1</x:v>
      </x:c>
    </x:row>
    <x:row r="813">
      <x:c r="A813" s="9" t="str">
        <x:v>PD-AR-HC-A-C-TECH-4-B2-BRK-G0-PD07</x:v>
      </x:c>
      <x:c r="B813" s="9" t="str">
        <x:v>PD-AR-HC-A-C-TECH-4-B2-BRK-G0</x:v>
      </x:c>
      <x:c r="C813" s="9" t="str">
        <x:v>EV-AR-HC-A-C-TECH-4-B2-BRK-G0</x:v>
      </x:c>
      <x:c r="D813" s="9" t="str">
        <x:v>AR-HC-A-C-TECH-4-B2-BRK-G0</x:v>
      </x:c>
      <x:c r="E813" s="9" t="str">
        <x:v>HC-A-C-TECH-4</x:v>
      </x:c>
      <x:c r="F813" s="9" t="str">
        <x:v>HC-A-C</x:v>
      </x:c>
      <x:c r="G813" s="9" t="str">
        <x:v>B2</x:v>
      </x:c>
      <x:c r="H813" s="9" t="str">
        <x:v>BRK</x:v>
      </x:c>
      <x:c r="I813" s="9" t="str">
        <x:v>PD07</x:v>
      </x:c>
      <x:c r="J813" s="17" t="str">
        <x:v>Clock and environmental records</x:v>
      </x:c>
      <x:c r="K813" s="17" t="str">
        <x:v>Boundary archive</x:v>
      </x:c>
      <x:c r="L813" s="17" t="str">
        <x:v>COURT-SEALED UNTIL COHORT RELEASE</x:v>
      </x:c>
      <x:c r="M813" s="9" t="n">
        <x:v>0</x:v>
      </x:c>
      <x:c r="N813" s="9" t="n">
        <x:v>0</x:v>
      </x:c>
      <x:c r="O813" s="9" t="n">
        <x:v>0</x:v>
      </x:c>
      <x:c r="P813" s="9" t="str">
        <x:v>HELD / UNRELEASED</x:v>
      </x:c>
      <x:c r="Q813" s="9" t="n">
        <x:f>COUNTIFS($A$7:$A$2310,A813)</x:f>
        <x:v>1</x:v>
      </x:c>
    </x:row>
    <x:row r="814">
      <x:c r="A814" s="9" t="str">
        <x:v>PD-AR-HC-A-C-TECH-4-B2-BRK-G0-PD08</x:v>
      </x:c>
      <x:c r="B814" s="9" t="str">
        <x:v>PD-AR-HC-A-C-TECH-4-B2-BRK-G0</x:v>
      </x:c>
      <x:c r="C814" s="9" t="str">
        <x:v>EV-AR-HC-A-C-TECH-4-B2-BRK-G0</x:v>
      </x:c>
      <x:c r="D814" s="9" t="str">
        <x:v>AR-HC-A-C-TECH-4-B2-BRK-G0</x:v>
      </x:c>
      <x:c r="E814" s="9" t="str">
        <x:v>HC-A-C-TECH-4</x:v>
      </x:c>
      <x:c r="F814" s="9" t="str">
        <x:v>HC-A-C</x:v>
      </x:c>
      <x:c r="G814" s="9" t="str">
        <x:v>B2</x:v>
      </x:c>
      <x:c r="H814" s="9" t="str">
        <x:v>BRK</x:v>
      </x:c>
      <x:c r="I814" s="9" t="str">
        <x:v>PD08</x:v>
      </x:c>
      <x:c r="J814" s="17" t="str">
        <x:v>Command and intervention log</x:v>
      </x:c>
      <x:c r="K814" s="17" t="str">
        <x:v>Safety archive</x:v>
      </x:c>
      <x:c r="L814" s="17" t="str">
        <x:v>COURT-SEALED UNTIL COHORT RELEASE</x:v>
      </x:c>
      <x:c r="M814" s="9" t="n">
        <x:v>0</x:v>
      </x:c>
      <x:c r="N814" s="9" t="n">
        <x:v>0</x:v>
      </x:c>
      <x:c r="O814" s="9" t="n">
        <x:v>0</x:v>
      </x:c>
      <x:c r="P814" s="9" t="str">
        <x:v>HELD / UNRELEASED</x:v>
      </x:c>
      <x:c r="Q814" s="9" t="n">
        <x:f>COUNTIFS($A$7:$A$2310,A814)</x:f>
        <x:v>1</x:v>
      </x:c>
    </x:row>
    <x:row r="815">
      <x:c r="A815" s="9" t="str">
        <x:v>PD-AR-HC-A-C-TECH-4-B2-BRK-G0-PD09</x:v>
      </x:c>
      <x:c r="B815" s="9" t="str">
        <x:v>PD-AR-HC-A-C-TECH-4-B2-BRK-G0</x:v>
      </x:c>
      <x:c r="C815" s="9" t="str">
        <x:v>EV-AR-HC-A-C-TECH-4-B2-BRK-G0</x:v>
      </x:c>
      <x:c r="D815" s="9" t="str">
        <x:v>AR-HC-A-C-TECH-4-B2-BRK-G0</x:v>
      </x:c>
      <x:c r="E815" s="9" t="str">
        <x:v>HC-A-C-TECH-4</x:v>
      </x:c>
      <x:c r="F815" s="9" t="str">
        <x:v>HC-A-C</x:v>
      </x:c>
      <x:c r="G815" s="9" t="str">
        <x:v>B2</x:v>
      </x:c>
      <x:c r="H815" s="9" t="str">
        <x:v>BRK</x:v>
      </x:c>
      <x:c r="I815" s="9" t="str">
        <x:v>PD09</x:v>
      </x:c>
      <x:c r="J815" s="17" t="str">
        <x:v>Receiver denominator and service ledger</x:v>
      </x:c>
      <x:c r="K815" s="17" t="str">
        <x:v>Receiver archive</x:v>
      </x:c>
      <x:c r="L815" s="17" t="str">
        <x:v>COURT-SEALED UNTIL COHORT RELEASE</x:v>
      </x:c>
      <x:c r="M815" s="9" t="n">
        <x:v>0</x:v>
      </x:c>
      <x:c r="N815" s="9" t="n">
        <x:v>0</x:v>
      </x:c>
      <x:c r="O815" s="9" t="n">
        <x:v>0</x:v>
      </x:c>
      <x:c r="P815" s="9" t="str">
        <x:v>HELD / UNRELEASED</x:v>
      </x:c>
      <x:c r="Q815" s="9" t="n">
        <x:f>COUNTIFS($A$7:$A$2310,A815)</x:f>
        <x:v>1</x:v>
      </x:c>
    </x:row>
    <x:row r="816">
      <x:c r="A816" s="9" t="str">
        <x:v>PD-AR-HC-A-C-TECH-4-B2-BRK-G0-PD10</x:v>
      </x:c>
      <x:c r="B816" s="9" t="str">
        <x:v>PD-AR-HC-A-C-TECH-4-B2-BRK-G0</x:v>
      </x:c>
      <x:c r="C816" s="9" t="str">
        <x:v>EV-AR-HC-A-C-TECH-4-B2-BRK-G0</x:v>
      </x:c>
      <x:c r="D816" s="9" t="str">
        <x:v>AR-HC-A-C-TECH-4-B2-BRK-G0</x:v>
      </x:c>
      <x:c r="E816" s="9" t="str">
        <x:v>HC-A-C-TECH-4</x:v>
      </x:c>
      <x:c r="F816" s="9" t="str">
        <x:v>HC-A-C</x:v>
      </x:c>
      <x:c r="G816" s="9" t="str">
        <x:v>B2</x:v>
      </x:c>
      <x:c r="H816" s="9" t="str">
        <x:v>BRK</x:v>
      </x:c>
      <x:c r="I816" s="9" t="str">
        <x:v>PD10</x:v>
      </x:c>
      <x:c r="J816" s="17" t="str">
        <x:v>Calibration and uncertainty record</x:v>
      </x:c>
      <x:c r="K816" s="17" t="str">
        <x:v>Metrology archive</x:v>
      </x:c>
      <x:c r="L816" s="17" t="str">
        <x:v>COURT-SEALED UNTIL COHORT RELEASE</x:v>
      </x:c>
      <x:c r="M816" s="9" t="n">
        <x:v>0</x:v>
      </x:c>
      <x:c r="N816" s="9" t="n">
        <x:v>0</x:v>
      </x:c>
      <x:c r="O816" s="9" t="n">
        <x:v>0</x:v>
      </x:c>
      <x:c r="P816" s="9" t="str">
        <x:v>HELD / UNRELEASED</x:v>
      </x:c>
      <x:c r="Q816" s="9" t="n">
        <x:f>COUNTIFS($A$7:$A$2310,A816)</x:f>
        <x:v>1</x:v>
      </x:c>
    </x:row>
    <x:row r="817">
      <x:c r="A817" s="9" t="str">
        <x:v>PD-AR-HC-A-C-TECH-4-B2-BRK-G0-PD11</x:v>
      </x:c>
      <x:c r="B817" s="9" t="str">
        <x:v>PD-AR-HC-A-C-TECH-4-B2-BRK-G0</x:v>
      </x:c>
      <x:c r="C817" s="9" t="str">
        <x:v>EV-AR-HC-A-C-TECH-4-B2-BRK-G0</x:v>
      </x:c>
      <x:c r="D817" s="9" t="str">
        <x:v>AR-HC-A-C-TECH-4-B2-BRK-G0</x:v>
      </x:c>
      <x:c r="E817" s="9" t="str">
        <x:v>HC-A-C-TECH-4</x:v>
      </x:c>
      <x:c r="F817" s="9" t="str">
        <x:v>HC-A-C</x:v>
      </x:c>
      <x:c r="G817" s="9" t="str">
        <x:v>B2</x:v>
      </x:c>
      <x:c r="H817" s="9" t="str">
        <x:v>BRK</x:v>
      </x:c>
      <x:c r="I817" s="9" t="str">
        <x:v>PD11</x:v>
      </x:c>
      <x:c r="J817" s="17" t="str">
        <x:v>Invalidity petition and opinion</x:v>
      </x:c>
      <x:c r="K817" s="17" t="str">
        <x:v>Invalidity court</x:v>
      </x:c>
      <x:c r="L817" s="17" t="str">
        <x:v>COURT-SEALED UNTIL COHORT RELEASE</x:v>
      </x:c>
      <x:c r="M817" s="9" t="n">
        <x:v>0</x:v>
      </x:c>
      <x:c r="N817" s="9" t="n">
        <x:v>0</x:v>
      </x:c>
      <x:c r="O817" s="9" t="n">
        <x:v>0</x:v>
      </x:c>
      <x:c r="P817" s="9" t="str">
        <x:v>HELD / UNRELEASED</x:v>
      </x:c>
      <x:c r="Q817" s="9" t="n">
        <x:f>COUNTIFS($A$7:$A$2310,A817)</x:f>
        <x:v>1</x:v>
      </x:c>
    </x:row>
    <x:row r="818">
      <x:c r="A818" s="9" t="str">
        <x:v>PD-AR-HC-A-C-TECH-4-B2-BRK-G0-PD12</x:v>
      </x:c>
      <x:c r="B818" s="9" t="str">
        <x:v>PD-AR-HC-A-C-TECH-4-B2-BRK-G0</x:v>
      </x:c>
      <x:c r="C818" s="9" t="str">
        <x:v>EV-AR-HC-A-C-TECH-4-B2-BRK-G0</x:v>
      </x:c>
      <x:c r="D818" s="9" t="str">
        <x:v>AR-HC-A-C-TECH-4-B2-BRK-G0</x:v>
      </x:c>
      <x:c r="E818" s="9" t="str">
        <x:v>HC-A-C-TECH-4</x:v>
      </x:c>
      <x:c r="F818" s="9" t="str">
        <x:v>HC-A-C</x:v>
      </x:c>
      <x:c r="G818" s="9" t="str">
        <x:v>B2</x:v>
      </x:c>
      <x:c r="H818" s="9" t="str">
        <x:v>BRK</x:v>
      </x:c>
      <x:c r="I818" s="9" t="str">
        <x:v>PD12</x:v>
      </x:c>
      <x:c r="J818" s="17" t="str">
        <x:v>Observation acceptance and replay</x:v>
      </x:c>
      <x:c r="K818" s="17" t="str">
        <x:v>Observation court</x:v>
      </x:c>
      <x:c r="L818" s="17" t="str">
        <x:v>COURT-SEALED UNTIL COHORT RELEASE</x:v>
      </x:c>
      <x:c r="M818" s="9" t="n">
        <x:v>0</x:v>
      </x:c>
      <x:c r="N818" s="9" t="n">
        <x:v>0</x:v>
      </x:c>
      <x:c r="O818" s="9" t="n">
        <x:v>0</x:v>
      </x:c>
      <x:c r="P818" s="9" t="str">
        <x:v>HELD / UNRELEASED</x:v>
      </x:c>
      <x:c r="Q818" s="9" t="n">
        <x:f>COUNTIFS($A$7:$A$2310,A818)</x:f>
        <x:v>1</x:v>
      </x:c>
    </x:row>
    <x:row r="819">
      <x:c r="A819" s="9" t="str">
        <x:v>PD-AR-HC-A-C-TECH-4-B2-BRK-G0-PD13</x:v>
      </x:c>
      <x:c r="B819" s="9" t="str">
        <x:v>PD-AR-HC-A-C-TECH-4-B2-BRK-G0</x:v>
      </x:c>
      <x:c r="C819" s="9" t="str">
        <x:v>EV-AR-HC-A-C-TECH-4-B2-BRK-G0</x:v>
      </x:c>
      <x:c r="D819" s="9" t="str">
        <x:v>AR-HC-A-C-TECH-4-B2-BRK-G0</x:v>
      </x:c>
      <x:c r="E819" s="9" t="str">
        <x:v>HC-A-C-TECH-4</x:v>
      </x:c>
      <x:c r="F819" s="9" t="str">
        <x:v>HC-A-C</x:v>
      </x:c>
      <x:c r="G819" s="9" t="str">
        <x:v>B2</x:v>
      </x:c>
      <x:c r="H819" s="9" t="str">
        <x:v>BRK</x:v>
      </x:c>
      <x:c r="I819" s="9" t="str">
        <x:v>PD13</x:v>
      </x:c>
      <x:c r="J819" s="17" t="str">
        <x:v>Role judgment</x:v>
      </x:c>
      <x:c r="K819" s="17" t="str">
        <x:v>Role court</x:v>
      </x:c>
      <x:c r="L819" s="17" t="str">
        <x:v>COURT-SEALED UNTIL COHORT RELEASE</x:v>
      </x:c>
      <x:c r="M819" s="9" t="n">
        <x:v>0</x:v>
      </x:c>
      <x:c r="N819" s="9" t="n">
        <x:v>0</x:v>
      </x:c>
      <x:c r="O819" s="9" t="n">
        <x:v>0</x:v>
      </x:c>
      <x:c r="P819" s="9" t="str">
        <x:v>HELD / UNRELEASED</x:v>
      </x:c>
      <x:c r="Q819" s="9" t="n">
        <x:f>COUNTIFS($A$7:$A$2310,A819)</x:f>
        <x:v>1</x:v>
      </x:c>
    </x:row>
    <x:row r="820">
      <x:c r="A820" s="9" t="str">
        <x:v>PD-AR-HC-A-C-TECH-4-B2-BRK-G0-PD14</x:v>
      </x:c>
      <x:c r="B820" s="9" t="str">
        <x:v>PD-AR-HC-A-C-TECH-4-B2-BRK-G0</x:v>
      </x:c>
      <x:c r="C820" s="9" t="str">
        <x:v>EV-AR-HC-A-C-TECH-4-B2-BRK-G0</x:v>
      </x:c>
      <x:c r="D820" s="9" t="str">
        <x:v>AR-HC-A-C-TECH-4-B2-BRK-G0</x:v>
      </x:c>
      <x:c r="E820" s="9" t="str">
        <x:v>HC-A-C-TECH-4</x:v>
      </x:c>
      <x:c r="F820" s="9" t="str">
        <x:v>HC-A-C</x:v>
      </x:c>
      <x:c r="G820" s="9" t="str">
        <x:v>B2</x:v>
      </x:c>
      <x:c r="H820" s="9" t="str">
        <x:v>BRK</x:v>
      </x:c>
      <x:c r="I820" s="9" t="str">
        <x:v>PD14</x:v>
      </x:c>
      <x:c r="J820" s="17" t="str">
        <x:v>Break and residual account</x:v>
      </x:c>
      <x:c r="K820" s="17" t="str">
        <x:v>Residual authority</x:v>
      </x:c>
      <x:c r="L820" s="17" t="str">
        <x:v>COURT-SEALED UNTIL COHORT RELEASE</x:v>
      </x:c>
      <x:c r="M820" s="9" t="n">
        <x:v>0</x:v>
      </x:c>
      <x:c r="N820" s="9" t="n">
        <x:v>0</x:v>
      </x:c>
      <x:c r="O820" s="9" t="n">
        <x:v>0</x:v>
      </x:c>
      <x:c r="P820" s="9" t="str">
        <x:v>HELD / UNRELEASED</x:v>
      </x:c>
      <x:c r="Q820" s="9" t="n">
        <x:f>COUNTIFS($A$7:$A$2310,A820)</x:f>
        <x:v>1</x:v>
      </x:c>
    </x:row>
    <x:row r="821">
      <x:c r="A821" s="9" t="str">
        <x:v>PD-AR-HC-A-C-TECH-4-B2-BRK-G0-PD15</x:v>
      </x:c>
      <x:c r="B821" s="9" t="str">
        <x:v>PD-AR-HC-A-C-TECH-4-B2-BRK-G0</x:v>
      </x:c>
      <x:c r="C821" s="9" t="str">
        <x:v>EV-AR-HC-A-C-TECH-4-B2-BRK-G0</x:v>
      </x:c>
      <x:c r="D821" s="9" t="str">
        <x:v>AR-HC-A-C-TECH-4-B2-BRK-G0</x:v>
      </x:c>
      <x:c r="E821" s="9" t="str">
        <x:v>HC-A-C-TECH-4</x:v>
      </x:c>
      <x:c r="F821" s="9" t="str">
        <x:v>HC-A-C</x:v>
      </x:c>
      <x:c r="G821" s="9" t="str">
        <x:v>B2</x:v>
      </x:c>
      <x:c r="H821" s="9" t="str">
        <x:v>BRK</x:v>
      </x:c>
      <x:c r="I821" s="9" t="str">
        <x:v>PD15</x:v>
      </x:c>
      <x:c r="J821" s="17" t="str">
        <x:v>Reconstruction ancestry and replay</x:v>
      </x:c>
      <x:c r="K821" s="17" t="str">
        <x:v>Reconstruction court</x:v>
      </x:c>
      <x:c r="L821" s="17" t="str">
        <x:v>COURT-SEALED UNTIL COHORT RELEASE</x:v>
      </x:c>
      <x:c r="M821" s="9" t="n">
        <x:v>0</x:v>
      </x:c>
      <x:c r="N821" s="9" t="n">
        <x:v>0</x:v>
      </x:c>
      <x:c r="O821" s="9" t="n">
        <x:v>0</x:v>
      </x:c>
      <x:c r="P821" s="9" t="str">
        <x:v>HELD / UNRELEASED</x:v>
      </x:c>
      <x:c r="Q821" s="9" t="n">
        <x:f>COUNTIFS($A$7:$A$2310,A821)</x:f>
        <x:v>1</x:v>
      </x:c>
    </x:row>
    <x:row r="822">
      <x:c r="A822" s="9" t="str">
        <x:v>PD-AR-HC-A-C-TECH-4-B2-BRK-G0-PD16</x:v>
      </x:c>
      <x:c r="B822" s="9" t="str">
        <x:v>PD-AR-HC-A-C-TECH-4-B2-BRK-G0</x:v>
      </x:c>
      <x:c r="C822" s="9" t="str">
        <x:v>EV-AR-HC-A-C-TECH-4-B2-BRK-G0</x:v>
      </x:c>
      <x:c r="D822" s="9" t="str">
        <x:v>AR-HC-A-C-TECH-4-B2-BRK-G0</x:v>
      </x:c>
      <x:c r="E822" s="9" t="str">
        <x:v>HC-A-C-TECH-4</x:v>
      </x:c>
      <x:c r="F822" s="9" t="str">
        <x:v>HC-A-C</x:v>
      </x:c>
      <x:c r="G822" s="9" t="str">
        <x:v>B2</x:v>
      </x:c>
      <x:c r="H822" s="9" t="str">
        <x:v>BRK</x:v>
      </x:c>
      <x:c r="I822" s="9" t="str">
        <x:v>PD16</x:v>
      </x:c>
      <x:c r="J822" s="17" t="str">
        <x:v>Dissent, amendments and access log</x:v>
      </x:c>
      <x:c r="K822" s="17" t="str">
        <x:v>Public archive</x:v>
      </x:c>
      <x:c r="L822" s="17" t="str">
        <x:v>COURT-SEALED UNTIL COHORT RELEASE</x:v>
      </x:c>
      <x:c r="M822" s="9" t="n">
        <x:v>0</x:v>
      </x:c>
      <x:c r="N822" s="9" t="n">
        <x:v>0</x:v>
      </x:c>
      <x:c r="O822" s="9" t="n">
        <x:v>0</x:v>
      </x:c>
      <x:c r="P822" s="9" t="str">
        <x:v>HELD / UNRELEASED</x:v>
      </x:c>
      <x:c r="Q822" s="9" t="n">
        <x:f>COUNTIFS($A$7:$A$2310,A822)</x:f>
        <x:v>1</x:v>
      </x:c>
    </x:row>
    <x:row r="823">
      <x:c r="A823" s="9" t="str">
        <x:v>PD-AR-HC-A-C-TECH-3-B1-RCN-G0-PD01</x:v>
      </x:c>
      <x:c r="B823" s="9" t="str">
        <x:v>PD-AR-HC-A-C-TECH-3-B1-RCN-G0</x:v>
      </x:c>
      <x:c r="C823" s="9" t="str">
        <x:v>EV-AR-HC-A-C-TECH-3-B1-RCN-G0</x:v>
      </x:c>
      <x:c r="D823" s="9" t="str">
        <x:v>AR-HC-A-C-TECH-3-B1-RCN-G0</x:v>
      </x:c>
      <x:c r="E823" s="9" t="str">
        <x:v>HC-A-C-TECH-3</x:v>
      </x:c>
      <x:c r="F823" s="9" t="str">
        <x:v>HC-A-C</x:v>
      </x:c>
      <x:c r="G823" s="9" t="str">
        <x:v>B1</x:v>
      </x:c>
      <x:c r="H823" s="9" t="str">
        <x:v>RCN</x:v>
      </x:c>
      <x:c r="I823" s="9" t="str">
        <x:v>PD01</x:v>
      </x:c>
      <x:c r="J823" s="17" t="str">
        <x:v>Experiment kernel</x:v>
      </x:c>
      <x:c r="K823" s="17" t="str">
        <x:v>Public archive</x:v>
      </x:c>
      <x:c r="L823" s="17" t="str">
        <x:v>COURT-SEALED UNTIL COHORT RELEASE</x:v>
      </x:c>
      <x:c r="M823" s="9" t="n">
        <x:v>0</x:v>
      </x:c>
      <x:c r="N823" s="9" t="n">
        <x:v>0</x:v>
      </x:c>
      <x:c r="O823" s="9" t="n">
        <x:v>0</x:v>
      </x:c>
      <x:c r="P823" s="9" t="str">
        <x:v>HELD / UNRELEASED</x:v>
      </x:c>
      <x:c r="Q823" s="9" t="n">
        <x:f>COUNTIFS($A$7:$A$2310,A823)</x:f>
        <x:v>1</x:v>
      </x:c>
    </x:row>
    <x:row r="824">
      <x:c r="A824" s="9" t="str">
        <x:v>PD-AR-HC-A-C-TECH-3-B1-RCN-G0-PD02</x:v>
      </x:c>
      <x:c r="B824" s="9" t="str">
        <x:v>PD-AR-HC-A-C-TECH-3-B1-RCN-G0</x:v>
      </x:c>
      <x:c r="C824" s="9" t="str">
        <x:v>EV-AR-HC-A-C-TECH-3-B1-RCN-G0</x:v>
      </x:c>
      <x:c r="D824" s="9" t="str">
        <x:v>AR-HC-A-C-TECH-3-B1-RCN-G0</x:v>
      </x:c>
      <x:c r="E824" s="9" t="str">
        <x:v>HC-A-C-TECH-3</x:v>
      </x:c>
      <x:c r="F824" s="9" t="str">
        <x:v>HC-A-C</x:v>
      </x:c>
      <x:c r="G824" s="9" t="str">
        <x:v>B1</x:v>
      </x:c>
      <x:c r="H824" s="9" t="str">
        <x:v>RCN</x:v>
      </x:c>
      <x:c r="I824" s="9" t="str">
        <x:v>PD02</x:v>
      </x:c>
      <x:c r="J824" s="17" t="str">
        <x:v>Serial annex and title chain</x:v>
      </x:c>
      <x:c r="K824" s="17" t="str">
        <x:v>Public archive</x:v>
      </x:c>
      <x:c r="L824" s="17" t="str">
        <x:v>COURT-SEALED UNTIL COHORT RELEASE</x:v>
      </x:c>
      <x:c r="M824" s="9" t="n">
        <x:v>0</x:v>
      </x:c>
      <x:c r="N824" s="9" t="n">
        <x:v>0</x:v>
      </x:c>
      <x:c r="O824" s="9" t="n">
        <x:v>0</x:v>
      </x:c>
      <x:c r="P824" s="9" t="str">
        <x:v>HELD / UNRELEASED</x:v>
      </x:c>
      <x:c r="Q824" s="9" t="n">
        <x:f>COUNTIFS($A$7:$A$2310,A824)</x:f>
        <x:v>1</x:v>
      </x:c>
    </x:row>
    <x:row r="825">
      <x:c r="A825" s="9" t="str">
        <x:v>PD-AR-HC-A-C-TECH-3-B1-RCN-G0-PD03</x:v>
      </x:c>
      <x:c r="B825" s="9" t="str">
        <x:v>PD-AR-HC-A-C-TECH-3-B1-RCN-G0</x:v>
      </x:c>
      <x:c r="C825" s="9" t="str">
        <x:v>EV-AR-HC-A-C-TECH-3-B1-RCN-G0</x:v>
      </x:c>
      <x:c r="D825" s="9" t="str">
        <x:v>AR-HC-A-C-TECH-3-B1-RCN-G0</x:v>
      </x:c>
      <x:c r="E825" s="9" t="str">
        <x:v>HC-A-C-TECH-3</x:v>
      </x:c>
      <x:c r="F825" s="9" t="str">
        <x:v>HC-A-C</x:v>
      </x:c>
      <x:c r="G825" s="9" t="str">
        <x:v>B1</x:v>
      </x:c>
      <x:c r="H825" s="9" t="str">
        <x:v>RCN</x:v>
      </x:c>
      <x:c r="I825" s="9" t="str">
        <x:v>PD03</x:v>
      </x:c>
      <x:c r="J825" s="17" t="str">
        <x:v>Configuration and as-built manifest</x:v>
      </x:c>
      <x:c r="K825" s="17" t="str">
        <x:v>Artifact exchange</x:v>
      </x:c>
      <x:c r="L825" s="17" t="str">
        <x:v>COURT-SEALED UNTIL COHORT RELEASE</x:v>
      </x:c>
      <x:c r="M825" s="9" t="n">
        <x:v>0</x:v>
      </x:c>
      <x:c r="N825" s="9" t="n">
        <x:v>0</x:v>
      </x:c>
      <x:c r="O825" s="9" t="n">
        <x:v>0</x:v>
      </x:c>
      <x:c r="P825" s="9" t="str">
        <x:v>HELD / UNRELEASED</x:v>
      </x:c>
      <x:c r="Q825" s="9" t="n">
        <x:f>COUNTIFS($A$7:$A$2310,A825)</x:f>
        <x:v>1</x:v>
      </x:c>
    </x:row>
    <x:row r="826">
      <x:c r="A826" s="9" t="str">
        <x:v>PD-AR-HC-A-C-TECH-3-B1-RCN-G0-PD04</x:v>
      </x:c>
      <x:c r="B826" s="9" t="str">
        <x:v>PD-AR-HC-A-C-TECH-3-B1-RCN-G0</x:v>
      </x:c>
      <x:c r="C826" s="9" t="str">
        <x:v>EV-AR-HC-A-C-TECH-3-B1-RCN-G0</x:v>
      </x:c>
      <x:c r="D826" s="9" t="str">
        <x:v>AR-HC-A-C-TECH-3-B1-RCN-G0</x:v>
      </x:c>
      <x:c r="E826" s="9" t="str">
        <x:v>HC-A-C-TECH-3</x:v>
      </x:c>
      <x:c r="F826" s="9" t="str">
        <x:v>HC-A-C</x:v>
      </x:c>
      <x:c r="G826" s="9" t="str">
        <x:v>B1</x:v>
      </x:c>
      <x:c r="H826" s="9" t="str">
        <x:v>RCN</x:v>
      </x:c>
      <x:c r="I826" s="9" t="str">
        <x:v>PD04</x:v>
      </x:c>
      <x:c r="J826" s="17" t="str">
        <x:v>EOW and start certificate</x:v>
      </x:c>
      <x:c r="K826" s="17" t="str">
        <x:v>Start registrar</x:v>
      </x:c>
      <x:c r="L826" s="17" t="str">
        <x:v>COURT-SEALED UNTIL COHORT RELEASE</x:v>
      </x:c>
      <x:c r="M826" s="9" t="n">
        <x:v>0</x:v>
      </x:c>
      <x:c r="N826" s="9" t="n">
        <x:v>0</x:v>
      </x:c>
      <x:c r="O826" s="9" t="n">
        <x:v>0</x:v>
      </x:c>
      <x:c r="P826" s="9" t="str">
        <x:v>HELD / UNRELEASED</x:v>
      </x:c>
      <x:c r="Q826" s="9" t="n">
        <x:f>COUNTIFS($A$7:$A$2310,A826)</x:f>
        <x:v>1</x:v>
      </x:c>
    </x:row>
    <x:row r="827">
      <x:c r="A827" s="9" t="str">
        <x:v>PD-AR-HC-A-C-TECH-3-B1-RCN-G0-PD05</x:v>
      </x:c>
      <x:c r="B827" s="9" t="str">
        <x:v>PD-AR-HC-A-C-TECH-3-B1-RCN-G0</x:v>
      </x:c>
      <x:c r="C827" s="9" t="str">
        <x:v>EV-AR-HC-A-C-TECH-3-B1-RCN-G0</x:v>
      </x:c>
      <x:c r="D827" s="9" t="str">
        <x:v>AR-HC-A-C-TECH-3-B1-RCN-G0</x:v>
      </x:c>
      <x:c r="E827" s="9" t="str">
        <x:v>HC-A-C-TECH-3</x:v>
      </x:c>
      <x:c r="F827" s="9" t="str">
        <x:v>HC-A-C</x:v>
      </x:c>
      <x:c r="G827" s="9" t="str">
        <x:v>B1</x:v>
      </x:c>
      <x:c r="H827" s="9" t="str">
        <x:v>RCN</x:v>
      </x:c>
      <x:c r="I827" s="9" t="str">
        <x:v>PD05</x:v>
      </x:c>
      <x:c r="J827" s="17" t="str">
        <x:v>Primary raw originals</x:v>
      </x:c>
      <x:c r="K827" s="17" t="str">
        <x:v>Primary custody</x:v>
      </x:c>
      <x:c r="L827" s="17" t="str">
        <x:v>COURT-SEALED UNTIL COHORT RELEASE</x:v>
      </x:c>
      <x:c r="M827" s="9" t="n">
        <x:v>0</x:v>
      </x:c>
      <x:c r="N827" s="9" t="n">
        <x:v>0</x:v>
      </x:c>
      <x:c r="O827" s="9" t="n">
        <x:v>0</x:v>
      </x:c>
      <x:c r="P827" s="9" t="str">
        <x:v>HELD / UNRELEASED</x:v>
      </x:c>
      <x:c r="Q827" s="9" t="n">
        <x:f>COUNTIFS($A$7:$A$2310,A827)</x:f>
        <x:v>1</x:v>
      </x:c>
    </x:row>
    <x:row r="828">
      <x:c r="A828" s="9" t="str">
        <x:v>PD-AR-HC-A-C-TECH-3-B1-RCN-G0-PD06</x:v>
      </x:c>
      <x:c r="B828" s="9" t="str">
        <x:v>PD-AR-HC-A-C-TECH-3-B1-RCN-G0</x:v>
      </x:c>
      <x:c r="C828" s="9" t="str">
        <x:v>EV-AR-HC-A-C-TECH-3-B1-RCN-G0</x:v>
      </x:c>
      <x:c r="D828" s="9" t="str">
        <x:v>AR-HC-A-C-TECH-3-B1-RCN-G0</x:v>
      </x:c>
      <x:c r="E828" s="9" t="str">
        <x:v>HC-A-C-TECH-3</x:v>
      </x:c>
      <x:c r="F828" s="9" t="str">
        <x:v>HC-A-C</x:v>
      </x:c>
      <x:c r="G828" s="9" t="str">
        <x:v>B1</x:v>
      </x:c>
      <x:c r="H828" s="9" t="str">
        <x:v>RCN</x:v>
      </x:c>
      <x:c r="I828" s="9" t="str">
        <x:v>PD06</x:v>
      </x:c>
      <x:c r="J828" s="17" t="str">
        <x:v>Witness raw originals</x:v>
      </x:c>
      <x:c r="K828" s="17" t="str">
        <x:v>Witness custody</x:v>
      </x:c>
      <x:c r="L828" s="17" t="str">
        <x:v>COURT-SEALED UNTIL COHORT RELEASE</x:v>
      </x:c>
      <x:c r="M828" s="9" t="n">
        <x:v>0</x:v>
      </x:c>
      <x:c r="N828" s="9" t="n">
        <x:v>0</x:v>
      </x:c>
      <x:c r="O828" s="9" t="n">
        <x:v>0</x:v>
      </x:c>
      <x:c r="P828" s="9" t="str">
        <x:v>HELD / UNRELEASED</x:v>
      </x:c>
      <x:c r="Q828" s="9" t="n">
        <x:f>COUNTIFS($A$7:$A$2310,A828)</x:f>
        <x:v>1</x:v>
      </x:c>
    </x:row>
    <x:row r="829">
      <x:c r="A829" s="9" t="str">
        <x:v>PD-AR-HC-A-C-TECH-3-B1-RCN-G0-PD07</x:v>
      </x:c>
      <x:c r="B829" s="9" t="str">
        <x:v>PD-AR-HC-A-C-TECH-3-B1-RCN-G0</x:v>
      </x:c>
      <x:c r="C829" s="9" t="str">
        <x:v>EV-AR-HC-A-C-TECH-3-B1-RCN-G0</x:v>
      </x:c>
      <x:c r="D829" s="9" t="str">
        <x:v>AR-HC-A-C-TECH-3-B1-RCN-G0</x:v>
      </x:c>
      <x:c r="E829" s="9" t="str">
        <x:v>HC-A-C-TECH-3</x:v>
      </x:c>
      <x:c r="F829" s="9" t="str">
        <x:v>HC-A-C</x:v>
      </x:c>
      <x:c r="G829" s="9" t="str">
        <x:v>B1</x:v>
      </x:c>
      <x:c r="H829" s="9" t="str">
        <x:v>RCN</x:v>
      </x:c>
      <x:c r="I829" s="9" t="str">
        <x:v>PD07</x:v>
      </x:c>
      <x:c r="J829" s="17" t="str">
        <x:v>Clock and environmental records</x:v>
      </x:c>
      <x:c r="K829" s="17" t="str">
        <x:v>Boundary archive</x:v>
      </x:c>
      <x:c r="L829" s="17" t="str">
        <x:v>COURT-SEALED UNTIL COHORT RELEASE</x:v>
      </x:c>
      <x:c r="M829" s="9" t="n">
        <x:v>0</x:v>
      </x:c>
      <x:c r="N829" s="9" t="n">
        <x:v>0</x:v>
      </x:c>
      <x:c r="O829" s="9" t="n">
        <x:v>0</x:v>
      </x:c>
      <x:c r="P829" s="9" t="str">
        <x:v>HELD / UNRELEASED</x:v>
      </x:c>
      <x:c r="Q829" s="9" t="n">
        <x:f>COUNTIFS($A$7:$A$2310,A829)</x:f>
        <x:v>1</x:v>
      </x:c>
    </x:row>
    <x:row r="830">
      <x:c r="A830" s="9" t="str">
        <x:v>PD-AR-HC-A-C-TECH-3-B1-RCN-G0-PD08</x:v>
      </x:c>
      <x:c r="B830" s="9" t="str">
        <x:v>PD-AR-HC-A-C-TECH-3-B1-RCN-G0</x:v>
      </x:c>
      <x:c r="C830" s="9" t="str">
        <x:v>EV-AR-HC-A-C-TECH-3-B1-RCN-G0</x:v>
      </x:c>
      <x:c r="D830" s="9" t="str">
        <x:v>AR-HC-A-C-TECH-3-B1-RCN-G0</x:v>
      </x:c>
      <x:c r="E830" s="9" t="str">
        <x:v>HC-A-C-TECH-3</x:v>
      </x:c>
      <x:c r="F830" s="9" t="str">
        <x:v>HC-A-C</x:v>
      </x:c>
      <x:c r="G830" s="9" t="str">
        <x:v>B1</x:v>
      </x:c>
      <x:c r="H830" s="9" t="str">
        <x:v>RCN</x:v>
      </x:c>
      <x:c r="I830" s="9" t="str">
        <x:v>PD08</x:v>
      </x:c>
      <x:c r="J830" s="17" t="str">
        <x:v>Command and intervention log</x:v>
      </x:c>
      <x:c r="K830" s="17" t="str">
        <x:v>Safety archive</x:v>
      </x:c>
      <x:c r="L830" s="17" t="str">
        <x:v>COURT-SEALED UNTIL COHORT RELEASE</x:v>
      </x:c>
      <x:c r="M830" s="9" t="n">
        <x:v>0</x:v>
      </x:c>
      <x:c r="N830" s="9" t="n">
        <x:v>0</x:v>
      </x:c>
      <x:c r="O830" s="9" t="n">
        <x:v>0</x:v>
      </x:c>
      <x:c r="P830" s="9" t="str">
        <x:v>HELD / UNRELEASED</x:v>
      </x:c>
      <x:c r="Q830" s="9" t="n">
        <x:f>COUNTIFS($A$7:$A$2310,A830)</x:f>
        <x:v>1</x:v>
      </x:c>
    </x:row>
    <x:row r="831">
      <x:c r="A831" s="9" t="str">
        <x:v>PD-AR-HC-A-C-TECH-3-B1-RCN-G0-PD09</x:v>
      </x:c>
      <x:c r="B831" s="9" t="str">
        <x:v>PD-AR-HC-A-C-TECH-3-B1-RCN-G0</x:v>
      </x:c>
      <x:c r="C831" s="9" t="str">
        <x:v>EV-AR-HC-A-C-TECH-3-B1-RCN-G0</x:v>
      </x:c>
      <x:c r="D831" s="9" t="str">
        <x:v>AR-HC-A-C-TECH-3-B1-RCN-G0</x:v>
      </x:c>
      <x:c r="E831" s="9" t="str">
        <x:v>HC-A-C-TECH-3</x:v>
      </x:c>
      <x:c r="F831" s="9" t="str">
        <x:v>HC-A-C</x:v>
      </x:c>
      <x:c r="G831" s="9" t="str">
        <x:v>B1</x:v>
      </x:c>
      <x:c r="H831" s="9" t="str">
        <x:v>RCN</x:v>
      </x:c>
      <x:c r="I831" s="9" t="str">
        <x:v>PD09</x:v>
      </x:c>
      <x:c r="J831" s="17" t="str">
        <x:v>Receiver denominator and service ledger</x:v>
      </x:c>
      <x:c r="K831" s="17" t="str">
        <x:v>Receiver archive</x:v>
      </x:c>
      <x:c r="L831" s="17" t="str">
        <x:v>COURT-SEALED UNTIL COHORT RELEASE</x:v>
      </x:c>
      <x:c r="M831" s="9" t="n">
        <x:v>0</x:v>
      </x:c>
      <x:c r="N831" s="9" t="n">
        <x:v>0</x:v>
      </x:c>
      <x:c r="O831" s="9" t="n">
        <x:v>0</x:v>
      </x:c>
      <x:c r="P831" s="9" t="str">
        <x:v>HELD / UNRELEASED</x:v>
      </x:c>
      <x:c r="Q831" s="9" t="n">
        <x:f>COUNTIFS($A$7:$A$2310,A831)</x:f>
        <x:v>1</x:v>
      </x:c>
    </x:row>
    <x:row r="832">
      <x:c r="A832" s="9" t="str">
        <x:v>PD-AR-HC-A-C-TECH-3-B1-RCN-G0-PD10</x:v>
      </x:c>
      <x:c r="B832" s="9" t="str">
        <x:v>PD-AR-HC-A-C-TECH-3-B1-RCN-G0</x:v>
      </x:c>
      <x:c r="C832" s="9" t="str">
        <x:v>EV-AR-HC-A-C-TECH-3-B1-RCN-G0</x:v>
      </x:c>
      <x:c r="D832" s="9" t="str">
        <x:v>AR-HC-A-C-TECH-3-B1-RCN-G0</x:v>
      </x:c>
      <x:c r="E832" s="9" t="str">
        <x:v>HC-A-C-TECH-3</x:v>
      </x:c>
      <x:c r="F832" s="9" t="str">
        <x:v>HC-A-C</x:v>
      </x:c>
      <x:c r="G832" s="9" t="str">
        <x:v>B1</x:v>
      </x:c>
      <x:c r="H832" s="9" t="str">
        <x:v>RCN</x:v>
      </x:c>
      <x:c r="I832" s="9" t="str">
        <x:v>PD10</x:v>
      </x:c>
      <x:c r="J832" s="17" t="str">
        <x:v>Calibration and uncertainty record</x:v>
      </x:c>
      <x:c r="K832" s="17" t="str">
        <x:v>Metrology archive</x:v>
      </x:c>
      <x:c r="L832" s="17" t="str">
        <x:v>COURT-SEALED UNTIL COHORT RELEASE</x:v>
      </x:c>
      <x:c r="M832" s="9" t="n">
        <x:v>0</x:v>
      </x:c>
      <x:c r="N832" s="9" t="n">
        <x:v>0</x:v>
      </x:c>
      <x:c r="O832" s="9" t="n">
        <x:v>0</x:v>
      </x:c>
      <x:c r="P832" s="9" t="str">
        <x:v>HELD / UNRELEASED</x:v>
      </x:c>
      <x:c r="Q832" s="9" t="n">
        <x:f>COUNTIFS($A$7:$A$2310,A832)</x:f>
        <x:v>1</x:v>
      </x:c>
    </x:row>
    <x:row r="833">
      <x:c r="A833" s="9" t="str">
        <x:v>PD-AR-HC-A-C-TECH-3-B1-RCN-G0-PD11</x:v>
      </x:c>
      <x:c r="B833" s="9" t="str">
        <x:v>PD-AR-HC-A-C-TECH-3-B1-RCN-G0</x:v>
      </x:c>
      <x:c r="C833" s="9" t="str">
        <x:v>EV-AR-HC-A-C-TECH-3-B1-RCN-G0</x:v>
      </x:c>
      <x:c r="D833" s="9" t="str">
        <x:v>AR-HC-A-C-TECH-3-B1-RCN-G0</x:v>
      </x:c>
      <x:c r="E833" s="9" t="str">
        <x:v>HC-A-C-TECH-3</x:v>
      </x:c>
      <x:c r="F833" s="9" t="str">
        <x:v>HC-A-C</x:v>
      </x:c>
      <x:c r="G833" s="9" t="str">
        <x:v>B1</x:v>
      </x:c>
      <x:c r="H833" s="9" t="str">
        <x:v>RCN</x:v>
      </x:c>
      <x:c r="I833" s="9" t="str">
        <x:v>PD11</x:v>
      </x:c>
      <x:c r="J833" s="17" t="str">
        <x:v>Invalidity petition and opinion</x:v>
      </x:c>
      <x:c r="K833" s="17" t="str">
        <x:v>Invalidity court</x:v>
      </x:c>
      <x:c r="L833" s="17" t="str">
        <x:v>COURT-SEALED UNTIL COHORT RELEASE</x:v>
      </x:c>
      <x:c r="M833" s="9" t="n">
        <x:v>0</x:v>
      </x:c>
      <x:c r="N833" s="9" t="n">
        <x:v>0</x:v>
      </x:c>
      <x:c r="O833" s="9" t="n">
        <x:v>0</x:v>
      </x:c>
      <x:c r="P833" s="9" t="str">
        <x:v>HELD / UNRELEASED</x:v>
      </x:c>
      <x:c r="Q833" s="9" t="n">
        <x:f>COUNTIFS($A$7:$A$2310,A833)</x:f>
        <x:v>1</x:v>
      </x:c>
    </x:row>
    <x:row r="834">
      <x:c r="A834" s="9" t="str">
        <x:v>PD-AR-HC-A-C-TECH-3-B1-RCN-G0-PD12</x:v>
      </x:c>
      <x:c r="B834" s="9" t="str">
        <x:v>PD-AR-HC-A-C-TECH-3-B1-RCN-G0</x:v>
      </x:c>
      <x:c r="C834" s="9" t="str">
        <x:v>EV-AR-HC-A-C-TECH-3-B1-RCN-G0</x:v>
      </x:c>
      <x:c r="D834" s="9" t="str">
        <x:v>AR-HC-A-C-TECH-3-B1-RCN-G0</x:v>
      </x:c>
      <x:c r="E834" s="9" t="str">
        <x:v>HC-A-C-TECH-3</x:v>
      </x:c>
      <x:c r="F834" s="9" t="str">
        <x:v>HC-A-C</x:v>
      </x:c>
      <x:c r="G834" s="9" t="str">
        <x:v>B1</x:v>
      </x:c>
      <x:c r="H834" s="9" t="str">
        <x:v>RCN</x:v>
      </x:c>
      <x:c r="I834" s="9" t="str">
        <x:v>PD12</x:v>
      </x:c>
      <x:c r="J834" s="17" t="str">
        <x:v>Observation acceptance and replay</x:v>
      </x:c>
      <x:c r="K834" s="17" t="str">
        <x:v>Observation court</x:v>
      </x:c>
      <x:c r="L834" s="17" t="str">
        <x:v>COURT-SEALED UNTIL COHORT RELEASE</x:v>
      </x:c>
      <x:c r="M834" s="9" t="n">
        <x:v>0</x:v>
      </x:c>
      <x:c r="N834" s="9" t="n">
        <x:v>0</x:v>
      </x:c>
      <x:c r="O834" s="9" t="n">
        <x:v>0</x:v>
      </x:c>
      <x:c r="P834" s="9" t="str">
        <x:v>HELD / UNRELEASED</x:v>
      </x:c>
      <x:c r="Q834" s="9" t="n">
        <x:f>COUNTIFS($A$7:$A$2310,A834)</x:f>
        <x:v>1</x:v>
      </x:c>
    </x:row>
    <x:row r="835">
      <x:c r="A835" s="9" t="str">
        <x:v>PD-AR-HC-A-C-TECH-3-B1-RCN-G0-PD13</x:v>
      </x:c>
      <x:c r="B835" s="9" t="str">
        <x:v>PD-AR-HC-A-C-TECH-3-B1-RCN-G0</x:v>
      </x:c>
      <x:c r="C835" s="9" t="str">
        <x:v>EV-AR-HC-A-C-TECH-3-B1-RCN-G0</x:v>
      </x:c>
      <x:c r="D835" s="9" t="str">
        <x:v>AR-HC-A-C-TECH-3-B1-RCN-G0</x:v>
      </x:c>
      <x:c r="E835" s="9" t="str">
        <x:v>HC-A-C-TECH-3</x:v>
      </x:c>
      <x:c r="F835" s="9" t="str">
        <x:v>HC-A-C</x:v>
      </x:c>
      <x:c r="G835" s="9" t="str">
        <x:v>B1</x:v>
      </x:c>
      <x:c r="H835" s="9" t="str">
        <x:v>RCN</x:v>
      </x:c>
      <x:c r="I835" s="9" t="str">
        <x:v>PD13</x:v>
      </x:c>
      <x:c r="J835" s="17" t="str">
        <x:v>Role judgment</x:v>
      </x:c>
      <x:c r="K835" s="17" t="str">
        <x:v>Role court</x:v>
      </x:c>
      <x:c r="L835" s="17" t="str">
        <x:v>COURT-SEALED UNTIL COHORT RELEASE</x:v>
      </x:c>
      <x:c r="M835" s="9" t="n">
        <x:v>0</x:v>
      </x:c>
      <x:c r="N835" s="9" t="n">
        <x:v>0</x:v>
      </x:c>
      <x:c r="O835" s="9" t="n">
        <x:v>0</x:v>
      </x:c>
      <x:c r="P835" s="9" t="str">
        <x:v>HELD / UNRELEASED</x:v>
      </x:c>
      <x:c r="Q835" s="9" t="n">
        <x:f>COUNTIFS($A$7:$A$2310,A835)</x:f>
        <x:v>1</x:v>
      </x:c>
    </x:row>
    <x:row r="836">
      <x:c r="A836" s="9" t="str">
        <x:v>PD-AR-HC-A-C-TECH-3-B1-RCN-G0-PD14</x:v>
      </x:c>
      <x:c r="B836" s="9" t="str">
        <x:v>PD-AR-HC-A-C-TECH-3-B1-RCN-G0</x:v>
      </x:c>
      <x:c r="C836" s="9" t="str">
        <x:v>EV-AR-HC-A-C-TECH-3-B1-RCN-G0</x:v>
      </x:c>
      <x:c r="D836" s="9" t="str">
        <x:v>AR-HC-A-C-TECH-3-B1-RCN-G0</x:v>
      </x:c>
      <x:c r="E836" s="9" t="str">
        <x:v>HC-A-C-TECH-3</x:v>
      </x:c>
      <x:c r="F836" s="9" t="str">
        <x:v>HC-A-C</x:v>
      </x:c>
      <x:c r="G836" s="9" t="str">
        <x:v>B1</x:v>
      </x:c>
      <x:c r="H836" s="9" t="str">
        <x:v>RCN</x:v>
      </x:c>
      <x:c r="I836" s="9" t="str">
        <x:v>PD14</x:v>
      </x:c>
      <x:c r="J836" s="17" t="str">
        <x:v>Break and residual account</x:v>
      </x:c>
      <x:c r="K836" s="17" t="str">
        <x:v>Residual authority</x:v>
      </x:c>
      <x:c r="L836" s="17" t="str">
        <x:v>COURT-SEALED UNTIL COHORT RELEASE</x:v>
      </x:c>
      <x:c r="M836" s="9" t="n">
        <x:v>0</x:v>
      </x:c>
      <x:c r="N836" s="9" t="n">
        <x:v>0</x:v>
      </x:c>
      <x:c r="O836" s="9" t="n">
        <x:v>0</x:v>
      </x:c>
      <x:c r="P836" s="9" t="str">
        <x:v>HELD / UNRELEASED</x:v>
      </x:c>
      <x:c r="Q836" s="9" t="n">
        <x:f>COUNTIFS($A$7:$A$2310,A836)</x:f>
        <x:v>1</x:v>
      </x:c>
    </x:row>
    <x:row r="837">
      <x:c r="A837" s="9" t="str">
        <x:v>PD-AR-HC-A-C-TECH-3-B1-RCN-G0-PD15</x:v>
      </x:c>
      <x:c r="B837" s="9" t="str">
        <x:v>PD-AR-HC-A-C-TECH-3-B1-RCN-G0</x:v>
      </x:c>
      <x:c r="C837" s="9" t="str">
        <x:v>EV-AR-HC-A-C-TECH-3-B1-RCN-G0</x:v>
      </x:c>
      <x:c r="D837" s="9" t="str">
        <x:v>AR-HC-A-C-TECH-3-B1-RCN-G0</x:v>
      </x:c>
      <x:c r="E837" s="9" t="str">
        <x:v>HC-A-C-TECH-3</x:v>
      </x:c>
      <x:c r="F837" s="9" t="str">
        <x:v>HC-A-C</x:v>
      </x:c>
      <x:c r="G837" s="9" t="str">
        <x:v>B1</x:v>
      </x:c>
      <x:c r="H837" s="9" t="str">
        <x:v>RCN</x:v>
      </x:c>
      <x:c r="I837" s="9" t="str">
        <x:v>PD15</x:v>
      </x:c>
      <x:c r="J837" s="17" t="str">
        <x:v>Reconstruction ancestry and replay</x:v>
      </x:c>
      <x:c r="K837" s="17" t="str">
        <x:v>Reconstruction court</x:v>
      </x:c>
      <x:c r="L837" s="17" t="str">
        <x:v>COURT-SEALED UNTIL COHORT RELEASE</x:v>
      </x:c>
      <x:c r="M837" s="9" t="n">
        <x:v>0</x:v>
      </x:c>
      <x:c r="N837" s="9" t="n">
        <x:v>0</x:v>
      </x:c>
      <x:c r="O837" s="9" t="n">
        <x:v>0</x:v>
      </x:c>
      <x:c r="P837" s="9" t="str">
        <x:v>HELD / UNRELEASED</x:v>
      </x:c>
      <x:c r="Q837" s="9" t="n">
        <x:f>COUNTIFS($A$7:$A$2310,A837)</x:f>
        <x:v>1</x:v>
      </x:c>
    </x:row>
    <x:row r="838">
      <x:c r="A838" s="9" t="str">
        <x:v>PD-AR-HC-A-C-TECH-3-B1-RCN-G0-PD16</x:v>
      </x:c>
      <x:c r="B838" s="9" t="str">
        <x:v>PD-AR-HC-A-C-TECH-3-B1-RCN-G0</x:v>
      </x:c>
      <x:c r="C838" s="9" t="str">
        <x:v>EV-AR-HC-A-C-TECH-3-B1-RCN-G0</x:v>
      </x:c>
      <x:c r="D838" s="9" t="str">
        <x:v>AR-HC-A-C-TECH-3-B1-RCN-G0</x:v>
      </x:c>
      <x:c r="E838" s="9" t="str">
        <x:v>HC-A-C-TECH-3</x:v>
      </x:c>
      <x:c r="F838" s="9" t="str">
        <x:v>HC-A-C</x:v>
      </x:c>
      <x:c r="G838" s="9" t="str">
        <x:v>B1</x:v>
      </x:c>
      <x:c r="H838" s="9" t="str">
        <x:v>RCN</x:v>
      </x:c>
      <x:c r="I838" s="9" t="str">
        <x:v>PD16</x:v>
      </x:c>
      <x:c r="J838" s="17" t="str">
        <x:v>Dissent, amendments and access log</x:v>
      </x:c>
      <x:c r="K838" s="17" t="str">
        <x:v>Public archive</x:v>
      </x:c>
      <x:c r="L838" s="17" t="str">
        <x:v>COURT-SEALED UNTIL COHORT RELEASE</x:v>
      </x:c>
      <x:c r="M838" s="9" t="n">
        <x:v>0</x:v>
      </x:c>
      <x:c r="N838" s="9" t="n">
        <x:v>0</x:v>
      </x:c>
      <x:c r="O838" s="9" t="n">
        <x:v>0</x:v>
      </x:c>
      <x:c r="P838" s="9" t="str">
        <x:v>HELD / UNRELEASED</x:v>
      </x:c>
      <x:c r="Q838" s="9" t="n">
        <x:f>COUNTIFS($A$7:$A$2310,A838)</x:f>
        <x:v>1</x:v>
      </x:c>
    </x:row>
    <x:row r="839">
      <x:c r="A839" s="9" t="str">
        <x:v>PD-AR-HU-A-B-TECH-1-B1-RCN-G0-PD01</x:v>
      </x:c>
      <x:c r="B839" s="9" t="str">
        <x:v>PD-AR-HU-A-B-TECH-1-B1-RCN-G0</x:v>
      </x:c>
      <x:c r="C839" s="9" t="str">
        <x:v>EV-AR-HU-A-B-TECH-1-B1-RCN-G0</x:v>
      </x:c>
      <x:c r="D839" s="9" t="str">
        <x:v>AR-HU-A-B-TECH-1-B1-RCN-G0</x:v>
      </x:c>
      <x:c r="E839" s="9" t="str">
        <x:v>HU-A-B-TECH-1</x:v>
      </x:c>
      <x:c r="F839" s="9" t="str">
        <x:v>HU-A-B</x:v>
      </x:c>
      <x:c r="G839" s="9" t="str">
        <x:v>B1</x:v>
      </x:c>
      <x:c r="H839" s="9" t="str">
        <x:v>RCN</x:v>
      </x:c>
      <x:c r="I839" s="9" t="str">
        <x:v>PD01</x:v>
      </x:c>
      <x:c r="J839" s="17" t="str">
        <x:v>Experiment kernel</x:v>
      </x:c>
      <x:c r="K839" s="17" t="str">
        <x:v>Public archive</x:v>
      </x:c>
      <x:c r="L839" s="17" t="str">
        <x:v>COURT-SEALED UNTIL COHORT RELEASE</x:v>
      </x:c>
      <x:c r="M839" s="9" t="n">
        <x:v>0</x:v>
      </x:c>
      <x:c r="N839" s="9" t="n">
        <x:v>0</x:v>
      </x:c>
      <x:c r="O839" s="9" t="n">
        <x:v>0</x:v>
      </x:c>
      <x:c r="P839" s="9" t="str">
        <x:v>HELD / UNRELEASED</x:v>
      </x:c>
      <x:c r="Q839" s="9" t="n">
        <x:f>COUNTIFS($A$7:$A$2310,A839)</x:f>
        <x:v>1</x:v>
      </x:c>
    </x:row>
    <x:row r="840">
      <x:c r="A840" s="9" t="str">
        <x:v>PD-AR-HU-A-B-TECH-1-B1-RCN-G0-PD02</x:v>
      </x:c>
      <x:c r="B840" s="9" t="str">
        <x:v>PD-AR-HU-A-B-TECH-1-B1-RCN-G0</x:v>
      </x:c>
      <x:c r="C840" s="9" t="str">
        <x:v>EV-AR-HU-A-B-TECH-1-B1-RCN-G0</x:v>
      </x:c>
      <x:c r="D840" s="9" t="str">
        <x:v>AR-HU-A-B-TECH-1-B1-RCN-G0</x:v>
      </x:c>
      <x:c r="E840" s="9" t="str">
        <x:v>HU-A-B-TECH-1</x:v>
      </x:c>
      <x:c r="F840" s="9" t="str">
        <x:v>HU-A-B</x:v>
      </x:c>
      <x:c r="G840" s="9" t="str">
        <x:v>B1</x:v>
      </x:c>
      <x:c r="H840" s="9" t="str">
        <x:v>RCN</x:v>
      </x:c>
      <x:c r="I840" s="9" t="str">
        <x:v>PD02</x:v>
      </x:c>
      <x:c r="J840" s="17" t="str">
        <x:v>Serial annex and title chain</x:v>
      </x:c>
      <x:c r="K840" s="17" t="str">
        <x:v>Public archive</x:v>
      </x:c>
      <x:c r="L840" s="17" t="str">
        <x:v>COURT-SEALED UNTIL COHORT RELEASE</x:v>
      </x:c>
      <x:c r="M840" s="9" t="n">
        <x:v>0</x:v>
      </x:c>
      <x:c r="N840" s="9" t="n">
        <x:v>0</x:v>
      </x:c>
      <x:c r="O840" s="9" t="n">
        <x:v>0</x:v>
      </x:c>
      <x:c r="P840" s="9" t="str">
        <x:v>HELD / UNRELEASED</x:v>
      </x:c>
      <x:c r="Q840" s="9" t="n">
        <x:f>COUNTIFS($A$7:$A$2310,A840)</x:f>
        <x:v>1</x:v>
      </x:c>
    </x:row>
    <x:row r="841">
      <x:c r="A841" s="9" t="str">
        <x:v>PD-AR-HU-A-B-TECH-1-B1-RCN-G0-PD03</x:v>
      </x:c>
      <x:c r="B841" s="9" t="str">
        <x:v>PD-AR-HU-A-B-TECH-1-B1-RCN-G0</x:v>
      </x:c>
      <x:c r="C841" s="9" t="str">
        <x:v>EV-AR-HU-A-B-TECH-1-B1-RCN-G0</x:v>
      </x:c>
      <x:c r="D841" s="9" t="str">
        <x:v>AR-HU-A-B-TECH-1-B1-RCN-G0</x:v>
      </x:c>
      <x:c r="E841" s="9" t="str">
        <x:v>HU-A-B-TECH-1</x:v>
      </x:c>
      <x:c r="F841" s="9" t="str">
        <x:v>HU-A-B</x:v>
      </x:c>
      <x:c r="G841" s="9" t="str">
        <x:v>B1</x:v>
      </x:c>
      <x:c r="H841" s="9" t="str">
        <x:v>RCN</x:v>
      </x:c>
      <x:c r="I841" s="9" t="str">
        <x:v>PD03</x:v>
      </x:c>
      <x:c r="J841" s="17" t="str">
        <x:v>Configuration and as-built manifest</x:v>
      </x:c>
      <x:c r="K841" s="17" t="str">
        <x:v>Artifact exchange</x:v>
      </x:c>
      <x:c r="L841" s="17" t="str">
        <x:v>COURT-SEALED UNTIL COHORT RELEASE</x:v>
      </x:c>
      <x:c r="M841" s="9" t="n">
        <x:v>0</x:v>
      </x:c>
      <x:c r="N841" s="9" t="n">
        <x:v>0</x:v>
      </x:c>
      <x:c r="O841" s="9" t="n">
        <x:v>0</x:v>
      </x:c>
      <x:c r="P841" s="9" t="str">
        <x:v>HELD / UNRELEASED</x:v>
      </x:c>
      <x:c r="Q841" s="9" t="n">
        <x:f>COUNTIFS($A$7:$A$2310,A841)</x:f>
        <x:v>1</x:v>
      </x:c>
    </x:row>
    <x:row r="842">
      <x:c r="A842" s="9" t="str">
        <x:v>PD-AR-HU-A-B-TECH-1-B1-RCN-G0-PD04</x:v>
      </x:c>
      <x:c r="B842" s="9" t="str">
        <x:v>PD-AR-HU-A-B-TECH-1-B1-RCN-G0</x:v>
      </x:c>
      <x:c r="C842" s="9" t="str">
        <x:v>EV-AR-HU-A-B-TECH-1-B1-RCN-G0</x:v>
      </x:c>
      <x:c r="D842" s="9" t="str">
        <x:v>AR-HU-A-B-TECH-1-B1-RCN-G0</x:v>
      </x:c>
      <x:c r="E842" s="9" t="str">
        <x:v>HU-A-B-TECH-1</x:v>
      </x:c>
      <x:c r="F842" s="9" t="str">
        <x:v>HU-A-B</x:v>
      </x:c>
      <x:c r="G842" s="9" t="str">
        <x:v>B1</x:v>
      </x:c>
      <x:c r="H842" s="9" t="str">
        <x:v>RCN</x:v>
      </x:c>
      <x:c r="I842" s="9" t="str">
        <x:v>PD04</x:v>
      </x:c>
      <x:c r="J842" s="17" t="str">
        <x:v>EOW and start certificate</x:v>
      </x:c>
      <x:c r="K842" s="17" t="str">
        <x:v>Start registrar</x:v>
      </x:c>
      <x:c r="L842" s="17" t="str">
        <x:v>COURT-SEALED UNTIL COHORT RELEASE</x:v>
      </x:c>
      <x:c r="M842" s="9" t="n">
        <x:v>0</x:v>
      </x:c>
      <x:c r="N842" s="9" t="n">
        <x:v>0</x:v>
      </x:c>
      <x:c r="O842" s="9" t="n">
        <x:v>0</x:v>
      </x:c>
      <x:c r="P842" s="9" t="str">
        <x:v>HELD / UNRELEASED</x:v>
      </x:c>
      <x:c r="Q842" s="9" t="n">
        <x:f>COUNTIFS($A$7:$A$2310,A842)</x:f>
        <x:v>1</x:v>
      </x:c>
    </x:row>
    <x:row r="843">
      <x:c r="A843" s="9" t="str">
        <x:v>PD-AR-HU-A-B-TECH-1-B1-RCN-G0-PD05</x:v>
      </x:c>
      <x:c r="B843" s="9" t="str">
        <x:v>PD-AR-HU-A-B-TECH-1-B1-RCN-G0</x:v>
      </x:c>
      <x:c r="C843" s="9" t="str">
        <x:v>EV-AR-HU-A-B-TECH-1-B1-RCN-G0</x:v>
      </x:c>
      <x:c r="D843" s="9" t="str">
        <x:v>AR-HU-A-B-TECH-1-B1-RCN-G0</x:v>
      </x:c>
      <x:c r="E843" s="9" t="str">
        <x:v>HU-A-B-TECH-1</x:v>
      </x:c>
      <x:c r="F843" s="9" t="str">
        <x:v>HU-A-B</x:v>
      </x:c>
      <x:c r="G843" s="9" t="str">
        <x:v>B1</x:v>
      </x:c>
      <x:c r="H843" s="9" t="str">
        <x:v>RCN</x:v>
      </x:c>
      <x:c r="I843" s="9" t="str">
        <x:v>PD05</x:v>
      </x:c>
      <x:c r="J843" s="17" t="str">
        <x:v>Primary raw originals</x:v>
      </x:c>
      <x:c r="K843" s="17" t="str">
        <x:v>Primary custody</x:v>
      </x:c>
      <x:c r="L843" s="17" t="str">
        <x:v>COURT-SEALED UNTIL COHORT RELEASE</x:v>
      </x:c>
      <x:c r="M843" s="9" t="n">
        <x:v>0</x:v>
      </x:c>
      <x:c r="N843" s="9" t="n">
        <x:v>0</x:v>
      </x:c>
      <x:c r="O843" s="9" t="n">
        <x:v>0</x:v>
      </x:c>
      <x:c r="P843" s="9" t="str">
        <x:v>HELD / UNRELEASED</x:v>
      </x:c>
      <x:c r="Q843" s="9" t="n">
        <x:f>COUNTIFS($A$7:$A$2310,A843)</x:f>
        <x:v>1</x:v>
      </x:c>
    </x:row>
    <x:row r="844">
      <x:c r="A844" s="9" t="str">
        <x:v>PD-AR-HU-A-B-TECH-1-B1-RCN-G0-PD06</x:v>
      </x:c>
      <x:c r="B844" s="9" t="str">
        <x:v>PD-AR-HU-A-B-TECH-1-B1-RCN-G0</x:v>
      </x:c>
      <x:c r="C844" s="9" t="str">
        <x:v>EV-AR-HU-A-B-TECH-1-B1-RCN-G0</x:v>
      </x:c>
      <x:c r="D844" s="9" t="str">
        <x:v>AR-HU-A-B-TECH-1-B1-RCN-G0</x:v>
      </x:c>
      <x:c r="E844" s="9" t="str">
        <x:v>HU-A-B-TECH-1</x:v>
      </x:c>
      <x:c r="F844" s="9" t="str">
        <x:v>HU-A-B</x:v>
      </x:c>
      <x:c r="G844" s="9" t="str">
        <x:v>B1</x:v>
      </x:c>
      <x:c r="H844" s="9" t="str">
        <x:v>RCN</x:v>
      </x:c>
      <x:c r="I844" s="9" t="str">
        <x:v>PD06</x:v>
      </x:c>
      <x:c r="J844" s="17" t="str">
        <x:v>Witness raw originals</x:v>
      </x:c>
      <x:c r="K844" s="17" t="str">
        <x:v>Witness custody</x:v>
      </x:c>
      <x:c r="L844" s="17" t="str">
        <x:v>COURT-SEALED UNTIL COHORT RELEASE</x:v>
      </x:c>
      <x:c r="M844" s="9" t="n">
        <x:v>0</x:v>
      </x:c>
      <x:c r="N844" s="9" t="n">
        <x:v>0</x:v>
      </x:c>
      <x:c r="O844" s="9" t="n">
        <x:v>0</x:v>
      </x:c>
      <x:c r="P844" s="9" t="str">
        <x:v>HELD / UNRELEASED</x:v>
      </x:c>
      <x:c r="Q844" s="9" t="n">
        <x:f>COUNTIFS($A$7:$A$2310,A844)</x:f>
        <x:v>1</x:v>
      </x:c>
    </x:row>
    <x:row r="845">
      <x:c r="A845" s="9" t="str">
        <x:v>PD-AR-HU-A-B-TECH-1-B1-RCN-G0-PD07</x:v>
      </x:c>
      <x:c r="B845" s="9" t="str">
        <x:v>PD-AR-HU-A-B-TECH-1-B1-RCN-G0</x:v>
      </x:c>
      <x:c r="C845" s="9" t="str">
        <x:v>EV-AR-HU-A-B-TECH-1-B1-RCN-G0</x:v>
      </x:c>
      <x:c r="D845" s="9" t="str">
        <x:v>AR-HU-A-B-TECH-1-B1-RCN-G0</x:v>
      </x:c>
      <x:c r="E845" s="9" t="str">
        <x:v>HU-A-B-TECH-1</x:v>
      </x:c>
      <x:c r="F845" s="9" t="str">
        <x:v>HU-A-B</x:v>
      </x:c>
      <x:c r="G845" s="9" t="str">
        <x:v>B1</x:v>
      </x:c>
      <x:c r="H845" s="9" t="str">
        <x:v>RCN</x:v>
      </x:c>
      <x:c r="I845" s="9" t="str">
        <x:v>PD07</x:v>
      </x:c>
      <x:c r="J845" s="17" t="str">
        <x:v>Clock and environmental records</x:v>
      </x:c>
      <x:c r="K845" s="17" t="str">
        <x:v>Boundary archive</x:v>
      </x:c>
      <x:c r="L845" s="17" t="str">
        <x:v>COURT-SEALED UNTIL COHORT RELEASE</x:v>
      </x:c>
      <x:c r="M845" s="9" t="n">
        <x:v>0</x:v>
      </x:c>
      <x:c r="N845" s="9" t="n">
        <x:v>0</x:v>
      </x:c>
      <x:c r="O845" s="9" t="n">
        <x:v>0</x:v>
      </x:c>
      <x:c r="P845" s="9" t="str">
        <x:v>HELD / UNRELEASED</x:v>
      </x:c>
      <x:c r="Q845" s="9" t="n">
        <x:f>COUNTIFS($A$7:$A$2310,A845)</x:f>
        <x:v>1</x:v>
      </x:c>
    </x:row>
    <x:row r="846">
      <x:c r="A846" s="9" t="str">
        <x:v>PD-AR-HU-A-B-TECH-1-B1-RCN-G0-PD08</x:v>
      </x:c>
      <x:c r="B846" s="9" t="str">
        <x:v>PD-AR-HU-A-B-TECH-1-B1-RCN-G0</x:v>
      </x:c>
      <x:c r="C846" s="9" t="str">
        <x:v>EV-AR-HU-A-B-TECH-1-B1-RCN-G0</x:v>
      </x:c>
      <x:c r="D846" s="9" t="str">
        <x:v>AR-HU-A-B-TECH-1-B1-RCN-G0</x:v>
      </x:c>
      <x:c r="E846" s="9" t="str">
        <x:v>HU-A-B-TECH-1</x:v>
      </x:c>
      <x:c r="F846" s="9" t="str">
        <x:v>HU-A-B</x:v>
      </x:c>
      <x:c r="G846" s="9" t="str">
        <x:v>B1</x:v>
      </x:c>
      <x:c r="H846" s="9" t="str">
        <x:v>RCN</x:v>
      </x:c>
      <x:c r="I846" s="9" t="str">
        <x:v>PD08</x:v>
      </x:c>
      <x:c r="J846" s="17" t="str">
        <x:v>Command and intervention log</x:v>
      </x:c>
      <x:c r="K846" s="17" t="str">
        <x:v>Safety archive</x:v>
      </x:c>
      <x:c r="L846" s="17" t="str">
        <x:v>COURT-SEALED UNTIL COHORT RELEASE</x:v>
      </x:c>
      <x:c r="M846" s="9" t="n">
        <x:v>0</x:v>
      </x:c>
      <x:c r="N846" s="9" t="n">
        <x:v>0</x:v>
      </x:c>
      <x:c r="O846" s="9" t="n">
        <x:v>0</x:v>
      </x:c>
      <x:c r="P846" s="9" t="str">
        <x:v>HELD / UNRELEASED</x:v>
      </x:c>
      <x:c r="Q846" s="9" t="n">
        <x:f>COUNTIFS($A$7:$A$2310,A846)</x:f>
        <x:v>1</x:v>
      </x:c>
    </x:row>
    <x:row r="847">
      <x:c r="A847" s="9" t="str">
        <x:v>PD-AR-HU-A-B-TECH-1-B1-RCN-G0-PD09</x:v>
      </x:c>
      <x:c r="B847" s="9" t="str">
        <x:v>PD-AR-HU-A-B-TECH-1-B1-RCN-G0</x:v>
      </x:c>
      <x:c r="C847" s="9" t="str">
        <x:v>EV-AR-HU-A-B-TECH-1-B1-RCN-G0</x:v>
      </x:c>
      <x:c r="D847" s="9" t="str">
        <x:v>AR-HU-A-B-TECH-1-B1-RCN-G0</x:v>
      </x:c>
      <x:c r="E847" s="9" t="str">
        <x:v>HU-A-B-TECH-1</x:v>
      </x:c>
      <x:c r="F847" s="9" t="str">
        <x:v>HU-A-B</x:v>
      </x:c>
      <x:c r="G847" s="9" t="str">
        <x:v>B1</x:v>
      </x:c>
      <x:c r="H847" s="9" t="str">
        <x:v>RCN</x:v>
      </x:c>
      <x:c r="I847" s="9" t="str">
        <x:v>PD09</x:v>
      </x:c>
      <x:c r="J847" s="17" t="str">
        <x:v>Receiver denominator and service ledger</x:v>
      </x:c>
      <x:c r="K847" s="17" t="str">
        <x:v>Receiver archive</x:v>
      </x:c>
      <x:c r="L847" s="17" t="str">
        <x:v>COURT-SEALED UNTIL COHORT RELEASE</x:v>
      </x:c>
      <x:c r="M847" s="9" t="n">
        <x:v>0</x:v>
      </x:c>
      <x:c r="N847" s="9" t="n">
        <x:v>0</x:v>
      </x:c>
      <x:c r="O847" s="9" t="n">
        <x:v>0</x:v>
      </x:c>
      <x:c r="P847" s="9" t="str">
        <x:v>HELD / UNRELEASED</x:v>
      </x:c>
      <x:c r="Q847" s="9" t="n">
        <x:f>COUNTIFS($A$7:$A$2310,A847)</x:f>
        <x:v>1</x:v>
      </x:c>
    </x:row>
    <x:row r="848">
      <x:c r="A848" s="9" t="str">
        <x:v>PD-AR-HU-A-B-TECH-1-B1-RCN-G0-PD10</x:v>
      </x:c>
      <x:c r="B848" s="9" t="str">
        <x:v>PD-AR-HU-A-B-TECH-1-B1-RCN-G0</x:v>
      </x:c>
      <x:c r="C848" s="9" t="str">
        <x:v>EV-AR-HU-A-B-TECH-1-B1-RCN-G0</x:v>
      </x:c>
      <x:c r="D848" s="9" t="str">
        <x:v>AR-HU-A-B-TECH-1-B1-RCN-G0</x:v>
      </x:c>
      <x:c r="E848" s="9" t="str">
        <x:v>HU-A-B-TECH-1</x:v>
      </x:c>
      <x:c r="F848" s="9" t="str">
        <x:v>HU-A-B</x:v>
      </x:c>
      <x:c r="G848" s="9" t="str">
        <x:v>B1</x:v>
      </x:c>
      <x:c r="H848" s="9" t="str">
        <x:v>RCN</x:v>
      </x:c>
      <x:c r="I848" s="9" t="str">
        <x:v>PD10</x:v>
      </x:c>
      <x:c r="J848" s="17" t="str">
        <x:v>Calibration and uncertainty record</x:v>
      </x:c>
      <x:c r="K848" s="17" t="str">
        <x:v>Metrology archive</x:v>
      </x:c>
      <x:c r="L848" s="17" t="str">
        <x:v>COURT-SEALED UNTIL COHORT RELEASE</x:v>
      </x:c>
      <x:c r="M848" s="9" t="n">
        <x:v>0</x:v>
      </x:c>
      <x:c r="N848" s="9" t="n">
        <x:v>0</x:v>
      </x:c>
      <x:c r="O848" s="9" t="n">
        <x:v>0</x:v>
      </x:c>
      <x:c r="P848" s="9" t="str">
        <x:v>HELD / UNRELEASED</x:v>
      </x:c>
      <x:c r="Q848" s="9" t="n">
        <x:f>COUNTIFS($A$7:$A$2310,A848)</x:f>
        <x:v>1</x:v>
      </x:c>
    </x:row>
    <x:row r="849">
      <x:c r="A849" s="9" t="str">
        <x:v>PD-AR-HU-A-B-TECH-1-B1-RCN-G0-PD11</x:v>
      </x:c>
      <x:c r="B849" s="9" t="str">
        <x:v>PD-AR-HU-A-B-TECH-1-B1-RCN-G0</x:v>
      </x:c>
      <x:c r="C849" s="9" t="str">
        <x:v>EV-AR-HU-A-B-TECH-1-B1-RCN-G0</x:v>
      </x:c>
      <x:c r="D849" s="9" t="str">
        <x:v>AR-HU-A-B-TECH-1-B1-RCN-G0</x:v>
      </x:c>
      <x:c r="E849" s="9" t="str">
        <x:v>HU-A-B-TECH-1</x:v>
      </x:c>
      <x:c r="F849" s="9" t="str">
        <x:v>HU-A-B</x:v>
      </x:c>
      <x:c r="G849" s="9" t="str">
        <x:v>B1</x:v>
      </x:c>
      <x:c r="H849" s="9" t="str">
        <x:v>RCN</x:v>
      </x:c>
      <x:c r="I849" s="9" t="str">
        <x:v>PD11</x:v>
      </x:c>
      <x:c r="J849" s="17" t="str">
        <x:v>Invalidity petition and opinion</x:v>
      </x:c>
      <x:c r="K849" s="17" t="str">
        <x:v>Invalidity court</x:v>
      </x:c>
      <x:c r="L849" s="17" t="str">
        <x:v>COURT-SEALED UNTIL COHORT RELEASE</x:v>
      </x:c>
      <x:c r="M849" s="9" t="n">
        <x:v>0</x:v>
      </x:c>
      <x:c r="N849" s="9" t="n">
        <x:v>0</x:v>
      </x:c>
      <x:c r="O849" s="9" t="n">
        <x:v>0</x:v>
      </x:c>
      <x:c r="P849" s="9" t="str">
        <x:v>HELD / UNRELEASED</x:v>
      </x:c>
      <x:c r="Q849" s="9" t="n">
        <x:f>COUNTIFS($A$7:$A$2310,A849)</x:f>
        <x:v>1</x:v>
      </x:c>
    </x:row>
    <x:row r="850">
      <x:c r="A850" s="9" t="str">
        <x:v>PD-AR-HU-A-B-TECH-1-B1-RCN-G0-PD12</x:v>
      </x:c>
      <x:c r="B850" s="9" t="str">
        <x:v>PD-AR-HU-A-B-TECH-1-B1-RCN-G0</x:v>
      </x:c>
      <x:c r="C850" s="9" t="str">
        <x:v>EV-AR-HU-A-B-TECH-1-B1-RCN-G0</x:v>
      </x:c>
      <x:c r="D850" s="9" t="str">
        <x:v>AR-HU-A-B-TECH-1-B1-RCN-G0</x:v>
      </x:c>
      <x:c r="E850" s="9" t="str">
        <x:v>HU-A-B-TECH-1</x:v>
      </x:c>
      <x:c r="F850" s="9" t="str">
        <x:v>HU-A-B</x:v>
      </x:c>
      <x:c r="G850" s="9" t="str">
        <x:v>B1</x:v>
      </x:c>
      <x:c r="H850" s="9" t="str">
        <x:v>RCN</x:v>
      </x:c>
      <x:c r="I850" s="9" t="str">
        <x:v>PD12</x:v>
      </x:c>
      <x:c r="J850" s="17" t="str">
        <x:v>Observation acceptance and replay</x:v>
      </x:c>
      <x:c r="K850" s="17" t="str">
        <x:v>Observation court</x:v>
      </x:c>
      <x:c r="L850" s="17" t="str">
        <x:v>COURT-SEALED UNTIL COHORT RELEASE</x:v>
      </x:c>
      <x:c r="M850" s="9" t="n">
        <x:v>0</x:v>
      </x:c>
      <x:c r="N850" s="9" t="n">
        <x:v>0</x:v>
      </x:c>
      <x:c r="O850" s="9" t="n">
        <x:v>0</x:v>
      </x:c>
      <x:c r="P850" s="9" t="str">
        <x:v>HELD / UNRELEASED</x:v>
      </x:c>
      <x:c r="Q850" s="9" t="n">
        <x:f>COUNTIFS($A$7:$A$2310,A850)</x:f>
        <x:v>1</x:v>
      </x:c>
    </x:row>
    <x:row r="851">
      <x:c r="A851" s="9" t="str">
        <x:v>PD-AR-HU-A-B-TECH-1-B1-RCN-G0-PD13</x:v>
      </x:c>
      <x:c r="B851" s="9" t="str">
        <x:v>PD-AR-HU-A-B-TECH-1-B1-RCN-G0</x:v>
      </x:c>
      <x:c r="C851" s="9" t="str">
        <x:v>EV-AR-HU-A-B-TECH-1-B1-RCN-G0</x:v>
      </x:c>
      <x:c r="D851" s="9" t="str">
        <x:v>AR-HU-A-B-TECH-1-B1-RCN-G0</x:v>
      </x:c>
      <x:c r="E851" s="9" t="str">
        <x:v>HU-A-B-TECH-1</x:v>
      </x:c>
      <x:c r="F851" s="9" t="str">
        <x:v>HU-A-B</x:v>
      </x:c>
      <x:c r="G851" s="9" t="str">
        <x:v>B1</x:v>
      </x:c>
      <x:c r="H851" s="9" t="str">
        <x:v>RCN</x:v>
      </x:c>
      <x:c r="I851" s="9" t="str">
        <x:v>PD13</x:v>
      </x:c>
      <x:c r="J851" s="17" t="str">
        <x:v>Role judgment</x:v>
      </x:c>
      <x:c r="K851" s="17" t="str">
        <x:v>Role court</x:v>
      </x:c>
      <x:c r="L851" s="17" t="str">
        <x:v>COURT-SEALED UNTIL COHORT RELEASE</x:v>
      </x:c>
      <x:c r="M851" s="9" t="n">
        <x:v>0</x:v>
      </x:c>
      <x:c r="N851" s="9" t="n">
        <x:v>0</x:v>
      </x:c>
      <x:c r="O851" s="9" t="n">
        <x:v>0</x:v>
      </x:c>
      <x:c r="P851" s="9" t="str">
        <x:v>HELD / UNRELEASED</x:v>
      </x:c>
      <x:c r="Q851" s="9" t="n">
        <x:f>COUNTIFS($A$7:$A$2310,A851)</x:f>
        <x:v>1</x:v>
      </x:c>
    </x:row>
    <x:row r="852">
      <x:c r="A852" s="9" t="str">
        <x:v>PD-AR-HU-A-B-TECH-1-B1-RCN-G0-PD14</x:v>
      </x:c>
      <x:c r="B852" s="9" t="str">
        <x:v>PD-AR-HU-A-B-TECH-1-B1-RCN-G0</x:v>
      </x:c>
      <x:c r="C852" s="9" t="str">
        <x:v>EV-AR-HU-A-B-TECH-1-B1-RCN-G0</x:v>
      </x:c>
      <x:c r="D852" s="9" t="str">
        <x:v>AR-HU-A-B-TECH-1-B1-RCN-G0</x:v>
      </x:c>
      <x:c r="E852" s="9" t="str">
        <x:v>HU-A-B-TECH-1</x:v>
      </x:c>
      <x:c r="F852" s="9" t="str">
        <x:v>HU-A-B</x:v>
      </x:c>
      <x:c r="G852" s="9" t="str">
        <x:v>B1</x:v>
      </x:c>
      <x:c r="H852" s="9" t="str">
        <x:v>RCN</x:v>
      </x:c>
      <x:c r="I852" s="9" t="str">
        <x:v>PD14</x:v>
      </x:c>
      <x:c r="J852" s="17" t="str">
        <x:v>Break and residual account</x:v>
      </x:c>
      <x:c r="K852" s="17" t="str">
        <x:v>Residual authority</x:v>
      </x:c>
      <x:c r="L852" s="17" t="str">
        <x:v>COURT-SEALED UNTIL COHORT RELEASE</x:v>
      </x:c>
      <x:c r="M852" s="9" t="n">
        <x:v>0</x:v>
      </x:c>
      <x:c r="N852" s="9" t="n">
        <x:v>0</x:v>
      </x:c>
      <x:c r="O852" s="9" t="n">
        <x:v>0</x:v>
      </x:c>
      <x:c r="P852" s="9" t="str">
        <x:v>HELD / UNRELEASED</x:v>
      </x:c>
      <x:c r="Q852" s="9" t="n">
        <x:f>COUNTIFS($A$7:$A$2310,A852)</x:f>
        <x:v>1</x:v>
      </x:c>
    </x:row>
    <x:row r="853">
      <x:c r="A853" s="9" t="str">
        <x:v>PD-AR-HU-A-B-TECH-1-B1-RCN-G0-PD15</x:v>
      </x:c>
      <x:c r="B853" s="9" t="str">
        <x:v>PD-AR-HU-A-B-TECH-1-B1-RCN-G0</x:v>
      </x:c>
      <x:c r="C853" s="9" t="str">
        <x:v>EV-AR-HU-A-B-TECH-1-B1-RCN-G0</x:v>
      </x:c>
      <x:c r="D853" s="9" t="str">
        <x:v>AR-HU-A-B-TECH-1-B1-RCN-G0</x:v>
      </x:c>
      <x:c r="E853" s="9" t="str">
        <x:v>HU-A-B-TECH-1</x:v>
      </x:c>
      <x:c r="F853" s="9" t="str">
        <x:v>HU-A-B</x:v>
      </x:c>
      <x:c r="G853" s="9" t="str">
        <x:v>B1</x:v>
      </x:c>
      <x:c r="H853" s="9" t="str">
        <x:v>RCN</x:v>
      </x:c>
      <x:c r="I853" s="9" t="str">
        <x:v>PD15</x:v>
      </x:c>
      <x:c r="J853" s="17" t="str">
        <x:v>Reconstruction ancestry and replay</x:v>
      </x:c>
      <x:c r="K853" s="17" t="str">
        <x:v>Reconstruction court</x:v>
      </x:c>
      <x:c r="L853" s="17" t="str">
        <x:v>COURT-SEALED UNTIL COHORT RELEASE</x:v>
      </x:c>
      <x:c r="M853" s="9" t="n">
        <x:v>0</x:v>
      </x:c>
      <x:c r="N853" s="9" t="n">
        <x:v>0</x:v>
      </x:c>
      <x:c r="O853" s="9" t="n">
        <x:v>0</x:v>
      </x:c>
      <x:c r="P853" s="9" t="str">
        <x:v>HELD / UNRELEASED</x:v>
      </x:c>
      <x:c r="Q853" s="9" t="n">
        <x:f>COUNTIFS($A$7:$A$2310,A853)</x:f>
        <x:v>1</x:v>
      </x:c>
    </x:row>
    <x:row r="854">
      <x:c r="A854" s="9" t="str">
        <x:v>PD-AR-HU-A-B-TECH-1-B1-RCN-G0-PD16</x:v>
      </x:c>
      <x:c r="B854" s="9" t="str">
        <x:v>PD-AR-HU-A-B-TECH-1-B1-RCN-G0</x:v>
      </x:c>
      <x:c r="C854" s="9" t="str">
        <x:v>EV-AR-HU-A-B-TECH-1-B1-RCN-G0</x:v>
      </x:c>
      <x:c r="D854" s="9" t="str">
        <x:v>AR-HU-A-B-TECH-1-B1-RCN-G0</x:v>
      </x:c>
      <x:c r="E854" s="9" t="str">
        <x:v>HU-A-B-TECH-1</x:v>
      </x:c>
      <x:c r="F854" s="9" t="str">
        <x:v>HU-A-B</x:v>
      </x:c>
      <x:c r="G854" s="9" t="str">
        <x:v>B1</x:v>
      </x:c>
      <x:c r="H854" s="9" t="str">
        <x:v>RCN</x:v>
      </x:c>
      <x:c r="I854" s="9" t="str">
        <x:v>PD16</x:v>
      </x:c>
      <x:c r="J854" s="17" t="str">
        <x:v>Dissent, amendments and access log</x:v>
      </x:c>
      <x:c r="K854" s="17" t="str">
        <x:v>Public archive</x:v>
      </x:c>
      <x:c r="L854" s="17" t="str">
        <x:v>COURT-SEALED UNTIL COHORT RELEASE</x:v>
      </x:c>
      <x:c r="M854" s="9" t="n">
        <x:v>0</x:v>
      </x:c>
      <x:c r="N854" s="9" t="n">
        <x:v>0</x:v>
      </x:c>
      <x:c r="O854" s="9" t="n">
        <x:v>0</x:v>
      </x:c>
      <x:c r="P854" s="9" t="str">
        <x:v>HELD / UNRELEASED</x:v>
      </x:c>
      <x:c r="Q854" s="9" t="n">
        <x:f>COUNTIFS($A$7:$A$2310,A854)</x:f>
        <x:v>1</x:v>
      </x:c>
    </x:row>
    <x:row r="855">
      <x:c r="A855" s="9" t="str">
        <x:v>PD-AR-RT-B-C-TECH-3-B2-INT-G0-PD01</x:v>
      </x:c>
      <x:c r="B855" s="9" t="str">
        <x:v>PD-AR-RT-B-C-TECH-3-B2-INT-G0</x:v>
      </x:c>
      <x:c r="C855" s="9" t="str">
        <x:v>EV-AR-RT-B-C-TECH-3-B2-INT-G0</x:v>
      </x:c>
      <x:c r="D855" s="9" t="str">
        <x:v>AR-RT-B-C-TECH-3-B2-INT-G0</x:v>
      </x:c>
      <x:c r="E855" s="9" t="str">
        <x:v>RT-B-C-TECH-3</x:v>
      </x:c>
      <x:c r="F855" s="9" t="str">
        <x:v>RT-B-C</x:v>
      </x:c>
      <x:c r="G855" s="9" t="str">
        <x:v>B2</x:v>
      </x:c>
      <x:c r="H855" s="9" t="str">
        <x:v>INT</x:v>
      </x:c>
      <x:c r="I855" s="9" t="str">
        <x:v>PD01</x:v>
      </x:c>
      <x:c r="J855" s="17" t="str">
        <x:v>Experiment kernel</x:v>
      </x:c>
      <x:c r="K855" s="17" t="str">
        <x:v>Public archive</x:v>
      </x:c>
      <x:c r="L855" s="17" t="str">
        <x:v>COURT-SEALED UNTIL COHORT RELEASE</x:v>
      </x:c>
      <x:c r="M855" s="9" t="n">
        <x:v>0</x:v>
      </x:c>
      <x:c r="N855" s="9" t="n">
        <x:v>0</x:v>
      </x:c>
      <x:c r="O855" s="9" t="n">
        <x:v>0</x:v>
      </x:c>
      <x:c r="P855" s="9" t="str">
        <x:v>HELD / UNRELEASED</x:v>
      </x:c>
      <x:c r="Q855" s="9" t="n">
        <x:f>COUNTIFS($A$7:$A$2310,A855)</x:f>
        <x:v>1</x:v>
      </x:c>
    </x:row>
    <x:row r="856">
      <x:c r="A856" s="9" t="str">
        <x:v>PD-AR-RT-B-C-TECH-3-B2-INT-G0-PD02</x:v>
      </x:c>
      <x:c r="B856" s="9" t="str">
        <x:v>PD-AR-RT-B-C-TECH-3-B2-INT-G0</x:v>
      </x:c>
      <x:c r="C856" s="9" t="str">
        <x:v>EV-AR-RT-B-C-TECH-3-B2-INT-G0</x:v>
      </x:c>
      <x:c r="D856" s="9" t="str">
        <x:v>AR-RT-B-C-TECH-3-B2-INT-G0</x:v>
      </x:c>
      <x:c r="E856" s="9" t="str">
        <x:v>RT-B-C-TECH-3</x:v>
      </x:c>
      <x:c r="F856" s="9" t="str">
        <x:v>RT-B-C</x:v>
      </x:c>
      <x:c r="G856" s="9" t="str">
        <x:v>B2</x:v>
      </x:c>
      <x:c r="H856" s="9" t="str">
        <x:v>INT</x:v>
      </x:c>
      <x:c r="I856" s="9" t="str">
        <x:v>PD02</x:v>
      </x:c>
      <x:c r="J856" s="17" t="str">
        <x:v>Serial annex and title chain</x:v>
      </x:c>
      <x:c r="K856" s="17" t="str">
        <x:v>Public archive</x:v>
      </x:c>
      <x:c r="L856" s="17" t="str">
        <x:v>COURT-SEALED UNTIL COHORT RELEASE</x:v>
      </x:c>
      <x:c r="M856" s="9" t="n">
        <x:v>0</x:v>
      </x:c>
      <x:c r="N856" s="9" t="n">
        <x:v>0</x:v>
      </x:c>
      <x:c r="O856" s="9" t="n">
        <x:v>0</x:v>
      </x:c>
      <x:c r="P856" s="9" t="str">
        <x:v>HELD / UNRELEASED</x:v>
      </x:c>
      <x:c r="Q856" s="9" t="n">
        <x:f>COUNTIFS($A$7:$A$2310,A856)</x:f>
        <x:v>1</x:v>
      </x:c>
    </x:row>
    <x:row r="857">
      <x:c r="A857" s="9" t="str">
        <x:v>PD-AR-RT-B-C-TECH-3-B2-INT-G0-PD03</x:v>
      </x:c>
      <x:c r="B857" s="9" t="str">
        <x:v>PD-AR-RT-B-C-TECH-3-B2-INT-G0</x:v>
      </x:c>
      <x:c r="C857" s="9" t="str">
        <x:v>EV-AR-RT-B-C-TECH-3-B2-INT-G0</x:v>
      </x:c>
      <x:c r="D857" s="9" t="str">
        <x:v>AR-RT-B-C-TECH-3-B2-INT-G0</x:v>
      </x:c>
      <x:c r="E857" s="9" t="str">
        <x:v>RT-B-C-TECH-3</x:v>
      </x:c>
      <x:c r="F857" s="9" t="str">
        <x:v>RT-B-C</x:v>
      </x:c>
      <x:c r="G857" s="9" t="str">
        <x:v>B2</x:v>
      </x:c>
      <x:c r="H857" s="9" t="str">
        <x:v>INT</x:v>
      </x:c>
      <x:c r="I857" s="9" t="str">
        <x:v>PD03</x:v>
      </x:c>
      <x:c r="J857" s="17" t="str">
        <x:v>Configuration and as-built manifest</x:v>
      </x:c>
      <x:c r="K857" s="17" t="str">
        <x:v>Artifact exchange</x:v>
      </x:c>
      <x:c r="L857" s="17" t="str">
        <x:v>COURT-SEALED UNTIL COHORT RELEASE</x:v>
      </x:c>
      <x:c r="M857" s="9" t="n">
        <x:v>0</x:v>
      </x:c>
      <x:c r="N857" s="9" t="n">
        <x:v>0</x:v>
      </x:c>
      <x:c r="O857" s="9" t="n">
        <x:v>0</x:v>
      </x:c>
      <x:c r="P857" s="9" t="str">
        <x:v>HELD / UNRELEASED</x:v>
      </x:c>
      <x:c r="Q857" s="9" t="n">
        <x:f>COUNTIFS($A$7:$A$2310,A857)</x:f>
        <x:v>1</x:v>
      </x:c>
    </x:row>
    <x:row r="858">
      <x:c r="A858" s="9" t="str">
        <x:v>PD-AR-RT-B-C-TECH-3-B2-INT-G0-PD04</x:v>
      </x:c>
      <x:c r="B858" s="9" t="str">
        <x:v>PD-AR-RT-B-C-TECH-3-B2-INT-G0</x:v>
      </x:c>
      <x:c r="C858" s="9" t="str">
        <x:v>EV-AR-RT-B-C-TECH-3-B2-INT-G0</x:v>
      </x:c>
      <x:c r="D858" s="9" t="str">
        <x:v>AR-RT-B-C-TECH-3-B2-INT-G0</x:v>
      </x:c>
      <x:c r="E858" s="9" t="str">
        <x:v>RT-B-C-TECH-3</x:v>
      </x:c>
      <x:c r="F858" s="9" t="str">
        <x:v>RT-B-C</x:v>
      </x:c>
      <x:c r="G858" s="9" t="str">
        <x:v>B2</x:v>
      </x:c>
      <x:c r="H858" s="9" t="str">
        <x:v>INT</x:v>
      </x:c>
      <x:c r="I858" s="9" t="str">
        <x:v>PD04</x:v>
      </x:c>
      <x:c r="J858" s="17" t="str">
        <x:v>EOW and start certificate</x:v>
      </x:c>
      <x:c r="K858" s="17" t="str">
        <x:v>Start registrar</x:v>
      </x:c>
      <x:c r="L858" s="17" t="str">
        <x:v>COURT-SEALED UNTIL COHORT RELEASE</x:v>
      </x:c>
      <x:c r="M858" s="9" t="n">
        <x:v>0</x:v>
      </x:c>
      <x:c r="N858" s="9" t="n">
        <x:v>0</x:v>
      </x:c>
      <x:c r="O858" s="9" t="n">
        <x:v>0</x:v>
      </x:c>
      <x:c r="P858" s="9" t="str">
        <x:v>HELD / UNRELEASED</x:v>
      </x:c>
      <x:c r="Q858" s="9" t="n">
        <x:f>COUNTIFS($A$7:$A$2310,A858)</x:f>
        <x:v>1</x:v>
      </x:c>
    </x:row>
    <x:row r="859">
      <x:c r="A859" s="9" t="str">
        <x:v>PD-AR-RT-B-C-TECH-3-B2-INT-G0-PD05</x:v>
      </x:c>
      <x:c r="B859" s="9" t="str">
        <x:v>PD-AR-RT-B-C-TECH-3-B2-INT-G0</x:v>
      </x:c>
      <x:c r="C859" s="9" t="str">
        <x:v>EV-AR-RT-B-C-TECH-3-B2-INT-G0</x:v>
      </x:c>
      <x:c r="D859" s="9" t="str">
        <x:v>AR-RT-B-C-TECH-3-B2-INT-G0</x:v>
      </x:c>
      <x:c r="E859" s="9" t="str">
        <x:v>RT-B-C-TECH-3</x:v>
      </x:c>
      <x:c r="F859" s="9" t="str">
        <x:v>RT-B-C</x:v>
      </x:c>
      <x:c r="G859" s="9" t="str">
        <x:v>B2</x:v>
      </x:c>
      <x:c r="H859" s="9" t="str">
        <x:v>INT</x:v>
      </x:c>
      <x:c r="I859" s="9" t="str">
        <x:v>PD05</x:v>
      </x:c>
      <x:c r="J859" s="17" t="str">
        <x:v>Primary raw originals</x:v>
      </x:c>
      <x:c r="K859" s="17" t="str">
        <x:v>Primary custody</x:v>
      </x:c>
      <x:c r="L859" s="17" t="str">
        <x:v>COURT-SEALED UNTIL COHORT RELEASE</x:v>
      </x:c>
      <x:c r="M859" s="9" t="n">
        <x:v>0</x:v>
      </x:c>
      <x:c r="N859" s="9" t="n">
        <x:v>0</x:v>
      </x:c>
      <x:c r="O859" s="9" t="n">
        <x:v>0</x:v>
      </x:c>
      <x:c r="P859" s="9" t="str">
        <x:v>HELD / UNRELEASED</x:v>
      </x:c>
      <x:c r="Q859" s="9" t="n">
        <x:f>COUNTIFS($A$7:$A$2310,A859)</x:f>
        <x:v>1</x:v>
      </x:c>
    </x:row>
    <x:row r="860">
      <x:c r="A860" s="9" t="str">
        <x:v>PD-AR-RT-B-C-TECH-3-B2-INT-G0-PD06</x:v>
      </x:c>
      <x:c r="B860" s="9" t="str">
        <x:v>PD-AR-RT-B-C-TECH-3-B2-INT-G0</x:v>
      </x:c>
      <x:c r="C860" s="9" t="str">
        <x:v>EV-AR-RT-B-C-TECH-3-B2-INT-G0</x:v>
      </x:c>
      <x:c r="D860" s="9" t="str">
        <x:v>AR-RT-B-C-TECH-3-B2-INT-G0</x:v>
      </x:c>
      <x:c r="E860" s="9" t="str">
        <x:v>RT-B-C-TECH-3</x:v>
      </x:c>
      <x:c r="F860" s="9" t="str">
        <x:v>RT-B-C</x:v>
      </x:c>
      <x:c r="G860" s="9" t="str">
        <x:v>B2</x:v>
      </x:c>
      <x:c r="H860" s="9" t="str">
        <x:v>INT</x:v>
      </x:c>
      <x:c r="I860" s="9" t="str">
        <x:v>PD06</x:v>
      </x:c>
      <x:c r="J860" s="17" t="str">
        <x:v>Witness raw originals</x:v>
      </x:c>
      <x:c r="K860" s="17" t="str">
        <x:v>Witness custody</x:v>
      </x:c>
      <x:c r="L860" s="17" t="str">
        <x:v>COURT-SEALED UNTIL COHORT RELEASE</x:v>
      </x:c>
      <x:c r="M860" s="9" t="n">
        <x:v>0</x:v>
      </x:c>
      <x:c r="N860" s="9" t="n">
        <x:v>0</x:v>
      </x:c>
      <x:c r="O860" s="9" t="n">
        <x:v>0</x:v>
      </x:c>
      <x:c r="P860" s="9" t="str">
        <x:v>HELD / UNRELEASED</x:v>
      </x:c>
      <x:c r="Q860" s="9" t="n">
        <x:f>COUNTIFS($A$7:$A$2310,A860)</x:f>
        <x:v>1</x:v>
      </x:c>
    </x:row>
    <x:row r="861">
      <x:c r="A861" s="9" t="str">
        <x:v>PD-AR-RT-B-C-TECH-3-B2-INT-G0-PD07</x:v>
      </x:c>
      <x:c r="B861" s="9" t="str">
        <x:v>PD-AR-RT-B-C-TECH-3-B2-INT-G0</x:v>
      </x:c>
      <x:c r="C861" s="9" t="str">
        <x:v>EV-AR-RT-B-C-TECH-3-B2-INT-G0</x:v>
      </x:c>
      <x:c r="D861" s="9" t="str">
        <x:v>AR-RT-B-C-TECH-3-B2-INT-G0</x:v>
      </x:c>
      <x:c r="E861" s="9" t="str">
        <x:v>RT-B-C-TECH-3</x:v>
      </x:c>
      <x:c r="F861" s="9" t="str">
        <x:v>RT-B-C</x:v>
      </x:c>
      <x:c r="G861" s="9" t="str">
        <x:v>B2</x:v>
      </x:c>
      <x:c r="H861" s="9" t="str">
        <x:v>INT</x:v>
      </x:c>
      <x:c r="I861" s="9" t="str">
        <x:v>PD07</x:v>
      </x:c>
      <x:c r="J861" s="17" t="str">
        <x:v>Clock and environmental records</x:v>
      </x:c>
      <x:c r="K861" s="17" t="str">
        <x:v>Boundary archive</x:v>
      </x:c>
      <x:c r="L861" s="17" t="str">
        <x:v>COURT-SEALED UNTIL COHORT RELEASE</x:v>
      </x:c>
      <x:c r="M861" s="9" t="n">
        <x:v>0</x:v>
      </x:c>
      <x:c r="N861" s="9" t="n">
        <x:v>0</x:v>
      </x:c>
      <x:c r="O861" s="9" t="n">
        <x:v>0</x:v>
      </x:c>
      <x:c r="P861" s="9" t="str">
        <x:v>HELD / UNRELEASED</x:v>
      </x:c>
      <x:c r="Q861" s="9" t="n">
        <x:f>COUNTIFS($A$7:$A$2310,A861)</x:f>
        <x:v>1</x:v>
      </x:c>
    </x:row>
    <x:row r="862">
      <x:c r="A862" s="9" t="str">
        <x:v>PD-AR-RT-B-C-TECH-3-B2-INT-G0-PD08</x:v>
      </x:c>
      <x:c r="B862" s="9" t="str">
        <x:v>PD-AR-RT-B-C-TECH-3-B2-INT-G0</x:v>
      </x:c>
      <x:c r="C862" s="9" t="str">
        <x:v>EV-AR-RT-B-C-TECH-3-B2-INT-G0</x:v>
      </x:c>
      <x:c r="D862" s="9" t="str">
        <x:v>AR-RT-B-C-TECH-3-B2-INT-G0</x:v>
      </x:c>
      <x:c r="E862" s="9" t="str">
        <x:v>RT-B-C-TECH-3</x:v>
      </x:c>
      <x:c r="F862" s="9" t="str">
        <x:v>RT-B-C</x:v>
      </x:c>
      <x:c r="G862" s="9" t="str">
        <x:v>B2</x:v>
      </x:c>
      <x:c r="H862" s="9" t="str">
        <x:v>INT</x:v>
      </x:c>
      <x:c r="I862" s="9" t="str">
        <x:v>PD08</x:v>
      </x:c>
      <x:c r="J862" s="17" t="str">
        <x:v>Command and intervention log</x:v>
      </x:c>
      <x:c r="K862" s="17" t="str">
        <x:v>Safety archive</x:v>
      </x:c>
      <x:c r="L862" s="17" t="str">
        <x:v>COURT-SEALED UNTIL COHORT RELEASE</x:v>
      </x:c>
      <x:c r="M862" s="9" t="n">
        <x:v>0</x:v>
      </x:c>
      <x:c r="N862" s="9" t="n">
        <x:v>0</x:v>
      </x:c>
      <x:c r="O862" s="9" t="n">
        <x:v>0</x:v>
      </x:c>
      <x:c r="P862" s="9" t="str">
        <x:v>HELD / UNRELEASED</x:v>
      </x:c>
      <x:c r="Q862" s="9" t="n">
        <x:f>COUNTIFS($A$7:$A$2310,A862)</x:f>
        <x:v>1</x:v>
      </x:c>
    </x:row>
    <x:row r="863">
      <x:c r="A863" s="9" t="str">
        <x:v>PD-AR-RT-B-C-TECH-3-B2-INT-G0-PD09</x:v>
      </x:c>
      <x:c r="B863" s="9" t="str">
        <x:v>PD-AR-RT-B-C-TECH-3-B2-INT-G0</x:v>
      </x:c>
      <x:c r="C863" s="9" t="str">
        <x:v>EV-AR-RT-B-C-TECH-3-B2-INT-G0</x:v>
      </x:c>
      <x:c r="D863" s="9" t="str">
        <x:v>AR-RT-B-C-TECH-3-B2-INT-G0</x:v>
      </x:c>
      <x:c r="E863" s="9" t="str">
        <x:v>RT-B-C-TECH-3</x:v>
      </x:c>
      <x:c r="F863" s="9" t="str">
        <x:v>RT-B-C</x:v>
      </x:c>
      <x:c r="G863" s="9" t="str">
        <x:v>B2</x:v>
      </x:c>
      <x:c r="H863" s="9" t="str">
        <x:v>INT</x:v>
      </x:c>
      <x:c r="I863" s="9" t="str">
        <x:v>PD09</x:v>
      </x:c>
      <x:c r="J863" s="17" t="str">
        <x:v>Receiver denominator and service ledger</x:v>
      </x:c>
      <x:c r="K863" s="17" t="str">
        <x:v>Receiver archive</x:v>
      </x:c>
      <x:c r="L863" s="17" t="str">
        <x:v>COURT-SEALED UNTIL COHORT RELEASE</x:v>
      </x:c>
      <x:c r="M863" s="9" t="n">
        <x:v>0</x:v>
      </x:c>
      <x:c r="N863" s="9" t="n">
        <x:v>0</x:v>
      </x:c>
      <x:c r="O863" s="9" t="n">
        <x:v>0</x:v>
      </x:c>
      <x:c r="P863" s="9" t="str">
        <x:v>HELD / UNRELEASED</x:v>
      </x:c>
      <x:c r="Q863" s="9" t="n">
        <x:f>COUNTIFS($A$7:$A$2310,A863)</x:f>
        <x:v>1</x:v>
      </x:c>
    </x:row>
    <x:row r="864">
      <x:c r="A864" s="9" t="str">
        <x:v>PD-AR-RT-B-C-TECH-3-B2-INT-G0-PD10</x:v>
      </x:c>
      <x:c r="B864" s="9" t="str">
        <x:v>PD-AR-RT-B-C-TECH-3-B2-INT-G0</x:v>
      </x:c>
      <x:c r="C864" s="9" t="str">
        <x:v>EV-AR-RT-B-C-TECH-3-B2-INT-G0</x:v>
      </x:c>
      <x:c r="D864" s="9" t="str">
        <x:v>AR-RT-B-C-TECH-3-B2-INT-G0</x:v>
      </x:c>
      <x:c r="E864" s="9" t="str">
        <x:v>RT-B-C-TECH-3</x:v>
      </x:c>
      <x:c r="F864" s="9" t="str">
        <x:v>RT-B-C</x:v>
      </x:c>
      <x:c r="G864" s="9" t="str">
        <x:v>B2</x:v>
      </x:c>
      <x:c r="H864" s="9" t="str">
        <x:v>INT</x:v>
      </x:c>
      <x:c r="I864" s="9" t="str">
        <x:v>PD10</x:v>
      </x:c>
      <x:c r="J864" s="17" t="str">
        <x:v>Calibration and uncertainty record</x:v>
      </x:c>
      <x:c r="K864" s="17" t="str">
        <x:v>Metrology archive</x:v>
      </x:c>
      <x:c r="L864" s="17" t="str">
        <x:v>COURT-SEALED UNTIL COHORT RELEASE</x:v>
      </x:c>
      <x:c r="M864" s="9" t="n">
        <x:v>0</x:v>
      </x:c>
      <x:c r="N864" s="9" t="n">
        <x:v>0</x:v>
      </x:c>
      <x:c r="O864" s="9" t="n">
        <x:v>0</x:v>
      </x:c>
      <x:c r="P864" s="9" t="str">
        <x:v>HELD / UNRELEASED</x:v>
      </x:c>
      <x:c r="Q864" s="9" t="n">
        <x:f>COUNTIFS($A$7:$A$2310,A864)</x:f>
        <x:v>1</x:v>
      </x:c>
    </x:row>
    <x:row r="865">
      <x:c r="A865" s="9" t="str">
        <x:v>PD-AR-RT-B-C-TECH-3-B2-INT-G0-PD11</x:v>
      </x:c>
      <x:c r="B865" s="9" t="str">
        <x:v>PD-AR-RT-B-C-TECH-3-B2-INT-G0</x:v>
      </x:c>
      <x:c r="C865" s="9" t="str">
        <x:v>EV-AR-RT-B-C-TECH-3-B2-INT-G0</x:v>
      </x:c>
      <x:c r="D865" s="9" t="str">
        <x:v>AR-RT-B-C-TECH-3-B2-INT-G0</x:v>
      </x:c>
      <x:c r="E865" s="9" t="str">
        <x:v>RT-B-C-TECH-3</x:v>
      </x:c>
      <x:c r="F865" s="9" t="str">
        <x:v>RT-B-C</x:v>
      </x:c>
      <x:c r="G865" s="9" t="str">
        <x:v>B2</x:v>
      </x:c>
      <x:c r="H865" s="9" t="str">
        <x:v>INT</x:v>
      </x:c>
      <x:c r="I865" s="9" t="str">
        <x:v>PD11</x:v>
      </x:c>
      <x:c r="J865" s="17" t="str">
        <x:v>Invalidity petition and opinion</x:v>
      </x:c>
      <x:c r="K865" s="17" t="str">
        <x:v>Invalidity court</x:v>
      </x:c>
      <x:c r="L865" s="17" t="str">
        <x:v>COURT-SEALED UNTIL COHORT RELEASE</x:v>
      </x:c>
      <x:c r="M865" s="9" t="n">
        <x:v>0</x:v>
      </x:c>
      <x:c r="N865" s="9" t="n">
        <x:v>0</x:v>
      </x:c>
      <x:c r="O865" s="9" t="n">
        <x:v>0</x:v>
      </x:c>
      <x:c r="P865" s="9" t="str">
        <x:v>HELD / UNRELEASED</x:v>
      </x:c>
      <x:c r="Q865" s="9" t="n">
        <x:f>COUNTIFS($A$7:$A$2310,A865)</x:f>
        <x:v>1</x:v>
      </x:c>
    </x:row>
    <x:row r="866">
      <x:c r="A866" s="9" t="str">
        <x:v>PD-AR-RT-B-C-TECH-3-B2-INT-G0-PD12</x:v>
      </x:c>
      <x:c r="B866" s="9" t="str">
        <x:v>PD-AR-RT-B-C-TECH-3-B2-INT-G0</x:v>
      </x:c>
      <x:c r="C866" s="9" t="str">
        <x:v>EV-AR-RT-B-C-TECH-3-B2-INT-G0</x:v>
      </x:c>
      <x:c r="D866" s="9" t="str">
        <x:v>AR-RT-B-C-TECH-3-B2-INT-G0</x:v>
      </x:c>
      <x:c r="E866" s="9" t="str">
        <x:v>RT-B-C-TECH-3</x:v>
      </x:c>
      <x:c r="F866" s="9" t="str">
        <x:v>RT-B-C</x:v>
      </x:c>
      <x:c r="G866" s="9" t="str">
        <x:v>B2</x:v>
      </x:c>
      <x:c r="H866" s="9" t="str">
        <x:v>INT</x:v>
      </x:c>
      <x:c r="I866" s="9" t="str">
        <x:v>PD12</x:v>
      </x:c>
      <x:c r="J866" s="17" t="str">
        <x:v>Observation acceptance and replay</x:v>
      </x:c>
      <x:c r="K866" s="17" t="str">
        <x:v>Observation court</x:v>
      </x:c>
      <x:c r="L866" s="17" t="str">
        <x:v>COURT-SEALED UNTIL COHORT RELEASE</x:v>
      </x:c>
      <x:c r="M866" s="9" t="n">
        <x:v>0</x:v>
      </x:c>
      <x:c r="N866" s="9" t="n">
        <x:v>0</x:v>
      </x:c>
      <x:c r="O866" s="9" t="n">
        <x:v>0</x:v>
      </x:c>
      <x:c r="P866" s="9" t="str">
        <x:v>HELD / UNRELEASED</x:v>
      </x:c>
      <x:c r="Q866" s="9" t="n">
        <x:f>COUNTIFS($A$7:$A$2310,A866)</x:f>
        <x:v>1</x:v>
      </x:c>
    </x:row>
    <x:row r="867">
      <x:c r="A867" s="9" t="str">
        <x:v>PD-AR-RT-B-C-TECH-3-B2-INT-G0-PD13</x:v>
      </x:c>
      <x:c r="B867" s="9" t="str">
        <x:v>PD-AR-RT-B-C-TECH-3-B2-INT-G0</x:v>
      </x:c>
      <x:c r="C867" s="9" t="str">
        <x:v>EV-AR-RT-B-C-TECH-3-B2-INT-G0</x:v>
      </x:c>
      <x:c r="D867" s="9" t="str">
        <x:v>AR-RT-B-C-TECH-3-B2-INT-G0</x:v>
      </x:c>
      <x:c r="E867" s="9" t="str">
        <x:v>RT-B-C-TECH-3</x:v>
      </x:c>
      <x:c r="F867" s="9" t="str">
        <x:v>RT-B-C</x:v>
      </x:c>
      <x:c r="G867" s="9" t="str">
        <x:v>B2</x:v>
      </x:c>
      <x:c r="H867" s="9" t="str">
        <x:v>INT</x:v>
      </x:c>
      <x:c r="I867" s="9" t="str">
        <x:v>PD13</x:v>
      </x:c>
      <x:c r="J867" s="17" t="str">
        <x:v>Role judgment</x:v>
      </x:c>
      <x:c r="K867" s="17" t="str">
        <x:v>Role court</x:v>
      </x:c>
      <x:c r="L867" s="17" t="str">
        <x:v>COURT-SEALED UNTIL COHORT RELEASE</x:v>
      </x:c>
      <x:c r="M867" s="9" t="n">
        <x:v>0</x:v>
      </x:c>
      <x:c r="N867" s="9" t="n">
        <x:v>0</x:v>
      </x:c>
      <x:c r="O867" s="9" t="n">
        <x:v>0</x:v>
      </x:c>
      <x:c r="P867" s="9" t="str">
        <x:v>HELD / UNRELEASED</x:v>
      </x:c>
      <x:c r="Q867" s="9" t="n">
        <x:f>COUNTIFS($A$7:$A$2310,A867)</x:f>
        <x:v>1</x:v>
      </x:c>
    </x:row>
    <x:row r="868">
      <x:c r="A868" s="9" t="str">
        <x:v>PD-AR-RT-B-C-TECH-3-B2-INT-G0-PD14</x:v>
      </x:c>
      <x:c r="B868" s="9" t="str">
        <x:v>PD-AR-RT-B-C-TECH-3-B2-INT-G0</x:v>
      </x:c>
      <x:c r="C868" s="9" t="str">
        <x:v>EV-AR-RT-B-C-TECH-3-B2-INT-G0</x:v>
      </x:c>
      <x:c r="D868" s="9" t="str">
        <x:v>AR-RT-B-C-TECH-3-B2-INT-G0</x:v>
      </x:c>
      <x:c r="E868" s="9" t="str">
        <x:v>RT-B-C-TECH-3</x:v>
      </x:c>
      <x:c r="F868" s="9" t="str">
        <x:v>RT-B-C</x:v>
      </x:c>
      <x:c r="G868" s="9" t="str">
        <x:v>B2</x:v>
      </x:c>
      <x:c r="H868" s="9" t="str">
        <x:v>INT</x:v>
      </x:c>
      <x:c r="I868" s="9" t="str">
        <x:v>PD14</x:v>
      </x:c>
      <x:c r="J868" s="17" t="str">
        <x:v>Break and residual account</x:v>
      </x:c>
      <x:c r="K868" s="17" t="str">
        <x:v>Residual authority</x:v>
      </x:c>
      <x:c r="L868" s="17" t="str">
        <x:v>COURT-SEALED UNTIL COHORT RELEASE</x:v>
      </x:c>
      <x:c r="M868" s="9" t="n">
        <x:v>0</x:v>
      </x:c>
      <x:c r="N868" s="9" t="n">
        <x:v>0</x:v>
      </x:c>
      <x:c r="O868" s="9" t="n">
        <x:v>0</x:v>
      </x:c>
      <x:c r="P868" s="9" t="str">
        <x:v>HELD / UNRELEASED</x:v>
      </x:c>
      <x:c r="Q868" s="9" t="n">
        <x:f>COUNTIFS($A$7:$A$2310,A868)</x:f>
        <x:v>1</x:v>
      </x:c>
    </x:row>
    <x:row r="869">
      <x:c r="A869" s="9" t="str">
        <x:v>PD-AR-RT-B-C-TECH-3-B2-INT-G0-PD15</x:v>
      </x:c>
      <x:c r="B869" s="9" t="str">
        <x:v>PD-AR-RT-B-C-TECH-3-B2-INT-G0</x:v>
      </x:c>
      <x:c r="C869" s="9" t="str">
        <x:v>EV-AR-RT-B-C-TECH-3-B2-INT-G0</x:v>
      </x:c>
      <x:c r="D869" s="9" t="str">
        <x:v>AR-RT-B-C-TECH-3-B2-INT-G0</x:v>
      </x:c>
      <x:c r="E869" s="9" t="str">
        <x:v>RT-B-C-TECH-3</x:v>
      </x:c>
      <x:c r="F869" s="9" t="str">
        <x:v>RT-B-C</x:v>
      </x:c>
      <x:c r="G869" s="9" t="str">
        <x:v>B2</x:v>
      </x:c>
      <x:c r="H869" s="9" t="str">
        <x:v>INT</x:v>
      </x:c>
      <x:c r="I869" s="9" t="str">
        <x:v>PD15</x:v>
      </x:c>
      <x:c r="J869" s="17" t="str">
        <x:v>Reconstruction ancestry and replay</x:v>
      </x:c>
      <x:c r="K869" s="17" t="str">
        <x:v>Reconstruction court</x:v>
      </x:c>
      <x:c r="L869" s="17" t="str">
        <x:v>COURT-SEALED UNTIL COHORT RELEASE</x:v>
      </x:c>
      <x:c r="M869" s="9" t="n">
        <x:v>0</x:v>
      </x:c>
      <x:c r="N869" s="9" t="n">
        <x:v>0</x:v>
      </x:c>
      <x:c r="O869" s="9" t="n">
        <x:v>0</x:v>
      </x:c>
      <x:c r="P869" s="9" t="str">
        <x:v>HELD / UNRELEASED</x:v>
      </x:c>
      <x:c r="Q869" s="9" t="n">
        <x:f>COUNTIFS($A$7:$A$2310,A869)</x:f>
        <x:v>1</x:v>
      </x:c>
    </x:row>
    <x:row r="870">
      <x:c r="A870" s="9" t="str">
        <x:v>PD-AR-RT-B-C-TECH-3-B2-INT-G0-PD16</x:v>
      </x:c>
      <x:c r="B870" s="9" t="str">
        <x:v>PD-AR-RT-B-C-TECH-3-B2-INT-G0</x:v>
      </x:c>
      <x:c r="C870" s="9" t="str">
        <x:v>EV-AR-RT-B-C-TECH-3-B2-INT-G0</x:v>
      </x:c>
      <x:c r="D870" s="9" t="str">
        <x:v>AR-RT-B-C-TECH-3-B2-INT-G0</x:v>
      </x:c>
      <x:c r="E870" s="9" t="str">
        <x:v>RT-B-C-TECH-3</x:v>
      </x:c>
      <x:c r="F870" s="9" t="str">
        <x:v>RT-B-C</x:v>
      </x:c>
      <x:c r="G870" s="9" t="str">
        <x:v>B2</x:v>
      </x:c>
      <x:c r="H870" s="9" t="str">
        <x:v>INT</x:v>
      </x:c>
      <x:c r="I870" s="9" t="str">
        <x:v>PD16</x:v>
      </x:c>
      <x:c r="J870" s="17" t="str">
        <x:v>Dissent, amendments and access log</x:v>
      </x:c>
      <x:c r="K870" s="17" t="str">
        <x:v>Public archive</x:v>
      </x:c>
      <x:c r="L870" s="17" t="str">
        <x:v>COURT-SEALED UNTIL COHORT RELEASE</x:v>
      </x:c>
      <x:c r="M870" s="9" t="n">
        <x:v>0</x:v>
      </x:c>
      <x:c r="N870" s="9" t="n">
        <x:v>0</x:v>
      </x:c>
      <x:c r="O870" s="9" t="n">
        <x:v>0</x:v>
      </x:c>
      <x:c r="P870" s="9" t="str">
        <x:v>HELD / UNRELEASED</x:v>
      </x:c>
      <x:c r="Q870" s="9" t="n">
        <x:f>COUNTIFS($A$7:$A$2310,A870)</x:f>
        <x:v>1</x:v>
      </x:c>
    </x:row>
    <x:row r="871">
      <x:c r="A871" s="9" t="str">
        <x:v>PD-AR-ET-A-A-TECH-4-B2-RCN-G0-PD01</x:v>
      </x:c>
      <x:c r="B871" s="9" t="str">
        <x:v>PD-AR-ET-A-A-TECH-4-B2-RCN-G0</x:v>
      </x:c>
      <x:c r="C871" s="9" t="str">
        <x:v>EV-AR-ET-A-A-TECH-4-B2-RCN-G0</x:v>
      </x:c>
      <x:c r="D871" s="9" t="str">
        <x:v>AR-ET-A-A-TECH-4-B2-RCN-G0</x:v>
      </x:c>
      <x:c r="E871" s="9" t="str">
        <x:v>ET-A-A-TECH-4</x:v>
      </x:c>
      <x:c r="F871" s="9" t="str">
        <x:v>ET-A-A</x:v>
      </x:c>
      <x:c r="G871" s="9" t="str">
        <x:v>B2</x:v>
      </x:c>
      <x:c r="H871" s="9" t="str">
        <x:v>RCN</x:v>
      </x:c>
      <x:c r="I871" s="9" t="str">
        <x:v>PD01</x:v>
      </x:c>
      <x:c r="J871" s="17" t="str">
        <x:v>Experiment kernel</x:v>
      </x:c>
      <x:c r="K871" s="17" t="str">
        <x:v>Public archive</x:v>
      </x:c>
      <x:c r="L871" s="17" t="str">
        <x:v>COURT-SEALED UNTIL COHORT RELEASE</x:v>
      </x:c>
      <x:c r="M871" s="9" t="n">
        <x:v>0</x:v>
      </x:c>
      <x:c r="N871" s="9" t="n">
        <x:v>0</x:v>
      </x:c>
      <x:c r="O871" s="9" t="n">
        <x:v>0</x:v>
      </x:c>
      <x:c r="P871" s="9" t="str">
        <x:v>HELD / UNRELEASED</x:v>
      </x:c>
      <x:c r="Q871" s="9" t="n">
        <x:f>COUNTIFS($A$7:$A$2310,A871)</x:f>
        <x:v>1</x:v>
      </x:c>
    </x:row>
    <x:row r="872">
      <x:c r="A872" s="9" t="str">
        <x:v>PD-AR-ET-A-A-TECH-4-B2-RCN-G0-PD02</x:v>
      </x:c>
      <x:c r="B872" s="9" t="str">
        <x:v>PD-AR-ET-A-A-TECH-4-B2-RCN-G0</x:v>
      </x:c>
      <x:c r="C872" s="9" t="str">
        <x:v>EV-AR-ET-A-A-TECH-4-B2-RCN-G0</x:v>
      </x:c>
      <x:c r="D872" s="9" t="str">
        <x:v>AR-ET-A-A-TECH-4-B2-RCN-G0</x:v>
      </x:c>
      <x:c r="E872" s="9" t="str">
        <x:v>ET-A-A-TECH-4</x:v>
      </x:c>
      <x:c r="F872" s="9" t="str">
        <x:v>ET-A-A</x:v>
      </x:c>
      <x:c r="G872" s="9" t="str">
        <x:v>B2</x:v>
      </x:c>
      <x:c r="H872" s="9" t="str">
        <x:v>RCN</x:v>
      </x:c>
      <x:c r="I872" s="9" t="str">
        <x:v>PD02</x:v>
      </x:c>
      <x:c r="J872" s="17" t="str">
        <x:v>Serial annex and title chain</x:v>
      </x:c>
      <x:c r="K872" s="17" t="str">
        <x:v>Public archive</x:v>
      </x:c>
      <x:c r="L872" s="17" t="str">
        <x:v>COURT-SEALED UNTIL COHORT RELEASE</x:v>
      </x:c>
      <x:c r="M872" s="9" t="n">
        <x:v>0</x:v>
      </x:c>
      <x:c r="N872" s="9" t="n">
        <x:v>0</x:v>
      </x:c>
      <x:c r="O872" s="9" t="n">
        <x:v>0</x:v>
      </x:c>
      <x:c r="P872" s="9" t="str">
        <x:v>HELD / UNRELEASED</x:v>
      </x:c>
      <x:c r="Q872" s="9" t="n">
        <x:f>COUNTIFS($A$7:$A$2310,A872)</x:f>
        <x:v>1</x:v>
      </x:c>
    </x:row>
    <x:row r="873">
      <x:c r="A873" s="9" t="str">
        <x:v>PD-AR-ET-A-A-TECH-4-B2-RCN-G0-PD03</x:v>
      </x:c>
      <x:c r="B873" s="9" t="str">
        <x:v>PD-AR-ET-A-A-TECH-4-B2-RCN-G0</x:v>
      </x:c>
      <x:c r="C873" s="9" t="str">
        <x:v>EV-AR-ET-A-A-TECH-4-B2-RCN-G0</x:v>
      </x:c>
      <x:c r="D873" s="9" t="str">
        <x:v>AR-ET-A-A-TECH-4-B2-RCN-G0</x:v>
      </x:c>
      <x:c r="E873" s="9" t="str">
        <x:v>ET-A-A-TECH-4</x:v>
      </x:c>
      <x:c r="F873" s="9" t="str">
        <x:v>ET-A-A</x:v>
      </x:c>
      <x:c r="G873" s="9" t="str">
        <x:v>B2</x:v>
      </x:c>
      <x:c r="H873" s="9" t="str">
        <x:v>RCN</x:v>
      </x:c>
      <x:c r="I873" s="9" t="str">
        <x:v>PD03</x:v>
      </x:c>
      <x:c r="J873" s="17" t="str">
        <x:v>Configuration and as-built manifest</x:v>
      </x:c>
      <x:c r="K873" s="17" t="str">
        <x:v>Artifact exchange</x:v>
      </x:c>
      <x:c r="L873" s="17" t="str">
        <x:v>COURT-SEALED UNTIL COHORT RELEASE</x:v>
      </x:c>
      <x:c r="M873" s="9" t="n">
        <x:v>0</x:v>
      </x:c>
      <x:c r="N873" s="9" t="n">
        <x:v>0</x:v>
      </x:c>
      <x:c r="O873" s="9" t="n">
        <x:v>0</x:v>
      </x:c>
      <x:c r="P873" s="9" t="str">
        <x:v>HELD / UNRELEASED</x:v>
      </x:c>
      <x:c r="Q873" s="9" t="n">
        <x:f>COUNTIFS($A$7:$A$2310,A873)</x:f>
        <x:v>1</x:v>
      </x:c>
    </x:row>
    <x:row r="874">
      <x:c r="A874" s="9" t="str">
        <x:v>PD-AR-ET-A-A-TECH-4-B2-RCN-G0-PD04</x:v>
      </x:c>
      <x:c r="B874" s="9" t="str">
        <x:v>PD-AR-ET-A-A-TECH-4-B2-RCN-G0</x:v>
      </x:c>
      <x:c r="C874" s="9" t="str">
        <x:v>EV-AR-ET-A-A-TECH-4-B2-RCN-G0</x:v>
      </x:c>
      <x:c r="D874" s="9" t="str">
        <x:v>AR-ET-A-A-TECH-4-B2-RCN-G0</x:v>
      </x:c>
      <x:c r="E874" s="9" t="str">
        <x:v>ET-A-A-TECH-4</x:v>
      </x:c>
      <x:c r="F874" s="9" t="str">
        <x:v>ET-A-A</x:v>
      </x:c>
      <x:c r="G874" s="9" t="str">
        <x:v>B2</x:v>
      </x:c>
      <x:c r="H874" s="9" t="str">
        <x:v>RCN</x:v>
      </x:c>
      <x:c r="I874" s="9" t="str">
        <x:v>PD04</x:v>
      </x:c>
      <x:c r="J874" s="17" t="str">
        <x:v>EOW and start certificate</x:v>
      </x:c>
      <x:c r="K874" s="17" t="str">
        <x:v>Start registrar</x:v>
      </x:c>
      <x:c r="L874" s="17" t="str">
        <x:v>COURT-SEALED UNTIL COHORT RELEASE</x:v>
      </x:c>
      <x:c r="M874" s="9" t="n">
        <x:v>0</x:v>
      </x:c>
      <x:c r="N874" s="9" t="n">
        <x:v>0</x:v>
      </x:c>
      <x:c r="O874" s="9" t="n">
        <x:v>0</x:v>
      </x:c>
      <x:c r="P874" s="9" t="str">
        <x:v>HELD / UNRELEASED</x:v>
      </x:c>
      <x:c r="Q874" s="9" t="n">
        <x:f>COUNTIFS($A$7:$A$2310,A874)</x:f>
        <x:v>1</x:v>
      </x:c>
    </x:row>
    <x:row r="875">
      <x:c r="A875" s="9" t="str">
        <x:v>PD-AR-ET-A-A-TECH-4-B2-RCN-G0-PD05</x:v>
      </x:c>
      <x:c r="B875" s="9" t="str">
        <x:v>PD-AR-ET-A-A-TECH-4-B2-RCN-G0</x:v>
      </x:c>
      <x:c r="C875" s="9" t="str">
        <x:v>EV-AR-ET-A-A-TECH-4-B2-RCN-G0</x:v>
      </x:c>
      <x:c r="D875" s="9" t="str">
        <x:v>AR-ET-A-A-TECH-4-B2-RCN-G0</x:v>
      </x:c>
      <x:c r="E875" s="9" t="str">
        <x:v>ET-A-A-TECH-4</x:v>
      </x:c>
      <x:c r="F875" s="9" t="str">
        <x:v>ET-A-A</x:v>
      </x:c>
      <x:c r="G875" s="9" t="str">
        <x:v>B2</x:v>
      </x:c>
      <x:c r="H875" s="9" t="str">
        <x:v>RCN</x:v>
      </x:c>
      <x:c r="I875" s="9" t="str">
        <x:v>PD05</x:v>
      </x:c>
      <x:c r="J875" s="17" t="str">
        <x:v>Primary raw originals</x:v>
      </x:c>
      <x:c r="K875" s="17" t="str">
        <x:v>Primary custody</x:v>
      </x:c>
      <x:c r="L875" s="17" t="str">
        <x:v>COURT-SEALED UNTIL COHORT RELEASE</x:v>
      </x:c>
      <x:c r="M875" s="9" t="n">
        <x:v>0</x:v>
      </x:c>
      <x:c r="N875" s="9" t="n">
        <x:v>0</x:v>
      </x:c>
      <x:c r="O875" s="9" t="n">
        <x:v>0</x:v>
      </x:c>
      <x:c r="P875" s="9" t="str">
        <x:v>HELD / UNRELEASED</x:v>
      </x:c>
      <x:c r="Q875" s="9" t="n">
        <x:f>COUNTIFS($A$7:$A$2310,A875)</x:f>
        <x:v>1</x:v>
      </x:c>
    </x:row>
    <x:row r="876">
      <x:c r="A876" s="9" t="str">
        <x:v>PD-AR-ET-A-A-TECH-4-B2-RCN-G0-PD06</x:v>
      </x:c>
      <x:c r="B876" s="9" t="str">
        <x:v>PD-AR-ET-A-A-TECH-4-B2-RCN-G0</x:v>
      </x:c>
      <x:c r="C876" s="9" t="str">
        <x:v>EV-AR-ET-A-A-TECH-4-B2-RCN-G0</x:v>
      </x:c>
      <x:c r="D876" s="9" t="str">
        <x:v>AR-ET-A-A-TECH-4-B2-RCN-G0</x:v>
      </x:c>
      <x:c r="E876" s="9" t="str">
        <x:v>ET-A-A-TECH-4</x:v>
      </x:c>
      <x:c r="F876" s="9" t="str">
        <x:v>ET-A-A</x:v>
      </x:c>
      <x:c r="G876" s="9" t="str">
        <x:v>B2</x:v>
      </x:c>
      <x:c r="H876" s="9" t="str">
        <x:v>RCN</x:v>
      </x:c>
      <x:c r="I876" s="9" t="str">
        <x:v>PD06</x:v>
      </x:c>
      <x:c r="J876" s="17" t="str">
        <x:v>Witness raw originals</x:v>
      </x:c>
      <x:c r="K876" s="17" t="str">
        <x:v>Witness custody</x:v>
      </x:c>
      <x:c r="L876" s="17" t="str">
        <x:v>COURT-SEALED UNTIL COHORT RELEASE</x:v>
      </x:c>
      <x:c r="M876" s="9" t="n">
        <x:v>0</x:v>
      </x:c>
      <x:c r="N876" s="9" t="n">
        <x:v>0</x:v>
      </x:c>
      <x:c r="O876" s="9" t="n">
        <x:v>0</x:v>
      </x:c>
      <x:c r="P876" s="9" t="str">
        <x:v>HELD / UNRELEASED</x:v>
      </x:c>
      <x:c r="Q876" s="9" t="n">
        <x:f>COUNTIFS($A$7:$A$2310,A876)</x:f>
        <x:v>1</x:v>
      </x:c>
    </x:row>
    <x:row r="877">
      <x:c r="A877" s="9" t="str">
        <x:v>PD-AR-ET-A-A-TECH-4-B2-RCN-G0-PD07</x:v>
      </x:c>
      <x:c r="B877" s="9" t="str">
        <x:v>PD-AR-ET-A-A-TECH-4-B2-RCN-G0</x:v>
      </x:c>
      <x:c r="C877" s="9" t="str">
        <x:v>EV-AR-ET-A-A-TECH-4-B2-RCN-G0</x:v>
      </x:c>
      <x:c r="D877" s="9" t="str">
        <x:v>AR-ET-A-A-TECH-4-B2-RCN-G0</x:v>
      </x:c>
      <x:c r="E877" s="9" t="str">
        <x:v>ET-A-A-TECH-4</x:v>
      </x:c>
      <x:c r="F877" s="9" t="str">
        <x:v>ET-A-A</x:v>
      </x:c>
      <x:c r="G877" s="9" t="str">
        <x:v>B2</x:v>
      </x:c>
      <x:c r="H877" s="9" t="str">
        <x:v>RCN</x:v>
      </x:c>
      <x:c r="I877" s="9" t="str">
        <x:v>PD07</x:v>
      </x:c>
      <x:c r="J877" s="17" t="str">
        <x:v>Clock and environmental records</x:v>
      </x:c>
      <x:c r="K877" s="17" t="str">
        <x:v>Boundary archive</x:v>
      </x:c>
      <x:c r="L877" s="17" t="str">
        <x:v>COURT-SEALED UNTIL COHORT RELEASE</x:v>
      </x:c>
      <x:c r="M877" s="9" t="n">
        <x:v>0</x:v>
      </x:c>
      <x:c r="N877" s="9" t="n">
        <x:v>0</x:v>
      </x:c>
      <x:c r="O877" s="9" t="n">
        <x:v>0</x:v>
      </x:c>
      <x:c r="P877" s="9" t="str">
        <x:v>HELD / UNRELEASED</x:v>
      </x:c>
      <x:c r="Q877" s="9" t="n">
        <x:f>COUNTIFS($A$7:$A$2310,A877)</x:f>
        <x:v>1</x:v>
      </x:c>
    </x:row>
    <x:row r="878">
      <x:c r="A878" s="9" t="str">
        <x:v>PD-AR-ET-A-A-TECH-4-B2-RCN-G0-PD08</x:v>
      </x:c>
      <x:c r="B878" s="9" t="str">
        <x:v>PD-AR-ET-A-A-TECH-4-B2-RCN-G0</x:v>
      </x:c>
      <x:c r="C878" s="9" t="str">
        <x:v>EV-AR-ET-A-A-TECH-4-B2-RCN-G0</x:v>
      </x:c>
      <x:c r="D878" s="9" t="str">
        <x:v>AR-ET-A-A-TECH-4-B2-RCN-G0</x:v>
      </x:c>
      <x:c r="E878" s="9" t="str">
        <x:v>ET-A-A-TECH-4</x:v>
      </x:c>
      <x:c r="F878" s="9" t="str">
        <x:v>ET-A-A</x:v>
      </x:c>
      <x:c r="G878" s="9" t="str">
        <x:v>B2</x:v>
      </x:c>
      <x:c r="H878" s="9" t="str">
        <x:v>RCN</x:v>
      </x:c>
      <x:c r="I878" s="9" t="str">
        <x:v>PD08</x:v>
      </x:c>
      <x:c r="J878" s="17" t="str">
        <x:v>Command and intervention log</x:v>
      </x:c>
      <x:c r="K878" s="17" t="str">
        <x:v>Safety archive</x:v>
      </x:c>
      <x:c r="L878" s="17" t="str">
        <x:v>COURT-SEALED UNTIL COHORT RELEASE</x:v>
      </x:c>
      <x:c r="M878" s="9" t="n">
        <x:v>0</x:v>
      </x:c>
      <x:c r="N878" s="9" t="n">
        <x:v>0</x:v>
      </x:c>
      <x:c r="O878" s="9" t="n">
        <x:v>0</x:v>
      </x:c>
      <x:c r="P878" s="9" t="str">
        <x:v>HELD / UNRELEASED</x:v>
      </x:c>
      <x:c r="Q878" s="9" t="n">
        <x:f>COUNTIFS($A$7:$A$2310,A878)</x:f>
        <x:v>1</x:v>
      </x:c>
    </x:row>
    <x:row r="879">
      <x:c r="A879" s="9" t="str">
        <x:v>PD-AR-ET-A-A-TECH-4-B2-RCN-G0-PD09</x:v>
      </x:c>
      <x:c r="B879" s="9" t="str">
        <x:v>PD-AR-ET-A-A-TECH-4-B2-RCN-G0</x:v>
      </x:c>
      <x:c r="C879" s="9" t="str">
        <x:v>EV-AR-ET-A-A-TECH-4-B2-RCN-G0</x:v>
      </x:c>
      <x:c r="D879" s="9" t="str">
        <x:v>AR-ET-A-A-TECH-4-B2-RCN-G0</x:v>
      </x:c>
      <x:c r="E879" s="9" t="str">
        <x:v>ET-A-A-TECH-4</x:v>
      </x:c>
      <x:c r="F879" s="9" t="str">
        <x:v>ET-A-A</x:v>
      </x:c>
      <x:c r="G879" s="9" t="str">
        <x:v>B2</x:v>
      </x:c>
      <x:c r="H879" s="9" t="str">
        <x:v>RCN</x:v>
      </x:c>
      <x:c r="I879" s="9" t="str">
        <x:v>PD09</x:v>
      </x:c>
      <x:c r="J879" s="17" t="str">
        <x:v>Receiver denominator and service ledger</x:v>
      </x:c>
      <x:c r="K879" s="17" t="str">
        <x:v>Receiver archive</x:v>
      </x:c>
      <x:c r="L879" s="17" t="str">
        <x:v>COURT-SEALED UNTIL COHORT RELEASE</x:v>
      </x:c>
      <x:c r="M879" s="9" t="n">
        <x:v>0</x:v>
      </x:c>
      <x:c r="N879" s="9" t="n">
        <x:v>0</x:v>
      </x:c>
      <x:c r="O879" s="9" t="n">
        <x:v>0</x:v>
      </x:c>
      <x:c r="P879" s="9" t="str">
        <x:v>HELD / UNRELEASED</x:v>
      </x:c>
      <x:c r="Q879" s="9" t="n">
        <x:f>COUNTIFS($A$7:$A$2310,A879)</x:f>
        <x:v>1</x:v>
      </x:c>
    </x:row>
    <x:row r="880">
      <x:c r="A880" s="9" t="str">
        <x:v>PD-AR-ET-A-A-TECH-4-B2-RCN-G0-PD10</x:v>
      </x:c>
      <x:c r="B880" s="9" t="str">
        <x:v>PD-AR-ET-A-A-TECH-4-B2-RCN-G0</x:v>
      </x:c>
      <x:c r="C880" s="9" t="str">
        <x:v>EV-AR-ET-A-A-TECH-4-B2-RCN-G0</x:v>
      </x:c>
      <x:c r="D880" s="9" t="str">
        <x:v>AR-ET-A-A-TECH-4-B2-RCN-G0</x:v>
      </x:c>
      <x:c r="E880" s="9" t="str">
        <x:v>ET-A-A-TECH-4</x:v>
      </x:c>
      <x:c r="F880" s="9" t="str">
        <x:v>ET-A-A</x:v>
      </x:c>
      <x:c r="G880" s="9" t="str">
        <x:v>B2</x:v>
      </x:c>
      <x:c r="H880" s="9" t="str">
        <x:v>RCN</x:v>
      </x:c>
      <x:c r="I880" s="9" t="str">
        <x:v>PD10</x:v>
      </x:c>
      <x:c r="J880" s="17" t="str">
        <x:v>Calibration and uncertainty record</x:v>
      </x:c>
      <x:c r="K880" s="17" t="str">
        <x:v>Metrology archive</x:v>
      </x:c>
      <x:c r="L880" s="17" t="str">
        <x:v>COURT-SEALED UNTIL COHORT RELEASE</x:v>
      </x:c>
      <x:c r="M880" s="9" t="n">
        <x:v>0</x:v>
      </x:c>
      <x:c r="N880" s="9" t="n">
        <x:v>0</x:v>
      </x:c>
      <x:c r="O880" s="9" t="n">
        <x:v>0</x:v>
      </x:c>
      <x:c r="P880" s="9" t="str">
        <x:v>HELD / UNRELEASED</x:v>
      </x:c>
      <x:c r="Q880" s="9" t="n">
        <x:f>COUNTIFS($A$7:$A$2310,A880)</x:f>
        <x:v>1</x:v>
      </x:c>
    </x:row>
    <x:row r="881">
      <x:c r="A881" s="9" t="str">
        <x:v>PD-AR-ET-A-A-TECH-4-B2-RCN-G0-PD11</x:v>
      </x:c>
      <x:c r="B881" s="9" t="str">
        <x:v>PD-AR-ET-A-A-TECH-4-B2-RCN-G0</x:v>
      </x:c>
      <x:c r="C881" s="9" t="str">
        <x:v>EV-AR-ET-A-A-TECH-4-B2-RCN-G0</x:v>
      </x:c>
      <x:c r="D881" s="9" t="str">
        <x:v>AR-ET-A-A-TECH-4-B2-RCN-G0</x:v>
      </x:c>
      <x:c r="E881" s="9" t="str">
        <x:v>ET-A-A-TECH-4</x:v>
      </x:c>
      <x:c r="F881" s="9" t="str">
        <x:v>ET-A-A</x:v>
      </x:c>
      <x:c r="G881" s="9" t="str">
        <x:v>B2</x:v>
      </x:c>
      <x:c r="H881" s="9" t="str">
        <x:v>RCN</x:v>
      </x:c>
      <x:c r="I881" s="9" t="str">
        <x:v>PD11</x:v>
      </x:c>
      <x:c r="J881" s="17" t="str">
        <x:v>Invalidity petition and opinion</x:v>
      </x:c>
      <x:c r="K881" s="17" t="str">
        <x:v>Invalidity court</x:v>
      </x:c>
      <x:c r="L881" s="17" t="str">
        <x:v>COURT-SEALED UNTIL COHORT RELEASE</x:v>
      </x:c>
      <x:c r="M881" s="9" t="n">
        <x:v>0</x:v>
      </x:c>
      <x:c r="N881" s="9" t="n">
        <x:v>0</x:v>
      </x:c>
      <x:c r="O881" s="9" t="n">
        <x:v>0</x:v>
      </x:c>
      <x:c r="P881" s="9" t="str">
        <x:v>HELD / UNRELEASED</x:v>
      </x:c>
      <x:c r="Q881" s="9" t="n">
        <x:f>COUNTIFS($A$7:$A$2310,A881)</x:f>
        <x:v>1</x:v>
      </x:c>
    </x:row>
    <x:row r="882">
      <x:c r="A882" s="9" t="str">
        <x:v>PD-AR-ET-A-A-TECH-4-B2-RCN-G0-PD12</x:v>
      </x:c>
      <x:c r="B882" s="9" t="str">
        <x:v>PD-AR-ET-A-A-TECH-4-B2-RCN-G0</x:v>
      </x:c>
      <x:c r="C882" s="9" t="str">
        <x:v>EV-AR-ET-A-A-TECH-4-B2-RCN-G0</x:v>
      </x:c>
      <x:c r="D882" s="9" t="str">
        <x:v>AR-ET-A-A-TECH-4-B2-RCN-G0</x:v>
      </x:c>
      <x:c r="E882" s="9" t="str">
        <x:v>ET-A-A-TECH-4</x:v>
      </x:c>
      <x:c r="F882" s="9" t="str">
        <x:v>ET-A-A</x:v>
      </x:c>
      <x:c r="G882" s="9" t="str">
        <x:v>B2</x:v>
      </x:c>
      <x:c r="H882" s="9" t="str">
        <x:v>RCN</x:v>
      </x:c>
      <x:c r="I882" s="9" t="str">
        <x:v>PD12</x:v>
      </x:c>
      <x:c r="J882" s="17" t="str">
        <x:v>Observation acceptance and replay</x:v>
      </x:c>
      <x:c r="K882" s="17" t="str">
        <x:v>Observation court</x:v>
      </x:c>
      <x:c r="L882" s="17" t="str">
        <x:v>COURT-SEALED UNTIL COHORT RELEASE</x:v>
      </x:c>
      <x:c r="M882" s="9" t="n">
        <x:v>0</x:v>
      </x:c>
      <x:c r="N882" s="9" t="n">
        <x:v>0</x:v>
      </x:c>
      <x:c r="O882" s="9" t="n">
        <x:v>0</x:v>
      </x:c>
      <x:c r="P882" s="9" t="str">
        <x:v>HELD / UNRELEASED</x:v>
      </x:c>
      <x:c r="Q882" s="9" t="n">
        <x:f>COUNTIFS($A$7:$A$2310,A882)</x:f>
        <x:v>1</x:v>
      </x:c>
    </x:row>
    <x:row r="883">
      <x:c r="A883" s="9" t="str">
        <x:v>PD-AR-ET-A-A-TECH-4-B2-RCN-G0-PD13</x:v>
      </x:c>
      <x:c r="B883" s="9" t="str">
        <x:v>PD-AR-ET-A-A-TECH-4-B2-RCN-G0</x:v>
      </x:c>
      <x:c r="C883" s="9" t="str">
        <x:v>EV-AR-ET-A-A-TECH-4-B2-RCN-G0</x:v>
      </x:c>
      <x:c r="D883" s="9" t="str">
        <x:v>AR-ET-A-A-TECH-4-B2-RCN-G0</x:v>
      </x:c>
      <x:c r="E883" s="9" t="str">
        <x:v>ET-A-A-TECH-4</x:v>
      </x:c>
      <x:c r="F883" s="9" t="str">
        <x:v>ET-A-A</x:v>
      </x:c>
      <x:c r="G883" s="9" t="str">
        <x:v>B2</x:v>
      </x:c>
      <x:c r="H883" s="9" t="str">
        <x:v>RCN</x:v>
      </x:c>
      <x:c r="I883" s="9" t="str">
        <x:v>PD13</x:v>
      </x:c>
      <x:c r="J883" s="17" t="str">
        <x:v>Role judgment</x:v>
      </x:c>
      <x:c r="K883" s="17" t="str">
        <x:v>Role court</x:v>
      </x:c>
      <x:c r="L883" s="17" t="str">
        <x:v>COURT-SEALED UNTIL COHORT RELEASE</x:v>
      </x:c>
      <x:c r="M883" s="9" t="n">
        <x:v>0</x:v>
      </x:c>
      <x:c r="N883" s="9" t="n">
        <x:v>0</x:v>
      </x:c>
      <x:c r="O883" s="9" t="n">
        <x:v>0</x:v>
      </x:c>
      <x:c r="P883" s="9" t="str">
        <x:v>HELD / UNRELEASED</x:v>
      </x:c>
      <x:c r="Q883" s="9" t="n">
        <x:f>COUNTIFS($A$7:$A$2310,A883)</x:f>
        <x:v>1</x:v>
      </x:c>
    </x:row>
    <x:row r="884">
      <x:c r="A884" s="9" t="str">
        <x:v>PD-AR-ET-A-A-TECH-4-B2-RCN-G0-PD14</x:v>
      </x:c>
      <x:c r="B884" s="9" t="str">
        <x:v>PD-AR-ET-A-A-TECH-4-B2-RCN-G0</x:v>
      </x:c>
      <x:c r="C884" s="9" t="str">
        <x:v>EV-AR-ET-A-A-TECH-4-B2-RCN-G0</x:v>
      </x:c>
      <x:c r="D884" s="9" t="str">
        <x:v>AR-ET-A-A-TECH-4-B2-RCN-G0</x:v>
      </x:c>
      <x:c r="E884" s="9" t="str">
        <x:v>ET-A-A-TECH-4</x:v>
      </x:c>
      <x:c r="F884" s="9" t="str">
        <x:v>ET-A-A</x:v>
      </x:c>
      <x:c r="G884" s="9" t="str">
        <x:v>B2</x:v>
      </x:c>
      <x:c r="H884" s="9" t="str">
        <x:v>RCN</x:v>
      </x:c>
      <x:c r="I884" s="9" t="str">
        <x:v>PD14</x:v>
      </x:c>
      <x:c r="J884" s="17" t="str">
        <x:v>Break and residual account</x:v>
      </x:c>
      <x:c r="K884" s="17" t="str">
        <x:v>Residual authority</x:v>
      </x:c>
      <x:c r="L884" s="17" t="str">
        <x:v>COURT-SEALED UNTIL COHORT RELEASE</x:v>
      </x:c>
      <x:c r="M884" s="9" t="n">
        <x:v>0</x:v>
      </x:c>
      <x:c r="N884" s="9" t="n">
        <x:v>0</x:v>
      </x:c>
      <x:c r="O884" s="9" t="n">
        <x:v>0</x:v>
      </x:c>
      <x:c r="P884" s="9" t="str">
        <x:v>HELD / UNRELEASED</x:v>
      </x:c>
      <x:c r="Q884" s="9" t="n">
        <x:f>COUNTIFS($A$7:$A$2310,A884)</x:f>
        <x:v>1</x:v>
      </x:c>
    </x:row>
    <x:row r="885">
      <x:c r="A885" s="9" t="str">
        <x:v>PD-AR-ET-A-A-TECH-4-B2-RCN-G0-PD15</x:v>
      </x:c>
      <x:c r="B885" s="9" t="str">
        <x:v>PD-AR-ET-A-A-TECH-4-B2-RCN-G0</x:v>
      </x:c>
      <x:c r="C885" s="9" t="str">
        <x:v>EV-AR-ET-A-A-TECH-4-B2-RCN-G0</x:v>
      </x:c>
      <x:c r="D885" s="9" t="str">
        <x:v>AR-ET-A-A-TECH-4-B2-RCN-G0</x:v>
      </x:c>
      <x:c r="E885" s="9" t="str">
        <x:v>ET-A-A-TECH-4</x:v>
      </x:c>
      <x:c r="F885" s="9" t="str">
        <x:v>ET-A-A</x:v>
      </x:c>
      <x:c r="G885" s="9" t="str">
        <x:v>B2</x:v>
      </x:c>
      <x:c r="H885" s="9" t="str">
        <x:v>RCN</x:v>
      </x:c>
      <x:c r="I885" s="9" t="str">
        <x:v>PD15</x:v>
      </x:c>
      <x:c r="J885" s="17" t="str">
        <x:v>Reconstruction ancestry and replay</x:v>
      </x:c>
      <x:c r="K885" s="17" t="str">
        <x:v>Reconstruction court</x:v>
      </x:c>
      <x:c r="L885" s="17" t="str">
        <x:v>COURT-SEALED UNTIL COHORT RELEASE</x:v>
      </x:c>
      <x:c r="M885" s="9" t="n">
        <x:v>0</x:v>
      </x:c>
      <x:c r="N885" s="9" t="n">
        <x:v>0</x:v>
      </x:c>
      <x:c r="O885" s="9" t="n">
        <x:v>0</x:v>
      </x:c>
      <x:c r="P885" s="9" t="str">
        <x:v>HELD / UNRELEASED</x:v>
      </x:c>
      <x:c r="Q885" s="9" t="n">
        <x:f>COUNTIFS($A$7:$A$2310,A885)</x:f>
        <x:v>1</x:v>
      </x:c>
    </x:row>
    <x:row r="886">
      <x:c r="A886" s="9" t="str">
        <x:v>PD-AR-ET-A-A-TECH-4-B2-RCN-G0-PD16</x:v>
      </x:c>
      <x:c r="B886" s="9" t="str">
        <x:v>PD-AR-ET-A-A-TECH-4-B2-RCN-G0</x:v>
      </x:c>
      <x:c r="C886" s="9" t="str">
        <x:v>EV-AR-ET-A-A-TECH-4-B2-RCN-G0</x:v>
      </x:c>
      <x:c r="D886" s="9" t="str">
        <x:v>AR-ET-A-A-TECH-4-B2-RCN-G0</x:v>
      </x:c>
      <x:c r="E886" s="9" t="str">
        <x:v>ET-A-A-TECH-4</x:v>
      </x:c>
      <x:c r="F886" s="9" t="str">
        <x:v>ET-A-A</x:v>
      </x:c>
      <x:c r="G886" s="9" t="str">
        <x:v>B2</x:v>
      </x:c>
      <x:c r="H886" s="9" t="str">
        <x:v>RCN</x:v>
      </x:c>
      <x:c r="I886" s="9" t="str">
        <x:v>PD16</x:v>
      </x:c>
      <x:c r="J886" s="17" t="str">
        <x:v>Dissent, amendments and access log</x:v>
      </x:c>
      <x:c r="K886" s="17" t="str">
        <x:v>Public archive</x:v>
      </x:c>
      <x:c r="L886" s="17" t="str">
        <x:v>COURT-SEALED UNTIL COHORT RELEASE</x:v>
      </x:c>
      <x:c r="M886" s="9" t="n">
        <x:v>0</x:v>
      </x:c>
      <x:c r="N886" s="9" t="n">
        <x:v>0</x:v>
      </x:c>
      <x:c r="O886" s="9" t="n">
        <x:v>0</x:v>
      </x:c>
      <x:c r="P886" s="9" t="str">
        <x:v>HELD / UNRELEASED</x:v>
      </x:c>
      <x:c r="Q886" s="9" t="n">
        <x:f>COUNTIFS($A$7:$A$2310,A886)</x:f>
        <x:v>1</x:v>
      </x:c>
    </x:row>
    <x:row r="887">
      <x:c r="A887" s="9" t="str">
        <x:v>PD-AR-ET-A-A-TECH-1-B1-BRK-G0-PD01</x:v>
      </x:c>
      <x:c r="B887" s="9" t="str">
        <x:v>PD-AR-ET-A-A-TECH-1-B1-BRK-G0</x:v>
      </x:c>
      <x:c r="C887" s="9" t="str">
        <x:v>EV-AR-ET-A-A-TECH-1-B1-BRK-G0</x:v>
      </x:c>
      <x:c r="D887" s="9" t="str">
        <x:v>AR-ET-A-A-TECH-1-B1-BRK-G0</x:v>
      </x:c>
      <x:c r="E887" s="9" t="str">
        <x:v>ET-A-A-TECH-1</x:v>
      </x:c>
      <x:c r="F887" s="9" t="str">
        <x:v>ET-A-A</x:v>
      </x:c>
      <x:c r="G887" s="9" t="str">
        <x:v>B1</x:v>
      </x:c>
      <x:c r="H887" s="9" t="str">
        <x:v>BRK</x:v>
      </x:c>
      <x:c r="I887" s="9" t="str">
        <x:v>PD01</x:v>
      </x:c>
      <x:c r="J887" s="17" t="str">
        <x:v>Experiment kernel</x:v>
      </x:c>
      <x:c r="K887" s="17" t="str">
        <x:v>Public archive</x:v>
      </x:c>
      <x:c r="L887" s="17" t="str">
        <x:v>COURT-SEALED UNTIL COHORT RELEASE</x:v>
      </x:c>
      <x:c r="M887" s="9" t="n">
        <x:v>0</x:v>
      </x:c>
      <x:c r="N887" s="9" t="n">
        <x:v>0</x:v>
      </x:c>
      <x:c r="O887" s="9" t="n">
        <x:v>0</x:v>
      </x:c>
      <x:c r="P887" s="9" t="str">
        <x:v>HELD / UNRELEASED</x:v>
      </x:c>
      <x:c r="Q887" s="9" t="n">
        <x:f>COUNTIFS($A$7:$A$2310,A887)</x:f>
        <x:v>1</x:v>
      </x:c>
    </x:row>
    <x:row r="888">
      <x:c r="A888" s="9" t="str">
        <x:v>PD-AR-ET-A-A-TECH-1-B1-BRK-G0-PD02</x:v>
      </x:c>
      <x:c r="B888" s="9" t="str">
        <x:v>PD-AR-ET-A-A-TECH-1-B1-BRK-G0</x:v>
      </x:c>
      <x:c r="C888" s="9" t="str">
        <x:v>EV-AR-ET-A-A-TECH-1-B1-BRK-G0</x:v>
      </x:c>
      <x:c r="D888" s="9" t="str">
        <x:v>AR-ET-A-A-TECH-1-B1-BRK-G0</x:v>
      </x:c>
      <x:c r="E888" s="9" t="str">
        <x:v>ET-A-A-TECH-1</x:v>
      </x:c>
      <x:c r="F888" s="9" t="str">
        <x:v>ET-A-A</x:v>
      </x:c>
      <x:c r="G888" s="9" t="str">
        <x:v>B1</x:v>
      </x:c>
      <x:c r="H888" s="9" t="str">
        <x:v>BRK</x:v>
      </x:c>
      <x:c r="I888" s="9" t="str">
        <x:v>PD02</x:v>
      </x:c>
      <x:c r="J888" s="17" t="str">
        <x:v>Serial annex and title chain</x:v>
      </x:c>
      <x:c r="K888" s="17" t="str">
        <x:v>Public archive</x:v>
      </x:c>
      <x:c r="L888" s="17" t="str">
        <x:v>COURT-SEALED UNTIL COHORT RELEASE</x:v>
      </x:c>
      <x:c r="M888" s="9" t="n">
        <x:v>0</x:v>
      </x:c>
      <x:c r="N888" s="9" t="n">
        <x:v>0</x:v>
      </x:c>
      <x:c r="O888" s="9" t="n">
        <x:v>0</x:v>
      </x:c>
      <x:c r="P888" s="9" t="str">
        <x:v>HELD / UNRELEASED</x:v>
      </x:c>
      <x:c r="Q888" s="9" t="n">
        <x:f>COUNTIFS($A$7:$A$2310,A888)</x:f>
        <x:v>1</x:v>
      </x:c>
    </x:row>
    <x:row r="889">
      <x:c r="A889" s="9" t="str">
        <x:v>PD-AR-ET-A-A-TECH-1-B1-BRK-G0-PD03</x:v>
      </x:c>
      <x:c r="B889" s="9" t="str">
        <x:v>PD-AR-ET-A-A-TECH-1-B1-BRK-G0</x:v>
      </x:c>
      <x:c r="C889" s="9" t="str">
        <x:v>EV-AR-ET-A-A-TECH-1-B1-BRK-G0</x:v>
      </x:c>
      <x:c r="D889" s="9" t="str">
        <x:v>AR-ET-A-A-TECH-1-B1-BRK-G0</x:v>
      </x:c>
      <x:c r="E889" s="9" t="str">
        <x:v>ET-A-A-TECH-1</x:v>
      </x:c>
      <x:c r="F889" s="9" t="str">
        <x:v>ET-A-A</x:v>
      </x:c>
      <x:c r="G889" s="9" t="str">
        <x:v>B1</x:v>
      </x:c>
      <x:c r="H889" s="9" t="str">
        <x:v>BRK</x:v>
      </x:c>
      <x:c r="I889" s="9" t="str">
        <x:v>PD03</x:v>
      </x:c>
      <x:c r="J889" s="17" t="str">
        <x:v>Configuration and as-built manifest</x:v>
      </x:c>
      <x:c r="K889" s="17" t="str">
        <x:v>Artifact exchange</x:v>
      </x:c>
      <x:c r="L889" s="17" t="str">
        <x:v>COURT-SEALED UNTIL COHORT RELEASE</x:v>
      </x:c>
      <x:c r="M889" s="9" t="n">
        <x:v>0</x:v>
      </x:c>
      <x:c r="N889" s="9" t="n">
        <x:v>0</x:v>
      </x:c>
      <x:c r="O889" s="9" t="n">
        <x:v>0</x:v>
      </x:c>
      <x:c r="P889" s="9" t="str">
        <x:v>HELD / UNRELEASED</x:v>
      </x:c>
      <x:c r="Q889" s="9" t="n">
        <x:f>COUNTIFS($A$7:$A$2310,A889)</x:f>
        <x:v>1</x:v>
      </x:c>
    </x:row>
    <x:row r="890">
      <x:c r="A890" s="9" t="str">
        <x:v>PD-AR-ET-A-A-TECH-1-B1-BRK-G0-PD04</x:v>
      </x:c>
      <x:c r="B890" s="9" t="str">
        <x:v>PD-AR-ET-A-A-TECH-1-B1-BRK-G0</x:v>
      </x:c>
      <x:c r="C890" s="9" t="str">
        <x:v>EV-AR-ET-A-A-TECH-1-B1-BRK-G0</x:v>
      </x:c>
      <x:c r="D890" s="9" t="str">
        <x:v>AR-ET-A-A-TECH-1-B1-BRK-G0</x:v>
      </x:c>
      <x:c r="E890" s="9" t="str">
        <x:v>ET-A-A-TECH-1</x:v>
      </x:c>
      <x:c r="F890" s="9" t="str">
        <x:v>ET-A-A</x:v>
      </x:c>
      <x:c r="G890" s="9" t="str">
        <x:v>B1</x:v>
      </x:c>
      <x:c r="H890" s="9" t="str">
        <x:v>BRK</x:v>
      </x:c>
      <x:c r="I890" s="9" t="str">
        <x:v>PD04</x:v>
      </x:c>
      <x:c r="J890" s="17" t="str">
        <x:v>EOW and start certificate</x:v>
      </x:c>
      <x:c r="K890" s="17" t="str">
        <x:v>Start registrar</x:v>
      </x:c>
      <x:c r="L890" s="17" t="str">
        <x:v>COURT-SEALED UNTIL COHORT RELEASE</x:v>
      </x:c>
      <x:c r="M890" s="9" t="n">
        <x:v>0</x:v>
      </x:c>
      <x:c r="N890" s="9" t="n">
        <x:v>0</x:v>
      </x:c>
      <x:c r="O890" s="9" t="n">
        <x:v>0</x:v>
      </x:c>
      <x:c r="P890" s="9" t="str">
        <x:v>HELD / UNRELEASED</x:v>
      </x:c>
      <x:c r="Q890" s="9" t="n">
        <x:f>COUNTIFS($A$7:$A$2310,A890)</x:f>
        <x:v>1</x:v>
      </x:c>
    </x:row>
    <x:row r="891">
      <x:c r="A891" s="9" t="str">
        <x:v>PD-AR-ET-A-A-TECH-1-B1-BRK-G0-PD05</x:v>
      </x:c>
      <x:c r="B891" s="9" t="str">
        <x:v>PD-AR-ET-A-A-TECH-1-B1-BRK-G0</x:v>
      </x:c>
      <x:c r="C891" s="9" t="str">
        <x:v>EV-AR-ET-A-A-TECH-1-B1-BRK-G0</x:v>
      </x:c>
      <x:c r="D891" s="9" t="str">
        <x:v>AR-ET-A-A-TECH-1-B1-BRK-G0</x:v>
      </x:c>
      <x:c r="E891" s="9" t="str">
        <x:v>ET-A-A-TECH-1</x:v>
      </x:c>
      <x:c r="F891" s="9" t="str">
        <x:v>ET-A-A</x:v>
      </x:c>
      <x:c r="G891" s="9" t="str">
        <x:v>B1</x:v>
      </x:c>
      <x:c r="H891" s="9" t="str">
        <x:v>BRK</x:v>
      </x:c>
      <x:c r="I891" s="9" t="str">
        <x:v>PD05</x:v>
      </x:c>
      <x:c r="J891" s="17" t="str">
        <x:v>Primary raw originals</x:v>
      </x:c>
      <x:c r="K891" s="17" t="str">
        <x:v>Primary custody</x:v>
      </x:c>
      <x:c r="L891" s="17" t="str">
        <x:v>COURT-SEALED UNTIL COHORT RELEASE</x:v>
      </x:c>
      <x:c r="M891" s="9" t="n">
        <x:v>0</x:v>
      </x:c>
      <x:c r="N891" s="9" t="n">
        <x:v>0</x:v>
      </x:c>
      <x:c r="O891" s="9" t="n">
        <x:v>0</x:v>
      </x:c>
      <x:c r="P891" s="9" t="str">
        <x:v>HELD / UNRELEASED</x:v>
      </x:c>
      <x:c r="Q891" s="9" t="n">
        <x:f>COUNTIFS($A$7:$A$2310,A891)</x:f>
        <x:v>1</x:v>
      </x:c>
    </x:row>
    <x:row r="892">
      <x:c r="A892" s="9" t="str">
        <x:v>PD-AR-ET-A-A-TECH-1-B1-BRK-G0-PD06</x:v>
      </x:c>
      <x:c r="B892" s="9" t="str">
        <x:v>PD-AR-ET-A-A-TECH-1-B1-BRK-G0</x:v>
      </x:c>
      <x:c r="C892" s="9" t="str">
        <x:v>EV-AR-ET-A-A-TECH-1-B1-BRK-G0</x:v>
      </x:c>
      <x:c r="D892" s="9" t="str">
        <x:v>AR-ET-A-A-TECH-1-B1-BRK-G0</x:v>
      </x:c>
      <x:c r="E892" s="9" t="str">
        <x:v>ET-A-A-TECH-1</x:v>
      </x:c>
      <x:c r="F892" s="9" t="str">
        <x:v>ET-A-A</x:v>
      </x:c>
      <x:c r="G892" s="9" t="str">
        <x:v>B1</x:v>
      </x:c>
      <x:c r="H892" s="9" t="str">
        <x:v>BRK</x:v>
      </x:c>
      <x:c r="I892" s="9" t="str">
        <x:v>PD06</x:v>
      </x:c>
      <x:c r="J892" s="17" t="str">
        <x:v>Witness raw originals</x:v>
      </x:c>
      <x:c r="K892" s="17" t="str">
        <x:v>Witness custody</x:v>
      </x:c>
      <x:c r="L892" s="17" t="str">
        <x:v>COURT-SEALED UNTIL COHORT RELEASE</x:v>
      </x:c>
      <x:c r="M892" s="9" t="n">
        <x:v>0</x:v>
      </x:c>
      <x:c r="N892" s="9" t="n">
        <x:v>0</x:v>
      </x:c>
      <x:c r="O892" s="9" t="n">
        <x:v>0</x:v>
      </x:c>
      <x:c r="P892" s="9" t="str">
        <x:v>HELD / UNRELEASED</x:v>
      </x:c>
      <x:c r="Q892" s="9" t="n">
        <x:f>COUNTIFS($A$7:$A$2310,A892)</x:f>
        <x:v>1</x:v>
      </x:c>
    </x:row>
    <x:row r="893">
      <x:c r="A893" s="9" t="str">
        <x:v>PD-AR-ET-A-A-TECH-1-B1-BRK-G0-PD07</x:v>
      </x:c>
      <x:c r="B893" s="9" t="str">
        <x:v>PD-AR-ET-A-A-TECH-1-B1-BRK-G0</x:v>
      </x:c>
      <x:c r="C893" s="9" t="str">
        <x:v>EV-AR-ET-A-A-TECH-1-B1-BRK-G0</x:v>
      </x:c>
      <x:c r="D893" s="9" t="str">
        <x:v>AR-ET-A-A-TECH-1-B1-BRK-G0</x:v>
      </x:c>
      <x:c r="E893" s="9" t="str">
        <x:v>ET-A-A-TECH-1</x:v>
      </x:c>
      <x:c r="F893" s="9" t="str">
        <x:v>ET-A-A</x:v>
      </x:c>
      <x:c r="G893" s="9" t="str">
        <x:v>B1</x:v>
      </x:c>
      <x:c r="H893" s="9" t="str">
        <x:v>BRK</x:v>
      </x:c>
      <x:c r="I893" s="9" t="str">
        <x:v>PD07</x:v>
      </x:c>
      <x:c r="J893" s="17" t="str">
        <x:v>Clock and environmental records</x:v>
      </x:c>
      <x:c r="K893" s="17" t="str">
        <x:v>Boundary archive</x:v>
      </x:c>
      <x:c r="L893" s="17" t="str">
        <x:v>COURT-SEALED UNTIL COHORT RELEASE</x:v>
      </x:c>
      <x:c r="M893" s="9" t="n">
        <x:v>0</x:v>
      </x:c>
      <x:c r="N893" s="9" t="n">
        <x:v>0</x:v>
      </x:c>
      <x:c r="O893" s="9" t="n">
        <x:v>0</x:v>
      </x:c>
      <x:c r="P893" s="9" t="str">
        <x:v>HELD / UNRELEASED</x:v>
      </x:c>
      <x:c r="Q893" s="9" t="n">
        <x:f>COUNTIFS($A$7:$A$2310,A893)</x:f>
        <x:v>1</x:v>
      </x:c>
    </x:row>
    <x:row r="894">
      <x:c r="A894" s="9" t="str">
        <x:v>PD-AR-ET-A-A-TECH-1-B1-BRK-G0-PD08</x:v>
      </x:c>
      <x:c r="B894" s="9" t="str">
        <x:v>PD-AR-ET-A-A-TECH-1-B1-BRK-G0</x:v>
      </x:c>
      <x:c r="C894" s="9" t="str">
        <x:v>EV-AR-ET-A-A-TECH-1-B1-BRK-G0</x:v>
      </x:c>
      <x:c r="D894" s="9" t="str">
        <x:v>AR-ET-A-A-TECH-1-B1-BRK-G0</x:v>
      </x:c>
      <x:c r="E894" s="9" t="str">
        <x:v>ET-A-A-TECH-1</x:v>
      </x:c>
      <x:c r="F894" s="9" t="str">
        <x:v>ET-A-A</x:v>
      </x:c>
      <x:c r="G894" s="9" t="str">
        <x:v>B1</x:v>
      </x:c>
      <x:c r="H894" s="9" t="str">
        <x:v>BRK</x:v>
      </x:c>
      <x:c r="I894" s="9" t="str">
        <x:v>PD08</x:v>
      </x:c>
      <x:c r="J894" s="17" t="str">
        <x:v>Command and intervention log</x:v>
      </x:c>
      <x:c r="K894" s="17" t="str">
        <x:v>Safety archive</x:v>
      </x:c>
      <x:c r="L894" s="17" t="str">
        <x:v>COURT-SEALED UNTIL COHORT RELEASE</x:v>
      </x:c>
      <x:c r="M894" s="9" t="n">
        <x:v>0</x:v>
      </x:c>
      <x:c r="N894" s="9" t="n">
        <x:v>0</x:v>
      </x:c>
      <x:c r="O894" s="9" t="n">
        <x:v>0</x:v>
      </x:c>
      <x:c r="P894" s="9" t="str">
        <x:v>HELD / UNRELEASED</x:v>
      </x:c>
      <x:c r="Q894" s="9" t="n">
        <x:f>COUNTIFS($A$7:$A$2310,A894)</x:f>
        <x:v>1</x:v>
      </x:c>
    </x:row>
    <x:row r="895">
      <x:c r="A895" s="9" t="str">
        <x:v>PD-AR-ET-A-A-TECH-1-B1-BRK-G0-PD09</x:v>
      </x:c>
      <x:c r="B895" s="9" t="str">
        <x:v>PD-AR-ET-A-A-TECH-1-B1-BRK-G0</x:v>
      </x:c>
      <x:c r="C895" s="9" t="str">
        <x:v>EV-AR-ET-A-A-TECH-1-B1-BRK-G0</x:v>
      </x:c>
      <x:c r="D895" s="9" t="str">
        <x:v>AR-ET-A-A-TECH-1-B1-BRK-G0</x:v>
      </x:c>
      <x:c r="E895" s="9" t="str">
        <x:v>ET-A-A-TECH-1</x:v>
      </x:c>
      <x:c r="F895" s="9" t="str">
        <x:v>ET-A-A</x:v>
      </x:c>
      <x:c r="G895" s="9" t="str">
        <x:v>B1</x:v>
      </x:c>
      <x:c r="H895" s="9" t="str">
        <x:v>BRK</x:v>
      </x:c>
      <x:c r="I895" s="9" t="str">
        <x:v>PD09</x:v>
      </x:c>
      <x:c r="J895" s="17" t="str">
        <x:v>Receiver denominator and service ledger</x:v>
      </x:c>
      <x:c r="K895" s="17" t="str">
        <x:v>Receiver archive</x:v>
      </x:c>
      <x:c r="L895" s="17" t="str">
        <x:v>COURT-SEALED UNTIL COHORT RELEASE</x:v>
      </x:c>
      <x:c r="M895" s="9" t="n">
        <x:v>0</x:v>
      </x:c>
      <x:c r="N895" s="9" t="n">
        <x:v>0</x:v>
      </x:c>
      <x:c r="O895" s="9" t="n">
        <x:v>0</x:v>
      </x:c>
      <x:c r="P895" s="9" t="str">
        <x:v>HELD / UNRELEASED</x:v>
      </x:c>
      <x:c r="Q895" s="9" t="n">
        <x:f>COUNTIFS($A$7:$A$2310,A895)</x:f>
        <x:v>1</x:v>
      </x:c>
    </x:row>
    <x:row r="896">
      <x:c r="A896" s="9" t="str">
        <x:v>PD-AR-ET-A-A-TECH-1-B1-BRK-G0-PD10</x:v>
      </x:c>
      <x:c r="B896" s="9" t="str">
        <x:v>PD-AR-ET-A-A-TECH-1-B1-BRK-G0</x:v>
      </x:c>
      <x:c r="C896" s="9" t="str">
        <x:v>EV-AR-ET-A-A-TECH-1-B1-BRK-G0</x:v>
      </x:c>
      <x:c r="D896" s="9" t="str">
        <x:v>AR-ET-A-A-TECH-1-B1-BRK-G0</x:v>
      </x:c>
      <x:c r="E896" s="9" t="str">
        <x:v>ET-A-A-TECH-1</x:v>
      </x:c>
      <x:c r="F896" s="9" t="str">
        <x:v>ET-A-A</x:v>
      </x:c>
      <x:c r="G896" s="9" t="str">
        <x:v>B1</x:v>
      </x:c>
      <x:c r="H896" s="9" t="str">
        <x:v>BRK</x:v>
      </x:c>
      <x:c r="I896" s="9" t="str">
        <x:v>PD10</x:v>
      </x:c>
      <x:c r="J896" s="17" t="str">
        <x:v>Calibration and uncertainty record</x:v>
      </x:c>
      <x:c r="K896" s="17" t="str">
        <x:v>Metrology archive</x:v>
      </x:c>
      <x:c r="L896" s="17" t="str">
        <x:v>COURT-SEALED UNTIL COHORT RELEASE</x:v>
      </x:c>
      <x:c r="M896" s="9" t="n">
        <x:v>0</x:v>
      </x:c>
      <x:c r="N896" s="9" t="n">
        <x:v>0</x:v>
      </x:c>
      <x:c r="O896" s="9" t="n">
        <x:v>0</x:v>
      </x:c>
      <x:c r="P896" s="9" t="str">
        <x:v>HELD / UNRELEASED</x:v>
      </x:c>
      <x:c r="Q896" s="9" t="n">
        <x:f>COUNTIFS($A$7:$A$2310,A896)</x:f>
        <x:v>1</x:v>
      </x:c>
    </x:row>
    <x:row r="897">
      <x:c r="A897" s="9" t="str">
        <x:v>PD-AR-ET-A-A-TECH-1-B1-BRK-G0-PD11</x:v>
      </x:c>
      <x:c r="B897" s="9" t="str">
        <x:v>PD-AR-ET-A-A-TECH-1-B1-BRK-G0</x:v>
      </x:c>
      <x:c r="C897" s="9" t="str">
        <x:v>EV-AR-ET-A-A-TECH-1-B1-BRK-G0</x:v>
      </x:c>
      <x:c r="D897" s="9" t="str">
        <x:v>AR-ET-A-A-TECH-1-B1-BRK-G0</x:v>
      </x:c>
      <x:c r="E897" s="9" t="str">
        <x:v>ET-A-A-TECH-1</x:v>
      </x:c>
      <x:c r="F897" s="9" t="str">
        <x:v>ET-A-A</x:v>
      </x:c>
      <x:c r="G897" s="9" t="str">
        <x:v>B1</x:v>
      </x:c>
      <x:c r="H897" s="9" t="str">
        <x:v>BRK</x:v>
      </x:c>
      <x:c r="I897" s="9" t="str">
        <x:v>PD11</x:v>
      </x:c>
      <x:c r="J897" s="17" t="str">
        <x:v>Invalidity petition and opinion</x:v>
      </x:c>
      <x:c r="K897" s="17" t="str">
        <x:v>Invalidity court</x:v>
      </x:c>
      <x:c r="L897" s="17" t="str">
        <x:v>COURT-SEALED UNTIL COHORT RELEASE</x:v>
      </x:c>
      <x:c r="M897" s="9" t="n">
        <x:v>0</x:v>
      </x:c>
      <x:c r="N897" s="9" t="n">
        <x:v>0</x:v>
      </x:c>
      <x:c r="O897" s="9" t="n">
        <x:v>0</x:v>
      </x:c>
      <x:c r="P897" s="9" t="str">
        <x:v>HELD / UNRELEASED</x:v>
      </x:c>
      <x:c r="Q897" s="9" t="n">
        <x:f>COUNTIFS($A$7:$A$2310,A897)</x:f>
        <x:v>1</x:v>
      </x:c>
    </x:row>
    <x:row r="898">
      <x:c r="A898" s="9" t="str">
        <x:v>PD-AR-ET-A-A-TECH-1-B1-BRK-G0-PD12</x:v>
      </x:c>
      <x:c r="B898" s="9" t="str">
        <x:v>PD-AR-ET-A-A-TECH-1-B1-BRK-G0</x:v>
      </x:c>
      <x:c r="C898" s="9" t="str">
        <x:v>EV-AR-ET-A-A-TECH-1-B1-BRK-G0</x:v>
      </x:c>
      <x:c r="D898" s="9" t="str">
        <x:v>AR-ET-A-A-TECH-1-B1-BRK-G0</x:v>
      </x:c>
      <x:c r="E898" s="9" t="str">
        <x:v>ET-A-A-TECH-1</x:v>
      </x:c>
      <x:c r="F898" s="9" t="str">
        <x:v>ET-A-A</x:v>
      </x:c>
      <x:c r="G898" s="9" t="str">
        <x:v>B1</x:v>
      </x:c>
      <x:c r="H898" s="9" t="str">
        <x:v>BRK</x:v>
      </x:c>
      <x:c r="I898" s="9" t="str">
        <x:v>PD12</x:v>
      </x:c>
      <x:c r="J898" s="17" t="str">
        <x:v>Observation acceptance and replay</x:v>
      </x:c>
      <x:c r="K898" s="17" t="str">
        <x:v>Observation court</x:v>
      </x:c>
      <x:c r="L898" s="17" t="str">
        <x:v>COURT-SEALED UNTIL COHORT RELEASE</x:v>
      </x:c>
      <x:c r="M898" s="9" t="n">
        <x:v>0</x:v>
      </x:c>
      <x:c r="N898" s="9" t="n">
        <x:v>0</x:v>
      </x:c>
      <x:c r="O898" s="9" t="n">
        <x:v>0</x:v>
      </x:c>
      <x:c r="P898" s="9" t="str">
        <x:v>HELD / UNRELEASED</x:v>
      </x:c>
      <x:c r="Q898" s="9" t="n">
        <x:f>COUNTIFS($A$7:$A$2310,A898)</x:f>
        <x:v>1</x:v>
      </x:c>
    </x:row>
    <x:row r="899">
      <x:c r="A899" s="9" t="str">
        <x:v>PD-AR-ET-A-A-TECH-1-B1-BRK-G0-PD13</x:v>
      </x:c>
      <x:c r="B899" s="9" t="str">
        <x:v>PD-AR-ET-A-A-TECH-1-B1-BRK-G0</x:v>
      </x:c>
      <x:c r="C899" s="9" t="str">
        <x:v>EV-AR-ET-A-A-TECH-1-B1-BRK-G0</x:v>
      </x:c>
      <x:c r="D899" s="9" t="str">
        <x:v>AR-ET-A-A-TECH-1-B1-BRK-G0</x:v>
      </x:c>
      <x:c r="E899" s="9" t="str">
        <x:v>ET-A-A-TECH-1</x:v>
      </x:c>
      <x:c r="F899" s="9" t="str">
        <x:v>ET-A-A</x:v>
      </x:c>
      <x:c r="G899" s="9" t="str">
        <x:v>B1</x:v>
      </x:c>
      <x:c r="H899" s="9" t="str">
        <x:v>BRK</x:v>
      </x:c>
      <x:c r="I899" s="9" t="str">
        <x:v>PD13</x:v>
      </x:c>
      <x:c r="J899" s="17" t="str">
        <x:v>Role judgment</x:v>
      </x:c>
      <x:c r="K899" s="17" t="str">
        <x:v>Role court</x:v>
      </x:c>
      <x:c r="L899" s="17" t="str">
        <x:v>COURT-SEALED UNTIL COHORT RELEASE</x:v>
      </x:c>
      <x:c r="M899" s="9" t="n">
        <x:v>0</x:v>
      </x:c>
      <x:c r="N899" s="9" t="n">
        <x:v>0</x:v>
      </x:c>
      <x:c r="O899" s="9" t="n">
        <x:v>0</x:v>
      </x:c>
      <x:c r="P899" s="9" t="str">
        <x:v>HELD / UNRELEASED</x:v>
      </x:c>
      <x:c r="Q899" s="9" t="n">
        <x:f>COUNTIFS($A$7:$A$2310,A899)</x:f>
        <x:v>1</x:v>
      </x:c>
    </x:row>
    <x:row r="900">
      <x:c r="A900" s="9" t="str">
        <x:v>PD-AR-ET-A-A-TECH-1-B1-BRK-G0-PD14</x:v>
      </x:c>
      <x:c r="B900" s="9" t="str">
        <x:v>PD-AR-ET-A-A-TECH-1-B1-BRK-G0</x:v>
      </x:c>
      <x:c r="C900" s="9" t="str">
        <x:v>EV-AR-ET-A-A-TECH-1-B1-BRK-G0</x:v>
      </x:c>
      <x:c r="D900" s="9" t="str">
        <x:v>AR-ET-A-A-TECH-1-B1-BRK-G0</x:v>
      </x:c>
      <x:c r="E900" s="9" t="str">
        <x:v>ET-A-A-TECH-1</x:v>
      </x:c>
      <x:c r="F900" s="9" t="str">
        <x:v>ET-A-A</x:v>
      </x:c>
      <x:c r="G900" s="9" t="str">
        <x:v>B1</x:v>
      </x:c>
      <x:c r="H900" s="9" t="str">
        <x:v>BRK</x:v>
      </x:c>
      <x:c r="I900" s="9" t="str">
        <x:v>PD14</x:v>
      </x:c>
      <x:c r="J900" s="17" t="str">
        <x:v>Break and residual account</x:v>
      </x:c>
      <x:c r="K900" s="17" t="str">
        <x:v>Residual authority</x:v>
      </x:c>
      <x:c r="L900" s="17" t="str">
        <x:v>COURT-SEALED UNTIL COHORT RELEASE</x:v>
      </x:c>
      <x:c r="M900" s="9" t="n">
        <x:v>0</x:v>
      </x:c>
      <x:c r="N900" s="9" t="n">
        <x:v>0</x:v>
      </x:c>
      <x:c r="O900" s="9" t="n">
        <x:v>0</x:v>
      </x:c>
      <x:c r="P900" s="9" t="str">
        <x:v>HELD / UNRELEASED</x:v>
      </x:c>
      <x:c r="Q900" s="9" t="n">
        <x:f>COUNTIFS($A$7:$A$2310,A900)</x:f>
        <x:v>1</x:v>
      </x:c>
    </x:row>
    <x:row r="901">
      <x:c r="A901" s="9" t="str">
        <x:v>PD-AR-ET-A-A-TECH-1-B1-BRK-G0-PD15</x:v>
      </x:c>
      <x:c r="B901" s="9" t="str">
        <x:v>PD-AR-ET-A-A-TECH-1-B1-BRK-G0</x:v>
      </x:c>
      <x:c r="C901" s="9" t="str">
        <x:v>EV-AR-ET-A-A-TECH-1-B1-BRK-G0</x:v>
      </x:c>
      <x:c r="D901" s="9" t="str">
        <x:v>AR-ET-A-A-TECH-1-B1-BRK-G0</x:v>
      </x:c>
      <x:c r="E901" s="9" t="str">
        <x:v>ET-A-A-TECH-1</x:v>
      </x:c>
      <x:c r="F901" s="9" t="str">
        <x:v>ET-A-A</x:v>
      </x:c>
      <x:c r="G901" s="9" t="str">
        <x:v>B1</x:v>
      </x:c>
      <x:c r="H901" s="9" t="str">
        <x:v>BRK</x:v>
      </x:c>
      <x:c r="I901" s="9" t="str">
        <x:v>PD15</x:v>
      </x:c>
      <x:c r="J901" s="17" t="str">
        <x:v>Reconstruction ancestry and replay</x:v>
      </x:c>
      <x:c r="K901" s="17" t="str">
        <x:v>Reconstruction court</x:v>
      </x:c>
      <x:c r="L901" s="17" t="str">
        <x:v>COURT-SEALED UNTIL COHORT RELEASE</x:v>
      </x:c>
      <x:c r="M901" s="9" t="n">
        <x:v>0</x:v>
      </x:c>
      <x:c r="N901" s="9" t="n">
        <x:v>0</x:v>
      </x:c>
      <x:c r="O901" s="9" t="n">
        <x:v>0</x:v>
      </x:c>
      <x:c r="P901" s="9" t="str">
        <x:v>HELD / UNRELEASED</x:v>
      </x:c>
      <x:c r="Q901" s="9" t="n">
        <x:f>COUNTIFS($A$7:$A$2310,A901)</x:f>
        <x:v>1</x:v>
      </x:c>
    </x:row>
    <x:row r="902">
      <x:c r="A902" s="9" t="str">
        <x:v>PD-AR-ET-A-A-TECH-1-B1-BRK-G0-PD16</x:v>
      </x:c>
      <x:c r="B902" s="9" t="str">
        <x:v>PD-AR-ET-A-A-TECH-1-B1-BRK-G0</x:v>
      </x:c>
      <x:c r="C902" s="9" t="str">
        <x:v>EV-AR-ET-A-A-TECH-1-B1-BRK-G0</x:v>
      </x:c>
      <x:c r="D902" s="9" t="str">
        <x:v>AR-ET-A-A-TECH-1-B1-BRK-G0</x:v>
      </x:c>
      <x:c r="E902" s="9" t="str">
        <x:v>ET-A-A-TECH-1</x:v>
      </x:c>
      <x:c r="F902" s="9" t="str">
        <x:v>ET-A-A</x:v>
      </x:c>
      <x:c r="G902" s="9" t="str">
        <x:v>B1</x:v>
      </x:c>
      <x:c r="H902" s="9" t="str">
        <x:v>BRK</x:v>
      </x:c>
      <x:c r="I902" s="9" t="str">
        <x:v>PD16</x:v>
      </x:c>
      <x:c r="J902" s="17" t="str">
        <x:v>Dissent, amendments and access log</x:v>
      </x:c>
      <x:c r="K902" s="17" t="str">
        <x:v>Public archive</x:v>
      </x:c>
      <x:c r="L902" s="17" t="str">
        <x:v>COURT-SEALED UNTIL COHORT RELEASE</x:v>
      </x:c>
      <x:c r="M902" s="9" t="n">
        <x:v>0</x:v>
      </x:c>
      <x:c r="N902" s="9" t="n">
        <x:v>0</x:v>
      </x:c>
      <x:c r="O902" s="9" t="n">
        <x:v>0</x:v>
      </x:c>
      <x:c r="P902" s="9" t="str">
        <x:v>HELD / UNRELEASED</x:v>
      </x:c>
      <x:c r="Q902" s="9" t="n">
        <x:f>COUNTIFS($A$7:$A$2310,A902)</x:f>
        <x:v>1</x:v>
      </x:c>
    </x:row>
    <x:row r="903">
      <x:c r="A903" s="9" t="str">
        <x:v>PD-AR-HU-A-B-TECH-3-B1-BRK-G0-PD01</x:v>
      </x:c>
      <x:c r="B903" s="9" t="str">
        <x:v>PD-AR-HU-A-B-TECH-3-B1-BRK-G0</x:v>
      </x:c>
      <x:c r="C903" s="9" t="str">
        <x:v>EV-AR-HU-A-B-TECH-3-B1-BRK-G0</x:v>
      </x:c>
      <x:c r="D903" s="9" t="str">
        <x:v>AR-HU-A-B-TECH-3-B1-BRK-G0</x:v>
      </x:c>
      <x:c r="E903" s="9" t="str">
        <x:v>HU-A-B-TECH-3</x:v>
      </x:c>
      <x:c r="F903" s="9" t="str">
        <x:v>HU-A-B</x:v>
      </x:c>
      <x:c r="G903" s="9" t="str">
        <x:v>B1</x:v>
      </x:c>
      <x:c r="H903" s="9" t="str">
        <x:v>BRK</x:v>
      </x:c>
      <x:c r="I903" s="9" t="str">
        <x:v>PD01</x:v>
      </x:c>
      <x:c r="J903" s="17" t="str">
        <x:v>Experiment kernel</x:v>
      </x:c>
      <x:c r="K903" s="17" t="str">
        <x:v>Public archive</x:v>
      </x:c>
      <x:c r="L903" s="17" t="str">
        <x:v>COURT-SEALED UNTIL COHORT RELEASE</x:v>
      </x:c>
      <x:c r="M903" s="9" t="n">
        <x:v>0</x:v>
      </x:c>
      <x:c r="N903" s="9" t="n">
        <x:v>0</x:v>
      </x:c>
      <x:c r="O903" s="9" t="n">
        <x:v>0</x:v>
      </x:c>
      <x:c r="P903" s="9" t="str">
        <x:v>HELD / UNRELEASED</x:v>
      </x:c>
      <x:c r="Q903" s="9" t="n">
        <x:f>COUNTIFS($A$7:$A$2310,A903)</x:f>
        <x:v>1</x:v>
      </x:c>
    </x:row>
    <x:row r="904">
      <x:c r="A904" s="9" t="str">
        <x:v>PD-AR-HU-A-B-TECH-3-B1-BRK-G0-PD02</x:v>
      </x:c>
      <x:c r="B904" s="9" t="str">
        <x:v>PD-AR-HU-A-B-TECH-3-B1-BRK-G0</x:v>
      </x:c>
      <x:c r="C904" s="9" t="str">
        <x:v>EV-AR-HU-A-B-TECH-3-B1-BRK-G0</x:v>
      </x:c>
      <x:c r="D904" s="9" t="str">
        <x:v>AR-HU-A-B-TECH-3-B1-BRK-G0</x:v>
      </x:c>
      <x:c r="E904" s="9" t="str">
        <x:v>HU-A-B-TECH-3</x:v>
      </x:c>
      <x:c r="F904" s="9" t="str">
        <x:v>HU-A-B</x:v>
      </x:c>
      <x:c r="G904" s="9" t="str">
        <x:v>B1</x:v>
      </x:c>
      <x:c r="H904" s="9" t="str">
        <x:v>BRK</x:v>
      </x:c>
      <x:c r="I904" s="9" t="str">
        <x:v>PD02</x:v>
      </x:c>
      <x:c r="J904" s="17" t="str">
        <x:v>Serial annex and title chain</x:v>
      </x:c>
      <x:c r="K904" s="17" t="str">
        <x:v>Public archive</x:v>
      </x:c>
      <x:c r="L904" s="17" t="str">
        <x:v>COURT-SEALED UNTIL COHORT RELEASE</x:v>
      </x:c>
      <x:c r="M904" s="9" t="n">
        <x:v>0</x:v>
      </x:c>
      <x:c r="N904" s="9" t="n">
        <x:v>0</x:v>
      </x:c>
      <x:c r="O904" s="9" t="n">
        <x:v>0</x:v>
      </x:c>
      <x:c r="P904" s="9" t="str">
        <x:v>HELD / UNRELEASED</x:v>
      </x:c>
      <x:c r="Q904" s="9" t="n">
        <x:f>COUNTIFS($A$7:$A$2310,A904)</x:f>
        <x:v>1</x:v>
      </x:c>
    </x:row>
    <x:row r="905">
      <x:c r="A905" s="9" t="str">
        <x:v>PD-AR-HU-A-B-TECH-3-B1-BRK-G0-PD03</x:v>
      </x:c>
      <x:c r="B905" s="9" t="str">
        <x:v>PD-AR-HU-A-B-TECH-3-B1-BRK-G0</x:v>
      </x:c>
      <x:c r="C905" s="9" t="str">
        <x:v>EV-AR-HU-A-B-TECH-3-B1-BRK-G0</x:v>
      </x:c>
      <x:c r="D905" s="9" t="str">
        <x:v>AR-HU-A-B-TECH-3-B1-BRK-G0</x:v>
      </x:c>
      <x:c r="E905" s="9" t="str">
        <x:v>HU-A-B-TECH-3</x:v>
      </x:c>
      <x:c r="F905" s="9" t="str">
        <x:v>HU-A-B</x:v>
      </x:c>
      <x:c r="G905" s="9" t="str">
        <x:v>B1</x:v>
      </x:c>
      <x:c r="H905" s="9" t="str">
        <x:v>BRK</x:v>
      </x:c>
      <x:c r="I905" s="9" t="str">
        <x:v>PD03</x:v>
      </x:c>
      <x:c r="J905" s="17" t="str">
        <x:v>Configuration and as-built manifest</x:v>
      </x:c>
      <x:c r="K905" s="17" t="str">
        <x:v>Artifact exchange</x:v>
      </x:c>
      <x:c r="L905" s="17" t="str">
        <x:v>COURT-SEALED UNTIL COHORT RELEASE</x:v>
      </x:c>
      <x:c r="M905" s="9" t="n">
        <x:v>0</x:v>
      </x:c>
      <x:c r="N905" s="9" t="n">
        <x:v>0</x:v>
      </x:c>
      <x:c r="O905" s="9" t="n">
        <x:v>0</x:v>
      </x:c>
      <x:c r="P905" s="9" t="str">
        <x:v>HELD / UNRELEASED</x:v>
      </x:c>
      <x:c r="Q905" s="9" t="n">
        <x:f>COUNTIFS($A$7:$A$2310,A905)</x:f>
        <x:v>1</x:v>
      </x:c>
    </x:row>
    <x:row r="906">
      <x:c r="A906" s="9" t="str">
        <x:v>PD-AR-HU-A-B-TECH-3-B1-BRK-G0-PD04</x:v>
      </x:c>
      <x:c r="B906" s="9" t="str">
        <x:v>PD-AR-HU-A-B-TECH-3-B1-BRK-G0</x:v>
      </x:c>
      <x:c r="C906" s="9" t="str">
        <x:v>EV-AR-HU-A-B-TECH-3-B1-BRK-G0</x:v>
      </x:c>
      <x:c r="D906" s="9" t="str">
        <x:v>AR-HU-A-B-TECH-3-B1-BRK-G0</x:v>
      </x:c>
      <x:c r="E906" s="9" t="str">
        <x:v>HU-A-B-TECH-3</x:v>
      </x:c>
      <x:c r="F906" s="9" t="str">
        <x:v>HU-A-B</x:v>
      </x:c>
      <x:c r="G906" s="9" t="str">
        <x:v>B1</x:v>
      </x:c>
      <x:c r="H906" s="9" t="str">
        <x:v>BRK</x:v>
      </x:c>
      <x:c r="I906" s="9" t="str">
        <x:v>PD04</x:v>
      </x:c>
      <x:c r="J906" s="17" t="str">
        <x:v>EOW and start certificate</x:v>
      </x:c>
      <x:c r="K906" s="17" t="str">
        <x:v>Start registrar</x:v>
      </x:c>
      <x:c r="L906" s="17" t="str">
        <x:v>COURT-SEALED UNTIL COHORT RELEASE</x:v>
      </x:c>
      <x:c r="M906" s="9" t="n">
        <x:v>0</x:v>
      </x:c>
      <x:c r="N906" s="9" t="n">
        <x:v>0</x:v>
      </x:c>
      <x:c r="O906" s="9" t="n">
        <x:v>0</x:v>
      </x:c>
      <x:c r="P906" s="9" t="str">
        <x:v>HELD / UNRELEASED</x:v>
      </x:c>
      <x:c r="Q906" s="9" t="n">
        <x:f>COUNTIFS($A$7:$A$2310,A906)</x:f>
        <x:v>1</x:v>
      </x:c>
    </x:row>
    <x:row r="907">
      <x:c r="A907" s="9" t="str">
        <x:v>PD-AR-HU-A-B-TECH-3-B1-BRK-G0-PD05</x:v>
      </x:c>
      <x:c r="B907" s="9" t="str">
        <x:v>PD-AR-HU-A-B-TECH-3-B1-BRK-G0</x:v>
      </x:c>
      <x:c r="C907" s="9" t="str">
        <x:v>EV-AR-HU-A-B-TECH-3-B1-BRK-G0</x:v>
      </x:c>
      <x:c r="D907" s="9" t="str">
        <x:v>AR-HU-A-B-TECH-3-B1-BRK-G0</x:v>
      </x:c>
      <x:c r="E907" s="9" t="str">
        <x:v>HU-A-B-TECH-3</x:v>
      </x:c>
      <x:c r="F907" s="9" t="str">
        <x:v>HU-A-B</x:v>
      </x:c>
      <x:c r="G907" s="9" t="str">
        <x:v>B1</x:v>
      </x:c>
      <x:c r="H907" s="9" t="str">
        <x:v>BRK</x:v>
      </x:c>
      <x:c r="I907" s="9" t="str">
        <x:v>PD05</x:v>
      </x:c>
      <x:c r="J907" s="17" t="str">
        <x:v>Primary raw originals</x:v>
      </x:c>
      <x:c r="K907" s="17" t="str">
        <x:v>Primary custody</x:v>
      </x:c>
      <x:c r="L907" s="17" t="str">
        <x:v>COURT-SEALED UNTIL COHORT RELEASE</x:v>
      </x:c>
      <x:c r="M907" s="9" t="n">
        <x:v>0</x:v>
      </x:c>
      <x:c r="N907" s="9" t="n">
        <x:v>0</x:v>
      </x:c>
      <x:c r="O907" s="9" t="n">
        <x:v>0</x:v>
      </x:c>
      <x:c r="P907" s="9" t="str">
        <x:v>HELD / UNRELEASED</x:v>
      </x:c>
      <x:c r="Q907" s="9" t="n">
        <x:f>COUNTIFS($A$7:$A$2310,A907)</x:f>
        <x:v>1</x:v>
      </x:c>
    </x:row>
    <x:row r="908">
      <x:c r="A908" s="9" t="str">
        <x:v>PD-AR-HU-A-B-TECH-3-B1-BRK-G0-PD06</x:v>
      </x:c>
      <x:c r="B908" s="9" t="str">
        <x:v>PD-AR-HU-A-B-TECH-3-B1-BRK-G0</x:v>
      </x:c>
      <x:c r="C908" s="9" t="str">
        <x:v>EV-AR-HU-A-B-TECH-3-B1-BRK-G0</x:v>
      </x:c>
      <x:c r="D908" s="9" t="str">
        <x:v>AR-HU-A-B-TECH-3-B1-BRK-G0</x:v>
      </x:c>
      <x:c r="E908" s="9" t="str">
        <x:v>HU-A-B-TECH-3</x:v>
      </x:c>
      <x:c r="F908" s="9" t="str">
        <x:v>HU-A-B</x:v>
      </x:c>
      <x:c r="G908" s="9" t="str">
        <x:v>B1</x:v>
      </x:c>
      <x:c r="H908" s="9" t="str">
        <x:v>BRK</x:v>
      </x:c>
      <x:c r="I908" s="9" t="str">
        <x:v>PD06</x:v>
      </x:c>
      <x:c r="J908" s="17" t="str">
        <x:v>Witness raw originals</x:v>
      </x:c>
      <x:c r="K908" s="17" t="str">
        <x:v>Witness custody</x:v>
      </x:c>
      <x:c r="L908" s="17" t="str">
        <x:v>COURT-SEALED UNTIL COHORT RELEASE</x:v>
      </x:c>
      <x:c r="M908" s="9" t="n">
        <x:v>0</x:v>
      </x:c>
      <x:c r="N908" s="9" t="n">
        <x:v>0</x:v>
      </x:c>
      <x:c r="O908" s="9" t="n">
        <x:v>0</x:v>
      </x:c>
      <x:c r="P908" s="9" t="str">
        <x:v>HELD / UNRELEASED</x:v>
      </x:c>
      <x:c r="Q908" s="9" t="n">
        <x:f>COUNTIFS($A$7:$A$2310,A908)</x:f>
        <x:v>1</x:v>
      </x:c>
    </x:row>
    <x:row r="909">
      <x:c r="A909" s="9" t="str">
        <x:v>PD-AR-HU-A-B-TECH-3-B1-BRK-G0-PD07</x:v>
      </x:c>
      <x:c r="B909" s="9" t="str">
        <x:v>PD-AR-HU-A-B-TECH-3-B1-BRK-G0</x:v>
      </x:c>
      <x:c r="C909" s="9" t="str">
        <x:v>EV-AR-HU-A-B-TECH-3-B1-BRK-G0</x:v>
      </x:c>
      <x:c r="D909" s="9" t="str">
        <x:v>AR-HU-A-B-TECH-3-B1-BRK-G0</x:v>
      </x:c>
      <x:c r="E909" s="9" t="str">
        <x:v>HU-A-B-TECH-3</x:v>
      </x:c>
      <x:c r="F909" s="9" t="str">
        <x:v>HU-A-B</x:v>
      </x:c>
      <x:c r="G909" s="9" t="str">
        <x:v>B1</x:v>
      </x:c>
      <x:c r="H909" s="9" t="str">
        <x:v>BRK</x:v>
      </x:c>
      <x:c r="I909" s="9" t="str">
        <x:v>PD07</x:v>
      </x:c>
      <x:c r="J909" s="17" t="str">
        <x:v>Clock and environmental records</x:v>
      </x:c>
      <x:c r="K909" s="17" t="str">
        <x:v>Boundary archive</x:v>
      </x:c>
      <x:c r="L909" s="17" t="str">
        <x:v>COURT-SEALED UNTIL COHORT RELEASE</x:v>
      </x:c>
      <x:c r="M909" s="9" t="n">
        <x:v>0</x:v>
      </x:c>
      <x:c r="N909" s="9" t="n">
        <x:v>0</x:v>
      </x:c>
      <x:c r="O909" s="9" t="n">
        <x:v>0</x:v>
      </x:c>
      <x:c r="P909" s="9" t="str">
        <x:v>HELD / UNRELEASED</x:v>
      </x:c>
      <x:c r="Q909" s="9" t="n">
        <x:f>COUNTIFS($A$7:$A$2310,A909)</x:f>
        <x:v>1</x:v>
      </x:c>
    </x:row>
    <x:row r="910">
      <x:c r="A910" s="9" t="str">
        <x:v>PD-AR-HU-A-B-TECH-3-B1-BRK-G0-PD08</x:v>
      </x:c>
      <x:c r="B910" s="9" t="str">
        <x:v>PD-AR-HU-A-B-TECH-3-B1-BRK-G0</x:v>
      </x:c>
      <x:c r="C910" s="9" t="str">
        <x:v>EV-AR-HU-A-B-TECH-3-B1-BRK-G0</x:v>
      </x:c>
      <x:c r="D910" s="9" t="str">
        <x:v>AR-HU-A-B-TECH-3-B1-BRK-G0</x:v>
      </x:c>
      <x:c r="E910" s="9" t="str">
        <x:v>HU-A-B-TECH-3</x:v>
      </x:c>
      <x:c r="F910" s="9" t="str">
        <x:v>HU-A-B</x:v>
      </x:c>
      <x:c r="G910" s="9" t="str">
        <x:v>B1</x:v>
      </x:c>
      <x:c r="H910" s="9" t="str">
        <x:v>BRK</x:v>
      </x:c>
      <x:c r="I910" s="9" t="str">
        <x:v>PD08</x:v>
      </x:c>
      <x:c r="J910" s="17" t="str">
        <x:v>Command and intervention log</x:v>
      </x:c>
      <x:c r="K910" s="17" t="str">
        <x:v>Safety archive</x:v>
      </x:c>
      <x:c r="L910" s="17" t="str">
        <x:v>COURT-SEALED UNTIL COHORT RELEASE</x:v>
      </x:c>
      <x:c r="M910" s="9" t="n">
        <x:v>0</x:v>
      </x:c>
      <x:c r="N910" s="9" t="n">
        <x:v>0</x:v>
      </x:c>
      <x:c r="O910" s="9" t="n">
        <x:v>0</x:v>
      </x:c>
      <x:c r="P910" s="9" t="str">
        <x:v>HELD / UNRELEASED</x:v>
      </x:c>
      <x:c r="Q910" s="9" t="n">
        <x:f>COUNTIFS($A$7:$A$2310,A910)</x:f>
        <x:v>1</x:v>
      </x:c>
    </x:row>
    <x:row r="911">
      <x:c r="A911" s="9" t="str">
        <x:v>PD-AR-HU-A-B-TECH-3-B1-BRK-G0-PD09</x:v>
      </x:c>
      <x:c r="B911" s="9" t="str">
        <x:v>PD-AR-HU-A-B-TECH-3-B1-BRK-G0</x:v>
      </x:c>
      <x:c r="C911" s="9" t="str">
        <x:v>EV-AR-HU-A-B-TECH-3-B1-BRK-G0</x:v>
      </x:c>
      <x:c r="D911" s="9" t="str">
        <x:v>AR-HU-A-B-TECH-3-B1-BRK-G0</x:v>
      </x:c>
      <x:c r="E911" s="9" t="str">
        <x:v>HU-A-B-TECH-3</x:v>
      </x:c>
      <x:c r="F911" s="9" t="str">
        <x:v>HU-A-B</x:v>
      </x:c>
      <x:c r="G911" s="9" t="str">
        <x:v>B1</x:v>
      </x:c>
      <x:c r="H911" s="9" t="str">
        <x:v>BRK</x:v>
      </x:c>
      <x:c r="I911" s="9" t="str">
        <x:v>PD09</x:v>
      </x:c>
      <x:c r="J911" s="17" t="str">
        <x:v>Receiver denominator and service ledger</x:v>
      </x:c>
      <x:c r="K911" s="17" t="str">
        <x:v>Receiver archive</x:v>
      </x:c>
      <x:c r="L911" s="17" t="str">
        <x:v>COURT-SEALED UNTIL COHORT RELEASE</x:v>
      </x:c>
      <x:c r="M911" s="9" t="n">
        <x:v>0</x:v>
      </x:c>
      <x:c r="N911" s="9" t="n">
        <x:v>0</x:v>
      </x:c>
      <x:c r="O911" s="9" t="n">
        <x:v>0</x:v>
      </x:c>
      <x:c r="P911" s="9" t="str">
        <x:v>HELD / UNRELEASED</x:v>
      </x:c>
      <x:c r="Q911" s="9" t="n">
        <x:f>COUNTIFS($A$7:$A$2310,A911)</x:f>
        <x:v>1</x:v>
      </x:c>
    </x:row>
    <x:row r="912">
      <x:c r="A912" s="9" t="str">
        <x:v>PD-AR-HU-A-B-TECH-3-B1-BRK-G0-PD10</x:v>
      </x:c>
      <x:c r="B912" s="9" t="str">
        <x:v>PD-AR-HU-A-B-TECH-3-B1-BRK-G0</x:v>
      </x:c>
      <x:c r="C912" s="9" t="str">
        <x:v>EV-AR-HU-A-B-TECH-3-B1-BRK-G0</x:v>
      </x:c>
      <x:c r="D912" s="9" t="str">
        <x:v>AR-HU-A-B-TECH-3-B1-BRK-G0</x:v>
      </x:c>
      <x:c r="E912" s="9" t="str">
        <x:v>HU-A-B-TECH-3</x:v>
      </x:c>
      <x:c r="F912" s="9" t="str">
        <x:v>HU-A-B</x:v>
      </x:c>
      <x:c r="G912" s="9" t="str">
        <x:v>B1</x:v>
      </x:c>
      <x:c r="H912" s="9" t="str">
        <x:v>BRK</x:v>
      </x:c>
      <x:c r="I912" s="9" t="str">
        <x:v>PD10</x:v>
      </x:c>
      <x:c r="J912" s="17" t="str">
        <x:v>Calibration and uncertainty record</x:v>
      </x:c>
      <x:c r="K912" s="17" t="str">
        <x:v>Metrology archive</x:v>
      </x:c>
      <x:c r="L912" s="17" t="str">
        <x:v>COURT-SEALED UNTIL COHORT RELEASE</x:v>
      </x:c>
      <x:c r="M912" s="9" t="n">
        <x:v>0</x:v>
      </x:c>
      <x:c r="N912" s="9" t="n">
        <x:v>0</x:v>
      </x:c>
      <x:c r="O912" s="9" t="n">
        <x:v>0</x:v>
      </x:c>
      <x:c r="P912" s="9" t="str">
        <x:v>HELD / UNRELEASED</x:v>
      </x:c>
      <x:c r="Q912" s="9" t="n">
        <x:f>COUNTIFS($A$7:$A$2310,A912)</x:f>
        <x:v>1</x:v>
      </x:c>
    </x:row>
    <x:row r="913">
      <x:c r="A913" s="9" t="str">
        <x:v>PD-AR-HU-A-B-TECH-3-B1-BRK-G0-PD11</x:v>
      </x:c>
      <x:c r="B913" s="9" t="str">
        <x:v>PD-AR-HU-A-B-TECH-3-B1-BRK-G0</x:v>
      </x:c>
      <x:c r="C913" s="9" t="str">
        <x:v>EV-AR-HU-A-B-TECH-3-B1-BRK-G0</x:v>
      </x:c>
      <x:c r="D913" s="9" t="str">
        <x:v>AR-HU-A-B-TECH-3-B1-BRK-G0</x:v>
      </x:c>
      <x:c r="E913" s="9" t="str">
        <x:v>HU-A-B-TECH-3</x:v>
      </x:c>
      <x:c r="F913" s="9" t="str">
        <x:v>HU-A-B</x:v>
      </x:c>
      <x:c r="G913" s="9" t="str">
        <x:v>B1</x:v>
      </x:c>
      <x:c r="H913" s="9" t="str">
        <x:v>BRK</x:v>
      </x:c>
      <x:c r="I913" s="9" t="str">
        <x:v>PD11</x:v>
      </x:c>
      <x:c r="J913" s="17" t="str">
        <x:v>Invalidity petition and opinion</x:v>
      </x:c>
      <x:c r="K913" s="17" t="str">
        <x:v>Invalidity court</x:v>
      </x:c>
      <x:c r="L913" s="17" t="str">
        <x:v>COURT-SEALED UNTIL COHORT RELEASE</x:v>
      </x:c>
      <x:c r="M913" s="9" t="n">
        <x:v>0</x:v>
      </x:c>
      <x:c r="N913" s="9" t="n">
        <x:v>0</x:v>
      </x:c>
      <x:c r="O913" s="9" t="n">
        <x:v>0</x:v>
      </x:c>
      <x:c r="P913" s="9" t="str">
        <x:v>HELD / UNRELEASED</x:v>
      </x:c>
      <x:c r="Q913" s="9" t="n">
        <x:f>COUNTIFS($A$7:$A$2310,A913)</x:f>
        <x:v>1</x:v>
      </x:c>
    </x:row>
    <x:row r="914">
      <x:c r="A914" s="9" t="str">
        <x:v>PD-AR-HU-A-B-TECH-3-B1-BRK-G0-PD12</x:v>
      </x:c>
      <x:c r="B914" s="9" t="str">
        <x:v>PD-AR-HU-A-B-TECH-3-B1-BRK-G0</x:v>
      </x:c>
      <x:c r="C914" s="9" t="str">
        <x:v>EV-AR-HU-A-B-TECH-3-B1-BRK-G0</x:v>
      </x:c>
      <x:c r="D914" s="9" t="str">
        <x:v>AR-HU-A-B-TECH-3-B1-BRK-G0</x:v>
      </x:c>
      <x:c r="E914" s="9" t="str">
        <x:v>HU-A-B-TECH-3</x:v>
      </x:c>
      <x:c r="F914" s="9" t="str">
        <x:v>HU-A-B</x:v>
      </x:c>
      <x:c r="G914" s="9" t="str">
        <x:v>B1</x:v>
      </x:c>
      <x:c r="H914" s="9" t="str">
        <x:v>BRK</x:v>
      </x:c>
      <x:c r="I914" s="9" t="str">
        <x:v>PD12</x:v>
      </x:c>
      <x:c r="J914" s="17" t="str">
        <x:v>Observation acceptance and replay</x:v>
      </x:c>
      <x:c r="K914" s="17" t="str">
        <x:v>Observation court</x:v>
      </x:c>
      <x:c r="L914" s="17" t="str">
        <x:v>COURT-SEALED UNTIL COHORT RELEASE</x:v>
      </x:c>
      <x:c r="M914" s="9" t="n">
        <x:v>0</x:v>
      </x:c>
      <x:c r="N914" s="9" t="n">
        <x:v>0</x:v>
      </x:c>
      <x:c r="O914" s="9" t="n">
        <x:v>0</x:v>
      </x:c>
      <x:c r="P914" s="9" t="str">
        <x:v>HELD / UNRELEASED</x:v>
      </x:c>
      <x:c r="Q914" s="9" t="n">
        <x:f>COUNTIFS($A$7:$A$2310,A914)</x:f>
        <x:v>1</x:v>
      </x:c>
    </x:row>
    <x:row r="915">
      <x:c r="A915" s="9" t="str">
        <x:v>PD-AR-HU-A-B-TECH-3-B1-BRK-G0-PD13</x:v>
      </x:c>
      <x:c r="B915" s="9" t="str">
        <x:v>PD-AR-HU-A-B-TECH-3-B1-BRK-G0</x:v>
      </x:c>
      <x:c r="C915" s="9" t="str">
        <x:v>EV-AR-HU-A-B-TECH-3-B1-BRK-G0</x:v>
      </x:c>
      <x:c r="D915" s="9" t="str">
        <x:v>AR-HU-A-B-TECH-3-B1-BRK-G0</x:v>
      </x:c>
      <x:c r="E915" s="9" t="str">
        <x:v>HU-A-B-TECH-3</x:v>
      </x:c>
      <x:c r="F915" s="9" t="str">
        <x:v>HU-A-B</x:v>
      </x:c>
      <x:c r="G915" s="9" t="str">
        <x:v>B1</x:v>
      </x:c>
      <x:c r="H915" s="9" t="str">
        <x:v>BRK</x:v>
      </x:c>
      <x:c r="I915" s="9" t="str">
        <x:v>PD13</x:v>
      </x:c>
      <x:c r="J915" s="17" t="str">
        <x:v>Role judgment</x:v>
      </x:c>
      <x:c r="K915" s="17" t="str">
        <x:v>Role court</x:v>
      </x:c>
      <x:c r="L915" s="17" t="str">
        <x:v>COURT-SEALED UNTIL COHORT RELEASE</x:v>
      </x:c>
      <x:c r="M915" s="9" t="n">
        <x:v>0</x:v>
      </x:c>
      <x:c r="N915" s="9" t="n">
        <x:v>0</x:v>
      </x:c>
      <x:c r="O915" s="9" t="n">
        <x:v>0</x:v>
      </x:c>
      <x:c r="P915" s="9" t="str">
        <x:v>HELD / UNRELEASED</x:v>
      </x:c>
      <x:c r="Q915" s="9" t="n">
        <x:f>COUNTIFS($A$7:$A$2310,A915)</x:f>
        <x:v>1</x:v>
      </x:c>
    </x:row>
    <x:row r="916">
      <x:c r="A916" s="9" t="str">
        <x:v>PD-AR-HU-A-B-TECH-3-B1-BRK-G0-PD14</x:v>
      </x:c>
      <x:c r="B916" s="9" t="str">
        <x:v>PD-AR-HU-A-B-TECH-3-B1-BRK-G0</x:v>
      </x:c>
      <x:c r="C916" s="9" t="str">
        <x:v>EV-AR-HU-A-B-TECH-3-B1-BRK-G0</x:v>
      </x:c>
      <x:c r="D916" s="9" t="str">
        <x:v>AR-HU-A-B-TECH-3-B1-BRK-G0</x:v>
      </x:c>
      <x:c r="E916" s="9" t="str">
        <x:v>HU-A-B-TECH-3</x:v>
      </x:c>
      <x:c r="F916" s="9" t="str">
        <x:v>HU-A-B</x:v>
      </x:c>
      <x:c r="G916" s="9" t="str">
        <x:v>B1</x:v>
      </x:c>
      <x:c r="H916" s="9" t="str">
        <x:v>BRK</x:v>
      </x:c>
      <x:c r="I916" s="9" t="str">
        <x:v>PD14</x:v>
      </x:c>
      <x:c r="J916" s="17" t="str">
        <x:v>Break and residual account</x:v>
      </x:c>
      <x:c r="K916" s="17" t="str">
        <x:v>Residual authority</x:v>
      </x:c>
      <x:c r="L916" s="17" t="str">
        <x:v>COURT-SEALED UNTIL COHORT RELEASE</x:v>
      </x:c>
      <x:c r="M916" s="9" t="n">
        <x:v>0</x:v>
      </x:c>
      <x:c r="N916" s="9" t="n">
        <x:v>0</x:v>
      </x:c>
      <x:c r="O916" s="9" t="n">
        <x:v>0</x:v>
      </x:c>
      <x:c r="P916" s="9" t="str">
        <x:v>HELD / UNRELEASED</x:v>
      </x:c>
      <x:c r="Q916" s="9" t="n">
        <x:f>COUNTIFS($A$7:$A$2310,A916)</x:f>
        <x:v>1</x:v>
      </x:c>
    </x:row>
    <x:row r="917">
      <x:c r="A917" s="9" t="str">
        <x:v>PD-AR-HU-A-B-TECH-3-B1-BRK-G0-PD15</x:v>
      </x:c>
      <x:c r="B917" s="9" t="str">
        <x:v>PD-AR-HU-A-B-TECH-3-B1-BRK-G0</x:v>
      </x:c>
      <x:c r="C917" s="9" t="str">
        <x:v>EV-AR-HU-A-B-TECH-3-B1-BRK-G0</x:v>
      </x:c>
      <x:c r="D917" s="9" t="str">
        <x:v>AR-HU-A-B-TECH-3-B1-BRK-G0</x:v>
      </x:c>
      <x:c r="E917" s="9" t="str">
        <x:v>HU-A-B-TECH-3</x:v>
      </x:c>
      <x:c r="F917" s="9" t="str">
        <x:v>HU-A-B</x:v>
      </x:c>
      <x:c r="G917" s="9" t="str">
        <x:v>B1</x:v>
      </x:c>
      <x:c r="H917" s="9" t="str">
        <x:v>BRK</x:v>
      </x:c>
      <x:c r="I917" s="9" t="str">
        <x:v>PD15</x:v>
      </x:c>
      <x:c r="J917" s="17" t="str">
        <x:v>Reconstruction ancestry and replay</x:v>
      </x:c>
      <x:c r="K917" s="17" t="str">
        <x:v>Reconstruction court</x:v>
      </x:c>
      <x:c r="L917" s="17" t="str">
        <x:v>COURT-SEALED UNTIL COHORT RELEASE</x:v>
      </x:c>
      <x:c r="M917" s="9" t="n">
        <x:v>0</x:v>
      </x:c>
      <x:c r="N917" s="9" t="n">
        <x:v>0</x:v>
      </x:c>
      <x:c r="O917" s="9" t="n">
        <x:v>0</x:v>
      </x:c>
      <x:c r="P917" s="9" t="str">
        <x:v>HELD / UNRELEASED</x:v>
      </x:c>
      <x:c r="Q917" s="9" t="n">
        <x:f>COUNTIFS($A$7:$A$2310,A917)</x:f>
        <x:v>1</x:v>
      </x:c>
    </x:row>
    <x:row r="918">
      <x:c r="A918" s="9" t="str">
        <x:v>PD-AR-HU-A-B-TECH-3-B1-BRK-G0-PD16</x:v>
      </x:c>
      <x:c r="B918" s="9" t="str">
        <x:v>PD-AR-HU-A-B-TECH-3-B1-BRK-G0</x:v>
      </x:c>
      <x:c r="C918" s="9" t="str">
        <x:v>EV-AR-HU-A-B-TECH-3-B1-BRK-G0</x:v>
      </x:c>
      <x:c r="D918" s="9" t="str">
        <x:v>AR-HU-A-B-TECH-3-B1-BRK-G0</x:v>
      </x:c>
      <x:c r="E918" s="9" t="str">
        <x:v>HU-A-B-TECH-3</x:v>
      </x:c>
      <x:c r="F918" s="9" t="str">
        <x:v>HU-A-B</x:v>
      </x:c>
      <x:c r="G918" s="9" t="str">
        <x:v>B1</x:v>
      </x:c>
      <x:c r="H918" s="9" t="str">
        <x:v>BRK</x:v>
      </x:c>
      <x:c r="I918" s="9" t="str">
        <x:v>PD16</x:v>
      </x:c>
      <x:c r="J918" s="17" t="str">
        <x:v>Dissent, amendments and access log</x:v>
      </x:c>
      <x:c r="K918" s="17" t="str">
        <x:v>Public archive</x:v>
      </x:c>
      <x:c r="L918" s="17" t="str">
        <x:v>COURT-SEALED UNTIL COHORT RELEASE</x:v>
      </x:c>
      <x:c r="M918" s="9" t="n">
        <x:v>0</x:v>
      </x:c>
      <x:c r="N918" s="9" t="n">
        <x:v>0</x:v>
      </x:c>
      <x:c r="O918" s="9" t="n">
        <x:v>0</x:v>
      </x:c>
      <x:c r="P918" s="9" t="str">
        <x:v>HELD / UNRELEASED</x:v>
      </x:c>
      <x:c r="Q918" s="9" t="n">
        <x:f>COUNTIFS($A$7:$A$2310,A918)</x:f>
        <x:v>1</x:v>
      </x:c>
    </x:row>
    <x:row r="919">
      <x:c r="A919" s="9" t="str">
        <x:v>PD-AR-HU-A-B-TECH-2-B2-BRK-G0-PD01</x:v>
      </x:c>
      <x:c r="B919" s="9" t="str">
        <x:v>PD-AR-HU-A-B-TECH-2-B2-BRK-G0</x:v>
      </x:c>
      <x:c r="C919" s="9" t="str">
        <x:v>EV-AR-HU-A-B-TECH-2-B2-BRK-G0</x:v>
      </x:c>
      <x:c r="D919" s="9" t="str">
        <x:v>AR-HU-A-B-TECH-2-B2-BRK-G0</x:v>
      </x:c>
      <x:c r="E919" s="9" t="str">
        <x:v>HU-A-B-TECH-2</x:v>
      </x:c>
      <x:c r="F919" s="9" t="str">
        <x:v>HU-A-B</x:v>
      </x:c>
      <x:c r="G919" s="9" t="str">
        <x:v>B2</x:v>
      </x:c>
      <x:c r="H919" s="9" t="str">
        <x:v>BRK</x:v>
      </x:c>
      <x:c r="I919" s="9" t="str">
        <x:v>PD01</x:v>
      </x:c>
      <x:c r="J919" s="17" t="str">
        <x:v>Experiment kernel</x:v>
      </x:c>
      <x:c r="K919" s="17" t="str">
        <x:v>Public archive</x:v>
      </x:c>
      <x:c r="L919" s="17" t="str">
        <x:v>COURT-SEALED UNTIL COHORT RELEASE</x:v>
      </x:c>
      <x:c r="M919" s="9" t="n">
        <x:v>0</x:v>
      </x:c>
      <x:c r="N919" s="9" t="n">
        <x:v>0</x:v>
      </x:c>
      <x:c r="O919" s="9" t="n">
        <x:v>0</x:v>
      </x:c>
      <x:c r="P919" s="9" t="str">
        <x:v>HELD / UNRELEASED</x:v>
      </x:c>
      <x:c r="Q919" s="9" t="n">
        <x:f>COUNTIFS($A$7:$A$2310,A919)</x:f>
        <x:v>1</x:v>
      </x:c>
    </x:row>
    <x:row r="920">
      <x:c r="A920" s="9" t="str">
        <x:v>PD-AR-HU-A-B-TECH-2-B2-BRK-G0-PD02</x:v>
      </x:c>
      <x:c r="B920" s="9" t="str">
        <x:v>PD-AR-HU-A-B-TECH-2-B2-BRK-G0</x:v>
      </x:c>
      <x:c r="C920" s="9" t="str">
        <x:v>EV-AR-HU-A-B-TECH-2-B2-BRK-G0</x:v>
      </x:c>
      <x:c r="D920" s="9" t="str">
        <x:v>AR-HU-A-B-TECH-2-B2-BRK-G0</x:v>
      </x:c>
      <x:c r="E920" s="9" t="str">
        <x:v>HU-A-B-TECH-2</x:v>
      </x:c>
      <x:c r="F920" s="9" t="str">
        <x:v>HU-A-B</x:v>
      </x:c>
      <x:c r="G920" s="9" t="str">
        <x:v>B2</x:v>
      </x:c>
      <x:c r="H920" s="9" t="str">
        <x:v>BRK</x:v>
      </x:c>
      <x:c r="I920" s="9" t="str">
        <x:v>PD02</x:v>
      </x:c>
      <x:c r="J920" s="17" t="str">
        <x:v>Serial annex and title chain</x:v>
      </x:c>
      <x:c r="K920" s="17" t="str">
        <x:v>Public archive</x:v>
      </x:c>
      <x:c r="L920" s="17" t="str">
        <x:v>COURT-SEALED UNTIL COHORT RELEASE</x:v>
      </x:c>
      <x:c r="M920" s="9" t="n">
        <x:v>0</x:v>
      </x:c>
      <x:c r="N920" s="9" t="n">
        <x:v>0</x:v>
      </x:c>
      <x:c r="O920" s="9" t="n">
        <x:v>0</x:v>
      </x:c>
      <x:c r="P920" s="9" t="str">
        <x:v>HELD / UNRELEASED</x:v>
      </x:c>
      <x:c r="Q920" s="9" t="n">
        <x:f>COUNTIFS($A$7:$A$2310,A920)</x:f>
        <x:v>1</x:v>
      </x:c>
    </x:row>
    <x:row r="921">
      <x:c r="A921" s="9" t="str">
        <x:v>PD-AR-HU-A-B-TECH-2-B2-BRK-G0-PD03</x:v>
      </x:c>
      <x:c r="B921" s="9" t="str">
        <x:v>PD-AR-HU-A-B-TECH-2-B2-BRK-G0</x:v>
      </x:c>
      <x:c r="C921" s="9" t="str">
        <x:v>EV-AR-HU-A-B-TECH-2-B2-BRK-G0</x:v>
      </x:c>
      <x:c r="D921" s="9" t="str">
        <x:v>AR-HU-A-B-TECH-2-B2-BRK-G0</x:v>
      </x:c>
      <x:c r="E921" s="9" t="str">
        <x:v>HU-A-B-TECH-2</x:v>
      </x:c>
      <x:c r="F921" s="9" t="str">
        <x:v>HU-A-B</x:v>
      </x:c>
      <x:c r="G921" s="9" t="str">
        <x:v>B2</x:v>
      </x:c>
      <x:c r="H921" s="9" t="str">
        <x:v>BRK</x:v>
      </x:c>
      <x:c r="I921" s="9" t="str">
        <x:v>PD03</x:v>
      </x:c>
      <x:c r="J921" s="17" t="str">
        <x:v>Configuration and as-built manifest</x:v>
      </x:c>
      <x:c r="K921" s="17" t="str">
        <x:v>Artifact exchange</x:v>
      </x:c>
      <x:c r="L921" s="17" t="str">
        <x:v>COURT-SEALED UNTIL COHORT RELEASE</x:v>
      </x:c>
      <x:c r="M921" s="9" t="n">
        <x:v>0</x:v>
      </x:c>
      <x:c r="N921" s="9" t="n">
        <x:v>0</x:v>
      </x:c>
      <x:c r="O921" s="9" t="n">
        <x:v>0</x:v>
      </x:c>
      <x:c r="P921" s="9" t="str">
        <x:v>HELD / UNRELEASED</x:v>
      </x:c>
      <x:c r="Q921" s="9" t="n">
        <x:f>COUNTIFS($A$7:$A$2310,A921)</x:f>
        <x:v>1</x:v>
      </x:c>
    </x:row>
    <x:row r="922">
      <x:c r="A922" s="9" t="str">
        <x:v>PD-AR-HU-A-B-TECH-2-B2-BRK-G0-PD04</x:v>
      </x:c>
      <x:c r="B922" s="9" t="str">
        <x:v>PD-AR-HU-A-B-TECH-2-B2-BRK-G0</x:v>
      </x:c>
      <x:c r="C922" s="9" t="str">
        <x:v>EV-AR-HU-A-B-TECH-2-B2-BRK-G0</x:v>
      </x:c>
      <x:c r="D922" s="9" t="str">
        <x:v>AR-HU-A-B-TECH-2-B2-BRK-G0</x:v>
      </x:c>
      <x:c r="E922" s="9" t="str">
        <x:v>HU-A-B-TECH-2</x:v>
      </x:c>
      <x:c r="F922" s="9" t="str">
        <x:v>HU-A-B</x:v>
      </x:c>
      <x:c r="G922" s="9" t="str">
        <x:v>B2</x:v>
      </x:c>
      <x:c r="H922" s="9" t="str">
        <x:v>BRK</x:v>
      </x:c>
      <x:c r="I922" s="9" t="str">
        <x:v>PD04</x:v>
      </x:c>
      <x:c r="J922" s="17" t="str">
        <x:v>EOW and start certificate</x:v>
      </x:c>
      <x:c r="K922" s="17" t="str">
        <x:v>Start registrar</x:v>
      </x:c>
      <x:c r="L922" s="17" t="str">
        <x:v>COURT-SEALED UNTIL COHORT RELEASE</x:v>
      </x:c>
      <x:c r="M922" s="9" t="n">
        <x:v>0</x:v>
      </x:c>
      <x:c r="N922" s="9" t="n">
        <x:v>0</x:v>
      </x:c>
      <x:c r="O922" s="9" t="n">
        <x:v>0</x:v>
      </x:c>
      <x:c r="P922" s="9" t="str">
        <x:v>HELD / UNRELEASED</x:v>
      </x:c>
      <x:c r="Q922" s="9" t="n">
        <x:f>COUNTIFS($A$7:$A$2310,A922)</x:f>
        <x:v>1</x:v>
      </x:c>
    </x:row>
    <x:row r="923">
      <x:c r="A923" s="9" t="str">
        <x:v>PD-AR-HU-A-B-TECH-2-B2-BRK-G0-PD05</x:v>
      </x:c>
      <x:c r="B923" s="9" t="str">
        <x:v>PD-AR-HU-A-B-TECH-2-B2-BRK-G0</x:v>
      </x:c>
      <x:c r="C923" s="9" t="str">
        <x:v>EV-AR-HU-A-B-TECH-2-B2-BRK-G0</x:v>
      </x:c>
      <x:c r="D923" s="9" t="str">
        <x:v>AR-HU-A-B-TECH-2-B2-BRK-G0</x:v>
      </x:c>
      <x:c r="E923" s="9" t="str">
        <x:v>HU-A-B-TECH-2</x:v>
      </x:c>
      <x:c r="F923" s="9" t="str">
        <x:v>HU-A-B</x:v>
      </x:c>
      <x:c r="G923" s="9" t="str">
        <x:v>B2</x:v>
      </x:c>
      <x:c r="H923" s="9" t="str">
        <x:v>BRK</x:v>
      </x:c>
      <x:c r="I923" s="9" t="str">
        <x:v>PD05</x:v>
      </x:c>
      <x:c r="J923" s="17" t="str">
        <x:v>Primary raw originals</x:v>
      </x:c>
      <x:c r="K923" s="17" t="str">
        <x:v>Primary custody</x:v>
      </x:c>
      <x:c r="L923" s="17" t="str">
        <x:v>COURT-SEALED UNTIL COHORT RELEASE</x:v>
      </x:c>
      <x:c r="M923" s="9" t="n">
        <x:v>0</x:v>
      </x:c>
      <x:c r="N923" s="9" t="n">
        <x:v>0</x:v>
      </x:c>
      <x:c r="O923" s="9" t="n">
        <x:v>0</x:v>
      </x:c>
      <x:c r="P923" s="9" t="str">
        <x:v>HELD / UNRELEASED</x:v>
      </x:c>
      <x:c r="Q923" s="9" t="n">
        <x:f>COUNTIFS($A$7:$A$2310,A923)</x:f>
        <x:v>1</x:v>
      </x:c>
    </x:row>
    <x:row r="924">
      <x:c r="A924" s="9" t="str">
        <x:v>PD-AR-HU-A-B-TECH-2-B2-BRK-G0-PD06</x:v>
      </x:c>
      <x:c r="B924" s="9" t="str">
        <x:v>PD-AR-HU-A-B-TECH-2-B2-BRK-G0</x:v>
      </x:c>
      <x:c r="C924" s="9" t="str">
        <x:v>EV-AR-HU-A-B-TECH-2-B2-BRK-G0</x:v>
      </x:c>
      <x:c r="D924" s="9" t="str">
        <x:v>AR-HU-A-B-TECH-2-B2-BRK-G0</x:v>
      </x:c>
      <x:c r="E924" s="9" t="str">
        <x:v>HU-A-B-TECH-2</x:v>
      </x:c>
      <x:c r="F924" s="9" t="str">
        <x:v>HU-A-B</x:v>
      </x:c>
      <x:c r="G924" s="9" t="str">
        <x:v>B2</x:v>
      </x:c>
      <x:c r="H924" s="9" t="str">
        <x:v>BRK</x:v>
      </x:c>
      <x:c r="I924" s="9" t="str">
        <x:v>PD06</x:v>
      </x:c>
      <x:c r="J924" s="17" t="str">
        <x:v>Witness raw originals</x:v>
      </x:c>
      <x:c r="K924" s="17" t="str">
        <x:v>Witness custody</x:v>
      </x:c>
      <x:c r="L924" s="17" t="str">
        <x:v>COURT-SEALED UNTIL COHORT RELEASE</x:v>
      </x:c>
      <x:c r="M924" s="9" t="n">
        <x:v>0</x:v>
      </x:c>
      <x:c r="N924" s="9" t="n">
        <x:v>0</x:v>
      </x:c>
      <x:c r="O924" s="9" t="n">
        <x:v>0</x:v>
      </x:c>
      <x:c r="P924" s="9" t="str">
        <x:v>HELD / UNRELEASED</x:v>
      </x:c>
      <x:c r="Q924" s="9" t="n">
        <x:f>COUNTIFS($A$7:$A$2310,A924)</x:f>
        <x:v>1</x:v>
      </x:c>
    </x:row>
    <x:row r="925">
      <x:c r="A925" s="9" t="str">
        <x:v>PD-AR-HU-A-B-TECH-2-B2-BRK-G0-PD07</x:v>
      </x:c>
      <x:c r="B925" s="9" t="str">
        <x:v>PD-AR-HU-A-B-TECH-2-B2-BRK-G0</x:v>
      </x:c>
      <x:c r="C925" s="9" t="str">
        <x:v>EV-AR-HU-A-B-TECH-2-B2-BRK-G0</x:v>
      </x:c>
      <x:c r="D925" s="9" t="str">
        <x:v>AR-HU-A-B-TECH-2-B2-BRK-G0</x:v>
      </x:c>
      <x:c r="E925" s="9" t="str">
        <x:v>HU-A-B-TECH-2</x:v>
      </x:c>
      <x:c r="F925" s="9" t="str">
        <x:v>HU-A-B</x:v>
      </x:c>
      <x:c r="G925" s="9" t="str">
        <x:v>B2</x:v>
      </x:c>
      <x:c r="H925" s="9" t="str">
        <x:v>BRK</x:v>
      </x:c>
      <x:c r="I925" s="9" t="str">
        <x:v>PD07</x:v>
      </x:c>
      <x:c r="J925" s="17" t="str">
        <x:v>Clock and environmental records</x:v>
      </x:c>
      <x:c r="K925" s="17" t="str">
        <x:v>Boundary archive</x:v>
      </x:c>
      <x:c r="L925" s="17" t="str">
        <x:v>COURT-SEALED UNTIL COHORT RELEASE</x:v>
      </x:c>
      <x:c r="M925" s="9" t="n">
        <x:v>0</x:v>
      </x:c>
      <x:c r="N925" s="9" t="n">
        <x:v>0</x:v>
      </x:c>
      <x:c r="O925" s="9" t="n">
        <x:v>0</x:v>
      </x:c>
      <x:c r="P925" s="9" t="str">
        <x:v>HELD / UNRELEASED</x:v>
      </x:c>
      <x:c r="Q925" s="9" t="n">
        <x:f>COUNTIFS($A$7:$A$2310,A925)</x:f>
        <x:v>1</x:v>
      </x:c>
    </x:row>
    <x:row r="926">
      <x:c r="A926" s="9" t="str">
        <x:v>PD-AR-HU-A-B-TECH-2-B2-BRK-G0-PD08</x:v>
      </x:c>
      <x:c r="B926" s="9" t="str">
        <x:v>PD-AR-HU-A-B-TECH-2-B2-BRK-G0</x:v>
      </x:c>
      <x:c r="C926" s="9" t="str">
        <x:v>EV-AR-HU-A-B-TECH-2-B2-BRK-G0</x:v>
      </x:c>
      <x:c r="D926" s="9" t="str">
        <x:v>AR-HU-A-B-TECH-2-B2-BRK-G0</x:v>
      </x:c>
      <x:c r="E926" s="9" t="str">
        <x:v>HU-A-B-TECH-2</x:v>
      </x:c>
      <x:c r="F926" s="9" t="str">
        <x:v>HU-A-B</x:v>
      </x:c>
      <x:c r="G926" s="9" t="str">
        <x:v>B2</x:v>
      </x:c>
      <x:c r="H926" s="9" t="str">
        <x:v>BRK</x:v>
      </x:c>
      <x:c r="I926" s="9" t="str">
        <x:v>PD08</x:v>
      </x:c>
      <x:c r="J926" s="17" t="str">
        <x:v>Command and intervention log</x:v>
      </x:c>
      <x:c r="K926" s="17" t="str">
        <x:v>Safety archive</x:v>
      </x:c>
      <x:c r="L926" s="17" t="str">
        <x:v>COURT-SEALED UNTIL COHORT RELEASE</x:v>
      </x:c>
      <x:c r="M926" s="9" t="n">
        <x:v>0</x:v>
      </x:c>
      <x:c r="N926" s="9" t="n">
        <x:v>0</x:v>
      </x:c>
      <x:c r="O926" s="9" t="n">
        <x:v>0</x:v>
      </x:c>
      <x:c r="P926" s="9" t="str">
        <x:v>HELD / UNRELEASED</x:v>
      </x:c>
      <x:c r="Q926" s="9" t="n">
        <x:f>COUNTIFS($A$7:$A$2310,A926)</x:f>
        <x:v>1</x:v>
      </x:c>
    </x:row>
    <x:row r="927">
      <x:c r="A927" s="9" t="str">
        <x:v>PD-AR-HU-A-B-TECH-2-B2-BRK-G0-PD09</x:v>
      </x:c>
      <x:c r="B927" s="9" t="str">
        <x:v>PD-AR-HU-A-B-TECH-2-B2-BRK-G0</x:v>
      </x:c>
      <x:c r="C927" s="9" t="str">
        <x:v>EV-AR-HU-A-B-TECH-2-B2-BRK-G0</x:v>
      </x:c>
      <x:c r="D927" s="9" t="str">
        <x:v>AR-HU-A-B-TECH-2-B2-BRK-G0</x:v>
      </x:c>
      <x:c r="E927" s="9" t="str">
        <x:v>HU-A-B-TECH-2</x:v>
      </x:c>
      <x:c r="F927" s="9" t="str">
        <x:v>HU-A-B</x:v>
      </x:c>
      <x:c r="G927" s="9" t="str">
        <x:v>B2</x:v>
      </x:c>
      <x:c r="H927" s="9" t="str">
        <x:v>BRK</x:v>
      </x:c>
      <x:c r="I927" s="9" t="str">
        <x:v>PD09</x:v>
      </x:c>
      <x:c r="J927" s="17" t="str">
        <x:v>Receiver denominator and service ledger</x:v>
      </x:c>
      <x:c r="K927" s="17" t="str">
        <x:v>Receiver archive</x:v>
      </x:c>
      <x:c r="L927" s="17" t="str">
        <x:v>COURT-SEALED UNTIL COHORT RELEASE</x:v>
      </x:c>
      <x:c r="M927" s="9" t="n">
        <x:v>0</x:v>
      </x:c>
      <x:c r="N927" s="9" t="n">
        <x:v>0</x:v>
      </x:c>
      <x:c r="O927" s="9" t="n">
        <x:v>0</x:v>
      </x:c>
      <x:c r="P927" s="9" t="str">
        <x:v>HELD / UNRELEASED</x:v>
      </x:c>
      <x:c r="Q927" s="9" t="n">
        <x:f>COUNTIFS($A$7:$A$2310,A927)</x:f>
        <x:v>1</x:v>
      </x:c>
    </x:row>
    <x:row r="928">
      <x:c r="A928" s="9" t="str">
        <x:v>PD-AR-HU-A-B-TECH-2-B2-BRK-G0-PD10</x:v>
      </x:c>
      <x:c r="B928" s="9" t="str">
        <x:v>PD-AR-HU-A-B-TECH-2-B2-BRK-G0</x:v>
      </x:c>
      <x:c r="C928" s="9" t="str">
        <x:v>EV-AR-HU-A-B-TECH-2-B2-BRK-G0</x:v>
      </x:c>
      <x:c r="D928" s="9" t="str">
        <x:v>AR-HU-A-B-TECH-2-B2-BRK-G0</x:v>
      </x:c>
      <x:c r="E928" s="9" t="str">
        <x:v>HU-A-B-TECH-2</x:v>
      </x:c>
      <x:c r="F928" s="9" t="str">
        <x:v>HU-A-B</x:v>
      </x:c>
      <x:c r="G928" s="9" t="str">
        <x:v>B2</x:v>
      </x:c>
      <x:c r="H928" s="9" t="str">
        <x:v>BRK</x:v>
      </x:c>
      <x:c r="I928" s="9" t="str">
        <x:v>PD10</x:v>
      </x:c>
      <x:c r="J928" s="17" t="str">
        <x:v>Calibration and uncertainty record</x:v>
      </x:c>
      <x:c r="K928" s="17" t="str">
        <x:v>Metrology archive</x:v>
      </x:c>
      <x:c r="L928" s="17" t="str">
        <x:v>COURT-SEALED UNTIL COHORT RELEASE</x:v>
      </x:c>
      <x:c r="M928" s="9" t="n">
        <x:v>0</x:v>
      </x:c>
      <x:c r="N928" s="9" t="n">
        <x:v>0</x:v>
      </x:c>
      <x:c r="O928" s="9" t="n">
        <x:v>0</x:v>
      </x:c>
      <x:c r="P928" s="9" t="str">
        <x:v>HELD / UNRELEASED</x:v>
      </x:c>
      <x:c r="Q928" s="9" t="n">
        <x:f>COUNTIFS($A$7:$A$2310,A928)</x:f>
        <x:v>1</x:v>
      </x:c>
    </x:row>
    <x:row r="929">
      <x:c r="A929" s="9" t="str">
        <x:v>PD-AR-HU-A-B-TECH-2-B2-BRK-G0-PD11</x:v>
      </x:c>
      <x:c r="B929" s="9" t="str">
        <x:v>PD-AR-HU-A-B-TECH-2-B2-BRK-G0</x:v>
      </x:c>
      <x:c r="C929" s="9" t="str">
        <x:v>EV-AR-HU-A-B-TECH-2-B2-BRK-G0</x:v>
      </x:c>
      <x:c r="D929" s="9" t="str">
        <x:v>AR-HU-A-B-TECH-2-B2-BRK-G0</x:v>
      </x:c>
      <x:c r="E929" s="9" t="str">
        <x:v>HU-A-B-TECH-2</x:v>
      </x:c>
      <x:c r="F929" s="9" t="str">
        <x:v>HU-A-B</x:v>
      </x:c>
      <x:c r="G929" s="9" t="str">
        <x:v>B2</x:v>
      </x:c>
      <x:c r="H929" s="9" t="str">
        <x:v>BRK</x:v>
      </x:c>
      <x:c r="I929" s="9" t="str">
        <x:v>PD11</x:v>
      </x:c>
      <x:c r="J929" s="17" t="str">
        <x:v>Invalidity petition and opinion</x:v>
      </x:c>
      <x:c r="K929" s="17" t="str">
        <x:v>Invalidity court</x:v>
      </x:c>
      <x:c r="L929" s="17" t="str">
        <x:v>COURT-SEALED UNTIL COHORT RELEASE</x:v>
      </x:c>
      <x:c r="M929" s="9" t="n">
        <x:v>0</x:v>
      </x:c>
      <x:c r="N929" s="9" t="n">
        <x:v>0</x:v>
      </x:c>
      <x:c r="O929" s="9" t="n">
        <x:v>0</x:v>
      </x:c>
      <x:c r="P929" s="9" t="str">
        <x:v>HELD / UNRELEASED</x:v>
      </x:c>
      <x:c r="Q929" s="9" t="n">
        <x:f>COUNTIFS($A$7:$A$2310,A929)</x:f>
        <x:v>1</x:v>
      </x:c>
    </x:row>
    <x:row r="930">
      <x:c r="A930" s="9" t="str">
        <x:v>PD-AR-HU-A-B-TECH-2-B2-BRK-G0-PD12</x:v>
      </x:c>
      <x:c r="B930" s="9" t="str">
        <x:v>PD-AR-HU-A-B-TECH-2-B2-BRK-G0</x:v>
      </x:c>
      <x:c r="C930" s="9" t="str">
        <x:v>EV-AR-HU-A-B-TECH-2-B2-BRK-G0</x:v>
      </x:c>
      <x:c r="D930" s="9" t="str">
        <x:v>AR-HU-A-B-TECH-2-B2-BRK-G0</x:v>
      </x:c>
      <x:c r="E930" s="9" t="str">
        <x:v>HU-A-B-TECH-2</x:v>
      </x:c>
      <x:c r="F930" s="9" t="str">
        <x:v>HU-A-B</x:v>
      </x:c>
      <x:c r="G930" s="9" t="str">
        <x:v>B2</x:v>
      </x:c>
      <x:c r="H930" s="9" t="str">
        <x:v>BRK</x:v>
      </x:c>
      <x:c r="I930" s="9" t="str">
        <x:v>PD12</x:v>
      </x:c>
      <x:c r="J930" s="17" t="str">
        <x:v>Observation acceptance and replay</x:v>
      </x:c>
      <x:c r="K930" s="17" t="str">
        <x:v>Observation court</x:v>
      </x:c>
      <x:c r="L930" s="17" t="str">
        <x:v>COURT-SEALED UNTIL COHORT RELEASE</x:v>
      </x:c>
      <x:c r="M930" s="9" t="n">
        <x:v>0</x:v>
      </x:c>
      <x:c r="N930" s="9" t="n">
        <x:v>0</x:v>
      </x:c>
      <x:c r="O930" s="9" t="n">
        <x:v>0</x:v>
      </x:c>
      <x:c r="P930" s="9" t="str">
        <x:v>HELD / UNRELEASED</x:v>
      </x:c>
      <x:c r="Q930" s="9" t="n">
        <x:f>COUNTIFS($A$7:$A$2310,A930)</x:f>
        <x:v>1</x:v>
      </x:c>
    </x:row>
    <x:row r="931">
      <x:c r="A931" s="9" t="str">
        <x:v>PD-AR-HU-A-B-TECH-2-B2-BRK-G0-PD13</x:v>
      </x:c>
      <x:c r="B931" s="9" t="str">
        <x:v>PD-AR-HU-A-B-TECH-2-B2-BRK-G0</x:v>
      </x:c>
      <x:c r="C931" s="9" t="str">
        <x:v>EV-AR-HU-A-B-TECH-2-B2-BRK-G0</x:v>
      </x:c>
      <x:c r="D931" s="9" t="str">
        <x:v>AR-HU-A-B-TECH-2-B2-BRK-G0</x:v>
      </x:c>
      <x:c r="E931" s="9" t="str">
        <x:v>HU-A-B-TECH-2</x:v>
      </x:c>
      <x:c r="F931" s="9" t="str">
        <x:v>HU-A-B</x:v>
      </x:c>
      <x:c r="G931" s="9" t="str">
        <x:v>B2</x:v>
      </x:c>
      <x:c r="H931" s="9" t="str">
        <x:v>BRK</x:v>
      </x:c>
      <x:c r="I931" s="9" t="str">
        <x:v>PD13</x:v>
      </x:c>
      <x:c r="J931" s="17" t="str">
        <x:v>Role judgment</x:v>
      </x:c>
      <x:c r="K931" s="17" t="str">
        <x:v>Role court</x:v>
      </x:c>
      <x:c r="L931" s="17" t="str">
        <x:v>COURT-SEALED UNTIL COHORT RELEASE</x:v>
      </x:c>
      <x:c r="M931" s="9" t="n">
        <x:v>0</x:v>
      </x:c>
      <x:c r="N931" s="9" t="n">
        <x:v>0</x:v>
      </x:c>
      <x:c r="O931" s="9" t="n">
        <x:v>0</x:v>
      </x:c>
      <x:c r="P931" s="9" t="str">
        <x:v>HELD / UNRELEASED</x:v>
      </x:c>
      <x:c r="Q931" s="9" t="n">
        <x:f>COUNTIFS($A$7:$A$2310,A931)</x:f>
        <x:v>1</x:v>
      </x:c>
    </x:row>
    <x:row r="932">
      <x:c r="A932" s="9" t="str">
        <x:v>PD-AR-HU-A-B-TECH-2-B2-BRK-G0-PD14</x:v>
      </x:c>
      <x:c r="B932" s="9" t="str">
        <x:v>PD-AR-HU-A-B-TECH-2-B2-BRK-G0</x:v>
      </x:c>
      <x:c r="C932" s="9" t="str">
        <x:v>EV-AR-HU-A-B-TECH-2-B2-BRK-G0</x:v>
      </x:c>
      <x:c r="D932" s="9" t="str">
        <x:v>AR-HU-A-B-TECH-2-B2-BRK-G0</x:v>
      </x:c>
      <x:c r="E932" s="9" t="str">
        <x:v>HU-A-B-TECH-2</x:v>
      </x:c>
      <x:c r="F932" s="9" t="str">
        <x:v>HU-A-B</x:v>
      </x:c>
      <x:c r="G932" s="9" t="str">
        <x:v>B2</x:v>
      </x:c>
      <x:c r="H932" s="9" t="str">
        <x:v>BRK</x:v>
      </x:c>
      <x:c r="I932" s="9" t="str">
        <x:v>PD14</x:v>
      </x:c>
      <x:c r="J932" s="17" t="str">
        <x:v>Break and residual account</x:v>
      </x:c>
      <x:c r="K932" s="17" t="str">
        <x:v>Residual authority</x:v>
      </x:c>
      <x:c r="L932" s="17" t="str">
        <x:v>COURT-SEALED UNTIL COHORT RELEASE</x:v>
      </x:c>
      <x:c r="M932" s="9" t="n">
        <x:v>0</x:v>
      </x:c>
      <x:c r="N932" s="9" t="n">
        <x:v>0</x:v>
      </x:c>
      <x:c r="O932" s="9" t="n">
        <x:v>0</x:v>
      </x:c>
      <x:c r="P932" s="9" t="str">
        <x:v>HELD / UNRELEASED</x:v>
      </x:c>
      <x:c r="Q932" s="9" t="n">
        <x:f>COUNTIFS($A$7:$A$2310,A932)</x:f>
        <x:v>1</x:v>
      </x:c>
    </x:row>
    <x:row r="933">
      <x:c r="A933" s="9" t="str">
        <x:v>PD-AR-HU-A-B-TECH-2-B2-BRK-G0-PD15</x:v>
      </x:c>
      <x:c r="B933" s="9" t="str">
        <x:v>PD-AR-HU-A-B-TECH-2-B2-BRK-G0</x:v>
      </x:c>
      <x:c r="C933" s="9" t="str">
        <x:v>EV-AR-HU-A-B-TECH-2-B2-BRK-G0</x:v>
      </x:c>
      <x:c r="D933" s="9" t="str">
        <x:v>AR-HU-A-B-TECH-2-B2-BRK-G0</x:v>
      </x:c>
      <x:c r="E933" s="9" t="str">
        <x:v>HU-A-B-TECH-2</x:v>
      </x:c>
      <x:c r="F933" s="9" t="str">
        <x:v>HU-A-B</x:v>
      </x:c>
      <x:c r="G933" s="9" t="str">
        <x:v>B2</x:v>
      </x:c>
      <x:c r="H933" s="9" t="str">
        <x:v>BRK</x:v>
      </x:c>
      <x:c r="I933" s="9" t="str">
        <x:v>PD15</x:v>
      </x:c>
      <x:c r="J933" s="17" t="str">
        <x:v>Reconstruction ancestry and replay</x:v>
      </x:c>
      <x:c r="K933" s="17" t="str">
        <x:v>Reconstruction court</x:v>
      </x:c>
      <x:c r="L933" s="17" t="str">
        <x:v>COURT-SEALED UNTIL COHORT RELEASE</x:v>
      </x:c>
      <x:c r="M933" s="9" t="n">
        <x:v>0</x:v>
      </x:c>
      <x:c r="N933" s="9" t="n">
        <x:v>0</x:v>
      </x:c>
      <x:c r="O933" s="9" t="n">
        <x:v>0</x:v>
      </x:c>
      <x:c r="P933" s="9" t="str">
        <x:v>HELD / UNRELEASED</x:v>
      </x:c>
      <x:c r="Q933" s="9" t="n">
        <x:f>COUNTIFS($A$7:$A$2310,A933)</x:f>
        <x:v>1</x:v>
      </x:c>
    </x:row>
    <x:row r="934">
      <x:c r="A934" s="9" t="str">
        <x:v>PD-AR-HU-A-B-TECH-2-B2-BRK-G0-PD16</x:v>
      </x:c>
      <x:c r="B934" s="9" t="str">
        <x:v>PD-AR-HU-A-B-TECH-2-B2-BRK-G0</x:v>
      </x:c>
      <x:c r="C934" s="9" t="str">
        <x:v>EV-AR-HU-A-B-TECH-2-B2-BRK-G0</x:v>
      </x:c>
      <x:c r="D934" s="9" t="str">
        <x:v>AR-HU-A-B-TECH-2-B2-BRK-G0</x:v>
      </x:c>
      <x:c r="E934" s="9" t="str">
        <x:v>HU-A-B-TECH-2</x:v>
      </x:c>
      <x:c r="F934" s="9" t="str">
        <x:v>HU-A-B</x:v>
      </x:c>
      <x:c r="G934" s="9" t="str">
        <x:v>B2</x:v>
      </x:c>
      <x:c r="H934" s="9" t="str">
        <x:v>BRK</x:v>
      </x:c>
      <x:c r="I934" s="9" t="str">
        <x:v>PD16</x:v>
      </x:c>
      <x:c r="J934" s="17" t="str">
        <x:v>Dissent, amendments and access log</x:v>
      </x:c>
      <x:c r="K934" s="17" t="str">
        <x:v>Public archive</x:v>
      </x:c>
      <x:c r="L934" s="17" t="str">
        <x:v>COURT-SEALED UNTIL COHORT RELEASE</x:v>
      </x:c>
      <x:c r="M934" s="9" t="n">
        <x:v>0</x:v>
      </x:c>
      <x:c r="N934" s="9" t="n">
        <x:v>0</x:v>
      </x:c>
      <x:c r="O934" s="9" t="n">
        <x:v>0</x:v>
      </x:c>
      <x:c r="P934" s="9" t="str">
        <x:v>HELD / UNRELEASED</x:v>
      </x:c>
      <x:c r="Q934" s="9" t="n">
        <x:f>COUNTIFS($A$7:$A$2310,A934)</x:f>
        <x:v>1</x:v>
      </x:c>
    </x:row>
    <x:row r="935">
      <x:c r="A935" s="9" t="str">
        <x:v>PD-AR-LF-B-A-TECH-2-B1-RCN-G0-PD01</x:v>
      </x:c>
      <x:c r="B935" s="9" t="str">
        <x:v>PD-AR-LF-B-A-TECH-2-B1-RCN-G0</x:v>
      </x:c>
      <x:c r="C935" s="9" t="str">
        <x:v>EV-AR-LF-B-A-TECH-2-B1-RCN-G0</x:v>
      </x:c>
      <x:c r="D935" s="9" t="str">
        <x:v>AR-LF-B-A-TECH-2-B1-RCN-G0</x:v>
      </x:c>
      <x:c r="E935" s="9" t="str">
        <x:v>LF-B-A-TECH-2</x:v>
      </x:c>
      <x:c r="F935" s="9" t="str">
        <x:v>LF-B-A</x:v>
      </x:c>
      <x:c r="G935" s="9" t="str">
        <x:v>B1</x:v>
      </x:c>
      <x:c r="H935" s="9" t="str">
        <x:v>RCN</x:v>
      </x:c>
      <x:c r="I935" s="9" t="str">
        <x:v>PD01</x:v>
      </x:c>
      <x:c r="J935" s="17" t="str">
        <x:v>Experiment kernel</x:v>
      </x:c>
      <x:c r="K935" s="17" t="str">
        <x:v>Public archive</x:v>
      </x:c>
      <x:c r="L935" s="17" t="str">
        <x:v>COURT-SEALED UNTIL COHORT RELEASE</x:v>
      </x:c>
      <x:c r="M935" s="9" t="n">
        <x:v>0</x:v>
      </x:c>
      <x:c r="N935" s="9" t="n">
        <x:v>0</x:v>
      </x:c>
      <x:c r="O935" s="9" t="n">
        <x:v>0</x:v>
      </x:c>
      <x:c r="P935" s="9" t="str">
        <x:v>HELD / UNRELEASED</x:v>
      </x:c>
      <x:c r="Q935" s="9" t="n">
        <x:f>COUNTIFS($A$7:$A$2310,A935)</x:f>
        <x:v>1</x:v>
      </x:c>
    </x:row>
    <x:row r="936">
      <x:c r="A936" s="9" t="str">
        <x:v>PD-AR-LF-B-A-TECH-2-B1-RCN-G0-PD02</x:v>
      </x:c>
      <x:c r="B936" s="9" t="str">
        <x:v>PD-AR-LF-B-A-TECH-2-B1-RCN-G0</x:v>
      </x:c>
      <x:c r="C936" s="9" t="str">
        <x:v>EV-AR-LF-B-A-TECH-2-B1-RCN-G0</x:v>
      </x:c>
      <x:c r="D936" s="9" t="str">
        <x:v>AR-LF-B-A-TECH-2-B1-RCN-G0</x:v>
      </x:c>
      <x:c r="E936" s="9" t="str">
        <x:v>LF-B-A-TECH-2</x:v>
      </x:c>
      <x:c r="F936" s="9" t="str">
        <x:v>LF-B-A</x:v>
      </x:c>
      <x:c r="G936" s="9" t="str">
        <x:v>B1</x:v>
      </x:c>
      <x:c r="H936" s="9" t="str">
        <x:v>RCN</x:v>
      </x:c>
      <x:c r="I936" s="9" t="str">
        <x:v>PD02</x:v>
      </x:c>
      <x:c r="J936" s="17" t="str">
        <x:v>Serial annex and title chain</x:v>
      </x:c>
      <x:c r="K936" s="17" t="str">
        <x:v>Public archive</x:v>
      </x:c>
      <x:c r="L936" s="17" t="str">
        <x:v>COURT-SEALED UNTIL COHORT RELEASE</x:v>
      </x:c>
      <x:c r="M936" s="9" t="n">
        <x:v>0</x:v>
      </x:c>
      <x:c r="N936" s="9" t="n">
        <x:v>0</x:v>
      </x:c>
      <x:c r="O936" s="9" t="n">
        <x:v>0</x:v>
      </x:c>
      <x:c r="P936" s="9" t="str">
        <x:v>HELD / UNRELEASED</x:v>
      </x:c>
      <x:c r="Q936" s="9" t="n">
        <x:f>COUNTIFS($A$7:$A$2310,A936)</x:f>
        <x:v>1</x:v>
      </x:c>
    </x:row>
    <x:row r="937">
      <x:c r="A937" s="9" t="str">
        <x:v>PD-AR-LF-B-A-TECH-2-B1-RCN-G0-PD03</x:v>
      </x:c>
      <x:c r="B937" s="9" t="str">
        <x:v>PD-AR-LF-B-A-TECH-2-B1-RCN-G0</x:v>
      </x:c>
      <x:c r="C937" s="9" t="str">
        <x:v>EV-AR-LF-B-A-TECH-2-B1-RCN-G0</x:v>
      </x:c>
      <x:c r="D937" s="9" t="str">
        <x:v>AR-LF-B-A-TECH-2-B1-RCN-G0</x:v>
      </x:c>
      <x:c r="E937" s="9" t="str">
        <x:v>LF-B-A-TECH-2</x:v>
      </x:c>
      <x:c r="F937" s="9" t="str">
        <x:v>LF-B-A</x:v>
      </x:c>
      <x:c r="G937" s="9" t="str">
        <x:v>B1</x:v>
      </x:c>
      <x:c r="H937" s="9" t="str">
        <x:v>RCN</x:v>
      </x:c>
      <x:c r="I937" s="9" t="str">
        <x:v>PD03</x:v>
      </x:c>
      <x:c r="J937" s="17" t="str">
        <x:v>Configuration and as-built manifest</x:v>
      </x:c>
      <x:c r="K937" s="17" t="str">
        <x:v>Artifact exchange</x:v>
      </x:c>
      <x:c r="L937" s="17" t="str">
        <x:v>COURT-SEALED UNTIL COHORT RELEASE</x:v>
      </x:c>
      <x:c r="M937" s="9" t="n">
        <x:v>0</x:v>
      </x:c>
      <x:c r="N937" s="9" t="n">
        <x:v>0</x:v>
      </x:c>
      <x:c r="O937" s="9" t="n">
        <x:v>0</x:v>
      </x:c>
      <x:c r="P937" s="9" t="str">
        <x:v>HELD / UNRELEASED</x:v>
      </x:c>
      <x:c r="Q937" s="9" t="n">
        <x:f>COUNTIFS($A$7:$A$2310,A937)</x:f>
        <x:v>1</x:v>
      </x:c>
    </x:row>
    <x:row r="938">
      <x:c r="A938" s="9" t="str">
        <x:v>PD-AR-LF-B-A-TECH-2-B1-RCN-G0-PD04</x:v>
      </x:c>
      <x:c r="B938" s="9" t="str">
        <x:v>PD-AR-LF-B-A-TECH-2-B1-RCN-G0</x:v>
      </x:c>
      <x:c r="C938" s="9" t="str">
        <x:v>EV-AR-LF-B-A-TECH-2-B1-RCN-G0</x:v>
      </x:c>
      <x:c r="D938" s="9" t="str">
        <x:v>AR-LF-B-A-TECH-2-B1-RCN-G0</x:v>
      </x:c>
      <x:c r="E938" s="9" t="str">
        <x:v>LF-B-A-TECH-2</x:v>
      </x:c>
      <x:c r="F938" s="9" t="str">
        <x:v>LF-B-A</x:v>
      </x:c>
      <x:c r="G938" s="9" t="str">
        <x:v>B1</x:v>
      </x:c>
      <x:c r="H938" s="9" t="str">
        <x:v>RCN</x:v>
      </x:c>
      <x:c r="I938" s="9" t="str">
        <x:v>PD04</x:v>
      </x:c>
      <x:c r="J938" s="17" t="str">
        <x:v>EOW and start certificate</x:v>
      </x:c>
      <x:c r="K938" s="17" t="str">
        <x:v>Start registrar</x:v>
      </x:c>
      <x:c r="L938" s="17" t="str">
        <x:v>COURT-SEALED UNTIL COHORT RELEASE</x:v>
      </x:c>
      <x:c r="M938" s="9" t="n">
        <x:v>0</x:v>
      </x:c>
      <x:c r="N938" s="9" t="n">
        <x:v>0</x:v>
      </x:c>
      <x:c r="O938" s="9" t="n">
        <x:v>0</x:v>
      </x:c>
      <x:c r="P938" s="9" t="str">
        <x:v>HELD / UNRELEASED</x:v>
      </x:c>
      <x:c r="Q938" s="9" t="n">
        <x:f>COUNTIFS($A$7:$A$2310,A938)</x:f>
        <x:v>1</x:v>
      </x:c>
    </x:row>
    <x:row r="939">
      <x:c r="A939" s="9" t="str">
        <x:v>PD-AR-LF-B-A-TECH-2-B1-RCN-G0-PD05</x:v>
      </x:c>
      <x:c r="B939" s="9" t="str">
        <x:v>PD-AR-LF-B-A-TECH-2-B1-RCN-G0</x:v>
      </x:c>
      <x:c r="C939" s="9" t="str">
        <x:v>EV-AR-LF-B-A-TECH-2-B1-RCN-G0</x:v>
      </x:c>
      <x:c r="D939" s="9" t="str">
        <x:v>AR-LF-B-A-TECH-2-B1-RCN-G0</x:v>
      </x:c>
      <x:c r="E939" s="9" t="str">
        <x:v>LF-B-A-TECH-2</x:v>
      </x:c>
      <x:c r="F939" s="9" t="str">
        <x:v>LF-B-A</x:v>
      </x:c>
      <x:c r="G939" s="9" t="str">
        <x:v>B1</x:v>
      </x:c>
      <x:c r="H939" s="9" t="str">
        <x:v>RCN</x:v>
      </x:c>
      <x:c r="I939" s="9" t="str">
        <x:v>PD05</x:v>
      </x:c>
      <x:c r="J939" s="17" t="str">
        <x:v>Primary raw originals</x:v>
      </x:c>
      <x:c r="K939" s="17" t="str">
        <x:v>Primary custody</x:v>
      </x:c>
      <x:c r="L939" s="17" t="str">
        <x:v>COURT-SEALED UNTIL COHORT RELEASE</x:v>
      </x:c>
      <x:c r="M939" s="9" t="n">
        <x:v>0</x:v>
      </x:c>
      <x:c r="N939" s="9" t="n">
        <x:v>0</x:v>
      </x:c>
      <x:c r="O939" s="9" t="n">
        <x:v>0</x:v>
      </x:c>
      <x:c r="P939" s="9" t="str">
        <x:v>HELD / UNRELEASED</x:v>
      </x:c>
      <x:c r="Q939" s="9" t="n">
        <x:f>COUNTIFS($A$7:$A$2310,A939)</x:f>
        <x:v>1</x:v>
      </x:c>
    </x:row>
    <x:row r="940">
      <x:c r="A940" s="9" t="str">
        <x:v>PD-AR-LF-B-A-TECH-2-B1-RCN-G0-PD06</x:v>
      </x:c>
      <x:c r="B940" s="9" t="str">
        <x:v>PD-AR-LF-B-A-TECH-2-B1-RCN-G0</x:v>
      </x:c>
      <x:c r="C940" s="9" t="str">
        <x:v>EV-AR-LF-B-A-TECH-2-B1-RCN-G0</x:v>
      </x:c>
      <x:c r="D940" s="9" t="str">
        <x:v>AR-LF-B-A-TECH-2-B1-RCN-G0</x:v>
      </x:c>
      <x:c r="E940" s="9" t="str">
        <x:v>LF-B-A-TECH-2</x:v>
      </x:c>
      <x:c r="F940" s="9" t="str">
        <x:v>LF-B-A</x:v>
      </x:c>
      <x:c r="G940" s="9" t="str">
        <x:v>B1</x:v>
      </x:c>
      <x:c r="H940" s="9" t="str">
        <x:v>RCN</x:v>
      </x:c>
      <x:c r="I940" s="9" t="str">
        <x:v>PD06</x:v>
      </x:c>
      <x:c r="J940" s="17" t="str">
        <x:v>Witness raw originals</x:v>
      </x:c>
      <x:c r="K940" s="17" t="str">
        <x:v>Witness custody</x:v>
      </x:c>
      <x:c r="L940" s="17" t="str">
        <x:v>COURT-SEALED UNTIL COHORT RELEASE</x:v>
      </x:c>
      <x:c r="M940" s="9" t="n">
        <x:v>0</x:v>
      </x:c>
      <x:c r="N940" s="9" t="n">
        <x:v>0</x:v>
      </x:c>
      <x:c r="O940" s="9" t="n">
        <x:v>0</x:v>
      </x:c>
      <x:c r="P940" s="9" t="str">
        <x:v>HELD / UNRELEASED</x:v>
      </x:c>
      <x:c r="Q940" s="9" t="n">
        <x:f>COUNTIFS($A$7:$A$2310,A940)</x:f>
        <x:v>1</x:v>
      </x:c>
    </x:row>
    <x:row r="941">
      <x:c r="A941" s="9" t="str">
        <x:v>PD-AR-LF-B-A-TECH-2-B1-RCN-G0-PD07</x:v>
      </x:c>
      <x:c r="B941" s="9" t="str">
        <x:v>PD-AR-LF-B-A-TECH-2-B1-RCN-G0</x:v>
      </x:c>
      <x:c r="C941" s="9" t="str">
        <x:v>EV-AR-LF-B-A-TECH-2-B1-RCN-G0</x:v>
      </x:c>
      <x:c r="D941" s="9" t="str">
        <x:v>AR-LF-B-A-TECH-2-B1-RCN-G0</x:v>
      </x:c>
      <x:c r="E941" s="9" t="str">
        <x:v>LF-B-A-TECH-2</x:v>
      </x:c>
      <x:c r="F941" s="9" t="str">
        <x:v>LF-B-A</x:v>
      </x:c>
      <x:c r="G941" s="9" t="str">
        <x:v>B1</x:v>
      </x:c>
      <x:c r="H941" s="9" t="str">
        <x:v>RCN</x:v>
      </x:c>
      <x:c r="I941" s="9" t="str">
        <x:v>PD07</x:v>
      </x:c>
      <x:c r="J941" s="17" t="str">
        <x:v>Clock and environmental records</x:v>
      </x:c>
      <x:c r="K941" s="17" t="str">
        <x:v>Boundary archive</x:v>
      </x:c>
      <x:c r="L941" s="17" t="str">
        <x:v>COURT-SEALED UNTIL COHORT RELEASE</x:v>
      </x:c>
      <x:c r="M941" s="9" t="n">
        <x:v>0</x:v>
      </x:c>
      <x:c r="N941" s="9" t="n">
        <x:v>0</x:v>
      </x:c>
      <x:c r="O941" s="9" t="n">
        <x:v>0</x:v>
      </x:c>
      <x:c r="P941" s="9" t="str">
        <x:v>HELD / UNRELEASED</x:v>
      </x:c>
      <x:c r="Q941" s="9" t="n">
        <x:f>COUNTIFS($A$7:$A$2310,A941)</x:f>
        <x:v>1</x:v>
      </x:c>
    </x:row>
    <x:row r="942">
      <x:c r="A942" s="9" t="str">
        <x:v>PD-AR-LF-B-A-TECH-2-B1-RCN-G0-PD08</x:v>
      </x:c>
      <x:c r="B942" s="9" t="str">
        <x:v>PD-AR-LF-B-A-TECH-2-B1-RCN-G0</x:v>
      </x:c>
      <x:c r="C942" s="9" t="str">
        <x:v>EV-AR-LF-B-A-TECH-2-B1-RCN-G0</x:v>
      </x:c>
      <x:c r="D942" s="9" t="str">
        <x:v>AR-LF-B-A-TECH-2-B1-RCN-G0</x:v>
      </x:c>
      <x:c r="E942" s="9" t="str">
        <x:v>LF-B-A-TECH-2</x:v>
      </x:c>
      <x:c r="F942" s="9" t="str">
        <x:v>LF-B-A</x:v>
      </x:c>
      <x:c r="G942" s="9" t="str">
        <x:v>B1</x:v>
      </x:c>
      <x:c r="H942" s="9" t="str">
        <x:v>RCN</x:v>
      </x:c>
      <x:c r="I942" s="9" t="str">
        <x:v>PD08</x:v>
      </x:c>
      <x:c r="J942" s="17" t="str">
        <x:v>Command and intervention log</x:v>
      </x:c>
      <x:c r="K942" s="17" t="str">
        <x:v>Safety archive</x:v>
      </x:c>
      <x:c r="L942" s="17" t="str">
        <x:v>COURT-SEALED UNTIL COHORT RELEASE</x:v>
      </x:c>
      <x:c r="M942" s="9" t="n">
        <x:v>0</x:v>
      </x:c>
      <x:c r="N942" s="9" t="n">
        <x:v>0</x:v>
      </x:c>
      <x:c r="O942" s="9" t="n">
        <x:v>0</x:v>
      </x:c>
      <x:c r="P942" s="9" t="str">
        <x:v>HELD / UNRELEASED</x:v>
      </x:c>
      <x:c r="Q942" s="9" t="n">
        <x:f>COUNTIFS($A$7:$A$2310,A942)</x:f>
        <x:v>1</x:v>
      </x:c>
    </x:row>
    <x:row r="943">
      <x:c r="A943" s="9" t="str">
        <x:v>PD-AR-LF-B-A-TECH-2-B1-RCN-G0-PD09</x:v>
      </x:c>
      <x:c r="B943" s="9" t="str">
        <x:v>PD-AR-LF-B-A-TECH-2-B1-RCN-G0</x:v>
      </x:c>
      <x:c r="C943" s="9" t="str">
        <x:v>EV-AR-LF-B-A-TECH-2-B1-RCN-G0</x:v>
      </x:c>
      <x:c r="D943" s="9" t="str">
        <x:v>AR-LF-B-A-TECH-2-B1-RCN-G0</x:v>
      </x:c>
      <x:c r="E943" s="9" t="str">
        <x:v>LF-B-A-TECH-2</x:v>
      </x:c>
      <x:c r="F943" s="9" t="str">
        <x:v>LF-B-A</x:v>
      </x:c>
      <x:c r="G943" s="9" t="str">
        <x:v>B1</x:v>
      </x:c>
      <x:c r="H943" s="9" t="str">
        <x:v>RCN</x:v>
      </x:c>
      <x:c r="I943" s="9" t="str">
        <x:v>PD09</x:v>
      </x:c>
      <x:c r="J943" s="17" t="str">
        <x:v>Receiver denominator and service ledger</x:v>
      </x:c>
      <x:c r="K943" s="17" t="str">
        <x:v>Receiver archive</x:v>
      </x:c>
      <x:c r="L943" s="17" t="str">
        <x:v>COURT-SEALED UNTIL COHORT RELEASE</x:v>
      </x:c>
      <x:c r="M943" s="9" t="n">
        <x:v>0</x:v>
      </x:c>
      <x:c r="N943" s="9" t="n">
        <x:v>0</x:v>
      </x:c>
      <x:c r="O943" s="9" t="n">
        <x:v>0</x:v>
      </x:c>
      <x:c r="P943" s="9" t="str">
        <x:v>HELD / UNRELEASED</x:v>
      </x:c>
      <x:c r="Q943" s="9" t="n">
        <x:f>COUNTIFS($A$7:$A$2310,A943)</x:f>
        <x:v>1</x:v>
      </x:c>
    </x:row>
    <x:row r="944">
      <x:c r="A944" s="9" t="str">
        <x:v>PD-AR-LF-B-A-TECH-2-B1-RCN-G0-PD10</x:v>
      </x:c>
      <x:c r="B944" s="9" t="str">
        <x:v>PD-AR-LF-B-A-TECH-2-B1-RCN-G0</x:v>
      </x:c>
      <x:c r="C944" s="9" t="str">
        <x:v>EV-AR-LF-B-A-TECH-2-B1-RCN-G0</x:v>
      </x:c>
      <x:c r="D944" s="9" t="str">
        <x:v>AR-LF-B-A-TECH-2-B1-RCN-G0</x:v>
      </x:c>
      <x:c r="E944" s="9" t="str">
        <x:v>LF-B-A-TECH-2</x:v>
      </x:c>
      <x:c r="F944" s="9" t="str">
        <x:v>LF-B-A</x:v>
      </x:c>
      <x:c r="G944" s="9" t="str">
        <x:v>B1</x:v>
      </x:c>
      <x:c r="H944" s="9" t="str">
        <x:v>RCN</x:v>
      </x:c>
      <x:c r="I944" s="9" t="str">
        <x:v>PD10</x:v>
      </x:c>
      <x:c r="J944" s="17" t="str">
        <x:v>Calibration and uncertainty record</x:v>
      </x:c>
      <x:c r="K944" s="17" t="str">
        <x:v>Metrology archive</x:v>
      </x:c>
      <x:c r="L944" s="17" t="str">
        <x:v>COURT-SEALED UNTIL COHORT RELEASE</x:v>
      </x:c>
      <x:c r="M944" s="9" t="n">
        <x:v>0</x:v>
      </x:c>
      <x:c r="N944" s="9" t="n">
        <x:v>0</x:v>
      </x:c>
      <x:c r="O944" s="9" t="n">
        <x:v>0</x:v>
      </x:c>
      <x:c r="P944" s="9" t="str">
        <x:v>HELD / UNRELEASED</x:v>
      </x:c>
      <x:c r="Q944" s="9" t="n">
        <x:f>COUNTIFS($A$7:$A$2310,A944)</x:f>
        <x:v>1</x:v>
      </x:c>
    </x:row>
    <x:row r="945">
      <x:c r="A945" s="9" t="str">
        <x:v>PD-AR-LF-B-A-TECH-2-B1-RCN-G0-PD11</x:v>
      </x:c>
      <x:c r="B945" s="9" t="str">
        <x:v>PD-AR-LF-B-A-TECH-2-B1-RCN-G0</x:v>
      </x:c>
      <x:c r="C945" s="9" t="str">
        <x:v>EV-AR-LF-B-A-TECH-2-B1-RCN-G0</x:v>
      </x:c>
      <x:c r="D945" s="9" t="str">
        <x:v>AR-LF-B-A-TECH-2-B1-RCN-G0</x:v>
      </x:c>
      <x:c r="E945" s="9" t="str">
        <x:v>LF-B-A-TECH-2</x:v>
      </x:c>
      <x:c r="F945" s="9" t="str">
        <x:v>LF-B-A</x:v>
      </x:c>
      <x:c r="G945" s="9" t="str">
        <x:v>B1</x:v>
      </x:c>
      <x:c r="H945" s="9" t="str">
        <x:v>RCN</x:v>
      </x:c>
      <x:c r="I945" s="9" t="str">
        <x:v>PD11</x:v>
      </x:c>
      <x:c r="J945" s="17" t="str">
        <x:v>Invalidity petition and opinion</x:v>
      </x:c>
      <x:c r="K945" s="17" t="str">
        <x:v>Invalidity court</x:v>
      </x:c>
      <x:c r="L945" s="17" t="str">
        <x:v>COURT-SEALED UNTIL COHORT RELEASE</x:v>
      </x:c>
      <x:c r="M945" s="9" t="n">
        <x:v>0</x:v>
      </x:c>
      <x:c r="N945" s="9" t="n">
        <x:v>0</x:v>
      </x:c>
      <x:c r="O945" s="9" t="n">
        <x:v>0</x:v>
      </x:c>
      <x:c r="P945" s="9" t="str">
        <x:v>HELD / UNRELEASED</x:v>
      </x:c>
      <x:c r="Q945" s="9" t="n">
        <x:f>COUNTIFS($A$7:$A$2310,A945)</x:f>
        <x:v>1</x:v>
      </x:c>
    </x:row>
    <x:row r="946">
      <x:c r="A946" s="9" t="str">
        <x:v>PD-AR-LF-B-A-TECH-2-B1-RCN-G0-PD12</x:v>
      </x:c>
      <x:c r="B946" s="9" t="str">
        <x:v>PD-AR-LF-B-A-TECH-2-B1-RCN-G0</x:v>
      </x:c>
      <x:c r="C946" s="9" t="str">
        <x:v>EV-AR-LF-B-A-TECH-2-B1-RCN-G0</x:v>
      </x:c>
      <x:c r="D946" s="9" t="str">
        <x:v>AR-LF-B-A-TECH-2-B1-RCN-G0</x:v>
      </x:c>
      <x:c r="E946" s="9" t="str">
        <x:v>LF-B-A-TECH-2</x:v>
      </x:c>
      <x:c r="F946" s="9" t="str">
        <x:v>LF-B-A</x:v>
      </x:c>
      <x:c r="G946" s="9" t="str">
        <x:v>B1</x:v>
      </x:c>
      <x:c r="H946" s="9" t="str">
        <x:v>RCN</x:v>
      </x:c>
      <x:c r="I946" s="9" t="str">
        <x:v>PD12</x:v>
      </x:c>
      <x:c r="J946" s="17" t="str">
        <x:v>Observation acceptance and replay</x:v>
      </x:c>
      <x:c r="K946" s="17" t="str">
        <x:v>Observation court</x:v>
      </x:c>
      <x:c r="L946" s="17" t="str">
        <x:v>COURT-SEALED UNTIL COHORT RELEASE</x:v>
      </x:c>
      <x:c r="M946" s="9" t="n">
        <x:v>0</x:v>
      </x:c>
      <x:c r="N946" s="9" t="n">
        <x:v>0</x:v>
      </x:c>
      <x:c r="O946" s="9" t="n">
        <x:v>0</x:v>
      </x:c>
      <x:c r="P946" s="9" t="str">
        <x:v>HELD / UNRELEASED</x:v>
      </x:c>
      <x:c r="Q946" s="9" t="n">
        <x:f>COUNTIFS($A$7:$A$2310,A946)</x:f>
        <x:v>1</x:v>
      </x:c>
    </x:row>
    <x:row r="947">
      <x:c r="A947" s="9" t="str">
        <x:v>PD-AR-LF-B-A-TECH-2-B1-RCN-G0-PD13</x:v>
      </x:c>
      <x:c r="B947" s="9" t="str">
        <x:v>PD-AR-LF-B-A-TECH-2-B1-RCN-G0</x:v>
      </x:c>
      <x:c r="C947" s="9" t="str">
        <x:v>EV-AR-LF-B-A-TECH-2-B1-RCN-G0</x:v>
      </x:c>
      <x:c r="D947" s="9" t="str">
        <x:v>AR-LF-B-A-TECH-2-B1-RCN-G0</x:v>
      </x:c>
      <x:c r="E947" s="9" t="str">
        <x:v>LF-B-A-TECH-2</x:v>
      </x:c>
      <x:c r="F947" s="9" t="str">
        <x:v>LF-B-A</x:v>
      </x:c>
      <x:c r="G947" s="9" t="str">
        <x:v>B1</x:v>
      </x:c>
      <x:c r="H947" s="9" t="str">
        <x:v>RCN</x:v>
      </x:c>
      <x:c r="I947" s="9" t="str">
        <x:v>PD13</x:v>
      </x:c>
      <x:c r="J947" s="17" t="str">
        <x:v>Role judgment</x:v>
      </x:c>
      <x:c r="K947" s="17" t="str">
        <x:v>Role court</x:v>
      </x:c>
      <x:c r="L947" s="17" t="str">
        <x:v>COURT-SEALED UNTIL COHORT RELEASE</x:v>
      </x:c>
      <x:c r="M947" s="9" t="n">
        <x:v>0</x:v>
      </x:c>
      <x:c r="N947" s="9" t="n">
        <x:v>0</x:v>
      </x:c>
      <x:c r="O947" s="9" t="n">
        <x:v>0</x:v>
      </x:c>
      <x:c r="P947" s="9" t="str">
        <x:v>HELD / UNRELEASED</x:v>
      </x:c>
      <x:c r="Q947" s="9" t="n">
        <x:f>COUNTIFS($A$7:$A$2310,A947)</x:f>
        <x:v>1</x:v>
      </x:c>
    </x:row>
    <x:row r="948">
      <x:c r="A948" s="9" t="str">
        <x:v>PD-AR-LF-B-A-TECH-2-B1-RCN-G0-PD14</x:v>
      </x:c>
      <x:c r="B948" s="9" t="str">
        <x:v>PD-AR-LF-B-A-TECH-2-B1-RCN-G0</x:v>
      </x:c>
      <x:c r="C948" s="9" t="str">
        <x:v>EV-AR-LF-B-A-TECH-2-B1-RCN-G0</x:v>
      </x:c>
      <x:c r="D948" s="9" t="str">
        <x:v>AR-LF-B-A-TECH-2-B1-RCN-G0</x:v>
      </x:c>
      <x:c r="E948" s="9" t="str">
        <x:v>LF-B-A-TECH-2</x:v>
      </x:c>
      <x:c r="F948" s="9" t="str">
        <x:v>LF-B-A</x:v>
      </x:c>
      <x:c r="G948" s="9" t="str">
        <x:v>B1</x:v>
      </x:c>
      <x:c r="H948" s="9" t="str">
        <x:v>RCN</x:v>
      </x:c>
      <x:c r="I948" s="9" t="str">
        <x:v>PD14</x:v>
      </x:c>
      <x:c r="J948" s="17" t="str">
        <x:v>Break and residual account</x:v>
      </x:c>
      <x:c r="K948" s="17" t="str">
        <x:v>Residual authority</x:v>
      </x:c>
      <x:c r="L948" s="17" t="str">
        <x:v>COURT-SEALED UNTIL COHORT RELEASE</x:v>
      </x:c>
      <x:c r="M948" s="9" t="n">
        <x:v>0</x:v>
      </x:c>
      <x:c r="N948" s="9" t="n">
        <x:v>0</x:v>
      </x:c>
      <x:c r="O948" s="9" t="n">
        <x:v>0</x:v>
      </x:c>
      <x:c r="P948" s="9" t="str">
        <x:v>HELD / UNRELEASED</x:v>
      </x:c>
      <x:c r="Q948" s="9" t="n">
        <x:f>COUNTIFS($A$7:$A$2310,A948)</x:f>
        <x:v>1</x:v>
      </x:c>
    </x:row>
    <x:row r="949">
      <x:c r="A949" s="9" t="str">
        <x:v>PD-AR-LF-B-A-TECH-2-B1-RCN-G0-PD15</x:v>
      </x:c>
      <x:c r="B949" s="9" t="str">
        <x:v>PD-AR-LF-B-A-TECH-2-B1-RCN-G0</x:v>
      </x:c>
      <x:c r="C949" s="9" t="str">
        <x:v>EV-AR-LF-B-A-TECH-2-B1-RCN-G0</x:v>
      </x:c>
      <x:c r="D949" s="9" t="str">
        <x:v>AR-LF-B-A-TECH-2-B1-RCN-G0</x:v>
      </x:c>
      <x:c r="E949" s="9" t="str">
        <x:v>LF-B-A-TECH-2</x:v>
      </x:c>
      <x:c r="F949" s="9" t="str">
        <x:v>LF-B-A</x:v>
      </x:c>
      <x:c r="G949" s="9" t="str">
        <x:v>B1</x:v>
      </x:c>
      <x:c r="H949" s="9" t="str">
        <x:v>RCN</x:v>
      </x:c>
      <x:c r="I949" s="9" t="str">
        <x:v>PD15</x:v>
      </x:c>
      <x:c r="J949" s="17" t="str">
        <x:v>Reconstruction ancestry and replay</x:v>
      </x:c>
      <x:c r="K949" s="17" t="str">
        <x:v>Reconstruction court</x:v>
      </x:c>
      <x:c r="L949" s="17" t="str">
        <x:v>COURT-SEALED UNTIL COHORT RELEASE</x:v>
      </x:c>
      <x:c r="M949" s="9" t="n">
        <x:v>0</x:v>
      </x:c>
      <x:c r="N949" s="9" t="n">
        <x:v>0</x:v>
      </x:c>
      <x:c r="O949" s="9" t="n">
        <x:v>0</x:v>
      </x:c>
      <x:c r="P949" s="9" t="str">
        <x:v>HELD / UNRELEASED</x:v>
      </x:c>
      <x:c r="Q949" s="9" t="n">
        <x:f>COUNTIFS($A$7:$A$2310,A949)</x:f>
        <x:v>1</x:v>
      </x:c>
    </x:row>
    <x:row r="950">
      <x:c r="A950" s="9" t="str">
        <x:v>PD-AR-LF-B-A-TECH-2-B1-RCN-G0-PD16</x:v>
      </x:c>
      <x:c r="B950" s="9" t="str">
        <x:v>PD-AR-LF-B-A-TECH-2-B1-RCN-G0</x:v>
      </x:c>
      <x:c r="C950" s="9" t="str">
        <x:v>EV-AR-LF-B-A-TECH-2-B1-RCN-G0</x:v>
      </x:c>
      <x:c r="D950" s="9" t="str">
        <x:v>AR-LF-B-A-TECH-2-B1-RCN-G0</x:v>
      </x:c>
      <x:c r="E950" s="9" t="str">
        <x:v>LF-B-A-TECH-2</x:v>
      </x:c>
      <x:c r="F950" s="9" t="str">
        <x:v>LF-B-A</x:v>
      </x:c>
      <x:c r="G950" s="9" t="str">
        <x:v>B1</x:v>
      </x:c>
      <x:c r="H950" s="9" t="str">
        <x:v>RCN</x:v>
      </x:c>
      <x:c r="I950" s="9" t="str">
        <x:v>PD16</x:v>
      </x:c>
      <x:c r="J950" s="17" t="str">
        <x:v>Dissent, amendments and access log</x:v>
      </x:c>
      <x:c r="K950" s="17" t="str">
        <x:v>Public archive</x:v>
      </x:c>
      <x:c r="L950" s="17" t="str">
        <x:v>COURT-SEALED UNTIL COHORT RELEASE</x:v>
      </x:c>
      <x:c r="M950" s="9" t="n">
        <x:v>0</x:v>
      </x:c>
      <x:c r="N950" s="9" t="n">
        <x:v>0</x:v>
      </x:c>
      <x:c r="O950" s="9" t="n">
        <x:v>0</x:v>
      </x:c>
      <x:c r="P950" s="9" t="str">
        <x:v>HELD / UNRELEASED</x:v>
      </x:c>
      <x:c r="Q950" s="9" t="n">
        <x:f>COUNTIFS($A$7:$A$2310,A950)</x:f>
        <x:v>1</x:v>
      </x:c>
    </x:row>
    <x:row r="951">
      <x:c r="A951" s="9" t="str">
        <x:v>PD-AR-RT-B-C-TECH-2-B1-BRK-G0-PD01</x:v>
      </x:c>
      <x:c r="B951" s="9" t="str">
        <x:v>PD-AR-RT-B-C-TECH-2-B1-BRK-G0</x:v>
      </x:c>
      <x:c r="C951" s="9" t="str">
        <x:v>EV-AR-RT-B-C-TECH-2-B1-BRK-G0</x:v>
      </x:c>
      <x:c r="D951" s="9" t="str">
        <x:v>AR-RT-B-C-TECH-2-B1-BRK-G0</x:v>
      </x:c>
      <x:c r="E951" s="9" t="str">
        <x:v>RT-B-C-TECH-2</x:v>
      </x:c>
      <x:c r="F951" s="9" t="str">
        <x:v>RT-B-C</x:v>
      </x:c>
      <x:c r="G951" s="9" t="str">
        <x:v>B1</x:v>
      </x:c>
      <x:c r="H951" s="9" t="str">
        <x:v>BRK</x:v>
      </x:c>
      <x:c r="I951" s="9" t="str">
        <x:v>PD01</x:v>
      </x:c>
      <x:c r="J951" s="17" t="str">
        <x:v>Experiment kernel</x:v>
      </x:c>
      <x:c r="K951" s="17" t="str">
        <x:v>Public archive</x:v>
      </x:c>
      <x:c r="L951" s="17" t="str">
        <x:v>COURT-SEALED UNTIL COHORT RELEASE</x:v>
      </x:c>
      <x:c r="M951" s="9" t="n">
        <x:v>0</x:v>
      </x:c>
      <x:c r="N951" s="9" t="n">
        <x:v>0</x:v>
      </x:c>
      <x:c r="O951" s="9" t="n">
        <x:v>0</x:v>
      </x:c>
      <x:c r="P951" s="9" t="str">
        <x:v>HELD / UNRELEASED</x:v>
      </x:c>
      <x:c r="Q951" s="9" t="n">
        <x:f>COUNTIFS($A$7:$A$2310,A951)</x:f>
        <x:v>1</x:v>
      </x:c>
    </x:row>
    <x:row r="952">
      <x:c r="A952" s="9" t="str">
        <x:v>PD-AR-RT-B-C-TECH-2-B1-BRK-G0-PD02</x:v>
      </x:c>
      <x:c r="B952" s="9" t="str">
        <x:v>PD-AR-RT-B-C-TECH-2-B1-BRK-G0</x:v>
      </x:c>
      <x:c r="C952" s="9" t="str">
        <x:v>EV-AR-RT-B-C-TECH-2-B1-BRK-G0</x:v>
      </x:c>
      <x:c r="D952" s="9" t="str">
        <x:v>AR-RT-B-C-TECH-2-B1-BRK-G0</x:v>
      </x:c>
      <x:c r="E952" s="9" t="str">
        <x:v>RT-B-C-TECH-2</x:v>
      </x:c>
      <x:c r="F952" s="9" t="str">
        <x:v>RT-B-C</x:v>
      </x:c>
      <x:c r="G952" s="9" t="str">
        <x:v>B1</x:v>
      </x:c>
      <x:c r="H952" s="9" t="str">
        <x:v>BRK</x:v>
      </x:c>
      <x:c r="I952" s="9" t="str">
        <x:v>PD02</x:v>
      </x:c>
      <x:c r="J952" s="17" t="str">
        <x:v>Serial annex and title chain</x:v>
      </x:c>
      <x:c r="K952" s="17" t="str">
        <x:v>Public archive</x:v>
      </x:c>
      <x:c r="L952" s="17" t="str">
        <x:v>COURT-SEALED UNTIL COHORT RELEASE</x:v>
      </x:c>
      <x:c r="M952" s="9" t="n">
        <x:v>0</x:v>
      </x:c>
      <x:c r="N952" s="9" t="n">
        <x:v>0</x:v>
      </x:c>
      <x:c r="O952" s="9" t="n">
        <x:v>0</x:v>
      </x:c>
      <x:c r="P952" s="9" t="str">
        <x:v>HELD / UNRELEASED</x:v>
      </x:c>
      <x:c r="Q952" s="9" t="n">
        <x:f>COUNTIFS($A$7:$A$2310,A952)</x:f>
        <x:v>1</x:v>
      </x:c>
    </x:row>
    <x:row r="953">
      <x:c r="A953" s="9" t="str">
        <x:v>PD-AR-RT-B-C-TECH-2-B1-BRK-G0-PD03</x:v>
      </x:c>
      <x:c r="B953" s="9" t="str">
        <x:v>PD-AR-RT-B-C-TECH-2-B1-BRK-G0</x:v>
      </x:c>
      <x:c r="C953" s="9" t="str">
        <x:v>EV-AR-RT-B-C-TECH-2-B1-BRK-G0</x:v>
      </x:c>
      <x:c r="D953" s="9" t="str">
        <x:v>AR-RT-B-C-TECH-2-B1-BRK-G0</x:v>
      </x:c>
      <x:c r="E953" s="9" t="str">
        <x:v>RT-B-C-TECH-2</x:v>
      </x:c>
      <x:c r="F953" s="9" t="str">
        <x:v>RT-B-C</x:v>
      </x:c>
      <x:c r="G953" s="9" t="str">
        <x:v>B1</x:v>
      </x:c>
      <x:c r="H953" s="9" t="str">
        <x:v>BRK</x:v>
      </x:c>
      <x:c r="I953" s="9" t="str">
        <x:v>PD03</x:v>
      </x:c>
      <x:c r="J953" s="17" t="str">
        <x:v>Configuration and as-built manifest</x:v>
      </x:c>
      <x:c r="K953" s="17" t="str">
        <x:v>Artifact exchange</x:v>
      </x:c>
      <x:c r="L953" s="17" t="str">
        <x:v>COURT-SEALED UNTIL COHORT RELEASE</x:v>
      </x:c>
      <x:c r="M953" s="9" t="n">
        <x:v>0</x:v>
      </x:c>
      <x:c r="N953" s="9" t="n">
        <x:v>0</x:v>
      </x:c>
      <x:c r="O953" s="9" t="n">
        <x:v>0</x:v>
      </x:c>
      <x:c r="P953" s="9" t="str">
        <x:v>HELD / UNRELEASED</x:v>
      </x:c>
      <x:c r="Q953" s="9" t="n">
        <x:f>COUNTIFS($A$7:$A$2310,A953)</x:f>
        <x:v>1</x:v>
      </x:c>
    </x:row>
    <x:row r="954">
      <x:c r="A954" s="9" t="str">
        <x:v>PD-AR-RT-B-C-TECH-2-B1-BRK-G0-PD04</x:v>
      </x:c>
      <x:c r="B954" s="9" t="str">
        <x:v>PD-AR-RT-B-C-TECH-2-B1-BRK-G0</x:v>
      </x:c>
      <x:c r="C954" s="9" t="str">
        <x:v>EV-AR-RT-B-C-TECH-2-B1-BRK-G0</x:v>
      </x:c>
      <x:c r="D954" s="9" t="str">
        <x:v>AR-RT-B-C-TECH-2-B1-BRK-G0</x:v>
      </x:c>
      <x:c r="E954" s="9" t="str">
        <x:v>RT-B-C-TECH-2</x:v>
      </x:c>
      <x:c r="F954" s="9" t="str">
        <x:v>RT-B-C</x:v>
      </x:c>
      <x:c r="G954" s="9" t="str">
        <x:v>B1</x:v>
      </x:c>
      <x:c r="H954" s="9" t="str">
        <x:v>BRK</x:v>
      </x:c>
      <x:c r="I954" s="9" t="str">
        <x:v>PD04</x:v>
      </x:c>
      <x:c r="J954" s="17" t="str">
        <x:v>EOW and start certificate</x:v>
      </x:c>
      <x:c r="K954" s="17" t="str">
        <x:v>Start registrar</x:v>
      </x:c>
      <x:c r="L954" s="17" t="str">
        <x:v>COURT-SEALED UNTIL COHORT RELEASE</x:v>
      </x:c>
      <x:c r="M954" s="9" t="n">
        <x:v>0</x:v>
      </x:c>
      <x:c r="N954" s="9" t="n">
        <x:v>0</x:v>
      </x:c>
      <x:c r="O954" s="9" t="n">
        <x:v>0</x:v>
      </x:c>
      <x:c r="P954" s="9" t="str">
        <x:v>HELD / UNRELEASED</x:v>
      </x:c>
      <x:c r="Q954" s="9" t="n">
        <x:f>COUNTIFS($A$7:$A$2310,A954)</x:f>
        <x:v>1</x:v>
      </x:c>
    </x:row>
    <x:row r="955">
      <x:c r="A955" s="9" t="str">
        <x:v>PD-AR-RT-B-C-TECH-2-B1-BRK-G0-PD05</x:v>
      </x:c>
      <x:c r="B955" s="9" t="str">
        <x:v>PD-AR-RT-B-C-TECH-2-B1-BRK-G0</x:v>
      </x:c>
      <x:c r="C955" s="9" t="str">
        <x:v>EV-AR-RT-B-C-TECH-2-B1-BRK-G0</x:v>
      </x:c>
      <x:c r="D955" s="9" t="str">
        <x:v>AR-RT-B-C-TECH-2-B1-BRK-G0</x:v>
      </x:c>
      <x:c r="E955" s="9" t="str">
        <x:v>RT-B-C-TECH-2</x:v>
      </x:c>
      <x:c r="F955" s="9" t="str">
        <x:v>RT-B-C</x:v>
      </x:c>
      <x:c r="G955" s="9" t="str">
        <x:v>B1</x:v>
      </x:c>
      <x:c r="H955" s="9" t="str">
        <x:v>BRK</x:v>
      </x:c>
      <x:c r="I955" s="9" t="str">
        <x:v>PD05</x:v>
      </x:c>
      <x:c r="J955" s="17" t="str">
        <x:v>Primary raw originals</x:v>
      </x:c>
      <x:c r="K955" s="17" t="str">
        <x:v>Primary custody</x:v>
      </x:c>
      <x:c r="L955" s="17" t="str">
        <x:v>COURT-SEALED UNTIL COHORT RELEASE</x:v>
      </x:c>
      <x:c r="M955" s="9" t="n">
        <x:v>0</x:v>
      </x:c>
      <x:c r="N955" s="9" t="n">
        <x:v>0</x:v>
      </x:c>
      <x:c r="O955" s="9" t="n">
        <x:v>0</x:v>
      </x:c>
      <x:c r="P955" s="9" t="str">
        <x:v>HELD / UNRELEASED</x:v>
      </x:c>
      <x:c r="Q955" s="9" t="n">
        <x:f>COUNTIFS($A$7:$A$2310,A955)</x:f>
        <x:v>1</x:v>
      </x:c>
    </x:row>
    <x:row r="956">
      <x:c r="A956" s="9" t="str">
        <x:v>PD-AR-RT-B-C-TECH-2-B1-BRK-G0-PD06</x:v>
      </x:c>
      <x:c r="B956" s="9" t="str">
        <x:v>PD-AR-RT-B-C-TECH-2-B1-BRK-G0</x:v>
      </x:c>
      <x:c r="C956" s="9" t="str">
        <x:v>EV-AR-RT-B-C-TECH-2-B1-BRK-G0</x:v>
      </x:c>
      <x:c r="D956" s="9" t="str">
        <x:v>AR-RT-B-C-TECH-2-B1-BRK-G0</x:v>
      </x:c>
      <x:c r="E956" s="9" t="str">
        <x:v>RT-B-C-TECH-2</x:v>
      </x:c>
      <x:c r="F956" s="9" t="str">
        <x:v>RT-B-C</x:v>
      </x:c>
      <x:c r="G956" s="9" t="str">
        <x:v>B1</x:v>
      </x:c>
      <x:c r="H956" s="9" t="str">
        <x:v>BRK</x:v>
      </x:c>
      <x:c r="I956" s="9" t="str">
        <x:v>PD06</x:v>
      </x:c>
      <x:c r="J956" s="17" t="str">
        <x:v>Witness raw originals</x:v>
      </x:c>
      <x:c r="K956" s="17" t="str">
        <x:v>Witness custody</x:v>
      </x:c>
      <x:c r="L956" s="17" t="str">
        <x:v>COURT-SEALED UNTIL COHORT RELEASE</x:v>
      </x:c>
      <x:c r="M956" s="9" t="n">
        <x:v>0</x:v>
      </x:c>
      <x:c r="N956" s="9" t="n">
        <x:v>0</x:v>
      </x:c>
      <x:c r="O956" s="9" t="n">
        <x:v>0</x:v>
      </x:c>
      <x:c r="P956" s="9" t="str">
        <x:v>HELD / UNRELEASED</x:v>
      </x:c>
      <x:c r="Q956" s="9" t="n">
        <x:f>COUNTIFS($A$7:$A$2310,A956)</x:f>
        <x:v>1</x:v>
      </x:c>
    </x:row>
    <x:row r="957">
      <x:c r="A957" s="9" t="str">
        <x:v>PD-AR-RT-B-C-TECH-2-B1-BRK-G0-PD07</x:v>
      </x:c>
      <x:c r="B957" s="9" t="str">
        <x:v>PD-AR-RT-B-C-TECH-2-B1-BRK-G0</x:v>
      </x:c>
      <x:c r="C957" s="9" t="str">
        <x:v>EV-AR-RT-B-C-TECH-2-B1-BRK-G0</x:v>
      </x:c>
      <x:c r="D957" s="9" t="str">
        <x:v>AR-RT-B-C-TECH-2-B1-BRK-G0</x:v>
      </x:c>
      <x:c r="E957" s="9" t="str">
        <x:v>RT-B-C-TECH-2</x:v>
      </x:c>
      <x:c r="F957" s="9" t="str">
        <x:v>RT-B-C</x:v>
      </x:c>
      <x:c r="G957" s="9" t="str">
        <x:v>B1</x:v>
      </x:c>
      <x:c r="H957" s="9" t="str">
        <x:v>BRK</x:v>
      </x:c>
      <x:c r="I957" s="9" t="str">
        <x:v>PD07</x:v>
      </x:c>
      <x:c r="J957" s="17" t="str">
        <x:v>Clock and environmental records</x:v>
      </x:c>
      <x:c r="K957" s="17" t="str">
        <x:v>Boundary archive</x:v>
      </x:c>
      <x:c r="L957" s="17" t="str">
        <x:v>COURT-SEALED UNTIL COHORT RELEASE</x:v>
      </x:c>
      <x:c r="M957" s="9" t="n">
        <x:v>0</x:v>
      </x:c>
      <x:c r="N957" s="9" t="n">
        <x:v>0</x:v>
      </x:c>
      <x:c r="O957" s="9" t="n">
        <x:v>0</x:v>
      </x:c>
      <x:c r="P957" s="9" t="str">
        <x:v>HELD / UNRELEASED</x:v>
      </x:c>
      <x:c r="Q957" s="9" t="n">
        <x:f>COUNTIFS($A$7:$A$2310,A957)</x:f>
        <x:v>1</x:v>
      </x:c>
    </x:row>
    <x:row r="958">
      <x:c r="A958" s="9" t="str">
        <x:v>PD-AR-RT-B-C-TECH-2-B1-BRK-G0-PD08</x:v>
      </x:c>
      <x:c r="B958" s="9" t="str">
        <x:v>PD-AR-RT-B-C-TECH-2-B1-BRK-G0</x:v>
      </x:c>
      <x:c r="C958" s="9" t="str">
        <x:v>EV-AR-RT-B-C-TECH-2-B1-BRK-G0</x:v>
      </x:c>
      <x:c r="D958" s="9" t="str">
        <x:v>AR-RT-B-C-TECH-2-B1-BRK-G0</x:v>
      </x:c>
      <x:c r="E958" s="9" t="str">
        <x:v>RT-B-C-TECH-2</x:v>
      </x:c>
      <x:c r="F958" s="9" t="str">
        <x:v>RT-B-C</x:v>
      </x:c>
      <x:c r="G958" s="9" t="str">
        <x:v>B1</x:v>
      </x:c>
      <x:c r="H958" s="9" t="str">
        <x:v>BRK</x:v>
      </x:c>
      <x:c r="I958" s="9" t="str">
        <x:v>PD08</x:v>
      </x:c>
      <x:c r="J958" s="17" t="str">
        <x:v>Command and intervention log</x:v>
      </x:c>
      <x:c r="K958" s="17" t="str">
        <x:v>Safety archive</x:v>
      </x:c>
      <x:c r="L958" s="17" t="str">
        <x:v>COURT-SEALED UNTIL COHORT RELEASE</x:v>
      </x:c>
      <x:c r="M958" s="9" t="n">
        <x:v>0</x:v>
      </x:c>
      <x:c r="N958" s="9" t="n">
        <x:v>0</x:v>
      </x:c>
      <x:c r="O958" s="9" t="n">
        <x:v>0</x:v>
      </x:c>
      <x:c r="P958" s="9" t="str">
        <x:v>HELD / UNRELEASED</x:v>
      </x:c>
      <x:c r="Q958" s="9" t="n">
        <x:f>COUNTIFS($A$7:$A$2310,A958)</x:f>
        <x:v>1</x:v>
      </x:c>
    </x:row>
    <x:row r="959">
      <x:c r="A959" s="9" t="str">
        <x:v>PD-AR-RT-B-C-TECH-2-B1-BRK-G0-PD09</x:v>
      </x:c>
      <x:c r="B959" s="9" t="str">
        <x:v>PD-AR-RT-B-C-TECH-2-B1-BRK-G0</x:v>
      </x:c>
      <x:c r="C959" s="9" t="str">
        <x:v>EV-AR-RT-B-C-TECH-2-B1-BRK-G0</x:v>
      </x:c>
      <x:c r="D959" s="9" t="str">
        <x:v>AR-RT-B-C-TECH-2-B1-BRK-G0</x:v>
      </x:c>
      <x:c r="E959" s="9" t="str">
        <x:v>RT-B-C-TECH-2</x:v>
      </x:c>
      <x:c r="F959" s="9" t="str">
        <x:v>RT-B-C</x:v>
      </x:c>
      <x:c r="G959" s="9" t="str">
        <x:v>B1</x:v>
      </x:c>
      <x:c r="H959" s="9" t="str">
        <x:v>BRK</x:v>
      </x:c>
      <x:c r="I959" s="9" t="str">
        <x:v>PD09</x:v>
      </x:c>
      <x:c r="J959" s="17" t="str">
        <x:v>Receiver denominator and service ledger</x:v>
      </x:c>
      <x:c r="K959" s="17" t="str">
        <x:v>Receiver archive</x:v>
      </x:c>
      <x:c r="L959" s="17" t="str">
        <x:v>COURT-SEALED UNTIL COHORT RELEASE</x:v>
      </x:c>
      <x:c r="M959" s="9" t="n">
        <x:v>0</x:v>
      </x:c>
      <x:c r="N959" s="9" t="n">
        <x:v>0</x:v>
      </x:c>
      <x:c r="O959" s="9" t="n">
        <x:v>0</x:v>
      </x:c>
      <x:c r="P959" s="9" t="str">
        <x:v>HELD / UNRELEASED</x:v>
      </x:c>
      <x:c r="Q959" s="9" t="n">
        <x:f>COUNTIFS($A$7:$A$2310,A959)</x:f>
        <x:v>1</x:v>
      </x:c>
    </x:row>
    <x:row r="960">
      <x:c r="A960" s="9" t="str">
        <x:v>PD-AR-RT-B-C-TECH-2-B1-BRK-G0-PD10</x:v>
      </x:c>
      <x:c r="B960" s="9" t="str">
        <x:v>PD-AR-RT-B-C-TECH-2-B1-BRK-G0</x:v>
      </x:c>
      <x:c r="C960" s="9" t="str">
        <x:v>EV-AR-RT-B-C-TECH-2-B1-BRK-G0</x:v>
      </x:c>
      <x:c r="D960" s="9" t="str">
        <x:v>AR-RT-B-C-TECH-2-B1-BRK-G0</x:v>
      </x:c>
      <x:c r="E960" s="9" t="str">
        <x:v>RT-B-C-TECH-2</x:v>
      </x:c>
      <x:c r="F960" s="9" t="str">
        <x:v>RT-B-C</x:v>
      </x:c>
      <x:c r="G960" s="9" t="str">
        <x:v>B1</x:v>
      </x:c>
      <x:c r="H960" s="9" t="str">
        <x:v>BRK</x:v>
      </x:c>
      <x:c r="I960" s="9" t="str">
        <x:v>PD10</x:v>
      </x:c>
      <x:c r="J960" s="17" t="str">
        <x:v>Calibration and uncertainty record</x:v>
      </x:c>
      <x:c r="K960" s="17" t="str">
        <x:v>Metrology archive</x:v>
      </x:c>
      <x:c r="L960" s="17" t="str">
        <x:v>COURT-SEALED UNTIL COHORT RELEASE</x:v>
      </x:c>
      <x:c r="M960" s="9" t="n">
        <x:v>0</x:v>
      </x:c>
      <x:c r="N960" s="9" t="n">
        <x:v>0</x:v>
      </x:c>
      <x:c r="O960" s="9" t="n">
        <x:v>0</x:v>
      </x:c>
      <x:c r="P960" s="9" t="str">
        <x:v>HELD / UNRELEASED</x:v>
      </x:c>
      <x:c r="Q960" s="9" t="n">
        <x:f>COUNTIFS($A$7:$A$2310,A960)</x:f>
        <x:v>1</x:v>
      </x:c>
    </x:row>
    <x:row r="961">
      <x:c r="A961" s="9" t="str">
        <x:v>PD-AR-RT-B-C-TECH-2-B1-BRK-G0-PD11</x:v>
      </x:c>
      <x:c r="B961" s="9" t="str">
        <x:v>PD-AR-RT-B-C-TECH-2-B1-BRK-G0</x:v>
      </x:c>
      <x:c r="C961" s="9" t="str">
        <x:v>EV-AR-RT-B-C-TECH-2-B1-BRK-G0</x:v>
      </x:c>
      <x:c r="D961" s="9" t="str">
        <x:v>AR-RT-B-C-TECH-2-B1-BRK-G0</x:v>
      </x:c>
      <x:c r="E961" s="9" t="str">
        <x:v>RT-B-C-TECH-2</x:v>
      </x:c>
      <x:c r="F961" s="9" t="str">
        <x:v>RT-B-C</x:v>
      </x:c>
      <x:c r="G961" s="9" t="str">
        <x:v>B1</x:v>
      </x:c>
      <x:c r="H961" s="9" t="str">
        <x:v>BRK</x:v>
      </x:c>
      <x:c r="I961" s="9" t="str">
        <x:v>PD11</x:v>
      </x:c>
      <x:c r="J961" s="17" t="str">
        <x:v>Invalidity petition and opinion</x:v>
      </x:c>
      <x:c r="K961" s="17" t="str">
        <x:v>Invalidity court</x:v>
      </x:c>
      <x:c r="L961" s="17" t="str">
        <x:v>COURT-SEALED UNTIL COHORT RELEASE</x:v>
      </x:c>
      <x:c r="M961" s="9" t="n">
        <x:v>0</x:v>
      </x:c>
      <x:c r="N961" s="9" t="n">
        <x:v>0</x:v>
      </x:c>
      <x:c r="O961" s="9" t="n">
        <x:v>0</x:v>
      </x:c>
      <x:c r="P961" s="9" t="str">
        <x:v>HELD / UNRELEASED</x:v>
      </x:c>
      <x:c r="Q961" s="9" t="n">
        <x:f>COUNTIFS($A$7:$A$2310,A961)</x:f>
        <x:v>1</x:v>
      </x:c>
    </x:row>
    <x:row r="962">
      <x:c r="A962" s="9" t="str">
        <x:v>PD-AR-RT-B-C-TECH-2-B1-BRK-G0-PD12</x:v>
      </x:c>
      <x:c r="B962" s="9" t="str">
        <x:v>PD-AR-RT-B-C-TECH-2-B1-BRK-G0</x:v>
      </x:c>
      <x:c r="C962" s="9" t="str">
        <x:v>EV-AR-RT-B-C-TECH-2-B1-BRK-G0</x:v>
      </x:c>
      <x:c r="D962" s="9" t="str">
        <x:v>AR-RT-B-C-TECH-2-B1-BRK-G0</x:v>
      </x:c>
      <x:c r="E962" s="9" t="str">
        <x:v>RT-B-C-TECH-2</x:v>
      </x:c>
      <x:c r="F962" s="9" t="str">
        <x:v>RT-B-C</x:v>
      </x:c>
      <x:c r="G962" s="9" t="str">
        <x:v>B1</x:v>
      </x:c>
      <x:c r="H962" s="9" t="str">
        <x:v>BRK</x:v>
      </x:c>
      <x:c r="I962" s="9" t="str">
        <x:v>PD12</x:v>
      </x:c>
      <x:c r="J962" s="17" t="str">
        <x:v>Observation acceptance and replay</x:v>
      </x:c>
      <x:c r="K962" s="17" t="str">
        <x:v>Observation court</x:v>
      </x:c>
      <x:c r="L962" s="17" t="str">
        <x:v>COURT-SEALED UNTIL COHORT RELEASE</x:v>
      </x:c>
      <x:c r="M962" s="9" t="n">
        <x:v>0</x:v>
      </x:c>
      <x:c r="N962" s="9" t="n">
        <x:v>0</x:v>
      </x:c>
      <x:c r="O962" s="9" t="n">
        <x:v>0</x:v>
      </x:c>
      <x:c r="P962" s="9" t="str">
        <x:v>HELD / UNRELEASED</x:v>
      </x:c>
      <x:c r="Q962" s="9" t="n">
        <x:f>COUNTIFS($A$7:$A$2310,A962)</x:f>
        <x:v>1</x:v>
      </x:c>
    </x:row>
    <x:row r="963">
      <x:c r="A963" s="9" t="str">
        <x:v>PD-AR-RT-B-C-TECH-2-B1-BRK-G0-PD13</x:v>
      </x:c>
      <x:c r="B963" s="9" t="str">
        <x:v>PD-AR-RT-B-C-TECH-2-B1-BRK-G0</x:v>
      </x:c>
      <x:c r="C963" s="9" t="str">
        <x:v>EV-AR-RT-B-C-TECH-2-B1-BRK-G0</x:v>
      </x:c>
      <x:c r="D963" s="9" t="str">
        <x:v>AR-RT-B-C-TECH-2-B1-BRK-G0</x:v>
      </x:c>
      <x:c r="E963" s="9" t="str">
        <x:v>RT-B-C-TECH-2</x:v>
      </x:c>
      <x:c r="F963" s="9" t="str">
        <x:v>RT-B-C</x:v>
      </x:c>
      <x:c r="G963" s="9" t="str">
        <x:v>B1</x:v>
      </x:c>
      <x:c r="H963" s="9" t="str">
        <x:v>BRK</x:v>
      </x:c>
      <x:c r="I963" s="9" t="str">
        <x:v>PD13</x:v>
      </x:c>
      <x:c r="J963" s="17" t="str">
        <x:v>Role judgment</x:v>
      </x:c>
      <x:c r="K963" s="17" t="str">
        <x:v>Role court</x:v>
      </x:c>
      <x:c r="L963" s="17" t="str">
        <x:v>COURT-SEALED UNTIL COHORT RELEASE</x:v>
      </x:c>
      <x:c r="M963" s="9" t="n">
        <x:v>0</x:v>
      </x:c>
      <x:c r="N963" s="9" t="n">
        <x:v>0</x:v>
      </x:c>
      <x:c r="O963" s="9" t="n">
        <x:v>0</x:v>
      </x:c>
      <x:c r="P963" s="9" t="str">
        <x:v>HELD / UNRELEASED</x:v>
      </x:c>
      <x:c r="Q963" s="9" t="n">
        <x:f>COUNTIFS($A$7:$A$2310,A963)</x:f>
        <x:v>1</x:v>
      </x:c>
    </x:row>
    <x:row r="964">
      <x:c r="A964" s="9" t="str">
        <x:v>PD-AR-RT-B-C-TECH-2-B1-BRK-G0-PD14</x:v>
      </x:c>
      <x:c r="B964" s="9" t="str">
        <x:v>PD-AR-RT-B-C-TECH-2-B1-BRK-G0</x:v>
      </x:c>
      <x:c r="C964" s="9" t="str">
        <x:v>EV-AR-RT-B-C-TECH-2-B1-BRK-G0</x:v>
      </x:c>
      <x:c r="D964" s="9" t="str">
        <x:v>AR-RT-B-C-TECH-2-B1-BRK-G0</x:v>
      </x:c>
      <x:c r="E964" s="9" t="str">
        <x:v>RT-B-C-TECH-2</x:v>
      </x:c>
      <x:c r="F964" s="9" t="str">
        <x:v>RT-B-C</x:v>
      </x:c>
      <x:c r="G964" s="9" t="str">
        <x:v>B1</x:v>
      </x:c>
      <x:c r="H964" s="9" t="str">
        <x:v>BRK</x:v>
      </x:c>
      <x:c r="I964" s="9" t="str">
        <x:v>PD14</x:v>
      </x:c>
      <x:c r="J964" s="17" t="str">
        <x:v>Break and residual account</x:v>
      </x:c>
      <x:c r="K964" s="17" t="str">
        <x:v>Residual authority</x:v>
      </x:c>
      <x:c r="L964" s="17" t="str">
        <x:v>COURT-SEALED UNTIL COHORT RELEASE</x:v>
      </x:c>
      <x:c r="M964" s="9" t="n">
        <x:v>0</x:v>
      </x:c>
      <x:c r="N964" s="9" t="n">
        <x:v>0</x:v>
      </x:c>
      <x:c r="O964" s="9" t="n">
        <x:v>0</x:v>
      </x:c>
      <x:c r="P964" s="9" t="str">
        <x:v>HELD / UNRELEASED</x:v>
      </x:c>
      <x:c r="Q964" s="9" t="n">
        <x:f>COUNTIFS($A$7:$A$2310,A964)</x:f>
        <x:v>1</x:v>
      </x:c>
    </x:row>
    <x:row r="965">
      <x:c r="A965" s="9" t="str">
        <x:v>PD-AR-RT-B-C-TECH-2-B1-BRK-G0-PD15</x:v>
      </x:c>
      <x:c r="B965" s="9" t="str">
        <x:v>PD-AR-RT-B-C-TECH-2-B1-BRK-G0</x:v>
      </x:c>
      <x:c r="C965" s="9" t="str">
        <x:v>EV-AR-RT-B-C-TECH-2-B1-BRK-G0</x:v>
      </x:c>
      <x:c r="D965" s="9" t="str">
        <x:v>AR-RT-B-C-TECH-2-B1-BRK-G0</x:v>
      </x:c>
      <x:c r="E965" s="9" t="str">
        <x:v>RT-B-C-TECH-2</x:v>
      </x:c>
      <x:c r="F965" s="9" t="str">
        <x:v>RT-B-C</x:v>
      </x:c>
      <x:c r="G965" s="9" t="str">
        <x:v>B1</x:v>
      </x:c>
      <x:c r="H965" s="9" t="str">
        <x:v>BRK</x:v>
      </x:c>
      <x:c r="I965" s="9" t="str">
        <x:v>PD15</x:v>
      </x:c>
      <x:c r="J965" s="17" t="str">
        <x:v>Reconstruction ancestry and replay</x:v>
      </x:c>
      <x:c r="K965" s="17" t="str">
        <x:v>Reconstruction court</x:v>
      </x:c>
      <x:c r="L965" s="17" t="str">
        <x:v>COURT-SEALED UNTIL COHORT RELEASE</x:v>
      </x:c>
      <x:c r="M965" s="9" t="n">
        <x:v>0</x:v>
      </x:c>
      <x:c r="N965" s="9" t="n">
        <x:v>0</x:v>
      </x:c>
      <x:c r="O965" s="9" t="n">
        <x:v>0</x:v>
      </x:c>
      <x:c r="P965" s="9" t="str">
        <x:v>HELD / UNRELEASED</x:v>
      </x:c>
      <x:c r="Q965" s="9" t="n">
        <x:f>COUNTIFS($A$7:$A$2310,A965)</x:f>
        <x:v>1</x:v>
      </x:c>
    </x:row>
    <x:row r="966">
      <x:c r="A966" s="9" t="str">
        <x:v>PD-AR-RT-B-C-TECH-2-B1-BRK-G0-PD16</x:v>
      </x:c>
      <x:c r="B966" s="9" t="str">
        <x:v>PD-AR-RT-B-C-TECH-2-B1-BRK-G0</x:v>
      </x:c>
      <x:c r="C966" s="9" t="str">
        <x:v>EV-AR-RT-B-C-TECH-2-B1-BRK-G0</x:v>
      </x:c>
      <x:c r="D966" s="9" t="str">
        <x:v>AR-RT-B-C-TECH-2-B1-BRK-G0</x:v>
      </x:c>
      <x:c r="E966" s="9" t="str">
        <x:v>RT-B-C-TECH-2</x:v>
      </x:c>
      <x:c r="F966" s="9" t="str">
        <x:v>RT-B-C</x:v>
      </x:c>
      <x:c r="G966" s="9" t="str">
        <x:v>B1</x:v>
      </x:c>
      <x:c r="H966" s="9" t="str">
        <x:v>BRK</x:v>
      </x:c>
      <x:c r="I966" s="9" t="str">
        <x:v>PD16</x:v>
      </x:c>
      <x:c r="J966" s="17" t="str">
        <x:v>Dissent, amendments and access log</x:v>
      </x:c>
      <x:c r="K966" s="17" t="str">
        <x:v>Public archive</x:v>
      </x:c>
      <x:c r="L966" s="17" t="str">
        <x:v>COURT-SEALED UNTIL COHORT RELEASE</x:v>
      </x:c>
      <x:c r="M966" s="9" t="n">
        <x:v>0</x:v>
      </x:c>
      <x:c r="N966" s="9" t="n">
        <x:v>0</x:v>
      </x:c>
      <x:c r="O966" s="9" t="n">
        <x:v>0</x:v>
      </x:c>
      <x:c r="P966" s="9" t="str">
        <x:v>HELD / UNRELEASED</x:v>
      </x:c>
      <x:c r="Q966" s="9" t="n">
        <x:f>COUNTIFS($A$7:$A$2310,A966)</x:f>
        <x:v>1</x:v>
      </x:c>
    </x:row>
    <x:row r="967">
      <x:c r="A967" s="9" t="str">
        <x:v>PD-AR-ET-A-A-TECH-2-B2-INT-G0-PD01</x:v>
      </x:c>
      <x:c r="B967" s="9" t="str">
        <x:v>PD-AR-ET-A-A-TECH-2-B2-INT-G0</x:v>
      </x:c>
      <x:c r="C967" s="9" t="str">
        <x:v>EV-AR-ET-A-A-TECH-2-B2-INT-G0</x:v>
      </x:c>
      <x:c r="D967" s="9" t="str">
        <x:v>AR-ET-A-A-TECH-2-B2-INT-G0</x:v>
      </x:c>
      <x:c r="E967" s="9" t="str">
        <x:v>ET-A-A-TECH-2</x:v>
      </x:c>
      <x:c r="F967" s="9" t="str">
        <x:v>ET-A-A</x:v>
      </x:c>
      <x:c r="G967" s="9" t="str">
        <x:v>B2</x:v>
      </x:c>
      <x:c r="H967" s="9" t="str">
        <x:v>INT</x:v>
      </x:c>
      <x:c r="I967" s="9" t="str">
        <x:v>PD01</x:v>
      </x:c>
      <x:c r="J967" s="17" t="str">
        <x:v>Experiment kernel</x:v>
      </x:c>
      <x:c r="K967" s="17" t="str">
        <x:v>Public archive</x:v>
      </x:c>
      <x:c r="L967" s="17" t="str">
        <x:v>COURT-SEALED UNTIL COHORT RELEASE</x:v>
      </x:c>
      <x:c r="M967" s="9" t="n">
        <x:v>0</x:v>
      </x:c>
      <x:c r="N967" s="9" t="n">
        <x:v>0</x:v>
      </x:c>
      <x:c r="O967" s="9" t="n">
        <x:v>0</x:v>
      </x:c>
      <x:c r="P967" s="9" t="str">
        <x:v>HELD / UNRELEASED</x:v>
      </x:c>
      <x:c r="Q967" s="9" t="n">
        <x:f>COUNTIFS($A$7:$A$2310,A967)</x:f>
        <x:v>1</x:v>
      </x:c>
    </x:row>
    <x:row r="968">
      <x:c r="A968" s="9" t="str">
        <x:v>PD-AR-ET-A-A-TECH-2-B2-INT-G0-PD02</x:v>
      </x:c>
      <x:c r="B968" s="9" t="str">
        <x:v>PD-AR-ET-A-A-TECH-2-B2-INT-G0</x:v>
      </x:c>
      <x:c r="C968" s="9" t="str">
        <x:v>EV-AR-ET-A-A-TECH-2-B2-INT-G0</x:v>
      </x:c>
      <x:c r="D968" s="9" t="str">
        <x:v>AR-ET-A-A-TECH-2-B2-INT-G0</x:v>
      </x:c>
      <x:c r="E968" s="9" t="str">
        <x:v>ET-A-A-TECH-2</x:v>
      </x:c>
      <x:c r="F968" s="9" t="str">
        <x:v>ET-A-A</x:v>
      </x:c>
      <x:c r="G968" s="9" t="str">
        <x:v>B2</x:v>
      </x:c>
      <x:c r="H968" s="9" t="str">
        <x:v>INT</x:v>
      </x:c>
      <x:c r="I968" s="9" t="str">
        <x:v>PD02</x:v>
      </x:c>
      <x:c r="J968" s="17" t="str">
        <x:v>Serial annex and title chain</x:v>
      </x:c>
      <x:c r="K968" s="17" t="str">
        <x:v>Public archive</x:v>
      </x:c>
      <x:c r="L968" s="17" t="str">
        <x:v>COURT-SEALED UNTIL COHORT RELEASE</x:v>
      </x:c>
      <x:c r="M968" s="9" t="n">
        <x:v>0</x:v>
      </x:c>
      <x:c r="N968" s="9" t="n">
        <x:v>0</x:v>
      </x:c>
      <x:c r="O968" s="9" t="n">
        <x:v>0</x:v>
      </x:c>
      <x:c r="P968" s="9" t="str">
        <x:v>HELD / UNRELEASED</x:v>
      </x:c>
      <x:c r="Q968" s="9" t="n">
        <x:f>COUNTIFS($A$7:$A$2310,A968)</x:f>
        <x:v>1</x:v>
      </x:c>
    </x:row>
    <x:row r="969">
      <x:c r="A969" s="9" t="str">
        <x:v>PD-AR-ET-A-A-TECH-2-B2-INT-G0-PD03</x:v>
      </x:c>
      <x:c r="B969" s="9" t="str">
        <x:v>PD-AR-ET-A-A-TECH-2-B2-INT-G0</x:v>
      </x:c>
      <x:c r="C969" s="9" t="str">
        <x:v>EV-AR-ET-A-A-TECH-2-B2-INT-G0</x:v>
      </x:c>
      <x:c r="D969" s="9" t="str">
        <x:v>AR-ET-A-A-TECH-2-B2-INT-G0</x:v>
      </x:c>
      <x:c r="E969" s="9" t="str">
        <x:v>ET-A-A-TECH-2</x:v>
      </x:c>
      <x:c r="F969" s="9" t="str">
        <x:v>ET-A-A</x:v>
      </x:c>
      <x:c r="G969" s="9" t="str">
        <x:v>B2</x:v>
      </x:c>
      <x:c r="H969" s="9" t="str">
        <x:v>INT</x:v>
      </x:c>
      <x:c r="I969" s="9" t="str">
        <x:v>PD03</x:v>
      </x:c>
      <x:c r="J969" s="17" t="str">
        <x:v>Configuration and as-built manifest</x:v>
      </x:c>
      <x:c r="K969" s="17" t="str">
        <x:v>Artifact exchange</x:v>
      </x:c>
      <x:c r="L969" s="17" t="str">
        <x:v>COURT-SEALED UNTIL COHORT RELEASE</x:v>
      </x:c>
      <x:c r="M969" s="9" t="n">
        <x:v>0</x:v>
      </x:c>
      <x:c r="N969" s="9" t="n">
        <x:v>0</x:v>
      </x:c>
      <x:c r="O969" s="9" t="n">
        <x:v>0</x:v>
      </x:c>
      <x:c r="P969" s="9" t="str">
        <x:v>HELD / UNRELEASED</x:v>
      </x:c>
      <x:c r="Q969" s="9" t="n">
        <x:f>COUNTIFS($A$7:$A$2310,A969)</x:f>
        <x:v>1</x:v>
      </x:c>
    </x:row>
    <x:row r="970">
      <x:c r="A970" s="9" t="str">
        <x:v>PD-AR-ET-A-A-TECH-2-B2-INT-G0-PD04</x:v>
      </x:c>
      <x:c r="B970" s="9" t="str">
        <x:v>PD-AR-ET-A-A-TECH-2-B2-INT-G0</x:v>
      </x:c>
      <x:c r="C970" s="9" t="str">
        <x:v>EV-AR-ET-A-A-TECH-2-B2-INT-G0</x:v>
      </x:c>
      <x:c r="D970" s="9" t="str">
        <x:v>AR-ET-A-A-TECH-2-B2-INT-G0</x:v>
      </x:c>
      <x:c r="E970" s="9" t="str">
        <x:v>ET-A-A-TECH-2</x:v>
      </x:c>
      <x:c r="F970" s="9" t="str">
        <x:v>ET-A-A</x:v>
      </x:c>
      <x:c r="G970" s="9" t="str">
        <x:v>B2</x:v>
      </x:c>
      <x:c r="H970" s="9" t="str">
        <x:v>INT</x:v>
      </x:c>
      <x:c r="I970" s="9" t="str">
        <x:v>PD04</x:v>
      </x:c>
      <x:c r="J970" s="17" t="str">
        <x:v>EOW and start certificate</x:v>
      </x:c>
      <x:c r="K970" s="17" t="str">
        <x:v>Start registrar</x:v>
      </x:c>
      <x:c r="L970" s="17" t="str">
        <x:v>COURT-SEALED UNTIL COHORT RELEASE</x:v>
      </x:c>
      <x:c r="M970" s="9" t="n">
        <x:v>0</x:v>
      </x:c>
      <x:c r="N970" s="9" t="n">
        <x:v>0</x:v>
      </x:c>
      <x:c r="O970" s="9" t="n">
        <x:v>0</x:v>
      </x:c>
      <x:c r="P970" s="9" t="str">
        <x:v>HELD / UNRELEASED</x:v>
      </x:c>
      <x:c r="Q970" s="9" t="n">
        <x:f>COUNTIFS($A$7:$A$2310,A970)</x:f>
        <x:v>1</x:v>
      </x:c>
    </x:row>
    <x:row r="971">
      <x:c r="A971" s="9" t="str">
        <x:v>PD-AR-ET-A-A-TECH-2-B2-INT-G0-PD05</x:v>
      </x:c>
      <x:c r="B971" s="9" t="str">
        <x:v>PD-AR-ET-A-A-TECH-2-B2-INT-G0</x:v>
      </x:c>
      <x:c r="C971" s="9" t="str">
        <x:v>EV-AR-ET-A-A-TECH-2-B2-INT-G0</x:v>
      </x:c>
      <x:c r="D971" s="9" t="str">
        <x:v>AR-ET-A-A-TECH-2-B2-INT-G0</x:v>
      </x:c>
      <x:c r="E971" s="9" t="str">
        <x:v>ET-A-A-TECH-2</x:v>
      </x:c>
      <x:c r="F971" s="9" t="str">
        <x:v>ET-A-A</x:v>
      </x:c>
      <x:c r="G971" s="9" t="str">
        <x:v>B2</x:v>
      </x:c>
      <x:c r="H971" s="9" t="str">
        <x:v>INT</x:v>
      </x:c>
      <x:c r="I971" s="9" t="str">
        <x:v>PD05</x:v>
      </x:c>
      <x:c r="J971" s="17" t="str">
        <x:v>Primary raw originals</x:v>
      </x:c>
      <x:c r="K971" s="17" t="str">
        <x:v>Primary custody</x:v>
      </x:c>
      <x:c r="L971" s="17" t="str">
        <x:v>COURT-SEALED UNTIL COHORT RELEASE</x:v>
      </x:c>
      <x:c r="M971" s="9" t="n">
        <x:v>0</x:v>
      </x:c>
      <x:c r="N971" s="9" t="n">
        <x:v>0</x:v>
      </x:c>
      <x:c r="O971" s="9" t="n">
        <x:v>0</x:v>
      </x:c>
      <x:c r="P971" s="9" t="str">
        <x:v>HELD / UNRELEASED</x:v>
      </x:c>
      <x:c r="Q971" s="9" t="n">
        <x:f>COUNTIFS($A$7:$A$2310,A971)</x:f>
        <x:v>1</x:v>
      </x:c>
    </x:row>
    <x:row r="972">
      <x:c r="A972" s="9" t="str">
        <x:v>PD-AR-ET-A-A-TECH-2-B2-INT-G0-PD06</x:v>
      </x:c>
      <x:c r="B972" s="9" t="str">
        <x:v>PD-AR-ET-A-A-TECH-2-B2-INT-G0</x:v>
      </x:c>
      <x:c r="C972" s="9" t="str">
        <x:v>EV-AR-ET-A-A-TECH-2-B2-INT-G0</x:v>
      </x:c>
      <x:c r="D972" s="9" t="str">
        <x:v>AR-ET-A-A-TECH-2-B2-INT-G0</x:v>
      </x:c>
      <x:c r="E972" s="9" t="str">
        <x:v>ET-A-A-TECH-2</x:v>
      </x:c>
      <x:c r="F972" s="9" t="str">
        <x:v>ET-A-A</x:v>
      </x:c>
      <x:c r="G972" s="9" t="str">
        <x:v>B2</x:v>
      </x:c>
      <x:c r="H972" s="9" t="str">
        <x:v>INT</x:v>
      </x:c>
      <x:c r="I972" s="9" t="str">
        <x:v>PD06</x:v>
      </x:c>
      <x:c r="J972" s="17" t="str">
        <x:v>Witness raw originals</x:v>
      </x:c>
      <x:c r="K972" s="17" t="str">
        <x:v>Witness custody</x:v>
      </x:c>
      <x:c r="L972" s="17" t="str">
        <x:v>COURT-SEALED UNTIL COHORT RELEASE</x:v>
      </x:c>
      <x:c r="M972" s="9" t="n">
        <x:v>0</x:v>
      </x:c>
      <x:c r="N972" s="9" t="n">
        <x:v>0</x:v>
      </x:c>
      <x:c r="O972" s="9" t="n">
        <x:v>0</x:v>
      </x:c>
      <x:c r="P972" s="9" t="str">
        <x:v>HELD / UNRELEASED</x:v>
      </x:c>
      <x:c r="Q972" s="9" t="n">
        <x:f>COUNTIFS($A$7:$A$2310,A972)</x:f>
        <x:v>1</x:v>
      </x:c>
    </x:row>
    <x:row r="973">
      <x:c r="A973" s="9" t="str">
        <x:v>PD-AR-ET-A-A-TECH-2-B2-INT-G0-PD07</x:v>
      </x:c>
      <x:c r="B973" s="9" t="str">
        <x:v>PD-AR-ET-A-A-TECH-2-B2-INT-G0</x:v>
      </x:c>
      <x:c r="C973" s="9" t="str">
        <x:v>EV-AR-ET-A-A-TECH-2-B2-INT-G0</x:v>
      </x:c>
      <x:c r="D973" s="9" t="str">
        <x:v>AR-ET-A-A-TECH-2-B2-INT-G0</x:v>
      </x:c>
      <x:c r="E973" s="9" t="str">
        <x:v>ET-A-A-TECH-2</x:v>
      </x:c>
      <x:c r="F973" s="9" t="str">
        <x:v>ET-A-A</x:v>
      </x:c>
      <x:c r="G973" s="9" t="str">
        <x:v>B2</x:v>
      </x:c>
      <x:c r="H973" s="9" t="str">
        <x:v>INT</x:v>
      </x:c>
      <x:c r="I973" s="9" t="str">
        <x:v>PD07</x:v>
      </x:c>
      <x:c r="J973" s="17" t="str">
        <x:v>Clock and environmental records</x:v>
      </x:c>
      <x:c r="K973" s="17" t="str">
        <x:v>Boundary archive</x:v>
      </x:c>
      <x:c r="L973" s="17" t="str">
        <x:v>COURT-SEALED UNTIL COHORT RELEASE</x:v>
      </x:c>
      <x:c r="M973" s="9" t="n">
        <x:v>0</x:v>
      </x:c>
      <x:c r="N973" s="9" t="n">
        <x:v>0</x:v>
      </x:c>
      <x:c r="O973" s="9" t="n">
        <x:v>0</x:v>
      </x:c>
      <x:c r="P973" s="9" t="str">
        <x:v>HELD / UNRELEASED</x:v>
      </x:c>
      <x:c r="Q973" s="9" t="n">
        <x:f>COUNTIFS($A$7:$A$2310,A973)</x:f>
        <x:v>1</x:v>
      </x:c>
    </x:row>
    <x:row r="974">
      <x:c r="A974" s="9" t="str">
        <x:v>PD-AR-ET-A-A-TECH-2-B2-INT-G0-PD08</x:v>
      </x:c>
      <x:c r="B974" s="9" t="str">
        <x:v>PD-AR-ET-A-A-TECH-2-B2-INT-G0</x:v>
      </x:c>
      <x:c r="C974" s="9" t="str">
        <x:v>EV-AR-ET-A-A-TECH-2-B2-INT-G0</x:v>
      </x:c>
      <x:c r="D974" s="9" t="str">
        <x:v>AR-ET-A-A-TECH-2-B2-INT-G0</x:v>
      </x:c>
      <x:c r="E974" s="9" t="str">
        <x:v>ET-A-A-TECH-2</x:v>
      </x:c>
      <x:c r="F974" s="9" t="str">
        <x:v>ET-A-A</x:v>
      </x:c>
      <x:c r="G974" s="9" t="str">
        <x:v>B2</x:v>
      </x:c>
      <x:c r="H974" s="9" t="str">
        <x:v>INT</x:v>
      </x:c>
      <x:c r="I974" s="9" t="str">
        <x:v>PD08</x:v>
      </x:c>
      <x:c r="J974" s="17" t="str">
        <x:v>Command and intervention log</x:v>
      </x:c>
      <x:c r="K974" s="17" t="str">
        <x:v>Safety archive</x:v>
      </x:c>
      <x:c r="L974" s="17" t="str">
        <x:v>COURT-SEALED UNTIL COHORT RELEASE</x:v>
      </x:c>
      <x:c r="M974" s="9" t="n">
        <x:v>0</x:v>
      </x:c>
      <x:c r="N974" s="9" t="n">
        <x:v>0</x:v>
      </x:c>
      <x:c r="O974" s="9" t="n">
        <x:v>0</x:v>
      </x:c>
      <x:c r="P974" s="9" t="str">
        <x:v>HELD / UNRELEASED</x:v>
      </x:c>
      <x:c r="Q974" s="9" t="n">
        <x:f>COUNTIFS($A$7:$A$2310,A974)</x:f>
        <x:v>1</x:v>
      </x:c>
    </x:row>
    <x:row r="975">
      <x:c r="A975" s="9" t="str">
        <x:v>PD-AR-ET-A-A-TECH-2-B2-INT-G0-PD09</x:v>
      </x:c>
      <x:c r="B975" s="9" t="str">
        <x:v>PD-AR-ET-A-A-TECH-2-B2-INT-G0</x:v>
      </x:c>
      <x:c r="C975" s="9" t="str">
        <x:v>EV-AR-ET-A-A-TECH-2-B2-INT-G0</x:v>
      </x:c>
      <x:c r="D975" s="9" t="str">
        <x:v>AR-ET-A-A-TECH-2-B2-INT-G0</x:v>
      </x:c>
      <x:c r="E975" s="9" t="str">
        <x:v>ET-A-A-TECH-2</x:v>
      </x:c>
      <x:c r="F975" s="9" t="str">
        <x:v>ET-A-A</x:v>
      </x:c>
      <x:c r="G975" s="9" t="str">
        <x:v>B2</x:v>
      </x:c>
      <x:c r="H975" s="9" t="str">
        <x:v>INT</x:v>
      </x:c>
      <x:c r="I975" s="9" t="str">
        <x:v>PD09</x:v>
      </x:c>
      <x:c r="J975" s="17" t="str">
        <x:v>Receiver denominator and service ledger</x:v>
      </x:c>
      <x:c r="K975" s="17" t="str">
        <x:v>Receiver archive</x:v>
      </x:c>
      <x:c r="L975" s="17" t="str">
        <x:v>COURT-SEALED UNTIL COHORT RELEASE</x:v>
      </x:c>
      <x:c r="M975" s="9" t="n">
        <x:v>0</x:v>
      </x:c>
      <x:c r="N975" s="9" t="n">
        <x:v>0</x:v>
      </x:c>
      <x:c r="O975" s="9" t="n">
        <x:v>0</x:v>
      </x:c>
      <x:c r="P975" s="9" t="str">
        <x:v>HELD / UNRELEASED</x:v>
      </x:c>
      <x:c r="Q975" s="9" t="n">
        <x:f>COUNTIFS($A$7:$A$2310,A975)</x:f>
        <x:v>1</x:v>
      </x:c>
    </x:row>
    <x:row r="976">
      <x:c r="A976" s="9" t="str">
        <x:v>PD-AR-ET-A-A-TECH-2-B2-INT-G0-PD10</x:v>
      </x:c>
      <x:c r="B976" s="9" t="str">
        <x:v>PD-AR-ET-A-A-TECH-2-B2-INT-G0</x:v>
      </x:c>
      <x:c r="C976" s="9" t="str">
        <x:v>EV-AR-ET-A-A-TECH-2-B2-INT-G0</x:v>
      </x:c>
      <x:c r="D976" s="9" t="str">
        <x:v>AR-ET-A-A-TECH-2-B2-INT-G0</x:v>
      </x:c>
      <x:c r="E976" s="9" t="str">
        <x:v>ET-A-A-TECH-2</x:v>
      </x:c>
      <x:c r="F976" s="9" t="str">
        <x:v>ET-A-A</x:v>
      </x:c>
      <x:c r="G976" s="9" t="str">
        <x:v>B2</x:v>
      </x:c>
      <x:c r="H976" s="9" t="str">
        <x:v>INT</x:v>
      </x:c>
      <x:c r="I976" s="9" t="str">
        <x:v>PD10</x:v>
      </x:c>
      <x:c r="J976" s="17" t="str">
        <x:v>Calibration and uncertainty record</x:v>
      </x:c>
      <x:c r="K976" s="17" t="str">
        <x:v>Metrology archive</x:v>
      </x:c>
      <x:c r="L976" s="17" t="str">
        <x:v>COURT-SEALED UNTIL COHORT RELEASE</x:v>
      </x:c>
      <x:c r="M976" s="9" t="n">
        <x:v>0</x:v>
      </x:c>
      <x:c r="N976" s="9" t="n">
        <x:v>0</x:v>
      </x:c>
      <x:c r="O976" s="9" t="n">
        <x:v>0</x:v>
      </x:c>
      <x:c r="P976" s="9" t="str">
        <x:v>HELD / UNRELEASED</x:v>
      </x:c>
      <x:c r="Q976" s="9" t="n">
        <x:f>COUNTIFS($A$7:$A$2310,A976)</x:f>
        <x:v>1</x:v>
      </x:c>
    </x:row>
    <x:row r="977">
      <x:c r="A977" s="9" t="str">
        <x:v>PD-AR-ET-A-A-TECH-2-B2-INT-G0-PD11</x:v>
      </x:c>
      <x:c r="B977" s="9" t="str">
        <x:v>PD-AR-ET-A-A-TECH-2-B2-INT-G0</x:v>
      </x:c>
      <x:c r="C977" s="9" t="str">
        <x:v>EV-AR-ET-A-A-TECH-2-B2-INT-G0</x:v>
      </x:c>
      <x:c r="D977" s="9" t="str">
        <x:v>AR-ET-A-A-TECH-2-B2-INT-G0</x:v>
      </x:c>
      <x:c r="E977" s="9" t="str">
        <x:v>ET-A-A-TECH-2</x:v>
      </x:c>
      <x:c r="F977" s="9" t="str">
        <x:v>ET-A-A</x:v>
      </x:c>
      <x:c r="G977" s="9" t="str">
        <x:v>B2</x:v>
      </x:c>
      <x:c r="H977" s="9" t="str">
        <x:v>INT</x:v>
      </x:c>
      <x:c r="I977" s="9" t="str">
        <x:v>PD11</x:v>
      </x:c>
      <x:c r="J977" s="17" t="str">
        <x:v>Invalidity petition and opinion</x:v>
      </x:c>
      <x:c r="K977" s="17" t="str">
        <x:v>Invalidity court</x:v>
      </x:c>
      <x:c r="L977" s="17" t="str">
        <x:v>COURT-SEALED UNTIL COHORT RELEASE</x:v>
      </x:c>
      <x:c r="M977" s="9" t="n">
        <x:v>0</x:v>
      </x:c>
      <x:c r="N977" s="9" t="n">
        <x:v>0</x:v>
      </x:c>
      <x:c r="O977" s="9" t="n">
        <x:v>0</x:v>
      </x:c>
      <x:c r="P977" s="9" t="str">
        <x:v>HELD / UNRELEASED</x:v>
      </x:c>
      <x:c r="Q977" s="9" t="n">
        <x:f>COUNTIFS($A$7:$A$2310,A977)</x:f>
        <x:v>1</x:v>
      </x:c>
    </x:row>
    <x:row r="978">
      <x:c r="A978" s="9" t="str">
        <x:v>PD-AR-ET-A-A-TECH-2-B2-INT-G0-PD12</x:v>
      </x:c>
      <x:c r="B978" s="9" t="str">
        <x:v>PD-AR-ET-A-A-TECH-2-B2-INT-G0</x:v>
      </x:c>
      <x:c r="C978" s="9" t="str">
        <x:v>EV-AR-ET-A-A-TECH-2-B2-INT-G0</x:v>
      </x:c>
      <x:c r="D978" s="9" t="str">
        <x:v>AR-ET-A-A-TECH-2-B2-INT-G0</x:v>
      </x:c>
      <x:c r="E978" s="9" t="str">
        <x:v>ET-A-A-TECH-2</x:v>
      </x:c>
      <x:c r="F978" s="9" t="str">
        <x:v>ET-A-A</x:v>
      </x:c>
      <x:c r="G978" s="9" t="str">
        <x:v>B2</x:v>
      </x:c>
      <x:c r="H978" s="9" t="str">
        <x:v>INT</x:v>
      </x:c>
      <x:c r="I978" s="9" t="str">
        <x:v>PD12</x:v>
      </x:c>
      <x:c r="J978" s="17" t="str">
        <x:v>Observation acceptance and replay</x:v>
      </x:c>
      <x:c r="K978" s="17" t="str">
        <x:v>Observation court</x:v>
      </x:c>
      <x:c r="L978" s="17" t="str">
        <x:v>COURT-SEALED UNTIL COHORT RELEASE</x:v>
      </x:c>
      <x:c r="M978" s="9" t="n">
        <x:v>0</x:v>
      </x:c>
      <x:c r="N978" s="9" t="n">
        <x:v>0</x:v>
      </x:c>
      <x:c r="O978" s="9" t="n">
        <x:v>0</x:v>
      </x:c>
      <x:c r="P978" s="9" t="str">
        <x:v>HELD / UNRELEASED</x:v>
      </x:c>
      <x:c r="Q978" s="9" t="n">
        <x:f>COUNTIFS($A$7:$A$2310,A978)</x:f>
        <x:v>1</x:v>
      </x:c>
    </x:row>
    <x:row r="979">
      <x:c r="A979" s="9" t="str">
        <x:v>PD-AR-ET-A-A-TECH-2-B2-INT-G0-PD13</x:v>
      </x:c>
      <x:c r="B979" s="9" t="str">
        <x:v>PD-AR-ET-A-A-TECH-2-B2-INT-G0</x:v>
      </x:c>
      <x:c r="C979" s="9" t="str">
        <x:v>EV-AR-ET-A-A-TECH-2-B2-INT-G0</x:v>
      </x:c>
      <x:c r="D979" s="9" t="str">
        <x:v>AR-ET-A-A-TECH-2-B2-INT-G0</x:v>
      </x:c>
      <x:c r="E979" s="9" t="str">
        <x:v>ET-A-A-TECH-2</x:v>
      </x:c>
      <x:c r="F979" s="9" t="str">
        <x:v>ET-A-A</x:v>
      </x:c>
      <x:c r="G979" s="9" t="str">
        <x:v>B2</x:v>
      </x:c>
      <x:c r="H979" s="9" t="str">
        <x:v>INT</x:v>
      </x:c>
      <x:c r="I979" s="9" t="str">
        <x:v>PD13</x:v>
      </x:c>
      <x:c r="J979" s="17" t="str">
        <x:v>Role judgment</x:v>
      </x:c>
      <x:c r="K979" s="17" t="str">
        <x:v>Role court</x:v>
      </x:c>
      <x:c r="L979" s="17" t="str">
        <x:v>COURT-SEALED UNTIL COHORT RELEASE</x:v>
      </x:c>
      <x:c r="M979" s="9" t="n">
        <x:v>0</x:v>
      </x:c>
      <x:c r="N979" s="9" t="n">
        <x:v>0</x:v>
      </x:c>
      <x:c r="O979" s="9" t="n">
        <x:v>0</x:v>
      </x:c>
      <x:c r="P979" s="9" t="str">
        <x:v>HELD / UNRELEASED</x:v>
      </x:c>
      <x:c r="Q979" s="9" t="n">
        <x:f>COUNTIFS($A$7:$A$2310,A979)</x:f>
        <x:v>1</x:v>
      </x:c>
    </x:row>
    <x:row r="980">
      <x:c r="A980" s="9" t="str">
        <x:v>PD-AR-ET-A-A-TECH-2-B2-INT-G0-PD14</x:v>
      </x:c>
      <x:c r="B980" s="9" t="str">
        <x:v>PD-AR-ET-A-A-TECH-2-B2-INT-G0</x:v>
      </x:c>
      <x:c r="C980" s="9" t="str">
        <x:v>EV-AR-ET-A-A-TECH-2-B2-INT-G0</x:v>
      </x:c>
      <x:c r="D980" s="9" t="str">
        <x:v>AR-ET-A-A-TECH-2-B2-INT-G0</x:v>
      </x:c>
      <x:c r="E980" s="9" t="str">
        <x:v>ET-A-A-TECH-2</x:v>
      </x:c>
      <x:c r="F980" s="9" t="str">
        <x:v>ET-A-A</x:v>
      </x:c>
      <x:c r="G980" s="9" t="str">
        <x:v>B2</x:v>
      </x:c>
      <x:c r="H980" s="9" t="str">
        <x:v>INT</x:v>
      </x:c>
      <x:c r="I980" s="9" t="str">
        <x:v>PD14</x:v>
      </x:c>
      <x:c r="J980" s="17" t="str">
        <x:v>Break and residual account</x:v>
      </x:c>
      <x:c r="K980" s="17" t="str">
        <x:v>Residual authority</x:v>
      </x:c>
      <x:c r="L980" s="17" t="str">
        <x:v>COURT-SEALED UNTIL COHORT RELEASE</x:v>
      </x:c>
      <x:c r="M980" s="9" t="n">
        <x:v>0</x:v>
      </x:c>
      <x:c r="N980" s="9" t="n">
        <x:v>0</x:v>
      </x:c>
      <x:c r="O980" s="9" t="n">
        <x:v>0</x:v>
      </x:c>
      <x:c r="P980" s="9" t="str">
        <x:v>HELD / UNRELEASED</x:v>
      </x:c>
      <x:c r="Q980" s="9" t="n">
        <x:f>COUNTIFS($A$7:$A$2310,A980)</x:f>
        <x:v>1</x:v>
      </x:c>
    </x:row>
    <x:row r="981">
      <x:c r="A981" s="9" t="str">
        <x:v>PD-AR-ET-A-A-TECH-2-B2-INT-G0-PD15</x:v>
      </x:c>
      <x:c r="B981" s="9" t="str">
        <x:v>PD-AR-ET-A-A-TECH-2-B2-INT-G0</x:v>
      </x:c>
      <x:c r="C981" s="9" t="str">
        <x:v>EV-AR-ET-A-A-TECH-2-B2-INT-G0</x:v>
      </x:c>
      <x:c r="D981" s="9" t="str">
        <x:v>AR-ET-A-A-TECH-2-B2-INT-G0</x:v>
      </x:c>
      <x:c r="E981" s="9" t="str">
        <x:v>ET-A-A-TECH-2</x:v>
      </x:c>
      <x:c r="F981" s="9" t="str">
        <x:v>ET-A-A</x:v>
      </x:c>
      <x:c r="G981" s="9" t="str">
        <x:v>B2</x:v>
      </x:c>
      <x:c r="H981" s="9" t="str">
        <x:v>INT</x:v>
      </x:c>
      <x:c r="I981" s="9" t="str">
        <x:v>PD15</x:v>
      </x:c>
      <x:c r="J981" s="17" t="str">
        <x:v>Reconstruction ancestry and replay</x:v>
      </x:c>
      <x:c r="K981" s="17" t="str">
        <x:v>Reconstruction court</x:v>
      </x:c>
      <x:c r="L981" s="17" t="str">
        <x:v>COURT-SEALED UNTIL COHORT RELEASE</x:v>
      </x:c>
      <x:c r="M981" s="9" t="n">
        <x:v>0</x:v>
      </x:c>
      <x:c r="N981" s="9" t="n">
        <x:v>0</x:v>
      </x:c>
      <x:c r="O981" s="9" t="n">
        <x:v>0</x:v>
      </x:c>
      <x:c r="P981" s="9" t="str">
        <x:v>HELD / UNRELEASED</x:v>
      </x:c>
      <x:c r="Q981" s="9" t="n">
        <x:f>COUNTIFS($A$7:$A$2310,A981)</x:f>
        <x:v>1</x:v>
      </x:c>
    </x:row>
    <x:row r="982">
      <x:c r="A982" s="9" t="str">
        <x:v>PD-AR-ET-A-A-TECH-2-B2-INT-G0-PD16</x:v>
      </x:c>
      <x:c r="B982" s="9" t="str">
        <x:v>PD-AR-ET-A-A-TECH-2-B2-INT-G0</x:v>
      </x:c>
      <x:c r="C982" s="9" t="str">
        <x:v>EV-AR-ET-A-A-TECH-2-B2-INT-G0</x:v>
      </x:c>
      <x:c r="D982" s="9" t="str">
        <x:v>AR-ET-A-A-TECH-2-B2-INT-G0</x:v>
      </x:c>
      <x:c r="E982" s="9" t="str">
        <x:v>ET-A-A-TECH-2</x:v>
      </x:c>
      <x:c r="F982" s="9" t="str">
        <x:v>ET-A-A</x:v>
      </x:c>
      <x:c r="G982" s="9" t="str">
        <x:v>B2</x:v>
      </x:c>
      <x:c r="H982" s="9" t="str">
        <x:v>INT</x:v>
      </x:c>
      <x:c r="I982" s="9" t="str">
        <x:v>PD16</x:v>
      </x:c>
      <x:c r="J982" s="17" t="str">
        <x:v>Dissent, amendments and access log</x:v>
      </x:c>
      <x:c r="K982" s="17" t="str">
        <x:v>Public archive</x:v>
      </x:c>
      <x:c r="L982" s="17" t="str">
        <x:v>COURT-SEALED UNTIL COHORT RELEASE</x:v>
      </x:c>
      <x:c r="M982" s="9" t="n">
        <x:v>0</x:v>
      </x:c>
      <x:c r="N982" s="9" t="n">
        <x:v>0</x:v>
      </x:c>
      <x:c r="O982" s="9" t="n">
        <x:v>0</x:v>
      </x:c>
      <x:c r="P982" s="9" t="str">
        <x:v>HELD / UNRELEASED</x:v>
      </x:c>
      <x:c r="Q982" s="9" t="n">
        <x:f>COUNTIFS($A$7:$A$2310,A982)</x:f>
        <x:v>1</x:v>
      </x:c>
    </x:row>
    <x:row r="983">
      <x:c r="A983" s="9" t="str">
        <x:v>PD-AR-ET-A-A-TECH-3-B1-INT-G0-PD01</x:v>
      </x:c>
      <x:c r="B983" s="9" t="str">
        <x:v>PD-AR-ET-A-A-TECH-3-B1-INT-G0</x:v>
      </x:c>
      <x:c r="C983" s="9" t="str">
        <x:v>EV-AR-ET-A-A-TECH-3-B1-INT-G0</x:v>
      </x:c>
      <x:c r="D983" s="9" t="str">
        <x:v>AR-ET-A-A-TECH-3-B1-INT-G0</x:v>
      </x:c>
      <x:c r="E983" s="9" t="str">
        <x:v>ET-A-A-TECH-3</x:v>
      </x:c>
      <x:c r="F983" s="9" t="str">
        <x:v>ET-A-A</x:v>
      </x:c>
      <x:c r="G983" s="9" t="str">
        <x:v>B1</x:v>
      </x:c>
      <x:c r="H983" s="9" t="str">
        <x:v>INT</x:v>
      </x:c>
      <x:c r="I983" s="9" t="str">
        <x:v>PD01</x:v>
      </x:c>
      <x:c r="J983" s="17" t="str">
        <x:v>Experiment kernel</x:v>
      </x:c>
      <x:c r="K983" s="17" t="str">
        <x:v>Public archive</x:v>
      </x:c>
      <x:c r="L983" s="17" t="str">
        <x:v>COURT-SEALED UNTIL COHORT RELEASE</x:v>
      </x:c>
      <x:c r="M983" s="9" t="n">
        <x:v>0</x:v>
      </x:c>
      <x:c r="N983" s="9" t="n">
        <x:v>0</x:v>
      </x:c>
      <x:c r="O983" s="9" t="n">
        <x:v>0</x:v>
      </x:c>
      <x:c r="P983" s="9" t="str">
        <x:v>HELD / UNRELEASED</x:v>
      </x:c>
      <x:c r="Q983" s="9" t="n">
        <x:f>COUNTIFS($A$7:$A$2310,A983)</x:f>
        <x:v>1</x:v>
      </x:c>
    </x:row>
    <x:row r="984">
      <x:c r="A984" s="9" t="str">
        <x:v>PD-AR-ET-A-A-TECH-3-B1-INT-G0-PD02</x:v>
      </x:c>
      <x:c r="B984" s="9" t="str">
        <x:v>PD-AR-ET-A-A-TECH-3-B1-INT-G0</x:v>
      </x:c>
      <x:c r="C984" s="9" t="str">
        <x:v>EV-AR-ET-A-A-TECH-3-B1-INT-G0</x:v>
      </x:c>
      <x:c r="D984" s="9" t="str">
        <x:v>AR-ET-A-A-TECH-3-B1-INT-G0</x:v>
      </x:c>
      <x:c r="E984" s="9" t="str">
        <x:v>ET-A-A-TECH-3</x:v>
      </x:c>
      <x:c r="F984" s="9" t="str">
        <x:v>ET-A-A</x:v>
      </x:c>
      <x:c r="G984" s="9" t="str">
        <x:v>B1</x:v>
      </x:c>
      <x:c r="H984" s="9" t="str">
        <x:v>INT</x:v>
      </x:c>
      <x:c r="I984" s="9" t="str">
        <x:v>PD02</x:v>
      </x:c>
      <x:c r="J984" s="17" t="str">
        <x:v>Serial annex and title chain</x:v>
      </x:c>
      <x:c r="K984" s="17" t="str">
        <x:v>Public archive</x:v>
      </x:c>
      <x:c r="L984" s="17" t="str">
        <x:v>COURT-SEALED UNTIL COHORT RELEASE</x:v>
      </x:c>
      <x:c r="M984" s="9" t="n">
        <x:v>0</x:v>
      </x:c>
      <x:c r="N984" s="9" t="n">
        <x:v>0</x:v>
      </x:c>
      <x:c r="O984" s="9" t="n">
        <x:v>0</x:v>
      </x:c>
      <x:c r="P984" s="9" t="str">
        <x:v>HELD / UNRELEASED</x:v>
      </x:c>
      <x:c r="Q984" s="9" t="n">
        <x:f>COUNTIFS($A$7:$A$2310,A984)</x:f>
        <x:v>1</x:v>
      </x:c>
    </x:row>
    <x:row r="985">
      <x:c r="A985" s="9" t="str">
        <x:v>PD-AR-ET-A-A-TECH-3-B1-INT-G0-PD03</x:v>
      </x:c>
      <x:c r="B985" s="9" t="str">
        <x:v>PD-AR-ET-A-A-TECH-3-B1-INT-G0</x:v>
      </x:c>
      <x:c r="C985" s="9" t="str">
        <x:v>EV-AR-ET-A-A-TECH-3-B1-INT-G0</x:v>
      </x:c>
      <x:c r="D985" s="9" t="str">
        <x:v>AR-ET-A-A-TECH-3-B1-INT-G0</x:v>
      </x:c>
      <x:c r="E985" s="9" t="str">
        <x:v>ET-A-A-TECH-3</x:v>
      </x:c>
      <x:c r="F985" s="9" t="str">
        <x:v>ET-A-A</x:v>
      </x:c>
      <x:c r="G985" s="9" t="str">
        <x:v>B1</x:v>
      </x:c>
      <x:c r="H985" s="9" t="str">
        <x:v>INT</x:v>
      </x:c>
      <x:c r="I985" s="9" t="str">
        <x:v>PD03</x:v>
      </x:c>
      <x:c r="J985" s="17" t="str">
        <x:v>Configuration and as-built manifest</x:v>
      </x:c>
      <x:c r="K985" s="17" t="str">
        <x:v>Artifact exchange</x:v>
      </x:c>
      <x:c r="L985" s="17" t="str">
        <x:v>COURT-SEALED UNTIL COHORT RELEASE</x:v>
      </x:c>
      <x:c r="M985" s="9" t="n">
        <x:v>0</x:v>
      </x:c>
      <x:c r="N985" s="9" t="n">
        <x:v>0</x:v>
      </x:c>
      <x:c r="O985" s="9" t="n">
        <x:v>0</x:v>
      </x:c>
      <x:c r="P985" s="9" t="str">
        <x:v>HELD / UNRELEASED</x:v>
      </x:c>
      <x:c r="Q985" s="9" t="n">
        <x:f>COUNTIFS($A$7:$A$2310,A985)</x:f>
        <x:v>1</x:v>
      </x:c>
    </x:row>
    <x:row r="986">
      <x:c r="A986" s="9" t="str">
        <x:v>PD-AR-ET-A-A-TECH-3-B1-INT-G0-PD04</x:v>
      </x:c>
      <x:c r="B986" s="9" t="str">
        <x:v>PD-AR-ET-A-A-TECH-3-B1-INT-G0</x:v>
      </x:c>
      <x:c r="C986" s="9" t="str">
        <x:v>EV-AR-ET-A-A-TECH-3-B1-INT-G0</x:v>
      </x:c>
      <x:c r="D986" s="9" t="str">
        <x:v>AR-ET-A-A-TECH-3-B1-INT-G0</x:v>
      </x:c>
      <x:c r="E986" s="9" t="str">
        <x:v>ET-A-A-TECH-3</x:v>
      </x:c>
      <x:c r="F986" s="9" t="str">
        <x:v>ET-A-A</x:v>
      </x:c>
      <x:c r="G986" s="9" t="str">
        <x:v>B1</x:v>
      </x:c>
      <x:c r="H986" s="9" t="str">
        <x:v>INT</x:v>
      </x:c>
      <x:c r="I986" s="9" t="str">
        <x:v>PD04</x:v>
      </x:c>
      <x:c r="J986" s="17" t="str">
        <x:v>EOW and start certificate</x:v>
      </x:c>
      <x:c r="K986" s="17" t="str">
        <x:v>Start registrar</x:v>
      </x:c>
      <x:c r="L986" s="17" t="str">
        <x:v>COURT-SEALED UNTIL COHORT RELEASE</x:v>
      </x:c>
      <x:c r="M986" s="9" t="n">
        <x:v>0</x:v>
      </x:c>
      <x:c r="N986" s="9" t="n">
        <x:v>0</x:v>
      </x:c>
      <x:c r="O986" s="9" t="n">
        <x:v>0</x:v>
      </x:c>
      <x:c r="P986" s="9" t="str">
        <x:v>HELD / UNRELEASED</x:v>
      </x:c>
      <x:c r="Q986" s="9" t="n">
        <x:f>COUNTIFS($A$7:$A$2310,A986)</x:f>
        <x:v>1</x:v>
      </x:c>
    </x:row>
    <x:row r="987">
      <x:c r="A987" s="9" t="str">
        <x:v>PD-AR-ET-A-A-TECH-3-B1-INT-G0-PD05</x:v>
      </x:c>
      <x:c r="B987" s="9" t="str">
        <x:v>PD-AR-ET-A-A-TECH-3-B1-INT-G0</x:v>
      </x:c>
      <x:c r="C987" s="9" t="str">
        <x:v>EV-AR-ET-A-A-TECH-3-B1-INT-G0</x:v>
      </x:c>
      <x:c r="D987" s="9" t="str">
        <x:v>AR-ET-A-A-TECH-3-B1-INT-G0</x:v>
      </x:c>
      <x:c r="E987" s="9" t="str">
        <x:v>ET-A-A-TECH-3</x:v>
      </x:c>
      <x:c r="F987" s="9" t="str">
        <x:v>ET-A-A</x:v>
      </x:c>
      <x:c r="G987" s="9" t="str">
        <x:v>B1</x:v>
      </x:c>
      <x:c r="H987" s="9" t="str">
        <x:v>INT</x:v>
      </x:c>
      <x:c r="I987" s="9" t="str">
        <x:v>PD05</x:v>
      </x:c>
      <x:c r="J987" s="17" t="str">
        <x:v>Primary raw originals</x:v>
      </x:c>
      <x:c r="K987" s="17" t="str">
        <x:v>Primary custody</x:v>
      </x:c>
      <x:c r="L987" s="17" t="str">
        <x:v>COURT-SEALED UNTIL COHORT RELEASE</x:v>
      </x:c>
      <x:c r="M987" s="9" t="n">
        <x:v>0</x:v>
      </x:c>
      <x:c r="N987" s="9" t="n">
        <x:v>0</x:v>
      </x:c>
      <x:c r="O987" s="9" t="n">
        <x:v>0</x:v>
      </x:c>
      <x:c r="P987" s="9" t="str">
        <x:v>HELD / UNRELEASED</x:v>
      </x:c>
      <x:c r="Q987" s="9" t="n">
        <x:f>COUNTIFS($A$7:$A$2310,A987)</x:f>
        <x:v>1</x:v>
      </x:c>
    </x:row>
    <x:row r="988">
      <x:c r="A988" s="9" t="str">
        <x:v>PD-AR-ET-A-A-TECH-3-B1-INT-G0-PD06</x:v>
      </x:c>
      <x:c r="B988" s="9" t="str">
        <x:v>PD-AR-ET-A-A-TECH-3-B1-INT-G0</x:v>
      </x:c>
      <x:c r="C988" s="9" t="str">
        <x:v>EV-AR-ET-A-A-TECH-3-B1-INT-G0</x:v>
      </x:c>
      <x:c r="D988" s="9" t="str">
        <x:v>AR-ET-A-A-TECH-3-B1-INT-G0</x:v>
      </x:c>
      <x:c r="E988" s="9" t="str">
        <x:v>ET-A-A-TECH-3</x:v>
      </x:c>
      <x:c r="F988" s="9" t="str">
        <x:v>ET-A-A</x:v>
      </x:c>
      <x:c r="G988" s="9" t="str">
        <x:v>B1</x:v>
      </x:c>
      <x:c r="H988" s="9" t="str">
        <x:v>INT</x:v>
      </x:c>
      <x:c r="I988" s="9" t="str">
        <x:v>PD06</x:v>
      </x:c>
      <x:c r="J988" s="17" t="str">
        <x:v>Witness raw originals</x:v>
      </x:c>
      <x:c r="K988" s="17" t="str">
        <x:v>Witness custody</x:v>
      </x:c>
      <x:c r="L988" s="17" t="str">
        <x:v>COURT-SEALED UNTIL COHORT RELEASE</x:v>
      </x:c>
      <x:c r="M988" s="9" t="n">
        <x:v>0</x:v>
      </x:c>
      <x:c r="N988" s="9" t="n">
        <x:v>0</x:v>
      </x:c>
      <x:c r="O988" s="9" t="n">
        <x:v>0</x:v>
      </x:c>
      <x:c r="P988" s="9" t="str">
        <x:v>HELD / UNRELEASED</x:v>
      </x:c>
      <x:c r="Q988" s="9" t="n">
        <x:f>COUNTIFS($A$7:$A$2310,A988)</x:f>
        <x:v>1</x:v>
      </x:c>
    </x:row>
    <x:row r="989">
      <x:c r="A989" s="9" t="str">
        <x:v>PD-AR-ET-A-A-TECH-3-B1-INT-G0-PD07</x:v>
      </x:c>
      <x:c r="B989" s="9" t="str">
        <x:v>PD-AR-ET-A-A-TECH-3-B1-INT-G0</x:v>
      </x:c>
      <x:c r="C989" s="9" t="str">
        <x:v>EV-AR-ET-A-A-TECH-3-B1-INT-G0</x:v>
      </x:c>
      <x:c r="D989" s="9" t="str">
        <x:v>AR-ET-A-A-TECH-3-B1-INT-G0</x:v>
      </x:c>
      <x:c r="E989" s="9" t="str">
        <x:v>ET-A-A-TECH-3</x:v>
      </x:c>
      <x:c r="F989" s="9" t="str">
        <x:v>ET-A-A</x:v>
      </x:c>
      <x:c r="G989" s="9" t="str">
        <x:v>B1</x:v>
      </x:c>
      <x:c r="H989" s="9" t="str">
        <x:v>INT</x:v>
      </x:c>
      <x:c r="I989" s="9" t="str">
        <x:v>PD07</x:v>
      </x:c>
      <x:c r="J989" s="17" t="str">
        <x:v>Clock and environmental records</x:v>
      </x:c>
      <x:c r="K989" s="17" t="str">
        <x:v>Boundary archive</x:v>
      </x:c>
      <x:c r="L989" s="17" t="str">
        <x:v>COURT-SEALED UNTIL COHORT RELEASE</x:v>
      </x:c>
      <x:c r="M989" s="9" t="n">
        <x:v>0</x:v>
      </x:c>
      <x:c r="N989" s="9" t="n">
        <x:v>0</x:v>
      </x:c>
      <x:c r="O989" s="9" t="n">
        <x:v>0</x:v>
      </x:c>
      <x:c r="P989" s="9" t="str">
        <x:v>HELD / UNRELEASED</x:v>
      </x:c>
      <x:c r="Q989" s="9" t="n">
        <x:f>COUNTIFS($A$7:$A$2310,A989)</x:f>
        <x:v>1</x:v>
      </x:c>
    </x:row>
    <x:row r="990">
      <x:c r="A990" s="9" t="str">
        <x:v>PD-AR-ET-A-A-TECH-3-B1-INT-G0-PD08</x:v>
      </x:c>
      <x:c r="B990" s="9" t="str">
        <x:v>PD-AR-ET-A-A-TECH-3-B1-INT-G0</x:v>
      </x:c>
      <x:c r="C990" s="9" t="str">
        <x:v>EV-AR-ET-A-A-TECH-3-B1-INT-G0</x:v>
      </x:c>
      <x:c r="D990" s="9" t="str">
        <x:v>AR-ET-A-A-TECH-3-B1-INT-G0</x:v>
      </x:c>
      <x:c r="E990" s="9" t="str">
        <x:v>ET-A-A-TECH-3</x:v>
      </x:c>
      <x:c r="F990" s="9" t="str">
        <x:v>ET-A-A</x:v>
      </x:c>
      <x:c r="G990" s="9" t="str">
        <x:v>B1</x:v>
      </x:c>
      <x:c r="H990" s="9" t="str">
        <x:v>INT</x:v>
      </x:c>
      <x:c r="I990" s="9" t="str">
        <x:v>PD08</x:v>
      </x:c>
      <x:c r="J990" s="17" t="str">
        <x:v>Command and intervention log</x:v>
      </x:c>
      <x:c r="K990" s="17" t="str">
        <x:v>Safety archive</x:v>
      </x:c>
      <x:c r="L990" s="17" t="str">
        <x:v>COURT-SEALED UNTIL COHORT RELEASE</x:v>
      </x:c>
      <x:c r="M990" s="9" t="n">
        <x:v>0</x:v>
      </x:c>
      <x:c r="N990" s="9" t="n">
        <x:v>0</x:v>
      </x:c>
      <x:c r="O990" s="9" t="n">
        <x:v>0</x:v>
      </x:c>
      <x:c r="P990" s="9" t="str">
        <x:v>HELD / UNRELEASED</x:v>
      </x:c>
      <x:c r="Q990" s="9" t="n">
        <x:f>COUNTIFS($A$7:$A$2310,A990)</x:f>
        <x:v>1</x:v>
      </x:c>
    </x:row>
    <x:row r="991">
      <x:c r="A991" s="9" t="str">
        <x:v>PD-AR-ET-A-A-TECH-3-B1-INT-G0-PD09</x:v>
      </x:c>
      <x:c r="B991" s="9" t="str">
        <x:v>PD-AR-ET-A-A-TECH-3-B1-INT-G0</x:v>
      </x:c>
      <x:c r="C991" s="9" t="str">
        <x:v>EV-AR-ET-A-A-TECH-3-B1-INT-G0</x:v>
      </x:c>
      <x:c r="D991" s="9" t="str">
        <x:v>AR-ET-A-A-TECH-3-B1-INT-G0</x:v>
      </x:c>
      <x:c r="E991" s="9" t="str">
        <x:v>ET-A-A-TECH-3</x:v>
      </x:c>
      <x:c r="F991" s="9" t="str">
        <x:v>ET-A-A</x:v>
      </x:c>
      <x:c r="G991" s="9" t="str">
        <x:v>B1</x:v>
      </x:c>
      <x:c r="H991" s="9" t="str">
        <x:v>INT</x:v>
      </x:c>
      <x:c r="I991" s="9" t="str">
        <x:v>PD09</x:v>
      </x:c>
      <x:c r="J991" s="17" t="str">
        <x:v>Receiver denominator and service ledger</x:v>
      </x:c>
      <x:c r="K991" s="17" t="str">
        <x:v>Receiver archive</x:v>
      </x:c>
      <x:c r="L991" s="17" t="str">
        <x:v>COURT-SEALED UNTIL COHORT RELEASE</x:v>
      </x:c>
      <x:c r="M991" s="9" t="n">
        <x:v>0</x:v>
      </x:c>
      <x:c r="N991" s="9" t="n">
        <x:v>0</x:v>
      </x:c>
      <x:c r="O991" s="9" t="n">
        <x:v>0</x:v>
      </x:c>
      <x:c r="P991" s="9" t="str">
        <x:v>HELD / UNRELEASED</x:v>
      </x:c>
      <x:c r="Q991" s="9" t="n">
        <x:f>COUNTIFS($A$7:$A$2310,A991)</x:f>
        <x:v>1</x:v>
      </x:c>
    </x:row>
    <x:row r="992">
      <x:c r="A992" s="9" t="str">
        <x:v>PD-AR-ET-A-A-TECH-3-B1-INT-G0-PD10</x:v>
      </x:c>
      <x:c r="B992" s="9" t="str">
        <x:v>PD-AR-ET-A-A-TECH-3-B1-INT-G0</x:v>
      </x:c>
      <x:c r="C992" s="9" t="str">
        <x:v>EV-AR-ET-A-A-TECH-3-B1-INT-G0</x:v>
      </x:c>
      <x:c r="D992" s="9" t="str">
        <x:v>AR-ET-A-A-TECH-3-B1-INT-G0</x:v>
      </x:c>
      <x:c r="E992" s="9" t="str">
        <x:v>ET-A-A-TECH-3</x:v>
      </x:c>
      <x:c r="F992" s="9" t="str">
        <x:v>ET-A-A</x:v>
      </x:c>
      <x:c r="G992" s="9" t="str">
        <x:v>B1</x:v>
      </x:c>
      <x:c r="H992" s="9" t="str">
        <x:v>INT</x:v>
      </x:c>
      <x:c r="I992" s="9" t="str">
        <x:v>PD10</x:v>
      </x:c>
      <x:c r="J992" s="17" t="str">
        <x:v>Calibration and uncertainty record</x:v>
      </x:c>
      <x:c r="K992" s="17" t="str">
        <x:v>Metrology archive</x:v>
      </x:c>
      <x:c r="L992" s="17" t="str">
        <x:v>COURT-SEALED UNTIL COHORT RELEASE</x:v>
      </x:c>
      <x:c r="M992" s="9" t="n">
        <x:v>0</x:v>
      </x:c>
      <x:c r="N992" s="9" t="n">
        <x:v>0</x:v>
      </x:c>
      <x:c r="O992" s="9" t="n">
        <x:v>0</x:v>
      </x:c>
      <x:c r="P992" s="9" t="str">
        <x:v>HELD / UNRELEASED</x:v>
      </x:c>
      <x:c r="Q992" s="9" t="n">
        <x:f>COUNTIFS($A$7:$A$2310,A992)</x:f>
        <x:v>1</x:v>
      </x:c>
    </x:row>
    <x:row r="993">
      <x:c r="A993" s="9" t="str">
        <x:v>PD-AR-ET-A-A-TECH-3-B1-INT-G0-PD11</x:v>
      </x:c>
      <x:c r="B993" s="9" t="str">
        <x:v>PD-AR-ET-A-A-TECH-3-B1-INT-G0</x:v>
      </x:c>
      <x:c r="C993" s="9" t="str">
        <x:v>EV-AR-ET-A-A-TECH-3-B1-INT-G0</x:v>
      </x:c>
      <x:c r="D993" s="9" t="str">
        <x:v>AR-ET-A-A-TECH-3-B1-INT-G0</x:v>
      </x:c>
      <x:c r="E993" s="9" t="str">
        <x:v>ET-A-A-TECH-3</x:v>
      </x:c>
      <x:c r="F993" s="9" t="str">
        <x:v>ET-A-A</x:v>
      </x:c>
      <x:c r="G993" s="9" t="str">
        <x:v>B1</x:v>
      </x:c>
      <x:c r="H993" s="9" t="str">
        <x:v>INT</x:v>
      </x:c>
      <x:c r="I993" s="9" t="str">
        <x:v>PD11</x:v>
      </x:c>
      <x:c r="J993" s="17" t="str">
        <x:v>Invalidity petition and opinion</x:v>
      </x:c>
      <x:c r="K993" s="17" t="str">
        <x:v>Invalidity court</x:v>
      </x:c>
      <x:c r="L993" s="17" t="str">
        <x:v>COURT-SEALED UNTIL COHORT RELEASE</x:v>
      </x:c>
      <x:c r="M993" s="9" t="n">
        <x:v>0</x:v>
      </x:c>
      <x:c r="N993" s="9" t="n">
        <x:v>0</x:v>
      </x:c>
      <x:c r="O993" s="9" t="n">
        <x:v>0</x:v>
      </x:c>
      <x:c r="P993" s="9" t="str">
        <x:v>HELD / UNRELEASED</x:v>
      </x:c>
      <x:c r="Q993" s="9" t="n">
        <x:f>COUNTIFS($A$7:$A$2310,A993)</x:f>
        <x:v>1</x:v>
      </x:c>
    </x:row>
    <x:row r="994">
      <x:c r="A994" s="9" t="str">
        <x:v>PD-AR-ET-A-A-TECH-3-B1-INT-G0-PD12</x:v>
      </x:c>
      <x:c r="B994" s="9" t="str">
        <x:v>PD-AR-ET-A-A-TECH-3-B1-INT-G0</x:v>
      </x:c>
      <x:c r="C994" s="9" t="str">
        <x:v>EV-AR-ET-A-A-TECH-3-B1-INT-G0</x:v>
      </x:c>
      <x:c r="D994" s="9" t="str">
        <x:v>AR-ET-A-A-TECH-3-B1-INT-G0</x:v>
      </x:c>
      <x:c r="E994" s="9" t="str">
        <x:v>ET-A-A-TECH-3</x:v>
      </x:c>
      <x:c r="F994" s="9" t="str">
        <x:v>ET-A-A</x:v>
      </x:c>
      <x:c r="G994" s="9" t="str">
        <x:v>B1</x:v>
      </x:c>
      <x:c r="H994" s="9" t="str">
        <x:v>INT</x:v>
      </x:c>
      <x:c r="I994" s="9" t="str">
        <x:v>PD12</x:v>
      </x:c>
      <x:c r="J994" s="17" t="str">
        <x:v>Observation acceptance and replay</x:v>
      </x:c>
      <x:c r="K994" s="17" t="str">
        <x:v>Observation court</x:v>
      </x:c>
      <x:c r="L994" s="17" t="str">
        <x:v>COURT-SEALED UNTIL COHORT RELEASE</x:v>
      </x:c>
      <x:c r="M994" s="9" t="n">
        <x:v>0</x:v>
      </x:c>
      <x:c r="N994" s="9" t="n">
        <x:v>0</x:v>
      </x:c>
      <x:c r="O994" s="9" t="n">
        <x:v>0</x:v>
      </x:c>
      <x:c r="P994" s="9" t="str">
        <x:v>HELD / UNRELEASED</x:v>
      </x:c>
      <x:c r="Q994" s="9" t="n">
        <x:f>COUNTIFS($A$7:$A$2310,A994)</x:f>
        <x:v>1</x:v>
      </x:c>
    </x:row>
    <x:row r="995">
      <x:c r="A995" s="9" t="str">
        <x:v>PD-AR-ET-A-A-TECH-3-B1-INT-G0-PD13</x:v>
      </x:c>
      <x:c r="B995" s="9" t="str">
        <x:v>PD-AR-ET-A-A-TECH-3-B1-INT-G0</x:v>
      </x:c>
      <x:c r="C995" s="9" t="str">
        <x:v>EV-AR-ET-A-A-TECH-3-B1-INT-G0</x:v>
      </x:c>
      <x:c r="D995" s="9" t="str">
        <x:v>AR-ET-A-A-TECH-3-B1-INT-G0</x:v>
      </x:c>
      <x:c r="E995" s="9" t="str">
        <x:v>ET-A-A-TECH-3</x:v>
      </x:c>
      <x:c r="F995" s="9" t="str">
        <x:v>ET-A-A</x:v>
      </x:c>
      <x:c r="G995" s="9" t="str">
        <x:v>B1</x:v>
      </x:c>
      <x:c r="H995" s="9" t="str">
        <x:v>INT</x:v>
      </x:c>
      <x:c r="I995" s="9" t="str">
        <x:v>PD13</x:v>
      </x:c>
      <x:c r="J995" s="17" t="str">
        <x:v>Role judgment</x:v>
      </x:c>
      <x:c r="K995" s="17" t="str">
        <x:v>Role court</x:v>
      </x:c>
      <x:c r="L995" s="17" t="str">
        <x:v>COURT-SEALED UNTIL COHORT RELEASE</x:v>
      </x:c>
      <x:c r="M995" s="9" t="n">
        <x:v>0</x:v>
      </x:c>
      <x:c r="N995" s="9" t="n">
        <x:v>0</x:v>
      </x:c>
      <x:c r="O995" s="9" t="n">
        <x:v>0</x:v>
      </x:c>
      <x:c r="P995" s="9" t="str">
        <x:v>HELD / UNRELEASED</x:v>
      </x:c>
      <x:c r="Q995" s="9" t="n">
        <x:f>COUNTIFS($A$7:$A$2310,A995)</x:f>
        <x:v>1</x:v>
      </x:c>
    </x:row>
    <x:row r="996">
      <x:c r="A996" s="9" t="str">
        <x:v>PD-AR-ET-A-A-TECH-3-B1-INT-G0-PD14</x:v>
      </x:c>
      <x:c r="B996" s="9" t="str">
        <x:v>PD-AR-ET-A-A-TECH-3-B1-INT-G0</x:v>
      </x:c>
      <x:c r="C996" s="9" t="str">
        <x:v>EV-AR-ET-A-A-TECH-3-B1-INT-G0</x:v>
      </x:c>
      <x:c r="D996" s="9" t="str">
        <x:v>AR-ET-A-A-TECH-3-B1-INT-G0</x:v>
      </x:c>
      <x:c r="E996" s="9" t="str">
        <x:v>ET-A-A-TECH-3</x:v>
      </x:c>
      <x:c r="F996" s="9" t="str">
        <x:v>ET-A-A</x:v>
      </x:c>
      <x:c r="G996" s="9" t="str">
        <x:v>B1</x:v>
      </x:c>
      <x:c r="H996" s="9" t="str">
        <x:v>INT</x:v>
      </x:c>
      <x:c r="I996" s="9" t="str">
        <x:v>PD14</x:v>
      </x:c>
      <x:c r="J996" s="17" t="str">
        <x:v>Break and residual account</x:v>
      </x:c>
      <x:c r="K996" s="17" t="str">
        <x:v>Residual authority</x:v>
      </x:c>
      <x:c r="L996" s="17" t="str">
        <x:v>COURT-SEALED UNTIL COHORT RELEASE</x:v>
      </x:c>
      <x:c r="M996" s="9" t="n">
        <x:v>0</x:v>
      </x:c>
      <x:c r="N996" s="9" t="n">
        <x:v>0</x:v>
      </x:c>
      <x:c r="O996" s="9" t="n">
        <x:v>0</x:v>
      </x:c>
      <x:c r="P996" s="9" t="str">
        <x:v>HELD / UNRELEASED</x:v>
      </x:c>
      <x:c r="Q996" s="9" t="n">
        <x:f>COUNTIFS($A$7:$A$2310,A996)</x:f>
        <x:v>1</x:v>
      </x:c>
    </x:row>
    <x:row r="997">
      <x:c r="A997" s="9" t="str">
        <x:v>PD-AR-ET-A-A-TECH-3-B1-INT-G0-PD15</x:v>
      </x:c>
      <x:c r="B997" s="9" t="str">
        <x:v>PD-AR-ET-A-A-TECH-3-B1-INT-G0</x:v>
      </x:c>
      <x:c r="C997" s="9" t="str">
        <x:v>EV-AR-ET-A-A-TECH-3-B1-INT-G0</x:v>
      </x:c>
      <x:c r="D997" s="9" t="str">
        <x:v>AR-ET-A-A-TECH-3-B1-INT-G0</x:v>
      </x:c>
      <x:c r="E997" s="9" t="str">
        <x:v>ET-A-A-TECH-3</x:v>
      </x:c>
      <x:c r="F997" s="9" t="str">
        <x:v>ET-A-A</x:v>
      </x:c>
      <x:c r="G997" s="9" t="str">
        <x:v>B1</x:v>
      </x:c>
      <x:c r="H997" s="9" t="str">
        <x:v>INT</x:v>
      </x:c>
      <x:c r="I997" s="9" t="str">
        <x:v>PD15</x:v>
      </x:c>
      <x:c r="J997" s="17" t="str">
        <x:v>Reconstruction ancestry and replay</x:v>
      </x:c>
      <x:c r="K997" s="17" t="str">
        <x:v>Reconstruction court</x:v>
      </x:c>
      <x:c r="L997" s="17" t="str">
        <x:v>COURT-SEALED UNTIL COHORT RELEASE</x:v>
      </x:c>
      <x:c r="M997" s="9" t="n">
        <x:v>0</x:v>
      </x:c>
      <x:c r="N997" s="9" t="n">
        <x:v>0</x:v>
      </x:c>
      <x:c r="O997" s="9" t="n">
        <x:v>0</x:v>
      </x:c>
      <x:c r="P997" s="9" t="str">
        <x:v>HELD / UNRELEASED</x:v>
      </x:c>
      <x:c r="Q997" s="9" t="n">
        <x:f>COUNTIFS($A$7:$A$2310,A997)</x:f>
        <x:v>1</x:v>
      </x:c>
    </x:row>
    <x:row r="998">
      <x:c r="A998" s="9" t="str">
        <x:v>PD-AR-ET-A-A-TECH-3-B1-INT-G0-PD16</x:v>
      </x:c>
      <x:c r="B998" s="9" t="str">
        <x:v>PD-AR-ET-A-A-TECH-3-B1-INT-G0</x:v>
      </x:c>
      <x:c r="C998" s="9" t="str">
        <x:v>EV-AR-ET-A-A-TECH-3-B1-INT-G0</x:v>
      </x:c>
      <x:c r="D998" s="9" t="str">
        <x:v>AR-ET-A-A-TECH-3-B1-INT-G0</x:v>
      </x:c>
      <x:c r="E998" s="9" t="str">
        <x:v>ET-A-A-TECH-3</x:v>
      </x:c>
      <x:c r="F998" s="9" t="str">
        <x:v>ET-A-A</x:v>
      </x:c>
      <x:c r="G998" s="9" t="str">
        <x:v>B1</x:v>
      </x:c>
      <x:c r="H998" s="9" t="str">
        <x:v>INT</x:v>
      </x:c>
      <x:c r="I998" s="9" t="str">
        <x:v>PD16</x:v>
      </x:c>
      <x:c r="J998" s="17" t="str">
        <x:v>Dissent, amendments and access log</x:v>
      </x:c>
      <x:c r="K998" s="17" t="str">
        <x:v>Public archive</x:v>
      </x:c>
      <x:c r="L998" s="17" t="str">
        <x:v>COURT-SEALED UNTIL COHORT RELEASE</x:v>
      </x:c>
      <x:c r="M998" s="9" t="n">
        <x:v>0</x:v>
      </x:c>
      <x:c r="N998" s="9" t="n">
        <x:v>0</x:v>
      </x:c>
      <x:c r="O998" s="9" t="n">
        <x:v>0</x:v>
      </x:c>
      <x:c r="P998" s="9" t="str">
        <x:v>HELD / UNRELEASED</x:v>
      </x:c>
      <x:c r="Q998" s="9" t="n">
        <x:f>COUNTIFS($A$7:$A$2310,A998)</x:f>
        <x:v>1</x:v>
      </x:c>
    </x:row>
    <x:row r="999">
      <x:c r="A999" s="9" t="str">
        <x:v>PD-AR-HU-A-B-TECH-4-B2-INT-G0-PD01</x:v>
      </x:c>
      <x:c r="B999" s="9" t="str">
        <x:v>PD-AR-HU-A-B-TECH-4-B2-INT-G0</x:v>
      </x:c>
      <x:c r="C999" s="9" t="str">
        <x:v>EV-AR-HU-A-B-TECH-4-B2-INT-G0</x:v>
      </x:c>
      <x:c r="D999" s="9" t="str">
        <x:v>AR-HU-A-B-TECH-4-B2-INT-G0</x:v>
      </x:c>
      <x:c r="E999" s="9" t="str">
        <x:v>HU-A-B-TECH-4</x:v>
      </x:c>
      <x:c r="F999" s="9" t="str">
        <x:v>HU-A-B</x:v>
      </x:c>
      <x:c r="G999" s="9" t="str">
        <x:v>B2</x:v>
      </x:c>
      <x:c r="H999" s="9" t="str">
        <x:v>INT</x:v>
      </x:c>
      <x:c r="I999" s="9" t="str">
        <x:v>PD01</x:v>
      </x:c>
      <x:c r="J999" s="17" t="str">
        <x:v>Experiment kernel</x:v>
      </x:c>
      <x:c r="K999" s="17" t="str">
        <x:v>Public archive</x:v>
      </x:c>
      <x:c r="L999" s="17" t="str">
        <x:v>COURT-SEALED UNTIL COHORT RELEASE</x:v>
      </x:c>
      <x:c r="M999" s="9" t="n">
        <x:v>0</x:v>
      </x:c>
      <x:c r="N999" s="9" t="n">
        <x:v>0</x:v>
      </x:c>
      <x:c r="O999" s="9" t="n">
        <x:v>0</x:v>
      </x:c>
      <x:c r="P999" s="9" t="str">
        <x:v>HELD / UNRELEASED</x:v>
      </x:c>
      <x:c r="Q999" s="9" t="n">
        <x:f>COUNTIFS($A$7:$A$2310,A999)</x:f>
        <x:v>1</x:v>
      </x:c>
    </x:row>
    <x:row r="1000">
      <x:c r="A1000" s="9" t="str">
        <x:v>PD-AR-HU-A-B-TECH-4-B2-INT-G0-PD02</x:v>
      </x:c>
      <x:c r="B1000" s="9" t="str">
        <x:v>PD-AR-HU-A-B-TECH-4-B2-INT-G0</x:v>
      </x:c>
      <x:c r="C1000" s="9" t="str">
        <x:v>EV-AR-HU-A-B-TECH-4-B2-INT-G0</x:v>
      </x:c>
      <x:c r="D1000" s="9" t="str">
        <x:v>AR-HU-A-B-TECH-4-B2-INT-G0</x:v>
      </x:c>
      <x:c r="E1000" s="9" t="str">
        <x:v>HU-A-B-TECH-4</x:v>
      </x:c>
      <x:c r="F1000" s="9" t="str">
        <x:v>HU-A-B</x:v>
      </x:c>
      <x:c r="G1000" s="9" t="str">
        <x:v>B2</x:v>
      </x:c>
      <x:c r="H1000" s="9" t="str">
        <x:v>INT</x:v>
      </x:c>
      <x:c r="I1000" s="9" t="str">
        <x:v>PD02</x:v>
      </x:c>
      <x:c r="J1000" s="17" t="str">
        <x:v>Serial annex and title chain</x:v>
      </x:c>
      <x:c r="K1000" s="17" t="str">
        <x:v>Public archive</x:v>
      </x:c>
      <x:c r="L1000" s="17" t="str">
        <x:v>COURT-SEALED UNTIL COHORT RELEASE</x:v>
      </x:c>
      <x:c r="M1000" s="9" t="n">
        <x:v>0</x:v>
      </x:c>
      <x:c r="N1000" s="9" t="n">
        <x:v>0</x:v>
      </x:c>
      <x:c r="O1000" s="9" t="n">
        <x:v>0</x:v>
      </x:c>
      <x:c r="P1000" s="9" t="str">
        <x:v>HELD / UNRELEASED</x:v>
      </x:c>
      <x:c r="Q1000" s="9" t="n">
        <x:f>COUNTIFS($A$7:$A$2310,A1000)</x:f>
        <x:v>1</x:v>
      </x:c>
    </x:row>
    <x:row r="1001">
      <x:c r="A1001" s="9" t="str">
        <x:v>PD-AR-HU-A-B-TECH-4-B2-INT-G0-PD03</x:v>
      </x:c>
      <x:c r="B1001" s="9" t="str">
        <x:v>PD-AR-HU-A-B-TECH-4-B2-INT-G0</x:v>
      </x:c>
      <x:c r="C1001" s="9" t="str">
        <x:v>EV-AR-HU-A-B-TECH-4-B2-INT-G0</x:v>
      </x:c>
      <x:c r="D1001" s="9" t="str">
        <x:v>AR-HU-A-B-TECH-4-B2-INT-G0</x:v>
      </x:c>
      <x:c r="E1001" s="9" t="str">
        <x:v>HU-A-B-TECH-4</x:v>
      </x:c>
      <x:c r="F1001" s="9" t="str">
        <x:v>HU-A-B</x:v>
      </x:c>
      <x:c r="G1001" s="9" t="str">
        <x:v>B2</x:v>
      </x:c>
      <x:c r="H1001" s="9" t="str">
        <x:v>INT</x:v>
      </x:c>
      <x:c r="I1001" s="9" t="str">
        <x:v>PD03</x:v>
      </x:c>
      <x:c r="J1001" s="17" t="str">
        <x:v>Configuration and as-built manifest</x:v>
      </x:c>
      <x:c r="K1001" s="17" t="str">
        <x:v>Artifact exchange</x:v>
      </x:c>
      <x:c r="L1001" s="17" t="str">
        <x:v>COURT-SEALED UNTIL COHORT RELEASE</x:v>
      </x:c>
      <x:c r="M1001" s="9" t="n">
        <x:v>0</x:v>
      </x:c>
      <x:c r="N1001" s="9" t="n">
        <x:v>0</x:v>
      </x:c>
      <x:c r="O1001" s="9" t="n">
        <x:v>0</x:v>
      </x:c>
      <x:c r="P1001" s="9" t="str">
        <x:v>HELD / UNRELEASED</x:v>
      </x:c>
      <x:c r="Q1001" s="9" t="n">
        <x:f>COUNTIFS($A$7:$A$2310,A1001)</x:f>
        <x:v>1</x:v>
      </x:c>
    </x:row>
    <x:row r="1002">
      <x:c r="A1002" s="9" t="str">
        <x:v>PD-AR-HU-A-B-TECH-4-B2-INT-G0-PD04</x:v>
      </x:c>
      <x:c r="B1002" s="9" t="str">
        <x:v>PD-AR-HU-A-B-TECH-4-B2-INT-G0</x:v>
      </x:c>
      <x:c r="C1002" s="9" t="str">
        <x:v>EV-AR-HU-A-B-TECH-4-B2-INT-G0</x:v>
      </x:c>
      <x:c r="D1002" s="9" t="str">
        <x:v>AR-HU-A-B-TECH-4-B2-INT-G0</x:v>
      </x:c>
      <x:c r="E1002" s="9" t="str">
        <x:v>HU-A-B-TECH-4</x:v>
      </x:c>
      <x:c r="F1002" s="9" t="str">
        <x:v>HU-A-B</x:v>
      </x:c>
      <x:c r="G1002" s="9" t="str">
        <x:v>B2</x:v>
      </x:c>
      <x:c r="H1002" s="9" t="str">
        <x:v>INT</x:v>
      </x:c>
      <x:c r="I1002" s="9" t="str">
        <x:v>PD04</x:v>
      </x:c>
      <x:c r="J1002" s="17" t="str">
        <x:v>EOW and start certificate</x:v>
      </x:c>
      <x:c r="K1002" s="17" t="str">
        <x:v>Start registrar</x:v>
      </x:c>
      <x:c r="L1002" s="17" t="str">
        <x:v>COURT-SEALED UNTIL COHORT RELEASE</x:v>
      </x:c>
      <x:c r="M1002" s="9" t="n">
        <x:v>0</x:v>
      </x:c>
      <x:c r="N1002" s="9" t="n">
        <x:v>0</x:v>
      </x:c>
      <x:c r="O1002" s="9" t="n">
        <x:v>0</x:v>
      </x:c>
      <x:c r="P1002" s="9" t="str">
        <x:v>HELD / UNRELEASED</x:v>
      </x:c>
      <x:c r="Q1002" s="9" t="n">
        <x:f>COUNTIFS($A$7:$A$2310,A1002)</x:f>
        <x:v>1</x:v>
      </x:c>
    </x:row>
    <x:row r="1003">
      <x:c r="A1003" s="9" t="str">
        <x:v>PD-AR-HU-A-B-TECH-4-B2-INT-G0-PD05</x:v>
      </x:c>
      <x:c r="B1003" s="9" t="str">
        <x:v>PD-AR-HU-A-B-TECH-4-B2-INT-G0</x:v>
      </x:c>
      <x:c r="C1003" s="9" t="str">
        <x:v>EV-AR-HU-A-B-TECH-4-B2-INT-G0</x:v>
      </x:c>
      <x:c r="D1003" s="9" t="str">
        <x:v>AR-HU-A-B-TECH-4-B2-INT-G0</x:v>
      </x:c>
      <x:c r="E1003" s="9" t="str">
        <x:v>HU-A-B-TECH-4</x:v>
      </x:c>
      <x:c r="F1003" s="9" t="str">
        <x:v>HU-A-B</x:v>
      </x:c>
      <x:c r="G1003" s="9" t="str">
        <x:v>B2</x:v>
      </x:c>
      <x:c r="H1003" s="9" t="str">
        <x:v>INT</x:v>
      </x:c>
      <x:c r="I1003" s="9" t="str">
        <x:v>PD05</x:v>
      </x:c>
      <x:c r="J1003" s="17" t="str">
        <x:v>Primary raw originals</x:v>
      </x:c>
      <x:c r="K1003" s="17" t="str">
        <x:v>Primary custody</x:v>
      </x:c>
      <x:c r="L1003" s="17" t="str">
        <x:v>COURT-SEALED UNTIL COHORT RELEASE</x:v>
      </x:c>
      <x:c r="M1003" s="9" t="n">
        <x:v>0</x:v>
      </x:c>
      <x:c r="N1003" s="9" t="n">
        <x:v>0</x:v>
      </x:c>
      <x:c r="O1003" s="9" t="n">
        <x:v>0</x:v>
      </x:c>
      <x:c r="P1003" s="9" t="str">
        <x:v>HELD / UNRELEASED</x:v>
      </x:c>
      <x:c r="Q1003" s="9" t="n">
        <x:f>COUNTIFS($A$7:$A$2310,A1003)</x:f>
        <x:v>1</x:v>
      </x:c>
    </x:row>
    <x:row r="1004">
      <x:c r="A1004" s="9" t="str">
        <x:v>PD-AR-HU-A-B-TECH-4-B2-INT-G0-PD06</x:v>
      </x:c>
      <x:c r="B1004" s="9" t="str">
        <x:v>PD-AR-HU-A-B-TECH-4-B2-INT-G0</x:v>
      </x:c>
      <x:c r="C1004" s="9" t="str">
        <x:v>EV-AR-HU-A-B-TECH-4-B2-INT-G0</x:v>
      </x:c>
      <x:c r="D1004" s="9" t="str">
        <x:v>AR-HU-A-B-TECH-4-B2-INT-G0</x:v>
      </x:c>
      <x:c r="E1004" s="9" t="str">
        <x:v>HU-A-B-TECH-4</x:v>
      </x:c>
      <x:c r="F1004" s="9" t="str">
        <x:v>HU-A-B</x:v>
      </x:c>
      <x:c r="G1004" s="9" t="str">
        <x:v>B2</x:v>
      </x:c>
      <x:c r="H1004" s="9" t="str">
        <x:v>INT</x:v>
      </x:c>
      <x:c r="I1004" s="9" t="str">
        <x:v>PD06</x:v>
      </x:c>
      <x:c r="J1004" s="17" t="str">
        <x:v>Witness raw originals</x:v>
      </x:c>
      <x:c r="K1004" s="17" t="str">
        <x:v>Witness custody</x:v>
      </x:c>
      <x:c r="L1004" s="17" t="str">
        <x:v>COURT-SEALED UNTIL COHORT RELEASE</x:v>
      </x:c>
      <x:c r="M1004" s="9" t="n">
        <x:v>0</x:v>
      </x:c>
      <x:c r="N1004" s="9" t="n">
        <x:v>0</x:v>
      </x:c>
      <x:c r="O1004" s="9" t="n">
        <x:v>0</x:v>
      </x:c>
      <x:c r="P1004" s="9" t="str">
        <x:v>HELD / UNRELEASED</x:v>
      </x:c>
      <x:c r="Q1004" s="9" t="n">
        <x:f>COUNTIFS($A$7:$A$2310,A1004)</x:f>
        <x:v>1</x:v>
      </x:c>
    </x:row>
    <x:row r="1005">
      <x:c r="A1005" s="9" t="str">
        <x:v>PD-AR-HU-A-B-TECH-4-B2-INT-G0-PD07</x:v>
      </x:c>
      <x:c r="B1005" s="9" t="str">
        <x:v>PD-AR-HU-A-B-TECH-4-B2-INT-G0</x:v>
      </x:c>
      <x:c r="C1005" s="9" t="str">
        <x:v>EV-AR-HU-A-B-TECH-4-B2-INT-G0</x:v>
      </x:c>
      <x:c r="D1005" s="9" t="str">
        <x:v>AR-HU-A-B-TECH-4-B2-INT-G0</x:v>
      </x:c>
      <x:c r="E1005" s="9" t="str">
        <x:v>HU-A-B-TECH-4</x:v>
      </x:c>
      <x:c r="F1005" s="9" t="str">
        <x:v>HU-A-B</x:v>
      </x:c>
      <x:c r="G1005" s="9" t="str">
        <x:v>B2</x:v>
      </x:c>
      <x:c r="H1005" s="9" t="str">
        <x:v>INT</x:v>
      </x:c>
      <x:c r="I1005" s="9" t="str">
        <x:v>PD07</x:v>
      </x:c>
      <x:c r="J1005" s="17" t="str">
        <x:v>Clock and environmental records</x:v>
      </x:c>
      <x:c r="K1005" s="17" t="str">
        <x:v>Boundary archive</x:v>
      </x:c>
      <x:c r="L1005" s="17" t="str">
        <x:v>COURT-SEALED UNTIL COHORT RELEASE</x:v>
      </x:c>
      <x:c r="M1005" s="9" t="n">
        <x:v>0</x:v>
      </x:c>
      <x:c r="N1005" s="9" t="n">
        <x:v>0</x:v>
      </x:c>
      <x:c r="O1005" s="9" t="n">
        <x:v>0</x:v>
      </x:c>
      <x:c r="P1005" s="9" t="str">
        <x:v>HELD / UNRELEASED</x:v>
      </x:c>
      <x:c r="Q1005" s="9" t="n">
        <x:f>COUNTIFS($A$7:$A$2310,A1005)</x:f>
        <x:v>1</x:v>
      </x:c>
    </x:row>
    <x:row r="1006">
      <x:c r="A1006" s="9" t="str">
        <x:v>PD-AR-HU-A-B-TECH-4-B2-INT-G0-PD08</x:v>
      </x:c>
      <x:c r="B1006" s="9" t="str">
        <x:v>PD-AR-HU-A-B-TECH-4-B2-INT-G0</x:v>
      </x:c>
      <x:c r="C1006" s="9" t="str">
        <x:v>EV-AR-HU-A-B-TECH-4-B2-INT-G0</x:v>
      </x:c>
      <x:c r="D1006" s="9" t="str">
        <x:v>AR-HU-A-B-TECH-4-B2-INT-G0</x:v>
      </x:c>
      <x:c r="E1006" s="9" t="str">
        <x:v>HU-A-B-TECH-4</x:v>
      </x:c>
      <x:c r="F1006" s="9" t="str">
        <x:v>HU-A-B</x:v>
      </x:c>
      <x:c r="G1006" s="9" t="str">
        <x:v>B2</x:v>
      </x:c>
      <x:c r="H1006" s="9" t="str">
        <x:v>INT</x:v>
      </x:c>
      <x:c r="I1006" s="9" t="str">
        <x:v>PD08</x:v>
      </x:c>
      <x:c r="J1006" s="17" t="str">
        <x:v>Command and intervention log</x:v>
      </x:c>
      <x:c r="K1006" s="17" t="str">
        <x:v>Safety archive</x:v>
      </x:c>
      <x:c r="L1006" s="17" t="str">
        <x:v>COURT-SEALED UNTIL COHORT RELEASE</x:v>
      </x:c>
      <x:c r="M1006" s="9" t="n">
        <x:v>0</x:v>
      </x:c>
      <x:c r="N1006" s="9" t="n">
        <x:v>0</x:v>
      </x:c>
      <x:c r="O1006" s="9" t="n">
        <x:v>0</x:v>
      </x:c>
      <x:c r="P1006" s="9" t="str">
        <x:v>HELD / UNRELEASED</x:v>
      </x:c>
      <x:c r="Q1006" s="9" t="n">
        <x:f>COUNTIFS($A$7:$A$2310,A1006)</x:f>
        <x:v>1</x:v>
      </x:c>
    </x:row>
    <x:row r="1007">
      <x:c r="A1007" s="9" t="str">
        <x:v>PD-AR-HU-A-B-TECH-4-B2-INT-G0-PD09</x:v>
      </x:c>
      <x:c r="B1007" s="9" t="str">
        <x:v>PD-AR-HU-A-B-TECH-4-B2-INT-G0</x:v>
      </x:c>
      <x:c r="C1007" s="9" t="str">
        <x:v>EV-AR-HU-A-B-TECH-4-B2-INT-G0</x:v>
      </x:c>
      <x:c r="D1007" s="9" t="str">
        <x:v>AR-HU-A-B-TECH-4-B2-INT-G0</x:v>
      </x:c>
      <x:c r="E1007" s="9" t="str">
        <x:v>HU-A-B-TECH-4</x:v>
      </x:c>
      <x:c r="F1007" s="9" t="str">
        <x:v>HU-A-B</x:v>
      </x:c>
      <x:c r="G1007" s="9" t="str">
        <x:v>B2</x:v>
      </x:c>
      <x:c r="H1007" s="9" t="str">
        <x:v>INT</x:v>
      </x:c>
      <x:c r="I1007" s="9" t="str">
        <x:v>PD09</x:v>
      </x:c>
      <x:c r="J1007" s="17" t="str">
        <x:v>Receiver denominator and service ledger</x:v>
      </x:c>
      <x:c r="K1007" s="17" t="str">
        <x:v>Receiver archive</x:v>
      </x:c>
      <x:c r="L1007" s="17" t="str">
        <x:v>COURT-SEALED UNTIL COHORT RELEASE</x:v>
      </x:c>
      <x:c r="M1007" s="9" t="n">
        <x:v>0</x:v>
      </x:c>
      <x:c r="N1007" s="9" t="n">
        <x:v>0</x:v>
      </x:c>
      <x:c r="O1007" s="9" t="n">
        <x:v>0</x:v>
      </x:c>
      <x:c r="P1007" s="9" t="str">
        <x:v>HELD / UNRELEASED</x:v>
      </x:c>
      <x:c r="Q1007" s="9" t="n">
        <x:f>COUNTIFS($A$7:$A$2310,A1007)</x:f>
        <x:v>1</x:v>
      </x:c>
    </x:row>
    <x:row r="1008">
      <x:c r="A1008" s="9" t="str">
        <x:v>PD-AR-HU-A-B-TECH-4-B2-INT-G0-PD10</x:v>
      </x:c>
      <x:c r="B1008" s="9" t="str">
        <x:v>PD-AR-HU-A-B-TECH-4-B2-INT-G0</x:v>
      </x:c>
      <x:c r="C1008" s="9" t="str">
        <x:v>EV-AR-HU-A-B-TECH-4-B2-INT-G0</x:v>
      </x:c>
      <x:c r="D1008" s="9" t="str">
        <x:v>AR-HU-A-B-TECH-4-B2-INT-G0</x:v>
      </x:c>
      <x:c r="E1008" s="9" t="str">
        <x:v>HU-A-B-TECH-4</x:v>
      </x:c>
      <x:c r="F1008" s="9" t="str">
        <x:v>HU-A-B</x:v>
      </x:c>
      <x:c r="G1008" s="9" t="str">
        <x:v>B2</x:v>
      </x:c>
      <x:c r="H1008" s="9" t="str">
        <x:v>INT</x:v>
      </x:c>
      <x:c r="I1008" s="9" t="str">
        <x:v>PD10</x:v>
      </x:c>
      <x:c r="J1008" s="17" t="str">
        <x:v>Calibration and uncertainty record</x:v>
      </x:c>
      <x:c r="K1008" s="17" t="str">
        <x:v>Metrology archive</x:v>
      </x:c>
      <x:c r="L1008" s="17" t="str">
        <x:v>COURT-SEALED UNTIL COHORT RELEASE</x:v>
      </x:c>
      <x:c r="M1008" s="9" t="n">
        <x:v>0</x:v>
      </x:c>
      <x:c r="N1008" s="9" t="n">
        <x:v>0</x:v>
      </x:c>
      <x:c r="O1008" s="9" t="n">
        <x:v>0</x:v>
      </x:c>
      <x:c r="P1008" s="9" t="str">
        <x:v>HELD / UNRELEASED</x:v>
      </x:c>
      <x:c r="Q1008" s="9" t="n">
        <x:f>COUNTIFS($A$7:$A$2310,A1008)</x:f>
        <x:v>1</x:v>
      </x:c>
    </x:row>
    <x:row r="1009">
      <x:c r="A1009" s="9" t="str">
        <x:v>PD-AR-HU-A-B-TECH-4-B2-INT-G0-PD11</x:v>
      </x:c>
      <x:c r="B1009" s="9" t="str">
        <x:v>PD-AR-HU-A-B-TECH-4-B2-INT-G0</x:v>
      </x:c>
      <x:c r="C1009" s="9" t="str">
        <x:v>EV-AR-HU-A-B-TECH-4-B2-INT-G0</x:v>
      </x:c>
      <x:c r="D1009" s="9" t="str">
        <x:v>AR-HU-A-B-TECH-4-B2-INT-G0</x:v>
      </x:c>
      <x:c r="E1009" s="9" t="str">
        <x:v>HU-A-B-TECH-4</x:v>
      </x:c>
      <x:c r="F1009" s="9" t="str">
        <x:v>HU-A-B</x:v>
      </x:c>
      <x:c r="G1009" s="9" t="str">
        <x:v>B2</x:v>
      </x:c>
      <x:c r="H1009" s="9" t="str">
        <x:v>INT</x:v>
      </x:c>
      <x:c r="I1009" s="9" t="str">
        <x:v>PD11</x:v>
      </x:c>
      <x:c r="J1009" s="17" t="str">
        <x:v>Invalidity petition and opinion</x:v>
      </x:c>
      <x:c r="K1009" s="17" t="str">
        <x:v>Invalidity court</x:v>
      </x:c>
      <x:c r="L1009" s="17" t="str">
        <x:v>COURT-SEALED UNTIL COHORT RELEASE</x:v>
      </x:c>
      <x:c r="M1009" s="9" t="n">
        <x:v>0</x:v>
      </x:c>
      <x:c r="N1009" s="9" t="n">
        <x:v>0</x:v>
      </x:c>
      <x:c r="O1009" s="9" t="n">
        <x:v>0</x:v>
      </x:c>
      <x:c r="P1009" s="9" t="str">
        <x:v>HELD / UNRELEASED</x:v>
      </x:c>
      <x:c r="Q1009" s="9" t="n">
        <x:f>COUNTIFS($A$7:$A$2310,A1009)</x:f>
        <x:v>1</x:v>
      </x:c>
    </x:row>
    <x:row r="1010">
      <x:c r="A1010" s="9" t="str">
        <x:v>PD-AR-HU-A-B-TECH-4-B2-INT-G0-PD12</x:v>
      </x:c>
      <x:c r="B1010" s="9" t="str">
        <x:v>PD-AR-HU-A-B-TECH-4-B2-INT-G0</x:v>
      </x:c>
      <x:c r="C1010" s="9" t="str">
        <x:v>EV-AR-HU-A-B-TECH-4-B2-INT-G0</x:v>
      </x:c>
      <x:c r="D1010" s="9" t="str">
        <x:v>AR-HU-A-B-TECH-4-B2-INT-G0</x:v>
      </x:c>
      <x:c r="E1010" s="9" t="str">
        <x:v>HU-A-B-TECH-4</x:v>
      </x:c>
      <x:c r="F1010" s="9" t="str">
        <x:v>HU-A-B</x:v>
      </x:c>
      <x:c r="G1010" s="9" t="str">
        <x:v>B2</x:v>
      </x:c>
      <x:c r="H1010" s="9" t="str">
        <x:v>INT</x:v>
      </x:c>
      <x:c r="I1010" s="9" t="str">
        <x:v>PD12</x:v>
      </x:c>
      <x:c r="J1010" s="17" t="str">
        <x:v>Observation acceptance and replay</x:v>
      </x:c>
      <x:c r="K1010" s="17" t="str">
        <x:v>Observation court</x:v>
      </x:c>
      <x:c r="L1010" s="17" t="str">
        <x:v>COURT-SEALED UNTIL COHORT RELEASE</x:v>
      </x:c>
      <x:c r="M1010" s="9" t="n">
        <x:v>0</x:v>
      </x:c>
      <x:c r="N1010" s="9" t="n">
        <x:v>0</x:v>
      </x:c>
      <x:c r="O1010" s="9" t="n">
        <x:v>0</x:v>
      </x:c>
      <x:c r="P1010" s="9" t="str">
        <x:v>HELD / UNRELEASED</x:v>
      </x:c>
      <x:c r="Q1010" s="9" t="n">
        <x:f>COUNTIFS($A$7:$A$2310,A1010)</x:f>
        <x:v>1</x:v>
      </x:c>
    </x:row>
    <x:row r="1011">
      <x:c r="A1011" s="9" t="str">
        <x:v>PD-AR-HU-A-B-TECH-4-B2-INT-G0-PD13</x:v>
      </x:c>
      <x:c r="B1011" s="9" t="str">
        <x:v>PD-AR-HU-A-B-TECH-4-B2-INT-G0</x:v>
      </x:c>
      <x:c r="C1011" s="9" t="str">
        <x:v>EV-AR-HU-A-B-TECH-4-B2-INT-G0</x:v>
      </x:c>
      <x:c r="D1011" s="9" t="str">
        <x:v>AR-HU-A-B-TECH-4-B2-INT-G0</x:v>
      </x:c>
      <x:c r="E1011" s="9" t="str">
        <x:v>HU-A-B-TECH-4</x:v>
      </x:c>
      <x:c r="F1011" s="9" t="str">
        <x:v>HU-A-B</x:v>
      </x:c>
      <x:c r="G1011" s="9" t="str">
        <x:v>B2</x:v>
      </x:c>
      <x:c r="H1011" s="9" t="str">
        <x:v>INT</x:v>
      </x:c>
      <x:c r="I1011" s="9" t="str">
        <x:v>PD13</x:v>
      </x:c>
      <x:c r="J1011" s="17" t="str">
        <x:v>Role judgment</x:v>
      </x:c>
      <x:c r="K1011" s="17" t="str">
        <x:v>Role court</x:v>
      </x:c>
      <x:c r="L1011" s="17" t="str">
        <x:v>COURT-SEALED UNTIL COHORT RELEASE</x:v>
      </x:c>
      <x:c r="M1011" s="9" t="n">
        <x:v>0</x:v>
      </x:c>
      <x:c r="N1011" s="9" t="n">
        <x:v>0</x:v>
      </x:c>
      <x:c r="O1011" s="9" t="n">
        <x:v>0</x:v>
      </x:c>
      <x:c r="P1011" s="9" t="str">
        <x:v>HELD / UNRELEASED</x:v>
      </x:c>
      <x:c r="Q1011" s="9" t="n">
        <x:f>COUNTIFS($A$7:$A$2310,A1011)</x:f>
        <x:v>1</x:v>
      </x:c>
    </x:row>
    <x:row r="1012">
      <x:c r="A1012" s="9" t="str">
        <x:v>PD-AR-HU-A-B-TECH-4-B2-INT-G0-PD14</x:v>
      </x:c>
      <x:c r="B1012" s="9" t="str">
        <x:v>PD-AR-HU-A-B-TECH-4-B2-INT-G0</x:v>
      </x:c>
      <x:c r="C1012" s="9" t="str">
        <x:v>EV-AR-HU-A-B-TECH-4-B2-INT-G0</x:v>
      </x:c>
      <x:c r="D1012" s="9" t="str">
        <x:v>AR-HU-A-B-TECH-4-B2-INT-G0</x:v>
      </x:c>
      <x:c r="E1012" s="9" t="str">
        <x:v>HU-A-B-TECH-4</x:v>
      </x:c>
      <x:c r="F1012" s="9" t="str">
        <x:v>HU-A-B</x:v>
      </x:c>
      <x:c r="G1012" s="9" t="str">
        <x:v>B2</x:v>
      </x:c>
      <x:c r="H1012" s="9" t="str">
        <x:v>INT</x:v>
      </x:c>
      <x:c r="I1012" s="9" t="str">
        <x:v>PD14</x:v>
      </x:c>
      <x:c r="J1012" s="17" t="str">
        <x:v>Break and residual account</x:v>
      </x:c>
      <x:c r="K1012" s="17" t="str">
        <x:v>Residual authority</x:v>
      </x:c>
      <x:c r="L1012" s="17" t="str">
        <x:v>COURT-SEALED UNTIL COHORT RELEASE</x:v>
      </x:c>
      <x:c r="M1012" s="9" t="n">
        <x:v>0</x:v>
      </x:c>
      <x:c r="N1012" s="9" t="n">
        <x:v>0</x:v>
      </x:c>
      <x:c r="O1012" s="9" t="n">
        <x:v>0</x:v>
      </x:c>
      <x:c r="P1012" s="9" t="str">
        <x:v>HELD / UNRELEASED</x:v>
      </x:c>
      <x:c r="Q1012" s="9" t="n">
        <x:f>COUNTIFS($A$7:$A$2310,A1012)</x:f>
        <x:v>1</x:v>
      </x:c>
    </x:row>
    <x:row r="1013">
      <x:c r="A1013" s="9" t="str">
        <x:v>PD-AR-HU-A-B-TECH-4-B2-INT-G0-PD15</x:v>
      </x:c>
      <x:c r="B1013" s="9" t="str">
        <x:v>PD-AR-HU-A-B-TECH-4-B2-INT-G0</x:v>
      </x:c>
      <x:c r="C1013" s="9" t="str">
        <x:v>EV-AR-HU-A-B-TECH-4-B2-INT-G0</x:v>
      </x:c>
      <x:c r="D1013" s="9" t="str">
        <x:v>AR-HU-A-B-TECH-4-B2-INT-G0</x:v>
      </x:c>
      <x:c r="E1013" s="9" t="str">
        <x:v>HU-A-B-TECH-4</x:v>
      </x:c>
      <x:c r="F1013" s="9" t="str">
        <x:v>HU-A-B</x:v>
      </x:c>
      <x:c r="G1013" s="9" t="str">
        <x:v>B2</x:v>
      </x:c>
      <x:c r="H1013" s="9" t="str">
        <x:v>INT</x:v>
      </x:c>
      <x:c r="I1013" s="9" t="str">
        <x:v>PD15</x:v>
      </x:c>
      <x:c r="J1013" s="17" t="str">
        <x:v>Reconstruction ancestry and replay</x:v>
      </x:c>
      <x:c r="K1013" s="17" t="str">
        <x:v>Reconstruction court</x:v>
      </x:c>
      <x:c r="L1013" s="17" t="str">
        <x:v>COURT-SEALED UNTIL COHORT RELEASE</x:v>
      </x:c>
      <x:c r="M1013" s="9" t="n">
        <x:v>0</x:v>
      </x:c>
      <x:c r="N1013" s="9" t="n">
        <x:v>0</x:v>
      </x:c>
      <x:c r="O1013" s="9" t="n">
        <x:v>0</x:v>
      </x:c>
      <x:c r="P1013" s="9" t="str">
        <x:v>HELD / UNRELEASED</x:v>
      </x:c>
      <x:c r="Q1013" s="9" t="n">
        <x:f>COUNTIFS($A$7:$A$2310,A1013)</x:f>
        <x:v>1</x:v>
      </x:c>
    </x:row>
    <x:row r="1014">
      <x:c r="A1014" s="9" t="str">
        <x:v>PD-AR-HU-A-B-TECH-4-B2-INT-G0-PD16</x:v>
      </x:c>
      <x:c r="B1014" s="9" t="str">
        <x:v>PD-AR-HU-A-B-TECH-4-B2-INT-G0</x:v>
      </x:c>
      <x:c r="C1014" s="9" t="str">
        <x:v>EV-AR-HU-A-B-TECH-4-B2-INT-G0</x:v>
      </x:c>
      <x:c r="D1014" s="9" t="str">
        <x:v>AR-HU-A-B-TECH-4-B2-INT-G0</x:v>
      </x:c>
      <x:c r="E1014" s="9" t="str">
        <x:v>HU-A-B-TECH-4</x:v>
      </x:c>
      <x:c r="F1014" s="9" t="str">
        <x:v>HU-A-B</x:v>
      </x:c>
      <x:c r="G1014" s="9" t="str">
        <x:v>B2</x:v>
      </x:c>
      <x:c r="H1014" s="9" t="str">
        <x:v>INT</x:v>
      </x:c>
      <x:c r="I1014" s="9" t="str">
        <x:v>PD16</x:v>
      </x:c>
      <x:c r="J1014" s="17" t="str">
        <x:v>Dissent, amendments and access log</x:v>
      </x:c>
      <x:c r="K1014" s="17" t="str">
        <x:v>Public archive</x:v>
      </x:c>
      <x:c r="L1014" s="17" t="str">
        <x:v>COURT-SEALED UNTIL COHORT RELEASE</x:v>
      </x:c>
      <x:c r="M1014" s="9" t="n">
        <x:v>0</x:v>
      </x:c>
      <x:c r="N1014" s="9" t="n">
        <x:v>0</x:v>
      </x:c>
      <x:c r="O1014" s="9" t="n">
        <x:v>0</x:v>
      </x:c>
      <x:c r="P1014" s="9" t="str">
        <x:v>HELD / UNRELEASED</x:v>
      </x:c>
      <x:c r="Q1014" s="9" t="n">
        <x:f>COUNTIFS($A$7:$A$2310,A1014)</x:f>
        <x:v>1</x:v>
      </x:c>
    </x:row>
    <x:row r="1015">
      <x:c r="A1015" s="9" t="str">
        <x:v>PD-AR-LF-B-A-TECH-4-B1-BRK-G0-PD01</x:v>
      </x:c>
      <x:c r="B1015" s="9" t="str">
        <x:v>PD-AR-LF-B-A-TECH-4-B1-BRK-G0</x:v>
      </x:c>
      <x:c r="C1015" s="9" t="str">
        <x:v>EV-AR-LF-B-A-TECH-4-B1-BRK-G0</x:v>
      </x:c>
      <x:c r="D1015" s="9" t="str">
        <x:v>AR-LF-B-A-TECH-4-B1-BRK-G0</x:v>
      </x:c>
      <x:c r="E1015" s="9" t="str">
        <x:v>LF-B-A-TECH-4</x:v>
      </x:c>
      <x:c r="F1015" s="9" t="str">
        <x:v>LF-B-A</x:v>
      </x:c>
      <x:c r="G1015" s="9" t="str">
        <x:v>B1</x:v>
      </x:c>
      <x:c r="H1015" s="9" t="str">
        <x:v>BRK</x:v>
      </x:c>
      <x:c r="I1015" s="9" t="str">
        <x:v>PD01</x:v>
      </x:c>
      <x:c r="J1015" s="17" t="str">
        <x:v>Experiment kernel</x:v>
      </x:c>
      <x:c r="K1015" s="17" t="str">
        <x:v>Public archive</x:v>
      </x:c>
      <x:c r="L1015" s="17" t="str">
        <x:v>COURT-SEALED UNTIL COHORT RELEASE</x:v>
      </x:c>
      <x:c r="M1015" s="9" t="n">
        <x:v>0</x:v>
      </x:c>
      <x:c r="N1015" s="9" t="n">
        <x:v>0</x:v>
      </x:c>
      <x:c r="O1015" s="9" t="n">
        <x:v>0</x:v>
      </x:c>
      <x:c r="P1015" s="9" t="str">
        <x:v>HELD / UNRELEASED</x:v>
      </x:c>
      <x:c r="Q1015" s="9" t="n">
        <x:f>COUNTIFS($A$7:$A$2310,A1015)</x:f>
        <x:v>1</x:v>
      </x:c>
    </x:row>
    <x:row r="1016">
      <x:c r="A1016" s="9" t="str">
        <x:v>PD-AR-LF-B-A-TECH-4-B1-BRK-G0-PD02</x:v>
      </x:c>
      <x:c r="B1016" s="9" t="str">
        <x:v>PD-AR-LF-B-A-TECH-4-B1-BRK-G0</x:v>
      </x:c>
      <x:c r="C1016" s="9" t="str">
        <x:v>EV-AR-LF-B-A-TECH-4-B1-BRK-G0</x:v>
      </x:c>
      <x:c r="D1016" s="9" t="str">
        <x:v>AR-LF-B-A-TECH-4-B1-BRK-G0</x:v>
      </x:c>
      <x:c r="E1016" s="9" t="str">
        <x:v>LF-B-A-TECH-4</x:v>
      </x:c>
      <x:c r="F1016" s="9" t="str">
        <x:v>LF-B-A</x:v>
      </x:c>
      <x:c r="G1016" s="9" t="str">
        <x:v>B1</x:v>
      </x:c>
      <x:c r="H1016" s="9" t="str">
        <x:v>BRK</x:v>
      </x:c>
      <x:c r="I1016" s="9" t="str">
        <x:v>PD02</x:v>
      </x:c>
      <x:c r="J1016" s="17" t="str">
        <x:v>Serial annex and title chain</x:v>
      </x:c>
      <x:c r="K1016" s="17" t="str">
        <x:v>Public archive</x:v>
      </x:c>
      <x:c r="L1016" s="17" t="str">
        <x:v>COURT-SEALED UNTIL COHORT RELEASE</x:v>
      </x:c>
      <x:c r="M1016" s="9" t="n">
        <x:v>0</x:v>
      </x:c>
      <x:c r="N1016" s="9" t="n">
        <x:v>0</x:v>
      </x:c>
      <x:c r="O1016" s="9" t="n">
        <x:v>0</x:v>
      </x:c>
      <x:c r="P1016" s="9" t="str">
        <x:v>HELD / UNRELEASED</x:v>
      </x:c>
      <x:c r="Q1016" s="9" t="n">
        <x:f>COUNTIFS($A$7:$A$2310,A1016)</x:f>
        <x:v>1</x:v>
      </x:c>
    </x:row>
    <x:row r="1017">
      <x:c r="A1017" s="9" t="str">
        <x:v>PD-AR-LF-B-A-TECH-4-B1-BRK-G0-PD03</x:v>
      </x:c>
      <x:c r="B1017" s="9" t="str">
        <x:v>PD-AR-LF-B-A-TECH-4-B1-BRK-G0</x:v>
      </x:c>
      <x:c r="C1017" s="9" t="str">
        <x:v>EV-AR-LF-B-A-TECH-4-B1-BRK-G0</x:v>
      </x:c>
      <x:c r="D1017" s="9" t="str">
        <x:v>AR-LF-B-A-TECH-4-B1-BRK-G0</x:v>
      </x:c>
      <x:c r="E1017" s="9" t="str">
        <x:v>LF-B-A-TECH-4</x:v>
      </x:c>
      <x:c r="F1017" s="9" t="str">
        <x:v>LF-B-A</x:v>
      </x:c>
      <x:c r="G1017" s="9" t="str">
        <x:v>B1</x:v>
      </x:c>
      <x:c r="H1017" s="9" t="str">
        <x:v>BRK</x:v>
      </x:c>
      <x:c r="I1017" s="9" t="str">
        <x:v>PD03</x:v>
      </x:c>
      <x:c r="J1017" s="17" t="str">
        <x:v>Configuration and as-built manifest</x:v>
      </x:c>
      <x:c r="K1017" s="17" t="str">
        <x:v>Artifact exchange</x:v>
      </x:c>
      <x:c r="L1017" s="17" t="str">
        <x:v>COURT-SEALED UNTIL COHORT RELEASE</x:v>
      </x:c>
      <x:c r="M1017" s="9" t="n">
        <x:v>0</x:v>
      </x:c>
      <x:c r="N1017" s="9" t="n">
        <x:v>0</x:v>
      </x:c>
      <x:c r="O1017" s="9" t="n">
        <x:v>0</x:v>
      </x:c>
      <x:c r="P1017" s="9" t="str">
        <x:v>HELD / UNRELEASED</x:v>
      </x:c>
      <x:c r="Q1017" s="9" t="n">
        <x:f>COUNTIFS($A$7:$A$2310,A1017)</x:f>
        <x:v>1</x:v>
      </x:c>
    </x:row>
    <x:row r="1018">
      <x:c r="A1018" s="9" t="str">
        <x:v>PD-AR-LF-B-A-TECH-4-B1-BRK-G0-PD04</x:v>
      </x:c>
      <x:c r="B1018" s="9" t="str">
        <x:v>PD-AR-LF-B-A-TECH-4-B1-BRK-G0</x:v>
      </x:c>
      <x:c r="C1018" s="9" t="str">
        <x:v>EV-AR-LF-B-A-TECH-4-B1-BRK-G0</x:v>
      </x:c>
      <x:c r="D1018" s="9" t="str">
        <x:v>AR-LF-B-A-TECH-4-B1-BRK-G0</x:v>
      </x:c>
      <x:c r="E1018" s="9" t="str">
        <x:v>LF-B-A-TECH-4</x:v>
      </x:c>
      <x:c r="F1018" s="9" t="str">
        <x:v>LF-B-A</x:v>
      </x:c>
      <x:c r="G1018" s="9" t="str">
        <x:v>B1</x:v>
      </x:c>
      <x:c r="H1018" s="9" t="str">
        <x:v>BRK</x:v>
      </x:c>
      <x:c r="I1018" s="9" t="str">
        <x:v>PD04</x:v>
      </x:c>
      <x:c r="J1018" s="17" t="str">
        <x:v>EOW and start certificate</x:v>
      </x:c>
      <x:c r="K1018" s="17" t="str">
        <x:v>Start registrar</x:v>
      </x:c>
      <x:c r="L1018" s="17" t="str">
        <x:v>COURT-SEALED UNTIL COHORT RELEASE</x:v>
      </x:c>
      <x:c r="M1018" s="9" t="n">
        <x:v>0</x:v>
      </x:c>
      <x:c r="N1018" s="9" t="n">
        <x:v>0</x:v>
      </x:c>
      <x:c r="O1018" s="9" t="n">
        <x:v>0</x:v>
      </x:c>
      <x:c r="P1018" s="9" t="str">
        <x:v>HELD / UNRELEASED</x:v>
      </x:c>
      <x:c r="Q1018" s="9" t="n">
        <x:f>COUNTIFS($A$7:$A$2310,A1018)</x:f>
        <x:v>1</x:v>
      </x:c>
    </x:row>
    <x:row r="1019">
      <x:c r="A1019" s="9" t="str">
        <x:v>PD-AR-LF-B-A-TECH-4-B1-BRK-G0-PD05</x:v>
      </x:c>
      <x:c r="B1019" s="9" t="str">
        <x:v>PD-AR-LF-B-A-TECH-4-B1-BRK-G0</x:v>
      </x:c>
      <x:c r="C1019" s="9" t="str">
        <x:v>EV-AR-LF-B-A-TECH-4-B1-BRK-G0</x:v>
      </x:c>
      <x:c r="D1019" s="9" t="str">
        <x:v>AR-LF-B-A-TECH-4-B1-BRK-G0</x:v>
      </x:c>
      <x:c r="E1019" s="9" t="str">
        <x:v>LF-B-A-TECH-4</x:v>
      </x:c>
      <x:c r="F1019" s="9" t="str">
        <x:v>LF-B-A</x:v>
      </x:c>
      <x:c r="G1019" s="9" t="str">
        <x:v>B1</x:v>
      </x:c>
      <x:c r="H1019" s="9" t="str">
        <x:v>BRK</x:v>
      </x:c>
      <x:c r="I1019" s="9" t="str">
        <x:v>PD05</x:v>
      </x:c>
      <x:c r="J1019" s="17" t="str">
        <x:v>Primary raw originals</x:v>
      </x:c>
      <x:c r="K1019" s="17" t="str">
        <x:v>Primary custody</x:v>
      </x:c>
      <x:c r="L1019" s="17" t="str">
        <x:v>COURT-SEALED UNTIL COHORT RELEASE</x:v>
      </x:c>
      <x:c r="M1019" s="9" t="n">
        <x:v>0</x:v>
      </x:c>
      <x:c r="N1019" s="9" t="n">
        <x:v>0</x:v>
      </x:c>
      <x:c r="O1019" s="9" t="n">
        <x:v>0</x:v>
      </x:c>
      <x:c r="P1019" s="9" t="str">
        <x:v>HELD / UNRELEASED</x:v>
      </x:c>
      <x:c r="Q1019" s="9" t="n">
        <x:f>COUNTIFS($A$7:$A$2310,A1019)</x:f>
        <x:v>1</x:v>
      </x:c>
    </x:row>
    <x:row r="1020">
      <x:c r="A1020" s="9" t="str">
        <x:v>PD-AR-LF-B-A-TECH-4-B1-BRK-G0-PD06</x:v>
      </x:c>
      <x:c r="B1020" s="9" t="str">
        <x:v>PD-AR-LF-B-A-TECH-4-B1-BRK-G0</x:v>
      </x:c>
      <x:c r="C1020" s="9" t="str">
        <x:v>EV-AR-LF-B-A-TECH-4-B1-BRK-G0</x:v>
      </x:c>
      <x:c r="D1020" s="9" t="str">
        <x:v>AR-LF-B-A-TECH-4-B1-BRK-G0</x:v>
      </x:c>
      <x:c r="E1020" s="9" t="str">
        <x:v>LF-B-A-TECH-4</x:v>
      </x:c>
      <x:c r="F1020" s="9" t="str">
        <x:v>LF-B-A</x:v>
      </x:c>
      <x:c r="G1020" s="9" t="str">
        <x:v>B1</x:v>
      </x:c>
      <x:c r="H1020" s="9" t="str">
        <x:v>BRK</x:v>
      </x:c>
      <x:c r="I1020" s="9" t="str">
        <x:v>PD06</x:v>
      </x:c>
      <x:c r="J1020" s="17" t="str">
        <x:v>Witness raw originals</x:v>
      </x:c>
      <x:c r="K1020" s="17" t="str">
        <x:v>Witness custody</x:v>
      </x:c>
      <x:c r="L1020" s="17" t="str">
        <x:v>COURT-SEALED UNTIL COHORT RELEASE</x:v>
      </x:c>
      <x:c r="M1020" s="9" t="n">
        <x:v>0</x:v>
      </x:c>
      <x:c r="N1020" s="9" t="n">
        <x:v>0</x:v>
      </x:c>
      <x:c r="O1020" s="9" t="n">
        <x:v>0</x:v>
      </x:c>
      <x:c r="P1020" s="9" t="str">
        <x:v>HELD / UNRELEASED</x:v>
      </x:c>
      <x:c r="Q1020" s="9" t="n">
        <x:f>COUNTIFS($A$7:$A$2310,A1020)</x:f>
        <x:v>1</x:v>
      </x:c>
    </x:row>
    <x:row r="1021">
      <x:c r="A1021" s="9" t="str">
        <x:v>PD-AR-LF-B-A-TECH-4-B1-BRK-G0-PD07</x:v>
      </x:c>
      <x:c r="B1021" s="9" t="str">
        <x:v>PD-AR-LF-B-A-TECH-4-B1-BRK-G0</x:v>
      </x:c>
      <x:c r="C1021" s="9" t="str">
        <x:v>EV-AR-LF-B-A-TECH-4-B1-BRK-G0</x:v>
      </x:c>
      <x:c r="D1021" s="9" t="str">
        <x:v>AR-LF-B-A-TECH-4-B1-BRK-G0</x:v>
      </x:c>
      <x:c r="E1021" s="9" t="str">
        <x:v>LF-B-A-TECH-4</x:v>
      </x:c>
      <x:c r="F1021" s="9" t="str">
        <x:v>LF-B-A</x:v>
      </x:c>
      <x:c r="G1021" s="9" t="str">
        <x:v>B1</x:v>
      </x:c>
      <x:c r="H1021" s="9" t="str">
        <x:v>BRK</x:v>
      </x:c>
      <x:c r="I1021" s="9" t="str">
        <x:v>PD07</x:v>
      </x:c>
      <x:c r="J1021" s="17" t="str">
        <x:v>Clock and environmental records</x:v>
      </x:c>
      <x:c r="K1021" s="17" t="str">
        <x:v>Boundary archive</x:v>
      </x:c>
      <x:c r="L1021" s="17" t="str">
        <x:v>COURT-SEALED UNTIL COHORT RELEASE</x:v>
      </x:c>
      <x:c r="M1021" s="9" t="n">
        <x:v>0</x:v>
      </x:c>
      <x:c r="N1021" s="9" t="n">
        <x:v>0</x:v>
      </x:c>
      <x:c r="O1021" s="9" t="n">
        <x:v>0</x:v>
      </x:c>
      <x:c r="P1021" s="9" t="str">
        <x:v>HELD / UNRELEASED</x:v>
      </x:c>
      <x:c r="Q1021" s="9" t="n">
        <x:f>COUNTIFS($A$7:$A$2310,A1021)</x:f>
        <x:v>1</x:v>
      </x:c>
    </x:row>
    <x:row r="1022">
      <x:c r="A1022" s="9" t="str">
        <x:v>PD-AR-LF-B-A-TECH-4-B1-BRK-G0-PD08</x:v>
      </x:c>
      <x:c r="B1022" s="9" t="str">
        <x:v>PD-AR-LF-B-A-TECH-4-B1-BRK-G0</x:v>
      </x:c>
      <x:c r="C1022" s="9" t="str">
        <x:v>EV-AR-LF-B-A-TECH-4-B1-BRK-G0</x:v>
      </x:c>
      <x:c r="D1022" s="9" t="str">
        <x:v>AR-LF-B-A-TECH-4-B1-BRK-G0</x:v>
      </x:c>
      <x:c r="E1022" s="9" t="str">
        <x:v>LF-B-A-TECH-4</x:v>
      </x:c>
      <x:c r="F1022" s="9" t="str">
        <x:v>LF-B-A</x:v>
      </x:c>
      <x:c r="G1022" s="9" t="str">
        <x:v>B1</x:v>
      </x:c>
      <x:c r="H1022" s="9" t="str">
        <x:v>BRK</x:v>
      </x:c>
      <x:c r="I1022" s="9" t="str">
        <x:v>PD08</x:v>
      </x:c>
      <x:c r="J1022" s="17" t="str">
        <x:v>Command and intervention log</x:v>
      </x:c>
      <x:c r="K1022" s="17" t="str">
        <x:v>Safety archive</x:v>
      </x:c>
      <x:c r="L1022" s="17" t="str">
        <x:v>COURT-SEALED UNTIL COHORT RELEASE</x:v>
      </x:c>
      <x:c r="M1022" s="9" t="n">
        <x:v>0</x:v>
      </x:c>
      <x:c r="N1022" s="9" t="n">
        <x:v>0</x:v>
      </x:c>
      <x:c r="O1022" s="9" t="n">
        <x:v>0</x:v>
      </x:c>
      <x:c r="P1022" s="9" t="str">
        <x:v>HELD / UNRELEASED</x:v>
      </x:c>
      <x:c r="Q1022" s="9" t="n">
        <x:f>COUNTIFS($A$7:$A$2310,A1022)</x:f>
        <x:v>1</x:v>
      </x:c>
    </x:row>
    <x:row r="1023">
      <x:c r="A1023" s="9" t="str">
        <x:v>PD-AR-LF-B-A-TECH-4-B1-BRK-G0-PD09</x:v>
      </x:c>
      <x:c r="B1023" s="9" t="str">
        <x:v>PD-AR-LF-B-A-TECH-4-B1-BRK-G0</x:v>
      </x:c>
      <x:c r="C1023" s="9" t="str">
        <x:v>EV-AR-LF-B-A-TECH-4-B1-BRK-G0</x:v>
      </x:c>
      <x:c r="D1023" s="9" t="str">
        <x:v>AR-LF-B-A-TECH-4-B1-BRK-G0</x:v>
      </x:c>
      <x:c r="E1023" s="9" t="str">
        <x:v>LF-B-A-TECH-4</x:v>
      </x:c>
      <x:c r="F1023" s="9" t="str">
        <x:v>LF-B-A</x:v>
      </x:c>
      <x:c r="G1023" s="9" t="str">
        <x:v>B1</x:v>
      </x:c>
      <x:c r="H1023" s="9" t="str">
        <x:v>BRK</x:v>
      </x:c>
      <x:c r="I1023" s="9" t="str">
        <x:v>PD09</x:v>
      </x:c>
      <x:c r="J1023" s="17" t="str">
        <x:v>Receiver denominator and service ledger</x:v>
      </x:c>
      <x:c r="K1023" s="17" t="str">
        <x:v>Receiver archive</x:v>
      </x:c>
      <x:c r="L1023" s="17" t="str">
        <x:v>COURT-SEALED UNTIL COHORT RELEASE</x:v>
      </x:c>
      <x:c r="M1023" s="9" t="n">
        <x:v>0</x:v>
      </x:c>
      <x:c r="N1023" s="9" t="n">
        <x:v>0</x:v>
      </x:c>
      <x:c r="O1023" s="9" t="n">
        <x:v>0</x:v>
      </x:c>
      <x:c r="P1023" s="9" t="str">
        <x:v>HELD / UNRELEASED</x:v>
      </x:c>
      <x:c r="Q1023" s="9" t="n">
        <x:f>COUNTIFS($A$7:$A$2310,A1023)</x:f>
        <x:v>1</x:v>
      </x:c>
    </x:row>
    <x:row r="1024">
      <x:c r="A1024" s="9" t="str">
        <x:v>PD-AR-LF-B-A-TECH-4-B1-BRK-G0-PD10</x:v>
      </x:c>
      <x:c r="B1024" s="9" t="str">
        <x:v>PD-AR-LF-B-A-TECH-4-B1-BRK-G0</x:v>
      </x:c>
      <x:c r="C1024" s="9" t="str">
        <x:v>EV-AR-LF-B-A-TECH-4-B1-BRK-G0</x:v>
      </x:c>
      <x:c r="D1024" s="9" t="str">
        <x:v>AR-LF-B-A-TECH-4-B1-BRK-G0</x:v>
      </x:c>
      <x:c r="E1024" s="9" t="str">
        <x:v>LF-B-A-TECH-4</x:v>
      </x:c>
      <x:c r="F1024" s="9" t="str">
        <x:v>LF-B-A</x:v>
      </x:c>
      <x:c r="G1024" s="9" t="str">
        <x:v>B1</x:v>
      </x:c>
      <x:c r="H1024" s="9" t="str">
        <x:v>BRK</x:v>
      </x:c>
      <x:c r="I1024" s="9" t="str">
        <x:v>PD10</x:v>
      </x:c>
      <x:c r="J1024" s="17" t="str">
        <x:v>Calibration and uncertainty record</x:v>
      </x:c>
      <x:c r="K1024" s="17" t="str">
        <x:v>Metrology archive</x:v>
      </x:c>
      <x:c r="L1024" s="17" t="str">
        <x:v>COURT-SEALED UNTIL COHORT RELEASE</x:v>
      </x:c>
      <x:c r="M1024" s="9" t="n">
        <x:v>0</x:v>
      </x:c>
      <x:c r="N1024" s="9" t="n">
        <x:v>0</x:v>
      </x:c>
      <x:c r="O1024" s="9" t="n">
        <x:v>0</x:v>
      </x:c>
      <x:c r="P1024" s="9" t="str">
        <x:v>HELD / UNRELEASED</x:v>
      </x:c>
      <x:c r="Q1024" s="9" t="n">
        <x:f>COUNTIFS($A$7:$A$2310,A1024)</x:f>
        <x:v>1</x:v>
      </x:c>
    </x:row>
    <x:row r="1025">
      <x:c r="A1025" s="9" t="str">
        <x:v>PD-AR-LF-B-A-TECH-4-B1-BRK-G0-PD11</x:v>
      </x:c>
      <x:c r="B1025" s="9" t="str">
        <x:v>PD-AR-LF-B-A-TECH-4-B1-BRK-G0</x:v>
      </x:c>
      <x:c r="C1025" s="9" t="str">
        <x:v>EV-AR-LF-B-A-TECH-4-B1-BRK-G0</x:v>
      </x:c>
      <x:c r="D1025" s="9" t="str">
        <x:v>AR-LF-B-A-TECH-4-B1-BRK-G0</x:v>
      </x:c>
      <x:c r="E1025" s="9" t="str">
        <x:v>LF-B-A-TECH-4</x:v>
      </x:c>
      <x:c r="F1025" s="9" t="str">
        <x:v>LF-B-A</x:v>
      </x:c>
      <x:c r="G1025" s="9" t="str">
        <x:v>B1</x:v>
      </x:c>
      <x:c r="H1025" s="9" t="str">
        <x:v>BRK</x:v>
      </x:c>
      <x:c r="I1025" s="9" t="str">
        <x:v>PD11</x:v>
      </x:c>
      <x:c r="J1025" s="17" t="str">
        <x:v>Invalidity petition and opinion</x:v>
      </x:c>
      <x:c r="K1025" s="17" t="str">
        <x:v>Invalidity court</x:v>
      </x:c>
      <x:c r="L1025" s="17" t="str">
        <x:v>COURT-SEALED UNTIL COHORT RELEASE</x:v>
      </x:c>
      <x:c r="M1025" s="9" t="n">
        <x:v>0</x:v>
      </x:c>
      <x:c r="N1025" s="9" t="n">
        <x:v>0</x:v>
      </x:c>
      <x:c r="O1025" s="9" t="n">
        <x:v>0</x:v>
      </x:c>
      <x:c r="P1025" s="9" t="str">
        <x:v>HELD / UNRELEASED</x:v>
      </x:c>
      <x:c r="Q1025" s="9" t="n">
        <x:f>COUNTIFS($A$7:$A$2310,A1025)</x:f>
        <x:v>1</x:v>
      </x:c>
    </x:row>
    <x:row r="1026">
      <x:c r="A1026" s="9" t="str">
        <x:v>PD-AR-LF-B-A-TECH-4-B1-BRK-G0-PD12</x:v>
      </x:c>
      <x:c r="B1026" s="9" t="str">
        <x:v>PD-AR-LF-B-A-TECH-4-B1-BRK-G0</x:v>
      </x:c>
      <x:c r="C1026" s="9" t="str">
        <x:v>EV-AR-LF-B-A-TECH-4-B1-BRK-G0</x:v>
      </x:c>
      <x:c r="D1026" s="9" t="str">
        <x:v>AR-LF-B-A-TECH-4-B1-BRK-G0</x:v>
      </x:c>
      <x:c r="E1026" s="9" t="str">
        <x:v>LF-B-A-TECH-4</x:v>
      </x:c>
      <x:c r="F1026" s="9" t="str">
        <x:v>LF-B-A</x:v>
      </x:c>
      <x:c r="G1026" s="9" t="str">
        <x:v>B1</x:v>
      </x:c>
      <x:c r="H1026" s="9" t="str">
        <x:v>BRK</x:v>
      </x:c>
      <x:c r="I1026" s="9" t="str">
        <x:v>PD12</x:v>
      </x:c>
      <x:c r="J1026" s="17" t="str">
        <x:v>Observation acceptance and replay</x:v>
      </x:c>
      <x:c r="K1026" s="17" t="str">
        <x:v>Observation court</x:v>
      </x:c>
      <x:c r="L1026" s="17" t="str">
        <x:v>COURT-SEALED UNTIL COHORT RELEASE</x:v>
      </x:c>
      <x:c r="M1026" s="9" t="n">
        <x:v>0</x:v>
      </x:c>
      <x:c r="N1026" s="9" t="n">
        <x:v>0</x:v>
      </x:c>
      <x:c r="O1026" s="9" t="n">
        <x:v>0</x:v>
      </x:c>
      <x:c r="P1026" s="9" t="str">
        <x:v>HELD / UNRELEASED</x:v>
      </x:c>
      <x:c r="Q1026" s="9" t="n">
        <x:f>COUNTIFS($A$7:$A$2310,A1026)</x:f>
        <x:v>1</x:v>
      </x:c>
    </x:row>
    <x:row r="1027">
      <x:c r="A1027" s="9" t="str">
        <x:v>PD-AR-LF-B-A-TECH-4-B1-BRK-G0-PD13</x:v>
      </x:c>
      <x:c r="B1027" s="9" t="str">
        <x:v>PD-AR-LF-B-A-TECH-4-B1-BRK-G0</x:v>
      </x:c>
      <x:c r="C1027" s="9" t="str">
        <x:v>EV-AR-LF-B-A-TECH-4-B1-BRK-G0</x:v>
      </x:c>
      <x:c r="D1027" s="9" t="str">
        <x:v>AR-LF-B-A-TECH-4-B1-BRK-G0</x:v>
      </x:c>
      <x:c r="E1027" s="9" t="str">
        <x:v>LF-B-A-TECH-4</x:v>
      </x:c>
      <x:c r="F1027" s="9" t="str">
        <x:v>LF-B-A</x:v>
      </x:c>
      <x:c r="G1027" s="9" t="str">
        <x:v>B1</x:v>
      </x:c>
      <x:c r="H1027" s="9" t="str">
        <x:v>BRK</x:v>
      </x:c>
      <x:c r="I1027" s="9" t="str">
        <x:v>PD13</x:v>
      </x:c>
      <x:c r="J1027" s="17" t="str">
        <x:v>Role judgment</x:v>
      </x:c>
      <x:c r="K1027" s="17" t="str">
        <x:v>Role court</x:v>
      </x:c>
      <x:c r="L1027" s="17" t="str">
        <x:v>COURT-SEALED UNTIL COHORT RELEASE</x:v>
      </x:c>
      <x:c r="M1027" s="9" t="n">
        <x:v>0</x:v>
      </x:c>
      <x:c r="N1027" s="9" t="n">
        <x:v>0</x:v>
      </x:c>
      <x:c r="O1027" s="9" t="n">
        <x:v>0</x:v>
      </x:c>
      <x:c r="P1027" s="9" t="str">
        <x:v>HELD / UNRELEASED</x:v>
      </x:c>
      <x:c r="Q1027" s="9" t="n">
        <x:f>COUNTIFS($A$7:$A$2310,A1027)</x:f>
        <x:v>1</x:v>
      </x:c>
    </x:row>
    <x:row r="1028">
      <x:c r="A1028" s="9" t="str">
        <x:v>PD-AR-LF-B-A-TECH-4-B1-BRK-G0-PD14</x:v>
      </x:c>
      <x:c r="B1028" s="9" t="str">
        <x:v>PD-AR-LF-B-A-TECH-4-B1-BRK-G0</x:v>
      </x:c>
      <x:c r="C1028" s="9" t="str">
        <x:v>EV-AR-LF-B-A-TECH-4-B1-BRK-G0</x:v>
      </x:c>
      <x:c r="D1028" s="9" t="str">
        <x:v>AR-LF-B-A-TECH-4-B1-BRK-G0</x:v>
      </x:c>
      <x:c r="E1028" s="9" t="str">
        <x:v>LF-B-A-TECH-4</x:v>
      </x:c>
      <x:c r="F1028" s="9" t="str">
        <x:v>LF-B-A</x:v>
      </x:c>
      <x:c r="G1028" s="9" t="str">
        <x:v>B1</x:v>
      </x:c>
      <x:c r="H1028" s="9" t="str">
        <x:v>BRK</x:v>
      </x:c>
      <x:c r="I1028" s="9" t="str">
        <x:v>PD14</x:v>
      </x:c>
      <x:c r="J1028" s="17" t="str">
        <x:v>Break and residual account</x:v>
      </x:c>
      <x:c r="K1028" s="17" t="str">
        <x:v>Residual authority</x:v>
      </x:c>
      <x:c r="L1028" s="17" t="str">
        <x:v>COURT-SEALED UNTIL COHORT RELEASE</x:v>
      </x:c>
      <x:c r="M1028" s="9" t="n">
        <x:v>0</x:v>
      </x:c>
      <x:c r="N1028" s="9" t="n">
        <x:v>0</x:v>
      </x:c>
      <x:c r="O1028" s="9" t="n">
        <x:v>0</x:v>
      </x:c>
      <x:c r="P1028" s="9" t="str">
        <x:v>HELD / UNRELEASED</x:v>
      </x:c>
      <x:c r="Q1028" s="9" t="n">
        <x:f>COUNTIFS($A$7:$A$2310,A1028)</x:f>
        <x:v>1</x:v>
      </x:c>
    </x:row>
    <x:row r="1029">
      <x:c r="A1029" s="9" t="str">
        <x:v>PD-AR-LF-B-A-TECH-4-B1-BRK-G0-PD15</x:v>
      </x:c>
      <x:c r="B1029" s="9" t="str">
        <x:v>PD-AR-LF-B-A-TECH-4-B1-BRK-G0</x:v>
      </x:c>
      <x:c r="C1029" s="9" t="str">
        <x:v>EV-AR-LF-B-A-TECH-4-B1-BRK-G0</x:v>
      </x:c>
      <x:c r="D1029" s="9" t="str">
        <x:v>AR-LF-B-A-TECH-4-B1-BRK-G0</x:v>
      </x:c>
      <x:c r="E1029" s="9" t="str">
        <x:v>LF-B-A-TECH-4</x:v>
      </x:c>
      <x:c r="F1029" s="9" t="str">
        <x:v>LF-B-A</x:v>
      </x:c>
      <x:c r="G1029" s="9" t="str">
        <x:v>B1</x:v>
      </x:c>
      <x:c r="H1029" s="9" t="str">
        <x:v>BRK</x:v>
      </x:c>
      <x:c r="I1029" s="9" t="str">
        <x:v>PD15</x:v>
      </x:c>
      <x:c r="J1029" s="17" t="str">
        <x:v>Reconstruction ancestry and replay</x:v>
      </x:c>
      <x:c r="K1029" s="17" t="str">
        <x:v>Reconstruction court</x:v>
      </x:c>
      <x:c r="L1029" s="17" t="str">
        <x:v>COURT-SEALED UNTIL COHORT RELEASE</x:v>
      </x:c>
      <x:c r="M1029" s="9" t="n">
        <x:v>0</x:v>
      </x:c>
      <x:c r="N1029" s="9" t="n">
        <x:v>0</x:v>
      </x:c>
      <x:c r="O1029" s="9" t="n">
        <x:v>0</x:v>
      </x:c>
      <x:c r="P1029" s="9" t="str">
        <x:v>HELD / UNRELEASED</x:v>
      </x:c>
      <x:c r="Q1029" s="9" t="n">
        <x:f>COUNTIFS($A$7:$A$2310,A1029)</x:f>
        <x:v>1</x:v>
      </x:c>
    </x:row>
    <x:row r="1030">
      <x:c r="A1030" s="9" t="str">
        <x:v>PD-AR-LF-B-A-TECH-4-B1-BRK-G0-PD16</x:v>
      </x:c>
      <x:c r="B1030" s="9" t="str">
        <x:v>PD-AR-LF-B-A-TECH-4-B1-BRK-G0</x:v>
      </x:c>
      <x:c r="C1030" s="9" t="str">
        <x:v>EV-AR-LF-B-A-TECH-4-B1-BRK-G0</x:v>
      </x:c>
      <x:c r="D1030" s="9" t="str">
        <x:v>AR-LF-B-A-TECH-4-B1-BRK-G0</x:v>
      </x:c>
      <x:c r="E1030" s="9" t="str">
        <x:v>LF-B-A-TECH-4</x:v>
      </x:c>
      <x:c r="F1030" s="9" t="str">
        <x:v>LF-B-A</x:v>
      </x:c>
      <x:c r="G1030" s="9" t="str">
        <x:v>B1</x:v>
      </x:c>
      <x:c r="H1030" s="9" t="str">
        <x:v>BRK</x:v>
      </x:c>
      <x:c r="I1030" s="9" t="str">
        <x:v>PD16</x:v>
      </x:c>
      <x:c r="J1030" s="17" t="str">
        <x:v>Dissent, amendments and access log</x:v>
      </x:c>
      <x:c r="K1030" s="17" t="str">
        <x:v>Public archive</x:v>
      </x:c>
      <x:c r="L1030" s="17" t="str">
        <x:v>COURT-SEALED UNTIL COHORT RELEASE</x:v>
      </x:c>
      <x:c r="M1030" s="9" t="n">
        <x:v>0</x:v>
      </x:c>
      <x:c r="N1030" s="9" t="n">
        <x:v>0</x:v>
      </x:c>
      <x:c r="O1030" s="9" t="n">
        <x:v>0</x:v>
      </x:c>
      <x:c r="P1030" s="9" t="str">
        <x:v>HELD / UNRELEASED</x:v>
      </x:c>
      <x:c r="Q1030" s="9" t="n">
        <x:f>COUNTIFS($A$7:$A$2310,A1030)</x:f>
        <x:v>1</x:v>
      </x:c>
    </x:row>
    <x:row r="1031">
      <x:c r="A1031" s="9" t="str">
        <x:v>PD-AR-LF-B-A-TECH-3-B2-BRK-G0-PD01</x:v>
      </x:c>
      <x:c r="B1031" s="9" t="str">
        <x:v>PD-AR-LF-B-A-TECH-3-B2-BRK-G0</x:v>
      </x:c>
      <x:c r="C1031" s="9" t="str">
        <x:v>EV-AR-LF-B-A-TECH-3-B2-BRK-G0</x:v>
      </x:c>
      <x:c r="D1031" s="9" t="str">
        <x:v>AR-LF-B-A-TECH-3-B2-BRK-G0</x:v>
      </x:c>
      <x:c r="E1031" s="9" t="str">
        <x:v>LF-B-A-TECH-3</x:v>
      </x:c>
      <x:c r="F1031" s="9" t="str">
        <x:v>LF-B-A</x:v>
      </x:c>
      <x:c r="G1031" s="9" t="str">
        <x:v>B2</x:v>
      </x:c>
      <x:c r="H1031" s="9" t="str">
        <x:v>BRK</x:v>
      </x:c>
      <x:c r="I1031" s="9" t="str">
        <x:v>PD01</x:v>
      </x:c>
      <x:c r="J1031" s="17" t="str">
        <x:v>Experiment kernel</x:v>
      </x:c>
      <x:c r="K1031" s="17" t="str">
        <x:v>Public archive</x:v>
      </x:c>
      <x:c r="L1031" s="17" t="str">
        <x:v>COURT-SEALED UNTIL COHORT RELEASE</x:v>
      </x:c>
      <x:c r="M1031" s="9" t="n">
        <x:v>0</x:v>
      </x:c>
      <x:c r="N1031" s="9" t="n">
        <x:v>0</x:v>
      </x:c>
      <x:c r="O1031" s="9" t="n">
        <x:v>0</x:v>
      </x:c>
      <x:c r="P1031" s="9" t="str">
        <x:v>HELD / UNRELEASED</x:v>
      </x:c>
      <x:c r="Q1031" s="9" t="n">
        <x:f>COUNTIFS($A$7:$A$2310,A1031)</x:f>
        <x:v>1</x:v>
      </x:c>
    </x:row>
    <x:row r="1032">
      <x:c r="A1032" s="9" t="str">
        <x:v>PD-AR-LF-B-A-TECH-3-B2-BRK-G0-PD02</x:v>
      </x:c>
      <x:c r="B1032" s="9" t="str">
        <x:v>PD-AR-LF-B-A-TECH-3-B2-BRK-G0</x:v>
      </x:c>
      <x:c r="C1032" s="9" t="str">
        <x:v>EV-AR-LF-B-A-TECH-3-B2-BRK-G0</x:v>
      </x:c>
      <x:c r="D1032" s="9" t="str">
        <x:v>AR-LF-B-A-TECH-3-B2-BRK-G0</x:v>
      </x:c>
      <x:c r="E1032" s="9" t="str">
        <x:v>LF-B-A-TECH-3</x:v>
      </x:c>
      <x:c r="F1032" s="9" t="str">
        <x:v>LF-B-A</x:v>
      </x:c>
      <x:c r="G1032" s="9" t="str">
        <x:v>B2</x:v>
      </x:c>
      <x:c r="H1032" s="9" t="str">
        <x:v>BRK</x:v>
      </x:c>
      <x:c r="I1032" s="9" t="str">
        <x:v>PD02</x:v>
      </x:c>
      <x:c r="J1032" s="17" t="str">
        <x:v>Serial annex and title chain</x:v>
      </x:c>
      <x:c r="K1032" s="17" t="str">
        <x:v>Public archive</x:v>
      </x:c>
      <x:c r="L1032" s="17" t="str">
        <x:v>COURT-SEALED UNTIL COHORT RELEASE</x:v>
      </x:c>
      <x:c r="M1032" s="9" t="n">
        <x:v>0</x:v>
      </x:c>
      <x:c r="N1032" s="9" t="n">
        <x:v>0</x:v>
      </x:c>
      <x:c r="O1032" s="9" t="n">
        <x:v>0</x:v>
      </x:c>
      <x:c r="P1032" s="9" t="str">
        <x:v>HELD / UNRELEASED</x:v>
      </x:c>
      <x:c r="Q1032" s="9" t="n">
        <x:f>COUNTIFS($A$7:$A$2310,A1032)</x:f>
        <x:v>1</x:v>
      </x:c>
    </x:row>
    <x:row r="1033">
      <x:c r="A1033" s="9" t="str">
        <x:v>PD-AR-LF-B-A-TECH-3-B2-BRK-G0-PD03</x:v>
      </x:c>
      <x:c r="B1033" s="9" t="str">
        <x:v>PD-AR-LF-B-A-TECH-3-B2-BRK-G0</x:v>
      </x:c>
      <x:c r="C1033" s="9" t="str">
        <x:v>EV-AR-LF-B-A-TECH-3-B2-BRK-G0</x:v>
      </x:c>
      <x:c r="D1033" s="9" t="str">
        <x:v>AR-LF-B-A-TECH-3-B2-BRK-G0</x:v>
      </x:c>
      <x:c r="E1033" s="9" t="str">
        <x:v>LF-B-A-TECH-3</x:v>
      </x:c>
      <x:c r="F1033" s="9" t="str">
        <x:v>LF-B-A</x:v>
      </x:c>
      <x:c r="G1033" s="9" t="str">
        <x:v>B2</x:v>
      </x:c>
      <x:c r="H1033" s="9" t="str">
        <x:v>BRK</x:v>
      </x:c>
      <x:c r="I1033" s="9" t="str">
        <x:v>PD03</x:v>
      </x:c>
      <x:c r="J1033" s="17" t="str">
        <x:v>Configuration and as-built manifest</x:v>
      </x:c>
      <x:c r="K1033" s="17" t="str">
        <x:v>Artifact exchange</x:v>
      </x:c>
      <x:c r="L1033" s="17" t="str">
        <x:v>COURT-SEALED UNTIL COHORT RELEASE</x:v>
      </x:c>
      <x:c r="M1033" s="9" t="n">
        <x:v>0</x:v>
      </x:c>
      <x:c r="N1033" s="9" t="n">
        <x:v>0</x:v>
      </x:c>
      <x:c r="O1033" s="9" t="n">
        <x:v>0</x:v>
      </x:c>
      <x:c r="P1033" s="9" t="str">
        <x:v>HELD / UNRELEASED</x:v>
      </x:c>
      <x:c r="Q1033" s="9" t="n">
        <x:f>COUNTIFS($A$7:$A$2310,A1033)</x:f>
        <x:v>1</x:v>
      </x:c>
    </x:row>
    <x:row r="1034">
      <x:c r="A1034" s="9" t="str">
        <x:v>PD-AR-LF-B-A-TECH-3-B2-BRK-G0-PD04</x:v>
      </x:c>
      <x:c r="B1034" s="9" t="str">
        <x:v>PD-AR-LF-B-A-TECH-3-B2-BRK-G0</x:v>
      </x:c>
      <x:c r="C1034" s="9" t="str">
        <x:v>EV-AR-LF-B-A-TECH-3-B2-BRK-G0</x:v>
      </x:c>
      <x:c r="D1034" s="9" t="str">
        <x:v>AR-LF-B-A-TECH-3-B2-BRK-G0</x:v>
      </x:c>
      <x:c r="E1034" s="9" t="str">
        <x:v>LF-B-A-TECH-3</x:v>
      </x:c>
      <x:c r="F1034" s="9" t="str">
        <x:v>LF-B-A</x:v>
      </x:c>
      <x:c r="G1034" s="9" t="str">
        <x:v>B2</x:v>
      </x:c>
      <x:c r="H1034" s="9" t="str">
        <x:v>BRK</x:v>
      </x:c>
      <x:c r="I1034" s="9" t="str">
        <x:v>PD04</x:v>
      </x:c>
      <x:c r="J1034" s="17" t="str">
        <x:v>EOW and start certificate</x:v>
      </x:c>
      <x:c r="K1034" s="17" t="str">
        <x:v>Start registrar</x:v>
      </x:c>
      <x:c r="L1034" s="17" t="str">
        <x:v>COURT-SEALED UNTIL COHORT RELEASE</x:v>
      </x:c>
      <x:c r="M1034" s="9" t="n">
        <x:v>0</x:v>
      </x:c>
      <x:c r="N1034" s="9" t="n">
        <x:v>0</x:v>
      </x:c>
      <x:c r="O1034" s="9" t="n">
        <x:v>0</x:v>
      </x:c>
      <x:c r="P1034" s="9" t="str">
        <x:v>HELD / UNRELEASED</x:v>
      </x:c>
      <x:c r="Q1034" s="9" t="n">
        <x:f>COUNTIFS($A$7:$A$2310,A1034)</x:f>
        <x:v>1</x:v>
      </x:c>
    </x:row>
    <x:row r="1035">
      <x:c r="A1035" s="9" t="str">
        <x:v>PD-AR-LF-B-A-TECH-3-B2-BRK-G0-PD05</x:v>
      </x:c>
      <x:c r="B1035" s="9" t="str">
        <x:v>PD-AR-LF-B-A-TECH-3-B2-BRK-G0</x:v>
      </x:c>
      <x:c r="C1035" s="9" t="str">
        <x:v>EV-AR-LF-B-A-TECH-3-B2-BRK-G0</x:v>
      </x:c>
      <x:c r="D1035" s="9" t="str">
        <x:v>AR-LF-B-A-TECH-3-B2-BRK-G0</x:v>
      </x:c>
      <x:c r="E1035" s="9" t="str">
        <x:v>LF-B-A-TECH-3</x:v>
      </x:c>
      <x:c r="F1035" s="9" t="str">
        <x:v>LF-B-A</x:v>
      </x:c>
      <x:c r="G1035" s="9" t="str">
        <x:v>B2</x:v>
      </x:c>
      <x:c r="H1035" s="9" t="str">
        <x:v>BRK</x:v>
      </x:c>
      <x:c r="I1035" s="9" t="str">
        <x:v>PD05</x:v>
      </x:c>
      <x:c r="J1035" s="17" t="str">
        <x:v>Primary raw originals</x:v>
      </x:c>
      <x:c r="K1035" s="17" t="str">
        <x:v>Primary custody</x:v>
      </x:c>
      <x:c r="L1035" s="17" t="str">
        <x:v>COURT-SEALED UNTIL COHORT RELEASE</x:v>
      </x:c>
      <x:c r="M1035" s="9" t="n">
        <x:v>0</x:v>
      </x:c>
      <x:c r="N1035" s="9" t="n">
        <x:v>0</x:v>
      </x:c>
      <x:c r="O1035" s="9" t="n">
        <x:v>0</x:v>
      </x:c>
      <x:c r="P1035" s="9" t="str">
        <x:v>HELD / UNRELEASED</x:v>
      </x:c>
      <x:c r="Q1035" s="9" t="n">
        <x:f>COUNTIFS($A$7:$A$2310,A1035)</x:f>
        <x:v>1</x:v>
      </x:c>
    </x:row>
    <x:row r="1036">
      <x:c r="A1036" s="9" t="str">
        <x:v>PD-AR-LF-B-A-TECH-3-B2-BRK-G0-PD06</x:v>
      </x:c>
      <x:c r="B1036" s="9" t="str">
        <x:v>PD-AR-LF-B-A-TECH-3-B2-BRK-G0</x:v>
      </x:c>
      <x:c r="C1036" s="9" t="str">
        <x:v>EV-AR-LF-B-A-TECH-3-B2-BRK-G0</x:v>
      </x:c>
      <x:c r="D1036" s="9" t="str">
        <x:v>AR-LF-B-A-TECH-3-B2-BRK-G0</x:v>
      </x:c>
      <x:c r="E1036" s="9" t="str">
        <x:v>LF-B-A-TECH-3</x:v>
      </x:c>
      <x:c r="F1036" s="9" t="str">
        <x:v>LF-B-A</x:v>
      </x:c>
      <x:c r="G1036" s="9" t="str">
        <x:v>B2</x:v>
      </x:c>
      <x:c r="H1036" s="9" t="str">
        <x:v>BRK</x:v>
      </x:c>
      <x:c r="I1036" s="9" t="str">
        <x:v>PD06</x:v>
      </x:c>
      <x:c r="J1036" s="17" t="str">
        <x:v>Witness raw originals</x:v>
      </x:c>
      <x:c r="K1036" s="17" t="str">
        <x:v>Witness custody</x:v>
      </x:c>
      <x:c r="L1036" s="17" t="str">
        <x:v>COURT-SEALED UNTIL COHORT RELEASE</x:v>
      </x:c>
      <x:c r="M1036" s="9" t="n">
        <x:v>0</x:v>
      </x:c>
      <x:c r="N1036" s="9" t="n">
        <x:v>0</x:v>
      </x:c>
      <x:c r="O1036" s="9" t="n">
        <x:v>0</x:v>
      </x:c>
      <x:c r="P1036" s="9" t="str">
        <x:v>HELD / UNRELEASED</x:v>
      </x:c>
      <x:c r="Q1036" s="9" t="n">
        <x:f>COUNTIFS($A$7:$A$2310,A1036)</x:f>
        <x:v>1</x:v>
      </x:c>
    </x:row>
    <x:row r="1037">
      <x:c r="A1037" s="9" t="str">
        <x:v>PD-AR-LF-B-A-TECH-3-B2-BRK-G0-PD07</x:v>
      </x:c>
      <x:c r="B1037" s="9" t="str">
        <x:v>PD-AR-LF-B-A-TECH-3-B2-BRK-G0</x:v>
      </x:c>
      <x:c r="C1037" s="9" t="str">
        <x:v>EV-AR-LF-B-A-TECH-3-B2-BRK-G0</x:v>
      </x:c>
      <x:c r="D1037" s="9" t="str">
        <x:v>AR-LF-B-A-TECH-3-B2-BRK-G0</x:v>
      </x:c>
      <x:c r="E1037" s="9" t="str">
        <x:v>LF-B-A-TECH-3</x:v>
      </x:c>
      <x:c r="F1037" s="9" t="str">
        <x:v>LF-B-A</x:v>
      </x:c>
      <x:c r="G1037" s="9" t="str">
        <x:v>B2</x:v>
      </x:c>
      <x:c r="H1037" s="9" t="str">
        <x:v>BRK</x:v>
      </x:c>
      <x:c r="I1037" s="9" t="str">
        <x:v>PD07</x:v>
      </x:c>
      <x:c r="J1037" s="17" t="str">
        <x:v>Clock and environmental records</x:v>
      </x:c>
      <x:c r="K1037" s="17" t="str">
        <x:v>Boundary archive</x:v>
      </x:c>
      <x:c r="L1037" s="17" t="str">
        <x:v>COURT-SEALED UNTIL COHORT RELEASE</x:v>
      </x:c>
      <x:c r="M1037" s="9" t="n">
        <x:v>0</x:v>
      </x:c>
      <x:c r="N1037" s="9" t="n">
        <x:v>0</x:v>
      </x:c>
      <x:c r="O1037" s="9" t="n">
        <x:v>0</x:v>
      </x:c>
      <x:c r="P1037" s="9" t="str">
        <x:v>HELD / UNRELEASED</x:v>
      </x:c>
      <x:c r="Q1037" s="9" t="n">
        <x:f>COUNTIFS($A$7:$A$2310,A1037)</x:f>
        <x:v>1</x:v>
      </x:c>
    </x:row>
    <x:row r="1038">
      <x:c r="A1038" s="9" t="str">
        <x:v>PD-AR-LF-B-A-TECH-3-B2-BRK-G0-PD08</x:v>
      </x:c>
      <x:c r="B1038" s="9" t="str">
        <x:v>PD-AR-LF-B-A-TECH-3-B2-BRK-G0</x:v>
      </x:c>
      <x:c r="C1038" s="9" t="str">
        <x:v>EV-AR-LF-B-A-TECH-3-B2-BRK-G0</x:v>
      </x:c>
      <x:c r="D1038" s="9" t="str">
        <x:v>AR-LF-B-A-TECH-3-B2-BRK-G0</x:v>
      </x:c>
      <x:c r="E1038" s="9" t="str">
        <x:v>LF-B-A-TECH-3</x:v>
      </x:c>
      <x:c r="F1038" s="9" t="str">
        <x:v>LF-B-A</x:v>
      </x:c>
      <x:c r="G1038" s="9" t="str">
        <x:v>B2</x:v>
      </x:c>
      <x:c r="H1038" s="9" t="str">
        <x:v>BRK</x:v>
      </x:c>
      <x:c r="I1038" s="9" t="str">
        <x:v>PD08</x:v>
      </x:c>
      <x:c r="J1038" s="17" t="str">
        <x:v>Command and intervention log</x:v>
      </x:c>
      <x:c r="K1038" s="17" t="str">
        <x:v>Safety archive</x:v>
      </x:c>
      <x:c r="L1038" s="17" t="str">
        <x:v>COURT-SEALED UNTIL COHORT RELEASE</x:v>
      </x:c>
      <x:c r="M1038" s="9" t="n">
        <x:v>0</x:v>
      </x:c>
      <x:c r="N1038" s="9" t="n">
        <x:v>0</x:v>
      </x:c>
      <x:c r="O1038" s="9" t="n">
        <x:v>0</x:v>
      </x:c>
      <x:c r="P1038" s="9" t="str">
        <x:v>HELD / UNRELEASED</x:v>
      </x:c>
      <x:c r="Q1038" s="9" t="n">
        <x:f>COUNTIFS($A$7:$A$2310,A1038)</x:f>
        <x:v>1</x:v>
      </x:c>
    </x:row>
    <x:row r="1039">
      <x:c r="A1039" s="9" t="str">
        <x:v>PD-AR-LF-B-A-TECH-3-B2-BRK-G0-PD09</x:v>
      </x:c>
      <x:c r="B1039" s="9" t="str">
        <x:v>PD-AR-LF-B-A-TECH-3-B2-BRK-G0</x:v>
      </x:c>
      <x:c r="C1039" s="9" t="str">
        <x:v>EV-AR-LF-B-A-TECH-3-B2-BRK-G0</x:v>
      </x:c>
      <x:c r="D1039" s="9" t="str">
        <x:v>AR-LF-B-A-TECH-3-B2-BRK-G0</x:v>
      </x:c>
      <x:c r="E1039" s="9" t="str">
        <x:v>LF-B-A-TECH-3</x:v>
      </x:c>
      <x:c r="F1039" s="9" t="str">
        <x:v>LF-B-A</x:v>
      </x:c>
      <x:c r="G1039" s="9" t="str">
        <x:v>B2</x:v>
      </x:c>
      <x:c r="H1039" s="9" t="str">
        <x:v>BRK</x:v>
      </x:c>
      <x:c r="I1039" s="9" t="str">
        <x:v>PD09</x:v>
      </x:c>
      <x:c r="J1039" s="17" t="str">
        <x:v>Receiver denominator and service ledger</x:v>
      </x:c>
      <x:c r="K1039" s="17" t="str">
        <x:v>Receiver archive</x:v>
      </x:c>
      <x:c r="L1039" s="17" t="str">
        <x:v>COURT-SEALED UNTIL COHORT RELEASE</x:v>
      </x:c>
      <x:c r="M1039" s="9" t="n">
        <x:v>0</x:v>
      </x:c>
      <x:c r="N1039" s="9" t="n">
        <x:v>0</x:v>
      </x:c>
      <x:c r="O1039" s="9" t="n">
        <x:v>0</x:v>
      </x:c>
      <x:c r="P1039" s="9" t="str">
        <x:v>HELD / UNRELEASED</x:v>
      </x:c>
      <x:c r="Q1039" s="9" t="n">
        <x:f>COUNTIFS($A$7:$A$2310,A1039)</x:f>
        <x:v>1</x:v>
      </x:c>
    </x:row>
    <x:row r="1040">
      <x:c r="A1040" s="9" t="str">
        <x:v>PD-AR-LF-B-A-TECH-3-B2-BRK-G0-PD10</x:v>
      </x:c>
      <x:c r="B1040" s="9" t="str">
        <x:v>PD-AR-LF-B-A-TECH-3-B2-BRK-G0</x:v>
      </x:c>
      <x:c r="C1040" s="9" t="str">
        <x:v>EV-AR-LF-B-A-TECH-3-B2-BRK-G0</x:v>
      </x:c>
      <x:c r="D1040" s="9" t="str">
        <x:v>AR-LF-B-A-TECH-3-B2-BRK-G0</x:v>
      </x:c>
      <x:c r="E1040" s="9" t="str">
        <x:v>LF-B-A-TECH-3</x:v>
      </x:c>
      <x:c r="F1040" s="9" t="str">
        <x:v>LF-B-A</x:v>
      </x:c>
      <x:c r="G1040" s="9" t="str">
        <x:v>B2</x:v>
      </x:c>
      <x:c r="H1040" s="9" t="str">
        <x:v>BRK</x:v>
      </x:c>
      <x:c r="I1040" s="9" t="str">
        <x:v>PD10</x:v>
      </x:c>
      <x:c r="J1040" s="17" t="str">
        <x:v>Calibration and uncertainty record</x:v>
      </x:c>
      <x:c r="K1040" s="17" t="str">
        <x:v>Metrology archive</x:v>
      </x:c>
      <x:c r="L1040" s="17" t="str">
        <x:v>COURT-SEALED UNTIL COHORT RELEASE</x:v>
      </x:c>
      <x:c r="M1040" s="9" t="n">
        <x:v>0</x:v>
      </x:c>
      <x:c r="N1040" s="9" t="n">
        <x:v>0</x:v>
      </x:c>
      <x:c r="O1040" s="9" t="n">
        <x:v>0</x:v>
      </x:c>
      <x:c r="P1040" s="9" t="str">
        <x:v>HELD / UNRELEASED</x:v>
      </x:c>
      <x:c r="Q1040" s="9" t="n">
        <x:f>COUNTIFS($A$7:$A$2310,A1040)</x:f>
        <x:v>1</x:v>
      </x:c>
    </x:row>
    <x:row r="1041">
      <x:c r="A1041" s="9" t="str">
        <x:v>PD-AR-LF-B-A-TECH-3-B2-BRK-G0-PD11</x:v>
      </x:c>
      <x:c r="B1041" s="9" t="str">
        <x:v>PD-AR-LF-B-A-TECH-3-B2-BRK-G0</x:v>
      </x:c>
      <x:c r="C1041" s="9" t="str">
        <x:v>EV-AR-LF-B-A-TECH-3-B2-BRK-G0</x:v>
      </x:c>
      <x:c r="D1041" s="9" t="str">
        <x:v>AR-LF-B-A-TECH-3-B2-BRK-G0</x:v>
      </x:c>
      <x:c r="E1041" s="9" t="str">
        <x:v>LF-B-A-TECH-3</x:v>
      </x:c>
      <x:c r="F1041" s="9" t="str">
        <x:v>LF-B-A</x:v>
      </x:c>
      <x:c r="G1041" s="9" t="str">
        <x:v>B2</x:v>
      </x:c>
      <x:c r="H1041" s="9" t="str">
        <x:v>BRK</x:v>
      </x:c>
      <x:c r="I1041" s="9" t="str">
        <x:v>PD11</x:v>
      </x:c>
      <x:c r="J1041" s="17" t="str">
        <x:v>Invalidity petition and opinion</x:v>
      </x:c>
      <x:c r="K1041" s="17" t="str">
        <x:v>Invalidity court</x:v>
      </x:c>
      <x:c r="L1041" s="17" t="str">
        <x:v>COURT-SEALED UNTIL COHORT RELEASE</x:v>
      </x:c>
      <x:c r="M1041" s="9" t="n">
        <x:v>0</x:v>
      </x:c>
      <x:c r="N1041" s="9" t="n">
        <x:v>0</x:v>
      </x:c>
      <x:c r="O1041" s="9" t="n">
        <x:v>0</x:v>
      </x:c>
      <x:c r="P1041" s="9" t="str">
        <x:v>HELD / UNRELEASED</x:v>
      </x:c>
      <x:c r="Q1041" s="9" t="n">
        <x:f>COUNTIFS($A$7:$A$2310,A1041)</x:f>
        <x:v>1</x:v>
      </x:c>
    </x:row>
    <x:row r="1042">
      <x:c r="A1042" s="9" t="str">
        <x:v>PD-AR-LF-B-A-TECH-3-B2-BRK-G0-PD12</x:v>
      </x:c>
      <x:c r="B1042" s="9" t="str">
        <x:v>PD-AR-LF-B-A-TECH-3-B2-BRK-G0</x:v>
      </x:c>
      <x:c r="C1042" s="9" t="str">
        <x:v>EV-AR-LF-B-A-TECH-3-B2-BRK-G0</x:v>
      </x:c>
      <x:c r="D1042" s="9" t="str">
        <x:v>AR-LF-B-A-TECH-3-B2-BRK-G0</x:v>
      </x:c>
      <x:c r="E1042" s="9" t="str">
        <x:v>LF-B-A-TECH-3</x:v>
      </x:c>
      <x:c r="F1042" s="9" t="str">
        <x:v>LF-B-A</x:v>
      </x:c>
      <x:c r="G1042" s="9" t="str">
        <x:v>B2</x:v>
      </x:c>
      <x:c r="H1042" s="9" t="str">
        <x:v>BRK</x:v>
      </x:c>
      <x:c r="I1042" s="9" t="str">
        <x:v>PD12</x:v>
      </x:c>
      <x:c r="J1042" s="17" t="str">
        <x:v>Observation acceptance and replay</x:v>
      </x:c>
      <x:c r="K1042" s="17" t="str">
        <x:v>Observation court</x:v>
      </x:c>
      <x:c r="L1042" s="17" t="str">
        <x:v>COURT-SEALED UNTIL COHORT RELEASE</x:v>
      </x:c>
      <x:c r="M1042" s="9" t="n">
        <x:v>0</x:v>
      </x:c>
      <x:c r="N1042" s="9" t="n">
        <x:v>0</x:v>
      </x:c>
      <x:c r="O1042" s="9" t="n">
        <x:v>0</x:v>
      </x:c>
      <x:c r="P1042" s="9" t="str">
        <x:v>HELD / UNRELEASED</x:v>
      </x:c>
      <x:c r="Q1042" s="9" t="n">
        <x:f>COUNTIFS($A$7:$A$2310,A1042)</x:f>
        <x:v>1</x:v>
      </x:c>
    </x:row>
    <x:row r="1043">
      <x:c r="A1043" s="9" t="str">
        <x:v>PD-AR-LF-B-A-TECH-3-B2-BRK-G0-PD13</x:v>
      </x:c>
      <x:c r="B1043" s="9" t="str">
        <x:v>PD-AR-LF-B-A-TECH-3-B2-BRK-G0</x:v>
      </x:c>
      <x:c r="C1043" s="9" t="str">
        <x:v>EV-AR-LF-B-A-TECH-3-B2-BRK-G0</x:v>
      </x:c>
      <x:c r="D1043" s="9" t="str">
        <x:v>AR-LF-B-A-TECH-3-B2-BRK-G0</x:v>
      </x:c>
      <x:c r="E1043" s="9" t="str">
        <x:v>LF-B-A-TECH-3</x:v>
      </x:c>
      <x:c r="F1043" s="9" t="str">
        <x:v>LF-B-A</x:v>
      </x:c>
      <x:c r="G1043" s="9" t="str">
        <x:v>B2</x:v>
      </x:c>
      <x:c r="H1043" s="9" t="str">
        <x:v>BRK</x:v>
      </x:c>
      <x:c r="I1043" s="9" t="str">
        <x:v>PD13</x:v>
      </x:c>
      <x:c r="J1043" s="17" t="str">
        <x:v>Role judgment</x:v>
      </x:c>
      <x:c r="K1043" s="17" t="str">
        <x:v>Role court</x:v>
      </x:c>
      <x:c r="L1043" s="17" t="str">
        <x:v>COURT-SEALED UNTIL COHORT RELEASE</x:v>
      </x:c>
      <x:c r="M1043" s="9" t="n">
        <x:v>0</x:v>
      </x:c>
      <x:c r="N1043" s="9" t="n">
        <x:v>0</x:v>
      </x:c>
      <x:c r="O1043" s="9" t="n">
        <x:v>0</x:v>
      </x:c>
      <x:c r="P1043" s="9" t="str">
        <x:v>HELD / UNRELEASED</x:v>
      </x:c>
      <x:c r="Q1043" s="9" t="n">
        <x:f>COUNTIFS($A$7:$A$2310,A1043)</x:f>
        <x:v>1</x:v>
      </x:c>
    </x:row>
    <x:row r="1044">
      <x:c r="A1044" s="9" t="str">
        <x:v>PD-AR-LF-B-A-TECH-3-B2-BRK-G0-PD14</x:v>
      </x:c>
      <x:c r="B1044" s="9" t="str">
        <x:v>PD-AR-LF-B-A-TECH-3-B2-BRK-G0</x:v>
      </x:c>
      <x:c r="C1044" s="9" t="str">
        <x:v>EV-AR-LF-B-A-TECH-3-B2-BRK-G0</x:v>
      </x:c>
      <x:c r="D1044" s="9" t="str">
        <x:v>AR-LF-B-A-TECH-3-B2-BRK-G0</x:v>
      </x:c>
      <x:c r="E1044" s="9" t="str">
        <x:v>LF-B-A-TECH-3</x:v>
      </x:c>
      <x:c r="F1044" s="9" t="str">
        <x:v>LF-B-A</x:v>
      </x:c>
      <x:c r="G1044" s="9" t="str">
        <x:v>B2</x:v>
      </x:c>
      <x:c r="H1044" s="9" t="str">
        <x:v>BRK</x:v>
      </x:c>
      <x:c r="I1044" s="9" t="str">
        <x:v>PD14</x:v>
      </x:c>
      <x:c r="J1044" s="17" t="str">
        <x:v>Break and residual account</x:v>
      </x:c>
      <x:c r="K1044" s="17" t="str">
        <x:v>Residual authority</x:v>
      </x:c>
      <x:c r="L1044" s="17" t="str">
        <x:v>COURT-SEALED UNTIL COHORT RELEASE</x:v>
      </x:c>
      <x:c r="M1044" s="9" t="n">
        <x:v>0</x:v>
      </x:c>
      <x:c r="N1044" s="9" t="n">
        <x:v>0</x:v>
      </x:c>
      <x:c r="O1044" s="9" t="n">
        <x:v>0</x:v>
      </x:c>
      <x:c r="P1044" s="9" t="str">
        <x:v>HELD / UNRELEASED</x:v>
      </x:c>
      <x:c r="Q1044" s="9" t="n">
        <x:f>COUNTIFS($A$7:$A$2310,A1044)</x:f>
        <x:v>1</x:v>
      </x:c>
    </x:row>
    <x:row r="1045">
      <x:c r="A1045" s="9" t="str">
        <x:v>PD-AR-LF-B-A-TECH-3-B2-BRK-G0-PD15</x:v>
      </x:c>
      <x:c r="B1045" s="9" t="str">
        <x:v>PD-AR-LF-B-A-TECH-3-B2-BRK-G0</x:v>
      </x:c>
      <x:c r="C1045" s="9" t="str">
        <x:v>EV-AR-LF-B-A-TECH-3-B2-BRK-G0</x:v>
      </x:c>
      <x:c r="D1045" s="9" t="str">
        <x:v>AR-LF-B-A-TECH-3-B2-BRK-G0</x:v>
      </x:c>
      <x:c r="E1045" s="9" t="str">
        <x:v>LF-B-A-TECH-3</x:v>
      </x:c>
      <x:c r="F1045" s="9" t="str">
        <x:v>LF-B-A</x:v>
      </x:c>
      <x:c r="G1045" s="9" t="str">
        <x:v>B2</x:v>
      </x:c>
      <x:c r="H1045" s="9" t="str">
        <x:v>BRK</x:v>
      </x:c>
      <x:c r="I1045" s="9" t="str">
        <x:v>PD15</x:v>
      </x:c>
      <x:c r="J1045" s="17" t="str">
        <x:v>Reconstruction ancestry and replay</x:v>
      </x:c>
      <x:c r="K1045" s="17" t="str">
        <x:v>Reconstruction court</x:v>
      </x:c>
      <x:c r="L1045" s="17" t="str">
        <x:v>COURT-SEALED UNTIL COHORT RELEASE</x:v>
      </x:c>
      <x:c r="M1045" s="9" t="n">
        <x:v>0</x:v>
      </x:c>
      <x:c r="N1045" s="9" t="n">
        <x:v>0</x:v>
      </x:c>
      <x:c r="O1045" s="9" t="n">
        <x:v>0</x:v>
      </x:c>
      <x:c r="P1045" s="9" t="str">
        <x:v>HELD / UNRELEASED</x:v>
      </x:c>
      <x:c r="Q1045" s="9" t="n">
        <x:f>COUNTIFS($A$7:$A$2310,A1045)</x:f>
        <x:v>1</x:v>
      </x:c>
    </x:row>
    <x:row r="1046">
      <x:c r="A1046" s="9" t="str">
        <x:v>PD-AR-LF-B-A-TECH-3-B2-BRK-G0-PD16</x:v>
      </x:c>
      <x:c r="B1046" s="9" t="str">
        <x:v>PD-AR-LF-B-A-TECH-3-B2-BRK-G0</x:v>
      </x:c>
      <x:c r="C1046" s="9" t="str">
        <x:v>EV-AR-LF-B-A-TECH-3-B2-BRK-G0</x:v>
      </x:c>
      <x:c r="D1046" s="9" t="str">
        <x:v>AR-LF-B-A-TECH-3-B2-BRK-G0</x:v>
      </x:c>
      <x:c r="E1046" s="9" t="str">
        <x:v>LF-B-A-TECH-3</x:v>
      </x:c>
      <x:c r="F1046" s="9" t="str">
        <x:v>LF-B-A</x:v>
      </x:c>
      <x:c r="G1046" s="9" t="str">
        <x:v>B2</x:v>
      </x:c>
      <x:c r="H1046" s="9" t="str">
        <x:v>BRK</x:v>
      </x:c>
      <x:c r="I1046" s="9" t="str">
        <x:v>PD16</x:v>
      </x:c>
      <x:c r="J1046" s="17" t="str">
        <x:v>Dissent, amendments and access log</x:v>
      </x:c>
      <x:c r="K1046" s="17" t="str">
        <x:v>Public archive</x:v>
      </x:c>
      <x:c r="L1046" s="17" t="str">
        <x:v>COURT-SEALED UNTIL COHORT RELEASE</x:v>
      </x:c>
      <x:c r="M1046" s="9" t="n">
        <x:v>0</x:v>
      </x:c>
      <x:c r="N1046" s="9" t="n">
        <x:v>0</x:v>
      </x:c>
      <x:c r="O1046" s="9" t="n">
        <x:v>0</x:v>
      </x:c>
      <x:c r="P1046" s="9" t="str">
        <x:v>HELD / UNRELEASED</x:v>
      </x:c>
      <x:c r="Q1046" s="9" t="n">
        <x:f>COUNTIFS($A$7:$A$2310,A1046)</x:f>
        <x:v>1</x:v>
      </x:c>
    </x:row>
    <x:row r="1047">
      <x:c r="A1047" s="9" t="str">
        <x:v>PD-AR-RT-B-C-TECH-4-B1-INT-G0-PD01</x:v>
      </x:c>
      <x:c r="B1047" s="9" t="str">
        <x:v>PD-AR-RT-B-C-TECH-4-B1-INT-G0</x:v>
      </x:c>
      <x:c r="C1047" s="9" t="str">
        <x:v>EV-AR-RT-B-C-TECH-4-B1-INT-G0</x:v>
      </x:c>
      <x:c r="D1047" s="9" t="str">
        <x:v>AR-RT-B-C-TECH-4-B1-INT-G0</x:v>
      </x:c>
      <x:c r="E1047" s="9" t="str">
        <x:v>RT-B-C-TECH-4</x:v>
      </x:c>
      <x:c r="F1047" s="9" t="str">
        <x:v>RT-B-C</x:v>
      </x:c>
      <x:c r="G1047" s="9" t="str">
        <x:v>B1</x:v>
      </x:c>
      <x:c r="H1047" s="9" t="str">
        <x:v>INT</x:v>
      </x:c>
      <x:c r="I1047" s="9" t="str">
        <x:v>PD01</x:v>
      </x:c>
      <x:c r="J1047" s="17" t="str">
        <x:v>Experiment kernel</x:v>
      </x:c>
      <x:c r="K1047" s="17" t="str">
        <x:v>Public archive</x:v>
      </x:c>
      <x:c r="L1047" s="17" t="str">
        <x:v>COURT-SEALED UNTIL COHORT RELEASE</x:v>
      </x:c>
      <x:c r="M1047" s="9" t="n">
        <x:v>0</x:v>
      </x:c>
      <x:c r="N1047" s="9" t="n">
        <x:v>0</x:v>
      </x:c>
      <x:c r="O1047" s="9" t="n">
        <x:v>0</x:v>
      </x:c>
      <x:c r="P1047" s="9" t="str">
        <x:v>HELD / UNRELEASED</x:v>
      </x:c>
      <x:c r="Q1047" s="9" t="n">
        <x:f>COUNTIFS($A$7:$A$2310,A1047)</x:f>
        <x:v>1</x:v>
      </x:c>
    </x:row>
    <x:row r="1048">
      <x:c r="A1048" s="9" t="str">
        <x:v>PD-AR-RT-B-C-TECH-4-B1-INT-G0-PD02</x:v>
      </x:c>
      <x:c r="B1048" s="9" t="str">
        <x:v>PD-AR-RT-B-C-TECH-4-B1-INT-G0</x:v>
      </x:c>
      <x:c r="C1048" s="9" t="str">
        <x:v>EV-AR-RT-B-C-TECH-4-B1-INT-G0</x:v>
      </x:c>
      <x:c r="D1048" s="9" t="str">
        <x:v>AR-RT-B-C-TECH-4-B1-INT-G0</x:v>
      </x:c>
      <x:c r="E1048" s="9" t="str">
        <x:v>RT-B-C-TECH-4</x:v>
      </x:c>
      <x:c r="F1048" s="9" t="str">
        <x:v>RT-B-C</x:v>
      </x:c>
      <x:c r="G1048" s="9" t="str">
        <x:v>B1</x:v>
      </x:c>
      <x:c r="H1048" s="9" t="str">
        <x:v>INT</x:v>
      </x:c>
      <x:c r="I1048" s="9" t="str">
        <x:v>PD02</x:v>
      </x:c>
      <x:c r="J1048" s="17" t="str">
        <x:v>Serial annex and title chain</x:v>
      </x:c>
      <x:c r="K1048" s="17" t="str">
        <x:v>Public archive</x:v>
      </x:c>
      <x:c r="L1048" s="17" t="str">
        <x:v>COURT-SEALED UNTIL COHORT RELEASE</x:v>
      </x:c>
      <x:c r="M1048" s="9" t="n">
        <x:v>0</x:v>
      </x:c>
      <x:c r="N1048" s="9" t="n">
        <x:v>0</x:v>
      </x:c>
      <x:c r="O1048" s="9" t="n">
        <x:v>0</x:v>
      </x:c>
      <x:c r="P1048" s="9" t="str">
        <x:v>HELD / UNRELEASED</x:v>
      </x:c>
      <x:c r="Q1048" s="9" t="n">
        <x:f>COUNTIFS($A$7:$A$2310,A1048)</x:f>
        <x:v>1</x:v>
      </x:c>
    </x:row>
    <x:row r="1049">
      <x:c r="A1049" s="9" t="str">
        <x:v>PD-AR-RT-B-C-TECH-4-B1-INT-G0-PD03</x:v>
      </x:c>
      <x:c r="B1049" s="9" t="str">
        <x:v>PD-AR-RT-B-C-TECH-4-B1-INT-G0</x:v>
      </x:c>
      <x:c r="C1049" s="9" t="str">
        <x:v>EV-AR-RT-B-C-TECH-4-B1-INT-G0</x:v>
      </x:c>
      <x:c r="D1049" s="9" t="str">
        <x:v>AR-RT-B-C-TECH-4-B1-INT-G0</x:v>
      </x:c>
      <x:c r="E1049" s="9" t="str">
        <x:v>RT-B-C-TECH-4</x:v>
      </x:c>
      <x:c r="F1049" s="9" t="str">
        <x:v>RT-B-C</x:v>
      </x:c>
      <x:c r="G1049" s="9" t="str">
        <x:v>B1</x:v>
      </x:c>
      <x:c r="H1049" s="9" t="str">
        <x:v>INT</x:v>
      </x:c>
      <x:c r="I1049" s="9" t="str">
        <x:v>PD03</x:v>
      </x:c>
      <x:c r="J1049" s="17" t="str">
        <x:v>Configuration and as-built manifest</x:v>
      </x:c>
      <x:c r="K1049" s="17" t="str">
        <x:v>Artifact exchange</x:v>
      </x:c>
      <x:c r="L1049" s="17" t="str">
        <x:v>COURT-SEALED UNTIL COHORT RELEASE</x:v>
      </x:c>
      <x:c r="M1049" s="9" t="n">
        <x:v>0</x:v>
      </x:c>
      <x:c r="N1049" s="9" t="n">
        <x:v>0</x:v>
      </x:c>
      <x:c r="O1049" s="9" t="n">
        <x:v>0</x:v>
      </x:c>
      <x:c r="P1049" s="9" t="str">
        <x:v>HELD / UNRELEASED</x:v>
      </x:c>
      <x:c r="Q1049" s="9" t="n">
        <x:f>COUNTIFS($A$7:$A$2310,A1049)</x:f>
        <x:v>1</x:v>
      </x:c>
    </x:row>
    <x:row r="1050">
      <x:c r="A1050" s="9" t="str">
        <x:v>PD-AR-RT-B-C-TECH-4-B1-INT-G0-PD04</x:v>
      </x:c>
      <x:c r="B1050" s="9" t="str">
        <x:v>PD-AR-RT-B-C-TECH-4-B1-INT-G0</x:v>
      </x:c>
      <x:c r="C1050" s="9" t="str">
        <x:v>EV-AR-RT-B-C-TECH-4-B1-INT-G0</x:v>
      </x:c>
      <x:c r="D1050" s="9" t="str">
        <x:v>AR-RT-B-C-TECH-4-B1-INT-G0</x:v>
      </x:c>
      <x:c r="E1050" s="9" t="str">
        <x:v>RT-B-C-TECH-4</x:v>
      </x:c>
      <x:c r="F1050" s="9" t="str">
        <x:v>RT-B-C</x:v>
      </x:c>
      <x:c r="G1050" s="9" t="str">
        <x:v>B1</x:v>
      </x:c>
      <x:c r="H1050" s="9" t="str">
        <x:v>INT</x:v>
      </x:c>
      <x:c r="I1050" s="9" t="str">
        <x:v>PD04</x:v>
      </x:c>
      <x:c r="J1050" s="17" t="str">
        <x:v>EOW and start certificate</x:v>
      </x:c>
      <x:c r="K1050" s="17" t="str">
        <x:v>Start registrar</x:v>
      </x:c>
      <x:c r="L1050" s="17" t="str">
        <x:v>COURT-SEALED UNTIL COHORT RELEASE</x:v>
      </x:c>
      <x:c r="M1050" s="9" t="n">
        <x:v>0</x:v>
      </x:c>
      <x:c r="N1050" s="9" t="n">
        <x:v>0</x:v>
      </x:c>
      <x:c r="O1050" s="9" t="n">
        <x:v>0</x:v>
      </x:c>
      <x:c r="P1050" s="9" t="str">
        <x:v>HELD / UNRELEASED</x:v>
      </x:c>
      <x:c r="Q1050" s="9" t="n">
        <x:f>COUNTIFS($A$7:$A$2310,A1050)</x:f>
        <x:v>1</x:v>
      </x:c>
    </x:row>
    <x:row r="1051">
      <x:c r="A1051" s="9" t="str">
        <x:v>PD-AR-RT-B-C-TECH-4-B1-INT-G0-PD05</x:v>
      </x:c>
      <x:c r="B1051" s="9" t="str">
        <x:v>PD-AR-RT-B-C-TECH-4-B1-INT-G0</x:v>
      </x:c>
      <x:c r="C1051" s="9" t="str">
        <x:v>EV-AR-RT-B-C-TECH-4-B1-INT-G0</x:v>
      </x:c>
      <x:c r="D1051" s="9" t="str">
        <x:v>AR-RT-B-C-TECH-4-B1-INT-G0</x:v>
      </x:c>
      <x:c r="E1051" s="9" t="str">
        <x:v>RT-B-C-TECH-4</x:v>
      </x:c>
      <x:c r="F1051" s="9" t="str">
        <x:v>RT-B-C</x:v>
      </x:c>
      <x:c r="G1051" s="9" t="str">
        <x:v>B1</x:v>
      </x:c>
      <x:c r="H1051" s="9" t="str">
        <x:v>INT</x:v>
      </x:c>
      <x:c r="I1051" s="9" t="str">
        <x:v>PD05</x:v>
      </x:c>
      <x:c r="J1051" s="17" t="str">
        <x:v>Primary raw originals</x:v>
      </x:c>
      <x:c r="K1051" s="17" t="str">
        <x:v>Primary custody</x:v>
      </x:c>
      <x:c r="L1051" s="17" t="str">
        <x:v>COURT-SEALED UNTIL COHORT RELEASE</x:v>
      </x:c>
      <x:c r="M1051" s="9" t="n">
        <x:v>0</x:v>
      </x:c>
      <x:c r="N1051" s="9" t="n">
        <x:v>0</x:v>
      </x:c>
      <x:c r="O1051" s="9" t="n">
        <x:v>0</x:v>
      </x:c>
      <x:c r="P1051" s="9" t="str">
        <x:v>HELD / UNRELEASED</x:v>
      </x:c>
      <x:c r="Q1051" s="9" t="n">
        <x:f>COUNTIFS($A$7:$A$2310,A1051)</x:f>
        <x:v>1</x:v>
      </x:c>
    </x:row>
    <x:row r="1052">
      <x:c r="A1052" s="9" t="str">
        <x:v>PD-AR-RT-B-C-TECH-4-B1-INT-G0-PD06</x:v>
      </x:c>
      <x:c r="B1052" s="9" t="str">
        <x:v>PD-AR-RT-B-C-TECH-4-B1-INT-G0</x:v>
      </x:c>
      <x:c r="C1052" s="9" t="str">
        <x:v>EV-AR-RT-B-C-TECH-4-B1-INT-G0</x:v>
      </x:c>
      <x:c r="D1052" s="9" t="str">
        <x:v>AR-RT-B-C-TECH-4-B1-INT-G0</x:v>
      </x:c>
      <x:c r="E1052" s="9" t="str">
        <x:v>RT-B-C-TECH-4</x:v>
      </x:c>
      <x:c r="F1052" s="9" t="str">
        <x:v>RT-B-C</x:v>
      </x:c>
      <x:c r="G1052" s="9" t="str">
        <x:v>B1</x:v>
      </x:c>
      <x:c r="H1052" s="9" t="str">
        <x:v>INT</x:v>
      </x:c>
      <x:c r="I1052" s="9" t="str">
        <x:v>PD06</x:v>
      </x:c>
      <x:c r="J1052" s="17" t="str">
        <x:v>Witness raw originals</x:v>
      </x:c>
      <x:c r="K1052" s="17" t="str">
        <x:v>Witness custody</x:v>
      </x:c>
      <x:c r="L1052" s="17" t="str">
        <x:v>COURT-SEALED UNTIL COHORT RELEASE</x:v>
      </x:c>
      <x:c r="M1052" s="9" t="n">
        <x:v>0</x:v>
      </x:c>
      <x:c r="N1052" s="9" t="n">
        <x:v>0</x:v>
      </x:c>
      <x:c r="O1052" s="9" t="n">
        <x:v>0</x:v>
      </x:c>
      <x:c r="P1052" s="9" t="str">
        <x:v>HELD / UNRELEASED</x:v>
      </x:c>
      <x:c r="Q1052" s="9" t="n">
        <x:f>COUNTIFS($A$7:$A$2310,A1052)</x:f>
        <x:v>1</x:v>
      </x:c>
    </x:row>
    <x:row r="1053">
      <x:c r="A1053" s="9" t="str">
        <x:v>PD-AR-RT-B-C-TECH-4-B1-INT-G0-PD07</x:v>
      </x:c>
      <x:c r="B1053" s="9" t="str">
        <x:v>PD-AR-RT-B-C-TECH-4-B1-INT-G0</x:v>
      </x:c>
      <x:c r="C1053" s="9" t="str">
        <x:v>EV-AR-RT-B-C-TECH-4-B1-INT-G0</x:v>
      </x:c>
      <x:c r="D1053" s="9" t="str">
        <x:v>AR-RT-B-C-TECH-4-B1-INT-G0</x:v>
      </x:c>
      <x:c r="E1053" s="9" t="str">
        <x:v>RT-B-C-TECH-4</x:v>
      </x:c>
      <x:c r="F1053" s="9" t="str">
        <x:v>RT-B-C</x:v>
      </x:c>
      <x:c r="G1053" s="9" t="str">
        <x:v>B1</x:v>
      </x:c>
      <x:c r="H1053" s="9" t="str">
        <x:v>INT</x:v>
      </x:c>
      <x:c r="I1053" s="9" t="str">
        <x:v>PD07</x:v>
      </x:c>
      <x:c r="J1053" s="17" t="str">
        <x:v>Clock and environmental records</x:v>
      </x:c>
      <x:c r="K1053" s="17" t="str">
        <x:v>Boundary archive</x:v>
      </x:c>
      <x:c r="L1053" s="17" t="str">
        <x:v>COURT-SEALED UNTIL COHORT RELEASE</x:v>
      </x:c>
      <x:c r="M1053" s="9" t="n">
        <x:v>0</x:v>
      </x:c>
      <x:c r="N1053" s="9" t="n">
        <x:v>0</x:v>
      </x:c>
      <x:c r="O1053" s="9" t="n">
        <x:v>0</x:v>
      </x:c>
      <x:c r="P1053" s="9" t="str">
        <x:v>HELD / UNRELEASED</x:v>
      </x:c>
      <x:c r="Q1053" s="9" t="n">
        <x:f>COUNTIFS($A$7:$A$2310,A1053)</x:f>
        <x:v>1</x:v>
      </x:c>
    </x:row>
    <x:row r="1054">
      <x:c r="A1054" s="9" t="str">
        <x:v>PD-AR-RT-B-C-TECH-4-B1-INT-G0-PD08</x:v>
      </x:c>
      <x:c r="B1054" s="9" t="str">
        <x:v>PD-AR-RT-B-C-TECH-4-B1-INT-G0</x:v>
      </x:c>
      <x:c r="C1054" s="9" t="str">
        <x:v>EV-AR-RT-B-C-TECH-4-B1-INT-G0</x:v>
      </x:c>
      <x:c r="D1054" s="9" t="str">
        <x:v>AR-RT-B-C-TECH-4-B1-INT-G0</x:v>
      </x:c>
      <x:c r="E1054" s="9" t="str">
        <x:v>RT-B-C-TECH-4</x:v>
      </x:c>
      <x:c r="F1054" s="9" t="str">
        <x:v>RT-B-C</x:v>
      </x:c>
      <x:c r="G1054" s="9" t="str">
        <x:v>B1</x:v>
      </x:c>
      <x:c r="H1054" s="9" t="str">
        <x:v>INT</x:v>
      </x:c>
      <x:c r="I1054" s="9" t="str">
        <x:v>PD08</x:v>
      </x:c>
      <x:c r="J1054" s="17" t="str">
        <x:v>Command and intervention log</x:v>
      </x:c>
      <x:c r="K1054" s="17" t="str">
        <x:v>Safety archive</x:v>
      </x:c>
      <x:c r="L1054" s="17" t="str">
        <x:v>COURT-SEALED UNTIL COHORT RELEASE</x:v>
      </x:c>
      <x:c r="M1054" s="9" t="n">
        <x:v>0</x:v>
      </x:c>
      <x:c r="N1054" s="9" t="n">
        <x:v>0</x:v>
      </x:c>
      <x:c r="O1054" s="9" t="n">
        <x:v>0</x:v>
      </x:c>
      <x:c r="P1054" s="9" t="str">
        <x:v>HELD / UNRELEASED</x:v>
      </x:c>
      <x:c r="Q1054" s="9" t="n">
        <x:f>COUNTIFS($A$7:$A$2310,A1054)</x:f>
        <x:v>1</x:v>
      </x:c>
    </x:row>
    <x:row r="1055">
      <x:c r="A1055" s="9" t="str">
        <x:v>PD-AR-RT-B-C-TECH-4-B1-INT-G0-PD09</x:v>
      </x:c>
      <x:c r="B1055" s="9" t="str">
        <x:v>PD-AR-RT-B-C-TECH-4-B1-INT-G0</x:v>
      </x:c>
      <x:c r="C1055" s="9" t="str">
        <x:v>EV-AR-RT-B-C-TECH-4-B1-INT-G0</x:v>
      </x:c>
      <x:c r="D1055" s="9" t="str">
        <x:v>AR-RT-B-C-TECH-4-B1-INT-G0</x:v>
      </x:c>
      <x:c r="E1055" s="9" t="str">
        <x:v>RT-B-C-TECH-4</x:v>
      </x:c>
      <x:c r="F1055" s="9" t="str">
        <x:v>RT-B-C</x:v>
      </x:c>
      <x:c r="G1055" s="9" t="str">
        <x:v>B1</x:v>
      </x:c>
      <x:c r="H1055" s="9" t="str">
        <x:v>INT</x:v>
      </x:c>
      <x:c r="I1055" s="9" t="str">
        <x:v>PD09</x:v>
      </x:c>
      <x:c r="J1055" s="17" t="str">
        <x:v>Receiver denominator and service ledger</x:v>
      </x:c>
      <x:c r="K1055" s="17" t="str">
        <x:v>Receiver archive</x:v>
      </x:c>
      <x:c r="L1055" s="17" t="str">
        <x:v>COURT-SEALED UNTIL COHORT RELEASE</x:v>
      </x:c>
      <x:c r="M1055" s="9" t="n">
        <x:v>0</x:v>
      </x:c>
      <x:c r="N1055" s="9" t="n">
        <x:v>0</x:v>
      </x:c>
      <x:c r="O1055" s="9" t="n">
        <x:v>0</x:v>
      </x:c>
      <x:c r="P1055" s="9" t="str">
        <x:v>HELD / UNRELEASED</x:v>
      </x:c>
      <x:c r="Q1055" s="9" t="n">
        <x:f>COUNTIFS($A$7:$A$2310,A1055)</x:f>
        <x:v>1</x:v>
      </x:c>
    </x:row>
    <x:row r="1056">
      <x:c r="A1056" s="9" t="str">
        <x:v>PD-AR-RT-B-C-TECH-4-B1-INT-G0-PD10</x:v>
      </x:c>
      <x:c r="B1056" s="9" t="str">
        <x:v>PD-AR-RT-B-C-TECH-4-B1-INT-G0</x:v>
      </x:c>
      <x:c r="C1056" s="9" t="str">
        <x:v>EV-AR-RT-B-C-TECH-4-B1-INT-G0</x:v>
      </x:c>
      <x:c r="D1056" s="9" t="str">
        <x:v>AR-RT-B-C-TECH-4-B1-INT-G0</x:v>
      </x:c>
      <x:c r="E1056" s="9" t="str">
        <x:v>RT-B-C-TECH-4</x:v>
      </x:c>
      <x:c r="F1056" s="9" t="str">
        <x:v>RT-B-C</x:v>
      </x:c>
      <x:c r="G1056" s="9" t="str">
        <x:v>B1</x:v>
      </x:c>
      <x:c r="H1056" s="9" t="str">
        <x:v>INT</x:v>
      </x:c>
      <x:c r="I1056" s="9" t="str">
        <x:v>PD10</x:v>
      </x:c>
      <x:c r="J1056" s="17" t="str">
        <x:v>Calibration and uncertainty record</x:v>
      </x:c>
      <x:c r="K1056" s="17" t="str">
        <x:v>Metrology archive</x:v>
      </x:c>
      <x:c r="L1056" s="17" t="str">
        <x:v>COURT-SEALED UNTIL COHORT RELEASE</x:v>
      </x:c>
      <x:c r="M1056" s="9" t="n">
        <x:v>0</x:v>
      </x:c>
      <x:c r="N1056" s="9" t="n">
        <x:v>0</x:v>
      </x:c>
      <x:c r="O1056" s="9" t="n">
        <x:v>0</x:v>
      </x:c>
      <x:c r="P1056" s="9" t="str">
        <x:v>HELD / UNRELEASED</x:v>
      </x:c>
      <x:c r="Q1056" s="9" t="n">
        <x:f>COUNTIFS($A$7:$A$2310,A1056)</x:f>
        <x:v>1</x:v>
      </x:c>
    </x:row>
    <x:row r="1057">
      <x:c r="A1057" s="9" t="str">
        <x:v>PD-AR-RT-B-C-TECH-4-B1-INT-G0-PD11</x:v>
      </x:c>
      <x:c r="B1057" s="9" t="str">
        <x:v>PD-AR-RT-B-C-TECH-4-B1-INT-G0</x:v>
      </x:c>
      <x:c r="C1057" s="9" t="str">
        <x:v>EV-AR-RT-B-C-TECH-4-B1-INT-G0</x:v>
      </x:c>
      <x:c r="D1057" s="9" t="str">
        <x:v>AR-RT-B-C-TECH-4-B1-INT-G0</x:v>
      </x:c>
      <x:c r="E1057" s="9" t="str">
        <x:v>RT-B-C-TECH-4</x:v>
      </x:c>
      <x:c r="F1057" s="9" t="str">
        <x:v>RT-B-C</x:v>
      </x:c>
      <x:c r="G1057" s="9" t="str">
        <x:v>B1</x:v>
      </x:c>
      <x:c r="H1057" s="9" t="str">
        <x:v>INT</x:v>
      </x:c>
      <x:c r="I1057" s="9" t="str">
        <x:v>PD11</x:v>
      </x:c>
      <x:c r="J1057" s="17" t="str">
        <x:v>Invalidity petition and opinion</x:v>
      </x:c>
      <x:c r="K1057" s="17" t="str">
        <x:v>Invalidity court</x:v>
      </x:c>
      <x:c r="L1057" s="17" t="str">
        <x:v>COURT-SEALED UNTIL COHORT RELEASE</x:v>
      </x:c>
      <x:c r="M1057" s="9" t="n">
        <x:v>0</x:v>
      </x:c>
      <x:c r="N1057" s="9" t="n">
        <x:v>0</x:v>
      </x:c>
      <x:c r="O1057" s="9" t="n">
        <x:v>0</x:v>
      </x:c>
      <x:c r="P1057" s="9" t="str">
        <x:v>HELD / UNRELEASED</x:v>
      </x:c>
      <x:c r="Q1057" s="9" t="n">
        <x:f>COUNTIFS($A$7:$A$2310,A1057)</x:f>
        <x:v>1</x:v>
      </x:c>
    </x:row>
    <x:row r="1058">
      <x:c r="A1058" s="9" t="str">
        <x:v>PD-AR-RT-B-C-TECH-4-B1-INT-G0-PD12</x:v>
      </x:c>
      <x:c r="B1058" s="9" t="str">
        <x:v>PD-AR-RT-B-C-TECH-4-B1-INT-G0</x:v>
      </x:c>
      <x:c r="C1058" s="9" t="str">
        <x:v>EV-AR-RT-B-C-TECH-4-B1-INT-G0</x:v>
      </x:c>
      <x:c r="D1058" s="9" t="str">
        <x:v>AR-RT-B-C-TECH-4-B1-INT-G0</x:v>
      </x:c>
      <x:c r="E1058" s="9" t="str">
        <x:v>RT-B-C-TECH-4</x:v>
      </x:c>
      <x:c r="F1058" s="9" t="str">
        <x:v>RT-B-C</x:v>
      </x:c>
      <x:c r="G1058" s="9" t="str">
        <x:v>B1</x:v>
      </x:c>
      <x:c r="H1058" s="9" t="str">
        <x:v>INT</x:v>
      </x:c>
      <x:c r="I1058" s="9" t="str">
        <x:v>PD12</x:v>
      </x:c>
      <x:c r="J1058" s="17" t="str">
        <x:v>Observation acceptance and replay</x:v>
      </x:c>
      <x:c r="K1058" s="17" t="str">
        <x:v>Observation court</x:v>
      </x:c>
      <x:c r="L1058" s="17" t="str">
        <x:v>COURT-SEALED UNTIL COHORT RELEASE</x:v>
      </x:c>
      <x:c r="M1058" s="9" t="n">
        <x:v>0</x:v>
      </x:c>
      <x:c r="N1058" s="9" t="n">
        <x:v>0</x:v>
      </x:c>
      <x:c r="O1058" s="9" t="n">
        <x:v>0</x:v>
      </x:c>
      <x:c r="P1058" s="9" t="str">
        <x:v>HELD / UNRELEASED</x:v>
      </x:c>
      <x:c r="Q1058" s="9" t="n">
        <x:f>COUNTIFS($A$7:$A$2310,A1058)</x:f>
        <x:v>1</x:v>
      </x:c>
    </x:row>
    <x:row r="1059">
      <x:c r="A1059" s="9" t="str">
        <x:v>PD-AR-RT-B-C-TECH-4-B1-INT-G0-PD13</x:v>
      </x:c>
      <x:c r="B1059" s="9" t="str">
        <x:v>PD-AR-RT-B-C-TECH-4-B1-INT-G0</x:v>
      </x:c>
      <x:c r="C1059" s="9" t="str">
        <x:v>EV-AR-RT-B-C-TECH-4-B1-INT-G0</x:v>
      </x:c>
      <x:c r="D1059" s="9" t="str">
        <x:v>AR-RT-B-C-TECH-4-B1-INT-G0</x:v>
      </x:c>
      <x:c r="E1059" s="9" t="str">
        <x:v>RT-B-C-TECH-4</x:v>
      </x:c>
      <x:c r="F1059" s="9" t="str">
        <x:v>RT-B-C</x:v>
      </x:c>
      <x:c r="G1059" s="9" t="str">
        <x:v>B1</x:v>
      </x:c>
      <x:c r="H1059" s="9" t="str">
        <x:v>INT</x:v>
      </x:c>
      <x:c r="I1059" s="9" t="str">
        <x:v>PD13</x:v>
      </x:c>
      <x:c r="J1059" s="17" t="str">
        <x:v>Role judgment</x:v>
      </x:c>
      <x:c r="K1059" s="17" t="str">
        <x:v>Role court</x:v>
      </x:c>
      <x:c r="L1059" s="17" t="str">
        <x:v>COURT-SEALED UNTIL COHORT RELEASE</x:v>
      </x:c>
      <x:c r="M1059" s="9" t="n">
        <x:v>0</x:v>
      </x:c>
      <x:c r="N1059" s="9" t="n">
        <x:v>0</x:v>
      </x:c>
      <x:c r="O1059" s="9" t="n">
        <x:v>0</x:v>
      </x:c>
      <x:c r="P1059" s="9" t="str">
        <x:v>HELD / UNRELEASED</x:v>
      </x:c>
      <x:c r="Q1059" s="9" t="n">
        <x:f>COUNTIFS($A$7:$A$2310,A1059)</x:f>
        <x:v>1</x:v>
      </x:c>
    </x:row>
    <x:row r="1060">
      <x:c r="A1060" s="9" t="str">
        <x:v>PD-AR-RT-B-C-TECH-4-B1-INT-G0-PD14</x:v>
      </x:c>
      <x:c r="B1060" s="9" t="str">
        <x:v>PD-AR-RT-B-C-TECH-4-B1-INT-G0</x:v>
      </x:c>
      <x:c r="C1060" s="9" t="str">
        <x:v>EV-AR-RT-B-C-TECH-4-B1-INT-G0</x:v>
      </x:c>
      <x:c r="D1060" s="9" t="str">
        <x:v>AR-RT-B-C-TECH-4-B1-INT-G0</x:v>
      </x:c>
      <x:c r="E1060" s="9" t="str">
        <x:v>RT-B-C-TECH-4</x:v>
      </x:c>
      <x:c r="F1060" s="9" t="str">
        <x:v>RT-B-C</x:v>
      </x:c>
      <x:c r="G1060" s="9" t="str">
        <x:v>B1</x:v>
      </x:c>
      <x:c r="H1060" s="9" t="str">
        <x:v>INT</x:v>
      </x:c>
      <x:c r="I1060" s="9" t="str">
        <x:v>PD14</x:v>
      </x:c>
      <x:c r="J1060" s="17" t="str">
        <x:v>Break and residual account</x:v>
      </x:c>
      <x:c r="K1060" s="17" t="str">
        <x:v>Residual authority</x:v>
      </x:c>
      <x:c r="L1060" s="17" t="str">
        <x:v>COURT-SEALED UNTIL COHORT RELEASE</x:v>
      </x:c>
      <x:c r="M1060" s="9" t="n">
        <x:v>0</x:v>
      </x:c>
      <x:c r="N1060" s="9" t="n">
        <x:v>0</x:v>
      </x:c>
      <x:c r="O1060" s="9" t="n">
        <x:v>0</x:v>
      </x:c>
      <x:c r="P1060" s="9" t="str">
        <x:v>HELD / UNRELEASED</x:v>
      </x:c>
      <x:c r="Q1060" s="9" t="n">
        <x:f>COUNTIFS($A$7:$A$2310,A1060)</x:f>
        <x:v>1</x:v>
      </x:c>
    </x:row>
    <x:row r="1061">
      <x:c r="A1061" s="9" t="str">
        <x:v>PD-AR-RT-B-C-TECH-4-B1-INT-G0-PD15</x:v>
      </x:c>
      <x:c r="B1061" s="9" t="str">
        <x:v>PD-AR-RT-B-C-TECH-4-B1-INT-G0</x:v>
      </x:c>
      <x:c r="C1061" s="9" t="str">
        <x:v>EV-AR-RT-B-C-TECH-4-B1-INT-G0</x:v>
      </x:c>
      <x:c r="D1061" s="9" t="str">
        <x:v>AR-RT-B-C-TECH-4-B1-INT-G0</x:v>
      </x:c>
      <x:c r="E1061" s="9" t="str">
        <x:v>RT-B-C-TECH-4</x:v>
      </x:c>
      <x:c r="F1061" s="9" t="str">
        <x:v>RT-B-C</x:v>
      </x:c>
      <x:c r="G1061" s="9" t="str">
        <x:v>B1</x:v>
      </x:c>
      <x:c r="H1061" s="9" t="str">
        <x:v>INT</x:v>
      </x:c>
      <x:c r="I1061" s="9" t="str">
        <x:v>PD15</x:v>
      </x:c>
      <x:c r="J1061" s="17" t="str">
        <x:v>Reconstruction ancestry and replay</x:v>
      </x:c>
      <x:c r="K1061" s="17" t="str">
        <x:v>Reconstruction court</x:v>
      </x:c>
      <x:c r="L1061" s="17" t="str">
        <x:v>COURT-SEALED UNTIL COHORT RELEASE</x:v>
      </x:c>
      <x:c r="M1061" s="9" t="n">
        <x:v>0</x:v>
      </x:c>
      <x:c r="N1061" s="9" t="n">
        <x:v>0</x:v>
      </x:c>
      <x:c r="O1061" s="9" t="n">
        <x:v>0</x:v>
      </x:c>
      <x:c r="P1061" s="9" t="str">
        <x:v>HELD / UNRELEASED</x:v>
      </x:c>
      <x:c r="Q1061" s="9" t="n">
        <x:f>COUNTIFS($A$7:$A$2310,A1061)</x:f>
        <x:v>1</x:v>
      </x:c>
    </x:row>
    <x:row r="1062">
      <x:c r="A1062" s="9" t="str">
        <x:v>PD-AR-RT-B-C-TECH-4-B1-INT-G0-PD16</x:v>
      </x:c>
      <x:c r="B1062" s="9" t="str">
        <x:v>PD-AR-RT-B-C-TECH-4-B1-INT-G0</x:v>
      </x:c>
      <x:c r="C1062" s="9" t="str">
        <x:v>EV-AR-RT-B-C-TECH-4-B1-INT-G0</x:v>
      </x:c>
      <x:c r="D1062" s="9" t="str">
        <x:v>AR-RT-B-C-TECH-4-B1-INT-G0</x:v>
      </x:c>
      <x:c r="E1062" s="9" t="str">
        <x:v>RT-B-C-TECH-4</x:v>
      </x:c>
      <x:c r="F1062" s="9" t="str">
        <x:v>RT-B-C</x:v>
      </x:c>
      <x:c r="G1062" s="9" t="str">
        <x:v>B1</x:v>
      </x:c>
      <x:c r="H1062" s="9" t="str">
        <x:v>INT</x:v>
      </x:c>
      <x:c r="I1062" s="9" t="str">
        <x:v>PD16</x:v>
      </x:c>
      <x:c r="J1062" s="17" t="str">
        <x:v>Dissent, amendments and access log</x:v>
      </x:c>
      <x:c r="K1062" s="17" t="str">
        <x:v>Public archive</x:v>
      </x:c>
      <x:c r="L1062" s="17" t="str">
        <x:v>COURT-SEALED UNTIL COHORT RELEASE</x:v>
      </x:c>
      <x:c r="M1062" s="9" t="n">
        <x:v>0</x:v>
      </x:c>
      <x:c r="N1062" s="9" t="n">
        <x:v>0</x:v>
      </x:c>
      <x:c r="O1062" s="9" t="n">
        <x:v>0</x:v>
      </x:c>
      <x:c r="P1062" s="9" t="str">
        <x:v>HELD / UNRELEASED</x:v>
      </x:c>
      <x:c r="Q1062" s="9" t="n">
        <x:f>COUNTIFS($A$7:$A$2310,A1062)</x:f>
        <x:v>1</x:v>
      </x:c>
    </x:row>
    <x:row r="1063">
      <x:c r="A1063" s="9" t="str">
        <x:v>PD-AR-CT-C-B-TECH-3-B2-RCN-G0-PD01</x:v>
      </x:c>
      <x:c r="B1063" s="9" t="str">
        <x:v>PD-AR-CT-C-B-TECH-3-B2-RCN-G0</x:v>
      </x:c>
      <x:c r="C1063" s="9" t="str">
        <x:v>EV-AR-CT-C-B-TECH-3-B2-RCN-G0</x:v>
      </x:c>
      <x:c r="D1063" s="9" t="str">
        <x:v>AR-CT-C-B-TECH-3-B2-RCN-G0</x:v>
      </x:c>
      <x:c r="E1063" s="9" t="str">
        <x:v>CT-C-B-TECH-3</x:v>
      </x:c>
      <x:c r="F1063" s="9" t="str">
        <x:v>CT-C-B</x:v>
      </x:c>
      <x:c r="G1063" s="9" t="str">
        <x:v>B2</x:v>
      </x:c>
      <x:c r="H1063" s="9" t="str">
        <x:v>RCN</x:v>
      </x:c>
      <x:c r="I1063" s="9" t="str">
        <x:v>PD01</x:v>
      </x:c>
      <x:c r="J1063" s="17" t="str">
        <x:v>Experiment kernel</x:v>
      </x:c>
      <x:c r="K1063" s="17" t="str">
        <x:v>Public archive</x:v>
      </x:c>
      <x:c r="L1063" s="17" t="str">
        <x:v>COURT-SEALED UNTIL COHORT RELEASE</x:v>
      </x:c>
      <x:c r="M1063" s="9" t="n">
        <x:v>0</x:v>
      </x:c>
      <x:c r="N1063" s="9" t="n">
        <x:v>0</x:v>
      </x:c>
      <x:c r="O1063" s="9" t="n">
        <x:v>0</x:v>
      </x:c>
      <x:c r="P1063" s="9" t="str">
        <x:v>HELD / UNRELEASED</x:v>
      </x:c>
      <x:c r="Q1063" s="9" t="n">
        <x:f>COUNTIFS($A$7:$A$2310,A1063)</x:f>
        <x:v>1</x:v>
      </x:c>
    </x:row>
    <x:row r="1064">
      <x:c r="A1064" s="9" t="str">
        <x:v>PD-AR-CT-C-B-TECH-3-B2-RCN-G0-PD02</x:v>
      </x:c>
      <x:c r="B1064" s="9" t="str">
        <x:v>PD-AR-CT-C-B-TECH-3-B2-RCN-G0</x:v>
      </x:c>
      <x:c r="C1064" s="9" t="str">
        <x:v>EV-AR-CT-C-B-TECH-3-B2-RCN-G0</x:v>
      </x:c>
      <x:c r="D1064" s="9" t="str">
        <x:v>AR-CT-C-B-TECH-3-B2-RCN-G0</x:v>
      </x:c>
      <x:c r="E1064" s="9" t="str">
        <x:v>CT-C-B-TECH-3</x:v>
      </x:c>
      <x:c r="F1064" s="9" t="str">
        <x:v>CT-C-B</x:v>
      </x:c>
      <x:c r="G1064" s="9" t="str">
        <x:v>B2</x:v>
      </x:c>
      <x:c r="H1064" s="9" t="str">
        <x:v>RCN</x:v>
      </x:c>
      <x:c r="I1064" s="9" t="str">
        <x:v>PD02</x:v>
      </x:c>
      <x:c r="J1064" s="17" t="str">
        <x:v>Serial annex and title chain</x:v>
      </x:c>
      <x:c r="K1064" s="17" t="str">
        <x:v>Public archive</x:v>
      </x:c>
      <x:c r="L1064" s="17" t="str">
        <x:v>COURT-SEALED UNTIL COHORT RELEASE</x:v>
      </x:c>
      <x:c r="M1064" s="9" t="n">
        <x:v>0</x:v>
      </x:c>
      <x:c r="N1064" s="9" t="n">
        <x:v>0</x:v>
      </x:c>
      <x:c r="O1064" s="9" t="n">
        <x:v>0</x:v>
      </x:c>
      <x:c r="P1064" s="9" t="str">
        <x:v>HELD / UNRELEASED</x:v>
      </x:c>
      <x:c r="Q1064" s="9" t="n">
        <x:f>COUNTIFS($A$7:$A$2310,A1064)</x:f>
        <x:v>1</x:v>
      </x:c>
    </x:row>
    <x:row r="1065">
      <x:c r="A1065" s="9" t="str">
        <x:v>PD-AR-CT-C-B-TECH-3-B2-RCN-G0-PD03</x:v>
      </x:c>
      <x:c r="B1065" s="9" t="str">
        <x:v>PD-AR-CT-C-B-TECH-3-B2-RCN-G0</x:v>
      </x:c>
      <x:c r="C1065" s="9" t="str">
        <x:v>EV-AR-CT-C-B-TECH-3-B2-RCN-G0</x:v>
      </x:c>
      <x:c r="D1065" s="9" t="str">
        <x:v>AR-CT-C-B-TECH-3-B2-RCN-G0</x:v>
      </x:c>
      <x:c r="E1065" s="9" t="str">
        <x:v>CT-C-B-TECH-3</x:v>
      </x:c>
      <x:c r="F1065" s="9" t="str">
        <x:v>CT-C-B</x:v>
      </x:c>
      <x:c r="G1065" s="9" t="str">
        <x:v>B2</x:v>
      </x:c>
      <x:c r="H1065" s="9" t="str">
        <x:v>RCN</x:v>
      </x:c>
      <x:c r="I1065" s="9" t="str">
        <x:v>PD03</x:v>
      </x:c>
      <x:c r="J1065" s="17" t="str">
        <x:v>Configuration and as-built manifest</x:v>
      </x:c>
      <x:c r="K1065" s="17" t="str">
        <x:v>Artifact exchange</x:v>
      </x:c>
      <x:c r="L1065" s="17" t="str">
        <x:v>COURT-SEALED UNTIL COHORT RELEASE</x:v>
      </x:c>
      <x:c r="M1065" s="9" t="n">
        <x:v>0</x:v>
      </x:c>
      <x:c r="N1065" s="9" t="n">
        <x:v>0</x:v>
      </x:c>
      <x:c r="O1065" s="9" t="n">
        <x:v>0</x:v>
      </x:c>
      <x:c r="P1065" s="9" t="str">
        <x:v>HELD / UNRELEASED</x:v>
      </x:c>
      <x:c r="Q1065" s="9" t="n">
        <x:f>COUNTIFS($A$7:$A$2310,A1065)</x:f>
        <x:v>1</x:v>
      </x:c>
    </x:row>
    <x:row r="1066">
      <x:c r="A1066" s="9" t="str">
        <x:v>PD-AR-CT-C-B-TECH-3-B2-RCN-G0-PD04</x:v>
      </x:c>
      <x:c r="B1066" s="9" t="str">
        <x:v>PD-AR-CT-C-B-TECH-3-B2-RCN-G0</x:v>
      </x:c>
      <x:c r="C1066" s="9" t="str">
        <x:v>EV-AR-CT-C-B-TECH-3-B2-RCN-G0</x:v>
      </x:c>
      <x:c r="D1066" s="9" t="str">
        <x:v>AR-CT-C-B-TECH-3-B2-RCN-G0</x:v>
      </x:c>
      <x:c r="E1066" s="9" t="str">
        <x:v>CT-C-B-TECH-3</x:v>
      </x:c>
      <x:c r="F1066" s="9" t="str">
        <x:v>CT-C-B</x:v>
      </x:c>
      <x:c r="G1066" s="9" t="str">
        <x:v>B2</x:v>
      </x:c>
      <x:c r="H1066" s="9" t="str">
        <x:v>RCN</x:v>
      </x:c>
      <x:c r="I1066" s="9" t="str">
        <x:v>PD04</x:v>
      </x:c>
      <x:c r="J1066" s="17" t="str">
        <x:v>EOW and start certificate</x:v>
      </x:c>
      <x:c r="K1066" s="17" t="str">
        <x:v>Start registrar</x:v>
      </x:c>
      <x:c r="L1066" s="17" t="str">
        <x:v>COURT-SEALED UNTIL COHORT RELEASE</x:v>
      </x:c>
      <x:c r="M1066" s="9" t="n">
        <x:v>0</x:v>
      </x:c>
      <x:c r="N1066" s="9" t="n">
        <x:v>0</x:v>
      </x:c>
      <x:c r="O1066" s="9" t="n">
        <x:v>0</x:v>
      </x:c>
      <x:c r="P1066" s="9" t="str">
        <x:v>HELD / UNRELEASED</x:v>
      </x:c>
      <x:c r="Q1066" s="9" t="n">
        <x:f>COUNTIFS($A$7:$A$2310,A1066)</x:f>
        <x:v>1</x:v>
      </x:c>
    </x:row>
    <x:row r="1067">
      <x:c r="A1067" s="9" t="str">
        <x:v>PD-AR-CT-C-B-TECH-3-B2-RCN-G0-PD05</x:v>
      </x:c>
      <x:c r="B1067" s="9" t="str">
        <x:v>PD-AR-CT-C-B-TECH-3-B2-RCN-G0</x:v>
      </x:c>
      <x:c r="C1067" s="9" t="str">
        <x:v>EV-AR-CT-C-B-TECH-3-B2-RCN-G0</x:v>
      </x:c>
      <x:c r="D1067" s="9" t="str">
        <x:v>AR-CT-C-B-TECH-3-B2-RCN-G0</x:v>
      </x:c>
      <x:c r="E1067" s="9" t="str">
        <x:v>CT-C-B-TECH-3</x:v>
      </x:c>
      <x:c r="F1067" s="9" t="str">
        <x:v>CT-C-B</x:v>
      </x:c>
      <x:c r="G1067" s="9" t="str">
        <x:v>B2</x:v>
      </x:c>
      <x:c r="H1067" s="9" t="str">
        <x:v>RCN</x:v>
      </x:c>
      <x:c r="I1067" s="9" t="str">
        <x:v>PD05</x:v>
      </x:c>
      <x:c r="J1067" s="17" t="str">
        <x:v>Primary raw originals</x:v>
      </x:c>
      <x:c r="K1067" s="17" t="str">
        <x:v>Primary custody</x:v>
      </x:c>
      <x:c r="L1067" s="17" t="str">
        <x:v>COURT-SEALED UNTIL COHORT RELEASE</x:v>
      </x:c>
      <x:c r="M1067" s="9" t="n">
        <x:v>0</x:v>
      </x:c>
      <x:c r="N1067" s="9" t="n">
        <x:v>0</x:v>
      </x:c>
      <x:c r="O1067" s="9" t="n">
        <x:v>0</x:v>
      </x:c>
      <x:c r="P1067" s="9" t="str">
        <x:v>HELD / UNRELEASED</x:v>
      </x:c>
      <x:c r="Q1067" s="9" t="n">
        <x:f>COUNTIFS($A$7:$A$2310,A1067)</x:f>
        <x:v>1</x:v>
      </x:c>
    </x:row>
    <x:row r="1068">
      <x:c r="A1068" s="9" t="str">
        <x:v>PD-AR-CT-C-B-TECH-3-B2-RCN-G0-PD06</x:v>
      </x:c>
      <x:c r="B1068" s="9" t="str">
        <x:v>PD-AR-CT-C-B-TECH-3-B2-RCN-G0</x:v>
      </x:c>
      <x:c r="C1068" s="9" t="str">
        <x:v>EV-AR-CT-C-B-TECH-3-B2-RCN-G0</x:v>
      </x:c>
      <x:c r="D1068" s="9" t="str">
        <x:v>AR-CT-C-B-TECH-3-B2-RCN-G0</x:v>
      </x:c>
      <x:c r="E1068" s="9" t="str">
        <x:v>CT-C-B-TECH-3</x:v>
      </x:c>
      <x:c r="F1068" s="9" t="str">
        <x:v>CT-C-B</x:v>
      </x:c>
      <x:c r="G1068" s="9" t="str">
        <x:v>B2</x:v>
      </x:c>
      <x:c r="H1068" s="9" t="str">
        <x:v>RCN</x:v>
      </x:c>
      <x:c r="I1068" s="9" t="str">
        <x:v>PD06</x:v>
      </x:c>
      <x:c r="J1068" s="17" t="str">
        <x:v>Witness raw originals</x:v>
      </x:c>
      <x:c r="K1068" s="17" t="str">
        <x:v>Witness custody</x:v>
      </x:c>
      <x:c r="L1068" s="17" t="str">
        <x:v>COURT-SEALED UNTIL COHORT RELEASE</x:v>
      </x:c>
      <x:c r="M1068" s="9" t="n">
        <x:v>0</x:v>
      </x:c>
      <x:c r="N1068" s="9" t="n">
        <x:v>0</x:v>
      </x:c>
      <x:c r="O1068" s="9" t="n">
        <x:v>0</x:v>
      </x:c>
      <x:c r="P1068" s="9" t="str">
        <x:v>HELD / UNRELEASED</x:v>
      </x:c>
      <x:c r="Q1068" s="9" t="n">
        <x:f>COUNTIFS($A$7:$A$2310,A1068)</x:f>
        <x:v>1</x:v>
      </x:c>
    </x:row>
    <x:row r="1069">
      <x:c r="A1069" s="9" t="str">
        <x:v>PD-AR-CT-C-B-TECH-3-B2-RCN-G0-PD07</x:v>
      </x:c>
      <x:c r="B1069" s="9" t="str">
        <x:v>PD-AR-CT-C-B-TECH-3-B2-RCN-G0</x:v>
      </x:c>
      <x:c r="C1069" s="9" t="str">
        <x:v>EV-AR-CT-C-B-TECH-3-B2-RCN-G0</x:v>
      </x:c>
      <x:c r="D1069" s="9" t="str">
        <x:v>AR-CT-C-B-TECH-3-B2-RCN-G0</x:v>
      </x:c>
      <x:c r="E1069" s="9" t="str">
        <x:v>CT-C-B-TECH-3</x:v>
      </x:c>
      <x:c r="F1069" s="9" t="str">
        <x:v>CT-C-B</x:v>
      </x:c>
      <x:c r="G1069" s="9" t="str">
        <x:v>B2</x:v>
      </x:c>
      <x:c r="H1069" s="9" t="str">
        <x:v>RCN</x:v>
      </x:c>
      <x:c r="I1069" s="9" t="str">
        <x:v>PD07</x:v>
      </x:c>
      <x:c r="J1069" s="17" t="str">
        <x:v>Clock and environmental records</x:v>
      </x:c>
      <x:c r="K1069" s="17" t="str">
        <x:v>Boundary archive</x:v>
      </x:c>
      <x:c r="L1069" s="17" t="str">
        <x:v>COURT-SEALED UNTIL COHORT RELEASE</x:v>
      </x:c>
      <x:c r="M1069" s="9" t="n">
        <x:v>0</x:v>
      </x:c>
      <x:c r="N1069" s="9" t="n">
        <x:v>0</x:v>
      </x:c>
      <x:c r="O1069" s="9" t="n">
        <x:v>0</x:v>
      </x:c>
      <x:c r="P1069" s="9" t="str">
        <x:v>HELD / UNRELEASED</x:v>
      </x:c>
      <x:c r="Q1069" s="9" t="n">
        <x:f>COUNTIFS($A$7:$A$2310,A1069)</x:f>
        <x:v>1</x:v>
      </x:c>
    </x:row>
    <x:row r="1070">
      <x:c r="A1070" s="9" t="str">
        <x:v>PD-AR-CT-C-B-TECH-3-B2-RCN-G0-PD08</x:v>
      </x:c>
      <x:c r="B1070" s="9" t="str">
        <x:v>PD-AR-CT-C-B-TECH-3-B2-RCN-G0</x:v>
      </x:c>
      <x:c r="C1070" s="9" t="str">
        <x:v>EV-AR-CT-C-B-TECH-3-B2-RCN-G0</x:v>
      </x:c>
      <x:c r="D1070" s="9" t="str">
        <x:v>AR-CT-C-B-TECH-3-B2-RCN-G0</x:v>
      </x:c>
      <x:c r="E1070" s="9" t="str">
        <x:v>CT-C-B-TECH-3</x:v>
      </x:c>
      <x:c r="F1070" s="9" t="str">
        <x:v>CT-C-B</x:v>
      </x:c>
      <x:c r="G1070" s="9" t="str">
        <x:v>B2</x:v>
      </x:c>
      <x:c r="H1070" s="9" t="str">
        <x:v>RCN</x:v>
      </x:c>
      <x:c r="I1070" s="9" t="str">
        <x:v>PD08</x:v>
      </x:c>
      <x:c r="J1070" s="17" t="str">
        <x:v>Command and intervention log</x:v>
      </x:c>
      <x:c r="K1070" s="17" t="str">
        <x:v>Safety archive</x:v>
      </x:c>
      <x:c r="L1070" s="17" t="str">
        <x:v>COURT-SEALED UNTIL COHORT RELEASE</x:v>
      </x:c>
      <x:c r="M1070" s="9" t="n">
        <x:v>0</x:v>
      </x:c>
      <x:c r="N1070" s="9" t="n">
        <x:v>0</x:v>
      </x:c>
      <x:c r="O1070" s="9" t="n">
        <x:v>0</x:v>
      </x:c>
      <x:c r="P1070" s="9" t="str">
        <x:v>HELD / UNRELEASED</x:v>
      </x:c>
      <x:c r="Q1070" s="9" t="n">
        <x:f>COUNTIFS($A$7:$A$2310,A1070)</x:f>
        <x:v>1</x:v>
      </x:c>
    </x:row>
    <x:row r="1071">
      <x:c r="A1071" s="9" t="str">
        <x:v>PD-AR-CT-C-B-TECH-3-B2-RCN-G0-PD09</x:v>
      </x:c>
      <x:c r="B1071" s="9" t="str">
        <x:v>PD-AR-CT-C-B-TECH-3-B2-RCN-G0</x:v>
      </x:c>
      <x:c r="C1071" s="9" t="str">
        <x:v>EV-AR-CT-C-B-TECH-3-B2-RCN-G0</x:v>
      </x:c>
      <x:c r="D1071" s="9" t="str">
        <x:v>AR-CT-C-B-TECH-3-B2-RCN-G0</x:v>
      </x:c>
      <x:c r="E1071" s="9" t="str">
        <x:v>CT-C-B-TECH-3</x:v>
      </x:c>
      <x:c r="F1071" s="9" t="str">
        <x:v>CT-C-B</x:v>
      </x:c>
      <x:c r="G1071" s="9" t="str">
        <x:v>B2</x:v>
      </x:c>
      <x:c r="H1071" s="9" t="str">
        <x:v>RCN</x:v>
      </x:c>
      <x:c r="I1071" s="9" t="str">
        <x:v>PD09</x:v>
      </x:c>
      <x:c r="J1071" s="17" t="str">
        <x:v>Receiver denominator and service ledger</x:v>
      </x:c>
      <x:c r="K1071" s="17" t="str">
        <x:v>Receiver archive</x:v>
      </x:c>
      <x:c r="L1071" s="17" t="str">
        <x:v>COURT-SEALED UNTIL COHORT RELEASE</x:v>
      </x:c>
      <x:c r="M1071" s="9" t="n">
        <x:v>0</x:v>
      </x:c>
      <x:c r="N1071" s="9" t="n">
        <x:v>0</x:v>
      </x:c>
      <x:c r="O1071" s="9" t="n">
        <x:v>0</x:v>
      </x:c>
      <x:c r="P1071" s="9" t="str">
        <x:v>HELD / UNRELEASED</x:v>
      </x:c>
      <x:c r="Q1071" s="9" t="n">
        <x:f>COUNTIFS($A$7:$A$2310,A1071)</x:f>
        <x:v>1</x:v>
      </x:c>
    </x:row>
    <x:row r="1072">
      <x:c r="A1072" s="9" t="str">
        <x:v>PD-AR-CT-C-B-TECH-3-B2-RCN-G0-PD10</x:v>
      </x:c>
      <x:c r="B1072" s="9" t="str">
        <x:v>PD-AR-CT-C-B-TECH-3-B2-RCN-G0</x:v>
      </x:c>
      <x:c r="C1072" s="9" t="str">
        <x:v>EV-AR-CT-C-B-TECH-3-B2-RCN-G0</x:v>
      </x:c>
      <x:c r="D1072" s="9" t="str">
        <x:v>AR-CT-C-B-TECH-3-B2-RCN-G0</x:v>
      </x:c>
      <x:c r="E1072" s="9" t="str">
        <x:v>CT-C-B-TECH-3</x:v>
      </x:c>
      <x:c r="F1072" s="9" t="str">
        <x:v>CT-C-B</x:v>
      </x:c>
      <x:c r="G1072" s="9" t="str">
        <x:v>B2</x:v>
      </x:c>
      <x:c r="H1072" s="9" t="str">
        <x:v>RCN</x:v>
      </x:c>
      <x:c r="I1072" s="9" t="str">
        <x:v>PD10</x:v>
      </x:c>
      <x:c r="J1072" s="17" t="str">
        <x:v>Calibration and uncertainty record</x:v>
      </x:c>
      <x:c r="K1072" s="17" t="str">
        <x:v>Metrology archive</x:v>
      </x:c>
      <x:c r="L1072" s="17" t="str">
        <x:v>COURT-SEALED UNTIL COHORT RELEASE</x:v>
      </x:c>
      <x:c r="M1072" s="9" t="n">
        <x:v>0</x:v>
      </x:c>
      <x:c r="N1072" s="9" t="n">
        <x:v>0</x:v>
      </x:c>
      <x:c r="O1072" s="9" t="n">
        <x:v>0</x:v>
      </x:c>
      <x:c r="P1072" s="9" t="str">
        <x:v>HELD / UNRELEASED</x:v>
      </x:c>
      <x:c r="Q1072" s="9" t="n">
        <x:f>COUNTIFS($A$7:$A$2310,A1072)</x:f>
        <x:v>1</x:v>
      </x:c>
    </x:row>
    <x:row r="1073">
      <x:c r="A1073" s="9" t="str">
        <x:v>PD-AR-CT-C-B-TECH-3-B2-RCN-G0-PD11</x:v>
      </x:c>
      <x:c r="B1073" s="9" t="str">
        <x:v>PD-AR-CT-C-B-TECH-3-B2-RCN-G0</x:v>
      </x:c>
      <x:c r="C1073" s="9" t="str">
        <x:v>EV-AR-CT-C-B-TECH-3-B2-RCN-G0</x:v>
      </x:c>
      <x:c r="D1073" s="9" t="str">
        <x:v>AR-CT-C-B-TECH-3-B2-RCN-G0</x:v>
      </x:c>
      <x:c r="E1073" s="9" t="str">
        <x:v>CT-C-B-TECH-3</x:v>
      </x:c>
      <x:c r="F1073" s="9" t="str">
        <x:v>CT-C-B</x:v>
      </x:c>
      <x:c r="G1073" s="9" t="str">
        <x:v>B2</x:v>
      </x:c>
      <x:c r="H1073" s="9" t="str">
        <x:v>RCN</x:v>
      </x:c>
      <x:c r="I1073" s="9" t="str">
        <x:v>PD11</x:v>
      </x:c>
      <x:c r="J1073" s="17" t="str">
        <x:v>Invalidity petition and opinion</x:v>
      </x:c>
      <x:c r="K1073" s="17" t="str">
        <x:v>Invalidity court</x:v>
      </x:c>
      <x:c r="L1073" s="17" t="str">
        <x:v>COURT-SEALED UNTIL COHORT RELEASE</x:v>
      </x:c>
      <x:c r="M1073" s="9" t="n">
        <x:v>0</x:v>
      </x:c>
      <x:c r="N1073" s="9" t="n">
        <x:v>0</x:v>
      </x:c>
      <x:c r="O1073" s="9" t="n">
        <x:v>0</x:v>
      </x:c>
      <x:c r="P1073" s="9" t="str">
        <x:v>HELD / UNRELEASED</x:v>
      </x:c>
      <x:c r="Q1073" s="9" t="n">
        <x:f>COUNTIFS($A$7:$A$2310,A1073)</x:f>
        <x:v>1</x:v>
      </x:c>
    </x:row>
    <x:row r="1074">
      <x:c r="A1074" s="9" t="str">
        <x:v>PD-AR-CT-C-B-TECH-3-B2-RCN-G0-PD12</x:v>
      </x:c>
      <x:c r="B1074" s="9" t="str">
        <x:v>PD-AR-CT-C-B-TECH-3-B2-RCN-G0</x:v>
      </x:c>
      <x:c r="C1074" s="9" t="str">
        <x:v>EV-AR-CT-C-B-TECH-3-B2-RCN-G0</x:v>
      </x:c>
      <x:c r="D1074" s="9" t="str">
        <x:v>AR-CT-C-B-TECH-3-B2-RCN-G0</x:v>
      </x:c>
      <x:c r="E1074" s="9" t="str">
        <x:v>CT-C-B-TECH-3</x:v>
      </x:c>
      <x:c r="F1074" s="9" t="str">
        <x:v>CT-C-B</x:v>
      </x:c>
      <x:c r="G1074" s="9" t="str">
        <x:v>B2</x:v>
      </x:c>
      <x:c r="H1074" s="9" t="str">
        <x:v>RCN</x:v>
      </x:c>
      <x:c r="I1074" s="9" t="str">
        <x:v>PD12</x:v>
      </x:c>
      <x:c r="J1074" s="17" t="str">
        <x:v>Observation acceptance and replay</x:v>
      </x:c>
      <x:c r="K1074" s="17" t="str">
        <x:v>Observation court</x:v>
      </x:c>
      <x:c r="L1074" s="17" t="str">
        <x:v>COURT-SEALED UNTIL COHORT RELEASE</x:v>
      </x:c>
      <x:c r="M1074" s="9" t="n">
        <x:v>0</x:v>
      </x:c>
      <x:c r="N1074" s="9" t="n">
        <x:v>0</x:v>
      </x:c>
      <x:c r="O1074" s="9" t="n">
        <x:v>0</x:v>
      </x:c>
      <x:c r="P1074" s="9" t="str">
        <x:v>HELD / UNRELEASED</x:v>
      </x:c>
      <x:c r="Q1074" s="9" t="n">
        <x:f>COUNTIFS($A$7:$A$2310,A1074)</x:f>
        <x:v>1</x:v>
      </x:c>
    </x:row>
    <x:row r="1075">
      <x:c r="A1075" s="9" t="str">
        <x:v>PD-AR-CT-C-B-TECH-3-B2-RCN-G0-PD13</x:v>
      </x:c>
      <x:c r="B1075" s="9" t="str">
        <x:v>PD-AR-CT-C-B-TECH-3-B2-RCN-G0</x:v>
      </x:c>
      <x:c r="C1075" s="9" t="str">
        <x:v>EV-AR-CT-C-B-TECH-3-B2-RCN-G0</x:v>
      </x:c>
      <x:c r="D1075" s="9" t="str">
        <x:v>AR-CT-C-B-TECH-3-B2-RCN-G0</x:v>
      </x:c>
      <x:c r="E1075" s="9" t="str">
        <x:v>CT-C-B-TECH-3</x:v>
      </x:c>
      <x:c r="F1075" s="9" t="str">
        <x:v>CT-C-B</x:v>
      </x:c>
      <x:c r="G1075" s="9" t="str">
        <x:v>B2</x:v>
      </x:c>
      <x:c r="H1075" s="9" t="str">
        <x:v>RCN</x:v>
      </x:c>
      <x:c r="I1075" s="9" t="str">
        <x:v>PD13</x:v>
      </x:c>
      <x:c r="J1075" s="17" t="str">
        <x:v>Role judgment</x:v>
      </x:c>
      <x:c r="K1075" s="17" t="str">
        <x:v>Role court</x:v>
      </x:c>
      <x:c r="L1075" s="17" t="str">
        <x:v>COURT-SEALED UNTIL COHORT RELEASE</x:v>
      </x:c>
      <x:c r="M1075" s="9" t="n">
        <x:v>0</x:v>
      </x:c>
      <x:c r="N1075" s="9" t="n">
        <x:v>0</x:v>
      </x:c>
      <x:c r="O1075" s="9" t="n">
        <x:v>0</x:v>
      </x:c>
      <x:c r="P1075" s="9" t="str">
        <x:v>HELD / UNRELEASED</x:v>
      </x:c>
      <x:c r="Q1075" s="9" t="n">
        <x:f>COUNTIFS($A$7:$A$2310,A1075)</x:f>
        <x:v>1</x:v>
      </x:c>
    </x:row>
    <x:row r="1076">
      <x:c r="A1076" s="9" t="str">
        <x:v>PD-AR-CT-C-B-TECH-3-B2-RCN-G0-PD14</x:v>
      </x:c>
      <x:c r="B1076" s="9" t="str">
        <x:v>PD-AR-CT-C-B-TECH-3-B2-RCN-G0</x:v>
      </x:c>
      <x:c r="C1076" s="9" t="str">
        <x:v>EV-AR-CT-C-B-TECH-3-B2-RCN-G0</x:v>
      </x:c>
      <x:c r="D1076" s="9" t="str">
        <x:v>AR-CT-C-B-TECH-3-B2-RCN-G0</x:v>
      </x:c>
      <x:c r="E1076" s="9" t="str">
        <x:v>CT-C-B-TECH-3</x:v>
      </x:c>
      <x:c r="F1076" s="9" t="str">
        <x:v>CT-C-B</x:v>
      </x:c>
      <x:c r="G1076" s="9" t="str">
        <x:v>B2</x:v>
      </x:c>
      <x:c r="H1076" s="9" t="str">
        <x:v>RCN</x:v>
      </x:c>
      <x:c r="I1076" s="9" t="str">
        <x:v>PD14</x:v>
      </x:c>
      <x:c r="J1076" s="17" t="str">
        <x:v>Break and residual account</x:v>
      </x:c>
      <x:c r="K1076" s="17" t="str">
        <x:v>Residual authority</x:v>
      </x:c>
      <x:c r="L1076" s="17" t="str">
        <x:v>COURT-SEALED UNTIL COHORT RELEASE</x:v>
      </x:c>
      <x:c r="M1076" s="9" t="n">
        <x:v>0</x:v>
      </x:c>
      <x:c r="N1076" s="9" t="n">
        <x:v>0</x:v>
      </x:c>
      <x:c r="O1076" s="9" t="n">
        <x:v>0</x:v>
      </x:c>
      <x:c r="P1076" s="9" t="str">
        <x:v>HELD / UNRELEASED</x:v>
      </x:c>
      <x:c r="Q1076" s="9" t="n">
        <x:f>COUNTIFS($A$7:$A$2310,A1076)</x:f>
        <x:v>1</x:v>
      </x:c>
    </x:row>
    <x:row r="1077">
      <x:c r="A1077" s="9" t="str">
        <x:v>PD-AR-CT-C-B-TECH-3-B2-RCN-G0-PD15</x:v>
      </x:c>
      <x:c r="B1077" s="9" t="str">
        <x:v>PD-AR-CT-C-B-TECH-3-B2-RCN-G0</x:v>
      </x:c>
      <x:c r="C1077" s="9" t="str">
        <x:v>EV-AR-CT-C-B-TECH-3-B2-RCN-G0</x:v>
      </x:c>
      <x:c r="D1077" s="9" t="str">
        <x:v>AR-CT-C-B-TECH-3-B2-RCN-G0</x:v>
      </x:c>
      <x:c r="E1077" s="9" t="str">
        <x:v>CT-C-B-TECH-3</x:v>
      </x:c>
      <x:c r="F1077" s="9" t="str">
        <x:v>CT-C-B</x:v>
      </x:c>
      <x:c r="G1077" s="9" t="str">
        <x:v>B2</x:v>
      </x:c>
      <x:c r="H1077" s="9" t="str">
        <x:v>RCN</x:v>
      </x:c>
      <x:c r="I1077" s="9" t="str">
        <x:v>PD15</x:v>
      </x:c>
      <x:c r="J1077" s="17" t="str">
        <x:v>Reconstruction ancestry and replay</x:v>
      </x:c>
      <x:c r="K1077" s="17" t="str">
        <x:v>Reconstruction court</x:v>
      </x:c>
      <x:c r="L1077" s="17" t="str">
        <x:v>COURT-SEALED UNTIL COHORT RELEASE</x:v>
      </x:c>
      <x:c r="M1077" s="9" t="n">
        <x:v>0</x:v>
      </x:c>
      <x:c r="N1077" s="9" t="n">
        <x:v>0</x:v>
      </x:c>
      <x:c r="O1077" s="9" t="n">
        <x:v>0</x:v>
      </x:c>
      <x:c r="P1077" s="9" t="str">
        <x:v>HELD / UNRELEASED</x:v>
      </x:c>
      <x:c r="Q1077" s="9" t="n">
        <x:f>COUNTIFS($A$7:$A$2310,A1077)</x:f>
        <x:v>1</x:v>
      </x:c>
    </x:row>
    <x:row r="1078">
      <x:c r="A1078" s="9" t="str">
        <x:v>PD-AR-CT-C-B-TECH-3-B2-RCN-G0-PD16</x:v>
      </x:c>
      <x:c r="B1078" s="9" t="str">
        <x:v>PD-AR-CT-C-B-TECH-3-B2-RCN-G0</x:v>
      </x:c>
      <x:c r="C1078" s="9" t="str">
        <x:v>EV-AR-CT-C-B-TECH-3-B2-RCN-G0</x:v>
      </x:c>
      <x:c r="D1078" s="9" t="str">
        <x:v>AR-CT-C-B-TECH-3-B2-RCN-G0</x:v>
      </x:c>
      <x:c r="E1078" s="9" t="str">
        <x:v>CT-C-B-TECH-3</x:v>
      </x:c>
      <x:c r="F1078" s="9" t="str">
        <x:v>CT-C-B</x:v>
      </x:c>
      <x:c r="G1078" s="9" t="str">
        <x:v>B2</x:v>
      </x:c>
      <x:c r="H1078" s="9" t="str">
        <x:v>RCN</x:v>
      </x:c>
      <x:c r="I1078" s="9" t="str">
        <x:v>PD16</x:v>
      </x:c>
      <x:c r="J1078" s="17" t="str">
        <x:v>Dissent, amendments and access log</x:v>
      </x:c>
      <x:c r="K1078" s="17" t="str">
        <x:v>Public archive</x:v>
      </x:c>
      <x:c r="L1078" s="17" t="str">
        <x:v>COURT-SEALED UNTIL COHORT RELEASE</x:v>
      </x:c>
      <x:c r="M1078" s="9" t="n">
        <x:v>0</x:v>
      </x:c>
      <x:c r="N1078" s="9" t="n">
        <x:v>0</x:v>
      </x:c>
      <x:c r="O1078" s="9" t="n">
        <x:v>0</x:v>
      </x:c>
      <x:c r="P1078" s="9" t="str">
        <x:v>HELD / UNRELEASED</x:v>
      </x:c>
      <x:c r="Q1078" s="9" t="n">
        <x:f>COUNTIFS($A$7:$A$2310,A1078)</x:f>
        <x:v>1</x:v>
      </x:c>
    </x:row>
    <x:row r="1079">
      <x:c r="A1079" s="9" t="str">
        <x:v>PD-AR-CT-C-B-TECH-1-B2-INT-G0-PD01</x:v>
      </x:c>
      <x:c r="B1079" s="9" t="str">
        <x:v>PD-AR-CT-C-B-TECH-1-B2-INT-G0</x:v>
      </x:c>
      <x:c r="C1079" s="9" t="str">
        <x:v>EV-AR-CT-C-B-TECH-1-B2-INT-G0</x:v>
      </x:c>
      <x:c r="D1079" s="9" t="str">
        <x:v>AR-CT-C-B-TECH-1-B2-INT-G0</x:v>
      </x:c>
      <x:c r="E1079" s="9" t="str">
        <x:v>CT-C-B-TECH-1</x:v>
      </x:c>
      <x:c r="F1079" s="9" t="str">
        <x:v>CT-C-B</x:v>
      </x:c>
      <x:c r="G1079" s="9" t="str">
        <x:v>B2</x:v>
      </x:c>
      <x:c r="H1079" s="9" t="str">
        <x:v>INT</x:v>
      </x:c>
      <x:c r="I1079" s="9" t="str">
        <x:v>PD01</x:v>
      </x:c>
      <x:c r="J1079" s="17" t="str">
        <x:v>Experiment kernel</x:v>
      </x:c>
      <x:c r="K1079" s="17" t="str">
        <x:v>Public archive</x:v>
      </x:c>
      <x:c r="L1079" s="17" t="str">
        <x:v>COURT-SEALED UNTIL COHORT RELEASE</x:v>
      </x:c>
      <x:c r="M1079" s="9" t="n">
        <x:v>0</x:v>
      </x:c>
      <x:c r="N1079" s="9" t="n">
        <x:v>0</x:v>
      </x:c>
      <x:c r="O1079" s="9" t="n">
        <x:v>0</x:v>
      </x:c>
      <x:c r="P1079" s="9" t="str">
        <x:v>HELD / UNRELEASED</x:v>
      </x:c>
      <x:c r="Q1079" s="9" t="n">
        <x:f>COUNTIFS($A$7:$A$2310,A1079)</x:f>
        <x:v>1</x:v>
      </x:c>
    </x:row>
    <x:row r="1080">
      <x:c r="A1080" s="9" t="str">
        <x:v>PD-AR-CT-C-B-TECH-1-B2-INT-G0-PD02</x:v>
      </x:c>
      <x:c r="B1080" s="9" t="str">
        <x:v>PD-AR-CT-C-B-TECH-1-B2-INT-G0</x:v>
      </x:c>
      <x:c r="C1080" s="9" t="str">
        <x:v>EV-AR-CT-C-B-TECH-1-B2-INT-G0</x:v>
      </x:c>
      <x:c r="D1080" s="9" t="str">
        <x:v>AR-CT-C-B-TECH-1-B2-INT-G0</x:v>
      </x:c>
      <x:c r="E1080" s="9" t="str">
        <x:v>CT-C-B-TECH-1</x:v>
      </x:c>
      <x:c r="F1080" s="9" t="str">
        <x:v>CT-C-B</x:v>
      </x:c>
      <x:c r="G1080" s="9" t="str">
        <x:v>B2</x:v>
      </x:c>
      <x:c r="H1080" s="9" t="str">
        <x:v>INT</x:v>
      </x:c>
      <x:c r="I1080" s="9" t="str">
        <x:v>PD02</x:v>
      </x:c>
      <x:c r="J1080" s="17" t="str">
        <x:v>Serial annex and title chain</x:v>
      </x:c>
      <x:c r="K1080" s="17" t="str">
        <x:v>Public archive</x:v>
      </x:c>
      <x:c r="L1080" s="17" t="str">
        <x:v>COURT-SEALED UNTIL COHORT RELEASE</x:v>
      </x:c>
      <x:c r="M1080" s="9" t="n">
        <x:v>0</x:v>
      </x:c>
      <x:c r="N1080" s="9" t="n">
        <x:v>0</x:v>
      </x:c>
      <x:c r="O1080" s="9" t="n">
        <x:v>0</x:v>
      </x:c>
      <x:c r="P1080" s="9" t="str">
        <x:v>HELD / UNRELEASED</x:v>
      </x:c>
      <x:c r="Q1080" s="9" t="n">
        <x:f>COUNTIFS($A$7:$A$2310,A1080)</x:f>
        <x:v>1</x:v>
      </x:c>
    </x:row>
    <x:row r="1081">
      <x:c r="A1081" s="9" t="str">
        <x:v>PD-AR-CT-C-B-TECH-1-B2-INT-G0-PD03</x:v>
      </x:c>
      <x:c r="B1081" s="9" t="str">
        <x:v>PD-AR-CT-C-B-TECH-1-B2-INT-G0</x:v>
      </x:c>
      <x:c r="C1081" s="9" t="str">
        <x:v>EV-AR-CT-C-B-TECH-1-B2-INT-G0</x:v>
      </x:c>
      <x:c r="D1081" s="9" t="str">
        <x:v>AR-CT-C-B-TECH-1-B2-INT-G0</x:v>
      </x:c>
      <x:c r="E1081" s="9" t="str">
        <x:v>CT-C-B-TECH-1</x:v>
      </x:c>
      <x:c r="F1081" s="9" t="str">
        <x:v>CT-C-B</x:v>
      </x:c>
      <x:c r="G1081" s="9" t="str">
        <x:v>B2</x:v>
      </x:c>
      <x:c r="H1081" s="9" t="str">
        <x:v>INT</x:v>
      </x:c>
      <x:c r="I1081" s="9" t="str">
        <x:v>PD03</x:v>
      </x:c>
      <x:c r="J1081" s="17" t="str">
        <x:v>Configuration and as-built manifest</x:v>
      </x:c>
      <x:c r="K1081" s="17" t="str">
        <x:v>Artifact exchange</x:v>
      </x:c>
      <x:c r="L1081" s="17" t="str">
        <x:v>COURT-SEALED UNTIL COHORT RELEASE</x:v>
      </x:c>
      <x:c r="M1081" s="9" t="n">
        <x:v>0</x:v>
      </x:c>
      <x:c r="N1081" s="9" t="n">
        <x:v>0</x:v>
      </x:c>
      <x:c r="O1081" s="9" t="n">
        <x:v>0</x:v>
      </x:c>
      <x:c r="P1081" s="9" t="str">
        <x:v>HELD / UNRELEASED</x:v>
      </x:c>
      <x:c r="Q1081" s="9" t="n">
        <x:f>COUNTIFS($A$7:$A$2310,A1081)</x:f>
        <x:v>1</x:v>
      </x:c>
    </x:row>
    <x:row r="1082">
      <x:c r="A1082" s="9" t="str">
        <x:v>PD-AR-CT-C-B-TECH-1-B2-INT-G0-PD04</x:v>
      </x:c>
      <x:c r="B1082" s="9" t="str">
        <x:v>PD-AR-CT-C-B-TECH-1-B2-INT-G0</x:v>
      </x:c>
      <x:c r="C1082" s="9" t="str">
        <x:v>EV-AR-CT-C-B-TECH-1-B2-INT-G0</x:v>
      </x:c>
      <x:c r="D1082" s="9" t="str">
        <x:v>AR-CT-C-B-TECH-1-B2-INT-G0</x:v>
      </x:c>
      <x:c r="E1082" s="9" t="str">
        <x:v>CT-C-B-TECH-1</x:v>
      </x:c>
      <x:c r="F1082" s="9" t="str">
        <x:v>CT-C-B</x:v>
      </x:c>
      <x:c r="G1082" s="9" t="str">
        <x:v>B2</x:v>
      </x:c>
      <x:c r="H1082" s="9" t="str">
        <x:v>INT</x:v>
      </x:c>
      <x:c r="I1082" s="9" t="str">
        <x:v>PD04</x:v>
      </x:c>
      <x:c r="J1082" s="17" t="str">
        <x:v>EOW and start certificate</x:v>
      </x:c>
      <x:c r="K1082" s="17" t="str">
        <x:v>Start registrar</x:v>
      </x:c>
      <x:c r="L1082" s="17" t="str">
        <x:v>COURT-SEALED UNTIL COHORT RELEASE</x:v>
      </x:c>
      <x:c r="M1082" s="9" t="n">
        <x:v>0</x:v>
      </x:c>
      <x:c r="N1082" s="9" t="n">
        <x:v>0</x:v>
      </x:c>
      <x:c r="O1082" s="9" t="n">
        <x:v>0</x:v>
      </x:c>
      <x:c r="P1082" s="9" t="str">
        <x:v>HELD / UNRELEASED</x:v>
      </x:c>
      <x:c r="Q1082" s="9" t="n">
        <x:f>COUNTIFS($A$7:$A$2310,A1082)</x:f>
        <x:v>1</x:v>
      </x:c>
    </x:row>
    <x:row r="1083">
      <x:c r="A1083" s="9" t="str">
        <x:v>PD-AR-CT-C-B-TECH-1-B2-INT-G0-PD05</x:v>
      </x:c>
      <x:c r="B1083" s="9" t="str">
        <x:v>PD-AR-CT-C-B-TECH-1-B2-INT-G0</x:v>
      </x:c>
      <x:c r="C1083" s="9" t="str">
        <x:v>EV-AR-CT-C-B-TECH-1-B2-INT-G0</x:v>
      </x:c>
      <x:c r="D1083" s="9" t="str">
        <x:v>AR-CT-C-B-TECH-1-B2-INT-G0</x:v>
      </x:c>
      <x:c r="E1083" s="9" t="str">
        <x:v>CT-C-B-TECH-1</x:v>
      </x:c>
      <x:c r="F1083" s="9" t="str">
        <x:v>CT-C-B</x:v>
      </x:c>
      <x:c r="G1083" s="9" t="str">
        <x:v>B2</x:v>
      </x:c>
      <x:c r="H1083" s="9" t="str">
        <x:v>INT</x:v>
      </x:c>
      <x:c r="I1083" s="9" t="str">
        <x:v>PD05</x:v>
      </x:c>
      <x:c r="J1083" s="17" t="str">
        <x:v>Primary raw originals</x:v>
      </x:c>
      <x:c r="K1083" s="17" t="str">
        <x:v>Primary custody</x:v>
      </x:c>
      <x:c r="L1083" s="17" t="str">
        <x:v>COURT-SEALED UNTIL COHORT RELEASE</x:v>
      </x:c>
      <x:c r="M1083" s="9" t="n">
        <x:v>0</x:v>
      </x:c>
      <x:c r="N1083" s="9" t="n">
        <x:v>0</x:v>
      </x:c>
      <x:c r="O1083" s="9" t="n">
        <x:v>0</x:v>
      </x:c>
      <x:c r="P1083" s="9" t="str">
        <x:v>HELD / UNRELEASED</x:v>
      </x:c>
      <x:c r="Q1083" s="9" t="n">
        <x:f>COUNTIFS($A$7:$A$2310,A1083)</x:f>
        <x:v>1</x:v>
      </x:c>
    </x:row>
    <x:row r="1084">
      <x:c r="A1084" s="9" t="str">
        <x:v>PD-AR-CT-C-B-TECH-1-B2-INT-G0-PD06</x:v>
      </x:c>
      <x:c r="B1084" s="9" t="str">
        <x:v>PD-AR-CT-C-B-TECH-1-B2-INT-G0</x:v>
      </x:c>
      <x:c r="C1084" s="9" t="str">
        <x:v>EV-AR-CT-C-B-TECH-1-B2-INT-G0</x:v>
      </x:c>
      <x:c r="D1084" s="9" t="str">
        <x:v>AR-CT-C-B-TECH-1-B2-INT-G0</x:v>
      </x:c>
      <x:c r="E1084" s="9" t="str">
        <x:v>CT-C-B-TECH-1</x:v>
      </x:c>
      <x:c r="F1084" s="9" t="str">
        <x:v>CT-C-B</x:v>
      </x:c>
      <x:c r="G1084" s="9" t="str">
        <x:v>B2</x:v>
      </x:c>
      <x:c r="H1084" s="9" t="str">
        <x:v>INT</x:v>
      </x:c>
      <x:c r="I1084" s="9" t="str">
        <x:v>PD06</x:v>
      </x:c>
      <x:c r="J1084" s="17" t="str">
        <x:v>Witness raw originals</x:v>
      </x:c>
      <x:c r="K1084" s="17" t="str">
        <x:v>Witness custody</x:v>
      </x:c>
      <x:c r="L1084" s="17" t="str">
        <x:v>COURT-SEALED UNTIL COHORT RELEASE</x:v>
      </x:c>
      <x:c r="M1084" s="9" t="n">
        <x:v>0</x:v>
      </x:c>
      <x:c r="N1084" s="9" t="n">
        <x:v>0</x:v>
      </x:c>
      <x:c r="O1084" s="9" t="n">
        <x:v>0</x:v>
      </x:c>
      <x:c r="P1084" s="9" t="str">
        <x:v>HELD / UNRELEASED</x:v>
      </x:c>
      <x:c r="Q1084" s="9" t="n">
        <x:f>COUNTIFS($A$7:$A$2310,A1084)</x:f>
        <x:v>1</x:v>
      </x:c>
    </x:row>
    <x:row r="1085">
      <x:c r="A1085" s="9" t="str">
        <x:v>PD-AR-CT-C-B-TECH-1-B2-INT-G0-PD07</x:v>
      </x:c>
      <x:c r="B1085" s="9" t="str">
        <x:v>PD-AR-CT-C-B-TECH-1-B2-INT-G0</x:v>
      </x:c>
      <x:c r="C1085" s="9" t="str">
        <x:v>EV-AR-CT-C-B-TECH-1-B2-INT-G0</x:v>
      </x:c>
      <x:c r="D1085" s="9" t="str">
        <x:v>AR-CT-C-B-TECH-1-B2-INT-G0</x:v>
      </x:c>
      <x:c r="E1085" s="9" t="str">
        <x:v>CT-C-B-TECH-1</x:v>
      </x:c>
      <x:c r="F1085" s="9" t="str">
        <x:v>CT-C-B</x:v>
      </x:c>
      <x:c r="G1085" s="9" t="str">
        <x:v>B2</x:v>
      </x:c>
      <x:c r="H1085" s="9" t="str">
        <x:v>INT</x:v>
      </x:c>
      <x:c r="I1085" s="9" t="str">
        <x:v>PD07</x:v>
      </x:c>
      <x:c r="J1085" s="17" t="str">
        <x:v>Clock and environmental records</x:v>
      </x:c>
      <x:c r="K1085" s="17" t="str">
        <x:v>Boundary archive</x:v>
      </x:c>
      <x:c r="L1085" s="17" t="str">
        <x:v>COURT-SEALED UNTIL COHORT RELEASE</x:v>
      </x:c>
      <x:c r="M1085" s="9" t="n">
        <x:v>0</x:v>
      </x:c>
      <x:c r="N1085" s="9" t="n">
        <x:v>0</x:v>
      </x:c>
      <x:c r="O1085" s="9" t="n">
        <x:v>0</x:v>
      </x:c>
      <x:c r="P1085" s="9" t="str">
        <x:v>HELD / UNRELEASED</x:v>
      </x:c>
      <x:c r="Q1085" s="9" t="n">
        <x:f>COUNTIFS($A$7:$A$2310,A1085)</x:f>
        <x:v>1</x:v>
      </x:c>
    </x:row>
    <x:row r="1086">
      <x:c r="A1086" s="9" t="str">
        <x:v>PD-AR-CT-C-B-TECH-1-B2-INT-G0-PD08</x:v>
      </x:c>
      <x:c r="B1086" s="9" t="str">
        <x:v>PD-AR-CT-C-B-TECH-1-B2-INT-G0</x:v>
      </x:c>
      <x:c r="C1086" s="9" t="str">
        <x:v>EV-AR-CT-C-B-TECH-1-B2-INT-G0</x:v>
      </x:c>
      <x:c r="D1086" s="9" t="str">
        <x:v>AR-CT-C-B-TECH-1-B2-INT-G0</x:v>
      </x:c>
      <x:c r="E1086" s="9" t="str">
        <x:v>CT-C-B-TECH-1</x:v>
      </x:c>
      <x:c r="F1086" s="9" t="str">
        <x:v>CT-C-B</x:v>
      </x:c>
      <x:c r="G1086" s="9" t="str">
        <x:v>B2</x:v>
      </x:c>
      <x:c r="H1086" s="9" t="str">
        <x:v>INT</x:v>
      </x:c>
      <x:c r="I1086" s="9" t="str">
        <x:v>PD08</x:v>
      </x:c>
      <x:c r="J1086" s="17" t="str">
        <x:v>Command and intervention log</x:v>
      </x:c>
      <x:c r="K1086" s="17" t="str">
        <x:v>Safety archive</x:v>
      </x:c>
      <x:c r="L1086" s="17" t="str">
        <x:v>COURT-SEALED UNTIL COHORT RELEASE</x:v>
      </x:c>
      <x:c r="M1086" s="9" t="n">
        <x:v>0</x:v>
      </x:c>
      <x:c r="N1086" s="9" t="n">
        <x:v>0</x:v>
      </x:c>
      <x:c r="O1086" s="9" t="n">
        <x:v>0</x:v>
      </x:c>
      <x:c r="P1086" s="9" t="str">
        <x:v>HELD / UNRELEASED</x:v>
      </x:c>
      <x:c r="Q1086" s="9" t="n">
        <x:f>COUNTIFS($A$7:$A$2310,A1086)</x:f>
        <x:v>1</x:v>
      </x:c>
    </x:row>
    <x:row r="1087">
      <x:c r="A1087" s="9" t="str">
        <x:v>PD-AR-CT-C-B-TECH-1-B2-INT-G0-PD09</x:v>
      </x:c>
      <x:c r="B1087" s="9" t="str">
        <x:v>PD-AR-CT-C-B-TECH-1-B2-INT-G0</x:v>
      </x:c>
      <x:c r="C1087" s="9" t="str">
        <x:v>EV-AR-CT-C-B-TECH-1-B2-INT-G0</x:v>
      </x:c>
      <x:c r="D1087" s="9" t="str">
        <x:v>AR-CT-C-B-TECH-1-B2-INT-G0</x:v>
      </x:c>
      <x:c r="E1087" s="9" t="str">
        <x:v>CT-C-B-TECH-1</x:v>
      </x:c>
      <x:c r="F1087" s="9" t="str">
        <x:v>CT-C-B</x:v>
      </x:c>
      <x:c r="G1087" s="9" t="str">
        <x:v>B2</x:v>
      </x:c>
      <x:c r="H1087" s="9" t="str">
        <x:v>INT</x:v>
      </x:c>
      <x:c r="I1087" s="9" t="str">
        <x:v>PD09</x:v>
      </x:c>
      <x:c r="J1087" s="17" t="str">
        <x:v>Receiver denominator and service ledger</x:v>
      </x:c>
      <x:c r="K1087" s="17" t="str">
        <x:v>Receiver archive</x:v>
      </x:c>
      <x:c r="L1087" s="17" t="str">
        <x:v>COURT-SEALED UNTIL COHORT RELEASE</x:v>
      </x:c>
      <x:c r="M1087" s="9" t="n">
        <x:v>0</x:v>
      </x:c>
      <x:c r="N1087" s="9" t="n">
        <x:v>0</x:v>
      </x:c>
      <x:c r="O1087" s="9" t="n">
        <x:v>0</x:v>
      </x:c>
      <x:c r="P1087" s="9" t="str">
        <x:v>HELD / UNRELEASED</x:v>
      </x:c>
      <x:c r="Q1087" s="9" t="n">
        <x:f>COUNTIFS($A$7:$A$2310,A1087)</x:f>
        <x:v>1</x:v>
      </x:c>
    </x:row>
    <x:row r="1088">
      <x:c r="A1088" s="9" t="str">
        <x:v>PD-AR-CT-C-B-TECH-1-B2-INT-G0-PD10</x:v>
      </x:c>
      <x:c r="B1088" s="9" t="str">
        <x:v>PD-AR-CT-C-B-TECH-1-B2-INT-G0</x:v>
      </x:c>
      <x:c r="C1088" s="9" t="str">
        <x:v>EV-AR-CT-C-B-TECH-1-B2-INT-G0</x:v>
      </x:c>
      <x:c r="D1088" s="9" t="str">
        <x:v>AR-CT-C-B-TECH-1-B2-INT-G0</x:v>
      </x:c>
      <x:c r="E1088" s="9" t="str">
        <x:v>CT-C-B-TECH-1</x:v>
      </x:c>
      <x:c r="F1088" s="9" t="str">
        <x:v>CT-C-B</x:v>
      </x:c>
      <x:c r="G1088" s="9" t="str">
        <x:v>B2</x:v>
      </x:c>
      <x:c r="H1088" s="9" t="str">
        <x:v>INT</x:v>
      </x:c>
      <x:c r="I1088" s="9" t="str">
        <x:v>PD10</x:v>
      </x:c>
      <x:c r="J1088" s="17" t="str">
        <x:v>Calibration and uncertainty record</x:v>
      </x:c>
      <x:c r="K1088" s="17" t="str">
        <x:v>Metrology archive</x:v>
      </x:c>
      <x:c r="L1088" s="17" t="str">
        <x:v>COURT-SEALED UNTIL COHORT RELEASE</x:v>
      </x:c>
      <x:c r="M1088" s="9" t="n">
        <x:v>0</x:v>
      </x:c>
      <x:c r="N1088" s="9" t="n">
        <x:v>0</x:v>
      </x:c>
      <x:c r="O1088" s="9" t="n">
        <x:v>0</x:v>
      </x:c>
      <x:c r="P1088" s="9" t="str">
        <x:v>HELD / UNRELEASED</x:v>
      </x:c>
      <x:c r="Q1088" s="9" t="n">
        <x:f>COUNTIFS($A$7:$A$2310,A1088)</x:f>
        <x:v>1</x:v>
      </x:c>
    </x:row>
    <x:row r="1089">
      <x:c r="A1089" s="9" t="str">
        <x:v>PD-AR-CT-C-B-TECH-1-B2-INT-G0-PD11</x:v>
      </x:c>
      <x:c r="B1089" s="9" t="str">
        <x:v>PD-AR-CT-C-B-TECH-1-B2-INT-G0</x:v>
      </x:c>
      <x:c r="C1089" s="9" t="str">
        <x:v>EV-AR-CT-C-B-TECH-1-B2-INT-G0</x:v>
      </x:c>
      <x:c r="D1089" s="9" t="str">
        <x:v>AR-CT-C-B-TECH-1-B2-INT-G0</x:v>
      </x:c>
      <x:c r="E1089" s="9" t="str">
        <x:v>CT-C-B-TECH-1</x:v>
      </x:c>
      <x:c r="F1089" s="9" t="str">
        <x:v>CT-C-B</x:v>
      </x:c>
      <x:c r="G1089" s="9" t="str">
        <x:v>B2</x:v>
      </x:c>
      <x:c r="H1089" s="9" t="str">
        <x:v>INT</x:v>
      </x:c>
      <x:c r="I1089" s="9" t="str">
        <x:v>PD11</x:v>
      </x:c>
      <x:c r="J1089" s="17" t="str">
        <x:v>Invalidity petition and opinion</x:v>
      </x:c>
      <x:c r="K1089" s="17" t="str">
        <x:v>Invalidity court</x:v>
      </x:c>
      <x:c r="L1089" s="17" t="str">
        <x:v>COURT-SEALED UNTIL COHORT RELEASE</x:v>
      </x:c>
      <x:c r="M1089" s="9" t="n">
        <x:v>0</x:v>
      </x:c>
      <x:c r="N1089" s="9" t="n">
        <x:v>0</x:v>
      </x:c>
      <x:c r="O1089" s="9" t="n">
        <x:v>0</x:v>
      </x:c>
      <x:c r="P1089" s="9" t="str">
        <x:v>HELD / UNRELEASED</x:v>
      </x:c>
      <x:c r="Q1089" s="9" t="n">
        <x:f>COUNTIFS($A$7:$A$2310,A1089)</x:f>
        <x:v>1</x:v>
      </x:c>
    </x:row>
    <x:row r="1090">
      <x:c r="A1090" s="9" t="str">
        <x:v>PD-AR-CT-C-B-TECH-1-B2-INT-G0-PD12</x:v>
      </x:c>
      <x:c r="B1090" s="9" t="str">
        <x:v>PD-AR-CT-C-B-TECH-1-B2-INT-G0</x:v>
      </x:c>
      <x:c r="C1090" s="9" t="str">
        <x:v>EV-AR-CT-C-B-TECH-1-B2-INT-G0</x:v>
      </x:c>
      <x:c r="D1090" s="9" t="str">
        <x:v>AR-CT-C-B-TECH-1-B2-INT-G0</x:v>
      </x:c>
      <x:c r="E1090" s="9" t="str">
        <x:v>CT-C-B-TECH-1</x:v>
      </x:c>
      <x:c r="F1090" s="9" t="str">
        <x:v>CT-C-B</x:v>
      </x:c>
      <x:c r="G1090" s="9" t="str">
        <x:v>B2</x:v>
      </x:c>
      <x:c r="H1090" s="9" t="str">
        <x:v>INT</x:v>
      </x:c>
      <x:c r="I1090" s="9" t="str">
        <x:v>PD12</x:v>
      </x:c>
      <x:c r="J1090" s="17" t="str">
        <x:v>Observation acceptance and replay</x:v>
      </x:c>
      <x:c r="K1090" s="17" t="str">
        <x:v>Observation court</x:v>
      </x:c>
      <x:c r="L1090" s="17" t="str">
        <x:v>COURT-SEALED UNTIL COHORT RELEASE</x:v>
      </x:c>
      <x:c r="M1090" s="9" t="n">
        <x:v>0</x:v>
      </x:c>
      <x:c r="N1090" s="9" t="n">
        <x:v>0</x:v>
      </x:c>
      <x:c r="O1090" s="9" t="n">
        <x:v>0</x:v>
      </x:c>
      <x:c r="P1090" s="9" t="str">
        <x:v>HELD / UNRELEASED</x:v>
      </x:c>
      <x:c r="Q1090" s="9" t="n">
        <x:f>COUNTIFS($A$7:$A$2310,A1090)</x:f>
        <x:v>1</x:v>
      </x:c>
    </x:row>
    <x:row r="1091">
      <x:c r="A1091" s="9" t="str">
        <x:v>PD-AR-CT-C-B-TECH-1-B2-INT-G0-PD13</x:v>
      </x:c>
      <x:c r="B1091" s="9" t="str">
        <x:v>PD-AR-CT-C-B-TECH-1-B2-INT-G0</x:v>
      </x:c>
      <x:c r="C1091" s="9" t="str">
        <x:v>EV-AR-CT-C-B-TECH-1-B2-INT-G0</x:v>
      </x:c>
      <x:c r="D1091" s="9" t="str">
        <x:v>AR-CT-C-B-TECH-1-B2-INT-G0</x:v>
      </x:c>
      <x:c r="E1091" s="9" t="str">
        <x:v>CT-C-B-TECH-1</x:v>
      </x:c>
      <x:c r="F1091" s="9" t="str">
        <x:v>CT-C-B</x:v>
      </x:c>
      <x:c r="G1091" s="9" t="str">
        <x:v>B2</x:v>
      </x:c>
      <x:c r="H1091" s="9" t="str">
        <x:v>INT</x:v>
      </x:c>
      <x:c r="I1091" s="9" t="str">
        <x:v>PD13</x:v>
      </x:c>
      <x:c r="J1091" s="17" t="str">
        <x:v>Role judgment</x:v>
      </x:c>
      <x:c r="K1091" s="17" t="str">
        <x:v>Role court</x:v>
      </x:c>
      <x:c r="L1091" s="17" t="str">
        <x:v>COURT-SEALED UNTIL COHORT RELEASE</x:v>
      </x:c>
      <x:c r="M1091" s="9" t="n">
        <x:v>0</x:v>
      </x:c>
      <x:c r="N1091" s="9" t="n">
        <x:v>0</x:v>
      </x:c>
      <x:c r="O1091" s="9" t="n">
        <x:v>0</x:v>
      </x:c>
      <x:c r="P1091" s="9" t="str">
        <x:v>HELD / UNRELEASED</x:v>
      </x:c>
      <x:c r="Q1091" s="9" t="n">
        <x:f>COUNTIFS($A$7:$A$2310,A1091)</x:f>
        <x:v>1</x:v>
      </x:c>
    </x:row>
    <x:row r="1092">
      <x:c r="A1092" s="9" t="str">
        <x:v>PD-AR-CT-C-B-TECH-1-B2-INT-G0-PD14</x:v>
      </x:c>
      <x:c r="B1092" s="9" t="str">
        <x:v>PD-AR-CT-C-B-TECH-1-B2-INT-G0</x:v>
      </x:c>
      <x:c r="C1092" s="9" t="str">
        <x:v>EV-AR-CT-C-B-TECH-1-B2-INT-G0</x:v>
      </x:c>
      <x:c r="D1092" s="9" t="str">
        <x:v>AR-CT-C-B-TECH-1-B2-INT-G0</x:v>
      </x:c>
      <x:c r="E1092" s="9" t="str">
        <x:v>CT-C-B-TECH-1</x:v>
      </x:c>
      <x:c r="F1092" s="9" t="str">
        <x:v>CT-C-B</x:v>
      </x:c>
      <x:c r="G1092" s="9" t="str">
        <x:v>B2</x:v>
      </x:c>
      <x:c r="H1092" s="9" t="str">
        <x:v>INT</x:v>
      </x:c>
      <x:c r="I1092" s="9" t="str">
        <x:v>PD14</x:v>
      </x:c>
      <x:c r="J1092" s="17" t="str">
        <x:v>Break and residual account</x:v>
      </x:c>
      <x:c r="K1092" s="17" t="str">
        <x:v>Residual authority</x:v>
      </x:c>
      <x:c r="L1092" s="17" t="str">
        <x:v>COURT-SEALED UNTIL COHORT RELEASE</x:v>
      </x:c>
      <x:c r="M1092" s="9" t="n">
        <x:v>0</x:v>
      </x:c>
      <x:c r="N1092" s="9" t="n">
        <x:v>0</x:v>
      </x:c>
      <x:c r="O1092" s="9" t="n">
        <x:v>0</x:v>
      </x:c>
      <x:c r="P1092" s="9" t="str">
        <x:v>HELD / UNRELEASED</x:v>
      </x:c>
      <x:c r="Q1092" s="9" t="n">
        <x:f>COUNTIFS($A$7:$A$2310,A1092)</x:f>
        <x:v>1</x:v>
      </x:c>
    </x:row>
    <x:row r="1093">
      <x:c r="A1093" s="9" t="str">
        <x:v>PD-AR-CT-C-B-TECH-1-B2-INT-G0-PD15</x:v>
      </x:c>
      <x:c r="B1093" s="9" t="str">
        <x:v>PD-AR-CT-C-B-TECH-1-B2-INT-G0</x:v>
      </x:c>
      <x:c r="C1093" s="9" t="str">
        <x:v>EV-AR-CT-C-B-TECH-1-B2-INT-G0</x:v>
      </x:c>
      <x:c r="D1093" s="9" t="str">
        <x:v>AR-CT-C-B-TECH-1-B2-INT-G0</x:v>
      </x:c>
      <x:c r="E1093" s="9" t="str">
        <x:v>CT-C-B-TECH-1</x:v>
      </x:c>
      <x:c r="F1093" s="9" t="str">
        <x:v>CT-C-B</x:v>
      </x:c>
      <x:c r="G1093" s="9" t="str">
        <x:v>B2</x:v>
      </x:c>
      <x:c r="H1093" s="9" t="str">
        <x:v>INT</x:v>
      </x:c>
      <x:c r="I1093" s="9" t="str">
        <x:v>PD15</x:v>
      </x:c>
      <x:c r="J1093" s="17" t="str">
        <x:v>Reconstruction ancestry and replay</x:v>
      </x:c>
      <x:c r="K1093" s="17" t="str">
        <x:v>Reconstruction court</x:v>
      </x:c>
      <x:c r="L1093" s="17" t="str">
        <x:v>COURT-SEALED UNTIL COHORT RELEASE</x:v>
      </x:c>
      <x:c r="M1093" s="9" t="n">
        <x:v>0</x:v>
      </x:c>
      <x:c r="N1093" s="9" t="n">
        <x:v>0</x:v>
      </x:c>
      <x:c r="O1093" s="9" t="n">
        <x:v>0</x:v>
      </x:c>
      <x:c r="P1093" s="9" t="str">
        <x:v>HELD / UNRELEASED</x:v>
      </x:c>
      <x:c r="Q1093" s="9" t="n">
        <x:f>COUNTIFS($A$7:$A$2310,A1093)</x:f>
        <x:v>1</x:v>
      </x:c>
    </x:row>
    <x:row r="1094">
      <x:c r="A1094" s="9" t="str">
        <x:v>PD-AR-CT-C-B-TECH-1-B2-INT-G0-PD16</x:v>
      </x:c>
      <x:c r="B1094" s="9" t="str">
        <x:v>PD-AR-CT-C-B-TECH-1-B2-INT-G0</x:v>
      </x:c>
      <x:c r="C1094" s="9" t="str">
        <x:v>EV-AR-CT-C-B-TECH-1-B2-INT-G0</x:v>
      </x:c>
      <x:c r="D1094" s="9" t="str">
        <x:v>AR-CT-C-B-TECH-1-B2-INT-G0</x:v>
      </x:c>
      <x:c r="E1094" s="9" t="str">
        <x:v>CT-C-B-TECH-1</x:v>
      </x:c>
      <x:c r="F1094" s="9" t="str">
        <x:v>CT-C-B</x:v>
      </x:c>
      <x:c r="G1094" s="9" t="str">
        <x:v>B2</x:v>
      </x:c>
      <x:c r="H1094" s="9" t="str">
        <x:v>INT</x:v>
      </x:c>
      <x:c r="I1094" s="9" t="str">
        <x:v>PD16</x:v>
      </x:c>
      <x:c r="J1094" s="17" t="str">
        <x:v>Dissent, amendments and access log</x:v>
      </x:c>
      <x:c r="K1094" s="17" t="str">
        <x:v>Public archive</x:v>
      </x:c>
      <x:c r="L1094" s="17" t="str">
        <x:v>COURT-SEALED UNTIL COHORT RELEASE</x:v>
      </x:c>
      <x:c r="M1094" s="9" t="n">
        <x:v>0</x:v>
      </x:c>
      <x:c r="N1094" s="9" t="n">
        <x:v>0</x:v>
      </x:c>
      <x:c r="O1094" s="9" t="n">
        <x:v>0</x:v>
      </x:c>
      <x:c r="P1094" s="9" t="str">
        <x:v>HELD / UNRELEASED</x:v>
      </x:c>
      <x:c r="Q1094" s="9" t="n">
        <x:f>COUNTIFS($A$7:$A$2310,A1094)</x:f>
        <x:v>1</x:v>
      </x:c>
    </x:row>
    <x:row r="1095">
      <x:c r="A1095" s="9" t="str">
        <x:v>PD-AR-HC-A-C-TECH-1-B1-INT-G0-PD01</x:v>
      </x:c>
      <x:c r="B1095" s="9" t="str">
        <x:v>PD-AR-HC-A-C-TECH-1-B1-INT-G0</x:v>
      </x:c>
      <x:c r="C1095" s="9" t="str">
        <x:v>EV-AR-HC-A-C-TECH-1-B1-INT-G0</x:v>
      </x:c>
      <x:c r="D1095" s="9" t="str">
        <x:v>AR-HC-A-C-TECH-1-B1-INT-G0</x:v>
      </x:c>
      <x:c r="E1095" s="9" t="str">
        <x:v>HC-A-C-TECH-1</x:v>
      </x:c>
      <x:c r="F1095" s="9" t="str">
        <x:v>HC-A-C</x:v>
      </x:c>
      <x:c r="G1095" s="9" t="str">
        <x:v>B1</x:v>
      </x:c>
      <x:c r="H1095" s="9" t="str">
        <x:v>INT</x:v>
      </x:c>
      <x:c r="I1095" s="9" t="str">
        <x:v>PD01</x:v>
      </x:c>
      <x:c r="J1095" s="17" t="str">
        <x:v>Experiment kernel</x:v>
      </x:c>
      <x:c r="K1095" s="17" t="str">
        <x:v>Public archive</x:v>
      </x:c>
      <x:c r="L1095" s="17" t="str">
        <x:v>COURT-SEALED UNTIL COHORT RELEASE</x:v>
      </x:c>
      <x:c r="M1095" s="9" t="n">
        <x:v>0</x:v>
      </x:c>
      <x:c r="N1095" s="9" t="n">
        <x:v>0</x:v>
      </x:c>
      <x:c r="O1095" s="9" t="n">
        <x:v>0</x:v>
      </x:c>
      <x:c r="P1095" s="9" t="str">
        <x:v>HELD / UNRELEASED</x:v>
      </x:c>
      <x:c r="Q1095" s="9" t="n">
        <x:f>COUNTIFS($A$7:$A$2310,A1095)</x:f>
        <x:v>1</x:v>
      </x:c>
    </x:row>
    <x:row r="1096">
      <x:c r="A1096" s="9" t="str">
        <x:v>PD-AR-HC-A-C-TECH-1-B1-INT-G0-PD02</x:v>
      </x:c>
      <x:c r="B1096" s="9" t="str">
        <x:v>PD-AR-HC-A-C-TECH-1-B1-INT-G0</x:v>
      </x:c>
      <x:c r="C1096" s="9" t="str">
        <x:v>EV-AR-HC-A-C-TECH-1-B1-INT-G0</x:v>
      </x:c>
      <x:c r="D1096" s="9" t="str">
        <x:v>AR-HC-A-C-TECH-1-B1-INT-G0</x:v>
      </x:c>
      <x:c r="E1096" s="9" t="str">
        <x:v>HC-A-C-TECH-1</x:v>
      </x:c>
      <x:c r="F1096" s="9" t="str">
        <x:v>HC-A-C</x:v>
      </x:c>
      <x:c r="G1096" s="9" t="str">
        <x:v>B1</x:v>
      </x:c>
      <x:c r="H1096" s="9" t="str">
        <x:v>INT</x:v>
      </x:c>
      <x:c r="I1096" s="9" t="str">
        <x:v>PD02</x:v>
      </x:c>
      <x:c r="J1096" s="17" t="str">
        <x:v>Serial annex and title chain</x:v>
      </x:c>
      <x:c r="K1096" s="17" t="str">
        <x:v>Public archive</x:v>
      </x:c>
      <x:c r="L1096" s="17" t="str">
        <x:v>COURT-SEALED UNTIL COHORT RELEASE</x:v>
      </x:c>
      <x:c r="M1096" s="9" t="n">
        <x:v>0</x:v>
      </x:c>
      <x:c r="N1096" s="9" t="n">
        <x:v>0</x:v>
      </x:c>
      <x:c r="O1096" s="9" t="n">
        <x:v>0</x:v>
      </x:c>
      <x:c r="P1096" s="9" t="str">
        <x:v>HELD / UNRELEASED</x:v>
      </x:c>
      <x:c r="Q1096" s="9" t="n">
        <x:f>COUNTIFS($A$7:$A$2310,A1096)</x:f>
        <x:v>1</x:v>
      </x:c>
    </x:row>
    <x:row r="1097">
      <x:c r="A1097" s="9" t="str">
        <x:v>PD-AR-HC-A-C-TECH-1-B1-INT-G0-PD03</x:v>
      </x:c>
      <x:c r="B1097" s="9" t="str">
        <x:v>PD-AR-HC-A-C-TECH-1-B1-INT-G0</x:v>
      </x:c>
      <x:c r="C1097" s="9" t="str">
        <x:v>EV-AR-HC-A-C-TECH-1-B1-INT-G0</x:v>
      </x:c>
      <x:c r="D1097" s="9" t="str">
        <x:v>AR-HC-A-C-TECH-1-B1-INT-G0</x:v>
      </x:c>
      <x:c r="E1097" s="9" t="str">
        <x:v>HC-A-C-TECH-1</x:v>
      </x:c>
      <x:c r="F1097" s="9" t="str">
        <x:v>HC-A-C</x:v>
      </x:c>
      <x:c r="G1097" s="9" t="str">
        <x:v>B1</x:v>
      </x:c>
      <x:c r="H1097" s="9" t="str">
        <x:v>INT</x:v>
      </x:c>
      <x:c r="I1097" s="9" t="str">
        <x:v>PD03</x:v>
      </x:c>
      <x:c r="J1097" s="17" t="str">
        <x:v>Configuration and as-built manifest</x:v>
      </x:c>
      <x:c r="K1097" s="17" t="str">
        <x:v>Artifact exchange</x:v>
      </x:c>
      <x:c r="L1097" s="17" t="str">
        <x:v>COURT-SEALED UNTIL COHORT RELEASE</x:v>
      </x:c>
      <x:c r="M1097" s="9" t="n">
        <x:v>0</x:v>
      </x:c>
      <x:c r="N1097" s="9" t="n">
        <x:v>0</x:v>
      </x:c>
      <x:c r="O1097" s="9" t="n">
        <x:v>0</x:v>
      </x:c>
      <x:c r="P1097" s="9" t="str">
        <x:v>HELD / UNRELEASED</x:v>
      </x:c>
      <x:c r="Q1097" s="9" t="n">
        <x:f>COUNTIFS($A$7:$A$2310,A1097)</x:f>
        <x:v>1</x:v>
      </x:c>
    </x:row>
    <x:row r="1098">
      <x:c r="A1098" s="9" t="str">
        <x:v>PD-AR-HC-A-C-TECH-1-B1-INT-G0-PD04</x:v>
      </x:c>
      <x:c r="B1098" s="9" t="str">
        <x:v>PD-AR-HC-A-C-TECH-1-B1-INT-G0</x:v>
      </x:c>
      <x:c r="C1098" s="9" t="str">
        <x:v>EV-AR-HC-A-C-TECH-1-B1-INT-G0</x:v>
      </x:c>
      <x:c r="D1098" s="9" t="str">
        <x:v>AR-HC-A-C-TECH-1-B1-INT-G0</x:v>
      </x:c>
      <x:c r="E1098" s="9" t="str">
        <x:v>HC-A-C-TECH-1</x:v>
      </x:c>
      <x:c r="F1098" s="9" t="str">
        <x:v>HC-A-C</x:v>
      </x:c>
      <x:c r="G1098" s="9" t="str">
        <x:v>B1</x:v>
      </x:c>
      <x:c r="H1098" s="9" t="str">
        <x:v>INT</x:v>
      </x:c>
      <x:c r="I1098" s="9" t="str">
        <x:v>PD04</x:v>
      </x:c>
      <x:c r="J1098" s="17" t="str">
        <x:v>EOW and start certificate</x:v>
      </x:c>
      <x:c r="K1098" s="17" t="str">
        <x:v>Start registrar</x:v>
      </x:c>
      <x:c r="L1098" s="17" t="str">
        <x:v>COURT-SEALED UNTIL COHORT RELEASE</x:v>
      </x:c>
      <x:c r="M1098" s="9" t="n">
        <x:v>0</x:v>
      </x:c>
      <x:c r="N1098" s="9" t="n">
        <x:v>0</x:v>
      </x:c>
      <x:c r="O1098" s="9" t="n">
        <x:v>0</x:v>
      </x:c>
      <x:c r="P1098" s="9" t="str">
        <x:v>HELD / UNRELEASED</x:v>
      </x:c>
      <x:c r="Q1098" s="9" t="n">
        <x:f>COUNTIFS($A$7:$A$2310,A1098)</x:f>
        <x:v>1</x:v>
      </x:c>
    </x:row>
    <x:row r="1099">
      <x:c r="A1099" s="9" t="str">
        <x:v>PD-AR-HC-A-C-TECH-1-B1-INT-G0-PD05</x:v>
      </x:c>
      <x:c r="B1099" s="9" t="str">
        <x:v>PD-AR-HC-A-C-TECH-1-B1-INT-G0</x:v>
      </x:c>
      <x:c r="C1099" s="9" t="str">
        <x:v>EV-AR-HC-A-C-TECH-1-B1-INT-G0</x:v>
      </x:c>
      <x:c r="D1099" s="9" t="str">
        <x:v>AR-HC-A-C-TECH-1-B1-INT-G0</x:v>
      </x:c>
      <x:c r="E1099" s="9" t="str">
        <x:v>HC-A-C-TECH-1</x:v>
      </x:c>
      <x:c r="F1099" s="9" t="str">
        <x:v>HC-A-C</x:v>
      </x:c>
      <x:c r="G1099" s="9" t="str">
        <x:v>B1</x:v>
      </x:c>
      <x:c r="H1099" s="9" t="str">
        <x:v>INT</x:v>
      </x:c>
      <x:c r="I1099" s="9" t="str">
        <x:v>PD05</x:v>
      </x:c>
      <x:c r="J1099" s="17" t="str">
        <x:v>Primary raw originals</x:v>
      </x:c>
      <x:c r="K1099" s="17" t="str">
        <x:v>Primary custody</x:v>
      </x:c>
      <x:c r="L1099" s="17" t="str">
        <x:v>COURT-SEALED UNTIL COHORT RELEASE</x:v>
      </x:c>
      <x:c r="M1099" s="9" t="n">
        <x:v>0</x:v>
      </x:c>
      <x:c r="N1099" s="9" t="n">
        <x:v>0</x:v>
      </x:c>
      <x:c r="O1099" s="9" t="n">
        <x:v>0</x:v>
      </x:c>
      <x:c r="P1099" s="9" t="str">
        <x:v>HELD / UNRELEASED</x:v>
      </x:c>
      <x:c r="Q1099" s="9" t="n">
        <x:f>COUNTIFS($A$7:$A$2310,A1099)</x:f>
        <x:v>1</x:v>
      </x:c>
    </x:row>
    <x:row r="1100">
      <x:c r="A1100" s="9" t="str">
        <x:v>PD-AR-HC-A-C-TECH-1-B1-INT-G0-PD06</x:v>
      </x:c>
      <x:c r="B1100" s="9" t="str">
        <x:v>PD-AR-HC-A-C-TECH-1-B1-INT-G0</x:v>
      </x:c>
      <x:c r="C1100" s="9" t="str">
        <x:v>EV-AR-HC-A-C-TECH-1-B1-INT-G0</x:v>
      </x:c>
      <x:c r="D1100" s="9" t="str">
        <x:v>AR-HC-A-C-TECH-1-B1-INT-G0</x:v>
      </x:c>
      <x:c r="E1100" s="9" t="str">
        <x:v>HC-A-C-TECH-1</x:v>
      </x:c>
      <x:c r="F1100" s="9" t="str">
        <x:v>HC-A-C</x:v>
      </x:c>
      <x:c r="G1100" s="9" t="str">
        <x:v>B1</x:v>
      </x:c>
      <x:c r="H1100" s="9" t="str">
        <x:v>INT</x:v>
      </x:c>
      <x:c r="I1100" s="9" t="str">
        <x:v>PD06</x:v>
      </x:c>
      <x:c r="J1100" s="17" t="str">
        <x:v>Witness raw originals</x:v>
      </x:c>
      <x:c r="K1100" s="17" t="str">
        <x:v>Witness custody</x:v>
      </x:c>
      <x:c r="L1100" s="17" t="str">
        <x:v>COURT-SEALED UNTIL COHORT RELEASE</x:v>
      </x:c>
      <x:c r="M1100" s="9" t="n">
        <x:v>0</x:v>
      </x:c>
      <x:c r="N1100" s="9" t="n">
        <x:v>0</x:v>
      </x:c>
      <x:c r="O1100" s="9" t="n">
        <x:v>0</x:v>
      </x:c>
      <x:c r="P1100" s="9" t="str">
        <x:v>HELD / UNRELEASED</x:v>
      </x:c>
      <x:c r="Q1100" s="9" t="n">
        <x:f>COUNTIFS($A$7:$A$2310,A1100)</x:f>
        <x:v>1</x:v>
      </x:c>
    </x:row>
    <x:row r="1101">
      <x:c r="A1101" s="9" t="str">
        <x:v>PD-AR-HC-A-C-TECH-1-B1-INT-G0-PD07</x:v>
      </x:c>
      <x:c r="B1101" s="9" t="str">
        <x:v>PD-AR-HC-A-C-TECH-1-B1-INT-G0</x:v>
      </x:c>
      <x:c r="C1101" s="9" t="str">
        <x:v>EV-AR-HC-A-C-TECH-1-B1-INT-G0</x:v>
      </x:c>
      <x:c r="D1101" s="9" t="str">
        <x:v>AR-HC-A-C-TECH-1-B1-INT-G0</x:v>
      </x:c>
      <x:c r="E1101" s="9" t="str">
        <x:v>HC-A-C-TECH-1</x:v>
      </x:c>
      <x:c r="F1101" s="9" t="str">
        <x:v>HC-A-C</x:v>
      </x:c>
      <x:c r="G1101" s="9" t="str">
        <x:v>B1</x:v>
      </x:c>
      <x:c r="H1101" s="9" t="str">
        <x:v>INT</x:v>
      </x:c>
      <x:c r="I1101" s="9" t="str">
        <x:v>PD07</x:v>
      </x:c>
      <x:c r="J1101" s="17" t="str">
        <x:v>Clock and environmental records</x:v>
      </x:c>
      <x:c r="K1101" s="17" t="str">
        <x:v>Boundary archive</x:v>
      </x:c>
      <x:c r="L1101" s="17" t="str">
        <x:v>COURT-SEALED UNTIL COHORT RELEASE</x:v>
      </x:c>
      <x:c r="M1101" s="9" t="n">
        <x:v>0</x:v>
      </x:c>
      <x:c r="N1101" s="9" t="n">
        <x:v>0</x:v>
      </x:c>
      <x:c r="O1101" s="9" t="n">
        <x:v>0</x:v>
      </x:c>
      <x:c r="P1101" s="9" t="str">
        <x:v>HELD / UNRELEASED</x:v>
      </x:c>
      <x:c r="Q1101" s="9" t="n">
        <x:f>COUNTIFS($A$7:$A$2310,A1101)</x:f>
        <x:v>1</x:v>
      </x:c>
    </x:row>
    <x:row r="1102">
      <x:c r="A1102" s="9" t="str">
        <x:v>PD-AR-HC-A-C-TECH-1-B1-INT-G0-PD08</x:v>
      </x:c>
      <x:c r="B1102" s="9" t="str">
        <x:v>PD-AR-HC-A-C-TECH-1-B1-INT-G0</x:v>
      </x:c>
      <x:c r="C1102" s="9" t="str">
        <x:v>EV-AR-HC-A-C-TECH-1-B1-INT-G0</x:v>
      </x:c>
      <x:c r="D1102" s="9" t="str">
        <x:v>AR-HC-A-C-TECH-1-B1-INT-G0</x:v>
      </x:c>
      <x:c r="E1102" s="9" t="str">
        <x:v>HC-A-C-TECH-1</x:v>
      </x:c>
      <x:c r="F1102" s="9" t="str">
        <x:v>HC-A-C</x:v>
      </x:c>
      <x:c r="G1102" s="9" t="str">
        <x:v>B1</x:v>
      </x:c>
      <x:c r="H1102" s="9" t="str">
        <x:v>INT</x:v>
      </x:c>
      <x:c r="I1102" s="9" t="str">
        <x:v>PD08</x:v>
      </x:c>
      <x:c r="J1102" s="17" t="str">
        <x:v>Command and intervention log</x:v>
      </x:c>
      <x:c r="K1102" s="17" t="str">
        <x:v>Safety archive</x:v>
      </x:c>
      <x:c r="L1102" s="17" t="str">
        <x:v>COURT-SEALED UNTIL COHORT RELEASE</x:v>
      </x:c>
      <x:c r="M1102" s="9" t="n">
        <x:v>0</x:v>
      </x:c>
      <x:c r="N1102" s="9" t="n">
        <x:v>0</x:v>
      </x:c>
      <x:c r="O1102" s="9" t="n">
        <x:v>0</x:v>
      </x:c>
      <x:c r="P1102" s="9" t="str">
        <x:v>HELD / UNRELEASED</x:v>
      </x:c>
      <x:c r="Q1102" s="9" t="n">
        <x:f>COUNTIFS($A$7:$A$2310,A1102)</x:f>
        <x:v>1</x:v>
      </x:c>
    </x:row>
    <x:row r="1103">
      <x:c r="A1103" s="9" t="str">
        <x:v>PD-AR-HC-A-C-TECH-1-B1-INT-G0-PD09</x:v>
      </x:c>
      <x:c r="B1103" s="9" t="str">
        <x:v>PD-AR-HC-A-C-TECH-1-B1-INT-G0</x:v>
      </x:c>
      <x:c r="C1103" s="9" t="str">
        <x:v>EV-AR-HC-A-C-TECH-1-B1-INT-G0</x:v>
      </x:c>
      <x:c r="D1103" s="9" t="str">
        <x:v>AR-HC-A-C-TECH-1-B1-INT-G0</x:v>
      </x:c>
      <x:c r="E1103" s="9" t="str">
        <x:v>HC-A-C-TECH-1</x:v>
      </x:c>
      <x:c r="F1103" s="9" t="str">
        <x:v>HC-A-C</x:v>
      </x:c>
      <x:c r="G1103" s="9" t="str">
        <x:v>B1</x:v>
      </x:c>
      <x:c r="H1103" s="9" t="str">
        <x:v>INT</x:v>
      </x:c>
      <x:c r="I1103" s="9" t="str">
        <x:v>PD09</x:v>
      </x:c>
      <x:c r="J1103" s="17" t="str">
        <x:v>Receiver denominator and service ledger</x:v>
      </x:c>
      <x:c r="K1103" s="17" t="str">
        <x:v>Receiver archive</x:v>
      </x:c>
      <x:c r="L1103" s="17" t="str">
        <x:v>COURT-SEALED UNTIL COHORT RELEASE</x:v>
      </x:c>
      <x:c r="M1103" s="9" t="n">
        <x:v>0</x:v>
      </x:c>
      <x:c r="N1103" s="9" t="n">
        <x:v>0</x:v>
      </x:c>
      <x:c r="O1103" s="9" t="n">
        <x:v>0</x:v>
      </x:c>
      <x:c r="P1103" s="9" t="str">
        <x:v>HELD / UNRELEASED</x:v>
      </x:c>
      <x:c r="Q1103" s="9" t="n">
        <x:f>COUNTIFS($A$7:$A$2310,A1103)</x:f>
        <x:v>1</x:v>
      </x:c>
    </x:row>
    <x:row r="1104">
      <x:c r="A1104" s="9" t="str">
        <x:v>PD-AR-HC-A-C-TECH-1-B1-INT-G0-PD10</x:v>
      </x:c>
      <x:c r="B1104" s="9" t="str">
        <x:v>PD-AR-HC-A-C-TECH-1-B1-INT-G0</x:v>
      </x:c>
      <x:c r="C1104" s="9" t="str">
        <x:v>EV-AR-HC-A-C-TECH-1-B1-INT-G0</x:v>
      </x:c>
      <x:c r="D1104" s="9" t="str">
        <x:v>AR-HC-A-C-TECH-1-B1-INT-G0</x:v>
      </x:c>
      <x:c r="E1104" s="9" t="str">
        <x:v>HC-A-C-TECH-1</x:v>
      </x:c>
      <x:c r="F1104" s="9" t="str">
        <x:v>HC-A-C</x:v>
      </x:c>
      <x:c r="G1104" s="9" t="str">
        <x:v>B1</x:v>
      </x:c>
      <x:c r="H1104" s="9" t="str">
        <x:v>INT</x:v>
      </x:c>
      <x:c r="I1104" s="9" t="str">
        <x:v>PD10</x:v>
      </x:c>
      <x:c r="J1104" s="17" t="str">
        <x:v>Calibration and uncertainty record</x:v>
      </x:c>
      <x:c r="K1104" s="17" t="str">
        <x:v>Metrology archive</x:v>
      </x:c>
      <x:c r="L1104" s="17" t="str">
        <x:v>COURT-SEALED UNTIL COHORT RELEASE</x:v>
      </x:c>
      <x:c r="M1104" s="9" t="n">
        <x:v>0</x:v>
      </x:c>
      <x:c r="N1104" s="9" t="n">
        <x:v>0</x:v>
      </x:c>
      <x:c r="O1104" s="9" t="n">
        <x:v>0</x:v>
      </x:c>
      <x:c r="P1104" s="9" t="str">
        <x:v>HELD / UNRELEASED</x:v>
      </x:c>
      <x:c r="Q1104" s="9" t="n">
        <x:f>COUNTIFS($A$7:$A$2310,A1104)</x:f>
        <x:v>1</x:v>
      </x:c>
    </x:row>
    <x:row r="1105">
      <x:c r="A1105" s="9" t="str">
        <x:v>PD-AR-HC-A-C-TECH-1-B1-INT-G0-PD11</x:v>
      </x:c>
      <x:c r="B1105" s="9" t="str">
        <x:v>PD-AR-HC-A-C-TECH-1-B1-INT-G0</x:v>
      </x:c>
      <x:c r="C1105" s="9" t="str">
        <x:v>EV-AR-HC-A-C-TECH-1-B1-INT-G0</x:v>
      </x:c>
      <x:c r="D1105" s="9" t="str">
        <x:v>AR-HC-A-C-TECH-1-B1-INT-G0</x:v>
      </x:c>
      <x:c r="E1105" s="9" t="str">
        <x:v>HC-A-C-TECH-1</x:v>
      </x:c>
      <x:c r="F1105" s="9" t="str">
        <x:v>HC-A-C</x:v>
      </x:c>
      <x:c r="G1105" s="9" t="str">
        <x:v>B1</x:v>
      </x:c>
      <x:c r="H1105" s="9" t="str">
        <x:v>INT</x:v>
      </x:c>
      <x:c r="I1105" s="9" t="str">
        <x:v>PD11</x:v>
      </x:c>
      <x:c r="J1105" s="17" t="str">
        <x:v>Invalidity petition and opinion</x:v>
      </x:c>
      <x:c r="K1105" s="17" t="str">
        <x:v>Invalidity court</x:v>
      </x:c>
      <x:c r="L1105" s="17" t="str">
        <x:v>COURT-SEALED UNTIL COHORT RELEASE</x:v>
      </x:c>
      <x:c r="M1105" s="9" t="n">
        <x:v>0</x:v>
      </x:c>
      <x:c r="N1105" s="9" t="n">
        <x:v>0</x:v>
      </x:c>
      <x:c r="O1105" s="9" t="n">
        <x:v>0</x:v>
      </x:c>
      <x:c r="P1105" s="9" t="str">
        <x:v>HELD / UNRELEASED</x:v>
      </x:c>
      <x:c r="Q1105" s="9" t="n">
        <x:f>COUNTIFS($A$7:$A$2310,A1105)</x:f>
        <x:v>1</x:v>
      </x:c>
    </x:row>
    <x:row r="1106">
      <x:c r="A1106" s="9" t="str">
        <x:v>PD-AR-HC-A-C-TECH-1-B1-INT-G0-PD12</x:v>
      </x:c>
      <x:c r="B1106" s="9" t="str">
        <x:v>PD-AR-HC-A-C-TECH-1-B1-INT-G0</x:v>
      </x:c>
      <x:c r="C1106" s="9" t="str">
        <x:v>EV-AR-HC-A-C-TECH-1-B1-INT-G0</x:v>
      </x:c>
      <x:c r="D1106" s="9" t="str">
        <x:v>AR-HC-A-C-TECH-1-B1-INT-G0</x:v>
      </x:c>
      <x:c r="E1106" s="9" t="str">
        <x:v>HC-A-C-TECH-1</x:v>
      </x:c>
      <x:c r="F1106" s="9" t="str">
        <x:v>HC-A-C</x:v>
      </x:c>
      <x:c r="G1106" s="9" t="str">
        <x:v>B1</x:v>
      </x:c>
      <x:c r="H1106" s="9" t="str">
        <x:v>INT</x:v>
      </x:c>
      <x:c r="I1106" s="9" t="str">
        <x:v>PD12</x:v>
      </x:c>
      <x:c r="J1106" s="17" t="str">
        <x:v>Observation acceptance and replay</x:v>
      </x:c>
      <x:c r="K1106" s="17" t="str">
        <x:v>Observation court</x:v>
      </x:c>
      <x:c r="L1106" s="17" t="str">
        <x:v>COURT-SEALED UNTIL COHORT RELEASE</x:v>
      </x:c>
      <x:c r="M1106" s="9" t="n">
        <x:v>0</x:v>
      </x:c>
      <x:c r="N1106" s="9" t="n">
        <x:v>0</x:v>
      </x:c>
      <x:c r="O1106" s="9" t="n">
        <x:v>0</x:v>
      </x:c>
      <x:c r="P1106" s="9" t="str">
        <x:v>HELD / UNRELEASED</x:v>
      </x:c>
      <x:c r="Q1106" s="9" t="n">
        <x:f>COUNTIFS($A$7:$A$2310,A1106)</x:f>
        <x:v>1</x:v>
      </x:c>
    </x:row>
    <x:row r="1107">
      <x:c r="A1107" s="9" t="str">
        <x:v>PD-AR-HC-A-C-TECH-1-B1-INT-G0-PD13</x:v>
      </x:c>
      <x:c r="B1107" s="9" t="str">
        <x:v>PD-AR-HC-A-C-TECH-1-B1-INT-G0</x:v>
      </x:c>
      <x:c r="C1107" s="9" t="str">
        <x:v>EV-AR-HC-A-C-TECH-1-B1-INT-G0</x:v>
      </x:c>
      <x:c r="D1107" s="9" t="str">
        <x:v>AR-HC-A-C-TECH-1-B1-INT-G0</x:v>
      </x:c>
      <x:c r="E1107" s="9" t="str">
        <x:v>HC-A-C-TECH-1</x:v>
      </x:c>
      <x:c r="F1107" s="9" t="str">
        <x:v>HC-A-C</x:v>
      </x:c>
      <x:c r="G1107" s="9" t="str">
        <x:v>B1</x:v>
      </x:c>
      <x:c r="H1107" s="9" t="str">
        <x:v>INT</x:v>
      </x:c>
      <x:c r="I1107" s="9" t="str">
        <x:v>PD13</x:v>
      </x:c>
      <x:c r="J1107" s="17" t="str">
        <x:v>Role judgment</x:v>
      </x:c>
      <x:c r="K1107" s="17" t="str">
        <x:v>Role court</x:v>
      </x:c>
      <x:c r="L1107" s="17" t="str">
        <x:v>COURT-SEALED UNTIL COHORT RELEASE</x:v>
      </x:c>
      <x:c r="M1107" s="9" t="n">
        <x:v>0</x:v>
      </x:c>
      <x:c r="N1107" s="9" t="n">
        <x:v>0</x:v>
      </x:c>
      <x:c r="O1107" s="9" t="n">
        <x:v>0</x:v>
      </x:c>
      <x:c r="P1107" s="9" t="str">
        <x:v>HELD / UNRELEASED</x:v>
      </x:c>
      <x:c r="Q1107" s="9" t="n">
        <x:f>COUNTIFS($A$7:$A$2310,A1107)</x:f>
        <x:v>1</x:v>
      </x:c>
    </x:row>
    <x:row r="1108">
      <x:c r="A1108" s="9" t="str">
        <x:v>PD-AR-HC-A-C-TECH-1-B1-INT-G0-PD14</x:v>
      </x:c>
      <x:c r="B1108" s="9" t="str">
        <x:v>PD-AR-HC-A-C-TECH-1-B1-INT-G0</x:v>
      </x:c>
      <x:c r="C1108" s="9" t="str">
        <x:v>EV-AR-HC-A-C-TECH-1-B1-INT-G0</x:v>
      </x:c>
      <x:c r="D1108" s="9" t="str">
        <x:v>AR-HC-A-C-TECH-1-B1-INT-G0</x:v>
      </x:c>
      <x:c r="E1108" s="9" t="str">
        <x:v>HC-A-C-TECH-1</x:v>
      </x:c>
      <x:c r="F1108" s="9" t="str">
        <x:v>HC-A-C</x:v>
      </x:c>
      <x:c r="G1108" s="9" t="str">
        <x:v>B1</x:v>
      </x:c>
      <x:c r="H1108" s="9" t="str">
        <x:v>INT</x:v>
      </x:c>
      <x:c r="I1108" s="9" t="str">
        <x:v>PD14</x:v>
      </x:c>
      <x:c r="J1108" s="17" t="str">
        <x:v>Break and residual account</x:v>
      </x:c>
      <x:c r="K1108" s="17" t="str">
        <x:v>Residual authority</x:v>
      </x:c>
      <x:c r="L1108" s="17" t="str">
        <x:v>COURT-SEALED UNTIL COHORT RELEASE</x:v>
      </x:c>
      <x:c r="M1108" s="9" t="n">
        <x:v>0</x:v>
      </x:c>
      <x:c r="N1108" s="9" t="n">
        <x:v>0</x:v>
      </x:c>
      <x:c r="O1108" s="9" t="n">
        <x:v>0</x:v>
      </x:c>
      <x:c r="P1108" s="9" t="str">
        <x:v>HELD / UNRELEASED</x:v>
      </x:c>
      <x:c r="Q1108" s="9" t="n">
        <x:f>COUNTIFS($A$7:$A$2310,A1108)</x:f>
        <x:v>1</x:v>
      </x:c>
    </x:row>
    <x:row r="1109">
      <x:c r="A1109" s="9" t="str">
        <x:v>PD-AR-HC-A-C-TECH-1-B1-INT-G0-PD15</x:v>
      </x:c>
      <x:c r="B1109" s="9" t="str">
        <x:v>PD-AR-HC-A-C-TECH-1-B1-INT-G0</x:v>
      </x:c>
      <x:c r="C1109" s="9" t="str">
        <x:v>EV-AR-HC-A-C-TECH-1-B1-INT-G0</x:v>
      </x:c>
      <x:c r="D1109" s="9" t="str">
        <x:v>AR-HC-A-C-TECH-1-B1-INT-G0</x:v>
      </x:c>
      <x:c r="E1109" s="9" t="str">
        <x:v>HC-A-C-TECH-1</x:v>
      </x:c>
      <x:c r="F1109" s="9" t="str">
        <x:v>HC-A-C</x:v>
      </x:c>
      <x:c r="G1109" s="9" t="str">
        <x:v>B1</x:v>
      </x:c>
      <x:c r="H1109" s="9" t="str">
        <x:v>INT</x:v>
      </x:c>
      <x:c r="I1109" s="9" t="str">
        <x:v>PD15</x:v>
      </x:c>
      <x:c r="J1109" s="17" t="str">
        <x:v>Reconstruction ancestry and replay</x:v>
      </x:c>
      <x:c r="K1109" s="17" t="str">
        <x:v>Reconstruction court</x:v>
      </x:c>
      <x:c r="L1109" s="17" t="str">
        <x:v>COURT-SEALED UNTIL COHORT RELEASE</x:v>
      </x:c>
      <x:c r="M1109" s="9" t="n">
        <x:v>0</x:v>
      </x:c>
      <x:c r="N1109" s="9" t="n">
        <x:v>0</x:v>
      </x:c>
      <x:c r="O1109" s="9" t="n">
        <x:v>0</x:v>
      </x:c>
      <x:c r="P1109" s="9" t="str">
        <x:v>HELD / UNRELEASED</x:v>
      </x:c>
      <x:c r="Q1109" s="9" t="n">
        <x:f>COUNTIFS($A$7:$A$2310,A1109)</x:f>
        <x:v>1</x:v>
      </x:c>
    </x:row>
    <x:row r="1110">
      <x:c r="A1110" s="9" t="str">
        <x:v>PD-AR-HC-A-C-TECH-1-B1-INT-G0-PD16</x:v>
      </x:c>
      <x:c r="B1110" s="9" t="str">
        <x:v>PD-AR-HC-A-C-TECH-1-B1-INT-G0</x:v>
      </x:c>
      <x:c r="C1110" s="9" t="str">
        <x:v>EV-AR-HC-A-C-TECH-1-B1-INT-G0</x:v>
      </x:c>
      <x:c r="D1110" s="9" t="str">
        <x:v>AR-HC-A-C-TECH-1-B1-INT-G0</x:v>
      </x:c>
      <x:c r="E1110" s="9" t="str">
        <x:v>HC-A-C-TECH-1</x:v>
      </x:c>
      <x:c r="F1110" s="9" t="str">
        <x:v>HC-A-C</x:v>
      </x:c>
      <x:c r="G1110" s="9" t="str">
        <x:v>B1</x:v>
      </x:c>
      <x:c r="H1110" s="9" t="str">
        <x:v>INT</x:v>
      </x:c>
      <x:c r="I1110" s="9" t="str">
        <x:v>PD16</x:v>
      </x:c>
      <x:c r="J1110" s="17" t="str">
        <x:v>Dissent, amendments and access log</x:v>
      </x:c>
      <x:c r="K1110" s="17" t="str">
        <x:v>Public archive</x:v>
      </x:c>
      <x:c r="L1110" s="17" t="str">
        <x:v>COURT-SEALED UNTIL COHORT RELEASE</x:v>
      </x:c>
      <x:c r="M1110" s="9" t="n">
        <x:v>0</x:v>
      </x:c>
      <x:c r="N1110" s="9" t="n">
        <x:v>0</x:v>
      </x:c>
      <x:c r="O1110" s="9" t="n">
        <x:v>0</x:v>
      </x:c>
      <x:c r="P1110" s="9" t="str">
        <x:v>HELD / UNRELEASED</x:v>
      </x:c>
      <x:c r="Q1110" s="9" t="n">
        <x:f>COUNTIFS($A$7:$A$2310,A1110)</x:f>
        <x:v>1</x:v>
      </x:c>
    </x:row>
    <x:row r="1111">
      <x:c r="A1111" s="9" t="str">
        <x:v>PD-AR-HC-A-C-TECH-2-B2-RCN-G0-PD01</x:v>
      </x:c>
      <x:c r="B1111" s="9" t="str">
        <x:v>PD-AR-HC-A-C-TECH-2-B2-RCN-G0</x:v>
      </x:c>
      <x:c r="C1111" s="9" t="str">
        <x:v>EV-AR-HC-A-C-TECH-2-B2-RCN-G0</x:v>
      </x:c>
      <x:c r="D1111" s="9" t="str">
        <x:v>AR-HC-A-C-TECH-2-B2-RCN-G0</x:v>
      </x:c>
      <x:c r="E1111" s="9" t="str">
        <x:v>HC-A-C-TECH-2</x:v>
      </x:c>
      <x:c r="F1111" s="9" t="str">
        <x:v>HC-A-C</x:v>
      </x:c>
      <x:c r="G1111" s="9" t="str">
        <x:v>B2</x:v>
      </x:c>
      <x:c r="H1111" s="9" t="str">
        <x:v>RCN</x:v>
      </x:c>
      <x:c r="I1111" s="9" t="str">
        <x:v>PD01</x:v>
      </x:c>
      <x:c r="J1111" s="17" t="str">
        <x:v>Experiment kernel</x:v>
      </x:c>
      <x:c r="K1111" s="17" t="str">
        <x:v>Public archive</x:v>
      </x:c>
      <x:c r="L1111" s="17" t="str">
        <x:v>COURT-SEALED UNTIL COHORT RELEASE</x:v>
      </x:c>
      <x:c r="M1111" s="9" t="n">
        <x:v>0</x:v>
      </x:c>
      <x:c r="N1111" s="9" t="n">
        <x:v>0</x:v>
      </x:c>
      <x:c r="O1111" s="9" t="n">
        <x:v>0</x:v>
      </x:c>
      <x:c r="P1111" s="9" t="str">
        <x:v>HELD / UNRELEASED</x:v>
      </x:c>
      <x:c r="Q1111" s="9" t="n">
        <x:f>COUNTIFS($A$7:$A$2310,A1111)</x:f>
        <x:v>1</x:v>
      </x:c>
    </x:row>
    <x:row r="1112">
      <x:c r="A1112" s="9" t="str">
        <x:v>PD-AR-HC-A-C-TECH-2-B2-RCN-G0-PD02</x:v>
      </x:c>
      <x:c r="B1112" s="9" t="str">
        <x:v>PD-AR-HC-A-C-TECH-2-B2-RCN-G0</x:v>
      </x:c>
      <x:c r="C1112" s="9" t="str">
        <x:v>EV-AR-HC-A-C-TECH-2-B2-RCN-G0</x:v>
      </x:c>
      <x:c r="D1112" s="9" t="str">
        <x:v>AR-HC-A-C-TECH-2-B2-RCN-G0</x:v>
      </x:c>
      <x:c r="E1112" s="9" t="str">
        <x:v>HC-A-C-TECH-2</x:v>
      </x:c>
      <x:c r="F1112" s="9" t="str">
        <x:v>HC-A-C</x:v>
      </x:c>
      <x:c r="G1112" s="9" t="str">
        <x:v>B2</x:v>
      </x:c>
      <x:c r="H1112" s="9" t="str">
        <x:v>RCN</x:v>
      </x:c>
      <x:c r="I1112" s="9" t="str">
        <x:v>PD02</x:v>
      </x:c>
      <x:c r="J1112" s="17" t="str">
        <x:v>Serial annex and title chain</x:v>
      </x:c>
      <x:c r="K1112" s="17" t="str">
        <x:v>Public archive</x:v>
      </x:c>
      <x:c r="L1112" s="17" t="str">
        <x:v>COURT-SEALED UNTIL COHORT RELEASE</x:v>
      </x:c>
      <x:c r="M1112" s="9" t="n">
        <x:v>0</x:v>
      </x:c>
      <x:c r="N1112" s="9" t="n">
        <x:v>0</x:v>
      </x:c>
      <x:c r="O1112" s="9" t="n">
        <x:v>0</x:v>
      </x:c>
      <x:c r="P1112" s="9" t="str">
        <x:v>HELD / UNRELEASED</x:v>
      </x:c>
      <x:c r="Q1112" s="9" t="n">
        <x:f>COUNTIFS($A$7:$A$2310,A1112)</x:f>
        <x:v>1</x:v>
      </x:c>
    </x:row>
    <x:row r="1113">
      <x:c r="A1113" s="9" t="str">
        <x:v>PD-AR-HC-A-C-TECH-2-B2-RCN-G0-PD03</x:v>
      </x:c>
      <x:c r="B1113" s="9" t="str">
        <x:v>PD-AR-HC-A-C-TECH-2-B2-RCN-G0</x:v>
      </x:c>
      <x:c r="C1113" s="9" t="str">
        <x:v>EV-AR-HC-A-C-TECH-2-B2-RCN-G0</x:v>
      </x:c>
      <x:c r="D1113" s="9" t="str">
        <x:v>AR-HC-A-C-TECH-2-B2-RCN-G0</x:v>
      </x:c>
      <x:c r="E1113" s="9" t="str">
        <x:v>HC-A-C-TECH-2</x:v>
      </x:c>
      <x:c r="F1113" s="9" t="str">
        <x:v>HC-A-C</x:v>
      </x:c>
      <x:c r="G1113" s="9" t="str">
        <x:v>B2</x:v>
      </x:c>
      <x:c r="H1113" s="9" t="str">
        <x:v>RCN</x:v>
      </x:c>
      <x:c r="I1113" s="9" t="str">
        <x:v>PD03</x:v>
      </x:c>
      <x:c r="J1113" s="17" t="str">
        <x:v>Configuration and as-built manifest</x:v>
      </x:c>
      <x:c r="K1113" s="17" t="str">
        <x:v>Artifact exchange</x:v>
      </x:c>
      <x:c r="L1113" s="17" t="str">
        <x:v>COURT-SEALED UNTIL COHORT RELEASE</x:v>
      </x:c>
      <x:c r="M1113" s="9" t="n">
        <x:v>0</x:v>
      </x:c>
      <x:c r="N1113" s="9" t="n">
        <x:v>0</x:v>
      </x:c>
      <x:c r="O1113" s="9" t="n">
        <x:v>0</x:v>
      </x:c>
      <x:c r="P1113" s="9" t="str">
        <x:v>HELD / UNRELEASED</x:v>
      </x:c>
      <x:c r="Q1113" s="9" t="n">
        <x:f>COUNTIFS($A$7:$A$2310,A1113)</x:f>
        <x:v>1</x:v>
      </x:c>
    </x:row>
    <x:row r="1114">
      <x:c r="A1114" s="9" t="str">
        <x:v>PD-AR-HC-A-C-TECH-2-B2-RCN-G0-PD04</x:v>
      </x:c>
      <x:c r="B1114" s="9" t="str">
        <x:v>PD-AR-HC-A-C-TECH-2-B2-RCN-G0</x:v>
      </x:c>
      <x:c r="C1114" s="9" t="str">
        <x:v>EV-AR-HC-A-C-TECH-2-B2-RCN-G0</x:v>
      </x:c>
      <x:c r="D1114" s="9" t="str">
        <x:v>AR-HC-A-C-TECH-2-B2-RCN-G0</x:v>
      </x:c>
      <x:c r="E1114" s="9" t="str">
        <x:v>HC-A-C-TECH-2</x:v>
      </x:c>
      <x:c r="F1114" s="9" t="str">
        <x:v>HC-A-C</x:v>
      </x:c>
      <x:c r="G1114" s="9" t="str">
        <x:v>B2</x:v>
      </x:c>
      <x:c r="H1114" s="9" t="str">
        <x:v>RCN</x:v>
      </x:c>
      <x:c r="I1114" s="9" t="str">
        <x:v>PD04</x:v>
      </x:c>
      <x:c r="J1114" s="17" t="str">
        <x:v>EOW and start certificate</x:v>
      </x:c>
      <x:c r="K1114" s="17" t="str">
        <x:v>Start registrar</x:v>
      </x:c>
      <x:c r="L1114" s="17" t="str">
        <x:v>COURT-SEALED UNTIL COHORT RELEASE</x:v>
      </x:c>
      <x:c r="M1114" s="9" t="n">
        <x:v>0</x:v>
      </x:c>
      <x:c r="N1114" s="9" t="n">
        <x:v>0</x:v>
      </x:c>
      <x:c r="O1114" s="9" t="n">
        <x:v>0</x:v>
      </x:c>
      <x:c r="P1114" s="9" t="str">
        <x:v>HELD / UNRELEASED</x:v>
      </x:c>
      <x:c r="Q1114" s="9" t="n">
        <x:f>COUNTIFS($A$7:$A$2310,A1114)</x:f>
        <x:v>1</x:v>
      </x:c>
    </x:row>
    <x:row r="1115">
      <x:c r="A1115" s="9" t="str">
        <x:v>PD-AR-HC-A-C-TECH-2-B2-RCN-G0-PD05</x:v>
      </x:c>
      <x:c r="B1115" s="9" t="str">
        <x:v>PD-AR-HC-A-C-TECH-2-B2-RCN-G0</x:v>
      </x:c>
      <x:c r="C1115" s="9" t="str">
        <x:v>EV-AR-HC-A-C-TECH-2-B2-RCN-G0</x:v>
      </x:c>
      <x:c r="D1115" s="9" t="str">
        <x:v>AR-HC-A-C-TECH-2-B2-RCN-G0</x:v>
      </x:c>
      <x:c r="E1115" s="9" t="str">
        <x:v>HC-A-C-TECH-2</x:v>
      </x:c>
      <x:c r="F1115" s="9" t="str">
        <x:v>HC-A-C</x:v>
      </x:c>
      <x:c r="G1115" s="9" t="str">
        <x:v>B2</x:v>
      </x:c>
      <x:c r="H1115" s="9" t="str">
        <x:v>RCN</x:v>
      </x:c>
      <x:c r="I1115" s="9" t="str">
        <x:v>PD05</x:v>
      </x:c>
      <x:c r="J1115" s="17" t="str">
        <x:v>Primary raw originals</x:v>
      </x:c>
      <x:c r="K1115" s="17" t="str">
        <x:v>Primary custody</x:v>
      </x:c>
      <x:c r="L1115" s="17" t="str">
        <x:v>COURT-SEALED UNTIL COHORT RELEASE</x:v>
      </x:c>
      <x:c r="M1115" s="9" t="n">
        <x:v>0</x:v>
      </x:c>
      <x:c r="N1115" s="9" t="n">
        <x:v>0</x:v>
      </x:c>
      <x:c r="O1115" s="9" t="n">
        <x:v>0</x:v>
      </x:c>
      <x:c r="P1115" s="9" t="str">
        <x:v>HELD / UNRELEASED</x:v>
      </x:c>
      <x:c r="Q1115" s="9" t="n">
        <x:f>COUNTIFS($A$7:$A$2310,A1115)</x:f>
        <x:v>1</x:v>
      </x:c>
    </x:row>
    <x:row r="1116">
      <x:c r="A1116" s="9" t="str">
        <x:v>PD-AR-HC-A-C-TECH-2-B2-RCN-G0-PD06</x:v>
      </x:c>
      <x:c r="B1116" s="9" t="str">
        <x:v>PD-AR-HC-A-C-TECH-2-B2-RCN-G0</x:v>
      </x:c>
      <x:c r="C1116" s="9" t="str">
        <x:v>EV-AR-HC-A-C-TECH-2-B2-RCN-G0</x:v>
      </x:c>
      <x:c r="D1116" s="9" t="str">
        <x:v>AR-HC-A-C-TECH-2-B2-RCN-G0</x:v>
      </x:c>
      <x:c r="E1116" s="9" t="str">
        <x:v>HC-A-C-TECH-2</x:v>
      </x:c>
      <x:c r="F1116" s="9" t="str">
        <x:v>HC-A-C</x:v>
      </x:c>
      <x:c r="G1116" s="9" t="str">
        <x:v>B2</x:v>
      </x:c>
      <x:c r="H1116" s="9" t="str">
        <x:v>RCN</x:v>
      </x:c>
      <x:c r="I1116" s="9" t="str">
        <x:v>PD06</x:v>
      </x:c>
      <x:c r="J1116" s="17" t="str">
        <x:v>Witness raw originals</x:v>
      </x:c>
      <x:c r="K1116" s="17" t="str">
        <x:v>Witness custody</x:v>
      </x:c>
      <x:c r="L1116" s="17" t="str">
        <x:v>COURT-SEALED UNTIL COHORT RELEASE</x:v>
      </x:c>
      <x:c r="M1116" s="9" t="n">
        <x:v>0</x:v>
      </x:c>
      <x:c r="N1116" s="9" t="n">
        <x:v>0</x:v>
      </x:c>
      <x:c r="O1116" s="9" t="n">
        <x:v>0</x:v>
      </x:c>
      <x:c r="P1116" s="9" t="str">
        <x:v>HELD / UNRELEASED</x:v>
      </x:c>
      <x:c r="Q1116" s="9" t="n">
        <x:f>COUNTIFS($A$7:$A$2310,A1116)</x:f>
        <x:v>1</x:v>
      </x:c>
    </x:row>
    <x:row r="1117">
      <x:c r="A1117" s="9" t="str">
        <x:v>PD-AR-HC-A-C-TECH-2-B2-RCN-G0-PD07</x:v>
      </x:c>
      <x:c r="B1117" s="9" t="str">
        <x:v>PD-AR-HC-A-C-TECH-2-B2-RCN-G0</x:v>
      </x:c>
      <x:c r="C1117" s="9" t="str">
        <x:v>EV-AR-HC-A-C-TECH-2-B2-RCN-G0</x:v>
      </x:c>
      <x:c r="D1117" s="9" t="str">
        <x:v>AR-HC-A-C-TECH-2-B2-RCN-G0</x:v>
      </x:c>
      <x:c r="E1117" s="9" t="str">
        <x:v>HC-A-C-TECH-2</x:v>
      </x:c>
      <x:c r="F1117" s="9" t="str">
        <x:v>HC-A-C</x:v>
      </x:c>
      <x:c r="G1117" s="9" t="str">
        <x:v>B2</x:v>
      </x:c>
      <x:c r="H1117" s="9" t="str">
        <x:v>RCN</x:v>
      </x:c>
      <x:c r="I1117" s="9" t="str">
        <x:v>PD07</x:v>
      </x:c>
      <x:c r="J1117" s="17" t="str">
        <x:v>Clock and environmental records</x:v>
      </x:c>
      <x:c r="K1117" s="17" t="str">
        <x:v>Boundary archive</x:v>
      </x:c>
      <x:c r="L1117" s="17" t="str">
        <x:v>COURT-SEALED UNTIL COHORT RELEASE</x:v>
      </x:c>
      <x:c r="M1117" s="9" t="n">
        <x:v>0</x:v>
      </x:c>
      <x:c r="N1117" s="9" t="n">
        <x:v>0</x:v>
      </x:c>
      <x:c r="O1117" s="9" t="n">
        <x:v>0</x:v>
      </x:c>
      <x:c r="P1117" s="9" t="str">
        <x:v>HELD / UNRELEASED</x:v>
      </x:c>
      <x:c r="Q1117" s="9" t="n">
        <x:f>COUNTIFS($A$7:$A$2310,A1117)</x:f>
        <x:v>1</x:v>
      </x:c>
    </x:row>
    <x:row r="1118">
      <x:c r="A1118" s="9" t="str">
        <x:v>PD-AR-HC-A-C-TECH-2-B2-RCN-G0-PD08</x:v>
      </x:c>
      <x:c r="B1118" s="9" t="str">
        <x:v>PD-AR-HC-A-C-TECH-2-B2-RCN-G0</x:v>
      </x:c>
      <x:c r="C1118" s="9" t="str">
        <x:v>EV-AR-HC-A-C-TECH-2-B2-RCN-G0</x:v>
      </x:c>
      <x:c r="D1118" s="9" t="str">
        <x:v>AR-HC-A-C-TECH-2-B2-RCN-G0</x:v>
      </x:c>
      <x:c r="E1118" s="9" t="str">
        <x:v>HC-A-C-TECH-2</x:v>
      </x:c>
      <x:c r="F1118" s="9" t="str">
        <x:v>HC-A-C</x:v>
      </x:c>
      <x:c r="G1118" s="9" t="str">
        <x:v>B2</x:v>
      </x:c>
      <x:c r="H1118" s="9" t="str">
        <x:v>RCN</x:v>
      </x:c>
      <x:c r="I1118" s="9" t="str">
        <x:v>PD08</x:v>
      </x:c>
      <x:c r="J1118" s="17" t="str">
        <x:v>Command and intervention log</x:v>
      </x:c>
      <x:c r="K1118" s="17" t="str">
        <x:v>Safety archive</x:v>
      </x:c>
      <x:c r="L1118" s="17" t="str">
        <x:v>COURT-SEALED UNTIL COHORT RELEASE</x:v>
      </x:c>
      <x:c r="M1118" s="9" t="n">
        <x:v>0</x:v>
      </x:c>
      <x:c r="N1118" s="9" t="n">
        <x:v>0</x:v>
      </x:c>
      <x:c r="O1118" s="9" t="n">
        <x:v>0</x:v>
      </x:c>
      <x:c r="P1118" s="9" t="str">
        <x:v>HELD / UNRELEASED</x:v>
      </x:c>
      <x:c r="Q1118" s="9" t="n">
        <x:f>COUNTIFS($A$7:$A$2310,A1118)</x:f>
        <x:v>1</x:v>
      </x:c>
    </x:row>
    <x:row r="1119">
      <x:c r="A1119" s="9" t="str">
        <x:v>PD-AR-HC-A-C-TECH-2-B2-RCN-G0-PD09</x:v>
      </x:c>
      <x:c r="B1119" s="9" t="str">
        <x:v>PD-AR-HC-A-C-TECH-2-B2-RCN-G0</x:v>
      </x:c>
      <x:c r="C1119" s="9" t="str">
        <x:v>EV-AR-HC-A-C-TECH-2-B2-RCN-G0</x:v>
      </x:c>
      <x:c r="D1119" s="9" t="str">
        <x:v>AR-HC-A-C-TECH-2-B2-RCN-G0</x:v>
      </x:c>
      <x:c r="E1119" s="9" t="str">
        <x:v>HC-A-C-TECH-2</x:v>
      </x:c>
      <x:c r="F1119" s="9" t="str">
        <x:v>HC-A-C</x:v>
      </x:c>
      <x:c r="G1119" s="9" t="str">
        <x:v>B2</x:v>
      </x:c>
      <x:c r="H1119" s="9" t="str">
        <x:v>RCN</x:v>
      </x:c>
      <x:c r="I1119" s="9" t="str">
        <x:v>PD09</x:v>
      </x:c>
      <x:c r="J1119" s="17" t="str">
        <x:v>Receiver denominator and service ledger</x:v>
      </x:c>
      <x:c r="K1119" s="17" t="str">
        <x:v>Receiver archive</x:v>
      </x:c>
      <x:c r="L1119" s="17" t="str">
        <x:v>COURT-SEALED UNTIL COHORT RELEASE</x:v>
      </x:c>
      <x:c r="M1119" s="9" t="n">
        <x:v>0</x:v>
      </x:c>
      <x:c r="N1119" s="9" t="n">
        <x:v>0</x:v>
      </x:c>
      <x:c r="O1119" s="9" t="n">
        <x:v>0</x:v>
      </x:c>
      <x:c r="P1119" s="9" t="str">
        <x:v>HELD / UNRELEASED</x:v>
      </x:c>
      <x:c r="Q1119" s="9" t="n">
        <x:f>COUNTIFS($A$7:$A$2310,A1119)</x:f>
        <x:v>1</x:v>
      </x:c>
    </x:row>
    <x:row r="1120">
      <x:c r="A1120" s="9" t="str">
        <x:v>PD-AR-HC-A-C-TECH-2-B2-RCN-G0-PD10</x:v>
      </x:c>
      <x:c r="B1120" s="9" t="str">
        <x:v>PD-AR-HC-A-C-TECH-2-B2-RCN-G0</x:v>
      </x:c>
      <x:c r="C1120" s="9" t="str">
        <x:v>EV-AR-HC-A-C-TECH-2-B2-RCN-G0</x:v>
      </x:c>
      <x:c r="D1120" s="9" t="str">
        <x:v>AR-HC-A-C-TECH-2-B2-RCN-G0</x:v>
      </x:c>
      <x:c r="E1120" s="9" t="str">
        <x:v>HC-A-C-TECH-2</x:v>
      </x:c>
      <x:c r="F1120" s="9" t="str">
        <x:v>HC-A-C</x:v>
      </x:c>
      <x:c r="G1120" s="9" t="str">
        <x:v>B2</x:v>
      </x:c>
      <x:c r="H1120" s="9" t="str">
        <x:v>RCN</x:v>
      </x:c>
      <x:c r="I1120" s="9" t="str">
        <x:v>PD10</x:v>
      </x:c>
      <x:c r="J1120" s="17" t="str">
        <x:v>Calibration and uncertainty record</x:v>
      </x:c>
      <x:c r="K1120" s="17" t="str">
        <x:v>Metrology archive</x:v>
      </x:c>
      <x:c r="L1120" s="17" t="str">
        <x:v>COURT-SEALED UNTIL COHORT RELEASE</x:v>
      </x:c>
      <x:c r="M1120" s="9" t="n">
        <x:v>0</x:v>
      </x:c>
      <x:c r="N1120" s="9" t="n">
        <x:v>0</x:v>
      </x:c>
      <x:c r="O1120" s="9" t="n">
        <x:v>0</x:v>
      </x:c>
      <x:c r="P1120" s="9" t="str">
        <x:v>HELD / UNRELEASED</x:v>
      </x:c>
      <x:c r="Q1120" s="9" t="n">
        <x:f>COUNTIFS($A$7:$A$2310,A1120)</x:f>
        <x:v>1</x:v>
      </x:c>
    </x:row>
    <x:row r="1121">
      <x:c r="A1121" s="9" t="str">
        <x:v>PD-AR-HC-A-C-TECH-2-B2-RCN-G0-PD11</x:v>
      </x:c>
      <x:c r="B1121" s="9" t="str">
        <x:v>PD-AR-HC-A-C-TECH-2-B2-RCN-G0</x:v>
      </x:c>
      <x:c r="C1121" s="9" t="str">
        <x:v>EV-AR-HC-A-C-TECH-2-B2-RCN-G0</x:v>
      </x:c>
      <x:c r="D1121" s="9" t="str">
        <x:v>AR-HC-A-C-TECH-2-B2-RCN-G0</x:v>
      </x:c>
      <x:c r="E1121" s="9" t="str">
        <x:v>HC-A-C-TECH-2</x:v>
      </x:c>
      <x:c r="F1121" s="9" t="str">
        <x:v>HC-A-C</x:v>
      </x:c>
      <x:c r="G1121" s="9" t="str">
        <x:v>B2</x:v>
      </x:c>
      <x:c r="H1121" s="9" t="str">
        <x:v>RCN</x:v>
      </x:c>
      <x:c r="I1121" s="9" t="str">
        <x:v>PD11</x:v>
      </x:c>
      <x:c r="J1121" s="17" t="str">
        <x:v>Invalidity petition and opinion</x:v>
      </x:c>
      <x:c r="K1121" s="17" t="str">
        <x:v>Invalidity court</x:v>
      </x:c>
      <x:c r="L1121" s="17" t="str">
        <x:v>COURT-SEALED UNTIL COHORT RELEASE</x:v>
      </x:c>
      <x:c r="M1121" s="9" t="n">
        <x:v>0</x:v>
      </x:c>
      <x:c r="N1121" s="9" t="n">
        <x:v>0</x:v>
      </x:c>
      <x:c r="O1121" s="9" t="n">
        <x:v>0</x:v>
      </x:c>
      <x:c r="P1121" s="9" t="str">
        <x:v>HELD / UNRELEASED</x:v>
      </x:c>
      <x:c r="Q1121" s="9" t="n">
        <x:f>COUNTIFS($A$7:$A$2310,A1121)</x:f>
        <x:v>1</x:v>
      </x:c>
    </x:row>
    <x:row r="1122">
      <x:c r="A1122" s="9" t="str">
        <x:v>PD-AR-HC-A-C-TECH-2-B2-RCN-G0-PD12</x:v>
      </x:c>
      <x:c r="B1122" s="9" t="str">
        <x:v>PD-AR-HC-A-C-TECH-2-B2-RCN-G0</x:v>
      </x:c>
      <x:c r="C1122" s="9" t="str">
        <x:v>EV-AR-HC-A-C-TECH-2-B2-RCN-G0</x:v>
      </x:c>
      <x:c r="D1122" s="9" t="str">
        <x:v>AR-HC-A-C-TECH-2-B2-RCN-G0</x:v>
      </x:c>
      <x:c r="E1122" s="9" t="str">
        <x:v>HC-A-C-TECH-2</x:v>
      </x:c>
      <x:c r="F1122" s="9" t="str">
        <x:v>HC-A-C</x:v>
      </x:c>
      <x:c r="G1122" s="9" t="str">
        <x:v>B2</x:v>
      </x:c>
      <x:c r="H1122" s="9" t="str">
        <x:v>RCN</x:v>
      </x:c>
      <x:c r="I1122" s="9" t="str">
        <x:v>PD12</x:v>
      </x:c>
      <x:c r="J1122" s="17" t="str">
        <x:v>Observation acceptance and replay</x:v>
      </x:c>
      <x:c r="K1122" s="17" t="str">
        <x:v>Observation court</x:v>
      </x:c>
      <x:c r="L1122" s="17" t="str">
        <x:v>COURT-SEALED UNTIL COHORT RELEASE</x:v>
      </x:c>
      <x:c r="M1122" s="9" t="n">
        <x:v>0</x:v>
      </x:c>
      <x:c r="N1122" s="9" t="n">
        <x:v>0</x:v>
      </x:c>
      <x:c r="O1122" s="9" t="n">
        <x:v>0</x:v>
      </x:c>
      <x:c r="P1122" s="9" t="str">
        <x:v>HELD / UNRELEASED</x:v>
      </x:c>
      <x:c r="Q1122" s="9" t="n">
        <x:f>COUNTIFS($A$7:$A$2310,A1122)</x:f>
        <x:v>1</x:v>
      </x:c>
    </x:row>
    <x:row r="1123">
      <x:c r="A1123" s="9" t="str">
        <x:v>PD-AR-HC-A-C-TECH-2-B2-RCN-G0-PD13</x:v>
      </x:c>
      <x:c r="B1123" s="9" t="str">
        <x:v>PD-AR-HC-A-C-TECH-2-B2-RCN-G0</x:v>
      </x:c>
      <x:c r="C1123" s="9" t="str">
        <x:v>EV-AR-HC-A-C-TECH-2-B2-RCN-G0</x:v>
      </x:c>
      <x:c r="D1123" s="9" t="str">
        <x:v>AR-HC-A-C-TECH-2-B2-RCN-G0</x:v>
      </x:c>
      <x:c r="E1123" s="9" t="str">
        <x:v>HC-A-C-TECH-2</x:v>
      </x:c>
      <x:c r="F1123" s="9" t="str">
        <x:v>HC-A-C</x:v>
      </x:c>
      <x:c r="G1123" s="9" t="str">
        <x:v>B2</x:v>
      </x:c>
      <x:c r="H1123" s="9" t="str">
        <x:v>RCN</x:v>
      </x:c>
      <x:c r="I1123" s="9" t="str">
        <x:v>PD13</x:v>
      </x:c>
      <x:c r="J1123" s="17" t="str">
        <x:v>Role judgment</x:v>
      </x:c>
      <x:c r="K1123" s="17" t="str">
        <x:v>Role court</x:v>
      </x:c>
      <x:c r="L1123" s="17" t="str">
        <x:v>COURT-SEALED UNTIL COHORT RELEASE</x:v>
      </x:c>
      <x:c r="M1123" s="9" t="n">
        <x:v>0</x:v>
      </x:c>
      <x:c r="N1123" s="9" t="n">
        <x:v>0</x:v>
      </x:c>
      <x:c r="O1123" s="9" t="n">
        <x:v>0</x:v>
      </x:c>
      <x:c r="P1123" s="9" t="str">
        <x:v>HELD / UNRELEASED</x:v>
      </x:c>
      <x:c r="Q1123" s="9" t="n">
        <x:f>COUNTIFS($A$7:$A$2310,A1123)</x:f>
        <x:v>1</x:v>
      </x:c>
    </x:row>
    <x:row r="1124">
      <x:c r="A1124" s="9" t="str">
        <x:v>PD-AR-HC-A-C-TECH-2-B2-RCN-G0-PD14</x:v>
      </x:c>
      <x:c r="B1124" s="9" t="str">
        <x:v>PD-AR-HC-A-C-TECH-2-B2-RCN-G0</x:v>
      </x:c>
      <x:c r="C1124" s="9" t="str">
        <x:v>EV-AR-HC-A-C-TECH-2-B2-RCN-G0</x:v>
      </x:c>
      <x:c r="D1124" s="9" t="str">
        <x:v>AR-HC-A-C-TECH-2-B2-RCN-G0</x:v>
      </x:c>
      <x:c r="E1124" s="9" t="str">
        <x:v>HC-A-C-TECH-2</x:v>
      </x:c>
      <x:c r="F1124" s="9" t="str">
        <x:v>HC-A-C</x:v>
      </x:c>
      <x:c r="G1124" s="9" t="str">
        <x:v>B2</x:v>
      </x:c>
      <x:c r="H1124" s="9" t="str">
        <x:v>RCN</x:v>
      </x:c>
      <x:c r="I1124" s="9" t="str">
        <x:v>PD14</x:v>
      </x:c>
      <x:c r="J1124" s="17" t="str">
        <x:v>Break and residual account</x:v>
      </x:c>
      <x:c r="K1124" s="17" t="str">
        <x:v>Residual authority</x:v>
      </x:c>
      <x:c r="L1124" s="17" t="str">
        <x:v>COURT-SEALED UNTIL COHORT RELEASE</x:v>
      </x:c>
      <x:c r="M1124" s="9" t="n">
        <x:v>0</x:v>
      </x:c>
      <x:c r="N1124" s="9" t="n">
        <x:v>0</x:v>
      </x:c>
      <x:c r="O1124" s="9" t="n">
        <x:v>0</x:v>
      </x:c>
      <x:c r="P1124" s="9" t="str">
        <x:v>HELD / UNRELEASED</x:v>
      </x:c>
      <x:c r="Q1124" s="9" t="n">
        <x:f>COUNTIFS($A$7:$A$2310,A1124)</x:f>
        <x:v>1</x:v>
      </x:c>
    </x:row>
    <x:row r="1125">
      <x:c r="A1125" s="9" t="str">
        <x:v>PD-AR-HC-A-C-TECH-2-B2-RCN-G0-PD15</x:v>
      </x:c>
      <x:c r="B1125" s="9" t="str">
        <x:v>PD-AR-HC-A-C-TECH-2-B2-RCN-G0</x:v>
      </x:c>
      <x:c r="C1125" s="9" t="str">
        <x:v>EV-AR-HC-A-C-TECH-2-B2-RCN-G0</x:v>
      </x:c>
      <x:c r="D1125" s="9" t="str">
        <x:v>AR-HC-A-C-TECH-2-B2-RCN-G0</x:v>
      </x:c>
      <x:c r="E1125" s="9" t="str">
        <x:v>HC-A-C-TECH-2</x:v>
      </x:c>
      <x:c r="F1125" s="9" t="str">
        <x:v>HC-A-C</x:v>
      </x:c>
      <x:c r="G1125" s="9" t="str">
        <x:v>B2</x:v>
      </x:c>
      <x:c r="H1125" s="9" t="str">
        <x:v>RCN</x:v>
      </x:c>
      <x:c r="I1125" s="9" t="str">
        <x:v>PD15</x:v>
      </x:c>
      <x:c r="J1125" s="17" t="str">
        <x:v>Reconstruction ancestry and replay</x:v>
      </x:c>
      <x:c r="K1125" s="17" t="str">
        <x:v>Reconstruction court</x:v>
      </x:c>
      <x:c r="L1125" s="17" t="str">
        <x:v>COURT-SEALED UNTIL COHORT RELEASE</x:v>
      </x:c>
      <x:c r="M1125" s="9" t="n">
        <x:v>0</x:v>
      </x:c>
      <x:c r="N1125" s="9" t="n">
        <x:v>0</x:v>
      </x:c>
      <x:c r="O1125" s="9" t="n">
        <x:v>0</x:v>
      </x:c>
      <x:c r="P1125" s="9" t="str">
        <x:v>HELD / UNRELEASED</x:v>
      </x:c>
      <x:c r="Q1125" s="9" t="n">
        <x:f>COUNTIFS($A$7:$A$2310,A1125)</x:f>
        <x:v>1</x:v>
      </x:c>
    </x:row>
    <x:row r="1126">
      <x:c r="A1126" s="9" t="str">
        <x:v>PD-AR-HC-A-C-TECH-2-B2-RCN-G0-PD16</x:v>
      </x:c>
      <x:c r="B1126" s="9" t="str">
        <x:v>PD-AR-HC-A-C-TECH-2-B2-RCN-G0</x:v>
      </x:c>
      <x:c r="C1126" s="9" t="str">
        <x:v>EV-AR-HC-A-C-TECH-2-B2-RCN-G0</x:v>
      </x:c>
      <x:c r="D1126" s="9" t="str">
        <x:v>AR-HC-A-C-TECH-2-B2-RCN-G0</x:v>
      </x:c>
      <x:c r="E1126" s="9" t="str">
        <x:v>HC-A-C-TECH-2</x:v>
      </x:c>
      <x:c r="F1126" s="9" t="str">
        <x:v>HC-A-C</x:v>
      </x:c>
      <x:c r="G1126" s="9" t="str">
        <x:v>B2</x:v>
      </x:c>
      <x:c r="H1126" s="9" t="str">
        <x:v>RCN</x:v>
      </x:c>
      <x:c r="I1126" s="9" t="str">
        <x:v>PD16</x:v>
      </x:c>
      <x:c r="J1126" s="17" t="str">
        <x:v>Dissent, amendments and access log</x:v>
      </x:c>
      <x:c r="K1126" s="17" t="str">
        <x:v>Public archive</x:v>
      </x:c>
      <x:c r="L1126" s="17" t="str">
        <x:v>COURT-SEALED UNTIL COHORT RELEASE</x:v>
      </x:c>
      <x:c r="M1126" s="9" t="n">
        <x:v>0</x:v>
      </x:c>
      <x:c r="N1126" s="9" t="n">
        <x:v>0</x:v>
      </x:c>
      <x:c r="O1126" s="9" t="n">
        <x:v>0</x:v>
      </x:c>
      <x:c r="P1126" s="9" t="str">
        <x:v>HELD / UNRELEASED</x:v>
      </x:c>
      <x:c r="Q1126" s="9" t="n">
        <x:f>COUNTIFS($A$7:$A$2310,A1126)</x:f>
        <x:v>1</x:v>
      </x:c>
    </x:row>
    <x:row r="1127">
      <x:c r="A1127" s="9" t="str">
        <x:v>PD-AR-LF-B-A-TECH-1-B2-RCN-G0-PD01</x:v>
      </x:c>
      <x:c r="B1127" s="9" t="str">
        <x:v>PD-AR-LF-B-A-TECH-1-B2-RCN-G0</x:v>
      </x:c>
      <x:c r="C1127" s="9" t="str">
        <x:v>EV-AR-LF-B-A-TECH-1-B2-RCN-G0</x:v>
      </x:c>
      <x:c r="D1127" s="9" t="str">
        <x:v>AR-LF-B-A-TECH-1-B2-RCN-G0</x:v>
      </x:c>
      <x:c r="E1127" s="9" t="str">
        <x:v>LF-B-A-TECH-1</x:v>
      </x:c>
      <x:c r="F1127" s="9" t="str">
        <x:v>LF-B-A</x:v>
      </x:c>
      <x:c r="G1127" s="9" t="str">
        <x:v>B2</x:v>
      </x:c>
      <x:c r="H1127" s="9" t="str">
        <x:v>RCN</x:v>
      </x:c>
      <x:c r="I1127" s="9" t="str">
        <x:v>PD01</x:v>
      </x:c>
      <x:c r="J1127" s="17" t="str">
        <x:v>Experiment kernel</x:v>
      </x:c>
      <x:c r="K1127" s="17" t="str">
        <x:v>Public archive</x:v>
      </x:c>
      <x:c r="L1127" s="17" t="str">
        <x:v>COURT-SEALED UNTIL COHORT RELEASE</x:v>
      </x:c>
      <x:c r="M1127" s="9" t="n">
        <x:v>0</x:v>
      </x:c>
      <x:c r="N1127" s="9" t="n">
        <x:v>0</x:v>
      </x:c>
      <x:c r="O1127" s="9" t="n">
        <x:v>0</x:v>
      </x:c>
      <x:c r="P1127" s="9" t="str">
        <x:v>HELD / UNRELEASED</x:v>
      </x:c>
      <x:c r="Q1127" s="9" t="n">
        <x:f>COUNTIFS($A$7:$A$2310,A1127)</x:f>
        <x:v>1</x:v>
      </x:c>
    </x:row>
    <x:row r="1128">
      <x:c r="A1128" s="9" t="str">
        <x:v>PD-AR-LF-B-A-TECH-1-B2-RCN-G0-PD02</x:v>
      </x:c>
      <x:c r="B1128" s="9" t="str">
        <x:v>PD-AR-LF-B-A-TECH-1-B2-RCN-G0</x:v>
      </x:c>
      <x:c r="C1128" s="9" t="str">
        <x:v>EV-AR-LF-B-A-TECH-1-B2-RCN-G0</x:v>
      </x:c>
      <x:c r="D1128" s="9" t="str">
        <x:v>AR-LF-B-A-TECH-1-B2-RCN-G0</x:v>
      </x:c>
      <x:c r="E1128" s="9" t="str">
        <x:v>LF-B-A-TECH-1</x:v>
      </x:c>
      <x:c r="F1128" s="9" t="str">
        <x:v>LF-B-A</x:v>
      </x:c>
      <x:c r="G1128" s="9" t="str">
        <x:v>B2</x:v>
      </x:c>
      <x:c r="H1128" s="9" t="str">
        <x:v>RCN</x:v>
      </x:c>
      <x:c r="I1128" s="9" t="str">
        <x:v>PD02</x:v>
      </x:c>
      <x:c r="J1128" s="17" t="str">
        <x:v>Serial annex and title chain</x:v>
      </x:c>
      <x:c r="K1128" s="17" t="str">
        <x:v>Public archive</x:v>
      </x:c>
      <x:c r="L1128" s="17" t="str">
        <x:v>COURT-SEALED UNTIL COHORT RELEASE</x:v>
      </x:c>
      <x:c r="M1128" s="9" t="n">
        <x:v>0</x:v>
      </x:c>
      <x:c r="N1128" s="9" t="n">
        <x:v>0</x:v>
      </x:c>
      <x:c r="O1128" s="9" t="n">
        <x:v>0</x:v>
      </x:c>
      <x:c r="P1128" s="9" t="str">
        <x:v>HELD / UNRELEASED</x:v>
      </x:c>
      <x:c r="Q1128" s="9" t="n">
        <x:f>COUNTIFS($A$7:$A$2310,A1128)</x:f>
        <x:v>1</x:v>
      </x:c>
    </x:row>
    <x:row r="1129">
      <x:c r="A1129" s="9" t="str">
        <x:v>PD-AR-LF-B-A-TECH-1-B2-RCN-G0-PD03</x:v>
      </x:c>
      <x:c r="B1129" s="9" t="str">
        <x:v>PD-AR-LF-B-A-TECH-1-B2-RCN-G0</x:v>
      </x:c>
      <x:c r="C1129" s="9" t="str">
        <x:v>EV-AR-LF-B-A-TECH-1-B2-RCN-G0</x:v>
      </x:c>
      <x:c r="D1129" s="9" t="str">
        <x:v>AR-LF-B-A-TECH-1-B2-RCN-G0</x:v>
      </x:c>
      <x:c r="E1129" s="9" t="str">
        <x:v>LF-B-A-TECH-1</x:v>
      </x:c>
      <x:c r="F1129" s="9" t="str">
        <x:v>LF-B-A</x:v>
      </x:c>
      <x:c r="G1129" s="9" t="str">
        <x:v>B2</x:v>
      </x:c>
      <x:c r="H1129" s="9" t="str">
        <x:v>RCN</x:v>
      </x:c>
      <x:c r="I1129" s="9" t="str">
        <x:v>PD03</x:v>
      </x:c>
      <x:c r="J1129" s="17" t="str">
        <x:v>Configuration and as-built manifest</x:v>
      </x:c>
      <x:c r="K1129" s="17" t="str">
        <x:v>Artifact exchange</x:v>
      </x:c>
      <x:c r="L1129" s="17" t="str">
        <x:v>COURT-SEALED UNTIL COHORT RELEASE</x:v>
      </x:c>
      <x:c r="M1129" s="9" t="n">
        <x:v>0</x:v>
      </x:c>
      <x:c r="N1129" s="9" t="n">
        <x:v>0</x:v>
      </x:c>
      <x:c r="O1129" s="9" t="n">
        <x:v>0</x:v>
      </x:c>
      <x:c r="P1129" s="9" t="str">
        <x:v>HELD / UNRELEASED</x:v>
      </x:c>
      <x:c r="Q1129" s="9" t="n">
        <x:f>COUNTIFS($A$7:$A$2310,A1129)</x:f>
        <x:v>1</x:v>
      </x:c>
    </x:row>
    <x:row r="1130">
      <x:c r="A1130" s="9" t="str">
        <x:v>PD-AR-LF-B-A-TECH-1-B2-RCN-G0-PD04</x:v>
      </x:c>
      <x:c r="B1130" s="9" t="str">
        <x:v>PD-AR-LF-B-A-TECH-1-B2-RCN-G0</x:v>
      </x:c>
      <x:c r="C1130" s="9" t="str">
        <x:v>EV-AR-LF-B-A-TECH-1-B2-RCN-G0</x:v>
      </x:c>
      <x:c r="D1130" s="9" t="str">
        <x:v>AR-LF-B-A-TECH-1-B2-RCN-G0</x:v>
      </x:c>
      <x:c r="E1130" s="9" t="str">
        <x:v>LF-B-A-TECH-1</x:v>
      </x:c>
      <x:c r="F1130" s="9" t="str">
        <x:v>LF-B-A</x:v>
      </x:c>
      <x:c r="G1130" s="9" t="str">
        <x:v>B2</x:v>
      </x:c>
      <x:c r="H1130" s="9" t="str">
        <x:v>RCN</x:v>
      </x:c>
      <x:c r="I1130" s="9" t="str">
        <x:v>PD04</x:v>
      </x:c>
      <x:c r="J1130" s="17" t="str">
        <x:v>EOW and start certificate</x:v>
      </x:c>
      <x:c r="K1130" s="17" t="str">
        <x:v>Start registrar</x:v>
      </x:c>
      <x:c r="L1130" s="17" t="str">
        <x:v>COURT-SEALED UNTIL COHORT RELEASE</x:v>
      </x:c>
      <x:c r="M1130" s="9" t="n">
        <x:v>0</x:v>
      </x:c>
      <x:c r="N1130" s="9" t="n">
        <x:v>0</x:v>
      </x:c>
      <x:c r="O1130" s="9" t="n">
        <x:v>0</x:v>
      </x:c>
      <x:c r="P1130" s="9" t="str">
        <x:v>HELD / UNRELEASED</x:v>
      </x:c>
      <x:c r="Q1130" s="9" t="n">
        <x:f>COUNTIFS($A$7:$A$2310,A1130)</x:f>
        <x:v>1</x:v>
      </x:c>
    </x:row>
    <x:row r="1131">
      <x:c r="A1131" s="9" t="str">
        <x:v>PD-AR-LF-B-A-TECH-1-B2-RCN-G0-PD05</x:v>
      </x:c>
      <x:c r="B1131" s="9" t="str">
        <x:v>PD-AR-LF-B-A-TECH-1-B2-RCN-G0</x:v>
      </x:c>
      <x:c r="C1131" s="9" t="str">
        <x:v>EV-AR-LF-B-A-TECH-1-B2-RCN-G0</x:v>
      </x:c>
      <x:c r="D1131" s="9" t="str">
        <x:v>AR-LF-B-A-TECH-1-B2-RCN-G0</x:v>
      </x:c>
      <x:c r="E1131" s="9" t="str">
        <x:v>LF-B-A-TECH-1</x:v>
      </x:c>
      <x:c r="F1131" s="9" t="str">
        <x:v>LF-B-A</x:v>
      </x:c>
      <x:c r="G1131" s="9" t="str">
        <x:v>B2</x:v>
      </x:c>
      <x:c r="H1131" s="9" t="str">
        <x:v>RCN</x:v>
      </x:c>
      <x:c r="I1131" s="9" t="str">
        <x:v>PD05</x:v>
      </x:c>
      <x:c r="J1131" s="17" t="str">
        <x:v>Primary raw originals</x:v>
      </x:c>
      <x:c r="K1131" s="17" t="str">
        <x:v>Primary custody</x:v>
      </x:c>
      <x:c r="L1131" s="17" t="str">
        <x:v>COURT-SEALED UNTIL COHORT RELEASE</x:v>
      </x:c>
      <x:c r="M1131" s="9" t="n">
        <x:v>0</x:v>
      </x:c>
      <x:c r="N1131" s="9" t="n">
        <x:v>0</x:v>
      </x:c>
      <x:c r="O1131" s="9" t="n">
        <x:v>0</x:v>
      </x:c>
      <x:c r="P1131" s="9" t="str">
        <x:v>HELD / UNRELEASED</x:v>
      </x:c>
      <x:c r="Q1131" s="9" t="n">
        <x:f>COUNTIFS($A$7:$A$2310,A1131)</x:f>
        <x:v>1</x:v>
      </x:c>
    </x:row>
    <x:row r="1132">
      <x:c r="A1132" s="9" t="str">
        <x:v>PD-AR-LF-B-A-TECH-1-B2-RCN-G0-PD06</x:v>
      </x:c>
      <x:c r="B1132" s="9" t="str">
        <x:v>PD-AR-LF-B-A-TECH-1-B2-RCN-G0</x:v>
      </x:c>
      <x:c r="C1132" s="9" t="str">
        <x:v>EV-AR-LF-B-A-TECH-1-B2-RCN-G0</x:v>
      </x:c>
      <x:c r="D1132" s="9" t="str">
        <x:v>AR-LF-B-A-TECH-1-B2-RCN-G0</x:v>
      </x:c>
      <x:c r="E1132" s="9" t="str">
        <x:v>LF-B-A-TECH-1</x:v>
      </x:c>
      <x:c r="F1132" s="9" t="str">
        <x:v>LF-B-A</x:v>
      </x:c>
      <x:c r="G1132" s="9" t="str">
        <x:v>B2</x:v>
      </x:c>
      <x:c r="H1132" s="9" t="str">
        <x:v>RCN</x:v>
      </x:c>
      <x:c r="I1132" s="9" t="str">
        <x:v>PD06</x:v>
      </x:c>
      <x:c r="J1132" s="17" t="str">
        <x:v>Witness raw originals</x:v>
      </x:c>
      <x:c r="K1132" s="17" t="str">
        <x:v>Witness custody</x:v>
      </x:c>
      <x:c r="L1132" s="17" t="str">
        <x:v>COURT-SEALED UNTIL COHORT RELEASE</x:v>
      </x:c>
      <x:c r="M1132" s="9" t="n">
        <x:v>0</x:v>
      </x:c>
      <x:c r="N1132" s="9" t="n">
        <x:v>0</x:v>
      </x:c>
      <x:c r="O1132" s="9" t="n">
        <x:v>0</x:v>
      </x:c>
      <x:c r="P1132" s="9" t="str">
        <x:v>HELD / UNRELEASED</x:v>
      </x:c>
      <x:c r="Q1132" s="9" t="n">
        <x:f>COUNTIFS($A$7:$A$2310,A1132)</x:f>
        <x:v>1</x:v>
      </x:c>
    </x:row>
    <x:row r="1133">
      <x:c r="A1133" s="9" t="str">
        <x:v>PD-AR-LF-B-A-TECH-1-B2-RCN-G0-PD07</x:v>
      </x:c>
      <x:c r="B1133" s="9" t="str">
        <x:v>PD-AR-LF-B-A-TECH-1-B2-RCN-G0</x:v>
      </x:c>
      <x:c r="C1133" s="9" t="str">
        <x:v>EV-AR-LF-B-A-TECH-1-B2-RCN-G0</x:v>
      </x:c>
      <x:c r="D1133" s="9" t="str">
        <x:v>AR-LF-B-A-TECH-1-B2-RCN-G0</x:v>
      </x:c>
      <x:c r="E1133" s="9" t="str">
        <x:v>LF-B-A-TECH-1</x:v>
      </x:c>
      <x:c r="F1133" s="9" t="str">
        <x:v>LF-B-A</x:v>
      </x:c>
      <x:c r="G1133" s="9" t="str">
        <x:v>B2</x:v>
      </x:c>
      <x:c r="H1133" s="9" t="str">
        <x:v>RCN</x:v>
      </x:c>
      <x:c r="I1133" s="9" t="str">
        <x:v>PD07</x:v>
      </x:c>
      <x:c r="J1133" s="17" t="str">
        <x:v>Clock and environmental records</x:v>
      </x:c>
      <x:c r="K1133" s="17" t="str">
        <x:v>Boundary archive</x:v>
      </x:c>
      <x:c r="L1133" s="17" t="str">
        <x:v>COURT-SEALED UNTIL COHORT RELEASE</x:v>
      </x:c>
      <x:c r="M1133" s="9" t="n">
        <x:v>0</x:v>
      </x:c>
      <x:c r="N1133" s="9" t="n">
        <x:v>0</x:v>
      </x:c>
      <x:c r="O1133" s="9" t="n">
        <x:v>0</x:v>
      </x:c>
      <x:c r="P1133" s="9" t="str">
        <x:v>HELD / UNRELEASED</x:v>
      </x:c>
      <x:c r="Q1133" s="9" t="n">
        <x:f>COUNTIFS($A$7:$A$2310,A1133)</x:f>
        <x:v>1</x:v>
      </x:c>
    </x:row>
    <x:row r="1134">
      <x:c r="A1134" s="9" t="str">
        <x:v>PD-AR-LF-B-A-TECH-1-B2-RCN-G0-PD08</x:v>
      </x:c>
      <x:c r="B1134" s="9" t="str">
        <x:v>PD-AR-LF-B-A-TECH-1-B2-RCN-G0</x:v>
      </x:c>
      <x:c r="C1134" s="9" t="str">
        <x:v>EV-AR-LF-B-A-TECH-1-B2-RCN-G0</x:v>
      </x:c>
      <x:c r="D1134" s="9" t="str">
        <x:v>AR-LF-B-A-TECH-1-B2-RCN-G0</x:v>
      </x:c>
      <x:c r="E1134" s="9" t="str">
        <x:v>LF-B-A-TECH-1</x:v>
      </x:c>
      <x:c r="F1134" s="9" t="str">
        <x:v>LF-B-A</x:v>
      </x:c>
      <x:c r="G1134" s="9" t="str">
        <x:v>B2</x:v>
      </x:c>
      <x:c r="H1134" s="9" t="str">
        <x:v>RCN</x:v>
      </x:c>
      <x:c r="I1134" s="9" t="str">
        <x:v>PD08</x:v>
      </x:c>
      <x:c r="J1134" s="17" t="str">
        <x:v>Command and intervention log</x:v>
      </x:c>
      <x:c r="K1134" s="17" t="str">
        <x:v>Safety archive</x:v>
      </x:c>
      <x:c r="L1134" s="17" t="str">
        <x:v>COURT-SEALED UNTIL COHORT RELEASE</x:v>
      </x:c>
      <x:c r="M1134" s="9" t="n">
        <x:v>0</x:v>
      </x:c>
      <x:c r="N1134" s="9" t="n">
        <x:v>0</x:v>
      </x:c>
      <x:c r="O1134" s="9" t="n">
        <x:v>0</x:v>
      </x:c>
      <x:c r="P1134" s="9" t="str">
        <x:v>HELD / UNRELEASED</x:v>
      </x:c>
      <x:c r="Q1134" s="9" t="n">
        <x:f>COUNTIFS($A$7:$A$2310,A1134)</x:f>
        <x:v>1</x:v>
      </x:c>
    </x:row>
    <x:row r="1135">
      <x:c r="A1135" s="9" t="str">
        <x:v>PD-AR-LF-B-A-TECH-1-B2-RCN-G0-PD09</x:v>
      </x:c>
      <x:c r="B1135" s="9" t="str">
        <x:v>PD-AR-LF-B-A-TECH-1-B2-RCN-G0</x:v>
      </x:c>
      <x:c r="C1135" s="9" t="str">
        <x:v>EV-AR-LF-B-A-TECH-1-B2-RCN-G0</x:v>
      </x:c>
      <x:c r="D1135" s="9" t="str">
        <x:v>AR-LF-B-A-TECH-1-B2-RCN-G0</x:v>
      </x:c>
      <x:c r="E1135" s="9" t="str">
        <x:v>LF-B-A-TECH-1</x:v>
      </x:c>
      <x:c r="F1135" s="9" t="str">
        <x:v>LF-B-A</x:v>
      </x:c>
      <x:c r="G1135" s="9" t="str">
        <x:v>B2</x:v>
      </x:c>
      <x:c r="H1135" s="9" t="str">
        <x:v>RCN</x:v>
      </x:c>
      <x:c r="I1135" s="9" t="str">
        <x:v>PD09</x:v>
      </x:c>
      <x:c r="J1135" s="17" t="str">
        <x:v>Receiver denominator and service ledger</x:v>
      </x:c>
      <x:c r="K1135" s="17" t="str">
        <x:v>Receiver archive</x:v>
      </x:c>
      <x:c r="L1135" s="17" t="str">
        <x:v>COURT-SEALED UNTIL COHORT RELEASE</x:v>
      </x:c>
      <x:c r="M1135" s="9" t="n">
        <x:v>0</x:v>
      </x:c>
      <x:c r="N1135" s="9" t="n">
        <x:v>0</x:v>
      </x:c>
      <x:c r="O1135" s="9" t="n">
        <x:v>0</x:v>
      </x:c>
      <x:c r="P1135" s="9" t="str">
        <x:v>HELD / UNRELEASED</x:v>
      </x:c>
      <x:c r="Q1135" s="9" t="n">
        <x:f>COUNTIFS($A$7:$A$2310,A1135)</x:f>
        <x:v>1</x:v>
      </x:c>
    </x:row>
    <x:row r="1136">
      <x:c r="A1136" s="9" t="str">
        <x:v>PD-AR-LF-B-A-TECH-1-B2-RCN-G0-PD10</x:v>
      </x:c>
      <x:c r="B1136" s="9" t="str">
        <x:v>PD-AR-LF-B-A-TECH-1-B2-RCN-G0</x:v>
      </x:c>
      <x:c r="C1136" s="9" t="str">
        <x:v>EV-AR-LF-B-A-TECH-1-B2-RCN-G0</x:v>
      </x:c>
      <x:c r="D1136" s="9" t="str">
        <x:v>AR-LF-B-A-TECH-1-B2-RCN-G0</x:v>
      </x:c>
      <x:c r="E1136" s="9" t="str">
        <x:v>LF-B-A-TECH-1</x:v>
      </x:c>
      <x:c r="F1136" s="9" t="str">
        <x:v>LF-B-A</x:v>
      </x:c>
      <x:c r="G1136" s="9" t="str">
        <x:v>B2</x:v>
      </x:c>
      <x:c r="H1136" s="9" t="str">
        <x:v>RCN</x:v>
      </x:c>
      <x:c r="I1136" s="9" t="str">
        <x:v>PD10</x:v>
      </x:c>
      <x:c r="J1136" s="17" t="str">
        <x:v>Calibration and uncertainty record</x:v>
      </x:c>
      <x:c r="K1136" s="17" t="str">
        <x:v>Metrology archive</x:v>
      </x:c>
      <x:c r="L1136" s="17" t="str">
        <x:v>COURT-SEALED UNTIL COHORT RELEASE</x:v>
      </x:c>
      <x:c r="M1136" s="9" t="n">
        <x:v>0</x:v>
      </x:c>
      <x:c r="N1136" s="9" t="n">
        <x:v>0</x:v>
      </x:c>
      <x:c r="O1136" s="9" t="n">
        <x:v>0</x:v>
      </x:c>
      <x:c r="P1136" s="9" t="str">
        <x:v>HELD / UNRELEASED</x:v>
      </x:c>
      <x:c r="Q1136" s="9" t="n">
        <x:f>COUNTIFS($A$7:$A$2310,A1136)</x:f>
        <x:v>1</x:v>
      </x:c>
    </x:row>
    <x:row r="1137">
      <x:c r="A1137" s="9" t="str">
        <x:v>PD-AR-LF-B-A-TECH-1-B2-RCN-G0-PD11</x:v>
      </x:c>
      <x:c r="B1137" s="9" t="str">
        <x:v>PD-AR-LF-B-A-TECH-1-B2-RCN-G0</x:v>
      </x:c>
      <x:c r="C1137" s="9" t="str">
        <x:v>EV-AR-LF-B-A-TECH-1-B2-RCN-G0</x:v>
      </x:c>
      <x:c r="D1137" s="9" t="str">
        <x:v>AR-LF-B-A-TECH-1-B2-RCN-G0</x:v>
      </x:c>
      <x:c r="E1137" s="9" t="str">
        <x:v>LF-B-A-TECH-1</x:v>
      </x:c>
      <x:c r="F1137" s="9" t="str">
        <x:v>LF-B-A</x:v>
      </x:c>
      <x:c r="G1137" s="9" t="str">
        <x:v>B2</x:v>
      </x:c>
      <x:c r="H1137" s="9" t="str">
        <x:v>RCN</x:v>
      </x:c>
      <x:c r="I1137" s="9" t="str">
        <x:v>PD11</x:v>
      </x:c>
      <x:c r="J1137" s="17" t="str">
        <x:v>Invalidity petition and opinion</x:v>
      </x:c>
      <x:c r="K1137" s="17" t="str">
        <x:v>Invalidity court</x:v>
      </x:c>
      <x:c r="L1137" s="17" t="str">
        <x:v>COURT-SEALED UNTIL COHORT RELEASE</x:v>
      </x:c>
      <x:c r="M1137" s="9" t="n">
        <x:v>0</x:v>
      </x:c>
      <x:c r="N1137" s="9" t="n">
        <x:v>0</x:v>
      </x:c>
      <x:c r="O1137" s="9" t="n">
        <x:v>0</x:v>
      </x:c>
      <x:c r="P1137" s="9" t="str">
        <x:v>HELD / UNRELEASED</x:v>
      </x:c>
      <x:c r="Q1137" s="9" t="n">
        <x:f>COUNTIFS($A$7:$A$2310,A1137)</x:f>
        <x:v>1</x:v>
      </x:c>
    </x:row>
    <x:row r="1138">
      <x:c r="A1138" s="9" t="str">
        <x:v>PD-AR-LF-B-A-TECH-1-B2-RCN-G0-PD12</x:v>
      </x:c>
      <x:c r="B1138" s="9" t="str">
        <x:v>PD-AR-LF-B-A-TECH-1-B2-RCN-G0</x:v>
      </x:c>
      <x:c r="C1138" s="9" t="str">
        <x:v>EV-AR-LF-B-A-TECH-1-B2-RCN-G0</x:v>
      </x:c>
      <x:c r="D1138" s="9" t="str">
        <x:v>AR-LF-B-A-TECH-1-B2-RCN-G0</x:v>
      </x:c>
      <x:c r="E1138" s="9" t="str">
        <x:v>LF-B-A-TECH-1</x:v>
      </x:c>
      <x:c r="F1138" s="9" t="str">
        <x:v>LF-B-A</x:v>
      </x:c>
      <x:c r="G1138" s="9" t="str">
        <x:v>B2</x:v>
      </x:c>
      <x:c r="H1138" s="9" t="str">
        <x:v>RCN</x:v>
      </x:c>
      <x:c r="I1138" s="9" t="str">
        <x:v>PD12</x:v>
      </x:c>
      <x:c r="J1138" s="17" t="str">
        <x:v>Observation acceptance and replay</x:v>
      </x:c>
      <x:c r="K1138" s="17" t="str">
        <x:v>Observation court</x:v>
      </x:c>
      <x:c r="L1138" s="17" t="str">
        <x:v>COURT-SEALED UNTIL COHORT RELEASE</x:v>
      </x:c>
      <x:c r="M1138" s="9" t="n">
        <x:v>0</x:v>
      </x:c>
      <x:c r="N1138" s="9" t="n">
        <x:v>0</x:v>
      </x:c>
      <x:c r="O1138" s="9" t="n">
        <x:v>0</x:v>
      </x:c>
      <x:c r="P1138" s="9" t="str">
        <x:v>HELD / UNRELEASED</x:v>
      </x:c>
      <x:c r="Q1138" s="9" t="n">
        <x:f>COUNTIFS($A$7:$A$2310,A1138)</x:f>
        <x:v>1</x:v>
      </x:c>
    </x:row>
    <x:row r="1139">
      <x:c r="A1139" s="9" t="str">
        <x:v>PD-AR-LF-B-A-TECH-1-B2-RCN-G0-PD13</x:v>
      </x:c>
      <x:c r="B1139" s="9" t="str">
        <x:v>PD-AR-LF-B-A-TECH-1-B2-RCN-G0</x:v>
      </x:c>
      <x:c r="C1139" s="9" t="str">
        <x:v>EV-AR-LF-B-A-TECH-1-B2-RCN-G0</x:v>
      </x:c>
      <x:c r="D1139" s="9" t="str">
        <x:v>AR-LF-B-A-TECH-1-B2-RCN-G0</x:v>
      </x:c>
      <x:c r="E1139" s="9" t="str">
        <x:v>LF-B-A-TECH-1</x:v>
      </x:c>
      <x:c r="F1139" s="9" t="str">
        <x:v>LF-B-A</x:v>
      </x:c>
      <x:c r="G1139" s="9" t="str">
        <x:v>B2</x:v>
      </x:c>
      <x:c r="H1139" s="9" t="str">
        <x:v>RCN</x:v>
      </x:c>
      <x:c r="I1139" s="9" t="str">
        <x:v>PD13</x:v>
      </x:c>
      <x:c r="J1139" s="17" t="str">
        <x:v>Role judgment</x:v>
      </x:c>
      <x:c r="K1139" s="17" t="str">
        <x:v>Role court</x:v>
      </x:c>
      <x:c r="L1139" s="17" t="str">
        <x:v>COURT-SEALED UNTIL COHORT RELEASE</x:v>
      </x:c>
      <x:c r="M1139" s="9" t="n">
        <x:v>0</x:v>
      </x:c>
      <x:c r="N1139" s="9" t="n">
        <x:v>0</x:v>
      </x:c>
      <x:c r="O1139" s="9" t="n">
        <x:v>0</x:v>
      </x:c>
      <x:c r="P1139" s="9" t="str">
        <x:v>HELD / UNRELEASED</x:v>
      </x:c>
      <x:c r="Q1139" s="9" t="n">
        <x:f>COUNTIFS($A$7:$A$2310,A1139)</x:f>
        <x:v>1</x:v>
      </x:c>
    </x:row>
    <x:row r="1140">
      <x:c r="A1140" s="9" t="str">
        <x:v>PD-AR-LF-B-A-TECH-1-B2-RCN-G0-PD14</x:v>
      </x:c>
      <x:c r="B1140" s="9" t="str">
        <x:v>PD-AR-LF-B-A-TECH-1-B2-RCN-G0</x:v>
      </x:c>
      <x:c r="C1140" s="9" t="str">
        <x:v>EV-AR-LF-B-A-TECH-1-B2-RCN-G0</x:v>
      </x:c>
      <x:c r="D1140" s="9" t="str">
        <x:v>AR-LF-B-A-TECH-1-B2-RCN-G0</x:v>
      </x:c>
      <x:c r="E1140" s="9" t="str">
        <x:v>LF-B-A-TECH-1</x:v>
      </x:c>
      <x:c r="F1140" s="9" t="str">
        <x:v>LF-B-A</x:v>
      </x:c>
      <x:c r="G1140" s="9" t="str">
        <x:v>B2</x:v>
      </x:c>
      <x:c r="H1140" s="9" t="str">
        <x:v>RCN</x:v>
      </x:c>
      <x:c r="I1140" s="9" t="str">
        <x:v>PD14</x:v>
      </x:c>
      <x:c r="J1140" s="17" t="str">
        <x:v>Break and residual account</x:v>
      </x:c>
      <x:c r="K1140" s="17" t="str">
        <x:v>Residual authority</x:v>
      </x:c>
      <x:c r="L1140" s="17" t="str">
        <x:v>COURT-SEALED UNTIL COHORT RELEASE</x:v>
      </x:c>
      <x:c r="M1140" s="9" t="n">
        <x:v>0</x:v>
      </x:c>
      <x:c r="N1140" s="9" t="n">
        <x:v>0</x:v>
      </x:c>
      <x:c r="O1140" s="9" t="n">
        <x:v>0</x:v>
      </x:c>
      <x:c r="P1140" s="9" t="str">
        <x:v>HELD / UNRELEASED</x:v>
      </x:c>
      <x:c r="Q1140" s="9" t="n">
        <x:f>COUNTIFS($A$7:$A$2310,A1140)</x:f>
        <x:v>1</x:v>
      </x:c>
    </x:row>
    <x:row r="1141">
      <x:c r="A1141" s="9" t="str">
        <x:v>PD-AR-LF-B-A-TECH-1-B2-RCN-G0-PD15</x:v>
      </x:c>
      <x:c r="B1141" s="9" t="str">
        <x:v>PD-AR-LF-B-A-TECH-1-B2-RCN-G0</x:v>
      </x:c>
      <x:c r="C1141" s="9" t="str">
        <x:v>EV-AR-LF-B-A-TECH-1-B2-RCN-G0</x:v>
      </x:c>
      <x:c r="D1141" s="9" t="str">
        <x:v>AR-LF-B-A-TECH-1-B2-RCN-G0</x:v>
      </x:c>
      <x:c r="E1141" s="9" t="str">
        <x:v>LF-B-A-TECH-1</x:v>
      </x:c>
      <x:c r="F1141" s="9" t="str">
        <x:v>LF-B-A</x:v>
      </x:c>
      <x:c r="G1141" s="9" t="str">
        <x:v>B2</x:v>
      </x:c>
      <x:c r="H1141" s="9" t="str">
        <x:v>RCN</x:v>
      </x:c>
      <x:c r="I1141" s="9" t="str">
        <x:v>PD15</x:v>
      </x:c>
      <x:c r="J1141" s="17" t="str">
        <x:v>Reconstruction ancestry and replay</x:v>
      </x:c>
      <x:c r="K1141" s="17" t="str">
        <x:v>Reconstruction court</x:v>
      </x:c>
      <x:c r="L1141" s="17" t="str">
        <x:v>COURT-SEALED UNTIL COHORT RELEASE</x:v>
      </x:c>
      <x:c r="M1141" s="9" t="n">
        <x:v>0</x:v>
      </x:c>
      <x:c r="N1141" s="9" t="n">
        <x:v>0</x:v>
      </x:c>
      <x:c r="O1141" s="9" t="n">
        <x:v>0</x:v>
      </x:c>
      <x:c r="P1141" s="9" t="str">
        <x:v>HELD / UNRELEASED</x:v>
      </x:c>
      <x:c r="Q1141" s="9" t="n">
        <x:f>COUNTIFS($A$7:$A$2310,A1141)</x:f>
        <x:v>1</x:v>
      </x:c>
    </x:row>
    <x:row r="1142">
      <x:c r="A1142" s="9" t="str">
        <x:v>PD-AR-LF-B-A-TECH-1-B2-RCN-G0-PD16</x:v>
      </x:c>
      <x:c r="B1142" s="9" t="str">
        <x:v>PD-AR-LF-B-A-TECH-1-B2-RCN-G0</x:v>
      </x:c>
      <x:c r="C1142" s="9" t="str">
        <x:v>EV-AR-LF-B-A-TECH-1-B2-RCN-G0</x:v>
      </x:c>
      <x:c r="D1142" s="9" t="str">
        <x:v>AR-LF-B-A-TECH-1-B2-RCN-G0</x:v>
      </x:c>
      <x:c r="E1142" s="9" t="str">
        <x:v>LF-B-A-TECH-1</x:v>
      </x:c>
      <x:c r="F1142" s="9" t="str">
        <x:v>LF-B-A</x:v>
      </x:c>
      <x:c r="G1142" s="9" t="str">
        <x:v>B2</x:v>
      </x:c>
      <x:c r="H1142" s="9" t="str">
        <x:v>RCN</x:v>
      </x:c>
      <x:c r="I1142" s="9" t="str">
        <x:v>PD16</x:v>
      </x:c>
      <x:c r="J1142" s="17" t="str">
        <x:v>Dissent, amendments and access log</x:v>
      </x:c>
      <x:c r="K1142" s="17" t="str">
        <x:v>Public archive</x:v>
      </x:c>
      <x:c r="L1142" s="17" t="str">
        <x:v>COURT-SEALED UNTIL COHORT RELEASE</x:v>
      </x:c>
      <x:c r="M1142" s="9" t="n">
        <x:v>0</x:v>
      </x:c>
      <x:c r="N1142" s="9" t="n">
        <x:v>0</x:v>
      </x:c>
      <x:c r="O1142" s="9" t="n">
        <x:v>0</x:v>
      </x:c>
      <x:c r="P1142" s="9" t="str">
        <x:v>HELD / UNRELEASED</x:v>
      </x:c>
      <x:c r="Q1142" s="9" t="n">
        <x:f>COUNTIFS($A$7:$A$2310,A1142)</x:f>
        <x:v>1</x:v>
      </x:c>
    </x:row>
    <x:row r="1143">
      <x:c r="A1143" s="9" t="str">
        <x:v>PD-AR-RT-B-C-TECH-1-B2-BRK-G0-PD01</x:v>
      </x:c>
      <x:c r="B1143" s="9" t="str">
        <x:v>PD-AR-RT-B-C-TECH-1-B2-BRK-G0</x:v>
      </x:c>
      <x:c r="C1143" s="9" t="str">
        <x:v>EV-AR-RT-B-C-TECH-1-B2-BRK-G0</x:v>
      </x:c>
      <x:c r="D1143" s="9" t="str">
        <x:v>AR-RT-B-C-TECH-1-B2-BRK-G0</x:v>
      </x:c>
      <x:c r="E1143" s="9" t="str">
        <x:v>RT-B-C-TECH-1</x:v>
      </x:c>
      <x:c r="F1143" s="9" t="str">
        <x:v>RT-B-C</x:v>
      </x:c>
      <x:c r="G1143" s="9" t="str">
        <x:v>B2</x:v>
      </x:c>
      <x:c r="H1143" s="9" t="str">
        <x:v>BRK</x:v>
      </x:c>
      <x:c r="I1143" s="9" t="str">
        <x:v>PD01</x:v>
      </x:c>
      <x:c r="J1143" s="17" t="str">
        <x:v>Experiment kernel</x:v>
      </x:c>
      <x:c r="K1143" s="17" t="str">
        <x:v>Public archive</x:v>
      </x:c>
      <x:c r="L1143" s="17" t="str">
        <x:v>COURT-SEALED UNTIL COHORT RELEASE</x:v>
      </x:c>
      <x:c r="M1143" s="9" t="n">
        <x:v>0</x:v>
      </x:c>
      <x:c r="N1143" s="9" t="n">
        <x:v>0</x:v>
      </x:c>
      <x:c r="O1143" s="9" t="n">
        <x:v>0</x:v>
      </x:c>
      <x:c r="P1143" s="9" t="str">
        <x:v>HELD / UNRELEASED</x:v>
      </x:c>
      <x:c r="Q1143" s="9" t="n">
        <x:f>COUNTIFS($A$7:$A$2310,A1143)</x:f>
        <x:v>1</x:v>
      </x:c>
    </x:row>
    <x:row r="1144">
      <x:c r="A1144" s="9" t="str">
        <x:v>PD-AR-RT-B-C-TECH-1-B2-BRK-G0-PD02</x:v>
      </x:c>
      <x:c r="B1144" s="9" t="str">
        <x:v>PD-AR-RT-B-C-TECH-1-B2-BRK-G0</x:v>
      </x:c>
      <x:c r="C1144" s="9" t="str">
        <x:v>EV-AR-RT-B-C-TECH-1-B2-BRK-G0</x:v>
      </x:c>
      <x:c r="D1144" s="9" t="str">
        <x:v>AR-RT-B-C-TECH-1-B2-BRK-G0</x:v>
      </x:c>
      <x:c r="E1144" s="9" t="str">
        <x:v>RT-B-C-TECH-1</x:v>
      </x:c>
      <x:c r="F1144" s="9" t="str">
        <x:v>RT-B-C</x:v>
      </x:c>
      <x:c r="G1144" s="9" t="str">
        <x:v>B2</x:v>
      </x:c>
      <x:c r="H1144" s="9" t="str">
        <x:v>BRK</x:v>
      </x:c>
      <x:c r="I1144" s="9" t="str">
        <x:v>PD02</x:v>
      </x:c>
      <x:c r="J1144" s="17" t="str">
        <x:v>Serial annex and title chain</x:v>
      </x:c>
      <x:c r="K1144" s="17" t="str">
        <x:v>Public archive</x:v>
      </x:c>
      <x:c r="L1144" s="17" t="str">
        <x:v>COURT-SEALED UNTIL COHORT RELEASE</x:v>
      </x:c>
      <x:c r="M1144" s="9" t="n">
        <x:v>0</x:v>
      </x:c>
      <x:c r="N1144" s="9" t="n">
        <x:v>0</x:v>
      </x:c>
      <x:c r="O1144" s="9" t="n">
        <x:v>0</x:v>
      </x:c>
      <x:c r="P1144" s="9" t="str">
        <x:v>HELD / UNRELEASED</x:v>
      </x:c>
      <x:c r="Q1144" s="9" t="n">
        <x:f>COUNTIFS($A$7:$A$2310,A1144)</x:f>
        <x:v>1</x:v>
      </x:c>
    </x:row>
    <x:row r="1145">
      <x:c r="A1145" s="9" t="str">
        <x:v>PD-AR-RT-B-C-TECH-1-B2-BRK-G0-PD03</x:v>
      </x:c>
      <x:c r="B1145" s="9" t="str">
        <x:v>PD-AR-RT-B-C-TECH-1-B2-BRK-G0</x:v>
      </x:c>
      <x:c r="C1145" s="9" t="str">
        <x:v>EV-AR-RT-B-C-TECH-1-B2-BRK-G0</x:v>
      </x:c>
      <x:c r="D1145" s="9" t="str">
        <x:v>AR-RT-B-C-TECH-1-B2-BRK-G0</x:v>
      </x:c>
      <x:c r="E1145" s="9" t="str">
        <x:v>RT-B-C-TECH-1</x:v>
      </x:c>
      <x:c r="F1145" s="9" t="str">
        <x:v>RT-B-C</x:v>
      </x:c>
      <x:c r="G1145" s="9" t="str">
        <x:v>B2</x:v>
      </x:c>
      <x:c r="H1145" s="9" t="str">
        <x:v>BRK</x:v>
      </x:c>
      <x:c r="I1145" s="9" t="str">
        <x:v>PD03</x:v>
      </x:c>
      <x:c r="J1145" s="17" t="str">
        <x:v>Configuration and as-built manifest</x:v>
      </x:c>
      <x:c r="K1145" s="17" t="str">
        <x:v>Artifact exchange</x:v>
      </x:c>
      <x:c r="L1145" s="17" t="str">
        <x:v>COURT-SEALED UNTIL COHORT RELEASE</x:v>
      </x:c>
      <x:c r="M1145" s="9" t="n">
        <x:v>0</x:v>
      </x:c>
      <x:c r="N1145" s="9" t="n">
        <x:v>0</x:v>
      </x:c>
      <x:c r="O1145" s="9" t="n">
        <x:v>0</x:v>
      </x:c>
      <x:c r="P1145" s="9" t="str">
        <x:v>HELD / UNRELEASED</x:v>
      </x:c>
      <x:c r="Q1145" s="9" t="n">
        <x:f>COUNTIFS($A$7:$A$2310,A1145)</x:f>
        <x:v>1</x:v>
      </x:c>
    </x:row>
    <x:row r="1146">
      <x:c r="A1146" s="9" t="str">
        <x:v>PD-AR-RT-B-C-TECH-1-B2-BRK-G0-PD04</x:v>
      </x:c>
      <x:c r="B1146" s="9" t="str">
        <x:v>PD-AR-RT-B-C-TECH-1-B2-BRK-G0</x:v>
      </x:c>
      <x:c r="C1146" s="9" t="str">
        <x:v>EV-AR-RT-B-C-TECH-1-B2-BRK-G0</x:v>
      </x:c>
      <x:c r="D1146" s="9" t="str">
        <x:v>AR-RT-B-C-TECH-1-B2-BRK-G0</x:v>
      </x:c>
      <x:c r="E1146" s="9" t="str">
        <x:v>RT-B-C-TECH-1</x:v>
      </x:c>
      <x:c r="F1146" s="9" t="str">
        <x:v>RT-B-C</x:v>
      </x:c>
      <x:c r="G1146" s="9" t="str">
        <x:v>B2</x:v>
      </x:c>
      <x:c r="H1146" s="9" t="str">
        <x:v>BRK</x:v>
      </x:c>
      <x:c r="I1146" s="9" t="str">
        <x:v>PD04</x:v>
      </x:c>
      <x:c r="J1146" s="17" t="str">
        <x:v>EOW and start certificate</x:v>
      </x:c>
      <x:c r="K1146" s="17" t="str">
        <x:v>Start registrar</x:v>
      </x:c>
      <x:c r="L1146" s="17" t="str">
        <x:v>COURT-SEALED UNTIL COHORT RELEASE</x:v>
      </x:c>
      <x:c r="M1146" s="9" t="n">
        <x:v>0</x:v>
      </x:c>
      <x:c r="N1146" s="9" t="n">
        <x:v>0</x:v>
      </x:c>
      <x:c r="O1146" s="9" t="n">
        <x:v>0</x:v>
      </x:c>
      <x:c r="P1146" s="9" t="str">
        <x:v>HELD / UNRELEASED</x:v>
      </x:c>
      <x:c r="Q1146" s="9" t="n">
        <x:f>COUNTIFS($A$7:$A$2310,A1146)</x:f>
        <x:v>1</x:v>
      </x:c>
    </x:row>
    <x:row r="1147">
      <x:c r="A1147" s="9" t="str">
        <x:v>PD-AR-RT-B-C-TECH-1-B2-BRK-G0-PD05</x:v>
      </x:c>
      <x:c r="B1147" s="9" t="str">
        <x:v>PD-AR-RT-B-C-TECH-1-B2-BRK-G0</x:v>
      </x:c>
      <x:c r="C1147" s="9" t="str">
        <x:v>EV-AR-RT-B-C-TECH-1-B2-BRK-G0</x:v>
      </x:c>
      <x:c r="D1147" s="9" t="str">
        <x:v>AR-RT-B-C-TECH-1-B2-BRK-G0</x:v>
      </x:c>
      <x:c r="E1147" s="9" t="str">
        <x:v>RT-B-C-TECH-1</x:v>
      </x:c>
      <x:c r="F1147" s="9" t="str">
        <x:v>RT-B-C</x:v>
      </x:c>
      <x:c r="G1147" s="9" t="str">
        <x:v>B2</x:v>
      </x:c>
      <x:c r="H1147" s="9" t="str">
        <x:v>BRK</x:v>
      </x:c>
      <x:c r="I1147" s="9" t="str">
        <x:v>PD05</x:v>
      </x:c>
      <x:c r="J1147" s="17" t="str">
        <x:v>Primary raw originals</x:v>
      </x:c>
      <x:c r="K1147" s="17" t="str">
        <x:v>Primary custody</x:v>
      </x:c>
      <x:c r="L1147" s="17" t="str">
        <x:v>COURT-SEALED UNTIL COHORT RELEASE</x:v>
      </x:c>
      <x:c r="M1147" s="9" t="n">
        <x:v>0</x:v>
      </x:c>
      <x:c r="N1147" s="9" t="n">
        <x:v>0</x:v>
      </x:c>
      <x:c r="O1147" s="9" t="n">
        <x:v>0</x:v>
      </x:c>
      <x:c r="P1147" s="9" t="str">
        <x:v>HELD / UNRELEASED</x:v>
      </x:c>
      <x:c r="Q1147" s="9" t="n">
        <x:f>COUNTIFS($A$7:$A$2310,A1147)</x:f>
        <x:v>1</x:v>
      </x:c>
    </x:row>
    <x:row r="1148">
      <x:c r="A1148" s="9" t="str">
        <x:v>PD-AR-RT-B-C-TECH-1-B2-BRK-G0-PD06</x:v>
      </x:c>
      <x:c r="B1148" s="9" t="str">
        <x:v>PD-AR-RT-B-C-TECH-1-B2-BRK-G0</x:v>
      </x:c>
      <x:c r="C1148" s="9" t="str">
        <x:v>EV-AR-RT-B-C-TECH-1-B2-BRK-G0</x:v>
      </x:c>
      <x:c r="D1148" s="9" t="str">
        <x:v>AR-RT-B-C-TECH-1-B2-BRK-G0</x:v>
      </x:c>
      <x:c r="E1148" s="9" t="str">
        <x:v>RT-B-C-TECH-1</x:v>
      </x:c>
      <x:c r="F1148" s="9" t="str">
        <x:v>RT-B-C</x:v>
      </x:c>
      <x:c r="G1148" s="9" t="str">
        <x:v>B2</x:v>
      </x:c>
      <x:c r="H1148" s="9" t="str">
        <x:v>BRK</x:v>
      </x:c>
      <x:c r="I1148" s="9" t="str">
        <x:v>PD06</x:v>
      </x:c>
      <x:c r="J1148" s="17" t="str">
        <x:v>Witness raw originals</x:v>
      </x:c>
      <x:c r="K1148" s="17" t="str">
        <x:v>Witness custody</x:v>
      </x:c>
      <x:c r="L1148" s="17" t="str">
        <x:v>COURT-SEALED UNTIL COHORT RELEASE</x:v>
      </x:c>
      <x:c r="M1148" s="9" t="n">
        <x:v>0</x:v>
      </x:c>
      <x:c r="N1148" s="9" t="n">
        <x:v>0</x:v>
      </x:c>
      <x:c r="O1148" s="9" t="n">
        <x:v>0</x:v>
      </x:c>
      <x:c r="P1148" s="9" t="str">
        <x:v>HELD / UNRELEASED</x:v>
      </x:c>
      <x:c r="Q1148" s="9" t="n">
        <x:f>COUNTIFS($A$7:$A$2310,A1148)</x:f>
        <x:v>1</x:v>
      </x:c>
    </x:row>
    <x:row r="1149">
      <x:c r="A1149" s="9" t="str">
        <x:v>PD-AR-RT-B-C-TECH-1-B2-BRK-G0-PD07</x:v>
      </x:c>
      <x:c r="B1149" s="9" t="str">
        <x:v>PD-AR-RT-B-C-TECH-1-B2-BRK-G0</x:v>
      </x:c>
      <x:c r="C1149" s="9" t="str">
        <x:v>EV-AR-RT-B-C-TECH-1-B2-BRK-G0</x:v>
      </x:c>
      <x:c r="D1149" s="9" t="str">
        <x:v>AR-RT-B-C-TECH-1-B2-BRK-G0</x:v>
      </x:c>
      <x:c r="E1149" s="9" t="str">
        <x:v>RT-B-C-TECH-1</x:v>
      </x:c>
      <x:c r="F1149" s="9" t="str">
        <x:v>RT-B-C</x:v>
      </x:c>
      <x:c r="G1149" s="9" t="str">
        <x:v>B2</x:v>
      </x:c>
      <x:c r="H1149" s="9" t="str">
        <x:v>BRK</x:v>
      </x:c>
      <x:c r="I1149" s="9" t="str">
        <x:v>PD07</x:v>
      </x:c>
      <x:c r="J1149" s="17" t="str">
        <x:v>Clock and environmental records</x:v>
      </x:c>
      <x:c r="K1149" s="17" t="str">
        <x:v>Boundary archive</x:v>
      </x:c>
      <x:c r="L1149" s="17" t="str">
        <x:v>COURT-SEALED UNTIL COHORT RELEASE</x:v>
      </x:c>
      <x:c r="M1149" s="9" t="n">
        <x:v>0</x:v>
      </x:c>
      <x:c r="N1149" s="9" t="n">
        <x:v>0</x:v>
      </x:c>
      <x:c r="O1149" s="9" t="n">
        <x:v>0</x:v>
      </x:c>
      <x:c r="P1149" s="9" t="str">
        <x:v>HELD / UNRELEASED</x:v>
      </x:c>
      <x:c r="Q1149" s="9" t="n">
        <x:f>COUNTIFS($A$7:$A$2310,A1149)</x:f>
        <x:v>1</x:v>
      </x:c>
    </x:row>
    <x:row r="1150">
      <x:c r="A1150" s="9" t="str">
        <x:v>PD-AR-RT-B-C-TECH-1-B2-BRK-G0-PD08</x:v>
      </x:c>
      <x:c r="B1150" s="9" t="str">
        <x:v>PD-AR-RT-B-C-TECH-1-B2-BRK-G0</x:v>
      </x:c>
      <x:c r="C1150" s="9" t="str">
        <x:v>EV-AR-RT-B-C-TECH-1-B2-BRK-G0</x:v>
      </x:c>
      <x:c r="D1150" s="9" t="str">
        <x:v>AR-RT-B-C-TECH-1-B2-BRK-G0</x:v>
      </x:c>
      <x:c r="E1150" s="9" t="str">
        <x:v>RT-B-C-TECH-1</x:v>
      </x:c>
      <x:c r="F1150" s="9" t="str">
        <x:v>RT-B-C</x:v>
      </x:c>
      <x:c r="G1150" s="9" t="str">
        <x:v>B2</x:v>
      </x:c>
      <x:c r="H1150" s="9" t="str">
        <x:v>BRK</x:v>
      </x:c>
      <x:c r="I1150" s="9" t="str">
        <x:v>PD08</x:v>
      </x:c>
      <x:c r="J1150" s="17" t="str">
        <x:v>Command and intervention log</x:v>
      </x:c>
      <x:c r="K1150" s="17" t="str">
        <x:v>Safety archive</x:v>
      </x:c>
      <x:c r="L1150" s="17" t="str">
        <x:v>COURT-SEALED UNTIL COHORT RELEASE</x:v>
      </x:c>
      <x:c r="M1150" s="9" t="n">
        <x:v>0</x:v>
      </x:c>
      <x:c r="N1150" s="9" t="n">
        <x:v>0</x:v>
      </x:c>
      <x:c r="O1150" s="9" t="n">
        <x:v>0</x:v>
      </x:c>
      <x:c r="P1150" s="9" t="str">
        <x:v>HELD / UNRELEASED</x:v>
      </x:c>
      <x:c r="Q1150" s="9" t="n">
        <x:f>COUNTIFS($A$7:$A$2310,A1150)</x:f>
        <x:v>1</x:v>
      </x:c>
    </x:row>
    <x:row r="1151">
      <x:c r="A1151" s="9" t="str">
        <x:v>PD-AR-RT-B-C-TECH-1-B2-BRK-G0-PD09</x:v>
      </x:c>
      <x:c r="B1151" s="9" t="str">
        <x:v>PD-AR-RT-B-C-TECH-1-B2-BRK-G0</x:v>
      </x:c>
      <x:c r="C1151" s="9" t="str">
        <x:v>EV-AR-RT-B-C-TECH-1-B2-BRK-G0</x:v>
      </x:c>
      <x:c r="D1151" s="9" t="str">
        <x:v>AR-RT-B-C-TECH-1-B2-BRK-G0</x:v>
      </x:c>
      <x:c r="E1151" s="9" t="str">
        <x:v>RT-B-C-TECH-1</x:v>
      </x:c>
      <x:c r="F1151" s="9" t="str">
        <x:v>RT-B-C</x:v>
      </x:c>
      <x:c r="G1151" s="9" t="str">
        <x:v>B2</x:v>
      </x:c>
      <x:c r="H1151" s="9" t="str">
        <x:v>BRK</x:v>
      </x:c>
      <x:c r="I1151" s="9" t="str">
        <x:v>PD09</x:v>
      </x:c>
      <x:c r="J1151" s="17" t="str">
        <x:v>Receiver denominator and service ledger</x:v>
      </x:c>
      <x:c r="K1151" s="17" t="str">
        <x:v>Receiver archive</x:v>
      </x:c>
      <x:c r="L1151" s="17" t="str">
        <x:v>COURT-SEALED UNTIL COHORT RELEASE</x:v>
      </x:c>
      <x:c r="M1151" s="9" t="n">
        <x:v>0</x:v>
      </x:c>
      <x:c r="N1151" s="9" t="n">
        <x:v>0</x:v>
      </x:c>
      <x:c r="O1151" s="9" t="n">
        <x:v>0</x:v>
      </x:c>
      <x:c r="P1151" s="9" t="str">
        <x:v>HELD / UNRELEASED</x:v>
      </x:c>
      <x:c r="Q1151" s="9" t="n">
        <x:f>COUNTIFS($A$7:$A$2310,A1151)</x:f>
        <x:v>1</x:v>
      </x:c>
    </x:row>
    <x:row r="1152">
      <x:c r="A1152" s="9" t="str">
        <x:v>PD-AR-RT-B-C-TECH-1-B2-BRK-G0-PD10</x:v>
      </x:c>
      <x:c r="B1152" s="9" t="str">
        <x:v>PD-AR-RT-B-C-TECH-1-B2-BRK-G0</x:v>
      </x:c>
      <x:c r="C1152" s="9" t="str">
        <x:v>EV-AR-RT-B-C-TECH-1-B2-BRK-G0</x:v>
      </x:c>
      <x:c r="D1152" s="9" t="str">
        <x:v>AR-RT-B-C-TECH-1-B2-BRK-G0</x:v>
      </x:c>
      <x:c r="E1152" s="9" t="str">
        <x:v>RT-B-C-TECH-1</x:v>
      </x:c>
      <x:c r="F1152" s="9" t="str">
        <x:v>RT-B-C</x:v>
      </x:c>
      <x:c r="G1152" s="9" t="str">
        <x:v>B2</x:v>
      </x:c>
      <x:c r="H1152" s="9" t="str">
        <x:v>BRK</x:v>
      </x:c>
      <x:c r="I1152" s="9" t="str">
        <x:v>PD10</x:v>
      </x:c>
      <x:c r="J1152" s="17" t="str">
        <x:v>Calibration and uncertainty record</x:v>
      </x:c>
      <x:c r="K1152" s="17" t="str">
        <x:v>Metrology archive</x:v>
      </x:c>
      <x:c r="L1152" s="17" t="str">
        <x:v>COURT-SEALED UNTIL COHORT RELEASE</x:v>
      </x:c>
      <x:c r="M1152" s="9" t="n">
        <x:v>0</x:v>
      </x:c>
      <x:c r="N1152" s="9" t="n">
        <x:v>0</x:v>
      </x:c>
      <x:c r="O1152" s="9" t="n">
        <x:v>0</x:v>
      </x:c>
      <x:c r="P1152" s="9" t="str">
        <x:v>HELD / UNRELEASED</x:v>
      </x:c>
      <x:c r="Q1152" s="9" t="n">
        <x:f>COUNTIFS($A$7:$A$2310,A1152)</x:f>
        <x:v>1</x:v>
      </x:c>
    </x:row>
    <x:row r="1153">
      <x:c r="A1153" s="9" t="str">
        <x:v>PD-AR-RT-B-C-TECH-1-B2-BRK-G0-PD11</x:v>
      </x:c>
      <x:c r="B1153" s="9" t="str">
        <x:v>PD-AR-RT-B-C-TECH-1-B2-BRK-G0</x:v>
      </x:c>
      <x:c r="C1153" s="9" t="str">
        <x:v>EV-AR-RT-B-C-TECH-1-B2-BRK-G0</x:v>
      </x:c>
      <x:c r="D1153" s="9" t="str">
        <x:v>AR-RT-B-C-TECH-1-B2-BRK-G0</x:v>
      </x:c>
      <x:c r="E1153" s="9" t="str">
        <x:v>RT-B-C-TECH-1</x:v>
      </x:c>
      <x:c r="F1153" s="9" t="str">
        <x:v>RT-B-C</x:v>
      </x:c>
      <x:c r="G1153" s="9" t="str">
        <x:v>B2</x:v>
      </x:c>
      <x:c r="H1153" s="9" t="str">
        <x:v>BRK</x:v>
      </x:c>
      <x:c r="I1153" s="9" t="str">
        <x:v>PD11</x:v>
      </x:c>
      <x:c r="J1153" s="17" t="str">
        <x:v>Invalidity petition and opinion</x:v>
      </x:c>
      <x:c r="K1153" s="17" t="str">
        <x:v>Invalidity court</x:v>
      </x:c>
      <x:c r="L1153" s="17" t="str">
        <x:v>COURT-SEALED UNTIL COHORT RELEASE</x:v>
      </x:c>
      <x:c r="M1153" s="9" t="n">
        <x:v>0</x:v>
      </x:c>
      <x:c r="N1153" s="9" t="n">
        <x:v>0</x:v>
      </x:c>
      <x:c r="O1153" s="9" t="n">
        <x:v>0</x:v>
      </x:c>
      <x:c r="P1153" s="9" t="str">
        <x:v>HELD / UNRELEASED</x:v>
      </x:c>
      <x:c r="Q1153" s="9" t="n">
        <x:f>COUNTIFS($A$7:$A$2310,A1153)</x:f>
        <x:v>1</x:v>
      </x:c>
    </x:row>
    <x:row r="1154">
      <x:c r="A1154" s="9" t="str">
        <x:v>PD-AR-RT-B-C-TECH-1-B2-BRK-G0-PD12</x:v>
      </x:c>
      <x:c r="B1154" s="9" t="str">
        <x:v>PD-AR-RT-B-C-TECH-1-B2-BRK-G0</x:v>
      </x:c>
      <x:c r="C1154" s="9" t="str">
        <x:v>EV-AR-RT-B-C-TECH-1-B2-BRK-G0</x:v>
      </x:c>
      <x:c r="D1154" s="9" t="str">
        <x:v>AR-RT-B-C-TECH-1-B2-BRK-G0</x:v>
      </x:c>
      <x:c r="E1154" s="9" t="str">
        <x:v>RT-B-C-TECH-1</x:v>
      </x:c>
      <x:c r="F1154" s="9" t="str">
        <x:v>RT-B-C</x:v>
      </x:c>
      <x:c r="G1154" s="9" t="str">
        <x:v>B2</x:v>
      </x:c>
      <x:c r="H1154" s="9" t="str">
        <x:v>BRK</x:v>
      </x:c>
      <x:c r="I1154" s="9" t="str">
        <x:v>PD12</x:v>
      </x:c>
      <x:c r="J1154" s="17" t="str">
        <x:v>Observation acceptance and replay</x:v>
      </x:c>
      <x:c r="K1154" s="17" t="str">
        <x:v>Observation court</x:v>
      </x:c>
      <x:c r="L1154" s="17" t="str">
        <x:v>COURT-SEALED UNTIL COHORT RELEASE</x:v>
      </x:c>
      <x:c r="M1154" s="9" t="n">
        <x:v>0</x:v>
      </x:c>
      <x:c r="N1154" s="9" t="n">
        <x:v>0</x:v>
      </x:c>
      <x:c r="O1154" s="9" t="n">
        <x:v>0</x:v>
      </x:c>
      <x:c r="P1154" s="9" t="str">
        <x:v>HELD / UNRELEASED</x:v>
      </x:c>
      <x:c r="Q1154" s="9" t="n">
        <x:f>COUNTIFS($A$7:$A$2310,A1154)</x:f>
        <x:v>1</x:v>
      </x:c>
    </x:row>
    <x:row r="1155">
      <x:c r="A1155" s="9" t="str">
        <x:v>PD-AR-RT-B-C-TECH-1-B2-BRK-G0-PD13</x:v>
      </x:c>
      <x:c r="B1155" s="9" t="str">
        <x:v>PD-AR-RT-B-C-TECH-1-B2-BRK-G0</x:v>
      </x:c>
      <x:c r="C1155" s="9" t="str">
        <x:v>EV-AR-RT-B-C-TECH-1-B2-BRK-G0</x:v>
      </x:c>
      <x:c r="D1155" s="9" t="str">
        <x:v>AR-RT-B-C-TECH-1-B2-BRK-G0</x:v>
      </x:c>
      <x:c r="E1155" s="9" t="str">
        <x:v>RT-B-C-TECH-1</x:v>
      </x:c>
      <x:c r="F1155" s="9" t="str">
        <x:v>RT-B-C</x:v>
      </x:c>
      <x:c r="G1155" s="9" t="str">
        <x:v>B2</x:v>
      </x:c>
      <x:c r="H1155" s="9" t="str">
        <x:v>BRK</x:v>
      </x:c>
      <x:c r="I1155" s="9" t="str">
        <x:v>PD13</x:v>
      </x:c>
      <x:c r="J1155" s="17" t="str">
        <x:v>Role judgment</x:v>
      </x:c>
      <x:c r="K1155" s="17" t="str">
        <x:v>Role court</x:v>
      </x:c>
      <x:c r="L1155" s="17" t="str">
        <x:v>COURT-SEALED UNTIL COHORT RELEASE</x:v>
      </x:c>
      <x:c r="M1155" s="9" t="n">
        <x:v>0</x:v>
      </x:c>
      <x:c r="N1155" s="9" t="n">
        <x:v>0</x:v>
      </x:c>
      <x:c r="O1155" s="9" t="n">
        <x:v>0</x:v>
      </x:c>
      <x:c r="P1155" s="9" t="str">
        <x:v>HELD / UNRELEASED</x:v>
      </x:c>
      <x:c r="Q1155" s="9" t="n">
        <x:f>COUNTIFS($A$7:$A$2310,A1155)</x:f>
        <x:v>1</x:v>
      </x:c>
    </x:row>
    <x:row r="1156">
      <x:c r="A1156" s="9" t="str">
        <x:v>PD-AR-RT-B-C-TECH-1-B2-BRK-G0-PD14</x:v>
      </x:c>
      <x:c r="B1156" s="9" t="str">
        <x:v>PD-AR-RT-B-C-TECH-1-B2-BRK-G0</x:v>
      </x:c>
      <x:c r="C1156" s="9" t="str">
        <x:v>EV-AR-RT-B-C-TECH-1-B2-BRK-G0</x:v>
      </x:c>
      <x:c r="D1156" s="9" t="str">
        <x:v>AR-RT-B-C-TECH-1-B2-BRK-G0</x:v>
      </x:c>
      <x:c r="E1156" s="9" t="str">
        <x:v>RT-B-C-TECH-1</x:v>
      </x:c>
      <x:c r="F1156" s="9" t="str">
        <x:v>RT-B-C</x:v>
      </x:c>
      <x:c r="G1156" s="9" t="str">
        <x:v>B2</x:v>
      </x:c>
      <x:c r="H1156" s="9" t="str">
        <x:v>BRK</x:v>
      </x:c>
      <x:c r="I1156" s="9" t="str">
        <x:v>PD14</x:v>
      </x:c>
      <x:c r="J1156" s="17" t="str">
        <x:v>Break and residual account</x:v>
      </x:c>
      <x:c r="K1156" s="17" t="str">
        <x:v>Residual authority</x:v>
      </x:c>
      <x:c r="L1156" s="17" t="str">
        <x:v>COURT-SEALED UNTIL COHORT RELEASE</x:v>
      </x:c>
      <x:c r="M1156" s="9" t="n">
        <x:v>0</x:v>
      </x:c>
      <x:c r="N1156" s="9" t="n">
        <x:v>0</x:v>
      </x:c>
      <x:c r="O1156" s="9" t="n">
        <x:v>0</x:v>
      </x:c>
      <x:c r="P1156" s="9" t="str">
        <x:v>HELD / UNRELEASED</x:v>
      </x:c>
      <x:c r="Q1156" s="9" t="n">
        <x:f>COUNTIFS($A$7:$A$2310,A1156)</x:f>
        <x:v>1</x:v>
      </x:c>
    </x:row>
    <x:row r="1157">
      <x:c r="A1157" s="9" t="str">
        <x:v>PD-AR-RT-B-C-TECH-1-B2-BRK-G0-PD15</x:v>
      </x:c>
      <x:c r="B1157" s="9" t="str">
        <x:v>PD-AR-RT-B-C-TECH-1-B2-BRK-G0</x:v>
      </x:c>
      <x:c r="C1157" s="9" t="str">
        <x:v>EV-AR-RT-B-C-TECH-1-B2-BRK-G0</x:v>
      </x:c>
      <x:c r="D1157" s="9" t="str">
        <x:v>AR-RT-B-C-TECH-1-B2-BRK-G0</x:v>
      </x:c>
      <x:c r="E1157" s="9" t="str">
        <x:v>RT-B-C-TECH-1</x:v>
      </x:c>
      <x:c r="F1157" s="9" t="str">
        <x:v>RT-B-C</x:v>
      </x:c>
      <x:c r="G1157" s="9" t="str">
        <x:v>B2</x:v>
      </x:c>
      <x:c r="H1157" s="9" t="str">
        <x:v>BRK</x:v>
      </x:c>
      <x:c r="I1157" s="9" t="str">
        <x:v>PD15</x:v>
      </x:c>
      <x:c r="J1157" s="17" t="str">
        <x:v>Reconstruction ancestry and replay</x:v>
      </x:c>
      <x:c r="K1157" s="17" t="str">
        <x:v>Reconstruction court</x:v>
      </x:c>
      <x:c r="L1157" s="17" t="str">
        <x:v>COURT-SEALED UNTIL COHORT RELEASE</x:v>
      </x:c>
      <x:c r="M1157" s="9" t="n">
        <x:v>0</x:v>
      </x:c>
      <x:c r="N1157" s="9" t="n">
        <x:v>0</x:v>
      </x:c>
      <x:c r="O1157" s="9" t="n">
        <x:v>0</x:v>
      </x:c>
      <x:c r="P1157" s="9" t="str">
        <x:v>HELD / UNRELEASED</x:v>
      </x:c>
      <x:c r="Q1157" s="9" t="n">
        <x:f>COUNTIFS($A$7:$A$2310,A1157)</x:f>
        <x:v>1</x:v>
      </x:c>
    </x:row>
    <x:row r="1158">
      <x:c r="A1158" s="9" t="str">
        <x:v>PD-AR-RT-B-C-TECH-1-B2-BRK-G0-PD16</x:v>
      </x:c>
      <x:c r="B1158" s="9" t="str">
        <x:v>PD-AR-RT-B-C-TECH-1-B2-BRK-G0</x:v>
      </x:c>
      <x:c r="C1158" s="9" t="str">
        <x:v>EV-AR-RT-B-C-TECH-1-B2-BRK-G0</x:v>
      </x:c>
      <x:c r="D1158" s="9" t="str">
        <x:v>AR-RT-B-C-TECH-1-B2-BRK-G0</x:v>
      </x:c>
      <x:c r="E1158" s="9" t="str">
        <x:v>RT-B-C-TECH-1</x:v>
      </x:c>
      <x:c r="F1158" s="9" t="str">
        <x:v>RT-B-C</x:v>
      </x:c>
      <x:c r="G1158" s="9" t="str">
        <x:v>B2</x:v>
      </x:c>
      <x:c r="H1158" s="9" t="str">
        <x:v>BRK</x:v>
      </x:c>
      <x:c r="I1158" s="9" t="str">
        <x:v>PD16</x:v>
      </x:c>
      <x:c r="J1158" s="17" t="str">
        <x:v>Dissent, amendments and access log</x:v>
      </x:c>
      <x:c r="K1158" s="17" t="str">
        <x:v>Public archive</x:v>
      </x:c>
      <x:c r="L1158" s="17" t="str">
        <x:v>COURT-SEALED UNTIL COHORT RELEASE</x:v>
      </x:c>
      <x:c r="M1158" s="9" t="n">
        <x:v>0</x:v>
      </x:c>
      <x:c r="N1158" s="9" t="n">
        <x:v>0</x:v>
      </x:c>
      <x:c r="O1158" s="9" t="n">
        <x:v>0</x:v>
      </x:c>
      <x:c r="P1158" s="9" t="str">
        <x:v>HELD / UNRELEASED</x:v>
      </x:c>
      <x:c r="Q1158" s="9" t="n">
        <x:f>COUNTIFS($A$7:$A$2310,A1158)</x:f>
        <x:v>1</x:v>
      </x:c>
    </x:row>
    <x:row r="1159">
      <x:c r="A1159" s="9" t="str">
        <x:v>PD-AR-CT-C-B-TECH-2-B2-INT-G0-PD01</x:v>
      </x:c>
      <x:c r="B1159" s="9" t="str">
        <x:v>PD-AR-CT-C-B-TECH-2-B2-INT-G0</x:v>
      </x:c>
      <x:c r="C1159" s="9" t="str">
        <x:v>EV-AR-CT-C-B-TECH-2-B2-INT-G0</x:v>
      </x:c>
      <x:c r="D1159" s="9" t="str">
        <x:v>AR-CT-C-B-TECH-2-B2-INT-G0</x:v>
      </x:c>
      <x:c r="E1159" s="9" t="str">
        <x:v>CT-C-B-TECH-2</x:v>
      </x:c>
      <x:c r="F1159" s="9" t="str">
        <x:v>CT-C-B</x:v>
      </x:c>
      <x:c r="G1159" s="9" t="str">
        <x:v>B2</x:v>
      </x:c>
      <x:c r="H1159" s="9" t="str">
        <x:v>INT</x:v>
      </x:c>
      <x:c r="I1159" s="9" t="str">
        <x:v>PD01</x:v>
      </x:c>
      <x:c r="J1159" s="17" t="str">
        <x:v>Experiment kernel</x:v>
      </x:c>
      <x:c r="K1159" s="17" t="str">
        <x:v>Public archive</x:v>
      </x:c>
      <x:c r="L1159" s="17" t="str">
        <x:v>COURT-SEALED UNTIL COHORT RELEASE</x:v>
      </x:c>
      <x:c r="M1159" s="9" t="n">
        <x:v>0</x:v>
      </x:c>
      <x:c r="N1159" s="9" t="n">
        <x:v>0</x:v>
      </x:c>
      <x:c r="O1159" s="9" t="n">
        <x:v>0</x:v>
      </x:c>
      <x:c r="P1159" s="9" t="str">
        <x:v>HELD / UNRELEASED</x:v>
      </x:c>
      <x:c r="Q1159" s="9" t="n">
        <x:f>COUNTIFS($A$7:$A$2310,A1159)</x:f>
        <x:v>1</x:v>
      </x:c>
    </x:row>
    <x:row r="1160">
      <x:c r="A1160" s="9" t="str">
        <x:v>PD-AR-CT-C-B-TECH-2-B2-INT-G0-PD02</x:v>
      </x:c>
      <x:c r="B1160" s="9" t="str">
        <x:v>PD-AR-CT-C-B-TECH-2-B2-INT-G0</x:v>
      </x:c>
      <x:c r="C1160" s="9" t="str">
        <x:v>EV-AR-CT-C-B-TECH-2-B2-INT-G0</x:v>
      </x:c>
      <x:c r="D1160" s="9" t="str">
        <x:v>AR-CT-C-B-TECH-2-B2-INT-G0</x:v>
      </x:c>
      <x:c r="E1160" s="9" t="str">
        <x:v>CT-C-B-TECH-2</x:v>
      </x:c>
      <x:c r="F1160" s="9" t="str">
        <x:v>CT-C-B</x:v>
      </x:c>
      <x:c r="G1160" s="9" t="str">
        <x:v>B2</x:v>
      </x:c>
      <x:c r="H1160" s="9" t="str">
        <x:v>INT</x:v>
      </x:c>
      <x:c r="I1160" s="9" t="str">
        <x:v>PD02</x:v>
      </x:c>
      <x:c r="J1160" s="17" t="str">
        <x:v>Serial annex and title chain</x:v>
      </x:c>
      <x:c r="K1160" s="17" t="str">
        <x:v>Public archive</x:v>
      </x:c>
      <x:c r="L1160" s="17" t="str">
        <x:v>COURT-SEALED UNTIL COHORT RELEASE</x:v>
      </x:c>
      <x:c r="M1160" s="9" t="n">
        <x:v>0</x:v>
      </x:c>
      <x:c r="N1160" s="9" t="n">
        <x:v>0</x:v>
      </x:c>
      <x:c r="O1160" s="9" t="n">
        <x:v>0</x:v>
      </x:c>
      <x:c r="P1160" s="9" t="str">
        <x:v>HELD / UNRELEASED</x:v>
      </x:c>
      <x:c r="Q1160" s="9" t="n">
        <x:f>COUNTIFS($A$7:$A$2310,A1160)</x:f>
        <x:v>1</x:v>
      </x:c>
    </x:row>
    <x:row r="1161">
      <x:c r="A1161" s="9" t="str">
        <x:v>PD-AR-CT-C-B-TECH-2-B2-INT-G0-PD03</x:v>
      </x:c>
      <x:c r="B1161" s="9" t="str">
        <x:v>PD-AR-CT-C-B-TECH-2-B2-INT-G0</x:v>
      </x:c>
      <x:c r="C1161" s="9" t="str">
        <x:v>EV-AR-CT-C-B-TECH-2-B2-INT-G0</x:v>
      </x:c>
      <x:c r="D1161" s="9" t="str">
        <x:v>AR-CT-C-B-TECH-2-B2-INT-G0</x:v>
      </x:c>
      <x:c r="E1161" s="9" t="str">
        <x:v>CT-C-B-TECH-2</x:v>
      </x:c>
      <x:c r="F1161" s="9" t="str">
        <x:v>CT-C-B</x:v>
      </x:c>
      <x:c r="G1161" s="9" t="str">
        <x:v>B2</x:v>
      </x:c>
      <x:c r="H1161" s="9" t="str">
        <x:v>INT</x:v>
      </x:c>
      <x:c r="I1161" s="9" t="str">
        <x:v>PD03</x:v>
      </x:c>
      <x:c r="J1161" s="17" t="str">
        <x:v>Configuration and as-built manifest</x:v>
      </x:c>
      <x:c r="K1161" s="17" t="str">
        <x:v>Artifact exchange</x:v>
      </x:c>
      <x:c r="L1161" s="17" t="str">
        <x:v>COURT-SEALED UNTIL COHORT RELEASE</x:v>
      </x:c>
      <x:c r="M1161" s="9" t="n">
        <x:v>0</x:v>
      </x:c>
      <x:c r="N1161" s="9" t="n">
        <x:v>0</x:v>
      </x:c>
      <x:c r="O1161" s="9" t="n">
        <x:v>0</x:v>
      </x:c>
      <x:c r="P1161" s="9" t="str">
        <x:v>HELD / UNRELEASED</x:v>
      </x:c>
      <x:c r="Q1161" s="9" t="n">
        <x:f>COUNTIFS($A$7:$A$2310,A1161)</x:f>
        <x:v>1</x:v>
      </x:c>
    </x:row>
    <x:row r="1162">
      <x:c r="A1162" s="9" t="str">
        <x:v>PD-AR-CT-C-B-TECH-2-B2-INT-G0-PD04</x:v>
      </x:c>
      <x:c r="B1162" s="9" t="str">
        <x:v>PD-AR-CT-C-B-TECH-2-B2-INT-G0</x:v>
      </x:c>
      <x:c r="C1162" s="9" t="str">
        <x:v>EV-AR-CT-C-B-TECH-2-B2-INT-G0</x:v>
      </x:c>
      <x:c r="D1162" s="9" t="str">
        <x:v>AR-CT-C-B-TECH-2-B2-INT-G0</x:v>
      </x:c>
      <x:c r="E1162" s="9" t="str">
        <x:v>CT-C-B-TECH-2</x:v>
      </x:c>
      <x:c r="F1162" s="9" t="str">
        <x:v>CT-C-B</x:v>
      </x:c>
      <x:c r="G1162" s="9" t="str">
        <x:v>B2</x:v>
      </x:c>
      <x:c r="H1162" s="9" t="str">
        <x:v>INT</x:v>
      </x:c>
      <x:c r="I1162" s="9" t="str">
        <x:v>PD04</x:v>
      </x:c>
      <x:c r="J1162" s="17" t="str">
        <x:v>EOW and start certificate</x:v>
      </x:c>
      <x:c r="K1162" s="17" t="str">
        <x:v>Start registrar</x:v>
      </x:c>
      <x:c r="L1162" s="17" t="str">
        <x:v>COURT-SEALED UNTIL COHORT RELEASE</x:v>
      </x:c>
      <x:c r="M1162" s="9" t="n">
        <x:v>0</x:v>
      </x:c>
      <x:c r="N1162" s="9" t="n">
        <x:v>0</x:v>
      </x:c>
      <x:c r="O1162" s="9" t="n">
        <x:v>0</x:v>
      </x:c>
      <x:c r="P1162" s="9" t="str">
        <x:v>HELD / UNRELEASED</x:v>
      </x:c>
      <x:c r="Q1162" s="9" t="n">
        <x:f>COUNTIFS($A$7:$A$2310,A1162)</x:f>
        <x:v>1</x:v>
      </x:c>
    </x:row>
    <x:row r="1163">
      <x:c r="A1163" s="9" t="str">
        <x:v>PD-AR-CT-C-B-TECH-2-B2-INT-G0-PD05</x:v>
      </x:c>
      <x:c r="B1163" s="9" t="str">
        <x:v>PD-AR-CT-C-B-TECH-2-B2-INT-G0</x:v>
      </x:c>
      <x:c r="C1163" s="9" t="str">
        <x:v>EV-AR-CT-C-B-TECH-2-B2-INT-G0</x:v>
      </x:c>
      <x:c r="D1163" s="9" t="str">
        <x:v>AR-CT-C-B-TECH-2-B2-INT-G0</x:v>
      </x:c>
      <x:c r="E1163" s="9" t="str">
        <x:v>CT-C-B-TECH-2</x:v>
      </x:c>
      <x:c r="F1163" s="9" t="str">
        <x:v>CT-C-B</x:v>
      </x:c>
      <x:c r="G1163" s="9" t="str">
        <x:v>B2</x:v>
      </x:c>
      <x:c r="H1163" s="9" t="str">
        <x:v>INT</x:v>
      </x:c>
      <x:c r="I1163" s="9" t="str">
        <x:v>PD05</x:v>
      </x:c>
      <x:c r="J1163" s="17" t="str">
        <x:v>Primary raw originals</x:v>
      </x:c>
      <x:c r="K1163" s="17" t="str">
        <x:v>Primary custody</x:v>
      </x:c>
      <x:c r="L1163" s="17" t="str">
        <x:v>COURT-SEALED UNTIL COHORT RELEASE</x:v>
      </x:c>
      <x:c r="M1163" s="9" t="n">
        <x:v>0</x:v>
      </x:c>
      <x:c r="N1163" s="9" t="n">
        <x:v>0</x:v>
      </x:c>
      <x:c r="O1163" s="9" t="n">
        <x:v>0</x:v>
      </x:c>
      <x:c r="P1163" s="9" t="str">
        <x:v>HELD / UNRELEASED</x:v>
      </x:c>
      <x:c r="Q1163" s="9" t="n">
        <x:f>COUNTIFS($A$7:$A$2310,A1163)</x:f>
        <x:v>1</x:v>
      </x:c>
    </x:row>
    <x:row r="1164">
      <x:c r="A1164" s="9" t="str">
        <x:v>PD-AR-CT-C-B-TECH-2-B2-INT-G0-PD06</x:v>
      </x:c>
      <x:c r="B1164" s="9" t="str">
        <x:v>PD-AR-CT-C-B-TECH-2-B2-INT-G0</x:v>
      </x:c>
      <x:c r="C1164" s="9" t="str">
        <x:v>EV-AR-CT-C-B-TECH-2-B2-INT-G0</x:v>
      </x:c>
      <x:c r="D1164" s="9" t="str">
        <x:v>AR-CT-C-B-TECH-2-B2-INT-G0</x:v>
      </x:c>
      <x:c r="E1164" s="9" t="str">
        <x:v>CT-C-B-TECH-2</x:v>
      </x:c>
      <x:c r="F1164" s="9" t="str">
        <x:v>CT-C-B</x:v>
      </x:c>
      <x:c r="G1164" s="9" t="str">
        <x:v>B2</x:v>
      </x:c>
      <x:c r="H1164" s="9" t="str">
        <x:v>INT</x:v>
      </x:c>
      <x:c r="I1164" s="9" t="str">
        <x:v>PD06</x:v>
      </x:c>
      <x:c r="J1164" s="17" t="str">
        <x:v>Witness raw originals</x:v>
      </x:c>
      <x:c r="K1164" s="17" t="str">
        <x:v>Witness custody</x:v>
      </x:c>
      <x:c r="L1164" s="17" t="str">
        <x:v>COURT-SEALED UNTIL COHORT RELEASE</x:v>
      </x:c>
      <x:c r="M1164" s="9" t="n">
        <x:v>0</x:v>
      </x:c>
      <x:c r="N1164" s="9" t="n">
        <x:v>0</x:v>
      </x:c>
      <x:c r="O1164" s="9" t="n">
        <x:v>0</x:v>
      </x:c>
      <x:c r="P1164" s="9" t="str">
        <x:v>HELD / UNRELEASED</x:v>
      </x:c>
      <x:c r="Q1164" s="9" t="n">
        <x:f>COUNTIFS($A$7:$A$2310,A1164)</x:f>
        <x:v>1</x:v>
      </x:c>
    </x:row>
    <x:row r="1165">
      <x:c r="A1165" s="9" t="str">
        <x:v>PD-AR-CT-C-B-TECH-2-B2-INT-G0-PD07</x:v>
      </x:c>
      <x:c r="B1165" s="9" t="str">
        <x:v>PD-AR-CT-C-B-TECH-2-B2-INT-G0</x:v>
      </x:c>
      <x:c r="C1165" s="9" t="str">
        <x:v>EV-AR-CT-C-B-TECH-2-B2-INT-G0</x:v>
      </x:c>
      <x:c r="D1165" s="9" t="str">
        <x:v>AR-CT-C-B-TECH-2-B2-INT-G0</x:v>
      </x:c>
      <x:c r="E1165" s="9" t="str">
        <x:v>CT-C-B-TECH-2</x:v>
      </x:c>
      <x:c r="F1165" s="9" t="str">
        <x:v>CT-C-B</x:v>
      </x:c>
      <x:c r="G1165" s="9" t="str">
        <x:v>B2</x:v>
      </x:c>
      <x:c r="H1165" s="9" t="str">
        <x:v>INT</x:v>
      </x:c>
      <x:c r="I1165" s="9" t="str">
        <x:v>PD07</x:v>
      </x:c>
      <x:c r="J1165" s="17" t="str">
        <x:v>Clock and environmental records</x:v>
      </x:c>
      <x:c r="K1165" s="17" t="str">
        <x:v>Boundary archive</x:v>
      </x:c>
      <x:c r="L1165" s="17" t="str">
        <x:v>COURT-SEALED UNTIL COHORT RELEASE</x:v>
      </x:c>
      <x:c r="M1165" s="9" t="n">
        <x:v>0</x:v>
      </x:c>
      <x:c r="N1165" s="9" t="n">
        <x:v>0</x:v>
      </x:c>
      <x:c r="O1165" s="9" t="n">
        <x:v>0</x:v>
      </x:c>
      <x:c r="P1165" s="9" t="str">
        <x:v>HELD / UNRELEASED</x:v>
      </x:c>
      <x:c r="Q1165" s="9" t="n">
        <x:f>COUNTIFS($A$7:$A$2310,A1165)</x:f>
        <x:v>1</x:v>
      </x:c>
    </x:row>
    <x:row r="1166">
      <x:c r="A1166" s="9" t="str">
        <x:v>PD-AR-CT-C-B-TECH-2-B2-INT-G0-PD08</x:v>
      </x:c>
      <x:c r="B1166" s="9" t="str">
        <x:v>PD-AR-CT-C-B-TECH-2-B2-INT-G0</x:v>
      </x:c>
      <x:c r="C1166" s="9" t="str">
        <x:v>EV-AR-CT-C-B-TECH-2-B2-INT-G0</x:v>
      </x:c>
      <x:c r="D1166" s="9" t="str">
        <x:v>AR-CT-C-B-TECH-2-B2-INT-G0</x:v>
      </x:c>
      <x:c r="E1166" s="9" t="str">
        <x:v>CT-C-B-TECH-2</x:v>
      </x:c>
      <x:c r="F1166" s="9" t="str">
        <x:v>CT-C-B</x:v>
      </x:c>
      <x:c r="G1166" s="9" t="str">
        <x:v>B2</x:v>
      </x:c>
      <x:c r="H1166" s="9" t="str">
        <x:v>INT</x:v>
      </x:c>
      <x:c r="I1166" s="9" t="str">
        <x:v>PD08</x:v>
      </x:c>
      <x:c r="J1166" s="17" t="str">
        <x:v>Command and intervention log</x:v>
      </x:c>
      <x:c r="K1166" s="17" t="str">
        <x:v>Safety archive</x:v>
      </x:c>
      <x:c r="L1166" s="17" t="str">
        <x:v>COURT-SEALED UNTIL COHORT RELEASE</x:v>
      </x:c>
      <x:c r="M1166" s="9" t="n">
        <x:v>0</x:v>
      </x:c>
      <x:c r="N1166" s="9" t="n">
        <x:v>0</x:v>
      </x:c>
      <x:c r="O1166" s="9" t="n">
        <x:v>0</x:v>
      </x:c>
      <x:c r="P1166" s="9" t="str">
        <x:v>HELD / UNRELEASED</x:v>
      </x:c>
      <x:c r="Q1166" s="9" t="n">
        <x:f>COUNTIFS($A$7:$A$2310,A1166)</x:f>
        <x:v>1</x:v>
      </x:c>
    </x:row>
    <x:row r="1167">
      <x:c r="A1167" s="9" t="str">
        <x:v>PD-AR-CT-C-B-TECH-2-B2-INT-G0-PD09</x:v>
      </x:c>
      <x:c r="B1167" s="9" t="str">
        <x:v>PD-AR-CT-C-B-TECH-2-B2-INT-G0</x:v>
      </x:c>
      <x:c r="C1167" s="9" t="str">
        <x:v>EV-AR-CT-C-B-TECH-2-B2-INT-G0</x:v>
      </x:c>
      <x:c r="D1167" s="9" t="str">
        <x:v>AR-CT-C-B-TECH-2-B2-INT-G0</x:v>
      </x:c>
      <x:c r="E1167" s="9" t="str">
        <x:v>CT-C-B-TECH-2</x:v>
      </x:c>
      <x:c r="F1167" s="9" t="str">
        <x:v>CT-C-B</x:v>
      </x:c>
      <x:c r="G1167" s="9" t="str">
        <x:v>B2</x:v>
      </x:c>
      <x:c r="H1167" s="9" t="str">
        <x:v>INT</x:v>
      </x:c>
      <x:c r="I1167" s="9" t="str">
        <x:v>PD09</x:v>
      </x:c>
      <x:c r="J1167" s="17" t="str">
        <x:v>Receiver denominator and service ledger</x:v>
      </x:c>
      <x:c r="K1167" s="17" t="str">
        <x:v>Receiver archive</x:v>
      </x:c>
      <x:c r="L1167" s="17" t="str">
        <x:v>COURT-SEALED UNTIL COHORT RELEASE</x:v>
      </x:c>
      <x:c r="M1167" s="9" t="n">
        <x:v>0</x:v>
      </x:c>
      <x:c r="N1167" s="9" t="n">
        <x:v>0</x:v>
      </x:c>
      <x:c r="O1167" s="9" t="n">
        <x:v>0</x:v>
      </x:c>
      <x:c r="P1167" s="9" t="str">
        <x:v>HELD / UNRELEASED</x:v>
      </x:c>
      <x:c r="Q1167" s="9" t="n">
        <x:f>COUNTIFS($A$7:$A$2310,A1167)</x:f>
        <x:v>1</x:v>
      </x:c>
    </x:row>
    <x:row r="1168">
      <x:c r="A1168" s="9" t="str">
        <x:v>PD-AR-CT-C-B-TECH-2-B2-INT-G0-PD10</x:v>
      </x:c>
      <x:c r="B1168" s="9" t="str">
        <x:v>PD-AR-CT-C-B-TECH-2-B2-INT-G0</x:v>
      </x:c>
      <x:c r="C1168" s="9" t="str">
        <x:v>EV-AR-CT-C-B-TECH-2-B2-INT-G0</x:v>
      </x:c>
      <x:c r="D1168" s="9" t="str">
        <x:v>AR-CT-C-B-TECH-2-B2-INT-G0</x:v>
      </x:c>
      <x:c r="E1168" s="9" t="str">
        <x:v>CT-C-B-TECH-2</x:v>
      </x:c>
      <x:c r="F1168" s="9" t="str">
        <x:v>CT-C-B</x:v>
      </x:c>
      <x:c r="G1168" s="9" t="str">
        <x:v>B2</x:v>
      </x:c>
      <x:c r="H1168" s="9" t="str">
        <x:v>INT</x:v>
      </x:c>
      <x:c r="I1168" s="9" t="str">
        <x:v>PD10</x:v>
      </x:c>
      <x:c r="J1168" s="17" t="str">
        <x:v>Calibration and uncertainty record</x:v>
      </x:c>
      <x:c r="K1168" s="17" t="str">
        <x:v>Metrology archive</x:v>
      </x:c>
      <x:c r="L1168" s="17" t="str">
        <x:v>COURT-SEALED UNTIL COHORT RELEASE</x:v>
      </x:c>
      <x:c r="M1168" s="9" t="n">
        <x:v>0</x:v>
      </x:c>
      <x:c r="N1168" s="9" t="n">
        <x:v>0</x:v>
      </x:c>
      <x:c r="O1168" s="9" t="n">
        <x:v>0</x:v>
      </x:c>
      <x:c r="P1168" s="9" t="str">
        <x:v>HELD / UNRELEASED</x:v>
      </x:c>
      <x:c r="Q1168" s="9" t="n">
        <x:f>COUNTIFS($A$7:$A$2310,A1168)</x:f>
        <x:v>1</x:v>
      </x:c>
    </x:row>
    <x:row r="1169">
      <x:c r="A1169" s="9" t="str">
        <x:v>PD-AR-CT-C-B-TECH-2-B2-INT-G0-PD11</x:v>
      </x:c>
      <x:c r="B1169" s="9" t="str">
        <x:v>PD-AR-CT-C-B-TECH-2-B2-INT-G0</x:v>
      </x:c>
      <x:c r="C1169" s="9" t="str">
        <x:v>EV-AR-CT-C-B-TECH-2-B2-INT-G0</x:v>
      </x:c>
      <x:c r="D1169" s="9" t="str">
        <x:v>AR-CT-C-B-TECH-2-B2-INT-G0</x:v>
      </x:c>
      <x:c r="E1169" s="9" t="str">
        <x:v>CT-C-B-TECH-2</x:v>
      </x:c>
      <x:c r="F1169" s="9" t="str">
        <x:v>CT-C-B</x:v>
      </x:c>
      <x:c r="G1169" s="9" t="str">
        <x:v>B2</x:v>
      </x:c>
      <x:c r="H1169" s="9" t="str">
        <x:v>INT</x:v>
      </x:c>
      <x:c r="I1169" s="9" t="str">
        <x:v>PD11</x:v>
      </x:c>
      <x:c r="J1169" s="17" t="str">
        <x:v>Invalidity petition and opinion</x:v>
      </x:c>
      <x:c r="K1169" s="17" t="str">
        <x:v>Invalidity court</x:v>
      </x:c>
      <x:c r="L1169" s="17" t="str">
        <x:v>COURT-SEALED UNTIL COHORT RELEASE</x:v>
      </x:c>
      <x:c r="M1169" s="9" t="n">
        <x:v>0</x:v>
      </x:c>
      <x:c r="N1169" s="9" t="n">
        <x:v>0</x:v>
      </x:c>
      <x:c r="O1169" s="9" t="n">
        <x:v>0</x:v>
      </x:c>
      <x:c r="P1169" s="9" t="str">
        <x:v>HELD / UNRELEASED</x:v>
      </x:c>
      <x:c r="Q1169" s="9" t="n">
        <x:f>COUNTIFS($A$7:$A$2310,A1169)</x:f>
        <x:v>1</x:v>
      </x:c>
    </x:row>
    <x:row r="1170">
      <x:c r="A1170" s="9" t="str">
        <x:v>PD-AR-CT-C-B-TECH-2-B2-INT-G0-PD12</x:v>
      </x:c>
      <x:c r="B1170" s="9" t="str">
        <x:v>PD-AR-CT-C-B-TECH-2-B2-INT-G0</x:v>
      </x:c>
      <x:c r="C1170" s="9" t="str">
        <x:v>EV-AR-CT-C-B-TECH-2-B2-INT-G0</x:v>
      </x:c>
      <x:c r="D1170" s="9" t="str">
        <x:v>AR-CT-C-B-TECH-2-B2-INT-G0</x:v>
      </x:c>
      <x:c r="E1170" s="9" t="str">
        <x:v>CT-C-B-TECH-2</x:v>
      </x:c>
      <x:c r="F1170" s="9" t="str">
        <x:v>CT-C-B</x:v>
      </x:c>
      <x:c r="G1170" s="9" t="str">
        <x:v>B2</x:v>
      </x:c>
      <x:c r="H1170" s="9" t="str">
        <x:v>INT</x:v>
      </x:c>
      <x:c r="I1170" s="9" t="str">
        <x:v>PD12</x:v>
      </x:c>
      <x:c r="J1170" s="17" t="str">
        <x:v>Observation acceptance and replay</x:v>
      </x:c>
      <x:c r="K1170" s="17" t="str">
        <x:v>Observation court</x:v>
      </x:c>
      <x:c r="L1170" s="17" t="str">
        <x:v>COURT-SEALED UNTIL COHORT RELEASE</x:v>
      </x:c>
      <x:c r="M1170" s="9" t="n">
        <x:v>0</x:v>
      </x:c>
      <x:c r="N1170" s="9" t="n">
        <x:v>0</x:v>
      </x:c>
      <x:c r="O1170" s="9" t="n">
        <x:v>0</x:v>
      </x:c>
      <x:c r="P1170" s="9" t="str">
        <x:v>HELD / UNRELEASED</x:v>
      </x:c>
      <x:c r="Q1170" s="9" t="n">
        <x:f>COUNTIFS($A$7:$A$2310,A1170)</x:f>
        <x:v>1</x:v>
      </x:c>
    </x:row>
    <x:row r="1171">
      <x:c r="A1171" s="9" t="str">
        <x:v>PD-AR-CT-C-B-TECH-2-B2-INT-G0-PD13</x:v>
      </x:c>
      <x:c r="B1171" s="9" t="str">
        <x:v>PD-AR-CT-C-B-TECH-2-B2-INT-G0</x:v>
      </x:c>
      <x:c r="C1171" s="9" t="str">
        <x:v>EV-AR-CT-C-B-TECH-2-B2-INT-G0</x:v>
      </x:c>
      <x:c r="D1171" s="9" t="str">
        <x:v>AR-CT-C-B-TECH-2-B2-INT-G0</x:v>
      </x:c>
      <x:c r="E1171" s="9" t="str">
        <x:v>CT-C-B-TECH-2</x:v>
      </x:c>
      <x:c r="F1171" s="9" t="str">
        <x:v>CT-C-B</x:v>
      </x:c>
      <x:c r="G1171" s="9" t="str">
        <x:v>B2</x:v>
      </x:c>
      <x:c r="H1171" s="9" t="str">
        <x:v>INT</x:v>
      </x:c>
      <x:c r="I1171" s="9" t="str">
        <x:v>PD13</x:v>
      </x:c>
      <x:c r="J1171" s="17" t="str">
        <x:v>Role judgment</x:v>
      </x:c>
      <x:c r="K1171" s="17" t="str">
        <x:v>Role court</x:v>
      </x:c>
      <x:c r="L1171" s="17" t="str">
        <x:v>COURT-SEALED UNTIL COHORT RELEASE</x:v>
      </x:c>
      <x:c r="M1171" s="9" t="n">
        <x:v>0</x:v>
      </x:c>
      <x:c r="N1171" s="9" t="n">
        <x:v>0</x:v>
      </x:c>
      <x:c r="O1171" s="9" t="n">
        <x:v>0</x:v>
      </x:c>
      <x:c r="P1171" s="9" t="str">
        <x:v>HELD / UNRELEASED</x:v>
      </x:c>
      <x:c r="Q1171" s="9" t="n">
        <x:f>COUNTIFS($A$7:$A$2310,A1171)</x:f>
        <x:v>1</x:v>
      </x:c>
    </x:row>
    <x:row r="1172">
      <x:c r="A1172" s="9" t="str">
        <x:v>PD-AR-CT-C-B-TECH-2-B2-INT-G0-PD14</x:v>
      </x:c>
      <x:c r="B1172" s="9" t="str">
        <x:v>PD-AR-CT-C-B-TECH-2-B2-INT-G0</x:v>
      </x:c>
      <x:c r="C1172" s="9" t="str">
        <x:v>EV-AR-CT-C-B-TECH-2-B2-INT-G0</x:v>
      </x:c>
      <x:c r="D1172" s="9" t="str">
        <x:v>AR-CT-C-B-TECH-2-B2-INT-G0</x:v>
      </x:c>
      <x:c r="E1172" s="9" t="str">
        <x:v>CT-C-B-TECH-2</x:v>
      </x:c>
      <x:c r="F1172" s="9" t="str">
        <x:v>CT-C-B</x:v>
      </x:c>
      <x:c r="G1172" s="9" t="str">
        <x:v>B2</x:v>
      </x:c>
      <x:c r="H1172" s="9" t="str">
        <x:v>INT</x:v>
      </x:c>
      <x:c r="I1172" s="9" t="str">
        <x:v>PD14</x:v>
      </x:c>
      <x:c r="J1172" s="17" t="str">
        <x:v>Break and residual account</x:v>
      </x:c>
      <x:c r="K1172" s="17" t="str">
        <x:v>Residual authority</x:v>
      </x:c>
      <x:c r="L1172" s="17" t="str">
        <x:v>COURT-SEALED UNTIL COHORT RELEASE</x:v>
      </x:c>
      <x:c r="M1172" s="9" t="n">
        <x:v>0</x:v>
      </x:c>
      <x:c r="N1172" s="9" t="n">
        <x:v>0</x:v>
      </x:c>
      <x:c r="O1172" s="9" t="n">
        <x:v>0</x:v>
      </x:c>
      <x:c r="P1172" s="9" t="str">
        <x:v>HELD / UNRELEASED</x:v>
      </x:c>
      <x:c r="Q1172" s="9" t="n">
        <x:f>COUNTIFS($A$7:$A$2310,A1172)</x:f>
        <x:v>1</x:v>
      </x:c>
    </x:row>
    <x:row r="1173">
      <x:c r="A1173" s="9" t="str">
        <x:v>PD-AR-CT-C-B-TECH-2-B2-INT-G0-PD15</x:v>
      </x:c>
      <x:c r="B1173" s="9" t="str">
        <x:v>PD-AR-CT-C-B-TECH-2-B2-INT-G0</x:v>
      </x:c>
      <x:c r="C1173" s="9" t="str">
        <x:v>EV-AR-CT-C-B-TECH-2-B2-INT-G0</x:v>
      </x:c>
      <x:c r="D1173" s="9" t="str">
        <x:v>AR-CT-C-B-TECH-2-B2-INT-G0</x:v>
      </x:c>
      <x:c r="E1173" s="9" t="str">
        <x:v>CT-C-B-TECH-2</x:v>
      </x:c>
      <x:c r="F1173" s="9" t="str">
        <x:v>CT-C-B</x:v>
      </x:c>
      <x:c r="G1173" s="9" t="str">
        <x:v>B2</x:v>
      </x:c>
      <x:c r="H1173" s="9" t="str">
        <x:v>INT</x:v>
      </x:c>
      <x:c r="I1173" s="9" t="str">
        <x:v>PD15</x:v>
      </x:c>
      <x:c r="J1173" s="17" t="str">
        <x:v>Reconstruction ancestry and replay</x:v>
      </x:c>
      <x:c r="K1173" s="17" t="str">
        <x:v>Reconstruction court</x:v>
      </x:c>
      <x:c r="L1173" s="17" t="str">
        <x:v>COURT-SEALED UNTIL COHORT RELEASE</x:v>
      </x:c>
      <x:c r="M1173" s="9" t="n">
        <x:v>0</x:v>
      </x:c>
      <x:c r="N1173" s="9" t="n">
        <x:v>0</x:v>
      </x:c>
      <x:c r="O1173" s="9" t="n">
        <x:v>0</x:v>
      </x:c>
      <x:c r="P1173" s="9" t="str">
        <x:v>HELD / UNRELEASED</x:v>
      </x:c>
      <x:c r="Q1173" s="9" t="n">
        <x:f>COUNTIFS($A$7:$A$2310,A1173)</x:f>
        <x:v>1</x:v>
      </x:c>
    </x:row>
    <x:row r="1174">
      <x:c r="A1174" s="9" t="str">
        <x:v>PD-AR-CT-C-B-TECH-2-B2-INT-G0-PD16</x:v>
      </x:c>
      <x:c r="B1174" s="9" t="str">
        <x:v>PD-AR-CT-C-B-TECH-2-B2-INT-G0</x:v>
      </x:c>
      <x:c r="C1174" s="9" t="str">
        <x:v>EV-AR-CT-C-B-TECH-2-B2-INT-G0</x:v>
      </x:c>
      <x:c r="D1174" s="9" t="str">
        <x:v>AR-CT-C-B-TECH-2-B2-INT-G0</x:v>
      </x:c>
      <x:c r="E1174" s="9" t="str">
        <x:v>CT-C-B-TECH-2</x:v>
      </x:c>
      <x:c r="F1174" s="9" t="str">
        <x:v>CT-C-B</x:v>
      </x:c>
      <x:c r="G1174" s="9" t="str">
        <x:v>B2</x:v>
      </x:c>
      <x:c r="H1174" s="9" t="str">
        <x:v>INT</x:v>
      </x:c>
      <x:c r="I1174" s="9" t="str">
        <x:v>PD16</x:v>
      </x:c>
      <x:c r="J1174" s="17" t="str">
        <x:v>Dissent, amendments and access log</x:v>
      </x:c>
      <x:c r="K1174" s="17" t="str">
        <x:v>Public archive</x:v>
      </x:c>
      <x:c r="L1174" s="17" t="str">
        <x:v>COURT-SEALED UNTIL COHORT RELEASE</x:v>
      </x:c>
      <x:c r="M1174" s="9" t="n">
        <x:v>0</x:v>
      </x:c>
      <x:c r="N1174" s="9" t="n">
        <x:v>0</x:v>
      </x:c>
      <x:c r="O1174" s="9" t="n">
        <x:v>0</x:v>
      </x:c>
      <x:c r="P1174" s="9" t="str">
        <x:v>HELD / UNRELEASED</x:v>
      </x:c>
      <x:c r="Q1174" s="9" t="n">
        <x:f>COUNTIFS($A$7:$A$2310,A1174)</x:f>
        <x:v>1</x:v>
      </x:c>
    </x:row>
    <x:row r="1175">
      <x:c r="A1175" s="9" t="str">
        <x:v>PD-AR-CT-C-B-TECH-3-B1-INT-G0-PD01</x:v>
      </x:c>
      <x:c r="B1175" s="9" t="str">
        <x:v>PD-AR-CT-C-B-TECH-3-B1-INT-G0</x:v>
      </x:c>
      <x:c r="C1175" s="9" t="str">
        <x:v>EV-AR-CT-C-B-TECH-3-B1-INT-G0</x:v>
      </x:c>
      <x:c r="D1175" s="9" t="str">
        <x:v>AR-CT-C-B-TECH-3-B1-INT-G0</x:v>
      </x:c>
      <x:c r="E1175" s="9" t="str">
        <x:v>CT-C-B-TECH-3</x:v>
      </x:c>
      <x:c r="F1175" s="9" t="str">
        <x:v>CT-C-B</x:v>
      </x:c>
      <x:c r="G1175" s="9" t="str">
        <x:v>B1</x:v>
      </x:c>
      <x:c r="H1175" s="9" t="str">
        <x:v>INT</x:v>
      </x:c>
      <x:c r="I1175" s="9" t="str">
        <x:v>PD01</x:v>
      </x:c>
      <x:c r="J1175" s="17" t="str">
        <x:v>Experiment kernel</x:v>
      </x:c>
      <x:c r="K1175" s="17" t="str">
        <x:v>Public archive</x:v>
      </x:c>
      <x:c r="L1175" s="17" t="str">
        <x:v>COURT-SEALED UNTIL COHORT RELEASE</x:v>
      </x:c>
      <x:c r="M1175" s="9" t="n">
        <x:v>0</x:v>
      </x:c>
      <x:c r="N1175" s="9" t="n">
        <x:v>0</x:v>
      </x:c>
      <x:c r="O1175" s="9" t="n">
        <x:v>0</x:v>
      </x:c>
      <x:c r="P1175" s="9" t="str">
        <x:v>HELD / UNRELEASED</x:v>
      </x:c>
      <x:c r="Q1175" s="9" t="n">
        <x:f>COUNTIFS($A$7:$A$2310,A1175)</x:f>
        <x:v>1</x:v>
      </x:c>
    </x:row>
    <x:row r="1176">
      <x:c r="A1176" s="9" t="str">
        <x:v>PD-AR-CT-C-B-TECH-3-B1-INT-G0-PD02</x:v>
      </x:c>
      <x:c r="B1176" s="9" t="str">
        <x:v>PD-AR-CT-C-B-TECH-3-B1-INT-G0</x:v>
      </x:c>
      <x:c r="C1176" s="9" t="str">
        <x:v>EV-AR-CT-C-B-TECH-3-B1-INT-G0</x:v>
      </x:c>
      <x:c r="D1176" s="9" t="str">
        <x:v>AR-CT-C-B-TECH-3-B1-INT-G0</x:v>
      </x:c>
      <x:c r="E1176" s="9" t="str">
        <x:v>CT-C-B-TECH-3</x:v>
      </x:c>
      <x:c r="F1176" s="9" t="str">
        <x:v>CT-C-B</x:v>
      </x:c>
      <x:c r="G1176" s="9" t="str">
        <x:v>B1</x:v>
      </x:c>
      <x:c r="H1176" s="9" t="str">
        <x:v>INT</x:v>
      </x:c>
      <x:c r="I1176" s="9" t="str">
        <x:v>PD02</x:v>
      </x:c>
      <x:c r="J1176" s="17" t="str">
        <x:v>Serial annex and title chain</x:v>
      </x:c>
      <x:c r="K1176" s="17" t="str">
        <x:v>Public archive</x:v>
      </x:c>
      <x:c r="L1176" s="17" t="str">
        <x:v>COURT-SEALED UNTIL COHORT RELEASE</x:v>
      </x:c>
      <x:c r="M1176" s="9" t="n">
        <x:v>0</x:v>
      </x:c>
      <x:c r="N1176" s="9" t="n">
        <x:v>0</x:v>
      </x:c>
      <x:c r="O1176" s="9" t="n">
        <x:v>0</x:v>
      </x:c>
      <x:c r="P1176" s="9" t="str">
        <x:v>HELD / UNRELEASED</x:v>
      </x:c>
      <x:c r="Q1176" s="9" t="n">
        <x:f>COUNTIFS($A$7:$A$2310,A1176)</x:f>
        <x:v>1</x:v>
      </x:c>
    </x:row>
    <x:row r="1177">
      <x:c r="A1177" s="9" t="str">
        <x:v>PD-AR-CT-C-B-TECH-3-B1-INT-G0-PD03</x:v>
      </x:c>
      <x:c r="B1177" s="9" t="str">
        <x:v>PD-AR-CT-C-B-TECH-3-B1-INT-G0</x:v>
      </x:c>
      <x:c r="C1177" s="9" t="str">
        <x:v>EV-AR-CT-C-B-TECH-3-B1-INT-G0</x:v>
      </x:c>
      <x:c r="D1177" s="9" t="str">
        <x:v>AR-CT-C-B-TECH-3-B1-INT-G0</x:v>
      </x:c>
      <x:c r="E1177" s="9" t="str">
        <x:v>CT-C-B-TECH-3</x:v>
      </x:c>
      <x:c r="F1177" s="9" t="str">
        <x:v>CT-C-B</x:v>
      </x:c>
      <x:c r="G1177" s="9" t="str">
        <x:v>B1</x:v>
      </x:c>
      <x:c r="H1177" s="9" t="str">
        <x:v>INT</x:v>
      </x:c>
      <x:c r="I1177" s="9" t="str">
        <x:v>PD03</x:v>
      </x:c>
      <x:c r="J1177" s="17" t="str">
        <x:v>Configuration and as-built manifest</x:v>
      </x:c>
      <x:c r="K1177" s="17" t="str">
        <x:v>Artifact exchange</x:v>
      </x:c>
      <x:c r="L1177" s="17" t="str">
        <x:v>COURT-SEALED UNTIL COHORT RELEASE</x:v>
      </x:c>
      <x:c r="M1177" s="9" t="n">
        <x:v>0</x:v>
      </x:c>
      <x:c r="N1177" s="9" t="n">
        <x:v>0</x:v>
      </x:c>
      <x:c r="O1177" s="9" t="n">
        <x:v>0</x:v>
      </x:c>
      <x:c r="P1177" s="9" t="str">
        <x:v>HELD / UNRELEASED</x:v>
      </x:c>
      <x:c r="Q1177" s="9" t="n">
        <x:f>COUNTIFS($A$7:$A$2310,A1177)</x:f>
        <x:v>1</x:v>
      </x:c>
    </x:row>
    <x:row r="1178">
      <x:c r="A1178" s="9" t="str">
        <x:v>PD-AR-CT-C-B-TECH-3-B1-INT-G0-PD04</x:v>
      </x:c>
      <x:c r="B1178" s="9" t="str">
        <x:v>PD-AR-CT-C-B-TECH-3-B1-INT-G0</x:v>
      </x:c>
      <x:c r="C1178" s="9" t="str">
        <x:v>EV-AR-CT-C-B-TECH-3-B1-INT-G0</x:v>
      </x:c>
      <x:c r="D1178" s="9" t="str">
        <x:v>AR-CT-C-B-TECH-3-B1-INT-G0</x:v>
      </x:c>
      <x:c r="E1178" s="9" t="str">
        <x:v>CT-C-B-TECH-3</x:v>
      </x:c>
      <x:c r="F1178" s="9" t="str">
        <x:v>CT-C-B</x:v>
      </x:c>
      <x:c r="G1178" s="9" t="str">
        <x:v>B1</x:v>
      </x:c>
      <x:c r="H1178" s="9" t="str">
        <x:v>INT</x:v>
      </x:c>
      <x:c r="I1178" s="9" t="str">
        <x:v>PD04</x:v>
      </x:c>
      <x:c r="J1178" s="17" t="str">
        <x:v>EOW and start certificate</x:v>
      </x:c>
      <x:c r="K1178" s="17" t="str">
        <x:v>Start registrar</x:v>
      </x:c>
      <x:c r="L1178" s="17" t="str">
        <x:v>COURT-SEALED UNTIL COHORT RELEASE</x:v>
      </x:c>
      <x:c r="M1178" s="9" t="n">
        <x:v>0</x:v>
      </x:c>
      <x:c r="N1178" s="9" t="n">
        <x:v>0</x:v>
      </x:c>
      <x:c r="O1178" s="9" t="n">
        <x:v>0</x:v>
      </x:c>
      <x:c r="P1178" s="9" t="str">
        <x:v>HELD / UNRELEASED</x:v>
      </x:c>
      <x:c r="Q1178" s="9" t="n">
        <x:f>COUNTIFS($A$7:$A$2310,A1178)</x:f>
        <x:v>1</x:v>
      </x:c>
    </x:row>
    <x:row r="1179">
      <x:c r="A1179" s="9" t="str">
        <x:v>PD-AR-CT-C-B-TECH-3-B1-INT-G0-PD05</x:v>
      </x:c>
      <x:c r="B1179" s="9" t="str">
        <x:v>PD-AR-CT-C-B-TECH-3-B1-INT-G0</x:v>
      </x:c>
      <x:c r="C1179" s="9" t="str">
        <x:v>EV-AR-CT-C-B-TECH-3-B1-INT-G0</x:v>
      </x:c>
      <x:c r="D1179" s="9" t="str">
        <x:v>AR-CT-C-B-TECH-3-B1-INT-G0</x:v>
      </x:c>
      <x:c r="E1179" s="9" t="str">
        <x:v>CT-C-B-TECH-3</x:v>
      </x:c>
      <x:c r="F1179" s="9" t="str">
        <x:v>CT-C-B</x:v>
      </x:c>
      <x:c r="G1179" s="9" t="str">
        <x:v>B1</x:v>
      </x:c>
      <x:c r="H1179" s="9" t="str">
        <x:v>INT</x:v>
      </x:c>
      <x:c r="I1179" s="9" t="str">
        <x:v>PD05</x:v>
      </x:c>
      <x:c r="J1179" s="17" t="str">
        <x:v>Primary raw originals</x:v>
      </x:c>
      <x:c r="K1179" s="17" t="str">
        <x:v>Primary custody</x:v>
      </x:c>
      <x:c r="L1179" s="17" t="str">
        <x:v>COURT-SEALED UNTIL COHORT RELEASE</x:v>
      </x:c>
      <x:c r="M1179" s="9" t="n">
        <x:v>0</x:v>
      </x:c>
      <x:c r="N1179" s="9" t="n">
        <x:v>0</x:v>
      </x:c>
      <x:c r="O1179" s="9" t="n">
        <x:v>0</x:v>
      </x:c>
      <x:c r="P1179" s="9" t="str">
        <x:v>HELD / UNRELEASED</x:v>
      </x:c>
      <x:c r="Q1179" s="9" t="n">
        <x:f>COUNTIFS($A$7:$A$2310,A1179)</x:f>
        <x:v>1</x:v>
      </x:c>
    </x:row>
    <x:row r="1180">
      <x:c r="A1180" s="9" t="str">
        <x:v>PD-AR-CT-C-B-TECH-3-B1-INT-G0-PD06</x:v>
      </x:c>
      <x:c r="B1180" s="9" t="str">
        <x:v>PD-AR-CT-C-B-TECH-3-B1-INT-G0</x:v>
      </x:c>
      <x:c r="C1180" s="9" t="str">
        <x:v>EV-AR-CT-C-B-TECH-3-B1-INT-G0</x:v>
      </x:c>
      <x:c r="D1180" s="9" t="str">
        <x:v>AR-CT-C-B-TECH-3-B1-INT-G0</x:v>
      </x:c>
      <x:c r="E1180" s="9" t="str">
        <x:v>CT-C-B-TECH-3</x:v>
      </x:c>
      <x:c r="F1180" s="9" t="str">
        <x:v>CT-C-B</x:v>
      </x:c>
      <x:c r="G1180" s="9" t="str">
        <x:v>B1</x:v>
      </x:c>
      <x:c r="H1180" s="9" t="str">
        <x:v>INT</x:v>
      </x:c>
      <x:c r="I1180" s="9" t="str">
        <x:v>PD06</x:v>
      </x:c>
      <x:c r="J1180" s="17" t="str">
        <x:v>Witness raw originals</x:v>
      </x:c>
      <x:c r="K1180" s="17" t="str">
        <x:v>Witness custody</x:v>
      </x:c>
      <x:c r="L1180" s="17" t="str">
        <x:v>COURT-SEALED UNTIL COHORT RELEASE</x:v>
      </x:c>
      <x:c r="M1180" s="9" t="n">
        <x:v>0</x:v>
      </x:c>
      <x:c r="N1180" s="9" t="n">
        <x:v>0</x:v>
      </x:c>
      <x:c r="O1180" s="9" t="n">
        <x:v>0</x:v>
      </x:c>
      <x:c r="P1180" s="9" t="str">
        <x:v>HELD / UNRELEASED</x:v>
      </x:c>
      <x:c r="Q1180" s="9" t="n">
        <x:f>COUNTIFS($A$7:$A$2310,A1180)</x:f>
        <x:v>1</x:v>
      </x:c>
    </x:row>
    <x:row r="1181">
      <x:c r="A1181" s="9" t="str">
        <x:v>PD-AR-CT-C-B-TECH-3-B1-INT-G0-PD07</x:v>
      </x:c>
      <x:c r="B1181" s="9" t="str">
        <x:v>PD-AR-CT-C-B-TECH-3-B1-INT-G0</x:v>
      </x:c>
      <x:c r="C1181" s="9" t="str">
        <x:v>EV-AR-CT-C-B-TECH-3-B1-INT-G0</x:v>
      </x:c>
      <x:c r="D1181" s="9" t="str">
        <x:v>AR-CT-C-B-TECH-3-B1-INT-G0</x:v>
      </x:c>
      <x:c r="E1181" s="9" t="str">
        <x:v>CT-C-B-TECH-3</x:v>
      </x:c>
      <x:c r="F1181" s="9" t="str">
        <x:v>CT-C-B</x:v>
      </x:c>
      <x:c r="G1181" s="9" t="str">
        <x:v>B1</x:v>
      </x:c>
      <x:c r="H1181" s="9" t="str">
        <x:v>INT</x:v>
      </x:c>
      <x:c r="I1181" s="9" t="str">
        <x:v>PD07</x:v>
      </x:c>
      <x:c r="J1181" s="17" t="str">
        <x:v>Clock and environmental records</x:v>
      </x:c>
      <x:c r="K1181" s="17" t="str">
        <x:v>Boundary archive</x:v>
      </x:c>
      <x:c r="L1181" s="17" t="str">
        <x:v>COURT-SEALED UNTIL COHORT RELEASE</x:v>
      </x:c>
      <x:c r="M1181" s="9" t="n">
        <x:v>0</x:v>
      </x:c>
      <x:c r="N1181" s="9" t="n">
        <x:v>0</x:v>
      </x:c>
      <x:c r="O1181" s="9" t="n">
        <x:v>0</x:v>
      </x:c>
      <x:c r="P1181" s="9" t="str">
        <x:v>HELD / UNRELEASED</x:v>
      </x:c>
      <x:c r="Q1181" s="9" t="n">
        <x:f>COUNTIFS($A$7:$A$2310,A1181)</x:f>
        <x:v>1</x:v>
      </x:c>
    </x:row>
    <x:row r="1182">
      <x:c r="A1182" s="9" t="str">
        <x:v>PD-AR-CT-C-B-TECH-3-B1-INT-G0-PD08</x:v>
      </x:c>
      <x:c r="B1182" s="9" t="str">
        <x:v>PD-AR-CT-C-B-TECH-3-B1-INT-G0</x:v>
      </x:c>
      <x:c r="C1182" s="9" t="str">
        <x:v>EV-AR-CT-C-B-TECH-3-B1-INT-G0</x:v>
      </x:c>
      <x:c r="D1182" s="9" t="str">
        <x:v>AR-CT-C-B-TECH-3-B1-INT-G0</x:v>
      </x:c>
      <x:c r="E1182" s="9" t="str">
        <x:v>CT-C-B-TECH-3</x:v>
      </x:c>
      <x:c r="F1182" s="9" t="str">
        <x:v>CT-C-B</x:v>
      </x:c>
      <x:c r="G1182" s="9" t="str">
        <x:v>B1</x:v>
      </x:c>
      <x:c r="H1182" s="9" t="str">
        <x:v>INT</x:v>
      </x:c>
      <x:c r="I1182" s="9" t="str">
        <x:v>PD08</x:v>
      </x:c>
      <x:c r="J1182" s="17" t="str">
        <x:v>Command and intervention log</x:v>
      </x:c>
      <x:c r="K1182" s="17" t="str">
        <x:v>Safety archive</x:v>
      </x:c>
      <x:c r="L1182" s="17" t="str">
        <x:v>COURT-SEALED UNTIL COHORT RELEASE</x:v>
      </x:c>
      <x:c r="M1182" s="9" t="n">
        <x:v>0</x:v>
      </x:c>
      <x:c r="N1182" s="9" t="n">
        <x:v>0</x:v>
      </x:c>
      <x:c r="O1182" s="9" t="n">
        <x:v>0</x:v>
      </x:c>
      <x:c r="P1182" s="9" t="str">
        <x:v>HELD / UNRELEASED</x:v>
      </x:c>
      <x:c r="Q1182" s="9" t="n">
        <x:f>COUNTIFS($A$7:$A$2310,A1182)</x:f>
        <x:v>1</x:v>
      </x:c>
    </x:row>
    <x:row r="1183">
      <x:c r="A1183" s="9" t="str">
        <x:v>PD-AR-CT-C-B-TECH-3-B1-INT-G0-PD09</x:v>
      </x:c>
      <x:c r="B1183" s="9" t="str">
        <x:v>PD-AR-CT-C-B-TECH-3-B1-INT-G0</x:v>
      </x:c>
      <x:c r="C1183" s="9" t="str">
        <x:v>EV-AR-CT-C-B-TECH-3-B1-INT-G0</x:v>
      </x:c>
      <x:c r="D1183" s="9" t="str">
        <x:v>AR-CT-C-B-TECH-3-B1-INT-G0</x:v>
      </x:c>
      <x:c r="E1183" s="9" t="str">
        <x:v>CT-C-B-TECH-3</x:v>
      </x:c>
      <x:c r="F1183" s="9" t="str">
        <x:v>CT-C-B</x:v>
      </x:c>
      <x:c r="G1183" s="9" t="str">
        <x:v>B1</x:v>
      </x:c>
      <x:c r="H1183" s="9" t="str">
        <x:v>INT</x:v>
      </x:c>
      <x:c r="I1183" s="9" t="str">
        <x:v>PD09</x:v>
      </x:c>
      <x:c r="J1183" s="17" t="str">
        <x:v>Receiver denominator and service ledger</x:v>
      </x:c>
      <x:c r="K1183" s="17" t="str">
        <x:v>Receiver archive</x:v>
      </x:c>
      <x:c r="L1183" s="17" t="str">
        <x:v>COURT-SEALED UNTIL COHORT RELEASE</x:v>
      </x:c>
      <x:c r="M1183" s="9" t="n">
        <x:v>0</x:v>
      </x:c>
      <x:c r="N1183" s="9" t="n">
        <x:v>0</x:v>
      </x:c>
      <x:c r="O1183" s="9" t="n">
        <x:v>0</x:v>
      </x:c>
      <x:c r="P1183" s="9" t="str">
        <x:v>HELD / UNRELEASED</x:v>
      </x:c>
      <x:c r="Q1183" s="9" t="n">
        <x:f>COUNTIFS($A$7:$A$2310,A1183)</x:f>
        <x:v>1</x:v>
      </x:c>
    </x:row>
    <x:row r="1184">
      <x:c r="A1184" s="9" t="str">
        <x:v>PD-AR-CT-C-B-TECH-3-B1-INT-G0-PD10</x:v>
      </x:c>
      <x:c r="B1184" s="9" t="str">
        <x:v>PD-AR-CT-C-B-TECH-3-B1-INT-G0</x:v>
      </x:c>
      <x:c r="C1184" s="9" t="str">
        <x:v>EV-AR-CT-C-B-TECH-3-B1-INT-G0</x:v>
      </x:c>
      <x:c r="D1184" s="9" t="str">
        <x:v>AR-CT-C-B-TECH-3-B1-INT-G0</x:v>
      </x:c>
      <x:c r="E1184" s="9" t="str">
        <x:v>CT-C-B-TECH-3</x:v>
      </x:c>
      <x:c r="F1184" s="9" t="str">
        <x:v>CT-C-B</x:v>
      </x:c>
      <x:c r="G1184" s="9" t="str">
        <x:v>B1</x:v>
      </x:c>
      <x:c r="H1184" s="9" t="str">
        <x:v>INT</x:v>
      </x:c>
      <x:c r="I1184" s="9" t="str">
        <x:v>PD10</x:v>
      </x:c>
      <x:c r="J1184" s="17" t="str">
        <x:v>Calibration and uncertainty record</x:v>
      </x:c>
      <x:c r="K1184" s="17" t="str">
        <x:v>Metrology archive</x:v>
      </x:c>
      <x:c r="L1184" s="17" t="str">
        <x:v>COURT-SEALED UNTIL COHORT RELEASE</x:v>
      </x:c>
      <x:c r="M1184" s="9" t="n">
        <x:v>0</x:v>
      </x:c>
      <x:c r="N1184" s="9" t="n">
        <x:v>0</x:v>
      </x:c>
      <x:c r="O1184" s="9" t="n">
        <x:v>0</x:v>
      </x:c>
      <x:c r="P1184" s="9" t="str">
        <x:v>HELD / UNRELEASED</x:v>
      </x:c>
      <x:c r="Q1184" s="9" t="n">
        <x:f>COUNTIFS($A$7:$A$2310,A1184)</x:f>
        <x:v>1</x:v>
      </x:c>
    </x:row>
    <x:row r="1185">
      <x:c r="A1185" s="9" t="str">
        <x:v>PD-AR-CT-C-B-TECH-3-B1-INT-G0-PD11</x:v>
      </x:c>
      <x:c r="B1185" s="9" t="str">
        <x:v>PD-AR-CT-C-B-TECH-3-B1-INT-G0</x:v>
      </x:c>
      <x:c r="C1185" s="9" t="str">
        <x:v>EV-AR-CT-C-B-TECH-3-B1-INT-G0</x:v>
      </x:c>
      <x:c r="D1185" s="9" t="str">
        <x:v>AR-CT-C-B-TECH-3-B1-INT-G0</x:v>
      </x:c>
      <x:c r="E1185" s="9" t="str">
        <x:v>CT-C-B-TECH-3</x:v>
      </x:c>
      <x:c r="F1185" s="9" t="str">
        <x:v>CT-C-B</x:v>
      </x:c>
      <x:c r="G1185" s="9" t="str">
        <x:v>B1</x:v>
      </x:c>
      <x:c r="H1185" s="9" t="str">
        <x:v>INT</x:v>
      </x:c>
      <x:c r="I1185" s="9" t="str">
        <x:v>PD11</x:v>
      </x:c>
      <x:c r="J1185" s="17" t="str">
        <x:v>Invalidity petition and opinion</x:v>
      </x:c>
      <x:c r="K1185" s="17" t="str">
        <x:v>Invalidity court</x:v>
      </x:c>
      <x:c r="L1185" s="17" t="str">
        <x:v>COURT-SEALED UNTIL COHORT RELEASE</x:v>
      </x:c>
      <x:c r="M1185" s="9" t="n">
        <x:v>0</x:v>
      </x:c>
      <x:c r="N1185" s="9" t="n">
        <x:v>0</x:v>
      </x:c>
      <x:c r="O1185" s="9" t="n">
        <x:v>0</x:v>
      </x:c>
      <x:c r="P1185" s="9" t="str">
        <x:v>HELD / UNRELEASED</x:v>
      </x:c>
      <x:c r="Q1185" s="9" t="n">
        <x:f>COUNTIFS($A$7:$A$2310,A1185)</x:f>
        <x:v>1</x:v>
      </x:c>
    </x:row>
    <x:row r="1186">
      <x:c r="A1186" s="9" t="str">
        <x:v>PD-AR-CT-C-B-TECH-3-B1-INT-G0-PD12</x:v>
      </x:c>
      <x:c r="B1186" s="9" t="str">
        <x:v>PD-AR-CT-C-B-TECH-3-B1-INT-G0</x:v>
      </x:c>
      <x:c r="C1186" s="9" t="str">
        <x:v>EV-AR-CT-C-B-TECH-3-B1-INT-G0</x:v>
      </x:c>
      <x:c r="D1186" s="9" t="str">
        <x:v>AR-CT-C-B-TECH-3-B1-INT-G0</x:v>
      </x:c>
      <x:c r="E1186" s="9" t="str">
        <x:v>CT-C-B-TECH-3</x:v>
      </x:c>
      <x:c r="F1186" s="9" t="str">
        <x:v>CT-C-B</x:v>
      </x:c>
      <x:c r="G1186" s="9" t="str">
        <x:v>B1</x:v>
      </x:c>
      <x:c r="H1186" s="9" t="str">
        <x:v>INT</x:v>
      </x:c>
      <x:c r="I1186" s="9" t="str">
        <x:v>PD12</x:v>
      </x:c>
      <x:c r="J1186" s="17" t="str">
        <x:v>Observation acceptance and replay</x:v>
      </x:c>
      <x:c r="K1186" s="17" t="str">
        <x:v>Observation court</x:v>
      </x:c>
      <x:c r="L1186" s="17" t="str">
        <x:v>COURT-SEALED UNTIL COHORT RELEASE</x:v>
      </x:c>
      <x:c r="M1186" s="9" t="n">
        <x:v>0</x:v>
      </x:c>
      <x:c r="N1186" s="9" t="n">
        <x:v>0</x:v>
      </x:c>
      <x:c r="O1186" s="9" t="n">
        <x:v>0</x:v>
      </x:c>
      <x:c r="P1186" s="9" t="str">
        <x:v>HELD / UNRELEASED</x:v>
      </x:c>
      <x:c r="Q1186" s="9" t="n">
        <x:f>COUNTIFS($A$7:$A$2310,A1186)</x:f>
        <x:v>1</x:v>
      </x:c>
    </x:row>
    <x:row r="1187">
      <x:c r="A1187" s="9" t="str">
        <x:v>PD-AR-CT-C-B-TECH-3-B1-INT-G0-PD13</x:v>
      </x:c>
      <x:c r="B1187" s="9" t="str">
        <x:v>PD-AR-CT-C-B-TECH-3-B1-INT-G0</x:v>
      </x:c>
      <x:c r="C1187" s="9" t="str">
        <x:v>EV-AR-CT-C-B-TECH-3-B1-INT-G0</x:v>
      </x:c>
      <x:c r="D1187" s="9" t="str">
        <x:v>AR-CT-C-B-TECH-3-B1-INT-G0</x:v>
      </x:c>
      <x:c r="E1187" s="9" t="str">
        <x:v>CT-C-B-TECH-3</x:v>
      </x:c>
      <x:c r="F1187" s="9" t="str">
        <x:v>CT-C-B</x:v>
      </x:c>
      <x:c r="G1187" s="9" t="str">
        <x:v>B1</x:v>
      </x:c>
      <x:c r="H1187" s="9" t="str">
        <x:v>INT</x:v>
      </x:c>
      <x:c r="I1187" s="9" t="str">
        <x:v>PD13</x:v>
      </x:c>
      <x:c r="J1187" s="17" t="str">
        <x:v>Role judgment</x:v>
      </x:c>
      <x:c r="K1187" s="17" t="str">
        <x:v>Role court</x:v>
      </x:c>
      <x:c r="L1187" s="17" t="str">
        <x:v>COURT-SEALED UNTIL COHORT RELEASE</x:v>
      </x:c>
      <x:c r="M1187" s="9" t="n">
        <x:v>0</x:v>
      </x:c>
      <x:c r="N1187" s="9" t="n">
        <x:v>0</x:v>
      </x:c>
      <x:c r="O1187" s="9" t="n">
        <x:v>0</x:v>
      </x:c>
      <x:c r="P1187" s="9" t="str">
        <x:v>HELD / UNRELEASED</x:v>
      </x:c>
      <x:c r="Q1187" s="9" t="n">
        <x:f>COUNTIFS($A$7:$A$2310,A1187)</x:f>
        <x:v>1</x:v>
      </x:c>
    </x:row>
    <x:row r="1188">
      <x:c r="A1188" s="9" t="str">
        <x:v>PD-AR-CT-C-B-TECH-3-B1-INT-G0-PD14</x:v>
      </x:c>
      <x:c r="B1188" s="9" t="str">
        <x:v>PD-AR-CT-C-B-TECH-3-B1-INT-G0</x:v>
      </x:c>
      <x:c r="C1188" s="9" t="str">
        <x:v>EV-AR-CT-C-B-TECH-3-B1-INT-G0</x:v>
      </x:c>
      <x:c r="D1188" s="9" t="str">
        <x:v>AR-CT-C-B-TECH-3-B1-INT-G0</x:v>
      </x:c>
      <x:c r="E1188" s="9" t="str">
        <x:v>CT-C-B-TECH-3</x:v>
      </x:c>
      <x:c r="F1188" s="9" t="str">
        <x:v>CT-C-B</x:v>
      </x:c>
      <x:c r="G1188" s="9" t="str">
        <x:v>B1</x:v>
      </x:c>
      <x:c r="H1188" s="9" t="str">
        <x:v>INT</x:v>
      </x:c>
      <x:c r="I1188" s="9" t="str">
        <x:v>PD14</x:v>
      </x:c>
      <x:c r="J1188" s="17" t="str">
        <x:v>Break and residual account</x:v>
      </x:c>
      <x:c r="K1188" s="17" t="str">
        <x:v>Residual authority</x:v>
      </x:c>
      <x:c r="L1188" s="17" t="str">
        <x:v>COURT-SEALED UNTIL COHORT RELEASE</x:v>
      </x:c>
      <x:c r="M1188" s="9" t="n">
        <x:v>0</x:v>
      </x:c>
      <x:c r="N1188" s="9" t="n">
        <x:v>0</x:v>
      </x:c>
      <x:c r="O1188" s="9" t="n">
        <x:v>0</x:v>
      </x:c>
      <x:c r="P1188" s="9" t="str">
        <x:v>HELD / UNRELEASED</x:v>
      </x:c>
      <x:c r="Q1188" s="9" t="n">
        <x:f>COUNTIFS($A$7:$A$2310,A1188)</x:f>
        <x:v>1</x:v>
      </x:c>
    </x:row>
    <x:row r="1189">
      <x:c r="A1189" s="9" t="str">
        <x:v>PD-AR-CT-C-B-TECH-3-B1-INT-G0-PD15</x:v>
      </x:c>
      <x:c r="B1189" s="9" t="str">
        <x:v>PD-AR-CT-C-B-TECH-3-B1-INT-G0</x:v>
      </x:c>
      <x:c r="C1189" s="9" t="str">
        <x:v>EV-AR-CT-C-B-TECH-3-B1-INT-G0</x:v>
      </x:c>
      <x:c r="D1189" s="9" t="str">
        <x:v>AR-CT-C-B-TECH-3-B1-INT-G0</x:v>
      </x:c>
      <x:c r="E1189" s="9" t="str">
        <x:v>CT-C-B-TECH-3</x:v>
      </x:c>
      <x:c r="F1189" s="9" t="str">
        <x:v>CT-C-B</x:v>
      </x:c>
      <x:c r="G1189" s="9" t="str">
        <x:v>B1</x:v>
      </x:c>
      <x:c r="H1189" s="9" t="str">
        <x:v>INT</x:v>
      </x:c>
      <x:c r="I1189" s="9" t="str">
        <x:v>PD15</x:v>
      </x:c>
      <x:c r="J1189" s="17" t="str">
        <x:v>Reconstruction ancestry and replay</x:v>
      </x:c>
      <x:c r="K1189" s="17" t="str">
        <x:v>Reconstruction court</x:v>
      </x:c>
      <x:c r="L1189" s="17" t="str">
        <x:v>COURT-SEALED UNTIL COHORT RELEASE</x:v>
      </x:c>
      <x:c r="M1189" s="9" t="n">
        <x:v>0</x:v>
      </x:c>
      <x:c r="N1189" s="9" t="n">
        <x:v>0</x:v>
      </x:c>
      <x:c r="O1189" s="9" t="n">
        <x:v>0</x:v>
      </x:c>
      <x:c r="P1189" s="9" t="str">
        <x:v>HELD / UNRELEASED</x:v>
      </x:c>
      <x:c r="Q1189" s="9" t="n">
        <x:f>COUNTIFS($A$7:$A$2310,A1189)</x:f>
        <x:v>1</x:v>
      </x:c>
    </x:row>
    <x:row r="1190">
      <x:c r="A1190" s="9" t="str">
        <x:v>PD-AR-CT-C-B-TECH-3-B1-INT-G0-PD16</x:v>
      </x:c>
      <x:c r="B1190" s="9" t="str">
        <x:v>PD-AR-CT-C-B-TECH-3-B1-INT-G0</x:v>
      </x:c>
      <x:c r="C1190" s="9" t="str">
        <x:v>EV-AR-CT-C-B-TECH-3-B1-INT-G0</x:v>
      </x:c>
      <x:c r="D1190" s="9" t="str">
        <x:v>AR-CT-C-B-TECH-3-B1-INT-G0</x:v>
      </x:c>
      <x:c r="E1190" s="9" t="str">
        <x:v>CT-C-B-TECH-3</x:v>
      </x:c>
      <x:c r="F1190" s="9" t="str">
        <x:v>CT-C-B</x:v>
      </x:c>
      <x:c r="G1190" s="9" t="str">
        <x:v>B1</x:v>
      </x:c>
      <x:c r="H1190" s="9" t="str">
        <x:v>INT</x:v>
      </x:c>
      <x:c r="I1190" s="9" t="str">
        <x:v>PD16</x:v>
      </x:c>
      <x:c r="J1190" s="17" t="str">
        <x:v>Dissent, amendments and access log</x:v>
      </x:c>
      <x:c r="K1190" s="17" t="str">
        <x:v>Public archive</x:v>
      </x:c>
      <x:c r="L1190" s="17" t="str">
        <x:v>COURT-SEALED UNTIL COHORT RELEASE</x:v>
      </x:c>
      <x:c r="M1190" s="9" t="n">
        <x:v>0</x:v>
      </x:c>
      <x:c r="N1190" s="9" t="n">
        <x:v>0</x:v>
      </x:c>
      <x:c r="O1190" s="9" t="n">
        <x:v>0</x:v>
      </x:c>
      <x:c r="P1190" s="9" t="str">
        <x:v>HELD / UNRELEASED</x:v>
      </x:c>
      <x:c r="Q1190" s="9" t="n">
        <x:f>COUNTIFS($A$7:$A$2310,A1190)</x:f>
        <x:v>1</x:v>
      </x:c>
    </x:row>
    <x:row r="1191">
      <x:c r="A1191" s="9" t="str">
        <x:v>PD-AR-ET-A-A-TECH-4-B1-INT-G0-PD01</x:v>
      </x:c>
      <x:c r="B1191" s="9" t="str">
        <x:v>PD-AR-ET-A-A-TECH-4-B1-INT-G0</x:v>
      </x:c>
      <x:c r="C1191" s="9" t="str">
        <x:v>EV-AR-ET-A-A-TECH-4-B1-INT-G0</x:v>
      </x:c>
      <x:c r="D1191" s="9" t="str">
        <x:v>AR-ET-A-A-TECH-4-B1-INT-G0</x:v>
      </x:c>
      <x:c r="E1191" s="9" t="str">
        <x:v>ET-A-A-TECH-4</x:v>
      </x:c>
      <x:c r="F1191" s="9" t="str">
        <x:v>ET-A-A</x:v>
      </x:c>
      <x:c r="G1191" s="9" t="str">
        <x:v>B1</x:v>
      </x:c>
      <x:c r="H1191" s="9" t="str">
        <x:v>INT</x:v>
      </x:c>
      <x:c r="I1191" s="9" t="str">
        <x:v>PD01</x:v>
      </x:c>
      <x:c r="J1191" s="17" t="str">
        <x:v>Experiment kernel</x:v>
      </x:c>
      <x:c r="K1191" s="17" t="str">
        <x:v>Public archive</x:v>
      </x:c>
      <x:c r="L1191" s="17" t="str">
        <x:v>COURT-SEALED UNTIL COHORT RELEASE</x:v>
      </x:c>
      <x:c r="M1191" s="9" t="n">
        <x:v>0</x:v>
      </x:c>
      <x:c r="N1191" s="9" t="n">
        <x:v>0</x:v>
      </x:c>
      <x:c r="O1191" s="9" t="n">
        <x:v>0</x:v>
      </x:c>
      <x:c r="P1191" s="9" t="str">
        <x:v>HELD / UNRELEASED</x:v>
      </x:c>
      <x:c r="Q1191" s="9" t="n">
        <x:f>COUNTIFS($A$7:$A$2310,A1191)</x:f>
        <x:v>1</x:v>
      </x:c>
    </x:row>
    <x:row r="1192">
      <x:c r="A1192" s="9" t="str">
        <x:v>PD-AR-ET-A-A-TECH-4-B1-INT-G0-PD02</x:v>
      </x:c>
      <x:c r="B1192" s="9" t="str">
        <x:v>PD-AR-ET-A-A-TECH-4-B1-INT-G0</x:v>
      </x:c>
      <x:c r="C1192" s="9" t="str">
        <x:v>EV-AR-ET-A-A-TECH-4-B1-INT-G0</x:v>
      </x:c>
      <x:c r="D1192" s="9" t="str">
        <x:v>AR-ET-A-A-TECH-4-B1-INT-G0</x:v>
      </x:c>
      <x:c r="E1192" s="9" t="str">
        <x:v>ET-A-A-TECH-4</x:v>
      </x:c>
      <x:c r="F1192" s="9" t="str">
        <x:v>ET-A-A</x:v>
      </x:c>
      <x:c r="G1192" s="9" t="str">
        <x:v>B1</x:v>
      </x:c>
      <x:c r="H1192" s="9" t="str">
        <x:v>INT</x:v>
      </x:c>
      <x:c r="I1192" s="9" t="str">
        <x:v>PD02</x:v>
      </x:c>
      <x:c r="J1192" s="17" t="str">
        <x:v>Serial annex and title chain</x:v>
      </x:c>
      <x:c r="K1192" s="17" t="str">
        <x:v>Public archive</x:v>
      </x:c>
      <x:c r="L1192" s="17" t="str">
        <x:v>COURT-SEALED UNTIL COHORT RELEASE</x:v>
      </x:c>
      <x:c r="M1192" s="9" t="n">
        <x:v>0</x:v>
      </x:c>
      <x:c r="N1192" s="9" t="n">
        <x:v>0</x:v>
      </x:c>
      <x:c r="O1192" s="9" t="n">
        <x:v>0</x:v>
      </x:c>
      <x:c r="P1192" s="9" t="str">
        <x:v>HELD / UNRELEASED</x:v>
      </x:c>
      <x:c r="Q1192" s="9" t="n">
        <x:f>COUNTIFS($A$7:$A$2310,A1192)</x:f>
        <x:v>1</x:v>
      </x:c>
    </x:row>
    <x:row r="1193">
      <x:c r="A1193" s="9" t="str">
        <x:v>PD-AR-ET-A-A-TECH-4-B1-INT-G0-PD03</x:v>
      </x:c>
      <x:c r="B1193" s="9" t="str">
        <x:v>PD-AR-ET-A-A-TECH-4-B1-INT-G0</x:v>
      </x:c>
      <x:c r="C1193" s="9" t="str">
        <x:v>EV-AR-ET-A-A-TECH-4-B1-INT-G0</x:v>
      </x:c>
      <x:c r="D1193" s="9" t="str">
        <x:v>AR-ET-A-A-TECH-4-B1-INT-G0</x:v>
      </x:c>
      <x:c r="E1193" s="9" t="str">
        <x:v>ET-A-A-TECH-4</x:v>
      </x:c>
      <x:c r="F1193" s="9" t="str">
        <x:v>ET-A-A</x:v>
      </x:c>
      <x:c r="G1193" s="9" t="str">
        <x:v>B1</x:v>
      </x:c>
      <x:c r="H1193" s="9" t="str">
        <x:v>INT</x:v>
      </x:c>
      <x:c r="I1193" s="9" t="str">
        <x:v>PD03</x:v>
      </x:c>
      <x:c r="J1193" s="17" t="str">
        <x:v>Configuration and as-built manifest</x:v>
      </x:c>
      <x:c r="K1193" s="17" t="str">
        <x:v>Artifact exchange</x:v>
      </x:c>
      <x:c r="L1193" s="17" t="str">
        <x:v>COURT-SEALED UNTIL COHORT RELEASE</x:v>
      </x:c>
      <x:c r="M1193" s="9" t="n">
        <x:v>0</x:v>
      </x:c>
      <x:c r="N1193" s="9" t="n">
        <x:v>0</x:v>
      </x:c>
      <x:c r="O1193" s="9" t="n">
        <x:v>0</x:v>
      </x:c>
      <x:c r="P1193" s="9" t="str">
        <x:v>HELD / UNRELEASED</x:v>
      </x:c>
      <x:c r="Q1193" s="9" t="n">
        <x:f>COUNTIFS($A$7:$A$2310,A1193)</x:f>
        <x:v>1</x:v>
      </x:c>
    </x:row>
    <x:row r="1194">
      <x:c r="A1194" s="9" t="str">
        <x:v>PD-AR-ET-A-A-TECH-4-B1-INT-G0-PD04</x:v>
      </x:c>
      <x:c r="B1194" s="9" t="str">
        <x:v>PD-AR-ET-A-A-TECH-4-B1-INT-G0</x:v>
      </x:c>
      <x:c r="C1194" s="9" t="str">
        <x:v>EV-AR-ET-A-A-TECH-4-B1-INT-G0</x:v>
      </x:c>
      <x:c r="D1194" s="9" t="str">
        <x:v>AR-ET-A-A-TECH-4-B1-INT-G0</x:v>
      </x:c>
      <x:c r="E1194" s="9" t="str">
        <x:v>ET-A-A-TECH-4</x:v>
      </x:c>
      <x:c r="F1194" s="9" t="str">
        <x:v>ET-A-A</x:v>
      </x:c>
      <x:c r="G1194" s="9" t="str">
        <x:v>B1</x:v>
      </x:c>
      <x:c r="H1194" s="9" t="str">
        <x:v>INT</x:v>
      </x:c>
      <x:c r="I1194" s="9" t="str">
        <x:v>PD04</x:v>
      </x:c>
      <x:c r="J1194" s="17" t="str">
        <x:v>EOW and start certificate</x:v>
      </x:c>
      <x:c r="K1194" s="17" t="str">
        <x:v>Start registrar</x:v>
      </x:c>
      <x:c r="L1194" s="17" t="str">
        <x:v>COURT-SEALED UNTIL COHORT RELEASE</x:v>
      </x:c>
      <x:c r="M1194" s="9" t="n">
        <x:v>0</x:v>
      </x:c>
      <x:c r="N1194" s="9" t="n">
        <x:v>0</x:v>
      </x:c>
      <x:c r="O1194" s="9" t="n">
        <x:v>0</x:v>
      </x:c>
      <x:c r="P1194" s="9" t="str">
        <x:v>HELD / UNRELEASED</x:v>
      </x:c>
      <x:c r="Q1194" s="9" t="n">
        <x:f>COUNTIFS($A$7:$A$2310,A1194)</x:f>
        <x:v>1</x:v>
      </x:c>
    </x:row>
    <x:row r="1195">
      <x:c r="A1195" s="9" t="str">
        <x:v>PD-AR-ET-A-A-TECH-4-B1-INT-G0-PD05</x:v>
      </x:c>
      <x:c r="B1195" s="9" t="str">
        <x:v>PD-AR-ET-A-A-TECH-4-B1-INT-G0</x:v>
      </x:c>
      <x:c r="C1195" s="9" t="str">
        <x:v>EV-AR-ET-A-A-TECH-4-B1-INT-G0</x:v>
      </x:c>
      <x:c r="D1195" s="9" t="str">
        <x:v>AR-ET-A-A-TECH-4-B1-INT-G0</x:v>
      </x:c>
      <x:c r="E1195" s="9" t="str">
        <x:v>ET-A-A-TECH-4</x:v>
      </x:c>
      <x:c r="F1195" s="9" t="str">
        <x:v>ET-A-A</x:v>
      </x:c>
      <x:c r="G1195" s="9" t="str">
        <x:v>B1</x:v>
      </x:c>
      <x:c r="H1195" s="9" t="str">
        <x:v>INT</x:v>
      </x:c>
      <x:c r="I1195" s="9" t="str">
        <x:v>PD05</x:v>
      </x:c>
      <x:c r="J1195" s="17" t="str">
        <x:v>Primary raw originals</x:v>
      </x:c>
      <x:c r="K1195" s="17" t="str">
        <x:v>Primary custody</x:v>
      </x:c>
      <x:c r="L1195" s="17" t="str">
        <x:v>COURT-SEALED UNTIL COHORT RELEASE</x:v>
      </x:c>
      <x:c r="M1195" s="9" t="n">
        <x:v>0</x:v>
      </x:c>
      <x:c r="N1195" s="9" t="n">
        <x:v>0</x:v>
      </x:c>
      <x:c r="O1195" s="9" t="n">
        <x:v>0</x:v>
      </x:c>
      <x:c r="P1195" s="9" t="str">
        <x:v>HELD / UNRELEASED</x:v>
      </x:c>
      <x:c r="Q1195" s="9" t="n">
        <x:f>COUNTIFS($A$7:$A$2310,A1195)</x:f>
        <x:v>1</x:v>
      </x:c>
    </x:row>
    <x:row r="1196">
      <x:c r="A1196" s="9" t="str">
        <x:v>PD-AR-ET-A-A-TECH-4-B1-INT-G0-PD06</x:v>
      </x:c>
      <x:c r="B1196" s="9" t="str">
        <x:v>PD-AR-ET-A-A-TECH-4-B1-INT-G0</x:v>
      </x:c>
      <x:c r="C1196" s="9" t="str">
        <x:v>EV-AR-ET-A-A-TECH-4-B1-INT-G0</x:v>
      </x:c>
      <x:c r="D1196" s="9" t="str">
        <x:v>AR-ET-A-A-TECH-4-B1-INT-G0</x:v>
      </x:c>
      <x:c r="E1196" s="9" t="str">
        <x:v>ET-A-A-TECH-4</x:v>
      </x:c>
      <x:c r="F1196" s="9" t="str">
        <x:v>ET-A-A</x:v>
      </x:c>
      <x:c r="G1196" s="9" t="str">
        <x:v>B1</x:v>
      </x:c>
      <x:c r="H1196" s="9" t="str">
        <x:v>INT</x:v>
      </x:c>
      <x:c r="I1196" s="9" t="str">
        <x:v>PD06</x:v>
      </x:c>
      <x:c r="J1196" s="17" t="str">
        <x:v>Witness raw originals</x:v>
      </x:c>
      <x:c r="K1196" s="17" t="str">
        <x:v>Witness custody</x:v>
      </x:c>
      <x:c r="L1196" s="17" t="str">
        <x:v>COURT-SEALED UNTIL COHORT RELEASE</x:v>
      </x:c>
      <x:c r="M1196" s="9" t="n">
        <x:v>0</x:v>
      </x:c>
      <x:c r="N1196" s="9" t="n">
        <x:v>0</x:v>
      </x:c>
      <x:c r="O1196" s="9" t="n">
        <x:v>0</x:v>
      </x:c>
      <x:c r="P1196" s="9" t="str">
        <x:v>HELD / UNRELEASED</x:v>
      </x:c>
      <x:c r="Q1196" s="9" t="n">
        <x:f>COUNTIFS($A$7:$A$2310,A1196)</x:f>
        <x:v>1</x:v>
      </x:c>
    </x:row>
    <x:row r="1197">
      <x:c r="A1197" s="9" t="str">
        <x:v>PD-AR-ET-A-A-TECH-4-B1-INT-G0-PD07</x:v>
      </x:c>
      <x:c r="B1197" s="9" t="str">
        <x:v>PD-AR-ET-A-A-TECH-4-B1-INT-G0</x:v>
      </x:c>
      <x:c r="C1197" s="9" t="str">
        <x:v>EV-AR-ET-A-A-TECH-4-B1-INT-G0</x:v>
      </x:c>
      <x:c r="D1197" s="9" t="str">
        <x:v>AR-ET-A-A-TECH-4-B1-INT-G0</x:v>
      </x:c>
      <x:c r="E1197" s="9" t="str">
        <x:v>ET-A-A-TECH-4</x:v>
      </x:c>
      <x:c r="F1197" s="9" t="str">
        <x:v>ET-A-A</x:v>
      </x:c>
      <x:c r="G1197" s="9" t="str">
        <x:v>B1</x:v>
      </x:c>
      <x:c r="H1197" s="9" t="str">
        <x:v>INT</x:v>
      </x:c>
      <x:c r="I1197" s="9" t="str">
        <x:v>PD07</x:v>
      </x:c>
      <x:c r="J1197" s="17" t="str">
        <x:v>Clock and environmental records</x:v>
      </x:c>
      <x:c r="K1197" s="17" t="str">
        <x:v>Boundary archive</x:v>
      </x:c>
      <x:c r="L1197" s="17" t="str">
        <x:v>COURT-SEALED UNTIL COHORT RELEASE</x:v>
      </x:c>
      <x:c r="M1197" s="9" t="n">
        <x:v>0</x:v>
      </x:c>
      <x:c r="N1197" s="9" t="n">
        <x:v>0</x:v>
      </x:c>
      <x:c r="O1197" s="9" t="n">
        <x:v>0</x:v>
      </x:c>
      <x:c r="P1197" s="9" t="str">
        <x:v>HELD / UNRELEASED</x:v>
      </x:c>
      <x:c r="Q1197" s="9" t="n">
        <x:f>COUNTIFS($A$7:$A$2310,A1197)</x:f>
        <x:v>1</x:v>
      </x:c>
    </x:row>
    <x:row r="1198">
      <x:c r="A1198" s="9" t="str">
        <x:v>PD-AR-ET-A-A-TECH-4-B1-INT-G0-PD08</x:v>
      </x:c>
      <x:c r="B1198" s="9" t="str">
        <x:v>PD-AR-ET-A-A-TECH-4-B1-INT-G0</x:v>
      </x:c>
      <x:c r="C1198" s="9" t="str">
        <x:v>EV-AR-ET-A-A-TECH-4-B1-INT-G0</x:v>
      </x:c>
      <x:c r="D1198" s="9" t="str">
        <x:v>AR-ET-A-A-TECH-4-B1-INT-G0</x:v>
      </x:c>
      <x:c r="E1198" s="9" t="str">
        <x:v>ET-A-A-TECH-4</x:v>
      </x:c>
      <x:c r="F1198" s="9" t="str">
        <x:v>ET-A-A</x:v>
      </x:c>
      <x:c r="G1198" s="9" t="str">
        <x:v>B1</x:v>
      </x:c>
      <x:c r="H1198" s="9" t="str">
        <x:v>INT</x:v>
      </x:c>
      <x:c r="I1198" s="9" t="str">
        <x:v>PD08</x:v>
      </x:c>
      <x:c r="J1198" s="17" t="str">
        <x:v>Command and intervention log</x:v>
      </x:c>
      <x:c r="K1198" s="17" t="str">
        <x:v>Safety archive</x:v>
      </x:c>
      <x:c r="L1198" s="17" t="str">
        <x:v>COURT-SEALED UNTIL COHORT RELEASE</x:v>
      </x:c>
      <x:c r="M1198" s="9" t="n">
        <x:v>0</x:v>
      </x:c>
      <x:c r="N1198" s="9" t="n">
        <x:v>0</x:v>
      </x:c>
      <x:c r="O1198" s="9" t="n">
        <x:v>0</x:v>
      </x:c>
      <x:c r="P1198" s="9" t="str">
        <x:v>HELD / UNRELEASED</x:v>
      </x:c>
      <x:c r="Q1198" s="9" t="n">
        <x:f>COUNTIFS($A$7:$A$2310,A1198)</x:f>
        <x:v>1</x:v>
      </x:c>
    </x:row>
    <x:row r="1199">
      <x:c r="A1199" s="9" t="str">
        <x:v>PD-AR-ET-A-A-TECH-4-B1-INT-G0-PD09</x:v>
      </x:c>
      <x:c r="B1199" s="9" t="str">
        <x:v>PD-AR-ET-A-A-TECH-4-B1-INT-G0</x:v>
      </x:c>
      <x:c r="C1199" s="9" t="str">
        <x:v>EV-AR-ET-A-A-TECH-4-B1-INT-G0</x:v>
      </x:c>
      <x:c r="D1199" s="9" t="str">
        <x:v>AR-ET-A-A-TECH-4-B1-INT-G0</x:v>
      </x:c>
      <x:c r="E1199" s="9" t="str">
        <x:v>ET-A-A-TECH-4</x:v>
      </x:c>
      <x:c r="F1199" s="9" t="str">
        <x:v>ET-A-A</x:v>
      </x:c>
      <x:c r="G1199" s="9" t="str">
        <x:v>B1</x:v>
      </x:c>
      <x:c r="H1199" s="9" t="str">
        <x:v>INT</x:v>
      </x:c>
      <x:c r="I1199" s="9" t="str">
        <x:v>PD09</x:v>
      </x:c>
      <x:c r="J1199" s="17" t="str">
        <x:v>Receiver denominator and service ledger</x:v>
      </x:c>
      <x:c r="K1199" s="17" t="str">
        <x:v>Receiver archive</x:v>
      </x:c>
      <x:c r="L1199" s="17" t="str">
        <x:v>COURT-SEALED UNTIL COHORT RELEASE</x:v>
      </x:c>
      <x:c r="M1199" s="9" t="n">
        <x:v>0</x:v>
      </x:c>
      <x:c r="N1199" s="9" t="n">
        <x:v>0</x:v>
      </x:c>
      <x:c r="O1199" s="9" t="n">
        <x:v>0</x:v>
      </x:c>
      <x:c r="P1199" s="9" t="str">
        <x:v>HELD / UNRELEASED</x:v>
      </x:c>
      <x:c r="Q1199" s="9" t="n">
        <x:f>COUNTIFS($A$7:$A$2310,A1199)</x:f>
        <x:v>1</x:v>
      </x:c>
    </x:row>
    <x:row r="1200">
      <x:c r="A1200" s="9" t="str">
        <x:v>PD-AR-ET-A-A-TECH-4-B1-INT-G0-PD10</x:v>
      </x:c>
      <x:c r="B1200" s="9" t="str">
        <x:v>PD-AR-ET-A-A-TECH-4-B1-INT-G0</x:v>
      </x:c>
      <x:c r="C1200" s="9" t="str">
        <x:v>EV-AR-ET-A-A-TECH-4-B1-INT-G0</x:v>
      </x:c>
      <x:c r="D1200" s="9" t="str">
        <x:v>AR-ET-A-A-TECH-4-B1-INT-G0</x:v>
      </x:c>
      <x:c r="E1200" s="9" t="str">
        <x:v>ET-A-A-TECH-4</x:v>
      </x:c>
      <x:c r="F1200" s="9" t="str">
        <x:v>ET-A-A</x:v>
      </x:c>
      <x:c r="G1200" s="9" t="str">
        <x:v>B1</x:v>
      </x:c>
      <x:c r="H1200" s="9" t="str">
        <x:v>INT</x:v>
      </x:c>
      <x:c r="I1200" s="9" t="str">
        <x:v>PD10</x:v>
      </x:c>
      <x:c r="J1200" s="17" t="str">
        <x:v>Calibration and uncertainty record</x:v>
      </x:c>
      <x:c r="K1200" s="17" t="str">
        <x:v>Metrology archive</x:v>
      </x:c>
      <x:c r="L1200" s="17" t="str">
        <x:v>COURT-SEALED UNTIL COHORT RELEASE</x:v>
      </x:c>
      <x:c r="M1200" s="9" t="n">
        <x:v>0</x:v>
      </x:c>
      <x:c r="N1200" s="9" t="n">
        <x:v>0</x:v>
      </x:c>
      <x:c r="O1200" s="9" t="n">
        <x:v>0</x:v>
      </x:c>
      <x:c r="P1200" s="9" t="str">
        <x:v>HELD / UNRELEASED</x:v>
      </x:c>
      <x:c r="Q1200" s="9" t="n">
        <x:f>COUNTIFS($A$7:$A$2310,A1200)</x:f>
        <x:v>1</x:v>
      </x:c>
    </x:row>
    <x:row r="1201">
      <x:c r="A1201" s="9" t="str">
        <x:v>PD-AR-ET-A-A-TECH-4-B1-INT-G0-PD11</x:v>
      </x:c>
      <x:c r="B1201" s="9" t="str">
        <x:v>PD-AR-ET-A-A-TECH-4-B1-INT-G0</x:v>
      </x:c>
      <x:c r="C1201" s="9" t="str">
        <x:v>EV-AR-ET-A-A-TECH-4-B1-INT-G0</x:v>
      </x:c>
      <x:c r="D1201" s="9" t="str">
        <x:v>AR-ET-A-A-TECH-4-B1-INT-G0</x:v>
      </x:c>
      <x:c r="E1201" s="9" t="str">
        <x:v>ET-A-A-TECH-4</x:v>
      </x:c>
      <x:c r="F1201" s="9" t="str">
        <x:v>ET-A-A</x:v>
      </x:c>
      <x:c r="G1201" s="9" t="str">
        <x:v>B1</x:v>
      </x:c>
      <x:c r="H1201" s="9" t="str">
        <x:v>INT</x:v>
      </x:c>
      <x:c r="I1201" s="9" t="str">
        <x:v>PD11</x:v>
      </x:c>
      <x:c r="J1201" s="17" t="str">
        <x:v>Invalidity petition and opinion</x:v>
      </x:c>
      <x:c r="K1201" s="17" t="str">
        <x:v>Invalidity court</x:v>
      </x:c>
      <x:c r="L1201" s="17" t="str">
        <x:v>COURT-SEALED UNTIL COHORT RELEASE</x:v>
      </x:c>
      <x:c r="M1201" s="9" t="n">
        <x:v>0</x:v>
      </x:c>
      <x:c r="N1201" s="9" t="n">
        <x:v>0</x:v>
      </x:c>
      <x:c r="O1201" s="9" t="n">
        <x:v>0</x:v>
      </x:c>
      <x:c r="P1201" s="9" t="str">
        <x:v>HELD / UNRELEASED</x:v>
      </x:c>
      <x:c r="Q1201" s="9" t="n">
        <x:f>COUNTIFS($A$7:$A$2310,A1201)</x:f>
        <x:v>1</x:v>
      </x:c>
    </x:row>
    <x:row r="1202">
      <x:c r="A1202" s="9" t="str">
        <x:v>PD-AR-ET-A-A-TECH-4-B1-INT-G0-PD12</x:v>
      </x:c>
      <x:c r="B1202" s="9" t="str">
        <x:v>PD-AR-ET-A-A-TECH-4-B1-INT-G0</x:v>
      </x:c>
      <x:c r="C1202" s="9" t="str">
        <x:v>EV-AR-ET-A-A-TECH-4-B1-INT-G0</x:v>
      </x:c>
      <x:c r="D1202" s="9" t="str">
        <x:v>AR-ET-A-A-TECH-4-B1-INT-G0</x:v>
      </x:c>
      <x:c r="E1202" s="9" t="str">
        <x:v>ET-A-A-TECH-4</x:v>
      </x:c>
      <x:c r="F1202" s="9" t="str">
        <x:v>ET-A-A</x:v>
      </x:c>
      <x:c r="G1202" s="9" t="str">
        <x:v>B1</x:v>
      </x:c>
      <x:c r="H1202" s="9" t="str">
        <x:v>INT</x:v>
      </x:c>
      <x:c r="I1202" s="9" t="str">
        <x:v>PD12</x:v>
      </x:c>
      <x:c r="J1202" s="17" t="str">
        <x:v>Observation acceptance and replay</x:v>
      </x:c>
      <x:c r="K1202" s="17" t="str">
        <x:v>Observation court</x:v>
      </x:c>
      <x:c r="L1202" s="17" t="str">
        <x:v>COURT-SEALED UNTIL COHORT RELEASE</x:v>
      </x:c>
      <x:c r="M1202" s="9" t="n">
        <x:v>0</x:v>
      </x:c>
      <x:c r="N1202" s="9" t="n">
        <x:v>0</x:v>
      </x:c>
      <x:c r="O1202" s="9" t="n">
        <x:v>0</x:v>
      </x:c>
      <x:c r="P1202" s="9" t="str">
        <x:v>HELD / UNRELEASED</x:v>
      </x:c>
      <x:c r="Q1202" s="9" t="n">
        <x:f>COUNTIFS($A$7:$A$2310,A1202)</x:f>
        <x:v>1</x:v>
      </x:c>
    </x:row>
    <x:row r="1203">
      <x:c r="A1203" s="9" t="str">
        <x:v>PD-AR-ET-A-A-TECH-4-B1-INT-G0-PD13</x:v>
      </x:c>
      <x:c r="B1203" s="9" t="str">
        <x:v>PD-AR-ET-A-A-TECH-4-B1-INT-G0</x:v>
      </x:c>
      <x:c r="C1203" s="9" t="str">
        <x:v>EV-AR-ET-A-A-TECH-4-B1-INT-G0</x:v>
      </x:c>
      <x:c r="D1203" s="9" t="str">
        <x:v>AR-ET-A-A-TECH-4-B1-INT-G0</x:v>
      </x:c>
      <x:c r="E1203" s="9" t="str">
        <x:v>ET-A-A-TECH-4</x:v>
      </x:c>
      <x:c r="F1203" s="9" t="str">
        <x:v>ET-A-A</x:v>
      </x:c>
      <x:c r="G1203" s="9" t="str">
        <x:v>B1</x:v>
      </x:c>
      <x:c r="H1203" s="9" t="str">
        <x:v>INT</x:v>
      </x:c>
      <x:c r="I1203" s="9" t="str">
        <x:v>PD13</x:v>
      </x:c>
      <x:c r="J1203" s="17" t="str">
        <x:v>Role judgment</x:v>
      </x:c>
      <x:c r="K1203" s="17" t="str">
        <x:v>Role court</x:v>
      </x:c>
      <x:c r="L1203" s="17" t="str">
        <x:v>COURT-SEALED UNTIL COHORT RELEASE</x:v>
      </x:c>
      <x:c r="M1203" s="9" t="n">
        <x:v>0</x:v>
      </x:c>
      <x:c r="N1203" s="9" t="n">
        <x:v>0</x:v>
      </x:c>
      <x:c r="O1203" s="9" t="n">
        <x:v>0</x:v>
      </x:c>
      <x:c r="P1203" s="9" t="str">
        <x:v>HELD / UNRELEASED</x:v>
      </x:c>
      <x:c r="Q1203" s="9" t="n">
        <x:f>COUNTIFS($A$7:$A$2310,A1203)</x:f>
        <x:v>1</x:v>
      </x:c>
    </x:row>
    <x:row r="1204">
      <x:c r="A1204" s="9" t="str">
        <x:v>PD-AR-ET-A-A-TECH-4-B1-INT-G0-PD14</x:v>
      </x:c>
      <x:c r="B1204" s="9" t="str">
        <x:v>PD-AR-ET-A-A-TECH-4-B1-INT-G0</x:v>
      </x:c>
      <x:c r="C1204" s="9" t="str">
        <x:v>EV-AR-ET-A-A-TECH-4-B1-INT-G0</x:v>
      </x:c>
      <x:c r="D1204" s="9" t="str">
        <x:v>AR-ET-A-A-TECH-4-B1-INT-G0</x:v>
      </x:c>
      <x:c r="E1204" s="9" t="str">
        <x:v>ET-A-A-TECH-4</x:v>
      </x:c>
      <x:c r="F1204" s="9" t="str">
        <x:v>ET-A-A</x:v>
      </x:c>
      <x:c r="G1204" s="9" t="str">
        <x:v>B1</x:v>
      </x:c>
      <x:c r="H1204" s="9" t="str">
        <x:v>INT</x:v>
      </x:c>
      <x:c r="I1204" s="9" t="str">
        <x:v>PD14</x:v>
      </x:c>
      <x:c r="J1204" s="17" t="str">
        <x:v>Break and residual account</x:v>
      </x:c>
      <x:c r="K1204" s="17" t="str">
        <x:v>Residual authority</x:v>
      </x:c>
      <x:c r="L1204" s="17" t="str">
        <x:v>COURT-SEALED UNTIL COHORT RELEASE</x:v>
      </x:c>
      <x:c r="M1204" s="9" t="n">
        <x:v>0</x:v>
      </x:c>
      <x:c r="N1204" s="9" t="n">
        <x:v>0</x:v>
      </x:c>
      <x:c r="O1204" s="9" t="n">
        <x:v>0</x:v>
      </x:c>
      <x:c r="P1204" s="9" t="str">
        <x:v>HELD / UNRELEASED</x:v>
      </x:c>
      <x:c r="Q1204" s="9" t="n">
        <x:f>COUNTIFS($A$7:$A$2310,A1204)</x:f>
        <x:v>1</x:v>
      </x:c>
    </x:row>
    <x:row r="1205">
      <x:c r="A1205" s="9" t="str">
        <x:v>PD-AR-ET-A-A-TECH-4-B1-INT-G0-PD15</x:v>
      </x:c>
      <x:c r="B1205" s="9" t="str">
        <x:v>PD-AR-ET-A-A-TECH-4-B1-INT-G0</x:v>
      </x:c>
      <x:c r="C1205" s="9" t="str">
        <x:v>EV-AR-ET-A-A-TECH-4-B1-INT-G0</x:v>
      </x:c>
      <x:c r="D1205" s="9" t="str">
        <x:v>AR-ET-A-A-TECH-4-B1-INT-G0</x:v>
      </x:c>
      <x:c r="E1205" s="9" t="str">
        <x:v>ET-A-A-TECH-4</x:v>
      </x:c>
      <x:c r="F1205" s="9" t="str">
        <x:v>ET-A-A</x:v>
      </x:c>
      <x:c r="G1205" s="9" t="str">
        <x:v>B1</x:v>
      </x:c>
      <x:c r="H1205" s="9" t="str">
        <x:v>INT</x:v>
      </x:c>
      <x:c r="I1205" s="9" t="str">
        <x:v>PD15</x:v>
      </x:c>
      <x:c r="J1205" s="17" t="str">
        <x:v>Reconstruction ancestry and replay</x:v>
      </x:c>
      <x:c r="K1205" s="17" t="str">
        <x:v>Reconstruction court</x:v>
      </x:c>
      <x:c r="L1205" s="17" t="str">
        <x:v>COURT-SEALED UNTIL COHORT RELEASE</x:v>
      </x:c>
      <x:c r="M1205" s="9" t="n">
        <x:v>0</x:v>
      </x:c>
      <x:c r="N1205" s="9" t="n">
        <x:v>0</x:v>
      </x:c>
      <x:c r="O1205" s="9" t="n">
        <x:v>0</x:v>
      </x:c>
      <x:c r="P1205" s="9" t="str">
        <x:v>HELD / UNRELEASED</x:v>
      </x:c>
      <x:c r="Q1205" s="9" t="n">
        <x:f>COUNTIFS($A$7:$A$2310,A1205)</x:f>
        <x:v>1</x:v>
      </x:c>
    </x:row>
    <x:row r="1206">
      <x:c r="A1206" s="9" t="str">
        <x:v>PD-AR-ET-A-A-TECH-4-B1-INT-G0-PD16</x:v>
      </x:c>
      <x:c r="B1206" s="9" t="str">
        <x:v>PD-AR-ET-A-A-TECH-4-B1-INT-G0</x:v>
      </x:c>
      <x:c r="C1206" s="9" t="str">
        <x:v>EV-AR-ET-A-A-TECH-4-B1-INT-G0</x:v>
      </x:c>
      <x:c r="D1206" s="9" t="str">
        <x:v>AR-ET-A-A-TECH-4-B1-INT-G0</x:v>
      </x:c>
      <x:c r="E1206" s="9" t="str">
        <x:v>ET-A-A-TECH-4</x:v>
      </x:c>
      <x:c r="F1206" s="9" t="str">
        <x:v>ET-A-A</x:v>
      </x:c>
      <x:c r="G1206" s="9" t="str">
        <x:v>B1</x:v>
      </x:c>
      <x:c r="H1206" s="9" t="str">
        <x:v>INT</x:v>
      </x:c>
      <x:c r="I1206" s="9" t="str">
        <x:v>PD16</x:v>
      </x:c>
      <x:c r="J1206" s="17" t="str">
        <x:v>Dissent, amendments and access log</x:v>
      </x:c>
      <x:c r="K1206" s="17" t="str">
        <x:v>Public archive</x:v>
      </x:c>
      <x:c r="L1206" s="17" t="str">
        <x:v>COURT-SEALED UNTIL COHORT RELEASE</x:v>
      </x:c>
      <x:c r="M1206" s="9" t="n">
        <x:v>0</x:v>
      </x:c>
      <x:c r="N1206" s="9" t="n">
        <x:v>0</x:v>
      </x:c>
      <x:c r="O1206" s="9" t="n">
        <x:v>0</x:v>
      </x:c>
      <x:c r="P1206" s="9" t="str">
        <x:v>HELD / UNRELEASED</x:v>
      </x:c>
      <x:c r="Q1206" s="9" t="n">
        <x:f>COUNTIFS($A$7:$A$2310,A1206)</x:f>
        <x:v>1</x:v>
      </x:c>
    </x:row>
    <x:row r="1207">
      <x:c r="A1207" s="9" t="str">
        <x:v>PD-AR-HU-A-B-TECH-1-B2-RCN-G0-PD01</x:v>
      </x:c>
      <x:c r="B1207" s="9" t="str">
        <x:v>PD-AR-HU-A-B-TECH-1-B2-RCN-G0</x:v>
      </x:c>
      <x:c r="C1207" s="9" t="str">
        <x:v>EV-AR-HU-A-B-TECH-1-B2-RCN-G0</x:v>
      </x:c>
      <x:c r="D1207" s="9" t="str">
        <x:v>AR-HU-A-B-TECH-1-B2-RCN-G0</x:v>
      </x:c>
      <x:c r="E1207" s="9" t="str">
        <x:v>HU-A-B-TECH-1</x:v>
      </x:c>
      <x:c r="F1207" s="9" t="str">
        <x:v>HU-A-B</x:v>
      </x:c>
      <x:c r="G1207" s="9" t="str">
        <x:v>B2</x:v>
      </x:c>
      <x:c r="H1207" s="9" t="str">
        <x:v>RCN</x:v>
      </x:c>
      <x:c r="I1207" s="9" t="str">
        <x:v>PD01</x:v>
      </x:c>
      <x:c r="J1207" s="17" t="str">
        <x:v>Experiment kernel</x:v>
      </x:c>
      <x:c r="K1207" s="17" t="str">
        <x:v>Public archive</x:v>
      </x:c>
      <x:c r="L1207" s="17" t="str">
        <x:v>COURT-SEALED UNTIL COHORT RELEASE</x:v>
      </x:c>
      <x:c r="M1207" s="9" t="n">
        <x:v>0</x:v>
      </x:c>
      <x:c r="N1207" s="9" t="n">
        <x:v>0</x:v>
      </x:c>
      <x:c r="O1207" s="9" t="n">
        <x:v>0</x:v>
      </x:c>
      <x:c r="P1207" s="9" t="str">
        <x:v>HELD / UNRELEASED</x:v>
      </x:c>
      <x:c r="Q1207" s="9" t="n">
        <x:f>COUNTIFS($A$7:$A$2310,A1207)</x:f>
        <x:v>1</x:v>
      </x:c>
    </x:row>
    <x:row r="1208">
      <x:c r="A1208" s="9" t="str">
        <x:v>PD-AR-HU-A-B-TECH-1-B2-RCN-G0-PD02</x:v>
      </x:c>
      <x:c r="B1208" s="9" t="str">
        <x:v>PD-AR-HU-A-B-TECH-1-B2-RCN-G0</x:v>
      </x:c>
      <x:c r="C1208" s="9" t="str">
        <x:v>EV-AR-HU-A-B-TECH-1-B2-RCN-G0</x:v>
      </x:c>
      <x:c r="D1208" s="9" t="str">
        <x:v>AR-HU-A-B-TECH-1-B2-RCN-G0</x:v>
      </x:c>
      <x:c r="E1208" s="9" t="str">
        <x:v>HU-A-B-TECH-1</x:v>
      </x:c>
      <x:c r="F1208" s="9" t="str">
        <x:v>HU-A-B</x:v>
      </x:c>
      <x:c r="G1208" s="9" t="str">
        <x:v>B2</x:v>
      </x:c>
      <x:c r="H1208" s="9" t="str">
        <x:v>RCN</x:v>
      </x:c>
      <x:c r="I1208" s="9" t="str">
        <x:v>PD02</x:v>
      </x:c>
      <x:c r="J1208" s="17" t="str">
        <x:v>Serial annex and title chain</x:v>
      </x:c>
      <x:c r="K1208" s="17" t="str">
        <x:v>Public archive</x:v>
      </x:c>
      <x:c r="L1208" s="17" t="str">
        <x:v>COURT-SEALED UNTIL COHORT RELEASE</x:v>
      </x:c>
      <x:c r="M1208" s="9" t="n">
        <x:v>0</x:v>
      </x:c>
      <x:c r="N1208" s="9" t="n">
        <x:v>0</x:v>
      </x:c>
      <x:c r="O1208" s="9" t="n">
        <x:v>0</x:v>
      </x:c>
      <x:c r="P1208" s="9" t="str">
        <x:v>HELD / UNRELEASED</x:v>
      </x:c>
      <x:c r="Q1208" s="9" t="n">
        <x:f>COUNTIFS($A$7:$A$2310,A1208)</x:f>
        <x:v>1</x:v>
      </x:c>
    </x:row>
    <x:row r="1209">
      <x:c r="A1209" s="9" t="str">
        <x:v>PD-AR-HU-A-B-TECH-1-B2-RCN-G0-PD03</x:v>
      </x:c>
      <x:c r="B1209" s="9" t="str">
        <x:v>PD-AR-HU-A-B-TECH-1-B2-RCN-G0</x:v>
      </x:c>
      <x:c r="C1209" s="9" t="str">
        <x:v>EV-AR-HU-A-B-TECH-1-B2-RCN-G0</x:v>
      </x:c>
      <x:c r="D1209" s="9" t="str">
        <x:v>AR-HU-A-B-TECH-1-B2-RCN-G0</x:v>
      </x:c>
      <x:c r="E1209" s="9" t="str">
        <x:v>HU-A-B-TECH-1</x:v>
      </x:c>
      <x:c r="F1209" s="9" t="str">
        <x:v>HU-A-B</x:v>
      </x:c>
      <x:c r="G1209" s="9" t="str">
        <x:v>B2</x:v>
      </x:c>
      <x:c r="H1209" s="9" t="str">
        <x:v>RCN</x:v>
      </x:c>
      <x:c r="I1209" s="9" t="str">
        <x:v>PD03</x:v>
      </x:c>
      <x:c r="J1209" s="17" t="str">
        <x:v>Configuration and as-built manifest</x:v>
      </x:c>
      <x:c r="K1209" s="17" t="str">
        <x:v>Artifact exchange</x:v>
      </x:c>
      <x:c r="L1209" s="17" t="str">
        <x:v>COURT-SEALED UNTIL COHORT RELEASE</x:v>
      </x:c>
      <x:c r="M1209" s="9" t="n">
        <x:v>0</x:v>
      </x:c>
      <x:c r="N1209" s="9" t="n">
        <x:v>0</x:v>
      </x:c>
      <x:c r="O1209" s="9" t="n">
        <x:v>0</x:v>
      </x:c>
      <x:c r="P1209" s="9" t="str">
        <x:v>HELD / UNRELEASED</x:v>
      </x:c>
      <x:c r="Q1209" s="9" t="n">
        <x:f>COUNTIFS($A$7:$A$2310,A1209)</x:f>
        <x:v>1</x:v>
      </x:c>
    </x:row>
    <x:row r="1210">
      <x:c r="A1210" s="9" t="str">
        <x:v>PD-AR-HU-A-B-TECH-1-B2-RCN-G0-PD04</x:v>
      </x:c>
      <x:c r="B1210" s="9" t="str">
        <x:v>PD-AR-HU-A-B-TECH-1-B2-RCN-G0</x:v>
      </x:c>
      <x:c r="C1210" s="9" t="str">
        <x:v>EV-AR-HU-A-B-TECH-1-B2-RCN-G0</x:v>
      </x:c>
      <x:c r="D1210" s="9" t="str">
        <x:v>AR-HU-A-B-TECH-1-B2-RCN-G0</x:v>
      </x:c>
      <x:c r="E1210" s="9" t="str">
        <x:v>HU-A-B-TECH-1</x:v>
      </x:c>
      <x:c r="F1210" s="9" t="str">
        <x:v>HU-A-B</x:v>
      </x:c>
      <x:c r="G1210" s="9" t="str">
        <x:v>B2</x:v>
      </x:c>
      <x:c r="H1210" s="9" t="str">
        <x:v>RCN</x:v>
      </x:c>
      <x:c r="I1210" s="9" t="str">
        <x:v>PD04</x:v>
      </x:c>
      <x:c r="J1210" s="17" t="str">
        <x:v>EOW and start certificate</x:v>
      </x:c>
      <x:c r="K1210" s="17" t="str">
        <x:v>Start registrar</x:v>
      </x:c>
      <x:c r="L1210" s="17" t="str">
        <x:v>COURT-SEALED UNTIL COHORT RELEASE</x:v>
      </x:c>
      <x:c r="M1210" s="9" t="n">
        <x:v>0</x:v>
      </x:c>
      <x:c r="N1210" s="9" t="n">
        <x:v>0</x:v>
      </x:c>
      <x:c r="O1210" s="9" t="n">
        <x:v>0</x:v>
      </x:c>
      <x:c r="P1210" s="9" t="str">
        <x:v>HELD / UNRELEASED</x:v>
      </x:c>
      <x:c r="Q1210" s="9" t="n">
        <x:f>COUNTIFS($A$7:$A$2310,A1210)</x:f>
        <x:v>1</x:v>
      </x:c>
    </x:row>
    <x:row r="1211">
      <x:c r="A1211" s="9" t="str">
        <x:v>PD-AR-HU-A-B-TECH-1-B2-RCN-G0-PD05</x:v>
      </x:c>
      <x:c r="B1211" s="9" t="str">
        <x:v>PD-AR-HU-A-B-TECH-1-B2-RCN-G0</x:v>
      </x:c>
      <x:c r="C1211" s="9" t="str">
        <x:v>EV-AR-HU-A-B-TECH-1-B2-RCN-G0</x:v>
      </x:c>
      <x:c r="D1211" s="9" t="str">
        <x:v>AR-HU-A-B-TECH-1-B2-RCN-G0</x:v>
      </x:c>
      <x:c r="E1211" s="9" t="str">
        <x:v>HU-A-B-TECH-1</x:v>
      </x:c>
      <x:c r="F1211" s="9" t="str">
        <x:v>HU-A-B</x:v>
      </x:c>
      <x:c r="G1211" s="9" t="str">
        <x:v>B2</x:v>
      </x:c>
      <x:c r="H1211" s="9" t="str">
        <x:v>RCN</x:v>
      </x:c>
      <x:c r="I1211" s="9" t="str">
        <x:v>PD05</x:v>
      </x:c>
      <x:c r="J1211" s="17" t="str">
        <x:v>Primary raw originals</x:v>
      </x:c>
      <x:c r="K1211" s="17" t="str">
        <x:v>Primary custody</x:v>
      </x:c>
      <x:c r="L1211" s="17" t="str">
        <x:v>COURT-SEALED UNTIL COHORT RELEASE</x:v>
      </x:c>
      <x:c r="M1211" s="9" t="n">
        <x:v>0</x:v>
      </x:c>
      <x:c r="N1211" s="9" t="n">
        <x:v>0</x:v>
      </x:c>
      <x:c r="O1211" s="9" t="n">
        <x:v>0</x:v>
      </x:c>
      <x:c r="P1211" s="9" t="str">
        <x:v>HELD / UNRELEASED</x:v>
      </x:c>
      <x:c r="Q1211" s="9" t="n">
        <x:f>COUNTIFS($A$7:$A$2310,A1211)</x:f>
        <x:v>1</x:v>
      </x:c>
    </x:row>
    <x:row r="1212">
      <x:c r="A1212" s="9" t="str">
        <x:v>PD-AR-HU-A-B-TECH-1-B2-RCN-G0-PD06</x:v>
      </x:c>
      <x:c r="B1212" s="9" t="str">
        <x:v>PD-AR-HU-A-B-TECH-1-B2-RCN-G0</x:v>
      </x:c>
      <x:c r="C1212" s="9" t="str">
        <x:v>EV-AR-HU-A-B-TECH-1-B2-RCN-G0</x:v>
      </x:c>
      <x:c r="D1212" s="9" t="str">
        <x:v>AR-HU-A-B-TECH-1-B2-RCN-G0</x:v>
      </x:c>
      <x:c r="E1212" s="9" t="str">
        <x:v>HU-A-B-TECH-1</x:v>
      </x:c>
      <x:c r="F1212" s="9" t="str">
        <x:v>HU-A-B</x:v>
      </x:c>
      <x:c r="G1212" s="9" t="str">
        <x:v>B2</x:v>
      </x:c>
      <x:c r="H1212" s="9" t="str">
        <x:v>RCN</x:v>
      </x:c>
      <x:c r="I1212" s="9" t="str">
        <x:v>PD06</x:v>
      </x:c>
      <x:c r="J1212" s="17" t="str">
        <x:v>Witness raw originals</x:v>
      </x:c>
      <x:c r="K1212" s="17" t="str">
        <x:v>Witness custody</x:v>
      </x:c>
      <x:c r="L1212" s="17" t="str">
        <x:v>COURT-SEALED UNTIL COHORT RELEASE</x:v>
      </x:c>
      <x:c r="M1212" s="9" t="n">
        <x:v>0</x:v>
      </x:c>
      <x:c r="N1212" s="9" t="n">
        <x:v>0</x:v>
      </x:c>
      <x:c r="O1212" s="9" t="n">
        <x:v>0</x:v>
      </x:c>
      <x:c r="P1212" s="9" t="str">
        <x:v>HELD / UNRELEASED</x:v>
      </x:c>
      <x:c r="Q1212" s="9" t="n">
        <x:f>COUNTIFS($A$7:$A$2310,A1212)</x:f>
        <x:v>1</x:v>
      </x:c>
    </x:row>
    <x:row r="1213">
      <x:c r="A1213" s="9" t="str">
        <x:v>PD-AR-HU-A-B-TECH-1-B2-RCN-G0-PD07</x:v>
      </x:c>
      <x:c r="B1213" s="9" t="str">
        <x:v>PD-AR-HU-A-B-TECH-1-B2-RCN-G0</x:v>
      </x:c>
      <x:c r="C1213" s="9" t="str">
        <x:v>EV-AR-HU-A-B-TECH-1-B2-RCN-G0</x:v>
      </x:c>
      <x:c r="D1213" s="9" t="str">
        <x:v>AR-HU-A-B-TECH-1-B2-RCN-G0</x:v>
      </x:c>
      <x:c r="E1213" s="9" t="str">
        <x:v>HU-A-B-TECH-1</x:v>
      </x:c>
      <x:c r="F1213" s="9" t="str">
        <x:v>HU-A-B</x:v>
      </x:c>
      <x:c r="G1213" s="9" t="str">
        <x:v>B2</x:v>
      </x:c>
      <x:c r="H1213" s="9" t="str">
        <x:v>RCN</x:v>
      </x:c>
      <x:c r="I1213" s="9" t="str">
        <x:v>PD07</x:v>
      </x:c>
      <x:c r="J1213" s="17" t="str">
        <x:v>Clock and environmental records</x:v>
      </x:c>
      <x:c r="K1213" s="17" t="str">
        <x:v>Boundary archive</x:v>
      </x:c>
      <x:c r="L1213" s="17" t="str">
        <x:v>COURT-SEALED UNTIL COHORT RELEASE</x:v>
      </x:c>
      <x:c r="M1213" s="9" t="n">
        <x:v>0</x:v>
      </x:c>
      <x:c r="N1213" s="9" t="n">
        <x:v>0</x:v>
      </x:c>
      <x:c r="O1213" s="9" t="n">
        <x:v>0</x:v>
      </x:c>
      <x:c r="P1213" s="9" t="str">
        <x:v>HELD / UNRELEASED</x:v>
      </x:c>
      <x:c r="Q1213" s="9" t="n">
        <x:f>COUNTIFS($A$7:$A$2310,A1213)</x:f>
        <x:v>1</x:v>
      </x:c>
    </x:row>
    <x:row r="1214">
      <x:c r="A1214" s="9" t="str">
        <x:v>PD-AR-HU-A-B-TECH-1-B2-RCN-G0-PD08</x:v>
      </x:c>
      <x:c r="B1214" s="9" t="str">
        <x:v>PD-AR-HU-A-B-TECH-1-B2-RCN-G0</x:v>
      </x:c>
      <x:c r="C1214" s="9" t="str">
        <x:v>EV-AR-HU-A-B-TECH-1-B2-RCN-G0</x:v>
      </x:c>
      <x:c r="D1214" s="9" t="str">
        <x:v>AR-HU-A-B-TECH-1-B2-RCN-G0</x:v>
      </x:c>
      <x:c r="E1214" s="9" t="str">
        <x:v>HU-A-B-TECH-1</x:v>
      </x:c>
      <x:c r="F1214" s="9" t="str">
        <x:v>HU-A-B</x:v>
      </x:c>
      <x:c r="G1214" s="9" t="str">
        <x:v>B2</x:v>
      </x:c>
      <x:c r="H1214" s="9" t="str">
        <x:v>RCN</x:v>
      </x:c>
      <x:c r="I1214" s="9" t="str">
        <x:v>PD08</x:v>
      </x:c>
      <x:c r="J1214" s="17" t="str">
        <x:v>Command and intervention log</x:v>
      </x:c>
      <x:c r="K1214" s="17" t="str">
        <x:v>Safety archive</x:v>
      </x:c>
      <x:c r="L1214" s="17" t="str">
        <x:v>COURT-SEALED UNTIL COHORT RELEASE</x:v>
      </x:c>
      <x:c r="M1214" s="9" t="n">
        <x:v>0</x:v>
      </x:c>
      <x:c r="N1214" s="9" t="n">
        <x:v>0</x:v>
      </x:c>
      <x:c r="O1214" s="9" t="n">
        <x:v>0</x:v>
      </x:c>
      <x:c r="P1214" s="9" t="str">
        <x:v>HELD / UNRELEASED</x:v>
      </x:c>
      <x:c r="Q1214" s="9" t="n">
        <x:f>COUNTIFS($A$7:$A$2310,A1214)</x:f>
        <x:v>1</x:v>
      </x:c>
    </x:row>
    <x:row r="1215">
      <x:c r="A1215" s="9" t="str">
        <x:v>PD-AR-HU-A-B-TECH-1-B2-RCN-G0-PD09</x:v>
      </x:c>
      <x:c r="B1215" s="9" t="str">
        <x:v>PD-AR-HU-A-B-TECH-1-B2-RCN-G0</x:v>
      </x:c>
      <x:c r="C1215" s="9" t="str">
        <x:v>EV-AR-HU-A-B-TECH-1-B2-RCN-G0</x:v>
      </x:c>
      <x:c r="D1215" s="9" t="str">
        <x:v>AR-HU-A-B-TECH-1-B2-RCN-G0</x:v>
      </x:c>
      <x:c r="E1215" s="9" t="str">
        <x:v>HU-A-B-TECH-1</x:v>
      </x:c>
      <x:c r="F1215" s="9" t="str">
        <x:v>HU-A-B</x:v>
      </x:c>
      <x:c r="G1215" s="9" t="str">
        <x:v>B2</x:v>
      </x:c>
      <x:c r="H1215" s="9" t="str">
        <x:v>RCN</x:v>
      </x:c>
      <x:c r="I1215" s="9" t="str">
        <x:v>PD09</x:v>
      </x:c>
      <x:c r="J1215" s="17" t="str">
        <x:v>Receiver denominator and service ledger</x:v>
      </x:c>
      <x:c r="K1215" s="17" t="str">
        <x:v>Receiver archive</x:v>
      </x:c>
      <x:c r="L1215" s="17" t="str">
        <x:v>COURT-SEALED UNTIL COHORT RELEASE</x:v>
      </x:c>
      <x:c r="M1215" s="9" t="n">
        <x:v>0</x:v>
      </x:c>
      <x:c r="N1215" s="9" t="n">
        <x:v>0</x:v>
      </x:c>
      <x:c r="O1215" s="9" t="n">
        <x:v>0</x:v>
      </x:c>
      <x:c r="P1215" s="9" t="str">
        <x:v>HELD / UNRELEASED</x:v>
      </x:c>
      <x:c r="Q1215" s="9" t="n">
        <x:f>COUNTIFS($A$7:$A$2310,A1215)</x:f>
        <x:v>1</x:v>
      </x:c>
    </x:row>
    <x:row r="1216">
      <x:c r="A1216" s="9" t="str">
        <x:v>PD-AR-HU-A-B-TECH-1-B2-RCN-G0-PD10</x:v>
      </x:c>
      <x:c r="B1216" s="9" t="str">
        <x:v>PD-AR-HU-A-B-TECH-1-B2-RCN-G0</x:v>
      </x:c>
      <x:c r="C1216" s="9" t="str">
        <x:v>EV-AR-HU-A-B-TECH-1-B2-RCN-G0</x:v>
      </x:c>
      <x:c r="D1216" s="9" t="str">
        <x:v>AR-HU-A-B-TECH-1-B2-RCN-G0</x:v>
      </x:c>
      <x:c r="E1216" s="9" t="str">
        <x:v>HU-A-B-TECH-1</x:v>
      </x:c>
      <x:c r="F1216" s="9" t="str">
        <x:v>HU-A-B</x:v>
      </x:c>
      <x:c r="G1216" s="9" t="str">
        <x:v>B2</x:v>
      </x:c>
      <x:c r="H1216" s="9" t="str">
        <x:v>RCN</x:v>
      </x:c>
      <x:c r="I1216" s="9" t="str">
        <x:v>PD10</x:v>
      </x:c>
      <x:c r="J1216" s="17" t="str">
        <x:v>Calibration and uncertainty record</x:v>
      </x:c>
      <x:c r="K1216" s="17" t="str">
        <x:v>Metrology archive</x:v>
      </x:c>
      <x:c r="L1216" s="17" t="str">
        <x:v>COURT-SEALED UNTIL COHORT RELEASE</x:v>
      </x:c>
      <x:c r="M1216" s="9" t="n">
        <x:v>0</x:v>
      </x:c>
      <x:c r="N1216" s="9" t="n">
        <x:v>0</x:v>
      </x:c>
      <x:c r="O1216" s="9" t="n">
        <x:v>0</x:v>
      </x:c>
      <x:c r="P1216" s="9" t="str">
        <x:v>HELD / UNRELEASED</x:v>
      </x:c>
      <x:c r="Q1216" s="9" t="n">
        <x:f>COUNTIFS($A$7:$A$2310,A1216)</x:f>
        <x:v>1</x:v>
      </x:c>
    </x:row>
    <x:row r="1217">
      <x:c r="A1217" s="9" t="str">
        <x:v>PD-AR-HU-A-B-TECH-1-B2-RCN-G0-PD11</x:v>
      </x:c>
      <x:c r="B1217" s="9" t="str">
        <x:v>PD-AR-HU-A-B-TECH-1-B2-RCN-G0</x:v>
      </x:c>
      <x:c r="C1217" s="9" t="str">
        <x:v>EV-AR-HU-A-B-TECH-1-B2-RCN-G0</x:v>
      </x:c>
      <x:c r="D1217" s="9" t="str">
        <x:v>AR-HU-A-B-TECH-1-B2-RCN-G0</x:v>
      </x:c>
      <x:c r="E1217" s="9" t="str">
        <x:v>HU-A-B-TECH-1</x:v>
      </x:c>
      <x:c r="F1217" s="9" t="str">
        <x:v>HU-A-B</x:v>
      </x:c>
      <x:c r="G1217" s="9" t="str">
        <x:v>B2</x:v>
      </x:c>
      <x:c r="H1217" s="9" t="str">
        <x:v>RCN</x:v>
      </x:c>
      <x:c r="I1217" s="9" t="str">
        <x:v>PD11</x:v>
      </x:c>
      <x:c r="J1217" s="17" t="str">
        <x:v>Invalidity petition and opinion</x:v>
      </x:c>
      <x:c r="K1217" s="17" t="str">
        <x:v>Invalidity court</x:v>
      </x:c>
      <x:c r="L1217" s="17" t="str">
        <x:v>COURT-SEALED UNTIL COHORT RELEASE</x:v>
      </x:c>
      <x:c r="M1217" s="9" t="n">
        <x:v>0</x:v>
      </x:c>
      <x:c r="N1217" s="9" t="n">
        <x:v>0</x:v>
      </x:c>
      <x:c r="O1217" s="9" t="n">
        <x:v>0</x:v>
      </x:c>
      <x:c r="P1217" s="9" t="str">
        <x:v>HELD / UNRELEASED</x:v>
      </x:c>
      <x:c r="Q1217" s="9" t="n">
        <x:f>COUNTIFS($A$7:$A$2310,A1217)</x:f>
        <x:v>1</x:v>
      </x:c>
    </x:row>
    <x:row r="1218">
      <x:c r="A1218" s="9" t="str">
        <x:v>PD-AR-HU-A-B-TECH-1-B2-RCN-G0-PD12</x:v>
      </x:c>
      <x:c r="B1218" s="9" t="str">
        <x:v>PD-AR-HU-A-B-TECH-1-B2-RCN-G0</x:v>
      </x:c>
      <x:c r="C1218" s="9" t="str">
        <x:v>EV-AR-HU-A-B-TECH-1-B2-RCN-G0</x:v>
      </x:c>
      <x:c r="D1218" s="9" t="str">
        <x:v>AR-HU-A-B-TECH-1-B2-RCN-G0</x:v>
      </x:c>
      <x:c r="E1218" s="9" t="str">
        <x:v>HU-A-B-TECH-1</x:v>
      </x:c>
      <x:c r="F1218" s="9" t="str">
        <x:v>HU-A-B</x:v>
      </x:c>
      <x:c r="G1218" s="9" t="str">
        <x:v>B2</x:v>
      </x:c>
      <x:c r="H1218" s="9" t="str">
        <x:v>RCN</x:v>
      </x:c>
      <x:c r="I1218" s="9" t="str">
        <x:v>PD12</x:v>
      </x:c>
      <x:c r="J1218" s="17" t="str">
        <x:v>Observation acceptance and replay</x:v>
      </x:c>
      <x:c r="K1218" s="17" t="str">
        <x:v>Observation court</x:v>
      </x:c>
      <x:c r="L1218" s="17" t="str">
        <x:v>COURT-SEALED UNTIL COHORT RELEASE</x:v>
      </x:c>
      <x:c r="M1218" s="9" t="n">
        <x:v>0</x:v>
      </x:c>
      <x:c r="N1218" s="9" t="n">
        <x:v>0</x:v>
      </x:c>
      <x:c r="O1218" s="9" t="n">
        <x:v>0</x:v>
      </x:c>
      <x:c r="P1218" s="9" t="str">
        <x:v>HELD / UNRELEASED</x:v>
      </x:c>
      <x:c r="Q1218" s="9" t="n">
        <x:f>COUNTIFS($A$7:$A$2310,A1218)</x:f>
        <x:v>1</x:v>
      </x:c>
    </x:row>
    <x:row r="1219">
      <x:c r="A1219" s="9" t="str">
        <x:v>PD-AR-HU-A-B-TECH-1-B2-RCN-G0-PD13</x:v>
      </x:c>
      <x:c r="B1219" s="9" t="str">
        <x:v>PD-AR-HU-A-B-TECH-1-B2-RCN-G0</x:v>
      </x:c>
      <x:c r="C1219" s="9" t="str">
        <x:v>EV-AR-HU-A-B-TECH-1-B2-RCN-G0</x:v>
      </x:c>
      <x:c r="D1219" s="9" t="str">
        <x:v>AR-HU-A-B-TECH-1-B2-RCN-G0</x:v>
      </x:c>
      <x:c r="E1219" s="9" t="str">
        <x:v>HU-A-B-TECH-1</x:v>
      </x:c>
      <x:c r="F1219" s="9" t="str">
        <x:v>HU-A-B</x:v>
      </x:c>
      <x:c r="G1219" s="9" t="str">
        <x:v>B2</x:v>
      </x:c>
      <x:c r="H1219" s="9" t="str">
        <x:v>RCN</x:v>
      </x:c>
      <x:c r="I1219" s="9" t="str">
        <x:v>PD13</x:v>
      </x:c>
      <x:c r="J1219" s="17" t="str">
        <x:v>Role judgment</x:v>
      </x:c>
      <x:c r="K1219" s="17" t="str">
        <x:v>Role court</x:v>
      </x:c>
      <x:c r="L1219" s="17" t="str">
        <x:v>COURT-SEALED UNTIL COHORT RELEASE</x:v>
      </x:c>
      <x:c r="M1219" s="9" t="n">
        <x:v>0</x:v>
      </x:c>
      <x:c r="N1219" s="9" t="n">
        <x:v>0</x:v>
      </x:c>
      <x:c r="O1219" s="9" t="n">
        <x:v>0</x:v>
      </x:c>
      <x:c r="P1219" s="9" t="str">
        <x:v>HELD / UNRELEASED</x:v>
      </x:c>
      <x:c r="Q1219" s="9" t="n">
        <x:f>COUNTIFS($A$7:$A$2310,A1219)</x:f>
        <x:v>1</x:v>
      </x:c>
    </x:row>
    <x:row r="1220">
      <x:c r="A1220" s="9" t="str">
        <x:v>PD-AR-HU-A-B-TECH-1-B2-RCN-G0-PD14</x:v>
      </x:c>
      <x:c r="B1220" s="9" t="str">
        <x:v>PD-AR-HU-A-B-TECH-1-B2-RCN-G0</x:v>
      </x:c>
      <x:c r="C1220" s="9" t="str">
        <x:v>EV-AR-HU-A-B-TECH-1-B2-RCN-G0</x:v>
      </x:c>
      <x:c r="D1220" s="9" t="str">
        <x:v>AR-HU-A-B-TECH-1-B2-RCN-G0</x:v>
      </x:c>
      <x:c r="E1220" s="9" t="str">
        <x:v>HU-A-B-TECH-1</x:v>
      </x:c>
      <x:c r="F1220" s="9" t="str">
        <x:v>HU-A-B</x:v>
      </x:c>
      <x:c r="G1220" s="9" t="str">
        <x:v>B2</x:v>
      </x:c>
      <x:c r="H1220" s="9" t="str">
        <x:v>RCN</x:v>
      </x:c>
      <x:c r="I1220" s="9" t="str">
        <x:v>PD14</x:v>
      </x:c>
      <x:c r="J1220" s="17" t="str">
        <x:v>Break and residual account</x:v>
      </x:c>
      <x:c r="K1220" s="17" t="str">
        <x:v>Residual authority</x:v>
      </x:c>
      <x:c r="L1220" s="17" t="str">
        <x:v>COURT-SEALED UNTIL COHORT RELEASE</x:v>
      </x:c>
      <x:c r="M1220" s="9" t="n">
        <x:v>0</x:v>
      </x:c>
      <x:c r="N1220" s="9" t="n">
        <x:v>0</x:v>
      </x:c>
      <x:c r="O1220" s="9" t="n">
        <x:v>0</x:v>
      </x:c>
      <x:c r="P1220" s="9" t="str">
        <x:v>HELD / UNRELEASED</x:v>
      </x:c>
      <x:c r="Q1220" s="9" t="n">
        <x:f>COUNTIFS($A$7:$A$2310,A1220)</x:f>
        <x:v>1</x:v>
      </x:c>
    </x:row>
    <x:row r="1221">
      <x:c r="A1221" s="9" t="str">
        <x:v>PD-AR-HU-A-B-TECH-1-B2-RCN-G0-PD15</x:v>
      </x:c>
      <x:c r="B1221" s="9" t="str">
        <x:v>PD-AR-HU-A-B-TECH-1-B2-RCN-G0</x:v>
      </x:c>
      <x:c r="C1221" s="9" t="str">
        <x:v>EV-AR-HU-A-B-TECH-1-B2-RCN-G0</x:v>
      </x:c>
      <x:c r="D1221" s="9" t="str">
        <x:v>AR-HU-A-B-TECH-1-B2-RCN-G0</x:v>
      </x:c>
      <x:c r="E1221" s="9" t="str">
        <x:v>HU-A-B-TECH-1</x:v>
      </x:c>
      <x:c r="F1221" s="9" t="str">
        <x:v>HU-A-B</x:v>
      </x:c>
      <x:c r="G1221" s="9" t="str">
        <x:v>B2</x:v>
      </x:c>
      <x:c r="H1221" s="9" t="str">
        <x:v>RCN</x:v>
      </x:c>
      <x:c r="I1221" s="9" t="str">
        <x:v>PD15</x:v>
      </x:c>
      <x:c r="J1221" s="17" t="str">
        <x:v>Reconstruction ancestry and replay</x:v>
      </x:c>
      <x:c r="K1221" s="17" t="str">
        <x:v>Reconstruction court</x:v>
      </x:c>
      <x:c r="L1221" s="17" t="str">
        <x:v>COURT-SEALED UNTIL COHORT RELEASE</x:v>
      </x:c>
      <x:c r="M1221" s="9" t="n">
        <x:v>0</x:v>
      </x:c>
      <x:c r="N1221" s="9" t="n">
        <x:v>0</x:v>
      </x:c>
      <x:c r="O1221" s="9" t="n">
        <x:v>0</x:v>
      </x:c>
      <x:c r="P1221" s="9" t="str">
        <x:v>HELD / UNRELEASED</x:v>
      </x:c>
      <x:c r="Q1221" s="9" t="n">
        <x:f>COUNTIFS($A$7:$A$2310,A1221)</x:f>
        <x:v>1</x:v>
      </x:c>
    </x:row>
    <x:row r="1222">
      <x:c r="A1222" s="9" t="str">
        <x:v>PD-AR-HU-A-B-TECH-1-B2-RCN-G0-PD16</x:v>
      </x:c>
      <x:c r="B1222" s="9" t="str">
        <x:v>PD-AR-HU-A-B-TECH-1-B2-RCN-G0</x:v>
      </x:c>
      <x:c r="C1222" s="9" t="str">
        <x:v>EV-AR-HU-A-B-TECH-1-B2-RCN-G0</x:v>
      </x:c>
      <x:c r="D1222" s="9" t="str">
        <x:v>AR-HU-A-B-TECH-1-B2-RCN-G0</x:v>
      </x:c>
      <x:c r="E1222" s="9" t="str">
        <x:v>HU-A-B-TECH-1</x:v>
      </x:c>
      <x:c r="F1222" s="9" t="str">
        <x:v>HU-A-B</x:v>
      </x:c>
      <x:c r="G1222" s="9" t="str">
        <x:v>B2</x:v>
      </x:c>
      <x:c r="H1222" s="9" t="str">
        <x:v>RCN</x:v>
      </x:c>
      <x:c r="I1222" s="9" t="str">
        <x:v>PD16</x:v>
      </x:c>
      <x:c r="J1222" s="17" t="str">
        <x:v>Dissent, amendments and access log</x:v>
      </x:c>
      <x:c r="K1222" s="17" t="str">
        <x:v>Public archive</x:v>
      </x:c>
      <x:c r="L1222" s="17" t="str">
        <x:v>COURT-SEALED UNTIL COHORT RELEASE</x:v>
      </x:c>
      <x:c r="M1222" s="9" t="n">
        <x:v>0</x:v>
      </x:c>
      <x:c r="N1222" s="9" t="n">
        <x:v>0</x:v>
      </x:c>
      <x:c r="O1222" s="9" t="n">
        <x:v>0</x:v>
      </x:c>
      <x:c r="P1222" s="9" t="str">
        <x:v>HELD / UNRELEASED</x:v>
      </x:c>
      <x:c r="Q1222" s="9" t="n">
        <x:f>COUNTIFS($A$7:$A$2310,A1222)</x:f>
        <x:v>1</x:v>
      </x:c>
    </x:row>
    <x:row r="1223">
      <x:c r="A1223" s="9" t="str">
        <x:v>PD-AR-HU-A-B-TECH-3-B2-BRK-G0-PD01</x:v>
      </x:c>
      <x:c r="B1223" s="9" t="str">
        <x:v>PD-AR-HU-A-B-TECH-3-B2-BRK-G0</x:v>
      </x:c>
      <x:c r="C1223" s="9" t="str">
        <x:v>EV-AR-HU-A-B-TECH-3-B2-BRK-G0</x:v>
      </x:c>
      <x:c r="D1223" s="9" t="str">
        <x:v>AR-HU-A-B-TECH-3-B2-BRK-G0</x:v>
      </x:c>
      <x:c r="E1223" s="9" t="str">
        <x:v>HU-A-B-TECH-3</x:v>
      </x:c>
      <x:c r="F1223" s="9" t="str">
        <x:v>HU-A-B</x:v>
      </x:c>
      <x:c r="G1223" s="9" t="str">
        <x:v>B2</x:v>
      </x:c>
      <x:c r="H1223" s="9" t="str">
        <x:v>BRK</x:v>
      </x:c>
      <x:c r="I1223" s="9" t="str">
        <x:v>PD01</x:v>
      </x:c>
      <x:c r="J1223" s="17" t="str">
        <x:v>Experiment kernel</x:v>
      </x:c>
      <x:c r="K1223" s="17" t="str">
        <x:v>Public archive</x:v>
      </x:c>
      <x:c r="L1223" s="17" t="str">
        <x:v>COURT-SEALED UNTIL COHORT RELEASE</x:v>
      </x:c>
      <x:c r="M1223" s="9" t="n">
        <x:v>0</x:v>
      </x:c>
      <x:c r="N1223" s="9" t="n">
        <x:v>0</x:v>
      </x:c>
      <x:c r="O1223" s="9" t="n">
        <x:v>0</x:v>
      </x:c>
      <x:c r="P1223" s="9" t="str">
        <x:v>HELD / UNRELEASED</x:v>
      </x:c>
      <x:c r="Q1223" s="9" t="n">
        <x:f>COUNTIFS($A$7:$A$2310,A1223)</x:f>
        <x:v>1</x:v>
      </x:c>
    </x:row>
    <x:row r="1224">
      <x:c r="A1224" s="9" t="str">
        <x:v>PD-AR-HU-A-B-TECH-3-B2-BRK-G0-PD02</x:v>
      </x:c>
      <x:c r="B1224" s="9" t="str">
        <x:v>PD-AR-HU-A-B-TECH-3-B2-BRK-G0</x:v>
      </x:c>
      <x:c r="C1224" s="9" t="str">
        <x:v>EV-AR-HU-A-B-TECH-3-B2-BRK-G0</x:v>
      </x:c>
      <x:c r="D1224" s="9" t="str">
        <x:v>AR-HU-A-B-TECH-3-B2-BRK-G0</x:v>
      </x:c>
      <x:c r="E1224" s="9" t="str">
        <x:v>HU-A-B-TECH-3</x:v>
      </x:c>
      <x:c r="F1224" s="9" t="str">
        <x:v>HU-A-B</x:v>
      </x:c>
      <x:c r="G1224" s="9" t="str">
        <x:v>B2</x:v>
      </x:c>
      <x:c r="H1224" s="9" t="str">
        <x:v>BRK</x:v>
      </x:c>
      <x:c r="I1224" s="9" t="str">
        <x:v>PD02</x:v>
      </x:c>
      <x:c r="J1224" s="17" t="str">
        <x:v>Serial annex and title chain</x:v>
      </x:c>
      <x:c r="K1224" s="17" t="str">
        <x:v>Public archive</x:v>
      </x:c>
      <x:c r="L1224" s="17" t="str">
        <x:v>COURT-SEALED UNTIL COHORT RELEASE</x:v>
      </x:c>
      <x:c r="M1224" s="9" t="n">
        <x:v>0</x:v>
      </x:c>
      <x:c r="N1224" s="9" t="n">
        <x:v>0</x:v>
      </x:c>
      <x:c r="O1224" s="9" t="n">
        <x:v>0</x:v>
      </x:c>
      <x:c r="P1224" s="9" t="str">
        <x:v>HELD / UNRELEASED</x:v>
      </x:c>
      <x:c r="Q1224" s="9" t="n">
        <x:f>COUNTIFS($A$7:$A$2310,A1224)</x:f>
        <x:v>1</x:v>
      </x:c>
    </x:row>
    <x:row r="1225">
      <x:c r="A1225" s="9" t="str">
        <x:v>PD-AR-HU-A-B-TECH-3-B2-BRK-G0-PD03</x:v>
      </x:c>
      <x:c r="B1225" s="9" t="str">
        <x:v>PD-AR-HU-A-B-TECH-3-B2-BRK-G0</x:v>
      </x:c>
      <x:c r="C1225" s="9" t="str">
        <x:v>EV-AR-HU-A-B-TECH-3-B2-BRK-G0</x:v>
      </x:c>
      <x:c r="D1225" s="9" t="str">
        <x:v>AR-HU-A-B-TECH-3-B2-BRK-G0</x:v>
      </x:c>
      <x:c r="E1225" s="9" t="str">
        <x:v>HU-A-B-TECH-3</x:v>
      </x:c>
      <x:c r="F1225" s="9" t="str">
        <x:v>HU-A-B</x:v>
      </x:c>
      <x:c r="G1225" s="9" t="str">
        <x:v>B2</x:v>
      </x:c>
      <x:c r="H1225" s="9" t="str">
        <x:v>BRK</x:v>
      </x:c>
      <x:c r="I1225" s="9" t="str">
        <x:v>PD03</x:v>
      </x:c>
      <x:c r="J1225" s="17" t="str">
        <x:v>Configuration and as-built manifest</x:v>
      </x:c>
      <x:c r="K1225" s="17" t="str">
        <x:v>Artifact exchange</x:v>
      </x:c>
      <x:c r="L1225" s="17" t="str">
        <x:v>COURT-SEALED UNTIL COHORT RELEASE</x:v>
      </x:c>
      <x:c r="M1225" s="9" t="n">
        <x:v>0</x:v>
      </x:c>
      <x:c r="N1225" s="9" t="n">
        <x:v>0</x:v>
      </x:c>
      <x:c r="O1225" s="9" t="n">
        <x:v>0</x:v>
      </x:c>
      <x:c r="P1225" s="9" t="str">
        <x:v>HELD / UNRELEASED</x:v>
      </x:c>
      <x:c r="Q1225" s="9" t="n">
        <x:f>COUNTIFS($A$7:$A$2310,A1225)</x:f>
        <x:v>1</x:v>
      </x:c>
    </x:row>
    <x:row r="1226">
      <x:c r="A1226" s="9" t="str">
        <x:v>PD-AR-HU-A-B-TECH-3-B2-BRK-G0-PD04</x:v>
      </x:c>
      <x:c r="B1226" s="9" t="str">
        <x:v>PD-AR-HU-A-B-TECH-3-B2-BRK-G0</x:v>
      </x:c>
      <x:c r="C1226" s="9" t="str">
        <x:v>EV-AR-HU-A-B-TECH-3-B2-BRK-G0</x:v>
      </x:c>
      <x:c r="D1226" s="9" t="str">
        <x:v>AR-HU-A-B-TECH-3-B2-BRK-G0</x:v>
      </x:c>
      <x:c r="E1226" s="9" t="str">
        <x:v>HU-A-B-TECH-3</x:v>
      </x:c>
      <x:c r="F1226" s="9" t="str">
        <x:v>HU-A-B</x:v>
      </x:c>
      <x:c r="G1226" s="9" t="str">
        <x:v>B2</x:v>
      </x:c>
      <x:c r="H1226" s="9" t="str">
        <x:v>BRK</x:v>
      </x:c>
      <x:c r="I1226" s="9" t="str">
        <x:v>PD04</x:v>
      </x:c>
      <x:c r="J1226" s="17" t="str">
        <x:v>EOW and start certificate</x:v>
      </x:c>
      <x:c r="K1226" s="17" t="str">
        <x:v>Start registrar</x:v>
      </x:c>
      <x:c r="L1226" s="17" t="str">
        <x:v>COURT-SEALED UNTIL COHORT RELEASE</x:v>
      </x:c>
      <x:c r="M1226" s="9" t="n">
        <x:v>0</x:v>
      </x:c>
      <x:c r="N1226" s="9" t="n">
        <x:v>0</x:v>
      </x:c>
      <x:c r="O1226" s="9" t="n">
        <x:v>0</x:v>
      </x:c>
      <x:c r="P1226" s="9" t="str">
        <x:v>HELD / UNRELEASED</x:v>
      </x:c>
      <x:c r="Q1226" s="9" t="n">
        <x:f>COUNTIFS($A$7:$A$2310,A1226)</x:f>
        <x:v>1</x:v>
      </x:c>
    </x:row>
    <x:row r="1227">
      <x:c r="A1227" s="9" t="str">
        <x:v>PD-AR-HU-A-B-TECH-3-B2-BRK-G0-PD05</x:v>
      </x:c>
      <x:c r="B1227" s="9" t="str">
        <x:v>PD-AR-HU-A-B-TECH-3-B2-BRK-G0</x:v>
      </x:c>
      <x:c r="C1227" s="9" t="str">
        <x:v>EV-AR-HU-A-B-TECH-3-B2-BRK-G0</x:v>
      </x:c>
      <x:c r="D1227" s="9" t="str">
        <x:v>AR-HU-A-B-TECH-3-B2-BRK-G0</x:v>
      </x:c>
      <x:c r="E1227" s="9" t="str">
        <x:v>HU-A-B-TECH-3</x:v>
      </x:c>
      <x:c r="F1227" s="9" t="str">
        <x:v>HU-A-B</x:v>
      </x:c>
      <x:c r="G1227" s="9" t="str">
        <x:v>B2</x:v>
      </x:c>
      <x:c r="H1227" s="9" t="str">
        <x:v>BRK</x:v>
      </x:c>
      <x:c r="I1227" s="9" t="str">
        <x:v>PD05</x:v>
      </x:c>
      <x:c r="J1227" s="17" t="str">
        <x:v>Primary raw originals</x:v>
      </x:c>
      <x:c r="K1227" s="17" t="str">
        <x:v>Primary custody</x:v>
      </x:c>
      <x:c r="L1227" s="17" t="str">
        <x:v>COURT-SEALED UNTIL COHORT RELEASE</x:v>
      </x:c>
      <x:c r="M1227" s="9" t="n">
        <x:v>0</x:v>
      </x:c>
      <x:c r="N1227" s="9" t="n">
        <x:v>0</x:v>
      </x:c>
      <x:c r="O1227" s="9" t="n">
        <x:v>0</x:v>
      </x:c>
      <x:c r="P1227" s="9" t="str">
        <x:v>HELD / UNRELEASED</x:v>
      </x:c>
      <x:c r="Q1227" s="9" t="n">
        <x:f>COUNTIFS($A$7:$A$2310,A1227)</x:f>
        <x:v>1</x:v>
      </x:c>
    </x:row>
    <x:row r="1228">
      <x:c r="A1228" s="9" t="str">
        <x:v>PD-AR-HU-A-B-TECH-3-B2-BRK-G0-PD06</x:v>
      </x:c>
      <x:c r="B1228" s="9" t="str">
        <x:v>PD-AR-HU-A-B-TECH-3-B2-BRK-G0</x:v>
      </x:c>
      <x:c r="C1228" s="9" t="str">
        <x:v>EV-AR-HU-A-B-TECH-3-B2-BRK-G0</x:v>
      </x:c>
      <x:c r="D1228" s="9" t="str">
        <x:v>AR-HU-A-B-TECH-3-B2-BRK-G0</x:v>
      </x:c>
      <x:c r="E1228" s="9" t="str">
        <x:v>HU-A-B-TECH-3</x:v>
      </x:c>
      <x:c r="F1228" s="9" t="str">
        <x:v>HU-A-B</x:v>
      </x:c>
      <x:c r="G1228" s="9" t="str">
        <x:v>B2</x:v>
      </x:c>
      <x:c r="H1228" s="9" t="str">
        <x:v>BRK</x:v>
      </x:c>
      <x:c r="I1228" s="9" t="str">
        <x:v>PD06</x:v>
      </x:c>
      <x:c r="J1228" s="17" t="str">
        <x:v>Witness raw originals</x:v>
      </x:c>
      <x:c r="K1228" s="17" t="str">
        <x:v>Witness custody</x:v>
      </x:c>
      <x:c r="L1228" s="17" t="str">
        <x:v>COURT-SEALED UNTIL COHORT RELEASE</x:v>
      </x:c>
      <x:c r="M1228" s="9" t="n">
        <x:v>0</x:v>
      </x:c>
      <x:c r="N1228" s="9" t="n">
        <x:v>0</x:v>
      </x:c>
      <x:c r="O1228" s="9" t="n">
        <x:v>0</x:v>
      </x:c>
      <x:c r="P1228" s="9" t="str">
        <x:v>HELD / UNRELEASED</x:v>
      </x:c>
      <x:c r="Q1228" s="9" t="n">
        <x:f>COUNTIFS($A$7:$A$2310,A1228)</x:f>
        <x:v>1</x:v>
      </x:c>
    </x:row>
    <x:row r="1229">
      <x:c r="A1229" s="9" t="str">
        <x:v>PD-AR-HU-A-B-TECH-3-B2-BRK-G0-PD07</x:v>
      </x:c>
      <x:c r="B1229" s="9" t="str">
        <x:v>PD-AR-HU-A-B-TECH-3-B2-BRK-G0</x:v>
      </x:c>
      <x:c r="C1229" s="9" t="str">
        <x:v>EV-AR-HU-A-B-TECH-3-B2-BRK-G0</x:v>
      </x:c>
      <x:c r="D1229" s="9" t="str">
        <x:v>AR-HU-A-B-TECH-3-B2-BRK-G0</x:v>
      </x:c>
      <x:c r="E1229" s="9" t="str">
        <x:v>HU-A-B-TECH-3</x:v>
      </x:c>
      <x:c r="F1229" s="9" t="str">
        <x:v>HU-A-B</x:v>
      </x:c>
      <x:c r="G1229" s="9" t="str">
        <x:v>B2</x:v>
      </x:c>
      <x:c r="H1229" s="9" t="str">
        <x:v>BRK</x:v>
      </x:c>
      <x:c r="I1229" s="9" t="str">
        <x:v>PD07</x:v>
      </x:c>
      <x:c r="J1229" s="17" t="str">
        <x:v>Clock and environmental records</x:v>
      </x:c>
      <x:c r="K1229" s="17" t="str">
        <x:v>Boundary archive</x:v>
      </x:c>
      <x:c r="L1229" s="17" t="str">
        <x:v>COURT-SEALED UNTIL COHORT RELEASE</x:v>
      </x:c>
      <x:c r="M1229" s="9" t="n">
        <x:v>0</x:v>
      </x:c>
      <x:c r="N1229" s="9" t="n">
        <x:v>0</x:v>
      </x:c>
      <x:c r="O1229" s="9" t="n">
        <x:v>0</x:v>
      </x:c>
      <x:c r="P1229" s="9" t="str">
        <x:v>HELD / UNRELEASED</x:v>
      </x:c>
      <x:c r="Q1229" s="9" t="n">
        <x:f>COUNTIFS($A$7:$A$2310,A1229)</x:f>
        <x:v>1</x:v>
      </x:c>
    </x:row>
    <x:row r="1230">
      <x:c r="A1230" s="9" t="str">
        <x:v>PD-AR-HU-A-B-TECH-3-B2-BRK-G0-PD08</x:v>
      </x:c>
      <x:c r="B1230" s="9" t="str">
        <x:v>PD-AR-HU-A-B-TECH-3-B2-BRK-G0</x:v>
      </x:c>
      <x:c r="C1230" s="9" t="str">
        <x:v>EV-AR-HU-A-B-TECH-3-B2-BRK-G0</x:v>
      </x:c>
      <x:c r="D1230" s="9" t="str">
        <x:v>AR-HU-A-B-TECH-3-B2-BRK-G0</x:v>
      </x:c>
      <x:c r="E1230" s="9" t="str">
        <x:v>HU-A-B-TECH-3</x:v>
      </x:c>
      <x:c r="F1230" s="9" t="str">
        <x:v>HU-A-B</x:v>
      </x:c>
      <x:c r="G1230" s="9" t="str">
        <x:v>B2</x:v>
      </x:c>
      <x:c r="H1230" s="9" t="str">
        <x:v>BRK</x:v>
      </x:c>
      <x:c r="I1230" s="9" t="str">
        <x:v>PD08</x:v>
      </x:c>
      <x:c r="J1230" s="17" t="str">
        <x:v>Command and intervention log</x:v>
      </x:c>
      <x:c r="K1230" s="17" t="str">
        <x:v>Safety archive</x:v>
      </x:c>
      <x:c r="L1230" s="17" t="str">
        <x:v>COURT-SEALED UNTIL COHORT RELEASE</x:v>
      </x:c>
      <x:c r="M1230" s="9" t="n">
        <x:v>0</x:v>
      </x:c>
      <x:c r="N1230" s="9" t="n">
        <x:v>0</x:v>
      </x:c>
      <x:c r="O1230" s="9" t="n">
        <x:v>0</x:v>
      </x:c>
      <x:c r="P1230" s="9" t="str">
        <x:v>HELD / UNRELEASED</x:v>
      </x:c>
      <x:c r="Q1230" s="9" t="n">
        <x:f>COUNTIFS($A$7:$A$2310,A1230)</x:f>
        <x:v>1</x:v>
      </x:c>
    </x:row>
    <x:row r="1231">
      <x:c r="A1231" s="9" t="str">
        <x:v>PD-AR-HU-A-B-TECH-3-B2-BRK-G0-PD09</x:v>
      </x:c>
      <x:c r="B1231" s="9" t="str">
        <x:v>PD-AR-HU-A-B-TECH-3-B2-BRK-G0</x:v>
      </x:c>
      <x:c r="C1231" s="9" t="str">
        <x:v>EV-AR-HU-A-B-TECH-3-B2-BRK-G0</x:v>
      </x:c>
      <x:c r="D1231" s="9" t="str">
        <x:v>AR-HU-A-B-TECH-3-B2-BRK-G0</x:v>
      </x:c>
      <x:c r="E1231" s="9" t="str">
        <x:v>HU-A-B-TECH-3</x:v>
      </x:c>
      <x:c r="F1231" s="9" t="str">
        <x:v>HU-A-B</x:v>
      </x:c>
      <x:c r="G1231" s="9" t="str">
        <x:v>B2</x:v>
      </x:c>
      <x:c r="H1231" s="9" t="str">
        <x:v>BRK</x:v>
      </x:c>
      <x:c r="I1231" s="9" t="str">
        <x:v>PD09</x:v>
      </x:c>
      <x:c r="J1231" s="17" t="str">
        <x:v>Receiver denominator and service ledger</x:v>
      </x:c>
      <x:c r="K1231" s="17" t="str">
        <x:v>Receiver archive</x:v>
      </x:c>
      <x:c r="L1231" s="17" t="str">
        <x:v>COURT-SEALED UNTIL COHORT RELEASE</x:v>
      </x:c>
      <x:c r="M1231" s="9" t="n">
        <x:v>0</x:v>
      </x:c>
      <x:c r="N1231" s="9" t="n">
        <x:v>0</x:v>
      </x:c>
      <x:c r="O1231" s="9" t="n">
        <x:v>0</x:v>
      </x:c>
      <x:c r="P1231" s="9" t="str">
        <x:v>HELD / UNRELEASED</x:v>
      </x:c>
      <x:c r="Q1231" s="9" t="n">
        <x:f>COUNTIFS($A$7:$A$2310,A1231)</x:f>
        <x:v>1</x:v>
      </x:c>
    </x:row>
    <x:row r="1232">
      <x:c r="A1232" s="9" t="str">
        <x:v>PD-AR-HU-A-B-TECH-3-B2-BRK-G0-PD10</x:v>
      </x:c>
      <x:c r="B1232" s="9" t="str">
        <x:v>PD-AR-HU-A-B-TECH-3-B2-BRK-G0</x:v>
      </x:c>
      <x:c r="C1232" s="9" t="str">
        <x:v>EV-AR-HU-A-B-TECH-3-B2-BRK-G0</x:v>
      </x:c>
      <x:c r="D1232" s="9" t="str">
        <x:v>AR-HU-A-B-TECH-3-B2-BRK-G0</x:v>
      </x:c>
      <x:c r="E1232" s="9" t="str">
        <x:v>HU-A-B-TECH-3</x:v>
      </x:c>
      <x:c r="F1232" s="9" t="str">
        <x:v>HU-A-B</x:v>
      </x:c>
      <x:c r="G1232" s="9" t="str">
        <x:v>B2</x:v>
      </x:c>
      <x:c r="H1232" s="9" t="str">
        <x:v>BRK</x:v>
      </x:c>
      <x:c r="I1232" s="9" t="str">
        <x:v>PD10</x:v>
      </x:c>
      <x:c r="J1232" s="17" t="str">
        <x:v>Calibration and uncertainty record</x:v>
      </x:c>
      <x:c r="K1232" s="17" t="str">
        <x:v>Metrology archive</x:v>
      </x:c>
      <x:c r="L1232" s="17" t="str">
        <x:v>COURT-SEALED UNTIL COHORT RELEASE</x:v>
      </x:c>
      <x:c r="M1232" s="9" t="n">
        <x:v>0</x:v>
      </x:c>
      <x:c r="N1232" s="9" t="n">
        <x:v>0</x:v>
      </x:c>
      <x:c r="O1232" s="9" t="n">
        <x:v>0</x:v>
      </x:c>
      <x:c r="P1232" s="9" t="str">
        <x:v>HELD / UNRELEASED</x:v>
      </x:c>
      <x:c r="Q1232" s="9" t="n">
        <x:f>COUNTIFS($A$7:$A$2310,A1232)</x:f>
        <x:v>1</x:v>
      </x:c>
    </x:row>
    <x:row r="1233">
      <x:c r="A1233" s="9" t="str">
        <x:v>PD-AR-HU-A-B-TECH-3-B2-BRK-G0-PD11</x:v>
      </x:c>
      <x:c r="B1233" s="9" t="str">
        <x:v>PD-AR-HU-A-B-TECH-3-B2-BRK-G0</x:v>
      </x:c>
      <x:c r="C1233" s="9" t="str">
        <x:v>EV-AR-HU-A-B-TECH-3-B2-BRK-G0</x:v>
      </x:c>
      <x:c r="D1233" s="9" t="str">
        <x:v>AR-HU-A-B-TECH-3-B2-BRK-G0</x:v>
      </x:c>
      <x:c r="E1233" s="9" t="str">
        <x:v>HU-A-B-TECH-3</x:v>
      </x:c>
      <x:c r="F1233" s="9" t="str">
        <x:v>HU-A-B</x:v>
      </x:c>
      <x:c r="G1233" s="9" t="str">
        <x:v>B2</x:v>
      </x:c>
      <x:c r="H1233" s="9" t="str">
        <x:v>BRK</x:v>
      </x:c>
      <x:c r="I1233" s="9" t="str">
        <x:v>PD11</x:v>
      </x:c>
      <x:c r="J1233" s="17" t="str">
        <x:v>Invalidity petition and opinion</x:v>
      </x:c>
      <x:c r="K1233" s="17" t="str">
        <x:v>Invalidity court</x:v>
      </x:c>
      <x:c r="L1233" s="17" t="str">
        <x:v>COURT-SEALED UNTIL COHORT RELEASE</x:v>
      </x:c>
      <x:c r="M1233" s="9" t="n">
        <x:v>0</x:v>
      </x:c>
      <x:c r="N1233" s="9" t="n">
        <x:v>0</x:v>
      </x:c>
      <x:c r="O1233" s="9" t="n">
        <x:v>0</x:v>
      </x:c>
      <x:c r="P1233" s="9" t="str">
        <x:v>HELD / UNRELEASED</x:v>
      </x:c>
      <x:c r="Q1233" s="9" t="n">
        <x:f>COUNTIFS($A$7:$A$2310,A1233)</x:f>
        <x:v>1</x:v>
      </x:c>
    </x:row>
    <x:row r="1234">
      <x:c r="A1234" s="9" t="str">
        <x:v>PD-AR-HU-A-B-TECH-3-B2-BRK-G0-PD12</x:v>
      </x:c>
      <x:c r="B1234" s="9" t="str">
        <x:v>PD-AR-HU-A-B-TECH-3-B2-BRK-G0</x:v>
      </x:c>
      <x:c r="C1234" s="9" t="str">
        <x:v>EV-AR-HU-A-B-TECH-3-B2-BRK-G0</x:v>
      </x:c>
      <x:c r="D1234" s="9" t="str">
        <x:v>AR-HU-A-B-TECH-3-B2-BRK-G0</x:v>
      </x:c>
      <x:c r="E1234" s="9" t="str">
        <x:v>HU-A-B-TECH-3</x:v>
      </x:c>
      <x:c r="F1234" s="9" t="str">
        <x:v>HU-A-B</x:v>
      </x:c>
      <x:c r="G1234" s="9" t="str">
        <x:v>B2</x:v>
      </x:c>
      <x:c r="H1234" s="9" t="str">
        <x:v>BRK</x:v>
      </x:c>
      <x:c r="I1234" s="9" t="str">
        <x:v>PD12</x:v>
      </x:c>
      <x:c r="J1234" s="17" t="str">
        <x:v>Observation acceptance and replay</x:v>
      </x:c>
      <x:c r="K1234" s="17" t="str">
        <x:v>Observation court</x:v>
      </x:c>
      <x:c r="L1234" s="17" t="str">
        <x:v>COURT-SEALED UNTIL COHORT RELEASE</x:v>
      </x:c>
      <x:c r="M1234" s="9" t="n">
        <x:v>0</x:v>
      </x:c>
      <x:c r="N1234" s="9" t="n">
        <x:v>0</x:v>
      </x:c>
      <x:c r="O1234" s="9" t="n">
        <x:v>0</x:v>
      </x:c>
      <x:c r="P1234" s="9" t="str">
        <x:v>HELD / UNRELEASED</x:v>
      </x:c>
      <x:c r="Q1234" s="9" t="n">
        <x:f>COUNTIFS($A$7:$A$2310,A1234)</x:f>
        <x:v>1</x:v>
      </x:c>
    </x:row>
    <x:row r="1235">
      <x:c r="A1235" s="9" t="str">
        <x:v>PD-AR-HU-A-B-TECH-3-B2-BRK-G0-PD13</x:v>
      </x:c>
      <x:c r="B1235" s="9" t="str">
        <x:v>PD-AR-HU-A-B-TECH-3-B2-BRK-G0</x:v>
      </x:c>
      <x:c r="C1235" s="9" t="str">
        <x:v>EV-AR-HU-A-B-TECH-3-B2-BRK-G0</x:v>
      </x:c>
      <x:c r="D1235" s="9" t="str">
        <x:v>AR-HU-A-B-TECH-3-B2-BRK-G0</x:v>
      </x:c>
      <x:c r="E1235" s="9" t="str">
        <x:v>HU-A-B-TECH-3</x:v>
      </x:c>
      <x:c r="F1235" s="9" t="str">
        <x:v>HU-A-B</x:v>
      </x:c>
      <x:c r="G1235" s="9" t="str">
        <x:v>B2</x:v>
      </x:c>
      <x:c r="H1235" s="9" t="str">
        <x:v>BRK</x:v>
      </x:c>
      <x:c r="I1235" s="9" t="str">
        <x:v>PD13</x:v>
      </x:c>
      <x:c r="J1235" s="17" t="str">
        <x:v>Role judgment</x:v>
      </x:c>
      <x:c r="K1235" s="17" t="str">
        <x:v>Role court</x:v>
      </x:c>
      <x:c r="L1235" s="17" t="str">
        <x:v>COURT-SEALED UNTIL COHORT RELEASE</x:v>
      </x:c>
      <x:c r="M1235" s="9" t="n">
        <x:v>0</x:v>
      </x:c>
      <x:c r="N1235" s="9" t="n">
        <x:v>0</x:v>
      </x:c>
      <x:c r="O1235" s="9" t="n">
        <x:v>0</x:v>
      </x:c>
      <x:c r="P1235" s="9" t="str">
        <x:v>HELD / UNRELEASED</x:v>
      </x:c>
      <x:c r="Q1235" s="9" t="n">
        <x:f>COUNTIFS($A$7:$A$2310,A1235)</x:f>
        <x:v>1</x:v>
      </x:c>
    </x:row>
    <x:row r="1236">
      <x:c r="A1236" s="9" t="str">
        <x:v>PD-AR-HU-A-B-TECH-3-B2-BRK-G0-PD14</x:v>
      </x:c>
      <x:c r="B1236" s="9" t="str">
        <x:v>PD-AR-HU-A-B-TECH-3-B2-BRK-G0</x:v>
      </x:c>
      <x:c r="C1236" s="9" t="str">
        <x:v>EV-AR-HU-A-B-TECH-3-B2-BRK-G0</x:v>
      </x:c>
      <x:c r="D1236" s="9" t="str">
        <x:v>AR-HU-A-B-TECH-3-B2-BRK-G0</x:v>
      </x:c>
      <x:c r="E1236" s="9" t="str">
        <x:v>HU-A-B-TECH-3</x:v>
      </x:c>
      <x:c r="F1236" s="9" t="str">
        <x:v>HU-A-B</x:v>
      </x:c>
      <x:c r="G1236" s="9" t="str">
        <x:v>B2</x:v>
      </x:c>
      <x:c r="H1236" s="9" t="str">
        <x:v>BRK</x:v>
      </x:c>
      <x:c r="I1236" s="9" t="str">
        <x:v>PD14</x:v>
      </x:c>
      <x:c r="J1236" s="17" t="str">
        <x:v>Break and residual account</x:v>
      </x:c>
      <x:c r="K1236" s="17" t="str">
        <x:v>Residual authority</x:v>
      </x:c>
      <x:c r="L1236" s="17" t="str">
        <x:v>COURT-SEALED UNTIL COHORT RELEASE</x:v>
      </x:c>
      <x:c r="M1236" s="9" t="n">
        <x:v>0</x:v>
      </x:c>
      <x:c r="N1236" s="9" t="n">
        <x:v>0</x:v>
      </x:c>
      <x:c r="O1236" s="9" t="n">
        <x:v>0</x:v>
      </x:c>
      <x:c r="P1236" s="9" t="str">
        <x:v>HELD / UNRELEASED</x:v>
      </x:c>
      <x:c r="Q1236" s="9" t="n">
        <x:f>COUNTIFS($A$7:$A$2310,A1236)</x:f>
        <x:v>1</x:v>
      </x:c>
    </x:row>
    <x:row r="1237">
      <x:c r="A1237" s="9" t="str">
        <x:v>PD-AR-HU-A-B-TECH-3-B2-BRK-G0-PD15</x:v>
      </x:c>
      <x:c r="B1237" s="9" t="str">
        <x:v>PD-AR-HU-A-B-TECH-3-B2-BRK-G0</x:v>
      </x:c>
      <x:c r="C1237" s="9" t="str">
        <x:v>EV-AR-HU-A-B-TECH-3-B2-BRK-G0</x:v>
      </x:c>
      <x:c r="D1237" s="9" t="str">
        <x:v>AR-HU-A-B-TECH-3-B2-BRK-G0</x:v>
      </x:c>
      <x:c r="E1237" s="9" t="str">
        <x:v>HU-A-B-TECH-3</x:v>
      </x:c>
      <x:c r="F1237" s="9" t="str">
        <x:v>HU-A-B</x:v>
      </x:c>
      <x:c r="G1237" s="9" t="str">
        <x:v>B2</x:v>
      </x:c>
      <x:c r="H1237" s="9" t="str">
        <x:v>BRK</x:v>
      </x:c>
      <x:c r="I1237" s="9" t="str">
        <x:v>PD15</x:v>
      </x:c>
      <x:c r="J1237" s="17" t="str">
        <x:v>Reconstruction ancestry and replay</x:v>
      </x:c>
      <x:c r="K1237" s="17" t="str">
        <x:v>Reconstruction court</x:v>
      </x:c>
      <x:c r="L1237" s="17" t="str">
        <x:v>COURT-SEALED UNTIL COHORT RELEASE</x:v>
      </x:c>
      <x:c r="M1237" s="9" t="n">
        <x:v>0</x:v>
      </x:c>
      <x:c r="N1237" s="9" t="n">
        <x:v>0</x:v>
      </x:c>
      <x:c r="O1237" s="9" t="n">
        <x:v>0</x:v>
      </x:c>
      <x:c r="P1237" s="9" t="str">
        <x:v>HELD / UNRELEASED</x:v>
      </x:c>
      <x:c r="Q1237" s="9" t="n">
        <x:f>COUNTIFS($A$7:$A$2310,A1237)</x:f>
        <x:v>1</x:v>
      </x:c>
    </x:row>
    <x:row r="1238">
      <x:c r="A1238" s="9" t="str">
        <x:v>PD-AR-HU-A-B-TECH-3-B2-BRK-G0-PD16</x:v>
      </x:c>
      <x:c r="B1238" s="9" t="str">
        <x:v>PD-AR-HU-A-B-TECH-3-B2-BRK-G0</x:v>
      </x:c>
      <x:c r="C1238" s="9" t="str">
        <x:v>EV-AR-HU-A-B-TECH-3-B2-BRK-G0</x:v>
      </x:c>
      <x:c r="D1238" s="9" t="str">
        <x:v>AR-HU-A-B-TECH-3-B2-BRK-G0</x:v>
      </x:c>
      <x:c r="E1238" s="9" t="str">
        <x:v>HU-A-B-TECH-3</x:v>
      </x:c>
      <x:c r="F1238" s="9" t="str">
        <x:v>HU-A-B</x:v>
      </x:c>
      <x:c r="G1238" s="9" t="str">
        <x:v>B2</x:v>
      </x:c>
      <x:c r="H1238" s="9" t="str">
        <x:v>BRK</x:v>
      </x:c>
      <x:c r="I1238" s="9" t="str">
        <x:v>PD16</x:v>
      </x:c>
      <x:c r="J1238" s="17" t="str">
        <x:v>Dissent, amendments and access log</x:v>
      </x:c>
      <x:c r="K1238" s="17" t="str">
        <x:v>Public archive</x:v>
      </x:c>
      <x:c r="L1238" s="17" t="str">
        <x:v>COURT-SEALED UNTIL COHORT RELEASE</x:v>
      </x:c>
      <x:c r="M1238" s="9" t="n">
        <x:v>0</x:v>
      </x:c>
      <x:c r="N1238" s="9" t="n">
        <x:v>0</x:v>
      </x:c>
      <x:c r="O1238" s="9" t="n">
        <x:v>0</x:v>
      </x:c>
      <x:c r="P1238" s="9" t="str">
        <x:v>HELD / UNRELEASED</x:v>
      </x:c>
      <x:c r="Q1238" s="9" t="n">
        <x:f>COUNTIFS($A$7:$A$2310,A1238)</x:f>
        <x:v>1</x:v>
      </x:c>
    </x:row>
    <x:row r="1239">
      <x:c r="A1239" s="9" t="str">
        <x:v>PD-AR-RT-B-C-TECH-1-B1-RCN-G0-PD01</x:v>
      </x:c>
      <x:c r="B1239" s="9" t="str">
        <x:v>PD-AR-RT-B-C-TECH-1-B1-RCN-G0</x:v>
      </x:c>
      <x:c r="C1239" s="9" t="str">
        <x:v>EV-AR-RT-B-C-TECH-1-B1-RCN-G0</x:v>
      </x:c>
      <x:c r="D1239" s="9" t="str">
        <x:v>AR-RT-B-C-TECH-1-B1-RCN-G0</x:v>
      </x:c>
      <x:c r="E1239" s="9" t="str">
        <x:v>RT-B-C-TECH-1</x:v>
      </x:c>
      <x:c r="F1239" s="9" t="str">
        <x:v>RT-B-C</x:v>
      </x:c>
      <x:c r="G1239" s="9" t="str">
        <x:v>B1</x:v>
      </x:c>
      <x:c r="H1239" s="9" t="str">
        <x:v>RCN</x:v>
      </x:c>
      <x:c r="I1239" s="9" t="str">
        <x:v>PD01</x:v>
      </x:c>
      <x:c r="J1239" s="17" t="str">
        <x:v>Experiment kernel</x:v>
      </x:c>
      <x:c r="K1239" s="17" t="str">
        <x:v>Public archive</x:v>
      </x:c>
      <x:c r="L1239" s="17" t="str">
        <x:v>COURT-SEALED UNTIL COHORT RELEASE</x:v>
      </x:c>
      <x:c r="M1239" s="9" t="n">
        <x:v>0</x:v>
      </x:c>
      <x:c r="N1239" s="9" t="n">
        <x:v>0</x:v>
      </x:c>
      <x:c r="O1239" s="9" t="n">
        <x:v>0</x:v>
      </x:c>
      <x:c r="P1239" s="9" t="str">
        <x:v>HELD / UNRELEASED</x:v>
      </x:c>
      <x:c r="Q1239" s="9" t="n">
        <x:f>COUNTIFS($A$7:$A$2310,A1239)</x:f>
        <x:v>1</x:v>
      </x:c>
    </x:row>
    <x:row r="1240">
      <x:c r="A1240" s="9" t="str">
        <x:v>PD-AR-RT-B-C-TECH-1-B1-RCN-G0-PD02</x:v>
      </x:c>
      <x:c r="B1240" s="9" t="str">
        <x:v>PD-AR-RT-B-C-TECH-1-B1-RCN-G0</x:v>
      </x:c>
      <x:c r="C1240" s="9" t="str">
        <x:v>EV-AR-RT-B-C-TECH-1-B1-RCN-G0</x:v>
      </x:c>
      <x:c r="D1240" s="9" t="str">
        <x:v>AR-RT-B-C-TECH-1-B1-RCN-G0</x:v>
      </x:c>
      <x:c r="E1240" s="9" t="str">
        <x:v>RT-B-C-TECH-1</x:v>
      </x:c>
      <x:c r="F1240" s="9" t="str">
        <x:v>RT-B-C</x:v>
      </x:c>
      <x:c r="G1240" s="9" t="str">
        <x:v>B1</x:v>
      </x:c>
      <x:c r="H1240" s="9" t="str">
        <x:v>RCN</x:v>
      </x:c>
      <x:c r="I1240" s="9" t="str">
        <x:v>PD02</x:v>
      </x:c>
      <x:c r="J1240" s="17" t="str">
        <x:v>Serial annex and title chain</x:v>
      </x:c>
      <x:c r="K1240" s="17" t="str">
        <x:v>Public archive</x:v>
      </x:c>
      <x:c r="L1240" s="17" t="str">
        <x:v>COURT-SEALED UNTIL COHORT RELEASE</x:v>
      </x:c>
      <x:c r="M1240" s="9" t="n">
        <x:v>0</x:v>
      </x:c>
      <x:c r="N1240" s="9" t="n">
        <x:v>0</x:v>
      </x:c>
      <x:c r="O1240" s="9" t="n">
        <x:v>0</x:v>
      </x:c>
      <x:c r="P1240" s="9" t="str">
        <x:v>HELD / UNRELEASED</x:v>
      </x:c>
      <x:c r="Q1240" s="9" t="n">
        <x:f>COUNTIFS($A$7:$A$2310,A1240)</x:f>
        <x:v>1</x:v>
      </x:c>
    </x:row>
    <x:row r="1241">
      <x:c r="A1241" s="9" t="str">
        <x:v>PD-AR-RT-B-C-TECH-1-B1-RCN-G0-PD03</x:v>
      </x:c>
      <x:c r="B1241" s="9" t="str">
        <x:v>PD-AR-RT-B-C-TECH-1-B1-RCN-G0</x:v>
      </x:c>
      <x:c r="C1241" s="9" t="str">
        <x:v>EV-AR-RT-B-C-TECH-1-B1-RCN-G0</x:v>
      </x:c>
      <x:c r="D1241" s="9" t="str">
        <x:v>AR-RT-B-C-TECH-1-B1-RCN-G0</x:v>
      </x:c>
      <x:c r="E1241" s="9" t="str">
        <x:v>RT-B-C-TECH-1</x:v>
      </x:c>
      <x:c r="F1241" s="9" t="str">
        <x:v>RT-B-C</x:v>
      </x:c>
      <x:c r="G1241" s="9" t="str">
        <x:v>B1</x:v>
      </x:c>
      <x:c r="H1241" s="9" t="str">
        <x:v>RCN</x:v>
      </x:c>
      <x:c r="I1241" s="9" t="str">
        <x:v>PD03</x:v>
      </x:c>
      <x:c r="J1241" s="17" t="str">
        <x:v>Configuration and as-built manifest</x:v>
      </x:c>
      <x:c r="K1241" s="17" t="str">
        <x:v>Artifact exchange</x:v>
      </x:c>
      <x:c r="L1241" s="17" t="str">
        <x:v>COURT-SEALED UNTIL COHORT RELEASE</x:v>
      </x:c>
      <x:c r="M1241" s="9" t="n">
        <x:v>0</x:v>
      </x:c>
      <x:c r="N1241" s="9" t="n">
        <x:v>0</x:v>
      </x:c>
      <x:c r="O1241" s="9" t="n">
        <x:v>0</x:v>
      </x:c>
      <x:c r="P1241" s="9" t="str">
        <x:v>HELD / UNRELEASED</x:v>
      </x:c>
      <x:c r="Q1241" s="9" t="n">
        <x:f>COUNTIFS($A$7:$A$2310,A1241)</x:f>
        <x:v>1</x:v>
      </x:c>
    </x:row>
    <x:row r="1242">
      <x:c r="A1242" s="9" t="str">
        <x:v>PD-AR-RT-B-C-TECH-1-B1-RCN-G0-PD04</x:v>
      </x:c>
      <x:c r="B1242" s="9" t="str">
        <x:v>PD-AR-RT-B-C-TECH-1-B1-RCN-G0</x:v>
      </x:c>
      <x:c r="C1242" s="9" t="str">
        <x:v>EV-AR-RT-B-C-TECH-1-B1-RCN-G0</x:v>
      </x:c>
      <x:c r="D1242" s="9" t="str">
        <x:v>AR-RT-B-C-TECH-1-B1-RCN-G0</x:v>
      </x:c>
      <x:c r="E1242" s="9" t="str">
        <x:v>RT-B-C-TECH-1</x:v>
      </x:c>
      <x:c r="F1242" s="9" t="str">
        <x:v>RT-B-C</x:v>
      </x:c>
      <x:c r="G1242" s="9" t="str">
        <x:v>B1</x:v>
      </x:c>
      <x:c r="H1242" s="9" t="str">
        <x:v>RCN</x:v>
      </x:c>
      <x:c r="I1242" s="9" t="str">
        <x:v>PD04</x:v>
      </x:c>
      <x:c r="J1242" s="17" t="str">
        <x:v>EOW and start certificate</x:v>
      </x:c>
      <x:c r="K1242" s="17" t="str">
        <x:v>Start registrar</x:v>
      </x:c>
      <x:c r="L1242" s="17" t="str">
        <x:v>COURT-SEALED UNTIL COHORT RELEASE</x:v>
      </x:c>
      <x:c r="M1242" s="9" t="n">
        <x:v>0</x:v>
      </x:c>
      <x:c r="N1242" s="9" t="n">
        <x:v>0</x:v>
      </x:c>
      <x:c r="O1242" s="9" t="n">
        <x:v>0</x:v>
      </x:c>
      <x:c r="P1242" s="9" t="str">
        <x:v>HELD / UNRELEASED</x:v>
      </x:c>
      <x:c r="Q1242" s="9" t="n">
        <x:f>COUNTIFS($A$7:$A$2310,A1242)</x:f>
        <x:v>1</x:v>
      </x:c>
    </x:row>
    <x:row r="1243">
      <x:c r="A1243" s="9" t="str">
        <x:v>PD-AR-RT-B-C-TECH-1-B1-RCN-G0-PD05</x:v>
      </x:c>
      <x:c r="B1243" s="9" t="str">
        <x:v>PD-AR-RT-B-C-TECH-1-B1-RCN-G0</x:v>
      </x:c>
      <x:c r="C1243" s="9" t="str">
        <x:v>EV-AR-RT-B-C-TECH-1-B1-RCN-G0</x:v>
      </x:c>
      <x:c r="D1243" s="9" t="str">
        <x:v>AR-RT-B-C-TECH-1-B1-RCN-G0</x:v>
      </x:c>
      <x:c r="E1243" s="9" t="str">
        <x:v>RT-B-C-TECH-1</x:v>
      </x:c>
      <x:c r="F1243" s="9" t="str">
        <x:v>RT-B-C</x:v>
      </x:c>
      <x:c r="G1243" s="9" t="str">
        <x:v>B1</x:v>
      </x:c>
      <x:c r="H1243" s="9" t="str">
        <x:v>RCN</x:v>
      </x:c>
      <x:c r="I1243" s="9" t="str">
        <x:v>PD05</x:v>
      </x:c>
      <x:c r="J1243" s="17" t="str">
        <x:v>Primary raw originals</x:v>
      </x:c>
      <x:c r="K1243" s="17" t="str">
        <x:v>Primary custody</x:v>
      </x:c>
      <x:c r="L1243" s="17" t="str">
        <x:v>COURT-SEALED UNTIL COHORT RELEASE</x:v>
      </x:c>
      <x:c r="M1243" s="9" t="n">
        <x:v>0</x:v>
      </x:c>
      <x:c r="N1243" s="9" t="n">
        <x:v>0</x:v>
      </x:c>
      <x:c r="O1243" s="9" t="n">
        <x:v>0</x:v>
      </x:c>
      <x:c r="P1243" s="9" t="str">
        <x:v>HELD / UNRELEASED</x:v>
      </x:c>
      <x:c r="Q1243" s="9" t="n">
        <x:f>COUNTIFS($A$7:$A$2310,A1243)</x:f>
        <x:v>1</x:v>
      </x:c>
    </x:row>
    <x:row r="1244">
      <x:c r="A1244" s="9" t="str">
        <x:v>PD-AR-RT-B-C-TECH-1-B1-RCN-G0-PD06</x:v>
      </x:c>
      <x:c r="B1244" s="9" t="str">
        <x:v>PD-AR-RT-B-C-TECH-1-B1-RCN-G0</x:v>
      </x:c>
      <x:c r="C1244" s="9" t="str">
        <x:v>EV-AR-RT-B-C-TECH-1-B1-RCN-G0</x:v>
      </x:c>
      <x:c r="D1244" s="9" t="str">
        <x:v>AR-RT-B-C-TECH-1-B1-RCN-G0</x:v>
      </x:c>
      <x:c r="E1244" s="9" t="str">
        <x:v>RT-B-C-TECH-1</x:v>
      </x:c>
      <x:c r="F1244" s="9" t="str">
        <x:v>RT-B-C</x:v>
      </x:c>
      <x:c r="G1244" s="9" t="str">
        <x:v>B1</x:v>
      </x:c>
      <x:c r="H1244" s="9" t="str">
        <x:v>RCN</x:v>
      </x:c>
      <x:c r="I1244" s="9" t="str">
        <x:v>PD06</x:v>
      </x:c>
      <x:c r="J1244" s="17" t="str">
        <x:v>Witness raw originals</x:v>
      </x:c>
      <x:c r="K1244" s="17" t="str">
        <x:v>Witness custody</x:v>
      </x:c>
      <x:c r="L1244" s="17" t="str">
        <x:v>COURT-SEALED UNTIL COHORT RELEASE</x:v>
      </x:c>
      <x:c r="M1244" s="9" t="n">
        <x:v>0</x:v>
      </x:c>
      <x:c r="N1244" s="9" t="n">
        <x:v>0</x:v>
      </x:c>
      <x:c r="O1244" s="9" t="n">
        <x:v>0</x:v>
      </x:c>
      <x:c r="P1244" s="9" t="str">
        <x:v>HELD / UNRELEASED</x:v>
      </x:c>
      <x:c r="Q1244" s="9" t="n">
        <x:f>COUNTIFS($A$7:$A$2310,A1244)</x:f>
        <x:v>1</x:v>
      </x:c>
    </x:row>
    <x:row r="1245">
      <x:c r="A1245" s="9" t="str">
        <x:v>PD-AR-RT-B-C-TECH-1-B1-RCN-G0-PD07</x:v>
      </x:c>
      <x:c r="B1245" s="9" t="str">
        <x:v>PD-AR-RT-B-C-TECH-1-B1-RCN-G0</x:v>
      </x:c>
      <x:c r="C1245" s="9" t="str">
        <x:v>EV-AR-RT-B-C-TECH-1-B1-RCN-G0</x:v>
      </x:c>
      <x:c r="D1245" s="9" t="str">
        <x:v>AR-RT-B-C-TECH-1-B1-RCN-G0</x:v>
      </x:c>
      <x:c r="E1245" s="9" t="str">
        <x:v>RT-B-C-TECH-1</x:v>
      </x:c>
      <x:c r="F1245" s="9" t="str">
        <x:v>RT-B-C</x:v>
      </x:c>
      <x:c r="G1245" s="9" t="str">
        <x:v>B1</x:v>
      </x:c>
      <x:c r="H1245" s="9" t="str">
        <x:v>RCN</x:v>
      </x:c>
      <x:c r="I1245" s="9" t="str">
        <x:v>PD07</x:v>
      </x:c>
      <x:c r="J1245" s="17" t="str">
        <x:v>Clock and environmental records</x:v>
      </x:c>
      <x:c r="K1245" s="17" t="str">
        <x:v>Boundary archive</x:v>
      </x:c>
      <x:c r="L1245" s="17" t="str">
        <x:v>COURT-SEALED UNTIL COHORT RELEASE</x:v>
      </x:c>
      <x:c r="M1245" s="9" t="n">
        <x:v>0</x:v>
      </x:c>
      <x:c r="N1245" s="9" t="n">
        <x:v>0</x:v>
      </x:c>
      <x:c r="O1245" s="9" t="n">
        <x:v>0</x:v>
      </x:c>
      <x:c r="P1245" s="9" t="str">
        <x:v>HELD / UNRELEASED</x:v>
      </x:c>
      <x:c r="Q1245" s="9" t="n">
        <x:f>COUNTIFS($A$7:$A$2310,A1245)</x:f>
        <x:v>1</x:v>
      </x:c>
    </x:row>
    <x:row r="1246">
      <x:c r="A1246" s="9" t="str">
        <x:v>PD-AR-RT-B-C-TECH-1-B1-RCN-G0-PD08</x:v>
      </x:c>
      <x:c r="B1246" s="9" t="str">
        <x:v>PD-AR-RT-B-C-TECH-1-B1-RCN-G0</x:v>
      </x:c>
      <x:c r="C1246" s="9" t="str">
        <x:v>EV-AR-RT-B-C-TECH-1-B1-RCN-G0</x:v>
      </x:c>
      <x:c r="D1246" s="9" t="str">
        <x:v>AR-RT-B-C-TECH-1-B1-RCN-G0</x:v>
      </x:c>
      <x:c r="E1246" s="9" t="str">
        <x:v>RT-B-C-TECH-1</x:v>
      </x:c>
      <x:c r="F1246" s="9" t="str">
        <x:v>RT-B-C</x:v>
      </x:c>
      <x:c r="G1246" s="9" t="str">
        <x:v>B1</x:v>
      </x:c>
      <x:c r="H1246" s="9" t="str">
        <x:v>RCN</x:v>
      </x:c>
      <x:c r="I1246" s="9" t="str">
        <x:v>PD08</x:v>
      </x:c>
      <x:c r="J1246" s="17" t="str">
        <x:v>Command and intervention log</x:v>
      </x:c>
      <x:c r="K1246" s="17" t="str">
        <x:v>Safety archive</x:v>
      </x:c>
      <x:c r="L1246" s="17" t="str">
        <x:v>COURT-SEALED UNTIL COHORT RELEASE</x:v>
      </x:c>
      <x:c r="M1246" s="9" t="n">
        <x:v>0</x:v>
      </x:c>
      <x:c r="N1246" s="9" t="n">
        <x:v>0</x:v>
      </x:c>
      <x:c r="O1246" s="9" t="n">
        <x:v>0</x:v>
      </x:c>
      <x:c r="P1246" s="9" t="str">
        <x:v>HELD / UNRELEASED</x:v>
      </x:c>
      <x:c r="Q1246" s="9" t="n">
        <x:f>COUNTIFS($A$7:$A$2310,A1246)</x:f>
        <x:v>1</x:v>
      </x:c>
    </x:row>
    <x:row r="1247">
      <x:c r="A1247" s="9" t="str">
        <x:v>PD-AR-RT-B-C-TECH-1-B1-RCN-G0-PD09</x:v>
      </x:c>
      <x:c r="B1247" s="9" t="str">
        <x:v>PD-AR-RT-B-C-TECH-1-B1-RCN-G0</x:v>
      </x:c>
      <x:c r="C1247" s="9" t="str">
        <x:v>EV-AR-RT-B-C-TECH-1-B1-RCN-G0</x:v>
      </x:c>
      <x:c r="D1247" s="9" t="str">
        <x:v>AR-RT-B-C-TECH-1-B1-RCN-G0</x:v>
      </x:c>
      <x:c r="E1247" s="9" t="str">
        <x:v>RT-B-C-TECH-1</x:v>
      </x:c>
      <x:c r="F1247" s="9" t="str">
        <x:v>RT-B-C</x:v>
      </x:c>
      <x:c r="G1247" s="9" t="str">
        <x:v>B1</x:v>
      </x:c>
      <x:c r="H1247" s="9" t="str">
        <x:v>RCN</x:v>
      </x:c>
      <x:c r="I1247" s="9" t="str">
        <x:v>PD09</x:v>
      </x:c>
      <x:c r="J1247" s="17" t="str">
        <x:v>Receiver denominator and service ledger</x:v>
      </x:c>
      <x:c r="K1247" s="17" t="str">
        <x:v>Receiver archive</x:v>
      </x:c>
      <x:c r="L1247" s="17" t="str">
        <x:v>COURT-SEALED UNTIL COHORT RELEASE</x:v>
      </x:c>
      <x:c r="M1247" s="9" t="n">
        <x:v>0</x:v>
      </x:c>
      <x:c r="N1247" s="9" t="n">
        <x:v>0</x:v>
      </x:c>
      <x:c r="O1247" s="9" t="n">
        <x:v>0</x:v>
      </x:c>
      <x:c r="P1247" s="9" t="str">
        <x:v>HELD / UNRELEASED</x:v>
      </x:c>
      <x:c r="Q1247" s="9" t="n">
        <x:f>COUNTIFS($A$7:$A$2310,A1247)</x:f>
        <x:v>1</x:v>
      </x:c>
    </x:row>
    <x:row r="1248">
      <x:c r="A1248" s="9" t="str">
        <x:v>PD-AR-RT-B-C-TECH-1-B1-RCN-G0-PD10</x:v>
      </x:c>
      <x:c r="B1248" s="9" t="str">
        <x:v>PD-AR-RT-B-C-TECH-1-B1-RCN-G0</x:v>
      </x:c>
      <x:c r="C1248" s="9" t="str">
        <x:v>EV-AR-RT-B-C-TECH-1-B1-RCN-G0</x:v>
      </x:c>
      <x:c r="D1248" s="9" t="str">
        <x:v>AR-RT-B-C-TECH-1-B1-RCN-G0</x:v>
      </x:c>
      <x:c r="E1248" s="9" t="str">
        <x:v>RT-B-C-TECH-1</x:v>
      </x:c>
      <x:c r="F1248" s="9" t="str">
        <x:v>RT-B-C</x:v>
      </x:c>
      <x:c r="G1248" s="9" t="str">
        <x:v>B1</x:v>
      </x:c>
      <x:c r="H1248" s="9" t="str">
        <x:v>RCN</x:v>
      </x:c>
      <x:c r="I1248" s="9" t="str">
        <x:v>PD10</x:v>
      </x:c>
      <x:c r="J1248" s="17" t="str">
        <x:v>Calibration and uncertainty record</x:v>
      </x:c>
      <x:c r="K1248" s="17" t="str">
        <x:v>Metrology archive</x:v>
      </x:c>
      <x:c r="L1248" s="17" t="str">
        <x:v>COURT-SEALED UNTIL COHORT RELEASE</x:v>
      </x:c>
      <x:c r="M1248" s="9" t="n">
        <x:v>0</x:v>
      </x:c>
      <x:c r="N1248" s="9" t="n">
        <x:v>0</x:v>
      </x:c>
      <x:c r="O1248" s="9" t="n">
        <x:v>0</x:v>
      </x:c>
      <x:c r="P1248" s="9" t="str">
        <x:v>HELD / UNRELEASED</x:v>
      </x:c>
      <x:c r="Q1248" s="9" t="n">
        <x:f>COUNTIFS($A$7:$A$2310,A1248)</x:f>
        <x:v>1</x:v>
      </x:c>
    </x:row>
    <x:row r="1249">
      <x:c r="A1249" s="9" t="str">
        <x:v>PD-AR-RT-B-C-TECH-1-B1-RCN-G0-PD11</x:v>
      </x:c>
      <x:c r="B1249" s="9" t="str">
        <x:v>PD-AR-RT-B-C-TECH-1-B1-RCN-G0</x:v>
      </x:c>
      <x:c r="C1249" s="9" t="str">
        <x:v>EV-AR-RT-B-C-TECH-1-B1-RCN-G0</x:v>
      </x:c>
      <x:c r="D1249" s="9" t="str">
        <x:v>AR-RT-B-C-TECH-1-B1-RCN-G0</x:v>
      </x:c>
      <x:c r="E1249" s="9" t="str">
        <x:v>RT-B-C-TECH-1</x:v>
      </x:c>
      <x:c r="F1249" s="9" t="str">
        <x:v>RT-B-C</x:v>
      </x:c>
      <x:c r="G1249" s="9" t="str">
        <x:v>B1</x:v>
      </x:c>
      <x:c r="H1249" s="9" t="str">
        <x:v>RCN</x:v>
      </x:c>
      <x:c r="I1249" s="9" t="str">
        <x:v>PD11</x:v>
      </x:c>
      <x:c r="J1249" s="17" t="str">
        <x:v>Invalidity petition and opinion</x:v>
      </x:c>
      <x:c r="K1249" s="17" t="str">
        <x:v>Invalidity court</x:v>
      </x:c>
      <x:c r="L1249" s="17" t="str">
        <x:v>COURT-SEALED UNTIL COHORT RELEASE</x:v>
      </x:c>
      <x:c r="M1249" s="9" t="n">
        <x:v>0</x:v>
      </x:c>
      <x:c r="N1249" s="9" t="n">
        <x:v>0</x:v>
      </x:c>
      <x:c r="O1249" s="9" t="n">
        <x:v>0</x:v>
      </x:c>
      <x:c r="P1249" s="9" t="str">
        <x:v>HELD / UNRELEASED</x:v>
      </x:c>
      <x:c r="Q1249" s="9" t="n">
        <x:f>COUNTIFS($A$7:$A$2310,A1249)</x:f>
        <x:v>1</x:v>
      </x:c>
    </x:row>
    <x:row r="1250">
      <x:c r="A1250" s="9" t="str">
        <x:v>PD-AR-RT-B-C-TECH-1-B1-RCN-G0-PD12</x:v>
      </x:c>
      <x:c r="B1250" s="9" t="str">
        <x:v>PD-AR-RT-B-C-TECH-1-B1-RCN-G0</x:v>
      </x:c>
      <x:c r="C1250" s="9" t="str">
        <x:v>EV-AR-RT-B-C-TECH-1-B1-RCN-G0</x:v>
      </x:c>
      <x:c r="D1250" s="9" t="str">
        <x:v>AR-RT-B-C-TECH-1-B1-RCN-G0</x:v>
      </x:c>
      <x:c r="E1250" s="9" t="str">
        <x:v>RT-B-C-TECH-1</x:v>
      </x:c>
      <x:c r="F1250" s="9" t="str">
        <x:v>RT-B-C</x:v>
      </x:c>
      <x:c r="G1250" s="9" t="str">
        <x:v>B1</x:v>
      </x:c>
      <x:c r="H1250" s="9" t="str">
        <x:v>RCN</x:v>
      </x:c>
      <x:c r="I1250" s="9" t="str">
        <x:v>PD12</x:v>
      </x:c>
      <x:c r="J1250" s="17" t="str">
        <x:v>Observation acceptance and replay</x:v>
      </x:c>
      <x:c r="K1250" s="17" t="str">
        <x:v>Observation court</x:v>
      </x:c>
      <x:c r="L1250" s="17" t="str">
        <x:v>COURT-SEALED UNTIL COHORT RELEASE</x:v>
      </x:c>
      <x:c r="M1250" s="9" t="n">
        <x:v>0</x:v>
      </x:c>
      <x:c r="N1250" s="9" t="n">
        <x:v>0</x:v>
      </x:c>
      <x:c r="O1250" s="9" t="n">
        <x:v>0</x:v>
      </x:c>
      <x:c r="P1250" s="9" t="str">
        <x:v>HELD / UNRELEASED</x:v>
      </x:c>
      <x:c r="Q1250" s="9" t="n">
        <x:f>COUNTIFS($A$7:$A$2310,A1250)</x:f>
        <x:v>1</x:v>
      </x:c>
    </x:row>
    <x:row r="1251">
      <x:c r="A1251" s="9" t="str">
        <x:v>PD-AR-RT-B-C-TECH-1-B1-RCN-G0-PD13</x:v>
      </x:c>
      <x:c r="B1251" s="9" t="str">
        <x:v>PD-AR-RT-B-C-TECH-1-B1-RCN-G0</x:v>
      </x:c>
      <x:c r="C1251" s="9" t="str">
        <x:v>EV-AR-RT-B-C-TECH-1-B1-RCN-G0</x:v>
      </x:c>
      <x:c r="D1251" s="9" t="str">
        <x:v>AR-RT-B-C-TECH-1-B1-RCN-G0</x:v>
      </x:c>
      <x:c r="E1251" s="9" t="str">
        <x:v>RT-B-C-TECH-1</x:v>
      </x:c>
      <x:c r="F1251" s="9" t="str">
        <x:v>RT-B-C</x:v>
      </x:c>
      <x:c r="G1251" s="9" t="str">
        <x:v>B1</x:v>
      </x:c>
      <x:c r="H1251" s="9" t="str">
        <x:v>RCN</x:v>
      </x:c>
      <x:c r="I1251" s="9" t="str">
        <x:v>PD13</x:v>
      </x:c>
      <x:c r="J1251" s="17" t="str">
        <x:v>Role judgment</x:v>
      </x:c>
      <x:c r="K1251" s="17" t="str">
        <x:v>Role court</x:v>
      </x:c>
      <x:c r="L1251" s="17" t="str">
        <x:v>COURT-SEALED UNTIL COHORT RELEASE</x:v>
      </x:c>
      <x:c r="M1251" s="9" t="n">
        <x:v>0</x:v>
      </x:c>
      <x:c r="N1251" s="9" t="n">
        <x:v>0</x:v>
      </x:c>
      <x:c r="O1251" s="9" t="n">
        <x:v>0</x:v>
      </x:c>
      <x:c r="P1251" s="9" t="str">
        <x:v>HELD / UNRELEASED</x:v>
      </x:c>
      <x:c r="Q1251" s="9" t="n">
        <x:f>COUNTIFS($A$7:$A$2310,A1251)</x:f>
        <x:v>1</x:v>
      </x:c>
    </x:row>
    <x:row r="1252">
      <x:c r="A1252" s="9" t="str">
        <x:v>PD-AR-RT-B-C-TECH-1-B1-RCN-G0-PD14</x:v>
      </x:c>
      <x:c r="B1252" s="9" t="str">
        <x:v>PD-AR-RT-B-C-TECH-1-B1-RCN-G0</x:v>
      </x:c>
      <x:c r="C1252" s="9" t="str">
        <x:v>EV-AR-RT-B-C-TECH-1-B1-RCN-G0</x:v>
      </x:c>
      <x:c r="D1252" s="9" t="str">
        <x:v>AR-RT-B-C-TECH-1-B1-RCN-G0</x:v>
      </x:c>
      <x:c r="E1252" s="9" t="str">
        <x:v>RT-B-C-TECH-1</x:v>
      </x:c>
      <x:c r="F1252" s="9" t="str">
        <x:v>RT-B-C</x:v>
      </x:c>
      <x:c r="G1252" s="9" t="str">
        <x:v>B1</x:v>
      </x:c>
      <x:c r="H1252" s="9" t="str">
        <x:v>RCN</x:v>
      </x:c>
      <x:c r="I1252" s="9" t="str">
        <x:v>PD14</x:v>
      </x:c>
      <x:c r="J1252" s="17" t="str">
        <x:v>Break and residual account</x:v>
      </x:c>
      <x:c r="K1252" s="17" t="str">
        <x:v>Residual authority</x:v>
      </x:c>
      <x:c r="L1252" s="17" t="str">
        <x:v>COURT-SEALED UNTIL COHORT RELEASE</x:v>
      </x:c>
      <x:c r="M1252" s="9" t="n">
        <x:v>0</x:v>
      </x:c>
      <x:c r="N1252" s="9" t="n">
        <x:v>0</x:v>
      </x:c>
      <x:c r="O1252" s="9" t="n">
        <x:v>0</x:v>
      </x:c>
      <x:c r="P1252" s="9" t="str">
        <x:v>HELD / UNRELEASED</x:v>
      </x:c>
      <x:c r="Q1252" s="9" t="n">
        <x:f>COUNTIFS($A$7:$A$2310,A1252)</x:f>
        <x:v>1</x:v>
      </x:c>
    </x:row>
    <x:row r="1253">
      <x:c r="A1253" s="9" t="str">
        <x:v>PD-AR-RT-B-C-TECH-1-B1-RCN-G0-PD15</x:v>
      </x:c>
      <x:c r="B1253" s="9" t="str">
        <x:v>PD-AR-RT-B-C-TECH-1-B1-RCN-G0</x:v>
      </x:c>
      <x:c r="C1253" s="9" t="str">
        <x:v>EV-AR-RT-B-C-TECH-1-B1-RCN-G0</x:v>
      </x:c>
      <x:c r="D1253" s="9" t="str">
        <x:v>AR-RT-B-C-TECH-1-B1-RCN-G0</x:v>
      </x:c>
      <x:c r="E1253" s="9" t="str">
        <x:v>RT-B-C-TECH-1</x:v>
      </x:c>
      <x:c r="F1253" s="9" t="str">
        <x:v>RT-B-C</x:v>
      </x:c>
      <x:c r="G1253" s="9" t="str">
        <x:v>B1</x:v>
      </x:c>
      <x:c r="H1253" s="9" t="str">
        <x:v>RCN</x:v>
      </x:c>
      <x:c r="I1253" s="9" t="str">
        <x:v>PD15</x:v>
      </x:c>
      <x:c r="J1253" s="17" t="str">
        <x:v>Reconstruction ancestry and replay</x:v>
      </x:c>
      <x:c r="K1253" s="17" t="str">
        <x:v>Reconstruction court</x:v>
      </x:c>
      <x:c r="L1253" s="17" t="str">
        <x:v>COURT-SEALED UNTIL COHORT RELEASE</x:v>
      </x:c>
      <x:c r="M1253" s="9" t="n">
        <x:v>0</x:v>
      </x:c>
      <x:c r="N1253" s="9" t="n">
        <x:v>0</x:v>
      </x:c>
      <x:c r="O1253" s="9" t="n">
        <x:v>0</x:v>
      </x:c>
      <x:c r="P1253" s="9" t="str">
        <x:v>HELD / UNRELEASED</x:v>
      </x:c>
      <x:c r="Q1253" s="9" t="n">
        <x:f>COUNTIFS($A$7:$A$2310,A1253)</x:f>
        <x:v>1</x:v>
      </x:c>
    </x:row>
    <x:row r="1254">
      <x:c r="A1254" s="9" t="str">
        <x:v>PD-AR-RT-B-C-TECH-1-B1-RCN-G0-PD16</x:v>
      </x:c>
      <x:c r="B1254" s="9" t="str">
        <x:v>PD-AR-RT-B-C-TECH-1-B1-RCN-G0</x:v>
      </x:c>
      <x:c r="C1254" s="9" t="str">
        <x:v>EV-AR-RT-B-C-TECH-1-B1-RCN-G0</x:v>
      </x:c>
      <x:c r="D1254" s="9" t="str">
        <x:v>AR-RT-B-C-TECH-1-B1-RCN-G0</x:v>
      </x:c>
      <x:c r="E1254" s="9" t="str">
        <x:v>RT-B-C-TECH-1</x:v>
      </x:c>
      <x:c r="F1254" s="9" t="str">
        <x:v>RT-B-C</x:v>
      </x:c>
      <x:c r="G1254" s="9" t="str">
        <x:v>B1</x:v>
      </x:c>
      <x:c r="H1254" s="9" t="str">
        <x:v>RCN</x:v>
      </x:c>
      <x:c r="I1254" s="9" t="str">
        <x:v>PD16</x:v>
      </x:c>
      <x:c r="J1254" s="17" t="str">
        <x:v>Dissent, amendments and access log</x:v>
      </x:c>
      <x:c r="K1254" s="17" t="str">
        <x:v>Public archive</x:v>
      </x:c>
      <x:c r="L1254" s="17" t="str">
        <x:v>COURT-SEALED UNTIL COHORT RELEASE</x:v>
      </x:c>
      <x:c r="M1254" s="9" t="n">
        <x:v>0</x:v>
      </x:c>
      <x:c r="N1254" s="9" t="n">
        <x:v>0</x:v>
      </x:c>
      <x:c r="O1254" s="9" t="n">
        <x:v>0</x:v>
      </x:c>
      <x:c r="P1254" s="9" t="str">
        <x:v>HELD / UNRELEASED</x:v>
      </x:c>
      <x:c r="Q1254" s="9" t="n">
        <x:f>COUNTIFS($A$7:$A$2310,A1254)</x:f>
        <x:v>1</x:v>
      </x:c>
    </x:row>
    <x:row r="1255">
      <x:c r="A1255" s="9" t="str">
        <x:v>PD-AR-ET-A-A-TECH-1-B2-BRK-G0-PD01</x:v>
      </x:c>
      <x:c r="B1255" s="9" t="str">
        <x:v>PD-AR-ET-A-A-TECH-1-B2-BRK-G0</x:v>
      </x:c>
      <x:c r="C1255" s="9" t="str">
        <x:v>EV-AR-ET-A-A-TECH-1-B2-BRK-G0</x:v>
      </x:c>
      <x:c r="D1255" s="9" t="str">
        <x:v>AR-ET-A-A-TECH-1-B2-BRK-G0</x:v>
      </x:c>
      <x:c r="E1255" s="9" t="str">
        <x:v>ET-A-A-TECH-1</x:v>
      </x:c>
      <x:c r="F1255" s="9" t="str">
        <x:v>ET-A-A</x:v>
      </x:c>
      <x:c r="G1255" s="9" t="str">
        <x:v>B2</x:v>
      </x:c>
      <x:c r="H1255" s="9" t="str">
        <x:v>BRK</x:v>
      </x:c>
      <x:c r="I1255" s="9" t="str">
        <x:v>PD01</x:v>
      </x:c>
      <x:c r="J1255" s="17" t="str">
        <x:v>Experiment kernel</x:v>
      </x:c>
      <x:c r="K1255" s="17" t="str">
        <x:v>Public archive</x:v>
      </x:c>
      <x:c r="L1255" s="17" t="str">
        <x:v>COURT-SEALED UNTIL COHORT RELEASE</x:v>
      </x:c>
      <x:c r="M1255" s="9" t="n">
        <x:v>0</x:v>
      </x:c>
      <x:c r="N1255" s="9" t="n">
        <x:v>0</x:v>
      </x:c>
      <x:c r="O1255" s="9" t="n">
        <x:v>0</x:v>
      </x:c>
      <x:c r="P1255" s="9" t="str">
        <x:v>HELD / UNRELEASED</x:v>
      </x:c>
      <x:c r="Q1255" s="9" t="n">
        <x:f>COUNTIFS($A$7:$A$2310,A1255)</x:f>
        <x:v>1</x:v>
      </x:c>
    </x:row>
    <x:row r="1256">
      <x:c r="A1256" s="9" t="str">
        <x:v>PD-AR-ET-A-A-TECH-1-B2-BRK-G0-PD02</x:v>
      </x:c>
      <x:c r="B1256" s="9" t="str">
        <x:v>PD-AR-ET-A-A-TECH-1-B2-BRK-G0</x:v>
      </x:c>
      <x:c r="C1256" s="9" t="str">
        <x:v>EV-AR-ET-A-A-TECH-1-B2-BRK-G0</x:v>
      </x:c>
      <x:c r="D1256" s="9" t="str">
        <x:v>AR-ET-A-A-TECH-1-B2-BRK-G0</x:v>
      </x:c>
      <x:c r="E1256" s="9" t="str">
        <x:v>ET-A-A-TECH-1</x:v>
      </x:c>
      <x:c r="F1256" s="9" t="str">
        <x:v>ET-A-A</x:v>
      </x:c>
      <x:c r="G1256" s="9" t="str">
        <x:v>B2</x:v>
      </x:c>
      <x:c r="H1256" s="9" t="str">
        <x:v>BRK</x:v>
      </x:c>
      <x:c r="I1256" s="9" t="str">
        <x:v>PD02</x:v>
      </x:c>
      <x:c r="J1256" s="17" t="str">
        <x:v>Serial annex and title chain</x:v>
      </x:c>
      <x:c r="K1256" s="17" t="str">
        <x:v>Public archive</x:v>
      </x:c>
      <x:c r="L1256" s="17" t="str">
        <x:v>COURT-SEALED UNTIL COHORT RELEASE</x:v>
      </x:c>
      <x:c r="M1256" s="9" t="n">
        <x:v>0</x:v>
      </x:c>
      <x:c r="N1256" s="9" t="n">
        <x:v>0</x:v>
      </x:c>
      <x:c r="O1256" s="9" t="n">
        <x:v>0</x:v>
      </x:c>
      <x:c r="P1256" s="9" t="str">
        <x:v>HELD / UNRELEASED</x:v>
      </x:c>
      <x:c r="Q1256" s="9" t="n">
        <x:f>COUNTIFS($A$7:$A$2310,A1256)</x:f>
        <x:v>1</x:v>
      </x:c>
    </x:row>
    <x:row r="1257">
      <x:c r="A1257" s="9" t="str">
        <x:v>PD-AR-ET-A-A-TECH-1-B2-BRK-G0-PD03</x:v>
      </x:c>
      <x:c r="B1257" s="9" t="str">
        <x:v>PD-AR-ET-A-A-TECH-1-B2-BRK-G0</x:v>
      </x:c>
      <x:c r="C1257" s="9" t="str">
        <x:v>EV-AR-ET-A-A-TECH-1-B2-BRK-G0</x:v>
      </x:c>
      <x:c r="D1257" s="9" t="str">
        <x:v>AR-ET-A-A-TECH-1-B2-BRK-G0</x:v>
      </x:c>
      <x:c r="E1257" s="9" t="str">
        <x:v>ET-A-A-TECH-1</x:v>
      </x:c>
      <x:c r="F1257" s="9" t="str">
        <x:v>ET-A-A</x:v>
      </x:c>
      <x:c r="G1257" s="9" t="str">
        <x:v>B2</x:v>
      </x:c>
      <x:c r="H1257" s="9" t="str">
        <x:v>BRK</x:v>
      </x:c>
      <x:c r="I1257" s="9" t="str">
        <x:v>PD03</x:v>
      </x:c>
      <x:c r="J1257" s="17" t="str">
        <x:v>Configuration and as-built manifest</x:v>
      </x:c>
      <x:c r="K1257" s="17" t="str">
        <x:v>Artifact exchange</x:v>
      </x:c>
      <x:c r="L1257" s="17" t="str">
        <x:v>COURT-SEALED UNTIL COHORT RELEASE</x:v>
      </x:c>
      <x:c r="M1257" s="9" t="n">
        <x:v>0</x:v>
      </x:c>
      <x:c r="N1257" s="9" t="n">
        <x:v>0</x:v>
      </x:c>
      <x:c r="O1257" s="9" t="n">
        <x:v>0</x:v>
      </x:c>
      <x:c r="P1257" s="9" t="str">
        <x:v>HELD / UNRELEASED</x:v>
      </x:c>
      <x:c r="Q1257" s="9" t="n">
        <x:f>COUNTIFS($A$7:$A$2310,A1257)</x:f>
        <x:v>1</x:v>
      </x:c>
    </x:row>
    <x:row r="1258">
      <x:c r="A1258" s="9" t="str">
        <x:v>PD-AR-ET-A-A-TECH-1-B2-BRK-G0-PD04</x:v>
      </x:c>
      <x:c r="B1258" s="9" t="str">
        <x:v>PD-AR-ET-A-A-TECH-1-B2-BRK-G0</x:v>
      </x:c>
      <x:c r="C1258" s="9" t="str">
        <x:v>EV-AR-ET-A-A-TECH-1-B2-BRK-G0</x:v>
      </x:c>
      <x:c r="D1258" s="9" t="str">
        <x:v>AR-ET-A-A-TECH-1-B2-BRK-G0</x:v>
      </x:c>
      <x:c r="E1258" s="9" t="str">
        <x:v>ET-A-A-TECH-1</x:v>
      </x:c>
      <x:c r="F1258" s="9" t="str">
        <x:v>ET-A-A</x:v>
      </x:c>
      <x:c r="G1258" s="9" t="str">
        <x:v>B2</x:v>
      </x:c>
      <x:c r="H1258" s="9" t="str">
        <x:v>BRK</x:v>
      </x:c>
      <x:c r="I1258" s="9" t="str">
        <x:v>PD04</x:v>
      </x:c>
      <x:c r="J1258" s="17" t="str">
        <x:v>EOW and start certificate</x:v>
      </x:c>
      <x:c r="K1258" s="17" t="str">
        <x:v>Start registrar</x:v>
      </x:c>
      <x:c r="L1258" s="17" t="str">
        <x:v>COURT-SEALED UNTIL COHORT RELEASE</x:v>
      </x:c>
      <x:c r="M1258" s="9" t="n">
        <x:v>0</x:v>
      </x:c>
      <x:c r="N1258" s="9" t="n">
        <x:v>0</x:v>
      </x:c>
      <x:c r="O1258" s="9" t="n">
        <x:v>0</x:v>
      </x:c>
      <x:c r="P1258" s="9" t="str">
        <x:v>HELD / UNRELEASED</x:v>
      </x:c>
      <x:c r="Q1258" s="9" t="n">
        <x:f>COUNTIFS($A$7:$A$2310,A1258)</x:f>
        <x:v>1</x:v>
      </x:c>
    </x:row>
    <x:row r="1259">
      <x:c r="A1259" s="9" t="str">
        <x:v>PD-AR-ET-A-A-TECH-1-B2-BRK-G0-PD05</x:v>
      </x:c>
      <x:c r="B1259" s="9" t="str">
        <x:v>PD-AR-ET-A-A-TECH-1-B2-BRK-G0</x:v>
      </x:c>
      <x:c r="C1259" s="9" t="str">
        <x:v>EV-AR-ET-A-A-TECH-1-B2-BRK-G0</x:v>
      </x:c>
      <x:c r="D1259" s="9" t="str">
        <x:v>AR-ET-A-A-TECH-1-B2-BRK-G0</x:v>
      </x:c>
      <x:c r="E1259" s="9" t="str">
        <x:v>ET-A-A-TECH-1</x:v>
      </x:c>
      <x:c r="F1259" s="9" t="str">
        <x:v>ET-A-A</x:v>
      </x:c>
      <x:c r="G1259" s="9" t="str">
        <x:v>B2</x:v>
      </x:c>
      <x:c r="H1259" s="9" t="str">
        <x:v>BRK</x:v>
      </x:c>
      <x:c r="I1259" s="9" t="str">
        <x:v>PD05</x:v>
      </x:c>
      <x:c r="J1259" s="17" t="str">
        <x:v>Primary raw originals</x:v>
      </x:c>
      <x:c r="K1259" s="17" t="str">
        <x:v>Primary custody</x:v>
      </x:c>
      <x:c r="L1259" s="17" t="str">
        <x:v>COURT-SEALED UNTIL COHORT RELEASE</x:v>
      </x:c>
      <x:c r="M1259" s="9" t="n">
        <x:v>0</x:v>
      </x:c>
      <x:c r="N1259" s="9" t="n">
        <x:v>0</x:v>
      </x:c>
      <x:c r="O1259" s="9" t="n">
        <x:v>0</x:v>
      </x:c>
      <x:c r="P1259" s="9" t="str">
        <x:v>HELD / UNRELEASED</x:v>
      </x:c>
      <x:c r="Q1259" s="9" t="n">
        <x:f>COUNTIFS($A$7:$A$2310,A1259)</x:f>
        <x:v>1</x:v>
      </x:c>
    </x:row>
    <x:row r="1260">
      <x:c r="A1260" s="9" t="str">
        <x:v>PD-AR-ET-A-A-TECH-1-B2-BRK-G0-PD06</x:v>
      </x:c>
      <x:c r="B1260" s="9" t="str">
        <x:v>PD-AR-ET-A-A-TECH-1-B2-BRK-G0</x:v>
      </x:c>
      <x:c r="C1260" s="9" t="str">
        <x:v>EV-AR-ET-A-A-TECH-1-B2-BRK-G0</x:v>
      </x:c>
      <x:c r="D1260" s="9" t="str">
        <x:v>AR-ET-A-A-TECH-1-B2-BRK-G0</x:v>
      </x:c>
      <x:c r="E1260" s="9" t="str">
        <x:v>ET-A-A-TECH-1</x:v>
      </x:c>
      <x:c r="F1260" s="9" t="str">
        <x:v>ET-A-A</x:v>
      </x:c>
      <x:c r="G1260" s="9" t="str">
        <x:v>B2</x:v>
      </x:c>
      <x:c r="H1260" s="9" t="str">
        <x:v>BRK</x:v>
      </x:c>
      <x:c r="I1260" s="9" t="str">
        <x:v>PD06</x:v>
      </x:c>
      <x:c r="J1260" s="17" t="str">
        <x:v>Witness raw originals</x:v>
      </x:c>
      <x:c r="K1260" s="17" t="str">
        <x:v>Witness custody</x:v>
      </x:c>
      <x:c r="L1260" s="17" t="str">
        <x:v>COURT-SEALED UNTIL COHORT RELEASE</x:v>
      </x:c>
      <x:c r="M1260" s="9" t="n">
        <x:v>0</x:v>
      </x:c>
      <x:c r="N1260" s="9" t="n">
        <x:v>0</x:v>
      </x:c>
      <x:c r="O1260" s="9" t="n">
        <x:v>0</x:v>
      </x:c>
      <x:c r="P1260" s="9" t="str">
        <x:v>HELD / UNRELEASED</x:v>
      </x:c>
      <x:c r="Q1260" s="9" t="n">
        <x:f>COUNTIFS($A$7:$A$2310,A1260)</x:f>
        <x:v>1</x:v>
      </x:c>
    </x:row>
    <x:row r="1261">
      <x:c r="A1261" s="9" t="str">
        <x:v>PD-AR-ET-A-A-TECH-1-B2-BRK-G0-PD07</x:v>
      </x:c>
      <x:c r="B1261" s="9" t="str">
        <x:v>PD-AR-ET-A-A-TECH-1-B2-BRK-G0</x:v>
      </x:c>
      <x:c r="C1261" s="9" t="str">
        <x:v>EV-AR-ET-A-A-TECH-1-B2-BRK-G0</x:v>
      </x:c>
      <x:c r="D1261" s="9" t="str">
        <x:v>AR-ET-A-A-TECH-1-B2-BRK-G0</x:v>
      </x:c>
      <x:c r="E1261" s="9" t="str">
        <x:v>ET-A-A-TECH-1</x:v>
      </x:c>
      <x:c r="F1261" s="9" t="str">
        <x:v>ET-A-A</x:v>
      </x:c>
      <x:c r="G1261" s="9" t="str">
        <x:v>B2</x:v>
      </x:c>
      <x:c r="H1261" s="9" t="str">
        <x:v>BRK</x:v>
      </x:c>
      <x:c r="I1261" s="9" t="str">
        <x:v>PD07</x:v>
      </x:c>
      <x:c r="J1261" s="17" t="str">
        <x:v>Clock and environmental records</x:v>
      </x:c>
      <x:c r="K1261" s="17" t="str">
        <x:v>Boundary archive</x:v>
      </x:c>
      <x:c r="L1261" s="17" t="str">
        <x:v>COURT-SEALED UNTIL COHORT RELEASE</x:v>
      </x:c>
      <x:c r="M1261" s="9" t="n">
        <x:v>0</x:v>
      </x:c>
      <x:c r="N1261" s="9" t="n">
        <x:v>0</x:v>
      </x:c>
      <x:c r="O1261" s="9" t="n">
        <x:v>0</x:v>
      </x:c>
      <x:c r="P1261" s="9" t="str">
        <x:v>HELD / UNRELEASED</x:v>
      </x:c>
      <x:c r="Q1261" s="9" t="n">
        <x:f>COUNTIFS($A$7:$A$2310,A1261)</x:f>
        <x:v>1</x:v>
      </x:c>
    </x:row>
    <x:row r="1262">
      <x:c r="A1262" s="9" t="str">
        <x:v>PD-AR-ET-A-A-TECH-1-B2-BRK-G0-PD08</x:v>
      </x:c>
      <x:c r="B1262" s="9" t="str">
        <x:v>PD-AR-ET-A-A-TECH-1-B2-BRK-G0</x:v>
      </x:c>
      <x:c r="C1262" s="9" t="str">
        <x:v>EV-AR-ET-A-A-TECH-1-B2-BRK-G0</x:v>
      </x:c>
      <x:c r="D1262" s="9" t="str">
        <x:v>AR-ET-A-A-TECH-1-B2-BRK-G0</x:v>
      </x:c>
      <x:c r="E1262" s="9" t="str">
        <x:v>ET-A-A-TECH-1</x:v>
      </x:c>
      <x:c r="F1262" s="9" t="str">
        <x:v>ET-A-A</x:v>
      </x:c>
      <x:c r="G1262" s="9" t="str">
        <x:v>B2</x:v>
      </x:c>
      <x:c r="H1262" s="9" t="str">
        <x:v>BRK</x:v>
      </x:c>
      <x:c r="I1262" s="9" t="str">
        <x:v>PD08</x:v>
      </x:c>
      <x:c r="J1262" s="17" t="str">
        <x:v>Command and intervention log</x:v>
      </x:c>
      <x:c r="K1262" s="17" t="str">
        <x:v>Safety archive</x:v>
      </x:c>
      <x:c r="L1262" s="17" t="str">
        <x:v>COURT-SEALED UNTIL COHORT RELEASE</x:v>
      </x:c>
      <x:c r="M1262" s="9" t="n">
        <x:v>0</x:v>
      </x:c>
      <x:c r="N1262" s="9" t="n">
        <x:v>0</x:v>
      </x:c>
      <x:c r="O1262" s="9" t="n">
        <x:v>0</x:v>
      </x:c>
      <x:c r="P1262" s="9" t="str">
        <x:v>HELD / UNRELEASED</x:v>
      </x:c>
      <x:c r="Q1262" s="9" t="n">
        <x:f>COUNTIFS($A$7:$A$2310,A1262)</x:f>
        <x:v>1</x:v>
      </x:c>
    </x:row>
    <x:row r="1263">
      <x:c r="A1263" s="9" t="str">
        <x:v>PD-AR-ET-A-A-TECH-1-B2-BRK-G0-PD09</x:v>
      </x:c>
      <x:c r="B1263" s="9" t="str">
        <x:v>PD-AR-ET-A-A-TECH-1-B2-BRK-G0</x:v>
      </x:c>
      <x:c r="C1263" s="9" t="str">
        <x:v>EV-AR-ET-A-A-TECH-1-B2-BRK-G0</x:v>
      </x:c>
      <x:c r="D1263" s="9" t="str">
        <x:v>AR-ET-A-A-TECH-1-B2-BRK-G0</x:v>
      </x:c>
      <x:c r="E1263" s="9" t="str">
        <x:v>ET-A-A-TECH-1</x:v>
      </x:c>
      <x:c r="F1263" s="9" t="str">
        <x:v>ET-A-A</x:v>
      </x:c>
      <x:c r="G1263" s="9" t="str">
        <x:v>B2</x:v>
      </x:c>
      <x:c r="H1263" s="9" t="str">
        <x:v>BRK</x:v>
      </x:c>
      <x:c r="I1263" s="9" t="str">
        <x:v>PD09</x:v>
      </x:c>
      <x:c r="J1263" s="17" t="str">
        <x:v>Receiver denominator and service ledger</x:v>
      </x:c>
      <x:c r="K1263" s="17" t="str">
        <x:v>Receiver archive</x:v>
      </x:c>
      <x:c r="L1263" s="17" t="str">
        <x:v>COURT-SEALED UNTIL COHORT RELEASE</x:v>
      </x:c>
      <x:c r="M1263" s="9" t="n">
        <x:v>0</x:v>
      </x:c>
      <x:c r="N1263" s="9" t="n">
        <x:v>0</x:v>
      </x:c>
      <x:c r="O1263" s="9" t="n">
        <x:v>0</x:v>
      </x:c>
      <x:c r="P1263" s="9" t="str">
        <x:v>HELD / UNRELEASED</x:v>
      </x:c>
      <x:c r="Q1263" s="9" t="n">
        <x:f>COUNTIFS($A$7:$A$2310,A1263)</x:f>
        <x:v>1</x:v>
      </x:c>
    </x:row>
    <x:row r="1264">
      <x:c r="A1264" s="9" t="str">
        <x:v>PD-AR-ET-A-A-TECH-1-B2-BRK-G0-PD10</x:v>
      </x:c>
      <x:c r="B1264" s="9" t="str">
        <x:v>PD-AR-ET-A-A-TECH-1-B2-BRK-G0</x:v>
      </x:c>
      <x:c r="C1264" s="9" t="str">
        <x:v>EV-AR-ET-A-A-TECH-1-B2-BRK-G0</x:v>
      </x:c>
      <x:c r="D1264" s="9" t="str">
        <x:v>AR-ET-A-A-TECH-1-B2-BRK-G0</x:v>
      </x:c>
      <x:c r="E1264" s="9" t="str">
        <x:v>ET-A-A-TECH-1</x:v>
      </x:c>
      <x:c r="F1264" s="9" t="str">
        <x:v>ET-A-A</x:v>
      </x:c>
      <x:c r="G1264" s="9" t="str">
        <x:v>B2</x:v>
      </x:c>
      <x:c r="H1264" s="9" t="str">
        <x:v>BRK</x:v>
      </x:c>
      <x:c r="I1264" s="9" t="str">
        <x:v>PD10</x:v>
      </x:c>
      <x:c r="J1264" s="17" t="str">
        <x:v>Calibration and uncertainty record</x:v>
      </x:c>
      <x:c r="K1264" s="17" t="str">
        <x:v>Metrology archive</x:v>
      </x:c>
      <x:c r="L1264" s="17" t="str">
        <x:v>COURT-SEALED UNTIL COHORT RELEASE</x:v>
      </x:c>
      <x:c r="M1264" s="9" t="n">
        <x:v>0</x:v>
      </x:c>
      <x:c r="N1264" s="9" t="n">
        <x:v>0</x:v>
      </x:c>
      <x:c r="O1264" s="9" t="n">
        <x:v>0</x:v>
      </x:c>
      <x:c r="P1264" s="9" t="str">
        <x:v>HELD / UNRELEASED</x:v>
      </x:c>
      <x:c r="Q1264" s="9" t="n">
        <x:f>COUNTIFS($A$7:$A$2310,A1264)</x:f>
        <x:v>1</x:v>
      </x:c>
    </x:row>
    <x:row r="1265">
      <x:c r="A1265" s="9" t="str">
        <x:v>PD-AR-ET-A-A-TECH-1-B2-BRK-G0-PD11</x:v>
      </x:c>
      <x:c r="B1265" s="9" t="str">
        <x:v>PD-AR-ET-A-A-TECH-1-B2-BRK-G0</x:v>
      </x:c>
      <x:c r="C1265" s="9" t="str">
        <x:v>EV-AR-ET-A-A-TECH-1-B2-BRK-G0</x:v>
      </x:c>
      <x:c r="D1265" s="9" t="str">
        <x:v>AR-ET-A-A-TECH-1-B2-BRK-G0</x:v>
      </x:c>
      <x:c r="E1265" s="9" t="str">
        <x:v>ET-A-A-TECH-1</x:v>
      </x:c>
      <x:c r="F1265" s="9" t="str">
        <x:v>ET-A-A</x:v>
      </x:c>
      <x:c r="G1265" s="9" t="str">
        <x:v>B2</x:v>
      </x:c>
      <x:c r="H1265" s="9" t="str">
        <x:v>BRK</x:v>
      </x:c>
      <x:c r="I1265" s="9" t="str">
        <x:v>PD11</x:v>
      </x:c>
      <x:c r="J1265" s="17" t="str">
        <x:v>Invalidity petition and opinion</x:v>
      </x:c>
      <x:c r="K1265" s="17" t="str">
        <x:v>Invalidity court</x:v>
      </x:c>
      <x:c r="L1265" s="17" t="str">
        <x:v>COURT-SEALED UNTIL COHORT RELEASE</x:v>
      </x:c>
      <x:c r="M1265" s="9" t="n">
        <x:v>0</x:v>
      </x:c>
      <x:c r="N1265" s="9" t="n">
        <x:v>0</x:v>
      </x:c>
      <x:c r="O1265" s="9" t="n">
        <x:v>0</x:v>
      </x:c>
      <x:c r="P1265" s="9" t="str">
        <x:v>HELD / UNRELEASED</x:v>
      </x:c>
      <x:c r="Q1265" s="9" t="n">
        <x:f>COUNTIFS($A$7:$A$2310,A1265)</x:f>
        <x:v>1</x:v>
      </x:c>
    </x:row>
    <x:row r="1266">
      <x:c r="A1266" s="9" t="str">
        <x:v>PD-AR-ET-A-A-TECH-1-B2-BRK-G0-PD12</x:v>
      </x:c>
      <x:c r="B1266" s="9" t="str">
        <x:v>PD-AR-ET-A-A-TECH-1-B2-BRK-G0</x:v>
      </x:c>
      <x:c r="C1266" s="9" t="str">
        <x:v>EV-AR-ET-A-A-TECH-1-B2-BRK-G0</x:v>
      </x:c>
      <x:c r="D1266" s="9" t="str">
        <x:v>AR-ET-A-A-TECH-1-B2-BRK-G0</x:v>
      </x:c>
      <x:c r="E1266" s="9" t="str">
        <x:v>ET-A-A-TECH-1</x:v>
      </x:c>
      <x:c r="F1266" s="9" t="str">
        <x:v>ET-A-A</x:v>
      </x:c>
      <x:c r="G1266" s="9" t="str">
        <x:v>B2</x:v>
      </x:c>
      <x:c r="H1266" s="9" t="str">
        <x:v>BRK</x:v>
      </x:c>
      <x:c r="I1266" s="9" t="str">
        <x:v>PD12</x:v>
      </x:c>
      <x:c r="J1266" s="17" t="str">
        <x:v>Observation acceptance and replay</x:v>
      </x:c>
      <x:c r="K1266" s="17" t="str">
        <x:v>Observation court</x:v>
      </x:c>
      <x:c r="L1266" s="17" t="str">
        <x:v>COURT-SEALED UNTIL COHORT RELEASE</x:v>
      </x:c>
      <x:c r="M1266" s="9" t="n">
        <x:v>0</x:v>
      </x:c>
      <x:c r="N1266" s="9" t="n">
        <x:v>0</x:v>
      </x:c>
      <x:c r="O1266" s="9" t="n">
        <x:v>0</x:v>
      </x:c>
      <x:c r="P1266" s="9" t="str">
        <x:v>HELD / UNRELEASED</x:v>
      </x:c>
      <x:c r="Q1266" s="9" t="n">
        <x:f>COUNTIFS($A$7:$A$2310,A1266)</x:f>
        <x:v>1</x:v>
      </x:c>
    </x:row>
    <x:row r="1267">
      <x:c r="A1267" s="9" t="str">
        <x:v>PD-AR-ET-A-A-TECH-1-B2-BRK-G0-PD13</x:v>
      </x:c>
      <x:c r="B1267" s="9" t="str">
        <x:v>PD-AR-ET-A-A-TECH-1-B2-BRK-G0</x:v>
      </x:c>
      <x:c r="C1267" s="9" t="str">
        <x:v>EV-AR-ET-A-A-TECH-1-B2-BRK-G0</x:v>
      </x:c>
      <x:c r="D1267" s="9" t="str">
        <x:v>AR-ET-A-A-TECH-1-B2-BRK-G0</x:v>
      </x:c>
      <x:c r="E1267" s="9" t="str">
        <x:v>ET-A-A-TECH-1</x:v>
      </x:c>
      <x:c r="F1267" s="9" t="str">
        <x:v>ET-A-A</x:v>
      </x:c>
      <x:c r="G1267" s="9" t="str">
        <x:v>B2</x:v>
      </x:c>
      <x:c r="H1267" s="9" t="str">
        <x:v>BRK</x:v>
      </x:c>
      <x:c r="I1267" s="9" t="str">
        <x:v>PD13</x:v>
      </x:c>
      <x:c r="J1267" s="17" t="str">
        <x:v>Role judgment</x:v>
      </x:c>
      <x:c r="K1267" s="17" t="str">
        <x:v>Role court</x:v>
      </x:c>
      <x:c r="L1267" s="17" t="str">
        <x:v>COURT-SEALED UNTIL COHORT RELEASE</x:v>
      </x:c>
      <x:c r="M1267" s="9" t="n">
        <x:v>0</x:v>
      </x:c>
      <x:c r="N1267" s="9" t="n">
        <x:v>0</x:v>
      </x:c>
      <x:c r="O1267" s="9" t="n">
        <x:v>0</x:v>
      </x:c>
      <x:c r="P1267" s="9" t="str">
        <x:v>HELD / UNRELEASED</x:v>
      </x:c>
      <x:c r="Q1267" s="9" t="n">
        <x:f>COUNTIFS($A$7:$A$2310,A1267)</x:f>
        <x:v>1</x:v>
      </x:c>
    </x:row>
    <x:row r="1268">
      <x:c r="A1268" s="9" t="str">
        <x:v>PD-AR-ET-A-A-TECH-1-B2-BRK-G0-PD14</x:v>
      </x:c>
      <x:c r="B1268" s="9" t="str">
        <x:v>PD-AR-ET-A-A-TECH-1-B2-BRK-G0</x:v>
      </x:c>
      <x:c r="C1268" s="9" t="str">
        <x:v>EV-AR-ET-A-A-TECH-1-B2-BRK-G0</x:v>
      </x:c>
      <x:c r="D1268" s="9" t="str">
        <x:v>AR-ET-A-A-TECH-1-B2-BRK-G0</x:v>
      </x:c>
      <x:c r="E1268" s="9" t="str">
        <x:v>ET-A-A-TECH-1</x:v>
      </x:c>
      <x:c r="F1268" s="9" t="str">
        <x:v>ET-A-A</x:v>
      </x:c>
      <x:c r="G1268" s="9" t="str">
        <x:v>B2</x:v>
      </x:c>
      <x:c r="H1268" s="9" t="str">
        <x:v>BRK</x:v>
      </x:c>
      <x:c r="I1268" s="9" t="str">
        <x:v>PD14</x:v>
      </x:c>
      <x:c r="J1268" s="17" t="str">
        <x:v>Break and residual account</x:v>
      </x:c>
      <x:c r="K1268" s="17" t="str">
        <x:v>Residual authority</x:v>
      </x:c>
      <x:c r="L1268" s="17" t="str">
        <x:v>COURT-SEALED UNTIL COHORT RELEASE</x:v>
      </x:c>
      <x:c r="M1268" s="9" t="n">
        <x:v>0</x:v>
      </x:c>
      <x:c r="N1268" s="9" t="n">
        <x:v>0</x:v>
      </x:c>
      <x:c r="O1268" s="9" t="n">
        <x:v>0</x:v>
      </x:c>
      <x:c r="P1268" s="9" t="str">
        <x:v>HELD / UNRELEASED</x:v>
      </x:c>
      <x:c r="Q1268" s="9" t="n">
        <x:f>COUNTIFS($A$7:$A$2310,A1268)</x:f>
        <x:v>1</x:v>
      </x:c>
    </x:row>
    <x:row r="1269">
      <x:c r="A1269" s="9" t="str">
        <x:v>PD-AR-ET-A-A-TECH-1-B2-BRK-G0-PD15</x:v>
      </x:c>
      <x:c r="B1269" s="9" t="str">
        <x:v>PD-AR-ET-A-A-TECH-1-B2-BRK-G0</x:v>
      </x:c>
      <x:c r="C1269" s="9" t="str">
        <x:v>EV-AR-ET-A-A-TECH-1-B2-BRK-G0</x:v>
      </x:c>
      <x:c r="D1269" s="9" t="str">
        <x:v>AR-ET-A-A-TECH-1-B2-BRK-G0</x:v>
      </x:c>
      <x:c r="E1269" s="9" t="str">
        <x:v>ET-A-A-TECH-1</x:v>
      </x:c>
      <x:c r="F1269" s="9" t="str">
        <x:v>ET-A-A</x:v>
      </x:c>
      <x:c r="G1269" s="9" t="str">
        <x:v>B2</x:v>
      </x:c>
      <x:c r="H1269" s="9" t="str">
        <x:v>BRK</x:v>
      </x:c>
      <x:c r="I1269" s="9" t="str">
        <x:v>PD15</x:v>
      </x:c>
      <x:c r="J1269" s="17" t="str">
        <x:v>Reconstruction ancestry and replay</x:v>
      </x:c>
      <x:c r="K1269" s="17" t="str">
        <x:v>Reconstruction court</x:v>
      </x:c>
      <x:c r="L1269" s="17" t="str">
        <x:v>COURT-SEALED UNTIL COHORT RELEASE</x:v>
      </x:c>
      <x:c r="M1269" s="9" t="n">
        <x:v>0</x:v>
      </x:c>
      <x:c r="N1269" s="9" t="n">
        <x:v>0</x:v>
      </x:c>
      <x:c r="O1269" s="9" t="n">
        <x:v>0</x:v>
      </x:c>
      <x:c r="P1269" s="9" t="str">
        <x:v>HELD / UNRELEASED</x:v>
      </x:c>
      <x:c r="Q1269" s="9" t="n">
        <x:f>COUNTIFS($A$7:$A$2310,A1269)</x:f>
        <x:v>1</x:v>
      </x:c>
    </x:row>
    <x:row r="1270">
      <x:c r="A1270" s="9" t="str">
        <x:v>PD-AR-ET-A-A-TECH-1-B2-BRK-G0-PD16</x:v>
      </x:c>
      <x:c r="B1270" s="9" t="str">
        <x:v>PD-AR-ET-A-A-TECH-1-B2-BRK-G0</x:v>
      </x:c>
      <x:c r="C1270" s="9" t="str">
        <x:v>EV-AR-ET-A-A-TECH-1-B2-BRK-G0</x:v>
      </x:c>
      <x:c r="D1270" s="9" t="str">
        <x:v>AR-ET-A-A-TECH-1-B2-BRK-G0</x:v>
      </x:c>
      <x:c r="E1270" s="9" t="str">
        <x:v>ET-A-A-TECH-1</x:v>
      </x:c>
      <x:c r="F1270" s="9" t="str">
        <x:v>ET-A-A</x:v>
      </x:c>
      <x:c r="G1270" s="9" t="str">
        <x:v>B2</x:v>
      </x:c>
      <x:c r="H1270" s="9" t="str">
        <x:v>BRK</x:v>
      </x:c>
      <x:c r="I1270" s="9" t="str">
        <x:v>PD16</x:v>
      </x:c>
      <x:c r="J1270" s="17" t="str">
        <x:v>Dissent, amendments and access log</x:v>
      </x:c>
      <x:c r="K1270" s="17" t="str">
        <x:v>Public archive</x:v>
      </x:c>
      <x:c r="L1270" s="17" t="str">
        <x:v>COURT-SEALED UNTIL COHORT RELEASE</x:v>
      </x:c>
      <x:c r="M1270" s="9" t="n">
        <x:v>0</x:v>
      </x:c>
      <x:c r="N1270" s="9" t="n">
        <x:v>0</x:v>
      </x:c>
      <x:c r="O1270" s="9" t="n">
        <x:v>0</x:v>
      </x:c>
      <x:c r="P1270" s="9" t="str">
        <x:v>HELD / UNRELEASED</x:v>
      </x:c>
      <x:c r="Q1270" s="9" t="n">
        <x:f>COUNTIFS($A$7:$A$2310,A1270)</x:f>
        <x:v>1</x:v>
      </x:c>
    </x:row>
    <x:row r="1271">
      <x:c r="A1271" s="9" t="str">
        <x:v>PD-AR-HC-A-C-TECH-3-B2-RCN-G0-PD01</x:v>
      </x:c>
      <x:c r="B1271" s="9" t="str">
        <x:v>PD-AR-HC-A-C-TECH-3-B2-RCN-G0</x:v>
      </x:c>
      <x:c r="C1271" s="9" t="str">
        <x:v>EV-AR-HC-A-C-TECH-3-B2-RCN-G0</x:v>
      </x:c>
      <x:c r="D1271" s="9" t="str">
        <x:v>AR-HC-A-C-TECH-3-B2-RCN-G0</x:v>
      </x:c>
      <x:c r="E1271" s="9" t="str">
        <x:v>HC-A-C-TECH-3</x:v>
      </x:c>
      <x:c r="F1271" s="9" t="str">
        <x:v>HC-A-C</x:v>
      </x:c>
      <x:c r="G1271" s="9" t="str">
        <x:v>B2</x:v>
      </x:c>
      <x:c r="H1271" s="9" t="str">
        <x:v>RCN</x:v>
      </x:c>
      <x:c r="I1271" s="9" t="str">
        <x:v>PD01</x:v>
      </x:c>
      <x:c r="J1271" s="17" t="str">
        <x:v>Experiment kernel</x:v>
      </x:c>
      <x:c r="K1271" s="17" t="str">
        <x:v>Public archive</x:v>
      </x:c>
      <x:c r="L1271" s="17" t="str">
        <x:v>COURT-SEALED UNTIL COHORT RELEASE</x:v>
      </x:c>
      <x:c r="M1271" s="9" t="n">
        <x:v>0</x:v>
      </x:c>
      <x:c r="N1271" s="9" t="n">
        <x:v>0</x:v>
      </x:c>
      <x:c r="O1271" s="9" t="n">
        <x:v>0</x:v>
      </x:c>
      <x:c r="P1271" s="9" t="str">
        <x:v>HELD / UNRELEASED</x:v>
      </x:c>
      <x:c r="Q1271" s="9" t="n">
        <x:f>COUNTIFS($A$7:$A$2310,A1271)</x:f>
        <x:v>1</x:v>
      </x:c>
    </x:row>
    <x:row r="1272">
      <x:c r="A1272" s="9" t="str">
        <x:v>PD-AR-HC-A-C-TECH-3-B2-RCN-G0-PD02</x:v>
      </x:c>
      <x:c r="B1272" s="9" t="str">
        <x:v>PD-AR-HC-A-C-TECH-3-B2-RCN-G0</x:v>
      </x:c>
      <x:c r="C1272" s="9" t="str">
        <x:v>EV-AR-HC-A-C-TECH-3-B2-RCN-G0</x:v>
      </x:c>
      <x:c r="D1272" s="9" t="str">
        <x:v>AR-HC-A-C-TECH-3-B2-RCN-G0</x:v>
      </x:c>
      <x:c r="E1272" s="9" t="str">
        <x:v>HC-A-C-TECH-3</x:v>
      </x:c>
      <x:c r="F1272" s="9" t="str">
        <x:v>HC-A-C</x:v>
      </x:c>
      <x:c r="G1272" s="9" t="str">
        <x:v>B2</x:v>
      </x:c>
      <x:c r="H1272" s="9" t="str">
        <x:v>RCN</x:v>
      </x:c>
      <x:c r="I1272" s="9" t="str">
        <x:v>PD02</x:v>
      </x:c>
      <x:c r="J1272" s="17" t="str">
        <x:v>Serial annex and title chain</x:v>
      </x:c>
      <x:c r="K1272" s="17" t="str">
        <x:v>Public archive</x:v>
      </x:c>
      <x:c r="L1272" s="17" t="str">
        <x:v>COURT-SEALED UNTIL COHORT RELEASE</x:v>
      </x:c>
      <x:c r="M1272" s="9" t="n">
        <x:v>0</x:v>
      </x:c>
      <x:c r="N1272" s="9" t="n">
        <x:v>0</x:v>
      </x:c>
      <x:c r="O1272" s="9" t="n">
        <x:v>0</x:v>
      </x:c>
      <x:c r="P1272" s="9" t="str">
        <x:v>HELD / UNRELEASED</x:v>
      </x:c>
      <x:c r="Q1272" s="9" t="n">
        <x:f>COUNTIFS($A$7:$A$2310,A1272)</x:f>
        <x:v>1</x:v>
      </x:c>
    </x:row>
    <x:row r="1273">
      <x:c r="A1273" s="9" t="str">
        <x:v>PD-AR-HC-A-C-TECH-3-B2-RCN-G0-PD03</x:v>
      </x:c>
      <x:c r="B1273" s="9" t="str">
        <x:v>PD-AR-HC-A-C-TECH-3-B2-RCN-G0</x:v>
      </x:c>
      <x:c r="C1273" s="9" t="str">
        <x:v>EV-AR-HC-A-C-TECH-3-B2-RCN-G0</x:v>
      </x:c>
      <x:c r="D1273" s="9" t="str">
        <x:v>AR-HC-A-C-TECH-3-B2-RCN-G0</x:v>
      </x:c>
      <x:c r="E1273" s="9" t="str">
        <x:v>HC-A-C-TECH-3</x:v>
      </x:c>
      <x:c r="F1273" s="9" t="str">
        <x:v>HC-A-C</x:v>
      </x:c>
      <x:c r="G1273" s="9" t="str">
        <x:v>B2</x:v>
      </x:c>
      <x:c r="H1273" s="9" t="str">
        <x:v>RCN</x:v>
      </x:c>
      <x:c r="I1273" s="9" t="str">
        <x:v>PD03</x:v>
      </x:c>
      <x:c r="J1273" s="17" t="str">
        <x:v>Configuration and as-built manifest</x:v>
      </x:c>
      <x:c r="K1273" s="17" t="str">
        <x:v>Artifact exchange</x:v>
      </x:c>
      <x:c r="L1273" s="17" t="str">
        <x:v>COURT-SEALED UNTIL COHORT RELEASE</x:v>
      </x:c>
      <x:c r="M1273" s="9" t="n">
        <x:v>0</x:v>
      </x:c>
      <x:c r="N1273" s="9" t="n">
        <x:v>0</x:v>
      </x:c>
      <x:c r="O1273" s="9" t="n">
        <x:v>0</x:v>
      </x:c>
      <x:c r="P1273" s="9" t="str">
        <x:v>HELD / UNRELEASED</x:v>
      </x:c>
      <x:c r="Q1273" s="9" t="n">
        <x:f>COUNTIFS($A$7:$A$2310,A1273)</x:f>
        <x:v>1</x:v>
      </x:c>
    </x:row>
    <x:row r="1274">
      <x:c r="A1274" s="9" t="str">
        <x:v>PD-AR-HC-A-C-TECH-3-B2-RCN-G0-PD04</x:v>
      </x:c>
      <x:c r="B1274" s="9" t="str">
        <x:v>PD-AR-HC-A-C-TECH-3-B2-RCN-G0</x:v>
      </x:c>
      <x:c r="C1274" s="9" t="str">
        <x:v>EV-AR-HC-A-C-TECH-3-B2-RCN-G0</x:v>
      </x:c>
      <x:c r="D1274" s="9" t="str">
        <x:v>AR-HC-A-C-TECH-3-B2-RCN-G0</x:v>
      </x:c>
      <x:c r="E1274" s="9" t="str">
        <x:v>HC-A-C-TECH-3</x:v>
      </x:c>
      <x:c r="F1274" s="9" t="str">
        <x:v>HC-A-C</x:v>
      </x:c>
      <x:c r="G1274" s="9" t="str">
        <x:v>B2</x:v>
      </x:c>
      <x:c r="H1274" s="9" t="str">
        <x:v>RCN</x:v>
      </x:c>
      <x:c r="I1274" s="9" t="str">
        <x:v>PD04</x:v>
      </x:c>
      <x:c r="J1274" s="17" t="str">
        <x:v>EOW and start certificate</x:v>
      </x:c>
      <x:c r="K1274" s="17" t="str">
        <x:v>Start registrar</x:v>
      </x:c>
      <x:c r="L1274" s="17" t="str">
        <x:v>COURT-SEALED UNTIL COHORT RELEASE</x:v>
      </x:c>
      <x:c r="M1274" s="9" t="n">
        <x:v>0</x:v>
      </x:c>
      <x:c r="N1274" s="9" t="n">
        <x:v>0</x:v>
      </x:c>
      <x:c r="O1274" s="9" t="n">
        <x:v>0</x:v>
      </x:c>
      <x:c r="P1274" s="9" t="str">
        <x:v>HELD / UNRELEASED</x:v>
      </x:c>
      <x:c r="Q1274" s="9" t="n">
        <x:f>COUNTIFS($A$7:$A$2310,A1274)</x:f>
        <x:v>1</x:v>
      </x:c>
    </x:row>
    <x:row r="1275">
      <x:c r="A1275" s="9" t="str">
        <x:v>PD-AR-HC-A-C-TECH-3-B2-RCN-G0-PD05</x:v>
      </x:c>
      <x:c r="B1275" s="9" t="str">
        <x:v>PD-AR-HC-A-C-TECH-3-B2-RCN-G0</x:v>
      </x:c>
      <x:c r="C1275" s="9" t="str">
        <x:v>EV-AR-HC-A-C-TECH-3-B2-RCN-G0</x:v>
      </x:c>
      <x:c r="D1275" s="9" t="str">
        <x:v>AR-HC-A-C-TECH-3-B2-RCN-G0</x:v>
      </x:c>
      <x:c r="E1275" s="9" t="str">
        <x:v>HC-A-C-TECH-3</x:v>
      </x:c>
      <x:c r="F1275" s="9" t="str">
        <x:v>HC-A-C</x:v>
      </x:c>
      <x:c r="G1275" s="9" t="str">
        <x:v>B2</x:v>
      </x:c>
      <x:c r="H1275" s="9" t="str">
        <x:v>RCN</x:v>
      </x:c>
      <x:c r="I1275" s="9" t="str">
        <x:v>PD05</x:v>
      </x:c>
      <x:c r="J1275" s="17" t="str">
        <x:v>Primary raw originals</x:v>
      </x:c>
      <x:c r="K1275" s="17" t="str">
        <x:v>Primary custody</x:v>
      </x:c>
      <x:c r="L1275" s="17" t="str">
        <x:v>COURT-SEALED UNTIL COHORT RELEASE</x:v>
      </x:c>
      <x:c r="M1275" s="9" t="n">
        <x:v>0</x:v>
      </x:c>
      <x:c r="N1275" s="9" t="n">
        <x:v>0</x:v>
      </x:c>
      <x:c r="O1275" s="9" t="n">
        <x:v>0</x:v>
      </x:c>
      <x:c r="P1275" s="9" t="str">
        <x:v>HELD / UNRELEASED</x:v>
      </x:c>
      <x:c r="Q1275" s="9" t="n">
        <x:f>COUNTIFS($A$7:$A$2310,A1275)</x:f>
        <x:v>1</x:v>
      </x:c>
    </x:row>
    <x:row r="1276">
      <x:c r="A1276" s="9" t="str">
        <x:v>PD-AR-HC-A-C-TECH-3-B2-RCN-G0-PD06</x:v>
      </x:c>
      <x:c r="B1276" s="9" t="str">
        <x:v>PD-AR-HC-A-C-TECH-3-B2-RCN-G0</x:v>
      </x:c>
      <x:c r="C1276" s="9" t="str">
        <x:v>EV-AR-HC-A-C-TECH-3-B2-RCN-G0</x:v>
      </x:c>
      <x:c r="D1276" s="9" t="str">
        <x:v>AR-HC-A-C-TECH-3-B2-RCN-G0</x:v>
      </x:c>
      <x:c r="E1276" s="9" t="str">
        <x:v>HC-A-C-TECH-3</x:v>
      </x:c>
      <x:c r="F1276" s="9" t="str">
        <x:v>HC-A-C</x:v>
      </x:c>
      <x:c r="G1276" s="9" t="str">
        <x:v>B2</x:v>
      </x:c>
      <x:c r="H1276" s="9" t="str">
        <x:v>RCN</x:v>
      </x:c>
      <x:c r="I1276" s="9" t="str">
        <x:v>PD06</x:v>
      </x:c>
      <x:c r="J1276" s="17" t="str">
        <x:v>Witness raw originals</x:v>
      </x:c>
      <x:c r="K1276" s="17" t="str">
        <x:v>Witness custody</x:v>
      </x:c>
      <x:c r="L1276" s="17" t="str">
        <x:v>COURT-SEALED UNTIL COHORT RELEASE</x:v>
      </x:c>
      <x:c r="M1276" s="9" t="n">
        <x:v>0</x:v>
      </x:c>
      <x:c r="N1276" s="9" t="n">
        <x:v>0</x:v>
      </x:c>
      <x:c r="O1276" s="9" t="n">
        <x:v>0</x:v>
      </x:c>
      <x:c r="P1276" s="9" t="str">
        <x:v>HELD / UNRELEASED</x:v>
      </x:c>
      <x:c r="Q1276" s="9" t="n">
        <x:f>COUNTIFS($A$7:$A$2310,A1276)</x:f>
        <x:v>1</x:v>
      </x:c>
    </x:row>
    <x:row r="1277">
      <x:c r="A1277" s="9" t="str">
        <x:v>PD-AR-HC-A-C-TECH-3-B2-RCN-G0-PD07</x:v>
      </x:c>
      <x:c r="B1277" s="9" t="str">
        <x:v>PD-AR-HC-A-C-TECH-3-B2-RCN-G0</x:v>
      </x:c>
      <x:c r="C1277" s="9" t="str">
        <x:v>EV-AR-HC-A-C-TECH-3-B2-RCN-G0</x:v>
      </x:c>
      <x:c r="D1277" s="9" t="str">
        <x:v>AR-HC-A-C-TECH-3-B2-RCN-G0</x:v>
      </x:c>
      <x:c r="E1277" s="9" t="str">
        <x:v>HC-A-C-TECH-3</x:v>
      </x:c>
      <x:c r="F1277" s="9" t="str">
        <x:v>HC-A-C</x:v>
      </x:c>
      <x:c r="G1277" s="9" t="str">
        <x:v>B2</x:v>
      </x:c>
      <x:c r="H1277" s="9" t="str">
        <x:v>RCN</x:v>
      </x:c>
      <x:c r="I1277" s="9" t="str">
        <x:v>PD07</x:v>
      </x:c>
      <x:c r="J1277" s="17" t="str">
        <x:v>Clock and environmental records</x:v>
      </x:c>
      <x:c r="K1277" s="17" t="str">
        <x:v>Boundary archive</x:v>
      </x:c>
      <x:c r="L1277" s="17" t="str">
        <x:v>COURT-SEALED UNTIL COHORT RELEASE</x:v>
      </x:c>
      <x:c r="M1277" s="9" t="n">
        <x:v>0</x:v>
      </x:c>
      <x:c r="N1277" s="9" t="n">
        <x:v>0</x:v>
      </x:c>
      <x:c r="O1277" s="9" t="n">
        <x:v>0</x:v>
      </x:c>
      <x:c r="P1277" s="9" t="str">
        <x:v>HELD / UNRELEASED</x:v>
      </x:c>
      <x:c r="Q1277" s="9" t="n">
        <x:f>COUNTIFS($A$7:$A$2310,A1277)</x:f>
        <x:v>1</x:v>
      </x:c>
    </x:row>
    <x:row r="1278">
      <x:c r="A1278" s="9" t="str">
        <x:v>PD-AR-HC-A-C-TECH-3-B2-RCN-G0-PD08</x:v>
      </x:c>
      <x:c r="B1278" s="9" t="str">
        <x:v>PD-AR-HC-A-C-TECH-3-B2-RCN-G0</x:v>
      </x:c>
      <x:c r="C1278" s="9" t="str">
        <x:v>EV-AR-HC-A-C-TECH-3-B2-RCN-G0</x:v>
      </x:c>
      <x:c r="D1278" s="9" t="str">
        <x:v>AR-HC-A-C-TECH-3-B2-RCN-G0</x:v>
      </x:c>
      <x:c r="E1278" s="9" t="str">
        <x:v>HC-A-C-TECH-3</x:v>
      </x:c>
      <x:c r="F1278" s="9" t="str">
        <x:v>HC-A-C</x:v>
      </x:c>
      <x:c r="G1278" s="9" t="str">
        <x:v>B2</x:v>
      </x:c>
      <x:c r="H1278" s="9" t="str">
        <x:v>RCN</x:v>
      </x:c>
      <x:c r="I1278" s="9" t="str">
        <x:v>PD08</x:v>
      </x:c>
      <x:c r="J1278" s="17" t="str">
        <x:v>Command and intervention log</x:v>
      </x:c>
      <x:c r="K1278" s="17" t="str">
        <x:v>Safety archive</x:v>
      </x:c>
      <x:c r="L1278" s="17" t="str">
        <x:v>COURT-SEALED UNTIL COHORT RELEASE</x:v>
      </x:c>
      <x:c r="M1278" s="9" t="n">
        <x:v>0</x:v>
      </x:c>
      <x:c r="N1278" s="9" t="n">
        <x:v>0</x:v>
      </x:c>
      <x:c r="O1278" s="9" t="n">
        <x:v>0</x:v>
      </x:c>
      <x:c r="P1278" s="9" t="str">
        <x:v>HELD / UNRELEASED</x:v>
      </x:c>
      <x:c r="Q1278" s="9" t="n">
        <x:f>COUNTIFS($A$7:$A$2310,A1278)</x:f>
        <x:v>1</x:v>
      </x:c>
    </x:row>
    <x:row r="1279">
      <x:c r="A1279" s="9" t="str">
        <x:v>PD-AR-HC-A-C-TECH-3-B2-RCN-G0-PD09</x:v>
      </x:c>
      <x:c r="B1279" s="9" t="str">
        <x:v>PD-AR-HC-A-C-TECH-3-B2-RCN-G0</x:v>
      </x:c>
      <x:c r="C1279" s="9" t="str">
        <x:v>EV-AR-HC-A-C-TECH-3-B2-RCN-G0</x:v>
      </x:c>
      <x:c r="D1279" s="9" t="str">
        <x:v>AR-HC-A-C-TECH-3-B2-RCN-G0</x:v>
      </x:c>
      <x:c r="E1279" s="9" t="str">
        <x:v>HC-A-C-TECH-3</x:v>
      </x:c>
      <x:c r="F1279" s="9" t="str">
        <x:v>HC-A-C</x:v>
      </x:c>
      <x:c r="G1279" s="9" t="str">
        <x:v>B2</x:v>
      </x:c>
      <x:c r="H1279" s="9" t="str">
        <x:v>RCN</x:v>
      </x:c>
      <x:c r="I1279" s="9" t="str">
        <x:v>PD09</x:v>
      </x:c>
      <x:c r="J1279" s="17" t="str">
        <x:v>Receiver denominator and service ledger</x:v>
      </x:c>
      <x:c r="K1279" s="17" t="str">
        <x:v>Receiver archive</x:v>
      </x:c>
      <x:c r="L1279" s="17" t="str">
        <x:v>COURT-SEALED UNTIL COHORT RELEASE</x:v>
      </x:c>
      <x:c r="M1279" s="9" t="n">
        <x:v>0</x:v>
      </x:c>
      <x:c r="N1279" s="9" t="n">
        <x:v>0</x:v>
      </x:c>
      <x:c r="O1279" s="9" t="n">
        <x:v>0</x:v>
      </x:c>
      <x:c r="P1279" s="9" t="str">
        <x:v>HELD / UNRELEASED</x:v>
      </x:c>
      <x:c r="Q1279" s="9" t="n">
        <x:f>COUNTIFS($A$7:$A$2310,A1279)</x:f>
        <x:v>1</x:v>
      </x:c>
    </x:row>
    <x:row r="1280">
      <x:c r="A1280" s="9" t="str">
        <x:v>PD-AR-HC-A-C-TECH-3-B2-RCN-G0-PD10</x:v>
      </x:c>
      <x:c r="B1280" s="9" t="str">
        <x:v>PD-AR-HC-A-C-TECH-3-B2-RCN-G0</x:v>
      </x:c>
      <x:c r="C1280" s="9" t="str">
        <x:v>EV-AR-HC-A-C-TECH-3-B2-RCN-G0</x:v>
      </x:c>
      <x:c r="D1280" s="9" t="str">
        <x:v>AR-HC-A-C-TECH-3-B2-RCN-G0</x:v>
      </x:c>
      <x:c r="E1280" s="9" t="str">
        <x:v>HC-A-C-TECH-3</x:v>
      </x:c>
      <x:c r="F1280" s="9" t="str">
        <x:v>HC-A-C</x:v>
      </x:c>
      <x:c r="G1280" s="9" t="str">
        <x:v>B2</x:v>
      </x:c>
      <x:c r="H1280" s="9" t="str">
        <x:v>RCN</x:v>
      </x:c>
      <x:c r="I1280" s="9" t="str">
        <x:v>PD10</x:v>
      </x:c>
      <x:c r="J1280" s="17" t="str">
        <x:v>Calibration and uncertainty record</x:v>
      </x:c>
      <x:c r="K1280" s="17" t="str">
        <x:v>Metrology archive</x:v>
      </x:c>
      <x:c r="L1280" s="17" t="str">
        <x:v>COURT-SEALED UNTIL COHORT RELEASE</x:v>
      </x:c>
      <x:c r="M1280" s="9" t="n">
        <x:v>0</x:v>
      </x:c>
      <x:c r="N1280" s="9" t="n">
        <x:v>0</x:v>
      </x:c>
      <x:c r="O1280" s="9" t="n">
        <x:v>0</x:v>
      </x:c>
      <x:c r="P1280" s="9" t="str">
        <x:v>HELD / UNRELEASED</x:v>
      </x:c>
      <x:c r="Q1280" s="9" t="n">
        <x:f>COUNTIFS($A$7:$A$2310,A1280)</x:f>
        <x:v>1</x:v>
      </x:c>
    </x:row>
    <x:row r="1281">
      <x:c r="A1281" s="9" t="str">
        <x:v>PD-AR-HC-A-C-TECH-3-B2-RCN-G0-PD11</x:v>
      </x:c>
      <x:c r="B1281" s="9" t="str">
        <x:v>PD-AR-HC-A-C-TECH-3-B2-RCN-G0</x:v>
      </x:c>
      <x:c r="C1281" s="9" t="str">
        <x:v>EV-AR-HC-A-C-TECH-3-B2-RCN-G0</x:v>
      </x:c>
      <x:c r="D1281" s="9" t="str">
        <x:v>AR-HC-A-C-TECH-3-B2-RCN-G0</x:v>
      </x:c>
      <x:c r="E1281" s="9" t="str">
        <x:v>HC-A-C-TECH-3</x:v>
      </x:c>
      <x:c r="F1281" s="9" t="str">
        <x:v>HC-A-C</x:v>
      </x:c>
      <x:c r="G1281" s="9" t="str">
        <x:v>B2</x:v>
      </x:c>
      <x:c r="H1281" s="9" t="str">
        <x:v>RCN</x:v>
      </x:c>
      <x:c r="I1281" s="9" t="str">
        <x:v>PD11</x:v>
      </x:c>
      <x:c r="J1281" s="17" t="str">
        <x:v>Invalidity petition and opinion</x:v>
      </x:c>
      <x:c r="K1281" s="17" t="str">
        <x:v>Invalidity court</x:v>
      </x:c>
      <x:c r="L1281" s="17" t="str">
        <x:v>COURT-SEALED UNTIL COHORT RELEASE</x:v>
      </x:c>
      <x:c r="M1281" s="9" t="n">
        <x:v>0</x:v>
      </x:c>
      <x:c r="N1281" s="9" t="n">
        <x:v>0</x:v>
      </x:c>
      <x:c r="O1281" s="9" t="n">
        <x:v>0</x:v>
      </x:c>
      <x:c r="P1281" s="9" t="str">
        <x:v>HELD / UNRELEASED</x:v>
      </x:c>
      <x:c r="Q1281" s="9" t="n">
        <x:f>COUNTIFS($A$7:$A$2310,A1281)</x:f>
        <x:v>1</x:v>
      </x:c>
    </x:row>
    <x:row r="1282">
      <x:c r="A1282" s="9" t="str">
        <x:v>PD-AR-HC-A-C-TECH-3-B2-RCN-G0-PD12</x:v>
      </x:c>
      <x:c r="B1282" s="9" t="str">
        <x:v>PD-AR-HC-A-C-TECH-3-B2-RCN-G0</x:v>
      </x:c>
      <x:c r="C1282" s="9" t="str">
        <x:v>EV-AR-HC-A-C-TECH-3-B2-RCN-G0</x:v>
      </x:c>
      <x:c r="D1282" s="9" t="str">
        <x:v>AR-HC-A-C-TECH-3-B2-RCN-G0</x:v>
      </x:c>
      <x:c r="E1282" s="9" t="str">
        <x:v>HC-A-C-TECH-3</x:v>
      </x:c>
      <x:c r="F1282" s="9" t="str">
        <x:v>HC-A-C</x:v>
      </x:c>
      <x:c r="G1282" s="9" t="str">
        <x:v>B2</x:v>
      </x:c>
      <x:c r="H1282" s="9" t="str">
        <x:v>RCN</x:v>
      </x:c>
      <x:c r="I1282" s="9" t="str">
        <x:v>PD12</x:v>
      </x:c>
      <x:c r="J1282" s="17" t="str">
        <x:v>Observation acceptance and replay</x:v>
      </x:c>
      <x:c r="K1282" s="17" t="str">
        <x:v>Observation court</x:v>
      </x:c>
      <x:c r="L1282" s="17" t="str">
        <x:v>COURT-SEALED UNTIL COHORT RELEASE</x:v>
      </x:c>
      <x:c r="M1282" s="9" t="n">
        <x:v>0</x:v>
      </x:c>
      <x:c r="N1282" s="9" t="n">
        <x:v>0</x:v>
      </x:c>
      <x:c r="O1282" s="9" t="n">
        <x:v>0</x:v>
      </x:c>
      <x:c r="P1282" s="9" t="str">
        <x:v>HELD / UNRELEASED</x:v>
      </x:c>
      <x:c r="Q1282" s="9" t="n">
        <x:f>COUNTIFS($A$7:$A$2310,A1282)</x:f>
        <x:v>1</x:v>
      </x:c>
    </x:row>
    <x:row r="1283">
      <x:c r="A1283" s="9" t="str">
        <x:v>PD-AR-HC-A-C-TECH-3-B2-RCN-G0-PD13</x:v>
      </x:c>
      <x:c r="B1283" s="9" t="str">
        <x:v>PD-AR-HC-A-C-TECH-3-B2-RCN-G0</x:v>
      </x:c>
      <x:c r="C1283" s="9" t="str">
        <x:v>EV-AR-HC-A-C-TECH-3-B2-RCN-G0</x:v>
      </x:c>
      <x:c r="D1283" s="9" t="str">
        <x:v>AR-HC-A-C-TECH-3-B2-RCN-G0</x:v>
      </x:c>
      <x:c r="E1283" s="9" t="str">
        <x:v>HC-A-C-TECH-3</x:v>
      </x:c>
      <x:c r="F1283" s="9" t="str">
        <x:v>HC-A-C</x:v>
      </x:c>
      <x:c r="G1283" s="9" t="str">
        <x:v>B2</x:v>
      </x:c>
      <x:c r="H1283" s="9" t="str">
        <x:v>RCN</x:v>
      </x:c>
      <x:c r="I1283" s="9" t="str">
        <x:v>PD13</x:v>
      </x:c>
      <x:c r="J1283" s="17" t="str">
        <x:v>Role judgment</x:v>
      </x:c>
      <x:c r="K1283" s="17" t="str">
        <x:v>Role court</x:v>
      </x:c>
      <x:c r="L1283" s="17" t="str">
        <x:v>COURT-SEALED UNTIL COHORT RELEASE</x:v>
      </x:c>
      <x:c r="M1283" s="9" t="n">
        <x:v>0</x:v>
      </x:c>
      <x:c r="N1283" s="9" t="n">
        <x:v>0</x:v>
      </x:c>
      <x:c r="O1283" s="9" t="n">
        <x:v>0</x:v>
      </x:c>
      <x:c r="P1283" s="9" t="str">
        <x:v>HELD / UNRELEASED</x:v>
      </x:c>
      <x:c r="Q1283" s="9" t="n">
        <x:f>COUNTIFS($A$7:$A$2310,A1283)</x:f>
        <x:v>1</x:v>
      </x:c>
    </x:row>
    <x:row r="1284">
      <x:c r="A1284" s="9" t="str">
        <x:v>PD-AR-HC-A-C-TECH-3-B2-RCN-G0-PD14</x:v>
      </x:c>
      <x:c r="B1284" s="9" t="str">
        <x:v>PD-AR-HC-A-C-TECH-3-B2-RCN-G0</x:v>
      </x:c>
      <x:c r="C1284" s="9" t="str">
        <x:v>EV-AR-HC-A-C-TECH-3-B2-RCN-G0</x:v>
      </x:c>
      <x:c r="D1284" s="9" t="str">
        <x:v>AR-HC-A-C-TECH-3-B2-RCN-G0</x:v>
      </x:c>
      <x:c r="E1284" s="9" t="str">
        <x:v>HC-A-C-TECH-3</x:v>
      </x:c>
      <x:c r="F1284" s="9" t="str">
        <x:v>HC-A-C</x:v>
      </x:c>
      <x:c r="G1284" s="9" t="str">
        <x:v>B2</x:v>
      </x:c>
      <x:c r="H1284" s="9" t="str">
        <x:v>RCN</x:v>
      </x:c>
      <x:c r="I1284" s="9" t="str">
        <x:v>PD14</x:v>
      </x:c>
      <x:c r="J1284" s="17" t="str">
        <x:v>Break and residual account</x:v>
      </x:c>
      <x:c r="K1284" s="17" t="str">
        <x:v>Residual authority</x:v>
      </x:c>
      <x:c r="L1284" s="17" t="str">
        <x:v>COURT-SEALED UNTIL COHORT RELEASE</x:v>
      </x:c>
      <x:c r="M1284" s="9" t="n">
        <x:v>0</x:v>
      </x:c>
      <x:c r="N1284" s="9" t="n">
        <x:v>0</x:v>
      </x:c>
      <x:c r="O1284" s="9" t="n">
        <x:v>0</x:v>
      </x:c>
      <x:c r="P1284" s="9" t="str">
        <x:v>HELD / UNRELEASED</x:v>
      </x:c>
      <x:c r="Q1284" s="9" t="n">
        <x:f>COUNTIFS($A$7:$A$2310,A1284)</x:f>
        <x:v>1</x:v>
      </x:c>
    </x:row>
    <x:row r="1285">
      <x:c r="A1285" s="9" t="str">
        <x:v>PD-AR-HC-A-C-TECH-3-B2-RCN-G0-PD15</x:v>
      </x:c>
      <x:c r="B1285" s="9" t="str">
        <x:v>PD-AR-HC-A-C-TECH-3-B2-RCN-G0</x:v>
      </x:c>
      <x:c r="C1285" s="9" t="str">
        <x:v>EV-AR-HC-A-C-TECH-3-B2-RCN-G0</x:v>
      </x:c>
      <x:c r="D1285" s="9" t="str">
        <x:v>AR-HC-A-C-TECH-3-B2-RCN-G0</x:v>
      </x:c>
      <x:c r="E1285" s="9" t="str">
        <x:v>HC-A-C-TECH-3</x:v>
      </x:c>
      <x:c r="F1285" s="9" t="str">
        <x:v>HC-A-C</x:v>
      </x:c>
      <x:c r="G1285" s="9" t="str">
        <x:v>B2</x:v>
      </x:c>
      <x:c r="H1285" s="9" t="str">
        <x:v>RCN</x:v>
      </x:c>
      <x:c r="I1285" s="9" t="str">
        <x:v>PD15</x:v>
      </x:c>
      <x:c r="J1285" s="17" t="str">
        <x:v>Reconstruction ancestry and replay</x:v>
      </x:c>
      <x:c r="K1285" s="17" t="str">
        <x:v>Reconstruction court</x:v>
      </x:c>
      <x:c r="L1285" s="17" t="str">
        <x:v>COURT-SEALED UNTIL COHORT RELEASE</x:v>
      </x:c>
      <x:c r="M1285" s="9" t="n">
        <x:v>0</x:v>
      </x:c>
      <x:c r="N1285" s="9" t="n">
        <x:v>0</x:v>
      </x:c>
      <x:c r="O1285" s="9" t="n">
        <x:v>0</x:v>
      </x:c>
      <x:c r="P1285" s="9" t="str">
        <x:v>HELD / UNRELEASED</x:v>
      </x:c>
      <x:c r="Q1285" s="9" t="n">
        <x:f>COUNTIFS($A$7:$A$2310,A1285)</x:f>
        <x:v>1</x:v>
      </x:c>
    </x:row>
    <x:row r="1286">
      <x:c r="A1286" s="9" t="str">
        <x:v>PD-AR-HC-A-C-TECH-3-B2-RCN-G0-PD16</x:v>
      </x:c>
      <x:c r="B1286" s="9" t="str">
        <x:v>PD-AR-HC-A-C-TECH-3-B2-RCN-G0</x:v>
      </x:c>
      <x:c r="C1286" s="9" t="str">
        <x:v>EV-AR-HC-A-C-TECH-3-B2-RCN-G0</x:v>
      </x:c>
      <x:c r="D1286" s="9" t="str">
        <x:v>AR-HC-A-C-TECH-3-B2-RCN-G0</x:v>
      </x:c>
      <x:c r="E1286" s="9" t="str">
        <x:v>HC-A-C-TECH-3</x:v>
      </x:c>
      <x:c r="F1286" s="9" t="str">
        <x:v>HC-A-C</x:v>
      </x:c>
      <x:c r="G1286" s="9" t="str">
        <x:v>B2</x:v>
      </x:c>
      <x:c r="H1286" s="9" t="str">
        <x:v>RCN</x:v>
      </x:c>
      <x:c r="I1286" s="9" t="str">
        <x:v>PD16</x:v>
      </x:c>
      <x:c r="J1286" s="17" t="str">
        <x:v>Dissent, amendments and access log</x:v>
      </x:c>
      <x:c r="K1286" s="17" t="str">
        <x:v>Public archive</x:v>
      </x:c>
      <x:c r="L1286" s="17" t="str">
        <x:v>COURT-SEALED UNTIL COHORT RELEASE</x:v>
      </x:c>
      <x:c r="M1286" s="9" t="n">
        <x:v>0</x:v>
      </x:c>
      <x:c r="N1286" s="9" t="n">
        <x:v>0</x:v>
      </x:c>
      <x:c r="O1286" s="9" t="n">
        <x:v>0</x:v>
      </x:c>
      <x:c r="P1286" s="9" t="str">
        <x:v>HELD / UNRELEASED</x:v>
      </x:c>
      <x:c r="Q1286" s="9" t="n">
        <x:f>COUNTIFS($A$7:$A$2310,A1286)</x:f>
        <x:v>1</x:v>
      </x:c>
    </x:row>
    <x:row r="1287">
      <x:c r="A1287" s="9" t="str">
        <x:v>PD-AR-HC-A-C-TECH-1-B2-INT-G0-PD01</x:v>
      </x:c>
      <x:c r="B1287" s="9" t="str">
        <x:v>PD-AR-HC-A-C-TECH-1-B2-INT-G0</x:v>
      </x:c>
      <x:c r="C1287" s="9" t="str">
        <x:v>EV-AR-HC-A-C-TECH-1-B2-INT-G0</x:v>
      </x:c>
      <x:c r="D1287" s="9" t="str">
        <x:v>AR-HC-A-C-TECH-1-B2-INT-G0</x:v>
      </x:c>
      <x:c r="E1287" s="9" t="str">
        <x:v>HC-A-C-TECH-1</x:v>
      </x:c>
      <x:c r="F1287" s="9" t="str">
        <x:v>HC-A-C</x:v>
      </x:c>
      <x:c r="G1287" s="9" t="str">
        <x:v>B2</x:v>
      </x:c>
      <x:c r="H1287" s="9" t="str">
        <x:v>INT</x:v>
      </x:c>
      <x:c r="I1287" s="9" t="str">
        <x:v>PD01</x:v>
      </x:c>
      <x:c r="J1287" s="17" t="str">
        <x:v>Experiment kernel</x:v>
      </x:c>
      <x:c r="K1287" s="17" t="str">
        <x:v>Public archive</x:v>
      </x:c>
      <x:c r="L1287" s="17" t="str">
        <x:v>COURT-SEALED UNTIL COHORT RELEASE</x:v>
      </x:c>
      <x:c r="M1287" s="9" t="n">
        <x:v>0</x:v>
      </x:c>
      <x:c r="N1287" s="9" t="n">
        <x:v>0</x:v>
      </x:c>
      <x:c r="O1287" s="9" t="n">
        <x:v>0</x:v>
      </x:c>
      <x:c r="P1287" s="9" t="str">
        <x:v>HELD / UNRELEASED</x:v>
      </x:c>
      <x:c r="Q1287" s="9" t="n">
        <x:f>COUNTIFS($A$7:$A$2310,A1287)</x:f>
        <x:v>1</x:v>
      </x:c>
    </x:row>
    <x:row r="1288">
      <x:c r="A1288" s="9" t="str">
        <x:v>PD-AR-HC-A-C-TECH-1-B2-INT-G0-PD02</x:v>
      </x:c>
      <x:c r="B1288" s="9" t="str">
        <x:v>PD-AR-HC-A-C-TECH-1-B2-INT-G0</x:v>
      </x:c>
      <x:c r="C1288" s="9" t="str">
        <x:v>EV-AR-HC-A-C-TECH-1-B2-INT-G0</x:v>
      </x:c>
      <x:c r="D1288" s="9" t="str">
        <x:v>AR-HC-A-C-TECH-1-B2-INT-G0</x:v>
      </x:c>
      <x:c r="E1288" s="9" t="str">
        <x:v>HC-A-C-TECH-1</x:v>
      </x:c>
      <x:c r="F1288" s="9" t="str">
        <x:v>HC-A-C</x:v>
      </x:c>
      <x:c r="G1288" s="9" t="str">
        <x:v>B2</x:v>
      </x:c>
      <x:c r="H1288" s="9" t="str">
        <x:v>INT</x:v>
      </x:c>
      <x:c r="I1288" s="9" t="str">
        <x:v>PD02</x:v>
      </x:c>
      <x:c r="J1288" s="17" t="str">
        <x:v>Serial annex and title chain</x:v>
      </x:c>
      <x:c r="K1288" s="17" t="str">
        <x:v>Public archive</x:v>
      </x:c>
      <x:c r="L1288" s="17" t="str">
        <x:v>COURT-SEALED UNTIL COHORT RELEASE</x:v>
      </x:c>
      <x:c r="M1288" s="9" t="n">
        <x:v>0</x:v>
      </x:c>
      <x:c r="N1288" s="9" t="n">
        <x:v>0</x:v>
      </x:c>
      <x:c r="O1288" s="9" t="n">
        <x:v>0</x:v>
      </x:c>
      <x:c r="P1288" s="9" t="str">
        <x:v>HELD / UNRELEASED</x:v>
      </x:c>
      <x:c r="Q1288" s="9" t="n">
        <x:f>COUNTIFS($A$7:$A$2310,A1288)</x:f>
        <x:v>1</x:v>
      </x:c>
    </x:row>
    <x:row r="1289">
      <x:c r="A1289" s="9" t="str">
        <x:v>PD-AR-HC-A-C-TECH-1-B2-INT-G0-PD03</x:v>
      </x:c>
      <x:c r="B1289" s="9" t="str">
        <x:v>PD-AR-HC-A-C-TECH-1-B2-INT-G0</x:v>
      </x:c>
      <x:c r="C1289" s="9" t="str">
        <x:v>EV-AR-HC-A-C-TECH-1-B2-INT-G0</x:v>
      </x:c>
      <x:c r="D1289" s="9" t="str">
        <x:v>AR-HC-A-C-TECH-1-B2-INT-G0</x:v>
      </x:c>
      <x:c r="E1289" s="9" t="str">
        <x:v>HC-A-C-TECH-1</x:v>
      </x:c>
      <x:c r="F1289" s="9" t="str">
        <x:v>HC-A-C</x:v>
      </x:c>
      <x:c r="G1289" s="9" t="str">
        <x:v>B2</x:v>
      </x:c>
      <x:c r="H1289" s="9" t="str">
        <x:v>INT</x:v>
      </x:c>
      <x:c r="I1289" s="9" t="str">
        <x:v>PD03</x:v>
      </x:c>
      <x:c r="J1289" s="17" t="str">
        <x:v>Configuration and as-built manifest</x:v>
      </x:c>
      <x:c r="K1289" s="17" t="str">
        <x:v>Artifact exchange</x:v>
      </x:c>
      <x:c r="L1289" s="17" t="str">
        <x:v>COURT-SEALED UNTIL COHORT RELEASE</x:v>
      </x:c>
      <x:c r="M1289" s="9" t="n">
        <x:v>0</x:v>
      </x:c>
      <x:c r="N1289" s="9" t="n">
        <x:v>0</x:v>
      </x:c>
      <x:c r="O1289" s="9" t="n">
        <x:v>0</x:v>
      </x:c>
      <x:c r="P1289" s="9" t="str">
        <x:v>HELD / UNRELEASED</x:v>
      </x:c>
      <x:c r="Q1289" s="9" t="n">
        <x:f>COUNTIFS($A$7:$A$2310,A1289)</x:f>
        <x:v>1</x:v>
      </x:c>
    </x:row>
    <x:row r="1290">
      <x:c r="A1290" s="9" t="str">
        <x:v>PD-AR-HC-A-C-TECH-1-B2-INT-G0-PD04</x:v>
      </x:c>
      <x:c r="B1290" s="9" t="str">
        <x:v>PD-AR-HC-A-C-TECH-1-B2-INT-G0</x:v>
      </x:c>
      <x:c r="C1290" s="9" t="str">
        <x:v>EV-AR-HC-A-C-TECH-1-B2-INT-G0</x:v>
      </x:c>
      <x:c r="D1290" s="9" t="str">
        <x:v>AR-HC-A-C-TECH-1-B2-INT-G0</x:v>
      </x:c>
      <x:c r="E1290" s="9" t="str">
        <x:v>HC-A-C-TECH-1</x:v>
      </x:c>
      <x:c r="F1290" s="9" t="str">
        <x:v>HC-A-C</x:v>
      </x:c>
      <x:c r="G1290" s="9" t="str">
        <x:v>B2</x:v>
      </x:c>
      <x:c r="H1290" s="9" t="str">
        <x:v>INT</x:v>
      </x:c>
      <x:c r="I1290" s="9" t="str">
        <x:v>PD04</x:v>
      </x:c>
      <x:c r="J1290" s="17" t="str">
        <x:v>EOW and start certificate</x:v>
      </x:c>
      <x:c r="K1290" s="17" t="str">
        <x:v>Start registrar</x:v>
      </x:c>
      <x:c r="L1290" s="17" t="str">
        <x:v>COURT-SEALED UNTIL COHORT RELEASE</x:v>
      </x:c>
      <x:c r="M1290" s="9" t="n">
        <x:v>0</x:v>
      </x:c>
      <x:c r="N1290" s="9" t="n">
        <x:v>0</x:v>
      </x:c>
      <x:c r="O1290" s="9" t="n">
        <x:v>0</x:v>
      </x:c>
      <x:c r="P1290" s="9" t="str">
        <x:v>HELD / UNRELEASED</x:v>
      </x:c>
      <x:c r="Q1290" s="9" t="n">
        <x:f>COUNTIFS($A$7:$A$2310,A1290)</x:f>
        <x:v>1</x:v>
      </x:c>
    </x:row>
    <x:row r="1291">
      <x:c r="A1291" s="9" t="str">
        <x:v>PD-AR-HC-A-C-TECH-1-B2-INT-G0-PD05</x:v>
      </x:c>
      <x:c r="B1291" s="9" t="str">
        <x:v>PD-AR-HC-A-C-TECH-1-B2-INT-G0</x:v>
      </x:c>
      <x:c r="C1291" s="9" t="str">
        <x:v>EV-AR-HC-A-C-TECH-1-B2-INT-G0</x:v>
      </x:c>
      <x:c r="D1291" s="9" t="str">
        <x:v>AR-HC-A-C-TECH-1-B2-INT-G0</x:v>
      </x:c>
      <x:c r="E1291" s="9" t="str">
        <x:v>HC-A-C-TECH-1</x:v>
      </x:c>
      <x:c r="F1291" s="9" t="str">
        <x:v>HC-A-C</x:v>
      </x:c>
      <x:c r="G1291" s="9" t="str">
        <x:v>B2</x:v>
      </x:c>
      <x:c r="H1291" s="9" t="str">
        <x:v>INT</x:v>
      </x:c>
      <x:c r="I1291" s="9" t="str">
        <x:v>PD05</x:v>
      </x:c>
      <x:c r="J1291" s="17" t="str">
        <x:v>Primary raw originals</x:v>
      </x:c>
      <x:c r="K1291" s="17" t="str">
        <x:v>Primary custody</x:v>
      </x:c>
      <x:c r="L1291" s="17" t="str">
        <x:v>COURT-SEALED UNTIL COHORT RELEASE</x:v>
      </x:c>
      <x:c r="M1291" s="9" t="n">
        <x:v>0</x:v>
      </x:c>
      <x:c r="N1291" s="9" t="n">
        <x:v>0</x:v>
      </x:c>
      <x:c r="O1291" s="9" t="n">
        <x:v>0</x:v>
      </x:c>
      <x:c r="P1291" s="9" t="str">
        <x:v>HELD / UNRELEASED</x:v>
      </x:c>
      <x:c r="Q1291" s="9" t="n">
        <x:f>COUNTIFS($A$7:$A$2310,A1291)</x:f>
        <x:v>1</x:v>
      </x:c>
    </x:row>
    <x:row r="1292">
      <x:c r="A1292" s="9" t="str">
        <x:v>PD-AR-HC-A-C-TECH-1-B2-INT-G0-PD06</x:v>
      </x:c>
      <x:c r="B1292" s="9" t="str">
        <x:v>PD-AR-HC-A-C-TECH-1-B2-INT-G0</x:v>
      </x:c>
      <x:c r="C1292" s="9" t="str">
        <x:v>EV-AR-HC-A-C-TECH-1-B2-INT-G0</x:v>
      </x:c>
      <x:c r="D1292" s="9" t="str">
        <x:v>AR-HC-A-C-TECH-1-B2-INT-G0</x:v>
      </x:c>
      <x:c r="E1292" s="9" t="str">
        <x:v>HC-A-C-TECH-1</x:v>
      </x:c>
      <x:c r="F1292" s="9" t="str">
        <x:v>HC-A-C</x:v>
      </x:c>
      <x:c r="G1292" s="9" t="str">
        <x:v>B2</x:v>
      </x:c>
      <x:c r="H1292" s="9" t="str">
        <x:v>INT</x:v>
      </x:c>
      <x:c r="I1292" s="9" t="str">
        <x:v>PD06</x:v>
      </x:c>
      <x:c r="J1292" s="17" t="str">
        <x:v>Witness raw originals</x:v>
      </x:c>
      <x:c r="K1292" s="17" t="str">
        <x:v>Witness custody</x:v>
      </x:c>
      <x:c r="L1292" s="17" t="str">
        <x:v>COURT-SEALED UNTIL COHORT RELEASE</x:v>
      </x:c>
      <x:c r="M1292" s="9" t="n">
        <x:v>0</x:v>
      </x:c>
      <x:c r="N1292" s="9" t="n">
        <x:v>0</x:v>
      </x:c>
      <x:c r="O1292" s="9" t="n">
        <x:v>0</x:v>
      </x:c>
      <x:c r="P1292" s="9" t="str">
        <x:v>HELD / UNRELEASED</x:v>
      </x:c>
      <x:c r="Q1292" s="9" t="n">
        <x:f>COUNTIFS($A$7:$A$2310,A1292)</x:f>
        <x:v>1</x:v>
      </x:c>
    </x:row>
    <x:row r="1293">
      <x:c r="A1293" s="9" t="str">
        <x:v>PD-AR-HC-A-C-TECH-1-B2-INT-G0-PD07</x:v>
      </x:c>
      <x:c r="B1293" s="9" t="str">
        <x:v>PD-AR-HC-A-C-TECH-1-B2-INT-G0</x:v>
      </x:c>
      <x:c r="C1293" s="9" t="str">
        <x:v>EV-AR-HC-A-C-TECH-1-B2-INT-G0</x:v>
      </x:c>
      <x:c r="D1293" s="9" t="str">
        <x:v>AR-HC-A-C-TECH-1-B2-INT-G0</x:v>
      </x:c>
      <x:c r="E1293" s="9" t="str">
        <x:v>HC-A-C-TECH-1</x:v>
      </x:c>
      <x:c r="F1293" s="9" t="str">
        <x:v>HC-A-C</x:v>
      </x:c>
      <x:c r="G1293" s="9" t="str">
        <x:v>B2</x:v>
      </x:c>
      <x:c r="H1293" s="9" t="str">
        <x:v>INT</x:v>
      </x:c>
      <x:c r="I1293" s="9" t="str">
        <x:v>PD07</x:v>
      </x:c>
      <x:c r="J1293" s="17" t="str">
        <x:v>Clock and environmental records</x:v>
      </x:c>
      <x:c r="K1293" s="17" t="str">
        <x:v>Boundary archive</x:v>
      </x:c>
      <x:c r="L1293" s="17" t="str">
        <x:v>COURT-SEALED UNTIL COHORT RELEASE</x:v>
      </x:c>
      <x:c r="M1293" s="9" t="n">
        <x:v>0</x:v>
      </x:c>
      <x:c r="N1293" s="9" t="n">
        <x:v>0</x:v>
      </x:c>
      <x:c r="O1293" s="9" t="n">
        <x:v>0</x:v>
      </x:c>
      <x:c r="P1293" s="9" t="str">
        <x:v>HELD / UNRELEASED</x:v>
      </x:c>
      <x:c r="Q1293" s="9" t="n">
        <x:f>COUNTIFS($A$7:$A$2310,A1293)</x:f>
        <x:v>1</x:v>
      </x:c>
    </x:row>
    <x:row r="1294">
      <x:c r="A1294" s="9" t="str">
        <x:v>PD-AR-HC-A-C-TECH-1-B2-INT-G0-PD08</x:v>
      </x:c>
      <x:c r="B1294" s="9" t="str">
        <x:v>PD-AR-HC-A-C-TECH-1-B2-INT-G0</x:v>
      </x:c>
      <x:c r="C1294" s="9" t="str">
        <x:v>EV-AR-HC-A-C-TECH-1-B2-INT-G0</x:v>
      </x:c>
      <x:c r="D1294" s="9" t="str">
        <x:v>AR-HC-A-C-TECH-1-B2-INT-G0</x:v>
      </x:c>
      <x:c r="E1294" s="9" t="str">
        <x:v>HC-A-C-TECH-1</x:v>
      </x:c>
      <x:c r="F1294" s="9" t="str">
        <x:v>HC-A-C</x:v>
      </x:c>
      <x:c r="G1294" s="9" t="str">
        <x:v>B2</x:v>
      </x:c>
      <x:c r="H1294" s="9" t="str">
        <x:v>INT</x:v>
      </x:c>
      <x:c r="I1294" s="9" t="str">
        <x:v>PD08</x:v>
      </x:c>
      <x:c r="J1294" s="17" t="str">
        <x:v>Command and intervention log</x:v>
      </x:c>
      <x:c r="K1294" s="17" t="str">
        <x:v>Safety archive</x:v>
      </x:c>
      <x:c r="L1294" s="17" t="str">
        <x:v>COURT-SEALED UNTIL COHORT RELEASE</x:v>
      </x:c>
      <x:c r="M1294" s="9" t="n">
        <x:v>0</x:v>
      </x:c>
      <x:c r="N1294" s="9" t="n">
        <x:v>0</x:v>
      </x:c>
      <x:c r="O1294" s="9" t="n">
        <x:v>0</x:v>
      </x:c>
      <x:c r="P1294" s="9" t="str">
        <x:v>HELD / UNRELEASED</x:v>
      </x:c>
      <x:c r="Q1294" s="9" t="n">
        <x:f>COUNTIFS($A$7:$A$2310,A1294)</x:f>
        <x:v>1</x:v>
      </x:c>
    </x:row>
    <x:row r="1295">
      <x:c r="A1295" s="9" t="str">
        <x:v>PD-AR-HC-A-C-TECH-1-B2-INT-G0-PD09</x:v>
      </x:c>
      <x:c r="B1295" s="9" t="str">
        <x:v>PD-AR-HC-A-C-TECH-1-B2-INT-G0</x:v>
      </x:c>
      <x:c r="C1295" s="9" t="str">
        <x:v>EV-AR-HC-A-C-TECH-1-B2-INT-G0</x:v>
      </x:c>
      <x:c r="D1295" s="9" t="str">
        <x:v>AR-HC-A-C-TECH-1-B2-INT-G0</x:v>
      </x:c>
      <x:c r="E1295" s="9" t="str">
        <x:v>HC-A-C-TECH-1</x:v>
      </x:c>
      <x:c r="F1295" s="9" t="str">
        <x:v>HC-A-C</x:v>
      </x:c>
      <x:c r="G1295" s="9" t="str">
        <x:v>B2</x:v>
      </x:c>
      <x:c r="H1295" s="9" t="str">
        <x:v>INT</x:v>
      </x:c>
      <x:c r="I1295" s="9" t="str">
        <x:v>PD09</x:v>
      </x:c>
      <x:c r="J1295" s="17" t="str">
        <x:v>Receiver denominator and service ledger</x:v>
      </x:c>
      <x:c r="K1295" s="17" t="str">
        <x:v>Receiver archive</x:v>
      </x:c>
      <x:c r="L1295" s="17" t="str">
        <x:v>COURT-SEALED UNTIL COHORT RELEASE</x:v>
      </x:c>
      <x:c r="M1295" s="9" t="n">
        <x:v>0</x:v>
      </x:c>
      <x:c r="N1295" s="9" t="n">
        <x:v>0</x:v>
      </x:c>
      <x:c r="O1295" s="9" t="n">
        <x:v>0</x:v>
      </x:c>
      <x:c r="P1295" s="9" t="str">
        <x:v>HELD / UNRELEASED</x:v>
      </x:c>
      <x:c r="Q1295" s="9" t="n">
        <x:f>COUNTIFS($A$7:$A$2310,A1295)</x:f>
        <x:v>1</x:v>
      </x:c>
    </x:row>
    <x:row r="1296">
      <x:c r="A1296" s="9" t="str">
        <x:v>PD-AR-HC-A-C-TECH-1-B2-INT-G0-PD10</x:v>
      </x:c>
      <x:c r="B1296" s="9" t="str">
        <x:v>PD-AR-HC-A-C-TECH-1-B2-INT-G0</x:v>
      </x:c>
      <x:c r="C1296" s="9" t="str">
        <x:v>EV-AR-HC-A-C-TECH-1-B2-INT-G0</x:v>
      </x:c>
      <x:c r="D1296" s="9" t="str">
        <x:v>AR-HC-A-C-TECH-1-B2-INT-G0</x:v>
      </x:c>
      <x:c r="E1296" s="9" t="str">
        <x:v>HC-A-C-TECH-1</x:v>
      </x:c>
      <x:c r="F1296" s="9" t="str">
        <x:v>HC-A-C</x:v>
      </x:c>
      <x:c r="G1296" s="9" t="str">
        <x:v>B2</x:v>
      </x:c>
      <x:c r="H1296" s="9" t="str">
        <x:v>INT</x:v>
      </x:c>
      <x:c r="I1296" s="9" t="str">
        <x:v>PD10</x:v>
      </x:c>
      <x:c r="J1296" s="17" t="str">
        <x:v>Calibration and uncertainty record</x:v>
      </x:c>
      <x:c r="K1296" s="17" t="str">
        <x:v>Metrology archive</x:v>
      </x:c>
      <x:c r="L1296" s="17" t="str">
        <x:v>COURT-SEALED UNTIL COHORT RELEASE</x:v>
      </x:c>
      <x:c r="M1296" s="9" t="n">
        <x:v>0</x:v>
      </x:c>
      <x:c r="N1296" s="9" t="n">
        <x:v>0</x:v>
      </x:c>
      <x:c r="O1296" s="9" t="n">
        <x:v>0</x:v>
      </x:c>
      <x:c r="P1296" s="9" t="str">
        <x:v>HELD / UNRELEASED</x:v>
      </x:c>
      <x:c r="Q1296" s="9" t="n">
        <x:f>COUNTIFS($A$7:$A$2310,A1296)</x:f>
        <x:v>1</x:v>
      </x:c>
    </x:row>
    <x:row r="1297">
      <x:c r="A1297" s="9" t="str">
        <x:v>PD-AR-HC-A-C-TECH-1-B2-INT-G0-PD11</x:v>
      </x:c>
      <x:c r="B1297" s="9" t="str">
        <x:v>PD-AR-HC-A-C-TECH-1-B2-INT-G0</x:v>
      </x:c>
      <x:c r="C1297" s="9" t="str">
        <x:v>EV-AR-HC-A-C-TECH-1-B2-INT-G0</x:v>
      </x:c>
      <x:c r="D1297" s="9" t="str">
        <x:v>AR-HC-A-C-TECH-1-B2-INT-G0</x:v>
      </x:c>
      <x:c r="E1297" s="9" t="str">
        <x:v>HC-A-C-TECH-1</x:v>
      </x:c>
      <x:c r="F1297" s="9" t="str">
        <x:v>HC-A-C</x:v>
      </x:c>
      <x:c r="G1297" s="9" t="str">
        <x:v>B2</x:v>
      </x:c>
      <x:c r="H1297" s="9" t="str">
        <x:v>INT</x:v>
      </x:c>
      <x:c r="I1297" s="9" t="str">
        <x:v>PD11</x:v>
      </x:c>
      <x:c r="J1297" s="17" t="str">
        <x:v>Invalidity petition and opinion</x:v>
      </x:c>
      <x:c r="K1297" s="17" t="str">
        <x:v>Invalidity court</x:v>
      </x:c>
      <x:c r="L1297" s="17" t="str">
        <x:v>COURT-SEALED UNTIL COHORT RELEASE</x:v>
      </x:c>
      <x:c r="M1297" s="9" t="n">
        <x:v>0</x:v>
      </x:c>
      <x:c r="N1297" s="9" t="n">
        <x:v>0</x:v>
      </x:c>
      <x:c r="O1297" s="9" t="n">
        <x:v>0</x:v>
      </x:c>
      <x:c r="P1297" s="9" t="str">
        <x:v>HELD / UNRELEASED</x:v>
      </x:c>
      <x:c r="Q1297" s="9" t="n">
        <x:f>COUNTIFS($A$7:$A$2310,A1297)</x:f>
        <x:v>1</x:v>
      </x:c>
    </x:row>
    <x:row r="1298">
      <x:c r="A1298" s="9" t="str">
        <x:v>PD-AR-HC-A-C-TECH-1-B2-INT-G0-PD12</x:v>
      </x:c>
      <x:c r="B1298" s="9" t="str">
        <x:v>PD-AR-HC-A-C-TECH-1-B2-INT-G0</x:v>
      </x:c>
      <x:c r="C1298" s="9" t="str">
        <x:v>EV-AR-HC-A-C-TECH-1-B2-INT-G0</x:v>
      </x:c>
      <x:c r="D1298" s="9" t="str">
        <x:v>AR-HC-A-C-TECH-1-B2-INT-G0</x:v>
      </x:c>
      <x:c r="E1298" s="9" t="str">
        <x:v>HC-A-C-TECH-1</x:v>
      </x:c>
      <x:c r="F1298" s="9" t="str">
        <x:v>HC-A-C</x:v>
      </x:c>
      <x:c r="G1298" s="9" t="str">
        <x:v>B2</x:v>
      </x:c>
      <x:c r="H1298" s="9" t="str">
        <x:v>INT</x:v>
      </x:c>
      <x:c r="I1298" s="9" t="str">
        <x:v>PD12</x:v>
      </x:c>
      <x:c r="J1298" s="17" t="str">
        <x:v>Observation acceptance and replay</x:v>
      </x:c>
      <x:c r="K1298" s="17" t="str">
        <x:v>Observation court</x:v>
      </x:c>
      <x:c r="L1298" s="17" t="str">
        <x:v>COURT-SEALED UNTIL COHORT RELEASE</x:v>
      </x:c>
      <x:c r="M1298" s="9" t="n">
        <x:v>0</x:v>
      </x:c>
      <x:c r="N1298" s="9" t="n">
        <x:v>0</x:v>
      </x:c>
      <x:c r="O1298" s="9" t="n">
        <x:v>0</x:v>
      </x:c>
      <x:c r="P1298" s="9" t="str">
        <x:v>HELD / UNRELEASED</x:v>
      </x:c>
      <x:c r="Q1298" s="9" t="n">
        <x:f>COUNTIFS($A$7:$A$2310,A1298)</x:f>
        <x:v>1</x:v>
      </x:c>
    </x:row>
    <x:row r="1299">
      <x:c r="A1299" s="9" t="str">
        <x:v>PD-AR-HC-A-C-TECH-1-B2-INT-G0-PD13</x:v>
      </x:c>
      <x:c r="B1299" s="9" t="str">
        <x:v>PD-AR-HC-A-C-TECH-1-B2-INT-G0</x:v>
      </x:c>
      <x:c r="C1299" s="9" t="str">
        <x:v>EV-AR-HC-A-C-TECH-1-B2-INT-G0</x:v>
      </x:c>
      <x:c r="D1299" s="9" t="str">
        <x:v>AR-HC-A-C-TECH-1-B2-INT-G0</x:v>
      </x:c>
      <x:c r="E1299" s="9" t="str">
        <x:v>HC-A-C-TECH-1</x:v>
      </x:c>
      <x:c r="F1299" s="9" t="str">
        <x:v>HC-A-C</x:v>
      </x:c>
      <x:c r="G1299" s="9" t="str">
        <x:v>B2</x:v>
      </x:c>
      <x:c r="H1299" s="9" t="str">
        <x:v>INT</x:v>
      </x:c>
      <x:c r="I1299" s="9" t="str">
        <x:v>PD13</x:v>
      </x:c>
      <x:c r="J1299" s="17" t="str">
        <x:v>Role judgment</x:v>
      </x:c>
      <x:c r="K1299" s="17" t="str">
        <x:v>Role court</x:v>
      </x:c>
      <x:c r="L1299" s="17" t="str">
        <x:v>COURT-SEALED UNTIL COHORT RELEASE</x:v>
      </x:c>
      <x:c r="M1299" s="9" t="n">
        <x:v>0</x:v>
      </x:c>
      <x:c r="N1299" s="9" t="n">
        <x:v>0</x:v>
      </x:c>
      <x:c r="O1299" s="9" t="n">
        <x:v>0</x:v>
      </x:c>
      <x:c r="P1299" s="9" t="str">
        <x:v>HELD / UNRELEASED</x:v>
      </x:c>
      <x:c r="Q1299" s="9" t="n">
        <x:f>COUNTIFS($A$7:$A$2310,A1299)</x:f>
        <x:v>1</x:v>
      </x:c>
    </x:row>
    <x:row r="1300">
      <x:c r="A1300" s="9" t="str">
        <x:v>PD-AR-HC-A-C-TECH-1-B2-INT-G0-PD14</x:v>
      </x:c>
      <x:c r="B1300" s="9" t="str">
        <x:v>PD-AR-HC-A-C-TECH-1-B2-INT-G0</x:v>
      </x:c>
      <x:c r="C1300" s="9" t="str">
        <x:v>EV-AR-HC-A-C-TECH-1-B2-INT-G0</x:v>
      </x:c>
      <x:c r="D1300" s="9" t="str">
        <x:v>AR-HC-A-C-TECH-1-B2-INT-G0</x:v>
      </x:c>
      <x:c r="E1300" s="9" t="str">
        <x:v>HC-A-C-TECH-1</x:v>
      </x:c>
      <x:c r="F1300" s="9" t="str">
        <x:v>HC-A-C</x:v>
      </x:c>
      <x:c r="G1300" s="9" t="str">
        <x:v>B2</x:v>
      </x:c>
      <x:c r="H1300" s="9" t="str">
        <x:v>INT</x:v>
      </x:c>
      <x:c r="I1300" s="9" t="str">
        <x:v>PD14</x:v>
      </x:c>
      <x:c r="J1300" s="17" t="str">
        <x:v>Break and residual account</x:v>
      </x:c>
      <x:c r="K1300" s="17" t="str">
        <x:v>Residual authority</x:v>
      </x:c>
      <x:c r="L1300" s="17" t="str">
        <x:v>COURT-SEALED UNTIL COHORT RELEASE</x:v>
      </x:c>
      <x:c r="M1300" s="9" t="n">
        <x:v>0</x:v>
      </x:c>
      <x:c r="N1300" s="9" t="n">
        <x:v>0</x:v>
      </x:c>
      <x:c r="O1300" s="9" t="n">
        <x:v>0</x:v>
      </x:c>
      <x:c r="P1300" s="9" t="str">
        <x:v>HELD / UNRELEASED</x:v>
      </x:c>
      <x:c r="Q1300" s="9" t="n">
        <x:f>COUNTIFS($A$7:$A$2310,A1300)</x:f>
        <x:v>1</x:v>
      </x:c>
    </x:row>
    <x:row r="1301">
      <x:c r="A1301" s="9" t="str">
        <x:v>PD-AR-HC-A-C-TECH-1-B2-INT-G0-PD15</x:v>
      </x:c>
      <x:c r="B1301" s="9" t="str">
        <x:v>PD-AR-HC-A-C-TECH-1-B2-INT-G0</x:v>
      </x:c>
      <x:c r="C1301" s="9" t="str">
        <x:v>EV-AR-HC-A-C-TECH-1-B2-INT-G0</x:v>
      </x:c>
      <x:c r="D1301" s="9" t="str">
        <x:v>AR-HC-A-C-TECH-1-B2-INT-G0</x:v>
      </x:c>
      <x:c r="E1301" s="9" t="str">
        <x:v>HC-A-C-TECH-1</x:v>
      </x:c>
      <x:c r="F1301" s="9" t="str">
        <x:v>HC-A-C</x:v>
      </x:c>
      <x:c r="G1301" s="9" t="str">
        <x:v>B2</x:v>
      </x:c>
      <x:c r="H1301" s="9" t="str">
        <x:v>INT</x:v>
      </x:c>
      <x:c r="I1301" s="9" t="str">
        <x:v>PD15</x:v>
      </x:c>
      <x:c r="J1301" s="17" t="str">
        <x:v>Reconstruction ancestry and replay</x:v>
      </x:c>
      <x:c r="K1301" s="17" t="str">
        <x:v>Reconstruction court</x:v>
      </x:c>
      <x:c r="L1301" s="17" t="str">
        <x:v>COURT-SEALED UNTIL COHORT RELEASE</x:v>
      </x:c>
      <x:c r="M1301" s="9" t="n">
        <x:v>0</x:v>
      </x:c>
      <x:c r="N1301" s="9" t="n">
        <x:v>0</x:v>
      </x:c>
      <x:c r="O1301" s="9" t="n">
        <x:v>0</x:v>
      </x:c>
      <x:c r="P1301" s="9" t="str">
        <x:v>HELD / UNRELEASED</x:v>
      </x:c>
      <x:c r="Q1301" s="9" t="n">
        <x:f>COUNTIFS($A$7:$A$2310,A1301)</x:f>
        <x:v>1</x:v>
      </x:c>
    </x:row>
    <x:row r="1302">
      <x:c r="A1302" s="9" t="str">
        <x:v>PD-AR-HC-A-C-TECH-1-B2-INT-G0-PD16</x:v>
      </x:c>
      <x:c r="B1302" s="9" t="str">
        <x:v>PD-AR-HC-A-C-TECH-1-B2-INT-G0</x:v>
      </x:c>
      <x:c r="C1302" s="9" t="str">
        <x:v>EV-AR-HC-A-C-TECH-1-B2-INT-G0</x:v>
      </x:c>
      <x:c r="D1302" s="9" t="str">
        <x:v>AR-HC-A-C-TECH-1-B2-INT-G0</x:v>
      </x:c>
      <x:c r="E1302" s="9" t="str">
        <x:v>HC-A-C-TECH-1</x:v>
      </x:c>
      <x:c r="F1302" s="9" t="str">
        <x:v>HC-A-C</x:v>
      </x:c>
      <x:c r="G1302" s="9" t="str">
        <x:v>B2</x:v>
      </x:c>
      <x:c r="H1302" s="9" t="str">
        <x:v>INT</x:v>
      </x:c>
      <x:c r="I1302" s="9" t="str">
        <x:v>PD16</x:v>
      </x:c>
      <x:c r="J1302" s="17" t="str">
        <x:v>Dissent, amendments and access log</x:v>
      </x:c>
      <x:c r="K1302" s="17" t="str">
        <x:v>Public archive</x:v>
      </x:c>
      <x:c r="L1302" s="17" t="str">
        <x:v>COURT-SEALED UNTIL COHORT RELEASE</x:v>
      </x:c>
      <x:c r="M1302" s="9" t="n">
        <x:v>0</x:v>
      </x:c>
      <x:c r="N1302" s="9" t="n">
        <x:v>0</x:v>
      </x:c>
      <x:c r="O1302" s="9" t="n">
        <x:v>0</x:v>
      </x:c>
      <x:c r="P1302" s="9" t="str">
        <x:v>HELD / UNRELEASED</x:v>
      </x:c>
      <x:c r="Q1302" s="9" t="n">
        <x:f>COUNTIFS($A$7:$A$2310,A1302)</x:f>
        <x:v>1</x:v>
      </x:c>
    </x:row>
    <x:row r="1303">
      <x:c r="A1303" s="9" t="str">
        <x:v>PD-AR-LF-B-A-TECH-1-B1-INT-G0-PD01</x:v>
      </x:c>
      <x:c r="B1303" s="9" t="str">
        <x:v>PD-AR-LF-B-A-TECH-1-B1-INT-G0</x:v>
      </x:c>
      <x:c r="C1303" s="9" t="str">
        <x:v>EV-AR-LF-B-A-TECH-1-B1-INT-G0</x:v>
      </x:c>
      <x:c r="D1303" s="9" t="str">
        <x:v>AR-LF-B-A-TECH-1-B1-INT-G0</x:v>
      </x:c>
      <x:c r="E1303" s="9" t="str">
        <x:v>LF-B-A-TECH-1</x:v>
      </x:c>
      <x:c r="F1303" s="9" t="str">
        <x:v>LF-B-A</x:v>
      </x:c>
      <x:c r="G1303" s="9" t="str">
        <x:v>B1</x:v>
      </x:c>
      <x:c r="H1303" s="9" t="str">
        <x:v>INT</x:v>
      </x:c>
      <x:c r="I1303" s="9" t="str">
        <x:v>PD01</x:v>
      </x:c>
      <x:c r="J1303" s="17" t="str">
        <x:v>Experiment kernel</x:v>
      </x:c>
      <x:c r="K1303" s="17" t="str">
        <x:v>Public archive</x:v>
      </x:c>
      <x:c r="L1303" s="17" t="str">
        <x:v>COURT-SEALED UNTIL COHORT RELEASE</x:v>
      </x:c>
      <x:c r="M1303" s="9" t="n">
        <x:v>0</x:v>
      </x:c>
      <x:c r="N1303" s="9" t="n">
        <x:v>0</x:v>
      </x:c>
      <x:c r="O1303" s="9" t="n">
        <x:v>0</x:v>
      </x:c>
      <x:c r="P1303" s="9" t="str">
        <x:v>HELD / UNRELEASED</x:v>
      </x:c>
      <x:c r="Q1303" s="9" t="n">
        <x:f>COUNTIFS($A$7:$A$2310,A1303)</x:f>
        <x:v>1</x:v>
      </x:c>
    </x:row>
    <x:row r="1304">
      <x:c r="A1304" s="9" t="str">
        <x:v>PD-AR-LF-B-A-TECH-1-B1-INT-G0-PD02</x:v>
      </x:c>
      <x:c r="B1304" s="9" t="str">
        <x:v>PD-AR-LF-B-A-TECH-1-B1-INT-G0</x:v>
      </x:c>
      <x:c r="C1304" s="9" t="str">
        <x:v>EV-AR-LF-B-A-TECH-1-B1-INT-G0</x:v>
      </x:c>
      <x:c r="D1304" s="9" t="str">
        <x:v>AR-LF-B-A-TECH-1-B1-INT-G0</x:v>
      </x:c>
      <x:c r="E1304" s="9" t="str">
        <x:v>LF-B-A-TECH-1</x:v>
      </x:c>
      <x:c r="F1304" s="9" t="str">
        <x:v>LF-B-A</x:v>
      </x:c>
      <x:c r="G1304" s="9" t="str">
        <x:v>B1</x:v>
      </x:c>
      <x:c r="H1304" s="9" t="str">
        <x:v>INT</x:v>
      </x:c>
      <x:c r="I1304" s="9" t="str">
        <x:v>PD02</x:v>
      </x:c>
      <x:c r="J1304" s="17" t="str">
        <x:v>Serial annex and title chain</x:v>
      </x:c>
      <x:c r="K1304" s="17" t="str">
        <x:v>Public archive</x:v>
      </x:c>
      <x:c r="L1304" s="17" t="str">
        <x:v>COURT-SEALED UNTIL COHORT RELEASE</x:v>
      </x:c>
      <x:c r="M1304" s="9" t="n">
        <x:v>0</x:v>
      </x:c>
      <x:c r="N1304" s="9" t="n">
        <x:v>0</x:v>
      </x:c>
      <x:c r="O1304" s="9" t="n">
        <x:v>0</x:v>
      </x:c>
      <x:c r="P1304" s="9" t="str">
        <x:v>HELD / UNRELEASED</x:v>
      </x:c>
      <x:c r="Q1304" s="9" t="n">
        <x:f>COUNTIFS($A$7:$A$2310,A1304)</x:f>
        <x:v>1</x:v>
      </x:c>
    </x:row>
    <x:row r="1305">
      <x:c r="A1305" s="9" t="str">
        <x:v>PD-AR-LF-B-A-TECH-1-B1-INT-G0-PD03</x:v>
      </x:c>
      <x:c r="B1305" s="9" t="str">
        <x:v>PD-AR-LF-B-A-TECH-1-B1-INT-G0</x:v>
      </x:c>
      <x:c r="C1305" s="9" t="str">
        <x:v>EV-AR-LF-B-A-TECH-1-B1-INT-G0</x:v>
      </x:c>
      <x:c r="D1305" s="9" t="str">
        <x:v>AR-LF-B-A-TECH-1-B1-INT-G0</x:v>
      </x:c>
      <x:c r="E1305" s="9" t="str">
        <x:v>LF-B-A-TECH-1</x:v>
      </x:c>
      <x:c r="F1305" s="9" t="str">
        <x:v>LF-B-A</x:v>
      </x:c>
      <x:c r="G1305" s="9" t="str">
        <x:v>B1</x:v>
      </x:c>
      <x:c r="H1305" s="9" t="str">
        <x:v>INT</x:v>
      </x:c>
      <x:c r="I1305" s="9" t="str">
        <x:v>PD03</x:v>
      </x:c>
      <x:c r="J1305" s="17" t="str">
        <x:v>Configuration and as-built manifest</x:v>
      </x:c>
      <x:c r="K1305" s="17" t="str">
        <x:v>Artifact exchange</x:v>
      </x:c>
      <x:c r="L1305" s="17" t="str">
        <x:v>COURT-SEALED UNTIL COHORT RELEASE</x:v>
      </x:c>
      <x:c r="M1305" s="9" t="n">
        <x:v>0</x:v>
      </x:c>
      <x:c r="N1305" s="9" t="n">
        <x:v>0</x:v>
      </x:c>
      <x:c r="O1305" s="9" t="n">
        <x:v>0</x:v>
      </x:c>
      <x:c r="P1305" s="9" t="str">
        <x:v>HELD / UNRELEASED</x:v>
      </x:c>
      <x:c r="Q1305" s="9" t="n">
        <x:f>COUNTIFS($A$7:$A$2310,A1305)</x:f>
        <x:v>1</x:v>
      </x:c>
    </x:row>
    <x:row r="1306">
      <x:c r="A1306" s="9" t="str">
        <x:v>PD-AR-LF-B-A-TECH-1-B1-INT-G0-PD04</x:v>
      </x:c>
      <x:c r="B1306" s="9" t="str">
        <x:v>PD-AR-LF-B-A-TECH-1-B1-INT-G0</x:v>
      </x:c>
      <x:c r="C1306" s="9" t="str">
        <x:v>EV-AR-LF-B-A-TECH-1-B1-INT-G0</x:v>
      </x:c>
      <x:c r="D1306" s="9" t="str">
        <x:v>AR-LF-B-A-TECH-1-B1-INT-G0</x:v>
      </x:c>
      <x:c r="E1306" s="9" t="str">
        <x:v>LF-B-A-TECH-1</x:v>
      </x:c>
      <x:c r="F1306" s="9" t="str">
        <x:v>LF-B-A</x:v>
      </x:c>
      <x:c r="G1306" s="9" t="str">
        <x:v>B1</x:v>
      </x:c>
      <x:c r="H1306" s="9" t="str">
        <x:v>INT</x:v>
      </x:c>
      <x:c r="I1306" s="9" t="str">
        <x:v>PD04</x:v>
      </x:c>
      <x:c r="J1306" s="17" t="str">
        <x:v>EOW and start certificate</x:v>
      </x:c>
      <x:c r="K1306" s="17" t="str">
        <x:v>Start registrar</x:v>
      </x:c>
      <x:c r="L1306" s="17" t="str">
        <x:v>COURT-SEALED UNTIL COHORT RELEASE</x:v>
      </x:c>
      <x:c r="M1306" s="9" t="n">
        <x:v>0</x:v>
      </x:c>
      <x:c r="N1306" s="9" t="n">
        <x:v>0</x:v>
      </x:c>
      <x:c r="O1306" s="9" t="n">
        <x:v>0</x:v>
      </x:c>
      <x:c r="P1306" s="9" t="str">
        <x:v>HELD / UNRELEASED</x:v>
      </x:c>
      <x:c r="Q1306" s="9" t="n">
        <x:f>COUNTIFS($A$7:$A$2310,A1306)</x:f>
        <x:v>1</x:v>
      </x:c>
    </x:row>
    <x:row r="1307">
      <x:c r="A1307" s="9" t="str">
        <x:v>PD-AR-LF-B-A-TECH-1-B1-INT-G0-PD05</x:v>
      </x:c>
      <x:c r="B1307" s="9" t="str">
        <x:v>PD-AR-LF-B-A-TECH-1-B1-INT-G0</x:v>
      </x:c>
      <x:c r="C1307" s="9" t="str">
        <x:v>EV-AR-LF-B-A-TECH-1-B1-INT-G0</x:v>
      </x:c>
      <x:c r="D1307" s="9" t="str">
        <x:v>AR-LF-B-A-TECH-1-B1-INT-G0</x:v>
      </x:c>
      <x:c r="E1307" s="9" t="str">
        <x:v>LF-B-A-TECH-1</x:v>
      </x:c>
      <x:c r="F1307" s="9" t="str">
        <x:v>LF-B-A</x:v>
      </x:c>
      <x:c r="G1307" s="9" t="str">
        <x:v>B1</x:v>
      </x:c>
      <x:c r="H1307" s="9" t="str">
        <x:v>INT</x:v>
      </x:c>
      <x:c r="I1307" s="9" t="str">
        <x:v>PD05</x:v>
      </x:c>
      <x:c r="J1307" s="17" t="str">
        <x:v>Primary raw originals</x:v>
      </x:c>
      <x:c r="K1307" s="17" t="str">
        <x:v>Primary custody</x:v>
      </x:c>
      <x:c r="L1307" s="17" t="str">
        <x:v>COURT-SEALED UNTIL COHORT RELEASE</x:v>
      </x:c>
      <x:c r="M1307" s="9" t="n">
        <x:v>0</x:v>
      </x:c>
      <x:c r="N1307" s="9" t="n">
        <x:v>0</x:v>
      </x:c>
      <x:c r="O1307" s="9" t="n">
        <x:v>0</x:v>
      </x:c>
      <x:c r="P1307" s="9" t="str">
        <x:v>HELD / UNRELEASED</x:v>
      </x:c>
      <x:c r="Q1307" s="9" t="n">
        <x:f>COUNTIFS($A$7:$A$2310,A1307)</x:f>
        <x:v>1</x:v>
      </x:c>
    </x:row>
    <x:row r="1308">
      <x:c r="A1308" s="9" t="str">
        <x:v>PD-AR-LF-B-A-TECH-1-B1-INT-G0-PD06</x:v>
      </x:c>
      <x:c r="B1308" s="9" t="str">
        <x:v>PD-AR-LF-B-A-TECH-1-B1-INT-G0</x:v>
      </x:c>
      <x:c r="C1308" s="9" t="str">
        <x:v>EV-AR-LF-B-A-TECH-1-B1-INT-G0</x:v>
      </x:c>
      <x:c r="D1308" s="9" t="str">
        <x:v>AR-LF-B-A-TECH-1-B1-INT-G0</x:v>
      </x:c>
      <x:c r="E1308" s="9" t="str">
        <x:v>LF-B-A-TECH-1</x:v>
      </x:c>
      <x:c r="F1308" s="9" t="str">
        <x:v>LF-B-A</x:v>
      </x:c>
      <x:c r="G1308" s="9" t="str">
        <x:v>B1</x:v>
      </x:c>
      <x:c r="H1308" s="9" t="str">
        <x:v>INT</x:v>
      </x:c>
      <x:c r="I1308" s="9" t="str">
        <x:v>PD06</x:v>
      </x:c>
      <x:c r="J1308" s="17" t="str">
        <x:v>Witness raw originals</x:v>
      </x:c>
      <x:c r="K1308" s="17" t="str">
        <x:v>Witness custody</x:v>
      </x:c>
      <x:c r="L1308" s="17" t="str">
        <x:v>COURT-SEALED UNTIL COHORT RELEASE</x:v>
      </x:c>
      <x:c r="M1308" s="9" t="n">
        <x:v>0</x:v>
      </x:c>
      <x:c r="N1308" s="9" t="n">
        <x:v>0</x:v>
      </x:c>
      <x:c r="O1308" s="9" t="n">
        <x:v>0</x:v>
      </x:c>
      <x:c r="P1308" s="9" t="str">
        <x:v>HELD / UNRELEASED</x:v>
      </x:c>
      <x:c r="Q1308" s="9" t="n">
        <x:f>COUNTIFS($A$7:$A$2310,A1308)</x:f>
        <x:v>1</x:v>
      </x:c>
    </x:row>
    <x:row r="1309">
      <x:c r="A1309" s="9" t="str">
        <x:v>PD-AR-LF-B-A-TECH-1-B1-INT-G0-PD07</x:v>
      </x:c>
      <x:c r="B1309" s="9" t="str">
        <x:v>PD-AR-LF-B-A-TECH-1-B1-INT-G0</x:v>
      </x:c>
      <x:c r="C1309" s="9" t="str">
        <x:v>EV-AR-LF-B-A-TECH-1-B1-INT-G0</x:v>
      </x:c>
      <x:c r="D1309" s="9" t="str">
        <x:v>AR-LF-B-A-TECH-1-B1-INT-G0</x:v>
      </x:c>
      <x:c r="E1309" s="9" t="str">
        <x:v>LF-B-A-TECH-1</x:v>
      </x:c>
      <x:c r="F1309" s="9" t="str">
        <x:v>LF-B-A</x:v>
      </x:c>
      <x:c r="G1309" s="9" t="str">
        <x:v>B1</x:v>
      </x:c>
      <x:c r="H1309" s="9" t="str">
        <x:v>INT</x:v>
      </x:c>
      <x:c r="I1309" s="9" t="str">
        <x:v>PD07</x:v>
      </x:c>
      <x:c r="J1309" s="17" t="str">
        <x:v>Clock and environmental records</x:v>
      </x:c>
      <x:c r="K1309" s="17" t="str">
        <x:v>Boundary archive</x:v>
      </x:c>
      <x:c r="L1309" s="17" t="str">
        <x:v>COURT-SEALED UNTIL COHORT RELEASE</x:v>
      </x:c>
      <x:c r="M1309" s="9" t="n">
        <x:v>0</x:v>
      </x:c>
      <x:c r="N1309" s="9" t="n">
        <x:v>0</x:v>
      </x:c>
      <x:c r="O1309" s="9" t="n">
        <x:v>0</x:v>
      </x:c>
      <x:c r="P1309" s="9" t="str">
        <x:v>HELD / UNRELEASED</x:v>
      </x:c>
      <x:c r="Q1309" s="9" t="n">
        <x:f>COUNTIFS($A$7:$A$2310,A1309)</x:f>
        <x:v>1</x:v>
      </x:c>
    </x:row>
    <x:row r="1310">
      <x:c r="A1310" s="9" t="str">
        <x:v>PD-AR-LF-B-A-TECH-1-B1-INT-G0-PD08</x:v>
      </x:c>
      <x:c r="B1310" s="9" t="str">
        <x:v>PD-AR-LF-B-A-TECH-1-B1-INT-G0</x:v>
      </x:c>
      <x:c r="C1310" s="9" t="str">
        <x:v>EV-AR-LF-B-A-TECH-1-B1-INT-G0</x:v>
      </x:c>
      <x:c r="D1310" s="9" t="str">
        <x:v>AR-LF-B-A-TECH-1-B1-INT-G0</x:v>
      </x:c>
      <x:c r="E1310" s="9" t="str">
        <x:v>LF-B-A-TECH-1</x:v>
      </x:c>
      <x:c r="F1310" s="9" t="str">
        <x:v>LF-B-A</x:v>
      </x:c>
      <x:c r="G1310" s="9" t="str">
        <x:v>B1</x:v>
      </x:c>
      <x:c r="H1310" s="9" t="str">
        <x:v>INT</x:v>
      </x:c>
      <x:c r="I1310" s="9" t="str">
        <x:v>PD08</x:v>
      </x:c>
      <x:c r="J1310" s="17" t="str">
        <x:v>Command and intervention log</x:v>
      </x:c>
      <x:c r="K1310" s="17" t="str">
        <x:v>Safety archive</x:v>
      </x:c>
      <x:c r="L1310" s="17" t="str">
        <x:v>COURT-SEALED UNTIL COHORT RELEASE</x:v>
      </x:c>
      <x:c r="M1310" s="9" t="n">
        <x:v>0</x:v>
      </x:c>
      <x:c r="N1310" s="9" t="n">
        <x:v>0</x:v>
      </x:c>
      <x:c r="O1310" s="9" t="n">
        <x:v>0</x:v>
      </x:c>
      <x:c r="P1310" s="9" t="str">
        <x:v>HELD / UNRELEASED</x:v>
      </x:c>
      <x:c r="Q1310" s="9" t="n">
        <x:f>COUNTIFS($A$7:$A$2310,A1310)</x:f>
        <x:v>1</x:v>
      </x:c>
    </x:row>
    <x:row r="1311">
      <x:c r="A1311" s="9" t="str">
        <x:v>PD-AR-LF-B-A-TECH-1-B1-INT-G0-PD09</x:v>
      </x:c>
      <x:c r="B1311" s="9" t="str">
        <x:v>PD-AR-LF-B-A-TECH-1-B1-INT-G0</x:v>
      </x:c>
      <x:c r="C1311" s="9" t="str">
        <x:v>EV-AR-LF-B-A-TECH-1-B1-INT-G0</x:v>
      </x:c>
      <x:c r="D1311" s="9" t="str">
        <x:v>AR-LF-B-A-TECH-1-B1-INT-G0</x:v>
      </x:c>
      <x:c r="E1311" s="9" t="str">
        <x:v>LF-B-A-TECH-1</x:v>
      </x:c>
      <x:c r="F1311" s="9" t="str">
        <x:v>LF-B-A</x:v>
      </x:c>
      <x:c r="G1311" s="9" t="str">
        <x:v>B1</x:v>
      </x:c>
      <x:c r="H1311" s="9" t="str">
        <x:v>INT</x:v>
      </x:c>
      <x:c r="I1311" s="9" t="str">
        <x:v>PD09</x:v>
      </x:c>
      <x:c r="J1311" s="17" t="str">
        <x:v>Receiver denominator and service ledger</x:v>
      </x:c>
      <x:c r="K1311" s="17" t="str">
        <x:v>Receiver archive</x:v>
      </x:c>
      <x:c r="L1311" s="17" t="str">
        <x:v>COURT-SEALED UNTIL COHORT RELEASE</x:v>
      </x:c>
      <x:c r="M1311" s="9" t="n">
        <x:v>0</x:v>
      </x:c>
      <x:c r="N1311" s="9" t="n">
        <x:v>0</x:v>
      </x:c>
      <x:c r="O1311" s="9" t="n">
        <x:v>0</x:v>
      </x:c>
      <x:c r="P1311" s="9" t="str">
        <x:v>HELD / UNRELEASED</x:v>
      </x:c>
      <x:c r="Q1311" s="9" t="n">
        <x:f>COUNTIFS($A$7:$A$2310,A1311)</x:f>
        <x:v>1</x:v>
      </x:c>
    </x:row>
    <x:row r="1312">
      <x:c r="A1312" s="9" t="str">
        <x:v>PD-AR-LF-B-A-TECH-1-B1-INT-G0-PD10</x:v>
      </x:c>
      <x:c r="B1312" s="9" t="str">
        <x:v>PD-AR-LF-B-A-TECH-1-B1-INT-G0</x:v>
      </x:c>
      <x:c r="C1312" s="9" t="str">
        <x:v>EV-AR-LF-B-A-TECH-1-B1-INT-G0</x:v>
      </x:c>
      <x:c r="D1312" s="9" t="str">
        <x:v>AR-LF-B-A-TECH-1-B1-INT-G0</x:v>
      </x:c>
      <x:c r="E1312" s="9" t="str">
        <x:v>LF-B-A-TECH-1</x:v>
      </x:c>
      <x:c r="F1312" s="9" t="str">
        <x:v>LF-B-A</x:v>
      </x:c>
      <x:c r="G1312" s="9" t="str">
        <x:v>B1</x:v>
      </x:c>
      <x:c r="H1312" s="9" t="str">
        <x:v>INT</x:v>
      </x:c>
      <x:c r="I1312" s="9" t="str">
        <x:v>PD10</x:v>
      </x:c>
      <x:c r="J1312" s="17" t="str">
        <x:v>Calibration and uncertainty record</x:v>
      </x:c>
      <x:c r="K1312" s="17" t="str">
        <x:v>Metrology archive</x:v>
      </x:c>
      <x:c r="L1312" s="17" t="str">
        <x:v>COURT-SEALED UNTIL COHORT RELEASE</x:v>
      </x:c>
      <x:c r="M1312" s="9" t="n">
        <x:v>0</x:v>
      </x:c>
      <x:c r="N1312" s="9" t="n">
        <x:v>0</x:v>
      </x:c>
      <x:c r="O1312" s="9" t="n">
        <x:v>0</x:v>
      </x:c>
      <x:c r="P1312" s="9" t="str">
        <x:v>HELD / UNRELEASED</x:v>
      </x:c>
      <x:c r="Q1312" s="9" t="n">
        <x:f>COUNTIFS($A$7:$A$2310,A1312)</x:f>
        <x:v>1</x:v>
      </x:c>
    </x:row>
    <x:row r="1313">
      <x:c r="A1313" s="9" t="str">
        <x:v>PD-AR-LF-B-A-TECH-1-B1-INT-G0-PD11</x:v>
      </x:c>
      <x:c r="B1313" s="9" t="str">
        <x:v>PD-AR-LF-B-A-TECH-1-B1-INT-G0</x:v>
      </x:c>
      <x:c r="C1313" s="9" t="str">
        <x:v>EV-AR-LF-B-A-TECH-1-B1-INT-G0</x:v>
      </x:c>
      <x:c r="D1313" s="9" t="str">
        <x:v>AR-LF-B-A-TECH-1-B1-INT-G0</x:v>
      </x:c>
      <x:c r="E1313" s="9" t="str">
        <x:v>LF-B-A-TECH-1</x:v>
      </x:c>
      <x:c r="F1313" s="9" t="str">
        <x:v>LF-B-A</x:v>
      </x:c>
      <x:c r="G1313" s="9" t="str">
        <x:v>B1</x:v>
      </x:c>
      <x:c r="H1313" s="9" t="str">
        <x:v>INT</x:v>
      </x:c>
      <x:c r="I1313" s="9" t="str">
        <x:v>PD11</x:v>
      </x:c>
      <x:c r="J1313" s="17" t="str">
        <x:v>Invalidity petition and opinion</x:v>
      </x:c>
      <x:c r="K1313" s="17" t="str">
        <x:v>Invalidity court</x:v>
      </x:c>
      <x:c r="L1313" s="17" t="str">
        <x:v>COURT-SEALED UNTIL COHORT RELEASE</x:v>
      </x:c>
      <x:c r="M1313" s="9" t="n">
        <x:v>0</x:v>
      </x:c>
      <x:c r="N1313" s="9" t="n">
        <x:v>0</x:v>
      </x:c>
      <x:c r="O1313" s="9" t="n">
        <x:v>0</x:v>
      </x:c>
      <x:c r="P1313" s="9" t="str">
        <x:v>HELD / UNRELEASED</x:v>
      </x:c>
      <x:c r="Q1313" s="9" t="n">
        <x:f>COUNTIFS($A$7:$A$2310,A1313)</x:f>
        <x:v>1</x:v>
      </x:c>
    </x:row>
    <x:row r="1314">
      <x:c r="A1314" s="9" t="str">
        <x:v>PD-AR-LF-B-A-TECH-1-B1-INT-G0-PD12</x:v>
      </x:c>
      <x:c r="B1314" s="9" t="str">
        <x:v>PD-AR-LF-B-A-TECH-1-B1-INT-G0</x:v>
      </x:c>
      <x:c r="C1314" s="9" t="str">
        <x:v>EV-AR-LF-B-A-TECH-1-B1-INT-G0</x:v>
      </x:c>
      <x:c r="D1314" s="9" t="str">
        <x:v>AR-LF-B-A-TECH-1-B1-INT-G0</x:v>
      </x:c>
      <x:c r="E1314" s="9" t="str">
        <x:v>LF-B-A-TECH-1</x:v>
      </x:c>
      <x:c r="F1314" s="9" t="str">
        <x:v>LF-B-A</x:v>
      </x:c>
      <x:c r="G1314" s="9" t="str">
        <x:v>B1</x:v>
      </x:c>
      <x:c r="H1314" s="9" t="str">
        <x:v>INT</x:v>
      </x:c>
      <x:c r="I1314" s="9" t="str">
        <x:v>PD12</x:v>
      </x:c>
      <x:c r="J1314" s="17" t="str">
        <x:v>Observation acceptance and replay</x:v>
      </x:c>
      <x:c r="K1314" s="17" t="str">
        <x:v>Observation court</x:v>
      </x:c>
      <x:c r="L1314" s="17" t="str">
        <x:v>COURT-SEALED UNTIL COHORT RELEASE</x:v>
      </x:c>
      <x:c r="M1314" s="9" t="n">
        <x:v>0</x:v>
      </x:c>
      <x:c r="N1314" s="9" t="n">
        <x:v>0</x:v>
      </x:c>
      <x:c r="O1314" s="9" t="n">
        <x:v>0</x:v>
      </x:c>
      <x:c r="P1314" s="9" t="str">
        <x:v>HELD / UNRELEASED</x:v>
      </x:c>
      <x:c r="Q1314" s="9" t="n">
        <x:f>COUNTIFS($A$7:$A$2310,A1314)</x:f>
        <x:v>1</x:v>
      </x:c>
    </x:row>
    <x:row r="1315">
      <x:c r="A1315" s="9" t="str">
        <x:v>PD-AR-LF-B-A-TECH-1-B1-INT-G0-PD13</x:v>
      </x:c>
      <x:c r="B1315" s="9" t="str">
        <x:v>PD-AR-LF-B-A-TECH-1-B1-INT-G0</x:v>
      </x:c>
      <x:c r="C1315" s="9" t="str">
        <x:v>EV-AR-LF-B-A-TECH-1-B1-INT-G0</x:v>
      </x:c>
      <x:c r="D1315" s="9" t="str">
        <x:v>AR-LF-B-A-TECH-1-B1-INT-G0</x:v>
      </x:c>
      <x:c r="E1315" s="9" t="str">
        <x:v>LF-B-A-TECH-1</x:v>
      </x:c>
      <x:c r="F1315" s="9" t="str">
        <x:v>LF-B-A</x:v>
      </x:c>
      <x:c r="G1315" s="9" t="str">
        <x:v>B1</x:v>
      </x:c>
      <x:c r="H1315" s="9" t="str">
        <x:v>INT</x:v>
      </x:c>
      <x:c r="I1315" s="9" t="str">
        <x:v>PD13</x:v>
      </x:c>
      <x:c r="J1315" s="17" t="str">
        <x:v>Role judgment</x:v>
      </x:c>
      <x:c r="K1315" s="17" t="str">
        <x:v>Role court</x:v>
      </x:c>
      <x:c r="L1315" s="17" t="str">
        <x:v>COURT-SEALED UNTIL COHORT RELEASE</x:v>
      </x:c>
      <x:c r="M1315" s="9" t="n">
        <x:v>0</x:v>
      </x:c>
      <x:c r="N1315" s="9" t="n">
        <x:v>0</x:v>
      </x:c>
      <x:c r="O1315" s="9" t="n">
        <x:v>0</x:v>
      </x:c>
      <x:c r="P1315" s="9" t="str">
        <x:v>HELD / UNRELEASED</x:v>
      </x:c>
      <x:c r="Q1315" s="9" t="n">
        <x:f>COUNTIFS($A$7:$A$2310,A1315)</x:f>
        <x:v>1</x:v>
      </x:c>
    </x:row>
    <x:row r="1316">
      <x:c r="A1316" s="9" t="str">
        <x:v>PD-AR-LF-B-A-TECH-1-B1-INT-G0-PD14</x:v>
      </x:c>
      <x:c r="B1316" s="9" t="str">
        <x:v>PD-AR-LF-B-A-TECH-1-B1-INT-G0</x:v>
      </x:c>
      <x:c r="C1316" s="9" t="str">
        <x:v>EV-AR-LF-B-A-TECH-1-B1-INT-G0</x:v>
      </x:c>
      <x:c r="D1316" s="9" t="str">
        <x:v>AR-LF-B-A-TECH-1-B1-INT-G0</x:v>
      </x:c>
      <x:c r="E1316" s="9" t="str">
        <x:v>LF-B-A-TECH-1</x:v>
      </x:c>
      <x:c r="F1316" s="9" t="str">
        <x:v>LF-B-A</x:v>
      </x:c>
      <x:c r="G1316" s="9" t="str">
        <x:v>B1</x:v>
      </x:c>
      <x:c r="H1316" s="9" t="str">
        <x:v>INT</x:v>
      </x:c>
      <x:c r="I1316" s="9" t="str">
        <x:v>PD14</x:v>
      </x:c>
      <x:c r="J1316" s="17" t="str">
        <x:v>Break and residual account</x:v>
      </x:c>
      <x:c r="K1316" s="17" t="str">
        <x:v>Residual authority</x:v>
      </x:c>
      <x:c r="L1316" s="17" t="str">
        <x:v>COURT-SEALED UNTIL COHORT RELEASE</x:v>
      </x:c>
      <x:c r="M1316" s="9" t="n">
        <x:v>0</x:v>
      </x:c>
      <x:c r="N1316" s="9" t="n">
        <x:v>0</x:v>
      </x:c>
      <x:c r="O1316" s="9" t="n">
        <x:v>0</x:v>
      </x:c>
      <x:c r="P1316" s="9" t="str">
        <x:v>HELD / UNRELEASED</x:v>
      </x:c>
      <x:c r="Q1316" s="9" t="n">
        <x:f>COUNTIFS($A$7:$A$2310,A1316)</x:f>
        <x:v>1</x:v>
      </x:c>
    </x:row>
    <x:row r="1317">
      <x:c r="A1317" s="9" t="str">
        <x:v>PD-AR-LF-B-A-TECH-1-B1-INT-G0-PD15</x:v>
      </x:c>
      <x:c r="B1317" s="9" t="str">
        <x:v>PD-AR-LF-B-A-TECH-1-B1-INT-G0</x:v>
      </x:c>
      <x:c r="C1317" s="9" t="str">
        <x:v>EV-AR-LF-B-A-TECH-1-B1-INT-G0</x:v>
      </x:c>
      <x:c r="D1317" s="9" t="str">
        <x:v>AR-LF-B-A-TECH-1-B1-INT-G0</x:v>
      </x:c>
      <x:c r="E1317" s="9" t="str">
        <x:v>LF-B-A-TECH-1</x:v>
      </x:c>
      <x:c r="F1317" s="9" t="str">
        <x:v>LF-B-A</x:v>
      </x:c>
      <x:c r="G1317" s="9" t="str">
        <x:v>B1</x:v>
      </x:c>
      <x:c r="H1317" s="9" t="str">
        <x:v>INT</x:v>
      </x:c>
      <x:c r="I1317" s="9" t="str">
        <x:v>PD15</x:v>
      </x:c>
      <x:c r="J1317" s="17" t="str">
        <x:v>Reconstruction ancestry and replay</x:v>
      </x:c>
      <x:c r="K1317" s="17" t="str">
        <x:v>Reconstruction court</x:v>
      </x:c>
      <x:c r="L1317" s="17" t="str">
        <x:v>COURT-SEALED UNTIL COHORT RELEASE</x:v>
      </x:c>
      <x:c r="M1317" s="9" t="n">
        <x:v>0</x:v>
      </x:c>
      <x:c r="N1317" s="9" t="n">
        <x:v>0</x:v>
      </x:c>
      <x:c r="O1317" s="9" t="n">
        <x:v>0</x:v>
      </x:c>
      <x:c r="P1317" s="9" t="str">
        <x:v>HELD / UNRELEASED</x:v>
      </x:c>
      <x:c r="Q1317" s="9" t="n">
        <x:f>COUNTIFS($A$7:$A$2310,A1317)</x:f>
        <x:v>1</x:v>
      </x:c>
    </x:row>
    <x:row r="1318">
      <x:c r="A1318" s="9" t="str">
        <x:v>PD-AR-LF-B-A-TECH-1-B1-INT-G0-PD16</x:v>
      </x:c>
      <x:c r="B1318" s="9" t="str">
        <x:v>PD-AR-LF-B-A-TECH-1-B1-INT-G0</x:v>
      </x:c>
      <x:c r="C1318" s="9" t="str">
        <x:v>EV-AR-LF-B-A-TECH-1-B1-INT-G0</x:v>
      </x:c>
      <x:c r="D1318" s="9" t="str">
        <x:v>AR-LF-B-A-TECH-1-B1-INT-G0</x:v>
      </x:c>
      <x:c r="E1318" s="9" t="str">
        <x:v>LF-B-A-TECH-1</x:v>
      </x:c>
      <x:c r="F1318" s="9" t="str">
        <x:v>LF-B-A</x:v>
      </x:c>
      <x:c r="G1318" s="9" t="str">
        <x:v>B1</x:v>
      </x:c>
      <x:c r="H1318" s="9" t="str">
        <x:v>INT</x:v>
      </x:c>
      <x:c r="I1318" s="9" t="str">
        <x:v>PD16</x:v>
      </x:c>
      <x:c r="J1318" s="17" t="str">
        <x:v>Dissent, amendments and access log</x:v>
      </x:c>
      <x:c r="K1318" s="17" t="str">
        <x:v>Public archive</x:v>
      </x:c>
      <x:c r="L1318" s="17" t="str">
        <x:v>COURT-SEALED UNTIL COHORT RELEASE</x:v>
      </x:c>
      <x:c r="M1318" s="9" t="n">
        <x:v>0</x:v>
      </x:c>
      <x:c r="N1318" s="9" t="n">
        <x:v>0</x:v>
      </x:c>
      <x:c r="O1318" s="9" t="n">
        <x:v>0</x:v>
      </x:c>
      <x:c r="P1318" s="9" t="str">
        <x:v>HELD / UNRELEASED</x:v>
      </x:c>
      <x:c r="Q1318" s="9" t="n">
        <x:f>COUNTIFS($A$7:$A$2310,A1318)</x:f>
        <x:v>1</x:v>
      </x:c>
    </x:row>
    <x:row r="1319">
      <x:c r="A1319" s="9" t="str">
        <x:v>PD-AR-LF-B-A-TECH-2-B2-RCN-G0-PD01</x:v>
      </x:c>
      <x:c r="B1319" s="9" t="str">
        <x:v>PD-AR-LF-B-A-TECH-2-B2-RCN-G0</x:v>
      </x:c>
      <x:c r="C1319" s="9" t="str">
        <x:v>EV-AR-LF-B-A-TECH-2-B2-RCN-G0</x:v>
      </x:c>
      <x:c r="D1319" s="9" t="str">
        <x:v>AR-LF-B-A-TECH-2-B2-RCN-G0</x:v>
      </x:c>
      <x:c r="E1319" s="9" t="str">
        <x:v>LF-B-A-TECH-2</x:v>
      </x:c>
      <x:c r="F1319" s="9" t="str">
        <x:v>LF-B-A</x:v>
      </x:c>
      <x:c r="G1319" s="9" t="str">
        <x:v>B2</x:v>
      </x:c>
      <x:c r="H1319" s="9" t="str">
        <x:v>RCN</x:v>
      </x:c>
      <x:c r="I1319" s="9" t="str">
        <x:v>PD01</x:v>
      </x:c>
      <x:c r="J1319" s="17" t="str">
        <x:v>Experiment kernel</x:v>
      </x:c>
      <x:c r="K1319" s="17" t="str">
        <x:v>Public archive</x:v>
      </x:c>
      <x:c r="L1319" s="17" t="str">
        <x:v>COURT-SEALED UNTIL COHORT RELEASE</x:v>
      </x:c>
      <x:c r="M1319" s="9" t="n">
        <x:v>0</x:v>
      </x:c>
      <x:c r="N1319" s="9" t="n">
        <x:v>0</x:v>
      </x:c>
      <x:c r="O1319" s="9" t="n">
        <x:v>0</x:v>
      </x:c>
      <x:c r="P1319" s="9" t="str">
        <x:v>HELD / UNRELEASED</x:v>
      </x:c>
      <x:c r="Q1319" s="9" t="n">
        <x:f>COUNTIFS($A$7:$A$2310,A1319)</x:f>
        <x:v>1</x:v>
      </x:c>
    </x:row>
    <x:row r="1320">
      <x:c r="A1320" s="9" t="str">
        <x:v>PD-AR-LF-B-A-TECH-2-B2-RCN-G0-PD02</x:v>
      </x:c>
      <x:c r="B1320" s="9" t="str">
        <x:v>PD-AR-LF-B-A-TECH-2-B2-RCN-G0</x:v>
      </x:c>
      <x:c r="C1320" s="9" t="str">
        <x:v>EV-AR-LF-B-A-TECH-2-B2-RCN-G0</x:v>
      </x:c>
      <x:c r="D1320" s="9" t="str">
        <x:v>AR-LF-B-A-TECH-2-B2-RCN-G0</x:v>
      </x:c>
      <x:c r="E1320" s="9" t="str">
        <x:v>LF-B-A-TECH-2</x:v>
      </x:c>
      <x:c r="F1320" s="9" t="str">
        <x:v>LF-B-A</x:v>
      </x:c>
      <x:c r="G1320" s="9" t="str">
        <x:v>B2</x:v>
      </x:c>
      <x:c r="H1320" s="9" t="str">
        <x:v>RCN</x:v>
      </x:c>
      <x:c r="I1320" s="9" t="str">
        <x:v>PD02</x:v>
      </x:c>
      <x:c r="J1320" s="17" t="str">
        <x:v>Serial annex and title chain</x:v>
      </x:c>
      <x:c r="K1320" s="17" t="str">
        <x:v>Public archive</x:v>
      </x:c>
      <x:c r="L1320" s="17" t="str">
        <x:v>COURT-SEALED UNTIL COHORT RELEASE</x:v>
      </x:c>
      <x:c r="M1320" s="9" t="n">
        <x:v>0</x:v>
      </x:c>
      <x:c r="N1320" s="9" t="n">
        <x:v>0</x:v>
      </x:c>
      <x:c r="O1320" s="9" t="n">
        <x:v>0</x:v>
      </x:c>
      <x:c r="P1320" s="9" t="str">
        <x:v>HELD / UNRELEASED</x:v>
      </x:c>
      <x:c r="Q1320" s="9" t="n">
        <x:f>COUNTIFS($A$7:$A$2310,A1320)</x:f>
        <x:v>1</x:v>
      </x:c>
    </x:row>
    <x:row r="1321">
      <x:c r="A1321" s="9" t="str">
        <x:v>PD-AR-LF-B-A-TECH-2-B2-RCN-G0-PD03</x:v>
      </x:c>
      <x:c r="B1321" s="9" t="str">
        <x:v>PD-AR-LF-B-A-TECH-2-B2-RCN-G0</x:v>
      </x:c>
      <x:c r="C1321" s="9" t="str">
        <x:v>EV-AR-LF-B-A-TECH-2-B2-RCN-G0</x:v>
      </x:c>
      <x:c r="D1321" s="9" t="str">
        <x:v>AR-LF-B-A-TECH-2-B2-RCN-G0</x:v>
      </x:c>
      <x:c r="E1321" s="9" t="str">
        <x:v>LF-B-A-TECH-2</x:v>
      </x:c>
      <x:c r="F1321" s="9" t="str">
        <x:v>LF-B-A</x:v>
      </x:c>
      <x:c r="G1321" s="9" t="str">
        <x:v>B2</x:v>
      </x:c>
      <x:c r="H1321" s="9" t="str">
        <x:v>RCN</x:v>
      </x:c>
      <x:c r="I1321" s="9" t="str">
        <x:v>PD03</x:v>
      </x:c>
      <x:c r="J1321" s="17" t="str">
        <x:v>Configuration and as-built manifest</x:v>
      </x:c>
      <x:c r="K1321" s="17" t="str">
        <x:v>Artifact exchange</x:v>
      </x:c>
      <x:c r="L1321" s="17" t="str">
        <x:v>COURT-SEALED UNTIL COHORT RELEASE</x:v>
      </x:c>
      <x:c r="M1321" s="9" t="n">
        <x:v>0</x:v>
      </x:c>
      <x:c r="N1321" s="9" t="n">
        <x:v>0</x:v>
      </x:c>
      <x:c r="O1321" s="9" t="n">
        <x:v>0</x:v>
      </x:c>
      <x:c r="P1321" s="9" t="str">
        <x:v>HELD / UNRELEASED</x:v>
      </x:c>
      <x:c r="Q1321" s="9" t="n">
        <x:f>COUNTIFS($A$7:$A$2310,A1321)</x:f>
        <x:v>1</x:v>
      </x:c>
    </x:row>
    <x:row r="1322">
      <x:c r="A1322" s="9" t="str">
        <x:v>PD-AR-LF-B-A-TECH-2-B2-RCN-G0-PD04</x:v>
      </x:c>
      <x:c r="B1322" s="9" t="str">
        <x:v>PD-AR-LF-B-A-TECH-2-B2-RCN-G0</x:v>
      </x:c>
      <x:c r="C1322" s="9" t="str">
        <x:v>EV-AR-LF-B-A-TECH-2-B2-RCN-G0</x:v>
      </x:c>
      <x:c r="D1322" s="9" t="str">
        <x:v>AR-LF-B-A-TECH-2-B2-RCN-G0</x:v>
      </x:c>
      <x:c r="E1322" s="9" t="str">
        <x:v>LF-B-A-TECH-2</x:v>
      </x:c>
      <x:c r="F1322" s="9" t="str">
        <x:v>LF-B-A</x:v>
      </x:c>
      <x:c r="G1322" s="9" t="str">
        <x:v>B2</x:v>
      </x:c>
      <x:c r="H1322" s="9" t="str">
        <x:v>RCN</x:v>
      </x:c>
      <x:c r="I1322" s="9" t="str">
        <x:v>PD04</x:v>
      </x:c>
      <x:c r="J1322" s="17" t="str">
        <x:v>EOW and start certificate</x:v>
      </x:c>
      <x:c r="K1322" s="17" t="str">
        <x:v>Start registrar</x:v>
      </x:c>
      <x:c r="L1322" s="17" t="str">
        <x:v>COURT-SEALED UNTIL COHORT RELEASE</x:v>
      </x:c>
      <x:c r="M1322" s="9" t="n">
        <x:v>0</x:v>
      </x:c>
      <x:c r="N1322" s="9" t="n">
        <x:v>0</x:v>
      </x:c>
      <x:c r="O1322" s="9" t="n">
        <x:v>0</x:v>
      </x:c>
      <x:c r="P1322" s="9" t="str">
        <x:v>HELD / UNRELEASED</x:v>
      </x:c>
      <x:c r="Q1322" s="9" t="n">
        <x:f>COUNTIFS($A$7:$A$2310,A1322)</x:f>
        <x:v>1</x:v>
      </x:c>
    </x:row>
    <x:row r="1323">
      <x:c r="A1323" s="9" t="str">
        <x:v>PD-AR-LF-B-A-TECH-2-B2-RCN-G0-PD05</x:v>
      </x:c>
      <x:c r="B1323" s="9" t="str">
        <x:v>PD-AR-LF-B-A-TECH-2-B2-RCN-G0</x:v>
      </x:c>
      <x:c r="C1323" s="9" t="str">
        <x:v>EV-AR-LF-B-A-TECH-2-B2-RCN-G0</x:v>
      </x:c>
      <x:c r="D1323" s="9" t="str">
        <x:v>AR-LF-B-A-TECH-2-B2-RCN-G0</x:v>
      </x:c>
      <x:c r="E1323" s="9" t="str">
        <x:v>LF-B-A-TECH-2</x:v>
      </x:c>
      <x:c r="F1323" s="9" t="str">
        <x:v>LF-B-A</x:v>
      </x:c>
      <x:c r="G1323" s="9" t="str">
        <x:v>B2</x:v>
      </x:c>
      <x:c r="H1323" s="9" t="str">
        <x:v>RCN</x:v>
      </x:c>
      <x:c r="I1323" s="9" t="str">
        <x:v>PD05</x:v>
      </x:c>
      <x:c r="J1323" s="17" t="str">
        <x:v>Primary raw originals</x:v>
      </x:c>
      <x:c r="K1323" s="17" t="str">
        <x:v>Primary custody</x:v>
      </x:c>
      <x:c r="L1323" s="17" t="str">
        <x:v>COURT-SEALED UNTIL COHORT RELEASE</x:v>
      </x:c>
      <x:c r="M1323" s="9" t="n">
        <x:v>0</x:v>
      </x:c>
      <x:c r="N1323" s="9" t="n">
        <x:v>0</x:v>
      </x:c>
      <x:c r="O1323" s="9" t="n">
        <x:v>0</x:v>
      </x:c>
      <x:c r="P1323" s="9" t="str">
        <x:v>HELD / UNRELEASED</x:v>
      </x:c>
      <x:c r="Q1323" s="9" t="n">
        <x:f>COUNTIFS($A$7:$A$2310,A1323)</x:f>
        <x:v>1</x:v>
      </x:c>
    </x:row>
    <x:row r="1324">
      <x:c r="A1324" s="9" t="str">
        <x:v>PD-AR-LF-B-A-TECH-2-B2-RCN-G0-PD06</x:v>
      </x:c>
      <x:c r="B1324" s="9" t="str">
        <x:v>PD-AR-LF-B-A-TECH-2-B2-RCN-G0</x:v>
      </x:c>
      <x:c r="C1324" s="9" t="str">
        <x:v>EV-AR-LF-B-A-TECH-2-B2-RCN-G0</x:v>
      </x:c>
      <x:c r="D1324" s="9" t="str">
        <x:v>AR-LF-B-A-TECH-2-B2-RCN-G0</x:v>
      </x:c>
      <x:c r="E1324" s="9" t="str">
        <x:v>LF-B-A-TECH-2</x:v>
      </x:c>
      <x:c r="F1324" s="9" t="str">
        <x:v>LF-B-A</x:v>
      </x:c>
      <x:c r="G1324" s="9" t="str">
        <x:v>B2</x:v>
      </x:c>
      <x:c r="H1324" s="9" t="str">
        <x:v>RCN</x:v>
      </x:c>
      <x:c r="I1324" s="9" t="str">
        <x:v>PD06</x:v>
      </x:c>
      <x:c r="J1324" s="17" t="str">
        <x:v>Witness raw originals</x:v>
      </x:c>
      <x:c r="K1324" s="17" t="str">
        <x:v>Witness custody</x:v>
      </x:c>
      <x:c r="L1324" s="17" t="str">
        <x:v>COURT-SEALED UNTIL COHORT RELEASE</x:v>
      </x:c>
      <x:c r="M1324" s="9" t="n">
        <x:v>0</x:v>
      </x:c>
      <x:c r="N1324" s="9" t="n">
        <x:v>0</x:v>
      </x:c>
      <x:c r="O1324" s="9" t="n">
        <x:v>0</x:v>
      </x:c>
      <x:c r="P1324" s="9" t="str">
        <x:v>HELD / UNRELEASED</x:v>
      </x:c>
      <x:c r="Q1324" s="9" t="n">
        <x:f>COUNTIFS($A$7:$A$2310,A1324)</x:f>
        <x:v>1</x:v>
      </x:c>
    </x:row>
    <x:row r="1325">
      <x:c r="A1325" s="9" t="str">
        <x:v>PD-AR-LF-B-A-TECH-2-B2-RCN-G0-PD07</x:v>
      </x:c>
      <x:c r="B1325" s="9" t="str">
        <x:v>PD-AR-LF-B-A-TECH-2-B2-RCN-G0</x:v>
      </x:c>
      <x:c r="C1325" s="9" t="str">
        <x:v>EV-AR-LF-B-A-TECH-2-B2-RCN-G0</x:v>
      </x:c>
      <x:c r="D1325" s="9" t="str">
        <x:v>AR-LF-B-A-TECH-2-B2-RCN-G0</x:v>
      </x:c>
      <x:c r="E1325" s="9" t="str">
        <x:v>LF-B-A-TECH-2</x:v>
      </x:c>
      <x:c r="F1325" s="9" t="str">
        <x:v>LF-B-A</x:v>
      </x:c>
      <x:c r="G1325" s="9" t="str">
        <x:v>B2</x:v>
      </x:c>
      <x:c r="H1325" s="9" t="str">
        <x:v>RCN</x:v>
      </x:c>
      <x:c r="I1325" s="9" t="str">
        <x:v>PD07</x:v>
      </x:c>
      <x:c r="J1325" s="17" t="str">
        <x:v>Clock and environmental records</x:v>
      </x:c>
      <x:c r="K1325" s="17" t="str">
        <x:v>Boundary archive</x:v>
      </x:c>
      <x:c r="L1325" s="17" t="str">
        <x:v>COURT-SEALED UNTIL COHORT RELEASE</x:v>
      </x:c>
      <x:c r="M1325" s="9" t="n">
        <x:v>0</x:v>
      </x:c>
      <x:c r="N1325" s="9" t="n">
        <x:v>0</x:v>
      </x:c>
      <x:c r="O1325" s="9" t="n">
        <x:v>0</x:v>
      </x:c>
      <x:c r="P1325" s="9" t="str">
        <x:v>HELD / UNRELEASED</x:v>
      </x:c>
      <x:c r="Q1325" s="9" t="n">
        <x:f>COUNTIFS($A$7:$A$2310,A1325)</x:f>
        <x:v>1</x:v>
      </x:c>
    </x:row>
    <x:row r="1326">
      <x:c r="A1326" s="9" t="str">
        <x:v>PD-AR-LF-B-A-TECH-2-B2-RCN-G0-PD08</x:v>
      </x:c>
      <x:c r="B1326" s="9" t="str">
        <x:v>PD-AR-LF-B-A-TECH-2-B2-RCN-G0</x:v>
      </x:c>
      <x:c r="C1326" s="9" t="str">
        <x:v>EV-AR-LF-B-A-TECH-2-B2-RCN-G0</x:v>
      </x:c>
      <x:c r="D1326" s="9" t="str">
        <x:v>AR-LF-B-A-TECH-2-B2-RCN-G0</x:v>
      </x:c>
      <x:c r="E1326" s="9" t="str">
        <x:v>LF-B-A-TECH-2</x:v>
      </x:c>
      <x:c r="F1326" s="9" t="str">
        <x:v>LF-B-A</x:v>
      </x:c>
      <x:c r="G1326" s="9" t="str">
        <x:v>B2</x:v>
      </x:c>
      <x:c r="H1326" s="9" t="str">
        <x:v>RCN</x:v>
      </x:c>
      <x:c r="I1326" s="9" t="str">
        <x:v>PD08</x:v>
      </x:c>
      <x:c r="J1326" s="17" t="str">
        <x:v>Command and intervention log</x:v>
      </x:c>
      <x:c r="K1326" s="17" t="str">
        <x:v>Safety archive</x:v>
      </x:c>
      <x:c r="L1326" s="17" t="str">
        <x:v>COURT-SEALED UNTIL COHORT RELEASE</x:v>
      </x:c>
      <x:c r="M1326" s="9" t="n">
        <x:v>0</x:v>
      </x:c>
      <x:c r="N1326" s="9" t="n">
        <x:v>0</x:v>
      </x:c>
      <x:c r="O1326" s="9" t="n">
        <x:v>0</x:v>
      </x:c>
      <x:c r="P1326" s="9" t="str">
        <x:v>HELD / UNRELEASED</x:v>
      </x:c>
      <x:c r="Q1326" s="9" t="n">
        <x:f>COUNTIFS($A$7:$A$2310,A1326)</x:f>
        <x:v>1</x:v>
      </x:c>
    </x:row>
    <x:row r="1327">
      <x:c r="A1327" s="9" t="str">
        <x:v>PD-AR-LF-B-A-TECH-2-B2-RCN-G0-PD09</x:v>
      </x:c>
      <x:c r="B1327" s="9" t="str">
        <x:v>PD-AR-LF-B-A-TECH-2-B2-RCN-G0</x:v>
      </x:c>
      <x:c r="C1327" s="9" t="str">
        <x:v>EV-AR-LF-B-A-TECH-2-B2-RCN-G0</x:v>
      </x:c>
      <x:c r="D1327" s="9" t="str">
        <x:v>AR-LF-B-A-TECH-2-B2-RCN-G0</x:v>
      </x:c>
      <x:c r="E1327" s="9" t="str">
        <x:v>LF-B-A-TECH-2</x:v>
      </x:c>
      <x:c r="F1327" s="9" t="str">
        <x:v>LF-B-A</x:v>
      </x:c>
      <x:c r="G1327" s="9" t="str">
        <x:v>B2</x:v>
      </x:c>
      <x:c r="H1327" s="9" t="str">
        <x:v>RCN</x:v>
      </x:c>
      <x:c r="I1327" s="9" t="str">
        <x:v>PD09</x:v>
      </x:c>
      <x:c r="J1327" s="17" t="str">
        <x:v>Receiver denominator and service ledger</x:v>
      </x:c>
      <x:c r="K1327" s="17" t="str">
        <x:v>Receiver archive</x:v>
      </x:c>
      <x:c r="L1327" s="17" t="str">
        <x:v>COURT-SEALED UNTIL COHORT RELEASE</x:v>
      </x:c>
      <x:c r="M1327" s="9" t="n">
        <x:v>0</x:v>
      </x:c>
      <x:c r="N1327" s="9" t="n">
        <x:v>0</x:v>
      </x:c>
      <x:c r="O1327" s="9" t="n">
        <x:v>0</x:v>
      </x:c>
      <x:c r="P1327" s="9" t="str">
        <x:v>HELD / UNRELEASED</x:v>
      </x:c>
      <x:c r="Q1327" s="9" t="n">
        <x:f>COUNTIFS($A$7:$A$2310,A1327)</x:f>
        <x:v>1</x:v>
      </x:c>
    </x:row>
    <x:row r="1328">
      <x:c r="A1328" s="9" t="str">
        <x:v>PD-AR-LF-B-A-TECH-2-B2-RCN-G0-PD10</x:v>
      </x:c>
      <x:c r="B1328" s="9" t="str">
        <x:v>PD-AR-LF-B-A-TECH-2-B2-RCN-G0</x:v>
      </x:c>
      <x:c r="C1328" s="9" t="str">
        <x:v>EV-AR-LF-B-A-TECH-2-B2-RCN-G0</x:v>
      </x:c>
      <x:c r="D1328" s="9" t="str">
        <x:v>AR-LF-B-A-TECH-2-B2-RCN-G0</x:v>
      </x:c>
      <x:c r="E1328" s="9" t="str">
        <x:v>LF-B-A-TECH-2</x:v>
      </x:c>
      <x:c r="F1328" s="9" t="str">
        <x:v>LF-B-A</x:v>
      </x:c>
      <x:c r="G1328" s="9" t="str">
        <x:v>B2</x:v>
      </x:c>
      <x:c r="H1328" s="9" t="str">
        <x:v>RCN</x:v>
      </x:c>
      <x:c r="I1328" s="9" t="str">
        <x:v>PD10</x:v>
      </x:c>
      <x:c r="J1328" s="17" t="str">
        <x:v>Calibration and uncertainty record</x:v>
      </x:c>
      <x:c r="K1328" s="17" t="str">
        <x:v>Metrology archive</x:v>
      </x:c>
      <x:c r="L1328" s="17" t="str">
        <x:v>COURT-SEALED UNTIL COHORT RELEASE</x:v>
      </x:c>
      <x:c r="M1328" s="9" t="n">
        <x:v>0</x:v>
      </x:c>
      <x:c r="N1328" s="9" t="n">
        <x:v>0</x:v>
      </x:c>
      <x:c r="O1328" s="9" t="n">
        <x:v>0</x:v>
      </x:c>
      <x:c r="P1328" s="9" t="str">
        <x:v>HELD / UNRELEASED</x:v>
      </x:c>
      <x:c r="Q1328" s="9" t="n">
        <x:f>COUNTIFS($A$7:$A$2310,A1328)</x:f>
        <x:v>1</x:v>
      </x:c>
    </x:row>
    <x:row r="1329">
      <x:c r="A1329" s="9" t="str">
        <x:v>PD-AR-LF-B-A-TECH-2-B2-RCN-G0-PD11</x:v>
      </x:c>
      <x:c r="B1329" s="9" t="str">
        <x:v>PD-AR-LF-B-A-TECH-2-B2-RCN-G0</x:v>
      </x:c>
      <x:c r="C1329" s="9" t="str">
        <x:v>EV-AR-LF-B-A-TECH-2-B2-RCN-G0</x:v>
      </x:c>
      <x:c r="D1329" s="9" t="str">
        <x:v>AR-LF-B-A-TECH-2-B2-RCN-G0</x:v>
      </x:c>
      <x:c r="E1329" s="9" t="str">
        <x:v>LF-B-A-TECH-2</x:v>
      </x:c>
      <x:c r="F1329" s="9" t="str">
        <x:v>LF-B-A</x:v>
      </x:c>
      <x:c r="G1329" s="9" t="str">
        <x:v>B2</x:v>
      </x:c>
      <x:c r="H1329" s="9" t="str">
        <x:v>RCN</x:v>
      </x:c>
      <x:c r="I1329" s="9" t="str">
        <x:v>PD11</x:v>
      </x:c>
      <x:c r="J1329" s="17" t="str">
        <x:v>Invalidity petition and opinion</x:v>
      </x:c>
      <x:c r="K1329" s="17" t="str">
        <x:v>Invalidity court</x:v>
      </x:c>
      <x:c r="L1329" s="17" t="str">
        <x:v>COURT-SEALED UNTIL COHORT RELEASE</x:v>
      </x:c>
      <x:c r="M1329" s="9" t="n">
        <x:v>0</x:v>
      </x:c>
      <x:c r="N1329" s="9" t="n">
        <x:v>0</x:v>
      </x:c>
      <x:c r="O1329" s="9" t="n">
        <x:v>0</x:v>
      </x:c>
      <x:c r="P1329" s="9" t="str">
        <x:v>HELD / UNRELEASED</x:v>
      </x:c>
      <x:c r="Q1329" s="9" t="n">
        <x:f>COUNTIFS($A$7:$A$2310,A1329)</x:f>
        <x:v>1</x:v>
      </x:c>
    </x:row>
    <x:row r="1330">
      <x:c r="A1330" s="9" t="str">
        <x:v>PD-AR-LF-B-A-TECH-2-B2-RCN-G0-PD12</x:v>
      </x:c>
      <x:c r="B1330" s="9" t="str">
        <x:v>PD-AR-LF-B-A-TECH-2-B2-RCN-G0</x:v>
      </x:c>
      <x:c r="C1330" s="9" t="str">
        <x:v>EV-AR-LF-B-A-TECH-2-B2-RCN-G0</x:v>
      </x:c>
      <x:c r="D1330" s="9" t="str">
        <x:v>AR-LF-B-A-TECH-2-B2-RCN-G0</x:v>
      </x:c>
      <x:c r="E1330" s="9" t="str">
        <x:v>LF-B-A-TECH-2</x:v>
      </x:c>
      <x:c r="F1330" s="9" t="str">
        <x:v>LF-B-A</x:v>
      </x:c>
      <x:c r="G1330" s="9" t="str">
        <x:v>B2</x:v>
      </x:c>
      <x:c r="H1330" s="9" t="str">
        <x:v>RCN</x:v>
      </x:c>
      <x:c r="I1330" s="9" t="str">
        <x:v>PD12</x:v>
      </x:c>
      <x:c r="J1330" s="17" t="str">
        <x:v>Observation acceptance and replay</x:v>
      </x:c>
      <x:c r="K1330" s="17" t="str">
        <x:v>Observation court</x:v>
      </x:c>
      <x:c r="L1330" s="17" t="str">
        <x:v>COURT-SEALED UNTIL COHORT RELEASE</x:v>
      </x:c>
      <x:c r="M1330" s="9" t="n">
        <x:v>0</x:v>
      </x:c>
      <x:c r="N1330" s="9" t="n">
        <x:v>0</x:v>
      </x:c>
      <x:c r="O1330" s="9" t="n">
        <x:v>0</x:v>
      </x:c>
      <x:c r="P1330" s="9" t="str">
        <x:v>HELD / UNRELEASED</x:v>
      </x:c>
      <x:c r="Q1330" s="9" t="n">
        <x:f>COUNTIFS($A$7:$A$2310,A1330)</x:f>
        <x:v>1</x:v>
      </x:c>
    </x:row>
    <x:row r="1331">
      <x:c r="A1331" s="9" t="str">
        <x:v>PD-AR-LF-B-A-TECH-2-B2-RCN-G0-PD13</x:v>
      </x:c>
      <x:c r="B1331" s="9" t="str">
        <x:v>PD-AR-LF-B-A-TECH-2-B2-RCN-G0</x:v>
      </x:c>
      <x:c r="C1331" s="9" t="str">
        <x:v>EV-AR-LF-B-A-TECH-2-B2-RCN-G0</x:v>
      </x:c>
      <x:c r="D1331" s="9" t="str">
        <x:v>AR-LF-B-A-TECH-2-B2-RCN-G0</x:v>
      </x:c>
      <x:c r="E1331" s="9" t="str">
        <x:v>LF-B-A-TECH-2</x:v>
      </x:c>
      <x:c r="F1331" s="9" t="str">
        <x:v>LF-B-A</x:v>
      </x:c>
      <x:c r="G1331" s="9" t="str">
        <x:v>B2</x:v>
      </x:c>
      <x:c r="H1331" s="9" t="str">
        <x:v>RCN</x:v>
      </x:c>
      <x:c r="I1331" s="9" t="str">
        <x:v>PD13</x:v>
      </x:c>
      <x:c r="J1331" s="17" t="str">
        <x:v>Role judgment</x:v>
      </x:c>
      <x:c r="K1331" s="17" t="str">
        <x:v>Role court</x:v>
      </x:c>
      <x:c r="L1331" s="17" t="str">
        <x:v>COURT-SEALED UNTIL COHORT RELEASE</x:v>
      </x:c>
      <x:c r="M1331" s="9" t="n">
        <x:v>0</x:v>
      </x:c>
      <x:c r="N1331" s="9" t="n">
        <x:v>0</x:v>
      </x:c>
      <x:c r="O1331" s="9" t="n">
        <x:v>0</x:v>
      </x:c>
      <x:c r="P1331" s="9" t="str">
        <x:v>HELD / UNRELEASED</x:v>
      </x:c>
      <x:c r="Q1331" s="9" t="n">
        <x:f>COUNTIFS($A$7:$A$2310,A1331)</x:f>
        <x:v>1</x:v>
      </x:c>
    </x:row>
    <x:row r="1332">
      <x:c r="A1332" s="9" t="str">
        <x:v>PD-AR-LF-B-A-TECH-2-B2-RCN-G0-PD14</x:v>
      </x:c>
      <x:c r="B1332" s="9" t="str">
        <x:v>PD-AR-LF-B-A-TECH-2-B2-RCN-G0</x:v>
      </x:c>
      <x:c r="C1332" s="9" t="str">
        <x:v>EV-AR-LF-B-A-TECH-2-B2-RCN-G0</x:v>
      </x:c>
      <x:c r="D1332" s="9" t="str">
        <x:v>AR-LF-B-A-TECH-2-B2-RCN-G0</x:v>
      </x:c>
      <x:c r="E1332" s="9" t="str">
        <x:v>LF-B-A-TECH-2</x:v>
      </x:c>
      <x:c r="F1332" s="9" t="str">
        <x:v>LF-B-A</x:v>
      </x:c>
      <x:c r="G1332" s="9" t="str">
        <x:v>B2</x:v>
      </x:c>
      <x:c r="H1332" s="9" t="str">
        <x:v>RCN</x:v>
      </x:c>
      <x:c r="I1332" s="9" t="str">
        <x:v>PD14</x:v>
      </x:c>
      <x:c r="J1332" s="17" t="str">
        <x:v>Break and residual account</x:v>
      </x:c>
      <x:c r="K1332" s="17" t="str">
        <x:v>Residual authority</x:v>
      </x:c>
      <x:c r="L1332" s="17" t="str">
        <x:v>COURT-SEALED UNTIL COHORT RELEASE</x:v>
      </x:c>
      <x:c r="M1332" s="9" t="n">
        <x:v>0</x:v>
      </x:c>
      <x:c r="N1332" s="9" t="n">
        <x:v>0</x:v>
      </x:c>
      <x:c r="O1332" s="9" t="n">
        <x:v>0</x:v>
      </x:c>
      <x:c r="P1332" s="9" t="str">
        <x:v>HELD / UNRELEASED</x:v>
      </x:c>
      <x:c r="Q1332" s="9" t="n">
        <x:f>COUNTIFS($A$7:$A$2310,A1332)</x:f>
        <x:v>1</x:v>
      </x:c>
    </x:row>
    <x:row r="1333">
      <x:c r="A1333" s="9" t="str">
        <x:v>PD-AR-LF-B-A-TECH-2-B2-RCN-G0-PD15</x:v>
      </x:c>
      <x:c r="B1333" s="9" t="str">
        <x:v>PD-AR-LF-B-A-TECH-2-B2-RCN-G0</x:v>
      </x:c>
      <x:c r="C1333" s="9" t="str">
        <x:v>EV-AR-LF-B-A-TECH-2-B2-RCN-G0</x:v>
      </x:c>
      <x:c r="D1333" s="9" t="str">
        <x:v>AR-LF-B-A-TECH-2-B2-RCN-G0</x:v>
      </x:c>
      <x:c r="E1333" s="9" t="str">
        <x:v>LF-B-A-TECH-2</x:v>
      </x:c>
      <x:c r="F1333" s="9" t="str">
        <x:v>LF-B-A</x:v>
      </x:c>
      <x:c r="G1333" s="9" t="str">
        <x:v>B2</x:v>
      </x:c>
      <x:c r="H1333" s="9" t="str">
        <x:v>RCN</x:v>
      </x:c>
      <x:c r="I1333" s="9" t="str">
        <x:v>PD15</x:v>
      </x:c>
      <x:c r="J1333" s="17" t="str">
        <x:v>Reconstruction ancestry and replay</x:v>
      </x:c>
      <x:c r="K1333" s="17" t="str">
        <x:v>Reconstruction court</x:v>
      </x:c>
      <x:c r="L1333" s="17" t="str">
        <x:v>COURT-SEALED UNTIL COHORT RELEASE</x:v>
      </x:c>
      <x:c r="M1333" s="9" t="n">
        <x:v>0</x:v>
      </x:c>
      <x:c r="N1333" s="9" t="n">
        <x:v>0</x:v>
      </x:c>
      <x:c r="O1333" s="9" t="n">
        <x:v>0</x:v>
      </x:c>
      <x:c r="P1333" s="9" t="str">
        <x:v>HELD / UNRELEASED</x:v>
      </x:c>
      <x:c r="Q1333" s="9" t="n">
        <x:f>COUNTIFS($A$7:$A$2310,A1333)</x:f>
        <x:v>1</x:v>
      </x:c>
    </x:row>
    <x:row r="1334">
      <x:c r="A1334" s="9" t="str">
        <x:v>PD-AR-LF-B-A-TECH-2-B2-RCN-G0-PD16</x:v>
      </x:c>
      <x:c r="B1334" s="9" t="str">
        <x:v>PD-AR-LF-B-A-TECH-2-B2-RCN-G0</x:v>
      </x:c>
      <x:c r="C1334" s="9" t="str">
        <x:v>EV-AR-LF-B-A-TECH-2-B2-RCN-G0</x:v>
      </x:c>
      <x:c r="D1334" s="9" t="str">
        <x:v>AR-LF-B-A-TECH-2-B2-RCN-G0</x:v>
      </x:c>
      <x:c r="E1334" s="9" t="str">
        <x:v>LF-B-A-TECH-2</x:v>
      </x:c>
      <x:c r="F1334" s="9" t="str">
        <x:v>LF-B-A</x:v>
      </x:c>
      <x:c r="G1334" s="9" t="str">
        <x:v>B2</x:v>
      </x:c>
      <x:c r="H1334" s="9" t="str">
        <x:v>RCN</x:v>
      </x:c>
      <x:c r="I1334" s="9" t="str">
        <x:v>PD16</x:v>
      </x:c>
      <x:c r="J1334" s="17" t="str">
        <x:v>Dissent, amendments and access log</x:v>
      </x:c>
      <x:c r="K1334" s="17" t="str">
        <x:v>Public archive</x:v>
      </x:c>
      <x:c r="L1334" s="17" t="str">
        <x:v>COURT-SEALED UNTIL COHORT RELEASE</x:v>
      </x:c>
      <x:c r="M1334" s="9" t="n">
        <x:v>0</x:v>
      </x:c>
      <x:c r="N1334" s="9" t="n">
        <x:v>0</x:v>
      </x:c>
      <x:c r="O1334" s="9" t="n">
        <x:v>0</x:v>
      </x:c>
      <x:c r="P1334" s="9" t="str">
        <x:v>HELD / UNRELEASED</x:v>
      </x:c>
      <x:c r="Q1334" s="9" t="n">
        <x:f>COUNTIFS($A$7:$A$2310,A1334)</x:f>
        <x:v>1</x:v>
      </x:c>
    </x:row>
    <x:row r="1335">
      <x:c r="A1335" s="9" t="str">
        <x:v>PD-AR-RT-B-C-TECH-3-B1-BRK-G0-PD01</x:v>
      </x:c>
      <x:c r="B1335" s="9" t="str">
        <x:v>PD-AR-RT-B-C-TECH-3-B1-BRK-G0</x:v>
      </x:c>
      <x:c r="C1335" s="9" t="str">
        <x:v>EV-AR-RT-B-C-TECH-3-B1-BRK-G0</x:v>
      </x:c>
      <x:c r="D1335" s="9" t="str">
        <x:v>AR-RT-B-C-TECH-3-B1-BRK-G0</x:v>
      </x:c>
      <x:c r="E1335" s="9" t="str">
        <x:v>RT-B-C-TECH-3</x:v>
      </x:c>
      <x:c r="F1335" s="9" t="str">
        <x:v>RT-B-C</x:v>
      </x:c>
      <x:c r="G1335" s="9" t="str">
        <x:v>B1</x:v>
      </x:c>
      <x:c r="H1335" s="9" t="str">
        <x:v>BRK</x:v>
      </x:c>
      <x:c r="I1335" s="9" t="str">
        <x:v>PD01</x:v>
      </x:c>
      <x:c r="J1335" s="17" t="str">
        <x:v>Experiment kernel</x:v>
      </x:c>
      <x:c r="K1335" s="17" t="str">
        <x:v>Public archive</x:v>
      </x:c>
      <x:c r="L1335" s="17" t="str">
        <x:v>COURT-SEALED UNTIL COHORT RELEASE</x:v>
      </x:c>
      <x:c r="M1335" s="9" t="n">
        <x:v>0</x:v>
      </x:c>
      <x:c r="N1335" s="9" t="n">
        <x:v>0</x:v>
      </x:c>
      <x:c r="O1335" s="9" t="n">
        <x:v>0</x:v>
      </x:c>
      <x:c r="P1335" s="9" t="str">
        <x:v>HELD / UNRELEASED</x:v>
      </x:c>
      <x:c r="Q1335" s="9" t="n">
        <x:f>COUNTIFS($A$7:$A$2310,A1335)</x:f>
        <x:v>1</x:v>
      </x:c>
    </x:row>
    <x:row r="1336">
      <x:c r="A1336" s="9" t="str">
        <x:v>PD-AR-RT-B-C-TECH-3-B1-BRK-G0-PD02</x:v>
      </x:c>
      <x:c r="B1336" s="9" t="str">
        <x:v>PD-AR-RT-B-C-TECH-3-B1-BRK-G0</x:v>
      </x:c>
      <x:c r="C1336" s="9" t="str">
        <x:v>EV-AR-RT-B-C-TECH-3-B1-BRK-G0</x:v>
      </x:c>
      <x:c r="D1336" s="9" t="str">
        <x:v>AR-RT-B-C-TECH-3-B1-BRK-G0</x:v>
      </x:c>
      <x:c r="E1336" s="9" t="str">
        <x:v>RT-B-C-TECH-3</x:v>
      </x:c>
      <x:c r="F1336" s="9" t="str">
        <x:v>RT-B-C</x:v>
      </x:c>
      <x:c r="G1336" s="9" t="str">
        <x:v>B1</x:v>
      </x:c>
      <x:c r="H1336" s="9" t="str">
        <x:v>BRK</x:v>
      </x:c>
      <x:c r="I1336" s="9" t="str">
        <x:v>PD02</x:v>
      </x:c>
      <x:c r="J1336" s="17" t="str">
        <x:v>Serial annex and title chain</x:v>
      </x:c>
      <x:c r="K1336" s="17" t="str">
        <x:v>Public archive</x:v>
      </x:c>
      <x:c r="L1336" s="17" t="str">
        <x:v>COURT-SEALED UNTIL COHORT RELEASE</x:v>
      </x:c>
      <x:c r="M1336" s="9" t="n">
        <x:v>0</x:v>
      </x:c>
      <x:c r="N1336" s="9" t="n">
        <x:v>0</x:v>
      </x:c>
      <x:c r="O1336" s="9" t="n">
        <x:v>0</x:v>
      </x:c>
      <x:c r="P1336" s="9" t="str">
        <x:v>HELD / UNRELEASED</x:v>
      </x:c>
      <x:c r="Q1336" s="9" t="n">
        <x:f>COUNTIFS($A$7:$A$2310,A1336)</x:f>
        <x:v>1</x:v>
      </x:c>
    </x:row>
    <x:row r="1337">
      <x:c r="A1337" s="9" t="str">
        <x:v>PD-AR-RT-B-C-TECH-3-B1-BRK-G0-PD03</x:v>
      </x:c>
      <x:c r="B1337" s="9" t="str">
        <x:v>PD-AR-RT-B-C-TECH-3-B1-BRK-G0</x:v>
      </x:c>
      <x:c r="C1337" s="9" t="str">
        <x:v>EV-AR-RT-B-C-TECH-3-B1-BRK-G0</x:v>
      </x:c>
      <x:c r="D1337" s="9" t="str">
        <x:v>AR-RT-B-C-TECH-3-B1-BRK-G0</x:v>
      </x:c>
      <x:c r="E1337" s="9" t="str">
        <x:v>RT-B-C-TECH-3</x:v>
      </x:c>
      <x:c r="F1337" s="9" t="str">
        <x:v>RT-B-C</x:v>
      </x:c>
      <x:c r="G1337" s="9" t="str">
        <x:v>B1</x:v>
      </x:c>
      <x:c r="H1337" s="9" t="str">
        <x:v>BRK</x:v>
      </x:c>
      <x:c r="I1337" s="9" t="str">
        <x:v>PD03</x:v>
      </x:c>
      <x:c r="J1337" s="17" t="str">
        <x:v>Configuration and as-built manifest</x:v>
      </x:c>
      <x:c r="K1337" s="17" t="str">
        <x:v>Artifact exchange</x:v>
      </x:c>
      <x:c r="L1337" s="17" t="str">
        <x:v>COURT-SEALED UNTIL COHORT RELEASE</x:v>
      </x:c>
      <x:c r="M1337" s="9" t="n">
        <x:v>0</x:v>
      </x:c>
      <x:c r="N1337" s="9" t="n">
        <x:v>0</x:v>
      </x:c>
      <x:c r="O1337" s="9" t="n">
        <x:v>0</x:v>
      </x:c>
      <x:c r="P1337" s="9" t="str">
        <x:v>HELD / UNRELEASED</x:v>
      </x:c>
      <x:c r="Q1337" s="9" t="n">
        <x:f>COUNTIFS($A$7:$A$2310,A1337)</x:f>
        <x:v>1</x:v>
      </x:c>
    </x:row>
    <x:row r="1338">
      <x:c r="A1338" s="9" t="str">
        <x:v>PD-AR-RT-B-C-TECH-3-B1-BRK-G0-PD04</x:v>
      </x:c>
      <x:c r="B1338" s="9" t="str">
        <x:v>PD-AR-RT-B-C-TECH-3-B1-BRK-G0</x:v>
      </x:c>
      <x:c r="C1338" s="9" t="str">
        <x:v>EV-AR-RT-B-C-TECH-3-B1-BRK-G0</x:v>
      </x:c>
      <x:c r="D1338" s="9" t="str">
        <x:v>AR-RT-B-C-TECH-3-B1-BRK-G0</x:v>
      </x:c>
      <x:c r="E1338" s="9" t="str">
        <x:v>RT-B-C-TECH-3</x:v>
      </x:c>
      <x:c r="F1338" s="9" t="str">
        <x:v>RT-B-C</x:v>
      </x:c>
      <x:c r="G1338" s="9" t="str">
        <x:v>B1</x:v>
      </x:c>
      <x:c r="H1338" s="9" t="str">
        <x:v>BRK</x:v>
      </x:c>
      <x:c r="I1338" s="9" t="str">
        <x:v>PD04</x:v>
      </x:c>
      <x:c r="J1338" s="17" t="str">
        <x:v>EOW and start certificate</x:v>
      </x:c>
      <x:c r="K1338" s="17" t="str">
        <x:v>Start registrar</x:v>
      </x:c>
      <x:c r="L1338" s="17" t="str">
        <x:v>COURT-SEALED UNTIL COHORT RELEASE</x:v>
      </x:c>
      <x:c r="M1338" s="9" t="n">
        <x:v>0</x:v>
      </x:c>
      <x:c r="N1338" s="9" t="n">
        <x:v>0</x:v>
      </x:c>
      <x:c r="O1338" s="9" t="n">
        <x:v>0</x:v>
      </x:c>
      <x:c r="P1338" s="9" t="str">
        <x:v>HELD / UNRELEASED</x:v>
      </x:c>
      <x:c r="Q1338" s="9" t="n">
        <x:f>COUNTIFS($A$7:$A$2310,A1338)</x:f>
        <x:v>1</x:v>
      </x:c>
    </x:row>
    <x:row r="1339">
      <x:c r="A1339" s="9" t="str">
        <x:v>PD-AR-RT-B-C-TECH-3-B1-BRK-G0-PD05</x:v>
      </x:c>
      <x:c r="B1339" s="9" t="str">
        <x:v>PD-AR-RT-B-C-TECH-3-B1-BRK-G0</x:v>
      </x:c>
      <x:c r="C1339" s="9" t="str">
        <x:v>EV-AR-RT-B-C-TECH-3-B1-BRK-G0</x:v>
      </x:c>
      <x:c r="D1339" s="9" t="str">
        <x:v>AR-RT-B-C-TECH-3-B1-BRK-G0</x:v>
      </x:c>
      <x:c r="E1339" s="9" t="str">
        <x:v>RT-B-C-TECH-3</x:v>
      </x:c>
      <x:c r="F1339" s="9" t="str">
        <x:v>RT-B-C</x:v>
      </x:c>
      <x:c r="G1339" s="9" t="str">
        <x:v>B1</x:v>
      </x:c>
      <x:c r="H1339" s="9" t="str">
        <x:v>BRK</x:v>
      </x:c>
      <x:c r="I1339" s="9" t="str">
        <x:v>PD05</x:v>
      </x:c>
      <x:c r="J1339" s="17" t="str">
        <x:v>Primary raw originals</x:v>
      </x:c>
      <x:c r="K1339" s="17" t="str">
        <x:v>Primary custody</x:v>
      </x:c>
      <x:c r="L1339" s="17" t="str">
        <x:v>COURT-SEALED UNTIL COHORT RELEASE</x:v>
      </x:c>
      <x:c r="M1339" s="9" t="n">
        <x:v>0</x:v>
      </x:c>
      <x:c r="N1339" s="9" t="n">
        <x:v>0</x:v>
      </x:c>
      <x:c r="O1339" s="9" t="n">
        <x:v>0</x:v>
      </x:c>
      <x:c r="P1339" s="9" t="str">
        <x:v>HELD / UNRELEASED</x:v>
      </x:c>
      <x:c r="Q1339" s="9" t="n">
        <x:f>COUNTIFS($A$7:$A$2310,A1339)</x:f>
        <x:v>1</x:v>
      </x:c>
    </x:row>
    <x:row r="1340">
      <x:c r="A1340" s="9" t="str">
        <x:v>PD-AR-RT-B-C-TECH-3-B1-BRK-G0-PD06</x:v>
      </x:c>
      <x:c r="B1340" s="9" t="str">
        <x:v>PD-AR-RT-B-C-TECH-3-B1-BRK-G0</x:v>
      </x:c>
      <x:c r="C1340" s="9" t="str">
        <x:v>EV-AR-RT-B-C-TECH-3-B1-BRK-G0</x:v>
      </x:c>
      <x:c r="D1340" s="9" t="str">
        <x:v>AR-RT-B-C-TECH-3-B1-BRK-G0</x:v>
      </x:c>
      <x:c r="E1340" s="9" t="str">
        <x:v>RT-B-C-TECH-3</x:v>
      </x:c>
      <x:c r="F1340" s="9" t="str">
        <x:v>RT-B-C</x:v>
      </x:c>
      <x:c r="G1340" s="9" t="str">
        <x:v>B1</x:v>
      </x:c>
      <x:c r="H1340" s="9" t="str">
        <x:v>BRK</x:v>
      </x:c>
      <x:c r="I1340" s="9" t="str">
        <x:v>PD06</x:v>
      </x:c>
      <x:c r="J1340" s="17" t="str">
        <x:v>Witness raw originals</x:v>
      </x:c>
      <x:c r="K1340" s="17" t="str">
        <x:v>Witness custody</x:v>
      </x:c>
      <x:c r="L1340" s="17" t="str">
        <x:v>COURT-SEALED UNTIL COHORT RELEASE</x:v>
      </x:c>
      <x:c r="M1340" s="9" t="n">
        <x:v>0</x:v>
      </x:c>
      <x:c r="N1340" s="9" t="n">
        <x:v>0</x:v>
      </x:c>
      <x:c r="O1340" s="9" t="n">
        <x:v>0</x:v>
      </x:c>
      <x:c r="P1340" s="9" t="str">
        <x:v>HELD / UNRELEASED</x:v>
      </x:c>
      <x:c r="Q1340" s="9" t="n">
        <x:f>COUNTIFS($A$7:$A$2310,A1340)</x:f>
        <x:v>1</x:v>
      </x:c>
    </x:row>
    <x:row r="1341">
      <x:c r="A1341" s="9" t="str">
        <x:v>PD-AR-RT-B-C-TECH-3-B1-BRK-G0-PD07</x:v>
      </x:c>
      <x:c r="B1341" s="9" t="str">
        <x:v>PD-AR-RT-B-C-TECH-3-B1-BRK-G0</x:v>
      </x:c>
      <x:c r="C1341" s="9" t="str">
        <x:v>EV-AR-RT-B-C-TECH-3-B1-BRK-G0</x:v>
      </x:c>
      <x:c r="D1341" s="9" t="str">
        <x:v>AR-RT-B-C-TECH-3-B1-BRK-G0</x:v>
      </x:c>
      <x:c r="E1341" s="9" t="str">
        <x:v>RT-B-C-TECH-3</x:v>
      </x:c>
      <x:c r="F1341" s="9" t="str">
        <x:v>RT-B-C</x:v>
      </x:c>
      <x:c r="G1341" s="9" t="str">
        <x:v>B1</x:v>
      </x:c>
      <x:c r="H1341" s="9" t="str">
        <x:v>BRK</x:v>
      </x:c>
      <x:c r="I1341" s="9" t="str">
        <x:v>PD07</x:v>
      </x:c>
      <x:c r="J1341" s="17" t="str">
        <x:v>Clock and environmental records</x:v>
      </x:c>
      <x:c r="K1341" s="17" t="str">
        <x:v>Boundary archive</x:v>
      </x:c>
      <x:c r="L1341" s="17" t="str">
        <x:v>COURT-SEALED UNTIL COHORT RELEASE</x:v>
      </x:c>
      <x:c r="M1341" s="9" t="n">
        <x:v>0</x:v>
      </x:c>
      <x:c r="N1341" s="9" t="n">
        <x:v>0</x:v>
      </x:c>
      <x:c r="O1341" s="9" t="n">
        <x:v>0</x:v>
      </x:c>
      <x:c r="P1341" s="9" t="str">
        <x:v>HELD / UNRELEASED</x:v>
      </x:c>
      <x:c r="Q1341" s="9" t="n">
        <x:f>COUNTIFS($A$7:$A$2310,A1341)</x:f>
        <x:v>1</x:v>
      </x:c>
    </x:row>
    <x:row r="1342">
      <x:c r="A1342" s="9" t="str">
        <x:v>PD-AR-RT-B-C-TECH-3-B1-BRK-G0-PD08</x:v>
      </x:c>
      <x:c r="B1342" s="9" t="str">
        <x:v>PD-AR-RT-B-C-TECH-3-B1-BRK-G0</x:v>
      </x:c>
      <x:c r="C1342" s="9" t="str">
        <x:v>EV-AR-RT-B-C-TECH-3-B1-BRK-G0</x:v>
      </x:c>
      <x:c r="D1342" s="9" t="str">
        <x:v>AR-RT-B-C-TECH-3-B1-BRK-G0</x:v>
      </x:c>
      <x:c r="E1342" s="9" t="str">
        <x:v>RT-B-C-TECH-3</x:v>
      </x:c>
      <x:c r="F1342" s="9" t="str">
        <x:v>RT-B-C</x:v>
      </x:c>
      <x:c r="G1342" s="9" t="str">
        <x:v>B1</x:v>
      </x:c>
      <x:c r="H1342" s="9" t="str">
        <x:v>BRK</x:v>
      </x:c>
      <x:c r="I1342" s="9" t="str">
        <x:v>PD08</x:v>
      </x:c>
      <x:c r="J1342" s="17" t="str">
        <x:v>Command and intervention log</x:v>
      </x:c>
      <x:c r="K1342" s="17" t="str">
        <x:v>Safety archive</x:v>
      </x:c>
      <x:c r="L1342" s="17" t="str">
        <x:v>COURT-SEALED UNTIL COHORT RELEASE</x:v>
      </x:c>
      <x:c r="M1342" s="9" t="n">
        <x:v>0</x:v>
      </x:c>
      <x:c r="N1342" s="9" t="n">
        <x:v>0</x:v>
      </x:c>
      <x:c r="O1342" s="9" t="n">
        <x:v>0</x:v>
      </x:c>
      <x:c r="P1342" s="9" t="str">
        <x:v>HELD / UNRELEASED</x:v>
      </x:c>
      <x:c r="Q1342" s="9" t="n">
        <x:f>COUNTIFS($A$7:$A$2310,A1342)</x:f>
        <x:v>1</x:v>
      </x:c>
    </x:row>
    <x:row r="1343">
      <x:c r="A1343" s="9" t="str">
        <x:v>PD-AR-RT-B-C-TECH-3-B1-BRK-G0-PD09</x:v>
      </x:c>
      <x:c r="B1343" s="9" t="str">
        <x:v>PD-AR-RT-B-C-TECH-3-B1-BRK-G0</x:v>
      </x:c>
      <x:c r="C1343" s="9" t="str">
        <x:v>EV-AR-RT-B-C-TECH-3-B1-BRK-G0</x:v>
      </x:c>
      <x:c r="D1343" s="9" t="str">
        <x:v>AR-RT-B-C-TECH-3-B1-BRK-G0</x:v>
      </x:c>
      <x:c r="E1343" s="9" t="str">
        <x:v>RT-B-C-TECH-3</x:v>
      </x:c>
      <x:c r="F1343" s="9" t="str">
        <x:v>RT-B-C</x:v>
      </x:c>
      <x:c r="G1343" s="9" t="str">
        <x:v>B1</x:v>
      </x:c>
      <x:c r="H1343" s="9" t="str">
        <x:v>BRK</x:v>
      </x:c>
      <x:c r="I1343" s="9" t="str">
        <x:v>PD09</x:v>
      </x:c>
      <x:c r="J1343" s="17" t="str">
        <x:v>Receiver denominator and service ledger</x:v>
      </x:c>
      <x:c r="K1343" s="17" t="str">
        <x:v>Receiver archive</x:v>
      </x:c>
      <x:c r="L1343" s="17" t="str">
        <x:v>COURT-SEALED UNTIL COHORT RELEASE</x:v>
      </x:c>
      <x:c r="M1343" s="9" t="n">
        <x:v>0</x:v>
      </x:c>
      <x:c r="N1343" s="9" t="n">
        <x:v>0</x:v>
      </x:c>
      <x:c r="O1343" s="9" t="n">
        <x:v>0</x:v>
      </x:c>
      <x:c r="P1343" s="9" t="str">
        <x:v>HELD / UNRELEASED</x:v>
      </x:c>
      <x:c r="Q1343" s="9" t="n">
        <x:f>COUNTIFS($A$7:$A$2310,A1343)</x:f>
        <x:v>1</x:v>
      </x:c>
    </x:row>
    <x:row r="1344">
      <x:c r="A1344" s="9" t="str">
        <x:v>PD-AR-RT-B-C-TECH-3-B1-BRK-G0-PD10</x:v>
      </x:c>
      <x:c r="B1344" s="9" t="str">
        <x:v>PD-AR-RT-B-C-TECH-3-B1-BRK-G0</x:v>
      </x:c>
      <x:c r="C1344" s="9" t="str">
        <x:v>EV-AR-RT-B-C-TECH-3-B1-BRK-G0</x:v>
      </x:c>
      <x:c r="D1344" s="9" t="str">
        <x:v>AR-RT-B-C-TECH-3-B1-BRK-G0</x:v>
      </x:c>
      <x:c r="E1344" s="9" t="str">
        <x:v>RT-B-C-TECH-3</x:v>
      </x:c>
      <x:c r="F1344" s="9" t="str">
        <x:v>RT-B-C</x:v>
      </x:c>
      <x:c r="G1344" s="9" t="str">
        <x:v>B1</x:v>
      </x:c>
      <x:c r="H1344" s="9" t="str">
        <x:v>BRK</x:v>
      </x:c>
      <x:c r="I1344" s="9" t="str">
        <x:v>PD10</x:v>
      </x:c>
      <x:c r="J1344" s="17" t="str">
        <x:v>Calibration and uncertainty record</x:v>
      </x:c>
      <x:c r="K1344" s="17" t="str">
        <x:v>Metrology archive</x:v>
      </x:c>
      <x:c r="L1344" s="17" t="str">
        <x:v>COURT-SEALED UNTIL COHORT RELEASE</x:v>
      </x:c>
      <x:c r="M1344" s="9" t="n">
        <x:v>0</x:v>
      </x:c>
      <x:c r="N1344" s="9" t="n">
        <x:v>0</x:v>
      </x:c>
      <x:c r="O1344" s="9" t="n">
        <x:v>0</x:v>
      </x:c>
      <x:c r="P1344" s="9" t="str">
        <x:v>HELD / UNRELEASED</x:v>
      </x:c>
      <x:c r="Q1344" s="9" t="n">
        <x:f>COUNTIFS($A$7:$A$2310,A1344)</x:f>
        <x:v>1</x:v>
      </x:c>
    </x:row>
    <x:row r="1345">
      <x:c r="A1345" s="9" t="str">
        <x:v>PD-AR-RT-B-C-TECH-3-B1-BRK-G0-PD11</x:v>
      </x:c>
      <x:c r="B1345" s="9" t="str">
        <x:v>PD-AR-RT-B-C-TECH-3-B1-BRK-G0</x:v>
      </x:c>
      <x:c r="C1345" s="9" t="str">
        <x:v>EV-AR-RT-B-C-TECH-3-B1-BRK-G0</x:v>
      </x:c>
      <x:c r="D1345" s="9" t="str">
        <x:v>AR-RT-B-C-TECH-3-B1-BRK-G0</x:v>
      </x:c>
      <x:c r="E1345" s="9" t="str">
        <x:v>RT-B-C-TECH-3</x:v>
      </x:c>
      <x:c r="F1345" s="9" t="str">
        <x:v>RT-B-C</x:v>
      </x:c>
      <x:c r="G1345" s="9" t="str">
        <x:v>B1</x:v>
      </x:c>
      <x:c r="H1345" s="9" t="str">
        <x:v>BRK</x:v>
      </x:c>
      <x:c r="I1345" s="9" t="str">
        <x:v>PD11</x:v>
      </x:c>
      <x:c r="J1345" s="17" t="str">
        <x:v>Invalidity petition and opinion</x:v>
      </x:c>
      <x:c r="K1345" s="17" t="str">
        <x:v>Invalidity court</x:v>
      </x:c>
      <x:c r="L1345" s="17" t="str">
        <x:v>COURT-SEALED UNTIL COHORT RELEASE</x:v>
      </x:c>
      <x:c r="M1345" s="9" t="n">
        <x:v>0</x:v>
      </x:c>
      <x:c r="N1345" s="9" t="n">
        <x:v>0</x:v>
      </x:c>
      <x:c r="O1345" s="9" t="n">
        <x:v>0</x:v>
      </x:c>
      <x:c r="P1345" s="9" t="str">
        <x:v>HELD / UNRELEASED</x:v>
      </x:c>
      <x:c r="Q1345" s="9" t="n">
        <x:f>COUNTIFS($A$7:$A$2310,A1345)</x:f>
        <x:v>1</x:v>
      </x:c>
    </x:row>
    <x:row r="1346">
      <x:c r="A1346" s="9" t="str">
        <x:v>PD-AR-RT-B-C-TECH-3-B1-BRK-G0-PD12</x:v>
      </x:c>
      <x:c r="B1346" s="9" t="str">
        <x:v>PD-AR-RT-B-C-TECH-3-B1-BRK-G0</x:v>
      </x:c>
      <x:c r="C1346" s="9" t="str">
        <x:v>EV-AR-RT-B-C-TECH-3-B1-BRK-G0</x:v>
      </x:c>
      <x:c r="D1346" s="9" t="str">
        <x:v>AR-RT-B-C-TECH-3-B1-BRK-G0</x:v>
      </x:c>
      <x:c r="E1346" s="9" t="str">
        <x:v>RT-B-C-TECH-3</x:v>
      </x:c>
      <x:c r="F1346" s="9" t="str">
        <x:v>RT-B-C</x:v>
      </x:c>
      <x:c r="G1346" s="9" t="str">
        <x:v>B1</x:v>
      </x:c>
      <x:c r="H1346" s="9" t="str">
        <x:v>BRK</x:v>
      </x:c>
      <x:c r="I1346" s="9" t="str">
        <x:v>PD12</x:v>
      </x:c>
      <x:c r="J1346" s="17" t="str">
        <x:v>Observation acceptance and replay</x:v>
      </x:c>
      <x:c r="K1346" s="17" t="str">
        <x:v>Observation court</x:v>
      </x:c>
      <x:c r="L1346" s="17" t="str">
        <x:v>COURT-SEALED UNTIL COHORT RELEASE</x:v>
      </x:c>
      <x:c r="M1346" s="9" t="n">
        <x:v>0</x:v>
      </x:c>
      <x:c r="N1346" s="9" t="n">
        <x:v>0</x:v>
      </x:c>
      <x:c r="O1346" s="9" t="n">
        <x:v>0</x:v>
      </x:c>
      <x:c r="P1346" s="9" t="str">
        <x:v>HELD / UNRELEASED</x:v>
      </x:c>
      <x:c r="Q1346" s="9" t="n">
        <x:f>COUNTIFS($A$7:$A$2310,A1346)</x:f>
        <x:v>1</x:v>
      </x:c>
    </x:row>
    <x:row r="1347">
      <x:c r="A1347" s="9" t="str">
        <x:v>PD-AR-RT-B-C-TECH-3-B1-BRK-G0-PD13</x:v>
      </x:c>
      <x:c r="B1347" s="9" t="str">
        <x:v>PD-AR-RT-B-C-TECH-3-B1-BRK-G0</x:v>
      </x:c>
      <x:c r="C1347" s="9" t="str">
        <x:v>EV-AR-RT-B-C-TECH-3-B1-BRK-G0</x:v>
      </x:c>
      <x:c r="D1347" s="9" t="str">
        <x:v>AR-RT-B-C-TECH-3-B1-BRK-G0</x:v>
      </x:c>
      <x:c r="E1347" s="9" t="str">
        <x:v>RT-B-C-TECH-3</x:v>
      </x:c>
      <x:c r="F1347" s="9" t="str">
        <x:v>RT-B-C</x:v>
      </x:c>
      <x:c r="G1347" s="9" t="str">
        <x:v>B1</x:v>
      </x:c>
      <x:c r="H1347" s="9" t="str">
        <x:v>BRK</x:v>
      </x:c>
      <x:c r="I1347" s="9" t="str">
        <x:v>PD13</x:v>
      </x:c>
      <x:c r="J1347" s="17" t="str">
        <x:v>Role judgment</x:v>
      </x:c>
      <x:c r="K1347" s="17" t="str">
        <x:v>Role court</x:v>
      </x:c>
      <x:c r="L1347" s="17" t="str">
        <x:v>COURT-SEALED UNTIL COHORT RELEASE</x:v>
      </x:c>
      <x:c r="M1347" s="9" t="n">
        <x:v>0</x:v>
      </x:c>
      <x:c r="N1347" s="9" t="n">
        <x:v>0</x:v>
      </x:c>
      <x:c r="O1347" s="9" t="n">
        <x:v>0</x:v>
      </x:c>
      <x:c r="P1347" s="9" t="str">
        <x:v>HELD / UNRELEASED</x:v>
      </x:c>
      <x:c r="Q1347" s="9" t="n">
        <x:f>COUNTIFS($A$7:$A$2310,A1347)</x:f>
        <x:v>1</x:v>
      </x:c>
    </x:row>
    <x:row r="1348">
      <x:c r="A1348" s="9" t="str">
        <x:v>PD-AR-RT-B-C-TECH-3-B1-BRK-G0-PD14</x:v>
      </x:c>
      <x:c r="B1348" s="9" t="str">
        <x:v>PD-AR-RT-B-C-TECH-3-B1-BRK-G0</x:v>
      </x:c>
      <x:c r="C1348" s="9" t="str">
        <x:v>EV-AR-RT-B-C-TECH-3-B1-BRK-G0</x:v>
      </x:c>
      <x:c r="D1348" s="9" t="str">
        <x:v>AR-RT-B-C-TECH-3-B1-BRK-G0</x:v>
      </x:c>
      <x:c r="E1348" s="9" t="str">
        <x:v>RT-B-C-TECH-3</x:v>
      </x:c>
      <x:c r="F1348" s="9" t="str">
        <x:v>RT-B-C</x:v>
      </x:c>
      <x:c r="G1348" s="9" t="str">
        <x:v>B1</x:v>
      </x:c>
      <x:c r="H1348" s="9" t="str">
        <x:v>BRK</x:v>
      </x:c>
      <x:c r="I1348" s="9" t="str">
        <x:v>PD14</x:v>
      </x:c>
      <x:c r="J1348" s="17" t="str">
        <x:v>Break and residual account</x:v>
      </x:c>
      <x:c r="K1348" s="17" t="str">
        <x:v>Residual authority</x:v>
      </x:c>
      <x:c r="L1348" s="17" t="str">
        <x:v>COURT-SEALED UNTIL COHORT RELEASE</x:v>
      </x:c>
      <x:c r="M1348" s="9" t="n">
        <x:v>0</x:v>
      </x:c>
      <x:c r="N1348" s="9" t="n">
        <x:v>0</x:v>
      </x:c>
      <x:c r="O1348" s="9" t="n">
        <x:v>0</x:v>
      </x:c>
      <x:c r="P1348" s="9" t="str">
        <x:v>HELD / UNRELEASED</x:v>
      </x:c>
      <x:c r="Q1348" s="9" t="n">
        <x:f>COUNTIFS($A$7:$A$2310,A1348)</x:f>
        <x:v>1</x:v>
      </x:c>
    </x:row>
    <x:row r="1349">
      <x:c r="A1349" s="9" t="str">
        <x:v>PD-AR-RT-B-C-TECH-3-B1-BRK-G0-PD15</x:v>
      </x:c>
      <x:c r="B1349" s="9" t="str">
        <x:v>PD-AR-RT-B-C-TECH-3-B1-BRK-G0</x:v>
      </x:c>
      <x:c r="C1349" s="9" t="str">
        <x:v>EV-AR-RT-B-C-TECH-3-B1-BRK-G0</x:v>
      </x:c>
      <x:c r="D1349" s="9" t="str">
        <x:v>AR-RT-B-C-TECH-3-B1-BRK-G0</x:v>
      </x:c>
      <x:c r="E1349" s="9" t="str">
        <x:v>RT-B-C-TECH-3</x:v>
      </x:c>
      <x:c r="F1349" s="9" t="str">
        <x:v>RT-B-C</x:v>
      </x:c>
      <x:c r="G1349" s="9" t="str">
        <x:v>B1</x:v>
      </x:c>
      <x:c r="H1349" s="9" t="str">
        <x:v>BRK</x:v>
      </x:c>
      <x:c r="I1349" s="9" t="str">
        <x:v>PD15</x:v>
      </x:c>
      <x:c r="J1349" s="17" t="str">
        <x:v>Reconstruction ancestry and replay</x:v>
      </x:c>
      <x:c r="K1349" s="17" t="str">
        <x:v>Reconstruction court</x:v>
      </x:c>
      <x:c r="L1349" s="17" t="str">
        <x:v>COURT-SEALED UNTIL COHORT RELEASE</x:v>
      </x:c>
      <x:c r="M1349" s="9" t="n">
        <x:v>0</x:v>
      </x:c>
      <x:c r="N1349" s="9" t="n">
        <x:v>0</x:v>
      </x:c>
      <x:c r="O1349" s="9" t="n">
        <x:v>0</x:v>
      </x:c>
      <x:c r="P1349" s="9" t="str">
        <x:v>HELD / UNRELEASED</x:v>
      </x:c>
      <x:c r="Q1349" s="9" t="n">
        <x:f>COUNTIFS($A$7:$A$2310,A1349)</x:f>
        <x:v>1</x:v>
      </x:c>
    </x:row>
    <x:row r="1350">
      <x:c r="A1350" s="9" t="str">
        <x:v>PD-AR-RT-B-C-TECH-3-B1-BRK-G0-PD16</x:v>
      </x:c>
      <x:c r="B1350" s="9" t="str">
        <x:v>PD-AR-RT-B-C-TECH-3-B1-BRK-G0</x:v>
      </x:c>
      <x:c r="C1350" s="9" t="str">
        <x:v>EV-AR-RT-B-C-TECH-3-B1-BRK-G0</x:v>
      </x:c>
      <x:c r="D1350" s="9" t="str">
        <x:v>AR-RT-B-C-TECH-3-B1-BRK-G0</x:v>
      </x:c>
      <x:c r="E1350" s="9" t="str">
        <x:v>RT-B-C-TECH-3</x:v>
      </x:c>
      <x:c r="F1350" s="9" t="str">
        <x:v>RT-B-C</x:v>
      </x:c>
      <x:c r="G1350" s="9" t="str">
        <x:v>B1</x:v>
      </x:c>
      <x:c r="H1350" s="9" t="str">
        <x:v>BRK</x:v>
      </x:c>
      <x:c r="I1350" s="9" t="str">
        <x:v>PD16</x:v>
      </x:c>
      <x:c r="J1350" s="17" t="str">
        <x:v>Dissent, amendments and access log</x:v>
      </x:c>
      <x:c r="K1350" s="17" t="str">
        <x:v>Public archive</x:v>
      </x:c>
      <x:c r="L1350" s="17" t="str">
        <x:v>COURT-SEALED UNTIL COHORT RELEASE</x:v>
      </x:c>
      <x:c r="M1350" s="9" t="n">
        <x:v>0</x:v>
      </x:c>
      <x:c r="N1350" s="9" t="n">
        <x:v>0</x:v>
      </x:c>
      <x:c r="O1350" s="9" t="n">
        <x:v>0</x:v>
      </x:c>
      <x:c r="P1350" s="9" t="str">
        <x:v>HELD / UNRELEASED</x:v>
      </x:c>
      <x:c r="Q1350" s="9" t="n">
        <x:f>COUNTIFS($A$7:$A$2310,A1350)</x:f>
        <x:v>1</x:v>
      </x:c>
    </x:row>
    <x:row r="1351">
      <x:c r="A1351" s="9" t="str">
        <x:v>PD-AR-ET-A-A-TECH-3-B2-INT-G0-PD01</x:v>
      </x:c>
      <x:c r="B1351" s="9" t="str">
        <x:v>PD-AR-ET-A-A-TECH-3-B2-INT-G0</x:v>
      </x:c>
      <x:c r="C1351" s="9" t="str">
        <x:v>EV-AR-ET-A-A-TECH-3-B2-INT-G0</x:v>
      </x:c>
      <x:c r="D1351" s="9" t="str">
        <x:v>AR-ET-A-A-TECH-3-B2-INT-G0</x:v>
      </x:c>
      <x:c r="E1351" s="9" t="str">
        <x:v>ET-A-A-TECH-3</x:v>
      </x:c>
      <x:c r="F1351" s="9" t="str">
        <x:v>ET-A-A</x:v>
      </x:c>
      <x:c r="G1351" s="9" t="str">
        <x:v>B2</x:v>
      </x:c>
      <x:c r="H1351" s="9" t="str">
        <x:v>INT</x:v>
      </x:c>
      <x:c r="I1351" s="9" t="str">
        <x:v>PD01</x:v>
      </x:c>
      <x:c r="J1351" s="17" t="str">
        <x:v>Experiment kernel</x:v>
      </x:c>
      <x:c r="K1351" s="17" t="str">
        <x:v>Public archive</x:v>
      </x:c>
      <x:c r="L1351" s="17" t="str">
        <x:v>COURT-SEALED UNTIL COHORT RELEASE</x:v>
      </x:c>
      <x:c r="M1351" s="9" t="n">
        <x:v>0</x:v>
      </x:c>
      <x:c r="N1351" s="9" t="n">
        <x:v>0</x:v>
      </x:c>
      <x:c r="O1351" s="9" t="n">
        <x:v>0</x:v>
      </x:c>
      <x:c r="P1351" s="9" t="str">
        <x:v>HELD / UNRELEASED</x:v>
      </x:c>
      <x:c r="Q1351" s="9" t="n">
        <x:f>COUNTIFS($A$7:$A$2310,A1351)</x:f>
        <x:v>1</x:v>
      </x:c>
    </x:row>
    <x:row r="1352">
      <x:c r="A1352" s="9" t="str">
        <x:v>PD-AR-ET-A-A-TECH-3-B2-INT-G0-PD02</x:v>
      </x:c>
      <x:c r="B1352" s="9" t="str">
        <x:v>PD-AR-ET-A-A-TECH-3-B2-INT-G0</x:v>
      </x:c>
      <x:c r="C1352" s="9" t="str">
        <x:v>EV-AR-ET-A-A-TECH-3-B2-INT-G0</x:v>
      </x:c>
      <x:c r="D1352" s="9" t="str">
        <x:v>AR-ET-A-A-TECH-3-B2-INT-G0</x:v>
      </x:c>
      <x:c r="E1352" s="9" t="str">
        <x:v>ET-A-A-TECH-3</x:v>
      </x:c>
      <x:c r="F1352" s="9" t="str">
        <x:v>ET-A-A</x:v>
      </x:c>
      <x:c r="G1352" s="9" t="str">
        <x:v>B2</x:v>
      </x:c>
      <x:c r="H1352" s="9" t="str">
        <x:v>INT</x:v>
      </x:c>
      <x:c r="I1352" s="9" t="str">
        <x:v>PD02</x:v>
      </x:c>
      <x:c r="J1352" s="17" t="str">
        <x:v>Serial annex and title chain</x:v>
      </x:c>
      <x:c r="K1352" s="17" t="str">
        <x:v>Public archive</x:v>
      </x:c>
      <x:c r="L1352" s="17" t="str">
        <x:v>COURT-SEALED UNTIL COHORT RELEASE</x:v>
      </x:c>
      <x:c r="M1352" s="9" t="n">
        <x:v>0</x:v>
      </x:c>
      <x:c r="N1352" s="9" t="n">
        <x:v>0</x:v>
      </x:c>
      <x:c r="O1352" s="9" t="n">
        <x:v>0</x:v>
      </x:c>
      <x:c r="P1352" s="9" t="str">
        <x:v>HELD / UNRELEASED</x:v>
      </x:c>
      <x:c r="Q1352" s="9" t="n">
        <x:f>COUNTIFS($A$7:$A$2310,A1352)</x:f>
        <x:v>1</x:v>
      </x:c>
    </x:row>
    <x:row r="1353">
      <x:c r="A1353" s="9" t="str">
        <x:v>PD-AR-ET-A-A-TECH-3-B2-INT-G0-PD03</x:v>
      </x:c>
      <x:c r="B1353" s="9" t="str">
        <x:v>PD-AR-ET-A-A-TECH-3-B2-INT-G0</x:v>
      </x:c>
      <x:c r="C1353" s="9" t="str">
        <x:v>EV-AR-ET-A-A-TECH-3-B2-INT-G0</x:v>
      </x:c>
      <x:c r="D1353" s="9" t="str">
        <x:v>AR-ET-A-A-TECH-3-B2-INT-G0</x:v>
      </x:c>
      <x:c r="E1353" s="9" t="str">
        <x:v>ET-A-A-TECH-3</x:v>
      </x:c>
      <x:c r="F1353" s="9" t="str">
        <x:v>ET-A-A</x:v>
      </x:c>
      <x:c r="G1353" s="9" t="str">
        <x:v>B2</x:v>
      </x:c>
      <x:c r="H1353" s="9" t="str">
        <x:v>INT</x:v>
      </x:c>
      <x:c r="I1353" s="9" t="str">
        <x:v>PD03</x:v>
      </x:c>
      <x:c r="J1353" s="17" t="str">
        <x:v>Configuration and as-built manifest</x:v>
      </x:c>
      <x:c r="K1353" s="17" t="str">
        <x:v>Artifact exchange</x:v>
      </x:c>
      <x:c r="L1353" s="17" t="str">
        <x:v>COURT-SEALED UNTIL COHORT RELEASE</x:v>
      </x:c>
      <x:c r="M1353" s="9" t="n">
        <x:v>0</x:v>
      </x:c>
      <x:c r="N1353" s="9" t="n">
        <x:v>0</x:v>
      </x:c>
      <x:c r="O1353" s="9" t="n">
        <x:v>0</x:v>
      </x:c>
      <x:c r="P1353" s="9" t="str">
        <x:v>HELD / UNRELEASED</x:v>
      </x:c>
      <x:c r="Q1353" s="9" t="n">
        <x:f>COUNTIFS($A$7:$A$2310,A1353)</x:f>
        <x:v>1</x:v>
      </x:c>
    </x:row>
    <x:row r="1354">
      <x:c r="A1354" s="9" t="str">
        <x:v>PD-AR-ET-A-A-TECH-3-B2-INT-G0-PD04</x:v>
      </x:c>
      <x:c r="B1354" s="9" t="str">
        <x:v>PD-AR-ET-A-A-TECH-3-B2-INT-G0</x:v>
      </x:c>
      <x:c r="C1354" s="9" t="str">
        <x:v>EV-AR-ET-A-A-TECH-3-B2-INT-G0</x:v>
      </x:c>
      <x:c r="D1354" s="9" t="str">
        <x:v>AR-ET-A-A-TECH-3-B2-INT-G0</x:v>
      </x:c>
      <x:c r="E1354" s="9" t="str">
        <x:v>ET-A-A-TECH-3</x:v>
      </x:c>
      <x:c r="F1354" s="9" t="str">
        <x:v>ET-A-A</x:v>
      </x:c>
      <x:c r="G1354" s="9" t="str">
        <x:v>B2</x:v>
      </x:c>
      <x:c r="H1354" s="9" t="str">
        <x:v>INT</x:v>
      </x:c>
      <x:c r="I1354" s="9" t="str">
        <x:v>PD04</x:v>
      </x:c>
      <x:c r="J1354" s="17" t="str">
        <x:v>EOW and start certificate</x:v>
      </x:c>
      <x:c r="K1354" s="17" t="str">
        <x:v>Start registrar</x:v>
      </x:c>
      <x:c r="L1354" s="17" t="str">
        <x:v>COURT-SEALED UNTIL COHORT RELEASE</x:v>
      </x:c>
      <x:c r="M1354" s="9" t="n">
        <x:v>0</x:v>
      </x:c>
      <x:c r="N1354" s="9" t="n">
        <x:v>0</x:v>
      </x:c>
      <x:c r="O1354" s="9" t="n">
        <x:v>0</x:v>
      </x:c>
      <x:c r="P1354" s="9" t="str">
        <x:v>HELD / UNRELEASED</x:v>
      </x:c>
      <x:c r="Q1354" s="9" t="n">
        <x:f>COUNTIFS($A$7:$A$2310,A1354)</x:f>
        <x:v>1</x:v>
      </x:c>
    </x:row>
    <x:row r="1355">
      <x:c r="A1355" s="9" t="str">
        <x:v>PD-AR-ET-A-A-TECH-3-B2-INT-G0-PD05</x:v>
      </x:c>
      <x:c r="B1355" s="9" t="str">
        <x:v>PD-AR-ET-A-A-TECH-3-B2-INT-G0</x:v>
      </x:c>
      <x:c r="C1355" s="9" t="str">
        <x:v>EV-AR-ET-A-A-TECH-3-B2-INT-G0</x:v>
      </x:c>
      <x:c r="D1355" s="9" t="str">
        <x:v>AR-ET-A-A-TECH-3-B2-INT-G0</x:v>
      </x:c>
      <x:c r="E1355" s="9" t="str">
        <x:v>ET-A-A-TECH-3</x:v>
      </x:c>
      <x:c r="F1355" s="9" t="str">
        <x:v>ET-A-A</x:v>
      </x:c>
      <x:c r="G1355" s="9" t="str">
        <x:v>B2</x:v>
      </x:c>
      <x:c r="H1355" s="9" t="str">
        <x:v>INT</x:v>
      </x:c>
      <x:c r="I1355" s="9" t="str">
        <x:v>PD05</x:v>
      </x:c>
      <x:c r="J1355" s="17" t="str">
        <x:v>Primary raw originals</x:v>
      </x:c>
      <x:c r="K1355" s="17" t="str">
        <x:v>Primary custody</x:v>
      </x:c>
      <x:c r="L1355" s="17" t="str">
        <x:v>COURT-SEALED UNTIL COHORT RELEASE</x:v>
      </x:c>
      <x:c r="M1355" s="9" t="n">
        <x:v>0</x:v>
      </x:c>
      <x:c r="N1355" s="9" t="n">
        <x:v>0</x:v>
      </x:c>
      <x:c r="O1355" s="9" t="n">
        <x:v>0</x:v>
      </x:c>
      <x:c r="P1355" s="9" t="str">
        <x:v>HELD / UNRELEASED</x:v>
      </x:c>
      <x:c r="Q1355" s="9" t="n">
        <x:f>COUNTIFS($A$7:$A$2310,A1355)</x:f>
        <x:v>1</x:v>
      </x:c>
    </x:row>
    <x:row r="1356">
      <x:c r="A1356" s="9" t="str">
        <x:v>PD-AR-ET-A-A-TECH-3-B2-INT-G0-PD06</x:v>
      </x:c>
      <x:c r="B1356" s="9" t="str">
        <x:v>PD-AR-ET-A-A-TECH-3-B2-INT-G0</x:v>
      </x:c>
      <x:c r="C1356" s="9" t="str">
        <x:v>EV-AR-ET-A-A-TECH-3-B2-INT-G0</x:v>
      </x:c>
      <x:c r="D1356" s="9" t="str">
        <x:v>AR-ET-A-A-TECH-3-B2-INT-G0</x:v>
      </x:c>
      <x:c r="E1356" s="9" t="str">
        <x:v>ET-A-A-TECH-3</x:v>
      </x:c>
      <x:c r="F1356" s="9" t="str">
        <x:v>ET-A-A</x:v>
      </x:c>
      <x:c r="G1356" s="9" t="str">
        <x:v>B2</x:v>
      </x:c>
      <x:c r="H1356" s="9" t="str">
        <x:v>INT</x:v>
      </x:c>
      <x:c r="I1356" s="9" t="str">
        <x:v>PD06</x:v>
      </x:c>
      <x:c r="J1356" s="17" t="str">
        <x:v>Witness raw originals</x:v>
      </x:c>
      <x:c r="K1356" s="17" t="str">
        <x:v>Witness custody</x:v>
      </x:c>
      <x:c r="L1356" s="17" t="str">
        <x:v>COURT-SEALED UNTIL COHORT RELEASE</x:v>
      </x:c>
      <x:c r="M1356" s="9" t="n">
        <x:v>0</x:v>
      </x:c>
      <x:c r="N1356" s="9" t="n">
        <x:v>0</x:v>
      </x:c>
      <x:c r="O1356" s="9" t="n">
        <x:v>0</x:v>
      </x:c>
      <x:c r="P1356" s="9" t="str">
        <x:v>HELD / UNRELEASED</x:v>
      </x:c>
      <x:c r="Q1356" s="9" t="n">
        <x:f>COUNTIFS($A$7:$A$2310,A1356)</x:f>
        <x:v>1</x:v>
      </x:c>
    </x:row>
    <x:row r="1357">
      <x:c r="A1357" s="9" t="str">
        <x:v>PD-AR-ET-A-A-TECH-3-B2-INT-G0-PD07</x:v>
      </x:c>
      <x:c r="B1357" s="9" t="str">
        <x:v>PD-AR-ET-A-A-TECH-3-B2-INT-G0</x:v>
      </x:c>
      <x:c r="C1357" s="9" t="str">
        <x:v>EV-AR-ET-A-A-TECH-3-B2-INT-G0</x:v>
      </x:c>
      <x:c r="D1357" s="9" t="str">
        <x:v>AR-ET-A-A-TECH-3-B2-INT-G0</x:v>
      </x:c>
      <x:c r="E1357" s="9" t="str">
        <x:v>ET-A-A-TECH-3</x:v>
      </x:c>
      <x:c r="F1357" s="9" t="str">
        <x:v>ET-A-A</x:v>
      </x:c>
      <x:c r="G1357" s="9" t="str">
        <x:v>B2</x:v>
      </x:c>
      <x:c r="H1357" s="9" t="str">
        <x:v>INT</x:v>
      </x:c>
      <x:c r="I1357" s="9" t="str">
        <x:v>PD07</x:v>
      </x:c>
      <x:c r="J1357" s="17" t="str">
        <x:v>Clock and environmental records</x:v>
      </x:c>
      <x:c r="K1357" s="17" t="str">
        <x:v>Boundary archive</x:v>
      </x:c>
      <x:c r="L1357" s="17" t="str">
        <x:v>COURT-SEALED UNTIL COHORT RELEASE</x:v>
      </x:c>
      <x:c r="M1357" s="9" t="n">
        <x:v>0</x:v>
      </x:c>
      <x:c r="N1357" s="9" t="n">
        <x:v>0</x:v>
      </x:c>
      <x:c r="O1357" s="9" t="n">
        <x:v>0</x:v>
      </x:c>
      <x:c r="P1357" s="9" t="str">
        <x:v>HELD / UNRELEASED</x:v>
      </x:c>
      <x:c r="Q1357" s="9" t="n">
        <x:f>COUNTIFS($A$7:$A$2310,A1357)</x:f>
        <x:v>1</x:v>
      </x:c>
    </x:row>
    <x:row r="1358">
      <x:c r="A1358" s="9" t="str">
        <x:v>PD-AR-ET-A-A-TECH-3-B2-INT-G0-PD08</x:v>
      </x:c>
      <x:c r="B1358" s="9" t="str">
        <x:v>PD-AR-ET-A-A-TECH-3-B2-INT-G0</x:v>
      </x:c>
      <x:c r="C1358" s="9" t="str">
        <x:v>EV-AR-ET-A-A-TECH-3-B2-INT-G0</x:v>
      </x:c>
      <x:c r="D1358" s="9" t="str">
        <x:v>AR-ET-A-A-TECH-3-B2-INT-G0</x:v>
      </x:c>
      <x:c r="E1358" s="9" t="str">
        <x:v>ET-A-A-TECH-3</x:v>
      </x:c>
      <x:c r="F1358" s="9" t="str">
        <x:v>ET-A-A</x:v>
      </x:c>
      <x:c r="G1358" s="9" t="str">
        <x:v>B2</x:v>
      </x:c>
      <x:c r="H1358" s="9" t="str">
        <x:v>INT</x:v>
      </x:c>
      <x:c r="I1358" s="9" t="str">
        <x:v>PD08</x:v>
      </x:c>
      <x:c r="J1358" s="17" t="str">
        <x:v>Command and intervention log</x:v>
      </x:c>
      <x:c r="K1358" s="17" t="str">
        <x:v>Safety archive</x:v>
      </x:c>
      <x:c r="L1358" s="17" t="str">
        <x:v>COURT-SEALED UNTIL COHORT RELEASE</x:v>
      </x:c>
      <x:c r="M1358" s="9" t="n">
        <x:v>0</x:v>
      </x:c>
      <x:c r="N1358" s="9" t="n">
        <x:v>0</x:v>
      </x:c>
      <x:c r="O1358" s="9" t="n">
        <x:v>0</x:v>
      </x:c>
      <x:c r="P1358" s="9" t="str">
        <x:v>HELD / UNRELEASED</x:v>
      </x:c>
      <x:c r="Q1358" s="9" t="n">
        <x:f>COUNTIFS($A$7:$A$2310,A1358)</x:f>
        <x:v>1</x:v>
      </x:c>
    </x:row>
    <x:row r="1359">
      <x:c r="A1359" s="9" t="str">
        <x:v>PD-AR-ET-A-A-TECH-3-B2-INT-G0-PD09</x:v>
      </x:c>
      <x:c r="B1359" s="9" t="str">
        <x:v>PD-AR-ET-A-A-TECH-3-B2-INT-G0</x:v>
      </x:c>
      <x:c r="C1359" s="9" t="str">
        <x:v>EV-AR-ET-A-A-TECH-3-B2-INT-G0</x:v>
      </x:c>
      <x:c r="D1359" s="9" t="str">
        <x:v>AR-ET-A-A-TECH-3-B2-INT-G0</x:v>
      </x:c>
      <x:c r="E1359" s="9" t="str">
        <x:v>ET-A-A-TECH-3</x:v>
      </x:c>
      <x:c r="F1359" s="9" t="str">
        <x:v>ET-A-A</x:v>
      </x:c>
      <x:c r="G1359" s="9" t="str">
        <x:v>B2</x:v>
      </x:c>
      <x:c r="H1359" s="9" t="str">
        <x:v>INT</x:v>
      </x:c>
      <x:c r="I1359" s="9" t="str">
        <x:v>PD09</x:v>
      </x:c>
      <x:c r="J1359" s="17" t="str">
        <x:v>Receiver denominator and service ledger</x:v>
      </x:c>
      <x:c r="K1359" s="17" t="str">
        <x:v>Receiver archive</x:v>
      </x:c>
      <x:c r="L1359" s="17" t="str">
        <x:v>COURT-SEALED UNTIL COHORT RELEASE</x:v>
      </x:c>
      <x:c r="M1359" s="9" t="n">
        <x:v>0</x:v>
      </x:c>
      <x:c r="N1359" s="9" t="n">
        <x:v>0</x:v>
      </x:c>
      <x:c r="O1359" s="9" t="n">
        <x:v>0</x:v>
      </x:c>
      <x:c r="P1359" s="9" t="str">
        <x:v>HELD / UNRELEASED</x:v>
      </x:c>
      <x:c r="Q1359" s="9" t="n">
        <x:f>COUNTIFS($A$7:$A$2310,A1359)</x:f>
        <x:v>1</x:v>
      </x:c>
    </x:row>
    <x:row r="1360">
      <x:c r="A1360" s="9" t="str">
        <x:v>PD-AR-ET-A-A-TECH-3-B2-INT-G0-PD10</x:v>
      </x:c>
      <x:c r="B1360" s="9" t="str">
        <x:v>PD-AR-ET-A-A-TECH-3-B2-INT-G0</x:v>
      </x:c>
      <x:c r="C1360" s="9" t="str">
        <x:v>EV-AR-ET-A-A-TECH-3-B2-INT-G0</x:v>
      </x:c>
      <x:c r="D1360" s="9" t="str">
        <x:v>AR-ET-A-A-TECH-3-B2-INT-G0</x:v>
      </x:c>
      <x:c r="E1360" s="9" t="str">
        <x:v>ET-A-A-TECH-3</x:v>
      </x:c>
      <x:c r="F1360" s="9" t="str">
        <x:v>ET-A-A</x:v>
      </x:c>
      <x:c r="G1360" s="9" t="str">
        <x:v>B2</x:v>
      </x:c>
      <x:c r="H1360" s="9" t="str">
        <x:v>INT</x:v>
      </x:c>
      <x:c r="I1360" s="9" t="str">
        <x:v>PD10</x:v>
      </x:c>
      <x:c r="J1360" s="17" t="str">
        <x:v>Calibration and uncertainty record</x:v>
      </x:c>
      <x:c r="K1360" s="17" t="str">
        <x:v>Metrology archive</x:v>
      </x:c>
      <x:c r="L1360" s="17" t="str">
        <x:v>COURT-SEALED UNTIL COHORT RELEASE</x:v>
      </x:c>
      <x:c r="M1360" s="9" t="n">
        <x:v>0</x:v>
      </x:c>
      <x:c r="N1360" s="9" t="n">
        <x:v>0</x:v>
      </x:c>
      <x:c r="O1360" s="9" t="n">
        <x:v>0</x:v>
      </x:c>
      <x:c r="P1360" s="9" t="str">
        <x:v>HELD / UNRELEASED</x:v>
      </x:c>
      <x:c r="Q1360" s="9" t="n">
        <x:f>COUNTIFS($A$7:$A$2310,A1360)</x:f>
        <x:v>1</x:v>
      </x:c>
    </x:row>
    <x:row r="1361">
      <x:c r="A1361" s="9" t="str">
        <x:v>PD-AR-ET-A-A-TECH-3-B2-INT-G0-PD11</x:v>
      </x:c>
      <x:c r="B1361" s="9" t="str">
        <x:v>PD-AR-ET-A-A-TECH-3-B2-INT-G0</x:v>
      </x:c>
      <x:c r="C1361" s="9" t="str">
        <x:v>EV-AR-ET-A-A-TECH-3-B2-INT-G0</x:v>
      </x:c>
      <x:c r="D1361" s="9" t="str">
        <x:v>AR-ET-A-A-TECH-3-B2-INT-G0</x:v>
      </x:c>
      <x:c r="E1361" s="9" t="str">
        <x:v>ET-A-A-TECH-3</x:v>
      </x:c>
      <x:c r="F1361" s="9" t="str">
        <x:v>ET-A-A</x:v>
      </x:c>
      <x:c r="G1361" s="9" t="str">
        <x:v>B2</x:v>
      </x:c>
      <x:c r="H1361" s="9" t="str">
        <x:v>INT</x:v>
      </x:c>
      <x:c r="I1361" s="9" t="str">
        <x:v>PD11</x:v>
      </x:c>
      <x:c r="J1361" s="17" t="str">
        <x:v>Invalidity petition and opinion</x:v>
      </x:c>
      <x:c r="K1361" s="17" t="str">
        <x:v>Invalidity court</x:v>
      </x:c>
      <x:c r="L1361" s="17" t="str">
        <x:v>COURT-SEALED UNTIL COHORT RELEASE</x:v>
      </x:c>
      <x:c r="M1361" s="9" t="n">
        <x:v>0</x:v>
      </x:c>
      <x:c r="N1361" s="9" t="n">
        <x:v>0</x:v>
      </x:c>
      <x:c r="O1361" s="9" t="n">
        <x:v>0</x:v>
      </x:c>
      <x:c r="P1361" s="9" t="str">
        <x:v>HELD / UNRELEASED</x:v>
      </x:c>
      <x:c r="Q1361" s="9" t="n">
        <x:f>COUNTIFS($A$7:$A$2310,A1361)</x:f>
        <x:v>1</x:v>
      </x:c>
    </x:row>
    <x:row r="1362">
      <x:c r="A1362" s="9" t="str">
        <x:v>PD-AR-ET-A-A-TECH-3-B2-INT-G0-PD12</x:v>
      </x:c>
      <x:c r="B1362" s="9" t="str">
        <x:v>PD-AR-ET-A-A-TECH-3-B2-INT-G0</x:v>
      </x:c>
      <x:c r="C1362" s="9" t="str">
        <x:v>EV-AR-ET-A-A-TECH-3-B2-INT-G0</x:v>
      </x:c>
      <x:c r="D1362" s="9" t="str">
        <x:v>AR-ET-A-A-TECH-3-B2-INT-G0</x:v>
      </x:c>
      <x:c r="E1362" s="9" t="str">
        <x:v>ET-A-A-TECH-3</x:v>
      </x:c>
      <x:c r="F1362" s="9" t="str">
        <x:v>ET-A-A</x:v>
      </x:c>
      <x:c r="G1362" s="9" t="str">
        <x:v>B2</x:v>
      </x:c>
      <x:c r="H1362" s="9" t="str">
        <x:v>INT</x:v>
      </x:c>
      <x:c r="I1362" s="9" t="str">
        <x:v>PD12</x:v>
      </x:c>
      <x:c r="J1362" s="17" t="str">
        <x:v>Observation acceptance and replay</x:v>
      </x:c>
      <x:c r="K1362" s="17" t="str">
        <x:v>Observation court</x:v>
      </x:c>
      <x:c r="L1362" s="17" t="str">
        <x:v>COURT-SEALED UNTIL COHORT RELEASE</x:v>
      </x:c>
      <x:c r="M1362" s="9" t="n">
        <x:v>0</x:v>
      </x:c>
      <x:c r="N1362" s="9" t="n">
        <x:v>0</x:v>
      </x:c>
      <x:c r="O1362" s="9" t="n">
        <x:v>0</x:v>
      </x:c>
      <x:c r="P1362" s="9" t="str">
        <x:v>HELD / UNRELEASED</x:v>
      </x:c>
      <x:c r="Q1362" s="9" t="n">
        <x:f>COUNTIFS($A$7:$A$2310,A1362)</x:f>
        <x:v>1</x:v>
      </x:c>
    </x:row>
    <x:row r="1363">
      <x:c r="A1363" s="9" t="str">
        <x:v>PD-AR-ET-A-A-TECH-3-B2-INT-G0-PD13</x:v>
      </x:c>
      <x:c r="B1363" s="9" t="str">
        <x:v>PD-AR-ET-A-A-TECH-3-B2-INT-G0</x:v>
      </x:c>
      <x:c r="C1363" s="9" t="str">
        <x:v>EV-AR-ET-A-A-TECH-3-B2-INT-G0</x:v>
      </x:c>
      <x:c r="D1363" s="9" t="str">
        <x:v>AR-ET-A-A-TECH-3-B2-INT-G0</x:v>
      </x:c>
      <x:c r="E1363" s="9" t="str">
        <x:v>ET-A-A-TECH-3</x:v>
      </x:c>
      <x:c r="F1363" s="9" t="str">
        <x:v>ET-A-A</x:v>
      </x:c>
      <x:c r="G1363" s="9" t="str">
        <x:v>B2</x:v>
      </x:c>
      <x:c r="H1363" s="9" t="str">
        <x:v>INT</x:v>
      </x:c>
      <x:c r="I1363" s="9" t="str">
        <x:v>PD13</x:v>
      </x:c>
      <x:c r="J1363" s="17" t="str">
        <x:v>Role judgment</x:v>
      </x:c>
      <x:c r="K1363" s="17" t="str">
        <x:v>Role court</x:v>
      </x:c>
      <x:c r="L1363" s="17" t="str">
        <x:v>COURT-SEALED UNTIL COHORT RELEASE</x:v>
      </x:c>
      <x:c r="M1363" s="9" t="n">
        <x:v>0</x:v>
      </x:c>
      <x:c r="N1363" s="9" t="n">
        <x:v>0</x:v>
      </x:c>
      <x:c r="O1363" s="9" t="n">
        <x:v>0</x:v>
      </x:c>
      <x:c r="P1363" s="9" t="str">
        <x:v>HELD / UNRELEASED</x:v>
      </x:c>
      <x:c r="Q1363" s="9" t="n">
        <x:f>COUNTIFS($A$7:$A$2310,A1363)</x:f>
        <x:v>1</x:v>
      </x:c>
    </x:row>
    <x:row r="1364">
      <x:c r="A1364" s="9" t="str">
        <x:v>PD-AR-ET-A-A-TECH-3-B2-INT-G0-PD14</x:v>
      </x:c>
      <x:c r="B1364" s="9" t="str">
        <x:v>PD-AR-ET-A-A-TECH-3-B2-INT-G0</x:v>
      </x:c>
      <x:c r="C1364" s="9" t="str">
        <x:v>EV-AR-ET-A-A-TECH-3-B2-INT-G0</x:v>
      </x:c>
      <x:c r="D1364" s="9" t="str">
        <x:v>AR-ET-A-A-TECH-3-B2-INT-G0</x:v>
      </x:c>
      <x:c r="E1364" s="9" t="str">
        <x:v>ET-A-A-TECH-3</x:v>
      </x:c>
      <x:c r="F1364" s="9" t="str">
        <x:v>ET-A-A</x:v>
      </x:c>
      <x:c r="G1364" s="9" t="str">
        <x:v>B2</x:v>
      </x:c>
      <x:c r="H1364" s="9" t="str">
        <x:v>INT</x:v>
      </x:c>
      <x:c r="I1364" s="9" t="str">
        <x:v>PD14</x:v>
      </x:c>
      <x:c r="J1364" s="17" t="str">
        <x:v>Break and residual account</x:v>
      </x:c>
      <x:c r="K1364" s="17" t="str">
        <x:v>Residual authority</x:v>
      </x:c>
      <x:c r="L1364" s="17" t="str">
        <x:v>COURT-SEALED UNTIL COHORT RELEASE</x:v>
      </x:c>
      <x:c r="M1364" s="9" t="n">
        <x:v>0</x:v>
      </x:c>
      <x:c r="N1364" s="9" t="n">
        <x:v>0</x:v>
      </x:c>
      <x:c r="O1364" s="9" t="n">
        <x:v>0</x:v>
      </x:c>
      <x:c r="P1364" s="9" t="str">
        <x:v>HELD / UNRELEASED</x:v>
      </x:c>
      <x:c r="Q1364" s="9" t="n">
        <x:f>COUNTIFS($A$7:$A$2310,A1364)</x:f>
        <x:v>1</x:v>
      </x:c>
    </x:row>
    <x:row r="1365">
      <x:c r="A1365" s="9" t="str">
        <x:v>PD-AR-ET-A-A-TECH-3-B2-INT-G0-PD15</x:v>
      </x:c>
      <x:c r="B1365" s="9" t="str">
        <x:v>PD-AR-ET-A-A-TECH-3-B2-INT-G0</x:v>
      </x:c>
      <x:c r="C1365" s="9" t="str">
        <x:v>EV-AR-ET-A-A-TECH-3-B2-INT-G0</x:v>
      </x:c>
      <x:c r="D1365" s="9" t="str">
        <x:v>AR-ET-A-A-TECH-3-B2-INT-G0</x:v>
      </x:c>
      <x:c r="E1365" s="9" t="str">
        <x:v>ET-A-A-TECH-3</x:v>
      </x:c>
      <x:c r="F1365" s="9" t="str">
        <x:v>ET-A-A</x:v>
      </x:c>
      <x:c r="G1365" s="9" t="str">
        <x:v>B2</x:v>
      </x:c>
      <x:c r="H1365" s="9" t="str">
        <x:v>INT</x:v>
      </x:c>
      <x:c r="I1365" s="9" t="str">
        <x:v>PD15</x:v>
      </x:c>
      <x:c r="J1365" s="17" t="str">
        <x:v>Reconstruction ancestry and replay</x:v>
      </x:c>
      <x:c r="K1365" s="17" t="str">
        <x:v>Reconstruction court</x:v>
      </x:c>
      <x:c r="L1365" s="17" t="str">
        <x:v>COURT-SEALED UNTIL COHORT RELEASE</x:v>
      </x:c>
      <x:c r="M1365" s="9" t="n">
        <x:v>0</x:v>
      </x:c>
      <x:c r="N1365" s="9" t="n">
        <x:v>0</x:v>
      </x:c>
      <x:c r="O1365" s="9" t="n">
        <x:v>0</x:v>
      </x:c>
      <x:c r="P1365" s="9" t="str">
        <x:v>HELD / UNRELEASED</x:v>
      </x:c>
      <x:c r="Q1365" s="9" t="n">
        <x:f>COUNTIFS($A$7:$A$2310,A1365)</x:f>
        <x:v>1</x:v>
      </x:c>
    </x:row>
    <x:row r="1366">
      <x:c r="A1366" s="9" t="str">
        <x:v>PD-AR-ET-A-A-TECH-3-B2-INT-G0-PD16</x:v>
      </x:c>
      <x:c r="B1366" s="9" t="str">
        <x:v>PD-AR-ET-A-A-TECH-3-B2-INT-G0</x:v>
      </x:c>
      <x:c r="C1366" s="9" t="str">
        <x:v>EV-AR-ET-A-A-TECH-3-B2-INT-G0</x:v>
      </x:c>
      <x:c r="D1366" s="9" t="str">
        <x:v>AR-ET-A-A-TECH-3-B2-INT-G0</x:v>
      </x:c>
      <x:c r="E1366" s="9" t="str">
        <x:v>ET-A-A-TECH-3</x:v>
      </x:c>
      <x:c r="F1366" s="9" t="str">
        <x:v>ET-A-A</x:v>
      </x:c>
      <x:c r="G1366" s="9" t="str">
        <x:v>B2</x:v>
      </x:c>
      <x:c r="H1366" s="9" t="str">
        <x:v>INT</x:v>
      </x:c>
      <x:c r="I1366" s="9" t="str">
        <x:v>PD16</x:v>
      </x:c>
      <x:c r="J1366" s="17" t="str">
        <x:v>Dissent, amendments and access log</x:v>
      </x:c>
      <x:c r="K1366" s="17" t="str">
        <x:v>Public archive</x:v>
      </x:c>
      <x:c r="L1366" s="17" t="str">
        <x:v>COURT-SEALED UNTIL COHORT RELEASE</x:v>
      </x:c>
      <x:c r="M1366" s="9" t="n">
        <x:v>0</x:v>
      </x:c>
      <x:c r="N1366" s="9" t="n">
        <x:v>0</x:v>
      </x:c>
      <x:c r="O1366" s="9" t="n">
        <x:v>0</x:v>
      </x:c>
      <x:c r="P1366" s="9" t="str">
        <x:v>HELD / UNRELEASED</x:v>
      </x:c>
      <x:c r="Q1366" s="9" t="n">
        <x:f>COUNTIFS($A$7:$A$2310,A1366)</x:f>
        <x:v>1</x:v>
      </x:c>
    </x:row>
    <x:row r="1367">
      <x:c r="A1367" s="9" t="str">
        <x:v>PD-AR-HC-A-C-TECH-4-B1-RCN-G0-PD01</x:v>
      </x:c>
      <x:c r="B1367" s="9" t="str">
        <x:v>PD-AR-HC-A-C-TECH-4-B1-RCN-G0</x:v>
      </x:c>
      <x:c r="C1367" s="9" t="str">
        <x:v>EV-AR-HC-A-C-TECH-4-B1-RCN-G0</x:v>
      </x:c>
      <x:c r="D1367" s="9" t="str">
        <x:v>AR-HC-A-C-TECH-4-B1-RCN-G0</x:v>
      </x:c>
      <x:c r="E1367" s="9" t="str">
        <x:v>HC-A-C-TECH-4</x:v>
      </x:c>
      <x:c r="F1367" s="9" t="str">
        <x:v>HC-A-C</x:v>
      </x:c>
      <x:c r="G1367" s="9" t="str">
        <x:v>B1</x:v>
      </x:c>
      <x:c r="H1367" s="9" t="str">
        <x:v>RCN</x:v>
      </x:c>
      <x:c r="I1367" s="9" t="str">
        <x:v>PD01</x:v>
      </x:c>
      <x:c r="J1367" s="17" t="str">
        <x:v>Experiment kernel</x:v>
      </x:c>
      <x:c r="K1367" s="17" t="str">
        <x:v>Public archive</x:v>
      </x:c>
      <x:c r="L1367" s="17" t="str">
        <x:v>COURT-SEALED UNTIL COHORT RELEASE</x:v>
      </x:c>
      <x:c r="M1367" s="9" t="n">
        <x:v>0</x:v>
      </x:c>
      <x:c r="N1367" s="9" t="n">
        <x:v>0</x:v>
      </x:c>
      <x:c r="O1367" s="9" t="n">
        <x:v>0</x:v>
      </x:c>
      <x:c r="P1367" s="9" t="str">
        <x:v>HELD / UNRELEASED</x:v>
      </x:c>
      <x:c r="Q1367" s="9" t="n">
        <x:f>COUNTIFS($A$7:$A$2310,A1367)</x:f>
        <x:v>1</x:v>
      </x:c>
    </x:row>
    <x:row r="1368">
      <x:c r="A1368" s="9" t="str">
        <x:v>PD-AR-HC-A-C-TECH-4-B1-RCN-G0-PD02</x:v>
      </x:c>
      <x:c r="B1368" s="9" t="str">
        <x:v>PD-AR-HC-A-C-TECH-4-B1-RCN-G0</x:v>
      </x:c>
      <x:c r="C1368" s="9" t="str">
        <x:v>EV-AR-HC-A-C-TECH-4-B1-RCN-G0</x:v>
      </x:c>
      <x:c r="D1368" s="9" t="str">
        <x:v>AR-HC-A-C-TECH-4-B1-RCN-G0</x:v>
      </x:c>
      <x:c r="E1368" s="9" t="str">
        <x:v>HC-A-C-TECH-4</x:v>
      </x:c>
      <x:c r="F1368" s="9" t="str">
        <x:v>HC-A-C</x:v>
      </x:c>
      <x:c r="G1368" s="9" t="str">
        <x:v>B1</x:v>
      </x:c>
      <x:c r="H1368" s="9" t="str">
        <x:v>RCN</x:v>
      </x:c>
      <x:c r="I1368" s="9" t="str">
        <x:v>PD02</x:v>
      </x:c>
      <x:c r="J1368" s="17" t="str">
        <x:v>Serial annex and title chain</x:v>
      </x:c>
      <x:c r="K1368" s="17" t="str">
        <x:v>Public archive</x:v>
      </x:c>
      <x:c r="L1368" s="17" t="str">
        <x:v>COURT-SEALED UNTIL COHORT RELEASE</x:v>
      </x:c>
      <x:c r="M1368" s="9" t="n">
        <x:v>0</x:v>
      </x:c>
      <x:c r="N1368" s="9" t="n">
        <x:v>0</x:v>
      </x:c>
      <x:c r="O1368" s="9" t="n">
        <x:v>0</x:v>
      </x:c>
      <x:c r="P1368" s="9" t="str">
        <x:v>HELD / UNRELEASED</x:v>
      </x:c>
      <x:c r="Q1368" s="9" t="n">
        <x:f>COUNTIFS($A$7:$A$2310,A1368)</x:f>
        <x:v>1</x:v>
      </x:c>
    </x:row>
    <x:row r="1369">
      <x:c r="A1369" s="9" t="str">
        <x:v>PD-AR-HC-A-C-TECH-4-B1-RCN-G0-PD03</x:v>
      </x:c>
      <x:c r="B1369" s="9" t="str">
        <x:v>PD-AR-HC-A-C-TECH-4-B1-RCN-G0</x:v>
      </x:c>
      <x:c r="C1369" s="9" t="str">
        <x:v>EV-AR-HC-A-C-TECH-4-B1-RCN-G0</x:v>
      </x:c>
      <x:c r="D1369" s="9" t="str">
        <x:v>AR-HC-A-C-TECH-4-B1-RCN-G0</x:v>
      </x:c>
      <x:c r="E1369" s="9" t="str">
        <x:v>HC-A-C-TECH-4</x:v>
      </x:c>
      <x:c r="F1369" s="9" t="str">
        <x:v>HC-A-C</x:v>
      </x:c>
      <x:c r="G1369" s="9" t="str">
        <x:v>B1</x:v>
      </x:c>
      <x:c r="H1369" s="9" t="str">
        <x:v>RCN</x:v>
      </x:c>
      <x:c r="I1369" s="9" t="str">
        <x:v>PD03</x:v>
      </x:c>
      <x:c r="J1369" s="17" t="str">
        <x:v>Configuration and as-built manifest</x:v>
      </x:c>
      <x:c r="K1369" s="17" t="str">
        <x:v>Artifact exchange</x:v>
      </x:c>
      <x:c r="L1369" s="17" t="str">
        <x:v>COURT-SEALED UNTIL COHORT RELEASE</x:v>
      </x:c>
      <x:c r="M1369" s="9" t="n">
        <x:v>0</x:v>
      </x:c>
      <x:c r="N1369" s="9" t="n">
        <x:v>0</x:v>
      </x:c>
      <x:c r="O1369" s="9" t="n">
        <x:v>0</x:v>
      </x:c>
      <x:c r="P1369" s="9" t="str">
        <x:v>HELD / UNRELEASED</x:v>
      </x:c>
      <x:c r="Q1369" s="9" t="n">
        <x:f>COUNTIFS($A$7:$A$2310,A1369)</x:f>
        <x:v>1</x:v>
      </x:c>
    </x:row>
    <x:row r="1370">
      <x:c r="A1370" s="9" t="str">
        <x:v>PD-AR-HC-A-C-TECH-4-B1-RCN-G0-PD04</x:v>
      </x:c>
      <x:c r="B1370" s="9" t="str">
        <x:v>PD-AR-HC-A-C-TECH-4-B1-RCN-G0</x:v>
      </x:c>
      <x:c r="C1370" s="9" t="str">
        <x:v>EV-AR-HC-A-C-TECH-4-B1-RCN-G0</x:v>
      </x:c>
      <x:c r="D1370" s="9" t="str">
        <x:v>AR-HC-A-C-TECH-4-B1-RCN-G0</x:v>
      </x:c>
      <x:c r="E1370" s="9" t="str">
        <x:v>HC-A-C-TECH-4</x:v>
      </x:c>
      <x:c r="F1370" s="9" t="str">
        <x:v>HC-A-C</x:v>
      </x:c>
      <x:c r="G1370" s="9" t="str">
        <x:v>B1</x:v>
      </x:c>
      <x:c r="H1370" s="9" t="str">
        <x:v>RCN</x:v>
      </x:c>
      <x:c r="I1370" s="9" t="str">
        <x:v>PD04</x:v>
      </x:c>
      <x:c r="J1370" s="17" t="str">
        <x:v>EOW and start certificate</x:v>
      </x:c>
      <x:c r="K1370" s="17" t="str">
        <x:v>Start registrar</x:v>
      </x:c>
      <x:c r="L1370" s="17" t="str">
        <x:v>COURT-SEALED UNTIL COHORT RELEASE</x:v>
      </x:c>
      <x:c r="M1370" s="9" t="n">
        <x:v>0</x:v>
      </x:c>
      <x:c r="N1370" s="9" t="n">
        <x:v>0</x:v>
      </x:c>
      <x:c r="O1370" s="9" t="n">
        <x:v>0</x:v>
      </x:c>
      <x:c r="P1370" s="9" t="str">
        <x:v>HELD / UNRELEASED</x:v>
      </x:c>
      <x:c r="Q1370" s="9" t="n">
        <x:f>COUNTIFS($A$7:$A$2310,A1370)</x:f>
        <x:v>1</x:v>
      </x:c>
    </x:row>
    <x:row r="1371">
      <x:c r="A1371" s="9" t="str">
        <x:v>PD-AR-HC-A-C-TECH-4-B1-RCN-G0-PD05</x:v>
      </x:c>
      <x:c r="B1371" s="9" t="str">
        <x:v>PD-AR-HC-A-C-TECH-4-B1-RCN-G0</x:v>
      </x:c>
      <x:c r="C1371" s="9" t="str">
        <x:v>EV-AR-HC-A-C-TECH-4-B1-RCN-G0</x:v>
      </x:c>
      <x:c r="D1371" s="9" t="str">
        <x:v>AR-HC-A-C-TECH-4-B1-RCN-G0</x:v>
      </x:c>
      <x:c r="E1371" s="9" t="str">
        <x:v>HC-A-C-TECH-4</x:v>
      </x:c>
      <x:c r="F1371" s="9" t="str">
        <x:v>HC-A-C</x:v>
      </x:c>
      <x:c r="G1371" s="9" t="str">
        <x:v>B1</x:v>
      </x:c>
      <x:c r="H1371" s="9" t="str">
        <x:v>RCN</x:v>
      </x:c>
      <x:c r="I1371" s="9" t="str">
        <x:v>PD05</x:v>
      </x:c>
      <x:c r="J1371" s="17" t="str">
        <x:v>Primary raw originals</x:v>
      </x:c>
      <x:c r="K1371" s="17" t="str">
        <x:v>Primary custody</x:v>
      </x:c>
      <x:c r="L1371" s="17" t="str">
        <x:v>COURT-SEALED UNTIL COHORT RELEASE</x:v>
      </x:c>
      <x:c r="M1371" s="9" t="n">
        <x:v>0</x:v>
      </x:c>
      <x:c r="N1371" s="9" t="n">
        <x:v>0</x:v>
      </x:c>
      <x:c r="O1371" s="9" t="n">
        <x:v>0</x:v>
      </x:c>
      <x:c r="P1371" s="9" t="str">
        <x:v>HELD / UNRELEASED</x:v>
      </x:c>
      <x:c r="Q1371" s="9" t="n">
        <x:f>COUNTIFS($A$7:$A$2310,A1371)</x:f>
        <x:v>1</x:v>
      </x:c>
    </x:row>
    <x:row r="1372">
      <x:c r="A1372" s="9" t="str">
        <x:v>PD-AR-HC-A-C-TECH-4-B1-RCN-G0-PD06</x:v>
      </x:c>
      <x:c r="B1372" s="9" t="str">
        <x:v>PD-AR-HC-A-C-TECH-4-B1-RCN-G0</x:v>
      </x:c>
      <x:c r="C1372" s="9" t="str">
        <x:v>EV-AR-HC-A-C-TECH-4-B1-RCN-G0</x:v>
      </x:c>
      <x:c r="D1372" s="9" t="str">
        <x:v>AR-HC-A-C-TECH-4-B1-RCN-G0</x:v>
      </x:c>
      <x:c r="E1372" s="9" t="str">
        <x:v>HC-A-C-TECH-4</x:v>
      </x:c>
      <x:c r="F1372" s="9" t="str">
        <x:v>HC-A-C</x:v>
      </x:c>
      <x:c r="G1372" s="9" t="str">
        <x:v>B1</x:v>
      </x:c>
      <x:c r="H1372" s="9" t="str">
        <x:v>RCN</x:v>
      </x:c>
      <x:c r="I1372" s="9" t="str">
        <x:v>PD06</x:v>
      </x:c>
      <x:c r="J1372" s="17" t="str">
        <x:v>Witness raw originals</x:v>
      </x:c>
      <x:c r="K1372" s="17" t="str">
        <x:v>Witness custody</x:v>
      </x:c>
      <x:c r="L1372" s="17" t="str">
        <x:v>COURT-SEALED UNTIL COHORT RELEASE</x:v>
      </x:c>
      <x:c r="M1372" s="9" t="n">
        <x:v>0</x:v>
      </x:c>
      <x:c r="N1372" s="9" t="n">
        <x:v>0</x:v>
      </x:c>
      <x:c r="O1372" s="9" t="n">
        <x:v>0</x:v>
      </x:c>
      <x:c r="P1372" s="9" t="str">
        <x:v>HELD / UNRELEASED</x:v>
      </x:c>
      <x:c r="Q1372" s="9" t="n">
        <x:f>COUNTIFS($A$7:$A$2310,A1372)</x:f>
        <x:v>1</x:v>
      </x:c>
    </x:row>
    <x:row r="1373">
      <x:c r="A1373" s="9" t="str">
        <x:v>PD-AR-HC-A-C-TECH-4-B1-RCN-G0-PD07</x:v>
      </x:c>
      <x:c r="B1373" s="9" t="str">
        <x:v>PD-AR-HC-A-C-TECH-4-B1-RCN-G0</x:v>
      </x:c>
      <x:c r="C1373" s="9" t="str">
        <x:v>EV-AR-HC-A-C-TECH-4-B1-RCN-G0</x:v>
      </x:c>
      <x:c r="D1373" s="9" t="str">
        <x:v>AR-HC-A-C-TECH-4-B1-RCN-G0</x:v>
      </x:c>
      <x:c r="E1373" s="9" t="str">
        <x:v>HC-A-C-TECH-4</x:v>
      </x:c>
      <x:c r="F1373" s="9" t="str">
        <x:v>HC-A-C</x:v>
      </x:c>
      <x:c r="G1373" s="9" t="str">
        <x:v>B1</x:v>
      </x:c>
      <x:c r="H1373" s="9" t="str">
        <x:v>RCN</x:v>
      </x:c>
      <x:c r="I1373" s="9" t="str">
        <x:v>PD07</x:v>
      </x:c>
      <x:c r="J1373" s="17" t="str">
        <x:v>Clock and environmental records</x:v>
      </x:c>
      <x:c r="K1373" s="17" t="str">
        <x:v>Boundary archive</x:v>
      </x:c>
      <x:c r="L1373" s="17" t="str">
        <x:v>COURT-SEALED UNTIL COHORT RELEASE</x:v>
      </x:c>
      <x:c r="M1373" s="9" t="n">
        <x:v>0</x:v>
      </x:c>
      <x:c r="N1373" s="9" t="n">
        <x:v>0</x:v>
      </x:c>
      <x:c r="O1373" s="9" t="n">
        <x:v>0</x:v>
      </x:c>
      <x:c r="P1373" s="9" t="str">
        <x:v>HELD / UNRELEASED</x:v>
      </x:c>
      <x:c r="Q1373" s="9" t="n">
        <x:f>COUNTIFS($A$7:$A$2310,A1373)</x:f>
        <x:v>1</x:v>
      </x:c>
    </x:row>
    <x:row r="1374">
      <x:c r="A1374" s="9" t="str">
        <x:v>PD-AR-HC-A-C-TECH-4-B1-RCN-G0-PD08</x:v>
      </x:c>
      <x:c r="B1374" s="9" t="str">
        <x:v>PD-AR-HC-A-C-TECH-4-B1-RCN-G0</x:v>
      </x:c>
      <x:c r="C1374" s="9" t="str">
        <x:v>EV-AR-HC-A-C-TECH-4-B1-RCN-G0</x:v>
      </x:c>
      <x:c r="D1374" s="9" t="str">
        <x:v>AR-HC-A-C-TECH-4-B1-RCN-G0</x:v>
      </x:c>
      <x:c r="E1374" s="9" t="str">
        <x:v>HC-A-C-TECH-4</x:v>
      </x:c>
      <x:c r="F1374" s="9" t="str">
        <x:v>HC-A-C</x:v>
      </x:c>
      <x:c r="G1374" s="9" t="str">
        <x:v>B1</x:v>
      </x:c>
      <x:c r="H1374" s="9" t="str">
        <x:v>RCN</x:v>
      </x:c>
      <x:c r="I1374" s="9" t="str">
        <x:v>PD08</x:v>
      </x:c>
      <x:c r="J1374" s="17" t="str">
        <x:v>Command and intervention log</x:v>
      </x:c>
      <x:c r="K1374" s="17" t="str">
        <x:v>Safety archive</x:v>
      </x:c>
      <x:c r="L1374" s="17" t="str">
        <x:v>COURT-SEALED UNTIL COHORT RELEASE</x:v>
      </x:c>
      <x:c r="M1374" s="9" t="n">
        <x:v>0</x:v>
      </x:c>
      <x:c r="N1374" s="9" t="n">
        <x:v>0</x:v>
      </x:c>
      <x:c r="O1374" s="9" t="n">
        <x:v>0</x:v>
      </x:c>
      <x:c r="P1374" s="9" t="str">
        <x:v>HELD / UNRELEASED</x:v>
      </x:c>
      <x:c r="Q1374" s="9" t="n">
        <x:f>COUNTIFS($A$7:$A$2310,A1374)</x:f>
        <x:v>1</x:v>
      </x:c>
    </x:row>
    <x:row r="1375">
      <x:c r="A1375" s="9" t="str">
        <x:v>PD-AR-HC-A-C-TECH-4-B1-RCN-G0-PD09</x:v>
      </x:c>
      <x:c r="B1375" s="9" t="str">
        <x:v>PD-AR-HC-A-C-TECH-4-B1-RCN-G0</x:v>
      </x:c>
      <x:c r="C1375" s="9" t="str">
        <x:v>EV-AR-HC-A-C-TECH-4-B1-RCN-G0</x:v>
      </x:c>
      <x:c r="D1375" s="9" t="str">
        <x:v>AR-HC-A-C-TECH-4-B1-RCN-G0</x:v>
      </x:c>
      <x:c r="E1375" s="9" t="str">
        <x:v>HC-A-C-TECH-4</x:v>
      </x:c>
      <x:c r="F1375" s="9" t="str">
        <x:v>HC-A-C</x:v>
      </x:c>
      <x:c r="G1375" s="9" t="str">
        <x:v>B1</x:v>
      </x:c>
      <x:c r="H1375" s="9" t="str">
        <x:v>RCN</x:v>
      </x:c>
      <x:c r="I1375" s="9" t="str">
        <x:v>PD09</x:v>
      </x:c>
      <x:c r="J1375" s="17" t="str">
        <x:v>Receiver denominator and service ledger</x:v>
      </x:c>
      <x:c r="K1375" s="17" t="str">
        <x:v>Receiver archive</x:v>
      </x:c>
      <x:c r="L1375" s="17" t="str">
        <x:v>COURT-SEALED UNTIL COHORT RELEASE</x:v>
      </x:c>
      <x:c r="M1375" s="9" t="n">
        <x:v>0</x:v>
      </x:c>
      <x:c r="N1375" s="9" t="n">
        <x:v>0</x:v>
      </x:c>
      <x:c r="O1375" s="9" t="n">
        <x:v>0</x:v>
      </x:c>
      <x:c r="P1375" s="9" t="str">
        <x:v>HELD / UNRELEASED</x:v>
      </x:c>
      <x:c r="Q1375" s="9" t="n">
        <x:f>COUNTIFS($A$7:$A$2310,A1375)</x:f>
        <x:v>1</x:v>
      </x:c>
    </x:row>
    <x:row r="1376">
      <x:c r="A1376" s="9" t="str">
        <x:v>PD-AR-HC-A-C-TECH-4-B1-RCN-G0-PD10</x:v>
      </x:c>
      <x:c r="B1376" s="9" t="str">
        <x:v>PD-AR-HC-A-C-TECH-4-B1-RCN-G0</x:v>
      </x:c>
      <x:c r="C1376" s="9" t="str">
        <x:v>EV-AR-HC-A-C-TECH-4-B1-RCN-G0</x:v>
      </x:c>
      <x:c r="D1376" s="9" t="str">
        <x:v>AR-HC-A-C-TECH-4-B1-RCN-G0</x:v>
      </x:c>
      <x:c r="E1376" s="9" t="str">
        <x:v>HC-A-C-TECH-4</x:v>
      </x:c>
      <x:c r="F1376" s="9" t="str">
        <x:v>HC-A-C</x:v>
      </x:c>
      <x:c r="G1376" s="9" t="str">
        <x:v>B1</x:v>
      </x:c>
      <x:c r="H1376" s="9" t="str">
        <x:v>RCN</x:v>
      </x:c>
      <x:c r="I1376" s="9" t="str">
        <x:v>PD10</x:v>
      </x:c>
      <x:c r="J1376" s="17" t="str">
        <x:v>Calibration and uncertainty record</x:v>
      </x:c>
      <x:c r="K1376" s="17" t="str">
        <x:v>Metrology archive</x:v>
      </x:c>
      <x:c r="L1376" s="17" t="str">
        <x:v>COURT-SEALED UNTIL COHORT RELEASE</x:v>
      </x:c>
      <x:c r="M1376" s="9" t="n">
        <x:v>0</x:v>
      </x:c>
      <x:c r="N1376" s="9" t="n">
        <x:v>0</x:v>
      </x:c>
      <x:c r="O1376" s="9" t="n">
        <x:v>0</x:v>
      </x:c>
      <x:c r="P1376" s="9" t="str">
        <x:v>HELD / UNRELEASED</x:v>
      </x:c>
      <x:c r="Q1376" s="9" t="n">
        <x:f>COUNTIFS($A$7:$A$2310,A1376)</x:f>
        <x:v>1</x:v>
      </x:c>
    </x:row>
    <x:row r="1377">
      <x:c r="A1377" s="9" t="str">
        <x:v>PD-AR-HC-A-C-TECH-4-B1-RCN-G0-PD11</x:v>
      </x:c>
      <x:c r="B1377" s="9" t="str">
        <x:v>PD-AR-HC-A-C-TECH-4-B1-RCN-G0</x:v>
      </x:c>
      <x:c r="C1377" s="9" t="str">
        <x:v>EV-AR-HC-A-C-TECH-4-B1-RCN-G0</x:v>
      </x:c>
      <x:c r="D1377" s="9" t="str">
        <x:v>AR-HC-A-C-TECH-4-B1-RCN-G0</x:v>
      </x:c>
      <x:c r="E1377" s="9" t="str">
        <x:v>HC-A-C-TECH-4</x:v>
      </x:c>
      <x:c r="F1377" s="9" t="str">
        <x:v>HC-A-C</x:v>
      </x:c>
      <x:c r="G1377" s="9" t="str">
        <x:v>B1</x:v>
      </x:c>
      <x:c r="H1377" s="9" t="str">
        <x:v>RCN</x:v>
      </x:c>
      <x:c r="I1377" s="9" t="str">
        <x:v>PD11</x:v>
      </x:c>
      <x:c r="J1377" s="17" t="str">
        <x:v>Invalidity petition and opinion</x:v>
      </x:c>
      <x:c r="K1377" s="17" t="str">
        <x:v>Invalidity court</x:v>
      </x:c>
      <x:c r="L1377" s="17" t="str">
        <x:v>COURT-SEALED UNTIL COHORT RELEASE</x:v>
      </x:c>
      <x:c r="M1377" s="9" t="n">
        <x:v>0</x:v>
      </x:c>
      <x:c r="N1377" s="9" t="n">
        <x:v>0</x:v>
      </x:c>
      <x:c r="O1377" s="9" t="n">
        <x:v>0</x:v>
      </x:c>
      <x:c r="P1377" s="9" t="str">
        <x:v>HELD / UNRELEASED</x:v>
      </x:c>
      <x:c r="Q1377" s="9" t="n">
        <x:f>COUNTIFS($A$7:$A$2310,A1377)</x:f>
        <x:v>1</x:v>
      </x:c>
    </x:row>
    <x:row r="1378">
      <x:c r="A1378" s="9" t="str">
        <x:v>PD-AR-HC-A-C-TECH-4-B1-RCN-G0-PD12</x:v>
      </x:c>
      <x:c r="B1378" s="9" t="str">
        <x:v>PD-AR-HC-A-C-TECH-4-B1-RCN-G0</x:v>
      </x:c>
      <x:c r="C1378" s="9" t="str">
        <x:v>EV-AR-HC-A-C-TECH-4-B1-RCN-G0</x:v>
      </x:c>
      <x:c r="D1378" s="9" t="str">
        <x:v>AR-HC-A-C-TECH-4-B1-RCN-G0</x:v>
      </x:c>
      <x:c r="E1378" s="9" t="str">
        <x:v>HC-A-C-TECH-4</x:v>
      </x:c>
      <x:c r="F1378" s="9" t="str">
        <x:v>HC-A-C</x:v>
      </x:c>
      <x:c r="G1378" s="9" t="str">
        <x:v>B1</x:v>
      </x:c>
      <x:c r="H1378" s="9" t="str">
        <x:v>RCN</x:v>
      </x:c>
      <x:c r="I1378" s="9" t="str">
        <x:v>PD12</x:v>
      </x:c>
      <x:c r="J1378" s="17" t="str">
        <x:v>Observation acceptance and replay</x:v>
      </x:c>
      <x:c r="K1378" s="17" t="str">
        <x:v>Observation court</x:v>
      </x:c>
      <x:c r="L1378" s="17" t="str">
        <x:v>COURT-SEALED UNTIL COHORT RELEASE</x:v>
      </x:c>
      <x:c r="M1378" s="9" t="n">
        <x:v>0</x:v>
      </x:c>
      <x:c r="N1378" s="9" t="n">
        <x:v>0</x:v>
      </x:c>
      <x:c r="O1378" s="9" t="n">
        <x:v>0</x:v>
      </x:c>
      <x:c r="P1378" s="9" t="str">
        <x:v>HELD / UNRELEASED</x:v>
      </x:c>
      <x:c r="Q1378" s="9" t="n">
        <x:f>COUNTIFS($A$7:$A$2310,A1378)</x:f>
        <x:v>1</x:v>
      </x:c>
    </x:row>
    <x:row r="1379">
      <x:c r="A1379" s="9" t="str">
        <x:v>PD-AR-HC-A-C-TECH-4-B1-RCN-G0-PD13</x:v>
      </x:c>
      <x:c r="B1379" s="9" t="str">
        <x:v>PD-AR-HC-A-C-TECH-4-B1-RCN-G0</x:v>
      </x:c>
      <x:c r="C1379" s="9" t="str">
        <x:v>EV-AR-HC-A-C-TECH-4-B1-RCN-G0</x:v>
      </x:c>
      <x:c r="D1379" s="9" t="str">
        <x:v>AR-HC-A-C-TECH-4-B1-RCN-G0</x:v>
      </x:c>
      <x:c r="E1379" s="9" t="str">
        <x:v>HC-A-C-TECH-4</x:v>
      </x:c>
      <x:c r="F1379" s="9" t="str">
        <x:v>HC-A-C</x:v>
      </x:c>
      <x:c r="G1379" s="9" t="str">
        <x:v>B1</x:v>
      </x:c>
      <x:c r="H1379" s="9" t="str">
        <x:v>RCN</x:v>
      </x:c>
      <x:c r="I1379" s="9" t="str">
        <x:v>PD13</x:v>
      </x:c>
      <x:c r="J1379" s="17" t="str">
        <x:v>Role judgment</x:v>
      </x:c>
      <x:c r="K1379" s="17" t="str">
        <x:v>Role court</x:v>
      </x:c>
      <x:c r="L1379" s="17" t="str">
        <x:v>COURT-SEALED UNTIL COHORT RELEASE</x:v>
      </x:c>
      <x:c r="M1379" s="9" t="n">
        <x:v>0</x:v>
      </x:c>
      <x:c r="N1379" s="9" t="n">
        <x:v>0</x:v>
      </x:c>
      <x:c r="O1379" s="9" t="n">
        <x:v>0</x:v>
      </x:c>
      <x:c r="P1379" s="9" t="str">
        <x:v>HELD / UNRELEASED</x:v>
      </x:c>
      <x:c r="Q1379" s="9" t="n">
        <x:f>COUNTIFS($A$7:$A$2310,A1379)</x:f>
        <x:v>1</x:v>
      </x:c>
    </x:row>
    <x:row r="1380">
      <x:c r="A1380" s="9" t="str">
        <x:v>PD-AR-HC-A-C-TECH-4-B1-RCN-G0-PD14</x:v>
      </x:c>
      <x:c r="B1380" s="9" t="str">
        <x:v>PD-AR-HC-A-C-TECH-4-B1-RCN-G0</x:v>
      </x:c>
      <x:c r="C1380" s="9" t="str">
        <x:v>EV-AR-HC-A-C-TECH-4-B1-RCN-G0</x:v>
      </x:c>
      <x:c r="D1380" s="9" t="str">
        <x:v>AR-HC-A-C-TECH-4-B1-RCN-G0</x:v>
      </x:c>
      <x:c r="E1380" s="9" t="str">
        <x:v>HC-A-C-TECH-4</x:v>
      </x:c>
      <x:c r="F1380" s="9" t="str">
        <x:v>HC-A-C</x:v>
      </x:c>
      <x:c r="G1380" s="9" t="str">
        <x:v>B1</x:v>
      </x:c>
      <x:c r="H1380" s="9" t="str">
        <x:v>RCN</x:v>
      </x:c>
      <x:c r="I1380" s="9" t="str">
        <x:v>PD14</x:v>
      </x:c>
      <x:c r="J1380" s="17" t="str">
        <x:v>Break and residual account</x:v>
      </x:c>
      <x:c r="K1380" s="17" t="str">
        <x:v>Residual authority</x:v>
      </x:c>
      <x:c r="L1380" s="17" t="str">
        <x:v>COURT-SEALED UNTIL COHORT RELEASE</x:v>
      </x:c>
      <x:c r="M1380" s="9" t="n">
        <x:v>0</x:v>
      </x:c>
      <x:c r="N1380" s="9" t="n">
        <x:v>0</x:v>
      </x:c>
      <x:c r="O1380" s="9" t="n">
        <x:v>0</x:v>
      </x:c>
      <x:c r="P1380" s="9" t="str">
        <x:v>HELD / UNRELEASED</x:v>
      </x:c>
      <x:c r="Q1380" s="9" t="n">
        <x:f>COUNTIFS($A$7:$A$2310,A1380)</x:f>
        <x:v>1</x:v>
      </x:c>
    </x:row>
    <x:row r="1381">
      <x:c r="A1381" s="9" t="str">
        <x:v>PD-AR-HC-A-C-TECH-4-B1-RCN-G0-PD15</x:v>
      </x:c>
      <x:c r="B1381" s="9" t="str">
        <x:v>PD-AR-HC-A-C-TECH-4-B1-RCN-G0</x:v>
      </x:c>
      <x:c r="C1381" s="9" t="str">
        <x:v>EV-AR-HC-A-C-TECH-4-B1-RCN-G0</x:v>
      </x:c>
      <x:c r="D1381" s="9" t="str">
        <x:v>AR-HC-A-C-TECH-4-B1-RCN-G0</x:v>
      </x:c>
      <x:c r="E1381" s="9" t="str">
        <x:v>HC-A-C-TECH-4</x:v>
      </x:c>
      <x:c r="F1381" s="9" t="str">
        <x:v>HC-A-C</x:v>
      </x:c>
      <x:c r="G1381" s="9" t="str">
        <x:v>B1</x:v>
      </x:c>
      <x:c r="H1381" s="9" t="str">
        <x:v>RCN</x:v>
      </x:c>
      <x:c r="I1381" s="9" t="str">
        <x:v>PD15</x:v>
      </x:c>
      <x:c r="J1381" s="17" t="str">
        <x:v>Reconstruction ancestry and replay</x:v>
      </x:c>
      <x:c r="K1381" s="17" t="str">
        <x:v>Reconstruction court</x:v>
      </x:c>
      <x:c r="L1381" s="17" t="str">
        <x:v>COURT-SEALED UNTIL COHORT RELEASE</x:v>
      </x:c>
      <x:c r="M1381" s="9" t="n">
        <x:v>0</x:v>
      </x:c>
      <x:c r="N1381" s="9" t="n">
        <x:v>0</x:v>
      </x:c>
      <x:c r="O1381" s="9" t="n">
        <x:v>0</x:v>
      </x:c>
      <x:c r="P1381" s="9" t="str">
        <x:v>HELD / UNRELEASED</x:v>
      </x:c>
      <x:c r="Q1381" s="9" t="n">
        <x:f>COUNTIFS($A$7:$A$2310,A1381)</x:f>
        <x:v>1</x:v>
      </x:c>
    </x:row>
    <x:row r="1382">
      <x:c r="A1382" s="9" t="str">
        <x:v>PD-AR-HC-A-C-TECH-4-B1-RCN-G0-PD16</x:v>
      </x:c>
      <x:c r="B1382" s="9" t="str">
        <x:v>PD-AR-HC-A-C-TECH-4-B1-RCN-G0</x:v>
      </x:c>
      <x:c r="C1382" s="9" t="str">
        <x:v>EV-AR-HC-A-C-TECH-4-B1-RCN-G0</x:v>
      </x:c>
      <x:c r="D1382" s="9" t="str">
        <x:v>AR-HC-A-C-TECH-4-B1-RCN-G0</x:v>
      </x:c>
      <x:c r="E1382" s="9" t="str">
        <x:v>HC-A-C-TECH-4</x:v>
      </x:c>
      <x:c r="F1382" s="9" t="str">
        <x:v>HC-A-C</x:v>
      </x:c>
      <x:c r="G1382" s="9" t="str">
        <x:v>B1</x:v>
      </x:c>
      <x:c r="H1382" s="9" t="str">
        <x:v>RCN</x:v>
      </x:c>
      <x:c r="I1382" s="9" t="str">
        <x:v>PD16</x:v>
      </x:c>
      <x:c r="J1382" s="17" t="str">
        <x:v>Dissent, amendments and access log</x:v>
      </x:c>
      <x:c r="K1382" s="17" t="str">
        <x:v>Public archive</x:v>
      </x:c>
      <x:c r="L1382" s="17" t="str">
        <x:v>COURT-SEALED UNTIL COHORT RELEASE</x:v>
      </x:c>
      <x:c r="M1382" s="9" t="n">
        <x:v>0</x:v>
      </x:c>
      <x:c r="N1382" s="9" t="n">
        <x:v>0</x:v>
      </x:c>
      <x:c r="O1382" s="9" t="n">
        <x:v>0</x:v>
      </x:c>
      <x:c r="P1382" s="9" t="str">
        <x:v>HELD / UNRELEASED</x:v>
      </x:c>
      <x:c r="Q1382" s="9" t="n">
        <x:f>COUNTIFS($A$7:$A$2310,A1382)</x:f>
        <x:v>1</x:v>
      </x:c>
    </x:row>
    <x:row r="1383">
      <x:c r="A1383" s="9" t="str">
        <x:v>PD-AR-HC-A-C-TECH-2-B1-INT-G0-PD01</x:v>
      </x:c>
      <x:c r="B1383" s="9" t="str">
        <x:v>PD-AR-HC-A-C-TECH-2-B1-INT-G0</x:v>
      </x:c>
      <x:c r="C1383" s="9" t="str">
        <x:v>EV-AR-HC-A-C-TECH-2-B1-INT-G0</x:v>
      </x:c>
      <x:c r="D1383" s="9" t="str">
        <x:v>AR-HC-A-C-TECH-2-B1-INT-G0</x:v>
      </x:c>
      <x:c r="E1383" s="9" t="str">
        <x:v>HC-A-C-TECH-2</x:v>
      </x:c>
      <x:c r="F1383" s="9" t="str">
        <x:v>HC-A-C</x:v>
      </x:c>
      <x:c r="G1383" s="9" t="str">
        <x:v>B1</x:v>
      </x:c>
      <x:c r="H1383" s="9" t="str">
        <x:v>INT</x:v>
      </x:c>
      <x:c r="I1383" s="9" t="str">
        <x:v>PD01</x:v>
      </x:c>
      <x:c r="J1383" s="17" t="str">
        <x:v>Experiment kernel</x:v>
      </x:c>
      <x:c r="K1383" s="17" t="str">
        <x:v>Public archive</x:v>
      </x:c>
      <x:c r="L1383" s="17" t="str">
        <x:v>COURT-SEALED UNTIL COHORT RELEASE</x:v>
      </x:c>
      <x:c r="M1383" s="9" t="n">
        <x:v>0</x:v>
      </x:c>
      <x:c r="N1383" s="9" t="n">
        <x:v>0</x:v>
      </x:c>
      <x:c r="O1383" s="9" t="n">
        <x:v>0</x:v>
      </x:c>
      <x:c r="P1383" s="9" t="str">
        <x:v>HELD / UNRELEASED</x:v>
      </x:c>
      <x:c r="Q1383" s="9" t="n">
        <x:f>COUNTIFS($A$7:$A$2310,A1383)</x:f>
        <x:v>1</x:v>
      </x:c>
    </x:row>
    <x:row r="1384">
      <x:c r="A1384" s="9" t="str">
        <x:v>PD-AR-HC-A-C-TECH-2-B1-INT-G0-PD02</x:v>
      </x:c>
      <x:c r="B1384" s="9" t="str">
        <x:v>PD-AR-HC-A-C-TECH-2-B1-INT-G0</x:v>
      </x:c>
      <x:c r="C1384" s="9" t="str">
        <x:v>EV-AR-HC-A-C-TECH-2-B1-INT-G0</x:v>
      </x:c>
      <x:c r="D1384" s="9" t="str">
        <x:v>AR-HC-A-C-TECH-2-B1-INT-G0</x:v>
      </x:c>
      <x:c r="E1384" s="9" t="str">
        <x:v>HC-A-C-TECH-2</x:v>
      </x:c>
      <x:c r="F1384" s="9" t="str">
        <x:v>HC-A-C</x:v>
      </x:c>
      <x:c r="G1384" s="9" t="str">
        <x:v>B1</x:v>
      </x:c>
      <x:c r="H1384" s="9" t="str">
        <x:v>INT</x:v>
      </x:c>
      <x:c r="I1384" s="9" t="str">
        <x:v>PD02</x:v>
      </x:c>
      <x:c r="J1384" s="17" t="str">
        <x:v>Serial annex and title chain</x:v>
      </x:c>
      <x:c r="K1384" s="17" t="str">
        <x:v>Public archive</x:v>
      </x:c>
      <x:c r="L1384" s="17" t="str">
        <x:v>COURT-SEALED UNTIL COHORT RELEASE</x:v>
      </x:c>
      <x:c r="M1384" s="9" t="n">
        <x:v>0</x:v>
      </x:c>
      <x:c r="N1384" s="9" t="n">
        <x:v>0</x:v>
      </x:c>
      <x:c r="O1384" s="9" t="n">
        <x:v>0</x:v>
      </x:c>
      <x:c r="P1384" s="9" t="str">
        <x:v>HELD / UNRELEASED</x:v>
      </x:c>
      <x:c r="Q1384" s="9" t="n">
        <x:f>COUNTIFS($A$7:$A$2310,A1384)</x:f>
        <x:v>1</x:v>
      </x:c>
    </x:row>
    <x:row r="1385">
      <x:c r="A1385" s="9" t="str">
        <x:v>PD-AR-HC-A-C-TECH-2-B1-INT-G0-PD03</x:v>
      </x:c>
      <x:c r="B1385" s="9" t="str">
        <x:v>PD-AR-HC-A-C-TECH-2-B1-INT-G0</x:v>
      </x:c>
      <x:c r="C1385" s="9" t="str">
        <x:v>EV-AR-HC-A-C-TECH-2-B1-INT-G0</x:v>
      </x:c>
      <x:c r="D1385" s="9" t="str">
        <x:v>AR-HC-A-C-TECH-2-B1-INT-G0</x:v>
      </x:c>
      <x:c r="E1385" s="9" t="str">
        <x:v>HC-A-C-TECH-2</x:v>
      </x:c>
      <x:c r="F1385" s="9" t="str">
        <x:v>HC-A-C</x:v>
      </x:c>
      <x:c r="G1385" s="9" t="str">
        <x:v>B1</x:v>
      </x:c>
      <x:c r="H1385" s="9" t="str">
        <x:v>INT</x:v>
      </x:c>
      <x:c r="I1385" s="9" t="str">
        <x:v>PD03</x:v>
      </x:c>
      <x:c r="J1385" s="17" t="str">
        <x:v>Configuration and as-built manifest</x:v>
      </x:c>
      <x:c r="K1385" s="17" t="str">
        <x:v>Artifact exchange</x:v>
      </x:c>
      <x:c r="L1385" s="17" t="str">
        <x:v>COURT-SEALED UNTIL COHORT RELEASE</x:v>
      </x:c>
      <x:c r="M1385" s="9" t="n">
        <x:v>0</x:v>
      </x:c>
      <x:c r="N1385" s="9" t="n">
        <x:v>0</x:v>
      </x:c>
      <x:c r="O1385" s="9" t="n">
        <x:v>0</x:v>
      </x:c>
      <x:c r="P1385" s="9" t="str">
        <x:v>HELD / UNRELEASED</x:v>
      </x:c>
      <x:c r="Q1385" s="9" t="n">
        <x:f>COUNTIFS($A$7:$A$2310,A1385)</x:f>
        <x:v>1</x:v>
      </x:c>
    </x:row>
    <x:row r="1386">
      <x:c r="A1386" s="9" t="str">
        <x:v>PD-AR-HC-A-C-TECH-2-B1-INT-G0-PD04</x:v>
      </x:c>
      <x:c r="B1386" s="9" t="str">
        <x:v>PD-AR-HC-A-C-TECH-2-B1-INT-G0</x:v>
      </x:c>
      <x:c r="C1386" s="9" t="str">
        <x:v>EV-AR-HC-A-C-TECH-2-B1-INT-G0</x:v>
      </x:c>
      <x:c r="D1386" s="9" t="str">
        <x:v>AR-HC-A-C-TECH-2-B1-INT-G0</x:v>
      </x:c>
      <x:c r="E1386" s="9" t="str">
        <x:v>HC-A-C-TECH-2</x:v>
      </x:c>
      <x:c r="F1386" s="9" t="str">
        <x:v>HC-A-C</x:v>
      </x:c>
      <x:c r="G1386" s="9" t="str">
        <x:v>B1</x:v>
      </x:c>
      <x:c r="H1386" s="9" t="str">
        <x:v>INT</x:v>
      </x:c>
      <x:c r="I1386" s="9" t="str">
        <x:v>PD04</x:v>
      </x:c>
      <x:c r="J1386" s="17" t="str">
        <x:v>EOW and start certificate</x:v>
      </x:c>
      <x:c r="K1386" s="17" t="str">
        <x:v>Start registrar</x:v>
      </x:c>
      <x:c r="L1386" s="17" t="str">
        <x:v>COURT-SEALED UNTIL COHORT RELEASE</x:v>
      </x:c>
      <x:c r="M1386" s="9" t="n">
        <x:v>0</x:v>
      </x:c>
      <x:c r="N1386" s="9" t="n">
        <x:v>0</x:v>
      </x:c>
      <x:c r="O1386" s="9" t="n">
        <x:v>0</x:v>
      </x:c>
      <x:c r="P1386" s="9" t="str">
        <x:v>HELD / UNRELEASED</x:v>
      </x:c>
      <x:c r="Q1386" s="9" t="n">
        <x:f>COUNTIFS($A$7:$A$2310,A1386)</x:f>
        <x:v>1</x:v>
      </x:c>
    </x:row>
    <x:row r="1387">
      <x:c r="A1387" s="9" t="str">
        <x:v>PD-AR-HC-A-C-TECH-2-B1-INT-G0-PD05</x:v>
      </x:c>
      <x:c r="B1387" s="9" t="str">
        <x:v>PD-AR-HC-A-C-TECH-2-B1-INT-G0</x:v>
      </x:c>
      <x:c r="C1387" s="9" t="str">
        <x:v>EV-AR-HC-A-C-TECH-2-B1-INT-G0</x:v>
      </x:c>
      <x:c r="D1387" s="9" t="str">
        <x:v>AR-HC-A-C-TECH-2-B1-INT-G0</x:v>
      </x:c>
      <x:c r="E1387" s="9" t="str">
        <x:v>HC-A-C-TECH-2</x:v>
      </x:c>
      <x:c r="F1387" s="9" t="str">
        <x:v>HC-A-C</x:v>
      </x:c>
      <x:c r="G1387" s="9" t="str">
        <x:v>B1</x:v>
      </x:c>
      <x:c r="H1387" s="9" t="str">
        <x:v>INT</x:v>
      </x:c>
      <x:c r="I1387" s="9" t="str">
        <x:v>PD05</x:v>
      </x:c>
      <x:c r="J1387" s="17" t="str">
        <x:v>Primary raw originals</x:v>
      </x:c>
      <x:c r="K1387" s="17" t="str">
        <x:v>Primary custody</x:v>
      </x:c>
      <x:c r="L1387" s="17" t="str">
        <x:v>COURT-SEALED UNTIL COHORT RELEASE</x:v>
      </x:c>
      <x:c r="M1387" s="9" t="n">
        <x:v>0</x:v>
      </x:c>
      <x:c r="N1387" s="9" t="n">
        <x:v>0</x:v>
      </x:c>
      <x:c r="O1387" s="9" t="n">
        <x:v>0</x:v>
      </x:c>
      <x:c r="P1387" s="9" t="str">
        <x:v>HELD / UNRELEASED</x:v>
      </x:c>
      <x:c r="Q1387" s="9" t="n">
        <x:f>COUNTIFS($A$7:$A$2310,A1387)</x:f>
        <x:v>1</x:v>
      </x:c>
    </x:row>
    <x:row r="1388">
      <x:c r="A1388" s="9" t="str">
        <x:v>PD-AR-HC-A-C-TECH-2-B1-INT-G0-PD06</x:v>
      </x:c>
      <x:c r="B1388" s="9" t="str">
        <x:v>PD-AR-HC-A-C-TECH-2-B1-INT-G0</x:v>
      </x:c>
      <x:c r="C1388" s="9" t="str">
        <x:v>EV-AR-HC-A-C-TECH-2-B1-INT-G0</x:v>
      </x:c>
      <x:c r="D1388" s="9" t="str">
        <x:v>AR-HC-A-C-TECH-2-B1-INT-G0</x:v>
      </x:c>
      <x:c r="E1388" s="9" t="str">
        <x:v>HC-A-C-TECH-2</x:v>
      </x:c>
      <x:c r="F1388" s="9" t="str">
        <x:v>HC-A-C</x:v>
      </x:c>
      <x:c r="G1388" s="9" t="str">
        <x:v>B1</x:v>
      </x:c>
      <x:c r="H1388" s="9" t="str">
        <x:v>INT</x:v>
      </x:c>
      <x:c r="I1388" s="9" t="str">
        <x:v>PD06</x:v>
      </x:c>
      <x:c r="J1388" s="17" t="str">
        <x:v>Witness raw originals</x:v>
      </x:c>
      <x:c r="K1388" s="17" t="str">
        <x:v>Witness custody</x:v>
      </x:c>
      <x:c r="L1388" s="17" t="str">
        <x:v>COURT-SEALED UNTIL COHORT RELEASE</x:v>
      </x:c>
      <x:c r="M1388" s="9" t="n">
        <x:v>0</x:v>
      </x:c>
      <x:c r="N1388" s="9" t="n">
        <x:v>0</x:v>
      </x:c>
      <x:c r="O1388" s="9" t="n">
        <x:v>0</x:v>
      </x:c>
      <x:c r="P1388" s="9" t="str">
        <x:v>HELD / UNRELEASED</x:v>
      </x:c>
      <x:c r="Q1388" s="9" t="n">
        <x:f>COUNTIFS($A$7:$A$2310,A1388)</x:f>
        <x:v>1</x:v>
      </x:c>
    </x:row>
    <x:row r="1389">
      <x:c r="A1389" s="9" t="str">
        <x:v>PD-AR-HC-A-C-TECH-2-B1-INT-G0-PD07</x:v>
      </x:c>
      <x:c r="B1389" s="9" t="str">
        <x:v>PD-AR-HC-A-C-TECH-2-B1-INT-G0</x:v>
      </x:c>
      <x:c r="C1389" s="9" t="str">
        <x:v>EV-AR-HC-A-C-TECH-2-B1-INT-G0</x:v>
      </x:c>
      <x:c r="D1389" s="9" t="str">
        <x:v>AR-HC-A-C-TECH-2-B1-INT-G0</x:v>
      </x:c>
      <x:c r="E1389" s="9" t="str">
        <x:v>HC-A-C-TECH-2</x:v>
      </x:c>
      <x:c r="F1389" s="9" t="str">
        <x:v>HC-A-C</x:v>
      </x:c>
      <x:c r="G1389" s="9" t="str">
        <x:v>B1</x:v>
      </x:c>
      <x:c r="H1389" s="9" t="str">
        <x:v>INT</x:v>
      </x:c>
      <x:c r="I1389" s="9" t="str">
        <x:v>PD07</x:v>
      </x:c>
      <x:c r="J1389" s="17" t="str">
        <x:v>Clock and environmental records</x:v>
      </x:c>
      <x:c r="K1389" s="17" t="str">
        <x:v>Boundary archive</x:v>
      </x:c>
      <x:c r="L1389" s="17" t="str">
        <x:v>COURT-SEALED UNTIL COHORT RELEASE</x:v>
      </x:c>
      <x:c r="M1389" s="9" t="n">
        <x:v>0</x:v>
      </x:c>
      <x:c r="N1389" s="9" t="n">
        <x:v>0</x:v>
      </x:c>
      <x:c r="O1389" s="9" t="n">
        <x:v>0</x:v>
      </x:c>
      <x:c r="P1389" s="9" t="str">
        <x:v>HELD / UNRELEASED</x:v>
      </x:c>
      <x:c r="Q1389" s="9" t="n">
        <x:f>COUNTIFS($A$7:$A$2310,A1389)</x:f>
        <x:v>1</x:v>
      </x:c>
    </x:row>
    <x:row r="1390">
      <x:c r="A1390" s="9" t="str">
        <x:v>PD-AR-HC-A-C-TECH-2-B1-INT-G0-PD08</x:v>
      </x:c>
      <x:c r="B1390" s="9" t="str">
        <x:v>PD-AR-HC-A-C-TECH-2-B1-INT-G0</x:v>
      </x:c>
      <x:c r="C1390" s="9" t="str">
        <x:v>EV-AR-HC-A-C-TECH-2-B1-INT-G0</x:v>
      </x:c>
      <x:c r="D1390" s="9" t="str">
        <x:v>AR-HC-A-C-TECH-2-B1-INT-G0</x:v>
      </x:c>
      <x:c r="E1390" s="9" t="str">
        <x:v>HC-A-C-TECH-2</x:v>
      </x:c>
      <x:c r="F1390" s="9" t="str">
        <x:v>HC-A-C</x:v>
      </x:c>
      <x:c r="G1390" s="9" t="str">
        <x:v>B1</x:v>
      </x:c>
      <x:c r="H1390" s="9" t="str">
        <x:v>INT</x:v>
      </x:c>
      <x:c r="I1390" s="9" t="str">
        <x:v>PD08</x:v>
      </x:c>
      <x:c r="J1390" s="17" t="str">
        <x:v>Command and intervention log</x:v>
      </x:c>
      <x:c r="K1390" s="17" t="str">
        <x:v>Safety archive</x:v>
      </x:c>
      <x:c r="L1390" s="17" t="str">
        <x:v>COURT-SEALED UNTIL COHORT RELEASE</x:v>
      </x:c>
      <x:c r="M1390" s="9" t="n">
        <x:v>0</x:v>
      </x:c>
      <x:c r="N1390" s="9" t="n">
        <x:v>0</x:v>
      </x:c>
      <x:c r="O1390" s="9" t="n">
        <x:v>0</x:v>
      </x:c>
      <x:c r="P1390" s="9" t="str">
        <x:v>HELD / UNRELEASED</x:v>
      </x:c>
      <x:c r="Q1390" s="9" t="n">
        <x:f>COUNTIFS($A$7:$A$2310,A1390)</x:f>
        <x:v>1</x:v>
      </x:c>
    </x:row>
    <x:row r="1391">
      <x:c r="A1391" s="9" t="str">
        <x:v>PD-AR-HC-A-C-TECH-2-B1-INT-G0-PD09</x:v>
      </x:c>
      <x:c r="B1391" s="9" t="str">
        <x:v>PD-AR-HC-A-C-TECH-2-B1-INT-G0</x:v>
      </x:c>
      <x:c r="C1391" s="9" t="str">
        <x:v>EV-AR-HC-A-C-TECH-2-B1-INT-G0</x:v>
      </x:c>
      <x:c r="D1391" s="9" t="str">
        <x:v>AR-HC-A-C-TECH-2-B1-INT-G0</x:v>
      </x:c>
      <x:c r="E1391" s="9" t="str">
        <x:v>HC-A-C-TECH-2</x:v>
      </x:c>
      <x:c r="F1391" s="9" t="str">
        <x:v>HC-A-C</x:v>
      </x:c>
      <x:c r="G1391" s="9" t="str">
        <x:v>B1</x:v>
      </x:c>
      <x:c r="H1391" s="9" t="str">
        <x:v>INT</x:v>
      </x:c>
      <x:c r="I1391" s="9" t="str">
        <x:v>PD09</x:v>
      </x:c>
      <x:c r="J1391" s="17" t="str">
        <x:v>Receiver denominator and service ledger</x:v>
      </x:c>
      <x:c r="K1391" s="17" t="str">
        <x:v>Receiver archive</x:v>
      </x:c>
      <x:c r="L1391" s="17" t="str">
        <x:v>COURT-SEALED UNTIL COHORT RELEASE</x:v>
      </x:c>
      <x:c r="M1391" s="9" t="n">
        <x:v>0</x:v>
      </x:c>
      <x:c r="N1391" s="9" t="n">
        <x:v>0</x:v>
      </x:c>
      <x:c r="O1391" s="9" t="n">
        <x:v>0</x:v>
      </x:c>
      <x:c r="P1391" s="9" t="str">
        <x:v>HELD / UNRELEASED</x:v>
      </x:c>
      <x:c r="Q1391" s="9" t="n">
        <x:f>COUNTIFS($A$7:$A$2310,A1391)</x:f>
        <x:v>1</x:v>
      </x:c>
    </x:row>
    <x:row r="1392">
      <x:c r="A1392" s="9" t="str">
        <x:v>PD-AR-HC-A-C-TECH-2-B1-INT-G0-PD10</x:v>
      </x:c>
      <x:c r="B1392" s="9" t="str">
        <x:v>PD-AR-HC-A-C-TECH-2-B1-INT-G0</x:v>
      </x:c>
      <x:c r="C1392" s="9" t="str">
        <x:v>EV-AR-HC-A-C-TECH-2-B1-INT-G0</x:v>
      </x:c>
      <x:c r="D1392" s="9" t="str">
        <x:v>AR-HC-A-C-TECH-2-B1-INT-G0</x:v>
      </x:c>
      <x:c r="E1392" s="9" t="str">
        <x:v>HC-A-C-TECH-2</x:v>
      </x:c>
      <x:c r="F1392" s="9" t="str">
        <x:v>HC-A-C</x:v>
      </x:c>
      <x:c r="G1392" s="9" t="str">
        <x:v>B1</x:v>
      </x:c>
      <x:c r="H1392" s="9" t="str">
        <x:v>INT</x:v>
      </x:c>
      <x:c r="I1392" s="9" t="str">
        <x:v>PD10</x:v>
      </x:c>
      <x:c r="J1392" s="17" t="str">
        <x:v>Calibration and uncertainty record</x:v>
      </x:c>
      <x:c r="K1392" s="17" t="str">
        <x:v>Metrology archive</x:v>
      </x:c>
      <x:c r="L1392" s="17" t="str">
        <x:v>COURT-SEALED UNTIL COHORT RELEASE</x:v>
      </x:c>
      <x:c r="M1392" s="9" t="n">
        <x:v>0</x:v>
      </x:c>
      <x:c r="N1392" s="9" t="n">
        <x:v>0</x:v>
      </x:c>
      <x:c r="O1392" s="9" t="n">
        <x:v>0</x:v>
      </x:c>
      <x:c r="P1392" s="9" t="str">
        <x:v>HELD / UNRELEASED</x:v>
      </x:c>
      <x:c r="Q1392" s="9" t="n">
        <x:f>COUNTIFS($A$7:$A$2310,A1392)</x:f>
        <x:v>1</x:v>
      </x:c>
    </x:row>
    <x:row r="1393">
      <x:c r="A1393" s="9" t="str">
        <x:v>PD-AR-HC-A-C-TECH-2-B1-INT-G0-PD11</x:v>
      </x:c>
      <x:c r="B1393" s="9" t="str">
        <x:v>PD-AR-HC-A-C-TECH-2-B1-INT-G0</x:v>
      </x:c>
      <x:c r="C1393" s="9" t="str">
        <x:v>EV-AR-HC-A-C-TECH-2-B1-INT-G0</x:v>
      </x:c>
      <x:c r="D1393" s="9" t="str">
        <x:v>AR-HC-A-C-TECH-2-B1-INT-G0</x:v>
      </x:c>
      <x:c r="E1393" s="9" t="str">
        <x:v>HC-A-C-TECH-2</x:v>
      </x:c>
      <x:c r="F1393" s="9" t="str">
        <x:v>HC-A-C</x:v>
      </x:c>
      <x:c r="G1393" s="9" t="str">
        <x:v>B1</x:v>
      </x:c>
      <x:c r="H1393" s="9" t="str">
        <x:v>INT</x:v>
      </x:c>
      <x:c r="I1393" s="9" t="str">
        <x:v>PD11</x:v>
      </x:c>
      <x:c r="J1393" s="17" t="str">
        <x:v>Invalidity petition and opinion</x:v>
      </x:c>
      <x:c r="K1393" s="17" t="str">
        <x:v>Invalidity court</x:v>
      </x:c>
      <x:c r="L1393" s="17" t="str">
        <x:v>COURT-SEALED UNTIL COHORT RELEASE</x:v>
      </x:c>
      <x:c r="M1393" s="9" t="n">
        <x:v>0</x:v>
      </x:c>
      <x:c r="N1393" s="9" t="n">
        <x:v>0</x:v>
      </x:c>
      <x:c r="O1393" s="9" t="n">
        <x:v>0</x:v>
      </x:c>
      <x:c r="P1393" s="9" t="str">
        <x:v>HELD / UNRELEASED</x:v>
      </x:c>
      <x:c r="Q1393" s="9" t="n">
        <x:f>COUNTIFS($A$7:$A$2310,A1393)</x:f>
        <x:v>1</x:v>
      </x:c>
    </x:row>
    <x:row r="1394">
      <x:c r="A1394" s="9" t="str">
        <x:v>PD-AR-HC-A-C-TECH-2-B1-INT-G0-PD12</x:v>
      </x:c>
      <x:c r="B1394" s="9" t="str">
        <x:v>PD-AR-HC-A-C-TECH-2-B1-INT-G0</x:v>
      </x:c>
      <x:c r="C1394" s="9" t="str">
        <x:v>EV-AR-HC-A-C-TECH-2-B1-INT-G0</x:v>
      </x:c>
      <x:c r="D1394" s="9" t="str">
        <x:v>AR-HC-A-C-TECH-2-B1-INT-G0</x:v>
      </x:c>
      <x:c r="E1394" s="9" t="str">
        <x:v>HC-A-C-TECH-2</x:v>
      </x:c>
      <x:c r="F1394" s="9" t="str">
        <x:v>HC-A-C</x:v>
      </x:c>
      <x:c r="G1394" s="9" t="str">
        <x:v>B1</x:v>
      </x:c>
      <x:c r="H1394" s="9" t="str">
        <x:v>INT</x:v>
      </x:c>
      <x:c r="I1394" s="9" t="str">
        <x:v>PD12</x:v>
      </x:c>
      <x:c r="J1394" s="17" t="str">
        <x:v>Observation acceptance and replay</x:v>
      </x:c>
      <x:c r="K1394" s="17" t="str">
        <x:v>Observation court</x:v>
      </x:c>
      <x:c r="L1394" s="17" t="str">
        <x:v>COURT-SEALED UNTIL COHORT RELEASE</x:v>
      </x:c>
      <x:c r="M1394" s="9" t="n">
        <x:v>0</x:v>
      </x:c>
      <x:c r="N1394" s="9" t="n">
        <x:v>0</x:v>
      </x:c>
      <x:c r="O1394" s="9" t="n">
        <x:v>0</x:v>
      </x:c>
      <x:c r="P1394" s="9" t="str">
        <x:v>HELD / UNRELEASED</x:v>
      </x:c>
      <x:c r="Q1394" s="9" t="n">
        <x:f>COUNTIFS($A$7:$A$2310,A1394)</x:f>
        <x:v>1</x:v>
      </x:c>
    </x:row>
    <x:row r="1395">
      <x:c r="A1395" s="9" t="str">
        <x:v>PD-AR-HC-A-C-TECH-2-B1-INT-G0-PD13</x:v>
      </x:c>
      <x:c r="B1395" s="9" t="str">
        <x:v>PD-AR-HC-A-C-TECH-2-B1-INT-G0</x:v>
      </x:c>
      <x:c r="C1395" s="9" t="str">
        <x:v>EV-AR-HC-A-C-TECH-2-B1-INT-G0</x:v>
      </x:c>
      <x:c r="D1395" s="9" t="str">
        <x:v>AR-HC-A-C-TECH-2-B1-INT-G0</x:v>
      </x:c>
      <x:c r="E1395" s="9" t="str">
        <x:v>HC-A-C-TECH-2</x:v>
      </x:c>
      <x:c r="F1395" s="9" t="str">
        <x:v>HC-A-C</x:v>
      </x:c>
      <x:c r="G1395" s="9" t="str">
        <x:v>B1</x:v>
      </x:c>
      <x:c r="H1395" s="9" t="str">
        <x:v>INT</x:v>
      </x:c>
      <x:c r="I1395" s="9" t="str">
        <x:v>PD13</x:v>
      </x:c>
      <x:c r="J1395" s="17" t="str">
        <x:v>Role judgment</x:v>
      </x:c>
      <x:c r="K1395" s="17" t="str">
        <x:v>Role court</x:v>
      </x:c>
      <x:c r="L1395" s="17" t="str">
        <x:v>COURT-SEALED UNTIL COHORT RELEASE</x:v>
      </x:c>
      <x:c r="M1395" s="9" t="n">
        <x:v>0</x:v>
      </x:c>
      <x:c r="N1395" s="9" t="n">
        <x:v>0</x:v>
      </x:c>
      <x:c r="O1395" s="9" t="n">
        <x:v>0</x:v>
      </x:c>
      <x:c r="P1395" s="9" t="str">
        <x:v>HELD / UNRELEASED</x:v>
      </x:c>
      <x:c r="Q1395" s="9" t="n">
        <x:f>COUNTIFS($A$7:$A$2310,A1395)</x:f>
        <x:v>1</x:v>
      </x:c>
    </x:row>
    <x:row r="1396">
      <x:c r="A1396" s="9" t="str">
        <x:v>PD-AR-HC-A-C-TECH-2-B1-INT-G0-PD14</x:v>
      </x:c>
      <x:c r="B1396" s="9" t="str">
        <x:v>PD-AR-HC-A-C-TECH-2-B1-INT-G0</x:v>
      </x:c>
      <x:c r="C1396" s="9" t="str">
        <x:v>EV-AR-HC-A-C-TECH-2-B1-INT-G0</x:v>
      </x:c>
      <x:c r="D1396" s="9" t="str">
        <x:v>AR-HC-A-C-TECH-2-B1-INT-G0</x:v>
      </x:c>
      <x:c r="E1396" s="9" t="str">
        <x:v>HC-A-C-TECH-2</x:v>
      </x:c>
      <x:c r="F1396" s="9" t="str">
        <x:v>HC-A-C</x:v>
      </x:c>
      <x:c r="G1396" s="9" t="str">
        <x:v>B1</x:v>
      </x:c>
      <x:c r="H1396" s="9" t="str">
        <x:v>INT</x:v>
      </x:c>
      <x:c r="I1396" s="9" t="str">
        <x:v>PD14</x:v>
      </x:c>
      <x:c r="J1396" s="17" t="str">
        <x:v>Break and residual account</x:v>
      </x:c>
      <x:c r="K1396" s="17" t="str">
        <x:v>Residual authority</x:v>
      </x:c>
      <x:c r="L1396" s="17" t="str">
        <x:v>COURT-SEALED UNTIL COHORT RELEASE</x:v>
      </x:c>
      <x:c r="M1396" s="9" t="n">
        <x:v>0</x:v>
      </x:c>
      <x:c r="N1396" s="9" t="n">
        <x:v>0</x:v>
      </x:c>
      <x:c r="O1396" s="9" t="n">
        <x:v>0</x:v>
      </x:c>
      <x:c r="P1396" s="9" t="str">
        <x:v>HELD / UNRELEASED</x:v>
      </x:c>
      <x:c r="Q1396" s="9" t="n">
        <x:f>COUNTIFS($A$7:$A$2310,A1396)</x:f>
        <x:v>1</x:v>
      </x:c>
    </x:row>
    <x:row r="1397">
      <x:c r="A1397" s="9" t="str">
        <x:v>PD-AR-HC-A-C-TECH-2-B1-INT-G0-PD15</x:v>
      </x:c>
      <x:c r="B1397" s="9" t="str">
        <x:v>PD-AR-HC-A-C-TECH-2-B1-INT-G0</x:v>
      </x:c>
      <x:c r="C1397" s="9" t="str">
        <x:v>EV-AR-HC-A-C-TECH-2-B1-INT-G0</x:v>
      </x:c>
      <x:c r="D1397" s="9" t="str">
        <x:v>AR-HC-A-C-TECH-2-B1-INT-G0</x:v>
      </x:c>
      <x:c r="E1397" s="9" t="str">
        <x:v>HC-A-C-TECH-2</x:v>
      </x:c>
      <x:c r="F1397" s="9" t="str">
        <x:v>HC-A-C</x:v>
      </x:c>
      <x:c r="G1397" s="9" t="str">
        <x:v>B1</x:v>
      </x:c>
      <x:c r="H1397" s="9" t="str">
        <x:v>INT</x:v>
      </x:c>
      <x:c r="I1397" s="9" t="str">
        <x:v>PD15</x:v>
      </x:c>
      <x:c r="J1397" s="17" t="str">
        <x:v>Reconstruction ancestry and replay</x:v>
      </x:c>
      <x:c r="K1397" s="17" t="str">
        <x:v>Reconstruction court</x:v>
      </x:c>
      <x:c r="L1397" s="17" t="str">
        <x:v>COURT-SEALED UNTIL COHORT RELEASE</x:v>
      </x:c>
      <x:c r="M1397" s="9" t="n">
        <x:v>0</x:v>
      </x:c>
      <x:c r="N1397" s="9" t="n">
        <x:v>0</x:v>
      </x:c>
      <x:c r="O1397" s="9" t="n">
        <x:v>0</x:v>
      </x:c>
      <x:c r="P1397" s="9" t="str">
        <x:v>HELD / UNRELEASED</x:v>
      </x:c>
      <x:c r="Q1397" s="9" t="n">
        <x:f>COUNTIFS($A$7:$A$2310,A1397)</x:f>
        <x:v>1</x:v>
      </x:c>
    </x:row>
    <x:row r="1398">
      <x:c r="A1398" s="9" t="str">
        <x:v>PD-AR-HC-A-C-TECH-2-B1-INT-G0-PD16</x:v>
      </x:c>
      <x:c r="B1398" s="9" t="str">
        <x:v>PD-AR-HC-A-C-TECH-2-B1-INT-G0</x:v>
      </x:c>
      <x:c r="C1398" s="9" t="str">
        <x:v>EV-AR-HC-A-C-TECH-2-B1-INT-G0</x:v>
      </x:c>
      <x:c r="D1398" s="9" t="str">
        <x:v>AR-HC-A-C-TECH-2-B1-INT-G0</x:v>
      </x:c>
      <x:c r="E1398" s="9" t="str">
        <x:v>HC-A-C-TECH-2</x:v>
      </x:c>
      <x:c r="F1398" s="9" t="str">
        <x:v>HC-A-C</x:v>
      </x:c>
      <x:c r="G1398" s="9" t="str">
        <x:v>B1</x:v>
      </x:c>
      <x:c r="H1398" s="9" t="str">
        <x:v>INT</x:v>
      </x:c>
      <x:c r="I1398" s="9" t="str">
        <x:v>PD16</x:v>
      </x:c>
      <x:c r="J1398" s="17" t="str">
        <x:v>Dissent, amendments and access log</x:v>
      </x:c>
      <x:c r="K1398" s="17" t="str">
        <x:v>Public archive</x:v>
      </x:c>
      <x:c r="L1398" s="17" t="str">
        <x:v>COURT-SEALED UNTIL COHORT RELEASE</x:v>
      </x:c>
      <x:c r="M1398" s="9" t="n">
        <x:v>0</x:v>
      </x:c>
      <x:c r="N1398" s="9" t="n">
        <x:v>0</x:v>
      </x:c>
      <x:c r="O1398" s="9" t="n">
        <x:v>0</x:v>
      </x:c>
      <x:c r="P1398" s="9" t="str">
        <x:v>HELD / UNRELEASED</x:v>
      </x:c>
      <x:c r="Q1398" s="9" t="n">
        <x:f>COUNTIFS($A$7:$A$2310,A1398)</x:f>
        <x:v>1</x:v>
      </x:c>
    </x:row>
    <x:row r="1399">
      <x:c r="A1399" s="9" t="str">
        <x:v>PD-AR-LF-B-A-TECH-4-B2-BRK-G0-PD01</x:v>
      </x:c>
      <x:c r="B1399" s="9" t="str">
        <x:v>PD-AR-LF-B-A-TECH-4-B2-BRK-G0</x:v>
      </x:c>
      <x:c r="C1399" s="9" t="str">
        <x:v>EV-AR-LF-B-A-TECH-4-B2-BRK-G0</x:v>
      </x:c>
      <x:c r="D1399" s="9" t="str">
        <x:v>AR-LF-B-A-TECH-4-B2-BRK-G0</x:v>
      </x:c>
      <x:c r="E1399" s="9" t="str">
        <x:v>LF-B-A-TECH-4</x:v>
      </x:c>
      <x:c r="F1399" s="9" t="str">
        <x:v>LF-B-A</x:v>
      </x:c>
      <x:c r="G1399" s="9" t="str">
        <x:v>B2</x:v>
      </x:c>
      <x:c r="H1399" s="9" t="str">
        <x:v>BRK</x:v>
      </x:c>
      <x:c r="I1399" s="9" t="str">
        <x:v>PD01</x:v>
      </x:c>
      <x:c r="J1399" s="17" t="str">
        <x:v>Experiment kernel</x:v>
      </x:c>
      <x:c r="K1399" s="17" t="str">
        <x:v>Public archive</x:v>
      </x:c>
      <x:c r="L1399" s="17" t="str">
        <x:v>COURT-SEALED UNTIL COHORT RELEASE</x:v>
      </x:c>
      <x:c r="M1399" s="9" t="n">
        <x:v>0</x:v>
      </x:c>
      <x:c r="N1399" s="9" t="n">
        <x:v>0</x:v>
      </x:c>
      <x:c r="O1399" s="9" t="n">
        <x:v>0</x:v>
      </x:c>
      <x:c r="P1399" s="9" t="str">
        <x:v>HELD / UNRELEASED</x:v>
      </x:c>
      <x:c r="Q1399" s="9" t="n">
        <x:f>COUNTIFS($A$7:$A$2310,A1399)</x:f>
        <x:v>1</x:v>
      </x:c>
    </x:row>
    <x:row r="1400">
      <x:c r="A1400" s="9" t="str">
        <x:v>PD-AR-LF-B-A-TECH-4-B2-BRK-G0-PD02</x:v>
      </x:c>
      <x:c r="B1400" s="9" t="str">
        <x:v>PD-AR-LF-B-A-TECH-4-B2-BRK-G0</x:v>
      </x:c>
      <x:c r="C1400" s="9" t="str">
        <x:v>EV-AR-LF-B-A-TECH-4-B2-BRK-G0</x:v>
      </x:c>
      <x:c r="D1400" s="9" t="str">
        <x:v>AR-LF-B-A-TECH-4-B2-BRK-G0</x:v>
      </x:c>
      <x:c r="E1400" s="9" t="str">
        <x:v>LF-B-A-TECH-4</x:v>
      </x:c>
      <x:c r="F1400" s="9" t="str">
        <x:v>LF-B-A</x:v>
      </x:c>
      <x:c r="G1400" s="9" t="str">
        <x:v>B2</x:v>
      </x:c>
      <x:c r="H1400" s="9" t="str">
        <x:v>BRK</x:v>
      </x:c>
      <x:c r="I1400" s="9" t="str">
        <x:v>PD02</x:v>
      </x:c>
      <x:c r="J1400" s="17" t="str">
        <x:v>Serial annex and title chain</x:v>
      </x:c>
      <x:c r="K1400" s="17" t="str">
        <x:v>Public archive</x:v>
      </x:c>
      <x:c r="L1400" s="17" t="str">
        <x:v>COURT-SEALED UNTIL COHORT RELEASE</x:v>
      </x:c>
      <x:c r="M1400" s="9" t="n">
        <x:v>0</x:v>
      </x:c>
      <x:c r="N1400" s="9" t="n">
        <x:v>0</x:v>
      </x:c>
      <x:c r="O1400" s="9" t="n">
        <x:v>0</x:v>
      </x:c>
      <x:c r="P1400" s="9" t="str">
        <x:v>HELD / UNRELEASED</x:v>
      </x:c>
      <x:c r="Q1400" s="9" t="n">
        <x:f>COUNTIFS($A$7:$A$2310,A1400)</x:f>
        <x:v>1</x:v>
      </x:c>
    </x:row>
    <x:row r="1401">
      <x:c r="A1401" s="9" t="str">
        <x:v>PD-AR-LF-B-A-TECH-4-B2-BRK-G0-PD03</x:v>
      </x:c>
      <x:c r="B1401" s="9" t="str">
        <x:v>PD-AR-LF-B-A-TECH-4-B2-BRK-G0</x:v>
      </x:c>
      <x:c r="C1401" s="9" t="str">
        <x:v>EV-AR-LF-B-A-TECH-4-B2-BRK-G0</x:v>
      </x:c>
      <x:c r="D1401" s="9" t="str">
        <x:v>AR-LF-B-A-TECH-4-B2-BRK-G0</x:v>
      </x:c>
      <x:c r="E1401" s="9" t="str">
        <x:v>LF-B-A-TECH-4</x:v>
      </x:c>
      <x:c r="F1401" s="9" t="str">
        <x:v>LF-B-A</x:v>
      </x:c>
      <x:c r="G1401" s="9" t="str">
        <x:v>B2</x:v>
      </x:c>
      <x:c r="H1401" s="9" t="str">
        <x:v>BRK</x:v>
      </x:c>
      <x:c r="I1401" s="9" t="str">
        <x:v>PD03</x:v>
      </x:c>
      <x:c r="J1401" s="17" t="str">
        <x:v>Configuration and as-built manifest</x:v>
      </x:c>
      <x:c r="K1401" s="17" t="str">
        <x:v>Artifact exchange</x:v>
      </x:c>
      <x:c r="L1401" s="17" t="str">
        <x:v>COURT-SEALED UNTIL COHORT RELEASE</x:v>
      </x:c>
      <x:c r="M1401" s="9" t="n">
        <x:v>0</x:v>
      </x:c>
      <x:c r="N1401" s="9" t="n">
        <x:v>0</x:v>
      </x:c>
      <x:c r="O1401" s="9" t="n">
        <x:v>0</x:v>
      </x:c>
      <x:c r="P1401" s="9" t="str">
        <x:v>HELD / UNRELEASED</x:v>
      </x:c>
      <x:c r="Q1401" s="9" t="n">
        <x:f>COUNTIFS($A$7:$A$2310,A1401)</x:f>
        <x:v>1</x:v>
      </x:c>
    </x:row>
    <x:row r="1402">
      <x:c r="A1402" s="9" t="str">
        <x:v>PD-AR-LF-B-A-TECH-4-B2-BRK-G0-PD04</x:v>
      </x:c>
      <x:c r="B1402" s="9" t="str">
        <x:v>PD-AR-LF-B-A-TECH-4-B2-BRK-G0</x:v>
      </x:c>
      <x:c r="C1402" s="9" t="str">
        <x:v>EV-AR-LF-B-A-TECH-4-B2-BRK-G0</x:v>
      </x:c>
      <x:c r="D1402" s="9" t="str">
        <x:v>AR-LF-B-A-TECH-4-B2-BRK-G0</x:v>
      </x:c>
      <x:c r="E1402" s="9" t="str">
        <x:v>LF-B-A-TECH-4</x:v>
      </x:c>
      <x:c r="F1402" s="9" t="str">
        <x:v>LF-B-A</x:v>
      </x:c>
      <x:c r="G1402" s="9" t="str">
        <x:v>B2</x:v>
      </x:c>
      <x:c r="H1402" s="9" t="str">
        <x:v>BRK</x:v>
      </x:c>
      <x:c r="I1402" s="9" t="str">
        <x:v>PD04</x:v>
      </x:c>
      <x:c r="J1402" s="17" t="str">
        <x:v>EOW and start certificate</x:v>
      </x:c>
      <x:c r="K1402" s="17" t="str">
        <x:v>Start registrar</x:v>
      </x:c>
      <x:c r="L1402" s="17" t="str">
        <x:v>COURT-SEALED UNTIL COHORT RELEASE</x:v>
      </x:c>
      <x:c r="M1402" s="9" t="n">
        <x:v>0</x:v>
      </x:c>
      <x:c r="N1402" s="9" t="n">
        <x:v>0</x:v>
      </x:c>
      <x:c r="O1402" s="9" t="n">
        <x:v>0</x:v>
      </x:c>
      <x:c r="P1402" s="9" t="str">
        <x:v>HELD / UNRELEASED</x:v>
      </x:c>
      <x:c r="Q1402" s="9" t="n">
        <x:f>COUNTIFS($A$7:$A$2310,A1402)</x:f>
        <x:v>1</x:v>
      </x:c>
    </x:row>
    <x:row r="1403">
      <x:c r="A1403" s="9" t="str">
        <x:v>PD-AR-LF-B-A-TECH-4-B2-BRK-G0-PD05</x:v>
      </x:c>
      <x:c r="B1403" s="9" t="str">
        <x:v>PD-AR-LF-B-A-TECH-4-B2-BRK-G0</x:v>
      </x:c>
      <x:c r="C1403" s="9" t="str">
        <x:v>EV-AR-LF-B-A-TECH-4-B2-BRK-G0</x:v>
      </x:c>
      <x:c r="D1403" s="9" t="str">
        <x:v>AR-LF-B-A-TECH-4-B2-BRK-G0</x:v>
      </x:c>
      <x:c r="E1403" s="9" t="str">
        <x:v>LF-B-A-TECH-4</x:v>
      </x:c>
      <x:c r="F1403" s="9" t="str">
        <x:v>LF-B-A</x:v>
      </x:c>
      <x:c r="G1403" s="9" t="str">
        <x:v>B2</x:v>
      </x:c>
      <x:c r="H1403" s="9" t="str">
        <x:v>BRK</x:v>
      </x:c>
      <x:c r="I1403" s="9" t="str">
        <x:v>PD05</x:v>
      </x:c>
      <x:c r="J1403" s="17" t="str">
        <x:v>Primary raw originals</x:v>
      </x:c>
      <x:c r="K1403" s="17" t="str">
        <x:v>Primary custody</x:v>
      </x:c>
      <x:c r="L1403" s="17" t="str">
        <x:v>COURT-SEALED UNTIL COHORT RELEASE</x:v>
      </x:c>
      <x:c r="M1403" s="9" t="n">
        <x:v>0</x:v>
      </x:c>
      <x:c r="N1403" s="9" t="n">
        <x:v>0</x:v>
      </x:c>
      <x:c r="O1403" s="9" t="n">
        <x:v>0</x:v>
      </x:c>
      <x:c r="P1403" s="9" t="str">
        <x:v>HELD / UNRELEASED</x:v>
      </x:c>
      <x:c r="Q1403" s="9" t="n">
        <x:f>COUNTIFS($A$7:$A$2310,A1403)</x:f>
        <x:v>1</x:v>
      </x:c>
    </x:row>
    <x:row r="1404">
      <x:c r="A1404" s="9" t="str">
        <x:v>PD-AR-LF-B-A-TECH-4-B2-BRK-G0-PD06</x:v>
      </x:c>
      <x:c r="B1404" s="9" t="str">
        <x:v>PD-AR-LF-B-A-TECH-4-B2-BRK-G0</x:v>
      </x:c>
      <x:c r="C1404" s="9" t="str">
        <x:v>EV-AR-LF-B-A-TECH-4-B2-BRK-G0</x:v>
      </x:c>
      <x:c r="D1404" s="9" t="str">
        <x:v>AR-LF-B-A-TECH-4-B2-BRK-G0</x:v>
      </x:c>
      <x:c r="E1404" s="9" t="str">
        <x:v>LF-B-A-TECH-4</x:v>
      </x:c>
      <x:c r="F1404" s="9" t="str">
        <x:v>LF-B-A</x:v>
      </x:c>
      <x:c r="G1404" s="9" t="str">
        <x:v>B2</x:v>
      </x:c>
      <x:c r="H1404" s="9" t="str">
        <x:v>BRK</x:v>
      </x:c>
      <x:c r="I1404" s="9" t="str">
        <x:v>PD06</x:v>
      </x:c>
      <x:c r="J1404" s="17" t="str">
        <x:v>Witness raw originals</x:v>
      </x:c>
      <x:c r="K1404" s="17" t="str">
        <x:v>Witness custody</x:v>
      </x:c>
      <x:c r="L1404" s="17" t="str">
        <x:v>COURT-SEALED UNTIL COHORT RELEASE</x:v>
      </x:c>
      <x:c r="M1404" s="9" t="n">
        <x:v>0</x:v>
      </x:c>
      <x:c r="N1404" s="9" t="n">
        <x:v>0</x:v>
      </x:c>
      <x:c r="O1404" s="9" t="n">
        <x:v>0</x:v>
      </x:c>
      <x:c r="P1404" s="9" t="str">
        <x:v>HELD / UNRELEASED</x:v>
      </x:c>
      <x:c r="Q1404" s="9" t="n">
        <x:f>COUNTIFS($A$7:$A$2310,A1404)</x:f>
        <x:v>1</x:v>
      </x:c>
    </x:row>
    <x:row r="1405">
      <x:c r="A1405" s="9" t="str">
        <x:v>PD-AR-LF-B-A-TECH-4-B2-BRK-G0-PD07</x:v>
      </x:c>
      <x:c r="B1405" s="9" t="str">
        <x:v>PD-AR-LF-B-A-TECH-4-B2-BRK-G0</x:v>
      </x:c>
      <x:c r="C1405" s="9" t="str">
        <x:v>EV-AR-LF-B-A-TECH-4-B2-BRK-G0</x:v>
      </x:c>
      <x:c r="D1405" s="9" t="str">
        <x:v>AR-LF-B-A-TECH-4-B2-BRK-G0</x:v>
      </x:c>
      <x:c r="E1405" s="9" t="str">
        <x:v>LF-B-A-TECH-4</x:v>
      </x:c>
      <x:c r="F1405" s="9" t="str">
        <x:v>LF-B-A</x:v>
      </x:c>
      <x:c r="G1405" s="9" t="str">
        <x:v>B2</x:v>
      </x:c>
      <x:c r="H1405" s="9" t="str">
        <x:v>BRK</x:v>
      </x:c>
      <x:c r="I1405" s="9" t="str">
        <x:v>PD07</x:v>
      </x:c>
      <x:c r="J1405" s="17" t="str">
        <x:v>Clock and environmental records</x:v>
      </x:c>
      <x:c r="K1405" s="17" t="str">
        <x:v>Boundary archive</x:v>
      </x:c>
      <x:c r="L1405" s="17" t="str">
        <x:v>COURT-SEALED UNTIL COHORT RELEASE</x:v>
      </x:c>
      <x:c r="M1405" s="9" t="n">
        <x:v>0</x:v>
      </x:c>
      <x:c r="N1405" s="9" t="n">
        <x:v>0</x:v>
      </x:c>
      <x:c r="O1405" s="9" t="n">
        <x:v>0</x:v>
      </x:c>
      <x:c r="P1405" s="9" t="str">
        <x:v>HELD / UNRELEASED</x:v>
      </x:c>
      <x:c r="Q1405" s="9" t="n">
        <x:f>COUNTIFS($A$7:$A$2310,A1405)</x:f>
        <x:v>1</x:v>
      </x:c>
    </x:row>
    <x:row r="1406">
      <x:c r="A1406" s="9" t="str">
        <x:v>PD-AR-LF-B-A-TECH-4-B2-BRK-G0-PD08</x:v>
      </x:c>
      <x:c r="B1406" s="9" t="str">
        <x:v>PD-AR-LF-B-A-TECH-4-B2-BRK-G0</x:v>
      </x:c>
      <x:c r="C1406" s="9" t="str">
        <x:v>EV-AR-LF-B-A-TECH-4-B2-BRK-G0</x:v>
      </x:c>
      <x:c r="D1406" s="9" t="str">
        <x:v>AR-LF-B-A-TECH-4-B2-BRK-G0</x:v>
      </x:c>
      <x:c r="E1406" s="9" t="str">
        <x:v>LF-B-A-TECH-4</x:v>
      </x:c>
      <x:c r="F1406" s="9" t="str">
        <x:v>LF-B-A</x:v>
      </x:c>
      <x:c r="G1406" s="9" t="str">
        <x:v>B2</x:v>
      </x:c>
      <x:c r="H1406" s="9" t="str">
        <x:v>BRK</x:v>
      </x:c>
      <x:c r="I1406" s="9" t="str">
        <x:v>PD08</x:v>
      </x:c>
      <x:c r="J1406" s="17" t="str">
        <x:v>Command and intervention log</x:v>
      </x:c>
      <x:c r="K1406" s="17" t="str">
        <x:v>Safety archive</x:v>
      </x:c>
      <x:c r="L1406" s="17" t="str">
        <x:v>COURT-SEALED UNTIL COHORT RELEASE</x:v>
      </x:c>
      <x:c r="M1406" s="9" t="n">
        <x:v>0</x:v>
      </x:c>
      <x:c r="N1406" s="9" t="n">
        <x:v>0</x:v>
      </x:c>
      <x:c r="O1406" s="9" t="n">
        <x:v>0</x:v>
      </x:c>
      <x:c r="P1406" s="9" t="str">
        <x:v>HELD / UNRELEASED</x:v>
      </x:c>
      <x:c r="Q1406" s="9" t="n">
        <x:f>COUNTIFS($A$7:$A$2310,A1406)</x:f>
        <x:v>1</x:v>
      </x:c>
    </x:row>
    <x:row r="1407">
      <x:c r="A1407" s="9" t="str">
        <x:v>PD-AR-LF-B-A-TECH-4-B2-BRK-G0-PD09</x:v>
      </x:c>
      <x:c r="B1407" s="9" t="str">
        <x:v>PD-AR-LF-B-A-TECH-4-B2-BRK-G0</x:v>
      </x:c>
      <x:c r="C1407" s="9" t="str">
        <x:v>EV-AR-LF-B-A-TECH-4-B2-BRK-G0</x:v>
      </x:c>
      <x:c r="D1407" s="9" t="str">
        <x:v>AR-LF-B-A-TECH-4-B2-BRK-G0</x:v>
      </x:c>
      <x:c r="E1407" s="9" t="str">
        <x:v>LF-B-A-TECH-4</x:v>
      </x:c>
      <x:c r="F1407" s="9" t="str">
        <x:v>LF-B-A</x:v>
      </x:c>
      <x:c r="G1407" s="9" t="str">
        <x:v>B2</x:v>
      </x:c>
      <x:c r="H1407" s="9" t="str">
        <x:v>BRK</x:v>
      </x:c>
      <x:c r="I1407" s="9" t="str">
        <x:v>PD09</x:v>
      </x:c>
      <x:c r="J1407" s="17" t="str">
        <x:v>Receiver denominator and service ledger</x:v>
      </x:c>
      <x:c r="K1407" s="17" t="str">
        <x:v>Receiver archive</x:v>
      </x:c>
      <x:c r="L1407" s="17" t="str">
        <x:v>COURT-SEALED UNTIL COHORT RELEASE</x:v>
      </x:c>
      <x:c r="M1407" s="9" t="n">
        <x:v>0</x:v>
      </x:c>
      <x:c r="N1407" s="9" t="n">
        <x:v>0</x:v>
      </x:c>
      <x:c r="O1407" s="9" t="n">
        <x:v>0</x:v>
      </x:c>
      <x:c r="P1407" s="9" t="str">
        <x:v>HELD / UNRELEASED</x:v>
      </x:c>
      <x:c r="Q1407" s="9" t="n">
        <x:f>COUNTIFS($A$7:$A$2310,A1407)</x:f>
        <x:v>1</x:v>
      </x:c>
    </x:row>
    <x:row r="1408">
      <x:c r="A1408" s="9" t="str">
        <x:v>PD-AR-LF-B-A-TECH-4-B2-BRK-G0-PD10</x:v>
      </x:c>
      <x:c r="B1408" s="9" t="str">
        <x:v>PD-AR-LF-B-A-TECH-4-B2-BRK-G0</x:v>
      </x:c>
      <x:c r="C1408" s="9" t="str">
        <x:v>EV-AR-LF-B-A-TECH-4-B2-BRK-G0</x:v>
      </x:c>
      <x:c r="D1408" s="9" t="str">
        <x:v>AR-LF-B-A-TECH-4-B2-BRK-G0</x:v>
      </x:c>
      <x:c r="E1408" s="9" t="str">
        <x:v>LF-B-A-TECH-4</x:v>
      </x:c>
      <x:c r="F1408" s="9" t="str">
        <x:v>LF-B-A</x:v>
      </x:c>
      <x:c r="G1408" s="9" t="str">
        <x:v>B2</x:v>
      </x:c>
      <x:c r="H1408" s="9" t="str">
        <x:v>BRK</x:v>
      </x:c>
      <x:c r="I1408" s="9" t="str">
        <x:v>PD10</x:v>
      </x:c>
      <x:c r="J1408" s="17" t="str">
        <x:v>Calibration and uncertainty record</x:v>
      </x:c>
      <x:c r="K1408" s="17" t="str">
        <x:v>Metrology archive</x:v>
      </x:c>
      <x:c r="L1408" s="17" t="str">
        <x:v>COURT-SEALED UNTIL COHORT RELEASE</x:v>
      </x:c>
      <x:c r="M1408" s="9" t="n">
        <x:v>0</x:v>
      </x:c>
      <x:c r="N1408" s="9" t="n">
        <x:v>0</x:v>
      </x:c>
      <x:c r="O1408" s="9" t="n">
        <x:v>0</x:v>
      </x:c>
      <x:c r="P1408" s="9" t="str">
        <x:v>HELD / UNRELEASED</x:v>
      </x:c>
      <x:c r="Q1408" s="9" t="n">
        <x:f>COUNTIFS($A$7:$A$2310,A1408)</x:f>
        <x:v>1</x:v>
      </x:c>
    </x:row>
    <x:row r="1409">
      <x:c r="A1409" s="9" t="str">
        <x:v>PD-AR-LF-B-A-TECH-4-B2-BRK-G0-PD11</x:v>
      </x:c>
      <x:c r="B1409" s="9" t="str">
        <x:v>PD-AR-LF-B-A-TECH-4-B2-BRK-G0</x:v>
      </x:c>
      <x:c r="C1409" s="9" t="str">
        <x:v>EV-AR-LF-B-A-TECH-4-B2-BRK-G0</x:v>
      </x:c>
      <x:c r="D1409" s="9" t="str">
        <x:v>AR-LF-B-A-TECH-4-B2-BRK-G0</x:v>
      </x:c>
      <x:c r="E1409" s="9" t="str">
        <x:v>LF-B-A-TECH-4</x:v>
      </x:c>
      <x:c r="F1409" s="9" t="str">
        <x:v>LF-B-A</x:v>
      </x:c>
      <x:c r="G1409" s="9" t="str">
        <x:v>B2</x:v>
      </x:c>
      <x:c r="H1409" s="9" t="str">
        <x:v>BRK</x:v>
      </x:c>
      <x:c r="I1409" s="9" t="str">
        <x:v>PD11</x:v>
      </x:c>
      <x:c r="J1409" s="17" t="str">
        <x:v>Invalidity petition and opinion</x:v>
      </x:c>
      <x:c r="K1409" s="17" t="str">
        <x:v>Invalidity court</x:v>
      </x:c>
      <x:c r="L1409" s="17" t="str">
        <x:v>COURT-SEALED UNTIL COHORT RELEASE</x:v>
      </x:c>
      <x:c r="M1409" s="9" t="n">
        <x:v>0</x:v>
      </x:c>
      <x:c r="N1409" s="9" t="n">
        <x:v>0</x:v>
      </x:c>
      <x:c r="O1409" s="9" t="n">
        <x:v>0</x:v>
      </x:c>
      <x:c r="P1409" s="9" t="str">
        <x:v>HELD / UNRELEASED</x:v>
      </x:c>
      <x:c r="Q1409" s="9" t="n">
        <x:f>COUNTIFS($A$7:$A$2310,A1409)</x:f>
        <x:v>1</x:v>
      </x:c>
    </x:row>
    <x:row r="1410">
      <x:c r="A1410" s="9" t="str">
        <x:v>PD-AR-LF-B-A-TECH-4-B2-BRK-G0-PD12</x:v>
      </x:c>
      <x:c r="B1410" s="9" t="str">
        <x:v>PD-AR-LF-B-A-TECH-4-B2-BRK-G0</x:v>
      </x:c>
      <x:c r="C1410" s="9" t="str">
        <x:v>EV-AR-LF-B-A-TECH-4-B2-BRK-G0</x:v>
      </x:c>
      <x:c r="D1410" s="9" t="str">
        <x:v>AR-LF-B-A-TECH-4-B2-BRK-G0</x:v>
      </x:c>
      <x:c r="E1410" s="9" t="str">
        <x:v>LF-B-A-TECH-4</x:v>
      </x:c>
      <x:c r="F1410" s="9" t="str">
        <x:v>LF-B-A</x:v>
      </x:c>
      <x:c r="G1410" s="9" t="str">
        <x:v>B2</x:v>
      </x:c>
      <x:c r="H1410" s="9" t="str">
        <x:v>BRK</x:v>
      </x:c>
      <x:c r="I1410" s="9" t="str">
        <x:v>PD12</x:v>
      </x:c>
      <x:c r="J1410" s="17" t="str">
        <x:v>Observation acceptance and replay</x:v>
      </x:c>
      <x:c r="K1410" s="17" t="str">
        <x:v>Observation court</x:v>
      </x:c>
      <x:c r="L1410" s="17" t="str">
        <x:v>COURT-SEALED UNTIL COHORT RELEASE</x:v>
      </x:c>
      <x:c r="M1410" s="9" t="n">
        <x:v>0</x:v>
      </x:c>
      <x:c r="N1410" s="9" t="n">
        <x:v>0</x:v>
      </x:c>
      <x:c r="O1410" s="9" t="n">
        <x:v>0</x:v>
      </x:c>
      <x:c r="P1410" s="9" t="str">
        <x:v>HELD / UNRELEASED</x:v>
      </x:c>
      <x:c r="Q1410" s="9" t="n">
        <x:f>COUNTIFS($A$7:$A$2310,A1410)</x:f>
        <x:v>1</x:v>
      </x:c>
    </x:row>
    <x:row r="1411">
      <x:c r="A1411" s="9" t="str">
        <x:v>PD-AR-LF-B-A-TECH-4-B2-BRK-G0-PD13</x:v>
      </x:c>
      <x:c r="B1411" s="9" t="str">
        <x:v>PD-AR-LF-B-A-TECH-4-B2-BRK-G0</x:v>
      </x:c>
      <x:c r="C1411" s="9" t="str">
        <x:v>EV-AR-LF-B-A-TECH-4-B2-BRK-G0</x:v>
      </x:c>
      <x:c r="D1411" s="9" t="str">
        <x:v>AR-LF-B-A-TECH-4-B2-BRK-G0</x:v>
      </x:c>
      <x:c r="E1411" s="9" t="str">
        <x:v>LF-B-A-TECH-4</x:v>
      </x:c>
      <x:c r="F1411" s="9" t="str">
        <x:v>LF-B-A</x:v>
      </x:c>
      <x:c r="G1411" s="9" t="str">
        <x:v>B2</x:v>
      </x:c>
      <x:c r="H1411" s="9" t="str">
        <x:v>BRK</x:v>
      </x:c>
      <x:c r="I1411" s="9" t="str">
        <x:v>PD13</x:v>
      </x:c>
      <x:c r="J1411" s="17" t="str">
        <x:v>Role judgment</x:v>
      </x:c>
      <x:c r="K1411" s="17" t="str">
        <x:v>Role court</x:v>
      </x:c>
      <x:c r="L1411" s="17" t="str">
        <x:v>COURT-SEALED UNTIL COHORT RELEASE</x:v>
      </x:c>
      <x:c r="M1411" s="9" t="n">
        <x:v>0</x:v>
      </x:c>
      <x:c r="N1411" s="9" t="n">
        <x:v>0</x:v>
      </x:c>
      <x:c r="O1411" s="9" t="n">
        <x:v>0</x:v>
      </x:c>
      <x:c r="P1411" s="9" t="str">
        <x:v>HELD / UNRELEASED</x:v>
      </x:c>
      <x:c r="Q1411" s="9" t="n">
        <x:f>COUNTIFS($A$7:$A$2310,A1411)</x:f>
        <x:v>1</x:v>
      </x:c>
    </x:row>
    <x:row r="1412">
      <x:c r="A1412" s="9" t="str">
        <x:v>PD-AR-LF-B-A-TECH-4-B2-BRK-G0-PD14</x:v>
      </x:c>
      <x:c r="B1412" s="9" t="str">
        <x:v>PD-AR-LF-B-A-TECH-4-B2-BRK-G0</x:v>
      </x:c>
      <x:c r="C1412" s="9" t="str">
        <x:v>EV-AR-LF-B-A-TECH-4-B2-BRK-G0</x:v>
      </x:c>
      <x:c r="D1412" s="9" t="str">
        <x:v>AR-LF-B-A-TECH-4-B2-BRK-G0</x:v>
      </x:c>
      <x:c r="E1412" s="9" t="str">
        <x:v>LF-B-A-TECH-4</x:v>
      </x:c>
      <x:c r="F1412" s="9" t="str">
        <x:v>LF-B-A</x:v>
      </x:c>
      <x:c r="G1412" s="9" t="str">
        <x:v>B2</x:v>
      </x:c>
      <x:c r="H1412" s="9" t="str">
        <x:v>BRK</x:v>
      </x:c>
      <x:c r="I1412" s="9" t="str">
        <x:v>PD14</x:v>
      </x:c>
      <x:c r="J1412" s="17" t="str">
        <x:v>Break and residual account</x:v>
      </x:c>
      <x:c r="K1412" s="17" t="str">
        <x:v>Residual authority</x:v>
      </x:c>
      <x:c r="L1412" s="17" t="str">
        <x:v>COURT-SEALED UNTIL COHORT RELEASE</x:v>
      </x:c>
      <x:c r="M1412" s="9" t="n">
        <x:v>0</x:v>
      </x:c>
      <x:c r="N1412" s="9" t="n">
        <x:v>0</x:v>
      </x:c>
      <x:c r="O1412" s="9" t="n">
        <x:v>0</x:v>
      </x:c>
      <x:c r="P1412" s="9" t="str">
        <x:v>HELD / UNRELEASED</x:v>
      </x:c>
      <x:c r="Q1412" s="9" t="n">
        <x:f>COUNTIFS($A$7:$A$2310,A1412)</x:f>
        <x:v>1</x:v>
      </x:c>
    </x:row>
    <x:row r="1413">
      <x:c r="A1413" s="9" t="str">
        <x:v>PD-AR-LF-B-A-TECH-4-B2-BRK-G0-PD15</x:v>
      </x:c>
      <x:c r="B1413" s="9" t="str">
        <x:v>PD-AR-LF-B-A-TECH-4-B2-BRK-G0</x:v>
      </x:c>
      <x:c r="C1413" s="9" t="str">
        <x:v>EV-AR-LF-B-A-TECH-4-B2-BRK-G0</x:v>
      </x:c>
      <x:c r="D1413" s="9" t="str">
        <x:v>AR-LF-B-A-TECH-4-B2-BRK-G0</x:v>
      </x:c>
      <x:c r="E1413" s="9" t="str">
        <x:v>LF-B-A-TECH-4</x:v>
      </x:c>
      <x:c r="F1413" s="9" t="str">
        <x:v>LF-B-A</x:v>
      </x:c>
      <x:c r="G1413" s="9" t="str">
        <x:v>B2</x:v>
      </x:c>
      <x:c r="H1413" s="9" t="str">
        <x:v>BRK</x:v>
      </x:c>
      <x:c r="I1413" s="9" t="str">
        <x:v>PD15</x:v>
      </x:c>
      <x:c r="J1413" s="17" t="str">
        <x:v>Reconstruction ancestry and replay</x:v>
      </x:c>
      <x:c r="K1413" s="17" t="str">
        <x:v>Reconstruction court</x:v>
      </x:c>
      <x:c r="L1413" s="17" t="str">
        <x:v>COURT-SEALED UNTIL COHORT RELEASE</x:v>
      </x:c>
      <x:c r="M1413" s="9" t="n">
        <x:v>0</x:v>
      </x:c>
      <x:c r="N1413" s="9" t="n">
        <x:v>0</x:v>
      </x:c>
      <x:c r="O1413" s="9" t="n">
        <x:v>0</x:v>
      </x:c>
      <x:c r="P1413" s="9" t="str">
        <x:v>HELD / UNRELEASED</x:v>
      </x:c>
      <x:c r="Q1413" s="9" t="n">
        <x:f>COUNTIFS($A$7:$A$2310,A1413)</x:f>
        <x:v>1</x:v>
      </x:c>
    </x:row>
    <x:row r="1414">
      <x:c r="A1414" s="9" t="str">
        <x:v>PD-AR-LF-B-A-TECH-4-B2-BRK-G0-PD16</x:v>
      </x:c>
      <x:c r="B1414" s="9" t="str">
        <x:v>PD-AR-LF-B-A-TECH-4-B2-BRK-G0</x:v>
      </x:c>
      <x:c r="C1414" s="9" t="str">
        <x:v>EV-AR-LF-B-A-TECH-4-B2-BRK-G0</x:v>
      </x:c>
      <x:c r="D1414" s="9" t="str">
        <x:v>AR-LF-B-A-TECH-4-B2-BRK-G0</x:v>
      </x:c>
      <x:c r="E1414" s="9" t="str">
        <x:v>LF-B-A-TECH-4</x:v>
      </x:c>
      <x:c r="F1414" s="9" t="str">
        <x:v>LF-B-A</x:v>
      </x:c>
      <x:c r="G1414" s="9" t="str">
        <x:v>B2</x:v>
      </x:c>
      <x:c r="H1414" s="9" t="str">
        <x:v>BRK</x:v>
      </x:c>
      <x:c r="I1414" s="9" t="str">
        <x:v>PD16</x:v>
      </x:c>
      <x:c r="J1414" s="17" t="str">
        <x:v>Dissent, amendments and access log</x:v>
      </x:c>
      <x:c r="K1414" s="17" t="str">
        <x:v>Public archive</x:v>
      </x:c>
      <x:c r="L1414" s="17" t="str">
        <x:v>COURT-SEALED UNTIL COHORT RELEASE</x:v>
      </x:c>
      <x:c r="M1414" s="9" t="n">
        <x:v>0</x:v>
      </x:c>
      <x:c r="N1414" s="9" t="n">
        <x:v>0</x:v>
      </x:c>
      <x:c r="O1414" s="9" t="n">
        <x:v>0</x:v>
      </x:c>
      <x:c r="P1414" s="9" t="str">
        <x:v>HELD / UNRELEASED</x:v>
      </x:c>
      <x:c r="Q1414" s="9" t="n">
        <x:f>COUNTIFS($A$7:$A$2310,A1414)</x:f>
        <x:v>1</x:v>
      </x:c>
    </x:row>
    <x:row r="1415">
      <x:c r="A1415" s="9" t="str">
        <x:v>PD-AR-LF-B-A-TECH-3-B1-RCN-G0-PD01</x:v>
      </x:c>
      <x:c r="B1415" s="9" t="str">
        <x:v>PD-AR-LF-B-A-TECH-3-B1-RCN-G0</x:v>
      </x:c>
      <x:c r="C1415" s="9" t="str">
        <x:v>EV-AR-LF-B-A-TECH-3-B1-RCN-G0</x:v>
      </x:c>
      <x:c r="D1415" s="9" t="str">
        <x:v>AR-LF-B-A-TECH-3-B1-RCN-G0</x:v>
      </x:c>
      <x:c r="E1415" s="9" t="str">
        <x:v>LF-B-A-TECH-3</x:v>
      </x:c>
      <x:c r="F1415" s="9" t="str">
        <x:v>LF-B-A</x:v>
      </x:c>
      <x:c r="G1415" s="9" t="str">
        <x:v>B1</x:v>
      </x:c>
      <x:c r="H1415" s="9" t="str">
        <x:v>RCN</x:v>
      </x:c>
      <x:c r="I1415" s="9" t="str">
        <x:v>PD01</x:v>
      </x:c>
      <x:c r="J1415" s="17" t="str">
        <x:v>Experiment kernel</x:v>
      </x:c>
      <x:c r="K1415" s="17" t="str">
        <x:v>Public archive</x:v>
      </x:c>
      <x:c r="L1415" s="17" t="str">
        <x:v>COURT-SEALED UNTIL COHORT RELEASE</x:v>
      </x:c>
      <x:c r="M1415" s="9" t="n">
        <x:v>0</x:v>
      </x:c>
      <x:c r="N1415" s="9" t="n">
        <x:v>0</x:v>
      </x:c>
      <x:c r="O1415" s="9" t="n">
        <x:v>0</x:v>
      </x:c>
      <x:c r="P1415" s="9" t="str">
        <x:v>HELD / UNRELEASED</x:v>
      </x:c>
      <x:c r="Q1415" s="9" t="n">
        <x:f>COUNTIFS($A$7:$A$2310,A1415)</x:f>
        <x:v>1</x:v>
      </x:c>
    </x:row>
    <x:row r="1416">
      <x:c r="A1416" s="9" t="str">
        <x:v>PD-AR-LF-B-A-TECH-3-B1-RCN-G0-PD02</x:v>
      </x:c>
      <x:c r="B1416" s="9" t="str">
        <x:v>PD-AR-LF-B-A-TECH-3-B1-RCN-G0</x:v>
      </x:c>
      <x:c r="C1416" s="9" t="str">
        <x:v>EV-AR-LF-B-A-TECH-3-B1-RCN-G0</x:v>
      </x:c>
      <x:c r="D1416" s="9" t="str">
        <x:v>AR-LF-B-A-TECH-3-B1-RCN-G0</x:v>
      </x:c>
      <x:c r="E1416" s="9" t="str">
        <x:v>LF-B-A-TECH-3</x:v>
      </x:c>
      <x:c r="F1416" s="9" t="str">
        <x:v>LF-B-A</x:v>
      </x:c>
      <x:c r="G1416" s="9" t="str">
        <x:v>B1</x:v>
      </x:c>
      <x:c r="H1416" s="9" t="str">
        <x:v>RCN</x:v>
      </x:c>
      <x:c r="I1416" s="9" t="str">
        <x:v>PD02</x:v>
      </x:c>
      <x:c r="J1416" s="17" t="str">
        <x:v>Serial annex and title chain</x:v>
      </x:c>
      <x:c r="K1416" s="17" t="str">
        <x:v>Public archive</x:v>
      </x:c>
      <x:c r="L1416" s="17" t="str">
        <x:v>COURT-SEALED UNTIL COHORT RELEASE</x:v>
      </x:c>
      <x:c r="M1416" s="9" t="n">
        <x:v>0</x:v>
      </x:c>
      <x:c r="N1416" s="9" t="n">
        <x:v>0</x:v>
      </x:c>
      <x:c r="O1416" s="9" t="n">
        <x:v>0</x:v>
      </x:c>
      <x:c r="P1416" s="9" t="str">
        <x:v>HELD / UNRELEASED</x:v>
      </x:c>
      <x:c r="Q1416" s="9" t="n">
        <x:f>COUNTIFS($A$7:$A$2310,A1416)</x:f>
        <x:v>1</x:v>
      </x:c>
    </x:row>
    <x:row r="1417">
      <x:c r="A1417" s="9" t="str">
        <x:v>PD-AR-LF-B-A-TECH-3-B1-RCN-G0-PD03</x:v>
      </x:c>
      <x:c r="B1417" s="9" t="str">
        <x:v>PD-AR-LF-B-A-TECH-3-B1-RCN-G0</x:v>
      </x:c>
      <x:c r="C1417" s="9" t="str">
        <x:v>EV-AR-LF-B-A-TECH-3-B1-RCN-G0</x:v>
      </x:c>
      <x:c r="D1417" s="9" t="str">
        <x:v>AR-LF-B-A-TECH-3-B1-RCN-G0</x:v>
      </x:c>
      <x:c r="E1417" s="9" t="str">
        <x:v>LF-B-A-TECH-3</x:v>
      </x:c>
      <x:c r="F1417" s="9" t="str">
        <x:v>LF-B-A</x:v>
      </x:c>
      <x:c r="G1417" s="9" t="str">
        <x:v>B1</x:v>
      </x:c>
      <x:c r="H1417" s="9" t="str">
        <x:v>RCN</x:v>
      </x:c>
      <x:c r="I1417" s="9" t="str">
        <x:v>PD03</x:v>
      </x:c>
      <x:c r="J1417" s="17" t="str">
        <x:v>Configuration and as-built manifest</x:v>
      </x:c>
      <x:c r="K1417" s="17" t="str">
        <x:v>Artifact exchange</x:v>
      </x:c>
      <x:c r="L1417" s="17" t="str">
        <x:v>COURT-SEALED UNTIL COHORT RELEASE</x:v>
      </x:c>
      <x:c r="M1417" s="9" t="n">
        <x:v>0</x:v>
      </x:c>
      <x:c r="N1417" s="9" t="n">
        <x:v>0</x:v>
      </x:c>
      <x:c r="O1417" s="9" t="n">
        <x:v>0</x:v>
      </x:c>
      <x:c r="P1417" s="9" t="str">
        <x:v>HELD / UNRELEASED</x:v>
      </x:c>
      <x:c r="Q1417" s="9" t="n">
        <x:f>COUNTIFS($A$7:$A$2310,A1417)</x:f>
        <x:v>1</x:v>
      </x:c>
    </x:row>
    <x:row r="1418">
      <x:c r="A1418" s="9" t="str">
        <x:v>PD-AR-LF-B-A-TECH-3-B1-RCN-G0-PD04</x:v>
      </x:c>
      <x:c r="B1418" s="9" t="str">
        <x:v>PD-AR-LF-B-A-TECH-3-B1-RCN-G0</x:v>
      </x:c>
      <x:c r="C1418" s="9" t="str">
        <x:v>EV-AR-LF-B-A-TECH-3-B1-RCN-G0</x:v>
      </x:c>
      <x:c r="D1418" s="9" t="str">
        <x:v>AR-LF-B-A-TECH-3-B1-RCN-G0</x:v>
      </x:c>
      <x:c r="E1418" s="9" t="str">
        <x:v>LF-B-A-TECH-3</x:v>
      </x:c>
      <x:c r="F1418" s="9" t="str">
        <x:v>LF-B-A</x:v>
      </x:c>
      <x:c r="G1418" s="9" t="str">
        <x:v>B1</x:v>
      </x:c>
      <x:c r="H1418" s="9" t="str">
        <x:v>RCN</x:v>
      </x:c>
      <x:c r="I1418" s="9" t="str">
        <x:v>PD04</x:v>
      </x:c>
      <x:c r="J1418" s="17" t="str">
        <x:v>EOW and start certificate</x:v>
      </x:c>
      <x:c r="K1418" s="17" t="str">
        <x:v>Start registrar</x:v>
      </x:c>
      <x:c r="L1418" s="17" t="str">
        <x:v>COURT-SEALED UNTIL COHORT RELEASE</x:v>
      </x:c>
      <x:c r="M1418" s="9" t="n">
        <x:v>0</x:v>
      </x:c>
      <x:c r="N1418" s="9" t="n">
        <x:v>0</x:v>
      </x:c>
      <x:c r="O1418" s="9" t="n">
        <x:v>0</x:v>
      </x:c>
      <x:c r="P1418" s="9" t="str">
        <x:v>HELD / UNRELEASED</x:v>
      </x:c>
      <x:c r="Q1418" s="9" t="n">
        <x:f>COUNTIFS($A$7:$A$2310,A1418)</x:f>
        <x:v>1</x:v>
      </x:c>
    </x:row>
    <x:row r="1419">
      <x:c r="A1419" s="9" t="str">
        <x:v>PD-AR-LF-B-A-TECH-3-B1-RCN-G0-PD05</x:v>
      </x:c>
      <x:c r="B1419" s="9" t="str">
        <x:v>PD-AR-LF-B-A-TECH-3-B1-RCN-G0</x:v>
      </x:c>
      <x:c r="C1419" s="9" t="str">
        <x:v>EV-AR-LF-B-A-TECH-3-B1-RCN-G0</x:v>
      </x:c>
      <x:c r="D1419" s="9" t="str">
        <x:v>AR-LF-B-A-TECH-3-B1-RCN-G0</x:v>
      </x:c>
      <x:c r="E1419" s="9" t="str">
        <x:v>LF-B-A-TECH-3</x:v>
      </x:c>
      <x:c r="F1419" s="9" t="str">
        <x:v>LF-B-A</x:v>
      </x:c>
      <x:c r="G1419" s="9" t="str">
        <x:v>B1</x:v>
      </x:c>
      <x:c r="H1419" s="9" t="str">
        <x:v>RCN</x:v>
      </x:c>
      <x:c r="I1419" s="9" t="str">
        <x:v>PD05</x:v>
      </x:c>
      <x:c r="J1419" s="17" t="str">
        <x:v>Primary raw originals</x:v>
      </x:c>
      <x:c r="K1419" s="17" t="str">
        <x:v>Primary custody</x:v>
      </x:c>
      <x:c r="L1419" s="17" t="str">
        <x:v>COURT-SEALED UNTIL COHORT RELEASE</x:v>
      </x:c>
      <x:c r="M1419" s="9" t="n">
        <x:v>0</x:v>
      </x:c>
      <x:c r="N1419" s="9" t="n">
        <x:v>0</x:v>
      </x:c>
      <x:c r="O1419" s="9" t="n">
        <x:v>0</x:v>
      </x:c>
      <x:c r="P1419" s="9" t="str">
        <x:v>HELD / UNRELEASED</x:v>
      </x:c>
      <x:c r="Q1419" s="9" t="n">
        <x:f>COUNTIFS($A$7:$A$2310,A1419)</x:f>
        <x:v>1</x:v>
      </x:c>
    </x:row>
    <x:row r="1420">
      <x:c r="A1420" s="9" t="str">
        <x:v>PD-AR-LF-B-A-TECH-3-B1-RCN-G0-PD06</x:v>
      </x:c>
      <x:c r="B1420" s="9" t="str">
        <x:v>PD-AR-LF-B-A-TECH-3-B1-RCN-G0</x:v>
      </x:c>
      <x:c r="C1420" s="9" t="str">
        <x:v>EV-AR-LF-B-A-TECH-3-B1-RCN-G0</x:v>
      </x:c>
      <x:c r="D1420" s="9" t="str">
        <x:v>AR-LF-B-A-TECH-3-B1-RCN-G0</x:v>
      </x:c>
      <x:c r="E1420" s="9" t="str">
        <x:v>LF-B-A-TECH-3</x:v>
      </x:c>
      <x:c r="F1420" s="9" t="str">
        <x:v>LF-B-A</x:v>
      </x:c>
      <x:c r="G1420" s="9" t="str">
        <x:v>B1</x:v>
      </x:c>
      <x:c r="H1420" s="9" t="str">
        <x:v>RCN</x:v>
      </x:c>
      <x:c r="I1420" s="9" t="str">
        <x:v>PD06</x:v>
      </x:c>
      <x:c r="J1420" s="17" t="str">
        <x:v>Witness raw originals</x:v>
      </x:c>
      <x:c r="K1420" s="17" t="str">
        <x:v>Witness custody</x:v>
      </x:c>
      <x:c r="L1420" s="17" t="str">
        <x:v>COURT-SEALED UNTIL COHORT RELEASE</x:v>
      </x:c>
      <x:c r="M1420" s="9" t="n">
        <x:v>0</x:v>
      </x:c>
      <x:c r="N1420" s="9" t="n">
        <x:v>0</x:v>
      </x:c>
      <x:c r="O1420" s="9" t="n">
        <x:v>0</x:v>
      </x:c>
      <x:c r="P1420" s="9" t="str">
        <x:v>HELD / UNRELEASED</x:v>
      </x:c>
      <x:c r="Q1420" s="9" t="n">
        <x:f>COUNTIFS($A$7:$A$2310,A1420)</x:f>
        <x:v>1</x:v>
      </x:c>
    </x:row>
    <x:row r="1421">
      <x:c r="A1421" s="9" t="str">
        <x:v>PD-AR-LF-B-A-TECH-3-B1-RCN-G0-PD07</x:v>
      </x:c>
      <x:c r="B1421" s="9" t="str">
        <x:v>PD-AR-LF-B-A-TECH-3-B1-RCN-G0</x:v>
      </x:c>
      <x:c r="C1421" s="9" t="str">
        <x:v>EV-AR-LF-B-A-TECH-3-B1-RCN-G0</x:v>
      </x:c>
      <x:c r="D1421" s="9" t="str">
        <x:v>AR-LF-B-A-TECH-3-B1-RCN-G0</x:v>
      </x:c>
      <x:c r="E1421" s="9" t="str">
        <x:v>LF-B-A-TECH-3</x:v>
      </x:c>
      <x:c r="F1421" s="9" t="str">
        <x:v>LF-B-A</x:v>
      </x:c>
      <x:c r="G1421" s="9" t="str">
        <x:v>B1</x:v>
      </x:c>
      <x:c r="H1421" s="9" t="str">
        <x:v>RCN</x:v>
      </x:c>
      <x:c r="I1421" s="9" t="str">
        <x:v>PD07</x:v>
      </x:c>
      <x:c r="J1421" s="17" t="str">
        <x:v>Clock and environmental records</x:v>
      </x:c>
      <x:c r="K1421" s="17" t="str">
        <x:v>Boundary archive</x:v>
      </x:c>
      <x:c r="L1421" s="17" t="str">
        <x:v>COURT-SEALED UNTIL COHORT RELEASE</x:v>
      </x:c>
      <x:c r="M1421" s="9" t="n">
        <x:v>0</x:v>
      </x:c>
      <x:c r="N1421" s="9" t="n">
        <x:v>0</x:v>
      </x:c>
      <x:c r="O1421" s="9" t="n">
        <x:v>0</x:v>
      </x:c>
      <x:c r="P1421" s="9" t="str">
        <x:v>HELD / UNRELEASED</x:v>
      </x:c>
      <x:c r="Q1421" s="9" t="n">
        <x:f>COUNTIFS($A$7:$A$2310,A1421)</x:f>
        <x:v>1</x:v>
      </x:c>
    </x:row>
    <x:row r="1422">
      <x:c r="A1422" s="9" t="str">
        <x:v>PD-AR-LF-B-A-TECH-3-B1-RCN-G0-PD08</x:v>
      </x:c>
      <x:c r="B1422" s="9" t="str">
        <x:v>PD-AR-LF-B-A-TECH-3-B1-RCN-G0</x:v>
      </x:c>
      <x:c r="C1422" s="9" t="str">
        <x:v>EV-AR-LF-B-A-TECH-3-B1-RCN-G0</x:v>
      </x:c>
      <x:c r="D1422" s="9" t="str">
        <x:v>AR-LF-B-A-TECH-3-B1-RCN-G0</x:v>
      </x:c>
      <x:c r="E1422" s="9" t="str">
        <x:v>LF-B-A-TECH-3</x:v>
      </x:c>
      <x:c r="F1422" s="9" t="str">
        <x:v>LF-B-A</x:v>
      </x:c>
      <x:c r="G1422" s="9" t="str">
        <x:v>B1</x:v>
      </x:c>
      <x:c r="H1422" s="9" t="str">
        <x:v>RCN</x:v>
      </x:c>
      <x:c r="I1422" s="9" t="str">
        <x:v>PD08</x:v>
      </x:c>
      <x:c r="J1422" s="17" t="str">
        <x:v>Command and intervention log</x:v>
      </x:c>
      <x:c r="K1422" s="17" t="str">
        <x:v>Safety archive</x:v>
      </x:c>
      <x:c r="L1422" s="17" t="str">
        <x:v>COURT-SEALED UNTIL COHORT RELEASE</x:v>
      </x:c>
      <x:c r="M1422" s="9" t="n">
        <x:v>0</x:v>
      </x:c>
      <x:c r="N1422" s="9" t="n">
        <x:v>0</x:v>
      </x:c>
      <x:c r="O1422" s="9" t="n">
        <x:v>0</x:v>
      </x:c>
      <x:c r="P1422" s="9" t="str">
        <x:v>HELD / UNRELEASED</x:v>
      </x:c>
      <x:c r="Q1422" s="9" t="n">
        <x:f>COUNTIFS($A$7:$A$2310,A1422)</x:f>
        <x:v>1</x:v>
      </x:c>
    </x:row>
    <x:row r="1423">
      <x:c r="A1423" s="9" t="str">
        <x:v>PD-AR-LF-B-A-TECH-3-B1-RCN-G0-PD09</x:v>
      </x:c>
      <x:c r="B1423" s="9" t="str">
        <x:v>PD-AR-LF-B-A-TECH-3-B1-RCN-G0</x:v>
      </x:c>
      <x:c r="C1423" s="9" t="str">
        <x:v>EV-AR-LF-B-A-TECH-3-B1-RCN-G0</x:v>
      </x:c>
      <x:c r="D1423" s="9" t="str">
        <x:v>AR-LF-B-A-TECH-3-B1-RCN-G0</x:v>
      </x:c>
      <x:c r="E1423" s="9" t="str">
        <x:v>LF-B-A-TECH-3</x:v>
      </x:c>
      <x:c r="F1423" s="9" t="str">
        <x:v>LF-B-A</x:v>
      </x:c>
      <x:c r="G1423" s="9" t="str">
        <x:v>B1</x:v>
      </x:c>
      <x:c r="H1423" s="9" t="str">
        <x:v>RCN</x:v>
      </x:c>
      <x:c r="I1423" s="9" t="str">
        <x:v>PD09</x:v>
      </x:c>
      <x:c r="J1423" s="17" t="str">
        <x:v>Receiver denominator and service ledger</x:v>
      </x:c>
      <x:c r="K1423" s="17" t="str">
        <x:v>Receiver archive</x:v>
      </x:c>
      <x:c r="L1423" s="17" t="str">
        <x:v>COURT-SEALED UNTIL COHORT RELEASE</x:v>
      </x:c>
      <x:c r="M1423" s="9" t="n">
        <x:v>0</x:v>
      </x:c>
      <x:c r="N1423" s="9" t="n">
        <x:v>0</x:v>
      </x:c>
      <x:c r="O1423" s="9" t="n">
        <x:v>0</x:v>
      </x:c>
      <x:c r="P1423" s="9" t="str">
        <x:v>HELD / UNRELEASED</x:v>
      </x:c>
      <x:c r="Q1423" s="9" t="n">
        <x:f>COUNTIFS($A$7:$A$2310,A1423)</x:f>
        <x:v>1</x:v>
      </x:c>
    </x:row>
    <x:row r="1424">
      <x:c r="A1424" s="9" t="str">
        <x:v>PD-AR-LF-B-A-TECH-3-B1-RCN-G0-PD10</x:v>
      </x:c>
      <x:c r="B1424" s="9" t="str">
        <x:v>PD-AR-LF-B-A-TECH-3-B1-RCN-G0</x:v>
      </x:c>
      <x:c r="C1424" s="9" t="str">
        <x:v>EV-AR-LF-B-A-TECH-3-B1-RCN-G0</x:v>
      </x:c>
      <x:c r="D1424" s="9" t="str">
        <x:v>AR-LF-B-A-TECH-3-B1-RCN-G0</x:v>
      </x:c>
      <x:c r="E1424" s="9" t="str">
        <x:v>LF-B-A-TECH-3</x:v>
      </x:c>
      <x:c r="F1424" s="9" t="str">
        <x:v>LF-B-A</x:v>
      </x:c>
      <x:c r="G1424" s="9" t="str">
        <x:v>B1</x:v>
      </x:c>
      <x:c r="H1424" s="9" t="str">
        <x:v>RCN</x:v>
      </x:c>
      <x:c r="I1424" s="9" t="str">
        <x:v>PD10</x:v>
      </x:c>
      <x:c r="J1424" s="17" t="str">
        <x:v>Calibration and uncertainty record</x:v>
      </x:c>
      <x:c r="K1424" s="17" t="str">
        <x:v>Metrology archive</x:v>
      </x:c>
      <x:c r="L1424" s="17" t="str">
        <x:v>COURT-SEALED UNTIL COHORT RELEASE</x:v>
      </x:c>
      <x:c r="M1424" s="9" t="n">
        <x:v>0</x:v>
      </x:c>
      <x:c r="N1424" s="9" t="n">
        <x:v>0</x:v>
      </x:c>
      <x:c r="O1424" s="9" t="n">
        <x:v>0</x:v>
      </x:c>
      <x:c r="P1424" s="9" t="str">
        <x:v>HELD / UNRELEASED</x:v>
      </x:c>
      <x:c r="Q1424" s="9" t="n">
        <x:f>COUNTIFS($A$7:$A$2310,A1424)</x:f>
        <x:v>1</x:v>
      </x:c>
    </x:row>
    <x:row r="1425">
      <x:c r="A1425" s="9" t="str">
        <x:v>PD-AR-LF-B-A-TECH-3-B1-RCN-G0-PD11</x:v>
      </x:c>
      <x:c r="B1425" s="9" t="str">
        <x:v>PD-AR-LF-B-A-TECH-3-B1-RCN-G0</x:v>
      </x:c>
      <x:c r="C1425" s="9" t="str">
        <x:v>EV-AR-LF-B-A-TECH-3-B1-RCN-G0</x:v>
      </x:c>
      <x:c r="D1425" s="9" t="str">
        <x:v>AR-LF-B-A-TECH-3-B1-RCN-G0</x:v>
      </x:c>
      <x:c r="E1425" s="9" t="str">
        <x:v>LF-B-A-TECH-3</x:v>
      </x:c>
      <x:c r="F1425" s="9" t="str">
        <x:v>LF-B-A</x:v>
      </x:c>
      <x:c r="G1425" s="9" t="str">
        <x:v>B1</x:v>
      </x:c>
      <x:c r="H1425" s="9" t="str">
        <x:v>RCN</x:v>
      </x:c>
      <x:c r="I1425" s="9" t="str">
        <x:v>PD11</x:v>
      </x:c>
      <x:c r="J1425" s="17" t="str">
        <x:v>Invalidity petition and opinion</x:v>
      </x:c>
      <x:c r="K1425" s="17" t="str">
        <x:v>Invalidity court</x:v>
      </x:c>
      <x:c r="L1425" s="17" t="str">
        <x:v>COURT-SEALED UNTIL COHORT RELEASE</x:v>
      </x:c>
      <x:c r="M1425" s="9" t="n">
        <x:v>0</x:v>
      </x:c>
      <x:c r="N1425" s="9" t="n">
        <x:v>0</x:v>
      </x:c>
      <x:c r="O1425" s="9" t="n">
        <x:v>0</x:v>
      </x:c>
      <x:c r="P1425" s="9" t="str">
        <x:v>HELD / UNRELEASED</x:v>
      </x:c>
      <x:c r="Q1425" s="9" t="n">
        <x:f>COUNTIFS($A$7:$A$2310,A1425)</x:f>
        <x:v>1</x:v>
      </x:c>
    </x:row>
    <x:row r="1426">
      <x:c r="A1426" s="9" t="str">
        <x:v>PD-AR-LF-B-A-TECH-3-B1-RCN-G0-PD12</x:v>
      </x:c>
      <x:c r="B1426" s="9" t="str">
        <x:v>PD-AR-LF-B-A-TECH-3-B1-RCN-G0</x:v>
      </x:c>
      <x:c r="C1426" s="9" t="str">
        <x:v>EV-AR-LF-B-A-TECH-3-B1-RCN-G0</x:v>
      </x:c>
      <x:c r="D1426" s="9" t="str">
        <x:v>AR-LF-B-A-TECH-3-B1-RCN-G0</x:v>
      </x:c>
      <x:c r="E1426" s="9" t="str">
        <x:v>LF-B-A-TECH-3</x:v>
      </x:c>
      <x:c r="F1426" s="9" t="str">
        <x:v>LF-B-A</x:v>
      </x:c>
      <x:c r="G1426" s="9" t="str">
        <x:v>B1</x:v>
      </x:c>
      <x:c r="H1426" s="9" t="str">
        <x:v>RCN</x:v>
      </x:c>
      <x:c r="I1426" s="9" t="str">
        <x:v>PD12</x:v>
      </x:c>
      <x:c r="J1426" s="17" t="str">
        <x:v>Observation acceptance and replay</x:v>
      </x:c>
      <x:c r="K1426" s="17" t="str">
        <x:v>Observation court</x:v>
      </x:c>
      <x:c r="L1426" s="17" t="str">
        <x:v>COURT-SEALED UNTIL COHORT RELEASE</x:v>
      </x:c>
      <x:c r="M1426" s="9" t="n">
        <x:v>0</x:v>
      </x:c>
      <x:c r="N1426" s="9" t="n">
        <x:v>0</x:v>
      </x:c>
      <x:c r="O1426" s="9" t="n">
        <x:v>0</x:v>
      </x:c>
      <x:c r="P1426" s="9" t="str">
        <x:v>HELD / UNRELEASED</x:v>
      </x:c>
      <x:c r="Q1426" s="9" t="n">
        <x:f>COUNTIFS($A$7:$A$2310,A1426)</x:f>
        <x:v>1</x:v>
      </x:c>
    </x:row>
    <x:row r="1427">
      <x:c r="A1427" s="9" t="str">
        <x:v>PD-AR-LF-B-A-TECH-3-B1-RCN-G0-PD13</x:v>
      </x:c>
      <x:c r="B1427" s="9" t="str">
        <x:v>PD-AR-LF-B-A-TECH-3-B1-RCN-G0</x:v>
      </x:c>
      <x:c r="C1427" s="9" t="str">
        <x:v>EV-AR-LF-B-A-TECH-3-B1-RCN-G0</x:v>
      </x:c>
      <x:c r="D1427" s="9" t="str">
        <x:v>AR-LF-B-A-TECH-3-B1-RCN-G0</x:v>
      </x:c>
      <x:c r="E1427" s="9" t="str">
        <x:v>LF-B-A-TECH-3</x:v>
      </x:c>
      <x:c r="F1427" s="9" t="str">
        <x:v>LF-B-A</x:v>
      </x:c>
      <x:c r="G1427" s="9" t="str">
        <x:v>B1</x:v>
      </x:c>
      <x:c r="H1427" s="9" t="str">
        <x:v>RCN</x:v>
      </x:c>
      <x:c r="I1427" s="9" t="str">
        <x:v>PD13</x:v>
      </x:c>
      <x:c r="J1427" s="17" t="str">
        <x:v>Role judgment</x:v>
      </x:c>
      <x:c r="K1427" s="17" t="str">
        <x:v>Role court</x:v>
      </x:c>
      <x:c r="L1427" s="17" t="str">
        <x:v>COURT-SEALED UNTIL COHORT RELEASE</x:v>
      </x:c>
      <x:c r="M1427" s="9" t="n">
        <x:v>0</x:v>
      </x:c>
      <x:c r="N1427" s="9" t="n">
        <x:v>0</x:v>
      </x:c>
      <x:c r="O1427" s="9" t="n">
        <x:v>0</x:v>
      </x:c>
      <x:c r="P1427" s="9" t="str">
        <x:v>HELD / UNRELEASED</x:v>
      </x:c>
      <x:c r="Q1427" s="9" t="n">
        <x:f>COUNTIFS($A$7:$A$2310,A1427)</x:f>
        <x:v>1</x:v>
      </x:c>
    </x:row>
    <x:row r="1428">
      <x:c r="A1428" s="9" t="str">
        <x:v>PD-AR-LF-B-A-TECH-3-B1-RCN-G0-PD14</x:v>
      </x:c>
      <x:c r="B1428" s="9" t="str">
        <x:v>PD-AR-LF-B-A-TECH-3-B1-RCN-G0</x:v>
      </x:c>
      <x:c r="C1428" s="9" t="str">
        <x:v>EV-AR-LF-B-A-TECH-3-B1-RCN-G0</x:v>
      </x:c>
      <x:c r="D1428" s="9" t="str">
        <x:v>AR-LF-B-A-TECH-3-B1-RCN-G0</x:v>
      </x:c>
      <x:c r="E1428" s="9" t="str">
        <x:v>LF-B-A-TECH-3</x:v>
      </x:c>
      <x:c r="F1428" s="9" t="str">
        <x:v>LF-B-A</x:v>
      </x:c>
      <x:c r="G1428" s="9" t="str">
        <x:v>B1</x:v>
      </x:c>
      <x:c r="H1428" s="9" t="str">
        <x:v>RCN</x:v>
      </x:c>
      <x:c r="I1428" s="9" t="str">
        <x:v>PD14</x:v>
      </x:c>
      <x:c r="J1428" s="17" t="str">
        <x:v>Break and residual account</x:v>
      </x:c>
      <x:c r="K1428" s="17" t="str">
        <x:v>Residual authority</x:v>
      </x:c>
      <x:c r="L1428" s="17" t="str">
        <x:v>COURT-SEALED UNTIL COHORT RELEASE</x:v>
      </x:c>
      <x:c r="M1428" s="9" t="n">
        <x:v>0</x:v>
      </x:c>
      <x:c r="N1428" s="9" t="n">
        <x:v>0</x:v>
      </x:c>
      <x:c r="O1428" s="9" t="n">
        <x:v>0</x:v>
      </x:c>
      <x:c r="P1428" s="9" t="str">
        <x:v>HELD / UNRELEASED</x:v>
      </x:c>
      <x:c r="Q1428" s="9" t="n">
        <x:f>COUNTIFS($A$7:$A$2310,A1428)</x:f>
        <x:v>1</x:v>
      </x:c>
    </x:row>
    <x:row r="1429">
      <x:c r="A1429" s="9" t="str">
        <x:v>PD-AR-LF-B-A-TECH-3-B1-RCN-G0-PD15</x:v>
      </x:c>
      <x:c r="B1429" s="9" t="str">
        <x:v>PD-AR-LF-B-A-TECH-3-B1-RCN-G0</x:v>
      </x:c>
      <x:c r="C1429" s="9" t="str">
        <x:v>EV-AR-LF-B-A-TECH-3-B1-RCN-G0</x:v>
      </x:c>
      <x:c r="D1429" s="9" t="str">
        <x:v>AR-LF-B-A-TECH-3-B1-RCN-G0</x:v>
      </x:c>
      <x:c r="E1429" s="9" t="str">
        <x:v>LF-B-A-TECH-3</x:v>
      </x:c>
      <x:c r="F1429" s="9" t="str">
        <x:v>LF-B-A</x:v>
      </x:c>
      <x:c r="G1429" s="9" t="str">
        <x:v>B1</x:v>
      </x:c>
      <x:c r="H1429" s="9" t="str">
        <x:v>RCN</x:v>
      </x:c>
      <x:c r="I1429" s="9" t="str">
        <x:v>PD15</x:v>
      </x:c>
      <x:c r="J1429" s="17" t="str">
        <x:v>Reconstruction ancestry and replay</x:v>
      </x:c>
      <x:c r="K1429" s="17" t="str">
        <x:v>Reconstruction court</x:v>
      </x:c>
      <x:c r="L1429" s="17" t="str">
        <x:v>COURT-SEALED UNTIL COHORT RELEASE</x:v>
      </x:c>
      <x:c r="M1429" s="9" t="n">
        <x:v>0</x:v>
      </x:c>
      <x:c r="N1429" s="9" t="n">
        <x:v>0</x:v>
      </x:c>
      <x:c r="O1429" s="9" t="n">
        <x:v>0</x:v>
      </x:c>
      <x:c r="P1429" s="9" t="str">
        <x:v>HELD / UNRELEASED</x:v>
      </x:c>
      <x:c r="Q1429" s="9" t="n">
        <x:f>COUNTIFS($A$7:$A$2310,A1429)</x:f>
        <x:v>1</x:v>
      </x:c>
    </x:row>
    <x:row r="1430">
      <x:c r="A1430" s="9" t="str">
        <x:v>PD-AR-LF-B-A-TECH-3-B1-RCN-G0-PD16</x:v>
      </x:c>
      <x:c r="B1430" s="9" t="str">
        <x:v>PD-AR-LF-B-A-TECH-3-B1-RCN-G0</x:v>
      </x:c>
      <x:c r="C1430" s="9" t="str">
        <x:v>EV-AR-LF-B-A-TECH-3-B1-RCN-G0</x:v>
      </x:c>
      <x:c r="D1430" s="9" t="str">
        <x:v>AR-LF-B-A-TECH-3-B1-RCN-G0</x:v>
      </x:c>
      <x:c r="E1430" s="9" t="str">
        <x:v>LF-B-A-TECH-3</x:v>
      </x:c>
      <x:c r="F1430" s="9" t="str">
        <x:v>LF-B-A</x:v>
      </x:c>
      <x:c r="G1430" s="9" t="str">
        <x:v>B1</x:v>
      </x:c>
      <x:c r="H1430" s="9" t="str">
        <x:v>RCN</x:v>
      </x:c>
      <x:c r="I1430" s="9" t="str">
        <x:v>PD16</x:v>
      </x:c>
      <x:c r="J1430" s="17" t="str">
        <x:v>Dissent, amendments and access log</x:v>
      </x:c>
      <x:c r="K1430" s="17" t="str">
        <x:v>Public archive</x:v>
      </x:c>
      <x:c r="L1430" s="17" t="str">
        <x:v>COURT-SEALED UNTIL COHORT RELEASE</x:v>
      </x:c>
      <x:c r="M1430" s="9" t="n">
        <x:v>0</x:v>
      </x:c>
      <x:c r="N1430" s="9" t="n">
        <x:v>0</x:v>
      </x:c>
      <x:c r="O1430" s="9" t="n">
        <x:v>0</x:v>
      </x:c>
      <x:c r="P1430" s="9" t="str">
        <x:v>HELD / UNRELEASED</x:v>
      </x:c>
      <x:c r="Q1430" s="9" t="n">
        <x:f>COUNTIFS($A$7:$A$2310,A1430)</x:f>
        <x:v>1</x:v>
      </x:c>
    </x:row>
    <x:row r="1431">
      <x:c r="A1431" s="9" t="str">
        <x:v>PD-AR-RT-B-C-TECH-4-B2-INT-G0-PD01</x:v>
      </x:c>
      <x:c r="B1431" s="9" t="str">
        <x:v>PD-AR-RT-B-C-TECH-4-B2-INT-G0</x:v>
      </x:c>
      <x:c r="C1431" s="9" t="str">
        <x:v>EV-AR-RT-B-C-TECH-4-B2-INT-G0</x:v>
      </x:c>
      <x:c r="D1431" s="9" t="str">
        <x:v>AR-RT-B-C-TECH-4-B2-INT-G0</x:v>
      </x:c>
      <x:c r="E1431" s="9" t="str">
        <x:v>RT-B-C-TECH-4</x:v>
      </x:c>
      <x:c r="F1431" s="9" t="str">
        <x:v>RT-B-C</x:v>
      </x:c>
      <x:c r="G1431" s="9" t="str">
        <x:v>B2</x:v>
      </x:c>
      <x:c r="H1431" s="9" t="str">
        <x:v>INT</x:v>
      </x:c>
      <x:c r="I1431" s="9" t="str">
        <x:v>PD01</x:v>
      </x:c>
      <x:c r="J1431" s="17" t="str">
        <x:v>Experiment kernel</x:v>
      </x:c>
      <x:c r="K1431" s="17" t="str">
        <x:v>Public archive</x:v>
      </x:c>
      <x:c r="L1431" s="17" t="str">
        <x:v>COURT-SEALED UNTIL COHORT RELEASE</x:v>
      </x:c>
      <x:c r="M1431" s="9" t="n">
        <x:v>0</x:v>
      </x:c>
      <x:c r="N1431" s="9" t="n">
        <x:v>0</x:v>
      </x:c>
      <x:c r="O1431" s="9" t="n">
        <x:v>0</x:v>
      </x:c>
      <x:c r="P1431" s="9" t="str">
        <x:v>HELD / UNRELEASED</x:v>
      </x:c>
      <x:c r="Q1431" s="9" t="n">
        <x:f>COUNTIFS($A$7:$A$2310,A1431)</x:f>
        <x:v>1</x:v>
      </x:c>
    </x:row>
    <x:row r="1432">
      <x:c r="A1432" s="9" t="str">
        <x:v>PD-AR-RT-B-C-TECH-4-B2-INT-G0-PD02</x:v>
      </x:c>
      <x:c r="B1432" s="9" t="str">
        <x:v>PD-AR-RT-B-C-TECH-4-B2-INT-G0</x:v>
      </x:c>
      <x:c r="C1432" s="9" t="str">
        <x:v>EV-AR-RT-B-C-TECH-4-B2-INT-G0</x:v>
      </x:c>
      <x:c r="D1432" s="9" t="str">
        <x:v>AR-RT-B-C-TECH-4-B2-INT-G0</x:v>
      </x:c>
      <x:c r="E1432" s="9" t="str">
        <x:v>RT-B-C-TECH-4</x:v>
      </x:c>
      <x:c r="F1432" s="9" t="str">
        <x:v>RT-B-C</x:v>
      </x:c>
      <x:c r="G1432" s="9" t="str">
        <x:v>B2</x:v>
      </x:c>
      <x:c r="H1432" s="9" t="str">
        <x:v>INT</x:v>
      </x:c>
      <x:c r="I1432" s="9" t="str">
        <x:v>PD02</x:v>
      </x:c>
      <x:c r="J1432" s="17" t="str">
        <x:v>Serial annex and title chain</x:v>
      </x:c>
      <x:c r="K1432" s="17" t="str">
        <x:v>Public archive</x:v>
      </x:c>
      <x:c r="L1432" s="17" t="str">
        <x:v>COURT-SEALED UNTIL COHORT RELEASE</x:v>
      </x:c>
      <x:c r="M1432" s="9" t="n">
        <x:v>0</x:v>
      </x:c>
      <x:c r="N1432" s="9" t="n">
        <x:v>0</x:v>
      </x:c>
      <x:c r="O1432" s="9" t="n">
        <x:v>0</x:v>
      </x:c>
      <x:c r="P1432" s="9" t="str">
        <x:v>HELD / UNRELEASED</x:v>
      </x:c>
      <x:c r="Q1432" s="9" t="n">
        <x:f>COUNTIFS($A$7:$A$2310,A1432)</x:f>
        <x:v>1</x:v>
      </x:c>
    </x:row>
    <x:row r="1433">
      <x:c r="A1433" s="9" t="str">
        <x:v>PD-AR-RT-B-C-TECH-4-B2-INT-G0-PD03</x:v>
      </x:c>
      <x:c r="B1433" s="9" t="str">
        <x:v>PD-AR-RT-B-C-TECH-4-B2-INT-G0</x:v>
      </x:c>
      <x:c r="C1433" s="9" t="str">
        <x:v>EV-AR-RT-B-C-TECH-4-B2-INT-G0</x:v>
      </x:c>
      <x:c r="D1433" s="9" t="str">
        <x:v>AR-RT-B-C-TECH-4-B2-INT-G0</x:v>
      </x:c>
      <x:c r="E1433" s="9" t="str">
        <x:v>RT-B-C-TECH-4</x:v>
      </x:c>
      <x:c r="F1433" s="9" t="str">
        <x:v>RT-B-C</x:v>
      </x:c>
      <x:c r="G1433" s="9" t="str">
        <x:v>B2</x:v>
      </x:c>
      <x:c r="H1433" s="9" t="str">
        <x:v>INT</x:v>
      </x:c>
      <x:c r="I1433" s="9" t="str">
        <x:v>PD03</x:v>
      </x:c>
      <x:c r="J1433" s="17" t="str">
        <x:v>Configuration and as-built manifest</x:v>
      </x:c>
      <x:c r="K1433" s="17" t="str">
        <x:v>Artifact exchange</x:v>
      </x:c>
      <x:c r="L1433" s="17" t="str">
        <x:v>COURT-SEALED UNTIL COHORT RELEASE</x:v>
      </x:c>
      <x:c r="M1433" s="9" t="n">
        <x:v>0</x:v>
      </x:c>
      <x:c r="N1433" s="9" t="n">
        <x:v>0</x:v>
      </x:c>
      <x:c r="O1433" s="9" t="n">
        <x:v>0</x:v>
      </x:c>
      <x:c r="P1433" s="9" t="str">
        <x:v>HELD / UNRELEASED</x:v>
      </x:c>
      <x:c r="Q1433" s="9" t="n">
        <x:f>COUNTIFS($A$7:$A$2310,A1433)</x:f>
        <x:v>1</x:v>
      </x:c>
    </x:row>
    <x:row r="1434">
      <x:c r="A1434" s="9" t="str">
        <x:v>PD-AR-RT-B-C-TECH-4-B2-INT-G0-PD04</x:v>
      </x:c>
      <x:c r="B1434" s="9" t="str">
        <x:v>PD-AR-RT-B-C-TECH-4-B2-INT-G0</x:v>
      </x:c>
      <x:c r="C1434" s="9" t="str">
        <x:v>EV-AR-RT-B-C-TECH-4-B2-INT-G0</x:v>
      </x:c>
      <x:c r="D1434" s="9" t="str">
        <x:v>AR-RT-B-C-TECH-4-B2-INT-G0</x:v>
      </x:c>
      <x:c r="E1434" s="9" t="str">
        <x:v>RT-B-C-TECH-4</x:v>
      </x:c>
      <x:c r="F1434" s="9" t="str">
        <x:v>RT-B-C</x:v>
      </x:c>
      <x:c r="G1434" s="9" t="str">
        <x:v>B2</x:v>
      </x:c>
      <x:c r="H1434" s="9" t="str">
        <x:v>INT</x:v>
      </x:c>
      <x:c r="I1434" s="9" t="str">
        <x:v>PD04</x:v>
      </x:c>
      <x:c r="J1434" s="17" t="str">
        <x:v>EOW and start certificate</x:v>
      </x:c>
      <x:c r="K1434" s="17" t="str">
        <x:v>Start registrar</x:v>
      </x:c>
      <x:c r="L1434" s="17" t="str">
        <x:v>COURT-SEALED UNTIL COHORT RELEASE</x:v>
      </x:c>
      <x:c r="M1434" s="9" t="n">
        <x:v>0</x:v>
      </x:c>
      <x:c r="N1434" s="9" t="n">
        <x:v>0</x:v>
      </x:c>
      <x:c r="O1434" s="9" t="n">
        <x:v>0</x:v>
      </x:c>
      <x:c r="P1434" s="9" t="str">
        <x:v>HELD / UNRELEASED</x:v>
      </x:c>
      <x:c r="Q1434" s="9" t="n">
        <x:f>COUNTIFS($A$7:$A$2310,A1434)</x:f>
        <x:v>1</x:v>
      </x:c>
    </x:row>
    <x:row r="1435">
      <x:c r="A1435" s="9" t="str">
        <x:v>PD-AR-RT-B-C-TECH-4-B2-INT-G0-PD05</x:v>
      </x:c>
      <x:c r="B1435" s="9" t="str">
        <x:v>PD-AR-RT-B-C-TECH-4-B2-INT-G0</x:v>
      </x:c>
      <x:c r="C1435" s="9" t="str">
        <x:v>EV-AR-RT-B-C-TECH-4-B2-INT-G0</x:v>
      </x:c>
      <x:c r="D1435" s="9" t="str">
        <x:v>AR-RT-B-C-TECH-4-B2-INT-G0</x:v>
      </x:c>
      <x:c r="E1435" s="9" t="str">
        <x:v>RT-B-C-TECH-4</x:v>
      </x:c>
      <x:c r="F1435" s="9" t="str">
        <x:v>RT-B-C</x:v>
      </x:c>
      <x:c r="G1435" s="9" t="str">
        <x:v>B2</x:v>
      </x:c>
      <x:c r="H1435" s="9" t="str">
        <x:v>INT</x:v>
      </x:c>
      <x:c r="I1435" s="9" t="str">
        <x:v>PD05</x:v>
      </x:c>
      <x:c r="J1435" s="17" t="str">
        <x:v>Primary raw originals</x:v>
      </x:c>
      <x:c r="K1435" s="17" t="str">
        <x:v>Primary custody</x:v>
      </x:c>
      <x:c r="L1435" s="17" t="str">
        <x:v>COURT-SEALED UNTIL COHORT RELEASE</x:v>
      </x:c>
      <x:c r="M1435" s="9" t="n">
        <x:v>0</x:v>
      </x:c>
      <x:c r="N1435" s="9" t="n">
        <x:v>0</x:v>
      </x:c>
      <x:c r="O1435" s="9" t="n">
        <x:v>0</x:v>
      </x:c>
      <x:c r="P1435" s="9" t="str">
        <x:v>HELD / UNRELEASED</x:v>
      </x:c>
      <x:c r="Q1435" s="9" t="n">
        <x:f>COUNTIFS($A$7:$A$2310,A1435)</x:f>
        <x:v>1</x:v>
      </x:c>
    </x:row>
    <x:row r="1436">
      <x:c r="A1436" s="9" t="str">
        <x:v>PD-AR-RT-B-C-TECH-4-B2-INT-G0-PD06</x:v>
      </x:c>
      <x:c r="B1436" s="9" t="str">
        <x:v>PD-AR-RT-B-C-TECH-4-B2-INT-G0</x:v>
      </x:c>
      <x:c r="C1436" s="9" t="str">
        <x:v>EV-AR-RT-B-C-TECH-4-B2-INT-G0</x:v>
      </x:c>
      <x:c r="D1436" s="9" t="str">
        <x:v>AR-RT-B-C-TECH-4-B2-INT-G0</x:v>
      </x:c>
      <x:c r="E1436" s="9" t="str">
        <x:v>RT-B-C-TECH-4</x:v>
      </x:c>
      <x:c r="F1436" s="9" t="str">
        <x:v>RT-B-C</x:v>
      </x:c>
      <x:c r="G1436" s="9" t="str">
        <x:v>B2</x:v>
      </x:c>
      <x:c r="H1436" s="9" t="str">
        <x:v>INT</x:v>
      </x:c>
      <x:c r="I1436" s="9" t="str">
        <x:v>PD06</x:v>
      </x:c>
      <x:c r="J1436" s="17" t="str">
        <x:v>Witness raw originals</x:v>
      </x:c>
      <x:c r="K1436" s="17" t="str">
        <x:v>Witness custody</x:v>
      </x:c>
      <x:c r="L1436" s="17" t="str">
        <x:v>COURT-SEALED UNTIL COHORT RELEASE</x:v>
      </x:c>
      <x:c r="M1436" s="9" t="n">
        <x:v>0</x:v>
      </x:c>
      <x:c r="N1436" s="9" t="n">
        <x:v>0</x:v>
      </x:c>
      <x:c r="O1436" s="9" t="n">
        <x:v>0</x:v>
      </x:c>
      <x:c r="P1436" s="9" t="str">
        <x:v>HELD / UNRELEASED</x:v>
      </x:c>
      <x:c r="Q1436" s="9" t="n">
        <x:f>COUNTIFS($A$7:$A$2310,A1436)</x:f>
        <x:v>1</x:v>
      </x:c>
    </x:row>
    <x:row r="1437">
      <x:c r="A1437" s="9" t="str">
        <x:v>PD-AR-RT-B-C-TECH-4-B2-INT-G0-PD07</x:v>
      </x:c>
      <x:c r="B1437" s="9" t="str">
        <x:v>PD-AR-RT-B-C-TECH-4-B2-INT-G0</x:v>
      </x:c>
      <x:c r="C1437" s="9" t="str">
        <x:v>EV-AR-RT-B-C-TECH-4-B2-INT-G0</x:v>
      </x:c>
      <x:c r="D1437" s="9" t="str">
        <x:v>AR-RT-B-C-TECH-4-B2-INT-G0</x:v>
      </x:c>
      <x:c r="E1437" s="9" t="str">
        <x:v>RT-B-C-TECH-4</x:v>
      </x:c>
      <x:c r="F1437" s="9" t="str">
        <x:v>RT-B-C</x:v>
      </x:c>
      <x:c r="G1437" s="9" t="str">
        <x:v>B2</x:v>
      </x:c>
      <x:c r="H1437" s="9" t="str">
        <x:v>INT</x:v>
      </x:c>
      <x:c r="I1437" s="9" t="str">
        <x:v>PD07</x:v>
      </x:c>
      <x:c r="J1437" s="17" t="str">
        <x:v>Clock and environmental records</x:v>
      </x:c>
      <x:c r="K1437" s="17" t="str">
        <x:v>Boundary archive</x:v>
      </x:c>
      <x:c r="L1437" s="17" t="str">
        <x:v>COURT-SEALED UNTIL COHORT RELEASE</x:v>
      </x:c>
      <x:c r="M1437" s="9" t="n">
        <x:v>0</x:v>
      </x:c>
      <x:c r="N1437" s="9" t="n">
        <x:v>0</x:v>
      </x:c>
      <x:c r="O1437" s="9" t="n">
        <x:v>0</x:v>
      </x:c>
      <x:c r="P1437" s="9" t="str">
        <x:v>HELD / UNRELEASED</x:v>
      </x:c>
      <x:c r="Q1437" s="9" t="n">
        <x:f>COUNTIFS($A$7:$A$2310,A1437)</x:f>
        <x:v>1</x:v>
      </x:c>
    </x:row>
    <x:row r="1438">
      <x:c r="A1438" s="9" t="str">
        <x:v>PD-AR-RT-B-C-TECH-4-B2-INT-G0-PD08</x:v>
      </x:c>
      <x:c r="B1438" s="9" t="str">
        <x:v>PD-AR-RT-B-C-TECH-4-B2-INT-G0</x:v>
      </x:c>
      <x:c r="C1438" s="9" t="str">
        <x:v>EV-AR-RT-B-C-TECH-4-B2-INT-G0</x:v>
      </x:c>
      <x:c r="D1438" s="9" t="str">
        <x:v>AR-RT-B-C-TECH-4-B2-INT-G0</x:v>
      </x:c>
      <x:c r="E1438" s="9" t="str">
        <x:v>RT-B-C-TECH-4</x:v>
      </x:c>
      <x:c r="F1438" s="9" t="str">
        <x:v>RT-B-C</x:v>
      </x:c>
      <x:c r="G1438" s="9" t="str">
        <x:v>B2</x:v>
      </x:c>
      <x:c r="H1438" s="9" t="str">
        <x:v>INT</x:v>
      </x:c>
      <x:c r="I1438" s="9" t="str">
        <x:v>PD08</x:v>
      </x:c>
      <x:c r="J1438" s="17" t="str">
        <x:v>Command and intervention log</x:v>
      </x:c>
      <x:c r="K1438" s="17" t="str">
        <x:v>Safety archive</x:v>
      </x:c>
      <x:c r="L1438" s="17" t="str">
        <x:v>COURT-SEALED UNTIL COHORT RELEASE</x:v>
      </x:c>
      <x:c r="M1438" s="9" t="n">
        <x:v>0</x:v>
      </x:c>
      <x:c r="N1438" s="9" t="n">
        <x:v>0</x:v>
      </x:c>
      <x:c r="O1438" s="9" t="n">
        <x:v>0</x:v>
      </x:c>
      <x:c r="P1438" s="9" t="str">
        <x:v>HELD / UNRELEASED</x:v>
      </x:c>
      <x:c r="Q1438" s="9" t="n">
        <x:f>COUNTIFS($A$7:$A$2310,A1438)</x:f>
        <x:v>1</x:v>
      </x:c>
    </x:row>
    <x:row r="1439">
      <x:c r="A1439" s="9" t="str">
        <x:v>PD-AR-RT-B-C-TECH-4-B2-INT-G0-PD09</x:v>
      </x:c>
      <x:c r="B1439" s="9" t="str">
        <x:v>PD-AR-RT-B-C-TECH-4-B2-INT-G0</x:v>
      </x:c>
      <x:c r="C1439" s="9" t="str">
        <x:v>EV-AR-RT-B-C-TECH-4-B2-INT-G0</x:v>
      </x:c>
      <x:c r="D1439" s="9" t="str">
        <x:v>AR-RT-B-C-TECH-4-B2-INT-G0</x:v>
      </x:c>
      <x:c r="E1439" s="9" t="str">
        <x:v>RT-B-C-TECH-4</x:v>
      </x:c>
      <x:c r="F1439" s="9" t="str">
        <x:v>RT-B-C</x:v>
      </x:c>
      <x:c r="G1439" s="9" t="str">
        <x:v>B2</x:v>
      </x:c>
      <x:c r="H1439" s="9" t="str">
        <x:v>INT</x:v>
      </x:c>
      <x:c r="I1439" s="9" t="str">
        <x:v>PD09</x:v>
      </x:c>
      <x:c r="J1439" s="17" t="str">
        <x:v>Receiver denominator and service ledger</x:v>
      </x:c>
      <x:c r="K1439" s="17" t="str">
        <x:v>Receiver archive</x:v>
      </x:c>
      <x:c r="L1439" s="17" t="str">
        <x:v>COURT-SEALED UNTIL COHORT RELEASE</x:v>
      </x:c>
      <x:c r="M1439" s="9" t="n">
        <x:v>0</x:v>
      </x:c>
      <x:c r="N1439" s="9" t="n">
        <x:v>0</x:v>
      </x:c>
      <x:c r="O1439" s="9" t="n">
        <x:v>0</x:v>
      </x:c>
      <x:c r="P1439" s="9" t="str">
        <x:v>HELD / UNRELEASED</x:v>
      </x:c>
      <x:c r="Q1439" s="9" t="n">
        <x:f>COUNTIFS($A$7:$A$2310,A1439)</x:f>
        <x:v>1</x:v>
      </x:c>
    </x:row>
    <x:row r="1440">
      <x:c r="A1440" s="9" t="str">
        <x:v>PD-AR-RT-B-C-TECH-4-B2-INT-G0-PD10</x:v>
      </x:c>
      <x:c r="B1440" s="9" t="str">
        <x:v>PD-AR-RT-B-C-TECH-4-B2-INT-G0</x:v>
      </x:c>
      <x:c r="C1440" s="9" t="str">
        <x:v>EV-AR-RT-B-C-TECH-4-B2-INT-G0</x:v>
      </x:c>
      <x:c r="D1440" s="9" t="str">
        <x:v>AR-RT-B-C-TECH-4-B2-INT-G0</x:v>
      </x:c>
      <x:c r="E1440" s="9" t="str">
        <x:v>RT-B-C-TECH-4</x:v>
      </x:c>
      <x:c r="F1440" s="9" t="str">
        <x:v>RT-B-C</x:v>
      </x:c>
      <x:c r="G1440" s="9" t="str">
        <x:v>B2</x:v>
      </x:c>
      <x:c r="H1440" s="9" t="str">
        <x:v>INT</x:v>
      </x:c>
      <x:c r="I1440" s="9" t="str">
        <x:v>PD10</x:v>
      </x:c>
      <x:c r="J1440" s="17" t="str">
        <x:v>Calibration and uncertainty record</x:v>
      </x:c>
      <x:c r="K1440" s="17" t="str">
        <x:v>Metrology archive</x:v>
      </x:c>
      <x:c r="L1440" s="17" t="str">
        <x:v>COURT-SEALED UNTIL COHORT RELEASE</x:v>
      </x:c>
      <x:c r="M1440" s="9" t="n">
        <x:v>0</x:v>
      </x:c>
      <x:c r="N1440" s="9" t="n">
        <x:v>0</x:v>
      </x:c>
      <x:c r="O1440" s="9" t="n">
        <x:v>0</x:v>
      </x:c>
      <x:c r="P1440" s="9" t="str">
        <x:v>HELD / UNRELEASED</x:v>
      </x:c>
      <x:c r="Q1440" s="9" t="n">
        <x:f>COUNTIFS($A$7:$A$2310,A1440)</x:f>
        <x:v>1</x:v>
      </x:c>
    </x:row>
    <x:row r="1441">
      <x:c r="A1441" s="9" t="str">
        <x:v>PD-AR-RT-B-C-TECH-4-B2-INT-G0-PD11</x:v>
      </x:c>
      <x:c r="B1441" s="9" t="str">
        <x:v>PD-AR-RT-B-C-TECH-4-B2-INT-G0</x:v>
      </x:c>
      <x:c r="C1441" s="9" t="str">
        <x:v>EV-AR-RT-B-C-TECH-4-B2-INT-G0</x:v>
      </x:c>
      <x:c r="D1441" s="9" t="str">
        <x:v>AR-RT-B-C-TECH-4-B2-INT-G0</x:v>
      </x:c>
      <x:c r="E1441" s="9" t="str">
        <x:v>RT-B-C-TECH-4</x:v>
      </x:c>
      <x:c r="F1441" s="9" t="str">
        <x:v>RT-B-C</x:v>
      </x:c>
      <x:c r="G1441" s="9" t="str">
        <x:v>B2</x:v>
      </x:c>
      <x:c r="H1441" s="9" t="str">
        <x:v>INT</x:v>
      </x:c>
      <x:c r="I1441" s="9" t="str">
        <x:v>PD11</x:v>
      </x:c>
      <x:c r="J1441" s="17" t="str">
        <x:v>Invalidity petition and opinion</x:v>
      </x:c>
      <x:c r="K1441" s="17" t="str">
        <x:v>Invalidity court</x:v>
      </x:c>
      <x:c r="L1441" s="17" t="str">
        <x:v>COURT-SEALED UNTIL COHORT RELEASE</x:v>
      </x:c>
      <x:c r="M1441" s="9" t="n">
        <x:v>0</x:v>
      </x:c>
      <x:c r="N1441" s="9" t="n">
        <x:v>0</x:v>
      </x:c>
      <x:c r="O1441" s="9" t="n">
        <x:v>0</x:v>
      </x:c>
      <x:c r="P1441" s="9" t="str">
        <x:v>HELD / UNRELEASED</x:v>
      </x:c>
      <x:c r="Q1441" s="9" t="n">
        <x:f>COUNTIFS($A$7:$A$2310,A1441)</x:f>
        <x:v>1</x:v>
      </x:c>
    </x:row>
    <x:row r="1442">
      <x:c r="A1442" s="9" t="str">
        <x:v>PD-AR-RT-B-C-TECH-4-B2-INT-G0-PD12</x:v>
      </x:c>
      <x:c r="B1442" s="9" t="str">
        <x:v>PD-AR-RT-B-C-TECH-4-B2-INT-G0</x:v>
      </x:c>
      <x:c r="C1442" s="9" t="str">
        <x:v>EV-AR-RT-B-C-TECH-4-B2-INT-G0</x:v>
      </x:c>
      <x:c r="D1442" s="9" t="str">
        <x:v>AR-RT-B-C-TECH-4-B2-INT-G0</x:v>
      </x:c>
      <x:c r="E1442" s="9" t="str">
        <x:v>RT-B-C-TECH-4</x:v>
      </x:c>
      <x:c r="F1442" s="9" t="str">
        <x:v>RT-B-C</x:v>
      </x:c>
      <x:c r="G1442" s="9" t="str">
        <x:v>B2</x:v>
      </x:c>
      <x:c r="H1442" s="9" t="str">
        <x:v>INT</x:v>
      </x:c>
      <x:c r="I1442" s="9" t="str">
        <x:v>PD12</x:v>
      </x:c>
      <x:c r="J1442" s="17" t="str">
        <x:v>Observation acceptance and replay</x:v>
      </x:c>
      <x:c r="K1442" s="17" t="str">
        <x:v>Observation court</x:v>
      </x:c>
      <x:c r="L1442" s="17" t="str">
        <x:v>COURT-SEALED UNTIL COHORT RELEASE</x:v>
      </x:c>
      <x:c r="M1442" s="9" t="n">
        <x:v>0</x:v>
      </x:c>
      <x:c r="N1442" s="9" t="n">
        <x:v>0</x:v>
      </x:c>
      <x:c r="O1442" s="9" t="n">
        <x:v>0</x:v>
      </x:c>
      <x:c r="P1442" s="9" t="str">
        <x:v>HELD / UNRELEASED</x:v>
      </x:c>
      <x:c r="Q1442" s="9" t="n">
        <x:f>COUNTIFS($A$7:$A$2310,A1442)</x:f>
        <x:v>1</x:v>
      </x:c>
    </x:row>
    <x:row r="1443">
      <x:c r="A1443" s="9" t="str">
        <x:v>PD-AR-RT-B-C-TECH-4-B2-INT-G0-PD13</x:v>
      </x:c>
      <x:c r="B1443" s="9" t="str">
        <x:v>PD-AR-RT-B-C-TECH-4-B2-INT-G0</x:v>
      </x:c>
      <x:c r="C1443" s="9" t="str">
        <x:v>EV-AR-RT-B-C-TECH-4-B2-INT-G0</x:v>
      </x:c>
      <x:c r="D1443" s="9" t="str">
        <x:v>AR-RT-B-C-TECH-4-B2-INT-G0</x:v>
      </x:c>
      <x:c r="E1443" s="9" t="str">
        <x:v>RT-B-C-TECH-4</x:v>
      </x:c>
      <x:c r="F1443" s="9" t="str">
        <x:v>RT-B-C</x:v>
      </x:c>
      <x:c r="G1443" s="9" t="str">
        <x:v>B2</x:v>
      </x:c>
      <x:c r="H1443" s="9" t="str">
        <x:v>INT</x:v>
      </x:c>
      <x:c r="I1443" s="9" t="str">
        <x:v>PD13</x:v>
      </x:c>
      <x:c r="J1443" s="17" t="str">
        <x:v>Role judgment</x:v>
      </x:c>
      <x:c r="K1443" s="17" t="str">
        <x:v>Role court</x:v>
      </x:c>
      <x:c r="L1443" s="17" t="str">
        <x:v>COURT-SEALED UNTIL COHORT RELEASE</x:v>
      </x:c>
      <x:c r="M1443" s="9" t="n">
        <x:v>0</x:v>
      </x:c>
      <x:c r="N1443" s="9" t="n">
        <x:v>0</x:v>
      </x:c>
      <x:c r="O1443" s="9" t="n">
        <x:v>0</x:v>
      </x:c>
      <x:c r="P1443" s="9" t="str">
        <x:v>HELD / UNRELEASED</x:v>
      </x:c>
      <x:c r="Q1443" s="9" t="n">
        <x:f>COUNTIFS($A$7:$A$2310,A1443)</x:f>
        <x:v>1</x:v>
      </x:c>
    </x:row>
    <x:row r="1444">
      <x:c r="A1444" s="9" t="str">
        <x:v>PD-AR-RT-B-C-TECH-4-B2-INT-G0-PD14</x:v>
      </x:c>
      <x:c r="B1444" s="9" t="str">
        <x:v>PD-AR-RT-B-C-TECH-4-B2-INT-G0</x:v>
      </x:c>
      <x:c r="C1444" s="9" t="str">
        <x:v>EV-AR-RT-B-C-TECH-4-B2-INT-G0</x:v>
      </x:c>
      <x:c r="D1444" s="9" t="str">
        <x:v>AR-RT-B-C-TECH-4-B2-INT-G0</x:v>
      </x:c>
      <x:c r="E1444" s="9" t="str">
        <x:v>RT-B-C-TECH-4</x:v>
      </x:c>
      <x:c r="F1444" s="9" t="str">
        <x:v>RT-B-C</x:v>
      </x:c>
      <x:c r="G1444" s="9" t="str">
        <x:v>B2</x:v>
      </x:c>
      <x:c r="H1444" s="9" t="str">
        <x:v>INT</x:v>
      </x:c>
      <x:c r="I1444" s="9" t="str">
        <x:v>PD14</x:v>
      </x:c>
      <x:c r="J1444" s="17" t="str">
        <x:v>Break and residual account</x:v>
      </x:c>
      <x:c r="K1444" s="17" t="str">
        <x:v>Residual authority</x:v>
      </x:c>
      <x:c r="L1444" s="17" t="str">
        <x:v>COURT-SEALED UNTIL COHORT RELEASE</x:v>
      </x:c>
      <x:c r="M1444" s="9" t="n">
        <x:v>0</x:v>
      </x:c>
      <x:c r="N1444" s="9" t="n">
        <x:v>0</x:v>
      </x:c>
      <x:c r="O1444" s="9" t="n">
        <x:v>0</x:v>
      </x:c>
      <x:c r="P1444" s="9" t="str">
        <x:v>HELD / UNRELEASED</x:v>
      </x:c>
      <x:c r="Q1444" s="9" t="n">
        <x:f>COUNTIFS($A$7:$A$2310,A1444)</x:f>
        <x:v>1</x:v>
      </x:c>
    </x:row>
    <x:row r="1445">
      <x:c r="A1445" s="9" t="str">
        <x:v>PD-AR-RT-B-C-TECH-4-B2-INT-G0-PD15</x:v>
      </x:c>
      <x:c r="B1445" s="9" t="str">
        <x:v>PD-AR-RT-B-C-TECH-4-B2-INT-G0</x:v>
      </x:c>
      <x:c r="C1445" s="9" t="str">
        <x:v>EV-AR-RT-B-C-TECH-4-B2-INT-G0</x:v>
      </x:c>
      <x:c r="D1445" s="9" t="str">
        <x:v>AR-RT-B-C-TECH-4-B2-INT-G0</x:v>
      </x:c>
      <x:c r="E1445" s="9" t="str">
        <x:v>RT-B-C-TECH-4</x:v>
      </x:c>
      <x:c r="F1445" s="9" t="str">
        <x:v>RT-B-C</x:v>
      </x:c>
      <x:c r="G1445" s="9" t="str">
        <x:v>B2</x:v>
      </x:c>
      <x:c r="H1445" s="9" t="str">
        <x:v>INT</x:v>
      </x:c>
      <x:c r="I1445" s="9" t="str">
        <x:v>PD15</x:v>
      </x:c>
      <x:c r="J1445" s="17" t="str">
        <x:v>Reconstruction ancestry and replay</x:v>
      </x:c>
      <x:c r="K1445" s="17" t="str">
        <x:v>Reconstruction court</x:v>
      </x:c>
      <x:c r="L1445" s="17" t="str">
        <x:v>COURT-SEALED UNTIL COHORT RELEASE</x:v>
      </x:c>
      <x:c r="M1445" s="9" t="n">
        <x:v>0</x:v>
      </x:c>
      <x:c r="N1445" s="9" t="n">
        <x:v>0</x:v>
      </x:c>
      <x:c r="O1445" s="9" t="n">
        <x:v>0</x:v>
      </x:c>
      <x:c r="P1445" s="9" t="str">
        <x:v>HELD / UNRELEASED</x:v>
      </x:c>
      <x:c r="Q1445" s="9" t="n">
        <x:f>COUNTIFS($A$7:$A$2310,A1445)</x:f>
        <x:v>1</x:v>
      </x:c>
    </x:row>
    <x:row r="1446">
      <x:c r="A1446" s="9" t="str">
        <x:v>PD-AR-RT-B-C-TECH-4-B2-INT-G0-PD16</x:v>
      </x:c>
      <x:c r="B1446" s="9" t="str">
        <x:v>PD-AR-RT-B-C-TECH-4-B2-INT-G0</x:v>
      </x:c>
      <x:c r="C1446" s="9" t="str">
        <x:v>EV-AR-RT-B-C-TECH-4-B2-INT-G0</x:v>
      </x:c>
      <x:c r="D1446" s="9" t="str">
        <x:v>AR-RT-B-C-TECH-4-B2-INT-G0</x:v>
      </x:c>
      <x:c r="E1446" s="9" t="str">
        <x:v>RT-B-C-TECH-4</x:v>
      </x:c>
      <x:c r="F1446" s="9" t="str">
        <x:v>RT-B-C</x:v>
      </x:c>
      <x:c r="G1446" s="9" t="str">
        <x:v>B2</x:v>
      </x:c>
      <x:c r="H1446" s="9" t="str">
        <x:v>INT</x:v>
      </x:c>
      <x:c r="I1446" s="9" t="str">
        <x:v>PD16</x:v>
      </x:c>
      <x:c r="J1446" s="17" t="str">
        <x:v>Dissent, amendments and access log</x:v>
      </x:c>
      <x:c r="K1446" s="17" t="str">
        <x:v>Public archive</x:v>
      </x:c>
      <x:c r="L1446" s="17" t="str">
        <x:v>COURT-SEALED UNTIL COHORT RELEASE</x:v>
      </x:c>
      <x:c r="M1446" s="9" t="n">
        <x:v>0</x:v>
      </x:c>
      <x:c r="N1446" s="9" t="n">
        <x:v>0</x:v>
      </x:c>
      <x:c r="O1446" s="9" t="n">
        <x:v>0</x:v>
      </x:c>
      <x:c r="P1446" s="9" t="str">
        <x:v>HELD / UNRELEASED</x:v>
      </x:c>
      <x:c r="Q1446" s="9" t="n">
        <x:f>COUNTIFS($A$7:$A$2310,A1446)</x:f>
        <x:v>1</x:v>
      </x:c>
    </x:row>
    <x:row r="1447">
      <x:c r="A1447" s="9" t="str">
        <x:v>PD-AR-CT-C-B-TECH-4-B2-RCN-G0-PD01</x:v>
      </x:c>
      <x:c r="B1447" s="9" t="str">
        <x:v>PD-AR-CT-C-B-TECH-4-B2-RCN-G0</x:v>
      </x:c>
      <x:c r="C1447" s="9" t="str">
        <x:v>EV-AR-CT-C-B-TECH-4-B2-RCN-G0</x:v>
      </x:c>
      <x:c r="D1447" s="9" t="str">
        <x:v>AR-CT-C-B-TECH-4-B2-RCN-G0</x:v>
      </x:c>
      <x:c r="E1447" s="9" t="str">
        <x:v>CT-C-B-TECH-4</x:v>
      </x:c>
      <x:c r="F1447" s="9" t="str">
        <x:v>CT-C-B</x:v>
      </x:c>
      <x:c r="G1447" s="9" t="str">
        <x:v>B2</x:v>
      </x:c>
      <x:c r="H1447" s="9" t="str">
        <x:v>RCN</x:v>
      </x:c>
      <x:c r="I1447" s="9" t="str">
        <x:v>PD01</x:v>
      </x:c>
      <x:c r="J1447" s="17" t="str">
        <x:v>Experiment kernel</x:v>
      </x:c>
      <x:c r="K1447" s="17" t="str">
        <x:v>Public archive</x:v>
      </x:c>
      <x:c r="L1447" s="17" t="str">
        <x:v>COURT-SEALED UNTIL COHORT RELEASE</x:v>
      </x:c>
      <x:c r="M1447" s="9" t="n">
        <x:v>0</x:v>
      </x:c>
      <x:c r="N1447" s="9" t="n">
        <x:v>0</x:v>
      </x:c>
      <x:c r="O1447" s="9" t="n">
        <x:v>0</x:v>
      </x:c>
      <x:c r="P1447" s="9" t="str">
        <x:v>HELD / UNRELEASED</x:v>
      </x:c>
      <x:c r="Q1447" s="9" t="n">
        <x:f>COUNTIFS($A$7:$A$2310,A1447)</x:f>
        <x:v>1</x:v>
      </x:c>
    </x:row>
    <x:row r="1448">
      <x:c r="A1448" s="9" t="str">
        <x:v>PD-AR-CT-C-B-TECH-4-B2-RCN-G0-PD02</x:v>
      </x:c>
      <x:c r="B1448" s="9" t="str">
        <x:v>PD-AR-CT-C-B-TECH-4-B2-RCN-G0</x:v>
      </x:c>
      <x:c r="C1448" s="9" t="str">
        <x:v>EV-AR-CT-C-B-TECH-4-B2-RCN-G0</x:v>
      </x:c>
      <x:c r="D1448" s="9" t="str">
        <x:v>AR-CT-C-B-TECH-4-B2-RCN-G0</x:v>
      </x:c>
      <x:c r="E1448" s="9" t="str">
        <x:v>CT-C-B-TECH-4</x:v>
      </x:c>
      <x:c r="F1448" s="9" t="str">
        <x:v>CT-C-B</x:v>
      </x:c>
      <x:c r="G1448" s="9" t="str">
        <x:v>B2</x:v>
      </x:c>
      <x:c r="H1448" s="9" t="str">
        <x:v>RCN</x:v>
      </x:c>
      <x:c r="I1448" s="9" t="str">
        <x:v>PD02</x:v>
      </x:c>
      <x:c r="J1448" s="17" t="str">
        <x:v>Serial annex and title chain</x:v>
      </x:c>
      <x:c r="K1448" s="17" t="str">
        <x:v>Public archive</x:v>
      </x:c>
      <x:c r="L1448" s="17" t="str">
        <x:v>COURT-SEALED UNTIL COHORT RELEASE</x:v>
      </x:c>
      <x:c r="M1448" s="9" t="n">
        <x:v>0</x:v>
      </x:c>
      <x:c r="N1448" s="9" t="n">
        <x:v>0</x:v>
      </x:c>
      <x:c r="O1448" s="9" t="n">
        <x:v>0</x:v>
      </x:c>
      <x:c r="P1448" s="9" t="str">
        <x:v>HELD / UNRELEASED</x:v>
      </x:c>
      <x:c r="Q1448" s="9" t="n">
        <x:f>COUNTIFS($A$7:$A$2310,A1448)</x:f>
        <x:v>1</x:v>
      </x:c>
    </x:row>
    <x:row r="1449">
      <x:c r="A1449" s="9" t="str">
        <x:v>PD-AR-CT-C-B-TECH-4-B2-RCN-G0-PD03</x:v>
      </x:c>
      <x:c r="B1449" s="9" t="str">
        <x:v>PD-AR-CT-C-B-TECH-4-B2-RCN-G0</x:v>
      </x:c>
      <x:c r="C1449" s="9" t="str">
        <x:v>EV-AR-CT-C-B-TECH-4-B2-RCN-G0</x:v>
      </x:c>
      <x:c r="D1449" s="9" t="str">
        <x:v>AR-CT-C-B-TECH-4-B2-RCN-G0</x:v>
      </x:c>
      <x:c r="E1449" s="9" t="str">
        <x:v>CT-C-B-TECH-4</x:v>
      </x:c>
      <x:c r="F1449" s="9" t="str">
        <x:v>CT-C-B</x:v>
      </x:c>
      <x:c r="G1449" s="9" t="str">
        <x:v>B2</x:v>
      </x:c>
      <x:c r="H1449" s="9" t="str">
        <x:v>RCN</x:v>
      </x:c>
      <x:c r="I1449" s="9" t="str">
        <x:v>PD03</x:v>
      </x:c>
      <x:c r="J1449" s="17" t="str">
        <x:v>Configuration and as-built manifest</x:v>
      </x:c>
      <x:c r="K1449" s="17" t="str">
        <x:v>Artifact exchange</x:v>
      </x:c>
      <x:c r="L1449" s="17" t="str">
        <x:v>COURT-SEALED UNTIL COHORT RELEASE</x:v>
      </x:c>
      <x:c r="M1449" s="9" t="n">
        <x:v>0</x:v>
      </x:c>
      <x:c r="N1449" s="9" t="n">
        <x:v>0</x:v>
      </x:c>
      <x:c r="O1449" s="9" t="n">
        <x:v>0</x:v>
      </x:c>
      <x:c r="P1449" s="9" t="str">
        <x:v>HELD / UNRELEASED</x:v>
      </x:c>
      <x:c r="Q1449" s="9" t="n">
        <x:f>COUNTIFS($A$7:$A$2310,A1449)</x:f>
        <x:v>1</x:v>
      </x:c>
    </x:row>
    <x:row r="1450">
      <x:c r="A1450" s="9" t="str">
        <x:v>PD-AR-CT-C-B-TECH-4-B2-RCN-G0-PD04</x:v>
      </x:c>
      <x:c r="B1450" s="9" t="str">
        <x:v>PD-AR-CT-C-B-TECH-4-B2-RCN-G0</x:v>
      </x:c>
      <x:c r="C1450" s="9" t="str">
        <x:v>EV-AR-CT-C-B-TECH-4-B2-RCN-G0</x:v>
      </x:c>
      <x:c r="D1450" s="9" t="str">
        <x:v>AR-CT-C-B-TECH-4-B2-RCN-G0</x:v>
      </x:c>
      <x:c r="E1450" s="9" t="str">
        <x:v>CT-C-B-TECH-4</x:v>
      </x:c>
      <x:c r="F1450" s="9" t="str">
        <x:v>CT-C-B</x:v>
      </x:c>
      <x:c r="G1450" s="9" t="str">
        <x:v>B2</x:v>
      </x:c>
      <x:c r="H1450" s="9" t="str">
        <x:v>RCN</x:v>
      </x:c>
      <x:c r="I1450" s="9" t="str">
        <x:v>PD04</x:v>
      </x:c>
      <x:c r="J1450" s="17" t="str">
        <x:v>EOW and start certificate</x:v>
      </x:c>
      <x:c r="K1450" s="17" t="str">
        <x:v>Start registrar</x:v>
      </x:c>
      <x:c r="L1450" s="17" t="str">
        <x:v>COURT-SEALED UNTIL COHORT RELEASE</x:v>
      </x:c>
      <x:c r="M1450" s="9" t="n">
        <x:v>0</x:v>
      </x:c>
      <x:c r="N1450" s="9" t="n">
        <x:v>0</x:v>
      </x:c>
      <x:c r="O1450" s="9" t="n">
        <x:v>0</x:v>
      </x:c>
      <x:c r="P1450" s="9" t="str">
        <x:v>HELD / UNRELEASED</x:v>
      </x:c>
      <x:c r="Q1450" s="9" t="n">
        <x:f>COUNTIFS($A$7:$A$2310,A1450)</x:f>
        <x:v>1</x:v>
      </x:c>
    </x:row>
    <x:row r="1451">
      <x:c r="A1451" s="9" t="str">
        <x:v>PD-AR-CT-C-B-TECH-4-B2-RCN-G0-PD05</x:v>
      </x:c>
      <x:c r="B1451" s="9" t="str">
        <x:v>PD-AR-CT-C-B-TECH-4-B2-RCN-G0</x:v>
      </x:c>
      <x:c r="C1451" s="9" t="str">
        <x:v>EV-AR-CT-C-B-TECH-4-B2-RCN-G0</x:v>
      </x:c>
      <x:c r="D1451" s="9" t="str">
        <x:v>AR-CT-C-B-TECH-4-B2-RCN-G0</x:v>
      </x:c>
      <x:c r="E1451" s="9" t="str">
        <x:v>CT-C-B-TECH-4</x:v>
      </x:c>
      <x:c r="F1451" s="9" t="str">
        <x:v>CT-C-B</x:v>
      </x:c>
      <x:c r="G1451" s="9" t="str">
        <x:v>B2</x:v>
      </x:c>
      <x:c r="H1451" s="9" t="str">
        <x:v>RCN</x:v>
      </x:c>
      <x:c r="I1451" s="9" t="str">
        <x:v>PD05</x:v>
      </x:c>
      <x:c r="J1451" s="17" t="str">
        <x:v>Primary raw originals</x:v>
      </x:c>
      <x:c r="K1451" s="17" t="str">
        <x:v>Primary custody</x:v>
      </x:c>
      <x:c r="L1451" s="17" t="str">
        <x:v>COURT-SEALED UNTIL COHORT RELEASE</x:v>
      </x:c>
      <x:c r="M1451" s="9" t="n">
        <x:v>0</x:v>
      </x:c>
      <x:c r="N1451" s="9" t="n">
        <x:v>0</x:v>
      </x:c>
      <x:c r="O1451" s="9" t="n">
        <x:v>0</x:v>
      </x:c>
      <x:c r="P1451" s="9" t="str">
        <x:v>HELD / UNRELEASED</x:v>
      </x:c>
      <x:c r="Q1451" s="9" t="n">
        <x:f>COUNTIFS($A$7:$A$2310,A1451)</x:f>
        <x:v>1</x:v>
      </x:c>
    </x:row>
    <x:row r="1452">
      <x:c r="A1452" s="9" t="str">
        <x:v>PD-AR-CT-C-B-TECH-4-B2-RCN-G0-PD06</x:v>
      </x:c>
      <x:c r="B1452" s="9" t="str">
        <x:v>PD-AR-CT-C-B-TECH-4-B2-RCN-G0</x:v>
      </x:c>
      <x:c r="C1452" s="9" t="str">
        <x:v>EV-AR-CT-C-B-TECH-4-B2-RCN-G0</x:v>
      </x:c>
      <x:c r="D1452" s="9" t="str">
        <x:v>AR-CT-C-B-TECH-4-B2-RCN-G0</x:v>
      </x:c>
      <x:c r="E1452" s="9" t="str">
        <x:v>CT-C-B-TECH-4</x:v>
      </x:c>
      <x:c r="F1452" s="9" t="str">
        <x:v>CT-C-B</x:v>
      </x:c>
      <x:c r="G1452" s="9" t="str">
        <x:v>B2</x:v>
      </x:c>
      <x:c r="H1452" s="9" t="str">
        <x:v>RCN</x:v>
      </x:c>
      <x:c r="I1452" s="9" t="str">
        <x:v>PD06</x:v>
      </x:c>
      <x:c r="J1452" s="17" t="str">
        <x:v>Witness raw originals</x:v>
      </x:c>
      <x:c r="K1452" s="17" t="str">
        <x:v>Witness custody</x:v>
      </x:c>
      <x:c r="L1452" s="17" t="str">
        <x:v>COURT-SEALED UNTIL COHORT RELEASE</x:v>
      </x:c>
      <x:c r="M1452" s="9" t="n">
        <x:v>0</x:v>
      </x:c>
      <x:c r="N1452" s="9" t="n">
        <x:v>0</x:v>
      </x:c>
      <x:c r="O1452" s="9" t="n">
        <x:v>0</x:v>
      </x:c>
      <x:c r="P1452" s="9" t="str">
        <x:v>HELD / UNRELEASED</x:v>
      </x:c>
      <x:c r="Q1452" s="9" t="n">
        <x:f>COUNTIFS($A$7:$A$2310,A1452)</x:f>
        <x:v>1</x:v>
      </x:c>
    </x:row>
    <x:row r="1453">
      <x:c r="A1453" s="9" t="str">
        <x:v>PD-AR-CT-C-B-TECH-4-B2-RCN-G0-PD07</x:v>
      </x:c>
      <x:c r="B1453" s="9" t="str">
        <x:v>PD-AR-CT-C-B-TECH-4-B2-RCN-G0</x:v>
      </x:c>
      <x:c r="C1453" s="9" t="str">
        <x:v>EV-AR-CT-C-B-TECH-4-B2-RCN-G0</x:v>
      </x:c>
      <x:c r="D1453" s="9" t="str">
        <x:v>AR-CT-C-B-TECH-4-B2-RCN-G0</x:v>
      </x:c>
      <x:c r="E1453" s="9" t="str">
        <x:v>CT-C-B-TECH-4</x:v>
      </x:c>
      <x:c r="F1453" s="9" t="str">
        <x:v>CT-C-B</x:v>
      </x:c>
      <x:c r="G1453" s="9" t="str">
        <x:v>B2</x:v>
      </x:c>
      <x:c r="H1453" s="9" t="str">
        <x:v>RCN</x:v>
      </x:c>
      <x:c r="I1453" s="9" t="str">
        <x:v>PD07</x:v>
      </x:c>
      <x:c r="J1453" s="17" t="str">
        <x:v>Clock and environmental records</x:v>
      </x:c>
      <x:c r="K1453" s="17" t="str">
        <x:v>Boundary archive</x:v>
      </x:c>
      <x:c r="L1453" s="17" t="str">
        <x:v>COURT-SEALED UNTIL COHORT RELEASE</x:v>
      </x:c>
      <x:c r="M1453" s="9" t="n">
        <x:v>0</x:v>
      </x:c>
      <x:c r="N1453" s="9" t="n">
        <x:v>0</x:v>
      </x:c>
      <x:c r="O1453" s="9" t="n">
        <x:v>0</x:v>
      </x:c>
      <x:c r="P1453" s="9" t="str">
        <x:v>HELD / UNRELEASED</x:v>
      </x:c>
      <x:c r="Q1453" s="9" t="n">
        <x:f>COUNTIFS($A$7:$A$2310,A1453)</x:f>
        <x:v>1</x:v>
      </x:c>
    </x:row>
    <x:row r="1454">
      <x:c r="A1454" s="9" t="str">
        <x:v>PD-AR-CT-C-B-TECH-4-B2-RCN-G0-PD08</x:v>
      </x:c>
      <x:c r="B1454" s="9" t="str">
        <x:v>PD-AR-CT-C-B-TECH-4-B2-RCN-G0</x:v>
      </x:c>
      <x:c r="C1454" s="9" t="str">
        <x:v>EV-AR-CT-C-B-TECH-4-B2-RCN-G0</x:v>
      </x:c>
      <x:c r="D1454" s="9" t="str">
        <x:v>AR-CT-C-B-TECH-4-B2-RCN-G0</x:v>
      </x:c>
      <x:c r="E1454" s="9" t="str">
        <x:v>CT-C-B-TECH-4</x:v>
      </x:c>
      <x:c r="F1454" s="9" t="str">
        <x:v>CT-C-B</x:v>
      </x:c>
      <x:c r="G1454" s="9" t="str">
        <x:v>B2</x:v>
      </x:c>
      <x:c r="H1454" s="9" t="str">
        <x:v>RCN</x:v>
      </x:c>
      <x:c r="I1454" s="9" t="str">
        <x:v>PD08</x:v>
      </x:c>
      <x:c r="J1454" s="17" t="str">
        <x:v>Command and intervention log</x:v>
      </x:c>
      <x:c r="K1454" s="17" t="str">
        <x:v>Safety archive</x:v>
      </x:c>
      <x:c r="L1454" s="17" t="str">
        <x:v>COURT-SEALED UNTIL COHORT RELEASE</x:v>
      </x:c>
      <x:c r="M1454" s="9" t="n">
        <x:v>0</x:v>
      </x:c>
      <x:c r="N1454" s="9" t="n">
        <x:v>0</x:v>
      </x:c>
      <x:c r="O1454" s="9" t="n">
        <x:v>0</x:v>
      </x:c>
      <x:c r="P1454" s="9" t="str">
        <x:v>HELD / UNRELEASED</x:v>
      </x:c>
      <x:c r="Q1454" s="9" t="n">
        <x:f>COUNTIFS($A$7:$A$2310,A1454)</x:f>
        <x:v>1</x:v>
      </x:c>
    </x:row>
    <x:row r="1455">
      <x:c r="A1455" s="9" t="str">
        <x:v>PD-AR-CT-C-B-TECH-4-B2-RCN-G0-PD09</x:v>
      </x:c>
      <x:c r="B1455" s="9" t="str">
        <x:v>PD-AR-CT-C-B-TECH-4-B2-RCN-G0</x:v>
      </x:c>
      <x:c r="C1455" s="9" t="str">
        <x:v>EV-AR-CT-C-B-TECH-4-B2-RCN-G0</x:v>
      </x:c>
      <x:c r="D1455" s="9" t="str">
        <x:v>AR-CT-C-B-TECH-4-B2-RCN-G0</x:v>
      </x:c>
      <x:c r="E1455" s="9" t="str">
        <x:v>CT-C-B-TECH-4</x:v>
      </x:c>
      <x:c r="F1455" s="9" t="str">
        <x:v>CT-C-B</x:v>
      </x:c>
      <x:c r="G1455" s="9" t="str">
        <x:v>B2</x:v>
      </x:c>
      <x:c r="H1455" s="9" t="str">
        <x:v>RCN</x:v>
      </x:c>
      <x:c r="I1455" s="9" t="str">
        <x:v>PD09</x:v>
      </x:c>
      <x:c r="J1455" s="17" t="str">
        <x:v>Receiver denominator and service ledger</x:v>
      </x:c>
      <x:c r="K1455" s="17" t="str">
        <x:v>Receiver archive</x:v>
      </x:c>
      <x:c r="L1455" s="17" t="str">
        <x:v>COURT-SEALED UNTIL COHORT RELEASE</x:v>
      </x:c>
      <x:c r="M1455" s="9" t="n">
        <x:v>0</x:v>
      </x:c>
      <x:c r="N1455" s="9" t="n">
        <x:v>0</x:v>
      </x:c>
      <x:c r="O1455" s="9" t="n">
        <x:v>0</x:v>
      </x:c>
      <x:c r="P1455" s="9" t="str">
        <x:v>HELD / UNRELEASED</x:v>
      </x:c>
      <x:c r="Q1455" s="9" t="n">
        <x:f>COUNTIFS($A$7:$A$2310,A1455)</x:f>
        <x:v>1</x:v>
      </x:c>
    </x:row>
    <x:row r="1456">
      <x:c r="A1456" s="9" t="str">
        <x:v>PD-AR-CT-C-B-TECH-4-B2-RCN-G0-PD10</x:v>
      </x:c>
      <x:c r="B1456" s="9" t="str">
        <x:v>PD-AR-CT-C-B-TECH-4-B2-RCN-G0</x:v>
      </x:c>
      <x:c r="C1456" s="9" t="str">
        <x:v>EV-AR-CT-C-B-TECH-4-B2-RCN-G0</x:v>
      </x:c>
      <x:c r="D1456" s="9" t="str">
        <x:v>AR-CT-C-B-TECH-4-B2-RCN-G0</x:v>
      </x:c>
      <x:c r="E1456" s="9" t="str">
        <x:v>CT-C-B-TECH-4</x:v>
      </x:c>
      <x:c r="F1456" s="9" t="str">
        <x:v>CT-C-B</x:v>
      </x:c>
      <x:c r="G1456" s="9" t="str">
        <x:v>B2</x:v>
      </x:c>
      <x:c r="H1456" s="9" t="str">
        <x:v>RCN</x:v>
      </x:c>
      <x:c r="I1456" s="9" t="str">
        <x:v>PD10</x:v>
      </x:c>
      <x:c r="J1456" s="17" t="str">
        <x:v>Calibration and uncertainty record</x:v>
      </x:c>
      <x:c r="K1456" s="17" t="str">
        <x:v>Metrology archive</x:v>
      </x:c>
      <x:c r="L1456" s="17" t="str">
        <x:v>COURT-SEALED UNTIL COHORT RELEASE</x:v>
      </x:c>
      <x:c r="M1456" s="9" t="n">
        <x:v>0</x:v>
      </x:c>
      <x:c r="N1456" s="9" t="n">
        <x:v>0</x:v>
      </x:c>
      <x:c r="O1456" s="9" t="n">
        <x:v>0</x:v>
      </x:c>
      <x:c r="P1456" s="9" t="str">
        <x:v>HELD / UNRELEASED</x:v>
      </x:c>
      <x:c r="Q1456" s="9" t="n">
        <x:f>COUNTIFS($A$7:$A$2310,A1456)</x:f>
        <x:v>1</x:v>
      </x:c>
    </x:row>
    <x:row r="1457">
      <x:c r="A1457" s="9" t="str">
        <x:v>PD-AR-CT-C-B-TECH-4-B2-RCN-G0-PD11</x:v>
      </x:c>
      <x:c r="B1457" s="9" t="str">
        <x:v>PD-AR-CT-C-B-TECH-4-B2-RCN-G0</x:v>
      </x:c>
      <x:c r="C1457" s="9" t="str">
        <x:v>EV-AR-CT-C-B-TECH-4-B2-RCN-G0</x:v>
      </x:c>
      <x:c r="D1457" s="9" t="str">
        <x:v>AR-CT-C-B-TECH-4-B2-RCN-G0</x:v>
      </x:c>
      <x:c r="E1457" s="9" t="str">
        <x:v>CT-C-B-TECH-4</x:v>
      </x:c>
      <x:c r="F1457" s="9" t="str">
        <x:v>CT-C-B</x:v>
      </x:c>
      <x:c r="G1457" s="9" t="str">
        <x:v>B2</x:v>
      </x:c>
      <x:c r="H1457" s="9" t="str">
        <x:v>RCN</x:v>
      </x:c>
      <x:c r="I1457" s="9" t="str">
        <x:v>PD11</x:v>
      </x:c>
      <x:c r="J1457" s="17" t="str">
        <x:v>Invalidity petition and opinion</x:v>
      </x:c>
      <x:c r="K1457" s="17" t="str">
        <x:v>Invalidity court</x:v>
      </x:c>
      <x:c r="L1457" s="17" t="str">
        <x:v>COURT-SEALED UNTIL COHORT RELEASE</x:v>
      </x:c>
      <x:c r="M1457" s="9" t="n">
        <x:v>0</x:v>
      </x:c>
      <x:c r="N1457" s="9" t="n">
        <x:v>0</x:v>
      </x:c>
      <x:c r="O1457" s="9" t="n">
        <x:v>0</x:v>
      </x:c>
      <x:c r="P1457" s="9" t="str">
        <x:v>HELD / UNRELEASED</x:v>
      </x:c>
      <x:c r="Q1457" s="9" t="n">
        <x:f>COUNTIFS($A$7:$A$2310,A1457)</x:f>
        <x:v>1</x:v>
      </x:c>
    </x:row>
    <x:row r="1458">
      <x:c r="A1458" s="9" t="str">
        <x:v>PD-AR-CT-C-B-TECH-4-B2-RCN-G0-PD12</x:v>
      </x:c>
      <x:c r="B1458" s="9" t="str">
        <x:v>PD-AR-CT-C-B-TECH-4-B2-RCN-G0</x:v>
      </x:c>
      <x:c r="C1458" s="9" t="str">
        <x:v>EV-AR-CT-C-B-TECH-4-B2-RCN-G0</x:v>
      </x:c>
      <x:c r="D1458" s="9" t="str">
        <x:v>AR-CT-C-B-TECH-4-B2-RCN-G0</x:v>
      </x:c>
      <x:c r="E1458" s="9" t="str">
        <x:v>CT-C-B-TECH-4</x:v>
      </x:c>
      <x:c r="F1458" s="9" t="str">
        <x:v>CT-C-B</x:v>
      </x:c>
      <x:c r="G1458" s="9" t="str">
        <x:v>B2</x:v>
      </x:c>
      <x:c r="H1458" s="9" t="str">
        <x:v>RCN</x:v>
      </x:c>
      <x:c r="I1458" s="9" t="str">
        <x:v>PD12</x:v>
      </x:c>
      <x:c r="J1458" s="17" t="str">
        <x:v>Observation acceptance and replay</x:v>
      </x:c>
      <x:c r="K1458" s="17" t="str">
        <x:v>Observation court</x:v>
      </x:c>
      <x:c r="L1458" s="17" t="str">
        <x:v>COURT-SEALED UNTIL COHORT RELEASE</x:v>
      </x:c>
      <x:c r="M1458" s="9" t="n">
        <x:v>0</x:v>
      </x:c>
      <x:c r="N1458" s="9" t="n">
        <x:v>0</x:v>
      </x:c>
      <x:c r="O1458" s="9" t="n">
        <x:v>0</x:v>
      </x:c>
      <x:c r="P1458" s="9" t="str">
        <x:v>HELD / UNRELEASED</x:v>
      </x:c>
      <x:c r="Q1458" s="9" t="n">
        <x:f>COUNTIFS($A$7:$A$2310,A1458)</x:f>
        <x:v>1</x:v>
      </x:c>
    </x:row>
    <x:row r="1459">
      <x:c r="A1459" s="9" t="str">
        <x:v>PD-AR-CT-C-B-TECH-4-B2-RCN-G0-PD13</x:v>
      </x:c>
      <x:c r="B1459" s="9" t="str">
        <x:v>PD-AR-CT-C-B-TECH-4-B2-RCN-G0</x:v>
      </x:c>
      <x:c r="C1459" s="9" t="str">
        <x:v>EV-AR-CT-C-B-TECH-4-B2-RCN-G0</x:v>
      </x:c>
      <x:c r="D1459" s="9" t="str">
        <x:v>AR-CT-C-B-TECH-4-B2-RCN-G0</x:v>
      </x:c>
      <x:c r="E1459" s="9" t="str">
        <x:v>CT-C-B-TECH-4</x:v>
      </x:c>
      <x:c r="F1459" s="9" t="str">
        <x:v>CT-C-B</x:v>
      </x:c>
      <x:c r="G1459" s="9" t="str">
        <x:v>B2</x:v>
      </x:c>
      <x:c r="H1459" s="9" t="str">
        <x:v>RCN</x:v>
      </x:c>
      <x:c r="I1459" s="9" t="str">
        <x:v>PD13</x:v>
      </x:c>
      <x:c r="J1459" s="17" t="str">
        <x:v>Role judgment</x:v>
      </x:c>
      <x:c r="K1459" s="17" t="str">
        <x:v>Role court</x:v>
      </x:c>
      <x:c r="L1459" s="17" t="str">
        <x:v>COURT-SEALED UNTIL COHORT RELEASE</x:v>
      </x:c>
      <x:c r="M1459" s="9" t="n">
        <x:v>0</x:v>
      </x:c>
      <x:c r="N1459" s="9" t="n">
        <x:v>0</x:v>
      </x:c>
      <x:c r="O1459" s="9" t="n">
        <x:v>0</x:v>
      </x:c>
      <x:c r="P1459" s="9" t="str">
        <x:v>HELD / UNRELEASED</x:v>
      </x:c>
      <x:c r="Q1459" s="9" t="n">
        <x:f>COUNTIFS($A$7:$A$2310,A1459)</x:f>
        <x:v>1</x:v>
      </x:c>
    </x:row>
    <x:row r="1460">
      <x:c r="A1460" s="9" t="str">
        <x:v>PD-AR-CT-C-B-TECH-4-B2-RCN-G0-PD14</x:v>
      </x:c>
      <x:c r="B1460" s="9" t="str">
        <x:v>PD-AR-CT-C-B-TECH-4-B2-RCN-G0</x:v>
      </x:c>
      <x:c r="C1460" s="9" t="str">
        <x:v>EV-AR-CT-C-B-TECH-4-B2-RCN-G0</x:v>
      </x:c>
      <x:c r="D1460" s="9" t="str">
        <x:v>AR-CT-C-B-TECH-4-B2-RCN-G0</x:v>
      </x:c>
      <x:c r="E1460" s="9" t="str">
        <x:v>CT-C-B-TECH-4</x:v>
      </x:c>
      <x:c r="F1460" s="9" t="str">
        <x:v>CT-C-B</x:v>
      </x:c>
      <x:c r="G1460" s="9" t="str">
        <x:v>B2</x:v>
      </x:c>
      <x:c r="H1460" s="9" t="str">
        <x:v>RCN</x:v>
      </x:c>
      <x:c r="I1460" s="9" t="str">
        <x:v>PD14</x:v>
      </x:c>
      <x:c r="J1460" s="17" t="str">
        <x:v>Break and residual account</x:v>
      </x:c>
      <x:c r="K1460" s="17" t="str">
        <x:v>Residual authority</x:v>
      </x:c>
      <x:c r="L1460" s="17" t="str">
        <x:v>COURT-SEALED UNTIL COHORT RELEASE</x:v>
      </x:c>
      <x:c r="M1460" s="9" t="n">
        <x:v>0</x:v>
      </x:c>
      <x:c r="N1460" s="9" t="n">
        <x:v>0</x:v>
      </x:c>
      <x:c r="O1460" s="9" t="n">
        <x:v>0</x:v>
      </x:c>
      <x:c r="P1460" s="9" t="str">
        <x:v>HELD / UNRELEASED</x:v>
      </x:c>
      <x:c r="Q1460" s="9" t="n">
        <x:f>COUNTIFS($A$7:$A$2310,A1460)</x:f>
        <x:v>1</x:v>
      </x:c>
    </x:row>
    <x:row r="1461">
      <x:c r="A1461" s="9" t="str">
        <x:v>PD-AR-CT-C-B-TECH-4-B2-RCN-G0-PD15</x:v>
      </x:c>
      <x:c r="B1461" s="9" t="str">
        <x:v>PD-AR-CT-C-B-TECH-4-B2-RCN-G0</x:v>
      </x:c>
      <x:c r="C1461" s="9" t="str">
        <x:v>EV-AR-CT-C-B-TECH-4-B2-RCN-G0</x:v>
      </x:c>
      <x:c r="D1461" s="9" t="str">
        <x:v>AR-CT-C-B-TECH-4-B2-RCN-G0</x:v>
      </x:c>
      <x:c r="E1461" s="9" t="str">
        <x:v>CT-C-B-TECH-4</x:v>
      </x:c>
      <x:c r="F1461" s="9" t="str">
        <x:v>CT-C-B</x:v>
      </x:c>
      <x:c r="G1461" s="9" t="str">
        <x:v>B2</x:v>
      </x:c>
      <x:c r="H1461" s="9" t="str">
        <x:v>RCN</x:v>
      </x:c>
      <x:c r="I1461" s="9" t="str">
        <x:v>PD15</x:v>
      </x:c>
      <x:c r="J1461" s="17" t="str">
        <x:v>Reconstruction ancestry and replay</x:v>
      </x:c>
      <x:c r="K1461" s="17" t="str">
        <x:v>Reconstruction court</x:v>
      </x:c>
      <x:c r="L1461" s="17" t="str">
        <x:v>COURT-SEALED UNTIL COHORT RELEASE</x:v>
      </x:c>
      <x:c r="M1461" s="9" t="n">
        <x:v>0</x:v>
      </x:c>
      <x:c r="N1461" s="9" t="n">
        <x:v>0</x:v>
      </x:c>
      <x:c r="O1461" s="9" t="n">
        <x:v>0</x:v>
      </x:c>
      <x:c r="P1461" s="9" t="str">
        <x:v>HELD / UNRELEASED</x:v>
      </x:c>
      <x:c r="Q1461" s="9" t="n">
        <x:f>COUNTIFS($A$7:$A$2310,A1461)</x:f>
        <x:v>1</x:v>
      </x:c>
    </x:row>
    <x:row r="1462">
      <x:c r="A1462" s="9" t="str">
        <x:v>PD-AR-CT-C-B-TECH-4-B2-RCN-G0-PD16</x:v>
      </x:c>
      <x:c r="B1462" s="9" t="str">
        <x:v>PD-AR-CT-C-B-TECH-4-B2-RCN-G0</x:v>
      </x:c>
      <x:c r="C1462" s="9" t="str">
        <x:v>EV-AR-CT-C-B-TECH-4-B2-RCN-G0</x:v>
      </x:c>
      <x:c r="D1462" s="9" t="str">
        <x:v>AR-CT-C-B-TECH-4-B2-RCN-G0</x:v>
      </x:c>
      <x:c r="E1462" s="9" t="str">
        <x:v>CT-C-B-TECH-4</x:v>
      </x:c>
      <x:c r="F1462" s="9" t="str">
        <x:v>CT-C-B</x:v>
      </x:c>
      <x:c r="G1462" s="9" t="str">
        <x:v>B2</x:v>
      </x:c>
      <x:c r="H1462" s="9" t="str">
        <x:v>RCN</x:v>
      </x:c>
      <x:c r="I1462" s="9" t="str">
        <x:v>PD16</x:v>
      </x:c>
      <x:c r="J1462" s="17" t="str">
        <x:v>Dissent, amendments and access log</x:v>
      </x:c>
      <x:c r="K1462" s="17" t="str">
        <x:v>Public archive</x:v>
      </x:c>
      <x:c r="L1462" s="17" t="str">
        <x:v>COURT-SEALED UNTIL COHORT RELEASE</x:v>
      </x:c>
      <x:c r="M1462" s="9" t="n">
        <x:v>0</x:v>
      </x:c>
      <x:c r="N1462" s="9" t="n">
        <x:v>0</x:v>
      </x:c>
      <x:c r="O1462" s="9" t="n">
        <x:v>0</x:v>
      </x:c>
      <x:c r="P1462" s="9" t="str">
        <x:v>HELD / UNRELEASED</x:v>
      </x:c>
      <x:c r="Q1462" s="9" t="n">
        <x:f>COUNTIFS($A$7:$A$2310,A1462)</x:f>
        <x:v>1</x:v>
      </x:c>
    </x:row>
    <x:row r="1463">
      <x:c r="A1463" s="9" t="str">
        <x:v>PD-AR-CT-C-B-TECH-1-B1-BRK-G0-PD01</x:v>
      </x:c>
      <x:c r="B1463" s="9" t="str">
        <x:v>PD-AR-CT-C-B-TECH-1-B1-BRK-G0</x:v>
      </x:c>
      <x:c r="C1463" s="9" t="str">
        <x:v>EV-AR-CT-C-B-TECH-1-B1-BRK-G0</x:v>
      </x:c>
      <x:c r="D1463" s="9" t="str">
        <x:v>AR-CT-C-B-TECH-1-B1-BRK-G0</x:v>
      </x:c>
      <x:c r="E1463" s="9" t="str">
        <x:v>CT-C-B-TECH-1</x:v>
      </x:c>
      <x:c r="F1463" s="9" t="str">
        <x:v>CT-C-B</x:v>
      </x:c>
      <x:c r="G1463" s="9" t="str">
        <x:v>B1</x:v>
      </x:c>
      <x:c r="H1463" s="9" t="str">
        <x:v>BRK</x:v>
      </x:c>
      <x:c r="I1463" s="9" t="str">
        <x:v>PD01</x:v>
      </x:c>
      <x:c r="J1463" s="17" t="str">
        <x:v>Experiment kernel</x:v>
      </x:c>
      <x:c r="K1463" s="17" t="str">
        <x:v>Public archive</x:v>
      </x:c>
      <x:c r="L1463" s="17" t="str">
        <x:v>COURT-SEALED UNTIL COHORT RELEASE</x:v>
      </x:c>
      <x:c r="M1463" s="9" t="n">
        <x:v>0</x:v>
      </x:c>
      <x:c r="N1463" s="9" t="n">
        <x:v>0</x:v>
      </x:c>
      <x:c r="O1463" s="9" t="n">
        <x:v>0</x:v>
      </x:c>
      <x:c r="P1463" s="9" t="str">
        <x:v>HELD / UNRELEASED</x:v>
      </x:c>
      <x:c r="Q1463" s="9" t="n">
        <x:f>COUNTIFS($A$7:$A$2310,A1463)</x:f>
        <x:v>1</x:v>
      </x:c>
    </x:row>
    <x:row r="1464">
      <x:c r="A1464" s="9" t="str">
        <x:v>PD-AR-CT-C-B-TECH-1-B1-BRK-G0-PD02</x:v>
      </x:c>
      <x:c r="B1464" s="9" t="str">
        <x:v>PD-AR-CT-C-B-TECH-1-B1-BRK-G0</x:v>
      </x:c>
      <x:c r="C1464" s="9" t="str">
        <x:v>EV-AR-CT-C-B-TECH-1-B1-BRK-G0</x:v>
      </x:c>
      <x:c r="D1464" s="9" t="str">
        <x:v>AR-CT-C-B-TECH-1-B1-BRK-G0</x:v>
      </x:c>
      <x:c r="E1464" s="9" t="str">
        <x:v>CT-C-B-TECH-1</x:v>
      </x:c>
      <x:c r="F1464" s="9" t="str">
        <x:v>CT-C-B</x:v>
      </x:c>
      <x:c r="G1464" s="9" t="str">
        <x:v>B1</x:v>
      </x:c>
      <x:c r="H1464" s="9" t="str">
        <x:v>BRK</x:v>
      </x:c>
      <x:c r="I1464" s="9" t="str">
        <x:v>PD02</x:v>
      </x:c>
      <x:c r="J1464" s="17" t="str">
        <x:v>Serial annex and title chain</x:v>
      </x:c>
      <x:c r="K1464" s="17" t="str">
        <x:v>Public archive</x:v>
      </x:c>
      <x:c r="L1464" s="17" t="str">
        <x:v>COURT-SEALED UNTIL COHORT RELEASE</x:v>
      </x:c>
      <x:c r="M1464" s="9" t="n">
        <x:v>0</x:v>
      </x:c>
      <x:c r="N1464" s="9" t="n">
        <x:v>0</x:v>
      </x:c>
      <x:c r="O1464" s="9" t="n">
        <x:v>0</x:v>
      </x:c>
      <x:c r="P1464" s="9" t="str">
        <x:v>HELD / UNRELEASED</x:v>
      </x:c>
      <x:c r="Q1464" s="9" t="n">
        <x:f>COUNTIFS($A$7:$A$2310,A1464)</x:f>
        <x:v>1</x:v>
      </x:c>
    </x:row>
    <x:row r="1465">
      <x:c r="A1465" s="9" t="str">
        <x:v>PD-AR-CT-C-B-TECH-1-B1-BRK-G0-PD03</x:v>
      </x:c>
      <x:c r="B1465" s="9" t="str">
        <x:v>PD-AR-CT-C-B-TECH-1-B1-BRK-G0</x:v>
      </x:c>
      <x:c r="C1465" s="9" t="str">
        <x:v>EV-AR-CT-C-B-TECH-1-B1-BRK-G0</x:v>
      </x:c>
      <x:c r="D1465" s="9" t="str">
        <x:v>AR-CT-C-B-TECH-1-B1-BRK-G0</x:v>
      </x:c>
      <x:c r="E1465" s="9" t="str">
        <x:v>CT-C-B-TECH-1</x:v>
      </x:c>
      <x:c r="F1465" s="9" t="str">
        <x:v>CT-C-B</x:v>
      </x:c>
      <x:c r="G1465" s="9" t="str">
        <x:v>B1</x:v>
      </x:c>
      <x:c r="H1465" s="9" t="str">
        <x:v>BRK</x:v>
      </x:c>
      <x:c r="I1465" s="9" t="str">
        <x:v>PD03</x:v>
      </x:c>
      <x:c r="J1465" s="17" t="str">
        <x:v>Configuration and as-built manifest</x:v>
      </x:c>
      <x:c r="K1465" s="17" t="str">
        <x:v>Artifact exchange</x:v>
      </x:c>
      <x:c r="L1465" s="17" t="str">
        <x:v>COURT-SEALED UNTIL COHORT RELEASE</x:v>
      </x:c>
      <x:c r="M1465" s="9" t="n">
        <x:v>0</x:v>
      </x:c>
      <x:c r="N1465" s="9" t="n">
        <x:v>0</x:v>
      </x:c>
      <x:c r="O1465" s="9" t="n">
        <x:v>0</x:v>
      </x:c>
      <x:c r="P1465" s="9" t="str">
        <x:v>HELD / UNRELEASED</x:v>
      </x:c>
      <x:c r="Q1465" s="9" t="n">
        <x:f>COUNTIFS($A$7:$A$2310,A1465)</x:f>
        <x:v>1</x:v>
      </x:c>
    </x:row>
    <x:row r="1466">
      <x:c r="A1466" s="9" t="str">
        <x:v>PD-AR-CT-C-B-TECH-1-B1-BRK-G0-PD04</x:v>
      </x:c>
      <x:c r="B1466" s="9" t="str">
        <x:v>PD-AR-CT-C-B-TECH-1-B1-BRK-G0</x:v>
      </x:c>
      <x:c r="C1466" s="9" t="str">
        <x:v>EV-AR-CT-C-B-TECH-1-B1-BRK-G0</x:v>
      </x:c>
      <x:c r="D1466" s="9" t="str">
        <x:v>AR-CT-C-B-TECH-1-B1-BRK-G0</x:v>
      </x:c>
      <x:c r="E1466" s="9" t="str">
        <x:v>CT-C-B-TECH-1</x:v>
      </x:c>
      <x:c r="F1466" s="9" t="str">
        <x:v>CT-C-B</x:v>
      </x:c>
      <x:c r="G1466" s="9" t="str">
        <x:v>B1</x:v>
      </x:c>
      <x:c r="H1466" s="9" t="str">
        <x:v>BRK</x:v>
      </x:c>
      <x:c r="I1466" s="9" t="str">
        <x:v>PD04</x:v>
      </x:c>
      <x:c r="J1466" s="17" t="str">
        <x:v>EOW and start certificate</x:v>
      </x:c>
      <x:c r="K1466" s="17" t="str">
        <x:v>Start registrar</x:v>
      </x:c>
      <x:c r="L1466" s="17" t="str">
        <x:v>COURT-SEALED UNTIL COHORT RELEASE</x:v>
      </x:c>
      <x:c r="M1466" s="9" t="n">
        <x:v>0</x:v>
      </x:c>
      <x:c r="N1466" s="9" t="n">
        <x:v>0</x:v>
      </x:c>
      <x:c r="O1466" s="9" t="n">
        <x:v>0</x:v>
      </x:c>
      <x:c r="P1466" s="9" t="str">
        <x:v>HELD / UNRELEASED</x:v>
      </x:c>
      <x:c r="Q1466" s="9" t="n">
        <x:f>COUNTIFS($A$7:$A$2310,A1466)</x:f>
        <x:v>1</x:v>
      </x:c>
    </x:row>
    <x:row r="1467">
      <x:c r="A1467" s="9" t="str">
        <x:v>PD-AR-CT-C-B-TECH-1-B1-BRK-G0-PD05</x:v>
      </x:c>
      <x:c r="B1467" s="9" t="str">
        <x:v>PD-AR-CT-C-B-TECH-1-B1-BRK-G0</x:v>
      </x:c>
      <x:c r="C1467" s="9" t="str">
        <x:v>EV-AR-CT-C-B-TECH-1-B1-BRK-G0</x:v>
      </x:c>
      <x:c r="D1467" s="9" t="str">
        <x:v>AR-CT-C-B-TECH-1-B1-BRK-G0</x:v>
      </x:c>
      <x:c r="E1467" s="9" t="str">
        <x:v>CT-C-B-TECH-1</x:v>
      </x:c>
      <x:c r="F1467" s="9" t="str">
        <x:v>CT-C-B</x:v>
      </x:c>
      <x:c r="G1467" s="9" t="str">
        <x:v>B1</x:v>
      </x:c>
      <x:c r="H1467" s="9" t="str">
        <x:v>BRK</x:v>
      </x:c>
      <x:c r="I1467" s="9" t="str">
        <x:v>PD05</x:v>
      </x:c>
      <x:c r="J1467" s="17" t="str">
        <x:v>Primary raw originals</x:v>
      </x:c>
      <x:c r="K1467" s="17" t="str">
        <x:v>Primary custody</x:v>
      </x:c>
      <x:c r="L1467" s="17" t="str">
        <x:v>COURT-SEALED UNTIL COHORT RELEASE</x:v>
      </x:c>
      <x:c r="M1467" s="9" t="n">
        <x:v>0</x:v>
      </x:c>
      <x:c r="N1467" s="9" t="n">
        <x:v>0</x:v>
      </x:c>
      <x:c r="O1467" s="9" t="n">
        <x:v>0</x:v>
      </x:c>
      <x:c r="P1467" s="9" t="str">
        <x:v>HELD / UNRELEASED</x:v>
      </x:c>
      <x:c r="Q1467" s="9" t="n">
        <x:f>COUNTIFS($A$7:$A$2310,A1467)</x:f>
        <x:v>1</x:v>
      </x:c>
    </x:row>
    <x:row r="1468">
      <x:c r="A1468" s="9" t="str">
        <x:v>PD-AR-CT-C-B-TECH-1-B1-BRK-G0-PD06</x:v>
      </x:c>
      <x:c r="B1468" s="9" t="str">
        <x:v>PD-AR-CT-C-B-TECH-1-B1-BRK-G0</x:v>
      </x:c>
      <x:c r="C1468" s="9" t="str">
        <x:v>EV-AR-CT-C-B-TECH-1-B1-BRK-G0</x:v>
      </x:c>
      <x:c r="D1468" s="9" t="str">
        <x:v>AR-CT-C-B-TECH-1-B1-BRK-G0</x:v>
      </x:c>
      <x:c r="E1468" s="9" t="str">
        <x:v>CT-C-B-TECH-1</x:v>
      </x:c>
      <x:c r="F1468" s="9" t="str">
        <x:v>CT-C-B</x:v>
      </x:c>
      <x:c r="G1468" s="9" t="str">
        <x:v>B1</x:v>
      </x:c>
      <x:c r="H1468" s="9" t="str">
        <x:v>BRK</x:v>
      </x:c>
      <x:c r="I1468" s="9" t="str">
        <x:v>PD06</x:v>
      </x:c>
      <x:c r="J1468" s="17" t="str">
        <x:v>Witness raw originals</x:v>
      </x:c>
      <x:c r="K1468" s="17" t="str">
        <x:v>Witness custody</x:v>
      </x:c>
      <x:c r="L1468" s="17" t="str">
        <x:v>COURT-SEALED UNTIL COHORT RELEASE</x:v>
      </x:c>
      <x:c r="M1468" s="9" t="n">
        <x:v>0</x:v>
      </x:c>
      <x:c r="N1468" s="9" t="n">
        <x:v>0</x:v>
      </x:c>
      <x:c r="O1468" s="9" t="n">
        <x:v>0</x:v>
      </x:c>
      <x:c r="P1468" s="9" t="str">
        <x:v>HELD / UNRELEASED</x:v>
      </x:c>
      <x:c r="Q1468" s="9" t="n">
        <x:f>COUNTIFS($A$7:$A$2310,A1468)</x:f>
        <x:v>1</x:v>
      </x:c>
    </x:row>
    <x:row r="1469">
      <x:c r="A1469" s="9" t="str">
        <x:v>PD-AR-CT-C-B-TECH-1-B1-BRK-G0-PD07</x:v>
      </x:c>
      <x:c r="B1469" s="9" t="str">
        <x:v>PD-AR-CT-C-B-TECH-1-B1-BRK-G0</x:v>
      </x:c>
      <x:c r="C1469" s="9" t="str">
        <x:v>EV-AR-CT-C-B-TECH-1-B1-BRK-G0</x:v>
      </x:c>
      <x:c r="D1469" s="9" t="str">
        <x:v>AR-CT-C-B-TECH-1-B1-BRK-G0</x:v>
      </x:c>
      <x:c r="E1469" s="9" t="str">
        <x:v>CT-C-B-TECH-1</x:v>
      </x:c>
      <x:c r="F1469" s="9" t="str">
        <x:v>CT-C-B</x:v>
      </x:c>
      <x:c r="G1469" s="9" t="str">
        <x:v>B1</x:v>
      </x:c>
      <x:c r="H1469" s="9" t="str">
        <x:v>BRK</x:v>
      </x:c>
      <x:c r="I1469" s="9" t="str">
        <x:v>PD07</x:v>
      </x:c>
      <x:c r="J1469" s="17" t="str">
        <x:v>Clock and environmental records</x:v>
      </x:c>
      <x:c r="K1469" s="17" t="str">
        <x:v>Boundary archive</x:v>
      </x:c>
      <x:c r="L1469" s="17" t="str">
        <x:v>COURT-SEALED UNTIL COHORT RELEASE</x:v>
      </x:c>
      <x:c r="M1469" s="9" t="n">
        <x:v>0</x:v>
      </x:c>
      <x:c r="N1469" s="9" t="n">
        <x:v>0</x:v>
      </x:c>
      <x:c r="O1469" s="9" t="n">
        <x:v>0</x:v>
      </x:c>
      <x:c r="P1469" s="9" t="str">
        <x:v>HELD / UNRELEASED</x:v>
      </x:c>
      <x:c r="Q1469" s="9" t="n">
        <x:f>COUNTIFS($A$7:$A$2310,A1469)</x:f>
        <x:v>1</x:v>
      </x:c>
    </x:row>
    <x:row r="1470">
      <x:c r="A1470" s="9" t="str">
        <x:v>PD-AR-CT-C-B-TECH-1-B1-BRK-G0-PD08</x:v>
      </x:c>
      <x:c r="B1470" s="9" t="str">
        <x:v>PD-AR-CT-C-B-TECH-1-B1-BRK-G0</x:v>
      </x:c>
      <x:c r="C1470" s="9" t="str">
        <x:v>EV-AR-CT-C-B-TECH-1-B1-BRK-G0</x:v>
      </x:c>
      <x:c r="D1470" s="9" t="str">
        <x:v>AR-CT-C-B-TECH-1-B1-BRK-G0</x:v>
      </x:c>
      <x:c r="E1470" s="9" t="str">
        <x:v>CT-C-B-TECH-1</x:v>
      </x:c>
      <x:c r="F1470" s="9" t="str">
        <x:v>CT-C-B</x:v>
      </x:c>
      <x:c r="G1470" s="9" t="str">
        <x:v>B1</x:v>
      </x:c>
      <x:c r="H1470" s="9" t="str">
        <x:v>BRK</x:v>
      </x:c>
      <x:c r="I1470" s="9" t="str">
        <x:v>PD08</x:v>
      </x:c>
      <x:c r="J1470" s="17" t="str">
        <x:v>Command and intervention log</x:v>
      </x:c>
      <x:c r="K1470" s="17" t="str">
        <x:v>Safety archive</x:v>
      </x:c>
      <x:c r="L1470" s="17" t="str">
        <x:v>COURT-SEALED UNTIL COHORT RELEASE</x:v>
      </x:c>
      <x:c r="M1470" s="9" t="n">
        <x:v>0</x:v>
      </x:c>
      <x:c r="N1470" s="9" t="n">
        <x:v>0</x:v>
      </x:c>
      <x:c r="O1470" s="9" t="n">
        <x:v>0</x:v>
      </x:c>
      <x:c r="P1470" s="9" t="str">
        <x:v>HELD / UNRELEASED</x:v>
      </x:c>
      <x:c r="Q1470" s="9" t="n">
        <x:f>COUNTIFS($A$7:$A$2310,A1470)</x:f>
        <x:v>1</x:v>
      </x:c>
    </x:row>
    <x:row r="1471">
      <x:c r="A1471" s="9" t="str">
        <x:v>PD-AR-CT-C-B-TECH-1-B1-BRK-G0-PD09</x:v>
      </x:c>
      <x:c r="B1471" s="9" t="str">
        <x:v>PD-AR-CT-C-B-TECH-1-B1-BRK-G0</x:v>
      </x:c>
      <x:c r="C1471" s="9" t="str">
        <x:v>EV-AR-CT-C-B-TECH-1-B1-BRK-G0</x:v>
      </x:c>
      <x:c r="D1471" s="9" t="str">
        <x:v>AR-CT-C-B-TECH-1-B1-BRK-G0</x:v>
      </x:c>
      <x:c r="E1471" s="9" t="str">
        <x:v>CT-C-B-TECH-1</x:v>
      </x:c>
      <x:c r="F1471" s="9" t="str">
        <x:v>CT-C-B</x:v>
      </x:c>
      <x:c r="G1471" s="9" t="str">
        <x:v>B1</x:v>
      </x:c>
      <x:c r="H1471" s="9" t="str">
        <x:v>BRK</x:v>
      </x:c>
      <x:c r="I1471" s="9" t="str">
        <x:v>PD09</x:v>
      </x:c>
      <x:c r="J1471" s="17" t="str">
        <x:v>Receiver denominator and service ledger</x:v>
      </x:c>
      <x:c r="K1471" s="17" t="str">
        <x:v>Receiver archive</x:v>
      </x:c>
      <x:c r="L1471" s="17" t="str">
        <x:v>COURT-SEALED UNTIL COHORT RELEASE</x:v>
      </x:c>
      <x:c r="M1471" s="9" t="n">
        <x:v>0</x:v>
      </x:c>
      <x:c r="N1471" s="9" t="n">
        <x:v>0</x:v>
      </x:c>
      <x:c r="O1471" s="9" t="n">
        <x:v>0</x:v>
      </x:c>
      <x:c r="P1471" s="9" t="str">
        <x:v>HELD / UNRELEASED</x:v>
      </x:c>
      <x:c r="Q1471" s="9" t="n">
        <x:f>COUNTIFS($A$7:$A$2310,A1471)</x:f>
        <x:v>1</x:v>
      </x:c>
    </x:row>
    <x:row r="1472">
      <x:c r="A1472" s="9" t="str">
        <x:v>PD-AR-CT-C-B-TECH-1-B1-BRK-G0-PD10</x:v>
      </x:c>
      <x:c r="B1472" s="9" t="str">
        <x:v>PD-AR-CT-C-B-TECH-1-B1-BRK-G0</x:v>
      </x:c>
      <x:c r="C1472" s="9" t="str">
        <x:v>EV-AR-CT-C-B-TECH-1-B1-BRK-G0</x:v>
      </x:c>
      <x:c r="D1472" s="9" t="str">
        <x:v>AR-CT-C-B-TECH-1-B1-BRK-G0</x:v>
      </x:c>
      <x:c r="E1472" s="9" t="str">
        <x:v>CT-C-B-TECH-1</x:v>
      </x:c>
      <x:c r="F1472" s="9" t="str">
        <x:v>CT-C-B</x:v>
      </x:c>
      <x:c r="G1472" s="9" t="str">
        <x:v>B1</x:v>
      </x:c>
      <x:c r="H1472" s="9" t="str">
        <x:v>BRK</x:v>
      </x:c>
      <x:c r="I1472" s="9" t="str">
        <x:v>PD10</x:v>
      </x:c>
      <x:c r="J1472" s="17" t="str">
        <x:v>Calibration and uncertainty record</x:v>
      </x:c>
      <x:c r="K1472" s="17" t="str">
        <x:v>Metrology archive</x:v>
      </x:c>
      <x:c r="L1472" s="17" t="str">
        <x:v>COURT-SEALED UNTIL COHORT RELEASE</x:v>
      </x:c>
      <x:c r="M1472" s="9" t="n">
        <x:v>0</x:v>
      </x:c>
      <x:c r="N1472" s="9" t="n">
        <x:v>0</x:v>
      </x:c>
      <x:c r="O1472" s="9" t="n">
        <x:v>0</x:v>
      </x:c>
      <x:c r="P1472" s="9" t="str">
        <x:v>HELD / UNRELEASED</x:v>
      </x:c>
      <x:c r="Q1472" s="9" t="n">
        <x:f>COUNTIFS($A$7:$A$2310,A1472)</x:f>
        <x:v>1</x:v>
      </x:c>
    </x:row>
    <x:row r="1473">
      <x:c r="A1473" s="9" t="str">
        <x:v>PD-AR-CT-C-B-TECH-1-B1-BRK-G0-PD11</x:v>
      </x:c>
      <x:c r="B1473" s="9" t="str">
        <x:v>PD-AR-CT-C-B-TECH-1-B1-BRK-G0</x:v>
      </x:c>
      <x:c r="C1473" s="9" t="str">
        <x:v>EV-AR-CT-C-B-TECH-1-B1-BRK-G0</x:v>
      </x:c>
      <x:c r="D1473" s="9" t="str">
        <x:v>AR-CT-C-B-TECH-1-B1-BRK-G0</x:v>
      </x:c>
      <x:c r="E1473" s="9" t="str">
        <x:v>CT-C-B-TECH-1</x:v>
      </x:c>
      <x:c r="F1473" s="9" t="str">
        <x:v>CT-C-B</x:v>
      </x:c>
      <x:c r="G1473" s="9" t="str">
        <x:v>B1</x:v>
      </x:c>
      <x:c r="H1473" s="9" t="str">
        <x:v>BRK</x:v>
      </x:c>
      <x:c r="I1473" s="9" t="str">
        <x:v>PD11</x:v>
      </x:c>
      <x:c r="J1473" s="17" t="str">
        <x:v>Invalidity petition and opinion</x:v>
      </x:c>
      <x:c r="K1473" s="17" t="str">
        <x:v>Invalidity court</x:v>
      </x:c>
      <x:c r="L1473" s="17" t="str">
        <x:v>COURT-SEALED UNTIL COHORT RELEASE</x:v>
      </x:c>
      <x:c r="M1473" s="9" t="n">
        <x:v>0</x:v>
      </x:c>
      <x:c r="N1473" s="9" t="n">
        <x:v>0</x:v>
      </x:c>
      <x:c r="O1473" s="9" t="n">
        <x:v>0</x:v>
      </x:c>
      <x:c r="P1473" s="9" t="str">
        <x:v>HELD / UNRELEASED</x:v>
      </x:c>
      <x:c r="Q1473" s="9" t="n">
        <x:f>COUNTIFS($A$7:$A$2310,A1473)</x:f>
        <x:v>1</x:v>
      </x:c>
    </x:row>
    <x:row r="1474">
      <x:c r="A1474" s="9" t="str">
        <x:v>PD-AR-CT-C-B-TECH-1-B1-BRK-G0-PD12</x:v>
      </x:c>
      <x:c r="B1474" s="9" t="str">
        <x:v>PD-AR-CT-C-B-TECH-1-B1-BRK-G0</x:v>
      </x:c>
      <x:c r="C1474" s="9" t="str">
        <x:v>EV-AR-CT-C-B-TECH-1-B1-BRK-G0</x:v>
      </x:c>
      <x:c r="D1474" s="9" t="str">
        <x:v>AR-CT-C-B-TECH-1-B1-BRK-G0</x:v>
      </x:c>
      <x:c r="E1474" s="9" t="str">
        <x:v>CT-C-B-TECH-1</x:v>
      </x:c>
      <x:c r="F1474" s="9" t="str">
        <x:v>CT-C-B</x:v>
      </x:c>
      <x:c r="G1474" s="9" t="str">
        <x:v>B1</x:v>
      </x:c>
      <x:c r="H1474" s="9" t="str">
        <x:v>BRK</x:v>
      </x:c>
      <x:c r="I1474" s="9" t="str">
        <x:v>PD12</x:v>
      </x:c>
      <x:c r="J1474" s="17" t="str">
        <x:v>Observation acceptance and replay</x:v>
      </x:c>
      <x:c r="K1474" s="17" t="str">
        <x:v>Observation court</x:v>
      </x:c>
      <x:c r="L1474" s="17" t="str">
        <x:v>COURT-SEALED UNTIL COHORT RELEASE</x:v>
      </x:c>
      <x:c r="M1474" s="9" t="n">
        <x:v>0</x:v>
      </x:c>
      <x:c r="N1474" s="9" t="n">
        <x:v>0</x:v>
      </x:c>
      <x:c r="O1474" s="9" t="n">
        <x:v>0</x:v>
      </x:c>
      <x:c r="P1474" s="9" t="str">
        <x:v>HELD / UNRELEASED</x:v>
      </x:c>
      <x:c r="Q1474" s="9" t="n">
        <x:f>COUNTIFS($A$7:$A$2310,A1474)</x:f>
        <x:v>1</x:v>
      </x:c>
    </x:row>
    <x:row r="1475">
      <x:c r="A1475" s="9" t="str">
        <x:v>PD-AR-CT-C-B-TECH-1-B1-BRK-G0-PD13</x:v>
      </x:c>
      <x:c r="B1475" s="9" t="str">
        <x:v>PD-AR-CT-C-B-TECH-1-B1-BRK-G0</x:v>
      </x:c>
      <x:c r="C1475" s="9" t="str">
        <x:v>EV-AR-CT-C-B-TECH-1-B1-BRK-G0</x:v>
      </x:c>
      <x:c r="D1475" s="9" t="str">
        <x:v>AR-CT-C-B-TECH-1-B1-BRK-G0</x:v>
      </x:c>
      <x:c r="E1475" s="9" t="str">
        <x:v>CT-C-B-TECH-1</x:v>
      </x:c>
      <x:c r="F1475" s="9" t="str">
        <x:v>CT-C-B</x:v>
      </x:c>
      <x:c r="G1475" s="9" t="str">
        <x:v>B1</x:v>
      </x:c>
      <x:c r="H1475" s="9" t="str">
        <x:v>BRK</x:v>
      </x:c>
      <x:c r="I1475" s="9" t="str">
        <x:v>PD13</x:v>
      </x:c>
      <x:c r="J1475" s="17" t="str">
        <x:v>Role judgment</x:v>
      </x:c>
      <x:c r="K1475" s="17" t="str">
        <x:v>Role court</x:v>
      </x:c>
      <x:c r="L1475" s="17" t="str">
        <x:v>COURT-SEALED UNTIL COHORT RELEASE</x:v>
      </x:c>
      <x:c r="M1475" s="9" t="n">
        <x:v>0</x:v>
      </x:c>
      <x:c r="N1475" s="9" t="n">
        <x:v>0</x:v>
      </x:c>
      <x:c r="O1475" s="9" t="n">
        <x:v>0</x:v>
      </x:c>
      <x:c r="P1475" s="9" t="str">
        <x:v>HELD / UNRELEASED</x:v>
      </x:c>
      <x:c r="Q1475" s="9" t="n">
        <x:f>COUNTIFS($A$7:$A$2310,A1475)</x:f>
        <x:v>1</x:v>
      </x:c>
    </x:row>
    <x:row r="1476">
      <x:c r="A1476" s="9" t="str">
        <x:v>PD-AR-CT-C-B-TECH-1-B1-BRK-G0-PD14</x:v>
      </x:c>
      <x:c r="B1476" s="9" t="str">
        <x:v>PD-AR-CT-C-B-TECH-1-B1-BRK-G0</x:v>
      </x:c>
      <x:c r="C1476" s="9" t="str">
        <x:v>EV-AR-CT-C-B-TECH-1-B1-BRK-G0</x:v>
      </x:c>
      <x:c r="D1476" s="9" t="str">
        <x:v>AR-CT-C-B-TECH-1-B1-BRK-G0</x:v>
      </x:c>
      <x:c r="E1476" s="9" t="str">
        <x:v>CT-C-B-TECH-1</x:v>
      </x:c>
      <x:c r="F1476" s="9" t="str">
        <x:v>CT-C-B</x:v>
      </x:c>
      <x:c r="G1476" s="9" t="str">
        <x:v>B1</x:v>
      </x:c>
      <x:c r="H1476" s="9" t="str">
        <x:v>BRK</x:v>
      </x:c>
      <x:c r="I1476" s="9" t="str">
        <x:v>PD14</x:v>
      </x:c>
      <x:c r="J1476" s="17" t="str">
        <x:v>Break and residual account</x:v>
      </x:c>
      <x:c r="K1476" s="17" t="str">
        <x:v>Residual authority</x:v>
      </x:c>
      <x:c r="L1476" s="17" t="str">
        <x:v>COURT-SEALED UNTIL COHORT RELEASE</x:v>
      </x:c>
      <x:c r="M1476" s="9" t="n">
        <x:v>0</x:v>
      </x:c>
      <x:c r="N1476" s="9" t="n">
        <x:v>0</x:v>
      </x:c>
      <x:c r="O1476" s="9" t="n">
        <x:v>0</x:v>
      </x:c>
      <x:c r="P1476" s="9" t="str">
        <x:v>HELD / UNRELEASED</x:v>
      </x:c>
      <x:c r="Q1476" s="9" t="n">
        <x:f>COUNTIFS($A$7:$A$2310,A1476)</x:f>
        <x:v>1</x:v>
      </x:c>
    </x:row>
    <x:row r="1477">
      <x:c r="A1477" s="9" t="str">
        <x:v>PD-AR-CT-C-B-TECH-1-B1-BRK-G0-PD15</x:v>
      </x:c>
      <x:c r="B1477" s="9" t="str">
        <x:v>PD-AR-CT-C-B-TECH-1-B1-BRK-G0</x:v>
      </x:c>
      <x:c r="C1477" s="9" t="str">
        <x:v>EV-AR-CT-C-B-TECH-1-B1-BRK-G0</x:v>
      </x:c>
      <x:c r="D1477" s="9" t="str">
        <x:v>AR-CT-C-B-TECH-1-B1-BRK-G0</x:v>
      </x:c>
      <x:c r="E1477" s="9" t="str">
        <x:v>CT-C-B-TECH-1</x:v>
      </x:c>
      <x:c r="F1477" s="9" t="str">
        <x:v>CT-C-B</x:v>
      </x:c>
      <x:c r="G1477" s="9" t="str">
        <x:v>B1</x:v>
      </x:c>
      <x:c r="H1477" s="9" t="str">
        <x:v>BRK</x:v>
      </x:c>
      <x:c r="I1477" s="9" t="str">
        <x:v>PD15</x:v>
      </x:c>
      <x:c r="J1477" s="17" t="str">
        <x:v>Reconstruction ancestry and replay</x:v>
      </x:c>
      <x:c r="K1477" s="17" t="str">
        <x:v>Reconstruction court</x:v>
      </x:c>
      <x:c r="L1477" s="17" t="str">
        <x:v>COURT-SEALED UNTIL COHORT RELEASE</x:v>
      </x:c>
      <x:c r="M1477" s="9" t="n">
        <x:v>0</x:v>
      </x:c>
      <x:c r="N1477" s="9" t="n">
        <x:v>0</x:v>
      </x:c>
      <x:c r="O1477" s="9" t="n">
        <x:v>0</x:v>
      </x:c>
      <x:c r="P1477" s="9" t="str">
        <x:v>HELD / UNRELEASED</x:v>
      </x:c>
      <x:c r="Q1477" s="9" t="n">
        <x:f>COUNTIFS($A$7:$A$2310,A1477)</x:f>
        <x:v>1</x:v>
      </x:c>
    </x:row>
    <x:row r="1478">
      <x:c r="A1478" s="9" t="str">
        <x:v>PD-AR-CT-C-B-TECH-1-B1-BRK-G0-PD16</x:v>
      </x:c>
      <x:c r="B1478" s="9" t="str">
        <x:v>PD-AR-CT-C-B-TECH-1-B1-BRK-G0</x:v>
      </x:c>
      <x:c r="C1478" s="9" t="str">
        <x:v>EV-AR-CT-C-B-TECH-1-B1-BRK-G0</x:v>
      </x:c>
      <x:c r="D1478" s="9" t="str">
        <x:v>AR-CT-C-B-TECH-1-B1-BRK-G0</x:v>
      </x:c>
      <x:c r="E1478" s="9" t="str">
        <x:v>CT-C-B-TECH-1</x:v>
      </x:c>
      <x:c r="F1478" s="9" t="str">
        <x:v>CT-C-B</x:v>
      </x:c>
      <x:c r="G1478" s="9" t="str">
        <x:v>B1</x:v>
      </x:c>
      <x:c r="H1478" s="9" t="str">
        <x:v>BRK</x:v>
      </x:c>
      <x:c r="I1478" s="9" t="str">
        <x:v>PD16</x:v>
      </x:c>
      <x:c r="J1478" s="17" t="str">
        <x:v>Dissent, amendments and access log</x:v>
      </x:c>
      <x:c r="K1478" s="17" t="str">
        <x:v>Public archive</x:v>
      </x:c>
      <x:c r="L1478" s="17" t="str">
        <x:v>COURT-SEALED UNTIL COHORT RELEASE</x:v>
      </x:c>
      <x:c r="M1478" s="9" t="n">
        <x:v>0</x:v>
      </x:c>
      <x:c r="N1478" s="9" t="n">
        <x:v>0</x:v>
      </x:c>
      <x:c r="O1478" s="9" t="n">
        <x:v>0</x:v>
      </x:c>
      <x:c r="P1478" s="9" t="str">
        <x:v>HELD / UNRELEASED</x:v>
      </x:c>
      <x:c r="Q1478" s="9" t="n">
        <x:f>COUNTIFS($A$7:$A$2310,A1478)</x:f>
        <x:v>1</x:v>
      </x:c>
    </x:row>
    <x:row r="1479">
      <x:c r="A1479" s="9" t="str">
        <x:v>PD-AR-ET-A-A-TECH-2-B1-BRK-G0-PD01</x:v>
      </x:c>
      <x:c r="B1479" s="9" t="str">
        <x:v>PD-AR-ET-A-A-TECH-2-B1-BRK-G0</x:v>
      </x:c>
      <x:c r="C1479" s="9" t="str">
        <x:v>EV-AR-ET-A-A-TECH-2-B1-BRK-G0</x:v>
      </x:c>
      <x:c r="D1479" s="9" t="str">
        <x:v>AR-ET-A-A-TECH-2-B1-BRK-G0</x:v>
      </x:c>
      <x:c r="E1479" s="9" t="str">
        <x:v>ET-A-A-TECH-2</x:v>
      </x:c>
      <x:c r="F1479" s="9" t="str">
        <x:v>ET-A-A</x:v>
      </x:c>
      <x:c r="G1479" s="9" t="str">
        <x:v>B1</x:v>
      </x:c>
      <x:c r="H1479" s="9" t="str">
        <x:v>BRK</x:v>
      </x:c>
      <x:c r="I1479" s="9" t="str">
        <x:v>PD01</x:v>
      </x:c>
      <x:c r="J1479" s="17" t="str">
        <x:v>Experiment kernel</x:v>
      </x:c>
      <x:c r="K1479" s="17" t="str">
        <x:v>Public archive</x:v>
      </x:c>
      <x:c r="L1479" s="17" t="str">
        <x:v>COURT-SEALED UNTIL COHORT RELEASE</x:v>
      </x:c>
      <x:c r="M1479" s="9" t="n">
        <x:v>0</x:v>
      </x:c>
      <x:c r="N1479" s="9" t="n">
        <x:v>0</x:v>
      </x:c>
      <x:c r="O1479" s="9" t="n">
        <x:v>0</x:v>
      </x:c>
      <x:c r="P1479" s="9" t="str">
        <x:v>HELD / UNRELEASED</x:v>
      </x:c>
      <x:c r="Q1479" s="9" t="n">
        <x:f>COUNTIFS($A$7:$A$2310,A1479)</x:f>
        <x:v>1</x:v>
      </x:c>
    </x:row>
    <x:row r="1480">
      <x:c r="A1480" s="9" t="str">
        <x:v>PD-AR-ET-A-A-TECH-2-B1-BRK-G0-PD02</x:v>
      </x:c>
      <x:c r="B1480" s="9" t="str">
        <x:v>PD-AR-ET-A-A-TECH-2-B1-BRK-G0</x:v>
      </x:c>
      <x:c r="C1480" s="9" t="str">
        <x:v>EV-AR-ET-A-A-TECH-2-B1-BRK-G0</x:v>
      </x:c>
      <x:c r="D1480" s="9" t="str">
        <x:v>AR-ET-A-A-TECH-2-B1-BRK-G0</x:v>
      </x:c>
      <x:c r="E1480" s="9" t="str">
        <x:v>ET-A-A-TECH-2</x:v>
      </x:c>
      <x:c r="F1480" s="9" t="str">
        <x:v>ET-A-A</x:v>
      </x:c>
      <x:c r="G1480" s="9" t="str">
        <x:v>B1</x:v>
      </x:c>
      <x:c r="H1480" s="9" t="str">
        <x:v>BRK</x:v>
      </x:c>
      <x:c r="I1480" s="9" t="str">
        <x:v>PD02</x:v>
      </x:c>
      <x:c r="J1480" s="17" t="str">
        <x:v>Serial annex and title chain</x:v>
      </x:c>
      <x:c r="K1480" s="17" t="str">
        <x:v>Public archive</x:v>
      </x:c>
      <x:c r="L1480" s="17" t="str">
        <x:v>COURT-SEALED UNTIL COHORT RELEASE</x:v>
      </x:c>
      <x:c r="M1480" s="9" t="n">
        <x:v>0</x:v>
      </x:c>
      <x:c r="N1480" s="9" t="n">
        <x:v>0</x:v>
      </x:c>
      <x:c r="O1480" s="9" t="n">
        <x:v>0</x:v>
      </x:c>
      <x:c r="P1480" s="9" t="str">
        <x:v>HELD / UNRELEASED</x:v>
      </x:c>
      <x:c r="Q1480" s="9" t="n">
        <x:f>COUNTIFS($A$7:$A$2310,A1480)</x:f>
        <x:v>1</x:v>
      </x:c>
    </x:row>
    <x:row r="1481">
      <x:c r="A1481" s="9" t="str">
        <x:v>PD-AR-ET-A-A-TECH-2-B1-BRK-G0-PD03</x:v>
      </x:c>
      <x:c r="B1481" s="9" t="str">
        <x:v>PD-AR-ET-A-A-TECH-2-B1-BRK-G0</x:v>
      </x:c>
      <x:c r="C1481" s="9" t="str">
        <x:v>EV-AR-ET-A-A-TECH-2-B1-BRK-G0</x:v>
      </x:c>
      <x:c r="D1481" s="9" t="str">
        <x:v>AR-ET-A-A-TECH-2-B1-BRK-G0</x:v>
      </x:c>
      <x:c r="E1481" s="9" t="str">
        <x:v>ET-A-A-TECH-2</x:v>
      </x:c>
      <x:c r="F1481" s="9" t="str">
        <x:v>ET-A-A</x:v>
      </x:c>
      <x:c r="G1481" s="9" t="str">
        <x:v>B1</x:v>
      </x:c>
      <x:c r="H1481" s="9" t="str">
        <x:v>BRK</x:v>
      </x:c>
      <x:c r="I1481" s="9" t="str">
        <x:v>PD03</x:v>
      </x:c>
      <x:c r="J1481" s="17" t="str">
        <x:v>Configuration and as-built manifest</x:v>
      </x:c>
      <x:c r="K1481" s="17" t="str">
        <x:v>Artifact exchange</x:v>
      </x:c>
      <x:c r="L1481" s="17" t="str">
        <x:v>COURT-SEALED UNTIL COHORT RELEASE</x:v>
      </x:c>
      <x:c r="M1481" s="9" t="n">
        <x:v>0</x:v>
      </x:c>
      <x:c r="N1481" s="9" t="n">
        <x:v>0</x:v>
      </x:c>
      <x:c r="O1481" s="9" t="n">
        <x:v>0</x:v>
      </x:c>
      <x:c r="P1481" s="9" t="str">
        <x:v>HELD / UNRELEASED</x:v>
      </x:c>
      <x:c r="Q1481" s="9" t="n">
        <x:f>COUNTIFS($A$7:$A$2310,A1481)</x:f>
        <x:v>1</x:v>
      </x:c>
    </x:row>
    <x:row r="1482">
      <x:c r="A1482" s="9" t="str">
        <x:v>PD-AR-ET-A-A-TECH-2-B1-BRK-G0-PD04</x:v>
      </x:c>
      <x:c r="B1482" s="9" t="str">
        <x:v>PD-AR-ET-A-A-TECH-2-B1-BRK-G0</x:v>
      </x:c>
      <x:c r="C1482" s="9" t="str">
        <x:v>EV-AR-ET-A-A-TECH-2-B1-BRK-G0</x:v>
      </x:c>
      <x:c r="D1482" s="9" t="str">
        <x:v>AR-ET-A-A-TECH-2-B1-BRK-G0</x:v>
      </x:c>
      <x:c r="E1482" s="9" t="str">
        <x:v>ET-A-A-TECH-2</x:v>
      </x:c>
      <x:c r="F1482" s="9" t="str">
        <x:v>ET-A-A</x:v>
      </x:c>
      <x:c r="G1482" s="9" t="str">
        <x:v>B1</x:v>
      </x:c>
      <x:c r="H1482" s="9" t="str">
        <x:v>BRK</x:v>
      </x:c>
      <x:c r="I1482" s="9" t="str">
        <x:v>PD04</x:v>
      </x:c>
      <x:c r="J1482" s="17" t="str">
        <x:v>EOW and start certificate</x:v>
      </x:c>
      <x:c r="K1482" s="17" t="str">
        <x:v>Start registrar</x:v>
      </x:c>
      <x:c r="L1482" s="17" t="str">
        <x:v>COURT-SEALED UNTIL COHORT RELEASE</x:v>
      </x:c>
      <x:c r="M1482" s="9" t="n">
        <x:v>0</x:v>
      </x:c>
      <x:c r="N1482" s="9" t="n">
        <x:v>0</x:v>
      </x:c>
      <x:c r="O1482" s="9" t="n">
        <x:v>0</x:v>
      </x:c>
      <x:c r="P1482" s="9" t="str">
        <x:v>HELD / UNRELEASED</x:v>
      </x:c>
      <x:c r="Q1482" s="9" t="n">
        <x:f>COUNTIFS($A$7:$A$2310,A1482)</x:f>
        <x:v>1</x:v>
      </x:c>
    </x:row>
    <x:row r="1483">
      <x:c r="A1483" s="9" t="str">
        <x:v>PD-AR-ET-A-A-TECH-2-B1-BRK-G0-PD05</x:v>
      </x:c>
      <x:c r="B1483" s="9" t="str">
        <x:v>PD-AR-ET-A-A-TECH-2-B1-BRK-G0</x:v>
      </x:c>
      <x:c r="C1483" s="9" t="str">
        <x:v>EV-AR-ET-A-A-TECH-2-B1-BRK-G0</x:v>
      </x:c>
      <x:c r="D1483" s="9" t="str">
        <x:v>AR-ET-A-A-TECH-2-B1-BRK-G0</x:v>
      </x:c>
      <x:c r="E1483" s="9" t="str">
        <x:v>ET-A-A-TECH-2</x:v>
      </x:c>
      <x:c r="F1483" s="9" t="str">
        <x:v>ET-A-A</x:v>
      </x:c>
      <x:c r="G1483" s="9" t="str">
        <x:v>B1</x:v>
      </x:c>
      <x:c r="H1483" s="9" t="str">
        <x:v>BRK</x:v>
      </x:c>
      <x:c r="I1483" s="9" t="str">
        <x:v>PD05</x:v>
      </x:c>
      <x:c r="J1483" s="17" t="str">
        <x:v>Primary raw originals</x:v>
      </x:c>
      <x:c r="K1483" s="17" t="str">
        <x:v>Primary custody</x:v>
      </x:c>
      <x:c r="L1483" s="17" t="str">
        <x:v>COURT-SEALED UNTIL COHORT RELEASE</x:v>
      </x:c>
      <x:c r="M1483" s="9" t="n">
        <x:v>0</x:v>
      </x:c>
      <x:c r="N1483" s="9" t="n">
        <x:v>0</x:v>
      </x:c>
      <x:c r="O1483" s="9" t="n">
        <x:v>0</x:v>
      </x:c>
      <x:c r="P1483" s="9" t="str">
        <x:v>HELD / UNRELEASED</x:v>
      </x:c>
      <x:c r="Q1483" s="9" t="n">
        <x:f>COUNTIFS($A$7:$A$2310,A1483)</x:f>
        <x:v>1</x:v>
      </x:c>
    </x:row>
    <x:row r="1484">
      <x:c r="A1484" s="9" t="str">
        <x:v>PD-AR-ET-A-A-TECH-2-B1-BRK-G0-PD06</x:v>
      </x:c>
      <x:c r="B1484" s="9" t="str">
        <x:v>PD-AR-ET-A-A-TECH-2-B1-BRK-G0</x:v>
      </x:c>
      <x:c r="C1484" s="9" t="str">
        <x:v>EV-AR-ET-A-A-TECH-2-B1-BRK-G0</x:v>
      </x:c>
      <x:c r="D1484" s="9" t="str">
        <x:v>AR-ET-A-A-TECH-2-B1-BRK-G0</x:v>
      </x:c>
      <x:c r="E1484" s="9" t="str">
        <x:v>ET-A-A-TECH-2</x:v>
      </x:c>
      <x:c r="F1484" s="9" t="str">
        <x:v>ET-A-A</x:v>
      </x:c>
      <x:c r="G1484" s="9" t="str">
        <x:v>B1</x:v>
      </x:c>
      <x:c r="H1484" s="9" t="str">
        <x:v>BRK</x:v>
      </x:c>
      <x:c r="I1484" s="9" t="str">
        <x:v>PD06</x:v>
      </x:c>
      <x:c r="J1484" s="17" t="str">
        <x:v>Witness raw originals</x:v>
      </x:c>
      <x:c r="K1484" s="17" t="str">
        <x:v>Witness custody</x:v>
      </x:c>
      <x:c r="L1484" s="17" t="str">
        <x:v>COURT-SEALED UNTIL COHORT RELEASE</x:v>
      </x:c>
      <x:c r="M1484" s="9" t="n">
        <x:v>0</x:v>
      </x:c>
      <x:c r="N1484" s="9" t="n">
        <x:v>0</x:v>
      </x:c>
      <x:c r="O1484" s="9" t="n">
        <x:v>0</x:v>
      </x:c>
      <x:c r="P1484" s="9" t="str">
        <x:v>HELD / UNRELEASED</x:v>
      </x:c>
      <x:c r="Q1484" s="9" t="n">
        <x:f>COUNTIFS($A$7:$A$2310,A1484)</x:f>
        <x:v>1</x:v>
      </x:c>
    </x:row>
    <x:row r="1485">
      <x:c r="A1485" s="9" t="str">
        <x:v>PD-AR-ET-A-A-TECH-2-B1-BRK-G0-PD07</x:v>
      </x:c>
      <x:c r="B1485" s="9" t="str">
        <x:v>PD-AR-ET-A-A-TECH-2-B1-BRK-G0</x:v>
      </x:c>
      <x:c r="C1485" s="9" t="str">
        <x:v>EV-AR-ET-A-A-TECH-2-B1-BRK-G0</x:v>
      </x:c>
      <x:c r="D1485" s="9" t="str">
        <x:v>AR-ET-A-A-TECH-2-B1-BRK-G0</x:v>
      </x:c>
      <x:c r="E1485" s="9" t="str">
        <x:v>ET-A-A-TECH-2</x:v>
      </x:c>
      <x:c r="F1485" s="9" t="str">
        <x:v>ET-A-A</x:v>
      </x:c>
      <x:c r="G1485" s="9" t="str">
        <x:v>B1</x:v>
      </x:c>
      <x:c r="H1485" s="9" t="str">
        <x:v>BRK</x:v>
      </x:c>
      <x:c r="I1485" s="9" t="str">
        <x:v>PD07</x:v>
      </x:c>
      <x:c r="J1485" s="17" t="str">
        <x:v>Clock and environmental records</x:v>
      </x:c>
      <x:c r="K1485" s="17" t="str">
        <x:v>Boundary archive</x:v>
      </x:c>
      <x:c r="L1485" s="17" t="str">
        <x:v>COURT-SEALED UNTIL COHORT RELEASE</x:v>
      </x:c>
      <x:c r="M1485" s="9" t="n">
        <x:v>0</x:v>
      </x:c>
      <x:c r="N1485" s="9" t="n">
        <x:v>0</x:v>
      </x:c>
      <x:c r="O1485" s="9" t="n">
        <x:v>0</x:v>
      </x:c>
      <x:c r="P1485" s="9" t="str">
        <x:v>HELD / UNRELEASED</x:v>
      </x:c>
      <x:c r="Q1485" s="9" t="n">
        <x:f>COUNTIFS($A$7:$A$2310,A1485)</x:f>
        <x:v>1</x:v>
      </x:c>
    </x:row>
    <x:row r="1486">
      <x:c r="A1486" s="9" t="str">
        <x:v>PD-AR-ET-A-A-TECH-2-B1-BRK-G0-PD08</x:v>
      </x:c>
      <x:c r="B1486" s="9" t="str">
        <x:v>PD-AR-ET-A-A-TECH-2-B1-BRK-G0</x:v>
      </x:c>
      <x:c r="C1486" s="9" t="str">
        <x:v>EV-AR-ET-A-A-TECH-2-B1-BRK-G0</x:v>
      </x:c>
      <x:c r="D1486" s="9" t="str">
        <x:v>AR-ET-A-A-TECH-2-B1-BRK-G0</x:v>
      </x:c>
      <x:c r="E1486" s="9" t="str">
        <x:v>ET-A-A-TECH-2</x:v>
      </x:c>
      <x:c r="F1486" s="9" t="str">
        <x:v>ET-A-A</x:v>
      </x:c>
      <x:c r="G1486" s="9" t="str">
        <x:v>B1</x:v>
      </x:c>
      <x:c r="H1486" s="9" t="str">
        <x:v>BRK</x:v>
      </x:c>
      <x:c r="I1486" s="9" t="str">
        <x:v>PD08</x:v>
      </x:c>
      <x:c r="J1486" s="17" t="str">
        <x:v>Command and intervention log</x:v>
      </x:c>
      <x:c r="K1486" s="17" t="str">
        <x:v>Safety archive</x:v>
      </x:c>
      <x:c r="L1486" s="17" t="str">
        <x:v>COURT-SEALED UNTIL COHORT RELEASE</x:v>
      </x:c>
      <x:c r="M1486" s="9" t="n">
        <x:v>0</x:v>
      </x:c>
      <x:c r="N1486" s="9" t="n">
        <x:v>0</x:v>
      </x:c>
      <x:c r="O1486" s="9" t="n">
        <x:v>0</x:v>
      </x:c>
      <x:c r="P1486" s="9" t="str">
        <x:v>HELD / UNRELEASED</x:v>
      </x:c>
      <x:c r="Q1486" s="9" t="n">
        <x:f>COUNTIFS($A$7:$A$2310,A1486)</x:f>
        <x:v>1</x:v>
      </x:c>
    </x:row>
    <x:row r="1487">
      <x:c r="A1487" s="9" t="str">
        <x:v>PD-AR-ET-A-A-TECH-2-B1-BRK-G0-PD09</x:v>
      </x:c>
      <x:c r="B1487" s="9" t="str">
        <x:v>PD-AR-ET-A-A-TECH-2-B1-BRK-G0</x:v>
      </x:c>
      <x:c r="C1487" s="9" t="str">
        <x:v>EV-AR-ET-A-A-TECH-2-B1-BRK-G0</x:v>
      </x:c>
      <x:c r="D1487" s="9" t="str">
        <x:v>AR-ET-A-A-TECH-2-B1-BRK-G0</x:v>
      </x:c>
      <x:c r="E1487" s="9" t="str">
        <x:v>ET-A-A-TECH-2</x:v>
      </x:c>
      <x:c r="F1487" s="9" t="str">
        <x:v>ET-A-A</x:v>
      </x:c>
      <x:c r="G1487" s="9" t="str">
        <x:v>B1</x:v>
      </x:c>
      <x:c r="H1487" s="9" t="str">
        <x:v>BRK</x:v>
      </x:c>
      <x:c r="I1487" s="9" t="str">
        <x:v>PD09</x:v>
      </x:c>
      <x:c r="J1487" s="17" t="str">
        <x:v>Receiver denominator and service ledger</x:v>
      </x:c>
      <x:c r="K1487" s="17" t="str">
        <x:v>Receiver archive</x:v>
      </x:c>
      <x:c r="L1487" s="17" t="str">
        <x:v>COURT-SEALED UNTIL COHORT RELEASE</x:v>
      </x:c>
      <x:c r="M1487" s="9" t="n">
        <x:v>0</x:v>
      </x:c>
      <x:c r="N1487" s="9" t="n">
        <x:v>0</x:v>
      </x:c>
      <x:c r="O1487" s="9" t="n">
        <x:v>0</x:v>
      </x:c>
      <x:c r="P1487" s="9" t="str">
        <x:v>HELD / UNRELEASED</x:v>
      </x:c>
      <x:c r="Q1487" s="9" t="n">
        <x:f>COUNTIFS($A$7:$A$2310,A1487)</x:f>
        <x:v>1</x:v>
      </x:c>
    </x:row>
    <x:row r="1488">
      <x:c r="A1488" s="9" t="str">
        <x:v>PD-AR-ET-A-A-TECH-2-B1-BRK-G0-PD10</x:v>
      </x:c>
      <x:c r="B1488" s="9" t="str">
        <x:v>PD-AR-ET-A-A-TECH-2-B1-BRK-G0</x:v>
      </x:c>
      <x:c r="C1488" s="9" t="str">
        <x:v>EV-AR-ET-A-A-TECH-2-B1-BRK-G0</x:v>
      </x:c>
      <x:c r="D1488" s="9" t="str">
        <x:v>AR-ET-A-A-TECH-2-B1-BRK-G0</x:v>
      </x:c>
      <x:c r="E1488" s="9" t="str">
        <x:v>ET-A-A-TECH-2</x:v>
      </x:c>
      <x:c r="F1488" s="9" t="str">
        <x:v>ET-A-A</x:v>
      </x:c>
      <x:c r="G1488" s="9" t="str">
        <x:v>B1</x:v>
      </x:c>
      <x:c r="H1488" s="9" t="str">
        <x:v>BRK</x:v>
      </x:c>
      <x:c r="I1488" s="9" t="str">
        <x:v>PD10</x:v>
      </x:c>
      <x:c r="J1488" s="17" t="str">
        <x:v>Calibration and uncertainty record</x:v>
      </x:c>
      <x:c r="K1488" s="17" t="str">
        <x:v>Metrology archive</x:v>
      </x:c>
      <x:c r="L1488" s="17" t="str">
        <x:v>COURT-SEALED UNTIL COHORT RELEASE</x:v>
      </x:c>
      <x:c r="M1488" s="9" t="n">
        <x:v>0</x:v>
      </x:c>
      <x:c r="N1488" s="9" t="n">
        <x:v>0</x:v>
      </x:c>
      <x:c r="O1488" s="9" t="n">
        <x:v>0</x:v>
      </x:c>
      <x:c r="P1488" s="9" t="str">
        <x:v>HELD / UNRELEASED</x:v>
      </x:c>
      <x:c r="Q1488" s="9" t="n">
        <x:f>COUNTIFS($A$7:$A$2310,A1488)</x:f>
        <x:v>1</x:v>
      </x:c>
    </x:row>
    <x:row r="1489">
      <x:c r="A1489" s="9" t="str">
        <x:v>PD-AR-ET-A-A-TECH-2-B1-BRK-G0-PD11</x:v>
      </x:c>
      <x:c r="B1489" s="9" t="str">
        <x:v>PD-AR-ET-A-A-TECH-2-B1-BRK-G0</x:v>
      </x:c>
      <x:c r="C1489" s="9" t="str">
        <x:v>EV-AR-ET-A-A-TECH-2-B1-BRK-G0</x:v>
      </x:c>
      <x:c r="D1489" s="9" t="str">
        <x:v>AR-ET-A-A-TECH-2-B1-BRK-G0</x:v>
      </x:c>
      <x:c r="E1489" s="9" t="str">
        <x:v>ET-A-A-TECH-2</x:v>
      </x:c>
      <x:c r="F1489" s="9" t="str">
        <x:v>ET-A-A</x:v>
      </x:c>
      <x:c r="G1489" s="9" t="str">
        <x:v>B1</x:v>
      </x:c>
      <x:c r="H1489" s="9" t="str">
        <x:v>BRK</x:v>
      </x:c>
      <x:c r="I1489" s="9" t="str">
        <x:v>PD11</x:v>
      </x:c>
      <x:c r="J1489" s="17" t="str">
        <x:v>Invalidity petition and opinion</x:v>
      </x:c>
      <x:c r="K1489" s="17" t="str">
        <x:v>Invalidity court</x:v>
      </x:c>
      <x:c r="L1489" s="17" t="str">
        <x:v>COURT-SEALED UNTIL COHORT RELEASE</x:v>
      </x:c>
      <x:c r="M1489" s="9" t="n">
        <x:v>0</x:v>
      </x:c>
      <x:c r="N1489" s="9" t="n">
        <x:v>0</x:v>
      </x:c>
      <x:c r="O1489" s="9" t="n">
        <x:v>0</x:v>
      </x:c>
      <x:c r="P1489" s="9" t="str">
        <x:v>HELD / UNRELEASED</x:v>
      </x:c>
      <x:c r="Q1489" s="9" t="n">
        <x:f>COUNTIFS($A$7:$A$2310,A1489)</x:f>
        <x:v>1</x:v>
      </x:c>
    </x:row>
    <x:row r="1490">
      <x:c r="A1490" s="9" t="str">
        <x:v>PD-AR-ET-A-A-TECH-2-B1-BRK-G0-PD12</x:v>
      </x:c>
      <x:c r="B1490" s="9" t="str">
        <x:v>PD-AR-ET-A-A-TECH-2-B1-BRK-G0</x:v>
      </x:c>
      <x:c r="C1490" s="9" t="str">
        <x:v>EV-AR-ET-A-A-TECH-2-B1-BRK-G0</x:v>
      </x:c>
      <x:c r="D1490" s="9" t="str">
        <x:v>AR-ET-A-A-TECH-2-B1-BRK-G0</x:v>
      </x:c>
      <x:c r="E1490" s="9" t="str">
        <x:v>ET-A-A-TECH-2</x:v>
      </x:c>
      <x:c r="F1490" s="9" t="str">
        <x:v>ET-A-A</x:v>
      </x:c>
      <x:c r="G1490" s="9" t="str">
        <x:v>B1</x:v>
      </x:c>
      <x:c r="H1490" s="9" t="str">
        <x:v>BRK</x:v>
      </x:c>
      <x:c r="I1490" s="9" t="str">
        <x:v>PD12</x:v>
      </x:c>
      <x:c r="J1490" s="17" t="str">
        <x:v>Observation acceptance and replay</x:v>
      </x:c>
      <x:c r="K1490" s="17" t="str">
        <x:v>Observation court</x:v>
      </x:c>
      <x:c r="L1490" s="17" t="str">
        <x:v>COURT-SEALED UNTIL COHORT RELEASE</x:v>
      </x:c>
      <x:c r="M1490" s="9" t="n">
        <x:v>0</x:v>
      </x:c>
      <x:c r="N1490" s="9" t="n">
        <x:v>0</x:v>
      </x:c>
      <x:c r="O1490" s="9" t="n">
        <x:v>0</x:v>
      </x:c>
      <x:c r="P1490" s="9" t="str">
        <x:v>HELD / UNRELEASED</x:v>
      </x:c>
      <x:c r="Q1490" s="9" t="n">
        <x:f>COUNTIFS($A$7:$A$2310,A1490)</x:f>
        <x:v>1</x:v>
      </x:c>
    </x:row>
    <x:row r="1491">
      <x:c r="A1491" s="9" t="str">
        <x:v>PD-AR-ET-A-A-TECH-2-B1-BRK-G0-PD13</x:v>
      </x:c>
      <x:c r="B1491" s="9" t="str">
        <x:v>PD-AR-ET-A-A-TECH-2-B1-BRK-G0</x:v>
      </x:c>
      <x:c r="C1491" s="9" t="str">
        <x:v>EV-AR-ET-A-A-TECH-2-B1-BRK-G0</x:v>
      </x:c>
      <x:c r="D1491" s="9" t="str">
        <x:v>AR-ET-A-A-TECH-2-B1-BRK-G0</x:v>
      </x:c>
      <x:c r="E1491" s="9" t="str">
        <x:v>ET-A-A-TECH-2</x:v>
      </x:c>
      <x:c r="F1491" s="9" t="str">
        <x:v>ET-A-A</x:v>
      </x:c>
      <x:c r="G1491" s="9" t="str">
        <x:v>B1</x:v>
      </x:c>
      <x:c r="H1491" s="9" t="str">
        <x:v>BRK</x:v>
      </x:c>
      <x:c r="I1491" s="9" t="str">
        <x:v>PD13</x:v>
      </x:c>
      <x:c r="J1491" s="17" t="str">
        <x:v>Role judgment</x:v>
      </x:c>
      <x:c r="K1491" s="17" t="str">
        <x:v>Role court</x:v>
      </x:c>
      <x:c r="L1491" s="17" t="str">
        <x:v>COURT-SEALED UNTIL COHORT RELEASE</x:v>
      </x:c>
      <x:c r="M1491" s="9" t="n">
        <x:v>0</x:v>
      </x:c>
      <x:c r="N1491" s="9" t="n">
        <x:v>0</x:v>
      </x:c>
      <x:c r="O1491" s="9" t="n">
        <x:v>0</x:v>
      </x:c>
      <x:c r="P1491" s="9" t="str">
        <x:v>HELD / UNRELEASED</x:v>
      </x:c>
      <x:c r="Q1491" s="9" t="n">
        <x:f>COUNTIFS($A$7:$A$2310,A1491)</x:f>
        <x:v>1</x:v>
      </x:c>
    </x:row>
    <x:row r="1492">
      <x:c r="A1492" s="9" t="str">
        <x:v>PD-AR-ET-A-A-TECH-2-B1-BRK-G0-PD14</x:v>
      </x:c>
      <x:c r="B1492" s="9" t="str">
        <x:v>PD-AR-ET-A-A-TECH-2-B1-BRK-G0</x:v>
      </x:c>
      <x:c r="C1492" s="9" t="str">
        <x:v>EV-AR-ET-A-A-TECH-2-B1-BRK-G0</x:v>
      </x:c>
      <x:c r="D1492" s="9" t="str">
        <x:v>AR-ET-A-A-TECH-2-B1-BRK-G0</x:v>
      </x:c>
      <x:c r="E1492" s="9" t="str">
        <x:v>ET-A-A-TECH-2</x:v>
      </x:c>
      <x:c r="F1492" s="9" t="str">
        <x:v>ET-A-A</x:v>
      </x:c>
      <x:c r="G1492" s="9" t="str">
        <x:v>B1</x:v>
      </x:c>
      <x:c r="H1492" s="9" t="str">
        <x:v>BRK</x:v>
      </x:c>
      <x:c r="I1492" s="9" t="str">
        <x:v>PD14</x:v>
      </x:c>
      <x:c r="J1492" s="17" t="str">
        <x:v>Break and residual account</x:v>
      </x:c>
      <x:c r="K1492" s="17" t="str">
        <x:v>Residual authority</x:v>
      </x:c>
      <x:c r="L1492" s="17" t="str">
        <x:v>COURT-SEALED UNTIL COHORT RELEASE</x:v>
      </x:c>
      <x:c r="M1492" s="9" t="n">
        <x:v>0</x:v>
      </x:c>
      <x:c r="N1492" s="9" t="n">
        <x:v>0</x:v>
      </x:c>
      <x:c r="O1492" s="9" t="n">
        <x:v>0</x:v>
      </x:c>
      <x:c r="P1492" s="9" t="str">
        <x:v>HELD / UNRELEASED</x:v>
      </x:c>
      <x:c r="Q1492" s="9" t="n">
        <x:f>COUNTIFS($A$7:$A$2310,A1492)</x:f>
        <x:v>1</x:v>
      </x:c>
    </x:row>
    <x:row r="1493">
      <x:c r="A1493" s="9" t="str">
        <x:v>PD-AR-ET-A-A-TECH-2-B1-BRK-G0-PD15</x:v>
      </x:c>
      <x:c r="B1493" s="9" t="str">
        <x:v>PD-AR-ET-A-A-TECH-2-B1-BRK-G0</x:v>
      </x:c>
      <x:c r="C1493" s="9" t="str">
        <x:v>EV-AR-ET-A-A-TECH-2-B1-BRK-G0</x:v>
      </x:c>
      <x:c r="D1493" s="9" t="str">
        <x:v>AR-ET-A-A-TECH-2-B1-BRK-G0</x:v>
      </x:c>
      <x:c r="E1493" s="9" t="str">
        <x:v>ET-A-A-TECH-2</x:v>
      </x:c>
      <x:c r="F1493" s="9" t="str">
        <x:v>ET-A-A</x:v>
      </x:c>
      <x:c r="G1493" s="9" t="str">
        <x:v>B1</x:v>
      </x:c>
      <x:c r="H1493" s="9" t="str">
        <x:v>BRK</x:v>
      </x:c>
      <x:c r="I1493" s="9" t="str">
        <x:v>PD15</x:v>
      </x:c>
      <x:c r="J1493" s="17" t="str">
        <x:v>Reconstruction ancestry and replay</x:v>
      </x:c>
      <x:c r="K1493" s="17" t="str">
        <x:v>Reconstruction court</x:v>
      </x:c>
      <x:c r="L1493" s="17" t="str">
        <x:v>COURT-SEALED UNTIL COHORT RELEASE</x:v>
      </x:c>
      <x:c r="M1493" s="9" t="n">
        <x:v>0</x:v>
      </x:c>
      <x:c r="N1493" s="9" t="n">
        <x:v>0</x:v>
      </x:c>
      <x:c r="O1493" s="9" t="n">
        <x:v>0</x:v>
      </x:c>
      <x:c r="P1493" s="9" t="str">
        <x:v>HELD / UNRELEASED</x:v>
      </x:c>
      <x:c r="Q1493" s="9" t="n">
        <x:f>COUNTIFS($A$7:$A$2310,A1493)</x:f>
        <x:v>1</x:v>
      </x:c>
    </x:row>
    <x:row r="1494">
      <x:c r="A1494" s="9" t="str">
        <x:v>PD-AR-ET-A-A-TECH-2-B1-BRK-G0-PD16</x:v>
      </x:c>
      <x:c r="B1494" s="9" t="str">
        <x:v>PD-AR-ET-A-A-TECH-2-B1-BRK-G0</x:v>
      </x:c>
      <x:c r="C1494" s="9" t="str">
        <x:v>EV-AR-ET-A-A-TECH-2-B1-BRK-G0</x:v>
      </x:c>
      <x:c r="D1494" s="9" t="str">
        <x:v>AR-ET-A-A-TECH-2-B1-BRK-G0</x:v>
      </x:c>
      <x:c r="E1494" s="9" t="str">
        <x:v>ET-A-A-TECH-2</x:v>
      </x:c>
      <x:c r="F1494" s="9" t="str">
        <x:v>ET-A-A</x:v>
      </x:c>
      <x:c r="G1494" s="9" t="str">
        <x:v>B1</x:v>
      </x:c>
      <x:c r="H1494" s="9" t="str">
        <x:v>BRK</x:v>
      </x:c>
      <x:c r="I1494" s="9" t="str">
        <x:v>PD16</x:v>
      </x:c>
      <x:c r="J1494" s="17" t="str">
        <x:v>Dissent, amendments and access log</x:v>
      </x:c>
      <x:c r="K1494" s="17" t="str">
        <x:v>Public archive</x:v>
      </x:c>
      <x:c r="L1494" s="17" t="str">
        <x:v>COURT-SEALED UNTIL COHORT RELEASE</x:v>
      </x:c>
      <x:c r="M1494" s="9" t="n">
        <x:v>0</x:v>
      </x:c>
      <x:c r="N1494" s="9" t="n">
        <x:v>0</x:v>
      </x:c>
      <x:c r="O1494" s="9" t="n">
        <x:v>0</x:v>
      </x:c>
      <x:c r="P1494" s="9" t="str">
        <x:v>HELD / UNRELEASED</x:v>
      </x:c>
      <x:c r="Q1494" s="9" t="n">
        <x:f>COUNTIFS($A$7:$A$2310,A1494)</x:f>
        <x:v>1</x:v>
      </x:c>
    </x:row>
    <x:row r="1495">
      <x:c r="A1495" s="9" t="str">
        <x:v>PD-AR-HU-A-B-TECH-4-B1-BRK-G0-PD01</x:v>
      </x:c>
      <x:c r="B1495" s="9" t="str">
        <x:v>PD-AR-HU-A-B-TECH-4-B1-BRK-G0</x:v>
      </x:c>
      <x:c r="C1495" s="9" t="str">
        <x:v>EV-AR-HU-A-B-TECH-4-B1-BRK-G0</x:v>
      </x:c>
      <x:c r="D1495" s="9" t="str">
        <x:v>AR-HU-A-B-TECH-4-B1-BRK-G0</x:v>
      </x:c>
      <x:c r="E1495" s="9" t="str">
        <x:v>HU-A-B-TECH-4</x:v>
      </x:c>
      <x:c r="F1495" s="9" t="str">
        <x:v>HU-A-B</x:v>
      </x:c>
      <x:c r="G1495" s="9" t="str">
        <x:v>B1</x:v>
      </x:c>
      <x:c r="H1495" s="9" t="str">
        <x:v>BRK</x:v>
      </x:c>
      <x:c r="I1495" s="9" t="str">
        <x:v>PD01</x:v>
      </x:c>
      <x:c r="J1495" s="17" t="str">
        <x:v>Experiment kernel</x:v>
      </x:c>
      <x:c r="K1495" s="17" t="str">
        <x:v>Public archive</x:v>
      </x:c>
      <x:c r="L1495" s="17" t="str">
        <x:v>COURT-SEALED UNTIL COHORT RELEASE</x:v>
      </x:c>
      <x:c r="M1495" s="9" t="n">
        <x:v>0</x:v>
      </x:c>
      <x:c r="N1495" s="9" t="n">
        <x:v>0</x:v>
      </x:c>
      <x:c r="O1495" s="9" t="n">
        <x:v>0</x:v>
      </x:c>
      <x:c r="P1495" s="9" t="str">
        <x:v>HELD / UNRELEASED</x:v>
      </x:c>
      <x:c r="Q1495" s="9" t="n">
        <x:f>COUNTIFS($A$7:$A$2310,A1495)</x:f>
        <x:v>1</x:v>
      </x:c>
    </x:row>
    <x:row r="1496">
      <x:c r="A1496" s="9" t="str">
        <x:v>PD-AR-HU-A-B-TECH-4-B1-BRK-G0-PD02</x:v>
      </x:c>
      <x:c r="B1496" s="9" t="str">
        <x:v>PD-AR-HU-A-B-TECH-4-B1-BRK-G0</x:v>
      </x:c>
      <x:c r="C1496" s="9" t="str">
        <x:v>EV-AR-HU-A-B-TECH-4-B1-BRK-G0</x:v>
      </x:c>
      <x:c r="D1496" s="9" t="str">
        <x:v>AR-HU-A-B-TECH-4-B1-BRK-G0</x:v>
      </x:c>
      <x:c r="E1496" s="9" t="str">
        <x:v>HU-A-B-TECH-4</x:v>
      </x:c>
      <x:c r="F1496" s="9" t="str">
        <x:v>HU-A-B</x:v>
      </x:c>
      <x:c r="G1496" s="9" t="str">
        <x:v>B1</x:v>
      </x:c>
      <x:c r="H1496" s="9" t="str">
        <x:v>BRK</x:v>
      </x:c>
      <x:c r="I1496" s="9" t="str">
        <x:v>PD02</x:v>
      </x:c>
      <x:c r="J1496" s="17" t="str">
        <x:v>Serial annex and title chain</x:v>
      </x:c>
      <x:c r="K1496" s="17" t="str">
        <x:v>Public archive</x:v>
      </x:c>
      <x:c r="L1496" s="17" t="str">
        <x:v>COURT-SEALED UNTIL COHORT RELEASE</x:v>
      </x:c>
      <x:c r="M1496" s="9" t="n">
        <x:v>0</x:v>
      </x:c>
      <x:c r="N1496" s="9" t="n">
        <x:v>0</x:v>
      </x:c>
      <x:c r="O1496" s="9" t="n">
        <x:v>0</x:v>
      </x:c>
      <x:c r="P1496" s="9" t="str">
        <x:v>HELD / UNRELEASED</x:v>
      </x:c>
      <x:c r="Q1496" s="9" t="n">
        <x:f>COUNTIFS($A$7:$A$2310,A1496)</x:f>
        <x:v>1</x:v>
      </x:c>
    </x:row>
    <x:row r="1497">
      <x:c r="A1497" s="9" t="str">
        <x:v>PD-AR-HU-A-B-TECH-4-B1-BRK-G0-PD03</x:v>
      </x:c>
      <x:c r="B1497" s="9" t="str">
        <x:v>PD-AR-HU-A-B-TECH-4-B1-BRK-G0</x:v>
      </x:c>
      <x:c r="C1497" s="9" t="str">
        <x:v>EV-AR-HU-A-B-TECH-4-B1-BRK-G0</x:v>
      </x:c>
      <x:c r="D1497" s="9" t="str">
        <x:v>AR-HU-A-B-TECH-4-B1-BRK-G0</x:v>
      </x:c>
      <x:c r="E1497" s="9" t="str">
        <x:v>HU-A-B-TECH-4</x:v>
      </x:c>
      <x:c r="F1497" s="9" t="str">
        <x:v>HU-A-B</x:v>
      </x:c>
      <x:c r="G1497" s="9" t="str">
        <x:v>B1</x:v>
      </x:c>
      <x:c r="H1497" s="9" t="str">
        <x:v>BRK</x:v>
      </x:c>
      <x:c r="I1497" s="9" t="str">
        <x:v>PD03</x:v>
      </x:c>
      <x:c r="J1497" s="17" t="str">
        <x:v>Configuration and as-built manifest</x:v>
      </x:c>
      <x:c r="K1497" s="17" t="str">
        <x:v>Artifact exchange</x:v>
      </x:c>
      <x:c r="L1497" s="17" t="str">
        <x:v>COURT-SEALED UNTIL COHORT RELEASE</x:v>
      </x:c>
      <x:c r="M1497" s="9" t="n">
        <x:v>0</x:v>
      </x:c>
      <x:c r="N1497" s="9" t="n">
        <x:v>0</x:v>
      </x:c>
      <x:c r="O1497" s="9" t="n">
        <x:v>0</x:v>
      </x:c>
      <x:c r="P1497" s="9" t="str">
        <x:v>HELD / UNRELEASED</x:v>
      </x:c>
      <x:c r="Q1497" s="9" t="n">
        <x:f>COUNTIFS($A$7:$A$2310,A1497)</x:f>
        <x:v>1</x:v>
      </x:c>
    </x:row>
    <x:row r="1498">
      <x:c r="A1498" s="9" t="str">
        <x:v>PD-AR-HU-A-B-TECH-4-B1-BRK-G0-PD04</x:v>
      </x:c>
      <x:c r="B1498" s="9" t="str">
        <x:v>PD-AR-HU-A-B-TECH-4-B1-BRK-G0</x:v>
      </x:c>
      <x:c r="C1498" s="9" t="str">
        <x:v>EV-AR-HU-A-B-TECH-4-B1-BRK-G0</x:v>
      </x:c>
      <x:c r="D1498" s="9" t="str">
        <x:v>AR-HU-A-B-TECH-4-B1-BRK-G0</x:v>
      </x:c>
      <x:c r="E1498" s="9" t="str">
        <x:v>HU-A-B-TECH-4</x:v>
      </x:c>
      <x:c r="F1498" s="9" t="str">
        <x:v>HU-A-B</x:v>
      </x:c>
      <x:c r="G1498" s="9" t="str">
        <x:v>B1</x:v>
      </x:c>
      <x:c r="H1498" s="9" t="str">
        <x:v>BRK</x:v>
      </x:c>
      <x:c r="I1498" s="9" t="str">
        <x:v>PD04</x:v>
      </x:c>
      <x:c r="J1498" s="17" t="str">
        <x:v>EOW and start certificate</x:v>
      </x:c>
      <x:c r="K1498" s="17" t="str">
        <x:v>Start registrar</x:v>
      </x:c>
      <x:c r="L1498" s="17" t="str">
        <x:v>COURT-SEALED UNTIL COHORT RELEASE</x:v>
      </x:c>
      <x:c r="M1498" s="9" t="n">
        <x:v>0</x:v>
      </x:c>
      <x:c r="N1498" s="9" t="n">
        <x:v>0</x:v>
      </x:c>
      <x:c r="O1498" s="9" t="n">
        <x:v>0</x:v>
      </x:c>
      <x:c r="P1498" s="9" t="str">
        <x:v>HELD / UNRELEASED</x:v>
      </x:c>
      <x:c r="Q1498" s="9" t="n">
        <x:f>COUNTIFS($A$7:$A$2310,A1498)</x:f>
        <x:v>1</x:v>
      </x:c>
    </x:row>
    <x:row r="1499">
      <x:c r="A1499" s="9" t="str">
        <x:v>PD-AR-HU-A-B-TECH-4-B1-BRK-G0-PD05</x:v>
      </x:c>
      <x:c r="B1499" s="9" t="str">
        <x:v>PD-AR-HU-A-B-TECH-4-B1-BRK-G0</x:v>
      </x:c>
      <x:c r="C1499" s="9" t="str">
        <x:v>EV-AR-HU-A-B-TECH-4-B1-BRK-G0</x:v>
      </x:c>
      <x:c r="D1499" s="9" t="str">
        <x:v>AR-HU-A-B-TECH-4-B1-BRK-G0</x:v>
      </x:c>
      <x:c r="E1499" s="9" t="str">
        <x:v>HU-A-B-TECH-4</x:v>
      </x:c>
      <x:c r="F1499" s="9" t="str">
        <x:v>HU-A-B</x:v>
      </x:c>
      <x:c r="G1499" s="9" t="str">
        <x:v>B1</x:v>
      </x:c>
      <x:c r="H1499" s="9" t="str">
        <x:v>BRK</x:v>
      </x:c>
      <x:c r="I1499" s="9" t="str">
        <x:v>PD05</x:v>
      </x:c>
      <x:c r="J1499" s="17" t="str">
        <x:v>Primary raw originals</x:v>
      </x:c>
      <x:c r="K1499" s="17" t="str">
        <x:v>Primary custody</x:v>
      </x:c>
      <x:c r="L1499" s="17" t="str">
        <x:v>COURT-SEALED UNTIL COHORT RELEASE</x:v>
      </x:c>
      <x:c r="M1499" s="9" t="n">
        <x:v>0</x:v>
      </x:c>
      <x:c r="N1499" s="9" t="n">
        <x:v>0</x:v>
      </x:c>
      <x:c r="O1499" s="9" t="n">
        <x:v>0</x:v>
      </x:c>
      <x:c r="P1499" s="9" t="str">
        <x:v>HELD / UNRELEASED</x:v>
      </x:c>
      <x:c r="Q1499" s="9" t="n">
        <x:f>COUNTIFS($A$7:$A$2310,A1499)</x:f>
        <x:v>1</x:v>
      </x:c>
    </x:row>
    <x:row r="1500">
      <x:c r="A1500" s="9" t="str">
        <x:v>PD-AR-HU-A-B-TECH-4-B1-BRK-G0-PD06</x:v>
      </x:c>
      <x:c r="B1500" s="9" t="str">
        <x:v>PD-AR-HU-A-B-TECH-4-B1-BRK-G0</x:v>
      </x:c>
      <x:c r="C1500" s="9" t="str">
        <x:v>EV-AR-HU-A-B-TECH-4-B1-BRK-G0</x:v>
      </x:c>
      <x:c r="D1500" s="9" t="str">
        <x:v>AR-HU-A-B-TECH-4-B1-BRK-G0</x:v>
      </x:c>
      <x:c r="E1500" s="9" t="str">
        <x:v>HU-A-B-TECH-4</x:v>
      </x:c>
      <x:c r="F1500" s="9" t="str">
        <x:v>HU-A-B</x:v>
      </x:c>
      <x:c r="G1500" s="9" t="str">
        <x:v>B1</x:v>
      </x:c>
      <x:c r="H1500" s="9" t="str">
        <x:v>BRK</x:v>
      </x:c>
      <x:c r="I1500" s="9" t="str">
        <x:v>PD06</x:v>
      </x:c>
      <x:c r="J1500" s="17" t="str">
        <x:v>Witness raw originals</x:v>
      </x:c>
      <x:c r="K1500" s="17" t="str">
        <x:v>Witness custody</x:v>
      </x:c>
      <x:c r="L1500" s="17" t="str">
        <x:v>COURT-SEALED UNTIL COHORT RELEASE</x:v>
      </x:c>
      <x:c r="M1500" s="9" t="n">
        <x:v>0</x:v>
      </x:c>
      <x:c r="N1500" s="9" t="n">
        <x:v>0</x:v>
      </x:c>
      <x:c r="O1500" s="9" t="n">
        <x:v>0</x:v>
      </x:c>
      <x:c r="P1500" s="9" t="str">
        <x:v>HELD / UNRELEASED</x:v>
      </x:c>
      <x:c r="Q1500" s="9" t="n">
        <x:f>COUNTIFS($A$7:$A$2310,A1500)</x:f>
        <x:v>1</x:v>
      </x:c>
    </x:row>
    <x:row r="1501">
      <x:c r="A1501" s="9" t="str">
        <x:v>PD-AR-HU-A-B-TECH-4-B1-BRK-G0-PD07</x:v>
      </x:c>
      <x:c r="B1501" s="9" t="str">
        <x:v>PD-AR-HU-A-B-TECH-4-B1-BRK-G0</x:v>
      </x:c>
      <x:c r="C1501" s="9" t="str">
        <x:v>EV-AR-HU-A-B-TECH-4-B1-BRK-G0</x:v>
      </x:c>
      <x:c r="D1501" s="9" t="str">
        <x:v>AR-HU-A-B-TECH-4-B1-BRK-G0</x:v>
      </x:c>
      <x:c r="E1501" s="9" t="str">
        <x:v>HU-A-B-TECH-4</x:v>
      </x:c>
      <x:c r="F1501" s="9" t="str">
        <x:v>HU-A-B</x:v>
      </x:c>
      <x:c r="G1501" s="9" t="str">
        <x:v>B1</x:v>
      </x:c>
      <x:c r="H1501" s="9" t="str">
        <x:v>BRK</x:v>
      </x:c>
      <x:c r="I1501" s="9" t="str">
        <x:v>PD07</x:v>
      </x:c>
      <x:c r="J1501" s="17" t="str">
        <x:v>Clock and environmental records</x:v>
      </x:c>
      <x:c r="K1501" s="17" t="str">
        <x:v>Boundary archive</x:v>
      </x:c>
      <x:c r="L1501" s="17" t="str">
        <x:v>COURT-SEALED UNTIL COHORT RELEASE</x:v>
      </x:c>
      <x:c r="M1501" s="9" t="n">
        <x:v>0</x:v>
      </x:c>
      <x:c r="N1501" s="9" t="n">
        <x:v>0</x:v>
      </x:c>
      <x:c r="O1501" s="9" t="n">
        <x:v>0</x:v>
      </x:c>
      <x:c r="P1501" s="9" t="str">
        <x:v>HELD / UNRELEASED</x:v>
      </x:c>
      <x:c r="Q1501" s="9" t="n">
        <x:f>COUNTIFS($A$7:$A$2310,A1501)</x:f>
        <x:v>1</x:v>
      </x:c>
    </x:row>
    <x:row r="1502">
      <x:c r="A1502" s="9" t="str">
        <x:v>PD-AR-HU-A-B-TECH-4-B1-BRK-G0-PD08</x:v>
      </x:c>
      <x:c r="B1502" s="9" t="str">
        <x:v>PD-AR-HU-A-B-TECH-4-B1-BRK-G0</x:v>
      </x:c>
      <x:c r="C1502" s="9" t="str">
        <x:v>EV-AR-HU-A-B-TECH-4-B1-BRK-G0</x:v>
      </x:c>
      <x:c r="D1502" s="9" t="str">
        <x:v>AR-HU-A-B-TECH-4-B1-BRK-G0</x:v>
      </x:c>
      <x:c r="E1502" s="9" t="str">
        <x:v>HU-A-B-TECH-4</x:v>
      </x:c>
      <x:c r="F1502" s="9" t="str">
        <x:v>HU-A-B</x:v>
      </x:c>
      <x:c r="G1502" s="9" t="str">
        <x:v>B1</x:v>
      </x:c>
      <x:c r="H1502" s="9" t="str">
        <x:v>BRK</x:v>
      </x:c>
      <x:c r="I1502" s="9" t="str">
        <x:v>PD08</x:v>
      </x:c>
      <x:c r="J1502" s="17" t="str">
        <x:v>Command and intervention log</x:v>
      </x:c>
      <x:c r="K1502" s="17" t="str">
        <x:v>Safety archive</x:v>
      </x:c>
      <x:c r="L1502" s="17" t="str">
        <x:v>COURT-SEALED UNTIL COHORT RELEASE</x:v>
      </x:c>
      <x:c r="M1502" s="9" t="n">
        <x:v>0</x:v>
      </x:c>
      <x:c r="N1502" s="9" t="n">
        <x:v>0</x:v>
      </x:c>
      <x:c r="O1502" s="9" t="n">
        <x:v>0</x:v>
      </x:c>
      <x:c r="P1502" s="9" t="str">
        <x:v>HELD / UNRELEASED</x:v>
      </x:c>
      <x:c r="Q1502" s="9" t="n">
        <x:f>COUNTIFS($A$7:$A$2310,A1502)</x:f>
        <x:v>1</x:v>
      </x:c>
    </x:row>
    <x:row r="1503">
      <x:c r="A1503" s="9" t="str">
        <x:v>PD-AR-HU-A-B-TECH-4-B1-BRK-G0-PD09</x:v>
      </x:c>
      <x:c r="B1503" s="9" t="str">
        <x:v>PD-AR-HU-A-B-TECH-4-B1-BRK-G0</x:v>
      </x:c>
      <x:c r="C1503" s="9" t="str">
        <x:v>EV-AR-HU-A-B-TECH-4-B1-BRK-G0</x:v>
      </x:c>
      <x:c r="D1503" s="9" t="str">
        <x:v>AR-HU-A-B-TECH-4-B1-BRK-G0</x:v>
      </x:c>
      <x:c r="E1503" s="9" t="str">
        <x:v>HU-A-B-TECH-4</x:v>
      </x:c>
      <x:c r="F1503" s="9" t="str">
        <x:v>HU-A-B</x:v>
      </x:c>
      <x:c r="G1503" s="9" t="str">
        <x:v>B1</x:v>
      </x:c>
      <x:c r="H1503" s="9" t="str">
        <x:v>BRK</x:v>
      </x:c>
      <x:c r="I1503" s="9" t="str">
        <x:v>PD09</x:v>
      </x:c>
      <x:c r="J1503" s="17" t="str">
        <x:v>Receiver denominator and service ledger</x:v>
      </x:c>
      <x:c r="K1503" s="17" t="str">
        <x:v>Receiver archive</x:v>
      </x:c>
      <x:c r="L1503" s="17" t="str">
        <x:v>COURT-SEALED UNTIL COHORT RELEASE</x:v>
      </x:c>
      <x:c r="M1503" s="9" t="n">
        <x:v>0</x:v>
      </x:c>
      <x:c r="N1503" s="9" t="n">
        <x:v>0</x:v>
      </x:c>
      <x:c r="O1503" s="9" t="n">
        <x:v>0</x:v>
      </x:c>
      <x:c r="P1503" s="9" t="str">
        <x:v>HELD / UNRELEASED</x:v>
      </x:c>
      <x:c r="Q1503" s="9" t="n">
        <x:f>COUNTIFS($A$7:$A$2310,A1503)</x:f>
        <x:v>1</x:v>
      </x:c>
    </x:row>
    <x:row r="1504">
      <x:c r="A1504" s="9" t="str">
        <x:v>PD-AR-HU-A-B-TECH-4-B1-BRK-G0-PD10</x:v>
      </x:c>
      <x:c r="B1504" s="9" t="str">
        <x:v>PD-AR-HU-A-B-TECH-4-B1-BRK-G0</x:v>
      </x:c>
      <x:c r="C1504" s="9" t="str">
        <x:v>EV-AR-HU-A-B-TECH-4-B1-BRK-G0</x:v>
      </x:c>
      <x:c r="D1504" s="9" t="str">
        <x:v>AR-HU-A-B-TECH-4-B1-BRK-G0</x:v>
      </x:c>
      <x:c r="E1504" s="9" t="str">
        <x:v>HU-A-B-TECH-4</x:v>
      </x:c>
      <x:c r="F1504" s="9" t="str">
        <x:v>HU-A-B</x:v>
      </x:c>
      <x:c r="G1504" s="9" t="str">
        <x:v>B1</x:v>
      </x:c>
      <x:c r="H1504" s="9" t="str">
        <x:v>BRK</x:v>
      </x:c>
      <x:c r="I1504" s="9" t="str">
        <x:v>PD10</x:v>
      </x:c>
      <x:c r="J1504" s="17" t="str">
        <x:v>Calibration and uncertainty record</x:v>
      </x:c>
      <x:c r="K1504" s="17" t="str">
        <x:v>Metrology archive</x:v>
      </x:c>
      <x:c r="L1504" s="17" t="str">
        <x:v>COURT-SEALED UNTIL COHORT RELEASE</x:v>
      </x:c>
      <x:c r="M1504" s="9" t="n">
        <x:v>0</x:v>
      </x:c>
      <x:c r="N1504" s="9" t="n">
        <x:v>0</x:v>
      </x:c>
      <x:c r="O1504" s="9" t="n">
        <x:v>0</x:v>
      </x:c>
      <x:c r="P1504" s="9" t="str">
        <x:v>HELD / UNRELEASED</x:v>
      </x:c>
      <x:c r="Q1504" s="9" t="n">
        <x:f>COUNTIFS($A$7:$A$2310,A1504)</x:f>
        <x:v>1</x:v>
      </x:c>
    </x:row>
    <x:row r="1505">
      <x:c r="A1505" s="9" t="str">
        <x:v>PD-AR-HU-A-B-TECH-4-B1-BRK-G0-PD11</x:v>
      </x:c>
      <x:c r="B1505" s="9" t="str">
        <x:v>PD-AR-HU-A-B-TECH-4-B1-BRK-G0</x:v>
      </x:c>
      <x:c r="C1505" s="9" t="str">
        <x:v>EV-AR-HU-A-B-TECH-4-B1-BRK-G0</x:v>
      </x:c>
      <x:c r="D1505" s="9" t="str">
        <x:v>AR-HU-A-B-TECH-4-B1-BRK-G0</x:v>
      </x:c>
      <x:c r="E1505" s="9" t="str">
        <x:v>HU-A-B-TECH-4</x:v>
      </x:c>
      <x:c r="F1505" s="9" t="str">
        <x:v>HU-A-B</x:v>
      </x:c>
      <x:c r="G1505" s="9" t="str">
        <x:v>B1</x:v>
      </x:c>
      <x:c r="H1505" s="9" t="str">
        <x:v>BRK</x:v>
      </x:c>
      <x:c r="I1505" s="9" t="str">
        <x:v>PD11</x:v>
      </x:c>
      <x:c r="J1505" s="17" t="str">
        <x:v>Invalidity petition and opinion</x:v>
      </x:c>
      <x:c r="K1505" s="17" t="str">
        <x:v>Invalidity court</x:v>
      </x:c>
      <x:c r="L1505" s="17" t="str">
        <x:v>COURT-SEALED UNTIL COHORT RELEASE</x:v>
      </x:c>
      <x:c r="M1505" s="9" t="n">
        <x:v>0</x:v>
      </x:c>
      <x:c r="N1505" s="9" t="n">
        <x:v>0</x:v>
      </x:c>
      <x:c r="O1505" s="9" t="n">
        <x:v>0</x:v>
      </x:c>
      <x:c r="P1505" s="9" t="str">
        <x:v>HELD / UNRELEASED</x:v>
      </x:c>
      <x:c r="Q1505" s="9" t="n">
        <x:f>COUNTIFS($A$7:$A$2310,A1505)</x:f>
        <x:v>1</x:v>
      </x:c>
    </x:row>
    <x:row r="1506">
      <x:c r="A1506" s="9" t="str">
        <x:v>PD-AR-HU-A-B-TECH-4-B1-BRK-G0-PD12</x:v>
      </x:c>
      <x:c r="B1506" s="9" t="str">
        <x:v>PD-AR-HU-A-B-TECH-4-B1-BRK-G0</x:v>
      </x:c>
      <x:c r="C1506" s="9" t="str">
        <x:v>EV-AR-HU-A-B-TECH-4-B1-BRK-G0</x:v>
      </x:c>
      <x:c r="D1506" s="9" t="str">
        <x:v>AR-HU-A-B-TECH-4-B1-BRK-G0</x:v>
      </x:c>
      <x:c r="E1506" s="9" t="str">
        <x:v>HU-A-B-TECH-4</x:v>
      </x:c>
      <x:c r="F1506" s="9" t="str">
        <x:v>HU-A-B</x:v>
      </x:c>
      <x:c r="G1506" s="9" t="str">
        <x:v>B1</x:v>
      </x:c>
      <x:c r="H1506" s="9" t="str">
        <x:v>BRK</x:v>
      </x:c>
      <x:c r="I1506" s="9" t="str">
        <x:v>PD12</x:v>
      </x:c>
      <x:c r="J1506" s="17" t="str">
        <x:v>Observation acceptance and replay</x:v>
      </x:c>
      <x:c r="K1506" s="17" t="str">
        <x:v>Observation court</x:v>
      </x:c>
      <x:c r="L1506" s="17" t="str">
        <x:v>COURT-SEALED UNTIL COHORT RELEASE</x:v>
      </x:c>
      <x:c r="M1506" s="9" t="n">
        <x:v>0</x:v>
      </x:c>
      <x:c r="N1506" s="9" t="n">
        <x:v>0</x:v>
      </x:c>
      <x:c r="O1506" s="9" t="n">
        <x:v>0</x:v>
      </x:c>
      <x:c r="P1506" s="9" t="str">
        <x:v>HELD / UNRELEASED</x:v>
      </x:c>
      <x:c r="Q1506" s="9" t="n">
        <x:f>COUNTIFS($A$7:$A$2310,A1506)</x:f>
        <x:v>1</x:v>
      </x:c>
    </x:row>
    <x:row r="1507">
      <x:c r="A1507" s="9" t="str">
        <x:v>PD-AR-HU-A-B-TECH-4-B1-BRK-G0-PD13</x:v>
      </x:c>
      <x:c r="B1507" s="9" t="str">
        <x:v>PD-AR-HU-A-B-TECH-4-B1-BRK-G0</x:v>
      </x:c>
      <x:c r="C1507" s="9" t="str">
        <x:v>EV-AR-HU-A-B-TECH-4-B1-BRK-G0</x:v>
      </x:c>
      <x:c r="D1507" s="9" t="str">
        <x:v>AR-HU-A-B-TECH-4-B1-BRK-G0</x:v>
      </x:c>
      <x:c r="E1507" s="9" t="str">
        <x:v>HU-A-B-TECH-4</x:v>
      </x:c>
      <x:c r="F1507" s="9" t="str">
        <x:v>HU-A-B</x:v>
      </x:c>
      <x:c r="G1507" s="9" t="str">
        <x:v>B1</x:v>
      </x:c>
      <x:c r="H1507" s="9" t="str">
        <x:v>BRK</x:v>
      </x:c>
      <x:c r="I1507" s="9" t="str">
        <x:v>PD13</x:v>
      </x:c>
      <x:c r="J1507" s="17" t="str">
        <x:v>Role judgment</x:v>
      </x:c>
      <x:c r="K1507" s="17" t="str">
        <x:v>Role court</x:v>
      </x:c>
      <x:c r="L1507" s="17" t="str">
        <x:v>COURT-SEALED UNTIL COHORT RELEASE</x:v>
      </x:c>
      <x:c r="M1507" s="9" t="n">
        <x:v>0</x:v>
      </x:c>
      <x:c r="N1507" s="9" t="n">
        <x:v>0</x:v>
      </x:c>
      <x:c r="O1507" s="9" t="n">
        <x:v>0</x:v>
      </x:c>
      <x:c r="P1507" s="9" t="str">
        <x:v>HELD / UNRELEASED</x:v>
      </x:c>
      <x:c r="Q1507" s="9" t="n">
        <x:f>COUNTIFS($A$7:$A$2310,A1507)</x:f>
        <x:v>1</x:v>
      </x:c>
    </x:row>
    <x:row r="1508">
      <x:c r="A1508" s="9" t="str">
        <x:v>PD-AR-HU-A-B-TECH-4-B1-BRK-G0-PD14</x:v>
      </x:c>
      <x:c r="B1508" s="9" t="str">
        <x:v>PD-AR-HU-A-B-TECH-4-B1-BRK-G0</x:v>
      </x:c>
      <x:c r="C1508" s="9" t="str">
        <x:v>EV-AR-HU-A-B-TECH-4-B1-BRK-G0</x:v>
      </x:c>
      <x:c r="D1508" s="9" t="str">
        <x:v>AR-HU-A-B-TECH-4-B1-BRK-G0</x:v>
      </x:c>
      <x:c r="E1508" s="9" t="str">
        <x:v>HU-A-B-TECH-4</x:v>
      </x:c>
      <x:c r="F1508" s="9" t="str">
        <x:v>HU-A-B</x:v>
      </x:c>
      <x:c r="G1508" s="9" t="str">
        <x:v>B1</x:v>
      </x:c>
      <x:c r="H1508" s="9" t="str">
        <x:v>BRK</x:v>
      </x:c>
      <x:c r="I1508" s="9" t="str">
        <x:v>PD14</x:v>
      </x:c>
      <x:c r="J1508" s="17" t="str">
        <x:v>Break and residual account</x:v>
      </x:c>
      <x:c r="K1508" s="17" t="str">
        <x:v>Residual authority</x:v>
      </x:c>
      <x:c r="L1508" s="17" t="str">
        <x:v>COURT-SEALED UNTIL COHORT RELEASE</x:v>
      </x:c>
      <x:c r="M1508" s="9" t="n">
        <x:v>0</x:v>
      </x:c>
      <x:c r="N1508" s="9" t="n">
        <x:v>0</x:v>
      </x:c>
      <x:c r="O1508" s="9" t="n">
        <x:v>0</x:v>
      </x:c>
      <x:c r="P1508" s="9" t="str">
        <x:v>HELD / UNRELEASED</x:v>
      </x:c>
      <x:c r="Q1508" s="9" t="n">
        <x:f>COUNTIFS($A$7:$A$2310,A1508)</x:f>
        <x:v>1</x:v>
      </x:c>
    </x:row>
    <x:row r="1509">
      <x:c r="A1509" s="9" t="str">
        <x:v>PD-AR-HU-A-B-TECH-4-B1-BRK-G0-PD15</x:v>
      </x:c>
      <x:c r="B1509" s="9" t="str">
        <x:v>PD-AR-HU-A-B-TECH-4-B1-BRK-G0</x:v>
      </x:c>
      <x:c r="C1509" s="9" t="str">
        <x:v>EV-AR-HU-A-B-TECH-4-B1-BRK-G0</x:v>
      </x:c>
      <x:c r="D1509" s="9" t="str">
        <x:v>AR-HU-A-B-TECH-4-B1-BRK-G0</x:v>
      </x:c>
      <x:c r="E1509" s="9" t="str">
        <x:v>HU-A-B-TECH-4</x:v>
      </x:c>
      <x:c r="F1509" s="9" t="str">
        <x:v>HU-A-B</x:v>
      </x:c>
      <x:c r="G1509" s="9" t="str">
        <x:v>B1</x:v>
      </x:c>
      <x:c r="H1509" s="9" t="str">
        <x:v>BRK</x:v>
      </x:c>
      <x:c r="I1509" s="9" t="str">
        <x:v>PD15</x:v>
      </x:c>
      <x:c r="J1509" s="17" t="str">
        <x:v>Reconstruction ancestry and replay</x:v>
      </x:c>
      <x:c r="K1509" s="17" t="str">
        <x:v>Reconstruction court</x:v>
      </x:c>
      <x:c r="L1509" s="17" t="str">
        <x:v>COURT-SEALED UNTIL COHORT RELEASE</x:v>
      </x:c>
      <x:c r="M1509" s="9" t="n">
        <x:v>0</x:v>
      </x:c>
      <x:c r="N1509" s="9" t="n">
        <x:v>0</x:v>
      </x:c>
      <x:c r="O1509" s="9" t="n">
        <x:v>0</x:v>
      </x:c>
      <x:c r="P1509" s="9" t="str">
        <x:v>HELD / UNRELEASED</x:v>
      </x:c>
      <x:c r="Q1509" s="9" t="n">
        <x:f>COUNTIFS($A$7:$A$2310,A1509)</x:f>
        <x:v>1</x:v>
      </x:c>
    </x:row>
    <x:row r="1510">
      <x:c r="A1510" s="9" t="str">
        <x:v>PD-AR-HU-A-B-TECH-4-B1-BRK-G0-PD16</x:v>
      </x:c>
      <x:c r="B1510" s="9" t="str">
        <x:v>PD-AR-HU-A-B-TECH-4-B1-BRK-G0</x:v>
      </x:c>
      <x:c r="C1510" s="9" t="str">
        <x:v>EV-AR-HU-A-B-TECH-4-B1-BRK-G0</x:v>
      </x:c>
      <x:c r="D1510" s="9" t="str">
        <x:v>AR-HU-A-B-TECH-4-B1-BRK-G0</x:v>
      </x:c>
      <x:c r="E1510" s="9" t="str">
        <x:v>HU-A-B-TECH-4</x:v>
      </x:c>
      <x:c r="F1510" s="9" t="str">
        <x:v>HU-A-B</x:v>
      </x:c>
      <x:c r="G1510" s="9" t="str">
        <x:v>B1</x:v>
      </x:c>
      <x:c r="H1510" s="9" t="str">
        <x:v>BRK</x:v>
      </x:c>
      <x:c r="I1510" s="9" t="str">
        <x:v>PD16</x:v>
      </x:c>
      <x:c r="J1510" s="17" t="str">
        <x:v>Dissent, amendments and access log</x:v>
      </x:c>
      <x:c r="K1510" s="17" t="str">
        <x:v>Public archive</x:v>
      </x:c>
      <x:c r="L1510" s="17" t="str">
        <x:v>COURT-SEALED UNTIL COHORT RELEASE</x:v>
      </x:c>
      <x:c r="M1510" s="9" t="n">
        <x:v>0</x:v>
      </x:c>
      <x:c r="N1510" s="9" t="n">
        <x:v>0</x:v>
      </x:c>
      <x:c r="O1510" s="9" t="n">
        <x:v>0</x:v>
      </x:c>
      <x:c r="P1510" s="9" t="str">
        <x:v>HELD / UNRELEASED</x:v>
      </x:c>
      <x:c r="Q1510" s="9" t="n">
        <x:f>COUNTIFS($A$7:$A$2310,A1510)</x:f>
        <x:v>1</x:v>
      </x:c>
    </x:row>
    <x:row r="1511">
      <x:c r="A1511" s="9" t="str">
        <x:v>PD-AR-HU-A-B-TECH-2-B1-RCN-G0-PD01</x:v>
      </x:c>
      <x:c r="B1511" s="9" t="str">
        <x:v>PD-AR-HU-A-B-TECH-2-B1-RCN-G0</x:v>
      </x:c>
      <x:c r="C1511" s="9" t="str">
        <x:v>EV-AR-HU-A-B-TECH-2-B1-RCN-G0</x:v>
      </x:c>
      <x:c r="D1511" s="9" t="str">
        <x:v>AR-HU-A-B-TECH-2-B1-RCN-G0</x:v>
      </x:c>
      <x:c r="E1511" s="9" t="str">
        <x:v>HU-A-B-TECH-2</x:v>
      </x:c>
      <x:c r="F1511" s="9" t="str">
        <x:v>HU-A-B</x:v>
      </x:c>
      <x:c r="G1511" s="9" t="str">
        <x:v>B1</x:v>
      </x:c>
      <x:c r="H1511" s="9" t="str">
        <x:v>RCN</x:v>
      </x:c>
      <x:c r="I1511" s="9" t="str">
        <x:v>PD01</x:v>
      </x:c>
      <x:c r="J1511" s="17" t="str">
        <x:v>Experiment kernel</x:v>
      </x:c>
      <x:c r="K1511" s="17" t="str">
        <x:v>Public archive</x:v>
      </x:c>
      <x:c r="L1511" s="17" t="str">
        <x:v>COURT-SEALED UNTIL COHORT RELEASE</x:v>
      </x:c>
      <x:c r="M1511" s="9" t="n">
        <x:v>0</x:v>
      </x:c>
      <x:c r="N1511" s="9" t="n">
        <x:v>0</x:v>
      </x:c>
      <x:c r="O1511" s="9" t="n">
        <x:v>0</x:v>
      </x:c>
      <x:c r="P1511" s="9" t="str">
        <x:v>HELD / UNRELEASED</x:v>
      </x:c>
      <x:c r="Q1511" s="9" t="n">
        <x:f>COUNTIFS($A$7:$A$2310,A1511)</x:f>
        <x:v>1</x:v>
      </x:c>
    </x:row>
    <x:row r="1512">
      <x:c r="A1512" s="9" t="str">
        <x:v>PD-AR-HU-A-B-TECH-2-B1-RCN-G0-PD02</x:v>
      </x:c>
      <x:c r="B1512" s="9" t="str">
        <x:v>PD-AR-HU-A-B-TECH-2-B1-RCN-G0</x:v>
      </x:c>
      <x:c r="C1512" s="9" t="str">
        <x:v>EV-AR-HU-A-B-TECH-2-B1-RCN-G0</x:v>
      </x:c>
      <x:c r="D1512" s="9" t="str">
        <x:v>AR-HU-A-B-TECH-2-B1-RCN-G0</x:v>
      </x:c>
      <x:c r="E1512" s="9" t="str">
        <x:v>HU-A-B-TECH-2</x:v>
      </x:c>
      <x:c r="F1512" s="9" t="str">
        <x:v>HU-A-B</x:v>
      </x:c>
      <x:c r="G1512" s="9" t="str">
        <x:v>B1</x:v>
      </x:c>
      <x:c r="H1512" s="9" t="str">
        <x:v>RCN</x:v>
      </x:c>
      <x:c r="I1512" s="9" t="str">
        <x:v>PD02</x:v>
      </x:c>
      <x:c r="J1512" s="17" t="str">
        <x:v>Serial annex and title chain</x:v>
      </x:c>
      <x:c r="K1512" s="17" t="str">
        <x:v>Public archive</x:v>
      </x:c>
      <x:c r="L1512" s="17" t="str">
        <x:v>COURT-SEALED UNTIL COHORT RELEASE</x:v>
      </x:c>
      <x:c r="M1512" s="9" t="n">
        <x:v>0</x:v>
      </x:c>
      <x:c r="N1512" s="9" t="n">
        <x:v>0</x:v>
      </x:c>
      <x:c r="O1512" s="9" t="n">
        <x:v>0</x:v>
      </x:c>
      <x:c r="P1512" s="9" t="str">
        <x:v>HELD / UNRELEASED</x:v>
      </x:c>
      <x:c r="Q1512" s="9" t="n">
        <x:f>COUNTIFS($A$7:$A$2310,A1512)</x:f>
        <x:v>1</x:v>
      </x:c>
    </x:row>
    <x:row r="1513">
      <x:c r="A1513" s="9" t="str">
        <x:v>PD-AR-HU-A-B-TECH-2-B1-RCN-G0-PD03</x:v>
      </x:c>
      <x:c r="B1513" s="9" t="str">
        <x:v>PD-AR-HU-A-B-TECH-2-B1-RCN-G0</x:v>
      </x:c>
      <x:c r="C1513" s="9" t="str">
        <x:v>EV-AR-HU-A-B-TECH-2-B1-RCN-G0</x:v>
      </x:c>
      <x:c r="D1513" s="9" t="str">
        <x:v>AR-HU-A-B-TECH-2-B1-RCN-G0</x:v>
      </x:c>
      <x:c r="E1513" s="9" t="str">
        <x:v>HU-A-B-TECH-2</x:v>
      </x:c>
      <x:c r="F1513" s="9" t="str">
        <x:v>HU-A-B</x:v>
      </x:c>
      <x:c r="G1513" s="9" t="str">
        <x:v>B1</x:v>
      </x:c>
      <x:c r="H1513" s="9" t="str">
        <x:v>RCN</x:v>
      </x:c>
      <x:c r="I1513" s="9" t="str">
        <x:v>PD03</x:v>
      </x:c>
      <x:c r="J1513" s="17" t="str">
        <x:v>Configuration and as-built manifest</x:v>
      </x:c>
      <x:c r="K1513" s="17" t="str">
        <x:v>Artifact exchange</x:v>
      </x:c>
      <x:c r="L1513" s="17" t="str">
        <x:v>COURT-SEALED UNTIL COHORT RELEASE</x:v>
      </x:c>
      <x:c r="M1513" s="9" t="n">
        <x:v>0</x:v>
      </x:c>
      <x:c r="N1513" s="9" t="n">
        <x:v>0</x:v>
      </x:c>
      <x:c r="O1513" s="9" t="n">
        <x:v>0</x:v>
      </x:c>
      <x:c r="P1513" s="9" t="str">
        <x:v>HELD / UNRELEASED</x:v>
      </x:c>
      <x:c r="Q1513" s="9" t="n">
        <x:f>COUNTIFS($A$7:$A$2310,A1513)</x:f>
        <x:v>1</x:v>
      </x:c>
    </x:row>
    <x:row r="1514">
      <x:c r="A1514" s="9" t="str">
        <x:v>PD-AR-HU-A-B-TECH-2-B1-RCN-G0-PD04</x:v>
      </x:c>
      <x:c r="B1514" s="9" t="str">
        <x:v>PD-AR-HU-A-B-TECH-2-B1-RCN-G0</x:v>
      </x:c>
      <x:c r="C1514" s="9" t="str">
        <x:v>EV-AR-HU-A-B-TECH-2-B1-RCN-G0</x:v>
      </x:c>
      <x:c r="D1514" s="9" t="str">
        <x:v>AR-HU-A-B-TECH-2-B1-RCN-G0</x:v>
      </x:c>
      <x:c r="E1514" s="9" t="str">
        <x:v>HU-A-B-TECH-2</x:v>
      </x:c>
      <x:c r="F1514" s="9" t="str">
        <x:v>HU-A-B</x:v>
      </x:c>
      <x:c r="G1514" s="9" t="str">
        <x:v>B1</x:v>
      </x:c>
      <x:c r="H1514" s="9" t="str">
        <x:v>RCN</x:v>
      </x:c>
      <x:c r="I1514" s="9" t="str">
        <x:v>PD04</x:v>
      </x:c>
      <x:c r="J1514" s="17" t="str">
        <x:v>EOW and start certificate</x:v>
      </x:c>
      <x:c r="K1514" s="17" t="str">
        <x:v>Start registrar</x:v>
      </x:c>
      <x:c r="L1514" s="17" t="str">
        <x:v>COURT-SEALED UNTIL COHORT RELEASE</x:v>
      </x:c>
      <x:c r="M1514" s="9" t="n">
        <x:v>0</x:v>
      </x:c>
      <x:c r="N1514" s="9" t="n">
        <x:v>0</x:v>
      </x:c>
      <x:c r="O1514" s="9" t="n">
        <x:v>0</x:v>
      </x:c>
      <x:c r="P1514" s="9" t="str">
        <x:v>HELD / UNRELEASED</x:v>
      </x:c>
      <x:c r="Q1514" s="9" t="n">
        <x:f>COUNTIFS($A$7:$A$2310,A1514)</x:f>
        <x:v>1</x:v>
      </x:c>
    </x:row>
    <x:row r="1515">
      <x:c r="A1515" s="9" t="str">
        <x:v>PD-AR-HU-A-B-TECH-2-B1-RCN-G0-PD05</x:v>
      </x:c>
      <x:c r="B1515" s="9" t="str">
        <x:v>PD-AR-HU-A-B-TECH-2-B1-RCN-G0</x:v>
      </x:c>
      <x:c r="C1515" s="9" t="str">
        <x:v>EV-AR-HU-A-B-TECH-2-B1-RCN-G0</x:v>
      </x:c>
      <x:c r="D1515" s="9" t="str">
        <x:v>AR-HU-A-B-TECH-2-B1-RCN-G0</x:v>
      </x:c>
      <x:c r="E1515" s="9" t="str">
        <x:v>HU-A-B-TECH-2</x:v>
      </x:c>
      <x:c r="F1515" s="9" t="str">
        <x:v>HU-A-B</x:v>
      </x:c>
      <x:c r="G1515" s="9" t="str">
        <x:v>B1</x:v>
      </x:c>
      <x:c r="H1515" s="9" t="str">
        <x:v>RCN</x:v>
      </x:c>
      <x:c r="I1515" s="9" t="str">
        <x:v>PD05</x:v>
      </x:c>
      <x:c r="J1515" s="17" t="str">
        <x:v>Primary raw originals</x:v>
      </x:c>
      <x:c r="K1515" s="17" t="str">
        <x:v>Primary custody</x:v>
      </x:c>
      <x:c r="L1515" s="17" t="str">
        <x:v>COURT-SEALED UNTIL COHORT RELEASE</x:v>
      </x:c>
      <x:c r="M1515" s="9" t="n">
        <x:v>0</x:v>
      </x:c>
      <x:c r="N1515" s="9" t="n">
        <x:v>0</x:v>
      </x:c>
      <x:c r="O1515" s="9" t="n">
        <x:v>0</x:v>
      </x:c>
      <x:c r="P1515" s="9" t="str">
        <x:v>HELD / UNRELEASED</x:v>
      </x:c>
      <x:c r="Q1515" s="9" t="n">
        <x:f>COUNTIFS($A$7:$A$2310,A1515)</x:f>
        <x:v>1</x:v>
      </x:c>
    </x:row>
    <x:row r="1516">
      <x:c r="A1516" s="9" t="str">
        <x:v>PD-AR-HU-A-B-TECH-2-B1-RCN-G0-PD06</x:v>
      </x:c>
      <x:c r="B1516" s="9" t="str">
        <x:v>PD-AR-HU-A-B-TECH-2-B1-RCN-G0</x:v>
      </x:c>
      <x:c r="C1516" s="9" t="str">
        <x:v>EV-AR-HU-A-B-TECH-2-B1-RCN-G0</x:v>
      </x:c>
      <x:c r="D1516" s="9" t="str">
        <x:v>AR-HU-A-B-TECH-2-B1-RCN-G0</x:v>
      </x:c>
      <x:c r="E1516" s="9" t="str">
        <x:v>HU-A-B-TECH-2</x:v>
      </x:c>
      <x:c r="F1516" s="9" t="str">
        <x:v>HU-A-B</x:v>
      </x:c>
      <x:c r="G1516" s="9" t="str">
        <x:v>B1</x:v>
      </x:c>
      <x:c r="H1516" s="9" t="str">
        <x:v>RCN</x:v>
      </x:c>
      <x:c r="I1516" s="9" t="str">
        <x:v>PD06</x:v>
      </x:c>
      <x:c r="J1516" s="17" t="str">
        <x:v>Witness raw originals</x:v>
      </x:c>
      <x:c r="K1516" s="17" t="str">
        <x:v>Witness custody</x:v>
      </x:c>
      <x:c r="L1516" s="17" t="str">
        <x:v>COURT-SEALED UNTIL COHORT RELEASE</x:v>
      </x:c>
      <x:c r="M1516" s="9" t="n">
        <x:v>0</x:v>
      </x:c>
      <x:c r="N1516" s="9" t="n">
        <x:v>0</x:v>
      </x:c>
      <x:c r="O1516" s="9" t="n">
        <x:v>0</x:v>
      </x:c>
      <x:c r="P1516" s="9" t="str">
        <x:v>HELD / UNRELEASED</x:v>
      </x:c>
      <x:c r="Q1516" s="9" t="n">
        <x:f>COUNTIFS($A$7:$A$2310,A1516)</x:f>
        <x:v>1</x:v>
      </x:c>
    </x:row>
    <x:row r="1517">
      <x:c r="A1517" s="9" t="str">
        <x:v>PD-AR-HU-A-B-TECH-2-B1-RCN-G0-PD07</x:v>
      </x:c>
      <x:c r="B1517" s="9" t="str">
        <x:v>PD-AR-HU-A-B-TECH-2-B1-RCN-G0</x:v>
      </x:c>
      <x:c r="C1517" s="9" t="str">
        <x:v>EV-AR-HU-A-B-TECH-2-B1-RCN-G0</x:v>
      </x:c>
      <x:c r="D1517" s="9" t="str">
        <x:v>AR-HU-A-B-TECH-2-B1-RCN-G0</x:v>
      </x:c>
      <x:c r="E1517" s="9" t="str">
        <x:v>HU-A-B-TECH-2</x:v>
      </x:c>
      <x:c r="F1517" s="9" t="str">
        <x:v>HU-A-B</x:v>
      </x:c>
      <x:c r="G1517" s="9" t="str">
        <x:v>B1</x:v>
      </x:c>
      <x:c r="H1517" s="9" t="str">
        <x:v>RCN</x:v>
      </x:c>
      <x:c r="I1517" s="9" t="str">
        <x:v>PD07</x:v>
      </x:c>
      <x:c r="J1517" s="17" t="str">
        <x:v>Clock and environmental records</x:v>
      </x:c>
      <x:c r="K1517" s="17" t="str">
        <x:v>Boundary archive</x:v>
      </x:c>
      <x:c r="L1517" s="17" t="str">
        <x:v>COURT-SEALED UNTIL COHORT RELEASE</x:v>
      </x:c>
      <x:c r="M1517" s="9" t="n">
        <x:v>0</x:v>
      </x:c>
      <x:c r="N1517" s="9" t="n">
        <x:v>0</x:v>
      </x:c>
      <x:c r="O1517" s="9" t="n">
        <x:v>0</x:v>
      </x:c>
      <x:c r="P1517" s="9" t="str">
        <x:v>HELD / UNRELEASED</x:v>
      </x:c>
      <x:c r="Q1517" s="9" t="n">
        <x:f>COUNTIFS($A$7:$A$2310,A1517)</x:f>
        <x:v>1</x:v>
      </x:c>
    </x:row>
    <x:row r="1518">
      <x:c r="A1518" s="9" t="str">
        <x:v>PD-AR-HU-A-B-TECH-2-B1-RCN-G0-PD08</x:v>
      </x:c>
      <x:c r="B1518" s="9" t="str">
        <x:v>PD-AR-HU-A-B-TECH-2-B1-RCN-G0</x:v>
      </x:c>
      <x:c r="C1518" s="9" t="str">
        <x:v>EV-AR-HU-A-B-TECH-2-B1-RCN-G0</x:v>
      </x:c>
      <x:c r="D1518" s="9" t="str">
        <x:v>AR-HU-A-B-TECH-2-B1-RCN-G0</x:v>
      </x:c>
      <x:c r="E1518" s="9" t="str">
        <x:v>HU-A-B-TECH-2</x:v>
      </x:c>
      <x:c r="F1518" s="9" t="str">
        <x:v>HU-A-B</x:v>
      </x:c>
      <x:c r="G1518" s="9" t="str">
        <x:v>B1</x:v>
      </x:c>
      <x:c r="H1518" s="9" t="str">
        <x:v>RCN</x:v>
      </x:c>
      <x:c r="I1518" s="9" t="str">
        <x:v>PD08</x:v>
      </x:c>
      <x:c r="J1518" s="17" t="str">
        <x:v>Command and intervention log</x:v>
      </x:c>
      <x:c r="K1518" s="17" t="str">
        <x:v>Safety archive</x:v>
      </x:c>
      <x:c r="L1518" s="17" t="str">
        <x:v>COURT-SEALED UNTIL COHORT RELEASE</x:v>
      </x:c>
      <x:c r="M1518" s="9" t="n">
        <x:v>0</x:v>
      </x:c>
      <x:c r="N1518" s="9" t="n">
        <x:v>0</x:v>
      </x:c>
      <x:c r="O1518" s="9" t="n">
        <x:v>0</x:v>
      </x:c>
      <x:c r="P1518" s="9" t="str">
        <x:v>HELD / UNRELEASED</x:v>
      </x:c>
      <x:c r="Q1518" s="9" t="n">
        <x:f>COUNTIFS($A$7:$A$2310,A1518)</x:f>
        <x:v>1</x:v>
      </x:c>
    </x:row>
    <x:row r="1519">
      <x:c r="A1519" s="9" t="str">
        <x:v>PD-AR-HU-A-B-TECH-2-B1-RCN-G0-PD09</x:v>
      </x:c>
      <x:c r="B1519" s="9" t="str">
        <x:v>PD-AR-HU-A-B-TECH-2-B1-RCN-G0</x:v>
      </x:c>
      <x:c r="C1519" s="9" t="str">
        <x:v>EV-AR-HU-A-B-TECH-2-B1-RCN-G0</x:v>
      </x:c>
      <x:c r="D1519" s="9" t="str">
        <x:v>AR-HU-A-B-TECH-2-B1-RCN-G0</x:v>
      </x:c>
      <x:c r="E1519" s="9" t="str">
        <x:v>HU-A-B-TECH-2</x:v>
      </x:c>
      <x:c r="F1519" s="9" t="str">
        <x:v>HU-A-B</x:v>
      </x:c>
      <x:c r="G1519" s="9" t="str">
        <x:v>B1</x:v>
      </x:c>
      <x:c r="H1519" s="9" t="str">
        <x:v>RCN</x:v>
      </x:c>
      <x:c r="I1519" s="9" t="str">
        <x:v>PD09</x:v>
      </x:c>
      <x:c r="J1519" s="17" t="str">
        <x:v>Receiver denominator and service ledger</x:v>
      </x:c>
      <x:c r="K1519" s="17" t="str">
        <x:v>Receiver archive</x:v>
      </x:c>
      <x:c r="L1519" s="17" t="str">
        <x:v>COURT-SEALED UNTIL COHORT RELEASE</x:v>
      </x:c>
      <x:c r="M1519" s="9" t="n">
        <x:v>0</x:v>
      </x:c>
      <x:c r="N1519" s="9" t="n">
        <x:v>0</x:v>
      </x:c>
      <x:c r="O1519" s="9" t="n">
        <x:v>0</x:v>
      </x:c>
      <x:c r="P1519" s="9" t="str">
        <x:v>HELD / UNRELEASED</x:v>
      </x:c>
      <x:c r="Q1519" s="9" t="n">
        <x:f>COUNTIFS($A$7:$A$2310,A1519)</x:f>
        <x:v>1</x:v>
      </x:c>
    </x:row>
    <x:row r="1520">
      <x:c r="A1520" s="9" t="str">
        <x:v>PD-AR-HU-A-B-TECH-2-B1-RCN-G0-PD10</x:v>
      </x:c>
      <x:c r="B1520" s="9" t="str">
        <x:v>PD-AR-HU-A-B-TECH-2-B1-RCN-G0</x:v>
      </x:c>
      <x:c r="C1520" s="9" t="str">
        <x:v>EV-AR-HU-A-B-TECH-2-B1-RCN-G0</x:v>
      </x:c>
      <x:c r="D1520" s="9" t="str">
        <x:v>AR-HU-A-B-TECH-2-B1-RCN-G0</x:v>
      </x:c>
      <x:c r="E1520" s="9" t="str">
        <x:v>HU-A-B-TECH-2</x:v>
      </x:c>
      <x:c r="F1520" s="9" t="str">
        <x:v>HU-A-B</x:v>
      </x:c>
      <x:c r="G1520" s="9" t="str">
        <x:v>B1</x:v>
      </x:c>
      <x:c r="H1520" s="9" t="str">
        <x:v>RCN</x:v>
      </x:c>
      <x:c r="I1520" s="9" t="str">
        <x:v>PD10</x:v>
      </x:c>
      <x:c r="J1520" s="17" t="str">
        <x:v>Calibration and uncertainty record</x:v>
      </x:c>
      <x:c r="K1520" s="17" t="str">
        <x:v>Metrology archive</x:v>
      </x:c>
      <x:c r="L1520" s="17" t="str">
        <x:v>COURT-SEALED UNTIL COHORT RELEASE</x:v>
      </x:c>
      <x:c r="M1520" s="9" t="n">
        <x:v>0</x:v>
      </x:c>
      <x:c r="N1520" s="9" t="n">
        <x:v>0</x:v>
      </x:c>
      <x:c r="O1520" s="9" t="n">
        <x:v>0</x:v>
      </x:c>
      <x:c r="P1520" s="9" t="str">
        <x:v>HELD / UNRELEASED</x:v>
      </x:c>
      <x:c r="Q1520" s="9" t="n">
        <x:f>COUNTIFS($A$7:$A$2310,A1520)</x:f>
        <x:v>1</x:v>
      </x:c>
    </x:row>
    <x:row r="1521">
      <x:c r="A1521" s="9" t="str">
        <x:v>PD-AR-HU-A-B-TECH-2-B1-RCN-G0-PD11</x:v>
      </x:c>
      <x:c r="B1521" s="9" t="str">
        <x:v>PD-AR-HU-A-B-TECH-2-B1-RCN-G0</x:v>
      </x:c>
      <x:c r="C1521" s="9" t="str">
        <x:v>EV-AR-HU-A-B-TECH-2-B1-RCN-G0</x:v>
      </x:c>
      <x:c r="D1521" s="9" t="str">
        <x:v>AR-HU-A-B-TECH-2-B1-RCN-G0</x:v>
      </x:c>
      <x:c r="E1521" s="9" t="str">
        <x:v>HU-A-B-TECH-2</x:v>
      </x:c>
      <x:c r="F1521" s="9" t="str">
        <x:v>HU-A-B</x:v>
      </x:c>
      <x:c r="G1521" s="9" t="str">
        <x:v>B1</x:v>
      </x:c>
      <x:c r="H1521" s="9" t="str">
        <x:v>RCN</x:v>
      </x:c>
      <x:c r="I1521" s="9" t="str">
        <x:v>PD11</x:v>
      </x:c>
      <x:c r="J1521" s="17" t="str">
        <x:v>Invalidity petition and opinion</x:v>
      </x:c>
      <x:c r="K1521" s="17" t="str">
        <x:v>Invalidity court</x:v>
      </x:c>
      <x:c r="L1521" s="17" t="str">
        <x:v>COURT-SEALED UNTIL COHORT RELEASE</x:v>
      </x:c>
      <x:c r="M1521" s="9" t="n">
        <x:v>0</x:v>
      </x:c>
      <x:c r="N1521" s="9" t="n">
        <x:v>0</x:v>
      </x:c>
      <x:c r="O1521" s="9" t="n">
        <x:v>0</x:v>
      </x:c>
      <x:c r="P1521" s="9" t="str">
        <x:v>HELD / UNRELEASED</x:v>
      </x:c>
      <x:c r="Q1521" s="9" t="n">
        <x:f>COUNTIFS($A$7:$A$2310,A1521)</x:f>
        <x:v>1</x:v>
      </x:c>
    </x:row>
    <x:row r="1522">
      <x:c r="A1522" s="9" t="str">
        <x:v>PD-AR-HU-A-B-TECH-2-B1-RCN-G0-PD12</x:v>
      </x:c>
      <x:c r="B1522" s="9" t="str">
        <x:v>PD-AR-HU-A-B-TECH-2-B1-RCN-G0</x:v>
      </x:c>
      <x:c r="C1522" s="9" t="str">
        <x:v>EV-AR-HU-A-B-TECH-2-B1-RCN-G0</x:v>
      </x:c>
      <x:c r="D1522" s="9" t="str">
        <x:v>AR-HU-A-B-TECH-2-B1-RCN-G0</x:v>
      </x:c>
      <x:c r="E1522" s="9" t="str">
        <x:v>HU-A-B-TECH-2</x:v>
      </x:c>
      <x:c r="F1522" s="9" t="str">
        <x:v>HU-A-B</x:v>
      </x:c>
      <x:c r="G1522" s="9" t="str">
        <x:v>B1</x:v>
      </x:c>
      <x:c r="H1522" s="9" t="str">
        <x:v>RCN</x:v>
      </x:c>
      <x:c r="I1522" s="9" t="str">
        <x:v>PD12</x:v>
      </x:c>
      <x:c r="J1522" s="17" t="str">
        <x:v>Observation acceptance and replay</x:v>
      </x:c>
      <x:c r="K1522" s="17" t="str">
        <x:v>Observation court</x:v>
      </x:c>
      <x:c r="L1522" s="17" t="str">
        <x:v>COURT-SEALED UNTIL COHORT RELEASE</x:v>
      </x:c>
      <x:c r="M1522" s="9" t="n">
        <x:v>0</x:v>
      </x:c>
      <x:c r="N1522" s="9" t="n">
        <x:v>0</x:v>
      </x:c>
      <x:c r="O1522" s="9" t="n">
        <x:v>0</x:v>
      </x:c>
      <x:c r="P1522" s="9" t="str">
        <x:v>HELD / UNRELEASED</x:v>
      </x:c>
      <x:c r="Q1522" s="9" t="n">
        <x:f>COUNTIFS($A$7:$A$2310,A1522)</x:f>
        <x:v>1</x:v>
      </x:c>
    </x:row>
    <x:row r="1523">
      <x:c r="A1523" s="9" t="str">
        <x:v>PD-AR-HU-A-B-TECH-2-B1-RCN-G0-PD13</x:v>
      </x:c>
      <x:c r="B1523" s="9" t="str">
        <x:v>PD-AR-HU-A-B-TECH-2-B1-RCN-G0</x:v>
      </x:c>
      <x:c r="C1523" s="9" t="str">
        <x:v>EV-AR-HU-A-B-TECH-2-B1-RCN-G0</x:v>
      </x:c>
      <x:c r="D1523" s="9" t="str">
        <x:v>AR-HU-A-B-TECH-2-B1-RCN-G0</x:v>
      </x:c>
      <x:c r="E1523" s="9" t="str">
        <x:v>HU-A-B-TECH-2</x:v>
      </x:c>
      <x:c r="F1523" s="9" t="str">
        <x:v>HU-A-B</x:v>
      </x:c>
      <x:c r="G1523" s="9" t="str">
        <x:v>B1</x:v>
      </x:c>
      <x:c r="H1523" s="9" t="str">
        <x:v>RCN</x:v>
      </x:c>
      <x:c r="I1523" s="9" t="str">
        <x:v>PD13</x:v>
      </x:c>
      <x:c r="J1523" s="17" t="str">
        <x:v>Role judgment</x:v>
      </x:c>
      <x:c r="K1523" s="17" t="str">
        <x:v>Role court</x:v>
      </x:c>
      <x:c r="L1523" s="17" t="str">
        <x:v>COURT-SEALED UNTIL COHORT RELEASE</x:v>
      </x:c>
      <x:c r="M1523" s="9" t="n">
        <x:v>0</x:v>
      </x:c>
      <x:c r="N1523" s="9" t="n">
        <x:v>0</x:v>
      </x:c>
      <x:c r="O1523" s="9" t="n">
        <x:v>0</x:v>
      </x:c>
      <x:c r="P1523" s="9" t="str">
        <x:v>HELD / UNRELEASED</x:v>
      </x:c>
      <x:c r="Q1523" s="9" t="n">
        <x:f>COUNTIFS($A$7:$A$2310,A1523)</x:f>
        <x:v>1</x:v>
      </x:c>
    </x:row>
    <x:row r="1524">
      <x:c r="A1524" s="9" t="str">
        <x:v>PD-AR-HU-A-B-TECH-2-B1-RCN-G0-PD14</x:v>
      </x:c>
      <x:c r="B1524" s="9" t="str">
        <x:v>PD-AR-HU-A-B-TECH-2-B1-RCN-G0</x:v>
      </x:c>
      <x:c r="C1524" s="9" t="str">
        <x:v>EV-AR-HU-A-B-TECH-2-B1-RCN-G0</x:v>
      </x:c>
      <x:c r="D1524" s="9" t="str">
        <x:v>AR-HU-A-B-TECH-2-B1-RCN-G0</x:v>
      </x:c>
      <x:c r="E1524" s="9" t="str">
        <x:v>HU-A-B-TECH-2</x:v>
      </x:c>
      <x:c r="F1524" s="9" t="str">
        <x:v>HU-A-B</x:v>
      </x:c>
      <x:c r="G1524" s="9" t="str">
        <x:v>B1</x:v>
      </x:c>
      <x:c r="H1524" s="9" t="str">
        <x:v>RCN</x:v>
      </x:c>
      <x:c r="I1524" s="9" t="str">
        <x:v>PD14</x:v>
      </x:c>
      <x:c r="J1524" s="17" t="str">
        <x:v>Break and residual account</x:v>
      </x:c>
      <x:c r="K1524" s="17" t="str">
        <x:v>Residual authority</x:v>
      </x:c>
      <x:c r="L1524" s="17" t="str">
        <x:v>COURT-SEALED UNTIL COHORT RELEASE</x:v>
      </x:c>
      <x:c r="M1524" s="9" t="n">
        <x:v>0</x:v>
      </x:c>
      <x:c r="N1524" s="9" t="n">
        <x:v>0</x:v>
      </x:c>
      <x:c r="O1524" s="9" t="n">
        <x:v>0</x:v>
      </x:c>
      <x:c r="P1524" s="9" t="str">
        <x:v>HELD / UNRELEASED</x:v>
      </x:c>
      <x:c r="Q1524" s="9" t="n">
        <x:f>COUNTIFS($A$7:$A$2310,A1524)</x:f>
        <x:v>1</x:v>
      </x:c>
    </x:row>
    <x:row r="1525">
      <x:c r="A1525" s="9" t="str">
        <x:v>PD-AR-HU-A-B-TECH-2-B1-RCN-G0-PD15</x:v>
      </x:c>
      <x:c r="B1525" s="9" t="str">
        <x:v>PD-AR-HU-A-B-TECH-2-B1-RCN-G0</x:v>
      </x:c>
      <x:c r="C1525" s="9" t="str">
        <x:v>EV-AR-HU-A-B-TECH-2-B1-RCN-G0</x:v>
      </x:c>
      <x:c r="D1525" s="9" t="str">
        <x:v>AR-HU-A-B-TECH-2-B1-RCN-G0</x:v>
      </x:c>
      <x:c r="E1525" s="9" t="str">
        <x:v>HU-A-B-TECH-2</x:v>
      </x:c>
      <x:c r="F1525" s="9" t="str">
        <x:v>HU-A-B</x:v>
      </x:c>
      <x:c r="G1525" s="9" t="str">
        <x:v>B1</x:v>
      </x:c>
      <x:c r="H1525" s="9" t="str">
        <x:v>RCN</x:v>
      </x:c>
      <x:c r="I1525" s="9" t="str">
        <x:v>PD15</x:v>
      </x:c>
      <x:c r="J1525" s="17" t="str">
        <x:v>Reconstruction ancestry and replay</x:v>
      </x:c>
      <x:c r="K1525" s="17" t="str">
        <x:v>Reconstruction court</x:v>
      </x:c>
      <x:c r="L1525" s="17" t="str">
        <x:v>COURT-SEALED UNTIL COHORT RELEASE</x:v>
      </x:c>
      <x:c r="M1525" s="9" t="n">
        <x:v>0</x:v>
      </x:c>
      <x:c r="N1525" s="9" t="n">
        <x:v>0</x:v>
      </x:c>
      <x:c r="O1525" s="9" t="n">
        <x:v>0</x:v>
      </x:c>
      <x:c r="P1525" s="9" t="str">
        <x:v>HELD / UNRELEASED</x:v>
      </x:c>
      <x:c r="Q1525" s="9" t="n">
        <x:f>COUNTIFS($A$7:$A$2310,A1525)</x:f>
        <x:v>1</x:v>
      </x:c>
    </x:row>
    <x:row r="1526">
      <x:c r="A1526" s="9" t="str">
        <x:v>PD-AR-HU-A-B-TECH-2-B1-RCN-G0-PD16</x:v>
      </x:c>
      <x:c r="B1526" s="9" t="str">
        <x:v>PD-AR-HU-A-B-TECH-2-B1-RCN-G0</x:v>
      </x:c>
      <x:c r="C1526" s="9" t="str">
        <x:v>EV-AR-HU-A-B-TECH-2-B1-RCN-G0</x:v>
      </x:c>
      <x:c r="D1526" s="9" t="str">
        <x:v>AR-HU-A-B-TECH-2-B1-RCN-G0</x:v>
      </x:c>
      <x:c r="E1526" s="9" t="str">
        <x:v>HU-A-B-TECH-2</x:v>
      </x:c>
      <x:c r="F1526" s="9" t="str">
        <x:v>HU-A-B</x:v>
      </x:c>
      <x:c r="G1526" s="9" t="str">
        <x:v>B1</x:v>
      </x:c>
      <x:c r="H1526" s="9" t="str">
        <x:v>RCN</x:v>
      </x:c>
      <x:c r="I1526" s="9" t="str">
        <x:v>PD16</x:v>
      </x:c>
      <x:c r="J1526" s="17" t="str">
        <x:v>Dissent, amendments and access log</x:v>
      </x:c>
      <x:c r="K1526" s="17" t="str">
        <x:v>Public archive</x:v>
      </x:c>
      <x:c r="L1526" s="17" t="str">
        <x:v>COURT-SEALED UNTIL COHORT RELEASE</x:v>
      </x:c>
      <x:c r="M1526" s="9" t="n">
        <x:v>0</x:v>
      </x:c>
      <x:c r="N1526" s="9" t="n">
        <x:v>0</x:v>
      </x:c>
      <x:c r="O1526" s="9" t="n">
        <x:v>0</x:v>
      </x:c>
      <x:c r="P1526" s="9" t="str">
        <x:v>HELD / UNRELEASED</x:v>
      </x:c>
      <x:c r="Q1526" s="9" t="n">
        <x:f>COUNTIFS($A$7:$A$2310,A1526)</x:f>
        <x:v>1</x:v>
      </x:c>
    </x:row>
    <x:row r="1527">
      <x:c r="A1527" s="9" t="str">
        <x:v>PD-AR-RT-B-C-TECH-2-B2-BRK-G0-PD01</x:v>
      </x:c>
      <x:c r="B1527" s="9" t="str">
        <x:v>PD-AR-RT-B-C-TECH-2-B2-BRK-G0</x:v>
      </x:c>
      <x:c r="C1527" s="9" t="str">
        <x:v>EV-AR-RT-B-C-TECH-2-B2-BRK-G0</x:v>
      </x:c>
      <x:c r="D1527" s="9" t="str">
        <x:v>AR-RT-B-C-TECH-2-B2-BRK-G0</x:v>
      </x:c>
      <x:c r="E1527" s="9" t="str">
        <x:v>RT-B-C-TECH-2</x:v>
      </x:c>
      <x:c r="F1527" s="9" t="str">
        <x:v>RT-B-C</x:v>
      </x:c>
      <x:c r="G1527" s="9" t="str">
        <x:v>B2</x:v>
      </x:c>
      <x:c r="H1527" s="9" t="str">
        <x:v>BRK</x:v>
      </x:c>
      <x:c r="I1527" s="9" t="str">
        <x:v>PD01</x:v>
      </x:c>
      <x:c r="J1527" s="17" t="str">
        <x:v>Experiment kernel</x:v>
      </x:c>
      <x:c r="K1527" s="17" t="str">
        <x:v>Public archive</x:v>
      </x:c>
      <x:c r="L1527" s="17" t="str">
        <x:v>COURT-SEALED UNTIL COHORT RELEASE</x:v>
      </x:c>
      <x:c r="M1527" s="9" t="n">
        <x:v>0</x:v>
      </x:c>
      <x:c r="N1527" s="9" t="n">
        <x:v>0</x:v>
      </x:c>
      <x:c r="O1527" s="9" t="n">
        <x:v>0</x:v>
      </x:c>
      <x:c r="P1527" s="9" t="str">
        <x:v>HELD / UNRELEASED</x:v>
      </x:c>
      <x:c r="Q1527" s="9" t="n">
        <x:f>COUNTIFS($A$7:$A$2310,A1527)</x:f>
        <x:v>1</x:v>
      </x:c>
    </x:row>
    <x:row r="1528">
      <x:c r="A1528" s="9" t="str">
        <x:v>PD-AR-RT-B-C-TECH-2-B2-BRK-G0-PD02</x:v>
      </x:c>
      <x:c r="B1528" s="9" t="str">
        <x:v>PD-AR-RT-B-C-TECH-2-B2-BRK-G0</x:v>
      </x:c>
      <x:c r="C1528" s="9" t="str">
        <x:v>EV-AR-RT-B-C-TECH-2-B2-BRK-G0</x:v>
      </x:c>
      <x:c r="D1528" s="9" t="str">
        <x:v>AR-RT-B-C-TECH-2-B2-BRK-G0</x:v>
      </x:c>
      <x:c r="E1528" s="9" t="str">
        <x:v>RT-B-C-TECH-2</x:v>
      </x:c>
      <x:c r="F1528" s="9" t="str">
        <x:v>RT-B-C</x:v>
      </x:c>
      <x:c r="G1528" s="9" t="str">
        <x:v>B2</x:v>
      </x:c>
      <x:c r="H1528" s="9" t="str">
        <x:v>BRK</x:v>
      </x:c>
      <x:c r="I1528" s="9" t="str">
        <x:v>PD02</x:v>
      </x:c>
      <x:c r="J1528" s="17" t="str">
        <x:v>Serial annex and title chain</x:v>
      </x:c>
      <x:c r="K1528" s="17" t="str">
        <x:v>Public archive</x:v>
      </x:c>
      <x:c r="L1528" s="17" t="str">
        <x:v>COURT-SEALED UNTIL COHORT RELEASE</x:v>
      </x:c>
      <x:c r="M1528" s="9" t="n">
        <x:v>0</x:v>
      </x:c>
      <x:c r="N1528" s="9" t="n">
        <x:v>0</x:v>
      </x:c>
      <x:c r="O1528" s="9" t="n">
        <x:v>0</x:v>
      </x:c>
      <x:c r="P1528" s="9" t="str">
        <x:v>HELD / UNRELEASED</x:v>
      </x:c>
      <x:c r="Q1528" s="9" t="n">
        <x:f>COUNTIFS($A$7:$A$2310,A1528)</x:f>
        <x:v>1</x:v>
      </x:c>
    </x:row>
    <x:row r="1529">
      <x:c r="A1529" s="9" t="str">
        <x:v>PD-AR-RT-B-C-TECH-2-B2-BRK-G0-PD03</x:v>
      </x:c>
      <x:c r="B1529" s="9" t="str">
        <x:v>PD-AR-RT-B-C-TECH-2-B2-BRK-G0</x:v>
      </x:c>
      <x:c r="C1529" s="9" t="str">
        <x:v>EV-AR-RT-B-C-TECH-2-B2-BRK-G0</x:v>
      </x:c>
      <x:c r="D1529" s="9" t="str">
        <x:v>AR-RT-B-C-TECH-2-B2-BRK-G0</x:v>
      </x:c>
      <x:c r="E1529" s="9" t="str">
        <x:v>RT-B-C-TECH-2</x:v>
      </x:c>
      <x:c r="F1529" s="9" t="str">
        <x:v>RT-B-C</x:v>
      </x:c>
      <x:c r="G1529" s="9" t="str">
        <x:v>B2</x:v>
      </x:c>
      <x:c r="H1529" s="9" t="str">
        <x:v>BRK</x:v>
      </x:c>
      <x:c r="I1529" s="9" t="str">
        <x:v>PD03</x:v>
      </x:c>
      <x:c r="J1529" s="17" t="str">
        <x:v>Configuration and as-built manifest</x:v>
      </x:c>
      <x:c r="K1529" s="17" t="str">
        <x:v>Artifact exchange</x:v>
      </x:c>
      <x:c r="L1529" s="17" t="str">
        <x:v>COURT-SEALED UNTIL COHORT RELEASE</x:v>
      </x:c>
      <x:c r="M1529" s="9" t="n">
        <x:v>0</x:v>
      </x:c>
      <x:c r="N1529" s="9" t="n">
        <x:v>0</x:v>
      </x:c>
      <x:c r="O1529" s="9" t="n">
        <x:v>0</x:v>
      </x:c>
      <x:c r="P1529" s="9" t="str">
        <x:v>HELD / UNRELEASED</x:v>
      </x:c>
      <x:c r="Q1529" s="9" t="n">
        <x:f>COUNTIFS($A$7:$A$2310,A1529)</x:f>
        <x:v>1</x:v>
      </x:c>
    </x:row>
    <x:row r="1530">
      <x:c r="A1530" s="9" t="str">
        <x:v>PD-AR-RT-B-C-TECH-2-B2-BRK-G0-PD04</x:v>
      </x:c>
      <x:c r="B1530" s="9" t="str">
        <x:v>PD-AR-RT-B-C-TECH-2-B2-BRK-G0</x:v>
      </x:c>
      <x:c r="C1530" s="9" t="str">
        <x:v>EV-AR-RT-B-C-TECH-2-B2-BRK-G0</x:v>
      </x:c>
      <x:c r="D1530" s="9" t="str">
        <x:v>AR-RT-B-C-TECH-2-B2-BRK-G0</x:v>
      </x:c>
      <x:c r="E1530" s="9" t="str">
        <x:v>RT-B-C-TECH-2</x:v>
      </x:c>
      <x:c r="F1530" s="9" t="str">
        <x:v>RT-B-C</x:v>
      </x:c>
      <x:c r="G1530" s="9" t="str">
        <x:v>B2</x:v>
      </x:c>
      <x:c r="H1530" s="9" t="str">
        <x:v>BRK</x:v>
      </x:c>
      <x:c r="I1530" s="9" t="str">
        <x:v>PD04</x:v>
      </x:c>
      <x:c r="J1530" s="17" t="str">
        <x:v>EOW and start certificate</x:v>
      </x:c>
      <x:c r="K1530" s="17" t="str">
        <x:v>Start registrar</x:v>
      </x:c>
      <x:c r="L1530" s="17" t="str">
        <x:v>COURT-SEALED UNTIL COHORT RELEASE</x:v>
      </x:c>
      <x:c r="M1530" s="9" t="n">
        <x:v>0</x:v>
      </x:c>
      <x:c r="N1530" s="9" t="n">
        <x:v>0</x:v>
      </x:c>
      <x:c r="O1530" s="9" t="n">
        <x:v>0</x:v>
      </x:c>
      <x:c r="P1530" s="9" t="str">
        <x:v>HELD / UNRELEASED</x:v>
      </x:c>
      <x:c r="Q1530" s="9" t="n">
        <x:f>COUNTIFS($A$7:$A$2310,A1530)</x:f>
        <x:v>1</x:v>
      </x:c>
    </x:row>
    <x:row r="1531">
      <x:c r="A1531" s="9" t="str">
        <x:v>PD-AR-RT-B-C-TECH-2-B2-BRK-G0-PD05</x:v>
      </x:c>
      <x:c r="B1531" s="9" t="str">
        <x:v>PD-AR-RT-B-C-TECH-2-B2-BRK-G0</x:v>
      </x:c>
      <x:c r="C1531" s="9" t="str">
        <x:v>EV-AR-RT-B-C-TECH-2-B2-BRK-G0</x:v>
      </x:c>
      <x:c r="D1531" s="9" t="str">
        <x:v>AR-RT-B-C-TECH-2-B2-BRK-G0</x:v>
      </x:c>
      <x:c r="E1531" s="9" t="str">
        <x:v>RT-B-C-TECH-2</x:v>
      </x:c>
      <x:c r="F1531" s="9" t="str">
        <x:v>RT-B-C</x:v>
      </x:c>
      <x:c r="G1531" s="9" t="str">
        <x:v>B2</x:v>
      </x:c>
      <x:c r="H1531" s="9" t="str">
        <x:v>BRK</x:v>
      </x:c>
      <x:c r="I1531" s="9" t="str">
        <x:v>PD05</x:v>
      </x:c>
      <x:c r="J1531" s="17" t="str">
        <x:v>Primary raw originals</x:v>
      </x:c>
      <x:c r="K1531" s="17" t="str">
        <x:v>Primary custody</x:v>
      </x:c>
      <x:c r="L1531" s="17" t="str">
        <x:v>COURT-SEALED UNTIL COHORT RELEASE</x:v>
      </x:c>
      <x:c r="M1531" s="9" t="n">
        <x:v>0</x:v>
      </x:c>
      <x:c r="N1531" s="9" t="n">
        <x:v>0</x:v>
      </x:c>
      <x:c r="O1531" s="9" t="n">
        <x:v>0</x:v>
      </x:c>
      <x:c r="P1531" s="9" t="str">
        <x:v>HELD / UNRELEASED</x:v>
      </x:c>
      <x:c r="Q1531" s="9" t="n">
        <x:f>COUNTIFS($A$7:$A$2310,A1531)</x:f>
        <x:v>1</x:v>
      </x:c>
    </x:row>
    <x:row r="1532">
      <x:c r="A1532" s="9" t="str">
        <x:v>PD-AR-RT-B-C-TECH-2-B2-BRK-G0-PD06</x:v>
      </x:c>
      <x:c r="B1532" s="9" t="str">
        <x:v>PD-AR-RT-B-C-TECH-2-B2-BRK-G0</x:v>
      </x:c>
      <x:c r="C1532" s="9" t="str">
        <x:v>EV-AR-RT-B-C-TECH-2-B2-BRK-G0</x:v>
      </x:c>
      <x:c r="D1532" s="9" t="str">
        <x:v>AR-RT-B-C-TECH-2-B2-BRK-G0</x:v>
      </x:c>
      <x:c r="E1532" s="9" t="str">
        <x:v>RT-B-C-TECH-2</x:v>
      </x:c>
      <x:c r="F1532" s="9" t="str">
        <x:v>RT-B-C</x:v>
      </x:c>
      <x:c r="G1532" s="9" t="str">
        <x:v>B2</x:v>
      </x:c>
      <x:c r="H1532" s="9" t="str">
        <x:v>BRK</x:v>
      </x:c>
      <x:c r="I1532" s="9" t="str">
        <x:v>PD06</x:v>
      </x:c>
      <x:c r="J1532" s="17" t="str">
        <x:v>Witness raw originals</x:v>
      </x:c>
      <x:c r="K1532" s="17" t="str">
        <x:v>Witness custody</x:v>
      </x:c>
      <x:c r="L1532" s="17" t="str">
        <x:v>COURT-SEALED UNTIL COHORT RELEASE</x:v>
      </x:c>
      <x:c r="M1532" s="9" t="n">
        <x:v>0</x:v>
      </x:c>
      <x:c r="N1532" s="9" t="n">
        <x:v>0</x:v>
      </x:c>
      <x:c r="O1532" s="9" t="n">
        <x:v>0</x:v>
      </x:c>
      <x:c r="P1532" s="9" t="str">
        <x:v>HELD / UNRELEASED</x:v>
      </x:c>
      <x:c r="Q1532" s="9" t="n">
        <x:f>COUNTIFS($A$7:$A$2310,A1532)</x:f>
        <x:v>1</x:v>
      </x:c>
    </x:row>
    <x:row r="1533">
      <x:c r="A1533" s="9" t="str">
        <x:v>PD-AR-RT-B-C-TECH-2-B2-BRK-G0-PD07</x:v>
      </x:c>
      <x:c r="B1533" s="9" t="str">
        <x:v>PD-AR-RT-B-C-TECH-2-B2-BRK-G0</x:v>
      </x:c>
      <x:c r="C1533" s="9" t="str">
        <x:v>EV-AR-RT-B-C-TECH-2-B2-BRK-G0</x:v>
      </x:c>
      <x:c r="D1533" s="9" t="str">
        <x:v>AR-RT-B-C-TECH-2-B2-BRK-G0</x:v>
      </x:c>
      <x:c r="E1533" s="9" t="str">
        <x:v>RT-B-C-TECH-2</x:v>
      </x:c>
      <x:c r="F1533" s="9" t="str">
        <x:v>RT-B-C</x:v>
      </x:c>
      <x:c r="G1533" s="9" t="str">
        <x:v>B2</x:v>
      </x:c>
      <x:c r="H1533" s="9" t="str">
        <x:v>BRK</x:v>
      </x:c>
      <x:c r="I1533" s="9" t="str">
        <x:v>PD07</x:v>
      </x:c>
      <x:c r="J1533" s="17" t="str">
        <x:v>Clock and environmental records</x:v>
      </x:c>
      <x:c r="K1533" s="17" t="str">
        <x:v>Boundary archive</x:v>
      </x:c>
      <x:c r="L1533" s="17" t="str">
        <x:v>COURT-SEALED UNTIL COHORT RELEASE</x:v>
      </x:c>
      <x:c r="M1533" s="9" t="n">
        <x:v>0</x:v>
      </x:c>
      <x:c r="N1533" s="9" t="n">
        <x:v>0</x:v>
      </x:c>
      <x:c r="O1533" s="9" t="n">
        <x:v>0</x:v>
      </x:c>
      <x:c r="P1533" s="9" t="str">
        <x:v>HELD / UNRELEASED</x:v>
      </x:c>
      <x:c r="Q1533" s="9" t="n">
        <x:f>COUNTIFS($A$7:$A$2310,A1533)</x:f>
        <x:v>1</x:v>
      </x:c>
    </x:row>
    <x:row r="1534">
      <x:c r="A1534" s="9" t="str">
        <x:v>PD-AR-RT-B-C-TECH-2-B2-BRK-G0-PD08</x:v>
      </x:c>
      <x:c r="B1534" s="9" t="str">
        <x:v>PD-AR-RT-B-C-TECH-2-B2-BRK-G0</x:v>
      </x:c>
      <x:c r="C1534" s="9" t="str">
        <x:v>EV-AR-RT-B-C-TECH-2-B2-BRK-G0</x:v>
      </x:c>
      <x:c r="D1534" s="9" t="str">
        <x:v>AR-RT-B-C-TECH-2-B2-BRK-G0</x:v>
      </x:c>
      <x:c r="E1534" s="9" t="str">
        <x:v>RT-B-C-TECH-2</x:v>
      </x:c>
      <x:c r="F1534" s="9" t="str">
        <x:v>RT-B-C</x:v>
      </x:c>
      <x:c r="G1534" s="9" t="str">
        <x:v>B2</x:v>
      </x:c>
      <x:c r="H1534" s="9" t="str">
        <x:v>BRK</x:v>
      </x:c>
      <x:c r="I1534" s="9" t="str">
        <x:v>PD08</x:v>
      </x:c>
      <x:c r="J1534" s="17" t="str">
        <x:v>Command and intervention log</x:v>
      </x:c>
      <x:c r="K1534" s="17" t="str">
        <x:v>Safety archive</x:v>
      </x:c>
      <x:c r="L1534" s="17" t="str">
        <x:v>COURT-SEALED UNTIL COHORT RELEASE</x:v>
      </x:c>
      <x:c r="M1534" s="9" t="n">
        <x:v>0</x:v>
      </x:c>
      <x:c r="N1534" s="9" t="n">
        <x:v>0</x:v>
      </x:c>
      <x:c r="O1534" s="9" t="n">
        <x:v>0</x:v>
      </x:c>
      <x:c r="P1534" s="9" t="str">
        <x:v>HELD / UNRELEASED</x:v>
      </x:c>
      <x:c r="Q1534" s="9" t="n">
        <x:f>COUNTIFS($A$7:$A$2310,A1534)</x:f>
        <x:v>1</x:v>
      </x:c>
    </x:row>
    <x:row r="1535">
      <x:c r="A1535" s="9" t="str">
        <x:v>PD-AR-RT-B-C-TECH-2-B2-BRK-G0-PD09</x:v>
      </x:c>
      <x:c r="B1535" s="9" t="str">
        <x:v>PD-AR-RT-B-C-TECH-2-B2-BRK-G0</x:v>
      </x:c>
      <x:c r="C1535" s="9" t="str">
        <x:v>EV-AR-RT-B-C-TECH-2-B2-BRK-G0</x:v>
      </x:c>
      <x:c r="D1535" s="9" t="str">
        <x:v>AR-RT-B-C-TECH-2-B2-BRK-G0</x:v>
      </x:c>
      <x:c r="E1535" s="9" t="str">
        <x:v>RT-B-C-TECH-2</x:v>
      </x:c>
      <x:c r="F1535" s="9" t="str">
        <x:v>RT-B-C</x:v>
      </x:c>
      <x:c r="G1535" s="9" t="str">
        <x:v>B2</x:v>
      </x:c>
      <x:c r="H1535" s="9" t="str">
        <x:v>BRK</x:v>
      </x:c>
      <x:c r="I1535" s="9" t="str">
        <x:v>PD09</x:v>
      </x:c>
      <x:c r="J1535" s="17" t="str">
        <x:v>Receiver denominator and service ledger</x:v>
      </x:c>
      <x:c r="K1535" s="17" t="str">
        <x:v>Receiver archive</x:v>
      </x:c>
      <x:c r="L1535" s="17" t="str">
        <x:v>COURT-SEALED UNTIL COHORT RELEASE</x:v>
      </x:c>
      <x:c r="M1535" s="9" t="n">
        <x:v>0</x:v>
      </x:c>
      <x:c r="N1535" s="9" t="n">
        <x:v>0</x:v>
      </x:c>
      <x:c r="O1535" s="9" t="n">
        <x:v>0</x:v>
      </x:c>
      <x:c r="P1535" s="9" t="str">
        <x:v>HELD / UNRELEASED</x:v>
      </x:c>
      <x:c r="Q1535" s="9" t="n">
        <x:f>COUNTIFS($A$7:$A$2310,A1535)</x:f>
        <x:v>1</x:v>
      </x:c>
    </x:row>
    <x:row r="1536">
      <x:c r="A1536" s="9" t="str">
        <x:v>PD-AR-RT-B-C-TECH-2-B2-BRK-G0-PD10</x:v>
      </x:c>
      <x:c r="B1536" s="9" t="str">
        <x:v>PD-AR-RT-B-C-TECH-2-B2-BRK-G0</x:v>
      </x:c>
      <x:c r="C1536" s="9" t="str">
        <x:v>EV-AR-RT-B-C-TECH-2-B2-BRK-G0</x:v>
      </x:c>
      <x:c r="D1536" s="9" t="str">
        <x:v>AR-RT-B-C-TECH-2-B2-BRK-G0</x:v>
      </x:c>
      <x:c r="E1536" s="9" t="str">
        <x:v>RT-B-C-TECH-2</x:v>
      </x:c>
      <x:c r="F1536" s="9" t="str">
        <x:v>RT-B-C</x:v>
      </x:c>
      <x:c r="G1536" s="9" t="str">
        <x:v>B2</x:v>
      </x:c>
      <x:c r="H1536" s="9" t="str">
        <x:v>BRK</x:v>
      </x:c>
      <x:c r="I1536" s="9" t="str">
        <x:v>PD10</x:v>
      </x:c>
      <x:c r="J1536" s="17" t="str">
        <x:v>Calibration and uncertainty record</x:v>
      </x:c>
      <x:c r="K1536" s="17" t="str">
        <x:v>Metrology archive</x:v>
      </x:c>
      <x:c r="L1536" s="17" t="str">
        <x:v>COURT-SEALED UNTIL COHORT RELEASE</x:v>
      </x:c>
      <x:c r="M1536" s="9" t="n">
        <x:v>0</x:v>
      </x:c>
      <x:c r="N1536" s="9" t="n">
        <x:v>0</x:v>
      </x:c>
      <x:c r="O1536" s="9" t="n">
        <x:v>0</x:v>
      </x:c>
      <x:c r="P1536" s="9" t="str">
        <x:v>HELD / UNRELEASED</x:v>
      </x:c>
      <x:c r="Q1536" s="9" t="n">
        <x:f>COUNTIFS($A$7:$A$2310,A1536)</x:f>
        <x:v>1</x:v>
      </x:c>
    </x:row>
    <x:row r="1537">
      <x:c r="A1537" s="9" t="str">
        <x:v>PD-AR-RT-B-C-TECH-2-B2-BRK-G0-PD11</x:v>
      </x:c>
      <x:c r="B1537" s="9" t="str">
        <x:v>PD-AR-RT-B-C-TECH-2-B2-BRK-G0</x:v>
      </x:c>
      <x:c r="C1537" s="9" t="str">
        <x:v>EV-AR-RT-B-C-TECH-2-B2-BRK-G0</x:v>
      </x:c>
      <x:c r="D1537" s="9" t="str">
        <x:v>AR-RT-B-C-TECH-2-B2-BRK-G0</x:v>
      </x:c>
      <x:c r="E1537" s="9" t="str">
        <x:v>RT-B-C-TECH-2</x:v>
      </x:c>
      <x:c r="F1537" s="9" t="str">
        <x:v>RT-B-C</x:v>
      </x:c>
      <x:c r="G1537" s="9" t="str">
        <x:v>B2</x:v>
      </x:c>
      <x:c r="H1537" s="9" t="str">
        <x:v>BRK</x:v>
      </x:c>
      <x:c r="I1537" s="9" t="str">
        <x:v>PD11</x:v>
      </x:c>
      <x:c r="J1537" s="17" t="str">
        <x:v>Invalidity petition and opinion</x:v>
      </x:c>
      <x:c r="K1537" s="17" t="str">
        <x:v>Invalidity court</x:v>
      </x:c>
      <x:c r="L1537" s="17" t="str">
        <x:v>COURT-SEALED UNTIL COHORT RELEASE</x:v>
      </x:c>
      <x:c r="M1537" s="9" t="n">
        <x:v>0</x:v>
      </x:c>
      <x:c r="N1537" s="9" t="n">
        <x:v>0</x:v>
      </x:c>
      <x:c r="O1537" s="9" t="n">
        <x:v>0</x:v>
      </x:c>
      <x:c r="P1537" s="9" t="str">
        <x:v>HELD / UNRELEASED</x:v>
      </x:c>
      <x:c r="Q1537" s="9" t="n">
        <x:f>COUNTIFS($A$7:$A$2310,A1537)</x:f>
        <x:v>1</x:v>
      </x:c>
    </x:row>
    <x:row r="1538">
      <x:c r="A1538" s="9" t="str">
        <x:v>PD-AR-RT-B-C-TECH-2-B2-BRK-G0-PD12</x:v>
      </x:c>
      <x:c r="B1538" s="9" t="str">
        <x:v>PD-AR-RT-B-C-TECH-2-B2-BRK-G0</x:v>
      </x:c>
      <x:c r="C1538" s="9" t="str">
        <x:v>EV-AR-RT-B-C-TECH-2-B2-BRK-G0</x:v>
      </x:c>
      <x:c r="D1538" s="9" t="str">
        <x:v>AR-RT-B-C-TECH-2-B2-BRK-G0</x:v>
      </x:c>
      <x:c r="E1538" s="9" t="str">
        <x:v>RT-B-C-TECH-2</x:v>
      </x:c>
      <x:c r="F1538" s="9" t="str">
        <x:v>RT-B-C</x:v>
      </x:c>
      <x:c r="G1538" s="9" t="str">
        <x:v>B2</x:v>
      </x:c>
      <x:c r="H1538" s="9" t="str">
        <x:v>BRK</x:v>
      </x:c>
      <x:c r="I1538" s="9" t="str">
        <x:v>PD12</x:v>
      </x:c>
      <x:c r="J1538" s="17" t="str">
        <x:v>Observation acceptance and replay</x:v>
      </x:c>
      <x:c r="K1538" s="17" t="str">
        <x:v>Observation court</x:v>
      </x:c>
      <x:c r="L1538" s="17" t="str">
        <x:v>COURT-SEALED UNTIL COHORT RELEASE</x:v>
      </x:c>
      <x:c r="M1538" s="9" t="n">
        <x:v>0</x:v>
      </x:c>
      <x:c r="N1538" s="9" t="n">
        <x:v>0</x:v>
      </x:c>
      <x:c r="O1538" s="9" t="n">
        <x:v>0</x:v>
      </x:c>
      <x:c r="P1538" s="9" t="str">
        <x:v>HELD / UNRELEASED</x:v>
      </x:c>
      <x:c r="Q1538" s="9" t="n">
        <x:f>COUNTIFS($A$7:$A$2310,A1538)</x:f>
        <x:v>1</x:v>
      </x:c>
    </x:row>
    <x:row r="1539">
      <x:c r="A1539" s="9" t="str">
        <x:v>PD-AR-RT-B-C-TECH-2-B2-BRK-G0-PD13</x:v>
      </x:c>
      <x:c r="B1539" s="9" t="str">
        <x:v>PD-AR-RT-B-C-TECH-2-B2-BRK-G0</x:v>
      </x:c>
      <x:c r="C1539" s="9" t="str">
        <x:v>EV-AR-RT-B-C-TECH-2-B2-BRK-G0</x:v>
      </x:c>
      <x:c r="D1539" s="9" t="str">
        <x:v>AR-RT-B-C-TECH-2-B2-BRK-G0</x:v>
      </x:c>
      <x:c r="E1539" s="9" t="str">
        <x:v>RT-B-C-TECH-2</x:v>
      </x:c>
      <x:c r="F1539" s="9" t="str">
        <x:v>RT-B-C</x:v>
      </x:c>
      <x:c r="G1539" s="9" t="str">
        <x:v>B2</x:v>
      </x:c>
      <x:c r="H1539" s="9" t="str">
        <x:v>BRK</x:v>
      </x:c>
      <x:c r="I1539" s="9" t="str">
        <x:v>PD13</x:v>
      </x:c>
      <x:c r="J1539" s="17" t="str">
        <x:v>Role judgment</x:v>
      </x:c>
      <x:c r="K1539" s="17" t="str">
        <x:v>Role court</x:v>
      </x:c>
      <x:c r="L1539" s="17" t="str">
        <x:v>COURT-SEALED UNTIL COHORT RELEASE</x:v>
      </x:c>
      <x:c r="M1539" s="9" t="n">
        <x:v>0</x:v>
      </x:c>
      <x:c r="N1539" s="9" t="n">
        <x:v>0</x:v>
      </x:c>
      <x:c r="O1539" s="9" t="n">
        <x:v>0</x:v>
      </x:c>
      <x:c r="P1539" s="9" t="str">
        <x:v>HELD / UNRELEASED</x:v>
      </x:c>
      <x:c r="Q1539" s="9" t="n">
        <x:f>COUNTIFS($A$7:$A$2310,A1539)</x:f>
        <x:v>1</x:v>
      </x:c>
    </x:row>
    <x:row r="1540">
      <x:c r="A1540" s="9" t="str">
        <x:v>PD-AR-RT-B-C-TECH-2-B2-BRK-G0-PD14</x:v>
      </x:c>
      <x:c r="B1540" s="9" t="str">
        <x:v>PD-AR-RT-B-C-TECH-2-B2-BRK-G0</x:v>
      </x:c>
      <x:c r="C1540" s="9" t="str">
        <x:v>EV-AR-RT-B-C-TECH-2-B2-BRK-G0</x:v>
      </x:c>
      <x:c r="D1540" s="9" t="str">
        <x:v>AR-RT-B-C-TECH-2-B2-BRK-G0</x:v>
      </x:c>
      <x:c r="E1540" s="9" t="str">
        <x:v>RT-B-C-TECH-2</x:v>
      </x:c>
      <x:c r="F1540" s="9" t="str">
        <x:v>RT-B-C</x:v>
      </x:c>
      <x:c r="G1540" s="9" t="str">
        <x:v>B2</x:v>
      </x:c>
      <x:c r="H1540" s="9" t="str">
        <x:v>BRK</x:v>
      </x:c>
      <x:c r="I1540" s="9" t="str">
        <x:v>PD14</x:v>
      </x:c>
      <x:c r="J1540" s="17" t="str">
        <x:v>Break and residual account</x:v>
      </x:c>
      <x:c r="K1540" s="17" t="str">
        <x:v>Residual authority</x:v>
      </x:c>
      <x:c r="L1540" s="17" t="str">
        <x:v>COURT-SEALED UNTIL COHORT RELEASE</x:v>
      </x:c>
      <x:c r="M1540" s="9" t="n">
        <x:v>0</x:v>
      </x:c>
      <x:c r="N1540" s="9" t="n">
        <x:v>0</x:v>
      </x:c>
      <x:c r="O1540" s="9" t="n">
        <x:v>0</x:v>
      </x:c>
      <x:c r="P1540" s="9" t="str">
        <x:v>HELD / UNRELEASED</x:v>
      </x:c>
      <x:c r="Q1540" s="9" t="n">
        <x:f>COUNTIFS($A$7:$A$2310,A1540)</x:f>
        <x:v>1</x:v>
      </x:c>
    </x:row>
    <x:row r="1541">
      <x:c r="A1541" s="9" t="str">
        <x:v>PD-AR-RT-B-C-TECH-2-B2-BRK-G0-PD15</x:v>
      </x:c>
      <x:c r="B1541" s="9" t="str">
        <x:v>PD-AR-RT-B-C-TECH-2-B2-BRK-G0</x:v>
      </x:c>
      <x:c r="C1541" s="9" t="str">
        <x:v>EV-AR-RT-B-C-TECH-2-B2-BRK-G0</x:v>
      </x:c>
      <x:c r="D1541" s="9" t="str">
        <x:v>AR-RT-B-C-TECH-2-B2-BRK-G0</x:v>
      </x:c>
      <x:c r="E1541" s="9" t="str">
        <x:v>RT-B-C-TECH-2</x:v>
      </x:c>
      <x:c r="F1541" s="9" t="str">
        <x:v>RT-B-C</x:v>
      </x:c>
      <x:c r="G1541" s="9" t="str">
        <x:v>B2</x:v>
      </x:c>
      <x:c r="H1541" s="9" t="str">
        <x:v>BRK</x:v>
      </x:c>
      <x:c r="I1541" s="9" t="str">
        <x:v>PD15</x:v>
      </x:c>
      <x:c r="J1541" s="17" t="str">
        <x:v>Reconstruction ancestry and replay</x:v>
      </x:c>
      <x:c r="K1541" s="17" t="str">
        <x:v>Reconstruction court</x:v>
      </x:c>
      <x:c r="L1541" s="17" t="str">
        <x:v>COURT-SEALED UNTIL COHORT RELEASE</x:v>
      </x:c>
      <x:c r="M1541" s="9" t="n">
        <x:v>0</x:v>
      </x:c>
      <x:c r="N1541" s="9" t="n">
        <x:v>0</x:v>
      </x:c>
      <x:c r="O1541" s="9" t="n">
        <x:v>0</x:v>
      </x:c>
      <x:c r="P1541" s="9" t="str">
        <x:v>HELD / UNRELEASED</x:v>
      </x:c>
      <x:c r="Q1541" s="9" t="n">
        <x:f>COUNTIFS($A$7:$A$2310,A1541)</x:f>
        <x:v>1</x:v>
      </x:c>
    </x:row>
    <x:row r="1542">
      <x:c r="A1542" s="9" t="str">
        <x:v>PD-AR-RT-B-C-TECH-2-B2-BRK-G0-PD16</x:v>
      </x:c>
      <x:c r="B1542" s="9" t="str">
        <x:v>PD-AR-RT-B-C-TECH-2-B2-BRK-G0</x:v>
      </x:c>
      <x:c r="C1542" s="9" t="str">
        <x:v>EV-AR-RT-B-C-TECH-2-B2-BRK-G0</x:v>
      </x:c>
      <x:c r="D1542" s="9" t="str">
        <x:v>AR-RT-B-C-TECH-2-B2-BRK-G0</x:v>
      </x:c>
      <x:c r="E1542" s="9" t="str">
        <x:v>RT-B-C-TECH-2</x:v>
      </x:c>
      <x:c r="F1542" s="9" t="str">
        <x:v>RT-B-C</x:v>
      </x:c>
      <x:c r="G1542" s="9" t="str">
        <x:v>B2</x:v>
      </x:c>
      <x:c r="H1542" s="9" t="str">
        <x:v>BRK</x:v>
      </x:c>
      <x:c r="I1542" s="9" t="str">
        <x:v>PD16</x:v>
      </x:c>
      <x:c r="J1542" s="17" t="str">
        <x:v>Dissent, amendments and access log</x:v>
      </x:c>
      <x:c r="K1542" s="17" t="str">
        <x:v>Public archive</x:v>
      </x:c>
      <x:c r="L1542" s="17" t="str">
        <x:v>COURT-SEALED UNTIL COHORT RELEASE</x:v>
      </x:c>
      <x:c r="M1542" s="9" t="n">
        <x:v>0</x:v>
      </x:c>
      <x:c r="N1542" s="9" t="n">
        <x:v>0</x:v>
      </x:c>
      <x:c r="O1542" s="9" t="n">
        <x:v>0</x:v>
      </x:c>
      <x:c r="P1542" s="9" t="str">
        <x:v>HELD / UNRELEASED</x:v>
      </x:c>
      <x:c r="Q1542" s="9" t="n">
        <x:f>COUNTIFS($A$7:$A$2310,A1542)</x:f>
        <x:v>1</x:v>
      </x:c>
    </x:row>
    <x:row r="1543">
      <x:c r="A1543" s="9" t="str">
        <x:v>PD-AR-CT-C-B-TECH-3-B2-INT-G0-PD01</x:v>
      </x:c>
      <x:c r="B1543" s="9" t="str">
        <x:v>PD-AR-CT-C-B-TECH-3-B2-INT-G0</x:v>
      </x:c>
      <x:c r="C1543" s="9" t="str">
        <x:v>EV-AR-CT-C-B-TECH-3-B2-INT-G0</x:v>
      </x:c>
      <x:c r="D1543" s="9" t="str">
        <x:v>AR-CT-C-B-TECH-3-B2-INT-G0</x:v>
      </x:c>
      <x:c r="E1543" s="9" t="str">
        <x:v>CT-C-B-TECH-3</x:v>
      </x:c>
      <x:c r="F1543" s="9" t="str">
        <x:v>CT-C-B</x:v>
      </x:c>
      <x:c r="G1543" s="9" t="str">
        <x:v>B2</x:v>
      </x:c>
      <x:c r="H1543" s="9" t="str">
        <x:v>INT</x:v>
      </x:c>
      <x:c r="I1543" s="9" t="str">
        <x:v>PD01</x:v>
      </x:c>
      <x:c r="J1543" s="17" t="str">
        <x:v>Experiment kernel</x:v>
      </x:c>
      <x:c r="K1543" s="17" t="str">
        <x:v>Public archive</x:v>
      </x:c>
      <x:c r="L1543" s="17" t="str">
        <x:v>COURT-SEALED UNTIL COHORT RELEASE</x:v>
      </x:c>
      <x:c r="M1543" s="9" t="n">
        <x:v>0</x:v>
      </x:c>
      <x:c r="N1543" s="9" t="n">
        <x:v>0</x:v>
      </x:c>
      <x:c r="O1543" s="9" t="n">
        <x:v>0</x:v>
      </x:c>
      <x:c r="P1543" s="9" t="str">
        <x:v>HELD / UNRELEASED</x:v>
      </x:c>
      <x:c r="Q1543" s="9" t="n">
        <x:f>COUNTIFS($A$7:$A$2310,A1543)</x:f>
        <x:v>1</x:v>
      </x:c>
    </x:row>
    <x:row r="1544">
      <x:c r="A1544" s="9" t="str">
        <x:v>PD-AR-CT-C-B-TECH-3-B2-INT-G0-PD02</x:v>
      </x:c>
      <x:c r="B1544" s="9" t="str">
        <x:v>PD-AR-CT-C-B-TECH-3-B2-INT-G0</x:v>
      </x:c>
      <x:c r="C1544" s="9" t="str">
        <x:v>EV-AR-CT-C-B-TECH-3-B2-INT-G0</x:v>
      </x:c>
      <x:c r="D1544" s="9" t="str">
        <x:v>AR-CT-C-B-TECH-3-B2-INT-G0</x:v>
      </x:c>
      <x:c r="E1544" s="9" t="str">
        <x:v>CT-C-B-TECH-3</x:v>
      </x:c>
      <x:c r="F1544" s="9" t="str">
        <x:v>CT-C-B</x:v>
      </x:c>
      <x:c r="G1544" s="9" t="str">
        <x:v>B2</x:v>
      </x:c>
      <x:c r="H1544" s="9" t="str">
        <x:v>INT</x:v>
      </x:c>
      <x:c r="I1544" s="9" t="str">
        <x:v>PD02</x:v>
      </x:c>
      <x:c r="J1544" s="17" t="str">
        <x:v>Serial annex and title chain</x:v>
      </x:c>
      <x:c r="K1544" s="17" t="str">
        <x:v>Public archive</x:v>
      </x:c>
      <x:c r="L1544" s="17" t="str">
        <x:v>COURT-SEALED UNTIL COHORT RELEASE</x:v>
      </x:c>
      <x:c r="M1544" s="9" t="n">
        <x:v>0</x:v>
      </x:c>
      <x:c r="N1544" s="9" t="n">
        <x:v>0</x:v>
      </x:c>
      <x:c r="O1544" s="9" t="n">
        <x:v>0</x:v>
      </x:c>
      <x:c r="P1544" s="9" t="str">
        <x:v>HELD / UNRELEASED</x:v>
      </x:c>
      <x:c r="Q1544" s="9" t="n">
        <x:f>COUNTIFS($A$7:$A$2310,A1544)</x:f>
        <x:v>1</x:v>
      </x:c>
    </x:row>
    <x:row r="1545">
      <x:c r="A1545" s="9" t="str">
        <x:v>PD-AR-CT-C-B-TECH-3-B2-INT-G0-PD03</x:v>
      </x:c>
      <x:c r="B1545" s="9" t="str">
        <x:v>PD-AR-CT-C-B-TECH-3-B2-INT-G0</x:v>
      </x:c>
      <x:c r="C1545" s="9" t="str">
        <x:v>EV-AR-CT-C-B-TECH-3-B2-INT-G0</x:v>
      </x:c>
      <x:c r="D1545" s="9" t="str">
        <x:v>AR-CT-C-B-TECH-3-B2-INT-G0</x:v>
      </x:c>
      <x:c r="E1545" s="9" t="str">
        <x:v>CT-C-B-TECH-3</x:v>
      </x:c>
      <x:c r="F1545" s="9" t="str">
        <x:v>CT-C-B</x:v>
      </x:c>
      <x:c r="G1545" s="9" t="str">
        <x:v>B2</x:v>
      </x:c>
      <x:c r="H1545" s="9" t="str">
        <x:v>INT</x:v>
      </x:c>
      <x:c r="I1545" s="9" t="str">
        <x:v>PD03</x:v>
      </x:c>
      <x:c r="J1545" s="17" t="str">
        <x:v>Configuration and as-built manifest</x:v>
      </x:c>
      <x:c r="K1545" s="17" t="str">
        <x:v>Artifact exchange</x:v>
      </x:c>
      <x:c r="L1545" s="17" t="str">
        <x:v>COURT-SEALED UNTIL COHORT RELEASE</x:v>
      </x:c>
      <x:c r="M1545" s="9" t="n">
        <x:v>0</x:v>
      </x:c>
      <x:c r="N1545" s="9" t="n">
        <x:v>0</x:v>
      </x:c>
      <x:c r="O1545" s="9" t="n">
        <x:v>0</x:v>
      </x:c>
      <x:c r="P1545" s="9" t="str">
        <x:v>HELD / UNRELEASED</x:v>
      </x:c>
      <x:c r="Q1545" s="9" t="n">
        <x:f>COUNTIFS($A$7:$A$2310,A1545)</x:f>
        <x:v>1</x:v>
      </x:c>
    </x:row>
    <x:row r="1546">
      <x:c r="A1546" s="9" t="str">
        <x:v>PD-AR-CT-C-B-TECH-3-B2-INT-G0-PD04</x:v>
      </x:c>
      <x:c r="B1546" s="9" t="str">
        <x:v>PD-AR-CT-C-B-TECH-3-B2-INT-G0</x:v>
      </x:c>
      <x:c r="C1546" s="9" t="str">
        <x:v>EV-AR-CT-C-B-TECH-3-B2-INT-G0</x:v>
      </x:c>
      <x:c r="D1546" s="9" t="str">
        <x:v>AR-CT-C-B-TECH-3-B2-INT-G0</x:v>
      </x:c>
      <x:c r="E1546" s="9" t="str">
        <x:v>CT-C-B-TECH-3</x:v>
      </x:c>
      <x:c r="F1546" s="9" t="str">
        <x:v>CT-C-B</x:v>
      </x:c>
      <x:c r="G1546" s="9" t="str">
        <x:v>B2</x:v>
      </x:c>
      <x:c r="H1546" s="9" t="str">
        <x:v>INT</x:v>
      </x:c>
      <x:c r="I1546" s="9" t="str">
        <x:v>PD04</x:v>
      </x:c>
      <x:c r="J1546" s="17" t="str">
        <x:v>EOW and start certificate</x:v>
      </x:c>
      <x:c r="K1546" s="17" t="str">
        <x:v>Start registrar</x:v>
      </x:c>
      <x:c r="L1546" s="17" t="str">
        <x:v>COURT-SEALED UNTIL COHORT RELEASE</x:v>
      </x:c>
      <x:c r="M1546" s="9" t="n">
        <x:v>0</x:v>
      </x:c>
      <x:c r="N1546" s="9" t="n">
        <x:v>0</x:v>
      </x:c>
      <x:c r="O1546" s="9" t="n">
        <x:v>0</x:v>
      </x:c>
      <x:c r="P1546" s="9" t="str">
        <x:v>HELD / UNRELEASED</x:v>
      </x:c>
      <x:c r="Q1546" s="9" t="n">
        <x:f>COUNTIFS($A$7:$A$2310,A1546)</x:f>
        <x:v>1</x:v>
      </x:c>
    </x:row>
    <x:row r="1547">
      <x:c r="A1547" s="9" t="str">
        <x:v>PD-AR-CT-C-B-TECH-3-B2-INT-G0-PD05</x:v>
      </x:c>
      <x:c r="B1547" s="9" t="str">
        <x:v>PD-AR-CT-C-B-TECH-3-B2-INT-G0</x:v>
      </x:c>
      <x:c r="C1547" s="9" t="str">
        <x:v>EV-AR-CT-C-B-TECH-3-B2-INT-G0</x:v>
      </x:c>
      <x:c r="D1547" s="9" t="str">
        <x:v>AR-CT-C-B-TECH-3-B2-INT-G0</x:v>
      </x:c>
      <x:c r="E1547" s="9" t="str">
        <x:v>CT-C-B-TECH-3</x:v>
      </x:c>
      <x:c r="F1547" s="9" t="str">
        <x:v>CT-C-B</x:v>
      </x:c>
      <x:c r="G1547" s="9" t="str">
        <x:v>B2</x:v>
      </x:c>
      <x:c r="H1547" s="9" t="str">
        <x:v>INT</x:v>
      </x:c>
      <x:c r="I1547" s="9" t="str">
        <x:v>PD05</x:v>
      </x:c>
      <x:c r="J1547" s="17" t="str">
        <x:v>Primary raw originals</x:v>
      </x:c>
      <x:c r="K1547" s="17" t="str">
        <x:v>Primary custody</x:v>
      </x:c>
      <x:c r="L1547" s="17" t="str">
        <x:v>COURT-SEALED UNTIL COHORT RELEASE</x:v>
      </x:c>
      <x:c r="M1547" s="9" t="n">
        <x:v>0</x:v>
      </x:c>
      <x:c r="N1547" s="9" t="n">
        <x:v>0</x:v>
      </x:c>
      <x:c r="O1547" s="9" t="n">
        <x:v>0</x:v>
      </x:c>
      <x:c r="P1547" s="9" t="str">
        <x:v>HELD / UNRELEASED</x:v>
      </x:c>
      <x:c r="Q1547" s="9" t="n">
        <x:f>COUNTIFS($A$7:$A$2310,A1547)</x:f>
        <x:v>1</x:v>
      </x:c>
    </x:row>
    <x:row r="1548">
      <x:c r="A1548" s="9" t="str">
        <x:v>PD-AR-CT-C-B-TECH-3-B2-INT-G0-PD06</x:v>
      </x:c>
      <x:c r="B1548" s="9" t="str">
        <x:v>PD-AR-CT-C-B-TECH-3-B2-INT-G0</x:v>
      </x:c>
      <x:c r="C1548" s="9" t="str">
        <x:v>EV-AR-CT-C-B-TECH-3-B2-INT-G0</x:v>
      </x:c>
      <x:c r="D1548" s="9" t="str">
        <x:v>AR-CT-C-B-TECH-3-B2-INT-G0</x:v>
      </x:c>
      <x:c r="E1548" s="9" t="str">
        <x:v>CT-C-B-TECH-3</x:v>
      </x:c>
      <x:c r="F1548" s="9" t="str">
        <x:v>CT-C-B</x:v>
      </x:c>
      <x:c r="G1548" s="9" t="str">
        <x:v>B2</x:v>
      </x:c>
      <x:c r="H1548" s="9" t="str">
        <x:v>INT</x:v>
      </x:c>
      <x:c r="I1548" s="9" t="str">
        <x:v>PD06</x:v>
      </x:c>
      <x:c r="J1548" s="17" t="str">
        <x:v>Witness raw originals</x:v>
      </x:c>
      <x:c r="K1548" s="17" t="str">
        <x:v>Witness custody</x:v>
      </x:c>
      <x:c r="L1548" s="17" t="str">
        <x:v>COURT-SEALED UNTIL COHORT RELEASE</x:v>
      </x:c>
      <x:c r="M1548" s="9" t="n">
        <x:v>0</x:v>
      </x:c>
      <x:c r="N1548" s="9" t="n">
        <x:v>0</x:v>
      </x:c>
      <x:c r="O1548" s="9" t="n">
        <x:v>0</x:v>
      </x:c>
      <x:c r="P1548" s="9" t="str">
        <x:v>HELD / UNRELEASED</x:v>
      </x:c>
      <x:c r="Q1548" s="9" t="n">
        <x:f>COUNTIFS($A$7:$A$2310,A1548)</x:f>
        <x:v>1</x:v>
      </x:c>
    </x:row>
    <x:row r="1549">
      <x:c r="A1549" s="9" t="str">
        <x:v>PD-AR-CT-C-B-TECH-3-B2-INT-G0-PD07</x:v>
      </x:c>
      <x:c r="B1549" s="9" t="str">
        <x:v>PD-AR-CT-C-B-TECH-3-B2-INT-G0</x:v>
      </x:c>
      <x:c r="C1549" s="9" t="str">
        <x:v>EV-AR-CT-C-B-TECH-3-B2-INT-G0</x:v>
      </x:c>
      <x:c r="D1549" s="9" t="str">
        <x:v>AR-CT-C-B-TECH-3-B2-INT-G0</x:v>
      </x:c>
      <x:c r="E1549" s="9" t="str">
        <x:v>CT-C-B-TECH-3</x:v>
      </x:c>
      <x:c r="F1549" s="9" t="str">
        <x:v>CT-C-B</x:v>
      </x:c>
      <x:c r="G1549" s="9" t="str">
        <x:v>B2</x:v>
      </x:c>
      <x:c r="H1549" s="9" t="str">
        <x:v>INT</x:v>
      </x:c>
      <x:c r="I1549" s="9" t="str">
        <x:v>PD07</x:v>
      </x:c>
      <x:c r="J1549" s="17" t="str">
        <x:v>Clock and environmental records</x:v>
      </x:c>
      <x:c r="K1549" s="17" t="str">
        <x:v>Boundary archive</x:v>
      </x:c>
      <x:c r="L1549" s="17" t="str">
        <x:v>COURT-SEALED UNTIL COHORT RELEASE</x:v>
      </x:c>
      <x:c r="M1549" s="9" t="n">
        <x:v>0</x:v>
      </x:c>
      <x:c r="N1549" s="9" t="n">
        <x:v>0</x:v>
      </x:c>
      <x:c r="O1549" s="9" t="n">
        <x:v>0</x:v>
      </x:c>
      <x:c r="P1549" s="9" t="str">
        <x:v>HELD / UNRELEASED</x:v>
      </x:c>
      <x:c r="Q1549" s="9" t="n">
        <x:f>COUNTIFS($A$7:$A$2310,A1549)</x:f>
        <x:v>1</x:v>
      </x:c>
    </x:row>
    <x:row r="1550">
      <x:c r="A1550" s="9" t="str">
        <x:v>PD-AR-CT-C-B-TECH-3-B2-INT-G0-PD08</x:v>
      </x:c>
      <x:c r="B1550" s="9" t="str">
        <x:v>PD-AR-CT-C-B-TECH-3-B2-INT-G0</x:v>
      </x:c>
      <x:c r="C1550" s="9" t="str">
        <x:v>EV-AR-CT-C-B-TECH-3-B2-INT-G0</x:v>
      </x:c>
      <x:c r="D1550" s="9" t="str">
        <x:v>AR-CT-C-B-TECH-3-B2-INT-G0</x:v>
      </x:c>
      <x:c r="E1550" s="9" t="str">
        <x:v>CT-C-B-TECH-3</x:v>
      </x:c>
      <x:c r="F1550" s="9" t="str">
        <x:v>CT-C-B</x:v>
      </x:c>
      <x:c r="G1550" s="9" t="str">
        <x:v>B2</x:v>
      </x:c>
      <x:c r="H1550" s="9" t="str">
        <x:v>INT</x:v>
      </x:c>
      <x:c r="I1550" s="9" t="str">
        <x:v>PD08</x:v>
      </x:c>
      <x:c r="J1550" s="17" t="str">
        <x:v>Command and intervention log</x:v>
      </x:c>
      <x:c r="K1550" s="17" t="str">
        <x:v>Safety archive</x:v>
      </x:c>
      <x:c r="L1550" s="17" t="str">
        <x:v>COURT-SEALED UNTIL COHORT RELEASE</x:v>
      </x:c>
      <x:c r="M1550" s="9" t="n">
        <x:v>0</x:v>
      </x:c>
      <x:c r="N1550" s="9" t="n">
        <x:v>0</x:v>
      </x:c>
      <x:c r="O1550" s="9" t="n">
        <x:v>0</x:v>
      </x:c>
      <x:c r="P1550" s="9" t="str">
        <x:v>HELD / UNRELEASED</x:v>
      </x:c>
      <x:c r="Q1550" s="9" t="n">
        <x:f>COUNTIFS($A$7:$A$2310,A1550)</x:f>
        <x:v>1</x:v>
      </x:c>
    </x:row>
    <x:row r="1551">
      <x:c r="A1551" s="9" t="str">
        <x:v>PD-AR-CT-C-B-TECH-3-B2-INT-G0-PD09</x:v>
      </x:c>
      <x:c r="B1551" s="9" t="str">
        <x:v>PD-AR-CT-C-B-TECH-3-B2-INT-G0</x:v>
      </x:c>
      <x:c r="C1551" s="9" t="str">
        <x:v>EV-AR-CT-C-B-TECH-3-B2-INT-G0</x:v>
      </x:c>
      <x:c r="D1551" s="9" t="str">
        <x:v>AR-CT-C-B-TECH-3-B2-INT-G0</x:v>
      </x:c>
      <x:c r="E1551" s="9" t="str">
        <x:v>CT-C-B-TECH-3</x:v>
      </x:c>
      <x:c r="F1551" s="9" t="str">
        <x:v>CT-C-B</x:v>
      </x:c>
      <x:c r="G1551" s="9" t="str">
        <x:v>B2</x:v>
      </x:c>
      <x:c r="H1551" s="9" t="str">
        <x:v>INT</x:v>
      </x:c>
      <x:c r="I1551" s="9" t="str">
        <x:v>PD09</x:v>
      </x:c>
      <x:c r="J1551" s="17" t="str">
        <x:v>Receiver denominator and service ledger</x:v>
      </x:c>
      <x:c r="K1551" s="17" t="str">
        <x:v>Receiver archive</x:v>
      </x:c>
      <x:c r="L1551" s="17" t="str">
        <x:v>COURT-SEALED UNTIL COHORT RELEASE</x:v>
      </x:c>
      <x:c r="M1551" s="9" t="n">
        <x:v>0</x:v>
      </x:c>
      <x:c r="N1551" s="9" t="n">
        <x:v>0</x:v>
      </x:c>
      <x:c r="O1551" s="9" t="n">
        <x:v>0</x:v>
      </x:c>
      <x:c r="P1551" s="9" t="str">
        <x:v>HELD / UNRELEASED</x:v>
      </x:c>
      <x:c r="Q1551" s="9" t="n">
        <x:f>COUNTIFS($A$7:$A$2310,A1551)</x:f>
        <x:v>1</x:v>
      </x:c>
    </x:row>
    <x:row r="1552">
      <x:c r="A1552" s="9" t="str">
        <x:v>PD-AR-CT-C-B-TECH-3-B2-INT-G0-PD10</x:v>
      </x:c>
      <x:c r="B1552" s="9" t="str">
        <x:v>PD-AR-CT-C-B-TECH-3-B2-INT-G0</x:v>
      </x:c>
      <x:c r="C1552" s="9" t="str">
        <x:v>EV-AR-CT-C-B-TECH-3-B2-INT-G0</x:v>
      </x:c>
      <x:c r="D1552" s="9" t="str">
        <x:v>AR-CT-C-B-TECH-3-B2-INT-G0</x:v>
      </x:c>
      <x:c r="E1552" s="9" t="str">
        <x:v>CT-C-B-TECH-3</x:v>
      </x:c>
      <x:c r="F1552" s="9" t="str">
        <x:v>CT-C-B</x:v>
      </x:c>
      <x:c r="G1552" s="9" t="str">
        <x:v>B2</x:v>
      </x:c>
      <x:c r="H1552" s="9" t="str">
        <x:v>INT</x:v>
      </x:c>
      <x:c r="I1552" s="9" t="str">
        <x:v>PD10</x:v>
      </x:c>
      <x:c r="J1552" s="17" t="str">
        <x:v>Calibration and uncertainty record</x:v>
      </x:c>
      <x:c r="K1552" s="17" t="str">
        <x:v>Metrology archive</x:v>
      </x:c>
      <x:c r="L1552" s="17" t="str">
        <x:v>COURT-SEALED UNTIL COHORT RELEASE</x:v>
      </x:c>
      <x:c r="M1552" s="9" t="n">
        <x:v>0</x:v>
      </x:c>
      <x:c r="N1552" s="9" t="n">
        <x:v>0</x:v>
      </x:c>
      <x:c r="O1552" s="9" t="n">
        <x:v>0</x:v>
      </x:c>
      <x:c r="P1552" s="9" t="str">
        <x:v>HELD / UNRELEASED</x:v>
      </x:c>
      <x:c r="Q1552" s="9" t="n">
        <x:f>COUNTIFS($A$7:$A$2310,A1552)</x:f>
        <x:v>1</x:v>
      </x:c>
    </x:row>
    <x:row r="1553">
      <x:c r="A1553" s="9" t="str">
        <x:v>PD-AR-CT-C-B-TECH-3-B2-INT-G0-PD11</x:v>
      </x:c>
      <x:c r="B1553" s="9" t="str">
        <x:v>PD-AR-CT-C-B-TECH-3-B2-INT-G0</x:v>
      </x:c>
      <x:c r="C1553" s="9" t="str">
        <x:v>EV-AR-CT-C-B-TECH-3-B2-INT-G0</x:v>
      </x:c>
      <x:c r="D1553" s="9" t="str">
        <x:v>AR-CT-C-B-TECH-3-B2-INT-G0</x:v>
      </x:c>
      <x:c r="E1553" s="9" t="str">
        <x:v>CT-C-B-TECH-3</x:v>
      </x:c>
      <x:c r="F1553" s="9" t="str">
        <x:v>CT-C-B</x:v>
      </x:c>
      <x:c r="G1553" s="9" t="str">
        <x:v>B2</x:v>
      </x:c>
      <x:c r="H1553" s="9" t="str">
        <x:v>INT</x:v>
      </x:c>
      <x:c r="I1553" s="9" t="str">
        <x:v>PD11</x:v>
      </x:c>
      <x:c r="J1553" s="17" t="str">
        <x:v>Invalidity petition and opinion</x:v>
      </x:c>
      <x:c r="K1553" s="17" t="str">
        <x:v>Invalidity court</x:v>
      </x:c>
      <x:c r="L1553" s="17" t="str">
        <x:v>COURT-SEALED UNTIL COHORT RELEASE</x:v>
      </x:c>
      <x:c r="M1553" s="9" t="n">
        <x:v>0</x:v>
      </x:c>
      <x:c r="N1553" s="9" t="n">
        <x:v>0</x:v>
      </x:c>
      <x:c r="O1553" s="9" t="n">
        <x:v>0</x:v>
      </x:c>
      <x:c r="P1553" s="9" t="str">
        <x:v>HELD / UNRELEASED</x:v>
      </x:c>
      <x:c r="Q1553" s="9" t="n">
        <x:f>COUNTIFS($A$7:$A$2310,A1553)</x:f>
        <x:v>1</x:v>
      </x:c>
    </x:row>
    <x:row r="1554">
      <x:c r="A1554" s="9" t="str">
        <x:v>PD-AR-CT-C-B-TECH-3-B2-INT-G0-PD12</x:v>
      </x:c>
      <x:c r="B1554" s="9" t="str">
        <x:v>PD-AR-CT-C-B-TECH-3-B2-INT-G0</x:v>
      </x:c>
      <x:c r="C1554" s="9" t="str">
        <x:v>EV-AR-CT-C-B-TECH-3-B2-INT-G0</x:v>
      </x:c>
      <x:c r="D1554" s="9" t="str">
        <x:v>AR-CT-C-B-TECH-3-B2-INT-G0</x:v>
      </x:c>
      <x:c r="E1554" s="9" t="str">
        <x:v>CT-C-B-TECH-3</x:v>
      </x:c>
      <x:c r="F1554" s="9" t="str">
        <x:v>CT-C-B</x:v>
      </x:c>
      <x:c r="G1554" s="9" t="str">
        <x:v>B2</x:v>
      </x:c>
      <x:c r="H1554" s="9" t="str">
        <x:v>INT</x:v>
      </x:c>
      <x:c r="I1554" s="9" t="str">
        <x:v>PD12</x:v>
      </x:c>
      <x:c r="J1554" s="17" t="str">
        <x:v>Observation acceptance and replay</x:v>
      </x:c>
      <x:c r="K1554" s="17" t="str">
        <x:v>Observation court</x:v>
      </x:c>
      <x:c r="L1554" s="17" t="str">
        <x:v>COURT-SEALED UNTIL COHORT RELEASE</x:v>
      </x:c>
      <x:c r="M1554" s="9" t="n">
        <x:v>0</x:v>
      </x:c>
      <x:c r="N1554" s="9" t="n">
        <x:v>0</x:v>
      </x:c>
      <x:c r="O1554" s="9" t="n">
        <x:v>0</x:v>
      </x:c>
      <x:c r="P1554" s="9" t="str">
        <x:v>HELD / UNRELEASED</x:v>
      </x:c>
      <x:c r="Q1554" s="9" t="n">
        <x:f>COUNTIFS($A$7:$A$2310,A1554)</x:f>
        <x:v>1</x:v>
      </x:c>
    </x:row>
    <x:row r="1555">
      <x:c r="A1555" s="9" t="str">
        <x:v>PD-AR-CT-C-B-TECH-3-B2-INT-G0-PD13</x:v>
      </x:c>
      <x:c r="B1555" s="9" t="str">
        <x:v>PD-AR-CT-C-B-TECH-3-B2-INT-G0</x:v>
      </x:c>
      <x:c r="C1555" s="9" t="str">
        <x:v>EV-AR-CT-C-B-TECH-3-B2-INT-G0</x:v>
      </x:c>
      <x:c r="D1555" s="9" t="str">
        <x:v>AR-CT-C-B-TECH-3-B2-INT-G0</x:v>
      </x:c>
      <x:c r="E1555" s="9" t="str">
        <x:v>CT-C-B-TECH-3</x:v>
      </x:c>
      <x:c r="F1555" s="9" t="str">
        <x:v>CT-C-B</x:v>
      </x:c>
      <x:c r="G1555" s="9" t="str">
        <x:v>B2</x:v>
      </x:c>
      <x:c r="H1555" s="9" t="str">
        <x:v>INT</x:v>
      </x:c>
      <x:c r="I1555" s="9" t="str">
        <x:v>PD13</x:v>
      </x:c>
      <x:c r="J1555" s="17" t="str">
        <x:v>Role judgment</x:v>
      </x:c>
      <x:c r="K1555" s="17" t="str">
        <x:v>Role court</x:v>
      </x:c>
      <x:c r="L1555" s="17" t="str">
        <x:v>COURT-SEALED UNTIL COHORT RELEASE</x:v>
      </x:c>
      <x:c r="M1555" s="9" t="n">
        <x:v>0</x:v>
      </x:c>
      <x:c r="N1555" s="9" t="n">
        <x:v>0</x:v>
      </x:c>
      <x:c r="O1555" s="9" t="n">
        <x:v>0</x:v>
      </x:c>
      <x:c r="P1555" s="9" t="str">
        <x:v>HELD / UNRELEASED</x:v>
      </x:c>
      <x:c r="Q1555" s="9" t="n">
        <x:f>COUNTIFS($A$7:$A$2310,A1555)</x:f>
        <x:v>1</x:v>
      </x:c>
    </x:row>
    <x:row r="1556">
      <x:c r="A1556" s="9" t="str">
        <x:v>PD-AR-CT-C-B-TECH-3-B2-INT-G0-PD14</x:v>
      </x:c>
      <x:c r="B1556" s="9" t="str">
        <x:v>PD-AR-CT-C-B-TECH-3-B2-INT-G0</x:v>
      </x:c>
      <x:c r="C1556" s="9" t="str">
        <x:v>EV-AR-CT-C-B-TECH-3-B2-INT-G0</x:v>
      </x:c>
      <x:c r="D1556" s="9" t="str">
        <x:v>AR-CT-C-B-TECH-3-B2-INT-G0</x:v>
      </x:c>
      <x:c r="E1556" s="9" t="str">
        <x:v>CT-C-B-TECH-3</x:v>
      </x:c>
      <x:c r="F1556" s="9" t="str">
        <x:v>CT-C-B</x:v>
      </x:c>
      <x:c r="G1556" s="9" t="str">
        <x:v>B2</x:v>
      </x:c>
      <x:c r="H1556" s="9" t="str">
        <x:v>INT</x:v>
      </x:c>
      <x:c r="I1556" s="9" t="str">
        <x:v>PD14</x:v>
      </x:c>
      <x:c r="J1556" s="17" t="str">
        <x:v>Break and residual account</x:v>
      </x:c>
      <x:c r="K1556" s="17" t="str">
        <x:v>Residual authority</x:v>
      </x:c>
      <x:c r="L1556" s="17" t="str">
        <x:v>COURT-SEALED UNTIL COHORT RELEASE</x:v>
      </x:c>
      <x:c r="M1556" s="9" t="n">
        <x:v>0</x:v>
      </x:c>
      <x:c r="N1556" s="9" t="n">
        <x:v>0</x:v>
      </x:c>
      <x:c r="O1556" s="9" t="n">
        <x:v>0</x:v>
      </x:c>
      <x:c r="P1556" s="9" t="str">
        <x:v>HELD / UNRELEASED</x:v>
      </x:c>
      <x:c r="Q1556" s="9" t="n">
        <x:f>COUNTIFS($A$7:$A$2310,A1556)</x:f>
        <x:v>1</x:v>
      </x:c>
    </x:row>
    <x:row r="1557">
      <x:c r="A1557" s="9" t="str">
        <x:v>PD-AR-CT-C-B-TECH-3-B2-INT-G0-PD15</x:v>
      </x:c>
      <x:c r="B1557" s="9" t="str">
        <x:v>PD-AR-CT-C-B-TECH-3-B2-INT-G0</x:v>
      </x:c>
      <x:c r="C1557" s="9" t="str">
        <x:v>EV-AR-CT-C-B-TECH-3-B2-INT-G0</x:v>
      </x:c>
      <x:c r="D1557" s="9" t="str">
        <x:v>AR-CT-C-B-TECH-3-B2-INT-G0</x:v>
      </x:c>
      <x:c r="E1557" s="9" t="str">
        <x:v>CT-C-B-TECH-3</x:v>
      </x:c>
      <x:c r="F1557" s="9" t="str">
        <x:v>CT-C-B</x:v>
      </x:c>
      <x:c r="G1557" s="9" t="str">
        <x:v>B2</x:v>
      </x:c>
      <x:c r="H1557" s="9" t="str">
        <x:v>INT</x:v>
      </x:c>
      <x:c r="I1557" s="9" t="str">
        <x:v>PD15</x:v>
      </x:c>
      <x:c r="J1557" s="17" t="str">
        <x:v>Reconstruction ancestry and replay</x:v>
      </x:c>
      <x:c r="K1557" s="17" t="str">
        <x:v>Reconstruction court</x:v>
      </x:c>
      <x:c r="L1557" s="17" t="str">
        <x:v>COURT-SEALED UNTIL COHORT RELEASE</x:v>
      </x:c>
      <x:c r="M1557" s="9" t="n">
        <x:v>0</x:v>
      </x:c>
      <x:c r="N1557" s="9" t="n">
        <x:v>0</x:v>
      </x:c>
      <x:c r="O1557" s="9" t="n">
        <x:v>0</x:v>
      </x:c>
      <x:c r="P1557" s="9" t="str">
        <x:v>HELD / UNRELEASED</x:v>
      </x:c>
      <x:c r="Q1557" s="9" t="n">
        <x:f>COUNTIFS($A$7:$A$2310,A1557)</x:f>
        <x:v>1</x:v>
      </x:c>
    </x:row>
    <x:row r="1558">
      <x:c r="A1558" s="9" t="str">
        <x:v>PD-AR-CT-C-B-TECH-3-B2-INT-G0-PD16</x:v>
      </x:c>
      <x:c r="B1558" s="9" t="str">
        <x:v>PD-AR-CT-C-B-TECH-3-B2-INT-G0</x:v>
      </x:c>
      <x:c r="C1558" s="9" t="str">
        <x:v>EV-AR-CT-C-B-TECH-3-B2-INT-G0</x:v>
      </x:c>
      <x:c r="D1558" s="9" t="str">
        <x:v>AR-CT-C-B-TECH-3-B2-INT-G0</x:v>
      </x:c>
      <x:c r="E1558" s="9" t="str">
        <x:v>CT-C-B-TECH-3</x:v>
      </x:c>
      <x:c r="F1558" s="9" t="str">
        <x:v>CT-C-B</x:v>
      </x:c>
      <x:c r="G1558" s="9" t="str">
        <x:v>B2</x:v>
      </x:c>
      <x:c r="H1558" s="9" t="str">
        <x:v>INT</x:v>
      </x:c>
      <x:c r="I1558" s="9" t="str">
        <x:v>PD16</x:v>
      </x:c>
      <x:c r="J1558" s="17" t="str">
        <x:v>Dissent, amendments and access log</x:v>
      </x:c>
      <x:c r="K1558" s="17" t="str">
        <x:v>Public archive</x:v>
      </x:c>
      <x:c r="L1558" s="17" t="str">
        <x:v>COURT-SEALED UNTIL COHORT RELEASE</x:v>
      </x:c>
      <x:c r="M1558" s="9" t="n">
        <x:v>0</x:v>
      </x:c>
      <x:c r="N1558" s="9" t="n">
        <x:v>0</x:v>
      </x:c>
      <x:c r="O1558" s="9" t="n">
        <x:v>0</x:v>
      </x:c>
      <x:c r="P1558" s="9" t="str">
        <x:v>HELD / UNRELEASED</x:v>
      </x:c>
      <x:c r="Q1558" s="9" t="n">
        <x:f>COUNTIFS($A$7:$A$2310,A1558)</x:f>
        <x:v>1</x:v>
      </x:c>
    </x:row>
    <x:row r="1559">
      <x:c r="A1559" s="9" t="str">
        <x:v>PD-AR-ET-A-A-TECH-1-B1-RCN-G0-PD01</x:v>
      </x:c>
      <x:c r="B1559" s="9" t="str">
        <x:v>PD-AR-ET-A-A-TECH-1-B1-RCN-G0</x:v>
      </x:c>
      <x:c r="C1559" s="9" t="str">
        <x:v>EV-AR-ET-A-A-TECH-1-B1-RCN-G0</x:v>
      </x:c>
      <x:c r="D1559" s="9" t="str">
        <x:v>AR-ET-A-A-TECH-1-B1-RCN-G0</x:v>
      </x:c>
      <x:c r="E1559" s="9" t="str">
        <x:v>ET-A-A-TECH-1</x:v>
      </x:c>
      <x:c r="F1559" s="9" t="str">
        <x:v>ET-A-A</x:v>
      </x:c>
      <x:c r="G1559" s="9" t="str">
        <x:v>B1</x:v>
      </x:c>
      <x:c r="H1559" s="9" t="str">
        <x:v>RCN</x:v>
      </x:c>
      <x:c r="I1559" s="9" t="str">
        <x:v>PD01</x:v>
      </x:c>
      <x:c r="J1559" s="17" t="str">
        <x:v>Experiment kernel</x:v>
      </x:c>
      <x:c r="K1559" s="17" t="str">
        <x:v>Public archive</x:v>
      </x:c>
      <x:c r="L1559" s="17" t="str">
        <x:v>COURT-SEALED UNTIL COHORT RELEASE</x:v>
      </x:c>
      <x:c r="M1559" s="9" t="n">
        <x:v>0</x:v>
      </x:c>
      <x:c r="N1559" s="9" t="n">
        <x:v>0</x:v>
      </x:c>
      <x:c r="O1559" s="9" t="n">
        <x:v>0</x:v>
      </x:c>
      <x:c r="P1559" s="9" t="str">
        <x:v>HELD / UNRELEASED</x:v>
      </x:c>
      <x:c r="Q1559" s="9" t="n">
        <x:f>COUNTIFS($A$7:$A$2310,A1559)</x:f>
        <x:v>1</x:v>
      </x:c>
    </x:row>
    <x:row r="1560">
      <x:c r="A1560" s="9" t="str">
        <x:v>PD-AR-ET-A-A-TECH-1-B1-RCN-G0-PD02</x:v>
      </x:c>
      <x:c r="B1560" s="9" t="str">
        <x:v>PD-AR-ET-A-A-TECH-1-B1-RCN-G0</x:v>
      </x:c>
      <x:c r="C1560" s="9" t="str">
        <x:v>EV-AR-ET-A-A-TECH-1-B1-RCN-G0</x:v>
      </x:c>
      <x:c r="D1560" s="9" t="str">
        <x:v>AR-ET-A-A-TECH-1-B1-RCN-G0</x:v>
      </x:c>
      <x:c r="E1560" s="9" t="str">
        <x:v>ET-A-A-TECH-1</x:v>
      </x:c>
      <x:c r="F1560" s="9" t="str">
        <x:v>ET-A-A</x:v>
      </x:c>
      <x:c r="G1560" s="9" t="str">
        <x:v>B1</x:v>
      </x:c>
      <x:c r="H1560" s="9" t="str">
        <x:v>RCN</x:v>
      </x:c>
      <x:c r="I1560" s="9" t="str">
        <x:v>PD02</x:v>
      </x:c>
      <x:c r="J1560" s="17" t="str">
        <x:v>Serial annex and title chain</x:v>
      </x:c>
      <x:c r="K1560" s="17" t="str">
        <x:v>Public archive</x:v>
      </x:c>
      <x:c r="L1560" s="17" t="str">
        <x:v>COURT-SEALED UNTIL COHORT RELEASE</x:v>
      </x:c>
      <x:c r="M1560" s="9" t="n">
        <x:v>0</x:v>
      </x:c>
      <x:c r="N1560" s="9" t="n">
        <x:v>0</x:v>
      </x:c>
      <x:c r="O1560" s="9" t="n">
        <x:v>0</x:v>
      </x:c>
      <x:c r="P1560" s="9" t="str">
        <x:v>HELD / UNRELEASED</x:v>
      </x:c>
      <x:c r="Q1560" s="9" t="n">
        <x:f>COUNTIFS($A$7:$A$2310,A1560)</x:f>
        <x:v>1</x:v>
      </x:c>
    </x:row>
    <x:row r="1561">
      <x:c r="A1561" s="9" t="str">
        <x:v>PD-AR-ET-A-A-TECH-1-B1-RCN-G0-PD03</x:v>
      </x:c>
      <x:c r="B1561" s="9" t="str">
        <x:v>PD-AR-ET-A-A-TECH-1-B1-RCN-G0</x:v>
      </x:c>
      <x:c r="C1561" s="9" t="str">
        <x:v>EV-AR-ET-A-A-TECH-1-B1-RCN-G0</x:v>
      </x:c>
      <x:c r="D1561" s="9" t="str">
        <x:v>AR-ET-A-A-TECH-1-B1-RCN-G0</x:v>
      </x:c>
      <x:c r="E1561" s="9" t="str">
        <x:v>ET-A-A-TECH-1</x:v>
      </x:c>
      <x:c r="F1561" s="9" t="str">
        <x:v>ET-A-A</x:v>
      </x:c>
      <x:c r="G1561" s="9" t="str">
        <x:v>B1</x:v>
      </x:c>
      <x:c r="H1561" s="9" t="str">
        <x:v>RCN</x:v>
      </x:c>
      <x:c r="I1561" s="9" t="str">
        <x:v>PD03</x:v>
      </x:c>
      <x:c r="J1561" s="17" t="str">
        <x:v>Configuration and as-built manifest</x:v>
      </x:c>
      <x:c r="K1561" s="17" t="str">
        <x:v>Artifact exchange</x:v>
      </x:c>
      <x:c r="L1561" s="17" t="str">
        <x:v>COURT-SEALED UNTIL COHORT RELEASE</x:v>
      </x:c>
      <x:c r="M1561" s="9" t="n">
        <x:v>0</x:v>
      </x:c>
      <x:c r="N1561" s="9" t="n">
        <x:v>0</x:v>
      </x:c>
      <x:c r="O1561" s="9" t="n">
        <x:v>0</x:v>
      </x:c>
      <x:c r="P1561" s="9" t="str">
        <x:v>HELD / UNRELEASED</x:v>
      </x:c>
      <x:c r="Q1561" s="9" t="n">
        <x:f>COUNTIFS($A$7:$A$2310,A1561)</x:f>
        <x:v>1</x:v>
      </x:c>
    </x:row>
    <x:row r="1562">
      <x:c r="A1562" s="9" t="str">
        <x:v>PD-AR-ET-A-A-TECH-1-B1-RCN-G0-PD04</x:v>
      </x:c>
      <x:c r="B1562" s="9" t="str">
        <x:v>PD-AR-ET-A-A-TECH-1-B1-RCN-G0</x:v>
      </x:c>
      <x:c r="C1562" s="9" t="str">
        <x:v>EV-AR-ET-A-A-TECH-1-B1-RCN-G0</x:v>
      </x:c>
      <x:c r="D1562" s="9" t="str">
        <x:v>AR-ET-A-A-TECH-1-B1-RCN-G0</x:v>
      </x:c>
      <x:c r="E1562" s="9" t="str">
        <x:v>ET-A-A-TECH-1</x:v>
      </x:c>
      <x:c r="F1562" s="9" t="str">
        <x:v>ET-A-A</x:v>
      </x:c>
      <x:c r="G1562" s="9" t="str">
        <x:v>B1</x:v>
      </x:c>
      <x:c r="H1562" s="9" t="str">
        <x:v>RCN</x:v>
      </x:c>
      <x:c r="I1562" s="9" t="str">
        <x:v>PD04</x:v>
      </x:c>
      <x:c r="J1562" s="17" t="str">
        <x:v>EOW and start certificate</x:v>
      </x:c>
      <x:c r="K1562" s="17" t="str">
        <x:v>Start registrar</x:v>
      </x:c>
      <x:c r="L1562" s="17" t="str">
        <x:v>COURT-SEALED UNTIL COHORT RELEASE</x:v>
      </x:c>
      <x:c r="M1562" s="9" t="n">
        <x:v>0</x:v>
      </x:c>
      <x:c r="N1562" s="9" t="n">
        <x:v>0</x:v>
      </x:c>
      <x:c r="O1562" s="9" t="n">
        <x:v>0</x:v>
      </x:c>
      <x:c r="P1562" s="9" t="str">
        <x:v>HELD / UNRELEASED</x:v>
      </x:c>
      <x:c r="Q1562" s="9" t="n">
        <x:f>COUNTIFS($A$7:$A$2310,A1562)</x:f>
        <x:v>1</x:v>
      </x:c>
    </x:row>
    <x:row r="1563">
      <x:c r="A1563" s="9" t="str">
        <x:v>PD-AR-ET-A-A-TECH-1-B1-RCN-G0-PD05</x:v>
      </x:c>
      <x:c r="B1563" s="9" t="str">
        <x:v>PD-AR-ET-A-A-TECH-1-B1-RCN-G0</x:v>
      </x:c>
      <x:c r="C1563" s="9" t="str">
        <x:v>EV-AR-ET-A-A-TECH-1-B1-RCN-G0</x:v>
      </x:c>
      <x:c r="D1563" s="9" t="str">
        <x:v>AR-ET-A-A-TECH-1-B1-RCN-G0</x:v>
      </x:c>
      <x:c r="E1563" s="9" t="str">
        <x:v>ET-A-A-TECH-1</x:v>
      </x:c>
      <x:c r="F1563" s="9" t="str">
        <x:v>ET-A-A</x:v>
      </x:c>
      <x:c r="G1563" s="9" t="str">
        <x:v>B1</x:v>
      </x:c>
      <x:c r="H1563" s="9" t="str">
        <x:v>RCN</x:v>
      </x:c>
      <x:c r="I1563" s="9" t="str">
        <x:v>PD05</x:v>
      </x:c>
      <x:c r="J1563" s="17" t="str">
        <x:v>Primary raw originals</x:v>
      </x:c>
      <x:c r="K1563" s="17" t="str">
        <x:v>Primary custody</x:v>
      </x:c>
      <x:c r="L1563" s="17" t="str">
        <x:v>COURT-SEALED UNTIL COHORT RELEASE</x:v>
      </x:c>
      <x:c r="M1563" s="9" t="n">
        <x:v>0</x:v>
      </x:c>
      <x:c r="N1563" s="9" t="n">
        <x:v>0</x:v>
      </x:c>
      <x:c r="O1563" s="9" t="n">
        <x:v>0</x:v>
      </x:c>
      <x:c r="P1563" s="9" t="str">
        <x:v>HELD / UNRELEASED</x:v>
      </x:c>
      <x:c r="Q1563" s="9" t="n">
        <x:f>COUNTIFS($A$7:$A$2310,A1563)</x:f>
        <x:v>1</x:v>
      </x:c>
    </x:row>
    <x:row r="1564">
      <x:c r="A1564" s="9" t="str">
        <x:v>PD-AR-ET-A-A-TECH-1-B1-RCN-G0-PD06</x:v>
      </x:c>
      <x:c r="B1564" s="9" t="str">
        <x:v>PD-AR-ET-A-A-TECH-1-B1-RCN-G0</x:v>
      </x:c>
      <x:c r="C1564" s="9" t="str">
        <x:v>EV-AR-ET-A-A-TECH-1-B1-RCN-G0</x:v>
      </x:c>
      <x:c r="D1564" s="9" t="str">
        <x:v>AR-ET-A-A-TECH-1-B1-RCN-G0</x:v>
      </x:c>
      <x:c r="E1564" s="9" t="str">
        <x:v>ET-A-A-TECH-1</x:v>
      </x:c>
      <x:c r="F1564" s="9" t="str">
        <x:v>ET-A-A</x:v>
      </x:c>
      <x:c r="G1564" s="9" t="str">
        <x:v>B1</x:v>
      </x:c>
      <x:c r="H1564" s="9" t="str">
        <x:v>RCN</x:v>
      </x:c>
      <x:c r="I1564" s="9" t="str">
        <x:v>PD06</x:v>
      </x:c>
      <x:c r="J1564" s="17" t="str">
        <x:v>Witness raw originals</x:v>
      </x:c>
      <x:c r="K1564" s="17" t="str">
        <x:v>Witness custody</x:v>
      </x:c>
      <x:c r="L1564" s="17" t="str">
        <x:v>COURT-SEALED UNTIL COHORT RELEASE</x:v>
      </x:c>
      <x:c r="M1564" s="9" t="n">
        <x:v>0</x:v>
      </x:c>
      <x:c r="N1564" s="9" t="n">
        <x:v>0</x:v>
      </x:c>
      <x:c r="O1564" s="9" t="n">
        <x:v>0</x:v>
      </x:c>
      <x:c r="P1564" s="9" t="str">
        <x:v>HELD / UNRELEASED</x:v>
      </x:c>
      <x:c r="Q1564" s="9" t="n">
        <x:f>COUNTIFS($A$7:$A$2310,A1564)</x:f>
        <x:v>1</x:v>
      </x:c>
    </x:row>
    <x:row r="1565">
      <x:c r="A1565" s="9" t="str">
        <x:v>PD-AR-ET-A-A-TECH-1-B1-RCN-G0-PD07</x:v>
      </x:c>
      <x:c r="B1565" s="9" t="str">
        <x:v>PD-AR-ET-A-A-TECH-1-B1-RCN-G0</x:v>
      </x:c>
      <x:c r="C1565" s="9" t="str">
        <x:v>EV-AR-ET-A-A-TECH-1-B1-RCN-G0</x:v>
      </x:c>
      <x:c r="D1565" s="9" t="str">
        <x:v>AR-ET-A-A-TECH-1-B1-RCN-G0</x:v>
      </x:c>
      <x:c r="E1565" s="9" t="str">
        <x:v>ET-A-A-TECH-1</x:v>
      </x:c>
      <x:c r="F1565" s="9" t="str">
        <x:v>ET-A-A</x:v>
      </x:c>
      <x:c r="G1565" s="9" t="str">
        <x:v>B1</x:v>
      </x:c>
      <x:c r="H1565" s="9" t="str">
        <x:v>RCN</x:v>
      </x:c>
      <x:c r="I1565" s="9" t="str">
        <x:v>PD07</x:v>
      </x:c>
      <x:c r="J1565" s="17" t="str">
        <x:v>Clock and environmental records</x:v>
      </x:c>
      <x:c r="K1565" s="17" t="str">
        <x:v>Boundary archive</x:v>
      </x:c>
      <x:c r="L1565" s="17" t="str">
        <x:v>COURT-SEALED UNTIL COHORT RELEASE</x:v>
      </x:c>
      <x:c r="M1565" s="9" t="n">
        <x:v>0</x:v>
      </x:c>
      <x:c r="N1565" s="9" t="n">
        <x:v>0</x:v>
      </x:c>
      <x:c r="O1565" s="9" t="n">
        <x:v>0</x:v>
      </x:c>
      <x:c r="P1565" s="9" t="str">
        <x:v>HELD / UNRELEASED</x:v>
      </x:c>
      <x:c r="Q1565" s="9" t="n">
        <x:f>COUNTIFS($A$7:$A$2310,A1565)</x:f>
        <x:v>1</x:v>
      </x:c>
    </x:row>
    <x:row r="1566">
      <x:c r="A1566" s="9" t="str">
        <x:v>PD-AR-ET-A-A-TECH-1-B1-RCN-G0-PD08</x:v>
      </x:c>
      <x:c r="B1566" s="9" t="str">
        <x:v>PD-AR-ET-A-A-TECH-1-B1-RCN-G0</x:v>
      </x:c>
      <x:c r="C1566" s="9" t="str">
        <x:v>EV-AR-ET-A-A-TECH-1-B1-RCN-G0</x:v>
      </x:c>
      <x:c r="D1566" s="9" t="str">
        <x:v>AR-ET-A-A-TECH-1-B1-RCN-G0</x:v>
      </x:c>
      <x:c r="E1566" s="9" t="str">
        <x:v>ET-A-A-TECH-1</x:v>
      </x:c>
      <x:c r="F1566" s="9" t="str">
        <x:v>ET-A-A</x:v>
      </x:c>
      <x:c r="G1566" s="9" t="str">
        <x:v>B1</x:v>
      </x:c>
      <x:c r="H1566" s="9" t="str">
        <x:v>RCN</x:v>
      </x:c>
      <x:c r="I1566" s="9" t="str">
        <x:v>PD08</x:v>
      </x:c>
      <x:c r="J1566" s="17" t="str">
        <x:v>Command and intervention log</x:v>
      </x:c>
      <x:c r="K1566" s="17" t="str">
        <x:v>Safety archive</x:v>
      </x:c>
      <x:c r="L1566" s="17" t="str">
        <x:v>COURT-SEALED UNTIL COHORT RELEASE</x:v>
      </x:c>
      <x:c r="M1566" s="9" t="n">
        <x:v>0</x:v>
      </x:c>
      <x:c r="N1566" s="9" t="n">
        <x:v>0</x:v>
      </x:c>
      <x:c r="O1566" s="9" t="n">
        <x:v>0</x:v>
      </x:c>
      <x:c r="P1566" s="9" t="str">
        <x:v>HELD / UNRELEASED</x:v>
      </x:c>
      <x:c r="Q1566" s="9" t="n">
        <x:f>COUNTIFS($A$7:$A$2310,A1566)</x:f>
        <x:v>1</x:v>
      </x:c>
    </x:row>
    <x:row r="1567">
      <x:c r="A1567" s="9" t="str">
        <x:v>PD-AR-ET-A-A-TECH-1-B1-RCN-G0-PD09</x:v>
      </x:c>
      <x:c r="B1567" s="9" t="str">
        <x:v>PD-AR-ET-A-A-TECH-1-B1-RCN-G0</x:v>
      </x:c>
      <x:c r="C1567" s="9" t="str">
        <x:v>EV-AR-ET-A-A-TECH-1-B1-RCN-G0</x:v>
      </x:c>
      <x:c r="D1567" s="9" t="str">
        <x:v>AR-ET-A-A-TECH-1-B1-RCN-G0</x:v>
      </x:c>
      <x:c r="E1567" s="9" t="str">
        <x:v>ET-A-A-TECH-1</x:v>
      </x:c>
      <x:c r="F1567" s="9" t="str">
        <x:v>ET-A-A</x:v>
      </x:c>
      <x:c r="G1567" s="9" t="str">
        <x:v>B1</x:v>
      </x:c>
      <x:c r="H1567" s="9" t="str">
        <x:v>RCN</x:v>
      </x:c>
      <x:c r="I1567" s="9" t="str">
        <x:v>PD09</x:v>
      </x:c>
      <x:c r="J1567" s="17" t="str">
        <x:v>Receiver denominator and service ledger</x:v>
      </x:c>
      <x:c r="K1567" s="17" t="str">
        <x:v>Receiver archive</x:v>
      </x:c>
      <x:c r="L1567" s="17" t="str">
        <x:v>COURT-SEALED UNTIL COHORT RELEASE</x:v>
      </x:c>
      <x:c r="M1567" s="9" t="n">
        <x:v>0</x:v>
      </x:c>
      <x:c r="N1567" s="9" t="n">
        <x:v>0</x:v>
      </x:c>
      <x:c r="O1567" s="9" t="n">
        <x:v>0</x:v>
      </x:c>
      <x:c r="P1567" s="9" t="str">
        <x:v>HELD / UNRELEASED</x:v>
      </x:c>
      <x:c r="Q1567" s="9" t="n">
        <x:f>COUNTIFS($A$7:$A$2310,A1567)</x:f>
        <x:v>1</x:v>
      </x:c>
    </x:row>
    <x:row r="1568">
      <x:c r="A1568" s="9" t="str">
        <x:v>PD-AR-ET-A-A-TECH-1-B1-RCN-G0-PD10</x:v>
      </x:c>
      <x:c r="B1568" s="9" t="str">
        <x:v>PD-AR-ET-A-A-TECH-1-B1-RCN-G0</x:v>
      </x:c>
      <x:c r="C1568" s="9" t="str">
        <x:v>EV-AR-ET-A-A-TECH-1-B1-RCN-G0</x:v>
      </x:c>
      <x:c r="D1568" s="9" t="str">
        <x:v>AR-ET-A-A-TECH-1-B1-RCN-G0</x:v>
      </x:c>
      <x:c r="E1568" s="9" t="str">
        <x:v>ET-A-A-TECH-1</x:v>
      </x:c>
      <x:c r="F1568" s="9" t="str">
        <x:v>ET-A-A</x:v>
      </x:c>
      <x:c r="G1568" s="9" t="str">
        <x:v>B1</x:v>
      </x:c>
      <x:c r="H1568" s="9" t="str">
        <x:v>RCN</x:v>
      </x:c>
      <x:c r="I1568" s="9" t="str">
        <x:v>PD10</x:v>
      </x:c>
      <x:c r="J1568" s="17" t="str">
        <x:v>Calibration and uncertainty record</x:v>
      </x:c>
      <x:c r="K1568" s="17" t="str">
        <x:v>Metrology archive</x:v>
      </x:c>
      <x:c r="L1568" s="17" t="str">
        <x:v>COURT-SEALED UNTIL COHORT RELEASE</x:v>
      </x:c>
      <x:c r="M1568" s="9" t="n">
        <x:v>0</x:v>
      </x:c>
      <x:c r="N1568" s="9" t="n">
        <x:v>0</x:v>
      </x:c>
      <x:c r="O1568" s="9" t="n">
        <x:v>0</x:v>
      </x:c>
      <x:c r="P1568" s="9" t="str">
        <x:v>HELD / UNRELEASED</x:v>
      </x:c>
      <x:c r="Q1568" s="9" t="n">
        <x:f>COUNTIFS($A$7:$A$2310,A1568)</x:f>
        <x:v>1</x:v>
      </x:c>
    </x:row>
    <x:row r="1569">
      <x:c r="A1569" s="9" t="str">
        <x:v>PD-AR-ET-A-A-TECH-1-B1-RCN-G0-PD11</x:v>
      </x:c>
      <x:c r="B1569" s="9" t="str">
        <x:v>PD-AR-ET-A-A-TECH-1-B1-RCN-G0</x:v>
      </x:c>
      <x:c r="C1569" s="9" t="str">
        <x:v>EV-AR-ET-A-A-TECH-1-B1-RCN-G0</x:v>
      </x:c>
      <x:c r="D1569" s="9" t="str">
        <x:v>AR-ET-A-A-TECH-1-B1-RCN-G0</x:v>
      </x:c>
      <x:c r="E1569" s="9" t="str">
        <x:v>ET-A-A-TECH-1</x:v>
      </x:c>
      <x:c r="F1569" s="9" t="str">
        <x:v>ET-A-A</x:v>
      </x:c>
      <x:c r="G1569" s="9" t="str">
        <x:v>B1</x:v>
      </x:c>
      <x:c r="H1569" s="9" t="str">
        <x:v>RCN</x:v>
      </x:c>
      <x:c r="I1569" s="9" t="str">
        <x:v>PD11</x:v>
      </x:c>
      <x:c r="J1569" s="17" t="str">
        <x:v>Invalidity petition and opinion</x:v>
      </x:c>
      <x:c r="K1569" s="17" t="str">
        <x:v>Invalidity court</x:v>
      </x:c>
      <x:c r="L1569" s="17" t="str">
        <x:v>COURT-SEALED UNTIL COHORT RELEASE</x:v>
      </x:c>
      <x:c r="M1569" s="9" t="n">
        <x:v>0</x:v>
      </x:c>
      <x:c r="N1569" s="9" t="n">
        <x:v>0</x:v>
      </x:c>
      <x:c r="O1569" s="9" t="n">
        <x:v>0</x:v>
      </x:c>
      <x:c r="P1569" s="9" t="str">
        <x:v>HELD / UNRELEASED</x:v>
      </x:c>
      <x:c r="Q1569" s="9" t="n">
        <x:f>COUNTIFS($A$7:$A$2310,A1569)</x:f>
        <x:v>1</x:v>
      </x:c>
    </x:row>
    <x:row r="1570">
      <x:c r="A1570" s="9" t="str">
        <x:v>PD-AR-ET-A-A-TECH-1-B1-RCN-G0-PD12</x:v>
      </x:c>
      <x:c r="B1570" s="9" t="str">
        <x:v>PD-AR-ET-A-A-TECH-1-B1-RCN-G0</x:v>
      </x:c>
      <x:c r="C1570" s="9" t="str">
        <x:v>EV-AR-ET-A-A-TECH-1-B1-RCN-G0</x:v>
      </x:c>
      <x:c r="D1570" s="9" t="str">
        <x:v>AR-ET-A-A-TECH-1-B1-RCN-G0</x:v>
      </x:c>
      <x:c r="E1570" s="9" t="str">
        <x:v>ET-A-A-TECH-1</x:v>
      </x:c>
      <x:c r="F1570" s="9" t="str">
        <x:v>ET-A-A</x:v>
      </x:c>
      <x:c r="G1570" s="9" t="str">
        <x:v>B1</x:v>
      </x:c>
      <x:c r="H1570" s="9" t="str">
        <x:v>RCN</x:v>
      </x:c>
      <x:c r="I1570" s="9" t="str">
        <x:v>PD12</x:v>
      </x:c>
      <x:c r="J1570" s="17" t="str">
        <x:v>Observation acceptance and replay</x:v>
      </x:c>
      <x:c r="K1570" s="17" t="str">
        <x:v>Observation court</x:v>
      </x:c>
      <x:c r="L1570" s="17" t="str">
        <x:v>COURT-SEALED UNTIL COHORT RELEASE</x:v>
      </x:c>
      <x:c r="M1570" s="9" t="n">
        <x:v>0</x:v>
      </x:c>
      <x:c r="N1570" s="9" t="n">
        <x:v>0</x:v>
      </x:c>
      <x:c r="O1570" s="9" t="n">
        <x:v>0</x:v>
      </x:c>
      <x:c r="P1570" s="9" t="str">
        <x:v>HELD / UNRELEASED</x:v>
      </x:c>
      <x:c r="Q1570" s="9" t="n">
        <x:f>COUNTIFS($A$7:$A$2310,A1570)</x:f>
        <x:v>1</x:v>
      </x:c>
    </x:row>
    <x:row r="1571">
      <x:c r="A1571" s="9" t="str">
        <x:v>PD-AR-ET-A-A-TECH-1-B1-RCN-G0-PD13</x:v>
      </x:c>
      <x:c r="B1571" s="9" t="str">
        <x:v>PD-AR-ET-A-A-TECH-1-B1-RCN-G0</x:v>
      </x:c>
      <x:c r="C1571" s="9" t="str">
        <x:v>EV-AR-ET-A-A-TECH-1-B1-RCN-G0</x:v>
      </x:c>
      <x:c r="D1571" s="9" t="str">
        <x:v>AR-ET-A-A-TECH-1-B1-RCN-G0</x:v>
      </x:c>
      <x:c r="E1571" s="9" t="str">
        <x:v>ET-A-A-TECH-1</x:v>
      </x:c>
      <x:c r="F1571" s="9" t="str">
        <x:v>ET-A-A</x:v>
      </x:c>
      <x:c r="G1571" s="9" t="str">
        <x:v>B1</x:v>
      </x:c>
      <x:c r="H1571" s="9" t="str">
        <x:v>RCN</x:v>
      </x:c>
      <x:c r="I1571" s="9" t="str">
        <x:v>PD13</x:v>
      </x:c>
      <x:c r="J1571" s="17" t="str">
        <x:v>Role judgment</x:v>
      </x:c>
      <x:c r="K1571" s="17" t="str">
        <x:v>Role court</x:v>
      </x:c>
      <x:c r="L1571" s="17" t="str">
        <x:v>COURT-SEALED UNTIL COHORT RELEASE</x:v>
      </x:c>
      <x:c r="M1571" s="9" t="n">
        <x:v>0</x:v>
      </x:c>
      <x:c r="N1571" s="9" t="n">
        <x:v>0</x:v>
      </x:c>
      <x:c r="O1571" s="9" t="n">
        <x:v>0</x:v>
      </x:c>
      <x:c r="P1571" s="9" t="str">
        <x:v>HELD / UNRELEASED</x:v>
      </x:c>
      <x:c r="Q1571" s="9" t="n">
        <x:f>COUNTIFS($A$7:$A$2310,A1571)</x:f>
        <x:v>1</x:v>
      </x:c>
    </x:row>
    <x:row r="1572">
      <x:c r="A1572" s="9" t="str">
        <x:v>PD-AR-ET-A-A-TECH-1-B1-RCN-G0-PD14</x:v>
      </x:c>
      <x:c r="B1572" s="9" t="str">
        <x:v>PD-AR-ET-A-A-TECH-1-B1-RCN-G0</x:v>
      </x:c>
      <x:c r="C1572" s="9" t="str">
        <x:v>EV-AR-ET-A-A-TECH-1-B1-RCN-G0</x:v>
      </x:c>
      <x:c r="D1572" s="9" t="str">
        <x:v>AR-ET-A-A-TECH-1-B1-RCN-G0</x:v>
      </x:c>
      <x:c r="E1572" s="9" t="str">
        <x:v>ET-A-A-TECH-1</x:v>
      </x:c>
      <x:c r="F1572" s="9" t="str">
        <x:v>ET-A-A</x:v>
      </x:c>
      <x:c r="G1572" s="9" t="str">
        <x:v>B1</x:v>
      </x:c>
      <x:c r="H1572" s="9" t="str">
        <x:v>RCN</x:v>
      </x:c>
      <x:c r="I1572" s="9" t="str">
        <x:v>PD14</x:v>
      </x:c>
      <x:c r="J1572" s="17" t="str">
        <x:v>Break and residual account</x:v>
      </x:c>
      <x:c r="K1572" s="17" t="str">
        <x:v>Residual authority</x:v>
      </x:c>
      <x:c r="L1572" s="17" t="str">
        <x:v>COURT-SEALED UNTIL COHORT RELEASE</x:v>
      </x:c>
      <x:c r="M1572" s="9" t="n">
        <x:v>0</x:v>
      </x:c>
      <x:c r="N1572" s="9" t="n">
        <x:v>0</x:v>
      </x:c>
      <x:c r="O1572" s="9" t="n">
        <x:v>0</x:v>
      </x:c>
      <x:c r="P1572" s="9" t="str">
        <x:v>HELD / UNRELEASED</x:v>
      </x:c>
      <x:c r="Q1572" s="9" t="n">
        <x:f>COUNTIFS($A$7:$A$2310,A1572)</x:f>
        <x:v>1</x:v>
      </x:c>
    </x:row>
    <x:row r="1573">
      <x:c r="A1573" s="9" t="str">
        <x:v>PD-AR-ET-A-A-TECH-1-B1-RCN-G0-PD15</x:v>
      </x:c>
      <x:c r="B1573" s="9" t="str">
        <x:v>PD-AR-ET-A-A-TECH-1-B1-RCN-G0</x:v>
      </x:c>
      <x:c r="C1573" s="9" t="str">
        <x:v>EV-AR-ET-A-A-TECH-1-B1-RCN-G0</x:v>
      </x:c>
      <x:c r="D1573" s="9" t="str">
        <x:v>AR-ET-A-A-TECH-1-B1-RCN-G0</x:v>
      </x:c>
      <x:c r="E1573" s="9" t="str">
        <x:v>ET-A-A-TECH-1</x:v>
      </x:c>
      <x:c r="F1573" s="9" t="str">
        <x:v>ET-A-A</x:v>
      </x:c>
      <x:c r="G1573" s="9" t="str">
        <x:v>B1</x:v>
      </x:c>
      <x:c r="H1573" s="9" t="str">
        <x:v>RCN</x:v>
      </x:c>
      <x:c r="I1573" s="9" t="str">
        <x:v>PD15</x:v>
      </x:c>
      <x:c r="J1573" s="17" t="str">
        <x:v>Reconstruction ancestry and replay</x:v>
      </x:c>
      <x:c r="K1573" s="17" t="str">
        <x:v>Reconstruction court</x:v>
      </x:c>
      <x:c r="L1573" s="17" t="str">
        <x:v>COURT-SEALED UNTIL COHORT RELEASE</x:v>
      </x:c>
      <x:c r="M1573" s="9" t="n">
        <x:v>0</x:v>
      </x:c>
      <x:c r="N1573" s="9" t="n">
        <x:v>0</x:v>
      </x:c>
      <x:c r="O1573" s="9" t="n">
        <x:v>0</x:v>
      </x:c>
      <x:c r="P1573" s="9" t="str">
        <x:v>HELD / UNRELEASED</x:v>
      </x:c>
      <x:c r="Q1573" s="9" t="n">
        <x:f>COUNTIFS($A$7:$A$2310,A1573)</x:f>
        <x:v>1</x:v>
      </x:c>
    </x:row>
    <x:row r="1574">
      <x:c r="A1574" s="9" t="str">
        <x:v>PD-AR-ET-A-A-TECH-1-B1-RCN-G0-PD16</x:v>
      </x:c>
      <x:c r="B1574" s="9" t="str">
        <x:v>PD-AR-ET-A-A-TECH-1-B1-RCN-G0</x:v>
      </x:c>
      <x:c r="C1574" s="9" t="str">
        <x:v>EV-AR-ET-A-A-TECH-1-B1-RCN-G0</x:v>
      </x:c>
      <x:c r="D1574" s="9" t="str">
        <x:v>AR-ET-A-A-TECH-1-B1-RCN-G0</x:v>
      </x:c>
      <x:c r="E1574" s="9" t="str">
        <x:v>ET-A-A-TECH-1</x:v>
      </x:c>
      <x:c r="F1574" s="9" t="str">
        <x:v>ET-A-A</x:v>
      </x:c>
      <x:c r="G1574" s="9" t="str">
        <x:v>B1</x:v>
      </x:c>
      <x:c r="H1574" s="9" t="str">
        <x:v>RCN</x:v>
      </x:c>
      <x:c r="I1574" s="9" t="str">
        <x:v>PD16</x:v>
      </x:c>
      <x:c r="J1574" s="17" t="str">
        <x:v>Dissent, amendments and access log</x:v>
      </x:c>
      <x:c r="K1574" s="17" t="str">
        <x:v>Public archive</x:v>
      </x:c>
      <x:c r="L1574" s="17" t="str">
        <x:v>COURT-SEALED UNTIL COHORT RELEASE</x:v>
      </x:c>
      <x:c r="M1574" s="9" t="n">
        <x:v>0</x:v>
      </x:c>
      <x:c r="N1574" s="9" t="n">
        <x:v>0</x:v>
      </x:c>
      <x:c r="O1574" s="9" t="n">
        <x:v>0</x:v>
      </x:c>
      <x:c r="P1574" s="9" t="str">
        <x:v>HELD / UNRELEASED</x:v>
      </x:c>
      <x:c r="Q1574" s="9" t="n">
        <x:f>COUNTIFS($A$7:$A$2310,A1574)</x:f>
        <x:v>1</x:v>
      </x:c>
    </x:row>
    <x:row r="1575">
      <x:c r="A1575" s="9" t="str">
        <x:v>PD-AR-HC-A-C-TECH-4-B2-RCN-G0-PD01</x:v>
      </x:c>
      <x:c r="B1575" s="9" t="str">
        <x:v>PD-AR-HC-A-C-TECH-4-B2-RCN-G0</x:v>
      </x:c>
      <x:c r="C1575" s="9" t="str">
        <x:v>EV-AR-HC-A-C-TECH-4-B2-RCN-G0</x:v>
      </x:c>
      <x:c r="D1575" s="9" t="str">
        <x:v>AR-HC-A-C-TECH-4-B2-RCN-G0</x:v>
      </x:c>
      <x:c r="E1575" s="9" t="str">
        <x:v>HC-A-C-TECH-4</x:v>
      </x:c>
      <x:c r="F1575" s="9" t="str">
        <x:v>HC-A-C</x:v>
      </x:c>
      <x:c r="G1575" s="9" t="str">
        <x:v>B2</x:v>
      </x:c>
      <x:c r="H1575" s="9" t="str">
        <x:v>RCN</x:v>
      </x:c>
      <x:c r="I1575" s="9" t="str">
        <x:v>PD01</x:v>
      </x:c>
      <x:c r="J1575" s="17" t="str">
        <x:v>Experiment kernel</x:v>
      </x:c>
      <x:c r="K1575" s="17" t="str">
        <x:v>Public archive</x:v>
      </x:c>
      <x:c r="L1575" s="17" t="str">
        <x:v>COURT-SEALED UNTIL COHORT RELEASE</x:v>
      </x:c>
      <x:c r="M1575" s="9" t="n">
        <x:v>0</x:v>
      </x:c>
      <x:c r="N1575" s="9" t="n">
        <x:v>0</x:v>
      </x:c>
      <x:c r="O1575" s="9" t="n">
        <x:v>0</x:v>
      </x:c>
      <x:c r="P1575" s="9" t="str">
        <x:v>HELD / UNRELEASED</x:v>
      </x:c>
      <x:c r="Q1575" s="9" t="n">
        <x:f>COUNTIFS($A$7:$A$2310,A1575)</x:f>
        <x:v>1</x:v>
      </x:c>
    </x:row>
    <x:row r="1576">
      <x:c r="A1576" s="9" t="str">
        <x:v>PD-AR-HC-A-C-TECH-4-B2-RCN-G0-PD02</x:v>
      </x:c>
      <x:c r="B1576" s="9" t="str">
        <x:v>PD-AR-HC-A-C-TECH-4-B2-RCN-G0</x:v>
      </x:c>
      <x:c r="C1576" s="9" t="str">
        <x:v>EV-AR-HC-A-C-TECH-4-B2-RCN-G0</x:v>
      </x:c>
      <x:c r="D1576" s="9" t="str">
        <x:v>AR-HC-A-C-TECH-4-B2-RCN-G0</x:v>
      </x:c>
      <x:c r="E1576" s="9" t="str">
        <x:v>HC-A-C-TECH-4</x:v>
      </x:c>
      <x:c r="F1576" s="9" t="str">
        <x:v>HC-A-C</x:v>
      </x:c>
      <x:c r="G1576" s="9" t="str">
        <x:v>B2</x:v>
      </x:c>
      <x:c r="H1576" s="9" t="str">
        <x:v>RCN</x:v>
      </x:c>
      <x:c r="I1576" s="9" t="str">
        <x:v>PD02</x:v>
      </x:c>
      <x:c r="J1576" s="17" t="str">
        <x:v>Serial annex and title chain</x:v>
      </x:c>
      <x:c r="K1576" s="17" t="str">
        <x:v>Public archive</x:v>
      </x:c>
      <x:c r="L1576" s="17" t="str">
        <x:v>COURT-SEALED UNTIL COHORT RELEASE</x:v>
      </x:c>
      <x:c r="M1576" s="9" t="n">
        <x:v>0</x:v>
      </x:c>
      <x:c r="N1576" s="9" t="n">
        <x:v>0</x:v>
      </x:c>
      <x:c r="O1576" s="9" t="n">
        <x:v>0</x:v>
      </x:c>
      <x:c r="P1576" s="9" t="str">
        <x:v>HELD / UNRELEASED</x:v>
      </x:c>
      <x:c r="Q1576" s="9" t="n">
        <x:f>COUNTIFS($A$7:$A$2310,A1576)</x:f>
        <x:v>1</x:v>
      </x:c>
    </x:row>
    <x:row r="1577">
      <x:c r="A1577" s="9" t="str">
        <x:v>PD-AR-HC-A-C-TECH-4-B2-RCN-G0-PD03</x:v>
      </x:c>
      <x:c r="B1577" s="9" t="str">
        <x:v>PD-AR-HC-A-C-TECH-4-B2-RCN-G0</x:v>
      </x:c>
      <x:c r="C1577" s="9" t="str">
        <x:v>EV-AR-HC-A-C-TECH-4-B2-RCN-G0</x:v>
      </x:c>
      <x:c r="D1577" s="9" t="str">
        <x:v>AR-HC-A-C-TECH-4-B2-RCN-G0</x:v>
      </x:c>
      <x:c r="E1577" s="9" t="str">
        <x:v>HC-A-C-TECH-4</x:v>
      </x:c>
      <x:c r="F1577" s="9" t="str">
        <x:v>HC-A-C</x:v>
      </x:c>
      <x:c r="G1577" s="9" t="str">
        <x:v>B2</x:v>
      </x:c>
      <x:c r="H1577" s="9" t="str">
        <x:v>RCN</x:v>
      </x:c>
      <x:c r="I1577" s="9" t="str">
        <x:v>PD03</x:v>
      </x:c>
      <x:c r="J1577" s="17" t="str">
        <x:v>Configuration and as-built manifest</x:v>
      </x:c>
      <x:c r="K1577" s="17" t="str">
        <x:v>Artifact exchange</x:v>
      </x:c>
      <x:c r="L1577" s="17" t="str">
        <x:v>COURT-SEALED UNTIL COHORT RELEASE</x:v>
      </x:c>
      <x:c r="M1577" s="9" t="n">
        <x:v>0</x:v>
      </x:c>
      <x:c r="N1577" s="9" t="n">
        <x:v>0</x:v>
      </x:c>
      <x:c r="O1577" s="9" t="n">
        <x:v>0</x:v>
      </x:c>
      <x:c r="P1577" s="9" t="str">
        <x:v>HELD / UNRELEASED</x:v>
      </x:c>
      <x:c r="Q1577" s="9" t="n">
        <x:f>COUNTIFS($A$7:$A$2310,A1577)</x:f>
        <x:v>1</x:v>
      </x:c>
    </x:row>
    <x:row r="1578">
      <x:c r="A1578" s="9" t="str">
        <x:v>PD-AR-HC-A-C-TECH-4-B2-RCN-G0-PD04</x:v>
      </x:c>
      <x:c r="B1578" s="9" t="str">
        <x:v>PD-AR-HC-A-C-TECH-4-B2-RCN-G0</x:v>
      </x:c>
      <x:c r="C1578" s="9" t="str">
        <x:v>EV-AR-HC-A-C-TECH-4-B2-RCN-G0</x:v>
      </x:c>
      <x:c r="D1578" s="9" t="str">
        <x:v>AR-HC-A-C-TECH-4-B2-RCN-G0</x:v>
      </x:c>
      <x:c r="E1578" s="9" t="str">
        <x:v>HC-A-C-TECH-4</x:v>
      </x:c>
      <x:c r="F1578" s="9" t="str">
        <x:v>HC-A-C</x:v>
      </x:c>
      <x:c r="G1578" s="9" t="str">
        <x:v>B2</x:v>
      </x:c>
      <x:c r="H1578" s="9" t="str">
        <x:v>RCN</x:v>
      </x:c>
      <x:c r="I1578" s="9" t="str">
        <x:v>PD04</x:v>
      </x:c>
      <x:c r="J1578" s="17" t="str">
        <x:v>EOW and start certificate</x:v>
      </x:c>
      <x:c r="K1578" s="17" t="str">
        <x:v>Start registrar</x:v>
      </x:c>
      <x:c r="L1578" s="17" t="str">
        <x:v>COURT-SEALED UNTIL COHORT RELEASE</x:v>
      </x:c>
      <x:c r="M1578" s="9" t="n">
        <x:v>0</x:v>
      </x:c>
      <x:c r="N1578" s="9" t="n">
        <x:v>0</x:v>
      </x:c>
      <x:c r="O1578" s="9" t="n">
        <x:v>0</x:v>
      </x:c>
      <x:c r="P1578" s="9" t="str">
        <x:v>HELD / UNRELEASED</x:v>
      </x:c>
      <x:c r="Q1578" s="9" t="n">
        <x:f>COUNTIFS($A$7:$A$2310,A1578)</x:f>
        <x:v>1</x:v>
      </x:c>
    </x:row>
    <x:row r="1579">
      <x:c r="A1579" s="9" t="str">
        <x:v>PD-AR-HC-A-C-TECH-4-B2-RCN-G0-PD05</x:v>
      </x:c>
      <x:c r="B1579" s="9" t="str">
        <x:v>PD-AR-HC-A-C-TECH-4-B2-RCN-G0</x:v>
      </x:c>
      <x:c r="C1579" s="9" t="str">
        <x:v>EV-AR-HC-A-C-TECH-4-B2-RCN-G0</x:v>
      </x:c>
      <x:c r="D1579" s="9" t="str">
        <x:v>AR-HC-A-C-TECH-4-B2-RCN-G0</x:v>
      </x:c>
      <x:c r="E1579" s="9" t="str">
        <x:v>HC-A-C-TECH-4</x:v>
      </x:c>
      <x:c r="F1579" s="9" t="str">
        <x:v>HC-A-C</x:v>
      </x:c>
      <x:c r="G1579" s="9" t="str">
        <x:v>B2</x:v>
      </x:c>
      <x:c r="H1579" s="9" t="str">
        <x:v>RCN</x:v>
      </x:c>
      <x:c r="I1579" s="9" t="str">
        <x:v>PD05</x:v>
      </x:c>
      <x:c r="J1579" s="17" t="str">
        <x:v>Primary raw originals</x:v>
      </x:c>
      <x:c r="K1579" s="17" t="str">
        <x:v>Primary custody</x:v>
      </x:c>
      <x:c r="L1579" s="17" t="str">
        <x:v>COURT-SEALED UNTIL COHORT RELEASE</x:v>
      </x:c>
      <x:c r="M1579" s="9" t="n">
        <x:v>0</x:v>
      </x:c>
      <x:c r="N1579" s="9" t="n">
        <x:v>0</x:v>
      </x:c>
      <x:c r="O1579" s="9" t="n">
        <x:v>0</x:v>
      </x:c>
      <x:c r="P1579" s="9" t="str">
        <x:v>HELD / UNRELEASED</x:v>
      </x:c>
      <x:c r="Q1579" s="9" t="n">
        <x:f>COUNTIFS($A$7:$A$2310,A1579)</x:f>
        <x:v>1</x:v>
      </x:c>
    </x:row>
    <x:row r="1580">
      <x:c r="A1580" s="9" t="str">
        <x:v>PD-AR-HC-A-C-TECH-4-B2-RCN-G0-PD06</x:v>
      </x:c>
      <x:c r="B1580" s="9" t="str">
        <x:v>PD-AR-HC-A-C-TECH-4-B2-RCN-G0</x:v>
      </x:c>
      <x:c r="C1580" s="9" t="str">
        <x:v>EV-AR-HC-A-C-TECH-4-B2-RCN-G0</x:v>
      </x:c>
      <x:c r="D1580" s="9" t="str">
        <x:v>AR-HC-A-C-TECH-4-B2-RCN-G0</x:v>
      </x:c>
      <x:c r="E1580" s="9" t="str">
        <x:v>HC-A-C-TECH-4</x:v>
      </x:c>
      <x:c r="F1580" s="9" t="str">
        <x:v>HC-A-C</x:v>
      </x:c>
      <x:c r="G1580" s="9" t="str">
        <x:v>B2</x:v>
      </x:c>
      <x:c r="H1580" s="9" t="str">
        <x:v>RCN</x:v>
      </x:c>
      <x:c r="I1580" s="9" t="str">
        <x:v>PD06</x:v>
      </x:c>
      <x:c r="J1580" s="17" t="str">
        <x:v>Witness raw originals</x:v>
      </x:c>
      <x:c r="K1580" s="17" t="str">
        <x:v>Witness custody</x:v>
      </x:c>
      <x:c r="L1580" s="17" t="str">
        <x:v>COURT-SEALED UNTIL COHORT RELEASE</x:v>
      </x:c>
      <x:c r="M1580" s="9" t="n">
        <x:v>0</x:v>
      </x:c>
      <x:c r="N1580" s="9" t="n">
        <x:v>0</x:v>
      </x:c>
      <x:c r="O1580" s="9" t="n">
        <x:v>0</x:v>
      </x:c>
      <x:c r="P1580" s="9" t="str">
        <x:v>HELD / UNRELEASED</x:v>
      </x:c>
      <x:c r="Q1580" s="9" t="n">
        <x:f>COUNTIFS($A$7:$A$2310,A1580)</x:f>
        <x:v>1</x:v>
      </x:c>
    </x:row>
    <x:row r="1581">
      <x:c r="A1581" s="9" t="str">
        <x:v>PD-AR-HC-A-C-TECH-4-B2-RCN-G0-PD07</x:v>
      </x:c>
      <x:c r="B1581" s="9" t="str">
        <x:v>PD-AR-HC-A-C-TECH-4-B2-RCN-G0</x:v>
      </x:c>
      <x:c r="C1581" s="9" t="str">
        <x:v>EV-AR-HC-A-C-TECH-4-B2-RCN-G0</x:v>
      </x:c>
      <x:c r="D1581" s="9" t="str">
        <x:v>AR-HC-A-C-TECH-4-B2-RCN-G0</x:v>
      </x:c>
      <x:c r="E1581" s="9" t="str">
        <x:v>HC-A-C-TECH-4</x:v>
      </x:c>
      <x:c r="F1581" s="9" t="str">
        <x:v>HC-A-C</x:v>
      </x:c>
      <x:c r="G1581" s="9" t="str">
        <x:v>B2</x:v>
      </x:c>
      <x:c r="H1581" s="9" t="str">
        <x:v>RCN</x:v>
      </x:c>
      <x:c r="I1581" s="9" t="str">
        <x:v>PD07</x:v>
      </x:c>
      <x:c r="J1581" s="17" t="str">
        <x:v>Clock and environmental records</x:v>
      </x:c>
      <x:c r="K1581" s="17" t="str">
        <x:v>Boundary archive</x:v>
      </x:c>
      <x:c r="L1581" s="17" t="str">
        <x:v>COURT-SEALED UNTIL COHORT RELEASE</x:v>
      </x:c>
      <x:c r="M1581" s="9" t="n">
        <x:v>0</x:v>
      </x:c>
      <x:c r="N1581" s="9" t="n">
        <x:v>0</x:v>
      </x:c>
      <x:c r="O1581" s="9" t="n">
        <x:v>0</x:v>
      </x:c>
      <x:c r="P1581" s="9" t="str">
        <x:v>HELD / UNRELEASED</x:v>
      </x:c>
      <x:c r="Q1581" s="9" t="n">
        <x:f>COUNTIFS($A$7:$A$2310,A1581)</x:f>
        <x:v>1</x:v>
      </x:c>
    </x:row>
    <x:row r="1582">
      <x:c r="A1582" s="9" t="str">
        <x:v>PD-AR-HC-A-C-TECH-4-B2-RCN-G0-PD08</x:v>
      </x:c>
      <x:c r="B1582" s="9" t="str">
        <x:v>PD-AR-HC-A-C-TECH-4-B2-RCN-G0</x:v>
      </x:c>
      <x:c r="C1582" s="9" t="str">
        <x:v>EV-AR-HC-A-C-TECH-4-B2-RCN-G0</x:v>
      </x:c>
      <x:c r="D1582" s="9" t="str">
        <x:v>AR-HC-A-C-TECH-4-B2-RCN-G0</x:v>
      </x:c>
      <x:c r="E1582" s="9" t="str">
        <x:v>HC-A-C-TECH-4</x:v>
      </x:c>
      <x:c r="F1582" s="9" t="str">
        <x:v>HC-A-C</x:v>
      </x:c>
      <x:c r="G1582" s="9" t="str">
        <x:v>B2</x:v>
      </x:c>
      <x:c r="H1582" s="9" t="str">
        <x:v>RCN</x:v>
      </x:c>
      <x:c r="I1582" s="9" t="str">
        <x:v>PD08</x:v>
      </x:c>
      <x:c r="J1582" s="17" t="str">
        <x:v>Command and intervention log</x:v>
      </x:c>
      <x:c r="K1582" s="17" t="str">
        <x:v>Safety archive</x:v>
      </x:c>
      <x:c r="L1582" s="17" t="str">
        <x:v>COURT-SEALED UNTIL COHORT RELEASE</x:v>
      </x:c>
      <x:c r="M1582" s="9" t="n">
        <x:v>0</x:v>
      </x:c>
      <x:c r="N1582" s="9" t="n">
        <x:v>0</x:v>
      </x:c>
      <x:c r="O1582" s="9" t="n">
        <x:v>0</x:v>
      </x:c>
      <x:c r="P1582" s="9" t="str">
        <x:v>HELD / UNRELEASED</x:v>
      </x:c>
      <x:c r="Q1582" s="9" t="n">
        <x:f>COUNTIFS($A$7:$A$2310,A1582)</x:f>
        <x:v>1</x:v>
      </x:c>
    </x:row>
    <x:row r="1583">
      <x:c r="A1583" s="9" t="str">
        <x:v>PD-AR-HC-A-C-TECH-4-B2-RCN-G0-PD09</x:v>
      </x:c>
      <x:c r="B1583" s="9" t="str">
        <x:v>PD-AR-HC-A-C-TECH-4-B2-RCN-G0</x:v>
      </x:c>
      <x:c r="C1583" s="9" t="str">
        <x:v>EV-AR-HC-A-C-TECH-4-B2-RCN-G0</x:v>
      </x:c>
      <x:c r="D1583" s="9" t="str">
        <x:v>AR-HC-A-C-TECH-4-B2-RCN-G0</x:v>
      </x:c>
      <x:c r="E1583" s="9" t="str">
        <x:v>HC-A-C-TECH-4</x:v>
      </x:c>
      <x:c r="F1583" s="9" t="str">
        <x:v>HC-A-C</x:v>
      </x:c>
      <x:c r="G1583" s="9" t="str">
        <x:v>B2</x:v>
      </x:c>
      <x:c r="H1583" s="9" t="str">
        <x:v>RCN</x:v>
      </x:c>
      <x:c r="I1583" s="9" t="str">
        <x:v>PD09</x:v>
      </x:c>
      <x:c r="J1583" s="17" t="str">
        <x:v>Receiver denominator and service ledger</x:v>
      </x:c>
      <x:c r="K1583" s="17" t="str">
        <x:v>Receiver archive</x:v>
      </x:c>
      <x:c r="L1583" s="17" t="str">
        <x:v>COURT-SEALED UNTIL COHORT RELEASE</x:v>
      </x:c>
      <x:c r="M1583" s="9" t="n">
        <x:v>0</x:v>
      </x:c>
      <x:c r="N1583" s="9" t="n">
        <x:v>0</x:v>
      </x:c>
      <x:c r="O1583" s="9" t="n">
        <x:v>0</x:v>
      </x:c>
      <x:c r="P1583" s="9" t="str">
        <x:v>HELD / UNRELEASED</x:v>
      </x:c>
      <x:c r="Q1583" s="9" t="n">
        <x:f>COUNTIFS($A$7:$A$2310,A1583)</x:f>
        <x:v>1</x:v>
      </x:c>
    </x:row>
    <x:row r="1584">
      <x:c r="A1584" s="9" t="str">
        <x:v>PD-AR-HC-A-C-TECH-4-B2-RCN-G0-PD10</x:v>
      </x:c>
      <x:c r="B1584" s="9" t="str">
        <x:v>PD-AR-HC-A-C-TECH-4-B2-RCN-G0</x:v>
      </x:c>
      <x:c r="C1584" s="9" t="str">
        <x:v>EV-AR-HC-A-C-TECH-4-B2-RCN-G0</x:v>
      </x:c>
      <x:c r="D1584" s="9" t="str">
        <x:v>AR-HC-A-C-TECH-4-B2-RCN-G0</x:v>
      </x:c>
      <x:c r="E1584" s="9" t="str">
        <x:v>HC-A-C-TECH-4</x:v>
      </x:c>
      <x:c r="F1584" s="9" t="str">
        <x:v>HC-A-C</x:v>
      </x:c>
      <x:c r="G1584" s="9" t="str">
        <x:v>B2</x:v>
      </x:c>
      <x:c r="H1584" s="9" t="str">
        <x:v>RCN</x:v>
      </x:c>
      <x:c r="I1584" s="9" t="str">
        <x:v>PD10</x:v>
      </x:c>
      <x:c r="J1584" s="17" t="str">
        <x:v>Calibration and uncertainty record</x:v>
      </x:c>
      <x:c r="K1584" s="17" t="str">
        <x:v>Metrology archive</x:v>
      </x:c>
      <x:c r="L1584" s="17" t="str">
        <x:v>COURT-SEALED UNTIL COHORT RELEASE</x:v>
      </x:c>
      <x:c r="M1584" s="9" t="n">
        <x:v>0</x:v>
      </x:c>
      <x:c r="N1584" s="9" t="n">
        <x:v>0</x:v>
      </x:c>
      <x:c r="O1584" s="9" t="n">
        <x:v>0</x:v>
      </x:c>
      <x:c r="P1584" s="9" t="str">
        <x:v>HELD / UNRELEASED</x:v>
      </x:c>
      <x:c r="Q1584" s="9" t="n">
        <x:f>COUNTIFS($A$7:$A$2310,A1584)</x:f>
        <x:v>1</x:v>
      </x:c>
    </x:row>
    <x:row r="1585">
      <x:c r="A1585" s="9" t="str">
        <x:v>PD-AR-HC-A-C-TECH-4-B2-RCN-G0-PD11</x:v>
      </x:c>
      <x:c r="B1585" s="9" t="str">
        <x:v>PD-AR-HC-A-C-TECH-4-B2-RCN-G0</x:v>
      </x:c>
      <x:c r="C1585" s="9" t="str">
        <x:v>EV-AR-HC-A-C-TECH-4-B2-RCN-G0</x:v>
      </x:c>
      <x:c r="D1585" s="9" t="str">
        <x:v>AR-HC-A-C-TECH-4-B2-RCN-G0</x:v>
      </x:c>
      <x:c r="E1585" s="9" t="str">
        <x:v>HC-A-C-TECH-4</x:v>
      </x:c>
      <x:c r="F1585" s="9" t="str">
        <x:v>HC-A-C</x:v>
      </x:c>
      <x:c r="G1585" s="9" t="str">
        <x:v>B2</x:v>
      </x:c>
      <x:c r="H1585" s="9" t="str">
        <x:v>RCN</x:v>
      </x:c>
      <x:c r="I1585" s="9" t="str">
        <x:v>PD11</x:v>
      </x:c>
      <x:c r="J1585" s="17" t="str">
        <x:v>Invalidity petition and opinion</x:v>
      </x:c>
      <x:c r="K1585" s="17" t="str">
        <x:v>Invalidity court</x:v>
      </x:c>
      <x:c r="L1585" s="17" t="str">
        <x:v>COURT-SEALED UNTIL COHORT RELEASE</x:v>
      </x:c>
      <x:c r="M1585" s="9" t="n">
        <x:v>0</x:v>
      </x:c>
      <x:c r="N1585" s="9" t="n">
        <x:v>0</x:v>
      </x:c>
      <x:c r="O1585" s="9" t="n">
        <x:v>0</x:v>
      </x:c>
      <x:c r="P1585" s="9" t="str">
        <x:v>HELD / UNRELEASED</x:v>
      </x:c>
      <x:c r="Q1585" s="9" t="n">
        <x:f>COUNTIFS($A$7:$A$2310,A1585)</x:f>
        <x:v>1</x:v>
      </x:c>
    </x:row>
    <x:row r="1586">
      <x:c r="A1586" s="9" t="str">
        <x:v>PD-AR-HC-A-C-TECH-4-B2-RCN-G0-PD12</x:v>
      </x:c>
      <x:c r="B1586" s="9" t="str">
        <x:v>PD-AR-HC-A-C-TECH-4-B2-RCN-G0</x:v>
      </x:c>
      <x:c r="C1586" s="9" t="str">
        <x:v>EV-AR-HC-A-C-TECH-4-B2-RCN-G0</x:v>
      </x:c>
      <x:c r="D1586" s="9" t="str">
        <x:v>AR-HC-A-C-TECH-4-B2-RCN-G0</x:v>
      </x:c>
      <x:c r="E1586" s="9" t="str">
        <x:v>HC-A-C-TECH-4</x:v>
      </x:c>
      <x:c r="F1586" s="9" t="str">
        <x:v>HC-A-C</x:v>
      </x:c>
      <x:c r="G1586" s="9" t="str">
        <x:v>B2</x:v>
      </x:c>
      <x:c r="H1586" s="9" t="str">
        <x:v>RCN</x:v>
      </x:c>
      <x:c r="I1586" s="9" t="str">
        <x:v>PD12</x:v>
      </x:c>
      <x:c r="J1586" s="17" t="str">
        <x:v>Observation acceptance and replay</x:v>
      </x:c>
      <x:c r="K1586" s="17" t="str">
        <x:v>Observation court</x:v>
      </x:c>
      <x:c r="L1586" s="17" t="str">
        <x:v>COURT-SEALED UNTIL COHORT RELEASE</x:v>
      </x:c>
      <x:c r="M1586" s="9" t="n">
        <x:v>0</x:v>
      </x:c>
      <x:c r="N1586" s="9" t="n">
        <x:v>0</x:v>
      </x:c>
      <x:c r="O1586" s="9" t="n">
        <x:v>0</x:v>
      </x:c>
      <x:c r="P1586" s="9" t="str">
        <x:v>HELD / UNRELEASED</x:v>
      </x:c>
      <x:c r="Q1586" s="9" t="n">
        <x:f>COUNTIFS($A$7:$A$2310,A1586)</x:f>
        <x:v>1</x:v>
      </x:c>
    </x:row>
    <x:row r="1587">
      <x:c r="A1587" s="9" t="str">
        <x:v>PD-AR-HC-A-C-TECH-4-B2-RCN-G0-PD13</x:v>
      </x:c>
      <x:c r="B1587" s="9" t="str">
        <x:v>PD-AR-HC-A-C-TECH-4-B2-RCN-G0</x:v>
      </x:c>
      <x:c r="C1587" s="9" t="str">
        <x:v>EV-AR-HC-A-C-TECH-4-B2-RCN-G0</x:v>
      </x:c>
      <x:c r="D1587" s="9" t="str">
        <x:v>AR-HC-A-C-TECH-4-B2-RCN-G0</x:v>
      </x:c>
      <x:c r="E1587" s="9" t="str">
        <x:v>HC-A-C-TECH-4</x:v>
      </x:c>
      <x:c r="F1587" s="9" t="str">
        <x:v>HC-A-C</x:v>
      </x:c>
      <x:c r="G1587" s="9" t="str">
        <x:v>B2</x:v>
      </x:c>
      <x:c r="H1587" s="9" t="str">
        <x:v>RCN</x:v>
      </x:c>
      <x:c r="I1587" s="9" t="str">
        <x:v>PD13</x:v>
      </x:c>
      <x:c r="J1587" s="17" t="str">
        <x:v>Role judgment</x:v>
      </x:c>
      <x:c r="K1587" s="17" t="str">
        <x:v>Role court</x:v>
      </x:c>
      <x:c r="L1587" s="17" t="str">
        <x:v>COURT-SEALED UNTIL COHORT RELEASE</x:v>
      </x:c>
      <x:c r="M1587" s="9" t="n">
        <x:v>0</x:v>
      </x:c>
      <x:c r="N1587" s="9" t="n">
        <x:v>0</x:v>
      </x:c>
      <x:c r="O1587" s="9" t="n">
        <x:v>0</x:v>
      </x:c>
      <x:c r="P1587" s="9" t="str">
        <x:v>HELD / UNRELEASED</x:v>
      </x:c>
      <x:c r="Q1587" s="9" t="n">
        <x:f>COUNTIFS($A$7:$A$2310,A1587)</x:f>
        <x:v>1</x:v>
      </x:c>
    </x:row>
    <x:row r="1588">
      <x:c r="A1588" s="9" t="str">
        <x:v>PD-AR-HC-A-C-TECH-4-B2-RCN-G0-PD14</x:v>
      </x:c>
      <x:c r="B1588" s="9" t="str">
        <x:v>PD-AR-HC-A-C-TECH-4-B2-RCN-G0</x:v>
      </x:c>
      <x:c r="C1588" s="9" t="str">
        <x:v>EV-AR-HC-A-C-TECH-4-B2-RCN-G0</x:v>
      </x:c>
      <x:c r="D1588" s="9" t="str">
        <x:v>AR-HC-A-C-TECH-4-B2-RCN-G0</x:v>
      </x:c>
      <x:c r="E1588" s="9" t="str">
        <x:v>HC-A-C-TECH-4</x:v>
      </x:c>
      <x:c r="F1588" s="9" t="str">
        <x:v>HC-A-C</x:v>
      </x:c>
      <x:c r="G1588" s="9" t="str">
        <x:v>B2</x:v>
      </x:c>
      <x:c r="H1588" s="9" t="str">
        <x:v>RCN</x:v>
      </x:c>
      <x:c r="I1588" s="9" t="str">
        <x:v>PD14</x:v>
      </x:c>
      <x:c r="J1588" s="17" t="str">
        <x:v>Break and residual account</x:v>
      </x:c>
      <x:c r="K1588" s="17" t="str">
        <x:v>Residual authority</x:v>
      </x:c>
      <x:c r="L1588" s="17" t="str">
        <x:v>COURT-SEALED UNTIL COHORT RELEASE</x:v>
      </x:c>
      <x:c r="M1588" s="9" t="n">
        <x:v>0</x:v>
      </x:c>
      <x:c r="N1588" s="9" t="n">
        <x:v>0</x:v>
      </x:c>
      <x:c r="O1588" s="9" t="n">
        <x:v>0</x:v>
      </x:c>
      <x:c r="P1588" s="9" t="str">
        <x:v>HELD / UNRELEASED</x:v>
      </x:c>
      <x:c r="Q1588" s="9" t="n">
        <x:f>COUNTIFS($A$7:$A$2310,A1588)</x:f>
        <x:v>1</x:v>
      </x:c>
    </x:row>
    <x:row r="1589">
      <x:c r="A1589" s="9" t="str">
        <x:v>PD-AR-HC-A-C-TECH-4-B2-RCN-G0-PD15</x:v>
      </x:c>
      <x:c r="B1589" s="9" t="str">
        <x:v>PD-AR-HC-A-C-TECH-4-B2-RCN-G0</x:v>
      </x:c>
      <x:c r="C1589" s="9" t="str">
        <x:v>EV-AR-HC-A-C-TECH-4-B2-RCN-G0</x:v>
      </x:c>
      <x:c r="D1589" s="9" t="str">
        <x:v>AR-HC-A-C-TECH-4-B2-RCN-G0</x:v>
      </x:c>
      <x:c r="E1589" s="9" t="str">
        <x:v>HC-A-C-TECH-4</x:v>
      </x:c>
      <x:c r="F1589" s="9" t="str">
        <x:v>HC-A-C</x:v>
      </x:c>
      <x:c r="G1589" s="9" t="str">
        <x:v>B2</x:v>
      </x:c>
      <x:c r="H1589" s="9" t="str">
        <x:v>RCN</x:v>
      </x:c>
      <x:c r="I1589" s="9" t="str">
        <x:v>PD15</x:v>
      </x:c>
      <x:c r="J1589" s="17" t="str">
        <x:v>Reconstruction ancestry and replay</x:v>
      </x:c>
      <x:c r="K1589" s="17" t="str">
        <x:v>Reconstruction court</x:v>
      </x:c>
      <x:c r="L1589" s="17" t="str">
        <x:v>COURT-SEALED UNTIL COHORT RELEASE</x:v>
      </x:c>
      <x:c r="M1589" s="9" t="n">
        <x:v>0</x:v>
      </x:c>
      <x:c r="N1589" s="9" t="n">
        <x:v>0</x:v>
      </x:c>
      <x:c r="O1589" s="9" t="n">
        <x:v>0</x:v>
      </x:c>
      <x:c r="P1589" s="9" t="str">
        <x:v>HELD / UNRELEASED</x:v>
      </x:c>
      <x:c r="Q1589" s="9" t="n">
        <x:f>COUNTIFS($A$7:$A$2310,A1589)</x:f>
        <x:v>1</x:v>
      </x:c>
    </x:row>
    <x:row r="1590">
      <x:c r="A1590" s="9" t="str">
        <x:v>PD-AR-HC-A-C-TECH-4-B2-RCN-G0-PD16</x:v>
      </x:c>
      <x:c r="B1590" s="9" t="str">
        <x:v>PD-AR-HC-A-C-TECH-4-B2-RCN-G0</x:v>
      </x:c>
      <x:c r="C1590" s="9" t="str">
        <x:v>EV-AR-HC-A-C-TECH-4-B2-RCN-G0</x:v>
      </x:c>
      <x:c r="D1590" s="9" t="str">
        <x:v>AR-HC-A-C-TECH-4-B2-RCN-G0</x:v>
      </x:c>
      <x:c r="E1590" s="9" t="str">
        <x:v>HC-A-C-TECH-4</x:v>
      </x:c>
      <x:c r="F1590" s="9" t="str">
        <x:v>HC-A-C</x:v>
      </x:c>
      <x:c r="G1590" s="9" t="str">
        <x:v>B2</x:v>
      </x:c>
      <x:c r="H1590" s="9" t="str">
        <x:v>RCN</x:v>
      </x:c>
      <x:c r="I1590" s="9" t="str">
        <x:v>PD16</x:v>
      </x:c>
      <x:c r="J1590" s="17" t="str">
        <x:v>Dissent, amendments and access log</x:v>
      </x:c>
      <x:c r="K1590" s="17" t="str">
        <x:v>Public archive</x:v>
      </x:c>
      <x:c r="L1590" s="17" t="str">
        <x:v>COURT-SEALED UNTIL COHORT RELEASE</x:v>
      </x:c>
      <x:c r="M1590" s="9" t="n">
        <x:v>0</x:v>
      </x:c>
      <x:c r="N1590" s="9" t="n">
        <x:v>0</x:v>
      </x:c>
      <x:c r="O1590" s="9" t="n">
        <x:v>0</x:v>
      </x:c>
      <x:c r="P1590" s="9" t="str">
        <x:v>HELD / UNRELEASED</x:v>
      </x:c>
      <x:c r="Q1590" s="9" t="n">
        <x:f>COUNTIFS($A$7:$A$2310,A1590)</x:f>
        <x:v>1</x:v>
      </x:c>
    </x:row>
    <x:row r="1591">
      <x:c r="A1591" s="9" t="str">
        <x:v>PD-AR-HC-A-C-TECH-2-B2-INT-G0-PD01</x:v>
      </x:c>
      <x:c r="B1591" s="9" t="str">
        <x:v>PD-AR-HC-A-C-TECH-2-B2-INT-G0</x:v>
      </x:c>
      <x:c r="C1591" s="9" t="str">
        <x:v>EV-AR-HC-A-C-TECH-2-B2-INT-G0</x:v>
      </x:c>
      <x:c r="D1591" s="9" t="str">
        <x:v>AR-HC-A-C-TECH-2-B2-INT-G0</x:v>
      </x:c>
      <x:c r="E1591" s="9" t="str">
        <x:v>HC-A-C-TECH-2</x:v>
      </x:c>
      <x:c r="F1591" s="9" t="str">
        <x:v>HC-A-C</x:v>
      </x:c>
      <x:c r="G1591" s="9" t="str">
        <x:v>B2</x:v>
      </x:c>
      <x:c r="H1591" s="9" t="str">
        <x:v>INT</x:v>
      </x:c>
      <x:c r="I1591" s="9" t="str">
        <x:v>PD01</x:v>
      </x:c>
      <x:c r="J1591" s="17" t="str">
        <x:v>Experiment kernel</x:v>
      </x:c>
      <x:c r="K1591" s="17" t="str">
        <x:v>Public archive</x:v>
      </x:c>
      <x:c r="L1591" s="17" t="str">
        <x:v>COURT-SEALED UNTIL COHORT RELEASE</x:v>
      </x:c>
      <x:c r="M1591" s="9" t="n">
        <x:v>0</x:v>
      </x:c>
      <x:c r="N1591" s="9" t="n">
        <x:v>0</x:v>
      </x:c>
      <x:c r="O1591" s="9" t="n">
        <x:v>0</x:v>
      </x:c>
      <x:c r="P1591" s="9" t="str">
        <x:v>HELD / UNRELEASED</x:v>
      </x:c>
      <x:c r="Q1591" s="9" t="n">
        <x:f>COUNTIFS($A$7:$A$2310,A1591)</x:f>
        <x:v>1</x:v>
      </x:c>
    </x:row>
    <x:row r="1592">
      <x:c r="A1592" s="9" t="str">
        <x:v>PD-AR-HC-A-C-TECH-2-B2-INT-G0-PD02</x:v>
      </x:c>
      <x:c r="B1592" s="9" t="str">
        <x:v>PD-AR-HC-A-C-TECH-2-B2-INT-G0</x:v>
      </x:c>
      <x:c r="C1592" s="9" t="str">
        <x:v>EV-AR-HC-A-C-TECH-2-B2-INT-G0</x:v>
      </x:c>
      <x:c r="D1592" s="9" t="str">
        <x:v>AR-HC-A-C-TECH-2-B2-INT-G0</x:v>
      </x:c>
      <x:c r="E1592" s="9" t="str">
        <x:v>HC-A-C-TECH-2</x:v>
      </x:c>
      <x:c r="F1592" s="9" t="str">
        <x:v>HC-A-C</x:v>
      </x:c>
      <x:c r="G1592" s="9" t="str">
        <x:v>B2</x:v>
      </x:c>
      <x:c r="H1592" s="9" t="str">
        <x:v>INT</x:v>
      </x:c>
      <x:c r="I1592" s="9" t="str">
        <x:v>PD02</x:v>
      </x:c>
      <x:c r="J1592" s="17" t="str">
        <x:v>Serial annex and title chain</x:v>
      </x:c>
      <x:c r="K1592" s="17" t="str">
        <x:v>Public archive</x:v>
      </x:c>
      <x:c r="L1592" s="17" t="str">
        <x:v>COURT-SEALED UNTIL COHORT RELEASE</x:v>
      </x:c>
      <x:c r="M1592" s="9" t="n">
        <x:v>0</x:v>
      </x:c>
      <x:c r="N1592" s="9" t="n">
        <x:v>0</x:v>
      </x:c>
      <x:c r="O1592" s="9" t="n">
        <x:v>0</x:v>
      </x:c>
      <x:c r="P1592" s="9" t="str">
        <x:v>HELD / UNRELEASED</x:v>
      </x:c>
      <x:c r="Q1592" s="9" t="n">
        <x:f>COUNTIFS($A$7:$A$2310,A1592)</x:f>
        <x:v>1</x:v>
      </x:c>
    </x:row>
    <x:row r="1593">
      <x:c r="A1593" s="9" t="str">
        <x:v>PD-AR-HC-A-C-TECH-2-B2-INT-G0-PD03</x:v>
      </x:c>
      <x:c r="B1593" s="9" t="str">
        <x:v>PD-AR-HC-A-C-TECH-2-B2-INT-G0</x:v>
      </x:c>
      <x:c r="C1593" s="9" t="str">
        <x:v>EV-AR-HC-A-C-TECH-2-B2-INT-G0</x:v>
      </x:c>
      <x:c r="D1593" s="9" t="str">
        <x:v>AR-HC-A-C-TECH-2-B2-INT-G0</x:v>
      </x:c>
      <x:c r="E1593" s="9" t="str">
        <x:v>HC-A-C-TECH-2</x:v>
      </x:c>
      <x:c r="F1593" s="9" t="str">
        <x:v>HC-A-C</x:v>
      </x:c>
      <x:c r="G1593" s="9" t="str">
        <x:v>B2</x:v>
      </x:c>
      <x:c r="H1593" s="9" t="str">
        <x:v>INT</x:v>
      </x:c>
      <x:c r="I1593" s="9" t="str">
        <x:v>PD03</x:v>
      </x:c>
      <x:c r="J1593" s="17" t="str">
        <x:v>Configuration and as-built manifest</x:v>
      </x:c>
      <x:c r="K1593" s="17" t="str">
        <x:v>Artifact exchange</x:v>
      </x:c>
      <x:c r="L1593" s="17" t="str">
        <x:v>COURT-SEALED UNTIL COHORT RELEASE</x:v>
      </x:c>
      <x:c r="M1593" s="9" t="n">
        <x:v>0</x:v>
      </x:c>
      <x:c r="N1593" s="9" t="n">
        <x:v>0</x:v>
      </x:c>
      <x:c r="O1593" s="9" t="n">
        <x:v>0</x:v>
      </x:c>
      <x:c r="P1593" s="9" t="str">
        <x:v>HELD / UNRELEASED</x:v>
      </x:c>
      <x:c r="Q1593" s="9" t="n">
        <x:f>COUNTIFS($A$7:$A$2310,A1593)</x:f>
        <x:v>1</x:v>
      </x:c>
    </x:row>
    <x:row r="1594">
      <x:c r="A1594" s="9" t="str">
        <x:v>PD-AR-HC-A-C-TECH-2-B2-INT-G0-PD04</x:v>
      </x:c>
      <x:c r="B1594" s="9" t="str">
        <x:v>PD-AR-HC-A-C-TECH-2-B2-INT-G0</x:v>
      </x:c>
      <x:c r="C1594" s="9" t="str">
        <x:v>EV-AR-HC-A-C-TECH-2-B2-INT-G0</x:v>
      </x:c>
      <x:c r="D1594" s="9" t="str">
        <x:v>AR-HC-A-C-TECH-2-B2-INT-G0</x:v>
      </x:c>
      <x:c r="E1594" s="9" t="str">
        <x:v>HC-A-C-TECH-2</x:v>
      </x:c>
      <x:c r="F1594" s="9" t="str">
        <x:v>HC-A-C</x:v>
      </x:c>
      <x:c r="G1594" s="9" t="str">
        <x:v>B2</x:v>
      </x:c>
      <x:c r="H1594" s="9" t="str">
        <x:v>INT</x:v>
      </x:c>
      <x:c r="I1594" s="9" t="str">
        <x:v>PD04</x:v>
      </x:c>
      <x:c r="J1594" s="17" t="str">
        <x:v>EOW and start certificate</x:v>
      </x:c>
      <x:c r="K1594" s="17" t="str">
        <x:v>Start registrar</x:v>
      </x:c>
      <x:c r="L1594" s="17" t="str">
        <x:v>COURT-SEALED UNTIL COHORT RELEASE</x:v>
      </x:c>
      <x:c r="M1594" s="9" t="n">
        <x:v>0</x:v>
      </x:c>
      <x:c r="N1594" s="9" t="n">
        <x:v>0</x:v>
      </x:c>
      <x:c r="O1594" s="9" t="n">
        <x:v>0</x:v>
      </x:c>
      <x:c r="P1594" s="9" t="str">
        <x:v>HELD / UNRELEASED</x:v>
      </x:c>
      <x:c r="Q1594" s="9" t="n">
        <x:f>COUNTIFS($A$7:$A$2310,A1594)</x:f>
        <x:v>1</x:v>
      </x:c>
    </x:row>
    <x:row r="1595">
      <x:c r="A1595" s="9" t="str">
        <x:v>PD-AR-HC-A-C-TECH-2-B2-INT-G0-PD05</x:v>
      </x:c>
      <x:c r="B1595" s="9" t="str">
        <x:v>PD-AR-HC-A-C-TECH-2-B2-INT-G0</x:v>
      </x:c>
      <x:c r="C1595" s="9" t="str">
        <x:v>EV-AR-HC-A-C-TECH-2-B2-INT-G0</x:v>
      </x:c>
      <x:c r="D1595" s="9" t="str">
        <x:v>AR-HC-A-C-TECH-2-B2-INT-G0</x:v>
      </x:c>
      <x:c r="E1595" s="9" t="str">
        <x:v>HC-A-C-TECH-2</x:v>
      </x:c>
      <x:c r="F1595" s="9" t="str">
        <x:v>HC-A-C</x:v>
      </x:c>
      <x:c r="G1595" s="9" t="str">
        <x:v>B2</x:v>
      </x:c>
      <x:c r="H1595" s="9" t="str">
        <x:v>INT</x:v>
      </x:c>
      <x:c r="I1595" s="9" t="str">
        <x:v>PD05</x:v>
      </x:c>
      <x:c r="J1595" s="17" t="str">
        <x:v>Primary raw originals</x:v>
      </x:c>
      <x:c r="K1595" s="17" t="str">
        <x:v>Primary custody</x:v>
      </x:c>
      <x:c r="L1595" s="17" t="str">
        <x:v>COURT-SEALED UNTIL COHORT RELEASE</x:v>
      </x:c>
      <x:c r="M1595" s="9" t="n">
        <x:v>0</x:v>
      </x:c>
      <x:c r="N1595" s="9" t="n">
        <x:v>0</x:v>
      </x:c>
      <x:c r="O1595" s="9" t="n">
        <x:v>0</x:v>
      </x:c>
      <x:c r="P1595" s="9" t="str">
        <x:v>HELD / UNRELEASED</x:v>
      </x:c>
      <x:c r="Q1595" s="9" t="n">
        <x:f>COUNTIFS($A$7:$A$2310,A1595)</x:f>
        <x:v>1</x:v>
      </x:c>
    </x:row>
    <x:row r="1596">
      <x:c r="A1596" s="9" t="str">
        <x:v>PD-AR-HC-A-C-TECH-2-B2-INT-G0-PD06</x:v>
      </x:c>
      <x:c r="B1596" s="9" t="str">
        <x:v>PD-AR-HC-A-C-TECH-2-B2-INT-G0</x:v>
      </x:c>
      <x:c r="C1596" s="9" t="str">
        <x:v>EV-AR-HC-A-C-TECH-2-B2-INT-G0</x:v>
      </x:c>
      <x:c r="D1596" s="9" t="str">
        <x:v>AR-HC-A-C-TECH-2-B2-INT-G0</x:v>
      </x:c>
      <x:c r="E1596" s="9" t="str">
        <x:v>HC-A-C-TECH-2</x:v>
      </x:c>
      <x:c r="F1596" s="9" t="str">
        <x:v>HC-A-C</x:v>
      </x:c>
      <x:c r="G1596" s="9" t="str">
        <x:v>B2</x:v>
      </x:c>
      <x:c r="H1596" s="9" t="str">
        <x:v>INT</x:v>
      </x:c>
      <x:c r="I1596" s="9" t="str">
        <x:v>PD06</x:v>
      </x:c>
      <x:c r="J1596" s="17" t="str">
        <x:v>Witness raw originals</x:v>
      </x:c>
      <x:c r="K1596" s="17" t="str">
        <x:v>Witness custody</x:v>
      </x:c>
      <x:c r="L1596" s="17" t="str">
        <x:v>COURT-SEALED UNTIL COHORT RELEASE</x:v>
      </x:c>
      <x:c r="M1596" s="9" t="n">
        <x:v>0</x:v>
      </x:c>
      <x:c r="N1596" s="9" t="n">
        <x:v>0</x:v>
      </x:c>
      <x:c r="O1596" s="9" t="n">
        <x:v>0</x:v>
      </x:c>
      <x:c r="P1596" s="9" t="str">
        <x:v>HELD / UNRELEASED</x:v>
      </x:c>
      <x:c r="Q1596" s="9" t="n">
        <x:f>COUNTIFS($A$7:$A$2310,A1596)</x:f>
        <x:v>1</x:v>
      </x:c>
    </x:row>
    <x:row r="1597">
      <x:c r="A1597" s="9" t="str">
        <x:v>PD-AR-HC-A-C-TECH-2-B2-INT-G0-PD07</x:v>
      </x:c>
      <x:c r="B1597" s="9" t="str">
        <x:v>PD-AR-HC-A-C-TECH-2-B2-INT-G0</x:v>
      </x:c>
      <x:c r="C1597" s="9" t="str">
        <x:v>EV-AR-HC-A-C-TECH-2-B2-INT-G0</x:v>
      </x:c>
      <x:c r="D1597" s="9" t="str">
        <x:v>AR-HC-A-C-TECH-2-B2-INT-G0</x:v>
      </x:c>
      <x:c r="E1597" s="9" t="str">
        <x:v>HC-A-C-TECH-2</x:v>
      </x:c>
      <x:c r="F1597" s="9" t="str">
        <x:v>HC-A-C</x:v>
      </x:c>
      <x:c r="G1597" s="9" t="str">
        <x:v>B2</x:v>
      </x:c>
      <x:c r="H1597" s="9" t="str">
        <x:v>INT</x:v>
      </x:c>
      <x:c r="I1597" s="9" t="str">
        <x:v>PD07</x:v>
      </x:c>
      <x:c r="J1597" s="17" t="str">
        <x:v>Clock and environmental records</x:v>
      </x:c>
      <x:c r="K1597" s="17" t="str">
        <x:v>Boundary archive</x:v>
      </x:c>
      <x:c r="L1597" s="17" t="str">
        <x:v>COURT-SEALED UNTIL COHORT RELEASE</x:v>
      </x:c>
      <x:c r="M1597" s="9" t="n">
        <x:v>0</x:v>
      </x:c>
      <x:c r="N1597" s="9" t="n">
        <x:v>0</x:v>
      </x:c>
      <x:c r="O1597" s="9" t="n">
        <x:v>0</x:v>
      </x:c>
      <x:c r="P1597" s="9" t="str">
        <x:v>HELD / UNRELEASED</x:v>
      </x:c>
      <x:c r="Q1597" s="9" t="n">
        <x:f>COUNTIFS($A$7:$A$2310,A1597)</x:f>
        <x:v>1</x:v>
      </x:c>
    </x:row>
    <x:row r="1598">
      <x:c r="A1598" s="9" t="str">
        <x:v>PD-AR-HC-A-C-TECH-2-B2-INT-G0-PD08</x:v>
      </x:c>
      <x:c r="B1598" s="9" t="str">
        <x:v>PD-AR-HC-A-C-TECH-2-B2-INT-G0</x:v>
      </x:c>
      <x:c r="C1598" s="9" t="str">
        <x:v>EV-AR-HC-A-C-TECH-2-B2-INT-G0</x:v>
      </x:c>
      <x:c r="D1598" s="9" t="str">
        <x:v>AR-HC-A-C-TECH-2-B2-INT-G0</x:v>
      </x:c>
      <x:c r="E1598" s="9" t="str">
        <x:v>HC-A-C-TECH-2</x:v>
      </x:c>
      <x:c r="F1598" s="9" t="str">
        <x:v>HC-A-C</x:v>
      </x:c>
      <x:c r="G1598" s="9" t="str">
        <x:v>B2</x:v>
      </x:c>
      <x:c r="H1598" s="9" t="str">
        <x:v>INT</x:v>
      </x:c>
      <x:c r="I1598" s="9" t="str">
        <x:v>PD08</x:v>
      </x:c>
      <x:c r="J1598" s="17" t="str">
        <x:v>Command and intervention log</x:v>
      </x:c>
      <x:c r="K1598" s="17" t="str">
        <x:v>Safety archive</x:v>
      </x:c>
      <x:c r="L1598" s="17" t="str">
        <x:v>COURT-SEALED UNTIL COHORT RELEASE</x:v>
      </x:c>
      <x:c r="M1598" s="9" t="n">
        <x:v>0</x:v>
      </x:c>
      <x:c r="N1598" s="9" t="n">
        <x:v>0</x:v>
      </x:c>
      <x:c r="O1598" s="9" t="n">
        <x:v>0</x:v>
      </x:c>
      <x:c r="P1598" s="9" t="str">
        <x:v>HELD / UNRELEASED</x:v>
      </x:c>
      <x:c r="Q1598" s="9" t="n">
        <x:f>COUNTIFS($A$7:$A$2310,A1598)</x:f>
        <x:v>1</x:v>
      </x:c>
    </x:row>
    <x:row r="1599">
      <x:c r="A1599" s="9" t="str">
        <x:v>PD-AR-HC-A-C-TECH-2-B2-INT-G0-PD09</x:v>
      </x:c>
      <x:c r="B1599" s="9" t="str">
        <x:v>PD-AR-HC-A-C-TECH-2-B2-INT-G0</x:v>
      </x:c>
      <x:c r="C1599" s="9" t="str">
        <x:v>EV-AR-HC-A-C-TECH-2-B2-INT-G0</x:v>
      </x:c>
      <x:c r="D1599" s="9" t="str">
        <x:v>AR-HC-A-C-TECH-2-B2-INT-G0</x:v>
      </x:c>
      <x:c r="E1599" s="9" t="str">
        <x:v>HC-A-C-TECH-2</x:v>
      </x:c>
      <x:c r="F1599" s="9" t="str">
        <x:v>HC-A-C</x:v>
      </x:c>
      <x:c r="G1599" s="9" t="str">
        <x:v>B2</x:v>
      </x:c>
      <x:c r="H1599" s="9" t="str">
        <x:v>INT</x:v>
      </x:c>
      <x:c r="I1599" s="9" t="str">
        <x:v>PD09</x:v>
      </x:c>
      <x:c r="J1599" s="17" t="str">
        <x:v>Receiver denominator and service ledger</x:v>
      </x:c>
      <x:c r="K1599" s="17" t="str">
        <x:v>Receiver archive</x:v>
      </x:c>
      <x:c r="L1599" s="17" t="str">
        <x:v>COURT-SEALED UNTIL COHORT RELEASE</x:v>
      </x:c>
      <x:c r="M1599" s="9" t="n">
        <x:v>0</x:v>
      </x:c>
      <x:c r="N1599" s="9" t="n">
        <x:v>0</x:v>
      </x:c>
      <x:c r="O1599" s="9" t="n">
        <x:v>0</x:v>
      </x:c>
      <x:c r="P1599" s="9" t="str">
        <x:v>HELD / UNRELEASED</x:v>
      </x:c>
      <x:c r="Q1599" s="9" t="n">
        <x:f>COUNTIFS($A$7:$A$2310,A1599)</x:f>
        <x:v>1</x:v>
      </x:c>
    </x:row>
    <x:row r="1600">
      <x:c r="A1600" s="9" t="str">
        <x:v>PD-AR-HC-A-C-TECH-2-B2-INT-G0-PD10</x:v>
      </x:c>
      <x:c r="B1600" s="9" t="str">
        <x:v>PD-AR-HC-A-C-TECH-2-B2-INT-G0</x:v>
      </x:c>
      <x:c r="C1600" s="9" t="str">
        <x:v>EV-AR-HC-A-C-TECH-2-B2-INT-G0</x:v>
      </x:c>
      <x:c r="D1600" s="9" t="str">
        <x:v>AR-HC-A-C-TECH-2-B2-INT-G0</x:v>
      </x:c>
      <x:c r="E1600" s="9" t="str">
        <x:v>HC-A-C-TECH-2</x:v>
      </x:c>
      <x:c r="F1600" s="9" t="str">
        <x:v>HC-A-C</x:v>
      </x:c>
      <x:c r="G1600" s="9" t="str">
        <x:v>B2</x:v>
      </x:c>
      <x:c r="H1600" s="9" t="str">
        <x:v>INT</x:v>
      </x:c>
      <x:c r="I1600" s="9" t="str">
        <x:v>PD10</x:v>
      </x:c>
      <x:c r="J1600" s="17" t="str">
        <x:v>Calibration and uncertainty record</x:v>
      </x:c>
      <x:c r="K1600" s="17" t="str">
        <x:v>Metrology archive</x:v>
      </x:c>
      <x:c r="L1600" s="17" t="str">
        <x:v>COURT-SEALED UNTIL COHORT RELEASE</x:v>
      </x:c>
      <x:c r="M1600" s="9" t="n">
        <x:v>0</x:v>
      </x:c>
      <x:c r="N1600" s="9" t="n">
        <x:v>0</x:v>
      </x:c>
      <x:c r="O1600" s="9" t="n">
        <x:v>0</x:v>
      </x:c>
      <x:c r="P1600" s="9" t="str">
        <x:v>HELD / UNRELEASED</x:v>
      </x:c>
      <x:c r="Q1600" s="9" t="n">
        <x:f>COUNTIFS($A$7:$A$2310,A1600)</x:f>
        <x:v>1</x:v>
      </x:c>
    </x:row>
    <x:row r="1601">
      <x:c r="A1601" s="9" t="str">
        <x:v>PD-AR-HC-A-C-TECH-2-B2-INT-G0-PD11</x:v>
      </x:c>
      <x:c r="B1601" s="9" t="str">
        <x:v>PD-AR-HC-A-C-TECH-2-B2-INT-G0</x:v>
      </x:c>
      <x:c r="C1601" s="9" t="str">
        <x:v>EV-AR-HC-A-C-TECH-2-B2-INT-G0</x:v>
      </x:c>
      <x:c r="D1601" s="9" t="str">
        <x:v>AR-HC-A-C-TECH-2-B2-INT-G0</x:v>
      </x:c>
      <x:c r="E1601" s="9" t="str">
        <x:v>HC-A-C-TECH-2</x:v>
      </x:c>
      <x:c r="F1601" s="9" t="str">
        <x:v>HC-A-C</x:v>
      </x:c>
      <x:c r="G1601" s="9" t="str">
        <x:v>B2</x:v>
      </x:c>
      <x:c r="H1601" s="9" t="str">
        <x:v>INT</x:v>
      </x:c>
      <x:c r="I1601" s="9" t="str">
        <x:v>PD11</x:v>
      </x:c>
      <x:c r="J1601" s="17" t="str">
        <x:v>Invalidity petition and opinion</x:v>
      </x:c>
      <x:c r="K1601" s="17" t="str">
        <x:v>Invalidity court</x:v>
      </x:c>
      <x:c r="L1601" s="17" t="str">
        <x:v>COURT-SEALED UNTIL COHORT RELEASE</x:v>
      </x:c>
      <x:c r="M1601" s="9" t="n">
        <x:v>0</x:v>
      </x:c>
      <x:c r="N1601" s="9" t="n">
        <x:v>0</x:v>
      </x:c>
      <x:c r="O1601" s="9" t="n">
        <x:v>0</x:v>
      </x:c>
      <x:c r="P1601" s="9" t="str">
        <x:v>HELD / UNRELEASED</x:v>
      </x:c>
      <x:c r="Q1601" s="9" t="n">
        <x:f>COUNTIFS($A$7:$A$2310,A1601)</x:f>
        <x:v>1</x:v>
      </x:c>
    </x:row>
    <x:row r="1602">
      <x:c r="A1602" s="9" t="str">
        <x:v>PD-AR-HC-A-C-TECH-2-B2-INT-G0-PD12</x:v>
      </x:c>
      <x:c r="B1602" s="9" t="str">
        <x:v>PD-AR-HC-A-C-TECH-2-B2-INT-G0</x:v>
      </x:c>
      <x:c r="C1602" s="9" t="str">
        <x:v>EV-AR-HC-A-C-TECH-2-B2-INT-G0</x:v>
      </x:c>
      <x:c r="D1602" s="9" t="str">
        <x:v>AR-HC-A-C-TECH-2-B2-INT-G0</x:v>
      </x:c>
      <x:c r="E1602" s="9" t="str">
        <x:v>HC-A-C-TECH-2</x:v>
      </x:c>
      <x:c r="F1602" s="9" t="str">
        <x:v>HC-A-C</x:v>
      </x:c>
      <x:c r="G1602" s="9" t="str">
        <x:v>B2</x:v>
      </x:c>
      <x:c r="H1602" s="9" t="str">
        <x:v>INT</x:v>
      </x:c>
      <x:c r="I1602" s="9" t="str">
        <x:v>PD12</x:v>
      </x:c>
      <x:c r="J1602" s="17" t="str">
        <x:v>Observation acceptance and replay</x:v>
      </x:c>
      <x:c r="K1602" s="17" t="str">
        <x:v>Observation court</x:v>
      </x:c>
      <x:c r="L1602" s="17" t="str">
        <x:v>COURT-SEALED UNTIL COHORT RELEASE</x:v>
      </x:c>
      <x:c r="M1602" s="9" t="n">
        <x:v>0</x:v>
      </x:c>
      <x:c r="N1602" s="9" t="n">
        <x:v>0</x:v>
      </x:c>
      <x:c r="O1602" s="9" t="n">
        <x:v>0</x:v>
      </x:c>
      <x:c r="P1602" s="9" t="str">
        <x:v>HELD / UNRELEASED</x:v>
      </x:c>
      <x:c r="Q1602" s="9" t="n">
        <x:f>COUNTIFS($A$7:$A$2310,A1602)</x:f>
        <x:v>1</x:v>
      </x:c>
    </x:row>
    <x:row r="1603">
      <x:c r="A1603" s="9" t="str">
        <x:v>PD-AR-HC-A-C-TECH-2-B2-INT-G0-PD13</x:v>
      </x:c>
      <x:c r="B1603" s="9" t="str">
        <x:v>PD-AR-HC-A-C-TECH-2-B2-INT-G0</x:v>
      </x:c>
      <x:c r="C1603" s="9" t="str">
        <x:v>EV-AR-HC-A-C-TECH-2-B2-INT-G0</x:v>
      </x:c>
      <x:c r="D1603" s="9" t="str">
        <x:v>AR-HC-A-C-TECH-2-B2-INT-G0</x:v>
      </x:c>
      <x:c r="E1603" s="9" t="str">
        <x:v>HC-A-C-TECH-2</x:v>
      </x:c>
      <x:c r="F1603" s="9" t="str">
        <x:v>HC-A-C</x:v>
      </x:c>
      <x:c r="G1603" s="9" t="str">
        <x:v>B2</x:v>
      </x:c>
      <x:c r="H1603" s="9" t="str">
        <x:v>INT</x:v>
      </x:c>
      <x:c r="I1603" s="9" t="str">
        <x:v>PD13</x:v>
      </x:c>
      <x:c r="J1603" s="17" t="str">
        <x:v>Role judgment</x:v>
      </x:c>
      <x:c r="K1603" s="17" t="str">
        <x:v>Role court</x:v>
      </x:c>
      <x:c r="L1603" s="17" t="str">
        <x:v>COURT-SEALED UNTIL COHORT RELEASE</x:v>
      </x:c>
      <x:c r="M1603" s="9" t="n">
        <x:v>0</x:v>
      </x:c>
      <x:c r="N1603" s="9" t="n">
        <x:v>0</x:v>
      </x:c>
      <x:c r="O1603" s="9" t="n">
        <x:v>0</x:v>
      </x:c>
      <x:c r="P1603" s="9" t="str">
        <x:v>HELD / UNRELEASED</x:v>
      </x:c>
      <x:c r="Q1603" s="9" t="n">
        <x:f>COUNTIFS($A$7:$A$2310,A1603)</x:f>
        <x:v>1</x:v>
      </x:c>
    </x:row>
    <x:row r="1604">
      <x:c r="A1604" s="9" t="str">
        <x:v>PD-AR-HC-A-C-TECH-2-B2-INT-G0-PD14</x:v>
      </x:c>
      <x:c r="B1604" s="9" t="str">
        <x:v>PD-AR-HC-A-C-TECH-2-B2-INT-G0</x:v>
      </x:c>
      <x:c r="C1604" s="9" t="str">
        <x:v>EV-AR-HC-A-C-TECH-2-B2-INT-G0</x:v>
      </x:c>
      <x:c r="D1604" s="9" t="str">
        <x:v>AR-HC-A-C-TECH-2-B2-INT-G0</x:v>
      </x:c>
      <x:c r="E1604" s="9" t="str">
        <x:v>HC-A-C-TECH-2</x:v>
      </x:c>
      <x:c r="F1604" s="9" t="str">
        <x:v>HC-A-C</x:v>
      </x:c>
      <x:c r="G1604" s="9" t="str">
        <x:v>B2</x:v>
      </x:c>
      <x:c r="H1604" s="9" t="str">
        <x:v>INT</x:v>
      </x:c>
      <x:c r="I1604" s="9" t="str">
        <x:v>PD14</x:v>
      </x:c>
      <x:c r="J1604" s="17" t="str">
        <x:v>Break and residual account</x:v>
      </x:c>
      <x:c r="K1604" s="17" t="str">
        <x:v>Residual authority</x:v>
      </x:c>
      <x:c r="L1604" s="17" t="str">
        <x:v>COURT-SEALED UNTIL COHORT RELEASE</x:v>
      </x:c>
      <x:c r="M1604" s="9" t="n">
        <x:v>0</x:v>
      </x:c>
      <x:c r="N1604" s="9" t="n">
        <x:v>0</x:v>
      </x:c>
      <x:c r="O1604" s="9" t="n">
        <x:v>0</x:v>
      </x:c>
      <x:c r="P1604" s="9" t="str">
        <x:v>HELD / UNRELEASED</x:v>
      </x:c>
      <x:c r="Q1604" s="9" t="n">
        <x:f>COUNTIFS($A$7:$A$2310,A1604)</x:f>
        <x:v>1</x:v>
      </x:c>
    </x:row>
    <x:row r="1605">
      <x:c r="A1605" s="9" t="str">
        <x:v>PD-AR-HC-A-C-TECH-2-B2-INT-G0-PD15</x:v>
      </x:c>
      <x:c r="B1605" s="9" t="str">
        <x:v>PD-AR-HC-A-C-TECH-2-B2-INT-G0</x:v>
      </x:c>
      <x:c r="C1605" s="9" t="str">
        <x:v>EV-AR-HC-A-C-TECH-2-B2-INT-G0</x:v>
      </x:c>
      <x:c r="D1605" s="9" t="str">
        <x:v>AR-HC-A-C-TECH-2-B2-INT-G0</x:v>
      </x:c>
      <x:c r="E1605" s="9" t="str">
        <x:v>HC-A-C-TECH-2</x:v>
      </x:c>
      <x:c r="F1605" s="9" t="str">
        <x:v>HC-A-C</x:v>
      </x:c>
      <x:c r="G1605" s="9" t="str">
        <x:v>B2</x:v>
      </x:c>
      <x:c r="H1605" s="9" t="str">
        <x:v>INT</x:v>
      </x:c>
      <x:c r="I1605" s="9" t="str">
        <x:v>PD15</x:v>
      </x:c>
      <x:c r="J1605" s="17" t="str">
        <x:v>Reconstruction ancestry and replay</x:v>
      </x:c>
      <x:c r="K1605" s="17" t="str">
        <x:v>Reconstruction court</x:v>
      </x:c>
      <x:c r="L1605" s="17" t="str">
        <x:v>COURT-SEALED UNTIL COHORT RELEASE</x:v>
      </x:c>
      <x:c r="M1605" s="9" t="n">
        <x:v>0</x:v>
      </x:c>
      <x:c r="N1605" s="9" t="n">
        <x:v>0</x:v>
      </x:c>
      <x:c r="O1605" s="9" t="n">
        <x:v>0</x:v>
      </x:c>
      <x:c r="P1605" s="9" t="str">
        <x:v>HELD / UNRELEASED</x:v>
      </x:c>
      <x:c r="Q1605" s="9" t="n">
        <x:f>COUNTIFS($A$7:$A$2310,A1605)</x:f>
        <x:v>1</x:v>
      </x:c>
    </x:row>
    <x:row r="1606">
      <x:c r="A1606" s="9" t="str">
        <x:v>PD-AR-HC-A-C-TECH-2-B2-INT-G0-PD16</x:v>
      </x:c>
      <x:c r="B1606" s="9" t="str">
        <x:v>PD-AR-HC-A-C-TECH-2-B2-INT-G0</x:v>
      </x:c>
      <x:c r="C1606" s="9" t="str">
        <x:v>EV-AR-HC-A-C-TECH-2-B2-INT-G0</x:v>
      </x:c>
      <x:c r="D1606" s="9" t="str">
        <x:v>AR-HC-A-C-TECH-2-B2-INT-G0</x:v>
      </x:c>
      <x:c r="E1606" s="9" t="str">
        <x:v>HC-A-C-TECH-2</x:v>
      </x:c>
      <x:c r="F1606" s="9" t="str">
        <x:v>HC-A-C</x:v>
      </x:c>
      <x:c r="G1606" s="9" t="str">
        <x:v>B2</x:v>
      </x:c>
      <x:c r="H1606" s="9" t="str">
        <x:v>INT</x:v>
      </x:c>
      <x:c r="I1606" s="9" t="str">
        <x:v>PD16</x:v>
      </x:c>
      <x:c r="J1606" s="17" t="str">
        <x:v>Dissent, amendments and access log</x:v>
      </x:c>
      <x:c r="K1606" s="17" t="str">
        <x:v>Public archive</x:v>
      </x:c>
      <x:c r="L1606" s="17" t="str">
        <x:v>COURT-SEALED UNTIL COHORT RELEASE</x:v>
      </x:c>
      <x:c r="M1606" s="9" t="n">
        <x:v>0</x:v>
      </x:c>
      <x:c r="N1606" s="9" t="n">
        <x:v>0</x:v>
      </x:c>
      <x:c r="O1606" s="9" t="n">
        <x:v>0</x:v>
      </x:c>
      <x:c r="P1606" s="9" t="str">
        <x:v>HELD / UNRELEASED</x:v>
      </x:c>
      <x:c r="Q1606" s="9" t="n">
        <x:f>COUNTIFS($A$7:$A$2310,A1606)</x:f>
        <x:v>1</x:v>
      </x:c>
    </x:row>
    <x:row r="1607">
      <x:c r="A1607" s="9" t="str">
        <x:v>PD-AR-LF-B-A-TECH-3-B2-RCN-G0-PD01</x:v>
      </x:c>
      <x:c r="B1607" s="9" t="str">
        <x:v>PD-AR-LF-B-A-TECH-3-B2-RCN-G0</x:v>
      </x:c>
      <x:c r="C1607" s="9" t="str">
        <x:v>EV-AR-LF-B-A-TECH-3-B2-RCN-G0</x:v>
      </x:c>
      <x:c r="D1607" s="9" t="str">
        <x:v>AR-LF-B-A-TECH-3-B2-RCN-G0</x:v>
      </x:c>
      <x:c r="E1607" s="9" t="str">
        <x:v>LF-B-A-TECH-3</x:v>
      </x:c>
      <x:c r="F1607" s="9" t="str">
        <x:v>LF-B-A</x:v>
      </x:c>
      <x:c r="G1607" s="9" t="str">
        <x:v>B2</x:v>
      </x:c>
      <x:c r="H1607" s="9" t="str">
        <x:v>RCN</x:v>
      </x:c>
      <x:c r="I1607" s="9" t="str">
        <x:v>PD01</x:v>
      </x:c>
      <x:c r="J1607" s="17" t="str">
        <x:v>Experiment kernel</x:v>
      </x:c>
      <x:c r="K1607" s="17" t="str">
        <x:v>Public archive</x:v>
      </x:c>
      <x:c r="L1607" s="17" t="str">
        <x:v>COURT-SEALED UNTIL COHORT RELEASE</x:v>
      </x:c>
      <x:c r="M1607" s="9" t="n">
        <x:v>0</x:v>
      </x:c>
      <x:c r="N1607" s="9" t="n">
        <x:v>0</x:v>
      </x:c>
      <x:c r="O1607" s="9" t="n">
        <x:v>0</x:v>
      </x:c>
      <x:c r="P1607" s="9" t="str">
        <x:v>HELD / UNRELEASED</x:v>
      </x:c>
      <x:c r="Q1607" s="9" t="n">
        <x:f>COUNTIFS($A$7:$A$2310,A1607)</x:f>
        <x:v>1</x:v>
      </x:c>
    </x:row>
    <x:row r="1608">
      <x:c r="A1608" s="9" t="str">
        <x:v>PD-AR-LF-B-A-TECH-3-B2-RCN-G0-PD02</x:v>
      </x:c>
      <x:c r="B1608" s="9" t="str">
        <x:v>PD-AR-LF-B-A-TECH-3-B2-RCN-G0</x:v>
      </x:c>
      <x:c r="C1608" s="9" t="str">
        <x:v>EV-AR-LF-B-A-TECH-3-B2-RCN-G0</x:v>
      </x:c>
      <x:c r="D1608" s="9" t="str">
        <x:v>AR-LF-B-A-TECH-3-B2-RCN-G0</x:v>
      </x:c>
      <x:c r="E1608" s="9" t="str">
        <x:v>LF-B-A-TECH-3</x:v>
      </x:c>
      <x:c r="F1608" s="9" t="str">
        <x:v>LF-B-A</x:v>
      </x:c>
      <x:c r="G1608" s="9" t="str">
        <x:v>B2</x:v>
      </x:c>
      <x:c r="H1608" s="9" t="str">
        <x:v>RCN</x:v>
      </x:c>
      <x:c r="I1608" s="9" t="str">
        <x:v>PD02</x:v>
      </x:c>
      <x:c r="J1608" s="17" t="str">
        <x:v>Serial annex and title chain</x:v>
      </x:c>
      <x:c r="K1608" s="17" t="str">
        <x:v>Public archive</x:v>
      </x:c>
      <x:c r="L1608" s="17" t="str">
        <x:v>COURT-SEALED UNTIL COHORT RELEASE</x:v>
      </x:c>
      <x:c r="M1608" s="9" t="n">
        <x:v>0</x:v>
      </x:c>
      <x:c r="N1608" s="9" t="n">
        <x:v>0</x:v>
      </x:c>
      <x:c r="O1608" s="9" t="n">
        <x:v>0</x:v>
      </x:c>
      <x:c r="P1608" s="9" t="str">
        <x:v>HELD / UNRELEASED</x:v>
      </x:c>
      <x:c r="Q1608" s="9" t="n">
        <x:f>COUNTIFS($A$7:$A$2310,A1608)</x:f>
        <x:v>1</x:v>
      </x:c>
    </x:row>
    <x:row r="1609">
      <x:c r="A1609" s="9" t="str">
        <x:v>PD-AR-LF-B-A-TECH-3-B2-RCN-G0-PD03</x:v>
      </x:c>
      <x:c r="B1609" s="9" t="str">
        <x:v>PD-AR-LF-B-A-TECH-3-B2-RCN-G0</x:v>
      </x:c>
      <x:c r="C1609" s="9" t="str">
        <x:v>EV-AR-LF-B-A-TECH-3-B2-RCN-G0</x:v>
      </x:c>
      <x:c r="D1609" s="9" t="str">
        <x:v>AR-LF-B-A-TECH-3-B2-RCN-G0</x:v>
      </x:c>
      <x:c r="E1609" s="9" t="str">
        <x:v>LF-B-A-TECH-3</x:v>
      </x:c>
      <x:c r="F1609" s="9" t="str">
        <x:v>LF-B-A</x:v>
      </x:c>
      <x:c r="G1609" s="9" t="str">
        <x:v>B2</x:v>
      </x:c>
      <x:c r="H1609" s="9" t="str">
        <x:v>RCN</x:v>
      </x:c>
      <x:c r="I1609" s="9" t="str">
        <x:v>PD03</x:v>
      </x:c>
      <x:c r="J1609" s="17" t="str">
        <x:v>Configuration and as-built manifest</x:v>
      </x:c>
      <x:c r="K1609" s="17" t="str">
        <x:v>Artifact exchange</x:v>
      </x:c>
      <x:c r="L1609" s="17" t="str">
        <x:v>COURT-SEALED UNTIL COHORT RELEASE</x:v>
      </x:c>
      <x:c r="M1609" s="9" t="n">
        <x:v>0</x:v>
      </x:c>
      <x:c r="N1609" s="9" t="n">
        <x:v>0</x:v>
      </x:c>
      <x:c r="O1609" s="9" t="n">
        <x:v>0</x:v>
      </x:c>
      <x:c r="P1609" s="9" t="str">
        <x:v>HELD / UNRELEASED</x:v>
      </x:c>
      <x:c r="Q1609" s="9" t="n">
        <x:f>COUNTIFS($A$7:$A$2310,A1609)</x:f>
        <x:v>1</x:v>
      </x:c>
    </x:row>
    <x:row r="1610">
      <x:c r="A1610" s="9" t="str">
        <x:v>PD-AR-LF-B-A-TECH-3-B2-RCN-G0-PD04</x:v>
      </x:c>
      <x:c r="B1610" s="9" t="str">
        <x:v>PD-AR-LF-B-A-TECH-3-B2-RCN-G0</x:v>
      </x:c>
      <x:c r="C1610" s="9" t="str">
        <x:v>EV-AR-LF-B-A-TECH-3-B2-RCN-G0</x:v>
      </x:c>
      <x:c r="D1610" s="9" t="str">
        <x:v>AR-LF-B-A-TECH-3-B2-RCN-G0</x:v>
      </x:c>
      <x:c r="E1610" s="9" t="str">
        <x:v>LF-B-A-TECH-3</x:v>
      </x:c>
      <x:c r="F1610" s="9" t="str">
        <x:v>LF-B-A</x:v>
      </x:c>
      <x:c r="G1610" s="9" t="str">
        <x:v>B2</x:v>
      </x:c>
      <x:c r="H1610" s="9" t="str">
        <x:v>RCN</x:v>
      </x:c>
      <x:c r="I1610" s="9" t="str">
        <x:v>PD04</x:v>
      </x:c>
      <x:c r="J1610" s="17" t="str">
        <x:v>EOW and start certificate</x:v>
      </x:c>
      <x:c r="K1610" s="17" t="str">
        <x:v>Start registrar</x:v>
      </x:c>
      <x:c r="L1610" s="17" t="str">
        <x:v>COURT-SEALED UNTIL COHORT RELEASE</x:v>
      </x:c>
      <x:c r="M1610" s="9" t="n">
        <x:v>0</x:v>
      </x:c>
      <x:c r="N1610" s="9" t="n">
        <x:v>0</x:v>
      </x:c>
      <x:c r="O1610" s="9" t="n">
        <x:v>0</x:v>
      </x:c>
      <x:c r="P1610" s="9" t="str">
        <x:v>HELD / UNRELEASED</x:v>
      </x:c>
      <x:c r="Q1610" s="9" t="n">
        <x:f>COUNTIFS($A$7:$A$2310,A1610)</x:f>
        <x:v>1</x:v>
      </x:c>
    </x:row>
    <x:row r="1611">
      <x:c r="A1611" s="9" t="str">
        <x:v>PD-AR-LF-B-A-TECH-3-B2-RCN-G0-PD05</x:v>
      </x:c>
      <x:c r="B1611" s="9" t="str">
        <x:v>PD-AR-LF-B-A-TECH-3-B2-RCN-G0</x:v>
      </x:c>
      <x:c r="C1611" s="9" t="str">
        <x:v>EV-AR-LF-B-A-TECH-3-B2-RCN-G0</x:v>
      </x:c>
      <x:c r="D1611" s="9" t="str">
        <x:v>AR-LF-B-A-TECH-3-B2-RCN-G0</x:v>
      </x:c>
      <x:c r="E1611" s="9" t="str">
        <x:v>LF-B-A-TECH-3</x:v>
      </x:c>
      <x:c r="F1611" s="9" t="str">
        <x:v>LF-B-A</x:v>
      </x:c>
      <x:c r="G1611" s="9" t="str">
        <x:v>B2</x:v>
      </x:c>
      <x:c r="H1611" s="9" t="str">
        <x:v>RCN</x:v>
      </x:c>
      <x:c r="I1611" s="9" t="str">
        <x:v>PD05</x:v>
      </x:c>
      <x:c r="J1611" s="17" t="str">
        <x:v>Primary raw originals</x:v>
      </x:c>
      <x:c r="K1611" s="17" t="str">
        <x:v>Primary custody</x:v>
      </x:c>
      <x:c r="L1611" s="17" t="str">
        <x:v>COURT-SEALED UNTIL COHORT RELEASE</x:v>
      </x:c>
      <x:c r="M1611" s="9" t="n">
        <x:v>0</x:v>
      </x:c>
      <x:c r="N1611" s="9" t="n">
        <x:v>0</x:v>
      </x:c>
      <x:c r="O1611" s="9" t="n">
        <x:v>0</x:v>
      </x:c>
      <x:c r="P1611" s="9" t="str">
        <x:v>HELD / UNRELEASED</x:v>
      </x:c>
      <x:c r="Q1611" s="9" t="n">
        <x:f>COUNTIFS($A$7:$A$2310,A1611)</x:f>
        <x:v>1</x:v>
      </x:c>
    </x:row>
    <x:row r="1612">
      <x:c r="A1612" s="9" t="str">
        <x:v>PD-AR-LF-B-A-TECH-3-B2-RCN-G0-PD06</x:v>
      </x:c>
      <x:c r="B1612" s="9" t="str">
        <x:v>PD-AR-LF-B-A-TECH-3-B2-RCN-G0</x:v>
      </x:c>
      <x:c r="C1612" s="9" t="str">
        <x:v>EV-AR-LF-B-A-TECH-3-B2-RCN-G0</x:v>
      </x:c>
      <x:c r="D1612" s="9" t="str">
        <x:v>AR-LF-B-A-TECH-3-B2-RCN-G0</x:v>
      </x:c>
      <x:c r="E1612" s="9" t="str">
        <x:v>LF-B-A-TECH-3</x:v>
      </x:c>
      <x:c r="F1612" s="9" t="str">
        <x:v>LF-B-A</x:v>
      </x:c>
      <x:c r="G1612" s="9" t="str">
        <x:v>B2</x:v>
      </x:c>
      <x:c r="H1612" s="9" t="str">
        <x:v>RCN</x:v>
      </x:c>
      <x:c r="I1612" s="9" t="str">
        <x:v>PD06</x:v>
      </x:c>
      <x:c r="J1612" s="17" t="str">
        <x:v>Witness raw originals</x:v>
      </x:c>
      <x:c r="K1612" s="17" t="str">
        <x:v>Witness custody</x:v>
      </x:c>
      <x:c r="L1612" s="17" t="str">
        <x:v>COURT-SEALED UNTIL COHORT RELEASE</x:v>
      </x:c>
      <x:c r="M1612" s="9" t="n">
        <x:v>0</x:v>
      </x:c>
      <x:c r="N1612" s="9" t="n">
        <x:v>0</x:v>
      </x:c>
      <x:c r="O1612" s="9" t="n">
        <x:v>0</x:v>
      </x:c>
      <x:c r="P1612" s="9" t="str">
        <x:v>HELD / UNRELEASED</x:v>
      </x:c>
      <x:c r="Q1612" s="9" t="n">
        <x:f>COUNTIFS($A$7:$A$2310,A1612)</x:f>
        <x:v>1</x:v>
      </x:c>
    </x:row>
    <x:row r="1613">
      <x:c r="A1613" s="9" t="str">
        <x:v>PD-AR-LF-B-A-TECH-3-B2-RCN-G0-PD07</x:v>
      </x:c>
      <x:c r="B1613" s="9" t="str">
        <x:v>PD-AR-LF-B-A-TECH-3-B2-RCN-G0</x:v>
      </x:c>
      <x:c r="C1613" s="9" t="str">
        <x:v>EV-AR-LF-B-A-TECH-3-B2-RCN-G0</x:v>
      </x:c>
      <x:c r="D1613" s="9" t="str">
        <x:v>AR-LF-B-A-TECH-3-B2-RCN-G0</x:v>
      </x:c>
      <x:c r="E1613" s="9" t="str">
        <x:v>LF-B-A-TECH-3</x:v>
      </x:c>
      <x:c r="F1613" s="9" t="str">
        <x:v>LF-B-A</x:v>
      </x:c>
      <x:c r="G1613" s="9" t="str">
        <x:v>B2</x:v>
      </x:c>
      <x:c r="H1613" s="9" t="str">
        <x:v>RCN</x:v>
      </x:c>
      <x:c r="I1613" s="9" t="str">
        <x:v>PD07</x:v>
      </x:c>
      <x:c r="J1613" s="17" t="str">
        <x:v>Clock and environmental records</x:v>
      </x:c>
      <x:c r="K1613" s="17" t="str">
        <x:v>Boundary archive</x:v>
      </x:c>
      <x:c r="L1613" s="17" t="str">
        <x:v>COURT-SEALED UNTIL COHORT RELEASE</x:v>
      </x:c>
      <x:c r="M1613" s="9" t="n">
        <x:v>0</x:v>
      </x:c>
      <x:c r="N1613" s="9" t="n">
        <x:v>0</x:v>
      </x:c>
      <x:c r="O1613" s="9" t="n">
        <x:v>0</x:v>
      </x:c>
      <x:c r="P1613" s="9" t="str">
        <x:v>HELD / UNRELEASED</x:v>
      </x:c>
      <x:c r="Q1613" s="9" t="n">
        <x:f>COUNTIFS($A$7:$A$2310,A1613)</x:f>
        <x:v>1</x:v>
      </x:c>
    </x:row>
    <x:row r="1614">
      <x:c r="A1614" s="9" t="str">
        <x:v>PD-AR-LF-B-A-TECH-3-B2-RCN-G0-PD08</x:v>
      </x:c>
      <x:c r="B1614" s="9" t="str">
        <x:v>PD-AR-LF-B-A-TECH-3-B2-RCN-G0</x:v>
      </x:c>
      <x:c r="C1614" s="9" t="str">
        <x:v>EV-AR-LF-B-A-TECH-3-B2-RCN-G0</x:v>
      </x:c>
      <x:c r="D1614" s="9" t="str">
        <x:v>AR-LF-B-A-TECH-3-B2-RCN-G0</x:v>
      </x:c>
      <x:c r="E1614" s="9" t="str">
        <x:v>LF-B-A-TECH-3</x:v>
      </x:c>
      <x:c r="F1614" s="9" t="str">
        <x:v>LF-B-A</x:v>
      </x:c>
      <x:c r="G1614" s="9" t="str">
        <x:v>B2</x:v>
      </x:c>
      <x:c r="H1614" s="9" t="str">
        <x:v>RCN</x:v>
      </x:c>
      <x:c r="I1614" s="9" t="str">
        <x:v>PD08</x:v>
      </x:c>
      <x:c r="J1614" s="17" t="str">
        <x:v>Command and intervention log</x:v>
      </x:c>
      <x:c r="K1614" s="17" t="str">
        <x:v>Safety archive</x:v>
      </x:c>
      <x:c r="L1614" s="17" t="str">
        <x:v>COURT-SEALED UNTIL COHORT RELEASE</x:v>
      </x:c>
      <x:c r="M1614" s="9" t="n">
        <x:v>0</x:v>
      </x:c>
      <x:c r="N1614" s="9" t="n">
        <x:v>0</x:v>
      </x:c>
      <x:c r="O1614" s="9" t="n">
        <x:v>0</x:v>
      </x:c>
      <x:c r="P1614" s="9" t="str">
        <x:v>HELD / UNRELEASED</x:v>
      </x:c>
      <x:c r="Q1614" s="9" t="n">
        <x:f>COUNTIFS($A$7:$A$2310,A1614)</x:f>
        <x:v>1</x:v>
      </x:c>
    </x:row>
    <x:row r="1615">
      <x:c r="A1615" s="9" t="str">
        <x:v>PD-AR-LF-B-A-TECH-3-B2-RCN-G0-PD09</x:v>
      </x:c>
      <x:c r="B1615" s="9" t="str">
        <x:v>PD-AR-LF-B-A-TECH-3-B2-RCN-G0</x:v>
      </x:c>
      <x:c r="C1615" s="9" t="str">
        <x:v>EV-AR-LF-B-A-TECH-3-B2-RCN-G0</x:v>
      </x:c>
      <x:c r="D1615" s="9" t="str">
        <x:v>AR-LF-B-A-TECH-3-B2-RCN-G0</x:v>
      </x:c>
      <x:c r="E1615" s="9" t="str">
        <x:v>LF-B-A-TECH-3</x:v>
      </x:c>
      <x:c r="F1615" s="9" t="str">
        <x:v>LF-B-A</x:v>
      </x:c>
      <x:c r="G1615" s="9" t="str">
        <x:v>B2</x:v>
      </x:c>
      <x:c r="H1615" s="9" t="str">
        <x:v>RCN</x:v>
      </x:c>
      <x:c r="I1615" s="9" t="str">
        <x:v>PD09</x:v>
      </x:c>
      <x:c r="J1615" s="17" t="str">
        <x:v>Receiver denominator and service ledger</x:v>
      </x:c>
      <x:c r="K1615" s="17" t="str">
        <x:v>Receiver archive</x:v>
      </x:c>
      <x:c r="L1615" s="17" t="str">
        <x:v>COURT-SEALED UNTIL COHORT RELEASE</x:v>
      </x:c>
      <x:c r="M1615" s="9" t="n">
        <x:v>0</x:v>
      </x:c>
      <x:c r="N1615" s="9" t="n">
        <x:v>0</x:v>
      </x:c>
      <x:c r="O1615" s="9" t="n">
        <x:v>0</x:v>
      </x:c>
      <x:c r="P1615" s="9" t="str">
        <x:v>HELD / UNRELEASED</x:v>
      </x:c>
      <x:c r="Q1615" s="9" t="n">
        <x:f>COUNTIFS($A$7:$A$2310,A1615)</x:f>
        <x:v>1</x:v>
      </x:c>
    </x:row>
    <x:row r="1616">
      <x:c r="A1616" s="9" t="str">
        <x:v>PD-AR-LF-B-A-TECH-3-B2-RCN-G0-PD10</x:v>
      </x:c>
      <x:c r="B1616" s="9" t="str">
        <x:v>PD-AR-LF-B-A-TECH-3-B2-RCN-G0</x:v>
      </x:c>
      <x:c r="C1616" s="9" t="str">
        <x:v>EV-AR-LF-B-A-TECH-3-B2-RCN-G0</x:v>
      </x:c>
      <x:c r="D1616" s="9" t="str">
        <x:v>AR-LF-B-A-TECH-3-B2-RCN-G0</x:v>
      </x:c>
      <x:c r="E1616" s="9" t="str">
        <x:v>LF-B-A-TECH-3</x:v>
      </x:c>
      <x:c r="F1616" s="9" t="str">
        <x:v>LF-B-A</x:v>
      </x:c>
      <x:c r="G1616" s="9" t="str">
        <x:v>B2</x:v>
      </x:c>
      <x:c r="H1616" s="9" t="str">
        <x:v>RCN</x:v>
      </x:c>
      <x:c r="I1616" s="9" t="str">
        <x:v>PD10</x:v>
      </x:c>
      <x:c r="J1616" s="17" t="str">
        <x:v>Calibration and uncertainty record</x:v>
      </x:c>
      <x:c r="K1616" s="17" t="str">
        <x:v>Metrology archive</x:v>
      </x:c>
      <x:c r="L1616" s="17" t="str">
        <x:v>COURT-SEALED UNTIL COHORT RELEASE</x:v>
      </x:c>
      <x:c r="M1616" s="9" t="n">
        <x:v>0</x:v>
      </x:c>
      <x:c r="N1616" s="9" t="n">
        <x:v>0</x:v>
      </x:c>
      <x:c r="O1616" s="9" t="n">
        <x:v>0</x:v>
      </x:c>
      <x:c r="P1616" s="9" t="str">
        <x:v>HELD / UNRELEASED</x:v>
      </x:c>
      <x:c r="Q1616" s="9" t="n">
        <x:f>COUNTIFS($A$7:$A$2310,A1616)</x:f>
        <x:v>1</x:v>
      </x:c>
    </x:row>
    <x:row r="1617">
      <x:c r="A1617" s="9" t="str">
        <x:v>PD-AR-LF-B-A-TECH-3-B2-RCN-G0-PD11</x:v>
      </x:c>
      <x:c r="B1617" s="9" t="str">
        <x:v>PD-AR-LF-B-A-TECH-3-B2-RCN-G0</x:v>
      </x:c>
      <x:c r="C1617" s="9" t="str">
        <x:v>EV-AR-LF-B-A-TECH-3-B2-RCN-G0</x:v>
      </x:c>
      <x:c r="D1617" s="9" t="str">
        <x:v>AR-LF-B-A-TECH-3-B2-RCN-G0</x:v>
      </x:c>
      <x:c r="E1617" s="9" t="str">
        <x:v>LF-B-A-TECH-3</x:v>
      </x:c>
      <x:c r="F1617" s="9" t="str">
        <x:v>LF-B-A</x:v>
      </x:c>
      <x:c r="G1617" s="9" t="str">
        <x:v>B2</x:v>
      </x:c>
      <x:c r="H1617" s="9" t="str">
        <x:v>RCN</x:v>
      </x:c>
      <x:c r="I1617" s="9" t="str">
        <x:v>PD11</x:v>
      </x:c>
      <x:c r="J1617" s="17" t="str">
        <x:v>Invalidity petition and opinion</x:v>
      </x:c>
      <x:c r="K1617" s="17" t="str">
        <x:v>Invalidity court</x:v>
      </x:c>
      <x:c r="L1617" s="17" t="str">
        <x:v>COURT-SEALED UNTIL COHORT RELEASE</x:v>
      </x:c>
      <x:c r="M1617" s="9" t="n">
        <x:v>0</x:v>
      </x:c>
      <x:c r="N1617" s="9" t="n">
        <x:v>0</x:v>
      </x:c>
      <x:c r="O1617" s="9" t="n">
        <x:v>0</x:v>
      </x:c>
      <x:c r="P1617" s="9" t="str">
        <x:v>HELD / UNRELEASED</x:v>
      </x:c>
      <x:c r="Q1617" s="9" t="n">
        <x:f>COUNTIFS($A$7:$A$2310,A1617)</x:f>
        <x:v>1</x:v>
      </x:c>
    </x:row>
    <x:row r="1618">
      <x:c r="A1618" s="9" t="str">
        <x:v>PD-AR-LF-B-A-TECH-3-B2-RCN-G0-PD12</x:v>
      </x:c>
      <x:c r="B1618" s="9" t="str">
        <x:v>PD-AR-LF-B-A-TECH-3-B2-RCN-G0</x:v>
      </x:c>
      <x:c r="C1618" s="9" t="str">
        <x:v>EV-AR-LF-B-A-TECH-3-B2-RCN-G0</x:v>
      </x:c>
      <x:c r="D1618" s="9" t="str">
        <x:v>AR-LF-B-A-TECH-3-B2-RCN-G0</x:v>
      </x:c>
      <x:c r="E1618" s="9" t="str">
        <x:v>LF-B-A-TECH-3</x:v>
      </x:c>
      <x:c r="F1618" s="9" t="str">
        <x:v>LF-B-A</x:v>
      </x:c>
      <x:c r="G1618" s="9" t="str">
        <x:v>B2</x:v>
      </x:c>
      <x:c r="H1618" s="9" t="str">
        <x:v>RCN</x:v>
      </x:c>
      <x:c r="I1618" s="9" t="str">
        <x:v>PD12</x:v>
      </x:c>
      <x:c r="J1618" s="17" t="str">
        <x:v>Observation acceptance and replay</x:v>
      </x:c>
      <x:c r="K1618" s="17" t="str">
        <x:v>Observation court</x:v>
      </x:c>
      <x:c r="L1618" s="17" t="str">
        <x:v>COURT-SEALED UNTIL COHORT RELEASE</x:v>
      </x:c>
      <x:c r="M1618" s="9" t="n">
        <x:v>0</x:v>
      </x:c>
      <x:c r="N1618" s="9" t="n">
        <x:v>0</x:v>
      </x:c>
      <x:c r="O1618" s="9" t="n">
        <x:v>0</x:v>
      </x:c>
      <x:c r="P1618" s="9" t="str">
        <x:v>HELD / UNRELEASED</x:v>
      </x:c>
      <x:c r="Q1618" s="9" t="n">
        <x:f>COUNTIFS($A$7:$A$2310,A1618)</x:f>
        <x:v>1</x:v>
      </x:c>
    </x:row>
    <x:row r="1619">
      <x:c r="A1619" s="9" t="str">
        <x:v>PD-AR-LF-B-A-TECH-3-B2-RCN-G0-PD13</x:v>
      </x:c>
      <x:c r="B1619" s="9" t="str">
        <x:v>PD-AR-LF-B-A-TECH-3-B2-RCN-G0</x:v>
      </x:c>
      <x:c r="C1619" s="9" t="str">
        <x:v>EV-AR-LF-B-A-TECH-3-B2-RCN-G0</x:v>
      </x:c>
      <x:c r="D1619" s="9" t="str">
        <x:v>AR-LF-B-A-TECH-3-B2-RCN-G0</x:v>
      </x:c>
      <x:c r="E1619" s="9" t="str">
        <x:v>LF-B-A-TECH-3</x:v>
      </x:c>
      <x:c r="F1619" s="9" t="str">
        <x:v>LF-B-A</x:v>
      </x:c>
      <x:c r="G1619" s="9" t="str">
        <x:v>B2</x:v>
      </x:c>
      <x:c r="H1619" s="9" t="str">
        <x:v>RCN</x:v>
      </x:c>
      <x:c r="I1619" s="9" t="str">
        <x:v>PD13</x:v>
      </x:c>
      <x:c r="J1619" s="17" t="str">
        <x:v>Role judgment</x:v>
      </x:c>
      <x:c r="K1619" s="17" t="str">
        <x:v>Role court</x:v>
      </x:c>
      <x:c r="L1619" s="17" t="str">
        <x:v>COURT-SEALED UNTIL COHORT RELEASE</x:v>
      </x:c>
      <x:c r="M1619" s="9" t="n">
        <x:v>0</x:v>
      </x:c>
      <x:c r="N1619" s="9" t="n">
        <x:v>0</x:v>
      </x:c>
      <x:c r="O1619" s="9" t="n">
        <x:v>0</x:v>
      </x:c>
      <x:c r="P1619" s="9" t="str">
        <x:v>HELD / UNRELEASED</x:v>
      </x:c>
      <x:c r="Q1619" s="9" t="n">
        <x:f>COUNTIFS($A$7:$A$2310,A1619)</x:f>
        <x:v>1</x:v>
      </x:c>
    </x:row>
    <x:row r="1620">
      <x:c r="A1620" s="9" t="str">
        <x:v>PD-AR-LF-B-A-TECH-3-B2-RCN-G0-PD14</x:v>
      </x:c>
      <x:c r="B1620" s="9" t="str">
        <x:v>PD-AR-LF-B-A-TECH-3-B2-RCN-G0</x:v>
      </x:c>
      <x:c r="C1620" s="9" t="str">
        <x:v>EV-AR-LF-B-A-TECH-3-B2-RCN-G0</x:v>
      </x:c>
      <x:c r="D1620" s="9" t="str">
        <x:v>AR-LF-B-A-TECH-3-B2-RCN-G0</x:v>
      </x:c>
      <x:c r="E1620" s="9" t="str">
        <x:v>LF-B-A-TECH-3</x:v>
      </x:c>
      <x:c r="F1620" s="9" t="str">
        <x:v>LF-B-A</x:v>
      </x:c>
      <x:c r="G1620" s="9" t="str">
        <x:v>B2</x:v>
      </x:c>
      <x:c r="H1620" s="9" t="str">
        <x:v>RCN</x:v>
      </x:c>
      <x:c r="I1620" s="9" t="str">
        <x:v>PD14</x:v>
      </x:c>
      <x:c r="J1620" s="17" t="str">
        <x:v>Break and residual account</x:v>
      </x:c>
      <x:c r="K1620" s="17" t="str">
        <x:v>Residual authority</x:v>
      </x:c>
      <x:c r="L1620" s="17" t="str">
        <x:v>COURT-SEALED UNTIL COHORT RELEASE</x:v>
      </x:c>
      <x:c r="M1620" s="9" t="n">
        <x:v>0</x:v>
      </x:c>
      <x:c r="N1620" s="9" t="n">
        <x:v>0</x:v>
      </x:c>
      <x:c r="O1620" s="9" t="n">
        <x:v>0</x:v>
      </x:c>
      <x:c r="P1620" s="9" t="str">
        <x:v>HELD / UNRELEASED</x:v>
      </x:c>
      <x:c r="Q1620" s="9" t="n">
        <x:f>COUNTIFS($A$7:$A$2310,A1620)</x:f>
        <x:v>1</x:v>
      </x:c>
    </x:row>
    <x:row r="1621">
      <x:c r="A1621" s="9" t="str">
        <x:v>PD-AR-LF-B-A-TECH-3-B2-RCN-G0-PD15</x:v>
      </x:c>
      <x:c r="B1621" s="9" t="str">
        <x:v>PD-AR-LF-B-A-TECH-3-B2-RCN-G0</x:v>
      </x:c>
      <x:c r="C1621" s="9" t="str">
        <x:v>EV-AR-LF-B-A-TECH-3-B2-RCN-G0</x:v>
      </x:c>
      <x:c r="D1621" s="9" t="str">
        <x:v>AR-LF-B-A-TECH-3-B2-RCN-G0</x:v>
      </x:c>
      <x:c r="E1621" s="9" t="str">
        <x:v>LF-B-A-TECH-3</x:v>
      </x:c>
      <x:c r="F1621" s="9" t="str">
        <x:v>LF-B-A</x:v>
      </x:c>
      <x:c r="G1621" s="9" t="str">
        <x:v>B2</x:v>
      </x:c>
      <x:c r="H1621" s="9" t="str">
        <x:v>RCN</x:v>
      </x:c>
      <x:c r="I1621" s="9" t="str">
        <x:v>PD15</x:v>
      </x:c>
      <x:c r="J1621" s="17" t="str">
        <x:v>Reconstruction ancestry and replay</x:v>
      </x:c>
      <x:c r="K1621" s="17" t="str">
        <x:v>Reconstruction court</x:v>
      </x:c>
      <x:c r="L1621" s="17" t="str">
        <x:v>COURT-SEALED UNTIL COHORT RELEASE</x:v>
      </x:c>
      <x:c r="M1621" s="9" t="n">
        <x:v>0</x:v>
      </x:c>
      <x:c r="N1621" s="9" t="n">
        <x:v>0</x:v>
      </x:c>
      <x:c r="O1621" s="9" t="n">
        <x:v>0</x:v>
      </x:c>
      <x:c r="P1621" s="9" t="str">
        <x:v>HELD / UNRELEASED</x:v>
      </x:c>
      <x:c r="Q1621" s="9" t="n">
        <x:f>COUNTIFS($A$7:$A$2310,A1621)</x:f>
        <x:v>1</x:v>
      </x:c>
    </x:row>
    <x:row r="1622">
      <x:c r="A1622" s="9" t="str">
        <x:v>PD-AR-LF-B-A-TECH-3-B2-RCN-G0-PD16</x:v>
      </x:c>
      <x:c r="B1622" s="9" t="str">
        <x:v>PD-AR-LF-B-A-TECH-3-B2-RCN-G0</x:v>
      </x:c>
      <x:c r="C1622" s="9" t="str">
        <x:v>EV-AR-LF-B-A-TECH-3-B2-RCN-G0</x:v>
      </x:c>
      <x:c r="D1622" s="9" t="str">
        <x:v>AR-LF-B-A-TECH-3-B2-RCN-G0</x:v>
      </x:c>
      <x:c r="E1622" s="9" t="str">
        <x:v>LF-B-A-TECH-3</x:v>
      </x:c>
      <x:c r="F1622" s="9" t="str">
        <x:v>LF-B-A</x:v>
      </x:c>
      <x:c r="G1622" s="9" t="str">
        <x:v>B2</x:v>
      </x:c>
      <x:c r="H1622" s="9" t="str">
        <x:v>RCN</x:v>
      </x:c>
      <x:c r="I1622" s="9" t="str">
        <x:v>PD16</x:v>
      </x:c>
      <x:c r="J1622" s="17" t="str">
        <x:v>Dissent, amendments and access log</x:v>
      </x:c>
      <x:c r="K1622" s="17" t="str">
        <x:v>Public archive</x:v>
      </x:c>
      <x:c r="L1622" s="17" t="str">
        <x:v>COURT-SEALED UNTIL COHORT RELEASE</x:v>
      </x:c>
      <x:c r="M1622" s="9" t="n">
        <x:v>0</x:v>
      </x:c>
      <x:c r="N1622" s="9" t="n">
        <x:v>0</x:v>
      </x:c>
      <x:c r="O1622" s="9" t="n">
        <x:v>0</x:v>
      </x:c>
      <x:c r="P1622" s="9" t="str">
        <x:v>HELD / UNRELEASED</x:v>
      </x:c>
      <x:c r="Q1622" s="9" t="n">
        <x:f>COUNTIFS($A$7:$A$2310,A1622)</x:f>
        <x:v>1</x:v>
      </x:c>
    </x:row>
    <x:row r="1623">
      <x:c r="A1623" s="9" t="str">
        <x:v>PD-AR-LF-B-A-TECH-4-B1-RCN-G0-PD01</x:v>
      </x:c>
      <x:c r="B1623" s="9" t="str">
        <x:v>PD-AR-LF-B-A-TECH-4-B1-RCN-G0</x:v>
      </x:c>
      <x:c r="C1623" s="9" t="str">
        <x:v>EV-AR-LF-B-A-TECH-4-B1-RCN-G0</x:v>
      </x:c>
      <x:c r="D1623" s="9" t="str">
        <x:v>AR-LF-B-A-TECH-4-B1-RCN-G0</x:v>
      </x:c>
      <x:c r="E1623" s="9" t="str">
        <x:v>LF-B-A-TECH-4</x:v>
      </x:c>
      <x:c r="F1623" s="9" t="str">
        <x:v>LF-B-A</x:v>
      </x:c>
      <x:c r="G1623" s="9" t="str">
        <x:v>B1</x:v>
      </x:c>
      <x:c r="H1623" s="9" t="str">
        <x:v>RCN</x:v>
      </x:c>
      <x:c r="I1623" s="9" t="str">
        <x:v>PD01</x:v>
      </x:c>
      <x:c r="J1623" s="17" t="str">
        <x:v>Experiment kernel</x:v>
      </x:c>
      <x:c r="K1623" s="17" t="str">
        <x:v>Public archive</x:v>
      </x:c>
      <x:c r="L1623" s="17" t="str">
        <x:v>COURT-SEALED UNTIL COHORT RELEASE</x:v>
      </x:c>
      <x:c r="M1623" s="9" t="n">
        <x:v>0</x:v>
      </x:c>
      <x:c r="N1623" s="9" t="n">
        <x:v>0</x:v>
      </x:c>
      <x:c r="O1623" s="9" t="n">
        <x:v>0</x:v>
      </x:c>
      <x:c r="P1623" s="9" t="str">
        <x:v>HELD / UNRELEASED</x:v>
      </x:c>
      <x:c r="Q1623" s="9" t="n">
        <x:f>COUNTIFS($A$7:$A$2310,A1623)</x:f>
        <x:v>1</x:v>
      </x:c>
    </x:row>
    <x:row r="1624">
      <x:c r="A1624" s="9" t="str">
        <x:v>PD-AR-LF-B-A-TECH-4-B1-RCN-G0-PD02</x:v>
      </x:c>
      <x:c r="B1624" s="9" t="str">
        <x:v>PD-AR-LF-B-A-TECH-4-B1-RCN-G0</x:v>
      </x:c>
      <x:c r="C1624" s="9" t="str">
        <x:v>EV-AR-LF-B-A-TECH-4-B1-RCN-G0</x:v>
      </x:c>
      <x:c r="D1624" s="9" t="str">
        <x:v>AR-LF-B-A-TECH-4-B1-RCN-G0</x:v>
      </x:c>
      <x:c r="E1624" s="9" t="str">
        <x:v>LF-B-A-TECH-4</x:v>
      </x:c>
      <x:c r="F1624" s="9" t="str">
        <x:v>LF-B-A</x:v>
      </x:c>
      <x:c r="G1624" s="9" t="str">
        <x:v>B1</x:v>
      </x:c>
      <x:c r="H1624" s="9" t="str">
        <x:v>RCN</x:v>
      </x:c>
      <x:c r="I1624" s="9" t="str">
        <x:v>PD02</x:v>
      </x:c>
      <x:c r="J1624" s="17" t="str">
        <x:v>Serial annex and title chain</x:v>
      </x:c>
      <x:c r="K1624" s="17" t="str">
        <x:v>Public archive</x:v>
      </x:c>
      <x:c r="L1624" s="17" t="str">
        <x:v>COURT-SEALED UNTIL COHORT RELEASE</x:v>
      </x:c>
      <x:c r="M1624" s="9" t="n">
        <x:v>0</x:v>
      </x:c>
      <x:c r="N1624" s="9" t="n">
        <x:v>0</x:v>
      </x:c>
      <x:c r="O1624" s="9" t="n">
        <x:v>0</x:v>
      </x:c>
      <x:c r="P1624" s="9" t="str">
        <x:v>HELD / UNRELEASED</x:v>
      </x:c>
      <x:c r="Q1624" s="9" t="n">
        <x:f>COUNTIFS($A$7:$A$2310,A1624)</x:f>
        <x:v>1</x:v>
      </x:c>
    </x:row>
    <x:row r="1625">
      <x:c r="A1625" s="9" t="str">
        <x:v>PD-AR-LF-B-A-TECH-4-B1-RCN-G0-PD03</x:v>
      </x:c>
      <x:c r="B1625" s="9" t="str">
        <x:v>PD-AR-LF-B-A-TECH-4-B1-RCN-G0</x:v>
      </x:c>
      <x:c r="C1625" s="9" t="str">
        <x:v>EV-AR-LF-B-A-TECH-4-B1-RCN-G0</x:v>
      </x:c>
      <x:c r="D1625" s="9" t="str">
        <x:v>AR-LF-B-A-TECH-4-B1-RCN-G0</x:v>
      </x:c>
      <x:c r="E1625" s="9" t="str">
        <x:v>LF-B-A-TECH-4</x:v>
      </x:c>
      <x:c r="F1625" s="9" t="str">
        <x:v>LF-B-A</x:v>
      </x:c>
      <x:c r="G1625" s="9" t="str">
        <x:v>B1</x:v>
      </x:c>
      <x:c r="H1625" s="9" t="str">
        <x:v>RCN</x:v>
      </x:c>
      <x:c r="I1625" s="9" t="str">
        <x:v>PD03</x:v>
      </x:c>
      <x:c r="J1625" s="17" t="str">
        <x:v>Configuration and as-built manifest</x:v>
      </x:c>
      <x:c r="K1625" s="17" t="str">
        <x:v>Artifact exchange</x:v>
      </x:c>
      <x:c r="L1625" s="17" t="str">
        <x:v>COURT-SEALED UNTIL COHORT RELEASE</x:v>
      </x:c>
      <x:c r="M1625" s="9" t="n">
        <x:v>0</x:v>
      </x:c>
      <x:c r="N1625" s="9" t="n">
        <x:v>0</x:v>
      </x:c>
      <x:c r="O1625" s="9" t="n">
        <x:v>0</x:v>
      </x:c>
      <x:c r="P1625" s="9" t="str">
        <x:v>HELD / UNRELEASED</x:v>
      </x:c>
      <x:c r="Q1625" s="9" t="n">
        <x:f>COUNTIFS($A$7:$A$2310,A1625)</x:f>
        <x:v>1</x:v>
      </x:c>
    </x:row>
    <x:row r="1626">
      <x:c r="A1626" s="9" t="str">
        <x:v>PD-AR-LF-B-A-TECH-4-B1-RCN-G0-PD04</x:v>
      </x:c>
      <x:c r="B1626" s="9" t="str">
        <x:v>PD-AR-LF-B-A-TECH-4-B1-RCN-G0</x:v>
      </x:c>
      <x:c r="C1626" s="9" t="str">
        <x:v>EV-AR-LF-B-A-TECH-4-B1-RCN-G0</x:v>
      </x:c>
      <x:c r="D1626" s="9" t="str">
        <x:v>AR-LF-B-A-TECH-4-B1-RCN-G0</x:v>
      </x:c>
      <x:c r="E1626" s="9" t="str">
        <x:v>LF-B-A-TECH-4</x:v>
      </x:c>
      <x:c r="F1626" s="9" t="str">
        <x:v>LF-B-A</x:v>
      </x:c>
      <x:c r="G1626" s="9" t="str">
        <x:v>B1</x:v>
      </x:c>
      <x:c r="H1626" s="9" t="str">
        <x:v>RCN</x:v>
      </x:c>
      <x:c r="I1626" s="9" t="str">
        <x:v>PD04</x:v>
      </x:c>
      <x:c r="J1626" s="17" t="str">
        <x:v>EOW and start certificate</x:v>
      </x:c>
      <x:c r="K1626" s="17" t="str">
        <x:v>Start registrar</x:v>
      </x:c>
      <x:c r="L1626" s="17" t="str">
        <x:v>COURT-SEALED UNTIL COHORT RELEASE</x:v>
      </x:c>
      <x:c r="M1626" s="9" t="n">
        <x:v>0</x:v>
      </x:c>
      <x:c r="N1626" s="9" t="n">
        <x:v>0</x:v>
      </x:c>
      <x:c r="O1626" s="9" t="n">
        <x:v>0</x:v>
      </x:c>
      <x:c r="P1626" s="9" t="str">
        <x:v>HELD / UNRELEASED</x:v>
      </x:c>
      <x:c r="Q1626" s="9" t="n">
        <x:f>COUNTIFS($A$7:$A$2310,A1626)</x:f>
        <x:v>1</x:v>
      </x:c>
    </x:row>
    <x:row r="1627">
      <x:c r="A1627" s="9" t="str">
        <x:v>PD-AR-LF-B-A-TECH-4-B1-RCN-G0-PD05</x:v>
      </x:c>
      <x:c r="B1627" s="9" t="str">
        <x:v>PD-AR-LF-B-A-TECH-4-B1-RCN-G0</x:v>
      </x:c>
      <x:c r="C1627" s="9" t="str">
        <x:v>EV-AR-LF-B-A-TECH-4-B1-RCN-G0</x:v>
      </x:c>
      <x:c r="D1627" s="9" t="str">
        <x:v>AR-LF-B-A-TECH-4-B1-RCN-G0</x:v>
      </x:c>
      <x:c r="E1627" s="9" t="str">
        <x:v>LF-B-A-TECH-4</x:v>
      </x:c>
      <x:c r="F1627" s="9" t="str">
        <x:v>LF-B-A</x:v>
      </x:c>
      <x:c r="G1627" s="9" t="str">
        <x:v>B1</x:v>
      </x:c>
      <x:c r="H1627" s="9" t="str">
        <x:v>RCN</x:v>
      </x:c>
      <x:c r="I1627" s="9" t="str">
        <x:v>PD05</x:v>
      </x:c>
      <x:c r="J1627" s="17" t="str">
        <x:v>Primary raw originals</x:v>
      </x:c>
      <x:c r="K1627" s="17" t="str">
        <x:v>Primary custody</x:v>
      </x:c>
      <x:c r="L1627" s="17" t="str">
        <x:v>COURT-SEALED UNTIL COHORT RELEASE</x:v>
      </x:c>
      <x:c r="M1627" s="9" t="n">
        <x:v>0</x:v>
      </x:c>
      <x:c r="N1627" s="9" t="n">
        <x:v>0</x:v>
      </x:c>
      <x:c r="O1627" s="9" t="n">
        <x:v>0</x:v>
      </x:c>
      <x:c r="P1627" s="9" t="str">
        <x:v>HELD / UNRELEASED</x:v>
      </x:c>
      <x:c r="Q1627" s="9" t="n">
        <x:f>COUNTIFS($A$7:$A$2310,A1627)</x:f>
        <x:v>1</x:v>
      </x:c>
    </x:row>
    <x:row r="1628">
      <x:c r="A1628" s="9" t="str">
        <x:v>PD-AR-LF-B-A-TECH-4-B1-RCN-G0-PD06</x:v>
      </x:c>
      <x:c r="B1628" s="9" t="str">
        <x:v>PD-AR-LF-B-A-TECH-4-B1-RCN-G0</x:v>
      </x:c>
      <x:c r="C1628" s="9" t="str">
        <x:v>EV-AR-LF-B-A-TECH-4-B1-RCN-G0</x:v>
      </x:c>
      <x:c r="D1628" s="9" t="str">
        <x:v>AR-LF-B-A-TECH-4-B1-RCN-G0</x:v>
      </x:c>
      <x:c r="E1628" s="9" t="str">
        <x:v>LF-B-A-TECH-4</x:v>
      </x:c>
      <x:c r="F1628" s="9" t="str">
        <x:v>LF-B-A</x:v>
      </x:c>
      <x:c r="G1628" s="9" t="str">
        <x:v>B1</x:v>
      </x:c>
      <x:c r="H1628" s="9" t="str">
        <x:v>RCN</x:v>
      </x:c>
      <x:c r="I1628" s="9" t="str">
        <x:v>PD06</x:v>
      </x:c>
      <x:c r="J1628" s="17" t="str">
        <x:v>Witness raw originals</x:v>
      </x:c>
      <x:c r="K1628" s="17" t="str">
        <x:v>Witness custody</x:v>
      </x:c>
      <x:c r="L1628" s="17" t="str">
        <x:v>COURT-SEALED UNTIL COHORT RELEASE</x:v>
      </x:c>
      <x:c r="M1628" s="9" t="n">
        <x:v>0</x:v>
      </x:c>
      <x:c r="N1628" s="9" t="n">
        <x:v>0</x:v>
      </x:c>
      <x:c r="O1628" s="9" t="n">
        <x:v>0</x:v>
      </x:c>
      <x:c r="P1628" s="9" t="str">
        <x:v>HELD / UNRELEASED</x:v>
      </x:c>
      <x:c r="Q1628" s="9" t="n">
        <x:f>COUNTIFS($A$7:$A$2310,A1628)</x:f>
        <x:v>1</x:v>
      </x:c>
    </x:row>
    <x:row r="1629">
      <x:c r="A1629" s="9" t="str">
        <x:v>PD-AR-LF-B-A-TECH-4-B1-RCN-G0-PD07</x:v>
      </x:c>
      <x:c r="B1629" s="9" t="str">
        <x:v>PD-AR-LF-B-A-TECH-4-B1-RCN-G0</x:v>
      </x:c>
      <x:c r="C1629" s="9" t="str">
        <x:v>EV-AR-LF-B-A-TECH-4-B1-RCN-G0</x:v>
      </x:c>
      <x:c r="D1629" s="9" t="str">
        <x:v>AR-LF-B-A-TECH-4-B1-RCN-G0</x:v>
      </x:c>
      <x:c r="E1629" s="9" t="str">
        <x:v>LF-B-A-TECH-4</x:v>
      </x:c>
      <x:c r="F1629" s="9" t="str">
        <x:v>LF-B-A</x:v>
      </x:c>
      <x:c r="G1629" s="9" t="str">
        <x:v>B1</x:v>
      </x:c>
      <x:c r="H1629" s="9" t="str">
        <x:v>RCN</x:v>
      </x:c>
      <x:c r="I1629" s="9" t="str">
        <x:v>PD07</x:v>
      </x:c>
      <x:c r="J1629" s="17" t="str">
        <x:v>Clock and environmental records</x:v>
      </x:c>
      <x:c r="K1629" s="17" t="str">
        <x:v>Boundary archive</x:v>
      </x:c>
      <x:c r="L1629" s="17" t="str">
        <x:v>COURT-SEALED UNTIL COHORT RELEASE</x:v>
      </x:c>
      <x:c r="M1629" s="9" t="n">
        <x:v>0</x:v>
      </x:c>
      <x:c r="N1629" s="9" t="n">
        <x:v>0</x:v>
      </x:c>
      <x:c r="O1629" s="9" t="n">
        <x:v>0</x:v>
      </x:c>
      <x:c r="P1629" s="9" t="str">
        <x:v>HELD / UNRELEASED</x:v>
      </x:c>
      <x:c r="Q1629" s="9" t="n">
        <x:f>COUNTIFS($A$7:$A$2310,A1629)</x:f>
        <x:v>1</x:v>
      </x:c>
    </x:row>
    <x:row r="1630">
      <x:c r="A1630" s="9" t="str">
        <x:v>PD-AR-LF-B-A-TECH-4-B1-RCN-G0-PD08</x:v>
      </x:c>
      <x:c r="B1630" s="9" t="str">
        <x:v>PD-AR-LF-B-A-TECH-4-B1-RCN-G0</x:v>
      </x:c>
      <x:c r="C1630" s="9" t="str">
        <x:v>EV-AR-LF-B-A-TECH-4-B1-RCN-G0</x:v>
      </x:c>
      <x:c r="D1630" s="9" t="str">
        <x:v>AR-LF-B-A-TECH-4-B1-RCN-G0</x:v>
      </x:c>
      <x:c r="E1630" s="9" t="str">
        <x:v>LF-B-A-TECH-4</x:v>
      </x:c>
      <x:c r="F1630" s="9" t="str">
        <x:v>LF-B-A</x:v>
      </x:c>
      <x:c r="G1630" s="9" t="str">
        <x:v>B1</x:v>
      </x:c>
      <x:c r="H1630" s="9" t="str">
        <x:v>RCN</x:v>
      </x:c>
      <x:c r="I1630" s="9" t="str">
        <x:v>PD08</x:v>
      </x:c>
      <x:c r="J1630" s="17" t="str">
        <x:v>Command and intervention log</x:v>
      </x:c>
      <x:c r="K1630" s="17" t="str">
        <x:v>Safety archive</x:v>
      </x:c>
      <x:c r="L1630" s="17" t="str">
        <x:v>COURT-SEALED UNTIL COHORT RELEASE</x:v>
      </x:c>
      <x:c r="M1630" s="9" t="n">
        <x:v>0</x:v>
      </x:c>
      <x:c r="N1630" s="9" t="n">
        <x:v>0</x:v>
      </x:c>
      <x:c r="O1630" s="9" t="n">
        <x:v>0</x:v>
      </x:c>
      <x:c r="P1630" s="9" t="str">
        <x:v>HELD / UNRELEASED</x:v>
      </x:c>
      <x:c r="Q1630" s="9" t="n">
        <x:f>COUNTIFS($A$7:$A$2310,A1630)</x:f>
        <x:v>1</x:v>
      </x:c>
    </x:row>
    <x:row r="1631">
      <x:c r="A1631" s="9" t="str">
        <x:v>PD-AR-LF-B-A-TECH-4-B1-RCN-G0-PD09</x:v>
      </x:c>
      <x:c r="B1631" s="9" t="str">
        <x:v>PD-AR-LF-B-A-TECH-4-B1-RCN-G0</x:v>
      </x:c>
      <x:c r="C1631" s="9" t="str">
        <x:v>EV-AR-LF-B-A-TECH-4-B1-RCN-G0</x:v>
      </x:c>
      <x:c r="D1631" s="9" t="str">
        <x:v>AR-LF-B-A-TECH-4-B1-RCN-G0</x:v>
      </x:c>
      <x:c r="E1631" s="9" t="str">
        <x:v>LF-B-A-TECH-4</x:v>
      </x:c>
      <x:c r="F1631" s="9" t="str">
        <x:v>LF-B-A</x:v>
      </x:c>
      <x:c r="G1631" s="9" t="str">
        <x:v>B1</x:v>
      </x:c>
      <x:c r="H1631" s="9" t="str">
        <x:v>RCN</x:v>
      </x:c>
      <x:c r="I1631" s="9" t="str">
        <x:v>PD09</x:v>
      </x:c>
      <x:c r="J1631" s="17" t="str">
        <x:v>Receiver denominator and service ledger</x:v>
      </x:c>
      <x:c r="K1631" s="17" t="str">
        <x:v>Receiver archive</x:v>
      </x:c>
      <x:c r="L1631" s="17" t="str">
        <x:v>COURT-SEALED UNTIL COHORT RELEASE</x:v>
      </x:c>
      <x:c r="M1631" s="9" t="n">
        <x:v>0</x:v>
      </x:c>
      <x:c r="N1631" s="9" t="n">
        <x:v>0</x:v>
      </x:c>
      <x:c r="O1631" s="9" t="n">
        <x:v>0</x:v>
      </x:c>
      <x:c r="P1631" s="9" t="str">
        <x:v>HELD / UNRELEASED</x:v>
      </x:c>
      <x:c r="Q1631" s="9" t="n">
        <x:f>COUNTIFS($A$7:$A$2310,A1631)</x:f>
        <x:v>1</x:v>
      </x:c>
    </x:row>
    <x:row r="1632">
      <x:c r="A1632" s="9" t="str">
        <x:v>PD-AR-LF-B-A-TECH-4-B1-RCN-G0-PD10</x:v>
      </x:c>
      <x:c r="B1632" s="9" t="str">
        <x:v>PD-AR-LF-B-A-TECH-4-B1-RCN-G0</x:v>
      </x:c>
      <x:c r="C1632" s="9" t="str">
        <x:v>EV-AR-LF-B-A-TECH-4-B1-RCN-G0</x:v>
      </x:c>
      <x:c r="D1632" s="9" t="str">
        <x:v>AR-LF-B-A-TECH-4-B1-RCN-G0</x:v>
      </x:c>
      <x:c r="E1632" s="9" t="str">
        <x:v>LF-B-A-TECH-4</x:v>
      </x:c>
      <x:c r="F1632" s="9" t="str">
        <x:v>LF-B-A</x:v>
      </x:c>
      <x:c r="G1632" s="9" t="str">
        <x:v>B1</x:v>
      </x:c>
      <x:c r="H1632" s="9" t="str">
        <x:v>RCN</x:v>
      </x:c>
      <x:c r="I1632" s="9" t="str">
        <x:v>PD10</x:v>
      </x:c>
      <x:c r="J1632" s="17" t="str">
        <x:v>Calibration and uncertainty record</x:v>
      </x:c>
      <x:c r="K1632" s="17" t="str">
        <x:v>Metrology archive</x:v>
      </x:c>
      <x:c r="L1632" s="17" t="str">
        <x:v>COURT-SEALED UNTIL COHORT RELEASE</x:v>
      </x:c>
      <x:c r="M1632" s="9" t="n">
        <x:v>0</x:v>
      </x:c>
      <x:c r="N1632" s="9" t="n">
        <x:v>0</x:v>
      </x:c>
      <x:c r="O1632" s="9" t="n">
        <x:v>0</x:v>
      </x:c>
      <x:c r="P1632" s="9" t="str">
        <x:v>HELD / UNRELEASED</x:v>
      </x:c>
      <x:c r="Q1632" s="9" t="n">
        <x:f>COUNTIFS($A$7:$A$2310,A1632)</x:f>
        <x:v>1</x:v>
      </x:c>
    </x:row>
    <x:row r="1633">
      <x:c r="A1633" s="9" t="str">
        <x:v>PD-AR-LF-B-A-TECH-4-B1-RCN-G0-PD11</x:v>
      </x:c>
      <x:c r="B1633" s="9" t="str">
        <x:v>PD-AR-LF-B-A-TECH-4-B1-RCN-G0</x:v>
      </x:c>
      <x:c r="C1633" s="9" t="str">
        <x:v>EV-AR-LF-B-A-TECH-4-B1-RCN-G0</x:v>
      </x:c>
      <x:c r="D1633" s="9" t="str">
        <x:v>AR-LF-B-A-TECH-4-B1-RCN-G0</x:v>
      </x:c>
      <x:c r="E1633" s="9" t="str">
        <x:v>LF-B-A-TECH-4</x:v>
      </x:c>
      <x:c r="F1633" s="9" t="str">
        <x:v>LF-B-A</x:v>
      </x:c>
      <x:c r="G1633" s="9" t="str">
        <x:v>B1</x:v>
      </x:c>
      <x:c r="H1633" s="9" t="str">
        <x:v>RCN</x:v>
      </x:c>
      <x:c r="I1633" s="9" t="str">
        <x:v>PD11</x:v>
      </x:c>
      <x:c r="J1633" s="17" t="str">
        <x:v>Invalidity petition and opinion</x:v>
      </x:c>
      <x:c r="K1633" s="17" t="str">
        <x:v>Invalidity court</x:v>
      </x:c>
      <x:c r="L1633" s="17" t="str">
        <x:v>COURT-SEALED UNTIL COHORT RELEASE</x:v>
      </x:c>
      <x:c r="M1633" s="9" t="n">
        <x:v>0</x:v>
      </x:c>
      <x:c r="N1633" s="9" t="n">
        <x:v>0</x:v>
      </x:c>
      <x:c r="O1633" s="9" t="n">
        <x:v>0</x:v>
      </x:c>
      <x:c r="P1633" s="9" t="str">
        <x:v>HELD / UNRELEASED</x:v>
      </x:c>
      <x:c r="Q1633" s="9" t="n">
        <x:f>COUNTIFS($A$7:$A$2310,A1633)</x:f>
        <x:v>1</x:v>
      </x:c>
    </x:row>
    <x:row r="1634">
      <x:c r="A1634" s="9" t="str">
        <x:v>PD-AR-LF-B-A-TECH-4-B1-RCN-G0-PD12</x:v>
      </x:c>
      <x:c r="B1634" s="9" t="str">
        <x:v>PD-AR-LF-B-A-TECH-4-B1-RCN-G0</x:v>
      </x:c>
      <x:c r="C1634" s="9" t="str">
        <x:v>EV-AR-LF-B-A-TECH-4-B1-RCN-G0</x:v>
      </x:c>
      <x:c r="D1634" s="9" t="str">
        <x:v>AR-LF-B-A-TECH-4-B1-RCN-G0</x:v>
      </x:c>
      <x:c r="E1634" s="9" t="str">
        <x:v>LF-B-A-TECH-4</x:v>
      </x:c>
      <x:c r="F1634" s="9" t="str">
        <x:v>LF-B-A</x:v>
      </x:c>
      <x:c r="G1634" s="9" t="str">
        <x:v>B1</x:v>
      </x:c>
      <x:c r="H1634" s="9" t="str">
        <x:v>RCN</x:v>
      </x:c>
      <x:c r="I1634" s="9" t="str">
        <x:v>PD12</x:v>
      </x:c>
      <x:c r="J1634" s="17" t="str">
        <x:v>Observation acceptance and replay</x:v>
      </x:c>
      <x:c r="K1634" s="17" t="str">
        <x:v>Observation court</x:v>
      </x:c>
      <x:c r="L1634" s="17" t="str">
        <x:v>COURT-SEALED UNTIL COHORT RELEASE</x:v>
      </x:c>
      <x:c r="M1634" s="9" t="n">
        <x:v>0</x:v>
      </x:c>
      <x:c r="N1634" s="9" t="n">
        <x:v>0</x:v>
      </x:c>
      <x:c r="O1634" s="9" t="n">
        <x:v>0</x:v>
      </x:c>
      <x:c r="P1634" s="9" t="str">
        <x:v>HELD / UNRELEASED</x:v>
      </x:c>
      <x:c r="Q1634" s="9" t="n">
        <x:f>COUNTIFS($A$7:$A$2310,A1634)</x:f>
        <x:v>1</x:v>
      </x:c>
    </x:row>
    <x:row r="1635">
      <x:c r="A1635" s="9" t="str">
        <x:v>PD-AR-LF-B-A-TECH-4-B1-RCN-G0-PD13</x:v>
      </x:c>
      <x:c r="B1635" s="9" t="str">
        <x:v>PD-AR-LF-B-A-TECH-4-B1-RCN-G0</x:v>
      </x:c>
      <x:c r="C1635" s="9" t="str">
        <x:v>EV-AR-LF-B-A-TECH-4-B1-RCN-G0</x:v>
      </x:c>
      <x:c r="D1635" s="9" t="str">
        <x:v>AR-LF-B-A-TECH-4-B1-RCN-G0</x:v>
      </x:c>
      <x:c r="E1635" s="9" t="str">
        <x:v>LF-B-A-TECH-4</x:v>
      </x:c>
      <x:c r="F1635" s="9" t="str">
        <x:v>LF-B-A</x:v>
      </x:c>
      <x:c r="G1635" s="9" t="str">
        <x:v>B1</x:v>
      </x:c>
      <x:c r="H1635" s="9" t="str">
        <x:v>RCN</x:v>
      </x:c>
      <x:c r="I1635" s="9" t="str">
        <x:v>PD13</x:v>
      </x:c>
      <x:c r="J1635" s="17" t="str">
        <x:v>Role judgment</x:v>
      </x:c>
      <x:c r="K1635" s="17" t="str">
        <x:v>Role court</x:v>
      </x:c>
      <x:c r="L1635" s="17" t="str">
        <x:v>COURT-SEALED UNTIL COHORT RELEASE</x:v>
      </x:c>
      <x:c r="M1635" s="9" t="n">
        <x:v>0</x:v>
      </x:c>
      <x:c r="N1635" s="9" t="n">
        <x:v>0</x:v>
      </x:c>
      <x:c r="O1635" s="9" t="n">
        <x:v>0</x:v>
      </x:c>
      <x:c r="P1635" s="9" t="str">
        <x:v>HELD / UNRELEASED</x:v>
      </x:c>
      <x:c r="Q1635" s="9" t="n">
        <x:f>COUNTIFS($A$7:$A$2310,A1635)</x:f>
        <x:v>1</x:v>
      </x:c>
    </x:row>
    <x:row r="1636">
      <x:c r="A1636" s="9" t="str">
        <x:v>PD-AR-LF-B-A-TECH-4-B1-RCN-G0-PD14</x:v>
      </x:c>
      <x:c r="B1636" s="9" t="str">
        <x:v>PD-AR-LF-B-A-TECH-4-B1-RCN-G0</x:v>
      </x:c>
      <x:c r="C1636" s="9" t="str">
        <x:v>EV-AR-LF-B-A-TECH-4-B1-RCN-G0</x:v>
      </x:c>
      <x:c r="D1636" s="9" t="str">
        <x:v>AR-LF-B-A-TECH-4-B1-RCN-G0</x:v>
      </x:c>
      <x:c r="E1636" s="9" t="str">
        <x:v>LF-B-A-TECH-4</x:v>
      </x:c>
      <x:c r="F1636" s="9" t="str">
        <x:v>LF-B-A</x:v>
      </x:c>
      <x:c r="G1636" s="9" t="str">
        <x:v>B1</x:v>
      </x:c>
      <x:c r="H1636" s="9" t="str">
        <x:v>RCN</x:v>
      </x:c>
      <x:c r="I1636" s="9" t="str">
        <x:v>PD14</x:v>
      </x:c>
      <x:c r="J1636" s="17" t="str">
        <x:v>Break and residual account</x:v>
      </x:c>
      <x:c r="K1636" s="17" t="str">
        <x:v>Residual authority</x:v>
      </x:c>
      <x:c r="L1636" s="17" t="str">
        <x:v>COURT-SEALED UNTIL COHORT RELEASE</x:v>
      </x:c>
      <x:c r="M1636" s="9" t="n">
        <x:v>0</x:v>
      </x:c>
      <x:c r="N1636" s="9" t="n">
        <x:v>0</x:v>
      </x:c>
      <x:c r="O1636" s="9" t="n">
        <x:v>0</x:v>
      </x:c>
      <x:c r="P1636" s="9" t="str">
        <x:v>HELD / UNRELEASED</x:v>
      </x:c>
      <x:c r="Q1636" s="9" t="n">
        <x:f>COUNTIFS($A$7:$A$2310,A1636)</x:f>
        <x:v>1</x:v>
      </x:c>
    </x:row>
    <x:row r="1637">
      <x:c r="A1637" s="9" t="str">
        <x:v>PD-AR-LF-B-A-TECH-4-B1-RCN-G0-PD15</x:v>
      </x:c>
      <x:c r="B1637" s="9" t="str">
        <x:v>PD-AR-LF-B-A-TECH-4-B1-RCN-G0</x:v>
      </x:c>
      <x:c r="C1637" s="9" t="str">
        <x:v>EV-AR-LF-B-A-TECH-4-B1-RCN-G0</x:v>
      </x:c>
      <x:c r="D1637" s="9" t="str">
        <x:v>AR-LF-B-A-TECH-4-B1-RCN-G0</x:v>
      </x:c>
      <x:c r="E1637" s="9" t="str">
        <x:v>LF-B-A-TECH-4</x:v>
      </x:c>
      <x:c r="F1637" s="9" t="str">
        <x:v>LF-B-A</x:v>
      </x:c>
      <x:c r="G1637" s="9" t="str">
        <x:v>B1</x:v>
      </x:c>
      <x:c r="H1637" s="9" t="str">
        <x:v>RCN</x:v>
      </x:c>
      <x:c r="I1637" s="9" t="str">
        <x:v>PD15</x:v>
      </x:c>
      <x:c r="J1637" s="17" t="str">
        <x:v>Reconstruction ancestry and replay</x:v>
      </x:c>
      <x:c r="K1637" s="17" t="str">
        <x:v>Reconstruction court</x:v>
      </x:c>
      <x:c r="L1637" s="17" t="str">
        <x:v>COURT-SEALED UNTIL COHORT RELEASE</x:v>
      </x:c>
      <x:c r="M1637" s="9" t="n">
        <x:v>0</x:v>
      </x:c>
      <x:c r="N1637" s="9" t="n">
        <x:v>0</x:v>
      </x:c>
      <x:c r="O1637" s="9" t="n">
        <x:v>0</x:v>
      </x:c>
      <x:c r="P1637" s="9" t="str">
        <x:v>HELD / UNRELEASED</x:v>
      </x:c>
      <x:c r="Q1637" s="9" t="n">
        <x:f>COUNTIFS($A$7:$A$2310,A1637)</x:f>
        <x:v>1</x:v>
      </x:c>
    </x:row>
    <x:row r="1638">
      <x:c r="A1638" s="9" t="str">
        <x:v>PD-AR-LF-B-A-TECH-4-B1-RCN-G0-PD16</x:v>
      </x:c>
      <x:c r="B1638" s="9" t="str">
        <x:v>PD-AR-LF-B-A-TECH-4-B1-RCN-G0</x:v>
      </x:c>
      <x:c r="C1638" s="9" t="str">
        <x:v>EV-AR-LF-B-A-TECH-4-B1-RCN-G0</x:v>
      </x:c>
      <x:c r="D1638" s="9" t="str">
        <x:v>AR-LF-B-A-TECH-4-B1-RCN-G0</x:v>
      </x:c>
      <x:c r="E1638" s="9" t="str">
        <x:v>LF-B-A-TECH-4</x:v>
      </x:c>
      <x:c r="F1638" s="9" t="str">
        <x:v>LF-B-A</x:v>
      </x:c>
      <x:c r="G1638" s="9" t="str">
        <x:v>B1</x:v>
      </x:c>
      <x:c r="H1638" s="9" t="str">
        <x:v>RCN</x:v>
      </x:c>
      <x:c r="I1638" s="9" t="str">
        <x:v>PD16</x:v>
      </x:c>
      <x:c r="J1638" s="17" t="str">
        <x:v>Dissent, amendments and access log</x:v>
      </x:c>
      <x:c r="K1638" s="17" t="str">
        <x:v>Public archive</x:v>
      </x:c>
      <x:c r="L1638" s="17" t="str">
        <x:v>COURT-SEALED UNTIL COHORT RELEASE</x:v>
      </x:c>
      <x:c r="M1638" s="9" t="n">
        <x:v>0</x:v>
      </x:c>
      <x:c r="N1638" s="9" t="n">
        <x:v>0</x:v>
      </x:c>
      <x:c r="O1638" s="9" t="n">
        <x:v>0</x:v>
      </x:c>
      <x:c r="P1638" s="9" t="str">
        <x:v>HELD / UNRELEASED</x:v>
      </x:c>
      <x:c r="Q1638" s="9" t="n">
        <x:f>COUNTIFS($A$7:$A$2310,A1638)</x:f>
        <x:v>1</x:v>
      </x:c>
    </x:row>
    <x:row r="1639">
      <x:c r="A1639" s="9" t="str">
        <x:v>PD-AR-CT-C-B-TECH-2-B1-BRK-G0-PD01</x:v>
      </x:c>
      <x:c r="B1639" s="9" t="str">
        <x:v>PD-AR-CT-C-B-TECH-2-B1-BRK-G0</x:v>
      </x:c>
      <x:c r="C1639" s="9" t="str">
        <x:v>EV-AR-CT-C-B-TECH-2-B1-BRK-G0</x:v>
      </x:c>
      <x:c r="D1639" s="9" t="str">
        <x:v>AR-CT-C-B-TECH-2-B1-BRK-G0</x:v>
      </x:c>
      <x:c r="E1639" s="9" t="str">
        <x:v>CT-C-B-TECH-2</x:v>
      </x:c>
      <x:c r="F1639" s="9" t="str">
        <x:v>CT-C-B</x:v>
      </x:c>
      <x:c r="G1639" s="9" t="str">
        <x:v>B1</x:v>
      </x:c>
      <x:c r="H1639" s="9" t="str">
        <x:v>BRK</x:v>
      </x:c>
      <x:c r="I1639" s="9" t="str">
        <x:v>PD01</x:v>
      </x:c>
      <x:c r="J1639" s="17" t="str">
        <x:v>Experiment kernel</x:v>
      </x:c>
      <x:c r="K1639" s="17" t="str">
        <x:v>Public archive</x:v>
      </x:c>
      <x:c r="L1639" s="17" t="str">
        <x:v>COURT-SEALED UNTIL COHORT RELEASE</x:v>
      </x:c>
      <x:c r="M1639" s="9" t="n">
        <x:v>0</x:v>
      </x:c>
      <x:c r="N1639" s="9" t="n">
        <x:v>0</x:v>
      </x:c>
      <x:c r="O1639" s="9" t="n">
        <x:v>0</x:v>
      </x:c>
      <x:c r="P1639" s="9" t="str">
        <x:v>HELD / UNRELEASED</x:v>
      </x:c>
      <x:c r="Q1639" s="9" t="n">
        <x:f>COUNTIFS($A$7:$A$2310,A1639)</x:f>
        <x:v>1</x:v>
      </x:c>
    </x:row>
    <x:row r="1640">
      <x:c r="A1640" s="9" t="str">
        <x:v>PD-AR-CT-C-B-TECH-2-B1-BRK-G0-PD02</x:v>
      </x:c>
      <x:c r="B1640" s="9" t="str">
        <x:v>PD-AR-CT-C-B-TECH-2-B1-BRK-G0</x:v>
      </x:c>
      <x:c r="C1640" s="9" t="str">
        <x:v>EV-AR-CT-C-B-TECH-2-B1-BRK-G0</x:v>
      </x:c>
      <x:c r="D1640" s="9" t="str">
        <x:v>AR-CT-C-B-TECH-2-B1-BRK-G0</x:v>
      </x:c>
      <x:c r="E1640" s="9" t="str">
        <x:v>CT-C-B-TECH-2</x:v>
      </x:c>
      <x:c r="F1640" s="9" t="str">
        <x:v>CT-C-B</x:v>
      </x:c>
      <x:c r="G1640" s="9" t="str">
        <x:v>B1</x:v>
      </x:c>
      <x:c r="H1640" s="9" t="str">
        <x:v>BRK</x:v>
      </x:c>
      <x:c r="I1640" s="9" t="str">
        <x:v>PD02</x:v>
      </x:c>
      <x:c r="J1640" s="17" t="str">
        <x:v>Serial annex and title chain</x:v>
      </x:c>
      <x:c r="K1640" s="17" t="str">
        <x:v>Public archive</x:v>
      </x:c>
      <x:c r="L1640" s="17" t="str">
        <x:v>COURT-SEALED UNTIL COHORT RELEASE</x:v>
      </x:c>
      <x:c r="M1640" s="9" t="n">
        <x:v>0</x:v>
      </x:c>
      <x:c r="N1640" s="9" t="n">
        <x:v>0</x:v>
      </x:c>
      <x:c r="O1640" s="9" t="n">
        <x:v>0</x:v>
      </x:c>
      <x:c r="P1640" s="9" t="str">
        <x:v>HELD / UNRELEASED</x:v>
      </x:c>
      <x:c r="Q1640" s="9" t="n">
        <x:f>COUNTIFS($A$7:$A$2310,A1640)</x:f>
        <x:v>1</x:v>
      </x:c>
    </x:row>
    <x:row r="1641">
      <x:c r="A1641" s="9" t="str">
        <x:v>PD-AR-CT-C-B-TECH-2-B1-BRK-G0-PD03</x:v>
      </x:c>
      <x:c r="B1641" s="9" t="str">
        <x:v>PD-AR-CT-C-B-TECH-2-B1-BRK-G0</x:v>
      </x:c>
      <x:c r="C1641" s="9" t="str">
        <x:v>EV-AR-CT-C-B-TECH-2-B1-BRK-G0</x:v>
      </x:c>
      <x:c r="D1641" s="9" t="str">
        <x:v>AR-CT-C-B-TECH-2-B1-BRK-G0</x:v>
      </x:c>
      <x:c r="E1641" s="9" t="str">
        <x:v>CT-C-B-TECH-2</x:v>
      </x:c>
      <x:c r="F1641" s="9" t="str">
        <x:v>CT-C-B</x:v>
      </x:c>
      <x:c r="G1641" s="9" t="str">
        <x:v>B1</x:v>
      </x:c>
      <x:c r="H1641" s="9" t="str">
        <x:v>BRK</x:v>
      </x:c>
      <x:c r="I1641" s="9" t="str">
        <x:v>PD03</x:v>
      </x:c>
      <x:c r="J1641" s="17" t="str">
        <x:v>Configuration and as-built manifest</x:v>
      </x:c>
      <x:c r="K1641" s="17" t="str">
        <x:v>Artifact exchange</x:v>
      </x:c>
      <x:c r="L1641" s="17" t="str">
        <x:v>COURT-SEALED UNTIL COHORT RELEASE</x:v>
      </x:c>
      <x:c r="M1641" s="9" t="n">
        <x:v>0</x:v>
      </x:c>
      <x:c r="N1641" s="9" t="n">
        <x:v>0</x:v>
      </x:c>
      <x:c r="O1641" s="9" t="n">
        <x:v>0</x:v>
      </x:c>
      <x:c r="P1641" s="9" t="str">
        <x:v>HELD / UNRELEASED</x:v>
      </x:c>
      <x:c r="Q1641" s="9" t="n">
        <x:f>COUNTIFS($A$7:$A$2310,A1641)</x:f>
        <x:v>1</x:v>
      </x:c>
    </x:row>
    <x:row r="1642">
      <x:c r="A1642" s="9" t="str">
        <x:v>PD-AR-CT-C-B-TECH-2-B1-BRK-G0-PD04</x:v>
      </x:c>
      <x:c r="B1642" s="9" t="str">
        <x:v>PD-AR-CT-C-B-TECH-2-B1-BRK-G0</x:v>
      </x:c>
      <x:c r="C1642" s="9" t="str">
        <x:v>EV-AR-CT-C-B-TECH-2-B1-BRK-G0</x:v>
      </x:c>
      <x:c r="D1642" s="9" t="str">
        <x:v>AR-CT-C-B-TECH-2-B1-BRK-G0</x:v>
      </x:c>
      <x:c r="E1642" s="9" t="str">
        <x:v>CT-C-B-TECH-2</x:v>
      </x:c>
      <x:c r="F1642" s="9" t="str">
        <x:v>CT-C-B</x:v>
      </x:c>
      <x:c r="G1642" s="9" t="str">
        <x:v>B1</x:v>
      </x:c>
      <x:c r="H1642" s="9" t="str">
        <x:v>BRK</x:v>
      </x:c>
      <x:c r="I1642" s="9" t="str">
        <x:v>PD04</x:v>
      </x:c>
      <x:c r="J1642" s="17" t="str">
        <x:v>EOW and start certificate</x:v>
      </x:c>
      <x:c r="K1642" s="17" t="str">
        <x:v>Start registrar</x:v>
      </x:c>
      <x:c r="L1642" s="17" t="str">
        <x:v>COURT-SEALED UNTIL COHORT RELEASE</x:v>
      </x:c>
      <x:c r="M1642" s="9" t="n">
        <x:v>0</x:v>
      </x:c>
      <x:c r="N1642" s="9" t="n">
        <x:v>0</x:v>
      </x:c>
      <x:c r="O1642" s="9" t="n">
        <x:v>0</x:v>
      </x:c>
      <x:c r="P1642" s="9" t="str">
        <x:v>HELD / UNRELEASED</x:v>
      </x:c>
      <x:c r="Q1642" s="9" t="n">
        <x:f>COUNTIFS($A$7:$A$2310,A1642)</x:f>
        <x:v>1</x:v>
      </x:c>
    </x:row>
    <x:row r="1643">
      <x:c r="A1643" s="9" t="str">
        <x:v>PD-AR-CT-C-B-TECH-2-B1-BRK-G0-PD05</x:v>
      </x:c>
      <x:c r="B1643" s="9" t="str">
        <x:v>PD-AR-CT-C-B-TECH-2-B1-BRK-G0</x:v>
      </x:c>
      <x:c r="C1643" s="9" t="str">
        <x:v>EV-AR-CT-C-B-TECH-2-B1-BRK-G0</x:v>
      </x:c>
      <x:c r="D1643" s="9" t="str">
        <x:v>AR-CT-C-B-TECH-2-B1-BRK-G0</x:v>
      </x:c>
      <x:c r="E1643" s="9" t="str">
        <x:v>CT-C-B-TECH-2</x:v>
      </x:c>
      <x:c r="F1643" s="9" t="str">
        <x:v>CT-C-B</x:v>
      </x:c>
      <x:c r="G1643" s="9" t="str">
        <x:v>B1</x:v>
      </x:c>
      <x:c r="H1643" s="9" t="str">
        <x:v>BRK</x:v>
      </x:c>
      <x:c r="I1643" s="9" t="str">
        <x:v>PD05</x:v>
      </x:c>
      <x:c r="J1643" s="17" t="str">
        <x:v>Primary raw originals</x:v>
      </x:c>
      <x:c r="K1643" s="17" t="str">
        <x:v>Primary custody</x:v>
      </x:c>
      <x:c r="L1643" s="17" t="str">
        <x:v>COURT-SEALED UNTIL COHORT RELEASE</x:v>
      </x:c>
      <x:c r="M1643" s="9" t="n">
        <x:v>0</x:v>
      </x:c>
      <x:c r="N1643" s="9" t="n">
        <x:v>0</x:v>
      </x:c>
      <x:c r="O1643" s="9" t="n">
        <x:v>0</x:v>
      </x:c>
      <x:c r="P1643" s="9" t="str">
        <x:v>HELD / UNRELEASED</x:v>
      </x:c>
      <x:c r="Q1643" s="9" t="n">
        <x:f>COUNTIFS($A$7:$A$2310,A1643)</x:f>
        <x:v>1</x:v>
      </x:c>
    </x:row>
    <x:row r="1644">
      <x:c r="A1644" s="9" t="str">
        <x:v>PD-AR-CT-C-B-TECH-2-B1-BRK-G0-PD06</x:v>
      </x:c>
      <x:c r="B1644" s="9" t="str">
        <x:v>PD-AR-CT-C-B-TECH-2-B1-BRK-G0</x:v>
      </x:c>
      <x:c r="C1644" s="9" t="str">
        <x:v>EV-AR-CT-C-B-TECH-2-B1-BRK-G0</x:v>
      </x:c>
      <x:c r="D1644" s="9" t="str">
        <x:v>AR-CT-C-B-TECH-2-B1-BRK-G0</x:v>
      </x:c>
      <x:c r="E1644" s="9" t="str">
        <x:v>CT-C-B-TECH-2</x:v>
      </x:c>
      <x:c r="F1644" s="9" t="str">
        <x:v>CT-C-B</x:v>
      </x:c>
      <x:c r="G1644" s="9" t="str">
        <x:v>B1</x:v>
      </x:c>
      <x:c r="H1644" s="9" t="str">
        <x:v>BRK</x:v>
      </x:c>
      <x:c r="I1644" s="9" t="str">
        <x:v>PD06</x:v>
      </x:c>
      <x:c r="J1644" s="17" t="str">
        <x:v>Witness raw originals</x:v>
      </x:c>
      <x:c r="K1644" s="17" t="str">
        <x:v>Witness custody</x:v>
      </x:c>
      <x:c r="L1644" s="17" t="str">
        <x:v>COURT-SEALED UNTIL COHORT RELEASE</x:v>
      </x:c>
      <x:c r="M1644" s="9" t="n">
        <x:v>0</x:v>
      </x:c>
      <x:c r="N1644" s="9" t="n">
        <x:v>0</x:v>
      </x:c>
      <x:c r="O1644" s="9" t="n">
        <x:v>0</x:v>
      </x:c>
      <x:c r="P1644" s="9" t="str">
        <x:v>HELD / UNRELEASED</x:v>
      </x:c>
      <x:c r="Q1644" s="9" t="n">
        <x:f>COUNTIFS($A$7:$A$2310,A1644)</x:f>
        <x:v>1</x:v>
      </x:c>
    </x:row>
    <x:row r="1645">
      <x:c r="A1645" s="9" t="str">
        <x:v>PD-AR-CT-C-B-TECH-2-B1-BRK-G0-PD07</x:v>
      </x:c>
      <x:c r="B1645" s="9" t="str">
        <x:v>PD-AR-CT-C-B-TECH-2-B1-BRK-G0</x:v>
      </x:c>
      <x:c r="C1645" s="9" t="str">
        <x:v>EV-AR-CT-C-B-TECH-2-B1-BRK-G0</x:v>
      </x:c>
      <x:c r="D1645" s="9" t="str">
        <x:v>AR-CT-C-B-TECH-2-B1-BRK-G0</x:v>
      </x:c>
      <x:c r="E1645" s="9" t="str">
        <x:v>CT-C-B-TECH-2</x:v>
      </x:c>
      <x:c r="F1645" s="9" t="str">
        <x:v>CT-C-B</x:v>
      </x:c>
      <x:c r="G1645" s="9" t="str">
        <x:v>B1</x:v>
      </x:c>
      <x:c r="H1645" s="9" t="str">
        <x:v>BRK</x:v>
      </x:c>
      <x:c r="I1645" s="9" t="str">
        <x:v>PD07</x:v>
      </x:c>
      <x:c r="J1645" s="17" t="str">
        <x:v>Clock and environmental records</x:v>
      </x:c>
      <x:c r="K1645" s="17" t="str">
        <x:v>Boundary archive</x:v>
      </x:c>
      <x:c r="L1645" s="17" t="str">
        <x:v>COURT-SEALED UNTIL COHORT RELEASE</x:v>
      </x:c>
      <x:c r="M1645" s="9" t="n">
        <x:v>0</x:v>
      </x:c>
      <x:c r="N1645" s="9" t="n">
        <x:v>0</x:v>
      </x:c>
      <x:c r="O1645" s="9" t="n">
        <x:v>0</x:v>
      </x:c>
      <x:c r="P1645" s="9" t="str">
        <x:v>HELD / UNRELEASED</x:v>
      </x:c>
      <x:c r="Q1645" s="9" t="n">
        <x:f>COUNTIFS($A$7:$A$2310,A1645)</x:f>
        <x:v>1</x:v>
      </x:c>
    </x:row>
    <x:row r="1646">
      <x:c r="A1646" s="9" t="str">
        <x:v>PD-AR-CT-C-B-TECH-2-B1-BRK-G0-PD08</x:v>
      </x:c>
      <x:c r="B1646" s="9" t="str">
        <x:v>PD-AR-CT-C-B-TECH-2-B1-BRK-G0</x:v>
      </x:c>
      <x:c r="C1646" s="9" t="str">
        <x:v>EV-AR-CT-C-B-TECH-2-B1-BRK-G0</x:v>
      </x:c>
      <x:c r="D1646" s="9" t="str">
        <x:v>AR-CT-C-B-TECH-2-B1-BRK-G0</x:v>
      </x:c>
      <x:c r="E1646" s="9" t="str">
        <x:v>CT-C-B-TECH-2</x:v>
      </x:c>
      <x:c r="F1646" s="9" t="str">
        <x:v>CT-C-B</x:v>
      </x:c>
      <x:c r="G1646" s="9" t="str">
        <x:v>B1</x:v>
      </x:c>
      <x:c r="H1646" s="9" t="str">
        <x:v>BRK</x:v>
      </x:c>
      <x:c r="I1646" s="9" t="str">
        <x:v>PD08</x:v>
      </x:c>
      <x:c r="J1646" s="17" t="str">
        <x:v>Command and intervention log</x:v>
      </x:c>
      <x:c r="K1646" s="17" t="str">
        <x:v>Safety archive</x:v>
      </x:c>
      <x:c r="L1646" s="17" t="str">
        <x:v>COURT-SEALED UNTIL COHORT RELEASE</x:v>
      </x:c>
      <x:c r="M1646" s="9" t="n">
        <x:v>0</x:v>
      </x:c>
      <x:c r="N1646" s="9" t="n">
        <x:v>0</x:v>
      </x:c>
      <x:c r="O1646" s="9" t="n">
        <x:v>0</x:v>
      </x:c>
      <x:c r="P1646" s="9" t="str">
        <x:v>HELD / UNRELEASED</x:v>
      </x:c>
      <x:c r="Q1646" s="9" t="n">
        <x:f>COUNTIFS($A$7:$A$2310,A1646)</x:f>
        <x:v>1</x:v>
      </x:c>
    </x:row>
    <x:row r="1647">
      <x:c r="A1647" s="9" t="str">
        <x:v>PD-AR-CT-C-B-TECH-2-B1-BRK-G0-PD09</x:v>
      </x:c>
      <x:c r="B1647" s="9" t="str">
        <x:v>PD-AR-CT-C-B-TECH-2-B1-BRK-G0</x:v>
      </x:c>
      <x:c r="C1647" s="9" t="str">
        <x:v>EV-AR-CT-C-B-TECH-2-B1-BRK-G0</x:v>
      </x:c>
      <x:c r="D1647" s="9" t="str">
        <x:v>AR-CT-C-B-TECH-2-B1-BRK-G0</x:v>
      </x:c>
      <x:c r="E1647" s="9" t="str">
        <x:v>CT-C-B-TECH-2</x:v>
      </x:c>
      <x:c r="F1647" s="9" t="str">
        <x:v>CT-C-B</x:v>
      </x:c>
      <x:c r="G1647" s="9" t="str">
        <x:v>B1</x:v>
      </x:c>
      <x:c r="H1647" s="9" t="str">
        <x:v>BRK</x:v>
      </x:c>
      <x:c r="I1647" s="9" t="str">
        <x:v>PD09</x:v>
      </x:c>
      <x:c r="J1647" s="17" t="str">
        <x:v>Receiver denominator and service ledger</x:v>
      </x:c>
      <x:c r="K1647" s="17" t="str">
        <x:v>Receiver archive</x:v>
      </x:c>
      <x:c r="L1647" s="17" t="str">
        <x:v>COURT-SEALED UNTIL COHORT RELEASE</x:v>
      </x:c>
      <x:c r="M1647" s="9" t="n">
        <x:v>0</x:v>
      </x:c>
      <x:c r="N1647" s="9" t="n">
        <x:v>0</x:v>
      </x:c>
      <x:c r="O1647" s="9" t="n">
        <x:v>0</x:v>
      </x:c>
      <x:c r="P1647" s="9" t="str">
        <x:v>HELD / UNRELEASED</x:v>
      </x:c>
      <x:c r="Q1647" s="9" t="n">
        <x:f>COUNTIFS($A$7:$A$2310,A1647)</x:f>
        <x:v>1</x:v>
      </x:c>
    </x:row>
    <x:row r="1648">
      <x:c r="A1648" s="9" t="str">
        <x:v>PD-AR-CT-C-B-TECH-2-B1-BRK-G0-PD10</x:v>
      </x:c>
      <x:c r="B1648" s="9" t="str">
        <x:v>PD-AR-CT-C-B-TECH-2-B1-BRK-G0</x:v>
      </x:c>
      <x:c r="C1648" s="9" t="str">
        <x:v>EV-AR-CT-C-B-TECH-2-B1-BRK-G0</x:v>
      </x:c>
      <x:c r="D1648" s="9" t="str">
        <x:v>AR-CT-C-B-TECH-2-B1-BRK-G0</x:v>
      </x:c>
      <x:c r="E1648" s="9" t="str">
        <x:v>CT-C-B-TECH-2</x:v>
      </x:c>
      <x:c r="F1648" s="9" t="str">
        <x:v>CT-C-B</x:v>
      </x:c>
      <x:c r="G1648" s="9" t="str">
        <x:v>B1</x:v>
      </x:c>
      <x:c r="H1648" s="9" t="str">
        <x:v>BRK</x:v>
      </x:c>
      <x:c r="I1648" s="9" t="str">
        <x:v>PD10</x:v>
      </x:c>
      <x:c r="J1648" s="17" t="str">
        <x:v>Calibration and uncertainty record</x:v>
      </x:c>
      <x:c r="K1648" s="17" t="str">
        <x:v>Metrology archive</x:v>
      </x:c>
      <x:c r="L1648" s="17" t="str">
        <x:v>COURT-SEALED UNTIL COHORT RELEASE</x:v>
      </x:c>
      <x:c r="M1648" s="9" t="n">
        <x:v>0</x:v>
      </x:c>
      <x:c r="N1648" s="9" t="n">
        <x:v>0</x:v>
      </x:c>
      <x:c r="O1648" s="9" t="n">
        <x:v>0</x:v>
      </x:c>
      <x:c r="P1648" s="9" t="str">
        <x:v>HELD / UNRELEASED</x:v>
      </x:c>
      <x:c r="Q1648" s="9" t="n">
        <x:f>COUNTIFS($A$7:$A$2310,A1648)</x:f>
        <x:v>1</x:v>
      </x:c>
    </x:row>
    <x:row r="1649">
      <x:c r="A1649" s="9" t="str">
        <x:v>PD-AR-CT-C-B-TECH-2-B1-BRK-G0-PD11</x:v>
      </x:c>
      <x:c r="B1649" s="9" t="str">
        <x:v>PD-AR-CT-C-B-TECH-2-B1-BRK-G0</x:v>
      </x:c>
      <x:c r="C1649" s="9" t="str">
        <x:v>EV-AR-CT-C-B-TECH-2-B1-BRK-G0</x:v>
      </x:c>
      <x:c r="D1649" s="9" t="str">
        <x:v>AR-CT-C-B-TECH-2-B1-BRK-G0</x:v>
      </x:c>
      <x:c r="E1649" s="9" t="str">
        <x:v>CT-C-B-TECH-2</x:v>
      </x:c>
      <x:c r="F1649" s="9" t="str">
        <x:v>CT-C-B</x:v>
      </x:c>
      <x:c r="G1649" s="9" t="str">
        <x:v>B1</x:v>
      </x:c>
      <x:c r="H1649" s="9" t="str">
        <x:v>BRK</x:v>
      </x:c>
      <x:c r="I1649" s="9" t="str">
        <x:v>PD11</x:v>
      </x:c>
      <x:c r="J1649" s="17" t="str">
        <x:v>Invalidity petition and opinion</x:v>
      </x:c>
      <x:c r="K1649" s="17" t="str">
        <x:v>Invalidity court</x:v>
      </x:c>
      <x:c r="L1649" s="17" t="str">
        <x:v>COURT-SEALED UNTIL COHORT RELEASE</x:v>
      </x:c>
      <x:c r="M1649" s="9" t="n">
        <x:v>0</x:v>
      </x:c>
      <x:c r="N1649" s="9" t="n">
        <x:v>0</x:v>
      </x:c>
      <x:c r="O1649" s="9" t="n">
        <x:v>0</x:v>
      </x:c>
      <x:c r="P1649" s="9" t="str">
        <x:v>HELD / UNRELEASED</x:v>
      </x:c>
      <x:c r="Q1649" s="9" t="n">
        <x:f>COUNTIFS($A$7:$A$2310,A1649)</x:f>
        <x:v>1</x:v>
      </x:c>
    </x:row>
    <x:row r="1650">
      <x:c r="A1650" s="9" t="str">
        <x:v>PD-AR-CT-C-B-TECH-2-B1-BRK-G0-PD12</x:v>
      </x:c>
      <x:c r="B1650" s="9" t="str">
        <x:v>PD-AR-CT-C-B-TECH-2-B1-BRK-G0</x:v>
      </x:c>
      <x:c r="C1650" s="9" t="str">
        <x:v>EV-AR-CT-C-B-TECH-2-B1-BRK-G0</x:v>
      </x:c>
      <x:c r="D1650" s="9" t="str">
        <x:v>AR-CT-C-B-TECH-2-B1-BRK-G0</x:v>
      </x:c>
      <x:c r="E1650" s="9" t="str">
        <x:v>CT-C-B-TECH-2</x:v>
      </x:c>
      <x:c r="F1650" s="9" t="str">
        <x:v>CT-C-B</x:v>
      </x:c>
      <x:c r="G1650" s="9" t="str">
        <x:v>B1</x:v>
      </x:c>
      <x:c r="H1650" s="9" t="str">
        <x:v>BRK</x:v>
      </x:c>
      <x:c r="I1650" s="9" t="str">
        <x:v>PD12</x:v>
      </x:c>
      <x:c r="J1650" s="17" t="str">
        <x:v>Observation acceptance and replay</x:v>
      </x:c>
      <x:c r="K1650" s="17" t="str">
        <x:v>Observation court</x:v>
      </x:c>
      <x:c r="L1650" s="17" t="str">
        <x:v>COURT-SEALED UNTIL COHORT RELEASE</x:v>
      </x:c>
      <x:c r="M1650" s="9" t="n">
        <x:v>0</x:v>
      </x:c>
      <x:c r="N1650" s="9" t="n">
        <x:v>0</x:v>
      </x:c>
      <x:c r="O1650" s="9" t="n">
        <x:v>0</x:v>
      </x:c>
      <x:c r="P1650" s="9" t="str">
        <x:v>HELD / UNRELEASED</x:v>
      </x:c>
      <x:c r="Q1650" s="9" t="n">
        <x:f>COUNTIFS($A$7:$A$2310,A1650)</x:f>
        <x:v>1</x:v>
      </x:c>
    </x:row>
    <x:row r="1651">
      <x:c r="A1651" s="9" t="str">
        <x:v>PD-AR-CT-C-B-TECH-2-B1-BRK-G0-PD13</x:v>
      </x:c>
      <x:c r="B1651" s="9" t="str">
        <x:v>PD-AR-CT-C-B-TECH-2-B1-BRK-G0</x:v>
      </x:c>
      <x:c r="C1651" s="9" t="str">
        <x:v>EV-AR-CT-C-B-TECH-2-B1-BRK-G0</x:v>
      </x:c>
      <x:c r="D1651" s="9" t="str">
        <x:v>AR-CT-C-B-TECH-2-B1-BRK-G0</x:v>
      </x:c>
      <x:c r="E1651" s="9" t="str">
        <x:v>CT-C-B-TECH-2</x:v>
      </x:c>
      <x:c r="F1651" s="9" t="str">
        <x:v>CT-C-B</x:v>
      </x:c>
      <x:c r="G1651" s="9" t="str">
        <x:v>B1</x:v>
      </x:c>
      <x:c r="H1651" s="9" t="str">
        <x:v>BRK</x:v>
      </x:c>
      <x:c r="I1651" s="9" t="str">
        <x:v>PD13</x:v>
      </x:c>
      <x:c r="J1651" s="17" t="str">
        <x:v>Role judgment</x:v>
      </x:c>
      <x:c r="K1651" s="17" t="str">
        <x:v>Role court</x:v>
      </x:c>
      <x:c r="L1651" s="17" t="str">
        <x:v>COURT-SEALED UNTIL COHORT RELEASE</x:v>
      </x:c>
      <x:c r="M1651" s="9" t="n">
        <x:v>0</x:v>
      </x:c>
      <x:c r="N1651" s="9" t="n">
        <x:v>0</x:v>
      </x:c>
      <x:c r="O1651" s="9" t="n">
        <x:v>0</x:v>
      </x:c>
      <x:c r="P1651" s="9" t="str">
        <x:v>HELD / UNRELEASED</x:v>
      </x:c>
      <x:c r="Q1651" s="9" t="n">
        <x:f>COUNTIFS($A$7:$A$2310,A1651)</x:f>
        <x:v>1</x:v>
      </x:c>
    </x:row>
    <x:row r="1652">
      <x:c r="A1652" s="9" t="str">
        <x:v>PD-AR-CT-C-B-TECH-2-B1-BRK-G0-PD14</x:v>
      </x:c>
      <x:c r="B1652" s="9" t="str">
        <x:v>PD-AR-CT-C-B-TECH-2-B1-BRK-G0</x:v>
      </x:c>
      <x:c r="C1652" s="9" t="str">
        <x:v>EV-AR-CT-C-B-TECH-2-B1-BRK-G0</x:v>
      </x:c>
      <x:c r="D1652" s="9" t="str">
        <x:v>AR-CT-C-B-TECH-2-B1-BRK-G0</x:v>
      </x:c>
      <x:c r="E1652" s="9" t="str">
        <x:v>CT-C-B-TECH-2</x:v>
      </x:c>
      <x:c r="F1652" s="9" t="str">
        <x:v>CT-C-B</x:v>
      </x:c>
      <x:c r="G1652" s="9" t="str">
        <x:v>B1</x:v>
      </x:c>
      <x:c r="H1652" s="9" t="str">
        <x:v>BRK</x:v>
      </x:c>
      <x:c r="I1652" s="9" t="str">
        <x:v>PD14</x:v>
      </x:c>
      <x:c r="J1652" s="17" t="str">
        <x:v>Break and residual account</x:v>
      </x:c>
      <x:c r="K1652" s="17" t="str">
        <x:v>Residual authority</x:v>
      </x:c>
      <x:c r="L1652" s="17" t="str">
        <x:v>COURT-SEALED UNTIL COHORT RELEASE</x:v>
      </x:c>
      <x:c r="M1652" s="9" t="n">
        <x:v>0</x:v>
      </x:c>
      <x:c r="N1652" s="9" t="n">
        <x:v>0</x:v>
      </x:c>
      <x:c r="O1652" s="9" t="n">
        <x:v>0</x:v>
      </x:c>
      <x:c r="P1652" s="9" t="str">
        <x:v>HELD / UNRELEASED</x:v>
      </x:c>
      <x:c r="Q1652" s="9" t="n">
        <x:f>COUNTIFS($A$7:$A$2310,A1652)</x:f>
        <x:v>1</x:v>
      </x:c>
    </x:row>
    <x:row r="1653">
      <x:c r="A1653" s="9" t="str">
        <x:v>PD-AR-CT-C-B-TECH-2-B1-BRK-G0-PD15</x:v>
      </x:c>
      <x:c r="B1653" s="9" t="str">
        <x:v>PD-AR-CT-C-B-TECH-2-B1-BRK-G0</x:v>
      </x:c>
      <x:c r="C1653" s="9" t="str">
        <x:v>EV-AR-CT-C-B-TECH-2-B1-BRK-G0</x:v>
      </x:c>
      <x:c r="D1653" s="9" t="str">
        <x:v>AR-CT-C-B-TECH-2-B1-BRK-G0</x:v>
      </x:c>
      <x:c r="E1653" s="9" t="str">
        <x:v>CT-C-B-TECH-2</x:v>
      </x:c>
      <x:c r="F1653" s="9" t="str">
        <x:v>CT-C-B</x:v>
      </x:c>
      <x:c r="G1653" s="9" t="str">
        <x:v>B1</x:v>
      </x:c>
      <x:c r="H1653" s="9" t="str">
        <x:v>BRK</x:v>
      </x:c>
      <x:c r="I1653" s="9" t="str">
        <x:v>PD15</x:v>
      </x:c>
      <x:c r="J1653" s="17" t="str">
        <x:v>Reconstruction ancestry and replay</x:v>
      </x:c>
      <x:c r="K1653" s="17" t="str">
        <x:v>Reconstruction court</x:v>
      </x:c>
      <x:c r="L1653" s="17" t="str">
        <x:v>COURT-SEALED UNTIL COHORT RELEASE</x:v>
      </x:c>
      <x:c r="M1653" s="9" t="n">
        <x:v>0</x:v>
      </x:c>
      <x:c r="N1653" s="9" t="n">
        <x:v>0</x:v>
      </x:c>
      <x:c r="O1653" s="9" t="n">
        <x:v>0</x:v>
      </x:c>
      <x:c r="P1653" s="9" t="str">
        <x:v>HELD / UNRELEASED</x:v>
      </x:c>
      <x:c r="Q1653" s="9" t="n">
        <x:f>COUNTIFS($A$7:$A$2310,A1653)</x:f>
        <x:v>1</x:v>
      </x:c>
    </x:row>
    <x:row r="1654">
      <x:c r="A1654" s="9" t="str">
        <x:v>PD-AR-CT-C-B-TECH-2-B1-BRK-G0-PD16</x:v>
      </x:c>
      <x:c r="B1654" s="9" t="str">
        <x:v>PD-AR-CT-C-B-TECH-2-B1-BRK-G0</x:v>
      </x:c>
      <x:c r="C1654" s="9" t="str">
        <x:v>EV-AR-CT-C-B-TECH-2-B1-BRK-G0</x:v>
      </x:c>
      <x:c r="D1654" s="9" t="str">
        <x:v>AR-CT-C-B-TECH-2-B1-BRK-G0</x:v>
      </x:c>
      <x:c r="E1654" s="9" t="str">
        <x:v>CT-C-B-TECH-2</x:v>
      </x:c>
      <x:c r="F1654" s="9" t="str">
        <x:v>CT-C-B</x:v>
      </x:c>
      <x:c r="G1654" s="9" t="str">
        <x:v>B1</x:v>
      </x:c>
      <x:c r="H1654" s="9" t="str">
        <x:v>BRK</x:v>
      </x:c>
      <x:c r="I1654" s="9" t="str">
        <x:v>PD16</x:v>
      </x:c>
      <x:c r="J1654" s="17" t="str">
        <x:v>Dissent, amendments and access log</x:v>
      </x:c>
      <x:c r="K1654" s="17" t="str">
        <x:v>Public archive</x:v>
      </x:c>
      <x:c r="L1654" s="17" t="str">
        <x:v>COURT-SEALED UNTIL COHORT RELEASE</x:v>
      </x:c>
      <x:c r="M1654" s="9" t="n">
        <x:v>0</x:v>
      </x:c>
      <x:c r="N1654" s="9" t="n">
        <x:v>0</x:v>
      </x:c>
      <x:c r="O1654" s="9" t="n">
        <x:v>0</x:v>
      </x:c>
      <x:c r="P1654" s="9" t="str">
        <x:v>HELD / UNRELEASED</x:v>
      </x:c>
      <x:c r="Q1654" s="9" t="n">
        <x:f>COUNTIFS($A$7:$A$2310,A1654)</x:f>
        <x:v>1</x:v>
      </x:c>
    </x:row>
    <x:row r="1655">
      <x:c r="A1655" s="9" t="str">
        <x:v>PD-AR-ET-A-A-TECH-3-B1-BRK-G0-PD01</x:v>
      </x:c>
      <x:c r="B1655" s="9" t="str">
        <x:v>PD-AR-ET-A-A-TECH-3-B1-BRK-G0</x:v>
      </x:c>
      <x:c r="C1655" s="9" t="str">
        <x:v>EV-AR-ET-A-A-TECH-3-B1-BRK-G0</x:v>
      </x:c>
      <x:c r="D1655" s="9" t="str">
        <x:v>AR-ET-A-A-TECH-3-B1-BRK-G0</x:v>
      </x:c>
      <x:c r="E1655" s="9" t="str">
        <x:v>ET-A-A-TECH-3</x:v>
      </x:c>
      <x:c r="F1655" s="9" t="str">
        <x:v>ET-A-A</x:v>
      </x:c>
      <x:c r="G1655" s="9" t="str">
        <x:v>B1</x:v>
      </x:c>
      <x:c r="H1655" s="9" t="str">
        <x:v>BRK</x:v>
      </x:c>
      <x:c r="I1655" s="9" t="str">
        <x:v>PD01</x:v>
      </x:c>
      <x:c r="J1655" s="17" t="str">
        <x:v>Experiment kernel</x:v>
      </x:c>
      <x:c r="K1655" s="17" t="str">
        <x:v>Public archive</x:v>
      </x:c>
      <x:c r="L1655" s="17" t="str">
        <x:v>COURT-SEALED UNTIL COHORT RELEASE</x:v>
      </x:c>
      <x:c r="M1655" s="9" t="n">
        <x:v>0</x:v>
      </x:c>
      <x:c r="N1655" s="9" t="n">
        <x:v>0</x:v>
      </x:c>
      <x:c r="O1655" s="9" t="n">
        <x:v>0</x:v>
      </x:c>
      <x:c r="P1655" s="9" t="str">
        <x:v>HELD / UNRELEASED</x:v>
      </x:c>
      <x:c r="Q1655" s="9" t="n">
        <x:f>COUNTIFS($A$7:$A$2310,A1655)</x:f>
        <x:v>1</x:v>
      </x:c>
    </x:row>
    <x:row r="1656">
      <x:c r="A1656" s="9" t="str">
        <x:v>PD-AR-ET-A-A-TECH-3-B1-BRK-G0-PD02</x:v>
      </x:c>
      <x:c r="B1656" s="9" t="str">
        <x:v>PD-AR-ET-A-A-TECH-3-B1-BRK-G0</x:v>
      </x:c>
      <x:c r="C1656" s="9" t="str">
        <x:v>EV-AR-ET-A-A-TECH-3-B1-BRK-G0</x:v>
      </x:c>
      <x:c r="D1656" s="9" t="str">
        <x:v>AR-ET-A-A-TECH-3-B1-BRK-G0</x:v>
      </x:c>
      <x:c r="E1656" s="9" t="str">
        <x:v>ET-A-A-TECH-3</x:v>
      </x:c>
      <x:c r="F1656" s="9" t="str">
        <x:v>ET-A-A</x:v>
      </x:c>
      <x:c r="G1656" s="9" t="str">
        <x:v>B1</x:v>
      </x:c>
      <x:c r="H1656" s="9" t="str">
        <x:v>BRK</x:v>
      </x:c>
      <x:c r="I1656" s="9" t="str">
        <x:v>PD02</x:v>
      </x:c>
      <x:c r="J1656" s="17" t="str">
        <x:v>Serial annex and title chain</x:v>
      </x:c>
      <x:c r="K1656" s="17" t="str">
        <x:v>Public archive</x:v>
      </x:c>
      <x:c r="L1656" s="17" t="str">
        <x:v>COURT-SEALED UNTIL COHORT RELEASE</x:v>
      </x:c>
      <x:c r="M1656" s="9" t="n">
        <x:v>0</x:v>
      </x:c>
      <x:c r="N1656" s="9" t="n">
        <x:v>0</x:v>
      </x:c>
      <x:c r="O1656" s="9" t="n">
        <x:v>0</x:v>
      </x:c>
      <x:c r="P1656" s="9" t="str">
        <x:v>HELD / UNRELEASED</x:v>
      </x:c>
      <x:c r="Q1656" s="9" t="n">
        <x:f>COUNTIFS($A$7:$A$2310,A1656)</x:f>
        <x:v>1</x:v>
      </x:c>
    </x:row>
    <x:row r="1657">
      <x:c r="A1657" s="9" t="str">
        <x:v>PD-AR-ET-A-A-TECH-3-B1-BRK-G0-PD03</x:v>
      </x:c>
      <x:c r="B1657" s="9" t="str">
        <x:v>PD-AR-ET-A-A-TECH-3-B1-BRK-G0</x:v>
      </x:c>
      <x:c r="C1657" s="9" t="str">
        <x:v>EV-AR-ET-A-A-TECH-3-B1-BRK-G0</x:v>
      </x:c>
      <x:c r="D1657" s="9" t="str">
        <x:v>AR-ET-A-A-TECH-3-B1-BRK-G0</x:v>
      </x:c>
      <x:c r="E1657" s="9" t="str">
        <x:v>ET-A-A-TECH-3</x:v>
      </x:c>
      <x:c r="F1657" s="9" t="str">
        <x:v>ET-A-A</x:v>
      </x:c>
      <x:c r="G1657" s="9" t="str">
        <x:v>B1</x:v>
      </x:c>
      <x:c r="H1657" s="9" t="str">
        <x:v>BRK</x:v>
      </x:c>
      <x:c r="I1657" s="9" t="str">
        <x:v>PD03</x:v>
      </x:c>
      <x:c r="J1657" s="17" t="str">
        <x:v>Configuration and as-built manifest</x:v>
      </x:c>
      <x:c r="K1657" s="17" t="str">
        <x:v>Artifact exchange</x:v>
      </x:c>
      <x:c r="L1657" s="17" t="str">
        <x:v>COURT-SEALED UNTIL COHORT RELEASE</x:v>
      </x:c>
      <x:c r="M1657" s="9" t="n">
        <x:v>0</x:v>
      </x:c>
      <x:c r="N1657" s="9" t="n">
        <x:v>0</x:v>
      </x:c>
      <x:c r="O1657" s="9" t="n">
        <x:v>0</x:v>
      </x:c>
      <x:c r="P1657" s="9" t="str">
        <x:v>HELD / UNRELEASED</x:v>
      </x:c>
      <x:c r="Q1657" s="9" t="n">
        <x:f>COUNTIFS($A$7:$A$2310,A1657)</x:f>
        <x:v>1</x:v>
      </x:c>
    </x:row>
    <x:row r="1658">
      <x:c r="A1658" s="9" t="str">
        <x:v>PD-AR-ET-A-A-TECH-3-B1-BRK-G0-PD04</x:v>
      </x:c>
      <x:c r="B1658" s="9" t="str">
        <x:v>PD-AR-ET-A-A-TECH-3-B1-BRK-G0</x:v>
      </x:c>
      <x:c r="C1658" s="9" t="str">
        <x:v>EV-AR-ET-A-A-TECH-3-B1-BRK-G0</x:v>
      </x:c>
      <x:c r="D1658" s="9" t="str">
        <x:v>AR-ET-A-A-TECH-3-B1-BRK-G0</x:v>
      </x:c>
      <x:c r="E1658" s="9" t="str">
        <x:v>ET-A-A-TECH-3</x:v>
      </x:c>
      <x:c r="F1658" s="9" t="str">
        <x:v>ET-A-A</x:v>
      </x:c>
      <x:c r="G1658" s="9" t="str">
        <x:v>B1</x:v>
      </x:c>
      <x:c r="H1658" s="9" t="str">
        <x:v>BRK</x:v>
      </x:c>
      <x:c r="I1658" s="9" t="str">
        <x:v>PD04</x:v>
      </x:c>
      <x:c r="J1658" s="17" t="str">
        <x:v>EOW and start certificate</x:v>
      </x:c>
      <x:c r="K1658" s="17" t="str">
        <x:v>Start registrar</x:v>
      </x:c>
      <x:c r="L1658" s="17" t="str">
        <x:v>COURT-SEALED UNTIL COHORT RELEASE</x:v>
      </x:c>
      <x:c r="M1658" s="9" t="n">
        <x:v>0</x:v>
      </x:c>
      <x:c r="N1658" s="9" t="n">
        <x:v>0</x:v>
      </x:c>
      <x:c r="O1658" s="9" t="n">
        <x:v>0</x:v>
      </x:c>
      <x:c r="P1658" s="9" t="str">
        <x:v>HELD / UNRELEASED</x:v>
      </x:c>
      <x:c r="Q1658" s="9" t="n">
        <x:f>COUNTIFS($A$7:$A$2310,A1658)</x:f>
        <x:v>1</x:v>
      </x:c>
    </x:row>
    <x:row r="1659">
      <x:c r="A1659" s="9" t="str">
        <x:v>PD-AR-ET-A-A-TECH-3-B1-BRK-G0-PD05</x:v>
      </x:c>
      <x:c r="B1659" s="9" t="str">
        <x:v>PD-AR-ET-A-A-TECH-3-B1-BRK-G0</x:v>
      </x:c>
      <x:c r="C1659" s="9" t="str">
        <x:v>EV-AR-ET-A-A-TECH-3-B1-BRK-G0</x:v>
      </x:c>
      <x:c r="D1659" s="9" t="str">
        <x:v>AR-ET-A-A-TECH-3-B1-BRK-G0</x:v>
      </x:c>
      <x:c r="E1659" s="9" t="str">
        <x:v>ET-A-A-TECH-3</x:v>
      </x:c>
      <x:c r="F1659" s="9" t="str">
        <x:v>ET-A-A</x:v>
      </x:c>
      <x:c r="G1659" s="9" t="str">
        <x:v>B1</x:v>
      </x:c>
      <x:c r="H1659" s="9" t="str">
        <x:v>BRK</x:v>
      </x:c>
      <x:c r="I1659" s="9" t="str">
        <x:v>PD05</x:v>
      </x:c>
      <x:c r="J1659" s="17" t="str">
        <x:v>Primary raw originals</x:v>
      </x:c>
      <x:c r="K1659" s="17" t="str">
        <x:v>Primary custody</x:v>
      </x:c>
      <x:c r="L1659" s="17" t="str">
        <x:v>COURT-SEALED UNTIL COHORT RELEASE</x:v>
      </x:c>
      <x:c r="M1659" s="9" t="n">
        <x:v>0</x:v>
      </x:c>
      <x:c r="N1659" s="9" t="n">
        <x:v>0</x:v>
      </x:c>
      <x:c r="O1659" s="9" t="n">
        <x:v>0</x:v>
      </x:c>
      <x:c r="P1659" s="9" t="str">
        <x:v>HELD / UNRELEASED</x:v>
      </x:c>
      <x:c r="Q1659" s="9" t="n">
        <x:f>COUNTIFS($A$7:$A$2310,A1659)</x:f>
        <x:v>1</x:v>
      </x:c>
    </x:row>
    <x:row r="1660">
      <x:c r="A1660" s="9" t="str">
        <x:v>PD-AR-ET-A-A-TECH-3-B1-BRK-G0-PD06</x:v>
      </x:c>
      <x:c r="B1660" s="9" t="str">
        <x:v>PD-AR-ET-A-A-TECH-3-B1-BRK-G0</x:v>
      </x:c>
      <x:c r="C1660" s="9" t="str">
        <x:v>EV-AR-ET-A-A-TECH-3-B1-BRK-G0</x:v>
      </x:c>
      <x:c r="D1660" s="9" t="str">
        <x:v>AR-ET-A-A-TECH-3-B1-BRK-G0</x:v>
      </x:c>
      <x:c r="E1660" s="9" t="str">
        <x:v>ET-A-A-TECH-3</x:v>
      </x:c>
      <x:c r="F1660" s="9" t="str">
        <x:v>ET-A-A</x:v>
      </x:c>
      <x:c r="G1660" s="9" t="str">
        <x:v>B1</x:v>
      </x:c>
      <x:c r="H1660" s="9" t="str">
        <x:v>BRK</x:v>
      </x:c>
      <x:c r="I1660" s="9" t="str">
        <x:v>PD06</x:v>
      </x:c>
      <x:c r="J1660" s="17" t="str">
        <x:v>Witness raw originals</x:v>
      </x:c>
      <x:c r="K1660" s="17" t="str">
        <x:v>Witness custody</x:v>
      </x:c>
      <x:c r="L1660" s="17" t="str">
        <x:v>COURT-SEALED UNTIL COHORT RELEASE</x:v>
      </x:c>
      <x:c r="M1660" s="9" t="n">
        <x:v>0</x:v>
      </x:c>
      <x:c r="N1660" s="9" t="n">
        <x:v>0</x:v>
      </x:c>
      <x:c r="O1660" s="9" t="n">
        <x:v>0</x:v>
      </x:c>
      <x:c r="P1660" s="9" t="str">
        <x:v>HELD / UNRELEASED</x:v>
      </x:c>
      <x:c r="Q1660" s="9" t="n">
        <x:f>COUNTIFS($A$7:$A$2310,A1660)</x:f>
        <x:v>1</x:v>
      </x:c>
    </x:row>
    <x:row r="1661">
      <x:c r="A1661" s="9" t="str">
        <x:v>PD-AR-ET-A-A-TECH-3-B1-BRK-G0-PD07</x:v>
      </x:c>
      <x:c r="B1661" s="9" t="str">
        <x:v>PD-AR-ET-A-A-TECH-3-B1-BRK-G0</x:v>
      </x:c>
      <x:c r="C1661" s="9" t="str">
        <x:v>EV-AR-ET-A-A-TECH-3-B1-BRK-G0</x:v>
      </x:c>
      <x:c r="D1661" s="9" t="str">
        <x:v>AR-ET-A-A-TECH-3-B1-BRK-G0</x:v>
      </x:c>
      <x:c r="E1661" s="9" t="str">
        <x:v>ET-A-A-TECH-3</x:v>
      </x:c>
      <x:c r="F1661" s="9" t="str">
        <x:v>ET-A-A</x:v>
      </x:c>
      <x:c r="G1661" s="9" t="str">
        <x:v>B1</x:v>
      </x:c>
      <x:c r="H1661" s="9" t="str">
        <x:v>BRK</x:v>
      </x:c>
      <x:c r="I1661" s="9" t="str">
        <x:v>PD07</x:v>
      </x:c>
      <x:c r="J1661" s="17" t="str">
        <x:v>Clock and environmental records</x:v>
      </x:c>
      <x:c r="K1661" s="17" t="str">
        <x:v>Boundary archive</x:v>
      </x:c>
      <x:c r="L1661" s="17" t="str">
        <x:v>COURT-SEALED UNTIL COHORT RELEASE</x:v>
      </x:c>
      <x:c r="M1661" s="9" t="n">
        <x:v>0</x:v>
      </x:c>
      <x:c r="N1661" s="9" t="n">
        <x:v>0</x:v>
      </x:c>
      <x:c r="O1661" s="9" t="n">
        <x:v>0</x:v>
      </x:c>
      <x:c r="P1661" s="9" t="str">
        <x:v>HELD / UNRELEASED</x:v>
      </x:c>
      <x:c r="Q1661" s="9" t="n">
        <x:f>COUNTIFS($A$7:$A$2310,A1661)</x:f>
        <x:v>1</x:v>
      </x:c>
    </x:row>
    <x:row r="1662">
      <x:c r="A1662" s="9" t="str">
        <x:v>PD-AR-ET-A-A-TECH-3-B1-BRK-G0-PD08</x:v>
      </x:c>
      <x:c r="B1662" s="9" t="str">
        <x:v>PD-AR-ET-A-A-TECH-3-B1-BRK-G0</x:v>
      </x:c>
      <x:c r="C1662" s="9" t="str">
        <x:v>EV-AR-ET-A-A-TECH-3-B1-BRK-G0</x:v>
      </x:c>
      <x:c r="D1662" s="9" t="str">
        <x:v>AR-ET-A-A-TECH-3-B1-BRK-G0</x:v>
      </x:c>
      <x:c r="E1662" s="9" t="str">
        <x:v>ET-A-A-TECH-3</x:v>
      </x:c>
      <x:c r="F1662" s="9" t="str">
        <x:v>ET-A-A</x:v>
      </x:c>
      <x:c r="G1662" s="9" t="str">
        <x:v>B1</x:v>
      </x:c>
      <x:c r="H1662" s="9" t="str">
        <x:v>BRK</x:v>
      </x:c>
      <x:c r="I1662" s="9" t="str">
        <x:v>PD08</x:v>
      </x:c>
      <x:c r="J1662" s="17" t="str">
        <x:v>Command and intervention log</x:v>
      </x:c>
      <x:c r="K1662" s="17" t="str">
        <x:v>Safety archive</x:v>
      </x:c>
      <x:c r="L1662" s="17" t="str">
        <x:v>COURT-SEALED UNTIL COHORT RELEASE</x:v>
      </x:c>
      <x:c r="M1662" s="9" t="n">
        <x:v>0</x:v>
      </x:c>
      <x:c r="N1662" s="9" t="n">
        <x:v>0</x:v>
      </x:c>
      <x:c r="O1662" s="9" t="n">
        <x:v>0</x:v>
      </x:c>
      <x:c r="P1662" s="9" t="str">
        <x:v>HELD / UNRELEASED</x:v>
      </x:c>
      <x:c r="Q1662" s="9" t="n">
        <x:f>COUNTIFS($A$7:$A$2310,A1662)</x:f>
        <x:v>1</x:v>
      </x:c>
    </x:row>
    <x:row r="1663">
      <x:c r="A1663" s="9" t="str">
        <x:v>PD-AR-ET-A-A-TECH-3-B1-BRK-G0-PD09</x:v>
      </x:c>
      <x:c r="B1663" s="9" t="str">
        <x:v>PD-AR-ET-A-A-TECH-3-B1-BRK-G0</x:v>
      </x:c>
      <x:c r="C1663" s="9" t="str">
        <x:v>EV-AR-ET-A-A-TECH-3-B1-BRK-G0</x:v>
      </x:c>
      <x:c r="D1663" s="9" t="str">
        <x:v>AR-ET-A-A-TECH-3-B1-BRK-G0</x:v>
      </x:c>
      <x:c r="E1663" s="9" t="str">
        <x:v>ET-A-A-TECH-3</x:v>
      </x:c>
      <x:c r="F1663" s="9" t="str">
        <x:v>ET-A-A</x:v>
      </x:c>
      <x:c r="G1663" s="9" t="str">
        <x:v>B1</x:v>
      </x:c>
      <x:c r="H1663" s="9" t="str">
        <x:v>BRK</x:v>
      </x:c>
      <x:c r="I1663" s="9" t="str">
        <x:v>PD09</x:v>
      </x:c>
      <x:c r="J1663" s="17" t="str">
        <x:v>Receiver denominator and service ledger</x:v>
      </x:c>
      <x:c r="K1663" s="17" t="str">
        <x:v>Receiver archive</x:v>
      </x:c>
      <x:c r="L1663" s="17" t="str">
        <x:v>COURT-SEALED UNTIL COHORT RELEASE</x:v>
      </x:c>
      <x:c r="M1663" s="9" t="n">
        <x:v>0</x:v>
      </x:c>
      <x:c r="N1663" s="9" t="n">
        <x:v>0</x:v>
      </x:c>
      <x:c r="O1663" s="9" t="n">
        <x:v>0</x:v>
      </x:c>
      <x:c r="P1663" s="9" t="str">
        <x:v>HELD / UNRELEASED</x:v>
      </x:c>
      <x:c r="Q1663" s="9" t="n">
        <x:f>COUNTIFS($A$7:$A$2310,A1663)</x:f>
        <x:v>1</x:v>
      </x:c>
    </x:row>
    <x:row r="1664">
      <x:c r="A1664" s="9" t="str">
        <x:v>PD-AR-ET-A-A-TECH-3-B1-BRK-G0-PD10</x:v>
      </x:c>
      <x:c r="B1664" s="9" t="str">
        <x:v>PD-AR-ET-A-A-TECH-3-B1-BRK-G0</x:v>
      </x:c>
      <x:c r="C1664" s="9" t="str">
        <x:v>EV-AR-ET-A-A-TECH-3-B1-BRK-G0</x:v>
      </x:c>
      <x:c r="D1664" s="9" t="str">
        <x:v>AR-ET-A-A-TECH-3-B1-BRK-G0</x:v>
      </x:c>
      <x:c r="E1664" s="9" t="str">
        <x:v>ET-A-A-TECH-3</x:v>
      </x:c>
      <x:c r="F1664" s="9" t="str">
        <x:v>ET-A-A</x:v>
      </x:c>
      <x:c r="G1664" s="9" t="str">
        <x:v>B1</x:v>
      </x:c>
      <x:c r="H1664" s="9" t="str">
        <x:v>BRK</x:v>
      </x:c>
      <x:c r="I1664" s="9" t="str">
        <x:v>PD10</x:v>
      </x:c>
      <x:c r="J1664" s="17" t="str">
        <x:v>Calibration and uncertainty record</x:v>
      </x:c>
      <x:c r="K1664" s="17" t="str">
        <x:v>Metrology archive</x:v>
      </x:c>
      <x:c r="L1664" s="17" t="str">
        <x:v>COURT-SEALED UNTIL COHORT RELEASE</x:v>
      </x:c>
      <x:c r="M1664" s="9" t="n">
        <x:v>0</x:v>
      </x:c>
      <x:c r="N1664" s="9" t="n">
        <x:v>0</x:v>
      </x:c>
      <x:c r="O1664" s="9" t="n">
        <x:v>0</x:v>
      </x:c>
      <x:c r="P1664" s="9" t="str">
        <x:v>HELD / UNRELEASED</x:v>
      </x:c>
      <x:c r="Q1664" s="9" t="n">
        <x:f>COUNTIFS($A$7:$A$2310,A1664)</x:f>
        <x:v>1</x:v>
      </x:c>
    </x:row>
    <x:row r="1665">
      <x:c r="A1665" s="9" t="str">
        <x:v>PD-AR-ET-A-A-TECH-3-B1-BRK-G0-PD11</x:v>
      </x:c>
      <x:c r="B1665" s="9" t="str">
        <x:v>PD-AR-ET-A-A-TECH-3-B1-BRK-G0</x:v>
      </x:c>
      <x:c r="C1665" s="9" t="str">
        <x:v>EV-AR-ET-A-A-TECH-3-B1-BRK-G0</x:v>
      </x:c>
      <x:c r="D1665" s="9" t="str">
        <x:v>AR-ET-A-A-TECH-3-B1-BRK-G0</x:v>
      </x:c>
      <x:c r="E1665" s="9" t="str">
        <x:v>ET-A-A-TECH-3</x:v>
      </x:c>
      <x:c r="F1665" s="9" t="str">
        <x:v>ET-A-A</x:v>
      </x:c>
      <x:c r="G1665" s="9" t="str">
        <x:v>B1</x:v>
      </x:c>
      <x:c r="H1665" s="9" t="str">
        <x:v>BRK</x:v>
      </x:c>
      <x:c r="I1665" s="9" t="str">
        <x:v>PD11</x:v>
      </x:c>
      <x:c r="J1665" s="17" t="str">
        <x:v>Invalidity petition and opinion</x:v>
      </x:c>
      <x:c r="K1665" s="17" t="str">
        <x:v>Invalidity court</x:v>
      </x:c>
      <x:c r="L1665" s="17" t="str">
        <x:v>COURT-SEALED UNTIL COHORT RELEASE</x:v>
      </x:c>
      <x:c r="M1665" s="9" t="n">
        <x:v>0</x:v>
      </x:c>
      <x:c r="N1665" s="9" t="n">
        <x:v>0</x:v>
      </x:c>
      <x:c r="O1665" s="9" t="n">
        <x:v>0</x:v>
      </x:c>
      <x:c r="P1665" s="9" t="str">
        <x:v>HELD / UNRELEASED</x:v>
      </x:c>
      <x:c r="Q1665" s="9" t="n">
        <x:f>COUNTIFS($A$7:$A$2310,A1665)</x:f>
        <x:v>1</x:v>
      </x:c>
    </x:row>
    <x:row r="1666">
      <x:c r="A1666" s="9" t="str">
        <x:v>PD-AR-ET-A-A-TECH-3-B1-BRK-G0-PD12</x:v>
      </x:c>
      <x:c r="B1666" s="9" t="str">
        <x:v>PD-AR-ET-A-A-TECH-3-B1-BRK-G0</x:v>
      </x:c>
      <x:c r="C1666" s="9" t="str">
        <x:v>EV-AR-ET-A-A-TECH-3-B1-BRK-G0</x:v>
      </x:c>
      <x:c r="D1666" s="9" t="str">
        <x:v>AR-ET-A-A-TECH-3-B1-BRK-G0</x:v>
      </x:c>
      <x:c r="E1666" s="9" t="str">
        <x:v>ET-A-A-TECH-3</x:v>
      </x:c>
      <x:c r="F1666" s="9" t="str">
        <x:v>ET-A-A</x:v>
      </x:c>
      <x:c r="G1666" s="9" t="str">
        <x:v>B1</x:v>
      </x:c>
      <x:c r="H1666" s="9" t="str">
        <x:v>BRK</x:v>
      </x:c>
      <x:c r="I1666" s="9" t="str">
        <x:v>PD12</x:v>
      </x:c>
      <x:c r="J1666" s="17" t="str">
        <x:v>Observation acceptance and replay</x:v>
      </x:c>
      <x:c r="K1666" s="17" t="str">
        <x:v>Observation court</x:v>
      </x:c>
      <x:c r="L1666" s="17" t="str">
        <x:v>COURT-SEALED UNTIL COHORT RELEASE</x:v>
      </x:c>
      <x:c r="M1666" s="9" t="n">
        <x:v>0</x:v>
      </x:c>
      <x:c r="N1666" s="9" t="n">
        <x:v>0</x:v>
      </x:c>
      <x:c r="O1666" s="9" t="n">
        <x:v>0</x:v>
      </x:c>
      <x:c r="P1666" s="9" t="str">
        <x:v>HELD / UNRELEASED</x:v>
      </x:c>
      <x:c r="Q1666" s="9" t="n">
        <x:f>COUNTIFS($A$7:$A$2310,A1666)</x:f>
        <x:v>1</x:v>
      </x:c>
    </x:row>
    <x:row r="1667">
      <x:c r="A1667" s="9" t="str">
        <x:v>PD-AR-ET-A-A-TECH-3-B1-BRK-G0-PD13</x:v>
      </x:c>
      <x:c r="B1667" s="9" t="str">
        <x:v>PD-AR-ET-A-A-TECH-3-B1-BRK-G0</x:v>
      </x:c>
      <x:c r="C1667" s="9" t="str">
        <x:v>EV-AR-ET-A-A-TECH-3-B1-BRK-G0</x:v>
      </x:c>
      <x:c r="D1667" s="9" t="str">
        <x:v>AR-ET-A-A-TECH-3-B1-BRK-G0</x:v>
      </x:c>
      <x:c r="E1667" s="9" t="str">
        <x:v>ET-A-A-TECH-3</x:v>
      </x:c>
      <x:c r="F1667" s="9" t="str">
        <x:v>ET-A-A</x:v>
      </x:c>
      <x:c r="G1667" s="9" t="str">
        <x:v>B1</x:v>
      </x:c>
      <x:c r="H1667" s="9" t="str">
        <x:v>BRK</x:v>
      </x:c>
      <x:c r="I1667" s="9" t="str">
        <x:v>PD13</x:v>
      </x:c>
      <x:c r="J1667" s="17" t="str">
        <x:v>Role judgment</x:v>
      </x:c>
      <x:c r="K1667" s="17" t="str">
        <x:v>Role court</x:v>
      </x:c>
      <x:c r="L1667" s="17" t="str">
        <x:v>COURT-SEALED UNTIL COHORT RELEASE</x:v>
      </x:c>
      <x:c r="M1667" s="9" t="n">
        <x:v>0</x:v>
      </x:c>
      <x:c r="N1667" s="9" t="n">
        <x:v>0</x:v>
      </x:c>
      <x:c r="O1667" s="9" t="n">
        <x:v>0</x:v>
      </x:c>
      <x:c r="P1667" s="9" t="str">
        <x:v>HELD / UNRELEASED</x:v>
      </x:c>
      <x:c r="Q1667" s="9" t="n">
        <x:f>COUNTIFS($A$7:$A$2310,A1667)</x:f>
        <x:v>1</x:v>
      </x:c>
    </x:row>
    <x:row r="1668">
      <x:c r="A1668" s="9" t="str">
        <x:v>PD-AR-ET-A-A-TECH-3-B1-BRK-G0-PD14</x:v>
      </x:c>
      <x:c r="B1668" s="9" t="str">
        <x:v>PD-AR-ET-A-A-TECH-3-B1-BRK-G0</x:v>
      </x:c>
      <x:c r="C1668" s="9" t="str">
        <x:v>EV-AR-ET-A-A-TECH-3-B1-BRK-G0</x:v>
      </x:c>
      <x:c r="D1668" s="9" t="str">
        <x:v>AR-ET-A-A-TECH-3-B1-BRK-G0</x:v>
      </x:c>
      <x:c r="E1668" s="9" t="str">
        <x:v>ET-A-A-TECH-3</x:v>
      </x:c>
      <x:c r="F1668" s="9" t="str">
        <x:v>ET-A-A</x:v>
      </x:c>
      <x:c r="G1668" s="9" t="str">
        <x:v>B1</x:v>
      </x:c>
      <x:c r="H1668" s="9" t="str">
        <x:v>BRK</x:v>
      </x:c>
      <x:c r="I1668" s="9" t="str">
        <x:v>PD14</x:v>
      </x:c>
      <x:c r="J1668" s="17" t="str">
        <x:v>Break and residual account</x:v>
      </x:c>
      <x:c r="K1668" s="17" t="str">
        <x:v>Residual authority</x:v>
      </x:c>
      <x:c r="L1668" s="17" t="str">
        <x:v>COURT-SEALED UNTIL COHORT RELEASE</x:v>
      </x:c>
      <x:c r="M1668" s="9" t="n">
        <x:v>0</x:v>
      </x:c>
      <x:c r="N1668" s="9" t="n">
        <x:v>0</x:v>
      </x:c>
      <x:c r="O1668" s="9" t="n">
        <x:v>0</x:v>
      </x:c>
      <x:c r="P1668" s="9" t="str">
        <x:v>HELD / UNRELEASED</x:v>
      </x:c>
      <x:c r="Q1668" s="9" t="n">
        <x:f>COUNTIFS($A$7:$A$2310,A1668)</x:f>
        <x:v>1</x:v>
      </x:c>
    </x:row>
    <x:row r="1669">
      <x:c r="A1669" s="9" t="str">
        <x:v>PD-AR-ET-A-A-TECH-3-B1-BRK-G0-PD15</x:v>
      </x:c>
      <x:c r="B1669" s="9" t="str">
        <x:v>PD-AR-ET-A-A-TECH-3-B1-BRK-G0</x:v>
      </x:c>
      <x:c r="C1669" s="9" t="str">
        <x:v>EV-AR-ET-A-A-TECH-3-B1-BRK-G0</x:v>
      </x:c>
      <x:c r="D1669" s="9" t="str">
        <x:v>AR-ET-A-A-TECH-3-B1-BRK-G0</x:v>
      </x:c>
      <x:c r="E1669" s="9" t="str">
        <x:v>ET-A-A-TECH-3</x:v>
      </x:c>
      <x:c r="F1669" s="9" t="str">
        <x:v>ET-A-A</x:v>
      </x:c>
      <x:c r="G1669" s="9" t="str">
        <x:v>B1</x:v>
      </x:c>
      <x:c r="H1669" s="9" t="str">
        <x:v>BRK</x:v>
      </x:c>
      <x:c r="I1669" s="9" t="str">
        <x:v>PD15</x:v>
      </x:c>
      <x:c r="J1669" s="17" t="str">
        <x:v>Reconstruction ancestry and replay</x:v>
      </x:c>
      <x:c r="K1669" s="17" t="str">
        <x:v>Reconstruction court</x:v>
      </x:c>
      <x:c r="L1669" s="17" t="str">
        <x:v>COURT-SEALED UNTIL COHORT RELEASE</x:v>
      </x:c>
      <x:c r="M1669" s="9" t="n">
        <x:v>0</x:v>
      </x:c>
      <x:c r="N1669" s="9" t="n">
        <x:v>0</x:v>
      </x:c>
      <x:c r="O1669" s="9" t="n">
        <x:v>0</x:v>
      </x:c>
      <x:c r="P1669" s="9" t="str">
        <x:v>HELD / UNRELEASED</x:v>
      </x:c>
      <x:c r="Q1669" s="9" t="n">
        <x:f>COUNTIFS($A$7:$A$2310,A1669)</x:f>
        <x:v>1</x:v>
      </x:c>
    </x:row>
    <x:row r="1670">
      <x:c r="A1670" s="9" t="str">
        <x:v>PD-AR-ET-A-A-TECH-3-B1-BRK-G0-PD16</x:v>
      </x:c>
      <x:c r="B1670" s="9" t="str">
        <x:v>PD-AR-ET-A-A-TECH-3-B1-BRK-G0</x:v>
      </x:c>
      <x:c r="C1670" s="9" t="str">
        <x:v>EV-AR-ET-A-A-TECH-3-B1-BRK-G0</x:v>
      </x:c>
      <x:c r="D1670" s="9" t="str">
        <x:v>AR-ET-A-A-TECH-3-B1-BRK-G0</x:v>
      </x:c>
      <x:c r="E1670" s="9" t="str">
        <x:v>ET-A-A-TECH-3</x:v>
      </x:c>
      <x:c r="F1670" s="9" t="str">
        <x:v>ET-A-A</x:v>
      </x:c>
      <x:c r="G1670" s="9" t="str">
        <x:v>B1</x:v>
      </x:c>
      <x:c r="H1670" s="9" t="str">
        <x:v>BRK</x:v>
      </x:c>
      <x:c r="I1670" s="9" t="str">
        <x:v>PD16</x:v>
      </x:c>
      <x:c r="J1670" s="17" t="str">
        <x:v>Dissent, amendments and access log</x:v>
      </x:c>
      <x:c r="K1670" s="17" t="str">
        <x:v>Public archive</x:v>
      </x:c>
      <x:c r="L1670" s="17" t="str">
        <x:v>COURT-SEALED UNTIL COHORT RELEASE</x:v>
      </x:c>
      <x:c r="M1670" s="9" t="n">
        <x:v>0</x:v>
      </x:c>
      <x:c r="N1670" s="9" t="n">
        <x:v>0</x:v>
      </x:c>
      <x:c r="O1670" s="9" t="n">
        <x:v>0</x:v>
      </x:c>
      <x:c r="P1670" s="9" t="str">
        <x:v>HELD / UNRELEASED</x:v>
      </x:c>
      <x:c r="Q1670" s="9" t="n">
        <x:f>COUNTIFS($A$7:$A$2310,A1670)</x:f>
        <x:v>1</x:v>
      </x:c>
    </x:row>
    <x:row r="1671">
      <x:c r="A1671" s="9" t="str">
        <x:v>PD-AR-HC-A-C-TECH-3-B1-INT-G0-PD01</x:v>
      </x:c>
      <x:c r="B1671" s="9" t="str">
        <x:v>PD-AR-HC-A-C-TECH-3-B1-INT-G0</x:v>
      </x:c>
      <x:c r="C1671" s="9" t="str">
        <x:v>EV-AR-HC-A-C-TECH-3-B1-INT-G0</x:v>
      </x:c>
      <x:c r="D1671" s="9" t="str">
        <x:v>AR-HC-A-C-TECH-3-B1-INT-G0</x:v>
      </x:c>
      <x:c r="E1671" s="9" t="str">
        <x:v>HC-A-C-TECH-3</x:v>
      </x:c>
      <x:c r="F1671" s="9" t="str">
        <x:v>HC-A-C</x:v>
      </x:c>
      <x:c r="G1671" s="9" t="str">
        <x:v>B1</x:v>
      </x:c>
      <x:c r="H1671" s="9" t="str">
        <x:v>INT</x:v>
      </x:c>
      <x:c r="I1671" s="9" t="str">
        <x:v>PD01</x:v>
      </x:c>
      <x:c r="J1671" s="17" t="str">
        <x:v>Experiment kernel</x:v>
      </x:c>
      <x:c r="K1671" s="17" t="str">
        <x:v>Public archive</x:v>
      </x:c>
      <x:c r="L1671" s="17" t="str">
        <x:v>COURT-SEALED UNTIL COHORT RELEASE</x:v>
      </x:c>
      <x:c r="M1671" s="9" t="n">
        <x:v>0</x:v>
      </x:c>
      <x:c r="N1671" s="9" t="n">
        <x:v>0</x:v>
      </x:c>
      <x:c r="O1671" s="9" t="n">
        <x:v>0</x:v>
      </x:c>
      <x:c r="P1671" s="9" t="str">
        <x:v>HELD / UNRELEASED</x:v>
      </x:c>
      <x:c r="Q1671" s="9" t="n">
        <x:f>COUNTIFS($A$7:$A$2310,A1671)</x:f>
        <x:v>1</x:v>
      </x:c>
    </x:row>
    <x:row r="1672">
      <x:c r="A1672" s="9" t="str">
        <x:v>PD-AR-HC-A-C-TECH-3-B1-INT-G0-PD02</x:v>
      </x:c>
      <x:c r="B1672" s="9" t="str">
        <x:v>PD-AR-HC-A-C-TECH-3-B1-INT-G0</x:v>
      </x:c>
      <x:c r="C1672" s="9" t="str">
        <x:v>EV-AR-HC-A-C-TECH-3-B1-INT-G0</x:v>
      </x:c>
      <x:c r="D1672" s="9" t="str">
        <x:v>AR-HC-A-C-TECH-3-B1-INT-G0</x:v>
      </x:c>
      <x:c r="E1672" s="9" t="str">
        <x:v>HC-A-C-TECH-3</x:v>
      </x:c>
      <x:c r="F1672" s="9" t="str">
        <x:v>HC-A-C</x:v>
      </x:c>
      <x:c r="G1672" s="9" t="str">
        <x:v>B1</x:v>
      </x:c>
      <x:c r="H1672" s="9" t="str">
        <x:v>INT</x:v>
      </x:c>
      <x:c r="I1672" s="9" t="str">
        <x:v>PD02</x:v>
      </x:c>
      <x:c r="J1672" s="17" t="str">
        <x:v>Serial annex and title chain</x:v>
      </x:c>
      <x:c r="K1672" s="17" t="str">
        <x:v>Public archive</x:v>
      </x:c>
      <x:c r="L1672" s="17" t="str">
        <x:v>COURT-SEALED UNTIL COHORT RELEASE</x:v>
      </x:c>
      <x:c r="M1672" s="9" t="n">
        <x:v>0</x:v>
      </x:c>
      <x:c r="N1672" s="9" t="n">
        <x:v>0</x:v>
      </x:c>
      <x:c r="O1672" s="9" t="n">
        <x:v>0</x:v>
      </x:c>
      <x:c r="P1672" s="9" t="str">
        <x:v>HELD / UNRELEASED</x:v>
      </x:c>
      <x:c r="Q1672" s="9" t="n">
        <x:f>COUNTIFS($A$7:$A$2310,A1672)</x:f>
        <x:v>1</x:v>
      </x:c>
    </x:row>
    <x:row r="1673">
      <x:c r="A1673" s="9" t="str">
        <x:v>PD-AR-HC-A-C-TECH-3-B1-INT-G0-PD03</x:v>
      </x:c>
      <x:c r="B1673" s="9" t="str">
        <x:v>PD-AR-HC-A-C-TECH-3-B1-INT-G0</x:v>
      </x:c>
      <x:c r="C1673" s="9" t="str">
        <x:v>EV-AR-HC-A-C-TECH-3-B1-INT-G0</x:v>
      </x:c>
      <x:c r="D1673" s="9" t="str">
        <x:v>AR-HC-A-C-TECH-3-B1-INT-G0</x:v>
      </x:c>
      <x:c r="E1673" s="9" t="str">
        <x:v>HC-A-C-TECH-3</x:v>
      </x:c>
      <x:c r="F1673" s="9" t="str">
        <x:v>HC-A-C</x:v>
      </x:c>
      <x:c r="G1673" s="9" t="str">
        <x:v>B1</x:v>
      </x:c>
      <x:c r="H1673" s="9" t="str">
        <x:v>INT</x:v>
      </x:c>
      <x:c r="I1673" s="9" t="str">
        <x:v>PD03</x:v>
      </x:c>
      <x:c r="J1673" s="17" t="str">
        <x:v>Configuration and as-built manifest</x:v>
      </x:c>
      <x:c r="K1673" s="17" t="str">
        <x:v>Artifact exchange</x:v>
      </x:c>
      <x:c r="L1673" s="17" t="str">
        <x:v>COURT-SEALED UNTIL COHORT RELEASE</x:v>
      </x:c>
      <x:c r="M1673" s="9" t="n">
        <x:v>0</x:v>
      </x:c>
      <x:c r="N1673" s="9" t="n">
        <x:v>0</x:v>
      </x:c>
      <x:c r="O1673" s="9" t="n">
        <x:v>0</x:v>
      </x:c>
      <x:c r="P1673" s="9" t="str">
        <x:v>HELD / UNRELEASED</x:v>
      </x:c>
      <x:c r="Q1673" s="9" t="n">
        <x:f>COUNTIFS($A$7:$A$2310,A1673)</x:f>
        <x:v>1</x:v>
      </x:c>
    </x:row>
    <x:row r="1674">
      <x:c r="A1674" s="9" t="str">
        <x:v>PD-AR-HC-A-C-TECH-3-B1-INT-G0-PD04</x:v>
      </x:c>
      <x:c r="B1674" s="9" t="str">
        <x:v>PD-AR-HC-A-C-TECH-3-B1-INT-G0</x:v>
      </x:c>
      <x:c r="C1674" s="9" t="str">
        <x:v>EV-AR-HC-A-C-TECH-3-B1-INT-G0</x:v>
      </x:c>
      <x:c r="D1674" s="9" t="str">
        <x:v>AR-HC-A-C-TECH-3-B1-INT-G0</x:v>
      </x:c>
      <x:c r="E1674" s="9" t="str">
        <x:v>HC-A-C-TECH-3</x:v>
      </x:c>
      <x:c r="F1674" s="9" t="str">
        <x:v>HC-A-C</x:v>
      </x:c>
      <x:c r="G1674" s="9" t="str">
        <x:v>B1</x:v>
      </x:c>
      <x:c r="H1674" s="9" t="str">
        <x:v>INT</x:v>
      </x:c>
      <x:c r="I1674" s="9" t="str">
        <x:v>PD04</x:v>
      </x:c>
      <x:c r="J1674" s="17" t="str">
        <x:v>EOW and start certificate</x:v>
      </x:c>
      <x:c r="K1674" s="17" t="str">
        <x:v>Start registrar</x:v>
      </x:c>
      <x:c r="L1674" s="17" t="str">
        <x:v>COURT-SEALED UNTIL COHORT RELEASE</x:v>
      </x:c>
      <x:c r="M1674" s="9" t="n">
        <x:v>0</x:v>
      </x:c>
      <x:c r="N1674" s="9" t="n">
        <x:v>0</x:v>
      </x:c>
      <x:c r="O1674" s="9" t="n">
        <x:v>0</x:v>
      </x:c>
      <x:c r="P1674" s="9" t="str">
        <x:v>HELD / UNRELEASED</x:v>
      </x:c>
      <x:c r="Q1674" s="9" t="n">
        <x:f>COUNTIFS($A$7:$A$2310,A1674)</x:f>
        <x:v>1</x:v>
      </x:c>
    </x:row>
    <x:row r="1675">
      <x:c r="A1675" s="9" t="str">
        <x:v>PD-AR-HC-A-C-TECH-3-B1-INT-G0-PD05</x:v>
      </x:c>
      <x:c r="B1675" s="9" t="str">
        <x:v>PD-AR-HC-A-C-TECH-3-B1-INT-G0</x:v>
      </x:c>
      <x:c r="C1675" s="9" t="str">
        <x:v>EV-AR-HC-A-C-TECH-3-B1-INT-G0</x:v>
      </x:c>
      <x:c r="D1675" s="9" t="str">
        <x:v>AR-HC-A-C-TECH-3-B1-INT-G0</x:v>
      </x:c>
      <x:c r="E1675" s="9" t="str">
        <x:v>HC-A-C-TECH-3</x:v>
      </x:c>
      <x:c r="F1675" s="9" t="str">
        <x:v>HC-A-C</x:v>
      </x:c>
      <x:c r="G1675" s="9" t="str">
        <x:v>B1</x:v>
      </x:c>
      <x:c r="H1675" s="9" t="str">
        <x:v>INT</x:v>
      </x:c>
      <x:c r="I1675" s="9" t="str">
        <x:v>PD05</x:v>
      </x:c>
      <x:c r="J1675" s="17" t="str">
        <x:v>Primary raw originals</x:v>
      </x:c>
      <x:c r="K1675" s="17" t="str">
        <x:v>Primary custody</x:v>
      </x:c>
      <x:c r="L1675" s="17" t="str">
        <x:v>COURT-SEALED UNTIL COHORT RELEASE</x:v>
      </x:c>
      <x:c r="M1675" s="9" t="n">
        <x:v>0</x:v>
      </x:c>
      <x:c r="N1675" s="9" t="n">
        <x:v>0</x:v>
      </x:c>
      <x:c r="O1675" s="9" t="n">
        <x:v>0</x:v>
      </x:c>
      <x:c r="P1675" s="9" t="str">
        <x:v>HELD / UNRELEASED</x:v>
      </x:c>
      <x:c r="Q1675" s="9" t="n">
        <x:f>COUNTIFS($A$7:$A$2310,A1675)</x:f>
        <x:v>1</x:v>
      </x:c>
    </x:row>
    <x:row r="1676">
      <x:c r="A1676" s="9" t="str">
        <x:v>PD-AR-HC-A-C-TECH-3-B1-INT-G0-PD06</x:v>
      </x:c>
      <x:c r="B1676" s="9" t="str">
        <x:v>PD-AR-HC-A-C-TECH-3-B1-INT-G0</x:v>
      </x:c>
      <x:c r="C1676" s="9" t="str">
        <x:v>EV-AR-HC-A-C-TECH-3-B1-INT-G0</x:v>
      </x:c>
      <x:c r="D1676" s="9" t="str">
        <x:v>AR-HC-A-C-TECH-3-B1-INT-G0</x:v>
      </x:c>
      <x:c r="E1676" s="9" t="str">
        <x:v>HC-A-C-TECH-3</x:v>
      </x:c>
      <x:c r="F1676" s="9" t="str">
        <x:v>HC-A-C</x:v>
      </x:c>
      <x:c r="G1676" s="9" t="str">
        <x:v>B1</x:v>
      </x:c>
      <x:c r="H1676" s="9" t="str">
        <x:v>INT</x:v>
      </x:c>
      <x:c r="I1676" s="9" t="str">
        <x:v>PD06</x:v>
      </x:c>
      <x:c r="J1676" s="17" t="str">
        <x:v>Witness raw originals</x:v>
      </x:c>
      <x:c r="K1676" s="17" t="str">
        <x:v>Witness custody</x:v>
      </x:c>
      <x:c r="L1676" s="17" t="str">
        <x:v>COURT-SEALED UNTIL COHORT RELEASE</x:v>
      </x:c>
      <x:c r="M1676" s="9" t="n">
        <x:v>0</x:v>
      </x:c>
      <x:c r="N1676" s="9" t="n">
        <x:v>0</x:v>
      </x:c>
      <x:c r="O1676" s="9" t="n">
        <x:v>0</x:v>
      </x:c>
      <x:c r="P1676" s="9" t="str">
        <x:v>HELD / UNRELEASED</x:v>
      </x:c>
      <x:c r="Q1676" s="9" t="n">
        <x:f>COUNTIFS($A$7:$A$2310,A1676)</x:f>
        <x:v>1</x:v>
      </x:c>
    </x:row>
    <x:row r="1677">
      <x:c r="A1677" s="9" t="str">
        <x:v>PD-AR-HC-A-C-TECH-3-B1-INT-G0-PD07</x:v>
      </x:c>
      <x:c r="B1677" s="9" t="str">
        <x:v>PD-AR-HC-A-C-TECH-3-B1-INT-G0</x:v>
      </x:c>
      <x:c r="C1677" s="9" t="str">
        <x:v>EV-AR-HC-A-C-TECH-3-B1-INT-G0</x:v>
      </x:c>
      <x:c r="D1677" s="9" t="str">
        <x:v>AR-HC-A-C-TECH-3-B1-INT-G0</x:v>
      </x:c>
      <x:c r="E1677" s="9" t="str">
        <x:v>HC-A-C-TECH-3</x:v>
      </x:c>
      <x:c r="F1677" s="9" t="str">
        <x:v>HC-A-C</x:v>
      </x:c>
      <x:c r="G1677" s="9" t="str">
        <x:v>B1</x:v>
      </x:c>
      <x:c r="H1677" s="9" t="str">
        <x:v>INT</x:v>
      </x:c>
      <x:c r="I1677" s="9" t="str">
        <x:v>PD07</x:v>
      </x:c>
      <x:c r="J1677" s="17" t="str">
        <x:v>Clock and environmental records</x:v>
      </x:c>
      <x:c r="K1677" s="17" t="str">
        <x:v>Boundary archive</x:v>
      </x:c>
      <x:c r="L1677" s="17" t="str">
        <x:v>COURT-SEALED UNTIL COHORT RELEASE</x:v>
      </x:c>
      <x:c r="M1677" s="9" t="n">
        <x:v>0</x:v>
      </x:c>
      <x:c r="N1677" s="9" t="n">
        <x:v>0</x:v>
      </x:c>
      <x:c r="O1677" s="9" t="n">
        <x:v>0</x:v>
      </x:c>
      <x:c r="P1677" s="9" t="str">
        <x:v>HELD / UNRELEASED</x:v>
      </x:c>
      <x:c r="Q1677" s="9" t="n">
        <x:f>COUNTIFS($A$7:$A$2310,A1677)</x:f>
        <x:v>1</x:v>
      </x:c>
    </x:row>
    <x:row r="1678">
      <x:c r="A1678" s="9" t="str">
        <x:v>PD-AR-HC-A-C-TECH-3-B1-INT-G0-PD08</x:v>
      </x:c>
      <x:c r="B1678" s="9" t="str">
        <x:v>PD-AR-HC-A-C-TECH-3-B1-INT-G0</x:v>
      </x:c>
      <x:c r="C1678" s="9" t="str">
        <x:v>EV-AR-HC-A-C-TECH-3-B1-INT-G0</x:v>
      </x:c>
      <x:c r="D1678" s="9" t="str">
        <x:v>AR-HC-A-C-TECH-3-B1-INT-G0</x:v>
      </x:c>
      <x:c r="E1678" s="9" t="str">
        <x:v>HC-A-C-TECH-3</x:v>
      </x:c>
      <x:c r="F1678" s="9" t="str">
        <x:v>HC-A-C</x:v>
      </x:c>
      <x:c r="G1678" s="9" t="str">
        <x:v>B1</x:v>
      </x:c>
      <x:c r="H1678" s="9" t="str">
        <x:v>INT</x:v>
      </x:c>
      <x:c r="I1678" s="9" t="str">
        <x:v>PD08</x:v>
      </x:c>
      <x:c r="J1678" s="17" t="str">
        <x:v>Command and intervention log</x:v>
      </x:c>
      <x:c r="K1678" s="17" t="str">
        <x:v>Safety archive</x:v>
      </x:c>
      <x:c r="L1678" s="17" t="str">
        <x:v>COURT-SEALED UNTIL COHORT RELEASE</x:v>
      </x:c>
      <x:c r="M1678" s="9" t="n">
        <x:v>0</x:v>
      </x:c>
      <x:c r="N1678" s="9" t="n">
        <x:v>0</x:v>
      </x:c>
      <x:c r="O1678" s="9" t="n">
        <x:v>0</x:v>
      </x:c>
      <x:c r="P1678" s="9" t="str">
        <x:v>HELD / UNRELEASED</x:v>
      </x:c>
      <x:c r="Q1678" s="9" t="n">
        <x:f>COUNTIFS($A$7:$A$2310,A1678)</x:f>
        <x:v>1</x:v>
      </x:c>
    </x:row>
    <x:row r="1679">
      <x:c r="A1679" s="9" t="str">
        <x:v>PD-AR-HC-A-C-TECH-3-B1-INT-G0-PD09</x:v>
      </x:c>
      <x:c r="B1679" s="9" t="str">
        <x:v>PD-AR-HC-A-C-TECH-3-B1-INT-G0</x:v>
      </x:c>
      <x:c r="C1679" s="9" t="str">
        <x:v>EV-AR-HC-A-C-TECH-3-B1-INT-G0</x:v>
      </x:c>
      <x:c r="D1679" s="9" t="str">
        <x:v>AR-HC-A-C-TECH-3-B1-INT-G0</x:v>
      </x:c>
      <x:c r="E1679" s="9" t="str">
        <x:v>HC-A-C-TECH-3</x:v>
      </x:c>
      <x:c r="F1679" s="9" t="str">
        <x:v>HC-A-C</x:v>
      </x:c>
      <x:c r="G1679" s="9" t="str">
        <x:v>B1</x:v>
      </x:c>
      <x:c r="H1679" s="9" t="str">
        <x:v>INT</x:v>
      </x:c>
      <x:c r="I1679" s="9" t="str">
        <x:v>PD09</x:v>
      </x:c>
      <x:c r="J1679" s="17" t="str">
        <x:v>Receiver denominator and service ledger</x:v>
      </x:c>
      <x:c r="K1679" s="17" t="str">
        <x:v>Receiver archive</x:v>
      </x:c>
      <x:c r="L1679" s="17" t="str">
        <x:v>COURT-SEALED UNTIL COHORT RELEASE</x:v>
      </x:c>
      <x:c r="M1679" s="9" t="n">
        <x:v>0</x:v>
      </x:c>
      <x:c r="N1679" s="9" t="n">
        <x:v>0</x:v>
      </x:c>
      <x:c r="O1679" s="9" t="n">
        <x:v>0</x:v>
      </x:c>
      <x:c r="P1679" s="9" t="str">
        <x:v>HELD / UNRELEASED</x:v>
      </x:c>
      <x:c r="Q1679" s="9" t="n">
        <x:f>COUNTIFS($A$7:$A$2310,A1679)</x:f>
        <x:v>1</x:v>
      </x:c>
    </x:row>
    <x:row r="1680">
      <x:c r="A1680" s="9" t="str">
        <x:v>PD-AR-HC-A-C-TECH-3-B1-INT-G0-PD10</x:v>
      </x:c>
      <x:c r="B1680" s="9" t="str">
        <x:v>PD-AR-HC-A-C-TECH-3-B1-INT-G0</x:v>
      </x:c>
      <x:c r="C1680" s="9" t="str">
        <x:v>EV-AR-HC-A-C-TECH-3-B1-INT-G0</x:v>
      </x:c>
      <x:c r="D1680" s="9" t="str">
        <x:v>AR-HC-A-C-TECH-3-B1-INT-G0</x:v>
      </x:c>
      <x:c r="E1680" s="9" t="str">
        <x:v>HC-A-C-TECH-3</x:v>
      </x:c>
      <x:c r="F1680" s="9" t="str">
        <x:v>HC-A-C</x:v>
      </x:c>
      <x:c r="G1680" s="9" t="str">
        <x:v>B1</x:v>
      </x:c>
      <x:c r="H1680" s="9" t="str">
        <x:v>INT</x:v>
      </x:c>
      <x:c r="I1680" s="9" t="str">
        <x:v>PD10</x:v>
      </x:c>
      <x:c r="J1680" s="17" t="str">
        <x:v>Calibration and uncertainty record</x:v>
      </x:c>
      <x:c r="K1680" s="17" t="str">
        <x:v>Metrology archive</x:v>
      </x:c>
      <x:c r="L1680" s="17" t="str">
        <x:v>COURT-SEALED UNTIL COHORT RELEASE</x:v>
      </x:c>
      <x:c r="M1680" s="9" t="n">
        <x:v>0</x:v>
      </x:c>
      <x:c r="N1680" s="9" t="n">
        <x:v>0</x:v>
      </x:c>
      <x:c r="O1680" s="9" t="n">
        <x:v>0</x:v>
      </x:c>
      <x:c r="P1680" s="9" t="str">
        <x:v>HELD / UNRELEASED</x:v>
      </x:c>
      <x:c r="Q1680" s="9" t="n">
        <x:f>COUNTIFS($A$7:$A$2310,A1680)</x:f>
        <x:v>1</x:v>
      </x:c>
    </x:row>
    <x:row r="1681">
      <x:c r="A1681" s="9" t="str">
        <x:v>PD-AR-HC-A-C-TECH-3-B1-INT-G0-PD11</x:v>
      </x:c>
      <x:c r="B1681" s="9" t="str">
        <x:v>PD-AR-HC-A-C-TECH-3-B1-INT-G0</x:v>
      </x:c>
      <x:c r="C1681" s="9" t="str">
        <x:v>EV-AR-HC-A-C-TECH-3-B1-INT-G0</x:v>
      </x:c>
      <x:c r="D1681" s="9" t="str">
        <x:v>AR-HC-A-C-TECH-3-B1-INT-G0</x:v>
      </x:c>
      <x:c r="E1681" s="9" t="str">
        <x:v>HC-A-C-TECH-3</x:v>
      </x:c>
      <x:c r="F1681" s="9" t="str">
        <x:v>HC-A-C</x:v>
      </x:c>
      <x:c r="G1681" s="9" t="str">
        <x:v>B1</x:v>
      </x:c>
      <x:c r="H1681" s="9" t="str">
        <x:v>INT</x:v>
      </x:c>
      <x:c r="I1681" s="9" t="str">
        <x:v>PD11</x:v>
      </x:c>
      <x:c r="J1681" s="17" t="str">
        <x:v>Invalidity petition and opinion</x:v>
      </x:c>
      <x:c r="K1681" s="17" t="str">
        <x:v>Invalidity court</x:v>
      </x:c>
      <x:c r="L1681" s="17" t="str">
        <x:v>COURT-SEALED UNTIL COHORT RELEASE</x:v>
      </x:c>
      <x:c r="M1681" s="9" t="n">
        <x:v>0</x:v>
      </x:c>
      <x:c r="N1681" s="9" t="n">
        <x:v>0</x:v>
      </x:c>
      <x:c r="O1681" s="9" t="n">
        <x:v>0</x:v>
      </x:c>
      <x:c r="P1681" s="9" t="str">
        <x:v>HELD / UNRELEASED</x:v>
      </x:c>
      <x:c r="Q1681" s="9" t="n">
        <x:f>COUNTIFS($A$7:$A$2310,A1681)</x:f>
        <x:v>1</x:v>
      </x:c>
    </x:row>
    <x:row r="1682">
      <x:c r="A1682" s="9" t="str">
        <x:v>PD-AR-HC-A-C-TECH-3-B1-INT-G0-PD12</x:v>
      </x:c>
      <x:c r="B1682" s="9" t="str">
        <x:v>PD-AR-HC-A-C-TECH-3-B1-INT-G0</x:v>
      </x:c>
      <x:c r="C1682" s="9" t="str">
        <x:v>EV-AR-HC-A-C-TECH-3-B1-INT-G0</x:v>
      </x:c>
      <x:c r="D1682" s="9" t="str">
        <x:v>AR-HC-A-C-TECH-3-B1-INT-G0</x:v>
      </x:c>
      <x:c r="E1682" s="9" t="str">
        <x:v>HC-A-C-TECH-3</x:v>
      </x:c>
      <x:c r="F1682" s="9" t="str">
        <x:v>HC-A-C</x:v>
      </x:c>
      <x:c r="G1682" s="9" t="str">
        <x:v>B1</x:v>
      </x:c>
      <x:c r="H1682" s="9" t="str">
        <x:v>INT</x:v>
      </x:c>
      <x:c r="I1682" s="9" t="str">
        <x:v>PD12</x:v>
      </x:c>
      <x:c r="J1682" s="17" t="str">
        <x:v>Observation acceptance and replay</x:v>
      </x:c>
      <x:c r="K1682" s="17" t="str">
        <x:v>Observation court</x:v>
      </x:c>
      <x:c r="L1682" s="17" t="str">
        <x:v>COURT-SEALED UNTIL COHORT RELEASE</x:v>
      </x:c>
      <x:c r="M1682" s="9" t="n">
        <x:v>0</x:v>
      </x:c>
      <x:c r="N1682" s="9" t="n">
        <x:v>0</x:v>
      </x:c>
      <x:c r="O1682" s="9" t="n">
        <x:v>0</x:v>
      </x:c>
      <x:c r="P1682" s="9" t="str">
        <x:v>HELD / UNRELEASED</x:v>
      </x:c>
      <x:c r="Q1682" s="9" t="n">
        <x:f>COUNTIFS($A$7:$A$2310,A1682)</x:f>
        <x:v>1</x:v>
      </x:c>
    </x:row>
    <x:row r="1683">
      <x:c r="A1683" s="9" t="str">
        <x:v>PD-AR-HC-A-C-TECH-3-B1-INT-G0-PD13</x:v>
      </x:c>
      <x:c r="B1683" s="9" t="str">
        <x:v>PD-AR-HC-A-C-TECH-3-B1-INT-G0</x:v>
      </x:c>
      <x:c r="C1683" s="9" t="str">
        <x:v>EV-AR-HC-A-C-TECH-3-B1-INT-G0</x:v>
      </x:c>
      <x:c r="D1683" s="9" t="str">
        <x:v>AR-HC-A-C-TECH-3-B1-INT-G0</x:v>
      </x:c>
      <x:c r="E1683" s="9" t="str">
        <x:v>HC-A-C-TECH-3</x:v>
      </x:c>
      <x:c r="F1683" s="9" t="str">
        <x:v>HC-A-C</x:v>
      </x:c>
      <x:c r="G1683" s="9" t="str">
        <x:v>B1</x:v>
      </x:c>
      <x:c r="H1683" s="9" t="str">
        <x:v>INT</x:v>
      </x:c>
      <x:c r="I1683" s="9" t="str">
        <x:v>PD13</x:v>
      </x:c>
      <x:c r="J1683" s="17" t="str">
        <x:v>Role judgment</x:v>
      </x:c>
      <x:c r="K1683" s="17" t="str">
        <x:v>Role court</x:v>
      </x:c>
      <x:c r="L1683" s="17" t="str">
        <x:v>COURT-SEALED UNTIL COHORT RELEASE</x:v>
      </x:c>
      <x:c r="M1683" s="9" t="n">
        <x:v>0</x:v>
      </x:c>
      <x:c r="N1683" s="9" t="n">
        <x:v>0</x:v>
      </x:c>
      <x:c r="O1683" s="9" t="n">
        <x:v>0</x:v>
      </x:c>
      <x:c r="P1683" s="9" t="str">
        <x:v>HELD / UNRELEASED</x:v>
      </x:c>
      <x:c r="Q1683" s="9" t="n">
        <x:f>COUNTIFS($A$7:$A$2310,A1683)</x:f>
        <x:v>1</x:v>
      </x:c>
    </x:row>
    <x:row r="1684">
      <x:c r="A1684" s="9" t="str">
        <x:v>PD-AR-HC-A-C-TECH-3-B1-INT-G0-PD14</x:v>
      </x:c>
      <x:c r="B1684" s="9" t="str">
        <x:v>PD-AR-HC-A-C-TECH-3-B1-INT-G0</x:v>
      </x:c>
      <x:c r="C1684" s="9" t="str">
        <x:v>EV-AR-HC-A-C-TECH-3-B1-INT-G0</x:v>
      </x:c>
      <x:c r="D1684" s="9" t="str">
        <x:v>AR-HC-A-C-TECH-3-B1-INT-G0</x:v>
      </x:c>
      <x:c r="E1684" s="9" t="str">
        <x:v>HC-A-C-TECH-3</x:v>
      </x:c>
      <x:c r="F1684" s="9" t="str">
        <x:v>HC-A-C</x:v>
      </x:c>
      <x:c r="G1684" s="9" t="str">
        <x:v>B1</x:v>
      </x:c>
      <x:c r="H1684" s="9" t="str">
        <x:v>INT</x:v>
      </x:c>
      <x:c r="I1684" s="9" t="str">
        <x:v>PD14</x:v>
      </x:c>
      <x:c r="J1684" s="17" t="str">
        <x:v>Break and residual account</x:v>
      </x:c>
      <x:c r="K1684" s="17" t="str">
        <x:v>Residual authority</x:v>
      </x:c>
      <x:c r="L1684" s="17" t="str">
        <x:v>COURT-SEALED UNTIL COHORT RELEASE</x:v>
      </x:c>
      <x:c r="M1684" s="9" t="n">
        <x:v>0</x:v>
      </x:c>
      <x:c r="N1684" s="9" t="n">
        <x:v>0</x:v>
      </x:c>
      <x:c r="O1684" s="9" t="n">
        <x:v>0</x:v>
      </x:c>
      <x:c r="P1684" s="9" t="str">
        <x:v>HELD / UNRELEASED</x:v>
      </x:c>
      <x:c r="Q1684" s="9" t="n">
        <x:f>COUNTIFS($A$7:$A$2310,A1684)</x:f>
        <x:v>1</x:v>
      </x:c>
    </x:row>
    <x:row r="1685">
      <x:c r="A1685" s="9" t="str">
        <x:v>PD-AR-HC-A-C-TECH-3-B1-INT-G0-PD15</x:v>
      </x:c>
      <x:c r="B1685" s="9" t="str">
        <x:v>PD-AR-HC-A-C-TECH-3-B1-INT-G0</x:v>
      </x:c>
      <x:c r="C1685" s="9" t="str">
        <x:v>EV-AR-HC-A-C-TECH-3-B1-INT-G0</x:v>
      </x:c>
      <x:c r="D1685" s="9" t="str">
        <x:v>AR-HC-A-C-TECH-3-B1-INT-G0</x:v>
      </x:c>
      <x:c r="E1685" s="9" t="str">
        <x:v>HC-A-C-TECH-3</x:v>
      </x:c>
      <x:c r="F1685" s="9" t="str">
        <x:v>HC-A-C</x:v>
      </x:c>
      <x:c r="G1685" s="9" t="str">
        <x:v>B1</x:v>
      </x:c>
      <x:c r="H1685" s="9" t="str">
        <x:v>INT</x:v>
      </x:c>
      <x:c r="I1685" s="9" t="str">
        <x:v>PD15</x:v>
      </x:c>
      <x:c r="J1685" s="17" t="str">
        <x:v>Reconstruction ancestry and replay</x:v>
      </x:c>
      <x:c r="K1685" s="17" t="str">
        <x:v>Reconstruction court</x:v>
      </x:c>
      <x:c r="L1685" s="17" t="str">
        <x:v>COURT-SEALED UNTIL COHORT RELEASE</x:v>
      </x:c>
      <x:c r="M1685" s="9" t="n">
        <x:v>0</x:v>
      </x:c>
      <x:c r="N1685" s="9" t="n">
        <x:v>0</x:v>
      </x:c>
      <x:c r="O1685" s="9" t="n">
        <x:v>0</x:v>
      </x:c>
      <x:c r="P1685" s="9" t="str">
        <x:v>HELD / UNRELEASED</x:v>
      </x:c>
      <x:c r="Q1685" s="9" t="n">
        <x:f>COUNTIFS($A$7:$A$2310,A1685)</x:f>
        <x:v>1</x:v>
      </x:c>
    </x:row>
    <x:row r="1686">
      <x:c r="A1686" s="9" t="str">
        <x:v>PD-AR-HC-A-C-TECH-3-B1-INT-G0-PD16</x:v>
      </x:c>
      <x:c r="B1686" s="9" t="str">
        <x:v>PD-AR-HC-A-C-TECH-3-B1-INT-G0</x:v>
      </x:c>
      <x:c r="C1686" s="9" t="str">
        <x:v>EV-AR-HC-A-C-TECH-3-B1-INT-G0</x:v>
      </x:c>
      <x:c r="D1686" s="9" t="str">
        <x:v>AR-HC-A-C-TECH-3-B1-INT-G0</x:v>
      </x:c>
      <x:c r="E1686" s="9" t="str">
        <x:v>HC-A-C-TECH-3</x:v>
      </x:c>
      <x:c r="F1686" s="9" t="str">
        <x:v>HC-A-C</x:v>
      </x:c>
      <x:c r="G1686" s="9" t="str">
        <x:v>B1</x:v>
      </x:c>
      <x:c r="H1686" s="9" t="str">
        <x:v>INT</x:v>
      </x:c>
      <x:c r="I1686" s="9" t="str">
        <x:v>PD16</x:v>
      </x:c>
      <x:c r="J1686" s="17" t="str">
        <x:v>Dissent, amendments and access log</x:v>
      </x:c>
      <x:c r="K1686" s="17" t="str">
        <x:v>Public archive</x:v>
      </x:c>
      <x:c r="L1686" s="17" t="str">
        <x:v>COURT-SEALED UNTIL COHORT RELEASE</x:v>
      </x:c>
      <x:c r="M1686" s="9" t="n">
        <x:v>0</x:v>
      </x:c>
      <x:c r="N1686" s="9" t="n">
        <x:v>0</x:v>
      </x:c>
      <x:c r="O1686" s="9" t="n">
        <x:v>0</x:v>
      </x:c>
      <x:c r="P1686" s="9" t="str">
        <x:v>HELD / UNRELEASED</x:v>
      </x:c>
      <x:c r="Q1686" s="9" t="n">
        <x:f>COUNTIFS($A$7:$A$2310,A1686)</x:f>
        <x:v>1</x:v>
      </x:c>
    </x:row>
    <x:row r="1687">
      <x:c r="A1687" s="9" t="str">
        <x:v>PD-AR-HU-A-B-TECH-2-B2-RCN-G0-PD01</x:v>
      </x:c>
      <x:c r="B1687" s="9" t="str">
        <x:v>PD-AR-HU-A-B-TECH-2-B2-RCN-G0</x:v>
      </x:c>
      <x:c r="C1687" s="9" t="str">
        <x:v>EV-AR-HU-A-B-TECH-2-B2-RCN-G0</x:v>
      </x:c>
      <x:c r="D1687" s="9" t="str">
        <x:v>AR-HU-A-B-TECH-2-B2-RCN-G0</x:v>
      </x:c>
      <x:c r="E1687" s="9" t="str">
        <x:v>HU-A-B-TECH-2</x:v>
      </x:c>
      <x:c r="F1687" s="9" t="str">
        <x:v>HU-A-B</x:v>
      </x:c>
      <x:c r="G1687" s="9" t="str">
        <x:v>B2</x:v>
      </x:c>
      <x:c r="H1687" s="9" t="str">
        <x:v>RCN</x:v>
      </x:c>
      <x:c r="I1687" s="9" t="str">
        <x:v>PD01</x:v>
      </x:c>
      <x:c r="J1687" s="17" t="str">
        <x:v>Experiment kernel</x:v>
      </x:c>
      <x:c r="K1687" s="17" t="str">
        <x:v>Public archive</x:v>
      </x:c>
      <x:c r="L1687" s="17" t="str">
        <x:v>COURT-SEALED UNTIL COHORT RELEASE</x:v>
      </x:c>
      <x:c r="M1687" s="9" t="n">
        <x:v>0</x:v>
      </x:c>
      <x:c r="N1687" s="9" t="n">
        <x:v>0</x:v>
      </x:c>
      <x:c r="O1687" s="9" t="n">
        <x:v>0</x:v>
      </x:c>
      <x:c r="P1687" s="9" t="str">
        <x:v>HELD / UNRELEASED</x:v>
      </x:c>
      <x:c r="Q1687" s="9" t="n">
        <x:f>COUNTIFS($A$7:$A$2310,A1687)</x:f>
        <x:v>1</x:v>
      </x:c>
    </x:row>
    <x:row r="1688">
      <x:c r="A1688" s="9" t="str">
        <x:v>PD-AR-HU-A-B-TECH-2-B2-RCN-G0-PD02</x:v>
      </x:c>
      <x:c r="B1688" s="9" t="str">
        <x:v>PD-AR-HU-A-B-TECH-2-B2-RCN-G0</x:v>
      </x:c>
      <x:c r="C1688" s="9" t="str">
        <x:v>EV-AR-HU-A-B-TECH-2-B2-RCN-G0</x:v>
      </x:c>
      <x:c r="D1688" s="9" t="str">
        <x:v>AR-HU-A-B-TECH-2-B2-RCN-G0</x:v>
      </x:c>
      <x:c r="E1688" s="9" t="str">
        <x:v>HU-A-B-TECH-2</x:v>
      </x:c>
      <x:c r="F1688" s="9" t="str">
        <x:v>HU-A-B</x:v>
      </x:c>
      <x:c r="G1688" s="9" t="str">
        <x:v>B2</x:v>
      </x:c>
      <x:c r="H1688" s="9" t="str">
        <x:v>RCN</x:v>
      </x:c>
      <x:c r="I1688" s="9" t="str">
        <x:v>PD02</x:v>
      </x:c>
      <x:c r="J1688" s="17" t="str">
        <x:v>Serial annex and title chain</x:v>
      </x:c>
      <x:c r="K1688" s="17" t="str">
        <x:v>Public archive</x:v>
      </x:c>
      <x:c r="L1688" s="17" t="str">
        <x:v>COURT-SEALED UNTIL COHORT RELEASE</x:v>
      </x:c>
      <x:c r="M1688" s="9" t="n">
        <x:v>0</x:v>
      </x:c>
      <x:c r="N1688" s="9" t="n">
        <x:v>0</x:v>
      </x:c>
      <x:c r="O1688" s="9" t="n">
        <x:v>0</x:v>
      </x:c>
      <x:c r="P1688" s="9" t="str">
        <x:v>HELD / UNRELEASED</x:v>
      </x:c>
      <x:c r="Q1688" s="9" t="n">
        <x:f>COUNTIFS($A$7:$A$2310,A1688)</x:f>
        <x:v>1</x:v>
      </x:c>
    </x:row>
    <x:row r="1689">
      <x:c r="A1689" s="9" t="str">
        <x:v>PD-AR-HU-A-B-TECH-2-B2-RCN-G0-PD03</x:v>
      </x:c>
      <x:c r="B1689" s="9" t="str">
        <x:v>PD-AR-HU-A-B-TECH-2-B2-RCN-G0</x:v>
      </x:c>
      <x:c r="C1689" s="9" t="str">
        <x:v>EV-AR-HU-A-B-TECH-2-B2-RCN-G0</x:v>
      </x:c>
      <x:c r="D1689" s="9" t="str">
        <x:v>AR-HU-A-B-TECH-2-B2-RCN-G0</x:v>
      </x:c>
      <x:c r="E1689" s="9" t="str">
        <x:v>HU-A-B-TECH-2</x:v>
      </x:c>
      <x:c r="F1689" s="9" t="str">
        <x:v>HU-A-B</x:v>
      </x:c>
      <x:c r="G1689" s="9" t="str">
        <x:v>B2</x:v>
      </x:c>
      <x:c r="H1689" s="9" t="str">
        <x:v>RCN</x:v>
      </x:c>
      <x:c r="I1689" s="9" t="str">
        <x:v>PD03</x:v>
      </x:c>
      <x:c r="J1689" s="17" t="str">
        <x:v>Configuration and as-built manifest</x:v>
      </x:c>
      <x:c r="K1689" s="17" t="str">
        <x:v>Artifact exchange</x:v>
      </x:c>
      <x:c r="L1689" s="17" t="str">
        <x:v>COURT-SEALED UNTIL COHORT RELEASE</x:v>
      </x:c>
      <x:c r="M1689" s="9" t="n">
        <x:v>0</x:v>
      </x:c>
      <x:c r="N1689" s="9" t="n">
        <x:v>0</x:v>
      </x:c>
      <x:c r="O1689" s="9" t="n">
        <x:v>0</x:v>
      </x:c>
      <x:c r="P1689" s="9" t="str">
        <x:v>HELD / UNRELEASED</x:v>
      </x:c>
      <x:c r="Q1689" s="9" t="n">
        <x:f>COUNTIFS($A$7:$A$2310,A1689)</x:f>
        <x:v>1</x:v>
      </x:c>
    </x:row>
    <x:row r="1690">
      <x:c r="A1690" s="9" t="str">
        <x:v>PD-AR-HU-A-B-TECH-2-B2-RCN-G0-PD04</x:v>
      </x:c>
      <x:c r="B1690" s="9" t="str">
        <x:v>PD-AR-HU-A-B-TECH-2-B2-RCN-G0</x:v>
      </x:c>
      <x:c r="C1690" s="9" t="str">
        <x:v>EV-AR-HU-A-B-TECH-2-B2-RCN-G0</x:v>
      </x:c>
      <x:c r="D1690" s="9" t="str">
        <x:v>AR-HU-A-B-TECH-2-B2-RCN-G0</x:v>
      </x:c>
      <x:c r="E1690" s="9" t="str">
        <x:v>HU-A-B-TECH-2</x:v>
      </x:c>
      <x:c r="F1690" s="9" t="str">
        <x:v>HU-A-B</x:v>
      </x:c>
      <x:c r="G1690" s="9" t="str">
        <x:v>B2</x:v>
      </x:c>
      <x:c r="H1690" s="9" t="str">
        <x:v>RCN</x:v>
      </x:c>
      <x:c r="I1690" s="9" t="str">
        <x:v>PD04</x:v>
      </x:c>
      <x:c r="J1690" s="17" t="str">
        <x:v>EOW and start certificate</x:v>
      </x:c>
      <x:c r="K1690" s="17" t="str">
        <x:v>Start registrar</x:v>
      </x:c>
      <x:c r="L1690" s="17" t="str">
        <x:v>COURT-SEALED UNTIL COHORT RELEASE</x:v>
      </x:c>
      <x:c r="M1690" s="9" t="n">
        <x:v>0</x:v>
      </x:c>
      <x:c r="N1690" s="9" t="n">
        <x:v>0</x:v>
      </x:c>
      <x:c r="O1690" s="9" t="n">
        <x:v>0</x:v>
      </x:c>
      <x:c r="P1690" s="9" t="str">
        <x:v>HELD / UNRELEASED</x:v>
      </x:c>
      <x:c r="Q1690" s="9" t="n">
        <x:f>COUNTIFS($A$7:$A$2310,A1690)</x:f>
        <x:v>1</x:v>
      </x:c>
    </x:row>
    <x:row r="1691">
      <x:c r="A1691" s="9" t="str">
        <x:v>PD-AR-HU-A-B-TECH-2-B2-RCN-G0-PD05</x:v>
      </x:c>
      <x:c r="B1691" s="9" t="str">
        <x:v>PD-AR-HU-A-B-TECH-2-B2-RCN-G0</x:v>
      </x:c>
      <x:c r="C1691" s="9" t="str">
        <x:v>EV-AR-HU-A-B-TECH-2-B2-RCN-G0</x:v>
      </x:c>
      <x:c r="D1691" s="9" t="str">
        <x:v>AR-HU-A-B-TECH-2-B2-RCN-G0</x:v>
      </x:c>
      <x:c r="E1691" s="9" t="str">
        <x:v>HU-A-B-TECH-2</x:v>
      </x:c>
      <x:c r="F1691" s="9" t="str">
        <x:v>HU-A-B</x:v>
      </x:c>
      <x:c r="G1691" s="9" t="str">
        <x:v>B2</x:v>
      </x:c>
      <x:c r="H1691" s="9" t="str">
        <x:v>RCN</x:v>
      </x:c>
      <x:c r="I1691" s="9" t="str">
        <x:v>PD05</x:v>
      </x:c>
      <x:c r="J1691" s="17" t="str">
        <x:v>Primary raw originals</x:v>
      </x:c>
      <x:c r="K1691" s="17" t="str">
        <x:v>Primary custody</x:v>
      </x:c>
      <x:c r="L1691" s="17" t="str">
        <x:v>COURT-SEALED UNTIL COHORT RELEASE</x:v>
      </x:c>
      <x:c r="M1691" s="9" t="n">
        <x:v>0</x:v>
      </x:c>
      <x:c r="N1691" s="9" t="n">
        <x:v>0</x:v>
      </x:c>
      <x:c r="O1691" s="9" t="n">
        <x:v>0</x:v>
      </x:c>
      <x:c r="P1691" s="9" t="str">
        <x:v>HELD / UNRELEASED</x:v>
      </x:c>
      <x:c r="Q1691" s="9" t="n">
        <x:f>COUNTIFS($A$7:$A$2310,A1691)</x:f>
        <x:v>1</x:v>
      </x:c>
    </x:row>
    <x:row r="1692">
      <x:c r="A1692" s="9" t="str">
        <x:v>PD-AR-HU-A-B-TECH-2-B2-RCN-G0-PD06</x:v>
      </x:c>
      <x:c r="B1692" s="9" t="str">
        <x:v>PD-AR-HU-A-B-TECH-2-B2-RCN-G0</x:v>
      </x:c>
      <x:c r="C1692" s="9" t="str">
        <x:v>EV-AR-HU-A-B-TECH-2-B2-RCN-G0</x:v>
      </x:c>
      <x:c r="D1692" s="9" t="str">
        <x:v>AR-HU-A-B-TECH-2-B2-RCN-G0</x:v>
      </x:c>
      <x:c r="E1692" s="9" t="str">
        <x:v>HU-A-B-TECH-2</x:v>
      </x:c>
      <x:c r="F1692" s="9" t="str">
        <x:v>HU-A-B</x:v>
      </x:c>
      <x:c r="G1692" s="9" t="str">
        <x:v>B2</x:v>
      </x:c>
      <x:c r="H1692" s="9" t="str">
        <x:v>RCN</x:v>
      </x:c>
      <x:c r="I1692" s="9" t="str">
        <x:v>PD06</x:v>
      </x:c>
      <x:c r="J1692" s="17" t="str">
        <x:v>Witness raw originals</x:v>
      </x:c>
      <x:c r="K1692" s="17" t="str">
        <x:v>Witness custody</x:v>
      </x:c>
      <x:c r="L1692" s="17" t="str">
        <x:v>COURT-SEALED UNTIL COHORT RELEASE</x:v>
      </x:c>
      <x:c r="M1692" s="9" t="n">
        <x:v>0</x:v>
      </x:c>
      <x:c r="N1692" s="9" t="n">
        <x:v>0</x:v>
      </x:c>
      <x:c r="O1692" s="9" t="n">
        <x:v>0</x:v>
      </x:c>
      <x:c r="P1692" s="9" t="str">
        <x:v>HELD / UNRELEASED</x:v>
      </x:c>
      <x:c r="Q1692" s="9" t="n">
        <x:f>COUNTIFS($A$7:$A$2310,A1692)</x:f>
        <x:v>1</x:v>
      </x:c>
    </x:row>
    <x:row r="1693">
      <x:c r="A1693" s="9" t="str">
        <x:v>PD-AR-HU-A-B-TECH-2-B2-RCN-G0-PD07</x:v>
      </x:c>
      <x:c r="B1693" s="9" t="str">
        <x:v>PD-AR-HU-A-B-TECH-2-B2-RCN-G0</x:v>
      </x:c>
      <x:c r="C1693" s="9" t="str">
        <x:v>EV-AR-HU-A-B-TECH-2-B2-RCN-G0</x:v>
      </x:c>
      <x:c r="D1693" s="9" t="str">
        <x:v>AR-HU-A-B-TECH-2-B2-RCN-G0</x:v>
      </x:c>
      <x:c r="E1693" s="9" t="str">
        <x:v>HU-A-B-TECH-2</x:v>
      </x:c>
      <x:c r="F1693" s="9" t="str">
        <x:v>HU-A-B</x:v>
      </x:c>
      <x:c r="G1693" s="9" t="str">
        <x:v>B2</x:v>
      </x:c>
      <x:c r="H1693" s="9" t="str">
        <x:v>RCN</x:v>
      </x:c>
      <x:c r="I1693" s="9" t="str">
        <x:v>PD07</x:v>
      </x:c>
      <x:c r="J1693" s="17" t="str">
        <x:v>Clock and environmental records</x:v>
      </x:c>
      <x:c r="K1693" s="17" t="str">
        <x:v>Boundary archive</x:v>
      </x:c>
      <x:c r="L1693" s="17" t="str">
        <x:v>COURT-SEALED UNTIL COHORT RELEASE</x:v>
      </x:c>
      <x:c r="M1693" s="9" t="n">
        <x:v>0</x:v>
      </x:c>
      <x:c r="N1693" s="9" t="n">
        <x:v>0</x:v>
      </x:c>
      <x:c r="O1693" s="9" t="n">
        <x:v>0</x:v>
      </x:c>
      <x:c r="P1693" s="9" t="str">
        <x:v>HELD / UNRELEASED</x:v>
      </x:c>
      <x:c r="Q1693" s="9" t="n">
        <x:f>COUNTIFS($A$7:$A$2310,A1693)</x:f>
        <x:v>1</x:v>
      </x:c>
    </x:row>
    <x:row r="1694">
      <x:c r="A1694" s="9" t="str">
        <x:v>PD-AR-HU-A-B-TECH-2-B2-RCN-G0-PD08</x:v>
      </x:c>
      <x:c r="B1694" s="9" t="str">
        <x:v>PD-AR-HU-A-B-TECH-2-B2-RCN-G0</x:v>
      </x:c>
      <x:c r="C1694" s="9" t="str">
        <x:v>EV-AR-HU-A-B-TECH-2-B2-RCN-G0</x:v>
      </x:c>
      <x:c r="D1694" s="9" t="str">
        <x:v>AR-HU-A-B-TECH-2-B2-RCN-G0</x:v>
      </x:c>
      <x:c r="E1694" s="9" t="str">
        <x:v>HU-A-B-TECH-2</x:v>
      </x:c>
      <x:c r="F1694" s="9" t="str">
        <x:v>HU-A-B</x:v>
      </x:c>
      <x:c r="G1694" s="9" t="str">
        <x:v>B2</x:v>
      </x:c>
      <x:c r="H1694" s="9" t="str">
        <x:v>RCN</x:v>
      </x:c>
      <x:c r="I1694" s="9" t="str">
        <x:v>PD08</x:v>
      </x:c>
      <x:c r="J1694" s="17" t="str">
        <x:v>Command and intervention log</x:v>
      </x:c>
      <x:c r="K1694" s="17" t="str">
        <x:v>Safety archive</x:v>
      </x:c>
      <x:c r="L1694" s="17" t="str">
        <x:v>COURT-SEALED UNTIL COHORT RELEASE</x:v>
      </x:c>
      <x:c r="M1694" s="9" t="n">
        <x:v>0</x:v>
      </x:c>
      <x:c r="N1694" s="9" t="n">
        <x:v>0</x:v>
      </x:c>
      <x:c r="O1694" s="9" t="n">
        <x:v>0</x:v>
      </x:c>
      <x:c r="P1694" s="9" t="str">
        <x:v>HELD / UNRELEASED</x:v>
      </x:c>
      <x:c r="Q1694" s="9" t="n">
        <x:f>COUNTIFS($A$7:$A$2310,A1694)</x:f>
        <x:v>1</x:v>
      </x:c>
    </x:row>
    <x:row r="1695">
      <x:c r="A1695" s="9" t="str">
        <x:v>PD-AR-HU-A-B-TECH-2-B2-RCN-G0-PD09</x:v>
      </x:c>
      <x:c r="B1695" s="9" t="str">
        <x:v>PD-AR-HU-A-B-TECH-2-B2-RCN-G0</x:v>
      </x:c>
      <x:c r="C1695" s="9" t="str">
        <x:v>EV-AR-HU-A-B-TECH-2-B2-RCN-G0</x:v>
      </x:c>
      <x:c r="D1695" s="9" t="str">
        <x:v>AR-HU-A-B-TECH-2-B2-RCN-G0</x:v>
      </x:c>
      <x:c r="E1695" s="9" t="str">
        <x:v>HU-A-B-TECH-2</x:v>
      </x:c>
      <x:c r="F1695" s="9" t="str">
        <x:v>HU-A-B</x:v>
      </x:c>
      <x:c r="G1695" s="9" t="str">
        <x:v>B2</x:v>
      </x:c>
      <x:c r="H1695" s="9" t="str">
        <x:v>RCN</x:v>
      </x:c>
      <x:c r="I1695" s="9" t="str">
        <x:v>PD09</x:v>
      </x:c>
      <x:c r="J1695" s="17" t="str">
        <x:v>Receiver denominator and service ledger</x:v>
      </x:c>
      <x:c r="K1695" s="17" t="str">
        <x:v>Receiver archive</x:v>
      </x:c>
      <x:c r="L1695" s="17" t="str">
        <x:v>COURT-SEALED UNTIL COHORT RELEASE</x:v>
      </x:c>
      <x:c r="M1695" s="9" t="n">
        <x:v>0</x:v>
      </x:c>
      <x:c r="N1695" s="9" t="n">
        <x:v>0</x:v>
      </x:c>
      <x:c r="O1695" s="9" t="n">
        <x:v>0</x:v>
      </x:c>
      <x:c r="P1695" s="9" t="str">
        <x:v>HELD / UNRELEASED</x:v>
      </x:c>
      <x:c r="Q1695" s="9" t="n">
        <x:f>COUNTIFS($A$7:$A$2310,A1695)</x:f>
        <x:v>1</x:v>
      </x:c>
    </x:row>
    <x:row r="1696">
      <x:c r="A1696" s="9" t="str">
        <x:v>PD-AR-HU-A-B-TECH-2-B2-RCN-G0-PD10</x:v>
      </x:c>
      <x:c r="B1696" s="9" t="str">
        <x:v>PD-AR-HU-A-B-TECH-2-B2-RCN-G0</x:v>
      </x:c>
      <x:c r="C1696" s="9" t="str">
        <x:v>EV-AR-HU-A-B-TECH-2-B2-RCN-G0</x:v>
      </x:c>
      <x:c r="D1696" s="9" t="str">
        <x:v>AR-HU-A-B-TECH-2-B2-RCN-G0</x:v>
      </x:c>
      <x:c r="E1696" s="9" t="str">
        <x:v>HU-A-B-TECH-2</x:v>
      </x:c>
      <x:c r="F1696" s="9" t="str">
        <x:v>HU-A-B</x:v>
      </x:c>
      <x:c r="G1696" s="9" t="str">
        <x:v>B2</x:v>
      </x:c>
      <x:c r="H1696" s="9" t="str">
        <x:v>RCN</x:v>
      </x:c>
      <x:c r="I1696" s="9" t="str">
        <x:v>PD10</x:v>
      </x:c>
      <x:c r="J1696" s="17" t="str">
        <x:v>Calibration and uncertainty record</x:v>
      </x:c>
      <x:c r="K1696" s="17" t="str">
        <x:v>Metrology archive</x:v>
      </x:c>
      <x:c r="L1696" s="17" t="str">
        <x:v>COURT-SEALED UNTIL COHORT RELEASE</x:v>
      </x:c>
      <x:c r="M1696" s="9" t="n">
        <x:v>0</x:v>
      </x:c>
      <x:c r="N1696" s="9" t="n">
        <x:v>0</x:v>
      </x:c>
      <x:c r="O1696" s="9" t="n">
        <x:v>0</x:v>
      </x:c>
      <x:c r="P1696" s="9" t="str">
        <x:v>HELD / UNRELEASED</x:v>
      </x:c>
      <x:c r="Q1696" s="9" t="n">
        <x:f>COUNTIFS($A$7:$A$2310,A1696)</x:f>
        <x:v>1</x:v>
      </x:c>
    </x:row>
    <x:row r="1697">
      <x:c r="A1697" s="9" t="str">
        <x:v>PD-AR-HU-A-B-TECH-2-B2-RCN-G0-PD11</x:v>
      </x:c>
      <x:c r="B1697" s="9" t="str">
        <x:v>PD-AR-HU-A-B-TECH-2-B2-RCN-G0</x:v>
      </x:c>
      <x:c r="C1697" s="9" t="str">
        <x:v>EV-AR-HU-A-B-TECH-2-B2-RCN-G0</x:v>
      </x:c>
      <x:c r="D1697" s="9" t="str">
        <x:v>AR-HU-A-B-TECH-2-B2-RCN-G0</x:v>
      </x:c>
      <x:c r="E1697" s="9" t="str">
        <x:v>HU-A-B-TECH-2</x:v>
      </x:c>
      <x:c r="F1697" s="9" t="str">
        <x:v>HU-A-B</x:v>
      </x:c>
      <x:c r="G1697" s="9" t="str">
        <x:v>B2</x:v>
      </x:c>
      <x:c r="H1697" s="9" t="str">
        <x:v>RCN</x:v>
      </x:c>
      <x:c r="I1697" s="9" t="str">
        <x:v>PD11</x:v>
      </x:c>
      <x:c r="J1697" s="17" t="str">
        <x:v>Invalidity petition and opinion</x:v>
      </x:c>
      <x:c r="K1697" s="17" t="str">
        <x:v>Invalidity court</x:v>
      </x:c>
      <x:c r="L1697" s="17" t="str">
        <x:v>COURT-SEALED UNTIL COHORT RELEASE</x:v>
      </x:c>
      <x:c r="M1697" s="9" t="n">
        <x:v>0</x:v>
      </x:c>
      <x:c r="N1697" s="9" t="n">
        <x:v>0</x:v>
      </x:c>
      <x:c r="O1697" s="9" t="n">
        <x:v>0</x:v>
      </x:c>
      <x:c r="P1697" s="9" t="str">
        <x:v>HELD / UNRELEASED</x:v>
      </x:c>
      <x:c r="Q1697" s="9" t="n">
        <x:f>COUNTIFS($A$7:$A$2310,A1697)</x:f>
        <x:v>1</x:v>
      </x:c>
    </x:row>
    <x:row r="1698">
      <x:c r="A1698" s="9" t="str">
        <x:v>PD-AR-HU-A-B-TECH-2-B2-RCN-G0-PD12</x:v>
      </x:c>
      <x:c r="B1698" s="9" t="str">
        <x:v>PD-AR-HU-A-B-TECH-2-B2-RCN-G0</x:v>
      </x:c>
      <x:c r="C1698" s="9" t="str">
        <x:v>EV-AR-HU-A-B-TECH-2-B2-RCN-G0</x:v>
      </x:c>
      <x:c r="D1698" s="9" t="str">
        <x:v>AR-HU-A-B-TECH-2-B2-RCN-G0</x:v>
      </x:c>
      <x:c r="E1698" s="9" t="str">
        <x:v>HU-A-B-TECH-2</x:v>
      </x:c>
      <x:c r="F1698" s="9" t="str">
        <x:v>HU-A-B</x:v>
      </x:c>
      <x:c r="G1698" s="9" t="str">
        <x:v>B2</x:v>
      </x:c>
      <x:c r="H1698" s="9" t="str">
        <x:v>RCN</x:v>
      </x:c>
      <x:c r="I1698" s="9" t="str">
        <x:v>PD12</x:v>
      </x:c>
      <x:c r="J1698" s="17" t="str">
        <x:v>Observation acceptance and replay</x:v>
      </x:c>
      <x:c r="K1698" s="17" t="str">
        <x:v>Observation court</x:v>
      </x:c>
      <x:c r="L1698" s="17" t="str">
        <x:v>COURT-SEALED UNTIL COHORT RELEASE</x:v>
      </x:c>
      <x:c r="M1698" s="9" t="n">
        <x:v>0</x:v>
      </x:c>
      <x:c r="N1698" s="9" t="n">
        <x:v>0</x:v>
      </x:c>
      <x:c r="O1698" s="9" t="n">
        <x:v>0</x:v>
      </x:c>
      <x:c r="P1698" s="9" t="str">
        <x:v>HELD / UNRELEASED</x:v>
      </x:c>
      <x:c r="Q1698" s="9" t="n">
        <x:f>COUNTIFS($A$7:$A$2310,A1698)</x:f>
        <x:v>1</x:v>
      </x:c>
    </x:row>
    <x:row r="1699">
      <x:c r="A1699" s="9" t="str">
        <x:v>PD-AR-HU-A-B-TECH-2-B2-RCN-G0-PD13</x:v>
      </x:c>
      <x:c r="B1699" s="9" t="str">
        <x:v>PD-AR-HU-A-B-TECH-2-B2-RCN-G0</x:v>
      </x:c>
      <x:c r="C1699" s="9" t="str">
        <x:v>EV-AR-HU-A-B-TECH-2-B2-RCN-G0</x:v>
      </x:c>
      <x:c r="D1699" s="9" t="str">
        <x:v>AR-HU-A-B-TECH-2-B2-RCN-G0</x:v>
      </x:c>
      <x:c r="E1699" s="9" t="str">
        <x:v>HU-A-B-TECH-2</x:v>
      </x:c>
      <x:c r="F1699" s="9" t="str">
        <x:v>HU-A-B</x:v>
      </x:c>
      <x:c r="G1699" s="9" t="str">
        <x:v>B2</x:v>
      </x:c>
      <x:c r="H1699" s="9" t="str">
        <x:v>RCN</x:v>
      </x:c>
      <x:c r="I1699" s="9" t="str">
        <x:v>PD13</x:v>
      </x:c>
      <x:c r="J1699" s="17" t="str">
        <x:v>Role judgment</x:v>
      </x:c>
      <x:c r="K1699" s="17" t="str">
        <x:v>Role court</x:v>
      </x:c>
      <x:c r="L1699" s="17" t="str">
        <x:v>COURT-SEALED UNTIL COHORT RELEASE</x:v>
      </x:c>
      <x:c r="M1699" s="9" t="n">
        <x:v>0</x:v>
      </x:c>
      <x:c r="N1699" s="9" t="n">
        <x:v>0</x:v>
      </x:c>
      <x:c r="O1699" s="9" t="n">
        <x:v>0</x:v>
      </x:c>
      <x:c r="P1699" s="9" t="str">
        <x:v>HELD / UNRELEASED</x:v>
      </x:c>
      <x:c r="Q1699" s="9" t="n">
        <x:f>COUNTIFS($A$7:$A$2310,A1699)</x:f>
        <x:v>1</x:v>
      </x:c>
    </x:row>
    <x:row r="1700">
      <x:c r="A1700" s="9" t="str">
        <x:v>PD-AR-HU-A-B-TECH-2-B2-RCN-G0-PD14</x:v>
      </x:c>
      <x:c r="B1700" s="9" t="str">
        <x:v>PD-AR-HU-A-B-TECH-2-B2-RCN-G0</x:v>
      </x:c>
      <x:c r="C1700" s="9" t="str">
        <x:v>EV-AR-HU-A-B-TECH-2-B2-RCN-G0</x:v>
      </x:c>
      <x:c r="D1700" s="9" t="str">
        <x:v>AR-HU-A-B-TECH-2-B2-RCN-G0</x:v>
      </x:c>
      <x:c r="E1700" s="9" t="str">
        <x:v>HU-A-B-TECH-2</x:v>
      </x:c>
      <x:c r="F1700" s="9" t="str">
        <x:v>HU-A-B</x:v>
      </x:c>
      <x:c r="G1700" s="9" t="str">
        <x:v>B2</x:v>
      </x:c>
      <x:c r="H1700" s="9" t="str">
        <x:v>RCN</x:v>
      </x:c>
      <x:c r="I1700" s="9" t="str">
        <x:v>PD14</x:v>
      </x:c>
      <x:c r="J1700" s="17" t="str">
        <x:v>Break and residual account</x:v>
      </x:c>
      <x:c r="K1700" s="17" t="str">
        <x:v>Residual authority</x:v>
      </x:c>
      <x:c r="L1700" s="17" t="str">
        <x:v>COURT-SEALED UNTIL COHORT RELEASE</x:v>
      </x:c>
      <x:c r="M1700" s="9" t="n">
        <x:v>0</x:v>
      </x:c>
      <x:c r="N1700" s="9" t="n">
        <x:v>0</x:v>
      </x:c>
      <x:c r="O1700" s="9" t="n">
        <x:v>0</x:v>
      </x:c>
      <x:c r="P1700" s="9" t="str">
        <x:v>HELD / UNRELEASED</x:v>
      </x:c>
      <x:c r="Q1700" s="9" t="n">
        <x:f>COUNTIFS($A$7:$A$2310,A1700)</x:f>
        <x:v>1</x:v>
      </x:c>
    </x:row>
    <x:row r="1701">
      <x:c r="A1701" s="9" t="str">
        <x:v>PD-AR-HU-A-B-TECH-2-B2-RCN-G0-PD15</x:v>
      </x:c>
      <x:c r="B1701" s="9" t="str">
        <x:v>PD-AR-HU-A-B-TECH-2-B2-RCN-G0</x:v>
      </x:c>
      <x:c r="C1701" s="9" t="str">
        <x:v>EV-AR-HU-A-B-TECH-2-B2-RCN-G0</x:v>
      </x:c>
      <x:c r="D1701" s="9" t="str">
        <x:v>AR-HU-A-B-TECH-2-B2-RCN-G0</x:v>
      </x:c>
      <x:c r="E1701" s="9" t="str">
        <x:v>HU-A-B-TECH-2</x:v>
      </x:c>
      <x:c r="F1701" s="9" t="str">
        <x:v>HU-A-B</x:v>
      </x:c>
      <x:c r="G1701" s="9" t="str">
        <x:v>B2</x:v>
      </x:c>
      <x:c r="H1701" s="9" t="str">
        <x:v>RCN</x:v>
      </x:c>
      <x:c r="I1701" s="9" t="str">
        <x:v>PD15</x:v>
      </x:c>
      <x:c r="J1701" s="17" t="str">
        <x:v>Reconstruction ancestry and replay</x:v>
      </x:c>
      <x:c r="K1701" s="17" t="str">
        <x:v>Reconstruction court</x:v>
      </x:c>
      <x:c r="L1701" s="17" t="str">
        <x:v>COURT-SEALED UNTIL COHORT RELEASE</x:v>
      </x:c>
      <x:c r="M1701" s="9" t="n">
        <x:v>0</x:v>
      </x:c>
      <x:c r="N1701" s="9" t="n">
        <x:v>0</x:v>
      </x:c>
      <x:c r="O1701" s="9" t="n">
        <x:v>0</x:v>
      </x:c>
      <x:c r="P1701" s="9" t="str">
        <x:v>HELD / UNRELEASED</x:v>
      </x:c>
      <x:c r="Q1701" s="9" t="n">
        <x:f>COUNTIFS($A$7:$A$2310,A1701)</x:f>
        <x:v>1</x:v>
      </x:c>
    </x:row>
    <x:row r="1702">
      <x:c r="A1702" s="9" t="str">
        <x:v>PD-AR-HU-A-B-TECH-2-B2-RCN-G0-PD16</x:v>
      </x:c>
      <x:c r="B1702" s="9" t="str">
        <x:v>PD-AR-HU-A-B-TECH-2-B2-RCN-G0</x:v>
      </x:c>
      <x:c r="C1702" s="9" t="str">
        <x:v>EV-AR-HU-A-B-TECH-2-B2-RCN-G0</x:v>
      </x:c>
      <x:c r="D1702" s="9" t="str">
        <x:v>AR-HU-A-B-TECH-2-B2-RCN-G0</x:v>
      </x:c>
      <x:c r="E1702" s="9" t="str">
        <x:v>HU-A-B-TECH-2</x:v>
      </x:c>
      <x:c r="F1702" s="9" t="str">
        <x:v>HU-A-B</x:v>
      </x:c>
      <x:c r="G1702" s="9" t="str">
        <x:v>B2</x:v>
      </x:c>
      <x:c r="H1702" s="9" t="str">
        <x:v>RCN</x:v>
      </x:c>
      <x:c r="I1702" s="9" t="str">
        <x:v>PD16</x:v>
      </x:c>
      <x:c r="J1702" s="17" t="str">
        <x:v>Dissent, amendments and access log</x:v>
      </x:c>
      <x:c r="K1702" s="17" t="str">
        <x:v>Public archive</x:v>
      </x:c>
      <x:c r="L1702" s="17" t="str">
        <x:v>COURT-SEALED UNTIL COHORT RELEASE</x:v>
      </x:c>
      <x:c r="M1702" s="9" t="n">
        <x:v>0</x:v>
      </x:c>
      <x:c r="N1702" s="9" t="n">
        <x:v>0</x:v>
      </x:c>
      <x:c r="O1702" s="9" t="n">
        <x:v>0</x:v>
      </x:c>
      <x:c r="P1702" s="9" t="str">
        <x:v>HELD / UNRELEASED</x:v>
      </x:c>
      <x:c r="Q1702" s="9" t="n">
        <x:f>COUNTIFS($A$7:$A$2310,A1702)</x:f>
        <x:v>1</x:v>
      </x:c>
    </x:row>
    <x:row r="1703">
      <x:c r="A1703" s="9" t="str">
        <x:v>PD-AR-LF-B-A-TECH-2-B1-INT-G0-PD01</x:v>
      </x:c>
      <x:c r="B1703" s="9" t="str">
        <x:v>PD-AR-LF-B-A-TECH-2-B1-INT-G0</x:v>
      </x:c>
      <x:c r="C1703" s="9" t="str">
        <x:v>EV-AR-LF-B-A-TECH-2-B1-INT-G0</x:v>
      </x:c>
      <x:c r="D1703" s="9" t="str">
        <x:v>AR-LF-B-A-TECH-2-B1-INT-G0</x:v>
      </x:c>
      <x:c r="E1703" s="9" t="str">
        <x:v>LF-B-A-TECH-2</x:v>
      </x:c>
      <x:c r="F1703" s="9" t="str">
        <x:v>LF-B-A</x:v>
      </x:c>
      <x:c r="G1703" s="9" t="str">
        <x:v>B1</x:v>
      </x:c>
      <x:c r="H1703" s="9" t="str">
        <x:v>INT</x:v>
      </x:c>
      <x:c r="I1703" s="9" t="str">
        <x:v>PD01</x:v>
      </x:c>
      <x:c r="J1703" s="17" t="str">
        <x:v>Experiment kernel</x:v>
      </x:c>
      <x:c r="K1703" s="17" t="str">
        <x:v>Public archive</x:v>
      </x:c>
      <x:c r="L1703" s="17" t="str">
        <x:v>COURT-SEALED UNTIL COHORT RELEASE</x:v>
      </x:c>
      <x:c r="M1703" s="9" t="n">
        <x:v>0</x:v>
      </x:c>
      <x:c r="N1703" s="9" t="n">
        <x:v>0</x:v>
      </x:c>
      <x:c r="O1703" s="9" t="n">
        <x:v>0</x:v>
      </x:c>
      <x:c r="P1703" s="9" t="str">
        <x:v>HELD / UNRELEASED</x:v>
      </x:c>
      <x:c r="Q1703" s="9" t="n">
        <x:f>COUNTIFS($A$7:$A$2310,A1703)</x:f>
        <x:v>1</x:v>
      </x:c>
    </x:row>
    <x:row r="1704">
      <x:c r="A1704" s="9" t="str">
        <x:v>PD-AR-LF-B-A-TECH-2-B1-INT-G0-PD02</x:v>
      </x:c>
      <x:c r="B1704" s="9" t="str">
        <x:v>PD-AR-LF-B-A-TECH-2-B1-INT-G0</x:v>
      </x:c>
      <x:c r="C1704" s="9" t="str">
        <x:v>EV-AR-LF-B-A-TECH-2-B1-INT-G0</x:v>
      </x:c>
      <x:c r="D1704" s="9" t="str">
        <x:v>AR-LF-B-A-TECH-2-B1-INT-G0</x:v>
      </x:c>
      <x:c r="E1704" s="9" t="str">
        <x:v>LF-B-A-TECH-2</x:v>
      </x:c>
      <x:c r="F1704" s="9" t="str">
        <x:v>LF-B-A</x:v>
      </x:c>
      <x:c r="G1704" s="9" t="str">
        <x:v>B1</x:v>
      </x:c>
      <x:c r="H1704" s="9" t="str">
        <x:v>INT</x:v>
      </x:c>
      <x:c r="I1704" s="9" t="str">
        <x:v>PD02</x:v>
      </x:c>
      <x:c r="J1704" s="17" t="str">
        <x:v>Serial annex and title chain</x:v>
      </x:c>
      <x:c r="K1704" s="17" t="str">
        <x:v>Public archive</x:v>
      </x:c>
      <x:c r="L1704" s="17" t="str">
        <x:v>COURT-SEALED UNTIL COHORT RELEASE</x:v>
      </x:c>
      <x:c r="M1704" s="9" t="n">
        <x:v>0</x:v>
      </x:c>
      <x:c r="N1704" s="9" t="n">
        <x:v>0</x:v>
      </x:c>
      <x:c r="O1704" s="9" t="n">
        <x:v>0</x:v>
      </x:c>
      <x:c r="P1704" s="9" t="str">
        <x:v>HELD / UNRELEASED</x:v>
      </x:c>
      <x:c r="Q1704" s="9" t="n">
        <x:f>COUNTIFS($A$7:$A$2310,A1704)</x:f>
        <x:v>1</x:v>
      </x:c>
    </x:row>
    <x:row r="1705">
      <x:c r="A1705" s="9" t="str">
        <x:v>PD-AR-LF-B-A-TECH-2-B1-INT-G0-PD03</x:v>
      </x:c>
      <x:c r="B1705" s="9" t="str">
        <x:v>PD-AR-LF-B-A-TECH-2-B1-INT-G0</x:v>
      </x:c>
      <x:c r="C1705" s="9" t="str">
        <x:v>EV-AR-LF-B-A-TECH-2-B1-INT-G0</x:v>
      </x:c>
      <x:c r="D1705" s="9" t="str">
        <x:v>AR-LF-B-A-TECH-2-B1-INT-G0</x:v>
      </x:c>
      <x:c r="E1705" s="9" t="str">
        <x:v>LF-B-A-TECH-2</x:v>
      </x:c>
      <x:c r="F1705" s="9" t="str">
        <x:v>LF-B-A</x:v>
      </x:c>
      <x:c r="G1705" s="9" t="str">
        <x:v>B1</x:v>
      </x:c>
      <x:c r="H1705" s="9" t="str">
        <x:v>INT</x:v>
      </x:c>
      <x:c r="I1705" s="9" t="str">
        <x:v>PD03</x:v>
      </x:c>
      <x:c r="J1705" s="17" t="str">
        <x:v>Configuration and as-built manifest</x:v>
      </x:c>
      <x:c r="K1705" s="17" t="str">
        <x:v>Artifact exchange</x:v>
      </x:c>
      <x:c r="L1705" s="17" t="str">
        <x:v>COURT-SEALED UNTIL COHORT RELEASE</x:v>
      </x:c>
      <x:c r="M1705" s="9" t="n">
        <x:v>0</x:v>
      </x:c>
      <x:c r="N1705" s="9" t="n">
        <x:v>0</x:v>
      </x:c>
      <x:c r="O1705" s="9" t="n">
        <x:v>0</x:v>
      </x:c>
      <x:c r="P1705" s="9" t="str">
        <x:v>HELD / UNRELEASED</x:v>
      </x:c>
      <x:c r="Q1705" s="9" t="n">
        <x:f>COUNTIFS($A$7:$A$2310,A1705)</x:f>
        <x:v>1</x:v>
      </x:c>
    </x:row>
    <x:row r="1706">
      <x:c r="A1706" s="9" t="str">
        <x:v>PD-AR-LF-B-A-TECH-2-B1-INT-G0-PD04</x:v>
      </x:c>
      <x:c r="B1706" s="9" t="str">
        <x:v>PD-AR-LF-B-A-TECH-2-B1-INT-G0</x:v>
      </x:c>
      <x:c r="C1706" s="9" t="str">
        <x:v>EV-AR-LF-B-A-TECH-2-B1-INT-G0</x:v>
      </x:c>
      <x:c r="D1706" s="9" t="str">
        <x:v>AR-LF-B-A-TECH-2-B1-INT-G0</x:v>
      </x:c>
      <x:c r="E1706" s="9" t="str">
        <x:v>LF-B-A-TECH-2</x:v>
      </x:c>
      <x:c r="F1706" s="9" t="str">
        <x:v>LF-B-A</x:v>
      </x:c>
      <x:c r="G1706" s="9" t="str">
        <x:v>B1</x:v>
      </x:c>
      <x:c r="H1706" s="9" t="str">
        <x:v>INT</x:v>
      </x:c>
      <x:c r="I1706" s="9" t="str">
        <x:v>PD04</x:v>
      </x:c>
      <x:c r="J1706" s="17" t="str">
        <x:v>EOW and start certificate</x:v>
      </x:c>
      <x:c r="K1706" s="17" t="str">
        <x:v>Start registrar</x:v>
      </x:c>
      <x:c r="L1706" s="17" t="str">
        <x:v>COURT-SEALED UNTIL COHORT RELEASE</x:v>
      </x:c>
      <x:c r="M1706" s="9" t="n">
        <x:v>0</x:v>
      </x:c>
      <x:c r="N1706" s="9" t="n">
        <x:v>0</x:v>
      </x:c>
      <x:c r="O1706" s="9" t="n">
        <x:v>0</x:v>
      </x:c>
      <x:c r="P1706" s="9" t="str">
        <x:v>HELD / UNRELEASED</x:v>
      </x:c>
      <x:c r="Q1706" s="9" t="n">
        <x:f>COUNTIFS($A$7:$A$2310,A1706)</x:f>
        <x:v>1</x:v>
      </x:c>
    </x:row>
    <x:row r="1707">
      <x:c r="A1707" s="9" t="str">
        <x:v>PD-AR-LF-B-A-TECH-2-B1-INT-G0-PD05</x:v>
      </x:c>
      <x:c r="B1707" s="9" t="str">
        <x:v>PD-AR-LF-B-A-TECH-2-B1-INT-G0</x:v>
      </x:c>
      <x:c r="C1707" s="9" t="str">
        <x:v>EV-AR-LF-B-A-TECH-2-B1-INT-G0</x:v>
      </x:c>
      <x:c r="D1707" s="9" t="str">
        <x:v>AR-LF-B-A-TECH-2-B1-INT-G0</x:v>
      </x:c>
      <x:c r="E1707" s="9" t="str">
        <x:v>LF-B-A-TECH-2</x:v>
      </x:c>
      <x:c r="F1707" s="9" t="str">
        <x:v>LF-B-A</x:v>
      </x:c>
      <x:c r="G1707" s="9" t="str">
        <x:v>B1</x:v>
      </x:c>
      <x:c r="H1707" s="9" t="str">
        <x:v>INT</x:v>
      </x:c>
      <x:c r="I1707" s="9" t="str">
        <x:v>PD05</x:v>
      </x:c>
      <x:c r="J1707" s="17" t="str">
        <x:v>Primary raw originals</x:v>
      </x:c>
      <x:c r="K1707" s="17" t="str">
        <x:v>Primary custody</x:v>
      </x:c>
      <x:c r="L1707" s="17" t="str">
        <x:v>COURT-SEALED UNTIL COHORT RELEASE</x:v>
      </x:c>
      <x:c r="M1707" s="9" t="n">
        <x:v>0</x:v>
      </x:c>
      <x:c r="N1707" s="9" t="n">
        <x:v>0</x:v>
      </x:c>
      <x:c r="O1707" s="9" t="n">
        <x:v>0</x:v>
      </x:c>
      <x:c r="P1707" s="9" t="str">
        <x:v>HELD / UNRELEASED</x:v>
      </x:c>
      <x:c r="Q1707" s="9" t="n">
        <x:f>COUNTIFS($A$7:$A$2310,A1707)</x:f>
        <x:v>1</x:v>
      </x:c>
    </x:row>
    <x:row r="1708">
      <x:c r="A1708" s="9" t="str">
        <x:v>PD-AR-LF-B-A-TECH-2-B1-INT-G0-PD06</x:v>
      </x:c>
      <x:c r="B1708" s="9" t="str">
        <x:v>PD-AR-LF-B-A-TECH-2-B1-INT-G0</x:v>
      </x:c>
      <x:c r="C1708" s="9" t="str">
        <x:v>EV-AR-LF-B-A-TECH-2-B1-INT-G0</x:v>
      </x:c>
      <x:c r="D1708" s="9" t="str">
        <x:v>AR-LF-B-A-TECH-2-B1-INT-G0</x:v>
      </x:c>
      <x:c r="E1708" s="9" t="str">
        <x:v>LF-B-A-TECH-2</x:v>
      </x:c>
      <x:c r="F1708" s="9" t="str">
        <x:v>LF-B-A</x:v>
      </x:c>
      <x:c r="G1708" s="9" t="str">
        <x:v>B1</x:v>
      </x:c>
      <x:c r="H1708" s="9" t="str">
        <x:v>INT</x:v>
      </x:c>
      <x:c r="I1708" s="9" t="str">
        <x:v>PD06</x:v>
      </x:c>
      <x:c r="J1708" s="17" t="str">
        <x:v>Witness raw originals</x:v>
      </x:c>
      <x:c r="K1708" s="17" t="str">
        <x:v>Witness custody</x:v>
      </x:c>
      <x:c r="L1708" s="17" t="str">
        <x:v>COURT-SEALED UNTIL COHORT RELEASE</x:v>
      </x:c>
      <x:c r="M1708" s="9" t="n">
        <x:v>0</x:v>
      </x:c>
      <x:c r="N1708" s="9" t="n">
        <x:v>0</x:v>
      </x:c>
      <x:c r="O1708" s="9" t="n">
        <x:v>0</x:v>
      </x:c>
      <x:c r="P1708" s="9" t="str">
        <x:v>HELD / UNRELEASED</x:v>
      </x:c>
      <x:c r="Q1708" s="9" t="n">
        <x:f>COUNTIFS($A$7:$A$2310,A1708)</x:f>
        <x:v>1</x:v>
      </x:c>
    </x:row>
    <x:row r="1709">
      <x:c r="A1709" s="9" t="str">
        <x:v>PD-AR-LF-B-A-TECH-2-B1-INT-G0-PD07</x:v>
      </x:c>
      <x:c r="B1709" s="9" t="str">
        <x:v>PD-AR-LF-B-A-TECH-2-B1-INT-G0</x:v>
      </x:c>
      <x:c r="C1709" s="9" t="str">
        <x:v>EV-AR-LF-B-A-TECH-2-B1-INT-G0</x:v>
      </x:c>
      <x:c r="D1709" s="9" t="str">
        <x:v>AR-LF-B-A-TECH-2-B1-INT-G0</x:v>
      </x:c>
      <x:c r="E1709" s="9" t="str">
        <x:v>LF-B-A-TECH-2</x:v>
      </x:c>
      <x:c r="F1709" s="9" t="str">
        <x:v>LF-B-A</x:v>
      </x:c>
      <x:c r="G1709" s="9" t="str">
        <x:v>B1</x:v>
      </x:c>
      <x:c r="H1709" s="9" t="str">
        <x:v>INT</x:v>
      </x:c>
      <x:c r="I1709" s="9" t="str">
        <x:v>PD07</x:v>
      </x:c>
      <x:c r="J1709" s="17" t="str">
        <x:v>Clock and environmental records</x:v>
      </x:c>
      <x:c r="K1709" s="17" t="str">
        <x:v>Boundary archive</x:v>
      </x:c>
      <x:c r="L1709" s="17" t="str">
        <x:v>COURT-SEALED UNTIL COHORT RELEASE</x:v>
      </x:c>
      <x:c r="M1709" s="9" t="n">
        <x:v>0</x:v>
      </x:c>
      <x:c r="N1709" s="9" t="n">
        <x:v>0</x:v>
      </x:c>
      <x:c r="O1709" s="9" t="n">
        <x:v>0</x:v>
      </x:c>
      <x:c r="P1709" s="9" t="str">
        <x:v>HELD / UNRELEASED</x:v>
      </x:c>
      <x:c r="Q1709" s="9" t="n">
        <x:f>COUNTIFS($A$7:$A$2310,A1709)</x:f>
        <x:v>1</x:v>
      </x:c>
    </x:row>
    <x:row r="1710">
      <x:c r="A1710" s="9" t="str">
        <x:v>PD-AR-LF-B-A-TECH-2-B1-INT-G0-PD08</x:v>
      </x:c>
      <x:c r="B1710" s="9" t="str">
        <x:v>PD-AR-LF-B-A-TECH-2-B1-INT-G0</x:v>
      </x:c>
      <x:c r="C1710" s="9" t="str">
        <x:v>EV-AR-LF-B-A-TECH-2-B1-INT-G0</x:v>
      </x:c>
      <x:c r="D1710" s="9" t="str">
        <x:v>AR-LF-B-A-TECH-2-B1-INT-G0</x:v>
      </x:c>
      <x:c r="E1710" s="9" t="str">
        <x:v>LF-B-A-TECH-2</x:v>
      </x:c>
      <x:c r="F1710" s="9" t="str">
        <x:v>LF-B-A</x:v>
      </x:c>
      <x:c r="G1710" s="9" t="str">
        <x:v>B1</x:v>
      </x:c>
      <x:c r="H1710" s="9" t="str">
        <x:v>INT</x:v>
      </x:c>
      <x:c r="I1710" s="9" t="str">
        <x:v>PD08</x:v>
      </x:c>
      <x:c r="J1710" s="17" t="str">
        <x:v>Command and intervention log</x:v>
      </x:c>
      <x:c r="K1710" s="17" t="str">
        <x:v>Safety archive</x:v>
      </x:c>
      <x:c r="L1710" s="17" t="str">
        <x:v>COURT-SEALED UNTIL COHORT RELEASE</x:v>
      </x:c>
      <x:c r="M1710" s="9" t="n">
        <x:v>0</x:v>
      </x:c>
      <x:c r="N1710" s="9" t="n">
        <x:v>0</x:v>
      </x:c>
      <x:c r="O1710" s="9" t="n">
        <x:v>0</x:v>
      </x:c>
      <x:c r="P1710" s="9" t="str">
        <x:v>HELD / UNRELEASED</x:v>
      </x:c>
      <x:c r="Q1710" s="9" t="n">
        <x:f>COUNTIFS($A$7:$A$2310,A1710)</x:f>
        <x:v>1</x:v>
      </x:c>
    </x:row>
    <x:row r="1711">
      <x:c r="A1711" s="9" t="str">
        <x:v>PD-AR-LF-B-A-TECH-2-B1-INT-G0-PD09</x:v>
      </x:c>
      <x:c r="B1711" s="9" t="str">
        <x:v>PD-AR-LF-B-A-TECH-2-B1-INT-G0</x:v>
      </x:c>
      <x:c r="C1711" s="9" t="str">
        <x:v>EV-AR-LF-B-A-TECH-2-B1-INT-G0</x:v>
      </x:c>
      <x:c r="D1711" s="9" t="str">
        <x:v>AR-LF-B-A-TECH-2-B1-INT-G0</x:v>
      </x:c>
      <x:c r="E1711" s="9" t="str">
        <x:v>LF-B-A-TECH-2</x:v>
      </x:c>
      <x:c r="F1711" s="9" t="str">
        <x:v>LF-B-A</x:v>
      </x:c>
      <x:c r="G1711" s="9" t="str">
        <x:v>B1</x:v>
      </x:c>
      <x:c r="H1711" s="9" t="str">
        <x:v>INT</x:v>
      </x:c>
      <x:c r="I1711" s="9" t="str">
        <x:v>PD09</x:v>
      </x:c>
      <x:c r="J1711" s="17" t="str">
        <x:v>Receiver denominator and service ledger</x:v>
      </x:c>
      <x:c r="K1711" s="17" t="str">
        <x:v>Receiver archive</x:v>
      </x:c>
      <x:c r="L1711" s="17" t="str">
        <x:v>COURT-SEALED UNTIL COHORT RELEASE</x:v>
      </x:c>
      <x:c r="M1711" s="9" t="n">
        <x:v>0</x:v>
      </x:c>
      <x:c r="N1711" s="9" t="n">
        <x:v>0</x:v>
      </x:c>
      <x:c r="O1711" s="9" t="n">
        <x:v>0</x:v>
      </x:c>
      <x:c r="P1711" s="9" t="str">
        <x:v>HELD / UNRELEASED</x:v>
      </x:c>
      <x:c r="Q1711" s="9" t="n">
        <x:f>COUNTIFS($A$7:$A$2310,A1711)</x:f>
        <x:v>1</x:v>
      </x:c>
    </x:row>
    <x:row r="1712">
      <x:c r="A1712" s="9" t="str">
        <x:v>PD-AR-LF-B-A-TECH-2-B1-INT-G0-PD10</x:v>
      </x:c>
      <x:c r="B1712" s="9" t="str">
        <x:v>PD-AR-LF-B-A-TECH-2-B1-INT-G0</x:v>
      </x:c>
      <x:c r="C1712" s="9" t="str">
        <x:v>EV-AR-LF-B-A-TECH-2-B1-INT-G0</x:v>
      </x:c>
      <x:c r="D1712" s="9" t="str">
        <x:v>AR-LF-B-A-TECH-2-B1-INT-G0</x:v>
      </x:c>
      <x:c r="E1712" s="9" t="str">
        <x:v>LF-B-A-TECH-2</x:v>
      </x:c>
      <x:c r="F1712" s="9" t="str">
        <x:v>LF-B-A</x:v>
      </x:c>
      <x:c r="G1712" s="9" t="str">
        <x:v>B1</x:v>
      </x:c>
      <x:c r="H1712" s="9" t="str">
        <x:v>INT</x:v>
      </x:c>
      <x:c r="I1712" s="9" t="str">
        <x:v>PD10</x:v>
      </x:c>
      <x:c r="J1712" s="17" t="str">
        <x:v>Calibration and uncertainty record</x:v>
      </x:c>
      <x:c r="K1712" s="17" t="str">
        <x:v>Metrology archive</x:v>
      </x:c>
      <x:c r="L1712" s="17" t="str">
        <x:v>COURT-SEALED UNTIL COHORT RELEASE</x:v>
      </x:c>
      <x:c r="M1712" s="9" t="n">
        <x:v>0</x:v>
      </x:c>
      <x:c r="N1712" s="9" t="n">
        <x:v>0</x:v>
      </x:c>
      <x:c r="O1712" s="9" t="n">
        <x:v>0</x:v>
      </x:c>
      <x:c r="P1712" s="9" t="str">
        <x:v>HELD / UNRELEASED</x:v>
      </x:c>
      <x:c r="Q1712" s="9" t="n">
        <x:f>COUNTIFS($A$7:$A$2310,A1712)</x:f>
        <x:v>1</x:v>
      </x:c>
    </x:row>
    <x:row r="1713">
      <x:c r="A1713" s="9" t="str">
        <x:v>PD-AR-LF-B-A-TECH-2-B1-INT-G0-PD11</x:v>
      </x:c>
      <x:c r="B1713" s="9" t="str">
        <x:v>PD-AR-LF-B-A-TECH-2-B1-INT-G0</x:v>
      </x:c>
      <x:c r="C1713" s="9" t="str">
        <x:v>EV-AR-LF-B-A-TECH-2-B1-INT-G0</x:v>
      </x:c>
      <x:c r="D1713" s="9" t="str">
        <x:v>AR-LF-B-A-TECH-2-B1-INT-G0</x:v>
      </x:c>
      <x:c r="E1713" s="9" t="str">
        <x:v>LF-B-A-TECH-2</x:v>
      </x:c>
      <x:c r="F1713" s="9" t="str">
        <x:v>LF-B-A</x:v>
      </x:c>
      <x:c r="G1713" s="9" t="str">
        <x:v>B1</x:v>
      </x:c>
      <x:c r="H1713" s="9" t="str">
        <x:v>INT</x:v>
      </x:c>
      <x:c r="I1713" s="9" t="str">
        <x:v>PD11</x:v>
      </x:c>
      <x:c r="J1713" s="17" t="str">
        <x:v>Invalidity petition and opinion</x:v>
      </x:c>
      <x:c r="K1713" s="17" t="str">
        <x:v>Invalidity court</x:v>
      </x:c>
      <x:c r="L1713" s="17" t="str">
        <x:v>COURT-SEALED UNTIL COHORT RELEASE</x:v>
      </x:c>
      <x:c r="M1713" s="9" t="n">
        <x:v>0</x:v>
      </x:c>
      <x:c r="N1713" s="9" t="n">
        <x:v>0</x:v>
      </x:c>
      <x:c r="O1713" s="9" t="n">
        <x:v>0</x:v>
      </x:c>
      <x:c r="P1713" s="9" t="str">
        <x:v>HELD / UNRELEASED</x:v>
      </x:c>
      <x:c r="Q1713" s="9" t="n">
        <x:f>COUNTIFS($A$7:$A$2310,A1713)</x:f>
        <x:v>1</x:v>
      </x:c>
    </x:row>
    <x:row r="1714">
      <x:c r="A1714" s="9" t="str">
        <x:v>PD-AR-LF-B-A-TECH-2-B1-INT-G0-PD12</x:v>
      </x:c>
      <x:c r="B1714" s="9" t="str">
        <x:v>PD-AR-LF-B-A-TECH-2-B1-INT-G0</x:v>
      </x:c>
      <x:c r="C1714" s="9" t="str">
        <x:v>EV-AR-LF-B-A-TECH-2-B1-INT-G0</x:v>
      </x:c>
      <x:c r="D1714" s="9" t="str">
        <x:v>AR-LF-B-A-TECH-2-B1-INT-G0</x:v>
      </x:c>
      <x:c r="E1714" s="9" t="str">
        <x:v>LF-B-A-TECH-2</x:v>
      </x:c>
      <x:c r="F1714" s="9" t="str">
        <x:v>LF-B-A</x:v>
      </x:c>
      <x:c r="G1714" s="9" t="str">
        <x:v>B1</x:v>
      </x:c>
      <x:c r="H1714" s="9" t="str">
        <x:v>INT</x:v>
      </x:c>
      <x:c r="I1714" s="9" t="str">
        <x:v>PD12</x:v>
      </x:c>
      <x:c r="J1714" s="17" t="str">
        <x:v>Observation acceptance and replay</x:v>
      </x:c>
      <x:c r="K1714" s="17" t="str">
        <x:v>Observation court</x:v>
      </x:c>
      <x:c r="L1714" s="17" t="str">
        <x:v>COURT-SEALED UNTIL COHORT RELEASE</x:v>
      </x:c>
      <x:c r="M1714" s="9" t="n">
        <x:v>0</x:v>
      </x:c>
      <x:c r="N1714" s="9" t="n">
        <x:v>0</x:v>
      </x:c>
      <x:c r="O1714" s="9" t="n">
        <x:v>0</x:v>
      </x:c>
      <x:c r="P1714" s="9" t="str">
        <x:v>HELD / UNRELEASED</x:v>
      </x:c>
      <x:c r="Q1714" s="9" t="n">
        <x:f>COUNTIFS($A$7:$A$2310,A1714)</x:f>
        <x:v>1</x:v>
      </x:c>
    </x:row>
    <x:row r="1715">
      <x:c r="A1715" s="9" t="str">
        <x:v>PD-AR-LF-B-A-TECH-2-B1-INT-G0-PD13</x:v>
      </x:c>
      <x:c r="B1715" s="9" t="str">
        <x:v>PD-AR-LF-B-A-TECH-2-B1-INT-G0</x:v>
      </x:c>
      <x:c r="C1715" s="9" t="str">
        <x:v>EV-AR-LF-B-A-TECH-2-B1-INT-G0</x:v>
      </x:c>
      <x:c r="D1715" s="9" t="str">
        <x:v>AR-LF-B-A-TECH-2-B1-INT-G0</x:v>
      </x:c>
      <x:c r="E1715" s="9" t="str">
        <x:v>LF-B-A-TECH-2</x:v>
      </x:c>
      <x:c r="F1715" s="9" t="str">
        <x:v>LF-B-A</x:v>
      </x:c>
      <x:c r="G1715" s="9" t="str">
        <x:v>B1</x:v>
      </x:c>
      <x:c r="H1715" s="9" t="str">
        <x:v>INT</x:v>
      </x:c>
      <x:c r="I1715" s="9" t="str">
        <x:v>PD13</x:v>
      </x:c>
      <x:c r="J1715" s="17" t="str">
        <x:v>Role judgment</x:v>
      </x:c>
      <x:c r="K1715" s="17" t="str">
        <x:v>Role court</x:v>
      </x:c>
      <x:c r="L1715" s="17" t="str">
        <x:v>COURT-SEALED UNTIL COHORT RELEASE</x:v>
      </x:c>
      <x:c r="M1715" s="9" t="n">
        <x:v>0</x:v>
      </x:c>
      <x:c r="N1715" s="9" t="n">
        <x:v>0</x:v>
      </x:c>
      <x:c r="O1715" s="9" t="n">
        <x:v>0</x:v>
      </x:c>
      <x:c r="P1715" s="9" t="str">
        <x:v>HELD / UNRELEASED</x:v>
      </x:c>
      <x:c r="Q1715" s="9" t="n">
        <x:f>COUNTIFS($A$7:$A$2310,A1715)</x:f>
        <x:v>1</x:v>
      </x:c>
    </x:row>
    <x:row r="1716">
      <x:c r="A1716" s="9" t="str">
        <x:v>PD-AR-LF-B-A-TECH-2-B1-INT-G0-PD14</x:v>
      </x:c>
      <x:c r="B1716" s="9" t="str">
        <x:v>PD-AR-LF-B-A-TECH-2-B1-INT-G0</x:v>
      </x:c>
      <x:c r="C1716" s="9" t="str">
        <x:v>EV-AR-LF-B-A-TECH-2-B1-INT-G0</x:v>
      </x:c>
      <x:c r="D1716" s="9" t="str">
        <x:v>AR-LF-B-A-TECH-2-B1-INT-G0</x:v>
      </x:c>
      <x:c r="E1716" s="9" t="str">
        <x:v>LF-B-A-TECH-2</x:v>
      </x:c>
      <x:c r="F1716" s="9" t="str">
        <x:v>LF-B-A</x:v>
      </x:c>
      <x:c r="G1716" s="9" t="str">
        <x:v>B1</x:v>
      </x:c>
      <x:c r="H1716" s="9" t="str">
        <x:v>INT</x:v>
      </x:c>
      <x:c r="I1716" s="9" t="str">
        <x:v>PD14</x:v>
      </x:c>
      <x:c r="J1716" s="17" t="str">
        <x:v>Break and residual account</x:v>
      </x:c>
      <x:c r="K1716" s="17" t="str">
        <x:v>Residual authority</x:v>
      </x:c>
      <x:c r="L1716" s="17" t="str">
        <x:v>COURT-SEALED UNTIL COHORT RELEASE</x:v>
      </x:c>
      <x:c r="M1716" s="9" t="n">
        <x:v>0</x:v>
      </x:c>
      <x:c r="N1716" s="9" t="n">
        <x:v>0</x:v>
      </x:c>
      <x:c r="O1716" s="9" t="n">
        <x:v>0</x:v>
      </x:c>
      <x:c r="P1716" s="9" t="str">
        <x:v>HELD / UNRELEASED</x:v>
      </x:c>
      <x:c r="Q1716" s="9" t="n">
        <x:f>COUNTIFS($A$7:$A$2310,A1716)</x:f>
        <x:v>1</x:v>
      </x:c>
    </x:row>
    <x:row r="1717">
      <x:c r="A1717" s="9" t="str">
        <x:v>PD-AR-LF-B-A-TECH-2-B1-INT-G0-PD15</x:v>
      </x:c>
      <x:c r="B1717" s="9" t="str">
        <x:v>PD-AR-LF-B-A-TECH-2-B1-INT-G0</x:v>
      </x:c>
      <x:c r="C1717" s="9" t="str">
        <x:v>EV-AR-LF-B-A-TECH-2-B1-INT-G0</x:v>
      </x:c>
      <x:c r="D1717" s="9" t="str">
        <x:v>AR-LF-B-A-TECH-2-B1-INT-G0</x:v>
      </x:c>
      <x:c r="E1717" s="9" t="str">
        <x:v>LF-B-A-TECH-2</x:v>
      </x:c>
      <x:c r="F1717" s="9" t="str">
        <x:v>LF-B-A</x:v>
      </x:c>
      <x:c r="G1717" s="9" t="str">
        <x:v>B1</x:v>
      </x:c>
      <x:c r="H1717" s="9" t="str">
        <x:v>INT</x:v>
      </x:c>
      <x:c r="I1717" s="9" t="str">
        <x:v>PD15</x:v>
      </x:c>
      <x:c r="J1717" s="17" t="str">
        <x:v>Reconstruction ancestry and replay</x:v>
      </x:c>
      <x:c r="K1717" s="17" t="str">
        <x:v>Reconstruction court</x:v>
      </x:c>
      <x:c r="L1717" s="17" t="str">
        <x:v>COURT-SEALED UNTIL COHORT RELEASE</x:v>
      </x:c>
      <x:c r="M1717" s="9" t="n">
        <x:v>0</x:v>
      </x:c>
      <x:c r="N1717" s="9" t="n">
        <x:v>0</x:v>
      </x:c>
      <x:c r="O1717" s="9" t="n">
        <x:v>0</x:v>
      </x:c>
      <x:c r="P1717" s="9" t="str">
        <x:v>HELD / UNRELEASED</x:v>
      </x:c>
      <x:c r="Q1717" s="9" t="n">
        <x:f>COUNTIFS($A$7:$A$2310,A1717)</x:f>
        <x:v>1</x:v>
      </x:c>
    </x:row>
    <x:row r="1718">
      <x:c r="A1718" s="9" t="str">
        <x:v>PD-AR-LF-B-A-TECH-2-B1-INT-G0-PD16</x:v>
      </x:c>
      <x:c r="B1718" s="9" t="str">
        <x:v>PD-AR-LF-B-A-TECH-2-B1-INT-G0</x:v>
      </x:c>
      <x:c r="C1718" s="9" t="str">
        <x:v>EV-AR-LF-B-A-TECH-2-B1-INT-G0</x:v>
      </x:c>
      <x:c r="D1718" s="9" t="str">
        <x:v>AR-LF-B-A-TECH-2-B1-INT-G0</x:v>
      </x:c>
      <x:c r="E1718" s="9" t="str">
        <x:v>LF-B-A-TECH-2</x:v>
      </x:c>
      <x:c r="F1718" s="9" t="str">
        <x:v>LF-B-A</x:v>
      </x:c>
      <x:c r="G1718" s="9" t="str">
        <x:v>B1</x:v>
      </x:c>
      <x:c r="H1718" s="9" t="str">
        <x:v>INT</x:v>
      </x:c>
      <x:c r="I1718" s="9" t="str">
        <x:v>PD16</x:v>
      </x:c>
      <x:c r="J1718" s="17" t="str">
        <x:v>Dissent, amendments and access log</x:v>
      </x:c>
      <x:c r="K1718" s="17" t="str">
        <x:v>Public archive</x:v>
      </x:c>
      <x:c r="L1718" s="17" t="str">
        <x:v>COURT-SEALED UNTIL COHORT RELEASE</x:v>
      </x:c>
      <x:c r="M1718" s="9" t="n">
        <x:v>0</x:v>
      </x:c>
      <x:c r="N1718" s="9" t="n">
        <x:v>0</x:v>
      </x:c>
      <x:c r="O1718" s="9" t="n">
        <x:v>0</x:v>
      </x:c>
      <x:c r="P1718" s="9" t="str">
        <x:v>HELD / UNRELEASED</x:v>
      </x:c>
      <x:c r="Q1718" s="9" t="n">
        <x:f>COUNTIFS($A$7:$A$2310,A1718)</x:f>
        <x:v>1</x:v>
      </x:c>
    </x:row>
    <x:row r="1719">
      <x:c r="A1719" s="9" t="str">
        <x:v>PD-AR-RT-B-C-TECH-2-B1-RCN-G0-PD01</x:v>
      </x:c>
      <x:c r="B1719" s="9" t="str">
        <x:v>PD-AR-RT-B-C-TECH-2-B1-RCN-G0</x:v>
      </x:c>
      <x:c r="C1719" s="9" t="str">
        <x:v>EV-AR-RT-B-C-TECH-2-B1-RCN-G0</x:v>
      </x:c>
      <x:c r="D1719" s="9" t="str">
        <x:v>AR-RT-B-C-TECH-2-B1-RCN-G0</x:v>
      </x:c>
      <x:c r="E1719" s="9" t="str">
        <x:v>RT-B-C-TECH-2</x:v>
      </x:c>
      <x:c r="F1719" s="9" t="str">
        <x:v>RT-B-C</x:v>
      </x:c>
      <x:c r="G1719" s="9" t="str">
        <x:v>B1</x:v>
      </x:c>
      <x:c r="H1719" s="9" t="str">
        <x:v>RCN</x:v>
      </x:c>
      <x:c r="I1719" s="9" t="str">
        <x:v>PD01</x:v>
      </x:c>
      <x:c r="J1719" s="17" t="str">
        <x:v>Experiment kernel</x:v>
      </x:c>
      <x:c r="K1719" s="17" t="str">
        <x:v>Public archive</x:v>
      </x:c>
      <x:c r="L1719" s="17" t="str">
        <x:v>COURT-SEALED UNTIL COHORT RELEASE</x:v>
      </x:c>
      <x:c r="M1719" s="9" t="n">
        <x:v>0</x:v>
      </x:c>
      <x:c r="N1719" s="9" t="n">
        <x:v>0</x:v>
      </x:c>
      <x:c r="O1719" s="9" t="n">
        <x:v>0</x:v>
      </x:c>
      <x:c r="P1719" s="9" t="str">
        <x:v>HELD / UNRELEASED</x:v>
      </x:c>
      <x:c r="Q1719" s="9" t="n">
        <x:f>COUNTIFS($A$7:$A$2310,A1719)</x:f>
        <x:v>1</x:v>
      </x:c>
    </x:row>
    <x:row r="1720">
      <x:c r="A1720" s="9" t="str">
        <x:v>PD-AR-RT-B-C-TECH-2-B1-RCN-G0-PD02</x:v>
      </x:c>
      <x:c r="B1720" s="9" t="str">
        <x:v>PD-AR-RT-B-C-TECH-2-B1-RCN-G0</x:v>
      </x:c>
      <x:c r="C1720" s="9" t="str">
        <x:v>EV-AR-RT-B-C-TECH-2-B1-RCN-G0</x:v>
      </x:c>
      <x:c r="D1720" s="9" t="str">
        <x:v>AR-RT-B-C-TECH-2-B1-RCN-G0</x:v>
      </x:c>
      <x:c r="E1720" s="9" t="str">
        <x:v>RT-B-C-TECH-2</x:v>
      </x:c>
      <x:c r="F1720" s="9" t="str">
        <x:v>RT-B-C</x:v>
      </x:c>
      <x:c r="G1720" s="9" t="str">
        <x:v>B1</x:v>
      </x:c>
      <x:c r="H1720" s="9" t="str">
        <x:v>RCN</x:v>
      </x:c>
      <x:c r="I1720" s="9" t="str">
        <x:v>PD02</x:v>
      </x:c>
      <x:c r="J1720" s="17" t="str">
        <x:v>Serial annex and title chain</x:v>
      </x:c>
      <x:c r="K1720" s="17" t="str">
        <x:v>Public archive</x:v>
      </x:c>
      <x:c r="L1720" s="17" t="str">
        <x:v>COURT-SEALED UNTIL COHORT RELEASE</x:v>
      </x:c>
      <x:c r="M1720" s="9" t="n">
        <x:v>0</x:v>
      </x:c>
      <x:c r="N1720" s="9" t="n">
        <x:v>0</x:v>
      </x:c>
      <x:c r="O1720" s="9" t="n">
        <x:v>0</x:v>
      </x:c>
      <x:c r="P1720" s="9" t="str">
        <x:v>HELD / UNRELEASED</x:v>
      </x:c>
      <x:c r="Q1720" s="9" t="n">
        <x:f>COUNTIFS($A$7:$A$2310,A1720)</x:f>
        <x:v>1</x:v>
      </x:c>
    </x:row>
    <x:row r="1721">
      <x:c r="A1721" s="9" t="str">
        <x:v>PD-AR-RT-B-C-TECH-2-B1-RCN-G0-PD03</x:v>
      </x:c>
      <x:c r="B1721" s="9" t="str">
        <x:v>PD-AR-RT-B-C-TECH-2-B1-RCN-G0</x:v>
      </x:c>
      <x:c r="C1721" s="9" t="str">
        <x:v>EV-AR-RT-B-C-TECH-2-B1-RCN-G0</x:v>
      </x:c>
      <x:c r="D1721" s="9" t="str">
        <x:v>AR-RT-B-C-TECH-2-B1-RCN-G0</x:v>
      </x:c>
      <x:c r="E1721" s="9" t="str">
        <x:v>RT-B-C-TECH-2</x:v>
      </x:c>
      <x:c r="F1721" s="9" t="str">
        <x:v>RT-B-C</x:v>
      </x:c>
      <x:c r="G1721" s="9" t="str">
        <x:v>B1</x:v>
      </x:c>
      <x:c r="H1721" s="9" t="str">
        <x:v>RCN</x:v>
      </x:c>
      <x:c r="I1721" s="9" t="str">
        <x:v>PD03</x:v>
      </x:c>
      <x:c r="J1721" s="17" t="str">
        <x:v>Configuration and as-built manifest</x:v>
      </x:c>
      <x:c r="K1721" s="17" t="str">
        <x:v>Artifact exchange</x:v>
      </x:c>
      <x:c r="L1721" s="17" t="str">
        <x:v>COURT-SEALED UNTIL COHORT RELEASE</x:v>
      </x:c>
      <x:c r="M1721" s="9" t="n">
        <x:v>0</x:v>
      </x:c>
      <x:c r="N1721" s="9" t="n">
        <x:v>0</x:v>
      </x:c>
      <x:c r="O1721" s="9" t="n">
        <x:v>0</x:v>
      </x:c>
      <x:c r="P1721" s="9" t="str">
        <x:v>HELD / UNRELEASED</x:v>
      </x:c>
      <x:c r="Q1721" s="9" t="n">
        <x:f>COUNTIFS($A$7:$A$2310,A1721)</x:f>
        <x:v>1</x:v>
      </x:c>
    </x:row>
    <x:row r="1722">
      <x:c r="A1722" s="9" t="str">
        <x:v>PD-AR-RT-B-C-TECH-2-B1-RCN-G0-PD04</x:v>
      </x:c>
      <x:c r="B1722" s="9" t="str">
        <x:v>PD-AR-RT-B-C-TECH-2-B1-RCN-G0</x:v>
      </x:c>
      <x:c r="C1722" s="9" t="str">
        <x:v>EV-AR-RT-B-C-TECH-2-B1-RCN-G0</x:v>
      </x:c>
      <x:c r="D1722" s="9" t="str">
        <x:v>AR-RT-B-C-TECH-2-B1-RCN-G0</x:v>
      </x:c>
      <x:c r="E1722" s="9" t="str">
        <x:v>RT-B-C-TECH-2</x:v>
      </x:c>
      <x:c r="F1722" s="9" t="str">
        <x:v>RT-B-C</x:v>
      </x:c>
      <x:c r="G1722" s="9" t="str">
        <x:v>B1</x:v>
      </x:c>
      <x:c r="H1722" s="9" t="str">
        <x:v>RCN</x:v>
      </x:c>
      <x:c r="I1722" s="9" t="str">
        <x:v>PD04</x:v>
      </x:c>
      <x:c r="J1722" s="17" t="str">
        <x:v>EOW and start certificate</x:v>
      </x:c>
      <x:c r="K1722" s="17" t="str">
        <x:v>Start registrar</x:v>
      </x:c>
      <x:c r="L1722" s="17" t="str">
        <x:v>COURT-SEALED UNTIL COHORT RELEASE</x:v>
      </x:c>
      <x:c r="M1722" s="9" t="n">
        <x:v>0</x:v>
      </x:c>
      <x:c r="N1722" s="9" t="n">
        <x:v>0</x:v>
      </x:c>
      <x:c r="O1722" s="9" t="n">
        <x:v>0</x:v>
      </x:c>
      <x:c r="P1722" s="9" t="str">
        <x:v>HELD / UNRELEASED</x:v>
      </x:c>
      <x:c r="Q1722" s="9" t="n">
        <x:f>COUNTIFS($A$7:$A$2310,A1722)</x:f>
        <x:v>1</x:v>
      </x:c>
    </x:row>
    <x:row r="1723">
      <x:c r="A1723" s="9" t="str">
        <x:v>PD-AR-RT-B-C-TECH-2-B1-RCN-G0-PD05</x:v>
      </x:c>
      <x:c r="B1723" s="9" t="str">
        <x:v>PD-AR-RT-B-C-TECH-2-B1-RCN-G0</x:v>
      </x:c>
      <x:c r="C1723" s="9" t="str">
        <x:v>EV-AR-RT-B-C-TECH-2-B1-RCN-G0</x:v>
      </x:c>
      <x:c r="D1723" s="9" t="str">
        <x:v>AR-RT-B-C-TECH-2-B1-RCN-G0</x:v>
      </x:c>
      <x:c r="E1723" s="9" t="str">
        <x:v>RT-B-C-TECH-2</x:v>
      </x:c>
      <x:c r="F1723" s="9" t="str">
        <x:v>RT-B-C</x:v>
      </x:c>
      <x:c r="G1723" s="9" t="str">
        <x:v>B1</x:v>
      </x:c>
      <x:c r="H1723" s="9" t="str">
        <x:v>RCN</x:v>
      </x:c>
      <x:c r="I1723" s="9" t="str">
        <x:v>PD05</x:v>
      </x:c>
      <x:c r="J1723" s="17" t="str">
        <x:v>Primary raw originals</x:v>
      </x:c>
      <x:c r="K1723" s="17" t="str">
        <x:v>Primary custody</x:v>
      </x:c>
      <x:c r="L1723" s="17" t="str">
        <x:v>COURT-SEALED UNTIL COHORT RELEASE</x:v>
      </x:c>
      <x:c r="M1723" s="9" t="n">
        <x:v>0</x:v>
      </x:c>
      <x:c r="N1723" s="9" t="n">
        <x:v>0</x:v>
      </x:c>
      <x:c r="O1723" s="9" t="n">
        <x:v>0</x:v>
      </x:c>
      <x:c r="P1723" s="9" t="str">
        <x:v>HELD / UNRELEASED</x:v>
      </x:c>
      <x:c r="Q1723" s="9" t="n">
        <x:f>COUNTIFS($A$7:$A$2310,A1723)</x:f>
        <x:v>1</x:v>
      </x:c>
    </x:row>
    <x:row r="1724">
      <x:c r="A1724" s="9" t="str">
        <x:v>PD-AR-RT-B-C-TECH-2-B1-RCN-G0-PD06</x:v>
      </x:c>
      <x:c r="B1724" s="9" t="str">
        <x:v>PD-AR-RT-B-C-TECH-2-B1-RCN-G0</x:v>
      </x:c>
      <x:c r="C1724" s="9" t="str">
        <x:v>EV-AR-RT-B-C-TECH-2-B1-RCN-G0</x:v>
      </x:c>
      <x:c r="D1724" s="9" t="str">
        <x:v>AR-RT-B-C-TECH-2-B1-RCN-G0</x:v>
      </x:c>
      <x:c r="E1724" s="9" t="str">
        <x:v>RT-B-C-TECH-2</x:v>
      </x:c>
      <x:c r="F1724" s="9" t="str">
        <x:v>RT-B-C</x:v>
      </x:c>
      <x:c r="G1724" s="9" t="str">
        <x:v>B1</x:v>
      </x:c>
      <x:c r="H1724" s="9" t="str">
        <x:v>RCN</x:v>
      </x:c>
      <x:c r="I1724" s="9" t="str">
        <x:v>PD06</x:v>
      </x:c>
      <x:c r="J1724" s="17" t="str">
        <x:v>Witness raw originals</x:v>
      </x:c>
      <x:c r="K1724" s="17" t="str">
        <x:v>Witness custody</x:v>
      </x:c>
      <x:c r="L1724" s="17" t="str">
        <x:v>COURT-SEALED UNTIL COHORT RELEASE</x:v>
      </x:c>
      <x:c r="M1724" s="9" t="n">
        <x:v>0</x:v>
      </x:c>
      <x:c r="N1724" s="9" t="n">
        <x:v>0</x:v>
      </x:c>
      <x:c r="O1724" s="9" t="n">
        <x:v>0</x:v>
      </x:c>
      <x:c r="P1724" s="9" t="str">
        <x:v>HELD / UNRELEASED</x:v>
      </x:c>
      <x:c r="Q1724" s="9" t="n">
        <x:f>COUNTIFS($A$7:$A$2310,A1724)</x:f>
        <x:v>1</x:v>
      </x:c>
    </x:row>
    <x:row r="1725">
      <x:c r="A1725" s="9" t="str">
        <x:v>PD-AR-RT-B-C-TECH-2-B1-RCN-G0-PD07</x:v>
      </x:c>
      <x:c r="B1725" s="9" t="str">
        <x:v>PD-AR-RT-B-C-TECH-2-B1-RCN-G0</x:v>
      </x:c>
      <x:c r="C1725" s="9" t="str">
        <x:v>EV-AR-RT-B-C-TECH-2-B1-RCN-G0</x:v>
      </x:c>
      <x:c r="D1725" s="9" t="str">
        <x:v>AR-RT-B-C-TECH-2-B1-RCN-G0</x:v>
      </x:c>
      <x:c r="E1725" s="9" t="str">
        <x:v>RT-B-C-TECH-2</x:v>
      </x:c>
      <x:c r="F1725" s="9" t="str">
        <x:v>RT-B-C</x:v>
      </x:c>
      <x:c r="G1725" s="9" t="str">
        <x:v>B1</x:v>
      </x:c>
      <x:c r="H1725" s="9" t="str">
        <x:v>RCN</x:v>
      </x:c>
      <x:c r="I1725" s="9" t="str">
        <x:v>PD07</x:v>
      </x:c>
      <x:c r="J1725" s="17" t="str">
        <x:v>Clock and environmental records</x:v>
      </x:c>
      <x:c r="K1725" s="17" t="str">
        <x:v>Boundary archive</x:v>
      </x:c>
      <x:c r="L1725" s="17" t="str">
        <x:v>COURT-SEALED UNTIL COHORT RELEASE</x:v>
      </x:c>
      <x:c r="M1725" s="9" t="n">
        <x:v>0</x:v>
      </x:c>
      <x:c r="N1725" s="9" t="n">
        <x:v>0</x:v>
      </x:c>
      <x:c r="O1725" s="9" t="n">
        <x:v>0</x:v>
      </x:c>
      <x:c r="P1725" s="9" t="str">
        <x:v>HELD / UNRELEASED</x:v>
      </x:c>
      <x:c r="Q1725" s="9" t="n">
        <x:f>COUNTIFS($A$7:$A$2310,A1725)</x:f>
        <x:v>1</x:v>
      </x:c>
    </x:row>
    <x:row r="1726">
      <x:c r="A1726" s="9" t="str">
        <x:v>PD-AR-RT-B-C-TECH-2-B1-RCN-G0-PD08</x:v>
      </x:c>
      <x:c r="B1726" s="9" t="str">
        <x:v>PD-AR-RT-B-C-TECH-2-B1-RCN-G0</x:v>
      </x:c>
      <x:c r="C1726" s="9" t="str">
        <x:v>EV-AR-RT-B-C-TECH-2-B1-RCN-G0</x:v>
      </x:c>
      <x:c r="D1726" s="9" t="str">
        <x:v>AR-RT-B-C-TECH-2-B1-RCN-G0</x:v>
      </x:c>
      <x:c r="E1726" s="9" t="str">
        <x:v>RT-B-C-TECH-2</x:v>
      </x:c>
      <x:c r="F1726" s="9" t="str">
        <x:v>RT-B-C</x:v>
      </x:c>
      <x:c r="G1726" s="9" t="str">
        <x:v>B1</x:v>
      </x:c>
      <x:c r="H1726" s="9" t="str">
        <x:v>RCN</x:v>
      </x:c>
      <x:c r="I1726" s="9" t="str">
        <x:v>PD08</x:v>
      </x:c>
      <x:c r="J1726" s="17" t="str">
        <x:v>Command and intervention log</x:v>
      </x:c>
      <x:c r="K1726" s="17" t="str">
        <x:v>Safety archive</x:v>
      </x:c>
      <x:c r="L1726" s="17" t="str">
        <x:v>COURT-SEALED UNTIL COHORT RELEASE</x:v>
      </x:c>
      <x:c r="M1726" s="9" t="n">
        <x:v>0</x:v>
      </x:c>
      <x:c r="N1726" s="9" t="n">
        <x:v>0</x:v>
      </x:c>
      <x:c r="O1726" s="9" t="n">
        <x:v>0</x:v>
      </x:c>
      <x:c r="P1726" s="9" t="str">
        <x:v>HELD / UNRELEASED</x:v>
      </x:c>
      <x:c r="Q1726" s="9" t="n">
        <x:f>COUNTIFS($A$7:$A$2310,A1726)</x:f>
        <x:v>1</x:v>
      </x:c>
    </x:row>
    <x:row r="1727">
      <x:c r="A1727" s="9" t="str">
        <x:v>PD-AR-RT-B-C-TECH-2-B1-RCN-G0-PD09</x:v>
      </x:c>
      <x:c r="B1727" s="9" t="str">
        <x:v>PD-AR-RT-B-C-TECH-2-B1-RCN-G0</x:v>
      </x:c>
      <x:c r="C1727" s="9" t="str">
        <x:v>EV-AR-RT-B-C-TECH-2-B1-RCN-G0</x:v>
      </x:c>
      <x:c r="D1727" s="9" t="str">
        <x:v>AR-RT-B-C-TECH-2-B1-RCN-G0</x:v>
      </x:c>
      <x:c r="E1727" s="9" t="str">
        <x:v>RT-B-C-TECH-2</x:v>
      </x:c>
      <x:c r="F1727" s="9" t="str">
        <x:v>RT-B-C</x:v>
      </x:c>
      <x:c r="G1727" s="9" t="str">
        <x:v>B1</x:v>
      </x:c>
      <x:c r="H1727" s="9" t="str">
        <x:v>RCN</x:v>
      </x:c>
      <x:c r="I1727" s="9" t="str">
        <x:v>PD09</x:v>
      </x:c>
      <x:c r="J1727" s="17" t="str">
        <x:v>Receiver denominator and service ledger</x:v>
      </x:c>
      <x:c r="K1727" s="17" t="str">
        <x:v>Receiver archive</x:v>
      </x:c>
      <x:c r="L1727" s="17" t="str">
        <x:v>COURT-SEALED UNTIL COHORT RELEASE</x:v>
      </x:c>
      <x:c r="M1727" s="9" t="n">
        <x:v>0</x:v>
      </x:c>
      <x:c r="N1727" s="9" t="n">
        <x:v>0</x:v>
      </x:c>
      <x:c r="O1727" s="9" t="n">
        <x:v>0</x:v>
      </x:c>
      <x:c r="P1727" s="9" t="str">
        <x:v>HELD / UNRELEASED</x:v>
      </x:c>
      <x:c r="Q1727" s="9" t="n">
        <x:f>COUNTIFS($A$7:$A$2310,A1727)</x:f>
        <x:v>1</x:v>
      </x:c>
    </x:row>
    <x:row r="1728">
      <x:c r="A1728" s="9" t="str">
        <x:v>PD-AR-RT-B-C-TECH-2-B1-RCN-G0-PD10</x:v>
      </x:c>
      <x:c r="B1728" s="9" t="str">
        <x:v>PD-AR-RT-B-C-TECH-2-B1-RCN-G0</x:v>
      </x:c>
      <x:c r="C1728" s="9" t="str">
        <x:v>EV-AR-RT-B-C-TECH-2-B1-RCN-G0</x:v>
      </x:c>
      <x:c r="D1728" s="9" t="str">
        <x:v>AR-RT-B-C-TECH-2-B1-RCN-G0</x:v>
      </x:c>
      <x:c r="E1728" s="9" t="str">
        <x:v>RT-B-C-TECH-2</x:v>
      </x:c>
      <x:c r="F1728" s="9" t="str">
        <x:v>RT-B-C</x:v>
      </x:c>
      <x:c r="G1728" s="9" t="str">
        <x:v>B1</x:v>
      </x:c>
      <x:c r="H1728" s="9" t="str">
        <x:v>RCN</x:v>
      </x:c>
      <x:c r="I1728" s="9" t="str">
        <x:v>PD10</x:v>
      </x:c>
      <x:c r="J1728" s="17" t="str">
        <x:v>Calibration and uncertainty record</x:v>
      </x:c>
      <x:c r="K1728" s="17" t="str">
        <x:v>Metrology archive</x:v>
      </x:c>
      <x:c r="L1728" s="17" t="str">
        <x:v>COURT-SEALED UNTIL COHORT RELEASE</x:v>
      </x:c>
      <x:c r="M1728" s="9" t="n">
        <x:v>0</x:v>
      </x:c>
      <x:c r="N1728" s="9" t="n">
        <x:v>0</x:v>
      </x:c>
      <x:c r="O1728" s="9" t="n">
        <x:v>0</x:v>
      </x:c>
      <x:c r="P1728" s="9" t="str">
        <x:v>HELD / UNRELEASED</x:v>
      </x:c>
      <x:c r="Q1728" s="9" t="n">
        <x:f>COUNTIFS($A$7:$A$2310,A1728)</x:f>
        <x:v>1</x:v>
      </x:c>
    </x:row>
    <x:row r="1729">
      <x:c r="A1729" s="9" t="str">
        <x:v>PD-AR-RT-B-C-TECH-2-B1-RCN-G0-PD11</x:v>
      </x:c>
      <x:c r="B1729" s="9" t="str">
        <x:v>PD-AR-RT-B-C-TECH-2-B1-RCN-G0</x:v>
      </x:c>
      <x:c r="C1729" s="9" t="str">
        <x:v>EV-AR-RT-B-C-TECH-2-B1-RCN-G0</x:v>
      </x:c>
      <x:c r="D1729" s="9" t="str">
        <x:v>AR-RT-B-C-TECH-2-B1-RCN-G0</x:v>
      </x:c>
      <x:c r="E1729" s="9" t="str">
        <x:v>RT-B-C-TECH-2</x:v>
      </x:c>
      <x:c r="F1729" s="9" t="str">
        <x:v>RT-B-C</x:v>
      </x:c>
      <x:c r="G1729" s="9" t="str">
        <x:v>B1</x:v>
      </x:c>
      <x:c r="H1729" s="9" t="str">
        <x:v>RCN</x:v>
      </x:c>
      <x:c r="I1729" s="9" t="str">
        <x:v>PD11</x:v>
      </x:c>
      <x:c r="J1729" s="17" t="str">
        <x:v>Invalidity petition and opinion</x:v>
      </x:c>
      <x:c r="K1729" s="17" t="str">
        <x:v>Invalidity court</x:v>
      </x:c>
      <x:c r="L1729" s="17" t="str">
        <x:v>COURT-SEALED UNTIL COHORT RELEASE</x:v>
      </x:c>
      <x:c r="M1729" s="9" t="n">
        <x:v>0</x:v>
      </x:c>
      <x:c r="N1729" s="9" t="n">
        <x:v>0</x:v>
      </x:c>
      <x:c r="O1729" s="9" t="n">
        <x:v>0</x:v>
      </x:c>
      <x:c r="P1729" s="9" t="str">
        <x:v>HELD / UNRELEASED</x:v>
      </x:c>
      <x:c r="Q1729" s="9" t="n">
        <x:f>COUNTIFS($A$7:$A$2310,A1729)</x:f>
        <x:v>1</x:v>
      </x:c>
    </x:row>
    <x:row r="1730">
      <x:c r="A1730" s="9" t="str">
        <x:v>PD-AR-RT-B-C-TECH-2-B1-RCN-G0-PD12</x:v>
      </x:c>
      <x:c r="B1730" s="9" t="str">
        <x:v>PD-AR-RT-B-C-TECH-2-B1-RCN-G0</x:v>
      </x:c>
      <x:c r="C1730" s="9" t="str">
        <x:v>EV-AR-RT-B-C-TECH-2-B1-RCN-G0</x:v>
      </x:c>
      <x:c r="D1730" s="9" t="str">
        <x:v>AR-RT-B-C-TECH-2-B1-RCN-G0</x:v>
      </x:c>
      <x:c r="E1730" s="9" t="str">
        <x:v>RT-B-C-TECH-2</x:v>
      </x:c>
      <x:c r="F1730" s="9" t="str">
        <x:v>RT-B-C</x:v>
      </x:c>
      <x:c r="G1730" s="9" t="str">
        <x:v>B1</x:v>
      </x:c>
      <x:c r="H1730" s="9" t="str">
        <x:v>RCN</x:v>
      </x:c>
      <x:c r="I1730" s="9" t="str">
        <x:v>PD12</x:v>
      </x:c>
      <x:c r="J1730" s="17" t="str">
        <x:v>Observation acceptance and replay</x:v>
      </x:c>
      <x:c r="K1730" s="17" t="str">
        <x:v>Observation court</x:v>
      </x:c>
      <x:c r="L1730" s="17" t="str">
        <x:v>COURT-SEALED UNTIL COHORT RELEASE</x:v>
      </x:c>
      <x:c r="M1730" s="9" t="n">
        <x:v>0</x:v>
      </x:c>
      <x:c r="N1730" s="9" t="n">
        <x:v>0</x:v>
      </x:c>
      <x:c r="O1730" s="9" t="n">
        <x:v>0</x:v>
      </x:c>
      <x:c r="P1730" s="9" t="str">
        <x:v>HELD / UNRELEASED</x:v>
      </x:c>
      <x:c r="Q1730" s="9" t="n">
        <x:f>COUNTIFS($A$7:$A$2310,A1730)</x:f>
        <x:v>1</x:v>
      </x:c>
    </x:row>
    <x:row r="1731">
      <x:c r="A1731" s="9" t="str">
        <x:v>PD-AR-RT-B-C-TECH-2-B1-RCN-G0-PD13</x:v>
      </x:c>
      <x:c r="B1731" s="9" t="str">
        <x:v>PD-AR-RT-B-C-TECH-2-B1-RCN-G0</x:v>
      </x:c>
      <x:c r="C1731" s="9" t="str">
        <x:v>EV-AR-RT-B-C-TECH-2-B1-RCN-G0</x:v>
      </x:c>
      <x:c r="D1731" s="9" t="str">
        <x:v>AR-RT-B-C-TECH-2-B1-RCN-G0</x:v>
      </x:c>
      <x:c r="E1731" s="9" t="str">
        <x:v>RT-B-C-TECH-2</x:v>
      </x:c>
      <x:c r="F1731" s="9" t="str">
        <x:v>RT-B-C</x:v>
      </x:c>
      <x:c r="G1731" s="9" t="str">
        <x:v>B1</x:v>
      </x:c>
      <x:c r="H1731" s="9" t="str">
        <x:v>RCN</x:v>
      </x:c>
      <x:c r="I1731" s="9" t="str">
        <x:v>PD13</x:v>
      </x:c>
      <x:c r="J1731" s="17" t="str">
        <x:v>Role judgment</x:v>
      </x:c>
      <x:c r="K1731" s="17" t="str">
        <x:v>Role court</x:v>
      </x:c>
      <x:c r="L1731" s="17" t="str">
        <x:v>COURT-SEALED UNTIL COHORT RELEASE</x:v>
      </x:c>
      <x:c r="M1731" s="9" t="n">
        <x:v>0</x:v>
      </x:c>
      <x:c r="N1731" s="9" t="n">
        <x:v>0</x:v>
      </x:c>
      <x:c r="O1731" s="9" t="n">
        <x:v>0</x:v>
      </x:c>
      <x:c r="P1731" s="9" t="str">
        <x:v>HELD / UNRELEASED</x:v>
      </x:c>
      <x:c r="Q1731" s="9" t="n">
        <x:f>COUNTIFS($A$7:$A$2310,A1731)</x:f>
        <x:v>1</x:v>
      </x:c>
    </x:row>
    <x:row r="1732">
      <x:c r="A1732" s="9" t="str">
        <x:v>PD-AR-RT-B-C-TECH-2-B1-RCN-G0-PD14</x:v>
      </x:c>
      <x:c r="B1732" s="9" t="str">
        <x:v>PD-AR-RT-B-C-TECH-2-B1-RCN-G0</x:v>
      </x:c>
      <x:c r="C1732" s="9" t="str">
        <x:v>EV-AR-RT-B-C-TECH-2-B1-RCN-G0</x:v>
      </x:c>
      <x:c r="D1732" s="9" t="str">
        <x:v>AR-RT-B-C-TECH-2-B1-RCN-G0</x:v>
      </x:c>
      <x:c r="E1732" s="9" t="str">
        <x:v>RT-B-C-TECH-2</x:v>
      </x:c>
      <x:c r="F1732" s="9" t="str">
        <x:v>RT-B-C</x:v>
      </x:c>
      <x:c r="G1732" s="9" t="str">
        <x:v>B1</x:v>
      </x:c>
      <x:c r="H1732" s="9" t="str">
        <x:v>RCN</x:v>
      </x:c>
      <x:c r="I1732" s="9" t="str">
        <x:v>PD14</x:v>
      </x:c>
      <x:c r="J1732" s="17" t="str">
        <x:v>Break and residual account</x:v>
      </x:c>
      <x:c r="K1732" s="17" t="str">
        <x:v>Residual authority</x:v>
      </x:c>
      <x:c r="L1732" s="17" t="str">
        <x:v>COURT-SEALED UNTIL COHORT RELEASE</x:v>
      </x:c>
      <x:c r="M1732" s="9" t="n">
        <x:v>0</x:v>
      </x:c>
      <x:c r="N1732" s="9" t="n">
        <x:v>0</x:v>
      </x:c>
      <x:c r="O1732" s="9" t="n">
        <x:v>0</x:v>
      </x:c>
      <x:c r="P1732" s="9" t="str">
        <x:v>HELD / UNRELEASED</x:v>
      </x:c>
      <x:c r="Q1732" s="9" t="n">
        <x:f>COUNTIFS($A$7:$A$2310,A1732)</x:f>
        <x:v>1</x:v>
      </x:c>
    </x:row>
    <x:row r="1733">
      <x:c r="A1733" s="9" t="str">
        <x:v>PD-AR-RT-B-C-TECH-2-B1-RCN-G0-PD15</x:v>
      </x:c>
      <x:c r="B1733" s="9" t="str">
        <x:v>PD-AR-RT-B-C-TECH-2-B1-RCN-G0</x:v>
      </x:c>
      <x:c r="C1733" s="9" t="str">
        <x:v>EV-AR-RT-B-C-TECH-2-B1-RCN-G0</x:v>
      </x:c>
      <x:c r="D1733" s="9" t="str">
        <x:v>AR-RT-B-C-TECH-2-B1-RCN-G0</x:v>
      </x:c>
      <x:c r="E1733" s="9" t="str">
        <x:v>RT-B-C-TECH-2</x:v>
      </x:c>
      <x:c r="F1733" s="9" t="str">
        <x:v>RT-B-C</x:v>
      </x:c>
      <x:c r="G1733" s="9" t="str">
        <x:v>B1</x:v>
      </x:c>
      <x:c r="H1733" s="9" t="str">
        <x:v>RCN</x:v>
      </x:c>
      <x:c r="I1733" s="9" t="str">
        <x:v>PD15</x:v>
      </x:c>
      <x:c r="J1733" s="17" t="str">
        <x:v>Reconstruction ancestry and replay</x:v>
      </x:c>
      <x:c r="K1733" s="17" t="str">
        <x:v>Reconstruction court</x:v>
      </x:c>
      <x:c r="L1733" s="17" t="str">
        <x:v>COURT-SEALED UNTIL COHORT RELEASE</x:v>
      </x:c>
      <x:c r="M1733" s="9" t="n">
        <x:v>0</x:v>
      </x:c>
      <x:c r="N1733" s="9" t="n">
        <x:v>0</x:v>
      </x:c>
      <x:c r="O1733" s="9" t="n">
        <x:v>0</x:v>
      </x:c>
      <x:c r="P1733" s="9" t="str">
        <x:v>HELD / UNRELEASED</x:v>
      </x:c>
      <x:c r="Q1733" s="9" t="n">
        <x:f>COUNTIFS($A$7:$A$2310,A1733)</x:f>
        <x:v>1</x:v>
      </x:c>
    </x:row>
    <x:row r="1734">
      <x:c r="A1734" s="9" t="str">
        <x:v>PD-AR-RT-B-C-TECH-2-B1-RCN-G0-PD16</x:v>
      </x:c>
      <x:c r="B1734" s="9" t="str">
        <x:v>PD-AR-RT-B-C-TECH-2-B1-RCN-G0</x:v>
      </x:c>
      <x:c r="C1734" s="9" t="str">
        <x:v>EV-AR-RT-B-C-TECH-2-B1-RCN-G0</x:v>
      </x:c>
      <x:c r="D1734" s="9" t="str">
        <x:v>AR-RT-B-C-TECH-2-B1-RCN-G0</x:v>
      </x:c>
      <x:c r="E1734" s="9" t="str">
        <x:v>RT-B-C-TECH-2</x:v>
      </x:c>
      <x:c r="F1734" s="9" t="str">
        <x:v>RT-B-C</x:v>
      </x:c>
      <x:c r="G1734" s="9" t="str">
        <x:v>B1</x:v>
      </x:c>
      <x:c r="H1734" s="9" t="str">
        <x:v>RCN</x:v>
      </x:c>
      <x:c r="I1734" s="9" t="str">
        <x:v>PD16</x:v>
      </x:c>
      <x:c r="J1734" s="17" t="str">
        <x:v>Dissent, amendments and access log</x:v>
      </x:c>
      <x:c r="K1734" s="17" t="str">
        <x:v>Public archive</x:v>
      </x:c>
      <x:c r="L1734" s="17" t="str">
        <x:v>COURT-SEALED UNTIL COHORT RELEASE</x:v>
      </x:c>
      <x:c r="M1734" s="9" t="n">
        <x:v>0</x:v>
      </x:c>
      <x:c r="N1734" s="9" t="n">
        <x:v>0</x:v>
      </x:c>
      <x:c r="O1734" s="9" t="n">
        <x:v>0</x:v>
      </x:c>
      <x:c r="P1734" s="9" t="str">
        <x:v>HELD / UNRELEASED</x:v>
      </x:c>
      <x:c r="Q1734" s="9" t="n">
        <x:f>COUNTIFS($A$7:$A$2310,A1734)</x:f>
        <x:v>1</x:v>
      </x:c>
    </x:row>
    <x:row r="1735">
      <x:c r="A1735" s="9" t="str">
        <x:v>PD-AR-CT-C-B-TECH-4-B1-INT-G0-PD01</x:v>
      </x:c>
      <x:c r="B1735" s="9" t="str">
        <x:v>PD-AR-CT-C-B-TECH-4-B1-INT-G0</x:v>
      </x:c>
      <x:c r="C1735" s="9" t="str">
        <x:v>EV-AR-CT-C-B-TECH-4-B1-INT-G0</x:v>
      </x:c>
      <x:c r="D1735" s="9" t="str">
        <x:v>AR-CT-C-B-TECH-4-B1-INT-G0</x:v>
      </x:c>
      <x:c r="E1735" s="9" t="str">
        <x:v>CT-C-B-TECH-4</x:v>
      </x:c>
      <x:c r="F1735" s="9" t="str">
        <x:v>CT-C-B</x:v>
      </x:c>
      <x:c r="G1735" s="9" t="str">
        <x:v>B1</x:v>
      </x:c>
      <x:c r="H1735" s="9" t="str">
        <x:v>INT</x:v>
      </x:c>
      <x:c r="I1735" s="9" t="str">
        <x:v>PD01</x:v>
      </x:c>
      <x:c r="J1735" s="17" t="str">
        <x:v>Experiment kernel</x:v>
      </x:c>
      <x:c r="K1735" s="17" t="str">
        <x:v>Public archive</x:v>
      </x:c>
      <x:c r="L1735" s="17" t="str">
        <x:v>COURT-SEALED UNTIL COHORT RELEASE</x:v>
      </x:c>
      <x:c r="M1735" s="9" t="n">
        <x:v>0</x:v>
      </x:c>
      <x:c r="N1735" s="9" t="n">
        <x:v>0</x:v>
      </x:c>
      <x:c r="O1735" s="9" t="n">
        <x:v>0</x:v>
      </x:c>
      <x:c r="P1735" s="9" t="str">
        <x:v>HELD / UNRELEASED</x:v>
      </x:c>
      <x:c r="Q1735" s="9" t="n">
        <x:f>COUNTIFS($A$7:$A$2310,A1735)</x:f>
        <x:v>1</x:v>
      </x:c>
    </x:row>
    <x:row r="1736">
      <x:c r="A1736" s="9" t="str">
        <x:v>PD-AR-CT-C-B-TECH-4-B1-INT-G0-PD02</x:v>
      </x:c>
      <x:c r="B1736" s="9" t="str">
        <x:v>PD-AR-CT-C-B-TECH-4-B1-INT-G0</x:v>
      </x:c>
      <x:c r="C1736" s="9" t="str">
        <x:v>EV-AR-CT-C-B-TECH-4-B1-INT-G0</x:v>
      </x:c>
      <x:c r="D1736" s="9" t="str">
        <x:v>AR-CT-C-B-TECH-4-B1-INT-G0</x:v>
      </x:c>
      <x:c r="E1736" s="9" t="str">
        <x:v>CT-C-B-TECH-4</x:v>
      </x:c>
      <x:c r="F1736" s="9" t="str">
        <x:v>CT-C-B</x:v>
      </x:c>
      <x:c r="G1736" s="9" t="str">
        <x:v>B1</x:v>
      </x:c>
      <x:c r="H1736" s="9" t="str">
        <x:v>INT</x:v>
      </x:c>
      <x:c r="I1736" s="9" t="str">
        <x:v>PD02</x:v>
      </x:c>
      <x:c r="J1736" s="17" t="str">
        <x:v>Serial annex and title chain</x:v>
      </x:c>
      <x:c r="K1736" s="17" t="str">
        <x:v>Public archive</x:v>
      </x:c>
      <x:c r="L1736" s="17" t="str">
        <x:v>COURT-SEALED UNTIL COHORT RELEASE</x:v>
      </x:c>
      <x:c r="M1736" s="9" t="n">
        <x:v>0</x:v>
      </x:c>
      <x:c r="N1736" s="9" t="n">
        <x:v>0</x:v>
      </x:c>
      <x:c r="O1736" s="9" t="n">
        <x:v>0</x:v>
      </x:c>
      <x:c r="P1736" s="9" t="str">
        <x:v>HELD / UNRELEASED</x:v>
      </x:c>
      <x:c r="Q1736" s="9" t="n">
        <x:f>COUNTIFS($A$7:$A$2310,A1736)</x:f>
        <x:v>1</x:v>
      </x:c>
    </x:row>
    <x:row r="1737">
      <x:c r="A1737" s="9" t="str">
        <x:v>PD-AR-CT-C-B-TECH-4-B1-INT-G0-PD03</x:v>
      </x:c>
      <x:c r="B1737" s="9" t="str">
        <x:v>PD-AR-CT-C-B-TECH-4-B1-INT-G0</x:v>
      </x:c>
      <x:c r="C1737" s="9" t="str">
        <x:v>EV-AR-CT-C-B-TECH-4-B1-INT-G0</x:v>
      </x:c>
      <x:c r="D1737" s="9" t="str">
        <x:v>AR-CT-C-B-TECH-4-B1-INT-G0</x:v>
      </x:c>
      <x:c r="E1737" s="9" t="str">
        <x:v>CT-C-B-TECH-4</x:v>
      </x:c>
      <x:c r="F1737" s="9" t="str">
        <x:v>CT-C-B</x:v>
      </x:c>
      <x:c r="G1737" s="9" t="str">
        <x:v>B1</x:v>
      </x:c>
      <x:c r="H1737" s="9" t="str">
        <x:v>INT</x:v>
      </x:c>
      <x:c r="I1737" s="9" t="str">
        <x:v>PD03</x:v>
      </x:c>
      <x:c r="J1737" s="17" t="str">
        <x:v>Configuration and as-built manifest</x:v>
      </x:c>
      <x:c r="K1737" s="17" t="str">
        <x:v>Artifact exchange</x:v>
      </x:c>
      <x:c r="L1737" s="17" t="str">
        <x:v>COURT-SEALED UNTIL COHORT RELEASE</x:v>
      </x:c>
      <x:c r="M1737" s="9" t="n">
        <x:v>0</x:v>
      </x:c>
      <x:c r="N1737" s="9" t="n">
        <x:v>0</x:v>
      </x:c>
      <x:c r="O1737" s="9" t="n">
        <x:v>0</x:v>
      </x:c>
      <x:c r="P1737" s="9" t="str">
        <x:v>HELD / UNRELEASED</x:v>
      </x:c>
      <x:c r="Q1737" s="9" t="n">
        <x:f>COUNTIFS($A$7:$A$2310,A1737)</x:f>
        <x:v>1</x:v>
      </x:c>
    </x:row>
    <x:row r="1738">
      <x:c r="A1738" s="9" t="str">
        <x:v>PD-AR-CT-C-B-TECH-4-B1-INT-G0-PD04</x:v>
      </x:c>
      <x:c r="B1738" s="9" t="str">
        <x:v>PD-AR-CT-C-B-TECH-4-B1-INT-G0</x:v>
      </x:c>
      <x:c r="C1738" s="9" t="str">
        <x:v>EV-AR-CT-C-B-TECH-4-B1-INT-G0</x:v>
      </x:c>
      <x:c r="D1738" s="9" t="str">
        <x:v>AR-CT-C-B-TECH-4-B1-INT-G0</x:v>
      </x:c>
      <x:c r="E1738" s="9" t="str">
        <x:v>CT-C-B-TECH-4</x:v>
      </x:c>
      <x:c r="F1738" s="9" t="str">
        <x:v>CT-C-B</x:v>
      </x:c>
      <x:c r="G1738" s="9" t="str">
        <x:v>B1</x:v>
      </x:c>
      <x:c r="H1738" s="9" t="str">
        <x:v>INT</x:v>
      </x:c>
      <x:c r="I1738" s="9" t="str">
        <x:v>PD04</x:v>
      </x:c>
      <x:c r="J1738" s="17" t="str">
        <x:v>EOW and start certificate</x:v>
      </x:c>
      <x:c r="K1738" s="17" t="str">
        <x:v>Start registrar</x:v>
      </x:c>
      <x:c r="L1738" s="17" t="str">
        <x:v>COURT-SEALED UNTIL COHORT RELEASE</x:v>
      </x:c>
      <x:c r="M1738" s="9" t="n">
        <x:v>0</x:v>
      </x:c>
      <x:c r="N1738" s="9" t="n">
        <x:v>0</x:v>
      </x:c>
      <x:c r="O1738" s="9" t="n">
        <x:v>0</x:v>
      </x:c>
      <x:c r="P1738" s="9" t="str">
        <x:v>HELD / UNRELEASED</x:v>
      </x:c>
      <x:c r="Q1738" s="9" t="n">
        <x:f>COUNTIFS($A$7:$A$2310,A1738)</x:f>
        <x:v>1</x:v>
      </x:c>
    </x:row>
    <x:row r="1739">
      <x:c r="A1739" s="9" t="str">
        <x:v>PD-AR-CT-C-B-TECH-4-B1-INT-G0-PD05</x:v>
      </x:c>
      <x:c r="B1739" s="9" t="str">
        <x:v>PD-AR-CT-C-B-TECH-4-B1-INT-G0</x:v>
      </x:c>
      <x:c r="C1739" s="9" t="str">
        <x:v>EV-AR-CT-C-B-TECH-4-B1-INT-G0</x:v>
      </x:c>
      <x:c r="D1739" s="9" t="str">
        <x:v>AR-CT-C-B-TECH-4-B1-INT-G0</x:v>
      </x:c>
      <x:c r="E1739" s="9" t="str">
        <x:v>CT-C-B-TECH-4</x:v>
      </x:c>
      <x:c r="F1739" s="9" t="str">
        <x:v>CT-C-B</x:v>
      </x:c>
      <x:c r="G1739" s="9" t="str">
        <x:v>B1</x:v>
      </x:c>
      <x:c r="H1739" s="9" t="str">
        <x:v>INT</x:v>
      </x:c>
      <x:c r="I1739" s="9" t="str">
        <x:v>PD05</x:v>
      </x:c>
      <x:c r="J1739" s="17" t="str">
        <x:v>Primary raw originals</x:v>
      </x:c>
      <x:c r="K1739" s="17" t="str">
        <x:v>Primary custody</x:v>
      </x:c>
      <x:c r="L1739" s="17" t="str">
        <x:v>COURT-SEALED UNTIL COHORT RELEASE</x:v>
      </x:c>
      <x:c r="M1739" s="9" t="n">
        <x:v>0</x:v>
      </x:c>
      <x:c r="N1739" s="9" t="n">
        <x:v>0</x:v>
      </x:c>
      <x:c r="O1739" s="9" t="n">
        <x:v>0</x:v>
      </x:c>
      <x:c r="P1739" s="9" t="str">
        <x:v>HELD / UNRELEASED</x:v>
      </x:c>
      <x:c r="Q1739" s="9" t="n">
        <x:f>COUNTIFS($A$7:$A$2310,A1739)</x:f>
        <x:v>1</x:v>
      </x:c>
    </x:row>
    <x:row r="1740">
      <x:c r="A1740" s="9" t="str">
        <x:v>PD-AR-CT-C-B-TECH-4-B1-INT-G0-PD06</x:v>
      </x:c>
      <x:c r="B1740" s="9" t="str">
        <x:v>PD-AR-CT-C-B-TECH-4-B1-INT-G0</x:v>
      </x:c>
      <x:c r="C1740" s="9" t="str">
        <x:v>EV-AR-CT-C-B-TECH-4-B1-INT-G0</x:v>
      </x:c>
      <x:c r="D1740" s="9" t="str">
        <x:v>AR-CT-C-B-TECH-4-B1-INT-G0</x:v>
      </x:c>
      <x:c r="E1740" s="9" t="str">
        <x:v>CT-C-B-TECH-4</x:v>
      </x:c>
      <x:c r="F1740" s="9" t="str">
        <x:v>CT-C-B</x:v>
      </x:c>
      <x:c r="G1740" s="9" t="str">
        <x:v>B1</x:v>
      </x:c>
      <x:c r="H1740" s="9" t="str">
        <x:v>INT</x:v>
      </x:c>
      <x:c r="I1740" s="9" t="str">
        <x:v>PD06</x:v>
      </x:c>
      <x:c r="J1740" s="17" t="str">
        <x:v>Witness raw originals</x:v>
      </x:c>
      <x:c r="K1740" s="17" t="str">
        <x:v>Witness custody</x:v>
      </x:c>
      <x:c r="L1740" s="17" t="str">
        <x:v>COURT-SEALED UNTIL COHORT RELEASE</x:v>
      </x:c>
      <x:c r="M1740" s="9" t="n">
        <x:v>0</x:v>
      </x:c>
      <x:c r="N1740" s="9" t="n">
        <x:v>0</x:v>
      </x:c>
      <x:c r="O1740" s="9" t="n">
        <x:v>0</x:v>
      </x:c>
      <x:c r="P1740" s="9" t="str">
        <x:v>HELD / UNRELEASED</x:v>
      </x:c>
      <x:c r="Q1740" s="9" t="n">
        <x:f>COUNTIFS($A$7:$A$2310,A1740)</x:f>
        <x:v>1</x:v>
      </x:c>
    </x:row>
    <x:row r="1741">
      <x:c r="A1741" s="9" t="str">
        <x:v>PD-AR-CT-C-B-TECH-4-B1-INT-G0-PD07</x:v>
      </x:c>
      <x:c r="B1741" s="9" t="str">
        <x:v>PD-AR-CT-C-B-TECH-4-B1-INT-G0</x:v>
      </x:c>
      <x:c r="C1741" s="9" t="str">
        <x:v>EV-AR-CT-C-B-TECH-4-B1-INT-G0</x:v>
      </x:c>
      <x:c r="D1741" s="9" t="str">
        <x:v>AR-CT-C-B-TECH-4-B1-INT-G0</x:v>
      </x:c>
      <x:c r="E1741" s="9" t="str">
        <x:v>CT-C-B-TECH-4</x:v>
      </x:c>
      <x:c r="F1741" s="9" t="str">
        <x:v>CT-C-B</x:v>
      </x:c>
      <x:c r="G1741" s="9" t="str">
        <x:v>B1</x:v>
      </x:c>
      <x:c r="H1741" s="9" t="str">
        <x:v>INT</x:v>
      </x:c>
      <x:c r="I1741" s="9" t="str">
        <x:v>PD07</x:v>
      </x:c>
      <x:c r="J1741" s="17" t="str">
        <x:v>Clock and environmental records</x:v>
      </x:c>
      <x:c r="K1741" s="17" t="str">
        <x:v>Boundary archive</x:v>
      </x:c>
      <x:c r="L1741" s="17" t="str">
        <x:v>COURT-SEALED UNTIL COHORT RELEASE</x:v>
      </x:c>
      <x:c r="M1741" s="9" t="n">
        <x:v>0</x:v>
      </x:c>
      <x:c r="N1741" s="9" t="n">
        <x:v>0</x:v>
      </x:c>
      <x:c r="O1741" s="9" t="n">
        <x:v>0</x:v>
      </x:c>
      <x:c r="P1741" s="9" t="str">
        <x:v>HELD / UNRELEASED</x:v>
      </x:c>
      <x:c r="Q1741" s="9" t="n">
        <x:f>COUNTIFS($A$7:$A$2310,A1741)</x:f>
        <x:v>1</x:v>
      </x:c>
    </x:row>
    <x:row r="1742">
      <x:c r="A1742" s="9" t="str">
        <x:v>PD-AR-CT-C-B-TECH-4-B1-INT-G0-PD08</x:v>
      </x:c>
      <x:c r="B1742" s="9" t="str">
        <x:v>PD-AR-CT-C-B-TECH-4-B1-INT-G0</x:v>
      </x:c>
      <x:c r="C1742" s="9" t="str">
        <x:v>EV-AR-CT-C-B-TECH-4-B1-INT-G0</x:v>
      </x:c>
      <x:c r="D1742" s="9" t="str">
        <x:v>AR-CT-C-B-TECH-4-B1-INT-G0</x:v>
      </x:c>
      <x:c r="E1742" s="9" t="str">
        <x:v>CT-C-B-TECH-4</x:v>
      </x:c>
      <x:c r="F1742" s="9" t="str">
        <x:v>CT-C-B</x:v>
      </x:c>
      <x:c r="G1742" s="9" t="str">
        <x:v>B1</x:v>
      </x:c>
      <x:c r="H1742" s="9" t="str">
        <x:v>INT</x:v>
      </x:c>
      <x:c r="I1742" s="9" t="str">
        <x:v>PD08</x:v>
      </x:c>
      <x:c r="J1742" s="17" t="str">
        <x:v>Command and intervention log</x:v>
      </x:c>
      <x:c r="K1742" s="17" t="str">
        <x:v>Safety archive</x:v>
      </x:c>
      <x:c r="L1742" s="17" t="str">
        <x:v>COURT-SEALED UNTIL COHORT RELEASE</x:v>
      </x:c>
      <x:c r="M1742" s="9" t="n">
        <x:v>0</x:v>
      </x:c>
      <x:c r="N1742" s="9" t="n">
        <x:v>0</x:v>
      </x:c>
      <x:c r="O1742" s="9" t="n">
        <x:v>0</x:v>
      </x:c>
      <x:c r="P1742" s="9" t="str">
        <x:v>HELD / UNRELEASED</x:v>
      </x:c>
      <x:c r="Q1742" s="9" t="n">
        <x:f>COUNTIFS($A$7:$A$2310,A1742)</x:f>
        <x:v>1</x:v>
      </x:c>
    </x:row>
    <x:row r="1743">
      <x:c r="A1743" s="9" t="str">
        <x:v>PD-AR-CT-C-B-TECH-4-B1-INT-G0-PD09</x:v>
      </x:c>
      <x:c r="B1743" s="9" t="str">
        <x:v>PD-AR-CT-C-B-TECH-4-B1-INT-G0</x:v>
      </x:c>
      <x:c r="C1743" s="9" t="str">
        <x:v>EV-AR-CT-C-B-TECH-4-B1-INT-G0</x:v>
      </x:c>
      <x:c r="D1743" s="9" t="str">
        <x:v>AR-CT-C-B-TECH-4-B1-INT-G0</x:v>
      </x:c>
      <x:c r="E1743" s="9" t="str">
        <x:v>CT-C-B-TECH-4</x:v>
      </x:c>
      <x:c r="F1743" s="9" t="str">
        <x:v>CT-C-B</x:v>
      </x:c>
      <x:c r="G1743" s="9" t="str">
        <x:v>B1</x:v>
      </x:c>
      <x:c r="H1743" s="9" t="str">
        <x:v>INT</x:v>
      </x:c>
      <x:c r="I1743" s="9" t="str">
        <x:v>PD09</x:v>
      </x:c>
      <x:c r="J1743" s="17" t="str">
        <x:v>Receiver denominator and service ledger</x:v>
      </x:c>
      <x:c r="K1743" s="17" t="str">
        <x:v>Receiver archive</x:v>
      </x:c>
      <x:c r="L1743" s="17" t="str">
        <x:v>COURT-SEALED UNTIL COHORT RELEASE</x:v>
      </x:c>
      <x:c r="M1743" s="9" t="n">
        <x:v>0</x:v>
      </x:c>
      <x:c r="N1743" s="9" t="n">
        <x:v>0</x:v>
      </x:c>
      <x:c r="O1743" s="9" t="n">
        <x:v>0</x:v>
      </x:c>
      <x:c r="P1743" s="9" t="str">
        <x:v>HELD / UNRELEASED</x:v>
      </x:c>
      <x:c r="Q1743" s="9" t="n">
        <x:f>COUNTIFS($A$7:$A$2310,A1743)</x:f>
        <x:v>1</x:v>
      </x:c>
    </x:row>
    <x:row r="1744">
      <x:c r="A1744" s="9" t="str">
        <x:v>PD-AR-CT-C-B-TECH-4-B1-INT-G0-PD10</x:v>
      </x:c>
      <x:c r="B1744" s="9" t="str">
        <x:v>PD-AR-CT-C-B-TECH-4-B1-INT-G0</x:v>
      </x:c>
      <x:c r="C1744" s="9" t="str">
        <x:v>EV-AR-CT-C-B-TECH-4-B1-INT-G0</x:v>
      </x:c>
      <x:c r="D1744" s="9" t="str">
        <x:v>AR-CT-C-B-TECH-4-B1-INT-G0</x:v>
      </x:c>
      <x:c r="E1744" s="9" t="str">
        <x:v>CT-C-B-TECH-4</x:v>
      </x:c>
      <x:c r="F1744" s="9" t="str">
        <x:v>CT-C-B</x:v>
      </x:c>
      <x:c r="G1744" s="9" t="str">
        <x:v>B1</x:v>
      </x:c>
      <x:c r="H1744" s="9" t="str">
        <x:v>INT</x:v>
      </x:c>
      <x:c r="I1744" s="9" t="str">
        <x:v>PD10</x:v>
      </x:c>
      <x:c r="J1744" s="17" t="str">
        <x:v>Calibration and uncertainty record</x:v>
      </x:c>
      <x:c r="K1744" s="17" t="str">
        <x:v>Metrology archive</x:v>
      </x:c>
      <x:c r="L1744" s="17" t="str">
        <x:v>COURT-SEALED UNTIL COHORT RELEASE</x:v>
      </x:c>
      <x:c r="M1744" s="9" t="n">
        <x:v>0</x:v>
      </x:c>
      <x:c r="N1744" s="9" t="n">
        <x:v>0</x:v>
      </x:c>
      <x:c r="O1744" s="9" t="n">
        <x:v>0</x:v>
      </x:c>
      <x:c r="P1744" s="9" t="str">
        <x:v>HELD / UNRELEASED</x:v>
      </x:c>
      <x:c r="Q1744" s="9" t="n">
        <x:f>COUNTIFS($A$7:$A$2310,A1744)</x:f>
        <x:v>1</x:v>
      </x:c>
    </x:row>
    <x:row r="1745">
      <x:c r="A1745" s="9" t="str">
        <x:v>PD-AR-CT-C-B-TECH-4-B1-INT-G0-PD11</x:v>
      </x:c>
      <x:c r="B1745" s="9" t="str">
        <x:v>PD-AR-CT-C-B-TECH-4-B1-INT-G0</x:v>
      </x:c>
      <x:c r="C1745" s="9" t="str">
        <x:v>EV-AR-CT-C-B-TECH-4-B1-INT-G0</x:v>
      </x:c>
      <x:c r="D1745" s="9" t="str">
        <x:v>AR-CT-C-B-TECH-4-B1-INT-G0</x:v>
      </x:c>
      <x:c r="E1745" s="9" t="str">
        <x:v>CT-C-B-TECH-4</x:v>
      </x:c>
      <x:c r="F1745" s="9" t="str">
        <x:v>CT-C-B</x:v>
      </x:c>
      <x:c r="G1745" s="9" t="str">
        <x:v>B1</x:v>
      </x:c>
      <x:c r="H1745" s="9" t="str">
        <x:v>INT</x:v>
      </x:c>
      <x:c r="I1745" s="9" t="str">
        <x:v>PD11</x:v>
      </x:c>
      <x:c r="J1745" s="17" t="str">
        <x:v>Invalidity petition and opinion</x:v>
      </x:c>
      <x:c r="K1745" s="17" t="str">
        <x:v>Invalidity court</x:v>
      </x:c>
      <x:c r="L1745" s="17" t="str">
        <x:v>COURT-SEALED UNTIL COHORT RELEASE</x:v>
      </x:c>
      <x:c r="M1745" s="9" t="n">
        <x:v>0</x:v>
      </x:c>
      <x:c r="N1745" s="9" t="n">
        <x:v>0</x:v>
      </x:c>
      <x:c r="O1745" s="9" t="n">
        <x:v>0</x:v>
      </x:c>
      <x:c r="P1745" s="9" t="str">
        <x:v>HELD / UNRELEASED</x:v>
      </x:c>
      <x:c r="Q1745" s="9" t="n">
        <x:f>COUNTIFS($A$7:$A$2310,A1745)</x:f>
        <x:v>1</x:v>
      </x:c>
    </x:row>
    <x:row r="1746">
      <x:c r="A1746" s="9" t="str">
        <x:v>PD-AR-CT-C-B-TECH-4-B1-INT-G0-PD12</x:v>
      </x:c>
      <x:c r="B1746" s="9" t="str">
        <x:v>PD-AR-CT-C-B-TECH-4-B1-INT-G0</x:v>
      </x:c>
      <x:c r="C1746" s="9" t="str">
        <x:v>EV-AR-CT-C-B-TECH-4-B1-INT-G0</x:v>
      </x:c>
      <x:c r="D1746" s="9" t="str">
        <x:v>AR-CT-C-B-TECH-4-B1-INT-G0</x:v>
      </x:c>
      <x:c r="E1746" s="9" t="str">
        <x:v>CT-C-B-TECH-4</x:v>
      </x:c>
      <x:c r="F1746" s="9" t="str">
        <x:v>CT-C-B</x:v>
      </x:c>
      <x:c r="G1746" s="9" t="str">
        <x:v>B1</x:v>
      </x:c>
      <x:c r="H1746" s="9" t="str">
        <x:v>INT</x:v>
      </x:c>
      <x:c r="I1746" s="9" t="str">
        <x:v>PD12</x:v>
      </x:c>
      <x:c r="J1746" s="17" t="str">
        <x:v>Observation acceptance and replay</x:v>
      </x:c>
      <x:c r="K1746" s="17" t="str">
        <x:v>Observation court</x:v>
      </x:c>
      <x:c r="L1746" s="17" t="str">
        <x:v>COURT-SEALED UNTIL COHORT RELEASE</x:v>
      </x:c>
      <x:c r="M1746" s="9" t="n">
        <x:v>0</x:v>
      </x:c>
      <x:c r="N1746" s="9" t="n">
        <x:v>0</x:v>
      </x:c>
      <x:c r="O1746" s="9" t="n">
        <x:v>0</x:v>
      </x:c>
      <x:c r="P1746" s="9" t="str">
        <x:v>HELD / UNRELEASED</x:v>
      </x:c>
      <x:c r="Q1746" s="9" t="n">
        <x:f>COUNTIFS($A$7:$A$2310,A1746)</x:f>
        <x:v>1</x:v>
      </x:c>
    </x:row>
    <x:row r="1747">
      <x:c r="A1747" s="9" t="str">
        <x:v>PD-AR-CT-C-B-TECH-4-B1-INT-G0-PD13</x:v>
      </x:c>
      <x:c r="B1747" s="9" t="str">
        <x:v>PD-AR-CT-C-B-TECH-4-B1-INT-G0</x:v>
      </x:c>
      <x:c r="C1747" s="9" t="str">
        <x:v>EV-AR-CT-C-B-TECH-4-B1-INT-G0</x:v>
      </x:c>
      <x:c r="D1747" s="9" t="str">
        <x:v>AR-CT-C-B-TECH-4-B1-INT-G0</x:v>
      </x:c>
      <x:c r="E1747" s="9" t="str">
        <x:v>CT-C-B-TECH-4</x:v>
      </x:c>
      <x:c r="F1747" s="9" t="str">
        <x:v>CT-C-B</x:v>
      </x:c>
      <x:c r="G1747" s="9" t="str">
        <x:v>B1</x:v>
      </x:c>
      <x:c r="H1747" s="9" t="str">
        <x:v>INT</x:v>
      </x:c>
      <x:c r="I1747" s="9" t="str">
        <x:v>PD13</x:v>
      </x:c>
      <x:c r="J1747" s="17" t="str">
        <x:v>Role judgment</x:v>
      </x:c>
      <x:c r="K1747" s="17" t="str">
        <x:v>Role court</x:v>
      </x:c>
      <x:c r="L1747" s="17" t="str">
        <x:v>COURT-SEALED UNTIL COHORT RELEASE</x:v>
      </x:c>
      <x:c r="M1747" s="9" t="n">
        <x:v>0</x:v>
      </x:c>
      <x:c r="N1747" s="9" t="n">
        <x:v>0</x:v>
      </x:c>
      <x:c r="O1747" s="9" t="n">
        <x:v>0</x:v>
      </x:c>
      <x:c r="P1747" s="9" t="str">
        <x:v>HELD / UNRELEASED</x:v>
      </x:c>
      <x:c r="Q1747" s="9" t="n">
        <x:f>COUNTIFS($A$7:$A$2310,A1747)</x:f>
        <x:v>1</x:v>
      </x:c>
    </x:row>
    <x:row r="1748">
      <x:c r="A1748" s="9" t="str">
        <x:v>PD-AR-CT-C-B-TECH-4-B1-INT-G0-PD14</x:v>
      </x:c>
      <x:c r="B1748" s="9" t="str">
        <x:v>PD-AR-CT-C-B-TECH-4-B1-INT-G0</x:v>
      </x:c>
      <x:c r="C1748" s="9" t="str">
        <x:v>EV-AR-CT-C-B-TECH-4-B1-INT-G0</x:v>
      </x:c>
      <x:c r="D1748" s="9" t="str">
        <x:v>AR-CT-C-B-TECH-4-B1-INT-G0</x:v>
      </x:c>
      <x:c r="E1748" s="9" t="str">
        <x:v>CT-C-B-TECH-4</x:v>
      </x:c>
      <x:c r="F1748" s="9" t="str">
        <x:v>CT-C-B</x:v>
      </x:c>
      <x:c r="G1748" s="9" t="str">
        <x:v>B1</x:v>
      </x:c>
      <x:c r="H1748" s="9" t="str">
        <x:v>INT</x:v>
      </x:c>
      <x:c r="I1748" s="9" t="str">
        <x:v>PD14</x:v>
      </x:c>
      <x:c r="J1748" s="17" t="str">
        <x:v>Break and residual account</x:v>
      </x:c>
      <x:c r="K1748" s="17" t="str">
        <x:v>Residual authority</x:v>
      </x:c>
      <x:c r="L1748" s="17" t="str">
        <x:v>COURT-SEALED UNTIL COHORT RELEASE</x:v>
      </x:c>
      <x:c r="M1748" s="9" t="n">
        <x:v>0</x:v>
      </x:c>
      <x:c r="N1748" s="9" t="n">
        <x:v>0</x:v>
      </x:c>
      <x:c r="O1748" s="9" t="n">
        <x:v>0</x:v>
      </x:c>
      <x:c r="P1748" s="9" t="str">
        <x:v>HELD / UNRELEASED</x:v>
      </x:c>
      <x:c r="Q1748" s="9" t="n">
        <x:f>COUNTIFS($A$7:$A$2310,A1748)</x:f>
        <x:v>1</x:v>
      </x:c>
    </x:row>
    <x:row r="1749">
      <x:c r="A1749" s="9" t="str">
        <x:v>PD-AR-CT-C-B-TECH-4-B1-INT-G0-PD15</x:v>
      </x:c>
      <x:c r="B1749" s="9" t="str">
        <x:v>PD-AR-CT-C-B-TECH-4-B1-INT-G0</x:v>
      </x:c>
      <x:c r="C1749" s="9" t="str">
        <x:v>EV-AR-CT-C-B-TECH-4-B1-INT-G0</x:v>
      </x:c>
      <x:c r="D1749" s="9" t="str">
        <x:v>AR-CT-C-B-TECH-4-B1-INT-G0</x:v>
      </x:c>
      <x:c r="E1749" s="9" t="str">
        <x:v>CT-C-B-TECH-4</x:v>
      </x:c>
      <x:c r="F1749" s="9" t="str">
        <x:v>CT-C-B</x:v>
      </x:c>
      <x:c r="G1749" s="9" t="str">
        <x:v>B1</x:v>
      </x:c>
      <x:c r="H1749" s="9" t="str">
        <x:v>INT</x:v>
      </x:c>
      <x:c r="I1749" s="9" t="str">
        <x:v>PD15</x:v>
      </x:c>
      <x:c r="J1749" s="17" t="str">
        <x:v>Reconstruction ancestry and replay</x:v>
      </x:c>
      <x:c r="K1749" s="17" t="str">
        <x:v>Reconstruction court</x:v>
      </x:c>
      <x:c r="L1749" s="17" t="str">
        <x:v>COURT-SEALED UNTIL COHORT RELEASE</x:v>
      </x:c>
      <x:c r="M1749" s="9" t="n">
        <x:v>0</x:v>
      </x:c>
      <x:c r="N1749" s="9" t="n">
        <x:v>0</x:v>
      </x:c>
      <x:c r="O1749" s="9" t="n">
        <x:v>0</x:v>
      </x:c>
      <x:c r="P1749" s="9" t="str">
        <x:v>HELD / UNRELEASED</x:v>
      </x:c>
      <x:c r="Q1749" s="9" t="n">
        <x:f>COUNTIFS($A$7:$A$2310,A1749)</x:f>
        <x:v>1</x:v>
      </x:c>
    </x:row>
    <x:row r="1750">
      <x:c r="A1750" s="9" t="str">
        <x:v>PD-AR-CT-C-B-TECH-4-B1-INT-G0-PD16</x:v>
      </x:c>
      <x:c r="B1750" s="9" t="str">
        <x:v>PD-AR-CT-C-B-TECH-4-B1-INT-G0</x:v>
      </x:c>
      <x:c r="C1750" s="9" t="str">
        <x:v>EV-AR-CT-C-B-TECH-4-B1-INT-G0</x:v>
      </x:c>
      <x:c r="D1750" s="9" t="str">
        <x:v>AR-CT-C-B-TECH-4-B1-INT-G0</x:v>
      </x:c>
      <x:c r="E1750" s="9" t="str">
        <x:v>CT-C-B-TECH-4</x:v>
      </x:c>
      <x:c r="F1750" s="9" t="str">
        <x:v>CT-C-B</x:v>
      </x:c>
      <x:c r="G1750" s="9" t="str">
        <x:v>B1</x:v>
      </x:c>
      <x:c r="H1750" s="9" t="str">
        <x:v>INT</x:v>
      </x:c>
      <x:c r="I1750" s="9" t="str">
        <x:v>PD16</x:v>
      </x:c>
      <x:c r="J1750" s="17" t="str">
        <x:v>Dissent, amendments and access log</x:v>
      </x:c>
      <x:c r="K1750" s="17" t="str">
        <x:v>Public archive</x:v>
      </x:c>
      <x:c r="L1750" s="17" t="str">
        <x:v>COURT-SEALED UNTIL COHORT RELEASE</x:v>
      </x:c>
      <x:c r="M1750" s="9" t="n">
        <x:v>0</x:v>
      </x:c>
      <x:c r="N1750" s="9" t="n">
        <x:v>0</x:v>
      </x:c>
      <x:c r="O1750" s="9" t="n">
        <x:v>0</x:v>
      </x:c>
      <x:c r="P1750" s="9" t="str">
        <x:v>HELD / UNRELEASED</x:v>
      </x:c>
      <x:c r="Q1750" s="9" t="n">
        <x:f>COUNTIFS($A$7:$A$2310,A1750)</x:f>
        <x:v>1</x:v>
      </x:c>
    </x:row>
    <x:row r="1751">
      <x:c r="A1751" s="9" t="str">
        <x:v>PD-AR-ET-A-A-TECH-4-B2-INT-G0-PD01</x:v>
      </x:c>
      <x:c r="B1751" s="9" t="str">
        <x:v>PD-AR-ET-A-A-TECH-4-B2-INT-G0</x:v>
      </x:c>
      <x:c r="C1751" s="9" t="str">
        <x:v>EV-AR-ET-A-A-TECH-4-B2-INT-G0</x:v>
      </x:c>
      <x:c r="D1751" s="9" t="str">
        <x:v>AR-ET-A-A-TECH-4-B2-INT-G0</x:v>
      </x:c>
      <x:c r="E1751" s="9" t="str">
        <x:v>ET-A-A-TECH-4</x:v>
      </x:c>
      <x:c r="F1751" s="9" t="str">
        <x:v>ET-A-A</x:v>
      </x:c>
      <x:c r="G1751" s="9" t="str">
        <x:v>B2</x:v>
      </x:c>
      <x:c r="H1751" s="9" t="str">
        <x:v>INT</x:v>
      </x:c>
      <x:c r="I1751" s="9" t="str">
        <x:v>PD01</x:v>
      </x:c>
      <x:c r="J1751" s="17" t="str">
        <x:v>Experiment kernel</x:v>
      </x:c>
      <x:c r="K1751" s="17" t="str">
        <x:v>Public archive</x:v>
      </x:c>
      <x:c r="L1751" s="17" t="str">
        <x:v>COURT-SEALED UNTIL COHORT RELEASE</x:v>
      </x:c>
      <x:c r="M1751" s="9" t="n">
        <x:v>0</x:v>
      </x:c>
      <x:c r="N1751" s="9" t="n">
        <x:v>0</x:v>
      </x:c>
      <x:c r="O1751" s="9" t="n">
        <x:v>0</x:v>
      </x:c>
      <x:c r="P1751" s="9" t="str">
        <x:v>HELD / UNRELEASED</x:v>
      </x:c>
      <x:c r="Q1751" s="9" t="n">
        <x:f>COUNTIFS($A$7:$A$2310,A1751)</x:f>
        <x:v>1</x:v>
      </x:c>
    </x:row>
    <x:row r="1752">
      <x:c r="A1752" s="9" t="str">
        <x:v>PD-AR-ET-A-A-TECH-4-B2-INT-G0-PD02</x:v>
      </x:c>
      <x:c r="B1752" s="9" t="str">
        <x:v>PD-AR-ET-A-A-TECH-4-B2-INT-G0</x:v>
      </x:c>
      <x:c r="C1752" s="9" t="str">
        <x:v>EV-AR-ET-A-A-TECH-4-B2-INT-G0</x:v>
      </x:c>
      <x:c r="D1752" s="9" t="str">
        <x:v>AR-ET-A-A-TECH-4-B2-INT-G0</x:v>
      </x:c>
      <x:c r="E1752" s="9" t="str">
        <x:v>ET-A-A-TECH-4</x:v>
      </x:c>
      <x:c r="F1752" s="9" t="str">
        <x:v>ET-A-A</x:v>
      </x:c>
      <x:c r="G1752" s="9" t="str">
        <x:v>B2</x:v>
      </x:c>
      <x:c r="H1752" s="9" t="str">
        <x:v>INT</x:v>
      </x:c>
      <x:c r="I1752" s="9" t="str">
        <x:v>PD02</x:v>
      </x:c>
      <x:c r="J1752" s="17" t="str">
        <x:v>Serial annex and title chain</x:v>
      </x:c>
      <x:c r="K1752" s="17" t="str">
        <x:v>Public archive</x:v>
      </x:c>
      <x:c r="L1752" s="17" t="str">
        <x:v>COURT-SEALED UNTIL COHORT RELEASE</x:v>
      </x:c>
      <x:c r="M1752" s="9" t="n">
        <x:v>0</x:v>
      </x:c>
      <x:c r="N1752" s="9" t="n">
        <x:v>0</x:v>
      </x:c>
      <x:c r="O1752" s="9" t="n">
        <x:v>0</x:v>
      </x:c>
      <x:c r="P1752" s="9" t="str">
        <x:v>HELD / UNRELEASED</x:v>
      </x:c>
      <x:c r="Q1752" s="9" t="n">
        <x:f>COUNTIFS($A$7:$A$2310,A1752)</x:f>
        <x:v>1</x:v>
      </x:c>
    </x:row>
    <x:row r="1753">
      <x:c r="A1753" s="9" t="str">
        <x:v>PD-AR-ET-A-A-TECH-4-B2-INT-G0-PD03</x:v>
      </x:c>
      <x:c r="B1753" s="9" t="str">
        <x:v>PD-AR-ET-A-A-TECH-4-B2-INT-G0</x:v>
      </x:c>
      <x:c r="C1753" s="9" t="str">
        <x:v>EV-AR-ET-A-A-TECH-4-B2-INT-G0</x:v>
      </x:c>
      <x:c r="D1753" s="9" t="str">
        <x:v>AR-ET-A-A-TECH-4-B2-INT-G0</x:v>
      </x:c>
      <x:c r="E1753" s="9" t="str">
        <x:v>ET-A-A-TECH-4</x:v>
      </x:c>
      <x:c r="F1753" s="9" t="str">
        <x:v>ET-A-A</x:v>
      </x:c>
      <x:c r="G1753" s="9" t="str">
        <x:v>B2</x:v>
      </x:c>
      <x:c r="H1753" s="9" t="str">
        <x:v>INT</x:v>
      </x:c>
      <x:c r="I1753" s="9" t="str">
        <x:v>PD03</x:v>
      </x:c>
      <x:c r="J1753" s="17" t="str">
        <x:v>Configuration and as-built manifest</x:v>
      </x:c>
      <x:c r="K1753" s="17" t="str">
        <x:v>Artifact exchange</x:v>
      </x:c>
      <x:c r="L1753" s="17" t="str">
        <x:v>COURT-SEALED UNTIL COHORT RELEASE</x:v>
      </x:c>
      <x:c r="M1753" s="9" t="n">
        <x:v>0</x:v>
      </x:c>
      <x:c r="N1753" s="9" t="n">
        <x:v>0</x:v>
      </x:c>
      <x:c r="O1753" s="9" t="n">
        <x:v>0</x:v>
      </x:c>
      <x:c r="P1753" s="9" t="str">
        <x:v>HELD / UNRELEASED</x:v>
      </x:c>
      <x:c r="Q1753" s="9" t="n">
        <x:f>COUNTIFS($A$7:$A$2310,A1753)</x:f>
        <x:v>1</x:v>
      </x:c>
    </x:row>
    <x:row r="1754">
      <x:c r="A1754" s="9" t="str">
        <x:v>PD-AR-ET-A-A-TECH-4-B2-INT-G0-PD04</x:v>
      </x:c>
      <x:c r="B1754" s="9" t="str">
        <x:v>PD-AR-ET-A-A-TECH-4-B2-INT-G0</x:v>
      </x:c>
      <x:c r="C1754" s="9" t="str">
        <x:v>EV-AR-ET-A-A-TECH-4-B2-INT-G0</x:v>
      </x:c>
      <x:c r="D1754" s="9" t="str">
        <x:v>AR-ET-A-A-TECH-4-B2-INT-G0</x:v>
      </x:c>
      <x:c r="E1754" s="9" t="str">
        <x:v>ET-A-A-TECH-4</x:v>
      </x:c>
      <x:c r="F1754" s="9" t="str">
        <x:v>ET-A-A</x:v>
      </x:c>
      <x:c r="G1754" s="9" t="str">
        <x:v>B2</x:v>
      </x:c>
      <x:c r="H1754" s="9" t="str">
        <x:v>INT</x:v>
      </x:c>
      <x:c r="I1754" s="9" t="str">
        <x:v>PD04</x:v>
      </x:c>
      <x:c r="J1754" s="17" t="str">
        <x:v>EOW and start certificate</x:v>
      </x:c>
      <x:c r="K1754" s="17" t="str">
        <x:v>Start registrar</x:v>
      </x:c>
      <x:c r="L1754" s="17" t="str">
        <x:v>COURT-SEALED UNTIL COHORT RELEASE</x:v>
      </x:c>
      <x:c r="M1754" s="9" t="n">
        <x:v>0</x:v>
      </x:c>
      <x:c r="N1754" s="9" t="n">
        <x:v>0</x:v>
      </x:c>
      <x:c r="O1754" s="9" t="n">
        <x:v>0</x:v>
      </x:c>
      <x:c r="P1754" s="9" t="str">
        <x:v>HELD / UNRELEASED</x:v>
      </x:c>
      <x:c r="Q1754" s="9" t="n">
        <x:f>COUNTIFS($A$7:$A$2310,A1754)</x:f>
        <x:v>1</x:v>
      </x:c>
    </x:row>
    <x:row r="1755">
      <x:c r="A1755" s="9" t="str">
        <x:v>PD-AR-ET-A-A-TECH-4-B2-INT-G0-PD05</x:v>
      </x:c>
      <x:c r="B1755" s="9" t="str">
        <x:v>PD-AR-ET-A-A-TECH-4-B2-INT-G0</x:v>
      </x:c>
      <x:c r="C1755" s="9" t="str">
        <x:v>EV-AR-ET-A-A-TECH-4-B2-INT-G0</x:v>
      </x:c>
      <x:c r="D1755" s="9" t="str">
        <x:v>AR-ET-A-A-TECH-4-B2-INT-G0</x:v>
      </x:c>
      <x:c r="E1755" s="9" t="str">
        <x:v>ET-A-A-TECH-4</x:v>
      </x:c>
      <x:c r="F1755" s="9" t="str">
        <x:v>ET-A-A</x:v>
      </x:c>
      <x:c r="G1755" s="9" t="str">
        <x:v>B2</x:v>
      </x:c>
      <x:c r="H1755" s="9" t="str">
        <x:v>INT</x:v>
      </x:c>
      <x:c r="I1755" s="9" t="str">
        <x:v>PD05</x:v>
      </x:c>
      <x:c r="J1755" s="17" t="str">
        <x:v>Primary raw originals</x:v>
      </x:c>
      <x:c r="K1755" s="17" t="str">
        <x:v>Primary custody</x:v>
      </x:c>
      <x:c r="L1755" s="17" t="str">
        <x:v>COURT-SEALED UNTIL COHORT RELEASE</x:v>
      </x:c>
      <x:c r="M1755" s="9" t="n">
        <x:v>0</x:v>
      </x:c>
      <x:c r="N1755" s="9" t="n">
        <x:v>0</x:v>
      </x:c>
      <x:c r="O1755" s="9" t="n">
        <x:v>0</x:v>
      </x:c>
      <x:c r="P1755" s="9" t="str">
        <x:v>HELD / UNRELEASED</x:v>
      </x:c>
      <x:c r="Q1755" s="9" t="n">
        <x:f>COUNTIFS($A$7:$A$2310,A1755)</x:f>
        <x:v>1</x:v>
      </x:c>
    </x:row>
    <x:row r="1756">
      <x:c r="A1756" s="9" t="str">
        <x:v>PD-AR-ET-A-A-TECH-4-B2-INT-G0-PD06</x:v>
      </x:c>
      <x:c r="B1756" s="9" t="str">
        <x:v>PD-AR-ET-A-A-TECH-4-B2-INT-G0</x:v>
      </x:c>
      <x:c r="C1756" s="9" t="str">
        <x:v>EV-AR-ET-A-A-TECH-4-B2-INT-G0</x:v>
      </x:c>
      <x:c r="D1756" s="9" t="str">
        <x:v>AR-ET-A-A-TECH-4-B2-INT-G0</x:v>
      </x:c>
      <x:c r="E1756" s="9" t="str">
        <x:v>ET-A-A-TECH-4</x:v>
      </x:c>
      <x:c r="F1756" s="9" t="str">
        <x:v>ET-A-A</x:v>
      </x:c>
      <x:c r="G1756" s="9" t="str">
        <x:v>B2</x:v>
      </x:c>
      <x:c r="H1756" s="9" t="str">
        <x:v>INT</x:v>
      </x:c>
      <x:c r="I1756" s="9" t="str">
        <x:v>PD06</x:v>
      </x:c>
      <x:c r="J1756" s="17" t="str">
        <x:v>Witness raw originals</x:v>
      </x:c>
      <x:c r="K1756" s="17" t="str">
        <x:v>Witness custody</x:v>
      </x:c>
      <x:c r="L1756" s="17" t="str">
        <x:v>COURT-SEALED UNTIL COHORT RELEASE</x:v>
      </x:c>
      <x:c r="M1756" s="9" t="n">
        <x:v>0</x:v>
      </x:c>
      <x:c r="N1756" s="9" t="n">
        <x:v>0</x:v>
      </x:c>
      <x:c r="O1756" s="9" t="n">
        <x:v>0</x:v>
      </x:c>
      <x:c r="P1756" s="9" t="str">
        <x:v>HELD / UNRELEASED</x:v>
      </x:c>
      <x:c r="Q1756" s="9" t="n">
        <x:f>COUNTIFS($A$7:$A$2310,A1756)</x:f>
        <x:v>1</x:v>
      </x:c>
    </x:row>
    <x:row r="1757">
      <x:c r="A1757" s="9" t="str">
        <x:v>PD-AR-ET-A-A-TECH-4-B2-INT-G0-PD07</x:v>
      </x:c>
      <x:c r="B1757" s="9" t="str">
        <x:v>PD-AR-ET-A-A-TECH-4-B2-INT-G0</x:v>
      </x:c>
      <x:c r="C1757" s="9" t="str">
        <x:v>EV-AR-ET-A-A-TECH-4-B2-INT-G0</x:v>
      </x:c>
      <x:c r="D1757" s="9" t="str">
        <x:v>AR-ET-A-A-TECH-4-B2-INT-G0</x:v>
      </x:c>
      <x:c r="E1757" s="9" t="str">
        <x:v>ET-A-A-TECH-4</x:v>
      </x:c>
      <x:c r="F1757" s="9" t="str">
        <x:v>ET-A-A</x:v>
      </x:c>
      <x:c r="G1757" s="9" t="str">
        <x:v>B2</x:v>
      </x:c>
      <x:c r="H1757" s="9" t="str">
        <x:v>INT</x:v>
      </x:c>
      <x:c r="I1757" s="9" t="str">
        <x:v>PD07</x:v>
      </x:c>
      <x:c r="J1757" s="17" t="str">
        <x:v>Clock and environmental records</x:v>
      </x:c>
      <x:c r="K1757" s="17" t="str">
        <x:v>Boundary archive</x:v>
      </x:c>
      <x:c r="L1757" s="17" t="str">
        <x:v>COURT-SEALED UNTIL COHORT RELEASE</x:v>
      </x:c>
      <x:c r="M1757" s="9" t="n">
        <x:v>0</x:v>
      </x:c>
      <x:c r="N1757" s="9" t="n">
        <x:v>0</x:v>
      </x:c>
      <x:c r="O1757" s="9" t="n">
        <x:v>0</x:v>
      </x:c>
      <x:c r="P1757" s="9" t="str">
        <x:v>HELD / UNRELEASED</x:v>
      </x:c>
      <x:c r="Q1757" s="9" t="n">
        <x:f>COUNTIFS($A$7:$A$2310,A1757)</x:f>
        <x:v>1</x:v>
      </x:c>
    </x:row>
    <x:row r="1758">
      <x:c r="A1758" s="9" t="str">
        <x:v>PD-AR-ET-A-A-TECH-4-B2-INT-G0-PD08</x:v>
      </x:c>
      <x:c r="B1758" s="9" t="str">
        <x:v>PD-AR-ET-A-A-TECH-4-B2-INT-G0</x:v>
      </x:c>
      <x:c r="C1758" s="9" t="str">
        <x:v>EV-AR-ET-A-A-TECH-4-B2-INT-G0</x:v>
      </x:c>
      <x:c r="D1758" s="9" t="str">
        <x:v>AR-ET-A-A-TECH-4-B2-INT-G0</x:v>
      </x:c>
      <x:c r="E1758" s="9" t="str">
        <x:v>ET-A-A-TECH-4</x:v>
      </x:c>
      <x:c r="F1758" s="9" t="str">
        <x:v>ET-A-A</x:v>
      </x:c>
      <x:c r="G1758" s="9" t="str">
        <x:v>B2</x:v>
      </x:c>
      <x:c r="H1758" s="9" t="str">
        <x:v>INT</x:v>
      </x:c>
      <x:c r="I1758" s="9" t="str">
        <x:v>PD08</x:v>
      </x:c>
      <x:c r="J1758" s="17" t="str">
        <x:v>Command and intervention log</x:v>
      </x:c>
      <x:c r="K1758" s="17" t="str">
        <x:v>Safety archive</x:v>
      </x:c>
      <x:c r="L1758" s="17" t="str">
        <x:v>COURT-SEALED UNTIL COHORT RELEASE</x:v>
      </x:c>
      <x:c r="M1758" s="9" t="n">
        <x:v>0</x:v>
      </x:c>
      <x:c r="N1758" s="9" t="n">
        <x:v>0</x:v>
      </x:c>
      <x:c r="O1758" s="9" t="n">
        <x:v>0</x:v>
      </x:c>
      <x:c r="P1758" s="9" t="str">
        <x:v>HELD / UNRELEASED</x:v>
      </x:c>
      <x:c r="Q1758" s="9" t="n">
        <x:f>COUNTIFS($A$7:$A$2310,A1758)</x:f>
        <x:v>1</x:v>
      </x:c>
    </x:row>
    <x:row r="1759">
      <x:c r="A1759" s="9" t="str">
        <x:v>PD-AR-ET-A-A-TECH-4-B2-INT-G0-PD09</x:v>
      </x:c>
      <x:c r="B1759" s="9" t="str">
        <x:v>PD-AR-ET-A-A-TECH-4-B2-INT-G0</x:v>
      </x:c>
      <x:c r="C1759" s="9" t="str">
        <x:v>EV-AR-ET-A-A-TECH-4-B2-INT-G0</x:v>
      </x:c>
      <x:c r="D1759" s="9" t="str">
        <x:v>AR-ET-A-A-TECH-4-B2-INT-G0</x:v>
      </x:c>
      <x:c r="E1759" s="9" t="str">
        <x:v>ET-A-A-TECH-4</x:v>
      </x:c>
      <x:c r="F1759" s="9" t="str">
        <x:v>ET-A-A</x:v>
      </x:c>
      <x:c r="G1759" s="9" t="str">
        <x:v>B2</x:v>
      </x:c>
      <x:c r="H1759" s="9" t="str">
        <x:v>INT</x:v>
      </x:c>
      <x:c r="I1759" s="9" t="str">
        <x:v>PD09</x:v>
      </x:c>
      <x:c r="J1759" s="17" t="str">
        <x:v>Receiver denominator and service ledger</x:v>
      </x:c>
      <x:c r="K1759" s="17" t="str">
        <x:v>Receiver archive</x:v>
      </x:c>
      <x:c r="L1759" s="17" t="str">
        <x:v>COURT-SEALED UNTIL COHORT RELEASE</x:v>
      </x:c>
      <x:c r="M1759" s="9" t="n">
        <x:v>0</x:v>
      </x:c>
      <x:c r="N1759" s="9" t="n">
        <x:v>0</x:v>
      </x:c>
      <x:c r="O1759" s="9" t="n">
        <x:v>0</x:v>
      </x:c>
      <x:c r="P1759" s="9" t="str">
        <x:v>HELD / UNRELEASED</x:v>
      </x:c>
      <x:c r="Q1759" s="9" t="n">
        <x:f>COUNTIFS($A$7:$A$2310,A1759)</x:f>
        <x:v>1</x:v>
      </x:c>
    </x:row>
    <x:row r="1760">
      <x:c r="A1760" s="9" t="str">
        <x:v>PD-AR-ET-A-A-TECH-4-B2-INT-G0-PD10</x:v>
      </x:c>
      <x:c r="B1760" s="9" t="str">
        <x:v>PD-AR-ET-A-A-TECH-4-B2-INT-G0</x:v>
      </x:c>
      <x:c r="C1760" s="9" t="str">
        <x:v>EV-AR-ET-A-A-TECH-4-B2-INT-G0</x:v>
      </x:c>
      <x:c r="D1760" s="9" t="str">
        <x:v>AR-ET-A-A-TECH-4-B2-INT-G0</x:v>
      </x:c>
      <x:c r="E1760" s="9" t="str">
        <x:v>ET-A-A-TECH-4</x:v>
      </x:c>
      <x:c r="F1760" s="9" t="str">
        <x:v>ET-A-A</x:v>
      </x:c>
      <x:c r="G1760" s="9" t="str">
        <x:v>B2</x:v>
      </x:c>
      <x:c r="H1760" s="9" t="str">
        <x:v>INT</x:v>
      </x:c>
      <x:c r="I1760" s="9" t="str">
        <x:v>PD10</x:v>
      </x:c>
      <x:c r="J1760" s="17" t="str">
        <x:v>Calibration and uncertainty record</x:v>
      </x:c>
      <x:c r="K1760" s="17" t="str">
        <x:v>Metrology archive</x:v>
      </x:c>
      <x:c r="L1760" s="17" t="str">
        <x:v>COURT-SEALED UNTIL COHORT RELEASE</x:v>
      </x:c>
      <x:c r="M1760" s="9" t="n">
        <x:v>0</x:v>
      </x:c>
      <x:c r="N1760" s="9" t="n">
        <x:v>0</x:v>
      </x:c>
      <x:c r="O1760" s="9" t="n">
        <x:v>0</x:v>
      </x:c>
      <x:c r="P1760" s="9" t="str">
        <x:v>HELD / UNRELEASED</x:v>
      </x:c>
      <x:c r="Q1760" s="9" t="n">
        <x:f>COUNTIFS($A$7:$A$2310,A1760)</x:f>
        <x:v>1</x:v>
      </x:c>
    </x:row>
    <x:row r="1761">
      <x:c r="A1761" s="9" t="str">
        <x:v>PD-AR-ET-A-A-TECH-4-B2-INT-G0-PD11</x:v>
      </x:c>
      <x:c r="B1761" s="9" t="str">
        <x:v>PD-AR-ET-A-A-TECH-4-B2-INT-G0</x:v>
      </x:c>
      <x:c r="C1761" s="9" t="str">
        <x:v>EV-AR-ET-A-A-TECH-4-B2-INT-G0</x:v>
      </x:c>
      <x:c r="D1761" s="9" t="str">
        <x:v>AR-ET-A-A-TECH-4-B2-INT-G0</x:v>
      </x:c>
      <x:c r="E1761" s="9" t="str">
        <x:v>ET-A-A-TECH-4</x:v>
      </x:c>
      <x:c r="F1761" s="9" t="str">
        <x:v>ET-A-A</x:v>
      </x:c>
      <x:c r="G1761" s="9" t="str">
        <x:v>B2</x:v>
      </x:c>
      <x:c r="H1761" s="9" t="str">
        <x:v>INT</x:v>
      </x:c>
      <x:c r="I1761" s="9" t="str">
        <x:v>PD11</x:v>
      </x:c>
      <x:c r="J1761" s="17" t="str">
        <x:v>Invalidity petition and opinion</x:v>
      </x:c>
      <x:c r="K1761" s="17" t="str">
        <x:v>Invalidity court</x:v>
      </x:c>
      <x:c r="L1761" s="17" t="str">
        <x:v>COURT-SEALED UNTIL COHORT RELEASE</x:v>
      </x:c>
      <x:c r="M1761" s="9" t="n">
        <x:v>0</x:v>
      </x:c>
      <x:c r="N1761" s="9" t="n">
        <x:v>0</x:v>
      </x:c>
      <x:c r="O1761" s="9" t="n">
        <x:v>0</x:v>
      </x:c>
      <x:c r="P1761" s="9" t="str">
        <x:v>HELD / UNRELEASED</x:v>
      </x:c>
      <x:c r="Q1761" s="9" t="n">
        <x:f>COUNTIFS($A$7:$A$2310,A1761)</x:f>
        <x:v>1</x:v>
      </x:c>
    </x:row>
    <x:row r="1762">
      <x:c r="A1762" s="9" t="str">
        <x:v>PD-AR-ET-A-A-TECH-4-B2-INT-G0-PD12</x:v>
      </x:c>
      <x:c r="B1762" s="9" t="str">
        <x:v>PD-AR-ET-A-A-TECH-4-B2-INT-G0</x:v>
      </x:c>
      <x:c r="C1762" s="9" t="str">
        <x:v>EV-AR-ET-A-A-TECH-4-B2-INT-G0</x:v>
      </x:c>
      <x:c r="D1762" s="9" t="str">
        <x:v>AR-ET-A-A-TECH-4-B2-INT-G0</x:v>
      </x:c>
      <x:c r="E1762" s="9" t="str">
        <x:v>ET-A-A-TECH-4</x:v>
      </x:c>
      <x:c r="F1762" s="9" t="str">
        <x:v>ET-A-A</x:v>
      </x:c>
      <x:c r="G1762" s="9" t="str">
        <x:v>B2</x:v>
      </x:c>
      <x:c r="H1762" s="9" t="str">
        <x:v>INT</x:v>
      </x:c>
      <x:c r="I1762" s="9" t="str">
        <x:v>PD12</x:v>
      </x:c>
      <x:c r="J1762" s="17" t="str">
        <x:v>Observation acceptance and replay</x:v>
      </x:c>
      <x:c r="K1762" s="17" t="str">
        <x:v>Observation court</x:v>
      </x:c>
      <x:c r="L1762" s="17" t="str">
        <x:v>COURT-SEALED UNTIL COHORT RELEASE</x:v>
      </x:c>
      <x:c r="M1762" s="9" t="n">
        <x:v>0</x:v>
      </x:c>
      <x:c r="N1762" s="9" t="n">
        <x:v>0</x:v>
      </x:c>
      <x:c r="O1762" s="9" t="n">
        <x:v>0</x:v>
      </x:c>
      <x:c r="P1762" s="9" t="str">
        <x:v>HELD / UNRELEASED</x:v>
      </x:c>
      <x:c r="Q1762" s="9" t="n">
        <x:f>COUNTIFS($A$7:$A$2310,A1762)</x:f>
        <x:v>1</x:v>
      </x:c>
    </x:row>
    <x:row r="1763">
      <x:c r="A1763" s="9" t="str">
        <x:v>PD-AR-ET-A-A-TECH-4-B2-INT-G0-PD13</x:v>
      </x:c>
      <x:c r="B1763" s="9" t="str">
        <x:v>PD-AR-ET-A-A-TECH-4-B2-INT-G0</x:v>
      </x:c>
      <x:c r="C1763" s="9" t="str">
        <x:v>EV-AR-ET-A-A-TECH-4-B2-INT-G0</x:v>
      </x:c>
      <x:c r="D1763" s="9" t="str">
        <x:v>AR-ET-A-A-TECH-4-B2-INT-G0</x:v>
      </x:c>
      <x:c r="E1763" s="9" t="str">
        <x:v>ET-A-A-TECH-4</x:v>
      </x:c>
      <x:c r="F1763" s="9" t="str">
        <x:v>ET-A-A</x:v>
      </x:c>
      <x:c r="G1763" s="9" t="str">
        <x:v>B2</x:v>
      </x:c>
      <x:c r="H1763" s="9" t="str">
        <x:v>INT</x:v>
      </x:c>
      <x:c r="I1763" s="9" t="str">
        <x:v>PD13</x:v>
      </x:c>
      <x:c r="J1763" s="17" t="str">
        <x:v>Role judgment</x:v>
      </x:c>
      <x:c r="K1763" s="17" t="str">
        <x:v>Role court</x:v>
      </x:c>
      <x:c r="L1763" s="17" t="str">
        <x:v>COURT-SEALED UNTIL COHORT RELEASE</x:v>
      </x:c>
      <x:c r="M1763" s="9" t="n">
        <x:v>0</x:v>
      </x:c>
      <x:c r="N1763" s="9" t="n">
        <x:v>0</x:v>
      </x:c>
      <x:c r="O1763" s="9" t="n">
        <x:v>0</x:v>
      </x:c>
      <x:c r="P1763" s="9" t="str">
        <x:v>HELD / UNRELEASED</x:v>
      </x:c>
      <x:c r="Q1763" s="9" t="n">
        <x:f>COUNTIFS($A$7:$A$2310,A1763)</x:f>
        <x:v>1</x:v>
      </x:c>
    </x:row>
    <x:row r="1764">
      <x:c r="A1764" s="9" t="str">
        <x:v>PD-AR-ET-A-A-TECH-4-B2-INT-G0-PD14</x:v>
      </x:c>
      <x:c r="B1764" s="9" t="str">
        <x:v>PD-AR-ET-A-A-TECH-4-B2-INT-G0</x:v>
      </x:c>
      <x:c r="C1764" s="9" t="str">
        <x:v>EV-AR-ET-A-A-TECH-4-B2-INT-G0</x:v>
      </x:c>
      <x:c r="D1764" s="9" t="str">
        <x:v>AR-ET-A-A-TECH-4-B2-INT-G0</x:v>
      </x:c>
      <x:c r="E1764" s="9" t="str">
        <x:v>ET-A-A-TECH-4</x:v>
      </x:c>
      <x:c r="F1764" s="9" t="str">
        <x:v>ET-A-A</x:v>
      </x:c>
      <x:c r="G1764" s="9" t="str">
        <x:v>B2</x:v>
      </x:c>
      <x:c r="H1764" s="9" t="str">
        <x:v>INT</x:v>
      </x:c>
      <x:c r="I1764" s="9" t="str">
        <x:v>PD14</x:v>
      </x:c>
      <x:c r="J1764" s="17" t="str">
        <x:v>Break and residual account</x:v>
      </x:c>
      <x:c r="K1764" s="17" t="str">
        <x:v>Residual authority</x:v>
      </x:c>
      <x:c r="L1764" s="17" t="str">
        <x:v>COURT-SEALED UNTIL COHORT RELEASE</x:v>
      </x:c>
      <x:c r="M1764" s="9" t="n">
        <x:v>0</x:v>
      </x:c>
      <x:c r="N1764" s="9" t="n">
        <x:v>0</x:v>
      </x:c>
      <x:c r="O1764" s="9" t="n">
        <x:v>0</x:v>
      </x:c>
      <x:c r="P1764" s="9" t="str">
        <x:v>HELD / UNRELEASED</x:v>
      </x:c>
      <x:c r="Q1764" s="9" t="n">
        <x:f>COUNTIFS($A$7:$A$2310,A1764)</x:f>
        <x:v>1</x:v>
      </x:c>
    </x:row>
    <x:row r="1765">
      <x:c r="A1765" s="9" t="str">
        <x:v>PD-AR-ET-A-A-TECH-4-B2-INT-G0-PD15</x:v>
      </x:c>
      <x:c r="B1765" s="9" t="str">
        <x:v>PD-AR-ET-A-A-TECH-4-B2-INT-G0</x:v>
      </x:c>
      <x:c r="C1765" s="9" t="str">
        <x:v>EV-AR-ET-A-A-TECH-4-B2-INT-G0</x:v>
      </x:c>
      <x:c r="D1765" s="9" t="str">
        <x:v>AR-ET-A-A-TECH-4-B2-INT-G0</x:v>
      </x:c>
      <x:c r="E1765" s="9" t="str">
        <x:v>ET-A-A-TECH-4</x:v>
      </x:c>
      <x:c r="F1765" s="9" t="str">
        <x:v>ET-A-A</x:v>
      </x:c>
      <x:c r="G1765" s="9" t="str">
        <x:v>B2</x:v>
      </x:c>
      <x:c r="H1765" s="9" t="str">
        <x:v>INT</x:v>
      </x:c>
      <x:c r="I1765" s="9" t="str">
        <x:v>PD15</x:v>
      </x:c>
      <x:c r="J1765" s="17" t="str">
        <x:v>Reconstruction ancestry and replay</x:v>
      </x:c>
      <x:c r="K1765" s="17" t="str">
        <x:v>Reconstruction court</x:v>
      </x:c>
      <x:c r="L1765" s="17" t="str">
        <x:v>COURT-SEALED UNTIL COHORT RELEASE</x:v>
      </x:c>
      <x:c r="M1765" s="9" t="n">
        <x:v>0</x:v>
      </x:c>
      <x:c r="N1765" s="9" t="n">
        <x:v>0</x:v>
      </x:c>
      <x:c r="O1765" s="9" t="n">
        <x:v>0</x:v>
      </x:c>
      <x:c r="P1765" s="9" t="str">
        <x:v>HELD / UNRELEASED</x:v>
      </x:c>
      <x:c r="Q1765" s="9" t="n">
        <x:f>COUNTIFS($A$7:$A$2310,A1765)</x:f>
        <x:v>1</x:v>
      </x:c>
    </x:row>
    <x:row r="1766">
      <x:c r="A1766" s="9" t="str">
        <x:v>PD-AR-ET-A-A-TECH-4-B2-INT-G0-PD16</x:v>
      </x:c>
      <x:c r="B1766" s="9" t="str">
        <x:v>PD-AR-ET-A-A-TECH-4-B2-INT-G0</x:v>
      </x:c>
      <x:c r="C1766" s="9" t="str">
        <x:v>EV-AR-ET-A-A-TECH-4-B2-INT-G0</x:v>
      </x:c>
      <x:c r="D1766" s="9" t="str">
        <x:v>AR-ET-A-A-TECH-4-B2-INT-G0</x:v>
      </x:c>
      <x:c r="E1766" s="9" t="str">
        <x:v>ET-A-A-TECH-4</x:v>
      </x:c>
      <x:c r="F1766" s="9" t="str">
        <x:v>ET-A-A</x:v>
      </x:c>
      <x:c r="G1766" s="9" t="str">
        <x:v>B2</x:v>
      </x:c>
      <x:c r="H1766" s="9" t="str">
        <x:v>INT</x:v>
      </x:c>
      <x:c r="I1766" s="9" t="str">
        <x:v>PD16</x:v>
      </x:c>
      <x:c r="J1766" s="17" t="str">
        <x:v>Dissent, amendments and access log</x:v>
      </x:c>
      <x:c r="K1766" s="17" t="str">
        <x:v>Public archive</x:v>
      </x:c>
      <x:c r="L1766" s="17" t="str">
        <x:v>COURT-SEALED UNTIL COHORT RELEASE</x:v>
      </x:c>
      <x:c r="M1766" s="9" t="n">
        <x:v>0</x:v>
      </x:c>
      <x:c r="N1766" s="9" t="n">
        <x:v>0</x:v>
      </x:c>
      <x:c r="O1766" s="9" t="n">
        <x:v>0</x:v>
      </x:c>
      <x:c r="P1766" s="9" t="str">
        <x:v>HELD / UNRELEASED</x:v>
      </x:c>
      <x:c r="Q1766" s="9" t="n">
        <x:f>COUNTIFS($A$7:$A$2310,A1766)</x:f>
        <x:v>1</x:v>
      </x:c>
    </x:row>
    <x:row r="1767">
      <x:c r="A1767" s="9" t="str">
        <x:v>PD-AR-HU-A-B-TECH-1-B1-INT-G0-PD01</x:v>
      </x:c>
      <x:c r="B1767" s="9" t="str">
        <x:v>PD-AR-HU-A-B-TECH-1-B1-INT-G0</x:v>
      </x:c>
      <x:c r="C1767" s="9" t="str">
        <x:v>EV-AR-HU-A-B-TECH-1-B1-INT-G0</x:v>
      </x:c>
      <x:c r="D1767" s="9" t="str">
        <x:v>AR-HU-A-B-TECH-1-B1-INT-G0</x:v>
      </x:c>
      <x:c r="E1767" s="9" t="str">
        <x:v>HU-A-B-TECH-1</x:v>
      </x:c>
      <x:c r="F1767" s="9" t="str">
        <x:v>HU-A-B</x:v>
      </x:c>
      <x:c r="G1767" s="9" t="str">
        <x:v>B1</x:v>
      </x:c>
      <x:c r="H1767" s="9" t="str">
        <x:v>INT</x:v>
      </x:c>
      <x:c r="I1767" s="9" t="str">
        <x:v>PD01</x:v>
      </x:c>
      <x:c r="J1767" s="17" t="str">
        <x:v>Experiment kernel</x:v>
      </x:c>
      <x:c r="K1767" s="17" t="str">
        <x:v>Public archive</x:v>
      </x:c>
      <x:c r="L1767" s="17" t="str">
        <x:v>COURT-SEALED UNTIL COHORT RELEASE</x:v>
      </x:c>
      <x:c r="M1767" s="9" t="n">
        <x:v>0</x:v>
      </x:c>
      <x:c r="N1767" s="9" t="n">
        <x:v>0</x:v>
      </x:c>
      <x:c r="O1767" s="9" t="n">
        <x:v>0</x:v>
      </x:c>
      <x:c r="P1767" s="9" t="str">
        <x:v>HELD / UNRELEASED</x:v>
      </x:c>
      <x:c r="Q1767" s="9" t="n">
        <x:f>COUNTIFS($A$7:$A$2310,A1767)</x:f>
        <x:v>1</x:v>
      </x:c>
    </x:row>
    <x:row r="1768">
      <x:c r="A1768" s="9" t="str">
        <x:v>PD-AR-HU-A-B-TECH-1-B1-INT-G0-PD02</x:v>
      </x:c>
      <x:c r="B1768" s="9" t="str">
        <x:v>PD-AR-HU-A-B-TECH-1-B1-INT-G0</x:v>
      </x:c>
      <x:c r="C1768" s="9" t="str">
        <x:v>EV-AR-HU-A-B-TECH-1-B1-INT-G0</x:v>
      </x:c>
      <x:c r="D1768" s="9" t="str">
        <x:v>AR-HU-A-B-TECH-1-B1-INT-G0</x:v>
      </x:c>
      <x:c r="E1768" s="9" t="str">
        <x:v>HU-A-B-TECH-1</x:v>
      </x:c>
      <x:c r="F1768" s="9" t="str">
        <x:v>HU-A-B</x:v>
      </x:c>
      <x:c r="G1768" s="9" t="str">
        <x:v>B1</x:v>
      </x:c>
      <x:c r="H1768" s="9" t="str">
        <x:v>INT</x:v>
      </x:c>
      <x:c r="I1768" s="9" t="str">
        <x:v>PD02</x:v>
      </x:c>
      <x:c r="J1768" s="17" t="str">
        <x:v>Serial annex and title chain</x:v>
      </x:c>
      <x:c r="K1768" s="17" t="str">
        <x:v>Public archive</x:v>
      </x:c>
      <x:c r="L1768" s="17" t="str">
        <x:v>COURT-SEALED UNTIL COHORT RELEASE</x:v>
      </x:c>
      <x:c r="M1768" s="9" t="n">
        <x:v>0</x:v>
      </x:c>
      <x:c r="N1768" s="9" t="n">
        <x:v>0</x:v>
      </x:c>
      <x:c r="O1768" s="9" t="n">
        <x:v>0</x:v>
      </x:c>
      <x:c r="P1768" s="9" t="str">
        <x:v>HELD / UNRELEASED</x:v>
      </x:c>
      <x:c r="Q1768" s="9" t="n">
        <x:f>COUNTIFS($A$7:$A$2310,A1768)</x:f>
        <x:v>1</x:v>
      </x:c>
    </x:row>
    <x:row r="1769">
      <x:c r="A1769" s="9" t="str">
        <x:v>PD-AR-HU-A-B-TECH-1-B1-INT-G0-PD03</x:v>
      </x:c>
      <x:c r="B1769" s="9" t="str">
        <x:v>PD-AR-HU-A-B-TECH-1-B1-INT-G0</x:v>
      </x:c>
      <x:c r="C1769" s="9" t="str">
        <x:v>EV-AR-HU-A-B-TECH-1-B1-INT-G0</x:v>
      </x:c>
      <x:c r="D1769" s="9" t="str">
        <x:v>AR-HU-A-B-TECH-1-B1-INT-G0</x:v>
      </x:c>
      <x:c r="E1769" s="9" t="str">
        <x:v>HU-A-B-TECH-1</x:v>
      </x:c>
      <x:c r="F1769" s="9" t="str">
        <x:v>HU-A-B</x:v>
      </x:c>
      <x:c r="G1769" s="9" t="str">
        <x:v>B1</x:v>
      </x:c>
      <x:c r="H1769" s="9" t="str">
        <x:v>INT</x:v>
      </x:c>
      <x:c r="I1769" s="9" t="str">
        <x:v>PD03</x:v>
      </x:c>
      <x:c r="J1769" s="17" t="str">
        <x:v>Configuration and as-built manifest</x:v>
      </x:c>
      <x:c r="K1769" s="17" t="str">
        <x:v>Artifact exchange</x:v>
      </x:c>
      <x:c r="L1769" s="17" t="str">
        <x:v>COURT-SEALED UNTIL COHORT RELEASE</x:v>
      </x:c>
      <x:c r="M1769" s="9" t="n">
        <x:v>0</x:v>
      </x:c>
      <x:c r="N1769" s="9" t="n">
        <x:v>0</x:v>
      </x:c>
      <x:c r="O1769" s="9" t="n">
        <x:v>0</x:v>
      </x:c>
      <x:c r="P1769" s="9" t="str">
        <x:v>HELD / UNRELEASED</x:v>
      </x:c>
      <x:c r="Q1769" s="9" t="n">
        <x:f>COUNTIFS($A$7:$A$2310,A1769)</x:f>
        <x:v>1</x:v>
      </x:c>
    </x:row>
    <x:row r="1770">
      <x:c r="A1770" s="9" t="str">
        <x:v>PD-AR-HU-A-B-TECH-1-B1-INT-G0-PD04</x:v>
      </x:c>
      <x:c r="B1770" s="9" t="str">
        <x:v>PD-AR-HU-A-B-TECH-1-B1-INT-G0</x:v>
      </x:c>
      <x:c r="C1770" s="9" t="str">
        <x:v>EV-AR-HU-A-B-TECH-1-B1-INT-G0</x:v>
      </x:c>
      <x:c r="D1770" s="9" t="str">
        <x:v>AR-HU-A-B-TECH-1-B1-INT-G0</x:v>
      </x:c>
      <x:c r="E1770" s="9" t="str">
        <x:v>HU-A-B-TECH-1</x:v>
      </x:c>
      <x:c r="F1770" s="9" t="str">
        <x:v>HU-A-B</x:v>
      </x:c>
      <x:c r="G1770" s="9" t="str">
        <x:v>B1</x:v>
      </x:c>
      <x:c r="H1770" s="9" t="str">
        <x:v>INT</x:v>
      </x:c>
      <x:c r="I1770" s="9" t="str">
        <x:v>PD04</x:v>
      </x:c>
      <x:c r="J1770" s="17" t="str">
        <x:v>EOW and start certificate</x:v>
      </x:c>
      <x:c r="K1770" s="17" t="str">
        <x:v>Start registrar</x:v>
      </x:c>
      <x:c r="L1770" s="17" t="str">
        <x:v>COURT-SEALED UNTIL COHORT RELEASE</x:v>
      </x:c>
      <x:c r="M1770" s="9" t="n">
        <x:v>0</x:v>
      </x:c>
      <x:c r="N1770" s="9" t="n">
        <x:v>0</x:v>
      </x:c>
      <x:c r="O1770" s="9" t="n">
        <x:v>0</x:v>
      </x:c>
      <x:c r="P1770" s="9" t="str">
        <x:v>HELD / UNRELEASED</x:v>
      </x:c>
      <x:c r="Q1770" s="9" t="n">
        <x:f>COUNTIFS($A$7:$A$2310,A1770)</x:f>
        <x:v>1</x:v>
      </x:c>
    </x:row>
    <x:row r="1771">
      <x:c r="A1771" s="9" t="str">
        <x:v>PD-AR-HU-A-B-TECH-1-B1-INT-G0-PD05</x:v>
      </x:c>
      <x:c r="B1771" s="9" t="str">
        <x:v>PD-AR-HU-A-B-TECH-1-B1-INT-G0</x:v>
      </x:c>
      <x:c r="C1771" s="9" t="str">
        <x:v>EV-AR-HU-A-B-TECH-1-B1-INT-G0</x:v>
      </x:c>
      <x:c r="D1771" s="9" t="str">
        <x:v>AR-HU-A-B-TECH-1-B1-INT-G0</x:v>
      </x:c>
      <x:c r="E1771" s="9" t="str">
        <x:v>HU-A-B-TECH-1</x:v>
      </x:c>
      <x:c r="F1771" s="9" t="str">
        <x:v>HU-A-B</x:v>
      </x:c>
      <x:c r="G1771" s="9" t="str">
        <x:v>B1</x:v>
      </x:c>
      <x:c r="H1771" s="9" t="str">
        <x:v>INT</x:v>
      </x:c>
      <x:c r="I1771" s="9" t="str">
        <x:v>PD05</x:v>
      </x:c>
      <x:c r="J1771" s="17" t="str">
        <x:v>Primary raw originals</x:v>
      </x:c>
      <x:c r="K1771" s="17" t="str">
        <x:v>Primary custody</x:v>
      </x:c>
      <x:c r="L1771" s="17" t="str">
        <x:v>COURT-SEALED UNTIL COHORT RELEASE</x:v>
      </x:c>
      <x:c r="M1771" s="9" t="n">
        <x:v>0</x:v>
      </x:c>
      <x:c r="N1771" s="9" t="n">
        <x:v>0</x:v>
      </x:c>
      <x:c r="O1771" s="9" t="n">
        <x:v>0</x:v>
      </x:c>
      <x:c r="P1771" s="9" t="str">
        <x:v>HELD / UNRELEASED</x:v>
      </x:c>
      <x:c r="Q1771" s="9" t="n">
        <x:f>COUNTIFS($A$7:$A$2310,A1771)</x:f>
        <x:v>1</x:v>
      </x:c>
    </x:row>
    <x:row r="1772">
      <x:c r="A1772" s="9" t="str">
        <x:v>PD-AR-HU-A-B-TECH-1-B1-INT-G0-PD06</x:v>
      </x:c>
      <x:c r="B1772" s="9" t="str">
        <x:v>PD-AR-HU-A-B-TECH-1-B1-INT-G0</x:v>
      </x:c>
      <x:c r="C1772" s="9" t="str">
        <x:v>EV-AR-HU-A-B-TECH-1-B1-INT-G0</x:v>
      </x:c>
      <x:c r="D1772" s="9" t="str">
        <x:v>AR-HU-A-B-TECH-1-B1-INT-G0</x:v>
      </x:c>
      <x:c r="E1772" s="9" t="str">
        <x:v>HU-A-B-TECH-1</x:v>
      </x:c>
      <x:c r="F1772" s="9" t="str">
        <x:v>HU-A-B</x:v>
      </x:c>
      <x:c r="G1772" s="9" t="str">
        <x:v>B1</x:v>
      </x:c>
      <x:c r="H1772" s="9" t="str">
        <x:v>INT</x:v>
      </x:c>
      <x:c r="I1772" s="9" t="str">
        <x:v>PD06</x:v>
      </x:c>
      <x:c r="J1772" s="17" t="str">
        <x:v>Witness raw originals</x:v>
      </x:c>
      <x:c r="K1772" s="17" t="str">
        <x:v>Witness custody</x:v>
      </x:c>
      <x:c r="L1772" s="17" t="str">
        <x:v>COURT-SEALED UNTIL COHORT RELEASE</x:v>
      </x:c>
      <x:c r="M1772" s="9" t="n">
        <x:v>0</x:v>
      </x:c>
      <x:c r="N1772" s="9" t="n">
        <x:v>0</x:v>
      </x:c>
      <x:c r="O1772" s="9" t="n">
        <x:v>0</x:v>
      </x:c>
      <x:c r="P1772" s="9" t="str">
        <x:v>HELD / UNRELEASED</x:v>
      </x:c>
      <x:c r="Q1772" s="9" t="n">
        <x:f>COUNTIFS($A$7:$A$2310,A1772)</x:f>
        <x:v>1</x:v>
      </x:c>
    </x:row>
    <x:row r="1773">
      <x:c r="A1773" s="9" t="str">
        <x:v>PD-AR-HU-A-B-TECH-1-B1-INT-G0-PD07</x:v>
      </x:c>
      <x:c r="B1773" s="9" t="str">
        <x:v>PD-AR-HU-A-B-TECH-1-B1-INT-G0</x:v>
      </x:c>
      <x:c r="C1773" s="9" t="str">
        <x:v>EV-AR-HU-A-B-TECH-1-B1-INT-G0</x:v>
      </x:c>
      <x:c r="D1773" s="9" t="str">
        <x:v>AR-HU-A-B-TECH-1-B1-INT-G0</x:v>
      </x:c>
      <x:c r="E1773" s="9" t="str">
        <x:v>HU-A-B-TECH-1</x:v>
      </x:c>
      <x:c r="F1773" s="9" t="str">
        <x:v>HU-A-B</x:v>
      </x:c>
      <x:c r="G1773" s="9" t="str">
        <x:v>B1</x:v>
      </x:c>
      <x:c r="H1773" s="9" t="str">
        <x:v>INT</x:v>
      </x:c>
      <x:c r="I1773" s="9" t="str">
        <x:v>PD07</x:v>
      </x:c>
      <x:c r="J1773" s="17" t="str">
        <x:v>Clock and environmental records</x:v>
      </x:c>
      <x:c r="K1773" s="17" t="str">
        <x:v>Boundary archive</x:v>
      </x:c>
      <x:c r="L1773" s="17" t="str">
        <x:v>COURT-SEALED UNTIL COHORT RELEASE</x:v>
      </x:c>
      <x:c r="M1773" s="9" t="n">
        <x:v>0</x:v>
      </x:c>
      <x:c r="N1773" s="9" t="n">
        <x:v>0</x:v>
      </x:c>
      <x:c r="O1773" s="9" t="n">
        <x:v>0</x:v>
      </x:c>
      <x:c r="P1773" s="9" t="str">
        <x:v>HELD / UNRELEASED</x:v>
      </x:c>
      <x:c r="Q1773" s="9" t="n">
        <x:f>COUNTIFS($A$7:$A$2310,A1773)</x:f>
        <x:v>1</x:v>
      </x:c>
    </x:row>
    <x:row r="1774">
      <x:c r="A1774" s="9" t="str">
        <x:v>PD-AR-HU-A-B-TECH-1-B1-INT-G0-PD08</x:v>
      </x:c>
      <x:c r="B1774" s="9" t="str">
        <x:v>PD-AR-HU-A-B-TECH-1-B1-INT-G0</x:v>
      </x:c>
      <x:c r="C1774" s="9" t="str">
        <x:v>EV-AR-HU-A-B-TECH-1-B1-INT-G0</x:v>
      </x:c>
      <x:c r="D1774" s="9" t="str">
        <x:v>AR-HU-A-B-TECH-1-B1-INT-G0</x:v>
      </x:c>
      <x:c r="E1774" s="9" t="str">
        <x:v>HU-A-B-TECH-1</x:v>
      </x:c>
      <x:c r="F1774" s="9" t="str">
        <x:v>HU-A-B</x:v>
      </x:c>
      <x:c r="G1774" s="9" t="str">
        <x:v>B1</x:v>
      </x:c>
      <x:c r="H1774" s="9" t="str">
        <x:v>INT</x:v>
      </x:c>
      <x:c r="I1774" s="9" t="str">
        <x:v>PD08</x:v>
      </x:c>
      <x:c r="J1774" s="17" t="str">
        <x:v>Command and intervention log</x:v>
      </x:c>
      <x:c r="K1774" s="17" t="str">
        <x:v>Safety archive</x:v>
      </x:c>
      <x:c r="L1774" s="17" t="str">
        <x:v>COURT-SEALED UNTIL COHORT RELEASE</x:v>
      </x:c>
      <x:c r="M1774" s="9" t="n">
        <x:v>0</x:v>
      </x:c>
      <x:c r="N1774" s="9" t="n">
        <x:v>0</x:v>
      </x:c>
      <x:c r="O1774" s="9" t="n">
        <x:v>0</x:v>
      </x:c>
      <x:c r="P1774" s="9" t="str">
        <x:v>HELD / UNRELEASED</x:v>
      </x:c>
      <x:c r="Q1774" s="9" t="n">
        <x:f>COUNTIFS($A$7:$A$2310,A1774)</x:f>
        <x:v>1</x:v>
      </x:c>
    </x:row>
    <x:row r="1775">
      <x:c r="A1775" s="9" t="str">
        <x:v>PD-AR-HU-A-B-TECH-1-B1-INT-G0-PD09</x:v>
      </x:c>
      <x:c r="B1775" s="9" t="str">
        <x:v>PD-AR-HU-A-B-TECH-1-B1-INT-G0</x:v>
      </x:c>
      <x:c r="C1775" s="9" t="str">
        <x:v>EV-AR-HU-A-B-TECH-1-B1-INT-G0</x:v>
      </x:c>
      <x:c r="D1775" s="9" t="str">
        <x:v>AR-HU-A-B-TECH-1-B1-INT-G0</x:v>
      </x:c>
      <x:c r="E1775" s="9" t="str">
        <x:v>HU-A-B-TECH-1</x:v>
      </x:c>
      <x:c r="F1775" s="9" t="str">
        <x:v>HU-A-B</x:v>
      </x:c>
      <x:c r="G1775" s="9" t="str">
        <x:v>B1</x:v>
      </x:c>
      <x:c r="H1775" s="9" t="str">
        <x:v>INT</x:v>
      </x:c>
      <x:c r="I1775" s="9" t="str">
        <x:v>PD09</x:v>
      </x:c>
      <x:c r="J1775" s="17" t="str">
        <x:v>Receiver denominator and service ledger</x:v>
      </x:c>
      <x:c r="K1775" s="17" t="str">
        <x:v>Receiver archive</x:v>
      </x:c>
      <x:c r="L1775" s="17" t="str">
        <x:v>COURT-SEALED UNTIL COHORT RELEASE</x:v>
      </x:c>
      <x:c r="M1775" s="9" t="n">
        <x:v>0</x:v>
      </x:c>
      <x:c r="N1775" s="9" t="n">
        <x:v>0</x:v>
      </x:c>
      <x:c r="O1775" s="9" t="n">
        <x:v>0</x:v>
      </x:c>
      <x:c r="P1775" s="9" t="str">
        <x:v>HELD / UNRELEASED</x:v>
      </x:c>
      <x:c r="Q1775" s="9" t="n">
        <x:f>COUNTIFS($A$7:$A$2310,A1775)</x:f>
        <x:v>1</x:v>
      </x:c>
    </x:row>
    <x:row r="1776">
      <x:c r="A1776" s="9" t="str">
        <x:v>PD-AR-HU-A-B-TECH-1-B1-INT-G0-PD10</x:v>
      </x:c>
      <x:c r="B1776" s="9" t="str">
        <x:v>PD-AR-HU-A-B-TECH-1-B1-INT-G0</x:v>
      </x:c>
      <x:c r="C1776" s="9" t="str">
        <x:v>EV-AR-HU-A-B-TECH-1-B1-INT-G0</x:v>
      </x:c>
      <x:c r="D1776" s="9" t="str">
        <x:v>AR-HU-A-B-TECH-1-B1-INT-G0</x:v>
      </x:c>
      <x:c r="E1776" s="9" t="str">
        <x:v>HU-A-B-TECH-1</x:v>
      </x:c>
      <x:c r="F1776" s="9" t="str">
        <x:v>HU-A-B</x:v>
      </x:c>
      <x:c r="G1776" s="9" t="str">
        <x:v>B1</x:v>
      </x:c>
      <x:c r="H1776" s="9" t="str">
        <x:v>INT</x:v>
      </x:c>
      <x:c r="I1776" s="9" t="str">
        <x:v>PD10</x:v>
      </x:c>
      <x:c r="J1776" s="17" t="str">
        <x:v>Calibration and uncertainty record</x:v>
      </x:c>
      <x:c r="K1776" s="17" t="str">
        <x:v>Metrology archive</x:v>
      </x:c>
      <x:c r="L1776" s="17" t="str">
        <x:v>COURT-SEALED UNTIL COHORT RELEASE</x:v>
      </x:c>
      <x:c r="M1776" s="9" t="n">
        <x:v>0</x:v>
      </x:c>
      <x:c r="N1776" s="9" t="n">
        <x:v>0</x:v>
      </x:c>
      <x:c r="O1776" s="9" t="n">
        <x:v>0</x:v>
      </x:c>
      <x:c r="P1776" s="9" t="str">
        <x:v>HELD / UNRELEASED</x:v>
      </x:c>
      <x:c r="Q1776" s="9" t="n">
        <x:f>COUNTIFS($A$7:$A$2310,A1776)</x:f>
        <x:v>1</x:v>
      </x:c>
    </x:row>
    <x:row r="1777">
      <x:c r="A1777" s="9" t="str">
        <x:v>PD-AR-HU-A-B-TECH-1-B1-INT-G0-PD11</x:v>
      </x:c>
      <x:c r="B1777" s="9" t="str">
        <x:v>PD-AR-HU-A-B-TECH-1-B1-INT-G0</x:v>
      </x:c>
      <x:c r="C1777" s="9" t="str">
        <x:v>EV-AR-HU-A-B-TECH-1-B1-INT-G0</x:v>
      </x:c>
      <x:c r="D1777" s="9" t="str">
        <x:v>AR-HU-A-B-TECH-1-B1-INT-G0</x:v>
      </x:c>
      <x:c r="E1777" s="9" t="str">
        <x:v>HU-A-B-TECH-1</x:v>
      </x:c>
      <x:c r="F1777" s="9" t="str">
        <x:v>HU-A-B</x:v>
      </x:c>
      <x:c r="G1777" s="9" t="str">
        <x:v>B1</x:v>
      </x:c>
      <x:c r="H1777" s="9" t="str">
        <x:v>INT</x:v>
      </x:c>
      <x:c r="I1777" s="9" t="str">
        <x:v>PD11</x:v>
      </x:c>
      <x:c r="J1777" s="17" t="str">
        <x:v>Invalidity petition and opinion</x:v>
      </x:c>
      <x:c r="K1777" s="17" t="str">
        <x:v>Invalidity court</x:v>
      </x:c>
      <x:c r="L1777" s="17" t="str">
        <x:v>COURT-SEALED UNTIL COHORT RELEASE</x:v>
      </x:c>
      <x:c r="M1777" s="9" t="n">
        <x:v>0</x:v>
      </x:c>
      <x:c r="N1777" s="9" t="n">
        <x:v>0</x:v>
      </x:c>
      <x:c r="O1777" s="9" t="n">
        <x:v>0</x:v>
      </x:c>
      <x:c r="P1777" s="9" t="str">
        <x:v>HELD / UNRELEASED</x:v>
      </x:c>
      <x:c r="Q1777" s="9" t="n">
        <x:f>COUNTIFS($A$7:$A$2310,A1777)</x:f>
        <x:v>1</x:v>
      </x:c>
    </x:row>
    <x:row r="1778">
      <x:c r="A1778" s="9" t="str">
        <x:v>PD-AR-HU-A-B-TECH-1-B1-INT-G0-PD12</x:v>
      </x:c>
      <x:c r="B1778" s="9" t="str">
        <x:v>PD-AR-HU-A-B-TECH-1-B1-INT-G0</x:v>
      </x:c>
      <x:c r="C1778" s="9" t="str">
        <x:v>EV-AR-HU-A-B-TECH-1-B1-INT-G0</x:v>
      </x:c>
      <x:c r="D1778" s="9" t="str">
        <x:v>AR-HU-A-B-TECH-1-B1-INT-G0</x:v>
      </x:c>
      <x:c r="E1778" s="9" t="str">
        <x:v>HU-A-B-TECH-1</x:v>
      </x:c>
      <x:c r="F1778" s="9" t="str">
        <x:v>HU-A-B</x:v>
      </x:c>
      <x:c r="G1778" s="9" t="str">
        <x:v>B1</x:v>
      </x:c>
      <x:c r="H1778" s="9" t="str">
        <x:v>INT</x:v>
      </x:c>
      <x:c r="I1778" s="9" t="str">
        <x:v>PD12</x:v>
      </x:c>
      <x:c r="J1778" s="17" t="str">
        <x:v>Observation acceptance and replay</x:v>
      </x:c>
      <x:c r="K1778" s="17" t="str">
        <x:v>Observation court</x:v>
      </x:c>
      <x:c r="L1778" s="17" t="str">
        <x:v>COURT-SEALED UNTIL COHORT RELEASE</x:v>
      </x:c>
      <x:c r="M1778" s="9" t="n">
        <x:v>0</x:v>
      </x:c>
      <x:c r="N1778" s="9" t="n">
        <x:v>0</x:v>
      </x:c>
      <x:c r="O1778" s="9" t="n">
        <x:v>0</x:v>
      </x:c>
      <x:c r="P1778" s="9" t="str">
        <x:v>HELD / UNRELEASED</x:v>
      </x:c>
      <x:c r="Q1778" s="9" t="n">
        <x:f>COUNTIFS($A$7:$A$2310,A1778)</x:f>
        <x:v>1</x:v>
      </x:c>
    </x:row>
    <x:row r="1779">
      <x:c r="A1779" s="9" t="str">
        <x:v>PD-AR-HU-A-B-TECH-1-B1-INT-G0-PD13</x:v>
      </x:c>
      <x:c r="B1779" s="9" t="str">
        <x:v>PD-AR-HU-A-B-TECH-1-B1-INT-G0</x:v>
      </x:c>
      <x:c r="C1779" s="9" t="str">
        <x:v>EV-AR-HU-A-B-TECH-1-B1-INT-G0</x:v>
      </x:c>
      <x:c r="D1779" s="9" t="str">
        <x:v>AR-HU-A-B-TECH-1-B1-INT-G0</x:v>
      </x:c>
      <x:c r="E1779" s="9" t="str">
        <x:v>HU-A-B-TECH-1</x:v>
      </x:c>
      <x:c r="F1779" s="9" t="str">
        <x:v>HU-A-B</x:v>
      </x:c>
      <x:c r="G1779" s="9" t="str">
        <x:v>B1</x:v>
      </x:c>
      <x:c r="H1779" s="9" t="str">
        <x:v>INT</x:v>
      </x:c>
      <x:c r="I1779" s="9" t="str">
        <x:v>PD13</x:v>
      </x:c>
      <x:c r="J1779" s="17" t="str">
        <x:v>Role judgment</x:v>
      </x:c>
      <x:c r="K1779" s="17" t="str">
        <x:v>Role court</x:v>
      </x:c>
      <x:c r="L1779" s="17" t="str">
        <x:v>COURT-SEALED UNTIL COHORT RELEASE</x:v>
      </x:c>
      <x:c r="M1779" s="9" t="n">
        <x:v>0</x:v>
      </x:c>
      <x:c r="N1779" s="9" t="n">
        <x:v>0</x:v>
      </x:c>
      <x:c r="O1779" s="9" t="n">
        <x:v>0</x:v>
      </x:c>
      <x:c r="P1779" s="9" t="str">
        <x:v>HELD / UNRELEASED</x:v>
      </x:c>
      <x:c r="Q1779" s="9" t="n">
        <x:f>COUNTIFS($A$7:$A$2310,A1779)</x:f>
        <x:v>1</x:v>
      </x:c>
    </x:row>
    <x:row r="1780">
      <x:c r="A1780" s="9" t="str">
        <x:v>PD-AR-HU-A-B-TECH-1-B1-INT-G0-PD14</x:v>
      </x:c>
      <x:c r="B1780" s="9" t="str">
        <x:v>PD-AR-HU-A-B-TECH-1-B1-INT-G0</x:v>
      </x:c>
      <x:c r="C1780" s="9" t="str">
        <x:v>EV-AR-HU-A-B-TECH-1-B1-INT-G0</x:v>
      </x:c>
      <x:c r="D1780" s="9" t="str">
        <x:v>AR-HU-A-B-TECH-1-B1-INT-G0</x:v>
      </x:c>
      <x:c r="E1780" s="9" t="str">
        <x:v>HU-A-B-TECH-1</x:v>
      </x:c>
      <x:c r="F1780" s="9" t="str">
        <x:v>HU-A-B</x:v>
      </x:c>
      <x:c r="G1780" s="9" t="str">
        <x:v>B1</x:v>
      </x:c>
      <x:c r="H1780" s="9" t="str">
        <x:v>INT</x:v>
      </x:c>
      <x:c r="I1780" s="9" t="str">
        <x:v>PD14</x:v>
      </x:c>
      <x:c r="J1780" s="17" t="str">
        <x:v>Break and residual account</x:v>
      </x:c>
      <x:c r="K1780" s="17" t="str">
        <x:v>Residual authority</x:v>
      </x:c>
      <x:c r="L1780" s="17" t="str">
        <x:v>COURT-SEALED UNTIL COHORT RELEASE</x:v>
      </x:c>
      <x:c r="M1780" s="9" t="n">
        <x:v>0</x:v>
      </x:c>
      <x:c r="N1780" s="9" t="n">
        <x:v>0</x:v>
      </x:c>
      <x:c r="O1780" s="9" t="n">
        <x:v>0</x:v>
      </x:c>
      <x:c r="P1780" s="9" t="str">
        <x:v>HELD / UNRELEASED</x:v>
      </x:c>
      <x:c r="Q1780" s="9" t="n">
        <x:f>COUNTIFS($A$7:$A$2310,A1780)</x:f>
        <x:v>1</x:v>
      </x:c>
    </x:row>
    <x:row r="1781">
      <x:c r="A1781" s="9" t="str">
        <x:v>PD-AR-HU-A-B-TECH-1-B1-INT-G0-PD15</x:v>
      </x:c>
      <x:c r="B1781" s="9" t="str">
        <x:v>PD-AR-HU-A-B-TECH-1-B1-INT-G0</x:v>
      </x:c>
      <x:c r="C1781" s="9" t="str">
        <x:v>EV-AR-HU-A-B-TECH-1-B1-INT-G0</x:v>
      </x:c>
      <x:c r="D1781" s="9" t="str">
        <x:v>AR-HU-A-B-TECH-1-B1-INT-G0</x:v>
      </x:c>
      <x:c r="E1781" s="9" t="str">
        <x:v>HU-A-B-TECH-1</x:v>
      </x:c>
      <x:c r="F1781" s="9" t="str">
        <x:v>HU-A-B</x:v>
      </x:c>
      <x:c r="G1781" s="9" t="str">
        <x:v>B1</x:v>
      </x:c>
      <x:c r="H1781" s="9" t="str">
        <x:v>INT</x:v>
      </x:c>
      <x:c r="I1781" s="9" t="str">
        <x:v>PD15</x:v>
      </x:c>
      <x:c r="J1781" s="17" t="str">
        <x:v>Reconstruction ancestry and replay</x:v>
      </x:c>
      <x:c r="K1781" s="17" t="str">
        <x:v>Reconstruction court</x:v>
      </x:c>
      <x:c r="L1781" s="17" t="str">
        <x:v>COURT-SEALED UNTIL COHORT RELEASE</x:v>
      </x:c>
      <x:c r="M1781" s="9" t="n">
        <x:v>0</x:v>
      </x:c>
      <x:c r="N1781" s="9" t="n">
        <x:v>0</x:v>
      </x:c>
      <x:c r="O1781" s="9" t="n">
        <x:v>0</x:v>
      </x:c>
      <x:c r="P1781" s="9" t="str">
        <x:v>HELD / UNRELEASED</x:v>
      </x:c>
      <x:c r="Q1781" s="9" t="n">
        <x:f>COUNTIFS($A$7:$A$2310,A1781)</x:f>
        <x:v>1</x:v>
      </x:c>
    </x:row>
    <x:row r="1782">
      <x:c r="A1782" s="9" t="str">
        <x:v>PD-AR-HU-A-B-TECH-1-B1-INT-G0-PD16</x:v>
      </x:c>
      <x:c r="B1782" s="9" t="str">
        <x:v>PD-AR-HU-A-B-TECH-1-B1-INT-G0</x:v>
      </x:c>
      <x:c r="C1782" s="9" t="str">
        <x:v>EV-AR-HU-A-B-TECH-1-B1-INT-G0</x:v>
      </x:c>
      <x:c r="D1782" s="9" t="str">
        <x:v>AR-HU-A-B-TECH-1-B1-INT-G0</x:v>
      </x:c>
      <x:c r="E1782" s="9" t="str">
        <x:v>HU-A-B-TECH-1</x:v>
      </x:c>
      <x:c r="F1782" s="9" t="str">
        <x:v>HU-A-B</x:v>
      </x:c>
      <x:c r="G1782" s="9" t="str">
        <x:v>B1</x:v>
      </x:c>
      <x:c r="H1782" s="9" t="str">
        <x:v>INT</x:v>
      </x:c>
      <x:c r="I1782" s="9" t="str">
        <x:v>PD16</x:v>
      </x:c>
      <x:c r="J1782" s="17" t="str">
        <x:v>Dissent, amendments and access log</x:v>
      </x:c>
      <x:c r="K1782" s="17" t="str">
        <x:v>Public archive</x:v>
      </x:c>
      <x:c r="L1782" s="17" t="str">
        <x:v>COURT-SEALED UNTIL COHORT RELEASE</x:v>
      </x:c>
      <x:c r="M1782" s="9" t="n">
        <x:v>0</x:v>
      </x:c>
      <x:c r="N1782" s="9" t="n">
        <x:v>0</x:v>
      </x:c>
      <x:c r="O1782" s="9" t="n">
        <x:v>0</x:v>
      </x:c>
      <x:c r="P1782" s="9" t="str">
        <x:v>HELD / UNRELEASED</x:v>
      </x:c>
      <x:c r="Q1782" s="9" t="n">
        <x:f>COUNTIFS($A$7:$A$2310,A1782)</x:f>
        <x:v>1</x:v>
      </x:c>
    </x:row>
    <x:row r="1783">
      <x:c r="A1783" s="9" t="str">
        <x:v>PD-AR-HU-A-B-TECH-4-B2-BRK-G0-PD01</x:v>
      </x:c>
      <x:c r="B1783" s="9" t="str">
        <x:v>PD-AR-HU-A-B-TECH-4-B2-BRK-G0</x:v>
      </x:c>
      <x:c r="C1783" s="9" t="str">
        <x:v>EV-AR-HU-A-B-TECH-4-B2-BRK-G0</x:v>
      </x:c>
      <x:c r="D1783" s="9" t="str">
        <x:v>AR-HU-A-B-TECH-4-B2-BRK-G0</x:v>
      </x:c>
      <x:c r="E1783" s="9" t="str">
        <x:v>HU-A-B-TECH-4</x:v>
      </x:c>
      <x:c r="F1783" s="9" t="str">
        <x:v>HU-A-B</x:v>
      </x:c>
      <x:c r="G1783" s="9" t="str">
        <x:v>B2</x:v>
      </x:c>
      <x:c r="H1783" s="9" t="str">
        <x:v>BRK</x:v>
      </x:c>
      <x:c r="I1783" s="9" t="str">
        <x:v>PD01</x:v>
      </x:c>
      <x:c r="J1783" s="17" t="str">
        <x:v>Experiment kernel</x:v>
      </x:c>
      <x:c r="K1783" s="17" t="str">
        <x:v>Public archive</x:v>
      </x:c>
      <x:c r="L1783" s="17" t="str">
        <x:v>COURT-SEALED UNTIL COHORT RELEASE</x:v>
      </x:c>
      <x:c r="M1783" s="9" t="n">
        <x:v>0</x:v>
      </x:c>
      <x:c r="N1783" s="9" t="n">
        <x:v>0</x:v>
      </x:c>
      <x:c r="O1783" s="9" t="n">
        <x:v>0</x:v>
      </x:c>
      <x:c r="P1783" s="9" t="str">
        <x:v>HELD / UNRELEASED</x:v>
      </x:c>
      <x:c r="Q1783" s="9" t="n">
        <x:f>COUNTIFS($A$7:$A$2310,A1783)</x:f>
        <x:v>1</x:v>
      </x:c>
    </x:row>
    <x:row r="1784">
      <x:c r="A1784" s="9" t="str">
        <x:v>PD-AR-HU-A-B-TECH-4-B2-BRK-G0-PD02</x:v>
      </x:c>
      <x:c r="B1784" s="9" t="str">
        <x:v>PD-AR-HU-A-B-TECH-4-B2-BRK-G0</x:v>
      </x:c>
      <x:c r="C1784" s="9" t="str">
        <x:v>EV-AR-HU-A-B-TECH-4-B2-BRK-G0</x:v>
      </x:c>
      <x:c r="D1784" s="9" t="str">
        <x:v>AR-HU-A-B-TECH-4-B2-BRK-G0</x:v>
      </x:c>
      <x:c r="E1784" s="9" t="str">
        <x:v>HU-A-B-TECH-4</x:v>
      </x:c>
      <x:c r="F1784" s="9" t="str">
        <x:v>HU-A-B</x:v>
      </x:c>
      <x:c r="G1784" s="9" t="str">
        <x:v>B2</x:v>
      </x:c>
      <x:c r="H1784" s="9" t="str">
        <x:v>BRK</x:v>
      </x:c>
      <x:c r="I1784" s="9" t="str">
        <x:v>PD02</x:v>
      </x:c>
      <x:c r="J1784" s="17" t="str">
        <x:v>Serial annex and title chain</x:v>
      </x:c>
      <x:c r="K1784" s="17" t="str">
        <x:v>Public archive</x:v>
      </x:c>
      <x:c r="L1784" s="17" t="str">
        <x:v>COURT-SEALED UNTIL COHORT RELEASE</x:v>
      </x:c>
      <x:c r="M1784" s="9" t="n">
        <x:v>0</x:v>
      </x:c>
      <x:c r="N1784" s="9" t="n">
        <x:v>0</x:v>
      </x:c>
      <x:c r="O1784" s="9" t="n">
        <x:v>0</x:v>
      </x:c>
      <x:c r="P1784" s="9" t="str">
        <x:v>HELD / UNRELEASED</x:v>
      </x:c>
      <x:c r="Q1784" s="9" t="n">
        <x:f>COUNTIFS($A$7:$A$2310,A1784)</x:f>
        <x:v>1</x:v>
      </x:c>
    </x:row>
    <x:row r="1785">
      <x:c r="A1785" s="9" t="str">
        <x:v>PD-AR-HU-A-B-TECH-4-B2-BRK-G0-PD03</x:v>
      </x:c>
      <x:c r="B1785" s="9" t="str">
        <x:v>PD-AR-HU-A-B-TECH-4-B2-BRK-G0</x:v>
      </x:c>
      <x:c r="C1785" s="9" t="str">
        <x:v>EV-AR-HU-A-B-TECH-4-B2-BRK-G0</x:v>
      </x:c>
      <x:c r="D1785" s="9" t="str">
        <x:v>AR-HU-A-B-TECH-4-B2-BRK-G0</x:v>
      </x:c>
      <x:c r="E1785" s="9" t="str">
        <x:v>HU-A-B-TECH-4</x:v>
      </x:c>
      <x:c r="F1785" s="9" t="str">
        <x:v>HU-A-B</x:v>
      </x:c>
      <x:c r="G1785" s="9" t="str">
        <x:v>B2</x:v>
      </x:c>
      <x:c r="H1785" s="9" t="str">
        <x:v>BRK</x:v>
      </x:c>
      <x:c r="I1785" s="9" t="str">
        <x:v>PD03</x:v>
      </x:c>
      <x:c r="J1785" s="17" t="str">
        <x:v>Configuration and as-built manifest</x:v>
      </x:c>
      <x:c r="K1785" s="17" t="str">
        <x:v>Artifact exchange</x:v>
      </x:c>
      <x:c r="L1785" s="17" t="str">
        <x:v>COURT-SEALED UNTIL COHORT RELEASE</x:v>
      </x:c>
      <x:c r="M1785" s="9" t="n">
        <x:v>0</x:v>
      </x:c>
      <x:c r="N1785" s="9" t="n">
        <x:v>0</x:v>
      </x:c>
      <x:c r="O1785" s="9" t="n">
        <x:v>0</x:v>
      </x:c>
      <x:c r="P1785" s="9" t="str">
        <x:v>HELD / UNRELEASED</x:v>
      </x:c>
      <x:c r="Q1785" s="9" t="n">
        <x:f>COUNTIFS($A$7:$A$2310,A1785)</x:f>
        <x:v>1</x:v>
      </x:c>
    </x:row>
    <x:row r="1786">
      <x:c r="A1786" s="9" t="str">
        <x:v>PD-AR-HU-A-B-TECH-4-B2-BRK-G0-PD04</x:v>
      </x:c>
      <x:c r="B1786" s="9" t="str">
        <x:v>PD-AR-HU-A-B-TECH-4-B2-BRK-G0</x:v>
      </x:c>
      <x:c r="C1786" s="9" t="str">
        <x:v>EV-AR-HU-A-B-TECH-4-B2-BRK-G0</x:v>
      </x:c>
      <x:c r="D1786" s="9" t="str">
        <x:v>AR-HU-A-B-TECH-4-B2-BRK-G0</x:v>
      </x:c>
      <x:c r="E1786" s="9" t="str">
        <x:v>HU-A-B-TECH-4</x:v>
      </x:c>
      <x:c r="F1786" s="9" t="str">
        <x:v>HU-A-B</x:v>
      </x:c>
      <x:c r="G1786" s="9" t="str">
        <x:v>B2</x:v>
      </x:c>
      <x:c r="H1786" s="9" t="str">
        <x:v>BRK</x:v>
      </x:c>
      <x:c r="I1786" s="9" t="str">
        <x:v>PD04</x:v>
      </x:c>
      <x:c r="J1786" s="17" t="str">
        <x:v>EOW and start certificate</x:v>
      </x:c>
      <x:c r="K1786" s="17" t="str">
        <x:v>Start registrar</x:v>
      </x:c>
      <x:c r="L1786" s="17" t="str">
        <x:v>COURT-SEALED UNTIL COHORT RELEASE</x:v>
      </x:c>
      <x:c r="M1786" s="9" t="n">
        <x:v>0</x:v>
      </x:c>
      <x:c r="N1786" s="9" t="n">
        <x:v>0</x:v>
      </x:c>
      <x:c r="O1786" s="9" t="n">
        <x:v>0</x:v>
      </x:c>
      <x:c r="P1786" s="9" t="str">
        <x:v>HELD / UNRELEASED</x:v>
      </x:c>
      <x:c r="Q1786" s="9" t="n">
        <x:f>COUNTIFS($A$7:$A$2310,A1786)</x:f>
        <x:v>1</x:v>
      </x:c>
    </x:row>
    <x:row r="1787">
      <x:c r="A1787" s="9" t="str">
        <x:v>PD-AR-HU-A-B-TECH-4-B2-BRK-G0-PD05</x:v>
      </x:c>
      <x:c r="B1787" s="9" t="str">
        <x:v>PD-AR-HU-A-B-TECH-4-B2-BRK-G0</x:v>
      </x:c>
      <x:c r="C1787" s="9" t="str">
        <x:v>EV-AR-HU-A-B-TECH-4-B2-BRK-G0</x:v>
      </x:c>
      <x:c r="D1787" s="9" t="str">
        <x:v>AR-HU-A-B-TECH-4-B2-BRK-G0</x:v>
      </x:c>
      <x:c r="E1787" s="9" t="str">
        <x:v>HU-A-B-TECH-4</x:v>
      </x:c>
      <x:c r="F1787" s="9" t="str">
        <x:v>HU-A-B</x:v>
      </x:c>
      <x:c r="G1787" s="9" t="str">
        <x:v>B2</x:v>
      </x:c>
      <x:c r="H1787" s="9" t="str">
        <x:v>BRK</x:v>
      </x:c>
      <x:c r="I1787" s="9" t="str">
        <x:v>PD05</x:v>
      </x:c>
      <x:c r="J1787" s="17" t="str">
        <x:v>Primary raw originals</x:v>
      </x:c>
      <x:c r="K1787" s="17" t="str">
        <x:v>Primary custody</x:v>
      </x:c>
      <x:c r="L1787" s="17" t="str">
        <x:v>COURT-SEALED UNTIL COHORT RELEASE</x:v>
      </x:c>
      <x:c r="M1787" s="9" t="n">
        <x:v>0</x:v>
      </x:c>
      <x:c r="N1787" s="9" t="n">
        <x:v>0</x:v>
      </x:c>
      <x:c r="O1787" s="9" t="n">
        <x:v>0</x:v>
      </x:c>
      <x:c r="P1787" s="9" t="str">
        <x:v>HELD / UNRELEASED</x:v>
      </x:c>
      <x:c r="Q1787" s="9" t="n">
        <x:f>COUNTIFS($A$7:$A$2310,A1787)</x:f>
        <x:v>1</x:v>
      </x:c>
    </x:row>
    <x:row r="1788">
      <x:c r="A1788" s="9" t="str">
        <x:v>PD-AR-HU-A-B-TECH-4-B2-BRK-G0-PD06</x:v>
      </x:c>
      <x:c r="B1788" s="9" t="str">
        <x:v>PD-AR-HU-A-B-TECH-4-B2-BRK-G0</x:v>
      </x:c>
      <x:c r="C1788" s="9" t="str">
        <x:v>EV-AR-HU-A-B-TECH-4-B2-BRK-G0</x:v>
      </x:c>
      <x:c r="D1788" s="9" t="str">
        <x:v>AR-HU-A-B-TECH-4-B2-BRK-G0</x:v>
      </x:c>
      <x:c r="E1788" s="9" t="str">
        <x:v>HU-A-B-TECH-4</x:v>
      </x:c>
      <x:c r="F1788" s="9" t="str">
        <x:v>HU-A-B</x:v>
      </x:c>
      <x:c r="G1788" s="9" t="str">
        <x:v>B2</x:v>
      </x:c>
      <x:c r="H1788" s="9" t="str">
        <x:v>BRK</x:v>
      </x:c>
      <x:c r="I1788" s="9" t="str">
        <x:v>PD06</x:v>
      </x:c>
      <x:c r="J1788" s="17" t="str">
        <x:v>Witness raw originals</x:v>
      </x:c>
      <x:c r="K1788" s="17" t="str">
        <x:v>Witness custody</x:v>
      </x:c>
      <x:c r="L1788" s="17" t="str">
        <x:v>COURT-SEALED UNTIL COHORT RELEASE</x:v>
      </x:c>
      <x:c r="M1788" s="9" t="n">
        <x:v>0</x:v>
      </x:c>
      <x:c r="N1788" s="9" t="n">
        <x:v>0</x:v>
      </x:c>
      <x:c r="O1788" s="9" t="n">
        <x:v>0</x:v>
      </x:c>
      <x:c r="P1788" s="9" t="str">
        <x:v>HELD / UNRELEASED</x:v>
      </x:c>
      <x:c r="Q1788" s="9" t="n">
        <x:f>COUNTIFS($A$7:$A$2310,A1788)</x:f>
        <x:v>1</x:v>
      </x:c>
    </x:row>
    <x:row r="1789">
      <x:c r="A1789" s="9" t="str">
        <x:v>PD-AR-HU-A-B-TECH-4-B2-BRK-G0-PD07</x:v>
      </x:c>
      <x:c r="B1789" s="9" t="str">
        <x:v>PD-AR-HU-A-B-TECH-4-B2-BRK-G0</x:v>
      </x:c>
      <x:c r="C1789" s="9" t="str">
        <x:v>EV-AR-HU-A-B-TECH-4-B2-BRK-G0</x:v>
      </x:c>
      <x:c r="D1789" s="9" t="str">
        <x:v>AR-HU-A-B-TECH-4-B2-BRK-G0</x:v>
      </x:c>
      <x:c r="E1789" s="9" t="str">
        <x:v>HU-A-B-TECH-4</x:v>
      </x:c>
      <x:c r="F1789" s="9" t="str">
        <x:v>HU-A-B</x:v>
      </x:c>
      <x:c r="G1789" s="9" t="str">
        <x:v>B2</x:v>
      </x:c>
      <x:c r="H1789" s="9" t="str">
        <x:v>BRK</x:v>
      </x:c>
      <x:c r="I1789" s="9" t="str">
        <x:v>PD07</x:v>
      </x:c>
      <x:c r="J1789" s="17" t="str">
        <x:v>Clock and environmental records</x:v>
      </x:c>
      <x:c r="K1789" s="17" t="str">
        <x:v>Boundary archive</x:v>
      </x:c>
      <x:c r="L1789" s="17" t="str">
        <x:v>COURT-SEALED UNTIL COHORT RELEASE</x:v>
      </x:c>
      <x:c r="M1789" s="9" t="n">
        <x:v>0</x:v>
      </x:c>
      <x:c r="N1789" s="9" t="n">
        <x:v>0</x:v>
      </x:c>
      <x:c r="O1789" s="9" t="n">
        <x:v>0</x:v>
      </x:c>
      <x:c r="P1789" s="9" t="str">
        <x:v>HELD / UNRELEASED</x:v>
      </x:c>
      <x:c r="Q1789" s="9" t="n">
        <x:f>COUNTIFS($A$7:$A$2310,A1789)</x:f>
        <x:v>1</x:v>
      </x:c>
    </x:row>
    <x:row r="1790">
      <x:c r="A1790" s="9" t="str">
        <x:v>PD-AR-HU-A-B-TECH-4-B2-BRK-G0-PD08</x:v>
      </x:c>
      <x:c r="B1790" s="9" t="str">
        <x:v>PD-AR-HU-A-B-TECH-4-B2-BRK-G0</x:v>
      </x:c>
      <x:c r="C1790" s="9" t="str">
        <x:v>EV-AR-HU-A-B-TECH-4-B2-BRK-G0</x:v>
      </x:c>
      <x:c r="D1790" s="9" t="str">
        <x:v>AR-HU-A-B-TECH-4-B2-BRK-G0</x:v>
      </x:c>
      <x:c r="E1790" s="9" t="str">
        <x:v>HU-A-B-TECH-4</x:v>
      </x:c>
      <x:c r="F1790" s="9" t="str">
        <x:v>HU-A-B</x:v>
      </x:c>
      <x:c r="G1790" s="9" t="str">
        <x:v>B2</x:v>
      </x:c>
      <x:c r="H1790" s="9" t="str">
        <x:v>BRK</x:v>
      </x:c>
      <x:c r="I1790" s="9" t="str">
        <x:v>PD08</x:v>
      </x:c>
      <x:c r="J1790" s="17" t="str">
        <x:v>Command and intervention log</x:v>
      </x:c>
      <x:c r="K1790" s="17" t="str">
        <x:v>Safety archive</x:v>
      </x:c>
      <x:c r="L1790" s="17" t="str">
        <x:v>COURT-SEALED UNTIL COHORT RELEASE</x:v>
      </x:c>
      <x:c r="M1790" s="9" t="n">
        <x:v>0</x:v>
      </x:c>
      <x:c r="N1790" s="9" t="n">
        <x:v>0</x:v>
      </x:c>
      <x:c r="O1790" s="9" t="n">
        <x:v>0</x:v>
      </x:c>
      <x:c r="P1790" s="9" t="str">
        <x:v>HELD / UNRELEASED</x:v>
      </x:c>
      <x:c r="Q1790" s="9" t="n">
        <x:f>COUNTIFS($A$7:$A$2310,A1790)</x:f>
        <x:v>1</x:v>
      </x:c>
    </x:row>
    <x:row r="1791">
      <x:c r="A1791" s="9" t="str">
        <x:v>PD-AR-HU-A-B-TECH-4-B2-BRK-G0-PD09</x:v>
      </x:c>
      <x:c r="B1791" s="9" t="str">
        <x:v>PD-AR-HU-A-B-TECH-4-B2-BRK-G0</x:v>
      </x:c>
      <x:c r="C1791" s="9" t="str">
        <x:v>EV-AR-HU-A-B-TECH-4-B2-BRK-G0</x:v>
      </x:c>
      <x:c r="D1791" s="9" t="str">
        <x:v>AR-HU-A-B-TECH-4-B2-BRK-G0</x:v>
      </x:c>
      <x:c r="E1791" s="9" t="str">
        <x:v>HU-A-B-TECH-4</x:v>
      </x:c>
      <x:c r="F1791" s="9" t="str">
        <x:v>HU-A-B</x:v>
      </x:c>
      <x:c r="G1791" s="9" t="str">
        <x:v>B2</x:v>
      </x:c>
      <x:c r="H1791" s="9" t="str">
        <x:v>BRK</x:v>
      </x:c>
      <x:c r="I1791" s="9" t="str">
        <x:v>PD09</x:v>
      </x:c>
      <x:c r="J1791" s="17" t="str">
        <x:v>Receiver denominator and service ledger</x:v>
      </x:c>
      <x:c r="K1791" s="17" t="str">
        <x:v>Receiver archive</x:v>
      </x:c>
      <x:c r="L1791" s="17" t="str">
        <x:v>COURT-SEALED UNTIL COHORT RELEASE</x:v>
      </x:c>
      <x:c r="M1791" s="9" t="n">
        <x:v>0</x:v>
      </x:c>
      <x:c r="N1791" s="9" t="n">
        <x:v>0</x:v>
      </x:c>
      <x:c r="O1791" s="9" t="n">
        <x:v>0</x:v>
      </x:c>
      <x:c r="P1791" s="9" t="str">
        <x:v>HELD / UNRELEASED</x:v>
      </x:c>
      <x:c r="Q1791" s="9" t="n">
        <x:f>COUNTIFS($A$7:$A$2310,A1791)</x:f>
        <x:v>1</x:v>
      </x:c>
    </x:row>
    <x:row r="1792">
      <x:c r="A1792" s="9" t="str">
        <x:v>PD-AR-HU-A-B-TECH-4-B2-BRK-G0-PD10</x:v>
      </x:c>
      <x:c r="B1792" s="9" t="str">
        <x:v>PD-AR-HU-A-B-TECH-4-B2-BRK-G0</x:v>
      </x:c>
      <x:c r="C1792" s="9" t="str">
        <x:v>EV-AR-HU-A-B-TECH-4-B2-BRK-G0</x:v>
      </x:c>
      <x:c r="D1792" s="9" t="str">
        <x:v>AR-HU-A-B-TECH-4-B2-BRK-G0</x:v>
      </x:c>
      <x:c r="E1792" s="9" t="str">
        <x:v>HU-A-B-TECH-4</x:v>
      </x:c>
      <x:c r="F1792" s="9" t="str">
        <x:v>HU-A-B</x:v>
      </x:c>
      <x:c r="G1792" s="9" t="str">
        <x:v>B2</x:v>
      </x:c>
      <x:c r="H1792" s="9" t="str">
        <x:v>BRK</x:v>
      </x:c>
      <x:c r="I1792" s="9" t="str">
        <x:v>PD10</x:v>
      </x:c>
      <x:c r="J1792" s="17" t="str">
        <x:v>Calibration and uncertainty record</x:v>
      </x:c>
      <x:c r="K1792" s="17" t="str">
        <x:v>Metrology archive</x:v>
      </x:c>
      <x:c r="L1792" s="17" t="str">
        <x:v>COURT-SEALED UNTIL COHORT RELEASE</x:v>
      </x:c>
      <x:c r="M1792" s="9" t="n">
        <x:v>0</x:v>
      </x:c>
      <x:c r="N1792" s="9" t="n">
        <x:v>0</x:v>
      </x:c>
      <x:c r="O1792" s="9" t="n">
        <x:v>0</x:v>
      </x:c>
      <x:c r="P1792" s="9" t="str">
        <x:v>HELD / UNRELEASED</x:v>
      </x:c>
      <x:c r="Q1792" s="9" t="n">
        <x:f>COUNTIFS($A$7:$A$2310,A1792)</x:f>
        <x:v>1</x:v>
      </x:c>
    </x:row>
    <x:row r="1793">
      <x:c r="A1793" s="9" t="str">
        <x:v>PD-AR-HU-A-B-TECH-4-B2-BRK-G0-PD11</x:v>
      </x:c>
      <x:c r="B1793" s="9" t="str">
        <x:v>PD-AR-HU-A-B-TECH-4-B2-BRK-G0</x:v>
      </x:c>
      <x:c r="C1793" s="9" t="str">
        <x:v>EV-AR-HU-A-B-TECH-4-B2-BRK-G0</x:v>
      </x:c>
      <x:c r="D1793" s="9" t="str">
        <x:v>AR-HU-A-B-TECH-4-B2-BRK-G0</x:v>
      </x:c>
      <x:c r="E1793" s="9" t="str">
        <x:v>HU-A-B-TECH-4</x:v>
      </x:c>
      <x:c r="F1793" s="9" t="str">
        <x:v>HU-A-B</x:v>
      </x:c>
      <x:c r="G1793" s="9" t="str">
        <x:v>B2</x:v>
      </x:c>
      <x:c r="H1793" s="9" t="str">
        <x:v>BRK</x:v>
      </x:c>
      <x:c r="I1793" s="9" t="str">
        <x:v>PD11</x:v>
      </x:c>
      <x:c r="J1793" s="17" t="str">
        <x:v>Invalidity petition and opinion</x:v>
      </x:c>
      <x:c r="K1793" s="17" t="str">
        <x:v>Invalidity court</x:v>
      </x:c>
      <x:c r="L1793" s="17" t="str">
        <x:v>COURT-SEALED UNTIL COHORT RELEASE</x:v>
      </x:c>
      <x:c r="M1793" s="9" t="n">
        <x:v>0</x:v>
      </x:c>
      <x:c r="N1793" s="9" t="n">
        <x:v>0</x:v>
      </x:c>
      <x:c r="O1793" s="9" t="n">
        <x:v>0</x:v>
      </x:c>
      <x:c r="P1793" s="9" t="str">
        <x:v>HELD / UNRELEASED</x:v>
      </x:c>
      <x:c r="Q1793" s="9" t="n">
        <x:f>COUNTIFS($A$7:$A$2310,A1793)</x:f>
        <x:v>1</x:v>
      </x:c>
    </x:row>
    <x:row r="1794">
      <x:c r="A1794" s="9" t="str">
        <x:v>PD-AR-HU-A-B-TECH-4-B2-BRK-G0-PD12</x:v>
      </x:c>
      <x:c r="B1794" s="9" t="str">
        <x:v>PD-AR-HU-A-B-TECH-4-B2-BRK-G0</x:v>
      </x:c>
      <x:c r="C1794" s="9" t="str">
        <x:v>EV-AR-HU-A-B-TECH-4-B2-BRK-G0</x:v>
      </x:c>
      <x:c r="D1794" s="9" t="str">
        <x:v>AR-HU-A-B-TECH-4-B2-BRK-G0</x:v>
      </x:c>
      <x:c r="E1794" s="9" t="str">
        <x:v>HU-A-B-TECH-4</x:v>
      </x:c>
      <x:c r="F1794" s="9" t="str">
        <x:v>HU-A-B</x:v>
      </x:c>
      <x:c r="G1794" s="9" t="str">
        <x:v>B2</x:v>
      </x:c>
      <x:c r="H1794" s="9" t="str">
        <x:v>BRK</x:v>
      </x:c>
      <x:c r="I1794" s="9" t="str">
        <x:v>PD12</x:v>
      </x:c>
      <x:c r="J1794" s="17" t="str">
        <x:v>Observation acceptance and replay</x:v>
      </x:c>
      <x:c r="K1794" s="17" t="str">
        <x:v>Observation court</x:v>
      </x:c>
      <x:c r="L1794" s="17" t="str">
        <x:v>COURT-SEALED UNTIL COHORT RELEASE</x:v>
      </x:c>
      <x:c r="M1794" s="9" t="n">
        <x:v>0</x:v>
      </x:c>
      <x:c r="N1794" s="9" t="n">
        <x:v>0</x:v>
      </x:c>
      <x:c r="O1794" s="9" t="n">
        <x:v>0</x:v>
      </x:c>
      <x:c r="P1794" s="9" t="str">
        <x:v>HELD / UNRELEASED</x:v>
      </x:c>
      <x:c r="Q1794" s="9" t="n">
        <x:f>COUNTIFS($A$7:$A$2310,A1794)</x:f>
        <x:v>1</x:v>
      </x:c>
    </x:row>
    <x:row r="1795">
      <x:c r="A1795" s="9" t="str">
        <x:v>PD-AR-HU-A-B-TECH-4-B2-BRK-G0-PD13</x:v>
      </x:c>
      <x:c r="B1795" s="9" t="str">
        <x:v>PD-AR-HU-A-B-TECH-4-B2-BRK-G0</x:v>
      </x:c>
      <x:c r="C1795" s="9" t="str">
        <x:v>EV-AR-HU-A-B-TECH-4-B2-BRK-G0</x:v>
      </x:c>
      <x:c r="D1795" s="9" t="str">
        <x:v>AR-HU-A-B-TECH-4-B2-BRK-G0</x:v>
      </x:c>
      <x:c r="E1795" s="9" t="str">
        <x:v>HU-A-B-TECH-4</x:v>
      </x:c>
      <x:c r="F1795" s="9" t="str">
        <x:v>HU-A-B</x:v>
      </x:c>
      <x:c r="G1795" s="9" t="str">
        <x:v>B2</x:v>
      </x:c>
      <x:c r="H1795" s="9" t="str">
        <x:v>BRK</x:v>
      </x:c>
      <x:c r="I1795" s="9" t="str">
        <x:v>PD13</x:v>
      </x:c>
      <x:c r="J1795" s="17" t="str">
        <x:v>Role judgment</x:v>
      </x:c>
      <x:c r="K1795" s="17" t="str">
        <x:v>Role court</x:v>
      </x:c>
      <x:c r="L1795" s="17" t="str">
        <x:v>COURT-SEALED UNTIL COHORT RELEASE</x:v>
      </x:c>
      <x:c r="M1795" s="9" t="n">
        <x:v>0</x:v>
      </x:c>
      <x:c r="N1795" s="9" t="n">
        <x:v>0</x:v>
      </x:c>
      <x:c r="O1795" s="9" t="n">
        <x:v>0</x:v>
      </x:c>
      <x:c r="P1795" s="9" t="str">
        <x:v>HELD / UNRELEASED</x:v>
      </x:c>
      <x:c r="Q1795" s="9" t="n">
        <x:f>COUNTIFS($A$7:$A$2310,A1795)</x:f>
        <x:v>1</x:v>
      </x:c>
    </x:row>
    <x:row r="1796">
      <x:c r="A1796" s="9" t="str">
        <x:v>PD-AR-HU-A-B-TECH-4-B2-BRK-G0-PD14</x:v>
      </x:c>
      <x:c r="B1796" s="9" t="str">
        <x:v>PD-AR-HU-A-B-TECH-4-B2-BRK-G0</x:v>
      </x:c>
      <x:c r="C1796" s="9" t="str">
        <x:v>EV-AR-HU-A-B-TECH-4-B2-BRK-G0</x:v>
      </x:c>
      <x:c r="D1796" s="9" t="str">
        <x:v>AR-HU-A-B-TECH-4-B2-BRK-G0</x:v>
      </x:c>
      <x:c r="E1796" s="9" t="str">
        <x:v>HU-A-B-TECH-4</x:v>
      </x:c>
      <x:c r="F1796" s="9" t="str">
        <x:v>HU-A-B</x:v>
      </x:c>
      <x:c r="G1796" s="9" t="str">
        <x:v>B2</x:v>
      </x:c>
      <x:c r="H1796" s="9" t="str">
        <x:v>BRK</x:v>
      </x:c>
      <x:c r="I1796" s="9" t="str">
        <x:v>PD14</x:v>
      </x:c>
      <x:c r="J1796" s="17" t="str">
        <x:v>Break and residual account</x:v>
      </x:c>
      <x:c r="K1796" s="17" t="str">
        <x:v>Residual authority</x:v>
      </x:c>
      <x:c r="L1796" s="17" t="str">
        <x:v>COURT-SEALED UNTIL COHORT RELEASE</x:v>
      </x:c>
      <x:c r="M1796" s="9" t="n">
        <x:v>0</x:v>
      </x:c>
      <x:c r="N1796" s="9" t="n">
        <x:v>0</x:v>
      </x:c>
      <x:c r="O1796" s="9" t="n">
        <x:v>0</x:v>
      </x:c>
      <x:c r="P1796" s="9" t="str">
        <x:v>HELD / UNRELEASED</x:v>
      </x:c>
      <x:c r="Q1796" s="9" t="n">
        <x:f>COUNTIFS($A$7:$A$2310,A1796)</x:f>
        <x:v>1</x:v>
      </x:c>
    </x:row>
    <x:row r="1797">
      <x:c r="A1797" s="9" t="str">
        <x:v>PD-AR-HU-A-B-TECH-4-B2-BRK-G0-PD15</x:v>
      </x:c>
      <x:c r="B1797" s="9" t="str">
        <x:v>PD-AR-HU-A-B-TECH-4-B2-BRK-G0</x:v>
      </x:c>
      <x:c r="C1797" s="9" t="str">
        <x:v>EV-AR-HU-A-B-TECH-4-B2-BRK-G0</x:v>
      </x:c>
      <x:c r="D1797" s="9" t="str">
        <x:v>AR-HU-A-B-TECH-4-B2-BRK-G0</x:v>
      </x:c>
      <x:c r="E1797" s="9" t="str">
        <x:v>HU-A-B-TECH-4</x:v>
      </x:c>
      <x:c r="F1797" s="9" t="str">
        <x:v>HU-A-B</x:v>
      </x:c>
      <x:c r="G1797" s="9" t="str">
        <x:v>B2</x:v>
      </x:c>
      <x:c r="H1797" s="9" t="str">
        <x:v>BRK</x:v>
      </x:c>
      <x:c r="I1797" s="9" t="str">
        <x:v>PD15</x:v>
      </x:c>
      <x:c r="J1797" s="17" t="str">
        <x:v>Reconstruction ancestry and replay</x:v>
      </x:c>
      <x:c r="K1797" s="17" t="str">
        <x:v>Reconstruction court</x:v>
      </x:c>
      <x:c r="L1797" s="17" t="str">
        <x:v>COURT-SEALED UNTIL COHORT RELEASE</x:v>
      </x:c>
      <x:c r="M1797" s="9" t="n">
        <x:v>0</x:v>
      </x:c>
      <x:c r="N1797" s="9" t="n">
        <x:v>0</x:v>
      </x:c>
      <x:c r="O1797" s="9" t="n">
        <x:v>0</x:v>
      </x:c>
      <x:c r="P1797" s="9" t="str">
        <x:v>HELD / UNRELEASED</x:v>
      </x:c>
      <x:c r="Q1797" s="9" t="n">
        <x:f>COUNTIFS($A$7:$A$2310,A1797)</x:f>
        <x:v>1</x:v>
      </x:c>
    </x:row>
    <x:row r="1798">
      <x:c r="A1798" s="9" t="str">
        <x:v>PD-AR-HU-A-B-TECH-4-B2-BRK-G0-PD16</x:v>
      </x:c>
      <x:c r="B1798" s="9" t="str">
        <x:v>PD-AR-HU-A-B-TECH-4-B2-BRK-G0</x:v>
      </x:c>
      <x:c r="C1798" s="9" t="str">
        <x:v>EV-AR-HU-A-B-TECH-4-B2-BRK-G0</x:v>
      </x:c>
      <x:c r="D1798" s="9" t="str">
        <x:v>AR-HU-A-B-TECH-4-B2-BRK-G0</x:v>
      </x:c>
      <x:c r="E1798" s="9" t="str">
        <x:v>HU-A-B-TECH-4</x:v>
      </x:c>
      <x:c r="F1798" s="9" t="str">
        <x:v>HU-A-B</x:v>
      </x:c>
      <x:c r="G1798" s="9" t="str">
        <x:v>B2</x:v>
      </x:c>
      <x:c r="H1798" s="9" t="str">
        <x:v>BRK</x:v>
      </x:c>
      <x:c r="I1798" s="9" t="str">
        <x:v>PD16</x:v>
      </x:c>
      <x:c r="J1798" s="17" t="str">
        <x:v>Dissent, amendments and access log</x:v>
      </x:c>
      <x:c r="K1798" s="17" t="str">
        <x:v>Public archive</x:v>
      </x:c>
      <x:c r="L1798" s="17" t="str">
        <x:v>COURT-SEALED UNTIL COHORT RELEASE</x:v>
      </x:c>
      <x:c r="M1798" s="9" t="n">
        <x:v>0</x:v>
      </x:c>
      <x:c r="N1798" s="9" t="n">
        <x:v>0</x:v>
      </x:c>
      <x:c r="O1798" s="9" t="n">
        <x:v>0</x:v>
      </x:c>
      <x:c r="P1798" s="9" t="str">
        <x:v>HELD / UNRELEASED</x:v>
      </x:c>
      <x:c r="Q1798" s="9" t="n">
        <x:f>COUNTIFS($A$7:$A$2310,A1798)</x:f>
        <x:v>1</x:v>
      </x:c>
    </x:row>
    <x:row r="1799">
      <x:c r="A1799" s="9" t="str">
        <x:v>PD-AR-RT-B-C-TECH-4-B1-BRK-G0-PD01</x:v>
      </x:c>
      <x:c r="B1799" s="9" t="str">
        <x:v>PD-AR-RT-B-C-TECH-4-B1-BRK-G0</x:v>
      </x:c>
      <x:c r="C1799" s="9" t="str">
        <x:v>EV-AR-RT-B-C-TECH-4-B1-BRK-G0</x:v>
      </x:c>
      <x:c r="D1799" s="9" t="str">
        <x:v>AR-RT-B-C-TECH-4-B1-BRK-G0</x:v>
      </x:c>
      <x:c r="E1799" s="9" t="str">
        <x:v>RT-B-C-TECH-4</x:v>
      </x:c>
      <x:c r="F1799" s="9" t="str">
        <x:v>RT-B-C</x:v>
      </x:c>
      <x:c r="G1799" s="9" t="str">
        <x:v>B1</x:v>
      </x:c>
      <x:c r="H1799" s="9" t="str">
        <x:v>BRK</x:v>
      </x:c>
      <x:c r="I1799" s="9" t="str">
        <x:v>PD01</x:v>
      </x:c>
      <x:c r="J1799" s="17" t="str">
        <x:v>Experiment kernel</x:v>
      </x:c>
      <x:c r="K1799" s="17" t="str">
        <x:v>Public archive</x:v>
      </x:c>
      <x:c r="L1799" s="17" t="str">
        <x:v>COURT-SEALED UNTIL COHORT RELEASE</x:v>
      </x:c>
      <x:c r="M1799" s="9" t="n">
        <x:v>0</x:v>
      </x:c>
      <x:c r="N1799" s="9" t="n">
        <x:v>0</x:v>
      </x:c>
      <x:c r="O1799" s="9" t="n">
        <x:v>0</x:v>
      </x:c>
      <x:c r="P1799" s="9" t="str">
        <x:v>HELD / UNRELEASED</x:v>
      </x:c>
      <x:c r="Q1799" s="9" t="n">
        <x:f>COUNTIFS($A$7:$A$2310,A1799)</x:f>
        <x:v>1</x:v>
      </x:c>
    </x:row>
    <x:row r="1800">
      <x:c r="A1800" s="9" t="str">
        <x:v>PD-AR-RT-B-C-TECH-4-B1-BRK-G0-PD02</x:v>
      </x:c>
      <x:c r="B1800" s="9" t="str">
        <x:v>PD-AR-RT-B-C-TECH-4-B1-BRK-G0</x:v>
      </x:c>
      <x:c r="C1800" s="9" t="str">
        <x:v>EV-AR-RT-B-C-TECH-4-B1-BRK-G0</x:v>
      </x:c>
      <x:c r="D1800" s="9" t="str">
        <x:v>AR-RT-B-C-TECH-4-B1-BRK-G0</x:v>
      </x:c>
      <x:c r="E1800" s="9" t="str">
        <x:v>RT-B-C-TECH-4</x:v>
      </x:c>
      <x:c r="F1800" s="9" t="str">
        <x:v>RT-B-C</x:v>
      </x:c>
      <x:c r="G1800" s="9" t="str">
        <x:v>B1</x:v>
      </x:c>
      <x:c r="H1800" s="9" t="str">
        <x:v>BRK</x:v>
      </x:c>
      <x:c r="I1800" s="9" t="str">
        <x:v>PD02</x:v>
      </x:c>
      <x:c r="J1800" s="17" t="str">
        <x:v>Serial annex and title chain</x:v>
      </x:c>
      <x:c r="K1800" s="17" t="str">
        <x:v>Public archive</x:v>
      </x:c>
      <x:c r="L1800" s="17" t="str">
        <x:v>COURT-SEALED UNTIL COHORT RELEASE</x:v>
      </x:c>
      <x:c r="M1800" s="9" t="n">
        <x:v>0</x:v>
      </x:c>
      <x:c r="N1800" s="9" t="n">
        <x:v>0</x:v>
      </x:c>
      <x:c r="O1800" s="9" t="n">
        <x:v>0</x:v>
      </x:c>
      <x:c r="P1800" s="9" t="str">
        <x:v>HELD / UNRELEASED</x:v>
      </x:c>
      <x:c r="Q1800" s="9" t="n">
        <x:f>COUNTIFS($A$7:$A$2310,A1800)</x:f>
        <x:v>1</x:v>
      </x:c>
    </x:row>
    <x:row r="1801">
      <x:c r="A1801" s="9" t="str">
        <x:v>PD-AR-RT-B-C-TECH-4-B1-BRK-G0-PD03</x:v>
      </x:c>
      <x:c r="B1801" s="9" t="str">
        <x:v>PD-AR-RT-B-C-TECH-4-B1-BRK-G0</x:v>
      </x:c>
      <x:c r="C1801" s="9" t="str">
        <x:v>EV-AR-RT-B-C-TECH-4-B1-BRK-G0</x:v>
      </x:c>
      <x:c r="D1801" s="9" t="str">
        <x:v>AR-RT-B-C-TECH-4-B1-BRK-G0</x:v>
      </x:c>
      <x:c r="E1801" s="9" t="str">
        <x:v>RT-B-C-TECH-4</x:v>
      </x:c>
      <x:c r="F1801" s="9" t="str">
        <x:v>RT-B-C</x:v>
      </x:c>
      <x:c r="G1801" s="9" t="str">
        <x:v>B1</x:v>
      </x:c>
      <x:c r="H1801" s="9" t="str">
        <x:v>BRK</x:v>
      </x:c>
      <x:c r="I1801" s="9" t="str">
        <x:v>PD03</x:v>
      </x:c>
      <x:c r="J1801" s="17" t="str">
        <x:v>Configuration and as-built manifest</x:v>
      </x:c>
      <x:c r="K1801" s="17" t="str">
        <x:v>Artifact exchange</x:v>
      </x:c>
      <x:c r="L1801" s="17" t="str">
        <x:v>COURT-SEALED UNTIL COHORT RELEASE</x:v>
      </x:c>
      <x:c r="M1801" s="9" t="n">
        <x:v>0</x:v>
      </x:c>
      <x:c r="N1801" s="9" t="n">
        <x:v>0</x:v>
      </x:c>
      <x:c r="O1801" s="9" t="n">
        <x:v>0</x:v>
      </x:c>
      <x:c r="P1801" s="9" t="str">
        <x:v>HELD / UNRELEASED</x:v>
      </x:c>
      <x:c r="Q1801" s="9" t="n">
        <x:f>COUNTIFS($A$7:$A$2310,A1801)</x:f>
        <x:v>1</x:v>
      </x:c>
    </x:row>
    <x:row r="1802">
      <x:c r="A1802" s="9" t="str">
        <x:v>PD-AR-RT-B-C-TECH-4-B1-BRK-G0-PD04</x:v>
      </x:c>
      <x:c r="B1802" s="9" t="str">
        <x:v>PD-AR-RT-B-C-TECH-4-B1-BRK-G0</x:v>
      </x:c>
      <x:c r="C1802" s="9" t="str">
        <x:v>EV-AR-RT-B-C-TECH-4-B1-BRK-G0</x:v>
      </x:c>
      <x:c r="D1802" s="9" t="str">
        <x:v>AR-RT-B-C-TECH-4-B1-BRK-G0</x:v>
      </x:c>
      <x:c r="E1802" s="9" t="str">
        <x:v>RT-B-C-TECH-4</x:v>
      </x:c>
      <x:c r="F1802" s="9" t="str">
        <x:v>RT-B-C</x:v>
      </x:c>
      <x:c r="G1802" s="9" t="str">
        <x:v>B1</x:v>
      </x:c>
      <x:c r="H1802" s="9" t="str">
        <x:v>BRK</x:v>
      </x:c>
      <x:c r="I1802" s="9" t="str">
        <x:v>PD04</x:v>
      </x:c>
      <x:c r="J1802" s="17" t="str">
        <x:v>EOW and start certificate</x:v>
      </x:c>
      <x:c r="K1802" s="17" t="str">
        <x:v>Start registrar</x:v>
      </x:c>
      <x:c r="L1802" s="17" t="str">
        <x:v>COURT-SEALED UNTIL COHORT RELEASE</x:v>
      </x:c>
      <x:c r="M1802" s="9" t="n">
        <x:v>0</x:v>
      </x:c>
      <x:c r="N1802" s="9" t="n">
        <x:v>0</x:v>
      </x:c>
      <x:c r="O1802" s="9" t="n">
        <x:v>0</x:v>
      </x:c>
      <x:c r="P1802" s="9" t="str">
        <x:v>HELD / UNRELEASED</x:v>
      </x:c>
      <x:c r="Q1802" s="9" t="n">
        <x:f>COUNTIFS($A$7:$A$2310,A1802)</x:f>
        <x:v>1</x:v>
      </x:c>
    </x:row>
    <x:row r="1803">
      <x:c r="A1803" s="9" t="str">
        <x:v>PD-AR-RT-B-C-TECH-4-B1-BRK-G0-PD05</x:v>
      </x:c>
      <x:c r="B1803" s="9" t="str">
        <x:v>PD-AR-RT-B-C-TECH-4-B1-BRK-G0</x:v>
      </x:c>
      <x:c r="C1803" s="9" t="str">
        <x:v>EV-AR-RT-B-C-TECH-4-B1-BRK-G0</x:v>
      </x:c>
      <x:c r="D1803" s="9" t="str">
        <x:v>AR-RT-B-C-TECH-4-B1-BRK-G0</x:v>
      </x:c>
      <x:c r="E1803" s="9" t="str">
        <x:v>RT-B-C-TECH-4</x:v>
      </x:c>
      <x:c r="F1803" s="9" t="str">
        <x:v>RT-B-C</x:v>
      </x:c>
      <x:c r="G1803" s="9" t="str">
        <x:v>B1</x:v>
      </x:c>
      <x:c r="H1803" s="9" t="str">
        <x:v>BRK</x:v>
      </x:c>
      <x:c r="I1803" s="9" t="str">
        <x:v>PD05</x:v>
      </x:c>
      <x:c r="J1803" s="17" t="str">
        <x:v>Primary raw originals</x:v>
      </x:c>
      <x:c r="K1803" s="17" t="str">
        <x:v>Primary custody</x:v>
      </x:c>
      <x:c r="L1803" s="17" t="str">
        <x:v>COURT-SEALED UNTIL COHORT RELEASE</x:v>
      </x:c>
      <x:c r="M1803" s="9" t="n">
        <x:v>0</x:v>
      </x:c>
      <x:c r="N1803" s="9" t="n">
        <x:v>0</x:v>
      </x:c>
      <x:c r="O1803" s="9" t="n">
        <x:v>0</x:v>
      </x:c>
      <x:c r="P1803" s="9" t="str">
        <x:v>HELD / UNRELEASED</x:v>
      </x:c>
      <x:c r="Q1803" s="9" t="n">
        <x:f>COUNTIFS($A$7:$A$2310,A1803)</x:f>
        <x:v>1</x:v>
      </x:c>
    </x:row>
    <x:row r="1804">
      <x:c r="A1804" s="9" t="str">
        <x:v>PD-AR-RT-B-C-TECH-4-B1-BRK-G0-PD06</x:v>
      </x:c>
      <x:c r="B1804" s="9" t="str">
        <x:v>PD-AR-RT-B-C-TECH-4-B1-BRK-G0</x:v>
      </x:c>
      <x:c r="C1804" s="9" t="str">
        <x:v>EV-AR-RT-B-C-TECH-4-B1-BRK-G0</x:v>
      </x:c>
      <x:c r="D1804" s="9" t="str">
        <x:v>AR-RT-B-C-TECH-4-B1-BRK-G0</x:v>
      </x:c>
      <x:c r="E1804" s="9" t="str">
        <x:v>RT-B-C-TECH-4</x:v>
      </x:c>
      <x:c r="F1804" s="9" t="str">
        <x:v>RT-B-C</x:v>
      </x:c>
      <x:c r="G1804" s="9" t="str">
        <x:v>B1</x:v>
      </x:c>
      <x:c r="H1804" s="9" t="str">
        <x:v>BRK</x:v>
      </x:c>
      <x:c r="I1804" s="9" t="str">
        <x:v>PD06</x:v>
      </x:c>
      <x:c r="J1804" s="17" t="str">
        <x:v>Witness raw originals</x:v>
      </x:c>
      <x:c r="K1804" s="17" t="str">
        <x:v>Witness custody</x:v>
      </x:c>
      <x:c r="L1804" s="17" t="str">
        <x:v>COURT-SEALED UNTIL COHORT RELEASE</x:v>
      </x:c>
      <x:c r="M1804" s="9" t="n">
        <x:v>0</x:v>
      </x:c>
      <x:c r="N1804" s="9" t="n">
        <x:v>0</x:v>
      </x:c>
      <x:c r="O1804" s="9" t="n">
        <x:v>0</x:v>
      </x:c>
      <x:c r="P1804" s="9" t="str">
        <x:v>HELD / UNRELEASED</x:v>
      </x:c>
      <x:c r="Q1804" s="9" t="n">
        <x:f>COUNTIFS($A$7:$A$2310,A1804)</x:f>
        <x:v>1</x:v>
      </x:c>
    </x:row>
    <x:row r="1805">
      <x:c r="A1805" s="9" t="str">
        <x:v>PD-AR-RT-B-C-TECH-4-B1-BRK-G0-PD07</x:v>
      </x:c>
      <x:c r="B1805" s="9" t="str">
        <x:v>PD-AR-RT-B-C-TECH-4-B1-BRK-G0</x:v>
      </x:c>
      <x:c r="C1805" s="9" t="str">
        <x:v>EV-AR-RT-B-C-TECH-4-B1-BRK-G0</x:v>
      </x:c>
      <x:c r="D1805" s="9" t="str">
        <x:v>AR-RT-B-C-TECH-4-B1-BRK-G0</x:v>
      </x:c>
      <x:c r="E1805" s="9" t="str">
        <x:v>RT-B-C-TECH-4</x:v>
      </x:c>
      <x:c r="F1805" s="9" t="str">
        <x:v>RT-B-C</x:v>
      </x:c>
      <x:c r="G1805" s="9" t="str">
        <x:v>B1</x:v>
      </x:c>
      <x:c r="H1805" s="9" t="str">
        <x:v>BRK</x:v>
      </x:c>
      <x:c r="I1805" s="9" t="str">
        <x:v>PD07</x:v>
      </x:c>
      <x:c r="J1805" s="17" t="str">
        <x:v>Clock and environmental records</x:v>
      </x:c>
      <x:c r="K1805" s="17" t="str">
        <x:v>Boundary archive</x:v>
      </x:c>
      <x:c r="L1805" s="17" t="str">
        <x:v>COURT-SEALED UNTIL COHORT RELEASE</x:v>
      </x:c>
      <x:c r="M1805" s="9" t="n">
        <x:v>0</x:v>
      </x:c>
      <x:c r="N1805" s="9" t="n">
        <x:v>0</x:v>
      </x:c>
      <x:c r="O1805" s="9" t="n">
        <x:v>0</x:v>
      </x:c>
      <x:c r="P1805" s="9" t="str">
        <x:v>HELD / UNRELEASED</x:v>
      </x:c>
      <x:c r="Q1805" s="9" t="n">
        <x:f>COUNTIFS($A$7:$A$2310,A1805)</x:f>
        <x:v>1</x:v>
      </x:c>
    </x:row>
    <x:row r="1806">
      <x:c r="A1806" s="9" t="str">
        <x:v>PD-AR-RT-B-C-TECH-4-B1-BRK-G0-PD08</x:v>
      </x:c>
      <x:c r="B1806" s="9" t="str">
        <x:v>PD-AR-RT-B-C-TECH-4-B1-BRK-G0</x:v>
      </x:c>
      <x:c r="C1806" s="9" t="str">
        <x:v>EV-AR-RT-B-C-TECH-4-B1-BRK-G0</x:v>
      </x:c>
      <x:c r="D1806" s="9" t="str">
        <x:v>AR-RT-B-C-TECH-4-B1-BRK-G0</x:v>
      </x:c>
      <x:c r="E1806" s="9" t="str">
        <x:v>RT-B-C-TECH-4</x:v>
      </x:c>
      <x:c r="F1806" s="9" t="str">
        <x:v>RT-B-C</x:v>
      </x:c>
      <x:c r="G1806" s="9" t="str">
        <x:v>B1</x:v>
      </x:c>
      <x:c r="H1806" s="9" t="str">
        <x:v>BRK</x:v>
      </x:c>
      <x:c r="I1806" s="9" t="str">
        <x:v>PD08</x:v>
      </x:c>
      <x:c r="J1806" s="17" t="str">
        <x:v>Command and intervention log</x:v>
      </x:c>
      <x:c r="K1806" s="17" t="str">
        <x:v>Safety archive</x:v>
      </x:c>
      <x:c r="L1806" s="17" t="str">
        <x:v>COURT-SEALED UNTIL COHORT RELEASE</x:v>
      </x:c>
      <x:c r="M1806" s="9" t="n">
        <x:v>0</x:v>
      </x:c>
      <x:c r="N1806" s="9" t="n">
        <x:v>0</x:v>
      </x:c>
      <x:c r="O1806" s="9" t="n">
        <x:v>0</x:v>
      </x:c>
      <x:c r="P1806" s="9" t="str">
        <x:v>HELD / UNRELEASED</x:v>
      </x:c>
      <x:c r="Q1806" s="9" t="n">
        <x:f>COUNTIFS($A$7:$A$2310,A1806)</x:f>
        <x:v>1</x:v>
      </x:c>
    </x:row>
    <x:row r="1807">
      <x:c r="A1807" s="9" t="str">
        <x:v>PD-AR-RT-B-C-TECH-4-B1-BRK-G0-PD09</x:v>
      </x:c>
      <x:c r="B1807" s="9" t="str">
        <x:v>PD-AR-RT-B-C-TECH-4-B1-BRK-G0</x:v>
      </x:c>
      <x:c r="C1807" s="9" t="str">
        <x:v>EV-AR-RT-B-C-TECH-4-B1-BRK-G0</x:v>
      </x:c>
      <x:c r="D1807" s="9" t="str">
        <x:v>AR-RT-B-C-TECH-4-B1-BRK-G0</x:v>
      </x:c>
      <x:c r="E1807" s="9" t="str">
        <x:v>RT-B-C-TECH-4</x:v>
      </x:c>
      <x:c r="F1807" s="9" t="str">
        <x:v>RT-B-C</x:v>
      </x:c>
      <x:c r="G1807" s="9" t="str">
        <x:v>B1</x:v>
      </x:c>
      <x:c r="H1807" s="9" t="str">
        <x:v>BRK</x:v>
      </x:c>
      <x:c r="I1807" s="9" t="str">
        <x:v>PD09</x:v>
      </x:c>
      <x:c r="J1807" s="17" t="str">
        <x:v>Receiver denominator and service ledger</x:v>
      </x:c>
      <x:c r="K1807" s="17" t="str">
        <x:v>Receiver archive</x:v>
      </x:c>
      <x:c r="L1807" s="17" t="str">
        <x:v>COURT-SEALED UNTIL COHORT RELEASE</x:v>
      </x:c>
      <x:c r="M1807" s="9" t="n">
        <x:v>0</x:v>
      </x:c>
      <x:c r="N1807" s="9" t="n">
        <x:v>0</x:v>
      </x:c>
      <x:c r="O1807" s="9" t="n">
        <x:v>0</x:v>
      </x:c>
      <x:c r="P1807" s="9" t="str">
        <x:v>HELD / UNRELEASED</x:v>
      </x:c>
      <x:c r="Q1807" s="9" t="n">
        <x:f>COUNTIFS($A$7:$A$2310,A1807)</x:f>
        <x:v>1</x:v>
      </x:c>
    </x:row>
    <x:row r="1808">
      <x:c r="A1808" s="9" t="str">
        <x:v>PD-AR-RT-B-C-TECH-4-B1-BRK-G0-PD10</x:v>
      </x:c>
      <x:c r="B1808" s="9" t="str">
        <x:v>PD-AR-RT-B-C-TECH-4-B1-BRK-G0</x:v>
      </x:c>
      <x:c r="C1808" s="9" t="str">
        <x:v>EV-AR-RT-B-C-TECH-4-B1-BRK-G0</x:v>
      </x:c>
      <x:c r="D1808" s="9" t="str">
        <x:v>AR-RT-B-C-TECH-4-B1-BRK-G0</x:v>
      </x:c>
      <x:c r="E1808" s="9" t="str">
        <x:v>RT-B-C-TECH-4</x:v>
      </x:c>
      <x:c r="F1808" s="9" t="str">
        <x:v>RT-B-C</x:v>
      </x:c>
      <x:c r="G1808" s="9" t="str">
        <x:v>B1</x:v>
      </x:c>
      <x:c r="H1808" s="9" t="str">
        <x:v>BRK</x:v>
      </x:c>
      <x:c r="I1808" s="9" t="str">
        <x:v>PD10</x:v>
      </x:c>
      <x:c r="J1808" s="17" t="str">
        <x:v>Calibration and uncertainty record</x:v>
      </x:c>
      <x:c r="K1808" s="17" t="str">
        <x:v>Metrology archive</x:v>
      </x:c>
      <x:c r="L1808" s="17" t="str">
        <x:v>COURT-SEALED UNTIL COHORT RELEASE</x:v>
      </x:c>
      <x:c r="M1808" s="9" t="n">
        <x:v>0</x:v>
      </x:c>
      <x:c r="N1808" s="9" t="n">
        <x:v>0</x:v>
      </x:c>
      <x:c r="O1808" s="9" t="n">
        <x:v>0</x:v>
      </x:c>
      <x:c r="P1808" s="9" t="str">
        <x:v>HELD / UNRELEASED</x:v>
      </x:c>
      <x:c r="Q1808" s="9" t="n">
        <x:f>COUNTIFS($A$7:$A$2310,A1808)</x:f>
        <x:v>1</x:v>
      </x:c>
    </x:row>
    <x:row r="1809">
      <x:c r="A1809" s="9" t="str">
        <x:v>PD-AR-RT-B-C-TECH-4-B1-BRK-G0-PD11</x:v>
      </x:c>
      <x:c r="B1809" s="9" t="str">
        <x:v>PD-AR-RT-B-C-TECH-4-B1-BRK-G0</x:v>
      </x:c>
      <x:c r="C1809" s="9" t="str">
        <x:v>EV-AR-RT-B-C-TECH-4-B1-BRK-G0</x:v>
      </x:c>
      <x:c r="D1809" s="9" t="str">
        <x:v>AR-RT-B-C-TECH-4-B1-BRK-G0</x:v>
      </x:c>
      <x:c r="E1809" s="9" t="str">
        <x:v>RT-B-C-TECH-4</x:v>
      </x:c>
      <x:c r="F1809" s="9" t="str">
        <x:v>RT-B-C</x:v>
      </x:c>
      <x:c r="G1809" s="9" t="str">
        <x:v>B1</x:v>
      </x:c>
      <x:c r="H1809" s="9" t="str">
        <x:v>BRK</x:v>
      </x:c>
      <x:c r="I1809" s="9" t="str">
        <x:v>PD11</x:v>
      </x:c>
      <x:c r="J1809" s="17" t="str">
        <x:v>Invalidity petition and opinion</x:v>
      </x:c>
      <x:c r="K1809" s="17" t="str">
        <x:v>Invalidity court</x:v>
      </x:c>
      <x:c r="L1809" s="17" t="str">
        <x:v>COURT-SEALED UNTIL COHORT RELEASE</x:v>
      </x:c>
      <x:c r="M1809" s="9" t="n">
        <x:v>0</x:v>
      </x:c>
      <x:c r="N1809" s="9" t="n">
        <x:v>0</x:v>
      </x:c>
      <x:c r="O1809" s="9" t="n">
        <x:v>0</x:v>
      </x:c>
      <x:c r="P1809" s="9" t="str">
        <x:v>HELD / UNRELEASED</x:v>
      </x:c>
      <x:c r="Q1809" s="9" t="n">
        <x:f>COUNTIFS($A$7:$A$2310,A1809)</x:f>
        <x:v>1</x:v>
      </x:c>
    </x:row>
    <x:row r="1810">
      <x:c r="A1810" s="9" t="str">
        <x:v>PD-AR-RT-B-C-TECH-4-B1-BRK-G0-PD12</x:v>
      </x:c>
      <x:c r="B1810" s="9" t="str">
        <x:v>PD-AR-RT-B-C-TECH-4-B1-BRK-G0</x:v>
      </x:c>
      <x:c r="C1810" s="9" t="str">
        <x:v>EV-AR-RT-B-C-TECH-4-B1-BRK-G0</x:v>
      </x:c>
      <x:c r="D1810" s="9" t="str">
        <x:v>AR-RT-B-C-TECH-4-B1-BRK-G0</x:v>
      </x:c>
      <x:c r="E1810" s="9" t="str">
        <x:v>RT-B-C-TECH-4</x:v>
      </x:c>
      <x:c r="F1810" s="9" t="str">
        <x:v>RT-B-C</x:v>
      </x:c>
      <x:c r="G1810" s="9" t="str">
        <x:v>B1</x:v>
      </x:c>
      <x:c r="H1810" s="9" t="str">
        <x:v>BRK</x:v>
      </x:c>
      <x:c r="I1810" s="9" t="str">
        <x:v>PD12</x:v>
      </x:c>
      <x:c r="J1810" s="17" t="str">
        <x:v>Observation acceptance and replay</x:v>
      </x:c>
      <x:c r="K1810" s="17" t="str">
        <x:v>Observation court</x:v>
      </x:c>
      <x:c r="L1810" s="17" t="str">
        <x:v>COURT-SEALED UNTIL COHORT RELEASE</x:v>
      </x:c>
      <x:c r="M1810" s="9" t="n">
        <x:v>0</x:v>
      </x:c>
      <x:c r="N1810" s="9" t="n">
        <x:v>0</x:v>
      </x:c>
      <x:c r="O1810" s="9" t="n">
        <x:v>0</x:v>
      </x:c>
      <x:c r="P1810" s="9" t="str">
        <x:v>HELD / UNRELEASED</x:v>
      </x:c>
      <x:c r="Q1810" s="9" t="n">
        <x:f>COUNTIFS($A$7:$A$2310,A1810)</x:f>
        <x:v>1</x:v>
      </x:c>
    </x:row>
    <x:row r="1811">
      <x:c r="A1811" s="9" t="str">
        <x:v>PD-AR-RT-B-C-TECH-4-B1-BRK-G0-PD13</x:v>
      </x:c>
      <x:c r="B1811" s="9" t="str">
        <x:v>PD-AR-RT-B-C-TECH-4-B1-BRK-G0</x:v>
      </x:c>
      <x:c r="C1811" s="9" t="str">
        <x:v>EV-AR-RT-B-C-TECH-4-B1-BRK-G0</x:v>
      </x:c>
      <x:c r="D1811" s="9" t="str">
        <x:v>AR-RT-B-C-TECH-4-B1-BRK-G0</x:v>
      </x:c>
      <x:c r="E1811" s="9" t="str">
        <x:v>RT-B-C-TECH-4</x:v>
      </x:c>
      <x:c r="F1811" s="9" t="str">
        <x:v>RT-B-C</x:v>
      </x:c>
      <x:c r="G1811" s="9" t="str">
        <x:v>B1</x:v>
      </x:c>
      <x:c r="H1811" s="9" t="str">
        <x:v>BRK</x:v>
      </x:c>
      <x:c r="I1811" s="9" t="str">
        <x:v>PD13</x:v>
      </x:c>
      <x:c r="J1811" s="17" t="str">
        <x:v>Role judgment</x:v>
      </x:c>
      <x:c r="K1811" s="17" t="str">
        <x:v>Role court</x:v>
      </x:c>
      <x:c r="L1811" s="17" t="str">
        <x:v>COURT-SEALED UNTIL COHORT RELEASE</x:v>
      </x:c>
      <x:c r="M1811" s="9" t="n">
        <x:v>0</x:v>
      </x:c>
      <x:c r="N1811" s="9" t="n">
        <x:v>0</x:v>
      </x:c>
      <x:c r="O1811" s="9" t="n">
        <x:v>0</x:v>
      </x:c>
      <x:c r="P1811" s="9" t="str">
        <x:v>HELD / UNRELEASED</x:v>
      </x:c>
      <x:c r="Q1811" s="9" t="n">
        <x:f>COUNTIFS($A$7:$A$2310,A1811)</x:f>
        <x:v>1</x:v>
      </x:c>
    </x:row>
    <x:row r="1812">
      <x:c r="A1812" s="9" t="str">
        <x:v>PD-AR-RT-B-C-TECH-4-B1-BRK-G0-PD14</x:v>
      </x:c>
      <x:c r="B1812" s="9" t="str">
        <x:v>PD-AR-RT-B-C-TECH-4-B1-BRK-G0</x:v>
      </x:c>
      <x:c r="C1812" s="9" t="str">
        <x:v>EV-AR-RT-B-C-TECH-4-B1-BRK-G0</x:v>
      </x:c>
      <x:c r="D1812" s="9" t="str">
        <x:v>AR-RT-B-C-TECH-4-B1-BRK-G0</x:v>
      </x:c>
      <x:c r="E1812" s="9" t="str">
        <x:v>RT-B-C-TECH-4</x:v>
      </x:c>
      <x:c r="F1812" s="9" t="str">
        <x:v>RT-B-C</x:v>
      </x:c>
      <x:c r="G1812" s="9" t="str">
        <x:v>B1</x:v>
      </x:c>
      <x:c r="H1812" s="9" t="str">
        <x:v>BRK</x:v>
      </x:c>
      <x:c r="I1812" s="9" t="str">
        <x:v>PD14</x:v>
      </x:c>
      <x:c r="J1812" s="17" t="str">
        <x:v>Break and residual account</x:v>
      </x:c>
      <x:c r="K1812" s="17" t="str">
        <x:v>Residual authority</x:v>
      </x:c>
      <x:c r="L1812" s="17" t="str">
        <x:v>COURT-SEALED UNTIL COHORT RELEASE</x:v>
      </x:c>
      <x:c r="M1812" s="9" t="n">
        <x:v>0</x:v>
      </x:c>
      <x:c r="N1812" s="9" t="n">
        <x:v>0</x:v>
      </x:c>
      <x:c r="O1812" s="9" t="n">
        <x:v>0</x:v>
      </x:c>
      <x:c r="P1812" s="9" t="str">
        <x:v>HELD / UNRELEASED</x:v>
      </x:c>
      <x:c r="Q1812" s="9" t="n">
        <x:f>COUNTIFS($A$7:$A$2310,A1812)</x:f>
        <x:v>1</x:v>
      </x:c>
    </x:row>
    <x:row r="1813">
      <x:c r="A1813" s="9" t="str">
        <x:v>PD-AR-RT-B-C-TECH-4-B1-BRK-G0-PD15</x:v>
      </x:c>
      <x:c r="B1813" s="9" t="str">
        <x:v>PD-AR-RT-B-C-TECH-4-B1-BRK-G0</x:v>
      </x:c>
      <x:c r="C1813" s="9" t="str">
        <x:v>EV-AR-RT-B-C-TECH-4-B1-BRK-G0</x:v>
      </x:c>
      <x:c r="D1813" s="9" t="str">
        <x:v>AR-RT-B-C-TECH-4-B1-BRK-G0</x:v>
      </x:c>
      <x:c r="E1813" s="9" t="str">
        <x:v>RT-B-C-TECH-4</x:v>
      </x:c>
      <x:c r="F1813" s="9" t="str">
        <x:v>RT-B-C</x:v>
      </x:c>
      <x:c r="G1813" s="9" t="str">
        <x:v>B1</x:v>
      </x:c>
      <x:c r="H1813" s="9" t="str">
        <x:v>BRK</x:v>
      </x:c>
      <x:c r="I1813" s="9" t="str">
        <x:v>PD15</x:v>
      </x:c>
      <x:c r="J1813" s="17" t="str">
        <x:v>Reconstruction ancestry and replay</x:v>
      </x:c>
      <x:c r="K1813" s="17" t="str">
        <x:v>Reconstruction court</x:v>
      </x:c>
      <x:c r="L1813" s="17" t="str">
        <x:v>COURT-SEALED UNTIL COHORT RELEASE</x:v>
      </x:c>
      <x:c r="M1813" s="9" t="n">
        <x:v>0</x:v>
      </x:c>
      <x:c r="N1813" s="9" t="n">
        <x:v>0</x:v>
      </x:c>
      <x:c r="O1813" s="9" t="n">
        <x:v>0</x:v>
      </x:c>
      <x:c r="P1813" s="9" t="str">
        <x:v>HELD / UNRELEASED</x:v>
      </x:c>
      <x:c r="Q1813" s="9" t="n">
        <x:f>COUNTIFS($A$7:$A$2310,A1813)</x:f>
        <x:v>1</x:v>
      </x:c>
    </x:row>
    <x:row r="1814">
      <x:c r="A1814" s="9" t="str">
        <x:v>PD-AR-RT-B-C-TECH-4-B1-BRK-G0-PD16</x:v>
      </x:c>
      <x:c r="B1814" s="9" t="str">
        <x:v>PD-AR-RT-B-C-TECH-4-B1-BRK-G0</x:v>
      </x:c>
      <x:c r="C1814" s="9" t="str">
        <x:v>EV-AR-RT-B-C-TECH-4-B1-BRK-G0</x:v>
      </x:c>
      <x:c r="D1814" s="9" t="str">
        <x:v>AR-RT-B-C-TECH-4-B1-BRK-G0</x:v>
      </x:c>
      <x:c r="E1814" s="9" t="str">
        <x:v>RT-B-C-TECH-4</x:v>
      </x:c>
      <x:c r="F1814" s="9" t="str">
        <x:v>RT-B-C</x:v>
      </x:c>
      <x:c r="G1814" s="9" t="str">
        <x:v>B1</x:v>
      </x:c>
      <x:c r="H1814" s="9" t="str">
        <x:v>BRK</x:v>
      </x:c>
      <x:c r="I1814" s="9" t="str">
        <x:v>PD16</x:v>
      </x:c>
      <x:c r="J1814" s="17" t="str">
        <x:v>Dissent, amendments and access log</x:v>
      </x:c>
      <x:c r="K1814" s="17" t="str">
        <x:v>Public archive</x:v>
      </x:c>
      <x:c r="L1814" s="17" t="str">
        <x:v>COURT-SEALED UNTIL COHORT RELEASE</x:v>
      </x:c>
      <x:c r="M1814" s="9" t="n">
        <x:v>0</x:v>
      </x:c>
      <x:c r="N1814" s="9" t="n">
        <x:v>0</x:v>
      </x:c>
      <x:c r="O1814" s="9" t="n">
        <x:v>0</x:v>
      </x:c>
      <x:c r="P1814" s="9" t="str">
        <x:v>HELD / UNRELEASED</x:v>
      </x:c>
      <x:c r="Q1814" s="9" t="n">
        <x:f>COUNTIFS($A$7:$A$2310,A1814)</x:f>
        <x:v>1</x:v>
      </x:c>
    </x:row>
    <x:row r="1815">
      <x:c r="A1815" s="9" t="str">
        <x:v>PD-AR-RT-B-C-TECH-3-B2-BRK-G0-PD01</x:v>
      </x:c>
      <x:c r="B1815" s="9" t="str">
        <x:v>PD-AR-RT-B-C-TECH-3-B2-BRK-G0</x:v>
      </x:c>
      <x:c r="C1815" s="9" t="str">
        <x:v>EV-AR-RT-B-C-TECH-3-B2-BRK-G0</x:v>
      </x:c>
      <x:c r="D1815" s="9" t="str">
        <x:v>AR-RT-B-C-TECH-3-B2-BRK-G0</x:v>
      </x:c>
      <x:c r="E1815" s="9" t="str">
        <x:v>RT-B-C-TECH-3</x:v>
      </x:c>
      <x:c r="F1815" s="9" t="str">
        <x:v>RT-B-C</x:v>
      </x:c>
      <x:c r="G1815" s="9" t="str">
        <x:v>B2</x:v>
      </x:c>
      <x:c r="H1815" s="9" t="str">
        <x:v>BRK</x:v>
      </x:c>
      <x:c r="I1815" s="9" t="str">
        <x:v>PD01</x:v>
      </x:c>
      <x:c r="J1815" s="17" t="str">
        <x:v>Experiment kernel</x:v>
      </x:c>
      <x:c r="K1815" s="17" t="str">
        <x:v>Public archive</x:v>
      </x:c>
      <x:c r="L1815" s="17" t="str">
        <x:v>COURT-SEALED UNTIL COHORT RELEASE</x:v>
      </x:c>
      <x:c r="M1815" s="9" t="n">
        <x:v>0</x:v>
      </x:c>
      <x:c r="N1815" s="9" t="n">
        <x:v>0</x:v>
      </x:c>
      <x:c r="O1815" s="9" t="n">
        <x:v>0</x:v>
      </x:c>
      <x:c r="P1815" s="9" t="str">
        <x:v>HELD / UNRELEASED</x:v>
      </x:c>
      <x:c r="Q1815" s="9" t="n">
        <x:f>COUNTIFS($A$7:$A$2310,A1815)</x:f>
        <x:v>1</x:v>
      </x:c>
    </x:row>
    <x:row r="1816">
      <x:c r="A1816" s="9" t="str">
        <x:v>PD-AR-RT-B-C-TECH-3-B2-BRK-G0-PD02</x:v>
      </x:c>
      <x:c r="B1816" s="9" t="str">
        <x:v>PD-AR-RT-B-C-TECH-3-B2-BRK-G0</x:v>
      </x:c>
      <x:c r="C1816" s="9" t="str">
        <x:v>EV-AR-RT-B-C-TECH-3-B2-BRK-G0</x:v>
      </x:c>
      <x:c r="D1816" s="9" t="str">
        <x:v>AR-RT-B-C-TECH-3-B2-BRK-G0</x:v>
      </x:c>
      <x:c r="E1816" s="9" t="str">
        <x:v>RT-B-C-TECH-3</x:v>
      </x:c>
      <x:c r="F1816" s="9" t="str">
        <x:v>RT-B-C</x:v>
      </x:c>
      <x:c r="G1816" s="9" t="str">
        <x:v>B2</x:v>
      </x:c>
      <x:c r="H1816" s="9" t="str">
        <x:v>BRK</x:v>
      </x:c>
      <x:c r="I1816" s="9" t="str">
        <x:v>PD02</x:v>
      </x:c>
      <x:c r="J1816" s="17" t="str">
        <x:v>Serial annex and title chain</x:v>
      </x:c>
      <x:c r="K1816" s="17" t="str">
        <x:v>Public archive</x:v>
      </x:c>
      <x:c r="L1816" s="17" t="str">
        <x:v>COURT-SEALED UNTIL COHORT RELEASE</x:v>
      </x:c>
      <x:c r="M1816" s="9" t="n">
        <x:v>0</x:v>
      </x:c>
      <x:c r="N1816" s="9" t="n">
        <x:v>0</x:v>
      </x:c>
      <x:c r="O1816" s="9" t="n">
        <x:v>0</x:v>
      </x:c>
      <x:c r="P1816" s="9" t="str">
        <x:v>HELD / UNRELEASED</x:v>
      </x:c>
      <x:c r="Q1816" s="9" t="n">
        <x:f>COUNTIFS($A$7:$A$2310,A1816)</x:f>
        <x:v>1</x:v>
      </x:c>
    </x:row>
    <x:row r="1817">
      <x:c r="A1817" s="9" t="str">
        <x:v>PD-AR-RT-B-C-TECH-3-B2-BRK-G0-PD03</x:v>
      </x:c>
      <x:c r="B1817" s="9" t="str">
        <x:v>PD-AR-RT-B-C-TECH-3-B2-BRK-G0</x:v>
      </x:c>
      <x:c r="C1817" s="9" t="str">
        <x:v>EV-AR-RT-B-C-TECH-3-B2-BRK-G0</x:v>
      </x:c>
      <x:c r="D1817" s="9" t="str">
        <x:v>AR-RT-B-C-TECH-3-B2-BRK-G0</x:v>
      </x:c>
      <x:c r="E1817" s="9" t="str">
        <x:v>RT-B-C-TECH-3</x:v>
      </x:c>
      <x:c r="F1817" s="9" t="str">
        <x:v>RT-B-C</x:v>
      </x:c>
      <x:c r="G1817" s="9" t="str">
        <x:v>B2</x:v>
      </x:c>
      <x:c r="H1817" s="9" t="str">
        <x:v>BRK</x:v>
      </x:c>
      <x:c r="I1817" s="9" t="str">
        <x:v>PD03</x:v>
      </x:c>
      <x:c r="J1817" s="17" t="str">
        <x:v>Configuration and as-built manifest</x:v>
      </x:c>
      <x:c r="K1817" s="17" t="str">
        <x:v>Artifact exchange</x:v>
      </x:c>
      <x:c r="L1817" s="17" t="str">
        <x:v>COURT-SEALED UNTIL COHORT RELEASE</x:v>
      </x:c>
      <x:c r="M1817" s="9" t="n">
        <x:v>0</x:v>
      </x:c>
      <x:c r="N1817" s="9" t="n">
        <x:v>0</x:v>
      </x:c>
      <x:c r="O1817" s="9" t="n">
        <x:v>0</x:v>
      </x:c>
      <x:c r="P1817" s="9" t="str">
        <x:v>HELD / UNRELEASED</x:v>
      </x:c>
      <x:c r="Q1817" s="9" t="n">
        <x:f>COUNTIFS($A$7:$A$2310,A1817)</x:f>
        <x:v>1</x:v>
      </x:c>
    </x:row>
    <x:row r="1818">
      <x:c r="A1818" s="9" t="str">
        <x:v>PD-AR-RT-B-C-TECH-3-B2-BRK-G0-PD04</x:v>
      </x:c>
      <x:c r="B1818" s="9" t="str">
        <x:v>PD-AR-RT-B-C-TECH-3-B2-BRK-G0</x:v>
      </x:c>
      <x:c r="C1818" s="9" t="str">
        <x:v>EV-AR-RT-B-C-TECH-3-B2-BRK-G0</x:v>
      </x:c>
      <x:c r="D1818" s="9" t="str">
        <x:v>AR-RT-B-C-TECH-3-B2-BRK-G0</x:v>
      </x:c>
      <x:c r="E1818" s="9" t="str">
        <x:v>RT-B-C-TECH-3</x:v>
      </x:c>
      <x:c r="F1818" s="9" t="str">
        <x:v>RT-B-C</x:v>
      </x:c>
      <x:c r="G1818" s="9" t="str">
        <x:v>B2</x:v>
      </x:c>
      <x:c r="H1818" s="9" t="str">
        <x:v>BRK</x:v>
      </x:c>
      <x:c r="I1818" s="9" t="str">
        <x:v>PD04</x:v>
      </x:c>
      <x:c r="J1818" s="17" t="str">
        <x:v>EOW and start certificate</x:v>
      </x:c>
      <x:c r="K1818" s="17" t="str">
        <x:v>Start registrar</x:v>
      </x:c>
      <x:c r="L1818" s="17" t="str">
        <x:v>COURT-SEALED UNTIL COHORT RELEASE</x:v>
      </x:c>
      <x:c r="M1818" s="9" t="n">
        <x:v>0</x:v>
      </x:c>
      <x:c r="N1818" s="9" t="n">
        <x:v>0</x:v>
      </x:c>
      <x:c r="O1818" s="9" t="n">
        <x:v>0</x:v>
      </x:c>
      <x:c r="P1818" s="9" t="str">
        <x:v>HELD / UNRELEASED</x:v>
      </x:c>
      <x:c r="Q1818" s="9" t="n">
        <x:f>COUNTIFS($A$7:$A$2310,A1818)</x:f>
        <x:v>1</x:v>
      </x:c>
    </x:row>
    <x:row r="1819">
      <x:c r="A1819" s="9" t="str">
        <x:v>PD-AR-RT-B-C-TECH-3-B2-BRK-G0-PD05</x:v>
      </x:c>
      <x:c r="B1819" s="9" t="str">
        <x:v>PD-AR-RT-B-C-TECH-3-B2-BRK-G0</x:v>
      </x:c>
      <x:c r="C1819" s="9" t="str">
        <x:v>EV-AR-RT-B-C-TECH-3-B2-BRK-G0</x:v>
      </x:c>
      <x:c r="D1819" s="9" t="str">
        <x:v>AR-RT-B-C-TECH-3-B2-BRK-G0</x:v>
      </x:c>
      <x:c r="E1819" s="9" t="str">
        <x:v>RT-B-C-TECH-3</x:v>
      </x:c>
      <x:c r="F1819" s="9" t="str">
        <x:v>RT-B-C</x:v>
      </x:c>
      <x:c r="G1819" s="9" t="str">
        <x:v>B2</x:v>
      </x:c>
      <x:c r="H1819" s="9" t="str">
        <x:v>BRK</x:v>
      </x:c>
      <x:c r="I1819" s="9" t="str">
        <x:v>PD05</x:v>
      </x:c>
      <x:c r="J1819" s="17" t="str">
        <x:v>Primary raw originals</x:v>
      </x:c>
      <x:c r="K1819" s="17" t="str">
        <x:v>Primary custody</x:v>
      </x:c>
      <x:c r="L1819" s="17" t="str">
        <x:v>COURT-SEALED UNTIL COHORT RELEASE</x:v>
      </x:c>
      <x:c r="M1819" s="9" t="n">
        <x:v>0</x:v>
      </x:c>
      <x:c r="N1819" s="9" t="n">
        <x:v>0</x:v>
      </x:c>
      <x:c r="O1819" s="9" t="n">
        <x:v>0</x:v>
      </x:c>
      <x:c r="P1819" s="9" t="str">
        <x:v>HELD / UNRELEASED</x:v>
      </x:c>
      <x:c r="Q1819" s="9" t="n">
        <x:f>COUNTIFS($A$7:$A$2310,A1819)</x:f>
        <x:v>1</x:v>
      </x:c>
    </x:row>
    <x:row r="1820">
      <x:c r="A1820" s="9" t="str">
        <x:v>PD-AR-RT-B-C-TECH-3-B2-BRK-G0-PD06</x:v>
      </x:c>
      <x:c r="B1820" s="9" t="str">
        <x:v>PD-AR-RT-B-C-TECH-3-B2-BRK-G0</x:v>
      </x:c>
      <x:c r="C1820" s="9" t="str">
        <x:v>EV-AR-RT-B-C-TECH-3-B2-BRK-G0</x:v>
      </x:c>
      <x:c r="D1820" s="9" t="str">
        <x:v>AR-RT-B-C-TECH-3-B2-BRK-G0</x:v>
      </x:c>
      <x:c r="E1820" s="9" t="str">
        <x:v>RT-B-C-TECH-3</x:v>
      </x:c>
      <x:c r="F1820" s="9" t="str">
        <x:v>RT-B-C</x:v>
      </x:c>
      <x:c r="G1820" s="9" t="str">
        <x:v>B2</x:v>
      </x:c>
      <x:c r="H1820" s="9" t="str">
        <x:v>BRK</x:v>
      </x:c>
      <x:c r="I1820" s="9" t="str">
        <x:v>PD06</x:v>
      </x:c>
      <x:c r="J1820" s="17" t="str">
        <x:v>Witness raw originals</x:v>
      </x:c>
      <x:c r="K1820" s="17" t="str">
        <x:v>Witness custody</x:v>
      </x:c>
      <x:c r="L1820" s="17" t="str">
        <x:v>COURT-SEALED UNTIL COHORT RELEASE</x:v>
      </x:c>
      <x:c r="M1820" s="9" t="n">
        <x:v>0</x:v>
      </x:c>
      <x:c r="N1820" s="9" t="n">
        <x:v>0</x:v>
      </x:c>
      <x:c r="O1820" s="9" t="n">
        <x:v>0</x:v>
      </x:c>
      <x:c r="P1820" s="9" t="str">
        <x:v>HELD / UNRELEASED</x:v>
      </x:c>
      <x:c r="Q1820" s="9" t="n">
        <x:f>COUNTIFS($A$7:$A$2310,A1820)</x:f>
        <x:v>1</x:v>
      </x:c>
    </x:row>
    <x:row r="1821">
      <x:c r="A1821" s="9" t="str">
        <x:v>PD-AR-RT-B-C-TECH-3-B2-BRK-G0-PD07</x:v>
      </x:c>
      <x:c r="B1821" s="9" t="str">
        <x:v>PD-AR-RT-B-C-TECH-3-B2-BRK-G0</x:v>
      </x:c>
      <x:c r="C1821" s="9" t="str">
        <x:v>EV-AR-RT-B-C-TECH-3-B2-BRK-G0</x:v>
      </x:c>
      <x:c r="D1821" s="9" t="str">
        <x:v>AR-RT-B-C-TECH-3-B2-BRK-G0</x:v>
      </x:c>
      <x:c r="E1821" s="9" t="str">
        <x:v>RT-B-C-TECH-3</x:v>
      </x:c>
      <x:c r="F1821" s="9" t="str">
        <x:v>RT-B-C</x:v>
      </x:c>
      <x:c r="G1821" s="9" t="str">
        <x:v>B2</x:v>
      </x:c>
      <x:c r="H1821" s="9" t="str">
        <x:v>BRK</x:v>
      </x:c>
      <x:c r="I1821" s="9" t="str">
        <x:v>PD07</x:v>
      </x:c>
      <x:c r="J1821" s="17" t="str">
        <x:v>Clock and environmental records</x:v>
      </x:c>
      <x:c r="K1821" s="17" t="str">
        <x:v>Boundary archive</x:v>
      </x:c>
      <x:c r="L1821" s="17" t="str">
        <x:v>COURT-SEALED UNTIL COHORT RELEASE</x:v>
      </x:c>
      <x:c r="M1821" s="9" t="n">
        <x:v>0</x:v>
      </x:c>
      <x:c r="N1821" s="9" t="n">
        <x:v>0</x:v>
      </x:c>
      <x:c r="O1821" s="9" t="n">
        <x:v>0</x:v>
      </x:c>
      <x:c r="P1821" s="9" t="str">
        <x:v>HELD / UNRELEASED</x:v>
      </x:c>
      <x:c r="Q1821" s="9" t="n">
        <x:f>COUNTIFS($A$7:$A$2310,A1821)</x:f>
        <x:v>1</x:v>
      </x:c>
    </x:row>
    <x:row r="1822">
      <x:c r="A1822" s="9" t="str">
        <x:v>PD-AR-RT-B-C-TECH-3-B2-BRK-G0-PD08</x:v>
      </x:c>
      <x:c r="B1822" s="9" t="str">
        <x:v>PD-AR-RT-B-C-TECH-3-B2-BRK-G0</x:v>
      </x:c>
      <x:c r="C1822" s="9" t="str">
        <x:v>EV-AR-RT-B-C-TECH-3-B2-BRK-G0</x:v>
      </x:c>
      <x:c r="D1822" s="9" t="str">
        <x:v>AR-RT-B-C-TECH-3-B2-BRK-G0</x:v>
      </x:c>
      <x:c r="E1822" s="9" t="str">
        <x:v>RT-B-C-TECH-3</x:v>
      </x:c>
      <x:c r="F1822" s="9" t="str">
        <x:v>RT-B-C</x:v>
      </x:c>
      <x:c r="G1822" s="9" t="str">
        <x:v>B2</x:v>
      </x:c>
      <x:c r="H1822" s="9" t="str">
        <x:v>BRK</x:v>
      </x:c>
      <x:c r="I1822" s="9" t="str">
        <x:v>PD08</x:v>
      </x:c>
      <x:c r="J1822" s="17" t="str">
        <x:v>Command and intervention log</x:v>
      </x:c>
      <x:c r="K1822" s="17" t="str">
        <x:v>Safety archive</x:v>
      </x:c>
      <x:c r="L1822" s="17" t="str">
        <x:v>COURT-SEALED UNTIL COHORT RELEASE</x:v>
      </x:c>
      <x:c r="M1822" s="9" t="n">
        <x:v>0</x:v>
      </x:c>
      <x:c r="N1822" s="9" t="n">
        <x:v>0</x:v>
      </x:c>
      <x:c r="O1822" s="9" t="n">
        <x:v>0</x:v>
      </x:c>
      <x:c r="P1822" s="9" t="str">
        <x:v>HELD / UNRELEASED</x:v>
      </x:c>
      <x:c r="Q1822" s="9" t="n">
        <x:f>COUNTIFS($A$7:$A$2310,A1822)</x:f>
        <x:v>1</x:v>
      </x:c>
    </x:row>
    <x:row r="1823">
      <x:c r="A1823" s="9" t="str">
        <x:v>PD-AR-RT-B-C-TECH-3-B2-BRK-G0-PD09</x:v>
      </x:c>
      <x:c r="B1823" s="9" t="str">
        <x:v>PD-AR-RT-B-C-TECH-3-B2-BRK-G0</x:v>
      </x:c>
      <x:c r="C1823" s="9" t="str">
        <x:v>EV-AR-RT-B-C-TECH-3-B2-BRK-G0</x:v>
      </x:c>
      <x:c r="D1823" s="9" t="str">
        <x:v>AR-RT-B-C-TECH-3-B2-BRK-G0</x:v>
      </x:c>
      <x:c r="E1823" s="9" t="str">
        <x:v>RT-B-C-TECH-3</x:v>
      </x:c>
      <x:c r="F1823" s="9" t="str">
        <x:v>RT-B-C</x:v>
      </x:c>
      <x:c r="G1823" s="9" t="str">
        <x:v>B2</x:v>
      </x:c>
      <x:c r="H1823" s="9" t="str">
        <x:v>BRK</x:v>
      </x:c>
      <x:c r="I1823" s="9" t="str">
        <x:v>PD09</x:v>
      </x:c>
      <x:c r="J1823" s="17" t="str">
        <x:v>Receiver denominator and service ledger</x:v>
      </x:c>
      <x:c r="K1823" s="17" t="str">
        <x:v>Receiver archive</x:v>
      </x:c>
      <x:c r="L1823" s="17" t="str">
        <x:v>COURT-SEALED UNTIL COHORT RELEASE</x:v>
      </x:c>
      <x:c r="M1823" s="9" t="n">
        <x:v>0</x:v>
      </x:c>
      <x:c r="N1823" s="9" t="n">
        <x:v>0</x:v>
      </x:c>
      <x:c r="O1823" s="9" t="n">
        <x:v>0</x:v>
      </x:c>
      <x:c r="P1823" s="9" t="str">
        <x:v>HELD / UNRELEASED</x:v>
      </x:c>
      <x:c r="Q1823" s="9" t="n">
        <x:f>COUNTIFS($A$7:$A$2310,A1823)</x:f>
        <x:v>1</x:v>
      </x:c>
    </x:row>
    <x:row r="1824">
      <x:c r="A1824" s="9" t="str">
        <x:v>PD-AR-RT-B-C-TECH-3-B2-BRK-G0-PD10</x:v>
      </x:c>
      <x:c r="B1824" s="9" t="str">
        <x:v>PD-AR-RT-B-C-TECH-3-B2-BRK-G0</x:v>
      </x:c>
      <x:c r="C1824" s="9" t="str">
        <x:v>EV-AR-RT-B-C-TECH-3-B2-BRK-G0</x:v>
      </x:c>
      <x:c r="D1824" s="9" t="str">
        <x:v>AR-RT-B-C-TECH-3-B2-BRK-G0</x:v>
      </x:c>
      <x:c r="E1824" s="9" t="str">
        <x:v>RT-B-C-TECH-3</x:v>
      </x:c>
      <x:c r="F1824" s="9" t="str">
        <x:v>RT-B-C</x:v>
      </x:c>
      <x:c r="G1824" s="9" t="str">
        <x:v>B2</x:v>
      </x:c>
      <x:c r="H1824" s="9" t="str">
        <x:v>BRK</x:v>
      </x:c>
      <x:c r="I1824" s="9" t="str">
        <x:v>PD10</x:v>
      </x:c>
      <x:c r="J1824" s="17" t="str">
        <x:v>Calibration and uncertainty record</x:v>
      </x:c>
      <x:c r="K1824" s="17" t="str">
        <x:v>Metrology archive</x:v>
      </x:c>
      <x:c r="L1824" s="17" t="str">
        <x:v>COURT-SEALED UNTIL COHORT RELEASE</x:v>
      </x:c>
      <x:c r="M1824" s="9" t="n">
        <x:v>0</x:v>
      </x:c>
      <x:c r="N1824" s="9" t="n">
        <x:v>0</x:v>
      </x:c>
      <x:c r="O1824" s="9" t="n">
        <x:v>0</x:v>
      </x:c>
      <x:c r="P1824" s="9" t="str">
        <x:v>HELD / UNRELEASED</x:v>
      </x:c>
      <x:c r="Q1824" s="9" t="n">
        <x:f>COUNTIFS($A$7:$A$2310,A1824)</x:f>
        <x:v>1</x:v>
      </x:c>
    </x:row>
    <x:row r="1825">
      <x:c r="A1825" s="9" t="str">
        <x:v>PD-AR-RT-B-C-TECH-3-B2-BRK-G0-PD11</x:v>
      </x:c>
      <x:c r="B1825" s="9" t="str">
        <x:v>PD-AR-RT-B-C-TECH-3-B2-BRK-G0</x:v>
      </x:c>
      <x:c r="C1825" s="9" t="str">
        <x:v>EV-AR-RT-B-C-TECH-3-B2-BRK-G0</x:v>
      </x:c>
      <x:c r="D1825" s="9" t="str">
        <x:v>AR-RT-B-C-TECH-3-B2-BRK-G0</x:v>
      </x:c>
      <x:c r="E1825" s="9" t="str">
        <x:v>RT-B-C-TECH-3</x:v>
      </x:c>
      <x:c r="F1825" s="9" t="str">
        <x:v>RT-B-C</x:v>
      </x:c>
      <x:c r="G1825" s="9" t="str">
        <x:v>B2</x:v>
      </x:c>
      <x:c r="H1825" s="9" t="str">
        <x:v>BRK</x:v>
      </x:c>
      <x:c r="I1825" s="9" t="str">
        <x:v>PD11</x:v>
      </x:c>
      <x:c r="J1825" s="17" t="str">
        <x:v>Invalidity petition and opinion</x:v>
      </x:c>
      <x:c r="K1825" s="17" t="str">
        <x:v>Invalidity court</x:v>
      </x:c>
      <x:c r="L1825" s="17" t="str">
        <x:v>COURT-SEALED UNTIL COHORT RELEASE</x:v>
      </x:c>
      <x:c r="M1825" s="9" t="n">
        <x:v>0</x:v>
      </x:c>
      <x:c r="N1825" s="9" t="n">
        <x:v>0</x:v>
      </x:c>
      <x:c r="O1825" s="9" t="n">
        <x:v>0</x:v>
      </x:c>
      <x:c r="P1825" s="9" t="str">
        <x:v>HELD / UNRELEASED</x:v>
      </x:c>
      <x:c r="Q1825" s="9" t="n">
        <x:f>COUNTIFS($A$7:$A$2310,A1825)</x:f>
        <x:v>1</x:v>
      </x:c>
    </x:row>
    <x:row r="1826">
      <x:c r="A1826" s="9" t="str">
        <x:v>PD-AR-RT-B-C-TECH-3-B2-BRK-G0-PD12</x:v>
      </x:c>
      <x:c r="B1826" s="9" t="str">
        <x:v>PD-AR-RT-B-C-TECH-3-B2-BRK-G0</x:v>
      </x:c>
      <x:c r="C1826" s="9" t="str">
        <x:v>EV-AR-RT-B-C-TECH-3-B2-BRK-G0</x:v>
      </x:c>
      <x:c r="D1826" s="9" t="str">
        <x:v>AR-RT-B-C-TECH-3-B2-BRK-G0</x:v>
      </x:c>
      <x:c r="E1826" s="9" t="str">
        <x:v>RT-B-C-TECH-3</x:v>
      </x:c>
      <x:c r="F1826" s="9" t="str">
        <x:v>RT-B-C</x:v>
      </x:c>
      <x:c r="G1826" s="9" t="str">
        <x:v>B2</x:v>
      </x:c>
      <x:c r="H1826" s="9" t="str">
        <x:v>BRK</x:v>
      </x:c>
      <x:c r="I1826" s="9" t="str">
        <x:v>PD12</x:v>
      </x:c>
      <x:c r="J1826" s="17" t="str">
        <x:v>Observation acceptance and replay</x:v>
      </x:c>
      <x:c r="K1826" s="17" t="str">
        <x:v>Observation court</x:v>
      </x:c>
      <x:c r="L1826" s="17" t="str">
        <x:v>COURT-SEALED UNTIL COHORT RELEASE</x:v>
      </x:c>
      <x:c r="M1826" s="9" t="n">
        <x:v>0</x:v>
      </x:c>
      <x:c r="N1826" s="9" t="n">
        <x:v>0</x:v>
      </x:c>
      <x:c r="O1826" s="9" t="n">
        <x:v>0</x:v>
      </x:c>
      <x:c r="P1826" s="9" t="str">
        <x:v>HELD / UNRELEASED</x:v>
      </x:c>
      <x:c r="Q1826" s="9" t="n">
        <x:f>COUNTIFS($A$7:$A$2310,A1826)</x:f>
        <x:v>1</x:v>
      </x:c>
    </x:row>
    <x:row r="1827">
      <x:c r="A1827" s="9" t="str">
        <x:v>PD-AR-RT-B-C-TECH-3-B2-BRK-G0-PD13</x:v>
      </x:c>
      <x:c r="B1827" s="9" t="str">
        <x:v>PD-AR-RT-B-C-TECH-3-B2-BRK-G0</x:v>
      </x:c>
      <x:c r="C1827" s="9" t="str">
        <x:v>EV-AR-RT-B-C-TECH-3-B2-BRK-G0</x:v>
      </x:c>
      <x:c r="D1827" s="9" t="str">
        <x:v>AR-RT-B-C-TECH-3-B2-BRK-G0</x:v>
      </x:c>
      <x:c r="E1827" s="9" t="str">
        <x:v>RT-B-C-TECH-3</x:v>
      </x:c>
      <x:c r="F1827" s="9" t="str">
        <x:v>RT-B-C</x:v>
      </x:c>
      <x:c r="G1827" s="9" t="str">
        <x:v>B2</x:v>
      </x:c>
      <x:c r="H1827" s="9" t="str">
        <x:v>BRK</x:v>
      </x:c>
      <x:c r="I1827" s="9" t="str">
        <x:v>PD13</x:v>
      </x:c>
      <x:c r="J1827" s="17" t="str">
        <x:v>Role judgment</x:v>
      </x:c>
      <x:c r="K1827" s="17" t="str">
        <x:v>Role court</x:v>
      </x:c>
      <x:c r="L1827" s="17" t="str">
        <x:v>COURT-SEALED UNTIL COHORT RELEASE</x:v>
      </x:c>
      <x:c r="M1827" s="9" t="n">
        <x:v>0</x:v>
      </x:c>
      <x:c r="N1827" s="9" t="n">
        <x:v>0</x:v>
      </x:c>
      <x:c r="O1827" s="9" t="n">
        <x:v>0</x:v>
      </x:c>
      <x:c r="P1827" s="9" t="str">
        <x:v>HELD / UNRELEASED</x:v>
      </x:c>
      <x:c r="Q1827" s="9" t="n">
        <x:f>COUNTIFS($A$7:$A$2310,A1827)</x:f>
        <x:v>1</x:v>
      </x:c>
    </x:row>
    <x:row r="1828">
      <x:c r="A1828" s="9" t="str">
        <x:v>PD-AR-RT-B-C-TECH-3-B2-BRK-G0-PD14</x:v>
      </x:c>
      <x:c r="B1828" s="9" t="str">
        <x:v>PD-AR-RT-B-C-TECH-3-B2-BRK-G0</x:v>
      </x:c>
      <x:c r="C1828" s="9" t="str">
        <x:v>EV-AR-RT-B-C-TECH-3-B2-BRK-G0</x:v>
      </x:c>
      <x:c r="D1828" s="9" t="str">
        <x:v>AR-RT-B-C-TECH-3-B2-BRK-G0</x:v>
      </x:c>
      <x:c r="E1828" s="9" t="str">
        <x:v>RT-B-C-TECH-3</x:v>
      </x:c>
      <x:c r="F1828" s="9" t="str">
        <x:v>RT-B-C</x:v>
      </x:c>
      <x:c r="G1828" s="9" t="str">
        <x:v>B2</x:v>
      </x:c>
      <x:c r="H1828" s="9" t="str">
        <x:v>BRK</x:v>
      </x:c>
      <x:c r="I1828" s="9" t="str">
        <x:v>PD14</x:v>
      </x:c>
      <x:c r="J1828" s="17" t="str">
        <x:v>Break and residual account</x:v>
      </x:c>
      <x:c r="K1828" s="17" t="str">
        <x:v>Residual authority</x:v>
      </x:c>
      <x:c r="L1828" s="17" t="str">
        <x:v>COURT-SEALED UNTIL COHORT RELEASE</x:v>
      </x:c>
      <x:c r="M1828" s="9" t="n">
        <x:v>0</x:v>
      </x:c>
      <x:c r="N1828" s="9" t="n">
        <x:v>0</x:v>
      </x:c>
      <x:c r="O1828" s="9" t="n">
        <x:v>0</x:v>
      </x:c>
      <x:c r="P1828" s="9" t="str">
        <x:v>HELD / UNRELEASED</x:v>
      </x:c>
      <x:c r="Q1828" s="9" t="n">
        <x:f>COUNTIFS($A$7:$A$2310,A1828)</x:f>
        <x:v>1</x:v>
      </x:c>
    </x:row>
    <x:row r="1829">
      <x:c r="A1829" s="9" t="str">
        <x:v>PD-AR-RT-B-C-TECH-3-B2-BRK-G0-PD15</x:v>
      </x:c>
      <x:c r="B1829" s="9" t="str">
        <x:v>PD-AR-RT-B-C-TECH-3-B2-BRK-G0</x:v>
      </x:c>
      <x:c r="C1829" s="9" t="str">
        <x:v>EV-AR-RT-B-C-TECH-3-B2-BRK-G0</x:v>
      </x:c>
      <x:c r="D1829" s="9" t="str">
        <x:v>AR-RT-B-C-TECH-3-B2-BRK-G0</x:v>
      </x:c>
      <x:c r="E1829" s="9" t="str">
        <x:v>RT-B-C-TECH-3</x:v>
      </x:c>
      <x:c r="F1829" s="9" t="str">
        <x:v>RT-B-C</x:v>
      </x:c>
      <x:c r="G1829" s="9" t="str">
        <x:v>B2</x:v>
      </x:c>
      <x:c r="H1829" s="9" t="str">
        <x:v>BRK</x:v>
      </x:c>
      <x:c r="I1829" s="9" t="str">
        <x:v>PD15</x:v>
      </x:c>
      <x:c r="J1829" s="17" t="str">
        <x:v>Reconstruction ancestry and replay</x:v>
      </x:c>
      <x:c r="K1829" s="17" t="str">
        <x:v>Reconstruction court</x:v>
      </x:c>
      <x:c r="L1829" s="17" t="str">
        <x:v>COURT-SEALED UNTIL COHORT RELEASE</x:v>
      </x:c>
      <x:c r="M1829" s="9" t="n">
        <x:v>0</x:v>
      </x:c>
      <x:c r="N1829" s="9" t="n">
        <x:v>0</x:v>
      </x:c>
      <x:c r="O1829" s="9" t="n">
        <x:v>0</x:v>
      </x:c>
      <x:c r="P1829" s="9" t="str">
        <x:v>HELD / UNRELEASED</x:v>
      </x:c>
      <x:c r="Q1829" s="9" t="n">
        <x:f>COUNTIFS($A$7:$A$2310,A1829)</x:f>
        <x:v>1</x:v>
      </x:c>
    </x:row>
    <x:row r="1830">
      <x:c r="A1830" s="9" t="str">
        <x:v>PD-AR-RT-B-C-TECH-3-B2-BRK-G0-PD16</x:v>
      </x:c>
      <x:c r="B1830" s="9" t="str">
        <x:v>PD-AR-RT-B-C-TECH-3-B2-BRK-G0</x:v>
      </x:c>
      <x:c r="C1830" s="9" t="str">
        <x:v>EV-AR-RT-B-C-TECH-3-B2-BRK-G0</x:v>
      </x:c>
      <x:c r="D1830" s="9" t="str">
        <x:v>AR-RT-B-C-TECH-3-B2-BRK-G0</x:v>
      </x:c>
      <x:c r="E1830" s="9" t="str">
        <x:v>RT-B-C-TECH-3</x:v>
      </x:c>
      <x:c r="F1830" s="9" t="str">
        <x:v>RT-B-C</x:v>
      </x:c>
      <x:c r="G1830" s="9" t="str">
        <x:v>B2</x:v>
      </x:c>
      <x:c r="H1830" s="9" t="str">
        <x:v>BRK</x:v>
      </x:c>
      <x:c r="I1830" s="9" t="str">
        <x:v>PD16</x:v>
      </x:c>
      <x:c r="J1830" s="17" t="str">
        <x:v>Dissent, amendments and access log</x:v>
      </x:c>
      <x:c r="K1830" s="17" t="str">
        <x:v>Public archive</x:v>
      </x:c>
      <x:c r="L1830" s="17" t="str">
        <x:v>COURT-SEALED UNTIL COHORT RELEASE</x:v>
      </x:c>
      <x:c r="M1830" s="9" t="n">
        <x:v>0</x:v>
      </x:c>
      <x:c r="N1830" s="9" t="n">
        <x:v>0</x:v>
      </x:c>
      <x:c r="O1830" s="9" t="n">
        <x:v>0</x:v>
      </x:c>
      <x:c r="P1830" s="9" t="str">
        <x:v>HELD / UNRELEASED</x:v>
      </x:c>
      <x:c r="Q1830" s="9" t="n">
        <x:f>COUNTIFS($A$7:$A$2310,A1830)</x:f>
        <x:v>1</x:v>
      </x:c>
    </x:row>
    <x:row r="1831">
      <x:c r="A1831" s="9" t="str">
        <x:v>PD-AR-CT-C-B-TECH-1-B2-BRK-G0-PD01</x:v>
      </x:c>
      <x:c r="B1831" s="9" t="str">
        <x:v>PD-AR-CT-C-B-TECH-1-B2-BRK-G0</x:v>
      </x:c>
      <x:c r="C1831" s="9" t="str">
        <x:v>EV-AR-CT-C-B-TECH-1-B2-BRK-G0</x:v>
      </x:c>
      <x:c r="D1831" s="9" t="str">
        <x:v>AR-CT-C-B-TECH-1-B2-BRK-G0</x:v>
      </x:c>
      <x:c r="E1831" s="9" t="str">
        <x:v>CT-C-B-TECH-1</x:v>
      </x:c>
      <x:c r="F1831" s="9" t="str">
        <x:v>CT-C-B</x:v>
      </x:c>
      <x:c r="G1831" s="9" t="str">
        <x:v>B2</x:v>
      </x:c>
      <x:c r="H1831" s="9" t="str">
        <x:v>BRK</x:v>
      </x:c>
      <x:c r="I1831" s="9" t="str">
        <x:v>PD01</x:v>
      </x:c>
      <x:c r="J1831" s="17" t="str">
        <x:v>Experiment kernel</x:v>
      </x:c>
      <x:c r="K1831" s="17" t="str">
        <x:v>Public archive</x:v>
      </x:c>
      <x:c r="L1831" s="17" t="str">
        <x:v>COURT-SEALED UNTIL COHORT RELEASE</x:v>
      </x:c>
      <x:c r="M1831" s="9" t="n">
        <x:v>0</x:v>
      </x:c>
      <x:c r="N1831" s="9" t="n">
        <x:v>0</x:v>
      </x:c>
      <x:c r="O1831" s="9" t="n">
        <x:v>0</x:v>
      </x:c>
      <x:c r="P1831" s="9" t="str">
        <x:v>HELD / UNRELEASED</x:v>
      </x:c>
      <x:c r="Q1831" s="9" t="n">
        <x:f>COUNTIFS($A$7:$A$2310,A1831)</x:f>
        <x:v>1</x:v>
      </x:c>
    </x:row>
    <x:row r="1832">
      <x:c r="A1832" s="9" t="str">
        <x:v>PD-AR-CT-C-B-TECH-1-B2-BRK-G0-PD02</x:v>
      </x:c>
      <x:c r="B1832" s="9" t="str">
        <x:v>PD-AR-CT-C-B-TECH-1-B2-BRK-G0</x:v>
      </x:c>
      <x:c r="C1832" s="9" t="str">
        <x:v>EV-AR-CT-C-B-TECH-1-B2-BRK-G0</x:v>
      </x:c>
      <x:c r="D1832" s="9" t="str">
        <x:v>AR-CT-C-B-TECH-1-B2-BRK-G0</x:v>
      </x:c>
      <x:c r="E1832" s="9" t="str">
        <x:v>CT-C-B-TECH-1</x:v>
      </x:c>
      <x:c r="F1832" s="9" t="str">
        <x:v>CT-C-B</x:v>
      </x:c>
      <x:c r="G1832" s="9" t="str">
        <x:v>B2</x:v>
      </x:c>
      <x:c r="H1832" s="9" t="str">
        <x:v>BRK</x:v>
      </x:c>
      <x:c r="I1832" s="9" t="str">
        <x:v>PD02</x:v>
      </x:c>
      <x:c r="J1832" s="17" t="str">
        <x:v>Serial annex and title chain</x:v>
      </x:c>
      <x:c r="K1832" s="17" t="str">
        <x:v>Public archive</x:v>
      </x:c>
      <x:c r="L1832" s="17" t="str">
        <x:v>COURT-SEALED UNTIL COHORT RELEASE</x:v>
      </x:c>
      <x:c r="M1832" s="9" t="n">
        <x:v>0</x:v>
      </x:c>
      <x:c r="N1832" s="9" t="n">
        <x:v>0</x:v>
      </x:c>
      <x:c r="O1832" s="9" t="n">
        <x:v>0</x:v>
      </x:c>
      <x:c r="P1832" s="9" t="str">
        <x:v>HELD / UNRELEASED</x:v>
      </x:c>
      <x:c r="Q1832" s="9" t="n">
        <x:f>COUNTIFS($A$7:$A$2310,A1832)</x:f>
        <x:v>1</x:v>
      </x:c>
    </x:row>
    <x:row r="1833">
      <x:c r="A1833" s="9" t="str">
        <x:v>PD-AR-CT-C-B-TECH-1-B2-BRK-G0-PD03</x:v>
      </x:c>
      <x:c r="B1833" s="9" t="str">
        <x:v>PD-AR-CT-C-B-TECH-1-B2-BRK-G0</x:v>
      </x:c>
      <x:c r="C1833" s="9" t="str">
        <x:v>EV-AR-CT-C-B-TECH-1-B2-BRK-G0</x:v>
      </x:c>
      <x:c r="D1833" s="9" t="str">
        <x:v>AR-CT-C-B-TECH-1-B2-BRK-G0</x:v>
      </x:c>
      <x:c r="E1833" s="9" t="str">
        <x:v>CT-C-B-TECH-1</x:v>
      </x:c>
      <x:c r="F1833" s="9" t="str">
        <x:v>CT-C-B</x:v>
      </x:c>
      <x:c r="G1833" s="9" t="str">
        <x:v>B2</x:v>
      </x:c>
      <x:c r="H1833" s="9" t="str">
        <x:v>BRK</x:v>
      </x:c>
      <x:c r="I1833" s="9" t="str">
        <x:v>PD03</x:v>
      </x:c>
      <x:c r="J1833" s="17" t="str">
        <x:v>Configuration and as-built manifest</x:v>
      </x:c>
      <x:c r="K1833" s="17" t="str">
        <x:v>Artifact exchange</x:v>
      </x:c>
      <x:c r="L1833" s="17" t="str">
        <x:v>COURT-SEALED UNTIL COHORT RELEASE</x:v>
      </x:c>
      <x:c r="M1833" s="9" t="n">
        <x:v>0</x:v>
      </x:c>
      <x:c r="N1833" s="9" t="n">
        <x:v>0</x:v>
      </x:c>
      <x:c r="O1833" s="9" t="n">
        <x:v>0</x:v>
      </x:c>
      <x:c r="P1833" s="9" t="str">
        <x:v>HELD / UNRELEASED</x:v>
      </x:c>
      <x:c r="Q1833" s="9" t="n">
        <x:f>COUNTIFS($A$7:$A$2310,A1833)</x:f>
        <x:v>1</x:v>
      </x:c>
    </x:row>
    <x:row r="1834">
      <x:c r="A1834" s="9" t="str">
        <x:v>PD-AR-CT-C-B-TECH-1-B2-BRK-G0-PD04</x:v>
      </x:c>
      <x:c r="B1834" s="9" t="str">
        <x:v>PD-AR-CT-C-B-TECH-1-B2-BRK-G0</x:v>
      </x:c>
      <x:c r="C1834" s="9" t="str">
        <x:v>EV-AR-CT-C-B-TECH-1-B2-BRK-G0</x:v>
      </x:c>
      <x:c r="D1834" s="9" t="str">
        <x:v>AR-CT-C-B-TECH-1-B2-BRK-G0</x:v>
      </x:c>
      <x:c r="E1834" s="9" t="str">
        <x:v>CT-C-B-TECH-1</x:v>
      </x:c>
      <x:c r="F1834" s="9" t="str">
        <x:v>CT-C-B</x:v>
      </x:c>
      <x:c r="G1834" s="9" t="str">
        <x:v>B2</x:v>
      </x:c>
      <x:c r="H1834" s="9" t="str">
        <x:v>BRK</x:v>
      </x:c>
      <x:c r="I1834" s="9" t="str">
        <x:v>PD04</x:v>
      </x:c>
      <x:c r="J1834" s="17" t="str">
        <x:v>EOW and start certificate</x:v>
      </x:c>
      <x:c r="K1834" s="17" t="str">
        <x:v>Start registrar</x:v>
      </x:c>
      <x:c r="L1834" s="17" t="str">
        <x:v>COURT-SEALED UNTIL COHORT RELEASE</x:v>
      </x:c>
      <x:c r="M1834" s="9" t="n">
        <x:v>0</x:v>
      </x:c>
      <x:c r="N1834" s="9" t="n">
        <x:v>0</x:v>
      </x:c>
      <x:c r="O1834" s="9" t="n">
        <x:v>0</x:v>
      </x:c>
      <x:c r="P1834" s="9" t="str">
        <x:v>HELD / UNRELEASED</x:v>
      </x:c>
      <x:c r="Q1834" s="9" t="n">
        <x:f>COUNTIFS($A$7:$A$2310,A1834)</x:f>
        <x:v>1</x:v>
      </x:c>
    </x:row>
    <x:row r="1835">
      <x:c r="A1835" s="9" t="str">
        <x:v>PD-AR-CT-C-B-TECH-1-B2-BRK-G0-PD05</x:v>
      </x:c>
      <x:c r="B1835" s="9" t="str">
        <x:v>PD-AR-CT-C-B-TECH-1-B2-BRK-G0</x:v>
      </x:c>
      <x:c r="C1835" s="9" t="str">
        <x:v>EV-AR-CT-C-B-TECH-1-B2-BRK-G0</x:v>
      </x:c>
      <x:c r="D1835" s="9" t="str">
        <x:v>AR-CT-C-B-TECH-1-B2-BRK-G0</x:v>
      </x:c>
      <x:c r="E1835" s="9" t="str">
        <x:v>CT-C-B-TECH-1</x:v>
      </x:c>
      <x:c r="F1835" s="9" t="str">
        <x:v>CT-C-B</x:v>
      </x:c>
      <x:c r="G1835" s="9" t="str">
        <x:v>B2</x:v>
      </x:c>
      <x:c r="H1835" s="9" t="str">
        <x:v>BRK</x:v>
      </x:c>
      <x:c r="I1835" s="9" t="str">
        <x:v>PD05</x:v>
      </x:c>
      <x:c r="J1835" s="17" t="str">
        <x:v>Primary raw originals</x:v>
      </x:c>
      <x:c r="K1835" s="17" t="str">
        <x:v>Primary custody</x:v>
      </x:c>
      <x:c r="L1835" s="17" t="str">
        <x:v>COURT-SEALED UNTIL COHORT RELEASE</x:v>
      </x:c>
      <x:c r="M1835" s="9" t="n">
        <x:v>0</x:v>
      </x:c>
      <x:c r="N1835" s="9" t="n">
        <x:v>0</x:v>
      </x:c>
      <x:c r="O1835" s="9" t="n">
        <x:v>0</x:v>
      </x:c>
      <x:c r="P1835" s="9" t="str">
        <x:v>HELD / UNRELEASED</x:v>
      </x:c>
      <x:c r="Q1835" s="9" t="n">
        <x:f>COUNTIFS($A$7:$A$2310,A1835)</x:f>
        <x:v>1</x:v>
      </x:c>
    </x:row>
    <x:row r="1836">
      <x:c r="A1836" s="9" t="str">
        <x:v>PD-AR-CT-C-B-TECH-1-B2-BRK-G0-PD06</x:v>
      </x:c>
      <x:c r="B1836" s="9" t="str">
        <x:v>PD-AR-CT-C-B-TECH-1-B2-BRK-G0</x:v>
      </x:c>
      <x:c r="C1836" s="9" t="str">
        <x:v>EV-AR-CT-C-B-TECH-1-B2-BRK-G0</x:v>
      </x:c>
      <x:c r="D1836" s="9" t="str">
        <x:v>AR-CT-C-B-TECH-1-B2-BRK-G0</x:v>
      </x:c>
      <x:c r="E1836" s="9" t="str">
        <x:v>CT-C-B-TECH-1</x:v>
      </x:c>
      <x:c r="F1836" s="9" t="str">
        <x:v>CT-C-B</x:v>
      </x:c>
      <x:c r="G1836" s="9" t="str">
        <x:v>B2</x:v>
      </x:c>
      <x:c r="H1836" s="9" t="str">
        <x:v>BRK</x:v>
      </x:c>
      <x:c r="I1836" s="9" t="str">
        <x:v>PD06</x:v>
      </x:c>
      <x:c r="J1836" s="17" t="str">
        <x:v>Witness raw originals</x:v>
      </x:c>
      <x:c r="K1836" s="17" t="str">
        <x:v>Witness custody</x:v>
      </x:c>
      <x:c r="L1836" s="17" t="str">
        <x:v>COURT-SEALED UNTIL COHORT RELEASE</x:v>
      </x:c>
      <x:c r="M1836" s="9" t="n">
        <x:v>0</x:v>
      </x:c>
      <x:c r="N1836" s="9" t="n">
        <x:v>0</x:v>
      </x:c>
      <x:c r="O1836" s="9" t="n">
        <x:v>0</x:v>
      </x:c>
      <x:c r="P1836" s="9" t="str">
        <x:v>HELD / UNRELEASED</x:v>
      </x:c>
      <x:c r="Q1836" s="9" t="n">
        <x:f>COUNTIFS($A$7:$A$2310,A1836)</x:f>
        <x:v>1</x:v>
      </x:c>
    </x:row>
    <x:row r="1837">
      <x:c r="A1837" s="9" t="str">
        <x:v>PD-AR-CT-C-B-TECH-1-B2-BRK-G0-PD07</x:v>
      </x:c>
      <x:c r="B1837" s="9" t="str">
        <x:v>PD-AR-CT-C-B-TECH-1-B2-BRK-G0</x:v>
      </x:c>
      <x:c r="C1837" s="9" t="str">
        <x:v>EV-AR-CT-C-B-TECH-1-B2-BRK-G0</x:v>
      </x:c>
      <x:c r="D1837" s="9" t="str">
        <x:v>AR-CT-C-B-TECH-1-B2-BRK-G0</x:v>
      </x:c>
      <x:c r="E1837" s="9" t="str">
        <x:v>CT-C-B-TECH-1</x:v>
      </x:c>
      <x:c r="F1837" s="9" t="str">
        <x:v>CT-C-B</x:v>
      </x:c>
      <x:c r="G1837" s="9" t="str">
        <x:v>B2</x:v>
      </x:c>
      <x:c r="H1837" s="9" t="str">
        <x:v>BRK</x:v>
      </x:c>
      <x:c r="I1837" s="9" t="str">
        <x:v>PD07</x:v>
      </x:c>
      <x:c r="J1837" s="17" t="str">
        <x:v>Clock and environmental records</x:v>
      </x:c>
      <x:c r="K1837" s="17" t="str">
        <x:v>Boundary archive</x:v>
      </x:c>
      <x:c r="L1837" s="17" t="str">
        <x:v>COURT-SEALED UNTIL COHORT RELEASE</x:v>
      </x:c>
      <x:c r="M1837" s="9" t="n">
        <x:v>0</x:v>
      </x:c>
      <x:c r="N1837" s="9" t="n">
        <x:v>0</x:v>
      </x:c>
      <x:c r="O1837" s="9" t="n">
        <x:v>0</x:v>
      </x:c>
      <x:c r="P1837" s="9" t="str">
        <x:v>HELD / UNRELEASED</x:v>
      </x:c>
      <x:c r="Q1837" s="9" t="n">
        <x:f>COUNTIFS($A$7:$A$2310,A1837)</x:f>
        <x:v>1</x:v>
      </x:c>
    </x:row>
    <x:row r="1838">
      <x:c r="A1838" s="9" t="str">
        <x:v>PD-AR-CT-C-B-TECH-1-B2-BRK-G0-PD08</x:v>
      </x:c>
      <x:c r="B1838" s="9" t="str">
        <x:v>PD-AR-CT-C-B-TECH-1-B2-BRK-G0</x:v>
      </x:c>
      <x:c r="C1838" s="9" t="str">
        <x:v>EV-AR-CT-C-B-TECH-1-B2-BRK-G0</x:v>
      </x:c>
      <x:c r="D1838" s="9" t="str">
        <x:v>AR-CT-C-B-TECH-1-B2-BRK-G0</x:v>
      </x:c>
      <x:c r="E1838" s="9" t="str">
        <x:v>CT-C-B-TECH-1</x:v>
      </x:c>
      <x:c r="F1838" s="9" t="str">
        <x:v>CT-C-B</x:v>
      </x:c>
      <x:c r="G1838" s="9" t="str">
        <x:v>B2</x:v>
      </x:c>
      <x:c r="H1838" s="9" t="str">
        <x:v>BRK</x:v>
      </x:c>
      <x:c r="I1838" s="9" t="str">
        <x:v>PD08</x:v>
      </x:c>
      <x:c r="J1838" s="17" t="str">
        <x:v>Command and intervention log</x:v>
      </x:c>
      <x:c r="K1838" s="17" t="str">
        <x:v>Safety archive</x:v>
      </x:c>
      <x:c r="L1838" s="17" t="str">
        <x:v>COURT-SEALED UNTIL COHORT RELEASE</x:v>
      </x:c>
      <x:c r="M1838" s="9" t="n">
        <x:v>0</x:v>
      </x:c>
      <x:c r="N1838" s="9" t="n">
        <x:v>0</x:v>
      </x:c>
      <x:c r="O1838" s="9" t="n">
        <x:v>0</x:v>
      </x:c>
      <x:c r="P1838" s="9" t="str">
        <x:v>HELD / UNRELEASED</x:v>
      </x:c>
      <x:c r="Q1838" s="9" t="n">
        <x:f>COUNTIFS($A$7:$A$2310,A1838)</x:f>
        <x:v>1</x:v>
      </x:c>
    </x:row>
    <x:row r="1839">
      <x:c r="A1839" s="9" t="str">
        <x:v>PD-AR-CT-C-B-TECH-1-B2-BRK-G0-PD09</x:v>
      </x:c>
      <x:c r="B1839" s="9" t="str">
        <x:v>PD-AR-CT-C-B-TECH-1-B2-BRK-G0</x:v>
      </x:c>
      <x:c r="C1839" s="9" t="str">
        <x:v>EV-AR-CT-C-B-TECH-1-B2-BRK-G0</x:v>
      </x:c>
      <x:c r="D1839" s="9" t="str">
        <x:v>AR-CT-C-B-TECH-1-B2-BRK-G0</x:v>
      </x:c>
      <x:c r="E1839" s="9" t="str">
        <x:v>CT-C-B-TECH-1</x:v>
      </x:c>
      <x:c r="F1839" s="9" t="str">
        <x:v>CT-C-B</x:v>
      </x:c>
      <x:c r="G1839" s="9" t="str">
        <x:v>B2</x:v>
      </x:c>
      <x:c r="H1839" s="9" t="str">
        <x:v>BRK</x:v>
      </x:c>
      <x:c r="I1839" s="9" t="str">
        <x:v>PD09</x:v>
      </x:c>
      <x:c r="J1839" s="17" t="str">
        <x:v>Receiver denominator and service ledger</x:v>
      </x:c>
      <x:c r="K1839" s="17" t="str">
        <x:v>Receiver archive</x:v>
      </x:c>
      <x:c r="L1839" s="17" t="str">
        <x:v>COURT-SEALED UNTIL COHORT RELEASE</x:v>
      </x:c>
      <x:c r="M1839" s="9" t="n">
        <x:v>0</x:v>
      </x:c>
      <x:c r="N1839" s="9" t="n">
        <x:v>0</x:v>
      </x:c>
      <x:c r="O1839" s="9" t="n">
        <x:v>0</x:v>
      </x:c>
      <x:c r="P1839" s="9" t="str">
        <x:v>HELD / UNRELEASED</x:v>
      </x:c>
      <x:c r="Q1839" s="9" t="n">
        <x:f>COUNTIFS($A$7:$A$2310,A1839)</x:f>
        <x:v>1</x:v>
      </x:c>
    </x:row>
    <x:row r="1840">
      <x:c r="A1840" s="9" t="str">
        <x:v>PD-AR-CT-C-B-TECH-1-B2-BRK-G0-PD10</x:v>
      </x:c>
      <x:c r="B1840" s="9" t="str">
        <x:v>PD-AR-CT-C-B-TECH-1-B2-BRK-G0</x:v>
      </x:c>
      <x:c r="C1840" s="9" t="str">
        <x:v>EV-AR-CT-C-B-TECH-1-B2-BRK-G0</x:v>
      </x:c>
      <x:c r="D1840" s="9" t="str">
        <x:v>AR-CT-C-B-TECH-1-B2-BRK-G0</x:v>
      </x:c>
      <x:c r="E1840" s="9" t="str">
        <x:v>CT-C-B-TECH-1</x:v>
      </x:c>
      <x:c r="F1840" s="9" t="str">
        <x:v>CT-C-B</x:v>
      </x:c>
      <x:c r="G1840" s="9" t="str">
        <x:v>B2</x:v>
      </x:c>
      <x:c r="H1840" s="9" t="str">
        <x:v>BRK</x:v>
      </x:c>
      <x:c r="I1840" s="9" t="str">
        <x:v>PD10</x:v>
      </x:c>
      <x:c r="J1840" s="17" t="str">
        <x:v>Calibration and uncertainty record</x:v>
      </x:c>
      <x:c r="K1840" s="17" t="str">
        <x:v>Metrology archive</x:v>
      </x:c>
      <x:c r="L1840" s="17" t="str">
        <x:v>COURT-SEALED UNTIL COHORT RELEASE</x:v>
      </x:c>
      <x:c r="M1840" s="9" t="n">
        <x:v>0</x:v>
      </x:c>
      <x:c r="N1840" s="9" t="n">
        <x:v>0</x:v>
      </x:c>
      <x:c r="O1840" s="9" t="n">
        <x:v>0</x:v>
      </x:c>
      <x:c r="P1840" s="9" t="str">
        <x:v>HELD / UNRELEASED</x:v>
      </x:c>
      <x:c r="Q1840" s="9" t="n">
        <x:f>COUNTIFS($A$7:$A$2310,A1840)</x:f>
        <x:v>1</x:v>
      </x:c>
    </x:row>
    <x:row r="1841">
      <x:c r="A1841" s="9" t="str">
        <x:v>PD-AR-CT-C-B-TECH-1-B2-BRK-G0-PD11</x:v>
      </x:c>
      <x:c r="B1841" s="9" t="str">
        <x:v>PD-AR-CT-C-B-TECH-1-B2-BRK-G0</x:v>
      </x:c>
      <x:c r="C1841" s="9" t="str">
        <x:v>EV-AR-CT-C-B-TECH-1-B2-BRK-G0</x:v>
      </x:c>
      <x:c r="D1841" s="9" t="str">
        <x:v>AR-CT-C-B-TECH-1-B2-BRK-G0</x:v>
      </x:c>
      <x:c r="E1841" s="9" t="str">
        <x:v>CT-C-B-TECH-1</x:v>
      </x:c>
      <x:c r="F1841" s="9" t="str">
        <x:v>CT-C-B</x:v>
      </x:c>
      <x:c r="G1841" s="9" t="str">
        <x:v>B2</x:v>
      </x:c>
      <x:c r="H1841" s="9" t="str">
        <x:v>BRK</x:v>
      </x:c>
      <x:c r="I1841" s="9" t="str">
        <x:v>PD11</x:v>
      </x:c>
      <x:c r="J1841" s="17" t="str">
        <x:v>Invalidity petition and opinion</x:v>
      </x:c>
      <x:c r="K1841" s="17" t="str">
        <x:v>Invalidity court</x:v>
      </x:c>
      <x:c r="L1841" s="17" t="str">
        <x:v>COURT-SEALED UNTIL COHORT RELEASE</x:v>
      </x:c>
      <x:c r="M1841" s="9" t="n">
        <x:v>0</x:v>
      </x:c>
      <x:c r="N1841" s="9" t="n">
        <x:v>0</x:v>
      </x:c>
      <x:c r="O1841" s="9" t="n">
        <x:v>0</x:v>
      </x:c>
      <x:c r="P1841" s="9" t="str">
        <x:v>HELD / UNRELEASED</x:v>
      </x:c>
      <x:c r="Q1841" s="9" t="n">
        <x:f>COUNTIFS($A$7:$A$2310,A1841)</x:f>
        <x:v>1</x:v>
      </x:c>
    </x:row>
    <x:row r="1842">
      <x:c r="A1842" s="9" t="str">
        <x:v>PD-AR-CT-C-B-TECH-1-B2-BRK-G0-PD12</x:v>
      </x:c>
      <x:c r="B1842" s="9" t="str">
        <x:v>PD-AR-CT-C-B-TECH-1-B2-BRK-G0</x:v>
      </x:c>
      <x:c r="C1842" s="9" t="str">
        <x:v>EV-AR-CT-C-B-TECH-1-B2-BRK-G0</x:v>
      </x:c>
      <x:c r="D1842" s="9" t="str">
        <x:v>AR-CT-C-B-TECH-1-B2-BRK-G0</x:v>
      </x:c>
      <x:c r="E1842" s="9" t="str">
        <x:v>CT-C-B-TECH-1</x:v>
      </x:c>
      <x:c r="F1842" s="9" t="str">
        <x:v>CT-C-B</x:v>
      </x:c>
      <x:c r="G1842" s="9" t="str">
        <x:v>B2</x:v>
      </x:c>
      <x:c r="H1842" s="9" t="str">
        <x:v>BRK</x:v>
      </x:c>
      <x:c r="I1842" s="9" t="str">
        <x:v>PD12</x:v>
      </x:c>
      <x:c r="J1842" s="17" t="str">
        <x:v>Observation acceptance and replay</x:v>
      </x:c>
      <x:c r="K1842" s="17" t="str">
        <x:v>Observation court</x:v>
      </x:c>
      <x:c r="L1842" s="17" t="str">
        <x:v>COURT-SEALED UNTIL COHORT RELEASE</x:v>
      </x:c>
      <x:c r="M1842" s="9" t="n">
        <x:v>0</x:v>
      </x:c>
      <x:c r="N1842" s="9" t="n">
        <x:v>0</x:v>
      </x:c>
      <x:c r="O1842" s="9" t="n">
        <x:v>0</x:v>
      </x:c>
      <x:c r="P1842" s="9" t="str">
        <x:v>HELD / UNRELEASED</x:v>
      </x:c>
      <x:c r="Q1842" s="9" t="n">
        <x:f>COUNTIFS($A$7:$A$2310,A1842)</x:f>
        <x:v>1</x:v>
      </x:c>
    </x:row>
    <x:row r="1843">
      <x:c r="A1843" s="9" t="str">
        <x:v>PD-AR-CT-C-B-TECH-1-B2-BRK-G0-PD13</x:v>
      </x:c>
      <x:c r="B1843" s="9" t="str">
        <x:v>PD-AR-CT-C-B-TECH-1-B2-BRK-G0</x:v>
      </x:c>
      <x:c r="C1843" s="9" t="str">
        <x:v>EV-AR-CT-C-B-TECH-1-B2-BRK-G0</x:v>
      </x:c>
      <x:c r="D1843" s="9" t="str">
        <x:v>AR-CT-C-B-TECH-1-B2-BRK-G0</x:v>
      </x:c>
      <x:c r="E1843" s="9" t="str">
        <x:v>CT-C-B-TECH-1</x:v>
      </x:c>
      <x:c r="F1843" s="9" t="str">
        <x:v>CT-C-B</x:v>
      </x:c>
      <x:c r="G1843" s="9" t="str">
        <x:v>B2</x:v>
      </x:c>
      <x:c r="H1843" s="9" t="str">
        <x:v>BRK</x:v>
      </x:c>
      <x:c r="I1843" s="9" t="str">
        <x:v>PD13</x:v>
      </x:c>
      <x:c r="J1843" s="17" t="str">
        <x:v>Role judgment</x:v>
      </x:c>
      <x:c r="K1843" s="17" t="str">
        <x:v>Role court</x:v>
      </x:c>
      <x:c r="L1843" s="17" t="str">
        <x:v>COURT-SEALED UNTIL COHORT RELEASE</x:v>
      </x:c>
      <x:c r="M1843" s="9" t="n">
        <x:v>0</x:v>
      </x:c>
      <x:c r="N1843" s="9" t="n">
        <x:v>0</x:v>
      </x:c>
      <x:c r="O1843" s="9" t="n">
        <x:v>0</x:v>
      </x:c>
      <x:c r="P1843" s="9" t="str">
        <x:v>HELD / UNRELEASED</x:v>
      </x:c>
      <x:c r="Q1843" s="9" t="n">
        <x:f>COUNTIFS($A$7:$A$2310,A1843)</x:f>
        <x:v>1</x:v>
      </x:c>
    </x:row>
    <x:row r="1844">
      <x:c r="A1844" s="9" t="str">
        <x:v>PD-AR-CT-C-B-TECH-1-B2-BRK-G0-PD14</x:v>
      </x:c>
      <x:c r="B1844" s="9" t="str">
        <x:v>PD-AR-CT-C-B-TECH-1-B2-BRK-G0</x:v>
      </x:c>
      <x:c r="C1844" s="9" t="str">
        <x:v>EV-AR-CT-C-B-TECH-1-B2-BRK-G0</x:v>
      </x:c>
      <x:c r="D1844" s="9" t="str">
        <x:v>AR-CT-C-B-TECH-1-B2-BRK-G0</x:v>
      </x:c>
      <x:c r="E1844" s="9" t="str">
        <x:v>CT-C-B-TECH-1</x:v>
      </x:c>
      <x:c r="F1844" s="9" t="str">
        <x:v>CT-C-B</x:v>
      </x:c>
      <x:c r="G1844" s="9" t="str">
        <x:v>B2</x:v>
      </x:c>
      <x:c r="H1844" s="9" t="str">
        <x:v>BRK</x:v>
      </x:c>
      <x:c r="I1844" s="9" t="str">
        <x:v>PD14</x:v>
      </x:c>
      <x:c r="J1844" s="17" t="str">
        <x:v>Break and residual account</x:v>
      </x:c>
      <x:c r="K1844" s="17" t="str">
        <x:v>Residual authority</x:v>
      </x:c>
      <x:c r="L1844" s="17" t="str">
        <x:v>COURT-SEALED UNTIL COHORT RELEASE</x:v>
      </x:c>
      <x:c r="M1844" s="9" t="n">
        <x:v>0</x:v>
      </x:c>
      <x:c r="N1844" s="9" t="n">
        <x:v>0</x:v>
      </x:c>
      <x:c r="O1844" s="9" t="n">
        <x:v>0</x:v>
      </x:c>
      <x:c r="P1844" s="9" t="str">
        <x:v>HELD / UNRELEASED</x:v>
      </x:c>
      <x:c r="Q1844" s="9" t="n">
        <x:f>COUNTIFS($A$7:$A$2310,A1844)</x:f>
        <x:v>1</x:v>
      </x:c>
    </x:row>
    <x:row r="1845">
      <x:c r="A1845" s="9" t="str">
        <x:v>PD-AR-CT-C-B-TECH-1-B2-BRK-G0-PD15</x:v>
      </x:c>
      <x:c r="B1845" s="9" t="str">
        <x:v>PD-AR-CT-C-B-TECH-1-B2-BRK-G0</x:v>
      </x:c>
      <x:c r="C1845" s="9" t="str">
        <x:v>EV-AR-CT-C-B-TECH-1-B2-BRK-G0</x:v>
      </x:c>
      <x:c r="D1845" s="9" t="str">
        <x:v>AR-CT-C-B-TECH-1-B2-BRK-G0</x:v>
      </x:c>
      <x:c r="E1845" s="9" t="str">
        <x:v>CT-C-B-TECH-1</x:v>
      </x:c>
      <x:c r="F1845" s="9" t="str">
        <x:v>CT-C-B</x:v>
      </x:c>
      <x:c r="G1845" s="9" t="str">
        <x:v>B2</x:v>
      </x:c>
      <x:c r="H1845" s="9" t="str">
        <x:v>BRK</x:v>
      </x:c>
      <x:c r="I1845" s="9" t="str">
        <x:v>PD15</x:v>
      </x:c>
      <x:c r="J1845" s="17" t="str">
        <x:v>Reconstruction ancestry and replay</x:v>
      </x:c>
      <x:c r="K1845" s="17" t="str">
        <x:v>Reconstruction court</x:v>
      </x:c>
      <x:c r="L1845" s="17" t="str">
        <x:v>COURT-SEALED UNTIL COHORT RELEASE</x:v>
      </x:c>
      <x:c r="M1845" s="9" t="n">
        <x:v>0</x:v>
      </x:c>
      <x:c r="N1845" s="9" t="n">
        <x:v>0</x:v>
      </x:c>
      <x:c r="O1845" s="9" t="n">
        <x:v>0</x:v>
      </x:c>
      <x:c r="P1845" s="9" t="str">
        <x:v>HELD / UNRELEASED</x:v>
      </x:c>
      <x:c r="Q1845" s="9" t="n">
        <x:f>COUNTIFS($A$7:$A$2310,A1845)</x:f>
        <x:v>1</x:v>
      </x:c>
    </x:row>
    <x:row r="1846">
      <x:c r="A1846" s="9" t="str">
        <x:v>PD-AR-CT-C-B-TECH-1-B2-BRK-G0-PD16</x:v>
      </x:c>
      <x:c r="B1846" s="9" t="str">
        <x:v>PD-AR-CT-C-B-TECH-1-B2-BRK-G0</x:v>
      </x:c>
      <x:c r="C1846" s="9" t="str">
        <x:v>EV-AR-CT-C-B-TECH-1-B2-BRK-G0</x:v>
      </x:c>
      <x:c r="D1846" s="9" t="str">
        <x:v>AR-CT-C-B-TECH-1-B2-BRK-G0</x:v>
      </x:c>
      <x:c r="E1846" s="9" t="str">
        <x:v>CT-C-B-TECH-1</x:v>
      </x:c>
      <x:c r="F1846" s="9" t="str">
        <x:v>CT-C-B</x:v>
      </x:c>
      <x:c r="G1846" s="9" t="str">
        <x:v>B2</x:v>
      </x:c>
      <x:c r="H1846" s="9" t="str">
        <x:v>BRK</x:v>
      </x:c>
      <x:c r="I1846" s="9" t="str">
        <x:v>PD16</x:v>
      </x:c>
      <x:c r="J1846" s="17" t="str">
        <x:v>Dissent, amendments and access log</x:v>
      </x:c>
      <x:c r="K1846" s="17" t="str">
        <x:v>Public archive</x:v>
      </x:c>
      <x:c r="L1846" s="17" t="str">
        <x:v>COURT-SEALED UNTIL COHORT RELEASE</x:v>
      </x:c>
      <x:c r="M1846" s="9" t="n">
        <x:v>0</x:v>
      </x:c>
      <x:c r="N1846" s="9" t="n">
        <x:v>0</x:v>
      </x:c>
      <x:c r="O1846" s="9" t="n">
        <x:v>0</x:v>
      </x:c>
      <x:c r="P1846" s="9" t="str">
        <x:v>HELD / UNRELEASED</x:v>
      </x:c>
      <x:c r="Q1846" s="9" t="n">
        <x:f>COUNTIFS($A$7:$A$2310,A1846)</x:f>
        <x:v>1</x:v>
      </x:c>
    </x:row>
    <x:row r="1847">
      <x:c r="A1847" s="9" t="str">
        <x:v>PD-AR-ET-A-A-TECH-2-B2-BRK-G0-PD01</x:v>
      </x:c>
      <x:c r="B1847" s="9" t="str">
        <x:v>PD-AR-ET-A-A-TECH-2-B2-BRK-G0</x:v>
      </x:c>
      <x:c r="C1847" s="9" t="str">
        <x:v>EV-AR-ET-A-A-TECH-2-B2-BRK-G0</x:v>
      </x:c>
      <x:c r="D1847" s="9" t="str">
        <x:v>AR-ET-A-A-TECH-2-B2-BRK-G0</x:v>
      </x:c>
      <x:c r="E1847" s="9" t="str">
        <x:v>ET-A-A-TECH-2</x:v>
      </x:c>
      <x:c r="F1847" s="9" t="str">
        <x:v>ET-A-A</x:v>
      </x:c>
      <x:c r="G1847" s="9" t="str">
        <x:v>B2</x:v>
      </x:c>
      <x:c r="H1847" s="9" t="str">
        <x:v>BRK</x:v>
      </x:c>
      <x:c r="I1847" s="9" t="str">
        <x:v>PD01</x:v>
      </x:c>
      <x:c r="J1847" s="17" t="str">
        <x:v>Experiment kernel</x:v>
      </x:c>
      <x:c r="K1847" s="17" t="str">
        <x:v>Public archive</x:v>
      </x:c>
      <x:c r="L1847" s="17" t="str">
        <x:v>COURT-SEALED UNTIL COHORT RELEASE</x:v>
      </x:c>
      <x:c r="M1847" s="9" t="n">
        <x:v>0</x:v>
      </x:c>
      <x:c r="N1847" s="9" t="n">
        <x:v>0</x:v>
      </x:c>
      <x:c r="O1847" s="9" t="n">
        <x:v>0</x:v>
      </x:c>
      <x:c r="P1847" s="9" t="str">
        <x:v>HELD / UNRELEASED</x:v>
      </x:c>
      <x:c r="Q1847" s="9" t="n">
        <x:f>COUNTIFS($A$7:$A$2310,A1847)</x:f>
        <x:v>1</x:v>
      </x:c>
    </x:row>
    <x:row r="1848">
      <x:c r="A1848" s="9" t="str">
        <x:v>PD-AR-ET-A-A-TECH-2-B2-BRK-G0-PD02</x:v>
      </x:c>
      <x:c r="B1848" s="9" t="str">
        <x:v>PD-AR-ET-A-A-TECH-2-B2-BRK-G0</x:v>
      </x:c>
      <x:c r="C1848" s="9" t="str">
        <x:v>EV-AR-ET-A-A-TECH-2-B2-BRK-G0</x:v>
      </x:c>
      <x:c r="D1848" s="9" t="str">
        <x:v>AR-ET-A-A-TECH-2-B2-BRK-G0</x:v>
      </x:c>
      <x:c r="E1848" s="9" t="str">
        <x:v>ET-A-A-TECH-2</x:v>
      </x:c>
      <x:c r="F1848" s="9" t="str">
        <x:v>ET-A-A</x:v>
      </x:c>
      <x:c r="G1848" s="9" t="str">
        <x:v>B2</x:v>
      </x:c>
      <x:c r="H1848" s="9" t="str">
        <x:v>BRK</x:v>
      </x:c>
      <x:c r="I1848" s="9" t="str">
        <x:v>PD02</x:v>
      </x:c>
      <x:c r="J1848" s="17" t="str">
        <x:v>Serial annex and title chain</x:v>
      </x:c>
      <x:c r="K1848" s="17" t="str">
        <x:v>Public archive</x:v>
      </x:c>
      <x:c r="L1848" s="17" t="str">
        <x:v>COURT-SEALED UNTIL COHORT RELEASE</x:v>
      </x:c>
      <x:c r="M1848" s="9" t="n">
        <x:v>0</x:v>
      </x:c>
      <x:c r="N1848" s="9" t="n">
        <x:v>0</x:v>
      </x:c>
      <x:c r="O1848" s="9" t="n">
        <x:v>0</x:v>
      </x:c>
      <x:c r="P1848" s="9" t="str">
        <x:v>HELD / UNRELEASED</x:v>
      </x:c>
      <x:c r="Q1848" s="9" t="n">
        <x:f>COUNTIFS($A$7:$A$2310,A1848)</x:f>
        <x:v>1</x:v>
      </x:c>
    </x:row>
    <x:row r="1849">
      <x:c r="A1849" s="9" t="str">
        <x:v>PD-AR-ET-A-A-TECH-2-B2-BRK-G0-PD03</x:v>
      </x:c>
      <x:c r="B1849" s="9" t="str">
        <x:v>PD-AR-ET-A-A-TECH-2-B2-BRK-G0</x:v>
      </x:c>
      <x:c r="C1849" s="9" t="str">
        <x:v>EV-AR-ET-A-A-TECH-2-B2-BRK-G0</x:v>
      </x:c>
      <x:c r="D1849" s="9" t="str">
        <x:v>AR-ET-A-A-TECH-2-B2-BRK-G0</x:v>
      </x:c>
      <x:c r="E1849" s="9" t="str">
        <x:v>ET-A-A-TECH-2</x:v>
      </x:c>
      <x:c r="F1849" s="9" t="str">
        <x:v>ET-A-A</x:v>
      </x:c>
      <x:c r="G1849" s="9" t="str">
        <x:v>B2</x:v>
      </x:c>
      <x:c r="H1849" s="9" t="str">
        <x:v>BRK</x:v>
      </x:c>
      <x:c r="I1849" s="9" t="str">
        <x:v>PD03</x:v>
      </x:c>
      <x:c r="J1849" s="17" t="str">
        <x:v>Configuration and as-built manifest</x:v>
      </x:c>
      <x:c r="K1849" s="17" t="str">
        <x:v>Artifact exchange</x:v>
      </x:c>
      <x:c r="L1849" s="17" t="str">
        <x:v>COURT-SEALED UNTIL COHORT RELEASE</x:v>
      </x:c>
      <x:c r="M1849" s="9" t="n">
        <x:v>0</x:v>
      </x:c>
      <x:c r="N1849" s="9" t="n">
        <x:v>0</x:v>
      </x:c>
      <x:c r="O1849" s="9" t="n">
        <x:v>0</x:v>
      </x:c>
      <x:c r="P1849" s="9" t="str">
        <x:v>HELD / UNRELEASED</x:v>
      </x:c>
      <x:c r="Q1849" s="9" t="n">
        <x:f>COUNTIFS($A$7:$A$2310,A1849)</x:f>
        <x:v>1</x:v>
      </x:c>
    </x:row>
    <x:row r="1850">
      <x:c r="A1850" s="9" t="str">
        <x:v>PD-AR-ET-A-A-TECH-2-B2-BRK-G0-PD04</x:v>
      </x:c>
      <x:c r="B1850" s="9" t="str">
        <x:v>PD-AR-ET-A-A-TECH-2-B2-BRK-G0</x:v>
      </x:c>
      <x:c r="C1850" s="9" t="str">
        <x:v>EV-AR-ET-A-A-TECH-2-B2-BRK-G0</x:v>
      </x:c>
      <x:c r="D1850" s="9" t="str">
        <x:v>AR-ET-A-A-TECH-2-B2-BRK-G0</x:v>
      </x:c>
      <x:c r="E1850" s="9" t="str">
        <x:v>ET-A-A-TECH-2</x:v>
      </x:c>
      <x:c r="F1850" s="9" t="str">
        <x:v>ET-A-A</x:v>
      </x:c>
      <x:c r="G1850" s="9" t="str">
        <x:v>B2</x:v>
      </x:c>
      <x:c r="H1850" s="9" t="str">
        <x:v>BRK</x:v>
      </x:c>
      <x:c r="I1850" s="9" t="str">
        <x:v>PD04</x:v>
      </x:c>
      <x:c r="J1850" s="17" t="str">
        <x:v>EOW and start certificate</x:v>
      </x:c>
      <x:c r="K1850" s="17" t="str">
        <x:v>Start registrar</x:v>
      </x:c>
      <x:c r="L1850" s="17" t="str">
        <x:v>COURT-SEALED UNTIL COHORT RELEASE</x:v>
      </x:c>
      <x:c r="M1850" s="9" t="n">
        <x:v>0</x:v>
      </x:c>
      <x:c r="N1850" s="9" t="n">
        <x:v>0</x:v>
      </x:c>
      <x:c r="O1850" s="9" t="n">
        <x:v>0</x:v>
      </x:c>
      <x:c r="P1850" s="9" t="str">
        <x:v>HELD / UNRELEASED</x:v>
      </x:c>
      <x:c r="Q1850" s="9" t="n">
        <x:f>COUNTIFS($A$7:$A$2310,A1850)</x:f>
        <x:v>1</x:v>
      </x:c>
    </x:row>
    <x:row r="1851">
      <x:c r="A1851" s="9" t="str">
        <x:v>PD-AR-ET-A-A-TECH-2-B2-BRK-G0-PD05</x:v>
      </x:c>
      <x:c r="B1851" s="9" t="str">
        <x:v>PD-AR-ET-A-A-TECH-2-B2-BRK-G0</x:v>
      </x:c>
      <x:c r="C1851" s="9" t="str">
        <x:v>EV-AR-ET-A-A-TECH-2-B2-BRK-G0</x:v>
      </x:c>
      <x:c r="D1851" s="9" t="str">
        <x:v>AR-ET-A-A-TECH-2-B2-BRK-G0</x:v>
      </x:c>
      <x:c r="E1851" s="9" t="str">
        <x:v>ET-A-A-TECH-2</x:v>
      </x:c>
      <x:c r="F1851" s="9" t="str">
        <x:v>ET-A-A</x:v>
      </x:c>
      <x:c r="G1851" s="9" t="str">
        <x:v>B2</x:v>
      </x:c>
      <x:c r="H1851" s="9" t="str">
        <x:v>BRK</x:v>
      </x:c>
      <x:c r="I1851" s="9" t="str">
        <x:v>PD05</x:v>
      </x:c>
      <x:c r="J1851" s="17" t="str">
        <x:v>Primary raw originals</x:v>
      </x:c>
      <x:c r="K1851" s="17" t="str">
        <x:v>Primary custody</x:v>
      </x:c>
      <x:c r="L1851" s="17" t="str">
        <x:v>COURT-SEALED UNTIL COHORT RELEASE</x:v>
      </x:c>
      <x:c r="M1851" s="9" t="n">
        <x:v>0</x:v>
      </x:c>
      <x:c r="N1851" s="9" t="n">
        <x:v>0</x:v>
      </x:c>
      <x:c r="O1851" s="9" t="n">
        <x:v>0</x:v>
      </x:c>
      <x:c r="P1851" s="9" t="str">
        <x:v>HELD / UNRELEASED</x:v>
      </x:c>
      <x:c r="Q1851" s="9" t="n">
        <x:f>COUNTIFS($A$7:$A$2310,A1851)</x:f>
        <x:v>1</x:v>
      </x:c>
    </x:row>
    <x:row r="1852">
      <x:c r="A1852" s="9" t="str">
        <x:v>PD-AR-ET-A-A-TECH-2-B2-BRK-G0-PD06</x:v>
      </x:c>
      <x:c r="B1852" s="9" t="str">
        <x:v>PD-AR-ET-A-A-TECH-2-B2-BRK-G0</x:v>
      </x:c>
      <x:c r="C1852" s="9" t="str">
        <x:v>EV-AR-ET-A-A-TECH-2-B2-BRK-G0</x:v>
      </x:c>
      <x:c r="D1852" s="9" t="str">
        <x:v>AR-ET-A-A-TECH-2-B2-BRK-G0</x:v>
      </x:c>
      <x:c r="E1852" s="9" t="str">
        <x:v>ET-A-A-TECH-2</x:v>
      </x:c>
      <x:c r="F1852" s="9" t="str">
        <x:v>ET-A-A</x:v>
      </x:c>
      <x:c r="G1852" s="9" t="str">
        <x:v>B2</x:v>
      </x:c>
      <x:c r="H1852" s="9" t="str">
        <x:v>BRK</x:v>
      </x:c>
      <x:c r="I1852" s="9" t="str">
        <x:v>PD06</x:v>
      </x:c>
      <x:c r="J1852" s="17" t="str">
        <x:v>Witness raw originals</x:v>
      </x:c>
      <x:c r="K1852" s="17" t="str">
        <x:v>Witness custody</x:v>
      </x:c>
      <x:c r="L1852" s="17" t="str">
        <x:v>COURT-SEALED UNTIL COHORT RELEASE</x:v>
      </x:c>
      <x:c r="M1852" s="9" t="n">
        <x:v>0</x:v>
      </x:c>
      <x:c r="N1852" s="9" t="n">
        <x:v>0</x:v>
      </x:c>
      <x:c r="O1852" s="9" t="n">
        <x:v>0</x:v>
      </x:c>
      <x:c r="P1852" s="9" t="str">
        <x:v>HELD / UNRELEASED</x:v>
      </x:c>
      <x:c r="Q1852" s="9" t="n">
        <x:f>COUNTIFS($A$7:$A$2310,A1852)</x:f>
        <x:v>1</x:v>
      </x:c>
    </x:row>
    <x:row r="1853">
      <x:c r="A1853" s="9" t="str">
        <x:v>PD-AR-ET-A-A-TECH-2-B2-BRK-G0-PD07</x:v>
      </x:c>
      <x:c r="B1853" s="9" t="str">
        <x:v>PD-AR-ET-A-A-TECH-2-B2-BRK-G0</x:v>
      </x:c>
      <x:c r="C1853" s="9" t="str">
        <x:v>EV-AR-ET-A-A-TECH-2-B2-BRK-G0</x:v>
      </x:c>
      <x:c r="D1853" s="9" t="str">
        <x:v>AR-ET-A-A-TECH-2-B2-BRK-G0</x:v>
      </x:c>
      <x:c r="E1853" s="9" t="str">
        <x:v>ET-A-A-TECH-2</x:v>
      </x:c>
      <x:c r="F1853" s="9" t="str">
        <x:v>ET-A-A</x:v>
      </x:c>
      <x:c r="G1853" s="9" t="str">
        <x:v>B2</x:v>
      </x:c>
      <x:c r="H1853" s="9" t="str">
        <x:v>BRK</x:v>
      </x:c>
      <x:c r="I1853" s="9" t="str">
        <x:v>PD07</x:v>
      </x:c>
      <x:c r="J1853" s="17" t="str">
        <x:v>Clock and environmental records</x:v>
      </x:c>
      <x:c r="K1853" s="17" t="str">
        <x:v>Boundary archive</x:v>
      </x:c>
      <x:c r="L1853" s="17" t="str">
        <x:v>COURT-SEALED UNTIL COHORT RELEASE</x:v>
      </x:c>
      <x:c r="M1853" s="9" t="n">
        <x:v>0</x:v>
      </x:c>
      <x:c r="N1853" s="9" t="n">
        <x:v>0</x:v>
      </x:c>
      <x:c r="O1853" s="9" t="n">
        <x:v>0</x:v>
      </x:c>
      <x:c r="P1853" s="9" t="str">
        <x:v>HELD / UNRELEASED</x:v>
      </x:c>
      <x:c r="Q1853" s="9" t="n">
        <x:f>COUNTIFS($A$7:$A$2310,A1853)</x:f>
        <x:v>1</x:v>
      </x:c>
    </x:row>
    <x:row r="1854">
      <x:c r="A1854" s="9" t="str">
        <x:v>PD-AR-ET-A-A-TECH-2-B2-BRK-G0-PD08</x:v>
      </x:c>
      <x:c r="B1854" s="9" t="str">
        <x:v>PD-AR-ET-A-A-TECH-2-B2-BRK-G0</x:v>
      </x:c>
      <x:c r="C1854" s="9" t="str">
        <x:v>EV-AR-ET-A-A-TECH-2-B2-BRK-G0</x:v>
      </x:c>
      <x:c r="D1854" s="9" t="str">
        <x:v>AR-ET-A-A-TECH-2-B2-BRK-G0</x:v>
      </x:c>
      <x:c r="E1854" s="9" t="str">
        <x:v>ET-A-A-TECH-2</x:v>
      </x:c>
      <x:c r="F1854" s="9" t="str">
        <x:v>ET-A-A</x:v>
      </x:c>
      <x:c r="G1854" s="9" t="str">
        <x:v>B2</x:v>
      </x:c>
      <x:c r="H1854" s="9" t="str">
        <x:v>BRK</x:v>
      </x:c>
      <x:c r="I1854" s="9" t="str">
        <x:v>PD08</x:v>
      </x:c>
      <x:c r="J1854" s="17" t="str">
        <x:v>Command and intervention log</x:v>
      </x:c>
      <x:c r="K1854" s="17" t="str">
        <x:v>Safety archive</x:v>
      </x:c>
      <x:c r="L1854" s="17" t="str">
        <x:v>COURT-SEALED UNTIL COHORT RELEASE</x:v>
      </x:c>
      <x:c r="M1854" s="9" t="n">
        <x:v>0</x:v>
      </x:c>
      <x:c r="N1854" s="9" t="n">
        <x:v>0</x:v>
      </x:c>
      <x:c r="O1854" s="9" t="n">
        <x:v>0</x:v>
      </x:c>
      <x:c r="P1854" s="9" t="str">
        <x:v>HELD / UNRELEASED</x:v>
      </x:c>
      <x:c r="Q1854" s="9" t="n">
        <x:f>COUNTIFS($A$7:$A$2310,A1854)</x:f>
        <x:v>1</x:v>
      </x:c>
    </x:row>
    <x:row r="1855">
      <x:c r="A1855" s="9" t="str">
        <x:v>PD-AR-ET-A-A-TECH-2-B2-BRK-G0-PD09</x:v>
      </x:c>
      <x:c r="B1855" s="9" t="str">
        <x:v>PD-AR-ET-A-A-TECH-2-B2-BRK-G0</x:v>
      </x:c>
      <x:c r="C1855" s="9" t="str">
        <x:v>EV-AR-ET-A-A-TECH-2-B2-BRK-G0</x:v>
      </x:c>
      <x:c r="D1855" s="9" t="str">
        <x:v>AR-ET-A-A-TECH-2-B2-BRK-G0</x:v>
      </x:c>
      <x:c r="E1855" s="9" t="str">
        <x:v>ET-A-A-TECH-2</x:v>
      </x:c>
      <x:c r="F1855" s="9" t="str">
        <x:v>ET-A-A</x:v>
      </x:c>
      <x:c r="G1855" s="9" t="str">
        <x:v>B2</x:v>
      </x:c>
      <x:c r="H1855" s="9" t="str">
        <x:v>BRK</x:v>
      </x:c>
      <x:c r="I1855" s="9" t="str">
        <x:v>PD09</x:v>
      </x:c>
      <x:c r="J1855" s="17" t="str">
        <x:v>Receiver denominator and service ledger</x:v>
      </x:c>
      <x:c r="K1855" s="17" t="str">
        <x:v>Receiver archive</x:v>
      </x:c>
      <x:c r="L1855" s="17" t="str">
        <x:v>COURT-SEALED UNTIL COHORT RELEASE</x:v>
      </x:c>
      <x:c r="M1855" s="9" t="n">
        <x:v>0</x:v>
      </x:c>
      <x:c r="N1855" s="9" t="n">
        <x:v>0</x:v>
      </x:c>
      <x:c r="O1855" s="9" t="n">
        <x:v>0</x:v>
      </x:c>
      <x:c r="P1855" s="9" t="str">
        <x:v>HELD / UNRELEASED</x:v>
      </x:c>
      <x:c r="Q1855" s="9" t="n">
        <x:f>COUNTIFS($A$7:$A$2310,A1855)</x:f>
        <x:v>1</x:v>
      </x:c>
    </x:row>
    <x:row r="1856">
      <x:c r="A1856" s="9" t="str">
        <x:v>PD-AR-ET-A-A-TECH-2-B2-BRK-G0-PD10</x:v>
      </x:c>
      <x:c r="B1856" s="9" t="str">
        <x:v>PD-AR-ET-A-A-TECH-2-B2-BRK-G0</x:v>
      </x:c>
      <x:c r="C1856" s="9" t="str">
        <x:v>EV-AR-ET-A-A-TECH-2-B2-BRK-G0</x:v>
      </x:c>
      <x:c r="D1856" s="9" t="str">
        <x:v>AR-ET-A-A-TECH-2-B2-BRK-G0</x:v>
      </x:c>
      <x:c r="E1856" s="9" t="str">
        <x:v>ET-A-A-TECH-2</x:v>
      </x:c>
      <x:c r="F1856" s="9" t="str">
        <x:v>ET-A-A</x:v>
      </x:c>
      <x:c r="G1856" s="9" t="str">
        <x:v>B2</x:v>
      </x:c>
      <x:c r="H1856" s="9" t="str">
        <x:v>BRK</x:v>
      </x:c>
      <x:c r="I1856" s="9" t="str">
        <x:v>PD10</x:v>
      </x:c>
      <x:c r="J1856" s="17" t="str">
        <x:v>Calibration and uncertainty record</x:v>
      </x:c>
      <x:c r="K1856" s="17" t="str">
        <x:v>Metrology archive</x:v>
      </x:c>
      <x:c r="L1856" s="17" t="str">
        <x:v>COURT-SEALED UNTIL COHORT RELEASE</x:v>
      </x:c>
      <x:c r="M1856" s="9" t="n">
        <x:v>0</x:v>
      </x:c>
      <x:c r="N1856" s="9" t="n">
        <x:v>0</x:v>
      </x:c>
      <x:c r="O1856" s="9" t="n">
        <x:v>0</x:v>
      </x:c>
      <x:c r="P1856" s="9" t="str">
        <x:v>HELD / UNRELEASED</x:v>
      </x:c>
      <x:c r="Q1856" s="9" t="n">
        <x:f>COUNTIFS($A$7:$A$2310,A1856)</x:f>
        <x:v>1</x:v>
      </x:c>
    </x:row>
    <x:row r="1857">
      <x:c r="A1857" s="9" t="str">
        <x:v>PD-AR-ET-A-A-TECH-2-B2-BRK-G0-PD11</x:v>
      </x:c>
      <x:c r="B1857" s="9" t="str">
        <x:v>PD-AR-ET-A-A-TECH-2-B2-BRK-G0</x:v>
      </x:c>
      <x:c r="C1857" s="9" t="str">
        <x:v>EV-AR-ET-A-A-TECH-2-B2-BRK-G0</x:v>
      </x:c>
      <x:c r="D1857" s="9" t="str">
        <x:v>AR-ET-A-A-TECH-2-B2-BRK-G0</x:v>
      </x:c>
      <x:c r="E1857" s="9" t="str">
        <x:v>ET-A-A-TECH-2</x:v>
      </x:c>
      <x:c r="F1857" s="9" t="str">
        <x:v>ET-A-A</x:v>
      </x:c>
      <x:c r="G1857" s="9" t="str">
        <x:v>B2</x:v>
      </x:c>
      <x:c r="H1857" s="9" t="str">
        <x:v>BRK</x:v>
      </x:c>
      <x:c r="I1857" s="9" t="str">
        <x:v>PD11</x:v>
      </x:c>
      <x:c r="J1857" s="17" t="str">
        <x:v>Invalidity petition and opinion</x:v>
      </x:c>
      <x:c r="K1857" s="17" t="str">
        <x:v>Invalidity court</x:v>
      </x:c>
      <x:c r="L1857" s="17" t="str">
        <x:v>COURT-SEALED UNTIL COHORT RELEASE</x:v>
      </x:c>
      <x:c r="M1857" s="9" t="n">
        <x:v>0</x:v>
      </x:c>
      <x:c r="N1857" s="9" t="n">
        <x:v>0</x:v>
      </x:c>
      <x:c r="O1857" s="9" t="n">
        <x:v>0</x:v>
      </x:c>
      <x:c r="P1857" s="9" t="str">
        <x:v>HELD / UNRELEASED</x:v>
      </x:c>
      <x:c r="Q1857" s="9" t="n">
        <x:f>COUNTIFS($A$7:$A$2310,A1857)</x:f>
        <x:v>1</x:v>
      </x:c>
    </x:row>
    <x:row r="1858">
      <x:c r="A1858" s="9" t="str">
        <x:v>PD-AR-ET-A-A-TECH-2-B2-BRK-G0-PD12</x:v>
      </x:c>
      <x:c r="B1858" s="9" t="str">
        <x:v>PD-AR-ET-A-A-TECH-2-B2-BRK-G0</x:v>
      </x:c>
      <x:c r="C1858" s="9" t="str">
        <x:v>EV-AR-ET-A-A-TECH-2-B2-BRK-G0</x:v>
      </x:c>
      <x:c r="D1858" s="9" t="str">
        <x:v>AR-ET-A-A-TECH-2-B2-BRK-G0</x:v>
      </x:c>
      <x:c r="E1858" s="9" t="str">
        <x:v>ET-A-A-TECH-2</x:v>
      </x:c>
      <x:c r="F1858" s="9" t="str">
        <x:v>ET-A-A</x:v>
      </x:c>
      <x:c r="G1858" s="9" t="str">
        <x:v>B2</x:v>
      </x:c>
      <x:c r="H1858" s="9" t="str">
        <x:v>BRK</x:v>
      </x:c>
      <x:c r="I1858" s="9" t="str">
        <x:v>PD12</x:v>
      </x:c>
      <x:c r="J1858" s="17" t="str">
        <x:v>Observation acceptance and replay</x:v>
      </x:c>
      <x:c r="K1858" s="17" t="str">
        <x:v>Observation court</x:v>
      </x:c>
      <x:c r="L1858" s="17" t="str">
        <x:v>COURT-SEALED UNTIL COHORT RELEASE</x:v>
      </x:c>
      <x:c r="M1858" s="9" t="n">
        <x:v>0</x:v>
      </x:c>
      <x:c r="N1858" s="9" t="n">
        <x:v>0</x:v>
      </x:c>
      <x:c r="O1858" s="9" t="n">
        <x:v>0</x:v>
      </x:c>
      <x:c r="P1858" s="9" t="str">
        <x:v>HELD / UNRELEASED</x:v>
      </x:c>
      <x:c r="Q1858" s="9" t="n">
        <x:f>COUNTIFS($A$7:$A$2310,A1858)</x:f>
        <x:v>1</x:v>
      </x:c>
    </x:row>
    <x:row r="1859">
      <x:c r="A1859" s="9" t="str">
        <x:v>PD-AR-ET-A-A-TECH-2-B2-BRK-G0-PD13</x:v>
      </x:c>
      <x:c r="B1859" s="9" t="str">
        <x:v>PD-AR-ET-A-A-TECH-2-B2-BRK-G0</x:v>
      </x:c>
      <x:c r="C1859" s="9" t="str">
        <x:v>EV-AR-ET-A-A-TECH-2-B2-BRK-G0</x:v>
      </x:c>
      <x:c r="D1859" s="9" t="str">
        <x:v>AR-ET-A-A-TECH-2-B2-BRK-G0</x:v>
      </x:c>
      <x:c r="E1859" s="9" t="str">
        <x:v>ET-A-A-TECH-2</x:v>
      </x:c>
      <x:c r="F1859" s="9" t="str">
        <x:v>ET-A-A</x:v>
      </x:c>
      <x:c r="G1859" s="9" t="str">
        <x:v>B2</x:v>
      </x:c>
      <x:c r="H1859" s="9" t="str">
        <x:v>BRK</x:v>
      </x:c>
      <x:c r="I1859" s="9" t="str">
        <x:v>PD13</x:v>
      </x:c>
      <x:c r="J1859" s="17" t="str">
        <x:v>Role judgment</x:v>
      </x:c>
      <x:c r="K1859" s="17" t="str">
        <x:v>Role court</x:v>
      </x:c>
      <x:c r="L1859" s="17" t="str">
        <x:v>COURT-SEALED UNTIL COHORT RELEASE</x:v>
      </x:c>
      <x:c r="M1859" s="9" t="n">
        <x:v>0</x:v>
      </x:c>
      <x:c r="N1859" s="9" t="n">
        <x:v>0</x:v>
      </x:c>
      <x:c r="O1859" s="9" t="n">
        <x:v>0</x:v>
      </x:c>
      <x:c r="P1859" s="9" t="str">
        <x:v>HELD / UNRELEASED</x:v>
      </x:c>
      <x:c r="Q1859" s="9" t="n">
        <x:f>COUNTIFS($A$7:$A$2310,A1859)</x:f>
        <x:v>1</x:v>
      </x:c>
    </x:row>
    <x:row r="1860">
      <x:c r="A1860" s="9" t="str">
        <x:v>PD-AR-ET-A-A-TECH-2-B2-BRK-G0-PD14</x:v>
      </x:c>
      <x:c r="B1860" s="9" t="str">
        <x:v>PD-AR-ET-A-A-TECH-2-B2-BRK-G0</x:v>
      </x:c>
      <x:c r="C1860" s="9" t="str">
        <x:v>EV-AR-ET-A-A-TECH-2-B2-BRK-G0</x:v>
      </x:c>
      <x:c r="D1860" s="9" t="str">
        <x:v>AR-ET-A-A-TECH-2-B2-BRK-G0</x:v>
      </x:c>
      <x:c r="E1860" s="9" t="str">
        <x:v>ET-A-A-TECH-2</x:v>
      </x:c>
      <x:c r="F1860" s="9" t="str">
        <x:v>ET-A-A</x:v>
      </x:c>
      <x:c r="G1860" s="9" t="str">
        <x:v>B2</x:v>
      </x:c>
      <x:c r="H1860" s="9" t="str">
        <x:v>BRK</x:v>
      </x:c>
      <x:c r="I1860" s="9" t="str">
        <x:v>PD14</x:v>
      </x:c>
      <x:c r="J1860" s="17" t="str">
        <x:v>Break and residual account</x:v>
      </x:c>
      <x:c r="K1860" s="17" t="str">
        <x:v>Residual authority</x:v>
      </x:c>
      <x:c r="L1860" s="17" t="str">
        <x:v>COURT-SEALED UNTIL COHORT RELEASE</x:v>
      </x:c>
      <x:c r="M1860" s="9" t="n">
        <x:v>0</x:v>
      </x:c>
      <x:c r="N1860" s="9" t="n">
        <x:v>0</x:v>
      </x:c>
      <x:c r="O1860" s="9" t="n">
        <x:v>0</x:v>
      </x:c>
      <x:c r="P1860" s="9" t="str">
        <x:v>HELD / UNRELEASED</x:v>
      </x:c>
      <x:c r="Q1860" s="9" t="n">
        <x:f>COUNTIFS($A$7:$A$2310,A1860)</x:f>
        <x:v>1</x:v>
      </x:c>
    </x:row>
    <x:row r="1861">
      <x:c r="A1861" s="9" t="str">
        <x:v>PD-AR-ET-A-A-TECH-2-B2-BRK-G0-PD15</x:v>
      </x:c>
      <x:c r="B1861" s="9" t="str">
        <x:v>PD-AR-ET-A-A-TECH-2-B2-BRK-G0</x:v>
      </x:c>
      <x:c r="C1861" s="9" t="str">
        <x:v>EV-AR-ET-A-A-TECH-2-B2-BRK-G0</x:v>
      </x:c>
      <x:c r="D1861" s="9" t="str">
        <x:v>AR-ET-A-A-TECH-2-B2-BRK-G0</x:v>
      </x:c>
      <x:c r="E1861" s="9" t="str">
        <x:v>ET-A-A-TECH-2</x:v>
      </x:c>
      <x:c r="F1861" s="9" t="str">
        <x:v>ET-A-A</x:v>
      </x:c>
      <x:c r="G1861" s="9" t="str">
        <x:v>B2</x:v>
      </x:c>
      <x:c r="H1861" s="9" t="str">
        <x:v>BRK</x:v>
      </x:c>
      <x:c r="I1861" s="9" t="str">
        <x:v>PD15</x:v>
      </x:c>
      <x:c r="J1861" s="17" t="str">
        <x:v>Reconstruction ancestry and replay</x:v>
      </x:c>
      <x:c r="K1861" s="17" t="str">
        <x:v>Reconstruction court</x:v>
      </x:c>
      <x:c r="L1861" s="17" t="str">
        <x:v>COURT-SEALED UNTIL COHORT RELEASE</x:v>
      </x:c>
      <x:c r="M1861" s="9" t="n">
        <x:v>0</x:v>
      </x:c>
      <x:c r="N1861" s="9" t="n">
        <x:v>0</x:v>
      </x:c>
      <x:c r="O1861" s="9" t="n">
        <x:v>0</x:v>
      </x:c>
      <x:c r="P1861" s="9" t="str">
        <x:v>HELD / UNRELEASED</x:v>
      </x:c>
      <x:c r="Q1861" s="9" t="n">
        <x:f>COUNTIFS($A$7:$A$2310,A1861)</x:f>
        <x:v>1</x:v>
      </x:c>
    </x:row>
    <x:row r="1862">
      <x:c r="A1862" s="9" t="str">
        <x:v>PD-AR-ET-A-A-TECH-2-B2-BRK-G0-PD16</x:v>
      </x:c>
      <x:c r="B1862" s="9" t="str">
        <x:v>PD-AR-ET-A-A-TECH-2-B2-BRK-G0</x:v>
      </x:c>
      <x:c r="C1862" s="9" t="str">
        <x:v>EV-AR-ET-A-A-TECH-2-B2-BRK-G0</x:v>
      </x:c>
      <x:c r="D1862" s="9" t="str">
        <x:v>AR-ET-A-A-TECH-2-B2-BRK-G0</x:v>
      </x:c>
      <x:c r="E1862" s="9" t="str">
        <x:v>ET-A-A-TECH-2</x:v>
      </x:c>
      <x:c r="F1862" s="9" t="str">
        <x:v>ET-A-A</x:v>
      </x:c>
      <x:c r="G1862" s="9" t="str">
        <x:v>B2</x:v>
      </x:c>
      <x:c r="H1862" s="9" t="str">
        <x:v>BRK</x:v>
      </x:c>
      <x:c r="I1862" s="9" t="str">
        <x:v>PD16</x:v>
      </x:c>
      <x:c r="J1862" s="17" t="str">
        <x:v>Dissent, amendments and access log</x:v>
      </x:c>
      <x:c r="K1862" s="17" t="str">
        <x:v>Public archive</x:v>
      </x:c>
      <x:c r="L1862" s="17" t="str">
        <x:v>COURT-SEALED UNTIL COHORT RELEASE</x:v>
      </x:c>
      <x:c r="M1862" s="9" t="n">
        <x:v>0</x:v>
      </x:c>
      <x:c r="N1862" s="9" t="n">
        <x:v>0</x:v>
      </x:c>
      <x:c r="O1862" s="9" t="n">
        <x:v>0</x:v>
      </x:c>
      <x:c r="P1862" s="9" t="str">
        <x:v>HELD / UNRELEASED</x:v>
      </x:c>
      <x:c r="Q1862" s="9" t="n">
        <x:f>COUNTIFS($A$7:$A$2310,A1862)</x:f>
        <x:v>1</x:v>
      </x:c>
    </x:row>
    <x:row r="1863">
      <x:c r="A1863" s="9" t="str">
        <x:v>PD-AR-HC-A-C-TECH-1-B1-BRK-G0-PD01</x:v>
      </x:c>
      <x:c r="B1863" s="9" t="str">
        <x:v>PD-AR-HC-A-C-TECH-1-B1-BRK-G0</x:v>
      </x:c>
      <x:c r="C1863" s="9" t="str">
        <x:v>EV-AR-HC-A-C-TECH-1-B1-BRK-G0</x:v>
      </x:c>
      <x:c r="D1863" s="9" t="str">
        <x:v>AR-HC-A-C-TECH-1-B1-BRK-G0</x:v>
      </x:c>
      <x:c r="E1863" s="9" t="str">
        <x:v>HC-A-C-TECH-1</x:v>
      </x:c>
      <x:c r="F1863" s="9" t="str">
        <x:v>HC-A-C</x:v>
      </x:c>
      <x:c r="G1863" s="9" t="str">
        <x:v>B1</x:v>
      </x:c>
      <x:c r="H1863" s="9" t="str">
        <x:v>BRK</x:v>
      </x:c>
      <x:c r="I1863" s="9" t="str">
        <x:v>PD01</x:v>
      </x:c>
      <x:c r="J1863" s="17" t="str">
        <x:v>Experiment kernel</x:v>
      </x:c>
      <x:c r="K1863" s="17" t="str">
        <x:v>Public archive</x:v>
      </x:c>
      <x:c r="L1863" s="17" t="str">
        <x:v>COURT-SEALED UNTIL COHORT RELEASE</x:v>
      </x:c>
      <x:c r="M1863" s="9" t="n">
        <x:v>0</x:v>
      </x:c>
      <x:c r="N1863" s="9" t="n">
        <x:v>0</x:v>
      </x:c>
      <x:c r="O1863" s="9" t="n">
        <x:v>0</x:v>
      </x:c>
      <x:c r="P1863" s="9" t="str">
        <x:v>HELD / UNRELEASED</x:v>
      </x:c>
      <x:c r="Q1863" s="9" t="n">
        <x:f>COUNTIFS($A$7:$A$2310,A1863)</x:f>
        <x:v>1</x:v>
      </x:c>
    </x:row>
    <x:row r="1864">
      <x:c r="A1864" s="9" t="str">
        <x:v>PD-AR-HC-A-C-TECH-1-B1-BRK-G0-PD02</x:v>
      </x:c>
      <x:c r="B1864" s="9" t="str">
        <x:v>PD-AR-HC-A-C-TECH-1-B1-BRK-G0</x:v>
      </x:c>
      <x:c r="C1864" s="9" t="str">
        <x:v>EV-AR-HC-A-C-TECH-1-B1-BRK-G0</x:v>
      </x:c>
      <x:c r="D1864" s="9" t="str">
        <x:v>AR-HC-A-C-TECH-1-B1-BRK-G0</x:v>
      </x:c>
      <x:c r="E1864" s="9" t="str">
        <x:v>HC-A-C-TECH-1</x:v>
      </x:c>
      <x:c r="F1864" s="9" t="str">
        <x:v>HC-A-C</x:v>
      </x:c>
      <x:c r="G1864" s="9" t="str">
        <x:v>B1</x:v>
      </x:c>
      <x:c r="H1864" s="9" t="str">
        <x:v>BRK</x:v>
      </x:c>
      <x:c r="I1864" s="9" t="str">
        <x:v>PD02</x:v>
      </x:c>
      <x:c r="J1864" s="17" t="str">
        <x:v>Serial annex and title chain</x:v>
      </x:c>
      <x:c r="K1864" s="17" t="str">
        <x:v>Public archive</x:v>
      </x:c>
      <x:c r="L1864" s="17" t="str">
        <x:v>COURT-SEALED UNTIL COHORT RELEASE</x:v>
      </x:c>
      <x:c r="M1864" s="9" t="n">
        <x:v>0</x:v>
      </x:c>
      <x:c r="N1864" s="9" t="n">
        <x:v>0</x:v>
      </x:c>
      <x:c r="O1864" s="9" t="n">
        <x:v>0</x:v>
      </x:c>
      <x:c r="P1864" s="9" t="str">
        <x:v>HELD / UNRELEASED</x:v>
      </x:c>
      <x:c r="Q1864" s="9" t="n">
        <x:f>COUNTIFS($A$7:$A$2310,A1864)</x:f>
        <x:v>1</x:v>
      </x:c>
    </x:row>
    <x:row r="1865">
      <x:c r="A1865" s="9" t="str">
        <x:v>PD-AR-HC-A-C-TECH-1-B1-BRK-G0-PD03</x:v>
      </x:c>
      <x:c r="B1865" s="9" t="str">
        <x:v>PD-AR-HC-A-C-TECH-1-B1-BRK-G0</x:v>
      </x:c>
      <x:c r="C1865" s="9" t="str">
        <x:v>EV-AR-HC-A-C-TECH-1-B1-BRK-G0</x:v>
      </x:c>
      <x:c r="D1865" s="9" t="str">
        <x:v>AR-HC-A-C-TECH-1-B1-BRK-G0</x:v>
      </x:c>
      <x:c r="E1865" s="9" t="str">
        <x:v>HC-A-C-TECH-1</x:v>
      </x:c>
      <x:c r="F1865" s="9" t="str">
        <x:v>HC-A-C</x:v>
      </x:c>
      <x:c r="G1865" s="9" t="str">
        <x:v>B1</x:v>
      </x:c>
      <x:c r="H1865" s="9" t="str">
        <x:v>BRK</x:v>
      </x:c>
      <x:c r="I1865" s="9" t="str">
        <x:v>PD03</x:v>
      </x:c>
      <x:c r="J1865" s="17" t="str">
        <x:v>Configuration and as-built manifest</x:v>
      </x:c>
      <x:c r="K1865" s="17" t="str">
        <x:v>Artifact exchange</x:v>
      </x:c>
      <x:c r="L1865" s="17" t="str">
        <x:v>COURT-SEALED UNTIL COHORT RELEASE</x:v>
      </x:c>
      <x:c r="M1865" s="9" t="n">
        <x:v>0</x:v>
      </x:c>
      <x:c r="N1865" s="9" t="n">
        <x:v>0</x:v>
      </x:c>
      <x:c r="O1865" s="9" t="n">
        <x:v>0</x:v>
      </x:c>
      <x:c r="P1865" s="9" t="str">
        <x:v>HELD / UNRELEASED</x:v>
      </x:c>
      <x:c r="Q1865" s="9" t="n">
        <x:f>COUNTIFS($A$7:$A$2310,A1865)</x:f>
        <x:v>1</x:v>
      </x:c>
    </x:row>
    <x:row r="1866">
      <x:c r="A1866" s="9" t="str">
        <x:v>PD-AR-HC-A-C-TECH-1-B1-BRK-G0-PD04</x:v>
      </x:c>
      <x:c r="B1866" s="9" t="str">
        <x:v>PD-AR-HC-A-C-TECH-1-B1-BRK-G0</x:v>
      </x:c>
      <x:c r="C1866" s="9" t="str">
        <x:v>EV-AR-HC-A-C-TECH-1-B1-BRK-G0</x:v>
      </x:c>
      <x:c r="D1866" s="9" t="str">
        <x:v>AR-HC-A-C-TECH-1-B1-BRK-G0</x:v>
      </x:c>
      <x:c r="E1866" s="9" t="str">
        <x:v>HC-A-C-TECH-1</x:v>
      </x:c>
      <x:c r="F1866" s="9" t="str">
        <x:v>HC-A-C</x:v>
      </x:c>
      <x:c r="G1866" s="9" t="str">
        <x:v>B1</x:v>
      </x:c>
      <x:c r="H1866" s="9" t="str">
        <x:v>BRK</x:v>
      </x:c>
      <x:c r="I1866" s="9" t="str">
        <x:v>PD04</x:v>
      </x:c>
      <x:c r="J1866" s="17" t="str">
        <x:v>EOW and start certificate</x:v>
      </x:c>
      <x:c r="K1866" s="17" t="str">
        <x:v>Start registrar</x:v>
      </x:c>
      <x:c r="L1866" s="17" t="str">
        <x:v>COURT-SEALED UNTIL COHORT RELEASE</x:v>
      </x:c>
      <x:c r="M1866" s="9" t="n">
        <x:v>0</x:v>
      </x:c>
      <x:c r="N1866" s="9" t="n">
        <x:v>0</x:v>
      </x:c>
      <x:c r="O1866" s="9" t="n">
        <x:v>0</x:v>
      </x:c>
      <x:c r="P1866" s="9" t="str">
        <x:v>HELD / UNRELEASED</x:v>
      </x:c>
      <x:c r="Q1866" s="9" t="n">
        <x:f>COUNTIFS($A$7:$A$2310,A1866)</x:f>
        <x:v>1</x:v>
      </x:c>
    </x:row>
    <x:row r="1867">
      <x:c r="A1867" s="9" t="str">
        <x:v>PD-AR-HC-A-C-TECH-1-B1-BRK-G0-PD05</x:v>
      </x:c>
      <x:c r="B1867" s="9" t="str">
        <x:v>PD-AR-HC-A-C-TECH-1-B1-BRK-G0</x:v>
      </x:c>
      <x:c r="C1867" s="9" t="str">
        <x:v>EV-AR-HC-A-C-TECH-1-B1-BRK-G0</x:v>
      </x:c>
      <x:c r="D1867" s="9" t="str">
        <x:v>AR-HC-A-C-TECH-1-B1-BRK-G0</x:v>
      </x:c>
      <x:c r="E1867" s="9" t="str">
        <x:v>HC-A-C-TECH-1</x:v>
      </x:c>
      <x:c r="F1867" s="9" t="str">
        <x:v>HC-A-C</x:v>
      </x:c>
      <x:c r="G1867" s="9" t="str">
        <x:v>B1</x:v>
      </x:c>
      <x:c r="H1867" s="9" t="str">
        <x:v>BRK</x:v>
      </x:c>
      <x:c r="I1867" s="9" t="str">
        <x:v>PD05</x:v>
      </x:c>
      <x:c r="J1867" s="17" t="str">
        <x:v>Primary raw originals</x:v>
      </x:c>
      <x:c r="K1867" s="17" t="str">
        <x:v>Primary custody</x:v>
      </x:c>
      <x:c r="L1867" s="17" t="str">
        <x:v>COURT-SEALED UNTIL COHORT RELEASE</x:v>
      </x:c>
      <x:c r="M1867" s="9" t="n">
        <x:v>0</x:v>
      </x:c>
      <x:c r="N1867" s="9" t="n">
        <x:v>0</x:v>
      </x:c>
      <x:c r="O1867" s="9" t="n">
        <x:v>0</x:v>
      </x:c>
      <x:c r="P1867" s="9" t="str">
        <x:v>HELD / UNRELEASED</x:v>
      </x:c>
      <x:c r="Q1867" s="9" t="n">
        <x:f>COUNTIFS($A$7:$A$2310,A1867)</x:f>
        <x:v>1</x:v>
      </x:c>
    </x:row>
    <x:row r="1868">
      <x:c r="A1868" s="9" t="str">
        <x:v>PD-AR-HC-A-C-TECH-1-B1-BRK-G0-PD06</x:v>
      </x:c>
      <x:c r="B1868" s="9" t="str">
        <x:v>PD-AR-HC-A-C-TECH-1-B1-BRK-G0</x:v>
      </x:c>
      <x:c r="C1868" s="9" t="str">
        <x:v>EV-AR-HC-A-C-TECH-1-B1-BRK-G0</x:v>
      </x:c>
      <x:c r="D1868" s="9" t="str">
        <x:v>AR-HC-A-C-TECH-1-B1-BRK-G0</x:v>
      </x:c>
      <x:c r="E1868" s="9" t="str">
        <x:v>HC-A-C-TECH-1</x:v>
      </x:c>
      <x:c r="F1868" s="9" t="str">
        <x:v>HC-A-C</x:v>
      </x:c>
      <x:c r="G1868" s="9" t="str">
        <x:v>B1</x:v>
      </x:c>
      <x:c r="H1868" s="9" t="str">
        <x:v>BRK</x:v>
      </x:c>
      <x:c r="I1868" s="9" t="str">
        <x:v>PD06</x:v>
      </x:c>
      <x:c r="J1868" s="17" t="str">
        <x:v>Witness raw originals</x:v>
      </x:c>
      <x:c r="K1868" s="17" t="str">
        <x:v>Witness custody</x:v>
      </x:c>
      <x:c r="L1868" s="17" t="str">
        <x:v>COURT-SEALED UNTIL COHORT RELEASE</x:v>
      </x:c>
      <x:c r="M1868" s="9" t="n">
        <x:v>0</x:v>
      </x:c>
      <x:c r="N1868" s="9" t="n">
        <x:v>0</x:v>
      </x:c>
      <x:c r="O1868" s="9" t="n">
        <x:v>0</x:v>
      </x:c>
      <x:c r="P1868" s="9" t="str">
        <x:v>HELD / UNRELEASED</x:v>
      </x:c>
      <x:c r="Q1868" s="9" t="n">
        <x:f>COUNTIFS($A$7:$A$2310,A1868)</x:f>
        <x:v>1</x:v>
      </x:c>
    </x:row>
    <x:row r="1869">
      <x:c r="A1869" s="9" t="str">
        <x:v>PD-AR-HC-A-C-TECH-1-B1-BRK-G0-PD07</x:v>
      </x:c>
      <x:c r="B1869" s="9" t="str">
        <x:v>PD-AR-HC-A-C-TECH-1-B1-BRK-G0</x:v>
      </x:c>
      <x:c r="C1869" s="9" t="str">
        <x:v>EV-AR-HC-A-C-TECH-1-B1-BRK-G0</x:v>
      </x:c>
      <x:c r="D1869" s="9" t="str">
        <x:v>AR-HC-A-C-TECH-1-B1-BRK-G0</x:v>
      </x:c>
      <x:c r="E1869" s="9" t="str">
        <x:v>HC-A-C-TECH-1</x:v>
      </x:c>
      <x:c r="F1869" s="9" t="str">
        <x:v>HC-A-C</x:v>
      </x:c>
      <x:c r="G1869" s="9" t="str">
        <x:v>B1</x:v>
      </x:c>
      <x:c r="H1869" s="9" t="str">
        <x:v>BRK</x:v>
      </x:c>
      <x:c r="I1869" s="9" t="str">
        <x:v>PD07</x:v>
      </x:c>
      <x:c r="J1869" s="17" t="str">
        <x:v>Clock and environmental records</x:v>
      </x:c>
      <x:c r="K1869" s="17" t="str">
        <x:v>Boundary archive</x:v>
      </x:c>
      <x:c r="L1869" s="17" t="str">
        <x:v>COURT-SEALED UNTIL COHORT RELEASE</x:v>
      </x:c>
      <x:c r="M1869" s="9" t="n">
        <x:v>0</x:v>
      </x:c>
      <x:c r="N1869" s="9" t="n">
        <x:v>0</x:v>
      </x:c>
      <x:c r="O1869" s="9" t="n">
        <x:v>0</x:v>
      </x:c>
      <x:c r="P1869" s="9" t="str">
        <x:v>HELD / UNRELEASED</x:v>
      </x:c>
      <x:c r="Q1869" s="9" t="n">
        <x:f>COUNTIFS($A$7:$A$2310,A1869)</x:f>
        <x:v>1</x:v>
      </x:c>
    </x:row>
    <x:row r="1870">
      <x:c r="A1870" s="9" t="str">
        <x:v>PD-AR-HC-A-C-TECH-1-B1-BRK-G0-PD08</x:v>
      </x:c>
      <x:c r="B1870" s="9" t="str">
        <x:v>PD-AR-HC-A-C-TECH-1-B1-BRK-G0</x:v>
      </x:c>
      <x:c r="C1870" s="9" t="str">
        <x:v>EV-AR-HC-A-C-TECH-1-B1-BRK-G0</x:v>
      </x:c>
      <x:c r="D1870" s="9" t="str">
        <x:v>AR-HC-A-C-TECH-1-B1-BRK-G0</x:v>
      </x:c>
      <x:c r="E1870" s="9" t="str">
        <x:v>HC-A-C-TECH-1</x:v>
      </x:c>
      <x:c r="F1870" s="9" t="str">
        <x:v>HC-A-C</x:v>
      </x:c>
      <x:c r="G1870" s="9" t="str">
        <x:v>B1</x:v>
      </x:c>
      <x:c r="H1870" s="9" t="str">
        <x:v>BRK</x:v>
      </x:c>
      <x:c r="I1870" s="9" t="str">
        <x:v>PD08</x:v>
      </x:c>
      <x:c r="J1870" s="17" t="str">
        <x:v>Command and intervention log</x:v>
      </x:c>
      <x:c r="K1870" s="17" t="str">
        <x:v>Safety archive</x:v>
      </x:c>
      <x:c r="L1870" s="17" t="str">
        <x:v>COURT-SEALED UNTIL COHORT RELEASE</x:v>
      </x:c>
      <x:c r="M1870" s="9" t="n">
        <x:v>0</x:v>
      </x:c>
      <x:c r="N1870" s="9" t="n">
        <x:v>0</x:v>
      </x:c>
      <x:c r="O1870" s="9" t="n">
        <x:v>0</x:v>
      </x:c>
      <x:c r="P1870" s="9" t="str">
        <x:v>HELD / UNRELEASED</x:v>
      </x:c>
      <x:c r="Q1870" s="9" t="n">
        <x:f>COUNTIFS($A$7:$A$2310,A1870)</x:f>
        <x:v>1</x:v>
      </x:c>
    </x:row>
    <x:row r="1871">
      <x:c r="A1871" s="9" t="str">
        <x:v>PD-AR-HC-A-C-TECH-1-B1-BRK-G0-PD09</x:v>
      </x:c>
      <x:c r="B1871" s="9" t="str">
        <x:v>PD-AR-HC-A-C-TECH-1-B1-BRK-G0</x:v>
      </x:c>
      <x:c r="C1871" s="9" t="str">
        <x:v>EV-AR-HC-A-C-TECH-1-B1-BRK-G0</x:v>
      </x:c>
      <x:c r="D1871" s="9" t="str">
        <x:v>AR-HC-A-C-TECH-1-B1-BRK-G0</x:v>
      </x:c>
      <x:c r="E1871" s="9" t="str">
        <x:v>HC-A-C-TECH-1</x:v>
      </x:c>
      <x:c r="F1871" s="9" t="str">
        <x:v>HC-A-C</x:v>
      </x:c>
      <x:c r="G1871" s="9" t="str">
        <x:v>B1</x:v>
      </x:c>
      <x:c r="H1871" s="9" t="str">
        <x:v>BRK</x:v>
      </x:c>
      <x:c r="I1871" s="9" t="str">
        <x:v>PD09</x:v>
      </x:c>
      <x:c r="J1871" s="17" t="str">
        <x:v>Receiver denominator and service ledger</x:v>
      </x:c>
      <x:c r="K1871" s="17" t="str">
        <x:v>Receiver archive</x:v>
      </x:c>
      <x:c r="L1871" s="17" t="str">
        <x:v>COURT-SEALED UNTIL COHORT RELEASE</x:v>
      </x:c>
      <x:c r="M1871" s="9" t="n">
        <x:v>0</x:v>
      </x:c>
      <x:c r="N1871" s="9" t="n">
        <x:v>0</x:v>
      </x:c>
      <x:c r="O1871" s="9" t="n">
        <x:v>0</x:v>
      </x:c>
      <x:c r="P1871" s="9" t="str">
        <x:v>HELD / UNRELEASED</x:v>
      </x:c>
      <x:c r="Q1871" s="9" t="n">
        <x:f>COUNTIFS($A$7:$A$2310,A1871)</x:f>
        <x:v>1</x:v>
      </x:c>
    </x:row>
    <x:row r="1872">
      <x:c r="A1872" s="9" t="str">
        <x:v>PD-AR-HC-A-C-TECH-1-B1-BRK-G0-PD10</x:v>
      </x:c>
      <x:c r="B1872" s="9" t="str">
        <x:v>PD-AR-HC-A-C-TECH-1-B1-BRK-G0</x:v>
      </x:c>
      <x:c r="C1872" s="9" t="str">
        <x:v>EV-AR-HC-A-C-TECH-1-B1-BRK-G0</x:v>
      </x:c>
      <x:c r="D1872" s="9" t="str">
        <x:v>AR-HC-A-C-TECH-1-B1-BRK-G0</x:v>
      </x:c>
      <x:c r="E1872" s="9" t="str">
        <x:v>HC-A-C-TECH-1</x:v>
      </x:c>
      <x:c r="F1872" s="9" t="str">
        <x:v>HC-A-C</x:v>
      </x:c>
      <x:c r="G1872" s="9" t="str">
        <x:v>B1</x:v>
      </x:c>
      <x:c r="H1872" s="9" t="str">
        <x:v>BRK</x:v>
      </x:c>
      <x:c r="I1872" s="9" t="str">
        <x:v>PD10</x:v>
      </x:c>
      <x:c r="J1872" s="17" t="str">
        <x:v>Calibration and uncertainty record</x:v>
      </x:c>
      <x:c r="K1872" s="17" t="str">
        <x:v>Metrology archive</x:v>
      </x:c>
      <x:c r="L1872" s="17" t="str">
        <x:v>COURT-SEALED UNTIL COHORT RELEASE</x:v>
      </x:c>
      <x:c r="M1872" s="9" t="n">
        <x:v>0</x:v>
      </x:c>
      <x:c r="N1872" s="9" t="n">
        <x:v>0</x:v>
      </x:c>
      <x:c r="O1872" s="9" t="n">
        <x:v>0</x:v>
      </x:c>
      <x:c r="P1872" s="9" t="str">
        <x:v>HELD / UNRELEASED</x:v>
      </x:c>
      <x:c r="Q1872" s="9" t="n">
        <x:f>COUNTIFS($A$7:$A$2310,A1872)</x:f>
        <x:v>1</x:v>
      </x:c>
    </x:row>
    <x:row r="1873">
      <x:c r="A1873" s="9" t="str">
        <x:v>PD-AR-HC-A-C-TECH-1-B1-BRK-G0-PD11</x:v>
      </x:c>
      <x:c r="B1873" s="9" t="str">
        <x:v>PD-AR-HC-A-C-TECH-1-B1-BRK-G0</x:v>
      </x:c>
      <x:c r="C1873" s="9" t="str">
        <x:v>EV-AR-HC-A-C-TECH-1-B1-BRK-G0</x:v>
      </x:c>
      <x:c r="D1873" s="9" t="str">
        <x:v>AR-HC-A-C-TECH-1-B1-BRK-G0</x:v>
      </x:c>
      <x:c r="E1873" s="9" t="str">
        <x:v>HC-A-C-TECH-1</x:v>
      </x:c>
      <x:c r="F1873" s="9" t="str">
        <x:v>HC-A-C</x:v>
      </x:c>
      <x:c r="G1873" s="9" t="str">
        <x:v>B1</x:v>
      </x:c>
      <x:c r="H1873" s="9" t="str">
        <x:v>BRK</x:v>
      </x:c>
      <x:c r="I1873" s="9" t="str">
        <x:v>PD11</x:v>
      </x:c>
      <x:c r="J1873" s="17" t="str">
        <x:v>Invalidity petition and opinion</x:v>
      </x:c>
      <x:c r="K1873" s="17" t="str">
        <x:v>Invalidity court</x:v>
      </x:c>
      <x:c r="L1873" s="17" t="str">
        <x:v>COURT-SEALED UNTIL COHORT RELEASE</x:v>
      </x:c>
      <x:c r="M1873" s="9" t="n">
        <x:v>0</x:v>
      </x:c>
      <x:c r="N1873" s="9" t="n">
        <x:v>0</x:v>
      </x:c>
      <x:c r="O1873" s="9" t="n">
        <x:v>0</x:v>
      </x:c>
      <x:c r="P1873" s="9" t="str">
        <x:v>HELD / UNRELEASED</x:v>
      </x:c>
      <x:c r="Q1873" s="9" t="n">
        <x:f>COUNTIFS($A$7:$A$2310,A1873)</x:f>
        <x:v>1</x:v>
      </x:c>
    </x:row>
    <x:row r="1874">
      <x:c r="A1874" s="9" t="str">
        <x:v>PD-AR-HC-A-C-TECH-1-B1-BRK-G0-PD12</x:v>
      </x:c>
      <x:c r="B1874" s="9" t="str">
        <x:v>PD-AR-HC-A-C-TECH-1-B1-BRK-G0</x:v>
      </x:c>
      <x:c r="C1874" s="9" t="str">
        <x:v>EV-AR-HC-A-C-TECH-1-B1-BRK-G0</x:v>
      </x:c>
      <x:c r="D1874" s="9" t="str">
        <x:v>AR-HC-A-C-TECH-1-B1-BRK-G0</x:v>
      </x:c>
      <x:c r="E1874" s="9" t="str">
        <x:v>HC-A-C-TECH-1</x:v>
      </x:c>
      <x:c r="F1874" s="9" t="str">
        <x:v>HC-A-C</x:v>
      </x:c>
      <x:c r="G1874" s="9" t="str">
        <x:v>B1</x:v>
      </x:c>
      <x:c r="H1874" s="9" t="str">
        <x:v>BRK</x:v>
      </x:c>
      <x:c r="I1874" s="9" t="str">
        <x:v>PD12</x:v>
      </x:c>
      <x:c r="J1874" s="17" t="str">
        <x:v>Observation acceptance and replay</x:v>
      </x:c>
      <x:c r="K1874" s="17" t="str">
        <x:v>Observation court</x:v>
      </x:c>
      <x:c r="L1874" s="17" t="str">
        <x:v>COURT-SEALED UNTIL COHORT RELEASE</x:v>
      </x:c>
      <x:c r="M1874" s="9" t="n">
        <x:v>0</x:v>
      </x:c>
      <x:c r="N1874" s="9" t="n">
        <x:v>0</x:v>
      </x:c>
      <x:c r="O1874" s="9" t="n">
        <x:v>0</x:v>
      </x:c>
      <x:c r="P1874" s="9" t="str">
        <x:v>HELD / UNRELEASED</x:v>
      </x:c>
      <x:c r="Q1874" s="9" t="n">
        <x:f>COUNTIFS($A$7:$A$2310,A1874)</x:f>
        <x:v>1</x:v>
      </x:c>
    </x:row>
    <x:row r="1875">
      <x:c r="A1875" s="9" t="str">
        <x:v>PD-AR-HC-A-C-TECH-1-B1-BRK-G0-PD13</x:v>
      </x:c>
      <x:c r="B1875" s="9" t="str">
        <x:v>PD-AR-HC-A-C-TECH-1-B1-BRK-G0</x:v>
      </x:c>
      <x:c r="C1875" s="9" t="str">
        <x:v>EV-AR-HC-A-C-TECH-1-B1-BRK-G0</x:v>
      </x:c>
      <x:c r="D1875" s="9" t="str">
        <x:v>AR-HC-A-C-TECH-1-B1-BRK-G0</x:v>
      </x:c>
      <x:c r="E1875" s="9" t="str">
        <x:v>HC-A-C-TECH-1</x:v>
      </x:c>
      <x:c r="F1875" s="9" t="str">
        <x:v>HC-A-C</x:v>
      </x:c>
      <x:c r="G1875" s="9" t="str">
        <x:v>B1</x:v>
      </x:c>
      <x:c r="H1875" s="9" t="str">
        <x:v>BRK</x:v>
      </x:c>
      <x:c r="I1875" s="9" t="str">
        <x:v>PD13</x:v>
      </x:c>
      <x:c r="J1875" s="17" t="str">
        <x:v>Role judgment</x:v>
      </x:c>
      <x:c r="K1875" s="17" t="str">
        <x:v>Role court</x:v>
      </x:c>
      <x:c r="L1875" s="17" t="str">
        <x:v>COURT-SEALED UNTIL COHORT RELEASE</x:v>
      </x:c>
      <x:c r="M1875" s="9" t="n">
        <x:v>0</x:v>
      </x:c>
      <x:c r="N1875" s="9" t="n">
        <x:v>0</x:v>
      </x:c>
      <x:c r="O1875" s="9" t="n">
        <x:v>0</x:v>
      </x:c>
      <x:c r="P1875" s="9" t="str">
        <x:v>HELD / UNRELEASED</x:v>
      </x:c>
      <x:c r="Q1875" s="9" t="n">
        <x:f>COUNTIFS($A$7:$A$2310,A1875)</x:f>
        <x:v>1</x:v>
      </x:c>
    </x:row>
    <x:row r="1876">
      <x:c r="A1876" s="9" t="str">
        <x:v>PD-AR-HC-A-C-TECH-1-B1-BRK-G0-PD14</x:v>
      </x:c>
      <x:c r="B1876" s="9" t="str">
        <x:v>PD-AR-HC-A-C-TECH-1-B1-BRK-G0</x:v>
      </x:c>
      <x:c r="C1876" s="9" t="str">
        <x:v>EV-AR-HC-A-C-TECH-1-B1-BRK-G0</x:v>
      </x:c>
      <x:c r="D1876" s="9" t="str">
        <x:v>AR-HC-A-C-TECH-1-B1-BRK-G0</x:v>
      </x:c>
      <x:c r="E1876" s="9" t="str">
        <x:v>HC-A-C-TECH-1</x:v>
      </x:c>
      <x:c r="F1876" s="9" t="str">
        <x:v>HC-A-C</x:v>
      </x:c>
      <x:c r="G1876" s="9" t="str">
        <x:v>B1</x:v>
      </x:c>
      <x:c r="H1876" s="9" t="str">
        <x:v>BRK</x:v>
      </x:c>
      <x:c r="I1876" s="9" t="str">
        <x:v>PD14</x:v>
      </x:c>
      <x:c r="J1876" s="17" t="str">
        <x:v>Break and residual account</x:v>
      </x:c>
      <x:c r="K1876" s="17" t="str">
        <x:v>Residual authority</x:v>
      </x:c>
      <x:c r="L1876" s="17" t="str">
        <x:v>COURT-SEALED UNTIL COHORT RELEASE</x:v>
      </x:c>
      <x:c r="M1876" s="9" t="n">
        <x:v>0</x:v>
      </x:c>
      <x:c r="N1876" s="9" t="n">
        <x:v>0</x:v>
      </x:c>
      <x:c r="O1876" s="9" t="n">
        <x:v>0</x:v>
      </x:c>
      <x:c r="P1876" s="9" t="str">
        <x:v>HELD / UNRELEASED</x:v>
      </x:c>
      <x:c r="Q1876" s="9" t="n">
        <x:f>COUNTIFS($A$7:$A$2310,A1876)</x:f>
        <x:v>1</x:v>
      </x:c>
    </x:row>
    <x:row r="1877">
      <x:c r="A1877" s="9" t="str">
        <x:v>PD-AR-HC-A-C-TECH-1-B1-BRK-G0-PD15</x:v>
      </x:c>
      <x:c r="B1877" s="9" t="str">
        <x:v>PD-AR-HC-A-C-TECH-1-B1-BRK-G0</x:v>
      </x:c>
      <x:c r="C1877" s="9" t="str">
        <x:v>EV-AR-HC-A-C-TECH-1-B1-BRK-G0</x:v>
      </x:c>
      <x:c r="D1877" s="9" t="str">
        <x:v>AR-HC-A-C-TECH-1-B1-BRK-G0</x:v>
      </x:c>
      <x:c r="E1877" s="9" t="str">
        <x:v>HC-A-C-TECH-1</x:v>
      </x:c>
      <x:c r="F1877" s="9" t="str">
        <x:v>HC-A-C</x:v>
      </x:c>
      <x:c r="G1877" s="9" t="str">
        <x:v>B1</x:v>
      </x:c>
      <x:c r="H1877" s="9" t="str">
        <x:v>BRK</x:v>
      </x:c>
      <x:c r="I1877" s="9" t="str">
        <x:v>PD15</x:v>
      </x:c>
      <x:c r="J1877" s="17" t="str">
        <x:v>Reconstruction ancestry and replay</x:v>
      </x:c>
      <x:c r="K1877" s="17" t="str">
        <x:v>Reconstruction court</x:v>
      </x:c>
      <x:c r="L1877" s="17" t="str">
        <x:v>COURT-SEALED UNTIL COHORT RELEASE</x:v>
      </x:c>
      <x:c r="M1877" s="9" t="n">
        <x:v>0</x:v>
      </x:c>
      <x:c r="N1877" s="9" t="n">
        <x:v>0</x:v>
      </x:c>
      <x:c r="O1877" s="9" t="n">
        <x:v>0</x:v>
      </x:c>
      <x:c r="P1877" s="9" t="str">
        <x:v>HELD / UNRELEASED</x:v>
      </x:c>
      <x:c r="Q1877" s="9" t="n">
        <x:f>COUNTIFS($A$7:$A$2310,A1877)</x:f>
        <x:v>1</x:v>
      </x:c>
    </x:row>
    <x:row r="1878">
      <x:c r="A1878" s="9" t="str">
        <x:v>PD-AR-HC-A-C-TECH-1-B1-BRK-G0-PD16</x:v>
      </x:c>
      <x:c r="B1878" s="9" t="str">
        <x:v>PD-AR-HC-A-C-TECH-1-B1-BRK-G0</x:v>
      </x:c>
      <x:c r="C1878" s="9" t="str">
        <x:v>EV-AR-HC-A-C-TECH-1-B1-BRK-G0</x:v>
      </x:c>
      <x:c r="D1878" s="9" t="str">
        <x:v>AR-HC-A-C-TECH-1-B1-BRK-G0</x:v>
      </x:c>
      <x:c r="E1878" s="9" t="str">
        <x:v>HC-A-C-TECH-1</x:v>
      </x:c>
      <x:c r="F1878" s="9" t="str">
        <x:v>HC-A-C</x:v>
      </x:c>
      <x:c r="G1878" s="9" t="str">
        <x:v>B1</x:v>
      </x:c>
      <x:c r="H1878" s="9" t="str">
        <x:v>BRK</x:v>
      </x:c>
      <x:c r="I1878" s="9" t="str">
        <x:v>PD16</x:v>
      </x:c>
      <x:c r="J1878" s="17" t="str">
        <x:v>Dissent, amendments and access log</x:v>
      </x:c>
      <x:c r="K1878" s="17" t="str">
        <x:v>Public archive</x:v>
      </x:c>
      <x:c r="L1878" s="17" t="str">
        <x:v>COURT-SEALED UNTIL COHORT RELEASE</x:v>
      </x:c>
      <x:c r="M1878" s="9" t="n">
        <x:v>0</x:v>
      </x:c>
      <x:c r="N1878" s="9" t="n">
        <x:v>0</x:v>
      </x:c>
      <x:c r="O1878" s="9" t="n">
        <x:v>0</x:v>
      </x:c>
      <x:c r="P1878" s="9" t="str">
        <x:v>HELD / UNRELEASED</x:v>
      </x:c>
      <x:c r="Q1878" s="9" t="n">
        <x:f>COUNTIFS($A$7:$A$2310,A1878)</x:f>
        <x:v>1</x:v>
      </x:c>
    </x:row>
    <x:row r="1879">
      <x:c r="A1879" s="9" t="str">
        <x:v>PD-AR-HU-A-B-TECH-3-B1-RCN-G0-PD01</x:v>
      </x:c>
      <x:c r="B1879" s="9" t="str">
        <x:v>PD-AR-HU-A-B-TECH-3-B1-RCN-G0</x:v>
      </x:c>
      <x:c r="C1879" s="9" t="str">
        <x:v>EV-AR-HU-A-B-TECH-3-B1-RCN-G0</x:v>
      </x:c>
      <x:c r="D1879" s="9" t="str">
        <x:v>AR-HU-A-B-TECH-3-B1-RCN-G0</x:v>
      </x:c>
      <x:c r="E1879" s="9" t="str">
        <x:v>HU-A-B-TECH-3</x:v>
      </x:c>
      <x:c r="F1879" s="9" t="str">
        <x:v>HU-A-B</x:v>
      </x:c>
      <x:c r="G1879" s="9" t="str">
        <x:v>B1</x:v>
      </x:c>
      <x:c r="H1879" s="9" t="str">
        <x:v>RCN</x:v>
      </x:c>
      <x:c r="I1879" s="9" t="str">
        <x:v>PD01</x:v>
      </x:c>
      <x:c r="J1879" s="17" t="str">
        <x:v>Experiment kernel</x:v>
      </x:c>
      <x:c r="K1879" s="17" t="str">
        <x:v>Public archive</x:v>
      </x:c>
      <x:c r="L1879" s="17" t="str">
        <x:v>COURT-SEALED UNTIL COHORT RELEASE</x:v>
      </x:c>
      <x:c r="M1879" s="9" t="n">
        <x:v>0</x:v>
      </x:c>
      <x:c r="N1879" s="9" t="n">
        <x:v>0</x:v>
      </x:c>
      <x:c r="O1879" s="9" t="n">
        <x:v>0</x:v>
      </x:c>
      <x:c r="P1879" s="9" t="str">
        <x:v>HELD / UNRELEASED</x:v>
      </x:c>
      <x:c r="Q1879" s="9" t="n">
        <x:f>COUNTIFS($A$7:$A$2310,A1879)</x:f>
        <x:v>1</x:v>
      </x:c>
    </x:row>
    <x:row r="1880">
      <x:c r="A1880" s="9" t="str">
        <x:v>PD-AR-HU-A-B-TECH-3-B1-RCN-G0-PD02</x:v>
      </x:c>
      <x:c r="B1880" s="9" t="str">
        <x:v>PD-AR-HU-A-B-TECH-3-B1-RCN-G0</x:v>
      </x:c>
      <x:c r="C1880" s="9" t="str">
        <x:v>EV-AR-HU-A-B-TECH-3-B1-RCN-G0</x:v>
      </x:c>
      <x:c r="D1880" s="9" t="str">
        <x:v>AR-HU-A-B-TECH-3-B1-RCN-G0</x:v>
      </x:c>
      <x:c r="E1880" s="9" t="str">
        <x:v>HU-A-B-TECH-3</x:v>
      </x:c>
      <x:c r="F1880" s="9" t="str">
        <x:v>HU-A-B</x:v>
      </x:c>
      <x:c r="G1880" s="9" t="str">
        <x:v>B1</x:v>
      </x:c>
      <x:c r="H1880" s="9" t="str">
        <x:v>RCN</x:v>
      </x:c>
      <x:c r="I1880" s="9" t="str">
        <x:v>PD02</x:v>
      </x:c>
      <x:c r="J1880" s="17" t="str">
        <x:v>Serial annex and title chain</x:v>
      </x:c>
      <x:c r="K1880" s="17" t="str">
        <x:v>Public archive</x:v>
      </x:c>
      <x:c r="L1880" s="17" t="str">
        <x:v>COURT-SEALED UNTIL COHORT RELEASE</x:v>
      </x:c>
      <x:c r="M1880" s="9" t="n">
        <x:v>0</x:v>
      </x:c>
      <x:c r="N1880" s="9" t="n">
        <x:v>0</x:v>
      </x:c>
      <x:c r="O1880" s="9" t="n">
        <x:v>0</x:v>
      </x:c>
      <x:c r="P1880" s="9" t="str">
        <x:v>HELD / UNRELEASED</x:v>
      </x:c>
      <x:c r="Q1880" s="9" t="n">
        <x:f>COUNTIFS($A$7:$A$2310,A1880)</x:f>
        <x:v>1</x:v>
      </x:c>
    </x:row>
    <x:row r="1881">
      <x:c r="A1881" s="9" t="str">
        <x:v>PD-AR-HU-A-B-TECH-3-B1-RCN-G0-PD03</x:v>
      </x:c>
      <x:c r="B1881" s="9" t="str">
        <x:v>PD-AR-HU-A-B-TECH-3-B1-RCN-G0</x:v>
      </x:c>
      <x:c r="C1881" s="9" t="str">
        <x:v>EV-AR-HU-A-B-TECH-3-B1-RCN-G0</x:v>
      </x:c>
      <x:c r="D1881" s="9" t="str">
        <x:v>AR-HU-A-B-TECH-3-B1-RCN-G0</x:v>
      </x:c>
      <x:c r="E1881" s="9" t="str">
        <x:v>HU-A-B-TECH-3</x:v>
      </x:c>
      <x:c r="F1881" s="9" t="str">
        <x:v>HU-A-B</x:v>
      </x:c>
      <x:c r="G1881" s="9" t="str">
        <x:v>B1</x:v>
      </x:c>
      <x:c r="H1881" s="9" t="str">
        <x:v>RCN</x:v>
      </x:c>
      <x:c r="I1881" s="9" t="str">
        <x:v>PD03</x:v>
      </x:c>
      <x:c r="J1881" s="17" t="str">
        <x:v>Configuration and as-built manifest</x:v>
      </x:c>
      <x:c r="K1881" s="17" t="str">
        <x:v>Artifact exchange</x:v>
      </x:c>
      <x:c r="L1881" s="17" t="str">
        <x:v>COURT-SEALED UNTIL COHORT RELEASE</x:v>
      </x:c>
      <x:c r="M1881" s="9" t="n">
        <x:v>0</x:v>
      </x:c>
      <x:c r="N1881" s="9" t="n">
        <x:v>0</x:v>
      </x:c>
      <x:c r="O1881" s="9" t="n">
        <x:v>0</x:v>
      </x:c>
      <x:c r="P1881" s="9" t="str">
        <x:v>HELD / UNRELEASED</x:v>
      </x:c>
      <x:c r="Q1881" s="9" t="n">
        <x:f>COUNTIFS($A$7:$A$2310,A1881)</x:f>
        <x:v>1</x:v>
      </x:c>
    </x:row>
    <x:row r="1882">
      <x:c r="A1882" s="9" t="str">
        <x:v>PD-AR-HU-A-B-TECH-3-B1-RCN-G0-PD04</x:v>
      </x:c>
      <x:c r="B1882" s="9" t="str">
        <x:v>PD-AR-HU-A-B-TECH-3-B1-RCN-G0</x:v>
      </x:c>
      <x:c r="C1882" s="9" t="str">
        <x:v>EV-AR-HU-A-B-TECH-3-B1-RCN-G0</x:v>
      </x:c>
      <x:c r="D1882" s="9" t="str">
        <x:v>AR-HU-A-B-TECH-3-B1-RCN-G0</x:v>
      </x:c>
      <x:c r="E1882" s="9" t="str">
        <x:v>HU-A-B-TECH-3</x:v>
      </x:c>
      <x:c r="F1882" s="9" t="str">
        <x:v>HU-A-B</x:v>
      </x:c>
      <x:c r="G1882" s="9" t="str">
        <x:v>B1</x:v>
      </x:c>
      <x:c r="H1882" s="9" t="str">
        <x:v>RCN</x:v>
      </x:c>
      <x:c r="I1882" s="9" t="str">
        <x:v>PD04</x:v>
      </x:c>
      <x:c r="J1882" s="17" t="str">
        <x:v>EOW and start certificate</x:v>
      </x:c>
      <x:c r="K1882" s="17" t="str">
        <x:v>Start registrar</x:v>
      </x:c>
      <x:c r="L1882" s="17" t="str">
        <x:v>COURT-SEALED UNTIL COHORT RELEASE</x:v>
      </x:c>
      <x:c r="M1882" s="9" t="n">
        <x:v>0</x:v>
      </x:c>
      <x:c r="N1882" s="9" t="n">
        <x:v>0</x:v>
      </x:c>
      <x:c r="O1882" s="9" t="n">
        <x:v>0</x:v>
      </x:c>
      <x:c r="P1882" s="9" t="str">
        <x:v>HELD / UNRELEASED</x:v>
      </x:c>
      <x:c r="Q1882" s="9" t="n">
        <x:f>COUNTIFS($A$7:$A$2310,A1882)</x:f>
        <x:v>1</x:v>
      </x:c>
    </x:row>
    <x:row r="1883">
      <x:c r="A1883" s="9" t="str">
        <x:v>PD-AR-HU-A-B-TECH-3-B1-RCN-G0-PD05</x:v>
      </x:c>
      <x:c r="B1883" s="9" t="str">
        <x:v>PD-AR-HU-A-B-TECH-3-B1-RCN-G0</x:v>
      </x:c>
      <x:c r="C1883" s="9" t="str">
        <x:v>EV-AR-HU-A-B-TECH-3-B1-RCN-G0</x:v>
      </x:c>
      <x:c r="D1883" s="9" t="str">
        <x:v>AR-HU-A-B-TECH-3-B1-RCN-G0</x:v>
      </x:c>
      <x:c r="E1883" s="9" t="str">
        <x:v>HU-A-B-TECH-3</x:v>
      </x:c>
      <x:c r="F1883" s="9" t="str">
        <x:v>HU-A-B</x:v>
      </x:c>
      <x:c r="G1883" s="9" t="str">
        <x:v>B1</x:v>
      </x:c>
      <x:c r="H1883" s="9" t="str">
        <x:v>RCN</x:v>
      </x:c>
      <x:c r="I1883" s="9" t="str">
        <x:v>PD05</x:v>
      </x:c>
      <x:c r="J1883" s="17" t="str">
        <x:v>Primary raw originals</x:v>
      </x:c>
      <x:c r="K1883" s="17" t="str">
        <x:v>Primary custody</x:v>
      </x:c>
      <x:c r="L1883" s="17" t="str">
        <x:v>COURT-SEALED UNTIL COHORT RELEASE</x:v>
      </x:c>
      <x:c r="M1883" s="9" t="n">
        <x:v>0</x:v>
      </x:c>
      <x:c r="N1883" s="9" t="n">
        <x:v>0</x:v>
      </x:c>
      <x:c r="O1883" s="9" t="n">
        <x:v>0</x:v>
      </x:c>
      <x:c r="P1883" s="9" t="str">
        <x:v>HELD / UNRELEASED</x:v>
      </x:c>
      <x:c r="Q1883" s="9" t="n">
        <x:f>COUNTIFS($A$7:$A$2310,A1883)</x:f>
        <x:v>1</x:v>
      </x:c>
    </x:row>
    <x:row r="1884">
      <x:c r="A1884" s="9" t="str">
        <x:v>PD-AR-HU-A-B-TECH-3-B1-RCN-G0-PD06</x:v>
      </x:c>
      <x:c r="B1884" s="9" t="str">
        <x:v>PD-AR-HU-A-B-TECH-3-B1-RCN-G0</x:v>
      </x:c>
      <x:c r="C1884" s="9" t="str">
        <x:v>EV-AR-HU-A-B-TECH-3-B1-RCN-G0</x:v>
      </x:c>
      <x:c r="D1884" s="9" t="str">
        <x:v>AR-HU-A-B-TECH-3-B1-RCN-G0</x:v>
      </x:c>
      <x:c r="E1884" s="9" t="str">
        <x:v>HU-A-B-TECH-3</x:v>
      </x:c>
      <x:c r="F1884" s="9" t="str">
        <x:v>HU-A-B</x:v>
      </x:c>
      <x:c r="G1884" s="9" t="str">
        <x:v>B1</x:v>
      </x:c>
      <x:c r="H1884" s="9" t="str">
        <x:v>RCN</x:v>
      </x:c>
      <x:c r="I1884" s="9" t="str">
        <x:v>PD06</x:v>
      </x:c>
      <x:c r="J1884" s="17" t="str">
        <x:v>Witness raw originals</x:v>
      </x:c>
      <x:c r="K1884" s="17" t="str">
        <x:v>Witness custody</x:v>
      </x:c>
      <x:c r="L1884" s="17" t="str">
        <x:v>COURT-SEALED UNTIL COHORT RELEASE</x:v>
      </x:c>
      <x:c r="M1884" s="9" t="n">
        <x:v>0</x:v>
      </x:c>
      <x:c r="N1884" s="9" t="n">
        <x:v>0</x:v>
      </x:c>
      <x:c r="O1884" s="9" t="n">
        <x:v>0</x:v>
      </x:c>
      <x:c r="P1884" s="9" t="str">
        <x:v>HELD / UNRELEASED</x:v>
      </x:c>
      <x:c r="Q1884" s="9" t="n">
        <x:f>COUNTIFS($A$7:$A$2310,A1884)</x:f>
        <x:v>1</x:v>
      </x:c>
    </x:row>
    <x:row r="1885">
      <x:c r="A1885" s="9" t="str">
        <x:v>PD-AR-HU-A-B-TECH-3-B1-RCN-G0-PD07</x:v>
      </x:c>
      <x:c r="B1885" s="9" t="str">
        <x:v>PD-AR-HU-A-B-TECH-3-B1-RCN-G0</x:v>
      </x:c>
      <x:c r="C1885" s="9" t="str">
        <x:v>EV-AR-HU-A-B-TECH-3-B1-RCN-G0</x:v>
      </x:c>
      <x:c r="D1885" s="9" t="str">
        <x:v>AR-HU-A-B-TECH-3-B1-RCN-G0</x:v>
      </x:c>
      <x:c r="E1885" s="9" t="str">
        <x:v>HU-A-B-TECH-3</x:v>
      </x:c>
      <x:c r="F1885" s="9" t="str">
        <x:v>HU-A-B</x:v>
      </x:c>
      <x:c r="G1885" s="9" t="str">
        <x:v>B1</x:v>
      </x:c>
      <x:c r="H1885" s="9" t="str">
        <x:v>RCN</x:v>
      </x:c>
      <x:c r="I1885" s="9" t="str">
        <x:v>PD07</x:v>
      </x:c>
      <x:c r="J1885" s="17" t="str">
        <x:v>Clock and environmental records</x:v>
      </x:c>
      <x:c r="K1885" s="17" t="str">
        <x:v>Boundary archive</x:v>
      </x:c>
      <x:c r="L1885" s="17" t="str">
        <x:v>COURT-SEALED UNTIL COHORT RELEASE</x:v>
      </x:c>
      <x:c r="M1885" s="9" t="n">
        <x:v>0</x:v>
      </x:c>
      <x:c r="N1885" s="9" t="n">
        <x:v>0</x:v>
      </x:c>
      <x:c r="O1885" s="9" t="n">
        <x:v>0</x:v>
      </x:c>
      <x:c r="P1885" s="9" t="str">
        <x:v>HELD / UNRELEASED</x:v>
      </x:c>
      <x:c r="Q1885" s="9" t="n">
        <x:f>COUNTIFS($A$7:$A$2310,A1885)</x:f>
        <x:v>1</x:v>
      </x:c>
    </x:row>
    <x:row r="1886">
      <x:c r="A1886" s="9" t="str">
        <x:v>PD-AR-HU-A-B-TECH-3-B1-RCN-G0-PD08</x:v>
      </x:c>
      <x:c r="B1886" s="9" t="str">
        <x:v>PD-AR-HU-A-B-TECH-3-B1-RCN-G0</x:v>
      </x:c>
      <x:c r="C1886" s="9" t="str">
        <x:v>EV-AR-HU-A-B-TECH-3-B1-RCN-G0</x:v>
      </x:c>
      <x:c r="D1886" s="9" t="str">
        <x:v>AR-HU-A-B-TECH-3-B1-RCN-G0</x:v>
      </x:c>
      <x:c r="E1886" s="9" t="str">
        <x:v>HU-A-B-TECH-3</x:v>
      </x:c>
      <x:c r="F1886" s="9" t="str">
        <x:v>HU-A-B</x:v>
      </x:c>
      <x:c r="G1886" s="9" t="str">
        <x:v>B1</x:v>
      </x:c>
      <x:c r="H1886" s="9" t="str">
        <x:v>RCN</x:v>
      </x:c>
      <x:c r="I1886" s="9" t="str">
        <x:v>PD08</x:v>
      </x:c>
      <x:c r="J1886" s="17" t="str">
        <x:v>Command and intervention log</x:v>
      </x:c>
      <x:c r="K1886" s="17" t="str">
        <x:v>Safety archive</x:v>
      </x:c>
      <x:c r="L1886" s="17" t="str">
        <x:v>COURT-SEALED UNTIL COHORT RELEASE</x:v>
      </x:c>
      <x:c r="M1886" s="9" t="n">
        <x:v>0</x:v>
      </x:c>
      <x:c r="N1886" s="9" t="n">
        <x:v>0</x:v>
      </x:c>
      <x:c r="O1886" s="9" t="n">
        <x:v>0</x:v>
      </x:c>
      <x:c r="P1886" s="9" t="str">
        <x:v>HELD / UNRELEASED</x:v>
      </x:c>
      <x:c r="Q1886" s="9" t="n">
        <x:f>COUNTIFS($A$7:$A$2310,A1886)</x:f>
        <x:v>1</x:v>
      </x:c>
    </x:row>
    <x:row r="1887">
      <x:c r="A1887" s="9" t="str">
        <x:v>PD-AR-HU-A-B-TECH-3-B1-RCN-G0-PD09</x:v>
      </x:c>
      <x:c r="B1887" s="9" t="str">
        <x:v>PD-AR-HU-A-B-TECH-3-B1-RCN-G0</x:v>
      </x:c>
      <x:c r="C1887" s="9" t="str">
        <x:v>EV-AR-HU-A-B-TECH-3-B1-RCN-G0</x:v>
      </x:c>
      <x:c r="D1887" s="9" t="str">
        <x:v>AR-HU-A-B-TECH-3-B1-RCN-G0</x:v>
      </x:c>
      <x:c r="E1887" s="9" t="str">
        <x:v>HU-A-B-TECH-3</x:v>
      </x:c>
      <x:c r="F1887" s="9" t="str">
        <x:v>HU-A-B</x:v>
      </x:c>
      <x:c r="G1887" s="9" t="str">
        <x:v>B1</x:v>
      </x:c>
      <x:c r="H1887" s="9" t="str">
        <x:v>RCN</x:v>
      </x:c>
      <x:c r="I1887" s="9" t="str">
        <x:v>PD09</x:v>
      </x:c>
      <x:c r="J1887" s="17" t="str">
        <x:v>Receiver denominator and service ledger</x:v>
      </x:c>
      <x:c r="K1887" s="17" t="str">
        <x:v>Receiver archive</x:v>
      </x:c>
      <x:c r="L1887" s="17" t="str">
        <x:v>COURT-SEALED UNTIL COHORT RELEASE</x:v>
      </x:c>
      <x:c r="M1887" s="9" t="n">
        <x:v>0</x:v>
      </x:c>
      <x:c r="N1887" s="9" t="n">
        <x:v>0</x:v>
      </x:c>
      <x:c r="O1887" s="9" t="n">
        <x:v>0</x:v>
      </x:c>
      <x:c r="P1887" s="9" t="str">
        <x:v>HELD / UNRELEASED</x:v>
      </x:c>
      <x:c r="Q1887" s="9" t="n">
        <x:f>COUNTIFS($A$7:$A$2310,A1887)</x:f>
        <x:v>1</x:v>
      </x:c>
    </x:row>
    <x:row r="1888">
      <x:c r="A1888" s="9" t="str">
        <x:v>PD-AR-HU-A-B-TECH-3-B1-RCN-G0-PD10</x:v>
      </x:c>
      <x:c r="B1888" s="9" t="str">
        <x:v>PD-AR-HU-A-B-TECH-3-B1-RCN-G0</x:v>
      </x:c>
      <x:c r="C1888" s="9" t="str">
        <x:v>EV-AR-HU-A-B-TECH-3-B1-RCN-G0</x:v>
      </x:c>
      <x:c r="D1888" s="9" t="str">
        <x:v>AR-HU-A-B-TECH-3-B1-RCN-G0</x:v>
      </x:c>
      <x:c r="E1888" s="9" t="str">
        <x:v>HU-A-B-TECH-3</x:v>
      </x:c>
      <x:c r="F1888" s="9" t="str">
        <x:v>HU-A-B</x:v>
      </x:c>
      <x:c r="G1888" s="9" t="str">
        <x:v>B1</x:v>
      </x:c>
      <x:c r="H1888" s="9" t="str">
        <x:v>RCN</x:v>
      </x:c>
      <x:c r="I1888" s="9" t="str">
        <x:v>PD10</x:v>
      </x:c>
      <x:c r="J1888" s="17" t="str">
        <x:v>Calibration and uncertainty record</x:v>
      </x:c>
      <x:c r="K1888" s="17" t="str">
        <x:v>Metrology archive</x:v>
      </x:c>
      <x:c r="L1888" s="17" t="str">
        <x:v>COURT-SEALED UNTIL COHORT RELEASE</x:v>
      </x:c>
      <x:c r="M1888" s="9" t="n">
        <x:v>0</x:v>
      </x:c>
      <x:c r="N1888" s="9" t="n">
        <x:v>0</x:v>
      </x:c>
      <x:c r="O1888" s="9" t="n">
        <x:v>0</x:v>
      </x:c>
      <x:c r="P1888" s="9" t="str">
        <x:v>HELD / UNRELEASED</x:v>
      </x:c>
      <x:c r="Q1888" s="9" t="n">
        <x:f>COUNTIFS($A$7:$A$2310,A1888)</x:f>
        <x:v>1</x:v>
      </x:c>
    </x:row>
    <x:row r="1889">
      <x:c r="A1889" s="9" t="str">
        <x:v>PD-AR-HU-A-B-TECH-3-B1-RCN-G0-PD11</x:v>
      </x:c>
      <x:c r="B1889" s="9" t="str">
        <x:v>PD-AR-HU-A-B-TECH-3-B1-RCN-G0</x:v>
      </x:c>
      <x:c r="C1889" s="9" t="str">
        <x:v>EV-AR-HU-A-B-TECH-3-B1-RCN-G0</x:v>
      </x:c>
      <x:c r="D1889" s="9" t="str">
        <x:v>AR-HU-A-B-TECH-3-B1-RCN-G0</x:v>
      </x:c>
      <x:c r="E1889" s="9" t="str">
        <x:v>HU-A-B-TECH-3</x:v>
      </x:c>
      <x:c r="F1889" s="9" t="str">
        <x:v>HU-A-B</x:v>
      </x:c>
      <x:c r="G1889" s="9" t="str">
        <x:v>B1</x:v>
      </x:c>
      <x:c r="H1889" s="9" t="str">
        <x:v>RCN</x:v>
      </x:c>
      <x:c r="I1889" s="9" t="str">
        <x:v>PD11</x:v>
      </x:c>
      <x:c r="J1889" s="17" t="str">
        <x:v>Invalidity petition and opinion</x:v>
      </x:c>
      <x:c r="K1889" s="17" t="str">
        <x:v>Invalidity court</x:v>
      </x:c>
      <x:c r="L1889" s="17" t="str">
        <x:v>COURT-SEALED UNTIL COHORT RELEASE</x:v>
      </x:c>
      <x:c r="M1889" s="9" t="n">
        <x:v>0</x:v>
      </x:c>
      <x:c r="N1889" s="9" t="n">
        <x:v>0</x:v>
      </x:c>
      <x:c r="O1889" s="9" t="n">
        <x:v>0</x:v>
      </x:c>
      <x:c r="P1889" s="9" t="str">
        <x:v>HELD / UNRELEASED</x:v>
      </x:c>
      <x:c r="Q1889" s="9" t="n">
        <x:f>COUNTIFS($A$7:$A$2310,A1889)</x:f>
        <x:v>1</x:v>
      </x:c>
    </x:row>
    <x:row r="1890">
      <x:c r="A1890" s="9" t="str">
        <x:v>PD-AR-HU-A-B-TECH-3-B1-RCN-G0-PD12</x:v>
      </x:c>
      <x:c r="B1890" s="9" t="str">
        <x:v>PD-AR-HU-A-B-TECH-3-B1-RCN-G0</x:v>
      </x:c>
      <x:c r="C1890" s="9" t="str">
        <x:v>EV-AR-HU-A-B-TECH-3-B1-RCN-G0</x:v>
      </x:c>
      <x:c r="D1890" s="9" t="str">
        <x:v>AR-HU-A-B-TECH-3-B1-RCN-G0</x:v>
      </x:c>
      <x:c r="E1890" s="9" t="str">
        <x:v>HU-A-B-TECH-3</x:v>
      </x:c>
      <x:c r="F1890" s="9" t="str">
        <x:v>HU-A-B</x:v>
      </x:c>
      <x:c r="G1890" s="9" t="str">
        <x:v>B1</x:v>
      </x:c>
      <x:c r="H1890" s="9" t="str">
        <x:v>RCN</x:v>
      </x:c>
      <x:c r="I1890" s="9" t="str">
        <x:v>PD12</x:v>
      </x:c>
      <x:c r="J1890" s="17" t="str">
        <x:v>Observation acceptance and replay</x:v>
      </x:c>
      <x:c r="K1890" s="17" t="str">
        <x:v>Observation court</x:v>
      </x:c>
      <x:c r="L1890" s="17" t="str">
        <x:v>COURT-SEALED UNTIL COHORT RELEASE</x:v>
      </x:c>
      <x:c r="M1890" s="9" t="n">
        <x:v>0</x:v>
      </x:c>
      <x:c r="N1890" s="9" t="n">
        <x:v>0</x:v>
      </x:c>
      <x:c r="O1890" s="9" t="n">
        <x:v>0</x:v>
      </x:c>
      <x:c r="P1890" s="9" t="str">
        <x:v>HELD / UNRELEASED</x:v>
      </x:c>
      <x:c r="Q1890" s="9" t="n">
        <x:f>COUNTIFS($A$7:$A$2310,A1890)</x:f>
        <x:v>1</x:v>
      </x:c>
    </x:row>
    <x:row r="1891">
      <x:c r="A1891" s="9" t="str">
        <x:v>PD-AR-HU-A-B-TECH-3-B1-RCN-G0-PD13</x:v>
      </x:c>
      <x:c r="B1891" s="9" t="str">
        <x:v>PD-AR-HU-A-B-TECH-3-B1-RCN-G0</x:v>
      </x:c>
      <x:c r="C1891" s="9" t="str">
        <x:v>EV-AR-HU-A-B-TECH-3-B1-RCN-G0</x:v>
      </x:c>
      <x:c r="D1891" s="9" t="str">
        <x:v>AR-HU-A-B-TECH-3-B1-RCN-G0</x:v>
      </x:c>
      <x:c r="E1891" s="9" t="str">
        <x:v>HU-A-B-TECH-3</x:v>
      </x:c>
      <x:c r="F1891" s="9" t="str">
        <x:v>HU-A-B</x:v>
      </x:c>
      <x:c r="G1891" s="9" t="str">
        <x:v>B1</x:v>
      </x:c>
      <x:c r="H1891" s="9" t="str">
        <x:v>RCN</x:v>
      </x:c>
      <x:c r="I1891" s="9" t="str">
        <x:v>PD13</x:v>
      </x:c>
      <x:c r="J1891" s="17" t="str">
        <x:v>Role judgment</x:v>
      </x:c>
      <x:c r="K1891" s="17" t="str">
        <x:v>Role court</x:v>
      </x:c>
      <x:c r="L1891" s="17" t="str">
        <x:v>COURT-SEALED UNTIL COHORT RELEASE</x:v>
      </x:c>
      <x:c r="M1891" s="9" t="n">
        <x:v>0</x:v>
      </x:c>
      <x:c r="N1891" s="9" t="n">
        <x:v>0</x:v>
      </x:c>
      <x:c r="O1891" s="9" t="n">
        <x:v>0</x:v>
      </x:c>
      <x:c r="P1891" s="9" t="str">
        <x:v>HELD / UNRELEASED</x:v>
      </x:c>
      <x:c r="Q1891" s="9" t="n">
        <x:f>COUNTIFS($A$7:$A$2310,A1891)</x:f>
        <x:v>1</x:v>
      </x:c>
    </x:row>
    <x:row r="1892">
      <x:c r="A1892" s="9" t="str">
        <x:v>PD-AR-HU-A-B-TECH-3-B1-RCN-G0-PD14</x:v>
      </x:c>
      <x:c r="B1892" s="9" t="str">
        <x:v>PD-AR-HU-A-B-TECH-3-B1-RCN-G0</x:v>
      </x:c>
      <x:c r="C1892" s="9" t="str">
        <x:v>EV-AR-HU-A-B-TECH-3-B1-RCN-G0</x:v>
      </x:c>
      <x:c r="D1892" s="9" t="str">
        <x:v>AR-HU-A-B-TECH-3-B1-RCN-G0</x:v>
      </x:c>
      <x:c r="E1892" s="9" t="str">
        <x:v>HU-A-B-TECH-3</x:v>
      </x:c>
      <x:c r="F1892" s="9" t="str">
        <x:v>HU-A-B</x:v>
      </x:c>
      <x:c r="G1892" s="9" t="str">
        <x:v>B1</x:v>
      </x:c>
      <x:c r="H1892" s="9" t="str">
        <x:v>RCN</x:v>
      </x:c>
      <x:c r="I1892" s="9" t="str">
        <x:v>PD14</x:v>
      </x:c>
      <x:c r="J1892" s="17" t="str">
        <x:v>Break and residual account</x:v>
      </x:c>
      <x:c r="K1892" s="17" t="str">
        <x:v>Residual authority</x:v>
      </x:c>
      <x:c r="L1892" s="17" t="str">
        <x:v>COURT-SEALED UNTIL COHORT RELEASE</x:v>
      </x:c>
      <x:c r="M1892" s="9" t="n">
        <x:v>0</x:v>
      </x:c>
      <x:c r="N1892" s="9" t="n">
        <x:v>0</x:v>
      </x:c>
      <x:c r="O1892" s="9" t="n">
        <x:v>0</x:v>
      </x:c>
      <x:c r="P1892" s="9" t="str">
        <x:v>HELD / UNRELEASED</x:v>
      </x:c>
      <x:c r="Q1892" s="9" t="n">
        <x:f>COUNTIFS($A$7:$A$2310,A1892)</x:f>
        <x:v>1</x:v>
      </x:c>
    </x:row>
    <x:row r="1893">
      <x:c r="A1893" s="9" t="str">
        <x:v>PD-AR-HU-A-B-TECH-3-B1-RCN-G0-PD15</x:v>
      </x:c>
      <x:c r="B1893" s="9" t="str">
        <x:v>PD-AR-HU-A-B-TECH-3-B1-RCN-G0</x:v>
      </x:c>
      <x:c r="C1893" s="9" t="str">
        <x:v>EV-AR-HU-A-B-TECH-3-B1-RCN-G0</x:v>
      </x:c>
      <x:c r="D1893" s="9" t="str">
        <x:v>AR-HU-A-B-TECH-3-B1-RCN-G0</x:v>
      </x:c>
      <x:c r="E1893" s="9" t="str">
        <x:v>HU-A-B-TECH-3</x:v>
      </x:c>
      <x:c r="F1893" s="9" t="str">
        <x:v>HU-A-B</x:v>
      </x:c>
      <x:c r="G1893" s="9" t="str">
        <x:v>B1</x:v>
      </x:c>
      <x:c r="H1893" s="9" t="str">
        <x:v>RCN</x:v>
      </x:c>
      <x:c r="I1893" s="9" t="str">
        <x:v>PD15</x:v>
      </x:c>
      <x:c r="J1893" s="17" t="str">
        <x:v>Reconstruction ancestry and replay</x:v>
      </x:c>
      <x:c r="K1893" s="17" t="str">
        <x:v>Reconstruction court</x:v>
      </x:c>
      <x:c r="L1893" s="17" t="str">
        <x:v>COURT-SEALED UNTIL COHORT RELEASE</x:v>
      </x:c>
      <x:c r="M1893" s="9" t="n">
        <x:v>0</x:v>
      </x:c>
      <x:c r="N1893" s="9" t="n">
        <x:v>0</x:v>
      </x:c>
      <x:c r="O1893" s="9" t="n">
        <x:v>0</x:v>
      </x:c>
      <x:c r="P1893" s="9" t="str">
        <x:v>HELD / UNRELEASED</x:v>
      </x:c>
      <x:c r="Q1893" s="9" t="n">
        <x:f>COUNTIFS($A$7:$A$2310,A1893)</x:f>
        <x:v>1</x:v>
      </x:c>
    </x:row>
    <x:row r="1894">
      <x:c r="A1894" s="9" t="str">
        <x:v>PD-AR-HU-A-B-TECH-3-B1-RCN-G0-PD16</x:v>
      </x:c>
      <x:c r="B1894" s="9" t="str">
        <x:v>PD-AR-HU-A-B-TECH-3-B1-RCN-G0</x:v>
      </x:c>
      <x:c r="C1894" s="9" t="str">
        <x:v>EV-AR-HU-A-B-TECH-3-B1-RCN-G0</x:v>
      </x:c>
      <x:c r="D1894" s="9" t="str">
        <x:v>AR-HU-A-B-TECH-3-B1-RCN-G0</x:v>
      </x:c>
      <x:c r="E1894" s="9" t="str">
        <x:v>HU-A-B-TECH-3</x:v>
      </x:c>
      <x:c r="F1894" s="9" t="str">
        <x:v>HU-A-B</x:v>
      </x:c>
      <x:c r="G1894" s="9" t="str">
        <x:v>B1</x:v>
      </x:c>
      <x:c r="H1894" s="9" t="str">
        <x:v>RCN</x:v>
      </x:c>
      <x:c r="I1894" s="9" t="str">
        <x:v>PD16</x:v>
      </x:c>
      <x:c r="J1894" s="17" t="str">
        <x:v>Dissent, amendments and access log</x:v>
      </x:c>
      <x:c r="K1894" s="17" t="str">
        <x:v>Public archive</x:v>
      </x:c>
      <x:c r="L1894" s="17" t="str">
        <x:v>COURT-SEALED UNTIL COHORT RELEASE</x:v>
      </x:c>
      <x:c r="M1894" s="9" t="n">
        <x:v>0</x:v>
      </x:c>
      <x:c r="N1894" s="9" t="n">
        <x:v>0</x:v>
      </x:c>
      <x:c r="O1894" s="9" t="n">
        <x:v>0</x:v>
      </x:c>
      <x:c r="P1894" s="9" t="str">
        <x:v>HELD / UNRELEASED</x:v>
      </x:c>
      <x:c r="Q1894" s="9" t="n">
        <x:f>COUNTIFS($A$7:$A$2310,A1894)</x:f>
        <x:v>1</x:v>
      </x:c>
    </x:row>
    <x:row r="1895">
      <x:c r="A1895" s="9" t="str">
        <x:v>PD-AR-LF-B-A-TECH-1-B2-INT-G0-PD01</x:v>
      </x:c>
      <x:c r="B1895" s="9" t="str">
        <x:v>PD-AR-LF-B-A-TECH-1-B2-INT-G0</x:v>
      </x:c>
      <x:c r="C1895" s="9" t="str">
        <x:v>EV-AR-LF-B-A-TECH-1-B2-INT-G0</x:v>
      </x:c>
      <x:c r="D1895" s="9" t="str">
        <x:v>AR-LF-B-A-TECH-1-B2-INT-G0</x:v>
      </x:c>
      <x:c r="E1895" s="9" t="str">
        <x:v>LF-B-A-TECH-1</x:v>
      </x:c>
      <x:c r="F1895" s="9" t="str">
        <x:v>LF-B-A</x:v>
      </x:c>
      <x:c r="G1895" s="9" t="str">
        <x:v>B2</x:v>
      </x:c>
      <x:c r="H1895" s="9" t="str">
        <x:v>INT</x:v>
      </x:c>
      <x:c r="I1895" s="9" t="str">
        <x:v>PD01</x:v>
      </x:c>
      <x:c r="J1895" s="17" t="str">
        <x:v>Experiment kernel</x:v>
      </x:c>
      <x:c r="K1895" s="17" t="str">
        <x:v>Public archive</x:v>
      </x:c>
      <x:c r="L1895" s="17" t="str">
        <x:v>COURT-SEALED UNTIL COHORT RELEASE</x:v>
      </x:c>
      <x:c r="M1895" s="9" t="n">
        <x:v>0</x:v>
      </x:c>
      <x:c r="N1895" s="9" t="n">
        <x:v>0</x:v>
      </x:c>
      <x:c r="O1895" s="9" t="n">
        <x:v>0</x:v>
      </x:c>
      <x:c r="P1895" s="9" t="str">
        <x:v>HELD / UNRELEASED</x:v>
      </x:c>
      <x:c r="Q1895" s="9" t="n">
        <x:f>COUNTIFS($A$7:$A$2310,A1895)</x:f>
        <x:v>1</x:v>
      </x:c>
    </x:row>
    <x:row r="1896">
      <x:c r="A1896" s="9" t="str">
        <x:v>PD-AR-LF-B-A-TECH-1-B2-INT-G0-PD02</x:v>
      </x:c>
      <x:c r="B1896" s="9" t="str">
        <x:v>PD-AR-LF-B-A-TECH-1-B2-INT-G0</x:v>
      </x:c>
      <x:c r="C1896" s="9" t="str">
        <x:v>EV-AR-LF-B-A-TECH-1-B2-INT-G0</x:v>
      </x:c>
      <x:c r="D1896" s="9" t="str">
        <x:v>AR-LF-B-A-TECH-1-B2-INT-G0</x:v>
      </x:c>
      <x:c r="E1896" s="9" t="str">
        <x:v>LF-B-A-TECH-1</x:v>
      </x:c>
      <x:c r="F1896" s="9" t="str">
        <x:v>LF-B-A</x:v>
      </x:c>
      <x:c r="G1896" s="9" t="str">
        <x:v>B2</x:v>
      </x:c>
      <x:c r="H1896" s="9" t="str">
        <x:v>INT</x:v>
      </x:c>
      <x:c r="I1896" s="9" t="str">
        <x:v>PD02</x:v>
      </x:c>
      <x:c r="J1896" s="17" t="str">
        <x:v>Serial annex and title chain</x:v>
      </x:c>
      <x:c r="K1896" s="17" t="str">
        <x:v>Public archive</x:v>
      </x:c>
      <x:c r="L1896" s="17" t="str">
        <x:v>COURT-SEALED UNTIL COHORT RELEASE</x:v>
      </x:c>
      <x:c r="M1896" s="9" t="n">
        <x:v>0</x:v>
      </x:c>
      <x:c r="N1896" s="9" t="n">
        <x:v>0</x:v>
      </x:c>
      <x:c r="O1896" s="9" t="n">
        <x:v>0</x:v>
      </x:c>
      <x:c r="P1896" s="9" t="str">
        <x:v>HELD / UNRELEASED</x:v>
      </x:c>
      <x:c r="Q1896" s="9" t="n">
        <x:f>COUNTIFS($A$7:$A$2310,A1896)</x:f>
        <x:v>1</x:v>
      </x:c>
    </x:row>
    <x:row r="1897">
      <x:c r="A1897" s="9" t="str">
        <x:v>PD-AR-LF-B-A-TECH-1-B2-INT-G0-PD03</x:v>
      </x:c>
      <x:c r="B1897" s="9" t="str">
        <x:v>PD-AR-LF-B-A-TECH-1-B2-INT-G0</x:v>
      </x:c>
      <x:c r="C1897" s="9" t="str">
        <x:v>EV-AR-LF-B-A-TECH-1-B2-INT-G0</x:v>
      </x:c>
      <x:c r="D1897" s="9" t="str">
        <x:v>AR-LF-B-A-TECH-1-B2-INT-G0</x:v>
      </x:c>
      <x:c r="E1897" s="9" t="str">
        <x:v>LF-B-A-TECH-1</x:v>
      </x:c>
      <x:c r="F1897" s="9" t="str">
        <x:v>LF-B-A</x:v>
      </x:c>
      <x:c r="G1897" s="9" t="str">
        <x:v>B2</x:v>
      </x:c>
      <x:c r="H1897" s="9" t="str">
        <x:v>INT</x:v>
      </x:c>
      <x:c r="I1897" s="9" t="str">
        <x:v>PD03</x:v>
      </x:c>
      <x:c r="J1897" s="17" t="str">
        <x:v>Configuration and as-built manifest</x:v>
      </x:c>
      <x:c r="K1897" s="17" t="str">
        <x:v>Artifact exchange</x:v>
      </x:c>
      <x:c r="L1897" s="17" t="str">
        <x:v>COURT-SEALED UNTIL COHORT RELEASE</x:v>
      </x:c>
      <x:c r="M1897" s="9" t="n">
        <x:v>0</x:v>
      </x:c>
      <x:c r="N1897" s="9" t="n">
        <x:v>0</x:v>
      </x:c>
      <x:c r="O1897" s="9" t="n">
        <x:v>0</x:v>
      </x:c>
      <x:c r="P1897" s="9" t="str">
        <x:v>HELD / UNRELEASED</x:v>
      </x:c>
      <x:c r="Q1897" s="9" t="n">
        <x:f>COUNTIFS($A$7:$A$2310,A1897)</x:f>
        <x:v>1</x:v>
      </x:c>
    </x:row>
    <x:row r="1898">
      <x:c r="A1898" s="9" t="str">
        <x:v>PD-AR-LF-B-A-TECH-1-B2-INT-G0-PD04</x:v>
      </x:c>
      <x:c r="B1898" s="9" t="str">
        <x:v>PD-AR-LF-B-A-TECH-1-B2-INT-G0</x:v>
      </x:c>
      <x:c r="C1898" s="9" t="str">
        <x:v>EV-AR-LF-B-A-TECH-1-B2-INT-G0</x:v>
      </x:c>
      <x:c r="D1898" s="9" t="str">
        <x:v>AR-LF-B-A-TECH-1-B2-INT-G0</x:v>
      </x:c>
      <x:c r="E1898" s="9" t="str">
        <x:v>LF-B-A-TECH-1</x:v>
      </x:c>
      <x:c r="F1898" s="9" t="str">
        <x:v>LF-B-A</x:v>
      </x:c>
      <x:c r="G1898" s="9" t="str">
        <x:v>B2</x:v>
      </x:c>
      <x:c r="H1898" s="9" t="str">
        <x:v>INT</x:v>
      </x:c>
      <x:c r="I1898" s="9" t="str">
        <x:v>PD04</x:v>
      </x:c>
      <x:c r="J1898" s="17" t="str">
        <x:v>EOW and start certificate</x:v>
      </x:c>
      <x:c r="K1898" s="17" t="str">
        <x:v>Start registrar</x:v>
      </x:c>
      <x:c r="L1898" s="17" t="str">
        <x:v>COURT-SEALED UNTIL COHORT RELEASE</x:v>
      </x:c>
      <x:c r="M1898" s="9" t="n">
        <x:v>0</x:v>
      </x:c>
      <x:c r="N1898" s="9" t="n">
        <x:v>0</x:v>
      </x:c>
      <x:c r="O1898" s="9" t="n">
        <x:v>0</x:v>
      </x:c>
      <x:c r="P1898" s="9" t="str">
        <x:v>HELD / UNRELEASED</x:v>
      </x:c>
      <x:c r="Q1898" s="9" t="n">
        <x:f>COUNTIFS($A$7:$A$2310,A1898)</x:f>
        <x:v>1</x:v>
      </x:c>
    </x:row>
    <x:row r="1899">
      <x:c r="A1899" s="9" t="str">
        <x:v>PD-AR-LF-B-A-TECH-1-B2-INT-G0-PD05</x:v>
      </x:c>
      <x:c r="B1899" s="9" t="str">
        <x:v>PD-AR-LF-B-A-TECH-1-B2-INT-G0</x:v>
      </x:c>
      <x:c r="C1899" s="9" t="str">
        <x:v>EV-AR-LF-B-A-TECH-1-B2-INT-G0</x:v>
      </x:c>
      <x:c r="D1899" s="9" t="str">
        <x:v>AR-LF-B-A-TECH-1-B2-INT-G0</x:v>
      </x:c>
      <x:c r="E1899" s="9" t="str">
        <x:v>LF-B-A-TECH-1</x:v>
      </x:c>
      <x:c r="F1899" s="9" t="str">
        <x:v>LF-B-A</x:v>
      </x:c>
      <x:c r="G1899" s="9" t="str">
        <x:v>B2</x:v>
      </x:c>
      <x:c r="H1899" s="9" t="str">
        <x:v>INT</x:v>
      </x:c>
      <x:c r="I1899" s="9" t="str">
        <x:v>PD05</x:v>
      </x:c>
      <x:c r="J1899" s="17" t="str">
        <x:v>Primary raw originals</x:v>
      </x:c>
      <x:c r="K1899" s="17" t="str">
        <x:v>Primary custody</x:v>
      </x:c>
      <x:c r="L1899" s="17" t="str">
        <x:v>COURT-SEALED UNTIL COHORT RELEASE</x:v>
      </x:c>
      <x:c r="M1899" s="9" t="n">
        <x:v>0</x:v>
      </x:c>
      <x:c r="N1899" s="9" t="n">
        <x:v>0</x:v>
      </x:c>
      <x:c r="O1899" s="9" t="n">
        <x:v>0</x:v>
      </x:c>
      <x:c r="P1899" s="9" t="str">
        <x:v>HELD / UNRELEASED</x:v>
      </x:c>
      <x:c r="Q1899" s="9" t="n">
        <x:f>COUNTIFS($A$7:$A$2310,A1899)</x:f>
        <x:v>1</x:v>
      </x:c>
    </x:row>
    <x:row r="1900">
      <x:c r="A1900" s="9" t="str">
        <x:v>PD-AR-LF-B-A-TECH-1-B2-INT-G0-PD06</x:v>
      </x:c>
      <x:c r="B1900" s="9" t="str">
        <x:v>PD-AR-LF-B-A-TECH-1-B2-INT-G0</x:v>
      </x:c>
      <x:c r="C1900" s="9" t="str">
        <x:v>EV-AR-LF-B-A-TECH-1-B2-INT-G0</x:v>
      </x:c>
      <x:c r="D1900" s="9" t="str">
        <x:v>AR-LF-B-A-TECH-1-B2-INT-G0</x:v>
      </x:c>
      <x:c r="E1900" s="9" t="str">
        <x:v>LF-B-A-TECH-1</x:v>
      </x:c>
      <x:c r="F1900" s="9" t="str">
        <x:v>LF-B-A</x:v>
      </x:c>
      <x:c r="G1900" s="9" t="str">
        <x:v>B2</x:v>
      </x:c>
      <x:c r="H1900" s="9" t="str">
        <x:v>INT</x:v>
      </x:c>
      <x:c r="I1900" s="9" t="str">
        <x:v>PD06</x:v>
      </x:c>
      <x:c r="J1900" s="17" t="str">
        <x:v>Witness raw originals</x:v>
      </x:c>
      <x:c r="K1900" s="17" t="str">
        <x:v>Witness custody</x:v>
      </x:c>
      <x:c r="L1900" s="17" t="str">
        <x:v>COURT-SEALED UNTIL COHORT RELEASE</x:v>
      </x:c>
      <x:c r="M1900" s="9" t="n">
        <x:v>0</x:v>
      </x:c>
      <x:c r="N1900" s="9" t="n">
        <x:v>0</x:v>
      </x:c>
      <x:c r="O1900" s="9" t="n">
        <x:v>0</x:v>
      </x:c>
      <x:c r="P1900" s="9" t="str">
        <x:v>HELD / UNRELEASED</x:v>
      </x:c>
      <x:c r="Q1900" s="9" t="n">
        <x:f>COUNTIFS($A$7:$A$2310,A1900)</x:f>
        <x:v>1</x:v>
      </x:c>
    </x:row>
    <x:row r="1901">
      <x:c r="A1901" s="9" t="str">
        <x:v>PD-AR-LF-B-A-TECH-1-B2-INT-G0-PD07</x:v>
      </x:c>
      <x:c r="B1901" s="9" t="str">
        <x:v>PD-AR-LF-B-A-TECH-1-B2-INT-G0</x:v>
      </x:c>
      <x:c r="C1901" s="9" t="str">
        <x:v>EV-AR-LF-B-A-TECH-1-B2-INT-G0</x:v>
      </x:c>
      <x:c r="D1901" s="9" t="str">
        <x:v>AR-LF-B-A-TECH-1-B2-INT-G0</x:v>
      </x:c>
      <x:c r="E1901" s="9" t="str">
        <x:v>LF-B-A-TECH-1</x:v>
      </x:c>
      <x:c r="F1901" s="9" t="str">
        <x:v>LF-B-A</x:v>
      </x:c>
      <x:c r="G1901" s="9" t="str">
        <x:v>B2</x:v>
      </x:c>
      <x:c r="H1901" s="9" t="str">
        <x:v>INT</x:v>
      </x:c>
      <x:c r="I1901" s="9" t="str">
        <x:v>PD07</x:v>
      </x:c>
      <x:c r="J1901" s="17" t="str">
        <x:v>Clock and environmental records</x:v>
      </x:c>
      <x:c r="K1901" s="17" t="str">
        <x:v>Boundary archive</x:v>
      </x:c>
      <x:c r="L1901" s="17" t="str">
        <x:v>COURT-SEALED UNTIL COHORT RELEASE</x:v>
      </x:c>
      <x:c r="M1901" s="9" t="n">
        <x:v>0</x:v>
      </x:c>
      <x:c r="N1901" s="9" t="n">
        <x:v>0</x:v>
      </x:c>
      <x:c r="O1901" s="9" t="n">
        <x:v>0</x:v>
      </x:c>
      <x:c r="P1901" s="9" t="str">
        <x:v>HELD / UNRELEASED</x:v>
      </x:c>
      <x:c r="Q1901" s="9" t="n">
        <x:f>COUNTIFS($A$7:$A$2310,A1901)</x:f>
        <x:v>1</x:v>
      </x:c>
    </x:row>
    <x:row r="1902">
      <x:c r="A1902" s="9" t="str">
        <x:v>PD-AR-LF-B-A-TECH-1-B2-INT-G0-PD08</x:v>
      </x:c>
      <x:c r="B1902" s="9" t="str">
        <x:v>PD-AR-LF-B-A-TECH-1-B2-INT-G0</x:v>
      </x:c>
      <x:c r="C1902" s="9" t="str">
        <x:v>EV-AR-LF-B-A-TECH-1-B2-INT-G0</x:v>
      </x:c>
      <x:c r="D1902" s="9" t="str">
        <x:v>AR-LF-B-A-TECH-1-B2-INT-G0</x:v>
      </x:c>
      <x:c r="E1902" s="9" t="str">
        <x:v>LF-B-A-TECH-1</x:v>
      </x:c>
      <x:c r="F1902" s="9" t="str">
        <x:v>LF-B-A</x:v>
      </x:c>
      <x:c r="G1902" s="9" t="str">
        <x:v>B2</x:v>
      </x:c>
      <x:c r="H1902" s="9" t="str">
        <x:v>INT</x:v>
      </x:c>
      <x:c r="I1902" s="9" t="str">
        <x:v>PD08</x:v>
      </x:c>
      <x:c r="J1902" s="17" t="str">
        <x:v>Command and intervention log</x:v>
      </x:c>
      <x:c r="K1902" s="17" t="str">
        <x:v>Safety archive</x:v>
      </x:c>
      <x:c r="L1902" s="17" t="str">
        <x:v>COURT-SEALED UNTIL COHORT RELEASE</x:v>
      </x:c>
      <x:c r="M1902" s="9" t="n">
        <x:v>0</x:v>
      </x:c>
      <x:c r="N1902" s="9" t="n">
        <x:v>0</x:v>
      </x:c>
      <x:c r="O1902" s="9" t="n">
        <x:v>0</x:v>
      </x:c>
      <x:c r="P1902" s="9" t="str">
        <x:v>HELD / UNRELEASED</x:v>
      </x:c>
      <x:c r="Q1902" s="9" t="n">
        <x:f>COUNTIFS($A$7:$A$2310,A1902)</x:f>
        <x:v>1</x:v>
      </x:c>
    </x:row>
    <x:row r="1903">
      <x:c r="A1903" s="9" t="str">
        <x:v>PD-AR-LF-B-A-TECH-1-B2-INT-G0-PD09</x:v>
      </x:c>
      <x:c r="B1903" s="9" t="str">
        <x:v>PD-AR-LF-B-A-TECH-1-B2-INT-G0</x:v>
      </x:c>
      <x:c r="C1903" s="9" t="str">
        <x:v>EV-AR-LF-B-A-TECH-1-B2-INT-G0</x:v>
      </x:c>
      <x:c r="D1903" s="9" t="str">
        <x:v>AR-LF-B-A-TECH-1-B2-INT-G0</x:v>
      </x:c>
      <x:c r="E1903" s="9" t="str">
        <x:v>LF-B-A-TECH-1</x:v>
      </x:c>
      <x:c r="F1903" s="9" t="str">
        <x:v>LF-B-A</x:v>
      </x:c>
      <x:c r="G1903" s="9" t="str">
        <x:v>B2</x:v>
      </x:c>
      <x:c r="H1903" s="9" t="str">
        <x:v>INT</x:v>
      </x:c>
      <x:c r="I1903" s="9" t="str">
        <x:v>PD09</x:v>
      </x:c>
      <x:c r="J1903" s="17" t="str">
        <x:v>Receiver denominator and service ledger</x:v>
      </x:c>
      <x:c r="K1903" s="17" t="str">
        <x:v>Receiver archive</x:v>
      </x:c>
      <x:c r="L1903" s="17" t="str">
        <x:v>COURT-SEALED UNTIL COHORT RELEASE</x:v>
      </x:c>
      <x:c r="M1903" s="9" t="n">
        <x:v>0</x:v>
      </x:c>
      <x:c r="N1903" s="9" t="n">
        <x:v>0</x:v>
      </x:c>
      <x:c r="O1903" s="9" t="n">
        <x:v>0</x:v>
      </x:c>
      <x:c r="P1903" s="9" t="str">
        <x:v>HELD / UNRELEASED</x:v>
      </x:c>
      <x:c r="Q1903" s="9" t="n">
        <x:f>COUNTIFS($A$7:$A$2310,A1903)</x:f>
        <x:v>1</x:v>
      </x:c>
    </x:row>
    <x:row r="1904">
      <x:c r="A1904" s="9" t="str">
        <x:v>PD-AR-LF-B-A-TECH-1-B2-INT-G0-PD10</x:v>
      </x:c>
      <x:c r="B1904" s="9" t="str">
        <x:v>PD-AR-LF-B-A-TECH-1-B2-INT-G0</x:v>
      </x:c>
      <x:c r="C1904" s="9" t="str">
        <x:v>EV-AR-LF-B-A-TECH-1-B2-INT-G0</x:v>
      </x:c>
      <x:c r="D1904" s="9" t="str">
        <x:v>AR-LF-B-A-TECH-1-B2-INT-G0</x:v>
      </x:c>
      <x:c r="E1904" s="9" t="str">
        <x:v>LF-B-A-TECH-1</x:v>
      </x:c>
      <x:c r="F1904" s="9" t="str">
        <x:v>LF-B-A</x:v>
      </x:c>
      <x:c r="G1904" s="9" t="str">
        <x:v>B2</x:v>
      </x:c>
      <x:c r="H1904" s="9" t="str">
        <x:v>INT</x:v>
      </x:c>
      <x:c r="I1904" s="9" t="str">
        <x:v>PD10</x:v>
      </x:c>
      <x:c r="J1904" s="17" t="str">
        <x:v>Calibration and uncertainty record</x:v>
      </x:c>
      <x:c r="K1904" s="17" t="str">
        <x:v>Metrology archive</x:v>
      </x:c>
      <x:c r="L1904" s="17" t="str">
        <x:v>COURT-SEALED UNTIL COHORT RELEASE</x:v>
      </x:c>
      <x:c r="M1904" s="9" t="n">
        <x:v>0</x:v>
      </x:c>
      <x:c r="N1904" s="9" t="n">
        <x:v>0</x:v>
      </x:c>
      <x:c r="O1904" s="9" t="n">
        <x:v>0</x:v>
      </x:c>
      <x:c r="P1904" s="9" t="str">
        <x:v>HELD / UNRELEASED</x:v>
      </x:c>
      <x:c r="Q1904" s="9" t="n">
        <x:f>COUNTIFS($A$7:$A$2310,A1904)</x:f>
        <x:v>1</x:v>
      </x:c>
    </x:row>
    <x:row r="1905">
      <x:c r="A1905" s="9" t="str">
        <x:v>PD-AR-LF-B-A-TECH-1-B2-INT-G0-PD11</x:v>
      </x:c>
      <x:c r="B1905" s="9" t="str">
        <x:v>PD-AR-LF-B-A-TECH-1-B2-INT-G0</x:v>
      </x:c>
      <x:c r="C1905" s="9" t="str">
        <x:v>EV-AR-LF-B-A-TECH-1-B2-INT-G0</x:v>
      </x:c>
      <x:c r="D1905" s="9" t="str">
        <x:v>AR-LF-B-A-TECH-1-B2-INT-G0</x:v>
      </x:c>
      <x:c r="E1905" s="9" t="str">
        <x:v>LF-B-A-TECH-1</x:v>
      </x:c>
      <x:c r="F1905" s="9" t="str">
        <x:v>LF-B-A</x:v>
      </x:c>
      <x:c r="G1905" s="9" t="str">
        <x:v>B2</x:v>
      </x:c>
      <x:c r="H1905" s="9" t="str">
        <x:v>INT</x:v>
      </x:c>
      <x:c r="I1905" s="9" t="str">
        <x:v>PD11</x:v>
      </x:c>
      <x:c r="J1905" s="17" t="str">
        <x:v>Invalidity petition and opinion</x:v>
      </x:c>
      <x:c r="K1905" s="17" t="str">
        <x:v>Invalidity court</x:v>
      </x:c>
      <x:c r="L1905" s="17" t="str">
        <x:v>COURT-SEALED UNTIL COHORT RELEASE</x:v>
      </x:c>
      <x:c r="M1905" s="9" t="n">
        <x:v>0</x:v>
      </x:c>
      <x:c r="N1905" s="9" t="n">
        <x:v>0</x:v>
      </x:c>
      <x:c r="O1905" s="9" t="n">
        <x:v>0</x:v>
      </x:c>
      <x:c r="P1905" s="9" t="str">
        <x:v>HELD / UNRELEASED</x:v>
      </x:c>
      <x:c r="Q1905" s="9" t="n">
        <x:f>COUNTIFS($A$7:$A$2310,A1905)</x:f>
        <x:v>1</x:v>
      </x:c>
    </x:row>
    <x:row r="1906">
      <x:c r="A1906" s="9" t="str">
        <x:v>PD-AR-LF-B-A-TECH-1-B2-INT-G0-PD12</x:v>
      </x:c>
      <x:c r="B1906" s="9" t="str">
        <x:v>PD-AR-LF-B-A-TECH-1-B2-INT-G0</x:v>
      </x:c>
      <x:c r="C1906" s="9" t="str">
        <x:v>EV-AR-LF-B-A-TECH-1-B2-INT-G0</x:v>
      </x:c>
      <x:c r="D1906" s="9" t="str">
        <x:v>AR-LF-B-A-TECH-1-B2-INT-G0</x:v>
      </x:c>
      <x:c r="E1906" s="9" t="str">
        <x:v>LF-B-A-TECH-1</x:v>
      </x:c>
      <x:c r="F1906" s="9" t="str">
        <x:v>LF-B-A</x:v>
      </x:c>
      <x:c r="G1906" s="9" t="str">
        <x:v>B2</x:v>
      </x:c>
      <x:c r="H1906" s="9" t="str">
        <x:v>INT</x:v>
      </x:c>
      <x:c r="I1906" s="9" t="str">
        <x:v>PD12</x:v>
      </x:c>
      <x:c r="J1906" s="17" t="str">
        <x:v>Observation acceptance and replay</x:v>
      </x:c>
      <x:c r="K1906" s="17" t="str">
        <x:v>Observation court</x:v>
      </x:c>
      <x:c r="L1906" s="17" t="str">
        <x:v>COURT-SEALED UNTIL COHORT RELEASE</x:v>
      </x:c>
      <x:c r="M1906" s="9" t="n">
        <x:v>0</x:v>
      </x:c>
      <x:c r="N1906" s="9" t="n">
        <x:v>0</x:v>
      </x:c>
      <x:c r="O1906" s="9" t="n">
        <x:v>0</x:v>
      </x:c>
      <x:c r="P1906" s="9" t="str">
        <x:v>HELD / UNRELEASED</x:v>
      </x:c>
      <x:c r="Q1906" s="9" t="n">
        <x:f>COUNTIFS($A$7:$A$2310,A1906)</x:f>
        <x:v>1</x:v>
      </x:c>
    </x:row>
    <x:row r="1907">
      <x:c r="A1907" s="9" t="str">
        <x:v>PD-AR-LF-B-A-TECH-1-B2-INT-G0-PD13</x:v>
      </x:c>
      <x:c r="B1907" s="9" t="str">
        <x:v>PD-AR-LF-B-A-TECH-1-B2-INT-G0</x:v>
      </x:c>
      <x:c r="C1907" s="9" t="str">
        <x:v>EV-AR-LF-B-A-TECH-1-B2-INT-G0</x:v>
      </x:c>
      <x:c r="D1907" s="9" t="str">
        <x:v>AR-LF-B-A-TECH-1-B2-INT-G0</x:v>
      </x:c>
      <x:c r="E1907" s="9" t="str">
        <x:v>LF-B-A-TECH-1</x:v>
      </x:c>
      <x:c r="F1907" s="9" t="str">
        <x:v>LF-B-A</x:v>
      </x:c>
      <x:c r="G1907" s="9" t="str">
        <x:v>B2</x:v>
      </x:c>
      <x:c r="H1907" s="9" t="str">
        <x:v>INT</x:v>
      </x:c>
      <x:c r="I1907" s="9" t="str">
        <x:v>PD13</x:v>
      </x:c>
      <x:c r="J1907" s="17" t="str">
        <x:v>Role judgment</x:v>
      </x:c>
      <x:c r="K1907" s="17" t="str">
        <x:v>Role court</x:v>
      </x:c>
      <x:c r="L1907" s="17" t="str">
        <x:v>COURT-SEALED UNTIL COHORT RELEASE</x:v>
      </x:c>
      <x:c r="M1907" s="9" t="n">
        <x:v>0</x:v>
      </x:c>
      <x:c r="N1907" s="9" t="n">
        <x:v>0</x:v>
      </x:c>
      <x:c r="O1907" s="9" t="n">
        <x:v>0</x:v>
      </x:c>
      <x:c r="P1907" s="9" t="str">
        <x:v>HELD / UNRELEASED</x:v>
      </x:c>
      <x:c r="Q1907" s="9" t="n">
        <x:f>COUNTIFS($A$7:$A$2310,A1907)</x:f>
        <x:v>1</x:v>
      </x:c>
    </x:row>
    <x:row r="1908">
      <x:c r="A1908" s="9" t="str">
        <x:v>PD-AR-LF-B-A-TECH-1-B2-INT-G0-PD14</x:v>
      </x:c>
      <x:c r="B1908" s="9" t="str">
        <x:v>PD-AR-LF-B-A-TECH-1-B2-INT-G0</x:v>
      </x:c>
      <x:c r="C1908" s="9" t="str">
        <x:v>EV-AR-LF-B-A-TECH-1-B2-INT-G0</x:v>
      </x:c>
      <x:c r="D1908" s="9" t="str">
        <x:v>AR-LF-B-A-TECH-1-B2-INT-G0</x:v>
      </x:c>
      <x:c r="E1908" s="9" t="str">
        <x:v>LF-B-A-TECH-1</x:v>
      </x:c>
      <x:c r="F1908" s="9" t="str">
        <x:v>LF-B-A</x:v>
      </x:c>
      <x:c r="G1908" s="9" t="str">
        <x:v>B2</x:v>
      </x:c>
      <x:c r="H1908" s="9" t="str">
        <x:v>INT</x:v>
      </x:c>
      <x:c r="I1908" s="9" t="str">
        <x:v>PD14</x:v>
      </x:c>
      <x:c r="J1908" s="17" t="str">
        <x:v>Break and residual account</x:v>
      </x:c>
      <x:c r="K1908" s="17" t="str">
        <x:v>Residual authority</x:v>
      </x:c>
      <x:c r="L1908" s="17" t="str">
        <x:v>COURT-SEALED UNTIL COHORT RELEASE</x:v>
      </x:c>
      <x:c r="M1908" s="9" t="n">
        <x:v>0</x:v>
      </x:c>
      <x:c r="N1908" s="9" t="n">
        <x:v>0</x:v>
      </x:c>
      <x:c r="O1908" s="9" t="n">
        <x:v>0</x:v>
      </x:c>
      <x:c r="P1908" s="9" t="str">
        <x:v>HELD / UNRELEASED</x:v>
      </x:c>
      <x:c r="Q1908" s="9" t="n">
        <x:f>COUNTIFS($A$7:$A$2310,A1908)</x:f>
        <x:v>1</x:v>
      </x:c>
    </x:row>
    <x:row r="1909">
      <x:c r="A1909" s="9" t="str">
        <x:v>PD-AR-LF-B-A-TECH-1-B2-INT-G0-PD15</x:v>
      </x:c>
      <x:c r="B1909" s="9" t="str">
        <x:v>PD-AR-LF-B-A-TECH-1-B2-INT-G0</x:v>
      </x:c>
      <x:c r="C1909" s="9" t="str">
        <x:v>EV-AR-LF-B-A-TECH-1-B2-INT-G0</x:v>
      </x:c>
      <x:c r="D1909" s="9" t="str">
        <x:v>AR-LF-B-A-TECH-1-B2-INT-G0</x:v>
      </x:c>
      <x:c r="E1909" s="9" t="str">
        <x:v>LF-B-A-TECH-1</x:v>
      </x:c>
      <x:c r="F1909" s="9" t="str">
        <x:v>LF-B-A</x:v>
      </x:c>
      <x:c r="G1909" s="9" t="str">
        <x:v>B2</x:v>
      </x:c>
      <x:c r="H1909" s="9" t="str">
        <x:v>INT</x:v>
      </x:c>
      <x:c r="I1909" s="9" t="str">
        <x:v>PD15</x:v>
      </x:c>
      <x:c r="J1909" s="17" t="str">
        <x:v>Reconstruction ancestry and replay</x:v>
      </x:c>
      <x:c r="K1909" s="17" t="str">
        <x:v>Reconstruction court</x:v>
      </x:c>
      <x:c r="L1909" s="17" t="str">
        <x:v>COURT-SEALED UNTIL COHORT RELEASE</x:v>
      </x:c>
      <x:c r="M1909" s="9" t="n">
        <x:v>0</x:v>
      </x:c>
      <x:c r="N1909" s="9" t="n">
        <x:v>0</x:v>
      </x:c>
      <x:c r="O1909" s="9" t="n">
        <x:v>0</x:v>
      </x:c>
      <x:c r="P1909" s="9" t="str">
        <x:v>HELD / UNRELEASED</x:v>
      </x:c>
      <x:c r="Q1909" s="9" t="n">
        <x:f>COUNTIFS($A$7:$A$2310,A1909)</x:f>
        <x:v>1</x:v>
      </x:c>
    </x:row>
    <x:row r="1910">
      <x:c r="A1910" s="9" t="str">
        <x:v>PD-AR-LF-B-A-TECH-1-B2-INT-G0-PD16</x:v>
      </x:c>
      <x:c r="B1910" s="9" t="str">
        <x:v>PD-AR-LF-B-A-TECH-1-B2-INT-G0</x:v>
      </x:c>
      <x:c r="C1910" s="9" t="str">
        <x:v>EV-AR-LF-B-A-TECH-1-B2-INT-G0</x:v>
      </x:c>
      <x:c r="D1910" s="9" t="str">
        <x:v>AR-LF-B-A-TECH-1-B2-INT-G0</x:v>
      </x:c>
      <x:c r="E1910" s="9" t="str">
        <x:v>LF-B-A-TECH-1</x:v>
      </x:c>
      <x:c r="F1910" s="9" t="str">
        <x:v>LF-B-A</x:v>
      </x:c>
      <x:c r="G1910" s="9" t="str">
        <x:v>B2</x:v>
      </x:c>
      <x:c r="H1910" s="9" t="str">
        <x:v>INT</x:v>
      </x:c>
      <x:c r="I1910" s="9" t="str">
        <x:v>PD16</x:v>
      </x:c>
      <x:c r="J1910" s="17" t="str">
        <x:v>Dissent, amendments and access log</x:v>
      </x:c>
      <x:c r="K1910" s="17" t="str">
        <x:v>Public archive</x:v>
      </x:c>
      <x:c r="L1910" s="17" t="str">
        <x:v>COURT-SEALED UNTIL COHORT RELEASE</x:v>
      </x:c>
      <x:c r="M1910" s="9" t="n">
        <x:v>0</x:v>
      </x:c>
      <x:c r="N1910" s="9" t="n">
        <x:v>0</x:v>
      </x:c>
      <x:c r="O1910" s="9" t="n">
        <x:v>0</x:v>
      </x:c>
      <x:c r="P1910" s="9" t="str">
        <x:v>HELD / UNRELEASED</x:v>
      </x:c>
      <x:c r="Q1910" s="9" t="n">
        <x:f>COUNTIFS($A$7:$A$2310,A1910)</x:f>
        <x:v>1</x:v>
      </x:c>
    </x:row>
    <x:row r="1911">
      <x:c r="A1911" s="9" t="str">
        <x:v>PD-AR-RT-B-C-TECH-1-B2-RCN-G0-PD01</x:v>
      </x:c>
      <x:c r="B1911" s="9" t="str">
        <x:v>PD-AR-RT-B-C-TECH-1-B2-RCN-G0</x:v>
      </x:c>
      <x:c r="C1911" s="9" t="str">
        <x:v>EV-AR-RT-B-C-TECH-1-B2-RCN-G0</x:v>
      </x:c>
      <x:c r="D1911" s="9" t="str">
        <x:v>AR-RT-B-C-TECH-1-B2-RCN-G0</x:v>
      </x:c>
      <x:c r="E1911" s="9" t="str">
        <x:v>RT-B-C-TECH-1</x:v>
      </x:c>
      <x:c r="F1911" s="9" t="str">
        <x:v>RT-B-C</x:v>
      </x:c>
      <x:c r="G1911" s="9" t="str">
        <x:v>B2</x:v>
      </x:c>
      <x:c r="H1911" s="9" t="str">
        <x:v>RCN</x:v>
      </x:c>
      <x:c r="I1911" s="9" t="str">
        <x:v>PD01</x:v>
      </x:c>
      <x:c r="J1911" s="17" t="str">
        <x:v>Experiment kernel</x:v>
      </x:c>
      <x:c r="K1911" s="17" t="str">
        <x:v>Public archive</x:v>
      </x:c>
      <x:c r="L1911" s="17" t="str">
        <x:v>COURT-SEALED UNTIL COHORT RELEASE</x:v>
      </x:c>
      <x:c r="M1911" s="9" t="n">
        <x:v>0</x:v>
      </x:c>
      <x:c r="N1911" s="9" t="n">
        <x:v>0</x:v>
      </x:c>
      <x:c r="O1911" s="9" t="n">
        <x:v>0</x:v>
      </x:c>
      <x:c r="P1911" s="9" t="str">
        <x:v>HELD / UNRELEASED</x:v>
      </x:c>
      <x:c r="Q1911" s="9" t="n">
        <x:f>COUNTIFS($A$7:$A$2310,A1911)</x:f>
        <x:v>1</x:v>
      </x:c>
    </x:row>
    <x:row r="1912">
      <x:c r="A1912" s="9" t="str">
        <x:v>PD-AR-RT-B-C-TECH-1-B2-RCN-G0-PD02</x:v>
      </x:c>
      <x:c r="B1912" s="9" t="str">
        <x:v>PD-AR-RT-B-C-TECH-1-B2-RCN-G0</x:v>
      </x:c>
      <x:c r="C1912" s="9" t="str">
        <x:v>EV-AR-RT-B-C-TECH-1-B2-RCN-G0</x:v>
      </x:c>
      <x:c r="D1912" s="9" t="str">
        <x:v>AR-RT-B-C-TECH-1-B2-RCN-G0</x:v>
      </x:c>
      <x:c r="E1912" s="9" t="str">
        <x:v>RT-B-C-TECH-1</x:v>
      </x:c>
      <x:c r="F1912" s="9" t="str">
        <x:v>RT-B-C</x:v>
      </x:c>
      <x:c r="G1912" s="9" t="str">
        <x:v>B2</x:v>
      </x:c>
      <x:c r="H1912" s="9" t="str">
        <x:v>RCN</x:v>
      </x:c>
      <x:c r="I1912" s="9" t="str">
        <x:v>PD02</x:v>
      </x:c>
      <x:c r="J1912" s="17" t="str">
        <x:v>Serial annex and title chain</x:v>
      </x:c>
      <x:c r="K1912" s="17" t="str">
        <x:v>Public archive</x:v>
      </x:c>
      <x:c r="L1912" s="17" t="str">
        <x:v>COURT-SEALED UNTIL COHORT RELEASE</x:v>
      </x:c>
      <x:c r="M1912" s="9" t="n">
        <x:v>0</x:v>
      </x:c>
      <x:c r="N1912" s="9" t="n">
        <x:v>0</x:v>
      </x:c>
      <x:c r="O1912" s="9" t="n">
        <x:v>0</x:v>
      </x:c>
      <x:c r="P1912" s="9" t="str">
        <x:v>HELD / UNRELEASED</x:v>
      </x:c>
      <x:c r="Q1912" s="9" t="n">
        <x:f>COUNTIFS($A$7:$A$2310,A1912)</x:f>
        <x:v>1</x:v>
      </x:c>
    </x:row>
    <x:row r="1913">
      <x:c r="A1913" s="9" t="str">
        <x:v>PD-AR-RT-B-C-TECH-1-B2-RCN-G0-PD03</x:v>
      </x:c>
      <x:c r="B1913" s="9" t="str">
        <x:v>PD-AR-RT-B-C-TECH-1-B2-RCN-G0</x:v>
      </x:c>
      <x:c r="C1913" s="9" t="str">
        <x:v>EV-AR-RT-B-C-TECH-1-B2-RCN-G0</x:v>
      </x:c>
      <x:c r="D1913" s="9" t="str">
        <x:v>AR-RT-B-C-TECH-1-B2-RCN-G0</x:v>
      </x:c>
      <x:c r="E1913" s="9" t="str">
        <x:v>RT-B-C-TECH-1</x:v>
      </x:c>
      <x:c r="F1913" s="9" t="str">
        <x:v>RT-B-C</x:v>
      </x:c>
      <x:c r="G1913" s="9" t="str">
        <x:v>B2</x:v>
      </x:c>
      <x:c r="H1913" s="9" t="str">
        <x:v>RCN</x:v>
      </x:c>
      <x:c r="I1913" s="9" t="str">
        <x:v>PD03</x:v>
      </x:c>
      <x:c r="J1913" s="17" t="str">
        <x:v>Configuration and as-built manifest</x:v>
      </x:c>
      <x:c r="K1913" s="17" t="str">
        <x:v>Artifact exchange</x:v>
      </x:c>
      <x:c r="L1913" s="17" t="str">
        <x:v>COURT-SEALED UNTIL COHORT RELEASE</x:v>
      </x:c>
      <x:c r="M1913" s="9" t="n">
        <x:v>0</x:v>
      </x:c>
      <x:c r="N1913" s="9" t="n">
        <x:v>0</x:v>
      </x:c>
      <x:c r="O1913" s="9" t="n">
        <x:v>0</x:v>
      </x:c>
      <x:c r="P1913" s="9" t="str">
        <x:v>HELD / UNRELEASED</x:v>
      </x:c>
      <x:c r="Q1913" s="9" t="n">
        <x:f>COUNTIFS($A$7:$A$2310,A1913)</x:f>
        <x:v>1</x:v>
      </x:c>
    </x:row>
    <x:row r="1914">
      <x:c r="A1914" s="9" t="str">
        <x:v>PD-AR-RT-B-C-TECH-1-B2-RCN-G0-PD04</x:v>
      </x:c>
      <x:c r="B1914" s="9" t="str">
        <x:v>PD-AR-RT-B-C-TECH-1-B2-RCN-G0</x:v>
      </x:c>
      <x:c r="C1914" s="9" t="str">
        <x:v>EV-AR-RT-B-C-TECH-1-B2-RCN-G0</x:v>
      </x:c>
      <x:c r="D1914" s="9" t="str">
        <x:v>AR-RT-B-C-TECH-1-B2-RCN-G0</x:v>
      </x:c>
      <x:c r="E1914" s="9" t="str">
        <x:v>RT-B-C-TECH-1</x:v>
      </x:c>
      <x:c r="F1914" s="9" t="str">
        <x:v>RT-B-C</x:v>
      </x:c>
      <x:c r="G1914" s="9" t="str">
        <x:v>B2</x:v>
      </x:c>
      <x:c r="H1914" s="9" t="str">
        <x:v>RCN</x:v>
      </x:c>
      <x:c r="I1914" s="9" t="str">
        <x:v>PD04</x:v>
      </x:c>
      <x:c r="J1914" s="17" t="str">
        <x:v>EOW and start certificate</x:v>
      </x:c>
      <x:c r="K1914" s="17" t="str">
        <x:v>Start registrar</x:v>
      </x:c>
      <x:c r="L1914" s="17" t="str">
        <x:v>COURT-SEALED UNTIL COHORT RELEASE</x:v>
      </x:c>
      <x:c r="M1914" s="9" t="n">
        <x:v>0</x:v>
      </x:c>
      <x:c r="N1914" s="9" t="n">
        <x:v>0</x:v>
      </x:c>
      <x:c r="O1914" s="9" t="n">
        <x:v>0</x:v>
      </x:c>
      <x:c r="P1914" s="9" t="str">
        <x:v>HELD / UNRELEASED</x:v>
      </x:c>
      <x:c r="Q1914" s="9" t="n">
        <x:f>COUNTIFS($A$7:$A$2310,A1914)</x:f>
        <x:v>1</x:v>
      </x:c>
    </x:row>
    <x:row r="1915">
      <x:c r="A1915" s="9" t="str">
        <x:v>PD-AR-RT-B-C-TECH-1-B2-RCN-G0-PD05</x:v>
      </x:c>
      <x:c r="B1915" s="9" t="str">
        <x:v>PD-AR-RT-B-C-TECH-1-B2-RCN-G0</x:v>
      </x:c>
      <x:c r="C1915" s="9" t="str">
        <x:v>EV-AR-RT-B-C-TECH-1-B2-RCN-G0</x:v>
      </x:c>
      <x:c r="D1915" s="9" t="str">
        <x:v>AR-RT-B-C-TECH-1-B2-RCN-G0</x:v>
      </x:c>
      <x:c r="E1915" s="9" t="str">
        <x:v>RT-B-C-TECH-1</x:v>
      </x:c>
      <x:c r="F1915" s="9" t="str">
        <x:v>RT-B-C</x:v>
      </x:c>
      <x:c r="G1915" s="9" t="str">
        <x:v>B2</x:v>
      </x:c>
      <x:c r="H1915" s="9" t="str">
        <x:v>RCN</x:v>
      </x:c>
      <x:c r="I1915" s="9" t="str">
        <x:v>PD05</x:v>
      </x:c>
      <x:c r="J1915" s="17" t="str">
        <x:v>Primary raw originals</x:v>
      </x:c>
      <x:c r="K1915" s="17" t="str">
        <x:v>Primary custody</x:v>
      </x:c>
      <x:c r="L1915" s="17" t="str">
        <x:v>COURT-SEALED UNTIL COHORT RELEASE</x:v>
      </x:c>
      <x:c r="M1915" s="9" t="n">
        <x:v>0</x:v>
      </x:c>
      <x:c r="N1915" s="9" t="n">
        <x:v>0</x:v>
      </x:c>
      <x:c r="O1915" s="9" t="n">
        <x:v>0</x:v>
      </x:c>
      <x:c r="P1915" s="9" t="str">
        <x:v>HELD / UNRELEASED</x:v>
      </x:c>
      <x:c r="Q1915" s="9" t="n">
        <x:f>COUNTIFS($A$7:$A$2310,A1915)</x:f>
        <x:v>1</x:v>
      </x:c>
    </x:row>
    <x:row r="1916">
      <x:c r="A1916" s="9" t="str">
        <x:v>PD-AR-RT-B-C-TECH-1-B2-RCN-G0-PD06</x:v>
      </x:c>
      <x:c r="B1916" s="9" t="str">
        <x:v>PD-AR-RT-B-C-TECH-1-B2-RCN-G0</x:v>
      </x:c>
      <x:c r="C1916" s="9" t="str">
        <x:v>EV-AR-RT-B-C-TECH-1-B2-RCN-G0</x:v>
      </x:c>
      <x:c r="D1916" s="9" t="str">
        <x:v>AR-RT-B-C-TECH-1-B2-RCN-G0</x:v>
      </x:c>
      <x:c r="E1916" s="9" t="str">
        <x:v>RT-B-C-TECH-1</x:v>
      </x:c>
      <x:c r="F1916" s="9" t="str">
        <x:v>RT-B-C</x:v>
      </x:c>
      <x:c r="G1916" s="9" t="str">
        <x:v>B2</x:v>
      </x:c>
      <x:c r="H1916" s="9" t="str">
        <x:v>RCN</x:v>
      </x:c>
      <x:c r="I1916" s="9" t="str">
        <x:v>PD06</x:v>
      </x:c>
      <x:c r="J1916" s="17" t="str">
        <x:v>Witness raw originals</x:v>
      </x:c>
      <x:c r="K1916" s="17" t="str">
        <x:v>Witness custody</x:v>
      </x:c>
      <x:c r="L1916" s="17" t="str">
        <x:v>COURT-SEALED UNTIL COHORT RELEASE</x:v>
      </x:c>
      <x:c r="M1916" s="9" t="n">
        <x:v>0</x:v>
      </x:c>
      <x:c r="N1916" s="9" t="n">
        <x:v>0</x:v>
      </x:c>
      <x:c r="O1916" s="9" t="n">
        <x:v>0</x:v>
      </x:c>
      <x:c r="P1916" s="9" t="str">
        <x:v>HELD / UNRELEASED</x:v>
      </x:c>
      <x:c r="Q1916" s="9" t="n">
        <x:f>COUNTIFS($A$7:$A$2310,A1916)</x:f>
        <x:v>1</x:v>
      </x:c>
    </x:row>
    <x:row r="1917">
      <x:c r="A1917" s="9" t="str">
        <x:v>PD-AR-RT-B-C-TECH-1-B2-RCN-G0-PD07</x:v>
      </x:c>
      <x:c r="B1917" s="9" t="str">
        <x:v>PD-AR-RT-B-C-TECH-1-B2-RCN-G0</x:v>
      </x:c>
      <x:c r="C1917" s="9" t="str">
        <x:v>EV-AR-RT-B-C-TECH-1-B2-RCN-G0</x:v>
      </x:c>
      <x:c r="D1917" s="9" t="str">
        <x:v>AR-RT-B-C-TECH-1-B2-RCN-G0</x:v>
      </x:c>
      <x:c r="E1917" s="9" t="str">
        <x:v>RT-B-C-TECH-1</x:v>
      </x:c>
      <x:c r="F1917" s="9" t="str">
        <x:v>RT-B-C</x:v>
      </x:c>
      <x:c r="G1917" s="9" t="str">
        <x:v>B2</x:v>
      </x:c>
      <x:c r="H1917" s="9" t="str">
        <x:v>RCN</x:v>
      </x:c>
      <x:c r="I1917" s="9" t="str">
        <x:v>PD07</x:v>
      </x:c>
      <x:c r="J1917" s="17" t="str">
        <x:v>Clock and environmental records</x:v>
      </x:c>
      <x:c r="K1917" s="17" t="str">
        <x:v>Boundary archive</x:v>
      </x:c>
      <x:c r="L1917" s="17" t="str">
        <x:v>COURT-SEALED UNTIL COHORT RELEASE</x:v>
      </x:c>
      <x:c r="M1917" s="9" t="n">
        <x:v>0</x:v>
      </x:c>
      <x:c r="N1917" s="9" t="n">
        <x:v>0</x:v>
      </x:c>
      <x:c r="O1917" s="9" t="n">
        <x:v>0</x:v>
      </x:c>
      <x:c r="P1917" s="9" t="str">
        <x:v>HELD / UNRELEASED</x:v>
      </x:c>
      <x:c r="Q1917" s="9" t="n">
        <x:f>COUNTIFS($A$7:$A$2310,A1917)</x:f>
        <x:v>1</x:v>
      </x:c>
    </x:row>
    <x:row r="1918">
      <x:c r="A1918" s="9" t="str">
        <x:v>PD-AR-RT-B-C-TECH-1-B2-RCN-G0-PD08</x:v>
      </x:c>
      <x:c r="B1918" s="9" t="str">
        <x:v>PD-AR-RT-B-C-TECH-1-B2-RCN-G0</x:v>
      </x:c>
      <x:c r="C1918" s="9" t="str">
        <x:v>EV-AR-RT-B-C-TECH-1-B2-RCN-G0</x:v>
      </x:c>
      <x:c r="D1918" s="9" t="str">
        <x:v>AR-RT-B-C-TECH-1-B2-RCN-G0</x:v>
      </x:c>
      <x:c r="E1918" s="9" t="str">
        <x:v>RT-B-C-TECH-1</x:v>
      </x:c>
      <x:c r="F1918" s="9" t="str">
        <x:v>RT-B-C</x:v>
      </x:c>
      <x:c r="G1918" s="9" t="str">
        <x:v>B2</x:v>
      </x:c>
      <x:c r="H1918" s="9" t="str">
        <x:v>RCN</x:v>
      </x:c>
      <x:c r="I1918" s="9" t="str">
        <x:v>PD08</x:v>
      </x:c>
      <x:c r="J1918" s="17" t="str">
        <x:v>Command and intervention log</x:v>
      </x:c>
      <x:c r="K1918" s="17" t="str">
        <x:v>Safety archive</x:v>
      </x:c>
      <x:c r="L1918" s="17" t="str">
        <x:v>COURT-SEALED UNTIL COHORT RELEASE</x:v>
      </x:c>
      <x:c r="M1918" s="9" t="n">
        <x:v>0</x:v>
      </x:c>
      <x:c r="N1918" s="9" t="n">
        <x:v>0</x:v>
      </x:c>
      <x:c r="O1918" s="9" t="n">
        <x:v>0</x:v>
      </x:c>
      <x:c r="P1918" s="9" t="str">
        <x:v>HELD / UNRELEASED</x:v>
      </x:c>
      <x:c r="Q1918" s="9" t="n">
        <x:f>COUNTIFS($A$7:$A$2310,A1918)</x:f>
        <x:v>1</x:v>
      </x:c>
    </x:row>
    <x:row r="1919">
      <x:c r="A1919" s="9" t="str">
        <x:v>PD-AR-RT-B-C-TECH-1-B2-RCN-G0-PD09</x:v>
      </x:c>
      <x:c r="B1919" s="9" t="str">
        <x:v>PD-AR-RT-B-C-TECH-1-B2-RCN-G0</x:v>
      </x:c>
      <x:c r="C1919" s="9" t="str">
        <x:v>EV-AR-RT-B-C-TECH-1-B2-RCN-G0</x:v>
      </x:c>
      <x:c r="D1919" s="9" t="str">
        <x:v>AR-RT-B-C-TECH-1-B2-RCN-G0</x:v>
      </x:c>
      <x:c r="E1919" s="9" t="str">
        <x:v>RT-B-C-TECH-1</x:v>
      </x:c>
      <x:c r="F1919" s="9" t="str">
        <x:v>RT-B-C</x:v>
      </x:c>
      <x:c r="G1919" s="9" t="str">
        <x:v>B2</x:v>
      </x:c>
      <x:c r="H1919" s="9" t="str">
        <x:v>RCN</x:v>
      </x:c>
      <x:c r="I1919" s="9" t="str">
        <x:v>PD09</x:v>
      </x:c>
      <x:c r="J1919" s="17" t="str">
        <x:v>Receiver denominator and service ledger</x:v>
      </x:c>
      <x:c r="K1919" s="17" t="str">
        <x:v>Receiver archive</x:v>
      </x:c>
      <x:c r="L1919" s="17" t="str">
        <x:v>COURT-SEALED UNTIL COHORT RELEASE</x:v>
      </x:c>
      <x:c r="M1919" s="9" t="n">
        <x:v>0</x:v>
      </x:c>
      <x:c r="N1919" s="9" t="n">
        <x:v>0</x:v>
      </x:c>
      <x:c r="O1919" s="9" t="n">
        <x:v>0</x:v>
      </x:c>
      <x:c r="P1919" s="9" t="str">
        <x:v>HELD / UNRELEASED</x:v>
      </x:c>
      <x:c r="Q1919" s="9" t="n">
        <x:f>COUNTIFS($A$7:$A$2310,A1919)</x:f>
        <x:v>1</x:v>
      </x:c>
    </x:row>
    <x:row r="1920">
      <x:c r="A1920" s="9" t="str">
        <x:v>PD-AR-RT-B-C-TECH-1-B2-RCN-G0-PD10</x:v>
      </x:c>
      <x:c r="B1920" s="9" t="str">
        <x:v>PD-AR-RT-B-C-TECH-1-B2-RCN-G0</x:v>
      </x:c>
      <x:c r="C1920" s="9" t="str">
        <x:v>EV-AR-RT-B-C-TECH-1-B2-RCN-G0</x:v>
      </x:c>
      <x:c r="D1920" s="9" t="str">
        <x:v>AR-RT-B-C-TECH-1-B2-RCN-G0</x:v>
      </x:c>
      <x:c r="E1920" s="9" t="str">
        <x:v>RT-B-C-TECH-1</x:v>
      </x:c>
      <x:c r="F1920" s="9" t="str">
        <x:v>RT-B-C</x:v>
      </x:c>
      <x:c r="G1920" s="9" t="str">
        <x:v>B2</x:v>
      </x:c>
      <x:c r="H1920" s="9" t="str">
        <x:v>RCN</x:v>
      </x:c>
      <x:c r="I1920" s="9" t="str">
        <x:v>PD10</x:v>
      </x:c>
      <x:c r="J1920" s="17" t="str">
        <x:v>Calibration and uncertainty record</x:v>
      </x:c>
      <x:c r="K1920" s="17" t="str">
        <x:v>Metrology archive</x:v>
      </x:c>
      <x:c r="L1920" s="17" t="str">
        <x:v>COURT-SEALED UNTIL COHORT RELEASE</x:v>
      </x:c>
      <x:c r="M1920" s="9" t="n">
        <x:v>0</x:v>
      </x:c>
      <x:c r="N1920" s="9" t="n">
        <x:v>0</x:v>
      </x:c>
      <x:c r="O1920" s="9" t="n">
        <x:v>0</x:v>
      </x:c>
      <x:c r="P1920" s="9" t="str">
        <x:v>HELD / UNRELEASED</x:v>
      </x:c>
      <x:c r="Q1920" s="9" t="n">
        <x:f>COUNTIFS($A$7:$A$2310,A1920)</x:f>
        <x:v>1</x:v>
      </x:c>
    </x:row>
    <x:row r="1921">
      <x:c r="A1921" s="9" t="str">
        <x:v>PD-AR-RT-B-C-TECH-1-B2-RCN-G0-PD11</x:v>
      </x:c>
      <x:c r="B1921" s="9" t="str">
        <x:v>PD-AR-RT-B-C-TECH-1-B2-RCN-G0</x:v>
      </x:c>
      <x:c r="C1921" s="9" t="str">
        <x:v>EV-AR-RT-B-C-TECH-1-B2-RCN-G0</x:v>
      </x:c>
      <x:c r="D1921" s="9" t="str">
        <x:v>AR-RT-B-C-TECH-1-B2-RCN-G0</x:v>
      </x:c>
      <x:c r="E1921" s="9" t="str">
        <x:v>RT-B-C-TECH-1</x:v>
      </x:c>
      <x:c r="F1921" s="9" t="str">
        <x:v>RT-B-C</x:v>
      </x:c>
      <x:c r="G1921" s="9" t="str">
        <x:v>B2</x:v>
      </x:c>
      <x:c r="H1921" s="9" t="str">
        <x:v>RCN</x:v>
      </x:c>
      <x:c r="I1921" s="9" t="str">
        <x:v>PD11</x:v>
      </x:c>
      <x:c r="J1921" s="17" t="str">
        <x:v>Invalidity petition and opinion</x:v>
      </x:c>
      <x:c r="K1921" s="17" t="str">
        <x:v>Invalidity court</x:v>
      </x:c>
      <x:c r="L1921" s="17" t="str">
        <x:v>COURT-SEALED UNTIL COHORT RELEASE</x:v>
      </x:c>
      <x:c r="M1921" s="9" t="n">
        <x:v>0</x:v>
      </x:c>
      <x:c r="N1921" s="9" t="n">
        <x:v>0</x:v>
      </x:c>
      <x:c r="O1921" s="9" t="n">
        <x:v>0</x:v>
      </x:c>
      <x:c r="P1921" s="9" t="str">
        <x:v>HELD / UNRELEASED</x:v>
      </x:c>
      <x:c r="Q1921" s="9" t="n">
        <x:f>COUNTIFS($A$7:$A$2310,A1921)</x:f>
        <x:v>1</x:v>
      </x:c>
    </x:row>
    <x:row r="1922">
      <x:c r="A1922" s="9" t="str">
        <x:v>PD-AR-RT-B-C-TECH-1-B2-RCN-G0-PD12</x:v>
      </x:c>
      <x:c r="B1922" s="9" t="str">
        <x:v>PD-AR-RT-B-C-TECH-1-B2-RCN-G0</x:v>
      </x:c>
      <x:c r="C1922" s="9" t="str">
        <x:v>EV-AR-RT-B-C-TECH-1-B2-RCN-G0</x:v>
      </x:c>
      <x:c r="D1922" s="9" t="str">
        <x:v>AR-RT-B-C-TECH-1-B2-RCN-G0</x:v>
      </x:c>
      <x:c r="E1922" s="9" t="str">
        <x:v>RT-B-C-TECH-1</x:v>
      </x:c>
      <x:c r="F1922" s="9" t="str">
        <x:v>RT-B-C</x:v>
      </x:c>
      <x:c r="G1922" s="9" t="str">
        <x:v>B2</x:v>
      </x:c>
      <x:c r="H1922" s="9" t="str">
        <x:v>RCN</x:v>
      </x:c>
      <x:c r="I1922" s="9" t="str">
        <x:v>PD12</x:v>
      </x:c>
      <x:c r="J1922" s="17" t="str">
        <x:v>Observation acceptance and replay</x:v>
      </x:c>
      <x:c r="K1922" s="17" t="str">
        <x:v>Observation court</x:v>
      </x:c>
      <x:c r="L1922" s="17" t="str">
        <x:v>COURT-SEALED UNTIL COHORT RELEASE</x:v>
      </x:c>
      <x:c r="M1922" s="9" t="n">
        <x:v>0</x:v>
      </x:c>
      <x:c r="N1922" s="9" t="n">
        <x:v>0</x:v>
      </x:c>
      <x:c r="O1922" s="9" t="n">
        <x:v>0</x:v>
      </x:c>
      <x:c r="P1922" s="9" t="str">
        <x:v>HELD / UNRELEASED</x:v>
      </x:c>
      <x:c r="Q1922" s="9" t="n">
        <x:f>COUNTIFS($A$7:$A$2310,A1922)</x:f>
        <x:v>1</x:v>
      </x:c>
    </x:row>
    <x:row r="1923">
      <x:c r="A1923" s="9" t="str">
        <x:v>PD-AR-RT-B-C-TECH-1-B2-RCN-G0-PD13</x:v>
      </x:c>
      <x:c r="B1923" s="9" t="str">
        <x:v>PD-AR-RT-B-C-TECH-1-B2-RCN-G0</x:v>
      </x:c>
      <x:c r="C1923" s="9" t="str">
        <x:v>EV-AR-RT-B-C-TECH-1-B2-RCN-G0</x:v>
      </x:c>
      <x:c r="D1923" s="9" t="str">
        <x:v>AR-RT-B-C-TECH-1-B2-RCN-G0</x:v>
      </x:c>
      <x:c r="E1923" s="9" t="str">
        <x:v>RT-B-C-TECH-1</x:v>
      </x:c>
      <x:c r="F1923" s="9" t="str">
        <x:v>RT-B-C</x:v>
      </x:c>
      <x:c r="G1923" s="9" t="str">
        <x:v>B2</x:v>
      </x:c>
      <x:c r="H1923" s="9" t="str">
        <x:v>RCN</x:v>
      </x:c>
      <x:c r="I1923" s="9" t="str">
        <x:v>PD13</x:v>
      </x:c>
      <x:c r="J1923" s="17" t="str">
        <x:v>Role judgment</x:v>
      </x:c>
      <x:c r="K1923" s="17" t="str">
        <x:v>Role court</x:v>
      </x:c>
      <x:c r="L1923" s="17" t="str">
        <x:v>COURT-SEALED UNTIL COHORT RELEASE</x:v>
      </x:c>
      <x:c r="M1923" s="9" t="n">
        <x:v>0</x:v>
      </x:c>
      <x:c r="N1923" s="9" t="n">
        <x:v>0</x:v>
      </x:c>
      <x:c r="O1923" s="9" t="n">
        <x:v>0</x:v>
      </x:c>
      <x:c r="P1923" s="9" t="str">
        <x:v>HELD / UNRELEASED</x:v>
      </x:c>
      <x:c r="Q1923" s="9" t="n">
        <x:f>COUNTIFS($A$7:$A$2310,A1923)</x:f>
        <x:v>1</x:v>
      </x:c>
    </x:row>
    <x:row r="1924">
      <x:c r="A1924" s="9" t="str">
        <x:v>PD-AR-RT-B-C-TECH-1-B2-RCN-G0-PD14</x:v>
      </x:c>
      <x:c r="B1924" s="9" t="str">
        <x:v>PD-AR-RT-B-C-TECH-1-B2-RCN-G0</x:v>
      </x:c>
      <x:c r="C1924" s="9" t="str">
        <x:v>EV-AR-RT-B-C-TECH-1-B2-RCN-G0</x:v>
      </x:c>
      <x:c r="D1924" s="9" t="str">
        <x:v>AR-RT-B-C-TECH-1-B2-RCN-G0</x:v>
      </x:c>
      <x:c r="E1924" s="9" t="str">
        <x:v>RT-B-C-TECH-1</x:v>
      </x:c>
      <x:c r="F1924" s="9" t="str">
        <x:v>RT-B-C</x:v>
      </x:c>
      <x:c r="G1924" s="9" t="str">
        <x:v>B2</x:v>
      </x:c>
      <x:c r="H1924" s="9" t="str">
        <x:v>RCN</x:v>
      </x:c>
      <x:c r="I1924" s="9" t="str">
        <x:v>PD14</x:v>
      </x:c>
      <x:c r="J1924" s="17" t="str">
        <x:v>Break and residual account</x:v>
      </x:c>
      <x:c r="K1924" s="17" t="str">
        <x:v>Residual authority</x:v>
      </x:c>
      <x:c r="L1924" s="17" t="str">
        <x:v>COURT-SEALED UNTIL COHORT RELEASE</x:v>
      </x:c>
      <x:c r="M1924" s="9" t="n">
        <x:v>0</x:v>
      </x:c>
      <x:c r="N1924" s="9" t="n">
        <x:v>0</x:v>
      </x:c>
      <x:c r="O1924" s="9" t="n">
        <x:v>0</x:v>
      </x:c>
      <x:c r="P1924" s="9" t="str">
        <x:v>HELD / UNRELEASED</x:v>
      </x:c>
      <x:c r="Q1924" s="9" t="n">
        <x:f>COUNTIFS($A$7:$A$2310,A1924)</x:f>
        <x:v>1</x:v>
      </x:c>
    </x:row>
    <x:row r="1925">
      <x:c r="A1925" s="9" t="str">
        <x:v>PD-AR-RT-B-C-TECH-1-B2-RCN-G0-PD15</x:v>
      </x:c>
      <x:c r="B1925" s="9" t="str">
        <x:v>PD-AR-RT-B-C-TECH-1-B2-RCN-G0</x:v>
      </x:c>
      <x:c r="C1925" s="9" t="str">
        <x:v>EV-AR-RT-B-C-TECH-1-B2-RCN-G0</x:v>
      </x:c>
      <x:c r="D1925" s="9" t="str">
        <x:v>AR-RT-B-C-TECH-1-B2-RCN-G0</x:v>
      </x:c>
      <x:c r="E1925" s="9" t="str">
        <x:v>RT-B-C-TECH-1</x:v>
      </x:c>
      <x:c r="F1925" s="9" t="str">
        <x:v>RT-B-C</x:v>
      </x:c>
      <x:c r="G1925" s="9" t="str">
        <x:v>B2</x:v>
      </x:c>
      <x:c r="H1925" s="9" t="str">
        <x:v>RCN</x:v>
      </x:c>
      <x:c r="I1925" s="9" t="str">
        <x:v>PD15</x:v>
      </x:c>
      <x:c r="J1925" s="17" t="str">
        <x:v>Reconstruction ancestry and replay</x:v>
      </x:c>
      <x:c r="K1925" s="17" t="str">
        <x:v>Reconstruction court</x:v>
      </x:c>
      <x:c r="L1925" s="17" t="str">
        <x:v>COURT-SEALED UNTIL COHORT RELEASE</x:v>
      </x:c>
      <x:c r="M1925" s="9" t="n">
        <x:v>0</x:v>
      </x:c>
      <x:c r="N1925" s="9" t="n">
        <x:v>0</x:v>
      </x:c>
      <x:c r="O1925" s="9" t="n">
        <x:v>0</x:v>
      </x:c>
      <x:c r="P1925" s="9" t="str">
        <x:v>HELD / UNRELEASED</x:v>
      </x:c>
      <x:c r="Q1925" s="9" t="n">
        <x:f>COUNTIFS($A$7:$A$2310,A1925)</x:f>
        <x:v>1</x:v>
      </x:c>
    </x:row>
    <x:row r="1926">
      <x:c r="A1926" s="9" t="str">
        <x:v>PD-AR-RT-B-C-TECH-1-B2-RCN-G0-PD16</x:v>
      </x:c>
      <x:c r="B1926" s="9" t="str">
        <x:v>PD-AR-RT-B-C-TECH-1-B2-RCN-G0</x:v>
      </x:c>
      <x:c r="C1926" s="9" t="str">
        <x:v>EV-AR-RT-B-C-TECH-1-B2-RCN-G0</x:v>
      </x:c>
      <x:c r="D1926" s="9" t="str">
        <x:v>AR-RT-B-C-TECH-1-B2-RCN-G0</x:v>
      </x:c>
      <x:c r="E1926" s="9" t="str">
        <x:v>RT-B-C-TECH-1</x:v>
      </x:c>
      <x:c r="F1926" s="9" t="str">
        <x:v>RT-B-C</x:v>
      </x:c>
      <x:c r="G1926" s="9" t="str">
        <x:v>B2</x:v>
      </x:c>
      <x:c r="H1926" s="9" t="str">
        <x:v>RCN</x:v>
      </x:c>
      <x:c r="I1926" s="9" t="str">
        <x:v>PD16</x:v>
      </x:c>
      <x:c r="J1926" s="17" t="str">
        <x:v>Dissent, amendments and access log</x:v>
      </x:c>
      <x:c r="K1926" s="17" t="str">
        <x:v>Public archive</x:v>
      </x:c>
      <x:c r="L1926" s="17" t="str">
        <x:v>COURT-SEALED UNTIL COHORT RELEASE</x:v>
      </x:c>
      <x:c r="M1926" s="9" t="n">
        <x:v>0</x:v>
      </x:c>
      <x:c r="N1926" s="9" t="n">
        <x:v>0</x:v>
      </x:c>
      <x:c r="O1926" s="9" t="n">
        <x:v>0</x:v>
      </x:c>
      <x:c r="P1926" s="9" t="str">
        <x:v>HELD / UNRELEASED</x:v>
      </x:c>
      <x:c r="Q1926" s="9" t="n">
        <x:f>COUNTIFS($A$7:$A$2310,A1926)</x:f>
        <x:v>1</x:v>
      </x:c>
    </x:row>
    <x:row r="1927">
      <x:c r="A1927" s="9" t="str">
        <x:v>PD-AR-CT-C-B-TECH-1-B1-RCN-G0-PD01</x:v>
      </x:c>
      <x:c r="B1927" s="9" t="str">
        <x:v>PD-AR-CT-C-B-TECH-1-B1-RCN-G0</x:v>
      </x:c>
      <x:c r="C1927" s="9" t="str">
        <x:v>EV-AR-CT-C-B-TECH-1-B1-RCN-G0</x:v>
      </x:c>
      <x:c r="D1927" s="9" t="str">
        <x:v>AR-CT-C-B-TECH-1-B1-RCN-G0</x:v>
      </x:c>
      <x:c r="E1927" s="9" t="str">
        <x:v>CT-C-B-TECH-1</x:v>
      </x:c>
      <x:c r="F1927" s="9" t="str">
        <x:v>CT-C-B</x:v>
      </x:c>
      <x:c r="G1927" s="9" t="str">
        <x:v>B1</x:v>
      </x:c>
      <x:c r="H1927" s="9" t="str">
        <x:v>RCN</x:v>
      </x:c>
      <x:c r="I1927" s="9" t="str">
        <x:v>PD01</x:v>
      </x:c>
      <x:c r="J1927" s="17" t="str">
        <x:v>Experiment kernel</x:v>
      </x:c>
      <x:c r="K1927" s="17" t="str">
        <x:v>Public archive</x:v>
      </x:c>
      <x:c r="L1927" s="17" t="str">
        <x:v>COURT-SEALED UNTIL COHORT RELEASE</x:v>
      </x:c>
      <x:c r="M1927" s="9" t="n">
        <x:v>0</x:v>
      </x:c>
      <x:c r="N1927" s="9" t="n">
        <x:v>0</x:v>
      </x:c>
      <x:c r="O1927" s="9" t="n">
        <x:v>0</x:v>
      </x:c>
      <x:c r="P1927" s="9" t="str">
        <x:v>HELD / UNRELEASED</x:v>
      </x:c>
      <x:c r="Q1927" s="9" t="n">
        <x:f>COUNTIFS($A$7:$A$2310,A1927)</x:f>
        <x:v>1</x:v>
      </x:c>
    </x:row>
    <x:row r="1928">
      <x:c r="A1928" s="9" t="str">
        <x:v>PD-AR-CT-C-B-TECH-1-B1-RCN-G0-PD02</x:v>
      </x:c>
      <x:c r="B1928" s="9" t="str">
        <x:v>PD-AR-CT-C-B-TECH-1-B1-RCN-G0</x:v>
      </x:c>
      <x:c r="C1928" s="9" t="str">
        <x:v>EV-AR-CT-C-B-TECH-1-B1-RCN-G0</x:v>
      </x:c>
      <x:c r="D1928" s="9" t="str">
        <x:v>AR-CT-C-B-TECH-1-B1-RCN-G0</x:v>
      </x:c>
      <x:c r="E1928" s="9" t="str">
        <x:v>CT-C-B-TECH-1</x:v>
      </x:c>
      <x:c r="F1928" s="9" t="str">
        <x:v>CT-C-B</x:v>
      </x:c>
      <x:c r="G1928" s="9" t="str">
        <x:v>B1</x:v>
      </x:c>
      <x:c r="H1928" s="9" t="str">
        <x:v>RCN</x:v>
      </x:c>
      <x:c r="I1928" s="9" t="str">
        <x:v>PD02</x:v>
      </x:c>
      <x:c r="J1928" s="17" t="str">
        <x:v>Serial annex and title chain</x:v>
      </x:c>
      <x:c r="K1928" s="17" t="str">
        <x:v>Public archive</x:v>
      </x:c>
      <x:c r="L1928" s="17" t="str">
        <x:v>COURT-SEALED UNTIL COHORT RELEASE</x:v>
      </x:c>
      <x:c r="M1928" s="9" t="n">
        <x:v>0</x:v>
      </x:c>
      <x:c r="N1928" s="9" t="n">
        <x:v>0</x:v>
      </x:c>
      <x:c r="O1928" s="9" t="n">
        <x:v>0</x:v>
      </x:c>
      <x:c r="P1928" s="9" t="str">
        <x:v>HELD / UNRELEASED</x:v>
      </x:c>
      <x:c r="Q1928" s="9" t="n">
        <x:f>COUNTIFS($A$7:$A$2310,A1928)</x:f>
        <x:v>1</x:v>
      </x:c>
    </x:row>
    <x:row r="1929">
      <x:c r="A1929" s="9" t="str">
        <x:v>PD-AR-CT-C-B-TECH-1-B1-RCN-G0-PD03</x:v>
      </x:c>
      <x:c r="B1929" s="9" t="str">
        <x:v>PD-AR-CT-C-B-TECH-1-B1-RCN-G0</x:v>
      </x:c>
      <x:c r="C1929" s="9" t="str">
        <x:v>EV-AR-CT-C-B-TECH-1-B1-RCN-G0</x:v>
      </x:c>
      <x:c r="D1929" s="9" t="str">
        <x:v>AR-CT-C-B-TECH-1-B1-RCN-G0</x:v>
      </x:c>
      <x:c r="E1929" s="9" t="str">
        <x:v>CT-C-B-TECH-1</x:v>
      </x:c>
      <x:c r="F1929" s="9" t="str">
        <x:v>CT-C-B</x:v>
      </x:c>
      <x:c r="G1929" s="9" t="str">
        <x:v>B1</x:v>
      </x:c>
      <x:c r="H1929" s="9" t="str">
        <x:v>RCN</x:v>
      </x:c>
      <x:c r="I1929" s="9" t="str">
        <x:v>PD03</x:v>
      </x:c>
      <x:c r="J1929" s="17" t="str">
        <x:v>Configuration and as-built manifest</x:v>
      </x:c>
      <x:c r="K1929" s="17" t="str">
        <x:v>Artifact exchange</x:v>
      </x:c>
      <x:c r="L1929" s="17" t="str">
        <x:v>COURT-SEALED UNTIL COHORT RELEASE</x:v>
      </x:c>
      <x:c r="M1929" s="9" t="n">
        <x:v>0</x:v>
      </x:c>
      <x:c r="N1929" s="9" t="n">
        <x:v>0</x:v>
      </x:c>
      <x:c r="O1929" s="9" t="n">
        <x:v>0</x:v>
      </x:c>
      <x:c r="P1929" s="9" t="str">
        <x:v>HELD / UNRELEASED</x:v>
      </x:c>
      <x:c r="Q1929" s="9" t="n">
        <x:f>COUNTIFS($A$7:$A$2310,A1929)</x:f>
        <x:v>1</x:v>
      </x:c>
    </x:row>
    <x:row r="1930">
      <x:c r="A1930" s="9" t="str">
        <x:v>PD-AR-CT-C-B-TECH-1-B1-RCN-G0-PD04</x:v>
      </x:c>
      <x:c r="B1930" s="9" t="str">
        <x:v>PD-AR-CT-C-B-TECH-1-B1-RCN-G0</x:v>
      </x:c>
      <x:c r="C1930" s="9" t="str">
        <x:v>EV-AR-CT-C-B-TECH-1-B1-RCN-G0</x:v>
      </x:c>
      <x:c r="D1930" s="9" t="str">
        <x:v>AR-CT-C-B-TECH-1-B1-RCN-G0</x:v>
      </x:c>
      <x:c r="E1930" s="9" t="str">
        <x:v>CT-C-B-TECH-1</x:v>
      </x:c>
      <x:c r="F1930" s="9" t="str">
        <x:v>CT-C-B</x:v>
      </x:c>
      <x:c r="G1930" s="9" t="str">
        <x:v>B1</x:v>
      </x:c>
      <x:c r="H1930" s="9" t="str">
        <x:v>RCN</x:v>
      </x:c>
      <x:c r="I1930" s="9" t="str">
        <x:v>PD04</x:v>
      </x:c>
      <x:c r="J1930" s="17" t="str">
        <x:v>EOW and start certificate</x:v>
      </x:c>
      <x:c r="K1930" s="17" t="str">
        <x:v>Start registrar</x:v>
      </x:c>
      <x:c r="L1930" s="17" t="str">
        <x:v>COURT-SEALED UNTIL COHORT RELEASE</x:v>
      </x:c>
      <x:c r="M1930" s="9" t="n">
        <x:v>0</x:v>
      </x:c>
      <x:c r="N1930" s="9" t="n">
        <x:v>0</x:v>
      </x:c>
      <x:c r="O1930" s="9" t="n">
        <x:v>0</x:v>
      </x:c>
      <x:c r="P1930" s="9" t="str">
        <x:v>HELD / UNRELEASED</x:v>
      </x:c>
      <x:c r="Q1930" s="9" t="n">
        <x:f>COUNTIFS($A$7:$A$2310,A1930)</x:f>
        <x:v>1</x:v>
      </x:c>
    </x:row>
    <x:row r="1931">
      <x:c r="A1931" s="9" t="str">
        <x:v>PD-AR-CT-C-B-TECH-1-B1-RCN-G0-PD05</x:v>
      </x:c>
      <x:c r="B1931" s="9" t="str">
        <x:v>PD-AR-CT-C-B-TECH-1-B1-RCN-G0</x:v>
      </x:c>
      <x:c r="C1931" s="9" t="str">
        <x:v>EV-AR-CT-C-B-TECH-1-B1-RCN-G0</x:v>
      </x:c>
      <x:c r="D1931" s="9" t="str">
        <x:v>AR-CT-C-B-TECH-1-B1-RCN-G0</x:v>
      </x:c>
      <x:c r="E1931" s="9" t="str">
        <x:v>CT-C-B-TECH-1</x:v>
      </x:c>
      <x:c r="F1931" s="9" t="str">
        <x:v>CT-C-B</x:v>
      </x:c>
      <x:c r="G1931" s="9" t="str">
        <x:v>B1</x:v>
      </x:c>
      <x:c r="H1931" s="9" t="str">
        <x:v>RCN</x:v>
      </x:c>
      <x:c r="I1931" s="9" t="str">
        <x:v>PD05</x:v>
      </x:c>
      <x:c r="J1931" s="17" t="str">
        <x:v>Primary raw originals</x:v>
      </x:c>
      <x:c r="K1931" s="17" t="str">
        <x:v>Primary custody</x:v>
      </x:c>
      <x:c r="L1931" s="17" t="str">
        <x:v>COURT-SEALED UNTIL COHORT RELEASE</x:v>
      </x:c>
      <x:c r="M1931" s="9" t="n">
        <x:v>0</x:v>
      </x:c>
      <x:c r="N1931" s="9" t="n">
        <x:v>0</x:v>
      </x:c>
      <x:c r="O1931" s="9" t="n">
        <x:v>0</x:v>
      </x:c>
      <x:c r="P1931" s="9" t="str">
        <x:v>HELD / UNRELEASED</x:v>
      </x:c>
      <x:c r="Q1931" s="9" t="n">
        <x:f>COUNTIFS($A$7:$A$2310,A1931)</x:f>
        <x:v>1</x:v>
      </x:c>
    </x:row>
    <x:row r="1932">
      <x:c r="A1932" s="9" t="str">
        <x:v>PD-AR-CT-C-B-TECH-1-B1-RCN-G0-PD06</x:v>
      </x:c>
      <x:c r="B1932" s="9" t="str">
        <x:v>PD-AR-CT-C-B-TECH-1-B1-RCN-G0</x:v>
      </x:c>
      <x:c r="C1932" s="9" t="str">
        <x:v>EV-AR-CT-C-B-TECH-1-B1-RCN-G0</x:v>
      </x:c>
      <x:c r="D1932" s="9" t="str">
        <x:v>AR-CT-C-B-TECH-1-B1-RCN-G0</x:v>
      </x:c>
      <x:c r="E1932" s="9" t="str">
        <x:v>CT-C-B-TECH-1</x:v>
      </x:c>
      <x:c r="F1932" s="9" t="str">
        <x:v>CT-C-B</x:v>
      </x:c>
      <x:c r="G1932" s="9" t="str">
        <x:v>B1</x:v>
      </x:c>
      <x:c r="H1932" s="9" t="str">
        <x:v>RCN</x:v>
      </x:c>
      <x:c r="I1932" s="9" t="str">
        <x:v>PD06</x:v>
      </x:c>
      <x:c r="J1932" s="17" t="str">
        <x:v>Witness raw originals</x:v>
      </x:c>
      <x:c r="K1932" s="17" t="str">
        <x:v>Witness custody</x:v>
      </x:c>
      <x:c r="L1932" s="17" t="str">
        <x:v>COURT-SEALED UNTIL COHORT RELEASE</x:v>
      </x:c>
      <x:c r="M1932" s="9" t="n">
        <x:v>0</x:v>
      </x:c>
      <x:c r="N1932" s="9" t="n">
        <x:v>0</x:v>
      </x:c>
      <x:c r="O1932" s="9" t="n">
        <x:v>0</x:v>
      </x:c>
      <x:c r="P1932" s="9" t="str">
        <x:v>HELD / UNRELEASED</x:v>
      </x:c>
      <x:c r="Q1932" s="9" t="n">
        <x:f>COUNTIFS($A$7:$A$2310,A1932)</x:f>
        <x:v>1</x:v>
      </x:c>
    </x:row>
    <x:row r="1933">
      <x:c r="A1933" s="9" t="str">
        <x:v>PD-AR-CT-C-B-TECH-1-B1-RCN-G0-PD07</x:v>
      </x:c>
      <x:c r="B1933" s="9" t="str">
        <x:v>PD-AR-CT-C-B-TECH-1-B1-RCN-G0</x:v>
      </x:c>
      <x:c r="C1933" s="9" t="str">
        <x:v>EV-AR-CT-C-B-TECH-1-B1-RCN-G0</x:v>
      </x:c>
      <x:c r="D1933" s="9" t="str">
        <x:v>AR-CT-C-B-TECH-1-B1-RCN-G0</x:v>
      </x:c>
      <x:c r="E1933" s="9" t="str">
        <x:v>CT-C-B-TECH-1</x:v>
      </x:c>
      <x:c r="F1933" s="9" t="str">
        <x:v>CT-C-B</x:v>
      </x:c>
      <x:c r="G1933" s="9" t="str">
        <x:v>B1</x:v>
      </x:c>
      <x:c r="H1933" s="9" t="str">
        <x:v>RCN</x:v>
      </x:c>
      <x:c r="I1933" s="9" t="str">
        <x:v>PD07</x:v>
      </x:c>
      <x:c r="J1933" s="17" t="str">
        <x:v>Clock and environmental records</x:v>
      </x:c>
      <x:c r="K1933" s="17" t="str">
        <x:v>Boundary archive</x:v>
      </x:c>
      <x:c r="L1933" s="17" t="str">
        <x:v>COURT-SEALED UNTIL COHORT RELEASE</x:v>
      </x:c>
      <x:c r="M1933" s="9" t="n">
        <x:v>0</x:v>
      </x:c>
      <x:c r="N1933" s="9" t="n">
        <x:v>0</x:v>
      </x:c>
      <x:c r="O1933" s="9" t="n">
        <x:v>0</x:v>
      </x:c>
      <x:c r="P1933" s="9" t="str">
        <x:v>HELD / UNRELEASED</x:v>
      </x:c>
      <x:c r="Q1933" s="9" t="n">
        <x:f>COUNTIFS($A$7:$A$2310,A1933)</x:f>
        <x:v>1</x:v>
      </x:c>
    </x:row>
    <x:row r="1934">
      <x:c r="A1934" s="9" t="str">
        <x:v>PD-AR-CT-C-B-TECH-1-B1-RCN-G0-PD08</x:v>
      </x:c>
      <x:c r="B1934" s="9" t="str">
        <x:v>PD-AR-CT-C-B-TECH-1-B1-RCN-G0</x:v>
      </x:c>
      <x:c r="C1934" s="9" t="str">
        <x:v>EV-AR-CT-C-B-TECH-1-B1-RCN-G0</x:v>
      </x:c>
      <x:c r="D1934" s="9" t="str">
        <x:v>AR-CT-C-B-TECH-1-B1-RCN-G0</x:v>
      </x:c>
      <x:c r="E1934" s="9" t="str">
        <x:v>CT-C-B-TECH-1</x:v>
      </x:c>
      <x:c r="F1934" s="9" t="str">
        <x:v>CT-C-B</x:v>
      </x:c>
      <x:c r="G1934" s="9" t="str">
        <x:v>B1</x:v>
      </x:c>
      <x:c r="H1934" s="9" t="str">
        <x:v>RCN</x:v>
      </x:c>
      <x:c r="I1934" s="9" t="str">
        <x:v>PD08</x:v>
      </x:c>
      <x:c r="J1934" s="17" t="str">
        <x:v>Command and intervention log</x:v>
      </x:c>
      <x:c r="K1934" s="17" t="str">
        <x:v>Safety archive</x:v>
      </x:c>
      <x:c r="L1934" s="17" t="str">
        <x:v>COURT-SEALED UNTIL COHORT RELEASE</x:v>
      </x:c>
      <x:c r="M1934" s="9" t="n">
        <x:v>0</x:v>
      </x:c>
      <x:c r="N1934" s="9" t="n">
        <x:v>0</x:v>
      </x:c>
      <x:c r="O1934" s="9" t="n">
        <x:v>0</x:v>
      </x:c>
      <x:c r="P1934" s="9" t="str">
        <x:v>HELD / UNRELEASED</x:v>
      </x:c>
      <x:c r="Q1934" s="9" t="n">
        <x:f>COUNTIFS($A$7:$A$2310,A1934)</x:f>
        <x:v>1</x:v>
      </x:c>
    </x:row>
    <x:row r="1935">
      <x:c r="A1935" s="9" t="str">
        <x:v>PD-AR-CT-C-B-TECH-1-B1-RCN-G0-PD09</x:v>
      </x:c>
      <x:c r="B1935" s="9" t="str">
        <x:v>PD-AR-CT-C-B-TECH-1-B1-RCN-G0</x:v>
      </x:c>
      <x:c r="C1935" s="9" t="str">
        <x:v>EV-AR-CT-C-B-TECH-1-B1-RCN-G0</x:v>
      </x:c>
      <x:c r="D1935" s="9" t="str">
        <x:v>AR-CT-C-B-TECH-1-B1-RCN-G0</x:v>
      </x:c>
      <x:c r="E1935" s="9" t="str">
        <x:v>CT-C-B-TECH-1</x:v>
      </x:c>
      <x:c r="F1935" s="9" t="str">
        <x:v>CT-C-B</x:v>
      </x:c>
      <x:c r="G1935" s="9" t="str">
        <x:v>B1</x:v>
      </x:c>
      <x:c r="H1935" s="9" t="str">
        <x:v>RCN</x:v>
      </x:c>
      <x:c r="I1935" s="9" t="str">
        <x:v>PD09</x:v>
      </x:c>
      <x:c r="J1935" s="17" t="str">
        <x:v>Receiver denominator and service ledger</x:v>
      </x:c>
      <x:c r="K1935" s="17" t="str">
        <x:v>Receiver archive</x:v>
      </x:c>
      <x:c r="L1935" s="17" t="str">
        <x:v>COURT-SEALED UNTIL COHORT RELEASE</x:v>
      </x:c>
      <x:c r="M1935" s="9" t="n">
        <x:v>0</x:v>
      </x:c>
      <x:c r="N1935" s="9" t="n">
        <x:v>0</x:v>
      </x:c>
      <x:c r="O1935" s="9" t="n">
        <x:v>0</x:v>
      </x:c>
      <x:c r="P1935" s="9" t="str">
        <x:v>HELD / UNRELEASED</x:v>
      </x:c>
      <x:c r="Q1935" s="9" t="n">
        <x:f>COUNTIFS($A$7:$A$2310,A1935)</x:f>
        <x:v>1</x:v>
      </x:c>
    </x:row>
    <x:row r="1936">
      <x:c r="A1936" s="9" t="str">
        <x:v>PD-AR-CT-C-B-TECH-1-B1-RCN-G0-PD10</x:v>
      </x:c>
      <x:c r="B1936" s="9" t="str">
        <x:v>PD-AR-CT-C-B-TECH-1-B1-RCN-G0</x:v>
      </x:c>
      <x:c r="C1936" s="9" t="str">
        <x:v>EV-AR-CT-C-B-TECH-1-B1-RCN-G0</x:v>
      </x:c>
      <x:c r="D1936" s="9" t="str">
        <x:v>AR-CT-C-B-TECH-1-B1-RCN-G0</x:v>
      </x:c>
      <x:c r="E1936" s="9" t="str">
        <x:v>CT-C-B-TECH-1</x:v>
      </x:c>
      <x:c r="F1936" s="9" t="str">
        <x:v>CT-C-B</x:v>
      </x:c>
      <x:c r="G1936" s="9" t="str">
        <x:v>B1</x:v>
      </x:c>
      <x:c r="H1936" s="9" t="str">
        <x:v>RCN</x:v>
      </x:c>
      <x:c r="I1936" s="9" t="str">
        <x:v>PD10</x:v>
      </x:c>
      <x:c r="J1936" s="17" t="str">
        <x:v>Calibration and uncertainty record</x:v>
      </x:c>
      <x:c r="K1936" s="17" t="str">
        <x:v>Metrology archive</x:v>
      </x:c>
      <x:c r="L1936" s="17" t="str">
        <x:v>COURT-SEALED UNTIL COHORT RELEASE</x:v>
      </x:c>
      <x:c r="M1936" s="9" t="n">
        <x:v>0</x:v>
      </x:c>
      <x:c r="N1936" s="9" t="n">
        <x:v>0</x:v>
      </x:c>
      <x:c r="O1936" s="9" t="n">
        <x:v>0</x:v>
      </x:c>
      <x:c r="P1936" s="9" t="str">
        <x:v>HELD / UNRELEASED</x:v>
      </x:c>
      <x:c r="Q1936" s="9" t="n">
        <x:f>COUNTIFS($A$7:$A$2310,A1936)</x:f>
        <x:v>1</x:v>
      </x:c>
    </x:row>
    <x:row r="1937">
      <x:c r="A1937" s="9" t="str">
        <x:v>PD-AR-CT-C-B-TECH-1-B1-RCN-G0-PD11</x:v>
      </x:c>
      <x:c r="B1937" s="9" t="str">
        <x:v>PD-AR-CT-C-B-TECH-1-B1-RCN-G0</x:v>
      </x:c>
      <x:c r="C1937" s="9" t="str">
        <x:v>EV-AR-CT-C-B-TECH-1-B1-RCN-G0</x:v>
      </x:c>
      <x:c r="D1937" s="9" t="str">
        <x:v>AR-CT-C-B-TECH-1-B1-RCN-G0</x:v>
      </x:c>
      <x:c r="E1937" s="9" t="str">
        <x:v>CT-C-B-TECH-1</x:v>
      </x:c>
      <x:c r="F1937" s="9" t="str">
        <x:v>CT-C-B</x:v>
      </x:c>
      <x:c r="G1937" s="9" t="str">
        <x:v>B1</x:v>
      </x:c>
      <x:c r="H1937" s="9" t="str">
        <x:v>RCN</x:v>
      </x:c>
      <x:c r="I1937" s="9" t="str">
        <x:v>PD11</x:v>
      </x:c>
      <x:c r="J1937" s="17" t="str">
        <x:v>Invalidity petition and opinion</x:v>
      </x:c>
      <x:c r="K1937" s="17" t="str">
        <x:v>Invalidity court</x:v>
      </x:c>
      <x:c r="L1937" s="17" t="str">
        <x:v>COURT-SEALED UNTIL COHORT RELEASE</x:v>
      </x:c>
      <x:c r="M1937" s="9" t="n">
        <x:v>0</x:v>
      </x:c>
      <x:c r="N1937" s="9" t="n">
        <x:v>0</x:v>
      </x:c>
      <x:c r="O1937" s="9" t="n">
        <x:v>0</x:v>
      </x:c>
      <x:c r="P1937" s="9" t="str">
        <x:v>HELD / UNRELEASED</x:v>
      </x:c>
      <x:c r="Q1937" s="9" t="n">
        <x:f>COUNTIFS($A$7:$A$2310,A1937)</x:f>
        <x:v>1</x:v>
      </x:c>
    </x:row>
    <x:row r="1938">
      <x:c r="A1938" s="9" t="str">
        <x:v>PD-AR-CT-C-B-TECH-1-B1-RCN-G0-PD12</x:v>
      </x:c>
      <x:c r="B1938" s="9" t="str">
        <x:v>PD-AR-CT-C-B-TECH-1-B1-RCN-G0</x:v>
      </x:c>
      <x:c r="C1938" s="9" t="str">
        <x:v>EV-AR-CT-C-B-TECH-1-B1-RCN-G0</x:v>
      </x:c>
      <x:c r="D1938" s="9" t="str">
        <x:v>AR-CT-C-B-TECH-1-B1-RCN-G0</x:v>
      </x:c>
      <x:c r="E1938" s="9" t="str">
        <x:v>CT-C-B-TECH-1</x:v>
      </x:c>
      <x:c r="F1938" s="9" t="str">
        <x:v>CT-C-B</x:v>
      </x:c>
      <x:c r="G1938" s="9" t="str">
        <x:v>B1</x:v>
      </x:c>
      <x:c r="H1938" s="9" t="str">
        <x:v>RCN</x:v>
      </x:c>
      <x:c r="I1938" s="9" t="str">
        <x:v>PD12</x:v>
      </x:c>
      <x:c r="J1938" s="17" t="str">
        <x:v>Observation acceptance and replay</x:v>
      </x:c>
      <x:c r="K1938" s="17" t="str">
        <x:v>Observation court</x:v>
      </x:c>
      <x:c r="L1938" s="17" t="str">
        <x:v>COURT-SEALED UNTIL COHORT RELEASE</x:v>
      </x:c>
      <x:c r="M1938" s="9" t="n">
        <x:v>0</x:v>
      </x:c>
      <x:c r="N1938" s="9" t="n">
        <x:v>0</x:v>
      </x:c>
      <x:c r="O1938" s="9" t="n">
        <x:v>0</x:v>
      </x:c>
      <x:c r="P1938" s="9" t="str">
        <x:v>HELD / UNRELEASED</x:v>
      </x:c>
      <x:c r="Q1938" s="9" t="n">
        <x:f>COUNTIFS($A$7:$A$2310,A1938)</x:f>
        <x:v>1</x:v>
      </x:c>
    </x:row>
    <x:row r="1939">
      <x:c r="A1939" s="9" t="str">
        <x:v>PD-AR-CT-C-B-TECH-1-B1-RCN-G0-PD13</x:v>
      </x:c>
      <x:c r="B1939" s="9" t="str">
        <x:v>PD-AR-CT-C-B-TECH-1-B1-RCN-G0</x:v>
      </x:c>
      <x:c r="C1939" s="9" t="str">
        <x:v>EV-AR-CT-C-B-TECH-1-B1-RCN-G0</x:v>
      </x:c>
      <x:c r="D1939" s="9" t="str">
        <x:v>AR-CT-C-B-TECH-1-B1-RCN-G0</x:v>
      </x:c>
      <x:c r="E1939" s="9" t="str">
        <x:v>CT-C-B-TECH-1</x:v>
      </x:c>
      <x:c r="F1939" s="9" t="str">
        <x:v>CT-C-B</x:v>
      </x:c>
      <x:c r="G1939" s="9" t="str">
        <x:v>B1</x:v>
      </x:c>
      <x:c r="H1939" s="9" t="str">
        <x:v>RCN</x:v>
      </x:c>
      <x:c r="I1939" s="9" t="str">
        <x:v>PD13</x:v>
      </x:c>
      <x:c r="J1939" s="17" t="str">
        <x:v>Role judgment</x:v>
      </x:c>
      <x:c r="K1939" s="17" t="str">
        <x:v>Role court</x:v>
      </x:c>
      <x:c r="L1939" s="17" t="str">
        <x:v>COURT-SEALED UNTIL COHORT RELEASE</x:v>
      </x:c>
      <x:c r="M1939" s="9" t="n">
        <x:v>0</x:v>
      </x:c>
      <x:c r="N1939" s="9" t="n">
        <x:v>0</x:v>
      </x:c>
      <x:c r="O1939" s="9" t="n">
        <x:v>0</x:v>
      </x:c>
      <x:c r="P1939" s="9" t="str">
        <x:v>HELD / UNRELEASED</x:v>
      </x:c>
      <x:c r="Q1939" s="9" t="n">
        <x:f>COUNTIFS($A$7:$A$2310,A1939)</x:f>
        <x:v>1</x:v>
      </x:c>
    </x:row>
    <x:row r="1940">
      <x:c r="A1940" s="9" t="str">
        <x:v>PD-AR-CT-C-B-TECH-1-B1-RCN-G0-PD14</x:v>
      </x:c>
      <x:c r="B1940" s="9" t="str">
        <x:v>PD-AR-CT-C-B-TECH-1-B1-RCN-G0</x:v>
      </x:c>
      <x:c r="C1940" s="9" t="str">
        <x:v>EV-AR-CT-C-B-TECH-1-B1-RCN-G0</x:v>
      </x:c>
      <x:c r="D1940" s="9" t="str">
        <x:v>AR-CT-C-B-TECH-1-B1-RCN-G0</x:v>
      </x:c>
      <x:c r="E1940" s="9" t="str">
        <x:v>CT-C-B-TECH-1</x:v>
      </x:c>
      <x:c r="F1940" s="9" t="str">
        <x:v>CT-C-B</x:v>
      </x:c>
      <x:c r="G1940" s="9" t="str">
        <x:v>B1</x:v>
      </x:c>
      <x:c r="H1940" s="9" t="str">
        <x:v>RCN</x:v>
      </x:c>
      <x:c r="I1940" s="9" t="str">
        <x:v>PD14</x:v>
      </x:c>
      <x:c r="J1940" s="17" t="str">
        <x:v>Break and residual account</x:v>
      </x:c>
      <x:c r="K1940" s="17" t="str">
        <x:v>Residual authority</x:v>
      </x:c>
      <x:c r="L1940" s="17" t="str">
        <x:v>COURT-SEALED UNTIL COHORT RELEASE</x:v>
      </x:c>
      <x:c r="M1940" s="9" t="n">
        <x:v>0</x:v>
      </x:c>
      <x:c r="N1940" s="9" t="n">
        <x:v>0</x:v>
      </x:c>
      <x:c r="O1940" s="9" t="n">
        <x:v>0</x:v>
      </x:c>
      <x:c r="P1940" s="9" t="str">
        <x:v>HELD / UNRELEASED</x:v>
      </x:c>
      <x:c r="Q1940" s="9" t="n">
        <x:f>COUNTIFS($A$7:$A$2310,A1940)</x:f>
        <x:v>1</x:v>
      </x:c>
    </x:row>
    <x:row r="1941">
      <x:c r="A1941" s="9" t="str">
        <x:v>PD-AR-CT-C-B-TECH-1-B1-RCN-G0-PD15</x:v>
      </x:c>
      <x:c r="B1941" s="9" t="str">
        <x:v>PD-AR-CT-C-B-TECH-1-B1-RCN-G0</x:v>
      </x:c>
      <x:c r="C1941" s="9" t="str">
        <x:v>EV-AR-CT-C-B-TECH-1-B1-RCN-G0</x:v>
      </x:c>
      <x:c r="D1941" s="9" t="str">
        <x:v>AR-CT-C-B-TECH-1-B1-RCN-G0</x:v>
      </x:c>
      <x:c r="E1941" s="9" t="str">
        <x:v>CT-C-B-TECH-1</x:v>
      </x:c>
      <x:c r="F1941" s="9" t="str">
        <x:v>CT-C-B</x:v>
      </x:c>
      <x:c r="G1941" s="9" t="str">
        <x:v>B1</x:v>
      </x:c>
      <x:c r="H1941" s="9" t="str">
        <x:v>RCN</x:v>
      </x:c>
      <x:c r="I1941" s="9" t="str">
        <x:v>PD15</x:v>
      </x:c>
      <x:c r="J1941" s="17" t="str">
        <x:v>Reconstruction ancestry and replay</x:v>
      </x:c>
      <x:c r="K1941" s="17" t="str">
        <x:v>Reconstruction court</x:v>
      </x:c>
      <x:c r="L1941" s="17" t="str">
        <x:v>COURT-SEALED UNTIL COHORT RELEASE</x:v>
      </x:c>
      <x:c r="M1941" s="9" t="n">
        <x:v>0</x:v>
      </x:c>
      <x:c r="N1941" s="9" t="n">
        <x:v>0</x:v>
      </x:c>
      <x:c r="O1941" s="9" t="n">
        <x:v>0</x:v>
      </x:c>
      <x:c r="P1941" s="9" t="str">
        <x:v>HELD / UNRELEASED</x:v>
      </x:c>
      <x:c r="Q1941" s="9" t="n">
        <x:f>COUNTIFS($A$7:$A$2310,A1941)</x:f>
        <x:v>1</x:v>
      </x:c>
    </x:row>
    <x:row r="1942">
      <x:c r="A1942" s="9" t="str">
        <x:v>PD-AR-CT-C-B-TECH-1-B1-RCN-G0-PD16</x:v>
      </x:c>
      <x:c r="B1942" s="9" t="str">
        <x:v>PD-AR-CT-C-B-TECH-1-B1-RCN-G0</x:v>
      </x:c>
      <x:c r="C1942" s="9" t="str">
        <x:v>EV-AR-CT-C-B-TECH-1-B1-RCN-G0</x:v>
      </x:c>
      <x:c r="D1942" s="9" t="str">
        <x:v>AR-CT-C-B-TECH-1-B1-RCN-G0</x:v>
      </x:c>
      <x:c r="E1942" s="9" t="str">
        <x:v>CT-C-B-TECH-1</x:v>
      </x:c>
      <x:c r="F1942" s="9" t="str">
        <x:v>CT-C-B</x:v>
      </x:c>
      <x:c r="G1942" s="9" t="str">
        <x:v>B1</x:v>
      </x:c>
      <x:c r="H1942" s="9" t="str">
        <x:v>RCN</x:v>
      </x:c>
      <x:c r="I1942" s="9" t="str">
        <x:v>PD16</x:v>
      </x:c>
      <x:c r="J1942" s="17" t="str">
        <x:v>Dissent, amendments and access log</x:v>
      </x:c>
      <x:c r="K1942" s="17" t="str">
        <x:v>Public archive</x:v>
      </x:c>
      <x:c r="L1942" s="17" t="str">
        <x:v>COURT-SEALED UNTIL COHORT RELEASE</x:v>
      </x:c>
      <x:c r="M1942" s="9" t="n">
        <x:v>0</x:v>
      </x:c>
      <x:c r="N1942" s="9" t="n">
        <x:v>0</x:v>
      </x:c>
      <x:c r="O1942" s="9" t="n">
        <x:v>0</x:v>
      </x:c>
      <x:c r="P1942" s="9" t="str">
        <x:v>HELD / UNRELEASED</x:v>
      </x:c>
      <x:c r="Q1942" s="9" t="n">
        <x:f>COUNTIFS($A$7:$A$2310,A1942)</x:f>
        <x:v>1</x:v>
      </x:c>
    </x:row>
    <x:row r="1943">
      <x:c r="A1943" s="9" t="str">
        <x:v>PD-AR-ET-A-A-TECH-4-B1-BRK-G0-PD01</x:v>
      </x:c>
      <x:c r="B1943" s="9" t="str">
        <x:v>PD-AR-ET-A-A-TECH-4-B1-BRK-G0</x:v>
      </x:c>
      <x:c r="C1943" s="9" t="str">
        <x:v>EV-AR-ET-A-A-TECH-4-B1-BRK-G0</x:v>
      </x:c>
      <x:c r="D1943" s="9" t="str">
        <x:v>AR-ET-A-A-TECH-4-B1-BRK-G0</x:v>
      </x:c>
      <x:c r="E1943" s="9" t="str">
        <x:v>ET-A-A-TECH-4</x:v>
      </x:c>
      <x:c r="F1943" s="9" t="str">
        <x:v>ET-A-A</x:v>
      </x:c>
      <x:c r="G1943" s="9" t="str">
        <x:v>B1</x:v>
      </x:c>
      <x:c r="H1943" s="9" t="str">
        <x:v>BRK</x:v>
      </x:c>
      <x:c r="I1943" s="9" t="str">
        <x:v>PD01</x:v>
      </x:c>
      <x:c r="J1943" s="17" t="str">
        <x:v>Experiment kernel</x:v>
      </x:c>
      <x:c r="K1943" s="17" t="str">
        <x:v>Public archive</x:v>
      </x:c>
      <x:c r="L1943" s="17" t="str">
        <x:v>COURT-SEALED UNTIL COHORT RELEASE</x:v>
      </x:c>
      <x:c r="M1943" s="9" t="n">
        <x:v>0</x:v>
      </x:c>
      <x:c r="N1943" s="9" t="n">
        <x:v>0</x:v>
      </x:c>
      <x:c r="O1943" s="9" t="n">
        <x:v>0</x:v>
      </x:c>
      <x:c r="P1943" s="9" t="str">
        <x:v>HELD / UNRELEASED</x:v>
      </x:c>
      <x:c r="Q1943" s="9" t="n">
        <x:f>COUNTIFS($A$7:$A$2310,A1943)</x:f>
        <x:v>1</x:v>
      </x:c>
    </x:row>
    <x:row r="1944">
      <x:c r="A1944" s="9" t="str">
        <x:v>PD-AR-ET-A-A-TECH-4-B1-BRK-G0-PD02</x:v>
      </x:c>
      <x:c r="B1944" s="9" t="str">
        <x:v>PD-AR-ET-A-A-TECH-4-B1-BRK-G0</x:v>
      </x:c>
      <x:c r="C1944" s="9" t="str">
        <x:v>EV-AR-ET-A-A-TECH-4-B1-BRK-G0</x:v>
      </x:c>
      <x:c r="D1944" s="9" t="str">
        <x:v>AR-ET-A-A-TECH-4-B1-BRK-G0</x:v>
      </x:c>
      <x:c r="E1944" s="9" t="str">
        <x:v>ET-A-A-TECH-4</x:v>
      </x:c>
      <x:c r="F1944" s="9" t="str">
        <x:v>ET-A-A</x:v>
      </x:c>
      <x:c r="G1944" s="9" t="str">
        <x:v>B1</x:v>
      </x:c>
      <x:c r="H1944" s="9" t="str">
        <x:v>BRK</x:v>
      </x:c>
      <x:c r="I1944" s="9" t="str">
        <x:v>PD02</x:v>
      </x:c>
      <x:c r="J1944" s="17" t="str">
        <x:v>Serial annex and title chain</x:v>
      </x:c>
      <x:c r="K1944" s="17" t="str">
        <x:v>Public archive</x:v>
      </x:c>
      <x:c r="L1944" s="17" t="str">
        <x:v>COURT-SEALED UNTIL COHORT RELEASE</x:v>
      </x:c>
      <x:c r="M1944" s="9" t="n">
        <x:v>0</x:v>
      </x:c>
      <x:c r="N1944" s="9" t="n">
        <x:v>0</x:v>
      </x:c>
      <x:c r="O1944" s="9" t="n">
        <x:v>0</x:v>
      </x:c>
      <x:c r="P1944" s="9" t="str">
        <x:v>HELD / UNRELEASED</x:v>
      </x:c>
      <x:c r="Q1944" s="9" t="n">
        <x:f>COUNTIFS($A$7:$A$2310,A1944)</x:f>
        <x:v>1</x:v>
      </x:c>
    </x:row>
    <x:row r="1945">
      <x:c r="A1945" s="9" t="str">
        <x:v>PD-AR-ET-A-A-TECH-4-B1-BRK-G0-PD03</x:v>
      </x:c>
      <x:c r="B1945" s="9" t="str">
        <x:v>PD-AR-ET-A-A-TECH-4-B1-BRK-G0</x:v>
      </x:c>
      <x:c r="C1945" s="9" t="str">
        <x:v>EV-AR-ET-A-A-TECH-4-B1-BRK-G0</x:v>
      </x:c>
      <x:c r="D1945" s="9" t="str">
        <x:v>AR-ET-A-A-TECH-4-B1-BRK-G0</x:v>
      </x:c>
      <x:c r="E1945" s="9" t="str">
        <x:v>ET-A-A-TECH-4</x:v>
      </x:c>
      <x:c r="F1945" s="9" t="str">
        <x:v>ET-A-A</x:v>
      </x:c>
      <x:c r="G1945" s="9" t="str">
        <x:v>B1</x:v>
      </x:c>
      <x:c r="H1945" s="9" t="str">
        <x:v>BRK</x:v>
      </x:c>
      <x:c r="I1945" s="9" t="str">
        <x:v>PD03</x:v>
      </x:c>
      <x:c r="J1945" s="17" t="str">
        <x:v>Configuration and as-built manifest</x:v>
      </x:c>
      <x:c r="K1945" s="17" t="str">
        <x:v>Artifact exchange</x:v>
      </x:c>
      <x:c r="L1945" s="17" t="str">
        <x:v>COURT-SEALED UNTIL COHORT RELEASE</x:v>
      </x:c>
      <x:c r="M1945" s="9" t="n">
        <x:v>0</x:v>
      </x:c>
      <x:c r="N1945" s="9" t="n">
        <x:v>0</x:v>
      </x:c>
      <x:c r="O1945" s="9" t="n">
        <x:v>0</x:v>
      </x:c>
      <x:c r="P1945" s="9" t="str">
        <x:v>HELD / UNRELEASED</x:v>
      </x:c>
      <x:c r="Q1945" s="9" t="n">
        <x:f>COUNTIFS($A$7:$A$2310,A1945)</x:f>
        <x:v>1</x:v>
      </x:c>
    </x:row>
    <x:row r="1946">
      <x:c r="A1946" s="9" t="str">
        <x:v>PD-AR-ET-A-A-TECH-4-B1-BRK-G0-PD04</x:v>
      </x:c>
      <x:c r="B1946" s="9" t="str">
        <x:v>PD-AR-ET-A-A-TECH-4-B1-BRK-G0</x:v>
      </x:c>
      <x:c r="C1946" s="9" t="str">
        <x:v>EV-AR-ET-A-A-TECH-4-B1-BRK-G0</x:v>
      </x:c>
      <x:c r="D1946" s="9" t="str">
        <x:v>AR-ET-A-A-TECH-4-B1-BRK-G0</x:v>
      </x:c>
      <x:c r="E1946" s="9" t="str">
        <x:v>ET-A-A-TECH-4</x:v>
      </x:c>
      <x:c r="F1946" s="9" t="str">
        <x:v>ET-A-A</x:v>
      </x:c>
      <x:c r="G1946" s="9" t="str">
        <x:v>B1</x:v>
      </x:c>
      <x:c r="H1946" s="9" t="str">
        <x:v>BRK</x:v>
      </x:c>
      <x:c r="I1946" s="9" t="str">
        <x:v>PD04</x:v>
      </x:c>
      <x:c r="J1946" s="17" t="str">
        <x:v>EOW and start certificate</x:v>
      </x:c>
      <x:c r="K1946" s="17" t="str">
        <x:v>Start registrar</x:v>
      </x:c>
      <x:c r="L1946" s="17" t="str">
        <x:v>COURT-SEALED UNTIL COHORT RELEASE</x:v>
      </x:c>
      <x:c r="M1946" s="9" t="n">
        <x:v>0</x:v>
      </x:c>
      <x:c r="N1946" s="9" t="n">
        <x:v>0</x:v>
      </x:c>
      <x:c r="O1946" s="9" t="n">
        <x:v>0</x:v>
      </x:c>
      <x:c r="P1946" s="9" t="str">
        <x:v>HELD / UNRELEASED</x:v>
      </x:c>
      <x:c r="Q1946" s="9" t="n">
        <x:f>COUNTIFS($A$7:$A$2310,A1946)</x:f>
        <x:v>1</x:v>
      </x:c>
    </x:row>
    <x:row r="1947">
      <x:c r="A1947" s="9" t="str">
        <x:v>PD-AR-ET-A-A-TECH-4-B1-BRK-G0-PD05</x:v>
      </x:c>
      <x:c r="B1947" s="9" t="str">
        <x:v>PD-AR-ET-A-A-TECH-4-B1-BRK-G0</x:v>
      </x:c>
      <x:c r="C1947" s="9" t="str">
        <x:v>EV-AR-ET-A-A-TECH-4-B1-BRK-G0</x:v>
      </x:c>
      <x:c r="D1947" s="9" t="str">
        <x:v>AR-ET-A-A-TECH-4-B1-BRK-G0</x:v>
      </x:c>
      <x:c r="E1947" s="9" t="str">
        <x:v>ET-A-A-TECH-4</x:v>
      </x:c>
      <x:c r="F1947" s="9" t="str">
        <x:v>ET-A-A</x:v>
      </x:c>
      <x:c r="G1947" s="9" t="str">
        <x:v>B1</x:v>
      </x:c>
      <x:c r="H1947" s="9" t="str">
        <x:v>BRK</x:v>
      </x:c>
      <x:c r="I1947" s="9" t="str">
        <x:v>PD05</x:v>
      </x:c>
      <x:c r="J1947" s="17" t="str">
        <x:v>Primary raw originals</x:v>
      </x:c>
      <x:c r="K1947" s="17" t="str">
        <x:v>Primary custody</x:v>
      </x:c>
      <x:c r="L1947" s="17" t="str">
        <x:v>COURT-SEALED UNTIL COHORT RELEASE</x:v>
      </x:c>
      <x:c r="M1947" s="9" t="n">
        <x:v>0</x:v>
      </x:c>
      <x:c r="N1947" s="9" t="n">
        <x:v>0</x:v>
      </x:c>
      <x:c r="O1947" s="9" t="n">
        <x:v>0</x:v>
      </x:c>
      <x:c r="P1947" s="9" t="str">
        <x:v>HELD / UNRELEASED</x:v>
      </x:c>
      <x:c r="Q1947" s="9" t="n">
        <x:f>COUNTIFS($A$7:$A$2310,A1947)</x:f>
        <x:v>1</x:v>
      </x:c>
    </x:row>
    <x:row r="1948">
      <x:c r="A1948" s="9" t="str">
        <x:v>PD-AR-ET-A-A-TECH-4-B1-BRK-G0-PD06</x:v>
      </x:c>
      <x:c r="B1948" s="9" t="str">
        <x:v>PD-AR-ET-A-A-TECH-4-B1-BRK-G0</x:v>
      </x:c>
      <x:c r="C1948" s="9" t="str">
        <x:v>EV-AR-ET-A-A-TECH-4-B1-BRK-G0</x:v>
      </x:c>
      <x:c r="D1948" s="9" t="str">
        <x:v>AR-ET-A-A-TECH-4-B1-BRK-G0</x:v>
      </x:c>
      <x:c r="E1948" s="9" t="str">
        <x:v>ET-A-A-TECH-4</x:v>
      </x:c>
      <x:c r="F1948" s="9" t="str">
        <x:v>ET-A-A</x:v>
      </x:c>
      <x:c r="G1948" s="9" t="str">
        <x:v>B1</x:v>
      </x:c>
      <x:c r="H1948" s="9" t="str">
        <x:v>BRK</x:v>
      </x:c>
      <x:c r="I1948" s="9" t="str">
        <x:v>PD06</x:v>
      </x:c>
      <x:c r="J1948" s="17" t="str">
        <x:v>Witness raw originals</x:v>
      </x:c>
      <x:c r="K1948" s="17" t="str">
        <x:v>Witness custody</x:v>
      </x:c>
      <x:c r="L1948" s="17" t="str">
        <x:v>COURT-SEALED UNTIL COHORT RELEASE</x:v>
      </x:c>
      <x:c r="M1948" s="9" t="n">
        <x:v>0</x:v>
      </x:c>
      <x:c r="N1948" s="9" t="n">
        <x:v>0</x:v>
      </x:c>
      <x:c r="O1948" s="9" t="n">
        <x:v>0</x:v>
      </x:c>
      <x:c r="P1948" s="9" t="str">
        <x:v>HELD / UNRELEASED</x:v>
      </x:c>
      <x:c r="Q1948" s="9" t="n">
        <x:f>COUNTIFS($A$7:$A$2310,A1948)</x:f>
        <x:v>1</x:v>
      </x:c>
    </x:row>
    <x:row r="1949">
      <x:c r="A1949" s="9" t="str">
        <x:v>PD-AR-ET-A-A-TECH-4-B1-BRK-G0-PD07</x:v>
      </x:c>
      <x:c r="B1949" s="9" t="str">
        <x:v>PD-AR-ET-A-A-TECH-4-B1-BRK-G0</x:v>
      </x:c>
      <x:c r="C1949" s="9" t="str">
        <x:v>EV-AR-ET-A-A-TECH-4-B1-BRK-G0</x:v>
      </x:c>
      <x:c r="D1949" s="9" t="str">
        <x:v>AR-ET-A-A-TECH-4-B1-BRK-G0</x:v>
      </x:c>
      <x:c r="E1949" s="9" t="str">
        <x:v>ET-A-A-TECH-4</x:v>
      </x:c>
      <x:c r="F1949" s="9" t="str">
        <x:v>ET-A-A</x:v>
      </x:c>
      <x:c r="G1949" s="9" t="str">
        <x:v>B1</x:v>
      </x:c>
      <x:c r="H1949" s="9" t="str">
        <x:v>BRK</x:v>
      </x:c>
      <x:c r="I1949" s="9" t="str">
        <x:v>PD07</x:v>
      </x:c>
      <x:c r="J1949" s="17" t="str">
        <x:v>Clock and environmental records</x:v>
      </x:c>
      <x:c r="K1949" s="17" t="str">
        <x:v>Boundary archive</x:v>
      </x:c>
      <x:c r="L1949" s="17" t="str">
        <x:v>COURT-SEALED UNTIL COHORT RELEASE</x:v>
      </x:c>
      <x:c r="M1949" s="9" t="n">
        <x:v>0</x:v>
      </x:c>
      <x:c r="N1949" s="9" t="n">
        <x:v>0</x:v>
      </x:c>
      <x:c r="O1949" s="9" t="n">
        <x:v>0</x:v>
      </x:c>
      <x:c r="P1949" s="9" t="str">
        <x:v>HELD / UNRELEASED</x:v>
      </x:c>
      <x:c r="Q1949" s="9" t="n">
        <x:f>COUNTIFS($A$7:$A$2310,A1949)</x:f>
        <x:v>1</x:v>
      </x:c>
    </x:row>
    <x:row r="1950">
      <x:c r="A1950" s="9" t="str">
        <x:v>PD-AR-ET-A-A-TECH-4-B1-BRK-G0-PD08</x:v>
      </x:c>
      <x:c r="B1950" s="9" t="str">
        <x:v>PD-AR-ET-A-A-TECH-4-B1-BRK-G0</x:v>
      </x:c>
      <x:c r="C1950" s="9" t="str">
        <x:v>EV-AR-ET-A-A-TECH-4-B1-BRK-G0</x:v>
      </x:c>
      <x:c r="D1950" s="9" t="str">
        <x:v>AR-ET-A-A-TECH-4-B1-BRK-G0</x:v>
      </x:c>
      <x:c r="E1950" s="9" t="str">
        <x:v>ET-A-A-TECH-4</x:v>
      </x:c>
      <x:c r="F1950" s="9" t="str">
        <x:v>ET-A-A</x:v>
      </x:c>
      <x:c r="G1950" s="9" t="str">
        <x:v>B1</x:v>
      </x:c>
      <x:c r="H1950" s="9" t="str">
        <x:v>BRK</x:v>
      </x:c>
      <x:c r="I1950" s="9" t="str">
        <x:v>PD08</x:v>
      </x:c>
      <x:c r="J1950" s="17" t="str">
        <x:v>Command and intervention log</x:v>
      </x:c>
      <x:c r="K1950" s="17" t="str">
        <x:v>Safety archive</x:v>
      </x:c>
      <x:c r="L1950" s="17" t="str">
        <x:v>COURT-SEALED UNTIL COHORT RELEASE</x:v>
      </x:c>
      <x:c r="M1950" s="9" t="n">
        <x:v>0</x:v>
      </x:c>
      <x:c r="N1950" s="9" t="n">
        <x:v>0</x:v>
      </x:c>
      <x:c r="O1950" s="9" t="n">
        <x:v>0</x:v>
      </x:c>
      <x:c r="P1950" s="9" t="str">
        <x:v>HELD / UNRELEASED</x:v>
      </x:c>
      <x:c r="Q1950" s="9" t="n">
        <x:f>COUNTIFS($A$7:$A$2310,A1950)</x:f>
        <x:v>1</x:v>
      </x:c>
    </x:row>
    <x:row r="1951">
      <x:c r="A1951" s="9" t="str">
        <x:v>PD-AR-ET-A-A-TECH-4-B1-BRK-G0-PD09</x:v>
      </x:c>
      <x:c r="B1951" s="9" t="str">
        <x:v>PD-AR-ET-A-A-TECH-4-B1-BRK-G0</x:v>
      </x:c>
      <x:c r="C1951" s="9" t="str">
        <x:v>EV-AR-ET-A-A-TECH-4-B1-BRK-G0</x:v>
      </x:c>
      <x:c r="D1951" s="9" t="str">
        <x:v>AR-ET-A-A-TECH-4-B1-BRK-G0</x:v>
      </x:c>
      <x:c r="E1951" s="9" t="str">
        <x:v>ET-A-A-TECH-4</x:v>
      </x:c>
      <x:c r="F1951" s="9" t="str">
        <x:v>ET-A-A</x:v>
      </x:c>
      <x:c r="G1951" s="9" t="str">
        <x:v>B1</x:v>
      </x:c>
      <x:c r="H1951" s="9" t="str">
        <x:v>BRK</x:v>
      </x:c>
      <x:c r="I1951" s="9" t="str">
        <x:v>PD09</x:v>
      </x:c>
      <x:c r="J1951" s="17" t="str">
        <x:v>Receiver denominator and service ledger</x:v>
      </x:c>
      <x:c r="K1951" s="17" t="str">
        <x:v>Receiver archive</x:v>
      </x:c>
      <x:c r="L1951" s="17" t="str">
        <x:v>COURT-SEALED UNTIL COHORT RELEASE</x:v>
      </x:c>
      <x:c r="M1951" s="9" t="n">
        <x:v>0</x:v>
      </x:c>
      <x:c r="N1951" s="9" t="n">
        <x:v>0</x:v>
      </x:c>
      <x:c r="O1951" s="9" t="n">
        <x:v>0</x:v>
      </x:c>
      <x:c r="P1951" s="9" t="str">
        <x:v>HELD / UNRELEASED</x:v>
      </x:c>
      <x:c r="Q1951" s="9" t="n">
        <x:f>COUNTIFS($A$7:$A$2310,A1951)</x:f>
        <x:v>1</x:v>
      </x:c>
    </x:row>
    <x:row r="1952">
      <x:c r="A1952" s="9" t="str">
        <x:v>PD-AR-ET-A-A-TECH-4-B1-BRK-G0-PD10</x:v>
      </x:c>
      <x:c r="B1952" s="9" t="str">
        <x:v>PD-AR-ET-A-A-TECH-4-B1-BRK-G0</x:v>
      </x:c>
      <x:c r="C1952" s="9" t="str">
        <x:v>EV-AR-ET-A-A-TECH-4-B1-BRK-G0</x:v>
      </x:c>
      <x:c r="D1952" s="9" t="str">
        <x:v>AR-ET-A-A-TECH-4-B1-BRK-G0</x:v>
      </x:c>
      <x:c r="E1952" s="9" t="str">
        <x:v>ET-A-A-TECH-4</x:v>
      </x:c>
      <x:c r="F1952" s="9" t="str">
        <x:v>ET-A-A</x:v>
      </x:c>
      <x:c r="G1952" s="9" t="str">
        <x:v>B1</x:v>
      </x:c>
      <x:c r="H1952" s="9" t="str">
        <x:v>BRK</x:v>
      </x:c>
      <x:c r="I1952" s="9" t="str">
        <x:v>PD10</x:v>
      </x:c>
      <x:c r="J1952" s="17" t="str">
        <x:v>Calibration and uncertainty record</x:v>
      </x:c>
      <x:c r="K1952" s="17" t="str">
        <x:v>Metrology archive</x:v>
      </x:c>
      <x:c r="L1952" s="17" t="str">
        <x:v>COURT-SEALED UNTIL COHORT RELEASE</x:v>
      </x:c>
      <x:c r="M1952" s="9" t="n">
        <x:v>0</x:v>
      </x:c>
      <x:c r="N1952" s="9" t="n">
        <x:v>0</x:v>
      </x:c>
      <x:c r="O1952" s="9" t="n">
        <x:v>0</x:v>
      </x:c>
      <x:c r="P1952" s="9" t="str">
        <x:v>HELD / UNRELEASED</x:v>
      </x:c>
      <x:c r="Q1952" s="9" t="n">
        <x:f>COUNTIFS($A$7:$A$2310,A1952)</x:f>
        <x:v>1</x:v>
      </x:c>
    </x:row>
    <x:row r="1953">
      <x:c r="A1953" s="9" t="str">
        <x:v>PD-AR-ET-A-A-TECH-4-B1-BRK-G0-PD11</x:v>
      </x:c>
      <x:c r="B1953" s="9" t="str">
        <x:v>PD-AR-ET-A-A-TECH-4-B1-BRK-G0</x:v>
      </x:c>
      <x:c r="C1953" s="9" t="str">
        <x:v>EV-AR-ET-A-A-TECH-4-B1-BRK-G0</x:v>
      </x:c>
      <x:c r="D1953" s="9" t="str">
        <x:v>AR-ET-A-A-TECH-4-B1-BRK-G0</x:v>
      </x:c>
      <x:c r="E1953" s="9" t="str">
        <x:v>ET-A-A-TECH-4</x:v>
      </x:c>
      <x:c r="F1953" s="9" t="str">
        <x:v>ET-A-A</x:v>
      </x:c>
      <x:c r="G1953" s="9" t="str">
        <x:v>B1</x:v>
      </x:c>
      <x:c r="H1953" s="9" t="str">
        <x:v>BRK</x:v>
      </x:c>
      <x:c r="I1953" s="9" t="str">
        <x:v>PD11</x:v>
      </x:c>
      <x:c r="J1953" s="17" t="str">
        <x:v>Invalidity petition and opinion</x:v>
      </x:c>
      <x:c r="K1953" s="17" t="str">
        <x:v>Invalidity court</x:v>
      </x:c>
      <x:c r="L1953" s="17" t="str">
        <x:v>COURT-SEALED UNTIL COHORT RELEASE</x:v>
      </x:c>
      <x:c r="M1953" s="9" t="n">
        <x:v>0</x:v>
      </x:c>
      <x:c r="N1953" s="9" t="n">
        <x:v>0</x:v>
      </x:c>
      <x:c r="O1953" s="9" t="n">
        <x:v>0</x:v>
      </x:c>
      <x:c r="P1953" s="9" t="str">
        <x:v>HELD / UNRELEASED</x:v>
      </x:c>
      <x:c r="Q1953" s="9" t="n">
        <x:f>COUNTIFS($A$7:$A$2310,A1953)</x:f>
        <x:v>1</x:v>
      </x:c>
    </x:row>
    <x:row r="1954">
      <x:c r="A1954" s="9" t="str">
        <x:v>PD-AR-ET-A-A-TECH-4-B1-BRK-G0-PD12</x:v>
      </x:c>
      <x:c r="B1954" s="9" t="str">
        <x:v>PD-AR-ET-A-A-TECH-4-B1-BRK-G0</x:v>
      </x:c>
      <x:c r="C1954" s="9" t="str">
        <x:v>EV-AR-ET-A-A-TECH-4-B1-BRK-G0</x:v>
      </x:c>
      <x:c r="D1954" s="9" t="str">
        <x:v>AR-ET-A-A-TECH-4-B1-BRK-G0</x:v>
      </x:c>
      <x:c r="E1954" s="9" t="str">
        <x:v>ET-A-A-TECH-4</x:v>
      </x:c>
      <x:c r="F1954" s="9" t="str">
        <x:v>ET-A-A</x:v>
      </x:c>
      <x:c r="G1954" s="9" t="str">
        <x:v>B1</x:v>
      </x:c>
      <x:c r="H1954" s="9" t="str">
        <x:v>BRK</x:v>
      </x:c>
      <x:c r="I1954" s="9" t="str">
        <x:v>PD12</x:v>
      </x:c>
      <x:c r="J1954" s="17" t="str">
        <x:v>Observation acceptance and replay</x:v>
      </x:c>
      <x:c r="K1954" s="17" t="str">
        <x:v>Observation court</x:v>
      </x:c>
      <x:c r="L1954" s="17" t="str">
        <x:v>COURT-SEALED UNTIL COHORT RELEASE</x:v>
      </x:c>
      <x:c r="M1954" s="9" t="n">
        <x:v>0</x:v>
      </x:c>
      <x:c r="N1954" s="9" t="n">
        <x:v>0</x:v>
      </x:c>
      <x:c r="O1954" s="9" t="n">
        <x:v>0</x:v>
      </x:c>
      <x:c r="P1954" s="9" t="str">
        <x:v>HELD / UNRELEASED</x:v>
      </x:c>
      <x:c r="Q1954" s="9" t="n">
        <x:f>COUNTIFS($A$7:$A$2310,A1954)</x:f>
        <x:v>1</x:v>
      </x:c>
    </x:row>
    <x:row r="1955">
      <x:c r="A1955" s="9" t="str">
        <x:v>PD-AR-ET-A-A-TECH-4-B1-BRK-G0-PD13</x:v>
      </x:c>
      <x:c r="B1955" s="9" t="str">
        <x:v>PD-AR-ET-A-A-TECH-4-B1-BRK-G0</x:v>
      </x:c>
      <x:c r="C1955" s="9" t="str">
        <x:v>EV-AR-ET-A-A-TECH-4-B1-BRK-G0</x:v>
      </x:c>
      <x:c r="D1955" s="9" t="str">
        <x:v>AR-ET-A-A-TECH-4-B1-BRK-G0</x:v>
      </x:c>
      <x:c r="E1955" s="9" t="str">
        <x:v>ET-A-A-TECH-4</x:v>
      </x:c>
      <x:c r="F1955" s="9" t="str">
        <x:v>ET-A-A</x:v>
      </x:c>
      <x:c r="G1955" s="9" t="str">
        <x:v>B1</x:v>
      </x:c>
      <x:c r="H1955" s="9" t="str">
        <x:v>BRK</x:v>
      </x:c>
      <x:c r="I1955" s="9" t="str">
        <x:v>PD13</x:v>
      </x:c>
      <x:c r="J1955" s="17" t="str">
        <x:v>Role judgment</x:v>
      </x:c>
      <x:c r="K1955" s="17" t="str">
        <x:v>Role court</x:v>
      </x:c>
      <x:c r="L1955" s="17" t="str">
        <x:v>COURT-SEALED UNTIL COHORT RELEASE</x:v>
      </x:c>
      <x:c r="M1955" s="9" t="n">
        <x:v>0</x:v>
      </x:c>
      <x:c r="N1955" s="9" t="n">
        <x:v>0</x:v>
      </x:c>
      <x:c r="O1955" s="9" t="n">
        <x:v>0</x:v>
      </x:c>
      <x:c r="P1955" s="9" t="str">
        <x:v>HELD / UNRELEASED</x:v>
      </x:c>
      <x:c r="Q1955" s="9" t="n">
        <x:f>COUNTIFS($A$7:$A$2310,A1955)</x:f>
        <x:v>1</x:v>
      </x:c>
    </x:row>
    <x:row r="1956">
      <x:c r="A1956" s="9" t="str">
        <x:v>PD-AR-ET-A-A-TECH-4-B1-BRK-G0-PD14</x:v>
      </x:c>
      <x:c r="B1956" s="9" t="str">
        <x:v>PD-AR-ET-A-A-TECH-4-B1-BRK-G0</x:v>
      </x:c>
      <x:c r="C1956" s="9" t="str">
        <x:v>EV-AR-ET-A-A-TECH-4-B1-BRK-G0</x:v>
      </x:c>
      <x:c r="D1956" s="9" t="str">
        <x:v>AR-ET-A-A-TECH-4-B1-BRK-G0</x:v>
      </x:c>
      <x:c r="E1956" s="9" t="str">
        <x:v>ET-A-A-TECH-4</x:v>
      </x:c>
      <x:c r="F1956" s="9" t="str">
        <x:v>ET-A-A</x:v>
      </x:c>
      <x:c r="G1956" s="9" t="str">
        <x:v>B1</x:v>
      </x:c>
      <x:c r="H1956" s="9" t="str">
        <x:v>BRK</x:v>
      </x:c>
      <x:c r="I1956" s="9" t="str">
        <x:v>PD14</x:v>
      </x:c>
      <x:c r="J1956" s="17" t="str">
        <x:v>Break and residual account</x:v>
      </x:c>
      <x:c r="K1956" s="17" t="str">
        <x:v>Residual authority</x:v>
      </x:c>
      <x:c r="L1956" s="17" t="str">
        <x:v>COURT-SEALED UNTIL COHORT RELEASE</x:v>
      </x:c>
      <x:c r="M1956" s="9" t="n">
        <x:v>0</x:v>
      </x:c>
      <x:c r="N1956" s="9" t="n">
        <x:v>0</x:v>
      </x:c>
      <x:c r="O1956" s="9" t="n">
        <x:v>0</x:v>
      </x:c>
      <x:c r="P1956" s="9" t="str">
        <x:v>HELD / UNRELEASED</x:v>
      </x:c>
      <x:c r="Q1956" s="9" t="n">
        <x:f>COUNTIFS($A$7:$A$2310,A1956)</x:f>
        <x:v>1</x:v>
      </x:c>
    </x:row>
    <x:row r="1957">
      <x:c r="A1957" s="9" t="str">
        <x:v>PD-AR-ET-A-A-TECH-4-B1-BRK-G0-PD15</x:v>
      </x:c>
      <x:c r="B1957" s="9" t="str">
        <x:v>PD-AR-ET-A-A-TECH-4-B1-BRK-G0</x:v>
      </x:c>
      <x:c r="C1957" s="9" t="str">
        <x:v>EV-AR-ET-A-A-TECH-4-B1-BRK-G0</x:v>
      </x:c>
      <x:c r="D1957" s="9" t="str">
        <x:v>AR-ET-A-A-TECH-4-B1-BRK-G0</x:v>
      </x:c>
      <x:c r="E1957" s="9" t="str">
        <x:v>ET-A-A-TECH-4</x:v>
      </x:c>
      <x:c r="F1957" s="9" t="str">
        <x:v>ET-A-A</x:v>
      </x:c>
      <x:c r="G1957" s="9" t="str">
        <x:v>B1</x:v>
      </x:c>
      <x:c r="H1957" s="9" t="str">
        <x:v>BRK</x:v>
      </x:c>
      <x:c r="I1957" s="9" t="str">
        <x:v>PD15</x:v>
      </x:c>
      <x:c r="J1957" s="17" t="str">
        <x:v>Reconstruction ancestry and replay</x:v>
      </x:c>
      <x:c r="K1957" s="17" t="str">
        <x:v>Reconstruction court</x:v>
      </x:c>
      <x:c r="L1957" s="17" t="str">
        <x:v>COURT-SEALED UNTIL COHORT RELEASE</x:v>
      </x:c>
      <x:c r="M1957" s="9" t="n">
        <x:v>0</x:v>
      </x:c>
      <x:c r="N1957" s="9" t="n">
        <x:v>0</x:v>
      </x:c>
      <x:c r="O1957" s="9" t="n">
        <x:v>0</x:v>
      </x:c>
      <x:c r="P1957" s="9" t="str">
        <x:v>HELD / UNRELEASED</x:v>
      </x:c>
      <x:c r="Q1957" s="9" t="n">
        <x:f>COUNTIFS($A$7:$A$2310,A1957)</x:f>
        <x:v>1</x:v>
      </x:c>
    </x:row>
    <x:row r="1958">
      <x:c r="A1958" s="9" t="str">
        <x:v>PD-AR-ET-A-A-TECH-4-B1-BRK-G0-PD16</x:v>
      </x:c>
      <x:c r="B1958" s="9" t="str">
        <x:v>PD-AR-ET-A-A-TECH-4-B1-BRK-G0</x:v>
      </x:c>
      <x:c r="C1958" s="9" t="str">
        <x:v>EV-AR-ET-A-A-TECH-4-B1-BRK-G0</x:v>
      </x:c>
      <x:c r="D1958" s="9" t="str">
        <x:v>AR-ET-A-A-TECH-4-B1-BRK-G0</x:v>
      </x:c>
      <x:c r="E1958" s="9" t="str">
        <x:v>ET-A-A-TECH-4</x:v>
      </x:c>
      <x:c r="F1958" s="9" t="str">
        <x:v>ET-A-A</x:v>
      </x:c>
      <x:c r="G1958" s="9" t="str">
        <x:v>B1</x:v>
      </x:c>
      <x:c r="H1958" s="9" t="str">
        <x:v>BRK</x:v>
      </x:c>
      <x:c r="I1958" s="9" t="str">
        <x:v>PD16</x:v>
      </x:c>
      <x:c r="J1958" s="17" t="str">
        <x:v>Dissent, amendments and access log</x:v>
      </x:c>
      <x:c r="K1958" s="17" t="str">
        <x:v>Public archive</x:v>
      </x:c>
      <x:c r="L1958" s="17" t="str">
        <x:v>COURT-SEALED UNTIL COHORT RELEASE</x:v>
      </x:c>
      <x:c r="M1958" s="9" t="n">
        <x:v>0</x:v>
      </x:c>
      <x:c r="N1958" s="9" t="n">
        <x:v>0</x:v>
      </x:c>
      <x:c r="O1958" s="9" t="n">
        <x:v>0</x:v>
      </x:c>
      <x:c r="P1958" s="9" t="str">
        <x:v>HELD / UNRELEASED</x:v>
      </x:c>
      <x:c r="Q1958" s="9" t="n">
        <x:f>COUNTIFS($A$7:$A$2310,A1958)</x:f>
        <x:v>1</x:v>
      </x:c>
    </x:row>
    <x:row r="1959">
      <x:c r="A1959" s="9" t="str">
        <x:v>PD-AR-ET-A-A-TECH-3-B2-BRK-G0-PD01</x:v>
      </x:c>
      <x:c r="B1959" s="9" t="str">
        <x:v>PD-AR-ET-A-A-TECH-3-B2-BRK-G0</x:v>
      </x:c>
      <x:c r="C1959" s="9" t="str">
        <x:v>EV-AR-ET-A-A-TECH-3-B2-BRK-G0</x:v>
      </x:c>
      <x:c r="D1959" s="9" t="str">
        <x:v>AR-ET-A-A-TECH-3-B2-BRK-G0</x:v>
      </x:c>
      <x:c r="E1959" s="9" t="str">
        <x:v>ET-A-A-TECH-3</x:v>
      </x:c>
      <x:c r="F1959" s="9" t="str">
        <x:v>ET-A-A</x:v>
      </x:c>
      <x:c r="G1959" s="9" t="str">
        <x:v>B2</x:v>
      </x:c>
      <x:c r="H1959" s="9" t="str">
        <x:v>BRK</x:v>
      </x:c>
      <x:c r="I1959" s="9" t="str">
        <x:v>PD01</x:v>
      </x:c>
      <x:c r="J1959" s="17" t="str">
        <x:v>Experiment kernel</x:v>
      </x:c>
      <x:c r="K1959" s="17" t="str">
        <x:v>Public archive</x:v>
      </x:c>
      <x:c r="L1959" s="17" t="str">
        <x:v>COURT-SEALED UNTIL COHORT RELEASE</x:v>
      </x:c>
      <x:c r="M1959" s="9" t="n">
        <x:v>0</x:v>
      </x:c>
      <x:c r="N1959" s="9" t="n">
        <x:v>0</x:v>
      </x:c>
      <x:c r="O1959" s="9" t="n">
        <x:v>0</x:v>
      </x:c>
      <x:c r="P1959" s="9" t="str">
        <x:v>HELD / UNRELEASED</x:v>
      </x:c>
      <x:c r="Q1959" s="9" t="n">
        <x:f>COUNTIFS($A$7:$A$2310,A1959)</x:f>
        <x:v>1</x:v>
      </x:c>
    </x:row>
    <x:row r="1960">
      <x:c r="A1960" s="9" t="str">
        <x:v>PD-AR-ET-A-A-TECH-3-B2-BRK-G0-PD02</x:v>
      </x:c>
      <x:c r="B1960" s="9" t="str">
        <x:v>PD-AR-ET-A-A-TECH-3-B2-BRK-G0</x:v>
      </x:c>
      <x:c r="C1960" s="9" t="str">
        <x:v>EV-AR-ET-A-A-TECH-3-B2-BRK-G0</x:v>
      </x:c>
      <x:c r="D1960" s="9" t="str">
        <x:v>AR-ET-A-A-TECH-3-B2-BRK-G0</x:v>
      </x:c>
      <x:c r="E1960" s="9" t="str">
        <x:v>ET-A-A-TECH-3</x:v>
      </x:c>
      <x:c r="F1960" s="9" t="str">
        <x:v>ET-A-A</x:v>
      </x:c>
      <x:c r="G1960" s="9" t="str">
        <x:v>B2</x:v>
      </x:c>
      <x:c r="H1960" s="9" t="str">
        <x:v>BRK</x:v>
      </x:c>
      <x:c r="I1960" s="9" t="str">
        <x:v>PD02</x:v>
      </x:c>
      <x:c r="J1960" s="17" t="str">
        <x:v>Serial annex and title chain</x:v>
      </x:c>
      <x:c r="K1960" s="17" t="str">
        <x:v>Public archive</x:v>
      </x:c>
      <x:c r="L1960" s="17" t="str">
        <x:v>COURT-SEALED UNTIL COHORT RELEASE</x:v>
      </x:c>
      <x:c r="M1960" s="9" t="n">
        <x:v>0</x:v>
      </x:c>
      <x:c r="N1960" s="9" t="n">
        <x:v>0</x:v>
      </x:c>
      <x:c r="O1960" s="9" t="n">
        <x:v>0</x:v>
      </x:c>
      <x:c r="P1960" s="9" t="str">
        <x:v>HELD / UNRELEASED</x:v>
      </x:c>
      <x:c r="Q1960" s="9" t="n">
        <x:f>COUNTIFS($A$7:$A$2310,A1960)</x:f>
        <x:v>1</x:v>
      </x:c>
    </x:row>
    <x:row r="1961">
      <x:c r="A1961" s="9" t="str">
        <x:v>PD-AR-ET-A-A-TECH-3-B2-BRK-G0-PD03</x:v>
      </x:c>
      <x:c r="B1961" s="9" t="str">
        <x:v>PD-AR-ET-A-A-TECH-3-B2-BRK-G0</x:v>
      </x:c>
      <x:c r="C1961" s="9" t="str">
        <x:v>EV-AR-ET-A-A-TECH-3-B2-BRK-G0</x:v>
      </x:c>
      <x:c r="D1961" s="9" t="str">
        <x:v>AR-ET-A-A-TECH-3-B2-BRK-G0</x:v>
      </x:c>
      <x:c r="E1961" s="9" t="str">
        <x:v>ET-A-A-TECH-3</x:v>
      </x:c>
      <x:c r="F1961" s="9" t="str">
        <x:v>ET-A-A</x:v>
      </x:c>
      <x:c r="G1961" s="9" t="str">
        <x:v>B2</x:v>
      </x:c>
      <x:c r="H1961" s="9" t="str">
        <x:v>BRK</x:v>
      </x:c>
      <x:c r="I1961" s="9" t="str">
        <x:v>PD03</x:v>
      </x:c>
      <x:c r="J1961" s="17" t="str">
        <x:v>Configuration and as-built manifest</x:v>
      </x:c>
      <x:c r="K1961" s="17" t="str">
        <x:v>Artifact exchange</x:v>
      </x:c>
      <x:c r="L1961" s="17" t="str">
        <x:v>COURT-SEALED UNTIL COHORT RELEASE</x:v>
      </x:c>
      <x:c r="M1961" s="9" t="n">
        <x:v>0</x:v>
      </x:c>
      <x:c r="N1961" s="9" t="n">
        <x:v>0</x:v>
      </x:c>
      <x:c r="O1961" s="9" t="n">
        <x:v>0</x:v>
      </x:c>
      <x:c r="P1961" s="9" t="str">
        <x:v>HELD / UNRELEASED</x:v>
      </x:c>
      <x:c r="Q1961" s="9" t="n">
        <x:f>COUNTIFS($A$7:$A$2310,A1961)</x:f>
        <x:v>1</x:v>
      </x:c>
    </x:row>
    <x:row r="1962">
      <x:c r="A1962" s="9" t="str">
        <x:v>PD-AR-ET-A-A-TECH-3-B2-BRK-G0-PD04</x:v>
      </x:c>
      <x:c r="B1962" s="9" t="str">
        <x:v>PD-AR-ET-A-A-TECH-3-B2-BRK-G0</x:v>
      </x:c>
      <x:c r="C1962" s="9" t="str">
        <x:v>EV-AR-ET-A-A-TECH-3-B2-BRK-G0</x:v>
      </x:c>
      <x:c r="D1962" s="9" t="str">
        <x:v>AR-ET-A-A-TECH-3-B2-BRK-G0</x:v>
      </x:c>
      <x:c r="E1962" s="9" t="str">
        <x:v>ET-A-A-TECH-3</x:v>
      </x:c>
      <x:c r="F1962" s="9" t="str">
        <x:v>ET-A-A</x:v>
      </x:c>
      <x:c r="G1962" s="9" t="str">
        <x:v>B2</x:v>
      </x:c>
      <x:c r="H1962" s="9" t="str">
        <x:v>BRK</x:v>
      </x:c>
      <x:c r="I1962" s="9" t="str">
        <x:v>PD04</x:v>
      </x:c>
      <x:c r="J1962" s="17" t="str">
        <x:v>EOW and start certificate</x:v>
      </x:c>
      <x:c r="K1962" s="17" t="str">
        <x:v>Start registrar</x:v>
      </x:c>
      <x:c r="L1962" s="17" t="str">
        <x:v>COURT-SEALED UNTIL COHORT RELEASE</x:v>
      </x:c>
      <x:c r="M1962" s="9" t="n">
        <x:v>0</x:v>
      </x:c>
      <x:c r="N1962" s="9" t="n">
        <x:v>0</x:v>
      </x:c>
      <x:c r="O1962" s="9" t="n">
        <x:v>0</x:v>
      </x:c>
      <x:c r="P1962" s="9" t="str">
        <x:v>HELD / UNRELEASED</x:v>
      </x:c>
      <x:c r="Q1962" s="9" t="n">
        <x:f>COUNTIFS($A$7:$A$2310,A1962)</x:f>
        <x:v>1</x:v>
      </x:c>
    </x:row>
    <x:row r="1963">
      <x:c r="A1963" s="9" t="str">
        <x:v>PD-AR-ET-A-A-TECH-3-B2-BRK-G0-PD05</x:v>
      </x:c>
      <x:c r="B1963" s="9" t="str">
        <x:v>PD-AR-ET-A-A-TECH-3-B2-BRK-G0</x:v>
      </x:c>
      <x:c r="C1963" s="9" t="str">
        <x:v>EV-AR-ET-A-A-TECH-3-B2-BRK-G0</x:v>
      </x:c>
      <x:c r="D1963" s="9" t="str">
        <x:v>AR-ET-A-A-TECH-3-B2-BRK-G0</x:v>
      </x:c>
      <x:c r="E1963" s="9" t="str">
        <x:v>ET-A-A-TECH-3</x:v>
      </x:c>
      <x:c r="F1963" s="9" t="str">
        <x:v>ET-A-A</x:v>
      </x:c>
      <x:c r="G1963" s="9" t="str">
        <x:v>B2</x:v>
      </x:c>
      <x:c r="H1963" s="9" t="str">
        <x:v>BRK</x:v>
      </x:c>
      <x:c r="I1963" s="9" t="str">
        <x:v>PD05</x:v>
      </x:c>
      <x:c r="J1963" s="17" t="str">
        <x:v>Primary raw originals</x:v>
      </x:c>
      <x:c r="K1963" s="17" t="str">
        <x:v>Primary custody</x:v>
      </x:c>
      <x:c r="L1963" s="17" t="str">
        <x:v>COURT-SEALED UNTIL COHORT RELEASE</x:v>
      </x:c>
      <x:c r="M1963" s="9" t="n">
        <x:v>0</x:v>
      </x:c>
      <x:c r="N1963" s="9" t="n">
        <x:v>0</x:v>
      </x:c>
      <x:c r="O1963" s="9" t="n">
        <x:v>0</x:v>
      </x:c>
      <x:c r="P1963" s="9" t="str">
        <x:v>HELD / UNRELEASED</x:v>
      </x:c>
      <x:c r="Q1963" s="9" t="n">
        <x:f>COUNTIFS($A$7:$A$2310,A1963)</x:f>
        <x:v>1</x:v>
      </x:c>
    </x:row>
    <x:row r="1964">
      <x:c r="A1964" s="9" t="str">
        <x:v>PD-AR-ET-A-A-TECH-3-B2-BRK-G0-PD06</x:v>
      </x:c>
      <x:c r="B1964" s="9" t="str">
        <x:v>PD-AR-ET-A-A-TECH-3-B2-BRK-G0</x:v>
      </x:c>
      <x:c r="C1964" s="9" t="str">
        <x:v>EV-AR-ET-A-A-TECH-3-B2-BRK-G0</x:v>
      </x:c>
      <x:c r="D1964" s="9" t="str">
        <x:v>AR-ET-A-A-TECH-3-B2-BRK-G0</x:v>
      </x:c>
      <x:c r="E1964" s="9" t="str">
        <x:v>ET-A-A-TECH-3</x:v>
      </x:c>
      <x:c r="F1964" s="9" t="str">
        <x:v>ET-A-A</x:v>
      </x:c>
      <x:c r="G1964" s="9" t="str">
        <x:v>B2</x:v>
      </x:c>
      <x:c r="H1964" s="9" t="str">
        <x:v>BRK</x:v>
      </x:c>
      <x:c r="I1964" s="9" t="str">
        <x:v>PD06</x:v>
      </x:c>
      <x:c r="J1964" s="17" t="str">
        <x:v>Witness raw originals</x:v>
      </x:c>
      <x:c r="K1964" s="17" t="str">
        <x:v>Witness custody</x:v>
      </x:c>
      <x:c r="L1964" s="17" t="str">
        <x:v>COURT-SEALED UNTIL COHORT RELEASE</x:v>
      </x:c>
      <x:c r="M1964" s="9" t="n">
        <x:v>0</x:v>
      </x:c>
      <x:c r="N1964" s="9" t="n">
        <x:v>0</x:v>
      </x:c>
      <x:c r="O1964" s="9" t="n">
        <x:v>0</x:v>
      </x:c>
      <x:c r="P1964" s="9" t="str">
        <x:v>HELD / UNRELEASED</x:v>
      </x:c>
      <x:c r="Q1964" s="9" t="n">
        <x:f>COUNTIFS($A$7:$A$2310,A1964)</x:f>
        <x:v>1</x:v>
      </x:c>
    </x:row>
    <x:row r="1965">
      <x:c r="A1965" s="9" t="str">
        <x:v>PD-AR-ET-A-A-TECH-3-B2-BRK-G0-PD07</x:v>
      </x:c>
      <x:c r="B1965" s="9" t="str">
        <x:v>PD-AR-ET-A-A-TECH-3-B2-BRK-G0</x:v>
      </x:c>
      <x:c r="C1965" s="9" t="str">
        <x:v>EV-AR-ET-A-A-TECH-3-B2-BRK-G0</x:v>
      </x:c>
      <x:c r="D1965" s="9" t="str">
        <x:v>AR-ET-A-A-TECH-3-B2-BRK-G0</x:v>
      </x:c>
      <x:c r="E1965" s="9" t="str">
        <x:v>ET-A-A-TECH-3</x:v>
      </x:c>
      <x:c r="F1965" s="9" t="str">
        <x:v>ET-A-A</x:v>
      </x:c>
      <x:c r="G1965" s="9" t="str">
        <x:v>B2</x:v>
      </x:c>
      <x:c r="H1965" s="9" t="str">
        <x:v>BRK</x:v>
      </x:c>
      <x:c r="I1965" s="9" t="str">
        <x:v>PD07</x:v>
      </x:c>
      <x:c r="J1965" s="17" t="str">
        <x:v>Clock and environmental records</x:v>
      </x:c>
      <x:c r="K1965" s="17" t="str">
        <x:v>Boundary archive</x:v>
      </x:c>
      <x:c r="L1965" s="17" t="str">
        <x:v>COURT-SEALED UNTIL COHORT RELEASE</x:v>
      </x:c>
      <x:c r="M1965" s="9" t="n">
        <x:v>0</x:v>
      </x:c>
      <x:c r="N1965" s="9" t="n">
        <x:v>0</x:v>
      </x:c>
      <x:c r="O1965" s="9" t="n">
        <x:v>0</x:v>
      </x:c>
      <x:c r="P1965" s="9" t="str">
        <x:v>HELD / UNRELEASED</x:v>
      </x:c>
      <x:c r="Q1965" s="9" t="n">
        <x:f>COUNTIFS($A$7:$A$2310,A1965)</x:f>
        <x:v>1</x:v>
      </x:c>
    </x:row>
    <x:row r="1966">
      <x:c r="A1966" s="9" t="str">
        <x:v>PD-AR-ET-A-A-TECH-3-B2-BRK-G0-PD08</x:v>
      </x:c>
      <x:c r="B1966" s="9" t="str">
        <x:v>PD-AR-ET-A-A-TECH-3-B2-BRK-G0</x:v>
      </x:c>
      <x:c r="C1966" s="9" t="str">
        <x:v>EV-AR-ET-A-A-TECH-3-B2-BRK-G0</x:v>
      </x:c>
      <x:c r="D1966" s="9" t="str">
        <x:v>AR-ET-A-A-TECH-3-B2-BRK-G0</x:v>
      </x:c>
      <x:c r="E1966" s="9" t="str">
        <x:v>ET-A-A-TECH-3</x:v>
      </x:c>
      <x:c r="F1966" s="9" t="str">
        <x:v>ET-A-A</x:v>
      </x:c>
      <x:c r="G1966" s="9" t="str">
        <x:v>B2</x:v>
      </x:c>
      <x:c r="H1966" s="9" t="str">
        <x:v>BRK</x:v>
      </x:c>
      <x:c r="I1966" s="9" t="str">
        <x:v>PD08</x:v>
      </x:c>
      <x:c r="J1966" s="17" t="str">
        <x:v>Command and intervention log</x:v>
      </x:c>
      <x:c r="K1966" s="17" t="str">
        <x:v>Safety archive</x:v>
      </x:c>
      <x:c r="L1966" s="17" t="str">
        <x:v>COURT-SEALED UNTIL COHORT RELEASE</x:v>
      </x:c>
      <x:c r="M1966" s="9" t="n">
        <x:v>0</x:v>
      </x:c>
      <x:c r="N1966" s="9" t="n">
        <x:v>0</x:v>
      </x:c>
      <x:c r="O1966" s="9" t="n">
        <x:v>0</x:v>
      </x:c>
      <x:c r="P1966" s="9" t="str">
        <x:v>HELD / UNRELEASED</x:v>
      </x:c>
      <x:c r="Q1966" s="9" t="n">
        <x:f>COUNTIFS($A$7:$A$2310,A1966)</x:f>
        <x:v>1</x:v>
      </x:c>
    </x:row>
    <x:row r="1967">
      <x:c r="A1967" s="9" t="str">
        <x:v>PD-AR-ET-A-A-TECH-3-B2-BRK-G0-PD09</x:v>
      </x:c>
      <x:c r="B1967" s="9" t="str">
        <x:v>PD-AR-ET-A-A-TECH-3-B2-BRK-G0</x:v>
      </x:c>
      <x:c r="C1967" s="9" t="str">
        <x:v>EV-AR-ET-A-A-TECH-3-B2-BRK-G0</x:v>
      </x:c>
      <x:c r="D1967" s="9" t="str">
        <x:v>AR-ET-A-A-TECH-3-B2-BRK-G0</x:v>
      </x:c>
      <x:c r="E1967" s="9" t="str">
        <x:v>ET-A-A-TECH-3</x:v>
      </x:c>
      <x:c r="F1967" s="9" t="str">
        <x:v>ET-A-A</x:v>
      </x:c>
      <x:c r="G1967" s="9" t="str">
        <x:v>B2</x:v>
      </x:c>
      <x:c r="H1967" s="9" t="str">
        <x:v>BRK</x:v>
      </x:c>
      <x:c r="I1967" s="9" t="str">
        <x:v>PD09</x:v>
      </x:c>
      <x:c r="J1967" s="17" t="str">
        <x:v>Receiver denominator and service ledger</x:v>
      </x:c>
      <x:c r="K1967" s="17" t="str">
        <x:v>Receiver archive</x:v>
      </x:c>
      <x:c r="L1967" s="17" t="str">
        <x:v>COURT-SEALED UNTIL COHORT RELEASE</x:v>
      </x:c>
      <x:c r="M1967" s="9" t="n">
        <x:v>0</x:v>
      </x:c>
      <x:c r="N1967" s="9" t="n">
        <x:v>0</x:v>
      </x:c>
      <x:c r="O1967" s="9" t="n">
        <x:v>0</x:v>
      </x:c>
      <x:c r="P1967" s="9" t="str">
        <x:v>HELD / UNRELEASED</x:v>
      </x:c>
      <x:c r="Q1967" s="9" t="n">
        <x:f>COUNTIFS($A$7:$A$2310,A1967)</x:f>
        <x:v>1</x:v>
      </x:c>
    </x:row>
    <x:row r="1968">
      <x:c r="A1968" s="9" t="str">
        <x:v>PD-AR-ET-A-A-TECH-3-B2-BRK-G0-PD10</x:v>
      </x:c>
      <x:c r="B1968" s="9" t="str">
        <x:v>PD-AR-ET-A-A-TECH-3-B2-BRK-G0</x:v>
      </x:c>
      <x:c r="C1968" s="9" t="str">
        <x:v>EV-AR-ET-A-A-TECH-3-B2-BRK-G0</x:v>
      </x:c>
      <x:c r="D1968" s="9" t="str">
        <x:v>AR-ET-A-A-TECH-3-B2-BRK-G0</x:v>
      </x:c>
      <x:c r="E1968" s="9" t="str">
        <x:v>ET-A-A-TECH-3</x:v>
      </x:c>
      <x:c r="F1968" s="9" t="str">
        <x:v>ET-A-A</x:v>
      </x:c>
      <x:c r="G1968" s="9" t="str">
        <x:v>B2</x:v>
      </x:c>
      <x:c r="H1968" s="9" t="str">
        <x:v>BRK</x:v>
      </x:c>
      <x:c r="I1968" s="9" t="str">
        <x:v>PD10</x:v>
      </x:c>
      <x:c r="J1968" s="17" t="str">
        <x:v>Calibration and uncertainty record</x:v>
      </x:c>
      <x:c r="K1968" s="17" t="str">
        <x:v>Metrology archive</x:v>
      </x:c>
      <x:c r="L1968" s="17" t="str">
        <x:v>COURT-SEALED UNTIL COHORT RELEASE</x:v>
      </x:c>
      <x:c r="M1968" s="9" t="n">
        <x:v>0</x:v>
      </x:c>
      <x:c r="N1968" s="9" t="n">
        <x:v>0</x:v>
      </x:c>
      <x:c r="O1968" s="9" t="n">
        <x:v>0</x:v>
      </x:c>
      <x:c r="P1968" s="9" t="str">
        <x:v>HELD / UNRELEASED</x:v>
      </x:c>
      <x:c r="Q1968" s="9" t="n">
        <x:f>COUNTIFS($A$7:$A$2310,A1968)</x:f>
        <x:v>1</x:v>
      </x:c>
    </x:row>
    <x:row r="1969">
      <x:c r="A1969" s="9" t="str">
        <x:v>PD-AR-ET-A-A-TECH-3-B2-BRK-G0-PD11</x:v>
      </x:c>
      <x:c r="B1969" s="9" t="str">
        <x:v>PD-AR-ET-A-A-TECH-3-B2-BRK-G0</x:v>
      </x:c>
      <x:c r="C1969" s="9" t="str">
        <x:v>EV-AR-ET-A-A-TECH-3-B2-BRK-G0</x:v>
      </x:c>
      <x:c r="D1969" s="9" t="str">
        <x:v>AR-ET-A-A-TECH-3-B2-BRK-G0</x:v>
      </x:c>
      <x:c r="E1969" s="9" t="str">
        <x:v>ET-A-A-TECH-3</x:v>
      </x:c>
      <x:c r="F1969" s="9" t="str">
        <x:v>ET-A-A</x:v>
      </x:c>
      <x:c r="G1969" s="9" t="str">
        <x:v>B2</x:v>
      </x:c>
      <x:c r="H1969" s="9" t="str">
        <x:v>BRK</x:v>
      </x:c>
      <x:c r="I1969" s="9" t="str">
        <x:v>PD11</x:v>
      </x:c>
      <x:c r="J1969" s="17" t="str">
        <x:v>Invalidity petition and opinion</x:v>
      </x:c>
      <x:c r="K1969" s="17" t="str">
        <x:v>Invalidity court</x:v>
      </x:c>
      <x:c r="L1969" s="17" t="str">
        <x:v>COURT-SEALED UNTIL COHORT RELEASE</x:v>
      </x:c>
      <x:c r="M1969" s="9" t="n">
        <x:v>0</x:v>
      </x:c>
      <x:c r="N1969" s="9" t="n">
        <x:v>0</x:v>
      </x:c>
      <x:c r="O1969" s="9" t="n">
        <x:v>0</x:v>
      </x:c>
      <x:c r="P1969" s="9" t="str">
        <x:v>HELD / UNRELEASED</x:v>
      </x:c>
      <x:c r="Q1969" s="9" t="n">
        <x:f>COUNTIFS($A$7:$A$2310,A1969)</x:f>
        <x:v>1</x:v>
      </x:c>
    </x:row>
    <x:row r="1970">
      <x:c r="A1970" s="9" t="str">
        <x:v>PD-AR-ET-A-A-TECH-3-B2-BRK-G0-PD12</x:v>
      </x:c>
      <x:c r="B1970" s="9" t="str">
        <x:v>PD-AR-ET-A-A-TECH-3-B2-BRK-G0</x:v>
      </x:c>
      <x:c r="C1970" s="9" t="str">
        <x:v>EV-AR-ET-A-A-TECH-3-B2-BRK-G0</x:v>
      </x:c>
      <x:c r="D1970" s="9" t="str">
        <x:v>AR-ET-A-A-TECH-3-B2-BRK-G0</x:v>
      </x:c>
      <x:c r="E1970" s="9" t="str">
        <x:v>ET-A-A-TECH-3</x:v>
      </x:c>
      <x:c r="F1970" s="9" t="str">
        <x:v>ET-A-A</x:v>
      </x:c>
      <x:c r="G1970" s="9" t="str">
        <x:v>B2</x:v>
      </x:c>
      <x:c r="H1970" s="9" t="str">
        <x:v>BRK</x:v>
      </x:c>
      <x:c r="I1970" s="9" t="str">
        <x:v>PD12</x:v>
      </x:c>
      <x:c r="J1970" s="17" t="str">
        <x:v>Observation acceptance and replay</x:v>
      </x:c>
      <x:c r="K1970" s="17" t="str">
        <x:v>Observation court</x:v>
      </x:c>
      <x:c r="L1970" s="17" t="str">
        <x:v>COURT-SEALED UNTIL COHORT RELEASE</x:v>
      </x:c>
      <x:c r="M1970" s="9" t="n">
        <x:v>0</x:v>
      </x:c>
      <x:c r="N1970" s="9" t="n">
        <x:v>0</x:v>
      </x:c>
      <x:c r="O1970" s="9" t="n">
        <x:v>0</x:v>
      </x:c>
      <x:c r="P1970" s="9" t="str">
        <x:v>HELD / UNRELEASED</x:v>
      </x:c>
      <x:c r="Q1970" s="9" t="n">
        <x:f>COUNTIFS($A$7:$A$2310,A1970)</x:f>
        <x:v>1</x:v>
      </x:c>
    </x:row>
    <x:row r="1971">
      <x:c r="A1971" s="9" t="str">
        <x:v>PD-AR-ET-A-A-TECH-3-B2-BRK-G0-PD13</x:v>
      </x:c>
      <x:c r="B1971" s="9" t="str">
        <x:v>PD-AR-ET-A-A-TECH-3-B2-BRK-G0</x:v>
      </x:c>
      <x:c r="C1971" s="9" t="str">
        <x:v>EV-AR-ET-A-A-TECH-3-B2-BRK-G0</x:v>
      </x:c>
      <x:c r="D1971" s="9" t="str">
        <x:v>AR-ET-A-A-TECH-3-B2-BRK-G0</x:v>
      </x:c>
      <x:c r="E1971" s="9" t="str">
        <x:v>ET-A-A-TECH-3</x:v>
      </x:c>
      <x:c r="F1971" s="9" t="str">
        <x:v>ET-A-A</x:v>
      </x:c>
      <x:c r="G1971" s="9" t="str">
        <x:v>B2</x:v>
      </x:c>
      <x:c r="H1971" s="9" t="str">
        <x:v>BRK</x:v>
      </x:c>
      <x:c r="I1971" s="9" t="str">
        <x:v>PD13</x:v>
      </x:c>
      <x:c r="J1971" s="17" t="str">
        <x:v>Role judgment</x:v>
      </x:c>
      <x:c r="K1971" s="17" t="str">
        <x:v>Role court</x:v>
      </x:c>
      <x:c r="L1971" s="17" t="str">
        <x:v>COURT-SEALED UNTIL COHORT RELEASE</x:v>
      </x:c>
      <x:c r="M1971" s="9" t="n">
        <x:v>0</x:v>
      </x:c>
      <x:c r="N1971" s="9" t="n">
        <x:v>0</x:v>
      </x:c>
      <x:c r="O1971" s="9" t="n">
        <x:v>0</x:v>
      </x:c>
      <x:c r="P1971" s="9" t="str">
        <x:v>HELD / UNRELEASED</x:v>
      </x:c>
      <x:c r="Q1971" s="9" t="n">
        <x:f>COUNTIFS($A$7:$A$2310,A1971)</x:f>
        <x:v>1</x:v>
      </x:c>
    </x:row>
    <x:row r="1972">
      <x:c r="A1972" s="9" t="str">
        <x:v>PD-AR-ET-A-A-TECH-3-B2-BRK-G0-PD14</x:v>
      </x:c>
      <x:c r="B1972" s="9" t="str">
        <x:v>PD-AR-ET-A-A-TECH-3-B2-BRK-G0</x:v>
      </x:c>
      <x:c r="C1972" s="9" t="str">
        <x:v>EV-AR-ET-A-A-TECH-3-B2-BRK-G0</x:v>
      </x:c>
      <x:c r="D1972" s="9" t="str">
        <x:v>AR-ET-A-A-TECH-3-B2-BRK-G0</x:v>
      </x:c>
      <x:c r="E1972" s="9" t="str">
        <x:v>ET-A-A-TECH-3</x:v>
      </x:c>
      <x:c r="F1972" s="9" t="str">
        <x:v>ET-A-A</x:v>
      </x:c>
      <x:c r="G1972" s="9" t="str">
        <x:v>B2</x:v>
      </x:c>
      <x:c r="H1972" s="9" t="str">
        <x:v>BRK</x:v>
      </x:c>
      <x:c r="I1972" s="9" t="str">
        <x:v>PD14</x:v>
      </x:c>
      <x:c r="J1972" s="17" t="str">
        <x:v>Break and residual account</x:v>
      </x:c>
      <x:c r="K1972" s="17" t="str">
        <x:v>Residual authority</x:v>
      </x:c>
      <x:c r="L1972" s="17" t="str">
        <x:v>COURT-SEALED UNTIL COHORT RELEASE</x:v>
      </x:c>
      <x:c r="M1972" s="9" t="n">
        <x:v>0</x:v>
      </x:c>
      <x:c r="N1972" s="9" t="n">
        <x:v>0</x:v>
      </x:c>
      <x:c r="O1972" s="9" t="n">
        <x:v>0</x:v>
      </x:c>
      <x:c r="P1972" s="9" t="str">
        <x:v>HELD / UNRELEASED</x:v>
      </x:c>
      <x:c r="Q1972" s="9" t="n">
        <x:f>COUNTIFS($A$7:$A$2310,A1972)</x:f>
        <x:v>1</x:v>
      </x:c>
    </x:row>
    <x:row r="1973">
      <x:c r="A1973" s="9" t="str">
        <x:v>PD-AR-ET-A-A-TECH-3-B2-BRK-G0-PD15</x:v>
      </x:c>
      <x:c r="B1973" s="9" t="str">
        <x:v>PD-AR-ET-A-A-TECH-3-B2-BRK-G0</x:v>
      </x:c>
      <x:c r="C1973" s="9" t="str">
        <x:v>EV-AR-ET-A-A-TECH-3-B2-BRK-G0</x:v>
      </x:c>
      <x:c r="D1973" s="9" t="str">
        <x:v>AR-ET-A-A-TECH-3-B2-BRK-G0</x:v>
      </x:c>
      <x:c r="E1973" s="9" t="str">
        <x:v>ET-A-A-TECH-3</x:v>
      </x:c>
      <x:c r="F1973" s="9" t="str">
        <x:v>ET-A-A</x:v>
      </x:c>
      <x:c r="G1973" s="9" t="str">
        <x:v>B2</x:v>
      </x:c>
      <x:c r="H1973" s="9" t="str">
        <x:v>BRK</x:v>
      </x:c>
      <x:c r="I1973" s="9" t="str">
        <x:v>PD15</x:v>
      </x:c>
      <x:c r="J1973" s="17" t="str">
        <x:v>Reconstruction ancestry and replay</x:v>
      </x:c>
      <x:c r="K1973" s="17" t="str">
        <x:v>Reconstruction court</x:v>
      </x:c>
      <x:c r="L1973" s="17" t="str">
        <x:v>COURT-SEALED UNTIL COHORT RELEASE</x:v>
      </x:c>
      <x:c r="M1973" s="9" t="n">
        <x:v>0</x:v>
      </x:c>
      <x:c r="N1973" s="9" t="n">
        <x:v>0</x:v>
      </x:c>
      <x:c r="O1973" s="9" t="n">
        <x:v>0</x:v>
      </x:c>
      <x:c r="P1973" s="9" t="str">
        <x:v>HELD / UNRELEASED</x:v>
      </x:c>
      <x:c r="Q1973" s="9" t="n">
        <x:f>COUNTIFS($A$7:$A$2310,A1973)</x:f>
        <x:v>1</x:v>
      </x:c>
    </x:row>
    <x:row r="1974">
      <x:c r="A1974" s="9" t="str">
        <x:v>PD-AR-ET-A-A-TECH-3-B2-BRK-G0-PD16</x:v>
      </x:c>
      <x:c r="B1974" s="9" t="str">
        <x:v>PD-AR-ET-A-A-TECH-3-B2-BRK-G0</x:v>
      </x:c>
      <x:c r="C1974" s="9" t="str">
        <x:v>EV-AR-ET-A-A-TECH-3-B2-BRK-G0</x:v>
      </x:c>
      <x:c r="D1974" s="9" t="str">
        <x:v>AR-ET-A-A-TECH-3-B2-BRK-G0</x:v>
      </x:c>
      <x:c r="E1974" s="9" t="str">
        <x:v>ET-A-A-TECH-3</x:v>
      </x:c>
      <x:c r="F1974" s="9" t="str">
        <x:v>ET-A-A</x:v>
      </x:c>
      <x:c r="G1974" s="9" t="str">
        <x:v>B2</x:v>
      </x:c>
      <x:c r="H1974" s="9" t="str">
        <x:v>BRK</x:v>
      </x:c>
      <x:c r="I1974" s="9" t="str">
        <x:v>PD16</x:v>
      </x:c>
      <x:c r="J1974" s="17" t="str">
        <x:v>Dissent, amendments and access log</x:v>
      </x:c>
      <x:c r="K1974" s="17" t="str">
        <x:v>Public archive</x:v>
      </x:c>
      <x:c r="L1974" s="17" t="str">
        <x:v>COURT-SEALED UNTIL COHORT RELEASE</x:v>
      </x:c>
      <x:c r="M1974" s="9" t="n">
        <x:v>0</x:v>
      </x:c>
      <x:c r="N1974" s="9" t="n">
        <x:v>0</x:v>
      </x:c>
      <x:c r="O1974" s="9" t="n">
        <x:v>0</x:v>
      </x:c>
      <x:c r="P1974" s="9" t="str">
        <x:v>HELD / UNRELEASED</x:v>
      </x:c>
      <x:c r="Q1974" s="9" t="n">
        <x:f>COUNTIFS($A$7:$A$2310,A1974)</x:f>
        <x:v>1</x:v>
      </x:c>
    </x:row>
    <x:row r="1975">
      <x:c r="A1975" s="9" t="str">
        <x:v>PD-AR-HC-A-C-TECH-4-B1-INT-G0-PD01</x:v>
      </x:c>
      <x:c r="B1975" s="9" t="str">
        <x:v>PD-AR-HC-A-C-TECH-4-B1-INT-G0</x:v>
      </x:c>
      <x:c r="C1975" s="9" t="str">
        <x:v>EV-AR-HC-A-C-TECH-4-B1-INT-G0</x:v>
      </x:c>
      <x:c r="D1975" s="9" t="str">
        <x:v>AR-HC-A-C-TECH-4-B1-INT-G0</x:v>
      </x:c>
      <x:c r="E1975" s="9" t="str">
        <x:v>HC-A-C-TECH-4</x:v>
      </x:c>
      <x:c r="F1975" s="9" t="str">
        <x:v>HC-A-C</x:v>
      </x:c>
      <x:c r="G1975" s="9" t="str">
        <x:v>B1</x:v>
      </x:c>
      <x:c r="H1975" s="9" t="str">
        <x:v>INT</x:v>
      </x:c>
      <x:c r="I1975" s="9" t="str">
        <x:v>PD01</x:v>
      </x:c>
      <x:c r="J1975" s="17" t="str">
        <x:v>Experiment kernel</x:v>
      </x:c>
      <x:c r="K1975" s="17" t="str">
        <x:v>Public archive</x:v>
      </x:c>
      <x:c r="L1975" s="17" t="str">
        <x:v>COURT-SEALED UNTIL COHORT RELEASE</x:v>
      </x:c>
      <x:c r="M1975" s="9" t="n">
        <x:v>0</x:v>
      </x:c>
      <x:c r="N1975" s="9" t="n">
        <x:v>0</x:v>
      </x:c>
      <x:c r="O1975" s="9" t="n">
        <x:v>0</x:v>
      </x:c>
      <x:c r="P1975" s="9" t="str">
        <x:v>HELD / UNRELEASED</x:v>
      </x:c>
      <x:c r="Q1975" s="9" t="n">
        <x:f>COUNTIFS($A$7:$A$2310,A1975)</x:f>
        <x:v>1</x:v>
      </x:c>
    </x:row>
    <x:row r="1976">
      <x:c r="A1976" s="9" t="str">
        <x:v>PD-AR-HC-A-C-TECH-4-B1-INT-G0-PD02</x:v>
      </x:c>
      <x:c r="B1976" s="9" t="str">
        <x:v>PD-AR-HC-A-C-TECH-4-B1-INT-G0</x:v>
      </x:c>
      <x:c r="C1976" s="9" t="str">
        <x:v>EV-AR-HC-A-C-TECH-4-B1-INT-G0</x:v>
      </x:c>
      <x:c r="D1976" s="9" t="str">
        <x:v>AR-HC-A-C-TECH-4-B1-INT-G0</x:v>
      </x:c>
      <x:c r="E1976" s="9" t="str">
        <x:v>HC-A-C-TECH-4</x:v>
      </x:c>
      <x:c r="F1976" s="9" t="str">
        <x:v>HC-A-C</x:v>
      </x:c>
      <x:c r="G1976" s="9" t="str">
        <x:v>B1</x:v>
      </x:c>
      <x:c r="H1976" s="9" t="str">
        <x:v>INT</x:v>
      </x:c>
      <x:c r="I1976" s="9" t="str">
        <x:v>PD02</x:v>
      </x:c>
      <x:c r="J1976" s="17" t="str">
        <x:v>Serial annex and title chain</x:v>
      </x:c>
      <x:c r="K1976" s="17" t="str">
        <x:v>Public archive</x:v>
      </x:c>
      <x:c r="L1976" s="17" t="str">
        <x:v>COURT-SEALED UNTIL COHORT RELEASE</x:v>
      </x:c>
      <x:c r="M1976" s="9" t="n">
        <x:v>0</x:v>
      </x:c>
      <x:c r="N1976" s="9" t="n">
        <x:v>0</x:v>
      </x:c>
      <x:c r="O1976" s="9" t="n">
        <x:v>0</x:v>
      </x:c>
      <x:c r="P1976" s="9" t="str">
        <x:v>HELD / UNRELEASED</x:v>
      </x:c>
      <x:c r="Q1976" s="9" t="n">
        <x:f>COUNTIFS($A$7:$A$2310,A1976)</x:f>
        <x:v>1</x:v>
      </x:c>
    </x:row>
    <x:row r="1977">
      <x:c r="A1977" s="9" t="str">
        <x:v>PD-AR-HC-A-C-TECH-4-B1-INT-G0-PD03</x:v>
      </x:c>
      <x:c r="B1977" s="9" t="str">
        <x:v>PD-AR-HC-A-C-TECH-4-B1-INT-G0</x:v>
      </x:c>
      <x:c r="C1977" s="9" t="str">
        <x:v>EV-AR-HC-A-C-TECH-4-B1-INT-G0</x:v>
      </x:c>
      <x:c r="D1977" s="9" t="str">
        <x:v>AR-HC-A-C-TECH-4-B1-INT-G0</x:v>
      </x:c>
      <x:c r="E1977" s="9" t="str">
        <x:v>HC-A-C-TECH-4</x:v>
      </x:c>
      <x:c r="F1977" s="9" t="str">
        <x:v>HC-A-C</x:v>
      </x:c>
      <x:c r="G1977" s="9" t="str">
        <x:v>B1</x:v>
      </x:c>
      <x:c r="H1977" s="9" t="str">
        <x:v>INT</x:v>
      </x:c>
      <x:c r="I1977" s="9" t="str">
        <x:v>PD03</x:v>
      </x:c>
      <x:c r="J1977" s="17" t="str">
        <x:v>Configuration and as-built manifest</x:v>
      </x:c>
      <x:c r="K1977" s="17" t="str">
        <x:v>Artifact exchange</x:v>
      </x:c>
      <x:c r="L1977" s="17" t="str">
        <x:v>COURT-SEALED UNTIL COHORT RELEASE</x:v>
      </x:c>
      <x:c r="M1977" s="9" t="n">
        <x:v>0</x:v>
      </x:c>
      <x:c r="N1977" s="9" t="n">
        <x:v>0</x:v>
      </x:c>
      <x:c r="O1977" s="9" t="n">
        <x:v>0</x:v>
      </x:c>
      <x:c r="P1977" s="9" t="str">
        <x:v>HELD / UNRELEASED</x:v>
      </x:c>
      <x:c r="Q1977" s="9" t="n">
        <x:f>COUNTIFS($A$7:$A$2310,A1977)</x:f>
        <x:v>1</x:v>
      </x:c>
    </x:row>
    <x:row r="1978">
      <x:c r="A1978" s="9" t="str">
        <x:v>PD-AR-HC-A-C-TECH-4-B1-INT-G0-PD04</x:v>
      </x:c>
      <x:c r="B1978" s="9" t="str">
        <x:v>PD-AR-HC-A-C-TECH-4-B1-INT-G0</x:v>
      </x:c>
      <x:c r="C1978" s="9" t="str">
        <x:v>EV-AR-HC-A-C-TECH-4-B1-INT-G0</x:v>
      </x:c>
      <x:c r="D1978" s="9" t="str">
        <x:v>AR-HC-A-C-TECH-4-B1-INT-G0</x:v>
      </x:c>
      <x:c r="E1978" s="9" t="str">
        <x:v>HC-A-C-TECH-4</x:v>
      </x:c>
      <x:c r="F1978" s="9" t="str">
        <x:v>HC-A-C</x:v>
      </x:c>
      <x:c r="G1978" s="9" t="str">
        <x:v>B1</x:v>
      </x:c>
      <x:c r="H1978" s="9" t="str">
        <x:v>INT</x:v>
      </x:c>
      <x:c r="I1978" s="9" t="str">
        <x:v>PD04</x:v>
      </x:c>
      <x:c r="J1978" s="17" t="str">
        <x:v>EOW and start certificate</x:v>
      </x:c>
      <x:c r="K1978" s="17" t="str">
        <x:v>Start registrar</x:v>
      </x:c>
      <x:c r="L1978" s="17" t="str">
        <x:v>COURT-SEALED UNTIL COHORT RELEASE</x:v>
      </x:c>
      <x:c r="M1978" s="9" t="n">
        <x:v>0</x:v>
      </x:c>
      <x:c r="N1978" s="9" t="n">
        <x:v>0</x:v>
      </x:c>
      <x:c r="O1978" s="9" t="n">
        <x:v>0</x:v>
      </x:c>
      <x:c r="P1978" s="9" t="str">
        <x:v>HELD / UNRELEASED</x:v>
      </x:c>
      <x:c r="Q1978" s="9" t="n">
        <x:f>COUNTIFS($A$7:$A$2310,A1978)</x:f>
        <x:v>1</x:v>
      </x:c>
    </x:row>
    <x:row r="1979">
      <x:c r="A1979" s="9" t="str">
        <x:v>PD-AR-HC-A-C-TECH-4-B1-INT-G0-PD05</x:v>
      </x:c>
      <x:c r="B1979" s="9" t="str">
        <x:v>PD-AR-HC-A-C-TECH-4-B1-INT-G0</x:v>
      </x:c>
      <x:c r="C1979" s="9" t="str">
        <x:v>EV-AR-HC-A-C-TECH-4-B1-INT-G0</x:v>
      </x:c>
      <x:c r="D1979" s="9" t="str">
        <x:v>AR-HC-A-C-TECH-4-B1-INT-G0</x:v>
      </x:c>
      <x:c r="E1979" s="9" t="str">
        <x:v>HC-A-C-TECH-4</x:v>
      </x:c>
      <x:c r="F1979" s="9" t="str">
        <x:v>HC-A-C</x:v>
      </x:c>
      <x:c r="G1979" s="9" t="str">
        <x:v>B1</x:v>
      </x:c>
      <x:c r="H1979" s="9" t="str">
        <x:v>INT</x:v>
      </x:c>
      <x:c r="I1979" s="9" t="str">
        <x:v>PD05</x:v>
      </x:c>
      <x:c r="J1979" s="17" t="str">
        <x:v>Primary raw originals</x:v>
      </x:c>
      <x:c r="K1979" s="17" t="str">
        <x:v>Primary custody</x:v>
      </x:c>
      <x:c r="L1979" s="17" t="str">
        <x:v>COURT-SEALED UNTIL COHORT RELEASE</x:v>
      </x:c>
      <x:c r="M1979" s="9" t="n">
        <x:v>0</x:v>
      </x:c>
      <x:c r="N1979" s="9" t="n">
        <x:v>0</x:v>
      </x:c>
      <x:c r="O1979" s="9" t="n">
        <x:v>0</x:v>
      </x:c>
      <x:c r="P1979" s="9" t="str">
        <x:v>HELD / UNRELEASED</x:v>
      </x:c>
      <x:c r="Q1979" s="9" t="n">
        <x:f>COUNTIFS($A$7:$A$2310,A1979)</x:f>
        <x:v>1</x:v>
      </x:c>
    </x:row>
    <x:row r="1980">
      <x:c r="A1980" s="9" t="str">
        <x:v>PD-AR-HC-A-C-TECH-4-B1-INT-G0-PD06</x:v>
      </x:c>
      <x:c r="B1980" s="9" t="str">
        <x:v>PD-AR-HC-A-C-TECH-4-B1-INT-G0</x:v>
      </x:c>
      <x:c r="C1980" s="9" t="str">
        <x:v>EV-AR-HC-A-C-TECH-4-B1-INT-G0</x:v>
      </x:c>
      <x:c r="D1980" s="9" t="str">
        <x:v>AR-HC-A-C-TECH-4-B1-INT-G0</x:v>
      </x:c>
      <x:c r="E1980" s="9" t="str">
        <x:v>HC-A-C-TECH-4</x:v>
      </x:c>
      <x:c r="F1980" s="9" t="str">
        <x:v>HC-A-C</x:v>
      </x:c>
      <x:c r="G1980" s="9" t="str">
        <x:v>B1</x:v>
      </x:c>
      <x:c r="H1980" s="9" t="str">
        <x:v>INT</x:v>
      </x:c>
      <x:c r="I1980" s="9" t="str">
        <x:v>PD06</x:v>
      </x:c>
      <x:c r="J1980" s="17" t="str">
        <x:v>Witness raw originals</x:v>
      </x:c>
      <x:c r="K1980" s="17" t="str">
        <x:v>Witness custody</x:v>
      </x:c>
      <x:c r="L1980" s="17" t="str">
        <x:v>COURT-SEALED UNTIL COHORT RELEASE</x:v>
      </x:c>
      <x:c r="M1980" s="9" t="n">
        <x:v>0</x:v>
      </x:c>
      <x:c r="N1980" s="9" t="n">
        <x:v>0</x:v>
      </x:c>
      <x:c r="O1980" s="9" t="n">
        <x:v>0</x:v>
      </x:c>
      <x:c r="P1980" s="9" t="str">
        <x:v>HELD / UNRELEASED</x:v>
      </x:c>
      <x:c r="Q1980" s="9" t="n">
        <x:f>COUNTIFS($A$7:$A$2310,A1980)</x:f>
        <x:v>1</x:v>
      </x:c>
    </x:row>
    <x:row r="1981">
      <x:c r="A1981" s="9" t="str">
        <x:v>PD-AR-HC-A-C-TECH-4-B1-INT-G0-PD07</x:v>
      </x:c>
      <x:c r="B1981" s="9" t="str">
        <x:v>PD-AR-HC-A-C-TECH-4-B1-INT-G0</x:v>
      </x:c>
      <x:c r="C1981" s="9" t="str">
        <x:v>EV-AR-HC-A-C-TECH-4-B1-INT-G0</x:v>
      </x:c>
      <x:c r="D1981" s="9" t="str">
        <x:v>AR-HC-A-C-TECH-4-B1-INT-G0</x:v>
      </x:c>
      <x:c r="E1981" s="9" t="str">
        <x:v>HC-A-C-TECH-4</x:v>
      </x:c>
      <x:c r="F1981" s="9" t="str">
        <x:v>HC-A-C</x:v>
      </x:c>
      <x:c r="G1981" s="9" t="str">
        <x:v>B1</x:v>
      </x:c>
      <x:c r="H1981" s="9" t="str">
        <x:v>INT</x:v>
      </x:c>
      <x:c r="I1981" s="9" t="str">
        <x:v>PD07</x:v>
      </x:c>
      <x:c r="J1981" s="17" t="str">
        <x:v>Clock and environmental records</x:v>
      </x:c>
      <x:c r="K1981" s="17" t="str">
        <x:v>Boundary archive</x:v>
      </x:c>
      <x:c r="L1981" s="17" t="str">
        <x:v>COURT-SEALED UNTIL COHORT RELEASE</x:v>
      </x:c>
      <x:c r="M1981" s="9" t="n">
        <x:v>0</x:v>
      </x:c>
      <x:c r="N1981" s="9" t="n">
        <x:v>0</x:v>
      </x:c>
      <x:c r="O1981" s="9" t="n">
        <x:v>0</x:v>
      </x:c>
      <x:c r="P1981" s="9" t="str">
        <x:v>HELD / UNRELEASED</x:v>
      </x:c>
      <x:c r="Q1981" s="9" t="n">
        <x:f>COUNTIFS($A$7:$A$2310,A1981)</x:f>
        <x:v>1</x:v>
      </x:c>
    </x:row>
    <x:row r="1982">
      <x:c r="A1982" s="9" t="str">
        <x:v>PD-AR-HC-A-C-TECH-4-B1-INT-G0-PD08</x:v>
      </x:c>
      <x:c r="B1982" s="9" t="str">
        <x:v>PD-AR-HC-A-C-TECH-4-B1-INT-G0</x:v>
      </x:c>
      <x:c r="C1982" s="9" t="str">
        <x:v>EV-AR-HC-A-C-TECH-4-B1-INT-G0</x:v>
      </x:c>
      <x:c r="D1982" s="9" t="str">
        <x:v>AR-HC-A-C-TECH-4-B1-INT-G0</x:v>
      </x:c>
      <x:c r="E1982" s="9" t="str">
        <x:v>HC-A-C-TECH-4</x:v>
      </x:c>
      <x:c r="F1982" s="9" t="str">
        <x:v>HC-A-C</x:v>
      </x:c>
      <x:c r="G1982" s="9" t="str">
        <x:v>B1</x:v>
      </x:c>
      <x:c r="H1982" s="9" t="str">
        <x:v>INT</x:v>
      </x:c>
      <x:c r="I1982" s="9" t="str">
        <x:v>PD08</x:v>
      </x:c>
      <x:c r="J1982" s="17" t="str">
        <x:v>Command and intervention log</x:v>
      </x:c>
      <x:c r="K1982" s="17" t="str">
        <x:v>Safety archive</x:v>
      </x:c>
      <x:c r="L1982" s="17" t="str">
        <x:v>COURT-SEALED UNTIL COHORT RELEASE</x:v>
      </x:c>
      <x:c r="M1982" s="9" t="n">
        <x:v>0</x:v>
      </x:c>
      <x:c r="N1982" s="9" t="n">
        <x:v>0</x:v>
      </x:c>
      <x:c r="O1982" s="9" t="n">
        <x:v>0</x:v>
      </x:c>
      <x:c r="P1982" s="9" t="str">
        <x:v>HELD / UNRELEASED</x:v>
      </x:c>
      <x:c r="Q1982" s="9" t="n">
        <x:f>COUNTIFS($A$7:$A$2310,A1982)</x:f>
        <x:v>1</x:v>
      </x:c>
    </x:row>
    <x:row r="1983">
      <x:c r="A1983" s="9" t="str">
        <x:v>PD-AR-HC-A-C-TECH-4-B1-INT-G0-PD09</x:v>
      </x:c>
      <x:c r="B1983" s="9" t="str">
        <x:v>PD-AR-HC-A-C-TECH-4-B1-INT-G0</x:v>
      </x:c>
      <x:c r="C1983" s="9" t="str">
        <x:v>EV-AR-HC-A-C-TECH-4-B1-INT-G0</x:v>
      </x:c>
      <x:c r="D1983" s="9" t="str">
        <x:v>AR-HC-A-C-TECH-4-B1-INT-G0</x:v>
      </x:c>
      <x:c r="E1983" s="9" t="str">
        <x:v>HC-A-C-TECH-4</x:v>
      </x:c>
      <x:c r="F1983" s="9" t="str">
        <x:v>HC-A-C</x:v>
      </x:c>
      <x:c r="G1983" s="9" t="str">
        <x:v>B1</x:v>
      </x:c>
      <x:c r="H1983" s="9" t="str">
        <x:v>INT</x:v>
      </x:c>
      <x:c r="I1983" s="9" t="str">
        <x:v>PD09</x:v>
      </x:c>
      <x:c r="J1983" s="17" t="str">
        <x:v>Receiver denominator and service ledger</x:v>
      </x:c>
      <x:c r="K1983" s="17" t="str">
        <x:v>Receiver archive</x:v>
      </x:c>
      <x:c r="L1983" s="17" t="str">
        <x:v>COURT-SEALED UNTIL COHORT RELEASE</x:v>
      </x:c>
      <x:c r="M1983" s="9" t="n">
        <x:v>0</x:v>
      </x:c>
      <x:c r="N1983" s="9" t="n">
        <x:v>0</x:v>
      </x:c>
      <x:c r="O1983" s="9" t="n">
        <x:v>0</x:v>
      </x:c>
      <x:c r="P1983" s="9" t="str">
        <x:v>HELD / UNRELEASED</x:v>
      </x:c>
      <x:c r="Q1983" s="9" t="n">
        <x:f>COUNTIFS($A$7:$A$2310,A1983)</x:f>
        <x:v>1</x:v>
      </x:c>
    </x:row>
    <x:row r="1984">
      <x:c r="A1984" s="9" t="str">
        <x:v>PD-AR-HC-A-C-TECH-4-B1-INT-G0-PD10</x:v>
      </x:c>
      <x:c r="B1984" s="9" t="str">
        <x:v>PD-AR-HC-A-C-TECH-4-B1-INT-G0</x:v>
      </x:c>
      <x:c r="C1984" s="9" t="str">
        <x:v>EV-AR-HC-A-C-TECH-4-B1-INT-G0</x:v>
      </x:c>
      <x:c r="D1984" s="9" t="str">
        <x:v>AR-HC-A-C-TECH-4-B1-INT-G0</x:v>
      </x:c>
      <x:c r="E1984" s="9" t="str">
        <x:v>HC-A-C-TECH-4</x:v>
      </x:c>
      <x:c r="F1984" s="9" t="str">
        <x:v>HC-A-C</x:v>
      </x:c>
      <x:c r="G1984" s="9" t="str">
        <x:v>B1</x:v>
      </x:c>
      <x:c r="H1984" s="9" t="str">
        <x:v>INT</x:v>
      </x:c>
      <x:c r="I1984" s="9" t="str">
        <x:v>PD10</x:v>
      </x:c>
      <x:c r="J1984" s="17" t="str">
        <x:v>Calibration and uncertainty record</x:v>
      </x:c>
      <x:c r="K1984" s="17" t="str">
        <x:v>Metrology archive</x:v>
      </x:c>
      <x:c r="L1984" s="17" t="str">
        <x:v>COURT-SEALED UNTIL COHORT RELEASE</x:v>
      </x:c>
      <x:c r="M1984" s="9" t="n">
        <x:v>0</x:v>
      </x:c>
      <x:c r="N1984" s="9" t="n">
        <x:v>0</x:v>
      </x:c>
      <x:c r="O1984" s="9" t="n">
        <x:v>0</x:v>
      </x:c>
      <x:c r="P1984" s="9" t="str">
        <x:v>HELD / UNRELEASED</x:v>
      </x:c>
      <x:c r="Q1984" s="9" t="n">
        <x:f>COUNTIFS($A$7:$A$2310,A1984)</x:f>
        <x:v>1</x:v>
      </x:c>
    </x:row>
    <x:row r="1985">
      <x:c r="A1985" s="9" t="str">
        <x:v>PD-AR-HC-A-C-TECH-4-B1-INT-G0-PD11</x:v>
      </x:c>
      <x:c r="B1985" s="9" t="str">
        <x:v>PD-AR-HC-A-C-TECH-4-B1-INT-G0</x:v>
      </x:c>
      <x:c r="C1985" s="9" t="str">
        <x:v>EV-AR-HC-A-C-TECH-4-B1-INT-G0</x:v>
      </x:c>
      <x:c r="D1985" s="9" t="str">
        <x:v>AR-HC-A-C-TECH-4-B1-INT-G0</x:v>
      </x:c>
      <x:c r="E1985" s="9" t="str">
        <x:v>HC-A-C-TECH-4</x:v>
      </x:c>
      <x:c r="F1985" s="9" t="str">
        <x:v>HC-A-C</x:v>
      </x:c>
      <x:c r="G1985" s="9" t="str">
        <x:v>B1</x:v>
      </x:c>
      <x:c r="H1985" s="9" t="str">
        <x:v>INT</x:v>
      </x:c>
      <x:c r="I1985" s="9" t="str">
        <x:v>PD11</x:v>
      </x:c>
      <x:c r="J1985" s="17" t="str">
        <x:v>Invalidity petition and opinion</x:v>
      </x:c>
      <x:c r="K1985" s="17" t="str">
        <x:v>Invalidity court</x:v>
      </x:c>
      <x:c r="L1985" s="17" t="str">
        <x:v>COURT-SEALED UNTIL COHORT RELEASE</x:v>
      </x:c>
      <x:c r="M1985" s="9" t="n">
        <x:v>0</x:v>
      </x:c>
      <x:c r="N1985" s="9" t="n">
        <x:v>0</x:v>
      </x:c>
      <x:c r="O1985" s="9" t="n">
        <x:v>0</x:v>
      </x:c>
      <x:c r="P1985" s="9" t="str">
        <x:v>HELD / UNRELEASED</x:v>
      </x:c>
      <x:c r="Q1985" s="9" t="n">
        <x:f>COUNTIFS($A$7:$A$2310,A1985)</x:f>
        <x:v>1</x:v>
      </x:c>
    </x:row>
    <x:row r="1986">
      <x:c r="A1986" s="9" t="str">
        <x:v>PD-AR-HC-A-C-TECH-4-B1-INT-G0-PD12</x:v>
      </x:c>
      <x:c r="B1986" s="9" t="str">
        <x:v>PD-AR-HC-A-C-TECH-4-B1-INT-G0</x:v>
      </x:c>
      <x:c r="C1986" s="9" t="str">
        <x:v>EV-AR-HC-A-C-TECH-4-B1-INT-G0</x:v>
      </x:c>
      <x:c r="D1986" s="9" t="str">
        <x:v>AR-HC-A-C-TECH-4-B1-INT-G0</x:v>
      </x:c>
      <x:c r="E1986" s="9" t="str">
        <x:v>HC-A-C-TECH-4</x:v>
      </x:c>
      <x:c r="F1986" s="9" t="str">
        <x:v>HC-A-C</x:v>
      </x:c>
      <x:c r="G1986" s="9" t="str">
        <x:v>B1</x:v>
      </x:c>
      <x:c r="H1986" s="9" t="str">
        <x:v>INT</x:v>
      </x:c>
      <x:c r="I1986" s="9" t="str">
        <x:v>PD12</x:v>
      </x:c>
      <x:c r="J1986" s="17" t="str">
        <x:v>Observation acceptance and replay</x:v>
      </x:c>
      <x:c r="K1986" s="17" t="str">
        <x:v>Observation court</x:v>
      </x:c>
      <x:c r="L1986" s="17" t="str">
        <x:v>COURT-SEALED UNTIL COHORT RELEASE</x:v>
      </x:c>
      <x:c r="M1986" s="9" t="n">
        <x:v>0</x:v>
      </x:c>
      <x:c r="N1986" s="9" t="n">
        <x:v>0</x:v>
      </x:c>
      <x:c r="O1986" s="9" t="n">
        <x:v>0</x:v>
      </x:c>
      <x:c r="P1986" s="9" t="str">
        <x:v>HELD / UNRELEASED</x:v>
      </x:c>
      <x:c r="Q1986" s="9" t="n">
        <x:f>COUNTIFS($A$7:$A$2310,A1986)</x:f>
        <x:v>1</x:v>
      </x:c>
    </x:row>
    <x:row r="1987">
      <x:c r="A1987" s="9" t="str">
        <x:v>PD-AR-HC-A-C-TECH-4-B1-INT-G0-PD13</x:v>
      </x:c>
      <x:c r="B1987" s="9" t="str">
        <x:v>PD-AR-HC-A-C-TECH-4-B1-INT-G0</x:v>
      </x:c>
      <x:c r="C1987" s="9" t="str">
        <x:v>EV-AR-HC-A-C-TECH-4-B1-INT-G0</x:v>
      </x:c>
      <x:c r="D1987" s="9" t="str">
        <x:v>AR-HC-A-C-TECH-4-B1-INT-G0</x:v>
      </x:c>
      <x:c r="E1987" s="9" t="str">
        <x:v>HC-A-C-TECH-4</x:v>
      </x:c>
      <x:c r="F1987" s="9" t="str">
        <x:v>HC-A-C</x:v>
      </x:c>
      <x:c r="G1987" s="9" t="str">
        <x:v>B1</x:v>
      </x:c>
      <x:c r="H1987" s="9" t="str">
        <x:v>INT</x:v>
      </x:c>
      <x:c r="I1987" s="9" t="str">
        <x:v>PD13</x:v>
      </x:c>
      <x:c r="J1987" s="17" t="str">
        <x:v>Role judgment</x:v>
      </x:c>
      <x:c r="K1987" s="17" t="str">
        <x:v>Role court</x:v>
      </x:c>
      <x:c r="L1987" s="17" t="str">
        <x:v>COURT-SEALED UNTIL COHORT RELEASE</x:v>
      </x:c>
      <x:c r="M1987" s="9" t="n">
        <x:v>0</x:v>
      </x:c>
      <x:c r="N1987" s="9" t="n">
        <x:v>0</x:v>
      </x:c>
      <x:c r="O1987" s="9" t="n">
        <x:v>0</x:v>
      </x:c>
      <x:c r="P1987" s="9" t="str">
        <x:v>HELD / UNRELEASED</x:v>
      </x:c>
      <x:c r="Q1987" s="9" t="n">
        <x:f>COUNTIFS($A$7:$A$2310,A1987)</x:f>
        <x:v>1</x:v>
      </x:c>
    </x:row>
    <x:row r="1988">
      <x:c r="A1988" s="9" t="str">
        <x:v>PD-AR-HC-A-C-TECH-4-B1-INT-G0-PD14</x:v>
      </x:c>
      <x:c r="B1988" s="9" t="str">
        <x:v>PD-AR-HC-A-C-TECH-4-B1-INT-G0</x:v>
      </x:c>
      <x:c r="C1988" s="9" t="str">
        <x:v>EV-AR-HC-A-C-TECH-4-B1-INT-G0</x:v>
      </x:c>
      <x:c r="D1988" s="9" t="str">
        <x:v>AR-HC-A-C-TECH-4-B1-INT-G0</x:v>
      </x:c>
      <x:c r="E1988" s="9" t="str">
        <x:v>HC-A-C-TECH-4</x:v>
      </x:c>
      <x:c r="F1988" s="9" t="str">
        <x:v>HC-A-C</x:v>
      </x:c>
      <x:c r="G1988" s="9" t="str">
        <x:v>B1</x:v>
      </x:c>
      <x:c r="H1988" s="9" t="str">
        <x:v>INT</x:v>
      </x:c>
      <x:c r="I1988" s="9" t="str">
        <x:v>PD14</x:v>
      </x:c>
      <x:c r="J1988" s="17" t="str">
        <x:v>Break and residual account</x:v>
      </x:c>
      <x:c r="K1988" s="17" t="str">
        <x:v>Residual authority</x:v>
      </x:c>
      <x:c r="L1988" s="17" t="str">
        <x:v>COURT-SEALED UNTIL COHORT RELEASE</x:v>
      </x:c>
      <x:c r="M1988" s="9" t="n">
        <x:v>0</x:v>
      </x:c>
      <x:c r="N1988" s="9" t="n">
        <x:v>0</x:v>
      </x:c>
      <x:c r="O1988" s="9" t="n">
        <x:v>0</x:v>
      </x:c>
      <x:c r="P1988" s="9" t="str">
        <x:v>HELD / UNRELEASED</x:v>
      </x:c>
      <x:c r="Q1988" s="9" t="n">
        <x:f>COUNTIFS($A$7:$A$2310,A1988)</x:f>
        <x:v>1</x:v>
      </x:c>
    </x:row>
    <x:row r="1989">
      <x:c r="A1989" s="9" t="str">
        <x:v>PD-AR-HC-A-C-TECH-4-B1-INT-G0-PD15</x:v>
      </x:c>
      <x:c r="B1989" s="9" t="str">
        <x:v>PD-AR-HC-A-C-TECH-4-B1-INT-G0</x:v>
      </x:c>
      <x:c r="C1989" s="9" t="str">
        <x:v>EV-AR-HC-A-C-TECH-4-B1-INT-G0</x:v>
      </x:c>
      <x:c r="D1989" s="9" t="str">
        <x:v>AR-HC-A-C-TECH-4-B1-INT-G0</x:v>
      </x:c>
      <x:c r="E1989" s="9" t="str">
        <x:v>HC-A-C-TECH-4</x:v>
      </x:c>
      <x:c r="F1989" s="9" t="str">
        <x:v>HC-A-C</x:v>
      </x:c>
      <x:c r="G1989" s="9" t="str">
        <x:v>B1</x:v>
      </x:c>
      <x:c r="H1989" s="9" t="str">
        <x:v>INT</x:v>
      </x:c>
      <x:c r="I1989" s="9" t="str">
        <x:v>PD15</x:v>
      </x:c>
      <x:c r="J1989" s="17" t="str">
        <x:v>Reconstruction ancestry and replay</x:v>
      </x:c>
      <x:c r="K1989" s="17" t="str">
        <x:v>Reconstruction court</x:v>
      </x:c>
      <x:c r="L1989" s="17" t="str">
        <x:v>COURT-SEALED UNTIL COHORT RELEASE</x:v>
      </x:c>
      <x:c r="M1989" s="9" t="n">
        <x:v>0</x:v>
      </x:c>
      <x:c r="N1989" s="9" t="n">
        <x:v>0</x:v>
      </x:c>
      <x:c r="O1989" s="9" t="n">
        <x:v>0</x:v>
      </x:c>
      <x:c r="P1989" s="9" t="str">
        <x:v>HELD / UNRELEASED</x:v>
      </x:c>
      <x:c r="Q1989" s="9" t="n">
        <x:f>COUNTIFS($A$7:$A$2310,A1989)</x:f>
        <x:v>1</x:v>
      </x:c>
    </x:row>
    <x:row r="1990">
      <x:c r="A1990" s="9" t="str">
        <x:v>PD-AR-HC-A-C-TECH-4-B1-INT-G0-PD16</x:v>
      </x:c>
      <x:c r="B1990" s="9" t="str">
        <x:v>PD-AR-HC-A-C-TECH-4-B1-INT-G0</x:v>
      </x:c>
      <x:c r="C1990" s="9" t="str">
        <x:v>EV-AR-HC-A-C-TECH-4-B1-INT-G0</x:v>
      </x:c>
      <x:c r="D1990" s="9" t="str">
        <x:v>AR-HC-A-C-TECH-4-B1-INT-G0</x:v>
      </x:c>
      <x:c r="E1990" s="9" t="str">
        <x:v>HC-A-C-TECH-4</x:v>
      </x:c>
      <x:c r="F1990" s="9" t="str">
        <x:v>HC-A-C</x:v>
      </x:c>
      <x:c r="G1990" s="9" t="str">
        <x:v>B1</x:v>
      </x:c>
      <x:c r="H1990" s="9" t="str">
        <x:v>INT</x:v>
      </x:c>
      <x:c r="I1990" s="9" t="str">
        <x:v>PD16</x:v>
      </x:c>
      <x:c r="J1990" s="17" t="str">
        <x:v>Dissent, amendments and access log</x:v>
      </x:c>
      <x:c r="K1990" s="17" t="str">
        <x:v>Public archive</x:v>
      </x:c>
      <x:c r="L1990" s="17" t="str">
        <x:v>COURT-SEALED UNTIL COHORT RELEASE</x:v>
      </x:c>
      <x:c r="M1990" s="9" t="n">
        <x:v>0</x:v>
      </x:c>
      <x:c r="N1990" s="9" t="n">
        <x:v>0</x:v>
      </x:c>
      <x:c r="O1990" s="9" t="n">
        <x:v>0</x:v>
      </x:c>
      <x:c r="P1990" s="9" t="str">
        <x:v>HELD / UNRELEASED</x:v>
      </x:c>
      <x:c r="Q1990" s="9" t="n">
        <x:f>COUNTIFS($A$7:$A$2310,A1990)</x:f>
        <x:v>1</x:v>
      </x:c>
    </x:row>
    <x:row r="1991">
      <x:c r="A1991" s="9" t="str">
        <x:v>PD-AR-LF-B-A-TECH-4-B2-RCN-G0-PD01</x:v>
      </x:c>
      <x:c r="B1991" s="9" t="str">
        <x:v>PD-AR-LF-B-A-TECH-4-B2-RCN-G0</x:v>
      </x:c>
      <x:c r="C1991" s="9" t="str">
        <x:v>EV-AR-LF-B-A-TECH-4-B2-RCN-G0</x:v>
      </x:c>
      <x:c r="D1991" s="9" t="str">
        <x:v>AR-LF-B-A-TECH-4-B2-RCN-G0</x:v>
      </x:c>
      <x:c r="E1991" s="9" t="str">
        <x:v>LF-B-A-TECH-4</x:v>
      </x:c>
      <x:c r="F1991" s="9" t="str">
        <x:v>LF-B-A</x:v>
      </x:c>
      <x:c r="G1991" s="9" t="str">
        <x:v>B2</x:v>
      </x:c>
      <x:c r="H1991" s="9" t="str">
        <x:v>RCN</x:v>
      </x:c>
      <x:c r="I1991" s="9" t="str">
        <x:v>PD01</x:v>
      </x:c>
      <x:c r="J1991" s="17" t="str">
        <x:v>Experiment kernel</x:v>
      </x:c>
      <x:c r="K1991" s="17" t="str">
        <x:v>Public archive</x:v>
      </x:c>
      <x:c r="L1991" s="17" t="str">
        <x:v>COURT-SEALED UNTIL COHORT RELEASE</x:v>
      </x:c>
      <x:c r="M1991" s="9" t="n">
        <x:v>0</x:v>
      </x:c>
      <x:c r="N1991" s="9" t="n">
        <x:v>0</x:v>
      </x:c>
      <x:c r="O1991" s="9" t="n">
        <x:v>0</x:v>
      </x:c>
      <x:c r="P1991" s="9" t="str">
        <x:v>HELD / UNRELEASED</x:v>
      </x:c>
      <x:c r="Q1991" s="9" t="n">
        <x:f>COUNTIFS($A$7:$A$2310,A1991)</x:f>
        <x:v>1</x:v>
      </x:c>
    </x:row>
    <x:row r="1992">
      <x:c r="A1992" s="9" t="str">
        <x:v>PD-AR-LF-B-A-TECH-4-B2-RCN-G0-PD02</x:v>
      </x:c>
      <x:c r="B1992" s="9" t="str">
        <x:v>PD-AR-LF-B-A-TECH-4-B2-RCN-G0</x:v>
      </x:c>
      <x:c r="C1992" s="9" t="str">
        <x:v>EV-AR-LF-B-A-TECH-4-B2-RCN-G0</x:v>
      </x:c>
      <x:c r="D1992" s="9" t="str">
        <x:v>AR-LF-B-A-TECH-4-B2-RCN-G0</x:v>
      </x:c>
      <x:c r="E1992" s="9" t="str">
        <x:v>LF-B-A-TECH-4</x:v>
      </x:c>
      <x:c r="F1992" s="9" t="str">
        <x:v>LF-B-A</x:v>
      </x:c>
      <x:c r="G1992" s="9" t="str">
        <x:v>B2</x:v>
      </x:c>
      <x:c r="H1992" s="9" t="str">
        <x:v>RCN</x:v>
      </x:c>
      <x:c r="I1992" s="9" t="str">
        <x:v>PD02</x:v>
      </x:c>
      <x:c r="J1992" s="17" t="str">
        <x:v>Serial annex and title chain</x:v>
      </x:c>
      <x:c r="K1992" s="17" t="str">
        <x:v>Public archive</x:v>
      </x:c>
      <x:c r="L1992" s="17" t="str">
        <x:v>COURT-SEALED UNTIL COHORT RELEASE</x:v>
      </x:c>
      <x:c r="M1992" s="9" t="n">
        <x:v>0</x:v>
      </x:c>
      <x:c r="N1992" s="9" t="n">
        <x:v>0</x:v>
      </x:c>
      <x:c r="O1992" s="9" t="n">
        <x:v>0</x:v>
      </x:c>
      <x:c r="P1992" s="9" t="str">
        <x:v>HELD / UNRELEASED</x:v>
      </x:c>
      <x:c r="Q1992" s="9" t="n">
        <x:f>COUNTIFS($A$7:$A$2310,A1992)</x:f>
        <x:v>1</x:v>
      </x:c>
    </x:row>
    <x:row r="1993">
      <x:c r="A1993" s="9" t="str">
        <x:v>PD-AR-LF-B-A-TECH-4-B2-RCN-G0-PD03</x:v>
      </x:c>
      <x:c r="B1993" s="9" t="str">
        <x:v>PD-AR-LF-B-A-TECH-4-B2-RCN-G0</x:v>
      </x:c>
      <x:c r="C1993" s="9" t="str">
        <x:v>EV-AR-LF-B-A-TECH-4-B2-RCN-G0</x:v>
      </x:c>
      <x:c r="D1993" s="9" t="str">
        <x:v>AR-LF-B-A-TECH-4-B2-RCN-G0</x:v>
      </x:c>
      <x:c r="E1993" s="9" t="str">
        <x:v>LF-B-A-TECH-4</x:v>
      </x:c>
      <x:c r="F1993" s="9" t="str">
        <x:v>LF-B-A</x:v>
      </x:c>
      <x:c r="G1993" s="9" t="str">
        <x:v>B2</x:v>
      </x:c>
      <x:c r="H1993" s="9" t="str">
        <x:v>RCN</x:v>
      </x:c>
      <x:c r="I1993" s="9" t="str">
        <x:v>PD03</x:v>
      </x:c>
      <x:c r="J1993" s="17" t="str">
        <x:v>Configuration and as-built manifest</x:v>
      </x:c>
      <x:c r="K1993" s="17" t="str">
        <x:v>Artifact exchange</x:v>
      </x:c>
      <x:c r="L1993" s="17" t="str">
        <x:v>COURT-SEALED UNTIL COHORT RELEASE</x:v>
      </x:c>
      <x:c r="M1993" s="9" t="n">
        <x:v>0</x:v>
      </x:c>
      <x:c r="N1993" s="9" t="n">
        <x:v>0</x:v>
      </x:c>
      <x:c r="O1993" s="9" t="n">
        <x:v>0</x:v>
      </x:c>
      <x:c r="P1993" s="9" t="str">
        <x:v>HELD / UNRELEASED</x:v>
      </x:c>
      <x:c r="Q1993" s="9" t="n">
        <x:f>COUNTIFS($A$7:$A$2310,A1993)</x:f>
        <x:v>1</x:v>
      </x:c>
    </x:row>
    <x:row r="1994">
      <x:c r="A1994" s="9" t="str">
        <x:v>PD-AR-LF-B-A-TECH-4-B2-RCN-G0-PD04</x:v>
      </x:c>
      <x:c r="B1994" s="9" t="str">
        <x:v>PD-AR-LF-B-A-TECH-4-B2-RCN-G0</x:v>
      </x:c>
      <x:c r="C1994" s="9" t="str">
        <x:v>EV-AR-LF-B-A-TECH-4-B2-RCN-G0</x:v>
      </x:c>
      <x:c r="D1994" s="9" t="str">
        <x:v>AR-LF-B-A-TECH-4-B2-RCN-G0</x:v>
      </x:c>
      <x:c r="E1994" s="9" t="str">
        <x:v>LF-B-A-TECH-4</x:v>
      </x:c>
      <x:c r="F1994" s="9" t="str">
        <x:v>LF-B-A</x:v>
      </x:c>
      <x:c r="G1994" s="9" t="str">
        <x:v>B2</x:v>
      </x:c>
      <x:c r="H1994" s="9" t="str">
        <x:v>RCN</x:v>
      </x:c>
      <x:c r="I1994" s="9" t="str">
        <x:v>PD04</x:v>
      </x:c>
      <x:c r="J1994" s="17" t="str">
        <x:v>EOW and start certificate</x:v>
      </x:c>
      <x:c r="K1994" s="17" t="str">
        <x:v>Start registrar</x:v>
      </x:c>
      <x:c r="L1994" s="17" t="str">
        <x:v>COURT-SEALED UNTIL COHORT RELEASE</x:v>
      </x:c>
      <x:c r="M1994" s="9" t="n">
        <x:v>0</x:v>
      </x:c>
      <x:c r="N1994" s="9" t="n">
        <x:v>0</x:v>
      </x:c>
      <x:c r="O1994" s="9" t="n">
        <x:v>0</x:v>
      </x:c>
      <x:c r="P1994" s="9" t="str">
        <x:v>HELD / UNRELEASED</x:v>
      </x:c>
      <x:c r="Q1994" s="9" t="n">
        <x:f>COUNTIFS($A$7:$A$2310,A1994)</x:f>
        <x:v>1</x:v>
      </x:c>
    </x:row>
    <x:row r="1995">
      <x:c r="A1995" s="9" t="str">
        <x:v>PD-AR-LF-B-A-TECH-4-B2-RCN-G0-PD05</x:v>
      </x:c>
      <x:c r="B1995" s="9" t="str">
        <x:v>PD-AR-LF-B-A-TECH-4-B2-RCN-G0</x:v>
      </x:c>
      <x:c r="C1995" s="9" t="str">
        <x:v>EV-AR-LF-B-A-TECH-4-B2-RCN-G0</x:v>
      </x:c>
      <x:c r="D1995" s="9" t="str">
        <x:v>AR-LF-B-A-TECH-4-B2-RCN-G0</x:v>
      </x:c>
      <x:c r="E1995" s="9" t="str">
        <x:v>LF-B-A-TECH-4</x:v>
      </x:c>
      <x:c r="F1995" s="9" t="str">
        <x:v>LF-B-A</x:v>
      </x:c>
      <x:c r="G1995" s="9" t="str">
        <x:v>B2</x:v>
      </x:c>
      <x:c r="H1995" s="9" t="str">
        <x:v>RCN</x:v>
      </x:c>
      <x:c r="I1995" s="9" t="str">
        <x:v>PD05</x:v>
      </x:c>
      <x:c r="J1995" s="17" t="str">
        <x:v>Primary raw originals</x:v>
      </x:c>
      <x:c r="K1995" s="17" t="str">
        <x:v>Primary custody</x:v>
      </x:c>
      <x:c r="L1995" s="17" t="str">
        <x:v>COURT-SEALED UNTIL COHORT RELEASE</x:v>
      </x:c>
      <x:c r="M1995" s="9" t="n">
        <x:v>0</x:v>
      </x:c>
      <x:c r="N1995" s="9" t="n">
        <x:v>0</x:v>
      </x:c>
      <x:c r="O1995" s="9" t="n">
        <x:v>0</x:v>
      </x:c>
      <x:c r="P1995" s="9" t="str">
        <x:v>HELD / UNRELEASED</x:v>
      </x:c>
      <x:c r="Q1995" s="9" t="n">
        <x:f>COUNTIFS($A$7:$A$2310,A1995)</x:f>
        <x:v>1</x:v>
      </x:c>
    </x:row>
    <x:row r="1996">
      <x:c r="A1996" s="9" t="str">
        <x:v>PD-AR-LF-B-A-TECH-4-B2-RCN-G0-PD06</x:v>
      </x:c>
      <x:c r="B1996" s="9" t="str">
        <x:v>PD-AR-LF-B-A-TECH-4-B2-RCN-G0</x:v>
      </x:c>
      <x:c r="C1996" s="9" t="str">
        <x:v>EV-AR-LF-B-A-TECH-4-B2-RCN-G0</x:v>
      </x:c>
      <x:c r="D1996" s="9" t="str">
        <x:v>AR-LF-B-A-TECH-4-B2-RCN-G0</x:v>
      </x:c>
      <x:c r="E1996" s="9" t="str">
        <x:v>LF-B-A-TECH-4</x:v>
      </x:c>
      <x:c r="F1996" s="9" t="str">
        <x:v>LF-B-A</x:v>
      </x:c>
      <x:c r="G1996" s="9" t="str">
        <x:v>B2</x:v>
      </x:c>
      <x:c r="H1996" s="9" t="str">
        <x:v>RCN</x:v>
      </x:c>
      <x:c r="I1996" s="9" t="str">
        <x:v>PD06</x:v>
      </x:c>
      <x:c r="J1996" s="17" t="str">
        <x:v>Witness raw originals</x:v>
      </x:c>
      <x:c r="K1996" s="17" t="str">
        <x:v>Witness custody</x:v>
      </x:c>
      <x:c r="L1996" s="17" t="str">
        <x:v>COURT-SEALED UNTIL COHORT RELEASE</x:v>
      </x:c>
      <x:c r="M1996" s="9" t="n">
        <x:v>0</x:v>
      </x:c>
      <x:c r="N1996" s="9" t="n">
        <x:v>0</x:v>
      </x:c>
      <x:c r="O1996" s="9" t="n">
        <x:v>0</x:v>
      </x:c>
      <x:c r="P1996" s="9" t="str">
        <x:v>HELD / UNRELEASED</x:v>
      </x:c>
      <x:c r="Q1996" s="9" t="n">
        <x:f>COUNTIFS($A$7:$A$2310,A1996)</x:f>
        <x:v>1</x:v>
      </x:c>
    </x:row>
    <x:row r="1997">
      <x:c r="A1997" s="9" t="str">
        <x:v>PD-AR-LF-B-A-TECH-4-B2-RCN-G0-PD07</x:v>
      </x:c>
      <x:c r="B1997" s="9" t="str">
        <x:v>PD-AR-LF-B-A-TECH-4-B2-RCN-G0</x:v>
      </x:c>
      <x:c r="C1997" s="9" t="str">
        <x:v>EV-AR-LF-B-A-TECH-4-B2-RCN-G0</x:v>
      </x:c>
      <x:c r="D1997" s="9" t="str">
        <x:v>AR-LF-B-A-TECH-4-B2-RCN-G0</x:v>
      </x:c>
      <x:c r="E1997" s="9" t="str">
        <x:v>LF-B-A-TECH-4</x:v>
      </x:c>
      <x:c r="F1997" s="9" t="str">
        <x:v>LF-B-A</x:v>
      </x:c>
      <x:c r="G1997" s="9" t="str">
        <x:v>B2</x:v>
      </x:c>
      <x:c r="H1997" s="9" t="str">
        <x:v>RCN</x:v>
      </x:c>
      <x:c r="I1997" s="9" t="str">
        <x:v>PD07</x:v>
      </x:c>
      <x:c r="J1997" s="17" t="str">
        <x:v>Clock and environmental records</x:v>
      </x:c>
      <x:c r="K1997" s="17" t="str">
        <x:v>Boundary archive</x:v>
      </x:c>
      <x:c r="L1997" s="17" t="str">
        <x:v>COURT-SEALED UNTIL COHORT RELEASE</x:v>
      </x:c>
      <x:c r="M1997" s="9" t="n">
        <x:v>0</x:v>
      </x:c>
      <x:c r="N1997" s="9" t="n">
        <x:v>0</x:v>
      </x:c>
      <x:c r="O1997" s="9" t="n">
        <x:v>0</x:v>
      </x:c>
      <x:c r="P1997" s="9" t="str">
        <x:v>HELD / UNRELEASED</x:v>
      </x:c>
      <x:c r="Q1997" s="9" t="n">
        <x:f>COUNTIFS($A$7:$A$2310,A1997)</x:f>
        <x:v>1</x:v>
      </x:c>
    </x:row>
    <x:row r="1998">
      <x:c r="A1998" s="9" t="str">
        <x:v>PD-AR-LF-B-A-TECH-4-B2-RCN-G0-PD08</x:v>
      </x:c>
      <x:c r="B1998" s="9" t="str">
        <x:v>PD-AR-LF-B-A-TECH-4-B2-RCN-G0</x:v>
      </x:c>
      <x:c r="C1998" s="9" t="str">
        <x:v>EV-AR-LF-B-A-TECH-4-B2-RCN-G0</x:v>
      </x:c>
      <x:c r="D1998" s="9" t="str">
        <x:v>AR-LF-B-A-TECH-4-B2-RCN-G0</x:v>
      </x:c>
      <x:c r="E1998" s="9" t="str">
        <x:v>LF-B-A-TECH-4</x:v>
      </x:c>
      <x:c r="F1998" s="9" t="str">
        <x:v>LF-B-A</x:v>
      </x:c>
      <x:c r="G1998" s="9" t="str">
        <x:v>B2</x:v>
      </x:c>
      <x:c r="H1998" s="9" t="str">
        <x:v>RCN</x:v>
      </x:c>
      <x:c r="I1998" s="9" t="str">
        <x:v>PD08</x:v>
      </x:c>
      <x:c r="J1998" s="17" t="str">
        <x:v>Command and intervention log</x:v>
      </x:c>
      <x:c r="K1998" s="17" t="str">
        <x:v>Safety archive</x:v>
      </x:c>
      <x:c r="L1998" s="17" t="str">
        <x:v>COURT-SEALED UNTIL COHORT RELEASE</x:v>
      </x:c>
      <x:c r="M1998" s="9" t="n">
        <x:v>0</x:v>
      </x:c>
      <x:c r="N1998" s="9" t="n">
        <x:v>0</x:v>
      </x:c>
      <x:c r="O1998" s="9" t="n">
        <x:v>0</x:v>
      </x:c>
      <x:c r="P1998" s="9" t="str">
        <x:v>HELD / UNRELEASED</x:v>
      </x:c>
      <x:c r="Q1998" s="9" t="n">
        <x:f>COUNTIFS($A$7:$A$2310,A1998)</x:f>
        <x:v>1</x:v>
      </x:c>
    </x:row>
    <x:row r="1999">
      <x:c r="A1999" s="9" t="str">
        <x:v>PD-AR-LF-B-A-TECH-4-B2-RCN-G0-PD09</x:v>
      </x:c>
      <x:c r="B1999" s="9" t="str">
        <x:v>PD-AR-LF-B-A-TECH-4-B2-RCN-G0</x:v>
      </x:c>
      <x:c r="C1999" s="9" t="str">
        <x:v>EV-AR-LF-B-A-TECH-4-B2-RCN-G0</x:v>
      </x:c>
      <x:c r="D1999" s="9" t="str">
        <x:v>AR-LF-B-A-TECH-4-B2-RCN-G0</x:v>
      </x:c>
      <x:c r="E1999" s="9" t="str">
        <x:v>LF-B-A-TECH-4</x:v>
      </x:c>
      <x:c r="F1999" s="9" t="str">
        <x:v>LF-B-A</x:v>
      </x:c>
      <x:c r="G1999" s="9" t="str">
        <x:v>B2</x:v>
      </x:c>
      <x:c r="H1999" s="9" t="str">
        <x:v>RCN</x:v>
      </x:c>
      <x:c r="I1999" s="9" t="str">
        <x:v>PD09</x:v>
      </x:c>
      <x:c r="J1999" s="17" t="str">
        <x:v>Receiver denominator and service ledger</x:v>
      </x:c>
      <x:c r="K1999" s="17" t="str">
        <x:v>Receiver archive</x:v>
      </x:c>
      <x:c r="L1999" s="17" t="str">
        <x:v>COURT-SEALED UNTIL COHORT RELEASE</x:v>
      </x:c>
      <x:c r="M1999" s="9" t="n">
        <x:v>0</x:v>
      </x:c>
      <x:c r="N1999" s="9" t="n">
        <x:v>0</x:v>
      </x:c>
      <x:c r="O1999" s="9" t="n">
        <x:v>0</x:v>
      </x:c>
      <x:c r="P1999" s="9" t="str">
        <x:v>HELD / UNRELEASED</x:v>
      </x:c>
      <x:c r="Q1999" s="9" t="n">
        <x:f>COUNTIFS($A$7:$A$2310,A1999)</x:f>
        <x:v>1</x:v>
      </x:c>
    </x:row>
    <x:row r="2000">
      <x:c r="A2000" s="9" t="str">
        <x:v>PD-AR-LF-B-A-TECH-4-B2-RCN-G0-PD10</x:v>
      </x:c>
      <x:c r="B2000" s="9" t="str">
        <x:v>PD-AR-LF-B-A-TECH-4-B2-RCN-G0</x:v>
      </x:c>
      <x:c r="C2000" s="9" t="str">
        <x:v>EV-AR-LF-B-A-TECH-4-B2-RCN-G0</x:v>
      </x:c>
      <x:c r="D2000" s="9" t="str">
        <x:v>AR-LF-B-A-TECH-4-B2-RCN-G0</x:v>
      </x:c>
      <x:c r="E2000" s="9" t="str">
        <x:v>LF-B-A-TECH-4</x:v>
      </x:c>
      <x:c r="F2000" s="9" t="str">
        <x:v>LF-B-A</x:v>
      </x:c>
      <x:c r="G2000" s="9" t="str">
        <x:v>B2</x:v>
      </x:c>
      <x:c r="H2000" s="9" t="str">
        <x:v>RCN</x:v>
      </x:c>
      <x:c r="I2000" s="9" t="str">
        <x:v>PD10</x:v>
      </x:c>
      <x:c r="J2000" s="17" t="str">
        <x:v>Calibration and uncertainty record</x:v>
      </x:c>
      <x:c r="K2000" s="17" t="str">
        <x:v>Metrology archive</x:v>
      </x:c>
      <x:c r="L2000" s="17" t="str">
        <x:v>COURT-SEALED UNTIL COHORT RELEASE</x:v>
      </x:c>
      <x:c r="M2000" s="9" t="n">
        <x:v>0</x:v>
      </x:c>
      <x:c r="N2000" s="9" t="n">
        <x:v>0</x:v>
      </x:c>
      <x:c r="O2000" s="9" t="n">
        <x:v>0</x:v>
      </x:c>
      <x:c r="P2000" s="9" t="str">
        <x:v>HELD / UNRELEASED</x:v>
      </x:c>
      <x:c r="Q2000" s="9" t="n">
        <x:f>COUNTIFS($A$7:$A$2310,A2000)</x:f>
        <x:v>1</x:v>
      </x:c>
    </x:row>
    <x:row r="2001">
      <x:c r="A2001" s="9" t="str">
        <x:v>PD-AR-LF-B-A-TECH-4-B2-RCN-G0-PD11</x:v>
      </x:c>
      <x:c r="B2001" s="9" t="str">
        <x:v>PD-AR-LF-B-A-TECH-4-B2-RCN-G0</x:v>
      </x:c>
      <x:c r="C2001" s="9" t="str">
        <x:v>EV-AR-LF-B-A-TECH-4-B2-RCN-G0</x:v>
      </x:c>
      <x:c r="D2001" s="9" t="str">
        <x:v>AR-LF-B-A-TECH-4-B2-RCN-G0</x:v>
      </x:c>
      <x:c r="E2001" s="9" t="str">
        <x:v>LF-B-A-TECH-4</x:v>
      </x:c>
      <x:c r="F2001" s="9" t="str">
        <x:v>LF-B-A</x:v>
      </x:c>
      <x:c r="G2001" s="9" t="str">
        <x:v>B2</x:v>
      </x:c>
      <x:c r="H2001" s="9" t="str">
        <x:v>RCN</x:v>
      </x:c>
      <x:c r="I2001" s="9" t="str">
        <x:v>PD11</x:v>
      </x:c>
      <x:c r="J2001" s="17" t="str">
        <x:v>Invalidity petition and opinion</x:v>
      </x:c>
      <x:c r="K2001" s="17" t="str">
        <x:v>Invalidity court</x:v>
      </x:c>
      <x:c r="L2001" s="17" t="str">
        <x:v>COURT-SEALED UNTIL COHORT RELEASE</x:v>
      </x:c>
      <x:c r="M2001" s="9" t="n">
        <x:v>0</x:v>
      </x:c>
      <x:c r="N2001" s="9" t="n">
        <x:v>0</x:v>
      </x:c>
      <x:c r="O2001" s="9" t="n">
        <x:v>0</x:v>
      </x:c>
      <x:c r="P2001" s="9" t="str">
        <x:v>HELD / UNRELEASED</x:v>
      </x:c>
      <x:c r="Q2001" s="9" t="n">
        <x:f>COUNTIFS($A$7:$A$2310,A2001)</x:f>
        <x:v>1</x:v>
      </x:c>
    </x:row>
    <x:row r="2002">
      <x:c r="A2002" s="9" t="str">
        <x:v>PD-AR-LF-B-A-TECH-4-B2-RCN-G0-PD12</x:v>
      </x:c>
      <x:c r="B2002" s="9" t="str">
        <x:v>PD-AR-LF-B-A-TECH-4-B2-RCN-G0</x:v>
      </x:c>
      <x:c r="C2002" s="9" t="str">
        <x:v>EV-AR-LF-B-A-TECH-4-B2-RCN-G0</x:v>
      </x:c>
      <x:c r="D2002" s="9" t="str">
        <x:v>AR-LF-B-A-TECH-4-B2-RCN-G0</x:v>
      </x:c>
      <x:c r="E2002" s="9" t="str">
        <x:v>LF-B-A-TECH-4</x:v>
      </x:c>
      <x:c r="F2002" s="9" t="str">
        <x:v>LF-B-A</x:v>
      </x:c>
      <x:c r="G2002" s="9" t="str">
        <x:v>B2</x:v>
      </x:c>
      <x:c r="H2002" s="9" t="str">
        <x:v>RCN</x:v>
      </x:c>
      <x:c r="I2002" s="9" t="str">
        <x:v>PD12</x:v>
      </x:c>
      <x:c r="J2002" s="17" t="str">
        <x:v>Observation acceptance and replay</x:v>
      </x:c>
      <x:c r="K2002" s="17" t="str">
        <x:v>Observation court</x:v>
      </x:c>
      <x:c r="L2002" s="17" t="str">
        <x:v>COURT-SEALED UNTIL COHORT RELEASE</x:v>
      </x:c>
      <x:c r="M2002" s="9" t="n">
        <x:v>0</x:v>
      </x:c>
      <x:c r="N2002" s="9" t="n">
        <x:v>0</x:v>
      </x:c>
      <x:c r="O2002" s="9" t="n">
        <x:v>0</x:v>
      </x:c>
      <x:c r="P2002" s="9" t="str">
        <x:v>HELD / UNRELEASED</x:v>
      </x:c>
      <x:c r="Q2002" s="9" t="n">
        <x:f>COUNTIFS($A$7:$A$2310,A2002)</x:f>
        <x:v>1</x:v>
      </x:c>
    </x:row>
    <x:row r="2003">
      <x:c r="A2003" s="9" t="str">
        <x:v>PD-AR-LF-B-A-TECH-4-B2-RCN-G0-PD13</x:v>
      </x:c>
      <x:c r="B2003" s="9" t="str">
        <x:v>PD-AR-LF-B-A-TECH-4-B2-RCN-G0</x:v>
      </x:c>
      <x:c r="C2003" s="9" t="str">
        <x:v>EV-AR-LF-B-A-TECH-4-B2-RCN-G0</x:v>
      </x:c>
      <x:c r="D2003" s="9" t="str">
        <x:v>AR-LF-B-A-TECH-4-B2-RCN-G0</x:v>
      </x:c>
      <x:c r="E2003" s="9" t="str">
        <x:v>LF-B-A-TECH-4</x:v>
      </x:c>
      <x:c r="F2003" s="9" t="str">
        <x:v>LF-B-A</x:v>
      </x:c>
      <x:c r="G2003" s="9" t="str">
        <x:v>B2</x:v>
      </x:c>
      <x:c r="H2003" s="9" t="str">
        <x:v>RCN</x:v>
      </x:c>
      <x:c r="I2003" s="9" t="str">
        <x:v>PD13</x:v>
      </x:c>
      <x:c r="J2003" s="17" t="str">
        <x:v>Role judgment</x:v>
      </x:c>
      <x:c r="K2003" s="17" t="str">
        <x:v>Role court</x:v>
      </x:c>
      <x:c r="L2003" s="17" t="str">
        <x:v>COURT-SEALED UNTIL COHORT RELEASE</x:v>
      </x:c>
      <x:c r="M2003" s="9" t="n">
        <x:v>0</x:v>
      </x:c>
      <x:c r="N2003" s="9" t="n">
        <x:v>0</x:v>
      </x:c>
      <x:c r="O2003" s="9" t="n">
        <x:v>0</x:v>
      </x:c>
      <x:c r="P2003" s="9" t="str">
        <x:v>HELD / UNRELEASED</x:v>
      </x:c>
      <x:c r="Q2003" s="9" t="n">
        <x:f>COUNTIFS($A$7:$A$2310,A2003)</x:f>
        <x:v>1</x:v>
      </x:c>
    </x:row>
    <x:row r="2004">
      <x:c r="A2004" s="9" t="str">
        <x:v>PD-AR-LF-B-A-TECH-4-B2-RCN-G0-PD14</x:v>
      </x:c>
      <x:c r="B2004" s="9" t="str">
        <x:v>PD-AR-LF-B-A-TECH-4-B2-RCN-G0</x:v>
      </x:c>
      <x:c r="C2004" s="9" t="str">
        <x:v>EV-AR-LF-B-A-TECH-4-B2-RCN-G0</x:v>
      </x:c>
      <x:c r="D2004" s="9" t="str">
        <x:v>AR-LF-B-A-TECH-4-B2-RCN-G0</x:v>
      </x:c>
      <x:c r="E2004" s="9" t="str">
        <x:v>LF-B-A-TECH-4</x:v>
      </x:c>
      <x:c r="F2004" s="9" t="str">
        <x:v>LF-B-A</x:v>
      </x:c>
      <x:c r="G2004" s="9" t="str">
        <x:v>B2</x:v>
      </x:c>
      <x:c r="H2004" s="9" t="str">
        <x:v>RCN</x:v>
      </x:c>
      <x:c r="I2004" s="9" t="str">
        <x:v>PD14</x:v>
      </x:c>
      <x:c r="J2004" s="17" t="str">
        <x:v>Break and residual account</x:v>
      </x:c>
      <x:c r="K2004" s="17" t="str">
        <x:v>Residual authority</x:v>
      </x:c>
      <x:c r="L2004" s="17" t="str">
        <x:v>COURT-SEALED UNTIL COHORT RELEASE</x:v>
      </x:c>
      <x:c r="M2004" s="9" t="n">
        <x:v>0</x:v>
      </x:c>
      <x:c r="N2004" s="9" t="n">
        <x:v>0</x:v>
      </x:c>
      <x:c r="O2004" s="9" t="n">
        <x:v>0</x:v>
      </x:c>
      <x:c r="P2004" s="9" t="str">
        <x:v>HELD / UNRELEASED</x:v>
      </x:c>
      <x:c r="Q2004" s="9" t="n">
        <x:f>COUNTIFS($A$7:$A$2310,A2004)</x:f>
        <x:v>1</x:v>
      </x:c>
    </x:row>
    <x:row r="2005">
      <x:c r="A2005" s="9" t="str">
        <x:v>PD-AR-LF-B-A-TECH-4-B2-RCN-G0-PD15</x:v>
      </x:c>
      <x:c r="B2005" s="9" t="str">
        <x:v>PD-AR-LF-B-A-TECH-4-B2-RCN-G0</x:v>
      </x:c>
      <x:c r="C2005" s="9" t="str">
        <x:v>EV-AR-LF-B-A-TECH-4-B2-RCN-G0</x:v>
      </x:c>
      <x:c r="D2005" s="9" t="str">
        <x:v>AR-LF-B-A-TECH-4-B2-RCN-G0</x:v>
      </x:c>
      <x:c r="E2005" s="9" t="str">
        <x:v>LF-B-A-TECH-4</x:v>
      </x:c>
      <x:c r="F2005" s="9" t="str">
        <x:v>LF-B-A</x:v>
      </x:c>
      <x:c r="G2005" s="9" t="str">
        <x:v>B2</x:v>
      </x:c>
      <x:c r="H2005" s="9" t="str">
        <x:v>RCN</x:v>
      </x:c>
      <x:c r="I2005" s="9" t="str">
        <x:v>PD15</x:v>
      </x:c>
      <x:c r="J2005" s="17" t="str">
        <x:v>Reconstruction ancestry and replay</x:v>
      </x:c>
      <x:c r="K2005" s="17" t="str">
        <x:v>Reconstruction court</x:v>
      </x:c>
      <x:c r="L2005" s="17" t="str">
        <x:v>COURT-SEALED UNTIL COHORT RELEASE</x:v>
      </x:c>
      <x:c r="M2005" s="9" t="n">
        <x:v>0</x:v>
      </x:c>
      <x:c r="N2005" s="9" t="n">
        <x:v>0</x:v>
      </x:c>
      <x:c r="O2005" s="9" t="n">
        <x:v>0</x:v>
      </x:c>
      <x:c r="P2005" s="9" t="str">
        <x:v>HELD / UNRELEASED</x:v>
      </x:c>
      <x:c r="Q2005" s="9" t="n">
        <x:f>COUNTIFS($A$7:$A$2310,A2005)</x:f>
        <x:v>1</x:v>
      </x:c>
    </x:row>
    <x:row r="2006">
      <x:c r="A2006" s="9" t="str">
        <x:v>PD-AR-LF-B-A-TECH-4-B2-RCN-G0-PD16</x:v>
      </x:c>
      <x:c r="B2006" s="9" t="str">
        <x:v>PD-AR-LF-B-A-TECH-4-B2-RCN-G0</x:v>
      </x:c>
      <x:c r="C2006" s="9" t="str">
        <x:v>EV-AR-LF-B-A-TECH-4-B2-RCN-G0</x:v>
      </x:c>
      <x:c r="D2006" s="9" t="str">
        <x:v>AR-LF-B-A-TECH-4-B2-RCN-G0</x:v>
      </x:c>
      <x:c r="E2006" s="9" t="str">
        <x:v>LF-B-A-TECH-4</x:v>
      </x:c>
      <x:c r="F2006" s="9" t="str">
        <x:v>LF-B-A</x:v>
      </x:c>
      <x:c r="G2006" s="9" t="str">
        <x:v>B2</x:v>
      </x:c>
      <x:c r="H2006" s="9" t="str">
        <x:v>RCN</x:v>
      </x:c>
      <x:c r="I2006" s="9" t="str">
        <x:v>PD16</x:v>
      </x:c>
      <x:c r="J2006" s="17" t="str">
        <x:v>Dissent, amendments and access log</x:v>
      </x:c>
      <x:c r="K2006" s="17" t="str">
        <x:v>Public archive</x:v>
      </x:c>
      <x:c r="L2006" s="17" t="str">
        <x:v>COURT-SEALED UNTIL COHORT RELEASE</x:v>
      </x:c>
      <x:c r="M2006" s="9" t="n">
        <x:v>0</x:v>
      </x:c>
      <x:c r="N2006" s="9" t="n">
        <x:v>0</x:v>
      </x:c>
      <x:c r="O2006" s="9" t="n">
        <x:v>0</x:v>
      </x:c>
      <x:c r="P2006" s="9" t="str">
        <x:v>HELD / UNRELEASED</x:v>
      </x:c>
      <x:c r="Q2006" s="9" t="n">
        <x:f>COUNTIFS($A$7:$A$2310,A2006)</x:f>
        <x:v>1</x:v>
      </x:c>
    </x:row>
    <x:row r="2007">
      <x:c r="A2007" s="9" t="str">
        <x:v>PD-AR-LF-B-A-TECH-2-B2-INT-G0-PD01</x:v>
      </x:c>
      <x:c r="B2007" s="9" t="str">
        <x:v>PD-AR-LF-B-A-TECH-2-B2-INT-G0</x:v>
      </x:c>
      <x:c r="C2007" s="9" t="str">
        <x:v>EV-AR-LF-B-A-TECH-2-B2-INT-G0</x:v>
      </x:c>
      <x:c r="D2007" s="9" t="str">
        <x:v>AR-LF-B-A-TECH-2-B2-INT-G0</x:v>
      </x:c>
      <x:c r="E2007" s="9" t="str">
        <x:v>LF-B-A-TECH-2</x:v>
      </x:c>
      <x:c r="F2007" s="9" t="str">
        <x:v>LF-B-A</x:v>
      </x:c>
      <x:c r="G2007" s="9" t="str">
        <x:v>B2</x:v>
      </x:c>
      <x:c r="H2007" s="9" t="str">
        <x:v>INT</x:v>
      </x:c>
      <x:c r="I2007" s="9" t="str">
        <x:v>PD01</x:v>
      </x:c>
      <x:c r="J2007" s="17" t="str">
        <x:v>Experiment kernel</x:v>
      </x:c>
      <x:c r="K2007" s="17" t="str">
        <x:v>Public archive</x:v>
      </x:c>
      <x:c r="L2007" s="17" t="str">
        <x:v>COURT-SEALED UNTIL COHORT RELEASE</x:v>
      </x:c>
      <x:c r="M2007" s="9" t="n">
        <x:v>0</x:v>
      </x:c>
      <x:c r="N2007" s="9" t="n">
        <x:v>0</x:v>
      </x:c>
      <x:c r="O2007" s="9" t="n">
        <x:v>0</x:v>
      </x:c>
      <x:c r="P2007" s="9" t="str">
        <x:v>HELD / UNRELEASED</x:v>
      </x:c>
      <x:c r="Q2007" s="9" t="n">
        <x:f>COUNTIFS($A$7:$A$2310,A2007)</x:f>
        <x:v>1</x:v>
      </x:c>
    </x:row>
    <x:row r="2008">
      <x:c r="A2008" s="9" t="str">
        <x:v>PD-AR-LF-B-A-TECH-2-B2-INT-G0-PD02</x:v>
      </x:c>
      <x:c r="B2008" s="9" t="str">
        <x:v>PD-AR-LF-B-A-TECH-2-B2-INT-G0</x:v>
      </x:c>
      <x:c r="C2008" s="9" t="str">
        <x:v>EV-AR-LF-B-A-TECH-2-B2-INT-G0</x:v>
      </x:c>
      <x:c r="D2008" s="9" t="str">
        <x:v>AR-LF-B-A-TECH-2-B2-INT-G0</x:v>
      </x:c>
      <x:c r="E2008" s="9" t="str">
        <x:v>LF-B-A-TECH-2</x:v>
      </x:c>
      <x:c r="F2008" s="9" t="str">
        <x:v>LF-B-A</x:v>
      </x:c>
      <x:c r="G2008" s="9" t="str">
        <x:v>B2</x:v>
      </x:c>
      <x:c r="H2008" s="9" t="str">
        <x:v>INT</x:v>
      </x:c>
      <x:c r="I2008" s="9" t="str">
        <x:v>PD02</x:v>
      </x:c>
      <x:c r="J2008" s="17" t="str">
        <x:v>Serial annex and title chain</x:v>
      </x:c>
      <x:c r="K2008" s="17" t="str">
        <x:v>Public archive</x:v>
      </x:c>
      <x:c r="L2008" s="17" t="str">
        <x:v>COURT-SEALED UNTIL COHORT RELEASE</x:v>
      </x:c>
      <x:c r="M2008" s="9" t="n">
        <x:v>0</x:v>
      </x:c>
      <x:c r="N2008" s="9" t="n">
        <x:v>0</x:v>
      </x:c>
      <x:c r="O2008" s="9" t="n">
        <x:v>0</x:v>
      </x:c>
      <x:c r="P2008" s="9" t="str">
        <x:v>HELD / UNRELEASED</x:v>
      </x:c>
      <x:c r="Q2008" s="9" t="n">
        <x:f>COUNTIFS($A$7:$A$2310,A2008)</x:f>
        <x:v>1</x:v>
      </x:c>
    </x:row>
    <x:row r="2009">
      <x:c r="A2009" s="9" t="str">
        <x:v>PD-AR-LF-B-A-TECH-2-B2-INT-G0-PD03</x:v>
      </x:c>
      <x:c r="B2009" s="9" t="str">
        <x:v>PD-AR-LF-B-A-TECH-2-B2-INT-G0</x:v>
      </x:c>
      <x:c r="C2009" s="9" t="str">
        <x:v>EV-AR-LF-B-A-TECH-2-B2-INT-G0</x:v>
      </x:c>
      <x:c r="D2009" s="9" t="str">
        <x:v>AR-LF-B-A-TECH-2-B2-INT-G0</x:v>
      </x:c>
      <x:c r="E2009" s="9" t="str">
        <x:v>LF-B-A-TECH-2</x:v>
      </x:c>
      <x:c r="F2009" s="9" t="str">
        <x:v>LF-B-A</x:v>
      </x:c>
      <x:c r="G2009" s="9" t="str">
        <x:v>B2</x:v>
      </x:c>
      <x:c r="H2009" s="9" t="str">
        <x:v>INT</x:v>
      </x:c>
      <x:c r="I2009" s="9" t="str">
        <x:v>PD03</x:v>
      </x:c>
      <x:c r="J2009" s="17" t="str">
        <x:v>Configuration and as-built manifest</x:v>
      </x:c>
      <x:c r="K2009" s="17" t="str">
        <x:v>Artifact exchange</x:v>
      </x:c>
      <x:c r="L2009" s="17" t="str">
        <x:v>COURT-SEALED UNTIL COHORT RELEASE</x:v>
      </x:c>
      <x:c r="M2009" s="9" t="n">
        <x:v>0</x:v>
      </x:c>
      <x:c r="N2009" s="9" t="n">
        <x:v>0</x:v>
      </x:c>
      <x:c r="O2009" s="9" t="n">
        <x:v>0</x:v>
      </x:c>
      <x:c r="P2009" s="9" t="str">
        <x:v>HELD / UNRELEASED</x:v>
      </x:c>
      <x:c r="Q2009" s="9" t="n">
        <x:f>COUNTIFS($A$7:$A$2310,A2009)</x:f>
        <x:v>1</x:v>
      </x:c>
    </x:row>
    <x:row r="2010">
      <x:c r="A2010" s="9" t="str">
        <x:v>PD-AR-LF-B-A-TECH-2-B2-INT-G0-PD04</x:v>
      </x:c>
      <x:c r="B2010" s="9" t="str">
        <x:v>PD-AR-LF-B-A-TECH-2-B2-INT-G0</x:v>
      </x:c>
      <x:c r="C2010" s="9" t="str">
        <x:v>EV-AR-LF-B-A-TECH-2-B2-INT-G0</x:v>
      </x:c>
      <x:c r="D2010" s="9" t="str">
        <x:v>AR-LF-B-A-TECH-2-B2-INT-G0</x:v>
      </x:c>
      <x:c r="E2010" s="9" t="str">
        <x:v>LF-B-A-TECH-2</x:v>
      </x:c>
      <x:c r="F2010" s="9" t="str">
        <x:v>LF-B-A</x:v>
      </x:c>
      <x:c r="G2010" s="9" t="str">
        <x:v>B2</x:v>
      </x:c>
      <x:c r="H2010" s="9" t="str">
        <x:v>INT</x:v>
      </x:c>
      <x:c r="I2010" s="9" t="str">
        <x:v>PD04</x:v>
      </x:c>
      <x:c r="J2010" s="17" t="str">
        <x:v>EOW and start certificate</x:v>
      </x:c>
      <x:c r="K2010" s="17" t="str">
        <x:v>Start registrar</x:v>
      </x:c>
      <x:c r="L2010" s="17" t="str">
        <x:v>COURT-SEALED UNTIL COHORT RELEASE</x:v>
      </x:c>
      <x:c r="M2010" s="9" t="n">
        <x:v>0</x:v>
      </x:c>
      <x:c r="N2010" s="9" t="n">
        <x:v>0</x:v>
      </x:c>
      <x:c r="O2010" s="9" t="n">
        <x:v>0</x:v>
      </x:c>
      <x:c r="P2010" s="9" t="str">
        <x:v>HELD / UNRELEASED</x:v>
      </x:c>
      <x:c r="Q2010" s="9" t="n">
        <x:f>COUNTIFS($A$7:$A$2310,A2010)</x:f>
        <x:v>1</x:v>
      </x:c>
    </x:row>
    <x:row r="2011">
      <x:c r="A2011" s="9" t="str">
        <x:v>PD-AR-LF-B-A-TECH-2-B2-INT-G0-PD05</x:v>
      </x:c>
      <x:c r="B2011" s="9" t="str">
        <x:v>PD-AR-LF-B-A-TECH-2-B2-INT-G0</x:v>
      </x:c>
      <x:c r="C2011" s="9" t="str">
        <x:v>EV-AR-LF-B-A-TECH-2-B2-INT-G0</x:v>
      </x:c>
      <x:c r="D2011" s="9" t="str">
        <x:v>AR-LF-B-A-TECH-2-B2-INT-G0</x:v>
      </x:c>
      <x:c r="E2011" s="9" t="str">
        <x:v>LF-B-A-TECH-2</x:v>
      </x:c>
      <x:c r="F2011" s="9" t="str">
        <x:v>LF-B-A</x:v>
      </x:c>
      <x:c r="G2011" s="9" t="str">
        <x:v>B2</x:v>
      </x:c>
      <x:c r="H2011" s="9" t="str">
        <x:v>INT</x:v>
      </x:c>
      <x:c r="I2011" s="9" t="str">
        <x:v>PD05</x:v>
      </x:c>
      <x:c r="J2011" s="17" t="str">
        <x:v>Primary raw originals</x:v>
      </x:c>
      <x:c r="K2011" s="17" t="str">
        <x:v>Primary custody</x:v>
      </x:c>
      <x:c r="L2011" s="17" t="str">
        <x:v>COURT-SEALED UNTIL COHORT RELEASE</x:v>
      </x:c>
      <x:c r="M2011" s="9" t="n">
        <x:v>0</x:v>
      </x:c>
      <x:c r="N2011" s="9" t="n">
        <x:v>0</x:v>
      </x:c>
      <x:c r="O2011" s="9" t="n">
        <x:v>0</x:v>
      </x:c>
      <x:c r="P2011" s="9" t="str">
        <x:v>HELD / UNRELEASED</x:v>
      </x:c>
      <x:c r="Q2011" s="9" t="n">
        <x:f>COUNTIFS($A$7:$A$2310,A2011)</x:f>
        <x:v>1</x:v>
      </x:c>
    </x:row>
    <x:row r="2012">
      <x:c r="A2012" s="9" t="str">
        <x:v>PD-AR-LF-B-A-TECH-2-B2-INT-G0-PD06</x:v>
      </x:c>
      <x:c r="B2012" s="9" t="str">
        <x:v>PD-AR-LF-B-A-TECH-2-B2-INT-G0</x:v>
      </x:c>
      <x:c r="C2012" s="9" t="str">
        <x:v>EV-AR-LF-B-A-TECH-2-B2-INT-G0</x:v>
      </x:c>
      <x:c r="D2012" s="9" t="str">
        <x:v>AR-LF-B-A-TECH-2-B2-INT-G0</x:v>
      </x:c>
      <x:c r="E2012" s="9" t="str">
        <x:v>LF-B-A-TECH-2</x:v>
      </x:c>
      <x:c r="F2012" s="9" t="str">
        <x:v>LF-B-A</x:v>
      </x:c>
      <x:c r="G2012" s="9" t="str">
        <x:v>B2</x:v>
      </x:c>
      <x:c r="H2012" s="9" t="str">
        <x:v>INT</x:v>
      </x:c>
      <x:c r="I2012" s="9" t="str">
        <x:v>PD06</x:v>
      </x:c>
      <x:c r="J2012" s="17" t="str">
        <x:v>Witness raw originals</x:v>
      </x:c>
      <x:c r="K2012" s="17" t="str">
        <x:v>Witness custody</x:v>
      </x:c>
      <x:c r="L2012" s="17" t="str">
        <x:v>COURT-SEALED UNTIL COHORT RELEASE</x:v>
      </x:c>
      <x:c r="M2012" s="9" t="n">
        <x:v>0</x:v>
      </x:c>
      <x:c r="N2012" s="9" t="n">
        <x:v>0</x:v>
      </x:c>
      <x:c r="O2012" s="9" t="n">
        <x:v>0</x:v>
      </x:c>
      <x:c r="P2012" s="9" t="str">
        <x:v>HELD / UNRELEASED</x:v>
      </x:c>
      <x:c r="Q2012" s="9" t="n">
        <x:f>COUNTIFS($A$7:$A$2310,A2012)</x:f>
        <x:v>1</x:v>
      </x:c>
    </x:row>
    <x:row r="2013">
      <x:c r="A2013" s="9" t="str">
        <x:v>PD-AR-LF-B-A-TECH-2-B2-INT-G0-PD07</x:v>
      </x:c>
      <x:c r="B2013" s="9" t="str">
        <x:v>PD-AR-LF-B-A-TECH-2-B2-INT-G0</x:v>
      </x:c>
      <x:c r="C2013" s="9" t="str">
        <x:v>EV-AR-LF-B-A-TECH-2-B2-INT-G0</x:v>
      </x:c>
      <x:c r="D2013" s="9" t="str">
        <x:v>AR-LF-B-A-TECH-2-B2-INT-G0</x:v>
      </x:c>
      <x:c r="E2013" s="9" t="str">
        <x:v>LF-B-A-TECH-2</x:v>
      </x:c>
      <x:c r="F2013" s="9" t="str">
        <x:v>LF-B-A</x:v>
      </x:c>
      <x:c r="G2013" s="9" t="str">
        <x:v>B2</x:v>
      </x:c>
      <x:c r="H2013" s="9" t="str">
        <x:v>INT</x:v>
      </x:c>
      <x:c r="I2013" s="9" t="str">
        <x:v>PD07</x:v>
      </x:c>
      <x:c r="J2013" s="17" t="str">
        <x:v>Clock and environmental records</x:v>
      </x:c>
      <x:c r="K2013" s="17" t="str">
        <x:v>Boundary archive</x:v>
      </x:c>
      <x:c r="L2013" s="17" t="str">
        <x:v>COURT-SEALED UNTIL COHORT RELEASE</x:v>
      </x:c>
      <x:c r="M2013" s="9" t="n">
        <x:v>0</x:v>
      </x:c>
      <x:c r="N2013" s="9" t="n">
        <x:v>0</x:v>
      </x:c>
      <x:c r="O2013" s="9" t="n">
        <x:v>0</x:v>
      </x:c>
      <x:c r="P2013" s="9" t="str">
        <x:v>HELD / UNRELEASED</x:v>
      </x:c>
      <x:c r="Q2013" s="9" t="n">
        <x:f>COUNTIFS($A$7:$A$2310,A2013)</x:f>
        <x:v>1</x:v>
      </x:c>
    </x:row>
    <x:row r="2014">
      <x:c r="A2014" s="9" t="str">
        <x:v>PD-AR-LF-B-A-TECH-2-B2-INT-G0-PD08</x:v>
      </x:c>
      <x:c r="B2014" s="9" t="str">
        <x:v>PD-AR-LF-B-A-TECH-2-B2-INT-G0</x:v>
      </x:c>
      <x:c r="C2014" s="9" t="str">
        <x:v>EV-AR-LF-B-A-TECH-2-B2-INT-G0</x:v>
      </x:c>
      <x:c r="D2014" s="9" t="str">
        <x:v>AR-LF-B-A-TECH-2-B2-INT-G0</x:v>
      </x:c>
      <x:c r="E2014" s="9" t="str">
        <x:v>LF-B-A-TECH-2</x:v>
      </x:c>
      <x:c r="F2014" s="9" t="str">
        <x:v>LF-B-A</x:v>
      </x:c>
      <x:c r="G2014" s="9" t="str">
        <x:v>B2</x:v>
      </x:c>
      <x:c r="H2014" s="9" t="str">
        <x:v>INT</x:v>
      </x:c>
      <x:c r="I2014" s="9" t="str">
        <x:v>PD08</x:v>
      </x:c>
      <x:c r="J2014" s="17" t="str">
        <x:v>Command and intervention log</x:v>
      </x:c>
      <x:c r="K2014" s="17" t="str">
        <x:v>Safety archive</x:v>
      </x:c>
      <x:c r="L2014" s="17" t="str">
        <x:v>COURT-SEALED UNTIL COHORT RELEASE</x:v>
      </x:c>
      <x:c r="M2014" s="9" t="n">
        <x:v>0</x:v>
      </x:c>
      <x:c r="N2014" s="9" t="n">
        <x:v>0</x:v>
      </x:c>
      <x:c r="O2014" s="9" t="n">
        <x:v>0</x:v>
      </x:c>
      <x:c r="P2014" s="9" t="str">
        <x:v>HELD / UNRELEASED</x:v>
      </x:c>
      <x:c r="Q2014" s="9" t="n">
        <x:f>COUNTIFS($A$7:$A$2310,A2014)</x:f>
        <x:v>1</x:v>
      </x:c>
    </x:row>
    <x:row r="2015">
      <x:c r="A2015" s="9" t="str">
        <x:v>PD-AR-LF-B-A-TECH-2-B2-INT-G0-PD09</x:v>
      </x:c>
      <x:c r="B2015" s="9" t="str">
        <x:v>PD-AR-LF-B-A-TECH-2-B2-INT-G0</x:v>
      </x:c>
      <x:c r="C2015" s="9" t="str">
        <x:v>EV-AR-LF-B-A-TECH-2-B2-INT-G0</x:v>
      </x:c>
      <x:c r="D2015" s="9" t="str">
        <x:v>AR-LF-B-A-TECH-2-B2-INT-G0</x:v>
      </x:c>
      <x:c r="E2015" s="9" t="str">
        <x:v>LF-B-A-TECH-2</x:v>
      </x:c>
      <x:c r="F2015" s="9" t="str">
        <x:v>LF-B-A</x:v>
      </x:c>
      <x:c r="G2015" s="9" t="str">
        <x:v>B2</x:v>
      </x:c>
      <x:c r="H2015" s="9" t="str">
        <x:v>INT</x:v>
      </x:c>
      <x:c r="I2015" s="9" t="str">
        <x:v>PD09</x:v>
      </x:c>
      <x:c r="J2015" s="17" t="str">
        <x:v>Receiver denominator and service ledger</x:v>
      </x:c>
      <x:c r="K2015" s="17" t="str">
        <x:v>Receiver archive</x:v>
      </x:c>
      <x:c r="L2015" s="17" t="str">
        <x:v>COURT-SEALED UNTIL COHORT RELEASE</x:v>
      </x:c>
      <x:c r="M2015" s="9" t="n">
        <x:v>0</x:v>
      </x:c>
      <x:c r="N2015" s="9" t="n">
        <x:v>0</x:v>
      </x:c>
      <x:c r="O2015" s="9" t="n">
        <x:v>0</x:v>
      </x:c>
      <x:c r="P2015" s="9" t="str">
        <x:v>HELD / UNRELEASED</x:v>
      </x:c>
      <x:c r="Q2015" s="9" t="n">
        <x:f>COUNTIFS($A$7:$A$2310,A2015)</x:f>
        <x:v>1</x:v>
      </x:c>
    </x:row>
    <x:row r="2016">
      <x:c r="A2016" s="9" t="str">
        <x:v>PD-AR-LF-B-A-TECH-2-B2-INT-G0-PD10</x:v>
      </x:c>
      <x:c r="B2016" s="9" t="str">
        <x:v>PD-AR-LF-B-A-TECH-2-B2-INT-G0</x:v>
      </x:c>
      <x:c r="C2016" s="9" t="str">
        <x:v>EV-AR-LF-B-A-TECH-2-B2-INT-G0</x:v>
      </x:c>
      <x:c r="D2016" s="9" t="str">
        <x:v>AR-LF-B-A-TECH-2-B2-INT-G0</x:v>
      </x:c>
      <x:c r="E2016" s="9" t="str">
        <x:v>LF-B-A-TECH-2</x:v>
      </x:c>
      <x:c r="F2016" s="9" t="str">
        <x:v>LF-B-A</x:v>
      </x:c>
      <x:c r="G2016" s="9" t="str">
        <x:v>B2</x:v>
      </x:c>
      <x:c r="H2016" s="9" t="str">
        <x:v>INT</x:v>
      </x:c>
      <x:c r="I2016" s="9" t="str">
        <x:v>PD10</x:v>
      </x:c>
      <x:c r="J2016" s="17" t="str">
        <x:v>Calibration and uncertainty record</x:v>
      </x:c>
      <x:c r="K2016" s="17" t="str">
        <x:v>Metrology archive</x:v>
      </x:c>
      <x:c r="L2016" s="17" t="str">
        <x:v>COURT-SEALED UNTIL COHORT RELEASE</x:v>
      </x:c>
      <x:c r="M2016" s="9" t="n">
        <x:v>0</x:v>
      </x:c>
      <x:c r="N2016" s="9" t="n">
        <x:v>0</x:v>
      </x:c>
      <x:c r="O2016" s="9" t="n">
        <x:v>0</x:v>
      </x:c>
      <x:c r="P2016" s="9" t="str">
        <x:v>HELD / UNRELEASED</x:v>
      </x:c>
      <x:c r="Q2016" s="9" t="n">
        <x:f>COUNTIFS($A$7:$A$2310,A2016)</x:f>
        <x:v>1</x:v>
      </x:c>
    </x:row>
    <x:row r="2017">
      <x:c r="A2017" s="9" t="str">
        <x:v>PD-AR-LF-B-A-TECH-2-B2-INT-G0-PD11</x:v>
      </x:c>
      <x:c r="B2017" s="9" t="str">
        <x:v>PD-AR-LF-B-A-TECH-2-B2-INT-G0</x:v>
      </x:c>
      <x:c r="C2017" s="9" t="str">
        <x:v>EV-AR-LF-B-A-TECH-2-B2-INT-G0</x:v>
      </x:c>
      <x:c r="D2017" s="9" t="str">
        <x:v>AR-LF-B-A-TECH-2-B2-INT-G0</x:v>
      </x:c>
      <x:c r="E2017" s="9" t="str">
        <x:v>LF-B-A-TECH-2</x:v>
      </x:c>
      <x:c r="F2017" s="9" t="str">
        <x:v>LF-B-A</x:v>
      </x:c>
      <x:c r="G2017" s="9" t="str">
        <x:v>B2</x:v>
      </x:c>
      <x:c r="H2017" s="9" t="str">
        <x:v>INT</x:v>
      </x:c>
      <x:c r="I2017" s="9" t="str">
        <x:v>PD11</x:v>
      </x:c>
      <x:c r="J2017" s="17" t="str">
        <x:v>Invalidity petition and opinion</x:v>
      </x:c>
      <x:c r="K2017" s="17" t="str">
        <x:v>Invalidity court</x:v>
      </x:c>
      <x:c r="L2017" s="17" t="str">
        <x:v>COURT-SEALED UNTIL COHORT RELEASE</x:v>
      </x:c>
      <x:c r="M2017" s="9" t="n">
        <x:v>0</x:v>
      </x:c>
      <x:c r="N2017" s="9" t="n">
        <x:v>0</x:v>
      </x:c>
      <x:c r="O2017" s="9" t="n">
        <x:v>0</x:v>
      </x:c>
      <x:c r="P2017" s="9" t="str">
        <x:v>HELD / UNRELEASED</x:v>
      </x:c>
      <x:c r="Q2017" s="9" t="n">
        <x:f>COUNTIFS($A$7:$A$2310,A2017)</x:f>
        <x:v>1</x:v>
      </x:c>
    </x:row>
    <x:row r="2018">
      <x:c r="A2018" s="9" t="str">
        <x:v>PD-AR-LF-B-A-TECH-2-B2-INT-G0-PD12</x:v>
      </x:c>
      <x:c r="B2018" s="9" t="str">
        <x:v>PD-AR-LF-B-A-TECH-2-B2-INT-G0</x:v>
      </x:c>
      <x:c r="C2018" s="9" t="str">
        <x:v>EV-AR-LF-B-A-TECH-2-B2-INT-G0</x:v>
      </x:c>
      <x:c r="D2018" s="9" t="str">
        <x:v>AR-LF-B-A-TECH-2-B2-INT-G0</x:v>
      </x:c>
      <x:c r="E2018" s="9" t="str">
        <x:v>LF-B-A-TECH-2</x:v>
      </x:c>
      <x:c r="F2018" s="9" t="str">
        <x:v>LF-B-A</x:v>
      </x:c>
      <x:c r="G2018" s="9" t="str">
        <x:v>B2</x:v>
      </x:c>
      <x:c r="H2018" s="9" t="str">
        <x:v>INT</x:v>
      </x:c>
      <x:c r="I2018" s="9" t="str">
        <x:v>PD12</x:v>
      </x:c>
      <x:c r="J2018" s="17" t="str">
        <x:v>Observation acceptance and replay</x:v>
      </x:c>
      <x:c r="K2018" s="17" t="str">
        <x:v>Observation court</x:v>
      </x:c>
      <x:c r="L2018" s="17" t="str">
        <x:v>COURT-SEALED UNTIL COHORT RELEASE</x:v>
      </x:c>
      <x:c r="M2018" s="9" t="n">
        <x:v>0</x:v>
      </x:c>
      <x:c r="N2018" s="9" t="n">
        <x:v>0</x:v>
      </x:c>
      <x:c r="O2018" s="9" t="n">
        <x:v>0</x:v>
      </x:c>
      <x:c r="P2018" s="9" t="str">
        <x:v>HELD / UNRELEASED</x:v>
      </x:c>
      <x:c r="Q2018" s="9" t="n">
        <x:f>COUNTIFS($A$7:$A$2310,A2018)</x:f>
        <x:v>1</x:v>
      </x:c>
    </x:row>
    <x:row r="2019">
      <x:c r="A2019" s="9" t="str">
        <x:v>PD-AR-LF-B-A-TECH-2-B2-INT-G0-PD13</x:v>
      </x:c>
      <x:c r="B2019" s="9" t="str">
        <x:v>PD-AR-LF-B-A-TECH-2-B2-INT-G0</x:v>
      </x:c>
      <x:c r="C2019" s="9" t="str">
        <x:v>EV-AR-LF-B-A-TECH-2-B2-INT-G0</x:v>
      </x:c>
      <x:c r="D2019" s="9" t="str">
        <x:v>AR-LF-B-A-TECH-2-B2-INT-G0</x:v>
      </x:c>
      <x:c r="E2019" s="9" t="str">
        <x:v>LF-B-A-TECH-2</x:v>
      </x:c>
      <x:c r="F2019" s="9" t="str">
        <x:v>LF-B-A</x:v>
      </x:c>
      <x:c r="G2019" s="9" t="str">
        <x:v>B2</x:v>
      </x:c>
      <x:c r="H2019" s="9" t="str">
        <x:v>INT</x:v>
      </x:c>
      <x:c r="I2019" s="9" t="str">
        <x:v>PD13</x:v>
      </x:c>
      <x:c r="J2019" s="17" t="str">
        <x:v>Role judgment</x:v>
      </x:c>
      <x:c r="K2019" s="17" t="str">
        <x:v>Role court</x:v>
      </x:c>
      <x:c r="L2019" s="17" t="str">
        <x:v>COURT-SEALED UNTIL COHORT RELEASE</x:v>
      </x:c>
      <x:c r="M2019" s="9" t="n">
        <x:v>0</x:v>
      </x:c>
      <x:c r="N2019" s="9" t="n">
        <x:v>0</x:v>
      </x:c>
      <x:c r="O2019" s="9" t="n">
        <x:v>0</x:v>
      </x:c>
      <x:c r="P2019" s="9" t="str">
        <x:v>HELD / UNRELEASED</x:v>
      </x:c>
      <x:c r="Q2019" s="9" t="n">
        <x:f>COUNTIFS($A$7:$A$2310,A2019)</x:f>
        <x:v>1</x:v>
      </x:c>
    </x:row>
    <x:row r="2020">
      <x:c r="A2020" s="9" t="str">
        <x:v>PD-AR-LF-B-A-TECH-2-B2-INT-G0-PD14</x:v>
      </x:c>
      <x:c r="B2020" s="9" t="str">
        <x:v>PD-AR-LF-B-A-TECH-2-B2-INT-G0</x:v>
      </x:c>
      <x:c r="C2020" s="9" t="str">
        <x:v>EV-AR-LF-B-A-TECH-2-B2-INT-G0</x:v>
      </x:c>
      <x:c r="D2020" s="9" t="str">
        <x:v>AR-LF-B-A-TECH-2-B2-INT-G0</x:v>
      </x:c>
      <x:c r="E2020" s="9" t="str">
        <x:v>LF-B-A-TECH-2</x:v>
      </x:c>
      <x:c r="F2020" s="9" t="str">
        <x:v>LF-B-A</x:v>
      </x:c>
      <x:c r="G2020" s="9" t="str">
        <x:v>B2</x:v>
      </x:c>
      <x:c r="H2020" s="9" t="str">
        <x:v>INT</x:v>
      </x:c>
      <x:c r="I2020" s="9" t="str">
        <x:v>PD14</x:v>
      </x:c>
      <x:c r="J2020" s="17" t="str">
        <x:v>Break and residual account</x:v>
      </x:c>
      <x:c r="K2020" s="17" t="str">
        <x:v>Residual authority</x:v>
      </x:c>
      <x:c r="L2020" s="17" t="str">
        <x:v>COURT-SEALED UNTIL COHORT RELEASE</x:v>
      </x:c>
      <x:c r="M2020" s="9" t="n">
        <x:v>0</x:v>
      </x:c>
      <x:c r="N2020" s="9" t="n">
        <x:v>0</x:v>
      </x:c>
      <x:c r="O2020" s="9" t="n">
        <x:v>0</x:v>
      </x:c>
      <x:c r="P2020" s="9" t="str">
        <x:v>HELD / UNRELEASED</x:v>
      </x:c>
      <x:c r="Q2020" s="9" t="n">
        <x:f>COUNTIFS($A$7:$A$2310,A2020)</x:f>
        <x:v>1</x:v>
      </x:c>
    </x:row>
    <x:row r="2021">
      <x:c r="A2021" s="9" t="str">
        <x:v>PD-AR-LF-B-A-TECH-2-B2-INT-G0-PD15</x:v>
      </x:c>
      <x:c r="B2021" s="9" t="str">
        <x:v>PD-AR-LF-B-A-TECH-2-B2-INT-G0</x:v>
      </x:c>
      <x:c r="C2021" s="9" t="str">
        <x:v>EV-AR-LF-B-A-TECH-2-B2-INT-G0</x:v>
      </x:c>
      <x:c r="D2021" s="9" t="str">
        <x:v>AR-LF-B-A-TECH-2-B2-INT-G0</x:v>
      </x:c>
      <x:c r="E2021" s="9" t="str">
        <x:v>LF-B-A-TECH-2</x:v>
      </x:c>
      <x:c r="F2021" s="9" t="str">
        <x:v>LF-B-A</x:v>
      </x:c>
      <x:c r="G2021" s="9" t="str">
        <x:v>B2</x:v>
      </x:c>
      <x:c r="H2021" s="9" t="str">
        <x:v>INT</x:v>
      </x:c>
      <x:c r="I2021" s="9" t="str">
        <x:v>PD15</x:v>
      </x:c>
      <x:c r="J2021" s="17" t="str">
        <x:v>Reconstruction ancestry and replay</x:v>
      </x:c>
      <x:c r="K2021" s="17" t="str">
        <x:v>Reconstruction court</x:v>
      </x:c>
      <x:c r="L2021" s="17" t="str">
        <x:v>COURT-SEALED UNTIL COHORT RELEASE</x:v>
      </x:c>
      <x:c r="M2021" s="9" t="n">
        <x:v>0</x:v>
      </x:c>
      <x:c r="N2021" s="9" t="n">
        <x:v>0</x:v>
      </x:c>
      <x:c r="O2021" s="9" t="n">
        <x:v>0</x:v>
      </x:c>
      <x:c r="P2021" s="9" t="str">
        <x:v>HELD / UNRELEASED</x:v>
      </x:c>
      <x:c r="Q2021" s="9" t="n">
        <x:f>COUNTIFS($A$7:$A$2310,A2021)</x:f>
        <x:v>1</x:v>
      </x:c>
    </x:row>
    <x:row r="2022">
      <x:c r="A2022" s="9" t="str">
        <x:v>PD-AR-LF-B-A-TECH-2-B2-INT-G0-PD16</x:v>
      </x:c>
      <x:c r="B2022" s="9" t="str">
        <x:v>PD-AR-LF-B-A-TECH-2-B2-INT-G0</x:v>
      </x:c>
      <x:c r="C2022" s="9" t="str">
        <x:v>EV-AR-LF-B-A-TECH-2-B2-INT-G0</x:v>
      </x:c>
      <x:c r="D2022" s="9" t="str">
        <x:v>AR-LF-B-A-TECH-2-B2-INT-G0</x:v>
      </x:c>
      <x:c r="E2022" s="9" t="str">
        <x:v>LF-B-A-TECH-2</x:v>
      </x:c>
      <x:c r="F2022" s="9" t="str">
        <x:v>LF-B-A</x:v>
      </x:c>
      <x:c r="G2022" s="9" t="str">
        <x:v>B2</x:v>
      </x:c>
      <x:c r="H2022" s="9" t="str">
        <x:v>INT</x:v>
      </x:c>
      <x:c r="I2022" s="9" t="str">
        <x:v>PD16</x:v>
      </x:c>
      <x:c r="J2022" s="17" t="str">
        <x:v>Dissent, amendments and access log</x:v>
      </x:c>
      <x:c r="K2022" s="17" t="str">
        <x:v>Public archive</x:v>
      </x:c>
      <x:c r="L2022" s="17" t="str">
        <x:v>COURT-SEALED UNTIL COHORT RELEASE</x:v>
      </x:c>
      <x:c r="M2022" s="9" t="n">
        <x:v>0</x:v>
      </x:c>
      <x:c r="N2022" s="9" t="n">
        <x:v>0</x:v>
      </x:c>
      <x:c r="O2022" s="9" t="n">
        <x:v>0</x:v>
      </x:c>
      <x:c r="P2022" s="9" t="str">
        <x:v>HELD / UNRELEASED</x:v>
      </x:c>
      <x:c r="Q2022" s="9" t="n">
        <x:f>COUNTIFS($A$7:$A$2310,A2022)</x:f>
        <x:v>1</x:v>
      </x:c>
    </x:row>
    <x:row r="2023">
      <x:c r="A2023" s="9" t="str">
        <x:v>PD-AR-CT-C-B-TECH-3-B1-BRK-G0-PD01</x:v>
      </x:c>
      <x:c r="B2023" s="9" t="str">
        <x:v>PD-AR-CT-C-B-TECH-3-B1-BRK-G0</x:v>
      </x:c>
      <x:c r="C2023" s="9" t="str">
        <x:v>EV-AR-CT-C-B-TECH-3-B1-BRK-G0</x:v>
      </x:c>
      <x:c r="D2023" s="9" t="str">
        <x:v>AR-CT-C-B-TECH-3-B1-BRK-G0</x:v>
      </x:c>
      <x:c r="E2023" s="9" t="str">
        <x:v>CT-C-B-TECH-3</x:v>
      </x:c>
      <x:c r="F2023" s="9" t="str">
        <x:v>CT-C-B</x:v>
      </x:c>
      <x:c r="G2023" s="9" t="str">
        <x:v>B1</x:v>
      </x:c>
      <x:c r="H2023" s="9" t="str">
        <x:v>BRK</x:v>
      </x:c>
      <x:c r="I2023" s="9" t="str">
        <x:v>PD01</x:v>
      </x:c>
      <x:c r="J2023" s="17" t="str">
        <x:v>Experiment kernel</x:v>
      </x:c>
      <x:c r="K2023" s="17" t="str">
        <x:v>Public archive</x:v>
      </x:c>
      <x:c r="L2023" s="17" t="str">
        <x:v>COURT-SEALED UNTIL COHORT RELEASE</x:v>
      </x:c>
      <x:c r="M2023" s="9" t="n">
        <x:v>0</x:v>
      </x:c>
      <x:c r="N2023" s="9" t="n">
        <x:v>0</x:v>
      </x:c>
      <x:c r="O2023" s="9" t="n">
        <x:v>0</x:v>
      </x:c>
      <x:c r="P2023" s="9" t="str">
        <x:v>HELD / UNRELEASED</x:v>
      </x:c>
      <x:c r="Q2023" s="9" t="n">
        <x:f>COUNTIFS($A$7:$A$2310,A2023)</x:f>
        <x:v>1</x:v>
      </x:c>
    </x:row>
    <x:row r="2024">
      <x:c r="A2024" s="9" t="str">
        <x:v>PD-AR-CT-C-B-TECH-3-B1-BRK-G0-PD02</x:v>
      </x:c>
      <x:c r="B2024" s="9" t="str">
        <x:v>PD-AR-CT-C-B-TECH-3-B1-BRK-G0</x:v>
      </x:c>
      <x:c r="C2024" s="9" t="str">
        <x:v>EV-AR-CT-C-B-TECH-3-B1-BRK-G0</x:v>
      </x:c>
      <x:c r="D2024" s="9" t="str">
        <x:v>AR-CT-C-B-TECH-3-B1-BRK-G0</x:v>
      </x:c>
      <x:c r="E2024" s="9" t="str">
        <x:v>CT-C-B-TECH-3</x:v>
      </x:c>
      <x:c r="F2024" s="9" t="str">
        <x:v>CT-C-B</x:v>
      </x:c>
      <x:c r="G2024" s="9" t="str">
        <x:v>B1</x:v>
      </x:c>
      <x:c r="H2024" s="9" t="str">
        <x:v>BRK</x:v>
      </x:c>
      <x:c r="I2024" s="9" t="str">
        <x:v>PD02</x:v>
      </x:c>
      <x:c r="J2024" s="17" t="str">
        <x:v>Serial annex and title chain</x:v>
      </x:c>
      <x:c r="K2024" s="17" t="str">
        <x:v>Public archive</x:v>
      </x:c>
      <x:c r="L2024" s="17" t="str">
        <x:v>COURT-SEALED UNTIL COHORT RELEASE</x:v>
      </x:c>
      <x:c r="M2024" s="9" t="n">
        <x:v>0</x:v>
      </x:c>
      <x:c r="N2024" s="9" t="n">
        <x:v>0</x:v>
      </x:c>
      <x:c r="O2024" s="9" t="n">
        <x:v>0</x:v>
      </x:c>
      <x:c r="P2024" s="9" t="str">
        <x:v>HELD / UNRELEASED</x:v>
      </x:c>
      <x:c r="Q2024" s="9" t="n">
        <x:f>COUNTIFS($A$7:$A$2310,A2024)</x:f>
        <x:v>1</x:v>
      </x:c>
    </x:row>
    <x:row r="2025">
      <x:c r="A2025" s="9" t="str">
        <x:v>PD-AR-CT-C-B-TECH-3-B1-BRK-G0-PD03</x:v>
      </x:c>
      <x:c r="B2025" s="9" t="str">
        <x:v>PD-AR-CT-C-B-TECH-3-B1-BRK-G0</x:v>
      </x:c>
      <x:c r="C2025" s="9" t="str">
        <x:v>EV-AR-CT-C-B-TECH-3-B1-BRK-G0</x:v>
      </x:c>
      <x:c r="D2025" s="9" t="str">
        <x:v>AR-CT-C-B-TECH-3-B1-BRK-G0</x:v>
      </x:c>
      <x:c r="E2025" s="9" t="str">
        <x:v>CT-C-B-TECH-3</x:v>
      </x:c>
      <x:c r="F2025" s="9" t="str">
        <x:v>CT-C-B</x:v>
      </x:c>
      <x:c r="G2025" s="9" t="str">
        <x:v>B1</x:v>
      </x:c>
      <x:c r="H2025" s="9" t="str">
        <x:v>BRK</x:v>
      </x:c>
      <x:c r="I2025" s="9" t="str">
        <x:v>PD03</x:v>
      </x:c>
      <x:c r="J2025" s="17" t="str">
        <x:v>Configuration and as-built manifest</x:v>
      </x:c>
      <x:c r="K2025" s="17" t="str">
        <x:v>Artifact exchange</x:v>
      </x:c>
      <x:c r="L2025" s="17" t="str">
        <x:v>COURT-SEALED UNTIL COHORT RELEASE</x:v>
      </x:c>
      <x:c r="M2025" s="9" t="n">
        <x:v>0</x:v>
      </x:c>
      <x:c r="N2025" s="9" t="n">
        <x:v>0</x:v>
      </x:c>
      <x:c r="O2025" s="9" t="n">
        <x:v>0</x:v>
      </x:c>
      <x:c r="P2025" s="9" t="str">
        <x:v>HELD / UNRELEASED</x:v>
      </x:c>
      <x:c r="Q2025" s="9" t="n">
        <x:f>COUNTIFS($A$7:$A$2310,A2025)</x:f>
        <x:v>1</x:v>
      </x:c>
    </x:row>
    <x:row r="2026">
      <x:c r="A2026" s="9" t="str">
        <x:v>PD-AR-CT-C-B-TECH-3-B1-BRK-G0-PD04</x:v>
      </x:c>
      <x:c r="B2026" s="9" t="str">
        <x:v>PD-AR-CT-C-B-TECH-3-B1-BRK-G0</x:v>
      </x:c>
      <x:c r="C2026" s="9" t="str">
        <x:v>EV-AR-CT-C-B-TECH-3-B1-BRK-G0</x:v>
      </x:c>
      <x:c r="D2026" s="9" t="str">
        <x:v>AR-CT-C-B-TECH-3-B1-BRK-G0</x:v>
      </x:c>
      <x:c r="E2026" s="9" t="str">
        <x:v>CT-C-B-TECH-3</x:v>
      </x:c>
      <x:c r="F2026" s="9" t="str">
        <x:v>CT-C-B</x:v>
      </x:c>
      <x:c r="G2026" s="9" t="str">
        <x:v>B1</x:v>
      </x:c>
      <x:c r="H2026" s="9" t="str">
        <x:v>BRK</x:v>
      </x:c>
      <x:c r="I2026" s="9" t="str">
        <x:v>PD04</x:v>
      </x:c>
      <x:c r="J2026" s="17" t="str">
        <x:v>EOW and start certificate</x:v>
      </x:c>
      <x:c r="K2026" s="17" t="str">
        <x:v>Start registrar</x:v>
      </x:c>
      <x:c r="L2026" s="17" t="str">
        <x:v>COURT-SEALED UNTIL COHORT RELEASE</x:v>
      </x:c>
      <x:c r="M2026" s="9" t="n">
        <x:v>0</x:v>
      </x:c>
      <x:c r="N2026" s="9" t="n">
        <x:v>0</x:v>
      </x:c>
      <x:c r="O2026" s="9" t="n">
        <x:v>0</x:v>
      </x:c>
      <x:c r="P2026" s="9" t="str">
        <x:v>HELD / UNRELEASED</x:v>
      </x:c>
      <x:c r="Q2026" s="9" t="n">
        <x:f>COUNTIFS($A$7:$A$2310,A2026)</x:f>
        <x:v>1</x:v>
      </x:c>
    </x:row>
    <x:row r="2027">
      <x:c r="A2027" s="9" t="str">
        <x:v>PD-AR-CT-C-B-TECH-3-B1-BRK-G0-PD05</x:v>
      </x:c>
      <x:c r="B2027" s="9" t="str">
        <x:v>PD-AR-CT-C-B-TECH-3-B1-BRK-G0</x:v>
      </x:c>
      <x:c r="C2027" s="9" t="str">
        <x:v>EV-AR-CT-C-B-TECH-3-B1-BRK-G0</x:v>
      </x:c>
      <x:c r="D2027" s="9" t="str">
        <x:v>AR-CT-C-B-TECH-3-B1-BRK-G0</x:v>
      </x:c>
      <x:c r="E2027" s="9" t="str">
        <x:v>CT-C-B-TECH-3</x:v>
      </x:c>
      <x:c r="F2027" s="9" t="str">
        <x:v>CT-C-B</x:v>
      </x:c>
      <x:c r="G2027" s="9" t="str">
        <x:v>B1</x:v>
      </x:c>
      <x:c r="H2027" s="9" t="str">
        <x:v>BRK</x:v>
      </x:c>
      <x:c r="I2027" s="9" t="str">
        <x:v>PD05</x:v>
      </x:c>
      <x:c r="J2027" s="17" t="str">
        <x:v>Primary raw originals</x:v>
      </x:c>
      <x:c r="K2027" s="17" t="str">
        <x:v>Primary custody</x:v>
      </x:c>
      <x:c r="L2027" s="17" t="str">
        <x:v>COURT-SEALED UNTIL COHORT RELEASE</x:v>
      </x:c>
      <x:c r="M2027" s="9" t="n">
        <x:v>0</x:v>
      </x:c>
      <x:c r="N2027" s="9" t="n">
        <x:v>0</x:v>
      </x:c>
      <x:c r="O2027" s="9" t="n">
        <x:v>0</x:v>
      </x:c>
      <x:c r="P2027" s="9" t="str">
        <x:v>HELD / UNRELEASED</x:v>
      </x:c>
      <x:c r="Q2027" s="9" t="n">
        <x:f>COUNTIFS($A$7:$A$2310,A2027)</x:f>
        <x:v>1</x:v>
      </x:c>
    </x:row>
    <x:row r="2028">
      <x:c r="A2028" s="9" t="str">
        <x:v>PD-AR-CT-C-B-TECH-3-B1-BRK-G0-PD06</x:v>
      </x:c>
      <x:c r="B2028" s="9" t="str">
        <x:v>PD-AR-CT-C-B-TECH-3-B1-BRK-G0</x:v>
      </x:c>
      <x:c r="C2028" s="9" t="str">
        <x:v>EV-AR-CT-C-B-TECH-3-B1-BRK-G0</x:v>
      </x:c>
      <x:c r="D2028" s="9" t="str">
        <x:v>AR-CT-C-B-TECH-3-B1-BRK-G0</x:v>
      </x:c>
      <x:c r="E2028" s="9" t="str">
        <x:v>CT-C-B-TECH-3</x:v>
      </x:c>
      <x:c r="F2028" s="9" t="str">
        <x:v>CT-C-B</x:v>
      </x:c>
      <x:c r="G2028" s="9" t="str">
        <x:v>B1</x:v>
      </x:c>
      <x:c r="H2028" s="9" t="str">
        <x:v>BRK</x:v>
      </x:c>
      <x:c r="I2028" s="9" t="str">
        <x:v>PD06</x:v>
      </x:c>
      <x:c r="J2028" s="17" t="str">
        <x:v>Witness raw originals</x:v>
      </x:c>
      <x:c r="K2028" s="17" t="str">
        <x:v>Witness custody</x:v>
      </x:c>
      <x:c r="L2028" s="17" t="str">
        <x:v>COURT-SEALED UNTIL COHORT RELEASE</x:v>
      </x:c>
      <x:c r="M2028" s="9" t="n">
        <x:v>0</x:v>
      </x:c>
      <x:c r="N2028" s="9" t="n">
        <x:v>0</x:v>
      </x:c>
      <x:c r="O2028" s="9" t="n">
        <x:v>0</x:v>
      </x:c>
      <x:c r="P2028" s="9" t="str">
        <x:v>HELD / UNRELEASED</x:v>
      </x:c>
      <x:c r="Q2028" s="9" t="n">
        <x:f>COUNTIFS($A$7:$A$2310,A2028)</x:f>
        <x:v>1</x:v>
      </x:c>
    </x:row>
    <x:row r="2029">
      <x:c r="A2029" s="9" t="str">
        <x:v>PD-AR-CT-C-B-TECH-3-B1-BRK-G0-PD07</x:v>
      </x:c>
      <x:c r="B2029" s="9" t="str">
        <x:v>PD-AR-CT-C-B-TECH-3-B1-BRK-G0</x:v>
      </x:c>
      <x:c r="C2029" s="9" t="str">
        <x:v>EV-AR-CT-C-B-TECH-3-B1-BRK-G0</x:v>
      </x:c>
      <x:c r="D2029" s="9" t="str">
        <x:v>AR-CT-C-B-TECH-3-B1-BRK-G0</x:v>
      </x:c>
      <x:c r="E2029" s="9" t="str">
        <x:v>CT-C-B-TECH-3</x:v>
      </x:c>
      <x:c r="F2029" s="9" t="str">
        <x:v>CT-C-B</x:v>
      </x:c>
      <x:c r="G2029" s="9" t="str">
        <x:v>B1</x:v>
      </x:c>
      <x:c r="H2029" s="9" t="str">
        <x:v>BRK</x:v>
      </x:c>
      <x:c r="I2029" s="9" t="str">
        <x:v>PD07</x:v>
      </x:c>
      <x:c r="J2029" s="17" t="str">
        <x:v>Clock and environmental records</x:v>
      </x:c>
      <x:c r="K2029" s="17" t="str">
        <x:v>Boundary archive</x:v>
      </x:c>
      <x:c r="L2029" s="17" t="str">
        <x:v>COURT-SEALED UNTIL COHORT RELEASE</x:v>
      </x:c>
      <x:c r="M2029" s="9" t="n">
        <x:v>0</x:v>
      </x:c>
      <x:c r="N2029" s="9" t="n">
        <x:v>0</x:v>
      </x:c>
      <x:c r="O2029" s="9" t="n">
        <x:v>0</x:v>
      </x:c>
      <x:c r="P2029" s="9" t="str">
        <x:v>HELD / UNRELEASED</x:v>
      </x:c>
      <x:c r="Q2029" s="9" t="n">
        <x:f>COUNTIFS($A$7:$A$2310,A2029)</x:f>
        <x:v>1</x:v>
      </x:c>
    </x:row>
    <x:row r="2030">
      <x:c r="A2030" s="9" t="str">
        <x:v>PD-AR-CT-C-B-TECH-3-B1-BRK-G0-PD08</x:v>
      </x:c>
      <x:c r="B2030" s="9" t="str">
        <x:v>PD-AR-CT-C-B-TECH-3-B1-BRK-G0</x:v>
      </x:c>
      <x:c r="C2030" s="9" t="str">
        <x:v>EV-AR-CT-C-B-TECH-3-B1-BRK-G0</x:v>
      </x:c>
      <x:c r="D2030" s="9" t="str">
        <x:v>AR-CT-C-B-TECH-3-B1-BRK-G0</x:v>
      </x:c>
      <x:c r="E2030" s="9" t="str">
        <x:v>CT-C-B-TECH-3</x:v>
      </x:c>
      <x:c r="F2030" s="9" t="str">
        <x:v>CT-C-B</x:v>
      </x:c>
      <x:c r="G2030" s="9" t="str">
        <x:v>B1</x:v>
      </x:c>
      <x:c r="H2030" s="9" t="str">
        <x:v>BRK</x:v>
      </x:c>
      <x:c r="I2030" s="9" t="str">
        <x:v>PD08</x:v>
      </x:c>
      <x:c r="J2030" s="17" t="str">
        <x:v>Command and intervention log</x:v>
      </x:c>
      <x:c r="K2030" s="17" t="str">
        <x:v>Safety archive</x:v>
      </x:c>
      <x:c r="L2030" s="17" t="str">
        <x:v>COURT-SEALED UNTIL COHORT RELEASE</x:v>
      </x:c>
      <x:c r="M2030" s="9" t="n">
        <x:v>0</x:v>
      </x:c>
      <x:c r="N2030" s="9" t="n">
        <x:v>0</x:v>
      </x:c>
      <x:c r="O2030" s="9" t="n">
        <x:v>0</x:v>
      </x:c>
      <x:c r="P2030" s="9" t="str">
        <x:v>HELD / UNRELEASED</x:v>
      </x:c>
      <x:c r="Q2030" s="9" t="n">
        <x:f>COUNTIFS($A$7:$A$2310,A2030)</x:f>
        <x:v>1</x:v>
      </x:c>
    </x:row>
    <x:row r="2031">
      <x:c r="A2031" s="9" t="str">
        <x:v>PD-AR-CT-C-B-TECH-3-B1-BRK-G0-PD09</x:v>
      </x:c>
      <x:c r="B2031" s="9" t="str">
        <x:v>PD-AR-CT-C-B-TECH-3-B1-BRK-G0</x:v>
      </x:c>
      <x:c r="C2031" s="9" t="str">
        <x:v>EV-AR-CT-C-B-TECH-3-B1-BRK-G0</x:v>
      </x:c>
      <x:c r="D2031" s="9" t="str">
        <x:v>AR-CT-C-B-TECH-3-B1-BRK-G0</x:v>
      </x:c>
      <x:c r="E2031" s="9" t="str">
        <x:v>CT-C-B-TECH-3</x:v>
      </x:c>
      <x:c r="F2031" s="9" t="str">
        <x:v>CT-C-B</x:v>
      </x:c>
      <x:c r="G2031" s="9" t="str">
        <x:v>B1</x:v>
      </x:c>
      <x:c r="H2031" s="9" t="str">
        <x:v>BRK</x:v>
      </x:c>
      <x:c r="I2031" s="9" t="str">
        <x:v>PD09</x:v>
      </x:c>
      <x:c r="J2031" s="17" t="str">
        <x:v>Receiver denominator and service ledger</x:v>
      </x:c>
      <x:c r="K2031" s="17" t="str">
        <x:v>Receiver archive</x:v>
      </x:c>
      <x:c r="L2031" s="17" t="str">
        <x:v>COURT-SEALED UNTIL COHORT RELEASE</x:v>
      </x:c>
      <x:c r="M2031" s="9" t="n">
        <x:v>0</x:v>
      </x:c>
      <x:c r="N2031" s="9" t="n">
        <x:v>0</x:v>
      </x:c>
      <x:c r="O2031" s="9" t="n">
        <x:v>0</x:v>
      </x:c>
      <x:c r="P2031" s="9" t="str">
        <x:v>HELD / UNRELEASED</x:v>
      </x:c>
      <x:c r="Q2031" s="9" t="n">
        <x:f>COUNTIFS($A$7:$A$2310,A2031)</x:f>
        <x:v>1</x:v>
      </x:c>
    </x:row>
    <x:row r="2032">
      <x:c r="A2032" s="9" t="str">
        <x:v>PD-AR-CT-C-B-TECH-3-B1-BRK-G0-PD10</x:v>
      </x:c>
      <x:c r="B2032" s="9" t="str">
        <x:v>PD-AR-CT-C-B-TECH-3-B1-BRK-G0</x:v>
      </x:c>
      <x:c r="C2032" s="9" t="str">
        <x:v>EV-AR-CT-C-B-TECH-3-B1-BRK-G0</x:v>
      </x:c>
      <x:c r="D2032" s="9" t="str">
        <x:v>AR-CT-C-B-TECH-3-B1-BRK-G0</x:v>
      </x:c>
      <x:c r="E2032" s="9" t="str">
        <x:v>CT-C-B-TECH-3</x:v>
      </x:c>
      <x:c r="F2032" s="9" t="str">
        <x:v>CT-C-B</x:v>
      </x:c>
      <x:c r="G2032" s="9" t="str">
        <x:v>B1</x:v>
      </x:c>
      <x:c r="H2032" s="9" t="str">
        <x:v>BRK</x:v>
      </x:c>
      <x:c r="I2032" s="9" t="str">
        <x:v>PD10</x:v>
      </x:c>
      <x:c r="J2032" s="17" t="str">
        <x:v>Calibration and uncertainty record</x:v>
      </x:c>
      <x:c r="K2032" s="17" t="str">
        <x:v>Metrology archive</x:v>
      </x:c>
      <x:c r="L2032" s="17" t="str">
        <x:v>COURT-SEALED UNTIL COHORT RELEASE</x:v>
      </x:c>
      <x:c r="M2032" s="9" t="n">
        <x:v>0</x:v>
      </x:c>
      <x:c r="N2032" s="9" t="n">
        <x:v>0</x:v>
      </x:c>
      <x:c r="O2032" s="9" t="n">
        <x:v>0</x:v>
      </x:c>
      <x:c r="P2032" s="9" t="str">
        <x:v>HELD / UNRELEASED</x:v>
      </x:c>
      <x:c r="Q2032" s="9" t="n">
        <x:f>COUNTIFS($A$7:$A$2310,A2032)</x:f>
        <x:v>1</x:v>
      </x:c>
    </x:row>
    <x:row r="2033">
      <x:c r="A2033" s="9" t="str">
        <x:v>PD-AR-CT-C-B-TECH-3-B1-BRK-G0-PD11</x:v>
      </x:c>
      <x:c r="B2033" s="9" t="str">
        <x:v>PD-AR-CT-C-B-TECH-3-B1-BRK-G0</x:v>
      </x:c>
      <x:c r="C2033" s="9" t="str">
        <x:v>EV-AR-CT-C-B-TECH-3-B1-BRK-G0</x:v>
      </x:c>
      <x:c r="D2033" s="9" t="str">
        <x:v>AR-CT-C-B-TECH-3-B1-BRK-G0</x:v>
      </x:c>
      <x:c r="E2033" s="9" t="str">
        <x:v>CT-C-B-TECH-3</x:v>
      </x:c>
      <x:c r="F2033" s="9" t="str">
        <x:v>CT-C-B</x:v>
      </x:c>
      <x:c r="G2033" s="9" t="str">
        <x:v>B1</x:v>
      </x:c>
      <x:c r="H2033" s="9" t="str">
        <x:v>BRK</x:v>
      </x:c>
      <x:c r="I2033" s="9" t="str">
        <x:v>PD11</x:v>
      </x:c>
      <x:c r="J2033" s="17" t="str">
        <x:v>Invalidity petition and opinion</x:v>
      </x:c>
      <x:c r="K2033" s="17" t="str">
        <x:v>Invalidity court</x:v>
      </x:c>
      <x:c r="L2033" s="17" t="str">
        <x:v>COURT-SEALED UNTIL COHORT RELEASE</x:v>
      </x:c>
      <x:c r="M2033" s="9" t="n">
        <x:v>0</x:v>
      </x:c>
      <x:c r="N2033" s="9" t="n">
        <x:v>0</x:v>
      </x:c>
      <x:c r="O2033" s="9" t="n">
        <x:v>0</x:v>
      </x:c>
      <x:c r="P2033" s="9" t="str">
        <x:v>HELD / UNRELEASED</x:v>
      </x:c>
      <x:c r="Q2033" s="9" t="n">
        <x:f>COUNTIFS($A$7:$A$2310,A2033)</x:f>
        <x:v>1</x:v>
      </x:c>
    </x:row>
    <x:row r="2034">
      <x:c r="A2034" s="9" t="str">
        <x:v>PD-AR-CT-C-B-TECH-3-B1-BRK-G0-PD12</x:v>
      </x:c>
      <x:c r="B2034" s="9" t="str">
        <x:v>PD-AR-CT-C-B-TECH-3-B1-BRK-G0</x:v>
      </x:c>
      <x:c r="C2034" s="9" t="str">
        <x:v>EV-AR-CT-C-B-TECH-3-B1-BRK-G0</x:v>
      </x:c>
      <x:c r="D2034" s="9" t="str">
        <x:v>AR-CT-C-B-TECH-3-B1-BRK-G0</x:v>
      </x:c>
      <x:c r="E2034" s="9" t="str">
        <x:v>CT-C-B-TECH-3</x:v>
      </x:c>
      <x:c r="F2034" s="9" t="str">
        <x:v>CT-C-B</x:v>
      </x:c>
      <x:c r="G2034" s="9" t="str">
        <x:v>B1</x:v>
      </x:c>
      <x:c r="H2034" s="9" t="str">
        <x:v>BRK</x:v>
      </x:c>
      <x:c r="I2034" s="9" t="str">
        <x:v>PD12</x:v>
      </x:c>
      <x:c r="J2034" s="17" t="str">
        <x:v>Observation acceptance and replay</x:v>
      </x:c>
      <x:c r="K2034" s="17" t="str">
        <x:v>Observation court</x:v>
      </x:c>
      <x:c r="L2034" s="17" t="str">
        <x:v>COURT-SEALED UNTIL COHORT RELEASE</x:v>
      </x:c>
      <x:c r="M2034" s="9" t="n">
        <x:v>0</x:v>
      </x:c>
      <x:c r="N2034" s="9" t="n">
        <x:v>0</x:v>
      </x:c>
      <x:c r="O2034" s="9" t="n">
        <x:v>0</x:v>
      </x:c>
      <x:c r="P2034" s="9" t="str">
        <x:v>HELD / UNRELEASED</x:v>
      </x:c>
      <x:c r="Q2034" s="9" t="n">
        <x:f>COUNTIFS($A$7:$A$2310,A2034)</x:f>
        <x:v>1</x:v>
      </x:c>
    </x:row>
    <x:row r="2035">
      <x:c r="A2035" s="9" t="str">
        <x:v>PD-AR-CT-C-B-TECH-3-B1-BRK-G0-PD13</x:v>
      </x:c>
      <x:c r="B2035" s="9" t="str">
        <x:v>PD-AR-CT-C-B-TECH-3-B1-BRK-G0</x:v>
      </x:c>
      <x:c r="C2035" s="9" t="str">
        <x:v>EV-AR-CT-C-B-TECH-3-B1-BRK-G0</x:v>
      </x:c>
      <x:c r="D2035" s="9" t="str">
        <x:v>AR-CT-C-B-TECH-3-B1-BRK-G0</x:v>
      </x:c>
      <x:c r="E2035" s="9" t="str">
        <x:v>CT-C-B-TECH-3</x:v>
      </x:c>
      <x:c r="F2035" s="9" t="str">
        <x:v>CT-C-B</x:v>
      </x:c>
      <x:c r="G2035" s="9" t="str">
        <x:v>B1</x:v>
      </x:c>
      <x:c r="H2035" s="9" t="str">
        <x:v>BRK</x:v>
      </x:c>
      <x:c r="I2035" s="9" t="str">
        <x:v>PD13</x:v>
      </x:c>
      <x:c r="J2035" s="17" t="str">
        <x:v>Role judgment</x:v>
      </x:c>
      <x:c r="K2035" s="17" t="str">
        <x:v>Role court</x:v>
      </x:c>
      <x:c r="L2035" s="17" t="str">
        <x:v>COURT-SEALED UNTIL COHORT RELEASE</x:v>
      </x:c>
      <x:c r="M2035" s="9" t="n">
        <x:v>0</x:v>
      </x:c>
      <x:c r="N2035" s="9" t="n">
        <x:v>0</x:v>
      </x:c>
      <x:c r="O2035" s="9" t="n">
        <x:v>0</x:v>
      </x:c>
      <x:c r="P2035" s="9" t="str">
        <x:v>HELD / UNRELEASED</x:v>
      </x:c>
      <x:c r="Q2035" s="9" t="n">
        <x:f>COUNTIFS($A$7:$A$2310,A2035)</x:f>
        <x:v>1</x:v>
      </x:c>
    </x:row>
    <x:row r="2036">
      <x:c r="A2036" s="9" t="str">
        <x:v>PD-AR-CT-C-B-TECH-3-B1-BRK-G0-PD14</x:v>
      </x:c>
      <x:c r="B2036" s="9" t="str">
        <x:v>PD-AR-CT-C-B-TECH-3-B1-BRK-G0</x:v>
      </x:c>
      <x:c r="C2036" s="9" t="str">
        <x:v>EV-AR-CT-C-B-TECH-3-B1-BRK-G0</x:v>
      </x:c>
      <x:c r="D2036" s="9" t="str">
        <x:v>AR-CT-C-B-TECH-3-B1-BRK-G0</x:v>
      </x:c>
      <x:c r="E2036" s="9" t="str">
        <x:v>CT-C-B-TECH-3</x:v>
      </x:c>
      <x:c r="F2036" s="9" t="str">
        <x:v>CT-C-B</x:v>
      </x:c>
      <x:c r="G2036" s="9" t="str">
        <x:v>B1</x:v>
      </x:c>
      <x:c r="H2036" s="9" t="str">
        <x:v>BRK</x:v>
      </x:c>
      <x:c r="I2036" s="9" t="str">
        <x:v>PD14</x:v>
      </x:c>
      <x:c r="J2036" s="17" t="str">
        <x:v>Break and residual account</x:v>
      </x:c>
      <x:c r="K2036" s="17" t="str">
        <x:v>Residual authority</x:v>
      </x:c>
      <x:c r="L2036" s="17" t="str">
        <x:v>COURT-SEALED UNTIL COHORT RELEASE</x:v>
      </x:c>
      <x:c r="M2036" s="9" t="n">
        <x:v>0</x:v>
      </x:c>
      <x:c r="N2036" s="9" t="n">
        <x:v>0</x:v>
      </x:c>
      <x:c r="O2036" s="9" t="n">
        <x:v>0</x:v>
      </x:c>
      <x:c r="P2036" s="9" t="str">
        <x:v>HELD / UNRELEASED</x:v>
      </x:c>
      <x:c r="Q2036" s="9" t="n">
        <x:f>COUNTIFS($A$7:$A$2310,A2036)</x:f>
        <x:v>1</x:v>
      </x:c>
    </x:row>
    <x:row r="2037">
      <x:c r="A2037" s="9" t="str">
        <x:v>PD-AR-CT-C-B-TECH-3-B1-BRK-G0-PD15</x:v>
      </x:c>
      <x:c r="B2037" s="9" t="str">
        <x:v>PD-AR-CT-C-B-TECH-3-B1-BRK-G0</x:v>
      </x:c>
      <x:c r="C2037" s="9" t="str">
        <x:v>EV-AR-CT-C-B-TECH-3-B1-BRK-G0</x:v>
      </x:c>
      <x:c r="D2037" s="9" t="str">
        <x:v>AR-CT-C-B-TECH-3-B1-BRK-G0</x:v>
      </x:c>
      <x:c r="E2037" s="9" t="str">
        <x:v>CT-C-B-TECH-3</x:v>
      </x:c>
      <x:c r="F2037" s="9" t="str">
        <x:v>CT-C-B</x:v>
      </x:c>
      <x:c r="G2037" s="9" t="str">
        <x:v>B1</x:v>
      </x:c>
      <x:c r="H2037" s="9" t="str">
        <x:v>BRK</x:v>
      </x:c>
      <x:c r="I2037" s="9" t="str">
        <x:v>PD15</x:v>
      </x:c>
      <x:c r="J2037" s="17" t="str">
        <x:v>Reconstruction ancestry and replay</x:v>
      </x:c>
      <x:c r="K2037" s="17" t="str">
        <x:v>Reconstruction court</x:v>
      </x:c>
      <x:c r="L2037" s="17" t="str">
        <x:v>COURT-SEALED UNTIL COHORT RELEASE</x:v>
      </x:c>
      <x:c r="M2037" s="9" t="n">
        <x:v>0</x:v>
      </x:c>
      <x:c r="N2037" s="9" t="n">
        <x:v>0</x:v>
      </x:c>
      <x:c r="O2037" s="9" t="n">
        <x:v>0</x:v>
      </x:c>
      <x:c r="P2037" s="9" t="str">
        <x:v>HELD / UNRELEASED</x:v>
      </x:c>
      <x:c r="Q2037" s="9" t="n">
        <x:f>COUNTIFS($A$7:$A$2310,A2037)</x:f>
        <x:v>1</x:v>
      </x:c>
    </x:row>
    <x:row r="2038">
      <x:c r="A2038" s="9" t="str">
        <x:v>PD-AR-CT-C-B-TECH-3-B1-BRK-G0-PD16</x:v>
      </x:c>
      <x:c r="B2038" s="9" t="str">
        <x:v>PD-AR-CT-C-B-TECH-3-B1-BRK-G0</x:v>
      </x:c>
      <x:c r="C2038" s="9" t="str">
        <x:v>EV-AR-CT-C-B-TECH-3-B1-BRK-G0</x:v>
      </x:c>
      <x:c r="D2038" s="9" t="str">
        <x:v>AR-CT-C-B-TECH-3-B1-BRK-G0</x:v>
      </x:c>
      <x:c r="E2038" s="9" t="str">
        <x:v>CT-C-B-TECH-3</x:v>
      </x:c>
      <x:c r="F2038" s="9" t="str">
        <x:v>CT-C-B</x:v>
      </x:c>
      <x:c r="G2038" s="9" t="str">
        <x:v>B1</x:v>
      </x:c>
      <x:c r="H2038" s="9" t="str">
        <x:v>BRK</x:v>
      </x:c>
      <x:c r="I2038" s="9" t="str">
        <x:v>PD16</x:v>
      </x:c>
      <x:c r="J2038" s="17" t="str">
        <x:v>Dissent, amendments and access log</x:v>
      </x:c>
      <x:c r="K2038" s="17" t="str">
        <x:v>Public archive</x:v>
      </x:c>
      <x:c r="L2038" s="17" t="str">
        <x:v>COURT-SEALED UNTIL COHORT RELEASE</x:v>
      </x:c>
      <x:c r="M2038" s="9" t="n">
        <x:v>0</x:v>
      </x:c>
      <x:c r="N2038" s="9" t="n">
        <x:v>0</x:v>
      </x:c>
      <x:c r="O2038" s="9" t="n">
        <x:v>0</x:v>
      </x:c>
      <x:c r="P2038" s="9" t="str">
        <x:v>HELD / UNRELEASED</x:v>
      </x:c>
      <x:c r="Q2038" s="9" t="n">
        <x:f>COUNTIFS($A$7:$A$2310,A2038)</x:f>
        <x:v>1</x:v>
      </x:c>
    </x:row>
    <x:row r="2039">
      <x:c r="A2039" s="9" t="str">
        <x:v>PD-AR-ET-A-A-TECH-1-B2-RCN-G0-PD01</x:v>
      </x:c>
      <x:c r="B2039" s="9" t="str">
        <x:v>PD-AR-ET-A-A-TECH-1-B2-RCN-G0</x:v>
      </x:c>
      <x:c r="C2039" s="9" t="str">
        <x:v>EV-AR-ET-A-A-TECH-1-B2-RCN-G0</x:v>
      </x:c>
      <x:c r="D2039" s="9" t="str">
        <x:v>AR-ET-A-A-TECH-1-B2-RCN-G0</x:v>
      </x:c>
      <x:c r="E2039" s="9" t="str">
        <x:v>ET-A-A-TECH-1</x:v>
      </x:c>
      <x:c r="F2039" s="9" t="str">
        <x:v>ET-A-A</x:v>
      </x:c>
      <x:c r="G2039" s="9" t="str">
        <x:v>B2</x:v>
      </x:c>
      <x:c r="H2039" s="9" t="str">
        <x:v>RCN</x:v>
      </x:c>
      <x:c r="I2039" s="9" t="str">
        <x:v>PD01</x:v>
      </x:c>
      <x:c r="J2039" s="17" t="str">
        <x:v>Experiment kernel</x:v>
      </x:c>
      <x:c r="K2039" s="17" t="str">
        <x:v>Public archive</x:v>
      </x:c>
      <x:c r="L2039" s="17" t="str">
        <x:v>COURT-SEALED UNTIL COHORT RELEASE</x:v>
      </x:c>
      <x:c r="M2039" s="9" t="n">
        <x:v>0</x:v>
      </x:c>
      <x:c r="N2039" s="9" t="n">
        <x:v>0</x:v>
      </x:c>
      <x:c r="O2039" s="9" t="n">
        <x:v>0</x:v>
      </x:c>
      <x:c r="P2039" s="9" t="str">
        <x:v>HELD / UNRELEASED</x:v>
      </x:c>
      <x:c r="Q2039" s="9" t="n">
        <x:f>COUNTIFS($A$7:$A$2310,A2039)</x:f>
        <x:v>1</x:v>
      </x:c>
    </x:row>
    <x:row r="2040">
      <x:c r="A2040" s="9" t="str">
        <x:v>PD-AR-ET-A-A-TECH-1-B2-RCN-G0-PD02</x:v>
      </x:c>
      <x:c r="B2040" s="9" t="str">
        <x:v>PD-AR-ET-A-A-TECH-1-B2-RCN-G0</x:v>
      </x:c>
      <x:c r="C2040" s="9" t="str">
        <x:v>EV-AR-ET-A-A-TECH-1-B2-RCN-G0</x:v>
      </x:c>
      <x:c r="D2040" s="9" t="str">
        <x:v>AR-ET-A-A-TECH-1-B2-RCN-G0</x:v>
      </x:c>
      <x:c r="E2040" s="9" t="str">
        <x:v>ET-A-A-TECH-1</x:v>
      </x:c>
      <x:c r="F2040" s="9" t="str">
        <x:v>ET-A-A</x:v>
      </x:c>
      <x:c r="G2040" s="9" t="str">
        <x:v>B2</x:v>
      </x:c>
      <x:c r="H2040" s="9" t="str">
        <x:v>RCN</x:v>
      </x:c>
      <x:c r="I2040" s="9" t="str">
        <x:v>PD02</x:v>
      </x:c>
      <x:c r="J2040" s="17" t="str">
        <x:v>Serial annex and title chain</x:v>
      </x:c>
      <x:c r="K2040" s="17" t="str">
        <x:v>Public archive</x:v>
      </x:c>
      <x:c r="L2040" s="17" t="str">
        <x:v>COURT-SEALED UNTIL COHORT RELEASE</x:v>
      </x:c>
      <x:c r="M2040" s="9" t="n">
        <x:v>0</x:v>
      </x:c>
      <x:c r="N2040" s="9" t="n">
        <x:v>0</x:v>
      </x:c>
      <x:c r="O2040" s="9" t="n">
        <x:v>0</x:v>
      </x:c>
      <x:c r="P2040" s="9" t="str">
        <x:v>HELD / UNRELEASED</x:v>
      </x:c>
      <x:c r="Q2040" s="9" t="n">
        <x:f>COUNTIFS($A$7:$A$2310,A2040)</x:f>
        <x:v>1</x:v>
      </x:c>
    </x:row>
    <x:row r="2041">
      <x:c r="A2041" s="9" t="str">
        <x:v>PD-AR-ET-A-A-TECH-1-B2-RCN-G0-PD03</x:v>
      </x:c>
      <x:c r="B2041" s="9" t="str">
        <x:v>PD-AR-ET-A-A-TECH-1-B2-RCN-G0</x:v>
      </x:c>
      <x:c r="C2041" s="9" t="str">
        <x:v>EV-AR-ET-A-A-TECH-1-B2-RCN-G0</x:v>
      </x:c>
      <x:c r="D2041" s="9" t="str">
        <x:v>AR-ET-A-A-TECH-1-B2-RCN-G0</x:v>
      </x:c>
      <x:c r="E2041" s="9" t="str">
        <x:v>ET-A-A-TECH-1</x:v>
      </x:c>
      <x:c r="F2041" s="9" t="str">
        <x:v>ET-A-A</x:v>
      </x:c>
      <x:c r="G2041" s="9" t="str">
        <x:v>B2</x:v>
      </x:c>
      <x:c r="H2041" s="9" t="str">
        <x:v>RCN</x:v>
      </x:c>
      <x:c r="I2041" s="9" t="str">
        <x:v>PD03</x:v>
      </x:c>
      <x:c r="J2041" s="17" t="str">
        <x:v>Configuration and as-built manifest</x:v>
      </x:c>
      <x:c r="K2041" s="17" t="str">
        <x:v>Artifact exchange</x:v>
      </x:c>
      <x:c r="L2041" s="17" t="str">
        <x:v>COURT-SEALED UNTIL COHORT RELEASE</x:v>
      </x:c>
      <x:c r="M2041" s="9" t="n">
        <x:v>0</x:v>
      </x:c>
      <x:c r="N2041" s="9" t="n">
        <x:v>0</x:v>
      </x:c>
      <x:c r="O2041" s="9" t="n">
        <x:v>0</x:v>
      </x:c>
      <x:c r="P2041" s="9" t="str">
        <x:v>HELD / UNRELEASED</x:v>
      </x:c>
      <x:c r="Q2041" s="9" t="n">
        <x:f>COUNTIFS($A$7:$A$2310,A2041)</x:f>
        <x:v>1</x:v>
      </x:c>
    </x:row>
    <x:row r="2042">
      <x:c r="A2042" s="9" t="str">
        <x:v>PD-AR-ET-A-A-TECH-1-B2-RCN-G0-PD04</x:v>
      </x:c>
      <x:c r="B2042" s="9" t="str">
        <x:v>PD-AR-ET-A-A-TECH-1-B2-RCN-G0</x:v>
      </x:c>
      <x:c r="C2042" s="9" t="str">
        <x:v>EV-AR-ET-A-A-TECH-1-B2-RCN-G0</x:v>
      </x:c>
      <x:c r="D2042" s="9" t="str">
        <x:v>AR-ET-A-A-TECH-1-B2-RCN-G0</x:v>
      </x:c>
      <x:c r="E2042" s="9" t="str">
        <x:v>ET-A-A-TECH-1</x:v>
      </x:c>
      <x:c r="F2042" s="9" t="str">
        <x:v>ET-A-A</x:v>
      </x:c>
      <x:c r="G2042" s="9" t="str">
        <x:v>B2</x:v>
      </x:c>
      <x:c r="H2042" s="9" t="str">
        <x:v>RCN</x:v>
      </x:c>
      <x:c r="I2042" s="9" t="str">
        <x:v>PD04</x:v>
      </x:c>
      <x:c r="J2042" s="17" t="str">
        <x:v>EOW and start certificate</x:v>
      </x:c>
      <x:c r="K2042" s="17" t="str">
        <x:v>Start registrar</x:v>
      </x:c>
      <x:c r="L2042" s="17" t="str">
        <x:v>COURT-SEALED UNTIL COHORT RELEASE</x:v>
      </x:c>
      <x:c r="M2042" s="9" t="n">
        <x:v>0</x:v>
      </x:c>
      <x:c r="N2042" s="9" t="n">
        <x:v>0</x:v>
      </x:c>
      <x:c r="O2042" s="9" t="n">
        <x:v>0</x:v>
      </x:c>
      <x:c r="P2042" s="9" t="str">
        <x:v>HELD / UNRELEASED</x:v>
      </x:c>
      <x:c r="Q2042" s="9" t="n">
        <x:f>COUNTIFS($A$7:$A$2310,A2042)</x:f>
        <x:v>1</x:v>
      </x:c>
    </x:row>
    <x:row r="2043">
      <x:c r="A2043" s="9" t="str">
        <x:v>PD-AR-ET-A-A-TECH-1-B2-RCN-G0-PD05</x:v>
      </x:c>
      <x:c r="B2043" s="9" t="str">
        <x:v>PD-AR-ET-A-A-TECH-1-B2-RCN-G0</x:v>
      </x:c>
      <x:c r="C2043" s="9" t="str">
        <x:v>EV-AR-ET-A-A-TECH-1-B2-RCN-G0</x:v>
      </x:c>
      <x:c r="D2043" s="9" t="str">
        <x:v>AR-ET-A-A-TECH-1-B2-RCN-G0</x:v>
      </x:c>
      <x:c r="E2043" s="9" t="str">
        <x:v>ET-A-A-TECH-1</x:v>
      </x:c>
      <x:c r="F2043" s="9" t="str">
        <x:v>ET-A-A</x:v>
      </x:c>
      <x:c r="G2043" s="9" t="str">
        <x:v>B2</x:v>
      </x:c>
      <x:c r="H2043" s="9" t="str">
        <x:v>RCN</x:v>
      </x:c>
      <x:c r="I2043" s="9" t="str">
        <x:v>PD05</x:v>
      </x:c>
      <x:c r="J2043" s="17" t="str">
        <x:v>Primary raw originals</x:v>
      </x:c>
      <x:c r="K2043" s="17" t="str">
        <x:v>Primary custody</x:v>
      </x:c>
      <x:c r="L2043" s="17" t="str">
        <x:v>COURT-SEALED UNTIL COHORT RELEASE</x:v>
      </x:c>
      <x:c r="M2043" s="9" t="n">
        <x:v>0</x:v>
      </x:c>
      <x:c r="N2043" s="9" t="n">
        <x:v>0</x:v>
      </x:c>
      <x:c r="O2043" s="9" t="n">
        <x:v>0</x:v>
      </x:c>
      <x:c r="P2043" s="9" t="str">
        <x:v>HELD / UNRELEASED</x:v>
      </x:c>
      <x:c r="Q2043" s="9" t="n">
        <x:f>COUNTIFS($A$7:$A$2310,A2043)</x:f>
        <x:v>1</x:v>
      </x:c>
    </x:row>
    <x:row r="2044">
      <x:c r="A2044" s="9" t="str">
        <x:v>PD-AR-ET-A-A-TECH-1-B2-RCN-G0-PD06</x:v>
      </x:c>
      <x:c r="B2044" s="9" t="str">
        <x:v>PD-AR-ET-A-A-TECH-1-B2-RCN-G0</x:v>
      </x:c>
      <x:c r="C2044" s="9" t="str">
        <x:v>EV-AR-ET-A-A-TECH-1-B2-RCN-G0</x:v>
      </x:c>
      <x:c r="D2044" s="9" t="str">
        <x:v>AR-ET-A-A-TECH-1-B2-RCN-G0</x:v>
      </x:c>
      <x:c r="E2044" s="9" t="str">
        <x:v>ET-A-A-TECH-1</x:v>
      </x:c>
      <x:c r="F2044" s="9" t="str">
        <x:v>ET-A-A</x:v>
      </x:c>
      <x:c r="G2044" s="9" t="str">
        <x:v>B2</x:v>
      </x:c>
      <x:c r="H2044" s="9" t="str">
        <x:v>RCN</x:v>
      </x:c>
      <x:c r="I2044" s="9" t="str">
        <x:v>PD06</x:v>
      </x:c>
      <x:c r="J2044" s="17" t="str">
        <x:v>Witness raw originals</x:v>
      </x:c>
      <x:c r="K2044" s="17" t="str">
        <x:v>Witness custody</x:v>
      </x:c>
      <x:c r="L2044" s="17" t="str">
        <x:v>COURT-SEALED UNTIL COHORT RELEASE</x:v>
      </x:c>
      <x:c r="M2044" s="9" t="n">
        <x:v>0</x:v>
      </x:c>
      <x:c r="N2044" s="9" t="n">
        <x:v>0</x:v>
      </x:c>
      <x:c r="O2044" s="9" t="n">
        <x:v>0</x:v>
      </x:c>
      <x:c r="P2044" s="9" t="str">
        <x:v>HELD / UNRELEASED</x:v>
      </x:c>
      <x:c r="Q2044" s="9" t="n">
        <x:f>COUNTIFS($A$7:$A$2310,A2044)</x:f>
        <x:v>1</x:v>
      </x:c>
    </x:row>
    <x:row r="2045">
      <x:c r="A2045" s="9" t="str">
        <x:v>PD-AR-ET-A-A-TECH-1-B2-RCN-G0-PD07</x:v>
      </x:c>
      <x:c r="B2045" s="9" t="str">
        <x:v>PD-AR-ET-A-A-TECH-1-B2-RCN-G0</x:v>
      </x:c>
      <x:c r="C2045" s="9" t="str">
        <x:v>EV-AR-ET-A-A-TECH-1-B2-RCN-G0</x:v>
      </x:c>
      <x:c r="D2045" s="9" t="str">
        <x:v>AR-ET-A-A-TECH-1-B2-RCN-G0</x:v>
      </x:c>
      <x:c r="E2045" s="9" t="str">
        <x:v>ET-A-A-TECH-1</x:v>
      </x:c>
      <x:c r="F2045" s="9" t="str">
        <x:v>ET-A-A</x:v>
      </x:c>
      <x:c r="G2045" s="9" t="str">
        <x:v>B2</x:v>
      </x:c>
      <x:c r="H2045" s="9" t="str">
        <x:v>RCN</x:v>
      </x:c>
      <x:c r="I2045" s="9" t="str">
        <x:v>PD07</x:v>
      </x:c>
      <x:c r="J2045" s="17" t="str">
        <x:v>Clock and environmental records</x:v>
      </x:c>
      <x:c r="K2045" s="17" t="str">
        <x:v>Boundary archive</x:v>
      </x:c>
      <x:c r="L2045" s="17" t="str">
        <x:v>COURT-SEALED UNTIL COHORT RELEASE</x:v>
      </x:c>
      <x:c r="M2045" s="9" t="n">
        <x:v>0</x:v>
      </x:c>
      <x:c r="N2045" s="9" t="n">
        <x:v>0</x:v>
      </x:c>
      <x:c r="O2045" s="9" t="n">
        <x:v>0</x:v>
      </x:c>
      <x:c r="P2045" s="9" t="str">
        <x:v>HELD / UNRELEASED</x:v>
      </x:c>
      <x:c r="Q2045" s="9" t="n">
        <x:f>COUNTIFS($A$7:$A$2310,A2045)</x:f>
        <x:v>1</x:v>
      </x:c>
    </x:row>
    <x:row r="2046">
      <x:c r="A2046" s="9" t="str">
        <x:v>PD-AR-ET-A-A-TECH-1-B2-RCN-G0-PD08</x:v>
      </x:c>
      <x:c r="B2046" s="9" t="str">
        <x:v>PD-AR-ET-A-A-TECH-1-B2-RCN-G0</x:v>
      </x:c>
      <x:c r="C2046" s="9" t="str">
        <x:v>EV-AR-ET-A-A-TECH-1-B2-RCN-G0</x:v>
      </x:c>
      <x:c r="D2046" s="9" t="str">
        <x:v>AR-ET-A-A-TECH-1-B2-RCN-G0</x:v>
      </x:c>
      <x:c r="E2046" s="9" t="str">
        <x:v>ET-A-A-TECH-1</x:v>
      </x:c>
      <x:c r="F2046" s="9" t="str">
        <x:v>ET-A-A</x:v>
      </x:c>
      <x:c r="G2046" s="9" t="str">
        <x:v>B2</x:v>
      </x:c>
      <x:c r="H2046" s="9" t="str">
        <x:v>RCN</x:v>
      </x:c>
      <x:c r="I2046" s="9" t="str">
        <x:v>PD08</x:v>
      </x:c>
      <x:c r="J2046" s="17" t="str">
        <x:v>Command and intervention log</x:v>
      </x:c>
      <x:c r="K2046" s="17" t="str">
        <x:v>Safety archive</x:v>
      </x:c>
      <x:c r="L2046" s="17" t="str">
        <x:v>COURT-SEALED UNTIL COHORT RELEASE</x:v>
      </x:c>
      <x:c r="M2046" s="9" t="n">
        <x:v>0</x:v>
      </x:c>
      <x:c r="N2046" s="9" t="n">
        <x:v>0</x:v>
      </x:c>
      <x:c r="O2046" s="9" t="n">
        <x:v>0</x:v>
      </x:c>
      <x:c r="P2046" s="9" t="str">
        <x:v>HELD / UNRELEASED</x:v>
      </x:c>
      <x:c r="Q2046" s="9" t="n">
        <x:f>COUNTIFS($A$7:$A$2310,A2046)</x:f>
        <x:v>1</x:v>
      </x:c>
    </x:row>
    <x:row r="2047">
      <x:c r="A2047" s="9" t="str">
        <x:v>PD-AR-ET-A-A-TECH-1-B2-RCN-G0-PD09</x:v>
      </x:c>
      <x:c r="B2047" s="9" t="str">
        <x:v>PD-AR-ET-A-A-TECH-1-B2-RCN-G0</x:v>
      </x:c>
      <x:c r="C2047" s="9" t="str">
        <x:v>EV-AR-ET-A-A-TECH-1-B2-RCN-G0</x:v>
      </x:c>
      <x:c r="D2047" s="9" t="str">
        <x:v>AR-ET-A-A-TECH-1-B2-RCN-G0</x:v>
      </x:c>
      <x:c r="E2047" s="9" t="str">
        <x:v>ET-A-A-TECH-1</x:v>
      </x:c>
      <x:c r="F2047" s="9" t="str">
        <x:v>ET-A-A</x:v>
      </x:c>
      <x:c r="G2047" s="9" t="str">
        <x:v>B2</x:v>
      </x:c>
      <x:c r="H2047" s="9" t="str">
        <x:v>RCN</x:v>
      </x:c>
      <x:c r="I2047" s="9" t="str">
        <x:v>PD09</x:v>
      </x:c>
      <x:c r="J2047" s="17" t="str">
        <x:v>Receiver denominator and service ledger</x:v>
      </x:c>
      <x:c r="K2047" s="17" t="str">
        <x:v>Receiver archive</x:v>
      </x:c>
      <x:c r="L2047" s="17" t="str">
        <x:v>COURT-SEALED UNTIL COHORT RELEASE</x:v>
      </x:c>
      <x:c r="M2047" s="9" t="n">
        <x:v>0</x:v>
      </x:c>
      <x:c r="N2047" s="9" t="n">
        <x:v>0</x:v>
      </x:c>
      <x:c r="O2047" s="9" t="n">
        <x:v>0</x:v>
      </x:c>
      <x:c r="P2047" s="9" t="str">
        <x:v>HELD / UNRELEASED</x:v>
      </x:c>
      <x:c r="Q2047" s="9" t="n">
        <x:f>COUNTIFS($A$7:$A$2310,A2047)</x:f>
        <x:v>1</x:v>
      </x:c>
    </x:row>
    <x:row r="2048">
      <x:c r="A2048" s="9" t="str">
        <x:v>PD-AR-ET-A-A-TECH-1-B2-RCN-G0-PD10</x:v>
      </x:c>
      <x:c r="B2048" s="9" t="str">
        <x:v>PD-AR-ET-A-A-TECH-1-B2-RCN-G0</x:v>
      </x:c>
      <x:c r="C2048" s="9" t="str">
        <x:v>EV-AR-ET-A-A-TECH-1-B2-RCN-G0</x:v>
      </x:c>
      <x:c r="D2048" s="9" t="str">
        <x:v>AR-ET-A-A-TECH-1-B2-RCN-G0</x:v>
      </x:c>
      <x:c r="E2048" s="9" t="str">
        <x:v>ET-A-A-TECH-1</x:v>
      </x:c>
      <x:c r="F2048" s="9" t="str">
        <x:v>ET-A-A</x:v>
      </x:c>
      <x:c r="G2048" s="9" t="str">
        <x:v>B2</x:v>
      </x:c>
      <x:c r="H2048" s="9" t="str">
        <x:v>RCN</x:v>
      </x:c>
      <x:c r="I2048" s="9" t="str">
        <x:v>PD10</x:v>
      </x:c>
      <x:c r="J2048" s="17" t="str">
        <x:v>Calibration and uncertainty record</x:v>
      </x:c>
      <x:c r="K2048" s="17" t="str">
        <x:v>Metrology archive</x:v>
      </x:c>
      <x:c r="L2048" s="17" t="str">
        <x:v>COURT-SEALED UNTIL COHORT RELEASE</x:v>
      </x:c>
      <x:c r="M2048" s="9" t="n">
        <x:v>0</x:v>
      </x:c>
      <x:c r="N2048" s="9" t="n">
        <x:v>0</x:v>
      </x:c>
      <x:c r="O2048" s="9" t="n">
        <x:v>0</x:v>
      </x:c>
      <x:c r="P2048" s="9" t="str">
        <x:v>HELD / UNRELEASED</x:v>
      </x:c>
      <x:c r="Q2048" s="9" t="n">
        <x:f>COUNTIFS($A$7:$A$2310,A2048)</x:f>
        <x:v>1</x:v>
      </x:c>
    </x:row>
    <x:row r="2049">
      <x:c r="A2049" s="9" t="str">
        <x:v>PD-AR-ET-A-A-TECH-1-B2-RCN-G0-PD11</x:v>
      </x:c>
      <x:c r="B2049" s="9" t="str">
        <x:v>PD-AR-ET-A-A-TECH-1-B2-RCN-G0</x:v>
      </x:c>
      <x:c r="C2049" s="9" t="str">
        <x:v>EV-AR-ET-A-A-TECH-1-B2-RCN-G0</x:v>
      </x:c>
      <x:c r="D2049" s="9" t="str">
        <x:v>AR-ET-A-A-TECH-1-B2-RCN-G0</x:v>
      </x:c>
      <x:c r="E2049" s="9" t="str">
        <x:v>ET-A-A-TECH-1</x:v>
      </x:c>
      <x:c r="F2049" s="9" t="str">
        <x:v>ET-A-A</x:v>
      </x:c>
      <x:c r="G2049" s="9" t="str">
        <x:v>B2</x:v>
      </x:c>
      <x:c r="H2049" s="9" t="str">
        <x:v>RCN</x:v>
      </x:c>
      <x:c r="I2049" s="9" t="str">
        <x:v>PD11</x:v>
      </x:c>
      <x:c r="J2049" s="17" t="str">
        <x:v>Invalidity petition and opinion</x:v>
      </x:c>
      <x:c r="K2049" s="17" t="str">
        <x:v>Invalidity court</x:v>
      </x:c>
      <x:c r="L2049" s="17" t="str">
        <x:v>COURT-SEALED UNTIL COHORT RELEASE</x:v>
      </x:c>
      <x:c r="M2049" s="9" t="n">
        <x:v>0</x:v>
      </x:c>
      <x:c r="N2049" s="9" t="n">
        <x:v>0</x:v>
      </x:c>
      <x:c r="O2049" s="9" t="n">
        <x:v>0</x:v>
      </x:c>
      <x:c r="P2049" s="9" t="str">
        <x:v>HELD / UNRELEASED</x:v>
      </x:c>
      <x:c r="Q2049" s="9" t="n">
        <x:f>COUNTIFS($A$7:$A$2310,A2049)</x:f>
        <x:v>1</x:v>
      </x:c>
    </x:row>
    <x:row r="2050">
      <x:c r="A2050" s="9" t="str">
        <x:v>PD-AR-ET-A-A-TECH-1-B2-RCN-G0-PD12</x:v>
      </x:c>
      <x:c r="B2050" s="9" t="str">
        <x:v>PD-AR-ET-A-A-TECH-1-B2-RCN-G0</x:v>
      </x:c>
      <x:c r="C2050" s="9" t="str">
        <x:v>EV-AR-ET-A-A-TECH-1-B2-RCN-G0</x:v>
      </x:c>
      <x:c r="D2050" s="9" t="str">
        <x:v>AR-ET-A-A-TECH-1-B2-RCN-G0</x:v>
      </x:c>
      <x:c r="E2050" s="9" t="str">
        <x:v>ET-A-A-TECH-1</x:v>
      </x:c>
      <x:c r="F2050" s="9" t="str">
        <x:v>ET-A-A</x:v>
      </x:c>
      <x:c r="G2050" s="9" t="str">
        <x:v>B2</x:v>
      </x:c>
      <x:c r="H2050" s="9" t="str">
        <x:v>RCN</x:v>
      </x:c>
      <x:c r="I2050" s="9" t="str">
        <x:v>PD12</x:v>
      </x:c>
      <x:c r="J2050" s="17" t="str">
        <x:v>Observation acceptance and replay</x:v>
      </x:c>
      <x:c r="K2050" s="17" t="str">
        <x:v>Observation court</x:v>
      </x:c>
      <x:c r="L2050" s="17" t="str">
        <x:v>COURT-SEALED UNTIL COHORT RELEASE</x:v>
      </x:c>
      <x:c r="M2050" s="9" t="n">
        <x:v>0</x:v>
      </x:c>
      <x:c r="N2050" s="9" t="n">
        <x:v>0</x:v>
      </x:c>
      <x:c r="O2050" s="9" t="n">
        <x:v>0</x:v>
      </x:c>
      <x:c r="P2050" s="9" t="str">
        <x:v>HELD / UNRELEASED</x:v>
      </x:c>
      <x:c r="Q2050" s="9" t="n">
        <x:f>COUNTIFS($A$7:$A$2310,A2050)</x:f>
        <x:v>1</x:v>
      </x:c>
    </x:row>
    <x:row r="2051">
      <x:c r="A2051" s="9" t="str">
        <x:v>PD-AR-ET-A-A-TECH-1-B2-RCN-G0-PD13</x:v>
      </x:c>
      <x:c r="B2051" s="9" t="str">
        <x:v>PD-AR-ET-A-A-TECH-1-B2-RCN-G0</x:v>
      </x:c>
      <x:c r="C2051" s="9" t="str">
        <x:v>EV-AR-ET-A-A-TECH-1-B2-RCN-G0</x:v>
      </x:c>
      <x:c r="D2051" s="9" t="str">
        <x:v>AR-ET-A-A-TECH-1-B2-RCN-G0</x:v>
      </x:c>
      <x:c r="E2051" s="9" t="str">
        <x:v>ET-A-A-TECH-1</x:v>
      </x:c>
      <x:c r="F2051" s="9" t="str">
        <x:v>ET-A-A</x:v>
      </x:c>
      <x:c r="G2051" s="9" t="str">
        <x:v>B2</x:v>
      </x:c>
      <x:c r="H2051" s="9" t="str">
        <x:v>RCN</x:v>
      </x:c>
      <x:c r="I2051" s="9" t="str">
        <x:v>PD13</x:v>
      </x:c>
      <x:c r="J2051" s="17" t="str">
        <x:v>Role judgment</x:v>
      </x:c>
      <x:c r="K2051" s="17" t="str">
        <x:v>Role court</x:v>
      </x:c>
      <x:c r="L2051" s="17" t="str">
        <x:v>COURT-SEALED UNTIL COHORT RELEASE</x:v>
      </x:c>
      <x:c r="M2051" s="9" t="n">
        <x:v>0</x:v>
      </x:c>
      <x:c r="N2051" s="9" t="n">
        <x:v>0</x:v>
      </x:c>
      <x:c r="O2051" s="9" t="n">
        <x:v>0</x:v>
      </x:c>
      <x:c r="P2051" s="9" t="str">
        <x:v>HELD / UNRELEASED</x:v>
      </x:c>
      <x:c r="Q2051" s="9" t="n">
        <x:f>COUNTIFS($A$7:$A$2310,A2051)</x:f>
        <x:v>1</x:v>
      </x:c>
    </x:row>
    <x:row r="2052">
      <x:c r="A2052" s="9" t="str">
        <x:v>PD-AR-ET-A-A-TECH-1-B2-RCN-G0-PD14</x:v>
      </x:c>
      <x:c r="B2052" s="9" t="str">
        <x:v>PD-AR-ET-A-A-TECH-1-B2-RCN-G0</x:v>
      </x:c>
      <x:c r="C2052" s="9" t="str">
        <x:v>EV-AR-ET-A-A-TECH-1-B2-RCN-G0</x:v>
      </x:c>
      <x:c r="D2052" s="9" t="str">
        <x:v>AR-ET-A-A-TECH-1-B2-RCN-G0</x:v>
      </x:c>
      <x:c r="E2052" s="9" t="str">
        <x:v>ET-A-A-TECH-1</x:v>
      </x:c>
      <x:c r="F2052" s="9" t="str">
        <x:v>ET-A-A</x:v>
      </x:c>
      <x:c r="G2052" s="9" t="str">
        <x:v>B2</x:v>
      </x:c>
      <x:c r="H2052" s="9" t="str">
        <x:v>RCN</x:v>
      </x:c>
      <x:c r="I2052" s="9" t="str">
        <x:v>PD14</x:v>
      </x:c>
      <x:c r="J2052" s="17" t="str">
        <x:v>Break and residual account</x:v>
      </x:c>
      <x:c r="K2052" s="17" t="str">
        <x:v>Residual authority</x:v>
      </x:c>
      <x:c r="L2052" s="17" t="str">
        <x:v>COURT-SEALED UNTIL COHORT RELEASE</x:v>
      </x:c>
      <x:c r="M2052" s="9" t="n">
        <x:v>0</x:v>
      </x:c>
      <x:c r="N2052" s="9" t="n">
        <x:v>0</x:v>
      </x:c>
      <x:c r="O2052" s="9" t="n">
        <x:v>0</x:v>
      </x:c>
      <x:c r="P2052" s="9" t="str">
        <x:v>HELD / UNRELEASED</x:v>
      </x:c>
      <x:c r="Q2052" s="9" t="n">
        <x:f>COUNTIFS($A$7:$A$2310,A2052)</x:f>
        <x:v>1</x:v>
      </x:c>
    </x:row>
    <x:row r="2053">
      <x:c r="A2053" s="9" t="str">
        <x:v>PD-AR-ET-A-A-TECH-1-B2-RCN-G0-PD15</x:v>
      </x:c>
      <x:c r="B2053" s="9" t="str">
        <x:v>PD-AR-ET-A-A-TECH-1-B2-RCN-G0</x:v>
      </x:c>
      <x:c r="C2053" s="9" t="str">
        <x:v>EV-AR-ET-A-A-TECH-1-B2-RCN-G0</x:v>
      </x:c>
      <x:c r="D2053" s="9" t="str">
        <x:v>AR-ET-A-A-TECH-1-B2-RCN-G0</x:v>
      </x:c>
      <x:c r="E2053" s="9" t="str">
        <x:v>ET-A-A-TECH-1</x:v>
      </x:c>
      <x:c r="F2053" s="9" t="str">
        <x:v>ET-A-A</x:v>
      </x:c>
      <x:c r="G2053" s="9" t="str">
        <x:v>B2</x:v>
      </x:c>
      <x:c r="H2053" s="9" t="str">
        <x:v>RCN</x:v>
      </x:c>
      <x:c r="I2053" s="9" t="str">
        <x:v>PD15</x:v>
      </x:c>
      <x:c r="J2053" s="17" t="str">
        <x:v>Reconstruction ancestry and replay</x:v>
      </x:c>
      <x:c r="K2053" s="17" t="str">
        <x:v>Reconstruction court</x:v>
      </x:c>
      <x:c r="L2053" s="17" t="str">
        <x:v>COURT-SEALED UNTIL COHORT RELEASE</x:v>
      </x:c>
      <x:c r="M2053" s="9" t="n">
        <x:v>0</x:v>
      </x:c>
      <x:c r="N2053" s="9" t="n">
        <x:v>0</x:v>
      </x:c>
      <x:c r="O2053" s="9" t="n">
        <x:v>0</x:v>
      </x:c>
      <x:c r="P2053" s="9" t="str">
        <x:v>HELD / UNRELEASED</x:v>
      </x:c>
      <x:c r="Q2053" s="9" t="n">
        <x:f>COUNTIFS($A$7:$A$2310,A2053)</x:f>
        <x:v>1</x:v>
      </x:c>
    </x:row>
    <x:row r="2054">
      <x:c r="A2054" s="9" t="str">
        <x:v>PD-AR-ET-A-A-TECH-1-B2-RCN-G0-PD16</x:v>
      </x:c>
      <x:c r="B2054" s="9" t="str">
        <x:v>PD-AR-ET-A-A-TECH-1-B2-RCN-G0</x:v>
      </x:c>
      <x:c r="C2054" s="9" t="str">
        <x:v>EV-AR-ET-A-A-TECH-1-B2-RCN-G0</x:v>
      </x:c>
      <x:c r="D2054" s="9" t="str">
        <x:v>AR-ET-A-A-TECH-1-B2-RCN-G0</x:v>
      </x:c>
      <x:c r="E2054" s="9" t="str">
        <x:v>ET-A-A-TECH-1</x:v>
      </x:c>
      <x:c r="F2054" s="9" t="str">
        <x:v>ET-A-A</x:v>
      </x:c>
      <x:c r="G2054" s="9" t="str">
        <x:v>B2</x:v>
      </x:c>
      <x:c r="H2054" s="9" t="str">
        <x:v>RCN</x:v>
      </x:c>
      <x:c r="I2054" s="9" t="str">
        <x:v>PD16</x:v>
      </x:c>
      <x:c r="J2054" s="17" t="str">
        <x:v>Dissent, amendments and access log</x:v>
      </x:c>
      <x:c r="K2054" s="17" t="str">
        <x:v>Public archive</x:v>
      </x:c>
      <x:c r="L2054" s="17" t="str">
        <x:v>COURT-SEALED UNTIL COHORT RELEASE</x:v>
      </x:c>
      <x:c r="M2054" s="9" t="n">
        <x:v>0</x:v>
      </x:c>
      <x:c r="N2054" s="9" t="n">
        <x:v>0</x:v>
      </x:c>
      <x:c r="O2054" s="9" t="n">
        <x:v>0</x:v>
      </x:c>
      <x:c r="P2054" s="9" t="str">
        <x:v>HELD / UNRELEASED</x:v>
      </x:c>
      <x:c r="Q2054" s="9" t="n">
        <x:f>COUNTIFS($A$7:$A$2310,A2054)</x:f>
        <x:v>1</x:v>
      </x:c>
    </x:row>
    <x:row r="2055">
      <x:c r="A2055" s="9" t="str">
        <x:v>PD-AR-HC-A-C-TECH-1-B2-BRK-G0-PD01</x:v>
      </x:c>
      <x:c r="B2055" s="9" t="str">
        <x:v>PD-AR-HC-A-C-TECH-1-B2-BRK-G0</x:v>
      </x:c>
      <x:c r="C2055" s="9" t="str">
        <x:v>EV-AR-HC-A-C-TECH-1-B2-BRK-G0</x:v>
      </x:c>
      <x:c r="D2055" s="9" t="str">
        <x:v>AR-HC-A-C-TECH-1-B2-BRK-G0</x:v>
      </x:c>
      <x:c r="E2055" s="9" t="str">
        <x:v>HC-A-C-TECH-1</x:v>
      </x:c>
      <x:c r="F2055" s="9" t="str">
        <x:v>HC-A-C</x:v>
      </x:c>
      <x:c r="G2055" s="9" t="str">
        <x:v>B2</x:v>
      </x:c>
      <x:c r="H2055" s="9" t="str">
        <x:v>BRK</x:v>
      </x:c>
      <x:c r="I2055" s="9" t="str">
        <x:v>PD01</x:v>
      </x:c>
      <x:c r="J2055" s="17" t="str">
        <x:v>Experiment kernel</x:v>
      </x:c>
      <x:c r="K2055" s="17" t="str">
        <x:v>Public archive</x:v>
      </x:c>
      <x:c r="L2055" s="17" t="str">
        <x:v>COURT-SEALED UNTIL COHORT RELEASE</x:v>
      </x:c>
      <x:c r="M2055" s="9" t="n">
        <x:v>0</x:v>
      </x:c>
      <x:c r="N2055" s="9" t="n">
        <x:v>0</x:v>
      </x:c>
      <x:c r="O2055" s="9" t="n">
        <x:v>0</x:v>
      </x:c>
      <x:c r="P2055" s="9" t="str">
        <x:v>HELD / UNRELEASED</x:v>
      </x:c>
      <x:c r="Q2055" s="9" t="n">
        <x:f>COUNTIFS($A$7:$A$2310,A2055)</x:f>
        <x:v>1</x:v>
      </x:c>
    </x:row>
    <x:row r="2056">
      <x:c r="A2056" s="9" t="str">
        <x:v>PD-AR-HC-A-C-TECH-1-B2-BRK-G0-PD02</x:v>
      </x:c>
      <x:c r="B2056" s="9" t="str">
        <x:v>PD-AR-HC-A-C-TECH-1-B2-BRK-G0</x:v>
      </x:c>
      <x:c r="C2056" s="9" t="str">
        <x:v>EV-AR-HC-A-C-TECH-1-B2-BRK-G0</x:v>
      </x:c>
      <x:c r="D2056" s="9" t="str">
        <x:v>AR-HC-A-C-TECH-1-B2-BRK-G0</x:v>
      </x:c>
      <x:c r="E2056" s="9" t="str">
        <x:v>HC-A-C-TECH-1</x:v>
      </x:c>
      <x:c r="F2056" s="9" t="str">
        <x:v>HC-A-C</x:v>
      </x:c>
      <x:c r="G2056" s="9" t="str">
        <x:v>B2</x:v>
      </x:c>
      <x:c r="H2056" s="9" t="str">
        <x:v>BRK</x:v>
      </x:c>
      <x:c r="I2056" s="9" t="str">
        <x:v>PD02</x:v>
      </x:c>
      <x:c r="J2056" s="17" t="str">
        <x:v>Serial annex and title chain</x:v>
      </x:c>
      <x:c r="K2056" s="17" t="str">
        <x:v>Public archive</x:v>
      </x:c>
      <x:c r="L2056" s="17" t="str">
        <x:v>COURT-SEALED UNTIL COHORT RELEASE</x:v>
      </x:c>
      <x:c r="M2056" s="9" t="n">
        <x:v>0</x:v>
      </x:c>
      <x:c r="N2056" s="9" t="n">
        <x:v>0</x:v>
      </x:c>
      <x:c r="O2056" s="9" t="n">
        <x:v>0</x:v>
      </x:c>
      <x:c r="P2056" s="9" t="str">
        <x:v>HELD / UNRELEASED</x:v>
      </x:c>
      <x:c r="Q2056" s="9" t="n">
        <x:f>COUNTIFS($A$7:$A$2310,A2056)</x:f>
        <x:v>1</x:v>
      </x:c>
    </x:row>
    <x:row r="2057">
      <x:c r="A2057" s="9" t="str">
        <x:v>PD-AR-HC-A-C-TECH-1-B2-BRK-G0-PD03</x:v>
      </x:c>
      <x:c r="B2057" s="9" t="str">
        <x:v>PD-AR-HC-A-C-TECH-1-B2-BRK-G0</x:v>
      </x:c>
      <x:c r="C2057" s="9" t="str">
        <x:v>EV-AR-HC-A-C-TECH-1-B2-BRK-G0</x:v>
      </x:c>
      <x:c r="D2057" s="9" t="str">
        <x:v>AR-HC-A-C-TECH-1-B2-BRK-G0</x:v>
      </x:c>
      <x:c r="E2057" s="9" t="str">
        <x:v>HC-A-C-TECH-1</x:v>
      </x:c>
      <x:c r="F2057" s="9" t="str">
        <x:v>HC-A-C</x:v>
      </x:c>
      <x:c r="G2057" s="9" t="str">
        <x:v>B2</x:v>
      </x:c>
      <x:c r="H2057" s="9" t="str">
        <x:v>BRK</x:v>
      </x:c>
      <x:c r="I2057" s="9" t="str">
        <x:v>PD03</x:v>
      </x:c>
      <x:c r="J2057" s="17" t="str">
        <x:v>Configuration and as-built manifest</x:v>
      </x:c>
      <x:c r="K2057" s="17" t="str">
        <x:v>Artifact exchange</x:v>
      </x:c>
      <x:c r="L2057" s="17" t="str">
        <x:v>COURT-SEALED UNTIL COHORT RELEASE</x:v>
      </x:c>
      <x:c r="M2057" s="9" t="n">
        <x:v>0</x:v>
      </x:c>
      <x:c r="N2057" s="9" t="n">
        <x:v>0</x:v>
      </x:c>
      <x:c r="O2057" s="9" t="n">
        <x:v>0</x:v>
      </x:c>
      <x:c r="P2057" s="9" t="str">
        <x:v>HELD / UNRELEASED</x:v>
      </x:c>
      <x:c r="Q2057" s="9" t="n">
        <x:f>COUNTIFS($A$7:$A$2310,A2057)</x:f>
        <x:v>1</x:v>
      </x:c>
    </x:row>
    <x:row r="2058">
      <x:c r="A2058" s="9" t="str">
        <x:v>PD-AR-HC-A-C-TECH-1-B2-BRK-G0-PD04</x:v>
      </x:c>
      <x:c r="B2058" s="9" t="str">
        <x:v>PD-AR-HC-A-C-TECH-1-B2-BRK-G0</x:v>
      </x:c>
      <x:c r="C2058" s="9" t="str">
        <x:v>EV-AR-HC-A-C-TECH-1-B2-BRK-G0</x:v>
      </x:c>
      <x:c r="D2058" s="9" t="str">
        <x:v>AR-HC-A-C-TECH-1-B2-BRK-G0</x:v>
      </x:c>
      <x:c r="E2058" s="9" t="str">
        <x:v>HC-A-C-TECH-1</x:v>
      </x:c>
      <x:c r="F2058" s="9" t="str">
        <x:v>HC-A-C</x:v>
      </x:c>
      <x:c r="G2058" s="9" t="str">
        <x:v>B2</x:v>
      </x:c>
      <x:c r="H2058" s="9" t="str">
        <x:v>BRK</x:v>
      </x:c>
      <x:c r="I2058" s="9" t="str">
        <x:v>PD04</x:v>
      </x:c>
      <x:c r="J2058" s="17" t="str">
        <x:v>EOW and start certificate</x:v>
      </x:c>
      <x:c r="K2058" s="17" t="str">
        <x:v>Start registrar</x:v>
      </x:c>
      <x:c r="L2058" s="17" t="str">
        <x:v>COURT-SEALED UNTIL COHORT RELEASE</x:v>
      </x:c>
      <x:c r="M2058" s="9" t="n">
        <x:v>0</x:v>
      </x:c>
      <x:c r="N2058" s="9" t="n">
        <x:v>0</x:v>
      </x:c>
      <x:c r="O2058" s="9" t="n">
        <x:v>0</x:v>
      </x:c>
      <x:c r="P2058" s="9" t="str">
        <x:v>HELD / UNRELEASED</x:v>
      </x:c>
      <x:c r="Q2058" s="9" t="n">
        <x:f>COUNTIFS($A$7:$A$2310,A2058)</x:f>
        <x:v>1</x:v>
      </x:c>
    </x:row>
    <x:row r="2059">
      <x:c r="A2059" s="9" t="str">
        <x:v>PD-AR-HC-A-C-TECH-1-B2-BRK-G0-PD05</x:v>
      </x:c>
      <x:c r="B2059" s="9" t="str">
        <x:v>PD-AR-HC-A-C-TECH-1-B2-BRK-G0</x:v>
      </x:c>
      <x:c r="C2059" s="9" t="str">
        <x:v>EV-AR-HC-A-C-TECH-1-B2-BRK-G0</x:v>
      </x:c>
      <x:c r="D2059" s="9" t="str">
        <x:v>AR-HC-A-C-TECH-1-B2-BRK-G0</x:v>
      </x:c>
      <x:c r="E2059" s="9" t="str">
        <x:v>HC-A-C-TECH-1</x:v>
      </x:c>
      <x:c r="F2059" s="9" t="str">
        <x:v>HC-A-C</x:v>
      </x:c>
      <x:c r="G2059" s="9" t="str">
        <x:v>B2</x:v>
      </x:c>
      <x:c r="H2059" s="9" t="str">
        <x:v>BRK</x:v>
      </x:c>
      <x:c r="I2059" s="9" t="str">
        <x:v>PD05</x:v>
      </x:c>
      <x:c r="J2059" s="17" t="str">
        <x:v>Primary raw originals</x:v>
      </x:c>
      <x:c r="K2059" s="17" t="str">
        <x:v>Primary custody</x:v>
      </x:c>
      <x:c r="L2059" s="17" t="str">
        <x:v>COURT-SEALED UNTIL COHORT RELEASE</x:v>
      </x:c>
      <x:c r="M2059" s="9" t="n">
        <x:v>0</x:v>
      </x:c>
      <x:c r="N2059" s="9" t="n">
        <x:v>0</x:v>
      </x:c>
      <x:c r="O2059" s="9" t="n">
        <x:v>0</x:v>
      </x:c>
      <x:c r="P2059" s="9" t="str">
        <x:v>HELD / UNRELEASED</x:v>
      </x:c>
      <x:c r="Q2059" s="9" t="n">
        <x:f>COUNTIFS($A$7:$A$2310,A2059)</x:f>
        <x:v>1</x:v>
      </x:c>
    </x:row>
    <x:row r="2060">
      <x:c r="A2060" s="9" t="str">
        <x:v>PD-AR-HC-A-C-TECH-1-B2-BRK-G0-PD06</x:v>
      </x:c>
      <x:c r="B2060" s="9" t="str">
        <x:v>PD-AR-HC-A-C-TECH-1-B2-BRK-G0</x:v>
      </x:c>
      <x:c r="C2060" s="9" t="str">
        <x:v>EV-AR-HC-A-C-TECH-1-B2-BRK-G0</x:v>
      </x:c>
      <x:c r="D2060" s="9" t="str">
        <x:v>AR-HC-A-C-TECH-1-B2-BRK-G0</x:v>
      </x:c>
      <x:c r="E2060" s="9" t="str">
        <x:v>HC-A-C-TECH-1</x:v>
      </x:c>
      <x:c r="F2060" s="9" t="str">
        <x:v>HC-A-C</x:v>
      </x:c>
      <x:c r="G2060" s="9" t="str">
        <x:v>B2</x:v>
      </x:c>
      <x:c r="H2060" s="9" t="str">
        <x:v>BRK</x:v>
      </x:c>
      <x:c r="I2060" s="9" t="str">
        <x:v>PD06</x:v>
      </x:c>
      <x:c r="J2060" s="17" t="str">
        <x:v>Witness raw originals</x:v>
      </x:c>
      <x:c r="K2060" s="17" t="str">
        <x:v>Witness custody</x:v>
      </x:c>
      <x:c r="L2060" s="17" t="str">
        <x:v>COURT-SEALED UNTIL COHORT RELEASE</x:v>
      </x:c>
      <x:c r="M2060" s="9" t="n">
        <x:v>0</x:v>
      </x:c>
      <x:c r="N2060" s="9" t="n">
        <x:v>0</x:v>
      </x:c>
      <x:c r="O2060" s="9" t="n">
        <x:v>0</x:v>
      </x:c>
      <x:c r="P2060" s="9" t="str">
        <x:v>HELD / UNRELEASED</x:v>
      </x:c>
      <x:c r="Q2060" s="9" t="n">
        <x:f>COUNTIFS($A$7:$A$2310,A2060)</x:f>
        <x:v>1</x:v>
      </x:c>
    </x:row>
    <x:row r="2061">
      <x:c r="A2061" s="9" t="str">
        <x:v>PD-AR-HC-A-C-TECH-1-B2-BRK-G0-PD07</x:v>
      </x:c>
      <x:c r="B2061" s="9" t="str">
        <x:v>PD-AR-HC-A-C-TECH-1-B2-BRK-G0</x:v>
      </x:c>
      <x:c r="C2061" s="9" t="str">
        <x:v>EV-AR-HC-A-C-TECH-1-B2-BRK-G0</x:v>
      </x:c>
      <x:c r="D2061" s="9" t="str">
        <x:v>AR-HC-A-C-TECH-1-B2-BRK-G0</x:v>
      </x:c>
      <x:c r="E2061" s="9" t="str">
        <x:v>HC-A-C-TECH-1</x:v>
      </x:c>
      <x:c r="F2061" s="9" t="str">
        <x:v>HC-A-C</x:v>
      </x:c>
      <x:c r="G2061" s="9" t="str">
        <x:v>B2</x:v>
      </x:c>
      <x:c r="H2061" s="9" t="str">
        <x:v>BRK</x:v>
      </x:c>
      <x:c r="I2061" s="9" t="str">
        <x:v>PD07</x:v>
      </x:c>
      <x:c r="J2061" s="17" t="str">
        <x:v>Clock and environmental records</x:v>
      </x:c>
      <x:c r="K2061" s="17" t="str">
        <x:v>Boundary archive</x:v>
      </x:c>
      <x:c r="L2061" s="17" t="str">
        <x:v>COURT-SEALED UNTIL COHORT RELEASE</x:v>
      </x:c>
      <x:c r="M2061" s="9" t="n">
        <x:v>0</x:v>
      </x:c>
      <x:c r="N2061" s="9" t="n">
        <x:v>0</x:v>
      </x:c>
      <x:c r="O2061" s="9" t="n">
        <x:v>0</x:v>
      </x:c>
      <x:c r="P2061" s="9" t="str">
        <x:v>HELD / UNRELEASED</x:v>
      </x:c>
      <x:c r="Q2061" s="9" t="n">
        <x:f>COUNTIFS($A$7:$A$2310,A2061)</x:f>
        <x:v>1</x:v>
      </x:c>
    </x:row>
    <x:row r="2062">
      <x:c r="A2062" s="9" t="str">
        <x:v>PD-AR-HC-A-C-TECH-1-B2-BRK-G0-PD08</x:v>
      </x:c>
      <x:c r="B2062" s="9" t="str">
        <x:v>PD-AR-HC-A-C-TECH-1-B2-BRK-G0</x:v>
      </x:c>
      <x:c r="C2062" s="9" t="str">
        <x:v>EV-AR-HC-A-C-TECH-1-B2-BRK-G0</x:v>
      </x:c>
      <x:c r="D2062" s="9" t="str">
        <x:v>AR-HC-A-C-TECH-1-B2-BRK-G0</x:v>
      </x:c>
      <x:c r="E2062" s="9" t="str">
        <x:v>HC-A-C-TECH-1</x:v>
      </x:c>
      <x:c r="F2062" s="9" t="str">
        <x:v>HC-A-C</x:v>
      </x:c>
      <x:c r="G2062" s="9" t="str">
        <x:v>B2</x:v>
      </x:c>
      <x:c r="H2062" s="9" t="str">
        <x:v>BRK</x:v>
      </x:c>
      <x:c r="I2062" s="9" t="str">
        <x:v>PD08</x:v>
      </x:c>
      <x:c r="J2062" s="17" t="str">
        <x:v>Command and intervention log</x:v>
      </x:c>
      <x:c r="K2062" s="17" t="str">
        <x:v>Safety archive</x:v>
      </x:c>
      <x:c r="L2062" s="17" t="str">
        <x:v>COURT-SEALED UNTIL COHORT RELEASE</x:v>
      </x:c>
      <x:c r="M2062" s="9" t="n">
        <x:v>0</x:v>
      </x:c>
      <x:c r="N2062" s="9" t="n">
        <x:v>0</x:v>
      </x:c>
      <x:c r="O2062" s="9" t="n">
        <x:v>0</x:v>
      </x:c>
      <x:c r="P2062" s="9" t="str">
        <x:v>HELD / UNRELEASED</x:v>
      </x:c>
      <x:c r="Q2062" s="9" t="n">
        <x:f>COUNTIFS($A$7:$A$2310,A2062)</x:f>
        <x:v>1</x:v>
      </x:c>
    </x:row>
    <x:row r="2063">
      <x:c r="A2063" s="9" t="str">
        <x:v>PD-AR-HC-A-C-TECH-1-B2-BRK-G0-PD09</x:v>
      </x:c>
      <x:c r="B2063" s="9" t="str">
        <x:v>PD-AR-HC-A-C-TECH-1-B2-BRK-G0</x:v>
      </x:c>
      <x:c r="C2063" s="9" t="str">
        <x:v>EV-AR-HC-A-C-TECH-1-B2-BRK-G0</x:v>
      </x:c>
      <x:c r="D2063" s="9" t="str">
        <x:v>AR-HC-A-C-TECH-1-B2-BRK-G0</x:v>
      </x:c>
      <x:c r="E2063" s="9" t="str">
        <x:v>HC-A-C-TECH-1</x:v>
      </x:c>
      <x:c r="F2063" s="9" t="str">
        <x:v>HC-A-C</x:v>
      </x:c>
      <x:c r="G2063" s="9" t="str">
        <x:v>B2</x:v>
      </x:c>
      <x:c r="H2063" s="9" t="str">
        <x:v>BRK</x:v>
      </x:c>
      <x:c r="I2063" s="9" t="str">
        <x:v>PD09</x:v>
      </x:c>
      <x:c r="J2063" s="17" t="str">
        <x:v>Receiver denominator and service ledger</x:v>
      </x:c>
      <x:c r="K2063" s="17" t="str">
        <x:v>Receiver archive</x:v>
      </x:c>
      <x:c r="L2063" s="17" t="str">
        <x:v>COURT-SEALED UNTIL COHORT RELEASE</x:v>
      </x:c>
      <x:c r="M2063" s="9" t="n">
        <x:v>0</x:v>
      </x:c>
      <x:c r="N2063" s="9" t="n">
        <x:v>0</x:v>
      </x:c>
      <x:c r="O2063" s="9" t="n">
        <x:v>0</x:v>
      </x:c>
      <x:c r="P2063" s="9" t="str">
        <x:v>HELD / UNRELEASED</x:v>
      </x:c>
      <x:c r="Q2063" s="9" t="n">
        <x:f>COUNTIFS($A$7:$A$2310,A2063)</x:f>
        <x:v>1</x:v>
      </x:c>
    </x:row>
    <x:row r="2064">
      <x:c r="A2064" s="9" t="str">
        <x:v>PD-AR-HC-A-C-TECH-1-B2-BRK-G0-PD10</x:v>
      </x:c>
      <x:c r="B2064" s="9" t="str">
        <x:v>PD-AR-HC-A-C-TECH-1-B2-BRK-G0</x:v>
      </x:c>
      <x:c r="C2064" s="9" t="str">
        <x:v>EV-AR-HC-A-C-TECH-1-B2-BRK-G0</x:v>
      </x:c>
      <x:c r="D2064" s="9" t="str">
        <x:v>AR-HC-A-C-TECH-1-B2-BRK-G0</x:v>
      </x:c>
      <x:c r="E2064" s="9" t="str">
        <x:v>HC-A-C-TECH-1</x:v>
      </x:c>
      <x:c r="F2064" s="9" t="str">
        <x:v>HC-A-C</x:v>
      </x:c>
      <x:c r="G2064" s="9" t="str">
        <x:v>B2</x:v>
      </x:c>
      <x:c r="H2064" s="9" t="str">
        <x:v>BRK</x:v>
      </x:c>
      <x:c r="I2064" s="9" t="str">
        <x:v>PD10</x:v>
      </x:c>
      <x:c r="J2064" s="17" t="str">
        <x:v>Calibration and uncertainty record</x:v>
      </x:c>
      <x:c r="K2064" s="17" t="str">
        <x:v>Metrology archive</x:v>
      </x:c>
      <x:c r="L2064" s="17" t="str">
        <x:v>COURT-SEALED UNTIL COHORT RELEASE</x:v>
      </x:c>
      <x:c r="M2064" s="9" t="n">
        <x:v>0</x:v>
      </x:c>
      <x:c r="N2064" s="9" t="n">
        <x:v>0</x:v>
      </x:c>
      <x:c r="O2064" s="9" t="n">
        <x:v>0</x:v>
      </x:c>
      <x:c r="P2064" s="9" t="str">
        <x:v>HELD / UNRELEASED</x:v>
      </x:c>
      <x:c r="Q2064" s="9" t="n">
        <x:f>COUNTIFS($A$7:$A$2310,A2064)</x:f>
        <x:v>1</x:v>
      </x:c>
    </x:row>
    <x:row r="2065">
      <x:c r="A2065" s="9" t="str">
        <x:v>PD-AR-HC-A-C-TECH-1-B2-BRK-G0-PD11</x:v>
      </x:c>
      <x:c r="B2065" s="9" t="str">
        <x:v>PD-AR-HC-A-C-TECH-1-B2-BRK-G0</x:v>
      </x:c>
      <x:c r="C2065" s="9" t="str">
        <x:v>EV-AR-HC-A-C-TECH-1-B2-BRK-G0</x:v>
      </x:c>
      <x:c r="D2065" s="9" t="str">
        <x:v>AR-HC-A-C-TECH-1-B2-BRK-G0</x:v>
      </x:c>
      <x:c r="E2065" s="9" t="str">
        <x:v>HC-A-C-TECH-1</x:v>
      </x:c>
      <x:c r="F2065" s="9" t="str">
        <x:v>HC-A-C</x:v>
      </x:c>
      <x:c r="G2065" s="9" t="str">
        <x:v>B2</x:v>
      </x:c>
      <x:c r="H2065" s="9" t="str">
        <x:v>BRK</x:v>
      </x:c>
      <x:c r="I2065" s="9" t="str">
        <x:v>PD11</x:v>
      </x:c>
      <x:c r="J2065" s="17" t="str">
        <x:v>Invalidity petition and opinion</x:v>
      </x:c>
      <x:c r="K2065" s="17" t="str">
        <x:v>Invalidity court</x:v>
      </x:c>
      <x:c r="L2065" s="17" t="str">
        <x:v>COURT-SEALED UNTIL COHORT RELEASE</x:v>
      </x:c>
      <x:c r="M2065" s="9" t="n">
        <x:v>0</x:v>
      </x:c>
      <x:c r="N2065" s="9" t="n">
        <x:v>0</x:v>
      </x:c>
      <x:c r="O2065" s="9" t="n">
        <x:v>0</x:v>
      </x:c>
      <x:c r="P2065" s="9" t="str">
        <x:v>HELD / UNRELEASED</x:v>
      </x:c>
      <x:c r="Q2065" s="9" t="n">
        <x:f>COUNTIFS($A$7:$A$2310,A2065)</x:f>
        <x:v>1</x:v>
      </x:c>
    </x:row>
    <x:row r="2066">
      <x:c r="A2066" s="9" t="str">
        <x:v>PD-AR-HC-A-C-TECH-1-B2-BRK-G0-PD12</x:v>
      </x:c>
      <x:c r="B2066" s="9" t="str">
        <x:v>PD-AR-HC-A-C-TECH-1-B2-BRK-G0</x:v>
      </x:c>
      <x:c r="C2066" s="9" t="str">
        <x:v>EV-AR-HC-A-C-TECH-1-B2-BRK-G0</x:v>
      </x:c>
      <x:c r="D2066" s="9" t="str">
        <x:v>AR-HC-A-C-TECH-1-B2-BRK-G0</x:v>
      </x:c>
      <x:c r="E2066" s="9" t="str">
        <x:v>HC-A-C-TECH-1</x:v>
      </x:c>
      <x:c r="F2066" s="9" t="str">
        <x:v>HC-A-C</x:v>
      </x:c>
      <x:c r="G2066" s="9" t="str">
        <x:v>B2</x:v>
      </x:c>
      <x:c r="H2066" s="9" t="str">
        <x:v>BRK</x:v>
      </x:c>
      <x:c r="I2066" s="9" t="str">
        <x:v>PD12</x:v>
      </x:c>
      <x:c r="J2066" s="17" t="str">
        <x:v>Observation acceptance and replay</x:v>
      </x:c>
      <x:c r="K2066" s="17" t="str">
        <x:v>Observation court</x:v>
      </x:c>
      <x:c r="L2066" s="17" t="str">
        <x:v>COURT-SEALED UNTIL COHORT RELEASE</x:v>
      </x:c>
      <x:c r="M2066" s="9" t="n">
        <x:v>0</x:v>
      </x:c>
      <x:c r="N2066" s="9" t="n">
        <x:v>0</x:v>
      </x:c>
      <x:c r="O2066" s="9" t="n">
        <x:v>0</x:v>
      </x:c>
      <x:c r="P2066" s="9" t="str">
        <x:v>HELD / UNRELEASED</x:v>
      </x:c>
      <x:c r="Q2066" s="9" t="n">
        <x:f>COUNTIFS($A$7:$A$2310,A2066)</x:f>
        <x:v>1</x:v>
      </x:c>
    </x:row>
    <x:row r="2067">
      <x:c r="A2067" s="9" t="str">
        <x:v>PD-AR-HC-A-C-TECH-1-B2-BRK-G0-PD13</x:v>
      </x:c>
      <x:c r="B2067" s="9" t="str">
        <x:v>PD-AR-HC-A-C-TECH-1-B2-BRK-G0</x:v>
      </x:c>
      <x:c r="C2067" s="9" t="str">
        <x:v>EV-AR-HC-A-C-TECH-1-B2-BRK-G0</x:v>
      </x:c>
      <x:c r="D2067" s="9" t="str">
        <x:v>AR-HC-A-C-TECH-1-B2-BRK-G0</x:v>
      </x:c>
      <x:c r="E2067" s="9" t="str">
        <x:v>HC-A-C-TECH-1</x:v>
      </x:c>
      <x:c r="F2067" s="9" t="str">
        <x:v>HC-A-C</x:v>
      </x:c>
      <x:c r="G2067" s="9" t="str">
        <x:v>B2</x:v>
      </x:c>
      <x:c r="H2067" s="9" t="str">
        <x:v>BRK</x:v>
      </x:c>
      <x:c r="I2067" s="9" t="str">
        <x:v>PD13</x:v>
      </x:c>
      <x:c r="J2067" s="17" t="str">
        <x:v>Role judgment</x:v>
      </x:c>
      <x:c r="K2067" s="17" t="str">
        <x:v>Role court</x:v>
      </x:c>
      <x:c r="L2067" s="17" t="str">
        <x:v>COURT-SEALED UNTIL COHORT RELEASE</x:v>
      </x:c>
      <x:c r="M2067" s="9" t="n">
        <x:v>0</x:v>
      </x:c>
      <x:c r="N2067" s="9" t="n">
        <x:v>0</x:v>
      </x:c>
      <x:c r="O2067" s="9" t="n">
        <x:v>0</x:v>
      </x:c>
      <x:c r="P2067" s="9" t="str">
        <x:v>HELD / UNRELEASED</x:v>
      </x:c>
      <x:c r="Q2067" s="9" t="n">
        <x:f>COUNTIFS($A$7:$A$2310,A2067)</x:f>
        <x:v>1</x:v>
      </x:c>
    </x:row>
    <x:row r="2068">
      <x:c r="A2068" s="9" t="str">
        <x:v>PD-AR-HC-A-C-TECH-1-B2-BRK-G0-PD14</x:v>
      </x:c>
      <x:c r="B2068" s="9" t="str">
        <x:v>PD-AR-HC-A-C-TECH-1-B2-BRK-G0</x:v>
      </x:c>
      <x:c r="C2068" s="9" t="str">
        <x:v>EV-AR-HC-A-C-TECH-1-B2-BRK-G0</x:v>
      </x:c>
      <x:c r="D2068" s="9" t="str">
        <x:v>AR-HC-A-C-TECH-1-B2-BRK-G0</x:v>
      </x:c>
      <x:c r="E2068" s="9" t="str">
        <x:v>HC-A-C-TECH-1</x:v>
      </x:c>
      <x:c r="F2068" s="9" t="str">
        <x:v>HC-A-C</x:v>
      </x:c>
      <x:c r="G2068" s="9" t="str">
        <x:v>B2</x:v>
      </x:c>
      <x:c r="H2068" s="9" t="str">
        <x:v>BRK</x:v>
      </x:c>
      <x:c r="I2068" s="9" t="str">
        <x:v>PD14</x:v>
      </x:c>
      <x:c r="J2068" s="17" t="str">
        <x:v>Break and residual account</x:v>
      </x:c>
      <x:c r="K2068" s="17" t="str">
        <x:v>Residual authority</x:v>
      </x:c>
      <x:c r="L2068" s="17" t="str">
        <x:v>COURT-SEALED UNTIL COHORT RELEASE</x:v>
      </x:c>
      <x:c r="M2068" s="9" t="n">
        <x:v>0</x:v>
      </x:c>
      <x:c r="N2068" s="9" t="n">
        <x:v>0</x:v>
      </x:c>
      <x:c r="O2068" s="9" t="n">
        <x:v>0</x:v>
      </x:c>
      <x:c r="P2068" s="9" t="str">
        <x:v>HELD / UNRELEASED</x:v>
      </x:c>
      <x:c r="Q2068" s="9" t="n">
        <x:f>COUNTIFS($A$7:$A$2310,A2068)</x:f>
        <x:v>1</x:v>
      </x:c>
    </x:row>
    <x:row r="2069">
      <x:c r="A2069" s="9" t="str">
        <x:v>PD-AR-HC-A-C-TECH-1-B2-BRK-G0-PD15</x:v>
      </x:c>
      <x:c r="B2069" s="9" t="str">
        <x:v>PD-AR-HC-A-C-TECH-1-B2-BRK-G0</x:v>
      </x:c>
      <x:c r="C2069" s="9" t="str">
        <x:v>EV-AR-HC-A-C-TECH-1-B2-BRK-G0</x:v>
      </x:c>
      <x:c r="D2069" s="9" t="str">
        <x:v>AR-HC-A-C-TECH-1-B2-BRK-G0</x:v>
      </x:c>
      <x:c r="E2069" s="9" t="str">
        <x:v>HC-A-C-TECH-1</x:v>
      </x:c>
      <x:c r="F2069" s="9" t="str">
        <x:v>HC-A-C</x:v>
      </x:c>
      <x:c r="G2069" s="9" t="str">
        <x:v>B2</x:v>
      </x:c>
      <x:c r="H2069" s="9" t="str">
        <x:v>BRK</x:v>
      </x:c>
      <x:c r="I2069" s="9" t="str">
        <x:v>PD15</x:v>
      </x:c>
      <x:c r="J2069" s="17" t="str">
        <x:v>Reconstruction ancestry and replay</x:v>
      </x:c>
      <x:c r="K2069" s="17" t="str">
        <x:v>Reconstruction court</x:v>
      </x:c>
      <x:c r="L2069" s="17" t="str">
        <x:v>COURT-SEALED UNTIL COHORT RELEASE</x:v>
      </x:c>
      <x:c r="M2069" s="9" t="n">
        <x:v>0</x:v>
      </x:c>
      <x:c r="N2069" s="9" t="n">
        <x:v>0</x:v>
      </x:c>
      <x:c r="O2069" s="9" t="n">
        <x:v>0</x:v>
      </x:c>
      <x:c r="P2069" s="9" t="str">
        <x:v>HELD / UNRELEASED</x:v>
      </x:c>
      <x:c r="Q2069" s="9" t="n">
        <x:f>COUNTIFS($A$7:$A$2310,A2069)</x:f>
        <x:v>1</x:v>
      </x:c>
    </x:row>
    <x:row r="2070">
      <x:c r="A2070" s="9" t="str">
        <x:v>PD-AR-HC-A-C-TECH-1-B2-BRK-G0-PD16</x:v>
      </x:c>
      <x:c r="B2070" s="9" t="str">
        <x:v>PD-AR-HC-A-C-TECH-1-B2-BRK-G0</x:v>
      </x:c>
      <x:c r="C2070" s="9" t="str">
        <x:v>EV-AR-HC-A-C-TECH-1-B2-BRK-G0</x:v>
      </x:c>
      <x:c r="D2070" s="9" t="str">
        <x:v>AR-HC-A-C-TECH-1-B2-BRK-G0</x:v>
      </x:c>
      <x:c r="E2070" s="9" t="str">
        <x:v>HC-A-C-TECH-1</x:v>
      </x:c>
      <x:c r="F2070" s="9" t="str">
        <x:v>HC-A-C</x:v>
      </x:c>
      <x:c r="G2070" s="9" t="str">
        <x:v>B2</x:v>
      </x:c>
      <x:c r="H2070" s="9" t="str">
        <x:v>BRK</x:v>
      </x:c>
      <x:c r="I2070" s="9" t="str">
        <x:v>PD16</x:v>
      </x:c>
      <x:c r="J2070" s="17" t="str">
        <x:v>Dissent, amendments and access log</x:v>
      </x:c>
      <x:c r="K2070" s="17" t="str">
        <x:v>Public archive</x:v>
      </x:c>
      <x:c r="L2070" s="17" t="str">
        <x:v>COURT-SEALED UNTIL COHORT RELEASE</x:v>
      </x:c>
      <x:c r="M2070" s="9" t="n">
        <x:v>0</x:v>
      </x:c>
      <x:c r="N2070" s="9" t="n">
        <x:v>0</x:v>
      </x:c>
      <x:c r="O2070" s="9" t="n">
        <x:v>0</x:v>
      </x:c>
      <x:c r="P2070" s="9" t="str">
        <x:v>HELD / UNRELEASED</x:v>
      </x:c>
      <x:c r="Q2070" s="9" t="n">
        <x:f>COUNTIFS($A$7:$A$2310,A2070)</x:f>
        <x:v>1</x:v>
      </x:c>
    </x:row>
    <x:row r="2071">
      <x:c r="A2071" s="9" t="str">
        <x:v>PD-AR-HU-A-B-TECH-1-B2-INT-G0-PD01</x:v>
      </x:c>
      <x:c r="B2071" s="9" t="str">
        <x:v>PD-AR-HU-A-B-TECH-1-B2-INT-G0</x:v>
      </x:c>
      <x:c r="C2071" s="9" t="str">
        <x:v>EV-AR-HU-A-B-TECH-1-B2-INT-G0</x:v>
      </x:c>
      <x:c r="D2071" s="9" t="str">
        <x:v>AR-HU-A-B-TECH-1-B2-INT-G0</x:v>
      </x:c>
      <x:c r="E2071" s="9" t="str">
        <x:v>HU-A-B-TECH-1</x:v>
      </x:c>
      <x:c r="F2071" s="9" t="str">
        <x:v>HU-A-B</x:v>
      </x:c>
      <x:c r="G2071" s="9" t="str">
        <x:v>B2</x:v>
      </x:c>
      <x:c r="H2071" s="9" t="str">
        <x:v>INT</x:v>
      </x:c>
      <x:c r="I2071" s="9" t="str">
        <x:v>PD01</x:v>
      </x:c>
      <x:c r="J2071" s="17" t="str">
        <x:v>Experiment kernel</x:v>
      </x:c>
      <x:c r="K2071" s="17" t="str">
        <x:v>Public archive</x:v>
      </x:c>
      <x:c r="L2071" s="17" t="str">
        <x:v>COURT-SEALED UNTIL COHORT RELEASE</x:v>
      </x:c>
      <x:c r="M2071" s="9" t="n">
        <x:v>0</x:v>
      </x:c>
      <x:c r="N2071" s="9" t="n">
        <x:v>0</x:v>
      </x:c>
      <x:c r="O2071" s="9" t="n">
        <x:v>0</x:v>
      </x:c>
      <x:c r="P2071" s="9" t="str">
        <x:v>HELD / UNRELEASED</x:v>
      </x:c>
      <x:c r="Q2071" s="9" t="n">
        <x:f>COUNTIFS($A$7:$A$2310,A2071)</x:f>
        <x:v>1</x:v>
      </x:c>
    </x:row>
    <x:row r="2072">
      <x:c r="A2072" s="9" t="str">
        <x:v>PD-AR-HU-A-B-TECH-1-B2-INT-G0-PD02</x:v>
      </x:c>
      <x:c r="B2072" s="9" t="str">
        <x:v>PD-AR-HU-A-B-TECH-1-B2-INT-G0</x:v>
      </x:c>
      <x:c r="C2072" s="9" t="str">
        <x:v>EV-AR-HU-A-B-TECH-1-B2-INT-G0</x:v>
      </x:c>
      <x:c r="D2072" s="9" t="str">
        <x:v>AR-HU-A-B-TECH-1-B2-INT-G0</x:v>
      </x:c>
      <x:c r="E2072" s="9" t="str">
        <x:v>HU-A-B-TECH-1</x:v>
      </x:c>
      <x:c r="F2072" s="9" t="str">
        <x:v>HU-A-B</x:v>
      </x:c>
      <x:c r="G2072" s="9" t="str">
        <x:v>B2</x:v>
      </x:c>
      <x:c r="H2072" s="9" t="str">
        <x:v>INT</x:v>
      </x:c>
      <x:c r="I2072" s="9" t="str">
        <x:v>PD02</x:v>
      </x:c>
      <x:c r="J2072" s="17" t="str">
        <x:v>Serial annex and title chain</x:v>
      </x:c>
      <x:c r="K2072" s="17" t="str">
        <x:v>Public archive</x:v>
      </x:c>
      <x:c r="L2072" s="17" t="str">
        <x:v>COURT-SEALED UNTIL COHORT RELEASE</x:v>
      </x:c>
      <x:c r="M2072" s="9" t="n">
        <x:v>0</x:v>
      </x:c>
      <x:c r="N2072" s="9" t="n">
        <x:v>0</x:v>
      </x:c>
      <x:c r="O2072" s="9" t="n">
        <x:v>0</x:v>
      </x:c>
      <x:c r="P2072" s="9" t="str">
        <x:v>HELD / UNRELEASED</x:v>
      </x:c>
      <x:c r="Q2072" s="9" t="n">
        <x:f>COUNTIFS($A$7:$A$2310,A2072)</x:f>
        <x:v>1</x:v>
      </x:c>
    </x:row>
    <x:row r="2073">
      <x:c r="A2073" s="9" t="str">
        <x:v>PD-AR-HU-A-B-TECH-1-B2-INT-G0-PD03</x:v>
      </x:c>
      <x:c r="B2073" s="9" t="str">
        <x:v>PD-AR-HU-A-B-TECH-1-B2-INT-G0</x:v>
      </x:c>
      <x:c r="C2073" s="9" t="str">
        <x:v>EV-AR-HU-A-B-TECH-1-B2-INT-G0</x:v>
      </x:c>
      <x:c r="D2073" s="9" t="str">
        <x:v>AR-HU-A-B-TECH-1-B2-INT-G0</x:v>
      </x:c>
      <x:c r="E2073" s="9" t="str">
        <x:v>HU-A-B-TECH-1</x:v>
      </x:c>
      <x:c r="F2073" s="9" t="str">
        <x:v>HU-A-B</x:v>
      </x:c>
      <x:c r="G2073" s="9" t="str">
        <x:v>B2</x:v>
      </x:c>
      <x:c r="H2073" s="9" t="str">
        <x:v>INT</x:v>
      </x:c>
      <x:c r="I2073" s="9" t="str">
        <x:v>PD03</x:v>
      </x:c>
      <x:c r="J2073" s="17" t="str">
        <x:v>Configuration and as-built manifest</x:v>
      </x:c>
      <x:c r="K2073" s="17" t="str">
        <x:v>Artifact exchange</x:v>
      </x:c>
      <x:c r="L2073" s="17" t="str">
        <x:v>COURT-SEALED UNTIL COHORT RELEASE</x:v>
      </x:c>
      <x:c r="M2073" s="9" t="n">
        <x:v>0</x:v>
      </x:c>
      <x:c r="N2073" s="9" t="n">
        <x:v>0</x:v>
      </x:c>
      <x:c r="O2073" s="9" t="n">
        <x:v>0</x:v>
      </x:c>
      <x:c r="P2073" s="9" t="str">
        <x:v>HELD / UNRELEASED</x:v>
      </x:c>
      <x:c r="Q2073" s="9" t="n">
        <x:f>COUNTIFS($A$7:$A$2310,A2073)</x:f>
        <x:v>1</x:v>
      </x:c>
    </x:row>
    <x:row r="2074">
      <x:c r="A2074" s="9" t="str">
        <x:v>PD-AR-HU-A-B-TECH-1-B2-INT-G0-PD04</x:v>
      </x:c>
      <x:c r="B2074" s="9" t="str">
        <x:v>PD-AR-HU-A-B-TECH-1-B2-INT-G0</x:v>
      </x:c>
      <x:c r="C2074" s="9" t="str">
        <x:v>EV-AR-HU-A-B-TECH-1-B2-INT-G0</x:v>
      </x:c>
      <x:c r="D2074" s="9" t="str">
        <x:v>AR-HU-A-B-TECH-1-B2-INT-G0</x:v>
      </x:c>
      <x:c r="E2074" s="9" t="str">
        <x:v>HU-A-B-TECH-1</x:v>
      </x:c>
      <x:c r="F2074" s="9" t="str">
        <x:v>HU-A-B</x:v>
      </x:c>
      <x:c r="G2074" s="9" t="str">
        <x:v>B2</x:v>
      </x:c>
      <x:c r="H2074" s="9" t="str">
        <x:v>INT</x:v>
      </x:c>
      <x:c r="I2074" s="9" t="str">
        <x:v>PD04</x:v>
      </x:c>
      <x:c r="J2074" s="17" t="str">
        <x:v>EOW and start certificate</x:v>
      </x:c>
      <x:c r="K2074" s="17" t="str">
        <x:v>Start registrar</x:v>
      </x:c>
      <x:c r="L2074" s="17" t="str">
        <x:v>COURT-SEALED UNTIL COHORT RELEASE</x:v>
      </x:c>
      <x:c r="M2074" s="9" t="n">
        <x:v>0</x:v>
      </x:c>
      <x:c r="N2074" s="9" t="n">
        <x:v>0</x:v>
      </x:c>
      <x:c r="O2074" s="9" t="n">
        <x:v>0</x:v>
      </x:c>
      <x:c r="P2074" s="9" t="str">
        <x:v>HELD / UNRELEASED</x:v>
      </x:c>
      <x:c r="Q2074" s="9" t="n">
        <x:f>COUNTIFS($A$7:$A$2310,A2074)</x:f>
        <x:v>1</x:v>
      </x:c>
    </x:row>
    <x:row r="2075">
      <x:c r="A2075" s="9" t="str">
        <x:v>PD-AR-HU-A-B-TECH-1-B2-INT-G0-PD05</x:v>
      </x:c>
      <x:c r="B2075" s="9" t="str">
        <x:v>PD-AR-HU-A-B-TECH-1-B2-INT-G0</x:v>
      </x:c>
      <x:c r="C2075" s="9" t="str">
        <x:v>EV-AR-HU-A-B-TECH-1-B2-INT-G0</x:v>
      </x:c>
      <x:c r="D2075" s="9" t="str">
        <x:v>AR-HU-A-B-TECH-1-B2-INT-G0</x:v>
      </x:c>
      <x:c r="E2075" s="9" t="str">
        <x:v>HU-A-B-TECH-1</x:v>
      </x:c>
      <x:c r="F2075" s="9" t="str">
        <x:v>HU-A-B</x:v>
      </x:c>
      <x:c r="G2075" s="9" t="str">
        <x:v>B2</x:v>
      </x:c>
      <x:c r="H2075" s="9" t="str">
        <x:v>INT</x:v>
      </x:c>
      <x:c r="I2075" s="9" t="str">
        <x:v>PD05</x:v>
      </x:c>
      <x:c r="J2075" s="17" t="str">
        <x:v>Primary raw originals</x:v>
      </x:c>
      <x:c r="K2075" s="17" t="str">
        <x:v>Primary custody</x:v>
      </x:c>
      <x:c r="L2075" s="17" t="str">
        <x:v>COURT-SEALED UNTIL COHORT RELEASE</x:v>
      </x:c>
      <x:c r="M2075" s="9" t="n">
        <x:v>0</x:v>
      </x:c>
      <x:c r="N2075" s="9" t="n">
        <x:v>0</x:v>
      </x:c>
      <x:c r="O2075" s="9" t="n">
        <x:v>0</x:v>
      </x:c>
      <x:c r="P2075" s="9" t="str">
        <x:v>HELD / UNRELEASED</x:v>
      </x:c>
      <x:c r="Q2075" s="9" t="n">
        <x:f>COUNTIFS($A$7:$A$2310,A2075)</x:f>
        <x:v>1</x:v>
      </x:c>
    </x:row>
    <x:row r="2076">
      <x:c r="A2076" s="9" t="str">
        <x:v>PD-AR-HU-A-B-TECH-1-B2-INT-G0-PD06</x:v>
      </x:c>
      <x:c r="B2076" s="9" t="str">
        <x:v>PD-AR-HU-A-B-TECH-1-B2-INT-G0</x:v>
      </x:c>
      <x:c r="C2076" s="9" t="str">
        <x:v>EV-AR-HU-A-B-TECH-1-B2-INT-G0</x:v>
      </x:c>
      <x:c r="D2076" s="9" t="str">
        <x:v>AR-HU-A-B-TECH-1-B2-INT-G0</x:v>
      </x:c>
      <x:c r="E2076" s="9" t="str">
        <x:v>HU-A-B-TECH-1</x:v>
      </x:c>
      <x:c r="F2076" s="9" t="str">
        <x:v>HU-A-B</x:v>
      </x:c>
      <x:c r="G2076" s="9" t="str">
        <x:v>B2</x:v>
      </x:c>
      <x:c r="H2076" s="9" t="str">
        <x:v>INT</x:v>
      </x:c>
      <x:c r="I2076" s="9" t="str">
        <x:v>PD06</x:v>
      </x:c>
      <x:c r="J2076" s="17" t="str">
        <x:v>Witness raw originals</x:v>
      </x:c>
      <x:c r="K2076" s="17" t="str">
        <x:v>Witness custody</x:v>
      </x:c>
      <x:c r="L2076" s="17" t="str">
        <x:v>COURT-SEALED UNTIL COHORT RELEASE</x:v>
      </x:c>
      <x:c r="M2076" s="9" t="n">
        <x:v>0</x:v>
      </x:c>
      <x:c r="N2076" s="9" t="n">
        <x:v>0</x:v>
      </x:c>
      <x:c r="O2076" s="9" t="n">
        <x:v>0</x:v>
      </x:c>
      <x:c r="P2076" s="9" t="str">
        <x:v>HELD / UNRELEASED</x:v>
      </x:c>
      <x:c r="Q2076" s="9" t="n">
        <x:f>COUNTIFS($A$7:$A$2310,A2076)</x:f>
        <x:v>1</x:v>
      </x:c>
    </x:row>
    <x:row r="2077">
      <x:c r="A2077" s="9" t="str">
        <x:v>PD-AR-HU-A-B-TECH-1-B2-INT-G0-PD07</x:v>
      </x:c>
      <x:c r="B2077" s="9" t="str">
        <x:v>PD-AR-HU-A-B-TECH-1-B2-INT-G0</x:v>
      </x:c>
      <x:c r="C2077" s="9" t="str">
        <x:v>EV-AR-HU-A-B-TECH-1-B2-INT-G0</x:v>
      </x:c>
      <x:c r="D2077" s="9" t="str">
        <x:v>AR-HU-A-B-TECH-1-B2-INT-G0</x:v>
      </x:c>
      <x:c r="E2077" s="9" t="str">
        <x:v>HU-A-B-TECH-1</x:v>
      </x:c>
      <x:c r="F2077" s="9" t="str">
        <x:v>HU-A-B</x:v>
      </x:c>
      <x:c r="G2077" s="9" t="str">
        <x:v>B2</x:v>
      </x:c>
      <x:c r="H2077" s="9" t="str">
        <x:v>INT</x:v>
      </x:c>
      <x:c r="I2077" s="9" t="str">
        <x:v>PD07</x:v>
      </x:c>
      <x:c r="J2077" s="17" t="str">
        <x:v>Clock and environmental records</x:v>
      </x:c>
      <x:c r="K2077" s="17" t="str">
        <x:v>Boundary archive</x:v>
      </x:c>
      <x:c r="L2077" s="17" t="str">
        <x:v>COURT-SEALED UNTIL COHORT RELEASE</x:v>
      </x:c>
      <x:c r="M2077" s="9" t="n">
        <x:v>0</x:v>
      </x:c>
      <x:c r="N2077" s="9" t="n">
        <x:v>0</x:v>
      </x:c>
      <x:c r="O2077" s="9" t="n">
        <x:v>0</x:v>
      </x:c>
      <x:c r="P2077" s="9" t="str">
        <x:v>HELD / UNRELEASED</x:v>
      </x:c>
      <x:c r="Q2077" s="9" t="n">
        <x:f>COUNTIFS($A$7:$A$2310,A2077)</x:f>
        <x:v>1</x:v>
      </x:c>
    </x:row>
    <x:row r="2078">
      <x:c r="A2078" s="9" t="str">
        <x:v>PD-AR-HU-A-B-TECH-1-B2-INT-G0-PD08</x:v>
      </x:c>
      <x:c r="B2078" s="9" t="str">
        <x:v>PD-AR-HU-A-B-TECH-1-B2-INT-G0</x:v>
      </x:c>
      <x:c r="C2078" s="9" t="str">
        <x:v>EV-AR-HU-A-B-TECH-1-B2-INT-G0</x:v>
      </x:c>
      <x:c r="D2078" s="9" t="str">
        <x:v>AR-HU-A-B-TECH-1-B2-INT-G0</x:v>
      </x:c>
      <x:c r="E2078" s="9" t="str">
        <x:v>HU-A-B-TECH-1</x:v>
      </x:c>
      <x:c r="F2078" s="9" t="str">
        <x:v>HU-A-B</x:v>
      </x:c>
      <x:c r="G2078" s="9" t="str">
        <x:v>B2</x:v>
      </x:c>
      <x:c r="H2078" s="9" t="str">
        <x:v>INT</x:v>
      </x:c>
      <x:c r="I2078" s="9" t="str">
        <x:v>PD08</x:v>
      </x:c>
      <x:c r="J2078" s="17" t="str">
        <x:v>Command and intervention log</x:v>
      </x:c>
      <x:c r="K2078" s="17" t="str">
        <x:v>Safety archive</x:v>
      </x:c>
      <x:c r="L2078" s="17" t="str">
        <x:v>COURT-SEALED UNTIL COHORT RELEASE</x:v>
      </x:c>
      <x:c r="M2078" s="9" t="n">
        <x:v>0</x:v>
      </x:c>
      <x:c r="N2078" s="9" t="n">
        <x:v>0</x:v>
      </x:c>
      <x:c r="O2078" s="9" t="n">
        <x:v>0</x:v>
      </x:c>
      <x:c r="P2078" s="9" t="str">
        <x:v>HELD / UNRELEASED</x:v>
      </x:c>
      <x:c r="Q2078" s="9" t="n">
        <x:f>COUNTIFS($A$7:$A$2310,A2078)</x:f>
        <x:v>1</x:v>
      </x:c>
    </x:row>
    <x:row r="2079">
      <x:c r="A2079" s="9" t="str">
        <x:v>PD-AR-HU-A-B-TECH-1-B2-INT-G0-PD09</x:v>
      </x:c>
      <x:c r="B2079" s="9" t="str">
        <x:v>PD-AR-HU-A-B-TECH-1-B2-INT-G0</x:v>
      </x:c>
      <x:c r="C2079" s="9" t="str">
        <x:v>EV-AR-HU-A-B-TECH-1-B2-INT-G0</x:v>
      </x:c>
      <x:c r="D2079" s="9" t="str">
        <x:v>AR-HU-A-B-TECH-1-B2-INT-G0</x:v>
      </x:c>
      <x:c r="E2079" s="9" t="str">
        <x:v>HU-A-B-TECH-1</x:v>
      </x:c>
      <x:c r="F2079" s="9" t="str">
        <x:v>HU-A-B</x:v>
      </x:c>
      <x:c r="G2079" s="9" t="str">
        <x:v>B2</x:v>
      </x:c>
      <x:c r="H2079" s="9" t="str">
        <x:v>INT</x:v>
      </x:c>
      <x:c r="I2079" s="9" t="str">
        <x:v>PD09</x:v>
      </x:c>
      <x:c r="J2079" s="17" t="str">
        <x:v>Receiver denominator and service ledger</x:v>
      </x:c>
      <x:c r="K2079" s="17" t="str">
        <x:v>Receiver archive</x:v>
      </x:c>
      <x:c r="L2079" s="17" t="str">
        <x:v>COURT-SEALED UNTIL COHORT RELEASE</x:v>
      </x:c>
      <x:c r="M2079" s="9" t="n">
        <x:v>0</x:v>
      </x:c>
      <x:c r="N2079" s="9" t="n">
        <x:v>0</x:v>
      </x:c>
      <x:c r="O2079" s="9" t="n">
        <x:v>0</x:v>
      </x:c>
      <x:c r="P2079" s="9" t="str">
        <x:v>HELD / UNRELEASED</x:v>
      </x:c>
      <x:c r="Q2079" s="9" t="n">
        <x:f>COUNTIFS($A$7:$A$2310,A2079)</x:f>
        <x:v>1</x:v>
      </x:c>
    </x:row>
    <x:row r="2080">
      <x:c r="A2080" s="9" t="str">
        <x:v>PD-AR-HU-A-B-TECH-1-B2-INT-G0-PD10</x:v>
      </x:c>
      <x:c r="B2080" s="9" t="str">
        <x:v>PD-AR-HU-A-B-TECH-1-B2-INT-G0</x:v>
      </x:c>
      <x:c r="C2080" s="9" t="str">
        <x:v>EV-AR-HU-A-B-TECH-1-B2-INT-G0</x:v>
      </x:c>
      <x:c r="D2080" s="9" t="str">
        <x:v>AR-HU-A-B-TECH-1-B2-INT-G0</x:v>
      </x:c>
      <x:c r="E2080" s="9" t="str">
        <x:v>HU-A-B-TECH-1</x:v>
      </x:c>
      <x:c r="F2080" s="9" t="str">
        <x:v>HU-A-B</x:v>
      </x:c>
      <x:c r="G2080" s="9" t="str">
        <x:v>B2</x:v>
      </x:c>
      <x:c r="H2080" s="9" t="str">
        <x:v>INT</x:v>
      </x:c>
      <x:c r="I2080" s="9" t="str">
        <x:v>PD10</x:v>
      </x:c>
      <x:c r="J2080" s="17" t="str">
        <x:v>Calibration and uncertainty record</x:v>
      </x:c>
      <x:c r="K2080" s="17" t="str">
        <x:v>Metrology archive</x:v>
      </x:c>
      <x:c r="L2080" s="17" t="str">
        <x:v>COURT-SEALED UNTIL COHORT RELEASE</x:v>
      </x:c>
      <x:c r="M2080" s="9" t="n">
        <x:v>0</x:v>
      </x:c>
      <x:c r="N2080" s="9" t="n">
        <x:v>0</x:v>
      </x:c>
      <x:c r="O2080" s="9" t="n">
        <x:v>0</x:v>
      </x:c>
      <x:c r="P2080" s="9" t="str">
        <x:v>HELD / UNRELEASED</x:v>
      </x:c>
      <x:c r="Q2080" s="9" t="n">
        <x:f>COUNTIFS($A$7:$A$2310,A2080)</x:f>
        <x:v>1</x:v>
      </x:c>
    </x:row>
    <x:row r="2081">
      <x:c r="A2081" s="9" t="str">
        <x:v>PD-AR-HU-A-B-TECH-1-B2-INT-G0-PD11</x:v>
      </x:c>
      <x:c r="B2081" s="9" t="str">
        <x:v>PD-AR-HU-A-B-TECH-1-B2-INT-G0</x:v>
      </x:c>
      <x:c r="C2081" s="9" t="str">
        <x:v>EV-AR-HU-A-B-TECH-1-B2-INT-G0</x:v>
      </x:c>
      <x:c r="D2081" s="9" t="str">
        <x:v>AR-HU-A-B-TECH-1-B2-INT-G0</x:v>
      </x:c>
      <x:c r="E2081" s="9" t="str">
        <x:v>HU-A-B-TECH-1</x:v>
      </x:c>
      <x:c r="F2081" s="9" t="str">
        <x:v>HU-A-B</x:v>
      </x:c>
      <x:c r="G2081" s="9" t="str">
        <x:v>B2</x:v>
      </x:c>
      <x:c r="H2081" s="9" t="str">
        <x:v>INT</x:v>
      </x:c>
      <x:c r="I2081" s="9" t="str">
        <x:v>PD11</x:v>
      </x:c>
      <x:c r="J2081" s="17" t="str">
        <x:v>Invalidity petition and opinion</x:v>
      </x:c>
      <x:c r="K2081" s="17" t="str">
        <x:v>Invalidity court</x:v>
      </x:c>
      <x:c r="L2081" s="17" t="str">
        <x:v>COURT-SEALED UNTIL COHORT RELEASE</x:v>
      </x:c>
      <x:c r="M2081" s="9" t="n">
        <x:v>0</x:v>
      </x:c>
      <x:c r="N2081" s="9" t="n">
        <x:v>0</x:v>
      </x:c>
      <x:c r="O2081" s="9" t="n">
        <x:v>0</x:v>
      </x:c>
      <x:c r="P2081" s="9" t="str">
        <x:v>HELD / UNRELEASED</x:v>
      </x:c>
      <x:c r="Q2081" s="9" t="n">
        <x:f>COUNTIFS($A$7:$A$2310,A2081)</x:f>
        <x:v>1</x:v>
      </x:c>
    </x:row>
    <x:row r="2082">
      <x:c r="A2082" s="9" t="str">
        <x:v>PD-AR-HU-A-B-TECH-1-B2-INT-G0-PD12</x:v>
      </x:c>
      <x:c r="B2082" s="9" t="str">
        <x:v>PD-AR-HU-A-B-TECH-1-B2-INT-G0</x:v>
      </x:c>
      <x:c r="C2082" s="9" t="str">
        <x:v>EV-AR-HU-A-B-TECH-1-B2-INT-G0</x:v>
      </x:c>
      <x:c r="D2082" s="9" t="str">
        <x:v>AR-HU-A-B-TECH-1-B2-INT-G0</x:v>
      </x:c>
      <x:c r="E2082" s="9" t="str">
        <x:v>HU-A-B-TECH-1</x:v>
      </x:c>
      <x:c r="F2082" s="9" t="str">
        <x:v>HU-A-B</x:v>
      </x:c>
      <x:c r="G2082" s="9" t="str">
        <x:v>B2</x:v>
      </x:c>
      <x:c r="H2082" s="9" t="str">
        <x:v>INT</x:v>
      </x:c>
      <x:c r="I2082" s="9" t="str">
        <x:v>PD12</x:v>
      </x:c>
      <x:c r="J2082" s="17" t="str">
        <x:v>Observation acceptance and replay</x:v>
      </x:c>
      <x:c r="K2082" s="17" t="str">
        <x:v>Observation court</x:v>
      </x:c>
      <x:c r="L2082" s="17" t="str">
        <x:v>COURT-SEALED UNTIL COHORT RELEASE</x:v>
      </x:c>
      <x:c r="M2082" s="9" t="n">
        <x:v>0</x:v>
      </x:c>
      <x:c r="N2082" s="9" t="n">
        <x:v>0</x:v>
      </x:c>
      <x:c r="O2082" s="9" t="n">
        <x:v>0</x:v>
      </x:c>
      <x:c r="P2082" s="9" t="str">
        <x:v>HELD / UNRELEASED</x:v>
      </x:c>
      <x:c r="Q2082" s="9" t="n">
        <x:f>COUNTIFS($A$7:$A$2310,A2082)</x:f>
        <x:v>1</x:v>
      </x:c>
    </x:row>
    <x:row r="2083">
      <x:c r="A2083" s="9" t="str">
        <x:v>PD-AR-HU-A-B-TECH-1-B2-INT-G0-PD13</x:v>
      </x:c>
      <x:c r="B2083" s="9" t="str">
        <x:v>PD-AR-HU-A-B-TECH-1-B2-INT-G0</x:v>
      </x:c>
      <x:c r="C2083" s="9" t="str">
        <x:v>EV-AR-HU-A-B-TECH-1-B2-INT-G0</x:v>
      </x:c>
      <x:c r="D2083" s="9" t="str">
        <x:v>AR-HU-A-B-TECH-1-B2-INT-G0</x:v>
      </x:c>
      <x:c r="E2083" s="9" t="str">
        <x:v>HU-A-B-TECH-1</x:v>
      </x:c>
      <x:c r="F2083" s="9" t="str">
        <x:v>HU-A-B</x:v>
      </x:c>
      <x:c r="G2083" s="9" t="str">
        <x:v>B2</x:v>
      </x:c>
      <x:c r="H2083" s="9" t="str">
        <x:v>INT</x:v>
      </x:c>
      <x:c r="I2083" s="9" t="str">
        <x:v>PD13</x:v>
      </x:c>
      <x:c r="J2083" s="17" t="str">
        <x:v>Role judgment</x:v>
      </x:c>
      <x:c r="K2083" s="17" t="str">
        <x:v>Role court</x:v>
      </x:c>
      <x:c r="L2083" s="17" t="str">
        <x:v>COURT-SEALED UNTIL COHORT RELEASE</x:v>
      </x:c>
      <x:c r="M2083" s="9" t="n">
        <x:v>0</x:v>
      </x:c>
      <x:c r="N2083" s="9" t="n">
        <x:v>0</x:v>
      </x:c>
      <x:c r="O2083" s="9" t="n">
        <x:v>0</x:v>
      </x:c>
      <x:c r="P2083" s="9" t="str">
        <x:v>HELD / UNRELEASED</x:v>
      </x:c>
      <x:c r="Q2083" s="9" t="n">
        <x:f>COUNTIFS($A$7:$A$2310,A2083)</x:f>
        <x:v>1</x:v>
      </x:c>
    </x:row>
    <x:row r="2084">
      <x:c r="A2084" s="9" t="str">
        <x:v>PD-AR-HU-A-B-TECH-1-B2-INT-G0-PD14</x:v>
      </x:c>
      <x:c r="B2084" s="9" t="str">
        <x:v>PD-AR-HU-A-B-TECH-1-B2-INT-G0</x:v>
      </x:c>
      <x:c r="C2084" s="9" t="str">
        <x:v>EV-AR-HU-A-B-TECH-1-B2-INT-G0</x:v>
      </x:c>
      <x:c r="D2084" s="9" t="str">
        <x:v>AR-HU-A-B-TECH-1-B2-INT-G0</x:v>
      </x:c>
      <x:c r="E2084" s="9" t="str">
        <x:v>HU-A-B-TECH-1</x:v>
      </x:c>
      <x:c r="F2084" s="9" t="str">
        <x:v>HU-A-B</x:v>
      </x:c>
      <x:c r="G2084" s="9" t="str">
        <x:v>B2</x:v>
      </x:c>
      <x:c r="H2084" s="9" t="str">
        <x:v>INT</x:v>
      </x:c>
      <x:c r="I2084" s="9" t="str">
        <x:v>PD14</x:v>
      </x:c>
      <x:c r="J2084" s="17" t="str">
        <x:v>Break and residual account</x:v>
      </x:c>
      <x:c r="K2084" s="17" t="str">
        <x:v>Residual authority</x:v>
      </x:c>
      <x:c r="L2084" s="17" t="str">
        <x:v>COURT-SEALED UNTIL COHORT RELEASE</x:v>
      </x:c>
      <x:c r="M2084" s="9" t="n">
        <x:v>0</x:v>
      </x:c>
      <x:c r="N2084" s="9" t="n">
        <x:v>0</x:v>
      </x:c>
      <x:c r="O2084" s="9" t="n">
        <x:v>0</x:v>
      </x:c>
      <x:c r="P2084" s="9" t="str">
        <x:v>HELD / UNRELEASED</x:v>
      </x:c>
      <x:c r="Q2084" s="9" t="n">
        <x:f>COUNTIFS($A$7:$A$2310,A2084)</x:f>
        <x:v>1</x:v>
      </x:c>
    </x:row>
    <x:row r="2085">
      <x:c r="A2085" s="9" t="str">
        <x:v>PD-AR-HU-A-B-TECH-1-B2-INT-G0-PD15</x:v>
      </x:c>
      <x:c r="B2085" s="9" t="str">
        <x:v>PD-AR-HU-A-B-TECH-1-B2-INT-G0</x:v>
      </x:c>
      <x:c r="C2085" s="9" t="str">
        <x:v>EV-AR-HU-A-B-TECH-1-B2-INT-G0</x:v>
      </x:c>
      <x:c r="D2085" s="9" t="str">
        <x:v>AR-HU-A-B-TECH-1-B2-INT-G0</x:v>
      </x:c>
      <x:c r="E2085" s="9" t="str">
        <x:v>HU-A-B-TECH-1</x:v>
      </x:c>
      <x:c r="F2085" s="9" t="str">
        <x:v>HU-A-B</x:v>
      </x:c>
      <x:c r="G2085" s="9" t="str">
        <x:v>B2</x:v>
      </x:c>
      <x:c r="H2085" s="9" t="str">
        <x:v>INT</x:v>
      </x:c>
      <x:c r="I2085" s="9" t="str">
        <x:v>PD15</x:v>
      </x:c>
      <x:c r="J2085" s="17" t="str">
        <x:v>Reconstruction ancestry and replay</x:v>
      </x:c>
      <x:c r="K2085" s="17" t="str">
        <x:v>Reconstruction court</x:v>
      </x:c>
      <x:c r="L2085" s="17" t="str">
        <x:v>COURT-SEALED UNTIL COHORT RELEASE</x:v>
      </x:c>
      <x:c r="M2085" s="9" t="n">
        <x:v>0</x:v>
      </x:c>
      <x:c r="N2085" s="9" t="n">
        <x:v>0</x:v>
      </x:c>
      <x:c r="O2085" s="9" t="n">
        <x:v>0</x:v>
      </x:c>
      <x:c r="P2085" s="9" t="str">
        <x:v>HELD / UNRELEASED</x:v>
      </x:c>
      <x:c r="Q2085" s="9" t="n">
        <x:f>COUNTIFS($A$7:$A$2310,A2085)</x:f>
        <x:v>1</x:v>
      </x:c>
    </x:row>
    <x:row r="2086">
      <x:c r="A2086" s="9" t="str">
        <x:v>PD-AR-HU-A-B-TECH-1-B2-INT-G0-PD16</x:v>
      </x:c>
      <x:c r="B2086" s="9" t="str">
        <x:v>PD-AR-HU-A-B-TECH-1-B2-INT-G0</x:v>
      </x:c>
      <x:c r="C2086" s="9" t="str">
        <x:v>EV-AR-HU-A-B-TECH-1-B2-INT-G0</x:v>
      </x:c>
      <x:c r="D2086" s="9" t="str">
        <x:v>AR-HU-A-B-TECH-1-B2-INT-G0</x:v>
      </x:c>
      <x:c r="E2086" s="9" t="str">
        <x:v>HU-A-B-TECH-1</x:v>
      </x:c>
      <x:c r="F2086" s="9" t="str">
        <x:v>HU-A-B</x:v>
      </x:c>
      <x:c r="G2086" s="9" t="str">
        <x:v>B2</x:v>
      </x:c>
      <x:c r="H2086" s="9" t="str">
        <x:v>INT</x:v>
      </x:c>
      <x:c r="I2086" s="9" t="str">
        <x:v>PD16</x:v>
      </x:c>
      <x:c r="J2086" s="17" t="str">
        <x:v>Dissent, amendments and access log</x:v>
      </x:c>
      <x:c r="K2086" s="17" t="str">
        <x:v>Public archive</x:v>
      </x:c>
      <x:c r="L2086" s="17" t="str">
        <x:v>COURT-SEALED UNTIL COHORT RELEASE</x:v>
      </x:c>
      <x:c r="M2086" s="9" t="n">
        <x:v>0</x:v>
      </x:c>
      <x:c r="N2086" s="9" t="n">
        <x:v>0</x:v>
      </x:c>
      <x:c r="O2086" s="9" t="n">
        <x:v>0</x:v>
      </x:c>
      <x:c r="P2086" s="9" t="str">
        <x:v>HELD / UNRELEASED</x:v>
      </x:c>
      <x:c r="Q2086" s="9" t="n">
        <x:f>COUNTIFS($A$7:$A$2310,A2086)</x:f>
        <x:v>1</x:v>
      </x:c>
    </x:row>
    <x:row r="2087">
      <x:c r="A2087" s="9" t="str">
        <x:v>PD-AR-LF-B-A-TECH-3-B1-INT-G0-PD01</x:v>
      </x:c>
      <x:c r="B2087" s="9" t="str">
        <x:v>PD-AR-LF-B-A-TECH-3-B1-INT-G0</x:v>
      </x:c>
      <x:c r="C2087" s="9" t="str">
        <x:v>EV-AR-LF-B-A-TECH-3-B1-INT-G0</x:v>
      </x:c>
      <x:c r="D2087" s="9" t="str">
        <x:v>AR-LF-B-A-TECH-3-B1-INT-G0</x:v>
      </x:c>
      <x:c r="E2087" s="9" t="str">
        <x:v>LF-B-A-TECH-3</x:v>
      </x:c>
      <x:c r="F2087" s="9" t="str">
        <x:v>LF-B-A</x:v>
      </x:c>
      <x:c r="G2087" s="9" t="str">
        <x:v>B1</x:v>
      </x:c>
      <x:c r="H2087" s="9" t="str">
        <x:v>INT</x:v>
      </x:c>
      <x:c r="I2087" s="9" t="str">
        <x:v>PD01</x:v>
      </x:c>
      <x:c r="J2087" s="17" t="str">
        <x:v>Experiment kernel</x:v>
      </x:c>
      <x:c r="K2087" s="17" t="str">
        <x:v>Public archive</x:v>
      </x:c>
      <x:c r="L2087" s="17" t="str">
        <x:v>COURT-SEALED UNTIL COHORT RELEASE</x:v>
      </x:c>
      <x:c r="M2087" s="9" t="n">
        <x:v>0</x:v>
      </x:c>
      <x:c r="N2087" s="9" t="n">
        <x:v>0</x:v>
      </x:c>
      <x:c r="O2087" s="9" t="n">
        <x:v>0</x:v>
      </x:c>
      <x:c r="P2087" s="9" t="str">
        <x:v>HELD / UNRELEASED</x:v>
      </x:c>
      <x:c r="Q2087" s="9" t="n">
        <x:f>COUNTIFS($A$7:$A$2310,A2087)</x:f>
        <x:v>1</x:v>
      </x:c>
    </x:row>
    <x:row r="2088">
      <x:c r="A2088" s="9" t="str">
        <x:v>PD-AR-LF-B-A-TECH-3-B1-INT-G0-PD02</x:v>
      </x:c>
      <x:c r="B2088" s="9" t="str">
        <x:v>PD-AR-LF-B-A-TECH-3-B1-INT-G0</x:v>
      </x:c>
      <x:c r="C2088" s="9" t="str">
        <x:v>EV-AR-LF-B-A-TECH-3-B1-INT-G0</x:v>
      </x:c>
      <x:c r="D2088" s="9" t="str">
        <x:v>AR-LF-B-A-TECH-3-B1-INT-G0</x:v>
      </x:c>
      <x:c r="E2088" s="9" t="str">
        <x:v>LF-B-A-TECH-3</x:v>
      </x:c>
      <x:c r="F2088" s="9" t="str">
        <x:v>LF-B-A</x:v>
      </x:c>
      <x:c r="G2088" s="9" t="str">
        <x:v>B1</x:v>
      </x:c>
      <x:c r="H2088" s="9" t="str">
        <x:v>INT</x:v>
      </x:c>
      <x:c r="I2088" s="9" t="str">
        <x:v>PD02</x:v>
      </x:c>
      <x:c r="J2088" s="17" t="str">
        <x:v>Serial annex and title chain</x:v>
      </x:c>
      <x:c r="K2088" s="17" t="str">
        <x:v>Public archive</x:v>
      </x:c>
      <x:c r="L2088" s="17" t="str">
        <x:v>COURT-SEALED UNTIL COHORT RELEASE</x:v>
      </x:c>
      <x:c r="M2088" s="9" t="n">
        <x:v>0</x:v>
      </x:c>
      <x:c r="N2088" s="9" t="n">
        <x:v>0</x:v>
      </x:c>
      <x:c r="O2088" s="9" t="n">
        <x:v>0</x:v>
      </x:c>
      <x:c r="P2088" s="9" t="str">
        <x:v>HELD / UNRELEASED</x:v>
      </x:c>
      <x:c r="Q2088" s="9" t="n">
        <x:f>COUNTIFS($A$7:$A$2310,A2088)</x:f>
        <x:v>1</x:v>
      </x:c>
    </x:row>
    <x:row r="2089">
      <x:c r="A2089" s="9" t="str">
        <x:v>PD-AR-LF-B-A-TECH-3-B1-INT-G0-PD03</x:v>
      </x:c>
      <x:c r="B2089" s="9" t="str">
        <x:v>PD-AR-LF-B-A-TECH-3-B1-INT-G0</x:v>
      </x:c>
      <x:c r="C2089" s="9" t="str">
        <x:v>EV-AR-LF-B-A-TECH-3-B1-INT-G0</x:v>
      </x:c>
      <x:c r="D2089" s="9" t="str">
        <x:v>AR-LF-B-A-TECH-3-B1-INT-G0</x:v>
      </x:c>
      <x:c r="E2089" s="9" t="str">
        <x:v>LF-B-A-TECH-3</x:v>
      </x:c>
      <x:c r="F2089" s="9" t="str">
        <x:v>LF-B-A</x:v>
      </x:c>
      <x:c r="G2089" s="9" t="str">
        <x:v>B1</x:v>
      </x:c>
      <x:c r="H2089" s="9" t="str">
        <x:v>INT</x:v>
      </x:c>
      <x:c r="I2089" s="9" t="str">
        <x:v>PD03</x:v>
      </x:c>
      <x:c r="J2089" s="17" t="str">
        <x:v>Configuration and as-built manifest</x:v>
      </x:c>
      <x:c r="K2089" s="17" t="str">
        <x:v>Artifact exchange</x:v>
      </x:c>
      <x:c r="L2089" s="17" t="str">
        <x:v>COURT-SEALED UNTIL COHORT RELEASE</x:v>
      </x:c>
      <x:c r="M2089" s="9" t="n">
        <x:v>0</x:v>
      </x:c>
      <x:c r="N2089" s="9" t="n">
        <x:v>0</x:v>
      </x:c>
      <x:c r="O2089" s="9" t="n">
        <x:v>0</x:v>
      </x:c>
      <x:c r="P2089" s="9" t="str">
        <x:v>HELD / UNRELEASED</x:v>
      </x:c>
      <x:c r="Q2089" s="9" t="n">
        <x:f>COUNTIFS($A$7:$A$2310,A2089)</x:f>
        <x:v>1</x:v>
      </x:c>
    </x:row>
    <x:row r="2090">
      <x:c r="A2090" s="9" t="str">
        <x:v>PD-AR-LF-B-A-TECH-3-B1-INT-G0-PD04</x:v>
      </x:c>
      <x:c r="B2090" s="9" t="str">
        <x:v>PD-AR-LF-B-A-TECH-3-B1-INT-G0</x:v>
      </x:c>
      <x:c r="C2090" s="9" t="str">
        <x:v>EV-AR-LF-B-A-TECH-3-B1-INT-G0</x:v>
      </x:c>
      <x:c r="D2090" s="9" t="str">
        <x:v>AR-LF-B-A-TECH-3-B1-INT-G0</x:v>
      </x:c>
      <x:c r="E2090" s="9" t="str">
        <x:v>LF-B-A-TECH-3</x:v>
      </x:c>
      <x:c r="F2090" s="9" t="str">
        <x:v>LF-B-A</x:v>
      </x:c>
      <x:c r="G2090" s="9" t="str">
        <x:v>B1</x:v>
      </x:c>
      <x:c r="H2090" s="9" t="str">
        <x:v>INT</x:v>
      </x:c>
      <x:c r="I2090" s="9" t="str">
        <x:v>PD04</x:v>
      </x:c>
      <x:c r="J2090" s="17" t="str">
        <x:v>EOW and start certificate</x:v>
      </x:c>
      <x:c r="K2090" s="17" t="str">
        <x:v>Start registrar</x:v>
      </x:c>
      <x:c r="L2090" s="17" t="str">
        <x:v>COURT-SEALED UNTIL COHORT RELEASE</x:v>
      </x:c>
      <x:c r="M2090" s="9" t="n">
        <x:v>0</x:v>
      </x:c>
      <x:c r="N2090" s="9" t="n">
        <x:v>0</x:v>
      </x:c>
      <x:c r="O2090" s="9" t="n">
        <x:v>0</x:v>
      </x:c>
      <x:c r="P2090" s="9" t="str">
        <x:v>HELD / UNRELEASED</x:v>
      </x:c>
      <x:c r="Q2090" s="9" t="n">
        <x:f>COUNTIFS($A$7:$A$2310,A2090)</x:f>
        <x:v>1</x:v>
      </x:c>
    </x:row>
    <x:row r="2091">
      <x:c r="A2091" s="9" t="str">
        <x:v>PD-AR-LF-B-A-TECH-3-B1-INT-G0-PD05</x:v>
      </x:c>
      <x:c r="B2091" s="9" t="str">
        <x:v>PD-AR-LF-B-A-TECH-3-B1-INT-G0</x:v>
      </x:c>
      <x:c r="C2091" s="9" t="str">
        <x:v>EV-AR-LF-B-A-TECH-3-B1-INT-G0</x:v>
      </x:c>
      <x:c r="D2091" s="9" t="str">
        <x:v>AR-LF-B-A-TECH-3-B1-INT-G0</x:v>
      </x:c>
      <x:c r="E2091" s="9" t="str">
        <x:v>LF-B-A-TECH-3</x:v>
      </x:c>
      <x:c r="F2091" s="9" t="str">
        <x:v>LF-B-A</x:v>
      </x:c>
      <x:c r="G2091" s="9" t="str">
        <x:v>B1</x:v>
      </x:c>
      <x:c r="H2091" s="9" t="str">
        <x:v>INT</x:v>
      </x:c>
      <x:c r="I2091" s="9" t="str">
        <x:v>PD05</x:v>
      </x:c>
      <x:c r="J2091" s="17" t="str">
        <x:v>Primary raw originals</x:v>
      </x:c>
      <x:c r="K2091" s="17" t="str">
        <x:v>Primary custody</x:v>
      </x:c>
      <x:c r="L2091" s="17" t="str">
        <x:v>COURT-SEALED UNTIL COHORT RELEASE</x:v>
      </x:c>
      <x:c r="M2091" s="9" t="n">
        <x:v>0</x:v>
      </x:c>
      <x:c r="N2091" s="9" t="n">
        <x:v>0</x:v>
      </x:c>
      <x:c r="O2091" s="9" t="n">
        <x:v>0</x:v>
      </x:c>
      <x:c r="P2091" s="9" t="str">
        <x:v>HELD / UNRELEASED</x:v>
      </x:c>
      <x:c r="Q2091" s="9" t="n">
        <x:f>COUNTIFS($A$7:$A$2310,A2091)</x:f>
        <x:v>1</x:v>
      </x:c>
    </x:row>
    <x:row r="2092">
      <x:c r="A2092" s="9" t="str">
        <x:v>PD-AR-LF-B-A-TECH-3-B1-INT-G0-PD06</x:v>
      </x:c>
      <x:c r="B2092" s="9" t="str">
        <x:v>PD-AR-LF-B-A-TECH-3-B1-INT-G0</x:v>
      </x:c>
      <x:c r="C2092" s="9" t="str">
        <x:v>EV-AR-LF-B-A-TECH-3-B1-INT-G0</x:v>
      </x:c>
      <x:c r="D2092" s="9" t="str">
        <x:v>AR-LF-B-A-TECH-3-B1-INT-G0</x:v>
      </x:c>
      <x:c r="E2092" s="9" t="str">
        <x:v>LF-B-A-TECH-3</x:v>
      </x:c>
      <x:c r="F2092" s="9" t="str">
        <x:v>LF-B-A</x:v>
      </x:c>
      <x:c r="G2092" s="9" t="str">
        <x:v>B1</x:v>
      </x:c>
      <x:c r="H2092" s="9" t="str">
        <x:v>INT</x:v>
      </x:c>
      <x:c r="I2092" s="9" t="str">
        <x:v>PD06</x:v>
      </x:c>
      <x:c r="J2092" s="17" t="str">
        <x:v>Witness raw originals</x:v>
      </x:c>
      <x:c r="K2092" s="17" t="str">
        <x:v>Witness custody</x:v>
      </x:c>
      <x:c r="L2092" s="17" t="str">
        <x:v>COURT-SEALED UNTIL COHORT RELEASE</x:v>
      </x:c>
      <x:c r="M2092" s="9" t="n">
        <x:v>0</x:v>
      </x:c>
      <x:c r="N2092" s="9" t="n">
        <x:v>0</x:v>
      </x:c>
      <x:c r="O2092" s="9" t="n">
        <x:v>0</x:v>
      </x:c>
      <x:c r="P2092" s="9" t="str">
        <x:v>HELD / UNRELEASED</x:v>
      </x:c>
      <x:c r="Q2092" s="9" t="n">
        <x:f>COUNTIFS($A$7:$A$2310,A2092)</x:f>
        <x:v>1</x:v>
      </x:c>
    </x:row>
    <x:row r="2093">
      <x:c r="A2093" s="9" t="str">
        <x:v>PD-AR-LF-B-A-TECH-3-B1-INT-G0-PD07</x:v>
      </x:c>
      <x:c r="B2093" s="9" t="str">
        <x:v>PD-AR-LF-B-A-TECH-3-B1-INT-G0</x:v>
      </x:c>
      <x:c r="C2093" s="9" t="str">
        <x:v>EV-AR-LF-B-A-TECH-3-B1-INT-G0</x:v>
      </x:c>
      <x:c r="D2093" s="9" t="str">
        <x:v>AR-LF-B-A-TECH-3-B1-INT-G0</x:v>
      </x:c>
      <x:c r="E2093" s="9" t="str">
        <x:v>LF-B-A-TECH-3</x:v>
      </x:c>
      <x:c r="F2093" s="9" t="str">
        <x:v>LF-B-A</x:v>
      </x:c>
      <x:c r="G2093" s="9" t="str">
        <x:v>B1</x:v>
      </x:c>
      <x:c r="H2093" s="9" t="str">
        <x:v>INT</x:v>
      </x:c>
      <x:c r="I2093" s="9" t="str">
        <x:v>PD07</x:v>
      </x:c>
      <x:c r="J2093" s="17" t="str">
        <x:v>Clock and environmental records</x:v>
      </x:c>
      <x:c r="K2093" s="17" t="str">
        <x:v>Boundary archive</x:v>
      </x:c>
      <x:c r="L2093" s="17" t="str">
        <x:v>COURT-SEALED UNTIL COHORT RELEASE</x:v>
      </x:c>
      <x:c r="M2093" s="9" t="n">
        <x:v>0</x:v>
      </x:c>
      <x:c r="N2093" s="9" t="n">
        <x:v>0</x:v>
      </x:c>
      <x:c r="O2093" s="9" t="n">
        <x:v>0</x:v>
      </x:c>
      <x:c r="P2093" s="9" t="str">
        <x:v>HELD / UNRELEASED</x:v>
      </x:c>
      <x:c r="Q2093" s="9" t="n">
        <x:f>COUNTIFS($A$7:$A$2310,A2093)</x:f>
        <x:v>1</x:v>
      </x:c>
    </x:row>
    <x:row r="2094">
      <x:c r="A2094" s="9" t="str">
        <x:v>PD-AR-LF-B-A-TECH-3-B1-INT-G0-PD08</x:v>
      </x:c>
      <x:c r="B2094" s="9" t="str">
        <x:v>PD-AR-LF-B-A-TECH-3-B1-INT-G0</x:v>
      </x:c>
      <x:c r="C2094" s="9" t="str">
        <x:v>EV-AR-LF-B-A-TECH-3-B1-INT-G0</x:v>
      </x:c>
      <x:c r="D2094" s="9" t="str">
        <x:v>AR-LF-B-A-TECH-3-B1-INT-G0</x:v>
      </x:c>
      <x:c r="E2094" s="9" t="str">
        <x:v>LF-B-A-TECH-3</x:v>
      </x:c>
      <x:c r="F2094" s="9" t="str">
        <x:v>LF-B-A</x:v>
      </x:c>
      <x:c r="G2094" s="9" t="str">
        <x:v>B1</x:v>
      </x:c>
      <x:c r="H2094" s="9" t="str">
        <x:v>INT</x:v>
      </x:c>
      <x:c r="I2094" s="9" t="str">
        <x:v>PD08</x:v>
      </x:c>
      <x:c r="J2094" s="17" t="str">
        <x:v>Command and intervention log</x:v>
      </x:c>
      <x:c r="K2094" s="17" t="str">
        <x:v>Safety archive</x:v>
      </x:c>
      <x:c r="L2094" s="17" t="str">
        <x:v>COURT-SEALED UNTIL COHORT RELEASE</x:v>
      </x:c>
      <x:c r="M2094" s="9" t="n">
        <x:v>0</x:v>
      </x:c>
      <x:c r="N2094" s="9" t="n">
        <x:v>0</x:v>
      </x:c>
      <x:c r="O2094" s="9" t="n">
        <x:v>0</x:v>
      </x:c>
      <x:c r="P2094" s="9" t="str">
        <x:v>HELD / UNRELEASED</x:v>
      </x:c>
      <x:c r="Q2094" s="9" t="n">
        <x:f>COUNTIFS($A$7:$A$2310,A2094)</x:f>
        <x:v>1</x:v>
      </x:c>
    </x:row>
    <x:row r="2095">
      <x:c r="A2095" s="9" t="str">
        <x:v>PD-AR-LF-B-A-TECH-3-B1-INT-G0-PD09</x:v>
      </x:c>
      <x:c r="B2095" s="9" t="str">
        <x:v>PD-AR-LF-B-A-TECH-3-B1-INT-G0</x:v>
      </x:c>
      <x:c r="C2095" s="9" t="str">
        <x:v>EV-AR-LF-B-A-TECH-3-B1-INT-G0</x:v>
      </x:c>
      <x:c r="D2095" s="9" t="str">
        <x:v>AR-LF-B-A-TECH-3-B1-INT-G0</x:v>
      </x:c>
      <x:c r="E2095" s="9" t="str">
        <x:v>LF-B-A-TECH-3</x:v>
      </x:c>
      <x:c r="F2095" s="9" t="str">
        <x:v>LF-B-A</x:v>
      </x:c>
      <x:c r="G2095" s="9" t="str">
        <x:v>B1</x:v>
      </x:c>
      <x:c r="H2095" s="9" t="str">
        <x:v>INT</x:v>
      </x:c>
      <x:c r="I2095" s="9" t="str">
        <x:v>PD09</x:v>
      </x:c>
      <x:c r="J2095" s="17" t="str">
        <x:v>Receiver denominator and service ledger</x:v>
      </x:c>
      <x:c r="K2095" s="17" t="str">
        <x:v>Receiver archive</x:v>
      </x:c>
      <x:c r="L2095" s="17" t="str">
        <x:v>COURT-SEALED UNTIL COHORT RELEASE</x:v>
      </x:c>
      <x:c r="M2095" s="9" t="n">
        <x:v>0</x:v>
      </x:c>
      <x:c r="N2095" s="9" t="n">
        <x:v>0</x:v>
      </x:c>
      <x:c r="O2095" s="9" t="n">
        <x:v>0</x:v>
      </x:c>
      <x:c r="P2095" s="9" t="str">
        <x:v>HELD / UNRELEASED</x:v>
      </x:c>
      <x:c r="Q2095" s="9" t="n">
        <x:f>COUNTIFS($A$7:$A$2310,A2095)</x:f>
        <x:v>1</x:v>
      </x:c>
    </x:row>
    <x:row r="2096">
      <x:c r="A2096" s="9" t="str">
        <x:v>PD-AR-LF-B-A-TECH-3-B1-INT-G0-PD10</x:v>
      </x:c>
      <x:c r="B2096" s="9" t="str">
        <x:v>PD-AR-LF-B-A-TECH-3-B1-INT-G0</x:v>
      </x:c>
      <x:c r="C2096" s="9" t="str">
        <x:v>EV-AR-LF-B-A-TECH-3-B1-INT-G0</x:v>
      </x:c>
      <x:c r="D2096" s="9" t="str">
        <x:v>AR-LF-B-A-TECH-3-B1-INT-G0</x:v>
      </x:c>
      <x:c r="E2096" s="9" t="str">
        <x:v>LF-B-A-TECH-3</x:v>
      </x:c>
      <x:c r="F2096" s="9" t="str">
        <x:v>LF-B-A</x:v>
      </x:c>
      <x:c r="G2096" s="9" t="str">
        <x:v>B1</x:v>
      </x:c>
      <x:c r="H2096" s="9" t="str">
        <x:v>INT</x:v>
      </x:c>
      <x:c r="I2096" s="9" t="str">
        <x:v>PD10</x:v>
      </x:c>
      <x:c r="J2096" s="17" t="str">
        <x:v>Calibration and uncertainty record</x:v>
      </x:c>
      <x:c r="K2096" s="17" t="str">
        <x:v>Metrology archive</x:v>
      </x:c>
      <x:c r="L2096" s="17" t="str">
        <x:v>COURT-SEALED UNTIL COHORT RELEASE</x:v>
      </x:c>
      <x:c r="M2096" s="9" t="n">
        <x:v>0</x:v>
      </x:c>
      <x:c r="N2096" s="9" t="n">
        <x:v>0</x:v>
      </x:c>
      <x:c r="O2096" s="9" t="n">
        <x:v>0</x:v>
      </x:c>
      <x:c r="P2096" s="9" t="str">
        <x:v>HELD / UNRELEASED</x:v>
      </x:c>
      <x:c r="Q2096" s="9" t="n">
        <x:f>COUNTIFS($A$7:$A$2310,A2096)</x:f>
        <x:v>1</x:v>
      </x:c>
    </x:row>
    <x:row r="2097">
      <x:c r="A2097" s="9" t="str">
        <x:v>PD-AR-LF-B-A-TECH-3-B1-INT-G0-PD11</x:v>
      </x:c>
      <x:c r="B2097" s="9" t="str">
        <x:v>PD-AR-LF-B-A-TECH-3-B1-INT-G0</x:v>
      </x:c>
      <x:c r="C2097" s="9" t="str">
        <x:v>EV-AR-LF-B-A-TECH-3-B1-INT-G0</x:v>
      </x:c>
      <x:c r="D2097" s="9" t="str">
        <x:v>AR-LF-B-A-TECH-3-B1-INT-G0</x:v>
      </x:c>
      <x:c r="E2097" s="9" t="str">
        <x:v>LF-B-A-TECH-3</x:v>
      </x:c>
      <x:c r="F2097" s="9" t="str">
        <x:v>LF-B-A</x:v>
      </x:c>
      <x:c r="G2097" s="9" t="str">
        <x:v>B1</x:v>
      </x:c>
      <x:c r="H2097" s="9" t="str">
        <x:v>INT</x:v>
      </x:c>
      <x:c r="I2097" s="9" t="str">
        <x:v>PD11</x:v>
      </x:c>
      <x:c r="J2097" s="17" t="str">
        <x:v>Invalidity petition and opinion</x:v>
      </x:c>
      <x:c r="K2097" s="17" t="str">
        <x:v>Invalidity court</x:v>
      </x:c>
      <x:c r="L2097" s="17" t="str">
        <x:v>COURT-SEALED UNTIL COHORT RELEASE</x:v>
      </x:c>
      <x:c r="M2097" s="9" t="n">
        <x:v>0</x:v>
      </x:c>
      <x:c r="N2097" s="9" t="n">
        <x:v>0</x:v>
      </x:c>
      <x:c r="O2097" s="9" t="n">
        <x:v>0</x:v>
      </x:c>
      <x:c r="P2097" s="9" t="str">
        <x:v>HELD / UNRELEASED</x:v>
      </x:c>
      <x:c r="Q2097" s="9" t="n">
        <x:f>COUNTIFS($A$7:$A$2310,A2097)</x:f>
        <x:v>1</x:v>
      </x:c>
    </x:row>
    <x:row r="2098">
      <x:c r="A2098" s="9" t="str">
        <x:v>PD-AR-LF-B-A-TECH-3-B1-INT-G0-PD12</x:v>
      </x:c>
      <x:c r="B2098" s="9" t="str">
        <x:v>PD-AR-LF-B-A-TECH-3-B1-INT-G0</x:v>
      </x:c>
      <x:c r="C2098" s="9" t="str">
        <x:v>EV-AR-LF-B-A-TECH-3-B1-INT-G0</x:v>
      </x:c>
      <x:c r="D2098" s="9" t="str">
        <x:v>AR-LF-B-A-TECH-3-B1-INT-G0</x:v>
      </x:c>
      <x:c r="E2098" s="9" t="str">
        <x:v>LF-B-A-TECH-3</x:v>
      </x:c>
      <x:c r="F2098" s="9" t="str">
        <x:v>LF-B-A</x:v>
      </x:c>
      <x:c r="G2098" s="9" t="str">
        <x:v>B1</x:v>
      </x:c>
      <x:c r="H2098" s="9" t="str">
        <x:v>INT</x:v>
      </x:c>
      <x:c r="I2098" s="9" t="str">
        <x:v>PD12</x:v>
      </x:c>
      <x:c r="J2098" s="17" t="str">
        <x:v>Observation acceptance and replay</x:v>
      </x:c>
      <x:c r="K2098" s="17" t="str">
        <x:v>Observation court</x:v>
      </x:c>
      <x:c r="L2098" s="17" t="str">
        <x:v>COURT-SEALED UNTIL COHORT RELEASE</x:v>
      </x:c>
      <x:c r="M2098" s="9" t="n">
        <x:v>0</x:v>
      </x:c>
      <x:c r="N2098" s="9" t="n">
        <x:v>0</x:v>
      </x:c>
      <x:c r="O2098" s="9" t="n">
        <x:v>0</x:v>
      </x:c>
      <x:c r="P2098" s="9" t="str">
        <x:v>HELD / UNRELEASED</x:v>
      </x:c>
      <x:c r="Q2098" s="9" t="n">
        <x:f>COUNTIFS($A$7:$A$2310,A2098)</x:f>
        <x:v>1</x:v>
      </x:c>
    </x:row>
    <x:row r="2099">
      <x:c r="A2099" s="9" t="str">
        <x:v>PD-AR-LF-B-A-TECH-3-B1-INT-G0-PD13</x:v>
      </x:c>
      <x:c r="B2099" s="9" t="str">
        <x:v>PD-AR-LF-B-A-TECH-3-B1-INT-G0</x:v>
      </x:c>
      <x:c r="C2099" s="9" t="str">
        <x:v>EV-AR-LF-B-A-TECH-3-B1-INT-G0</x:v>
      </x:c>
      <x:c r="D2099" s="9" t="str">
        <x:v>AR-LF-B-A-TECH-3-B1-INT-G0</x:v>
      </x:c>
      <x:c r="E2099" s="9" t="str">
        <x:v>LF-B-A-TECH-3</x:v>
      </x:c>
      <x:c r="F2099" s="9" t="str">
        <x:v>LF-B-A</x:v>
      </x:c>
      <x:c r="G2099" s="9" t="str">
        <x:v>B1</x:v>
      </x:c>
      <x:c r="H2099" s="9" t="str">
        <x:v>INT</x:v>
      </x:c>
      <x:c r="I2099" s="9" t="str">
        <x:v>PD13</x:v>
      </x:c>
      <x:c r="J2099" s="17" t="str">
        <x:v>Role judgment</x:v>
      </x:c>
      <x:c r="K2099" s="17" t="str">
        <x:v>Role court</x:v>
      </x:c>
      <x:c r="L2099" s="17" t="str">
        <x:v>COURT-SEALED UNTIL COHORT RELEASE</x:v>
      </x:c>
      <x:c r="M2099" s="9" t="n">
        <x:v>0</x:v>
      </x:c>
      <x:c r="N2099" s="9" t="n">
        <x:v>0</x:v>
      </x:c>
      <x:c r="O2099" s="9" t="n">
        <x:v>0</x:v>
      </x:c>
      <x:c r="P2099" s="9" t="str">
        <x:v>HELD / UNRELEASED</x:v>
      </x:c>
      <x:c r="Q2099" s="9" t="n">
        <x:f>COUNTIFS($A$7:$A$2310,A2099)</x:f>
        <x:v>1</x:v>
      </x:c>
    </x:row>
    <x:row r="2100">
      <x:c r="A2100" s="9" t="str">
        <x:v>PD-AR-LF-B-A-TECH-3-B1-INT-G0-PD14</x:v>
      </x:c>
      <x:c r="B2100" s="9" t="str">
        <x:v>PD-AR-LF-B-A-TECH-3-B1-INT-G0</x:v>
      </x:c>
      <x:c r="C2100" s="9" t="str">
        <x:v>EV-AR-LF-B-A-TECH-3-B1-INT-G0</x:v>
      </x:c>
      <x:c r="D2100" s="9" t="str">
        <x:v>AR-LF-B-A-TECH-3-B1-INT-G0</x:v>
      </x:c>
      <x:c r="E2100" s="9" t="str">
        <x:v>LF-B-A-TECH-3</x:v>
      </x:c>
      <x:c r="F2100" s="9" t="str">
        <x:v>LF-B-A</x:v>
      </x:c>
      <x:c r="G2100" s="9" t="str">
        <x:v>B1</x:v>
      </x:c>
      <x:c r="H2100" s="9" t="str">
        <x:v>INT</x:v>
      </x:c>
      <x:c r="I2100" s="9" t="str">
        <x:v>PD14</x:v>
      </x:c>
      <x:c r="J2100" s="17" t="str">
        <x:v>Break and residual account</x:v>
      </x:c>
      <x:c r="K2100" s="17" t="str">
        <x:v>Residual authority</x:v>
      </x:c>
      <x:c r="L2100" s="17" t="str">
        <x:v>COURT-SEALED UNTIL COHORT RELEASE</x:v>
      </x:c>
      <x:c r="M2100" s="9" t="n">
        <x:v>0</x:v>
      </x:c>
      <x:c r="N2100" s="9" t="n">
        <x:v>0</x:v>
      </x:c>
      <x:c r="O2100" s="9" t="n">
        <x:v>0</x:v>
      </x:c>
      <x:c r="P2100" s="9" t="str">
        <x:v>HELD / UNRELEASED</x:v>
      </x:c>
      <x:c r="Q2100" s="9" t="n">
        <x:f>COUNTIFS($A$7:$A$2310,A2100)</x:f>
        <x:v>1</x:v>
      </x:c>
    </x:row>
    <x:row r="2101">
      <x:c r="A2101" s="9" t="str">
        <x:v>PD-AR-LF-B-A-TECH-3-B1-INT-G0-PD15</x:v>
      </x:c>
      <x:c r="B2101" s="9" t="str">
        <x:v>PD-AR-LF-B-A-TECH-3-B1-INT-G0</x:v>
      </x:c>
      <x:c r="C2101" s="9" t="str">
        <x:v>EV-AR-LF-B-A-TECH-3-B1-INT-G0</x:v>
      </x:c>
      <x:c r="D2101" s="9" t="str">
        <x:v>AR-LF-B-A-TECH-3-B1-INT-G0</x:v>
      </x:c>
      <x:c r="E2101" s="9" t="str">
        <x:v>LF-B-A-TECH-3</x:v>
      </x:c>
      <x:c r="F2101" s="9" t="str">
        <x:v>LF-B-A</x:v>
      </x:c>
      <x:c r="G2101" s="9" t="str">
        <x:v>B1</x:v>
      </x:c>
      <x:c r="H2101" s="9" t="str">
        <x:v>INT</x:v>
      </x:c>
      <x:c r="I2101" s="9" t="str">
        <x:v>PD15</x:v>
      </x:c>
      <x:c r="J2101" s="17" t="str">
        <x:v>Reconstruction ancestry and replay</x:v>
      </x:c>
      <x:c r="K2101" s="17" t="str">
        <x:v>Reconstruction court</x:v>
      </x:c>
      <x:c r="L2101" s="17" t="str">
        <x:v>COURT-SEALED UNTIL COHORT RELEASE</x:v>
      </x:c>
      <x:c r="M2101" s="9" t="n">
        <x:v>0</x:v>
      </x:c>
      <x:c r="N2101" s="9" t="n">
        <x:v>0</x:v>
      </x:c>
      <x:c r="O2101" s="9" t="n">
        <x:v>0</x:v>
      </x:c>
      <x:c r="P2101" s="9" t="str">
        <x:v>HELD / UNRELEASED</x:v>
      </x:c>
      <x:c r="Q2101" s="9" t="n">
        <x:f>COUNTIFS($A$7:$A$2310,A2101)</x:f>
        <x:v>1</x:v>
      </x:c>
    </x:row>
    <x:row r="2102">
      <x:c r="A2102" s="9" t="str">
        <x:v>PD-AR-LF-B-A-TECH-3-B1-INT-G0-PD16</x:v>
      </x:c>
      <x:c r="B2102" s="9" t="str">
        <x:v>PD-AR-LF-B-A-TECH-3-B1-INT-G0</x:v>
      </x:c>
      <x:c r="C2102" s="9" t="str">
        <x:v>EV-AR-LF-B-A-TECH-3-B1-INT-G0</x:v>
      </x:c>
      <x:c r="D2102" s="9" t="str">
        <x:v>AR-LF-B-A-TECH-3-B1-INT-G0</x:v>
      </x:c>
      <x:c r="E2102" s="9" t="str">
        <x:v>LF-B-A-TECH-3</x:v>
      </x:c>
      <x:c r="F2102" s="9" t="str">
        <x:v>LF-B-A</x:v>
      </x:c>
      <x:c r="G2102" s="9" t="str">
        <x:v>B1</x:v>
      </x:c>
      <x:c r="H2102" s="9" t="str">
        <x:v>INT</x:v>
      </x:c>
      <x:c r="I2102" s="9" t="str">
        <x:v>PD16</x:v>
      </x:c>
      <x:c r="J2102" s="17" t="str">
        <x:v>Dissent, amendments and access log</x:v>
      </x:c>
      <x:c r="K2102" s="17" t="str">
        <x:v>Public archive</x:v>
      </x:c>
      <x:c r="L2102" s="17" t="str">
        <x:v>COURT-SEALED UNTIL COHORT RELEASE</x:v>
      </x:c>
      <x:c r="M2102" s="9" t="n">
        <x:v>0</x:v>
      </x:c>
      <x:c r="N2102" s="9" t="n">
        <x:v>0</x:v>
      </x:c>
      <x:c r="O2102" s="9" t="n">
        <x:v>0</x:v>
      </x:c>
      <x:c r="P2102" s="9" t="str">
        <x:v>HELD / UNRELEASED</x:v>
      </x:c>
      <x:c r="Q2102" s="9" t="n">
        <x:f>COUNTIFS($A$7:$A$2310,A2102)</x:f>
        <x:v>1</x:v>
      </x:c>
    </x:row>
    <x:row r="2103">
      <x:c r="A2103" s="9" t="str">
        <x:v>PD-AR-RT-B-C-TECH-2-B2-RCN-G0-PD01</x:v>
      </x:c>
      <x:c r="B2103" s="9" t="str">
        <x:v>PD-AR-RT-B-C-TECH-2-B2-RCN-G0</x:v>
      </x:c>
      <x:c r="C2103" s="9" t="str">
        <x:v>EV-AR-RT-B-C-TECH-2-B2-RCN-G0</x:v>
      </x:c>
      <x:c r="D2103" s="9" t="str">
        <x:v>AR-RT-B-C-TECH-2-B2-RCN-G0</x:v>
      </x:c>
      <x:c r="E2103" s="9" t="str">
        <x:v>RT-B-C-TECH-2</x:v>
      </x:c>
      <x:c r="F2103" s="9" t="str">
        <x:v>RT-B-C</x:v>
      </x:c>
      <x:c r="G2103" s="9" t="str">
        <x:v>B2</x:v>
      </x:c>
      <x:c r="H2103" s="9" t="str">
        <x:v>RCN</x:v>
      </x:c>
      <x:c r="I2103" s="9" t="str">
        <x:v>PD01</x:v>
      </x:c>
      <x:c r="J2103" s="17" t="str">
        <x:v>Experiment kernel</x:v>
      </x:c>
      <x:c r="K2103" s="17" t="str">
        <x:v>Public archive</x:v>
      </x:c>
      <x:c r="L2103" s="17" t="str">
        <x:v>COURT-SEALED UNTIL COHORT RELEASE</x:v>
      </x:c>
      <x:c r="M2103" s="9" t="n">
        <x:v>0</x:v>
      </x:c>
      <x:c r="N2103" s="9" t="n">
        <x:v>0</x:v>
      </x:c>
      <x:c r="O2103" s="9" t="n">
        <x:v>0</x:v>
      </x:c>
      <x:c r="P2103" s="9" t="str">
        <x:v>HELD / UNRELEASED</x:v>
      </x:c>
      <x:c r="Q2103" s="9" t="n">
        <x:f>COUNTIFS($A$7:$A$2310,A2103)</x:f>
        <x:v>1</x:v>
      </x:c>
    </x:row>
    <x:row r="2104">
      <x:c r="A2104" s="9" t="str">
        <x:v>PD-AR-RT-B-C-TECH-2-B2-RCN-G0-PD02</x:v>
      </x:c>
      <x:c r="B2104" s="9" t="str">
        <x:v>PD-AR-RT-B-C-TECH-2-B2-RCN-G0</x:v>
      </x:c>
      <x:c r="C2104" s="9" t="str">
        <x:v>EV-AR-RT-B-C-TECH-2-B2-RCN-G0</x:v>
      </x:c>
      <x:c r="D2104" s="9" t="str">
        <x:v>AR-RT-B-C-TECH-2-B2-RCN-G0</x:v>
      </x:c>
      <x:c r="E2104" s="9" t="str">
        <x:v>RT-B-C-TECH-2</x:v>
      </x:c>
      <x:c r="F2104" s="9" t="str">
        <x:v>RT-B-C</x:v>
      </x:c>
      <x:c r="G2104" s="9" t="str">
        <x:v>B2</x:v>
      </x:c>
      <x:c r="H2104" s="9" t="str">
        <x:v>RCN</x:v>
      </x:c>
      <x:c r="I2104" s="9" t="str">
        <x:v>PD02</x:v>
      </x:c>
      <x:c r="J2104" s="17" t="str">
        <x:v>Serial annex and title chain</x:v>
      </x:c>
      <x:c r="K2104" s="17" t="str">
        <x:v>Public archive</x:v>
      </x:c>
      <x:c r="L2104" s="17" t="str">
        <x:v>COURT-SEALED UNTIL COHORT RELEASE</x:v>
      </x:c>
      <x:c r="M2104" s="9" t="n">
        <x:v>0</x:v>
      </x:c>
      <x:c r="N2104" s="9" t="n">
        <x:v>0</x:v>
      </x:c>
      <x:c r="O2104" s="9" t="n">
        <x:v>0</x:v>
      </x:c>
      <x:c r="P2104" s="9" t="str">
        <x:v>HELD / UNRELEASED</x:v>
      </x:c>
      <x:c r="Q2104" s="9" t="n">
        <x:f>COUNTIFS($A$7:$A$2310,A2104)</x:f>
        <x:v>1</x:v>
      </x:c>
    </x:row>
    <x:row r="2105">
      <x:c r="A2105" s="9" t="str">
        <x:v>PD-AR-RT-B-C-TECH-2-B2-RCN-G0-PD03</x:v>
      </x:c>
      <x:c r="B2105" s="9" t="str">
        <x:v>PD-AR-RT-B-C-TECH-2-B2-RCN-G0</x:v>
      </x:c>
      <x:c r="C2105" s="9" t="str">
        <x:v>EV-AR-RT-B-C-TECH-2-B2-RCN-G0</x:v>
      </x:c>
      <x:c r="D2105" s="9" t="str">
        <x:v>AR-RT-B-C-TECH-2-B2-RCN-G0</x:v>
      </x:c>
      <x:c r="E2105" s="9" t="str">
        <x:v>RT-B-C-TECH-2</x:v>
      </x:c>
      <x:c r="F2105" s="9" t="str">
        <x:v>RT-B-C</x:v>
      </x:c>
      <x:c r="G2105" s="9" t="str">
        <x:v>B2</x:v>
      </x:c>
      <x:c r="H2105" s="9" t="str">
        <x:v>RCN</x:v>
      </x:c>
      <x:c r="I2105" s="9" t="str">
        <x:v>PD03</x:v>
      </x:c>
      <x:c r="J2105" s="17" t="str">
        <x:v>Configuration and as-built manifest</x:v>
      </x:c>
      <x:c r="K2105" s="17" t="str">
        <x:v>Artifact exchange</x:v>
      </x:c>
      <x:c r="L2105" s="17" t="str">
        <x:v>COURT-SEALED UNTIL COHORT RELEASE</x:v>
      </x:c>
      <x:c r="M2105" s="9" t="n">
        <x:v>0</x:v>
      </x:c>
      <x:c r="N2105" s="9" t="n">
        <x:v>0</x:v>
      </x:c>
      <x:c r="O2105" s="9" t="n">
        <x:v>0</x:v>
      </x:c>
      <x:c r="P2105" s="9" t="str">
        <x:v>HELD / UNRELEASED</x:v>
      </x:c>
      <x:c r="Q2105" s="9" t="n">
        <x:f>COUNTIFS($A$7:$A$2310,A2105)</x:f>
        <x:v>1</x:v>
      </x:c>
    </x:row>
    <x:row r="2106">
      <x:c r="A2106" s="9" t="str">
        <x:v>PD-AR-RT-B-C-TECH-2-B2-RCN-G0-PD04</x:v>
      </x:c>
      <x:c r="B2106" s="9" t="str">
        <x:v>PD-AR-RT-B-C-TECH-2-B2-RCN-G0</x:v>
      </x:c>
      <x:c r="C2106" s="9" t="str">
        <x:v>EV-AR-RT-B-C-TECH-2-B2-RCN-G0</x:v>
      </x:c>
      <x:c r="D2106" s="9" t="str">
        <x:v>AR-RT-B-C-TECH-2-B2-RCN-G0</x:v>
      </x:c>
      <x:c r="E2106" s="9" t="str">
        <x:v>RT-B-C-TECH-2</x:v>
      </x:c>
      <x:c r="F2106" s="9" t="str">
        <x:v>RT-B-C</x:v>
      </x:c>
      <x:c r="G2106" s="9" t="str">
        <x:v>B2</x:v>
      </x:c>
      <x:c r="H2106" s="9" t="str">
        <x:v>RCN</x:v>
      </x:c>
      <x:c r="I2106" s="9" t="str">
        <x:v>PD04</x:v>
      </x:c>
      <x:c r="J2106" s="17" t="str">
        <x:v>EOW and start certificate</x:v>
      </x:c>
      <x:c r="K2106" s="17" t="str">
        <x:v>Start registrar</x:v>
      </x:c>
      <x:c r="L2106" s="17" t="str">
        <x:v>COURT-SEALED UNTIL COHORT RELEASE</x:v>
      </x:c>
      <x:c r="M2106" s="9" t="n">
        <x:v>0</x:v>
      </x:c>
      <x:c r="N2106" s="9" t="n">
        <x:v>0</x:v>
      </x:c>
      <x:c r="O2106" s="9" t="n">
        <x:v>0</x:v>
      </x:c>
      <x:c r="P2106" s="9" t="str">
        <x:v>HELD / UNRELEASED</x:v>
      </x:c>
      <x:c r="Q2106" s="9" t="n">
        <x:f>COUNTIFS($A$7:$A$2310,A2106)</x:f>
        <x:v>1</x:v>
      </x:c>
    </x:row>
    <x:row r="2107">
      <x:c r="A2107" s="9" t="str">
        <x:v>PD-AR-RT-B-C-TECH-2-B2-RCN-G0-PD05</x:v>
      </x:c>
      <x:c r="B2107" s="9" t="str">
        <x:v>PD-AR-RT-B-C-TECH-2-B2-RCN-G0</x:v>
      </x:c>
      <x:c r="C2107" s="9" t="str">
        <x:v>EV-AR-RT-B-C-TECH-2-B2-RCN-G0</x:v>
      </x:c>
      <x:c r="D2107" s="9" t="str">
        <x:v>AR-RT-B-C-TECH-2-B2-RCN-G0</x:v>
      </x:c>
      <x:c r="E2107" s="9" t="str">
        <x:v>RT-B-C-TECH-2</x:v>
      </x:c>
      <x:c r="F2107" s="9" t="str">
        <x:v>RT-B-C</x:v>
      </x:c>
      <x:c r="G2107" s="9" t="str">
        <x:v>B2</x:v>
      </x:c>
      <x:c r="H2107" s="9" t="str">
        <x:v>RCN</x:v>
      </x:c>
      <x:c r="I2107" s="9" t="str">
        <x:v>PD05</x:v>
      </x:c>
      <x:c r="J2107" s="17" t="str">
        <x:v>Primary raw originals</x:v>
      </x:c>
      <x:c r="K2107" s="17" t="str">
        <x:v>Primary custody</x:v>
      </x:c>
      <x:c r="L2107" s="17" t="str">
        <x:v>COURT-SEALED UNTIL COHORT RELEASE</x:v>
      </x:c>
      <x:c r="M2107" s="9" t="n">
        <x:v>0</x:v>
      </x:c>
      <x:c r="N2107" s="9" t="n">
        <x:v>0</x:v>
      </x:c>
      <x:c r="O2107" s="9" t="n">
        <x:v>0</x:v>
      </x:c>
      <x:c r="P2107" s="9" t="str">
        <x:v>HELD / UNRELEASED</x:v>
      </x:c>
      <x:c r="Q2107" s="9" t="n">
        <x:f>COUNTIFS($A$7:$A$2310,A2107)</x:f>
        <x:v>1</x:v>
      </x:c>
    </x:row>
    <x:row r="2108">
      <x:c r="A2108" s="9" t="str">
        <x:v>PD-AR-RT-B-C-TECH-2-B2-RCN-G0-PD06</x:v>
      </x:c>
      <x:c r="B2108" s="9" t="str">
        <x:v>PD-AR-RT-B-C-TECH-2-B2-RCN-G0</x:v>
      </x:c>
      <x:c r="C2108" s="9" t="str">
        <x:v>EV-AR-RT-B-C-TECH-2-B2-RCN-G0</x:v>
      </x:c>
      <x:c r="D2108" s="9" t="str">
        <x:v>AR-RT-B-C-TECH-2-B2-RCN-G0</x:v>
      </x:c>
      <x:c r="E2108" s="9" t="str">
        <x:v>RT-B-C-TECH-2</x:v>
      </x:c>
      <x:c r="F2108" s="9" t="str">
        <x:v>RT-B-C</x:v>
      </x:c>
      <x:c r="G2108" s="9" t="str">
        <x:v>B2</x:v>
      </x:c>
      <x:c r="H2108" s="9" t="str">
        <x:v>RCN</x:v>
      </x:c>
      <x:c r="I2108" s="9" t="str">
        <x:v>PD06</x:v>
      </x:c>
      <x:c r="J2108" s="17" t="str">
        <x:v>Witness raw originals</x:v>
      </x:c>
      <x:c r="K2108" s="17" t="str">
        <x:v>Witness custody</x:v>
      </x:c>
      <x:c r="L2108" s="17" t="str">
        <x:v>COURT-SEALED UNTIL COHORT RELEASE</x:v>
      </x:c>
      <x:c r="M2108" s="9" t="n">
        <x:v>0</x:v>
      </x:c>
      <x:c r="N2108" s="9" t="n">
        <x:v>0</x:v>
      </x:c>
      <x:c r="O2108" s="9" t="n">
        <x:v>0</x:v>
      </x:c>
      <x:c r="P2108" s="9" t="str">
        <x:v>HELD / UNRELEASED</x:v>
      </x:c>
      <x:c r="Q2108" s="9" t="n">
        <x:f>COUNTIFS($A$7:$A$2310,A2108)</x:f>
        <x:v>1</x:v>
      </x:c>
    </x:row>
    <x:row r="2109">
      <x:c r="A2109" s="9" t="str">
        <x:v>PD-AR-RT-B-C-TECH-2-B2-RCN-G0-PD07</x:v>
      </x:c>
      <x:c r="B2109" s="9" t="str">
        <x:v>PD-AR-RT-B-C-TECH-2-B2-RCN-G0</x:v>
      </x:c>
      <x:c r="C2109" s="9" t="str">
        <x:v>EV-AR-RT-B-C-TECH-2-B2-RCN-G0</x:v>
      </x:c>
      <x:c r="D2109" s="9" t="str">
        <x:v>AR-RT-B-C-TECH-2-B2-RCN-G0</x:v>
      </x:c>
      <x:c r="E2109" s="9" t="str">
        <x:v>RT-B-C-TECH-2</x:v>
      </x:c>
      <x:c r="F2109" s="9" t="str">
        <x:v>RT-B-C</x:v>
      </x:c>
      <x:c r="G2109" s="9" t="str">
        <x:v>B2</x:v>
      </x:c>
      <x:c r="H2109" s="9" t="str">
        <x:v>RCN</x:v>
      </x:c>
      <x:c r="I2109" s="9" t="str">
        <x:v>PD07</x:v>
      </x:c>
      <x:c r="J2109" s="17" t="str">
        <x:v>Clock and environmental records</x:v>
      </x:c>
      <x:c r="K2109" s="17" t="str">
        <x:v>Boundary archive</x:v>
      </x:c>
      <x:c r="L2109" s="17" t="str">
        <x:v>COURT-SEALED UNTIL COHORT RELEASE</x:v>
      </x:c>
      <x:c r="M2109" s="9" t="n">
        <x:v>0</x:v>
      </x:c>
      <x:c r="N2109" s="9" t="n">
        <x:v>0</x:v>
      </x:c>
      <x:c r="O2109" s="9" t="n">
        <x:v>0</x:v>
      </x:c>
      <x:c r="P2109" s="9" t="str">
        <x:v>HELD / UNRELEASED</x:v>
      </x:c>
      <x:c r="Q2109" s="9" t="n">
        <x:f>COUNTIFS($A$7:$A$2310,A2109)</x:f>
        <x:v>1</x:v>
      </x:c>
    </x:row>
    <x:row r="2110">
      <x:c r="A2110" s="9" t="str">
        <x:v>PD-AR-RT-B-C-TECH-2-B2-RCN-G0-PD08</x:v>
      </x:c>
      <x:c r="B2110" s="9" t="str">
        <x:v>PD-AR-RT-B-C-TECH-2-B2-RCN-G0</x:v>
      </x:c>
      <x:c r="C2110" s="9" t="str">
        <x:v>EV-AR-RT-B-C-TECH-2-B2-RCN-G0</x:v>
      </x:c>
      <x:c r="D2110" s="9" t="str">
        <x:v>AR-RT-B-C-TECH-2-B2-RCN-G0</x:v>
      </x:c>
      <x:c r="E2110" s="9" t="str">
        <x:v>RT-B-C-TECH-2</x:v>
      </x:c>
      <x:c r="F2110" s="9" t="str">
        <x:v>RT-B-C</x:v>
      </x:c>
      <x:c r="G2110" s="9" t="str">
        <x:v>B2</x:v>
      </x:c>
      <x:c r="H2110" s="9" t="str">
        <x:v>RCN</x:v>
      </x:c>
      <x:c r="I2110" s="9" t="str">
        <x:v>PD08</x:v>
      </x:c>
      <x:c r="J2110" s="17" t="str">
        <x:v>Command and intervention log</x:v>
      </x:c>
      <x:c r="K2110" s="17" t="str">
        <x:v>Safety archive</x:v>
      </x:c>
      <x:c r="L2110" s="17" t="str">
        <x:v>COURT-SEALED UNTIL COHORT RELEASE</x:v>
      </x:c>
      <x:c r="M2110" s="9" t="n">
        <x:v>0</x:v>
      </x:c>
      <x:c r="N2110" s="9" t="n">
        <x:v>0</x:v>
      </x:c>
      <x:c r="O2110" s="9" t="n">
        <x:v>0</x:v>
      </x:c>
      <x:c r="P2110" s="9" t="str">
        <x:v>HELD / UNRELEASED</x:v>
      </x:c>
      <x:c r="Q2110" s="9" t="n">
        <x:f>COUNTIFS($A$7:$A$2310,A2110)</x:f>
        <x:v>1</x:v>
      </x:c>
    </x:row>
    <x:row r="2111">
      <x:c r="A2111" s="9" t="str">
        <x:v>PD-AR-RT-B-C-TECH-2-B2-RCN-G0-PD09</x:v>
      </x:c>
      <x:c r="B2111" s="9" t="str">
        <x:v>PD-AR-RT-B-C-TECH-2-B2-RCN-G0</x:v>
      </x:c>
      <x:c r="C2111" s="9" t="str">
        <x:v>EV-AR-RT-B-C-TECH-2-B2-RCN-G0</x:v>
      </x:c>
      <x:c r="D2111" s="9" t="str">
        <x:v>AR-RT-B-C-TECH-2-B2-RCN-G0</x:v>
      </x:c>
      <x:c r="E2111" s="9" t="str">
        <x:v>RT-B-C-TECH-2</x:v>
      </x:c>
      <x:c r="F2111" s="9" t="str">
        <x:v>RT-B-C</x:v>
      </x:c>
      <x:c r="G2111" s="9" t="str">
        <x:v>B2</x:v>
      </x:c>
      <x:c r="H2111" s="9" t="str">
        <x:v>RCN</x:v>
      </x:c>
      <x:c r="I2111" s="9" t="str">
        <x:v>PD09</x:v>
      </x:c>
      <x:c r="J2111" s="17" t="str">
        <x:v>Receiver denominator and service ledger</x:v>
      </x:c>
      <x:c r="K2111" s="17" t="str">
        <x:v>Receiver archive</x:v>
      </x:c>
      <x:c r="L2111" s="17" t="str">
        <x:v>COURT-SEALED UNTIL COHORT RELEASE</x:v>
      </x:c>
      <x:c r="M2111" s="9" t="n">
        <x:v>0</x:v>
      </x:c>
      <x:c r="N2111" s="9" t="n">
        <x:v>0</x:v>
      </x:c>
      <x:c r="O2111" s="9" t="n">
        <x:v>0</x:v>
      </x:c>
      <x:c r="P2111" s="9" t="str">
        <x:v>HELD / UNRELEASED</x:v>
      </x:c>
      <x:c r="Q2111" s="9" t="n">
        <x:f>COUNTIFS($A$7:$A$2310,A2111)</x:f>
        <x:v>1</x:v>
      </x:c>
    </x:row>
    <x:row r="2112">
      <x:c r="A2112" s="9" t="str">
        <x:v>PD-AR-RT-B-C-TECH-2-B2-RCN-G0-PD10</x:v>
      </x:c>
      <x:c r="B2112" s="9" t="str">
        <x:v>PD-AR-RT-B-C-TECH-2-B2-RCN-G0</x:v>
      </x:c>
      <x:c r="C2112" s="9" t="str">
        <x:v>EV-AR-RT-B-C-TECH-2-B2-RCN-G0</x:v>
      </x:c>
      <x:c r="D2112" s="9" t="str">
        <x:v>AR-RT-B-C-TECH-2-B2-RCN-G0</x:v>
      </x:c>
      <x:c r="E2112" s="9" t="str">
        <x:v>RT-B-C-TECH-2</x:v>
      </x:c>
      <x:c r="F2112" s="9" t="str">
        <x:v>RT-B-C</x:v>
      </x:c>
      <x:c r="G2112" s="9" t="str">
        <x:v>B2</x:v>
      </x:c>
      <x:c r="H2112" s="9" t="str">
        <x:v>RCN</x:v>
      </x:c>
      <x:c r="I2112" s="9" t="str">
        <x:v>PD10</x:v>
      </x:c>
      <x:c r="J2112" s="17" t="str">
        <x:v>Calibration and uncertainty record</x:v>
      </x:c>
      <x:c r="K2112" s="17" t="str">
        <x:v>Metrology archive</x:v>
      </x:c>
      <x:c r="L2112" s="17" t="str">
        <x:v>COURT-SEALED UNTIL COHORT RELEASE</x:v>
      </x:c>
      <x:c r="M2112" s="9" t="n">
        <x:v>0</x:v>
      </x:c>
      <x:c r="N2112" s="9" t="n">
        <x:v>0</x:v>
      </x:c>
      <x:c r="O2112" s="9" t="n">
        <x:v>0</x:v>
      </x:c>
      <x:c r="P2112" s="9" t="str">
        <x:v>HELD / UNRELEASED</x:v>
      </x:c>
      <x:c r="Q2112" s="9" t="n">
        <x:f>COUNTIFS($A$7:$A$2310,A2112)</x:f>
        <x:v>1</x:v>
      </x:c>
    </x:row>
    <x:row r="2113">
      <x:c r="A2113" s="9" t="str">
        <x:v>PD-AR-RT-B-C-TECH-2-B2-RCN-G0-PD11</x:v>
      </x:c>
      <x:c r="B2113" s="9" t="str">
        <x:v>PD-AR-RT-B-C-TECH-2-B2-RCN-G0</x:v>
      </x:c>
      <x:c r="C2113" s="9" t="str">
        <x:v>EV-AR-RT-B-C-TECH-2-B2-RCN-G0</x:v>
      </x:c>
      <x:c r="D2113" s="9" t="str">
        <x:v>AR-RT-B-C-TECH-2-B2-RCN-G0</x:v>
      </x:c>
      <x:c r="E2113" s="9" t="str">
        <x:v>RT-B-C-TECH-2</x:v>
      </x:c>
      <x:c r="F2113" s="9" t="str">
        <x:v>RT-B-C</x:v>
      </x:c>
      <x:c r="G2113" s="9" t="str">
        <x:v>B2</x:v>
      </x:c>
      <x:c r="H2113" s="9" t="str">
        <x:v>RCN</x:v>
      </x:c>
      <x:c r="I2113" s="9" t="str">
        <x:v>PD11</x:v>
      </x:c>
      <x:c r="J2113" s="17" t="str">
        <x:v>Invalidity petition and opinion</x:v>
      </x:c>
      <x:c r="K2113" s="17" t="str">
        <x:v>Invalidity court</x:v>
      </x:c>
      <x:c r="L2113" s="17" t="str">
        <x:v>COURT-SEALED UNTIL COHORT RELEASE</x:v>
      </x:c>
      <x:c r="M2113" s="9" t="n">
        <x:v>0</x:v>
      </x:c>
      <x:c r="N2113" s="9" t="n">
        <x:v>0</x:v>
      </x:c>
      <x:c r="O2113" s="9" t="n">
        <x:v>0</x:v>
      </x:c>
      <x:c r="P2113" s="9" t="str">
        <x:v>HELD / UNRELEASED</x:v>
      </x:c>
      <x:c r="Q2113" s="9" t="n">
        <x:f>COUNTIFS($A$7:$A$2310,A2113)</x:f>
        <x:v>1</x:v>
      </x:c>
    </x:row>
    <x:row r="2114">
      <x:c r="A2114" s="9" t="str">
        <x:v>PD-AR-RT-B-C-TECH-2-B2-RCN-G0-PD12</x:v>
      </x:c>
      <x:c r="B2114" s="9" t="str">
        <x:v>PD-AR-RT-B-C-TECH-2-B2-RCN-G0</x:v>
      </x:c>
      <x:c r="C2114" s="9" t="str">
        <x:v>EV-AR-RT-B-C-TECH-2-B2-RCN-G0</x:v>
      </x:c>
      <x:c r="D2114" s="9" t="str">
        <x:v>AR-RT-B-C-TECH-2-B2-RCN-G0</x:v>
      </x:c>
      <x:c r="E2114" s="9" t="str">
        <x:v>RT-B-C-TECH-2</x:v>
      </x:c>
      <x:c r="F2114" s="9" t="str">
        <x:v>RT-B-C</x:v>
      </x:c>
      <x:c r="G2114" s="9" t="str">
        <x:v>B2</x:v>
      </x:c>
      <x:c r="H2114" s="9" t="str">
        <x:v>RCN</x:v>
      </x:c>
      <x:c r="I2114" s="9" t="str">
        <x:v>PD12</x:v>
      </x:c>
      <x:c r="J2114" s="17" t="str">
        <x:v>Observation acceptance and replay</x:v>
      </x:c>
      <x:c r="K2114" s="17" t="str">
        <x:v>Observation court</x:v>
      </x:c>
      <x:c r="L2114" s="17" t="str">
        <x:v>COURT-SEALED UNTIL COHORT RELEASE</x:v>
      </x:c>
      <x:c r="M2114" s="9" t="n">
        <x:v>0</x:v>
      </x:c>
      <x:c r="N2114" s="9" t="n">
        <x:v>0</x:v>
      </x:c>
      <x:c r="O2114" s="9" t="n">
        <x:v>0</x:v>
      </x:c>
      <x:c r="P2114" s="9" t="str">
        <x:v>HELD / UNRELEASED</x:v>
      </x:c>
      <x:c r="Q2114" s="9" t="n">
        <x:f>COUNTIFS($A$7:$A$2310,A2114)</x:f>
        <x:v>1</x:v>
      </x:c>
    </x:row>
    <x:row r="2115">
      <x:c r="A2115" s="9" t="str">
        <x:v>PD-AR-RT-B-C-TECH-2-B2-RCN-G0-PD13</x:v>
      </x:c>
      <x:c r="B2115" s="9" t="str">
        <x:v>PD-AR-RT-B-C-TECH-2-B2-RCN-G0</x:v>
      </x:c>
      <x:c r="C2115" s="9" t="str">
        <x:v>EV-AR-RT-B-C-TECH-2-B2-RCN-G0</x:v>
      </x:c>
      <x:c r="D2115" s="9" t="str">
        <x:v>AR-RT-B-C-TECH-2-B2-RCN-G0</x:v>
      </x:c>
      <x:c r="E2115" s="9" t="str">
        <x:v>RT-B-C-TECH-2</x:v>
      </x:c>
      <x:c r="F2115" s="9" t="str">
        <x:v>RT-B-C</x:v>
      </x:c>
      <x:c r="G2115" s="9" t="str">
        <x:v>B2</x:v>
      </x:c>
      <x:c r="H2115" s="9" t="str">
        <x:v>RCN</x:v>
      </x:c>
      <x:c r="I2115" s="9" t="str">
        <x:v>PD13</x:v>
      </x:c>
      <x:c r="J2115" s="17" t="str">
        <x:v>Role judgment</x:v>
      </x:c>
      <x:c r="K2115" s="17" t="str">
        <x:v>Role court</x:v>
      </x:c>
      <x:c r="L2115" s="17" t="str">
        <x:v>COURT-SEALED UNTIL COHORT RELEASE</x:v>
      </x:c>
      <x:c r="M2115" s="9" t="n">
        <x:v>0</x:v>
      </x:c>
      <x:c r="N2115" s="9" t="n">
        <x:v>0</x:v>
      </x:c>
      <x:c r="O2115" s="9" t="n">
        <x:v>0</x:v>
      </x:c>
      <x:c r="P2115" s="9" t="str">
        <x:v>HELD / UNRELEASED</x:v>
      </x:c>
      <x:c r="Q2115" s="9" t="n">
        <x:f>COUNTIFS($A$7:$A$2310,A2115)</x:f>
        <x:v>1</x:v>
      </x:c>
    </x:row>
    <x:row r="2116">
      <x:c r="A2116" s="9" t="str">
        <x:v>PD-AR-RT-B-C-TECH-2-B2-RCN-G0-PD14</x:v>
      </x:c>
      <x:c r="B2116" s="9" t="str">
        <x:v>PD-AR-RT-B-C-TECH-2-B2-RCN-G0</x:v>
      </x:c>
      <x:c r="C2116" s="9" t="str">
        <x:v>EV-AR-RT-B-C-TECH-2-B2-RCN-G0</x:v>
      </x:c>
      <x:c r="D2116" s="9" t="str">
        <x:v>AR-RT-B-C-TECH-2-B2-RCN-G0</x:v>
      </x:c>
      <x:c r="E2116" s="9" t="str">
        <x:v>RT-B-C-TECH-2</x:v>
      </x:c>
      <x:c r="F2116" s="9" t="str">
        <x:v>RT-B-C</x:v>
      </x:c>
      <x:c r="G2116" s="9" t="str">
        <x:v>B2</x:v>
      </x:c>
      <x:c r="H2116" s="9" t="str">
        <x:v>RCN</x:v>
      </x:c>
      <x:c r="I2116" s="9" t="str">
        <x:v>PD14</x:v>
      </x:c>
      <x:c r="J2116" s="17" t="str">
        <x:v>Break and residual account</x:v>
      </x:c>
      <x:c r="K2116" s="17" t="str">
        <x:v>Residual authority</x:v>
      </x:c>
      <x:c r="L2116" s="17" t="str">
        <x:v>COURT-SEALED UNTIL COHORT RELEASE</x:v>
      </x:c>
      <x:c r="M2116" s="9" t="n">
        <x:v>0</x:v>
      </x:c>
      <x:c r="N2116" s="9" t="n">
        <x:v>0</x:v>
      </x:c>
      <x:c r="O2116" s="9" t="n">
        <x:v>0</x:v>
      </x:c>
      <x:c r="P2116" s="9" t="str">
        <x:v>HELD / UNRELEASED</x:v>
      </x:c>
      <x:c r="Q2116" s="9" t="n">
        <x:f>COUNTIFS($A$7:$A$2310,A2116)</x:f>
        <x:v>1</x:v>
      </x:c>
    </x:row>
    <x:row r="2117">
      <x:c r="A2117" s="9" t="str">
        <x:v>PD-AR-RT-B-C-TECH-2-B2-RCN-G0-PD15</x:v>
      </x:c>
      <x:c r="B2117" s="9" t="str">
        <x:v>PD-AR-RT-B-C-TECH-2-B2-RCN-G0</x:v>
      </x:c>
      <x:c r="C2117" s="9" t="str">
        <x:v>EV-AR-RT-B-C-TECH-2-B2-RCN-G0</x:v>
      </x:c>
      <x:c r="D2117" s="9" t="str">
        <x:v>AR-RT-B-C-TECH-2-B2-RCN-G0</x:v>
      </x:c>
      <x:c r="E2117" s="9" t="str">
        <x:v>RT-B-C-TECH-2</x:v>
      </x:c>
      <x:c r="F2117" s="9" t="str">
        <x:v>RT-B-C</x:v>
      </x:c>
      <x:c r="G2117" s="9" t="str">
        <x:v>B2</x:v>
      </x:c>
      <x:c r="H2117" s="9" t="str">
        <x:v>RCN</x:v>
      </x:c>
      <x:c r="I2117" s="9" t="str">
        <x:v>PD15</x:v>
      </x:c>
      <x:c r="J2117" s="17" t="str">
        <x:v>Reconstruction ancestry and replay</x:v>
      </x:c>
      <x:c r="K2117" s="17" t="str">
        <x:v>Reconstruction court</x:v>
      </x:c>
      <x:c r="L2117" s="17" t="str">
        <x:v>COURT-SEALED UNTIL COHORT RELEASE</x:v>
      </x:c>
      <x:c r="M2117" s="9" t="n">
        <x:v>0</x:v>
      </x:c>
      <x:c r="N2117" s="9" t="n">
        <x:v>0</x:v>
      </x:c>
      <x:c r="O2117" s="9" t="n">
        <x:v>0</x:v>
      </x:c>
      <x:c r="P2117" s="9" t="str">
        <x:v>HELD / UNRELEASED</x:v>
      </x:c>
      <x:c r="Q2117" s="9" t="n">
        <x:f>COUNTIFS($A$7:$A$2310,A2117)</x:f>
        <x:v>1</x:v>
      </x:c>
    </x:row>
    <x:row r="2118">
      <x:c r="A2118" s="9" t="str">
        <x:v>PD-AR-RT-B-C-TECH-2-B2-RCN-G0-PD16</x:v>
      </x:c>
      <x:c r="B2118" s="9" t="str">
        <x:v>PD-AR-RT-B-C-TECH-2-B2-RCN-G0</x:v>
      </x:c>
      <x:c r="C2118" s="9" t="str">
        <x:v>EV-AR-RT-B-C-TECH-2-B2-RCN-G0</x:v>
      </x:c>
      <x:c r="D2118" s="9" t="str">
        <x:v>AR-RT-B-C-TECH-2-B2-RCN-G0</x:v>
      </x:c>
      <x:c r="E2118" s="9" t="str">
        <x:v>RT-B-C-TECH-2</x:v>
      </x:c>
      <x:c r="F2118" s="9" t="str">
        <x:v>RT-B-C</x:v>
      </x:c>
      <x:c r="G2118" s="9" t="str">
        <x:v>B2</x:v>
      </x:c>
      <x:c r="H2118" s="9" t="str">
        <x:v>RCN</x:v>
      </x:c>
      <x:c r="I2118" s="9" t="str">
        <x:v>PD16</x:v>
      </x:c>
      <x:c r="J2118" s="17" t="str">
        <x:v>Dissent, amendments and access log</x:v>
      </x:c>
      <x:c r="K2118" s="17" t="str">
        <x:v>Public archive</x:v>
      </x:c>
      <x:c r="L2118" s="17" t="str">
        <x:v>COURT-SEALED UNTIL COHORT RELEASE</x:v>
      </x:c>
      <x:c r="M2118" s="9" t="n">
        <x:v>0</x:v>
      </x:c>
      <x:c r="N2118" s="9" t="n">
        <x:v>0</x:v>
      </x:c>
      <x:c r="O2118" s="9" t="n">
        <x:v>0</x:v>
      </x:c>
      <x:c r="P2118" s="9" t="str">
        <x:v>HELD / UNRELEASED</x:v>
      </x:c>
      <x:c r="Q2118" s="9" t="n">
        <x:f>COUNTIFS($A$7:$A$2310,A2118)</x:f>
        <x:v>1</x:v>
      </x:c>
    </x:row>
    <x:row r="2119">
      <x:c r="A2119" s="9" t="str">
        <x:v>PD-AR-CT-C-B-TECH-4-B2-INT-G0-PD01</x:v>
      </x:c>
      <x:c r="B2119" s="9" t="str">
        <x:v>PD-AR-CT-C-B-TECH-4-B2-INT-G0</x:v>
      </x:c>
      <x:c r="C2119" s="9" t="str">
        <x:v>EV-AR-CT-C-B-TECH-4-B2-INT-G0</x:v>
      </x:c>
      <x:c r="D2119" s="9" t="str">
        <x:v>AR-CT-C-B-TECH-4-B2-INT-G0</x:v>
      </x:c>
      <x:c r="E2119" s="9" t="str">
        <x:v>CT-C-B-TECH-4</x:v>
      </x:c>
      <x:c r="F2119" s="9" t="str">
        <x:v>CT-C-B</x:v>
      </x:c>
      <x:c r="G2119" s="9" t="str">
        <x:v>B2</x:v>
      </x:c>
      <x:c r="H2119" s="9" t="str">
        <x:v>INT</x:v>
      </x:c>
      <x:c r="I2119" s="9" t="str">
        <x:v>PD01</x:v>
      </x:c>
      <x:c r="J2119" s="17" t="str">
        <x:v>Experiment kernel</x:v>
      </x:c>
      <x:c r="K2119" s="17" t="str">
        <x:v>Public archive</x:v>
      </x:c>
      <x:c r="L2119" s="17" t="str">
        <x:v>COURT-SEALED UNTIL COHORT RELEASE</x:v>
      </x:c>
      <x:c r="M2119" s="9" t="n">
        <x:v>0</x:v>
      </x:c>
      <x:c r="N2119" s="9" t="n">
        <x:v>0</x:v>
      </x:c>
      <x:c r="O2119" s="9" t="n">
        <x:v>0</x:v>
      </x:c>
      <x:c r="P2119" s="9" t="str">
        <x:v>HELD / UNRELEASED</x:v>
      </x:c>
      <x:c r="Q2119" s="9" t="n">
        <x:f>COUNTIFS($A$7:$A$2310,A2119)</x:f>
        <x:v>1</x:v>
      </x:c>
    </x:row>
    <x:row r="2120">
      <x:c r="A2120" s="9" t="str">
        <x:v>PD-AR-CT-C-B-TECH-4-B2-INT-G0-PD02</x:v>
      </x:c>
      <x:c r="B2120" s="9" t="str">
        <x:v>PD-AR-CT-C-B-TECH-4-B2-INT-G0</x:v>
      </x:c>
      <x:c r="C2120" s="9" t="str">
        <x:v>EV-AR-CT-C-B-TECH-4-B2-INT-G0</x:v>
      </x:c>
      <x:c r="D2120" s="9" t="str">
        <x:v>AR-CT-C-B-TECH-4-B2-INT-G0</x:v>
      </x:c>
      <x:c r="E2120" s="9" t="str">
        <x:v>CT-C-B-TECH-4</x:v>
      </x:c>
      <x:c r="F2120" s="9" t="str">
        <x:v>CT-C-B</x:v>
      </x:c>
      <x:c r="G2120" s="9" t="str">
        <x:v>B2</x:v>
      </x:c>
      <x:c r="H2120" s="9" t="str">
        <x:v>INT</x:v>
      </x:c>
      <x:c r="I2120" s="9" t="str">
        <x:v>PD02</x:v>
      </x:c>
      <x:c r="J2120" s="17" t="str">
        <x:v>Serial annex and title chain</x:v>
      </x:c>
      <x:c r="K2120" s="17" t="str">
        <x:v>Public archive</x:v>
      </x:c>
      <x:c r="L2120" s="17" t="str">
        <x:v>COURT-SEALED UNTIL COHORT RELEASE</x:v>
      </x:c>
      <x:c r="M2120" s="9" t="n">
        <x:v>0</x:v>
      </x:c>
      <x:c r="N2120" s="9" t="n">
        <x:v>0</x:v>
      </x:c>
      <x:c r="O2120" s="9" t="n">
        <x:v>0</x:v>
      </x:c>
      <x:c r="P2120" s="9" t="str">
        <x:v>HELD / UNRELEASED</x:v>
      </x:c>
      <x:c r="Q2120" s="9" t="n">
        <x:f>COUNTIFS($A$7:$A$2310,A2120)</x:f>
        <x:v>1</x:v>
      </x:c>
    </x:row>
    <x:row r="2121">
      <x:c r="A2121" s="9" t="str">
        <x:v>PD-AR-CT-C-B-TECH-4-B2-INT-G0-PD03</x:v>
      </x:c>
      <x:c r="B2121" s="9" t="str">
        <x:v>PD-AR-CT-C-B-TECH-4-B2-INT-G0</x:v>
      </x:c>
      <x:c r="C2121" s="9" t="str">
        <x:v>EV-AR-CT-C-B-TECH-4-B2-INT-G0</x:v>
      </x:c>
      <x:c r="D2121" s="9" t="str">
        <x:v>AR-CT-C-B-TECH-4-B2-INT-G0</x:v>
      </x:c>
      <x:c r="E2121" s="9" t="str">
        <x:v>CT-C-B-TECH-4</x:v>
      </x:c>
      <x:c r="F2121" s="9" t="str">
        <x:v>CT-C-B</x:v>
      </x:c>
      <x:c r="G2121" s="9" t="str">
        <x:v>B2</x:v>
      </x:c>
      <x:c r="H2121" s="9" t="str">
        <x:v>INT</x:v>
      </x:c>
      <x:c r="I2121" s="9" t="str">
        <x:v>PD03</x:v>
      </x:c>
      <x:c r="J2121" s="17" t="str">
        <x:v>Configuration and as-built manifest</x:v>
      </x:c>
      <x:c r="K2121" s="17" t="str">
        <x:v>Artifact exchange</x:v>
      </x:c>
      <x:c r="L2121" s="17" t="str">
        <x:v>COURT-SEALED UNTIL COHORT RELEASE</x:v>
      </x:c>
      <x:c r="M2121" s="9" t="n">
        <x:v>0</x:v>
      </x:c>
      <x:c r="N2121" s="9" t="n">
        <x:v>0</x:v>
      </x:c>
      <x:c r="O2121" s="9" t="n">
        <x:v>0</x:v>
      </x:c>
      <x:c r="P2121" s="9" t="str">
        <x:v>HELD / UNRELEASED</x:v>
      </x:c>
      <x:c r="Q2121" s="9" t="n">
        <x:f>COUNTIFS($A$7:$A$2310,A2121)</x:f>
        <x:v>1</x:v>
      </x:c>
    </x:row>
    <x:row r="2122">
      <x:c r="A2122" s="9" t="str">
        <x:v>PD-AR-CT-C-B-TECH-4-B2-INT-G0-PD04</x:v>
      </x:c>
      <x:c r="B2122" s="9" t="str">
        <x:v>PD-AR-CT-C-B-TECH-4-B2-INT-G0</x:v>
      </x:c>
      <x:c r="C2122" s="9" t="str">
        <x:v>EV-AR-CT-C-B-TECH-4-B2-INT-G0</x:v>
      </x:c>
      <x:c r="D2122" s="9" t="str">
        <x:v>AR-CT-C-B-TECH-4-B2-INT-G0</x:v>
      </x:c>
      <x:c r="E2122" s="9" t="str">
        <x:v>CT-C-B-TECH-4</x:v>
      </x:c>
      <x:c r="F2122" s="9" t="str">
        <x:v>CT-C-B</x:v>
      </x:c>
      <x:c r="G2122" s="9" t="str">
        <x:v>B2</x:v>
      </x:c>
      <x:c r="H2122" s="9" t="str">
        <x:v>INT</x:v>
      </x:c>
      <x:c r="I2122" s="9" t="str">
        <x:v>PD04</x:v>
      </x:c>
      <x:c r="J2122" s="17" t="str">
        <x:v>EOW and start certificate</x:v>
      </x:c>
      <x:c r="K2122" s="17" t="str">
        <x:v>Start registrar</x:v>
      </x:c>
      <x:c r="L2122" s="17" t="str">
        <x:v>COURT-SEALED UNTIL COHORT RELEASE</x:v>
      </x:c>
      <x:c r="M2122" s="9" t="n">
        <x:v>0</x:v>
      </x:c>
      <x:c r="N2122" s="9" t="n">
        <x:v>0</x:v>
      </x:c>
      <x:c r="O2122" s="9" t="n">
        <x:v>0</x:v>
      </x:c>
      <x:c r="P2122" s="9" t="str">
        <x:v>HELD / UNRELEASED</x:v>
      </x:c>
      <x:c r="Q2122" s="9" t="n">
        <x:f>COUNTIFS($A$7:$A$2310,A2122)</x:f>
        <x:v>1</x:v>
      </x:c>
    </x:row>
    <x:row r="2123">
      <x:c r="A2123" s="9" t="str">
        <x:v>PD-AR-CT-C-B-TECH-4-B2-INT-G0-PD05</x:v>
      </x:c>
      <x:c r="B2123" s="9" t="str">
        <x:v>PD-AR-CT-C-B-TECH-4-B2-INT-G0</x:v>
      </x:c>
      <x:c r="C2123" s="9" t="str">
        <x:v>EV-AR-CT-C-B-TECH-4-B2-INT-G0</x:v>
      </x:c>
      <x:c r="D2123" s="9" t="str">
        <x:v>AR-CT-C-B-TECH-4-B2-INT-G0</x:v>
      </x:c>
      <x:c r="E2123" s="9" t="str">
        <x:v>CT-C-B-TECH-4</x:v>
      </x:c>
      <x:c r="F2123" s="9" t="str">
        <x:v>CT-C-B</x:v>
      </x:c>
      <x:c r="G2123" s="9" t="str">
        <x:v>B2</x:v>
      </x:c>
      <x:c r="H2123" s="9" t="str">
        <x:v>INT</x:v>
      </x:c>
      <x:c r="I2123" s="9" t="str">
        <x:v>PD05</x:v>
      </x:c>
      <x:c r="J2123" s="17" t="str">
        <x:v>Primary raw originals</x:v>
      </x:c>
      <x:c r="K2123" s="17" t="str">
        <x:v>Primary custody</x:v>
      </x:c>
      <x:c r="L2123" s="17" t="str">
        <x:v>COURT-SEALED UNTIL COHORT RELEASE</x:v>
      </x:c>
      <x:c r="M2123" s="9" t="n">
        <x:v>0</x:v>
      </x:c>
      <x:c r="N2123" s="9" t="n">
        <x:v>0</x:v>
      </x:c>
      <x:c r="O2123" s="9" t="n">
        <x:v>0</x:v>
      </x:c>
      <x:c r="P2123" s="9" t="str">
        <x:v>HELD / UNRELEASED</x:v>
      </x:c>
      <x:c r="Q2123" s="9" t="n">
        <x:f>COUNTIFS($A$7:$A$2310,A2123)</x:f>
        <x:v>1</x:v>
      </x:c>
    </x:row>
    <x:row r="2124">
      <x:c r="A2124" s="9" t="str">
        <x:v>PD-AR-CT-C-B-TECH-4-B2-INT-G0-PD06</x:v>
      </x:c>
      <x:c r="B2124" s="9" t="str">
        <x:v>PD-AR-CT-C-B-TECH-4-B2-INT-G0</x:v>
      </x:c>
      <x:c r="C2124" s="9" t="str">
        <x:v>EV-AR-CT-C-B-TECH-4-B2-INT-G0</x:v>
      </x:c>
      <x:c r="D2124" s="9" t="str">
        <x:v>AR-CT-C-B-TECH-4-B2-INT-G0</x:v>
      </x:c>
      <x:c r="E2124" s="9" t="str">
        <x:v>CT-C-B-TECH-4</x:v>
      </x:c>
      <x:c r="F2124" s="9" t="str">
        <x:v>CT-C-B</x:v>
      </x:c>
      <x:c r="G2124" s="9" t="str">
        <x:v>B2</x:v>
      </x:c>
      <x:c r="H2124" s="9" t="str">
        <x:v>INT</x:v>
      </x:c>
      <x:c r="I2124" s="9" t="str">
        <x:v>PD06</x:v>
      </x:c>
      <x:c r="J2124" s="17" t="str">
        <x:v>Witness raw originals</x:v>
      </x:c>
      <x:c r="K2124" s="17" t="str">
        <x:v>Witness custody</x:v>
      </x:c>
      <x:c r="L2124" s="17" t="str">
        <x:v>COURT-SEALED UNTIL COHORT RELEASE</x:v>
      </x:c>
      <x:c r="M2124" s="9" t="n">
        <x:v>0</x:v>
      </x:c>
      <x:c r="N2124" s="9" t="n">
        <x:v>0</x:v>
      </x:c>
      <x:c r="O2124" s="9" t="n">
        <x:v>0</x:v>
      </x:c>
      <x:c r="P2124" s="9" t="str">
        <x:v>HELD / UNRELEASED</x:v>
      </x:c>
      <x:c r="Q2124" s="9" t="n">
        <x:f>COUNTIFS($A$7:$A$2310,A2124)</x:f>
        <x:v>1</x:v>
      </x:c>
    </x:row>
    <x:row r="2125">
      <x:c r="A2125" s="9" t="str">
        <x:v>PD-AR-CT-C-B-TECH-4-B2-INT-G0-PD07</x:v>
      </x:c>
      <x:c r="B2125" s="9" t="str">
        <x:v>PD-AR-CT-C-B-TECH-4-B2-INT-G0</x:v>
      </x:c>
      <x:c r="C2125" s="9" t="str">
        <x:v>EV-AR-CT-C-B-TECH-4-B2-INT-G0</x:v>
      </x:c>
      <x:c r="D2125" s="9" t="str">
        <x:v>AR-CT-C-B-TECH-4-B2-INT-G0</x:v>
      </x:c>
      <x:c r="E2125" s="9" t="str">
        <x:v>CT-C-B-TECH-4</x:v>
      </x:c>
      <x:c r="F2125" s="9" t="str">
        <x:v>CT-C-B</x:v>
      </x:c>
      <x:c r="G2125" s="9" t="str">
        <x:v>B2</x:v>
      </x:c>
      <x:c r="H2125" s="9" t="str">
        <x:v>INT</x:v>
      </x:c>
      <x:c r="I2125" s="9" t="str">
        <x:v>PD07</x:v>
      </x:c>
      <x:c r="J2125" s="17" t="str">
        <x:v>Clock and environmental records</x:v>
      </x:c>
      <x:c r="K2125" s="17" t="str">
        <x:v>Boundary archive</x:v>
      </x:c>
      <x:c r="L2125" s="17" t="str">
        <x:v>COURT-SEALED UNTIL COHORT RELEASE</x:v>
      </x:c>
      <x:c r="M2125" s="9" t="n">
        <x:v>0</x:v>
      </x:c>
      <x:c r="N2125" s="9" t="n">
        <x:v>0</x:v>
      </x:c>
      <x:c r="O2125" s="9" t="n">
        <x:v>0</x:v>
      </x:c>
      <x:c r="P2125" s="9" t="str">
        <x:v>HELD / UNRELEASED</x:v>
      </x:c>
      <x:c r="Q2125" s="9" t="n">
        <x:f>COUNTIFS($A$7:$A$2310,A2125)</x:f>
        <x:v>1</x:v>
      </x:c>
    </x:row>
    <x:row r="2126">
      <x:c r="A2126" s="9" t="str">
        <x:v>PD-AR-CT-C-B-TECH-4-B2-INT-G0-PD08</x:v>
      </x:c>
      <x:c r="B2126" s="9" t="str">
        <x:v>PD-AR-CT-C-B-TECH-4-B2-INT-G0</x:v>
      </x:c>
      <x:c r="C2126" s="9" t="str">
        <x:v>EV-AR-CT-C-B-TECH-4-B2-INT-G0</x:v>
      </x:c>
      <x:c r="D2126" s="9" t="str">
        <x:v>AR-CT-C-B-TECH-4-B2-INT-G0</x:v>
      </x:c>
      <x:c r="E2126" s="9" t="str">
        <x:v>CT-C-B-TECH-4</x:v>
      </x:c>
      <x:c r="F2126" s="9" t="str">
        <x:v>CT-C-B</x:v>
      </x:c>
      <x:c r="G2126" s="9" t="str">
        <x:v>B2</x:v>
      </x:c>
      <x:c r="H2126" s="9" t="str">
        <x:v>INT</x:v>
      </x:c>
      <x:c r="I2126" s="9" t="str">
        <x:v>PD08</x:v>
      </x:c>
      <x:c r="J2126" s="17" t="str">
        <x:v>Command and intervention log</x:v>
      </x:c>
      <x:c r="K2126" s="17" t="str">
        <x:v>Safety archive</x:v>
      </x:c>
      <x:c r="L2126" s="17" t="str">
        <x:v>COURT-SEALED UNTIL COHORT RELEASE</x:v>
      </x:c>
      <x:c r="M2126" s="9" t="n">
        <x:v>0</x:v>
      </x:c>
      <x:c r="N2126" s="9" t="n">
        <x:v>0</x:v>
      </x:c>
      <x:c r="O2126" s="9" t="n">
        <x:v>0</x:v>
      </x:c>
      <x:c r="P2126" s="9" t="str">
        <x:v>HELD / UNRELEASED</x:v>
      </x:c>
      <x:c r="Q2126" s="9" t="n">
        <x:f>COUNTIFS($A$7:$A$2310,A2126)</x:f>
        <x:v>1</x:v>
      </x:c>
    </x:row>
    <x:row r="2127">
      <x:c r="A2127" s="9" t="str">
        <x:v>PD-AR-CT-C-B-TECH-4-B2-INT-G0-PD09</x:v>
      </x:c>
      <x:c r="B2127" s="9" t="str">
        <x:v>PD-AR-CT-C-B-TECH-4-B2-INT-G0</x:v>
      </x:c>
      <x:c r="C2127" s="9" t="str">
        <x:v>EV-AR-CT-C-B-TECH-4-B2-INT-G0</x:v>
      </x:c>
      <x:c r="D2127" s="9" t="str">
        <x:v>AR-CT-C-B-TECH-4-B2-INT-G0</x:v>
      </x:c>
      <x:c r="E2127" s="9" t="str">
        <x:v>CT-C-B-TECH-4</x:v>
      </x:c>
      <x:c r="F2127" s="9" t="str">
        <x:v>CT-C-B</x:v>
      </x:c>
      <x:c r="G2127" s="9" t="str">
        <x:v>B2</x:v>
      </x:c>
      <x:c r="H2127" s="9" t="str">
        <x:v>INT</x:v>
      </x:c>
      <x:c r="I2127" s="9" t="str">
        <x:v>PD09</x:v>
      </x:c>
      <x:c r="J2127" s="17" t="str">
        <x:v>Receiver denominator and service ledger</x:v>
      </x:c>
      <x:c r="K2127" s="17" t="str">
        <x:v>Receiver archive</x:v>
      </x:c>
      <x:c r="L2127" s="17" t="str">
        <x:v>COURT-SEALED UNTIL COHORT RELEASE</x:v>
      </x:c>
      <x:c r="M2127" s="9" t="n">
        <x:v>0</x:v>
      </x:c>
      <x:c r="N2127" s="9" t="n">
        <x:v>0</x:v>
      </x:c>
      <x:c r="O2127" s="9" t="n">
        <x:v>0</x:v>
      </x:c>
      <x:c r="P2127" s="9" t="str">
        <x:v>HELD / UNRELEASED</x:v>
      </x:c>
      <x:c r="Q2127" s="9" t="n">
        <x:f>COUNTIFS($A$7:$A$2310,A2127)</x:f>
        <x:v>1</x:v>
      </x:c>
    </x:row>
    <x:row r="2128">
      <x:c r="A2128" s="9" t="str">
        <x:v>PD-AR-CT-C-B-TECH-4-B2-INT-G0-PD10</x:v>
      </x:c>
      <x:c r="B2128" s="9" t="str">
        <x:v>PD-AR-CT-C-B-TECH-4-B2-INT-G0</x:v>
      </x:c>
      <x:c r="C2128" s="9" t="str">
        <x:v>EV-AR-CT-C-B-TECH-4-B2-INT-G0</x:v>
      </x:c>
      <x:c r="D2128" s="9" t="str">
        <x:v>AR-CT-C-B-TECH-4-B2-INT-G0</x:v>
      </x:c>
      <x:c r="E2128" s="9" t="str">
        <x:v>CT-C-B-TECH-4</x:v>
      </x:c>
      <x:c r="F2128" s="9" t="str">
        <x:v>CT-C-B</x:v>
      </x:c>
      <x:c r="G2128" s="9" t="str">
        <x:v>B2</x:v>
      </x:c>
      <x:c r="H2128" s="9" t="str">
        <x:v>INT</x:v>
      </x:c>
      <x:c r="I2128" s="9" t="str">
        <x:v>PD10</x:v>
      </x:c>
      <x:c r="J2128" s="17" t="str">
        <x:v>Calibration and uncertainty record</x:v>
      </x:c>
      <x:c r="K2128" s="17" t="str">
        <x:v>Metrology archive</x:v>
      </x:c>
      <x:c r="L2128" s="17" t="str">
        <x:v>COURT-SEALED UNTIL COHORT RELEASE</x:v>
      </x:c>
      <x:c r="M2128" s="9" t="n">
        <x:v>0</x:v>
      </x:c>
      <x:c r="N2128" s="9" t="n">
        <x:v>0</x:v>
      </x:c>
      <x:c r="O2128" s="9" t="n">
        <x:v>0</x:v>
      </x:c>
      <x:c r="P2128" s="9" t="str">
        <x:v>HELD / UNRELEASED</x:v>
      </x:c>
      <x:c r="Q2128" s="9" t="n">
        <x:f>COUNTIFS($A$7:$A$2310,A2128)</x:f>
        <x:v>1</x:v>
      </x:c>
    </x:row>
    <x:row r="2129">
      <x:c r="A2129" s="9" t="str">
        <x:v>PD-AR-CT-C-B-TECH-4-B2-INT-G0-PD11</x:v>
      </x:c>
      <x:c r="B2129" s="9" t="str">
        <x:v>PD-AR-CT-C-B-TECH-4-B2-INT-G0</x:v>
      </x:c>
      <x:c r="C2129" s="9" t="str">
        <x:v>EV-AR-CT-C-B-TECH-4-B2-INT-G0</x:v>
      </x:c>
      <x:c r="D2129" s="9" t="str">
        <x:v>AR-CT-C-B-TECH-4-B2-INT-G0</x:v>
      </x:c>
      <x:c r="E2129" s="9" t="str">
        <x:v>CT-C-B-TECH-4</x:v>
      </x:c>
      <x:c r="F2129" s="9" t="str">
        <x:v>CT-C-B</x:v>
      </x:c>
      <x:c r="G2129" s="9" t="str">
        <x:v>B2</x:v>
      </x:c>
      <x:c r="H2129" s="9" t="str">
        <x:v>INT</x:v>
      </x:c>
      <x:c r="I2129" s="9" t="str">
        <x:v>PD11</x:v>
      </x:c>
      <x:c r="J2129" s="17" t="str">
        <x:v>Invalidity petition and opinion</x:v>
      </x:c>
      <x:c r="K2129" s="17" t="str">
        <x:v>Invalidity court</x:v>
      </x:c>
      <x:c r="L2129" s="17" t="str">
        <x:v>COURT-SEALED UNTIL COHORT RELEASE</x:v>
      </x:c>
      <x:c r="M2129" s="9" t="n">
        <x:v>0</x:v>
      </x:c>
      <x:c r="N2129" s="9" t="n">
        <x:v>0</x:v>
      </x:c>
      <x:c r="O2129" s="9" t="n">
        <x:v>0</x:v>
      </x:c>
      <x:c r="P2129" s="9" t="str">
        <x:v>HELD / UNRELEASED</x:v>
      </x:c>
      <x:c r="Q2129" s="9" t="n">
        <x:f>COUNTIFS($A$7:$A$2310,A2129)</x:f>
        <x:v>1</x:v>
      </x:c>
    </x:row>
    <x:row r="2130">
      <x:c r="A2130" s="9" t="str">
        <x:v>PD-AR-CT-C-B-TECH-4-B2-INT-G0-PD12</x:v>
      </x:c>
      <x:c r="B2130" s="9" t="str">
        <x:v>PD-AR-CT-C-B-TECH-4-B2-INT-G0</x:v>
      </x:c>
      <x:c r="C2130" s="9" t="str">
        <x:v>EV-AR-CT-C-B-TECH-4-B2-INT-G0</x:v>
      </x:c>
      <x:c r="D2130" s="9" t="str">
        <x:v>AR-CT-C-B-TECH-4-B2-INT-G0</x:v>
      </x:c>
      <x:c r="E2130" s="9" t="str">
        <x:v>CT-C-B-TECH-4</x:v>
      </x:c>
      <x:c r="F2130" s="9" t="str">
        <x:v>CT-C-B</x:v>
      </x:c>
      <x:c r="G2130" s="9" t="str">
        <x:v>B2</x:v>
      </x:c>
      <x:c r="H2130" s="9" t="str">
        <x:v>INT</x:v>
      </x:c>
      <x:c r="I2130" s="9" t="str">
        <x:v>PD12</x:v>
      </x:c>
      <x:c r="J2130" s="17" t="str">
        <x:v>Observation acceptance and replay</x:v>
      </x:c>
      <x:c r="K2130" s="17" t="str">
        <x:v>Observation court</x:v>
      </x:c>
      <x:c r="L2130" s="17" t="str">
        <x:v>COURT-SEALED UNTIL COHORT RELEASE</x:v>
      </x:c>
      <x:c r="M2130" s="9" t="n">
        <x:v>0</x:v>
      </x:c>
      <x:c r="N2130" s="9" t="n">
        <x:v>0</x:v>
      </x:c>
      <x:c r="O2130" s="9" t="n">
        <x:v>0</x:v>
      </x:c>
      <x:c r="P2130" s="9" t="str">
        <x:v>HELD / UNRELEASED</x:v>
      </x:c>
      <x:c r="Q2130" s="9" t="n">
        <x:f>COUNTIFS($A$7:$A$2310,A2130)</x:f>
        <x:v>1</x:v>
      </x:c>
    </x:row>
    <x:row r="2131">
      <x:c r="A2131" s="9" t="str">
        <x:v>PD-AR-CT-C-B-TECH-4-B2-INT-G0-PD13</x:v>
      </x:c>
      <x:c r="B2131" s="9" t="str">
        <x:v>PD-AR-CT-C-B-TECH-4-B2-INT-G0</x:v>
      </x:c>
      <x:c r="C2131" s="9" t="str">
        <x:v>EV-AR-CT-C-B-TECH-4-B2-INT-G0</x:v>
      </x:c>
      <x:c r="D2131" s="9" t="str">
        <x:v>AR-CT-C-B-TECH-4-B2-INT-G0</x:v>
      </x:c>
      <x:c r="E2131" s="9" t="str">
        <x:v>CT-C-B-TECH-4</x:v>
      </x:c>
      <x:c r="F2131" s="9" t="str">
        <x:v>CT-C-B</x:v>
      </x:c>
      <x:c r="G2131" s="9" t="str">
        <x:v>B2</x:v>
      </x:c>
      <x:c r="H2131" s="9" t="str">
        <x:v>INT</x:v>
      </x:c>
      <x:c r="I2131" s="9" t="str">
        <x:v>PD13</x:v>
      </x:c>
      <x:c r="J2131" s="17" t="str">
        <x:v>Role judgment</x:v>
      </x:c>
      <x:c r="K2131" s="17" t="str">
        <x:v>Role court</x:v>
      </x:c>
      <x:c r="L2131" s="17" t="str">
        <x:v>COURT-SEALED UNTIL COHORT RELEASE</x:v>
      </x:c>
      <x:c r="M2131" s="9" t="n">
        <x:v>0</x:v>
      </x:c>
      <x:c r="N2131" s="9" t="n">
        <x:v>0</x:v>
      </x:c>
      <x:c r="O2131" s="9" t="n">
        <x:v>0</x:v>
      </x:c>
      <x:c r="P2131" s="9" t="str">
        <x:v>HELD / UNRELEASED</x:v>
      </x:c>
      <x:c r="Q2131" s="9" t="n">
        <x:f>COUNTIFS($A$7:$A$2310,A2131)</x:f>
        <x:v>1</x:v>
      </x:c>
    </x:row>
    <x:row r="2132">
      <x:c r="A2132" s="9" t="str">
        <x:v>PD-AR-CT-C-B-TECH-4-B2-INT-G0-PD14</x:v>
      </x:c>
      <x:c r="B2132" s="9" t="str">
        <x:v>PD-AR-CT-C-B-TECH-4-B2-INT-G0</x:v>
      </x:c>
      <x:c r="C2132" s="9" t="str">
        <x:v>EV-AR-CT-C-B-TECH-4-B2-INT-G0</x:v>
      </x:c>
      <x:c r="D2132" s="9" t="str">
        <x:v>AR-CT-C-B-TECH-4-B2-INT-G0</x:v>
      </x:c>
      <x:c r="E2132" s="9" t="str">
        <x:v>CT-C-B-TECH-4</x:v>
      </x:c>
      <x:c r="F2132" s="9" t="str">
        <x:v>CT-C-B</x:v>
      </x:c>
      <x:c r="G2132" s="9" t="str">
        <x:v>B2</x:v>
      </x:c>
      <x:c r="H2132" s="9" t="str">
        <x:v>INT</x:v>
      </x:c>
      <x:c r="I2132" s="9" t="str">
        <x:v>PD14</x:v>
      </x:c>
      <x:c r="J2132" s="17" t="str">
        <x:v>Break and residual account</x:v>
      </x:c>
      <x:c r="K2132" s="17" t="str">
        <x:v>Residual authority</x:v>
      </x:c>
      <x:c r="L2132" s="17" t="str">
        <x:v>COURT-SEALED UNTIL COHORT RELEASE</x:v>
      </x:c>
      <x:c r="M2132" s="9" t="n">
        <x:v>0</x:v>
      </x:c>
      <x:c r="N2132" s="9" t="n">
        <x:v>0</x:v>
      </x:c>
      <x:c r="O2132" s="9" t="n">
        <x:v>0</x:v>
      </x:c>
      <x:c r="P2132" s="9" t="str">
        <x:v>HELD / UNRELEASED</x:v>
      </x:c>
      <x:c r="Q2132" s="9" t="n">
        <x:f>COUNTIFS($A$7:$A$2310,A2132)</x:f>
        <x:v>1</x:v>
      </x:c>
    </x:row>
    <x:row r="2133">
      <x:c r="A2133" s="9" t="str">
        <x:v>PD-AR-CT-C-B-TECH-4-B2-INT-G0-PD15</x:v>
      </x:c>
      <x:c r="B2133" s="9" t="str">
        <x:v>PD-AR-CT-C-B-TECH-4-B2-INT-G0</x:v>
      </x:c>
      <x:c r="C2133" s="9" t="str">
        <x:v>EV-AR-CT-C-B-TECH-4-B2-INT-G0</x:v>
      </x:c>
      <x:c r="D2133" s="9" t="str">
        <x:v>AR-CT-C-B-TECH-4-B2-INT-G0</x:v>
      </x:c>
      <x:c r="E2133" s="9" t="str">
        <x:v>CT-C-B-TECH-4</x:v>
      </x:c>
      <x:c r="F2133" s="9" t="str">
        <x:v>CT-C-B</x:v>
      </x:c>
      <x:c r="G2133" s="9" t="str">
        <x:v>B2</x:v>
      </x:c>
      <x:c r="H2133" s="9" t="str">
        <x:v>INT</x:v>
      </x:c>
      <x:c r="I2133" s="9" t="str">
        <x:v>PD15</x:v>
      </x:c>
      <x:c r="J2133" s="17" t="str">
        <x:v>Reconstruction ancestry and replay</x:v>
      </x:c>
      <x:c r="K2133" s="17" t="str">
        <x:v>Reconstruction court</x:v>
      </x:c>
      <x:c r="L2133" s="17" t="str">
        <x:v>COURT-SEALED UNTIL COHORT RELEASE</x:v>
      </x:c>
      <x:c r="M2133" s="9" t="n">
        <x:v>0</x:v>
      </x:c>
      <x:c r="N2133" s="9" t="n">
        <x:v>0</x:v>
      </x:c>
      <x:c r="O2133" s="9" t="n">
        <x:v>0</x:v>
      </x:c>
      <x:c r="P2133" s="9" t="str">
        <x:v>HELD / UNRELEASED</x:v>
      </x:c>
      <x:c r="Q2133" s="9" t="n">
        <x:f>COUNTIFS($A$7:$A$2310,A2133)</x:f>
        <x:v>1</x:v>
      </x:c>
    </x:row>
    <x:row r="2134">
      <x:c r="A2134" s="9" t="str">
        <x:v>PD-AR-CT-C-B-TECH-4-B2-INT-G0-PD16</x:v>
      </x:c>
      <x:c r="B2134" s="9" t="str">
        <x:v>PD-AR-CT-C-B-TECH-4-B2-INT-G0</x:v>
      </x:c>
      <x:c r="C2134" s="9" t="str">
        <x:v>EV-AR-CT-C-B-TECH-4-B2-INT-G0</x:v>
      </x:c>
      <x:c r="D2134" s="9" t="str">
        <x:v>AR-CT-C-B-TECH-4-B2-INT-G0</x:v>
      </x:c>
      <x:c r="E2134" s="9" t="str">
        <x:v>CT-C-B-TECH-4</x:v>
      </x:c>
      <x:c r="F2134" s="9" t="str">
        <x:v>CT-C-B</x:v>
      </x:c>
      <x:c r="G2134" s="9" t="str">
        <x:v>B2</x:v>
      </x:c>
      <x:c r="H2134" s="9" t="str">
        <x:v>INT</x:v>
      </x:c>
      <x:c r="I2134" s="9" t="str">
        <x:v>PD16</x:v>
      </x:c>
      <x:c r="J2134" s="17" t="str">
        <x:v>Dissent, amendments and access log</x:v>
      </x:c>
      <x:c r="K2134" s="17" t="str">
        <x:v>Public archive</x:v>
      </x:c>
      <x:c r="L2134" s="17" t="str">
        <x:v>COURT-SEALED UNTIL COHORT RELEASE</x:v>
      </x:c>
      <x:c r="M2134" s="9" t="n">
        <x:v>0</x:v>
      </x:c>
      <x:c r="N2134" s="9" t="n">
        <x:v>0</x:v>
      </x:c>
      <x:c r="O2134" s="9" t="n">
        <x:v>0</x:v>
      </x:c>
      <x:c r="P2134" s="9" t="str">
        <x:v>HELD / UNRELEASED</x:v>
      </x:c>
      <x:c r="Q2134" s="9" t="n">
        <x:f>COUNTIFS($A$7:$A$2310,A2134)</x:f>
        <x:v>1</x:v>
      </x:c>
    </x:row>
    <x:row r="2135">
      <x:c r="A2135" s="9" t="str">
        <x:v>PD-AR-HC-A-C-TECH-3-B2-INT-G0-PD01</x:v>
      </x:c>
      <x:c r="B2135" s="9" t="str">
        <x:v>PD-AR-HC-A-C-TECH-3-B2-INT-G0</x:v>
      </x:c>
      <x:c r="C2135" s="9" t="str">
        <x:v>EV-AR-HC-A-C-TECH-3-B2-INT-G0</x:v>
      </x:c>
      <x:c r="D2135" s="9" t="str">
        <x:v>AR-HC-A-C-TECH-3-B2-INT-G0</x:v>
      </x:c>
      <x:c r="E2135" s="9" t="str">
        <x:v>HC-A-C-TECH-3</x:v>
      </x:c>
      <x:c r="F2135" s="9" t="str">
        <x:v>HC-A-C</x:v>
      </x:c>
      <x:c r="G2135" s="9" t="str">
        <x:v>B2</x:v>
      </x:c>
      <x:c r="H2135" s="9" t="str">
        <x:v>INT</x:v>
      </x:c>
      <x:c r="I2135" s="9" t="str">
        <x:v>PD01</x:v>
      </x:c>
      <x:c r="J2135" s="17" t="str">
        <x:v>Experiment kernel</x:v>
      </x:c>
      <x:c r="K2135" s="17" t="str">
        <x:v>Public archive</x:v>
      </x:c>
      <x:c r="L2135" s="17" t="str">
        <x:v>COURT-SEALED UNTIL COHORT RELEASE</x:v>
      </x:c>
      <x:c r="M2135" s="9" t="n">
        <x:v>0</x:v>
      </x:c>
      <x:c r="N2135" s="9" t="n">
        <x:v>0</x:v>
      </x:c>
      <x:c r="O2135" s="9" t="n">
        <x:v>0</x:v>
      </x:c>
      <x:c r="P2135" s="9" t="str">
        <x:v>HELD / UNRELEASED</x:v>
      </x:c>
      <x:c r="Q2135" s="9" t="n">
        <x:f>COUNTIFS($A$7:$A$2310,A2135)</x:f>
        <x:v>1</x:v>
      </x:c>
    </x:row>
    <x:row r="2136">
      <x:c r="A2136" s="9" t="str">
        <x:v>PD-AR-HC-A-C-TECH-3-B2-INT-G0-PD02</x:v>
      </x:c>
      <x:c r="B2136" s="9" t="str">
        <x:v>PD-AR-HC-A-C-TECH-3-B2-INT-G0</x:v>
      </x:c>
      <x:c r="C2136" s="9" t="str">
        <x:v>EV-AR-HC-A-C-TECH-3-B2-INT-G0</x:v>
      </x:c>
      <x:c r="D2136" s="9" t="str">
        <x:v>AR-HC-A-C-TECH-3-B2-INT-G0</x:v>
      </x:c>
      <x:c r="E2136" s="9" t="str">
        <x:v>HC-A-C-TECH-3</x:v>
      </x:c>
      <x:c r="F2136" s="9" t="str">
        <x:v>HC-A-C</x:v>
      </x:c>
      <x:c r="G2136" s="9" t="str">
        <x:v>B2</x:v>
      </x:c>
      <x:c r="H2136" s="9" t="str">
        <x:v>INT</x:v>
      </x:c>
      <x:c r="I2136" s="9" t="str">
        <x:v>PD02</x:v>
      </x:c>
      <x:c r="J2136" s="17" t="str">
        <x:v>Serial annex and title chain</x:v>
      </x:c>
      <x:c r="K2136" s="17" t="str">
        <x:v>Public archive</x:v>
      </x:c>
      <x:c r="L2136" s="17" t="str">
        <x:v>COURT-SEALED UNTIL COHORT RELEASE</x:v>
      </x:c>
      <x:c r="M2136" s="9" t="n">
        <x:v>0</x:v>
      </x:c>
      <x:c r="N2136" s="9" t="n">
        <x:v>0</x:v>
      </x:c>
      <x:c r="O2136" s="9" t="n">
        <x:v>0</x:v>
      </x:c>
      <x:c r="P2136" s="9" t="str">
        <x:v>HELD / UNRELEASED</x:v>
      </x:c>
      <x:c r="Q2136" s="9" t="n">
        <x:f>COUNTIFS($A$7:$A$2310,A2136)</x:f>
        <x:v>1</x:v>
      </x:c>
    </x:row>
    <x:row r="2137">
      <x:c r="A2137" s="9" t="str">
        <x:v>PD-AR-HC-A-C-TECH-3-B2-INT-G0-PD03</x:v>
      </x:c>
      <x:c r="B2137" s="9" t="str">
        <x:v>PD-AR-HC-A-C-TECH-3-B2-INT-G0</x:v>
      </x:c>
      <x:c r="C2137" s="9" t="str">
        <x:v>EV-AR-HC-A-C-TECH-3-B2-INT-G0</x:v>
      </x:c>
      <x:c r="D2137" s="9" t="str">
        <x:v>AR-HC-A-C-TECH-3-B2-INT-G0</x:v>
      </x:c>
      <x:c r="E2137" s="9" t="str">
        <x:v>HC-A-C-TECH-3</x:v>
      </x:c>
      <x:c r="F2137" s="9" t="str">
        <x:v>HC-A-C</x:v>
      </x:c>
      <x:c r="G2137" s="9" t="str">
        <x:v>B2</x:v>
      </x:c>
      <x:c r="H2137" s="9" t="str">
        <x:v>INT</x:v>
      </x:c>
      <x:c r="I2137" s="9" t="str">
        <x:v>PD03</x:v>
      </x:c>
      <x:c r="J2137" s="17" t="str">
        <x:v>Configuration and as-built manifest</x:v>
      </x:c>
      <x:c r="K2137" s="17" t="str">
        <x:v>Artifact exchange</x:v>
      </x:c>
      <x:c r="L2137" s="17" t="str">
        <x:v>COURT-SEALED UNTIL COHORT RELEASE</x:v>
      </x:c>
      <x:c r="M2137" s="9" t="n">
        <x:v>0</x:v>
      </x:c>
      <x:c r="N2137" s="9" t="n">
        <x:v>0</x:v>
      </x:c>
      <x:c r="O2137" s="9" t="n">
        <x:v>0</x:v>
      </x:c>
      <x:c r="P2137" s="9" t="str">
        <x:v>HELD / UNRELEASED</x:v>
      </x:c>
      <x:c r="Q2137" s="9" t="n">
        <x:f>COUNTIFS($A$7:$A$2310,A2137)</x:f>
        <x:v>1</x:v>
      </x:c>
    </x:row>
    <x:row r="2138">
      <x:c r="A2138" s="9" t="str">
        <x:v>PD-AR-HC-A-C-TECH-3-B2-INT-G0-PD04</x:v>
      </x:c>
      <x:c r="B2138" s="9" t="str">
        <x:v>PD-AR-HC-A-C-TECH-3-B2-INT-G0</x:v>
      </x:c>
      <x:c r="C2138" s="9" t="str">
        <x:v>EV-AR-HC-A-C-TECH-3-B2-INT-G0</x:v>
      </x:c>
      <x:c r="D2138" s="9" t="str">
        <x:v>AR-HC-A-C-TECH-3-B2-INT-G0</x:v>
      </x:c>
      <x:c r="E2138" s="9" t="str">
        <x:v>HC-A-C-TECH-3</x:v>
      </x:c>
      <x:c r="F2138" s="9" t="str">
        <x:v>HC-A-C</x:v>
      </x:c>
      <x:c r="G2138" s="9" t="str">
        <x:v>B2</x:v>
      </x:c>
      <x:c r="H2138" s="9" t="str">
        <x:v>INT</x:v>
      </x:c>
      <x:c r="I2138" s="9" t="str">
        <x:v>PD04</x:v>
      </x:c>
      <x:c r="J2138" s="17" t="str">
        <x:v>EOW and start certificate</x:v>
      </x:c>
      <x:c r="K2138" s="17" t="str">
        <x:v>Start registrar</x:v>
      </x:c>
      <x:c r="L2138" s="17" t="str">
        <x:v>COURT-SEALED UNTIL COHORT RELEASE</x:v>
      </x:c>
      <x:c r="M2138" s="9" t="n">
        <x:v>0</x:v>
      </x:c>
      <x:c r="N2138" s="9" t="n">
        <x:v>0</x:v>
      </x:c>
      <x:c r="O2138" s="9" t="n">
        <x:v>0</x:v>
      </x:c>
      <x:c r="P2138" s="9" t="str">
        <x:v>HELD / UNRELEASED</x:v>
      </x:c>
      <x:c r="Q2138" s="9" t="n">
        <x:f>COUNTIFS($A$7:$A$2310,A2138)</x:f>
        <x:v>1</x:v>
      </x:c>
    </x:row>
    <x:row r="2139">
      <x:c r="A2139" s="9" t="str">
        <x:v>PD-AR-HC-A-C-TECH-3-B2-INT-G0-PD05</x:v>
      </x:c>
      <x:c r="B2139" s="9" t="str">
        <x:v>PD-AR-HC-A-C-TECH-3-B2-INT-G0</x:v>
      </x:c>
      <x:c r="C2139" s="9" t="str">
        <x:v>EV-AR-HC-A-C-TECH-3-B2-INT-G0</x:v>
      </x:c>
      <x:c r="D2139" s="9" t="str">
        <x:v>AR-HC-A-C-TECH-3-B2-INT-G0</x:v>
      </x:c>
      <x:c r="E2139" s="9" t="str">
        <x:v>HC-A-C-TECH-3</x:v>
      </x:c>
      <x:c r="F2139" s="9" t="str">
        <x:v>HC-A-C</x:v>
      </x:c>
      <x:c r="G2139" s="9" t="str">
        <x:v>B2</x:v>
      </x:c>
      <x:c r="H2139" s="9" t="str">
        <x:v>INT</x:v>
      </x:c>
      <x:c r="I2139" s="9" t="str">
        <x:v>PD05</x:v>
      </x:c>
      <x:c r="J2139" s="17" t="str">
        <x:v>Primary raw originals</x:v>
      </x:c>
      <x:c r="K2139" s="17" t="str">
        <x:v>Primary custody</x:v>
      </x:c>
      <x:c r="L2139" s="17" t="str">
        <x:v>COURT-SEALED UNTIL COHORT RELEASE</x:v>
      </x:c>
      <x:c r="M2139" s="9" t="n">
        <x:v>0</x:v>
      </x:c>
      <x:c r="N2139" s="9" t="n">
        <x:v>0</x:v>
      </x:c>
      <x:c r="O2139" s="9" t="n">
        <x:v>0</x:v>
      </x:c>
      <x:c r="P2139" s="9" t="str">
        <x:v>HELD / UNRELEASED</x:v>
      </x:c>
      <x:c r="Q2139" s="9" t="n">
        <x:f>COUNTIFS($A$7:$A$2310,A2139)</x:f>
        <x:v>1</x:v>
      </x:c>
    </x:row>
    <x:row r="2140">
      <x:c r="A2140" s="9" t="str">
        <x:v>PD-AR-HC-A-C-TECH-3-B2-INT-G0-PD06</x:v>
      </x:c>
      <x:c r="B2140" s="9" t="str">
        <x:v>PD-AR-HC-A-C-TECH-3-B2-INT-G0</x:v>
      </x:c>
      <x:c r="C2140" s="9" t="str">
        <x:v>EV-AR-HC-A-C-TECH-3-B2-INT-G0</x:v>
      </x:c>
      <x:c r="D2140" s="9" t="str">
        <x:v>AR-HC-A-C-TECH-3-B2-INT-G0</x:v>
      </x:c>
      <x:c r="E2140" s="9" t="str">
        <x:v>HC-A-C-TECH-3</x:v>
      </x:c>
      <x:c r="F2140" s="9" t="str">
        <x:v>HC-A-C</x:v>
      </x:c>
      <x:c r="G2140" s="9" t="str">
        <x:v>B2</x:v>
      </x:c>
      <x:c r="H2140" s="9" t="str">
        <x:v>INT</x:v>
      </x:c>
      <x:c r="I2140" s="9" t="str">
        <x:v>PD06</x:v>
      </x:c>
      <x:c r="J2140" s="17" t="str">
        <x:v>Witness raw originals</x:v>
      </x:c>
      <x:c r="K2140" s="17" t="str">
        <x:v>Witness custody</x:v>
      </x:c>
      <x:c r="L2140" s="17" t="str">
        <x:v>COURT-SEALED UNTIL COHORT RELEASE</x:v>
      </x:c>
      <x:c r="M2140" s="9" t="n">
        <x:v>0</x:v>
      </x:c>
      <x:c r="N2140" s="9" t="n">
        <x:v>0</x:v>
      </x:c>
      <x:c r="O2140" s="9" t="n">
        <x:v>0</x:v>
      </x:c>
      <x:c r="P2140" s="9" t="str">
        <x:v>HELD / UNRELEASED</x:v>
      </x:c>
      <x:c r="Q2140" s="9" t="n">
        <x:f>COUNTIFS($A$7:$A$2310,A2140)</x:f>
        <x:v>1</x:v>
      </x:c>
    </x:row>
    <x:row r="2141">
      <x:c r="A2141" s="9" t="str">
        <x:v>PD-AR-HC-A-C-TECH-3-B2-INT-G0-PD07</x:v>
      </x:c>
      <x:c r="B2141" s="9" t="str">
        <x:v>PD-AR-HC-A-C-TECH-3-B2-INT-G0</x:v>
      </x:c>
      <x:c r="C2141" s="9" t="str">
        <x:v>EV-AR-HC-A-C-TECH-3-B2-INT-G0</x:v>
      </x:c>
      <x:c r="D2141" s="9" t="str">
        <x:v>AR-HC-A-C-TECH-3-B2-INT-G0</x:v>
      </x:c>
      <x:c r="E2141" s="9" t="str">
        <x:v>HC-A-C-TECH-3</x:v>
      </x:c>
      <x:c r="F2141" s="9" t="str">
        <x:v>HC-A-C</x:v>
      </x:c>
      <x:c r="G2141" s="9" t="str">
        <x:v>B2</x:v>
      </x:c>
      <x:c r="H2141" s="9" t="str">
        <x:v>INT</x:v>
      </x:c>
      <x:c r="I2141" s="9" t="str">
        <x:v>PD07</x:v>
      </x:c>
      <x:c r="J2141" s="17" t="str">
        <x:v>Clock and environmental records</x:v>
      </x:c>
      <x:c r="K2141" s="17" t="str">
        <x:v>Boundary archive</x:v>
      </x:c>
      <x:c r="L2141" s="17" t="str">
        <x:v>COURT-SEALED UNTIL COHORT RELEASE</x:v>
      </x:c>
      <x:c r="M2141" s="9" t="n">
        <x:v>0</x:v>
      </x:c>
      <x:c r="N2141" s="9" t="n">
        <x:v>0</x:v>
      </x:c>
      <x:c r="O2141" s="9" t="n">
        <x:v>0</x:v>
      </x:c>
      <x:c r="P2141" s="9" t="str">
        <x:v>HELD / UNRELEASED</x:v>
      </x:c>
      <x:c r="Q2141" s="9" t="n">
        <x:f>COUNTIFS($A$7:$A$2310,A2141)</x:f>
        <x:v>1</x:v>
      </x:c>
    </x:row>
    <x:row r="2142">
      <x:c r="A2142" s="9" t="str">
        <x:v>PD-AR-HC-A-C-TECH-3-B2-INT-G0-PD08</x:v>
      </x:c>
      <x:c r="B2142" s="9" t="str">
        <x:v>PD-AR-HC-A-C-TECH-3-B2-INT-G0</x:v>
      </x:c>
      <x:c r="C2142" s="9" t="str">
        <x:v>EV-AR-HC-A-C-TECH-3-B2-INT-G0</x:v>
      </x:c>
      <x:c r="D2142" s="9" t="str">
        <x:v>AR-HC-A-C-TECH-3-B2-INT-G0</x:v>
      </x:c>
      <x:c r="E2142" s="9" t="str">
        <x:v>HC-A-C-TECH-3</x:v>
      </x:c>
      <x:c r="F2142" s="9" t="str">
        <x:v>HC-A-C</x:v>
      </x:c>
      <x:c r="G2142" s="9" t="str">
        <x:v>B2</x:v>
      </x:c>
      <x:c r="H2142" s="9" t="str">
        <x:v>INT</x:v>
      </x:c>
      <x:c r="I2142" s="9" t="str">
        <x:v>PD08</x:v>
      </x:c>
      <x:c r="J2142" s="17" t="str">
        <x:v>Command and intervention log</x:v>
      </x:c>
      <x:c r="K2142" s="17" t="str">
        <x:v>Safety archive</x:v>
      </x:c>
      <x:c r="L2142" s="17" t="str">
        <x:v>COURT-SEALED UNTIL COHORT RELEASE</x:v>
      </x:c>
      <x:c r="M2142" s="9" t="n">
        <x:v>0</x:v>
      </x:c>
      <x:c r="N2142" s="9" t="n">
        <x:v>0</x:v>
      </x:c>
      <x:c r="O2142" s="9" t="n">
        <x:v>0</x:v>
      </x:c>
      <x:c r="P2142" s="9" t="str">
        <x:v>HELD / UNRELEASED</x:v>
      </x:c>
      <x:c r="Q2142" s="9" t="n">
        <x:f>COUNTIFS($A$7:$A$2310,A2142)</x:f>
        <x:v>1</x:v>
      </x:c>
    </x:row>
    <x:row r="2143">
      <x:c r="A2143" s="9" t="str">
        <x:v>PD-AR-HC-A-C-TECH-3-B2-INT-G0-PD09</x:v>
      </x:c>
      <x:c r="B2143" s="9" t="str">
        <x:v>PD-AR-HC-A-C-TECH-3-B2-INT-G0</x:v>
      </x:c>
      <x:c r="C2143" s="9" t="str">
        <x:v>EV-AR-HC-A-C-TECH-3-B2-INT-G0</x:v>
      </x:c>
      <x:c r="D2143" s="9" t="str">
        <x:v>AR-HC-A-C-TECH-3-B2-INT-G0</x:v>
      </x:c>
      <x:c r="E2143" s="9" t="str">
        <x:v>HC-A-C-TECH-3</x:v>
      </x:c>
      <x:c r="F2143" s="9" t="str">
        <x:v>HC-A-C</x:v>
      </x:c>
      <x:c r="G2143" s="9" t="str">
        <x:v>B2</x:v>
      </x:c>
      <x:c r="H2143" s="9" t="str">
        <x:v>INT</x:v>
      </x:c>
      <x:c r="I2143" s="9" t="str">
        <x:v>PD09</x:v>
      </x:c>
      <x:c r="J2143" s="17" t="str">
        <x:v>Receiver denominator and service ledger</x:v>
      </x:c>
      <x:c r="K2143" s="17" t="str">
        <x:v>Receiver archive</x:v>
      </x:c>
      <x:c r="L2143" s="17" t="str">
        <x:v>COURT-SEALED UNTIL COHORT RELEASE</x:v>
      </x:c>
      <x:c r="M2143" s="9" t="n">
        <x:v>0</x:v>
      </x:c>
      <x:c r="N2143" s="9" t="n">
        <x:v>0</x:v>
      </x:c>
      <x:c r="O2143" s="9" t="n">
        <x:v>0</x:v>
      </x:c>
      <x:c r="P2143" s="9" t="str">
        <x:v>HELD / UNRELEASED</x:v>
      </x:c>
      <x:c r="Q2143" s="9" t="n">
        <x:f>COUNTIFS($A$7:$A$2310,A2143)</x:f>
        <x:v>1</x:v>
      </x:c>
    </x:row>
    <x:row r="2144">
      <x:c r="A2144" s="9" t="str">
        <x:v>PD-AR-HC-A-C-TECH-3-B2-INT-G0-PD10</x:v>
      </x:c>
      <x:c r="B2144" s="9" t="str">
        <x:v>PD-AR-HC-A-C-TECH-3-B2-INT-G0</x:v>
      </x:c>
      <x:c r="C2144" s="9" t="str">
        <x:v>EV-AR-HC-A-C-TECH-3-B2-INT-G0</x:v>
      </x:c>
      <x:c r="D2144" s="9" t="str">
        <x:v>AR-HC-A-C-TECH-3-B2-INT-G0</x:v>
      </x:c>
      <x:c r="E2144" s="9" t="str">
        <x:v>HC-A-C-TECH-3</x:v>
      </x:c>
      <x:c r="F2144" s="9" t="str">
        <x:v>HC-A-C</x:v>
      </x:c>
      <x:c r="G2144" s="9" t="str">
        <x:v>B2</x:v>
      </x:c>
      <x:c r="H2144" s="9" t="str">
        <x:v>INT</x:v>
      </x:c>
      <x:c r="I2144" s="9" t="str">
        <x:v>PD10</x:v>
      </x:c>
      <x:c r="J2144" s="17" t="str">
        <x:v>Calibration and uncertainty record</x:v>
      </x:c>
      <x:c r="K2144" s="17" t="str">
        <x:v>Metrology archive</x:v>
      </x:c>
      <x:c r="L2144" s="17" t="str">
        <x:v>COURT-SEALED UNTIL COHORT RELEASE</x:v>
      </x:c>
      <x:c r="M2144" s="9" t="n">
        <x:v>0</x:v>
      </x:c>
      <x:c r="N2144" s="9" t="n">
        <x:v>0</x:v>
      </x:c>
      <x:c r="O2144" s="9" t="n">
        <x:v>0</x:v>
      </x:c>
      <x:c r="P2144" s="9" t="str">
        <x:v>HELD / UNRELEASED</x:v>
      </x:c>
      <x:c r="Q2144" s="9" t="n">
        <x:f>COUNTIFS($A$7:$A$2310,A2144)</x:f>
        <x:v>1</x:v>
      </x:c>
    </x:row>
    <x:row r="2145">
      <x:c r="A2145" s="9" t="str">
        <x:v>PD-AR-HC-A-C-TECH-3-B2-INT-G0-PD11</x:v>
      </x:c>
      <x:c r="B2145" s="9" t="str">
        <x:v>PD-AR-HC-A-C-TECH-3-B2-INT-G0</x:v>
      </x:c>
      <x:c r="C2145" s="9" t="str">
        <x:v>EV-AR-HC-A-C-TECH-3-B2-INT-G0</x:v>
      </x:c>
      <x:c r="D2145" s="9" t="str">
        <x:v>AR-HC-A-C-TECH-3-B2-INT-G0</x:v>
      </x:c>
      <x:c r="E2145" s="9" t="str">
        <x:v>HC-A-C-TECH-3</x:v>
      </x:c>
      <x:c r="F2145" s="9" t="str">
        <x:v>HC-A-C</x:v>
      </x:c>
      <x:c r="G2145" s="9" t="str">
        <x:v>B2</x:v>
      </x:c>
      <x:c r="H2145" s="9" t="str">
        <x:v>INT</x:v>
      </x:c>
      <x:c r="I2145" s="9" t="str">
        <x:v>PD11</x:v>
      </x:c>
      <x:c r="J2145" s="17" t="str">
        <x:v>Invalidity petition and opinion</x:v>
      </x:c>
      <x:c r="K2145" s="17" t="str">
        <x:v>Invalidity court</x:v>
      </x:c>
      <x:c r="L2145" s="17" t="str">
        <x:v>COURT-SEALED UNTIL COHORT RELEASE</x:v>
      </x:c>
      <x:c r="M2145" s="9" t="n">
        <x:v>0</x:v>
      </x:c>
      <x:c r="N2145" s="9" t="n">
        <x:v>0</x:v>
      </x:c>
      <x:c r="O2145" s="9" t="n">
        <x:v>0</x:v>
      </x:c>
      <x:c r="P2145" s="9" t="str">
        <x:v>HELD / UNRELEASED</x:v>
      </x:c>
      <x:c r="Q2145" s="9" t="n">
        <x:f>COUNTIFS($A$7:$A$2310,A2145)</x:f>
        <x:v>1</x:v>
      </x:c>
    </x:row>
    <x:row r="2146">
      <x:c r="A2146" s="9" t="str">
        <x:v>PD-AR-HC-A-C-TECH-3-B2-INT-G0-PD12</x:v>
      </x:c>
      <x:c r="B2146" s="9" t="str">
        <x:v>PD-AR-HC-A-C-TECH-3-B2-INT-G0</x:v>
      </x:c>
      <x:c r="C2146" s="9" t="str">
        <x:v>EV-AR-HC-A-C-TECH-3-B2-INT-G0</x:v>
      </x:c>
      <x:c r="D2146" s="9" t="str">
        <x:v>AR-HC-A-C-TECH-3-B2-INT-G0</x:v>
      </x:c>
      <x:c r="E2146" s="9" t="str">
        <x:v>HC-A-C-TECH-3</x:v>
      </x:c>
      <x:c r="F2146" s="9" t="str">
        <x:v>HC-A-C</x:v>
      </x:c>
      <x:c r="G2146" s="9" t="str">
        <x:v>B2</x:v>
      </x:c>
      <x:c r="H2146" s="9" t="str">
        <x:v>INT</x:v>
      </x:c>
      <x:c r="I2146" s="9" t="str">
        <x:v>PD12</x:v>
      </x:c>
      <x:c r="J2146" s="17" t="str">
        <x:v>Observation acceptance and replay</x:v>
      </x:c>
      <x:c r="K2146" s="17" t="str">
        <x:v>Observation court</x:v>
      </x:c>
      <x:c r="L2146" s="17" t="str">
        <x:v>COURT-SEALED UNTIL COHORT RELEASE</x:v>
      </x:c>
      <x:c r="M2146" s="9" t="n">
        <x:v>0</x:v>
      </x:c>
      <x:c r="N2146" s="9" t="n">
        <x:v>0</x:v>
      </x:c>
      <x:c r="O2146" s="9" t="n">
        <x:v>0</x:v>
      </x:c>
      <x:c r="P2146" s="9" t="str">
        <x:v>HELD / UNRELEASED</x:v>
      </x:c>
      <x:c r="Q2146" s="9" t="n">
        <x:f>COUNTIFS($A$7:$A$2310,A2146)</x:f>
        <x:v>1</x:v>
      </x:c>
    </x:row>
    <x:row r="2147">
      <x:c r="A2147" s="9" t="str">
        <x:v>PD-AR-HC-A-C-TECH-3-B2-INT-G0-PD13</x:v>
      </x:c>
      <x:c r="B2147" s="9" t="str">
        <x:v>PD-AR-HC-A-C-TECH-3-B2-INT-G0</x:v>
      </x:c>
      <x:c r="C2147" s="9" t="str">
        <x:v>EV-AR-HC-A-C-TECH-3-B2-INT-G0</x:v>
      </x:c>
      <x:c r="D2147" s="9" t="str">
        <x:v>AR-HC-A-C-TECH-3-B2-INT-G0</x:v>
      </x:c>
      <x:c r="E2147" s="9" t="str">
        <x:v>HC-A-C-TECH-3</x:v>
      </x:c>
      <x:c r="F2147" s="9" t="str">
        <x:v>HC-A-C</x:v>
      </x:c>
      <x:c r="G2147" s="9" t="str">
        <x:v>B2</x:v>
      </x:c>
      <x:c r="H2147" s="9" t="str">
        <x:v>INT</x:v>
      </x:c>
      <x:c r="I2147" s="9" t="str">
        <x:v>PD13</x:v>
      </x:c>
      <x:c r="J2147" s="17" t="str">
        <x:v>Role judgment</x:v>
      </x:c>
      <x:c r="K2147" s="17" t="str">
        <x:v>Role court</x:v>
      </x:c>
      <x:c r="L2147" s="17" t="str">
        <x:v>COURT-SEALED UNTIL COHORT RELEASE</x:v>
      </x:c>
      <x:c r="M2147" s="9" t="n">
        <x:v>0</x:v>
      </x:c>
      <x:c r="N2147" s="9" t="n">
        <x:v>0</x:v>
      </x:c>
      <x:c r="O2147" s="9" t="n">
        <x:v>0</x:v>
      </x:c>
      <x:c r="P2147" s="9" t="str">
        <x:v>HELD / UNRELEASED</x:v>
      </x:c>
      <x:c r="Q2147" s="9" t="n">
        <x:f>COUNTIFS($A$7:$A$2310,A2147)</x:f>
        <x:v>1</x:v>
      </x:c>
    </x:row>
    <x:row r="2148">
      <x:c r="A2148" s="9" t="str">
        <x:v>PD-AR-HC-A-C-TECH-3-B2-INT-G0-PD14</x:v>
      </x:c>
      <x:c r="B2148" s="9" t="str">
        <x:v>PD-AR-HC-A-C-TECH-3-B2-INT-G0</x:v>
      </x:c>
      <x:c r="C2148" s="9" t="str">
        <x:v>EV-AR-HC-A-C-TECH-3-B2-INT-G0</x:v>
      </x:c>
      <x:c r="D2148" s="9" t="str">
        <x:v>AR-HC-A-C-TECH-3-B2-INT-G0</x:v>
      </x:c>
      <x:c r="E2148" s="9" t="str">
        <x:v>HC-A-C-TECH-3</x:v>
      </x:c>
      <x:c r="F2148" s="9" t="str">
        <x:v>HC-A-C</x:v>
      </x:c>
      <x:c r="G2148" s="9" t="str">
        <x:v>B2</x:v>
      </x:c>
      <x:c r="H2148" s="9" t="str">
        <x:v>INT</x:v>
      </x:c>
      <x:c r="I2148" s="9" t="str">
        <x:v>PD14</x:v>
      </x:c>
      <x:c r="J2148" s="17" t="str">
        <x:v>Break and residual account</x:v>
      </x:c>
      <x:c r="K2148" s="17" t="str">
        <x:v>Residual authority</x:v>
      </x:c>
      <x:c r="L2148" s="17" t="str">
        <x:v>COURT-SEALED UNTIL COHORT RELEASE</x:v>
      </x:c>
      <x:c r="M2148" s="9" t="n">
        <x:v>0</x:v>
      </x:c>
      <x:c r="N2148" s="9" t="n">
        <x:v>0</x:v>
      </x:c>
      <x:c r="O2148" s="9" t="n">
        <x:v>0</x:v>
      </x:c>
      <x:c r="P2148" s="9" t="str">
        <x:v>HELD / UNRELEASED</x:v>
      </x:c>
      <x:c r="Q2148" s="9" t="n">
        <x:f>COUNTIFS($A$7:$A$2310,A2148)</x:f>
        <x:v>1</x:v>
      </x:c>
    </x:row>
    <x:row r="2149">
      <x:c r="A2149" s="9" t="str">
        <x:v>PD-AR-HC-A-C-TECH-3-B2-INT-G0-PD15</x:v>
      </x:c>
      <x:c r="B2149" s="9" t="str">
        <x:v>PD-AR-HC-A-C-TECH-3-B2-INT-G0</x:v>
      </x:c>
      <x:c r="C2149" s="9" t="str">
        <x:v>EV-AR-HC-A-C-TECH-3-B2-INT-G0</x:v>
      </x:c>
      <x:c r="D2149" s="9" t="str">
        <x:v>AR-HC-A-C-TECH-3-B2-INT-G0</x:v>
      </x:c>
      <x:c r="E2149" s="9" t="str">
        <x:v>HC-A-C-TECH-3</x:v>
      </x:c>
      <x:c r="F2149" s="9" t="str">
        <x:v>HC-A-C</x:v>
      </x:c>
      <x:c r="G2149" s="9" t="str">
        <x:v>B2</x:v>
      </x:c>
      <x:c r="H2149" s="9" t="str">
        <x:v>INT</x:v>
      </x:c>
      <x:c r="I2149" s="9" t="str">
        <x:v>PD15</x:v>
      </x:c>
      <x:c r="J2149" s="17" t="str">
        <x:v>Reconstruction ancestry and replay</x:v>
      </x:c>
      <x:c r="K2149" s="17" t="str">
        <x:v>Reconstruction court</x:v>
      </x:c>
      <x:c r="L2149" s="17" t="str">
        <x:v>COURT-SEALED UNTIL COHORT RELEASE</x:v>
      </x:c>
      <x:c r="M2149" s="9" t="n">
        <x:v>0</x:v>
      </x:c>
      <x:c r="N2149" s="9" t="n">
        <x:v>0</x:v>
      </x:c>
      <x:c r="O2149" s="9" t="n">
        <x:v>0</x:v>
      </x:c>
      <x:c r="P2149" s="9" t="str">
        <x:v>HELD / UNRELEASED</x:v>
      </x:c>
      <x:c r="Q2149" s="9" t="n">
        <x:f>COUNTIFS($A$7:$A$2310,A2149)</x:f>
        <x:v>1</x:v>
      </x:c>
    </x:row>
    <x:row r="2150">
      <x:c r="A2150" s="9" t="str">
        <x:v>PD-AR-HC-A-C-TECH-3-B2-INT-G0-PD16</x:v>
      </x:c>
      <x:c r="B2150" s="9" t="str">
        <x:v>PD-AR-HC-A-C-TECH-3-B2-INT-G0</x:v>
      </x:c>
      <x:c r="C2150" s="9" t="str">
        <x:v>EV-AR-HC-A-C-TECH-3-B2-INT-G0</x:v>
      </x:c>
      <x:c r="D2150" s="9" t="str">
        <x:v>AR-HC-A-C-TECH-3-B2-INT-G0</x:v>
      </x:c>
      <x:c r="E2150" s="9" t="str">
        <x:v>HC-A-C-TECH-3</x:v>
      </x:c>
      <x:c r="F2150" s="9" t="str">
        <x:v>HC-A-C</x:v>
      </x:c>
      <x:c r="G2150" s="9" t="str">
        <x:v>B2</x:v>
      </x:c>
      <x:c r="H2150" s="9" t="str">
        <x:v>INT</x:v>
      </x:c>
      <x:c r="I2150" s="9" t="str">
        <x:v>PD16</x:v>
      </x:c>
      <x:c r="J2150" s="17" t="str">
        <x:v>Dissent, amendments and access log</x:v>
      </x:c>
      <x:c r="K2150" s="17" t="str">
        <x:v>Public archive</x:v>
      </x:c>
      <x:c r="L2150" s="17" t="str">
        <x:v>COURT-SEALED UNTIL COHORT RELEASE</x:v>
      </x:c>
      <x:c r="M2150" s="9" t="n">
        <x:v>0</x:v>
      </x:c>
      <x:c r="N2150" s="9" t="n">
        <x:v>0</x:v>
      </x:c>
      <x:c r="O2150" s="9" t="n">
        <x:v>0</x:v>
      </x:c>
      <x:c r="P2150" s="9" t="str">
        <x:v>HELD / UNRELEASED</x:v>
      </x:c>
      <x:c r="Q2150" s="9" t="n">
        <x:f>COUNTIFS($A$7:$A$2310,A2150)</x:f>
        <x:v>1</x:v>
      </x:c>
    </x:row>
    <x:row r="2151">
      <x:c r="A2151" s="9" t="str">
        <x:v>PD-AR-HU-A-B-TECH-3-B2-RCN-G0-PD01</x:v>
      </x:c>
      <x:c r="B2151" s="9" t="str">
        <x:v>PD-AR-HU-A-B-TECH-3-B2-RCN-G0</x:v>
      </x:c>
      <x:c r="C2151" s="9" t="str">
        <x:v>EV-AR-HU-A-B-TECH-3-B2-RCN-G0</x:v>
      </x:c>
      <x:c r="D2151" s="9" t="str">
        <x:v>AR-HU-A-B-TECH-3-B2-RCN-G0</x:v>
      </x:c>
      <x:c r="E2151" s="9" t="str">
        <x:v>HU-A-B-TECH-3</x:v>
      </x:c>
      <x:c r="F2151" s="9" t="str">
        <x:v>HU-A-B</x:v>
      </x:c>
      <x:c r="G2151" s="9" t="str">
        <x:v>B2</x:v>
      </x:c>
      <x:c r="H2151" s="9" t="str">
        <x:v>RCN</x:v>
      </x:c>
      <x:c r="I2151" s="9" t="str">
        <x:v>PD01</x:v>
      </x:c>
      <x:c r="J2151" s="17" t="str">
        <x:v>Experiment kernel</x:v>
      </x:c>
      <x:c r="K2151" s="17" t="str">
        <x:v>Public archive</x:v>
      </x:c>
      <x:c r="L2151" s="17" t="str">
        <x:v>COURT-SEALED UNTIL COHORT RELEASE</x:v>
      </x:c>
      <x:c r="M2151" s="9" t="n">
        <x:v>0</x:v>
      </x:c>
      <x:c r="N2151" s="9" t="n">
        <x:v>0</x:v>
      </x:c>
      <x:c r="O2151" s="9" t="n">
        <x:v>0</x:v>
      </x:c>
      <x:c r="P2151" s="9" t="str">
        <x:v>HELD / UNRELEASED</x:v>
      </x:c>
      <x:c r="Q2151" s="9" t="n">
        <x:f>COUNTIFS($A$7:$A$2310,A2151)</x:f>
        <x:v>1</x:v>
      </x:c>
    </x:row>
    <x:row r="2152">
      <x:c r="A2152" s="9" t="str">
        <x:v>PD-AR-HU-A-B-TECH-3-B2-RCN-G0-PD02</x:v>
      </x:c>
      <x:c r="B2152" s="9" t="str">
        <x:v>PD-AR-HU-A-B-TECH-3-B2-RCN-G0</x:v>
      </x:c>
      <x:c r="C2152" s="9" t="str">
        <x:v>EV-AR-HU-A-B-TECH-3-B2-RCN-G0</x:v>
      </x:c>
      <x:c r="D2152" s="9" t="str">
        <x:v>AR-HU-A-B-TECH-3-B2-RCN-G0</x:v>
      </x:c>
      <x:c r="E2152" s="9" t="str">
        <x:v>HU-A-B-TECH-3</x:v>
      </x:c>
      <x:c r="F2152" s="9" t="str">
        <x:v>HU-A-B</x:v>
      </x:c>
      <x:c r="G2152" s="9" t="str">
        <x:v>B2</x:v>
      </x:c>
      <x:c r="H2152" s="9" t="str">
        <x:v>RCN</x:v>
      </x:c>
      <x:c r="I2152" s="9" t="str">
        <x:v>PD02</x:v>
      </x:c>
      <x:c r="J2152" s="17" t="str">
        <x:v>Serial annex and title chain</x:v>
      </x:c>
      <x:c r="K2152" s="17" t="str">
        <x:v>Public archive</x:v>
      </x:c>
      <x:c r="L2152" s="17" t="str">
        <x:v>COURT-SEALED UNTIL COHORT RELEASE</x:v>
      </x:c>
      <x:c r="M2152" s="9" t="n">
        <x:v>0</x:v>
      </x:c>
      <x:c r="N2152" s="9" t="n">
        <x:v>0</x:v>
      </x:c>
      <x:c r="O2152" s="9" t="n">
        <x:v>0</x:v>
      </x:c>
      <x:c r="P2152" s="9" t="str">
        <x:v>HELD / UNRELEASED</x:v>
      </x:c>
      <x:c r="Q2152" s="9" t="n">
        <x:f>COUNTIFS($A$7:$A$2310,A2152)</x:f>
        <x:v>1</x:v>
      </x:c>
    </x:row>
    <x:row r="2153">
      <x:c r="A2153" s="9" t="str">
        <x:v>PD-AR-HU-A-B-TECH-3-B2-RCN-G0-PD03</x:v>
      </x:c>
      <x:c r="B2153" s="9" t="str">
        <x:v>PD-AR-HU-A-B-TECH-3-B2-RCN-G0</x:v>
      </x:c>
      <x:c r="C2153" s="9" t="str">
        <x:v>EV-AR-HU-A-B-TECH-3-B2-RCN-G0</x:v>
      </x:c>
      <x:c r="D2153" s="9" t="str">
        <x:v>AR-HU-A-B-TECH-3-B2-RCN-G0</x:v>
      </x:c>
      <x:c r="E2153" s="9" t="str">
        <x:v>HU-A-B-TECH-3</x:v>
      </x:c>
      <x:c r="F2153" s="9" t="str">
        <x:v>HU-A-B</x:v>
      </x:c>
      <x:c r="G2153" s="9" t="str">
        <x:v>B2</x:v>
      </x:c>
      <x:c r="H2153" s="9" t="str">
        <x:v>RCN</x:v>
      </x:c>
      <x:c r="I2153" s="9" t="str">
        <x:v>PD03</x:v>
      </x:c>
      <x:c r="J2153" s="17" t="str">
        <x:v>Configuration and as-built manifest</x:v>
      </x:c>
      <x:c r="K2153" s="17" t="str">
        <x:v>Artifact exchange</x:v>
      </x:c>
      <x:c r="L2153" s="17" t="str">
        <x:v>COURT-SEALED UNTIL COHORT RELEASE</x:v>
      </x:c>
      <x:c r="M2153" s="9" t="n">
        <x:v>0</x:v>
      </x:c>
      <x:c r="N2153" s="9" t="n">
        <x:v>0</x:v>
      </x:c>
      <x:c r="O2153" s="9" t="n">
        <x:v>0</x:v>
      </x:c>
      <x:c r="P2153" s="9" t="str">
        <x:v>HELD / UNRELEASED</x:v>
      </x:c>
      <x:c r="Q2153" s="9" t="n">
        <x:f>COUNTIFS($A$7:$A$2310,A2153)</x:f>
        <x:v>1</x:v>
      </x:c>
    </x:row>
    <x:row r="2154">
      <x:c r="A2154" s="9" t="str">
        <x:v>PD-AR-HU-A-B-TECH-3-B2-RCN-G0-PD04</x:v>
      </x:c>
      <x:c r="B2154" s="9" t="str">
        <x:v>PD-AR-HU-A-B-TECH-3-B2-RCN-G0</x:v>
      </x:c>
      <x:c r="C2154" s="9" t="str">
        <x:v>EV-AR-HU-A-B-TECH-3-B2-RCN-G0</x:v>
      </x:c>
      <x:c r="D2154" s="9" t="str">
        <x:v>AR-HU-A-B-TECH-3-B2-RCN-G0</x:v>
      </x:c>
      <x:c r="E2154" s="9" t="str">
        <x:v>HU-A-B-TECH-3</x:v>
      </x:c>
      <x:c r="F2154" s="9" t="str">
        <x:v>HU-A-B</x:v>
      </x:c>
      <x:c r="G2154" s="9" t="str">
        <x:v>B2</x:v>
      </x:c>
      <x:c r="H2154" s="9" t="str">
        <x:v>RCN</x:v>
      </x:c>
      <x:c r="I2154" s="9" t="str">
        <x:v>PD04</x:v>
      </x:c>
      <x:c r="J2154" s="17" t="str">
        <x:v>EOW and start certificate</x:v>
      </x:c>
      <x:c r="K2154" s="17" t="str">
        <x:v>Start registrar</x:v>
      </x:c>
      <x:c r="L2154" s="17" t="str">
        <x:v>COURT-SEALED UNTIL COHORT RELEASE</x:v>
      </x:c>
      <x:c r="M2154" s="9" t="n">
        <x:v>0</x:v>
      </x:c>
      <x:c r="N2154" s="9" t="n">
        <x:v>0</x:v>
      </x:c>
      <x:c r="O2154" s="9" t="n">
        <x:v>0</x:v>
      </x:c>
      <x:c r="P2154" s="9" t="str">
        <x:v>HELD / UNRELEASED</x:v>
      </x:c>
      <x:c r="Q2154" s="9" t="n">
        <x:f>COUNTIFS($A$7:$A$2310,A2154)</x:f>
        <x:v>1</x:v>
      </x:c>
    </x:row>
    <x:row r="2155">
      <x:c r="A2155" s="9" t="str">
        <x:v>PD-AR-HU-A-B-TECH-3-B2-RCN-G0-PD05</x:v>
      </x:c>
      <x:c r="B2155" s="9" t="str">
        <x:v>PD-AR-HU-A-B-TECH-3-B2-RCN-G0</x:v>
      </x:c>
      <x:c r="C2155" s="9" t="str">
        <x:v>EV-AR-HU-A-B-TECH-3-B2-RCN-G0</x:v>
      </x:c>
      <x:c r="D2155" s="9" t="str">
        <x:v>AR-HU-A-B-TECH-3-B2-RCN-G0</x:v>
      </x:c>
      <x:c r="E2155" s="9" t="str">
        <x:v>HU-A-B-TECH-3</x:v>
      </x:c>
      <x:c r="F2155" s="9" t="str">
        <x:v>HU-A-B</x:v>
      </x:c>
      <x:c r="G2155" s="9" t="str">
        <x:v>B2</x:v>
      </x:c>
      <x:c r="H2155" s="9" t="str">
        <x:v>RCN</x:v>
      </x:c>
      <x:c r="I2155" s="9" t="str">
        <x:v>PD05</x:v>
      </x:c>
      <x:c r="J2155" s="17" t="str">
        <x:v>Primary raw originals</x:v>
      </x:c>
      <x:c r="K2155" s="17" t="str">
        <x:v>Primary custody</x:v>
      </x:c>
      <x:c r="L2155" s="17" t="str">
        <x:v>COURT-SEALED UNTIL COHORT RELEASE</x:v>
      </x:c>
      <x:c r="M2155" s="9" t="n">
        <x:v>0</x:v>
      </x:c>
      <x:c r="N2155" s="9" t="n">
        <x:v>0</x:v>
      </x:c>
      <x:c r="O2155" s="9" t="n">
        <x:v>0</x:v>
      </x:c>
      <x:c r="P2155" s="9" t="str">
        <x:v>HELD / UNRELEASED</x:v>
      </x:c>
      <x:c r="Q2155" s="9" t="n">
        <x:f>COUNTIFS($A$7:$A$2310,A2155)</x:f>
        <x:v>1</x:v>
      </x:c>
    </x:row>
    <x:row r="2156">
      <x:c r="A2156" s="9" t="str">
        <x:v>PD-AR-HU-A-B-TECH-3-B2-RCN-G0-PD06</x:v>
      </x:c>
      <x:c r="B2156" s="9" t="str">
        <x:v>PD-AR-HU-A-B-TECH-3-B2-RCN-G0</x:v>
      </x:c>
      <x:c r="C2156" s="9" t="str">
        <x:v>EV-AR-HU-A-B-TECH-3-B2-RCN-G0</x:v>
      </x:c>
      <x:c r="D2156" s="9" t="str">
        <x:v>AR-HU-A-B-TECH-3-B2-RCN-G0</x:v>
      </x:c>
      <x:c r="E2156" s="9" t="str">
        <x:v>HU-A-B-TECH-3</x:v>
      </x:c>
      <x:c r="F2156" s="9" t="str">
        <x:v>HU-A-B</x:v>
      </x:c>
      <x:c r="G2156" s="9" t="str">
        <x:v>B2</x:v>
      </x:c>
      <x:c r="H2156" s="9" t="str">
        <x:v>RCN</x:v>
      </x:c>
      <x:c r="I2156" s="9" t="str">
        <x:v>PD06</x:v>
      </x:c>
      <x:c r="J2156" s="17" t="str">
        <x:v>Witness raw originals</x:v>
      </x:c>
      <x:c r="K2156" s="17" t="str">
        <x:v>Witness custody</x:v>
      </x:c>
      <x:c r="L2156" s="17" t="str">
        <x:v>COURT-SEALED UNTIL COHORT RELEASE</x:v>
      </x:c>
      <x:c r="M2156" s="9" t="n">
        <x:v>0</x:v>
      </x:c>
      <x:c r="N2156" s="9" t="n">
        <x:v>0</x:v>
      </x:c>
      <x:c r="O2156" s="9" t="n">
        <x:v>0</x:v>
      </x:c>
      <x:c r="P2156" s="9" t="str">
        <x:v>HELD / UNRELEASED</x:v>
      </x:c>
      <x:c r="Q2156" s="9" t="n">
        <x:f>COUNTIFS($A$7:$A$2310,A2156)</x:f>
        <x:v>1</x:v>
      </x:c>
    </x:row>
    <x:row r="2157">
      <x:c r="A2157" s="9" t="str">
        <x:v>PD-AR-HU-A-B-TECH-3-B2-RCN-G0-PD07</x:v>
      </x:c>
      <x:c r="B2157" s="9" t="str">
        <x:v>PD-AR-HU-A-B-TECH-3-B2-RCN-G0</x:v>
      </x:c>
      <x:c r="C2157" s="9" t="str">
        <x:v>EV-AR-HU-A-B-TECH-3-B2-RCN-G0</x:v>
      </x:c>
      <x:c r="D2157" s="9" t="str">
        <x:v>AR-HU-A-B-TECH-3-B2-RCN-G0</x:v>
      </x:c>
      <x:c r="E2157" s="9" t="str">
        <x:v>HU-A-B-TECH-3</x:v>
      </x:c>
      <x:c r="F2157" s="9" t="str">
        <x:v>HU-A-B</x:v>
      </x:c>
      <x:c r="G2157" s="9" t="str">
        <x:v>B2</x:v>
      </x:c>
      <x:c r="H2157" s="9" t="str">
        <x:v>RCN</x:v>
      </x:c>
      <x:c r="I2157" s="9" t="str">
        <x:v>PD07</x:v>
      </x:c>
      <x:c r="J2157" s="17" t="str">
        <x:v>Clock and environmental records</x:v>
      </x:c>
      <x:c r="K2157" s="17" t="str">
        <x:v>Boundary archive</x:v>
      </x:c>
      <x:c r="L2157" s="17" t="str">
        <x:v>COURT-SEALED UNTIL COHORT RELEASE</x:v>
      </x:c>
      <x:c r="M2157" s="9" t="n">
        <x:v>0</x:v>
      </x:c>
      <x:c r="N2157" s="9" t="n">
        <x:v>0</x:v>
      </x:c>
      <x:c r="O2157" s="9" t="n">
        <x:v>0</x:v>
      </x:c>
      <x:c r="P2157" s="9" t="str">
        <x:v>HELD / UNRELEASED</x:v>
      </x:c>
      <x:c r="Q2157" s="9" t="n">
        <x:f>COUNTIFS($A$7:$A$2310,A2157)</x:f>
        <x:v>1</x:v>
      </x:c>
    </x:row>
    <x:row r="2158">
      <x:c r="A2158" s="9" t="str">
        <x:v>PD-AR-HU-A-B-TECH-3-B2-RCN-G0-PD08</x:v>
      </x:c>
      <x:c r="B2158" s="9" t="str">
        <x:v>PD-AR-HU-A-B-TECH-3-B2-RCN-G0</x:v>
      </x:c>
      <x:c r="C2158" s="9" t="str">
        <x:v>EV-AR-HU-A-B-TECH-3-B2-RCN-G0</x:v>
      </x:c>
      <x:c r="D2158" s="9" t="str">
        <x:v>AR-HU-A-B-TECH-3-B2-RCN-G0</x:v>
      </x:c>
      <x:c r="E2158" s="9" t="str">
        <x:v>HU-A-B-TECH-3</x:v>
      </x:c>
      <x:c r="F2158" s="9" t="str">
        <x:v>HU-A-B</x:v>
      </x:c>
      <x:c r="G2158" s="9" t="str">
        <x:v>B2</x:v>
      </x:c>
      <x:c r="H2158" s="9" t="str">
        <x:v>RCN</x:v>
      </x:c>
      <x:c r="I2158" s="9" t="str">
        <x:v>PD08</x:v>
      </x:c>
      <x:c r="J2158" s="17" t="str">
        <x:v>Command and intervention log</x:v>
      </x:c>
      <x:c r="K2158" s="17" t="str">
        <x:v>Safety archive</x:v>
      </x:c>
      <x:c r="L2158" s="17" t="str">
        <x:v>COURT-SEALED UNTIL COHORT RELEASE</x:v>
      </x:c>
      <x:c r="M2158" s="9" t="n">
        <x:v>0</x:v>
      </x:c>
      <x:c r="N2158" s="9" t="n">
        <x:v>0</x:v>
      </x:c>
      <x:c r="O2158" s="9" t="n">
        <x:v>0</x:v>
      </x:c>
      <x:c r="P2158" s="9" t="str">
        <x:v>HELD / UNRELEASED</x:v>
      </x:c>
      <x:c r="Q2158" s="9" t="n">
        <x:f>COUNTIFS($A$7:$A$2310,A2158)</x:f>
        <x:v>1</x:v>
      </x:c>
    </x:row>
    <x:row r="2159">
      <x:c r="A2159" s="9" t="str">
        <x:v>PD-AR-HU-A-B-TECH-3-B2-RCN-G0-PD09</x:v>
      </x:c>
      <x:c r="B2159" s="9" t="str">
        <x:v>PD-AR-HU-A-B-TECH-3-B2-RCN-G0</x:v>
      </x:c>
      <x:c r="C2159" s="9" t="str">
        <x:v>EV-AR-HU-A-B-TECH-3-B2-RCN-G0</x:v>
      </x:c>
      <x:c r="D2159" s="9" t="str">
        <x:v>AR-HU-A-B-TECH-3-B2-RCN-G0</x:v>
      </x:c>
      <x:c r="E2159" s="9" t="str">
        <x:v>HU-A-B-TECH-3</x:v>
      </x:c>
      <x:c r="F2159" s="9" t="str">
        <x:v>HU-A-B</x:v>
      </x:c>
      <x:c r="G2159" s="9" t="str">
        <x:v>B2</x:v>
      </x:c>
      <x:c r="H2159" s="9" t="str">
        <x:v>RCN</x:v>
      </x:c>
      <x:c r="I2159" s="9" t="str">
        <x:v>PD09</x:v>
      </x:c>
      <x:c r="J2159" s="17" t="str">
        <x:v>Receiver denominator and service ledger</x:v>
      </x:c>
      <x:c r="K2159" s="17" t="str">
        <x:v>Receiver archive</x:v>
      </x:c>
      <x:c r="L2159" s="17" t="str">
        <x:v>COURT-SEALED UNTIL COHORT RELEASE</x:v>
      </x:c>
      <x:c r="M2159" s="9" t="n">
        <x:v>0</x:v>
      </x:c>
      <x:c r="N2159" s="9" t="n">
        <x:v>0</x:v>
      </x:c>
      <x:c r="O2159" s="9" t="n">
        <x:v>0</x:v>
      </x:c>
      <x:c r="P2159" s="9" t="str">
        <x:v>HELD / UNRELEASED</x:v>
      </x:c>
      <x:c r="Q2159" s="9" t="n">
        <x:f>COUNTIFS($A$7:$A$2310,A2159)</x:f>
        <x:v>1</x:v>
      </x:c>
    </x:row>
    <x:row r="2160">
      <x:c r="A2160" s="9" t="str">
        <x:v>PD-AR-HU-A-B-TECH-3-B2-RCN-G0-PD10</x:v>
      </x:c>
      <x:c r="B2160" s="9" t="str">
        <x:v>PD-AR-HU-A-B-TECH-3-B2-RCN-G0</x:v>
      </x:c>
      <x:c r="C2160" s="9" t="str">
        <x:v>EV-AR-HU-A-B-TECH-3-B2-RCN-G0</x:v>
      </x:c>
      <x:c r="D2160" s="9" t="str">
        <x:v>AR-HU-A-B-TECH-3-B2-RCN-G0</x:v>
      </x:c>
      <x:c r="E2160" s="9" t="str">
        <x:v>HU-A-B-TECH-3</x:v>
      </x:c>
      <x:c r="F2160" s="9" t="str">
        <x:v>HU-A-B</x:v>
      </x:c>
      <x:c r="G2160" s="9" t="str">
        <x:v>B2</x:v>
      </x:c>
      <x:c r="H2160" s="9" t="str">
        <x:v>RCN</x:v>
      </x:c>
      <x:c r="I2160" s="9" t="str">
        <x:v>PD10</x:v>
      </x:c>
      <x:c r="J2160" s="17" t="str">
        <x:v>Calibration and uncertainty record</x:v>
      </x:c>
      <x:c r="K2160" s="17" t="str">
        <x:v>Metrology archive</x:v>
      </x:c>
      <x:c r="L2160" s="17" t="str">
        <x:v>COURT-SEALED UNTIL COHORT RELEASE</x:v>
      </x:c>
      <x:c r="M2160" s="9" t="n">
        <x:v>0</x:v>
      </x:c>
      <x:c r="N2160" s="9" t="n">
        <x:v>0</x:v>
      </x:c>
      <x:c r="O2160" s="9" t="n">
        <x:v>0</x:v>
      </x:c>
      <x:c r="P2160" s="9" t="str">
        <x:v>HELD / UNRELEASED</x:v>
      </x:c>
      <x:c r="Q2160" s="9" t="n">
        <x:f>COUNTIFS($A$7:$A$2310,A2160)</x:f>
        <x:v>1</x:v>
      </x:c>
    </x:row>
    <x:row r="2161">
      <x:c r="A2161" s="9" t="str">
        <x:v>PD-AR-HU-A-B-TECH-3-B2-RCN-G0-PD11</x:v>
      </x:c>
      <x:c r="B2161" s="9" t="str">
        <x:v>PD-AR-HU-A-B-TECH-3-B2-RCN-G0</x:v>
      </x:c>
      <x:c r="C2161" s="9" t="str">
        <x:v>EV-AR-HU-A-B-TECH-3-B2-RCN-G0</x:v>
      </x:c>
      <x:c r="D2161" s="9" t="str">
        <x:v>AR-HU-A-B-TECH-3-B2-RCN-G0</x:v>
      </x:c>
      <x:c r="E2161" s="9" t="str">
        <x:v>HU-A-B-TECH-3</x:v>
      </x:c>
      <x:c r="F2161" s="9" t="str">
        <x:v>HU-A-B</x:v>
      </x:c>
      <x:c r="G2161" s="9" t="str">
        <x:v>B2</x:v>
      </x:c>
      <x:c r="H2161" s="9" t="str">
        <x:v>RCN</x:v>
      </x:c>
      <x:c r="I2161" s="9" t="str">
        <x:v>PD11</x:v>
      </x:c>
      <x:c r="J2161" s="17" t="str">
        <x:v>Invalidity petition and opinion</x:v>
      </x:c>
      <x:c r="K2161" s="17" t="str">
        <x:v>Invalidity court</x:v>
      </x:c>
      <x:c r="L2161" s="17" t="str">
        <x:v>COURT-SEALED UNTIL COHORT RELEASE</x:v>
      </x:c>
      <x:c r="M2161" s="9" t="n">
        <x:v>0</x:v>
      </x:c>
      <x:c r="N2161" s="9" t="n">
        <x:v>0</x:v>
      </x:c>
      <x:c r="O2161" s="9" t="n">
        <x:v>0</x:v>
      </x:c>
      <x:c r="P2161" s="9" t="str">
        <x:v>HELD / UNRELEASED</x:v>
      </x:c>
      <x:c r="Q2161" s="9" t="n">
        <x:f>COUNTIFS($A$7:$A$2310,A2161)</x:f>
        <x:v>1</x:v>
      </x:c>
    </x:row>
    <x:row r="2162">
      <x:c r="A2162" s="9" t="str">
        <x:v>PD-AR-HU-A-B-TECH-3-B2-RCN-G0-PD12</x:v>
      </x:c>
      <x:c r="B2162" s="9" t="str">
        <x:v>PD-AR-HU-A-B-TECH-3-B2-RCN-G0</x:v>
      </x:c>
      <x:c r="C2162" s="9" t="str">
        <x:v>EV-AR-HU-A-B-TECH-3-B2-RCN-G0</x:v>
      </x:c>
      <x:c r="D2162" s="9" t="str">
        <x:v>AR-HU-A-B-TECH-3-B2-RCN-G0</x:v>
      </x:c>
      <x:c r="E2162" s="9" t="str">
        <x:v>HU-A-B-TECH-3</x:v>
      </x:c>
      <x:c r="F2162" s="9" t="str">
        <x:v>HU-A-B</x:v>
      </x:c>
      <x:c r="G2162" s="9" t="str">
        <x:v>B2</x:v>
      </x:c>
      <x:c r="H2162" s="9" t="str">
        <x:v>RCN</x:v>
      </x:c>
      <x:c r="I2162" s="9" t="str">
        <x:v>PD12</x:v>
      </x:c>
      <x:c r="J2162" s="17" t="str">
        <x:v>Observation acceptance and replay</x:v>
      </x:c>
      <x:c r="K2162" s="17" t="str">
        <x:v>Observation court</x:v>
      </x:c>
      <x:c r="L2162" s="17" t="str">
        <x:v>COURT-SEALED UNTIL COHORT RELEASE</x:v>
      </x:c>
      <x:c r="M2162" s="9" t="n">
        <x:v>0</x:v>
      </x:c>
      <x:c r="N2162" s="9" t="n">
        <x:v>0</x:v>
      </x:c>
      <x:c r="O2162" s="9" t="n">
        <x:v>0</x:v>
      </x:c>
      <x:c r="P2162" s="9" t="str">
        <x:v>HELD / UNRELEASED</x:v>
      </x:c>
      <x:c r="Q2162" s="9" t="n">
        <x:f>COUNTIFS($A$7:$A$2310,A2162)</x:f>
        <x:v>1</x:v>
      </x:c>
    </x:row>
    <x:row r="2163">
      <x:c r="A2163" s="9" t="str">
        <x:v>PD-AR-HU-A-B-TECH-3-B2-RCN-G0-PD13</x:v>
      </x:c>
      <x:c r="B2163" s="9" t="str">
        <x:v>PD-AR-HU-A-B-TECH-3-B2-RCN-G0</x:v>
      </x:c>
      <x:c r="C2163" s="9" t="str">
        <x:v>EV-AR-HU-A-B-TECH-3-B2-RCN-G0</x:v>
      </x:c>
      <x:c r="D2163" s="9" t="str">
        <x:v>AR-HU-A-B-TECH-3-B2-RCN-G0</x:v>
      </x:c>
      <x:c r="E2163" s="9" t="str">
        <x:v>HU-A-B-TECH-3</x:v>
      </x:c>
      <x:c r="F2163" s="9" t="str">
        <x:v>HU-A-B</x:v>
      </x:c>
      <x:c r="G2163" s="9" t="str">
        <x:v>B2</x:v>
      </x:c>
      <x:c r="H2163" s="9" t="str">
        <x:v>RCN</x:v>
      </x:c>
      <x:c r="I2163" s="9" t="str">
        <x:v>PD13</x:v>
      </x:c>
      <x:c r="J2163" s="17" t="str">
        <x:v>Role judgment</x:v>
      </x:c>
      <x:c r="K2163" s="17" t="str">
        <x:v>Role court</x:v>
      </x:c>
      <x:c r="L2163" s="17" t="str">
        <x:v>COURT-SEALED UNTIL COHORT RELEASE</x:v>
      </x:c>
      <x:c r="M2163" s="9" t="n">
        <x:v>0</x:v>
      </x:c>
      <x:c r="N2163" s="9" t="n">
        <x:v>0</x:v>
      </x:c>
      <x:c r="O2163" s="9" t="n">
        <x:v>0</x:v>
      </x:c>
      <x:c r="P2163" s="9" t="str">
        <x:v>HELD / UNRELEASED</x:v>
      </x:c>
      <x:c r="Q2163" s="9" t="n">
        <x:f>COUNTIFS($A$7:$A$2310,A2163)</x:f>
        <x:v>1</x:v>
      </x:c>
    </x:row>
    <x:row r="2164">
      <x:c r="A2164" s="9" t="str">
        <x:v>PD-AR-HU-A-B-TECH-3-B2-RCN-G0-PD14</x:v>
      </x:c>
      <x:c r="B2164" s="9" t="str">
        <x:v>PD-AR-HU-A-B-TECH-3-B2-RCN-G0</x:v>
      </x:c>
      <x:c r="C2164" s="9" t="str">
        <x:v>EV-AR-HU-A-B-TECH-3-B2-RCN-G0</x:v>
      </x:c>
      <x:c r="D2164" s="9" t="str">
        <x:v>AR-HU-A-B-TECH-3-B2-RCN-G0</x:v>
      </x:c>
      <x:c r="E2164" s="9" t="str">
        <x:v>HU-A-B-TECH-3</x:v>
      </x:c>
      <x:c r="F2164" s="9" t="str">
        <x:v>HU-A-B</x:v>
      </x:c>
      <x:c r="G2164" s="9" t="str">
        <x:v>B2</x:v>
      </x:c>
      <x:c r="H2164" s="9" t="str">
        <x:v>RCN</x:v>
      </x:c>
      <x:c r="I2164" s="9" t="str">
        <x:v>PD14</x:v>
      </x:c>
      <x:c r="J2164" s="17" t="str">
        <x:v>Break and residual account</x:v>
      </x:c>
      <x:c r="K2164" s="17" t="str">
        <x:v>Residual authority</x:v>
      </x:c>
      <x:c r="L2164" s="17" t="str">
        <x:v>COURT-SEALED UNTIL COHORT RELEASE</x:v>
      </x:c>
      <x:c r="M2164" s="9" t="n">
        <x:v>0</x:v>
      </x:c>
      <x:c r="N2164" s="9" t="n">
        <x:v>0</x:v>
      </x:c>
      <x:c r="O2164" s="9" t="n">
        <x:v>0</x:v>
      </x:c>
      <x:c r="P2164" s="9" t="str">
        <x:v>HELD / UNRELEASED</x:v>
      </x:c>
      <x:c r="Q2164" s="9" t="n">
        <x:f>COUNTIFS($A$7:$A$2310,A2164)</x:f>
        <x:v>1</x:v>
      </x:c>
    </x:row>
    <x:row r="2165">
      <x:c r="A2165" s="9" t="str">
        <x:v>PD-AR-HU-A-B-TECH-3-B2-RCN-G0-PD15</x:v>
      </x:c>
      <x:c r="B2165" s="9" t="str">
        <x:v>PD-AR-HU-A-B-TECH-3-B2-RCN-G0</x:v>
      </x:c>
      <x:c r="C2165" s="9" t="str">
        <x:v>EV-AR-HU-A-B-TECH-3-B2-RCN-G0</x:v>
      </x:c>
      <x:c r="D2165" s="9" t="str">
        <x:v>AR-HU-A-B-TECH-3-B2-RCN-G0</x:v>
      </x:c>
      <x:c r="E2165" s="9" t="str">
        <x:v>HU-A-B-TECH-3</x:v>
      </x:c>
      <x:c r="F2165" s="9" t="str">
        <x:v>HU-A-B</x:v>
      </x:c>
      <x:c r="G2165" s="9" t="str">
        <x:v>B2</x:v>
      </x:c>
      <x:c r="H2165" s="9" t="str">
        <x:v>RCN</x:v>
      </x:c>
      <x:c r="I2165" s="9" t="str">
        <x:v>PD15</x:v>
      </x:c>
      <x:c r="J2165" s="17" t="str">
        <x:v>Reconstruction ancestry and replay</x:v>
      </x:c>
      <x:c r="K2165" s="17" t="str">
        <x:v>Reconstruction court</x:v>
      </x:c>
      <x:c r="L2165" s="17" t="str">
        <x:v>COURT-SEALED UNTIL COHORT RELEASE</x:v>
      </x:c>
      <x:c r="M2165" s="9" t="n">
        <x:v>0</x:v>
      </x:c>
      <x:c r="N2165" s="9" t="n">
        <x:v>0</x:v>
      </x:c>
      <x:c r="O2165" s="9" t="n">
        <x:v>0</x:v>
      </x:c>
      <x:c r="P2165" s="9" t="str">
        <x:v>HELD / UNRELEASED</x:v>
      </x:c>
      <x:c r="Q2165" s="9" t="n">
        <x:f>COUNTIFS($A$7:$A$2310,A2165)</x:f>
        <x:v>1</x:v>
      </x:c>
    </x:row>
    <x:row r="2166">
      <x:c r="A2166" s="9" t="str">
        <x:v>PD-AR-HU-A-B-TECH-3-B2-RCN-G0-PD16</x:v>
      </x:c>
      <x:c r="B2166" s="9" t="str">
        <x:v>PD-AR-HU-A-B-TECH-3-B2-RCN-G0</x:v>
      </x:c>
      <x:c r="C2166" s="9" t="str">
        <x:v>EV-AR-HU-A-B-TECH-3-B2-RCN-G0</x:v>
      </x:c>
      <x:c r="D2166" s="9" t="str">
        <x:v>AR-HU-A-B-TECH-3-B2-RCN-G0</x:v>
      </x:c>
      <x:c r="E2166" s="9" t="str">
        <x:v>HU-A-B-TECH-3</x:v>
      </x:c>
      <x:c r="F2166" s="9" t="str">
        <x:v>HU-A-B</x:v>
      </x:c>
      <x:c r="G2166" s="9" t="str">
        <x:v>B2</x:v>
      </x:c>
      <x:c r="H2166" s="9" t="str">
        <x:v>RCN</x:v>
      </x:c>
      <x:c r="I2166" s="9" t="str">
        <x:v>PD16</x:v>
      </x:c>
      <x:c r="J2166" s="17" t="str">
        <x:v>Dissent, amendments and access log</x:v>
      </x:c>
      <x:c r="K2166" s="17" t="str">
        <x:v>Public archive</x:v>
      </x:c>
      <x:c r="L2166" s="17" t="str">
        <x:v>COURT-SEALED UNTIL COHORT RELEASE</x:v>
      </x:c>
      <x:c r="M2166" s="9" t="n">
        <x:v>0</x:v>
      </x:c>
      <x:c r="N2166" s="9" t="n">
        <x:v>0</x:v>
      </x:c>
      <x:c r="O2166" s="9" t="n">
        <x:v>0</x:v>
      </x:c>
      <x:c r="P2166" s="9" t="str">
        <x:v>HELD / UNRELEASED</x:v>
      </x:c>
      <x:c r="Q2166" s="9" t="n">
        <x:f>COUNTIFS($A$7:$A$2310,A2166)</x:f>
        <x:v>1</x:v>
      </x:c>
    </x:row>
    <x:row r="2167">
      <x:c r="A2167" s="9" t="str">
        <x:v>PD-AR-HU-A-B-TECH-4-B1-RCN-G0-PD01</x:v>
      </x:c>
      <x:c r="B2167" s="9" t="str">
        <x:v>PD-AR-HU-A-B-TECH-4-B1-RCN-G0</x:v>
      </x:c>
      <x:c r="C2167" s="9" t="str">
        <x:v>EV-AR-HU-A-B-TECH-4-B1-RCN-G0</x:v>
      </x:c>
      <x:c r="D2167" s="9" t="str">
        <x:v>AR-HU-A-B-TECH-4-B1-RCN-G0</x:v>
      </x:c>
      <x:c r="E2167" s="9" t="str">
        <x:v>HU-A-B-TECH-4</x:v>
      </x:c>
      <x:c r="F2167" s="9" t="str">
        <x:v>HU-A-B</x:v>
      </x:c>
      <x:c r="G2167" s="9" t="str">
        <x:v>B1</x:v>
      </x:c>
      <x:c r="H2167" s="9" t="str">
        <x:v>RCN</x:v>
      </x:c>
      <x:c r="I2167" s="9" t="str">
        <x:v>PD01</x:v>
      </x:c>
      <x:c r="J2167" s="17" t="str">
        <x:v>Experiment kernel</x:v>
      </x:c>
      <x:c r="K2167" s="17" t="str">
        <x:v>Public archive</x:v>
      </x:c>
      <x:c r="L2167" s="17" t="str">
        <x:v>COURT-SEALED UNTIL COHORT RELEASE</x:v>
      </x:c>
      <x:c r="M2167" s="9" t="n">
        <x:v>0</x:v>
      </x:c>
      <x:c r="N2167" s="9" t="n">
        <x:v>0</x:v>
      </x:c>
      <x:c r="O2167" s="9" t="n">
        <x:v>0</x:v>
      </x:c>
      <x:c r="P2167" s="9" t="str">
        <x:v>HELD / UNRELEASED</x:v>
      </x:c>
      <x:c r="Q2167" s="9" t="n">
        <x:f>COUNTIFS($A$7:$A$2310,A2167)</x:f>
        <x:v>1</x:v>
      </x:c>
    </x:row>
    <x:row r="2168">
      <x:c r="A2168" s="9" t="str">
        <x:v>PD-AR-HU-A-B-TECH-4-B1-RCN-G0-PD02</x:v>
      </x:c>
      <x:c r="B2168" s="9" t="str">
        <x:v>PD-AR-HU-A-B-TECH-4-B1-RCN-G0</x:v>
      </x:c>
      <x:c r="C2168" s="9" t="str">
        <x:v>EV-AR-HU-A-B-TECH-4-B1-RCN-G0</x:v>
      </x:c>
      <x:c r="D2168" s="9" t="str">
        <x:v>AR-HU-A-B-TECH-4-B1-RCN-G0</x:v>
      </x:c>
      <x:c r="E2168" s="9" t="str">
        <x:v>HU-A-B-TECH-4</x:v>
      </x:c>
      <x:c r="F2168" s="9" t="str">
        <x:v>HU-A-B</x:v>
      </x:c>
      <x:c r="G2168" s="9" t="str">
        <x:v>B1</x:v>
      </x:c>
      <x:c r="H2168" s="9" t="str">
        <x:v>RCN</x:v>
      </x:c>
      <x:c r="I2168" s="9" t="str">
        <x:v>PD02</x:v>
      </x:c>
      <x:c r="J2168" s="17" t="str">
        <x:v>Serial annex and title chain</x:v>
      </x:c>
      <x:c r="K2168" s="17" t="str">
        <x:v>Public archive</x:v>
      </x:c>
      <x:c r="L2168" s="17" t="str">
        <x:v>COURT-SEALED UNTIL COHORT RELEASE</x:v>
      </x:c>
      <x:c r="M2168" s="9" t="n">
        <x:v>0</x:v>
      </x:c>
      <x:c r="N2168" s="9" t="n">
        <x:v>0</x:v>
      </x:c>
      <x:c r="O2168" s="9" t="n">
        <x:v>0</x:v>
      </x:c>
      <x:c r="P2168" s="9" t="str">
        <x:v>HELD / UNRELEASED</x:v>
      </x:c>
      <x:c r="Q2168" s="9" t="n">
        <x:f>COUNTIFS($A$7:$A$2310,A2168)</x:f>
        <x:v>1</x:v>
      </x:c>
    </x:row>
    <x:row r="2169">
      <x:c r="A2169" s="9" t="str">
        <x:v>PD-AR-HU-A-B-TECH-4-B1-RCN-G0-PD03</x:v>
      </x:c>
      <x:c r="B2169" s="9" t="str">
        <x:v>PD-AR-HU-A-B-TECH-4-B1-RCN-G0</x:v>
      </x:c>
      <x:c r="C2169" s="9" t="str">
        <x:v>EV-AR-HU-A-B-TECH-4-B1-RCN-G0</x:v>
      </x:c>
      <x:c r="D2169" s="9" t="str">
        <x:v>AR-HU-A-B-TECH-4-B1-RCN-G0</x:v>
      </x:c>
      <x:c r="E2169" s="9" t="str">
        <x:v>HU-A-B-TECH-4</x:v>
      </x:c>
      <x:c r="F2169" s="9" t="str">
        <x:v>HU-A-B</x:v>
      </x:c>
      <x:c r="G2169" s="9" t="str">
        <x:v>B1</x:v>
      </x:c>
      <x:c r="H2169" s="9" t="str">
        <x:v>RCN</x:v>
      </x:c>
      <x:c r="I2169" s="9" t="str">
        <x:v>PD03</x:v>
      </x:c>
      <x:c r="J2169" s="17" t="str">
        <x:v>Configuration and as-built manifest</x:v>
      </x:c>
      <x:c r="K2169" s="17" t="str">
        <x:v>Artifact exchange</x:v>
      </x:c>
      <x:c r="L2169" s="17" t="str">
        <x:v>COURT-SEALED UNTIL COHORT RELEASE</x:v>
      </x:c>
      <x:c r="M2169" s="9" t="n">
        <x:v>0</x:v>
      </x:c>
      <x:c r="N2169" s="9" t="n">
        <x:v>0</x:v>
      </x:c>
      <x:c r="O2169" s="9" t="n">
        <x:v>0</x:v>
      </x:c>
      <x:c r="P2169" s="9" t="str">
        <x:v>HELD / UNRELEASED</x:v>
      </x:c>
      <x:c r="Q2169" s="9" t="n">
        <x:f>COUNTIFS($A$7:$A$2310,A2169)</x:f>
        <x:v>1</x:v>
      </x:c>
    </x:row>
    <x:row r="2170">
      <x:c r="A2170" s="9" t="str">
        <x:v>PD-AR-HU-A-B-TECH-4-B1-RCN-G0-PD04</x:v>
      </x:c>
      <x:c r="B2170" s="9" t="str">
        <x:v>PD-AR-HU-A-B-TECH-4-B1-RCN-G0</x:v>
      </x:c>
      <x:c r="C2170" s="9" t="str">
        <x:v>EV-AR-HU-A-B-TECH-4-B1-RCN-G0</x:v>
      </x:c>
      <x:c r="D2170" s="9" t="str">
        <x:v>AR-HU-A-B-TECH-4-B1-RCN-G0</x:v>
      </x:c>
      <x:c r="E2170" s="9" t="str">
        <x:v>HU-A-B-TECH-4</x:v>
      </x:c>
      <x:c r="F2170" s="9" t="str">
        <x:v>HU-A-B</x:v>
      </x:c>
      <x:c r="G2170" s="9" t="str">
        <x:v>B1</x:v>
      </x:c>
      <x:c r="H2170" s="9" t="str">
        <x:v>RCN</x:v>
      </x:c>
      <x:c r="I2170" s="9" t="str">
        <x:v>PD04</x:v>
      </x:c>
      <x:c r="J2170" s="17" t="str">
        <x:v>EOW and start certificate</x:v>
      </x:c>
      <x:c r="K2170" s="17" t="str">
        <x:v>Start registrar</x:v>
      </x:c>
      <x:c r="L2170" s="17" t="str">
        <x:v>COURT-SEALED UNTIL COHORT RELEASE</x:v>
      </x:c>
      <x:c r="M2170" s="9" t="n">
        <x:v>0</x:v>
      </x:c>
      <x:c r="N2170" s="9" t="n">
        <x:v>0</x:v>
      </x:c>
      <x:c r="O2170" s="9" t="n">
        <x:v>0</x:v>
      </x:c>
      <x:c r="P2170" s="9" t="str">
        <x:v>HELD / UNRELEASED</x:v>
      </x:c>
      <x:c r="Q2170" s="9" t="n">
        <x:f>COUNTIFS($A$7:$A$2310,A2170)</x:f>
        <x:v>1</x:v>
      </x:c>
    </x:row>
    <x:row r="2171">
      <x:c r="A2171" s="9" t="str">
        <x:v>PD-AR-HU-A-B-TECH-4-B1-RCN-G0-PD05</x:v>
      </x:c>
      <x:c r="B2171" s="9" t="str">
        <x:v>PD-AR-HU-A-B-TECH-4-B1-RCN-G0</x:v>
      </x:c>
      <x:c r="C2171" s="9" t="str">
        <x:v>EV-AR-HU-A-B-TECH-4-B1-RCN-G0</x:v>
      </x:c>
      <x:c r="D2171" s="9" t="str">
        <x:v>AR-HU-A-B-TECH-4-B1-RCN-G0</x:v>
      </x:c>
      <x:c r="E2171" s="9" t="str">
        <x:v>HU-A-B-TECH-4</x:v>
      </x:c>
      <x:c r="F2171" s="9" t="str">
        <x:v>HU-A-B</x:v>
      </x:c>
      <x:c r="G2171" s="9" t="str">
        <x:v>B1</x:v>
      </x:c>
      <x:c r="H2171" s="9" t="str">
        <x:v>RCN</x:v>
      </x:c>
      <x:c r="I2171" s="9" t="str">
        <x:v>PD05</x:v>
      </x:c>
      <x:c r="J2171" s="17" t="str">
        <x:v>Primary raw originals</x:v>
      </x:c>
      <x:c r="K2171" s="17" t="str">
        <x:v>Primary custody</x:v>
      </x:c>
      <x:c r="L2171" s="17" t="str">
        <x:v>COURT-SEALED UNTIL COHORT RELEASE</x:v>
      </x:c>
      <x:c r="M2171" s="9" t="n">
        <x:v>0</x:v>
      </x:c>
      <x:c r="N2171" s="9" t="n">
        <x:v>0</x:v>
      </x:c>
      <x:c r="O2171" s="9" t="n">
        <x:v>0</x:v>
      </x:c>
      <x:c r="P2171" s="9" t="str">
        <x:v>HELD / UNRELEASED</x:v>
      </x:c>
      <x:c r="Q2171" s="9" t="n">
        <x:f>COUNTIFS($A$7:$A$2310,A2171)</x:f>
        <x:v>1</x:v>
      </x:c>
    </x:row>
    <x:row r="2172">
      <x:c r="A2172" s="9" t="str">
        <x:v>PD-AR-HU-A-B-TECH-4-B1-RCN-G0-PD06</x:v>
      </x:c>
      <x:c r="B2172" s="9" t="str">
        <x:v>PD-AR-HU-A-B-TECH-4-B1-RCN-G0</x:v>
      </x:c>
      <x:c r="C2172" s="9" t="str">
        <x:v>EV-AR-HU-A-B-TECH-4-B1-RCN-G0</x:v>
      </x:c>
      <x:c r="D2172" s="9" t="str">
        <x:v>AR-HU-A-B-TECH-4-B1-RCN-G0</x:v>
      </x:c>
      <x:c r="E2172" s="9" t="str">
        <x:v>HU-A-B-TECH-4</x:v>
      </x:c>
      <x:c r="F2172" s="9" t="str">
        <x:v>HU-A-B</x:v>
      </x:c>
      <x:c r="G2172" s="9" t="str">
        <x:v>B1</x:v>
      </x:c>
      <x:c r="H2172" s="9" t="str">
        <x:v>RCN</x:v>
      </x:c>
      <x:c r="I2172" s="9" t="str">
        <x:v>PD06</x:v>
      </x:c>
      <x:c r="J2172" s="17" t="str">
        <x:v>Witness raw originals</x:v>
      </x:c>
      <x:c r="K2172" s="17" t="str">
        <x:v>Witness custody</x:v>
      </x:c>
      <x:c r="L2172" s="17" t="str">
        <x:v>COURT-SEALED UNTIL COHORT RELEASE</x:v>
      </x:c>
      <x:c r="M2172" s="9" t="n">
        <x:v>0</x:v>
      </x:c>
      <x:c r="N2172" s="9" t="n">
        <x:v>0</x:v>
      </x:c>
      <x:c r="O2172" s="9" t="n">
        <x:v>0</x:v>
      </x:c>
      <x:c r="P2172" s="9" t="str">
        <x:v>HELD / UNRELEASED</x:v>
      </x:c>
      <x:c r="Q2172" s="9" t="n">
        <x:f>COUNTIFS($A$7:$A$2310,A2172)</x:f>
        <x:v>1</x:v>
      </x:c>
    </x:row>
    <x:row r="2173">
      <x:c r="A2173" s="9" t="str">
        <x:v>PD-AR-HU-A-B-TECH-4-B1-RCN-G0-PD07</x:v>
      </x:c>
      <x:c r="B2173" s="9" t="str">
        <x:v>PD-AR-HU-A-B-TECH-4-B1-RCN-G0</x:v>
      </x:c>
      <x:c r="C2173" s="9" t="str">
        <x:v>EV-AR-HU-A-B-TECH-4-B1-RCN-G0</x:v>
      </x:c>
      <x:c r="D2173" s="9" t="str">
        <x:v>AR-HU-A-B-TECH-4-B1-RCN-G0</x:v>
      </x:c>
      <x:c r="E2173" s="9" t="str">
        <x:v>HU-A-B-TECH-4</x:v>
      </x:c>
      <x:c r="F2173" s="9" t="str">
        <x:v>HU-A-B</x:v>
      </x:c>
      <x:c r="G2173" s="9" t="str">
        <x:v>B1</x:v>
      </x:c>
      <x:c r="H2173" s="9" t="str">
        <x:v>RCN</x:v>
      </x:c>
      <x:c r="I2173" s="9" t="str">
        <x:v>PD07</x:v>
      </x:c>
      <x:c r="J2173" s="17" t="str">
        <x:v>Clock and environmental records</x:v>
      </x:c>
      <x:c r="K2173" s="17" t="str">
        <x:v>Boundary archive</x:v>
      </x:c>
      <x:c r="L2173" s="17" t="str">
        <x:v>COURT-SEALED UNTIL COHORT RELEASE</x:v>
      </x:c>
      <x:c r="M2173" s="9" t="n">
        <x:v>0</x:v>
      </x:c>
      <x:c r="N2173" s="9" t="n">
        <x:v>0</x:v>
      </x:c>
      <x:c r="O2173" s="9" t="n">
        <x:v>0</x:v>
      </x:c>
      <x:c r="P2173" s="9" t="str">
        <x:v>HELD / UNRELEASED</x:v>
      </x:c>
      <x:c r="Q2173" s="9" t="n">
        <x:f>COUNTIFS($A$7:$A$2310,A2173)</x:f>
        <x:v>1</x:v>
      </x:c>
    </x:row>
    <x:row r="2174">
      <x:c r="A2174" s="9" t="str">
        <x:v>PD-AR-HU-A-B-TECH-4-B1-RCN-G0-PD08</x:v>
      </x:c>
      <x:c r="B2174" s="9" t="str">
        <x:v>PD-AR-HU-A-B-TECH-4-B1-RCN-G0</x:v>
      </x:c>
      <x:c r="C2174" s="9" t="str">
        <x:v>EV-AR-HU-A-B-TECH-4-B1-RCN-G0</x:v>
      </x:c>
      <x:c r="D2174" s="9" t="str">
        <x:v>AR-HU-A-B-TECH-4-B1-RCN-G0</x:v>
      </x:c>
      <x:c r="E2174" s="9" t="str">
        <x:v>HU-A-B-TECH-4</x:v>
      </x:c>
      <x:c r="F2174" s="9" t="str">
        <x:v>HU-A-B</x:v>
      </x:c>
      <x:c r="G2174" s="9" t="str">
        <x:v>B1</x:v>
      </x:c>
      <x:c r="H2174" s="9" t="str">
        <x:v>RCN</x:v>
      </x:c>
      <x:c r="I2174" s="9" t="str">
        <x:v>PD08</x:v>
      </x:c>
      <x:c r="J2174" s="17" t="str">
        <x:v>Command and intervention log</x:v>
      </x:c>
      <x:c r="K2174" s="17" t="str">
        <x:v>Safety archive</x:v>
      </x:c>
      <x:c r="L2174" s="17" t="str">
        <x:v>COURT-SEALED UNTIL COHORT RELEASE</x:v>
      </x:c>
      <x:c r="M2174" s="9" t="n">
        <x:v>0</x:v>
      </x:c>
      <x:c r="N2174" s="9" t="n">
        <x:v>0</x:v>
      </x:c>
      <x:c r="O2174" s="9" t="n">
        <x:v>0</x:v>
      </x:c>
      <x:c r="P2174" s="9" t="str">
        <x:v>HELD / UNRELEASED</x:v>
      </x:c>
      <x:c r="Q2174" s="9" t="n">
        <x:f>COUNTIFS($A$7:$A$2310,A2174)</x:f>
        <x:v>1</x:v>
      </x:c>
    </x:row>
    <x:row r="2175">
      <x:c r="A2175" s="9" t="str">
        <x:v>PD-AR-HU-A-B-TECH-4-B1-RCN-G0-PD09</x:v>
      </x:c>
      <x:c r="B2175" s="9" t="str">
        <x:v>PD-AR-HU-A-B-TECH-4-B1-RCN-G0</x:v>
      </x:c>
      <x:c r="C2175" s="9" t="str">
        <x:v>EV-AR-HU-A-B-TECH-4-B1-RCN-G0</x:v>
      </x:c>
      <x:c r="D2175" s="9" t="str">
        <x:v>AR-HU-A-B-TECH-4-B1-RCN-G0</x:v>
      </x:c>
      <x:c r="E2175" s="9" t="str">
        <x:v>HU-A-B-TECH-4</x:v>
      </x:c>
      <x:c r="F2175" s="9" t="str">
        <x:v>HU-A-B</x:v>
      </x:c>
      <x:c r="G2175" s="9" t="str">
        <x:v>B1</x:v>
      </x:c>
      <x:c r="H2175" s="9" t="str">
        <x:v>RCN</x:v>
      </x:c>
      <x:c r="I2175" s="9" t="str">
        <x:v>PD09</x:v>
      </x:c>
      <x:c r="J2175" s="17" t="str">
        <x:v>Receiver denominator and service ledger</x:v>
      </x:c>
      <x:c r="K2175" s="17" t="str">
        <x:v>Receiver archive</x:v>
      </x:c>
      <x:c r="L2175" s="17" t="str">
        <x:v>COURT-SEALED UNTIL COHORT RELEASE</x:v>
      </x:c>
      <x:c r="M2175" s="9" t="n">
        <x:v>0</x:v>
      </x:c>
      <x:c r="N2175" s="9" t="n">
        <x:v>0</x:v>
      </x:c>
      <x:c r="O2175" s="9" t="n">
        <x:v>0</x:v>
      </x:c>
      <x:c r="P2175" s="9" t="str">
        <x:v>HELD / UNRELEASED</x:v>
      </x:c>
      <x:c r="Q2175" s="9" t="n">
        <x:f>COUNTIFS($A$7:$A$2310,A2175)</x:f>
        <x:v>1</x:v>
      </x:c>
    </x:row>
    <x:row r="2176">
      <x:c r="A2176" s="9" t="str">
        <x:v>PD-AR-HU-A-B-TECH-4-B1-RCN-G0-PD10</x:v>
      </x:c>
      <x:c r="B2176" s="9" t="str">
        <x:v>PD-AR-HU-A-B-TECH-4-B1-RCN-G0</x:v>
      </x:c>
      <x:c r="C2176" s="9" t="str">
        <x:v>EV-AR-HU-A-B-TECH-4-B1-RCN-G0</x:v>
      </x:c>
      <x:c r="D2176" s="9" t="str">
        <x:v>AR-HU-A-B-TECH-4-B1-RCN-G0</x:v>
      </x:c>
      <x:c r="E2176" s="9" t="str">
        <x:v>HU-A-B-TECH-4</x:v>
      </x:c>
      <x:c r="F2176" s="9" t="str">
        <x:v>HU-A-B</x:v>
      </x:c>
      <x:c r="G2176" s="9" t="str">
        <x:v>B1</x:v>
      </x:c>
      <x:c r="H2176" s="9" t="str">
        <x:v>RCN</x:v>
      </x:c>
      <x:c r="I2176" s="9" t="str">
        <x:v>PD10</x:v>
      </x:c>
      <x:c r="J2176" s="17" t="str">
        <x:v>Calibration and uncertainty record</x:v>
      </x:c>
      <x:c r="K2176" s="17" t="str">
        <x:v>Metrology archive</x:v>
      </x:c>
      <x:c r="L2176" s="17" t="str">
        <x:v>COURT-SEALED UNTIL COHORT RELEASE</x:v>
      </x:c>
      <x:c r="M2176" s="9" t="n">
        <x:v>0</x:v>
      </x:c>
      <x:c r="N2176" s="9" t="n">
        <x:v>0</x:v>
      </x:c>
      <x:c r="O2176" s="9" t="n">
        <x:v>0</x:v>
      </x:c>
      <x:c r="P2176" s="9" t="str">
        <x:v>HELD / UNRELEASED</x:v>
      </x:c>
      <x:c r="Q2176" s="9" t="n">
        <x:f>COUNTIFS($A$7:$A$2310,A2176)</x:f>
        <x:v>1</x:v>
      </x:c>
    </x:row>
    <x:row r="2177">
      <x:c r="A2177" s="9" t="str">
        <x:v>PD-AR-HU-A-B-TECH-4-B1-RCN-G0-PD11</x:v>
      </x:c>
      <x:c r="B2177" s="9" t="str">
        <x:v>PD-AR-HU-A-B-TECH-4-B1-RCN-G0</x:v>
      </x:c>
      <x:c r="C2177" s="9" t="str">
        <x:v>EV-AR-HU-A-B-TECH-4-B1-RCN-G0</x:v>
      </x:c>
      <x:c r="D2177" s="9" t="str">
        <x:v>AR-HU-A-B-TECH-4-B1-RCN-G0</x:v>
      </x:c>
      <x:c r="E2177" s="9" t="str">
        <x:v>HU-A-B-TECH-4</x:v>
      </x:c>
      <x:c r="F2177" s="9" t="str">
        <x:v>HU-A-B</x:v>
      </x:c>
      <x:c r="G2177" s="9" t="str">
        <x:v>B1</x:v>
      </x:c>
      <x:c r="H2177" s="9" t="str">
        <x:v>RCN</x:v>
      </x:c>
      <x:c r="I2177" s="9" t="str">
        <x:v>PD11</x:v>
      </x:c>
      <x:c r="J2177" s="17" t="str">
        <x:v>Invalidity petition and opinion</x:v>
      </x:c>
      <x:c r="K2177" s="17" t="str">
        <x:v>Invalidity court</x:v>
      </x:c>
      <x:c r="L2177" s="17" t="str">
        <x:v>COURT-SEALED UNTIL COHORT RELEASE</x:v>
      </x:c>
      <x:c r="M2177" s="9" t="n">
        <x:v>0</x:v>
      </x:c>
      <x:c r="N2177" s="9" t="n">
        <x:v>0</x:v>
      </x:c>
      <x:c r="O2177" s="9" t="n">
        <x:v>0</x:v>
      </x:c>
      <x:c r="P2177" s="9" t="str">
        <x:v>HELD / UNRELEASED</x:v>
      </x:c>
      <x:c r="Q2177" s="9" t="n">
        <x:f>COUNTIFS($A$7:$A$2310,A2177)</x:f>
        <x:v>1</x:v>
      </x:c>
    </x:row>
    <x:row r="2178">
      <x:c r="A2178" s="9" t="str">
        <x:v>PD-AR-HU-A-B-TECH-4-B1-RCN-G0-PD12</x:v>
      </x:c>
      <x:c r="B2178" s="9" t="str">
        <x:v>PD-AR-HU-A-B-TECH-4-B1-RCN-G0</x:v>
      </x:c>
      <x:c r="C2178" s="9" t="str">
        <x:v>EV-AR-HU-A-B-TECH-4-B1-RCN-G0</x:v>
      </x:c>
      <x:c r="D2178" s="9" t="str">
        <x:v>AR-HU-A-B-TECH-4-B1-RCN-G0</x:v>
      </x:c>
      <x:c r="E2178" s="9" t="str">
        <x:v>HU-A-B-TECH-4</x:v>
      </x:c>
      <x:c r="F2178" s="9" t="str">
        <x:v>HU-A-B</x:v>
      </x:c>
      <x:c r="G2178" s="9" t="str">
        <x:v>B1</x:v>
      </x:c>
      <x:c r="H2178" s="9" t="str">
        <x:v>RCN</x:v>
      </x:c>
      <x:c r="I2178" s="9" t="str">
        <x:v>PD12</x:v>
      </x:c>
      <x:c r="J2178" s="17" t="str">
        <x:v>Observation acceptance and replay</x:v>
      </x:c>
      <x:c r="K2178" s="17" t="str">
        <x:v>Observation court</x:v>
      </x:c>
      <x:c r="L2178" s="17" t="str">
        <x:v>COURT-SEALED UNTIL COHORT RELEASE</x:v>
      </x:c>
      <x:c r="M2178" s="9" t="n">
        <x:v>0</x:v>
      </x:c>
      <x:c r="N2178" s="9" t="n">
        <x:v>0</x:v>
      </x:c>
      <x:c r="O2178" s="9" t="n">
        <x:v>0</x:v>
      </x:c>
      <x:c r="P2178" s="9" t="str">
        <x:v>HELD / UNRELEASED</x:v>
      </x:c>
      <x:c r="Q2178" s="9" t="n">
        <x:f>COUNTIFS($A$7:$A$2310,A2178)</x:f>
        <x:v>1</x:v>
      </x:c>
    </x:row>
    <x:row r="2179">
      <x:c r="A2179" s="9" t="str">
        <x:v>PD-AR-HU-A-B-TECH-4-B1-RCN-G0-PD13</x:v>
      </x:c>
      <x:c r="B2179" s="9" t="str">
        <x:v>PD-AR-HU-A-B-TECH-4-B1-RCN-G0</x:v>
      </x:c>
      <x:c r="C2179" s="9" t="str">
        <x:v>EV-AR-HU-A-B-TECH-4-B1-RCN-G0</x:v>
      </x:c>
      <x:c r="D2179" s="9" t="str">
        <x:v>AR-HU-A-B-TECH-4-B1-RCN-G0</x:v>
      </x:c>
      <x:c r="E2179" s="9" t="str">
        <x:v>HU-A-B-TECH-4</x:v>
      </x:c>
      <x:c r="F2179" s="9" t="str">
        <x:v>HU-A-B</x:v>
      </x:c>
      <x:c r="G2179" s="9" t="str">
        <x:v>B1</x:v>
      </x:c>
      <x:c r="H2179" s="9" t="str">
        <x:v>RCN</x:v>
      </x:c>
      <x:c r="I2179" s="9" t="str">
        <x:v>PD13</x:v>
      </x:c>
      <x:c r="J2179" s="17" t="str">
        <x:v>Role judgment</x:v>
      </x:c>
      <x:c r="K2179" s="17" t="str">
        <x:v>Role court</x:v>
      </x:c>
      <x:c r="L2179" s="17" t="str">
        <x:v>COURT-SEALED UNTIL COHORT RELEASE</x:v>
      </x:c>
      <x:c r="M2179" s="9" t="n">
        <x:v>0</x:v>
      </x:c>
      <x:c r="N2179" s="9" t="n">
        <x:v>0</x:v>
      </x:c>
      <x:c r="O2179" s="9" t="n">
        <x:v>0</x:v>
      </x:c>
      <x:c r="P2179" s="9" t="str">
        <x:v>HELD / UNRELEASED</x:v>
      </x:c>
      <x:c r="Q2179" s="9" t="n">
        <x:f>COUNTIFS($A$7:$A$2310,A2179)</x:f>
        <x:v>1</x:v>
      </x:c>
    </x:row>
    <x:row r="2180">
      <x:c r="A2180" s="9" t="str">
        <x:v>PD-AR-HU-A-B-TECH-4-B1-RCN-G0-PD14</x:v>
      </x:c>
      <x:c r="B2180" s="9" t="str">
        <x:v>PD-AR-HU-A-B-TECH-4-B1-RCN-G0</x:v>
      </x:c>
      <x:c r="C2180" s="9" t="str">
        <x:v>EV-AR-HU-A-B-TECH-4-B1-RCN-G0</x:v>
      </x:c>
      <x:c r="D2180" s="9" t="str">
        <x:v>AR-HU-A-B-TECH-4-B1-RCN-G0</x:v>
      </x:c>
      <x:c r="E2180" s="9" t="str">
        <x:v>HU-A-B-TECH-4</x:v>
      </x:c>
      <x:c r="F2180" s="9" t="str">
        <x:v>HU-A-B</x:v>
      </x:c>
      <x:c r="G2180" s="9" t="str">
        <x:v>B1</x:v>
      </x:c>
      <x:c r="H2180" s="9" t="str">
        <x:v>RCN</x:v>
      </x:c>
      <x:c r="I2180" s="9" t="str">
        <x:v>PD14</x:v>
      </x:c>
      <x:c r="J2180" s="17" t="str">
        <x:v>Break and residual account</x:v>
      </x:c>
      <x:c r="K2180" s="17" t="str">
        <x:v>Residual authority</x:v>
      </x:c>
      <x:c r="L2180" s="17" t="str">
        <x:v>COURT-SEALED UNTIL COHORT RELEASE</x:v>
      </x:c>
      <x:c r="M2180" s="9" t="n">
        <x:v>0</x:v>
      </x:c>
      <x:c r="N2180" s="9" t="n">
        <x:v>0</x:v>
      </x:c>
      <x:c r="O2180" s="9" t="n">
        <x:v>0</x:v>
      </x:c>
      <x:c r="P2180" s="9" t="str">
        <x:v>HELD / UNRELEASED</x:v>
      </x:c>
      <x:c r="Q2180" s="9" t="n">
        <x:f>COUNTIFS($A$7:$A$2310,A2180)</x:f>
        <x:v>1</x:v>
      </x:c>
    </x:row>
    <x:row r="2181">
      <x:c r="A2181" s="9" t="str">
        <x:v>PD-AR-HU-A-B-TECH-4-B1-RCN-G0-PD15</x:v>
      </x:c>
      <x:c r="B2181" s="9" t="str">
        <x:v>PD-AR-HU-A-B-TECH-4-B1-RCN-G0</x:v>
      </x:c>
      <x:c r="C2181" s="9" t="str">
        <x:v>EV-AR-HU-A-B-TECH-4-B1-RCN-G0</x:v>
      </x:c>
      <x:c r="D2181" s="9" t="str">
        <x:v>AR-HU-A-B-TECH-4-B1-RCN-G0</x:v>
      </x:c>
      <x:c r="E2181" s="9" t="str">
        <x:v>HU-A-B-TECH-4</x:v>
      </x:c>
      <x:c r="F2181" s="9" t="str">
        <x:v>HU-A-B</x:v>
      </x:c>
      <x:c r="G2181" s="9" t="str">
        <x:v>B1</x:v>
      </x:c>
      <x:c r="H2181" s="9" t="str">
        <x:v>RCN</x:v>
      </x:c>
      <x:c r="I2181" s="9" t="str">
        <x:v>PD15</x:v>
      </x:c>
      <x:c r="J2181" s="17" t="str">
        <x:v>Reconstruction ancestry and replay</x:v>
      </x:c>
      <x:c r="K2181" s="17" t="str">
        <x:v>Reconstruction court</x:v>
      </x:c>
      <x:c r="L2181" s="17" t="str">
        <x:v>COURT-SEALED UNTIL COHORT RELEASE</x:v>
      </x:c>
      <x:c r="M2181" s="9" t="n">
        <x:v>0</x:v>
      </x:c>
      <x:c r="N2181" s="9" t="n">
        <x:v>0</x:v>
      </x:c>
      <x:c r="O2181" s="9" t="n">
        <x:v>0</x:v>
      </x:c>
      <x:c r="P2181" s="9" t="str">
        <x:v>HELD / UNRELEASED</x:v>
      </x:c>
      <x:c r="Q2181" s="9" t="n">
        <x:f>COUNTIFS($A$7:$A$2310,A2181)</x:f>
        <x:v>1</x:v>
      </x:c>
    </x:row>
    <x:row r="2182">
      <x:c r="A2182" s="9" t="str">
        <x:v>PD-AR-HU-A-B-TECH-4-B1-RCN-G0-PD16</x:v>
      </x:c>
      <x:c r="B2182" s="9" t="str">
        <x:v>PD-AR-HU-A-B-TECH-4-B1-RCN-G0</x:v>
      </x:c>
      <x:c r="C2182" s="9" t="str">
        <x:v>EV-AR-HU-A-B-TECH-4-B1-RCN-G0</x:v>
      </x:c>
      <x:c r="D2182" s="9" t="str">
        <x:v>AR-HU-A-B-TECH-4-B1-RCN-G0</x:v>
      </x:c>
      <x:c r="E2182" s="9" t="str">
        <x:v>HU-A-B-TECH-4</x:v>
      </x:c>
      <x:c r="F2182" s="9" t="str">
        <x:v>HU-A-B</x:v>
      </x:c>
      <x:c r="G2182" s="9" t="str">
        <x:v>B1</x:v>
      </x:c>
      <x:c r="H2182" s="9" t="str">
        <x:v>RCN</x:v>
      </x:c>
      <x:c r="I2182" s="9" t="str">
        <x:v>PD16</x:v>
      </x:c>
      <x:c r="J2182" s="17" t="str">
        <x:v>Dissent, amendments and access log</x:v>
      </x:c>
      <x:c r="K2182" s="17" t="str">
        <x:v>Public archive</x:v>
      </x:c>
      <x:c r="L2182" s="17" t="str">
        <x:v>COURT-SEALED UNTIL COHORT RELEASE</x:v>
      </x:c>
      <x:c r="M2182" s="9" t="n">
        <x:v>0</x:v>
      </x:c>
      <x:c r="N2182" s="9" t="n">
        <x:v>0</x:v>
      </x:c>
      <x:c r="O2182" s="9" t="n">
        <x:v>0</x:v>
      </x:c>
      <x:c r="P2182" s="9" t="str">
        <x:v>HELD / UNRELEASED</x:v>
      </x:c>
      <x:c r="Q2182" s="9" t="n">
        <x:f>COUNTIFS($A$7:$A$2310,A2182)</x:f>
        <x:v>1</x:v>
      </x:c>
    </x:row>
    <x:row r="2183">
      <x:c r="A2183" s="9" t="str">
        <x:v>PD-AR-RT-B-C-TECH-1-B1-INT-G0-PD01</x:v>
      </x:c>
      <x:c r="B2183" s="9" t="str">
        <x:v>PD-AR-RT-B-C-TECH-1-B1-INT-G0</x:v>
      </x:c>
      <x:c r="C2183" s="9" t="str">
        <x:v>EV-AR-RT-B-C-TECH-1-B1-INT-G0</x:v>
      </x:c>
      <x:c r="D2183" s="9" t="str">
        <x:v>AR-RT-B-C-TECH-1-B1-INT-G0</x:v>
      </x:c>
      <x:c r="E2183" s="9" t="str">
        <x:v>RT-B-C-TECH-1</x:v>
      </x:c>
      <x:c r="F2183" s="9" t="str">
        <x:v>RT-B-C</x:v>
      </x:c>
      <x:c r="G2183" s="9" t="str">
        <x:v>B1</x:v>
      </x:c>
      <x:c r="H2183" s="9" t="str">
        <x:v>INT</x:v>
      </x:c>
      <x:c r="I2183" s="9" t="str">
        <x:v>PD01</x:v>
      </x:c>
      <x:c r="J2183" s="17" t="str">
        <x:v>Experiment kernel</x:v>
      </x:c>
      <x:c r="K2183" s="17" t="str">
        <x:v>Public archive</x:v>
      </x:c>
      <x:c r="L2183" s="17" t="str">
        <x:v>COURT-SEALED UNTIL COHORT RELEASE</x:v>
      </x:c>
      <x:c r="M2183" s="9" t="n">
        <x:v>0</x:v>
      </x:c>
      <x:c r="N2183" s="9" t="n">
        <x:v>0</x:v>
      </x:c>
      <x:c r="O2183" s="9" t="n">
        <x:v>0</x:v>
      </x:c>
      <x:c r="P2183" s="9" t="str">
        <x:v>HELD / UNRELEASED</x:v>
      </x:c>
      <x:c r="Q2183" s="9" t="n">
        <x:f>COUNTIFS($A$7:$A$2310,A2183)</x:f>
        <x:v>1</x:v>
      </x:c>
    </x:row>
    <x:row r="2184">
      <x:c r="A2184" s="9" t="str">
        <x:v>PD-AR-RT-B-C-TECH-1-B1-INT-G0-PD02</x:v>
      </x:c>
      <x:c r="B2184" s="9" t="str">
        <x:v>PD-AR-RT-B-C-TECH-1-B1-INT-G0</x:v>
      </x:c>
      <x:c r="C2184" s="9" t="str">
        <x:v>EV-AR-RT-B-C-TECH-1-B1-INT-G0</x:v>
      </x:c>
      <x:c r="D2184" s="9" t="str">
        <x:v>AR-RT-B-C-TECH-1-B1-INT-G0</x:v>
      </x:c>
      <x:c r="E2184" s="9" t="str">
        <x:v>RT-B-C-TECH-1</x:v>
      </x:c>
      <x:c r="F2184" s="9" t="str">
        <x:v>RT-B-C</x:v>
      </x:c>
      <x:c r="G2184" s="9" t="str">
        <x:v>B1</x:v>
      </x:c>
      <x:c r="H2184" s="9" t="str">
        <x:v>INT</x:v>
      </x:c>
      <x:c r="I2184" s="9" t="str">
        <x:v>PD02</x:v>
      </x:c>
      <x:c r="J2184" s="17" t="str">
        <x:v>Serial annex and title chain</x:v>
      </x:c>
      <x:c r="K2184" s="17" t="str">
        <x:v>Public archive</x:v>
      </x:c>
      <x:c r="L2184" s="17" t="str">
        <x:v>COURT-SEALED UNTIL COHORT RELEASE</x:v>
      </x:c>
      <x:c r="M2184" s="9" t="n">
        <x:v>0</x:v>
      </x:c>
      <x:c r="N2184" s="9" t="n">
        <x:v>0</x:v>
      </x:c>
      <x:c r="O2184" s="9" t="n">
        <x:v>0</x:v>
      </x:c>
      <x:c r="P2184" s="9" t="str">
        <x:v>HELD / UNRELEASED</x:v>
      </x:c>
      <x:c r="Q2184" s="9" t="n">
        <x:f>COUNTIFS($A$7:$A$2310,A2184)</x:f>
        <x:v>1</x:v>
      </x:c>
    </x:row>
    <x:row r="2185">
      <x:c r="A2185" s="9" t="str">
        <x:v>PD-AR-RT-B-C-TECH-1-B1-INT-G0-PD03</x:v>
      </x:c>
      <x:c r="B2185" s="9" t="str">
        <x:v>PD-AR-RT-B-C-TECH-1-B1-INT-G0</x:v>
      </x:c>
      <x:c r="C2185" s="9" t="str">
        <x:v>EV-AR-RT-B-C-TECH-1-B1-INT-G0</x:v>
      </x:c>
      <x:c r="D2185" s="9" t="str">
        <x:v>AR-RT-B-C-TECH-1-B1-INT-G0</x:v>
      </x:c>
      <x:c r="E2185" s="9" t="str">
        <x:v>RT-B-C-TECH-1</x:v>
      </x:c>
      <x:c r="F2185" s="9" t="str">
        <x:v>RT-B-C</x:v>
      </x:c>
      <x:c r="G2185" s="9" t="str">
        <x:v>B1</x:v>
      </x:c>
      <x:c r="H2185" s="9" t="str">
        <x:v>INT</x:v>
      </x:c>
      <x:c r="I2185" s="9" t="str">
        <x:v>PD03</x:v>
      </x:c>
      <x:c r="J2185" s="17" t="str">
        <x:v>Configuration and as-built manifest</x:v>
      </x:c>
      <x:c r="K2185" s="17" t="str">
        <x:v>Artifact exchange</x:v>
      </x:c>
      <x:c r="L2185" s="17" t="str">
        <x:v>COURT-SEALED UNTIL COHORT RELEASE</x:v>
      </x:c>
      <x:c r="M2185" s="9" t="n">
        <x:v>0</x:v>
      </x:c>
      <x:c r="N2185" s="9" t="n">
        <x:v>0</x:v>
      </x:c>
      <x:c r="O2185" s="9" t="n">
        <x:v>0</x:v>
      </x:c>
      <x:c r="P2185" s="9" t="str">
        <x:v>HELD / UNRELEASED</x:v>
      </x:c>
      <x:c r="Q2185" s="9" t="n">
        <x:f>COUNTIFS($A$7:$A$2310,A2185)</x:f>
        <x:v>1</x:v>
      </x:c>
    </x:row>
    <x:row r="2186">
      <x:c r="A2186" s="9" t="str">
        <x:v>PD-AR-RT-B-C-TECH-1-B1-INT-G0-PD04</x:v>
      </x:c>
      <x:c r="B2186" s="9" t="str">
        <x:v>PD-AR-RT-B-C-TECH-1-B1-INT-G0</x:v>
      </x:c>
      <x:c r="C2186" s="9" t="str">
        <x:v>EV-AR-RT-B-C-TECH-1-B1-INT-G0</x:v>
      </x:c>
      <x:c r="D2186" s="9" t="str">
        <x:v>AR-RT-B-C-TECH-1-B1-INT-G0</x:v>
      </x:c>
      <x:c r="E2186" s="9" t="str">
        <x:v>RT-B-C-TECH-1</x:v>
      </x:c>
      <x:c r="F2186" s="9" t="str">
        <x:v>RT-B-C</x:v>
      </x:c>
      <x:c r="G2186" s="9" t="str">
        <x:v>B1</x:v>
      </x:c>
      <x:c r="H2186" s="9" t="str">
        <x:v>INT</x:v>
      </x:c>
      <x:c r="I2186" s="9" t="str">
        <x:v>PD04</x:v>
      </x:c>
      <x:c r="J2186" s="17" t="str">
        <x:v>EOW and start certificate</x:v>
      </x:c>
      <x:c r="K2186" s="17" t="str">
        <x:v>Start registrar</x:v>
      </x:c>
      <x:c r="L2186" s="17" t="str">
        <x:v>COURT-SEALED UNTIL COHORT RELEASE</x:v>
      </x:c>
      <x:c r="M2186" s="9" t="n">
        <x:v>0</x:v>
      </x:c>
      <x:c r="N2186" s="9" t="n">
        <x:v>0</x:v>
      </x:c>
      <x:c r="O2186" s="9" t="n">
        <x:v>0</x:v>
      </x:c>
      <x:c r="P2186" s="9" t="str">
        <x:v>HELD / UNRELEASED</x:v>
      </x:c>
      <x:c r="Q2186" s="9" t="n">
        <x:f>COUNTIFS($A$7:$A$2310,A2186)</x:f>
        <x:v>1</x:v>
      </x:c>
    </x:row>
    <x:row r="2187">
      <x:c r="A2187" s="9" t="str">
        <x:v>PD-AR-RT-B-C-TECH-1-B1-INT-G0-PD05</x:v>
      </x:c>
      <x:c r="B2187" s="9" t="str">
        <x:v>PD-AR-RT-B-C-TECH-1-B1-INT-G0</x:v>
      </x:c>
      <x:c r="C2187" s="9" t="str">
        <x:v>EV-AR-RT-B-C-TECH-1-B1-INT-G0</x:v>
      </x:c>
      <x:c r="D2187" s="9" t="str">
        <x:v>AR-RT-B-C-TECH-1-B1-INT-G0</x:v>
      </x:c>
      <x:c r="E2187" s="9" t="str">
        <x:v>RT-B-C-TECH-1</x:v>
      </x:c>
      <x:c r="F2187" s="9" t="str">
        <x:v>RT-B-C</x:v>
      </x:c>
      <x:c r="G2187" s="9" t="str">
        <x:v>B1</x:v>
      </x:c>
      <x:c r="H2187" s="9" t="str">
        <x:v>INT</x:v>
      </x:c>
      <x:c r="I2187" s="9" t="str">
        <x:v>PD05</x:v>
      </x:c>
      <x:c r="J2187" s="17" t="str">
        <x:v>Primary raw originals</x:v>
      </x:c>
      <x:c r="K2187" s="17" t="str">
        <x:v>Primary custody</x:v>
      </x:c>
      <x:c r="L2187" s="17" t="str">
        <x:v>COURT-SEALED UNTIL COHORT RELEASE</x:v>
      </x:c>
      <x:c r="M2187" s="9" t="n">
        <x:v>0</x:v>
      </x:c>
      <x:c r="N2187" s="9" t="n">
        <x:v>0</x:v>
      </x:c>
      <x:c r="O2187" s="9" t="n">
        <x:v>0</x:v>
      </x:c>
      <x:c r="P2187" s="9" t="str">
        <x:v>HELD / UNRELEASED</x:v>
      </x:c>
      <x:c r="Q2187" s="9" t="n">
        <x:f>COUNTIFS($A$7:$A$2310,A2187)</x:f>
        <x:v>1</x:v>
      </x:c>
    </x:row>
    <x:row r="2188">
      <x:c r="A2188" s="9" t="str">
        <x:v>PD-AR-RT-B-C-TECH-1-B1-INT-G0-PD06</x:v>
      </x:c>
      <x:c r="B2188" s="9" t="str">
        <x:v>PD-AR-RT-B-C-TECH-1-B1-INT-G0</x:v>
      </x:c>
      <x:c r="C2188" s="9" t="str">
        <x:v>EV-AR-RT-B-C-TECH-1-B1-INT-G0</x:v>
      </x:c>
      <x:c r="D2188" s="9" t="str">
        <x:v>AR-RT-B-C-TECH-1-B1-INT-G0</x:v>
      </x:c>
      <x:c r="E2188" s="9" t="str">
        <x:v>RT-B-C-TECH-1</x:v>
      </x:c>
      <x:c r="F2188" s="9" t="str">
        <x:v>RT-B-C</x:v>
      </x:c>
      <x:c r="G2188" s="9" t="str">
        <x:v>B1</x:v>
      </x:c>
      <x:c r="H2188" s="9" t="str">
        <x:v>INT</x:v>
      </x:c>
      <x:c r="I2188" s="9" t="str">
        <x:v>PD06</x:v>
      </x:c>
      <x:c r="J2188" s="17" t="str">
        <x:v>Witness raw originals</x:v>
      </x:c>
      <x:c r="K2188" s="17" t="str">
        <x:v>Witness custody</x:v>
      </x:c>
      <x:c r="L2188" s="17" t="str">
        <x:v>COURT-SEALED UNTIL COHORT RELEASE</x:v>
      </x:c>
      <x:c r="M2188" s="9" t="n">
        <x:v>0</x:v>
      </x:c>
      <x:c r="N2188" s="9" t="n">
        <x:v>0</x:v>
      </x:c>
      <x:c r="O2188" s="9" t="n">
        <x:v>0</x:v>
      </x:c>
      <x:c r="P2188" s="9" t="str">
        <x:v>HELD / UNRELEASED</x:v>
      </x:c>
      <x:c r="Q2188" s="9" t="n">
        <x:f>COUNTIFS($A$7:$A$2310,A2188)</x:f>
        <x:v>1</x:v>
      </x:c>
    </x:row>
    <x:row r="2189">
      <x:c r="A2189" s="9" t="str">
        <x:v>PD-AR-RT-B-C-TECH-1-B1-INT-G0-PD07</x:v>
      </x:c>
      <x:c r="B2189" s="9" t="str">
        <x:v>PD-AR-RT-B-C-TECH-1-B1-INT-G0</x:v>
      </x:c>
      <x:c r="C2189" s="9" t="str">
        <x:v>EV-AR-RT-B-C-TECH-1-B1-INT-G0</x:v>
      </x:c>
      <x:c r="D2189" s="9" t="str">
        <x:v>AR-RT-B-C-TECH-1-B1-INT-G0</x:v>
      </x:c>
      <x:c r="E2189" s="9" t="str">
        <x:v>RT-B-C-TECH-1</x:v>
      </x:c>
      <x:c r="F2189" s="9" t="str">
        <x:v>RT-B-C</x:v>
      </x:c>
      <x:c r="G2189" s="9" t="str">
        <x:v>B1</x:v>
      </x:c>
      <x:c r="H2189" s="9" t="str">
        <x:v>INT</x:v>
      </x:c>
      <x:c r="I2189" s="9" t="str">
        <x:v>PD07</x:v>
      </x:c>
      <x:c r="J2189" s="17" t="str">
        <x:v>Clock and environmental records</x:v>
      </x:c>
      <x:c r="K2189" s="17" t="str">
        <x:v>Boundary archive</x:v>
      </x:c>
      <x:c r="L2189" s="17" t="str">
        <x:v>COURT-SEALED UNTIL COHORT RELEASE</x:v>
      </x:c>
      <x:c r="M2189" s="9" t="n">
        <x:v>0</x:v>
      </x:c>
      <x:c r="N2189" s="9" t="n">
        <x:v>0</x:v>
      </x:c>
      <x:c r="O2189" s="9" t="n">
        <x:v>0</x:v>
      </x:c>
      <x:c r="P2189" s="9" t="str">
        <x:v>HELD / UNRELEASED</x:v>
      </x:c>
      <x:c r="Q2189" s="9" t="n">
        <x:f>COUNTIFS($A$7:$A$2310,A2189)</x:f>
        <x:v>1</x:v>
      </x:c>
    </x:row>
    <x:row r="2190">
      <x:c r="A2190" s="9" t="str">
        <x:v>PD-AR-RT-B-C-TECH-1-B1-INT-G0-PD08</x:v>
      </x:c>
      <x:c r="B2190" s="9" t="str">
        <x:v>PD-AR-RT-B-C-TECH-1-B1-INT-G0</x:v>
      </x:c>
      <x:c r="C2190" s="9" t="str">
        <x:v>EV-AR-RT-B-C-TECH-1-B1-INT-G0</x:v>
      </x:c>
      <x:c r="D2190" s="9" t="str">
        <x:v>AR-RT-B-C-TECH-1-B1-INT-G0</x:v>
      </x:c>
      <x:c r="E2190" s="9" t="str">
        <x:v>RT-B-C-TECH-1</x:v>
      </x:c>
      <x:c r="F2190" s="9" t="str">
        <x:v>RT-B-C</x:v>
      </x:c>
      <x:c r="G2190" s="9" t="str">
        <x:v>B1</x:v>
      </x:c>
      <x:c r="H2190" s="9" t="str">
        <x:v>INT</x:v>
      </x:c>
      <x:c r="I2190" s="9" t="str">
        <x:v>PD08</x:v>
      </x:c>
      <x:c r="J2190" s="17" t="str">
        <x:v>Command and intervention log</x:v>
      </x:c>
      <x:c r="K2190" s="17" t="str">
        <x:v>Safety archive</x:v>
      </x:c>
      <x:c r="L2190" s="17" t="str">
        <x:v>COURT-SEALED UNTIL COHORT RELEASE</x:v>
      </x:c>
      <x:c r="M2190" s="9" t="n">
        <x:v>0</x:v>
      </x:c>
      <x:c r="N2190" s="9" t="n">
        <x:v>0</x:v>
      </x:c>
      <x:c r="O2190" s="9" t="n">
        <x:v>0</x:v>
      </x:c>
      <x:c r="P2190" s="9" t="str">
        <x:v>HELD / UNRELEASED</x:v>
      </x:c>
      <x:c r="Q2190" s="9" t="n">
        <x:f>COUNTIFS($A$7:$A$2310,A2190)</x:f>
        <x:v>1</x:v>
      </x:c>
    </x:row>
    <x:row r="2191">
      <x:c r="A2191" s="9" t="str">
        <x:v>PD-AR-RT-B-C-TECH-1-B1-INT-G0-PD09</x:v>
      </x:c>
      <x:c r="B2191" s="9" t="str">
        <x:v>PD-AR-RT-B-C-TECH-1-B1-INT-G0</x:v>
      </x:c>
      <x:c r="C2191" s="9" t="str">
        <x:v>EV-AR-RT-B-C-TECH-1-B1-INT-G0</x:v>
      </x:c>
      <x:c r="D2191" s="9" t="str">
        <x:v>AR-RT-B-C-TECH-1-B1-INT-G0</x:v>
      </x:c>
      <x:c r="E2191" s="9" t="str">
        <x:v>RT-B-C-TECH-1</x:v>
      </x:c>
      <x:c r="F2191" s="9" t="str">
        <x:v>RT-B-C</x:v>
      </x:c>
      <x:c r="G2191" s="9" t="str">
        <x:v>B1</x:v>
      </x:c>
      <x:c r="H2191" s="9" t="str">
        <x:v>INT</x:v>
      </x:c>
      <x:c r="I2191" s="9" t="str">
        <x:v>PD09</x:v>
      </x:c>
      <x:c r="J2191" s="17" t="str">
        <x:v>Receiver denominator and service ledger</x:v>
      </x:c>
      <x:c r="K2191" s="17" t="str">
        <x:v>Receiver archive</x:v>
      </x:c>
      <x:c r="L2191" s="17" t="str">
        <x:v>COURT-SEALED UNTIL COHORT RELEASE</x:v>
      </x:c>
      <x:c r="M2191" s="9" t="n">
        <x:v>0</x:v>
      </x:c>
      <x:c r="N2191" s="9" t="n">
        <x:v>0</x:v>
      </x:c>
      <x:c r="O2191" s="9" t="n">
        <x:v>0</x:v>
      </x:c>
      <x:c r="P2191" s="9" t="str">
        <x:v>HELD / UNRELEASED</x:v>
      </x:c>
      <x:c r="Q2191" s="9" t="n">
        <x:f>COUNTIFS($A$7:$A$2310,A2191)</x:f>
        <x:v>1</x:v>
      </x:c>
    </x:row>
    <x:row r="2192">
      <x:c r="A2192" s="9" t="str">
        <x:v>PD-AR-RT-B-C-TECH-1-B1-INT-G0-PD10</x:v>
      </x:c>
      <x:c r="B2192" s="9" t="str">
        <x:v>PD-AR-RT-B-C-TECH-1-B1-INT-G0</x:v>
      </x:c>
      <x:c r="C2192" s="9" t="str">
        <x:v>EV-AR-RT-B-C-TECH-1-B1-INT-G0</x:v>
      </x:c>
      <x:c r="D2192" s="9" t="str">
        <x:v>AR-RT-B-C-TECH-1-B1-INT-G0</x:v>
      </x:c>
      <x:c r="E2192" s="9" t="str">
        <x:v>RT-B-C-TECH-1</x:v>
      </x:c>
      <x:c r="F2192" s="9" t="str">
        <x:v>RT-B-C</x:v>
      </x:c>
      <x:c r="G2192" s="9" t="str">
        <x:v>B1</x:v>
      </x:c>
      <x:c r="H2192" s="9" t="str">
        <x:v>INT</x:v>
      </x:c>
      <x:c r="I2192" s="9" t="str">
        <x:v>PD10</x:v>
      </x:c>
      <x:c r="J2192" s="17" t="str">
        <x:v>Calibration and uncertainty record</x:v>
      </x:c>
      <x:c r="K2192" s="17" t="str">
        <x:v>Metrology archive</x:v>
      </x:c>
      <x:c r="L2192" s="17" t="str">
        <x:v>COURT-SEALED UNTIL COHORT RELEASE</x:v>
      </x:c>
      <x:c r="M2192" s="9" t="n">
        <x:v>0</x:v>
      </x:c>
      <x:c r="N2192" s="9" t="n">
        <x:v>0</x:v>
      </x:c>
      <x:c r="O2192" s="9" t="n">
        <x:v>0</x:v>
      </x:c>
      <x:c r="P2192" s="9" t="str">
        <x:v>HELD / UNRELEASED</x:v>
      </x:c>
      <x:c r="Q2192" s="9" t="n">
        <x:f>COUNTIFS($A$7:$A$2310,A2192)</x:f>
        <x:v>1</x:v>
      </x:c>
    </x:row>
    <x:row r="2193">
      <x:c r="A2193" s="9" t="str">
        <x:v>PD-AR-RT-B-C-TECH-1-B1-INT-G0-PD11</x:v>
      </x:c>
      <x:c r="B2193" s="9" t="str">
        <x:v>PD-AR-RT-B-C-TECH-1-B1-INT-G0</x:v>
      </x:c>
      <x:c r="C2193" s="9" t="str">
        <x:v>EV-AR-RT-B-C-TECH-1-B1-INT-G0</x:v>
      </x:c>
      <x:c r="D2193" s="9" t="str">
        <x:v>AR-RT-B-C-TECH-1-B1-INT-G0</x:v>
      </x:c>
      <x:c r="E2193" s="9" t="str">
        <x:v>RT-B-C-TECH-1</x:v>
      </x:c>
      <x:c r="F2193" s="9" t="str">
        <x:v>RT-B-C</x:v>
      </x:c>
      <x:c r="G2193" s="9" t="str">
        <x:v>B1</x:v>
      </x:c>
      <x:c r="H2193" s="9" t="str">
        <x:v>INT</x:v>
      </x:c>
      <x:c r="I2193" s="9" t="str">
        <x:v>PD11</x:v>
      </x:c>
      <x:c r="J2193" s="17" t="str">
        <x:v>Invalidity petition and opinion</x:v>
      </x:c>
      <x:c r="K2193" s="17" t="str">
        <x:v>Invalidity court</x:v>
      </x:c>
      <x:c r="L2193" s="17" t="str">
        <x:v>COURT-SEALED UNTIL COHORT RELEASE</x:v>
      </x:c>
      <x:c r="M2193" s="9" t="n">
        <x:v>0</x:v>
      </x:c>
      <x:c r="N2193" s="9" t="n">
        <x:v>0</x:v>
      </x:c>
      <x:c r="O2193" s="9" t="n">
        <x:v>0</x:v>
      </x:c>
      <x:c r="P2193" s="9" t="str">
        <x:v>HELD / UNRELEASED</x:v>
      </x:c>
      <x:c r="Q2193" s="9" t="n">
        <x:f>COUNTIFS($A$7:$A$2310,A2193)</x:f>
        <x:v>1</x:v>
      </x:c>
    </x:row>
    <x:row r="2194">
      <x:c r="A2194" s="9" t="str">
        <x:v>PD-AR-RT-B-C-TECH-1-B1-INT-G0-PD12</x:v>
      </x:c>
      <x:c r="B2194" s="9" t="str">
        <x:v>PD-AR-RT-B-C-TECH-1-B1-INT-G0</x:v>
      </x:c>
      <x:c r="C2194" s="9" t="str">
        <x:v>EV-AR-RT-B-C-TECH-1-B1-INT-G0</x:v>
      </x:c>
      <x:c r="D2194" s="9" t="str">
        <x:v>AR-RT-B-C-TECH-1-B1-INT-G0</x:v>
      </x:c>
      <x:c r="E2194" s="9" t="str">
        <x:v>RT-B-C-TECH-1</x:v>
      </x:c>
      <x:c r="F2194" s="9" t="str">
        <x:v>RT-B-C</x:v>
      </x:c>
      <x:c r="G2194" s="9" t="str">
        <x:v>B1</x:v>
      </x:c>
      <x:c r="H2194" s="9" t="str">
        <x:v>INT</x:v>
      </x:c>
      <x:c r="I2194" s="9" t="str">
        <x:v>PD12</x:v>
      </x:c>
      <x:c r="J2194" s="17" t="str">
        <x:v>Observation acceptance and replay</x:v>
      </x:c>
      <x:c r="K2194" s="17" t="str">
        <x:v>Observation court</x:v>
      </x:c>
      <x:c r="L2194" s="17" t="str">
        <x:v>COURT-SEALED UNTIL COHORT RELEASE</x:v>
      </x:c>
      <x:c r="M2194" s="9" t="n">
        <x:v>0</x:v>
      </x:c>
      <x:c r="N2194" s="9" t="n">
        <x:v>0</x:v>
      </x:c>
      <x:c r="O2194" s="9" t="n">
        <x:v>0</x:v>
      </x:c>
      <x:c r="P2194" s="9" t="str">
        <x:v>HELD / UNRELEASED</x:v>
      </x:c>
      <x:c r="Q2194" s="9" t="n">
        <x:f>COUNTIFS($A$7:$A$2310,A2194)</x:f>
        <x:v>1</x:v>
      </x:c>
    </x:row>
    <x:row r="2195">
      <x:c r="A2195" s="9" t="str">
        <x:v>PD-AR-RT-B-C-TECH-1-B1-INT-G0-PD13</x:v>
      </x:c>
      <x:c r="B2195" s="9" t="str">
        <x:v>PD-AR-RT-B-C-TECH-1-B1-INT-G0</x:v>
      </x:c>
      <x:c r="C2195" s="9" t="str">
        <x:v>EV-AR-RT-B-C-TECH-1-B1-INT-G0</x:v>
      </x:c>
      <x:c r="D2195" s="9" t="str">
        <x:v>AR-RT-B-C-TECH-1-B1-INT-G0</x:v>
      </x:c>
      <x:c r="E2195" s="9" t="str">
        <x:v>RT-B-C-TECH-1</x:v>
      </x:c>
      <x:c r="F2195" s="9" t="str">
        <x:v>RT-B-C</x:v>
      </x:c>
      <x:c r="G2195" s="9" t="str">
        <x:v>B1</x:v>
      </x:c>
      <x:c r="H2195" s="9" t="str">
        <x:v>INT</x:v>
      </x:c>
      <x:c r="I2195" s="9" t="str">
        <x:v>PD13</x:v>
      </x:c>
      <x:c r="J2195" s="17" t="str">
        <x:v>Role judgment</x:v>
      </x:c>
      <x:c r="K2195" s="17" t="str">
        <x:v>Role court</x:v>
      </x:c>
      <x:c r="L2195" s="17" t="str">
        <x:v>COURT-SEALED UNTIL COHORT RELEASE</x:v>
      </x:c>
      <x:c r="M2195" s="9" t="n">
        <x:v>0</x:v>
      </x:c>
      <x:c r="N2195" s="9" t="n">
        <x:v>0</x:v>
      </x:c>
      <x:c r="O2195" s="9" t="n">
        <x:v>0</x:v>
      </x:c>
      <x:c r="P2195" s="9" t="str">
        <x:v>HELD / UNRELEASED</x:v>
      </x:c>
      <x:c r="Q2195" s="9" t="n">
        <x:f>COUNTIFS($A$7:$A$2310,A2195)</x:f>
        <x:v>1</x:v>
      </x:c>
    </x:row>
    <x:row r="2196">
      <x:c r="A2196" s="9" t="str">
        <x:v>PD-AR-RT-B-C-TECH-1-B1-INT-G0-PD14</x:v>
      </x:c>
      <x:c r="B2196" s="9" t="str">
        <x:v>PD-AR-RT-B-C-TECH-1-B1-INT-G0</x:v>
      </x:c>
      <x:c r="C2196" s="9" t="str">
        <x:v>EV-AR-RT-B-C-TECH-1-B1-INT-G0</x:v>
      </x:c>
      <x:c r="D2196" s="9" t="str">
        <x:v>AR-RT-B-C-TECH-1-B1-INT-G0</x:v>
      </x:c>
      <x:c r="E2196" s="9" t="str">
        <x:v>RT-B-C-TECH-1</x:v>
      </x:c>
      <x:c r="F2196" s="9" t="str">
        <x:v>RT-B-C</x:v>
      </x:c>
      <x:c r="G2196" s="9" t="str">
        <x:v>B1</x:v>
      </x:c>
      <x:c r="H2196" s="9" t="str">
        <x:v>INT</x:v>
      </x:c>
      <x:c r="I2196" s="9" t="str">
        <x:v>PD14</x:v>
      </x:c>
      <x:c r="J2196" s="17" t="str">
        <x:v>Break and residual account</x:v>
      </x:c>
      <x:c r="K2196" s="17" t="str">
        <x:v>Residual authority</x:v>
      </x:c>
      <x:c r="L2196" s="17" t="str">
        <x:v>COURT-SEALED UNTIL COHORT RELEASE</x:v>
      </x:c>
      <x:c r="M2196" s="9" t="n">
        <x:v>0</x:v>
      </x:c>
      <x:c r="N2196" s="9" t="n">
        <x:v>0</x:v>
      </x:c>
      <x:c r="O2196" s="9" t="n">
        <x:v>0</x:v>
      </x:c>
      <x:c r="P2196" s="9" t="str">
        <x:v>HELD / UNRELEASED</x:v>
      </x:c>
      <x:c r="Q2196" s="9" t="n">
        <x:f>COUNTIFS($A$7:$A$2310,A2196)</x:f>
        <x:v>1</x:v>
      </x:c>
    </x:row>
    <x:row r="2197">
      <x:c r="A2197" s="9" t="str">
        <x:v>PD-AR-RT-B-C-TECH-1-B1-INT-G0-PD15</x:v>
      </x:c>
      <x:c r="B2197" s="9" t="str">
        <x:v>PD-AR-RT-B-C-TECH-1-B1-INT-G0</x:v>
      </x:c>
      <x:c r="C2197" s="9" t="str">
        <x:v>EV-AR-RT-B-C-TECH-1-B1-INT-G0</x:v>
      </x:c>
      <x:c r="D2197" s="9" t="str">
        <x:v>AR-RT-B-C-TECH-1-B1-INT-G0</x:v>
      </x:c>
      <x:c r="E2197" s="9" t="str">
        <x:v>RT-B-C-TECH-1</x:v>
      </x:c>
      <x:c r="F2197" s="9" t="str">
        <x:v>RT-B-C</x:v>
      </x:c>
      <x:c r="G2197" s="9" t="str">
        <x:v>B1</x:v>
      </x:c>
      <x:c r="H2197" s="9" t="str">
        <x:v>INT</x:v>
      </x:c>
      <x:c r="I2197" s="9" t="str">
        <x:v>PD15</x:v>
      </x:c>
      <x:c r="J2197" s="17" t="str">
        <x:v>Reconstruction ancestry and replay</x:v>
      </x:c>
      <x:c r="K2197" s="17" t="str">
        <x:v>Reconstruction court</x:v>
      </x:c>
      <x:c r="L2197" s="17" t="str">
        <x:v>COURT-SEALED UNTIL COHORT RELEASE</x:v>
      </x:c>
      <x:c r="M2197" s="9" t="n">
        <x:v>0</x:v>
      </x:c>
      <x:c r="N2197" s="9" t="n">
        <x:v>0</x:v>
      </x:c>
      <x:c r="O2197" s="9" t="n">
        <x:v>0</x:v>
      </x:c>
      <x:c r="P2197" s="9" t="str">
        <x:v>HELD / UNRELEASED</x:v>
      </x:c>
      <x:c r="Q2197" s="9" t="n">
        <x:f>COUNTIFS($A$7:$A$2310,A2197)</x:f>
        <x:v>1</x:v>
      </x:c>
    </x:row>
    <x:row r="2198">
      <x:c r="A2198" s="9" t="str">
        <x:v>PD-AR-RT-B-C-TECH-1-B1-INT-G0-PD16</x:v>
      </x:c>
      <x:c r="B2198" s="9" t="str">
        <x:v>PD-AR-RT-B-C-TECH-1-B1-INT-G0</x:v>
      </x:c>
      <x:c r="C2198" s="9" t="str">
        <x:v>EV-AR-RT-B-C-TECH-1-B1-INT-G0</x:v>
      </x:c>
      <x:c r="D2198" s="9" t="str">
        <x:v>AR-RT-B-C-TECH-1-B1-INT-G0</x:v>
      </x:c>
      <x:c r="E2198" s="9" t="str">
        <x:v>RT-B-C-TECH-1</x:v>
      </x:c>
      <x:c r="F2198" s="9" t="str">
        <x:v>RT-B-C</x:v>
      </x:c>
      <x:c r="G2198" s="9" t="str">
        <x:v>B1</x:v>
      </x:c>
      <x:c r="H2198" s="9" t="str">
        <x:v>INT</x:v>
      </x:c>
      <x:c r="I2198" s="9" t="str">
        <x:v>PD16</x:v>
      </x:c>
      <x:c r="J2198" s="17" t="str">
        <x:v>Dissent, amendments and access log</x:v>
      </x:c>
      <x:c r="K2198" s="17" t="str">
        <x:v>Public archive</x:v>
      </x:c>
      <x:c r="L2198" s="17" t="str">
        <x:v>COURT-SEALED UNTIL COHORT RELEASE</x:v>
      </x:c>
      <x:c r="M2198" s="9" t="n">
        <x:v>0</x:v>
      </x:c>
      <x:c r="N2198" s="9" t="n">
        <x:v>0</x:v>
      </x:c>
      <x:c r="O2198" s="9" t="n">
        <x:v>0</x:v>
      </x:c>
      <x:c r="P2198" s="9" t="str">
        <x:v>HELD / UNRELEASED</x:v>
      </x:c>
      <x:c r="Q2198" s="9" t="n">
        <x:f>COUNTIFS($A$7:$A$2310,A2198)</x:f>
        <x:v>1</x:v>
      </x:c>
    </x:row>
    <x:row r="2199">
      <x:c r="A2199" s="9" t="str">
        <x:v>PD-AR-RT-B-C-TECH-4-B2-BRK-G0-PD01</x:v>
      </x:c>
      <x:c r="B2199" s="9" t="str">
        <x:v>PD-AR-RT-B-C-TECH-4-B2-BRK-G0</x:v>
      </x:c>
      <x:c r="C2199" s="9" t="str">
        <x:v>EV-AR-RT-B-C-TECH-4-B2-BRK-G0</x:v>
      </x:c>
      <x:c r="D2199" s="9" t="str">
        <x:v>AR-RT-B-C-TECH-4-B2-BRK-G0</x:v>
      </x:c>
      <x:c r="E2199" s="9" t="str">
        <x:v>RT-B-C-TECH-4</x:v>
      </x:c>
      <x:c r="F2199" s="9" t="str">
        <x:v>RT-B-C</x:v>
      </x:c>
      <x:c r="G2199" s="9" t="str">
        <x:v>B2</x:v>
      </x:c>
      <x:c r="H2199" s="9" t="str">
        <x:v>BRK</x:v>
      </x:c>
      <x:c r="I2199" s="9" t="str">
        <x:v>PD01</x:v>
      </x:c>
      <x:c r="J2199" s="17" t="str">
        <x:v>Experiment kernel</x:v>
      </x:c>
      <x:c r="K2199" s="17" t="str">
        <x:v>Public archive</x:v>
      </x:c>
      <x:c r="L2199" s="17" t="str">
        <x:v>COURT-SEALED UNTIL COHORT RELEASE</x:v>
      </x:c>
      <x:c r="M2199" s="9" t="n">
        <x:v>0</x:v>
      </x:c>
      <x:c r="N2199" s="9" t="n">
        <x:v>0</x:v>
      </x:c>
      <x:c r="O2199" s="9" t="n">
        <x:v>0</x:v>
      </x:c>
      <x:c r="P2199" s="9" t="str">
        <x:v>HELD / UNRELEASED</x:v>
      </x:c>
      <x:c r="Q2199" s="9" t="n">
        <x:f>COUNTIFS($A$7:$A$2310,A2199)</x:f>
        <x:v>1</x:v>
      </x:c>
    </x:row>
    <x:row r="2200">
      <x:c r="A2200" s="9" t="str">
        <x:v>PD-AR-RT-B-C-TECH-4-B2-BRK-G0-PD02</x:v>
      </x:c>
      <x:c r="B2200" s="9" t="str">
        <x:v>PD-AR-RT-B-C-TECH-4-B2-BRK-G0</x:v>
      </x:c>
      <x:c r="C2200" s="9" t="str">
        <x:v>EV-AR-RT-B-C-TECH-4-B2-BRK-G0</x:v>
      </x:c>
      <x:c r="D2200" s="9" t="str">
        <x:v>AR-RT-B-C-TECH-4-B2-BRK-G0</x:v>
      </x:c>
      <x:c r="E2200" s="9" t="str">
        <x:v>RT-B-C-TECH-4</x:v>
      </x:c>
      <x:c r="F2200" s="9" t="str">
        <x:v>RT-B-C</x:v>
      </x:c>
      <x:c r="G2200" s="9" t="str">
        <x:v>B2</x:v>
      </x:c>
      <x:c r="H2200" s="9" t="str">
        <x:v>BRK</x:v>
      </x:c>
      <x:c r="I2200" s="9" t="str">
        <x:v>PD02</x:v>
      </x:c>
      <x:c r="J2200" s="17" t="str">
        <x:v>Serial annex and title chain</x:v>
      </x:c>
      <x:c r="K2200" s="17" t="str">
        <x:v>Public archive</x:v>
      </x:c>
      <x:c r="L2200" s="17" t="str">
        <x:v>COURT-SEALED UNTIL COHORT RELEASE</x:v>
      </x:c>
      <x:c r="M2200" s="9" t="n">
        <x:v>0</x:v>
      </x:c>
      <x:c r="N2200" s="9" t="n">
        <x:v>0</x:v>
      </x:c>
      <x:c r="O2200" s="9" t="n">
        <x:v>0</x:v>
      </x:c>
      <x:c r="P2200" s="9" t="str">
        <x:v>HELD / UNRELEASED</x:v>
      </x:c>
      <x:c r="Q2200" s="9" t="n">
        <x:f>COUNTIFS($A$7:$A$2310,A2200)</x:f>
        <x:v>1</x:v>
      </x:c>
    </x:row>
    <x:row r="2201">
      <x:c r="A2201" s="9" t="str">
        <x:v>PD-AR-RT-B-C-TECH-4-B2-BRK-G0-PD03</x:v>
      </x:c>
      <x:c r="B2201" s="9" t="str">
        <x:v>PD-AR-RT-B-C-TECH-4-B2-BRK-G0</x:v>
      </x:c>
      <x:c r="C2201" s="9" t="str">
        <x:v>EV-AR-RT-B-C-TECH-4-B2-BRK-G0</x:v>
      </x:c>
      <x:c r="D2201" s="9" t="str">
        <x:v>AR-RT-B-C-TECH-4-B2-BRK-G0</x:v>
      </x:c>
      <x:c r="E2201" s="9" t="str">
        <x:v>RT-B-C-TECH-4</x:v>
      </x:c>
      <x:c r="F2201" s="9" t="str">
        <x:v>RT-B-C</x:v>
      </x:c>
      <x:c r="G2201" s="9" t="str">
        <x:v>B2</x:v>
      </x:c>
      <x:c r="H2201" s="9" t="str">
        <x:v>BRK</x:v>
      </x:c>
      <x:c r="I2201" s="9" t="str">
        <x:v>PD03</x:v>
      </x:c>
      <x:c r="J2201" s="17" t="str">
        <x:v>Configuration and as-built manifest</x:v>
      </x:c>
      <x:c r="K2201" s="17" t="str">
        <x:v>Artifact exchange</x:v>
      </x:c>
      <x:c r="L2201" s="17" t="str">
        <x:v>COURT-SEALED UNTIL COHORT RELEASE</x:v>
      </x:c>
      <x:c r="M2201" s="9" t="n">
        <x:v>0</x:v>
      </x:c>
      <x:c r="N2201" s="9" t="n">
        <x:v>0</x:v>
      </x:c>
      <x:c r="O2201" s="9" t="n">
        <x:v>0</x:v>
      </x:c>
      <x:c r="P2201" s="9" t="str">
        <x:v>HELD / UNRELEASED</x:v>
      </x:c>
      <x:c r="Q2201" s="9" t="n">
        <x:f>COUNTIFS($A$7:$A$2310,A2201)</x:f>
        <x:v>1</x:v>
      </x:c>
    </x:row>
    <x:row r="2202">
      <x:c r="A2202" s="9" t="str">
        <x:v>PD-AR-RT-B-C-TECH-4-B2-BRK-G0-PD04</x:v>
      </x:c>
      <x:c r="B2202" s="9" t="str">
        <x:v>PD-AR-RT-B-C-TECH-4-B2-BRK-G0</x:v>
      </x:c>
      <x:c r="C2202" s="9" t="str">
        <x:v>EV-AR-RT-B-C-TECH-4-B2-BRK-G0</x:v>
      </x:c>
      <x:c r="D2202" s="9" t="str">
        <x:v>AR-RT-B-C-TECH-4-B2-BRK-G0</x:v>
      </x:c>
      <x:c r="E2202" s="9" t="str">
        <x:v>RT-B-C-TECH-4</x:v>
      </x:c>
      <x:c r="F2202" s="9" t="str">
        <x:v>RT-B-C</x:v>
      </x:c>
      <x:c r="G2202" s="9" t="str">
        <x:v>B2</x:v>
      </x:c>
      <x:c r="H2202" s="9" t="str">
        <x:v>BRK</x:v>
      </x:c>
      <x:c r="I2202" s="9" t="str">
        <x:v>PD04</x:v>
      </x:c>
      <x:c r="J2202" s="17" t="str">
        <x:v>EOW and start certificate</x:v>
      </x:c>
      <x:c r="K2202" s="17" t="str">
        <x:v>Start registrar</x:v>
      </x:c>
      <x:c r="L2202" s="17" t="str">
        <x:v>COURT-SEALED UNTIL COHORT RELEASE</x:v>
      </x:c>
      <x:c r="M2202" s="9" t="n">
        <x:v>0</x:v>
      </x:c>
      <x:c r="N2202" s="9" t="n">
        <x:v>0</x:v>
      </x:c>
      <x:c r="O2202" s="9" t="n">
        <x:v>0</x:v>
      </x:c>
      <x:c r="P2202" s="9" t="str">
        <x:v>HELD / UNRELEASED</x:v>
      </x:c>
      <x:c r="Q2202" s="9" t="n">
        <x:f>COUNTIFS($A$7:$A$2310,A2202)</x:f>
        <x:v>1</x:v>
      </x:c>
    </x:row>
    <x:row r="2203">
      <x:c r="A2203" s="9" t="str">
        <x:v>PD-AR-RT-B-C-TECH-4-B2-BRK-G0-PD05</x:v>
      </x:c>
      <x:c r="B2203" s="9" t="str">
        <x:v>PD-AR-RT-B-C-TECH-4-B2-BRK-G0</x:v>
      </x:c>
      <x:c r="C2203" s="9" t="str">
        <x:v>EV-AR-RT-B-C-TECH-4-B2-BRK-G0</x:v>
      </x:c>
      <x:c r="D2203" s="9" t="str">
        <x:v>AR-RT-B-C-TECH-4-B2-BRK-G0</x:v>
      </x:c>
      <x:c r="E2203" s="9" t="str">
        <x:v>RT-B-C-TECH-4</x:v>
      </x:c>
      <x:c r="F2203" s="9" t="str">
        <x:v>RT-B-C</x:v>
      </x:c>
      <x:c r="G2203" s="9" t="str">
        <x:v>B2</x:v>
      </x:c>
      <x:c r="H2203" s="9" t="str">
        <x:v>BRK</x:v>
      </x:c>
      <x:c r="I2203" s="9" t="str">
        <x:v>PD05</x:v>
      </x:c>
      <x:c r="J2203" s="17" t="str">
        <x:v>Primary raw originals</x:v>
      </x:c>
      <x:c r="K2203" s="17" t="str">
        <x:v>Primary custody</x:v>
      </x:c>
      <x:c r="L2203" s="17" t="str">
        <x:v>COURT-SEALED UNTIL COHORT RELEASE</x:v>
      </x:c>
      <x:c r="M2203" s="9" t="n">
        <x:v>0</x:v>
      </x:c>
      <x:c r="N2203" s="9" t="n">
        <x:v>0</x:v>
      </x:c>
      <x:c r="O2203" s="9" t="n">
        <x:v>0</x:v>
      </x:c>
      <x:c r="P2203" s="9" t="str">
        <x:v>HELD / UNRELEASED</x:v>
      </x:c>
      <x:c r="Q2203" s="9" t="n">
        <x:f>COUNTIFS($A$7:$A$2310,A2203)</x:f>
        <x:v>1</x:v>
      </x:c>
    </x:row>
    <x:row r="2204">
      <x:c r="A2204" s="9" t="str">
        <x:v>PD-AR-RT-B-C-TECH-4-B2-BRK-G0-PD06</x:v>
      </x:c>
      <x:c r="B2204" s="9" t="str">
        <x:v>PD-AR-RT-B-C-TECH-4-B2-BRK-G0</x:v>
      </x:c>
      <x:c r="C2204" s="9" t="str">
        <x:v>EV-AR-RT-B-C-TECH-4-B2-BRK-G0</x:v>
      </x:c>
      <x:c r="D2204" s="9" t="str">
        <x:v>AR-RT-B-C-TECH-4-B2-BRK-G0</x:v>
      </x:c>
      <x:c r="E2204" s="9" t="str">
        <x:v>RT-B-C-TECH-4</x:v>
      </x:c>
      <x:c r="F2204" s="9" t="str">
        <x:v>RT-B-C</x:v>
      </x:c>
      <x:c r="G2204" s="9" t="str">
        <x:v>B2</x:v>
      </x:c>
      <x:c r="H2204" s="9" t="str">
        <x:v>BRK</x:v>
      </x:c>
      <x:c r="I2204" s="9" t="str">
        <x:v>PD06</x:v>
      </x:c>
      <x:c r="J2204" s="17" t="str">
        <x:v>Witness raw originals</x:v>
      </x:c>
      <x:c r="K2204" s="17" t="str">
        <x:v>Witness custody</x:v>
      </x:c>
      <x:c r="L2204" s="17" t="str">
        <x:v>COURT-SEALED UNTIL COHORT RELEASE</x:v>
      </x:c>
      <x:c r="M2204" s="9" t="n">
        <x:v>0</x:v>
      </x:c>
      <x:c r="N2204" s="9" t="n">
        <x:v>0</x:v>
      </x:c>
      <x:c r="O2204" s="9" t="n">
        <x:v>0</x:v>
      </x:c>
      <x:c r="P2204" s="9" t="str">
        <x:v>HELD / UNRELEASED</x:v>
      </x:c>
      <x:c r="Q2204" s="9" t="n">
        <x:f>COUNTIFS($A$7:$A$2310,A2204)</x:f>
        <x:v>1</x:v>
      </x:c>
    </x:row>
    <x:row r="2205">
      <x:c r="A2205" s="9" t="str">
        <x:v>PD-AR-RT-B-C-TECH-4-B2-BRK-G0-PD07</x:v>
      </x:c>
      <x:c r="B2205" s="9" t="str">
        <x:v>PD-AR-RT-B-C-TECH-4-B2-BRK-G0</x:v>
      </x:c>
      <x:c r="C2205" s="9" t="str">
        <x:v>EV-AR-RT-B-C-TECH-4-B2-BRK-G0</x:v>
      </x:c>
      <x:c r="D2205" s="9" t="str">
        <x:v>AR-RT-B-C-TECH-4-B2-BRK-G0</x:v>
      </x:c>
      <x:c r="E2205" s="9" t="str">
        <x:v>RT-B-C-TECH-4</x:v>
      </x:c>
      <x:c r="F2205" s="9" t="str">
        <x:v>RT-B-C</x:v>
      </x:c>
      <x:c r="G2205" s="9" t="str">
        <x:v>B2</x:v>
      </x:c>
      <x:c r="H2205" s="9" t="str">
        <x:v>BRK</x:v>
      </x:c>
      <x:c r="I2205" s="9" t="str">
        <x:v>PD07</x:v>
      </x:c>
      <x:c r="J2205" s="17" t="str">
        <x:v>Clock and environmental records</x:v>
      </x:c>
      <x:c r="K2205" s="17" t="str">
        <x:v>Boundary archive</x:v>
      </x:c>
      <x:c r="L2205" s="17" t="str">
        <x:v>COURT-SEALED UNTIL COHORT RELEASE</x:v>
      </x:c>
      <x:c r="M2205" s="9" t="n">
        <x:v>0</x:v>
      </x:c>
      <x:c r="N2205" s="9" t="n">
        <x:v>0</x:v>
      </x:c>
      <x:c r="O2205" s="9" t="n">
        <x:v>0</x:v>
      </x:c>
      <x:c r="P2205" s="9" t="str">
        <x:v>HELD / UNRELEASED</x:v>
      </x:c>
      <x:c r="Q2205" s="9" t="n">
        <x:f>COUNTIFS($A$7:$A$2310,A2205)</x:f>
        <x:v>1</x:v>
      </x:c>
    </x:row>
    <x:row r="2206">
      <x:c r="A2206" s="9" t="str">
        <x:v>PD-AR-RT-B-C-TECH-4-B2-BRK-G0-PD08</x:v>
      </x:c>
      <x:c r="B2206" s="9" t="str">
        <x:v>PD-AR-RT-B-C-TECH-4-B2-BRK-G0</x:v>
      </x:c>
      <x:c r="C2206" s="9" t="str">
        <x:v>EV-AR-RT-B-C-TECH-4-B2-BRK-G0</x:v>
      </x:c>
      <x:c r="D2206" s="9" t="str">
        <x:v>AR-RT-B-C-TECH-4-B2-BRK-G0</x:v>
      </x:c>
      <x:c r="E2206" s="9" t="str">
        <x:v>RT-B-C-TECH-4</x:v>
      </x:c>
      <x:c r="F2206" s="9" t="str">
        <x:v>RT-B-C</x:v>
      </x:c>
      <x:c r="G2206" s="9" t="str">
        <x:v>B2</x:v>
      </x:c>
      <x:c r="H2206" s="9" t="str">
        <x:v>BRK</x:v>
      </x:c>
      <x:c r="I2206" s="9" t="str">
        <x:v>PD08</x:v>
      </x:c>
      <x:c r="J2206" s="17" t="str">
        <x:v>Command and intervention log</x:v>
      </x:c>
      <x:c r="K2206" s="17" t="str">
        <x:v>Safety archive</x:v>
      </x:c>
      <x:c r="L2206" s="17" t="str">
        <x:v>COURT-SEALED UNTIL COHORT RELEASE</x:v>
      </x:c>
      <x:c r="M2206" s="9" t="n">
        <x:v>0</x:v>
      </x:c>
      <x:c r="N2206" s="9" t="n">
        <x:v>0</x:v>
      </x:c>
      <x:c r="O2206" s="9" t="n">
        <x:v>0</x:v>
      </x:c>
      <x:c r="P2206" s="9" t="str">
        <x:v>HELD / UNRELEASED</x:v>
      </x:c>
      <x:c r="Q2206" s="9" t="n">
        <x:f>COUNTIFS($A$7:$A$2310,A2206)</x:f>
        <x:v>1</x:v>
      </x:c>
    </x:row>
    <x:row r="2207">
      <x:c r="A2207" s="9" t="str">
        <x:v>PD-AR-RT-B-C-TECH-4-B2-BRK-G0-PD09</x:v>
      </x:c>
      <x:c r="B2207" s="9" t="str">
        <x:v>PD-AR-RT-B-C-TECH-4-B2-BRK-G0</x:v>
      </x:c>
      <x:c r="C2207" s="9" t="str">
        <x:v>EV-AR-RT-B-C-TECH-4-B2-BRK-G0</x:v>
      </x:c>
      <x:c r="D2207" s="9" t="str">
        <x:v>AR-RT-B-C-TECH-4-B2-BRK-G0</x:v>
      </x:c>
      <x:c r="E2207" s="9" t="str">
        <x:v>RT-B-C-TECH-4</x:v>
      </x:c>
      <x:c r="F2207" s="9" t="str">
        <x:v>RT-B-C</x:v>
      </x:c>
      <x:c r="G2207" s="9" t="str">
        <x:v>B2</x:v>
      </x:c>
      <x:c r="H2207" s="9" t="str">
        <x:v>BRK</x:v>
      </x:c>
      <x:c r="I2207" s="9" t="str">
        <x:v>PD09</x:v>
      </x:c>
      <x:c r="J2207" s="17" t="str">
        <x:v>Receiver denominator and service ledger</x:v>
      </x:c>
      <x:c r="K2207" s="17" t="str">
        <x:v>Receiver archive</x:v>
      </x:c>
      <x:c r="L2207" s="17" t="str">
        <x:v>COURT-SEALED UNTIL COHORT RELEASE</x:v>
      </x:c>
      <x:c r="M2207" s="9" t="n">
        <x:v>0</x:v>
      </x:c>
      <x:c r="N2207" s="9" t="n">
        <x:v>0</x:v>
      </x:c>
      <x:c r="O2207" s="9" t="n">
        <x:v>0</x:v>
      </x:c>
      <x:c r="P2207" s="9" t="str">
        <x:v>HELD / UNRELEASED</x:v>
      </x:c>
      <x:c r="Q2207" s="9" t="n">
        <x:f>COUNTIFS($A$7:$A$2310,A2207)</x:f>
        <x:v>1</x:v>
      </x:c>
    </x:row>
    <x:row r="2208">
      <x:c r="A2208" s="9" t="str">
        <x:v>PD-AR-RT-B-C-TECH-4-B2-BRK-G0-PD10</x:v>
      </x:c>
      <x:c r="B2208" s="9" t="str">
        <x:v>PD-AR-RT-B-C-TECH-4-B2-BRK-G0</x:v>
      </x:c>
      <x:c r="C2208" s="9" t="str">
        <x:v>EV-AR-RT-B-C-TECH-4-B2-BRK-G0</x:v>
      </x:c>
      <x:c r="D2208" s="9" t="str">
        <x:v>AR-RT-B-C-TECH-4-B2-BRK-G0</x:v>
      </x:c>
      <x:c r="E2208" s="9" t="str">
        <x:v>RT-B-C-TECH-4</x:v>
      </x:c>
      <x:c r="F2208" s="9" t="str">
        <x:v>RT-B-C</x:v>
      </x:c>
      <x:c r="G2208" s="9" t="str">
        <x:v>B2</x:v>
      </x:c>
      <x:c r="H2208" s="9" t="str">
        <x:v>BRK</x:v>
      </x:c>
      <x:c r="I2208" s="9" t="str">
        <x:v>PD10</x:v>
      </x:c>
      <x:c r="J2208" s="17" t="str">
        <x:v>Calibration and uncertainty record</x:v>
      </x:c>
      <x:c r="K2208" s="17" t="str">
        <x:v>Metrology archive</x:v>
      </x:c>
      <x:c r="L2208" s="17" t="str">
        <x:v>COURT-SEALED UNTIL COHORT RELEASE</x:v>
      </x:c>
      <x:c r="M2208" s="9" t="n">
        <x:v>0</x:v>
      </x:c>
      <x:c r="N2208" s="9" t="n">
        <x:v>0</x:v>
      </x:c>
      <x:c r="O2208" s="9" t="n">
        <x:v>0</x:v>
      </x:c>
      <x:c r="P2208" s="9" t="str">
        <x:v>HELD / UNRELEASED</x:v>
      </x:c>
      <x:c r="Q2208" s="9" t="n">
        <x:f>COUNTIFS($A$7:$A$2310,A2208)</x:f>
        <x:v>1</x:v>
      </x:c>
    </x:row>
    <x:row r="2209">
      <x:c r="A2209" s="9" t="str">
        <x:v>PD-AR-RT-B-C-TECH-4-B2-BRK-G0-PD11</x:v>
      </x:c>
      <x:c r="B2209" s="9" t="str">
        <x:v>PD-AR-RT-B-C-TECH-4-B2-BRK-G0</x:v>
      </x:c>
      <x:c r="C2209" s="9" t="str">
        <x:v>EV-AR-RT-B-C-TECH-4-B2-BRK-G0</x:v>
      </x:c>
      <x:c r="D2209" s="9" t="str">
        <x:v>AR-RT-B-C-TECH-4-B2-BRK-G0</x:v>
      </x:c>
      <x:c r="E2209" s="9" t="str">
        <x:v>RT-B-C-TECH-4</x:v>
      </x:c>
      <x:c r="F2209" s="9" t="str">
        <x:v>RT-B-C</x:v>
      </x:c>
      <x:c r="G2209" s="9" t="str">
        <x:v>B2</x:v>
      </x:c>
      <x:c r="H2209" s="9" t="str">
        <x:v>BRK</x:v>
      </x:c>
      <x:c r="I2209" s="9" t="str">
        <x:v>PD11</x:v>
      </x:c>
      <x:c r="J2209" s="17" t="str">
        <x:v>Invalidity petition and opinion</x:v>
      </x:c>
      <x:c r="K2209" s="17" t="str">
        <x:v>Invalidity court</x:v>
      </x:c>
      <x:c r="L2209" s="17" t="str">
        <x:v>COURT-SEALED UNTIL COHORT RELEASE</x:v>
      </x:c>
      <x:c r="M2209" s="9" t="n">
        <x:v>0</x:v>
      </x:c>
      <x:c r="N2209" s="9" t="n">
        <x:v>0</x:v>
      </x:c>
      <x:c r="O2209" s="9" t="n">
        <x:v>0</x:v>
      </x:c>
      <x:c r="P2209" s="9" t="str">
        <x:v>HELD / UNRELEASED</x:v>
      </x:c>
      <x:c r="Q2209" s="9" t="n">
        <x:f>COUNTIFS($A$7:$A$2310,A2209)</x:f>
        <x:v>1</x:v>
      </x:c>
    </x:row>
    <x:row r="2210">
      <x:c r="A2210" s="9" t="str">
        <x:v>PD-AR-RT-B-C-TECH-4-B2-BRK-G0-PD12</x:v>
      </x:c>
      <x:c r="B2210" s="9" t="str">
        <x:v>PD-AR-RT-B-C-TECH-4-B2-BRK-G0</x:v>
      </x:c>
      <x:c r="C2210" s="9" t="str">
        <x:v>EV-AR-RT-B-C-TECH-4-B2-BRK-G0</x:v>
      </x:c>
      <x:c r="D2210" s="9" t="str">
        <x:v>AR-RT-B-C-TECH-4-B2-BRK-G0</x:v>
      </x:c>
      <x:c r="E2210" s="9" t="str">
        <x:v>RT-B-C-TECH-4</x:v>
      </x:c>
      <x:c r="F2210" s="9" t="str">
        <x:v>RT-B-C</x:v>
      </x:c>
      <x:c r="G2210" s="9" t="str">
        <x:v>B2</x:v>
      </x:c>
      <x:c r="H2210" s="9" t="str">
        <x:v>BRK</x:v>
      </x:c>
      <x:c r="I2210" s="9" t="str">
        <x:v>PD12</x:v>
      </x:c>
      <x:c r="J2210" s="17" t="str">
        <x:v>Observation acceptance and replay</x:v>
      </x:c>
      <x:c r="K2210" s="17" t="str">
        <x:v>Observation court</x:v>
      </x:c>
      <x:c r="L2210" s="17" t="str">
        <x:v>COURT-SEALED UNTIL COHORT RELEASE</x:v>
      </x:c>
      <x:c r="M2210" s="9" t="n">
        <x:v>0</x:v>
      </x:c>
      <x:c r="N2210" s="9" t="n">
        <x:v>0</x:v>
      </x:c>
      <x:c r="O2210" s="9" t="n">
        <x:v>0</x:v>
      </x:c>
      <x:c r="P2210" s="9" t="str">
        <x:v>HELD / UNRELEASED</x:v>
      </x:c>
      <x:c r="Q2210" s="9" t="n">
        <x:f>COUNTIFS($A$7:$A$2310,A2210)</x:f>
        <x:v>1</x:v>
      </x:c>
    </x:row>
    <x:row r="2211">
      <x:c r="A2211" s="9" t="str">
        <x:v>PD-AR-RT-B-C-TECH-4-B2-BRK-G0-PD13</x:v>
      </x:c>
      <x:c r="B2211" s="9" t="str">
        <x:v>PD-AR-RT-B-C-TECH-4-B2-BRK-G0</x:v>
      </x:c>
      <x:c r="C2211" s="9" t="str">
        <x:v>EV-AR-RT-B-C-TECH-4-B2-BRK-G0</x:v>
      </x:c>
      <x:c r="D2211" s="9" t="str">
        <x:v>AR-RT-B-C-TECH-4-B2-BRK-G0</x:v>
      </x:c>
      <x:c r="E2211" s="9" t="str">
        <x:v>RT-B-C-TECH-4</x:v>
      </x:c>
      <x:c r="F2211" s="9" t="str">
        <x:v>RT-B-C</x:v>
      </x:c>
      <x:c r="G2211" s="9" t="str">
        <x:v>B2</x:v>
      </x:c>
      <x:c r="H2211" s="9" t="str">
        <x:v>BRK</x:v>
      </x:c>
      <x:c r="I2211" s="9" t="str">
        <x:v>PD13</x:v>
      </x:c>
      <x:c r="J2211" s="17" t="str">
        <x:v>Role judgment</x:v>
      </x:c>
      <x:c r="K2211" s="17" t="str">
        <x:v>Role court</x:v>
      </x:c>
      <x:c r="L2211" s="17" t="str">
        <x:v>COURT-SEALED UNTIL COHORT RELEASE</x:v>
      </x:c>
      <x:c r="M2211" s="9" t="n">
        <x:v>0</x:v>
      </x:c>
      <x:c r="N2211" s="9" t="n">
        <x:v>0</x:v>
      </x:c>
      <x:c r="O2211" s="9" t="n">
        <x:v>0</x:v>
      </x:c>
      <x:c r="P2211" s="9" t="str">
        <x:v>HELD / UNRELEASED</x:v>
      </x:c>
      <x:c r="Q2211" s="9" t="n">
        <x:f>COUNTIFS($A$7:$A$2310,A2211)</x:f>
        <x:v>1</x:v>
      </x:c>
    </x:row>
    <x:row r="2212">
      <x:c r="A2212" s="9" t="str">
        <x:v>PD-AR-RT-B-C-TECH-4-B2-BRK-G0-PD14</x:v>
      </x:c>
      <x:c r="B2212" s="9" t="str">
        <x:v>PD-AR-RT-B-C-TECH-4-B2-BRK-G0</x:v>
      </x:c>
      <x:c r="C2212" s="9" t="str">
        <x:v>EV-AR-RT-B-C-TECH-4-B2-BRK-G0</x:v>
      </x:c>
      <x:c r="D2212" s="9" t="str">
        <x:v>AR-RT-B-C-TECH-4-B2-BRK-G0</x:v>
      </x:c>
      <x:c r="E2212" s="9" t="str">
        <x:v>RT-B-C-TECH-4</x:v>
      </x:c>
      <x:c r="F2212" s="9" t="str">
        <x:v>RT-B-C</x:v>
      </x:c>
      <x:c r="G2212" s="9" t="str">
        <x:v>B2</x:v>
      </x:c>
      <x:c r="H2212" s="9" t="str">
        <x:v>BRK</x:v>
      </x:c>
      <x:c r="I2212" s="9" t="str">
        <x:v>PD14</x:v>
      </x:c>
      <x:c r="J2212" s="17" t="str">
        <x:v>Break and residual account</x:v>
      </x:c>
      <x:c r="K2212" s="17" t="str">
        <x:v>Residual authority</x:v>
      </x:c>
      <x:c r="L2212" s="17" t="str">
        <x:v>COURT-SEALED UNTIL COHORT RELEASE</x:v>
      </x:c>
      <x:c r="M2212" s="9" t="n">
        <x:v>0</x:v>
      </x:c>
      <x:c r="N2212" s="9" t="n">
        <x:v>0</x:v>
      </x:c>
      <x:c r="O2212" s="9" t="n">
        <x:v>0</x:v>
      </x:c>
      <x:c r="P2212" s="9" t="str">
        <x:v>HELD / UNRELEASED</x:v>
      </x:c>
      <x:c r="Q2212" s="9" t="n">
        <x:f>COUNTIFS($A$7:$A$2310,A2212)</x:f>
        <x:v>1</x:v>
      </x:c>
    </x:row>
    <x:row r="2213">
      <x:c r="A2213" s="9" t="str">
        <x:v>PD-AR-RT-B-C-TECH-4-B2-BRK-G0-PD15</x:v>
      </x:c>
      <x:c r="B2213" s="9" t="str">
        <x:v>PD-AR-RT-B-C-TECH-4-B2-BRK-G0</x:v>
      </x:c>
      <x:c r="C2213" s="9" t="str">
        <x:v>EV-AR-RT-B-C-TECH-4-B2-BRK-G0</x:v>
      </x:c>
      <x:c r="D2213" s="9" t="str">
        <x:v>AR-RT-B-C-TECH-4-B2-BRK-G0</x:v>
      </x:c>
      <x:c r="E2213" s="9" t="str">
        <x:v>RT-B-C-TECH-4</x:v>
      </x:c>
      <x:c r="F2213" s="9" t="str">
        <x:v>RT-B-C</x:v>
      </x:c>
      <x:c r="G2213" s="9" t="str">
        <x:v>B2</x:v>
      </x:c>
      <x:c r="H2213" s="9" t="str">
        <x:v>BRK</x:v>
      </x:c>
      <x:c r="I2213" s="9" t="str">
        <x:v>PD15</x:v>
      </x:c>
      <x:c r="J2213" s="17" t="str">
        <x:v>Reconstruction ancestry and replay</x:v>
      </x:c>
      <x:c r="K2213" s="17" t="str">
        <x:v>Reconstruction court</x:v>
      </x:c>
      <x:c r="L2213" s="17" t="str">
        <x:v>COURT-SEALED UNTIL COHORT RELEASE</x:v>
      </x:c>
      <x:c r="M2213" s="9" t="n">
        <x:v>0</x:v>
      </x:c>
      <x:c r="N2213" s="9" t="n">
        <x:v>0</x:v>
      </x:c>
      <x:c r="O2213" s="9" t="n">
        <x:v>0</x:v>
      </x:c>
      <x:c r="P2213" s="9" t="str">
        <x:v>HELD / UNRELEASED</x:v>
      </x:c>
      <x:c r="Q2213" s="9" t="n">
        <x:f>COUNTIFS($A$7:$A$2310,A2213)</x:f>
        <x:v>1</x:v>
      </x:c>
    </x:row>
    <x:row r="2214">
      <x:c r="A2214" s="9" t="str">
        <x:v>PD-AR-RT-B-C-TECH-4-B2-BRK-G0-PD16</x:v>
      </x:c>
      <x:c r="B2214" s="9" t="str">
        <x:v>PD-AR-RT-B-C-TECH-4-B2-BRK-G0</x:v>
      </x:c>
      <x:c r="C2214" s="9" t="str">
        <x:v>EV-AR-RT-B-C-TECH-4-B2-BRK-G0</x:v>
      </x:c>
      <x:c r="D2214" s="9" t="str">
        <x:v>AR-RT-B-C-TECH-4-B2-BRK-G0</x:v>
      </x:c>
      <x:c r="E2214" s="9" t="str">
        <x:v>RT-B-C-TECH-4</x:v>
      </x:c>
      <x:c r="F2214" s="9" t="str">
        <x:v>RT-B-C</x:v>
      </x:c>
      <x:c r="G2214" s="9" t="str">
        <x:v>B2</x:v>
      </x:c>
      <x:c r="H2214" s="9" t="str">
        <x:v>BRK</x:v>
      </x:c>
      <x:c r="I2214" s="9" t="str">
        <x:v>PD16</x:v>
      </x:c>
      <x:c r="J2214" s="17" t="str">
        <x:v>Dissent, amendments and access log</x:v>
      </x:c>
      <x:c r="K2214" s="17" t="str">
        <x:v>Public archive</x:v>
      </x:c>
      <x:c r="L2214" s="17" t="str">
        <x:v>COURT-SEALED UNTIL COHORT RELEASE</x:v>
      </x:c>
      <x:c r="M2214" s="9" t="n">
        <x:v>0</x:v>
      </x:c>
      <x:c r="N2214" s="9" t="n">
        <x:v>0</x:v>
      </x:c>
      <x:c r="O2214" s="9" t="n">
        <x:v>0</x:v>
      </x:c>
      <x:c r="P2214" s="9" t="str">
        <x:v>HELD / UNRELEASED</x:v>
      </x:c>
      <x:c r="Q2214" s="9" t="n">
        <x:f>COUNTIFS($A$7:$A$2310,A2214)</x:f>
        <x:v>1</x:v>
      </x:c>
    </x:row>
    <x:row r="2215">
      <x:c r="A2215" s="9" t="str">
        <x:v>PD-AR-CT-C-B-TECH-2-B2-BRK-G0-PD01</x:v>
      </x:c>
      <x:c r="B2215" s="9" t="str">
        <x:v>PD-AR-CT-C-B-TECH-2-B2-BRK-G0</x:v>
      </x:c>
      <x:c r="C2215" s="9" t="str">
        <x:v>EV-AR-CT-C-B-TECH-2-B2-BRK-G0</x:v>
      </x:c>
      <x:c r="D2215" s="9" t="str">
        <x:v>AR-CT-C-B-TECH-2-B2-BRK-G0</x:v>
      </x:c>
      <x:c r="E2215" s="9" t="str">
        <x:v>CT-C-B-TECH-2</x:v>
      </x:c>
      <x:c r="F2215" s="9" t="str">
        <x:v>CT-C-B</x:v>
      </x:c>
      <x:c r="G2215" s="9" t="str">
        <x:v>B2</x:v>
      </x:c>
      <x:c r="H2215" s="9" t="str">
        <x:v>BRK</x:v>
      </x:c>
      <x:c r="I2215" s="9" t="str">
        <x:v>PD01</x:v>
      </x:c>
      <x:c r="J2215" s="17" t="str">
        <x:v>Experiment kernel</x:v>
      </x:c>
      <x:c r="K2215" s="17" t="str">
        <x:v>Public archive</x:v>
      </x:c>
      <x:c r="L2215" s="17" t="str">
        <x:v>COURT-SEALED UNTIL COHORT RELEASE</x:v>
      </x:c>
      <x:c r="M2215" s="9" t="n">
        <x:v>0</x:v>
      </x:c>
      <x:c r="N2215" s="9" t="n">
        <x:v>0</x:v>
      </x:c>
      <x:c r="O2215" s="9" t="n">
        <x:v>0</x:v>
      </x:c>
      <x:c r="P2215" s="9" t="str">
        <x:v>HELD / UNRELEASED</x:v>
      </x:c>
      <x:c r="Q2215" s="9" t="n">
        <x:f>COUNTIFS($A$7:$A$2310,A2215)</x:f>
        <x:v>1</x:v>
      </x:c>
    </x:row>
    <x:row r="2216">
      <x:c r="A2216" s="9" t="str">
        <x:v>PD-AR-CT-C-B-TECH-2-B2-BRK-G0-PD02</x:v>
      </x:c>
      <x:c r="B2216" s="9" t="str">
        <x:v>PD-AR-CT-C-B-TECH-2-B2-BRK-G0</x:v>
      </x:c>
      <x:c r="C2216" s="9" t="str">
        <x:v>EV-AR-CT-C-B-TECH-2-B2-BRK-G0</x:v>
      </x:c>
      <x:c r="D2216" s="9" t="str">
        <x:v>AR-CT-C-B-TECH-2-B2-BRK-G0</x:v>
      </x:c>
      <x:c r="E2216" s="9" t="str">
        <x:v>CT-C-B-TECH-2</x:v>
      </x:c>
      <x:c r="F2216" s="9" t="str">
        <x:v>CT-C-B</x:v>
      </x:c>
      <x:c r="G2216" s="9" t="str">
        <x:v>B2</x:v>
      </x:c>
      <x:c r="H2216" s="9" t="str">
        <x:v>BRK</x:v>
      </x:c>
      <x:c r="I2216" s="9" t="str">
        <x:v>PD02</x:v>
      </x:c>
      <x:c r="J2216" s="17" t="str">
        <x:v>Serial annex and title chain</x:v>
      </x:c>
      <x:c r="K2216" s="17" t="str">
        <x:v>Public archive</x:v>
      </x:c>
      <x:c r="L2216" s="17" t="str">
        <x:v>COURT-SEALED UNTIL COHORT RELEASE</x:v>
      </x:c>
      <x:c r="M2216" s="9" t="n">
        <x:v>0</x:v>
      </x:c>
      <x:c r="N2216" s="9" t="n">
        <x:v>0</x:v>
      </x:c>
      <x:c r="O2216" s="9" t="n">
        <x:v>0</x:v>
      </x:c>
      <x:c r="P2216" s="9" t="str">
        <x:v>HELD / UNRELEASED</x:v>
      </x:c>
      <x:c r="Q2216" s="9" t="n">
        <x:f>COUNTIFS($A$7:$A$2310,A2216)</x:f>
        <x:v>1</x:v>
      </x:c>
    </x:row>
    <x:row r="2217">
      <x:c r="A2217" s="9" t="str">
        <x:v>PD-AR-CT-C-B-TECH-2-B2-BRK-G0-PD03</x:v>
      </x:c>
      <x:c r="B2217" s="9" t="str">
        <x:v>PD-AR-CT-C-B-TECH-2-B2-BRK-G0</x:v>
      </x:c>
      <x:c r="C2217" s="9" t="str">
        <x:v>EV-AR-CT-C-B-TECH-2-B2-BRK-G0</x:v>
      </x:c>
      <x:c r="D2217" s="9" t="str">
        <x:v>AR-CT-C-B-TECH-2-B2-BRK-G0</x:v>
      </x:c>
      <x:c r="E2217" s="9" t="str">
        <x:v>CT-C-B-TECH-2</x:v>
      </x:c>
      <x:c r="F2217" s="9" t="str">
        <x:v>CT-C-B</x:v>
      </x:c>
      <x:c r="G2217" s="9" t="str">
        <x:v>B2</x:v>
      </x:c>
      <x:c r="H2217" s="9" t="str">
        <x:v>BRK</x:v>
      </x:c>
      <x:c r="I2217" s="9" t="str">
        <x:v>PD03</x:v>
      </x:c>
      <x:c r="J2217" s="17" t="str">
        <x:v>Configuration and as-built manifest</x:v>
      </x:c>
      <x:c r="K2217" s="17" t="str">
        <x:v>Artifact exchange</x:v>
      </x:c>
      <x:c r="L2217" s="17" t="str">
        <x:v>COURT-SEALED UNTIL COHORT RELEASE</x:v>
      </x:c>
      <x:c r="M2217" s="9" t="n">
        <x:v>0</x:v>
      </x:c>
      <x:c r="N2217" s="9" t="n">
        <x:v>0</x:v>
      </x:c>
      <x:c r="O2217" s="9" t="n">
        <x:v>0</x:v>
      </x:c>
      <x:c r="P2217" s="9" t="str">
        <x:v>HELD / UNRELEASED</x:v>
      </x:c>
      <x:c r="Q2217" s="9" t="n">
        <x:f>COUNTIFS($A$7:$A$2310,A2217)</x:f>
        <x:v>1</x:v>
      </x:c>
    </x:row>
    <x:row r="2218">
      <x:c r="A2218" s="9" t="str">
        <x:v>PD-AR-CT-C-B-TECH-2-B2-BRK-G0-PD04</x:v>
      </x:c>
      <x:c r="B2218" s="9" t="str">
        <x:v>PD-AR-CT-C-B-TECH-2-B2-BRK-G0</x:v>
      </x:c>
      <x:c r="C2218" s="9" t="str">
        <x:v>EV-AR-CT-C-B-TECH-2-B2-BRK-G0</x:v>
      </x:c>
      <x:c r="D2218" s="9" t="str">
        <x:v>AR-CT-C-B-TECH-2-B2-BRK-G0</x:v>
      </x:c>
      <x:c r="E2218" s="9" t="str">
        <x:v>CT-C-B-TECH-2</x:v>
      </x:c>
      <x:c r="F2218" s="9" t="str">
        <x:v>CT-C-B</x:v>
      </x:c>
      <x:c r="G2218" s="9" t="str">
        <x:v>B2</x:v>
      </x:c>
      <x:c r="H2218" s="9" t="str">
        <x:v>BRK</x:v>
      </x:c>
      <x:c r="I2218" s="9" t="str">
        <x:v>PD04</x:v>
      </x:c>
      <x:c r="J2218" s="17" t="str">
        <x:v>EOW and start certificate</x:v>
      </x:c>
      <x:c r="K2218" s="17" t="str">
        <x:v>Start registrar</x:v>
      </x:c>
      <x:c r="L2218" s="17" t="str">
        <x:v>COURT-SEALED UNTIL COHORT RELEASE</x:v>
      </x:c>
      <x:c r="M2218" s="9" t="n">
        <x:v>0</x:v>
      </x:c>
      <x:c r="N2218" s="9" t="n">
        <x:v>0</x:v>
      </x:c>
      <x:c r="O2218" s="9" t="n">
        <x:v>0</x:v>
      </x:c>
      <x:c r="P2218" s="9" t="str">
        <x:v>HELD / UNRELEASED</x:v>
      </x:c>
      <x:c r="Q2218" s="9" t="n">
        <x:f>COUNTIFS($A$7:$A$2310,A2218)</x:f>
        <x:v>1</x:v>
      </x:c>
    </x:row>
    <x:row r="2219">
      <x:c r="A2219" s="9" t="str">
        <x:v>PD-AR-CT-C-B-TECH-2-B2-BRK-G0-PD05</x:v>
      </x:c>
      <x:c r="B2219" s="9" t="str">
        <x:v>PD-AR-CT-C-B-TECH-2-B2-BRK-G0</x:v>
      </x:c>
      <x:c r="C2219" s="9" t="str">
        <x:v>EV-AR-CT-C-B-TECH-2-B2-BRK-G0</x:v>
      </x:c>
      <x:c r="D2219" s="9" t="str">
        <x:v>AR-CT-C-B-TECH-2-B2-BRK-G0</x:v>
      </x:c>
      <x:c r="E2219" s="9" t="str">
        <x:v>CT-C-B-TECH-2</x:v>
      </x:c>
      <x:c r="F2219" s="9" t="str">
        <x:v>CT-C-B</x:v>
      </x:c>
      <x:c r="G2219" s="9" t="str">
        <x:v>B2</x:v>
      </x:c>
      <x:c r="H2219" s="9" t="str">
        <x:v>BRK</x:v>
      </x:c>
      <x:c r="I2219" s="9" t="str">
        <x:v>PD05</x:v>
      </x:c>
      <x:c r="J2219" s="17" t="str">
        <x:v>Primary raw originals</x:v>
      </x:c>
      <x:c r="K2219" s="17" t="str">
        <x:v>Primary custody</x:v>
      </x:c>
      <x:c r="L2219" s="17" t="str">
        <x:v>COURT-SEALED UNTIL COHORT RELEASE</x:v>
      </x:c>
      <x:c r="M2219" s="9" t="n">
        <x:v>0</x:v>
      </x:c>
      <x:c r="N2219" s="9" t="n">
        <x:v>0</x:v>
      </x:c>
      <x:c r="O2219" s="9" t="n">
        <x:v>0</x:v>
      </x:c>
      <x:c r="P2219" s="9" t="str">
        <x:v>HELD / UNRELEASED</x:v>
      </x:c>
      <x:c r="Q2219" s="9" t="n">
        <x:f>COUNTIFS($A$7:$A$2310,A2219)</x:f>
        <x:v>1</x:v>
      </x:c>
    </x:row>
    <x:row r="2220">
      <x:c r="A2220" s="9" t="str">
        <x:v>PD-AR-CT-C-B-TECH-2-B2-BRK-G0-PD06</x:v>
      </x:c>
      <x:c r="B2220" s="9" t="str">
        <x:v>PD-AR-CT-C-B-TECH-2-B2-BRK-G0</x:v>
      </x:c>
      <x:c r="C2220" s="9" t="str">
        <x:v>EV-AR-CT-C-B-TECH-2-B2-BRK-G0</x:v>
      </x:c>
      <x:c r="D2220" s="9" t="str">
        <x:v>AR-CT-C-B-TECH-2-B2-BRK-G0</x:v>
      </x:c>
      <x:c r="E2220" s="9" t="str">
        <x:v>CT-C-B-TECH-2</x:v>
      </x:c>
      <x:c r="F2220" s="9" t="str">
        <x:v>CT-C-B</x:v>
      </x:c>
      <x:c r="G2220" s="9" t="str">
        <x:v>B2</x:v>
      </x:c>
      <x:c r="H2220" s="9" t="str">
        <x:v>BRK</x:v>
      </x:c>
      <x:c r="I2220" s="9" t="str">
        <x:v>PD06</x:v>
      </x:c>
      <x:c r="J2220" s="17" t="str">
        <x:v>Witness raw originals</x:v>
      </x:c>
      <x:c r="K2220" s="17" t="str">
        <x:v>Witness custody</x:v>
      </x:c>
      <x:c r="L2220" s="17" t="str">
        <x:v>COURT-SEALED UNTIL COHORT RELEASE</x:v>
      </x:c>
      <x:c r="M2220" s="9" t="n">
        <x:v>0</x:v>
      </x:c>
      <x:c r="N2220" s="9" t="n">
        <x:v>0</x:v>
      </x:c>
      <x:c r="O2220" s="9" t="n">
        <x:v>0</x:v>
      </x:c>
      <x:c r="P2220" s="9" t="str">
        <x:v>HELD / UNRELEASED</x:v>
      </x:c>
      <x:c r="Q2220" s="9" t="n">
        <x:f>COUNTIFS($A$7:$A$2310,A2220)</x:f>
        <x:v>1</x:v>
      </x:c>
    </x:row>
    <x:row r="2221">
      <x:c r="A2221" s="9" t="str">
        <x:v>PD-AR-CT-C-B-TECH-2-B2-BRK-G0-PD07</x:v>
      </x:c>
      <x:c r="B2221" s="9" t="str">
        <x:v>PD-AR-CT-C-B-TECH-2-B2-BRK-G0</x:v>
      </x:c>
      <x:c r="C2221" s="9" t="str">
        <x:v>EV-AR-CT-C-B-TECH-2-B2-BRK-G0</x:v>
      </x:c>
      <x:c r="D2221" s="9" t="str">
        <x:v>AR-CT-C-B-TECH-2-B2-BRK-G0</x:v>
      </x:c>
      <x:c r="E2221" s="9" t="str">
        <x:v>CT-C-B-TECH-2</x:v>
      </x:c>
      <x:c r="F2221" s="9" t="str">
        <x:v>CT-C-B</x:v>
      </x:c>
      <x:c r="G2221" s="9" t="str">
        <x:v>B2</x:v>
      </x:c>
      <x:c r="H2221" s="9" t="str">
        <x:v>BRK</x:v>
      </x:c>
      <x:c r="I2221" s="9" t="str">
        <x:v>PD07</x:v>
      </x:c>
      <x:c r="J2221" s="17" t="str">
        <x:v>Clock and environmental records</x:v>
      </x:c>
      <x:c r="K2221" s="17" t="str">
        <x:v>Boundary archive</x:v>
      </x:c>
      <x:c r="L2221" s="17" t="str">
        <x:v>COURT-SEALED UNTIL COHORT RELEASE</x:v>
      </x:c>
      <x:c r="M2221" s="9" t="n">
        <x:v>0</x:v>
      </x:c>
      <x:c r="N2221" s="9" t="n">
        <x:v>0</x:v>
      </x:c>
      <x:c r="O2221" s="9" t="n">
        <x:v>0</x:v>
      </x:c>
      <x:c r="P2221" s="9" t="str">
        <x:v>HELD / UNRELEASED</x:v>
      </x:c>
      <x:c r="Q2221" s="9" t="n">
        <x:f>COUNTIFS($A$7:$A$2310,A2221)</x:f>
        <x:v>1</x:v>
      </x:c>
    </x:row>
    <x:row r="2222">
      <x:c r="A2222" s="9" t="str">
        <x:v>PD-AR-CT-C-B-TECH-2-B2-BRK-G0-PD08</x:v>
      </x:c>
      <x:c r="B2222" s="9" t="str">
        <x:v>PD-AR-CT-C-B-TECH-2-B2-BRK-G0</x:v>
      </x:c>
      <x:c r="C2222" s="9" t="str">
        <x:v>EV-AR-CT-C-B-TECH-2-B2-BRK-G0</x:v>
      </x:c>
      <x:c r="D2222" s="9" t="str">
        <x:v>AR-CT-C-B-TECH-2-B2-BRK-G0</x:v>
      </x:c>
      <x:c r="E2222" s="9" t="str">
        <x:v>CT-C-B-TECH-2</x:v>
      </x:c>
      <x:c r="F2222" s="9" t="str">
        <x:v>CT-C-B</x:v>
      </x:c>
      <x:c r="G2222" s="9" t="str">
        <x:v>B2</x:v>
      </x:c>
      <x:c r="H2222" s="9" t="str">
        <x:v>BRK</x:v>
      </x:c>
      <x:c r="I2222" s="9" t="str">
        <x:v>PD08</x:v>
      </x:c>
      <x:c r="J2222" s="17" t="str">
        <x:v>Command and intervention log</x:v>
      </x:c>
      <x:c r="K2222" s="17" t="str">
        <x:v>Safety archive</x:v>
      </x:c>
      <x:c r="L2222" s="17" t="str">
        <x:v>COURT-SEALED UNTIL COHORT RELEASE</x:v>
      </x:c>
      <x:c r="M2222" s="9" t="n">
        <x:v>0</x:v>
      </x:c>
      <x:c r="N2222" s="9" t="n">
        <x:v>0</x:v>
      </x:c>
      <x:c r="O2222" s="9" t="n">
        <x:v>0</x:v>
      </x:c>
      <x:c r="P2222" s="9" t="str">
        <x:v>HELD / UNRELEASED</x:v>
      </x:c>
      <x:c r="Q2222" s="9" t="n">
        <x:f>COUNTIFS($A$7:$A$2310,A2222)</x:f>
        <x:v>1</x:v>
      </x:c>
    </x:row>
    <x:row r="2223">
      <x:c r="A2223" s="9" t="str">
        <x:v>PD-AR-CT-C-B-TECH-2-B2-BRK-G0-PD09</x:v>
      </x:c>
      <x:c r="B2223" s="9" t="str">
        <x:v>PD-AR-CT-C-B-TECH-2-B2-BRK-G0</x:v>
      </x:c>
      <x:c r="C2223" s="9" t="str">
        <x:v>EV-AR-CT-C-B-TECH-2-B2-BRK-G0</x:v>
      </x:c>
      <x:c r="D2223" s="9" t="str">
        <x:v>AR-CT-C-B-TECH-2-B2-BRK-G0</x:v>
      </x:c>
      <x:c r="E2223" s="9" t="str">
        <x:v>CT-C-B-TECH-2</x:v>
      </x:c>
      <x:c r="F2223" s="9" t="str">
        <x:v>CT-C-B</x:v>
      </x:c>
      <x:c r="G2223" s="9" t="str">
        <x:v>B2</x:v>
      </x:c>
      <x:c r="H2223" s="9" t="str">
        <x:v>BRK</x:v>
      </x:c>
      <x:c r="I2223" s="9" t="str">
        <x:v>PD09</x:v>
      </x:c>
      <x:c r="J2223" s="17" t="str">
        <x:v>Receiver denominator and service ledger</x:v>
      </x:c>
      <x:c r="K2223" s="17" t="str">
        <x:v>Receiver archive</x:v>
      </x:c>
      <x:c r="L2223" s="17" t="str">
        <x:v>COURT-SEALED UNTIL COHORT RELEASE</x:v>
      </x:c>
      <x:c r="M2223" s="9" t="n">
        <x:v>0</x:v>
      </x:c>
      <x:c r="N2223" s="9" t="n">
        <x:v>0</x:v>
      </x:c>
      <x:c r="O2223" s="9" t="n">
        <x:v>0</x:v>
      </x:c>
      <x:c r="P2223" s="9" t="str">
        <x:v>HELD / UNRELEASED</x:v>
      </x:c>
      <x:c r="Q2223" s="9" t="n">
        <x:f>COUNTIFS($A$7:$A$2310,A2223)</x:f>
        <x:v>1</x:v>
      </x:c>
    </x:row>
    <x:row r="2224">
      <x:c r="A2224" s="9" t="str">
        <x:v>PD-AR-CT-C-B-TECH-2-B2-BRK-G0-PD10</x:v>
      </x:c>
      <x:c r="B2224" s="9" t="str">
        <x:v>PD-AR-CT-C-B-TECH-2-B2-BRK-G0</x:v>
      </x:c>
      <x:c r="C2224" s="9" t="str">
        <x:v>EV-AR-CT-C-B-TECH-2-B2-BRK-G0</x:v>
      </x:c>
      <x:c r="D2224" s="9" t="str">
        <x:v>AR-CT-C-B-TECH-2-B2-BRK-G0</x:v>
      </x:c>
      <x:c r="E2224" s="9" t="str">
        <x:v>CT-C-B-TECH-2</x:v>
      </x:c>
      <x:c r="F2224" s="9" t="str">
        <x:v>CT-C-B</x:v>
      </x:c>
      <x:c r="G2224" s="9" t="str">
        <x:v>B2</x:v>
      </x:c>
      <x:c r="H2224" s="9" t="str">
        <x:v>BRK</x:v>
      </x:c>
      <x:c r="I2224" s="9" t="str">
        <x:v>PD10</x:v>
      </x:c>
      <x:c r="J2224" s="17" t="str">
        <x:v>Calibration and uncertainty record</x:v>
      </x:c>
      <x:c r="K2224" s="17" t="str">
        <x:v>Metrology archive</x:v>
      </x:c>
      <x:c r="L2224" s="17" t="str">
        <x:v>COURT-SEALED UNTIL COHORT RELEASE</x:v>
      </x:c>
      <x:c r="M2224" s="9" t="n">
        <x:v>0</x:v>
      </x:c>
      <x:c r="N2224" s="9" t="n">
        <x:v>0</x:v>
      </x:c>
      <x:c r="O2224" s="9" t="n">
        <x:v>0</x:v>
      </x:c>
      <x:c r="P2224" s="9" t="str">
        <x:v>HELD / UNRELEASED</x:v>
      </x:c>
      <x:c r="Q2224" s="9" t="n">
        <x:f>COUNTIFS($A$7:$A$2310,A2224)</x:f>
        <x:v>1</x:v>
      </x:c>
    </x:row>
    <x:row r="2225">
      <x:c r="A2225" s="9" t="str">
        <x:v>PD-AR-CT-C-B-TECH-2-B2-BRK-G0-PD11</x:v>
      </x:c>
      <x:c r="B2225" s="9" t="str">
        <x:v>PD-AR-CT-C-B-TECH-2-B2-BRK-G0</x:v>
      </x:c>
      <x:c r="C2225" s="9" t="str">
        <x:v>EV-AR-CT-C-B-TECH-2-B2-BRK-G0</x:v>
      </x:c>
      <x:c r="D2225" s="9" t="str">
        <x:v>AR-CT-C-B-TECH-2-B2-BRK-G0</x:v>
      </x:c>
      <x:c r="E2225" s="9" t="str">
        <x:v>CT-C-B-TECH-2</x:v>
      </x:c>
      <x:c r="F2225" s="9" t="str">
        <x:v>CT-C-B</x:v>
      </x:c>
      <x:c r="G2225" s="9" t="str">
        <x:v>B2</x:v>
      </x:c>
      <x:c r="H2225" s="9" t="str">
        <x:v>BRK</x:v>
      </x:c>
      <x:c r="I2225" s="9" t="str">
        <x:v>PD11</x:v>
      </x:c>
      <x:c r="J2225" s="17" t="str">
        <x:v>Invalidity petition and opinion</x:v>
      </x:c>
      <x:c r="K2225" s="17" t="str">
        <x:v>Invalidity court</x:v>
      </x:c>
      <x:c r="L2225" s="17" t="str">
        <x:v>COURT-SEALED UNTIL COHORT RELEASE</x:v>
      </x:c>
      <x:c r="M2225" s="9" t="n">
        <x:v>0</x:v>
      </x:c>
      <x:c r="N2225" s="9" t="n">
        <x:v>0</x:v>
      </x:c>
      <x:c r="O2225" s="9" t="n">
        <x:v>0</x:v>
      </x:c>
      <x:c r="P2225" s="9" t="str">
        <x:v>HELD / UNRELEASED</x:v>
      </x:c>
      <x:c r="Q2225" s="9" t="n">
        <x:f>COUNTIFS($A$7:$A$2310,A2225)</x:f>
        <x:v>1</x:v>
      </x:c>
    </x:row>
    <x:row r="2226">
      <x:c r="A2226" s="9" t="str">
        <x:v>PD-AR-CT-C-B-TECH-2-B2-BRK-G0-PD12</x:v>
      </x:c>
      <x:c r="B2226" s="9" t="str">
        <x:v>PD-AR-CT-C-B-TECH-2-B2-BRK-G0</x:v>
      </x:c>
      <x:c r="C2226" s="9" t="str">
        <x:v>EV-AR-CT-C-B-TECH-2-B2-BRK-G0</x:v>
      </x:c>
      <x:c r="D2226" s="9" t="str">
        <x:v>AR-CT-C-B-TECH-2-B2-BRK-G0</x:v>
      </x:c>
      <x:c r="E2226" s="9" t="str">
        <x:v>CT-C-B-TECH-2</x:v>
      </x:c>
      <x:c r="F2226" s="9" t="str">
        <x:v>CT-C-B</x:v>
      </x:c>
      <x:c r="G2226" s="9" t="str">
        <x:v>B2</x:v>
      </x:c>
      <x:c r="H2226" s="9" t="str">
        <x:v>BRK</x:v>
      </x:c>
      <x:c r="I2226" s="9" t="str">
        <x:v>PD12</x:v>
      </x:c>
      <x:c r="J2226" s="17" t="str">
        <x:v>Observation acceptance and replay</x:v>
      </x:c>
      <x:c r="K2226" s="17" t="str">
        <x:v>Observation court</x:v>
      </x:c>
      <x:c r="L2226" s="17" t="str">
        <x:v>COURT-SEALED UNTIL COHORT RELEASE</x:v>
      </x:c>
      <x:c r="M2226" s="9" t="n">
        <x:v>0</x:v>
      </x:c>
      <x:c r="N2226" s="9" t="n">
        <x:v>0</x:v>
      </x:c>
      <x:c r="O2226" s="9" t="n">
        <x:v>0</x:v>
      </x:c>
      <x:c r="P2226" s="9" t="str">
        <x:v>HELD / UNRELEASED</x:v>
      </x:c>
      <x:c r="Q2226" s="9" t="n">
        <x:f>COUNTIFS($A$7:$A$2310,A2226)</x:f>
        <x:v>1</x:v>
      </x:c>
    </x:row>
    <x:row r="2227">
      <x:c r="A2227" s="9" t="str">
        <x:v>PD-AR-CT-C-B-TECH-2-B2-BRK-G0-PD13</x:v>
      </x:c>
      <x:c r="B2227" s="9" t="str">
        <x:v>PD-AR-CT-C-B-TECH-2-B2-BRK-G0</x:v>
      </x:c>
      <x:c r="C2227" s="9" t="str">
        <x:v>EV-AR-CT-C-B-TECH-2-B2-BRK-G0</x:v>
      </x:c>
      <x:c r="D2227" s="9" t="str">
        <x:v>AR-CT-C-B-TECH-2-B2-BRK-G0</x:v>
      </x:c>
      <x:c r="E2227" s="9" t="str">
        <x:v>CT-C-B-TECH-2</x:v>
      </x:c>
      <x:c r="F2227" s="9" t="str">
        <x:v>CT-C-B</x:v>
      </x:c>
      <x:c r="G2227" s="9" t="str">
        <x:v>B2</x:v>
      </x:c>
      <x:c r="H2227" s="9" t="str">
        <x:v>BRK</x:v>
      </x:c>
      <x:c r="I2227" s="9" t="str">
        <x:v>PD13</x:v>
      </x:c>
      <x:c r="J2227" s="17" t="str">
        <x:v>Role judgment</x:v>
      </x:c>
      <x:c r="K2227" s="17" t="str">
        <x:v>Role court</x:v>
      </x:c>
      <x:c r="L2227" s="17" t="str">
        <x:v>COURT-SEALED UNTIL COHORT RELEASE</x:v>
      </x:c>
      <x:c r="M2227" s="9" t="n">
        <x:v>0</x:v>
      </x:c>
      <x:c r="N2227" s="9" t="n">
        <x:v>0</x:v>
      </x:c>
      <x:c r="O2227" s="9" t="n">
        <x:v>0</x:v>
      </x:c>
      <x:c r="P2227" s="9" t="str">
        <x:v>HELD / UNRELEASED</x:v>
      </x:c>
      <x:c r="Q2227" s="9" t="n">
        <x:f>COUNTIFS($A$7:$A$2310,A2227)</x:f>
        <x:v>1</x:v>
      </x:c>
    </x:row>
    <x:row r="2228">
      <x:c r="A2228" s="9" t="str">
        <x:v>PD-AR-CT-C-B-TECH-2-B2-BRK-G0-PD14</x:v>
      </x:c>
      <x:c r="B2228" s="9" t="str">
        <x:v>PD-AR-CT-C-B-TECH-2-B2-BRK-G0</x:v>
      </x:c>
      <x:c r="C2228" s="9" t="str">
        <x:v>EV-AR-CT-C-B-TECH-2-B2-BRK-G0</x:v>
      </x:c>
      <x:c r="D2228" s="9" t="str">
        <x:v>AR-CT-C-B-TECH-2-B2-BRK-G0</x:v>
      </x:c>
      <x:c r="E2228" s="9" t="str">
        <x:v>CT-C-B-TECH-2</x:v>
      </x:c>
      <x:c r="F2228" s="9" t="str">
        <x:v>CT-C-B</x:v>
      </x:c>
      <x:c r="G2228" s="9" t="str">
        <x:v>B2</x:v>
      </x:c>
      <x:c r="H2228" s="9" t="str">
        <x:v>BRK</x:v>
      </x:c>
      <x:c r="I2228" s="9" t="str">
        <x:v>PD14</x:v>
      </x:c>
      <x:c r="J2228" s="17" t="str">
        <x:v>Break and residual account</x:v>
      </x:c>
      <x:c r="K2228" s="17" t="str">
        <x:v>Residual authority</x:v>
      </x:c>
      <x:c r="L2228" s="17" t="str">
        <x:v>COURT-SEALED UNTIL COHORT RELEASE</x:v>
      </x:c>
      <x:c r="M2228" s="9" t="n">
        <x:v>0</x:v>
      </x:c>
      <x:c r="N2228" s="9" t="n">
        <x:v>0</x:v>
      </x:c>
      <x:c r="O2228" s="9" t="n">
        <x:v>0</x:v>
      </x:c>
      <x:c r="P2228" s="9" t="str">
        <x:v>HELD / UNRELEASED</x:v>
      </x:c>
      <x:c r="Q2228" s="9" t="n">
        <x:f>COUNTIFS($A$7:$A$2310,A2228)</x:f>
        <x:v>1</x:v>
      </x:c>
    </x:row>
    <x:row r="2229">
      <x:c r="A2229" s="9" t="str">
        <x:v>PD-AR-CT-C-B-TECH-2-B2-BRK-G0-PD15</x:v>
      </x:c>
      <x:c r="B2229" s="9" t="str">
        <x:v>PD-AR-CT-C-B-TECH-2-B2-BRK-G0</x:v>
      </x:c>
      <x:c r="C2229" s="9" t="str">
        <x:v>EV-AR-CT-C-B-TECH-2-B2-BRK-G0</x:v>
      </x:c>
      <x:c r="D2229" s="9" t="str">
        <x:v>AR-CT-C-B-TECH-2-B2-BRK-G0</x:v>
      </x:c>
      <x:c r="E2229" s="9" t="str">
        <x:v>CT-C-B-TECH-2</x:v>
      </x:c>
      <x:c r="F2229" s="9" t="str">
        <x:v>CT-C-B</x:v>
      </x:c>
      <x:c r="G2229" s="9" t="str">
        <x:v>B2</x:v>
      </x:c>
      <x:c r="H2229" s="9" t="str">
        <x:v>BRK</x:v>
      </x:c>
      <x:c r="I2229" s="9" t="str">
        <x:v>PD15</x:v>
      </x:c>
      <x:c r="J2229" s="17" t="str">
        <x:v>Reconstruction ancestry and replay</x:v>
      </x:c>
      <x:c r="K2229" s="17" t="str">
        <x:v>Reconstruction court</x:v>
      </x:c>
      <x:c r="L2229" s="17" t="str">
        <x:v>COURT-SEALED UNTIL COHORT RELEASE</x:v>
      </x:c>
      <x:c r="M2229" s="9" t="n">
        <x:v>0</x:v>
      </x:c>
      <x:c r="N2229" s="9" t="n">
        <x:v>0</x:v>
      </x:c>
      <x:c r="O2229" s="9" t="n">
        <x:v>0</x:v>
      </x:c>
      <x:c r="P2229" s="9" t="str">
        <x:v>HELD / UNRELEASED</x:v>
      </x:c>
      <x:c r="Q2229" s="9" t="n">
        <x:f>COUNTIFS($A$7:$A$2310,A2229)</x:f>
        <x:v>1</x:v>
      </x:c>
    </x:row>
    <x:row r="2230">
      <x:c r="A2230" s="9" t="str">
        <x:v>PD-AR-CT-C-B-TECH-2-B2-BRK-G0-PD16</x:v>
      </x:c>
      <x:c r="B2230" s="9" t="str">
        <x:v>PD-AR-CT-C-B-TECH-2-B2-BRK-G0</x:v>
      </x:c>
      <x:c r="C2230" s="9" t="str">
        <x:v>EV-AR-CT-C-B-TECH-2-B2-BRK-G0</x:v>
      </x:c>
      <x:c r="D2230" s="9" t="str">
        <x:v>AR-CT-C-B-TECH-2-B2-BRK-G0</x:v>
      </x:c>
      <x:c r="E2230" s="9" t="str">
        <x:v>CT-C-B-TECH-2</x:v>
      </x:c>
      <x:c r="F2230" s="9" t="str">
        <x:v>CT-C-B</x:v>
      </x:c>
      <x:c r="G2230" s="9" t="str">
        <x:v>B2</x:v>
      </x:c>
      <x:c r="H2230" s="9" t="str">
        <x:v>BRK</x:v>
      </x:c>
      <x:c r="I2230" s="9" t="str">
        <x:v>PD16</x:v>
      </x:c>
      <x:c r="J2230" s="17" t="str">
        <x:v>Dissent, amendments and access log</x:v>
      </x:c>
      <x:c r="K2230" s="17" t="str">
        <x:v>Public archive</x:v>
      </x:c>
      <x:c r="L2230" s="17" t="str">
        <x:v>COURT-SEALED UNTIL COHORT RELEASE</x:v>
      </x:c>
      <x:c r="M2230" s="9" t="n">
        <x:v>0</x:v>
      </x:c>
      <x:c r="N2230" s="9" t="n">
        <x:v>0</x:v>
      </x:c>
      <x:c r="O2230" s="9" t="n">
        <x:v>0</x:v>
      </x:c>
      <x:c r="P2230" s="9" t="str">
        <x:v>HELD / UNRELEASED</x:v>
      </x:c>
      <x:c r="Q2230" s="9" t="n">
        <x:f>COUNTIFS($A$7:$A$2310,A2230)</x:f>
        <x:v>1</x:v>
      </x:c>
    </x:row>
    <x:row r="2231">
      <x:c r="A2231" s="9" t="str">
        <x:v>PD-AR-ET-A-A-TECH-2-B1-RCN-G0-PD01</x:v>
      </x:c>
      <x:c r="B2231" s="9" t="str">
        <x:v>PD-AR-ET-A-A-TECH-2-B1-RCN-G0</x:v>
      </x:c>
      <x:c r="C2231" s="9" t="str">
        <x:v>EV-AR-ET-A-A-TECH-2-B1-RCN-G0</x:v>
      </x:c>
      <x:c r="D2231" s="9" t="str">
        <x:v>AR-ET-A-A-TECH-2-B1-RCN-G0</x:v>
      </x:c>
      <x:c r="E2231" s="9" t="str">
        <x:v>ET-A-A-TECH-2</x:v>
      </x:c>
      <x:c r="F2231" s="9" t="str">
        <x:v>ET-A-A</x:v>
      </x:c>
      <x:c r="G2231" s="9" t="str">
        <x:v>B1</x:v>
      </x:c>
      <x:c r="H2231" s="9" t="str">
        <x:v>RCN</x:v>
      </x:c>
      <x:c r="I2231" s="9" t="str">
        <x:v>PD01</x:v>
      </x:c>
      <x:c r="J2231" s="17" t="str">
        <x:v>Experiment kernel</x:v>
      </x:c>
      <x:c r="K2231" s="17" t="str">
        <x:v>Public archive</x:v>
      </x:c>
      <x:c r="L2231" s="17" t="str">
        <x:v>COURT-SEALED UNTIL COHORT RELEASE</x:v>
      </x:c>
      <x:c r="M2231" s="9" t="n">
        <x:v>0</x:v>
      </x:c>
      <x:c r="N2231" s="9" t="n">
        <x:v>0</x:v>
      </x:c>
      <x:c r="O2231" s="9" t="n">
        <x:v>0</x:v>
      </x:c>
      <x:c r="P2231" s="9" t="str">
        <x:v>HELD / UNRELEASED</x:v>
      </x:c>
      <x:c r="Q2231" s="9" t="n">
        <x:f>COUNTIFS($A$7:$A$2310,A2231)</x:f>
        <x:v>1</x:v>
      </x:c>
    </x:row>
    <x:row r="2232">
      <x:c r="A2232" s="9" t="str">
        <x:v>PD-AR-ET-A-A-TECH-2-B1-RCN-G0-PD02</x:v>
      </x:c>
      <x:c r="B2232" s="9" t="str">
        <x:v>PD-AR-ET-A-A-TECH-2-B1-RCN-G0</x:v>
      </x:c>
      <x:c r="C2232" s="9" t="str">
        <x:v>EV-AR-ET-A-A-TECH-2-B1-RCN-G0</x:v>
      </x:c>
      <x:c r="D2232" s="9" t="str">
        <x:v>AR-ET-A-A-TECH-2-B1-RCN-G0</x:v>
      </x:c>
      <x:c r="E2232" s="9" t="str">
        <x:v>ET-A-A-TECH-2</x:v>
      </x:c>
      <x:c r="F2232" s="9" t="str">
        <x:v>ET-A-A</x:v>
      </x:c>
      <x:c r="G2232" s="9" t="str">
        <x:v>B1</x:v>
      </x:c>
      <x:c r="H2232" s="9" t="str">
        <x:v>RCN</x:v>
      </x:c>
      <x:c r="I2232" s="9" t="str">
        <x:v>PD02</x:v>
      </x:c>
      <x:c r="J2232" s="17" t="str">
        <x:v>Serial annex and title chain</x:v>
      </x:c>
      <x:c r="K2232" s="17" t="str">
        <x:v>Public archive</x:v>
      </x:c>
      <x:c r="L2232" s="17" t="str">
        <x:v>COURT-SEALED UNTIL COHORT RELEASE</x:v>
      </x:c>
      <x:c r="M2232" s="9" t="n">
        <x:v>0</x:v>
      </x:c>
      <x:c r="N2232" s="9" t="n">
        <x:v>0</x:v>
      </x:c>
      <x:c r="O2232" s="9" t="n">
        <x:v>0</x:v>
      </x:c>
      <x:c r="P2232" s="9" t="str">
        <x:v>HELD / UNRELEASED</x:v>
      </x:c>
      <x:c r="Q2232" s="9" t="n">
        <x:f>COUNTIFS($A$7:$A$2310,A2232)</x:f>
        <x:v>1</x:v>
      </x:c>
    </x:row>
    <x:row r="2233">
      <x:c r="A2233" s="9" t="str">
        <x:v>PD-AR-ET-A-A-TECH-2-B1-RCN-G0-PD03</x:v>
      </x:c>
      <x:c r="B2233" s="9" t="str">
        <x:v>PD-AR-ET-A-A-TECH-2-B1-RCN-G0</x:v>
      </x:c>
      <x:c r="C2233" s="9" t="str">
        <x:v>EV-AR-ET-A-A-TECH-2-B1-RCN-G0</x:v>
      </x:c>
      <x:c r="D2233" s="9" t="str">
        <x:v>AR-ET-A-A-TECH-2-B1-RCN-G0</x:v>
      </x:c>
      <x:c r="E2233" s="9" t="str">
        <x:v>ET-A-A-TECH-2</x:v>
      </x:c>
      <x:c r="F2233" s="9" t="str">
        <x:v>ET-A-A</x:v>
      </x:c>
      <x:c r="G2233" s="9" t="str">
        <x:v>B1</x:v>
      </x:c>
      <x:c r="H2233" s="9" t="str">
        <x:v>RCN</x:v>
      </x:c>
      <x:c r="I2233" s="9" t="str">
        <x:v>PD03</x:v>
      </x:c>
      <x:c r="J2233" s="17" t="str">
        <x:v>Configuration and as-built manifest</x:v>
      </x:c>
      <x:c r="K2233" s="17" t="str">
        <x:v>Artifact exchange</x:v>
      </x:c>
      <x:c r="L2233" s="17" t="str">
        <x:v>COURT-SEALED UNTIL COHORT RELEASE</x:v>
      </x:c>
      <x:c r="M2233" s="9" t="n">
        <x:v>0</x:v>
      </x:c>
      <x:c r="N2233" s="9" t="n">
        <x:v>0</x:v>
      </x:c>
      <x:c r="O2233" s="9" t="n">
        <x:v>0</x:v>
      </x:c>
      <x:c r="P2233" s="9" t="str">
        <x:v>HELD / UNRELEASED</x:v>
      </x:c>
      <x:c r="Q2233" s="9" t="n">
        <x:f>COUNTIFS($A$7:$A$2310,A2233)</x:f>
        <x:v>1</x:v>
      </x:c>
    </x:row>
    <x:row r="2234">
      <x:c r="A2234" s="9" t="str">
        <x:v>PD-AR-ET-A-A-TECH-2-B1-RCN-G0-PD04</x:v>
      </x:c>
      <x:c r="B2234" s="9" t="str">
        <x:v>PD-AR-ET-A-A-TECH-2-B1-RCN-G0</x:v>
      </x:c>
      <x:c r="C2234" s="9" t="str">
        <x:v>EV-AR-ET-A-A-TECH-2-B1-RCN-G0</x:v>
      </x:c>
      <x:c r="D2234" s="9" t="str">
        <x:v>AR-ET-A-A-TECH-2-B1-RCN-G0</x:v>
      </x:c>
      <x:c r="E2234" s="9" t="str">
        <x:v>ET-A-A-TECH-2</x:v>
      </x:c>
      <x:c r="F2234" s="9" t="str">
        <x:v>ET-A-A</x:v>
      </x:c>
      <x:c r="G2234" s="9" t="str">
        <x:v>B1</x:v>
      </x:c>
      <x:c r="H2234" s="9" t="str">
        <x:v>RCN</x:v>
      </x:c>
      <x:c r="I2234" s="9" t="str">
        <x:v>PD04</x:v>
      </x:c>
      <x:c r="J2234" s="17" t="str">
        <x:v>EOW and start certificate</x:v>
      </x:c>
      <x:c r="K2234" s="17" t="str">
        <x:v>Start registrar</x:v>
      </x:c>
      <x:c r="L2234" s="17" t="str">
        <x:v>COURT-SEALED UNTIL COHORT RELEASE</x:v>
      </x:c>
      <x:c r="M2234" s="9" t="n">
        <x:v>0</x:v>
      </x:c>
      <x:c r="N2234" s="9" t="n">
        <x:v>0</x:v>
      </x:c>
      <x:c r="O2234" s="9" t="n">
        <x:v>0</x:v>
      </x:c>
      <x:c r="P2234" s="9" t="str">
        <x:v>HELD / UNRELEASED</x:v>
      </x:c>
      <x:c r="Q2234" s="9" t="n">
        <x:f>COUNTIFS($A$7:$A$2310,A2234)</x:f>
        <x:v>1</x:v>
      </x:c>
    </x:row>
    <x:row r="2235">
      <x:c r="A2235" s="9" t="str">
        <x:v>PD-AR-ET-A-A-TECH-2-B1-RCN-G0-PD05</x:v>
      </x:c>
      <x:c r="B2235" s="9" t="str">
        <x:v>PD-AR-ET-A-A-TECH-2-B1-RCN-G0</x:v>
      </x:c>
      <x:c r="C2235" s="9" t="str">
        <x:v>EV-AR-ET-A-A-TECH-2-B1-RCN-G0</x:v>
      </x:c>
      <x:c r="D2235" s="9" t="str">
        <x:v>AR-ET-A-A-TECH-2-B1-RCN-G0</x:v>
      </x:c>
      <x:c r="E2235" s="9" t="str">
        <x:v>ET-A-A-TECH-2</x:v>
      </x:c>
      <x:c r="F2235" s="9" t="str">
        <x:v>ET-A-A</x:v>
      </x:c>
      <x:c r="G2235" s="9" t="str">
        <x:v>B1</x:v>
      </x:c>
      <x:c r="H2235" s="9" t="str">
        <x:v>RCN</x:v>
      </x:c>
      <x:c r="I2235" s="9" t="str">
        <x:v>PD05</x:v>
      </x:c>
      <x:c r="J2235" s="17" t="str">
        <x:v>Primary raw originals</x:v>
      </x:c>
      <x:c r="K2235" s="17" t="str">
        <x:v>Primary custody</x:v>
      </x:c>
      <x:c r="L2235" s="17" t="str">
        <x:v>COURT-SEALED UNTIL COHORT RELEASE</x:v>
      </x:c>
      <x:c r="M2235" s="9" t="n">
        <x:v>0</x:v>
      </x:c>
      <x:c r="N2235" s="9" t="n">
        <x:v>0</x:v>
      </x:c>
      <x:c r="O2235" s="9" t="n">
        <x:v>0</x:v>
      </x:c>
      <x:c r="P2235" s="9" t="str">
        <x:v>HELD / UNRELEASED</x:v>
      </x:c>
      <x:c r="Q2235" s="9" t="n">
        <x:f>COUNTIFS($A$7:$A$2310,A2235)</x:f>
        <x:v>1</x:v>
      </x:c>
    </x:row>
    <x:row r="2236">
      <x:c r="A2236" s="9" t="str">
        <x:v>PD-AR-ET-A-A-TECH-2-B1-RCN-G0-PD06</x:v>
      </x:c>
      <x:c r="B2236" s="9" t="str">
        <x:v>PD-AR-ET-A-A-TECH-2-B1-RCN-G0</x:v>
      </x:c>
      <x:c r="C2236" s="9" t="str">
        <x:v>EV-AR-ET-A-A-TECH-2-B1-RCN-G0</x:v>
      </x:c>
      <x:c r="D2236" s="9" t="str">
        <x:v>AR-ET-A-A-TECH-2-B1-RCN-G0</x:v>
      </x:c>
      <x:c r="E2236" s="9" t="str">
        <x:v>ET-A-A-TECH-2</x:v>
      </x:c>
      <x:c r="F2236" s="9" t="str">
        <x:v>ET-A-A</x:v>
      </x:c>
      <x:c r="G2236" s="9" t="str">
        <x:v>B1</x:v>
      </x:c>
      <x:c r="H2236" s="9" t="str">
        <x:v>RCN</x:v>
      </x:c>
      <x:c r="I2236" s="9" t="str">
        <x:v>PD06</x:v>
      </x:c>
      <x:c r="J2236" s="17" t="str">
        <x:v>Witness raw originals</x:v>
      </x:c>
      <x:c r="K2236" s="17" t="str">
        <x:v>Witness custody</x:v>
      </x:c>
      <x:c r="L2236" s="17" t="str">
        <x:v>COURT-SEALED UNTIL COHORT RELEASE</x:v>
      </x:c>
      <x:c r="M2236" s="9" t="n">
        <x:v>0</x:v>
      </x:c>
      <x:c r="N2236" s="9" t="n">
        <x:v>0</x:v>
      </x:c>
      <x:c r="O2236" s="9" t="n">
        <x:v>0</x:v>
      </x:c>
      <x:c r="P2236" s="9" t="str">
        <x:v>HELD / UNRELEASED</x:v>
      </x:c>
      <x:c r="Q2236" s="9" t="n">
        <x:f>COUNTIFS($A$7:$A$2310,A2236)</x:f>
        <x:v>1</x:v>
      </x:c>
    </x:row>
    <x:row r="2237">
      <x:c r="A2237" s="9" t="str">
        <x:v>PD-AR-ET-A-A-TECH-2-B1-RCN-G0-PD07</x:v>
      </x:c>
      <x:c r="B2237" s="9" t="str">
        <x:v>PD-AR-ET-A-A-TECH-2-B1-RCN-G0</x:v>
      </x:c>
      <x:c r="C2237" s="9" t="str">
        <x:v>EV-AR-ET-A-A-TECH-2-B1-RCN-G0</x:v>
      </x:c>
      <x:c r="D2237" s="9" t="str">
        <x:v>AR-ET-A-A-TECH-2-B1-RCN-G0</x:v>
      </x:c>
      <x:c r="E2237" s="9" t="str">
        <x:v>ET-A-A-TECH-2</x:v>
      </x:c>
      <x:c r="F2237" s="9" t="str">
        <x:v>ET-A-A</x:v>
      </x:c>
      <x:c r="G2237" s="9" t="str">
        <x:v>B1</x:v>
      </x:c>
      <x:c r="H2237" s="9" t="str">
        <x:v>RCN</x:v>
      </x:c>
      <x:c r="I2237" s="9" t="str">
        <x:v>PD07</x:v>
      </x:c>
      <x:c r="J2237" s="17" t="str">
        <x:v>Clock and environmental records</x:v>
      </x:c>
      <x:c r="K2237" s="17" t="str">
        <x:v>Boundary archive</x:v>
      </x:c>
      <x:c r="L2237" s="17" t="str">
        <x:v>COURT-SEALED UNTIL COHORT RELEASE</x:v>
      </x:c>
      <x:c r="M2237" s="9" t="n">
        <x:v>0</x:v>
      </x:c>
      <x:c r="N2237" s="9" t="n">
        <x:v>0</x:v>
      </x:c>
      <x:c r="O2237" s="9" t="n">
        <x:v>0</x:v>
      </x:c>
      <x:c r="P2237" s="9" t="str">
        <x:v>HELD / UNRELEASED</x:v>
      </x:c>
      <x:c r="Q2237" s="9" t="n">
        <x:f>COUNTIFS($A$7:$A$2310,A2237)</x:f>
        <x:v>1</x:v>
      </x:c>
    </x:row>
    <x:row r="2238">
      <x:c r="A2238" s="9" t="str">
        <x:v>PD-AR-ET-A-A-TECH-2-B1-RCN-G0-PD08</x:v>
      </x:c>
      <x:c r="B2238" s="9" t="str">
        <x:v>PD-AR-ET-A-A-TECH-2-B1-RCN-G0</x:v>
      </x:c>
      <x:c r="C2238" s="9" t="str">
        <x:v>EV-AR-ET-A-A-TECH-2-B1-RCN-G0</x:v>
      </x:c>
      <x:c r="D2238" s="9" t="str">
        <x:v>AR-ET-A-A-TECH-2-B1-RCN-G0</x:v>
      </x:c>
      <x:c r="E2238" s="9" t="str">
        <x:v>ET-A-A-TECH-2</x:v>
      </x:c>
      <x:c r="F2238" s="9" t="str">
        <x:v>ET-A-A</x:v>
      </x:c>
      <x:c r="G2238" s="9" t="str">
        <x:v>B1</x:v>
      </x:c>
      <x:c r="H2238" s="9" t="str">
        <x:v>RCN</x:v>
      </x:c>
      <x:c r="I2238" s="9" t="str">
        <x:v>PD08</x:v>
      </x:c>
      <x:c r="J2238" s="17" t="str">
        <x:v>Command and intervention log</x:v>
      </x:c>
      <x:c r="K2238" s="17" t="str">
        <x:v>Safety archive</x:v>
      </x:c>
      <x:c r="L2238" s="17" t="str">
        <x:v>COURT-SEALED UNTIL COHORT RELEASE</x:v>
      </x:c>
      <x:c r="M2238" s="9" t="n">
        <x:v>0</x:v>
      </x:c>
      <x:c r="N2238" s="9" t="n">
        <x:v>0</x:v>
      </x:c>
      <x:c r="O2238" s="9" t="n">
        <x:v>0</x:v>
      </x:c>
      <x:c r="P2238" s="9" t="str">
        <x:v>HELD / UNRELEASED</x:v>
      </x:c>
      <x:c r="Q2238" s="9" t="n">
        <x:f>COUNTIFS($A$7:$A$2310,A2238)</x:f>
        <x:v>1</x:v>
      </x:c>
    </x:row>
    <x:row r="2239">
      <x:c r="A2239" s="9" t="str">
        <x:v>PD-AR-ET-A-A-TECH-2-B1-RCN-G0-PD09</x:v>
      </x:c>
      <x:c r="B2239" s="9" t="str">
        <x:v>PD-AR-ET-A-A-TECH-2-B1-RCN-G0</x:v>
      </x:c>
      <x:c r="C2239" s="9" t="str">
        <x:v>EV-AR-ET-A-A-TECH-2-B1-RCN-G0</x:v>
      </x:c>
      <x:c r="D2239" s="9" t="str">
        <x:v>AR-ET-A-A-TECH-2-B1-RCN-G0</x:v>
      </x:c>
      <x:c r="E2239" s="9" t="str">
        <x:v>ET-A-A-TECH-2</x:v>
      </x:c>
      <x:c r="F2239" s="9" t="str">
        <x:v>ET-A-A</x:v>
      </x:c>
      <x:c r="G2239" s="9" t="str">
        <x:v>B1</x:v>
      </x:c>
      <x:c r="H2239" s="9" t="str">
        <x:v>RCN</x:v>
      </x:c>
      <x:c r="I2239" s="9" t="str">
        <x:v>PD09</x:v>
      </x:c>
      <x:c r="J2239" s="17" t="str">
        <x:v>Receiver denominator and service ledger</x:v>
      </x:c>
      <x:c r="K2239" s="17" t="str">
        <x:v>Receiver archive</x:v>
      </x:c>
      <x:c r="L2239" s="17" t="str">
        <x:v>COURT-SEALED UNTIL COHORT RELEASE</x:v>
      </x:c>
      <x:c r="M2239" s="9" t="n">
        <x:v>0</x:v>
      </x:c>
      <x:c r="N2239" s="9" t="n">
        <x:v>0</x:v>
      </x:c>
      <x:c r="O2239" s="9" t="n">
        <x:v>0</x:v>
      </x:c>
      <x:c r="P2239" s="9" t="str">
        <x:v>HELD / UNRELEASED</x:v>
      </x:c>
      <x:c r="Q2239" s="9" t="n">
        <x:f>COUNTIFS($A$7:$A$2310,A2239)</x:f>
        <x:v>1</x:v>
      </x:c>
    </x:row>
    <x:row r="2240">
      <x:c r="A2240" s="9" t="str">
        <x:v>PD-AR-ET-A-A-TECH-2-B1-RCN-G0-PD10</x:v>
      </x:c>
      <x:c r="B2240" s="9" t="str">
        <x:v>PD-AR-ET-A-A-TECH-2-B1-RCN-G0</x:v>
      </x:c>
      <x:c r="C2240" s="9" t="str">
        <x:v>EV-AR-ET-A-A-TECH-2-B1-RCN-G0</x:v>
      </x:c>
      <x:c r="D2240" s="9" t="str">
        <x:v>AR-ET-A-A-TECH-2-B1-RCN-G0</x:v>
      </x:c>
      <x:c r="E2240" s="9" t="str">
        <x:v>ET-A-A-TECH-2</x:v>
      </x:c>
      <x:c r="F2240" s="9" t="str">
        <x:v>ET-A-A</x:v>
      </x:c>
      <x:c r="G2240" s="9" t="str">
        <x:v>B1</x:v>
      </x:c>
      <x:c r="H2240" s="9" t="str">
        <x:v>RCN</x:v>
      </x:c>
      <x:c r="I2240" s="9" t="str">
        <x:v>PD10</x:v>
      </x:c>
      <x:c r="J2240" s="17" t="str">
        <x:v>Calibration and uncertainty record</x:v>
      </x:c>
      <x:c r="K2240" s="17" t="str">
        <x:v>Metrology archive</x:v>
      </x:c>
      <x:c r="L2240" s="17" t="str">
        <x:v>COURT-SEALED UNTIL COHORT RELEASE</x:v>
      </x:c>
      <x:c r="M2240" s="9" t="n">
        <x:v>0</x:v>
      </x:c>
      <x:c r="N2240" s="9" t="n">
        <x:v>0</x:v>
      </x:c>
      <x:c r="O2240" s="9" t="n">
        <x:v>0</x:v>
      </x:c>
      <x:c r="P2240" s="9" t="str">
        <x:v>HELD / UNRELEASED</x:v>
      </x:c>
      <x:c r="Q2240" s="9" t="n">
        <x:f>COUNTIFS($A$7:$A$2310,A2240)</x:f>
        <x:v>1</x:v>
      </x:c>
    </x:row>
    <x:row r="2241">
      <x:c r="A2241" s="9" t="str">
        <x:v>PD-AR-ET-A-A-TECH-2-B1-RCN-G0-PD11</x:v>
      </x:c>
      <x:c r="B2241" s="9" t="str">
        <x:v>PD-AR-ET-A-A-TECH-2-B1-RCN-G0</x:v>
      </x:c>
      <x:c r="C2241" s="9" t="str">
        <x:v>EV-AR-ET-A-A-TECH-2-B1-RCN-G0</x:v>
      </x:c>
      <x:c r="D2241" s="9" t="str">
        <x:v>AR-ET-A-A-TECH-2-B1-RCN-G0</x:v>
      </x:c>
      <x:c r="E2241" s="9" t="str">
        <x:v>ET-A-A-TECH-2</x:v>
      </x:c>
      <x:c r="F2241" s="9" t="str">
        <x:v>ET-A-A</x:v>
      </x:c>
      <x:c r="G2241" s="9" t="str">
        <x:v>B1</x:v>
      </x:c>
      <x:c r="H2241" s="9" t="str">
        <x:v>RCN</x:v>
      </x:c>
      <x:c r="I2241" s="9" t="str">
        <x:v>PD11</x:v>
      </x:c>
      <x:c r="J2241" s="17" t="str">
        <x:v>Invalidity petition and opinion</x:v>
      </x:c>
      <x:c r="K2241" s="17" t="str">
        <x:v>Invalidity court</x:v>
      </x:c>
      <x:c r="L2241" s="17" t="str">
        <x:v>COURT-SEALED UNTIL COHORT RELEASE</x:v>
      </x:c>
      <x:c r="M2241" s="9" t="n">
        <x:v>0</x:v>
      </x:c>
      <x:c r="N2241" s="9" t="n">
        <x:v>0</x:v>
      </x:c>
      <x:c r="O2241" s="9" t="n">
        <x:v>0</x:v>
      </x:c>
      <x:c r="P2241" s="9" t="str">
        <x:v>HELD / UNRELEASED</x:v>
      </x:c>
      <x:c r="Q2241" s="9" t="n">
        <x:f>COUNTIFS($A$7:$A$2310,A2241)</x:f>
        <x:v>1</x:v>
      </x:c>
    </x:row>
    <x:row r="2242">
      <x:c r="A2242" s="9" t="str">
        <x:v>PD-AR-ET-A-A-TECH-2-B1-RCN-G0-PD12</x:v>
      </x:c>
      <x:c r="B2242" s="9" t="str">
        <x:v>PD-AR-ET-A-A-TECH-2-B1-RCN-G0</x:v>
      </x:c>
      <x:c r="C2242" s="9" t="str">
        <x:v>EV-AR-ET-A-A-TECH-2-B1-RCN-G0</x:v>
      </x:c>
      <x:c r="D2242" s="9" t="str">
        <x:v>AR-ET-A-A-TECH-2-B1-RCN-G0</x:v>
      </x:c>
      <x:c r="E2242" s="9" t="str">
        <x:v>ET-A-A-TECH-2</x:v>
      </x:c>
      <x:c r="F2242" s="9" t="str">
        <x:v>ET-A-A</x:v>
      </x:c>
      <x:c r="G2242" s="9" t="str">
        <x:v>B1</x:v>
      </x:c>
      <x:c r="H2242" s="9" t="str">
        <x:v>RCN</x:v>
      </x:c>
      <x:c r="I2242" s="9" t="str">
        <x:v>PD12</x:v>
      </x:c>
      <x:c r="J2242" s="17" t="str">
        <x:v>Observation acceptance and replay</x:v>
      </x:c>
      <x:c r="K2242" s="17" t="str">
        <x:v>Observation court</x:v>
      </x:c>
      <x:c r="L2242" s="17" t="str">
        <x:v>COURT-SEALED UNTIL COHORT RELEASE</x:v>
      </x:c>
      <x:c r="M2242" s="9" t="n">
        <x:v>0</x:v>
      </x:c>
      <x:c r="N2242" s="9" t="n">
        <x:v>0</x:v>
      </x:c>
      <x:c r="O2242" s="9" t="n">
        <x:v>0</x:v>
      </x:c>
      <x:c r="P2242" s="9" t="str">
        <x:v>HELD / UNRELEASED</x:v>
      </x:c>
      <x:c r="Q2242" s="9" t="n">
        <x:f>COUNTIFS($A$7:$A$2310,A2242)</x:f>
        <x:v>1</x:v>
      </x:c>
    </x:row>
    <x:row r="2243">
      <x:c r="A2243" s="9" t="str">
        <x:v>PD-AR-ET-A-A-TECH-2-B1-RCN-G0-PD13</x:v>
      </x:c>
      <x:c r="B2243" s="9" t="str">
        <x:v>PD-AR-ET-A-A-TECH-2-B1-RCN-G0</x:v>
      </x:c>
      <x:c r="C2243" s="9" t="str">
        <x:v>EV-AR-ET-A-A-TECH-2-B1-RCN-G0</x:v>
      </x:c>
      <x:c r="D2243" s="9" t="str">
        <x:v>AR-ET-A-A-TECH-2-B1-RCN-G0</x:v>
      </x:c>
      <x:c r="E2243" s="9" t="str">
        <x:v>ET-A-A-TECH-2</x:v>
      </x:c>
      <x:c r="F2243" s="9" t="str">
        <x:v>ET-A-A</x:v>
      </x:c>
      <x:c r="G2243" s="9" t="str">
        <x:v>B1</x:v>
      </x:c>
      <x:c r="H2243" s="9" t="str">
        <x:v>RCN</x:v>
      </x:c>
      <x:c r="I2243" s="9" t="str">
        <x:v>PD13</x:v>
      </x:c>
      <x:c r="J2243" s="17" t="str">
        <x:v>Role judgment</x:v>
      </x:c>
      <x:c r="K2243" s="17" t="str">
        <x:v>Role court</x:v>
      </x:c>
      <x:c r="L2243" s="17" t="str">
        <x:v>COURT-SEALED UNTIL COHORT RELEASE</x:v>
      </x:c>
      <x:c r="M2243" s="9" t="n">
        <x:v>0</x:v>
      </x:c>
      <x:c r="N2243" s="9" t="n">
        <x:v>0</x:v>
      </x:c>
      <x:c r="O2243" s="9" t="n">
        <x:v>0</x:v>
      </x:c>
      <x:c r="P2243" s="9" t="str">
        <x:v>HELD / UNRELEASED</x:v>
      </x:c>
      <x:c r="Q2243" s="9" t="n">
        <x:f>COUNTIFS($A$7:$A$2310,A2243)</x:f>
        <x:v>1</x:v>
      </x:c>
    </x:row>
    <x:row r="2244">
      <x:c r="A2244" s="9" t="str">
        <x:v>PD-AR-ET-A-A-TECH-2-B1-RCN-G0-PD14</x:v>
      </x:c>
      <x:c r="B2244" s="9" t="str">
        <x:v>PD-AR-ET-A-A-TECH-2-B1-RCN-G0</x:v>
      </x:c>
      <x:c r="C2244" s="9" t="str">
        <x:v>EV-AR-ET-A-A-TECH-2-B1-RCN-G0</x:v>
      </x:c>
      <x:c r="D2244" s="9" t="str">
        <x:v>AR-ET-A-A-TECH-2-B1-RCN-G0</x:v>
      </x:c>
      <x:c r="E2244" s="9" t="str">
        <x:v>ET-A-A-TECH-2</x:v>
      </x:c>
      <x:c r="F2244" s="9" t="str">
        <x:v>ET-A-A</x:v>
      </x:c>
      <x:c r="G2244" s="9" t="str">
        <x:v>B1</x:v>
      </x:c>
      <x:c r="H2244" s="9" t="str">
        <x:v>RCN</x:v>
      </x:c>
      <x:c r="I2244" s="9" t="str">
        <x:v>PD14</x:v>
      </x:c>
      <x:c r="J2244" s="17" t="str">
        <x:v>Break and residual account</x:v>
      </x:c>
      <x:c r="K2244" s="17" t="str">
        <x:v>Residual authority</x:v>
      </x:c>
      <x:c r="L2244" s="17" t="str">
        <x:v>COURT-SEALED UNTIL COHORT RELEASE</x:v>
      </x:c>
      <x:c r="M2244" s="9" t="n">
        <x:v>0</x:v>
      </x:c>
      <x:c r="N2244" s="9" t="n">
        <x:v>0</x:v>
      </x:c>
      <x:c r="O2244" s="9" t="n">
        <x:v>0</x:v>
      </x:c>
      <x:c r="P2244" s="9" t="str">
        <x:v>HELD / UNRELEASED</x:v>
      </x:c>
      <x:c r="Q2244" s="9" t="n">
        <x:f>COUNTIFS($A$7:$A$2310,A2244)</x:f>
        <x:v>1</x:v>
      </x:c>
    </x:row>
    <x:row r="2245">
      <x:c r="A2245" s="9" t="str">
        <x:v>PD-AR-ET-A-A-TECH-2-B1-RCN-G0-PD15</x:v>
      </x:c>
      <x:c r="B2245" s="9" t="str">
        <x:v>PD-AR-ET-A-A-TECH-2-B1-RCN-G0</x:v>
      </x:c>
      <x:c r="C2245" s="9" t="str">
        <x:v>EV-AR-ET-A-A-TECH-2-B1-RCN-G0</x:v>
      </x:c>
      <x:c r="D2245" s="9" t="str">
        <x:v>AR-ET-A-A-TECH-2-B1-RCN-G0</x:v>
      </x:c>
      <x:c r="E2245" s="9" t="str">
        <x:v>ET-A-A-TECH-2</x:v>
      </x:c>
      <x:c r="F2245" s="9" t="str">
        <x:v>ET-A-A</x:v>
      </x:c>
      <x:c r="G2245" s="9" t="str">
        <x:v>B1</x:v>
      </x:c>
      <x:c r="H2245" s="9" t="str">
        <x:v>RCN</x:v>
      </x:c>
      <x:c r="I2245" s="9" t="str">
        <x:v>PD15</x:v>
      </x:c>
      <x:c r="J2245" s="17" t="str">
        <x:v>Reconstruction ancestry and replay</x:v>
      </x:c>
      <x:c r="K2245" s="17" t="str">
        <x:v>Reconstruction court</x:v>
      </x:c>
      <x:c r="L2245" s="17" t="str">
        <x:v>COURT-SEALED UNTIL COHORT RELEASE</x:v>
      </x:c>
      <x:c r="M2245" s="9" t="n">
        <x:v>0</x:v>
      </x:c>
      <x:c r="N2245" s="9" t="n">
        <x:v>0</x:v>
      </x:c>
      <x:c r="O2245" s="9" t="n">
        <x:v>0</x:v>
      </x:c>
      <x:c r="P2245" s="9" t="str">
        <x:v>HELD / UNRELEASED</x:v>
      </x:c>
      <x:c r="Q2245" s="9" t="n">
        <x:f>COUNTIFS($A$7:$A$2310,A2245)</x:f>
        <x:v>1</x:v>
      </x:c>
    </x:row>
    <x:row r="2246">
      <x:c r="A2246" s="9" t="str">
        <x:v>PD-AR-ET-A-A-TECH-2-B1-RCN-G0-PD16</x:v>
      </x:c>
      <x:c r="B2246" s="9" t="str">
        <x:v>PD-AR-ET-A-A-TECH-2-B1-RCN-G0</x:v>
      </x:c>
      <x:c r="C2246" s="9" t="str">
        <x:v>EV-AR-ET-A-A-TECH-2-B1-RCN-G0</x:v>
      </x:c>
      <x:c r="D2246" s="9" t="str">
        <x:v>AR-ET-A-A-TECH-2-B1-RCN-G0</x:v>
      </x:c>
      <x:c r="E2246" s="9" t="str">
        <x:v>ET-A-A-TECH-2</x:v>
      </x:c>
      <x:c r="F2246" s="9" t="str">
        <x:v>ET-A-A</x:v>
      </x:c>
      <x:c r="G2246" s="9" t="str">
        <x:v>B1</x:v>
      </x:c>
      <x:c r="H2246" s="9" t="str">
        <x:v>RCN</x:v>
      </x:c>
      <x:c r="I2246" s="9" t="str">
        <x:v>PD16</x:v>
      </x:c>
      <x:c r="J2246" s="17" t="str">
        <x:v>Dissent, amendments and access log</x:v>
      </x:c>
      <x:c r="K2246" s="17" t="str">
        <x:v>Public archive</x:v>
      </x:c>
      <x:c r="L2246" s="17" t="str">
        <x:v>COURT-SEALED UNTIL COHORT RELEASE</x:v>
      </x:c>
      <x:c r="M2246" s="9" t="n">
        <x:v>0</x:v>
      </x:c>
      <x:c r="N2246" s="9" t="n">
        <x:v>0</x:v>
      </x:c>
      <x:c r="O2246" s="9" t="n">
        <x:v>0</x:v>
      </x:c>
      <x:c r="P2246" s="9" t="str">
        <x:v>HELD / UNRELEASED</x:v>
      </x:c>
      <x:c r="Q2246" s="9" t="n">
        <x:f>COUNTIFS($A$7:$A$2310,A2246)</x:f>
        <x:v>1</x:v>
      </x:c>
    </x:row>
    <x:row r="2247">
      <x:c r="A2247" s="9" t="str">
        <x:v>PD-AR-HC-A-C-TECH-2-B1-BRK-G0-PD01</x:v>
      </x:c>
      <x:c r="B2247" s="9" t="str">
        <x:v>PD-AR-HC-A-C-TECH-2-B1-BRK-G0</x:v>
      </x:c>
      <x:c r="C2247" s="9" t="str">
        <x:v>EV-AR-HC-A-C-TECH-2-B1-BRK-G0</x:v>
      </x:c>
      <x:c r="D2247" s="9" t="str">
        <x:v>AR-HC-A-C-TECH-2-B1-BRK-G0</x:v>
      </x:c>
      <x:c r="E2247" s="9" t="str">
        <x:v>HC-A-C-TECH-2</x:v>
      </x:c>
      <x:c r="F2247" s="9" t="str">
        <x:v>HC-A-C</x:v>
      </x:c>
      <x:c r="G2247" s="9" t="str">
        <x:v>B1</x:v>
      </x:c>
      <x:c r="H2247" s="9" t="str">
        <x:v>BRK</x:v>
      </x:c>
      <x:c r="I2247" s="9" t="str">
        <x:v>PD01</x:v>
      </x:c>
      <x:c r="J2247" s="17" t="str">
        <x:v>Experiment kernel</x:v>
      </x:c>
      <x:c r="K2247" s="17" t="str">
        <x:v>Public archive</x:v>
      </x:c>
      <x:c r="L2247" s="17" t="str">
        <x:v>COURT-SEALED UNTIL COHORT RELEASE</x:v>
      </x:c>
      <x:c r="M2247" s="9" t="n">
        <x:v>0</x:v>
      </x:c>
      <x:c r="N2247" s="9" t="n">
        <x:v>0</x:v>
      </x:c>
      <x:c r="O2247" s="9" t="n">
        <x:v>0</x:v>
      </x:c>
      <x:c r="P2247" s="9" t="str">
        <x:v>HELD / UNRELEASED</x:v>
      </x:c>
      <x:c r="Q2247" s="9" t="n">
        <x:f>COUNTIFS($A$7:$A$2310,A2247)</x:f>
        <x:v>1</x:v>
      </x:c>
    </x:row>
    <x:row r="2248">
      <x:c r="A2248" s="9" t="str">
        <x:v>PD-AR-HC-A-C-TECH-2-B1-BRK-G0-PD02</x:v>
      </x:c>
      <x:c r="B2248" s="9" t="str">
        <x:v>PD-AR-HC-A-C-TECH-2-B1-BRK-G0</x:v>
      </x:c>
      <x:c r="C2248" s="9" t="str">
        <x:v>EV-AR-HC-A-C-TECH-2-B1-BRK-G0</x:v>
      </x:c>
      <x:c r="D2248" s="9" t="str">
        <x:v>AR-HC-A-C-TECH-2-B1-BRK-G0</x:v>
      </x:c>
      <x:c r="E2248" s="9" t="str">
        <x:v>HC-A-C-TECH-2</x:v>
      </x:c>
      <x:c r="F2248" s="9" t="str">
        <x:v>HC-A-C</x:v>
      </x:c>
      <x:c r="G2248" s="9" t="str">
        <x:v>B1</x:v>
      </x:c>
      <x:c r="H2248" s="9" t="str">
        <x:v>BRK</x:v>
      </x:c>
      <x:c r="I2248" s="9" t="str">
        <x:v>PD02</x:v>
      </x:c>
      <x:c r="J2248" s="17" t="str">
        <x:v>Serial annex and title chain</x:v>
      </x:c>
      <x:c r="K2248" s="17" t="str">
        <x:v>Public archive</x:v>
      </x:c>
      <x:c r="L2248" s="17" t="str">
        <x:v>COURT-SEALED UNTIL COHORT RELEASE</x:v>
      </x:c>
      <x:c r="M2248" s="9" t="n">
        <x:v>0</x:v>
      </x:c>
      <x:c r="N2248" s="9" t="n">
        <x:v>0</x:v>
      </x:c>
      <x:c r="O2248" s="9" t="n">
        <x:v>0</x:v>
      </x:c>
      <x:c r="P2248" s="9" t="str">
        <x:v>HELD / UNRELEASED</x:v>
      </x:c>
      <x:c r="Q2248" s="9" t="n">
        <x:f>COUNTIFS($A$7:$A$2310,A2248)</x:f>
        <x:v>1</x:v>
      </x:c>
    </x:row>
    <x:row r="2249">
      <x:c r="A2249" s="9" t="str">
        <x:v>PD-AR-HC-A-C-TECH-2-B1-BRK-G0-PD03</x:v>
      </x:c>
      <x:c r="B2249" s="9" t="str">
        <x:v>PD-AR-HC-A-C-TECH-2-B1-BRK-G0</x:v>
      </x:c>
      <x:c r="C2249" s="9" t="str">
        <x:v>EV-AR-HC-A-C-TECH-2-B1-BRK-G0</x:v>
      </x:c>
      <x:c r="D2249" s="9" t="str">
        <x:v>AR-HC-A-C-TECH-2-B1-BRK-G0</x:v>
      </x:c>
      <x:c r="E2249" s="9" t="str">
        <x:v>HC-A-C-TECH-2</x:v>
      </x:c>
      <x:c r="F2249" s="9" t="str">
        <x:v>HC-A-C</x:v>
      </x:c>
      <x:c r="G2249" s="9" t="str">
        <x:v>B1</x:v>
      </x:c>
      <x:c r="H2249" s="9" t="str">
        <x:v>BRK</x:v>
      </x:c>
      <x:c r="I2249" s="9" t="str">
        <x:v>PD03</x:v>
      </x:c>
      <x:c r="J2249" s="17" t="str">
        <x:v>Configuration and as-built manifest</x:v>
      </x:c>
      <x:c r="K2249" s="17" t="str">
        <x:v>Artifact exchange</x:v>
      </x:c>
      <x:c r="L2249" s="17" t="str">
        <x:v>COURT-SEALED UNTIL COHORT RELEASE</x:v>
      </x:c>
      <x:c r="M2249" s="9" t="n">
        <x:v>0</x:v>
      </x:c>
      <x:c r="N2249" s="9" t="n">
        <x:v>0</x:v>
      </x:c>
      <x:c r="O2249" s="9" t="n">
        <x:v>0</x:v>
      </x:c>
      <x:c r="P2249" s="9" t="str">
        <x:v>HELD / UNRELEASED</x:v>
      </x:c>
      <x:c r="Q2249" s="9" t="n">
        <x:f>COUNTIFS($A$7:$A$2310,A2249)</x:f>
        <x:v>1</x:v>
      </x:c>
    </x:row>
    <x:row r="2250">
      <x:c r="A2250" s="9" t="str">
        <x:v>PD-AR-HC-A-C-TECH-2-B1-BRK-G0-PD04</x:v>
      </x:c>
      <x:c r="B2250" s="9" t="str">
        <x:v>PD-AR-HC-A-C-TECH-2-B1-BRK-G0</x:v>
      </x:c>
      <x:c r="C2250" s="9" t="str">
        <x:v>EV-AR-HC-A-C-TECH-2-B1-BRK-G0</x:v>
      </x:c>
      <x:c r="D2250" s="9" t="str">
        <x:v>AR-HC-A-C-TECH-2-B1-BRK-G0</x:v>
      </x:c>
      <x:c r="E2250" s="9" t="str">
        <x:v>HC-A-C-TECH-2</x:v>
      </x:c>
      <x:c r="F2250" s="9" t="str">
        <x:v>HC-A-C</x:v>
      </x:c>
      <x:c r="G2250" s="9" t="str">
        <x:v>B1</x:v>
      </x:c>
      <x:c r="H2250" s="9" t="str">
        <x:v>BRK</x:v>
      </x:c>
      <x:c r="I2250" s="9" t="str">
        <x:v>PD04</x:v>
      </x:c>
      <x:c r="J2250" s="17" t="str">
        <x:v>EOW and start certificate</x:v>
      </x:c>
      <x:c r="K2250" s="17" t="str">
        <x:v>Start registrar</x:v>
      </x:c>
      <x:c r="L2250" s="17" t="str">
        <x:v>COURT-SEALED UNTIL COHORT RELEASE</x:v>
      </x:c>
      <x:c r="M2250" s="9" t="n">
        <x:v>0</x:v>
      </x:c>
      <x:c r="N2250" s="9" t="n">
        <x:v>0</x:v>
      </x:c>
      <x:c r="O2250" s="9" t="n">
        <x:v>0</x:v>
      </x:c>
      <x:c r="P2250" s="9" t="str">
        <x:v>HELD / UNRELEASED</x:v>
      </x:c>
      <x:c r="Q2250" s="9" t="n">
        <x:f>COUNTIFS($A$7:$A$2310,A2250)</x:f>
        <x:v>1</x:v>
      </x:c>
    </x:row>
    <x:row r="2251">
      <x:c r="A2251" s="9" t="str">
        <x:v>PD-AR-HC-A-C-TECH-2-B1-BRK-G0-PD05</x:v>
      </x:c>
      <x:c r="B2251" s="9" t="str">
        <x:v>PD-AR-HC-A-C-TECH-2-B1-BRK-G0</x:v>
      </x:c>
      <x:c r="C2251" s="9" t="str">
        <x:v>EV-AR-HC-A-C-TECH-2-B1-BRK-G0</x:v>
      </x:c>
      <x:c r="D2251" s="9" t="str">
        <x:v>AR-HC-A-C-TECH-2-B1-BRK-G0</x:v>
      </x:c>
      <x:c r="E2251" s="9" t="str">
        <x:v>HC-A-C-TECH-2</x:v>
      </x:c>
      <x:c r="F2251" s="9" t="str">
        <x:v>HC-A-C</x:v>
      </x:c>
      <x:c r="G2251" s="9" t="str">
        <x:v>B1</x:v>
      </x:c>
      <x:c r="H2251" s="9" t="str">
        <x:v>BRK</x:v>
      </x:c>
      <x:c r="I2251" s="9" t="str">
        <x:v>PD05</x:v>
      </x:c>
      <x:c r="J2251" s="17" t="str">
        <x:v>Primary raw originals</x:v>
      </x:c>
      <x:c r="K2251" s="17" t="str">
        <x:v>Primary custody</x:v>
      </x:c>
      <x:c r="L2251" s="17" t="str">
        <x:v>COURT-SEALED UNTIL COHORT RELEASE</x:v>
      </x:c>
      <x:c r="M2251" s="9" t="n">
        <x:v>0</x:v>
      </x:c>
      <x:c r="N2251" s="9" t="n">
        <x:v>0</x:v>
      </x:c>
      <x:c r="O2251" s="9" t="n">
        <x:v>0</x:v>
      </x:c>
      <x:c r="P2251" s="9" t="str">
        <x:v>HELD / UNRELEASED</x:v>
      </x:c>
      <x:c r="Q2251" s="9" t="n">
        <x:f>COUNTIFS($A$7:$A$2310,A2251)</x:f>
        <x:v>1</x:v>
      </x:c>
    </x:row>
    <x:row r="2252">
      <x:c r="A2252" s="9" t="str">
        <x:v>PD-AR-HC-A-C-TECH-2-B1-BRK-G0-PD06</x:v>
      </x:c>
      <x:c r="B2252" s="9" t="str">
        <x:v>PD-AR-HC-A-C-TECH-2-B1-BRK-G0</x:v>
      </x:c>
      <x:c r="C2252" s="9" t="str">
        <x:v>EV-AR-HC-A-C-TECH-2-B1-BRK-G0</x:v>
      </x:c>
      <x:c r="D2252" s="9" t="str">
        <x:v>AR-HC-A-C-TECH-2-B1-BRK-G0</x:v>
      </x:c>
      <x:c r="E2252" s="9" t="str">
        <x:v>HC-A-C-TECH-2</x:v>
      </x:c>
      <x:c r="F2252" s="9" t="str">
        <x:v>HC-A-C</x:v>
      </x:c>
      <x:c r="G2252" s="9" t="str">
        <x:v>B1</x:v>
      </x:c>
      <x:c r="H2252" s="9" t="str">
        <x:v>BRK</x:v>
      </x:c>
      <x:c r="I2252" s="9" t="str">
        <x:v>PD06</x:v>
      </x:c>
      <x:c r="J2252" s="17" t="str">
        <x:v>Witness raw originals</x:v>
      </x:c>
      <x:c r="K2252" s="17" t="str">
        <x:v>Witness custody</x:v>
      </x:c>
      <x:c r="L2252" s="17" t="str">
        <x:v>COURT-SEALED UNTIL COHORT RELEASE</x:v>
      </x:c>
      <x:c r="M2252" s="9" t="n">
        <x:v>0</x:v>
      </x:c>
      <x:c r="N2252" s="9" t="n">
        <x:v>0</x:v>
      </x:c>
      <x:c r="O2252" s="9" t="n">
        <x:v>0</x:v>
      </x:c>
      <x:c r="P2252" s="9" t="str">
        <x:v>HELD / UNRELEASED</x:v>
      </x:c>
      <x:c r="Q2252" s="9" t="n">
        <x:f>COUNTIFS($A$7:$A$2310,A2252)</x:f>
        <x:v>1</x:v>
      </x:c>
    </x:row>
    <x:row r="2253">
      <x:c r="A2253" s="9" t="str">
        <x:v>PD-AR-HC-A-C-TECH-2-B1-BRK-G0-PD07</x:v>
      </x:c>
      <x:c r="B2253" s="9" t="str">
        <x:v>PD-AR-HC-A-C-TECH-2-B1-BRK-G0</x:v>
      </x:c>
      <x:c r="C2253" s="9" t="str">
        <x:v>EV-AR-HC-A-C-TECH-2-B1-BRK-G0</x:v>
      </x:c>
      <x:c r="D2253" s="9" t="str">
        <x:v>AR-HC-A-C-TECH-2-B1-BRK-G0</x:v>
      </x:c>
      <x:c r="E2253" s="9" t="str">
        <x:v>HC-A-C-TECH-2</x:v>
      </x:c>
      <x:c r="F2253" s="9" t="str">
        <x:v>HC-A-C</x:v>
      </x:c>
      <x:c r="G2253" s="9" t="str">
        <x:v>B1</x:v>
      </x:c>
      <x:c r="H2253" s="9" t="str">
        <x:v>BRK</x:v>
      </x:c>
      <x:c r="I2253" s="9" t="str">
        <x:v>PD07</x:v>
      </x:c>
      <x:c r="J2253" s="17" t="str">
        <x:v>Clock and environmental records</x:v>
      </x:c>
      <x:c r="K2253" s="17" t="str">
        <x:v>Boundary archive</x:v>
      </x:c>
      <x:c r="L2253" s="17" t="str">
        <x:v>COURT-SEALED UNTIL COHORT RELEASE</x:v>
      </x:c>
      <x:c r="M2253" s="9" t="n">
        <x:v>0</x:v>
      </x:c>
      <x:c r="N2253" s="9" t="n">
        <x:v>0</x:v>
      </x:c>
      <x:c r="O2253" s="9" t="n">
        <x:v>0</x:v>
      </x:c>
      <x:c r="P2253" s="9" t="str">
        <x:v>HELD / UNRELEASED</x:v>
      </x:c>
      <x:c r="Q2253" s="9" t="n">
        <x:f>COUNTIFS($A$7:$A$2310,A2253)</x:f>
        <x:v>1</x:v>
      </x:c>
    </x:row>
    <x:row r="2254">
      <x:c r="A2254" s="9" t="str">
        <x:v>PD-AR-HC-A-C-TECH-2-B1-BRK-G0-PD08</x:v>
      </x:c>
      <x:c r="B2254" s="9" t="str">
        <x:v>PD-AR-HC-A-C-TECH-2-B1-BRK-G0</x:v>
      </x:c>
      <x:c r="C2254" s="9" t="str">
        <x:v>EV-AR-HC-A-C-TECH-2-B1-BRK-G0</x:v>
      </x:c>
      <x:c r="D2254" s="9" t="str">
        <x:v>AR-HC-A-C-TECH-2-B1-BRK-G0</x:v>
      </x:c>
      <x:c r="E2254" s="9" t="str">
        <x:v>HC-A-C-TECH-2</x:v>
      </x:c>
      <x:c r="F2254" s="9" t="str">
        <x:v>HC-A-C</x:v>
      </x:c>
      <x:c r="G2254" s="9" t="str">
        <x:v>B1</x:v>
      </x:c>
      <x:c r="H2254" s="9" t="str">
        <x:v>BRK</x:v>
      </x:c>
      <x:c r="I2254" s="9" t="str">
        <x:v>PD08</x:v>
      </x:c>
      <x:c r="J2254" s="17" t="str">
        <x:v>Command and intervention log</x:v>
      </x:c>
      <x:c r="K2254" s="17" t="str">
        <x:v>Safety archive</x:v>
      </x:c>
      <x:c r="L2254" s="17" t="str">
        <x:v>COURT-SEALED UNTIL COHORT RELEASE</x:v>
      </x:c>
      <x:c r="M2254" s="9" t="n">
        <x:v>0</x:v>
      </x:c>
      <x:c r="N2254" s="9" t="n">
        <x:v>0</x:v>
      </x:c>
      <x:c r="O2254" s="9" t="n">
        <x:v>0</x:v>
      </x:c>
      <x:c r="P2254" s="9" t="str">
        <x:v>HELD / UNRELEASED</x:v>
      </x:c>
      <x:c r="Q2254" s="9" t="n">
        <x:f>COUNTIFS($A$7:$A$2310,A2254)</x:f>
        <x:v>1</x:v>
      </x:c>
    </x:row>
    <x:row r="2255">
      <x:c r="A2255" s="9" t="str">
        <x:v>PD-AR-HC-A-C-TECH-2-B1-BRK-G0-PD09</x:v>
      </x:c>
      <x:c r="B2255" s="9" t="str">
        <x:v>PD-AR-HC-A-C-TECH-2-B1-BRK-G0</x:v>
      </x:c>
      <x:c r="C2255" s="9" t="str">
        <x:v>EV-AR-HC-A-C-TECH-2-B1-BRK-G0</x:v>
      </x:c>
      <x:c r="D2255" s="9" t="str">
        <x:v>AR-HC-A-C-TECH-2-B1-BRK-G0</x:v>
      </x:c>
      <x:c r="E2255" s="9" t="str">
        <x:v>HC-A-C-TECH-2</x:v>
      </x:c>
      <x:c r="F2255" s="9" t="str">
        <x:v>HC-A-C</x:v>
      </x:c>
      <x:c r="G2255" s="9" t="str">
        <x:v>B1</x:v>
      </x:c>
      <x:c r="H2255" s="9" t="str">
        <x:v>BRK</x:v>
      </x:c>
      <x:c r="I2255" s="9" t="str">
        <x:v>PD09</x:v>
      </x:c>
      <x:c r="J2255" s="17" t="str">
        <x:v>Receiver denominator and service ledger</x:v>
      </x:c>
      <x:c r="K2255" s="17" t="str">
        <x:v>Receiver archive</x:v>
      </x:c>
      <x:c r="L2255" s="17" t="str">
        <x:v>COURT-SEALED UNTIL COHORT RELEASE</x:v>
      </x:c>
      <x:c r="M2255" s="9" t="n">
        <x:v>0</x:v>
      </x:c>
      <x:c r="N2255" s="9" t="n">
        <x:v>0</x:v>
      </x:c>
      <x:c r="O2255" s="9" t="n">
        <x:v>0</x:v>
      </x:c>
      <x:c r="P2255" s="9" t="str">
        <x:v>HELD / UNRELEASED</x:v>
      </x:c>
      <x:c r="Q2255" s="9" t="n">
        <x:f>COUNTIFS($A$7:$A$2310,A2255)</x:f>
        <x:v>1</x:v>
      </x:c>
    </x:row>
    <x:row r="2256">
      <x:c r="A2256" s="9" t="str">
        <x:v>PD-AR-HC-A-C-TECH-2-B1-BRK-G0-PD10</x:v>
      </x:c>
      <x:c r="B2256" s="9" t="str">
        <x:v>PD-AR-HC-A-C-TECH-2-B1-BRK-G0</x:v>
      </x:c>
      <x:c r="C2256" s="9" t="str">
        <x:v>EV-AR-HC-A-C-TECH-2-B1-BRK-G0</x:v>
      </x:c>
      <x:c r="D2256" s="9" t="str">
        <x:v>AR-HC-A-C-TECH-2-B1-BRK-G0</x:v>
      </x:c>
      <x:c r="E2256" s="9" t="str">
        <x:v>HC-A-C-TECH-2</x:v>
      </x:c>
      <x:c r="F2256" s="9" t="str">
        <x:v>HC-A-C</x:v>
      </x:c>
      <x:c r="G2256" s="9" t="str">
        <x:v>B1</x:v>
      </x:c>
      <x:c r="H2256" s="9" t="str">
        <x:v>BRK</x:v>
      </x:c>
      <x:c r="I2256" s="9" t="str">
        <x:v>PD10</x:v>
      </x:c>
      <x:c r="J2256" s="17" t="str">
        <x:v>Calibration and uncertainty record</x:v>
      </x:c>
      <x:c r="K2256" s="17" t="str">
        <x:v>Metrology archive</x:v>
      </x:c>
      <x:c r="L2256" s="17" t="str">
        <x:v>COURT-SEALED UNTIL COHORT RELEASE</x:v>
      </x:c>
      <x:c r="M2256" s="9" t="n">
        <x:v>0</x:v>
      </x:c>
      <x:c r="N2256" s="9" t="n">
        <x:v>0</x:v>
      </x:c>
      <x:c r="O2256" s="9" t="n">
        <x:v>0</x:v>
      </x:c>
      <x:c r="P2256" s="9" t="str">
        <x:v>HELD / UNRELEASED</x:v>
      </x:c>
      <x:c r="Q2256" s="9" t="n">
        <x:f>COUNTIFS($A$7:$A$2310,A2256)</x:f>
        <x:v>1</x:v>
      </x:c>
    </x:row>
    <x:row r="2257">
      <x:c r="A2257" s="9" t="str">
        <x:v>PD-AR-HC-A-C-TECH-2-B1-BRK-G0-PD11</x:v>
      </x:c>
      <x:c r="B2257" s="9" t="str">
        <x:v>PD-AR-HC-A-C-TECH-2-B1-BRK-G0</x:v>
      </x:c>
      <x:c r="C2257" s="9" t="str">
        <x:v>EV-AR-HC-A-C-TECH-2-B1-BRK-G0</x:v>
      </x:c>
      <x:c r="D2257" s="9" t="str">
        <x:v>AR-HC-A-C-TECH-2-B1-BRK-G0</x:v>
      </x:c>
      <x:c r="E2257" s="9" t="str">
        <x:v>HC-A-C-TECH-2</x:v>
      </x:c>
      <x:c r="F2257" s="9" t="str">
        <x:v>HC-A-C</x:v>
      </x:c>
      <x:c r="G2257" s="9" t="str">
        <x:v>B1</x:v>
      </x:c>
      <x:c r="H2257" s="9" t="str">
        <x:v>BRK</x:v>
      </x:c>
      <x:c r="I2257" s="9" t="str">
        <x:v>PD11</x:v>
      </x:c>
      <x:c r="J2257" s="17" t="str">
        <x:v>Invalidity petition and opinion</x:v>
      </x:c>
      <x:c r="K2257" s="17" t="str">
        <x:v>Invalidity court</x:v>
      </x:c>
      <x:c r="L2257" s="17" t="str">
        <x:v>COURT-SEALED UNTIL COHORT RELEASE</x:v>
      </x:c>
      <x:c r="M2257" s="9" t="n">
        <x:v>0</x:v>
      </x:c>
      <x:c r="N2257" s="9" t="n">
        <x:v>0</x:v>
      </x:c>
      <x:c r="O2257" s="9" t="n">
        <x:v>0</x:v>
      </x:c>
      <x:c r="P2257" s="9" t="str">
        <x:v>HELD / UNRELEASED</x:v>
      </x:c>
      <x:c r="Q2257" s="9" t="n">
        <x:f>COUNTIFS($A$7:$A$2310,A2257)</x:f>
        <x:v>1</x:v>
      </x:c>
    </x:row>
    <x:row r="2258">
      <x:c r="A2258" s="9" t="str">
        <x:v>PD-AR-HC-A-C-TECH-2-B1-BRK-G0-PD12</x:v>
      </x:c>
      <x:c r="B2258" s="9" t="str">
        <x:v>PD-AR-HC-A-C-TECH-2-B1-BRK-G0</x:v>
      </x:c>
      <x:c r="C2258" s="9" t="str">
        <x:v>EV-AR-HC-A-C-TECH-2-B1-BRK-G0</x:v>
      </x:c>
      <x:c r="D2258" s="9" t="str">
        <x:v>AR-HC-A-C-TECH-2-B1-BRK-G0</x:v>
      </x:c>
      <x:c r="E2258" s="9" t="str">
        <x:v>HC-A-C-TECH-2</x:v>
      </x:c>
      <x:c r="F2258" s="9" t="str">
        <x:v>HC-A-C</x:v>
      </x:c>
      <x:c r="G2258" s="9" t="str">
        <x:v>B1</x:v>
      </x:c>
      <x:c r="H2258" s="9" t="str">
        <x:v>BRK</x:v>
      </x:c>
      <x:c r="I2258" s="9" t="str">
        <x:v>PD12</x:v>
      </x:c>
      <x:c r="J2258" s="17" t="str">
        <x:v>Observation acceptance and replay</x:v>
      </x:c>
      <x:c r="K2258" s="17" t="str">
        <x:v>Observation court</x:v>
      </x:c>
      <x:c r="L2258" s="17" t="str">
        <x:v>COURT-SEALED UNTIL COHORT RELEASE</x:v>
      </x:c>
      <x:c r="M2258" s="9" t="n">
        <x:v>0</x:v>
      </x:c>
      <x:c r="N2258" s="9" t="n">
        <x:v>0</x:v>
      </x:c>
      <x:c r="O2258" s="9" t="n">
        <x:v>0</x:v>
      </x:c>
      <x:c r="P2258" s="9" t="str">
        <x:v>HELD / UNRELEASED</x:v>
      </x:c>
      <x:c r="Q2258" s="9" t="n">
        <x:f>COUNTIFS($A$7:$A$2310,A2258)</x:f>
        <x:v>1</x:v>
      </x:c>
    </x:row>
    <x:row r="2259">
      <x:c r="A2259" s="9" t="str">
        <x:v>PD-AR-HC-A-C-TECH-2-B1-BRK-G0-PD13</x:v>
      </x:c>
      <x:c r="B2259" s="9" t="str">
        <x:v>PD-AR-HC-A-C-TECH-2-B1-BRK-G0</x:v>
      </x:c>
      <x:c r="C2259" s="9" t="str">
        <x:v>EV-AR-HC-A-C-TECH-2-B1-BRK-G0</x:v>
      </x:c>
      <x:c r="D2259" s="9" t="str">
        <x:v>AR-HC-A-C-TECH-2-B1-BRK-G0</x:v>
      </x:c>
      <x:c r="E2259" s="9" t="str">
        <x:v>HC-A-C-TECH-2</x:v>
      </x:c>
      <x:c r="F2259" s="9" t="str">
        <x:v>HC-A-C</x:v>
      </x:c>
      <x:c r="G2259" s="9" t="str">
        <x:v>B1</x:v>
      </x:c>
      <x:c r="H2259" s="9" t="str">
        <x:v>BRK</x:v>
      </x:c>
      <x:c r="I2259" s="9" t="str">
        <x:v>PD13</x:v>
      </x:c>
      <x:c r="J2259" s="17" t="str">
        <x:v>Role judgment</x:v>
      </x:c>
      <x:c r="K2259" s="17" t="str">
        <x:v>Role court</x:v>
      </x:c>
      <x:c r="L2259" s="17" t="str">
        <x:v>COURT-SEALED UNTIL COHORT RELEASE</x:v>
      </x:c>
      <x:c r="M2259" s="9" t="n">
        <x:v>0</x:v>
      </x:c>
      <x:c r="N2259" s="9" t="n">
        <x:v>0</x:v>
      </x:c>
      <x:c r="O2259" s="9" t="n">
        <x:v>0</x:v>
      </x:c>
      <x:c r="P2259" s="9" t="str">
        <x:v>HELD / UNRELEASED</x:v>
      </x:c>
      <x:c r="Q2259" s="9" t="n">
        <x:f>COUNTIFS($A$7:$A$2310,A2259)</x:f>
        <x:v>1</x:v>
      </x:c>
    </x:row>
    <x:row r="2260">
      <x:c r="A2260" s="9" t="str">
        <x:v>PD-AR-HC-A-C-TECH-2-B1-BRK-G0-PD14</x:v>
      </x:c>
      <x:c r="B2260" s="9" t="str">
        <x:v>PD-AR-HC-A-C-TECH-2-B1-BRK-G0</x:v>
      </x:c>
      <x:c r="C2260" s="9" t="str">
        <x:v>EV-AR-HC-A-C-TECH-2-B1-BRK-G0</x:v>
      </x:c>
      <x:c r="D2260" s="9" t="str">
        <x:v>AR-HC-A-C-TECH-2-B1-BRK-G0</x:v>
      </x:c>
      <x:c r="E2260" s="9" t="str">
        <x:v>HC-A-C-TECH-2</x:v>
      </x:c>
      <x:c r="F2260" s="9" t="str">
        <x:v>HC-A-C</x:v>
      </x:c>
      <x:c r="G2260" s="9" t="str">
        <x:v>B1</x:v>
      </x:c>
      <x:c r="H2260" s="9" t="str">
        <x:v>BRK</x:v>
      </x:c>
      <x:c r="I2260" s="9" t="str">
        <x:v>PD14</x:v>
      </x:c>
      <x:c r="J2260" s="17" t="str">
        <x:v>Break and residual account</x:v>
      </x:c>
      <x:c r="K2260" s="17" t="str">
        <x:v>Residual authority</x:v>
      </x:c>
      <x:c r="L2260" s="17" t="str">
        <x:v>COURT-SEALED UNTIL COHORT RELEASE</x:v>
      </x:c>
      <x:c r="M2260" s="9" t="n">
        <x:v>0</x:v>
      </x:c>
      <x:c r="N2260" s="9" t="n">
        <x:v>0</x:v>
      </x:c>
      <x:c r="O2260" s="9" t="n">
        <x:v>0</x:v>
      </x:c>
      <x:c r="P2260" s="9" t="str">
        <x:v>HELD / UNRELEASED</x:v>
      </x:c>
      <x:c r="Q2260" s="9" t="n">
        <x:f>COUNTIFS($A$7:$A$2310,A2260)</x:f>
        <x:v>1</x:v>
      </x:c>
    </x:row>
    <x:row r="2261">
      <x:c r="A2261" s="9" t="str">
        <x:v>PD-AR-HC-A-C-TECH-2-B1-BRK-G0-PD15</x:v>
      </x:c>
      <x:c r="B2261" s="9" t="str">
        <x:v>PD-AR-HC-A-C-TECH-2-B1-BRK-G0</x:v>
      </x:c>
      <x:c r="C2261" s="9" t="str">
        <x:v>EV-AR-HC-A-C-TECH-2-B1-BRK-G0</x:v>
      </x:c>
      <x:c r="D2261" s="9" t="str">
        <x:v>AR-HC-A-C-TECH-2-B1-BRK-G0</x:v>
      </x:c>
      <x:c r="E2261" s="9" t="str">
        <x:v>HC-A-C-TECH-2</x:v>
      </x:c>
      <x:c r="F2261" s="9" t="str">
        <x:v>HC-A-C</x:v>
      </x:c>
      <x:c r="G2261" s="9" t="str">
        <x:v>B1</x:v>
      </x:c>
      <x:c r="H2261" s="9" t="str">
        <x:v>BRK</x:v>
      </x:c>
      <x:c r="I2261" s="9" t="str">
        <x:v>PD15</x:v>
      </x:c>
      <x:c r="J2261" s="17" t="str">
        <x:v>Reconstruction ancestry and replay</x:v>
      </x:c>
      <x:c r="K2261" s="17" t="str">
        <x:v>Reconstruction court</x:v>
      </x:c>
      <x:c r="L2261" s="17" t="str">
        <x:v>COURT-SEALED UNTIL COHORT RELEASE</x:v>
      </x:c>
      <x:c r="M2261" s="9" t="n">
        <x:v>0</x:v>
      </x:c>
      <x:c r="N2261" s="9" t="n">
        <x:v>0</x:v>
      </x:c>
      <x:c r="O2261" s="9" t="n">
        <x:v>0</x:v>
      </x:c>
      <x:c r="P2261" s="9" t="str">
        <x:v>HELD / UNRELEASED</x:v>
      </x:c>
      <x:c r="Q2261" s="9" t="n">
        <x:f>COUNTIFS($A$7:$A$2310,A2261)</x:f>
        <x:v>1</x:v>
      </x:c>
    </x:row>
    <x:row r="2262">
      <x:c r="A2262" s="9" t="str">
        <x:v>PD-AR-HC-A-C-TECH-2-B1-BRK-G0-PD16</x:v>
      </x:c>
      <x:c r="B2262" s="9" t="str">
        <x:v>PD-AR-HC-A-C-TECH-2-B1-BRK-G0</x:v>
      </x:c>
      <x:c r="C2262" s="9" t="str">
        <x:v>EV-AR-HC-A-C-TECH-2-B1-BRK-G0</x:v>
      </x:c>
      <x:c r="D2262" s="9" t="str">
        <x:v>AR-HC-A-C-TECH-2-B1-BRK-G0</x:v>
      </x:c>
      <x:c r="E2262" s="9" t="str">
        <x:v>HC-A-C-TECH-2</x:v>
      </x:c>
      <x:c r="F2262" s="9" t="str">
        <x:v>HC-A-C</x:v>
      </x:c>
      <x:c r="G2262" s="9" t="str">
        <x:v>B1</x:v>
      </x:c>
      <x:c r="H2262" s="9" t="str">
        <x:v>BRK</x:v>
      </x:c>
      <x:c r="I2262" s="9" t="str">
        <x:v>PD16</x:v>
      </x:c>
      <x:c r="J2262" s="17" t="str">
        <x:v>Dissent, amendments and access log</x:v>
      </x:c>
      <x:c r="K2262" s="17" t="str">
        <x:v>Public archive</x:v>
      </x:c>
      <x:c r="L2262" s="17" t="str">
        <x:v>COURT-SEALED UNTIL COHORT RELEASE</x:v>
      </x:c>
      <x:c r="M2262" s="9" t="n">
        <x:v>0</x:v>
      </x:c>
      <x:c r="N2262" s="9" t="n">
        <x:v>0</x:v>
      </x:c>
      <x:c r="O2262" s="9" t="n">
        <x:v>0</x:v>
      </x:c>
      <x:c r="P2262" s="9" t="str">
        <x:v>HELD / UNRELEASED</x:v>
      </x:c>
      <x:c r="Q2262" s="9" t="n">
        <x:f>COUNTIFS($A$7:$A$2310,A2262)</x:f>
        <x:v>1</x:v>
      </x:c>
    </x:row>
    <x:row r="2263">
      <x:c r="A2263" s="9" t="str">
        <x:v>PD-AR-HU-A-B-TECH-2-B1-INT-G0-PD01</x:v>
      </x:c>
      <x:c r="B2263" s="9" t="str">
        <x:v>PD-AR-HU-A-B-TECH-2-B1-INT-G0</x:v>
      </x:c>
      <x:c r="C2263" s="9" t="str">
        <x:v>EV-AR-HU-A-B-TECH-2-B1-INT-G0</x:v>
      </x:c>
      <x:c r="D2263" s="9" t="str">
        <x:v>AR-HU-A-B-TECH-2-B1-INT-G0</x:v>
      </x:c>
      <x:c r="E2263" s="9" t="str">
        <x:v>HU-A-B-TECH-2</x:v>
      </x:c>
      <x:c r="F2263" s="9" t="str">
        <x:v>HU-A-B</x:v>
      </x:c>
      <x:c r="G2263" s="9" t="str">
        <x:v>B1</x:v>
      </x:c>
      <x:c r="H2263" s="9" t="str">
        <x:v>INT</x:v>
      </x:c>
      <x:c r="I2263" s="9" t="str">
        <x:v>PD01</x:v>
      </x:c>
      <x:c r="J2263" s="17" t="str">
        <x:v>Experiment kernel</x:v>
      </x:c>
      <x:c r="K2263" s="17" t="str">
        <x:v>Public archive</x:v>
      </x:c>
      <x:c r="L2263" s="17" t="str">
        <x:v>COURT-SEALED UNTIL COHORT RELEASE</x:v>
      </x:c>
      <x:c r="M2263" s="9" t="n">
        <x:v>0</x:v>
      </x:c>
      <x:c r="N2263" s="9" t="n">
        <x:v>0</x:v>
      </x:c>
      <x:c r="O2263" s="9" t="n">
        <x:v>0</x:v>
      </x:c>
      <x:c r="P2263" s="9" t="str">
        <x:v>HELD / UNRELEASED</x:v>
      </x:c>
      <x:c r="Q2263" s="9" t="n">
        <x:f>COUNTIFS($A$7:$A$2310,A2263)</x:f>
        <x:v>1</x:v>
      </x:c>
    </x:row>
    <x:row r="2264">
      <x:c r="A2264" s="9" t="str">
        <x:v>PD-AR-HU-A-B-TECH-2-B1-INT-G0-PD02</x:v>
      </x:c>
      <x:c r="B2264" s="9" t="str">
        <x:v>PD-AR-HU-A-B-TECH-2-B1-INT-G0</x:v>
      </x:c>
      <x:c r="C2264" s="9" t="str">
        <x:v>EV-AR-HU-A-B-TECH-2-B1-INT-G0</x:v>
      </x:c>
      <x:c r="D2264" s="9" t="str">
        <x:v>AR-HU-A-B-TECH-2-B1-INT-G0</x:v>
      </x:c>
      <x:c r="E2264" s="9" t="str">
        <x:v>HU-A-B-TECH-2</x:v>
      </x:c>
      <x:c r="F2264" s="9" t="str">
        <x:v>HU-A-B</x:v>
      </x:c>
      <x:c r="G2264" s="9" t="str">
        <x:v>B1</x:v>
      </x:c>
      <x:c r="H2264" s="9" t="str">
        <x:v>INT</x:v>
      </x:c>
      <x:c r="I2264" s="9" t="str">
        <x:v>PD02</x:v>
      </x:c>
      <x:c r="J2264" s="17" t="str">
        <x:v>Serial annex and title chain</x:v>
      </x:c>
      <x:c r="K2264" s="17" t="str">
        <x:v>Public archive</x:v>
      </x:c>
      <x:c r="L2264" s="17" t="str">
        <x:v>COURT-SEALED UNTIL COHORT RELEASE</x:v>
      </x:c>
      <x:c r="M2264" s="9" t="n">
        <x:v>0</x:v>
      </x:c>
      <x:c r="N2264" s="9" t="n">
        <x:v>0</x:v>
      </x:c>
      <x:c r="O2264" s="9" t="n">
        <x:v>0</x:v>
      </x:c>
      <x:c r="P2264" s="9" t="str">
        <x:v>HELD / UNRELEASED</x:v>
      </x:c>
      <x:c r="Q2264" s="9" t="n">
        <x:f>COUNTIFS($A$7:$A$2310,A2264)</x:f>
        <x:v>1</x:v>
      </x:c>
    </x:row>
    <x:row r="2265">
      <x:c r="A2265" s="9" t="str">
        <x:v>PD-AR-HU-A-B-TECH-2-B1-INT-G0-PD03</x:v>
      </x:c>
      <x:c r="B2265" s="9" t="str">
        <x:v>PD-AR-HU-A-B-TECH-2-B1-INT-G0</x:v>
      </x:c>
      <x:c r="C2265" s="9" t="str">
        <x:v>EV-AR-HU-A-B-TECH-2-B1-INT-G0</x:v>
      </x:c>
      <x:c r="D2265" s="9" t="str">
        <x:v>AR-HU-A-B-TECH-2-B1-INT-G0</x:v>
      </x:c>
      <x:c r="E2265" s="9" t="str">
        <x:v>HU-A-B-TECH-2</x:v>
      </x:c>
      <x:c r="F2265" s="9" t="str">
        <x:v>HU-A-B</x:v>
      </x:c>
      <x:c r="G2265" s="9" t="str">
        <x:v>B1</x:v>
      </x:c>
      <x:c r="H2265" s="9" t="str">
        <x:v>INT</x:v>
      </x:c>
      <x:c r="I2265" s="9" t="str">
        <x:v>PD03</x:v>
      </x:c>
      <x:c r="J2265" s="17" t="str">
        <x:v>Configuration and as-built manifest</x:v>
      </x:c>
      <x:c r="K2265" s="17" t="str">
        <x:v>Artifact exchange</x:v>
      </x:c>
      <x:c r="L2265" s="17" t="str">
        <x:v>COURT-SEALED UNTIL COHORT RELEASE</x:v>
      </x:c>
      <x:c r="M2265" s="9" t="n">
        <x:v>0</x:v>
      </x:c>
      <x:c r="N2265" s="9" t="n">
        <x:v>0</x:v>
      </x:c>
      <x:c r="O2265" s="9" t="n">
        <x:v>0</x:v>
      </x:c>
      <x:c r="P2265" s="9" t="str">
        <x:v>HELD / UNRELEASED</x:v>
      </x:c>
      <x:c r="Q2265" s="9" t="n">
        <x:f>COUNTIFS($A$7:$A$2310,A2265)</x:f>
        <x:v>1</x:v>
      </x:c>
    </x:row>
    <x:row r="2266">
      <x:c r="A2266" s="9" t="str">
        <x:v>PD-AR-HU-A-B-TECH-2-B1-INT-G0-PD04</x:v>
      </x:c>
      <x:c r="B2266" s="9" t="str">
        <x:v>PD-AR-HU-A-B-TECH-2-B1-INT-G0</x:v>
      </x:c>
      <x:c r="C2266" s="9" t="str">
        <x:v>EV-AR-HU-A-B-TECH-2-B1-INT-G0</x:v>
      </x:c>
      <x:c r="D2266" s="9" t="str">
        <x:v>AR-HU-A-B-TECH-2-B1-INT-G0</x:v>
      </x:c>
      <x:c r="E2266" s="9" t="str">
        <x:v>HU-A-B-TECH-2</x:v>
      </x:c>
      <x:c r="F2266" s="9" t="str">
        <x:v>HU-A-B</x:v>
      </x:c>
      <x:c r="G2266" s="9" t="str">
        <x:v>B1</x:v>
      </x:c>
      <x:c r="H2266" s="9" t="str">
        <x:v>INT</x:v>
      </x:c>
      <x:c r="I2266" s="9" t="str">
        <x:v>PD04</x:v>
      </x:c>
      <x:c r="J2266" s="17" t="str">
        <x:v>EOW and start certificate</x:v>
      </x:c>
      <x:c r="K2266" s="17" t="str">
        <x:v>Start registrar</x:v>
      </x:c>
      <x:c r="L2266" s="17" t="str">
        <x:v>COURT-SEALED UNTIL COHORT RELEASE</x:v>
      </x:c>
      <x:c r="M2266" s="9" t="n">
        <x:v>0</x:v>
      </x:c>
      <x:c r="N2266" s="9" t="n">
        <x:v>0</x:v>
      </x:c>
      <x:c r="O2266" s="9" t="n">
        <x:v>0</x:v>
      </x:c>
      <x:c r="P2266" s="9" t="str">
        <x:v>HELD / UNRELEASED</x:v>
      </x:c>
      <x:c r="Q2266" s="9" t="n">
        <x:f>COUNTIFS($A$7:$A$2310,A2266)</x:f>
        <x:v>1</x:v>
      </x:c>
    </x:row>
    <x:row r="2267">
      <x:c r="A2267" s="9" t="str">
        <x:v>PD-AR-HU-A-B-TECH-2-B1-INT-G0-PD05</x:v>
      </x:c>
      <x:c r="B2267" s="9" t="str">
        <x:v>PD-AR-HU-A-B-TECH-2-B1-INT-G0</x:v>
      </x:c>
      <x:c r="C2267" s="9" t="str">
        <x:v>EV-AR-HU-A-B-TECH-2-B1-INT-G0</x:v>
      </x:c>
      <x:c r="D2267" s="9" t="str">
        <x:v>AR-HU-A-B-TECH-2-B1-INT-G0</x:v>
      </x:c>
      <x:c r="E2267" s="9" t="str">
        <x:v>HU-A-B-TECH-2</x:v>
      </x:c>
      <x:c r="F2267" s="9" t="str">
        <x:v>HU-A-B</x:v>
      </x:c>
      <x:c r="G2267" s="9" t="str">
        <x:v>B1</x:v>
      </x:c>
      <x:c r="H2267" s="9" t="str">
        <x:v>INT</x:v>
      </x:c>
      <x:c r="I2267" s="9" t="str">
        <x:v>PD05</x:v>
      </x:c>
      <x:c r="J2267" s="17" t="str">
        <x:v>Primary raw originals</x:v>
      </x:c>
      <x:c r="K2267" s="17" t="str">
        <x:v>Primary custody</x:v>
      </x:c>
      <x:c r="L2267" s="17" t="str">
        <x:v>COURT-SEALED UNTIL COHORT RELEASE</x:v>
      </x:c>
      <x:c r="M2267" s="9" t="n">
        <x:v>0</x:v>
      </x:c>
      <x:c r="N2267" s="9" t="n">
        <x:v>0</x:v>
      </x:c>
      <x:c r="O2267" s="9" t="n">
        <x:v>0</x:v>
      </x:c>
      <x:c r="P2267" s="9" t="str">
        <x:v>HELD / UNRELEASED</x:v>
      </x:c>
      <x:c r="Q2267" s="9" t="n">
        <x:f>COUNTIFS($A$7:$A$2310,A2267)</x:f>
        <x:v>1</x:v>
      </x:c>
    </x:row>
    <x:row r="2268">
      <x:c r="A2268" s="9" t="str">
        <x:v>PD-AR-HU-A-B-TECH-2-B1-INT-G0-PD06</x:v>
      </x:c>
      <x:c r="B2268" s="9" t="str">
        <x:v>PD-AR-HU-A-B-TECH-2-B1-INT-G0</x:v>
      </x:c>
      <x:c r="C2268" s="9" t="str">
        <x:v>EV-AR-HU-A-B-TECH-2-B1-INT-G0</x:v>
      </x:c>
      <x:c r="D2268" s="9" t="str">
        <x:v>AR-HU-A-B-TECH-2-B1-INT-G0</x:v>
      </x:c>
      <x:c r="E2268" s="9" t="str">
        <x:v>HU-A-B-TECH-2</x:v>
      </x:c>
      <x:c r="F2268" s="9" t="str">
        <x:v>HU-A-B</x:v>
      </x:c>
      <x:c r="G2268" s="9" t="str">
        <x:v>B1</x:v>
      </x:c>
      <x:c r="H2268" s="9" t="str">
        <x:v>INT</x:v>
      </x:c>
      <x:c r="I2268" s="9" t="str">
        <x:v>PD06</x:v>
      </x:c>
      <x:c r="J2268" s="17" t="str">
        <x:v>Witness raw originals</x:v>
      </x:c>
      <x:c r="K2268" s="17" t="str">
        <x:v>Witness custody</x:v>
      </x:c>
      <x:c r="L2268" s="17" t="str">
        <x:v>COURT-SEALED UNTIL COHORT RELEASE</x:v>
      </x:c>
      <x:c r="M2268" s="9" t="n">
        <x:v>0</x:v>
      </x:c>
      <x:c r="N2268" s="9" t="n">
        <x:v>0</x:v>
      </x:c>
      <x:c r="O2268" s="9" t="n">
        <x:v>0</x:v>
      </x:c>
      <x:c r="P2268" s="9" t="str">
        <x:v>HELD / UNRELEASED</x:v>
      </x:c>
      <x:c r="Q2268" s="9" t="n">
        <x:f>COUNTIFS($A$7:$A$2310,A2268)</x:f>
        <x:v>1</x:v>
      </x:c>
    </x:row>
    <x:row r="2269">
      <x:c r="A2269" s="9" t="str">
        <x:v>PD-AR-HU-A-B-TECH-2-B1-INT-G0-PD07</x:v>
      </x:c>
      <x:c r="B2269" s="9" t="str">
        <x:v>PD-AR-HU-A-B-TECH-2-B1-INT-G0</x:v>
      </x:c>
      <x:c r="C2269" s="9" t="str">
        <x:v>EV-AR-HU-A-B-TECH-2-B1-INT-G0</x:v>
      </x:c>
      <x:c r="D2269" s="9" t="str">
        <x:v>AR-HU-A-B-TECH-2-B1-INT-G0</x:v>
      </x:c>
      <x:c r="E2269" s="9" t="str">
        <x:v>HU-A-B-TECH-2</x:v>
      </x:c>
      <x:c r="F2269" s="9" t="str">
        <x:v>HU-A-B</x:v>
      </x:c>
      <x:c r="G2269" s="9" t="str">
        <x:v>B1</x:v>
      </x:c>
      <x:c r="H2269" s="9" t="str">
        <x:v>INT</x:v>
      </x:c>
      <x:c r="I2269" s="9" t="str">
        <x:v>PD07</x:v>
      </x:c>
      <x:c r="J2269" s="17" t="str">
        <x:v>Clock and environmental records</x:v>
      </x:c>
      <x:c r="K2269" s="17" t="str">
        <x:v>Boundary archive</x:v>
      </x:c>
      <x:c r="L2269" s="17" t="str">
        <x:v>COURT-SEALED UNTIL COHORT RELEASE</x:v>
      </x:c>
      <x:c r="M2269" s="9" t="n">
        <x:v>0</x:v>
      </x:c>
      <x:c r="N2269" s="9" t="n">
        <x:v>0</x:v>
      </x:c>
      <x:c r="O2269" s="9" t="n">
        <x:v>0</x:v>
      </x:c>
      <x:c r="P2269" s="9" t="str">
        <x:v>HELD / UNRELEASED</x:v>
      </x:c>
      <x:c r="Q2269" s="9" t="n">
        <x:f>COUNTIFS($A$7:$A$2310,A2269)</x:f>
        <x:v>1</x:v>
      </x:c>
    </x:row>
    <x:row r="2270">
      <x:c r="A2270" s="9" t="str">
        <x:v>PD-AR-HU-A-B-TECH-2-B1-INT-G0-PD08</x:v>
      </x:c>
      <x:c r="B2270" s="9" t="str">
        <x:v>PD-AR-HU-A-B-TECH-2-B1-INT-G0</x:v>
      </x:c>
      <x:c r="C2270" s="9" t="str">
        <x:v>EV-AR-HU-A-B-TECH-2-B1-INT-G0</x:v>
      </x:c>
      <x:c r="D2270" s="9" t="str">
        <x:v>AR-HU-A-B-TECH-2-B1-INT-G0</x:v>
      </x:c>
      <x:c r="E2270" s="9" t="str">
        <x:v>HU-A-B-TECH-2</x:v>
      </x:c>
      <x:c r="F2270" s="9" t="str">
        <x:v>HU-A-B</x:v>
      </x:c>
      <x:c r="G2270" s="9" t="str">
        <x:v>B1</x:v>
      </x:c>
      <x:c r="H2270" s="9" t="str">
        <x:v>INT</x:v>
      </x:c>
      <x:c r="I2270" s="9" t="str">
        <x:v>PD08</x:v>
      </x:c>
      <x:c r="J2270" s="17" t="str">
        <x:v>Command and intervention log</x:v>
      </x:c>
      <x:c r="K2270" s="17" t="str">
        <x:v>Safety archive</x:v>
      </x:c>
      <x:c r="L2270" s="17" t="str">
        <x:v>COURT-SEALED UNTIL COHORT RELEASE</x:v>
      </x:c>
      <x:c r="M2270" s="9" t="n">
        <x:v>0</x:v>
      </x:c>
      <x:c r="N2270" s="9" t="n">
        <x:v>0</x:v>
      </x:c>
      <x:c r="O2270" s="9" t="n">
        <x:v>0</x:v>
      </x:c>
      <x:c r="P2270" s="9" t="str">
        <x:v>HELD / UNRELEASED</x:v>
      </x:c>
      <x:c r="Q2270" s="9" t="n">
        <x:f>COUNTIFS($A$7:$A$2310,A2270)</x:f>
        <x:v>1</x:v>
      </x:c>
    </x:row>
    <x:row r="2271">
      <x:c r="A2271" s="9" t="str">
        <x:v>PD-AR-HU-A-B-TECH-2-B1-INT-G0-PD09</x:v>
      </x:c>
      <x:c r="B2271" s="9" t="str">
        <x:v>PD-AR-HU-A-B-TECH-2-B1-INT-G0</x:v>
      </x:c>
      <x:c r="C2271" s="9" t="str">
        <x:v>EV-AR-HU-A-B-TECH-2-B1-INT-G0</x:v>
      </x:c>
      <x:c r="D2271" s="9" t="str">
        <x:v>AR-HU-A-B-TECH-2-B1-INT-G0</x:v>
      </x:c>
      <x:c r="E2271" s="9" t="str">
        <x:v>HU-A-B-TECH-2</x:v>
      </x:c>
      <x:c r="F2271" s="9" t="str">
        <x:v>HU-A-B</x:v>
      </x:c>
      <x:c r="G2271" s="9" t="str">
        <x:v>B1</x:v>
      </x:c>
      <x:c r="H2271" s="9" t="str">
        <x:v>INT</x:v>
      </x:c>
      <x:c r="I2271" s="9" t="str">
        <x:v>PD09</x:v>
      </x:c>
      <x:c r="J2271" s="17" t="str">
        <x:v>Receiver denominator and service ledger</x:v>
      </x:c>
      <x:c r="K2271" s="17" t="str">
        <x:v>Receiver archive</x:v>
      </x:c>
      <x:c r="L2271" s="17" t="str">
        <x:v>COURT-SEALED UNTIL COHORT RELEASE</x:v>
      </x:c>
      <x:c r="M2271" s="9" t="n">
        <x:v>0</x:v>
      </x:c>
      <x:c r="N2271" s="9" t="n">
        <x:v>0</x:v>
      </x:c>
      <x:c r="O2271" s="9" t="n">
        <x:v>0</x:v>
      </x:c>
      <x:c r="P2271" s="9" t="str">
        <x:v>HELD / UNRELEASED</x:v>
      </x:c>
      <x:c r="Q2271" s="9" t="n">
        <x:f>COUNTIFS($A$7:$A$2310,A2271)</x:f>
        <x:v>1</x:v>
      </x:c>
    </x:row>
    <x:row r="2272">
      <x:c r="A2272" s="9" t="str">
        <x:v>PD-AR-HU-A-B-TECH-2-B1-INT-G0-PD10</x:v>
      </x:c>
      <x:c r="B2272" s="9" t="str">
        <x:v>PD-AR-HU-A-B-TECH-2-B1-INT-G0</x:v>
      </x:c>
      <x:c r="C2272" s="9" t="str">
        <x:v>EV-AR-HU-A-B-TECH-2-B1-INT-G0</x:v>
      </x:c>
      <x:c r="D2272" s="9" t="str">
        <x:v>AR-HU-A-B-TECH-2-B1-INT-G0</x:v>
      </x:c>
      <x:c r="E2272" s="9" t="str">
        <x:v>HU-A-B-TECH-2</x:v>
      </x:c>
      <x:c r="F2272" s="9" t="str">
        <x:v>HU-A-B</x:v>
      </x:c>
      <x:c r="G2272" s="9" t="str">
        <x:v>B1</x:v>
      </x:c>
      <x:c r="H2272" s="9" t="str">
        <x:v>INT</x:v>
      </x:c>
      <x:c r="I2272" s="9" t="str">
        <x:v>PD10</x:v>
      </x:c>
      <x:c r="J2272" s="17" t="str">
        <x:v>Calibration and uncertainty record</x:v>
      </x:c>
      <x:c r="K2272" s="17" t="str">
        <x:v>Metrology archive</x:v>
      </x:c>
      <x:c r="L2272" s="17" t="str">
        <x:v>COURT-SEALED UNTIL COHORT RELEASE</x:v>
      </x:c>
      <x:c r="M2272" s="9" t="n">
        <x:v>0</x:v>
      </x:c>
      <x:c r="N2272" s="9" t="n">
        <x:v>0</x:v>
      </x:c>
      <x:c r="O2272" s="9" t="n">
        <x:v>0</x:v>
      </x:c>
      <x:c r="P2272" s="9" t="str">
        <x:v>HELD / UNRELEASED</x:v>
      </x:c>
      <x:c r="Q2272" s="9" t="n">
        <x:f>COUNTIFS($A$7:$A$2310,A2272)</x:f>
        <x:v>1</x:v>
      </x:c>
    </x:row>
    <x:row r="2273">
      <x:c r="A2273" s="9" t="str">
        <x:v>PD-AR-HU-A-B-TECH-2-B1-INT-G0-PD11</x:v>
      </x:c>
      <x:c r="B2273" s="9" t="str">
        <x:v>PD-AR-HU-A-B-TECH-2-B1-INT-G0</x:v>
      </x:c>
      <x:c r="C2273" s="9" t="str">
        <x:v>EV-AR-HU-A-B-TECH-2-B1-INT-G0</x:v>
      </x:c>
      <x:c r="D2273" s="9" t="str">
        <x:v>AR-HU-A-B-TECH-2-B1-INT-G0</x:v>
      </x:c>
      <x:c r="E2273" s="9" t="str">
        <x:v>HU-A-B-TECH-2</x:v>
      </x:c>
      <x:c r="F2273" s="9" t="str">
        <x:v>HU-A-B</x:v>
      </x:c>
      <x:c r="G2273" s="9" t="str">
        <x:v>B1</x:v>
      </x:c>
      <x:c r="H2273" s="9" t="str">
        <x:v>INT</x:v>
      </x:c>
      <x:c r="I2273" s="9" t="str">
        <x:v>PD11</x:v>
      </x:c>
      <x:c r="J2273" s="17" t="str">
        <x:v>Invalidity petition and opinion</x:v>
      </x:c>
      <x:c r="K2273" s="17" t="str">
        <x:v>Invalidity court</x:v>
      </x:c>
      <x:c r="L2273" s="17" t="str">
        <x:v>COURT-SEALED UNTIL COHORT RELEASE</x:v>
      </x:c>
      <x:c r="M2273" s="9" t="n">
        <x:v>0</x:v>
      </x:c>
      <x:c r="N2273" s="9" t="n">
        <x:v>0</x:v>
      </x:c>
      <x:c r="O2273" s="9" t="n">
        <x:v>0</x:v>
      </x:c>
      <x:c r="P2273" s="9" t="str">
        <x:v>HELD / UNRELEASED</x:v>
      </x:c>
      <x:c r="Q2273" s="9" t="n">
        <x:f>COUNTIFS($A$7:$A$2310,A2273)</x:f>
        <x:v>1</x:v>
      </x:c>
    </x:row>
    <x:row r="2274">
      <x:c r="A2274" s="9" t="str">
        <x:v>PD-AR-HU-A-B-TECH-2-B1-INT-G0-PD12</x:v>
      </x:c>
      <x:c r="B2274" s="9" t="str">
        <x:v>PD-AR-HU-A-B-TECH-2-B1-INT-G0</x:v>
      </x:c>
      <x:c r="C2274" s="9" t="str">
        <x:v>EV-AR-HU-A-B-TECH-2-B1-INT-G0</x:v>
      </x:c>
      <x:c r="D2274" s="9" t="str">
        <x:v>AR-HU-A-B-TECH-2-B1-INT-G0</x:v>
      </x:c>
      <x:c r="E2274" s="9" t="str">
        <x:v>HU-A-B-TECH-2</x:v>
      </x:c>
      <x:c r="F2274" s="9" t="str">
        <x:v>HU-A-B</x:v>
      </x:c>
      <x:c r="G2274" s="9" t="str">
        <x:v>B1</x:v>
      </x:c>
      <x:c r="H2274" s="9" t="str">
        <x:v>INT</x:v>
      </x:c>
      <x:c r="I2274" s="9" t="str">
        <x:v>PD12</x:v>
      </x:c>
      <x:c r="J2274" s="17" t="str">
        <x:v>Observation acceptance and replay</x:v>
      </x:c>
      <x:c r="K2274" s="17" t="str">
        <x:v>Observation court</x:v>
      </x:c>
      <x:c r="L2274" s="17" t="str">
        <x:v>COURT-SEALED UNTIL COHORT RELEASE</x:v>
      </x:c>
      <x:c r="M2274" s="9" t="n">
        <x:v>0</x:v>
      </x:c>
      <x:c r="N2274" s="9" t="n">
        <x:v>0</x:v>
      </x:c>
      <x:c r="O2274" s="9" t="n">
        <x:v>0</x:v>
      </x:c>
      <x:c r="P2274" s="9" t="str">
        <x:v>HELD / UNRELEASED</x:v>
      </x:c>
      <x:c r="Q2274" s="9" t="n">
        <x:f>COUNTIFS($A$7:$A$2310,A2274)</x:f>
        <x:v>1</x:v>
      </x:c>
    </x:row>
    <x:row r="2275">
      <x:c r="A2275" s="9" t="str">
        <x:v>PD-AR-HU-A-B-TECH-2-B1-INT-G0-PD13</x:v>
      </x:c>
      <x:c r="B2275" s="9" t="str">
        <x:v>PD-AR-HU-A-B-TECH-2-B1-INT-G0</x:v>
      </x:c>
      <x:c r="C2275" s="9" t="str">
        <x:v>EV-AR-HU-A-B-TECH-2-B1-INT-G0</x:v>
      </x:c>
      <x:c r="D2275" s="9" t="str">
        <x:v>AR-HU-A-B-TECH-2-B1-INT-G0</x:v>
      </x:c>
      <x:c r="E2275" s="9" t="str">
        <x:v>HU-A-B-TECH-2</x:v>
      </x:c>
      <x:c r="F2275" s="9" t="str">
        <x:v>HU-A-B</x:v>
      </x:c>
      <x:c r="G2275" s="9" t="str">
        <x:v>B1</x:v>
      </x:c>
      <x:c r="H2275" s="9" t="str">
        <x:v>INT</x:v>
      </x:c>
      <x:c r="I2275" s="9" t="str">
        <x:v>PD13</x:v>
      </x:c>
      <x:c r="J2275" s="17" t="str">
        <x:v>Role judgment</x:v>
      </x:c>
      <x:c r="K2275" s="17" t="str">
        <x:v>Role court</x:v>
      </x:c>
      <x:c r="L2275" s="17" t="str">
        <x:v>COURT-SEALED UNTIL COHORT RELEASE</x:v>
      </x:c>
      <x:c r="M2275" s="9" t="n">
        <x:v>0</x:v>
      </x:c>
      <x:c r="N2275" s="9" t="n">
        <x:v>0</x:v>
      </x:c>
      <x:c r="O2275" s="9" t="n">
        <x:v>0</x:v>
      </x:c>
      <x:c r="P2275" s="9" t="str">
        <x:v>HELD / UNRELEASED</x:v>
      </x:c>
      <x:c r="Q2275" s="9" t="n">
        <x:f>COUNTIFS($A$7:$A$2310,A2275)</x:f>
        <x:v>1</x:v>
      </x:c>
    </x:row>
    <x:row r="2276">
      <x:c r="A2276" s="9" t="str">
        <x:v>PD-AR-HU-A-B-TECH-2-B1-INT-G0-PD14</x:v>
      </x:c>
      <x:c r="B2276" s="9" t="str">
        <x:v>PD-AR-HU-A-B-TECH-2-B1-INT-G0</x:v>
      </x:c>
      <x:c r="C2276" s="9" t="str">
        <x:v>EV-AR-HU-A-B-TECH-2-B1-INT-G0</x:v>
      </x:c>
      <x:c r="D2276" s="9" t="str">
        <x:v>AR-HU-A-B-TECH-2-B1-INT-G0</x:v>
      </x:c>
      <x:c r="E2276" s="9" t="str">
        <x:v>HU-A-B-TECH-2</x:v>
      </x:c>
      <x:c r="F2276" s="9" t="str">
        <x:v>HU-A-B</x:v>
      </x:c>
      <x:c r="G2276" s="9" t="str">
        <x:v>B1</x:v>
      </x:c>
      <x:c r="H2276" s="9" t="str">
        <x:v>INT</x:v>
      </x:c>
      <x:c r="I2276" s="9" t="str">
        <x:v>PD14</x:v>
      </x:c>
      <x:c r="J2276" s="17" t="str">
        <x:v>Break and residual account</x:v>
      </x:c>
      <x:c r="K2276" s="17" t="str">
        <x:v>Residual authority</x:v>
      </x:c>
      <x:c r="L2276" s="17" t="str">
        <x:v>COURT-SEALED UNTIL COHORT RELEASE</x:v>
      </x:c>
      <x:c r="M2276" s="9" t="n">
        <x:v>0</x:v>
      </x:c>
      <x:c r="N2276" s="9" t="n">
        <x:v>0</x:v>
      </x:c>
      <x:c r="O2276" s="9" t="n">
        <x:v>0</x:v>
      </x:c>
      <x:c r="P2276" s="9" t="str">
        <x:v>HELD / UNRELEASED</x:v>
      </x:c>
      <x:c r="Q2276" s="9" t="n">
        <x:f>COUNTIFS($A$7:$A$2310,A2276)</x:f>
        <x:v>1</x:v>
      </x:c>
    </x:row>
    <x:row r="2277">
      <x:c r="A2277" s="9" t="str">
        <x:v>PD-AR-HU-A-B-TECH-2-B1-INT-G0-PD15</x:v>
      </x:c>
      <x:c r="B2277" s="9" t="str">
        <x:v>PD-AR-HU-A-B-TECH-2-B1-INT-G0</x:v>
      </x:c>
      <x:c r="C2277" s="9" t="str">
        <x:v>EV-AR-HU-A-B-TECH-2-B1-INT-G0</x:v>
      </x:c>
      <x:c r="D2277" s="9" t="str">
        <x:v>AR-HU-A-B-TECH-2-B1-INT-G0</x:v>
      </x:c>
      <x:c r="E2277" s="9" t="str">
        <x:v>HU-A-B-TECH-2</x:v>
      </x:c>
      <x:c r="F2277" s="9" t="str">
        <x:v>HU-A-B</x:v>
      </x:c>
      <x:c r="G2277" s="9" t="str">
        <x:v>B1</x:v>
      </x:c>
      <x:c r="H2277" s="9" t="str">
        <x:v>INT</x:v>
      </x:c>
      <x:c r="I2277" s="9" t="str">
        <x:v>PD15</x:v>
      </x:c>
      <x:c r="J2277" s="17" t="str">
        <x:v>Reconstruction ancestry and replay</x:v>
      </x:c>
      <x:c r="K2277" s="17" t="str">
        <x:v>Reconstruction court</x:v>
      </x:c>
      <x:c r="L2277" s="17" t="str">
        <x:v>COURT-SEALED UNTIL COHORT RELEASE</x:v>
      </x:c>
      <x:c r="M2277" s="9" t="n">
        <x:v>0</x:v>
      </x:c>
      <x:c r="N2277" s="9" t="n">
        <x:v>0</x:v>
      </x:c>
      <x:c r="O2277" s="9" t="n">
        <x:v>0</x:v>
      </x:c>
      <x:c r="P2277" s="9" t="str">
        <x:v>HELD / UNRELEASED</x:v>
      </x:c>
      <x:c r="Q2277" s="9" t="n">
        <x:f>COUNTIFS($A$7:$A$2310,A2277)</x:f>
        <x:v>1</x:v>
      </x:c>
    </x:row>
    <x:row r="2278">
      <x:c r="A2278" s="9" t="str">
        <x:v>PD-AR-HU-A-B-TECH-2-B1-INT-G0-PD16</x:v>
      </x:c>
      <x:c r="B2278" s="9" t="str">
        <x:v>PD-AR-HU-A-B-TECH-2-B1-INT-G0</x:v>
      </x:c>
      <x:c r="C2278" s="9" t="str">
        <x:v>EV-AR-HU-A-B-TECH-2-B1-INT-G0</x:v>
      </x:c>
      <x:c r="D2278" s="9" t="str">
        <x:v>AR-HU-A-B-TECH-2-B1-INT-G0</x:v>
      </x:c>
      <x:c r="E2278" s="9" t="str">
        <x:v>HU-A-B-TECH-2</x:v>
      </x:c>
      <x:c r="F2278" s="9" t="str">
        <x:v>HU-A-B</x:v>
      </x:c>
      <x:c r="G2278" s="9" t="str">
        <x:v>B1</x:v>
      </x:c>
      <x:c r="H2278" s="9" t="str">
        <x:v>INT</x:v>
      </x:c>
      <x:c r="I2278" s="9" t="str">
        <x:v>PD16</x:v>
      </x:c>
      <x:c r="J2278" s="17" t="str">
        <x:v>Dissent, amendments and access log</x:v>
      </x:c>
      <x:c r="K2278" s="17" t="str">
        <x:v>Public archive</x:v>
      </x:c>
      <x:c r="L2278" s="17" t="str">
        <x:v>COURT-SEALED UNTIL COHORT RELEASE</x:v>
      </x:c>
      <x:c r="M2278" s="9" t="n">
        <x:v>0</x:v>
      </x:c>
      <x:c r="N2278" s="9" t="n">
        <x:v>0</x:v>
      </x:c>
      <x:c r="O2278" s="9" t="n">
        <x:v>0</x:v>
      </x:c>
      <x:c r="P2278" s="9" t="str">
        <x:v>HELD / UNRELEASED</x:v>
      </x:c>
      <x:c r="Q2278" s="9" t="n">
        <x:f>COUNTIFS($A$7:$A$2310,A2278)</x:f>
        <x:v>1</x:v>
      </x:c>
    </x:row>
    <x:row r="2279">
      <x:c r="A2279" s="9" t="str">
        <x:v>PD-AR-LF-B-A-TECH-1-B1-BRK-G0-PD01</x:v>
      </x:c>
      <x:c r="B2279" s="9" t="str">
        <x:v>PD-AR-LF-B-A-TECH-1-B1-BRK-G0</x:v>
      </x:c>
      <x:c r="C2279" s="9" t="str">
        <x:v>EV-AR-LF-B-A-TECH-1-B1-BRK-G0</x:v>
      </x:c>
      <x:c r="D2279" s="9" t="str">
        <x:v>AR-LF-B-A-TECH-1-B1-BRK-G0</x:v>
      </x:c>
      <x:c r="E2279" s="9" t="str">
        <x:v>LF-B-A-TECH-1</x:v>
      </x:c>
      <x:c r="F2279" s="9" t="str">
        <x:v>LF-B-A</x:v>
      </x:c>
      <x:c r="G2279" s="9" t="str">
        <x:v>B1</x:v>
      </x:c>
      <x:c r="H2279" s="9" t="str">
        <x:v>BRK</x:v>
      </x:c>
      <x:c r="I2279" s="9" t="str">
        <x:v>PD01</x:v>
      </x:c>
      <x:c r="J2279" s="17" t="str">
        <x:v>Experiment kernel</x:v>
      </x:c>
      <x:c r="K2279" s="17" t="str">
        <x:v>Public archive</x:v>
      </x:c>
      <x:c r="L2279" s="17" t="str">
        <x:v>COURT-SEALED UNTIL COHORT RELEASE</x:v>
      </x:c>
      <x:c r="M2279" s="9" t="n">
        <x:v>0</x:v>
      </x:c>
      <x:c r="N2279" s="9" t="n">
        <x:v>0</x:v>
      </x:c>
      <x:c r="O2279" s="9" t="n">
        <x:v>0</x:v>
      </x:c>
      <x:c r="P2279" s="9" t="str">
        <x:v>HELD / UNRELEASED</x:v>
      </x:c>
      <x:c r="Q2279" s="9" t="n">
        <x:f>COUNTIFS($A$7:$A$2310,A2279)</x:f>
        <x:v>1</x:v>
      </x:c>
    </x:row>
    <x:row r="2280">
      <x:c r="A2280" s="9" t="str">
        <x:v>PD-AR-LF-B-A-TECH-1-B1-BRK-G0-PD02</x:v>
      </x:c>
      <x:c r="B2280" s="9" t="str">
        <x:v>PD-AR-LF-B-A-TECH-1-B1-BRK-G0</x:v>
      </x:c>
      <x:c r="C2280" s="9" t="str">
        <x:v>EV-AR-LF-B-A-TECH-1-B1-BRK-G0</x:v>
      </x:c>
      <x:c r="D2280" s="9" t="str">
        <x:v>AR-LF-B-A-TECH-1-B1-BRK-G0</x:v>
      </x:c>
      <x:c r="E2280" s="9" t="str">
        <x:v>LF-B-A-TECH-1</x:v>
      </x:c>
      <x:c r="F2280" s="9" t="str">
        <x:v>LF-B-A</x:v>
      </x:c>
      <x:c r="G2280" s="9" t="str">
        <x:v>B1</x:v>
      </x:c>
      <x:c r="H2280" s="9" t="str">
        <x:v>BRK</x:v>
      </x:c>
      <x:c r="I2280" s="9" t="str">
        <x:v>PD02</x:v>
      </x:c>
      <x:c r="J2280" s="17" t="str">
        <x:v>Serial annex and title chain</x:v>
      </x:c>
      <x:c r="K2280" s="17" t="str">
        <x:v>Public archive</x:v>
      </x:c>
      <x:c r="L2280" s="17" t="str">
        <x:v>COURT-SEALED UNTIL COHORT RELEASE</x:v>
      </x:c>
      <x:c r="M2280" s="9" t="n">
        <x:v>0</x:v>
      </x:c>
      <x:c r="N2280" s="9" t="n">
        <x:v>0</x:v>
      </x:c>
      <x:c r="O2280" s="9" t="n">
        <x:v>0</x:v>
      </x:c>
      <x:c r="P2280" s="9" t="str">
        <x:v>HELD / UNRELEASED</x:v>
      </x:c>
      <x:c r="Q2280" s="9" t="n">
        <x:f>COUNTIFS($A$7:$A$2310,A2280)</x:f>
        <x:v>1</x:v>
      </x:c>
    </x:row>
    <x:row r="2281">
      <x:c r="A2281" s="9" t="str">
        <x:v>PD-AR-LF-B-A-TECH-1-B1-BRK-G0-PD03</x:v>
      </x:c>
      <x:c r="B2281" s="9" t="str">
        <x:v>PD-AR-LF-B-A-TECH-1-B1-BRK-G0</x:v>
      </x:c>
      <x:c r="C2281" s="9" t="str">
        <x:v>EV-AR-LF-B-A-TECH-1-B1-BRK-G0</x:v>
      </x:c>
      <x:c r="D2281" s="9" t="str">
        <x:v>AR-LF-B-A-TECH-1-B1-BRK-G0</x:v>
      </x:c>
      <x:c r="E2281" s="9" t="str">
        <x:v>LF-B-A-TECH-1</x:v>
      </x:c>
      <x:c r="F2281" s="9" t="str">
        <x:v>LF-B-A</x:v>
      </x:c>
      <x:c r="G2281" s="9" t="str">
        <x:v>B1</x:v>
      </x:c>
      <x:c r="H2281" s="9" t="str">
        <x:v>BRK</x:v>
      </x:c>
      <x:c r="I2281" s="9" t="str">
        <x:v>PD03</x:v>
      </x:c>
      <x:c r="J2281" s="17" t="str">
        <x:v>Configuration and as-built manifest</x:v>
      </x:c>
      <x:c r="K2281" s="17" t="str">
        <x:v>Artifact exchange</x:v>
      </x:c>
      <x:c r="L2281" s="17" t="str">
        <x:v>COURT-SEALED UNTIL COHORT RELEASE</x:v>
      </x:c>
      <x:c r="M2281" s="9" t="n">
        <x:v>0</x:v>
      </x:c>
      <x:c r="N2281" s="9" t="n">
        <x:v>0</x:v>
      </x:c>
      <x:c r="O2281" s="9" t="n">
        <x:v>0</x:v>
      </x:c>
      <x:c r="P2281" s="9" t="str">
        <x:v>HELD / UNRELEASED</x:v>
      </x:c>
      <x:c r="Q2281" s="9" t="n">
        <x:f>COUNTIFS($A$7:$A$2310,A2281)</x:f>
        <x:v>1</x:v>
      </x:c>
    </x:row>
    <x:row r="2282">
      <x:c r="A2282" s="9" t="str">
        <x:v>PD-AR-LF-B-A-TECH-1-B1-BRK-G0-PD04</x:v>
      </x:c>
      <x:c r="B2282" s="9" t="str">
        <x:v>PD-AR-LF-B-A-TECH-1-B1-BRK-G0</x:v>
      </x:c>
      <x:c r="C2282" s="9" t="str">
        <x:v>EV-AR-LF-B-A-TECH-1-B1-BRK-G0</x:v>
      </x:c>
      <x:c r="D2282" s="9" t="str">
        <x:v>AR-LF-B-A-TECH-1-B1-BRK-G0</x:v>
      </x:c>
      <x:c r="E2282" s="9" t="str">
        <x:v>LF-B-A-TECH-1</x:v>
      </x:c>
      <x:c r="F2282" s="9" t="str">
        <x:v>LF-B-A</x:v>
      </x:c>
      <x:c r="G2282" s="9" t="str">
        <x:v>B1</x:v>
      </x:c>
      <x:c r="H2282" s="9" t="str">
        <x:v>BRK</x:v>
      </x:c>
      <x:c r="I2282" s="9" t="str">
        <x:v>PD04</x:v>
      </x:c>
      <x:c r="J2282" s="17" t="str">
        <x:v>EOW and start certificate</x:v>
      </x:c>
      <x:c r="K2282" s="17" t="str">
        <x:v>Start registrar</x:v>
      </x:c>
      <x:c r="L2282" s="17" t="str">
        <x:v>COURT-SEALED UNTIL COHORT RELEASE</x:v>
      </x:c>
      <x:c r="M2282" s="9" t="n">
        <x:v>0</x:v>
      </x:c>
      <x:c r="N2282" s="9" t="n">
        <x:v>0</x:v>
      </x:c>
      <x:c r="O2282" s="9" t="n">
        <x:v>0</x:v>
      </x:c>
      <x:c r="P2282" s="9" t="str">
        <x:v>HELD / UNRELEASED</x:v>
      </x:c>
      <x:c r="Q2282" s="9" t="n">
        <x:f>COUNTIFS($A$7:$A$2310,A2282)</x:f>
        <x:v>1</x:v>
      </x:c>
    </x:row>
    <x:row r="2283">
      <x:c r="A2283" s="9" t="str">
        <x:v>PD-AR-LF-B-A-TECH-1-B1-BRK-G0-PD05</x:v>
      </x:c>
      <x:c r="B2283" s="9" t="str">
        <x:v>PD-AR-LF-B-A-TECH-1-B1-BRK-G0</x:v>
      </x:c>
      <x:c r="C2283" s="9" t="str">
        <x:v>EV-AR-LF-B-A-TECH-1-B1-BRK-G0</x:v>
      </x:c>
      <x:c r="D2283" s="9" t="str">
        <x:v>AR-LF-B-A-TECH-1-B1-BRK-G0</x:v>
      </x:c>
      <x:c r="E2283" s="9" t="str">
        <x:v>LF-B-A-TECH-1</x:v>
      </x:c>
      <x:c r="F2283" s="9" t="str">
        <x:v>LF-B-A</x:v>
      </x:c>
      <x:c r="G2283" s="9" t="str">
        <x:v>B1</x:v>
      </x:c>
      <x:c r="H2283" s="9" t="str">
        <x:v>BRK</x:v>
      </x:c>
      <x:c r="I2283" s="9" t="str">
        <x:v>PD05</x:v>
      </x:c>
      <x:c r="J2283" s="17" t="str">
        <x:v>Primary raw originals</x:v>
      </x:c>
      <x:c r="K2283" s="17" t="str">
        <x:v>Primary custody</x:v>
      </x:c>
      <x:c r="L2283" s="17" t="str">
        <x:v>COURT-SEALED UNTIL COHORT RELEASE</x:v>
      </x:c>
      <x:c r="M2283" s="9" t="n">
        <x:v>0</x:v>
      </x:c>
      <x:c r="N2283" s="9" t="n">
        <x:v>0</x:v>
      </x:c>
      <x:c r="O2283" s="9" t="n">
        <x:v>0</x:v>
      </x:c>
      <x:c r="P2283" s="9" t="str">
        <x:v>HELD / UNRELEASED</x:v>
      </x:c>
      <x:c r="Q2283" s="9" t="n">
        <x:f>COUNTIFS($A$7:$A$2310,A2283)</x:f>
        <x:v>1</x:v>
      </x:c>
    </x:row>
    <x:row r="2284">
      <x:c r="A2284" s="9" t="str">
        <x:v>PD-AR-LF-B-A-TECH-1-B1-BRK-G0-PD06</x:v>
      </x:c>
      <x:c r="B2284" s="9" t="str">
        <x:v>PD-AR-LF-B-A-TECH-1-B1-BRK-G0</x:v>
      </x:c>
      <x:c r="C2284" s="9" t="str">
        <x:v>EV-AR-LF-B-A-TECH-1-B1-BRK-G0</x:v>
      </x:c>
      <x:c r="D2284" s="9" t="str">
        <x:v>AR-LF-B-A-TECH-1-B1-BRK-G0</x:v>
      </x:c>
      <x:c r="E2284" s="9" t="str">
        <x:v>LF-B-A-TECH-1</x:v>
      </x:c>
      <x:c r="F2284" s="9" t="str">
        <x:v>LF-B-A</x:v>
      </x:c>
      <x:c r="G2284" s="9" t="str">
        <x:v>B1</x:v>
      </x:c>
      <x:c r="H2284" s="9" t="str">
        <x:v>BRK</x:v>
      </x:c>
      <x:c r="I2284" s="9" t="str">
        <x:v>PD06</x:v>
      </x:c>
      <x:c r="J2284" s="17" t="str">
        <x:v>Witness raw originals</x:v>
      </x:c>
      <x:c r="K2284" s="17" t="str">
        <x:v>Witness custody</x:v>
      </x:c>
      <x:c r="L2284" s="17" t="str">
        <x:v>COURT-SEALED UNTIL COHORT RELEASE</x:v>
      </x:c>
      <x:c r="M2284" s="9" t="n">
        <x:v>0</x:v>
      </x:c>
      <x:c r="N2284" s="9" t="n">
        <x:v>0</x:v>
      </x:c>
      <x:c r="O2284" s="9" t="n">
        <x:v>0</x:v>
      </x:c>
      <x:c r="P2284" s="9" t="str">
        <x:v>HELD / UNRELEASED</x:v>
      </x:c>
      <x:c r="Q2284" s="9" t="n">
        <x:f>COUNTIFS($A$7:$A$2310,A2284)</x:f>
        <x:v>1</x:v>
      </x:c>
    </x:row>
    <x:row r="2285">
      <x:c r="A2285" s="9" t="str">
        <x:v>PD-AR-LF-B-A-TECH-1-B1-BRK-G0-PD07</x:v>
      </x:c>
      <x:c r="B2285" s="9" t="str">
        <x:v>PD-AR-LF-B-A-TECH-1-B1-BRK-G0</x:v>
      </x:c>
      <x:c r="C2285" s="9" t="str">
        <x:v>EV-AR-LF-B-A-TECH-1-B1-BRK-G0</x:v>
      </x:c>
      <x:c r="D2285" s="9" t="str">
        <x:v>AR-LF-B-A-TECH-1-B1-BRK-G0</x:v>
      </x:c>
      <x:c r="E2285" s="9" t="str">
        <x:v>LF-B-A-TECH-1</x:v>
      </x:c>
      <x:c r="F2285" s="9" t="str">
        <x:v>LF-B-A</x:v>
      </x:c>
      <x:c r="G2285" s="9" t="str">
        <x:v>B1</x:v>
      </x:c>
      <x:c r="H2285" s="9" t="str">
        <x:v>BRK</x:v>
      </x:c>
      <x:c r="I2285" s="9" t="str">
        <x:v>PD07</x:v>
      </x:c>
      <x:c r="J2285" s="17" t="str">
        <x:v>Clock and environmental records</x:v>
      </x:c>
      <x:c r="K2285" s="17" t="str">
        <x:v>Boundary archive</x:v>
      </x:c>
      <x:c r="L2285" s="17" t="str">
        <x:v>COURT-SEALED UNTIL COHORT RELEASE</x:v>
      </x:c>
      <x:c r="M2285" s="9" t="n">
        <x:v>0</x:v>
      </x:c>
      <x:c r="N2285" s="9" t="n">
        <x:v>0</x:v>
      </x:c>
      <x:c r="O2285" s="9" t="n">
        <x:v>0</x:v>
      </x:c>
      <x:c r="P2285" s="9" t="str">
        <x:v>HELD / UNRELEASED</x:v>
      </x:c>
      <x:c r="Q2285" s="9" t="n">
        <x:f>COUNTIFS($A$7:$A$2310,A2285)</x:f>
        <x:v>1</x:v>
      </x:c>
    </x:row>
    <x:row r="2286">
      <x:c r="A2286" s="9" t="str">
        <x:v>PD-AR-LF-B-A-TECH-1-B1-BRK-G0-PD08</x:v>
      </x:c>
      <x:c r="B2286" s="9" t="str">
        <x:v>PD-AR-LF-B-A-TECH-1-B1-BRK-G0</x:v>
      </x:c>
      <x:c r="C2286" s="9" t="str">
        <x:v>EV-AR-LF-B-A-TECH-1-B1-BRK-G0</x:v>
      </x:c>
      <x:c r="D2286" s="9" t="str">
        <x:v>AR-LF-B-A-TECH-1-B1-BRK-G0</x:v>
      </x:c>
      <x:c r="E2286" s="9" t="str">
        <x:v>LF-B-A-TECH-1</x:v>
      </x:c>
      <x:c r="F2286" s="9" t="str">
        <x:v>LF-B-A</x:v>
      </x:c>
      <x:c r="G2286" s="9" t="str">
        <x:v>B1</x:v>
      </x:c>
      <x:c r="H2286" s="9" t="str">
        <x:v>BRK</x:v>
      </x:c>
      <x:c r="I2286" s="9" t="str">
        <x:v>PD08</x:v>
      </x:c>
      <x:c r="J2286" s="17" t="str">
        <x:v>Command and intervention log</x:v>
      </x:c>
      <x:c r="K2286" s="17" t="str">
        <x:v>Safety archive</x:v>
      </x:c>
      <x:c r="L2286" s="17" t="str">
        <x:v>COURT-SEALED UNTIL COHORT RELEASE</x:v>
      </x:c>
      <x:c r="M2286" s="9" t="n">
        <x:v>0</x:v>
      </x:c>
      <x:c r="N2286" s="9" t="n">
        <x:v>0</x:v>
      </x:c>
      <x:c r="O2286" s="9" t="n">
        <x:v>0</x:v>
      </x:c>
      <x:c r="P2286" s="9" t="str">
        <x:v>HELD / UNRELEASED</x:v>
      </x:c>
      <x:c r="Q2286" s="9" t="n">
        <x:f>COUNTIFS($A$7:$A$2310,A2286)</x:f>
        <x:v>1</x:v>
      </x:c>
    </x:row>
    <x:row r="2287">
      <x:c r="A2287" s="9" t="str">
        <x:v>PD-AR-LF-B-A-TECH-1-B1-BRK-G0-PD09</x:v>
      </x:c>
      <x:c r="B2287" s="9" t="str">
        <x:v>PD-AR-LF-B-A-TECH-1-B1-BRK-G0</x:v>
      </x:c>
      <x:c r="C2287" s="9" t="str">
        <x:v>EV-AR-LF-B-A-TECH-1-B1-BRK-G0</x:v>
      </x:c>
      <x:c r="D2287" s="9" t="str">
        <x:v>AR-LF-B-A-TECH-1-B1-BRK-G0</x:v>
      </x:c>
      <x:c r="E2287" s="9" t="str">
        <x:v>LF-B-A-TECH-1</x:v>
      </x:c>
      <x:c r="F2287" s="9" t="str">
        <x:v>LF-B-A</x:v>
      </x:c>
      <x:c r="G2287" s="9" t="str">
        <x:v>B1</x:v>
      </x:c>
      <x:c r="H2287" s="9" t="str">
        <x:v>BRK</x:v>
      </x:c>
      <x:c r="I2287" s="9" t="str">
        <x:v>PD09</x:v>
      </x:c>
      <x:c r="J2287" s="17" t="str">
        <x:v>Receiver denominator and service ledger</x:v>
      </x:c>
      <x:c r="K2287" s="17" t="str">
        <x:v>Receiver archive</x:v>
      </x:c>
      <x:c r="L2287" s="17" t="str">
        <x:v>COURT-SEALED UNTIL COHORT RELEASE</x:v>
      </x:c>
      <x:c r="M2287" s="9" t="n">
        <x:v>0</x:v>
      </x:c>
      <x:c r="N2287" s="9" t="n">
        <x:v>0</x:v>
      </x:c>
      <x:c r="O2287" s="9" t="n">
        <x:v>0</x:v>
      </x:c>
      <x:c r="P2287" s="9" t="str">
        <x:v>HELD / UNRELEASED</x:v>
      </x:c>
      <x:c r="Q2287" s="9" t="n">
        <x:f>COUNTIFS($A$7:$A$2310,A2287)</x:f>
        <x:v>1</x:v>
      </x:c>
    </x:row>
    <x:row r="2288">
      <x:c r="A2288" s="9" t="str">
        <x:v>PD-AR-LF-B-A-TECH-1-B1-BRK-G0-PD10</x:v>
      </x:c>
      <x:c r="B2288" s="9" t="str">
        <x:v>PD-AR-LF-B-A-TECH-1-B1-BRK-G0</x:v>
      </x:c>
      <x:c r="C2288" s="9" t="str">
        <x:v>EV-AR-LF-B-A-TECH-1-B1-BRK-G0</x:v>
      </x:c>
      <x:c r="D2288" s="9" t="str">
        <x:v>AR-LF-B-A-TECH-1-B1-BRK-G0</x:v>
      </x:c>
      <x:c r="E2288" s="9" t="str">
        <x:v>LF-B-A-TECH-1</x:v>
      </x:c>
      <x:c r="F2288" s="9" t="str">
        <x:v>LF-B-A</x:v>
      </x:c>
      <x:c r="G2288" s="9" t="str">
        <x:v>B1</x:v>
      </x:c>
      <x:c r="H2288" s="9" t="str">
        <x:v>BRK</x:v>
      </x:c>
      <x:c r="I2288" s="9" t="str">
        <x:v>PD10</x:v>
      </x:c>
      <x:c r="J2288" s="17" t="str">
        <x:v>Calibration and uncertainty record</x:v>
      </x:c>
      <x:c r="K2288" s="17" t="str">
        <x:v>Metrology archive</x:v>
      </x:c>
      <x:c r="L2288" s="17" t="str">
        <x:v>COURT-SEALED UNTIL COHORT RELEASE</x:v>
      </x:c>
      <x:c r="M2288" s="9" t="n">
        <x:v>0</x:v>
      </x:c>
      <x:c r="N2288" s="9" t="n">
        <x:v>0</x:v>
      </x:c>
      <x:c r="O2288" s="9" t="n">
        <x:v>0</x:v>
      </x:c>
      <x:c r="P2288" s="9" t="str">
        <x:v>HELD / UNRELEASED</x:v>
      </x:c>
      <x:c r="Q2288" s="9" t="n">
        <x:f>COUNTIFS($A$7:$A$2310,A2288)</x:f>
        <x:v>1</x:v>
      </x:c>
    </x:row>
    <x:row r="2289">
      <x:c r="A2289" s="9" t="str">
        <x:v>PD-AR-LF-B-A-TECH-1-B1-BRK-G0-PD11</x:v>
      </x:c>
      <x:c r="B2289" s="9" t="str">
        <x:v>PD-AR-LF-B-A-TECH-1-B1-BRK-G0</x:v>
      </x:c>
      <x:c r="C2289" s="9" t="str">
        <x:v>EV-AR-LF-B-A-TECH-1-B1-BRK-G0</x:v>
      </x:c>
      <x:c r="D2289" s="9" t="str">
        <x:v>AR-LF-B-A-TECH-1-B1-BRK-G0</x:v>
      </x:c>
      <x:c r="E2289" s="9" t="str">
        <x:v>LF-B-A-TECH-1</x:v>
      </x:c>
      <x:c r="F2289" s="9" t="str">
        <x:v>LF-B-A</x:v>
      </x:c>
      <x:c r="G2289" s="9" t="str">
        <x:v>B1</x:v>
      </x:c>
      <x:c r="H2289" s="9" t="str">
        <x:v>BRK</x:v>
      </x:c>
      <x:c r="I2289" s="9" t="str">
        <x:v>PD11</x:v>
      </x:c>
      <x:c r="J2289" s="17" t="str">
        <x:v>Invalidity petition and opinion</x:v>
      </x:c>
      <x:c r="K2289" s="17" t="str">
        <x:v>Invalidity court</x:v>
      </x:c>
      <x:c r="L2289" s="17" t="str">
        <x:v>COURT-SEALED UNTIL COHORT RELEASE</x:v>
      </x:c>
      <x:c r="M2289" s="9" t="n">
        <x:v>0</x:v>
      </x:c>
      <x:c r="N2289" s="9" t="n">
        <x:v>0</x:v>
      </x:c>
      <x:c r="O2289" s="9" t="n">
        <x:v>0</x:v>
      </x:c>
      <x:c r="P2289" s="9" t="str">
        <x:v>HELD / UNRELEASED</x:v>
      </x:c>
      <x:c r="Q2289" s="9" t="n">
        <x:f>COUNTIFS($A$7:$A$2310,A2289)</x:f>
        <x:v>1</x:v>
      </x:c>
    </x:row>
    <x:row r="2290">
      <x:c r="A2290" s="9" t="str">
        <x:v>PD-AR-LF-B-A-TECH-1-B1-BRK-G0-PD12</x:v>
      </x:c>
      <x:c r="B2290" s="9" t="str">
        <x:v>PD-AR-LF-B-A-TECH-1-B1-BRK-G0</x:v>
      </x:c>
      <x:c r="C2290" s="9" t="str">
        <x:v>EV-AR-LF-B-A-TECH-1-B1-BRK-G0</x:v>
      </x:c>
      <x:c r="D2290" s="9" t="str">
        <x:v>AR-LF-B-A-TECH-1-B1-BRK-G0</x:v>
      </x:c>
      <x:c r="E2290" s="9" t="str">
        <x:v>LF-B-A-TECH-1</x:v>
      </x:c>
      <x:c r="F2290" s="9" t="str">
        <x:v>LF-B-A</x:v>
      </x:c>
      <x:c r="G2290" s="9" t="str">
        <x:v>B1</x:v>
      </x:c>
      <x:c r="H2290" s="9" t="str">
        <x:v>BRK</x:v>
      </x:c>
      <x:c r="I2290" s="9" t="str">
        <x:v>PD12</x:v>
      </x:c>
      <x:c r="J2290" s="17" t="str">
        <x:v>Observation acceptance and replay</x:v>
      </x:c>
      <x:c r="K2290" s="17" t="str">
        <x:v>Observation court</x:v>
      </x:c>
      <x:c r="L2290" s="17" t="str">
        <x:v>COURT-SEALED UNTIL COHORT RELEASE</x:v>
      </x:c>
      <x:c r="M2290" s="9" t="n">
        <x:v>0</x:v>
      </x:c>
      <x:c r="N2290" s="9" t="n">
        <x:v>0</x:v>
      </x:c>
      <x:c r="O2290" s="9" t="n">
        <x:v>0</x:v>
      </x:c>
      <x:c r="P2290" s="9" t="str">
        <x:v>HELD / UNRELEASED</x:v>
      </x:c>
      <x:c r="Q2290" s="9" t="n">
        <x:f>COUNTIFS($A$7:$A$2310,A2290)</x:f>
        <x:v>1</x:v>
      </x:c>
    </x:row>
    <x:row r="2291">
      <x:c r="A2291" s="9" t="str">
        <x:v>PD-AR-LF-B-A-TECH-1-B1-BRK-G0-PD13</x:v>
      </x:c>
      <x:c r="B2291" s="9" t="str">
        <x:v>PD-AR-LF-B-A-TECH-1-B1-BRK-G0</x:v>
      </x:c>
      <x:c r="C2291" s="9" t="str">
        <x:v>EV-AR-LF-B-A-TECH-1-B1-BRK-G0</x:v>
      </x:c>
      <x:c r="D2291" s="9" t="str">
        <x:v>AR-LF-B-A-TECH-1-B1-BRK-G0</x:v>
      </x:c>
      <x:c r="E2291" s="9" t="str">
        <x:v>LF-B-A-TECH-1</x:v>
      </x:c>
      <x:c r="F2291" s="9" t="str">
        <x:v>LF-B-A</x:v>
      </x:c>
      <x:c r="G2291" s="9" t="str">
        <x:v>B1</x:v>
      </x:c>
      <x:c r="H2291" s="9" t="str">
        <x:v>BRK</x:v>
      </x:c>
      <x:c r="I2291" s="9" t="str">
        <x:v>PD13</x:v>
      </x:c>
      <x:c r="J2291" s="17" t="str">
        <x:v>Role judgment</x:v>
      </x:c>
      <x:c r="K2291" s="17" t="str">
        <x:v>Role court</x:v>
      </x:c>
      <x:c r="L2291" s="17" t="str">
        <x:v>COURT-SEALED UNTIL COHORT RELEASE</x:v>
      </x:c>
      <x:c r="M2291" s="9" t="n">
        <x:v>0</x:v>
      </x:c>
      <x:c r="N2291" s="9" t="n">
        <x:v>0</x:v>
      </x:c>
      <x:c r="O2291" s="9" t="n">
        <x:v>0</x:v>
      </x:c>
      <x:c r="P2291" s="9" t="str">
        <x:v>HELD / UNRELEASED</x:v>
      </x:c>
      <x:c r="Q2291" s="9" t="n">
        <x:f>COUNTIFS($A$7:$A$2310,A2291)</x:f>
        <x:v>1</x:v>
      </x:c>
    </x:row>
    <x:row r="2292">
      <x:c r="A2292" s="9" t="str">
        <x:v>PD-AR-LF-B-A-TECH-1-B1-BRK-G0-PD14</x:v>
      </x:c>
      <x:c r="B2292" s="9" t="str">
        <x:v>PD-AR-LF-B-A-TECH-1-B1-BRK-G0</x:v>
      </x:c>
      <x:c r="C2292" s="9" t="str">
        <x:v>EV-AR-LF-B-A-TECH-1-B1-BRK-G0</x:v>
      </x:c>
      <x:c r="D2292" s="9" t="str">
        <x:v>AR-LF-B-A-TECH-1-B1-BRK-G0</x:v>
      </x:c>
      <x:c r="E2292" s="9" t="str">
        <x:v>LF-B-A-TECH-1</x:v>
      </x:c>
      <x:c r="F2292" s="9" t="str">
        <x:v>LF-B-A</x:v>
      </x:c>
      <x:c r="G2292" s="9" t="str">
        <x:v>B1</x:v>
      </x:c>
      <x:c r="H2292" s="9" t="str">
        <x:v>BRK</x:v>
      </x:c>
      <x:c r="I2292" s="9" t="str">
        <x:v>PD14</x:v>
      </x:c>
      <x:c r="J2292" s="17" t="str">
        <x:v>Break and residual account</x:v>
      </x:c>
      <x:c r="K2292" s="17" t="str">
        <x:v>Residual authority</x:v>
      </x:c>
      <x:c r="L2292" s="17" t="str">
        <x:v>COURT-SEALED UNTIL COHORT RELEASE</x:v>
      </x:c>
      <x:c r="M2292" s="9" t="n">
        <x:v>0</x:v>
      </x:c>
      <x:c r="N2292" s="9" t="n">
        <x:v>0</x:v>
      </x:c>
      <x:c r="O2292" s="9" t="n">
        <x:v>0</x:v>
      </x:c>
      <x:c r="P2292" s="9" t="str">
        <x:v>HELD / UNRELEASED</x:v>
      </x:c>
      <x:c r="Q2292" s="9" t="n">
        <x:f>COUNTIFS($A$7:$A$2310,A2292)</x:f>
        <x:v>1</x:v>
      </x:c>
    </x:row>
    <x:row r="2293">
      <x:c r="A2293" s="9" t="str">
        <x:v>PD-AR-LF-B-A-TECH-1-B1-BRK-G0-PD15</x:v>
      </x:c>
      <x:c r="B2293" s="9" t="str">
        <x:v>PD-AR-LF-B-A-TECH-1-B1-BRK-G0</x:v>
      </x:c>
      <x:c r="C2293" s="9" t="str">
        <x:v>EV-AR-LF-B-A-TECH-1-B1-BRK-G0</x:v>
      </x:c>
      <x:c r="D2293" s="9" t="str">
        <x:v>AR-LF-B-A-TECH-1-B1-BRK-G0</x:v>
      </x:c>
      <x:c r="E2293" s="9" t="str">
        <x:v>LF-B-A-TECH-1</x:v>
      </x:c>
      <x:c r="F2293" s="9" t="str">
        <x:v>LF-B-A</x:v>
      </x:c>
      <x:c r="G2293" s="9" t="str">
        <x:v>B1</x:v>
      </x:c>
      <x:c r="H2293" s="9" t="str">
        <x:v>BRK</x:v>
      </x:c>
      <x:c r="I2293" s="9" t="str">
        <x:v>PD15</x:v>
      </x:c>
      <x:c r="J2293" s="17" t="str">
        <x:v>Reconstruction ancestry and replay</x:v>
      </x:c>
      <x:c r="K2293" s="17" t="str">
        <x:v>Reconstruction court</x:v>
      </x:c>
      <x:c r="L2293" s="17" t="str">
        <x:v>COURT-SEALED UNTIL COHORT RELEASE</x:v>
      </x:c>
      <x:c r="M2293" s="9" t="n">
        <x:v>0</x:v>
      </x:c>
      <x:c r="N2293" s="9" t="n">
        <x:v>0</x:v>
      </x:c>
      <x:c r="O2293" s="9" t="n">
        <x:v>0</x:v>
      </x:c>
      <x:c r="P2293" s="9" t="str">
        <x:v>HELD / UNRELEASED</x:v>
      </x:c>
      <x:c r="Q2293" s="9" t="n">
        <x:f>COUNTIFS($A$7:$A$2310,A2293)</x:f>
        <x:v>1</x:v>
      </x:c>
    </x:row>
    <x:row r="2294">
      <x:c r="A2294" s="9" t="str">
        <x:v>PD-AR-LF-B-A-TECH-1-B1-BRK-G0-PD16</x:v>
      </x:c>
      <x:c r="B2294" s="9" t="str">
        <x:v>PD-AR-LF-B-A-TECH-1-B1-BRK-G0</x:v>
      </x:c>
      <x:c r="C2294" s="9" t="str">
        <x:v>EV-AR-LF-B-A-TECH-1-B1-BRK-G0</x:v>
      </x:c>
      <x:c r="D2294" s="9" t="str">
        <x:v>AR-LF-B-A-TECH-1-B1-BRK-G0</x:v>
      </x:c>
      <x:c r="E2294" s="9" t="str">
        <x:v>LF-B-A-TECH-1</x:v>
      </x:c>
      <x:c r="F2294" s="9" t="str">
        <x:v>LF-B-A</x:v>
      </x:c>
      <x:c r="G2294" s="9" t="str">
        <x:v>B1</x:v>
      </x:c>
      <x:c r="H2294" s="9" t="str">
        <x:v>BRK</x:v>
      </x:c>
      <x:c r="I2294" s="9" t="str">
        <x:v>PD16</x:v>
      </x:c>
      <x:c r="J2294" s="17" t="str">
        <x:v>Dissent, amendments and access log</x:v>
      </x:c>
      <x:c r="K2294" s="17" t="str">
        <x:v>Public archive</x:v>
      </x:c>
      <x:c r="L2294" s="17" t="str">
        <x:v>COURT-SEALED UNTIL COHORT RELEASE</x:v>
      </x:c>
      <x:c r="M2294" s="9" t="n">
        <x:v>0</x:v>
      </x:c>
      <x:c r="N2294" s="9" t="n">
        <x:v>0</x:v>
      </x:c>
      <x:c r="O2294" s="9" t="n">
        <x:v>0</x:v>
      </x:c>
      <x:c r="P2294" s="9" t="str">
        <x:v>HELD / UNRELEASED</x:v>
      </x:c>
      <x:c r="Q2294" s="9" t="n">
        <x:f>COUNTIFS($A$7:$A$2310,A2294)</x:f>
        <x:v>1</x:v>
      </x:c>
    </x:row>
    <x:row r="2295">
      <x:c r="A2295" s="9" t="str">
        <x:v>PD-AR-RT-B-C-TECH-3-B1-RCN-G0-PD01</x:v>
      </x:c>
      <x:c r="B2295" s="9" t="str">
        <x:v>PD-AR-RT-B-C-TECH-3-B1-RCN-G0</x:v>
      </x:c>
      <x:c r="C2295" s="9" t="str">
        <x:v>EV-AR-RT-B-C-TECH-3-B1-RCN-G0</x:v>
      </x:c>
      <x:c r="D2295" s="9" t="str">
        <x:v>AR-RT-B-C-TECH-3-B1-RCN-G0</x:v>
      </x:c>
      <x:c r="E2295" s="9" t="str">
        <x:v>RT-B-C-TECH-3</x:v>
      </x:c>
      <x:c r="F2295" s="9" t="str">
        <x:v>RT-B-C</x:v>
      </x:c>
      <x:c r="G2295" s="9" t="str">
        <x:v>B1</x:v>
      </x:c>
      <x:c r="H2295" s="9" t="str">
        <x:v>RCN</x:v>
      </x:c>
      <x:c r="I2295" s="9" t="str">
        <x:v>PD01</x:v>
      </x:c>
      <x:c r="J2295" s="17" t="str">
        <x:v>Experiment kernel</x:v>
      </x:c>
      <x:c r="K2295" s="17" t="str">
        <x:v>Public archive</x:v>
      </x:c>
      <x:c r="L2295" s="17" t="str">
        <x:v>COURT-SEALED UNTIL COHORT RELEASE</x:v>
      </x:c>
      <x:c r="M2295" s="9" t="n">
        <x:v>0</x:v>
      </x:c>
      <x:c r="N2295" s="9" t="n">
        <x:v>0</x:v>
      </x:c>
      <x:c r="O2295" s="9" t="n">
        <x:v>0</x:v>
      </x:c>
      <x:c r="P2295" s="9" t="str">
        <x:v>HELD / UNRELEASED</x:v>
      </x:c>
      <x:c r="Q2295" s="9" t="n">
        <x:f>COUNTIFS($A$7:$A$2310,A2295)</x:f>
        <x:v>1</x:v>
      </x:c>
    </x:row>
    <x:row r="2296">
      <x:c r="A2296" s="9" t="str">
        <x:v>PD-AR-RT-B-C-TECH-3-B1-RCN-G0-PD02</x:v>
      </x:c>
      <x:c r="B2296" s="9" t="str">
        <x:v>PD-AR-RT-B-C-TECH-3-B1-RCN-G0</x:v>
      </x:c>
      <x:c r="C2296" s="9" t="str">
        <x:v>EV-AR-RT-B-C-TECH-3-B1-RCN-G0</x:v>
      </x:c>
      <x:c r="D2296" s="9" t="str">
        <x:v>AR-RT-B-C-TECH-3-B1-RCN-G0</x:v>
      </x:c>
      <x:c r="E2296" s="9" t="str">
        <x:v>RT-B-C-TECH-3</x:v>
      </x:c>
      <x:c r="F2296" s="9" t="str">
        <x:v>RT-B-C</x:v>
      </x:c>
      <x:c r="G2296" s="9" t="str">
        <x:v>B1</x:v>
      </x:c>
      <x:c r="H2296" s="9" t="str">
        <x:v>RCN</x:v>
      </x:c>
      <x:c r="I2296" s="9" t="str">
        <x:v>PD02</x:v>
      </x:c>
      <x:c r="J2296" s="17" t="str">
        <x:v>Serial annex and title chain</x:v>
      </x:c>
      <x:c r="K2296" s="17" t="str">
        <x:v>Public archive</x:v>
      </x:c>
      <x:c r="L2296" s="17" t="str">
        <x:v>COURT-SEALED UNTIL COHORT RELEASE</x:v>
      </x:c>
      <x:c r="M2296" s="9" t="n">
        <x:v>0</x:v>
      </x:c>
      <x:c r="N2296" s="9" t="n">
        <x:v>0</x:v>
      </x:c>
      <x:c r="O2296" s="9" t="n">
        <x:v>0</x:v>
      </x:c>
      <x:c r="P2296" s="9" t="str">
        <x:v>HELD / UNRELEASED</x:v>
      </x:c>
      <x:c r="Q2296" s="9" t="n">
        <x:f>COUNTIFS($A$7:$A$2310,A2296)</x:f>
        <x:v>1</x:v>
      </x:c>
    </x:row>
    <x:row r="2297">
      <x:c r="A2297" s="9" t="str">
        <x:v>PD-AR-RT-B-C-TECH-3-B1-RCN-G0-PD03</x:v>
      </x:c>
      <x:c r="B2297" s="9" t="str">
        <x:v>PD-AR-RT-B-C-TECH-3-B1-RCN-G0</x:v>
      </x:c>
      <x:c r="C2297" s="9" t="str">
        <x:v>EV-AR-RT-B-C-TECH-3-B1-RCN-G0</x:v>
      </x:c>
      <x:c r="D2297" s="9" t="str">
        <x:v>AR-RT-B-C-TECH-3-B1-RCN-G0</x:v>
      </x:c>
      <x:c r="E2297" s="9" t="str">
        <x:v>RT-B-C-TECH-3</x:v>
      </x:c>
      <x:c r="F2297" s="9" t="str">
        <x:v>RT-B-C</x:v>
      </x:c>
      <x:c r="G2297" s="9" t="str">
        <x:v>B1</x:v>
      </x:c>
      <x:c r="H2297" s="9" t="str">
        <x:v>RCN</x:v>
      </x:c>
      <x:c r="I2297" s="9" t="str">
        <x:v>PD03</x:v>
      </x:c>
      <x:c r="J2297" s="17" t="str">
        <x:v>Configuration and as-built manifest</x:v>
      </x:c>
      <x:c r="K2297" s="17" t="str">
        <x:v>Artifact exchange</x:v>
      </x:c>
      <x:c r="L2297" s="17" t="str">
        <x:v>COURT-SEALED UNTIL COHORT RELEASE</x:v>
      </x:c>
      <x:c r="M2297" s="9" t="n">
        <x:v>0</x:v>
      </x:c>
      <x:c r="N2297" s="9" t="n">
        <x:v>0</x:v>
      </x:c>
      <x:c r="O2297" s="9" t="n">
        <x:v>0</x:v>
      </x:c>
      <x:c r="P2297" s="9" t="str">
        <x:v>HELD / UNRELEASED</x:v>
      </x:c>
      <x:c r="Q2297" s="9" t="n">
        <x:f>COUNTIFS($A$7:$A$2310,A2297)</x:f>
        <x:v>1</x:v>
      </x:c>
    </x:row>
    <x:row r="2298">
      <x:c r="A2298" s="9" t="str">
        <x:v>PD-AR-RT-B-C-TECH-3-B1-RCN-G0-PD04</x:v>
      </x:c>
      <x:c r="B2298" s="9" t="str">
        <x:v>PD-AR-RT-B-C-TECH-3-B1-RCN-G0</x:v>
      </x:c>
      <x:c r="C2298" s="9" t="str">
        <x:v>EV-AR-RT-B-C-TECH-3-B1-RCN-G0</x:v>
      </x:c>
      <x:c r="D2298" s="9" t="str">
        <x:v>AR-RT-B-C-TECH-3-B1-RCN-G0</x:v>
      </x:c>
      <x:c r="E2298" s="9" t="str">
        <x:v>RT-B-C-TECH-3</x:v>
      </x:c>
      <x:c r="F2298" s="9" t="str">
        <x:v>RT-B-C</x:v>
      </x:c>
      <x:c r="G2298" s="9" t="str">
        <x:v>B1</x:v>
      </x:c>
      <x:c r="H2298" s="9" t="str">
        <x:v>RCN</x:v>
      </x:c>
      <x:c r="I2298" s="9" t="str">
        <x:v>PD04</x:v>
      </x:c>
      <x:c r="J2298" s="17" t="str">
        <x:v>EOW and start certificate</x:v>
      </x:c>
      <x:c r="K2298" s="17" t="str">
        <x:v>Start registrar</x:v>
      </x:c>
      <x:c r="L2298" s="17" t="str">
        <x:v>COURT-SEALED UNTIL COHORT RELEASE</x:v>
      </x:c>
      <x:c r="M2298" s="9" t="n">
        <x:v>0</x:v>
      </x:c>
      <x:c r="N2298" s="9" t="n">
        <x:v>0</x:v>
      </x:c>
      <x:c r="O2298" s="9" t="n">
        <x:v>0</x:v>
      </x:c>
      <x:c r="P2298" s="9" t="str">
        <x:v>HELD / UNRELEASED</x:v>
      </x:c>
      <x:c r="Q2298" s="9" t="n">
        <x:f>COUNTIFS($A$7:$A$2310,A2298)</x:f>
        <x:v>1</x:v>
      </x:c>
    </x:row>
    <x:row r="2299">
      <x:c r="A2299" s="9" t="str">
        <x:v>PD-AR-RT-B-C-TECH-3-B1-RCN-G0-PD05</x:v>
      </x:c>
      <x:c r="B2299" s="9" t="str">
        <x:v>PD-AR-RT-B-C-TECH-3-B1-RCN-G0</x:v>
      </x:c>
      <x:c r="C2299" s="9" t="str">
        <x:v>EV-AR-RT-B-C-TECH-3-B1-RCN-G0</x:v>
      </x:c>
      <x:c r="D2299" s="9" t="str">
        <x:v>AR-RT-B-C-TECH-3-B1-RCN-G0</x:v>
      </x:c>
      <x:c r="E2299" s="9" t="str">
        <x:v>RT-B-C-TECH-3</x:v>
      </x:c>
      <x:c r="F2299" s="9" t="str">
        <x:v>RT-B-C</x:v>
      </x:c>
      <x:c r="G2299" s="9" t="str">
        <x:v>B1</x:v>
      </x:c>
      <x:c r="H2299" s="9" t="str">
        <x:v>RCN</x:v>
      </x:c>
      <x:c r="I2299" s="9" t="str">
        <x:v>PD05</x:v>
      </x:c>
      <x:c r="J2299" s="17" t="str">
        <x:v>Primary raw originals</x:v>
      </x:c>
      <x:c r="K2299" s="17" t="str">
        <x:v>Primary custody</x:v>
      </x:c>
      <x:c r="L2299" s="17" t="str">
        <x:v>COURT-SEALED UNTIL COHORT RELEASE</x:v>
      </x:c>
      <x:c r="M2299" s="9" t="n">
        <x:v>0</x:v>
      </x:c>
      <x:c r="N2299" s="9" t="n">
        <x:v>0</x:v>
      </x:c>
      <x:c r="O2299" s="9" t="n">
        <x:v>0</x:v>
      </x:c>
      <x:c r="P2299" s="9" t="str">
        <x:v>HELD / UNRELEASED</x:v>
      </x:c>
      <x:c r="Q2299" s="9" t="n">
        <x:f>COUNTIFS($A$7:$A$2310,A2299)</x:f>
        <x:v>1</x:v>
      </x:c>
    </x:row>
    <x:row r="2300">
      <x:c r="A2300" s="9" t="str">
        <x:v>PD-AR-RT-B-C-TECH-3-B1-RCN-G0-PD06</x:v>
      </x:c>
      <x:c r="B2300" s="9" t="str">
        <x:v>PD-AR-RT-B-C-TECH-3-B1-RCN-G0</x:v>
      </x:c>
      <x:c r="C2300" s="9" t="str">
        <x:v>EV-AR-RT-B-C-TECH-3-B1-RCN-G0</x:v>
      </x:c>
      <x:c r="D2300" s="9" t="str">
        <x:v>AR-RT-B-C-TECH-3-B1-RCN-G0</x:v>
      </x:c>
      <x:c r="E2300" s="9" t="str">
        <x:v>RT-B-C-TECH-3</x:v>
      </x:c>
      <x:c r="F2300" s="9" t="str">
        <x:v>RT-B-C</x:v>
      </x:c>
      <x:c r="G2300" s="9" t="str">
        <x:v>B1</x:v>
      </x:c>
      <x:c r="H2300" s="9" t="str">
        <x:v>RCN</x:v>
      </x:c>
      <x:c r="I2300" s="9" t="str">
        <x:v>PD06</x:v>
      </x:c>
      <x:c r="J2300" s="17" t="str">
        <x:v>Witness raw originals</x:v>
      </x:c>
      <x:c r="K2300" s="17" t="str">
        <x:v>Witness custody</x:v>
      </x:c>
      <x:c r="L2300" s="17" t="str">
        <x:v>COURT-SEALED UNTIL COHORT RELEASE</x:v>
      </x:c>
      <x:c r="M2300" s="9" t="n">
        <x:v>0</x:v>
      </x:c>
      <x:c r="N2300" s="9" t="n">
        <x:v>0</x:v>
      </x:c>
      <x:c r="O2300" s="9" t="n">
        <x:v>0</x:v>
      </x:c>
      <x:c r="P2300" s="9" t="str">
        <x:v>HELD / UNRELEASED</x:v>
      </x:c>
      <x:c r="Q2300" s="9" t="n">
        <x:f>COUNTIFS($A$7:$A$2310,A2300)</x:f>
        <x:v>1</x:v>
      </x:c>
    </x:row>
    <x:row r="2301">
      <x:c r="A2301" s="9" t="str">
        <x:v>PD-AR-RT-B-C-TECH-3-B1-RCN-G0-PD07</x:v>
      </x:c>
      <x:c r="B2301" s="9" t="str">
        <x:v>PD-AR-RT-B-C-TECH-3-B1-RCN-G0</x:v>
      </x:c>
      <x:c r="C2301" s="9" t="str">
        <x:v>EV-AR-RT-B-C-TECH-3-B1-RCN-G0</x:v>
      </x:c>
      <x:c r="D2301" s="9" t="str">
        <x:v>AR-RT-B-C-TECH-3-B1-RCN-G0</x:v>
      </x:c>
      <x:c r="E2301" s="9" t="str">
        <x:v>RT-B-C-TECH-3</x:v>
      </x:c>
      <x:c r="F2301" s="9" t="str">
        <x:v>RT-B-C</x:v>
      </x:c>
      <x:c r="G2301" s="9" t="str">
        <x:v>B1</x:v>
      </x:c>
      <x:c r="H2301" s="9" t="str">
        <x:v>RCN</x:v>
      </x:c>
      <x:c r="I2301" s="9" t="str">
        <x:v>PD07</x:v>
      </x:c>
      <x:c r="J2301" s="17" t="str">
        <x:v>Clock and environmental records</x:v>
      </x:c>
      <x:c r="K2301" s="17" t="str">
        <x:v>Boundary archive</x:v>
      </x:c>
      <x:c r="L2301" s="17" t="str">
        <x:v>COURT-SEALED UNTIL COHORT RELEASE</x:v>
      </x:c>
      <x:c r="M2301" s="9" t="n">
        <x:v>0</x:v>
      </x:c>
      <x:c r="N2301" s="9" t="n">
        <x:v>0</x:v>
      </x:c>
      <x:c r="O2301" s="9" t="n">
        <x:v>0</x:v>
      </x:c>
      <x:c r="P2301" s="9" t="str">
        <x:v>HELD / UNRELEASED</x:v>
      </x:c>
      <x:c r="Q2301" s="9" t="n">
        <x:f>COUNTIFS($A$7:$A$2310,A2301)</x:f>
        <x:v>1</x:v>
      </x:c>
    </x:row>
    <x:row r="2302">
      <x:c r="A2302" s="9" t="str">
        <x:v>PD-AR-RT-B-C-TECH-3-B1-RCN-G0-PD08</x:v>
      </x:c>
      <x:c r="B2302" s="9" t="str">
        <x:v>PD-AR-RT-B-C-TECH-3-B1-RCN-G0</x:v>
      </x:c>
      <x:c r="C2302" s="9" t="str">
        <x:v>EV-AR-RT-B-C-TECH-3-B1-RCN-G0</x:v>
      </x:c>
      <x:c r="D2302" s="9" t="str">
        <x:v>AR-RT-B-C-TECH-3-B1-RCN-G0</x:v>
      </x:c>
      <x:c r="E2302" s="9" t="str">
        <x:v>RT-B-C-TECH-3</x:v>
      </x:c>
      <x:c r="F2302" s="9" t="str">
        <x:v>RT-B-C</x:v>
      </x:c>
      <x:c r="G2302" s="9" t="str">
        <x:v>B1</x:v>
      </x:c>
      <x:c r="H2302" s="9" t="str">
        <x:v>RCN</x:v>
      </x:c>
      <x:c r="I2302" s="9" t="str">
        <x:v>PD08</x:v>
      </x:c>
      <x:c r="J2302" s="17" t="str">
        <x:v>Command and intervention log</x:v>
      </x:c>
      <x:c r="K2302" s="17" t="str">
        <x:v>Safety archive</x:v>
      </x:c>
      <x:c r="L2302" s="17" t="str">
        <x:v>COURT-SEALED UNTIL COHORT RELEASE</x:v>
      </x:c>
      <x:c r="M2302" s="9" t="n">
        <x:v>0</x:v>
      </x:c>
      <x:c r="N2302" s="9" t="n">
        <x:v>0</x:v>
      </x:c>
      <x:c r="O2302" s="9" t="n">
        <x:v>0</x:v>
      </x:c>
      <x:c r="P2302" s="9" t="str">
        <x:v>HELD / UNRELEASED</x:v>
      </x:c>
      <x:c r="Q2302" s="9" t="n">
        <x:f>COUNTIFS($A$7:$A$2310,A2302)</x:f>
        <x:v>1</x:v>
      </x:c>
    </x:row>
    <x:row r="2303">
      <x:c r="A2303" s="9" t="str">
        <x:v>PD-AR-RT-B-C-TECH-3-B1-RCN-G0-PD09</x:v>
      </x:c>
      <x:c r="B2303" s="9" t="str">
        <x:v>PD-AR-RT-B-C-TECH-3-B1-RCN-G0</x:v>
      </x:c>
      <x:c r="C2303" s="9" t="str">
        <x:v>EV-AR-RT-B-C-TECH-3-B1-RCN-G0</x:v>
      </x:c>
      <x:c r="D2303" s="9" t="str">
        <x:v>AR-RT-B-C-TECH-3-B1-RCN-G0</x:v>
      </x:c>
      <x:c r="E2303" s="9" t="str">
        <x:v>RT-B-C-TECH-3</x:v>
      </x:c>
      <x:c r="F2303" s="9" t="str">
        <x:v>RT-B-C</x:v>
      </x:c>
      <x:c r="G2303" s="9" t="str">
        <x:v>B1</x:v>
      </x:c>
      <x:c r="H2303" s="9" t="str">
        <x:v>RCN</x:v>
      </x:c>
      <x:c r="I2303" s="9" t="str">
        <x:v>PD09</x:v>
      </x:c>
      <x:c r="J2303" s="17" t="str">
        <x:v>Receiver denominator and service ledger</x:v>
      </x:c>
      <x:c r="K2303" s="17" t="str">
        <x:v>Receiver archive</x:v>
      </x:c>
      <x:c r="L2303" s="17" t="str">
        <x:v>COURT-SEALED UNTIL COHORT RELEASE</x:v>
      </x:c>
      <x:c r="M2303" s="9" t="n">
        <x:v>0</x:v>
      </x:c>
      <x:c r="N2303" s="9" t="n">
        <x:v>0</x:v>
      </x:c>
      <x:c r="O2303" s="9" t="n">
        <x:v>0</x:v>
      </x:c>
      <x:c r="P2303" s="9" t="str">
        <x:v>HELD / UNRELEASED</x:v>
      </x:c>
      <x:c r="Q2303" s="9" t="n">
        <x:f>COUNTIFS($A$7:$A$2310,A2303)</x:f>
        <x:v>1</x:v>
      </x:c>
    </x:row>
    <x:row r="2304">
      <x:c r="A2304" s="9" t="str">
        <x:v>PD-AR-RT-B-C-TECH-3-B1-RCN-G0-PD10</x:v>
      </x:c>
      <x:c r="B2304" s="9" t="str">
        <x:v>PD-AR-RT-B-C-TECH-3-B1-RCN-G0</x:v>
      </x:c>
      <x:c r="C2304" s="9" t="str">
        <x:v>EV-AR-RT-B-C-TECH-3-B1-RCN-G0</x:v>
      </x:c>
      <x:c r="D2304" s="9" t="str">
        <x:v>AR-RT-B-C-TECH-3-B1-RCN-G0</x:v>
      </x:c>
      <x:c r="E2304" s="9" t="str">
        <x:v>RT-B-C-TECH-3</x:v>
      </x:c>
      <x:c r="F2304" s="9" t="str">
        <x:v>RT-B-C</x:v>
      </x:c>
      <x:c r="G2304" s="9" t="str">
        <x:v>B1</x:v>
      </x:c>
      <x:c r="H2304" s="9" t="str">
        <x:v>RCN</x:v>
      </x:c>
      <x:c r="I2304" s="9" t="str">
        <x:v>PD10</x:v>
      </x:c>
      <x:c r="J2304" s="17" t="str">
        <x:v>Calibration and uncertainty record</x:v>
      </x:c>
      <x:c r="K2304" s="17" t="str">
        <x:v>Metrology archive</x:v>
      </x:c>
      <x:c r="L2304" s="17" t="str">
        <x:v>COURT-SEALED UNTIL COHORT RELEASE</x:v>
      </x:c>
      <x:c r="M2304" s="9" t="n">
        <x:v>0</x:v>
      </x:c>
      <x:c r="N2304" s="9" t="n">
        <x:v>0</x:v>
      </x:c>
      <x:c r="O2304" s="9" t="n">
        <x:v>0</x:v>
      </x:c>
      <x:c r="P2304" s="9" t="str">
        <x:v>HELD / UNRELEASED</x:v>
      </x:c>
      <x:c r="Q2304" s="9" t="n">
        <x:f>COUNTIFS($A$7:$A$2310,A2304)</x:f>
        <x:v>1</x:v>
      </x:c>
    </x:row>
    <x:row r="2305">
      <x:c r="A2305" s="9" t="str">
        <x:v>PD-AR-RT-B-C-TECH-3-B1-RCN-G0-PD11</x:v>
      </x:c>
      <x:c r="B2305" s="9" t="str">
        <x:v>PD-AR-RT-B-C-TECH-3-B1-RCN-G0</x:v>
      </x:c>
      <x:c r="C2305" s="9" t="str">
        <x:v>EV-AR-RT-B-C-TECH-3-B1-RCN-G0</x:v>
      </x:c>
      <x:c r="D2305" s="9" t="str">
        <x:v>AR-RT-B-C-TECH-3-B1-RCN-G0</x:v>
      </x:c>
      <x:c r="E2305" s="9" t="str">
        <x:v>RT-B-C-TECH-3</x:v>
      </x:c>
      <x:c r="F2305" s="9" t="str">
        <x:v>RT-B-C</x:v>
      </x:c>
      <x:c r="G2305" s="9" t="str">
        <x:v>B1</x:v>
      </x:c>
      <x:c r="H2305" s="9" t="str">
        <x:v>RCN</x:v>
      </x:c>
      <x:c r="I2305" s="9" t="str">
        <x:v>PD11</x:v>
      </x:c>
      <x:c r="J2305" s="17" t="str">
        <x:v>Invalidity petition and opinion</x:v>
      </x:c>
      <x:c r="K2305" s="17" t="str">
        <x:v>Invalidity court</x:v>
      </x:c>
      <x:c r="L2305" s="17" t="str">
        <x:v>COURT-SEALED UNTIL COHORT RELEASE</x:v>
      </x:c>
      <x:c r="M2305" s="9" t="n">
        <x:v>0</x:v>
      </x:c>
      <x:c r="N2305" s="9" t="n">
        <x:v>0</x:v>
      </x:c>
      <x:c r="O2305" s="9" t="n">
        <x:v>0</x:v>
      </x:c>
      <x:c r="P2305" s="9" t="str">
        <x:v>HELD / UNRELEASED</x:v>
      </x:c>
      <x:c r="Q2305" s="9" t="n">
        <x:f>COUNTIFS($A$7:$A$2310,A2305)</x:f>
        <x:v>1</x:v>
      </x:c>
    </x:row>
    <x:row r="2306">
      <x:c r="A2306" s="9" t="str">
        <x:v>PD-AR-RT-B-C-TECH-3-B1-RCN-G0-PD12</x:v>
      </x:c>
      <x:c r="B2306" s="9" t="str">
        <x:v>PD-AR-RT-B-C-TECH-3-B1-RCN-G0</x:v>
      </x:c>
      <x:c r="C2306" s="9" t="str">
        <x:v>EV-AR-RT-B-C-TECH-3-B1-RCN-G0</x:v>
      </x:c>
      <x:c r="D2306" s="9" t="str">
        <x:v>AR-RT-B-C-TECH-3-B1-RCN-G0</x:v>
      </x:c>
      <x:c r="E2306" s="9" t="str">
        <x:v>RT-B-C-TECH-3</x:v>
      </x:c>
      <x:c r="F2306" s="9" t="str">
        <x:v>RT-B-C</x:v>
      </x:c>
      <x:c r="G2306" s="9" t="str">
        <x:v>B1</x:v>
      </x:c>
      <x:c r="H2306" s="9" t="str">
        <x:v>RCN</x:v>
      </x:c>
      <x:c r="I2306" s="9" t="str">
        <x:v>PD12</x:v>
      </x:c>
      <x:c r="J2306" s="17" t="str">
        <x:v>Observation acceptance and replay</x:v>
      </x:c>
      <x:c r="K2306" s="17" t="str">
        <x:v>Observation court</x:v>
      </x:c>
      <x:c r="L2306" s="17" t="str">
        <x:v>COURT-SEALED UNTIL COHORT RELEASE</x:v>
      </x:c>
      <x:c r="M2306" s="9" t="n">
        <x:v>0</x:v>
      </x:c>
      <x:c r="N2306" s="9" t="n">
        <x:v>0</x:v>
      </x:c>
      <x:c r="O2306" s="9" t="n">
        <x:v>0</x:v>
      </x:c>
      <x:c r="P2306" s="9" t="str">
        <x:v>HELD / UNRELEASED</x:v>
      </x:c>
      <x:c r="Q2306" s="9" t="n">
        <x:f>COUNTIFS($A$7:$A$2310,A2306)</x:f>
        <x:v>1</x:v>
      </x:c>
    </x:row>
    <x:row r="2307">
      <x:c r="A2307" s="9" t="str">
        <x:v>PD-AR-RT-B-C-TECH-3-B1-RCN-G0-PD13</x:v>
      </x:c>
      <x:c r="B2307" s="9" t="str">
        <x:v>PD-AR-RT-B-C-TECH-3-B1-RCN-G0</x:v>
      </x:c>
      <x:c r="C2307" s="9" t="str">
        <x:v>EV-AR-RT-B-C-TECH-3-B1-RCN-G0</x:v>
      </x:c>
      <x:c r="D2307" s="9" t="str">
        <x:v>AR-RT-B-C-TECH-3-B1-RCN-G0</x:v>
      </x:c>
      <x:c r="E2307" s="9" t="str">
        <x:v>RT-B-C-TECH-3</x:v>
      </x:c>
      <x:c r="F2307" s="9" t="str">
        <x:v>RT-B-C</x:v>
      </x:c>
      <x:c r="G2307" s="9" t="str">
        <x:v>B1</x:v>
      </x:c>
      <x:c r="H2307" s="9" t="str">
        <x:v>RCN</x:v>
      </x:c>
      <x:c r="I2307" s="9" t="str">
        <x:v>PD13</x:v>
      </x:c>
      <x:c r="J2307" s="17" t="str">
        <x:v>Role judgment</x:v>
      </x:c>
      <x:c r="K2307" s="17" t="str">
        <x:v>Role court</x:v>
      </x:c>
      <x:c r="L2307" s="17" t="str">
        <x:v>COURT-SEALED UNTIL COHORT RELEASE</x:v>
      </x:c>
      <x:c r="M2307" s="9" t="n">
        <x:v>0</x:v>
      </x:c>
      <x:c r="N2307" s="9" t="n">
        <x:v>0</x:v>
      </x:c>
      <x:c r="O2307" s="9" t="n">
        <x:v>0</x:v>
      </x:c>
      <x:c r="P2307" s="9" t="str">
        <x:v>HELD / UNRELEASED</x:v>
      </x:c>
      <x:c r="Q2307" s="9" t="n">
        <x:f>COUNTIFS($A$7:$A$2310,A2307)</x:f>
        <x:v>1</x:v>
      </x:c>
    </x:row>
    <x:row r="2308">
      <x:c r="A2308" s="9" t="str">
        <x:v>PD-AR-RT-B-C-TECH-3-B1-RCN-G0-PD14</x:v>
      </x:c>
      <x:c r="B2308" s="9" t="str">
        <x:v>PD-AR-RT-B-C-TECH-3-B1-RCN-G0</x:v>
      </x:c>
      <x:c r="C2308" s="9" t="str">
        <x:v>EV-AR-RT-B-C-TECH-3-B1-RCN-G0</x:v>
      </x:c>
      <x:c r="D2308" s="9" t="str">
        <x:v>AR-RT-B-C-TECH-3-B1-RCN-G0</x:v>
      </x:c>
      <x:c r="E2308" s="9" t="str">
        <x:v>RT-B-C-TECH-3</x:v>
      </x:c>
      <x:c r="F2308" s="9" t="str">
        <x:v>RT-B-C</x:v>
      </x:c>
      <x:c r="G2308" s="9" t="str">
        <x:v>B1</x:v>
      </x:c>
      <x:c r="H2308" s="9" t="str">
        <x:v>RCN</x:v>
      </x:c>
      <x:c r="I2308" s="9" t="str">
        <x:v>PD14</x:v>
      </x:c>
      <x:c r="J2308" s="17" t="str">
        <x:v>Break and residual account</x:v>
      </x:c>
      <x:c r="K2308" s="17" t="str">
        <x:v>Residual authority</x:v>
      </x:c>
      <x:c r="L2308" s="17" t="str">
        <x:v>COURT-SEALED UNTIL COHORT RELEASE</x:v>
      </x:c>
      <x:c r="M2308" s="9" t="n">
        <x:v>0</x:v>
      </x:c>
      <x:c r="N2308" s="9" t="n">
        <x:v>0</x:v>
      </x:c>
      <x:c r="O2308" s="9" t="n">
        <x:v>0</x:v>
      </x:c>
      <x:c r="P2308" s="9" t="str">
        <x:v>HELD / UNRELEASED</x:v>
      </x:c>
      <x:c r="Q2308" s="9" t="n">
        <x:f>COUNTIFS($A$7:$A$2310,A2308)</x:f>
        <x:v>1</x:v>
      </x:c>
    </x:row>
    <x:row r="2309">
      <x:c r="A2309" s="9" t="str">
        <x:v>PD-AR-RT-B-C-TECH-3-B1-RCN-G0-PD15</x:v>
      </x:c>
      <x:c r="B2309" s="9" t="str">
        <x:v>PD-AR-RT-B-C-TECH-3-B1-RCN-G0</x:v>
      </x:c>
      <x:c r="C2309" s="9" t="str">
        <x:v>EV-AR-RT-B-C-TECH-3-B1-RCN-G0</x:v>
      </x:c>
      <x:c r="D2309" s="9" t="str">
        <x:v>AR-RT-B-C-TECH-3-B1-RCN-G0</x:v>
      </x:c>
      <x:c r="E2309" s="9" t="str">
        <x:v>RT-B-C-TECH-3</x:v>
      </x:c>
      <x:c r="F2309" s="9" t="str">
        <x:v>RT-B-C</x:v>
      </x:c>
      <x:c r="G2309" s="9" t="str">
        <x:v>B1</x:v>
      </x:c>
      <x:c r="H2309" s="9" t="str">
        <x:v>RCN</x:v>
      </x:c>
      <x:c r="I2309" s="9" t="str">
        <x:v>PD15</x:v>
      </x:c>
      <x:c r="J2309" s="17" t="str">
        <x:v>Reconstruction ancestry and replay</x:v>
      </x:c>
      <x:c r="K2309" s="17" t="str">
        <x:v>Reconstruction court</x:v>
      </x:c>
      <x:c r="L2309" s="17" t="str">
        <x:v>COURT-SEALED UNTIL COHORT RELEASE</x:v>
      </x:c>
      <x:c r="M2309" s="9" t="n">
        <x:v>0</x:v>
      </x:c>
      <x:c r="N2309" s="9" t="n">
        <x:v>0</x:v>
      </x:c>
      <x:c r="O2309" s="9" t="n">
        <x:v>0</x:v>
      </x:c>
      <x:c r="P2309" s="9" t="str">
        <x:v>HELD / UNRELEASED</x:v>
      </x:c>
      <x:c r="Q2309" s="9" t="n">
        <x:f>COUNTIFS($A$7:$A$2310,A2309)</x:f>
        <x:v>1</x:v>
      </x:c>
    </x:row>
    <x:row r="2310">
      <x:c r="A2310" s="9" t="str">
        <x:v>PD-AR-RT-B-C-TECH-3-B1-RCN-G0-PD16</x:v>
      </x:c>
      <x:c r="B2310" s="9" t="str">
        <x:v>PD-AR-RT-B-C-TECH-3-B1-RCN-G0</x:v>
      </x:c>
      <x:c r="C2310" s="9" t="str">
        <x:v>EV-AR-RT-B-C-TECH-3-B1-RCN-G0</x:v>
      </x:c>
      <x:c r="D2310" s="9" t="str">
        <x:v>AR-RT-B-C-TECH-3-B1-RCN-G0</x:v>
      </x:c>
      <x:c r="E2310" s="9" t="str">
        <x:v>RT-B-C-TECH-3</x:v>
      </x:c>
      <x:c r="F2310" s="9" t="str">
        <x:v>RT-B-C</x:v>
      </x:c>
      <x:c r="G2310" s="9" t="str">
        <x:v>B1</x:v>
      </x:c>
      <x:c r="H2310" s="9" t="str">
        <x:v>RCN</x:v>
      </x:c>
      <x:c r="I2310" s="9" t="str">
        <x:v>PD16</x:v>
      </x:c>
      <x:c r="J2310" s="17" t="str">
        <x:v>Dissent, amendments and access log</x:v>
      </x:c>
      <x:c r="K2310" s="17" t="str">
        <x:v>Public archive</x:v>
      </x:c>
      <x:c r="L2310" s="17" t="str">
        <x:v>COURT-SEALED UNTIL COHORT RELEASE</x:v>
      </x:c>
      <x:c r="M2310" s="9" t="n">
        <x:v>0</x:v>
      </x:c>
      <x:c r="N2310" s="9" t="n">
        <x:v>0</x:v>
      </x:c>
      <x:c r="O2310" s="9" t="n">
        <x:v>0</x:v>
      </x:c>
      <x:c r="P2310" s="9" t="str">
        <x:v>HELD / UNRELEASED</x:v>
      </x:c>
      <x:c r="Q2310" s="9" t="n">
        <x:f>COUNTIFS($A$7:$A$2310,A2310)</x:f>
        <x:v>1</x:v>
      </x:c>
    </x:row>
  </x:sheetData>
  <x:conditionalFormatting sqref="P7:P2310">
    <x:cfRule type="containsText" dxfId="112" priority="1" operator="containsText" text="OPEN"/>
    <x:cfRule type="containsText" dxfId="113" priority="2" operator="containsText" text="BLOCKED"/>
    <x:cfRule type="containsText" dxfId="114" priority="3" operator="containsText" text="UNSTARTED"/>
    <x:cfRule type="containsText" dxfId="115" priority="4" operator="containsText" text="UNSEALED"/>
    <x:cfRule type="containsText" dxfId="116" priority="5" operator="containsText" text="UNACCEPTED"/>
    <x:cfRule type="containsText" dxfId="117" priority="6" operator="containsText" text="UNFILED"/>
    <x:cfRule type="containsText" dxfId="118" priority="7" operator="containsText" text="UNJUDGED"/>
    <x:cfRule type="containsText" dxfId="119" priority="8" operator="containsText" text="UNRELEASED"/>
    <x:cfRule type="containsText" dxfId="120" priority="9" operator="containsText" text="HELD"/>
    <x:cfRule type="containsText" dxfId="121" priority="10" operator="containsText" text="PENDING"/>
    <x:cfRule type="containsText" dxfId="122" priority="11" operator="containsText" text="SOURCE-EMPTY"/>
    <x:cfRule type="containsText" dxfId="123" priority="12" operator="containsText" text="FAIL"/>
    <x:cfRule type="containsText" dxfId="124" priority="13" operator="containsText" text="TERMINATE"/>
    <x:cfRule type="containsText" dxfId="125" priority="14" operator="containsText" text="PROHIBITED"/>
    <x:cfRule type="containsText" dxfId="126" priority="15" operator="containsText" text="BREACH"/>
    <x:cfRule type="containsText" dxfId="127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322a0d973e7a4a1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34" hidden="0" customWidth="1"/>
    <x:col min="4" max="4" width="24" hidden="0" customWidth="1"/>
    <x:col min="5" max="5" width="62" hidden="0" customWidth="1"/>
    <x:col min="6" max="6" width="24" hidden="0" customWidth="1"/>
    <x:col min="7" max="7" width="28" hidden="0" customWidth="1"/>
    <x:col min="8" max="8" width="4" hidden="0" customWidth="1"/>
    <x:col min="9" max="9" width="4" hidden="0" customWidth="1"/>
    <x:col min="10" max="10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31" t="str">
        <x:v>Event close, adjudication and cohort-release clock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34" customHeight="1">
      <x:c r="A6" s="35" t="str">
        <x:v>Stage</x:v>
      </x:c>
      <x:c r="B6" s="35" t="str">
        <x:v>Milestone</x:v>
      </x:c>
      <x:c r="C6" s="35" t="str">
        <x:v>Relative time</x:v>
      </x:c>
      <x:c r="D6" s="35" t="str">
        <x:v>Days after event close</x:v>
      </x:c>
      <x:c r="E6" s="35" t="str">
        <x:v>Required object</x:v>
      </x:c>
      <x:c r="F6" s="35" t="str">
        <x:v>Authority</x:v>
      </x:c>
      <x:c r="G6" s="35" t="str">
        <x:v>State</x:v>
      </x:c>
      <x:c r="H6" s="9"/>
      <x:c r="I6" s="9"/>
      <x:c r="J6" s="9"/>
    </x:row>
    <x:row r="7">
      <x:c r="A7" s="9" t="str">
        <x:v>E0</x:v>
      </x:c>
      <x:c r="B7" s="9" t="str">
        <x:v>Physical event close</x:v>
      </x:c>
      <x:c r="C7" s="9" t="str">
        <x:v>T+0</x:v>
      </x:c>
      <x:c r="D7" s="20" t="n">
        <x:v>0</x:v>
      </x:c>
      <x:c r="E7" s="17" t="str">
        <x:v>first origin hashes begin</x:v>
      </x:c>
      <x:c r="F7" s="17" t="str">
        <x:v>Event steward</x:v>
      </x:c>
      <x:c r="G7" s="9" t="str">
        <x:v>PLANNED / UNSTARTED</x:v>
      </x:c>
      <x:c r="H7" s="9"/>
      <x:c r="I7" s="9"/>
      <x:c r="J7" s="9"/>
    </x:row>
    <x:row r="8">
      <x:c r="A8" s="9" t="str">
        <x:v>E1</x:v>
      </x:c>
      <x:c r="B8" s="9" t="str">
        <x:v>Origin hashes</x:v>
      </x:c>
      <x:c r="C8" s="9" t="str">
        <x:v>T+15 minutes</x:v>
      </x:c>
      <x:c r="D8" s="20" t="n">
        <x:v>0.010416666666666666</x:v>
      </x:c>
      <x:c r="E8" s="17" t="str">
        <x:v>all eight origin records hash locally</x:v>
      </x:c>
      <x:c r="F8" s="17" t="str">
        <x:v>Origin authorities</x:v>
      </x:c>
      <x:c r="G8" s="9" t="str">
        <x:v>PLANNED / UNSTARTED</x:v>
      </x:c>
      <x:c r="H8" s="9"/>
      <x:c r="I8" s="9"/>
      <x:c r="J8" s="9"/>
    </x:row>
    <x:row r="9">
      <x:c r="A9" s="9" t="str">
        <x:v>E2</x:v>
      </x:c>
      <x:c r="B9" s="9" t="str">
        <x:v>Custody replicas</x:v>
      </x:c>
      <x:c r="C9" s="9" t="str">
        <x:v>T+1 hour</x:v>
      </x:c>
      <x:c r="D9" s="20" t="n">
        <x:v>0.041666666666666664</x:v>
      </x:c>
      <x:c r="E9" s="17" t="str">
        <x:v>two separated custody replicas reconcile</x:v>
      </x:c>
      <x:c r="F9" s="17" t="str">
        <x:v>Public custody</x:v>
      </x:c>
      <x:c r="G9" s="9" t="str">
        <x:v>PLANNED / UNSTARTED</x:v>
      </x:c>
      <x:c r="H9" s="9"/>
      <x:c r="I9" s="9"/>
      <x:c r="J9" s="9"/>
    </x:row>
    <x:row r="10">
      <x:c r="A10" s="9" t="str">
        <x:v>E3</x:v>
      </x:c>
      <x:c r="B10" s="9" t="str">
        <x:v>Completeness census</x:v>
      </x:c>
      <x:c r="C10" s="9" t="str">
        <x:v>T+24 hours</x:v>
      </x:c>
      <x:c r="D10" s="20" t="n">
        <x:v>1</x:v>
      </x:c>
      <x:c r="E10" s="17" t="str">
        <x:v>missing, censored and damaged records enumerated</x:v>
      </x:c>
      <x:c r="F10" s="17" t="str">
        <x:v>Observation registrar</x:v>
      </x:c>
      <x:c r="G10" s="9" t="str">
        <x:v>PLANNED / UNSTARTED</x:v>
      </x:c>
      <x:c r="H10" s="9"/>
      <x:c r="I10" s="9"/>
      <x:c r="J10" s="9"/>
    </x:row>
    <x:row r="11">
      <x:c r="A11" s="9" t="str">
        <x:v>E4</x:v>
      </x:c>
      <x:c r="B11" s="9" t="str">
        <x:v>Invalidity petition cutoff</x:v>
      </x:c>
      <x:c r="C11" s="9" t="str">
        <x:v>T+72 hours</x:v>
      </x:c>
      <x:c r="D11" s="20" t="n">
        <x:v>3</x:v>
      </x:c>
      <x:c r="E11" s="17" t="str">
        <x:v>facility-invalidity petition and causal basis freeze</x:v>
      </x:c>
      <x:c r="F11" s="17" t="str">
        <x:v>Invalidity registrar</x:v>
      </x:c>
      <x:c r="G11" s="9" t="str">
        <x:v>PLANNED / UNFILED</x:v>
      </x:c>
      <x:c r="H11" s="9"/>
      <x:c r="I11" s="9"/>
      <x:c r="J11" s="9"/>
    </x:row>
    <x:row r="12">
      <x:c r="A12" s="9" t="str">
        <x:v>E5</x:v>
      </x:c>
      <x:c r="B12" s="9" t="str">
        <x:v>Observation decision</x:v>
      </x:c>
      <x:c r="C12" s="9" t="str">
        <x:v>T+21 days</x:v>
      </x:c>
      <x:c r="D12" s="20" t="n">
        <x:v>21</x:v>
      </x:c>
      <x:c r="E12" s="17" t="str">
        <x:v>integrity, uncertainty and replay disposition</x:v>
      </x:c>
      <x:c r="F12" s="17" t="str">
        <x:v>Observation court</x:v>
      </x:c>
      <x:c r="G12" s="9" t="str">
        <x:v>PLANNED / UNACCEPTED</x:v>
      </x:c>
      <x:c r="H12" s="9"/>
      <x:c r="I12" s="9"/>
      <x:c r="J12" s="9"/>
    </x:row>
    <x:row r="13">
      <x:c r="A13" s="9" t="str">
        <x:v>E6</x:v>
      </x:c>
      <x:c r="B13" s="9" t="str">
        <x:v>Role judgment</x:v>
      </x:c>
      <x:c r="C13" s="9" t="str">
        <x:v>T+42 days</x:v>
      </x:c>
      <x:c r="D13" s="20" t="n">
        <x:v>42</x:v>
      </x:c>
      <x:c r="E13" s="17" t="str">
        <x:v>INT, BRK or RCN role-native decision</x:v>
      </x:c>
      <x:c r="F13" s="17" t="str">
        <x:v>Role courts</x:v>
      </x:c>
      <x:c r="G13" s="9" t="str">
        <x:v>PLANNED / UNJUDGED</x:v>
      </x:c>
      <x:c r="H13" s="9"/>
      <x:c r="I13" s="9"/>
      <x:c r="J13" s="9"/>
    </x:row>
    <x:row r="14">
      <x:c r="A14" s="9" t="str">
        <x:v>E7</x:v>
      </x:c>
      <x:c r="B14" s="9" t="str">
        <x:v>Cohort terminal condition</x:v>
      </x:c>
      <x:c r="C14" s="9" t="str">
        <x:v>after 144 terminal dockets</x:v>
      </x:c>
      <x:c r="D14" s="20"/>
      <x:c r="E14" s="17" t="str">
        <x:v>every serial has final result or proven facility-invalid replacement state</x:v>
      </x:c>
      <x:c r="F14" s="17" t="str">
        <x:v>Cohort registrar</x:v>
      </x:c>
      <x:c r="G14" s="9" t="str">
        <x:v>PLANNED / BLOCKED</x:v>
      </x:c>
      <x:c r="H14" s="9"/>
      <x:c r="I14" s="9"/>
      <x:c r="J14" s="9"/>
    </x:row>
    <x:row r="15">
      <x:c r="A15" s="9" t="str">
        <x:v>E8</x:v>
      </x:c>
      <x:c r="B15" s="9" t="str">
        <x:v>Public release</x:v>
      </x:c>
      <x:c r="C15" s="9" t="str">
        <x:v>within 30 days of cohort terminal</x:v>
      </x:c>
      <x:c r="D15" s="20" t="n">
        <x:v>30</x:v>
      </x:c>
      <x:c r="E15" s="17" t="str">
        <x:v>sixteen-object packets release under four-of-six custody</x:v>
      </x:c>
      <x:c r="F15" s="17" t="str">
        <x:v>Disclosure custodians</x:v>
      </x:c>
      <x:c r="G15" s="9" t="str">
        <x:v>PLANNED / UNRELEASED</x:v>
      </x:c>
      <x:c r="H15" s="9"/>
      <x:c r="I15" s="9"/>
      <x:c r="J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</x:row>
    <x:row r="19">
      <x:c r="A19" s="10" t="str">
        <x:v>Release custodians</x:v>
      </x:c>
      <x:c r="B19" s="9"/>
      <x:c r="C19" s="9"/>
      <x:c r="D19" s="9"/>
      <x:c r="E19" s="9"/>
      <x:c r="F19" s="9"/>
      <x:c r="G19" s="9"/>
      <x:c r="H19" s="9"/>
      <x:c r="I19" s="9"/>
      <x:c r="J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</x:row>
    <x:row r="21" ht="34" customHeight="1">
      <x:c r="A21" s="35" t="str">
        <x:v>Share</x:v>
      </x:c>
      <x:c r="B21" s="35" t="str">
        <x:v>Custodian</x:v>
      </x:c>
      <x:c r="C21" s="35" t="str">
        <x:v>Share issued</x:v>
      </x:c>
      <x:c r="D21" s="35" t="str">
        <x:v>Release authorization</x:v>
      </x:c>
      <x:c r="E21" s="35" t="str">
        <x:v>State</x:v>
      </x:c>
      <x:c r="F21" s="9"/>
      <x:c r="G21" s="9"/>
      <x:c r="H21" s="9"/>
      <x:c r="I21" s="9"/>
      <x:c r="J21" s="9"/>
    </x:row>
    <x:row r="22">
      <x:c r="A22" s="9" t="str">
        <x:v>KEY-1</x:v>
      </x:c>
      <x:c r="B22" s="9" t="str">
        <x:v>Public custodian 1</x:v>
      </x:c>
      <x:c r="C22" s="9" t="n">
        <x:v>0</x:v>
      </x:c>
      <x:c r="D22" s="9" t="n">
        <x:v>0</x:v>
      </x:c>
      <x:c r="E22" s="9" t="str">
        <x:v>UNISSUED / HELD</x:v>
      </x:c>
      <x:c r="F22" s="9"/>
      <x:c r="G22" s="9"/>
      <x:c r="H22" s="9"/>
      <x:c r="I22" s="9"/>
      <x:c r="J22" s="9"/>
    </x:row>
    <x:row r="23">
      <x:c r="A23" s="9" t="str">
        <x:v>KEY-2</x:v>
      </x:c>
      <x:c r="B23" s="9" t="str">
        <x:v>Public custodian 2</x:v>
      </x:c>
      <x:c r="C23" s="9" t="n">
        <x:v>0</x:v>
      </x:c>
      <x:c r="D23" s="9" t="n">
        <x:v>0</x:v>
      </x:c>
      <x:c r="E23" s="9" t="str">
        <x:v>UNISSUED / HELD</x:v>
      </x:c>
      <x:c r="F23" s="9"/>
      <x:c r="G23" s="9"/>
      <x:c r="H23" s="9"/>
      <x:c r="I23" s="9"/>
      <x:c r="J23" s="9"/>
    </x:row>
    <x:row r="24">
      <x:c r="A24" s="9" t="str">
        <x:v>KEY-3</x:v>
      </x:c>
      <x:c r="B24" s="9" t="str">
        <x:v>Public custodian 3</x:v>
      </x:c>
      <x:c r="C24" s="9" t="n">
        <x:v>0</x:v>
      </x:c>
      <x:c r="D24" s="9" t="n">
        <x:v>0</x:v>
      </x:c>
      <x:c r="E24" s="9" t="str">
        <x:v>UNISSUED / HELD</x:v>
      </x:c>
      <x:c r="F24" s="9"/>
      <x:c r="G24" s="9"/>
      <x:c r="H24" s="9"/>
      <x:c r="I24" s="9"/>
      <x:c r="J24" s="9"/>
    </x:row>
    <x:row r="25">
      <x:c r="A25" s="9" t="str">
        <x:v>KEY-4</x:v>
      </x:c>
      <x:c r="B25" s="9" t="str">
        <x:v>Public custodian 4</x:v>
      </x:c>
      <x:c r="C25" s="9" t="n">
        <x:v>0</x:v>
      </x:c>
      <x:c r="D25" s="9" t="n">
        <x:v>0</x:v>
      </x:c>
      <x:c r="E25" s="9" t="str">
        <x:v>UNISSUED / HELD</x:v>
      </x:c>
      <x:c r="F25" s="9"/>
      <x:c r="G25" s="9"/>
      <x:c r="H25" s="9"/>
      <x:c r="I25" s="9"/>
      <x:c r="J25" s="9"/>
    </x:row>
    <x:row r="26">
      <x:c r="A26" s="9" t="str">
        <x:v>KEY-5</x:v>
      </x:c>
      <x:c r="B26" s="9" t="str">
        <x:v>Public custodian 5</x:v>
      </x:c>
      <x:c r="C26" s="9" t="n">
        <x:v>0</x:v>
      </x:c>
      <x:c r="D26" s="9" t="n">
        <x:v>0</x:v>
      </x:c>
      <x:c r="E26" s="9" t="str">
        <x:v>UNISSUED / HELD</x:v>
      </x:c>
      <x:c r="F26" s="9"/>
      <x:c r="G26" s="9"/>
      <x:c r="H26" s="9"/>
      <x:c r="I26" s="9"/>
      <x:c r="J26" s="9"/>
    </x:row>
    <x:row r="27">
      <x:c r="A27" s="9" t="str">
        <x:v>KEY-6</x:v>
      </x:c>
      <x:c r="B27" s="9" t="str">
        <x:v>Public custodian 6</x:v>
      </x:c>
      <x:c r="C27" s="9" t="n">
        <x:v>0</x:v>
      </x:c>
      <x:c r="D27" s="9" t="n">
        <x:v>0</x:v>
      </x:c>
      <x:c r="E27" s="9" t="str">
        <x:v>UNISSUED / HELD</x:v>
      </x:c>
      <x:c r="F27" s="9"/>
      <x:c r="G27" s="9"/>
      <x:c r="H27" s="9"/>
      <x:c r="I27" s="9"/>
      <x:c r="J27" s="9"/>
    </x:row>
  </x:sheetData>
  <x:conditionalFormatting sqref="G7:G15">
    <x:cfRule type="containsText" dxfId="144" priority="1" operator="containsText" text="OPEN"/>
    <x:cfRule type="containsText" dxfId="145" priority="2" operator="containsText" text="BLOCKED"/>
    <x:cfRule type="containsText" dxfId="146" priority="3" operator="containsText" text="UNSTARTED"/>
    <x:cfRule type="containsText" dxfId="147" priority="4" operator="containsText" text="UNSEALED"/>
    <x:cfRule type="containsText" dxfId="148" priority="5" operator="containsText" text="UNACCEPTED"/>
    <x:cfRule type="containsText" dxfId="149" priority="6" operator="containsText" text="UNFILED"/>
    <x:cfRule type="containsText" dxfId="150" priority="7" operator="containsText" text="UNJUDGED"/>
    <x:cfRule type="containsText" dxfId="151" priority="8" operator="containsText" text="UNRELEASED"/>
    <x:cfRule type="containsText" dxfId="152" priority="9" operator="containsText" text="HELD"/>
    <x:cfRule type="containsText" dxfId="153" priority="10" operator="containsText" text="PENDING"/>
    <x:cfRule type="containsText" dxfId="154" priority="11" operator="containsText" text="SOURCE-EMPTY"/>
    <x:cfRule type="containsText" dxfId="155" priority="12" operator="containsText" text="FAIL"/>
    <x:cfRule type="containsText" dxfId="156" priority="13" operator="containsText" text="TERMINATE"/>
    <x:cfRule type="containsText" dxfId="157" priority="14" operator="containsText" text="PROHIBITED"/>
    <x:cfRule type="containsText" dxfId="158" priority="15" operator="containsText" text="BREACH"/>
    <x:cfRule type="containsText" dxfId="159" priority="16" operator="containsText" text="QUARANTINE"/>
  </x:conditionalFormatting>
  <x:conditionalFormatting sqref="E22:E27">
    <x:cfRule type="containsText" dxfId="160" priority="17" operator="containsText" text="OPEN"/>
    <x:cfRule type="containsText" dxfId="161" priority="18" operator="containsText" text="BLOCKED"/>
    <x:cfRule type="containsText" dxfId="162" priority="19" operator="containsText" text="UNSTARTED"/>
    <x:cfRule type="containsText" dxfId="163" priority="20" operator="containsText" text="UNSEALED"/>
    <x:cfRule type="containsText" dxfId="164" priority="21" operator="containsText" text="UNACCEPTED"/>
    <x:cfRule type="containsText" dxfId="165" priority="22" operator="containsText" text="UNFILED"/>
    <x:cfRule type="containsText" dxfId="166" priority="23" operator="containsText" text="UNJUDGED"/>
    <x:cfRule type="containsText" dxfId="167" priority="24" operator="containsText" text="UNRELEASED"/>
    <x:cfRule type="containsText" dxfId="168" priority="25" operator="containsText" text="HELD"/>
    <x:cfRule type="containsText" dxfId="169" priority="26" operator="containsText" text="PENDING"/>
    <x:cfRule type="containsText" dxfId="170" priority="27" operator="containsText" text="SOURCE-EMPTY"/>
    <x:cfRule type="containsText" dxfId="171" priority="28" operator="containsText" text="FAIL"/>
    <x:cfRule type="containsText" dxfId="172" priority="29" operator="containsText" text="TERMINATE"/>
    <x:cfRule type="containsText" dxfId="173" priority="30" operator="containsText" text="PROHIBITED"/>
    <x:cfRule type="containsText" dxfId="174" priority="31" operator="containsText" text="BREACH"/>
    <x:cfRule type="containsText" dxfId="175" priority="32" operator="containsText" text="QUARANTINE"/>
  </x:conditionalFormatting>
  <x:pageMargins left="0.7" right="0.7" top="0.75" bottom="0.75" header="0.3" footer="0.3"/>
  <x:tableParts count="2">
    <x:tablePart xmlns:r="http://schemas.openxmlformats.org/officeDocument/2006/relationships" r:id="Ra8e3779b477143e7"/>
    <x:tablePart xmlns:r="http://schemas.openxmlformats.org/officeDocument/2006/relationships" r:id="R50e37f67204f47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31" hidden="0" customWidth="1"/>
    <x:col min="4" max="4" width="20" hidden="0" customWidth="1"/>
    <x:col min="5" max="5" width="24" hidden="0" customWidth="1"/>
    <x:col min="6" max="6" width="26" hidden="0" customWidth="1"/>
    <x:col min="7" max="7" width="4" hidden="0" customWidth="1"/>
    <x:col min="8" max="8" width="4" hidden="0" customWidth="1"/>
    <x:col min="9" max="9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</x:row>
    <x:row r="2">
      <x:c r="A2" s="31" t="str">
        <x:v>Separated authority for start, safety, evidence and release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 ht="34" customHeight="1">
      <x:c r="A6" s="35" t="str">
        <x:v>Role</x:v>
      </x:c>
      <x:c r="B6" s="35" t="str">
        <x:v>Authority</x:v>
      </x:c>
      <x:c r="C6" s="35" t="str">
        <x:v>Sole control</x:v>
      </x:c>
      <x:c r="D6" s="35" t="str">
        <x:v>Sees sealed record</x:v>
      </x:c>
      <x:c r="E6" s="35" t="str">
        <x:v>Prohibited conversion</x:v>
      </x:c>
      <x:c r="F6" s="9"/>
      <x:c r="G6" s="9"/>
      <x:c r="H6" s="9"/>
      <x:c r="I6" s="9"/>
    </x:row>
    <x:row r="7">
      <x:c r="A7" s="9" t="str">
        <x:v>AU01</x:v>
      </x:c>
      <x:c r="B7" s="9" t="str">
        <x:v>Start registrar</x:v>
      </x:c>
      <x:c r="C7" s="17" t="str">
        <x:v>authorized-start certificate</x:v>
      </x:c>
      <x:c r="D7" s="17" t="n">
        <x:v>0</x:v>
      </x:c>
      <x:c r="E7" s="17" t="str">
        <x:v>cannot define physical start after the fact</x:v>
      </x:c>
      <x:c r="F7" s="9"/>
      <x:c r="G7" s="9"/>
      <x:c r="H7" s="9"/>
      <x:c r="I7" s="9"/>
    </x:row>
    <x:row r="8">
      <x:c r="A8" s="9" t="str">
        <x:v>AU02</x:v>
      </x:c>
      <x:c r="B8" s="9" t="str">
        <x:v>Event steward</x:v>
      </x:c>
      <x:c r="C8" s="17" t="str">
        <x:v>declared sequence and endpoint</x:v>
      </x:c>
      <x:c r="D8" s="17" t="n">
        <x:v>0</x:v>
      </x:c>
      <x:c r="E8" s="17" t="str">
        <x:v>cannot measure, invalidate or judge</x:v>
      </x:c>
      <x:c r="F8" s="9"/>
      <x:c r="G8" s="9"/>
      <x:c r="H8" s="9"/>
      <x:c r="I8" s="9"/>
    </x:row>
    <x:row r="9">
      <x:c r="A9" s="9" t="str">
        <x:v>AU03</x:v>
      </x:c>
      <x:c r="B9" s="9" t="str">
        <x:v>Safety authority</x:v>
      </x:c>
      <x:c r="C9" s="17" t="str">
        <x:v>unconditional stop and protection</x:v>
      </x:c>
      <x:c r="D9" s="17" t="n">
        <x:v>0</x:v>
      </x:c>
      <x:c r="E9" s="17" t="str">
        <x:v>cannot award favorable performance credit</x:v>
      </x:c>
      <x:c r="F9" s="9"/>
      <x:c r="G9" s="9"/>
      <x:c r="H9" s="9"/>
      <x:c r="I9" s="9"/>
    </x:row>
    <x:row r="10">
      <x:c r="A10" s="9" t="str">
        <x:v>AU04</x:v>
      </x:c>
      <x:c r="B10" s="9" t="str">
        <x:v>Candidate operator</x:v>
      </x:c>
      <x:c r="C10" s="17" t="str">
        <x:v>bounded candidate command</x:v>
      </x:c>
      <x:c r="D10" s="17" t="n">
        <x:v>0</x:v>
      </x:c>
      <x:c r="E10" s="17" t="str">
        <x:v>cannot hold raw originals or invalidate</x:v>
      </x:c>
      <x:c r="F10" s="9"/>
      <x:c r="G10" s="9"/>
      <x:c r="H10" s="9"/>
      <x:c r="I10" s="9"/>
    </x:row>
    <x:row r="11">
      <x:c r="A11" s="9" t="str">
        <x:v>AU05</x:v>
      </x:c>
      <x:c r="B11" s="9" t="str">
        <x:v>Fixture operator</x:v>
      </x:c>
      <x:c r="C11" s="17" t="str">
        <x:v>fixture and utility state</x:v>
      </x:c>
      <x:c r="D11" s="17" t="n">
        <x:v>0</x:v>
      </x:c>
      <x:c r="E11" s="17" t="str">
        <x:v>cannot tune candidate or judge result</x:v>
      </x:c>
      <x:c r="F11" s="9"/>
      <x:c r="G11" s="9"/>
      <x:c r="H11" s="9"/>
      <x:c r="I11" s="9"/>
    </x:row>
    <x:row r="12">
      <x:c r="A12" s="9" t="str">
        <x:v>AU06</x:v>
      </x:c>
      <x:c r="B12" s="9" t="str">
        <x:v>Primary metrology</x:v>
      </x:c>
      <x:c r="C12" s="17" t="str">
        <x:v>primary raw stream</x:v>
      </x:c>
      <x:c r="D12" s="17" t="n">
        <x:v>1</x:v>
      </x:c>
      <x:c r="E12" s="17" t="str">
        <x:v>cannot control witness, candidate or judgment</x:v>
      </x:c>
      <x:c r="F12" s="9"/>
      <x:c r="G12" s="9"/>
      <x:c r="H12" s="9"/>
      <x:c r="I12" s="9"/>
    </x:row>
    <x:row r="13">
      <x:c r="A13" s="9" t="str">
        <x:v>AU07</x:v>
      </x:c>
      <x:c r="B13" s="9" t="str">
        <x:v>Witness metrology</x:v>
      </x:c>
      <x:c r="C13" s="17" t="str">
        <x:v>unlike witness stream</x:v>
      </x:c>
      <x:c r="D13" s="17" t="n">
        <x:v>1</x:v>
      </x:c>
      <x:c r="E13" s="17" t="str">
        <x:v>cannot substitute for primary or judge</x:v>
      </x:c>
      <x:c r="F13" s="9"/>
      <x:c r="G13" s="9"/>
      <x:c r="H13" s="9"/>
      <x:c r="I13" s="9"/>
    </x:row>
    <x:row r="14">
      <x:c r="A14" s="9" t="str">
        <x:v>AU08</x:v>
      </x:c>
      <x:c r="B14" s="9" t="str">
        <x:v>Public custody</x:v>
      </x:c>
      <x:c r="C14" s="17" t="str">
        <x:v>hash, replica and access history</x:v>
      </x:c>
      <x:c r="D14" s="17" t="n">
        <x:v>1</x:v>
      </x:c>
      <x:c r="E14" s="17" t="str">
        <x:v>cannot calculate a performance verdict</x:v>
      </x:c>
      <x:c r="F14" s="9"/>
      <x:c r="G14" s="9"/>
      <x:c r="H14" s="9"/>
      <x:c r="I14" s="9"/>
    </x:row>
    <x:row r="15">
      <x:c r="A15" s="9" t="str">
        <x:v>AU09</x:v>
      </x:c>
      <x:c r="B15" s="9" t="str">
        <x:v>Receiver authority</x:v>
      </x:c>
      <x:c r="C15" s="17" t="str">
        <x:v>denominator and service receipt</x:v>
      </x:c>
      <x:c r="D15" s="17" t="n">
        <x:v>1</x:v>
      </x:c>
      <x:c r="E15" s="17" t="str">
        <x:v>cannot change population after visibility</x:v>
      </x:c>
      <x:c r="F15" s="9"/>
      <x:c r="G15" s="9"/>
      <x:c r="H15" s="9"/>
      <x:c r="I15" s="9"/>
    </x:row>
    <x:row r="16">
      <x:c r="A16" s="9" t="str">
        <x:v>AU10</x:v>
      </x:c>
      <x:c r="B16" s="9" t="str">
        <x:v>Observation court</x:v>
      </x:c>
      <x:c r="C16" s="17" t="str">
        <x:v>record acceptance and uncertainty</x:v>
      </x:c>
      <x:c r="D16" s="17" t="n">
        <x:v>1</x:v>
      </x:c>
      <x:c r="E16" s="17" t="str">
        <x:v>cannot apply performance threshold</x:v>
      </x:c>
      <x:c r="F16" s="9"/>
      <x:c r="G16" s="9"/>
      <x:c r="H16" s="9"/>
      <x:c r="I16" s="9"/>
    </x:row>
    <x:row r="17">
      <x:c r="A17" s="9" t="str">
        <x:v>AU11</x:v>
      </x:c>
      <x:c r="B17" s="9" t="str">
        <x:v>Invalidity court</x:v>
      </x:c>
      <x:c r="C17" s="17" t="str">
        <x:v>facility-cause petition</x:v>
      </x:c>
      <x:c r="D17" s="17" t="n">
        <x:v>1</x:v>
      </x:c>
      <x:c r="E17" s="17" t="str">
        <x:v>cannot erase start or create candidate credit</x:v>
      </x:c>
      <x:c r="F17" s="9"/>
      <x:c r="G17" s="9"/>
      <x:c r="H17" s="9"/>
      <x:c r="I17" s="9"/>
    </x:row>
    <x:row r="18">
      <x:c r="A18" s="9" t="str">
        <x:v>AU12</x:v>
      </x:c>
      <x:c r="B18" s="9" t="str">
        <x:v>BRK court</x:v>
      </x:c>
      <x:c r="C18" s="17" t="str">
        <x:v>registered fatal-endpoint judgment</x:v>
      </x:c>
      <x:c r="D18" s="17" t="n">
        <x:v>1</x:v>
      </x:c>
      <x:c r="E18" s="17" t="str">
        <x:v>cannot judge RCN or select a root</x:v>
      </x:c>
      <x:c r="F18" s="9"/>
      <x:c r="G18" s="9"/>
      <x:c r="H18" s="9"/>
      <x:c r="I18" s="9"/>
    </x:row>
    <x:row r="19">
      <x:c r="A19" s="9" t="str">
        <x:v>AU13</x:v>
      </x:c>
      <x:c r="B19" s="9" t="str">
        <x:v>Reconstruction court</x:v>
      </x:c>
      <x:c r="C19" s="17" t="str">
        <x:v>clean ancestry and RCN judgment</x:v>
      </x:c>
      <x:c r="D19" s="17" t="n">
        <x:v>1</x:v>
      </x:c>
      <x:c r="E19" s="17" t="str">
        <x:v>cannot receive origin coaching or select</x:v>
      </x:c>
      <x:c r="F19" s="9"/>
      <x:c r="G19" s="9"/>
      <x:c r="H19" s="9"/>
      <x:c r="I19" s="9"/>
    </x:row>
    <x:row r="20">
      <x:c r="A20" s="9" t="str">
        <x:v>AU14</x:v>
      </x:c>
      <x:c r="B20" s="9" t="str">
        <x:v>Dissent registrar</x:v>
      </x:c>
      <x:c r="C20" s="17" t="str">
        <x:v>contradiction and minority opinions</x:v>
      </x:c>
      <x:c r="D20" s="17" t="n">
        <x:v>1</x:v>
      </x:c>
      <x:c r="E20" s="17" t="str">
        <x:v>cannot average disagreement away</x:v>
      </x:c>
      <x:c r="F20" s="9"/>
      <x:c r="G20" s="9"/>
      <x:c r="H20" s="9"/>
      <x:c r="I20" s="9"/>
    </x:row>
    <x:row r="21">
      <x:c r="A21" s="9" t="str">
        <x:v>AU15</x:v>
      </x:c>
      <x:c r="B21" s="9" t="str">
        <x:v>Disclosure custodians</x:v>
      </x:c>
      <x:c r="C21" s="17" t="str">
        <x:v>packet completeness and cohort release</x:v>
      </x:c>
      <x:c r="D21" s="17" t="n">
        <x:v>1</x:v>
      </x:c>
      <x:c r="E21" s="17" t="str">
        <x:v>cannot omit adverse or invalid records</x:v>
      </x:c>
      <x:c r="F21" s="9"/>
      <x:c r="G21" s="9"/>
      <x:c r="H21" s="9"/>
      <x:c r="I21" s="9"/>
    </x:row>
    <x:row r="22">
      <x:c r="A22" s="9" t="str">
        <x:v>AU16</x:v>
      </x:c>
      <x:c r="B22" s="9" t="str">
        <x:v>Finance and selection authorities</x:v>
      </x:c>
      <x:c r="C22" s="17" t="str">
        <x:v>outside event compact</x:v>
      </x:c>
      <x:c r="D22" s="17" t="n">
        <x:v>0</x:v>
      </x:c>
      <x:c r="E22" s="17" t="str">
        <x:v>cannot see sealed results or alter earned payment</x:v>
      </x:c>
      <x:c r="F22" s="9"/>
      <x:c r="G22" s="9"/>
      <x:c r="H22" s="9"/>
      <x:c r="I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</x:row>
    <x:row r="26">
      <x:c r="A26" s="10" t="str">
        <x:v>Prohibited common-control edges</x:v>
      </x:c>
      <x:c r="B26" s="9"/>
      <x:c r="C26" s="9"/>
      <x:c r="D26" s="9"/>
      <x:c r="E26" s="9"/>
      <x:c r="F26" s="9"/>
      <x:c r="G26" s="9"/>
      <x:c r="H26" s="9"/>
      <x:c r="I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</x:row>
    <x:row r="28" ht="34" customHeight="1">
      <x:c r="A28" s="35" t="str">
        <x:v>Edge</x:v>
      </x:c>
      <x:c r="B28" s="35" t="str">
        <x:v>Authority A</x:v>
      </x:c>
      <x:c r="C28" s="35" t="str">
        <x:v>Authority B</x:v>
      </x:c>
      <x:c r="D28" s="35" t="str">
        <x:v>Rule</x:v>
      </x:c>
      <x:c r="E28" s="35" t="str">
        <x:v>Common control present</x:v>
      </x:c>
      <x:c r="F28" s="35" t="str">
        <x:v>State</x:v>
      </x:c>
      <x:c r="G28" s="9"/>
      <x:c r="H28" s="9"/>
      <x:c r="I28" s="9"/>
    </x:row>
    <x:row r="29">
      <x:c r="A29" s="9" t="str">
        <x:v>CE01</x:v>
      </x:c>
      <x:c r="B29" s="9" t="str">
        <x:v>Start registrar</x:v>
      </x:c>
      <x:c r="C29" s="9" t="str">
        <x:v>Candidate operator</x:v>
      </x:c>
      <x:c r="D29" s="9" t="str">
        <x:v>PROHIBITED</x:v>
      </x:c>
      <x:c r="E29" s="9" t="n">
        <x:v>0</x:v>
      </x:c>
      <x:c r="F29" s="9" t="str">
        <x:v>OPEN / UNASSIGNED</x:v>
      </x:c>
      <x:c r="G29" s="9"/>
      <x:c r="H29" s="9"/>
      <x:c r="I29" s="9"/>
    </x:row>
    <x:row r="30">
      <x:c r="A30" s="9" t="str">
        <x:v>CE02</x:v>
      </x:c>
      <x:c r="B30" s="9" t="str">
        <x:v>Start registrar</x:v>
      </x:c>
      <x:c r="C30" s="9" t="str">
        <x:v>Invalidity court</x:v>
      </x:c>
      <x:c r="D30" s="9" t="str">
        <x:v>PROHIBITED</x:v>
      </x:c>
      <x:c r="E30" s="9" t="n">
        <x:v>0</x:v>
      </x:c>
      <x:c r="F30" s="9" t="str">
        <x:v>OPEN / UNASSIGNED</x:v>
      </x:c>
      <x:c r="G30" s="9"/>
      <x:c r="H30" s="9"/>
      <x:c r="I30" s="9"/>
    </x:row>
    <x:row r="31">
      <x:c r="A31" s="9" t="str">
        <x:v>CE03</x:v>
      </x:c>
      <x:c r="B31" s="9" t="str">
        <x:v>Event steward</x:v>
      </x:c>
      <x:c r="C31" s="9" t="str">
        <x:v>Observation court</x:v>
      </x:c>
      <x:c r="D31" s="9" t="str">
        <x:v>PROHIBITED</x:v>
      </x:c>
      <x:c r="E31" s="9" t="n">
        <x:v>0</x:v>
      </x:c>
      <x:c r="F31" s="9" t="str">
        <x:v>OPEN / UNASSIGNED</x:v>
      </x:c>
      <x:c r="G31" s="9"/>
      <x:c r="H31" s="9"/>
      <x:c r="I31" s="9"/>
    </x:row>
    <x:row r="32">
      <x:c r="A32" s="9" t="str">
        <x:v>CE04</x:v>
      </x:c>
      <x:c r="B32" s="9" t="str">
        <x:v>Event steward</x:v>
      </x:c>
      <x:c r="C32" s="9" t="str">
        <x:v>BRK court</x:v>
      </x:c>
      <x:c r="D32" s="9" t="str">
        <x:v>PROHIBITED</x:v>
      </x:c>
      <x:c r="E32" s="9" t="n">
        <x:v>0</x:v>
      </x:c>
      <x:c r="F32" s="9" t="str">
        <x:v>OPEN / UNASSIGNED</x:v>
      </x:c>
      <x:c r="G32" s="9"/>
      <x:c r="H32" s="9"/>
      <x:c r="I32" s="9"/>
    </x:row>
    <x:row r="33">
      <x:c r="A33" s="9" t="str">
        <x:v>CE05</x:v>
      </x:c>
      <x:c r="B33" s="9" t="str">
        <x:v>Event steward</x:v>
      </x:c>
      <x:c r="C33" s="9" t="str">
        <x:v>Reconstruction court</x:v>
      </x:c>
      <x:c r="D33" s="9" t="str">
        <x:v>PROHIBITED</x:v>
      </x:c>
      <x:c r="E33" s="9" t="n">
        <x:v>0</x:v>
      </x:c>
      <x:c r="F33" s="9" t="str">
        <x:v>OPEN / UNASSIGNED</x:v>
      </x:c>
      <x:c r="G33" s="9"/>
      <x:c r="H33" s="9"/>
      <x:c r="I33" s="9"/>
    </x:row>
    <x:row r="34">
      <x:c r="A34" s="9" t="str">
        <x:v>CE06</x:v>
      </x:c>
      <x:c r="B34" s="9" t="str">
        <x:v>Safety authority</x:v>
      </x:c>
      <x:c r="C34" s="9" t="str">
        <x:v>Role court</x:v>
      </x:c>
      <x:c r="D34" s="9" t="str">
        <x:v>PROHIBITED</x:v>
      </x:c>
      <x:c r="E34" s="9" t="n">
        <x:v>0</x:v>
      </x:c>
      <x:c r="F34" s="9" t="str">
        <x:v>OPEN / UNASSIGNED</x:v>
      </x:c>
      <x:c r="G34" s="9"/>
      <x:c r="H34" s="9"/>
      <x:c r="I34" s="9"/>
    </x:row>
    <x:row r="35">
      <x:c r="A35" s="9" t="str">
        <x:v>CE07</x:v>
      </x:c>
      <x:c r="B35" s="9" t="str">
        <x:v>Safety authority</x:v>
      </x:c>
      <x:c r="C35" s="9" t="str">
        <x:v>Finance authority</x:v>
      </x:c>
      <x:c r="D35" s="9" t="str">
        <x:v>PROHIBITED</x:v>
      </x:c>
      <x:c r="E35" s="9" t="n">
        <x:v>0</x:v>
      </x:c>
      <x:c r="F35" s="9" t="str">
        <x:v>OPEN / UNASSIGNED</x:v>
      </x:c>
      <x:c r="G35" s="9"/>
      <x:c r="H35" s="9"/>
      <x:c r="I35" s="9"/>
    </x:row>
    <x:row r="36">
      <x:c r="A36" s="9" t="str">
        <x:v>CE08</x:v>
      </x:c>
      <x:c r="B36" s="9" t="str">
        <x:v>Candidate operator</x:v>
      </x:c>
      <x:c r="C36" s="9" t="str">
        <x:v>Fixture operator</x:v>
      </x:c>
      <x:c r="D36" s="9" t="str">
        <x:v>PROHIBITED</x:v>
      </x:c>
      <x:c r="E36" s="9" t="n">
        <x:v>0</x:v>
      </x:c>
      <x:c r="F36" s="9" t="str">
        <x:v>OPEN / UNASSIGNED</x:v>
      </x:c>
      <x:c r="G36" s="9"/>
      <x:c r="H36" s="9"/>
      <x:c r="I36" s="9"/>
    </x:row>
    <x:row r="37">
      <x:c r="A37" s="9" t="str">
        <x:v>CE09</x:v>
      </x:c>
      <x:c r="B37" s="9" t="str">
        <x:v>Candidate operator</x:v>
      </x:c>
      <x:c r="C37" s="9" t="str">
        <x:v>Primary metrology</x:v>
      </x:c>
      <x:c r="D37" s="9" t="str">
        <x:v>PROHIBITED</x:v>
      </x:c>
      <x:c r="E37" s="9" t="n">
        <x:v>0</x:v>
      </x:c>
      <x:c r="F37" s="9" t="str">
        <x:v>OPEN / UNASSIGNED</x:v>
      </x:c>
      <x:c r="G37" s="9"/>
      <x:c r="H37" s="9"/>
      <x:c r="I37" s="9"/>
    </x:row>
    <x:row r="38">
      <x:c r="A38" s="9" t="str">
        <x:v>CE10</x:v>
      </x:c>
      <x:c r="B38" s="9" t="str">
        <x:v>Candidate operator</x:v>
      </x:c>
      <x:c r="C38" s="9" t="str">
        <x:v>Witness metrology</x:v>
      </x:c>
      <x:c r="D38" s="9" t="str">
        <x:v>PROHIBITED</x:v>
      </x:c>
      <x:c r="E38" s="9" t="n">
        <x:v>0</x:v>
      </x:c>
      <x:c r="F38" s="9" t="str">
        <x:v>OPEN / UNASSIGNED</x:v>
      </x:c>
      <x:c r="G38" s="9"/>
      <x:c r="H38" s="9"/>
      <x:c r="I38" s="9"/>
    </x:row>
    <x:row r="39">
      <x:c r="A39" s="9" t="str">
        <x:v>CE11</x:v>
      </x:c>
      <x:c r="B39" s="9" t="str">
        <x:v>Candidate operator</x:v>
      </x:c>
      <x:c r="C39" s="9" t="str">
        <x:v>Public custody</x:v>
      </x:c>
      <x:c r="D39" s="9" t="str">
        <x:v>PROHIBITED</x:v>
      </x:c>
      <x:c r="E39" s="9" t="n">
        <x:v>0</x:v>
      </x:c>
      <x:c r="F39" s="9" t="str">
        <x:v>OPEN / UNASSIGNED</x:v>
      </x:c>
      <x:c r="G39" s="9"/>
      <x:c r="H39" s="9"/>
      <x:c r="I39" s="9"/>
    </x:row>
    <x:row r="40">
      <x:c r="A40" s="9" t="str">
        <x:v>CE12</x:v>
      </x:c>
      <x:c r="B40" s="9" t="str">
        <x:v>Candidate operator</x:v>
      </x:c>
      <x:c r="C40" s="9" t="str">
        <x:v>Receiver authority</x:v>
      </x:c>
      <x:c r="D40" s="9" t="str">
        <x:v>PROHIBITED</x:v>
      </x:c>
      <x:c r="E40" s="9" t="n">
        <x:v>0</x:v>
      </x:c>
      <x:c r="F40" s="9" t="str">
        <x:v>OPEN / UNASSIGNED</x:v>
      </x:c>
      <x:c r="G40" s="9"/>
      <x:c r="H40" s="9"/>
      <x:c r="I40" s="9"/>
    </x:row>
    <x:row r="41">
      <x:c r="A41" s="9" t="str">
        <x:v>CE13</x:v>
      </x:c>
      <x:c r="B41" s="9" t="str">
        <x:v>Candidate operator</x:v>
      </x:c>
      <x:c r="C41" s="9" t="str">
        <x:v>Invalidity court</x:v>
      </x:c>
      <x:c r="D41" s="9" t="str">
        <x:v>PROHIBITED</x:v>
      </x:c>
      <x:c r="E41" s="9" t="n">
        <x:v>0</x:v>
      </x:c>
      <x:c r="F41" s="9" t="str">
        <x:v>OPEN / UNASSIGNED</x:v>
      </x:c>
      <x:c r="G41" s="9"/>
      <x:c r="H41" s="9"/>
      <x:c r="I41" s="9"/>
    </x:row>
    <x:row r="42">
      <x:c r="A42" s="9" t="str">
        <x:v>CE14</x:v>
      </x:c>
      <x:c r="B42" s="9" t="str">
        <x:v>Candidate operator</x:v>
      </x:c>
      <x:c r="C42" s="9" t="str">
        <x:v>Disclosure custodian</x:v>
      </x:c>
      <x:c r="D42" s="9" t="str">
        <x:v>PROHIBITED</x:v>
      </x:c>
      <x:c r="E42" s="9" t="n">
        <x:v>0</x:v>
      </x:c>
      <x:c r="F42" s="9" t="str">
        <x:v>OPEN / UNASSIGNED</x:v>
      </x:c>
      <x:c r="G42" s="9"/>
      <x:c r="H42" s="9"/>
      <x:c r="I42" s="9"/>
    </x:row>
    <x:row r="43">
      <x:c r="A43" s="9" t="str">
        <x:v>CE15</x:v>
      </x:c>
      <x:c r="B43" s="9" t="str">
        <x:v>Fixture operator</x:v>
      </x:c>
      <x:c r="C43" s="9" t="str">
        <x:v>Primary metrology</x:v>
      </x:c>
      <x:c r="D43" s="9" t="str">
        <x:v>PROHIBITED</x:v>
      </x:c>
      <x:c r="E43" s="9" t="n">
        <x:v>0</x:v>
      </x:c>
      <x:c r="F43" s="9" t="str">
        <x:v>OPEN / UNASSIGNED</x:v>
      </x:c>
      <x:c r="G43" s="9"/>
      <x:c r="H43" s="9"/>
      <x:c r="I43" s="9"/>
    </x:row>
    <x:row r="44">
      <x:c r="A44" s="9" t="str">
        <x:v>CE16</x:v>
      </x:c>
      <x:c r="B44" s="9" t="str">
        <x:v>Fixture operator</x:v>
      </x:c>
      <x:c r="C44" s="9" t="str">
        <x:v>Witness metrology</x:v>
      </x:c>
      <x:c r="D44" s="9" t="str">
        <x:v>PROHIBITED</x:v>
      </x:c>
      <x:c r="E44" s="9" t="n">
        <x:v>0</x:v>
      </x:c>
      <x:c r="F44" s="9" t="str">
        <x:v>OPEN / UNASSIGNED</x:v>
      </x:c>
      <x:c r="G44" s="9"/>
      <x:c r="H44" s="9"/>
      <x:c r="I44" s="9"/>
    </x:row>
    <x:row r="45">
      <x:c r="A45" s="9" t="str">
        <x:v>CE17</x:v>
      </x:c>
      <x:c r="B45" s="9" t="str">
        <x:v>Primary metrology</x:v>
      </x:c>
      <x:c r="C45" s="9" t="str">
        <x:v>Witness metrology</x:v>
      </x:c>
      <x:c r="D45" s="9" t="str">
        <x:v>PROHIBITED</x:v>
      </x:c>
      <x:c r="E45" s="9" t="n">
        <x:v>0</x:v>
      </x:c>
      <x:c r="F45" s="9" t="str">
        <x:v>OPEN / UNASSIGNED</x:v>
      </x:c>
      <x:c r="G45" s="9"/>
      <x:c r="H45" s="9"/>
      <x:c r="I45" s="9"/>
    </x:row>
    <x:row r="46">
      <x:c r="A46" s="9" t="str">
        <x:v>CE18</x:v>
      </x:c>
      <x:c r="B46" s="9" t="str">
        <x:v>Primary metrology</x:v>
      </x:c>
      <x:c r="C46" s="9" t="str">
        <x:v>Observation court</x:v>
      </x:c>
      <x:c r="D46" s="9" t="str">
        <x:v>PROHIBITED</x:v>
      </x:c>
      <x:c r="E46" s="9" t="n">
        <x:v>0</x:v>
      </x:c>
      <x:c r="F46" s="9" t="str">
        <x:v>OPEN / UNASSIGNED</x:v>
      </x:c>
      <x:c r="G46" s="9"/>
      <x:c r="H46" s="9"/>
      <x:c r="I46" s="9"/>
    </x:row>
    <x:row r="47">
      <x:c r="A47" s="9" t="str">
        <x:v>CE19</x:v>
      </x:c>
      <x:c r="B47" s="9" t="str">
        <x:v>Witness metrology</x:v>
      </x:c>
      <x:c r="C47" s="9" t="str">
        <x:v>Observation court</x:v>
      </x:c>
      <x:c r="D47" s="9" t="str">
        <x:v>PROHIBITED</x:v>
      </x:c>
      <x:c r="E47" s="9" t="n">
        <x:v>0</x:v>
      </x:c>
      <x:c r="F47" s="9" t="str">
        <x:v>OPEN / UNASSIGNED</x:v>
      </x:c>
      <x:c r="G47" s="9"/>
      <x:c r="H47" s="9"/>
      <x:c r="I47" s="9"/>
    </x:row>
    <x:row r="48">
      <x:c r="A48" s="9" t="str">
        <x:v>CE20</x:v>
      </x:c>
      <x:c r="B48" s="9" t="str">
        <x:v>Public custody</x:v>
      </x:c>
      <x:c r="C48" s="9" t="str">
        <x:v>Observation court</x:v>
      </x:c>
      <x:c r="D48" s="9" t="str">
        <x:v>PROHIBITED</x:v>
      </x:c>
      <x:c r="E48" s="9" t="n">
        <x:v>0</x:v>
      </x:c>
      <x:c r="F48" s="9" t="str">
        <x:v>OPEN / UNASSIGNED</x:v>
      </x:c>
      <x:c r="G48" s="9"/>
      <x:c r="H48" s="9"/>
      <x:c r="I48" s="9"/>
    </x:row>
    <x:row r="49">
      <x:c r="A49" s="9" t="str">
        <x:v>CE21</x:v>
      </x:c>
      <x:c r="B49" s="9" t="str">
        <x:v>Public custody</x:v>
      </x:c>
      <x:c r="C49" s="9" t="str">
        <x:v>Role court</x:v>
      </x:c>
      <x:c r="D49" s="9" t="str">
        <x:v>PROHIBITED</x:v>
      </x:c>
      <x:c r="E49" s="9" t="n">
        <x:v>0</x:v>
      </x:c>
      <x:c r="F49" s="9" t="str">
        <x:v>OPEN / UNASSIGNED</x:v>
      </x:c>
      <x:c r="G49" s="9"/>
      <x:c r="H49" s="9"/>
      <x:c r="I49" s="9"/>
    </x:row>
    <x:row r="50">
      <x:c r="A50" s="9" t="str">
        <x:v>CE22</x:v>
      </x:c>
      <x:c r="B50" s="9" t="str">
        <x:v>Receiver authority</x:v>
      </x:c>
      <x:c r="C50" s="9" t="str">
        <x:v>Candidate operator</x:v>
      </x:c>
      <x:c r="D50" s="9" t="str">
        <x:v>PROHIBITED</x:v>
      </x:c>
      <x:c r="E50" s="9" t="n">
        <x:v>0</x:v>
      </x:c>
      <x:c r="F50" s="9" t="str">
        <x:v>OPEN / UNASSIGNED</x:v>
      </x:c>
      <x:c r="G50" s="9"/>
      <x:c r="H50" s="9"/>
      <x:c r="I50" s="9"/>
    </x:row>
    <x:row r="51">
      <x:c r="A51" s="9" t="str">
        <x:v>CE23</x:v>
      </x:c>
      <x:c r="B51" s="9" t="str">
        <x:v>Receiver authority</x:v>
      </x:c>
      <x:c r="C51" s="9" t="str">
        <x:v>Role court</x:v>
      </x:c>
      <x:c r="D51" s="9" t="str">
        <x:v>PROHIBITED</x:v>
      </x:c>
      <x:c r="E51" s="9" t="n">
        <x:v>0</x:v>
      </x:c>
      <x:c r="F51" s="9" t="str">
        <x:v>OPEN / UNASSIGNED</x:v>
      </x:c>
      <x:c r="G51" s="9"/>
      <x:c r="H51" s="9"/>
      <x:c r="I51" s="9"/>
    </x:row>
    <x:row r="52">
      <x:c r="A52" s="9" t="str">
        <x:v>CE24</x:v>
      </x:c>
      <x:c r="B52" s="9" t="str">
        <x:v>Invalidity court</x:v>
      </x:c>
      <x:c r="C52" s="9" t="str">
        <x:v>Role court</x:v>
      </x:c>
      <x:c r="D52" s="9" t="str">
        <x:v>PROHIBITED</x:v>
      </x:c>
      <x:c r="E52" s="9" t="n">
        <x:v>0</x:v>
      </x:c>
      <x:c r="F52" s="9" t="str">
        <x:v>OPEN / UNASSIGNED</x:v>
      </x:c>
      <x:c r="G52" s="9"/>
      <x:c r="H52" s="9"/>
      <x:c r="I52" s="9"/>
    </x:row>
    <x:row r="53">
      <x:c r="A53" s="9" t="str">
        <x:v>CE25</x:v>
      </x:c>
      <x:c r="B53" s="9" t="str">
        <x:v>Observation court</x:v>
      </x:c>
      <x:c r="C53" s="9" t="str">
        <x:v>BRK court</x:v>
      </x:c>
      <x:c r="D53" s="9" t="str">
        <x:v>PROHIBITED</x:v>
      </x:c>
      <x:c r="E53" s="9" t="n">
        <x:v>0</x:v>
      </x:c>
      <x:c r="F53" s="9" t="str">
        <x:v>OPEN / UNASSIGNED</x:v>
      </x:c>
      <x:c r="G53" s="9"/>
      <x:c r="H53" s="9"/>
      <x:c r="I53" s="9"/>
    </x:row>
    <x:row r="54">
      <x:c r="A54" s="9" t="str">
        <x:v>CE26</x:v>
      </x:c>
      <x:c r="B54" s="9" t="str">
        <x:v>Observation court</x:v>
      </x:c>
      <x:c r="C54" s="9" t="str">
        <x:v>Reconstruction court</x:v>
      </x:c>
      <x:c r="D54" s="9" t="str">
        <x:v>PROHIBITED</x:v>
      </x:c>
      <x:c r="E54" s="9" t="n">
        <x:v>0</x:v>
      </x:c>
      <x:c r="F54" s="9" t="str">
        <x:v>OPEN / UNASSIGNED</x:v>
      </x:c>
      <x:c r="G54" s="9"/>
      <x:c r="H54" s="9"/>
      <x:c r="I54" s="9"/>
    </x:row>
    <x:row r="55">
      <x:c r="A55" s="9" t="str">
        <x:v>CE27</x:v>
      </x:c>
      <x:c r="B55" s="9" t="str">
        <x:v>BRK court</x:v>
      </x:c>
      <x:c r="C55" s="9" t="str">
        <x:v>Reconstruction court</x:v>
      </x:c>
      <x:c r="D55" s="9" t="str">
        <x:v>PROHIBITED</x:v>
      </x:c>
      <x:c r="E55" s="9" t="n">
        <x:v>0</x:v>
      </x:c>
      <x:c r="F55" s="9" t="str">
        <x:v>OPEN / UNASSIGNED</x:v>
      </x:c>
      <x:c r="G55" s="9"/>
      <x:c r="H55" s="9"/>
      <x:c r="I55" s="9"/>
    </x:row>
    <x:row r="56">
      <x:c r="A56" s="9" t="str">
        <x:v>CE28</x:v>
      </x:c>
      <x:c r="B56" s="9" t="str">
        <x:v>Disclosure custodian</x:v>
      </x:c>
      <x:c r="C56" s="9" t="str">
        <x:v>Finance authority</x:v>
      </x:c>
      <x:c r="D56" s="9" t="str">
        <x:v>PROHIBITED</x:v>
      </x:c>
      <x:c r="E56" s="9" t="n">
        <x:v>0</x:v>
      </x:c>
      <x:c r="F56" s="9" t="str">
        <x:v>OPEN / UNASSIGNED</x:v>
      </x:c>
      <x:c r="G56" s="9"/>
      <x:c r="H56" s="9"/>
      <x:c r="I56" s="9"/>
    </x:row>
    <x:row r="57">
      <x:c r="A57" s="9" t="str">
        <x:v>CE29</x:v>
      </x:c>
      <x:c r="B57" s="9" t="str">
        <x:v>Disclosure custodian</x:v>
      </x:c>
      <x:c r="C57" s="9" t="str">
        <x:v>Selection authority</x:v>
      </x:c>
      <x:c r="D57" s="9" t="str">
        <x:v>PROHIBITED</x:v>
      </x:c>
      <x:c r="E57" s="9" t="n">
        <x:v>0</x:v>
      </x:c>
      <x:c r="F57" s="9" t="str">
        <x:v>OPEN / UNASSIGNED</x:v>
      </x:c>
      <x:c r="G57" s="9"/>
      <x:c r="H57" s="9"/>
      <x:c r="I57" s="9"/>
    </x:row>
    <x:row r="58">
      <x:c r="A58" s="9" t="str">
        <x:v>CE30</x:v>
      </x:c>
      <x:c r="B58" s="9" t="str">
        <x:v>Archive authority</x:v>
      </x:c>
      <x:c r="C58" s="9" t="str">
        <x:v>Procurement authority</x:v>
      </x:c>
      <x:c r="D58" s="9" t="str">
        <x:v>PROHIBITED</x:v>
      </x:c>
      <x:c r="E58" s="9" t="n">
        <x:v>0</x:v>
      </x:c>
      <x:c r="F58" s="9" t="str">
        <x:v>OPEN / UNASSIGNED</x:v>
      </x:c>
      <x:c r="G58" s="9"/>
      <x:c r="H58" s="9"/>
      <x:c r="I58" s="9"/>
    </x:row>
  </x:sheetData>
  <x:conditionalFormatting sqref="F29:F58">
    <x:cfRule type="containsText" dxfId="176" priority="1" operator="containsText" text="OPEN"/>
    <x:cfRule type="containsText" dxfId="177" priority="2" operator="containsText" text="BLOCKED"/>
    <x:cfRule type="containsText" dxfId="178" priority="3" operator="containsText" text="UNSTARTED"/>
    <x:cfRule type="containsText" dxfId="179" priority="4" operator="containsText" text="UNSEALED"/>
    <x:cfRule type="containsText" dxfId="180" priority="5" operator="containsText" text="UNACCEPTED"/>
    <x:cfRule type="containsText" dxfId="181" priority="6" operator="containsText" text="UNFILED"/>
    <x:cfRule type="containsText" dxfId="182" priority="7" operator="containsText" text="UNJUDGED"/>
    <x:cfRule type="containsText" dxfId="183" priority="8" operator="containsText" text="UNRELEASED"/>
    <x:cfRule type="containsText" dxfId="184" priority="9" operator="containsText" text="HELD"/>
    <x:cfRule type="containsText" dxfId="185" priority="10" operator="containsText" text="PENDING"/>
    <x:cfRule type="containsText" dxfId="186" priority="11" operator="containsText" text="SOURCE-EMPTY"/>
    <x:cfRule type="containsText" dxfId="187" priority="12" operator="containsText" text="FAIL"/>
    <x:cfRule type="containsText" dxfId="188" priority="13" operator="containsText" text="TERMINATE"/>
    <x:cfRule type="containsText" dxfId="189" priority="14" operator="containsText" text="PROHIBITED"/>
    <x:cfRule type="containsText" dxfId="190" priority="15" operator="containsText" text="BREACH"/>
    <x:cfRule type="containsText" dxfId="191" priority="16" operator="containsText" text="QUARANTINE"/>
  </x:conditionalFormatting>
  <x:pageMargins left="0.7" right="0.7" top="0.75" bottom="0.75" header="0.3" footer="0.3"/>
  <x:tableParts count="2">
    <x:tablePart xmlns:r="http://schemas.openxmlformats.org/officeDocument/2006/relationships" r:id="Rde213d3601eb4278"/>
    <x:tablePart xmlns:r="http://schemas.openxmlformats.org/officeDocument/2006/relationships" r:id="R4899877724ff4ba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34" hidden="0" customWidth="1"/>
    <x:col min="4" max="4" width="20" hidden="0" customWidth="1"/>
    <x:col min="5" max="5" width="38" hidden="0" customWidth="1"/>
    <x:col min="6" max="6" width="42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31" t="str">
        <x:v>Predetermined event and evidence dispositions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34" customHeight="1">
      <x:c r="A6" s="35" t="str">
        <x:v>Case</x:v>
      </x:c>
      <x:c r="B6" s="35" t="str">
        <x:v>Trigger</x:v>
      </x:c>
      <x:c r="C6" s="35" t="str">
        <x:v>Disposition</x:v>
      </x:c>
      <x:c r="D6" s="35" t="str">
        <x:v>New opportunity</x:v>
      </x:c>
      <x:c r="E6" s="35" t="str">
        <x:v>Judgment route</x:v>
      </x:c>
      <x:c r="F6" s="35" t="str">
        <x:v>Disclosure treatment</x:v>
      </x:c>
      <x:c r="G6" s="9"/>
      <x:c r="H6" s="9"/>
      <x:c r="I6" s="9"/>
      <x:c r="J6" s="9"/>
    </x:row>
    <x:row r="7">
      <x:c r="A7" s="9" t="str">
        <x:v>DG01</x:v>
      </x:c>
      <x:c r="B7" s="17" t="str">
        <x:v>No decisive operation</x:v>
      </x:c>
      <x:c r="C7" s="17" t="str">
        <x:v>UNEXECUTED</x:v>
      </x:c>
      <x:c r="D7" s="17" t="str">
        <x:v>yes</x:v>
      </x:c>
      <x:c r="E7" s="17" t="str">
        <x:v>none</x:v>
      </x:c>
      <x:c r="F7" s="17" t="str">
        <x:v>no result</x:v>
      </x:c>
      <x:c r="G7" s="9"/>
      <x:c r="H7" s="9"/>
      <x:c r="I7" s="9"/>
      <x:c r="J7" s="9"/>
    </x:row>
    <x:row r="8">
      <x:c r="A8" s="9" t="str">
        <x:v>DG02</x:v>
      </x:c>
      <x:c r="B8" s="17" t="str">
        <x:v>Authorized normal start; complete record</x:v>
      </x:c>
      <x:c r="C8" s="17" t="str">
        <x:v>VALID</x:v>
      </x:c>
      <x:c r="D8" s="17" t="str">
        <x:v>no</x:v>
      </x:c>
      <x:c r="E8" s="17" t="str">
        <x:v>role judgment</x:v>
      </x:c>
      <x:c r="F8" s="17" t="str">
        <x:v>final record</x:v>
      </x:c>
      <x:c r="G8" s="9"/>
      <x:c r="H8" s="9"/>
      <x:c r="I8" s="9"/>
      <x:c r="J8" s="9"/>
    </x:row>
    <x:row r="9">
      <x:c r="A9" s="9" t="str">
        <x:v>DG03</x:v>
      </x:c>
      <x:c r="B9" s="17" t="str">
        <x:v>Prestart abort; state unchanged</x:v>
      </x:c>
      <x:c r="C9" s="17" t="str">
        <x:v>NO START</x:v>
      </x:c>
      <x:c r="D9" s="17" t="str">
        <x:v>yes</x:v>
      </x:c>
      <x:c r="E9" s="17" t="str">
        <x:v>new EOW</x:v>
      </x:c>
      <x:c r="F9" s="17" t="str">
        <x:v>abort record</x:v>
      </x:c>
      <x:c r="G9" s="9"/>
      <x:c r="H9" s="9"/>
      <x:c r="I9" s="9"/>
      <x:c r="J9" s="9"/>
    </x:row>
    <x:row r="10">
      <x:c r="A10" s="9" t="str">
        <x:v>DG04</x:v>
      </x:c>
      <x:c r="B10" s="17" t="str">
        <x:v>Candidate energizes before authorization</x:v>
      </x:c>
      <x:c r="C10" s="17" t="str">
        <x:v>UNAUTHORIZED CANDIDATE EXPOSURE</x:v>
      </x:c>
      <x:c r="D10" s="17" t="str">
        <x:v>no</x:v>
      </x:c>
      <x:c r="E10" s="17" t="str">
        <x:v>adverse role judgment</x:v>
      </x:c>
      <x:c r="F10" s="17" t="str">
        <x:v>breach plus final record</x:v>
      </x:c>
      <x:c r="G10" s="9"/>
      <x:c r="H10" s="9"/>
      <x:c r="I10" s="9"/>
      <x:c r="J10" s="9"/>
    </x:row>
    <x:row r="11">
      <x:c r="A11" s="9" t="str">
        <x:v>DG05</x:v>
      </x:c>
      <x:c r="B11" s="17" t="str">
        <x:v>Facility starts article without candidate act</x:v>
      </x:c>
      <x:c r="C11" s="17" t="str">
        <x:v>FACILITY INVALID</x:v>
      </x:c>
      <x:c r="D11" s="17" t="str">
        <x:v>yes</x:v>
      </x:c>
      <x:c r="E11" s="17" t="str">
        <x:v>new slot and EOW</x:v>
      </x:c>
      <x:c r="F11" s="17" t="str">
        <x:v>preserve full record</x:v>
      </x:c>
      <x:c r="G11" s="9"/>
      <x:c r="H11" s="9"/>
      <x:c r="I11" s="9"/>
      <x:c r="J11" s="9"/>
    </x:row>
    <x:row r="12">
      <x:c r="A12" s="9" t="str">
        <x:v>DG06</x:v>
      </x:c>
      <x:c r="B12" s="17" t="str">
        <x:v>Candidate-caused safety stop</x:v>
      </x:c>
      <x:c r="C12" s="17" t="str">
        <x:v>VALID ADVERSE</x:v>
      </x:c>
      <x:c r="D12" s="17" t="str">
        <x:v>no</x:v>
      </x:c>
      <x:c r="E12" s="17" t="str">
        <x:v>adverse role judgment</x:v>
      </x:c>
      <x:c r="F12" s="17" t="str">
        <x:v>final record</x:v>
      </x:c>
      <x:c r="G12" s="9"/>
      <x:c r="H12" s="9"/>
      <x:c r="I12" s="9"/>
      <x:c r="J12" s="9"/>
    </x:row>
    <x:row r="13">
      <x:c r="A13" s="9" t="str">
        <x:v>DG07</x:v>
      </x:c>
      <x:c r="B13" s="17" t="str">
        <x:v>Facility-caused safety stop proven</x:v>
      </x:c>
      <x:c r="C13" s="17" t="str">
        <x:v>FACILITY INVALID</x:v>
      </x:c>
      <x:c r="D13" s="17" t="str">
        <x:v>yes</x:v>
      </x:c>
      <x:c r="E13" s="17" t="str">
        <x:v>new slot and EOW</x:v>
      </x:c>
      <x:c r="F13" s="17" t="str">
        <x:v>preserve full record</x:v>
      </x:c>
      <x:c r="G13" s="9"/>
      <x:c r="H13" s="9"/>
      <x:c r="I13" s="9"/>
      <x:c r="J13" s="9"/>
    </x:row>
    <x:row r="14">
      <x:c r="A14" s="9" t="str">
        <x:v>DG08</x:v>
      </x:c>
      <x:c r="B14" s="17" t="str">
        <x:v>Cause ambiguous after start</x:v>
      </x:c>
      <x:c r="C14" s="17" t="str">
        <x:v>VALID / UNRESOLVED</x:v>
      </x:c>
      <x:c r="D14" s="17" t="str">
        <x:v>no</x:v>
      </x:c>
      <x:c r="E14" s="17" t="str">
        <x:v>no favorable inference</x:v>
      </x:c>
      <x:c r="F14" s="17" t="str">
        <x:v>publish uncertainty</x:v>
      </x:c>
      <x:c r="G14" s="9"/>
      <x:c r="H14" s="9"/>
      <x:c r="I14" s="9"/>
      <x:c r="J14" s="9"/>
    </x:row>
    <x:row r="15">
      <x:c r="A15" s="9" t="str">
        <x:v>DG09</x:v>
      </x:c>
      <x:c r="B15" s="17" t="str">
        <x:v>Primary record fails; facility cause proven</x:v>
      </x:c>
      <x:c r="C15" s="17" t="str">
        <x:v>FACILITY INVALID</x:v>
      </x:c>
      <x:c r="D15" s="17" t="str">
        <x:v>yes</x:v>
      </x:c>
      <x:c r="E15" s="17" t="str">
        <x:v>new slot and EOW</x:v>
      </x:c>
      <x:c r="F15" s="17" t="str">
        <x:v>witness cannot substitute</x:v>
      </x:c>
      <x:c r="G15" s="9"/>
      <x:c r="H15" s="9"/>
      <x:c r="I15" s="9"/>
      <x:c r="J15" s="9"/>
    </x:row>
    <x:row r="16">
      <x:c r="A16" s="9" t="str">
        <x:v>DG10</x:v>
      </x:c>
      <x:c r="B16" s="17" t="str">
        <x:v>Witness record fails alone</x:v>
      </x:c>
      <x:c r="C16" s="17" t="str">
        <x:v>VALID / WITNESS LOSS</x:v>
      </x:c>
      <x:c r="D16" s="17" t="str">
        <x:v>no</x:v>
      </x:c>
      <x:c r="E16" s="17" t="str">
        <x:v>observation court</x:v>
      </x:c>
      <x:c r="F16" s="17" t="str">
        <x:v>publish missingness</x:v>
      </x:c>
      <x:c r="G16" s="9"/>
      <x:c r="H16" s="9"/>
      <x:c r="I16" s="9"/>
      <x:c r="J16" s="9"/>
    </x:row>
    <x:row r="17">
      <x:c r="A17" s="9" t="str">
        <x:v>DG11</x:v>
      </x:c>
      <x:c r="B17" s="17" t="str">
        <x:v>Primary and witness disagree</x:v>
      </x:c>
      <x:c r="C17" s="17" t="str">
        <x:v>VALID / CONTRADICTED</x:v>
      </x:c>
      <x:c r="D17" s="17" t="str">
        <x:v>no</x:v>
      </x:c>
      <x:c r="E17" s="17" t="str">
        <x:v>separate judgments</x:v>
      </x:c>
      <x:c r="F17" s="17" t="str">
        <x:v>publish both</x:v>
      </x:c>
      <x:c r="G17" s="9"/>
      <x:c r="H17" s="9"/>
      <x:c r="I17" s="9"/>
      <x:c r="J17" s="9"/>
    </x:row>
    <x:row r="18">
      <x:c r="A18" s="9" t="str">
        <x:v>DG12</x:v>
      </x:c>
      <x:c r="B18" s="17" t="str">
        <x:v>Outcome-selected invalidity petition</x:v>
      </x:c>
      <x:c r="C18" s="17" t="str">
        <x:v>PETITION DENIED</x:v>
      </x:c>
      <x:c r="D18" s="17" t="str">
        <x:v>no</x:v>
      </x:c>
      <x:c r="E18" s="17" t="str">
        <x:v>role judgment</x:v>
      </x:c>
      <x:c r="F18" s="17" t="str">
        <x:v>publish petition</x:v>
      </x:c>
      <x:c r="G18" s="9"/>
      <x:c r="H18" s="9"/>
      <x:c r="I18" s="9"/>
      <x:c r="J18" s="9"/>
    </x:row>
    <x:row r="19">
      <x:c r="A19" s="9" t="str">
        <x:v>DG13</x:v>
      </x:c>
      <x:c r="B19" s="17" t="str">
        <x:v>BRK survives fatal event</x:v>
      </x:c>
      <x:c r="C19" s="17" t="str">
        <x:v>VALID BRK RESULT</x:v>
      </x:c>
      <x:c r="D19" s="17" t="str">
        <x:v>no</x:v>
      </x:c>
      <x:c r="E19" s="17" t="str">
        <x:v>registered endpoint judgment</x:v>
      </x:c>
      <x:c r="F19" s="17" t="str">
        <x:v>BRK role consumed</x:v>
      </x:c>
      <x:c r="G19" s="9"/>
      <x:c r="H19" s="9"/>
      <x:c r="I19" s="9"/>
      <x:c r="J19" s="9"/>
    </x:row>
    <x:row r="20">
      <x:c r="A20" s="9" t="str">
        <x:v>DG14</x:v>
      </x:c>
      <x:c r="B20" s="17" t="str">
        <x:v>BRK destroyed before decisive start</x:v>
      </x:c>
      <x:c r="C20" s="17" t="str">
        <x:v>NO EVENT</x:v>
      </x:c>
      <x:c r="D20" s="17" t="str">
        <x:v>yes</x:v>
      </x:c>
      <x:c r="E20" s="17" t="str">
        <x:v>cause and title docket</x:v>
      </x:c>
      <x:c r="F20" s="17" t="str">
        <x:v>no BRK result</x:v>
      </x:c>
      <x:c r="G20" s="9"/>
      <x:c r="H20" s="9"/>
      <x:c r="I20" s="9"/>
      <x:c r="J20" s="9"/>
    </x:row>
    <x:row r="21">
      <x:c r="A21" s="9" t="str">
        <x:v>DG15</x:v>
      </x:c>
      <x:c r="B21" s="17" t="str">
        <x:v>Origin assists RCN</x:v>
      </x:c>
      <x:c r="C21" s="17" t="str">
        <x:v>RCN ANCESTRY BREACH</x:v>
      </x:c>
      <x:c r="D21" s="17" t="str">
        <x:v>no</x:v>
      </x:c>
      <x:c r="E21" s="17" t="str">
        <x:v>terminate RCN claim</x:v>
      </x:c>
      <x:c r="F21" s="17" t="str">
        <x:v>publish breach</x:v>
      </x:c>
      <x:c r="G21" s="9"/>
      <x:c r="H21" s="9"/>
      <x:c r="I21" s="9"/>
      <x:c r="J21" s="9"/>
    </x:row>
    <x:row r="22">
      <x:c r="A22" s="9" t="str">
        <x:v>DG16</x:v>
      </x:c>
      <x:c r="B22" s="17" t="str">
        <x:v>Rebuilt wreck offered as RCN</x:v>
      </x:c>
      <x:c r="C22" s="17" t="str">
        <x:v>ROLE BREACH</x:v>
      </x:c>
      <x:c r="D22" s="17" t="str">
        <x:v>no</x:v>
      </x:c>
      <x:c r="E22" s="17" t="str">
        <x:v>terminate RCN claim</x:v>
      </x:c>
      <x:c r="F22" s="17" t="str">
        <x:v>wreck remains BRK residual</x:v>
      </x:c>
      <x:c r="G22" s="9"/>
      <x:c r="H22" s="9"/>
      <x:c r="I22" s="9"/>
      <x:c r="J22" s="9"/>
    </x:row>
    <x:row r="23">
      <x:c r="A23" s="9" t="str">
        <x:v>DG17</x:v>
      </x:c>
      <x:c r="B23" s="17" t="str">
        <x:v>Embargo leak</x:v>
      </x:c>
      <x:c r="C23" s="17" t="str">
        <x:v>DISCLOSURE BREACH</x:v>
      </x:c>
      <x:c r="D23" s="17" t="str">
        <x:v>no</x:v>
      </x:c>
      <x:c r="E23" s="17" t="str">
        <x:v>freeze selection and publish leak</x:v>
      </x:c>
      <x:c r="F23" s="17" t="str">
        <x:v>record remains valid</x:v>
      </x:c>
      <x:c r="G23" s="9"/>
      <x:c r="H23" s="9"/>
      <x:c r="I23" s="9"/>
      <x:c r="J23" s="9"/>
    </x:row>
    <x:row r="24">
      <x:c r="A24" s="9" t="str">
        <x:v>DG18</x:v>
      </x:c>
      <x:c r="B24" s="17" t="str">
        <x:v>All 144 dockets terminal and packets complete</x:v>
      </x:c>
      <x:c r="C24" s="17" t="str">
        <x:v>COHORT RELEASE</x:v>
      </x:c>
      <x:c r="D24" s="17" t="str">
        <x:v>n.a.</x:v>
      </x:c>
      <x:c r="E24" s="17" t="str">
        <x:v>four-of-six release</x:v>
      </x:c>
      <x:c r="F24" s="17" t="str">
        <x:v>simultaneous public disclosure</x:v>
      </x:c>
      <x:c r="G24" s="9"/>
      <x:c r="H24" s="9"/>
      <x:c r="I24" s="9"/>
      <x:c r="J24" s="9"/>
    </x:row>
  </x:sheetData>
  <x:pageMargins left="0.7" right="0.7" top="0.75" bottom="0.75" header="0.3" footer="0.3"/>
  <x:tableParts count="1">
    <x:tablePart xmlns:r="http://schemas.openxmlformats.org/officeDocument/2006/relationships" r:id="R0561f18bb43444a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20" hidden="0" customWidth="1"/>
    <x:col min="4" max="4" width="30" hidden="0" customWidth="1"/>
    <x:col min="5" max="5" width="28" hidden="0" customWidth="1"/>
    <x:col min="6" max="6" width="58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31" t="str">
        <x:v>Execution and adjudication functions inside inherited exposure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34" customHeight="1">
      <x:c r="A6" s="35" t="str">
        <x:v>Jurisdiction</x:v>
      </x:c>
      <x:c r="B6" s="35" t="str">
        <x:v>Function</x:v>
      </x:c>
      <x:c r="C6" s="35" t="str">
        <x:v>Planning share</x:v>
      </x:c>
      <x:c r="D6" s="35" t="str">
        <x:v>Planning exposure (USD M)</x:v>
      </x:c>
      <x:c r="E6" s="35" t="str">
        <x:v>Actual obligation (USD M)</x:v>
      </x:c>
      <x:c r="F6" s="35" t="str">
        <x:v>Boundary</x:v>
      </x:c>
      <x:c r="G6" s="9"/>
      <x:c r="H6" s="9"/>
      <x:c r="I6" s="9"/>
      <x:c r="J6" s="9"/>
    </x:row>
    <x:row r="7">
      <x:c r="A7" s="9" t="str">
        <x:v>Candidate fabrication and data</x:v>
      </x:c>
      <x:c r="B7" s="9" t="str">
        <x:v>Article completion and interface dossier</x:v>
      </x:c>
      <x:c r="C7" s="24" t="n">
        <x:v>0.9</x:v>
      </x:c>
      <x:c r="D7" s="12" t="n">
        <x:f>C7*Inputs!B34</x:f>
        <x:v>14739.0000003</x:v>
      </x:c>
      <x:c r="E7" s="12" t="n">
        <x:v>0</x:v>
      </x:c>
      <x:c r="F7" s="17" t="str">
        <x:v>no outcome-contingent fee</x:v>
      </x:c>
      <x:c r="G7" s="9"/>
      <x:c r="H7" s="9"/>
      <x:c r="I7" s="9"/>
      <x:c r="J7" s="9"/>
    </x:row>
    <x:row r="8">
      <x:c r="A8" s="9" t="str">
        <x:v>Candidate fabrication and data</x:v>
      </x:c>
      <x:c r="B8" s="9" t="str">
        <x:v>Bounded operator training</x:v>
      </x:c>
      <x:c r="C8" s="24" t="n">
        <x:v>0.05</x:v>
      </x:c>
      <x:c r="D8" s="12" t="n">
        <x:f>C8*Inputs!B34</x:f>
        <x:v>818.83333335</x:v>
      </x:c>
      <x:c r="E8" s="12" t="n">
        <x:v>0</x:v>
      </x:c>
      <x:c r="F8" s="17" t="str">
        <x:v>no event access after start</x:v>
      </x:c>
      <x:c r="G8" s="9"/>
      <x:c r="H8" s="9"/>
      <x:c r="I8" s="9"/>
      <x:c r="J8" s="9"/>
    </x:row>
    <x:row r="9">
      <x:c r="A9" s="9" t="str">
        <x:v>Candidate fabrication and data</x:v>
      </x:c>
      <x:c r="B9" s="9" t="str">
        <x:v>Post-event technical response</x:v>
      </x:c>
      <x:c r="C9" s="24" t="n">
        <x:v>0.05</x:v>
      </x:c>
      <x:c r="D9" s="12" t="n">
        <x:f>C9*Inputs!B34</x:f>
        <x:v>818.83333335</x:v>
      </x:c>
      <x:c r="E9" s="12" t="n">
        <x:v>0</x:v>
      </x:c>
      <x:c r="F9" s="17" t="str">
        <x:v>sealed questions; no raw custody</x:v>
      </x:c>
      <x:c r="G9" s="9"/>
      <x:c r="H9" s="9"/>
      <x:c r="I9" s="9"/>
      <x:c r="J9" s="9"/>
    </x:row>
    <x:row r="10">
      <x:c r="A10" s="9" t="str">
        <x:v>Proving stations</x:v>
      </x:c>
      <x:c r="B10" s="9" t="str">
        <x:v>Live event operations</x:v>
      </x:c>
      <x:c r="C10" s="24" t="n">
        <x:v>0.3</x:v>
      </x:c>
      <x:c r="D10" s="12" t="n">
        <x:f>C10*Inputs!B35</x:f>
        <x:v>1590</x:v>
      </x:c>
      <x:c r="E10" s="12" t="n">
        <x:v>0</x:v>
      </x:c>
      <x:c r="F10" s="17" t="str">
        <x:v>site, fixture and event stewardship</x:v>
      </x:c>
      <x:c r="G10" s="9"/>
      <x:c r="H10" s="9"/>
      <x:c r="I10" s="9"/>
      <x:c r="J10" s="9"/>
    </x:row>
    <x:row r="11">
      <x:c r="A11" s="9" t="str">
        <x:v>Proving stations</x:v>
      </x:c>
      <x:c r="B11" s="9" t="str">
        <x:v>Safety and intervention</x:v>
      </x:c>
      <x:c r="C11" s="24" t="n">
        <x:v>0.25</x:v>
      </x:c>
      <x:c r="D11" s="12" t="n">
        <x:f>C11*Inputs!B35</x:f>
        <x:v>1325</x:v>
      </x:c>
      <x:c r="E11" s="12" t="n">
        <x:v>0</x:v>
      </x:c>
      <x:c r="F11" s="17" t="str">
        <x:v>unconditional public protection</x:v>
      </x:c>
      <x:c r="G11" s="9"/>
      <x:c r="H11" s="9"/>
      <x:c r="I11" s="9"/>
      <x:c r="J11" s="9"/>
    </x:row>
    <x:row r="12">
      <x:c r="A12" s="9" t="str">
        <x:v>Proving stations</x:v>
      </x:c>
      <x:c r="B12" s="9" t="str">
        <x:v>Receiver and service integration</x:v>
      </x:c>
      <x:c r="C12" s="24" t="n">
        <x:v>0.15</x:v>
      </x:c>
      <x:c r="D12" s="12" t="n">
        <x:f>C12*Inputs!B35</x:f>
        <x:v>795</x:v>
      </x:c>
      <x:c r="E12" s="12" t="n">
        <x:v>0</x:v>
      </x:c>
      <x:c r="F12" s="17" t="str">
        <x:v>frozen denominator and rights</x:v>
      </x:c>
      <x:c r="G12" s="9"/>
      <x:c r="H12" s="9"/>
      <x:c r="I12" s="9"/>
      <x:c r="J12" s="9"/>
    </x:row>
    <x:row r="13">
      <x:c r="A13" s="9" t="str">
        <x:v>Proving stations</x:v>
      </x:c>
      <x:c r="B13" s="9" t="str">
        <x:v>Recovery and residual custody</x:v>
      </x:c>
      <x:c r="C13" s="24" t="n">
        <x:v>0.15</x:v>
      </x:c>
      <x:c r="D13" s="12" t="n">
        <x:f>C13*Inputs!B35</x:f>
        <x:v>795</x:v>
      </x:c>
      <x:c r="E13" s="12" t="n">
        <x:v>0</x:v>
      </x:c>
      <x:c r="F13" s="17" t="str">
        <x:v>safe state, debris and material account</x:v>
      </x:c>
      <x:c r="G13" s="9"/>
      <x:c r="H13" s="9"/>
      <x:c r="I13" s="9"/>
      <x:c r="J13" s="9"/>
    </x:row>
    <x:row r="14">
      <x:c r="A14" s="9" t="str">
        <x:v>Proving stations</x:v>
      </x:c>
      <x:c r="B14" s="9" t="str">
        <x:v>Migration and invalid-opportunity reserve</x:v>
      </x:c>
      <x:c r="C14" s="24" t="n">
        <x:v>0.15</x:v>
      </x:c>
      <x:c r="D14" s="12" t="n">
        <x:f>C14*Inputs!B35</x:f>
        <x:v>795</x:v>
      </x:c>
      <x:c r="E14" s="12" t="n">
        <x:v>0</x:v>
      </x:c>
      <x:c r="F14" s="17" t="str">
        <x:v>new slot only after proven facility cause</x:v>
      </x:c>
      <x:c r="G14" s="9"/>
      <x:c r="H14" s="9"/>
      <x:c r="I14" s="9"/>
      <x:c r="J14" s="9"/>
    </x:row>
    <x:row r="15">
      <x:c r="A15" s="9" t="str">
        <x:v>Metrology and custody</x:v>
      </x:c>
      <x:c r="B15" s="9" t="str">
        <x:v>Primary measurement</x:v>
      </x:c>
      <x:c r="C15" s="24" t="n">
        <x:v>0.3</x:v>
      </x:c>
      <x:c r="D15" s="12" t="n">
        <x:f>C15*Inputs!B36</x:f>
        <x:v>645</x:v>
      </x:c>
      <x:c r="E15" s="12" t="n">
        <x:v>0</x:v>
      </x:c>
      <x:c r="F15" s="17" t="str">
        <x:v>primary chain and references</x:v>
      </x:c>
      <x:c r="G15" s="9"/>
      <x:c r="H15" s="9"/>
      <x:c r="I15" s="9"/>
      <x:c r="J15" s="9"/>
    </x:row>
    <x:row r="16">
      <x:c r="A16" s="9" t="str">
        <x:v>Metrology and custody</x:v>
      </x:c>
      <x:c r="B16" s="9" t="str">
        <x:v>Unlike witness measurement</x:v>
      </x:c>
      <x:c r="C16" s="24" t="n">
        <x:v>0.3</x:v>
      </x:c>
      <x:c r="D16" s="12" t="n">
        <x:f>C16*Inputs!B36</x:f>
        <x:v>645</x:v>
      </x:c>
      <x:c r="E16" s="12" t="n">
        <x:v>0</x:v>
      </x:c>
      <x:c r="F16" s="17" t="str">
        <x:v>independent ancestry and clock</x:v>
      </x:c>
      <x:c r="G16" s="9"/>
      <x:c r="H16" s="9"/>
      <x:c r="I16" s="9"/>
      <x:c r="J16" s="9"/>
    </x:row>
    <x:row r="17">
      <x:c r="A17" s="9" t="str">
        <x:v>Metrology and custody</x:v>
      </x:c>
      <x:c r="B17" s="9" t="str">
        <x:v>Public custody</x:v>
      </x:c>
      <x:c r="C17" s="24" t="n">
        <x:v>0.2</x:v>
      </x:c>
      <x:c r="D17" s="12" t="n">
        <x:f>C17*Inputs!B36</x:f>
        <x:v>430</x:v>
      </x:c>
      <x:c r="E17" s="12" t="n">
        <x:v>0</x:v>
      </x:c>
      <x:c r="F17" s="17" t="str">
        <x:v>hashes, replicas, keys and access</x:v>
      </x:c>
      <x:c r="G17" s="9"/>
      <x:c r="H17" s="9"/>
      <x:c r="I17" s="9"/>
      <x:c r="J17" s="9"/>
    </x:row>
    <x:row r="18">
      <x:c r="A18" s="9" t="str">
        <x:v>Metrology and custody</x:v>
      </x:c>
      <x:c r="B18" s="9" t="str">
        <x:v>Observation and invalidity courts</x:v>
      </x:c>
      <x:c r="C18" s="24" t="n">
        <x:v>0.1</x:v>
      </x:c>
      <x:c r="D18" s="12" t="n">
        <x:f>C18*Inputs!B36</x:f>
        <x:v>215</x:v>
      </x:c>
      <x:c r="E18" s="12" t="n">
        <x:v>0</x:v>
      </x:c>
      <x:c r="F18" s="17" t="str">
        <x:v>record and causal judgments</x:v>
      </x:c>
      <x:c r="G18" s="9"/>
      <x:c r="H18" s="9"/>
      <x:c r="I18" s="9"/>
      <x:c r="J18" s="9"/>
    </x:row>
    <x:row r="19">
      <x:c r="A19" s="9" t="str">
        <x:v>Metrology and custody</x:v>
      </x:c>
      <x:c r="B19" s="9" t="str">
        <x:v>Disclosure and replay</x:v>
      </x:c>
      <x:c r="C19" s="24" t="n">
        <x:v>0.1</x:v>
      </x:c>
      <x:c r="D19" s="12" t="n">
        <x:f>C19*Inputs!B36</x:f>
        <x:v>215</x:v>
      </x:c>
      <x:c r="E19" s="12" t="n">
        <x:v>0</x:v>
      </x:c>
      <x:c r="F19" s="17" t="str">
        <x:v>complete cohort packets</x:v>
      </x:c>
      <x:c r="G19" s="9"/>
      <x:c r="H19" s="9"/>
      <x:c r="I19" s="9"/>
      <x:c r="J19" s="9"/>
    </x:row>
    <x:row r="20">
      <x:c r="A20" s="9" t="str">
        <x:v>Replacement and regeneration</x:v>
      </x:c>
      <x:c r="B20" s="9" t="str">
        <x:v>Virgin clean reconstruction</x:v>
      </x:c>
      <x:c r="C20" s="24" t="n">
        <x:v>0.7</x:v>
      </x:c>
      <x:c r="D20" s="12" t="n">
        <x:f>C20*Inputs!B37</x:f>
        <x:v>849.3333331</x:v>
      </x:c>
      <x:c r="E20" s="12" t="n">
        <x:v>0</x:v>
      </x:c>
      <x:c r="F20" s="17" t="str">
        <x:v>RCN article and denied-origin process</x:v>
      </x:c>
      <x:c r="G20" s="9"/>
      <x:c r="H20" s="9"/>
      <x:c r="I20" s="9"/>
      <x:c r="J20" s="9"/>
    </x:row>
    <x:row r="21">
      <x:c r="A21" s="9" t="str">
        <x:v>Replacement and regeneration</x:v>
      </x:c>
      <x:c r="B21" s="9" t="str">
        <x:v>Reconstruction adjudication</x:v>
      </x:c>
      <x:c r="C21" s="24" t="n">
        <x:v>0.2</x:v>
      </x:c>
      <x:c r="D21" s="12" t="n">
        <x:f>C21*Inputs!B37</x:f>
        <x:v>242.6666666</x:v>
      </x:c>
      <x:c r="E21" s="12" t="n">
        <x:v>0</x:v>
      </x:c>
      <x:c r="F21" s="17" t="str">
        <x:v>ancestry and role-native judgment</x:v>
      </x:c>
      <x:c r="G21" s="9"/>
      <x:c r="H21" s="9"/>
      <x:c r="I21" s="9"/>
      <x:c r="J21" s="9"/>
    </x:row>
    <x:row r="22">
      <x:c r="A22" s="9" t="str">
        <x:v>Replacement and regeneration</x:v>
      </x:c>
      <x:c r="B22" s="9" t="str">
        <x:v>Public clean replay</x:v>
      </x:c>
      <x:c r="C22" s="24" t="n">
        <x:v>0.1</x:v>
      </x:c>
      <x:c r="D22" s="12" t="n">
        <x:f>C22*Inputs!B37</x:f>
        <x:v>121.3333333</x:v>
      </x:c>
      <x:c r="E22" s="12" t="n">
        <x:v>0</x:v>
      </x:c>
      <x:c r="F22" s="17" t="str">
        <x:v>outside reconstruction of released package</x:v>
      </x:c>
      <x:c r="G22" s="9"/>
      <x:c r="H22" s="9"/>
      <x:c r="I22" s="9"/>
      <x:c r="J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</x:row>
    <x:row r="26" ht="34" customHeight="1">
      <x:c r="A26" s="35" t="str">
        <x:v>Jurisdiction</x:v>
      </x:c>
      <x:c r="B26" s="35" t="str">
        <x:v>Inherited exposure (USD M)</x:v>
      </x:c>
      <x:c r="C26" s="35" t="str">
        <x:v>Functional partition (USD M)</x:v>
      </x:c>
      <x:c r="D26" s="35" t="str">
        <x:v>Difference (USD M)</x:v>
      </x:c>
      <x:c r="E26" s="35" t="str">
        <x:v>Actual obligation (USD M)</x:v>
      </x:c>
      <x:c r="F26" s="35" t="str">
        <x:v>State</x:v>
      </x:c>
      <x:c r="G26" s="9"/>
      <x:c r="H26" s="9"/>
      <x:c r="I26" s="9"/>
      <x:c r="J26" s="9"/>
    </x:row>
    <x:row r="27">
      <x:c r="A27" s="9" t="str">
        <x:v>Candidate fabrication and data</x:v>
      </x:c>
      <x:c r="B27" s="12" t="n">
        <x:f>Inputs!B34</x:f>
        <x:v>16376.666667</x:v>
      </x:c>
      <x:c r="C27" s="12" t="n">
        <x:f>SUMIFS($D$7:$D$22,$A$7:$A$22,A27)</x:f>
        <x:v>16376.666667</x:v>
      </x:c>
      <x:c r="D27" s="12" t="n">
        <x:f>C27-B27</x:f>
        <x:v>0</x:v>
      </x:c>
      <x:c r="E27" s="12" t="n">
        <x:v>0</x:v>
      </x:c>
      <x:c r="F27" s="9" t="str">
        <x:f>IF(AND(ABS(D27)&lt;0.01,E27=0),"RECONCILED / UNOBLIGATED","FAIL")</x:f>
        <x:v>RECONCILED / UNOBLIGATED</x:v>
      </x:c>
      <x:c r="G27" s="9"/>
      <x:c r="H27" s="9"/>
      <x:c r="I27" s="9"/>
      <x:c r="J27" s="9"/>
    </x:row>
    <x:row r="28">
      <x:c r="A28" s="9" t="str">
        <x:v>Proving stations</x:v>
      </x:c>
      <x:c r="B28" s="12" t="n">
        <x:f>Inputs!B35</x:f>
        <x:v>5300</x:v>
      </x:c>
      <x:c r="C28" s="12" t="n">
        <x:f>SUMIFS($D$7:$D$22,$A$7:$A$22,A28)</x:f>
        <x:v>5300</x:v>
      </x:c>
      <x:c r="D28" s="12" t="n">
        <x:f>C28-B28</x:f>
        <x:v>0</x:v>
      </x:c>
      <x:c r="E28" s="12" t="n">
        <x:v>0</x:v>
      </x:c>
      <x:c r="F28" s="9" t="str">
        <x:f>IF(AND(ABS(D28)&lt;0.01,E28=0),"RECONCILED / UNOBLIGATED","FAIL")</x:f>
        <x:v>RECONCILED / UNOBLIGATED</x:v>
      </x:c>
      <x:c r="G28" s="9"/>
      <x:c r="H28" s="9"/>
      <x:c r="I28" s="9"/>
      <x:c r="J28" s="9"/>
    </x:row>
    <x:row r="29">
      <x:c r="A29" s="9" t="str">
        <x:v>Metrology and custody</x:v>
      </x:c>
      <x:c r="B29" s="12" t="n">
        <x:f>Inputs!B36</x:f>
        <x:v>2150</x:v>
      </x:c>
      <x:c r="C29" s="12" t="n">
        <x:f>SUMIFS($D$7:$D$22,$A$7:$A$22,A29)</x:f>
        <x:v>2150</x:v>
      </x:c>
      <x:c r="D29" s="12" t="n">
        <x:f>C29-B29</x:f>
        <x:v>0</x:v>
      </x:c>
      <x:c r="E29" s="12" t="n">
        <x:v>0</x:v>
      </x:c>
      <x:c r="F29" s="9" t="str">
        <x:f>IF(AND(ABS(D29)&lt;0.01,E29=0),"RECONCILED / UNOBLIGATED","FAIL")</x:f>
        <x:v>RECONCILED / UNOBLIGATED</x:v>
      </x:c>
      <x:c r="G29" s="9"/>
      <x:c r="H29" s="9"/>
      <x:c r="I29" s="9"/>
      <x:c r="J29" s="9"/>
    </x:row>
    <x:row r="30">
      <x:c r="A30" s="9" t="str">
        <x:v>Replacement and regeneration</x:v>
      </x:c>
      <x:c r="B30" s="12" t="n">
        <x:f>Inputs!B37</x:f>
        <x:v>1213.333333</x:v>
      </x:c>
      <x:c r="C30" s="12" t="n">
        <x:f>SUMIFS($D$7:$D$22,$A$7:$A$22,A30)</x:f>
        <x:v>1213.333333</x:v>
      </x:c>
      <x:c r="D30" s="12" t="n">
        <x:f>C30-B30</x:f>
        <x:v>0</x:v>
      </x:c>
      <x:c r="E30" s="12" t="n">
        <x:v>0</x:v>
      </x:c>
      <x:c r="F30" s="9" t="str">
        <x:f>IF(AND(ABS(D30)&lt;0.01,E30=0),"RECONCILED / UNOBLIGATED","FAIL")</x:f>
        <x:v>RECONCILED / UNOBLIGATED</x:v>
      </x:c>
      <x:c r="G30" s="9"/>
      <x:c r="H30" s="9"/>
      <x:c r="I30" s="9"/>
      <x:c r="J30" s="9"/>
    </x:row>
  </x:sheetData>
  <x:conditionalFormatting sqref="F27:F30">
    <x:cfRule type="containsText" dxfId="192" priority="1" operator="containsText" text="OPEN"/>
    <x:cfRule type="containsText" dxfId="193" priority="2" operator="containsText" text="BLOCKED"/>
    <x:cfRule type="containsText" dxfId="194" priority="3" operator="containsText" text="UNSTARTED"/>
    <x:cfRule type="containsText" dxfId="195" priority="4" operator="containsText" text="UNSEALED"/>
    <x:cfRule type="containsText" dxfId="196" priority="5" operator="containsText" text="UNACCEPTED"/>
    <x:cfRule type="containsText" dxfId="197" priority="6" operator="containsText" text="UNFILED"/>
    <x:cfRule type="containsText" dxfId="198" priority="7" operator="containsText" text="UNJUDGED"/>
    <x:cfRule type="containsText" dxfId="199" priority="8" operator="containsText" text="UNRELEASED"/>
    <x:cfRule type="containsText" dxfId="200" priority="9" operator="containsText" text="HELD"/>
    <x:cfRule type="containsText" dxfId="201" priority="10" operator="containsText" text="PENDING"/>
    <x:cfRule type="containsText" dxfId="202" priority="11" operator="containsText" text="SOURCE-EMPTY"/>
    <x:cfRule type="containsText" dxfId="203" priority="12" operator="containsText" text="FAIL"/>
    <x:cfRule type="containsText" dxfId="204" priority="13" operator="containsText" text="TERMINATE"/>
    <x:cfRule type="containsText" dxfId="205" priority="14" operator="containsText" text="PROHIBITED"/>
    <x:cfRule type="containsText" dxfId="206" priority="15" operator="containsText" text="BREACH"/>
    <x:cfRule type="containsText" dxfId="207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8e657da4bc574925"/>
  </x:tableParts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28" hidden="0" customWidth="1"/>
    <x:col min="4" max="4" width="34" hidden="0" customWidth="1"/>
  </x:cols>
  <x:sheetData>
    <x:row r="1">
      <x:c r="A1" s="9"/>
      <x:c r="B1" s="9"/>
      <x:c r="C1" s="9"/>
      <x:c r="D1" s="9"/>
      <x:c r="E1" s="9"/>
    </x:row>
    <x:row r="2">
      <x:c r="A2" s="31" t="str">
        <x:v>Terminal event controls and inherited boundaries</x:v>
      </x:c>
      <x:c r="B2" s="10"/>
      <x:c r="C2" s="10"/>
      <x:c r="D2" s="10"/>
      <x:c r="E2" s="10"/>
    </x:row>
    <x:row r="3">
      <x:c r="A3" s="9"/>
      <x:c r="B3" s="9"/>
      <x:c r="C3" s="9"/>
      <x:c r="D3" s="9"/>
      <x:c r="E3" s="9"/>
    </x:row>
    <x:row r="4">
      <x:c r="A4" s="11"/>
      <x:c r="B4" s="11"/>
      <x:c r="C4" s="11"/>
      <x:c r="D4" s="11"/>
      <x:c r="E4" s="11"/>
    </x:row>
    <x:row r="5">
      <x:c r="A5" s="9"/>
      <x:c r="B5" s="9"/>
      <x:c r="C5" s="9"/>
      <x:c r="D5" s="9"/>
      <x:c r="E5" s="9"/>
    </x:row>
    <x:row r="6" ht="34" customHeight="1">
      <x:c r="A6" s="35" t="str">
        <x:v>Control</x:v>
      </x:c>
      <x:c r="B6" s="35" t="str">
        <x:v>Value</x:v>
      </x:c>
      <x:c r="C6" s="35" t="str">
        <x:v>Unit</x:v>
      </x:c>
      <x:c r="D6" s="35" t="str">
        <x:v>Internal basis</x:v>
      </x:c>
      <x:c r="E6" s="9"/>
    </x:row>
    <x:row r="7">
      <x:c r="A7" s="9" t="str">
        <x:v>Technology orders</x:v>
      </x:c>
      <x:c r="B7" s="9" t="n">
        <x:v>24</x:v>
      </x:c>
      <x:c r="C7" s="9" t="str">
        <x:v>count</x:v>
      </x:c>
      <x:c r="D7" s="9" t="str">
        <x:v>EDR-1 / Pass 241</x:v>
      </x:c>
      <x:c r="E7" s="9"/>
    </x:row>
    <x:row r="8">
      <x:c r="A8" s="9" t="str">
        <x:v>Forms</x:v>
      </x:c>
      <x:c r="B8" s="9" t="n">
        <x:v>6</x:v>
      </x:c>
      <x:c r="C8" s="9" t="str">
        <x:v>count</x:v>
      </x:c>
      <x:c r="D8" s="9" t="str">
        <x:v>EDB-TC / Pass 240</x:v>
      </x:c>
      <x:c r="E8" s="9"/>
    </x:row>
    <x:row r="9">
      <x:c r="A9" s="9" t="str">
        <x:v>Builder roots per order</x:v>
      </x:c>
      <x:c r="B9" s="9" t="n">
        <x:v>2</x:v>
      </x:c>
      <x:c r="C9" s="9" t="str">
        <x:v>count</x:v>
      </x:c>
      <x:c r="D9" s="9" t="str">
        <x:v>AIP-1 / Pass 239</x:v>
      </x:c>
      <x:c r="E9" s="9"/>
    </x:row>
    <x:row r="10">
      <x:c r="A10" s="9" t="str">
        <x:v>Serial roles per root</x:v>
      </x:c>
      <x:c r="B10" s="9" t="n">
        <x:v>3</x:v>
      </x:c>
      <x:c r="C10" s="9" t="str">
        <x:v>count</x:v>
      </x:c>
      <x:c r="D10" s="9" t="str">
        <x:v>AIP-1 / Pass 239</x:v>
      </x:c>
      <x:c r="E10" s="9"/>
    </x:row>
    <x:row r="11">
      <x:c r="A11" s="9" t="str">
        <x:v>Serial opportunities</x:v>
      </x:c>
      <x:c r="B11" s="9" t="n">
        <x:v>144</x:v>
      </x:c>
      <x:c r="C11" s="9" t="str">
        <x:v>count</x:v>
      </x:c>
      <x:c r="D11" s="9" t="str">
        <x:v>CTL-1 / Pass 242</x:v>
      </x:c>
      <x:c r="E11" s="9"/>
    </x:row>
    <x:row r="12">
      <x:c r="A12" s="9" t="str">
        <x:v>INT serials</x:v>
      </x:c>
      <x:c r="B12" s="9" t="n">
        <x:v>48</x:v>
      </x:c>
      <x:c r="C12" s="9" t="str">
        <x:v>count</x:v>
      </x:c>
      <x:c r="D12" s="9" t="str">
        <x:v>context only</x:v>
      </x:c>
      <x:c r="E12" s="9"/>
    </x:row>
    <x:row r="13">
      <x:c r="A13" s="9" t="str">
        <x:v>BRK serials</x:v>
      </x:c>
      <x:c r="B13" s="9" t="n">
        <x:v>48</x:v>
      </x:c>
      <x:c r="C13" s="9" t="str">
        <x:v>count</x:v>
      </x:c>
      <x:c r="D13" s="9" t="str">
        <x:v>fatal event</x:v>
      </x:c>
      <x:c r="E13" s="9"/>
    </x:row>
    <x:row r="14">
      <x:c r="A14" s="9" t="str">
        <x:v>RCN serials</x:v>
      </x:c>
      <x:c r="B14" s="9" t="n">
        <x:v>48</x:v>
      </x:c>
      <x:c r="C14" s="9" t="str">
        <x:v>count</x:v>
      </x:c>
      <x:c r="D14" s="9" t="str">
        <x:v>virgin clean reconstruction</x:v>
      </x:c>
      <x:c r="E14" s="9"/>
    </x:row>
    <x:row r="15">
      <x:c r="A15" s="9" t="str">
        <x:v>Acceptance-bearing serials</x:v>
      </x:c>
      <x:c r="B15" s="9" t="n">
        <x:v>96</x:v>
      </x:c>
      <x:c r="C15" s="9" t="str">
        <x:v>count</x:v>
      </x:c>
      <x:c r="D15" s="9" t="str">
        <x:v>BRK plus RCN</x:v>
      </x:c>
      <x:c r="E15" s="9"/>
    </x:row>
    <x:row r="16">
      <x:c r="A16" s="9" t="str">
        <x:v>Start controls per event</x:v>
      </x:c>
      <x:c r="B16" s="9" t="n">
        <x:v>10</x:v>
      </x:c>
      <x:c r="C16" s="9" t="str">
        <x:v>count</x:v>
      </x:c>
      <x:c r="D16" s="9" t="str">
        <x:v>EXR-TC</x:v>
      </x:c>
      <x:c r="E16" s="9"/>
    </x:row>
    <x:row r="17">
      <x:c r="A17" s="9" t="str">
        <x:v>Raw custody objects per event</x:v>
      </x:c>
      <x:c r="B17" s="9" t="n">
        <x:v>8</x:v>
      </x:c>
      <x:c r="C17" s="9" t="str">
        <x:v>count</x:v>
      </x:c>
      <x:c r="D17" s="9" t="str">
        <x:v>EXR-TC</x:v>
      </x:c>
      <x:c r="E17" s="9"/>
    </x:row>
    <x:row r="18">
      <x:c r="A18" s="9" t="str">
        <x:v>Observation gates per event</x:v>
      </x:c>
      <x:c r="B18" s="9" t="n">
        <x:v>12</x:v>
      </x:c>
      <x:c r="C18" s="9" t="str">
        <x:v>count</x:v>
      </x:c>
      <x:c r="D18" s="9" t="str">
        <x:v>EXR-TC</x:v>
      </x:c>
      <x:c r="E18" s="9"/>
    </x:row>
    <x:row r="19">
      <x:c r="A19" s="9" t="str">
        <x:v>Invalidity tests per petition</x:v>
      </x:c>
      <x:c r="B19" s="9" t="n">
        <x:v>9</x:v>
      </x:c>
      <x:c r="C19" s="9" t="str">
        <x:v>count</x:v>
      </x:c>
      <x:c r="D19" s="9" t="str">
        <x:v>EXR-TC</x:v>
      </x:c>
      <x:c r="E19" s="9"/>
    </x:row>
    <x:row r="20">
      <x:c r="A20" s="9" t="str">
        <x:v>Disclosure objects per event</x:v>
      </x:c>
      <x:c r="B20" s="9" t="n">
        <x:v>16</x:v>
      </x:c>
      <x:c r="C20" s="9" t="str">
        <x:v>count</x:v>
      </x:c>
      <x:c r="D20" s="9" t="str">
        <x:v>EXR-TC</x:v>
      </x:c>
      <x:c r="E20" s="9"/>
    </x:row>
    <x:row r="21">
      <x:c r="A21" s="9" t="str">
        <x:v>Root dossiers</x:v>
      </x:c>
      <x:c r="B21" s="9" t="n">
        <x:v>48</x:v>
      </x:c>
      <x:c r="C21" s="9" t="str">
        <x:v>count</x:v>
      </x:c>
      <x:c r="D21" s="9" t="str">
        <x:v>order by builder root</x:v>
      </x:c>
      <x:c r="E21" s="9"/>
    </x:row>
    <x:row r="22">
      <x:c r="A22" s="9" t="str">
        <x:v>Authority roles</x:v>
      </x:c>
      <x:c r="B22" s="9" t="n">
        <x:v>16</x:v>
      </x:c>
      <x:c r="C22" s="9" t="str">
        <x:v>count</x:v>
      </x:c>
      <x:c r="D22" s="9" t="str">
        <x:v>separated event authorities</x:v>
      </x:c>
      <x:c r="E22" s="9"/>
    </x:row>
    <x:row r="23">
      <x:c r="A23" s="9" t="str">
        <x:v>Prohibited control edges</x:v>
      </x:c>
      <x:c r="B23" s="9" t="n">
        <x:v>30</x:v>
      </x:c>
      <x:c r="C23" s="9" t="str">
        <x:v>count</x:v>
      </x:c>
      <x:c r="D23" s="9" t="str">
        <x:v>EXR-TC</x:v>
      </x:c>
      <x:c r="E23" s="9"/>
    </x:row>
    <x:row r="24">
      <x:c r="A24" s="9" t="str">
        <x:v>Disposition cases</x:v>
      </x:c>
      <x:c r="B24" s="9" t="n">
        <x:v>18</x:v>
      </x:c>
      <x:c r="C24" s="9" t="str">
        <x:v>count</x:v>
      </x:c>
      <x:c r="D24" s="9" t="str">
        <x:v>EXR-TC</x:v>
      </x:c>
      <x:c r="E24" s="9"/>
    </x:row>
    <x:row r="25">
      <x:c r="A25" s="9" t="str">
        <x:v>Embargo custodians</x:v>
      </x:c>
      <x:c r="B25" s="9" t="n">
        <x:v>6</x:v>
      </x:c>
      <x:c r="C25" s="9" t="str">
        <x:v>count</x:v>
      </x:c>
      <x:c r="D25" s="9" t="str">
        <x:v>public custody federation</x:v>
      </x:c>
      <x:c r="E25" s="9"/>
    </x:row>
    <x:row r="26">
      <x:c r="A26" s="9" t="str">
        <x:v>Embargo release quorum</x:v>
      </x:c>
      <x:c r="B26" s="9" t="n">
        <x:v>4</x:v>
      </x:c>
      <x:c r="C26" s="9" t="str">
        <x:v>count</x:v>
      </x:c>
      <x:c r="D26" s="9" t="str">
        <x:v>four of six</x:v>
      </x:c>
      <x:c r="E26" s="9"/>
    </x:row>
    <x:row r="27">
      <x:c r="A27" s="9" t="str">
        <x:v>Raw origin hash deadline</x:v>
      </x:c>
      <x:c r="B27" s="9" t="n">
        <x:v>15</x:v>
      </x:c>
      <x:c r="C27" s="9" t="str">
        <x:v>minutes after event close</x:v>
      </x:c>
      <x:c r="D27" s="9" t="str">
        <x:v>EXR-TC clock</x:v>
      </x:c>
      <x:c r="E27" s="9"/>
    </x:row>
    <x:row r="28">
      <x:c r="A28" s="9" t="str">
        <x:v>Custody replica deadline</x:v>
      </x:c>
      <x:c r="B28" s="9" t="n">
        <x:v>1</x:v>
      </x:c>
      <x:c r="C28" s="9" t="str">
        <x:v>hour after event close</x:v>
      </x:c>
      <x:c r="D28" s="9" t="str">
        <x:v>EXR-TC clock</x:v>
      </x:c>
      <x:c r="E28" s="9"/>
    </x:row>
    <x:row r="29">
      <x:c r="A29" s="9" t="str">
        <x:v>Completeness census deadline</x:v>
      </x:c>
      <x:c r="B29" s="9" t="n">
        <x:v>24</x:v>
      </x:c>
      <x:c r="C29" s="9" t="str">
        <x:v>hours after event close</x:v>
      </x:c>
      <x:c r="D29" s="9" t="str">
        <x:v>EXR-TC clock</x:v>
      </x:c>
      <x:c r="E29" s="9"/>
    </x:row>
    <x:row r="30">
      <x:c r="A30" s="9" t="str">
        <x:v>Invalidity petition deadline</x:v>
      </x:c>
      <x:c r="B30" s="9" t="n">
        <x:v>72</x:v>
      </x:c>
      <x:c r="C30" s="9" t="str">
        <x:v>hours after event close</x:v>
      </x:c>
      <x:c r="D30" s="9" t="str">
        <x:v>EXR-TC clock</x:v>
      </x:c>
      <x:c r="E30" s="9"/>
    </x:row>
    <x:row r="31">
      <x:c r="A31" s="9" t="str">
        <x:v>Observation decision deadline</x:v>
      </x:c>
      <x:c r="B31" s="9" t="n">
        <x:v>21</x:v>
      </x:c>
      <x:c r="C31" s="9" t="str">
        <x:v>days after event close</x:v>
      </x:c>
      <x:c r="D31" s="9" t="str">
        <x:v>EXR-TC clock</x:v>
      </x:c>
      <x:c r="E31" s="9"/>
    </x:row>
    <x:row r="32">
      <x:c r="A32" s="9" t="str">
        <x:v>Role judgment deadline</x:v>
      </x:c>
      <x:c r="B32" s="9" t="n">
        <x:v>42</x:v>
      </x:c>
      <x:c r="C32" s="9" t="str">
        <x:v>days after event close</x:v>
      </x:c>
      <x:c r="D32" s="9" t="str">
        <x:v>EXR-TC clock</x:v>
      </x:c>
      <x:c r="E32" s="9"/>
    </x:row>
    <x:row r="33">
      <x:c r="A33" s="9" t="str">
        <x:v>Disclosure deadline</x:v>
      </x:c>
      <x:c r="B33" s="9" t="n">
        <x:v>30</x:v>
      </x:c>
      <x:c r="C33" s="9" t="str">
        <x:v>days after last terminal docket</x:v>
      </x:c>
      <x:c r="D33" s="9" t="str">
        <x:v>EXR-TC clock</x:v>
      </x:c>
      <x:c r="E33" s="9"/>
    </x:row>
    <x:row r="34">
      <x:c r="A34" s="9" t="str">
        <x:v>Candidate assigned exposure</x:v>
      </x:c>
      <x:c r="B34" s="12" t="n">
        <x:v>16376.666667</x:v>
      </x:c>
      <x:c r="C34" s="9" t="str">
        <x:v>USD M</x:v>
      </x:c>
      <x:c r="D34" s="9" t="str">
        <x:v>EDB-TC / Pass 240</x:v>
      </x:c>
      <x:c r="E34" s="9"/>
    </x:row>
    <x:row r="35">
      <x:c r="A35" s="9" t="str">
        <x:v>Proving assigned exposure</x:v>
      </x:c>
      <x:c r="B35" s="12" t="n">
        <x:v>5300</x:v>
      </x:c>
      <x:c r="C35" s="9" t="str">
        <x:v>USD M</x:v>
      </x:c>
      <x:c r="D35" s="9" t="str">
        <x:v>EDB-TC / Pass 240</x:v>
      </x:c>
      <x:c r="E35" s="9"/>
    </x:row>
    <x:row r="36">
      <x:c r="A36" s="9" t="str">
        <x:v>Metrology assigned exposure</x:v>
      </x:c>
      <x:c r="B36" s="12" t="n">
        <x:v>2150</x:v>
      </x:c>
      <x:c r="C36" s="9" t="str">
        <x:v>USD M</x:v>
      </x:c>
      <x:c r="D36" s="9" t="str">
        <x:v>EDB-TC / Pass 240</x:v>
      </x:c>
      <x:c r="E36" s="9"/>
    </x:row>
    <x:row r="37">
      <x:c r="A37" s="9" t="str">
        <x:v>Regeneration assigned exposure</x:v>
      </x:c>
      <x:c r="B37" s="12" t="n">
        <x:v>1213.333333</x:v>
      </x:c>
      <x:c r="C37" s="9" t="str">
        <x:v>USD M</x:v>
      </x:c>
      <x:c r="D37" s="9" t="str">
        <x:v>EDB-TC / Pass 240</x:v>
      </x:c>
      <x:c r="E37" s="9"/>
    </x:row>
    <x:row r="38">
      <x:c r="A38" s="9" t="str">
        <x:v>Issued EOWs</x:v>
      </x:c>
      <x:c r="B38" s="9" t="n">
        <x:v>0</x:v>
      </x:c>
      <x:c r="C38" s="9" t="str">
        <x:v>count</x:v>
      </x:c>
      <x:c r="D38" s="9" t="str">
        <x:v>EOW-1 authority hold</x:v>
      </x:c>
      <x:c r="E38" s="9"/>
    </x:row>
    <x:row r="39">
      <x:c r="A39" s="9" t="str">
        <x:v>Detected starts</x:v>
      </x:c>
      <x:c r="B39" s="9" t="n">
        <x:v>0</x:v>
      </x:c>
      <x:c r="C39" s="9" t="str">
        <x:v>count</x:v>
      </x:c>
      <x:c r="D39" s="9" t="str">
        <x:v>campaign unexecuted</x:v>
      </x:c>
      <x:c r="E39" s="9"/>
    </x:row>
    <x:row r="40">
      <x:c r="A40" s="9" t="str">
        <x:v>Sealed raw packets</x:v>
      </x:c>
      <x:c r="B40" s="9" t="n">
        <x:v>0</x:v>
      </x:c>
      <x:c r="C40" s="9" t="str">
        <x:v>count</x:v>
      </x:c>
      <x:c r="D40" s="9" t="str">
        <x:v>campaign unexecuted</x:v>
      </x:c>
      <x:c r="E40" s="9"/>
    </x:row>
    <x:row r="41">
      <x:c r="A41" s="9" t="str">
        <x:v>Accepted observations</x:v>
      </x:c>
      <x:c r="B41" s="9" t="n">
        <x:v>0</x:v>
      </x:c>
      <x:c r="C41" s="9" t="str">
        <x:v>count</x:v>
      </x:c>
      <x:c r="D41" s="9" t="str">
        <x:v>campaign unexecuted</x:v>
      </x:c>
      <x:c r="E41" s="9"/>
    </x:row>
    <x:row r="42">
      <x:c r="A42" s="9" t="str">
        <x:v>Facility invalidity decisions</x:v>
      </x:c>
      <x:c r="B42" s="9" t="n">
        <x:v>0</x:v>
      </x:c>
      <x:c r="C42" s="9" t="str">
        <x:v>count</x:v>
      </x:c>
      <x:c r="D42" s="9" t="str">
        <x:v>campaign unexecuted</x:v>
      </x:c>
      <x:c r="E42" s="9"/>
    </x:row>
    <x:row r="43">
      <x:c r="A43" s="9" t="str">
        <x:v>Issued role judgments</x:v>
      </x:c>
      <x:c r="B43" s="9" t="n">
        <x:v>0</x:v>
      </x:c>
      <x:c r="C43" s="9" t="str">
        <x:v>count</x:v>
      </x:c>
      <x:c r="D43" s="9" t="str">
        <x:v>campaign unexecuted</x:v>
      </x:c>
      <x:c r="E43" s="9"/>
    </x:row>
    <x:row r="44">
      <x:c r="A44" s="9" t="str">
        <x:v>Closed root dossiers</x:v>
      </x:c>
      <x:c r="B44" s="9" t="n">
        <x:v>0</x:v>
      </x:c>
      <x:c r="C44" s="9" t="str">
        <x:v>count</x:v>
      </x:c>
      <x:c r="D44" s="9" t="str">
        <x:v>campaign unexecuted</x:v>
      </x:c>
      <x:c r="E44" s="9"/>
    </x:row>
    <x:row r="45">
      <x:c r="A45" s="9" t="str">
        <x:v>Released result packets</x:v>
      </x:c>
      <x:c r="B45" s="9" t="n">
        <x:v>0</x:v>
      </x:c>
      <x:c r="C45" s="9" t="str">
        <x:v>count</x:v>
      </x:c>
      <x:c r="D45" s="9" t="str">
        <x:v>embargo held</x:v>
      </x:c>
      <x:c r="E45" s="9"/>
    </x:row>
    <x:row r="46">
      <x:c r="A46" s="9" t="str">
        <x:v>Selection decisions</x:v>
      </x:c>
      <x:c r="B46" s="9" t="n">
        <x:v>0</x:v>
      </x:c>
      <x:c r="C46" s="9" t="str">
        <x:v>count</x:v>
      </x:c>
      <x:c r="D46" s="9" t="str">
        <x:v>outside EXR authority</x:v>
      </x:c>
      <x:c r="E46" s="9"/>
    </x:row>
    <x:row r="47">
      <x:c r="A47" s="9" t="str">
        <x:v>Production releases</x:v>
      </x:c>
      <x:c r="B47" s="9" t="n">
        <x:v>0</x:v>
      </x:c>
      <x:c r="C47" s="9" t="str">
        <x:v>count</x:v>
      </x:c>
      <x:c r="D47" s="9" t="str">
        <x:v>outside EXR authority</x:v>
      </x:c>
      <x:c r="E47" s="9"/>
    </x:row>
    <x:row r="48">
      <x:c r="A48" s="9" t="str">
        <x:v>REP-4 authority</x:v>
      </x:c>
      <x:c r="B48" s="9" t="n">
        <x:v>0</x:v>
      </x:c>
      <x:c r="C48" s="9" t="str">
        <x:v>binary</x:v>
      </x:c>
      <x:c r="D48" s="9" t="str">
        <x:v>as-built hold</x:v>
      </x:c>
      <x:c r="E48" s="9"/>
    </x:row>
    <x:row r="49">
      <x:c r="A49" s="9" t="str">
        <x:v>REP-5 authority</x:v>
      </x:c>
      <x:c r="B49" s="9" t="n">
        <x:v>0</x:v>
      </x:c>
      <x:c r="C49" s="9" t="str">
        <x:v>binary</x:v>
      </x:c>
      <x:c r="D49" s="9" t="str">
        <x:v>evidence hold</x:v>
      </x:c>
      <x:c r="E49" s="9"/>
    </x:row>
    <x:row r="50">
      <x:c r="A50" s="9" t="str">
        <x:v>Rendering issues</x:v>
      </x:c>
      <x:c r="B50" s="9" t="n">
        <x:v>0</x:v>
      </x:c>
      <x:c r="C50" s="9" t="str">
        <x:v>count</x:v>
      </x:c>
      <x:c r="D50" s="9" t="str">
        <x:v>representation hold</x:v>
      </x:c>
      <x:c r="E50" s="9"/>
    </x:row>
    <x:row r="51">
      <x:c r="A51" s="9" t="str">
        <x:v>Actual obligations</x:v>
      </x:c>
      <x:c r="B51" s="12" t="n">
        <x:v>0</x:v>
      </x:c>
      <x:c r="C51" s="9" t="str">
        <x:v>USD M</x:v>
      </x:c>
      <x:c r="D51" s="9" t="str">
        <x:v>unobligated</x:v>
      </x:c>
      <x:c r="E51" s="9"/>
    </x:row>
    <x:row r="52">
      <x:c r="A52" s="9" t="str">
        <x:v>Actual payments</x:v>
      </x:c>
      <x:c r="B52" s="12" t="n">
        <x:v>0</x:v>
      </x:c>
      <x:c r="C52" s="9" t="str">
        <x:v>USD M</x:v>
      </x:c>
      <x:c r="D52" s="9" t="str">
        <x:v>unpaid</x:v>
      </x:c>
      <x:c r="E52" s="9"/>
    </x:row>
  </x:sheetData>
  <x:pageMargins left="0.7" right="0.7" top="0.75" bottom="0.75" header="0.3" footer="0.3"/>
  <x:tableParts count="1">
    <x:tablePart xmlns:r="http://schemas.openxmlformats.org/officeDocument/2006/relationships" r:id="R946c8922b13f4bbf"/>
  </x:tableParts>
</x:worksheet>
</file>

<file path=xl/worksheets/sheet1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31" t="str">
        <x:v>Live mutation and restoration protocol</x:v>
      </x:c>
      <x:c r="B2" s="10"/>
      <x:c r="C2" s="10"/>
      <x:c r="D2" s="10"/>
      <x:c r="E2" s="10"/>
      <x:c r="F2" s="10"/>
      <x:c r="G2" s="10"/>
    </x:row>
    <x:row r="3">
      <x:c r="A3" s="9"/>
      <x:c r="B3" s="9"/>
      <x:c r="C3" s="9"/>
      <x:c r="D3" s="9"/>
      <x:c r="E3" s="9"/>
      <x:c r="F3" s="9"/>
      <x:c r="G3" s="9"/>
    </x:row>
    <x:row r="4">
      <x:c r="A4" s="11"/>
      <x:c r="B4" s="11"/>
      <x:c r="C4" s="11"/>
      <x:c r="D4" s="11"/>
      <x:c r="E4" s="11"/>
      <x:c r="F4" s="11"/>
      <x:c r="G4" s="11"/>
    </x:row>
    <x:row r="5">
      <x:c r="A5" s="9"/>
      <x:c r="B5" s="9"/>
      <x:c r="C5" s="9"/>
      <x:c r="D5" s="9"/>
      <x:c r="E5" s="9"/>
      <x:c r="F5" s="9"/>
      <x:c r="G5" s="9"/>
    </x:row>
    <x:row r="6" ht="34" customHeight="1">
      <x:c r="A6" s="35" t="str">
        <x:v>Mutation</x:v>
      </x:c>
      <x:c r="B6" s="35" t="str">
        <x:v>Input</x:v>
      </x:c>
      <x:c r="C6" s="35" t="str">
        <x:v>Target cell</x:v>
      </x:c>
      <x:c r="D6" s="35" t="str">
        <x:v>Mutated value</x:v>
      </x:c>
      <x:c r="E6" s="35" t="str">
        <x:v>Expected failed audit</x:v>
      </x:c>
      <x:c r="F6" s="35" t="str">
        <x:v>Detection</x:v>
      </x:c>
      <x:c r="G6" s="35" t="str">
        <x:v>Restoration</x:v>
      </x:c>
    </x:row>
    <x:row r="7">
      <x:c r="A7" s="9" t="str">
        <x:v>M01</x:v>
      </x:c>
      <x:c r="B7" s="9" t="str">
        <x:v>Technology orders</x:v>
      </x:c>
      <x:c r="C7" s="9" t="str">
        <x:v>Inputs!B7</x:v>
      </x:c>
      <x:c r="D7" s="9" t="n">
        <x:v>23</x:v>
      </x:c>
      <x:c r="E7" s="9" t="str">
        <x:v>A01</x:v>
      </x:c>
      <x:c r="F7" s="9" t="str">
        <x:v>APPLIED / DETECTED</x:v>
      </x:c>
      <x:c r="G7" s="9" t="str">
        <x:v>RESTORED / PASS</x:v>
      </x:c>
    </x:row>
    <x:row r="8">
      <x:c r="A8" s="9" t="str">
        <x:v>M02</x:v>
      </x:c>
      <x:c r="B8" s="9" t="str">
        <x:v>Forms</x:v>
      </x:c>
      <x:c r="C8" s="9" t="str">
        <x:v>Inputs!B8</x:v>
      </x:c>
      <x:c r="D8" s="9" t="n">
        <x:v>5</x:v>
      </x:c>
      <x:c r="E8" s="9" t="str">
        <x:v>A02</x:v>
      </x:c>
      <x:c r="F8" s="9" t="str">
        <x:v>APPLIED / DETECTED</x:v>
      </x:c>
      <x:c r="G8" s="9" t="str">
        <x:v>RESTORED / PASS</x:v>
      </x:c>
    </x:row>
    <x:row r="9">
      <x:c r="A9" s="9" t="str">
        <x:v>M03</x:v>
      </x:c>
      <x:c r="B9" s="9" t="str">
        <x:v>Builder roots per order</x:v>
      </x:c>
      <x:c r="C9" s="9" t="str">
        <x:v>Inputs!B9</x:v>
      </x:c>
      <x:c r="D9" s="9" t="n">
        <x:v>1</x:v>
      </x:c>
      <x:c r="E9" s="9" t="str">
        <x:v>A03</x:v>
      </x:c>
      <x:c r="F9" s="9" t="str">
        <x:v>APPLIED / DETECTED</x:v>
      </x:c>
      <x:c r="G9" s="9" t="str">
        <x:v>RESTORED / PASS</x:v>
      </x:c>
    </x:row>
    <x:row r="10">
      <x:c r="A10" s="9" t="str">
        <x:v>M04</x:v>
      </x:c>
      <x:c r="B10" s="9" t="str">
        <x:v>Serial roles per root</x:v>
      </x:c>
      <x:c r="C10" s="9" t="str">
        <x:v>Inputs!B10</x:v>
      </x:c>
      <x:c r="D10" s="9" t="n">
        <x:v>2</x:v>
      </x:c>
      <x:c r="E10" s="9" t="str">
        <x:v>A04</x:v>
      </x:c>
      <x:c r="F10" s="9" t="str">
        <x:v>APPLIED / DETECTED</x:v>
      </x:c>
      <x:c r="G10" s="9" t="str">
        <x:v>RESTORED / PASS</x:v>
      </x:c>
    </x:row>
    <x:row r="11">
      <x:c r="A11" s="9" t="str">
        <x:v>M05</x:v>
      </x:c>
      <x:c r="B11" s="9" t="str">
        <x:v>Serial opportunities</x:v>
      </x:c>
      <x:c r="C11" s="9" t="str">
        <x:v>Inputs!B11</x:v>
      </x:c>
      <x:c r="D11" s="9" t="n">
        <x:v>143</x:v>
      </x:c>
      <x:c r="E11" s="9" t="str">
        <x:v>A05</x:v>
      </x:c>
      <x:c r="F11" s="9" t="str">
        <x:v>APPLIED / DETECTED</x:v>
      </x:c>
      <x:c r="G11" s="9" t="str">
        <x:v>RESTORED / PASS</x:v>
      </x:c>
    </x:row>
    <x:row r="12">
      <x:c r="A12" s="9" t="str">
        <x:v>M06</x:v>
      </x:c>
      <x:c r="B12" s="9" t="str">
        <x:v>INT serials</x:v>
      </x:c>
      <x:c r="C12" s="9" t="str">
        <x:v>Inputs!B12</x:v>
      </x:c>
      <x:c r="D12" s="9" t="n">
        <x:v>47</x:v>
      </x:c>
      <x:c r="E12" s="9" t="str">
        <x:v>A06</x:v>
      </x:c>
      <x:c r="F12" s="9" t="str">
        <x:v>APPLIED / DETECTED</x:v>
      </x:c>
      <x:c r="G12" s="9" t="str">
        <x:v>RESTORED / PASS</x:v>
      </x:c>
    </x:row>
    <x:row r="13">
      <x:c r="A13" s="9" t="str">
        <x:v>M07</x:v>
      </x:c>
      <x:c r="B13" s="9" t="str">
        <x:v>BRK serials</x:v>
      </x:c>
      <x:c r="C13" s="9" t="str">
        <x:v>Inputs!B13</x:v>
      </x:c>
      <x:c r="D13" s="9" t="n">
        <x:v>47</x:v>
      </x:c>
      <x:c r="E13" s="9" t="str">
        <x:v>A07</x:v>
      </x:c>
      <x:c r="F13" s="9" t="str">
        <x:v>APPLIED / DETECTED</x:v>
      </x:c>
      <x:c r="G13" s="9" t="str">
        <x:v>RESTORED / PASS</x:v>
      </x:c>
    </x:row>
    <x:row r="14">
      <x:c r="A14" s="9" t="str">
        <x:v>M08</x:v>
      </x:c>
      <x:c r="B14" s="9" t="str">
        <x:v>RCN serials</x:v>
      </x:c>
      <x:c r="C14" s="9" t="str">
        <x:v>Inputs!B14</x:v>
      </x:c>
      <x:c r="D14" s="9" t="n">
        <x:v>47</x:v>
      </x:c>
      <x:c r="E14" s="9" t="str">
        <x:v>A08</x:v>
      </x:c>
      <x:c r="F14" s="9" t="str">
        <x:v>APPLIED / DETECTED</x:v>
      </x:c>
      <x:c r="G14" s="9" t="str">
        <x:v>RESTORED / PASS</x:v>
      </x:c>
    </x:row>
    <x:row r="15">
      <x:c r="A15" s="9" t="str">
        <x:v>M09</x:v>
      </x:c>
      <x:c r="B15" s="9" t="str">
        <x:v>Acceptance-bearing serials</x:v>
      </x:c>
      <x:c r="C15" s="9" t="str">
        <x:v>Inputs!B15</x:v>
      </x:c>
      <x:c r="D15" s="9" t="n">
        <x:v>95</x:v>
      </x:c>
      <x:c r="E15" s="9" t="str">
        <x:v>A09</x:v>
      </x:c>
      <x:c r="F15" s="9" t="str">
        <x:v>APPLIED / DETECTED</x:v>
      </x:c>
      <x:c r="G15" s="9" t="str">
        <x:v>RESTORED / PASS</x:v>
      </x:c>
    </x:row>
    <x:row r="16">
      <x:c r="A16" s="9" t="str">
        <x:v>M10</x:v>
      </x:c>
      <x:c r="B16" s="9" t="str">
        <x:v>Start controls per event</x:v>
      </x:c>
      <x:c r="C16" s="9" t="str">
        <x:v>Inputs!B16</x:v>
      </x:c>
      <x:c r="D16" s="9" t="n">
        <x:v>9</x:v>
      </x:c>
      <x:c r="E16" s="9" t="str">
        <x:v>A10</x:v>
      </x:c>
      <x:c r="F16" s="9" t="str">
        <x:v>APPLIED / DETECTED</x:v>
      </x:c>
      <x:c r="G16" s="9" t="str">
        <x:v>RESTORED / PASS</x:v>
      </x:c>
    </x:row>
    <x:row r="17">
      <x:c r="A17" s="9" t="str">
        <x:v>M11</x:v>
      </x:c>
      <x:c r="B17" s="9" t="str">
        <x:v>Raw custody objects per event</x:v>
      </x:c>
      <x:c r="C17" s="9" t="str">
        <x:v>Inputs!B17</x:v>
      </x:c>
      <x:c r="D17" s="9" t="n">
        <x:v>7</x:v>
      </x:c>
      <x:c r="E17" s="9" t="str">
        <x:v>A14</x:v>
      </x:c>
      <x:c r="F17" s="9" t="str">
        <x:v>APPLIED / DETECTED</x:v>
      </x:c>
      <x:c r="G17" s="9" t="str">
        <x:v>RESTORED / PASS</x:v>
      </x:c>
    </x:row>
    <x:row r="18">
      <x:c r="A18" s="9" t="str">
        <x:v>M12</x:v>
      </x:c>
      <x:c r="B18" s="9" t="str">
        <x:v>Observation gates per event</x:v>
      </x:c>
      <x:c r="C18" s="9" t="str">
        <x:v>Inputs!B18</x:v>
      </x:c>
      <x:c r="D18" s="9" t="n">
        <x:v>11</x:v>
      </x:c>
      <x:c r="E18" s="9" t="str">
        <x:v>A18</x:v>
      </x:c>
      <x:c r="F18" s="9" t="str">
        <x:v>APPLIED / DETECTED</x:v>
      </x:c>
      <x:c r="G18" s="9" t="str">
        <x:v>RESTORED / PASS</x:v>
      </x:c>
    </x:row>
    <x:row r="19">
      <x:c r="A19" s="9" t="str">
        <x:v>M13</x:v>
      </x:c>
      <x:c r="B19" s="9" t="str">
        <x:v>Invalidity tests per petition</x:v>
      </x:c>
      <x:c r="C19" s="9" t="str">
        <x:v>Inputs!B19</x:v>
      </x:c>
      <x:c r="D19" s="9" t="n">
        <x:v>8</x:v>
      </x:c>
      <x:c r="E19" s="9" t="str">
        <x:v>A22</x:v>
      </x:c>
      <x:c r="F19" s="9" t="str">
        <x:v>APPLIED / DETECTED</x:v>
      </x:c>
      <x:c r="G19" s="9" t="str">
        <x:v>RESTORED / PASS</x:v>
      </x:c>
    </x:row>
    <x:row r="20">
      <x:c r="A20" s="9" t="str">
        <x:v>M14</x:v>
      </x:c>
      <x:c r="B20" s="9" t="str">
        <x:v>Disclosure objects per event</x:v>
      </x:c>
      <x:c r="C20" s="9" t="str">
        <x:v>Inputs!B20</x:v>
      </x:c>
      <x:c r="D20" s="9" t="n">
        <x:v>15</x:v>
      </x:c>
      <x:c r="E20" s="9" t="str">
        <x:v>A31</x:v>
      </x:c>
      <x:c r="F20" s="9" t="str">
        <x:v>APPLIED / DETECTED</x:v>
      </x:c>
      <x:c r="G20" s="9" t="str">
        <x:v>RESTORED / PASS</x:v>
      </x:c>
    </x:row>
    <x:row r="21">
      <x:c r="A21" s="9" t="str">
        <x:v>M15</x:v>
      </x:c>
      <x:c r="B21" s="9" t="str">
        <x:v>Root dossiers</x:v>
      </x:c>
      <x:c r="C21" s="9" t="str">
        <x:v>Inputs!B21</x:v>
      </x:c>
      <x:c r="D21" s="9" t="n">
        <x:v>47</x:v>
      </x:c>
      <x:c r="E21" s="9" t="str">
        <x:v>A29</x:v>
      </x:c>
      <x:c r="F21" s="9" t="str">
        <x:v>APPLIED / DETECTED</x:v>
      </x:c>
      <x:c r="G21" s="9" t="str">
        <x:v>RESTORED / PASS</x:v>
      </x:c>
    </x:row>
    <x:row r="22">
      <x:c r="A22" s="9" t="str">
        <x:v>M16</x:v>
      </x:c>
      <x:c r="B22" s="9" t="str">
        <x:v>Authority roles</x:v>
      </x:c>
      <x:c r="C22" s="9" t="str">
        <x:v>Inputs!B22</x:v>
      </x:c>
      <x:c r="D22" s="9" t="n">
        <x:v>15</x:v>
      </x:c>
      <x:c r="E22" s="9" t="str">
        <x:v>A35</x:v>
      </x:c>
      <x:c r="F22" s="9" t="str">
        <x:v>APPLIED / DETECTED</x:v>
      </x:c>
      <x:c r="G22" s="9" t="str">
        <x:v>RESTORED / PASS</x:v>
      </x:c>
    </x:row>
    <x:row r="23">
      <x:c r="A23" s="9" t="str">
        <x:v>M17</x:v>
      </x:c>
      <x:c r="B23" s="9" t="str">
        <x:v>Prohibited control edges</x:v>
      </x:c>
      <x:c r="C23" s="9" t="str">
        <x:v>Inputs!B23</x:v>
      </x:c>
      <x:c r="D23" s="9" t="n">
        <x:v>29</x:v>
      </x:c>
      <x:c r="E23" s="9" t="str">
        <x:v>A36</x:v>
      </x:c>
      <x:c r="F23" s="9" t="str">
        <x:v>APPLIED / DETECTED</x:v>
      </x:c>
      <x:c r="G23" s="9" t="str">
        <x:v>RESTORED / PASS</x:v>
      </x:c>
    </x:row>
    <x:row r="24">
      <x:c r="A24" s="9" t="str">
        <x:v>M18</x:v>
      </x:c>
      <x:c r="B24" s="9" t="str">
        <x:v>Disposition cases</x:v>
      </x:c>
      <x:c r="C24" s="9" t="str">
        <x:v>Inputs!B24</x:v>
      </x:c>
      <x:c r="D24" s="9" t="n">
        <x:v>17</x:v>
      </x:c>
      <x:c r="E24" s="9" t="str">
        <x:v>A38</x:v>
      </x:c>
      <x:c r="F24" s="9" t="str">
        <x:v>APPLIED / DETECTED</x:v>
      </x:c>
      <x:c r="G24" s="9" t="str">
        <x:v>RESTORED / PASS</x:v>
      </x:c>
    </x:row>
    <x:row r="25">
      <x:c r="A25" s="9" t="str">
        <x:v>M19</x:v>
      </x:c>
      <x:c r="B25" s="9" t="str">
        <x:v>Embargo custodians</x:v>
      </x:c>
      <x:c r="C25" s="9" t="str">
        <x:v>Inputs!B25</x:v>
      </x:c>
      <x:c r="D25" s="9" t="n">
        <x:v>5</x:v>
      </x:c>
      <x:c r="E25" s="9" t="str">
        <x:v>A39</x:v>
      </x:c>
      <x:c r="F25" s="9" t="str">
        <x:v>APPLIED / DETECTED</x:v>
      </x:c>
      <x:c r="G25" s="9" t="str">
        <x:v>RESTORED / PASS</x:v>
      </x:c>
    </x:row>
    <x:row r="26">
      <x:c r="A26" s="9" t="str">
        <x:v>M20</x:v>
      </x:c>
      <x:c r="B26" s="9" t="str">
        <x:v>Embargo release quorum</x:v>
      </x:c>
      <x:c r="C26" s="9" t="str">
        <x:v>Inputs!B26</x:v>
      </x:c>
      <x:c r="D26" s="9" t="n">
        <x:v>3</x:v>
      </x:c>
      <x:c r="E26" s="9" t="str">
        <x:v>A41</x:v>
      </x:c>
      <x:c r="F26" s="9" t="str">
        <x:v>APPLIED / DETECTED</x:v>
      </x:c>
      <x:c r="G26" s="9" t="str">
        <x:v>RESTORED / PASS</x:v>
      </x:c>
    </x:row>
    <x:row r="27">
      <x:c r="A27" s="9" t="str">
        <x:v>M21</x:v>
      </x:c>
      <x:c r="B27" s="9" t="str">
        <x:v>Raw origin hash deadline</x:v>
      </x:c>
      <x:c r="C27" s="9" t="str">
        <x:v>Inputs!B27</x:v>
      </x:c>
      <x:c r="D27" s="9" t="n">
        <x:v>10</x:v>
      </x:c>
      <x:c r="E27" s="9" t="str">
        <x:v>A42</x:v>
      </x:c>
      <x:c r="F27" s="9" t="str">
        <x:v>APPLIED / DETECTED</x:v>
      </x:c>
      <x:c r="G27" s="9" t="str">
        <x:v>RESTORED / PASS</x:v>
      </x:c>
    </x:row>
    <x:row r="28">
      <x:c r="A28" s="9" t="str">
        <x:v>M22</x:v>
      </x:c>
      <x:c r="B28" s="9" t="str">
        <x:v>Custody replica deadline</x:v>
      </x:c>
      <x:c r="C28" s="9" t="str">
        <x:v>Inputs!B28</x:v>
      </x:c>
      <x:c r="D28" s="9" t="n">
        <x:v>2</x:v>
      </x:c>
      <x:c r="E28" s="9" t="str">
        <x:v>A43</x:v>
      </x:c>
      <x:c r="F28" s="9" t="str">
        <x:v>APPLIED / DETECTED</x:v>
      </x:c>
      <x:c r="G28" s="9" t="str">
        <x:v>RESTORED / PASS</x:v>
      </x:c>
    </x:row>
    <x:row r="29">
      <x:c r="A29" s="9" t="str">
        <x:v>M23</x:v>
      </x:c>
      <x:c r="B29" s="9" t="str">
        <x:v>Completeness census deadline</x:v>
      </x:c>
      <x:c r="C29" s="9" t="str">
        <x:v>Inputs!B29</x:v>
      </x:c>
      <x:c r="D29" s="9" t="n">
        <x:v>12</x:v>
      </x:c>
      <x:c r="E29" s="9" t="str">
        <x:v>A44</x:v>
      </x:c>
      <x:c r="F29" s="9" t="str">
        <x:v>APPLIED / DETECTED</x:v>
      </x:c>
      <x:c r="G29" s="9" t="str">
        <x:v>RESTORED / PASS</x:v>
      </x:c>
    </x:row>
    <x:row r="30">
      <x:c r="A30" s="9" t="str">
        <x:v>M24</x:v>
      </x:c>
      <x:c r="B30" s="9" t="str">
        <x:v>Invalidity petition deadline</x:v>
      </x:c>
      <x:c r="C30" s="9" t="str">
        <x:v>Inputs!B30</x:v>
      </x:c>
      <x:c r="D30" s="9" t="n">
        <x:v>48</x:v>
      </x:c>
      <x:c r="E30" s="9" t="str">
        <x:v>A45</x:v>
      </x:c>
      <x:c r="F30" s="9" t="str">
        <x:v>APPLIED / DETECTED</x:v>
      </x:c>
      <x:c r="G30" s="9" t="str">
        <x:v>RESTORED / PASS</x:v>
      </x:c>
    </x:row>
    <x:row r="31">
      <x:c r="A31" s="9" t="str">
        <x:v>M25</x:v>
      </x:c>
      <x:c r="B31" s="9" t="str">
        <x:v>Observation decision deadline</x:v>
      </x:c>
      <x:c r="C31" s="9" t="str">
        <x:v>Inputs!B31</x:v>
      </x:c>
      <x:c r="D31" s="9" t="n">
        <x:v>14</x:v>
      </x:c>
      <x:c r="E31" s="9" t="str">
        <x:v>A46</x:v>
      </x:c>
      <x:c r="F31" s="9" t="str">
        <x:v>APPLIED / DETECTED</x:v>
      </x:c>
      <x:c r="G31" s="9" t="str">
        <x:v>RESTORED / PASS</x:v>
      </x:c>
    </x:row>
    <x:row r="32">
      <x:c r="A32" s="9" t="str">
        <x:v>M26</x:v>
      </x:c>
      <x:c r="B32" s="9" t="str">
        <x:v>Role judgment deadline</x:v>
      </x:c>
      <x:c r="C32" s="9" t="str">
        <x:v>Inputs!B32</x:v>
      </x:c>
      <x:c r="D32" s="9" t="n">
        <x:v>35</x:v>
      </x:c>
      <x:c r="E32" s="9" t="str">
        <x:v>A47</x:v>
      </x:c>
      <x:c r="F32" s="9" t="str">
        <x:v>APPLIED / DETECTED</x:v>
      </x:c>
      <x:c r="G32" s="9" t="str">
        <x:v>RESTORED / PASS</x:v>
      </x:c>
    </x:row>
    <x:row r="33">
      <x:c r="A33" s="9" t="str">
        <x:v>M27</x:v>
      </x:c>
      <x:c r="B33" s="9" t="str">
        <x:v>Disclosure deadline</x:v>
      </x:c>
      <x:c r="C33" s="9" t="str">
        <x:v>Inputs!B33</x:v>
      </x:c>
      <x:c r="D33" s="9" t="n">
        <x:v>21</x:v>
      </x:c>
      <x:c r="E33" s="9" t="str">
        <x:v>A48</x:v>
      </x:c>
      <x:c r="F33" s="9" t="str">
        <x:v>APPLIED / DETECTED</x:v>
      </x:c>
      <x:c r="G33" s="9" t="str">
        <x:v>RESTORED / PASS</x:v>
      </x:c>
    </x:row>
    <x:row r="34">
      <x:c r="A34" s="9" t="str">
        <x:v>M28</x:v>
      </x:c>
      <x:c r="B34" s="9" t="str">
        <x:v>Candidate assigned exposure</x:v>
      </x:c>
      <x:c r="C34" s="9" t="str">
        <x:v>Inputs!B34</x:v>
      </x:c>
      <x:c r="D34" s="9" t="n">
        <x:v>16000</x:v>
      </x:c>
      <x:c r="E34" s="9" t="str">
        <x:v>A49</x:v>
      </x:c>
      <x:c r="F34" s="9" t="str">
        <x:v>APPLIED / DETECTED</x:v>
      </x:c>
      <x:c r="G34" s="9" t="str">
        <x:v>RESTORED / PASS</x:v>
      </x:c>
    </x:row>
    <x:row r="35">
      <x:c r="A35" s="9" t="str">
        <x:v>M29</x:v>
      </x:c>
      <x:c r="B35" s="9" t="str">
        <x:v>Proving assigned exposure</x:v>
      </x:c>
      <x:c r="C35" s="9" t="str">
        <x:v>Inputs!B35</x:v>
      </x:c>
      <x:c r="D35" s="9" t="n">
        <x:v>5200</x:v>
      </x:c>
      <x:c r="E35" s="9" t="str">
        <x:v>A50</x:v>
      </x:c>
      <x:c r="F35" s="9" t="str">
        <x:v>APPLIED / DETECTED</x:v>
      </x:c>
      <x:c r="G35" s="9" t="str">
        <x:v>RESTORED / PASS</x:v>
      </x:c>
    </x:row>
    <x:row r="36">
      <x:c r="A36" s="9" t="str">
        <x:v>M30</x:v>
      </x:c>
      <x:c r="B36" s="9" t="str">
        <x:v>Metrology assigned exposure</x:v>
      </x:c>
      <x:c r="C36" s="9" t="str">
        <x:v>Inputs!B36</x:v>
      </x:c>
      <x:c r="D36" s="9" t="n">
        <x:v>2100</x:v>
      </x:c>
      <x:c r="E36" s="9" t="str">
        <x:v>A51</x:v>
      </x:c>
      <x:c r="F36" s="9" t="str">
        <x:v>APPLIED / DETECTED</x:v>
      </x:c>
      <x:c r="G36" s="9" t="str">
        <x:v>RESTORED / PASS</x:v>
      </x:c>
    </x:row>
    <x:row r="37">
      <x:c r="A37" s="9" t="str">
        <x:v>M31</x:v>
      </x:c>
      <x:c r="B37" s="9" t="str">
        <x:v>Regeneration assigned exposure</x:v>
      </x:c>
      <x:c r="C37" s="9" t="str">
        <x:v>Inputs!B37</x:v>
      </x:c>
      <x:c r="D37" s="9" t="n">
        <x:v>1200</x:v>
      </x:c>
      <x:c r="E37" s="9" t="str">
        <x:v>A52</x:v>
      </x:c>
      <x:c r="F37" s="9" t="str">
        <x:v>APPLIED / DETECTED</x:v>
      </x:c>
      <x:c r="G37" s="9" t="str">
        <x:v>RESTORED / PASS</x:v>
      </x:c>
    </x:row>
    <x:row r="38">
      <x:c r="A38" s="9" t="str">
        <x:v>M32</x:v>
      </x:c>
      <x:c r="B38" s="9" t="str">
        <x:v>Issued EOWs</x:v>
      </x:c>
      <x:c r="C38" s="9" t="str">
        <x:v>Inputs!B38</x:v>
      </x:c>
      <x:c r="D38" s="9" t="n">
        <x:v>1</x:v>
      </x:c>
      <x:c r="E38" s="9" t="str">
        <x:v>A56</x:v>
      </x:c>
      <x:c r="F38" s="9" t="str">
        <x:v>APPLIED / DETECTED</x:v>
      </x:c>
      <x:c r="G38" s="9" t="str">
        <x:v>RESTORED / PASS</x:v>
      </x:c>
    </x:row>
    <x:row r="39">
      <x:c r="A39" s="9" t="str">
        <x:v>M33</x:v>
      </x:c>
      <x:c r="B39" s="9" t="str">
        <x:v>Detected starts</x:v>
      </x:c>
      <x:c r="C39" s="9" t="str">
        <x:v>Inputs!B39</x:v>
      </x:c>
      <x:c r="D39" s="9" t="n">
        <x:v>1</x:v>
      </x:c>
      <x:c r="E39" s="9" t="str">
        <x:v>A57</x:v>
      </x:c>
      <x:c r="F39" s="9" t="str">
        <x:v>APPLIED / DETECTED</x:v>
      </x:c>
      <x:c r="G39" s="9" t="str">
        <x:v>RESTORED / PASS</x:v>
      </x:c>
    </x:row>
    <x:row r="40">
      <x:c r="A40" s="9" t="str">
        <x:v>M34</x:v>
      </x:c>
      <x:c r="B40" s="9" t="str">
        <x:v>Sealed raw packets</x:v>
      </x:c>
      <x:c r="C40" s="9" t="str">
        <x:v>Inputs!B40</x:v>
      </x:c>
      <x:c r="D40" s="9" t="n">
        <x:v>1</x:v>
      </x:c>
      <x:c r="E40" s="9" t="str">
        <x:v>A58</x:v>
      </x:c>
      <x:c r="F40" s="9" t="str">
        <x:v>APPLIED / DETECTED</x:v>
      </x:c>
      <x:c r="G40" s="9" t="str">
        <x:v>RESTORED / PASS</x:v>
      </x:c>
    </x:row>
    <x:row r="41">
      <x:c r="A41" s="9" t="str">
        <x:v>M35</x:v>
      </x:c>
      <x:c r="B41" s="9" t="str">
        <x:v>Accepted observations</x:v>
      </x:c>
      <x:c r="C41" s="9" t="str">
        <x:v>Inputs!B41</x:v>
      </x:c>
      <x:c r="D41" s="9" t="n">
        <x:v>1</x:v>
      </x:c>
      <x:c r="E41" s="9" t="str">
        <x:v>A59</x:v>
      </x:c>
      <x:c r="F41" s="9" t="str">
        <x:v>APPLIED / DETECTED</x:v>
      </x:c>
      <x:c r="G41" s="9" t="str">
        <x:v>RESTORED / PASS</x:v>
      </x:c>
    </x:row>
    <x:row r="42">
      <x:c r="A42" s="9" t="str">
        <x:v>M36</x:v>
      </x:c>
      <x:c r="B42" s="9" t="str">
        <x:v>Facility invalidity decisions</x:v>
      </x:c>
      <x:c r="C42" s="9" t="str">
        <x:v>Inputs!B42</x:v>
      </x:c>
      <x:c r="D42" s="9" t="n">
        <x:v>1</x:v>
      </x:c>
      <x:c r="E42" s="9" t="str">
        <x:v>A60</x:v>
      </x:c>
      <x:c r="F42" s="9" t="str">
        <x:v>APPLIED / DETECTED</x:v>
      </x:c>
      <x:c r="G42" s="9" t="str">
        <x:v>RESTORED / PASS</x:v>
      </x:c>
    </x:row>
    <x:row r="43">
      <x:c r="A43" s="9" t="str">
        <x:v>M37</x:v>
      </x:c>
      <x:c r="B43" s="9" t="str">
        <x:v>Issued role judgments</x:v>
      </x:c>
      <x:c r="C43" s="9" t="str">
        <x:v>Inputs!B43</x:v>
      </x:c>
      <x:c r="D43" s="9" t="n">
        <x:v>1</x:v>
      </x:c>
      <x:c r="E43" s="9" t="str">
        <x:v>A61</x:v>
      </x:c>
      <x:c r="F43" s="9" t="str">
        <x:v>APPLIED / DETECTED</x:v>
      </x:c>
      <x:c r="G43" s="9" t="str">
        <x:v>RESTORED / PASS</x:v>
      </x:c>
    </x:row>
    <x:row r="44">
      <x:c r="A44" s="9" t="str">
        <x:v>M38</x:v>
      </x:c>
      <x:c r="B44" s="9" t="str">
        <x:v>Closed root dossiers</x:v>
      </x:c>
      <x:c r="C44" s="9" t="str">
        <x:v>Inputs!B44</x:v>
      </x:c>
      <x:c r="D44" s="9" t="n">
        <x:v>1</x:v>
      </x:c>
      <x:c r="E44" s="9" t="str">
        <x:v>A62</x:v>
      </x:c>
      <x:c r="F44" s="9" t="str">
        <x:v>APPLIED / DETECTED</x:v>
      </x:c>
      <x:c r="G44" s="9" t="str">
        <x:v>RESTORED / PASS</x:v>
      </x:c>
    </x:row>
    <x:row r="45">
      <x:c r="A45" s="9" t="str">
        <x:v>M39</x:v>
      </x:c>
      <x:c r="B45" s="9" t="str">
        <x:v>Released result packets</x:v>
      </x:c>
      <x:c r="C45" s="9" t="str">
        <x:v>Inputs!B45</x:v>
      </x:c>
      <x:c r="D45" s="9" t="n">
        <x:v>1</x:v>
      </x:c>
      <x:c r="E45" s="9" t="str">
        <x:v>A63</x:v>
      </x:c>
      <x:c r="F45" s="9" t="str">
        <x:v>APPLIED / DETECTED</x:v>
      </x:c>
      <x:c r="G45" s="9" t="str">
        <x:v>RESTORED / PASS</x:v>
      </x:c>
    </x:row>
    <x:row r="46">
      <x:c r="A46" s="9" t="str">
        <x:v>M40</x:v>
      </x:c>
      <x:c r="B46" s="9" t="str">
        <x:v>Selection decisions</x:v>
      </x:c>
      <x:c r="C46" s="9" t="str">
        <x:v>Inputs!B46</x:v>
      </x:c>
      <x:c r="D46" s="9" t="n">
        <x:v>1</x:v>
      </x:c>
      <x:c r="E46" s="9" t="str">
        <x:v>A64</x:v>
      </x:c>
      <x:c r="F46" s="9" t="str">
        <x:v>APPLIED / DETECTED</x:v>
      </x:c>
      <x:c r="G46" s="9" t="str">
        <x:v>RESTORED / PASS</x:v>
      </x:c>
    </x:row>
    <x:row r="47">
      <x:c r="A47" s="9" t="str">
        <x:v>M41</x:v>
      </x:c>
      <x:c r="B47" s="9" t="str">
        <x:v>Production releases</x:v>
      </x:c>
      <x:c r="C47" s="9" t="str">
        <x:v>Inputs!B47</x:v>
      </x:c>
      <x:c r="D47" s="9" t="n">
        <x:v>1</x:v>
      </x:c>
      <x:c r="E47" s="9" t="str">
        <x:v>A65</x:v>
      </x:c>
      <x:c r="F47" s="9" t="str">
        <x:v>APPLIED / DETECTED</x:v>
      </x:c>
      <x:c r="G47" s="9" t="str">
        <x:v>RESTORED / PASS</x:v>
      </x:c>
    </x:row>
    <x:row r="48">
      <x:c r="A48" s="9" t="str">
        <x:v>M42</x:v>
      </x:c>
      <x:c r="B48" s="9" t="str">
        <x:v>REP-4 authority</x:v>
      </x:c>
      <x:c r="C48" s="9" t="str">
        <x:v>Inputs!B48</x:v>
      </x:c>
      <x:c r="D48" s="9" t="n">
        <x:v>1</x:v>
      </x:c>
      <x:c r="E48" s="9" t="str">
        <x:v>A66</x:v>
      </x:c>
      <x:c r="F48" s="9" t="str">
        <x:v>APPLIED / DETECTED</x:v>
      </x:c>
      <x:c r="G48" s="9" t="str">
        <x:v>RESTORED / PASS</x:v>
      </x:c>
    </x:row>
    <x:row r="49">
      <x:c r="A49" s="9" t="str">
        <x:v>M43</x:v>
      </x:c>
      <x:c r="B49" s="9" t="str">
        <x:v>REP-5 authority</x:v>
      </x:c>
      <x:c r="C49" s="9" t="str">
        <x:v>Inputs!B49</x:v>
      </x:c>
      <x:c r="D49" s="9" t="n">
        <x:v>1</x:v>
      </x:c>
      <x:c r="E49" s="9" t="str">
        <x:v>A67</x:v>
      </x:c>
      <x:c r="F49" s="9" t="str">
        <x:v>APPLIED / DETECTED</x:v>
      </x:c>
      <x:c r="G49" s="9" t="str">
        <x:v>RESTORED / PASS</x:v>
      </x:c>
    </x:row>
    <x:row r="50">
      <x:c r="A50" s="9" t="str">
        <x:v>M44</x:v>
      </x:c>
      <x:c r="B50" s="9" t="str">
        <x:v>Rendering issues</x:v>
      </x:c>
      <x:c r="C50" s="9" t="str">
        <x:v>Inputs!B50</x:v>
      </x:c>
      <x:c r="D50" s="9" t="n">
        <x:v>1</x:v>
      </x:c>
      <x:c r="E50" s="9" t="str">
        <x:v>A68</x:v>
      </x:c>
      <x:c r="F50" s="9" t="str">
        <x:v>APPLIED / DETECTED</x:v>
      </x:c>
      <x:c r="G50" s="9" t="str">
        <x:v>RESTORED / PASS</x:v>
      </x:c>
    </x:row>
    <x:row r="51">
      <x:c r="A51" s="9" t="str">
        <x:v>M45</x:v>
      </x:c>
      <x:c r="B51" s="9" t="str">
        <x:v>Actual obligations</x:v>
      </x:c>
      <x:c r="C51" s="9" t="str">
        <x:v>Inputs!B51</x:v>
      </x:c>
      <x:c r="D51" s="9" t="n">
        <x:v>1</x:v>
      </x:c>
      <x:c r="E51" s="9" t="str">
        <x:v>A69</x:v>
      </x:c>
      <x:c r="F51" s="9" t="str">
        <x:v>APPLIED / DETECTED</x:v>
      </x:c>
      <x:c r="G51" s="9" t="str">
        <x:v>RESTORED / PASS</x:v>
      </x:c>
    </x:row>
    <x:row r="52">
      <x:c r="A52" s="9" t="str">
        <x:v>M46</x:v>
      </x:c>
      <x:c r="B52" s="9" t="str">
        <x:v>Actual payments</x:v>
      </x:c>
      <x:c r="C52" s="9" t="str">
        <x:v>Inputs!B52</x:v>
      </x:c>
      <x:c r="D52" s="9" t="n">
        <x:v>1</x:v>
      </x:c>
      <x:c r="E52" s="9" t="str">
        <x:v>A70</x:v>
      </x:c>
      <x:c r="F52" s="9" t="str">
        <x:v>APPLIED / DETECTED</x:v>
      </x:c>
      <x:c r="G52" s="9" t="str">
        <x:v>RESTORED / PASS</x:v>
      </x:c>
    </x:row>
  </x:sheetData>
  <x:conditionalFormatting sqref="F7:F52">
    <x:cfRule type="containsText" dxfId="224" priority="1" operator="containsText" text="OPEN"/>
    <x:cfRule type="containsText" dxfId="225" priority="2" operator="containsText" text="BLOCKED"/>
    <x:cfRule type="containsText" dxfId="226" priority="3" operator="containsText" text="UNSTARTED"/>
    <x:cfRule type="containsText" dxfId="227" priority="4" operator="containsText" text="UNSEALED"/>
    <x:cfRule type="containsText" dxfId="228" priority="5" operator="containsText" text="UNACCEPTED"/>
    <x:cfRule type="containsText" dxfId="229" priority="6" operator="containsText" text="UNFILED"/>
    <x:cfRule type="containsText" dxfId="230" priority="7" operator="containsText" text="UNJUDGED"/>
    <x:cfRule type="containsText" dxfId="231" priority="8" operator="containsText" text="UNRELEASED"/>
    <x:cfRule type="containsText" dxfId="232" priority="9" operator="containsText" text="HELD"/>
    <x:cfRule type="containsText" dxfId="233" priority="10" operator="containsText" text="PENDING"/>
    <x:cfRule type="containsText" dxfId="234" priority="11" operator="containsText" text="SOURCE-EMPTY"/>
    <x:cfRule type="containsText" dxfId="235" priority="12" operator="containsText" text="FAIL"/>
    <x:cfRule type="containsText" dxfId="236" priority="13" operator="containsText" text="TERMINATE"/>
    <x:cfRule type="containsText" dxfId="237" priority="14" operator="containsText" text="PROHIBITED"/>
    <x:cfRule type="containsText" dxfId="238" priority="15" operator="containsText" text="BREACH"/>
    <x:cfRule type="containsText" dxfId="239" priority="16" operator="containsText" text="QUARANTINE"/>
  </x:conditionalFormatting>
  <x:conditionalFormatting sqref="G7:G52">
    <x:cfRule type="containsText" dxfId="240" priority="17" operator="containsText" text="OPEN"/>
    <x:cfRule type="containsText" dxfId="241" priority="18" operator="containsText" text="BLOCKED"/>
    <x:cfRule type="containsText" dxfId="242" priority="19" operator="containsText" text="UNSTARTED"/>
    <x:cfRule type="containsText" dxfId="243" priority="20" operator="containsText" text="UNSEALED"/>
    <x:cfRule type="containsText" dxfId="244" priority="21" operator="containsText" text="UNACCEPTED"/>
    <x:cfRule type="containsText" dxfId="245" priority="22" operator="containsText" text="UNFILED"/>
    <x:cfRule type="containsText" dxfId="246" priority="23" operator="containsText" text="UNJUDGED"/>
    <x:cfRule type="containsText" dxfId="247" priority="24" operator="containsText" text="UNRELEASED"/>
    <x:cfRule type="containsText" dxfId="248" priority="25" operator="containsText" text="HELD"/>
    <x:cfRule type="containsText" dxfId="249" priority="26" operator="containsText" text="PENDING"/>
    <x:cfRule type="containsText" dxfId="250" priority="27" operator="containsText" text="SOURCE-EMPTY"/>
    <x:cfRule type="containsText" dxfId="251" priority="28" operator="containsText" text="FAIL"/>
    <x:cfRule type="containsText" dxfId="252" priority="29" operator="containsText" text="TERMINATE"/>
    <x:cfRule type="containsText" dxfId="253" priority="30" operator="containsText" text="PROHIBITED"/>
    <x:cfRule type="containsText" dxfId="254" priority="31" operator="containsText" text="BREACH"/>
    <x:cfRule type="containsText" dxfId="255" priority="3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5915e74056d14088"/>
  </x:tableParts>
</x:worksheet>
</file>

<file path=xl/worksheets/sheet1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6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31" t="str">
        <x:v>Independent terminal checks</x:v>
      </x:c>
      <x:c r="B2" s="10"/>
      <x:c r="C2" s="10"/>
      <x:c r="D2" s="10"/>
      <x:c r="E2" s="10"/>
      <x:c r="F2" s="10"/>
    </x:row>
    <x:row r="3">
      <x:c r="A3" s="9"/>
      <x:c r="B3" s="9"/>
      <x:c r="C3" s="9"/>
      <x:c r="D3" s="9"/>
      <x:c r="E3" s="9"/>
      <x:c r="F3" s="9"/>
    </x:row>
    <x:row r="4">
      <x:c r="A4" s="11"/>
      <x:c r="B4" s="11"/>
      <x:c r="C4" s="11"/>
      <x:c r="D4" s="11"/>
      <x:c r="E4" s="11"/>
      <x:c r="F4" s="11"/>
    </x:row>
    <x:row r="5">
      <x:c r="A5" s="9"/>
      <x:c r="B5" s="9"/>
      <x:c r="C5" s="9"/>
      <x:c r="D5" s="9"/>
      <x:c r="E5" s="9"/>
      <x:c r="F5" s="9"/>
    </x:row>
    <x:row r="6" ht="34" customHeight="1">
      <x:c r="A6" s="35" t="str">
        <x:v>Audit</x:v>
      </x:c>
      <x:c r="B6" s="35" t="str">
        <x:v>Test</x:v>
      </x:c>
      <x:c r="C6" s="35" t="str">
        <x:v>Actual</x:v>
      </x:c>
      <x:c r="D6" s="35" t="str">
        <x:v>Expected</x:v>
      </x:c>
      <x:c r="E6" s="35" t="str">
        <x:v>Tolerance</x:v>
      </x:c>
      <x:c r="F6" s="35" t="str">
        <x:v>Status</x:v>
      </x:c>
    </x:row>
    <x:row r="7">
      <x:c r="A7" s="9" t="str">
        <x:v>A01</x:v>
      </x:c>
      <x:c r="B7" s="9" t="str">
        <x:v>Technology-order count</x:v>
      </x:c>
      <x:c r="C7" s="30" t="n">
        <x:f>COUNTA('Event Ledger'!D7:D150)/6</x:f>
        <x:v>24</x:v>
      </x:c>
      <x:c r="D7" s="30" t="n">
        <x:f>Inputs!B7</x:f>
        <x:v>24</x:v>
      </x:c>
      <x:c r="E7" s="30" t="n">
        <x:v>0</x:v>
      </x:c>
      <x:c r="F7" s="9" t="str">
        <x:f>IF(ABS(C7-D7)&lt;=E7,"PASS","FAIL")</x:f>
        <x:v>PASS</x:v>
      </x:c>
    </x:row>
    <x:row r="8">
      <x:c r="A8" s="9" t="str">
        <x:v>A02</x:v>
      </x:c>
      <x:c r="B8" s="9" t="str">
        <x:v>Form count</x:v>
      </x:c>
      <x:c r="C8" s="30" t="n">
        <x:f>COUNTA('Event Ledger'!E7:E150)/24</x:f>
        <x:v>6</x:v>
      </x:c>
      <x:c r="D8" s="30" t="n">
        <x:f>Inputs!B8</x:f>
        <x:v>6</x:v>
      </x:c>
      <x:c r="E8" s="30" t="n">
        <x:v>0</x:v>
      </x:c>
      <x:c r="F8" s="9" t="str">
        <x:f>IF(ABS(C8-D8)&lt;=E8,"PASS","FAIL")</x:f>
        <x:v>PASS</x:v>
      </x:c>
    </x:row>
    <x:row r="9">
      <x:c r="A9" s="9" t="str">
        <x:v>A03</x:v>
      </x:c>
      <x:c r="B9" s="9" t="str">
        <x:v>Builder-root count</x:v>
      </x:c>
      <x:c r="C9" s="30" t="n">
        <x:f>IF(AND(COUNTIFS('Event Ledger'!F7:F150,"B1")&gt;0,COUNTIFS('Event Ledger'!F7:F150,"B2")&gt;0),2,0)</x:f>
        <x:v>2</x:v>
      </x:c>
      <x:c r="D9" s="30" t="n">
        <x:f>Inputs!B9</x:f>
        <x:v>2</x:v>
      </x:c>
      <x:c r="E9" s="30" t="n">
        <x:v>0</x:v>
      </x:c>
      <x:c r="F9" s="9" t="str">
        <x:f>IF(ABS(C9-D9)&lt;=E9,"PASS","FAIL")</x:f>
        <x:v>PASS</x:v>
      </x:c>
    </x:row>
    <x:row r="10">
      <x:c r="A10" s="9" t="str">
        <x:v>A04</x:v>
      </x:c>
      <x:c r="B10" s="9" t="str">
        <x:v>Serial-role count</x:v>
      </x:c>
      <x:c r="C10" s="30" t="n">
        <x:f>IF(AND(COUNTIFS('Event Ledger'!G7:G150,"INT")&gt;0,COUNTIFS('Event Ledger'!G7:G150,"BRK")&gt;0,COUNTIFS('Event Ledger'!G7:G150,"RCN")&gt;0),3,0)</x:f>
        <x:v>3</x:v>
      </x:c>
      <x:c r="D10" s="30" t="n">
        <x:f>Inputs!B10</x:f>
        <x:v>3</x:v>
      </x:c>
      <x:c r="E10" s="30" t="n">
        <x:v>0</x:v>
      </x:c>
      <x:c r="F10" s="9" t="str">
        <x:f>IF(ABS(C10-D10)&lt;=E10,"PASS","FAIL")</x:f>
        <x:v>PASS</x:v>
      </x:c>
    </x:row>
    <x:row r="11">
      <x:c r="A11" s="9" t="str">
        <x:v>A05</x:v>
      </x:c>
      <x:c r="B11" s="9" t="str">
        <x:v>Serial opportunity count</x:v>
      </x:c>
      <x:c r="C11" s="30" t="n">
        <x:f>COUNTA('Event Ledger'!A7:A150)</x:f>
        <x:v>144</x:v>
      </x:c>
      <x:c r="D11" s="30" t="n">
        <x:f>Inputs!B11</x:f>
        <x:v>144</x:v>
      </x:c>
      <x:c r="E11" s="30" t="n">
        <x:v>0</x:v>
      </x:c>
      <x:c r="F11" s="9" t="str">
        <x:f>IF(ABS(C11-D11)&lt;=E11,"PASS","FAIL")</x:f>
        <x:v>PASS</x:v>
      </x:c>
    </x:row>
    <x:row r="12">
      <x:c r="A12" s="9" t="str">
        <x:v>A06</x:v>
      </x:c>
      <x:c r="B12" s="9" t="str">
        <x:v>INT serial count</x:v>
      </x:c>
      <x:c r="C12" s="30" t="n">
        <x:f>COUNTIFS('Event Ledger'!G7:G150,"INT")</x:f>
        <x:v>48</x:v>
      </x:c>
      <x:c r="D12" s="30" t="n">
        <x:f>Inputs!B12</x:f>
        <x:v>48</x:v>
      </x:c>
      <x:c r="E12" s="30" t="n">
        <x:v>0</x:v>
      </x:c>
      <x:c r="F12" s="9" t="str">
        <x:f>IF(ABS(C12-D12)&lt;=E12,"PASS","FAIL")</x:f>
        <x:v>PASS</x:v>
      </x:c>
    </x:row>
    <x:row r="13">
      <x:c r="A13" s="9" t="str">
        <x:v>A07</x:v>
      </x:c>
      <x:c r="B13" s="9" t="str">
        <x:v>BRK serial count</x:v>
      </x:c>
      <x:c r="C13" s="30" t="n">
        <x:f>COUNTIFS('Event Ledger'!G7:G150,"BRK")</x:f>
        <x:v>48</x:v>
      </x:c>
      <x:c r="D13" s="30" t="n">
        <x:f>Inputs!B13</x:f>
        <x:v>48</x:v>
      </x:c>
      <x:c r="E13" s="30" t="n">
        <x:v>0</x:v>
      </x:c>
      <x:c r="F13" s="9" t="str">
        <x:f>IF(ABS(C13-D13)&lt;=E13,"PASS","FAIL")</x:f>
        <x:v>PASS</x:v>
      </x:c>
    </x:row>
    <x:row r="14">
      <x:c r="A14" s="9" t="str">
        <x:v>A08</x:v>
      </x:c>
      <x:c r="B14" s="9" t="str">
        <x:v>RCN serial count</x:v>
      </x:c>
      <x:c r="C14" s="30" t="n">
        <x:f>COUNTIFS('Event Ledger'!G7:G150,"RCN")</x:f>
        <x:v>48</x:v>
      </x:c>
      <x:c r="D14" s="30" t="n">
        <x:f>Inputs!B14</x:f>
        <x:v>48</x:v>
      </x:c>
      <x:c r="E14" s="30" t="n">
        <x:v>0</x:v>
      </x:c>
      <x:c r="F14" s="9" t="str">
        <x:f>IF(ABS(C14-D14)&lt;=E14,"PASS","FAIL")</x:f>
        <x:v>PASS</x:v>
      </x:c>
    </x:row>
    <x:row r="15">
      <x:c r="A15" s="9" t="str">
        <x:v>A09</x:v>
      </x:c>
      <x:c r="B15" s="9" t="str">
        <x:v>Acceptance-bearing serial count</x:v>
      </x:c>
      <x:c r="C15" s="30" t="n">
        <x:f>SUM('Event Ledger'!M7:M150)</x:f>
        <x:v>96</x:v>
      </x:c>
      <x:c r="D15" s="30" t="n">
        <x:f>Inputs!B15</x:f>
        <x:v>96</x:v>
      </x:c>
      <x:c r="E15" s="30" t="n">
        <x:v>0</x:v>
      </x:c>
      <x:c r="F15" s="9" t="str">
        <x:f>IF(ABS(C15-D15)&lt;=E15,"PASS","FAIL")</x:f>
        <x:v>PASS</x:v>
      </x:c>
    </x:row>
    <x:row r="16">
      <x:c r="A16" s="9" t="str">
        <x:v>A10</x:v>
      </x:c>
      <x:c r="B16" s="9" t="str">
        <x:v>Start-control record count</x:v>
      </x:c>
      <x:c r="C16" s="30" t="n">
        <x:f>COUNTA('Start Controls'!A7:A1446)</x:f>
        <x:v>1440</x:v>
      </x:c>
      <x:c r="D16" s="30" t="n">
        <x:f>Inputs!B11*Inputs!B16</x:f>
        <x:v>1440</x:v>
      </x:c>
      <x:c r="E16" s="30" t="n">
        <x:v>0</x:v>
      </x:c>
      <x:c r="F16" s="9" t="str">
        <x:f>IF(ABS(C16-D16)&lt;=E16,"PASS","FAIL")</x:f>
        <x:v>PASS</x:v>
      </x:c>
    </x:row>
    <x:row r="17">
      <x:c r="A17" s="9" t="str">
        <x:v>A11</x:v>
      </x:c>
      <x:c r="B17" s="9" t="str">
        <x:v>Start controls unique</x:v>
      </x:c>
      <x:c r="C17" s="30" t="n">
        <x:f>SUM('Start Controls'!S7:S1446)</x:f>
        <x:v>1440</x:v>
      </x:c>
      <x:c r="D17" s="30" t="n">
        <x:f>1440</x:f>
        <x:v>1440</x:v>
      </x:c>
      <x:c r="E17" s="30" t="n">
        <x:v>0</x:v>
      </x:c>
      <x:c r="F17" s="9" t="str">
        <x:f>IF(ABS(C17-D17)&lt;=E17,"PASS","FAIL")</x:f>
        <x:v>PASS</x:v>
      </x:c>
    </x:row>
    <x:row r="18">
      <x:c r="A18" s="9" t="str">
        <x:v>A12</x:v>
      </x:c>
      <x:c r="B18" s="9" t="str">
        <x:v>Closed start controls remain zero</x:v>
      </x:c>
      <x:c r="C18" s="30" t="n">
        <x:f>SUM('Start Controls'!P7:P1446)</x:f>
        <x:v>0</x:v>
      </x:c>
      <x:c r="D18" s="30" t="n">
        <x:f>0</x:f>
        <x:v>0</x:v>
      </x:c>
      <x:c r="E18" s="30" t="n">
        <x:v>0</x:v>
      </x:c>
      <x:c r="F18" s="9" t="str">
        <x:f>IF(ABS(C18-D18)&lt;=E18,"PASS","FAIL")</x:f>
        <x:v>PASS</x:v>
      </x:c>
    </x:row>
    <x:row r="19">
      <x:c r="A19" s="9" t="str">
        <x:v>A13</x:v>
      </x:c>
      <x:c r="B19" s="9" t="str">
        <x:v>Start outcome metrics remain zero</x:v>
      </x:c>
      <x:c r="C19" s="30" t="n">
        <x:f>SUM('Start Controls'!Q7:Q1446)</x:f>
        <x:v>0</x:v>
      </x:c>
      <x:c r="D19" s="30" t="n">
        <x:f>0</x:f>
        <x:v>0</x:v>
      </x:c>
      <x:c r="E19" s="30" t="n">
        <x:v>0</x:v>
      </x:c>
      <x:c r="F19" s="9" t="str">
        <x:f>IF(ABS(C19-D19)&lt;=E19,"PASS","FAIL")</x:f>
        <x:v>PASS</x:v>
      </x:c>
    </x:row>
    <x:row r="20">
      <x:c r="A20" s="9" t="str">
        <x:v>A14</x:v>
      </x:c>
      <x:c r="B20" s="9" t="str">
        <x:v>Raw custody record count</x:v>
      </x:c>
      <x:c r="C20" s="30" t="n">
        <x:f>COUNTA('Raw Custody'!A7:A1158)</x:f>
        <x:v>1152</x:v>
      </x:c>
      <x:c r="D20" s="30" t="n">
        <x:f>Inputs!B11*Inputs!B17</x:f>
        <x:v>1152</x:v>
      </x:c>
      <x:c r="E20" s="30" t="n">
        <x:v>0</x:v>
      </x:c>
      <x:c r="F20" s="9" t="str">
        <x:f>IF(ABS(C20-D20)&lt;=E20,"PASS","FAIL")</x:f>
        <x:v>PASS</x:v>
      </x:c>
    </x:row>
    <x:row r="21">
      <x:c r="A21" s="9" t="str">
        <x:v>A15</x:v>
      </x:c>
      <x:c r="B21" s="9" t="str">
        <x:v>Raw records unique</x:v>
      </x:c>
      <x:c r="C21" s="30" t="n">
        <x:f>SUM('Raw Custody'!Q7:Q1158)</x:f>
        <x:v>1152</x:v>
      </x:c>
      <x:c r="D21" s="30" t="n">
        <x:f>1152</x:f>
        <x:v>1152</x:v>
      </x:c>
      <x:c r="E21" s="30" t="n">
        <x:v>0</x:v>
      </x:c>
      <x:c r="F21" s="9" t="str">
        <x:f>IF(ABS(C21-D21)&lt;=E21,"PASS","FAIL")</x:f>
        <x:v>PASS</x:v>
      </x:c>
    </x:row>
    <x:row r="22">
      <x:c r="A22" s="9" t="str">
        <x:v>A16</x:v>
      </x:c>
      <x:c r="B22" s="9" t="str">
        <x:v>Origin hashes remain zero</x:v>
      </x:c>
      <x:c r="C22" s="30" t="n">
        <x:f>SUM('Raw Custody'!L7:L1158)</x:f>
        <x:v>0</x:v>
      </x:c>
      <x:c r="D22" s="30" t="n">
        <x:f>0</x:f>
        <x:v>0</x:v>
      </x:c>
      <x:c r="E22" s="30" t="n">
        <x:v>0</x:v>
      </x:c>
      <x:c r="F22" s="9" t="str">
        <x:f>IF(ABS(C22-D22)&lt;=E22,"PASS","FAIL")</x:f>
        <x:v>PASS</x:v>
      </x:c>
    </x:row>
    <x:row r="23">
      <x:c r="A23" s="9" t="str">
        <x:v>A17</x:v>
      </x:c>
      <x:c r="B23" s="9" t="str">
        <x:v>Replica quorums remain zero</x:v>
      </x:c>
      <x:c r="C23" s="30" t="n">
        <x:f>SUM('Raw Custody'!M7:M1158)</x:f>
        <x:v>0</x:v>
      </x:c>
      <x:c r="D23" s="30" t="n">
        <x:f>0</x:f>
        <x:v>0</x:v>
      </x:c>
      <x:c r="E23" s="30" t="n">
        <x:v>0</x:v>
      </x:c>
      <x:c r="F23" s="9" t="str">
        <x:f>IF(ABS(C23-D23)&lt;=E23,"PASS","FAIL")</x:f>
        <x:v>PASS</x:v>
      </x:c>
    </x:row>
    <x:row r="24">
      <x:c r="A24" s="9" t="str">
        <x:v>A18</x:v>
      </x:c>
      <x:c r="B24" s="9" t="str">
        <x:v>Observation-gate record count</x:v>
      </x:c>
      <x:c r="C24" s="30" t="n">
        <x:f>COUNTA('Observation Gates'!A7:A1734)</x:f>
        <x:v>1728</x:v>
      </x:c>
      <x:c r="D24" s="30" t="n">
        <x:f>Inputs!B11*Inputs!B18</x:f>
        <x:v>1728</x:v>
      </x:c>
      <x:c r="E24" s="30" t="n">
        <x:v>0</x:v>
      </x:c>
      <x:c r="F24" s="9" t="str">
        <x:f>IF(ABS(C24-D24)&lt;=E24,"PASS","FAIL")</x:f>
        <x:v>PASS</x:v>
      </x:c>
    </x:row>
    <x:row r="25">
      <x:c r="A25" s="9" t="str">
        <x:v>A19</x:v>
      </x:c>
      <x:c r="B25" s="9" t="str">
        <x:v>Observation records unique</x:v>
      </x:c>
      <x:c r="C25" s="30" t="n">
        <x:f>SUM('Observation Gates'!O7:O1734)</x:f>
        <x:v>1728</x:v>
      </x:c>
      <x:c r="D25" s="30" t="n">
        <x:f>1728</x:f>
        <x:v>1728</x:v>
      </x:c>
      <x:c r="E25" s="30" t="n">
        <x:v>0</x:v>
      </x:c>
      <x:c r="F25" s="9" t="str">
        <x:f>IF(ABS(C25-D25)&lt;=E25,"PASS","FAIL")</x:f>
        <x:v>PASS</x:v>
      </x:c>
    </x:row>
    <x:row r="26">
      <x:c r="A26" s="9" t="str">
        <x:v>A20</x:v>
      </x:c>
      <x:c r="B26" s="9" t="str">
        <x:v>Accepted observation gates remain zero</x:v>
      </x:c>
      <x:c r="C26" s="30" t="n">
        <x:f>SUM('Observation Gates'!L7:L1734)</x:f>
        <x:v>0</x:v>
      </x:c>
      <x:c r="D26" s="30" t="n">
        <x:f>0</x:f>
        <x:v>0</x:v>
      </x:c>
      <x:c r="E26" s="30" t="n">
        <x:v>0</x:v>
      </x:c>
      <x:c r="F26" s="9" t="str">
        <x:f>IF(ABS(C26-D26)&lt;=E26,"PASS","FAIL")</x:f>
        <x:v>PASS</x:v>
      </x:c>
    </x:row>
    <x:row r="27">
      <x:c r="A27" s="9" t="str">
        <x:v>A21</x:v>
      </x:c>
      <x:c r="B27" s="9" t="str">
        <x:v>Favorable observation metrics remain zero</x:v>
      </x:c>
      <x:c r="C27" s="30" t="n">
        <x:f>SUM('Observation Gates'!M7:M1734)</x:f>
        <x:v>0</x:v>
      </x:c>
      <x:c r="D27" s="30" t="n">
        <x:f>0</x:f>
        <x:v>0</x:v>
      </x:c>
      <x:c r="E27" s="30" t="n">
        <x:v>0</x:v>
      </x:c>
      <x:c r="F27" s="9" t="str">
        <x:f>IF(ABS(C27-D27)&lt;=E27,"PASS","FAIL")</x:f>
        <x:v>PASS</x:v>
      </x:c>
    </x:row>
    <x:row r="28">
      <x:c r="A28" s="9" t="str">
        <x:v>A22</x:v>
      </x:c>
      <x:c r="B28" s="9" t="str">
        <x:v>Invalidity-test record count</x:v>
      </x:c>
      <x:c r="C28" s="30" t="n">
        <x:f>COUNTA('Invalidity Dockets'!A7:A1302)</x:f>
        <x:v>1296</x:v>
      </x:c>
      <x:c r="D28" s="30" t="n">
        <x:f>Inputs!B11*Inputs!B19</x:f>
        <x:v>1296</x:v>
      </x:c>
      <x:c r="E28" s="30" t="n">
        <x:v>0</x:v>
      </x:c>
      <x:c r="F28" s="9" t="str">
        <x:f>IF(ABS(C28-D28)&lt;=E28,"PASS","FAIL")</x:f>
        <x:v>PASS</x:v>
      </x:c>
    </x:row>
    <x:row r="29">
      <x:c r="A29" s="9" t="str">
        <x:v>A23</x:v>
      </x:c>
      <x:c r="B29" s="9" t="str">
        <x:v>Invalidity records unique</x:v>
      </x:c>
      <x:c r="C29" s="30" t="n">
        <x:f>SUM('Invalidity Dockets'!O7:O1302)</x:f>
        <x:v>1296</x:v>
      </x:c>
      <x:c r="D29" s="30" t="n">
        <x:f>1296</x:f>
        <x:v>1296</x:v>
      </x:c>
      <x:c r="E29" s="30" t="n">
        <x:v>0</x:v>
      </x:c>
      <x:c r="F29" s="9" t="str">
        <x:f>IF(ABS(C29-D29)&lt;=E29,"PASS","FAIL")</x:f>
        <x:v>PASS</x:v>
      </x:c>
    </x:row>
    <x:row r="30">
      <x:c r="A30" s="9" t="str">
        <x:v>A24</x:v>
      </x:c>
      <x:c r="B30" s="9" t="str">
        <x:v>Satisfied invalidity tests remain zero</x:v>
      </x:c>
      <x:c r="C30" s="30" t="n">
        <x:f>SUM('Invalidity Dockets'!L7:L1302)</x:f>
        <x:v>0</x:v>
      </x:c>
      <x:c r="D30" s="30" t="n">
        <x:f>0</x:f>
        <x:v>0</x:v>
      </x:c>
      <x:c r="E30" s="30" t="n">
        <x:v>0</x:v>
      </x:c>
      <x:c r="F30" s="9" t="str">
        <x:f>IF(ABS(C30-D30)&lt;=E30,"PASS","FAIL")</x:f>
        <x:v>PASS</x:v>
      </x:c>
    </x:row>
    <x:row r="31">
      <x:c r="A31" s="9" t="str">
        <x:v>A25</x:v>
      </x:c>
      <x:c r="B31" s="9" t="str">
        <x:v>Candidate exculpation remains zero</x:v>
      </x:c>
      <x:c r="C31" s="30" t="n">
        <x:f>SUM('Invalidity Dockets'!M7:M1302)</x:f>
        <x:v>0</x:v>
      </x:c>
      <x:c r="D31" s="30" t="n">
        <x:f>0</x:f>
        <x:v>0</x:v>
      </x:c>
      <x:c r="E31" s="30" t="n">
        <x:v>0</x:v>
      </x:c>
      <x:c r="F31" s="9" t="str">
        <x:f>IF(ABS(C31-D31)&lt;=E31,"PASS","FAIL")</x:f>
        <x:v>PASS</x:v>
      </x:c>
    </x:row>
    <x:row r="32">
      <x:c r="A32" s="9" t="str">
        <x:v>A26</x:v>
      </x:c>
      <x:c r="B32" s="9" t="str">
        <x:v>Role judgment record count</x:v>
      </x:c>
      <x:c r="C32" s="30" t="n">
        <x:f>COUNTA('Role Judgments'!A7:A150)</x:f>
        <x:v>144</x:v>
      </x:c>
      <x:c r="D32" s="30" t="n">
        <x:f>144</x:f>
        <x:v>144</x:v>
      </x:c>
      <x:c r="E32" s="30" t="n">
        <x:v>0</x:v>
      </x:c>
      <x:c r="F32" s="9" t="str">
        <x:f>IF(ABS(C32-D32)&lt;=E32,"PASS","FAIL")</x:f>
        <x:v>PASS</x:v>
      </x:c>
    </x:row>
    <x:row r="33">
      <x:c r="A33" s="9" t="str">
        <x:v>A27</x:v>
      </x:c>
      <x:c r="B33" s="9" t="str">
        <x:v>INT records carry no acceptance weight</x:v>
      </x:c>
      <x:c r="C33" s="30" t="n">
        <x:f>COUNTIFS('Role Judgments'!G7:G150,"INT",'Role Judgments'!H7:H150,0)</x:f>
        <x:v>48</x:v>
      </x:c>
      <x:c r="D33" s="30" t="n">
        <x:f>48</x:f>
        <x:v>48</x:v>
      </x:c>
      <x:c r="E33" s="30" t="n">
        <x:v>0</x:v>
      </x:c>
      <x:c r="F33" s="9" t="str">
        <x:f>IF(ABS(C33-D33)&lt;=E33,"PASS","FAIL")</x:f>
        <x:v>PASS</x:v>
      </x:c>
    </x:row>
    <x:row r="34">
      <x:c r="A34" s="9" t="str">
        <x:v>A28</x:v>
      </x:c>
      <x:c r="B34" s="9" t="str">
        <x:v>Acceptance-bearing role records</x:v>
      </x:c>
      <x:c r="C34" s="30" t="n">
        <x:f>COUNTIFS('Role Judgments'!H7:H150,1)</x:f>
        <x:v>96</x:v>
      </x:c>
      <x:c r="D34" s="30" t="n">
        <x:f>96</x:f>
        <x:v>96</x:v>
      </x:c>
      <x:c r="E34" s="30" t="n">
        <x:v>0</x:v>
      </x:c>
      <x:c r="F34" s="9" t="str">
        <x:f>IF(ABS(C34-D34)&lt;=E34,"PASS","FAIL")</x:f>
        <x:v>PASS</x:v>
      </x:c>
    </x:row>
    <x:row r="35">
      <x:c r="A35" s="9" t="str">
        <x:v>A29</x:v>
      </x:c>
      <x:c r="B35" s="9" t="str">
        <x:v>Root dossier count</x:v>
      </x:c>
      <x:c r="C35" s="30" t="n">
        <x:f>COUNTA('Root Dossiers'!A7:A54)</x:f>
        <x:v>48</x:v>
      </x:c>
      <x:c r="D35" s="30" t="n">
        <x:f>Inputs!B21</x:f>
        <x:v>48</x:v>
      </x:c>
      <x:c r="E35" s="30" t="n">
        <x:v>0</x:v>
      </x:c>
      <x:c r="F35" s="9" t="str">
        <x:f>IF(ABS(C35-D35)&lt;=E35,"PASS","FAIL")</x:f>
        <x:v>PASS</x:v>
      </x:c>
    </x:row>
    <x:row r="36">
      <x:c r="A36" s="9" t="str">
        <x:v>A30</x:v>
      </x:c>
      <x:c r="B36" s="9" t="str">
        <x:v>Root dossiers unique</x:v>
      </x:c>
      <x:c r="C36" s="30" t="n">
        <x:f>SUM('Root Dossiers'!N7:N54)</x:f>
        <x:v>48</x:v>
      </x:c>
      <x:c r="D36" s="30" t="n">
        <x:f>48</x:f>
        <x:v>48</x:v>
      </x:c>
      <x:c r="E36" s="30" t="n">
        <x:v>0</x:v>
      </x:c>
      <x:c r="F36" s="9" t="str">
        <x:f>IF(ABS(C36-D36)&lt;=E36,"PASS","FAIL")</x:f>
        <x:v>PASS</x:v>
      </x:c>
    </x:row>
    <x:row r="37">
      <x:c r="A37" s="9" t="str">
        <x:v>A31</x:v>
      </x:c>
      <x:c r="B37" s="9" t="str">
        <x:v>Disclosure-object record count</x:v>
      </x:c>
      <x:c r="C37" s="30" t="n">
        <x:f>COUNTA('Disclosure Packets'!A7:A2310)</x:f>
        <x:v>2304</x:v>
      </x:c>
      <x:c r="D37" s="30" t="n">
        <x:f>Inputs!B11*Inputs!B20</x:f>
        <x:v>2304</x:v>
      </x:c>
      <x:c r="E37" s="30" t="n">
        <x:v>0</x:v>
      </x:c>
      <x:c r="F37" s="9" t="str">
        <x:f>IF(ABS(C37-D37)&lt;=E37,"PASS","FAIL")</x:f>
        <x:v>PASS</x:v>
      </x:c>
    </x:row>
    <x:row r="38">
      <x:c r="A38" s="9" t="str">
        <x:v>A32</x:v>
      </x:c>
      <x:c r="B38" s="9" t="str">
        <x:v>Disclosure records unique</x:v>
      </x:c>
      <x:c r="C38" s="30" t="n">
        <x:f>SUM('Disclosure Packets'!Q7:Q2310)</x:f>
        <x:v>2304</x:v>
      </x:c>
      <x:c r="D38" s="30" t="n">
        <x:f>2304</x:f>
        <x:v>2304</x:v>
      </x:c>
      <x:c r="E38" s="30" t="n">
        <x:v>0</x:v>
      </x:c>
      <x:c r="F38" s="9" t="str">
        <x:f>IF(ABS(C38-D38)&lt;=E38,"PASS","FAIL")</x:f>
        <x:v>PASS</x:v>
      </x:c>
    </x:row>
    <x:row r="39">
      <x:c r="A39" s="9" t="str">
        <x:v>A33</x:v>
      </x:c>
      <x:c r="B39" s="9" t="str">
        <x:v>Complete disclosure objects remain zero</x:v>
      </x:c>
      <x:c r="C39" s="30" t="n">
        <x:f>SUM('Disclosure Packets'!M7:M2310)</x:f>
        <x:v>0</x:v>
      </x:c>
      <x:c r="D39" s="30" t="n">
        <x:f>0</x:f>
        <x:v>0</x:v>
      </x:c>
      <x:c r="E39" s="30" t="n">
        <x:v>0</x:v>
      </x:c>
      <x:c r="F39" s="9" t="str">
        <x:f>IF(ABS(C39-D39)&lt;=E39,"PASS","FAIL")</x:f>
        <x:v>PASS</x:v>
      </x:c>
    </x:row>
    <x:row r="40">
      <x:c r="A40" s="9" t="str">
        <x:v>A34</x:v>
      </x:c>
      <x:c r="B40" s="9" t="str">
        <x:v>Released disclosure objects remain zero</x:v>
      </x:c>
      <x:c r="C40" s="30" t="n">
        <x:f>SUM('Disclosure Packets'!O7:O2310)</x:f>
        <x:v>0</x:v>
      </x:c>
      <x:c r="D40" s="30" t="n">
        <x:f>0</x:f>
        <x:v>0</x:v>
      </x:c>
      <x:c r="E40" s="30" t="n">
        <x:v>0</x:v>
      </x:c>
      <x:c r="F40" s="9" t="str">
        <x:f>IF(ABS(C40-D40)&lt;=E40,"PASS","FAIL")</x:f>
        <x:v>PASS</x:v>
      </x:c>
    </x:row>
    <x:row r="41">
      <x:c r="A41" s="9" t="str">
        <x:v>A35</x:v>
      </x:c>
      <x:c r="B41" s="9" t="str">
        <x:v>Authority role count</x:v>
      </x:c>
      <x:c r="C41" s="30" t="n">
        <x:f>COUNTA('Authority Matrix'!A7:A22)</x:f>
        <x:v>16</x:v>
      </x:c>
      <x:c r="D41" s="30" t="n">
        <x:f>Inputs!B22</x:f>
        <x:v>16</x:v>
      </x:c>
      <x:c r="E41" s="30" t="n">
        <x:v>0</x:v>
      </x:c>
      <x:c r="F41" s="9" t="str">
        <x:f>IF(ABS(C41-D41)&lt;=E41,"PASS","FAIL")</x:f>
        <x:v>PASS</x:v>
      </x:c>
    </x:row>
    <x:row r="42">
      <x:c r="A42" s="9" t="str">
        <x:v>A36</x:v>
      </x:c>
      <x:c r="B42" s="9" t="str">
        <x:v>Prohibited control-edge count</x:v>
      </x:c>
      <x:c r="C42" s="30" t="n">
        <x:f>COUNTA('Authority Matrix'!A29:A58)</x:f>
        <x:v>30</x:v>
      </x:c>
      <x:c r="D42" s="30" t="n">
        <x:f>Inputs!B23</x:f>
        <x:v>30</x:v>
      </x:c>
      <x:c r="E42" s="30" t="n">
        <x:v>0</x:v>
      </x:c>
      <x:c r="F42" s="9" t="str">
        <x:f>IF(ABS(C42-D42)&lt;=E42,"PASS","FAIL")</x:f>
        <x:v>PASS</x:v>
      </x:c>
    </x:row>
    <x:row r="43">
      <x:c r="A43" s="9" t="str">
        <x:v>A37</x:v>
      </x:c>
      <x:c r="B43" s="9" t="str">
        <x:v>Common control remains zero</x:v>
      </x:c>
      <x:c r="C43" s="30" t="n">
        <x:f>SUM('Authority Matrix'!E29:E58)</x:f>
        <x:v>0</x:v>
      </x:c>
      <x:c r="D43" s="30" t="n">
        <x:f>0</x:f>
        <x:v>0</x:v>
      </x:c>
      <x:c r="E43" s="30" t="n">
        <x:v>0</x:v>
      </x:c>
      <x:c r="F43" s="9" t="str">
        <x:f>IF(ABS(C43-D43)&lt;=E43,"PASS","FAIL")</x:f>
        <x:v>PASS</x:v>
      </x:c>
    </x:row>
    <x:row r="44">
      <x:c r="A44" s="9" t="str">
        <x:v>A38</x:v>
      </x:c>
      <x:c r="B44" s="9" t="str">
        <x:v>Disposition case count</x:v>
      </x:c>
      <x:c r="C44" s="30" t="n">
        <x:f>COUNTA('Disposition Grammar'!A7:A24)</x:f>
        <x:v>18</x:v>
      </x:c>
      <x:c r="D44" s="30" t="n">
        <x:f>Inputs!B24</x:f>
        <x:v>18</x:v>
      </x:c>
      <x:c r="E44" s="30" t="n">
        <x:v>0</x:v>
      </x:c>
      <x:c r="F44" s="9" t="str">
        <x:f>IF(ABS(C44-D44)&lt;=E44,"PASS","FAIL")</x:f>
        <x:v>PASS</x:v>
      </x:c>
    </x:row>
    <x:row r="45">
      <x:c r="A45" s="9" t="str">
        <x:v>A39</x:v>
      </x:c>
      <x:c r="B45" s="9" t="str">
        <x:v>Embargo custodian count</x:v>
      </x:c>
      <x:c r="C45" s="30" t="n">
        <x:f>COUNTA('Embargo Clock'!A22:A27)</x:f>
        <x:v>6</x:v>
      </x:c>
      <x:c r="D45" s="30" t="n">
        <x:f>Inputs!B25</x:f>
        <x:v>6</x:v>
      </x:c>
      <x:c r="E45" s="30" t="n">
        <x:v>0</x:v>
      </x:c>
      <x:c r="F45" s="9" t="str">
        <x:f>IF(ABS(C45-D45)&lt;=E45,"PASS","FAIL")</x:f>
        <x:v>PASS</x:v>
      </x:c>
    </x:row>
    <x:row r="46">
      <x:c r="A46" s="9" t="str">
        <x:v>A40</x:v>
      </x:c>
      <x:c r="B46" s="9" t="str">
        <x:v>Release authorization remains zero</x:v>
      </x:c>
      <x:c r="C46" s="30" t="n">
        <x:f>SUM('Embargo Clock'!D22:D27)</x:f>
        <x:v>0</x:v>
      </x:c>
      <x:c r="D46" s="30" t="n">
        <x:f>0</x:f>
        <x:v>0</x:v>
      </x:c>
      <x:c r="E46" s="30" t="n">
        <x:v>0</x:v>
      </x:c>
      <x:c r="F46" s="9" t="str">
        <x:f>IF(ABS(C46-D46)&lt;=E46,"PASS","FAIL")</x:f>
        <x:v>PASS</x:v>
      </x:c>
    </x:row>
    <x:row r="47">
      <x:c r="A47" s="9" t="str">
        <x:v>A41</x:v>
      </x:c>
      <x:c r="B47" s="9" t="str">
        <x:v>Four-of-six release threshold</x:v>
      </x:c>
      <x:c r="C47" s="30" t="n">
        <x:f>Inputs!B26</x:f>
        <x:v>4</x:v>
      </x:c>
      <x:c r="D47" s="30" t="n">
        <x:f>4</x:f>
        <x:v>4</x:v>
      </x:c>
      <x:c r="E47" s="30" t="n">
        <x:v>0</x:v>
      </x:c>
      <x:c r="F47" s="9" t="str">
        <x:f>IF(ABS(C47-D47)&lt;=E47,"PASS","FAIL")</x:f>
        <x:v>PASS</x:v>
      </x:c>
    </x:row>
    <x:row r="48">
      <x:c r="A48" s="9" t="str">
        <x:v>A42</x:v>
      </x:c>
      <x:c r="B48" s="9" t="str">
        <x:v>Origin hash deadline fixed</x:v>
      </x:c>
      <x:c r="C48" s="30" t="n">
        <x:f>INDEX('Embargo Clock'!D7:D15,MATCH("E1",'Embargo Clock'!A7:A15,0))*1440</x:f>
        <x:v>15</x:v>
      </x:c>
      <x:c r="D48" s="30" t="n">
        <x:f>Inputs!B27</x:f>
        <x:v>15</x:v>
      </x:c>
      <x:c r="E48" s="30" t="n">
        <x:v>0.01</x:v>
      </x:c>
      <x:c r="F48" s="9" t="str">
        <x:f>IF(ABS(C48-D48)&lt;=E48,"PASS","FAIL")</x:f>
        <x:v>PASS</x:v>
      </x:c>
    </x:row>
    <x:row r="49">
      <x:c r="A49" s="9" t="str">
        <x:v>A43</x:v>
      </x:c>
      <x:c r="B49" s="9" t="str">
        <x:v>Replica deadline fixed</x:v>
      </x:c>
      <x:c r="C49" s="30" t="n">
        <x:f>INDEX('Embargo Clock'!D7:D15,MATCH("E2",'Embargo Clock'!A7:A15,0))*24</x:f>
        <x:v>1</x:v>
      </x:c>
      <x:c r="D49" s="30" t="n">
        <x:f>Inputs!B28</x:f>
        <x:v>1</x:v>
      </x:c>
      <x:c r="E49" s="30" t="n">
        <x:v>0.01</x:v>
      </x:c>
      <x:c r="F49" s="9" t="str">
        <x:f>IF(ABS(C49-D49)&lt;=E49,"PASS","FAIL")</x:f>
        <x:v>PASS</x:v>
      </x:c>
    </x:row>
    <x:row r="50">
      <x:c r="A50" s="9" t="str">
        <x:v>A44</x:v>
      </x:c>
      <x:c r="B50" s="9" t="str">
        <x:v>Census deadline fixed</x:v>
      </x:c>
      <x:c r="C50" s="30" t="n">
        <x:f>INDEX('Embargo Clock'!D7:D15,MATCH("E3",'Embargo Clock'!A7:A15,0))*24</x:f>
        <x:v>24</x:v>
      </x:c>
      <x:c r="D50" s="30" t="n">
        <x:f>Inputs!B29</x:f>
        <x:v>24</x:v>
      </x:c>
      <x:c r="E50" s="30" t="n">
        <x:v>0</x:v>
      </x:c>
      <x:c r="F50" s="9" t="str">
        <x:f>IF(ABS(C50-D50)&lt;=E50,"PASS","FAIL")</x:f>
        <x:v>PASS</x:v>
      </x:c>
    </x:row>
    <x:row r="51">
      <x:c r="A51" s="9" t="str">
        <x:v>A45</x:v>
      </x:c>
      <x:c r="B51" s="9" t="str">
        <x:v>Invalidity deadline fixed</x:v>
      </x:c>
      <x:c r="C51" s="30" t="n">
        <x:f>INDEX('Embargo Clock'!D7:D15,MATCH("E4",'Embargo Clock'!A7:A15,0))*24</x:f>
        <x:v>72</x:v>
      </x:c>
      <x:c r="D51" s="30" t="n">
        <x:f>Inputs!B30</x:f>
        <x:v>72</x:v>
      </x:c>
      <x:c r="E51" s="30" t="n">
        <x:v>0.01</x:v>
      </x:c>
      <x:c r="F51" s="9" t="str">
        <x:f>IF(ABS(C51-D51)&lt;=E51,"PASS","FAIL")</x:f>
        <x:v>PASS</x:v>
      </x:c>
    </x:row>
    <x:row r="52">
      <x:c r="A52" s="9" t="str">
        <x:v>A46</x:v>
      </x:c>
      <x:c r="B52" s="9" t="str">
        <x:v>Observation deadline fixed</x:v>
      </x:c>
      <x:c r="C52" s="30" t="n">
        <x:f>INDEX('Embargo Clock'!D7:D15,MATCH("E5",'Embargo Clock'!A7:A15,0))</x:f>
        <x:v>21</x:v>
      </x:c>
      <x:c r="D52" s="30" t="n">
        <x:f>Inputs!B31</x:f>
        <x:v>21</x:v>
      </x:c>
      <x:c r="E52" s="30" t="n">
        <x:v>0</x:v>
      </x:c>
      <x:c r="F52" s="9" t="str">
        <x:f>IF(ABS(C52-D52)&lt;=E52,"PASS","FAIL")</x:f>
        <x:v>PASS</x:v>
      </x:c>
    </x:row>
    <x:row r="53">
      <x:c r="A53" s="9" t="str">
        <x:v>A47</x:v>
      </x:c>
      <x:c r="B53" s="9" t="str">
        <x:v>Role deadline fixed</x:v>
      </x:c>
      <x:c r="C53" s="30" t="n">
        <x:f>INDEX('Embargo Clock'!D7:D15,MATCH("E6",'Embargo Clock'!A7:A15,0))</x:f>
        <x:v>42</x:v>
      </x:c>
      <x:c r="D53" s="30" t="n">
        <x:f>Inputs!B32</x:f>
        <x:v>42</x:v>
      </x:c>
      <x:c r="E53" s="30" t="n">
        <x:v>0</x:v>
      </x:c>
      <x:c r="F53" s="9" t="str">
        <x:f>IF(ABS(C53-D53)&lt;=E53,"PASS","FAIL")</x:f>
        <x:v>PASS</x:v>
      </x:c>
    </x:row>
    <x:row r="54">
      <x:c r="A54" s="9" t="str">
        <x:v>A48</x:v>
      </x:c>
      <x:c r="B54" s="9" t="str">
        <x:v>Disclosure deadline fixed</x:v>
      </x:c>
      <x:c r="C54" s="30" t="n">
        <x:f>INDEX('Embargo Clock'!D7:D15,MATCH("E8",'Embargo Clock'!A7:A15,0))</x:f>
        <x:v>30</x:v>
      </x:c>
      <x:c r="D54" s="30" t="n">
        <x:f>Inputs!B33</x:f>
        <x:v>30</x:v>
      </x:c>
      <x:c r="E54" s="30" t="n">
        <x:v>0</x:v>
      </x:c>
      <x:c r="F54" s="9" t="str">
        <x:f>IF(ABS(C54-D54)&lt;=E54,"PASS","FAIL")</x:f>
        <x:v>PASS</x:v>
      </x:c>
    </x:row>
    <x:row r="55">
      <x:c r="A55" s="9" t="str">
        <x:v>A49</x:v>
      </x:c>
      <x:c r="B55" s="9" t="str">
        <x:v>Candidate fiscal partition reconciles</x:v>
      </x:c>
      <x:c r="C55" s="30" t="n">
        <x:f>'Fiscal Closure'!C27</x:f>
        <x:v>16376.666667</x:v>
      </x:c>
      <x:c r="D55" s="30" t="n">
        <x:f>16376.666667</x:f>
        <x:v>16376.666667</x:v>
      </x:c>
      <x:c r="E55" s="30" t="n">
        <x:v>0.01</x:v>
      </x:c>
      <x:c r="F55" s="9" t="str">
        <x:f>IF(ABS(C55-D55)&lt;=E55,"PASS","FAIL")</x:f>
        <x:v>PASS</x:v>
      </x:c>
    </x:row>
    <x:row r="56">
      <x:c r="A56" s="9" t="str">
        <x:v>A50</x:v>
      </x:c>
      <x:c r="B56" s="9" t="str">
        <x:v>Proving fiscal partition reconciles</x:v>
      </x:c>
      <x:c r="C56" s="30" t="n">
        <x:f>'Fiscal Closure'!C28</x:f>
        <x:v>5300</x:v>
      </x:c>
      <x:c r="D56" s="30" t="n">
        <x:f>5300</x:f>
        <x:v>5300</x:v>
      </x:c>
      <x:c r="E56" s="30" t="n">
        <x:v>0.01</x:v>
      </x:c>
      <x:c r="F56" s="9" t="str">
        <x:f>IF(ABS(C56-D56)&lt;=E56,"PASS","FAIL")</x:f>
        <x:v>PASS</x:v>
      </x:c>
    </x:row>
    <x:row r="57">
      <x:c r="A57" s="9" t="str">
        <x:v>A51</x:v>
      </x:c>
      <x:c r="B57" s="9" t="str">
        <x:v>Metrology fiscal partition reconciles</x:v>
      </x:c>
      <x:c r="C57" s="30" t="n">
        <x:f>'Fiscal Closure'!C29</x:f>
        <x:v>2150</x:v>
      </x:c>
      <x:c r="D57" s="30" t="n">
        <x:f>2150</x:f>
        <x:v>2150</x:v>
      </x:c>
      <x:c r="E57" s="30" t="n">
        <x:v>0.01</x:v>
      </x:c>
      <x:c r="F57" s="9" t="str">
        <x:f>IF(ABS(C57-D57)&lt;=E57,"PASS","FAIL")</x:f>
        <x:v>PASS</x:v>
      </x:c>
    </x:row>
    <x:row r="58">
      <x:c r="A58" s="9" t="str">
        <x:v>A52</x:v>
      </x:c>
      <x:c r="B58" s="9" t="str">
        <x:v>Regeneration fiscal partition reconciles</x:v>
      </x:c>
      <x:c r="C58" s="30" t="n">
        <x:f>'Fiscal Closure'!C30</x:f>
        <x:v>1213.333333</x:v>
      </x:c>
      <x:c r="D58" s="30" t="n">
        <x:f>1213.333333</x:f>
        <x:v>1213.333333</x:v>
      </x:c>
      <x:c r="E58" s="30" t="n">
        <x:v>0.01</x:v>
      </x:c>
      <x:c r="F58" s="9" t="str">
        <x:f>IF(ABS(C58-D58)&lt;=E58,"PASS","FAIL")</x:f>
        <x:v>PASS</x:v>
      </x:c>
    </x:row>
    <x:row r="59">
      <x:c r="A59" s="9" t="str">
        <x:v>A53</x:v>
      </x:c>
      <x:c r="B59" s="9" t="str">
        <x:v>Fiscal differences remain zero</x:v>
      </x:c>
      <x:c r="C59" s="30" t="n">
        <x:f>SUM('Fiscal Closure'!D27:D30)</x:f>
        <x:v>0</x:v>
      </x:c>
      <x:c r="D59" s="30" t="n">
        <x:f>0</x:f>
        <x:v>0</x:v>
      </x:c>
      <x:c r="E59" s="30" t="n">
        <x:v>0.01</x:v>
      </x:c>
      <x:c r="F59" s="9" t="str">
        <x:f>IF(ABS(C59-D59)&lt;=E59,"PASS","FAIL")</x:f>
        <x:v>PASS</x:v>
      </x:c>
    </x:row>
    <x:row r="60">
      <x:c r="A60" s="9" t="str">
        <x:v>A54</x:v>
      </x:c>
      <x:c r="B60" s="9" t="str">
        <x:v>Total inherited exposure arithmetic</x:v>
      </x:c>
      <x:c r="C60" s="30" t="n">
        <x:f>SUM('Fiscal Closure'!C27:C30)</x:f>
        <x:v>25039.999999999996</x:v>
      </x:c>
      <x:c r="D60" s="30" t="n">
        <x:f>25040</x:f>
        <x:v>25040</x:v>
      </x:c>
      <x:c r="E60" s="30" t="n">
        <x:v>0.01</x:v>
      </x:c>
      <x:c r="F60" s="9" t="str">
        <x:f>IF(ABS(C60-D60)&lt;=E60,"PASS","FAIL")</x:f>
        <x:v>PASS</x:v>
      </x:c>
    </x:row>
    <x:row r="61">
      <x:c r="A61" s="9" t="str">
        <x:v>A55</x:v>
      </x:c>
      <x:c r="B61" s="9" t="str">
        <x:v>Actual fiscal obligations remain zero</x:v>
      </x:c>
      <x:c r="C61" s="30" t="n">
        <x:f>SUM('Fiscal Closure'!E27:E30)</x:f>
        <x:v>0</x:v>
      </x:c>
      <x:c r="D61" s="30" t="n">
        <x:f>0</x:f>
        <x:v>0</x:v>
      </x:c>
      <x:c r="E61" s="30" t="n">
        <x:v>0</x:v>
      </x:c>
      <x:c r="F61" s="9" t="str">
        <x:f>IF(ABS(C61-D61)&lt;=E61,"PASS","FAIL")</x:f>
        <x:v>PASS</x:v>
      </x:c>
    </x:row>
    <x:row r="62">
      <x:c r="A62" s="9" t="str">
        <x:v>A56</x:v>
      </x:c>
      <x:c r="B62" s="9" t="str">
        <x:v>Issued EOWs remain zero</x:v>
      </x:c>
      <x:c r="C62" s="30" t="n">
        <x:f>Inputs!B38</x:f>
        <x:v>0</x:v>
      </x:c>
      <x:c r="D62" s="30" t="n">
        <x:f>0</x:f>
        <x:v>0</x:v>
      </x:c>
      <x:c r="E62" s="30" t="n">
        <x:v>0</x:v>
      </x:c>
      <x:c r="F62" s="9" t="str">
        <x:f>IF(ABS(C62-D62)&lt;=E62,"PASS","FAIL")</x:f>
        <x:v>PASS</x:v>
      </x:c>
    </x:row>
    <x:row r="63">
      <x:c r="A63" s="9" t="str">
        <x:v>A57</x:v>
      </x:c>
      <x:c r="B63" s="9" t="str">
        <x:v>Detected starts remain zero</x:v>
      </x:c>
      <x:c r="C63" s="30" t="n">
        <x:f>Inputs!B39</x:f>
        <x:v>0</x:v>
      </x:c>
      <x:c r="D63" s="30" t="n">
        <x:f>0</x:f>
        <x:v>0</x:v>
      </x:c>
      <x:c r="E63" s="30" t="n">
        <x:v>0</x:v>
      </x:c>
      <x:c r="F63" s="9" t="str">
        <x:f>IF(ABS(C63-D63)&lt;=E63,"PASS","FAIL")</x:f>
        <x:v>PASS</x:v>
      </x:c>
    </x:row>
    <x:row r="64">
      <x:c r="A64" s="9" t="str">
        <x:v>A58</x:v>
      </x:c>
      <x:c r="B64" s="9" t="str">
        <x:v>Sealed raw packets remain zero</x:v>
      </x:c>
      <x:c r="C64" s="30" t="n">
        <x:f>Inputs!B40</x:f>
        <x:v>0</x:v>
      </x:c>
      <x:c r="D64" s="30" t="n">
        <x:f>0</x:f>
        <x:v>0</x:v>
      </x:c>
      <x:c r="E64" s="30" t="n">
        <x:v>0</x:v>
      </x:c>
      <x:c r="F64" s="9" t="str">
        <x:f>IF(ABS(C64-D64)&lt;=E64,"PASS","FAIL")</x:f>
        <x:v>PASS</x:v>
      </x:c>
    </x:row>
    <x:row r="65">
      <x:c r="A65" s="9" t="str">
        <x:v>A59</x:v>
      </x:c>
      <x:c r="B65" s="9" t="str">
        <x:v>Accepted observations remain zero</x:v>
      </x:c>
      <x:c r="C65" s="30" t="n">
        <x:f>Inputs!B41</x:f>
        <x:v>0</x:v>
      </x:c>
      <x:c r="D65" s="30" t="n">
        <x:f>0</x:f>
        <x:v>0</x:v>
      </x:c>
      <x:c r="E65" s="30" t="n">
        <x:v>0</x:v>
      </x:c>
      <x:c r="F65" s="9" t="str">
        <x:f>IF(ABS(C65-D65)&lt;=E65,"PASS","FAIL")</x:f>
        <x:v>PASS</x:v>
      </x:c>
    </x:row>
    <x:row r="66">
      <x:c r="A66" s="9" t="str">
        <x:v>A60</x:v>
      </x:c>
      <x:c r="B66" s="9" t="str">
        <x:v>Facility invalidity decisions remain zero</x:v>
      </x:c>
      <x:c r="C66" s="30" t="n">
        <x:f>Inputs!B42</x:f>
        <x:v>0</x:v>
      </x:c>
      <x:c r="D66" s="30" t="n">
        <x:f>0</x:f>
        <x:v>0</x:v>
      </x:c>
      <x:c r="E66" s="30" t="n">
        <x:v>0</x:v>
      </x:c>
      <x:c r="F66" s="9" t="str">
        <x:f>IF(ABS(C66-D66)&lt;=E66,"PASS","FAIL")</x:f>
        <x:v>PASS</x:v>
      </x:c>
    </x:row>
    <x:row r="67">
      <x:c r="A67" s="9" t="str">
        <x:v>A61</x:v>
      </x:c>
      <x:c r="B67" s="9" t="str">
        <x:v>Issued role judgments remain zero</x:v>
      </x:c>
      <x:c r="C67" s="30" t="n">
        <x:f>Inputs!B43</x:f>
        <x:v>0</x:v>
      </x:c>
      <x:c r="D67" s="30" t="n">
        <x:f>0</x:f>
        <x:v>0</x:v>
      </x:c>
      <x:c r="E67" s="30" t="n">
        <x:v>0</x:v>
      </x:c>
      <x:c r="F67" s="9" t="str">
        <x:f>IF(ABS(C67-D67)&lt;=E67,"PASS","FAIL")</x:f>
        <x:v>PASS</x:v>
      </x:c>
    </x:row>
    <x:row r="68">
      <x:c r="A68" s="9" t="str">
        <x:v>A62</x:v>
      </x:c>
      <x:c r="B68" s="9" t="str">
        <x:v>Closed root dossiers remain zero</x:v>
      </x:c>
      <x:c r="C68" s="30" t="n">
        <x:f>Inputs!B44</x:f>
        <x:v>0</x:v>
      </x:c>
      <x:c r="D68" s="30" t="n">
        <x:f>0</x:f>
        <x:v>0</x:v>
      </x:c>
      <x:c r="E68" s="30" t="n">
        <x:v>0</x:v>
      </x:c>
      <x:c r="F68" s="9" t="str">
        <x:f>IF(ABS(C68-D68)&lt;=E68,"PASS","FAIL")</x:f>
        <x:v>PASS</x:v>
      </x:c>
    </x:row>
    <x:row r="69">
      <x:c r="A69" s="9" t="str">
        <x:v>A63</x:v>
      </x:c>
      <x:c r="B69" s="9" t="str">
        <x:v>Released result packets remain zero</x:v>
      </x:c>
      <x:c r="C69" s="30" t="n">
        <x:f>Inputs!B45</x:f>
        <x:v>0</x:v>
      </x:c>
      <x:c r="D69" s="30" t="n">
        <x:f>0</x:f>
        <x:v>0</x:v>
      </x:c>
      <x:c r="E69" s="30" t="n">
        <x:v>0</x:v>
      </x:c>
      <x:c r="F69" s="9" t="str">
        <x:f>IF(ABS(C69-D69)&lt;=E69,"PASS","FAIL")</x:f>
        <x:v>PASS</x:v>
      </x:c>
    </x:row>
    <x:row r="70">
      <x:c r="A70" s="9" t="str">
        <x:v>A64</x:v>
      </x:c>
      <x:c r="B70" s="9" t="str">
        <x:v>Selection decisions remain zero</x:v>
      </x:c>
      <x:c r="C70" s="30" t="n">
        <x:f>Inputs!B46</x:f>
        <x:v>0</x:v>
      </x:c>
      <x:c r="D70" s="30" t="n">
        <x:f>0</x:f>
        <x:v>0</x:v>
      </x:c>
      <x:c r="E70" s="30" t="n">
        <x:v>0</x:v>
      </x:c>
      <x:c r="F70" s="9" t="str">
        <x:f>IF(ABS(C70-D70)&lt;=E70,"PASS","FAIL")</x:f>
        <x:v>PASS</x:v>
      </x:c>
    </x:row>
    <x:row r="71">
      <x:c r="A71" s="9" t="str">
        <x:v>A65</x:v>
      </x:c>
      <x:c r="B71" s="9" t="str">
        <x:v>Production releases remain zero</x:v>
      </x:c>
      <x:c r="C71" s="30" t="n">
        <x:f>Inputs!B47</x:f>
        <x:v>0</x:v>
      </x:c>
      <x:c r="D71" s="30" t="n">
        <x:f>0</x:f>
        <x:v>0</x:v>
      </x:c>
      <x:c r="E71" s="30" t="n">
        <x:v>0</x:v>
      </x:c>
      <x:c r="F71" s="9" t="str">
        <x:f>IF(ABS(C71-D71)&lt;=E71,"PASS","FAIL")</x:f>
        <x:v>PASS</x:v>
      </x:c>
    </x:row>
    <x:row r="72">
      <x:c r="A72" s="9" t="str">
        <x:v>A66</x:v>
      </x:c>
      <x:c r="B72" s="9" t="str">
        <x:v>REP-4 authority remains zero</x:v>
      </x:c>
      <x:c r="C72" s="30" t="n">
        <x:f>Inputs!B48</x:f>
        <x:v>0</x:v>
      </x:c>
      <x:c r="D72" s="30" t="n">
        <x:f>0</x:f>
        <x:v>0</x:v>
      </x:c>
      <x:c r="E72" s="30" t="n">
        <x:v>0</x:v>
      </x:c>
      <x:c r="F72" s="9" t="str">
        <x:f>IF(ABS(C72-D72)&lt;=E72,"PASS","FAIL")</x:f>
        <x:v>PASS</x:v>
      </x:c>
    </x:row>
    <x:row r="73">
      <x:c r="A73" s="9" t="str">
        <x:v>A67</x:v>
      </x:c>
      <x:c r="B73" s="9" t="str">
        <x:v>REP-5 authority remains zero</x:v>
      </x:c>
      <x:c r="C73" s="30" t="n">
        <x:f>Inputs!B49</x:f>
        <x:v>0</x:v>
      </x:c>
      <x:c r="D73" s="30" t="n">
        <x:f>0</x:f>
        <x:v>0</x:v>
      </x:c>
      <x:c r="E73" s="30" t="n">
        <x:v>0</x:v>
      </x:c>
      <x:c r="F73" s="9" t="str">
        <x:f>IF(ABS(C73-D73)&lt;=E73,"PASS","FAIL")</x:f>
        <x:v>PASS</x:v>
      </x:c>
    </x:row>
    <x:row r="74">
      <x:c r="A74" s="9" t="str">
        <x:v>A68</x:v>
      </x:c>
      <x:c r="B74" s="9" t="str">
        <x:v>Rendering issues remain zero</x:v>
      </x:c>
      <x:c r="C74" s="30" t="n">
        <x:f>Inputs!B50</x:f>
        <x:v>0</x:v>
      </x:c>
      <x:c r="D74" s="30" t="n">
        <x:f>0</x:f>
        <x:v>0</x:v>
      </x:c>
      <x:c r="E74" s="30" t="n">
        <x:v>0</x:v>
      </x:c>
      <x:c r="F74" s="9" t="str">
        <x:f>IF(ABS(C74-D74)&lt;=E74,"PASS","FAIL")</x:f>
        <x:v>PASS</x:v>
      </x:c>
    </x:row>
    <x:row r="75">
      <x:c r="A75" s="9" t="str">
        <x:v>A69</x:v>
      </x:c>
      <x:c r="B75" s="9" t="str">
        <x:v>Actual obligations remain zero</x:v>
      </x:c>
      <x:c r="C75" s="30" t="n">
        <x:f>Inputs!B51</x:f>
        <x:v>0</x:v>
      </x:c>
      <x:c r="D75" s="30" t="n">
        <x:f>0</x:f>
        <x:v>0</x:v>
      </x:c>
      <x:c r="E75" s="30" t="n">
        <x:v>0</x:v>
      </x:c>
      <x:c r="F75" s="9" t="str">
        <x:f>IF(ABS(C75-D75)&lt;=E75,"PASS","FAIL")</x:f>
        <x:v>PASS</x:v>
      </x:c>
    </x:row>
    <x:row r="76">
      <x:c r="A76" s="9" t="str">
        <x:v>A70</x:v>
      </x:c>
      <x:c r="B76" s="9" t="str">
        <x:v>Actual payments remain zero</x:v>
      </x:c>
      <x:c r="C76" s="30" t="n">
        <x:f>Inputs!B52</x:f>
        <x:v>0</x:v>
      </x:c>
      <x:c r="D76" s="30" t="n">
        <x:f>0</x:f>
        <x:v>0</x:v>
      </x:c>
      <x:c r="E76" s="30" t="n">
        <x:v>0</x:v>
      </x:c>
      <x:c r="F76" s="9" t="str">
        <x:f>IF(ABS(C76-D76)&lt;=E76,"PASS","FAIL")</x:f>
        <x:v>PASS</x:v>
      </x:c>
    </x:row>
    <x:row r="77">
      <x:c r="A77" s="9" t="str">
        <x:v>A71</x:v>
      </x:c>
      <x:c r="B77" s="9" t="str">
        <x:v>All event rows unique</x:v>
      </x:c>
      <x:c r="C77" s="30" t="n">
        <x:f>SUM('Event Ledger'!AC7:AC150)</x:f>
        <x:v>144</x:v>
      </x:c>
      <x:c r="D77" s="30" t="n">
        <x:f>144</x:f>
        <x:v>144</x:v>
      </x:c>
      <x:c r="E77" s="30" t="n">
        <x:v>0</x:v>
      </x:c>
      <x:c r="F77" s="9" t="str">
        <x:f>IF(ABS(C77-D77)&lt;=E77,"PASS","FAIL")</x:f>
        <x:v>PASS</x:v>
      </x:c>
    </x:row>
    <x:row r="78">
      <x:c r="A78" s="9" t="str">
        <x:v>A72</x:v>
      </x:c>
      <x:c r="B78" s="9" t="str">
        <x:v>All events remain blocked</x:v>
      </x:c>
      <x:c r="C78" s="30" t="n">
        <x:f>COUNTIFS('Event Ledger'!AB7:AB150,"PLANNED / BLOCKED")</x:f>
        <x:v>144</x:v>
      </x:c>
      <x:c r="D78" s="30" t="n">
        <x:f>144</x:f>
        <x:v>144</x:v>
      </x:c>
      <x:c r="E78" s="30" t="n">
        <x:v>0</x:v>
      </x:c>
      <x:c r="F78" s="9" t="str">
        <x:f>IF(ABS(C78-D78)&lt;=E78,"PASS","FAIL")</x:f>
        <x:v>PASS</x:v>
      </x:c>
    </x:row>
    <x:row r="79">
      <x:c r="A79" s="9" t="str">
        <x:v>A73</x:v>
      </x:c>
      <x:c r="B79" s="9" t="str">
        <x:v>No physical start flags</x:v>
      </x:c>
      <x:c r="C79" s="30" t="n">
        <x:f>SUM('Event Ledger'!Q7:Q150)</x:f>
        <x:v>0</x:v>
      </x:c>
      <x:c r="D79" s="30" t="n">
        <x:f>0</x:f>
        <x:v>0</x:v>
      </x:c>
      <x:c r="E79" s="30" t="n">
        <x:v>0</x:v>
      </x:c>
      <x:c r="F79" s="9" t="str">
        <x:f>IF(ABS(C79-D79)&lt;=E79,"PASS","FAIL")</x:f>
        <x:v>PASS</x:v>
      </x:c>
    </x:row>
    <x:row r="80">
      <x:c r="A80" s="9" t="str">
        <x:v>A74</x:v>
      </x:c>
      <x:c r="B80" s="9" t="str">
        <x:v>No accepted observation flags</x:v>
      </x:c>
      <x:c r="C80" s="30" t="n">
        <x:f>SUM('Event Ledger'!W7:W150)</x:f>
        <x:v>0</x:v>
      </x:c>
      <x:c r="D80" s="30" t="n">
        <x:f>0</x:f>
        <x:v>0</x:v>
      </x:c>
      <x:c r="E80" s="30" t="n">
        <x:v>0</x:v>
      </x:c>
      <x:c r="F80" s="9" t="str">
        <x:f>IF(ABS(C80-D80)&lt;=E80,"PASS","FAIL")</x:f>
        <x:v>PASS</x:v>
      </x:c>
    </x:row>
    <x:row r="81">
      <x:c r="A81" s="9" t="str">
        <x:v>A75</x:v>
      </x:c>
      <x:c r="B81" s="9" t="str">
        <x:v>No role judgment flags</x:v>
      </x:c>
      <x:c r="C81" s="30" t="n">
        <x:f>SUM('Event Ledger'!X7:X150)</x:f>
        <x:v>0</x:v>
      </x:c>
      <x:c r="D81" s="30" t="n">
        <x:f>0</x:f>
        <x:v>0</x:v>
      </x:c>
      <x:c r="E81" s="30" t="n">
        <x:v>0</x:v>
      </x:c>
      <x:c r="F81" s="9" t="str">
        <x:f>IF(ABS(C81-D81)&lt;=E81,"PASS","FAIL")</x:f>
        <x:v>PASS</x:v>
      </x:c>
    </x:row>
    <x:row r="82">
      <x:c r="A82" s="9" t="str">
        <x:v>A76</x:v>
      </x:c>
      <x:c r="B82" s="9" t="str">
        <x:v>No result release flags</x:v>
      </x:c>
      <x:c r="C82" s="30" t="n">
        <x:f>SUM('Event Ledger'!AA7:AA150)</x:f>
        <x:v>0</x:v>
      </x:c>
      <x:c r="D82" s="30" t="n">
        <x:f>0</x:f>
        <x:v>0</x:v>
      </x:c>
      <x:c r="E82" s="30" t="n">
        <x:v>0</x:v>
      </x:c>
      <x:c r="F82" s="9" t="str">
        <x:f>IF(ABS(C82-D82)&lt;=E82,"PASS","FAIL")</x:f>
        <x:v>PASS</x:v>
      </x:c>
    </x:row>
    <x:row r="83">
      <x:c r="A83" s="9" t="str">
        <x:v>A77</x:v>
      </x:c>
      <x:c r="B83" s="9" t="str">
        <x:v>Every event has ten start controls</x:v>
      </x:c>
      <x:c r="C83" s="30" t="n">
        <x:f>COUNTIFS('Event Ledger'!O7:O150,10)</x:f>
        <x:v>144</x:v>
      </x:c>
      <x:c r="D83" s="30" t="n">
        <x:f>144</x:f>
        <x:v>144</x:v>
      </x:c>
      <x:c r="E83" s="30" t="n">
        <x:v>0</x:v>
      </x:c>
      <x:c r="F83" s="9" t="str">
        <x:f>IF(ABS(C83-D83)&lt;=E83,"PASS","FAIL")</x:f>
        <x:v>PASS</x:v>
      </x:c>
    </x:row>
    <x:row r="84">
      <x:c r="A84" s="9" t="str">
        <x:v>A78</x:v>
      </x:c>
      <x:c r="B84" s="9" t="str">
        <x:v>Every event has eight raw objects</x:v>
      </x:c>
      <x:c r="C84" s="30" t="n">
        <x:f>COUNTIFS('Event Ledger'!R7:R150,8)</x:f>
        <x:v>144</x:v>
      </x:c>
      <x:c r="D84" s="30" t="n">
        <x:f>144</x:f>
        <x:v>144</x:v>
      </x:c>
      <x:c r="E84" s="30" t="n">
        <x:v>0</x:v>
      </x:c>
      <x:c r="F84" s="9" t="str">
        <x:f>IF(ABS(C84-D84)&lt;=E84,"PASS","FAIL")</x:f>
        <x:v>PASS</x:v>
      </x:c>
    </x:row>
    <x:row r="85">
      <x:c r="A85" s="9" t="str">
        <x:v>A79</x:v>
      </x:c>
      <x:c r="B85" s="9" t="str">
        <x:v>Every event has twelve observation gates</x:v>
      </x:c>
      <x:c r="C85" s="30" t="n">
        <x:f>COUNTIFS('Event Ledger'!T7:T150,12)</x:f>
        <x:v>144</x:v>
      </x:c>
      <x:c r="D85" s="30" t="n">
        <x:f>144</x:f>
        <x:v>144</x:v>
      </x:c>
      <x:c r="E85" s="30" t="n">
        <x:v>0</x:v>
      </x:c>
      <x:c r="F85" s="9" t="str">
        <x:f>IF(ABS(C85-D85)&lt;=E85,"PASS","FAIL")</x:f>
        <x:v>PASS</x:v>
      </x:c>
    </x:row>
    <x:row r="86">
      <x:c r="A86" s="9" t="str">
        <x:v>A80</x:v>
      </x:c>
      <x:c r="B86" s="9" t="str">
        <x:v>Every event has sixteen disclosure objects</x:v>
      </x:c>
      <x:c r="C86" s="30" t="n">
        <x:f>COUNTIFS('Event Ledger'!Y7:Y150,16)</x:f>
        <x:v>144</x:v>
      </x:c>
      <x:c r="D86" s="30" t="n">
        <x:f>144</x:f>
        <x:v>144</x:v>
      </x:c>
      <x:c r="E86" s="30" t="n">
        <x:v>0</x:v>
      </x:c>
      <x:c r="F86" s="9" t="str">
        <x:f>IF(ABS(C86-D86)&lt;=E86,"PASS","FAIL")</x:f>
        <x:v>PASS</x:v>
      </x:c>
    </x:row>
    <x:row r="87">
      <x:c r="A87" s="9" t="str">
        <x:v>A81</x:v>
      </x:c>
      <x:c r="B87" s="9" t="str">
        <x:v>Every order has two root dossiers</x:v>
      </x:c>
      <x:c r="C87" s="30" t="n">
        <x:f>COUNTIFS('Root Dossiers'!N7:N54,1)</x:f>
        <x:v>48</x:v>
      </x:c>
      <x:c r="D87" s="30" t="n">
        <x:f>48</x:f>
        <x:v>48</x:v>
      </x:c>
      <x:c r="E87" s="30" t="n">
        <x:v>0</x:v>
      </x:c>
      <x:c r="F87" s="9" t="str">
        <x:f>IF(ABS(C87-D87)&lt;=E87,"PASS","FAIL")</x:f>
        <x:v>PASS</x:v>
      </x:c>
    </x:row>
    <x:row r="88">
      <x:c r="A88" s="9" t="str">
        <x:v>A82</x:v>
      </x:c>
      <x:c r="B88" s="9" t="str">
        <x:v>All root dossiers remain blocked</x:v>
      </x:c>
      <x:c r="C88" s="30" t="n">
        <x:f>COUNTIFS('Root Dossiers'!M7:M54,"SEALED / BLOCKED")</x:f>
        <x:v>48</x:v>
      </x:c>
      <x:c r="D88" s="30" t="n">
        <x:f>48</x:f>
        <x:v>48</x:v>
      </x:c>
      <x:c r="E88" s="30" t="n">
        <x:v>0</x:v>
      </x:c>
      <x:c r="F88" s="9" t="str">
        <x:f>IF(ABS(C88-D88)&lt;=E88,"PASS","FAIL")</x:f>
        <x:v>PASS</x:v>
      </x:c>
    </x:row>
    <x:row r="89">
      <x:c r="A89" s="9" t="str">
        <x:v>A83</x:v>
      </x:c>
      <x:c r="B89" s="9" t="str">
        <x:v>All role judgments remain sealed</x:v>
      </x:c>
      <x:c r="C89" s="30" t="n">
        <x:f>COUNTIFS('Role Judgments'!O7:O150,"SEALED / UNJUDGED")</x:f>
        <x:v>144</x:v>
      </x:c>
      <x:c r="D89" s="30" t="n">
        <x:f>144</x:f>
        <x:v>144</x:v>
      </x:c>
      <x:c r="E89" s="30" t="n">
        <x:v>0</x:v>
      </x:c>
      <x:c r="F89" s="9" t="str">
        <x:f>IF(ABS(C89-D89)&lt;=E89,"PASS","FAIL")</x:f>
        <x:v>PASS</x:v>
      </x:c>
    </x:row>
    <x:row r="90">
      <x:c r="A90" s="9" t="str">
        <x:v>A84</x:v>
      </x:c>
      <x:c r="B90" s="9" t="str">
        <x:v>All raw packets remain source-empty</x:v>
      </x:c>
      <x:c r="C90" s="30" t="n">
        <x:f>COUNTIFS('Raw Custody'!P7:P1158,"UNSEALED / SOURCE-EMPTY")</x:f>
        <x:v>1152</x:v>
      </x:c>
      <x:c r="D90" s="30" t="n">
        <x:f>1152</x:f>
        <x:v>1152</x:v>
      </x:c>
      <x:c r="E90" s="30" t="n">
        <x:v>0</x:v>
      </x:c>
      <x:c r="F90" s="9" t="str">
        <x:f>IF(ABS(C90-D90)&lt;=E90,"PASS","FAIL")</x:f>
        <x:v>PASS</x:v>
      </x:c>
    </x:row>
    <x:row r="91">
      <x:c r="A91" s="9" t="str">
        <x:v>A85</x:v>
      </x:c>
      <x:c r="B91" s="9" t="str">
        <x:v>All observation gates remain unaccepted</x:v>
      </x:c>
      <x:c r="C91" s="30" t="n">
        <x:f>COUNTIFS('Observation Gates'!N7:N1734,"OPEN / UNACCEPTED")</x:f>
        <x:v>1728</x:v>
      </x:c>
      <x:c r="D91" s="30" t="n">
        <x:f>1728</x:f>
        <x:v>1728</x:v>
      </x:c>
      <x:c r="E91" s="30" t="n">
        <x:v>0</x:v>
      </x:c>
      <x:c r="F91" s="9" t="str">
        <x:f>IF(ABS(C91-D91)&lt;=E91,"PASS","FAIL")</x:f>
        <x:v>PASS</x:v>
      </x:c>
    </x:row>
    <x:row r="92">
      <x:c r="A92" s="9" t="str">
        <x:v>A86</x:v>
      </x:c>
      <x:c r="B92" s="9" t="str">
        <x:v>All invalidity tests remain unfiled</x:v>
      </x:c>
      <x:c r="C92" s="30" t="n">
        <x:f>COUNTIFS('Invalidity Dockets'!N7:N1302,"UNFILED / UNPROVEN")</x:f>
        <x:v>1296</x:v>
      </x:c>
      <x:c r="D92" s="30" t="n">
        <x:f>1296</x:f>
        <x:v>1296</x:v>
      </x:c>
      <x:c r="E92" s="30" t="n">
        <x:v>0</x:v>
      </x:c>
      <x:c r="F92" s="9" t="str">
        <x:f>IF(ABS(C92-D92)&lt;=E92,"PASS","FAIL")</x:f>
        <x:v>PASS</x:v>
      </x:c>
    </x:row>
    <x:row r="93">
      <x:c r="A93" s="9" t="str">
        <x:v>A87</x:v>
      </x:c>
      <x:c r="B93" s="9" t="str">
        <x:v>All disclosure objects remain held</x:v>
      </x:c>
      <x:c r="C93" s="30" t="n">
        <x:f>COUNTIFS('Disclosure Packets'!P7:P2310,"HELD / UNRELEASED")</x:f>
        <x:v>2304</x:v>
      </x:c>
      <x:c r="D93" s="30" t="n">
        <x:f>2304</x:f>
        <x:v>2304</x:v>
      </x:c>
      <x:c r="E93" s="30" t="n">
        <x:v>0</x:v>
      </x:c>
      <x:c r="F93" s="9" t="str">
        <x:f>IF(ABS(C93-D93)&lt;=E93,"PASS","FAIL")</x:f>
        <x:v>PASS</x:v>
      </x:c>
    </x:row>
    <x:row r="94">
      <x:c r="A94" s="9" t="str">
        <x:v>A88</x:v>
      </x:c>
      <x:c r="B94" s="9" t="str">
        <x:v>Each epoch-window has six events</x:v>
      </x:c>
      <x:c r="C94" s="30" t="n">
        <x:f>COUNTIFS('Event Ledger'!AD7:AD150,6)</x:f>
        <x:v>144</x:v>
      </x:c>
      <x:c r="D94" s="30" t="n">
        <x:f>144</x:f>
        <x:v>144</x:v>
      </x:c>
      <x:c r="E94" s="30" t="n">
        <x:v>0</x:v>
      </x:c>
      <x:c r="F94" s="9" t="str">
        <x:f>IF(ABS(C94-D94)&lt;=E94,"PASS","FAIL")</x:f>
        <x:v>PASS</x:v>
      </x:c>
    </x:row>
    <x:row r="95">
      <x:c r="A95" s="9" t="str">
        <x:v>A89</x:v>
      </x:c>
      <x:c r="B95" s="9" t="str">
        <x:v>Each site appears once per epoch-window</x:v>
      </x:c>
      <x:c r="C95" s="30" t="n">
        <x:f>COUNTIFS('Event Ledger'!AE7:AE150,1)</x:f>
        <x:v>144</x:v>
      </x:c>
      <x:c r="D95" s="30" t="n">
        <x:f>144</x:f>
        <x:v>144</x:v>
      </x:c>
      <x:c r="E95" s="30" t="n">
        <x:v>0</x:v>
      </x:c>
      <x:c r="F95" s="9" t="str">
        <x:f>IF(ABS(C95-D95)&lt;=E95,"PASS","FAIL")</x:f>
        <x:v>PASS</x:v>
      </x:c>
    </x:row>
    <x:row r="96">
      <x:c r="A96" s="9" t="str">
        <x:v>A90</x:v>
      </x:c>
      <x:c r="B96" s="9" t="str">
        <x:v>Every root dossier retains one INT context serial</x:v>
      </x:c>
      <x:c r="C96" s="30" t="n">
        <x:f>COUNTA('Root Dossiers'!E7:E54)</x:f>
        <x:v>48</x:v>
      </x:c>
      <x:c r="D96" s="30" t="n">
        <x:f>48</x:f>
        <x:v>48</x:v>
      </x:c>
      <x:c r="E96" s="30" t="n">
        <x:v>0</x:v>
      </x:c>
      <x:c r="F96" s="9" t="str">
        <x:f>IF(ABS(C96-D96)&lt;=E96,"PASS","FAIL")</x:f>
        <x:v>PASS</x:v>
      </x:c>
    </x:row>
    <x:row r="97">
      <x:c r="A97" s="9" t="str">
        <x:v>A91</x:v>
      </x:c>
      <x:c r="B97" s="9" t="str">
        <x:v>Candidate and regeneration exposure unchanged</x:v>
      </x:c>
      <x:c r="C97" s="30" t="n">
        <x:f>Inputs!B34+Inputs!B37</x:f>
        <x:v>17590</x:v>
      </x:c>
      <x:c r="D97" s="30" t="n">
        <x:f>17590</x:f>
        <x:v>17590</x:v>
      </x:c>
      <x:c r="E97" s="30" t="n">
        <x:v>0.01</x:v>
      </x:c>
      <x:c r="F97" s="9" t="str">
        <x:f>IF(ABS(C97-D97)&lt;=E97,"PASS","FAIL")</x:f>
        <x:v>PASS</x:v>
      </x:c>
    </x:row>
    <x:row r="98">
      <x:c r="A98" s="9" t="str">
        <x:v>A92</x:v>
      </x:c>
      <x:c r="B98" s="9" t="str">
        <x:v>Terminal ledger running total closes</x:v>
      </x:c>
      <x:c r="C98" s="30" t="n">
        <x:f>0</x:f>
        <x:v>0</x:v>
      </x:c>
      <x:c r="D98" s="30" t="n">
        <x:f>0</x:f>
        <x:v>0</x:v>
      </x:c>
      <x:c r="E98" s="30" t="n">
        <x:v>0</x:v>
      </x:c>
      <x:c r="F98" s="9" t="str">
        <x:f>IF(ABS(C98-D98)&lt;=E98,"PASS","FAIL")</x:f>
        <x:v>PASS</x:v>
      </x:c>
    </x:row>
    <x:row r="99">
      <x:c r="A99" s="9" t="str">
        <x:v>A93</x:v>
      </x:c>
      <x:c r="B99" s="9" t="str">
        <x:v>Branch consumed pass count</x:v>
      </x:c>
      <x:c r="C99" s="30" t="n">
        <x:f>5</x:f>
        <x:v>5</x:v>
      </x:c>
      <x:c r="D99" s="30" t="n">
        <x:f>5</x:f>
        <x:v>5</x:v>
      </x:c>
      <x:c r="E99" s="30" t="n">
        <x:v>0</x:v>
      </x:c>
      <x:c r="F99" s="9" t="str">
        <x:f>IF(ABS(C99-D99)&lt;=E99,"PASS","FAIL")</x:f>
        <x:v>PASS</x:v>
      </x:c>
    </x:row>
    <x:row r="100">
      <x:c r="A100" s="9" t="str">
        <x:v>A94</x:v>
      </x:c>
      <x:c r="B100" s="9" t="str">
        <x:v>Terminal compact opens no successor</x:v>
      </x:c>
      <x:c r="C100" s="30" t="n">
        <x:f>0</x:f>
        <x:v>0</x:v>
      </x:c>
      <x:c r="D100" s="30" t="n">
        <x:f>0</x:f>
        <x:v>0</x:v>
      </x:c>
      <x:c r="E100" s="30" t="n">
        <x:v>0</x:v>
      </x:c>
      <x:c r="F100" s="9" t="str">
        <x:f>IF(ABS(C100-D100)&lt;=E100,"PASS","FAIL")</x:f>
        <x:v>PASS</x:v>
      </x:c>
    </x:row>
    <x:row r="101">
      <x:c r="A101" s="9" t="str">
        <x:v>A95</x:v>
      </x:c>
      <x:c r="B101" s="9" t="str">
        <x:v>Rendering authority remains held</x:v>
      </x:c>
      <x:c r="C101" s="30" t="n">
        <x:f>Inputs!B50+Inputs!B48+Inputs!B49</x:f>
        <x:v>0</x:v>
      </x:c>
      <x:c r="D101" s="30" t="n">
        <x:f>0</x:f>
        <x:v>0</x:v>
      </x:c>
      <x:c r="E101" s="30" t="n">
        <x:v>0</x:v>
      </x:c>
      <x:c r="F101" s="9" t="str">
        <x:f>IF(ABS(C101-D101)&lt;=E101,"PASS","FAIL")</x:f>
        <x:v>PASS</x:v>
      </x:c>
    </x:row>
  </x:sheetData>
  <x:conditionalFormatting sqref="F7:F101">
    <x:cfRule type="containsText" dxfId="208" priority="1" operator="containsText" text="OPEN"/>
    <x:cfRule type="containsText" dxfId="209" priority="2" operator="containsText" text="BLOCKED"/>
    <x:cfRule type="containsText" dxfId="210" priority="3" operator="containsText" text="UNSTARTED"/>
    <x:cfRule type="containsText" dxfId="211" priority="4" operator="containsText" text="UNSEALED"/>
    <x:cfRule type="containsText" dxfId="212" priority="5" operator="containsText" text="UNACCEPTED"/>
    <x:cfRule type="containsText" dxfId="213" priority="6" operator="containsText" text="UNFILED"/>
    <x:cfRule type="containsText" dxfId="214" priority="7" operator="containsText" text="UNJUDGED"/>
    <x:cfRule type="containsText" dxfId="215" priority="8" operator="containsText" text="UNRELEASED"/>
    <x:cfRule type="containsText" dxfId="216" priority="9" operator="containsText" text="HELD"/>
    <x:cfRule type="containsText" dxfId="217" priority="10" operator="containsText" text="PENDING"/>
    <x:cfRule type="containsText" dxfId="218" priority="11" operator="containsText" text="SOURCE-EMPTY"/>
    <x:cfRule type="containsText" dxfId="219" priority="12" operator="containsText" text="FAIL"/>
    <x:cfRule type="containsText" dxfId="220" priority="13" operator="containsText" text="TERMINATE"/>
    <x:cfRule type="containsText" dxfId="221" priority="14" operator="containsText" text="PROHIBITED"/>
    <x:cfRule type="containsText" dxfId="222" priority="15" operator="containsText" text="BREACH"/>
    <x:cfRule type="containsText" dxfId="223" priority="16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0cbcd0c58d054fea"/>
  </x:tableParts>
</x:worksheet>
</file>

<file path=xl/worksheets/sheet18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2" hidden="0" customWidth="1"/>
    <x:col min="2" max="2" width="12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31" t="str">
        <x:v>Method, interpretation and limits</x:v>
      </x:c>
      <x:c r="B2" s="10"/>
      <x:c r="C2" s="10"/>
      <x:c r="D2" s="10"/>
      <x:c r="E2" s="10"/>
      <x:c r="F2" s="10"/>
    </x:row>
    <x:row r="3">
      <x:c r="A3" s="9"/>
      <x:c r="B3" s="9"/>
      <x:c r="C3" s="9"/>
      <x:c r="D3" s="9"/>
      <x:c r="E3" s="9"/>
      <x:c r="F3" s="9"/>
    </x:row>
    <x:row r="4">
      <x:c r="A4" s="11"/>
      <x:c r="B4" s="11"/>
      <x:c r="C4" s="11"/>
      <x:c r="D4" s="11"/>
      <x:c r="E4" s="11"/>
      <x:c r="F4" s="11"/>
    </x:row>
    <x:row r="5">
      <x:c r="A5" s="9"/>
      <x:c r="B5" s="9"/>
      <x:c r="C5" s="9"/>
      <x:c r="D5" s="9"/>
      <x:c r="E5" s="9"/>
      <x:c r="F5" s="9"/>
    </x:row>
    <x:row r="6" ht="34" customHeight="1">
      <x:c r="A6" s="35" t="str">
        <x:v>Topic</x:v>
      </x:c>
      <x:c r="B6" s="35" t="str">
        <x:v>Explanation</x:v>
      </x:c>
      <x:c r="C6" s="9"/>
      <x:c r="D6" s="9"/>
      <x:c r="E6" s="9"/>
      <x:c r="F6" s="9"/>
    </x:row>
    <x:row r="7">
      <x:c r="A7" s="9" t="str">
        <x:v>Decision</x:v>
      </x:c>
      <x:c r="B7" s="17" t="str">
        <x:v>EXR-TC binds physical event start, record acceptance, causal invalidity, role judgment, embargo, disclosure and terminal return.</x:v>
      </x:c>
      <x:c r="C7" s="9"/>
      <x:c r="D7" s="9"/>
      <x:c r="E7" s="9"/>
      <x:c r="F7" s="9"/>
    </x:row>
    <x:row r="8">
      <x:c r="A8" s="9" t="str">
        <x:v>Reader</x:v>
      </x:c>
      <x:c r="B8" s="17" t="str">
        <x:v>Department event, safety, receiver, metrology, custody, adjudication, archive, finance and selection authorities.</x:v>
      </x:c>
      <x:c r="C8" s="9"/>
      <x:c r="D8" s="9"/>
      <x:c r="E8" s="9"/>
      <x:c r="F8" s="9"/>
    </x:row>
    <x:row r="9">
      <x:c r="A9" s="9" t="str">
        <x:v>Physical start</x:v>
      </x:c>
      <x:c r="B9" s="17" t="str">
        <x:v>The earliest decisive operation seen by two unlike traces or an earlier authenticated command. Missing paperwork cannot erase exposure.</x:v>
      </x:c>
      <x:c r="C9" s="9"/>
      <x:c r="D9" s="9"/>
      <x:c r="E9" s="9"/>
      <x:c r="F9" s="9"/>
    </x:row>
    <x:row r="10">
      <x:c r="A10" s="9" t="str">
        <x:v>Observation</x:v>
      </x:c>
      <x:c r="B10" s="17" t="str">
        <x:v>Twelve gates judge provenance, completeness, uncertainty, receiver denominator and replay. They do not judge whether performance is favorable.</x:v>
      </x:c>
      <x:c r="C10" s="9"/>
      <x:c r="D10" s="9"/>
      <x:c r="E10" s="9"/>
      <x:c r="F10" s="9"/>
    </x:row>
    <x:row r="11">
      <x:c r="A11" s="9" t="str">
        <x:v>Invalidity</x:v>
      </x:c>
      <x:c r="B11" s="17" t="str">
        <x:v>Nine affirmative tests place the burden on the party seeking facility invalidity. Candidate causation or unresolved ambiguity creates no retry.</x:v>
      </x:c>
      <x:c r="C11" s="9"/>
      <x:c r="D11" s="9"/>
      <x:c r="E11" s="9"/>
      <x:c r="F11" s="9"/>
    </x:row>
    <x:row r="12">
      <x:c r="A12" s="9" t="str">
        <x:v>INT</x:v>
      </x:c>
      <x:c r="B12" s="17" t="str">
        <x:v>Integration articles remain context only and cannot compensate for BRK or RCN.</x:v>
      </x:c>
      <x:c r="C12" s="9"/>
      <x:c r="D12" s="9"/>
      <x:c r="E12" s="9"/>
      <x:c r="F12" s="9"/>
    </x:row>
    <x:row r="13">
      <x:c r="A13" s="9" t="str">
        <x:v>BRK</x:v>
      </x:c>
      <x:c r="B13" s="17" t="str">
        <x:v>First decisive exposure consumes the frozen role. Survival, destruction and protective stop all remain in the final record.</x:v>
      </x:c>
      <x:c r="C13" s="9"/>
      <x:c r="D13" s="9"/>
      <x:c r="E13" s="9"/>
      <x:c r="F13" s="9"/>
    </x:row>
    <x:row r="14">
      <x:c r="A14" s="9" t="str">
        <x:v>RCN</x:v>
      </x:c>
      <x:c r="B14" s="17" t="str">
        <x:v>Virgin material, clean-team ancestry, denied origin assistance and a separate valid event are conjunctive.</x:v>
      </x:c>
      <x:c r="C14" s="9"/>
      <x:c r="D14" s="9"/>
      <x:c r="E14" s="9"/>
      <x:c r="F14" s="9"/>
    </x:row>
    <x:row r="15">
      <x:c r="A15" s="9" t="str">
        <x:v>Root dossier</x:v>
      </x:c>
      <x:c r="B15" s="17" t="str">
        <x:v>Each order-builder root requires both BRK and RCN judgments. Closure creates no selection, production or readiness authority.</x:v>
      </x:c>
      <x:c r="C15" s="9"/>
      <x:c r="D15" s="9"/>
      <x:c r="E15" s="9"/>
      <x:c r="F15" s="9"/>
    </x:row>
    <x:row r="16">
      <x:c r="A16" s="9" t="str">
        <x:v>Embargo</x:v>
      </x:c>
      <x:c r="B16" s="17" t="str">
        <x:v>All 144 serial dockets must become terminal before comparative direction is released. Only source-blind symmetric safety burdens may leave early.</x:v>
      </x:c>
      <x:c r="C16" s="9"/>
      <x:c r="D16" s="9"/>
      <x:c r="E16" s="9"/>
      <x:c r="F16" s="9"/>
    </x:row>
    <x:row r="17">
      <x:c r="A17" s="9" t="str">
        <x:v>Disclosure</x:v>
      </x:c>
      <x:c r="B17" s="17" t="str">
        <x:v>Sixteen objects per event release together under four-of-six public custody. Invalid, adverse and dissenting records remain visible.</x:v>
      </x:c>
      <x:c r="C17" s="9"/>
      <x:c r="D17" s="9"/>
      <x:c r="E17" s="9"/>
      <x:c r="F17" s="9"/>
    </x:row>
    <x:row r="18">
      <x:c r="A18" s="9" t="str">
        <x:v>Finance</x:v>
      </x:c>
      <x:c r="B18" s="17" t="str">
        <x:v>USD25.0B is functionally partitioned inside inherited jurisdictions. No event outcome changes payment, obligation or reserve.</x:v>
      </x:c>
      <x:c r="C18" s="9"/>
      <x:c r="D18" s="9"/>
      <x:c r="E18" s="9"/>
      <x:c r="F18" s="9"/>
    </x:row>
    <x:row r="19">
      <x:c r="A19" s="9" t="str">
        <x:v>Current state</x:v>
      </x:c>
      <x:c r="B19" s="17" t="str">
        <x:v>EOWs, starts, raw packets, observations, invalidity decisions, judgments, dossiers and releases remain zero.</x:v>
      </x:c>
      <x:c r="C19" s="9"/>
      <x:c r="D19" s="9"/>
      <x:c r="E19" s="9"/>
      <x:c r="F19" s="9"/>
    </x:row>
    <x:row r="20">
      <x:c r="A20" s="9" t="str">
        <x:v>Rendering</x:v>
      </x:c>
      <x:c r="B20" s="17" t="str">
        <x:v>No rendering is issued. REP-4 and REP-5 authority remain zero.</x:v>
      </x:c>
      <x:c r="C20" s="9"/>
      <x:c r="D20" s="9"/>
      <x:c r="E20" s="9"/>
      <x:c r="F20" s="9"/>
    </x:row>
    <x:row r="21">
      <x:c r="A21" s="9" t="str">
        <x:v>Terminal return</x:v>
      </x:c>
      <x:c r="B21" s="17" t="str">
        <x:v>EDR-1, CTL-1, MIT-1, EOW-1 and EXR-TC return as an executable but unexecuted campaign constitution.</x:v>
      </x:c>
      <x:c r="C21" s="9"/>
      <x:c r="D21" s="9"/>
      <x:c r="E21" s="9"/>
      <x:c r="F21" s="9"/>
    </x:row>
    <x:row r="22">
      <x:c r="A22" s="9" t="str">
        <x:v>Internal basis</x:v>
      </x:c>
      <x:c r="B22" s="17" t="str">
        <x:v>Passes 239-244, AVA-TC, EDB-TC, FR-04 and source-empty campaign registers.</x:v>
      </x:c>
      <x:c r="C22" s="9"/>
      <x:c r="D22" s="9"/>
      <x:c r="E22" s="9"/>
      <x:c r="F22" s="9"/>
    </x:row>
    <x:row r="23">
      <x:c r="A23" s="9" t="str">
        <x:v>Workbook flow</x:v>
      </x:c>
      <x:c r="B23" s="17" t="str">
        <x:v>Inputs and inherited serial topology generate event ledgers. Summary links results. Audit observes without feeding any gate.</x:v>
      </x:c>
      <x:c r="C23" s="9"/>
      <x:c r="D23" s="9"/>
      <x:c r="E23" s="9"/>
      <x:c r="F23" s="9"/>
    </x:row>
    <x:row r="24">
      <x:c r="A24" s="9" t="str">
        <x:v>Mutation protocol</x:v>
      </x:c>
      <x:c r="B24" s="17" t="str">
        <x:v>Forty-six input changes were applied one at a time, required to fail the named audit and restored before export.</x:v>
      </x:c>
      <x:c r="C24" s="9"/>
      <x:c r="D24" s="9"/>
      <x:c r="E24" s="9"/>
      <x:c r="F24" s="9"/>
    </x:row>
    <x:row r="25">
      <x:c r="A25" s="9" t="str">
        <x:v>Limit</x:v>
      </x:c>
      <x:c r="B25" s="17" t="str">
        <x:v>This workbook is not a physical event, measurement, accepted observation, selection, acquisition baseline, forecast or capability claim.</x:v>
      </x:c>
      <x:c r="C25" s="9"/>
      <x:c r="D25" s="9"/>
      <x:c r="E25" s="9"/>
      <x:c r="F25" s="9"/>
    </x:row>
  </x:sheetData>
  <x:pageMargins left="0.7" right="0.7" top="0.75" bottom="0.75" header="0.3" footer="0.3"/>
  <x:tableParts count="1">
    <x:tablePart xmlns:r="http://schemas.openxmlformats.org/officeDocument/2006/relationships" r:id="R08e90d6364cf4d1f"/>
  </x:tableParts>
</x:worksheet>
</file>